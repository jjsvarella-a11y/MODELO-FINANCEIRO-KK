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TICO" sheetId="1" r:id="rId1"/>
    <sheet name="V06 Controlos" sheetId="2" r:id="rId2"/>
    <sheet name="V06 Curva" sheetId="3" r:id="rId3"/>
    <sheet name="V06 Unidades" sheetId="4" r:id="rId4"/>
    <sheet name="V06 Calend 01" sheetId="5" r:id="rId5"/>
    <sheet name="V06 Motor" sheetId="6" r:id="rId6"/>
  </sheets>
  <calcPr calcId="124519" fullCalcOnLoad="1"/>
</workbook>
</file>

<file path=xl/sharedStrings.xml><?xml version="1.0" encoding="utf-8"?>
<sst xmlns="http://schemas.openxmlformats.org/spreadsheetml/2006/main" count="484" uniqueCount="391">
  <si>
    <t>DIAGNÓSTICO — NÃO É O MASTER</t>
  </si>
  <si>
    <t>Anterior / Old</t>
  </si>
  <si>
    <t>Escalar / Scalar</t>
  </si>
  <si>
    <t>Igual / Equal</t>
  </si>
  <si>
    <t>Procedimento</t>
  </si>
  <si>
    <t>Valores guardados não validam o cálculo no Excel.</t>
  </si>
  <si>
    <t>1. Ative edição. 2. Ctrl+Alt+F9. 3. Guarde, feche e reabra. 4. Registe que células falham.</t>
  </si>
  <si>
    <t>As fórmulas antigas são cópias exatas do V06 anterior. As novas usam a mesma curva e as mesmas 94 frações, sem IF matricial/SUMPRODUCT.</t>
  </si>
  <si>
    <t>Microsoft Excel 365: NOT TESTED neste ambiente. Este ficheiro permite isolar os dois blocos, sem carregar o master completo.</t>
  </si>
  <si>
    <t>Idioma</t>
  </si>
  <si>
    <t>PT</t>
  </si>
  <si>
    <t>IVA de estudo</t>
  </si>
  <si>
    <t>Fração recuperável IVA</t>
  </si>
  <si>
    <t>Prazo reembolso IVA</t>
  </si>
  <si>
    <t>Taxa IRPC</t>
  </si>
  <si>
    <t>Anos isenção simulada</t>
  </si>
  <si>
    <t>Prazo pagamento IRPC</t>
  </si>
  <si>
    <t>Base depreciável</t>
  </si>
  <si>
    <t>Vida útil fiscal</t>
  </si>
  <si>
    <t>Base IPI Hotel/MICE</t>
  </si>
  <si>
    <t>Taxa IPI</t>
  </si>
  <si>
    <t>ITI referência</t>
  </si>
  <si>
    <t>Fração ITI suportada KK</t>
  </si>
  <si>
    <t>Fração atos suportada KK</t>
  </si>
  <si>
    <t>CVE por EUR</t>
  </si>
  <si>
    <t>Escritura por imóvel</t>
  </si>
  <si>
    <t>Certidões por fração</t>
  </si>
  <si>
    <t>Propriedade horizontal</t>
  </si>
  <si>
    <t>Mês propriedade horizontal</t>
  </si>
  <si>
    <t>Atos Hotel/MICE/restaurante</t>
  </si>
  <si>
    <t>CAR taxa total obra</t>
  </si>
  <si>
    <t>RC obra taxa total</t>
  </si>
  <si>
    <t>Seguro obra já incluído</t>
  </si>
  <si>
    <t>Base seguro patrimonial</t>
  </si>
  <si>
    <t>Multirriscos taxa anual</t>
  </si>
  <si>
    <t>Interrupção atividade taxa</t>
  </si>
  <si>
    <t>RC exploração taxa</t>
  </si>
  <si>
    <t>Coberturas anuais adicionais</t>
  </si>
  <si>
    <t>Multiplicador seguros</t>
  </si>
  <si>
    <t>Seguro operação já incluído</t>
  </si>
  <si>
    <t>Atraso capital</t>
  </si>
  <si>
    <t>Capital recebido de cenário</t>
  </si>
  <si>
    <t>Atraso vendas</t>
  </si>
  <si>
    <t>Atraso obra</t>
  </si>
  <si>
    <t>Sobrecusto construção</t>
  </si>
  <si>
    <t>Linha não renovável</t>
  </si>
  <si>
    <t>Juro anual</t>
  </si>
  <si>
    <t>Carência principal</t>
  </si>
  <si>
    <t>Prazo após carência</t>
  </si>
  <si>
    <t>Cash sweep</t>
  </si>
  <si>
    <t>Condições banco cumpridas</t>
  </si>
  <si>
    <t>Início utilização</t>
  </si>
  <si>
    <t>Comissão abertura</t>
  </si>
  <si>
    <t>Broker</t>
  </si>
  <si>
    <t>Mobilização</t>
  </si>
  <si>
    <t>Comissão compromisso anual</t>
  </si>
  <si>
    <t>Reserva operacional</t>
  </si>
  <si>
    <t>Meses proteção obra</t>
  </si>
  <si>
    <t>Reserva contingência jurídica HOTUSA</t>
  </si>
  <si>
    <t>Estado HOTUSA</t>
  </si>
  <si>
    <t>Pending</t>
  </si>
  <si>
    <t>Obrigação HOTUSA confirmada</t>
  </si>
  <si>
    <t>Mês resolução HOTUSA</t>
  </si>
  <si>
    <t>Política dividendos</t>
  </si>
  <si>
    <t>Auto</t>
  </si>
  <si>
    <t>Cobertura 12M</t>
  </si>
  <si>
    <t>Lucros documentados ou proxy</t>
  </si>
  <si>
    <t>Proxy</t>
  </si>
  <si>
    <t>Limite dividendos documentado</t>
  </si>
  <si>
    <t>Fração distribuição parcial</t>
  </si>
  <si>
    <t>Múltiplo saída</t>
  </si>
  <si>
    <t>Custo saída</t>
  </si>
  <si>
    <t>Mês saída</t>
  </si>
  <si>
    <t>Desconto equity</t>
  </si>
  <si>
    <t>Desconto projeto</t>
  </si>
  <si>
    <t>Cenário Hotel</t>
  </si>
  <si>
    <t>Favorável</t>
  </si>
  <si>
    <t>Fee base operador</t>
  </si>
  <si>
    <t>Sistemas e distribuição</t>
  </si>
  <si>
    <t>Fee incentivo</t>
  </si>
  <si>
    <t>Outros fees receita</t>
  </si>
  <si>
    <t>Yield residencial inicial</t>
  </si>
  <si>
    <t>Incremento anual yield</t>
  </si>
  <si>
    <t>Estado Convenção</t>
  </si>
  <si>
    <t>Em preparação</t>
  </si>
  <si>
    <t>ETC adicional</t>
  </si>
  <si>
    <t>Mês controlo obra</t>
  </si>
  <si>
    <t>Direitos aduaneiros KK</t>
  </si>
  <si>
    <t>Imposto selo KK</t>
  </si>
  <si>
    <t>Outras taxas institucionais</t>
  </si>
  <si>
    <t>Taxa informativa proprietários</t>
  </si>
  <si>
    <t>Último mês utilização banco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</si>
  <si>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</si>
  <si>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</si>
  <si>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</si>
  <si>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</si>
  <si>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</si>
  <si>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</si>
  <si>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</si>
  <si>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</si>
  <si>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</si>
  <si>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</si>
  <si>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</si>
  <si>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</si>
  <si>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</si>
  <si>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</si>
  <si>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</si>
  <si>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</si>
  <si>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</si>
  <si>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</si>
  <si>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</si>
  <si>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</si>
  <si>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</si>
  <si>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</si>
  <si>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</si>
  <si>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</si>
  <si>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</si>
  <si>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</si>
  <si>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</si>
  <si>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</si>
  <si>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</si>
  <si>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</si>
  <si>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</si>
  <si>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</si>
  <si>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</si>
  <si>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</si>
  <si>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</si>
  <si>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</si>
  <si>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</si>
  <si>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</si>
  <si>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</si>
  <si>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</si>
  <si>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</si>
  <si>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</si>
  <si>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</si>
  <si>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</si>
  <si>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</si>
  <si>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</si>
  <si>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</si>
  <si>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</si>
  <si>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</si>
  <si>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</si>
  <si>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</si>
  <si>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</si>
  <si>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</si>
  <si>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</si>
  <si>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</si>
  <si>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</si>
  <si>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</si>
  <si>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</si>
  <si>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</si>
  <si>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</si>
  <si>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</si>
  <si>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</si>
  <si>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</si>
  <si>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</si>
  <si>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</si>
  <si>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</si>
  <si>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</si>
  <si>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</si>
  <si>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</si>
  <si>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</si>
  <si>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</si>
  <si>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</si>
  <si>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</si>
  <si>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</si>
  <si>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</si>
  <si>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</si>
  <si>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</si>
  <si>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</si>
  <si>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</si>
  <si>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</si>
  <si>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</si>
  <si>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</si>
  <si>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</si>
  <si>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</si>
  <si>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</si>
  <si>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</si>
  <si>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</si>
  <si>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</si>
  <si>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</si>
  <si>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</si>
  <si>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1101</t>
  </si>
  <si>
    <t>1102</t>
  </si>
  <si>
    <t>1103</t>
  </si>
  <si>
    <t>1104</t>
  </si>
  <si>
    <t>Unit</t>
  </si>
  <si>
    <t>Price EUR</t>
  </si>
  <si>
    <t>Sale month</t>
  </si>
  <si>
    <t>Deed month</t>
  </si>
  <si>
    <t>Progress instalments</t>
  </si>
  <si>
    <t>Deposit 5%</t>
  </si>
  <si>
    <t>Contract 20%</t>
  </si>
  <si>
    <t>Progress 55%</t>
  </si>
  <si>
    <t>Instalment EUR</t>
  </si>
  <si>
    <t>Final EUR</t>
  </si>
  <si>
    <t>Selling costs</t>
  </si>
  <si>
    <t>Forecast only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</si>
  <si>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</si>
  <si>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</si>
  <si>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</si>
  <si>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</si>
  <si>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</si>
  <si>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</si>
  <si>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</si>
  <si>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</si>
  <si>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</si>
  <si>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</si>
  <si>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</si>
  <si>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</si>
  <si>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</si>
  <si>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</si>
  <si>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</si>
  <si>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</si>
  <si>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</si>
  <si>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</si>
  <si>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</si>
  <si>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</si>
  <si>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</si>
  <si>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</si>
  <si>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</si>
  <si>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</si>
  <si>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</si>
  <si>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</si>
  <si>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</si>
  <si>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</si>
  <si>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</si>
  <si>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</si>
  <si>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</si>
  <si>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</si>
  <si>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</si>
  <si>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</si>
  <si>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</si>
  <si>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</si>
  <si>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</si>
  <si>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</si>
  <si>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</si>
  <si>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</si>
  <si>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</si>
  <si>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</si>
  <si>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</si>
  <si>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</si>
  <si>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</si>
  <si>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</si>
  <si>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</si>
  <si>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</si>
  <si>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</si>
  <si>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</si>
  <si>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</si>
  <si>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</si>
  <si>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</si>
  <si>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</si>
  <si>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</si>
  <si>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</si>
  <si>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</si>
  <si>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</si>
  <si>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</si>
  <si>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</si>
  <si>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</si>
  <si>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</si>
  <si>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</si>
  <si>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</si>
  <si>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</si>
  <si>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</si>
  <si>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</si>
  <si>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</si>
  <si>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</si>
  <si>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</si>
  <si>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</si>
  <si>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</si>
  <si>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</si>
  <si>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</si>
  <si>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</si>
  <si>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</si>
  <si>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</si>
  <si>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</si>
  <si>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</si>
  <si>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</si>
  <si>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</si>
  <si>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</si>
  <si>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</si>
  <si>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</si>
  <si>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</si>
  <si>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</si>
  <si>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</si>
  <si>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</si>
  <si>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</si>
  <si>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</si>
  <si>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</si>
  <si>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</si>
  <si>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</si>
  <si>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</si>
  <si>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</si>
  <si>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</si>
  <si>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</si>
  <si>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</si>
  <si>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</si>
  <si>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</si>
  <si>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</si>
  <si>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</si>
  <si>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</si>
  <si>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</si>
  <si>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</si>
  <si>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</si>
  <si>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</si>
  <si>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</si>
  <si>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</si>
  <si>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</si>
  <si>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</si>
  <si>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</si>
  <si>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</si>
  <si>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</si>
  <si>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</si>
  <si>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</si>
  <si>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</si>
  <si>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</si>
  <si>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</si>
  <si>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</si>
  <si>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</si>
  <si>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</si>
  <si>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</si>
  <si>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</si>
  <si>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</si>
  <si>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</si>
  <si>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</si>
  <si>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</si>
  <si>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</si>
  <si>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</si>
  <si>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</si>
  <si>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</si>
  <si>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</si>
  <si>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</si>
  <si>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</si>
  <si>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</si>
  <si>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</si>
  <si>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</si>
  <si>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</si>
  <si>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</si>
  <si>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</si>
  <si>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</si>
  <si>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</si>
  <si>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</si>
  <si>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</si>
  <si>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</si>
  <si>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</si>
  <si>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</si>
  <si>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</si>
  <si>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</si>
  <si>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</si>
  <si>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</si>
  <si>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</si>
  <si>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</si>
  <si>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</si>
  <si>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</si>
  <si>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</si>
  <si>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</si>
  <si>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</si>
  <si>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</si>
  <si>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</si>
  <si>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</si>
  <si>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</si>
  <si>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</si>
  <si>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</si>
  <si>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</si>
  <si>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</si>
  <si>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</si>
  <si>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</si>
  <si>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</si>
  <si>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</si>
  <si>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</si>
  <si>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</si>
  <si>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</si>
  <si>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</si>
  <si>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</si>
  <si>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</si>
  <si>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</si>
  <si>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</si>
  <si>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</si>
  <si>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Forecast; actual receipts are separate</t>
  </si>
  <si>
    <t>Month</t>
  </si>
  <si>
    <t>End</t>
  </si>
  <si>
    <t>Old construction weight</t>
  </si>
  <si>
    <t>Scalar construction weight</t>
  </si>
  <si>
    <t>Old sales receipts</t>
  </si>
  <si>
    <t>Scalar sales receipts</t>
  </si>
  <si>
    <t>Peso total construção</t>
  </si>
  <si>
    <t>Recebimentos totais</t>
  </si>
  <si>
    <t>Peso construção M1</t>
  </si>
  <si>
    <t>Recebimentos M1</t>
  </si>
  <si>
    <t>Não há IFERROR a ocultar erros neste diagnóstico.</t>
  </si>
  <si>
    <t>O diagnóstico não prova que o problema original tem esta causa; compara os blocos suspeitos em Excel nativo.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</si>
</sst>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1F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8.7109375" customWidth="1"/>
    <col min="2" max="4" width="27.7109375" customWidth="1"/>
    <col min="5" max="5" width="7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ht="40" customHeight="1">
      <c r="A3" t="s">
        <v>5</v>
      </c>
      <c r="E3" t="s">
        <v>6</v>
      </c>
    </row>
    <row r="5" spans="1:5" ht="50" customHeight="1">
      <c r="A5" t="s">
        <v>385</v>
      </c>
      <c r="B5" s="2">
        <f>SUM('V06 Motor'!G5:G184)</f>
        <v>1</v>
      </c>
      <c r="C5" s="2">
        <f>SUM('V06 Motor'!H5:H184)</f>
        <v>1</v>
      </c>
      <c r="D5" t="b">
        <f>ABS(B5-C5)&lt;0.00001</f>
        <v>1</v>
      </c>
      <c r="E5" t="s">
        <v>7</v>
      </c>
    </row>
    <row r="6" spans="1:5">
      <c r="A6" t="s">
        <v>386</v>
      </c>
      <c r="B6" s="2">
        <f>SUM('V06 Motor'!O5:O184)</f>
        <v>50656336.37</v>
      </c>
      <c r="C6" s="2">
        <f>SUM('V06 Motor'!P5:P184)</f>
        <v>50656336.37</v>
      </c>
      <c r="D6" t="b">
        <f>ABS(B6-C6)&lt;0.00001</f>
        <v>1</v>
      </c>
    </row>
    <row r="7" spans="1:5" ht="45" customHeight="1">
      <c r="E7" t="s">
        <v>8</v>
      </c>
    </row>
    <row r="9" spans="1:5">
      <c r="A9" t="s">
        <v>387</v>
      </c>
      <c r="B9" s="2">
        <f>'V06 Motor'!G5</f>
        <v>0.01</v>
      </c>
      <c r="C9" s="2">
        <f>'V06 Motor'!H5</f>
        <v>0.01</v>
      </c>
      <c r="D9" t="b">
        <f>ABS(B9-C9)&lt;0.00001</f>
        <v>1</v>
      </c>
    </row>
    <row r="10" spans="1:5">
      <c r="A10" t="s">
        <v>388</v>
      </c>
      <c r="B10" s="2">
        <f>'V06 Motor'!O5</f>
        <v>2032938.89</v>
      </c>
      <c r="C10" s="2">
        <f>'V06 Motor'!P5</f>
        <v>2032938.89</v>
      </c>
      <c r="D10" t="b">
        <f>ABS(B10-C10)&lt;0.00001</f>
        <v>1</v>
      </c>
    </row>
    <row r="12" spans="1:5">
      <c r="A12" t="s">
        <v>389</v>
      </c>
      <c r="E12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5:B81"/>
  <sheetViews>
    <sheetView workbookViewId="0"/>
  </sheetViews>
  <sheetFormatPr defaultRowHeight="15"/>
  <sheetData>
    <row r="5" spans="1:2">
      <c r="A5" t="s">
        <v>9</v>
      </c>
      <c r="B5" t="s">
        <v>10</v>
      </c>
    </row>
    <row r="6" spans="1:2">
      <c r="A6" t="s">
        <v>11</v>
      </c>
      <c r="B6">
        <v>0.15</v>
      </c>
    </row>
    <row r="7" spans="1:2">
      <c r="A7" t="s">
        <v>12</v>
      </c>
      <c r="B7">
        <v>1</v>
      </c>
    </row>
    <row r="8" spans="1:2">
      <c r="A8" t="s">
        <v>13</v>
      </c>
      <c r="B8">
        <v>6</v>
      </c>
    </row>
    <row r="9" spans="1:2">
      <c r="A9" t="s">
        <v>14</v>
      </c>
      <c r="B9">
        <v>0.2</v>
      </c>
    </row>
    <row r="10" spans="1:2">
      <c r="A10" t="s">
        <v>15</v>
      </c>
      <c r="B10">
        <v>0</v>
      </c>
    </row>
    <row r="11" spans="1:2">
      <c r="A11" t="s">
        <v>16</v>
      </c>
      <c r="B11">
        <v>3</v>
      </c>
    </row>
    <row r="12" spans="1:2">
      <c r="A12" t="s">
        <v>17</v>
      </c>
      <c r="B12">
        <v>40100000</v>
      </c>
    </row>
    <row r="13" spans="1:2">
      <c r="A13" t="s">
        <v>18</v>
      </c>
      <c r="B13">
        <v>30</v>
      </c>
    </row>
    <row r="14" spans="1:2">
      <c r="A14" t="s">
        <v>19</v>
      </c>
      <c r="B14">
        <v>40100000</v>
      </c>
    </row>
    <row r="15" spans="1:2">
      <c r="A15" t="s">
        <v>20</v>
      </c>
      <c r="B15">
        <v>0</v>
      </c>
    </row>
    <row r="16" spans="1:2">
      <c r="A16" t="s">
        <v>21</v>
      </c>
      <c r="B16">
        <v>0.015</v>
      </c>
    </row>
    <row r="17" spans="1:2">
      <c r="A17" t="s">
        <v>22</v>
      </c>
      <c r="B17">
        <v>0</v>
      </c>
    </row>
    <row r="18" spans="1:2">
      <c r="A18" t="s">
        <v>23</v>
      </c>
      <c r="B18">
        <v>1</v>
      </c>
    </row>
    <row r="19" spans="1:2">
      <c r="A19" t="s">
        <v>24</v>
      </c>
      <c r="B19">
        <v>110.265</v>
      </c>
    </row>
    <row r="20" spans="1:2">
      <c r="A20" t="s">
        <v>25</v>
      </c>
      <c r="B20">
        <v>24000</v>
      </c>
    </row>
    <row r="21" spans="1:2">
      <c r="A21" t="s">
        <v>26</v>
      </c>
      <c r="B21">
        <v>3000</v>
      </c>
    </row>
    <row r="22" spans="1:2">
      <c r="A22" t="s">
        <v>27</v>
      </c>
      <c r="B22">
        <v>20000</v>
      </c>
    </row>
    <row r="23" spans="1:2">
      <c r="A23" t="s">
        <v>28</v>
      </c>
      <c r="B23">
        <v>24</v>
      </c>
    </row>
    <row r="24" spans="1:2">
      <c r="A24" t="s">
        <v>29</v>
      </c>
      <c r="B24">
        <v>3</v>
      </c>
    </row>
    <row r="25" spans="1:2">
      <c r="A25" t="s">
        <v>30</v>
      </c>
      <c r="B25">
        <v>0.003</v>
      </c>
    </row>
    <row r="26" spans="1:2">
      <c r="A26" t="s">
        <v>31</v>
      </c>
      <c r="B26">
        <v>0.0005</v>
      </c>
    </row>
    <row r="27" spans="1:2">
      <c r="A27" t="s">
        <v>32</v>
      </c>
      <c r="B27">
        <v>0</v>
      </c>
    </row>
    <row r="28" spans="1:2">
      <c r="A28" t="s">
        <v>33</v>
      </c>
      <c r="B28">
        <v>40100000</v>
      </c>
    </row>
    <row r="29" spans="1:2">
      <c r="A29" t="s">
        <v>34</v>
      </c>
      <c r="B29">
        <v>0.0035</v>
      </c>
    </row>
    <row r="30" spans="1:2">
      <c r="A30" t="s">
        <v>35</v>
      </c>
      <c r="B30">
        <v>0.0015</v>
      </c>
    </row>
    <row r="31" spans="1:2">
      <c r="A31" t="s">
        <v>36</v>
      </c>
      <c r="B31">
        <v>0.0015</v>
      </c>
    </row>
    <row r="32" spans="1:2">
      <c r="A32" t="s">
        <v>37</v>
      </c>
      <c r="B32">
        <v>15000</v>
      </c>
    </row>
    <row r="33" spans="1:2">
      <c r="A33" t="s">
        <v>38</v>
      </c>
      <c r="B33">
        <v>1</v>
      </c>
    </row>
    <row r="34" spans="1:2">
      <c r="A34" t="s">
        <v>39</v>
      </c>
      <c r="B34">
        <v>0</v>
      </c>
    </row>
    <row r="35" spans="1:2">
      <c r="A35" t="s">
        <v>40</v>
      </c>
      <c r="B35">
        <v>0</v>
      </c>
    </row>
    <row r="36" spans="1:2">
      <c r="A36" t="s">
        <v>41</v>
      </c>
      <c r="B36">
        <v>1</v>
      </c>
    </row>
    <row r="37" spans="1:2">
      <c r="A37" t="s">
        <v>42</v>
      </c>
      <c r="B37">
        <v>0</v>
      </c>
    </row>
    <row r="38" spans="1:2">
      <c r="A38" t="s">
        <v>43</v>
      </c>
      <c r="B38">
        <v>0</v>
      </c>
    </row>
    <row r="39" spans="1:2">
      <c r="A39" t="s">
        <v>44</v>
      </c>
      <c r="B39">
        <v>0</v>
      </c>
    </row>
    <row r="40" spans="1:2">
      <c r="A40" t="s">
        <v>45</v>
      </c>
      <c r="B40">
        <v>30000000</v>
      </c>
    </row>
    <row r="41" spans="1:2">
      <c r="A41" t="s">
        <v>46</v>
      </c>
      <c r="B41">
        <v>0.06</v>
      </c>
    </row>
    <row r="42" spans="1:2">
      <c r="A42" t="s">
        <v>47</v>
      </c>
      <c r="B42">
        <v>42</v>
      </c>
    </row>
    <row r="43" spans="1:2">
      <c r="A43" t="s">
        <v>48</v>
      </c>
      <c r="B43">
        <v>120</v>
      </c>
    </row>
    <row r="44" spans="1:2">
      <c r="A44" t="s">
        <v>49</v>
      </c>
      <c r="B44">
        <v>1</v>
      </c>
    </row>
    <row r="45" spans="1:2">
      <c r="A45" t="s">
        <v>50</v>
      </c>
      <c r="B45">
        <v>1</v>
      </c>
    </row>
    <row r="46" spans="1:2">
      <c r="A46" t="s">
        <v>51</v>
      </c>
      <c r="B46">
        <v>1</v>
      </c>
    </row>
    <row r="47" spans="1:2">
      <c r="A47" t="s">
        <v>52</v>
      </c>
      <c r="B47">
        <v>0.01</v>
      </c>
    </row>
    <row r="48" spans="1:2">
      <c r="A48" t="s">
        <v>53</v>
      </c>
      <c r="B48">
        <v>0.015</v>
      </c>
    </row>
    <row r="49" spans="1:2">
      <c r="A49" t="s">
        <v>54</v>
      </c>
      <c r="B49">
        <v>0.0125</v>
      </c>
    </row>
    <row r="50" spans="1:2">
      <c r="A50" t="s">
        <v>55</v>
      </c>
      <c r="B50">
        <v>0</v>
      </c>
    </row>
    <row r="51" spans="1:2">
      <c r="A51" t="s">
        <v>56</v>
      </c>
      <c r="B51">
        <v>2000000</v>
      </c>
    </row>
    <row r="52" spans="1:2">
      <c r="A52" t="s">
        <v>57</v>
      </c>
      <c r="B52">
        <v>3</v>
      </c>
    </row>
    <row r="53" spans="1:2">
      <c r="A53" t="s">
        <v>58</v>
      </c>
      <c r="B53">
        <v>1000000</v>
      </c>
    </row>
    <row r="54" spans="1:2">
      <c r="A54" t="s">
        <v>59</v>
      </c>
      <c r="B54" t="s">
        <v>60</v>
      </c>
    </row>
    <row r="55" spans="1:2">
      <c r="A55" t="s">
        <v>61</v>
      </c>
      <c r="B55">
        <v>0</v>
      </c>
    </row>
    <row r="56" spans="1:2">
      <c r="A56" t="s">
        <v>62</v>
      </c>
      <c r="B56">
        <v>180</v>
      </c>
    </row>
    <row r="57" spans="1:2">
      <c r="A57" t="s">
        <v>63</v>
      </c>
      <c r="B57" t="s">
        <v>64</v>
      </c>
    </row>
    <row r="58" spans="1:2">
      <c r="A58" t="s">
        <v>65</v>
      </c>
      <c r="B58">
        <v>1.2</v>
      </c>
    </row>
    <row r="59" spans="1:2">
      <c r="A59" t="s">
        <v>66</v>
      </c>
      <c r="B59" t="s">
        <v>67</v>
      </c>
    </row>
    <row r="60" spans="1:2">
      <c r="A60" t="s">
        <v>68</v>
      </c>
      <c r="B60">
        <v>0</v>
      </c>
    </row>
    <row r="61" spans="1:2">
      <c r="A61" t="s">
        <v>69</v>
      </c>
      <c r="B61">
        <v>0.5</v>
      </c>
    </row>
    <row r="62" spans="1:2">
      <c r="A62" t="s">
        <v>70</v>
      </c>
      <c r="B62">
        <v>12</v>
      </c>
    </row>
    <row r="63" spans="1:2">
      <c r="A63" t="s">
        <v>71</v>
      </c>
      <c r="B63">
        <v>0.02</v>
      </c>
    </row>
    <row r="64" spans="1:2">
      <c r="A64" t="s">
        <v>72</v>
      </c>
      <c r="B64">
        <v>180</v>
      </c>
    </row>
    <row r="65" spans="1:2">
      <c r="A65" t="s">
        <v>73</v>
      </c>
      <c r="B65">
        <v>0.12</v>
      </c>
    </row>
    <row r="66" spans="1:2">
      <c r="A66" t="s">
        <v>74</v>
      </c>
      <c r="B66">
        <v>0.1</v>
      </c>
    </row>
    <row r="67" spans="1:2">
      <c r="A67" t="s">
        <v>75</v>
      </c>
      <c r="B67" t="s">
        <v>76</v>
      </c>
    </row>
    <row r="68" spans="1:2">
      <c r="A68" t="s">
        <v>77</v>
      </c>
      <c r="B68">
        <v>0.03</v>
      </c>
    </row>
    <row r="69" spans="1:2">
      <c r="A69" t="s">
        <v>78</v>
      </c>
      <c r="B69">
        <v>0.03</v>
      </c>
    </row>
    <row r="70" spans="1:2">
      <c r="A70" t="s">
        <v>79</v>
      </c>
      <c r="B70">
        <v>0.06</v>
      </c>
    </row>
    <row r="71" spans="1:2">
      <c r="A71" t="s">
        <v>80</v>
      </c>
      <c r="B71">
        <v>0</v>
      </c>
    </row>
    <row r="72" spans="1:2">
      <c r="A72" t="s">
        <v>81</v>
      </c>
      <c r="B72">
        <v>0.0425</v>
      </c>
    </row>
    <row r="73" spans="1:2">
      <c r="A73" t="s">
        <v>82</v>
      </c>
      <c r="B73">
        <v>0.0025</v>
      </c>
    </row>
    <row r="74" spans="1:2">
      <c r="A74" t="s">
        <v>83</v>
      </c>
      <c r="B74" t="s">
        <v>84</v>
      </c>
    </row>
    <row r="75" spans="1:2">
      <c r="A75" t="s">
        <v>85</v>
      </c>
      <c r="B75">
        <v>0</v>
      </c>
    </row>
    <row r="76" spans="1:2">
      <c r="A76" t="s">
        <v>86</v>
      </c>
      <c r="B76">
        <v>0</v>
      </c>
    </row>
    <row r="77" spans="1:2">
      <c r="A77" t="s">
        <v>87</v>
      </c>
      <c r="B77">
        <v>0</v>
      </c>
    </row>
    <row r="78" spans="1:2">
      <c r="A78" t="s">
        <v>88</v>
      </c>
      <c r="B78">
        <v>0</v>
      </c>
    </row>
    <row r="79" spans="1:2">
      <c r="A79" t="s">
        <v>89</v>
      </c>
      <c r="B79">
        <v>0</v>
      </c>
    </row>
    <row r="80" spans="1:2">
      <c r="A80" t="s">
        <v>90</v>
      </c>
      <c r="B80">
        <v>0</v>
      </c>
    </row>
    <row r="81" spans="1:2">
      <c r="A81" t="s">
        <v>91</v>
      </c>
      <c r="B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B34"/>
  <sheetViews>
    <sheetView workbookViewId="0"/>
  </sheetViews>
  <sheetFormatPr defaultRowHeight="15"/>
  <sheetData>
    <row r="5" spans="1:2">
      <c r="A5">
        <v>1</v>
      </c>
      <c r="B5">
        <v>0.01</v>
      </c>
    </row>
    <row r="6" spans="1:2">
      <c r="A6">
        <v>2</v>
      </c>
      <c r="B6">
        <v>0.0124</v>
      </c>
    </row>
    <row r="7" spans="1:2">
      <c r="A7">
        <v>3</v>
      </c>
      <c r="B7">
        <v>0.0184</v>
      </c>
    </row>
    <row r="8" spans="1:2">
      <c r="A8">
        <v>4</v>
      </c>
      <c r="B8">
        <v>0.02345</v>
      </c>
    </row>
    <row r="9" spans="1:2">
      <c r="A9">
        <v>5</v>
      </c>
      <c r="B9">
        <v>0.0265</v>
      </c>
    </row>
    <row r="10" spans="1:2">
      <c r="A10">
        <v>6</v>
      </c>
      <c r="B10">
        <v>0.0225</v>
      </c>
    </row>
    <row r="11" spans="1:2">
      <c r="A11">
        <v>7</v>
      </c>
      <c r="B11">
        <v>0.0141</v>
      </c>
    </row>
    <row r="12" spans="1:2">
      <c r="A12">
        <v>8</v>
      </c>
      <c r="B12">
        <v>0.0141</v>
      </c>
    </row>
    <row r="13" spans="1:2">
      <c r="A13">
        <v>9</v>
      </c>
      <c r="B13">
        <v>0.0147</v>
      </c>
    </row>
    <row r="14" spans="1:2">
      <c r="A14">
        <v>10</v>
      </c>
      <c r="B14">
        <v>0.0134</v>
      </c>
    </row>
    <row r="15" spans="1:2">
      <c r="A15">
        <v>11</v>
      </c>
      <c r="B15">
        <v>0.0188</v>
      </c>
    </row>
    <row r="16" spans="1:2">
      <c r="A16">
        <v>12</v>
      </c>
      <c r="B16">
        <v>0.0256</v>
      </c>
    </row>
    <row r="17" spans="1:2">
      <c r="A17">
        <v>13</v>
      </c>
      <c r="B17">
        <v>0.04045</v>
      </c>
    </row>
    <row r="18" spans="1:2">
      <c r="A18">
        <v>14</v>
      </c>
      <c r="B18">
        <v>0.040905</v>
      </c>
    </row>
    <row r="19" spans="1:2">
      <c r="A19">
        <v>15</v>
      </c>
      <c r="B19">
        <v>0.044355</v>
      </c>
    </row>
    <row r="20" spans="1:2">
      <c r="A20">
        <v>16</v>
      </c>
      <c r="B20">
        <v>0.051305</v>
      </c>
    </row>
    <row r="21" spans="1:2">
      <c r="A21">
        <v>17</v>
      </c>
      <c r="B21">
        <v>0.043105</v>
      </c>
    </row>
    <row r="22" spans="1:2">
      <c r="A22">
        <v>18</v>
      </c>
      <c r="B22">
        <v>0.043505</v>
      </c>
    </row>
    <row r="23" spans="1:2">
      <c r="A23">
        <v>19</v>
      </c>
      <c r="B23">
        <v>0.049805</v>
      </c>
    </row>
    <row r="24" spans="1:2">
      <c r="A24">
        <v>20</v>
      </c>
      <c r="B24">
        <v>0.051105</v>
      </c>
    </row>
    <row r="25" spans="1:2">
      <c r="A25">
        <v>21</v>
      </c>
      <c r="B25">
        <v>0.091005</v>
      </c>
    </row>
    <row r="26" spans="1:2">
      <c r="A26">
        <v>22</v>
      </c>
      <c r="B26">
        <v>0.06596</v>
      </c>
    </row>
    <row r="27" spans="1:2">
      <c r="A27">
        <v>23</v>
      </c>
      <c r="B27">
        <v>0.0369</v>
      </c>
    </row>
    <row r="28" spans="1:2">
      <c r="A28">
        <v>24</v>
      </c>
      <c r="B28">
        <v>0.0541</v>
      </c>
    </row>
    <row r="29" spans="1:2">
      <c r="A29">
        <v>25</v>
      </c>
      <c r="B29">
        <v>0.05755</v>
      </c>
    </row>
    <row r="30" spans="1:2">
      <c r="A30">
        <v>26</v>
      </c>
      <c r="B30">
        <v>0.03215</v>
      </c>
    </row>
    <row r="31" spans="1:2">
      <c r="A31">
        <v>27</v>
      </c>
      <c r="B31">
        <v>0.05225</v>
      </c>
    </row>
    <row r="32" spans="1:2">
      <c r="A32">
        <v>28</v>
      </c>
      <c r="B32">
        <v>0.0186</v>
      </c>
    </row>
    <row r="33" spans="1:2">
      <c r="A33">
        <v>29</v>
      </c>
      <c r="B33">
        <v>0.012</v>
      </c>
    </row>
    <row r="34" spans="1:2">
      <c r="A34">
        <v>30</v>
      </c>
      <c r="B3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L98"/>
  <sheetViews>
    <sheetView workbookViewId="0"/>
  </sheetViews>
  <sheetFormatPr defaultRowHeight="15"/>
  <sheetData>
    <row r="5" spans="1:12">
      <c r="A5" t="s">
        <v>92</v>
      </c>
      <c r="H5">
        <v>552000</v>
      </c>
      <c r="I5">
        <v>1</v>
      </c>
      <c r="L5">
        <v>28</v>
      </c>
    </row>
    <row r="6" spans="1:12">
      <c r="A6" t="s">
        <v>93</v>
      </c>
      <c r="H6">
        <v>402500</v>
      </c>
      <c r="I6">
        <v>1</v>
      </c>
      <c r="L6">
        <v>29</v>
      </c>
    </row>
    <row r="7" spans="1:12">
      <c r="A7" t="s">
        <v>94</v>
      </c>
      <c r="H7">
        <v>253000</v>
      </c>
      <c r="I7">
        <v>1</v>
      </c>
      <c r="L7">
        <v>30</v>
      </c>
    </row>
    <row r="8" spans="1:12">
      <c r="A8" t="s">
        <v>95</v>
      </c>
      <c r="H8">
        <v>253000</v>
      </c>
      <c r="I8">
        <v>1</v>
      </c>
      <c r="L8">
        <v>28</v>
      </c>
    </row>
    <row r="9" spans="1:12">
      <c r="A9" t="s">
        <v>96</v>
      </c>
      <c r="H9">
        <v>402500</v>
      </c>
      <c r="I9">
        <v>1</v>
      </c>
      <c r="L9">
        <v>29</v>
      </c>
    </row>
    <row r="10" spans="1:12">
      <c r="A10" t="s">
        <v>97</v>
      </c>
      <c r="H10">
        <v>408250</v>
      </c>
      <c r="I10">
        <v>1</v>
      </c>
      <c r="L10">
        <v>30</v>
      </c>
    </row>
    <row r="11" spans="1:12">
      <c r="A11" t="s">
        <v>98</v>
      </c>
      <c r="H11">
        <v>253000</v>
      </c>
      <c r="I11">
        <v>1</v>
      </c>
      <c r="L11">
        <v>28</v>
      </c>
    </row>
    <row r="12" spans="1:12">
      <c r="A12" t="s">
        <v>99</v>
      </c>
      <c r="H12">
        <v>253000</v>
      </c>
      <c r="I12">
        <v>1</v>
      </c>
      <c r="L12">
        <v>29</v>
      </c>
    </row>
    <row r="13" spans="1:12">
      <c r="A13" t="s">
        <v>100</v>
      </c>
      <c r="H13">
        <v>402500</v>
      </c>
      <c r="I13">
        <v>4</v>
      </c>
      <c r="L13">
        <v>30</v>
      </c>
    </row>
    <row r="14" spans="1:12">
      <c r="A14" t="s">
        <v>101</v>
      </c>
      <c r="H14">
        <v>552000</v>
      </c>
      <c r="I14">
        <v>4</v>
      </c>
      <c r="L14">
        <v>28</v>
      </c>
    </row>
    <row r="15" spans="1:12">
      <c r="A15" t="s">
        <v>102</v>
      </c>
      <c r="H15">
        <v>563040</v>
      </c>
      <c r="I15">
        <v>4</v>
      </c>
      <c r="L15">
        <v>29</v>
      </c>
    </row>
    <row r="16" spans="1:12">
      <c r="A16" t="s">
        <v>103</v>
      </c>
      <c r="H16">
        <v>410550</v>
      </c>
      <c r="I16">
        <v>4</v>
      </c>
      <c r="L16">
        <v>30</v>
      </c>
    </row>
    <row r="17" spans="1:12">
      <c r="A17" t="s">
        <v>104</v>
      </c>
      <c r="H17">
        <v>258060</v>
      </c>
      <c r="I17">
        <v>7</v>
      </c>
      <c r="L17">
        <v>28</v>
      </c>
    </row>
    <row r="18" spans="1:12">
      <c r="A18" t="s">
        <v>105</v>
      </c>
      <c r="H18">
        <v>258060</v>
      </c>
      <c r="I18">
        <v>7</v>
      </c>
      <c r="L18">
        <v>29</v>
      </c>
    </row>
    <row r="19" spans="1:12">
      <c r="A19" t="s">
        <v>106</v>
      </c>
      <c r="H19">
        <v>410550</v>
      </c>
      <c r="I19">
        <v>7</v>
      </c>
      <c r="L19">
        <v>30</v>
      </c>
    </row>
    <row r="20" spans="1:12">
      <c r="A20" t="s">
        <v>107</v>
      </c>
      <c r="H20">
        <v>416415</v>
      </c>
      <c r="I20">
        <v>7</v>
      </c>
      <c r="L20">
        <v>28</v>
      </c>
    </row>
    <row r="21" spans="1:12">
      <c r="A21" t="s">
        <v>108</v>
      </c>
      <c r="H21">
        <v>258060</v>
      </c>
      <c r="I21">
        <v>10</v>
      </c>
      <c r="L21">
        <v>29</v>
      </c>
    </row>
    <row r="22" spans="1:12">
      <c r="A22" t="s">
        <v>109</v>
      </c>
      <c r="H22">
        <v>258060</v>
      </c>
      <c r="I22">
        <v>10</v>
      </c>
      <c r="L22">
        <v>30</v>
      </c>
    </row>
    <row r="23" spans="1:12">
      <c r="A23" t="s">
        <v>110</v>
      </c>
      <c r="H23">
        <v>410550</v>
      </c>
      <c r="I23">
        <v>10</v>
      </c>
      <c r="L23">
        <v>28</v>
      </c>
    </row>
    <row r="24" spans="1:12">
      <c r="A24" t="s">
        <v>111</v>
      </c>
      <c r="H24">
        <v>563040</v>
      </c>
      <c r="I24">
        <v>10</v>
      </c>
      <c r="L24">
        <v>29</v>
      </c>
    </row>
    <row r="25" spans="1:12">
      <c r="A25" t="s">
        <v>112</v>
      </c>
      <c r="H25">
        <v>585561.6</v>
      </c>
      <c r="I25">
        <v>13</v>
      </c>
      <c r="L25">
        <v>30</v>
      </c>
    </row>
    <row r="26" spans="1:12">
      <c r="A26" t="s">
        <v>113</v>
      </c>
      <c r="H26">
        <v>426972</v>
      </c>
      <c r="I26">
        <v>13</v>
      </c>
      <c r="L26">
        <v>28</v>
      </c>
    </row>
    <row r="27" spans="1:12">
      <c r="A27" t="s">
        <v>114</v>
      </c>
      <c r="H27">
        <v>268382.4</v>
      </c>
      <c r="I27">
        <v>13</v>
      </c>
      <c r="L27">
        <v>29</v>
      </c>
    </row>
    <row r="28" spans="1:12">
      <c r="A28" t="s">
        <v>115</v>
      </c>
      <c r="H28">
        <v>268382.4</v>
      </c>
      <c r="I28">
        <v>13</v>
      </c>
      <c r="L28">
        <v>30</v>
      </c>
    </row>
    <row r="29" spans="1:12">
      <c r="A29" t="s">
        <v>116</v>
      </c>
      <c r="H29">
        <v>426972</v>
      </c>
      <c r="I29">
        <v>16</v>
      </c>
      <c r="L29">
        <v>28</v>
      </c>
    </row>
    <row r="30" spans="1:12">
      <c r="A30" t="s">
        <v>117</v>
      </c>
      <c r="H30">
        <v>433071.6</v>
      </c>
      <c r="I30">
        <v>16</v>
      </c>
      <c r="L30">
        <v>29</v>
      </c>
    </row>
    <row r="31" spans="1:12">
      <c r="A31" t="s">
        <v>118</v>
      </c>
      <c r="H31">
        <v>268382.4</v>
      </c>
      <c r="I31">
        <v>16</v>
      </c>
      <c r="L31">
        <v>30</v>
      </c>
    </row>
    <row r="32" spans="1:12">
      <c r="A32" t="s">
        <v>119</v>
      </c>
      <c r="H32">
        <v>268382.4</v>
      </c>
      <c r="I32">
        <v>16</v>
      </c>
      <c r="L32">
        <v>28</v>
      </c>
    </row>
    <row r="33" spans="1:12">
      <c r="A33" t="s">
        <v>120</v>
      </c>
      <c r="H33">
        <v>426972</v>
      </c>
      <c r="I33">
        <v>19</v>
      </c>
      <c r="L33">
        <v>29</v>
      </c>
    </row>
    <row r="34" spans="1:12">
      <c r="A34" t="s">
        <v>121</v>
      </c>
      <c r="H34">
        <v>585561.6</v>
      </c>
      <c r="I34">
        <v>19</v>
      </c>
      <c r="L34">
        <v>30</v>
      </c>
    </row>
    <row r="35" spans="1:12">
      <c r="A35" t="s">
        <v>122</v>
      </c>
      <c r="H35">
        <v>620695.3</v>
      </c>
      <c r="I35">
        <v>19</v>
      </c>
      <c r="L35">
        <v>28</v>
      </c>
    </row>
    <row r="36" spans="1:12">
      <c r="A36" t="s">
        <v>123</v>
      </c>
      <c r="H36">
        <v>452590.32</v>
      </c>
      <c r="I36">
        <v>19</v>
      </c>
      <c r="L36">
        <v>29</v>
      </c>
    </row>
    <row r="37" spans="1:12">
      <c r="A37" t="s">
        <v>124</v>
      </c>
      <c r="H37">
        <v>284485.34</v>
      </c>
      <c r="I37">
        <v>22</v>
      </c>
      <c r="L37">
        <v>30</v>
      </c>
    </row>
    <row r="38" spans="1:12">
      <c r="A38" t="s">
        <v>125</v>
      </c>
      <c r="H38">
        <v>284485.34</v>
      </c>
      <c r="I38">
        <v>22</v>
      </c>
      <c r="L38">
        <v>29</v>
      </c>
    </row>
    <row r="39" spans="1:12">
      <c r="A39" t="s">
        <v>126</v>
      </c>
      <c r="H39">
        <v>452590.32</v>
      </c>
      <c r="I39">
        <v>22</v>
      </c>
      <c r="L39">
        <v>29</v>
      </c>
    </row>
    <row r="40" spans="1:12">
      <c r="A40" t="s">
        <v>127</v>
      </c>
      <c r="H40">
        <v>459055.9</v>
      </c>
      <c r="I40">
        <v>22</v>
      </c>
      <c r="L40">
        <v>30</v>
      </c>
    </row>
    <row r="41" spans="1:12">
      <c r="A41" t="s">
        <v>128</v>
      </c>
      <c r="H41">
        <v>284485.34</v>
      </c>
      <c r="I41">
        <v>1</v>
      </c>
      <c r="L41">
        <v>28</v>
      </c>
    </row>
    <row r="42" spans="1:12">
      <c r="A42" t="s">
        <v>129</v>
      </c>
      <c r="H42">
        <v>284485.34</v>
      </c>
      <c r="I42">
        <v>1</v>
      </c>
      <c r="L42">
        <v>29</v>
      </c>
    </row>
    <row r="43" spans="1:12">
      <c r="A43" t="s">
        <v>130</v>
      </c>
      <c r="H43">
        <v>452590.32</v>
      </c>
      <c r="I43">
        <v>1</v>
      </c>
      <c r="L43">
        <v>30</v>
      </c>
    </row>
    <row r="44" spans="1:12">
      <c r="A44" t="s">
        <v>131</v>
      </c>
      <c r="H44">
        <v>620695.3</v>
      </c>
      <c r="I44">
        <v>1</v>
      </c>
      <c r="L44">
        <v>28</v>
      </c>
    </row>
    <row r="45" spans="1:12">
      <c r="A45" t="s">
        <v>132</v>
      </c>
      <c r="H45">
        <v>670350.92</v>
      </c>
      <c r="I45">
        <v>1</v>
      </c>
      <c r="L45">
        <v>29</v>
      </c>
    </row>
    <row r="46" spans="1:12">
      <c r="A46" t="s">
        <v>133</v>
      </c>
      <c r="H46">
        <v>488797.55</v>
      </c>
      <c r="I46">
        <v>1</v>
      </c>
      <c r="L46">
        <v>30</v>
      </c>
    </row>
    <row r="47" spans="1:12">
      <c r="A47" t="s">
        <v>134</v>
      </c>
      <c r="H47">
        <v>307244.17</v>
      </c>
      <c r="I47">
        <v>1</v>
      </c>
      <c r="L47">
        <v>28</v>
      </c>
    </row>
    <row r="48" spans="1:12">
      <c r="A48" t="s">
        <v>135</v>
      </c>
      <c r="H48">
        <v>307244.17</v>
      </c>
      <c r="I48">
        <v>4</v>
      </c>
      <c r="L48">
        <v>29</v>
      </c>
    </row>
    <row r="49" spans="1:12">
      <c r="A49" t="s">
        <v>136</v>
      </c>
      <c r="H49">
        <v>488797.55</v>
      </c>
      <c r="I49">
        <v>4</v>
      </c>
      <c r="L49">
        <v>30</v>
      </c>
    </row>
    <row r="50" spans="1:12">
      <c r="A50" t="s">
        <v>137</v>
      </c>
      <c r="H50">
        <v>495780.37</v>
      </c>
      <c r="I50">
        <v>4</v>
      </c>
      <c r="L50">
        <v>28</v>
      </c>
    </row>
    <row r="51" spans="1:12">
      <c r="A51" t="s">
        <v>138</v>
      </c>
      <c r="H51">
        <v>307244.17</v>
      </c>
      <c r="I51">
        <v>4</v>
      </c>
      <c r="L51">
        <v>29</v>
      </c>
    </row>
    <row r="52" spans="1:12">
      <c r="A52" t="s">
        <v>139</v>
      </c>
      <c r="H52">
        <v>307244.17</v>
      </c>
      <c r="I52">
        <v>4</v>
      </c>
      <c r="L52">
        <v>30</v>
      </c>
    </row>
    <row r="53" spans="1:12">
      <c r="A53" t="s">
        <v>140</v>
      </c>
      <c r="H53">
        <v>488797.55</v>
      </c>
      <c r="I53">
        <v>7</v>
      </c>
      <c r="L53">
        <v>28</v>
      </c>
    </row>
    <row r="54" spans="1:12">
      <c r="A54" t="s">
        <v>141</v>
      </c>
      <c r="H54">
        <v>670350.92</v>
      </c>
      <c r="I54">
        <v>7</v>
      </c>
      <c r="L54">
        <v>29</v>
      </c>
    </row>
    <row r="55" spans="1:12">
      <c r="A55" t="s">
        <v>142</v>
      </c>
      <c r="H55">
        <v>737386.01</v>
      </c>
      <c r="I55">
        <v>7</v>
      </c>
      <c r="L55">
        <v>30</v>
      </c>
    </row>
    <row r="56" spans="1:12">
      <c r="A56" t="s">
        <v>143</v>
      </c>
      <c r="H56">
        <v>537677.3</v>
      </c>
      <c r="I56">
        <v>7</v>
      </c>
      <c r="L56">
        <v>28</v>
      </c>
    </row>
    <row r="57" spans="1:12">
      <c r="A57" t="s">
        <v>144</v>
      </c>
      <c r="H57">
        <v>337968.59</v>
      </c>
      <c r="I57">
        <v>10</v>
      </c>
      <c r="L57">
        <v>29</v>
      </c>
    </row>
    <row r="58" spans="1:12">
      <c r="A58" t="s">
        <v>145</v>
      </c>
      <c r="H58">
        <v>337968.59</v>
      </c>
      <c r="I58">
        <v>10</v>
      </c>
      <c r="L58">
        <v>30</v>
      </c>
    </row>
    <row r="59" spans="1:12">
      <c r="A59" t="s">
        <v>146</v>
      </c>
      <c r="H59">
        <v>537677.3</v>
      </c>
      <c r="I59">
        <v>10</v>
      </c>
      <c r="L59">
        <v>28</v>
      </c>
    </row>
    <row r="60" spans="1:12">
      <c r="A60" t="s">
        <v>147</v>
      </c>
      <c r="H60">
        <v>545358.4</v>
      </c>
      <c r="I60">
        <v>10</v>
      </c>
      <c r="L60">
        <v>29</v>
      </c>
    </row>
    <row r="61" spans="1:12">
      <c r="A61" t="s">
        <v>148</v>
      </c>
      <c r="H61">
        <v>337968.59</v>
      </c>
      <c r="I61">
        <v>13</v>
      </c>
      <c r="L61">
        <v>30</v>
      </c>
    </row>
    <row r="62" spans="1:12">
      <c r="A62" t="s">
        <v>149</v>
      </c>
      <c r="H62">
        <v>337968.59</v>
      </c>
      <c r="I62">
        <v>13</v>
      </c>
      <c r="L62">
        <v>28</v>
      </c>
    </row>
    <row r="63" spans="1:12">
      <c r="A63" t="s">
        <v>150</v>
      </c>
      <c r="H63">
        <v>537677.3</v>
      </c>
      <c r="I63">
        <v>13</v>
      </c>
      <c r="L63">
        <v>29</v>
      </c>
    </row>
    <row r="64" spans="1:12">
      <c r="A64" t="s">
        <v>151</v>
      </c>
      <c r="H64">
        <v>737386.01</v>
      </c>
      <c r="I64">
        <v>13</v>
      </c>
      <c r="L64">
        <v>30</v>
      </c>
    </row>
    <row r="65" spans="1:12">
      <c r="A65" t="s">
        <v>152</v>
      </c>
      <c r="H65">
        <v>825872.33</v>
      </c>
      <c r="I65">
        <v>16</v>
      </c>
      <c r="L65">
        <v>28</v>
      </c>
    </row>
    <row r="66" spans="1:12">
      <c r="A66" t="s">
        <v>153</v>
      </c>
      <c r="H66">
        <v>602198.58</v>
      </c>
      <c r="I66">
        <v>16</v>
      </c>
      <c r="L66">
        <v>29</v>
      </c>
    </row>
    <row r="67" spans="1:12">
      <c r="A67" t="s">
        <v>154</v>
      </c>
      <c r="H67">
        <v>378524.82</v>
      </c>
      <c r="I67">
        <v>16</v>
      </c>
      <c r="L67">
        <v>30</v>
      </c>
    </row>
    <row r="68" spans="1:12">
      <c r="A68" t="s">
        <v>155</v>
      </c>
      <c r="H68">
        <v>378524.82</v>
      </c>
      <c r="I68">
        <v>16</v>
      </c>
      <c r="L68">
        <v>28</v>
      </c>
    </row>
    <row r="69" spans="1:12">
      <c r="A69" t="s">
        <v>156</v>
      </c>
      <c r="H69">
        <v>602198.58</v>
      </c>
      <c r="I69">
        <v>19</v>
      </c>
      <c r="L69">
        <v>29</v>
      </c>
    </row>
    <row r="70" spans="1:12">
      <c r="A70" t="s">
        <v>157</v>
      </c>
      <c r="H70">
        <v>610801.41</v>
      </c>
      <c r="I70">
        <v>19</v>
      </c>
      <c r="L70">
        <v>30</v>
      </c>
    </row>
    <row r="71" spans="1:12">
      <c r="A71" t="s">
        <v>158</v>
      </c>
      <c r="H71">
        <v>378524.82</v>
      </c>
      <c r="I71">
        <v>19</v>
      </c>
      <c r="L71">
        <v>28</v>
      </c>
    </row>
    <row r="72" spans="1:12">
      <c r="A72" t="s">
        <v>159</v>
      </c>
      <c r="H72">
        <v>378524.82</v>
      </c>
      <c r="I72">
        <v>19</v>
      </c>
      <c r="L72">
        <v>29</v>
      </c>
    </row>
    <row r="73" spans="1:12">
      <c r="A73" t="s">
        <v>160</v>
      </c>
      <c r="H73">
        <v>602198.58</v>
      </c>
      <c r="I73">
        <v>22</v>
      </c>
      <c r="L73">
        <v>30</v>
      </c>
    </row>
    <row r="74" spans="1:12">
      <c r="A74" t="s">
        <v>161</v>
      </c>
      <c r="H74">
        <v>825872.33</v>
      </c>
      <c r="I74">
        <v>22</v>
      </c>
      <c r="L74">
        <v>29</v>
      </c>
    </row>
    <row r="75" spans="1:12">
      <c r="A75" t="s">
        <v>162</v>
      </c>
      <c r="H75">
        <v>941494.46</v>
      </c>
      <c r="I75">
        <v>22</v>
      </c>
      <c r="L75">
        <v>29</v>
      </c>
    </row>
    <row r="76" spans="1:12">
      <c r="A76" t="s">
        <v>163</v>
      </c>
      <c r="H76">
        <v>686506.38</v>
      </c>
      <c r="I76">
        <v>22</v>
      </c>
      <c r="L76">
        <v>30</v>
      </c>
    </row>
    <row r="77" spans="1:12">
      <c r="A77" t="s">
        <v>164</v>
      </c>
      <c r="H77">
        <v>431518.29</v>
      </c>
      <c r="I77">
        <v>1</v>
      </c>
      <c r="L77">
        <v>28</v>
      </c>
    </row>
    <row r="78" spans="1:12">
      <c r="A78" t="s">
        <v>165</v>
      </c>
      <c r="H78">
        <v>431518.29</v>
      </c>
      <c r="I78">
        <v>1</v>
      </c>
      <c r="L78">
        <v>29</v>
      </c>
    </row>
    <row r="79" spans="1:12">
      <c r="A79" t="s">
        <v>166</v>
      </c>
      <c r="H79">
        <v>686506.38</v>
      </c>
      <c r="I79">
        <v>1</v>
      </c>
      <c r="L79">
        <v>30</v>
      </c>
    </row>
    <row r="80" spans="1:12">
      <c r="A80" t="s">
        <v>167</v>
      </c>
      <c r="H80">
        <v>696313.61</v>
      </c>
      <c r="I80">
        <v>1</v>
      </c>
      <c r="L80">
        <v>28</v>
      </c>
    </row>
    <row r="81" spans="1:12">
      <c r="A81" t="s">
        <v>168</v>
      </c>
      <c r="H81">
        <v>431518.29</v>
      </c>
      <c r="I81">
        <v>4</v>
      </c>
      <c r="L81">
        <v>29</v>
      </c>
    </row>
    <row r="82" spans="1:12">
      <c r="A82" t="s">
        <v>169</v>
      </c>
      <c r="H82">
        <v>431518.29</v>
      </c>
      <c r="I82">
        <v>4</v>
      </c>
      <c r="L82">
        <v>30</v>
      </c>
    </row>
    <row r="83" spans="1:12">
      <c r="A83" t="s">
        <v>170</v>
      </c>
      <c r="H83">
        <v>686506.38</v>
      </c>
      <c r="I83">
        <v>7</v>
      </c>
      <c r="L83">
        <v>28</v>
      </c>
    </row>
    <row r="84" spans="1:12">
      <c r="A84" t="s">
        <v>171</v>
      </c>
      <c r="H84">
        <v>941494.46</v>
      </c>
      <c r="I84">
        <v>7</v>
      </c>
      <c r="L84">
        <v>29</v>
      </c>
    </row>
    <row r="85" spans="1:12">
      <c r="A85" t="s">
        <v>172</v>
      </c>
      <c r="H85">
        <v>1092133.57</v>
      </c>
      <c r="I85">
        <v>10</v>
      </c>
      <c r="L85">
        <v>30</v>
      </c>
    </row>
    <row r="86" spans="1:12">
      <c r="A86" t="s">
        <v>173</v>
      </c>
      <c r="H86">
        <v>796347.4</v>
      </c>
      <c r="I86">
        <v>10</v>
      </c>
      <c r="L86">
        <v>28</v>
      </c>
    </row>
    <row r="87" spans="1:12">
      <c r="A87" t="s">
        <v>174</v>
      </c>
      <c r="H87">
        <v>500561.22</v>
      </c>
      <c r="I87">
        <v>13</v>
      </c>
      <c r="L87">
        <v>29</v>
      </c>
    </row>
    <row r="88" spans="1:12">
      <c r="A88" t="s">
        <v>175</v>
      </c>
      <c r="H88">
        <v>500561.22</v>
      </c>
      <c r="I88">
        <v>13</v>
      </c>
      <c r="L88">
        <v>30</v>
      </c>
    </row>
    <row r="89" spans="1:12">
      <c r="A89" t="s">
        <v>176</v>
      </c>
      <c r="H89">
        <v>796347.4</v>
      </c>
      <c r="I89">
        <v>16</v>
      </c>
      <c r="L89">
        <v>28</v>
      </c>
    </row>
    <row r="90" spans="1:12">
      <c r="A90" t="s">
        <v>177</v>
      </c>
      <c r="H90">
        <v>807723.79</v>
      </c>
      <c r="I90">
        <v>16</v>
      </c>
      <c r="L90">
        <v>29</v>
      </c>
    </row>
    <row r="91" spans="1:12">
      <c r="A91" t="s">
        <v>178</v>
      </c>
      <c r="H91">
        <v>500561.22</v>
      </c>
      <c r="I91">
        <v>19</v>
      </c>
      <c r="L91">
        <v>30</v>
      </c>
    </row>
    <row r="92" spans="1:12">
      <c r="A92" t="s">
        <v>179</v>
      </c>
      <c r="H92">
        <v>500561.22</v>
      </c>
      <c r="I92">
        <v>19</v>
      </c>
      <c r="L92">
        <v>28</v>
      </c>
    </row>
    <row r="93" spans="1:12">
      <c r="A93" t="s">
        <v>180</v>
      </c>
      <c r="H93">
        <v>796347.4</v>
      </c>
      <c r="I93">
        <v>22</v>
      </c>
      <c r="L93">
        <v>29</v>
      </c>
    </row>
    <row r="94" spans="1:12">
      <c r="A94" t="s">
        <v>181</v>
      </c>
      <c r="H94">
        <v>1092133.57</v>
      </c>
      <c r="I94">
        <v>22</v>
      </c>
      <c r="L94">
        <v>30</v>
      </c>
    </row>
    <row r="95" spans="1:12">
      <c r="A95" t="s">
        <v>182</v>
      </c>
      <c r="H95">
        <v>1550000</v>
      </c>
      <c r="I95">
        <v>22</v>
      </c>
      <c r="L95">
        <v>30</v>
      </c>
    </row>
    <row r="96" spans="1:12">
      <c r="A96" t="s">
        <v>183</v>
      </c>
      <c r="H96">
        <v>1515000</v>
      </c>
      <c r="I96">
        <v>22</v>
      </c>
      <c r="L96">
        <v>30</v>
      </c>
    </row>
    <row r="97" spans="1:12">
      <c r="A97" t="s">
        <v>184</v>
      </c>
      <c r="H97">
        <v>1520000</v>
      </c>
      <c r="I97">
        <v>22</v>
      </c>
      <c r="L97">
        <v>30</v>
      </c>
    </row>
    <row r="98" spans="1:12">
      <c r="A98" t="s">
        <v>185</v>
      </c>
      <c r="H98">
        <v>1530100</v>
      </c>
      <c r="I98">
        <v>22</v>
      </c>
      <c r="L98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4:GJ9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193" width="19.7109375" customWidth="1"/>
  </cols>
  <sheetData>
    <row r="4" spans="1:192" ht="30" customHeight="1">
      <c r="A4" s="1" t="s">
        <v>186</v>
      </c>
      <c r="B4" s="1" t="s">
        <v>187</v>
      </c>
      <c r="C4" s="1" t="s">
        <v>188</v>
      </c>
      <c r="D4" s="1" t="s">
        <v>189</v>
      </c>
      <c r="E4" s="1" t="s">
        <v>190</v>
      </c>
      <c r="F4" s="1" t="s">
        <v>191</v>
      </c>
      <c r="G4" s="1" t="s">
        <v>192</v>
      </c>
      <c r="H4" s="1" t="s">
        <v>193</v>
      </c>
      <c r="I4" s="1" t="s">
        <v>194</v>
      </c>
      <c r="J4" s="1" t="s">
        <v>195</v>
      </c>
      <c r="K4" s="1" t="s">
        <v>196</v>
      </c>
      <c r="L4" s="1" t="s">
        <v>197</v>
      </c>
      <c r="M4" s="1" t="s">
        <v>198</v>
      </c>
      <c r="N4" s="1" t="s">
        <v>199</v>
      </c>
      <c r="O4" s="1" t="s">
        <v>200</v>
      </c>
      <c r="P4" s="1" t="s">
        <v>201</v>
      </c>
      <c r="Q4" s="1" t="s">
        <v>202</v>
      </c>
      <c r="R4" s="1" t="s">
        <v>203</v>
      </c>
      <c r="S4" s="1" t="s">
        <v>204</v>
      </c>
      <c r="T4" s="1" t="s">
        <v>205</v>
      </c>
      <c r="U4" s="1" t="s">
        <v>206</v>
      </c>
      <c r="V4" s="1" t="s">
        <v>207</v>
      </c>
      <c r="W4" s="1" t="s">
        <v>208</v>
      </c>
      <c r="X4" s="1" t="s">
        <v>209</v>
      </c>
      <c r="Y4" s="1" t="s">
        <v>210</v>
      </c>
      <c r="Z4" s="1" t="s">
        <v>211</v>
      </c>
      <c r="AA4" s="1" t="s">
        <v>212</v>
      </c>
      <c r="AB4" s="1" t="s">
        <v>213</v>
      </c>
      <c r="AC4" s="1" t="s">
        <v>214</v>
      </c>
      <c r="AD4" s="1" t="s">
        <v>215</v>
      </c>
      <c r="AE4" s="1" t="s">
        <v>216</v>
      </c>
      <c r="AF4" s="1" t="s">
        <v>217</v>
      </c>
      <c r="AG4" s="1" t="s">
        <v>218</v>
      </c>
      <c r="AH4" s="1" t="s">
        <v>219</v>
      </c>
      <c r="AI4" s="1" t="s">
        <v>220</v>
      </c>
      <c r="AJ4" s="1" t="s">
        <v>221</v>
      </c>
      <c r="AK4" s="1" t="s">
        <v>222</v>
      </c>
      <c r="AL4" s="1" t="s">
        <v>223</v>
      </c>
      <c r="AM4" s="1" t="s">
        <v>224</v>
      </c>
      <c r="AN4" s="1" t="s">
        <v>225</v>
      </c>
      <c r="AO4" s="1" t="s">
        <v>226</v>
      </c>
      <c r="AP4" s="1" t="s">
        <v>227</v>
      </c>
      <c r="AQ4" s="1" t="s">
        <v>228</v>
      </c>
      <c r="AR4" s="1" t="s">
        <v>229</v>
      </c>
      <c r="AS4" s="1" t="s">
        <v>230</v>
      </c>
      <c r="AT4" s="1" t="s">
        <v>231</v>
      </c>
      <c r="AU4" s="1" t="s">
        <v>232</v>
      </c>
      <c r="AV4" s="1" t="s">
        <v>233</v>
      </c>
      <c r="AW4" s="1" t="s">
        <v>234</v>
      </c>
      <c r="AX4" s="1" t="s">
        <v>235</v>
      </c>
      <c r="AY4" s="1" t="s">
        <v>236</v>
      </c>
      <c r="AZ4" s="1" t="s">
        <v>237</v>
      </c>
      <c r="BA4" s="1" t="s">
        <v>238</v>
      </c>
      <c r="BB4" s="1" t="s">
        <v>239</v>
      </c>
      <c r="BC4" s="1" t="s">
        <v>240</v>
      </c>
      <c r="BD4" s="1" t="s">
        <v>241</v>
      </c>
      <c r="BE4" s="1" t="s">
        <v>242</v>
      </c>
      <c r="BF4" s="1" t="s">
        <v>243</v>
      </c>
      <c r="BG4" s="1" t="s">
        <v>244</v>
      </c>
      <c r="BH4" s="1" t="s">
        <v>245</v>
      </c>
      <c r="BI4" s="1" t="s">
        <v>246</v>
      </c>
      <c r="BJ4" s="1" t="s">
        <v>247</v>
      </c>
      <c r="BK4" s="1" t="s">
        <v>248</v>
      </c>
      <c r="BL4" s="1" t="s">
        <v>249</v>
      </c>
      <c r="BM4" s="1" t="s">
        <v>250</v>
      </c>
      <c r="BN4" s="1" t="s">
        <v>251</v>
      </c>
      <c r="BO4" s="1" t="s">
        <v>252</v>
      </c>
      <c r="BP4" s="1" t="s">
        <v>253</v>
      </c>
      <c r="BQ4" s="1" t="s">
        <v>254</v>
      </c>
      <c r="BR4" s="1" t="s">
        <v>255</v>
      </c>
      <c r="BS4" s="1" t="s">
        <v>256</v>
      </c>
      <c r="BT4" s="1" t="s">
        <v>257</v>
      </c>
      <c r="BU4" s="1" t="s">
        <v>258</v>
      </c>
      <c r="BV4" s="1" t="s">
        <v>259</v>
      </c>
      <c r="BW4" s="1" t="s">
        <v>260</v>
      </c>
      <c r="BX4" s="1" t="s">
        <v>261</v>
      </c>
      <c r="BY4" s="1" t="s">
        <v>262</v>
      </c>
      <c r="BZ4" s="1" t="s">
        <v>263</v>
      </c>
      <c r="CA4" s="1" t="s">
        <v>264</v>
      </c>
      <c r="CB4" s="1" t="s">
        <v>265</v>
      </c>
      <c r="CC4" s="1" t="s">
        <v>266</v>
      </c>
      <c r="CD4" s="1" t="s">
        <v>267</v>
      </c>
      <c r="CE4" s="1" t="s">
        <v>268</v>
      </c>
      <c r="CF4" s="1" t="s">
        <v>269</v>
      </c>
      <c r="CG4" s="1" t="s">
        <v>270</v>
      </c>
      <c r="CH4" s="1" t="s">
        <v>271</v>
      </c>
      <c r="CI4" s="1" t="s">
        <v>272</v>
      </c>
      <c r="CJ4" s="1" t="s">
        <v>273</v>
      </c>
      <c r="CK4" s="1" t="s">
        <v>274</v>
      </c>
      <c r="CL4" s="1" t="s">
        <v>275</v>
      </c>
      <c r="CM4" s="1" t="s">
        <v>276</v>
      </c>
      <c r="CN4" s="1" t="s">
        <v>277</v>
      </c>
      <c r="CO4" s="1" t="s">
        <v>278</v>
      </c>
      <c r="CP4" s="1" t="s">
        <v>279</v>
      </c>
      <c r="CQ4" s="1" t="s">
        <v>280</v>
      </c>
      <c r="CR4" s="1" t="s">
        <v>281</v>
      </c>
      <c r="CS4" s="1" t="s">
        <v>282</v>
      </c>
      <c r="CT4" s="1" t="s">
        <v>283</v>
      </c>
      <c r="CU4" s="1" t="s">
        <v>284</v>
      </c>
      <c r="CV4" s="1" t="s">
        <v>285</v>
      </c>
      <c r="CW4" s="1" t="s">
        <v>286</v>
      </c>
      <c r="CX4" s="1" t="s">
        <v>287</v>
      </c>
      <c r="CY4" s="1" t="s">
        <v>288</v>
      </c>
      <c r="CZ4" s="1" t="s">
        <v>289</v>
      </c>
      <c r="DA4" s="1" t="s">
        <v>290</v>
      </c>
      <c r="DB4" s="1" t="s">
        <v>291</v>
      </c>
      <c r="DC4" s="1" t="s">
        <v>292</v>
      </c>
      <c r="DD4" s="1" t="s">
        <v>293</v>
      </c>
      <c r="DE4" s="1" t="s">
        <v>294</v>
      </c>
      <c r="DF4" s="1" t="s">
        <v>295</v>
      </c>
      <c r="DG4" s="1" t="s">
        <v>296</v>
      </c>
      <c r="DH4" s="1" t="s">
        <v>297</v>
      </c>
      <c r="DI4" s="1" t="s">
        <v>298</v>
      </c>
      <c r="DJ4" s="1" t="s">
        <v>299</v>
      </c>
      <c r="DK4" s="1" t="s">
        <v>300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X4" s="1" t="s">
        <v>313</v>
      </c>
      <c r="DY4" s="1" t="s">
        <v>314</v>
      </c>
      <c r="DZ4" s="1" t="s">
        <v>315</v>
      </c>
      <c r="EA4" s="1" t="s">
        <v>316</v>
      </c>
      <c r="EB4" s="1" t="s">
        <v>317</v>
      </c>
      <c r="EC4" s="1" t="s">
        <v>318</v>
      </c>
      <c r="ED4" s="1" t="s">
        <v>319</v>
      </c>
      <c r="EE4" s="1" t="s">
        <v>320</v>
      </c>
      <c r="EF4" s="1" t="s">
        <v>321</v>
      </c>
      <c r="EG4" s="1" t="s">
        <v>322</v>
      </c>
      <c r="EH4" s="1" t="s">
        <v>323</v>
      </c>
      <c r="EI4" s="1" t="s">
        <v>324</v>
      </c>
      <c r="EJ4" s="1" t="s">
        <v>325</v>
      </c>
      <c r="EK4" s="1" t="s">
        <v>326</v>
      </c>
      <c r="EL4" s="1" t="s">
        <v>327</v>
      </c>
      <c r="EM4" s="1" t="s">
        <v>328</v>
      </c>
      <c r="EN4" s="1" t="s">
        <v>329</v>
      </c>
      <c r="EO4" s="1" t="s">
        <v>330</v>
      </c>
      <c r="EP4" s="1" t="s">
        <v>331</v>
      </c>
      <c r="EQ4" s="1" t="s">
        <v>332</v>
      </c>
      <c r="ER4" s="1" t="s">
        <v>333</v>
      </c>
      <c r="ES4" s="1" t="s">
        <v>334</v>
      </c>
      <c r="ET4" s="1" t="s">
        <v>335</v>
      </c>
      <c r="EU4" s="1" t="s">
        <v>336</v>
      </c>
      <c r="EV4" s="1" t="s">
        <v>337</v>
      </c>
      <c r="EW4" s="1" t="s">
        <v>338</v>
      </c>
      <c r="EX4" s="1" t="s">
        <v>339</v>
      </c>
      <c r="EY4" s="1" t="s">
        <v>340</v>
      </c>
      <c r="EZ4" s="1" t="s">
        <v>341</v>
      </c>
      <c r="FA4" s="1" t="s">
        <v>342</v>
      </c>
      <c r="FB4" s="1" t="s">
        <v>343</v>
      </c>
      <c r="FC4" s="1" t="s">
        <v>344</v>
      </c>
      <c r="FD4" s="1" t="s">
        <v>345</v>
      </c>
      <c r="FE4" s="1" t="s">
        <v>346</v>
      </c>
      <c r="FF4" s="1" t="s">
        <v>347</v>
      </c>
      <c r="FG4" s="1" t="s">
        <v>348</v>
      </c>
      <c r="FH4" s="1" t="s">
        <v>349</v>
      </c>
      <c r="FI4" s="1" t="s">
        <v>350</v>
      </c>
      <c r="FJ4" s="1" t="s">
        <v>351</v>
      </c>
      <c r="FK4" s="1" t="s">
        <v>352</v>
      </c>
      <c r="FL4" s="1" t="s">
        <v>353</v>
      </c>
      <c r="FM4" s="1" t="s">
        <v>354</v>
      </c>
      <c r="FN4" s="1" t="s">
        <v>355</v>
      </c>
      <c r="FO4" s="1" t="s">
        <v>356</v>
      </c>
      <c r="FP4" s="1" t="s">
        <v>357</v>
      </c>
      <c r="FQ4" s="1" t="s">
        <v>358</v>
      </c>
      <c r="FR4" s="1" t="s">
        <v>359</v>
      </c>
      <c r="FS4" s="1" t="s">
        <v>360</v>
      </c>
      <c r="FT4" s="1" t="s">
        <v>361</v>
      </c>
      <c r="FU4" s="1" t="s">
        <v>362</v>
      </c>
      <c r="FV4" s="1" t="s">
        <v>363</v>
      </c>
      <c r="FW4" s="1" t="s">
        <v>364</v>
      </c>
      <c r="FX4" s="1" t="s">
        <v>365</v>
      </c>
      <c r="FY4" s="1" t="s">
        <v>366</v>
      </c>
      <c r="FZ4" s="1" t="s">
        <v>367</v>
      </c>
      <c r="GA4" s="1" t="s">
        <v>368</v>
      </c>
      <c r="GB4" s="1" t="s">
        <v>369</v>
      </c>
      <c r="GC4" s="1" t="s">
        <v>370</v>
      </c>
      <c r="GD4" s="1" t="s">
        <v>371</v>
      </c>
      <c r="GE4" s="1" t="s">
        <v>372</v>
      </c>
      <c r="GF4" s="1" t="s">
        <v>373</v>
      </c>
      <c r="GG4" s="1" t="s">
        <v>374</v>
      </c>
      <c r="GH4" s="1" t="s">
        <v>375</v>
      </c>
      <c r="GI4" s="1" t="s">
        <v>376</v>
      </c>
      <c r="GJ4" s="1" t="s">
        <v>377</v>
      </c>
    </row>
    <row r="5" spans="1:192">
      <c r="A5" s="3" t="str">
        <f>'V06 Unidades'!$A$5</f>
        <v>201</v>
      </c>
      <c r="B5" s="2">
        <f>'V06 Unidades'!$H$5</f>
        <v>552000</v>
      </c>
      <c r="C5" s="4">
        <f>('V06 Unidades'!$I$5+'V06 Controlos'!$B$37)</f>
        <v>1</v>
      </c>
      <c r="D5" s="4">
        <f>IF(('V06 Controlos'!$B$38&gt;0),MAX(('V06 Unidades'!$L$5+'V06 Controlos'!$B$37),(30+'V06 Controlos'!$B$38)),('V06 Unidades'!$L$5+'V06 Controlos'!$B$37))</f>
        <v>28</v>
      </c>
      <c r="E5" s="4">
        <f>MAX(0,INT(((('V06 Calend 01'!D5-'V06 Calend 01'!C5)-1)/6)))</f>
        <v>4</v>
      </c>
      <c r="F5" s="2">
        <f>ROUND(('V06 Calend 01'!B5*0.05),2)</f>
        <v>27600.0</v>
      </c>
      <c r="G5" s="2">
        <f>ROUND(('V06 Calend 01'!B5*0.2),2)</f>
        <v>110400.0</v>
      </c>
      <c r="H5" s="2">
        <f>ROUND(('V06 Calend 01'!B5*0.55),2)</f>
        <v>303600.0</v>
      </c>
      <c r="I5" s="2">
        <f>ROUND(('V06 Calend 01'!H5/MAX(1,'V06 Calend 01'!E5)),2)</f>
        <v>75900.0</v>
      </c>
      <c r="J5" s="2">
        <f>((('V06 Calend 01'!B5-'V06 Calend 01'!F5)-'V06 Calend 01'!G5)-'V06 Calend 01'!H5)</f>
        <v>110400.0</v>
      </c>
      <c r="K5" s="2">
        <f>('V06 Calend 01'!B5*0.025)</f>
        <v>13800.0</v>
      </c>
      <c r="L5" t="s">
        <v>378</v>
      </c>
      <c r="M5" s="2">
        <f>((IF((1='V06 Calend 01'!C5),('V06 Calend 01'!F5+'V06 Calend 01'!G5),0)+IF(AND(('V06 Calend 01'!E5&gt;0),(1&gt;'V06 Calend 01'!C5),(1&lt;'V06 Calend 01'!D5),(MOD((1-'V06 Calend 01'!C5),6)=0),(((1-'V06 Calend 01'!C5)/6)&lt;='V06 Calend 01'!E5)),IF((1=('V06 Calend 01'!C5+(6*'V06 Calend 01'!E5))),('V06 Calend 01'!H5-('V06 Calend 01'!I5*('V06 Calend 01'!E5-1))),'V06 Calend 01'!I5),0))+IF((1='V06 Calend 01'!D5),'V06 Calend 01'!J5,0))</f>
        <v>138000.0</v>
      </c>
      <c r="N5" s="2">
        <f>((IF((2='V06 Calend 01'!C5),('V06 Calend 01'!F5+'V06 Calend 01'!G5),0)+IF(AND(('V06 Calend 01'!E5&gt;0),(2&gt;'V06 Calend 01'!C5),(2&lt;'V06 Calend 01'!D5),(MOD((2-'V06 Calend 01'!C5),6)=0),(((2-'V06 Calend 01'!C5)/6)&lt;='V06 Calend 01'!E5)),IF((2=('V06 Calend 01'!C5+(6*'V06 Calend 01'!E5))),('V06 Calend 01'!H5-('V06 Calend 01'!I5*('V06 Calend 01'!E5-1))),'V06 Calend 01'!I5),0))+IF((2='V06 Calend 01'!D5),'V06 Calend 01'!J5,0))</f>
        <v>0</v>
      </c>
      <c r="O5" s="2">
        <f>((IF((3='V06 Calend 01'!C5),('V06 Calend 01'!F5+'V06 Calend 01'!G5),0)+IF(AND(('V06 Calend 01'!E5&gt;0),(3&gt;'V06 Calend 01'!C5),(3&lt;'V06 Calend 01'!D5),(MOD((3-'V06 Calend 01'!C5),6)=0),(((3-'V06 Calend 01'!C5)/6)&lt;='V06 Calend 01'!E5)),IF((3=('V06 Calend 01'!C5+(6*'V06 Calend 01'!E5))),('V06 Calend 01'!H5-('V06 Calend 01'!I5*('V06 Calend 01'!E5-1))),'V06 Calend 01'!I5),0))+IF((3='V06 Calend 01'!D5),'V06 Calend 01'!J5,0))</f>
        <v>0</v>
      </c>
      <c r="P5" s="2">
        <f>((IF((4='V06 Calend 01'!C5),('V06 Calend 01'!F5+'V06 Calend 01'!G5),0)+IF(AND(('V06 Calend 01'!E5&gt;0),(4&gt;'V06 Calend 01'!C5),(4&lt;'V06 Calend 01'!D5),(MOD((4-'V06 Calend 01'!C5),6)=0),(((4-'V06 Calend 01'!C5)/6)&lt;='V06 Calend 01'!E5)),IF((4=('V06 Calend 01'!C5+(6*'V06 Calend 01'!E5))),('V06 Calend 01'!H5-('V06 Calend 01'!I5*('V06 Calend 01'!E5-1))),'V06 Calend 01'!I5),0))+IF((4='V06 Calend 01'!D5),'V06 Calend 01'!J5,0))</f>
        <v>0</v>
      </c>
      <c r="Q5" s="2">
        <f>((IF((5='V06 Calend 01'!C5),('V06 Calend 01'!F5+'V06 Calend 01'!G5),0)+IF(AND(('V06 Calend 01'!E5&gt;0),(5&gt;'V06 Calend 01'!C5),(5&lt;'V06 Calend 01'!D5),(MOD((5-'V06 Calend 01'!C5),6)=0),(((5-'V06 Calend 01'!C5)/6)&lt;='V06 Calend 01'!E5)),IF((5=('V06 Calend 01'!C5+(6*'V06 Calend 01'!E5))),('V06 Calend 01'!H5-('V06 Calend 01'!I5*('V06 Calend 01'!E5-1))),'V06 Calend 01'!I5),0))+IF((5='V06 Calend 01'!D5),'V06 Calend 01'!J5,0))</f>
        <v>0</v>
      </c>
      <c r="R5" s="2">
        <f>((IF((6='V06 Calend 01'!C5),('V06 Calend 01'!F5+'V06 Calend 01'!G5),0)+IF(AND(('V06 Calend 01'!E5&gt;0),(6&gt;'V06 Calend 01'!C5),(6&lt;'V06 Calend 01'!D5),(MOD((6-'V06 Calend 01'!C5),6)=0),(((6-'V06 Calend 01'!C5)/6)&lt;='V06 Calend 01'!E5)),IF((6=('V06 Calend 01'!C5+(6*'V06 Calend 01'!E5))),('V06 Calend 01'!H5-('V06 Calend 01'!I5*('V06 Calend 01'!E5-1))),'V06 Calend 01'!I5),0))+IF((6='V06 Calend 01'!D5),'V06 Calend 01'!J5,0))</f>
        <v>0</v>
      </c>
      <c r="S5" s="2">
        <f>((IF((7='V06 Calend 01'!C5),('V06 Calend 01'!F5+'V06 Calend 01'!G5),0)+IF(AND(('V06 Calend 01'!E5&gt;0),(7&gt;'V06 Calend 01'!C5),(7&lt;'V06 Calend 01'!D5),(MOD((7-'V06 Calend 01'!C5),6)=0),(((7-'V06 Calend 01'!C5)/6)&lt;='V06 Calend 01'!E5)),IF((7=('V06 Calend 01'!C5+(6*'V06 Calend 01'!E5))),('V06 Calend 01'!H5-('V06 Calend 01'!I5*('V06 Calend 01'!E5-1))),'V06 Calend 01'!I5),0))+IF((7='V06 Calend 01'!D5),'V06 Calend 01'!J5,0))</f>
        <v>75900.0</v>
      </c>
      <c r="T5" s="2">
        <f>((IF((8='V06 Calend 01'!C5),('V06 Calend 01'!F5+'V06 Calend 01'!G5),0)+IF(AND(('V06 Calend 01'!E5&gt;0),(8&gt;'V06 Calend 01'!C5),(8&lt;'V06 Calend 01'!D5),(MOD((8-'V06 Calend 01'!C5),6)=0),(((8-'V06 Calend 01'!C5)/6)&lt;='V06 Calend 01'!E5)),IF((8=('V06 Calend 01'!C5+(6*'V06 Calend 01'!E5))),('V06 Calend 01'!H5-('V06 Calend 01'!I5*('V06 Calend 01'!E5-1))),'V06 Calend 01'!I5),0))+IF((8='V06 Calend 01'!D5),'V06 Calend 01'!J5,0))</f>
        <v>0</v>
      </c>
      <c r="U5" s="2">
        <f>((IF((9='V06 Calend 01'!C5),('V06 Calend 01'!F5+'V06 Calend 01'!G5),0)+IF(AND(('V06 Calend 01'!E5&gt;0),(9&gt;'V06 Calend 01'!C5),(9&lt;'V06 Calend 01'!D5),(MOD((9-'V06 Calend 01'!C5),6)=0),(((9-'V06 Calend 01'!C5)/6)&lt;='V06 Calend 01'!E5)),IF((9=('V06 Calend 01'!C5+(6*'V06 Calend 01'!E5))),('V06 Calend 01'!H5-('V06 Calend 01'!I5*('V06 Calend 01'!E5-1))),'V06 Calend 01'!I5),0))+IF((9='V06 Calend 01'!D5),'V06 Calend 01'!J5,0))</f>
        <v>0</v>
      </c>
      <c r="V5" s="2">
        <f>((IF((10='V06 Calend 01'!C5),('V06 Calend 01'!F5+'V06 Calend 01'!G5),0)+IF(AND(('V06 Calend 01'!E5&gt;0),(10&gt;'V06 Calend 01'!C5),(10&lt;'V06 Calend 01'!D5),(MOD((10-'V06 Calend 01'!C5),6)=0),(((10-'V06 Calend 01'!C5)/6)&lt;='V06 Calend 01'!E5)),IF((10=('V06 Calend 01'!C5+(6*'V06 Calend 01'!E5))),('V06 Calend 01'!H5-('V06 Calend 01'!I5*('V06 Calend 01'!E5-1))),'V06 Calend 01'!I5),0))+IF((10='V06 Calend 01'!D5),'V06 Calend 01'!J5,0))</f>
        <v>0</v>
      </c>
      <c r="W5" s="2">
        <f>((IF((11='V06 Calend 01'!C5),('V06 Calend 01'!F5+'V06 Calend 01'!G5),0)+IF(AND(('V06 Calend 01'!E5&gt;0),(11&gt;'V06 Calend 01'!C5),(11&lt;'V06 Calend 01'!D5),(MOD((11-'V06 Calend 01'!C5),6)=0),(((11-'V06 Calend 01'!C5)/6)&lt;='V06 Calend 01'!E5)),IF((11=('V06 Calend 01'!C5+(6*'V06 Calend 01'!E5))),('V06 Calend 01'!H5-('V06 Calend 01'!I5*('V06 Calend 01'!E5-1))),'V06 Calend 01'!I5),0))+IF((11='V06 Calend 01'!D5),'V06 Calend 01'!J5,0))</f>
        <v>0</v>
      </c>
      <c r="X5" s="2">
        <f>((IF((12='V06 Calend 01'!C5),('V06 Calend 01'!F5+'V06 Calend 01'!G5),0)+IF(AND(('V06 Calend 01'!E5&gt;0),(12&gt;'V06 Calend 01'!C5),(12&lt;'V06 Calend 01'!D5),(MOD((12-'V06 Calend 01'!C5),6)=0),(((12-'V06 Calend 01'!C5)/6)&lt;='V06 Calend 01'!E5)),IF((12=('V06 Calend 01'!C5+(6*'V06 Calend 01'!E5))),('V06 Calend 01'!H5-('V06 Calend 01'!I5*('V06 Calend 01'!E5-1))),'V06 Calend 01'!I5),0))+IF((12='V06 Calend 01'!D5),'V06 Calend 01'!J5,0))</f>
        <v>0</v>
      </c>
      <c r="Y5" s="2">
        <f>((IF((13='V06 Calend 01'!C5),('V06 Calend 01'!F5+'V06 Calend 01'!G5),0)+IF(AND(('V06 Calend 01'!E5&gt;0),(13&gt;'V06 Calend 01'!C5),(13&lt;'V06 Calend 01'!D5),(MOD((13-'V06 Calend 01'!C5),6)=0),(((13-'V06 Calend 01'!C5)/6)&lt;='V06 Calend 01'!E5)),IF((13=('V06 Calend 01'!C5+(6*'V06 Calend 01'!E5))),('V06 Calend 01'!H5-('V06 Calend 01'!I5*('V06 Calend 01'!E5-1))),'V06 Calend 01'!I5),0))+IF((13='V06 Calend 01'!D5),'V06 Calend 01'!J5,0))</f>
        <v>75900.0</v>
      </c>
      <c r="Z5" s="2">
        <f>((IF((14='V06 Calend 01'!C5),('V06 Calend 01'!F5+'V06 Calend 01'!G5),0)+IF(AND(('V06 Calend 01'!E5&gt;0),(14&gt;'V06 Calend 01'!C5),(14&lt;'V06 Calend 01'!D5),(MOD((14-'V06 Calend 01'!C5),6)=0),(((14-'V06 Calend 01'!C5)/6)&lt;='V06 Calend 01'!E5)),IF((14=('V06 Calend 01'!C5+(6*'V06 Calend 01'!E5))),('V06 Calend 01'!H5-('V06 Calend 01'!I5*('V06 Calend 01'!E5-1))),'V06 Calend 01'!I5),0))+IF((14='V06 Calend 01'!D5),'V06 Calend 01'!J5,0))</f>
        <v>0</v>
      </c>
      <c r="AA5" s="2">
        <f>((IF((15='V06 Calend 01'!C5),('V06 Calend 01'!F5+'V06 Calend 01'!G5),0)+IF(AND(('V06 Calend 01'!E5&gt;0),(15&gt;'V06 Calend 01'!C5),(15&lt;'V06 Calend 01'!D5),(MOD((15-'V06 Calend 01'!C5),6)=0),(((15-'V06 Calend 01'!C5)/6)&lt;='V06 Calend 01'!E5)),IF((15=('V06 Calend 01'!C5+(6*'V06 Calend 01'!E5))),('V06 Calend 01'!H5-('V06 Calend 01'!I5*('V06 Calend 01'!E5-1))),'V06 Calend 01'!I5),0))+IF((15='V06 Calend 01'!D5),'V06 Calend 01'!J5,0))</f>
        <v>0</v>
      </c>
      <c r="AB5" s="2">
        <f>((IF((16='V06 Calend 01'!C5),('V06 Calend 01'!F5+'V06 Calend 01'!G5),0)+IF(AND(('V06 Calend 01'!E5&gt;0),(16&gt;'V06 Calend 01'!C5),(16&lt;'V06 Calend 01'!D5),(MOD((16-'V06 Calend 01'!C5),6)=0),(((16-'V06 Calend 01'!C5)/6)&lt;='V06 Calend 01'!E5)),IF((16=('V06 Calend 01'!C5+(6*'V06 Calend 01'!E5))),('V06 Calend 01'!H5-('V06 Calend 01'!I5*('V06 Calend 01'!E5-1))),'V06 Calend 01'!I5),0))+IF((16='V06 Calend 01'!D5),'V06 Calend 01'!J5,0))</f>
        <v>0</v>
      </c>
      <c r="AC5" s="2">
        <f>((IF((17='V06 Calend 01'!C5),('V06 Calend 01'!F5+'V06 Calend 01'!G5),0)+IF(AND(('V06 Calend 01'!E5&gt;0),(17&gt;'V06 Calend 01'!C5),(17&lt;'V06 Calend 01'!D5),(MOD((17-'V06 Calend 01'!C5),6)=0),(((17-'V06 Calend 01'!C5)/6)&lt;='V06 Calend 01'!E5)),IF((17=('V06 Calend 01'!C5+(6*'V06 Calend 01'!E5))),('V06 Calend 01'!H5-('V06 Calend 01'!I5*('V06 Calend 01'!E5-1))),'V06 Calend 01'!I5),0))+IF((17='V06 Calend 01'!D5),'V06 Calend 01'!J5,0))</f>
        <v>0</v>
      </c>
      <c r="AD5" s="2">
        <f>((IF((18='V06 Calend 01'!C5),('V06 Calend 01'!F5+'V06 Calend 01'!G5),0)+IF(AND(('V06 Calend 01'!E5&gt;0),(18&gt;'V06 Calend 01'!C5),(18&lt;'V06 Calend 01'!D5),(MOD((18-'V06 Calend 01'!C5),6)=0),(((18-'V06 Calend 01'!C5)/6)&lt;='V06 Calend 01'!E5)),IF((18=('V06 Calend 01'!C5+(6*'V06 Calend 01'!E5))),('V06 Calend 01'!H5-('V06 Calend 01'!I5*('V06 Calend 01'!E5-1))),'V06 Calend 01'!I5),0))+IF((18='V06 Calend 01'!D5),'V06 Calend 01'!J5,0))</f>
        <v>0</v>
      </c>
      <c r="AE5" s="2">
        <f>((IF((19='V06 Calend 01'!C5),('V06 Calend 01'!F5+'V06 Calend 01'!G5),0)+IF(AND(('V06 Calend 01'!E5&gt;0),(19&gt;'V06 Calend 01'!C5),(19&lt;'V06 Calend 01'!D5),(MOD((19-'V06 Calend 01'!C5),6)=0),(((19-'V06 Calend 01'!C5)/6)&lt;='V06 Calend 01'!E5)),IF((19=('V06 Calend 01'!C5+(6*'V06 Calend 01'!E5))),('V06 Calend 01'!H5-('V06 Calend 01'!I5*('V06 Calend 01'!E5-1))),'V06 Calend 01'!I5),0))+IF((19='V06 Calend 01'!D5),'V06 Calend 01'!J5,0))</f>
        <v>75900.0</v>
      </c>
      <c r="AF5" s="2">
        <f>((IF((20='V06 Calend 01'!C5),('V06 Calend 01'!F5+'V06 Calend 01'!G5),0)+IF(AND(('V06 Calend 01'!E5&gt;0),(20&gt;'V06 Calend 01'!C5),(20&lt;'V06 Calend 01'!D5),(MOD((20-'V06 Calend 01'!C5),6)=0),(((20-'V06 Calend 01'!C5)/6)&lt;='V06 Calend 01'!E5)),IF((20=('V06 Calend 01'!C5+(6*'V06 Calend 01'!E5))),('V06 Calend 01'!H5-('V06 Calend 01'!I5*('V06 Calend 01'!E5-1))),'V06 Calend 01'!I5),0))+IF((20='V06 Calend 01'!D5),'V06 Calend 01'!J5,0))</f>
        <v>0</v>
      </c>
      <c r="AG5" s="2">
        <f>((IF((21='V06 Calend 01'!C5),('V06 Calend 01'!F5+'V06 Calend 01'!G5),0)+IF(AND(('V06 Calend 01'!E5&gt;0),(21&gt;'V06 Calend 01'!C5),(21&lt;'V06 Calend 01'!D5),(MOD((21-'V06 Calend 01'!C5),6)=0),(((21-'V06 Calend 01'!C5)/6)&lt;='V06 Calend 01'!E5)),IF((21=('V06 Calend 01'!C5+(6*'V06 Calend 01'!E5))),('V06 Calend 01'!H5-('V06 Calend 01'!I5*('V06 Calend 01'!E5-1))),'V06 Calend 01'!I5),0))+IF((21='V06 Calend 01'!D5),'V06 Calend 01'!J5,0))</f>
        <v>0</v>
      </c>
      <c r="AH5" s="2">
        <f>((IF((22='V06 Calend 01'!C5),('V06 Calend 01'!F5+'V06 Calend 01'!G5),0)+IF(AND(('V06 Calend 01'!E5&gt;0),(22&gt;'V06 Calend 01'!C5),(22&lt;'V06 Calend 01'!D5),(MOD((22-'V06 Calend 01'!C5),6)=0),(((22-'V06 Calend 01'!C5)/6)&lt;='V06 Calend 01'!E5)),IF((22=('V06 Calend 01'!C5+(6*'V06 Calend 01'!E5))),('V06 Calend 01'!H5-('V06 Calend 01'!I5*('V06 Calend 01'!E5-1))),'V06 Calend 01'!I5),0))+IF((22='V06 Calend 01'!D5),'V06 Calend 01'!J5,0))</f>
        <v>0</v>
      </c>
      <c r="AI5" s="2">
        <f>((IF((23='V06 Calend 01'!C5),('V06 Calend 01'!F5+'V06 Calend 01'!G5),0)+IF(AND(('V06 Calend 01'!E5&gt;0),(23&gt;'V06 Calend 01'!C5),(23&lt;'V06 Calend 01'!D5),(MOD((23-'V06 Calend 01'!C5),6)=0),(((23-'V06 Calend 01'!C5)/6)&lt;='V06 Calend 01'!E5)),IF((23=('V06 Calend 01'!C5+(6*'V06 Calend 01'!E5))),('V06 Calend 01'!H5-('V06 Calend 01'!I5*('V06 Calend 01'!E5-1))),'V06 Calend 01'!I5),0))+IF((23='V06 Calend 01'!D5),'V06 Calend 01'!J5,0))</f>
        <v>0</v>
      </c>
      <c r="AJ5" s="2">
        <f>((IF((24='V06 Calend 01'!C5),('V06 Calend 01'!F5+'V06 Calend 01'!G5),0)+IF(AND(('V06 Calend 01'!E5&gt;0),(24&gt;'V06 Calend 01'!C5),(24&lt;'V06 Calend 01'!D5),(MOD((24-'V06 Calend 01'!C5),6)=0),(((24-'V06 Calend 01'!C5)/6)&lt;='V06 Calend 01'!E5)),IF((24=('V06 Calend 01'!C5+(6*'V06 Calend 01'!E5))),('V06 Calend 01'!H5-('V06 Calend 01'!I5*('V06 Calend 01'!E5-1))),'V06 Calend 01'!I5),0))+IF((24='V06 Calend 01'!D5),'V06 Calend 01'!J5,0))</f>
        <v>0</v>
      </c>
      <c r="AK5" s="2">
        <f>((IF((25='V06 Calend 01'!C5),('V06 Calend 01'!F5+'V06 Calend 01'!G5),0)+IF(AND(('V06 Calend 01'!E5&gt;0),(25&gt;'V06 Calend 01'!C5),(25&lt;'V06 Calend 01'!D5),(MOD((25-'V06 Calend 01'!C5),6)=0),(((25-'V06 Calend 01'!C5)/6)&lt;='V06 Calend 01'!E5)),IF((25=('V06 Calend 01'!C5+(6*'V06 Calend 01'!E5))),('V06 Calend 01'!H5-('V06 Calend 01'!I5*('V06 Calend 01'!E5-1))),'V06 Calend 01'!I5),0))+IF((25='V06 Calend 01'!D5),'V06 Calend 01'!J5,0))</f>
        <v>75900.0</v>
      </c>
      <c r="AL5" s="2">
        <f>((IF((26='V06 Calend 01'!C5),('V06 Calend 01'!F5+'V06 Calend 01'!G5),0)+IF(AND(('V06 Calend 01'!E5&gt;0),(26&gt;'V06 Calend 01'!C5),(26&lt;'V06 Calend 01'!D5),(MOD((26-'V06 Calend 01'!C5),6)=0),(((26-'V06 Calend 01'!C5)/6)&lt;='V06 Calend 01'!E5)),IF((26=('V06 Calend 01'!C5+(6*'V06 Calend 01'!E5))),('V06 Calend 01'!H5-('V06 Calend 01'!I5*('V06 Calend 01'!E5-1))),'V06 Calend 01'!I5),0))+IF((26='V06 Calend 01'!D5),'V06 Calend 01'!J5,0))</f>
        <v>0</v>
      </c>
      <c r="AM5" s="2">
        <f>((IF((27='V06 Calend 01'!C5),('V06 Calend 01'!F5+'V06 Calend 01'!G5),0)+IF(AND(('V06 Calend 01'!E5&gt;0),(27&gt;'V06 Calend 01'!C5),(27&lt;'V06 Calend 01'!D5),(MOD((27-'V06 Calend 01'!C5),6)=0),(((27-'V06 Calend 01'!C5)/6)&lt;='V06 Calend 01'!E5)),IF((27=('V06 Calend 01'!C5+(6*'V06 Calend 01'!E5))),('V06 Calend 01'!H5-('V06 Calend 01'!I5*('V06 Calend 01'!E5-1))),'V06 Calend 01'!I5),0))+IF((27='V06 Calend 01'!D5),'V06 Calend 01'!J5,0))</f>
        <v>0</v>
      </c>
      <c r="AN5" s="2">
        <f>((IF((28='V06 Calend 01'!C5),('V06 Calend 01'!F5+'V06 Calend 01'!G5),0)+IF(AND(('V06 Calend 01'!E5&gt;0),(28&gt;'V06 Calend 01'!C5),(28&lt;'V06 Calend 01'!D5),(MOD((28-'V06 Calend 01'!C5),6)=0),(((28-'V06 Calend 01'!C5)/6)&lt;='V06 Calend 01'!E5)),IF((28=('V06 Calend 01'!C5+(6*'V06 Calend 01'!E5))),('V06 Calend 01'!H5-('V06 Calend 01'!I5*('V06 Calend 01'!E5-1))),'V06 Calend 01'!I5),0))+IF((28='V06 Calend 01'!D5),'V06 Calend 01'!J5,0))</f>
        <v>110400.0</v>
      </c>
      <c r="AO5" s="2">
        <f>((IF((29='V06 Calend 01'!C5),('V06 Calend 01'!F5+'V06 Calend 01'!G5),0)+IF(AND(('V06 Calend 01'!E5&gt;0),(29&gt;'V06 Calend 01'!C5),(29&lt;'V06 Calend 01'!D5),(MOD((29-'V06 Calend 01'!C5),6)=0),(((29-'V06 Calend 01'!C5)/6)&lt;='V06 Calend 01'!E5)),IF((29=('V06 Calend 01'!C5+(6*'V06 Calend 01'!E5))),('V06 Calend 01'!H5-('V06 Calend 01'!I5*('V06 Calend 01'!E5-1))),'V06 Calend 01'!I5),0))+IF((29='V06 Calend 01'!D5),'V06 Calend 01'!J5,0))</f>
        <v>0</v>
      </c>
      <c r="AP5" s="2">
        <f>((IF((30='V06 Calend 01'!C5),('V06 Calend 01'!F5+'V06 Calend 01'!G5),0)+IF(AND(('V06 Calend 01'!E5&gt;0),(30&gt;'V06 Calend 01'!C5),(30&lt;'V06 Calend 01'!D5),(MOD((30-'V06 Calend 01'!C5),6)=0),(((30-'V06 Calend 01'!C5)/6)&lt;='V06 Calend 01'!E5)),IF((30=('V06 Calend 01'!C5+(6*'V06 Calend 01'!E5))),('V06 Calend 01'!H5-('V06 Calend 01'!I5*('V06 Calend 01'!E5-1))),'V06 Calend 01'!I5),0))+IF((30='V06 Calend 01'!D5),'V06 Calend 01'!J5,0))</f>
        <v>0</v>
      </c>
      <c r="AQ5" s="2">
        <f>((IF((31='V06 Calend 01'!C5),('V06 Calend 01'!F5+'V06 Calend 01'!G5),0)+IF(AND(('V06 Calend 01'!E5&gt;0),(31&gt;'V06 Calend 01'!C5),(31&lt;'V06 Calend 01'!D5),(MOD((31-'V06 Calend 01'!C5),6)=0),(((31-'V06 Calend 01'!C5)/6)&lt;='V06 Calend 01'!E5)),IF((31=('V06 Calend 01'!C5+(6*'V06 Calend 01'!E5))),('V06 Calend 01'!H5-('V06 Calend 01'!I5*('V06 Calend 01'!E5-1))),'V06 Calend 01'!I5),0))+IF((31='V06 Calend 01'!D5),'V06 Calend 01'!J5,0))</f>
        <v>0</v>
      </c>
      <c r="AR5" s="2">
        <f>((IF((32='V06 Calend 01'!C5),('V06 Calend 01'!F5+'V06 Calend 01'!G5),0)+IF(AND(('V06 Calend 01'!E5&gt;0),(32&gt;'V06 Calend 01'!C5),(32&lt;'V06 Calend 01'!D5),(MOD((32-'V06 Calend 01'!C5),6)=0),(((32-'V06 Calend 01'!C5)/6)&lt;='V06 Calend 01'!E5)),IF((32=('V06 Calend 01'!C5+(6*'V06 Calend 01'!E5))),('V06 Calend 01'!H5-('V06 Calend 01'!I5*('V06 Calend 01'!E5-1))),'V06 Calend 01'!I5),0))+IF((32='V06 Calend 01'!D5),'V06 Calend 01'!J5,0))</f>
        <v>0</v>
      </c>
      <c r="AS5" s="2">
        <f>((IF((33='V06 Calend 01'!C5),('V06 Calend 01'!F5+'V06 Calend 01'!G5),0)+IF(AND(('V06 Calend 01'!E5&gt;0),(33&gt;'V06 Calend 01'!C5),(33&lt;'V06 Calend 01'!D5),(MOD((33-'V06 Calend 01'!C5),6)=0),(((33-'V06 Calend 01'!C5)/6)&lt;='V06 Calend 01'!E5)),IF((33=('V06 Calend 01'!C5+(6*'V06 Calend 01'!E5))),('V06 Calend 01'!H5-('V06 Calend 01'!I5*('V06 Calend 01'!E5-1))),'V06 Calend 01'!I5),0))+IF((33='V06 Calend 01'!D5),'V06 Calend 01'!J5,0))</f>
        <v>0</v>
      </c>
      <c r="AT5" s="2">
        <f>((IF((34='V06 Calend 01'!C5),('V06 Calend 01'!F5+'V06 Calend 01'!G5),0)+IF(AND(('V06 Calend 01'!E5&gt;0),(34&gt;'V06 Calend 01'!C5),(34&lt;'V06 Calend 01'!D5),(MOD((34-'V06 Calend 01'!C5),6)=0),(((34-'V06 Calend 01'!C5)/6)&lt;='V06 Calend 01'!E5)),IF((34=('V06 Calend 01'!C5+(6*'V06 Calend 01'!E5))),('V06 Calend 01'!H5-('V06 Calend 01'!I5*('V06 Calend 01'!E5-1))),'V06 Calend 01'!I5),0))+IF((34='V06 Calend 01'!D5),'V06 Calend 01'!J5,0))</f>
        <v>0</v>
      </c>
      <c r="AU5" s="2">
        <f>((IF((35='V06 Calend 01'!C5),('V06 Calend 01'!F5+'V06 Calend 01'!G5),0)+IF(AND(('V06 Calend 01'!E5&gt;0),(35&gt;'V06 Calend 01'!C5),(35&lt;'V06 Calend 01'!D5),(MOD((35-'V06 Calend 01'!C5),6)=0),(((35-'V06 Calend 01'!C5)/6)&lt;='V06 Calend 01'!E5)),IF((35=('V06 Calend 01'!C5+(6*'V06 Calend 01'!E5))),('V06 Calend 01'!H5-('V06 Calend 01'!I5*('V06 Calend 01'!E5-1))),'V06 Calend 01'!I5),0))+IF((35='V06 Calend 01'!D5),'V06 Calend 01'!J5,0))</f>
        <v>0</v>
      </c>
      <c r="AV5" s="2">
        <f>((IF((36='V06 Calend 01'!C5),('V06 Calend 01'!F5+'V06 Calend 01'!G5),0)+IF(AND(('V06 Calend 01'!E5&gt;0),(36&gt;'V06 Calend 01'!C5),(36&lt;'V06 Calend 01'!D5),(MOD((36-'V06 Calend 01'!C5),6)=0),(((36-'V06 Calend 01'!C5)/6)&lt;='V06 Calend 01'!E5)),IF((36=('V06 Calend 01'!C5+(6*'V06 Calend 01'!E5))),('V06 Calend 01'!H5-('V06 Calend 01'!I5*('V06 Calend 01'!E5-1))),'V06 Calend 01'!I5),0))+IF((36='V06 Calend 01'!D5),'V06 Calend 01'!J5,0))</f>
        <v>0</v>
      </c>
      <c r="AW5" s="2">
        <f>((IF((37='V06 Calend 01'!C5),('V06 Calend 01'!F5+'V06 Calend 01'!G5),0)+IF(AND(('V06 Calend 01'!E5&gt;0),(37&gt;'V06 Calend 01'!C5),(37&lt;'V06 Calend 01'!D5),(MOD((37-'V06 Calend 01'!C5),6)=0),(((37-'V06 Calend 01'!C5)/6)&lt;='V06 Calend 01'!E5)),IF((37=('V06 Calend 01'!C5+(6*'V06 Calend 01'!E5))),('V06 Calend 01'!H5-('V06 Calend 01'!I5*('V06 Calend 01'!E5-1))),'V06 Calend 01'!I5),0))+IF((37='V06 Calend 01'!D5),'V06 Calend 01'!J5,0))</f>
        <v>0</v>
      </c>
      <c r="AX5" s="2">
        <f>((IF((38='V06 Calend 01'!C5),('V06 Calend 01'!F5+'V06 Calend 01'!G5),0)+IF(AND(('V06 Calend 01'!E5&gt;0),(38&gt;'V06 Calend 01'!C5),(38&lt;'V06 Calend 01'!D5),(MOD((38-'V06 Calend 01'!C5),6)=0),(((38-'V06 Calend 01'!C5)/6)&lt;='V06 Calend 01'!E5)),IF((38=('V06 Calend 01'!C5+(6*'V06 Calend 01'!E5))),('V06 Calend 01'!H5-('V06 Calend 01'!I5*('V06 Calend 01'!E5-1))),'V06 Calend 01'!I5),0))+IF((38='V06 Calend 01'!D5),'V06 Calend 01'!J5,0))</f>
        <v>0</v>
      </c>
      <c r="AY5" s="2">
        <f>((IF((39='V06 Calend 01'!C5),('V06 Calend 01'!F5+'V06 Calend 01'!G5),0)+IF(AND(('V06 Calend 01'!E5&gt;0),(39&gt;'V06 Calend 01'!C5),(39&lt;'V06 Calend 01'!D5),(MOD((39-'V06 Calend 01'!C5),6)=0),(((39-'V06 Calend 01'!C5)/6)&lt;='V06 Calend 01'!E5)),IF((39=('V06 Calend 01'!C5+(6*'V06 Calend 01'!E5))),('V06 Calend 01'!H5-('V06 Calend 01'!I5*('V06 Calend 01'!E5-1))),'V06 Calend 01'!I5),0))+IF((39='V06 Calend 01'!D5),'V06 Calend 01'!J5,0))</f>
        <v>0</v>
      </c>
      <c r="AZ5" s="2">
        <f>((IF((40='V06 Calend 01'!C5),('V06 Calend 01'!F5+'V06 Calend 01'!G5),0)+IF(AND(('V06 Calend 01'!E5&gt;0),(40&gt;'V06 Calend 01'!C5),(40&lt;'V06 Calend 01'!D5),(MOD((40-'V06 Calend 01'!C5),6)=0),(((40-'V06 Calend 01'!C5)/6)&lt;='V06 Calend 01'!E5)),IF((40=('V06 Calend 01'!C5+(6*'V06 Calend 01'!E5))),('V06 Calend 01'!H5-('V06 Calend 01'!I5*('V06 Calend 01'!E5-1))),'V06 Calend 01'!I5),0))+IF((40='V06 Calend 01'!D5),'V06 Calend 01'!J5,0))</f>
        <v>0</v>
      </c>
      <c r="BA5" s="2">
        <f>((IF((41='V06 Calend 01'!C5),('V06 Calend 01'!F5+'V06 Calend 01'!G5),0)+IF(AND(('V06 Calend 01'!E5&gt;0),(41&gt;'V06 Calend 01'!C5),(41&lt;'V06 Calend 01'!D5),(MOD((41-'V06 Calend 01'!C5),6)=0),(((41-'V06 Calend 01'!C5)/6)&lt;='V06 Calend 01'!E5)),IF((41=('V06 Calend 01'!C5+(6*'V06 Calend 01'!E5))),('V06 Calend 01'!H5-('V06 Calend 01'!I5*('V06 Calend 01'!E5-1))),'V06 Calend 01'!I5),0))+IF((41='V06 Calend 01'!D5),'V06 Calend 01'!J5,0))</f>
        <v>0</v>
      </c>
      <c r="BB5" s="2">
        <f>((IF((42='V06 Calend 01'!C5),('V06 Calend 01'!F5+'V06 Calend 01'!G5),0)+IF(AND(('V06 Calend 01'!E5&gt;0),(42&gt;'V06 Calend 01'!C5),(42&lt;'V06 Calend 01'!D5),(MOD((42-'V06 Calend 01'!C5),6)=0),(((42-'V06 Calend 01'!C5)/6)&lt;='V06 Calend 01'!E5)),IF((42=('V06 Calend 01'!C5+(6*'V06 Calend 01'!E5))),('V06 Calend 01'!H5-('V06 Calend 01'!I5*('V06 Calend 01'!E5-1))),'V06 Calend 01'!I5),0))+IF((42='V06 Calend 01'!D5),'V06 Calend 01'!J5,0))</f>
        <v>0</v>
      </c>
      <c r="BC5" s="2">
        <f>((IF((43='V06 Calend 01'!C5),('V06 Calend 01'!F5+'V06 Calend 01'!G5),0)+IF(AND(('V06 Calend 01'!E5&gt;0),(43&gt;'V06 Calend 01'!C5),(43&lt;'V06 Calend 01'!D5),(MOD((43-'V06 Calend 01'!C5),6)=0),(((43-'V06 Calend 01'!C5)/6)&lt;='V06 Calend 01'!E5)),IF((43=('V06 Calend 01'!C5+(6*'V06 Calend 01'!E5))),('V06 Calend 01'!H5-('V06 Calend 01'!I5*('V06 Calend 01'!E5-1))),'V06 Calend 01'!I5),0))+IF((43='V06 Calend 01'!D5),'V06 Calend 01'!J5,0))</f>
        <v>0</v>
      </c>
      <c r="BD5" s="2">
        <f>((IF((44='V06 Calend 01'!C5),('V06 Calend 01'!F5+'V06 Calend 01'!G5),0)+IF(AND(('V06 Calend 01'!E5&gt;0),(44&gt;'V06 Calend 01'!C5),(44&lt;'V06 Calend 01'!D5),(MOD((44-'V06 Calend 01'!C5),6)=0),(((44-'V06 Calend 01'!C5)/6)&lt;='V06 Calend 01'!E5)),IF((44=('V06 Calend 01'!C5+(6*'V06 Calend 01'!E5))),('V06 Calend 01'!H5-('V06 Calend 01'!I5*('V06 Calend 01'!E5-1))),'V06 Calend 01'!I5),0))+IF((44='V06 Calend 01'!D5),'V06 Calend 01'!J5,0))</f>
        <v>0</v>
      </c>
      <c r="BE5" s="2">
        <f>((IF((45='V06 Calend 01'!C5),('V06 Calend 01'!F5+'V06 Calend 01'!G5),0)+IF(AND(('V06 Calend 01'!E5&gt;0),(45&gt;'V06 Calend 01'!C5),(45&lt;'V06 Calend 01'!D5),(MOD((45-'V06 Calend 01'!C5),6)=0),(((45-'V06 Calend 01'!C5)/6)&lt;='V06 Calend 01'!E5)),IF((45=('V06 Calend 01'!C5+(6*'V06 Calend 01'!E5))),('V06 Calend 01'!H5-('V06 Calend 01'!I5*('V06 Calend 01'!E5-1))),'V06 Calend 01'!I5),0))+IF((45='V06 Calend 01'!D5),'V06 Calend 01'!J5,0))</f>
        <v>0</v>
      </c>
      <c r="BF5" s="2">
        <f>((IF((46='V06 Calend 01'!C5),('V06 Calend 01'!F5+'V06 Calend 01'!G5),0)+IF(AND(('V06 Calend 01'!E5&gt;0),(46&gt;'V06 Calend 01'!C5),(46&lt;'V06 Calend 01'!D5),(MOD((46-'V06 Calend 01'!C5),6)=0),(((46-'V06 Calend 01'!C5)/6)&lt;='V06 Calend 01'!E5)),IF((46=('V06 Calend 01'!C5+(6*'V06 Calend 01'!E5))),('V06 Calend 01'!H5-('V06 Calend 01'!I5*('V06 Calend 01'!E5-1))),'V06 Calend 01'!I5),0))+IF((46='V06 Calend 01'!D5),'V06 Calend 01'!J5,0))</f>
        <v>0</v>
      </c>
      <c r="BG5" s="2">
        <f>((IF((47='V06 Calend 01'!C5),('V06 Calend 01'!F5+'V06 Calend 01'!G5),0)+IF(AND(('V06 Calend 01'!E5&gt;0),(47&gt;'V06 Calend 01'!C5),(47&lt;'V06 Calend 01'!D5),(MOD((47-'V06 Calend 01'!C5),6)=0),(((47-'V06 Calend 01'!C5)/6)&lt;='V06 Calend 01'!E5)),IF((47=('V06 Calend 01'!C5+(6*'V06 Calend 01'!E5))),('V06 Calend 01'!H5-('V06 Calend 01'!I5*('V06 Calend 01'!E5-1))),'V06 Calend 01'!I5),0))+IF((47='V06 Calend 01'!D5),'V06 Calend 01'!J5,0))</f>
        <v>0</v>
      </c>
      <c r="BH5" s="2">
        <f>((IF((48='V06 Calend 01'!C5),('V06 Calend 01'!F5+'V06 Calend 01'!G5),0)+IF(AND(('V06 Calend 01'!E5&gt;0),(48&gt;'V06 Calend 01'!C5),(48&lt;'V06 Calend 01'!D5),(MOD((48-'V06 Calend 01'!C5),6)=0),(((48-'V06 Calend 01'!C5)/6)&lt;='V06 Calend 01'!E5)),IF((48=('V06 Calend 01'!C5+(6*'V06 Calend 01'!E5))),('V06 Calend 01'!H5-('V06 Calend 01'!I5*('V06 Calend 01'!E5-1))),'V06 Calend 01'!I5),0))+IF((48='V06 Calend 01'!D5),'V06 Calend 01'!J5,0))</f>
        <v>0</v>
      </c>
      <c r="BI5" s="2">
        <f>((IF((49='V06 Calend 01'!C5),('V06 Calend 01'!F5+'V06 Calend 01'!G5),0)+IF(AND(('V06 Calend 01'!E5&gt;0),(49&gt;'V06 Calend 01'!C5),(49&lt;'V06 Calend 01'!D5),(MOD((49-'V06 Calend 01'!C5),6)=0),(((49-'V06 Calend 01'!C5)/6)&lt;='V06 Calend 01'!E5)),IF((49=('V06 Calend 01'!C5+(6*'V06 Calend 01'!E5))),('V06 Calend 01'!H5-('V06 Calend 01'!I5*('V06 Calend 01'!E5-1))),'V06 Calend 01'!I5),0))+IF((49='V06 Calend 01'!D5),'V06 Calend 01'!J5,0))</f>
        <v>0</v>
      </c>
      <c r="BJ5" s="2">
        <f>((IF((50='V06 Calend 01'!C5),('V06 Calend 01'!F5+'V06 Calend 01'!G5),0)+IF(AND(('V06 Calend 01'!E5&gt;0),(50&gt;'V06 Calend 01'!C5),(50&lt;'V06 Calend 01'!D5),(MOD((50-'V06 Calend 01'!C5),6)=0),(((50-'V06 Calend 01'!C5)/6)&lt;='V06 Calend 01'!E5)),IF((50=('V06 Calend 01'!C5+(6*'V06 Calend 01'!E5))),('V06 Calend 01'!H5-('V06 Calend 01'!I5*('V06 Calend 01'!E5-1))),'V06 Calend 01'!I5),0))+IF((50='V06 Calend 01'!D5),'V06 Calend 01'!J5,0))</f>
        <v>0</v>
      </c>
      <c r="BK5" s="2">
        <f>((IF((51='V06 Calend 01'!C5),('V06 Calend 01'!F5+'V06 Calend 01'!G5),0)+IF(AND(('V06 Calend 01'!E5&gt;0),(51&gt;'V06 Calend 01'!C5),(51&lt;'V06 Calend 01'!D5),(MOD((51-'V06 Calend 01'!C5),6)=0),(((51-'V06 Calend 01'!C5)/6)&lt;='V06 Calend 01'!E5)),IF((51=('V06 Calend 01'!C5+(6*'V06 Calend 01'!E5))),('V06 Calend 01'!H5-('V06 Calend 01'!I5*('V06 Calend 01'!E5-1))),'V06 Calend 01'!I5),0))+IF((51='V06 Calend 01'!D5),'V06 Calend 01'!J5,0))</f>
        <v>0</v>
      </c>
      <c r="BL5" s="2">
        <f>((IF((52='V06 Calend 01'!C5),('V06 Calend 01'!F5+'V06 Calend 01'!G5),0)+IF(AND(('V06 Calend 01'!E5&gt;0),(52&gt;'V06 Calend 01'!C5),(52&lt;'V06 Calend 01'!D5),(MOD((52-'V06 Calend 01'!C5),6)=0),(((52-'V06 Calend 01'!C5)/6)&lt;='V06 Calend 01'!E5)),IF((52=('V06 Calend 01'!C5+(6*'V06 Calend 01'!E5))),('V06 Calend 01'!H5-('V06 Calend 01'!I5*('V06 Calend 01'!E5-1))),'V06 Calend 01'!I5),0))+IF((52='V06 Calend 01'!D5),'V06 Calend 01'!J5,0))</f>
        <v>0</v>
      </c>
      <c r="BM5" s="2">
        <f>((IF((53='V06 Calend 01'!C5),('V06 Calend 01'!F5+'V06 Calend 01'!G5),0)+IF(AND(('V06 Calend 01'!E5&gt;0),(53&gt;'V06 Calend 01'!C5),(53&lt;'V06 Calend 01'!D5),(MOD((53-'V06 Calend 01'!C5),6)=0),(((53-'V06 Calend 01'!C5)/6)&lt;='V06 Calend 01'!E5)),IF((53=('V06 Calend 01'!C5+(6*'V06 Calend 01'!E5))),('V06 Calend 01'!H5-('V06 Calend 01'!I5*('V06 Calend 01'!E5-1))),'V06 Calend 01'!I5),0))+IF((53='V06 Calend 01'!D5),'V06 Calend 01'!J5,0))</f>
        <v>0</v>
      </c>
      <c r="BN5" s="2">
        <f>((IF((54='V06 Calend 01'!C5),('V06 Calend 01'!F5+'V06 Calend 01'!G5),0)+IF(AND(('V06 Calend 01'!E5&gt;0),(54&gt;'V06 Calend 01'!C5),(54&lt;'V06 Calend 01'!D5),(MOD((54-'V06 Calend 01'!C5),6)=0),(((54-'V06 Calend 01'!C5)/6)&lt;='V06 Calend 01'!E5)),IF((54=('V06 Calend 01'!C5+(6*'V06 Calend 01'!E5))),('V06 Calend 01'!H5-('V06 Calend 01'!I5*('V06 Calend 01'!E5-1))),'V06 Calend 01'!I5),0))+IF((54='V06 Calend 01'!D5),'V06 Calend 01'!J5,0))</f>
        <v>0</v>
      </c>
      <c r="BO5" s="2">
        <f>((IF((55='V06 Calend 01'!C5),('V06 Calend 01'!F5+'V06 Calend 01'!G5),0)+IF(AND(('V06 Calend 01'!E5&gt;0),(55&gt;'V06 Calend 01'!C5),(55&lt;'V06 Calend 01'!D5),(MOD((55-'V06 Calend 01'!C5),6)=0),(((55-'V06 Calend 01'!C5)/6)&lt;='V06 Calend 01'!E5)),IF((55=('V06 Calend 01'!C5+(6*'V06 Calend 01'!E5))),('V06 Calend 01'!H5-('V06 Calend 01'!I5*('V06 Calend 01'!E5-1))),'V06 Calend 01'!I5),0))+IF((55='V06 Calend 01'!D5),'V06 Calend 01'!J5,0))</f>
        <v>0</v>
      </c>
      <c r="BP5" s="2">
        <f>((IF((56='V06 Calend 01'!C5),('V06 Calend 01'!F5+'V06 Calend 01'!G5),0)+IF(AND(('V06 Calend 01'!E5&gt;0),(56&gt;'V06 Calend 01'!C5),(56&lt;'V06 Calend 01'!D5),(MOD((56-'V06 Calend 01'!C5),6)=0),(((56-'V06 Calend 01'!C5)/6)&lt;='V06 Calend 01'!E5)),IF((56=('V06 Calend 01'!C5+(6*'V06 Calend 01'!E5))),('V06 Calend 01'!H5-('V06 Calend 01'!I5*('V06 Calend 01'!E5-1))),'V06 Calend 01'!I5),0))+IF((56='V06 Calend 01'!D5),'V06 Calend 01'!J5,0))</f>
        <v>0</v>
      </c>
      <c r="BQ5" s="2">
        <f>((IF((57='V06 Calend 01'!C5),('V06 Calend 01'!F5+'V06 Calend 01'!G5),0)+IF(AND(('V06 Calend 01'!E5&gt;0),(57&gt;'V06 Calend 01'!C5),(57&lt;'V06 Calend 01'!D5),(MOD((57-'V06 Calend 01'!C5),6)=0),(((57-'V06 Calend 01'!C5)/6)&lt;='V06 Calend 01'!E5)),IF((57=('V06 Calend 01'!C5+(6*'V06 Calend 01'!E5))),('V06 Calend 01'!H5-('V06 Calend 01'!I5*('V06 Calend 01'!E5-1))),'V06 Calend 01'!I5),0))+IF((57='V06 Calend 01'!D5),'V06 Calend 01'!J5,0))</f>
        <v>0</v>
      </c>
      <c r="BR5" s="2">
        <f>((IF((58='V06 Calend 01'!C5),('V06 Calend 01'!F5+'V06 Calend 01'!G5),0)+IF(AND(('V06 Calend 01'!E5&gt;0),(58&gt;'V06 Calend 01'!C5),(58&lt;'V06 Calend 01'!D5),(MOD((58-'V06 Calend 01'!C5),6)=0),(((58-'V06 Calend 01'!C5)/6)&lt;='V06 Calend 01'!E5)),IF((58=('V06 Calend 01'!C5+(6*'V06 Calend 01'!E5))),('V06 Calend 01'!H5-('V06 Calend 01'!I5*('V06 Calend 01'!E5-1))),'V06 Calend 01'!I5),0))+IF((58='V06 Calend 01'!D5),'V06 Calend 01'!J5,0))</f>
        <v>0</v>
      </c>
      <c r="BS5" s="2">
        <f>((IF((59='V06 Calend 01'!C5),('V06 Calend 01'!F5+'V06 Calend 01'!G5),0)+IF(AND(('V06 Calend 01'!E5&gt;0),(59&gt;'V06 Calend 01'!C5),(59&lt;'V06 Calend 01'!D5),(MOD((59-'V06 Calend 01'!C5),6)=0),(((59-'V06 Calend 01'!C5)/6)&lt;='V06 Calend 01'!E5)),IF((59=('V06 Calend 01'!C5+(6*'V06 Calend 01'!E5))),('V06 Calend 01'!H5-('V06 Calend 01'!I5*('V06 Calend 01'!E5-1))),'V06 Calend 01'!I5),0))+IF((59='V06 Calend 01'!D5),'V06 Calend 01'!J5,0))</f>
        <v>0</v>
      </c>
      <c r="BT5" s="2">
        <f>((IF((60='V06 Calend 01'!C5),('V06 Calend 01'!F5+'V06 Calend 01'!G5),0)+IF(AND(('V06 Calend 01'!E5&gt;0),(60&gt;'V06 Calend 01'!C5),(60&lt;'V06 Calend 01'!D5),(MOD((60-'V06 Calend 01'!C5),6)=0),(((60-'V06 Calend 01'!C5)/6)&lt;='V06 Calend 01'!E5)),IF((60=('V06 Calend 01'!C5+(6*'V06 Calend 01'!E5))),('V06 Calend 01'!H5-('V06 Calend 01'!I5*('V06 Calend 01'!E5-1))),'V06 Calend 01'!I5),0))+IF((60='V06 Calend 01'!D5),'V06 Calend 01'!J5,0))</f>
        <v>0</v>
      </c>
      <c r="BU5" s="2">
        <f>((IF((61='V06 Calend 01'!C5),('V06 Calend 01'!F5+'V06 Calend 01'!G5),0)+IF(AND(('V06 Calend 01'!E5&gt;0),(61&gt;'V06 Calend 01'!C5),(61&lt;'V06 Calend 01'!D5),(MOD((61-'V06 Calend 01'!C5),6)=0),(((61-'V06 Calend 01'!C5)/6)&lt;='V06 Calend 01'!E5)),IF((61=('V06 Calend 01'!C5+(6*'V06 Calend 01'!E5))),('V06 Calend 01'!H5-('V06 Calend 01'!I5*('V06 Calend 01'!E5-1))),'V06 Calend 01'!I5),0))+IF((61='V06 Calend 01'!D5),'V06 Calend 01'!J5,0))</f>
        <v>0</v>
      </c>
      <c r="BV5" s="2">
        <f>((IF((62='V06 Calend 01'!C5),('V06 Calend 01'!F5+'V06 Calend 01'!G5),0)+IF(AND(('V06 Calend 01'!E5&gt;0),(62&gt;'V06 Calend 01'!C5),(62&lt;'V06 Calend 01'!D5),(MOD((62-'V06 Calend 01'!C5),6)=0),(((62-'V06 Calend 01'!C5)/6)&lt;='V06 Calend 01'!E5)),IF((62=('V06 Calend 01'!C5+(6*'V06 Calend 01'!E5))),('V06 Calend 01'!H5-('V06 Calend 01'!I5*('V06 Calend 01'!E5-1))),'V06 Calend 01'!I5),0))+IF((62='V06 Calend 01'!D5),'V06 Calend 01'!J5,0))</f>
        <v>0</v>
      </c>
      <c r="BW5" s="2">
        <f>((IF((63='V06 Calend 01'!C5),('V06 Calend 01'!F5+'V06 Calend 01'!G5),0)+IF(AND(('V06 Calend 01'!E5&gt;0),(63&gt;'V06 Calend 01'!C5),(63&lt;'V06 Calend 01'!D5),(MOD((63-'V06 Calend 01'!C5),6)=0),(((63-'V06 Calend 01'!C5)/6)&lt;='V06 Calend 01'!E5)),IF((63=('V06 Calend 01'!C5+(6*'V06 Calend 01'!E5))),('V06 Calend 01'!H5-('V06 Calend 01'!I5*('V06 Calend 01'!E5-1))),'V06 Calend 01'!I5),0))+IF((63='V06 Calend 01'!D5),'V06 Calend 01'!J5,0))</f>
        <v>0</v>
      </c>
      <c r="BX5" s="2">
        <f>((IF((64='V06 Calend 01'!C5),('V06 Calend 01'!F5+'V06 Calend 01'!G5),0)+IF(AND(('V06 Calend 01'!E5&gt;0),(64&gt;'V06 Calend 01'!C5),(64&lt;'V06 Calend 01'!D5),(MOD((64-'V06 Calend 01'!C5),6)=0),(((64-'V06 Calend 01'!C5)/6)&lt;='V06 Calend 01'!E5)),IF((64=('V06 Calend 01'!C5+(6*'V06 Calend 01'!E5))),('V06 Calend 01'!H5-('V06 Calend 01'!I5*('V06 Calend 01'!E5-1))),'V06 Calend 01'!I5),0))+IF((64='V06 Calend 01'!D5),'V06 Calend 01'!J5,0))</f>
        <v>0</v>
      </c>
      <c r="BY5" s="2">
        <f>((IF((65='V06 Calend 01'!C5),('V06 Calend 01'!F5+'V06 Calend 01'!G5),0)+IF(AND(('V06 Calend 01'!E5&gt;0),(65&gt;'V06 Calend 01'!C5),(65&lt;'V06 Calend 01'!D5),(MOD((65-'V06 Calend 01'!C5),6)=0),(((65-'V06 Calend 01'!C5)/6)&lt;='V06 Calend 01'!E5)),IF((65=('V06 Calend 01'!C5+(6*'V06 Calend 01'!E5))),('V06 Calend 01'!H5-('V06 Calend 01'!I5*('V06 Calend 01'!E5-1))),'V06 Calend 01'!I5),0))+IF((65='V06 Calend 01'!D5),'V06 Calend 01'!J5,0))</f>
        <v>0</v>
      </c>
      <c r="BZ5" s="2">
        <f>((IF((66='V06 Calend 01'!C5),('V06 Calend 01'!F5+'V06 Calend 01'!G5),0)+IF(AND(('V06 Calend 01'!E5&gt;0),(66&gt;'V06 Calend 01'!C5),(66&lt;'V06 Calend 01'!D5),(MOD((66-'V06 Calend 01'!C5),6)=0),(((66-'V06 Calend 01'!C5)/6)&lt;='V06 Calend 01'!E5)),IF((66=('V06 Calend 01'!C5+(6*'V06 Calend 01'!E5))),('V06 Calend 01'!H5-('V06 Calend 01'!I5*('V06 Calend 01'!E5-1))),'V06 Calend 01'!I5),0))+IF((66='V06 Calend 01'!D5),'V06 Calend 01'!J5,0))</f>
        <v>0</v>
      </c>
      <c r="CA5" s="2">
        <f>((IF((67='V06 Calend 01'!C5),('V06 Calend 01'!F5+'V06 Calend 01'!G5),0)+IF(AND(('V06 Calend 01'!E5&gt;0),(67&gt;'V06 Calend 01'!C5),(67&lt;'V06 Calend 01'!D5),(MOD((67-'V06 Calend 01'!C5),6)=0),(((67-'V06 Calend 01'!C5)/6)&lt;='V06 Calend 01'!E5)),IF((67=('V06 Calend 01'!C5+(6*'V06 Calend 01'!E5))),('V06 Calend 01'!H5-('V06 Calend 01'!I5*('V06 Calend 01'!E5-1))),'V06 Calend 01'!I5),0))+IF((67='V06 Calend 01'!D5),'V06 Calend 01'!J5,0))</f>
        <v>0</v>
      </c>
      <c r="CB5" s="2">
        <f>((IF((68='V06 Calend 01'!C5),('V06 Calend 01'!F5+'V06 Calend 01'!G5),0)+IF(AND(('V06 Calend 01'!E5&gt;0),(68&gt;'V06 Calend 01'!C5),(68&lt;'V06 Calend 01'!D5),(MOD((68-'V06 Calend 01'!C5),6)=0),(((68-'V06 Calend 01'!C5)/6)&lt;='V06 Calend 01'!E5)),IF((68=('V06 Calend 01'!C5+(6*'V06 Calend 01'!E5))),('V06 Calend 01'!H5-('V06 Calend 01'!I5*('V06 Calend 01'!E5-1))),'V06 Calend 01'!I5),0))+IF((68='V06 Calend 01'!D5),'V06 Calend 01'!J5,0))</f>
        <v>0</v>
      </c>
      <c r="CC5" s="2">
        <f>((IF((69='V06 Calend 01'!C5),('V06 Calend 01'!F5+'V06 Calend 01'!G5),0)+IF(AND(('V06 Calend 01'!E5&gt;0),(69&gt;'V06 Calend 01'!C5),(69&lt;'V06 Calend 01'!D5),(MOD((69-'V06 Calend 01'!C5),6)=0),(((69-'V06 Calend 01'!C5)/6)&lt;='V06 Calend 01'!E5)),IF((69=('V06 Calend 01'!C5+(6*'V06 Calend 01'!E5))),('V06 Calend 01'!H5-('V06 Calend 01'!I5*('V06 Calend 01'!E5-1))),'V06 Calend 01'!I5),0))+IF((69='V06 Calend 01'!D5),'V06 Calend 01'!J5,0))</f>
        <v>0</v>
      </c>
      <c r="CD5" s="2">
        <f>((IF((70='V06 Calend 01'!C5),('V06 Calend 01'!F5+'V06 Calend 01'!G5),0)+IF(AND(('V06 Calend 01'!E5&gt;0),(70&gt;'V06 Calend 01'!C5),(70&lt;'V06 Calend 01'!D5),(MOD((70-'V06 Calend 01'!C5),6)=0),(((70-'V06 Calend 01'!C5)/6)&lt;='V06 Calend 01'!E5)),IF((70=('V06 Calend 01'!C5+(6*'V06 Calend 01'!E5))),('V06 Calend 01'!H5-('V06 Calend 01'!I5*('V06 Calend 01'!E5-1))),'V06 Calend 01'!I5),0))+IF((70='V06 Calend 01'!D5),'V06 Calend 01'!J5,0))</f>
        <v>0</v>
      </c>
      <c r="CE5" s="2">
        <f>((IF((71='V06 Calend 01'!C5),('V06 Calend 01'!F5+'V06 Calend 01'!G5),0)+IF(AND(('V06 Calend 01'!E5&gt;0),(71&gt;'V06 Calend 01'!C5),(71&lt;'V06 Calend 01'!D5),(MOD((71-'V06 Calend 01'!C5),6)=0),(((71-'V06 Calend 01'!C5)/6)&lt;='V06 Calend 01'!E5)),IF((71=('V06 Calend 01'!C5+(6*'V06 Calend 01'!E5))),('V06 Calend 01'!H5-('V06 Calend 01'!I5*('V06 Calend 01'!E5-1))),'V06 Calend 01'!I5),0))+IF((71='V06 Calend 01'!D5),'V06 Calend 01'!J5,0))</f>
        <v>0</v>
      </c>
      <c r="CF5" s="2">
        <f>((IF((72='V06 Calend 01'!C5),('V06 Calend 01'!F5+'V06 Calend 01'!G5),0)+IF(AND(('V06 Calend 01'!E5&gt;0),(72&gt;'V06 Calend 01'!C5),(72&lt;'V06 Calend 01'!D5),(MOD((72-'V06 Calend 01'!C5),6)=0),(((72-'V06 Calend 01'!C5)/6)&lt;='V06 Calend 01'!E5)),IF((72=('V06 Calend 01'!C5+(6*'V06 Calend 01'!E5))),('V06 Calend 01'!H5-('V06 Calend 01'!I5*('V06 Calend 01'!E5-1))),'V06 Calend 01'!I5),0))+IF((72='V06 Calend 01'!D5),'V06 Calend 01'!J5,0))</f>
        <v>0</v>
      </c>
      <c r="CG5" s="2">
        <f>((IF((73='V06 Calend 01'!C5),('V06 Calend 01'!F5+'V06 Calend 01'!G5),0)+IF(AND(('V06 Calend 01'!E5&gt;0),(73&gt;'V06 Calend 01'!C5),(73&lt;'V06 Calend 01'!D5),(MOD((73-'V06 Calend 01'!C5),6)=0),(((73-'V06 Calend 01'!C5)/6)&lt;='V06 Calend 01'!E5)),IF((73=('V06 Calend 01'!C5+(6*'V06 Calend 01'!E5))),('V06 Calend 01'!H5-('V06 Calend 01'!I5*('V06 Calend 01'!E5-1))),'V06 Calend 01'!I5),0))+IF((73='V06 Calend 01'!D5),'V06 Calend 01'!J5,0))</f>
        <v>0</v>
      </c>
      <c r="CH5" s="2">
        <f>((IF((74='V06 Calend 01'!C5),('V06 Calend 01'!F5+'V06 Calend 01'!G5),0)+IF(AND(('V06 Calend 01'!E5&gt;0),(74&gt;'V06 Calend 01'!C5),(74&lt;'V06 Calend 01'!D5),(MOD((74-'V06 Calend 01'!C5),6)=0),(((74-'V06 Calend 01'!C5)/6)&lt;='V06 Calend 01'!E5)),IF((74=('V06 Calend 01'!C5+(6*'V06 Calend 01'!E5))),('V06 Calend 01'!H5-('V06 Calend 01'!I5*('V06 Calend 01'!E5-1))),'V06 Calend 01'!I5),0))+IF((74='V06 Calend 01'!D5),'V06 Calend 01'!J5,0))</f>
        <v>0</v>
      </c>
      <c r="CI5" s="2">
        <f>((IF((75='V06 Calend 01'!C5),('V06 Calend 01'!F5+'V06 Calend 01'!G5),0)+IF(AND(('V06 Calend 01'!E5&gt;0),(75&gt;'V06 Calend 01'!C5),(75&lt;'V06 Calend 01'!D5),(MOD((75-'V06 Calend 01'!C5),6)=0),(((75-'V06 Calend 01'!C5)/6)&lt;='V06 Calend 01'!E5)),IF((75=('V06 Calend 01'!C5+(6*'V06 Calend 01'!E5))),('V06 Calend 01'!H5-('V06 Calend 01'!I5*('V06 Calend 01'!E5-1))),'V06 Calend 01'!I5),0))+IF((75='V06 Calend 01'!D5),'V06 Calend 01'!J5,0))</f>
        <v>0</v>
      </c>
      <c r="CJ5" s="2">
        <f>((IF((76='V06 Calend 01'!C5),('V06 Calend 01'!F5+'V06 Calend 01'!G5),0)+IF(AND(('V06 Calend 01'!E5&gt;0),(76&gt;'V06 Calend 01'!C5),(76&lt;'V06 Calend 01'!D5),(MOD((76-'V06 Calend 01'!C5),6)=0),(((76-'V06 Calend 01'!C5)/6)&lt;='V06 Calend 01'!E5)),IF((76=('V06 Calend 01'!C5+(6*'V06 Calend 01'!E5))),('V06 Calend 01'!H5-('V06 Calend 01'!I5*('V06 Calend 01'!E5-1))),'V06 Calend 01'!I5),0))+IF((76='V06 Calend 01'!D5),'V06 Calend 01'!J5,0))</f>
        <v>0</v>
      </c>
      <c r="CK5" s="2">
        <f>((IF((77='V06 Calend 01'!C5),('V06 Calend 01'!F5+'V06 Calend 01'!G5),0)+IF(AND(('V06 Calend 01'!E5&gt;0),(77&gt;'V06 Calend 01'!C5),(77&lt;'V06 Calend 01'!D5),(MOD((77-'V06 Calend 01'!C5),6)=0),(((77-'V06 Calend 01'!C5)/6)&lt;='V06 Calend 01'!E5)),IF((77=('V06 Calend 01'!C5+(6*'V06 Calend 01'!E5))),('V06 Calend 01'!H5-('V06 Calend 01'!I5*('V06 Calend 01'!E5-1))),'V06 Calend 01'!I5),0))+IF((77='V06 Calend 01'!D5),'V06 Calend 01'!J5,0))</f>
        <v>0</v>
      </c>
      <c r="CL5" s="2">
        <f>((IF((78='V06 Calend 01'!C5),('V06 Calend 01'!F5+'V06 Calend 01'!G5),0)+IF(AND(('V06 Calend 01'!E5&gt;0),(78&gt;'V06 Calend 01'!C5),(78&lt;'V06 Calend 01'!D5),(MOD((78-'V06 Calend 01'!C5),6)=0),(((78-'V06 Calend 01'!C5)/6)&lt;='V06 Calend 01'!E5)),IF((78=('V06 Calend 01'!C5+(6*'V06 Calend 01'!E5))),('V06 Calend 01'!H5-('V06 Calend 01'!I5*('V06 Calend 01'!E5-1))),'V06 Calend 01'!I5),0))+IF((78='V06 Calend 01'!D5),'V06 Calend 01'!J5,0))</f>
        <v>0</v>
      </c>
      <c r="CM5" s="2">
        <f>((IF((79='V06 Calend 01'!C5),('V06 Calend 01'!F5+'V06 Calend 01'!G5),0)+IF(AND(('V06 Calend 01'!E5&gt;0),(79&gt;'V06 Calend 01'!C5),(79&lt;'V06 Calend 01'!D5),(MOD((79-'V06 Calend 01'!C5),6)=0),(((79-'V06 Calend 01'!C5)/6)&lt;='V06 Calend 01'!E5)),IF((79=('V06 Calend 01'!C5+(6*'V06 Calend 01'!E5))),('V06 Calend 01'!H5-('V06 Calend 01'!I5*('V06 Calend 01'!E5-1))),'V06 Calend 01'!I5),0))+IF((79='V06 Calend 01'!D5),'V06 Calend 01'!J5,0))</f>
        <v>0</v>
      </c>
      <c r="CN5" s="2">
        <f>((IF((80='V06 Calend 01'!C5),('V06 Calend 01'!F5+'V06 Calend 01'!G5),0)+IF(AND(('V06 Calend 01'!E5&gt;0),(80&gt;'V06 Calend 01'!C5),(80&lt;'V06 Calend 01'!D5),(MOD((80-'V06 Calend 01'!C5),6)=0),(((80-'V06 Calend 01'!C5)/6)&lt;='V06 Calend 01'!E5)),IF((80=('V06 Calend 01'!C5+(6*'V06 Calend 01'!E5))),('V06 Calend 01'!H5-('V06 Calend 01'!I5*('V06 Calend 01'!E5-1))),'V06 Calend 01'!I5),0))+IF((80='V06 Calend 01'!D5),'V06 Calend 01'!J5,0))</f>
        <v>0</v>
      </c>
      <c r="CO5" s="2">
        <f>((IF((81='V06 Calend 01'!C5),('V06 Calend 01'!F5+'V06 Calend 01'!G5),0)+IF(AND(('V06 Calend 01'!E5&gt;0),(81&gt;'V06 Calend 01'!C5),(81&lt;'V06 Calend 01'!D5),(MOD((81-'V06 Calend 01'!C5),6)=0),(((81-'V06 Calend 01'!C5)/6)&lt;='V06 Calend 01'!E5)),IF((81=('V06 Calend 01'!C5+(6*'V06 Calend 01'!E5))),('V06 Calend 01'!H5-('V06 Calend 01'!I5*('V06 Calend 01'!E5-1))),'V06 Calend 01'!I5),0))+IF((81='V06 Calend 01'!D5),'V06 Calend 01'!J5,0))</f>
        <v>0</v>
      </c>
      <c r="CP5" s="2">
        <f>((IF((82='V06 Calend 01'!C5),('V06 Calend 01'!F5+'V06 Calend 01'!G5),0)+IF(AND(('V06 Calend 01'!E5&gt;0),(82&gt;'V06 Calend 01'!C5),(82&lt;'V06 Calend 01'!D5),(MOD((82-'V06 Calend 01'!C5),6)=0),(((82-'V06 Calend 01'!C5)/6)&lt;='V06 Calend 01'!E5)),IF((82=('V06 Calend 01'!C5+(6*'V06 Calend 01'!E5))),('V06 Calend 01'!H5-('V06 Calend 01'!I5*('V06 Calend 01'!E5-1))),'V06 Calend 01'!I5),0))+IF((82='V06 Calend 01'!D5),'V06 Calend 01'!J5,0))</f>
        <v>0</v>
      </c>
      <c r="CQ5" s="2">
        <f>((IF((83='V06 Calend 01'!C5),('V06 Calend 01'!F5+'V06 Calend 01'!G5),0)+IF(AND(('V06 Calend 01'!E5&gt;0),(83&gt;'V06 Calend 01'!C5),(83&lt;'V06 Calend 01'!D5),(MOD((83-'V06 Calend 01'!C5),6)=0),(((83-'V06 Calend 01'!C5)/6)&lt;='V06 Calend 01'!E5)),IF((83=('V06 Calend 01'!C5+(6*'V06 Calend 01'!E5))),('V06 Calend 01'!H5-('V06 Calend 01'!I5*('V06 Calend 01'!E5-1))),'V06 Calend 01'!I5),0))+IF((83='V06 Calend 01'!D5),'V06 Calend 01'!J5,0))</f>
        <v>0</v>
      </c>
      <c r="CR5" s="2">
        <f>((IF((84='V06 Calend 01'!C5),('V06 Calend 01'!F5+'V06 Calend 01'!G5),0)+IF(AND(('V06 Calend 01'!E5&gt;0),(84&gt;'V06 Calend 01'!C5),(84&lt;'V06 Calend 01'!D5),(MOD((84-'V06 Calend 01'!C5),6)=0),(((84-'V06 Calend 01'!C5)/6)&lt;='V06 Calend 01'!E5)),IF((84=('V06 Calend 01'!C5+(6*'V06 Calend 01'!E5))),('V06 Calend 01'!H5-('V06 Calend 01'!I5*('V06 Calend 01'!E5-1))),'V06 Calend 01'!I5),0))+IF((84='V06 Calend 01'!D5),'V06 Calend 01'!J5,0))</f>
        <v>0</v>
      </c>
      <c r="CS5" s="2">
        <f>((IF((85='V06 Calend 01'!C5),('V06 Calend 01'!F5+'V06 Calend 01'!G5),0)+IF(AND(('V06 Calend 01'!E5&gt;0),(85&gt;'V06 Calend 01'!C5),(85&lt;'V06 Calend 01'!D5),(MOD((85-'V06 Calend 01'!C5),6)=0),(((85-'V06 Calend 01'!C5)/6)&lt;='V06 Calend 01'!E5)),IF((85=('V06 Calend 01'!C5+(6*'V06 Calend 01'!E5))),('V06 Calend 01'!H5-('V06 Calend 01'!I5*('V06 Calend 01'!E5-1))),'V06 Calend 01'!I5),0))+IF((85='V06 Calend 01'!D5),'V06 Calend 01'!J5,0))</f>
        <v>0</v>
      </c>
      <c r="CT5" s="2">
        <f>((IF((86='V06 Calend 01'!C5),('V06 Calend 01'!F5+'V06 Calend 01'!G5),0)+IF(AND(('V06 Calend 01'!E5&gt;0),(86&gt;'V06 Calend 01'!C5),(86&lt;'V06 Calend 01'!D5),(MOD((86-'V06 Calend 01'!C5),6)=0),(((86-'V06 Calend 01'!C5)/6)&lt;='V06 Calend 01'!E5)),IF((86=('V06 Calend 01'!C5+(6*'V06 Calend 01'!E5))),('V06 Calend 01'!H5-('V06 Calend 01'!I5*('V06 Calend 01'!E5-1))),'V06 Calend 01'!I5),0))+IF((86='V06 Calend 01'!D5),'V06 Calend 01'!J5,0))</f>
        <v>0</v>
      </c>
      <c r="CU5" s="2">
        <f>((IF((87='V06 Calend 01'!C5),('V06 Calend 01'!F5+'V06 Calend 01'!G5),0)+IF(AND(('V06 Calend 01'!E5&gt;0),(87&gt;'V06 Calend 01'!C5),(87&lt;'V06 Calend 01'!D5),(MOD((87-'V06 Calend 01'!C5),6)=0),(((87-'V06 Calend 01'!C5)/6)&lt;='V06 Calend 01'!E5)),IF((87=('V06 Calend 01'!C5+(6*'V06 Calend 01'!E5))),('V06 Calend 01'!H5-('V06 Calend 01'!I5*('V06 Calend 01'!E5-1))),'V06 Calend 01'!I5),0))+IF((87='V06 Calend 01'!D5),'V06 Calend 01'!J5,0))</f>
        <v>0</v>
      </c>
      <c r="CV5" s="2">
        <f>((IF((88='V06 Calend 01'!C5),('V06 Calend 01'!F5+'V06 Calend 01'!G5),0)+IF(AND(('V06 Calend 01'!E5&gt;0),(88&gt;'V06 Calend 01'!C5),(88&lt;'V06 Calend 01'!D5),(MOD((88-'V06 Calend 01'!C5),6)=0),(((88-'V06 Calend 01'!C5)/6)&lt;='V06 Calend 01'!E5)),IF((88=('V06 Calend 01'!C5+(6*'V06 Calend 01'!E5))),('V06 Calend 01'!H5-('V06 Calend 01'!I5*('V06 Calend 01'!E5-1))),'V06 Calend 01'!I5),0))+IF((88='V06 Calend 01'!D5),'V06 Calend 01'!J5,0))</f>
        <v>0</v>
      </c>
      <c r="CW5" s="2">
        <f>((IF((89='V06 Calend 01'!C5),('V06 Calend 01'!F5+'V06 Calend 01'!G5),0)+IF(AND(('V06 Calend 01'!E5&gt;0),(89&gt;'V06 Calend 01'!C5),(89&lt;'V06 Calend 01'!D5),(MOD((89-'V06 Calend 01'!C5),6)=0),(((89-'V06 Calend 01'!C5)/6)&lt;='V06 Calend 01'!E5)),IF((89=('V06 Calend 01'!C5+(6*'V06 Calend 01'!E5))),('V06 Calend 01'!H5-('V06 Calend 01'!I5*('V06 Calend 01'!E5-1))),'V06 Calend 01'!I5),0))+IF((89='V06 Calend 01'!D5),'V06 Calend 01'!J5,0))</f>
        <v>0</v>
      </c>
      <c r="CX5" s="2">
        <f>((IF((90='V06 Calend 01'!C5),('V06 Calend 01'!F5+'V06 Calend 01'!G5),0)+IF(AND(('V06 Calend 01'!E5&gt;0),(90&gt;'V06 Calend 01'!C5),(90&lt;'V06 Calend 01'!D5),(MOD((90-'V06 Calend 01'!C5),6)=0),(((90-'V06 Calend 01'!C5)/6)&lt;='V06 Calend 01'!E5)),IF((90=('V06 Calend 01'!C5+(6*'V06 Calend 01'!E5))),('V06 Calend 01'!H5-('V06 Calend 01'!I5*('V06 Calend 01'!E5-1))),'V06 Calend 01'!I5),0))+IF((90='V06 Calend 01'!D5),'V06 Calend 01'!J5,0))</f>
        <v>0</v>
      </c>
      <c r="CY5" s="2">
        <f>((IF((91='V06 Calend 01'!C5),('V06 Calend 01'!F5+'V06 Calend 01'!G5),0)+IF(AND(('V06 Calend 01'!E5&gt;0),(91&gt;'V06 Calend 01'!C5),(91&lt;'V06 Calend 01'!D5),(MOD((91-'V06 Calend 01'!C5),6)=0),(((91-'V06 Calend 01'!C5)/6)&lt;='V06 Calend 01'!E5)),IF((91=('V06 Calend 01'!C5+(6*'V06 Calend 01'!E5))),('V06 Calend 01'!H5-('V06 Calend 01'!I5*('V06 Calend 01'!E5-1))),'V06 Calend 01'!I5),0))+IF((91='V06 Calend 01'!D5),'V06 Calend 01'!J5,0))</f>
        <v>0</v>
      </c>
      <c r="CZ5" s="2">
        <f>((IF((92='V06 Calend 01'!C5),('V06 Calend 01'!F5+'V06 Calend 01'!G5),0)+IF(AND(('V06 Calend 01'!E5&gt;0),(92&gt;'V06 Calend 01'!C5),(92&lt;'V06 Calend 01'!D5),(MOD((92-'V06 Calend 01'!C5),6)=0),(((92-'V06 Calend 01'!C5)/6)&lt;='V06 Calend 01'!E5)),IF((92=('V06 Calend 01'!C5+(6*'V06 Calend 01'!E5))),('V06 Calend 01'!H5-('V06 Calend 01'!I5*('V06 Calend 01'!E5-1))),'V06 Calend 01'!I5),0))+IF((92='V06 Calend 01'!D5),'V06 Calend 01'!J5,0))</f>
        <v>0</v>
      </c>
      <c r="DA5" s="2">
        <f>((IF((93='V06 Calend 01'!C5),('V06 Calend 01'!F5+'V06 Calend 01'!G5),0)+IF(AND(('V06 Calend 01'!E5&gt;0),(93&gt;'V06 Calend 01'!C5),(93&lt;'V06 Calend 01'!D5),(MOD((93-'V06 Calend 01'!C5),6)=0),(((93-'V06 Calend 01'!C5)/6)&lt;='V06 Calend 01'!E5)),IF((93=('V06 Calend 01'!C5+(6*'V06 Calend 01'!E5))),('V06 Calend 01'!H5-('V06 Calend 01'!I5*('V06 Calend 01'!E5-1))),'V06 Calend 01'!I5),0))+IF((93='V06 Calend 01'!D5),'V06 Calend 01'!J5,0))</f>
        <v>0</v>
      </c>
      <c r="DB5" s="2">
        <f>((IF((94='V06 Calend 01'!C5),('V06 Calend 01'!F5+'V06 Calend 01'!G5),0)+IF(AND(('V06 Calend 01'!E5&gt;0),(94&gt;'V06 Calend 01'!C5),(94&lt;'V06 Calend 01'!D5),(MOD((94-'V06 Calend 01'!C5),6)=0),(((94-'V06 Calend 01'!C5)/6)&lt;='V06 Calend 01'!E5)),IF((94=('V06 Calend 01'!C5+(6*'V06 Calend 01'!E5))),('V06 Calend 01'!H5-('V06 Calend 01'!I5*('V06 Calend 01'!E5-1))),'V06 Calend 01'!I5),0))+IF((94='V06 Calend 01'!D5),'V06 Calend 01'!J5,0))</f>
        <v>0</v>
      </c>
      <c r="DC5" s="2">
        <f>((IF((95='V06 Calend 01'!C5),('V06 Calend 01'!F5+'V06 Calend 01'!G5),0)+IF(AND(('V06 Calend 01'!E5&gt;0),(95&gt;'V06 Calend 01'!C5),(95&lt;'V06 Calend 01'!D5),(MOD((95-'V06 Calend 01'!C5),6)=0),(((95-'V06 Calend 01'!C5)/6)&lt;='V06 Calend 01'!E5)),IF((95=('V06 Calend 01'!C5+(6*'V06 Calend 01'!E5))),('V06 Calend 01'!H5-('V06 Calend 01'!I5*('V06 Calend 01'!E5-1))),'V06 Calend 01'!I5),0))+IF((95='V06 Calend 01'!D5),'V06 Calend 01'!J5,0))</f>
        <v>0</v>
      </c>
      <c r="DD5" s="2">
        <f>((IF((96='V06 Calend 01'!C5),('V06 Calend 01'!F5+'V06 Calend 01'!G5),0)+IF(AND(('V06 Calend 01'!E5&gt;0),(96&gt;'V06 Calend 01'!C5),(96&lt;'V06 Calend 01'!D5),(MOD((96-'V06 Calend 01'!C5),6)=0),(((96-'V06 Calend 01'!C5)/6)&lt;='V06 Calend 01'!E5)),IF((96=('V06 Calend 01'!C5+(6*'V06 Calend 01'!E5))),('V06 Calend 01'!H5-('V06 Calend 01'!I5*('V06 Calend 01'!E5-1))),'V06 Calend 01'!I5),0))+IF((96='V06 Calend 01'!D5),'V06 Calend 01'!J5,0))</f>
        <v>0</v>
      </c>
      <c r="DE5" s="2">
        <f>((IF((97='V06 Calend 01'!C5),('V06 Calend 01'!F5+'V06 Calend 01'!G5),0)+IF(AND(('V06 Calend 01'!E5&gt;0),(97&gt;'V06 Calend 01'!C5),(97&lt;'V06 Calend 01'!D5),(MOD((97-'V06 Calend 01'!C5),6)=0),(((97-'V06 Calend 01'!C5)/6)&lt;='V06 Calend 01'!E5)),IF((97=('V06 Calend 01'!C5+(6*'V06 Calend 01'!E5))),('V06 Calend 01'!H5-('V06 Calend 01'!I5*('V06 Calend 01'!E5-1))),'V06 Calend 01'!I5),0))+IF((97='V06 Calend 01'!D5),'V06 Calend 01'!J5,0))</f>
        <v>0</v>
      </c>
      <c r="DF5" s="2">
        <f>((IF((98='V06 Calend 01'!C5),('V06 Calend 01'!F5+'V06 Calend 01'!G5),0)+IF(AND(('V06 Calend 01'!E5&gt;0),(98&gt;'V06 Calend 01'!C5),(98&lt;'V06 Calend 01'!D5),(MOD((98-'V06 Calend 01'!C5),6)=0),(((98-'V06 Calend 01'!C5)/6)&lt;='V06 Calend 01'!E5)),IF((98=('V06 Calend 01'!C5+(6*'V06 Calend 01'!E5))),('V06 Calend 01'!H5-('V06 Calend 01'!I5*('V06 Calend 01'!E5-1))),'V06 Calend 01'!I5),0))+IF((98='V06 Calend 01'!D5),'V06 Calend 01'!J5,0))</f>
        <v>0</v>
      </c>
      <c r="DG5" s="2">
        <f>((IF((99='V06 Calend 01'!C5),('V06 Calend 01'!F5+'V06 Calend 01'!G5),0)+IF(AND(('V06 Calend 01'!E5&gt;0),(99&gt;'V06 Calend 01'!C5),(99&lt;'V06 Calend 01'!D5),(MOD((99-'V06 Calend 01'!C5),6)=0),(((99-'V06 Calend 01'!C5)/6)&lt;='V06 Calend 01'!E5)),IF((99=('V06 Calend 01'!C5+(6*'V06 Calend 01'!E5))),('V06 Calend 01'!H5-('V06 Calend 01'!I5*('V06 Calend 01'!E5-1))),'V06 Calend 01'!I5),0))+IF((99='V06 Calend 01'!D5),'V06 Calend 01'!J5,0))</f>
        <v>0</v>
      </c>
      <c r="DH5" s="2">
        <f>((IF((100='V06 Calend 01'!C5),('V06 Calend 01'!F5+'V06 Calend 01'!G5),0)+IF(AND(('V06 Calend 01'!E5&gt;0),(100&gt;'V06 Calend 01'!C5),(100&lt;'V06 Calend 01'!D5),(MOD((100-'V06 Calend 01'!C5),6)=0),(((100-'V06 Calend 01'!C5)/6)&lt;='V06 Calend 01'!E5)),IF((100=('V06 Calend 01'!C5+(6*'V06 Calend 01'!E5))),('V06 Calend 01'!H5-('V06 Calend 01'!I5*('V06 Calend 01'!E5-1))),'V06 Calend 01'!I5),0))+IF((100='V06 Calend 01'!D5),'V06 Calend 01'!J5,0))</f>
        <v>0</v>
      </c>
      <c r="DI5" s="2">
        <f>((IF((101='V06 Calend 01'!C5),('V06 Calend 01'!F5+'V06 Calend 01'!G5),0)+IF(AND(('V06 Calend 01'!E5&gt;0),(101&gt;'V06 Calend 01'!C5),(101&lt;'V06 Calend 01'!D5),(MOD((101-'V06 Calend 01'!C5),6)=0),(((101-'V06 Calend 01'!C5)/6)&lt;='V06 Calend 01'!E5)),IF((101=('V06 Calend 01'!C5+(6*'V06 Calend 01'!E5))),('V06 Calend 01'!H5-('V06 Calend 01'!I5*('V06 Calend 01'!E5-1))),'V06 Calend 01'!I5),0))+IF((101='V06 Calend 01'!D5),'V06 Calend 01'!J5,0))</f>
        <v>0</v>
      </c>
      <c r="DJ5" s="2">
        <f>((IF((102='V06 Calend 01'!C5),('V06 Calend 01'!F5+'V06 Calend 01'!G5),0)+IF(AND(('V06 Calend 01'!E5&gt;0),(102&gt;'V06 Calend 01'!C5),(102&lt;'V06 Calend 01'!D5),(MOD((102-'V06 Calend 01'!C5),6)=0),(((102-'V06 Calend 01'!C5)/6)&lt;='V06 Calend 01'!E5)),IF((102=('V06 Calend 01'!C5+(6*'V06 Calend 01'!E5))),('V06 Calend 01'!H5-('V06 Calend 01'!I5*('V06 Calend 01'!E5-1))),'V06 Calend 01'!I5),0))+IF((102='V06 Calend 01'!D5),'V06 Calend 01'!J5,0))</f>
        <v>0</v>
      </c>
      <c r="DK5" s="2">
        <f>((IF((103='V06 Calend 01'!C5),('V06 Calend 01'!F5+'V06 Calend 01'!G5),0)+IF(AND(('V06 Calend 01'!E5&gt;0),(103&gt;'V06 Calend 01'!C5),(103&lt;'V06 Calend 01'!D5),(MOD((103-'V06 Calend 01'!C5),6)=0),(((103-'V06 Calend 01'!C5)/6)&lt;='V06 Calend 01'!E5)),IF((103=('V06 Calend 01'!C5+(6*'V06 Calend 01'!E5))),('V06 Calend 01'!H5-('V06 Calend 01'!I5*('V06 Calend 01'!E5-1))),'V06 Calend 01'!I5),0))+IF((103='V06 Calend 01'!D5),'V06 Calend 01'!J5,0))</f>
        <v>0</v>
      </c>
      <c r="DL5" s="2">
        <f>((IF((104='V06 Calend 01'!C5),('V06 Calend 01'!F5+'V06 Calend 01'!G5),0)+IF(AND(('V06 Calend 01'!E5&gt;0),(104&gt;'V06 Calend 01'!C5),(104&lt;'V06 Calend 01'!D5),(MOD((104-'V06 Calend 01'!C5),6)=0),(((104-'V06 Calend 01'!C5)/6)&lt;='V06 Calend 01'!E5)),IF((104=('V06 Calend 01'!C5+(6*'V06 Calend 01'!E5))),('V06 Calend 01'!H5-('V06 Calend 01'!I5*('V06 Calend 01'!E5-1))),'V06 Calend 01'!I5),0))+IF((104='V06 Calend 01'!D5),'V06 Calend 01'!J5,0))</f>
        <v>0</v>
      </c>
      <c r="DM5" s="2">
        <f>((IF((105='V06 Calend 01'!C5),('V06 Calend 01'!F5+'V06 Calend 01'!G5),0)+IF(AND(('V06 Calend 01'!E5&gt;0),(105&gt;'V06 Calend 01'!C5),(105&lt;'V06 Calend 01'!D5),(MOD((105-'V06 Calend 01'!C5),6)=0),(((105-'V06 Calend 01'!C5)/6)&lt;='V06 Calend 01'!E5)),IF((105=('V06 Calend 01'!C5+(6*'V06 Calend 01'!E5))),('V06 Calend 01'!H5-('V06 Calend 01'!I5*('V06 Calend 01'!E5-1))),'V06 Calend 01'!I5),0))+IF((105='V06 Calend 01'!D5),'V06 Calend 01'!J5,0))</f>
        <v>0</v>
      </c>
      <c r="DN5" s="2">
        <f>((IF((106='V06 Calend 01'!C5),('V06 Calend 01'!F5+'V06 Calend 01'!G5),0)+IF(AND(('V06 Calend 01'!E5&gt;0),(106&gt;'V06 Calend 01'!C5),(106&lt;'V06 Calend 01'!D5),(MOD((106-'V06 Calend 01'!C5),6)=0),(((106-'V06 Calend 01'!C5)/6)&lt;='V06 Calend 01'!E5)),IF((106=('V06 Calend 01'!C5+(6*'V06 Calend 01'!E5))),('V06 Calend 01'!H5-('V06 Calend 01'!I5*('V06 Calend 01'!E5-1))),'V06 Calend 01'!I5),0))+IF((106='V06 Calend 01'!D5),'V06 Calend 01'!J5,0))</f>
        <v>0</v>
      </c>
      <c r="DO5" s="2">
        <f>((IF((107='V06 Calend 01'!C5),('V06 Calend 01'!F5+'V06 Calend 01'!G5),0)+IF(AND(('V06 Calend 01'!E5&gt;0),(107&gt;'V06 Calend 01'!C5),(107&lt;'V06 Calend 01'!D5),(MOD((107-'V06 Calend 01'!C5),6)=0),(((107-'V06 Calend 01'!C5)/6)&lt;='V06 Calend 01'!E5)),IF((107=('V06 Calend 01'!C5+(6*'V06 Calend 01'!E5))),('V06 Calend 01'!H5-('V06 Calend 01'!I5*('V06 Calend 01'!E5-1))),'V06 Calend 01'!I5),0))+IF((107='V06 Calend 01'!D5),'V06 Calend 01'!J5,0))</f>
        <v>0</v>
      </c>
      <c r="DP5" s="2">
        <f>((IF((108='V06 Calend 01'!C5),('V06 Calend 01'!F5+'V06 Calend 01'!G5),0)+IF(AND(('V06 Calend 01'!E5&gt;0),(108&gt;'V06 Calend 01'!C5),(108&lt;'V06 Calend 01'!D5),(MOD((108-'V06 Calend 01'!C5),6)=0),(((108-'V06 Calend 01'!C5)/6)&lt;='V06 Calend 01'!E5)),IF((108=('V06 Calend 01'!C5+(6*'V06 Calend 01'!E5))),('V06 Calend 01'!H5-('V06 Calend 01'!I5*('V06 Calend 01'!E5-1))),'V06 Calend 01'!I5),0))+IF((108='V06 Calend 01'!D5),'V06 Calend 01'!J5,0))</f>
        <v>0</v>
      </c>
      <c r="DQ5" s="2">
        <f>((IF((109='V06 Calend 01'!C5),('V06 Calend 01'!F5+'V06 Calend 01'!G5),0)+IF(AND(('V06 Calend 01'!E5&gt;0),(109&gt;'V06 Calend 01'!C5),(109&lt;'V06 Calend 01'!D5),(MOD((109-'V06 Calend 01'!C5),6)=0),(((109-'V06 Calend 01'!C5)/6)&lt;='V06 Calend 01'!E5)),IF((109=('V06 Calend 01'!C5+(6*'V06 Calend 01'!E5))),('V06 Calend 01'!H5-('V06 Calend 01'!I5*('V06 Calend 01'!E5-1))),'V06 Calend 01'!I5),0))+IF((109='V06 Calend 01'!D5),'V06 Calend 01'!J5,0))</f>
        <v>0</v>
      </c>
      <c r="DR5" s="2">
        <f>((IF((110='V06 Calend 01'!C5),('V06 Calend 01'!F5+'V06 Calend 01'!G5),0)+IF(AND(('V06 Calend 01'!E5&gt;0),(110&gt;'V06 Calend 01'!C5),(110&lt;'V06 Calend 01'!D5),(MOD((110-'V06 Calend 01'!C5),6)=0),(((110-'V06 Calend 01'!C5)/6)&lt;='V06 Calend 01'!E5)),IF((110=('V06 Calend 01'!C5+(6*'V06 Calend 01'!E5))),('V06 Calend 01'!H5-('V06 Calend 01'!I5*('V06 Calend 01'!E5-1))),'V06 Calend 01'!I5),0))+IF((110='V06 Calend 01'!D5),'V06 Calend 01'!J5,0))</f>
        <v>0</v>
      </c>
      <c r="DS5" s="2">
        <f>((IF((111='V06 Calend 01'!C5),('V06 Calend 01'!F5+'V06 Calend 01'!G5),0)+IF(AND(('V06 Calend 01'!E5&gt;0),(111&gt;'V06 Calend 01'!C5),(111&lt;'V06 Calend 01'!D5),(MOD((111-'V06 Calend 01'!C5),6)=0),(((111-'V06 Calend 01'!C5)/6)&lt;='V06 Calend 01'!E5)),IF((111=('V06 Calend 01'!C5+(6*'V06 Calend 01'!E5))),('V06 Calend 01'!H5-('V06 Calend 01'!I5*('V06 Calend 01'!E5-1))),'V06 Calend 01'!I5),0))+IF((111='V06 Calend 01'!D5),'V06 Calend 01'!J5,0))</f>
        <v>0</v>
      </c>
      <c r="DT5" s="2">
        <f>((IF((112='V06 Calend 01'!C5),('V06 Calend 01'!F5+'V06 Calend 01'!G5),0)+IF(AND(('V06 Calend 01'!E5&gt;0),(112&gt;'V06 Calend 01'!C5),(112&lt;'V06 Calend 01'!D5),(MOD((112-'V06 Calend 01'!C5),6)=0),(((112-'V06 Calend 01'!C5)/6)&lt;='V06 Calend 01'!E5)),IF((112=('V06 Calend 01'!C5+(6*'V06 Calend 01'!E5))),('V06 Calend 01'!H5-('V06 Calend 01'!I5*('V06 Calend 01'!E5-1))),'V06 Calend 01'!I5),0))+IF((112='V06 Calend 01'!D5),'V06 Calend 01'!J5,0))</f>
        <v>0</v>
      </c>
      <c r="DU5" s="2">
        <f>((IF((113='V06 Calend 01'!C5),('V06 Calend 01'!F5+'V06 Calend 01'!G5),0)+IF(AND(('V06 Calend 01'!E5&gt;0),(113&gt;'V06 Calend 01'!C5),(113&lt;'V06 Calend 01'!D5),(MOD((113-'V06 Calend 01'!C5),6)=0),(((113-'V06 Calend 01'!C5)/6)&lt;='V06 Calend 01'!E5)),IF((113=('V06 Calend 01'!C5+(6*'V06 Calend 01'!E5))),('V06 Calend 01'!H5-('V06 Calend 01'!I5*('V06 Calend 01'!E5-1))),'V06 Calend 01'!I5),0))+IF((113='V06 Calend 01'!D5),'V06 Calend 01'!J5,0))</f>
        <v>0</v>
      </c>
      <c r="DV5" s="2">
        <f>((IF((114='V06 Calend 01'!C5),('V06 Calend 01'!F5+'V06 Calend 01'!G5),0)+IF(AND(('V06 Calend 01'!E5&gt;0),(114&gt;'V06 Calend 01'!C5),(114&lt;'V06 Calend 01'!D5),(MOD((114-'V06 Calend 01'!C5),6)=0),(((114-'V06 Calend 01'!C5)/6)&lt;='V06 Calend 01'!E5)),IF((114=('V06 Calend 01'!C5+(6*'V06 Calend 01'!E5))),('V06 Calend 01'!H5-('V06 Calend 01'!I5*('V06 Calend 01'!E5-1))),'V06 Calend 01'!I5),0))+IF((114='V06 Calend 01'!D5),'V06 Calend 01'!J5,0))</f>
        <v>0</v>
      </c>
      <c r="DW5" s="2">
        <f>((IF((115='V06 Calend 01'!C5),('V06 Calend 01'!F5+'V06 Calend 01'!G5),0)+IF(AND(('V06 Calend 01'!E5&gt;0),(115&gt;'V06 Calend 01'!C5),(115&lt;'V06 Calend 01'!D5),(MOD((115-'V06 Calend 01'!C5),6)=0),(((115-'V06 Calend 01'!C5)/6)&lt;='V06 Calend 01'!E5)),IF((115=('V06 Calend 01'!C5+(6*'V06 Calend 01'!E5))),('V06 Calend 01'!H5-('V06 Calend 01'!I5*('V06 Calend 01'!E5-1))),'V06 Calend 01'!I5),0))+IF((115='V06 Calend 01'!D5),'V06 Calend 01'!J5,0))</f>
        <v>0</v>
      </c>
      <c r="DX5" s="2">
        <f>((IF((116='V06 Calend 01'!C5),('V06 Calend 01'!F5+'V06 Calend 01'!G5),0)+IF(AND(('V06 Calend 01'!E5&gt;0),(116&gt;'V06 Calend 01'!C5),(116&lt;'V06 Calend 01'!D5),(MOD((116-'V06 Calend 01'!C5),6)=0),(((116-'V06 Calend 01'!C5)/6)&lt;='V06 Calend 01'!E5)),IF((116=('V06 Calend 01'!C5+(6*'V06 Calend 01'!E5))),('V06 Calend 01'!H5-('V06 Calend 01'!I5*('V06 Calend 01'!E5-1))),'V06 Calend 01'!I5),0))+IF((116='V06 Calend 01'!D5),'V06 Calend 01'!J5,0))</f>
        <v>0</v>
      </c>
      <c r="DY5" s="2">
        <f>((IF((117='V06 Calend 01'!C5),('V06 Calend 01'!F5+'V06 Calend 01'!G5),0)+IF(AND(('V06 Calend 01'!E5&gt;0),(117&gt;'V06 Calend 01'!C5),(117&lt;'V06 Calend 01'!D5),(MOD((117-'V06 Calend 01'!C5),6)=0),(((117-'V06 Calend 01'!C5)/6)&lt;='V06 Calend 01'!E5)),IF((117=('V06 Calend 01'!C5+(6*'V06 Calend 01'!E5))),('V06 Calend 01'!H5-('V06 Calend 01'!I5*('V06 Calend 01'!E5-1))),'V06 Calend 01'!I5),0))+IF((117='V06 Calend 01'!D5),'V06 Calend 01'!J5,0))</f>
        <v>0</v>
      </c>
      <c r="DZ5" s="2">
        <f>((IF((118='V06 Calend 01'!C5),('V06 Calend 01'!F5+'V06 Calend 01'!G5),0)+IF(AND(('V06 Calend 01'!E5&gt;0),(118&gt;'V06 Calend 01'!C5),(118&lt;'V06 Calend 01'!D5),(MOD((118-'V06 Calend 01'!C5),6)=0),(((118-'V06 Calend 01'!C5)/6)&lt;='V06 Calend 01'!E5)),IF((118=('V06 Calend 01'!C5+(6*'V06 Calend 01'!E5))),('V06 Calend 01'!H5-('V06 Calend 01'!I5*('V06 Calend 01'!E5-1))),'V06 Calend 01'!I5),0))+IF((118='V06 Calend 01'!D5),'V06 Calend 01'!J5,0))</f>
        <v>0</v>
      </c>
      <c r="EA5" s="2">
        <f>((IF((119='V06 Calend 01'!C5),('V06 Calend 01'!F5+'V06 Calend 01'!G5),0)+IF(AND(('V06 Calend 01'!E5&gt;0),(119&gt;'V06 Calend 01'!C5),(119&lt;'V06 Calend 01'!D5),(MOD((119-'V06 Calend 01'!C5),6)=0),(((119-'V06 Calend 01'!C5)/6)&lt;='V06 Calend 01'!E5)),IF((119=('V06 Calend 01'!C5+(6*'V06 Calend 01'!E5))),('V06 Calend 01'!H5-('V06 Calend 01'!I5*('V06 Calend 01'!E5-1))),'V06 Calend 01'!I5),0))+IF((119='V06 Calend 01'!D5),'V06 Calend 01'!J5,0))</f>
        <v>0</v>
      </c>
      <c r="EB5" s="2">
        <f>((IF((120='V06 Calend 01'!C5),('V06 Calend 01'!F5+'V06 Calend 01'!G5),0)+IF(AND(('V06 Calend 01'!E5&gt;0),(120&gt;'V06 Calend 01'!C5),(120&lt;'V06 Calend 01'!D5),(MOD((120-'V06 Calend 01'!C5),6)=0),(((120-'V06 Calend 01'!C5)/6)&lt;='V06 Calend 01'!E5)),IF((120=('V06 Calend 01'!C5+(6*'V06 Calend 01'!E5))),('V06 Calend 01'!H5-('V06 Calend 01'!I5*('V06 Calend 01'!E5-1))),'V06 Calend 01'!I5),0))+IF((120='V06 Calend 01'!D5),'V06 Calend 01'!J5,0))</f>
        <v>0</v>
      </c>
      <c r="EC5" s="2">
        <f>((IF((121='V06 Calend 01'!C5),('V06 Calend 01'!F5+'V06 Calend 01'!G5),0)+IF(AND(('V06 Calend 01'!E5&gt;0),(121&gt;'V06 Calend 01'!C5),(121&lt;'V06 Calend 01'!D5),(MOD((121-'V06 Calend 01'!C5),6)=0),(((121-'V06 Calend 01'!C5)/6)&lt;='V06 Calend 01'!E5)),IF((121=('V06 Calend 01'!C5+(6*'V06 Calend 01'!E5))),('V06 Calend 01'!H5-('V06 Calend 01'!I5*('V06 Calend 01'!E5-1))),'V06 Calend 01'!I5),0))+IF((121='V06 Calend 01'!D5),'V06 Calend 01'!J5,0))</f>
        <v>0</v>
      </c>
      <c r="ED5" s="2">
        <f>((IF((122='V06 Calend 01'!C5),('V06 Calend 01'!F5+'V06 Calend 01'!G5),0)+IF(AND(('V06 Calend 01'!E5&gt;0),(122&gt;'V06 Calend 01'!C5),(122&lt;'V06 Calend 01'!D5),(MOD((122-'V06 Calend 01'!C5),6)=0),(((122-'V06 Calend 01'!C5)/6)&lt;='V06 Calend 01'!E5)),IF((122=('V06 Calend 01'!C5+(6*'V06 Calend 01'!E5))),('V06 Calend 01'!H5-('V06 Calend 01'!I5*('V06 Calend 01'!E5-1))),'V06 Calend 01'!I5),0))+IF((122='V06 Calend 01'!D5),'V06 Calend 01'!J5,0))</f>
        <v>0</v>
      </c>
      <c r="EE5" s="2">
        <f>((IF((123='V06 Calend 01'!C5),('V06 Calend 01'!F5+'V06 Calend 01'!G5),0)+IF(AND(('V06 Calend 01'!E5&gt;0),(123&gt;'V06 Calend 01'!C5),(123&lt;'V06 Calend 01'!D5),(MOD((123-'V06 Calend 01'!C5),6)=0),(((123-'V06 Calend 01'!C5)/6)&lt;='V06 Calend 01'!E5)),IF((123=('V06 Calend 01'!C5+(6*'V06 Calend 01'!E5))),('V06 Calend 01'!H5-('V06 Calend 01'!I5*('V06 Calend 01'!E5-1))),'V06 Calend 01'!I5),0))+IF((123='V06 Calend 01'!D5),'V06 Calend 01'!J5,0))</f>
        <v>0</v>
      </c>
      <c r="EF5" s="2">
        <f>((IF((124='V06 Calend 01'!C5),('V06 Calend 01'!F5+'V06 Calend 01'!G5),0)+IF(AND(('V06 Calend 01'!E5&gt;0),(124&gt;'V06 Calend 01'!C5),(124&lt;'V06 Calend 01'!D5),(MOD((124-'V06 Calend 01'!C5),6)=0),(((124-'V06 Calend 01'!C5)/6)&lt;='V06 Calend 01'!E5)),IF((124=('V06 Calend 01'!C5+(6*'V06 Calend 01'!E5))),('V06 Calend 01'!H5-('V06 Calend 01'!I5*('V06 Calend 01'!E5-1))),'V06 Calend 01'!I5),0))+IF((124='V06 Calend 01'!D5),'V06 Calend 01'!J5,0))</f>
        <v>0</v>
      </c>
      <c r="EG5" s="2">
        <f>((IF((125='V06 Calend 01'!C5),('V06 Calend 01'!F5+'V06 Calend 01'!G5),0)+IF(AND(('V06 Calend 01'!E5&gt;0),(125&gt;'V06 Calend 01'!C5),(125&lt;'V06 Calend 01'!D5),(MOD((125-'V06 Calend 01'!C5),6)=0),(((125-'V06 Calend 01'!C5)/6)&lt;='V06 Calend 01'!E5)),IF((125=('V06 Calend 01'!C5+(6*'V06 Calend 01'!E5))),('V06 Calend 01'!H5-('V06 Calend 01'!I5*('V06 Calend 01'!E5-1))),'V06 Calend 01'!I5),0))+IF((125='V06 Calend 01'!D5),'V06 Calend 01'!J5,0))</f>
        <v>0</v>
      </c>
      <c r="EH5" s="2">
        <f>((IF((126='V06 Calend 01'!C5),('V06 Calend 01'!F5+'V06 Calend 01'!G5),0)+IF(AND(('V06 Calend 01'!E5&gt;0),(126&gt;'V06 Calend 01'!C5),(126&lt;'V06 Calend 01'!D5),(MOD((126-'V06 Calend 01'!C5),6)=0),(((126-'V06 Calend 01'!C5)/6)&lt;='V06 Calend 01'!E5)),IF((126=('V06 Calend 01'!C5+(6*'V06 Calend 01'!E5))),('V06 Calend 01'!H5-('V06 Calend 01'!I5*('V06 Calend 01'!E5-1))),'V06 Calend 01'!I5),0))+IF((126='V06 Calend 01'!D5),'V06 Calend 01'!J5,0))</f>
        <v>0</v>
      </c>
      <c r="EI5" s="2">
        <f>((IF((127='V06 Calend 01'!C5),('V06 Calend 01'!F5+'V06 Calend 01'!G5),0)+IF(AND(('V06 Calend 01'!E5&gt;0),(127&gt;'V06 Calend 01'!C5),(127&lt;'V06 Calend 01'!D5),(MOD((127-'V06 Calend 01'!C5),6)=0),(((127-'V06 Calend 01'!C5)/6)&lt;='V06 Calend 01'!E5)),IF((127=('V06 Calend 01'!C5+(6*'V06 Calend 01'!E5))),('V06 Calend 01'!H5-('V06 Calend 01'!I5*('V06 Calend 01'!E5-1))),'V06 Calend 01'!I5),0))+IF((127='V06 Calend 01'!D5),'V06 Calend 01'!J5,0))</f>
        <v>0</v>
      </c>
      <c r="EJ5" s="2">
        <f>((IF((128='V06 Calend 01'!C5),('V06 Calend 01'!F5+'V06 Calend 01'!G5),0)+IF(AND(('V06 Calend 01'!E5&gt;0),(128&gt;'V06 Calend 01'!C5),(128&lt;'V06 Calend 01'!D5),(MOD((128-'V06 Calend 01'!C5),6)=0),(((128-'V06 Calend 01'!C5)/6)&lt;='V06 Calend 01'!E5)),IF((128=('V06 Calend 01'!C5+(6*'V06 Calend 01'!E5))),('V06 Calend 01'!H5-('V06 Calend 01'!I5*('V06 Calend 01'!E5-1))),'V06 Calend 01'!I5),0))+IF((128='V06 Calend 01'!D5),'V06 Calend 01'!J5,0))</f>
        <v>0</v>
      </c>
      <c r="EK5" s="2">
        <f>((IF((129='V06 Calend 01'!C5),('V06 Calend 01'!F5+'V06 Calend 01'!G5),0)+IF(AND(('V06 Calend 01'!E5&gt;0),(129&gt;'V06 Calend 01'!C5),(129&lt;'V06 Calend 01'!D5),(MOD((129-'V06 Calend 01'!C5),6)=0),(((129-'V06 Calend 01'!C5)/6)&lt;='V06 Calend 01'!E5)),IF((129=('V06 Calend 01'!C5+(6*'V06 Calend 01'!E5))),('V06 Calend 01'!H5-('V06 Calend 01'!I5*('V06 Calend 01'!E5-1))),'V06 Calend 01'!I5),0))+IF((129='V06 Calend 01'!D5),'V06 Calend 01'!J5,0))</f>
        <v>0</v>
      </c>
      <c r="EL5" s="2">
        <f>((IF((130='V06 Calend 01'!C5),('V06 Calend 01'!F5+'V06 Calend 01'!G5),0)+IF(AND(('V06 Calend 01'!E5&gt;0),(130&gt;'V06 Calend 01'!C5),(130&lt;'V06 Calend 01'!D5),(MOD((130-'V06 Calend 01'!C5),6)=0),(((130-'V06 Calend 01'!C5)/6)&lt;='V06 Calend 01'!E5)),IF((130=('V06 Calend 01'!C5+(6*'V06 Calend 01'!E5))),('V06 Calend 01'!H5-('V06 Calend 01'!I5*('V06 Calend 01'!E5-1))),'V06 Calend 01'!I5),0))+IF((130='V06 Calend 01'!D5),'V06 Calend 01'!J5,0))</f>
        <v>0</v>
      </c>
      <c r="EM5" s="2">
        <f>((IF((131='V06 Calend 01'!C5),('V06 Calend 01'!F5+'V06 Calend 01'!G5),0)+IF(AND(('V06 Calend 01'!E5&gt;0),(131&gt;'V06 Calend 01'!C5),(131&lt;'V06 Calend 01'!D5),(MOD((131-'V06 Calend 01'!C5),6)=0),(((131-'V06 Calend 01'!C5)/6)&lt;='V06 Calend 01'!E5)),IF((131=('V06 Calend 01'!C5+(6*'V06 Calend 01'!E5))),('V06 Calend 01'!H5-('V06 Calend 01'!I5*('V06 Calend 01'!E5-1))),'V06 Calend 01'!I5),0))+IF((131='V06 Calend 01'!D5),'V06 Calend 01'!J5,0))</f>
        <v>0</v>
      </c>
      <c r="EN5" s="2">
        <f>((IF((132='V06 Calend 01'!C5),('V06 Calend 01'!F5+'V06 Calend 01'!G5),0)+IF(AND(('V06 Calend 01'!E5&gt;0),(132&gt;'V06 Calend 01'!C5),(132&lt;'V06 Calend 01'!D5),(MOD((132-'V06 Calend 01'!C5),6)=0),(((132-'V06 Calend 01'!C5)/6)&lt;='V06 Calend 01'!E5)),IF((132=('V06 Calend 01'!C5+(6*'V06 Calend 01'!E5))),('V06 Calend 01'!H5-('V06 Calend 01'!I5*('V06 Calend 01'!E5-1))),'V06 Calend 01'!I5),0))+IF((132='V06 Calend 01'!D5),'V06 Calend 01'!J5,0))</f>
        <v>0</v>
      </c>
      <c r="EO5" s="2">
        <f>((IF((133='V06 Calend 01'!C5),('V06 Calend 01'!F5+'V06 Calend 01'!G5),0)+IF(AND(('V06 Calend 01'!E5&gt;0),(133&gt;'V06 Calend 01'!C5),(133&lt;'V06 Calend 01'!D5),(MOD((133-'V06 Calend 01'!C5),6)=0),(((133-'V06 Calend 01'!C5)/6)&lt;='V06 Calend 01'!E5)),IF((133=('V06 Calend 01'!C5+(6*'V06 Calend 01'!E5))),('V06 Calend 01'!H5-('V06 Calend 01'!I5*('V06 Calend 01'!E5-1))),'V06 Calend 01'!I5),0))+IF((133='V06 Calend 01'!D5),'V06 Calend 01'!J5,0))</f>
        <v>0</v>
      </c>
      <c r="EP5" s="2">
        <f>((IF((134='V06 Calend 01'!C5),('V06 Calend 01'!F5+'V06 Calend 01'!G5),0)+IF(AND(('V06 Calend 01'!E5&gt;0),(134&gt;'V06 Calend 01'!C5),(134&lt;'V06 Calend 01'!D5),(MOD((134-'V06 Calend 01'!C5),6)=0),(((134-'V06 Calend 01'!C5)/6)&lt;='V06 Calend 01'!E5)),IF((134=('V06 Calend 01'!C5+(6*'V06 Calend 01'!E5))),('V06 Calend 01'!H5-('V06 Calend 01'!I5*('V06 Calend 01'!E5-1))),'V06 Calend 01'!I5),0))+IF((134='V06 Calend 01'!D5),'V06 Calend 01'!J5,0))</f>
        <v>0</v>
      </c>
      <c r="EQ5" s="2">
        <f>((IF((135='V06 Calend 01'!C5),('V06 Calend 01'!F5+'V06 Calend 01'!G5),0)+IF(AND(('V06 Calend 01'!E5&gt;0),(135&gt;'V06 Calend 01'!C5),(135&lt;'V06 Calend 01'!D5),(MOD((135-'V06 Calend 01'!C5),6)=0),(((135-'V06 Calend 01'!C5)/6)&lt;='V06 Calend 01'!E5)),IF((135=('V06 Calend 01'!C5+(6*'V06 Calend 01'!E5))),('V06 Calend 01'!H5-('V06 Calend 01'!I5*('V06 Calend 01'!E5-1))),'V06 Calend 01'!I5),0))+IF((135='V06 Calend 01'!D5),'V06 Calend 01'!J5,0))</f>
        <v>0</v>
      </c>
      <c r="ER5" s="2">
        <f>((IF((136='V06 Calend 01'!C5),('V06 Calend 01'!F5+'V06 Calend 01'!G5),0)+IF(AND(('V06 Calend 01'!E5&gt;0),(136&gt;'V06 Calend 01'!C5),(136&lt;'V06 Calend 01'!D5),(MOD((136-'V06 Calend 01'!C5),6)=0),(((136-'V06 Calend 01'!C5)/6)&lt;='V06 Calend 01'!E5)),IF((136=('V06 Calend 01'!C5+(6*'V06 Calend 01'!E5))),('V06 Calend 01'!H5-('V06 Calend 01'!I5*('V06 Calend 01'!E5-1))),'V06 Calend 01'!I5),0))+IF((136='V06 Calend 01'!D5),'V06 Calend 01'!J5,0))</f>
        <v>0</v>
      </c>
      <c r="ES5" s="2">
        <f>((IF((137='V06 Calend 01'!C5),('V06 Calend 01'!F5+'V06 Calend 01'!G5),0)+IF(AND(('V06 Calend 01'!E5&gt;0),(137&gt;'V06 Calend 01'!C5),(137&lt;'V06 Calend 01'!D5),(MOD((137-'V06 Calend 01'!C5),6)=0),(((137-'V06 Calend 01'!C5)/6)&lt;='V06 Calend 01'!E5)),IF((137=('V06 Calend 01'!C5+(6*'V06 Calend 01'!E5))),('V06 Calend 01'!H5-('V06 Calend 01'!I5*('V06 Calend 01'!E5-1))),'V06 Calend 01'!I5),0))+IF((137='V06 Calend 01'!D5),'V06 Calend 01'!J5,0))</f>
        <v>0</v>
      </c>
      <c r="ET5" s="2">
        <f>((IF((138='V06 Calend 01'!C5),('V06 Calend 01'!F5+'V06 Calend 01'!G5),0)+IF(AND(('V06 Calend 01'!E5&gt;0),(138&gt;'V06 Calend 01'!C5),(138&lt;'V06 Calend 01'!D5),(MOD((138-'V06 Calend 01'!C5),6)=0),(((138-'V06 Calend 01'!C5)/6)&lt;='V06 Calend 01'!E5)),IF((138=('V06 Calend 01'!C5+(6*'V06 Calend 01'!E5))),('V06 Calend 01'!H5-('V06 Calend 01'!I5*('V06 Calend 01'!E5-1))),'V06 Calend 01'!I5),0))+IF((138='V06 Calend 01'!D5),'V06 Calend 01'!J5,0))</f>
        <v>0</v>
      </c>
      <c r="EU5" s="2">
        <f>((IF((139='V06 Calend 01'!C5),('V06 Calend 01'!F5+'V06 Calend 01'!G5),0)+IF(AND(('V06 Calend 01'!E5&gt;0),(139&gt;'V06 Calend 01'!C5),(139&lt;'V06 Calend 01'!D5),(MOD((139-'V06 Calend 01'!C5),6)=0),(((139-'V06 Calend 01'!C5)/6)&lt;='V06 Calend 01'!E5)),IF((139=('V06 Calend 01'!C5+(6*'V06 Calend 01'!E5))),('V06 Calend 01'!H5-('V06 Calend 01'!I5*('V06 Calend 01'!E5-1))),'V06 Calend 01'!I5),0))+IF((139='V06 Calend 01'!D5),'V06 Calend 01'!J5,0))</f>
        <v>0</v>
      </c>
      <c r="EV5" s="2">
        <f>((IF((140='V06 Calend 01'!C5),('V06 Calend 01'!F5+'V06 Calend 01'!G5),0)+IF(AND(('V06 Calend 01'!E5&gt;0),(140&gt;'V06 Calend 01'!C5),(140&lt;'V06 Calend 01'!D5),(MOD((140-'V06 Calend 01'!C5),6)=0),(((140-'V06 Calend 01'!C5)/6)&lt;='V06 Calend 01'!E5)),IF((140=('V06 Calend 01'!C5+(6*'V06 Calend 01'!E5))),('V06 Calend 01'!H5-('V06 Calend 01'!I5*('V06 Calend 01'!E5-1))),'V06 Calend 01'!I5),0))+IF((140='V06 Calend 01'!D5),'V06 Calend 01'!J5,0))</f>
        <v>0</v>
      </c>
      <c r="EW5" s="2">
        <f>((IF((141='V06 Calend 01'!C5),('V06 Calend 01'!F5+'V06 Calend 01'!G5),0)+IF(AND(('V06 Calend 01'!E5&gt;0),(141&gt;'V06 Calend 01'!C5),(141&lt;'V06 Calend 01'!D5),(MOD((141-'V06 Calend 01'!C5),6)=0),(((141-'V06 Calend 01'!C5)/6)&lt;='V06 Calend 01'!E5)),IF((141=('V06 Calend 01'!C5+(6*'V06 Calend 01'!E5))),('V06 Calend 01'!H5-('V06 Calend 01'!I5*('V06 Calend 01'!E5-1))),'V06 Calend 01'!I5),0))+IF((141='V06 Calend 01'!D5),'V06 Calend 01'!J5,0))</f>
        <v>0</v>
      </c>
      <c r="EX5" s="2">
        <f>((IF((142='V06 Calend 01'!C5),('V06 Calend 01'!F5+'V06 Calend 01'!G5),0)+IF(AND(('V06 Calend 01'!E5&gt;0),(142&gt;'V06 Calend 01'!C5),(142&lt;'V06 Calend 01'!D5),(MOD((142-'V06 Calend 01'!C5),6)=0),(((142-'V06 Calend 01'!C5)/6)&lt;='V06 Calend 01'!E5)),IF((142=('V06 Calend 01'!C5+(6*'V06 Calend 01'!E5))),('V06 Calend 01'!H5-('V06 Calend 01'!I5*('V06 Calend 01'!E5-1))),'V06 Calend 01'!I5),0))+IF((142='V06 Calend 01'!D5),'V06 Calend 01'!J5,0))</f>
        <v>0</v>
      </c>
      <c r="EY5" s="2">
        <f>((IF((143='V06 Calend 01'!C5),('V06 Calend 01'!F5+'V06 Calend 01'!G5),0)+IF(AND(('V06 Calend 01'!E5&gt;0),(143&gt;'V06 Calend 01'!C5),(143&lt;'V06 Calend 01'!D5),(MOD((143-'V06 Calend 01'!C5),6)=0),(((143-'V06 Calend 01'!C5)/6)&lt;='V06 Calend 01'!E5)),IF((143=('V06 Calend 01'!C5+(6*'V06 Calend 01'!E5))),('V06 Calend 01'!H5-('V06 Calend 01'!I5*('V06 Calend 01'!E5-1))),'V06 Calend 01'!I5),0))+IF((143='V06 Calend 01'!D5),'V06 Calend 01'!J5,0))</f>
        <v>0</v>
      </c>
      <c r="EZ5" s="2">
        <f>((IF((144='V06 Calend 01'!C5),('V06 Calend 01'!F5+'V06 Calend 01'!G5),0)+IF(AND(('V06 Calend 01'!E5&gt;0),(144&gt;'V06 Calend 01'!C5),(144&lt;'V06 Calend 01'!D5),(MOD((144-'V06 Calend 01'!C5),6)=0),(((144-'V06 Calend 01'!C5)/6)&lt;='V06 Calend 01'!E5)),IF((144=('V06 Calend 01'!C5+(6*'V06 Calend 01'!E5))),('V06 Calend 01'!H5-('V06 Calend 01'!I5*('V06 Calend 01'!E5-1))),'V06 Calend 01'!I5),0))+IF((144='V06 Calend 01'!D5),'V06 Calend 01'!J5,0))</f>
        <v>0</v>
      </c>
      <c r="FA5" s="2">
        <f>((IF((145='V06 Calend 01'!C5),('V06 Calend 01'!F5+'V06 Calend 01'!G5),0)+IF(AND(('V06 Calend 01'!E5&gt;0),(145&gt;'V06 Calend 01'!C5),(145&lt;'V06 Calend 01'!D5),(MOD((145-'V06 Calend 01'!C5),6)=0),(((145-'V06 Calend 01'!C5)/6)&lt;='V06 Calend 01'!E5)),IF((145=('V06 Calend 01'!C5+(6*'V06 Calend 01'!E5))),('V06 Calend 01'!H5-('V06 Calend 01'!I5*('V06 Calend 01'!E5-1))),'V06 Calend 01'!I5),0))+IF((145='V06 Calend 01'!D5),'V06 Calend 01'!J5,0))</f>
        <v>0</v>
      </c>
      <c r="FB5" s="2">
        <f>((IF((146='V06 Calend 01'!C5),('V06 Calend 01'!F5+'V06 Calend 01'!G5),0)+IF(AND(('V06 Calend 01'!E5&gt;0),(146&gt;'V06 Calend 01'!C5),(146&lt;'V06 Calend 01'!D5),(MOD((146-'V06 Calend 01'!C5),6)=0),(((146-'V06 Calend 01'!C5)/6)&lt;='V06 Calend 01'!E5)),IF((146=('V06 Calend 01'!C5+(6*'V06 Calend 01'!E5))),('V06 Calend 01'!H5-('V06 Calend 01'!I5*('V06 Calend 01'!E5-1))),'V06 Calend 01'!I5),0))+IF((146='V06 Calend 01'!D5),'V06 Calend 01'!J5,0))</f>
        <v>0</v>
      </c>
      <c r="FC5" s="2">
        <f>((IF((147='V06 Calend 01'!C5),('V06 Calend 01'!F5+'V06 Calend 01'!G5),0)+IF(AND(('V06 Calend 01'!E5&gt;0),(147&gt;'V06 Calend 01'!C5),(147&lt;'V06 Calend 01'!D5),(MOD((147-'V06 Calend 01'!C5),6)=0),(((147-'V06 Calend 01'!C5)/6)&lt;='V06 Calend 01'!E5)),IF((147=('V06 Calend 01'!C5+(6*'V06 Calend 01'!E5))),('V06 Calend 01'!H5-('V06 Calend 01'!I5*('V06 Calend 01'!E5-1))),'V06 Calend 01'!I5),0))+IF((147='V06 Calend 01'!D5),'V06 Calend 01'!J5,0))</f>
        <v>0</v>
      </c>
      <c r="FD5" s="2">
        <f>((IF((148='V06 Calend 01'!C5),('V06 Calend 01'!F5+'V06 Calend 01'!G5),0)+IF(AND(('V06 Calend 01'!E5&gt;0),(148&gt;'V06 Calend 01'!C5),(148&lt;'V06 Calend 01'!D5),(MOD((148-'V06 Calend 01'!C5),6)=0),(((148-'V06 Calend 01'!C5)/6)&lt;='V06 Calend 01'!E5)),IF((148=('V06 Calend 01'!C5+(6*'V06 Calend 01'!E5))),('V06 Calend 01'!H5-('V06 Calend 01'!I5*('V06 Calend 01'!E5-1))),'V06 Calend 01'!I5),0))+IF((148='V06 Calend 01'!D5),'V06 Calend 01'!J5,0))</f>
        <v>0</v>
      </c>
      <c r="FE5" s="2">
        <f>((IF((149='V06 Calend 01'!C5),('V06 Calend 01'!F5+'V06 Calend 01'!G5),0)+IF(AND(('V06 Calend 01'!E5&gt;0),(149&gt;'V06 Calend 01'!C5),(149&lt;'V06 Calend 01'!D5),(MOD((149-'V06 Calend 01'!C5),6)=0),(((149-'V06 Calend 01'!C5)/6)&lt;='V06 Calend 01'!E5)),IF((149=('V06 Calend 01'!C5+(6*'V06 Calend 01'!E5))),('V06 Calend 01'!H5-('V06 Calend 01'!I5*('V06 Calend 01'!E5-1))),'V06 Calend 01'!I5),0))+IF((149='V06 Calend 01'!D5),'V06 Calend 01'!J5,0))</f>
        <v>0</v>
      </c>
      <c r="FF5" s="2">
        <f>((IF((150='V06 Calend 01'!C5),('V06 Calend 01'!F5+'V06 Calend 01'!G5),0)+IF(AND(('V06 Calend 01'!E5&gt;0),(150&gt;'V06 Calend 01'!C5),(150&lt;'V06 Calend 01'!D5),(MOD((150-'V06 Calend 01'!C5),6)=0),(((150-'V06 Calend 01'!C5)/6)&lt;='V06 Calend 01'!E5)),IF((150=('V06 Calend 01'!C5+(6*'V06 Calend 01'!E5))),('V06 Calend 01'!H5-('V06 Calend 01'!I5*('V06 Calend 01'!E5-1))),'V06 Calend 01'!I5),0))+IF((150='V06 Calend 01'!D5),'V06 Calend 01'!J5,0))</f>
        <v>0</v>
      </c>
      <c r="FG5" s="2">
        <f>((IF((151='V06 Calend 01'!C5),('V06 Calend 01'!F5+'V06 Calend 01'!G5),0)+IF(AND(('V06 Calend 01'!E5&gt;0),(151&gt;'V06 Calend 01'!C5),(151&lt;'V06 Calend 01'!D5),(MOD((151-'V06 Calend 01'!C5),6)=0),(((151-'V06 Calend 01'!C5)/6)&lt;='V06 Calend 01'!E5)),IF((151=('V06 Calend 01'!C5+(6*'V06 Calend 01'!E5))),('V06 Calend 01'!H5-('V06 Calend 01'!I5*('V06 Calend 01'!E5-1))),'V06 Calend 01'!I5),0))+IF((151='V06 Calend 01'!D5),'V06 Calend 01'!J5,0))</f>
        <v>0</v>
      </c>
      <c r="FH5" s="2">
        <f>((IF((152='V06 Calend 01'!C5),('V06 Calend 01'!F5+'V06 Calend 01'!G5),0)+IF(AND(('V06 Calend 01'!E5&gt;0),(152&gt;'V06 Calend 01'!C5),(152&lt;'V06 Calend 01'!D5),(MOD((152-'V06 Calend 01'!C5),6)=0),(((152-'V06 Calend 01'!C5)/6)&lt;='V06 Calend 01'!E5)),IF((152=('V06 Calend 01'!C5+(6*'V06 Calend 01'!E5))),('V06 Calend 01'!H5-('V06 Calend 01'!I5*('V06 Calend 01'!E5-1))),'V06 Calend 01'!I5),0))+IF((152='V06 Calend 01'!D5),'V06 Calend 01'!J5,0))</f>
        <v>0</v>
      </c>
      <c r="FI5" s="2">
        <f>((IF((153='V06 Calend 01'!C5),('V06 Calend 01'!F5+'V06 Calend 01'!G5),0)+IF(AND(('V06 Calend 01'!E5&gt;0),(153&gt;'V06 Calend 01'!C5),(153&lt;'V06 Calend 01'!D5),(MOD((153-'V06 Calend 01'!C5),6)=0),(((153-'V06 Calend 01'!C5)/6)&lt;='V06 Calend 01'!E5)),IF((153=('V06 Calend 01'!C5+(6*'V06 Calend 01'!E5))),('V06 Calend 01'!H5-('V06 Calend 01'!I5*('V06 Calend 01'!E5-1))),'V06 Calend 01'!I5),0))+IF((153='V06 Calend 01'!D5),'V06 Calend 01'!J5,0))</f>
        <v>0</v>
      </c>
      <c r="FJ5" s="2">
        <f>((IF((154='V06 Calend 01'!C5),('V06 Calend 01'!F5+'V06 Calend 01'!G5),0)+IF(AND(('V06 Calend 01'!E5&gt;0),(154&gt;'V06 Calend 01'!C5),(154&lt;'V06 Calend 01'!D5),(MOD((154-'V06 Calend 01'!C5),6)=0),(((154-'V06 Calend 01'!C5)/6)&lt;='V06 Calend 01'!E5)),IF((154=('V06 Calend 01'!C5+(6*'V06 Calend 01'!E5))),('V06 Calend 01'!H5-('V06 Calend 01'!I5*('V06 Calend 01'!E5-1))),'V06 Calend 01'!I5),0))+IF((154='V06 Calend 01'!D5),'V06 Calend 01'!J5,0))</f>
        <v>0</v>
      </c>
      <c r="FK5" s="2">
        <f>((IF((155='V06 Calend 01'!C5),('V06 Calend 01'!F5+'V06 Calend 01'!G5),0)+IF(AND(('V06 Calend 01'!E5&gt;0),(155&gt;'V06 Calend 01'!C5),(155&lt;'V06 Calend 01'!D5),(MOD((155-'V06 Calend 01'!C5),6)=0),(((155-'V06 Calend 01'!C5)/6)&lt;='V06 Calend 01'!E5)),IF((155=('V06 Calend 01'!C5+(6*'V06 Calend 01'!E5))),('V06 Calend 01'!H5-('V06 Calend 01'!I5*('V06 Calend 01'!E5-1))),'V06 Calend 01'!I5),0))+IF((155='V06 Calend 01'!D5),'V06 Calend 01'!J5,0))</f>
        <v>0</v>
      </c>
      <c r="FL5" s="2">
        <f>((IF((156='V06 Calend 01'!C5),('V06 Calend 01'!F5+'V06 Calend 01'!G5),0)+IF(AND(('V06 Calend 01'!E5&gt;0),(156&gt;'V06 Calend 01'!C5),(156&lt;'V06 Calend 01'!D5),(MOD((156-'V06 Calend 01'!C5),6)=0),(((156-'V06 Calend 01'!C5)/6)&lt;='V06 Calend 01'!E5)),IF((156=('V06 Calend 01'!C5+(6*'V06 Calend 01'!E5))),('V06 Calend 01'!H5-('V06 Calend 01'!I5*('V06 Calend 01'!E5-1))),'V06 Calend 01'!I5),0))+IF((156='V06 Calend 01'!D5),'V06 Calend 01'!J5,0))</f>
        <v>0</v>
      </c>
      <c r="FM5" s="2">
        <f>((IF((157='V06 Calend 01'!C5),('V06 Calend 01'!F5+'V06 Calend 01'!G5),0)+IF(AND(('V06 Calend 01'!E5&gt;0),(157&gt;'V06 Calend 01'!C5),(157&lt;'V06 Calend 01'!D5),(MOD((157-'V06 Calend 01'!C5),6)=0),(((157-'V06 Calend 01'!C5)/6)&lt;='V06 Calend 01'!E5)),IF((157=('V06 Calend 01'!C5+(6*'V06 Calend 01'!E5))),('V06 Calend 01'!H5-('V06 Calend 01'!I5*('V06 Calend 01'!E5-1))),'V06 Calend 01'!I5),0))+IF((157='V06 Calend 01'!D5),'V06 Calend 01'!J5,0))</f>
        <v>0</v>
      </c>
      <c r="FN5" s="2">
        <f>((IF((158='V06 Calend 01'!C5),('V06 Calend 01'!F5+'V06 Calend 01'!G5),0)+IF(AND(('V06 Calend 01'!E5&gt;0),(158&gt;'V06 Calend 01'!C5),(158&lt;'V06 Calend 01'!D5),(MOD((158-'V06 Calend 01'!C5),6)=0),(((158-'V06 Calend 01'!C5)/6)&lt;='V06 Calend 01'!E5)),IF((158=('V06 Calend 01'!C5+(6*'V06 Calend 01'!E5))),('V06 Calend 01'!H5-('V06 Calend 01'!I5*('V06 Calend 01'!E5-1))),'V06 Calend 01'!I5),0))+IF((158='V06 Calend 01'!D5),'V06 Calend 01'!J5,0))</f>
        <v>0</v>
      </c>
      <c r="FO5" s="2">
        <f>((IF((159='V06 Calend 01'!C5),('V06 Calend 01'!F5+'V06 Calend 01'!G5),0)+IF(AND(('V06 Calend 01'!E5&gt;0),(159&gt;'V06 Calend 01'!C5),(159&lt;'V06 Calend 01'!D5),(MOD((159-'V06 Calend 01'!C5),6)=0),(((159-'V06 Calend 01'!C5)/6)&lt;='V06 Calend 01'!E5)),IF((159=('V06 Calend 01'!C5+(6*'V06 Calend 01'!E5))),('V06 Calend 01'!H5-('V06 Calend 01'!I5*('V06 Calend 01'!E5-1))),'V06 Calend 01'!I5),0))+IF((159='V06 Calend 01'!D5),'V06 Calend 01'!J5,0))</f>
        <v>0</v>
      </c>
      <c r="FP5" s="2">
        <f>((IF((160='V06 Calend 01'!C5),('V06 Calend 01'!F5+'V06 Calend 01'!G5),0)+IF(AND(('V06 Calend 01'!E5&gt;0),(160&gt;'V06 Calend 01'!C5),(160&lt;'V06 Calend 01'!D5),(MOD((160-'V06 Calend 01'!C5),6)=0),(((160-'V06 Calend 01'!C5)/6)&lt;='V06 Calend 01'!E5)),IF((160=('V06 Calend 01'!C5+(6*'V06 Calend 01'!E5))),('V06 Calend 01'!H5-('V06 Calend 01'!I5*('V06 Calend 01'!E5-1))),'V06 Calend 01'!I5),0))+IF((160='V06 Calend 01'!D5),'V06 Calend 01'!J5,0))</f>
        <v>0</v>
      </c>
      <c r="FQ5" s="2">
        <f>((IF((161='V06 Calend 01'!C5),('V06 Calend 01'!F5+'V06 Calend 01'!G5),0)+IF(AND(('V06 Calend 01'!E5&gt;0),(161&gt;'V06 Calend 01'!C5),(161&lt;'V06 Calend 01'!D5),(MOD((161-'V06 Calend 01'!C5),6)=0),(((161-'V06 Calend 01'!C5)/6)&lt;='V06 Calend 01'!E5)),IF((161=('V06 Calend 01'!C5+(6*'V06 Calend 01'!E5))),('V06 Calend 01'!H5-('V06 Calend 01'!I5*('V06 Calend 01'!E5-1))),'V06 Calend 01'!I5),0))+IF((161='V06 Calend 01'!D5),'V06 Calend 01'!J5,0))</f>
        <v>0</v>
      </c>
      <c r="FR5" s="2">
        <f>((IF((162='V06 Calend 01'!C5),('V06 Calend 01'!F5+'V06 Calend 01'!G5),0)+IF(AND(('V06 Calend 01'!E5&gt;0),(162&gt;'V06 Calend 01'!C5),(162&lt;'V06 Calend 01'!D5),(MOD((162-'V06 Calend 01'!C5),6)=0),(((162-'V06 Calend 01'!C5)/6)&lt;='V06 Calend 01'!E5)),IF((162=('V06 Calend 01'!C5+(6*'V06 Calend 01'!E5))),('V06 Calend 01'!H5-('V06 Calend 01'!I5*('V06 Calend 01'!E5-1))),'V06 Calend 01'!I5),0))+IF((162='V06 Calend 01'!D5),'V06 Calend 01'!J5,0))</f>
        <v>0</v>
      </c>
      <c r="FS5" s="2">
        <f>((IF((163='V06 Calend 01'!C5),('V06 Calend 01'!F5+'V06 Calend 01'!G5),0)+IF(AND(('V06 Calend 01'!E5&gt;0),(163&gt;'V06 Calend 01'!C5),(163&lt;'V06 Calend 01'!D5),(MOD((163-'V06 Calend 01'!C5),6)=0),(((163-'V06 Calend 01'!C5)/6)&lt;='V06 Calend 01'!E5)),IF((163=('V06 Calend 01'!C5+(6*'V06 Calend 01'!E5))),('V06 Calend 01'!H5-('V06 Calend 01'!I5*('V06 Calend 01'!E5-1))),'V06 Calend 01'!I5),0))+IF((163='V06 Calend 01'!D5),'V06 Calend 01'!J5,0))</f>
        <v>0</v>
      </c>
      <c r="FT5" s="2">
        <f>((IF((164='V06 Calend 01'!C5),('V06 Calend 01'!F5+'V06 Calend 01'!G5),0)+IF(AND(('V06 Calend 01'!E5&gt;0),(164&gt;'V06 Calend 01'!C5),(164&lt;'V06 Calend 01'!D5),(MOD((164-'V06 Calend 01'!C5),6)=0),(((164-'V06 Calend 01'!C5)/6)&lt;='V06 Calend 01'!E5)),IF((164=('V06 Calend 01'!C5+(6*'V06 Calend 01'!E5))),('V06 Calend 01'!H5-('V06 Calend 01'!I5*('V06 Calend 01'!E5-1))),'V06 Calend 01'!I5),0))+IF((164='V06 Calend 01'!D5),'V06 Calend 01'!J5,0))</f>
        <v>0</v>
      </c>
      <c r="FU5" s="2">
        <f>((IF((165='V06 Calend 01'!C5),('V06 Calend 01'!F5+'V06 Calend 01'!G5),0)+IF(AND(('V06 Calend 01'!E5&gt;0),(165&gt;'V06 Calend 01'!C5),(165&lt;'V06 Calend 01'!D5),(MOD((165-'V06 Calend 01'!C5),6)=0),(((165-'V06 Calend 01'!C5)/6)&lt;='V06 Calend 01'!E5)),IF((165=('V06 Calend 01'!C5+(6*'V06 Calend 01'!E5))),('V06 Calend 01'!H5-('V06 Calend 01'!I5*('V06 Calend 01'!E5-1))),'V06 Calend 01'!I5),0))+IF((165='V06 Calend 01'!D5),'V06 Calend 01'!J5,0))</f>
        <v>0</v>
      </c>
      <c r="FV5" s="2">
        <f>((IF((166='V06 Calend 01'!C5),('V06 Calend 01'!F5+'V06 Calend 01'!G5),0)+IF(AND(('V06 Calend 01'!E5&gt;0),(166&gt;'V06 Calend 01'!C5),(166&lt;'V06 Calend 01'!D5),(MOD((166-'V06 Calend 01'!C5),6)=0),(((166-'V06 Calend 01'!C5)/6)&lt;='V06 Calend 01'!E5)),IF((166=('V06 Calend 01'!C5+(6*'V06 Calend 01'!E5))),('V06 Calend 01'!H5-('V06 Calend 01'!I5*('V06 Calend 01'!E5-1))),'V06 Calend 01'!I5),0))+IF((166='V06 Calend 01'!D5),'V06 Calend 01'!J5,0))</f>
        <v>0</v>
      </c>
      <c r="FW5" s="2">
        <f>((IF((167='V06 Calend 01'!C5),('V06 Calend 01'!F5+'V06 Calend 01'!G5),0)+IF(AND(('V06 Calend 01'!E5&gt;0),(167&gt;'V06 Calend 01'!C5),(167&lt;'V06 Calend 01'!D5),(MOD((167-'V06 Calend 01'!C5),6)=0),(((167-'V06 Calend 01'!C5)/6)&lt;='V06 Calend 01'!E5)),IF((167=('V06 Calend 01'!C5+(6*'V06 Calend 01'!E5))),('V06 Calend 01'!H5-('V06 Calend 01'!I5*('V06 Calend 01'!E5-1))),'V06 Calend 01'!I5),0))+IF((167='V06 Calend 01'!D5),'V06 Calend 01'!J5,0))</f>
        <v>0</v>
      </c>
      <c r="FX5" s="2">
        <f>((IF((168='V06 Calend 01'!C5),('V06 Calend 01'!F5+'V06 Calend 01'!G5),0)+IF(AND(('V06 Calend 01'!E5&gt;0),(168&gt;'V06 Calend 01'!C5),(168&lt;'V06 Calend 01'!D5),(MOD((168-'V06 Calend 01'!C5),6)=0),(((168-'V06 Calend 01'!C5)/6)&lt;='V06 Calend 01'!E5)),IF((168=('V06 Calend 01'!C5+(6*'V06 Calend 01'!E5))),('V06 Calend 01'!H5-('V06 Calend 01'!I5*('V06 Calend 01'!E5-1))),'V06 Calend 01'!I5),0))+IF((168='V06 Calend 01'!D5),'V06 Calend 01'!J5,0))</f>
        <v>0</v>
      </c>
      <c r="FY5" s="2">
        <f>((IF((169='V06 Calend 01'!C5),('V06 Calend 01'!F5+'V06 Calend 01'!G5),0)+IF(AND(('V06 Calend 01'!E5&gt;0),(169&gt;'V06 Calend 01'!C5),(169&lt;'V06 Calend 01'!D5),(MOD((169-'V06 Calend 01'!C5),6)=0),(((169-'V06 Calend 01'!C5)/6)&lt;='V06 Calend 01'!E5)),IF((169=('V06 Calend 01'!C5+(6*'V06 Calend 01'!E5))),('V06 Calend 01'!H5-('V06 Calend 01'!I5*('V06 Calend 01'!E5-1))),'V06 Calend 01'!I5),0))+IF((169='V06 Calend 01'!D5),'V06 Calend 01'!J5,0))</f>
        <v>0</v>
      </c>
      <c r="FZ5" s="2">
        <f>((IF((170='V06 Calend 01'!C5),('V06 Calend 01'!F5+'V06 Calend 01'!G5),0)+IF(AND(('V06 Calend 01'!E5&gt;0),(170&gt;'V06 Calend 01'!C5),(170&lt;'V06 Calend 01'!D5),(MOD((170-'V06 Calend 01'!C5),6)=0),(((170-'V06 Calend 01'!C5)/6)&lt;='V06 Calend 01'!E5)),IF((170=('V06 Calend 01'!C5+(6*'V06 Calend 01'!E5))),('V06 Calend 01'!H5-('V06 Calend 01'!I5*('V06 Calend 01'!E5-1))),'V06 Calend 01'!I5),0))+IF((170='V06 Calend 01'!D5),'V06 Calend 01'!J5,0))</f>
        <v>0</v>
      </c>
      <c r="GA5" s="2">
        <f>((IF((171='V06 Calend 01'!C5),('V06 Calend 01'!F5+'V06 Calend 01'!G5),0)+IF(AND(('V06 Calend 01'!E5&gt;0),(171&gt;'V06 Calend 01'!C5),(171&lt;'V06 Calend 01'!D5),(MOD((171-'V06 Calend 01'!C5),6)=0),(((171-'V06 Calend 01'!C5)/6)&lt;='V06 Calend 01'!E5)),IF((171=('V06 Calend 01'!C5+(6*'V06 Calend 01'!E5))),('V06 Calend 01'!H5-('V06 Calend 01'!I5*('V06 Calend 01'!E5-1))),'V06 Calend 01'!I5),0))+IF((171='V06 Calend 01'!D5),'V06 Calend 01'!J5,0))</f>
        <v>0</v>
      </c>
      <c r="GB5" s="2">
        <f>((IF((172='V06 Calend 01'!C5),('V06 Calend 01'!F5+'V06 Calend 01'!G5),0)+IF(AND(('V06 Calend 01'!E5&gt;0),(172&gt;'V06 Calend 01'!C5),(172&lt;'V06 Calend 01'!D5),(MOD((172-'V06 Calend 01'!C5),6)=0),(((172-'V06 Calend 01'!C5)/6)&lt;='V06 Calend 01'!E5)),IF((172=('V06 Calend 01'!C5+(6*'V06 Calend 01'!E5))),('V06 Calend 01'!H5-('V06 Calend 01'!I5*('V06 Calend 01'!E5-1))),'V06 Calend 01'!I5),0))+IF((172='V06 Calend 01'!D5),'V06 Calend 01'!J5,0))</f>
        <v>0</v>
      </c>
      <c r="GC5" s="2">
        <f>((IF((173='V06 Calend 01'!C5),('V06 Calend 01'!F5+'V06 Calend 01'!G5),0)+IF(AND(('V06 Calend 01'!E5&gt;0),(173&gt;'V06 Calend 01'!C5),(173&lt;'V06 Calend 01'!D5),(MOD((173-'V06 Calend 01'!C5),6)=0),(((173-'V06 Calend 01'!C5)/6)&lt;='V06 Calend 01'!E5)),IF((173=('V06 Calend 01'!C5+(6*'V06 Calend 01'!E5))),('V06 Calend 01'!H5-('V06 Calend 01'!I5*('V06 Calend 01'!E5-1))),'V06 Calend 01'!I5),0))+IF((173='V06 Calend 01'!D5),'V06 Calend 01'!J5,0))</f>
        <v>0</v>
      </c>
      <c r="GD5" s="2">
        <f>((IF((174='V06 Calend 01'!C5),('V06 Calend 01'!F5+'V06 Calend 01'!G5),0)+IF(AND(('V06 Calend 01'!E5&gt;0),(174&gt;'V06 Calend 01'!C5),(174&lt;'V06 Calend 01'!D5),(MOD((174-'V06 Calend 01'!C5),6)=0),(((174-'V06 Calend 01'!C5)/6)&lt;='V06 Calend 01'!E5)),IF((174=('V06 Calend 01'!C5+(6*'V06 Calend 01'!E5))),('V06 Calend 01'!H5-('V06 Calend 01'!I5*('V06 Calend 01'!E5-1))),'V06 Calend 01'!I5),0))+IF((174='V06 Calend 01'!D5),'V06 Calend 01'!J5,0))</f>
        <v>0</v>
      </c>
      <c r="GE5" s="2">
        <f>((IF((175='V06 Calend 01'!C5),('V06 Calend 01'!F5+'V06 Calend 01'!G5),0)+IF(AND(('V06 Calend 01'!E5&gt;0),(175&gt;'V06 Calend 01'!C5),(175&lt;'V06 Calend 01'!D5),(MOD((175-'V06 Calend 01'!C5),6)=0),(((175-'V06 Calend 01'!C5)/6)&lt;='V06 Calend 01'!E5)),IF((175=('V06 Calend 01'!C5+(6*'V06 Calend 01'!E5))),('V06 Calend 01'!H5-('V06 Calend 01'!I5*('V06 Calend 01'!E5-1))),'V06 Calend 01'!I5),0))+IF((175='V06 Calend 01'!D5),'V06 Calend 01'!J5,0))</f>
        <v>0</v>
      </c>
      <c r="GF5" s="2">
        <f>((IF((176='V06 Calend 01'!C5),('V06 Calend 01'!F5+'V06 Calend 01'!G5),0)+IF(AND(('V06 Calend 01'!E5&gt;0),(176&gt;'V06 Calend 01'!C5),(176&lt;'V06 Calend 01'!D5),(MOD((176-'V06 Calend 01'!C5),6)=0),(((176-'V06 Calend 01'!C5)/6)&lt;='V06 Calend 01'!E5)),IF((176=('V06 Calend 01'!C5+(6*'V06 Calend 01'!E5))),('V06 Calend 01'!H5-('V06 Calend 01'!I5*('V06 Calend 01'!E5-1))),'V06 Calend 01'!I5),0))+IF((176='V06 Calend 01'!D5),'V06 Calend 01'!J5,0))</f>
        <v>0</v>
      </c>
      <c r="GG5" s="2">
        <f>((IF((177='V06 Calend 01'!C5),('V06 Calend 01'!F5+'V06 Calend 01'!G5),0)+IF(AND(('V06 Calend 01'!E5&gt;0),(177&gt;'V06 Calend 01'!C5),(177&lt;'V06 Calend 01'!D5),(MOD((177-'V06 Calend 01'!C5),6)=0),(((177-'V06 Calend 01'!C5)/6)&lt;='V06 Calend 01'!E5)),IF((177=('V06 Calend 01'!C5+(6*'V06 Calend 01'!E5))),('V06 Calend 01'!H5-('V06 Calend 01'!I5*('V06 Calend 01'!E5-1))),'V06 Calend 01'!I5),0))+IF((177='V06 Calend 01'!D5),'V06 Calend 01'!J5,0))</f>
        <v>0</v>
      </c>
      <c r="GH5" s="2">
        <f>((IF((178='V06 Calend 01'!C5),('V06 Calend 01'!F5+'V06 Calend 01'!G5),0)+IF(AND(('V06 Calend 01'!E5&gt;0),(178&gt;'V06 Calend 01'!C5),(178&lt;'V06 Calend 01'!D5),(MOD((178-'V06 Calend 01'!C5),6)=0),(((178-'V06 Calend 01'!C5)/6)&lt;='V06 Calend 01'!E5)),IF((178=('V06 Calend 01'!C5+(6*'V06 Calend 01'!E5))),('V06 Calend 01'!H5-('V06 Calend 01'!I5*('V06 Calend 01'!E5-1))),'V06 Calend 01'!I5),0))+IF((178='V06 Calend 01'!D5),'V06 Calend 01'!J5,0))</f>
        <v>0</v>
      </c>
      <c r="GI5" s="2">
        <f>((IF((179='V06 Calend 01'!C5),('V06 Calend 01'!F5+'V06 Calend 01'!G5),0)+IF(AND(('V06 Calend 01'!E5&gt;0),(179&gt;'V06 Calend 01'!C5),(179&lt;'V06 Calend 01'!D5),(MOD((179-'V06 Calend 01'!C5),6)=0),(((179-'V06 Calend 01'!C5)/6)&lt;='V06 Calend 01'!E5)),IF((179=('V06 Calend 01'!C5+(6*'V06 Calend 01'!E5))),('V06 Calend 01'!H5-('V06 Calend 01'!I5*('V06 Calend 01'!E5-1))),'V06 Calend 01'!I5),0))+IF((179='V06 Calend 01'!D5),'V06 Calend 01'!J5,0))</f>
        <v>0</v>
      </c>
      <c r="GJ5" s="2">
        <f>((IF((180='V06 Calend 01'!C5),('V06 Calend 01'!F5+'V06 Calend 01'!G5),0)+IF(AND(('V06 Calend 01'!E5&gt;0),(180&gt;'V06 Calend 01'!C5),(180&lt;'V06 Calend 01'!D5),(MOD((180-'V06 Calend 01'!C5),6)=0),(((180-'V06 Calend 01'!C5)/6)&lt;='V06 Calend 01'!E5)),IF((180=('V06 Calend 01'!C5+(6*'V06 Calend 01'!E5))),('V06 Calend 01'!H5-('V06 Calend 01'!I5*('V06 Calend 01'!E5-1))),'V06 Calend 01'!I5),0))+IF((180='V06 Calend 01'!D5),'V06 Calend 01'!J5,0))</f>
        <v>0</v>
      </c>
    </row>
    <row r="6" spans="1:192">
      <c r="A6" s="3" t="str">
        <f>'V06 Unidades'!$A$6</f>
        <v>202</v>
      </c>
      <c r="B6" s="2">
        <f>'V06 Unidades'!$H$6</f>
        <v>402500</v>
      </c>
      <c r="C6" s="4">
        <f>('V06 Unidades'!$I$6+'V06 Controlos'!$B$37)</f>
        <v>1</v>
      </c>
      <c r="D6" s="4">
        <f>IF(('V06 Controlos'!$B$38&gt;0),MAX(('V06 Unidades'!$L$6+'V06 Controlos'!$B$37),(30+'V06 Controlos'!$B$38)),('V06 Unidades'!$L$6+'V06 Controlos'!$B$37))</f>
        <v>29</v>
      </c>
      <c r="E6" s="4">
        <f>MAX(0,INT(((('V06 Calend 01'!D6-'V06 Calend 01'!C6)-1)/6)))</f>
        <v>4</v>
      </c>
      <c r="F6" s="2">
        <f>ROUND(('V06 Calend 01'!B6*0.05),2)</f>
        <v>20125.0</v>
      </c>
      <c r="G6" s="2">
        <f>ROUND(('V06 Calend 01'!B6*0.2),2)</f>
        <v>80500.0</v>
      </c>
      <c r="H6" s="2">
        <f>ROUND(('V06 Calend 01'!B6*0.55),2)</f>
        <v>221375.0</v>
      </c>
      <c r="I6" s="2">
        <f>ROUND(('V06 Calend 01'!H6/MAX(1,'V06 Calend 01'!E6)),2)</f>
        <v>55343.75</v>
      </c>
      <c r="J6" s="2">
        <f>((('V06 Calend 01'!B6-'V06 Calend 01'!F6)-'V06 Calend 01'!G6)-'V06 Calend 01'!H6)</f>
        <v>80500.0</v>
      </c>
      <c r="K6" s="2">
        <f>('V06 Calend 01'!B6*0.025)</f>
        <v>10062.5</v>
      </c>
      <c r="L6" t="s">
        <v>378</v>
      </c>
      <c r="M6" s="2">
        <f>((IF((1='V06 Calend 01'!C6),('V06 Calend 01'!F6+'V06 Calend 01'!G6),0)+IF(AND(('V06 Calend 01'!E6&gt;0),(1&gt;'V06 Calend 01'!C6),(1&lt;'V06 Calend 01'!D6),(MOD((1-'V06 Calend 01'!C6),6)=0),(((1-'V06 Calend 01'!C6)/6)&lt;='V06 Calend 01'!E6)),IF((1=('V06 Calend 01'!C6+(6*'V06 Calend 01'!E6))),('V06 Calend 01'!H6-('V06 Calend 01'!I6*('V06 Calend 01'!E6-1))),'V06 Calend 01'!I6),0))+IF((1='V06 Calend 01'!D6),'V06 Calend 01'!J6,0))</f>
        <v>100625.0</v>
      </c>
      <c r="N6" s="2">
        <f>((IF((2='V06 Calend 01'!C6),('V06 Calend 01'!F6+'V06 Calend 01'!G6),0)+IF(AND(('V06 Calend 01'!E6&gt;0),(2&gt;'V06 Calend 01'!C6),(2&lt;'V06 Calend 01'!D6),(MOD((2-'V06 Calend 01'!C6),6)=0),(((2-'V06 Calend 01'!C6)/6)&lt;='V06 Calend 01'!E6)),IF((2=('V06 Calend 01'!C6+(6*'V06 Calend 01'!E6))),('V06 Calend 01'!H6-('V06 Calend 01'!I6*('V06 Calend 01'!E6-1))),'V06 Calend 01'!I6),0))+IF((2='V06 Calend 01'!D6),'V06 Calend 01'!J6,0))</f>
        <v>0</v>
      </c>
      <c r="O6" s="2">
        <f>((IF((3='V06 Calend 01'!C6),('V06 Calend 01'!F6+'V06 Calend 01'!G6),0)+IF(AND(('V06 Calend 01'!E6&gt;0),(3&gt;'V06 Calend 01'!C6),(3&lt;'V06 Calend 01'!D6),(MOD((3-'V06 Calend 01'!C6),6)=0),(((3-'V06 Calend 01'!C6)/6)&lt;='V06 Calend 01'!E6)),IF((3=('V06 Calend 01'!C6+(6*'V06 Calend 01'!E6))),('V06 Calend 01'!H6-('V06 Calend 01'!I6*('V06 Calend 01'!E6-1))),'V06 Calend 01'!I6),0))+IF((3='V06 Calend 01'!D6),'V06 Calend 01'!J6,0))</f>
        <v>0</v>
      </c>
      <c r="P6" s="2">
        <f>((IF((4='V06 Calend 01'!C6),('V06 Calend 01'!F6+'V06 Calend 01'!G6),0)+IF(AND(('V06 Calend 01'!E6&gt;0),(4&gt;'V06 Calend 01'!C6),(4&lt;'V06 Calend 01'!D6),(MOD((4-'V06 Calend 01'!C6),6)=0),(((4-'V06 Calend 01'!C6)/6)&lt;='V06 Calend 01'!E6)),IF((4=('V06 Calend 01'!C6+(6*'V06 Calend 01'!E6))),('V06 Calend 01'!H6-('V06 Calend 01'!I6*('V06 Calend 01'!E6-1))),'V06 Calend 01'!I6),0))+IF((4='V06 Calend 01'!D6),'V06 Calend 01'!J6,0))</f>
        <v>0</v>
      </c>
      <c r="Q6" s="2">
        <f>((IF((5='V06 Calend 01'!C6),('V06 Calend 01'!F6+'V06 Calend 01'!G6),0)+IF(AND(('V06 Calend 01'!E6&gt;0),(5&gt;'V06 Calend 01'!C6),(5&lt;'V06 Calend 01'!D6),(MOD((5-'V06 Calend 01'!C6),6)=0),(((5-'V06 Calend 01'!C6)/6)&lt;='V06 Calend 01'!E6)),IF((5=('V06 Calend 01'!C6+(6*'V06 Calend 01'!E6))),('V06 Calend 01'!H6-('V06 Calend 01'!I6*('V06 Calend 01'!E6-1))),'V06 Calend 01'!I6),0))+IF((5='V06 Calend 01'!D6),'V06 Calend 01'!J6,0))</f>
        <v>0</v>
      </c>
      <c r="R6" s="2">
        <f>((IF((6='V06 Calend 01'!C6),('V06 Calend 01'!F6+'V06 Calend 01'!G6),0)+IF(AND(('V06 Calend 01'!E6&gt;0),(6&gt;'V06 Calend 01'!C6),(6&lt;'V06 Calend 01'!D6),(MOD((6-'V06 Calend 01'!C6),6)=0),(((6-'V06 Calend 01'!C6)/6)&lt;='V06 Calend 01'!E6)),IF((6=('V06 Calend 01'!C6+(6*'V06 Calend 01'!E6))),('V06 Calend 01'!H6-('V06 Calend 01'!I6*('V06 Calend 01'!E6-1))),'V06 Calend 01'!I6),0))+IF((6='V06 Calend 01'!D6),'V06 Calend 01'!J6,0))</f>
        <v>0</v>
      </c>
      <c r="S6" s="2">
        <f>((IF((7='V06 Calend 01'!C6),('V06 Calend 01'!F6+'V06 Calend 01'!G6),0)+IF(AND(('V06 Calend 01'!E6&gt;0),(7&gt;'V06 Calend 01'!C6),(7&lt;'V06 Calend 01'!D6),(MOD((7-'V06 Calend 01'!C6),6)=0),(((7-'V06 Calend 01'!C6)/6)&lt;='V06 Calend 01'!E6)),IF((7=('V06 Calend 01'!C6+(6*'V06 Calend 01'!E6))),('V06 Calend 01'!H6-('V06 Calend 01'!I6*('V06 Calend 01'!E6-1))),'V06 Calend 01'!I6),0))+IF((7='V06 Calend 01'!D6),'V06 Calend 01'!J6,0))</f>
        <v>55343.75</v>
      </c>
      <c r="T6" s="2">
        <f>((IF((8='V06 Calend 01'!C6),('V06 Calend 01'!F6+'V06 Calend 01'!G6),0)+IF(AND(('V06 Calend 01'!E6&gt;0),(8&gt;'V06 Calend 01'!C6),(8&lt;'V06 Calend 01'!D6),(MOD((8-'V06 Calend 01'!C6),6)=0),(((8-'V06 Calend 01'!C6)/6)&lt;='V06 Calend 01'!E6)),IF((8=('V06 Calend 01'!C6+(6*'V06 Calend 01'!E6))),('V06 Calend 01'!H6-('V06 Calend 01'!I6*('V06 Calend 01'!E6-1))),'V06 Calend 01'!I6),0))+IF((8='V06 Calend 01'!D6),'V06 Calend 01'!J6,0))</f>
        <v>0</v>
      </c>
      <c r="U6" s="2">
        <f>((IF((9='V06 Calend 01'!C6),('V06 Calend 01'!F6+'V06 Calend 01'!G6),0)+IF(AND(('V06 Calend 01'!E6&gt;0),(9&gt;'V06 Calend 01'!C6),(9&lt;'V06 Calend 01'!D6),(MOD((9-'V06 Calend 01'!C6),6)=0),(((9-'V06 Calend 01'!C6)/6)&lt;='V06 Calend 01'!E6)),IF((9=('V06 Calend 01'!C6+(6*'V06 Calend 01'!E6))),('V06 Calend 01'!H6-('V06 Calend 01'!I6*('V06 Calend 01'!E6-1))),'V06 Calend 01'!I6),0))+IF((9='V06 Calend 01'!D6),'V06 Calend 01'!J6,0))</f>
        <v>0</v>
      </c>
      <c r="V6" s="2">
        <f>((IF((10='V06 Calend 01'!C6),('V06 Calend 01'!F6+'V06 Calend 01'!G6),0)+IF(AND(('V06 Calend 01'!E6&gt;0),(10&gt;'V06 Calend 01'!C6),(10&lt;'V06 Calend 01'!D6),(MOD((10-'V06 Calend 01'!C6),6)=0),(((10-'V06 Calend 01'!C6)/6)&lt;='V06 Calend 01'!E6)),IF((10=('V06 Calend 01'!C6+(6*'V06 Calend 01'!E6))),('V06 Calend 01'!H6-('V06 Calend 01'!I6*('V06 Calend 01'!E6-1))),'V06 Calend 01'!I6),0))+IF((10='V06 Calend 01'!D6),'V06 Calend 01'!J6,0))</f>
        <v>0</v>
      </c>
      <c r="W6" s="2">
        <f>((IF((11='V06 Calend 01'!C6),('V06 Calend 01'!F6+'V06 Calend 01'!G6),0)+IF(AND(('V06 Calend 01'!E6&gt;0),(11&gt;'V06 Calend 01'!C6),(11&lt;'V06 Calend 01'!D6),(MOD((11-'V06 Calend 01'!C6),6)=0),(((11-'V06 Calend 01'!C6)/6)&lt;='V06 Calend 01'!E6)),IF((11=('V06 Calend 01'!C6+(6*'V06 Calend 01'!E6))),('V06 Calend 01'!H6-('V06 Calend 01'!I6*('V06 Calend 01'!E6-1))),'V06 Calend 01'!I6),0))+IF((11='V06 Calend 01'!D6),'V06 Calend 01'!J6,0))</f>
        <v>0</v>
      </c>
      <c r="X6" s="2">
        <f>((IF((12='V06 Calend 01'!C6),('V06 Calend 01'!F6+'V06 Calend 01'!G6),0)+IF(AND(('V06 Calend 01'!E6&gt;0),(12&gt;'V06 Calend 01'!C6),(12&lt;'V06 Calend 01'!D6),(MOD((12-'V06 Calend 01'!C6),6)=0),(((12-'V06 Calend 01'!C6)/6)&lt;='V06 Calend 01'!E6)),IF((12=('V06 Calend 01'!C6+(6*'V06 Calend 01'!E6))),('V06 Calend 01'!H6-('V06 Calend 01'!I6*('V06 Calend 01'!E6-1))),'V06 Calend 01'!I6),0))+IF((12='V06 Calend 01'!D6),'V06 Calend 01'!J6,0))</f>
        <v>0</v>
      </c>
      <c r="Y6" s="2">
        <f>((IF((13='V06 Calend 01'!C6),('V06 Calend 01'!F6+'V06 Calend 01'!G6),0)+IF(AND(('V06 Calend 01'!E6&gt;0),(13&gt;'V06 Calend 01'!C6),(13&lt;'V06 Calend 01'!D6),(MOD((13-'V06 Calend 01'!C6),6)=0),(((13-'V06 Calend 01'!C6)/6)&lt;='V06 Calend 01'!E6)),IF((13=('V06 Calend 01'!C6+(6*'V06 Calend 01'!E6))),('V06 Calend 01'!H6-('V06 Calend 01'!I6*('V06 Calend 01'!E6-1))),'V06 Calend 01'!I6),0))+IF((13='V06 Calend 01'!D6),'V06 Calend 01'!J6,0))</f>
        <v>55343.75</v>
      </c>
      <c r="Z6" s="2">
        <f>((IF((14='V06 Calend 01'!C6),('V06 Calend 01'!F6+'V06 Calend 01'!G6),0)+IF(AND(('V06 Calend 01'!E6&gt;0),(14&gt;'V06 Calend 01'!C6),(14&lt;'V06 Calend 01'!D6),(MOD((14-'V06 Calend 01'!C6),6)=0),(((14-'V06 Calend 01'!C6)/6)&lt;='V06 Calend 01'!E6)),IF((14=('V06 Calend 01'!C6+(6*'V06 Calend 01'!E6))),('V06 Calend 01'!H6-('V06 Calend 01'!I6*('V06 Calend 01'!E6-1))),'V06 Calend 01'!I6),0))+IF((14='V06 Calend 01'!D6),'V06 Calend 01'!J6,0))</f>
        <v>0</v>
      </c>
      <c r="AA6" s="2">
        <f>((IF((15='V06 Calend 01'!C6),('V06 Calend 01'!F6+'V06 Calend 01'!G6),0)+IF(AND(('V06 Calend 01'!E6&gt;0),(15&gt;'V06 Calend 01'!C6),(15&lt;'V06 Calend 01'!D6),(MOD((15-'V06 Calend 01'!C6),6)=0),(((15-'V06 Calend 01'!C6)/6)&lt;='V06 Calend 01'!E6)),IF((15=('V06 Calend 01'!C6+(6*'V06 Calend 01'!E6))),('V06 Calend 01'!H6-('V06 Calend 01'!I6*('V06 Calend 01'!E6-1))),'V06 Calend 01'!I6),0))+IF((15='V06 Calend 01'!D6),'V06 Calend 01'!J6,0))</f>
        <v>0</v>
      </c>
      <c r="AB6" s="2">
        <f>((IF((16='V06 Calend 01'!C6),('V06 Calend 01'!F6+'V06 Calend 01'!G6),0)+IF(AND(('V06 Calend 01'!E6&gt;0),(16&gt;'V06 Calend 01'!C6),(16&lt;'V06 Calend 01'!D6),(MOD((16-'V06 Calend 01'!C6),6)=0),(((16-'V06 Calend 01'!C6)/6)&lt;='V06 Calend 01'!E6)),IF((16=('V06 Calend 01'!C6+(6*'V06 Calend 01'!E6))),('V06 Calend 01'!H6-('V06 Calend 01'!I6*('V06 Calend 01'!E6-1))),'V06 Calend 01'!I6),0))+IF((16='V06 Calend 01'!D6),'V06 Calend 01'!J6,0))</f>
        <v>0</v>
      </c>
      <c r="AC6" s="2">
        <f>((IF((17='V06 Calend 01'!C6),('V06 Calend 01'!F6+'V06 Calend 01'!G6),0)+IF(AND(('V06 Calend 01'!E6&gt;0),(17&gt;'V06 Calend 01'!C6),(17&lt;'V06 Calend 01'!D6),(MOD((17-'V06 Calend 01'!C6),6)=0),(((17-'V06 Calend 01'!C6)/6)&lt;='V06 Calend 01'!E6)),IF((17=('V06 Calend 01'!C6+(6*'V06 Calend 01'!E6))),('V06 Calend 01'!H6-('V06 Calend 01'!I6*('V06 Calend 01'!E6-1))),'V06 Calend 01'!I6),0))+IF((17='V06 Calend 01'!D6),'V06 Calend 01'!J6,0))</f>
        <v>0</v>
      </c>
      <c r="AD6" s="2">
        <f>((IF((18='V06 Calend 01'!C6),('V06 Calend 01'!F6+'V06 Calend 01'!G6),0)+IF(AND(('V06 Calend 01'!E6&gt;0),(18&gt;'V06 Calend 01'!C6),(18&lt;'V06 Calend 01'!D6),(MOD((18-'V06 Calend 01'!C6),6)=0),(((18-'V06 Calend 01'!C6)/6)&lt;='V06 Calend 01'!E6)),IF((18=('V06 Calend 01'!C6+(6*'V06 Calend 01'!E6))),('V06 Calend 01'!H6-('V06 Calend 01'!I6*('V06 Calend 01'!E6-1))),'V06 Calend 01'!I6),0))+IF((18='V06 Calend 01'!D6),'V06 Calend 01'!J6,0))</f>
        <v>0</v>
      </c>
      <c r="AE6" s="2">
        <f>((IF((19='V06 Calend 01'!C6),('V06 Calend 01'!F6+'V06 Calend 01'!G6),0)+IF(AND(('V06 Calend 01'!E6&gt;0),(19&gt;'V06 Calend 01'!C6),(19&lt;'V06 Calend 01'!D6),(MOD((19-'V06 Calend 01'!C6),6)=0),(((19-'V06 Calend 01'!C6)/6)&lt;='V06 Calend 01'!E6)),IF((19=('V06 Calend 01'!C6+(6*'V06 Calend 01'!E6))),('V06 Calend 01'!H6-('V06 Calend 01'!I6*('V06 Calend 01'!E6-1))),'V06 Calend 01'!I6),0))+IF((19='V06 Calend 01'!D6),'V06 Calend 01'!J6,0))</f>
        <v>55343.75</v>
      </c>
      <c r="AF6" s="2">
        <f>((IF((20='V06 Calend 01'!C6),('V06 Calend 01'!F6+'V06 Calend 01'!G6),0)+IF(AND(('V06 Calend 01'!E6&gt;0),(20&gt;'V06 Calend 01'!C6),(20&lt;'V06 Calend 01'!D6),(MOD((20-'V06 Calend 01'!C6),6)=0),(((20-'V06 Calend 01'!C6)/6)&lt;='V06 Calend 01'!E6)),IF((20=('V06 Calend 01'!C6+(6*'V06 Calend 01'!E6))),('V06 Calend 01'!H6-('V06 Calend 01'!I6*('V06 Calend 01'!E6-1))),'V06 Calend 01'!I6),0))+IF((20='V06 Calend 01'!D6),'V06 Calend 01'!J6,0))</f>
        <v>0</v>
      </c>
      <c r="AG6" s="2">
        <f>((IF((21='V06 Calend 01'!C6),('V06 Calend 01'!F6+'V06 Calend 01'!G6),0)+IF(AND(('V06 Calend 01'!E6&gt;0),(21&gt;'V06 Calend 01'!C6),(21&lt;'V06 Calend 01'!D6),(MOD((21-'V06 Calend 01'!C6),6)=0),(((21-'V06 Calend 01'!C6)/6)&lt;='V06 Calend 01'!E6)),IF((21=('V06 Calend 01'!C6+(6*'V06 Calend 01'!E6))),('V06 Calend 01'!H6-('V06 Calend 01'!I6*('V06 Calend 01'!E6-1))),'V06 Calend 01'!I6),0))+IF((21='V06 Calend 01'!D6),'V06 Calend 01'!J6,0))</f>
        <v>0</v>
      </c>
      <c r="AH6" s="2">
        <f>((IF((22='V06 Calend 01'!C6),('V06 Calend 01'!F6+'V06 Calend 01'!G6),0)+IF(AND(('V06 Calend 01'!E6&gt;0),(22&gt;'V06 Calend 01'!C6),(22&lt;'V06 Calend 01'!D6),(MOD((22-'V06 Calend 01'!C6),6)=0),(((22-'V06 Calend 01'!C6)/6)&lt;='V06 Calend 01'!E6)),IF((22=('V06 Calend 01'!C6+(6*'V06 Calend 01'!E6))),('V06 Calend 01'!H6-('V06 Calend 01'!I6*('V06 Calend 01'!E6-1))),'V06 Calend 01'!I6),0))+IF((22='V06 Calend 01'!D6),'V06 Calend 01'!J6,0))</f>
        <v>0</v>
      </c>
      <c r="AI6" s="2">
        <f>((IF((23='V06 Calend 01'!C6),('V06 Calend 01'!F6+'V06 Calend 01'!G6),0)+IF(AND(('V06 Calend 01'!E6&gt;0),(23&gt;'V06 Calend 01'!C6),(23&lt;'V06 Calend 01'!D6),(MOD((23-'V06 Calend 01'!C6),6)=0),(((23-'V06 Calend 01'!C6)/6)&lt;='V06 Calend 01'!E6)),IF((23=('V06 Calend 01'!C6+(6*'V06 Calend 01'!E6))),('V06 Calend 01'!H6-('V06 Calend 01'!I6*('V06 Calend 01'!E6-1))),'V06 Calend 01'!I6),0))+IF((23='V06 Calend 01'!D6),'V06 Calend 01'!J6,0))</f>
        <v>0</v>
      </c>
      <c r="AJ6" s="2">
        <f>((IF((24='V06 Calend 01'!C6),('V06 Calend 01'!F6+'V06 Calend 01'!G6),0)+IF(AND(('V06 Calend 01'!E6&gt;0),(24&gt;'V06 Calend 01'!C6),(24&lt;'V06 Calend 01'!D6),(MOD((24-'V06 Calend 01'!C6),6)=0),(((24-'V06 Calend 01'!C6)/6)&lt;='V06 Calend 01'!E6)),IF((24=('V06 Calend 01'!C6+(6*'V06 Calend 01'!E6))),('V06 Calend 01'!H6-('V06 Calend 01'!I6*('V06 Calend 01'!E6-1))),'V06 Calend 01'!I6),0))+IF((24='V06 Calend 01'!D6),'V06 Calend 01'!J6,0))</f>
        <v>0</v>
      </c>
      <c r="AK6" s="2">
        <f>((IF((25='V06 Calend 01'!C6),('V06 Calend 01'!F6+'V06 Calend 01'!G6),0)+IF(AND(('V06 Calend 01'!E6&gt;0),(25&gt;'V06 Calend 01'!C6),(25&lt;'V06 Calend 01'!D6),(MOD((25-'V06 Calend 01'!C6),6)=0),(((25-'V06 Calend 01'!C6)/6)&lt;='V06 Calend 01'!E6)),IF((25=('V06 Calend 01'!C6+(6*'V06 Calend 01'!E6))),('V06 Calend 01'!H6-('V06 Calend 01'!I6*('V06 Calend 01'!E6-1))),'V06 Calend 01'!I6),0))+IF((25='V06 Calend 01'!D6),'V06 Calend 01'!J6,0))</f>
        <v>55343.75</v>
      </c>
      <c r="AL6" s="2">
        <f>((IF((26='V06 Calend 01'!C6),('V06 Calend 01'!F6+'V06 Calend 01'!G6),0)+IF(AND(('V06 Calend 01'!E6&gt;0),(26&gt;'V06 Calend 01'!C6),(26&lt;'V06 Calend 01'!D6),(MOD((26-'V06 Calend 01'!C6),6)=0),(((26-'V06 Calend 01'!C6)/6)&lt;='V06 Calend 01'!E6)),IF((26=('V06 Calend 01'!C6+(6*'V06 Calend 01'!E6))),('V06 Calend 01'!H6-('V06 Calend 01'!I6*('V06 Calend 01'!E6-1))),'V06 Calend 01'!I6),0))+IF((26='V06 Calend 01'!D6),'V06 Calend 01'!J6,0))</f>
        <v>0</v>
      </c>
      <c r="AM6" s="2">
        <f>((IF((27='V06 Calend 01'!C6),('V06 Calend 01'!F6+'V06 Calend 01'!G6),0)+IF(AND(('V06 Calend 01'!E6&gt;0),(27&gt;'V06 Calend 01'!C6),(27&lt;'V06 Calend 01'!D6),(MOD((27-'V06 Calend 01'!C6),6)=0),(((27-'V06 Calend 01'!C6)/6)&lt;='V06 Calend 01'!E6)),IF((27=('V06 Calend 01'!C6+(6*'V06 Calend 01'!E6))),('V06 Calend 01'!H6-('V06 Calend 01'!I6*('V06 Calend 01'!E6-1))),'V06 Calend 01'!I6),0))+IF((27='V06 Calend 01'!D6),'V06 Calend 01'!J6,0))</f>
        <v>0</v>
      </c>
      <c r="AN6" s="2">
        <f>((IF((28='V06 Calend 01'!C6),('V06 Calend 01'!F6+'V06 Calend 01'!G6),0)+IF(AND(('V06 Calend 01'!E6&gt;0),(28&gt;'V06 Calend 01'!C6),(28&lt;'V06 Calend 01'!D6),(MOD((28-'V06 Calend 01'!C6),6)=0),(((28-'V06 Calend 01'!C6)/6)&lt;='V06 Calend 01'!E6)),IF((28=('V06 Calend 01'!C6+(6*'V06 Calend 01'!E6))),('V06 Calend 01'!H6-('V06 Calend 01'!I6*('V06 Calend 01'!E6-1))),'V06 Calend 01'!I6),0))+IF((28='V06 Calend 01'!D6),'V06 Calend 01'!J6,0))</f>
        <v>0</v>
      </c>
      <c r="AO6" s="2">
        <f>((IF((29='V06 Calend 01'!C6),('V06 Calend 01'!F6+'V06 Calend 01'!G6),0)+IF(AND(('V06 Calend 01'!E6&gt;0),(29&gt;'V06 Calend 01'!C6),(29&lt;'V06 Calend 01'!D6),(MOD((29-'V06 Calend 01'!C6),6)=0),(((29-'V06 Calend 01'!C6)/6)&lt;='V06 Calend 01'!E6)),IF((29=('V06 Calend 01'!C6+(6*'V06 Calend 01'!E6))),('V06 Calend 01'!H6-('V06 Calend 01'!I6*('V06 Calend 01'!E6-1))),'V06 Calend 01'!I6),0))+IF((29='V06 Calend 01'!D6),'V06 Calend 01'!J6,0))</f>
        <v>80500.0</v>
      </c>
      <c r="AP6" s="2">
        <f>((IF((30='V06 Calend 01'!C6),('V06 Calend 01'!F6+'V06 Calend 01'!G6),0)+IF(AND(('V06 Calend 01'!E6&gt;0),(30&gt;'V06 Calend 01'!C6),(30&lt;'V06 Calend 01'!D6),(MOD((30-'V06 Calend 01'!C6),6)=0),(((30-'V06 Calend 01'!C6)/6)&lt;='V06 Calend 01'!E6)),IF((30=('V06 Calend 01'!C6+(6*'V06 Calend 01'!E6))),('V06 Calend 01'!H6-('V06 Calend 01'!I6*('V06 Calend 01'!E6-1))),'V06 Calend 01'!I6),0))+IF((30='V06 Calend 01'!D6),'V06 Calend 01'!J6,0))</f>
        <v>0</v>
      </c>
      <c r="AQ6" s="2">
        <f>((IF((31='V06 Calend 01'!C6),('V06 Calend 01'!F6+'V06 Calend 01'!G6),0)+IF(AND(('V06 Calend 01'!E6&gt;0),(31&gt;'V06 Calend 01'!C6),(31&lt;'V06 Calend 01'!D6),(MOD((31-'V06 Calend 01'!C6),6)=0),(((31-'V06 Calend 01'!C6)/6)&lt;='V06 Calend 01'!E6)),IF((31=('V06 Calend 01'!C6+(6*'V06 Calend 01'!E6))),('V06 Calend 01'!H6-('V06 Calend 01'!I6*('V06 Calend 01'!E6-1))),'V06 Calend 01'!I6),0))+IF((31='V06 Calend 01'!D6),'V06 Calend 01'!J6,0))</f>
        <v>0</v>
      </c>
      <c r="AR6" s="2">
        <f>((IF((32='V06 Calend 01'!C6),('V06 Calend 01'!F6+'V06 Calend 01'!G6),0)+IF(AND(('V06 Calend 01'!E6&gt;0),(32&gt;'V06 Calend 01'!C6),(32&lt;'V06 Calend 01'!D6),(MOD((32-'V06 Calend 01'!C6),6)=0),(((32-'V06 Calend 01'!C6)/6)&lt;='V06 Calend 01'!E6)),IF((32=('V06 Calend 01'!C6+(6*'V06 Calend 01'!E6))),('V06 Calend 01'!H6-('V06 Calend 01'!I6*('V06 Calend 01'!E6-1))),'V06 Calend 01'!I6),0))+IF((32='V06 Calend 01'!D6),'V06 Calend 01'!J6,0))</f>
        <v>0</v>
      </c>
      <c r="AS6" s="2">
        <f>((IF((33='V06 Calend 01'!C6),('V06 Calend 01'!F6+'V06 Calend 01'!G6),0)+IF(AND(('V06 Calend 01'!E6&gt;0),(33&gt;'V06 Calend 01'!C6),(33&lt;'V06 Calend 01'!D6),(MOD((33-'V06 Calend 01'!C6),6)=0),(((33-'V06 Calend 01'!C6)/6)&lt;='V06 Calend 01'!E6)),IF((33=('V06 Calend 01'!C6+(6*'V06 Calend 01'!E6))),('V06 Calend 01'!H6-('V06 Calend 01'!I6*('V06 Calend 01'!E6-1))),'V06 Calend 01'!I6),0))+IF((33='V06 Calend 01'!D6),'V06 Calend 01'!J6,0))</f>
        <v>0</v>
      </c>
      <c r="AT6" s="2">
        <f>((IF((34='V06 Calend 01'!C6),('V06 Calend 01'!F6+'V06 Calend 01'!G6),0)+IF(AND(('V06 Calend 01'!E6&gt;0),(34&gt;'V06 Calend 01'!C6),(34&lt;'V06 Calend 01'!D6),(MOD((34-'V06 Calend 01'!C6),6)=0),(((34-'V06 Calend 01'!C6)/6)&lt;='V06 Calend 01'!E6)),IF((34=('V06 Calend 01'!C6+(6*'V06 Calend 01'!E6))),('V06 Calend 01'!H6-('V06 Calend 01'!I6*('V06 Calend 01'!E6-1))),'V06 Calend 01'!I6),0))+IF((34='V06 Calend 01'!D6),'V06 Calend 01'!J6,0))</f>
        <v>0</v>
      </c>
      <c r="AU6" s="2">
        <f>((IF((35='V06 Calend 01'!C6),('V06 Calend 01'!F6+'V06 Calend 01'!G6),0)+IF(AND(('V06 Calend 01'!E6&gt;0),(35&gt;'V06 Calend 01'!C6),(35&lt;'V06 Calend 01'!D6),(MOD((35-'V06 Calend 01'!C6),6)=0),(((35-'V06 Calend 01'!C6)/6)&lt;='V06 Calend 01'!E6)),IF((35=('V06 Calend 01'!C6+(6*'V06 Calend 01'!E6))),('V06 Calend 01'!H6-('V06 Calend 01'!I6*('V06 Calend 01'!E6-1))),'V06 Calend 01'!I6),0))+IF((35='V06 Calend 01'!D6),'V06 Calend 01'!J6,0))</f>
        <v>0</v>
      </c>
      <c r="AV6" s="2">
        <f>((IF((36='V06 Calend 01'!C6),('V06 Calend 01'!F6+'V06 Calend 01'!G6),0)+IF(AND(('V06 Calend 01'!E6&gt;0),(36&gt;'V06 Calend 01'!C6),(36&lt;'V06 Calend 01'!D6),(MOD((36-'V06 Calend 01'!C6),6)=0),(((36-'V06 Calend 01'!C6)/6)&lt;='V06 Calend 01'!E6)),IF((36=('V06 Calend 01'!C6+(6*'V06 Calend 01'!E6))),('V06 Calend 01'!H6-('V06 Calend 01'!I6*('V06 Calend 01'!E6-1))),'V06 Calend 01'!I6),0))+IF((36='V06 Calend 01'!D6),'V06 Calend 01'!J6,0))</f>
        <v>0</v>
      </c>
      <c r="AW6" s="2">
        <f>((IF((37='V06 Calend 01'!C6),('V06 Calend 01'!F6+'V06 Calend 01'!G6),0)+IF(AND(('V06 Calend 01'!E6&gt;0),(37&gt;'V06 Calend 01'!C6),(37&lt;'V06 Calend 01'!D6),(MOD((37-'V06 Calend 01'!C6),6)=0),(((37-'V06 Calend 01'!C6)/6)&lt;='V06 Calend 01'!E6)),IF((37=('V06 Calend 01'!C6+(6*'V06 Calend 01'!E6))),('V06 Calend 01'!H6-('V06 Calend 01'!I6*('V06 Calend 01'!E6-1))),'V06 Calend 01'!I6),0))+IF((37='V06 Calend 01'!D6),'V06 Calend 01'!J6,0))</f>
        <v>0</v>
      </c>
      <c r="AX6" s="2">
        <f>((IF((38='V06 Calend 01'!C6),('V06 Calend 01'!F6+'V06 Calend 01'!G6),0)+IF(AND(('V06 Calend 01'!E6&gt;0),(38&gt;'V06 Calend 01'!C6),(38&lt;'V06 Calend 01'!D6),(MOD((38-'V06 Calend 01'!C6),6)=0),(((38-'V06 Calend 01'!C6)/6)&lt;='V06 Calend 01'!E6)),IF((38=('V06 Calend 01'!C6+(6*'V06 Calend 01'!E6))),('V06 Calend 01'!H6-('V06 Calend 01'!I6*('V06 Calend 01'!E6-1))),'V06 Calend 01'!I6),0))+IF((38='V06 Calend 01'!D6),'V06 Calend 01'!J6,0))</f>
        <v>0</v>
      </c>
      <c r="AY6" s="2">
        <f>((IF((39='V06 Calend 01'!C6),('V06 Calend 01'!F6+'V06 Calend 01'!G6),0)+IF(AND(('V06 Calend 01'!E6&gt;0),(39&gt;'V06 Calend 01'!C6),(39&lt;'V06 Calend 01'!D6),(MOD((39-'V06 Calend 01'!C6),6)=0),(((39-'V06 Calend 01'!C6)/6)&lt;='V06 Calend 01'!E6)),IF((39=('V06 Calend 01'!C6+(6*'V06 Calend 01'!E6))),('V06 Calend 01'!H6-('V06 Calend 01'!I6*('V06 Calend 01'!E6-1))),'V06 Calend 01'!I6),0))+IF((39='V06 Calend 01'!D6),'V06 Calend 01'!J6,0))</f>
        <v>0</v>
      </c>
      <c r="AZ6" s="2">
        <f>((IF((40='V06 Calend 01'!C6),('V06 Calend 01'!F6+'V06 Calend 01'!G6),0)+IF(AND(('V06 Calend 01'!E6&gt;0),(40&gt;'V06 Calend 01'!C6),(40&lt;'V06 Calend 01'!D6),(MOD((40-'V06 Calend 01'!C6),6)=0),(((40-'V06 Calend 01'!C6)/6)&lt;='V06 Calend 01'!E6)),IF((40=('V06 Calend 01'!C6+(6*'V06 Calend 01'!E6))),('V06 Calend 01'!H6-('V06 Calend 01'!I6*('V06 Calend 01'!E6-1))),'V06 Calend 01'!I6),0))+IF((40='V06 Calend 01'!D6),'V06 Calend 01'!J6,0))</f>
        <v>0</v>
      </c>
      <c r="BA6" s="2">
        <f>((IF((41='V06 Calend 01'!C6),('V06 Calend 01'!F6+'V06 Calend 01'!G6),0)+IF(AND(('V06 Calend 01'!E6&gt;0),(41&gt;'V06 Calend 01'!C6),(41&lt;'V06 Calend 01'!D6),(MOD((41-'V06 Calend 01'!C6),6)=0),(((41-'V06 Calend 01'!C6)/6)&lt;='V06 Calend 01'!E6)),IF((41=('V06 Calend 01'!C6+(6*'V06 Calend 01'!E6))),('V06 Calend 01'!H6-('V06 Calend 01'!I6*('V06 Calend 01'!E6-1))),'V06 Calend 01'!I6),0))+IF((41='V06 Calend 01'!D6),'V06 Calend 01'!J6,0))</f>
        <v>0</v>
      </c>
      <c r="BB6" s="2">
        <f>((IF((42='V06 Calend 01'!C6),('V06 Calend 01'!F6+'V06 Calend 01'!G6),0)+IF(AND(('V06 Calend 01'!E6&gt;0),(42&gt;'V06 Calend 01'!C6),(42&lt;'V06 Calend 01'!D6),(MOD((42-'V06 Calend 01'!C6),6)=0),(((42-'V06 Calend 01'!C6)/6)&lt;='V06 Calend 01'!E6)),IF((42=('V06 Calend 01'!C6+(6*'V06 Calend 01'!E6))),('V06 Calend 01'!H6-('V06 Calend 01'!I6*('V06 Calend 01'!E6-1))),'V06 Calend 01'!I6),0))+IF((42='V06 Calend 01'!D6),'V06 Calend 01'!J6,0))</f>
        <v>0</v>
      </c>
      <c r="BC6" s="2">
        <f>((IF((43='V06 Calend 01'!C6),('V06 Calend 01'!F6+'V06 Calend 01'!G6),0)+IF(AND(('V06 Calend 01'!E6&gt;0),(43&gt;'V06 Calend 01'!C6),(43&lt;'V06 Calend 01'!D6),(MOD((43-'V06 Calend 01'!C6),6)=0),(((43-'V06 Calend 01'!C6)/6)&lt;='V06 Calend 01'!E6)),IF((43=('V06 Calend 01'!C6+(6*'V06 Calend 01'!E6))),('V06 Calend 01'!H6-('V06 Calend 01'!I6*('V06 Calend 01'!E6-1))),'V06 Calend 01'!I6),0))+IF((43='V06 Calend 01'!D6),'V06 Calend 01'!J6,0))</f>
        <v>0</v>
      </c>
      <c r="BD6" s="2">
        <f>((IF((44='V06 Calend 01'!C6),('V06 Calend 01'!F6+'V06 Calend 01'!G6),0)+IF(AND(('V06 Calend 01'!E6&gt;0),(44&gt;'V06 Calend 01'!C6),(44&lt;'V06 Calend 01'!D6),(MOD((44-'V06 Calend 01'!C6),6)=0),(((44-'V06 Calend 01'!C6)/6)&lt;='V06 Calend 01'!E6)),IF((44=('V06 Calend 01'!C6+(6*'V06 Calend 01'!E6))),('V06 Calend 01'!H6-('V06 Calend 01'!I6*('V06 Calend 01'!E6-1))),'V06 Calend 01'!I6),0))+IF((44='V06 Calend 01'!D6),'V06 Calend 01'!J6,0))</f>
        <v>0</v>
      </c>
      <c r="BE6" s="2">
        <f>((IF((45='V06 Calend 01'!C6),('V06 Calend 01'!F6+'V06 Calend 01'!G6),0)+IF(AND(('V06 Calend 01'!E6&gt;0),(45&gt;'V06 Calend 01'!C6),(45&lt;'V06 Calend 01'!D6),(MOD((45-'V06 Calend 01'!C6),6)=0),(((45-'V06 Calend 01'!C6)/6)&lt;='V06 Calend 01'!E6)),IF((45=('V06 Calend 01'!C6+(6*'V06 Calend 01'!E6))),('V06 Calend 01'!H6-('V06 Calend 01'!I6*('V06 Calend 01'!E6-1))),'V06 Calend 01'!I6),0))+IF((45='V06 Calend 01'!D6),'V06 Calend 01'!J6,0))</f>
        <v>0</v>
      </c>
      <c r="BF6" s="2">
        <f>((IF((46='V06 Calend 01'!C6),('V06 Calend 01'!F6+'V06 Calend 01'!G6),0)+IF(AND(('V06 Calend 01'!E6&gt;0),(46&gt;'V06 Calend 01'!C6),(46&lt;'V06 Calend 01'!D6),(MOD((46-'V06 Calend 01'!C6),6)=0),(((46-'V06 Calend 01'!C6)/6)&lt;='V06 Calend 01'!E6)),IF((46=('V06 Calend 01'!C6+(6*'V06 Calend 01'!E6))),('V06 Calend 01'!H6-('V06 Calend 01'!I6*('V06 Calend 01'!E6-1))),'V06 Calend 01'!I6),0))+IF((46='V06 Calend 01'!D6),'V06 Calend 01'!J6,0))</f>
        <v>0</v>
      </c>
      <c r="BG6" s="2">
        <f>((IF((47='V06 Calend 01'!C6),('V06 Calend 01'!F6+'V06 Calend 01'!G6),0)+IF(AND(('V06 Calend 01'!E6&gt;0),(47&gt;'V06 Calend 01'!C6),(47&lt;'V06 Calend 01'!D6),(MOD((47-'V06 Calend 01'!C6),6)=0),(((47-'V06 Calend 01'!C6)/6)&lt;='V06 Calend 01'!E6)),IF((47=('V06 Calend 01'!C6+(6*'V06 Calend 01'!E6))),('V06 Calend 01'!H6-('V06 Calend 01'!I6*('V06 Calend 01'!E6-1))),'V06 Calend 01'!I6),0))+IF((47='V06 Calend 01'!D6),'V06 Calend 01'!J6,0))</f>
        <v>0</v>
      </c>
      <c r="BH6" s="2">
        <f>((IF((48='V06 Calend 01'!C6),('V06 Calend 01'!F6+'V06 Calend 01'!G6),0)+IF(AND(('V06 Calend 01'!E6&gt;0),(48&gt;'V06 Calend 01'!C6),(48&lt;'V06 Calend 01'!D6),(MOD((48-'V06 Calend 01'!C6),6)=0),(((48-'V06 Calend 01'!C6)/6)&lt;='V06 Calend 01'!E6)),IF((48=('V06 Calend 01'!C6+(6*'V06 Calend 01'!E6))),('V06 Calend 01'!H6-('V06 Calend 01'!I6*('V06 Calend 01'!E6-1))),'V06 Calend 01'!I6),0))+IF((48='V06 Calend 01'!D6),'V06 Calend 01'!J6,0))</f>
        <v>0</v>
      </c>
      <c r="BI6" s="2">
        <f>((IF((49='V06 Calend 01'!C6),('V06 Calend 01'!F6+'V06 Calend 01'!G6),0)+IF(AND(('V06 Calend 01'!E6&gt;0),(49&gt;'V06 Calend 01'!C6),(49&lt;'V06 Calend 01'!D6),(MOD((49-'V06 Calend 01'!C6),6)=0),(((49-'V06 Calend 01'!C6)/6)&lt;='V06 Calend 01'!E6)),IF((49=('V06 Calend 01'!C6+(6*'V06 Calend 01'!E6))),('V06 Calend 01'!H6-('V06 Calend 01'!I6*('V06 Calend 01'!E6-1))),'V06 Calend 01'!I6),0))+IF((49='V06 Calend 01'!D6),'V06 Calend 01'!J6,0))</f>
        <v>0</v>
      </c>
      <c r="BJ6" s="2">
        <f>((IF((50='V06 Calend 01'!C6),('V06 Calend 01'!F6+'V06 Calend 01'!G6),0)+IF(AND(('V06 Calend 01'!E6&gt;0),(50&gt;'V06 Calend 01'!C6),(50&lt;'V06 Calend 01'!D6),(MOD((50-'V06 Calend 01'!C6),6)=0),(((50-'V06 Calend 01'!C6)/6)&lt;='V06 Calend 01'!E6)),IF((50=('V06 Calend 01'!C6+(6*'V06 Calend 01'!E6))),('V06 Calend 01'!H6-('V06 Calend 01'!I6*('V06 Calend 01'!E6-1))),'V06 Calend 01'!I6),0))+IF((50='V06 Calend 01'!D6),'V06 Calend 01'!J6,0))</f>
        <v>0</v>
      </c>
      <c r="BK6" s="2">
        <f>((IF((51='V06 Calend 01'!C6),('V06 Calend 01'!F6+'V06 Calend 01'!G6),0)+IF(AND(('V06 Calend 01'!E6&gt;0),(51&gt;'V06 Calend 01'!C6),(51&lt;'V06 Calend 01'!D6),(MOD((51-'V06 Calend 01'!C6),6)=0),(((51-'V06 Calend 01'!C6)/6)&lt;='V06 Calend 01'!E6)),IF((51=('V06 Calend 01'!C6+(6*'V06 Calend 01'!E6))),('V06 Calend 01'!H6-('V06 Calend 01'!I6*('V06 Calend 01'!E6-1))),'V06 Calend 01'!I6),0))+IF((51='V06 Calend 01'!D6),'V06 Calend 01'!J6,0))</f>
        <v>0</v>
      </c>
      <c r="BL6" s="2">
        <f>((IF((52='V06 Calend 01'!C6),('V06 Calend 01'!F6+'V06 Calend 01'!G6),0)+IF(AND(('V06 Calend 01'!E6&gt;0),(52&gt;'V06 Calend 01'!C6),(52&lt;'V06 Calend 01'!D6),(MOD((52-'V06 Calend 01'!C6),6)=0),(((52-'V06 Calend 01'!C6)/6)&lt;='V06 Calend 01'!E6)),IF((52=('V06 Calend 01'!C6+(6*'V06 Calend 01'!E6))),('V06 Calend 01'!H6-('V06 Calend 01'!I6*('V06 Calend 01'!E6-1))),'V06 Calend 01'!I6),0))+IF((52='V06 Calend 01'!D6),'V06 Calend 01'!J6,0))</f>
        <v>0</v>
      </c>
      <c r="BM6" s="2">
        <f>((IF((53='V06 Calend 01'!C6),('V06 Calend 01'!F6+'V06 Calend 01'!G6),0)+IF(AND(('V06 Calend 01'!E6&gt;0),(53&gt;'V06 Calend 01'!C6),(53&lt;'V06 Calend 01'!D6),(MOD((53-'V06 Calend 01'!C6),6)=0),(((53-'V06 Calend 01'!C6)/6)&lt;='V06 Calend 01'!E6)),IF((53=('V06 Calend 01'!C6+(6*'V06 Calend 01'!E6))),('V06 Calend 01'!H6-('V06 Calend 01'!I6*('V06 Calend 01'!E6-1))),'V06 Calend 01'!I6),0))+IF((53='V06 Calend 01'!D6),'V06 Calend 01'!J6,0))</f>
        <v>0</v>
      </c>
      <c r="BN6" s="2">
        <f>((IF((54='V06 Calend 01'!C6),('V06 Calend 01'!F6+'V06 Calend 01'!G6),0)+IF(AND(('V06 Calend 01'!E6&gt;0),(54&gt;'V06 Calend 01'!C6),(54&lt;'V06 Calend 01'!D6),(MOD((54-'V06 Calend 01'!C6),6)=0),(((54-'V06 Calend 01'!C6)/6)&lt;='V06 Calend 01'!E6)),IF((54=('V06 Calend 01'!C6+(6*'V06 Calend 01'!E6))),('V06 Calend 01'!H6-('V06 Calend 01'!I6*('V06 Calend 01'!E6-1))),'V06 Calend 01'!I6),0))+IF((54='V06 Calend 01'!D6),'V06 Calend 01'!J6,0))</f>
        <v>0</v>
      </c>
      <c r="BO6" s="2">
        <f>((IF((55='V06 Calend 01'!C6),('V06 Calend 01'!F6+'V06 Calend 01'!G6),0)+IF(AND(('V06 Calend 01'!E6&gt;0),(55&gt;'V06 Calend 01'!C6),(55&lt;'V06 Calend 01'!D6),(MOD((55-'V06 Calend 01'!C6),6)=0),(((55-'V06 Calend 01'!C6)/6)&lt;='V06 Calend 01'!E6)),IF((55=('V06 Calend 01'!C6+(6*'V06 Calend 01'!E6))),('V06 Calend 01'!H6-('V06 Calend 01'!I6*('V06 Calend 01'!E6-1))),'V06 Calend 01'!I6),0))+IF((55='V06 Calend 01'!D6),'V06 Calend 01'!J6,0))</f>
        <v>0</v>
      </c>
      <c r="BP6" s="2">
        <f>((IF((56='V06 Calend 01'!C6),('V06 Calend 01'!F6+'V06 Calend 01'!G6),0)+IF(AND(('V06 Calend 01'!E6&gt;0),(56&gt;'V06 Calend 01'!C6),(56&lt;'V06 Calend 01'!D6),(MOD((56-'V06 Calend 01'!C6),6)=0),(((56-'V06 Calend 01'!C6)/6)&lt;='V06 Calend 01'!E6)),IF((56=('V06 Calend 01'!C6+(6*'V06 Calend 01'!E6))),('V06 Calend 01'!H6-('V06 Calend 01'!I6*('V06 Calend 01'!E6-1))),'V06 Calend 01'!I6),0))+IF((56='V06 Calend 01'!D6),'V06 Calend 01'!J6,0))</f>
        <v>0</v>
      </c>
      <c r="BQ6" s="2">
        <f>((IF((57='V06 Calend 01'!C6),('V06 Calend 01'!F6+'V06 Calend 01'!G6),0)+IF(AND(('V06 Calend 01'!E6&gt;0),(57&gt;'V06 Calend 01'!C6),(57&lt;'V06 Calend 01'!D6),(MOD((57-'V06 Calend 01'!C6),6)=0),(((57-'V06 Calend 01'!C6)/6)&lt;='V06 Calend 01'!E6)),IF((57=('V06 Calend 01'!C6+(6*'V06 Calend 01'!E6))),('V06 Calend 01'!H6-('V06 Calend 01'!I6*('V06 Calend 01'!E6-1))),'V06 Calend 01'!I6),0))+IF((57='V06 Calend 01'!D6),'V06 Calend 01'!J6,0))</f>
        <v>0</v>
      </c>
      <c r="BR6" s="2">
        <f>((IF((58='V06 Calend 01'!C6),('V06 Calend 01'!F6+'V06 Calend 01'!G6),0)+IF(AND(('V06 Calend 01'!E6&gt;0),(58&gt;'V06 Calend 01'!C6),(58&lt;'V06 Calend 01'!D6),(MOD((58-'V06 Calend 01'!C6),6)=0),(((58-'V06 Calend 01'!C6)/6)&lt;='V06 Calend 01'!E6)),IF((58=('V06 Calend 01'!C6+(6*'V06 Calend 01'!E6))),('V06 Calend 01'!H6-('V06 Calend 01'!I6*('V06 Calend 01'!E6-1))),'V06 Calend 01'!I6),0))+IF((58='V06 Calend 01'!D6),'V06 Calend 01'!J6,0))</f>
        <v>0</v>
      </c>
      <c r="BS6" s="2">
        <f>((IF((59='V06 Calend 01'!C6),('V06 Calend 01'!F6+'V06 Calend 01'!G6),0)+IF(AND(('V06 Calend 01'!E6&gt;0),(59&gt;'V06 Calend 01'!C6),(59&lt;'V06 Calend 01'!D6),(MOD((59-'V06 Calend 01'!C6),6)=0),(((59-'V06 Calend 01'!C6)/6)&lt;='V06 Calend 01'!E6)),IF((59=('V06 Calend 01'!C6+(6*'V06 Calend 01'!E6))),('V06 Calend 01'!H6-('V06 Calend 01'!I6*('V06 Calend 01'!E6-1))),'V06 Calend 01'!I6),0))+IF((59='V06 Calend 01'!D6),'V06 Calend 01'!J6,0))</f>
        <v>0</v>
      </c>
      <c r="BT6" s="2">
        <f>((IF((60='V06 Calend 01'!C6),('V06 Calend 01'!F6+'V06 Calend 01'!G6),0)+IF(AND(('V06 Calend 01'!E6&gt;0),(60&gt;'V06 Calend 01'!C6),(60&lt;'V06 Calend 01'!D6),(MOD((60-'V06 Calend 01'!C6),6)=0),(((60-'V06 Calend 01'!C6)/6)&lt;='V06 Calend 01'!E6)),IF((60=('V06 Calend 01'!C6+(6*'V06 Calend 01'!E6))),('V06 Calend 01'!H6-('V06 Calend 01'!I6*('V06 Calend 01'!E6-1))),'V06 Calend 01'!I6),0))+IF((60='V06 Calend 01'!D6),'V06 Calend 01'!J6,0))</f>
        <v>0</v>
      </c>
      <c r="BU6" s="2">
        <f>((IF((61='V06 Calend 01'!C6),('V06 Calend 01'!F6+'V06 Calend 01'!G6),0)+IF(AND(('V06 Calend 01'!E6&gt;0),(61&gt;'V06 Calend 01'!C6),(61&lt;'V06 Calend 01'!D6),(MOD((61-'V06 Calend 01'!C6),6)=0),(((61-'V06 Calend 01'!C6)/6)&lt;='V06 Calend 01'!E6)),IF((61=('V06 Calend 01'!C6+(6*'V06 Calend 01'!E6))),('V06 Calend 01'!H6-('V06 Calend 01'!I6*('V06 Calend 01'!E6-1))),'V06 Calend 01'!I6),0))+IF((61='V06 Calend 01'!D6),'V06 Calend 01'!J6,0))</f>
        <v>0</v>
      </c>
      <c r="BV6" s="2">
        <f>((IF((62='V06 Calend 01'!C6),('V06 Calend 01'!F6+'V06 Calend 01'!G6),0)+IF(AND(('V06 Calend 01'!E6&gt;0),(62&gt;'V06 Calend 01'!C6),(62&lt;'V06 Calend 01'!D6),(MOD((62-'V06 Calend 01'!C6),6)=0),(((62-'V06 Calend 01'!C6)/6)&lt;='V06 Calend 01'!E6)),IF((62=('V06 Calend 01'!C6+(6*'V06 Calend 01'!E6))),('V06 Calend 01'!H6-('V06 Calend 01'!I6*('V06 Calend 01'!E6-1))),'V06 Calend 01'!I6),0))+IF((62='V06 Calend 01'!D6),'V06 Calend 01'!J6,0))</f>
        <v>0</v>
      </c>
      <c r="BW6" s="2">
        <f>((IF((63='V06 Calend 01'!C6),('V06 Calend 01'!F6+'V06 Calend 01'!G6),0)+IF(AND(('V06 Calend 01'!E6&gt;0),(63&gt;'V06 Calend 01'!C6),(63&lt;'V06 Calend 01'!D6),(MOD((63-'V06 Calend 01'!C6),6)=0),(((63-'V06 Calend 01'!C6)/6)&lt;='V06 Calend 01'!E6)),IF((63=('V06 Calend 01'!C6+(6*'V06 Calend 01'!E6))),('V06 Calend 01'!H6-('V06 Calend 01'!I6*('V06 Calend 01'!E6-1))),'V06 Calend 01'!I6),0))+IF((63='V06 Calend 01'!D6),'V06 Calend 01'!J6,0))</f>
        <v>0</v>
      </c>
      <c r="BX6" s="2">
        <f>((IF((64='V06 Calend 01'!C6),('V06 Calend 01'!F6+'V06 Calend 01'!G6),0)+IF(AND(('V06 Calend 01'!E6&gt;0),(64&gt;'V06 Calend 01'!C6),(64&lt;'V06 Calend 01'!D6),(MOD((64-'V06 Calend 01'!C6),6)=0),(((64-'V06 Calend 01'!C6)/6)&lt;='V06 Calend 01'!E6)),IF((64=('V06 Calend 01'!C6+(6*'V06 Calend 01'!E6))),('V06 Calend 01'!H6-('V06 Calend 01'!I6*('V06 Calend 01'!E6-1))),'V06 Calend 01'!I6),0))+IF((64='V06 Calend 01'!D6),'V06 Calend 01'!J6,0))</f>
        <v>0</v>
      </c>
      <c r="BY6" s="2">
        <f>((IF((65='V06 Calend 01'!C6),('V06 Calend 01'!F6+'V06 Calend 01'!G6),0)+IF(AND(('V06 Calend 01'!E6&gt;0),(65&gt;'V06 Calend 01'!C6),(65&lt;'V06 Calend 01'!D6),(MOD((65-'V06 Calend 01'!C6),6)=0),(((65-'V06 Calend 01'!C6)/6)&lt;='V06 Calend 01'!E6)),IF((65=('V06 Calend 01'!C6+(6*'V06 Calend 01'!E6))),('V06 Calend 01'!H6-('V06 Calend 01'!I6*('V06 Calend 01'!E6-1))),'V06 Calend 01'!I6),0))+IF((65='V06 Calend 01'!D6),'V06 Calend 01'!J6,0))</f>
        <v>0</v>
      </c>
      <c r="BZ6" s="2">
        <f>((IF((66='V06 Calend 01'!C6),('V06 Calend 01'!F6+'V06 Calend 01'!G6),0)+IF(AND(('V06 Calend 01'!E6&gt;0),(66&gt;'V06 Calend 01'!C6),(66&lt;'V06 Calend 01'!D6),(MOD((66-'V06 Calend 01'!C6),6)=0),(((66-'V06 Calend 01'!C6)/6)&lt;='V06 Calend 01'!E6)),IF((66=('V06 Calend 01'!C6+(6*'V06 Calend 01'!E6))),('V06 Calend 01'!H6-('V06 Calend 01'!I6*('V06 Calend 01'!E6-1))),'V06 Calend 01'!I6),0))+IF((66='V06 Calend 01'!D6),'V06 Calend 01'!J6,0))</f>
        <v>0</v>
      </c>
      <c r="CA6" s="2">
        <f>((IF((67='V06 Calend 01'!C6),('V06 Calend 01'!F6+'V06 Calend 01'!G6),0)+IF(AND(('V06 Calend 01'!E6&gt;0),(67&gt;'V06 Calend 01'!C6),(67&lt;'V06 Calend 01'!D6),(MOD((67-'V06 Calend 01'!C6),6)=0),(((67-'V06 Calend 01'!C6)/6)&lt;='V06 Calend 01'!E6)),IF((67=('V06 Calend 01'!C6+(6*'V06 Calend 01'!E6))),('V06 Calend 01'!H6-('V06 Calend 01'!I6*('V06 Calend 01'!E6-1))),'V06 Calend 01'!I6),0))+IF((67='V06 Calend 01'!D6),'V06 Calend 01'!J6,0))</f>
        <v>0</v>
      </c>
      <c r="CB6" s="2">
        <f>((IF((68='V06 Calend 01'!C6),('V06 Calend 01'!F6+'V06 Calend 01'!G6),0)+IF(AND(('V06 Calend 01'!E6&gt;0),(68&gt;'V06 Calend 01'!C6),(68&lt;'V06 Calend 01'!D6),(MOD((68-'V06 Calend 01'!C6),6)=0),(((68-'V06 Calend 01'!C6)/6)&lt;='V06 Calend 01'!E6)),IF((68=('V06 Calend 01'!C6+(6*'V06 Calend 01'!E6))),('V06 Calend 01'!H6-('V06 Calend 01'!I6*('V06 Calend 01'!E6-1))),'V06 Calend 01'!I6),0))+IF((68='V06 Calend 01'!D6),'V06 Calend 01'!J6,0))</f>
        <v>0</v>
      </c>
      <c r="CC6" s="2">
        <f>((IF((69='V06 Calend 01'!C6),('V06 Calend 01'!F6+'V06 Calend 01'!G6),0)+IF(AND(('V06 Calend 01'!E6&gt;0),(69&gt;'V06 Calend 01'!C6),(69&lt;'V06 Calend 01'!D6),(MOD((69-'V06 Calend 01'!C6),6)=0),(((69-'V06 Calend 01'!C6)/6)&lt;='V06 Calend 01'!E6)),IF((69=('V06 Calend 01'!C6+(6*'V06 Calend 01'!E6))),('V06 Calend 01'!H6-('V06 Calend 01'!I6*('V06 Calend 01'!E6-1))),'V06 Calend 01'!I6),0))+IF((69='V06 Calend 01'!D6),'V06 Calend 01'!J6,0))</f>
        <v>0</v>
      </c>
      <c r="CD6" s="2">
        <f>((IF((70='V06 Calend 01'!C6),('V06 Calend 01'!F6+'V06 Calend 01'!G6),0)+IF(AND(('V06 Calend 01'!E6&gt;0),(70&gt;'V06 Calend 01'!C6),(70&lt;'V06 Calend 01'!D6),(MOD((70-'V06 Calend 01'!C6),6)=0),(((70-'V06 Calend 01'!C6)/6)&lt;='V06 Calend 01'!E6)),IF((70=('V06 Calend 01'!C6+(6*'V06 Calend 01'!E6))),('V06 Calend 01'!H6-('V06 Calend 01'!I6*('V06 Calend 01'!E6-1))),'V06 Calend 01'!I6),0))+IF((70='V06 Calend 01'!D6),'V06 Calend 01'!J6,0))</f>
        <v>0</v>
      </c>
      <c r="CE6" s="2">
        <f>((IF((71='V06 Calend 01'!C6),('V06 Calend 01'!F6+'V06 Calend 01'!G6),0)+IF(AND(('V06 Calend 01'!E6&gt;0),(71&gt;'V06 Calend 01'!C6),(71&lt;'V06 Calend 01'!D6),(MOD((71-'V06 Calend 01'!C6),6)=0),(((71-'V06 Calend 01'!C6)/6)&lt;='V06 Calend 01'!E6)),IF((71=('V06 Calend 01'!C6+(6*'V06 Calend 01'!E6))),('V06 Calend 01'!H6-('V06 Calend 01'!I6*('V06 Calend 01'!E6-1))),'V06 Calend 01'!I6),0))+IF((71='V06 Calend 01'!D6),'V06 Calend 01'!J6,0))</f>
        <v>0</v>
      </c>
      <c r="CF6" s="2">
        <f>((IF((72='V06 Calend 01'!C6),('V06 Calend 01'!F6+'V06 Calend 01'!G6),0)+IF(AND(('V06 Calend 01'!E6&gt;0),(72&gt;'V06 Calend 01'!C6),(72&lt;'V06 Calend 01'!D6),(MOD((72-'V06 Calend 01'!C6),6)=0),(((72-'V06 Calend 01'!C6)/6)&lt;='V06 Calend 01'!E6)),IF((72=('V06 Calend 01'!C6+(6*'V06 Calend 01'!E6))),('V06 Calend 01'!H6-('V06 Calend 01'!I6*('V06 Calend 01'!E6-1))),'V06 Calend 01'!I6),0))+IF((72='V06 Calend 01'!D6),'V06 Calend 01'!J6,0))</f>
        <v>0</v>
      </c>
      <c r="CG6" s="2">
        <f>((IF((73='V06 Calend 01'!C6),('V06 Calend 01'!F6+'V06 Calend 01'!G6),0)+IF(AND(('V06 Calend 01'!E6&gt;0),(73&gt;'V06 Calend 01'!C6),(73&lt;'V06 Calend 01'!D6),(MOD((73-'V06 Calend 01'!C6),6)=0),(((73-'V06 Calend 01'!C6)/6)&lt;='V06 Calend 01'!E6)),IF((73=('V06 Calend 01'!C6+(6*'V06 Calend 01'!E6))),('V06 Calend 01'!H6-('V06 Calend 01'!I6*('V06 Calend 01'!E6-1))),'V06 Calend 01'!I6),0))+IF((73='V06 Calend 01'!D6),'V06 Calend 01'!J6,0))</f>
        <v>0</v>
      </c>
      <c r="CH6" s="2">
        <f>((IF((74='V06 Calend 01'!C6),('V06 Calend 01'!F6+'V06 Calend 01'!G6),0)+IF(AND(('V06 Calend 01'!E6&gt;0),(74&gt;'V06 Calend 01'!C6),(74&lt;'V06 Calend 01'!D6),(MOD((74-'V06 Calend 01'!C6),6)=0),(((74-'V06 Calend 01'!C6)/6)&lt;='V06 Calend 01'!E6)),IF((74=('V06 Calend 01'!C6+(6*'V06 Calend 01'!E6))),('V06 Calend 01'!H6-('V06 Calend 01'!I6*('V06 Calend 01'!E6-1))),'V06 Calend 01'!I6),0))+IF((74='V06 Calend 01'!D6),'V06 Calend 01'!J6,0))</f>
        <v>0</v>
      </c>
      <c r="CI6" s="2">
        <f>((IF((75='V06 Calend 01'!C6),('V06 Calend 01'!F6+'V06 Calend 01'!G6),0)+IF(AND(('V06 Calend 01'!E6&gt;0),(75&gt;'V06 Calend 01'!C6),(75&lt;'V06 Calend 01'!D6),(MOD((75-'V06 Calend 01'!C6),6)=0),(((75-'V06 Calend 01'!C6)/6)&lt;='V06 Calend 01'!E6)),IF((75=('V06 Calend 01'!C6+(6*'V06 Calend 01'!E6))),('V06 Calend 01'!H6-('V06 Calend 01'!I6*('V06 Calend 01'!E6-1))),'V06 Calend 01'!I6),0))+IF((75='V06 Calend 01'!D6),'V06 Calend 01'!J6,0))</f>
        <v>0</v>
      </c>
      <c r="CJ6" s="2">
        <f>((IF((76='V06 Calend 01'!C6),('V06 Calend 01'!F6+'V06 Calend 01'!G6),0)+IF(AND(('V06 Calend 01'!E6&gt;0),(76&gt;'V06 Calend 01'!C6),(76&lt;'V06 Calend 01'!D6),(MOD((76-'V06 Calend 01'!C6),6)=0),(((76-'V06 Calend 01'!C6)/6)&lt;='V06 Calend 01'!E6)),IF((76=('V06 Calend 01'!C6+(6*'V06 Calend 01'!E6))),('V06 Calend 01'!H6-('V06 Calend 01'!I6*('V06 Calend 01'!E6-1))),'V06 Calend 01'!I6),0))+IF((76='V06 Calend 01'!D6),'V06 Calend 01'!J6,0))</f>
        <v>0</v>
      </c>
      <c r="CK6" s="2">
        <f>((IF((77='V06 Calend 01'!C6),('V06 Calend 01'!F6+'V06 Calend 01'!G6),0)+IF(AND(('V06 Calend 01'!E6&gt;0),(77&gt;'V06 Calend 01'!C6),(77&lt;'V06 Calend 01'!D6),(MOD((77-'V06 Calend 01'!C6),6)=0),(((77-'V06 Calend 01'!C6)/6)&lt;='V06 Calend 01'!E6)),IF((77=('V06 Calend 01'!C6+(6*'V06 Calend 01'!E6))),('V06 Calend 01'!H6-('V06 Calend 01'!I6*('V06 Calend 01'!E6-1))),'V06 Calend 01'!I6),0))+IF((77='V06 Calend 01'!D6),'V06 Calend 01'!J6,0))</f>
        <v>0</v>
      </c>
      <c r="CL6" s="2">
        <f>((IF((78='V06 Calend 01'!C6),('V06 Calend 01'!F6+'V06 Calend 01'!G6),0)+IF(AND(('V06 Calend 01'!E6&gt;0),(78&gt;'V06 Calend 01'!C6),(78&lt;'V06 Calend 01'!D6),(MOD((78-'V06 Calend 01'!C6),6)=0),(((78-'V06 Calend 01'!C6)/6)&lt;='V06 Calend 01'!E6)),IF((78=('V06 Calend 01'!C6+(6*'V06 Calend 01'!E6))),('V06 Calend 01'!H6-('V06 Calend 01'!I6*('V06 Calend 01'!E6-1))),'V06 Calend 01'!I6),0))+IF((78='V06 Calend 01'!D6),'V06 Calend 01'!J6,0))</f>
        <v>0</v>
      </c>
      <c r="CM6" s="2">
        <f>((IF((79='V06 Calend 01'!C6),('V06 Calend 01'!F6+'V06 Calend 01'!G6),0)+IF(AND(('V06 Calend 01'!E6&gt;0),(79&gt;'V06 Calend 01'!C6),(79&lt;'V06 Calend 01'!D6),(MOD((79-'V06 Calend 01'!C6),6)=0),(((79-'V06 Calend 01'!C6)/6)&lt;='V06 Calend 01'!E6)),IF((79=('V06 Calend 01'!C6+(6*'V06 Calend 01'!E6))),('V06 Calend 01'!H6-('V06 Calend 01'!I6*('V06 Calend 01'!E6-1))),'V06 Calend 01'!I6),0))+IF((79='V06 Calend 01'!D6),'V06 Calend 01'!J6,0))</f>
        <v>0</v>
      </c>
      <c r="CN6" s="2">
        <f>((IF((80='V06 Calend 01'!C6),('V06 Calend 01'!F6+'V06 Calend 01'!G6),0)+IF(AND(('V06 Calend 01'!E6&gt;0),(80&gt;'V06 Calend 01'!C6),(80&lt;'V06 Calend 01'!D6),(MOD((80-'V06 Calend 01'!C6),6)=0),(((80-'V06 Calend 01'!C6)/6)&lt;='V06 Calend 01'!E6)),IF((80=('V06 Calend 01'!C6+(6*'V06 Calend 01'!E6))),('V06 Calend 01'!H6-('V06 Calend 01'!I6*('V06 Calend 01'!E6-1))),'V06 Calend 01'!I6),0))+IF((80='V06 Calend 01'!D6),'V06 Calend 01'!J6,0))</f>
        <v>0</v>
      </c>
      <c r="CO6" s="2">
        <f>((IF((81='V06 Calend 01'!C6),('V06 Calend 01'!F6+'V06 Calend 01'!G6),0)+IF(AND(('V06 Calend 01'!E6&gt;0),(81&gt;'V06 Calend 01'!C6),(81&lt;'V06 Calend 01'!D6),(MOD((81-'V06 Calend 01'!C6),6)=0),(((81-'V06 Calend 01'!C6)/6)&lt;='V06 Calend 01'!E6)),IF((81=('V06 Calend 01'!C6+(6*'V06 Calend 01'!E6))),('V06 Calend 01'!H6-('V06 Calend 01'!I6*('V06 Calend 01'!E6-1))),'V06 Calend 01'!I6),0))+IF((81='V06 Calend 01'!D6),'V06 Calend 01'!J6,0))</f>
        <v>0</v>
      </c>
      <c r="CP6" s="2">
        <f>((IF((82='V06 Calend 01'!C6),('V06 Calend 01'!F6+'V06 Calend 01'!G6),0)+IF(AND(('V06 Calend 01'!E6&gt;0),(82&gt;'V06 Calend 01'!C6),(82&lt;'V06 Calend 01'!D6),(MOD((82-'V06 Calend 01'!C6),6)=0),(((82-'V06 Calend 01'!C6)/6)&lt;='V06 Calend 01'!E6)),IF((82=('V06 Calend 01'!C6+(6*'V06 Calend 01'!E6))),('V06 Calend 01'!H6-('V06 Calend 01'!I6*('V06 Calend 01'!E6-1))),'V06 Calend 01'!I6),0))+IF((82='V06 Calend 01'!D6),'V06 Calend 01'!J6,0))</f>
        <v>0</v>
      </c>
      <c r="CQ6" s="2">
        <f>((IF((83='V06 Calend 01'!C6),('V06 Calend 01'!F6+'V06 Calend 01'!G6),0)+IF(AND(('V06 Calend 01'!E6&gt;0),(83&gt;'V06 Calend 01'!C6),(83&lt;'V06 Calend 01'!D6),(MOD((83-'V06 Calend 01'!C6),6)=0),(((83-'V06 Calend 01'!C6)/6)&lt;='V06 Calend 01'!E6)),IF((83=('V06 Calend 01'!C6+(6*'V06 Calend 01'!E6))),('V06 Calend 01'!H6-('V06 Calend 01'!I6*('V06 Calend 01'!E6-1))),'V06 Calend 01'!I6),0))+IF((83='V06 Calend 01'!D6),'V06 Calend 01'!J6,0))</f>
        <v>0</v>
      </c>
      <c r="CR6" s="2">
        <f>((IF((84='V06 Calend 01'!C6),('V06 Calend 01'!F6+'V06 Calend 01'!G6),0)+IF(AND(('V06 Calend 01'!E6&gt;0),(84&gt;'V06 Calend 01'!C6),(84&lt;'V06 Calend 01'!D6),(MOD((84-'V06 Calend 01'!C6),6)=0),(((84-'V06 Calend 01'!C6)/6)&lt;='V06 Calend 01'!E6)),IF((84=('V06 Calend 01'!C6+(6*'V06 Calend 01'!E6))),('V06 Calend 01'!H6-('V06 Calend 01'!I6*('V06 Calend 01'!E6-1))),'V06 Calend 01'!I6),0))+IF((84='V06 Calend 01'!D6),'V06 Calend 01'!J6,0))</f>
        <v>0</v>
      </c>
      <c r="CS6" s="2">
        <f>((IF((85='V06 Calend 01'!C6),('V06 Calend 01'!F6+'V06 Calend 01'!G6),0)+IF(AND(('V06 Calend 01'!E6&gt;0),(85&gt;'V06 Calend 01'!C6),(85&lt;'V06 Calend 01'!D6),(MOD((85-'V06 Calend 01'!C6),6)=0),(((85-'V06 Calend 01'!C6)/6)&lt;='V06 Calend 01'!E6)),IF((85=('V06 Calend 01'!C6+(6*'V06 Calend 01'!E6))),('V06 Calend 01'!H6-('V06 Calend 01'!I6*('V06 Calend 01'!E6-1))),'V06 Calend 01'!I6),0))+IF((85='V06 Calend 01'!D6),'V06 Calend 01'!J6,0))</f>
        <v>0</v>
      </c>
      <c r="CT6" s="2">
        <f>((IF((86='V06 Calend 01'!C6),('V06 Calend 01'!F6+'V06 Calend 01'!G6),0)+IF(AND(('V06 Calend 01'!E6&gt;0),(86&gt;'V06 Calend 01'!C6),(86&lt;'V06 Calend 01'!D6),(MOD((86-'V06 Calend 01'!C6),6)=0),(((86-'V06 Calend 01'!C6)/6)&lt;='V06 Calend 01'!E6)),IF((86=('V06 Calend 01'!C6+(6*'V06 Calend 01'!E6))),('V06 Calend 01'!H6-('V06 Calend 01'!I6*('V06 Calend 01'!E6-1))),'V06 Calend 01'!I6),0))+IF((86='V06 Calend 01'!D6),'V06 Calend 01'!J6,0))</f>
        <v>0</v>
      </c>
      <c r="CU6" s="2">
        <f>((IF((87='V06 Calend 01'!C6),('V06 Calend 01'!F6+'V06 Calend 01'!G6),0)+IF(AND(('V06 Calend 01'!E6&gt;0),(87&gt;'V06 Calend 01'!C6),(87&lt;'V06 Calend 01'!D6),(MOD((87-'V06 Calend 01'!C6),6)=0),(((87-'V06 Calend 01'!C6)/6)&lt;='V06 Calend 01'!E6)),IF((87=('V06 Calend 01'!C6+(6*'V06 Calend 01'!E6))),('V06 Calend 01'!H6-('V06 Calend 01'!I6*('V06 Calend 01'!E6-1))),'V06 Calend 01'!I6),0))+IF((87='V06 Calend 01'!D6),'V06 Calend 01'!J6,0))</f>
        <v>0</v>
      </c>
      <c r="CV6" s="2">
        <f>((IF((88='V06 Calend 01'!C6),('V06 Calend 01'!F6+'V06 Calend 01'!G6),0)+IF(AND(('V06 Calend 01'!E6&gt;0),(88&gt;'V06 Calend 01'!C6),(88&lt;'V06 Calend 01'!D6),(MOD((88-'V06 Calend 01'!C6),6)=0),(((88-'V06 Calend 01'!C6)/6)&lt;='V06 Calend 01'!E6)),IF((88=('V06 Calend 01'!C6+(6*'V06 Calend 01'!E6))),('V06 Calend 01'!H6-('V06 Calend 01'!I6*('V06 Calend 01'!E6-1))),'V06 Calend 01'!I6),0))+IF((88='V06 Calend 01'!D6),'V06 Calend 01'!J6,0))</f>
        <v>0</v>
      </c>
      <c r="CW6" s="2">
        <f>((IF((89='V06 Calend 01'!C6),('V06 Calend 01'!F6+'V06 Calend 01'!G6),0)+IF(AND(('V06 Calend 01'!E6&gt;0),(89&gt;'V06 Calend 01'!C6),(89&lt;'V06 Calend 01'!D6),(MOD((89-'V06 Calend 01'!C6),6)=0),(((89-'V06 Calend 01'!C6)/6)&lt;='V06 Calend 01'!E6)),IF((89=('V06 Calend 01'!C6+(6*'V06 Calend 01'!E6))),('V06 Calend 01'!H6-('V06 Calend 01'!I6*('V06 Calend 01'!E6-1))),'V06 Calend 01'!I6),0))+IF((89='V06 Calend 01'!D6),'V06 Calend 01'!J6,0))</f>
        <v>0</v>
      </c>
      <c r="CX6" s="2">
        <f>((IF((90='V06 Calend 01'!C6),('V06 Calend 01'!F6+'V06 Calend 01'!G6),0)+IF(AND(('V06 Calend 01'!E6&gt;0),(90&gt;'V06 Calend 01'!C6),(90&lt;'V06 Calend 01'!D6),(MOD((90-'V06 Calend 01'!C6),6)=0),(((90-'V06 Calend 01'!C6)/6)&lt;='V06 Calend 01'!E6)),IF((90=('V06 Calend 01'!C6+(6*'V06 Calend 01'!E6))),('V06 Calend 01'!H6-('V06 Calend 01'!I6*('V06 Calend 01'!E6-1))),'V06 Calend 01'!I6),0))+IF((90='V06 Calend 01'!D6),'V06 Calend 01'!J6,0))</f>
        <v>0</v>
      </c>
      <c r="CY6" s="2">
        <f>((IF((91='V06 Calend 01'!C6),('V06 Calend 01'!F6+'V06 Calend 01'!G6),0)+IF(AND(('V06 Calend 01'!E6&gt;0),(91&gt;'V06 Calend 01'!C6),(91&lt;'V06 Calend 01'!D6),(MOD((91-'V06 Calend 01'!C6),6)=0),(((91-'V06 Calend 01'!C6)/6)&lt;='V06 Calend 01'!E6)),IF((91=('V06 Calend 01'!C6+(6*'V06 Calend 01'!E6))),('V06 Calend 01'!H6-('V06 Calend 01'!I6*('V06 Calend 01'!E6-1))),'V06 Calend 01'!I6),0))+IF((91='V06 Calend 01'!D6),'V06 Calend 01'!J6,0))</f>
        <v>0</v>
      </c>
      <c r="CZ6" s="2">
        <f>((IF((92='V06 Calend 01'!C6),('V06 Calend 01'!F6+'V06 Calend 01'!G6),0)+IF(AND(('V06 Calend 01'!E6&gt;0),(92&gt;'V06 Calend 01'!C6),(92&lt;'V06 Calend 01'!D6),(MOD((92-'V06 Calend 01'!C6),6)=0),(((92-'V06 Calend 01'!C6)/6)&lt;='V06 Calend 01'!E6)),IF((92=('V06 Calend 01'!C6+(6*'V06 Calend 01'!E6))),('V06 Calend 01'!H6-('V06 Calend 01'!I6*('V06 Calend 01'!E6-1))),'V06 Calend 01'!I6),0))+IF((92='V06 Calend 01'!D6),'V06 Calend 01'!J6,0))</f>
        <v>0</v>
      </c>
      <c r="DA6" s="2">
        <f>((IF((93='V06 Calend 01'!C6),('V06 Calend 01'!F6+'V06 Calend 01'!G6),0)+IF(AND(('V06 Calend 01'!E6&gt;0),(93&gt;'V06 Calend 01'!C6),(93&lt;'V06 Calend 01'!D6),(MOD((93-'V06 Calend 01'!C6),6)=0),(((93-'V06 Calend 01'!C6)/6)&lt;='V06 Calend 01'!E6)),IF((93=('V06 Calend 01'!C6+(6*'V06 Calend 01'!E6))),('V06 Calend 01'!H6-('V06 Calend 01'!I6*('V06 Calend 01'!E6-1))),'V06 Calend 01'!I6),0))+IF((93='V06 Calend 01'!D6),'V06 Calend 01'!J6,0))</f>
        <v>0</v>
      </c>
      <c r="DB6" s="2">
        <f>((IF((94='V06 Calend 01'!C6),('V06 Calend 01'!F6+'V06 Calend 01'!G6),0)+IF(AND(('V06 Calend 01'!E6&gt;0),(94&gt;'V06 Calend 01'!C6),(94&lt;'V06 Calend 01'!D6),(MOD((94-'V06 Calend 01'!C6),6)=0),(((94-'V06 Calend 01'!C6)/6)&lt;='V06 Calend 01'!E6)),IF((94=('V06 Calend 01'!C6+(6*'V06 Calend 01'!E6))),('V06 Calend 01'!H6-('V06 Calend 01'!I6*('V06 Calend 01'!E6-1))),'V06 Calend 01'!I6),0))+IF((94='V06 Calend 01'!D6),'V06 Calend 01'!J6,0))</f>
        <v>0</v>
      </c>
      <c r="DC6" s="2">
        <f>((IF((95='V06 Calend 01'!C6),('V06 Calend 01'!F6+'V06 Calend 01'!G6),0)+IF(AND(('V06 Calend 01'!E6&gt;0),(95&gt;'V06 Calend 01'!C6),(95&lt;'V06 Calend 01'!D6),(MOD((95-'V06 Calend 01'!C6),6)=0),(((95-'V06 Calend 01'!C6)/6)&lt;='V06 Calend 01'!E6)),IF((95=('V06 Calend 01'!C6+(6*'V06 Calend 01'!E6))),('V06 Calend 01'!H6-('V06 Calend 01'!I6*('V06 Calend 01'!E6-1))),'V06 Calend 01'!I6),0))+IF((95='V06 Calend 01'!D6),'V06 Calend 01'!J6,0))</f>
        <v>0</v>
      </c>
      <c r="DD6" s="2">
        <f>((IF((96='V06 Calend 01'!C6),('V06 Calend 01'!F6+'V06 Calend 01'!G6),0)+IF(AND(('V06 Calend 01'!E6&gt;0),(96&gt;'V06 Calend 01'!C6),(96&lt;'V06 Calend 01'!D6),(MOD((96-'V06 Calend 01'!C6),6)=0),(((96-'V06 Calend 01'!C6)/6)&lt;='V06 Calend 01'!E6)),IF((96=('V06 Calend 01'!C6+(6*'V06 Calend 01'!E6))),('V06 Calend 01'!H6-('V06 Calend 01'!I6*('V06 Calend 01'!E6-1))),'V06 Calend 01'!I6),0))+IF((96='V06 Calend 01'!D6),'V06 Calend 01'!J6,0))</f>
        <v>0</v>
      </c>
      <c r="DE6" s="2">
        <f>((IF((97='V06 Calend 01'!C6),('V06 Calend 01'!F6+'V06 Calend 01'!G6),0)+IF(AND(('V06 Calend 01'!E6&gt;0),(97&gt;'V06 Calend 01'!C6),(97&lt;'V06 Calend 01'!D6),(MOD((97-'V06 Calend 01'!C6),6)=0),(((97-'V06 Calend 01'!C6)/6)&lt;='V06 Calend 01'!E6)),IF((97=('V06 Calend 01'!C6+(6*'V06 Calend 01'!E6))),('V06 Calend 01'!H6-('V06 Calend 01'!I6*('V06 Calend 01'!E6-1))),'V06 Calend 01'!I6),0))+IF((97='V06 Calend 01'!D6),'V06 Calend 01'!J6,0))</f>
        <v>0</v>
      </c>
      <c r="DF6" s="2">
        <f>((IF((98='V06 Calend 01'!C6),('V06 Calend 01'!F6+'V06 Calend 01'!G6),0)+IF(AND(('V06 Calend 01'!E6&gt;0),(98&gt;'V06 Calend 01'!C6),(98&lt;'V06 Calend 01'!D6),(MOD((98-'V06 Calend 01'!C6),6)=0),(((98-'V06 Calend 01'!C6)/6)&lt;='V06 Calend 01'!E6)),IF((98=('V06 Calend 01'!C6+(6*'V06 Calend 01'!E6))),('V06 Calend 01'!H6-('V06 Calend 01'!I6*('V06 Calend 01'!E6-1))),'V06 Calend 01'!I6),0))+IF((98='V06 Calend 01'!D6),'V06 Calend 01'!J6,0))</f>
        <v>0</v>
      </c>
      <c r="DG6" s="2">
        <f>((IF((99='V06 Calend 01'!C6),('V06 Calend 01'!F6+'V06 Calend 01'!G6),0)+IF(AND(('V06 Calend 01'!E6&gt;0),(99&gt;'V06 Calend 01'!C6),(99&lt;'V06 Calend 01'!D6),(MOD((99-'V06 Calend 01'!C6),6)=0),(((99-'V06 Calend 01'!C6)/6)&lt;='V06 Calend 01'!E6)),IF((99=('V06 Calend 01'!C6+(6*'V06 Calend 01'!E6))),('V06 Calend 01'!H6-('V06 Calend 01'!I6*('V06 Calend 01'!E6-1))),'V06 Calend 01'!I6),0))+IF((99='V06 Calend 01'!D6),'V06 Calend 01'!J6,0))</f>
        <v>0</v>
      </c>
      <c r="DH6" s="2">
        <f>((IF((100='V06 Calend 01'!C6),('V06 Calend 01'!F6+'V06 Calend 01'!G6),0)+IF(AND(('V06 Calend 01'!E6&gt;0),(100&gt;'V06 Calend 01'!C6),(100&lt;'V06 Calend 01'!D6),(MOD((100-'V06 Calend 01'!C6),6)=0),(((100-'V06 Calend 01'!C6)/6)&lt;='V06 Calend 01'!E6)),IF((100=('V06 Calend 01'!C6+(6*'V06 Calend 01'!E6))),('V06 Calend 01'!H6-('V06 Calend 01'!I6*('V06 Calend 01'!E6-1))),'V06 Calend 01'!I6),0))+IF((100='V06 Calend 01'!D6),'V06 Calend 01'!J6,0))</f>
        <v>0</v>
      </c>
      <c r="DI6" s="2">
        <f>((IF((101='V06 Calend 01'!C6),('V06 Calend 01'!F6+'V06 Calend 01'!G6),0)+IF(AND(('V06 Calend 01'!E6&gt;0),(101&gt;'V06 Calend 01'!C6),(101&lt;'V06 Calend 01'!D6),(MOD((101-'V06 Calend 01'!C6),6)=0),(((101-'V06 Calend 01'!C6)/6)&lt;='V06 Calend 01'!E6)),IF((101=('V06 Calend 01'!C6+(6*'V06 Calend 01'!E6))),('V06 Calend 01'!H6-('V06 Calend 01'!I6*('V06 Calend 01'!E6-1))),'V06 Calend 01'!I6),0))+IF((101='V06 Calend 01'!D6),'V06 Calend 01'!J6,0))</f>
        <v>0</v>
      </c>
      <c r="DJ6" s="2">
        <f>((IF((102='V06 Calend 01'!C6),('V06 Calend 01'!F6+'V06 Calend 01'!G6),0)+IF(AND(('V06 Calend 01'!E6&gt;0),(102&gt;'V06 Calend 01'!C6),(102&lt;'V06 Calend 01'!D6),(MOD((102-'V06 Calend 01'!C6),6)=0),(((102-'V06 Calend 01'!C6)/6)&lt;='V06 Calend 01'!E6)),IF((102=('V06 Calend 01'!C6+(6*'V06 Calend 01'!E6))),('V06 Calend 01'!H6-('V06 Calend 01'!I6*('V06 Calend 01'!E6-1))),'V06 Calend 01'!I6),0))+IF((102='V06 Calend 01'!D6),'V06 Calend 01'!J6,0))</f>
        <v>0</v>
      </c>
      <c r="DK6" s="2">
        <f>((IF((103='V06 Calend 01'!C6),('V06 Calend 01'!F6+'V06 Calend 01'!G6),0)+IF(AND(('V06 Calend 01'!E6&gt;0),(103&gt;'V06 Calend 01'!C6),(103&lt;'V06 Calend 01'!D6),(MOD((103-'V06 Calend 01'!C6),6)=0),(((103-'V06 Calend 01'!C6)/6)&lt;='V06 Calend 01'!E6)),IF((103=('V06 Calend 01'!C6+(6*'V06 Calend 01'!E6))),('V06 Calend 01'!H6-('V06 Calend 01'!I6*('V06 Calend 01'!E6-1))),'V06 Calend 01'!I6),0))+IF((103='V06 Calend 01'!D6),'V06 Calend 01'!J6,0))</f>
        <v>0</v>
      </c>
      <c r="DL6" s="2">
        <f>((IF((104='V06 Calend 01'!C6),('V06 Calend 01'!F6+'V06 Calend 01'!G6),0)+IF(AND(('V06 Calend 01'!E6&gt;0),(104&gt;'V06 Calend 01'!C6),(104&lt;'V06 Calend 01'!D6),(MOD((104-'V06 Calend 01'!C6),6)=0),(((104-'V06 Calend 01'!C6)/6)&lt;='V06 Calend 01'!E6)),IF((104=('V06 Calend 01'!C6+(6*'V06 Calend 01'!E6))),('V06 Calend 01'!H6-('V06 Calend 01'!I6*('V06 Calend 01'!E6-1))),'V06 Calend 01'!I6),0))+IF((104='V06 Calend 01'!D6),'V06 Calend 01'!J6,0))</f>
        <v>0</v>
      </c>
      <c r="DM6" s="2">
        <f>((IF((105='V06 Calend 01'!C6),('V06 Calend 01'!F6+'V06 Calend 01'!G6),0)+IF(AND(('V06 Calend 01'!E6&gt;0),(105&gt;'V06 Calend 01'!C6),(105&lt;'V06 Calend 01'!D6),(MOD((105-'V06 Calend 01'!C6),6)=0),(((105-'V06 Calend 01'!C6)/6)&lt;='V06 Calend 01'!E6)),IF((105=('V06 Calend 01'!C6+(6*'V06 Calend 01'!E6))),('V06 Calend 01'!H6-('V06 Calend 01'!I6*('V06 Calend 01'!E6-1))),'V06 Calend 01'!I6),0))+IF((105='V06 Calend 01'!D6),'V06 Calend 01'!J6,0))</f>
        <v>0</v>
      </c>
      <c r="DN6" s="2">
        <f>((IF((106='V06 Calend 01'!C6),('V06 Calend 01'!F6+'V06 Calend 01'!G6),0)+IF(AND(('V06 Calend 01'!E6&gt;0),(106&gt;'V06 Calend 01'!C6),(106&lt;'V06 Calend 01'!D6),(MOD((106-'V06 Calend 01'!C6),6)=0),(((106-'V06 Calend 01'!C6)/6)&lt;='V06 Calend 01'!E6)),IF((106=('V06 Calend 01'!C6+(6*'V06 Calend 01'!E6))),('V06 Calend 01'!H6-('V06 Calend 01'!I6*('V06 Calend 01'!E6-1))),'V06 Calend 01'!I6),0))+IF((106='V06 Calend 01'!D6),'V06 Calend 01'!J6,0))</f>
        <v>0</v>
      </c>
      <c r="DO6" s="2">
        <f>((IF((107='V06 Calend 01'!C6),('V06 Calend 01'!F6+'V06 Calend 01'!G6),0)+IF(AND(('V06 Calend 01'!E6&gt;0),(107&gt;'V06 Calend 01'!C6),(107&lt;'V06 Calend 01'!D6),(MOD((107-'V06 Calend 01'!C6),6)=0),(((107-'V06 Calend 01'!C6)/6)&lt;='V06 Calend 01'!E6)),IF((107=('V06 Calend 01'!C6+(6*'V06 Calend 01'!E6))),('V06 Calend 01'!H6-('V06 Calend 01'!I6*('V06 Calend 01'!E6-1))),'V06 Calend 01'!I6),0))+IF((107='V06 Calend 01'!D6),'V06 Calend 01'!J6,0))</f>
        <v>0</v>
      </c>
      <c r="DP6" s="2">
        <f>((IF((108='V06 Calend 01'!C6),('V06 Calend 01'!F6+'V06 Calend 01'!G6),0)+IF(AND(('V06 Calend 01'!E6&gt;0),(108&gt;'V06 Calend 01'!C6),(108&lt;'V06 Calend 01'!D6),(MOD((108-'V06 Calend 01'!C6),6)=0),(((108-'V06 Calend 01'!C6)/6)&lt;='V06 Calend 01'!E6)),IF((108=('V06 Calend 01'!C6+(6*'V06 Calend 01'!E6))),('V06 Calend 01'!H6-('V06 Calend 01'!I6*('V06 Calend 01'!E6-1))),'V06 Calend 01'!I6),0))+IF((108='V06 Calend 01'!D6),'V06 Calend 01'!J6,0))</f>
        <v>0</v>
      </c>
      <c r="DQ6" s="2">
        <f>((IF((109='V06 Calend 01'!C6),('V06 Calend 01'!F6+'V06 Calend 01'!G6),0)+IF(AND(('V06 Calend 01'!E6&gt;0),(109&gt;'V06 Calend 01'!C6),(109&lt;'V06 Calend 01'!D6),(MOD((109-'V06 Calend 01'!C6),6)=0),(((109-'V06 Calend 01'!C6)/6)&lt;='V06 Calend 01'!E6)),IF((109=('V06 Calend 01'!C6+(6*'V06 Calend 01'!E6))),('V06 Calend 01'!H6-('V06 Calend 01'!I6*('V06 Calend 01'!E6-1))),'V06 Calend 01'!I6),0))+IF((109='V06 Calend 01'!D6),'V06 Calend 01'!J6,0))</f>
        <v>0</v>
      </c>
      <c r="DR6" s="2">
        <f>((IF((110='V06 Calend 01'!C6),('V06 Calend 01'!F6+'V06 Calend 01'!G6),0)+IF(AND(('V06 Calend 01'!E6&gt;0),(110&gt;'V06 Calend 01'!C6),(110&lt;'V06 Calend 01'!D6),(MOD((110-'V06 Calend 01'!C6),6)=0),(((110-'V06 Calend 01'!C6)/6)&lt;='V06 Calend 01'!E6)),IF((110=('V06 Calend 01'!C6+(6*'V06 Calend 01'!E6))),('V06 Calend 01'!H6-('V06 Calend 01'!I6*('V06 Calend 01'!E6-1))),'V06 Calend 01'!I6),0))+IF((110='V06 Calend 01'!D6),'V06 Calend 01'!J6,0))</f>
        <v>0</v>
      </c>
      <c r="DS6" s="2">
        <f>((IF((111='V06 Calend 01'!C6),('V06 Calend 01'!F6+'V06 Calend 01'!G6),0)+IF(AND(('V06 Calend 01'!E6&gt;0),(111&gt;'V06 Calend 01'!C6),(111&lt;'V06 Calend 01'!D6),(MOD((111-'V06 Calend 01'!C6),6)=0),(((111-'V06 Calend 01'!C6)/6)&lt;='V06 Calend 01'!E6)),IF((111=('V06 Calend 01'!C6+(6*'V06 Calend 01'!E6))),('V06 Calend 01'!H6-('V06 Calend 01'!I6*('V06 Calend 01'!E6-1))),'V06 Calend 01'!I6),0))+IF((111='V06 Calend 01'!D6),'V06 Calend 01'!J6,0))</f>
        <v>0</v>
      </c>
      <c r="DT6" s="2">
        <f>((IF((112='V06 Calend 01'!C6),('V06 Calend 01'!F6+'V06 Calend 01'!G6),0)+IF(AND(('V06 Calend 01'!E6&gt;0),(112&gt;'V06 Calend 01'!C6),(112&lt;'V06 Calend 01'!D6),(MOD((112-'V06 Calend 01'!C6),6)=0),(((112-'V06 Calend 01'!C6)/6)&lt;='V06 Calend 01'!E6)),IF((112=('V06 Calend 01'!C6+(6*'V06 Calend 01'!E6))),('V06 Calend 01'!H6-('V06 Calend 01'!I6*('V06 Calend 01'!E6-1))),'V06 Calend 01'!I6),0))+IF((112='V06 Calend 01'!D6),'V06 Calend 01'!J6,0))</f>
        <v>0</v>
      </c>
      <c r="DU6" s="2">
        <f>((IF((113='V06 Calend 01'!C6),('V06 Calend 01'!F6+'V06 Calend 01'!G6),0)+IF(AND(('V06 Calend 01'!E6&gt;0),(113&gt;'V06 Calend 01'!C6),(113&lt;'V06 Calend 01'!D6),(MOD((113-'V06 Calend 01'!C6),6)=0),(((113-'V06 Calend 01'!C6)/6)&lt;='V06 Calend 01'!E6)),IF((113=('V06 Calend 01'!C6+(6*'V06 Calend 01'!E6))),('V06 Calend 01'!H6-('V06 Calend 01'!I6*('V06 Calend 01'!E6-1))),'V06 Calend 01'!I6),0))+IF((113='V06 Calend 01'!D6),'V06 Calend 01'!J6,0))</f>
        <v>0</v>
      </c>
      <c r="DV6" s="2">
        <f>((IF((114='V06 Calend 01'!C6),('V06 Calend 01'!F6+'V06 Calend 01'!G6),0)+IF(AND(('V06 Calend 01'!E6&gt;0),(114&gt;'V06 Calend 01'!C6),(114&lt;'V06 Calend 01'!D6),(MOD((114-'V06 Calend 01'!C6),6)=0),(((114-'V06 Calend 01'!C6)/6)&lt;='V06 Calend 01'!E6)),IF((114=('V06 Calend 01'!C6+(6*'V06 Calend 01'!E6))),('V06 Calend 01'!H6-('V06 Calend 01'!I6*('V06 Calend 01'!E6-1))),'V06 Calend 01'!I6),0))+IF((114='V06 Calend 01'!D6),'V06 Calend 01'!J6,0))</f>
        <v>0</v>
      </c>
      <c r="DW6" s="2">
        <f>((IF((115='V06 Calend 01'!C6),('V06 Calend 01'!F6+'V06 Calend 01'!G6),0)+IF(AND(('V06 Calend 01'!E6&gt;0),(115&gt;'V06 Calend 01'!C6),(115&lt;'V06 Calend 01'!D6),(MOD((115-'V06 Calend 01'!C6),6)=0),(((115-'V06 Calend 01'!C6)/6)&lt;='V06 Calend 01'!E6)),IF((115=('V06 Calend 01'!C6+(6*'V06 Calend 01'!E6))),('V06 Calend 01'!H6-('V06 Calend 01'!I6*('V06 Calend 01'!E6-1))),'V06 Calend 01'!I6),0))+IF((115='V06 Calend 01'!D6),'V06 Calend 01'!J6,0))</f>
        <v>0</v>
      </c>
      <c r="DX6" s="2">
        <f>((IF((116='V06 Calend 01'!C6),('V06 Calend 01'!F6+'V06 Calend 01'!G6),0)+IF(AND(('V06 Calend 01'!E6&gt;0),(116&gt;'V06 Calend 01'!C6),(116&lt;'V06 Calend 01'!D6),(MOD((116-'V06 Calend 01'!C6),6)=0),(((116-'V06 Calend 01'!C6)/6)&lt;='V06 Calend 01'!E6)),IF((116=('V06 Calend 01'!C6+(6*'V06 Calend 01'!E6))),('V06 Calend 01'!H6-('V06 Calend 01'!I6*('V06 Calend 01'!E6-1))),'V06 Calend 01'!I6),0))+IF((116='V06 Calend 01'!D6),'V06 Calend 01'!J6,0))</f>
        <v>0</v>
      </c>
      <c r="DY6" s="2">
        <f>((IF((117='V06 Calend 01'!C6),('V06 Calend 01'!F6+'V06 Calend 01'!G6),0)+IF(AND(('V06 Calend 01'!E6&gt;0),(117&gt;'V06 Calend 01'!C6),(117&lt;'V06 Calend 01'!D6),(MOD((117-'V06 Calend 01'!C6),6)=0),(((117-'V06 Calend 01'!C6)/6)&lt;='V06 Calend 01'!E6)),IF((117=('V06 Calend 01'!C6+(6*'V06 Calend 01'!E6))),('V06 Calend 01'!H6-('V06 Calend 01'!I6*('V06 Calend 01'!E6-1))),'V06 Calend 01'!I6),0))+IF((117='V06 Calend 01'!D6),'V06 Calend 01'!J6,0))</f>
        <v>0</v>
      </c>
      <c r="DZ6" s="2">
        <f>((IF((118='V06 Calend 01'!C6),('V06 Calend 01'!F6+'V06 Calend 01'!G6),0)+IF(AND(('V06 Calend 01'!E6&gt;0),(118&gt;'V06 Calend 01'!C6),(118&lt;'V06 Calend 01'!D6),(MOD((118-'V06 Calend 01'!C6),6)=0),(((118-'V06 Calend 01'!C6)/6)&lt;='V06 Calend 01'!E6)),IF((118=('V06 Calend 01'!C6+(6*'V06 Calend 01'!E6))),('V06 Calend 01'!H6-('V06 Calend 01'!I6*('V06 Calend 01'!E6-1))),'V06 Calend 01'!I6),0))+IF((118='V06 Calend 01'!D6),'V06 Calend 01'!J6,0))</f>
        <v>0</v>
      </c>
      <c r="EA6" s="2">
        <f>((IF((119='V06 Calend 01'!C6),('V06 Calend 01'!F6+'V06 Calend 01'!G6),0)+IF(AND(('V06 Calend 01'!E6&gt;0),(119&gt;'V06 Calend 01'!C6),(119&lt;'V06 Calend 01'!D6),(MOD((119-'V06 Calend 01'!C6),6)=0),(((119-'V06 Calend 01'!C6)/6)&lt;='V06 Calend 01'!E6)),IF((119=('V06 Calend 01'!C6+(6*'V06 Calend 01'!E6))),('V06 Calend 01'!H6-('V06 Calend 01'!I6*('V06 Calend 01'!E6-1))),'V06 Calend 01'!I6),0))+IF((119='V06 Calend 01'!D6),'V06 Calend 01'!J6,0))</f>
        <v>0</v>
      </c>
      <c r="EB6" s="2">
        <f>((IF((120='V06 Calend 01'!C6),('V06 Calend 01'!F6+'V06 Calend 01'!G6),0)+IF(AND(('V06 Calend 01'!E6&gt;0),(120&gt;'V06 Calend 01'!C6),(120&lt;'V06 Calend 01'!D6),(MOD((120-'V06 Calend 01'!C6),6)=0),(((120-'V06 Calend 01'!C6)/6)&lt;='V06 Calend 01'!E6)),IF((120=('V06 Calend 01'!C6+(6*'V06 Calend 01'!E6))),('V06 Calend 01'!H6-('V06 Calend 01'!I6*('V06 Calend 01'!E6-1))),'V06 Calend 01'!I6),0))+IF((120='V06 Calend 01'!D6),'V06 Calend 01'!J6,0))</f>
        <v>0</v>
      </c>
      <c r="EC6" s="2">
        <f>((IF((121='V06 Calend 01'!C6),('V06 Calend 01'!F6+'V06 Calend 01'!G6),0)+IF(AND(('V06 Calend 01'!E6&gt;0),(121&gt;'V06 Calend 01'!C6),(121&lt;'V06 Calend 01'!D6),(MOD((121-'V06 Calend 01'!C6),6)=0),(((121-'V06 Calend 01'!C6)/6)&lt;='V06 Calend 01'!E6)),IF((121=('V06 Calend 01'!C6+(6*'V06 Calend 01'!E6))),('V06 Calend 01'!H6-('V06 Calend 01'!I6*('V06 Calend 01'!E6-1))),'V06 Calend 01'!I6),0))+IF((121='V06 Calend 01'!D6),'V06 Calend 01'!J6,0))</f>
        <v>0</v>
      </c>
      <c r="ED6" s="2">
        <f>((IF((122='V06 Calend 01'!C6),('V06 Calend 01'!F6+'V06 Calend 01'!G6),0)+IF(AND(('V06 Calend 01'!E6&gt;0),(122&gt;'V06 Calend 01'!C6),(122&lt;'V06 Calend 01'!D6),(MOD((122-'V06 Calend 01'!C6),6)=0),(((122-'V06 Calend 01'!C6)/6)&lt;='V06 Calend 01'!E6)),IF((122=('V06 Calend 01'!C6+(6*'V06 Calend 01'!E6))),('V06 Calend 01'!H6-('V06 Calend 01'!I6*('V06 Calend 01'!E6-1))),'V06 Calend 01'!I6),0))+IF((122='V06 Calend 01'!D6),'V06 Calend 01'!J6,0))</f>
        <v>0</v>
      </c>
      <c r="EE6" s="2">
        <f>((IF((123='V06 Calend 01'!C6),('V06 Calend 01'!F6+'V06 Calend 01'!G6),0)+IF(AND(('V06 Calend 01'!E6&gt;0),(123&gt;'V06 Calend 01'!C6),(123&lt;'V06 Calend 01'!D6),(MOD((123-'V06 Calend 01'!C6),6)=0),(((123-'V06 Calend 01'!C6)/6)&lt;='V06 Calend 01'!E6)),IF((123=('V06 Calend 01'!C6+(6*'V06 Calend 01'!E6))),('V06 Calend 01'!H6-('V06 Calend 01'!I6*('V06 Calend 01'!E6-1))),'V06 Calend 01'!I6),0))+IF((123='V06 Calend 01'!D6),'V06 Calend 01'!J6,0))</f>
        <v>0</v>
      </c>
      <c r="EF6" s="2">
        <f>((IF((124='V06 Calend 01'!C6),('V06 Calend 01'!F6+'V06 Calend 01'!G6),0)+IF(AND(('V06 Calend 01'!E6&gt;0),(124&gt;'V06 Calend 01'!C6),(124&lt;'V06 Calend 01'!D6),(MOD((124-'V06 Calend 01'!C6),6)=0),(((124-'V06 Calend 01'!C6)/6)&lt;='V06 Calend 01'!E6)),IF((124=('V06 Calend 01'!C6+(6*'V06 Calend 01'!E6))),('V06 Calend 01'!H6-('V06 Calend 01'!I6*('V06 Calend 01'!E6-1))),'V06 Calend 01'!I6),0))+IF((124='V06 Calend 01'!D6),'V06 Calend 01'!J6,0))</f>
        <v>0</v>
      </c>
      <c r="EG6" s="2">
        <f>((IF((125='V06 Calend 01'!C6),('V06 Calend 01'!F6+'V06 Calend 01'!G6),0)+IF(AND(('V06 Calend 01'!E6&gt;0),(125&gt;'V06 Calend 01'!C6),(125&lt;'V06 Calend 01'!D6),(MOD((125-'V06 Calend 01'!C6),6)=0),(((125-'V06 Calend 01'!C6)/6)&lt;='V06 Calend 01'!E6)),IF((125=('V06 Calend 01'!C6+(6*'V06 Calend 01'!E6))),('V06 Calend 01'!H6-('V06 Calend 01'!I6*('V06 Calend 01'!E6-1))),'V06 Calend 01'!I6),0))+IF((125='V06 Calend 01'!D6),'V06 Calend 01'!J6,0))</f>
        <v>0</v>
      </c>
      <c r="EH6" s="2">
        <f>((IF((126='V06 Calend 01'!C6),('V06 Calend 01'!F6+'V06 Calend 01'!G6),0)+IF(AND(('V06 Calend 01'!E6&gt;0),(126&gt;'V06 Calend 01'!C6),(126&lt;'V06 Calend 01'!D6),(MOD((126-'V06 Calend 01'!C6),6)=0),(((126-'V06 Calend 01'!C6)/6)&lt;='V06 Calend 01'!E6)),IF((126=('V06 Calend 01'!C6+(6*'V06 Calend 01'!E6))),('V06 Calend 01'!H6-('V06 Calend 01'!I6*('V06 Calend 01'!E6-1))),'V06 Calend 01'!I6),0))+IF((126='V06 Calend 01'!D6),'V06 Calend 01'!J6,0))</f>
        <v>0</v>
      </c>
      <c r="EI6" s="2">
        <f>((IF((127='V06 Calend 01'!C6),('V06 Calend 01'!F6+'V06 Calend 01'!G6),0)+IF(AND(('V06 Calend 01'!E6&gt;0),(127&gt;'V06 Calend 01'!C6),(127&lt;'V06 Calend 01'!D6),(MOD((127-'V06 Calend 01'!C6),6)=0),(((127-'V06 Calend 01'!C6)/6)&lt;='V06 Calend 01'!E6)),IF((127=('V06 Calend 01'!C6+(6*'V06 Calend 01'!E6))),('V06 Calend 01'!H6-('V06 Calend 01'!I6*('V06 Calend 01'!E6-1))),'V06 Calend 01'!I6),0))+IF((127='V06 Calend 01'!D6),'V06 Calend 01'!J6,0))</f>
        <v>0</v>
      </c>
      <c r="EJ6" s="2">
        <f>((IF((128='V06 Calend 01'!C6),('V06 Calend 01'!F6+'V06 Calend 01'!G6),0)+IF(AND(('V06 Calend 01'!E6&gt;0),(128&gt;'V06 Calend 01'!C6),(128&lt;'V06 Calend 01'!D6),(MOD((128-'V06 Calend 01'!C6),6)=0),(((128-'V06 Calend 01'!C6)/6)&lt;='V06 Calend 01'!E6)),IF((128=('V06 Calend 01'!C6+(6*'V06 Calend 01'!E6))),('V06 Calend 01'!H6-('V06 Calend 01'!I6*('V06 Calend 01'!E6-1))),'V06 Calend 01'!I6),0))+IF((128='V06 Calend 01'!D6),'V06 Calend 01'!J6,0))</f>
        <v>0</v>
      </c>
      <c r="EK6" s="2">
        <f>((IF((129='V06 Calend 01'!C6),('V06 Calend 01'!F6+'V06 Calend 01'!G6),0)+IF(AND(('V06 Calend 01'!E6&gt;0),(129&gt;'V06 Calend 01'!C6),(129&lt;'V06 Calend 01'!D6),(MOD((129-'V06 Calend 01'!C6),6)=0),(((129-'V06 Calend 01'!C6)/6)&lt;='V06 Calend 01'!E6)),IF((129=('V06 Calend 01'!C6+(6*'V06 Calend 01'!E6))),('V06 Calend 01'!H6-('V06 Calend 01'!I6*('V06 Calend 01'!E6-1))),'V06 Calend 01'!I6),0))+IF((129='V06 Calend 01'!D6),'V06 Calend 01'!J6,0))</f>
        <v>0</v>
      </c>
      <c r="EL6" s="2">
        <f>((IF((130='V06 Calend 01'!C6),('V06 Calend 01'!F6+'V06 Calend 01'!G6),0)+IF(AND(('V06 Calend 01'!E6&gt;0),(130&gt;'V06 Calend 01'!C6),(130&lt;'V06 Calend 01'!D6),(MOD((130-'V06 Calend 01'!C6),6)=0),(((130-'V06 Calend 01'!C6)/6)&lt;='V06 Calend 01'!E6)),IF((130=('V06 Calend 01'!C6+(6*'V06 Calend 01'!E6))),('V06 Calend 01'!H6-('V06 Calend 01'!I6*('V06 Calend 01'!E6-1))),'V06 Calend 01'!I6),0))+IF((130='V06 Calend 01'!D6),'V06 Calend 01'!J6,0))</f>
        <v>0</v>
      </c>
      <c r="EM6" s="2">
        <f>((IF((131='V06 Calend 01'!C6),('V06 Calend 01'!F6+'V06 Calend 01'!G6),0)+IF(AND(('V06 Calend 01'!E6&gt;0),(131&gt;'V06 Calend 01'!C6),(131&lt;'V06 Calend 01'!D6),(MOD((131-'V06 Calend 01'!C6),6)=0),(((131-'V06 Calend 01'!C6)/6)&lt;='V06 Calend 01'!E6)),IF((131=('V06 Calend 01'!C6+(6*'V06 Calend 01'!E6))),('V06 Calend 01'!H6-('V06 Calend 01'!I6*('V06 Calend 01'!E6-1))),'V06 Calend 01'!I6),0))+IF((131='V06 Calend 01'!D6),'V06 Calend 01'!J6,0))</f>
        <v>0</v>
      </c>
      <c r="EN6" s="2">
        <f>((IF((132='V06 Calend 01'!C6),('V06 Calend 01'!F6+'V06 Calend 01'!G6),0)+IF(AND(('V06 Calend 01'!E6&gt;0),(132&gt;'V06 Calend 01'!C6),(132&lt;'V06 Calend 01'!D6),(MOD((132-'V06 Calend 01'!C6),6)=0),(((132-'V06 Calend 01'!C6)/6)&lt;='V06 Calend 01'!E6)),IF((132=('V06 Calend 01'!C6+(6*'V06 Calend 01'!E6))),('V06 Calend 01'!H6-('V06 Calend 01'!I6*('V06 Calend 01'!E6-1))),'V06 Calend 01'!I6),0))+IF((132='V06 Calend 01'!D6),'V06 Calend 01'!J6,0))</f>
        <v>0</v>
      </c>
      <c r="EO6" s="2">
        <f>((IF((133='V06 Calend 01'!C6),('V06 Calend 01'!F6+'V06 Calend 01'!G6),0)+IF(AND(('V06 Calend 01'!E6&gt;0),(133&gt;'V06 Calend 01'!C6),(133&lt;'V06 Calend 01'!D6),(MOD((133-'V06 Calend 01'!C6),6)=0),(((133-'V06 Calend 01'!C6)/6)&lt;='V06 Calend 01'!E6)),IF((133=('V06 Calend 01'!C6+(6*'V06 Calend 01'!E6))),('V06 Calend 01'!H6-('V06 Calend 01'!I6*('V06 Calend 01'!E6-1))),'V06 Calend 01'!I6),0))+IF((133='V06 Calend 01'!D6),'V06 Calend 01'!J6,0))</f>
        <v>0</v>
      </c>
      <c r="EP6" s="2">
        <f>((IF((134='V06 Calend 01'!C6),('V06 Calend 01'!F6+'V06 Calend 01'!G6),0)+IF(AND(('V06 Calend 01'!E6&gt;0),(134&gt;'V06 Calend 01'!C6),(134&lt;'V06 Calend 01'!D6),(MOD((134-'V06 Calend 01'!C6),6)=0),(((134-'V06 Calend 01'!C6)/6)&lt;='V06 Calend 01'!E6)),IF((134=('V06 Calend 01'!C6+(6*'V06 Calend 01'!E6))),('V06 Calend 01'!H6-('V06 Calend 01'!I6*('V06 Calend 01'!E6-1))),'V06 Calend 01'!I6),0))+IF((134='V06 Calend 01'!D6),'V06 Calend 01'!J6,0))</f>
        <v>0</v>
      </c>
      <c r="EQ6" s="2">
        <f>((IF((135='V06 Calend 01'!C6),('V06 Calend 01'!F6+'V06 Calend 01'!G6),0)+IF(AND(('V06 Calend 01'!E6&gt;0),(135&gt;'V06 Calend 01'!C6),(135&lt;'V06 Calend 01'!D6),(MOD((135-'V06 Calend 01'!C6),6)=0),(((135-'V06 Calend 01'!C6)/6)&lt;='V06 Calend 01'!E6)),IF((135=('V06 Calend 01'!C6+(6*'V06 Calend 01'!E6))),('V06 Calend 01'!H6-('V06 Calend 01'!I6*('V06 Calend 01'!E6-1))),'V06 Calend 01'!I6),0))+IF((135='V06 Calend 01'!D6),'V06 Calend 01'!J6,0))</f>
        <v>0</v>
      </c>
      <c r="ER6" s="2">
        <f>((IF((136='V06 Calend 01'!C6),('V06 Calend 01'!F6+'V06 Calend 01'!G6),0)+IF(AND(('V06 Calend 01'!E6&gt;0),(136&gt;'V06 Calend 01'!C6),(136&lt;'V06 Calend 01'!D6),(MOD((136-'V06 Calend 01'!C6),6)=0),(((136-'V06 Calend 01'!C6)/6)&lt;='V06 Calend 01'!E6)),IF((136=('V06 Calend 01'!C6+(6*'V06 Calend 01'!E6))),('V06 Calend 01'!H6-('V06 Calend 01'!I6*('V06 Calend 01'!E6-1))),'V06 Calend 01'!I6),0))+IF((136='V06 Calend 01'!D6),'V06 Calend 01'!J6,0))</f>
        <v>0</v>
      </c>
      <c r="ES6" s="2">
        <f>((IF((137='V06 Calend 01'!C6),('V06 Calend 01'!F6+'V06 Calend 01'!G6),0)+IF(AND(('V06 Calend 01'!E6&gt;0),(137&gt;'V06 Calend 01'!C6),(137&lt;'V06 Calend 01'!D6),(MOD((137-'V06 Calend 01'!C6),6)=0),(((137-'V06 Calend 01'!C6)/6)&lt;='V06 Calend 01'!E6)),IF((137=('V06 Calend 01'!C6+(6*'V06 Calend 01'!E6))),('V06 Calend 01'!H6-('V06 Calend 01'!I6*('V06 Calend 01'!E6-1))),'V06 Calend 01'!I6),0))+IF((137='V06 Calend 01'!D6),'V06 Calend 01'!J6,0))</f>
        <v>0</v>
      </c>
      <c r="ET6" s="2">
        <f>((IF((138='V06 Calend 01'!C6),('V06 Calend 01'!F6+'V06 Calend 01'!G6),0)+IF(AND(('V06 Calend 01'!E6&gt;0),(138&gt;'V06 Calend 01'!C6),(138&lt;'V06 Calend 01'!D6),(MOD((138-'V06 Calend 01'!C6),6)=0),(((138-'V06 Calend 01'!C6)/6)&lt;='V06 Calend 01'!E6)),IF((138=('V06 Calend 01'!C6+(6*'V06 Calend 01'!E6))),('V06 Calend 01'!H6-('V06 Calend 01'!I6*('V06 Calend 01'!E6-1))),'V06 Calend 01'!I6),0))+IF((138='V06 Calend 01'!D6),'V06 Calend 01'!J6,0))</f>
        <v>0</v>
      </c>
      <c r="EU6" s="2">
        <f>((IF((139='V06 Calend 01'!C6),('V06 Calend 01'!F6+'V06 Calend 01'!G6),0)+IF(AND(('V06 Calend 01'!E6&gt;0),(139&gt;'V06 Calend 01'!C6),(139&lt;'V06 Calend 01'!D6),(MOD((139-'V06 Calend 01'!C6),6)=0),(((139-'V06 Calend 01'!C6)/6)&lt;='V06 Calend 01'!E6)),IF((139=('V06 Calend 01'!C6+(6*'V06 Calend 01'!E6))),('V06 Calend 01'!H6-('V06 Calend 01'!I6*('V06 Calend 01'!E6-1))),'V06 Calend 01'!I6),0))+IF((139='V06 Calend 01'!D6),'V06 Calend 01'!J6,0))</f>
        <v>0</v>
      </c>
      <c r="EV6" s="2">
        <f>((IF((140='V06 Calend 01'!C6),('V06 Calend 01'!F6+'V06 Calend 01'!G6),0)+IF(AND(('V06 Calend 01'!E6&gt;0),(140&gt;'V06 Calend 01'!C6),(140&lt;'V06 Calend 01'!D6),(MOD((140-'V06 Calend 01'!C6),6)=0),(((140-'V06 Calend 01'!C6)/6)&lt;='V06 Calend 01'!E6)),IF((140=('V06 Calend 01'!C6+(6*'V06 Calend 01'!E6))),('V06 Calend 01'!H6-('V06 Calend 01'!I6*('V06 Calend 01'!E6-1))),'V06 Calend 01'!I6),0))+IF((140='V06 Calend 01'!D6),'V06 Calend 01'!J6,0))</f>
        <v>0</v>
      </c>
      <c r="EW6" s="2">
        <f>((IF((141='V06 Calend 01'!C6),('V06 Calend 01'!F6+'V06 Calend 01'!G6),0)+IF(AND(('V06 Calend 01'!E6&gt;0),(141&gt;'V06 Calend 01'!C6),(141&lt;'V06 Calend 01'!D6),(MOD((141-'V06 Calend 01'!C6),6)=0),(((141-'V06 Calend 01'!C6)/6)&lt;='V06 Calend 01'!E6)),IF((141=('V06 Calend 01'!C6+(6*'V06 Calend 01'!E6))),('V06 Calend 01'!H6-('V06 Calend 01'!I6*('V06 Calend 01'!E6-1))),'V06 Calend 01'!I6),0))+IF((141='V06 Calend 01'!D6),'V06 Calend 01'!J6,0))</f>
        <v>0</v>
      </c>
      <c r="EX6" s="2">
        <f>((IF((142='V06 Calend 01'!C6),('V06 Calend 01'!F6+'V06 Calend 01'!G6),0)+IF(AND(('V06 Calend 01'!E6&gt;0),(142&gt;'V06 Calend 01'!C6),(142&lt;'V06 Calend 01'!D6),(MOD((142-'V06 Calend 01'!C6),6)=0),(((142-'V06 Calend 01'!C6)/6)&lt;='V06 Calend 01'!E6)),IF((142=('V06 Calend 01'!C6+(6*'V06 Calend 01'!E6))),('V06 Calend 01'!H6-('V06 Calend 01'!I6*('V06 Calend 01'!E6-1))),'V06 Calend 01'!I6),0))+IF((142='V06 Calend 01'!D6),'V06 Calend 01'!J6,0))</f>
        <v>0</v>
      </c>
      <c r="EY6" s="2">
        <f>((IF((143='V06 Calend 01'!C6),('V06 Calend 01'!F6+'V06 Calend 01'!G6),0)+IF(AND(('V06 Calend 01'!E6&gt;0),(143&gt;'V06 Calend 01'!C6),(143&lt;'V06 Calend 01'!D6),(MOD((143-'V06 Calend 01'!C6),6)=0),(((143-'V06 Calend 01'!C6)/6)&lt;='V06 Calend 01'!E6)),IF((143=('V06 Calend 01'!C6+(6*'V06 Calend 01'!E6))),('V06 Calend 01'!H6-('V06 Calend 01'!I6*('V06 Calend 01'!E6-1))),'V06 Calend 01'!I6),0))+IF((143='V06 Calend 01'!D6),'V06 Calend 01'!J6,0))</f>
        <v>0</v>
      </c>
      <c r="EZ6" s="2">
        <f>((IF((144='V06 Calend 01'!C6),('V06 Calend 01'!F6+'V06 Calend 01'!G6),0)+IF(AND(('V06 Calend 01'!E6&gt;0),(144&gt;'V06 Calend 01'!C6),(144&lt;'V06 Calend 01'!D6),(MOD((144-'V06 Calend 01'!C6),6)=0),(((144-'V06 Calend 01'!C6)/6)&lt;='V06 Calend 01'!E6)),IF((144=('V06 Calend 01'!C6+(6*'V06 Calend 01'!E6))),('V06 Calend 01'!H6-('V06 Calend 01'!I6*('V06 Calend 01'!E6-1))),'V06 Calend 01'!I6),0))+IF((144='V06 Calend 01'!D6),'V06 Calend 01'!J6,0))</f>
        <v>0</v>
      </c>
      <c r="FA6" s="2">
        <f>((IF((145='V06 Calend 01'!C6),('V06 Calend 01'!F6+'V06 Calend 01'!G6),0)+IF(AND(('V06 Calend 01'!E6&gt;0),(145&gt;'V06 Calend 01'!C6),(145&lt;'V06 Calend 01'!D6),(MOD((145-'V06 Calend 01'!C6),6)=0),(((145-'V06 Calend 01'!C6)/6)&lt;='V06 Calend 01'!E6)),IF((145=('V06 Calend 01'!C6+(6*'V06 Calend 01'!E6))),('V06 Calend 01'!H6-('V06 Calend 01'!I6*('V06 Calend 01'!E6-1))),'V06 Calend 01'!I6),0))+IF((145='V06 Calend 01'!D6),'V06 Calend 01'!J6,0))</f>
        <v>0</v>
      </c>
      <c r="FB6" s="2">
        <f>((IF((146='V06 Calend 01'!C6),('V06 Calend 01'!F6+'V06 Calend 01'!G6),0)+IF(AND(('V06 Calend 01'!E6&gt;0),(146&gt;'V06 Calend 01'!C6),(146&lt;'V06 Calend 01'!D6),(MOD((146-'V06 Calend 01'!C6),6)=0),(((146-'V06 Calend 01'!C6)/6)&lt;='V06 Calend 01'!E6)),IF((146=('V06 Calend 01'!C6+(6*'V06 Calend 01'!E6))),('V06 Calend 01'!H6-('V06 Calend 01'!I6*('V06 Calend 01'!E6-1))),'V06 Calend 01'!I6),0))+IF((146='V06 Calend 01'!D6),'V06 Calend 01'!J6,0))</f>
        <v>0</v>
      </c>
      <c r="FC6" s="2">
        <f>((IF((147='V06 Calend 01'!C6),('V06 Calend 01'!F6+'V06 Calend 01'!G6),0)+IF(AND(('V06 Calend 01'!E6&gt;0),(147&gt;'V06 Calend 01'!C6),(147&lt;'V06 Calend 01'!D6),(MOD((147-'V06 Calend 01'!C6),6)=0),(((147-'V06 Calend 01'!C6)/6)&lt;='V06 Calend 01'!E6)),IF((147=('V06 Calend 01'!C6+(6*'V06 Calend 01'!E6))),('V06 Calend 01'!H6-('V06 Calend 01'!I6*('V06 Calend 01'!E6-1))),'V06 Calend 01'!I6),0))+IF((147='V06 Calend 01'!D6),'V06 Calend 01'!J6,0))</f>
        <v>0</v>
      </c>
      <c r="FD6" s="2">
        <f>((IF((148='V06 Calend 01'!C6),('V06 Calend 01'!F6+'V06 Calend 01'!G6),0)+IF(AND(('V06 Calend 01'!E6&gt;0),(148&gt;'V06 Calend 01'!C6),(148&lt;'V06 Calend 01'!D6),(MOD((148-'V06 Calend 01'!C6),6)=0),(((148-'V06 Calend 01'!C6)/6)&lt;='V06 Calend 01'!E6)),IF((148=('V06 Calend 01'!C6+(6*'V06 Calend 01'!E6))),('V06 Calend 01'!H6-('V06 Calend 01'!I6*('V06 Calend 01'!E6-1))),'V06 Calend 01'!I6),0))+IF((148='V06 Calend 01'!D6),'V06 Calend 01'!J6,0))</f>
        <v>0</v>
      </c>
      <c r="FE6" s="2">
        <f>((IF((149='V06 Calend 01'!C6),('V06 Calend 01'!F6+'V06 Calend 01'!G6),0)+IF(AND(('V06 Calend 01'!E6&gt;0),(149&gt;'V06 Calend 01'!C6),(149&lt;'V06 Calend 01'!D6),(MOD((149-'V06 Calend 01'!C6),6)=0),(((149-'V06 Calend 01'!C6)/6)&lt;='V06 Calend 01'!E6)),IF((149=('V06 Calend 01'!C6+(6*'V06 Calend 01'!E6))),('V06 Calend 01'!H6-('V06 Calend 01'!I6*('V06 Calend 01'!E6-1))),'V06 Calend 01'!I6),0))+IF((149='V06 Calend 01'!D6),'V06 Calend 01'!J6,0))</f>
        <v>0</v>
      </c>
      <c r="FF6" s="2">
        <f>((IF((150='V06 Calend 01'!C6),('V06 Calend 01'!F6+'V06 Calend 01'!G6),0)+IF(AND(('V06 Calend 01'!E6&gt;0),(150&gt;'V06 Calend 01'!C6),(150&lt;'V06 Calend 01'!D6),(MOD((150-'V06 Calend 01'!C6),6)=0),(((150-'V06 Calend 01'!C6)/6)&lt;='V06 Calend 01'!E6)),IF((150=('V06 Calend 01'!C6+(6*'V06 Calend 01'!E6))),('V06 Calend 01'!H6-('V06 Calend 01'!I6*('V06 Calend 01'!E6-1))),'V06 Calend 01'!I6),0))+IF((150='V06 Calend 01'!D6),'V06 Calend 01'!J6,0))</f>
        <v>0</v>
      </c>
      <c r="FG6" s="2">
        <f>((IF((151='V06 Calend 01'!C6),('V06 Calend 01'!F6+'V06 Calend 01'!G6),0)+IF(AND(('V06 Calend 01'!E6&gt;0),(151&gt;'V06 Calend 01'!C6),(151&lt;'V06 Calend 01'!D6),(MOD((151-'V06 Calend 01'!C6),6)=0),(((151-'V06 Calend 01'!C6)/6)&lt;='V06 Calend 01'!E6)),IF((151=('V06 Calend 01'!C6+(6*'V06 Calend 01'!E6))),('V06 Calend 01'!H6-('V06 Calend 01'!I6*('V06 Calend 01'!E6-1))),'V06 Calend 01'!I6),0))+IF((151='V06 Calend 01'!D6),'V06 Calend 01'!J6,0))</f>
        <v>0</v>
      </c>
      <c r="FH6" s="2">
        <f>((IF((152='V06 Calend 01'!C6),('V06 Calend 01'!F6+'V06 Calend 01'!G6),0)+IF(AND(('V06 Calend 01'!E6&gt;0),(152&gt;'V06 Calend 01'!C6),(152&lt;'V06 Calend 01'!D6),(MOD((152-'V06 Calend 01'!C6),6)=0),(((152-'V06 Calend 01'!C6)/6)&lt;='V06 Calend 01'!E6)),IF((152=('V06 Calend 01'!C6+(6*'V06 Calend 01'!E6))),('V06 Calend 01'!H6-('V06 Calend 01'!I6*('V06 Calend 01'!E6-1))),'V06 Calend 01'!I6),0))+IF((152='V06 Calend 01'!D6),'V06 Calend 01'!J6,0))</f>
        <v>0</v>
      </c>
      <c r="FI6" s="2">
        <f>((IF((153='V06 Calend 01'!C6),('V06 Calend 01'!F6+'V06 Calend 01'!G6),0)+IF(AND(('V06 Calend 01'!E6&gt;0),(153&gt;'V06 Calend 01'!C6),(153&lt;'V06 Calend 01'!D6),(MOD((153-'V06 Calend 01'!C6),6)=0),(((153-'V06 Calend 01'!C6)/6)&lt;='V06 Calend 01'!E6)),IF((153=('V06 Calend 01'!C6+(6*'V06 Calend 01'!E6))),('V06 Calend 01'!H6-('V06 Calend 01'!I6*('V06 Calend 01'!E6-1))),'V06 Calend 01'!I6),0))+IF((153='V06 Calend 01'!D6),'V06 Calend 01'!J6,0))</f>
        <v>0</v>
      </c>
      <c r="FJ6" s="2">
        <f>((IF((154='V06 Calend 01'!C6),('V06 Calend 01'!F6+'V06 Calend 01'!G6),0)+IF(AND(('V06 Calend 01'!E6&gt;0),(154&gt;'V06 Calend 01'!C6),(154&lt;'V06 Calend 01'!D6),(MOD((154-'V06 Calend 01'!C6),6)=0),(((154-'V06 Calend 01'!C6)/6)&lt;='V06 Calend 01'!E6)),IF((154=('V06 Calend 01'!C6+(6*'V06 Calend 01'!E6))),('V06 Calend 01'!H6-('V06 Calend 01'!I6*('V06 Calend 01'!E6-1))),'V06 Calend 01'!I6),0))+IF((154='V06 Calend 01'!D6),'V06 Calend 01'!J6,0))</f>
        <v>0</v>
      </c>
      <c r="FK6" s="2">
        <f>((IF((155='V06 Calend 01'!C6),('V06 Calend 01'!F6+'V06 Calend 01'!G6),0)+IF(AND(('V06 Calend 01'!E6&gt;0),(155&gt;'V06 Calend 01'!C6),(155&lt;'V06 Calend 01'!D6),(MOD((155-'V06 Calend 01'!C6),6)=0),(((155-'V06 Calend 01'!C6)/6)&lt;='V06 Calend 01'!E6)),IF((155=('V06 Calend 01'!C6+(6*'V06 Calend 01'!E6))),('V06 Calend 01'!H6-('V06 Calend 01'!I6*('V06 Calend 01'!E6-1))),'V06 Calend 01'!I6),0))+IF((155='V06 Calend 01'!D6),'V06 Calend 01'!J6,0))</f>
        <v>0</v>
      </c>
      <c r="FL6" s="2">
        <f>((IF((156='V06 Calend 01'!C6),('V06 Calend 01'!F6+'V06 Calend 01'!G6),0)+IF(AND(('V06 Calend 01'!E6&gt;0),(156&gt;'V06 Calend 01'!C6),(156&lt;'V06 Calend 01'!D6),(MOD((156-'V06 Calend 01'!C6),6)=0),(((156-'V06 Calend 01'!C6)/6)&lt;='V06 Calend 01'!E6)),IF((156=('V06 Calend 01'!C6+(6*'V06 Calend 01'!E6))),('V06 Calend 01'!H6-('V06 Calend 01'!I6*('V06 Calend 01'!E6-1))),'V06 Calend 01'!I6),0))+IF((156='V06 Calend 01'!D6),'V06 Calend 01'!J6,0))</f>
        <v>0</v>
      </c>
      <c r="FM6" s="2">
        <f>((IF((157='V06 Calend 01'!C6),('V06 Calend 01'!F6+'V06 Calend 01'!G6),0)+IF(AND(('V06 Calend 01'!E6&gt;0),(157&gt;'V06 Calend 01'!C6),(157&lt;'V06 Calend 01'!D6),(MOD((157-'V06 Calend 01'!C6),6)=0),(((157-'V06 Calend 01'!C6)/6)&lt;='V06 Calend 01'!E6)),IF((157=('V06 Calend 01'!C6+(6*'V06 Calend 01'!E6))),('V06 Calend 01'!H6-('V06 Calend 01'!I6*('V06 Calend 01'!E6-1))),'V06 Calend 01'!I6),0))+IF((157='V06 Calend 01'!D6),'V06 Calend 01'!J6,0))</f>
        <v>0</v>
      </c>
      <c r="FN6" s="2">
        <f>((IF((158='V06 Calend 01'!C6),('V06 Calend 01'!F6+'V06 Calend 01'!G6),0)+IF(AND(('V06 Calend 01'!E6&gt;0),(158&gt;'V06 Calend 01'!C6),(158&lt;'V06 Calend 01'!D6),(MOD((158-'V06 Calend 01'!C6),6)=0),(((158-'V06 Calend 01'!C6)/6)&lt;='V06 Calend 01'!E6)),IF((158=('V06 Calend 01'!C6+(6*'V06 Calend 01'!E6))),('V06 Calend 01'!H6-('V06 Calend 01'!I6*('V06 Calend 01'!E6-1))),'V06 Calend 01'!I6),0))+IF((158='V06 Calend 01'!D6),'V06 Calend 01'!J6,0))</f>
        <v>0</v>
      </c>
      <c r="FO6" s="2">
        <f>((IF((159='V06 Calend 01'!C6),('V06 Calend 01'!F6+'V06 Calend 01'!G6),0)+IF(AND(('V06 Calend 01'!E6&gt;0),(159&gt;'V06 Calend 01'!C6),(159&lt;'V06 Calend 01'!D6),(MOD((159-'V06 Calend 01'!C6),6)=0),(((159-'V06 Calend 01'!C6)/6)&lt;='V06 Calend 01'!E6)),IF((159=('V06 Calend 01'!C6+(6*'V06 Calend 01'!E6))),('V06 Calend 01'!H6-('V06 Calend 01'!I6*('V06 Calend 01'!E6-1))),'V06 Calend 01'!I6),0))+IF((159='V06 Calend 01'!D6),'V06 Calend 01'!J6,0))</f>
        <v>0</v>
      </c>
      <c r="FP6" s="2">
        <f>((IF((160='V06 Calend 01'!C6),('V06 Calend 01'!F6+'V06 Calend 01'!G6),0)+IF(AND(('V06 Calend 01'!E6&gt;0),(160&gt;'V06 Calend 01'!C6),(160&lt;'V06 Calend 01'!D6),(MOD((160-'V06 Calend 01'!C6),6)=0),(((160-'V06 Calend 01'!C6)/6)&lt;='V06 Calend 01'!E6)),IF((160=('V06 Calend 01'!C6+(6*'V06 Calend 01'!E6))),('V06 Calend 01'!H6-('V06 Calend 01'!I6*('V06 Calend 01'!E6-1))),'V06 Calend 01'!I6),0))+IF((160='V06 Calend 01'!D6),'V06 Calend 01'!J6,0))</f>
        <v>0</v>
      </c>
      <c r="FQ6" s="2">
        <f>((IF((161='V06 Calend 01'!C6),('V06 Calend 01'!F6+'V06 Calend 01'!G6),0)+IF(AND(('V06 Calend 01'!E6&gt;0),(161&gt;'V06 Calend 01'!C6),(161&lt;'V06 Calend 01'!D6),(MOD((161-'V06 Calend 01'!C6),6)=0),(((161-'V06 Calend 01'!C6)/6)&lt;='V06 Calend 01'!E6)),IF((161=('V06 Calend 01'!C6+(6*'V06 Calend 01'!E6))),('V06 Calend 01'!H6-('V06 Calend 01'!I6*('V06 Calend 01'!E6-1))),'V06 Calend 01'!I6),0))+IF((161='V06 Calend 01'!D6),'V06 Calend 01'!J6,0))</f>
        <v>0</v>
      </c>
      <c r="FR6" s="2">
        <f>((IF((162='V06 Calend 01'!C6),('V06 Calend 01'!F6+'V06 Calend 01'!G6),0)+IF(AND(('V06 Calend 01'!E6&gt;0),(162&gt;'V06 Calend 01'!C6),(162&lt;'V06 Calend 01'!D6),(MOD((162-'V06 Calend 01'!C6),6)=0),(((162-'V06 Calend 01'!C6)/6)&lt;='V06 Calend 01'!E6)),IF((162=('V06 Calend 01'!C6+(6*'V06 Calend 01'!E6))),('V06 Calend 01'!H6-('V06 Calend 01'!I6*('V06 Calend 01'!E6-1))),'V06 Calend 01'!I6),0))+IF((162='V06 Calend 01'!D6),'V06 Calend 01'!J6,0))</f>
        <v>0</v>
      </c>
      <c r="FS6" s="2">
        <f>((IF((163='V06 Calend 01'!C6),('V06 Calend 01'!F6+'V06 Calend 01'!G6),0)+IF(AND(('V06 Calend 01'!E6&gt;0),(163&gt;'V06 Calend 01'!C6),(163&lt;'V06 Calend 01'!D6),(MOD((163-'V06 Calend 01'!C6),6)=0),(((163-'V06 Calend 01'!C6)/6)&lt;='V06 Calend 01'!E6)),IF((163=('V06 Calend 01'!C6+(6*'V06 Calend 01'!E6))),('V06 Calend 01'!H6-('V06 Calend 01'!I6*('V06 Calend 01'!E6-1))),'V06 Calend 01'!I6),0))+IF((163='V06 Calend 01'!D6),'V06 Calend 01'!J6,0))</f>
        <v>0</v>
      </c>
      <c r="FT6" s="2">
        <f>((IF((164='V06 Calend 01'!C6),('V06 Calend 01'!F6+'V06 Calend 01'!G6),0)+IF(AND(('V06 Calend 01'!E6&gt;0),(164&gt;'V06 Calend 01'!C6),(164&lt;'V06 Calend 01'!D6),(MOD((164-'V06 Calend 01'!C6),6)=0),(((164-'V06 Calend 01'!C6)/6)&lt;='V06 Calend 01'!E6)),IF((164=('V06 Calend 01'!C6+(6*'V06 Calend 01'!E6))),('V06 Calend 01'!H6-('V06 Calend 01'!I6*('V06 Calend 01'!E6-1))),'V06 Calend 01'!I6),0))+IF((164='V06 Calend 01'!D6),'V06 Calend 01'!J6,0))</f>
        <v>0</v>
      </c>
      <c r="FU6" s="2">
        <f>((IF((165='V06 Calend 01'!C6),('V06 Calend 01'!F6+'V06 Calend 01'!G6),0)+IF(AND(('V06 Calend 01'!E6&gt;0),(165&gt;'V06 Calend 01'!C6),(165&lt;'V06 Calend 01'!D6),(MOD((165-'V06 Calend 01'!C6),6)=0),(((165-'V06 Calend 01'!C6)/6)&lt;='V06 Calend 01'!E6)),IF((165=('V06 Calend 01'!C6+(6*'V06 Calend 01'!E6))),('V06 Calend 01'!H6-('V06 Calend 01'!I6*('V06 Calend 01'!E6-1))),'V06 Calend 01'!I6),0))+IF((165='V06 Calend 01'!D6),'V06 Calend 01'!J6,0))</f>
        <v>0</v>
      </c>
      <c r="FV6" s="2">
        <f>((IF((166='V06 Calend 01'!C6),('V06 Calend 01'!F6+'V06 Calend 01'!G6),0)+IF(AND(('V06 Calend 01'!E6&gt;0),(166&gt;'V06 Calend 01'!C6),(166&lt;'V06 Calend 01'!D6),(MOD((166-'V06 Calend 01'!C6),6)=0),(((166-'V06 Calend 01'!C6)/6)&lt;='V06 Calend 01'!E6)),IF((166=('V06 Calend 01'!C6+(6*'V06 Calend 01'!E6))),('V06 Calend 01'!H6-('V06 Calend 01'!I6*('V06 Calend 01'!E6-1))),'V06 Calend 01'!I6),0))+IF((166='V06 Calend 01'!D6),'V06 Calend 01'!J6,0))</f>
        <v>0</v>
      </c>
      <c r="FW6" s="2">
        <f>((IF((167='V06 Calend 01'!C6),('V06 Calend 01'!F6+'V06 Calend 01'!G6),0)+IF(AND(('V06 Calend 01'!E6&gt;0),(167&gt;'V06 Calend 01'!C6),(167&lt;'V06 Calend 01'!D6),(MOD((167-'V06 Calend 01'!C6),6)=0),(((167-'V06 Calend 01'!C6)/6)&lt;='V06 Calend 01'!E6)),IF((167=('V06 Calend 01'!C6+(6*'V06 Calend 01'!E6))),('V06 Calend 01'!H6-('V06 Calend 01'!I6*('V06 Calend 01'!E6-1))),'V06 Calend 01'!I6),0))+IF((167='V06 Calend 01'!D6),'V06 Calend 01'!J6,0))</f>
        <v>0</v>
      </c>
      <c r="FX6" s="2">
        <f>((IF((168='V06 Calend 01'!C6),('V06 Calend 01'!F6+'V06 Calend 01'!G6),0)+IF(AND(('V06 Calend 01'!E6&gt;0),(168&gt;'V06 Calend 01'!C6),(168&lt;'V06 Calend 01'!D6),(MOD((168-'V06 Calend 01'!C6),6)=0),(((168-'V06 Calend 01'!C6)/6)&lt;='V06 Calend 01'!E6)),IF((168=('V06 Calend 01'!C6+(6*'V06 Calend 01'!E6))),('V06 Calend 01'!H6-('V06 Calend 01'!I6*('V06 Calend 01'!E6-1))),'V06 Calend 01'!I6),0))+IF((168='V06 Calend 01'!D6),'V06 Calend 01'!J6,0))</f>
        <v>0</v>
      </c>
      <c r="FY6" s="2">
        <f>((IF((169='V06 Calend 01'!C6),('V06 Calend 01'!F6+'V06 Calend 01'!G6),0)+IF(AND(('V06 Calend 01'!E6&gt;0),(169&gt;'V06 Calend 01'!C6),(169&lt;'V06 Calend 01'!D6),(MOD((169-'V06 Calend 01'!C6),6)=0),(((169-'V06 Calend 01'!C6)/6)&lt;='V06 Calend 01'!E6)),IF((169=('V06 Calend 01'!C6+(6*'V06 Calend 01'!E6))),('V06 Calend 01'!H6-('V06 Calend 01'!I6*('V06 Calend 01'!E6-1))),'V06 Calend 01'!I6),0))+IF((169='V06 Calend 01'!D6),'V06 Calend 01'!J6,0))</f>
        <v>0</v>
      </c>
      <c r="FZ6" s="2">
        <f>((IF((170='V06 Calend 01'!C6),('V06 Calend 01'!F6+'V06 Calend 01'!G6),0)+IF(AND(('V06 Calend 01'!E6&gt;0),(170&gt;'V06 Calend 01'!C6),(170&lt;'V06 Calend 01'!D6),(MOD((170-'V06 Calend 01'!C6),6)=0),(((170-'V06 Calend 01'!C6)/6)&lt;='V06 Calend 01'!E6)),IF((170=('V06 Calend 01'!C6+(6*'V06 Calend 01'!E6))),('V06 Calend 01'!H6-('V06 Calend 01'!I6*('V06 Calend 01'!E6-1))),'V06 Calend 01'!I6),0))+IF((170='V06 Calend 01'!D6),'V06 Calend 01'!J6,0))</f>
        <v>0</v>
      </c>
      <c r="GA6" s="2">
        <f>((IF((171='V06 Calend 01'!C6),('V06 Calend 01'!F6+'V06 Calend 01'!G6),0)+IF(AND(('V06 Calend 01'!E6&gt;0),(171&gt;'V06 Calend 01'!C6),(171&lt;'V06 Calend 01'!D6),(MOD((171-'V06 Calend 01'!C6),6)=0),(((171-'V06 Calend 01'!C6)/6)&lt;='V06 Calend 01'!E6)),IF((171=('V06 Calend 01'!C6+(6*'V06 Calend 01'!E6))),('V06 Calend 01'!H6-('V06 Calend 01'!I6*('V06 Calend 01'!E6-1))),'V06 Calend 01'!I6),0))+IF((171='V06 Calend 01'!D6),'V06 Calend 01'!J6,0))</f>
        <v>0</v>
      </c>
      <c r="GB6" s="2">
        <f>((IF((172='V06 Calend 01'!C6),('V06 Calend 01'!F6+'V06 Calend 01'!G6),0)+IF(AND(('V06 Calend 01'!E6&gt;0),(172&gt;'V06 Calend 01'!C6),(172&lt;'V06 Calend 01'!D6),(MOD((172-'V06 Calend 01'!C6),6)=0),(((172-'V06 Calend 01'!C6)/6)&lt;='V06 Calend 01'!E6)),IF((172=('V06 Calend 01'!C6+(6*'V06 Calend 01'!E6))),('V06 Calend 01'!H6-('V06 Calend 01'!I6*('V06 Calend 01'!E6-1))),'V06 Calend 01'!I6),0))+IF((172='V06 Calend 01'!D6),'V06 Calend 01'!J6,0))</f>
        <v>0</v>
      </c>
      <c r="GC6" s="2">
        <f>((IF((173='V06 Calend 01'!C6),('V06 Calend 01'!F6+'V06 Calend 01'!G6),0)+IF(AND(('V06 Calend 01'!E6&gt;0),(173&gt;'V06 Calend 01'!C6),(173&lt;'V06 Calend 01'!D6),(MOD((173-'V06 Calend 01'!C6),6)=0),(((173-'V06 Calend 01'!C6)/6)&lt;='V06 Calend 01'!E6)),IF((173=('V06 Calend 01'!C6+(6*'V06 Calend 01'!E6))),('V06 Calend 01'!H6-('V06 Calend 01'!I6*('V06 Calend 01'!E6-1))),'V06 Calend 01'!I6),0))+IF((173='V06 Calend 01'!D6),'V06 Calend 01'!J6,0))</f>
        <v>0</v>
      </c>
      <c r="GD6" s="2">
        <f>((IF((174='V06 Calend 01'!C6),('V06 Calend 01'!F6+'V06 Calend 01'!G6),0)+IF(AND(('V06 Calend 01'!E6&gt;0),(174&gt;'V06 Calend 01'!C6),(174&lt;'V06 Calend 01'!D6),(MOD((174-'V06 Calend 01'!C6),6)=0),(((174-'V06 Calend 01'!C6)/6)&lt;='V06 Calend 01'!E6)),IF((174=('V06 Calend 01'!C6+(6*'V06 Calend 01'!E6))),('V06 Calend 01'!H6-('V06 Calend 01'!I6*('V06 Calend 01'!E6-1))),'V06 Calend 01'!I6),0))+IF((174='V06 Calend 01'!D6),'V06 Calend 01'!J6,0))</f>
        <v>0</v>
      </c>
      <c r="GE6" s="2">
        <f>((IF((175='V06 Calend 01'!C6),('V06 Calend 01'!F6+'V06 Calend 01'!G6),0)+IF(AND(('V06 Calend 01'!E6&gt;0),(175&gt;'V06 Calend 01'!C6),(175&lt;'V06 Calend 01'!D6),(MOD((175-'V06 Calend 01'!C6),6)=0),(((175-'V06 Calend 01'!C6)/6)&lt;='V06 Calend 01'!E6)),IF((175=('V06 Calend 01'!C6+(6*'V06 Calend 01'!E6))),('V06 Calend 01'!H6-('V06 Calend 01'!I6*('V06 Calend 01'!E6-1))),'V06 Calend 01'!I6),0))+IF((175='V06 Calend 01'!D6),'V06 Calend 01'!J6,0))</f>
        <v>0</v>
      </c>
      <c r="GF6" s="2">
        <f>((IF((176='V06 Calend 01'!C6),('V06 Calend 01'!F6+'V06 Calend 01'!G6),0)+IF(AND(('V06 Calend 01'!E6&gt;0),(176&gt;'V06 Calend 01'!C6),(176&lt;'V06 Calend 01'!D6),(MOD((176-'V06 Calend 01'!C6),6)=0),(((176-'V06 Calend 01'!C6)/6)&lt;='V06 Calend 01'!E6)),IF((176=('V06 Calend 01'!C6+(6*'V06 Calend 01'!E6))),('V06 Calend 01'!H6-('V06 Calend 01'!I6*('V06 Calend 01'!E6-1))),'V06 Calend 01'!I6),0))+IF((176='V06 Calend 01'!D6),'V06 Calend 01'!J6,0))</f>
        <v>0</v>
      </c>
      <c r="GG6" s="2">
        <f>((IF((177='V06 Calend 01'!C6),('V06 Calend 01'!F6+'V06 Calend 01'!G6),0)+IF(AND(('V06 Calend 01'!E6&gt;0),(177&gt;'V06 Calend 01'!C6),(177&lt;'V06 Calend 01'!D6),(MOD((177-'V06 Calend 01'!C6),6)=0),(((177-'V06 Calend 01'!C6)/6)&lt;='V06 Calend 01'!E6)),IF((177=('V06 Calend 01'!C6+(6*'V06 Calend 01'!E6))),('V06 Calend 01'!H6-('V06 Calend 01'!I6*('V06 Calend 01'!E6-1))),'V06 Calend 01'!I6),0))+IF((177='V06 Calend 01'!D6),'V06 Calend 01'!J6,0))</f>
        <v>0</v>
      </c>
      <c r="GH6" s="2">
        <f>((IF((178='V06 Calend 01'!C6),('V06 Calend 01'!F6+'V06 Calend 01'!G6),0)+IF(AND(('V06 Calend 01'!E6&gt;0),(178&gt;'V06 Calend 01'!C6),(178&lt;'V06 Calend 01'!D6),(MOD((178-'V06 Calend 01'!C6),6)=0),(((178-'V06 Calend 01'!C6)/6)&lt;='V06 Calend 01'!E6)),IF((178=('V06 Calend 01'!C6+(6*'V06 Calend 01'!E6))),('V06 Calend 01'!H6-('V06 Calend 01'!I6*('V06 Calend 01'!E6-1))),'V06 Calend 01'!I6),0))+IF((178='V06 Calend 01'!D6),'V06 Calend 01'!J6,0))</f>
        <v>0</v>
      </c>
      <c r="GI6" s="2">
        <f>((IF((179='V06 Calend 01'!C6),('V06 Calend 01'!F6+'V06 Calend 01'!G6),0)+IF(AND(('V06 Calend 01'!E6&gt;0),(179&gt;'V06 Calend 01'!C6),(179&lt;'V06 Calend 01'!D6),(MOD((179-'V06 Calend 01'!C6),6)=0),(((179-'V06 Calend 01'!C6)/6)&lt;='V06 Calend 01'!E6)),IF((179=('V06 Calend 01'!C6+(6*'V06 Calend 01'!E6))),('V06 Calend 01'!H6-('V06 Calend 01'!I6*('V06 Calend 01'!E6-1))),'V06 Calend 01'!I6),0))+IF((179='V06 Calend 01'!D6),'V06 Calend 01'!J6,0))</f>
        <v>0</v>
      </c>
      <c r="GJ6" s="2">
        <f>((IF((180='V06 Calend 01'!C6),('V06 Calend 01'!F6+'V06 Calend 01'!G6),0)+IF(AND(('V06 Calend 01'!E6&gt;0),(180&gt;'V06 Calend 01'!C6),(180&lt;'V06 Calend 01'!D6),(MOD((180-'V06 Calend 01'!C6),6)=0),(((180-'V06 Calend 01'!C6)/6)&lt;='V06 Calend 01'!E6)),IF((180=('V06 Calend 01'!C6+(6*'V06 Calend 01'!E6))),('V06 Calend 01'!H6-('V06 Calend 01'!I6*('V06 Calend 01'!E6-1))),'V06 Calend 01'!I6),0))+IF((180='V06 Calend 01'!D6),'V06 Calend 01'!J6,0))</f>
        <v>0</v>
      </c>
    </row>
    <row r="7" spans="1:192">
      <c r="A7" s="3" t="str">
        <f>'V06 Unidades'!$A$7</f>
        <v>203</v>
      </c>
      <c r="B7" s="2">
        <f>'V06 Unidades'!$H$7</f>
        <v>253000</v>
      </c>
      <c r="C7" s="4">
        <f>('V06 Unidades'!$I$7+'V06 Controlos'!$B$37)</f>
        <v>1</v>
      </c>
      <c r="D7" s="4">
        <f>IF(('V06 Controlos'!$B$38&gt;0),MAX(('V06 Unidades'!$L$7+'V06 Controlos'!$B$37),(30+'V06 Controlos'!$B$38)),('V06 Unidades'!$L$7+'V06 Controlos'!$B$37))</f>
        <v>30</v>
      </c>
      <c r="E7" s="4">
        <f>MAX(0,INT(((('V06 Calend 01'!D7-'V06 Calend 01'!C7)-1)/6)))</f>
        <v>4</v>
      </c>
      <c r="F7" s="2">
        <f>ROUND(('V06 Calend 01'!B7*0.05),2)</f>
        <v>12650.0</v>
      </c>
      <c r="G7" s="2">
        <f>ROUND(('V06 Calend 01'!B7*0.2),2)</f>
        <v>50600.0</v>
      </c>
      <c r="H7" s="2">
        <f>ROUND(('V06 Calend 01'!B7*0.55),2)</f>
        <v>139150.0</v>
      </c>
      <c r="I7" s="2">
        <f>ROUND(('V06 Calend 01'!H7/MAX(1,'V06 Calend 01'!E7)),2)</f>
        <v>34787.5</v>
      </c>
      <c r="J7" s="2">
        <f>((('V06 Calend 01'!B7-'V06 Calend 01'!F7)-'V06 Calend 01'!G7)-'V06 Calend 01'!H7)</f>
        <v>50600.0</v>
      </c>
      <c r="K7" s="2">
        <f>('V06 Calend 01'!B7*0.025)</f>
        <v>6325.0</v>
      </c>
      <c r="L7" t="s">
        <v>378</v>
      </c>
      <c r="M7" s="2">
        <f>((IF((1='V06 Calend 01'!C7),('V06 Calend 01'!F7+'V06 Calend 01'!G7),0)+IF(AND(('V06 Calend 01'!E7&gt;0),(1&gt;'V06 Calend 01'!C7),(1&lt;'V06 Calend 01'!D7),(MOD((1-'V06 Calend 01'!C7),6)=0),(((1-'V06 Calend 01'!C7)/6)&lt;='V06 Calend 01'!E7)),IF((1=('V06 Calend 01'!C7+(6*'V06 Calend 01'!E7))),('V06 Calend 01'!H7-('V06 Calend 01'!I7*('V06 Calend 01'!E7-1))),'V06 Calend 01'!I7),0))+IF((1='V06 Calend 01'!D7),'V06 Calend 01'!J7,0))</f>
        <v>63250.0</v>
      </c>
      <c r="N7" s="2">
        <f>((IF((2='V06 Calend 01'!C7),('V06 Calend 01'!F7+'V06 Calend 01'!G7),0)+IF(AND(('V06 Calend 01'!E7&gt;0),(2&gt;'V06 Calend 01'!C7),(2&lt;'V06 Calend 01'!D7),(MOD((2-'V06 Calend 01'!C7),6)=0),(((2-'V06 Calend 01'!C7)/6)&lt;='V06 Calend 01'!E7)),IF((2=('V06 Calend 01'!C7+(6*'V06 Calend 01'!E7))),('V06 Calend 01'!H7-('V06 Calend 01'!I7*('V06 Calend 01'!E7-1))),'V06 Calend 01'!I7),0))+IF((2='V06 Calend 01'!D7),'V06 Calend 01'!J7,0))</f>
        <v>0</v>
      </c>
      <c r="O7" s="2">
        <f>((IF((3='V06 Calend 01'!C7),('V06 Calend 01'!F7+'V06 Calend 01'!G7),0)+IF(AND(('V06 Calend 01'!E7&gt;0),(3&gt;'V06 Calend 01'!C7),(3&lt;'V06 Calend 01'!D7),(MOD((3-'V06 Calend 01'!C7),6)=0),(((3-'V06 Calend 01'!C7)/6)&lt;='V06 Calend 01'!E7)),IF((3=('V06 Calend 01'!C7+(6*'V06 Calend 01'!E7))),('V06 Calend 01'!H7-('V06 Calend 01'!I7*('V06 Calend 01'!E7-1))),'V06 Calend 01'!I7),0))+IF((3='V06 Calend 01'!D7),'V06 Calend 01'!J7,0))</f>
        <v>0</v>
      </c>
      <c r="P7" s="2">
        <f>((IF((4='V06 Calend 01'!C7),('V06 Calend 01'!F7+'V06 Calend 01'!G7),0)+IF(AND(('V06 Calend 01'!E7&gt;0),(4&gt;'V06 Calend 01'!C7),(4&lt;'V06 Calend 01'!D7),(MOD((4-'V06 Calend 01'!C7),6)=0),(((4-'V06 Calend 01'!C7)/6)&lt;='V06 Calend 01'!E7)),IF((4=('V06 Calend 01'!C7+(6*'V06 Calend 01'!E7))),('V06 Calend 01'!H7-('V06 Calend 01'!I7*('V06 Calend 01'!E7-1))),'V06 Calend 01'!I7),0))+IF((4='V06 Calend 01'!D7),'V06 Calend 01'!J7,0))</f>
        <v>0</v>
      </c>
      <c r="Q7" s="2">
        <f>((IF((5='V06 Calend 01'!C7),('V06 Calend 01'!F7+'V06 Calend 01'!G7),0)+IF(AND(('V06 Calend 01'!E7&gt;0),(5&gt;'V06 Calend 01'!C7),(5&lt;'V06 Calend 01'!D7),(MOD((5-'V06 Calend 01'!C7),6)=0),(((5-'V06 Calend 01'!C7)/6)&lt;='V06 Calend 01'!E7)),IF((5=('V06 Calend 01'!C7+(6*'V06 Calend 01'!E7))),('V06 Calend 01'!H7-('V06 Calend 01'!I7*('V06 Calend 01'!E7-1))),'V06 Calend 01'!I7),0))+IF((5='V06 Calend 01'!D7),'V06 Calend 01'!J7,0))</f>
        <v>0</v>
      </c>
      <c r="R7" s="2">
        <f>((IF((6='V06 Calend 01'!C7),('V06 Calend 01'!F7+'V06 Calend 01'!G7),0)+IF(AND(('V06 Calend 01'!E7&gt;0),(6&gt;'V06 Calend 01'!C7),(6&lt;'V06 Calend 01'!D7),(MOD((6-'V06 Calend 01'!C7),6)=0),(((6-'V06 Calend 01'!C7)/6)&lt;='V06 Calend 01'!E7)),IF((6=('V06 Calend 01'!C7+(6*'V06 Calend 01'!E7))),('V06 Calend 01'!H7-('V06 Calend 01'!I7*('V06 Calend 01'!E7-1))),'V06 Calend 01'!I7),0))+IF((6='V06 Calend 01'!D7),'V06 Calend 01'!J7,0))</f>
        <v>0</v>
      </c>
      <c r="S7" s="2">
        <f>((IF((7='V06 Calend 01'!C7),('V06 Calend 01'!F7+'V06 Calend 01'!G7),0)+IF(AND(('V06 Calend 01'!E7&gt;0),(7&gt;'V06 Calend 01'!C7),(7&lt;'V06 Calend 01'!D7),(MOD((7-'V06 Calend 01'!C7),6)=0),(((7-'V06 Calend 01'!C7)/6)&lt;='V06 Calend 01'!E7)),IF((7=('V06 Calend 01'!C7+(6*'V06 Calend 01'!E7))),('V06 Calend 01'!H7-('V06 Calend 01'!I7*('V06 Calend 01'!E7-1))),'V06 Calend 01'!I7),0))+IF((7='V06 Calend 01'!D7),'V06 Calend 01'!J7,0))</f>
        <v>34787.5</v>
      </c>
      <c r="T7" s="2">
        <f>((IF((8='V06 Calend 01'!C7),('V06 Calend 01'!F7+'V06 Calend 01'!G7),0)+IF(AND(('V06 Calend 01'!E7&gt;0),(8&gt;'V06 Calend 01'!C7),(8&lt;'V06 Calend 01'!D7),(MOD((8-'V06 Calend 01'!C7),6)=0),(((8-'V06 Calend 01'!C7)/6)&lt;='V06 Calend 01'!E7)),IF((8=('V06 Calend 01'!C7+(6*'V06 Calend 01'!E7))),('V06 Calend 01'!H7-('V06 Calend 01'!I7*('V06 Calend 01'!E7-1))),'V06 Calend 01'!I7),0))+IF((8='V06 Calend 01'!D7),'V06 Calend 01'!J7,0))</f>
        <v>0</v>
      </c>
      <c r="U7" s="2">
        <f>((IF((9='V06 Calend 01'!C7),('V06 Calend 01'!F7+'V06 Calend 01'!G7),0)+IF(AND(('V06 Calend 01'!E7&gt;0),(9&gt;'V06 Calend 01'!C7),(9&lt;'V06 Calend 01'!D7),(MOD((9-'V06 Calend 01'!C7),6)=0),(((9-'V06 Calend 01'!C7)/6)&lt;='V06 Calend 01'!E7)),IF((9=('V06 Calend 01'!C7+(6*'V06 Calend 01'!E7))),('V06 Calend 01'!H7-('V06 Calend 01'!I7*('V06 Calend 01'!E7-1))),'V06 Calend 01'!I7),0))+IF((9='V06 Calend 01'!D7),'V06 Calend 01'!J7,0))</f>
        <v>0</v>
      </c>
      <c r="V7" s="2">
        <f>((IF((10='V06 Calend 01'!C7),('V06 Calend 01'!F7+'V06 Calend 01'!G7),0)+IF(AND(('V06 Calend 01'!E7&gt;0),(10&gt;'V06 Calend 01'!C7),(10&lt;'V06 Calend 01'!D7),(MOD((10-'V06 Calend 01'!C7),6)=0),(((10-'V06 Calend 01'!C7)/6)&lt;='V06 Calend 01'!E7)),IF((10=('V06 Calend 01'!C7+(6*'V06 Calend 01'!E7))),('V06 Calend 01'!H7-('V06 Calend 01'!I7*('V06 Calend 01'!E7-1))),'V06 Calend 01'!I7),0))+IF((10='V06 Calend 01'!D7),'V06 Calend 01'!J7,0))</f>
        <v>0</v>
      </c>
      <c r="W7" s="2">
        <f>((IF((11='V06 Calend 01'!C7),('V06 Calend 01'!F7+'V06 Calend 01'!G7),0)+IF(AND(('V06 Calend 01'!E7&gt;0),(11&gt;'V06 Calend 01'!C7),(11&lt;'V06 Calend 01'!D7),(MOD((11-'V06 Calend 01'!C7),6)=0),(((11-'V06 Calend 01'!C7)/6)&lt;='V06 Calend 01'!E7)),IF((11=('V06 Calend 01'!C7+(6*'V06 Calend 01'!E7))),('V06 Calend 01'!H7-('V06 Calend 01'!I7*('V06 Calend 01'!E7-1))),'V06 Calend 01'!I7),0))+IF((11='V06 Calend 01'!D7),'V06 Calend 01'!J7,0))</f>
        <v>0</v>
      </c>
      <c r="X7" s="2">
        <f>((IF((12='V06 Calend 01'!C7),('V06 Calend 01'!F7+'V06 Calend 01'!G7),0)+IF(AND(('V06 Calend 01'!E7&gt;0),(12&gt;'V06 Calend 01'!C7),(12&lt;'V06 Calend 01'!D7),(MOD((12-'V06 Calend 01'!C7),6)=0),(((12-'V06 Calend 01'!C7)/6)&lt;='V06 Calend 01'!E7)),IF((12=('V06 Calend 01'!C7+(6*'V06 Calend 01'!E7))),('V06 Calend 01'!H7-('V06 Calend 01'!I7*('V06 Calend 01'!E7-1))),'V06 Calend 01'!I7),0))+IF((12='V06 Calend 01'!D7),'V06 Calend 01'!J7,0))</f>
        <v>0</v>
      </c>
      <c r="Y7" s="2">
        <f>((IF((13='V06 Calend 01'!C7),('V06 Calend 01'!F7+'V06 Calend 01'!G7),0)+IF(AND(('V06 Calend 01'!E7&gt;0),(13&gt;'V06 Calend 01'!C7),(13&lt;'V06 Calend 01'!D7),(MOD((13-'V06 Calend 01'!C7),6)=0),(((13-'V06 Calend 01'!C7)/6)&lt;='V06 Calend 01'!E7)),IF((13=('V06 Calend 01'!C7+(6*'V06 Calend 01'!E7))),('V06 Calend 01'!H7-('V06 Calend 01'!I7*('V06 Calend 01'!E7-1))),'V06 Calend 01'!I7),0))+IF((13='V06 Calend 01'!D7),'V06 Calend 01'!J7,0))</f>
        <v>34787.5</v>
      </c>
      <c r="Z7" s="2">
        <f>((IF((14='V06 Calend 01'!C7),('V06 Calend 01'!F7+'V06 Calend 01'!G7),0)+IF(AND(('V06 Calend 01'!E7&gt;0),(14&gt;'V06 Calend 01'!C7),(14&lt;'V06 Calend 01'!D7),(MOD((14-'V06 Calend 01'!C7),6)=0),(((14-'V06 Calend 01'!C7)/6)&lt;='V06 Calend 01'!E7)),IF((14=('V06 Calend 01'!C7+(6*'V06 Calend 01'!E7))),('V06 Calend 01'!H7-('V06 Calend 01'!I7*('V06 Calend 01'!E7-1))),'V06 Calend 01'!I7),0))+IF((14='V06 Calend 01'!D7),'V06 Calend 01'!J7,0))</f>
        <v>0</v>
      </c>
      <c r="AA7" s="2">
        <f>((IF((15='V06 Calend 01'!C7),('V06 Calend 01'!F7+'V06 Calend 01'!G7),0)+IF(AND(('V06 Calend 01'!E7&gt;0),(15&gt;'V06 Calend 01'!C7),(15&lt;'V06 Calend 01'!D7),(MOD((15-'V06 Calend 01'!C7),6)=0),(((15-'V06 Calend 01'!C7)/6)&lt;='V06 Calend 01'!E7)),IF((15=('V06 Calend 01'!C7+(6*'V06 Calend 01'!E7))),('V06 Calend 01'!H7-('V06 Calend 01'!I7*('V06 Calend 01'!E7-1))),'V06 Calend 01'!I7),0))+IF((15='V06 Calend 01'!D7),'V06 Calend 01'!J7,0))</f>
        <v>0</v>
      </c>
      <c r="AB7" s="2">
        <f>((IF((16='V06 Calend 01'!C7),('V06 Calend 01'!F7+'V06 Calend 01'!G7),0)+IF(AND(('V06 Calend 01'!E7&gt;0),(16&gt;'V06 Calend 01'!C7),(16&lt;'V06 Calend 01'!D7),(MOD((16-'V06 Calend 01'!C7),6)=0),(((16-'V06 Calend 01'!C7)/6)&lt;='V06 Calend 01'!E7)),IF((16=('V06 Calend 01'!C7+(6*'V06 Calend 01'!E7))),('V06 Calend 01'!H7-('V06 Calend 01'!I7*('V06 Calend 01'!E7-1))),'V06 Calend 01'!I7),0))+IF((16='V06 Calend 01'!D7),'V06 Calend 01'!J7,0))</f>
        <v>0</v>
      </c>
      <c r="AC7" s="2">
        <f>((IF((17='V06 Calend 01'!C7),('V06 Calend 01'!F7+'V06 Calend 01'!G7),0)+IF(AND(('V06 Calend 01'!E7&gt;0),(17&gt;'V06 Calend 01'!C7),(17&lt;'V06 Calend 01'!D7),(MOD((17-'V06 Calend 01'!C7),6)=0),(((17-'V06 Calend 01'!C7)/6)&lt;='V06 Calend 01'!E7)),IF((17=('V06 Calend 01'!C7+(6*'V06 Calend 01'!E7))),('V06 Calend 01'!H7-('V06 Calend 01'!I7*('V06 Calend 01'!E7-1))),'V06 Calend 01'!I7),0))+IF((17='V06 Calend 01'!D7),'V06 Calend 01'!J7,0))</f>
        <v>0</v>
      </c>
      <c r="AD7" s="2">
        <f>((IF((18='V06 Calend 01'!C7),('V06 Calend 01'!F7+'V06 Calend 01'!G7),0)+IF(AND(('V06 Calend 01'!E7&gt;0),(18&gt;'V06 Calend 01'!C7),(18&lt;'V06 Calend 01'!D7),(MOD((18-'V06 Calend 01'!C7),6)=0),(((18-'V06 Calend 01'!C7)/6)&lt;='V06 Calend 01'!E7)),IF((18=('V06 Calend 01'!C7+(6*'V06 Calend 01'!E7))),('V06 Calend 01'!H7-('V06 Calend 01'!I7*('V06 Calend 01'!E7-1))),'V06 Calend 01'!I7),0))+IF((18='V06 Calend 01'!D7),'V06 Calend 01'!J7,0))</f>
        <v>0</v>
      </c>
      <c r="AE7" s="2">
        <f>((IF((19='V06 Calend 01'!C7),('V06 Calend 01'!F7+'V06 Calend 01'!G7),0)+IF(AND(('V06 Calend 01'!E7&gt;0),(19&gt;'V06 Calend 01'!C7),(19&lt;'V06 Calend 01'!D7),(MOD((19-'V06 Calend 01'!C7),6)=0),(((19-'V06 Calend 01'!C7)/6)&lt;='V06 Calend 01'!E7)),IF((19=('V06 Calend 01'!C7+(6*'V06 Calend 01'!E7))),('V06 Calend 01'!H7-('V06 Calend 01'!I7*('V06 Calend 01'!E7-1))),'V06 Calend 01'!I7),0))+IF((19='V06 Calend 01'!D7),'V06 Calend 01'!J7,0))</f>
        <v>34787.5</v>
      </c>
      <c r="AF7" s="2">
        <f>((IF((20='V06 Calend 01'!C7),('V06 Calend 01'!F7+'V06 Calend 01'!G7),0)+IF(AND(('V06 Calend 01'!E7&gt;0),(20&gt;'V06 Calend 01'!C7),(20&lt;'V06 Calend 01'!D7),(MOD((20-'V06 Calend 01'!C7),6)=0),(((20-'V06 Calend 01'!C7)/6)&lt;='V06 Calend 01'!E7)),IF((20=('V06 Calend 01'!C7+(6*'V06 Calend 01'!E7))),('V06 Calend 01'!H7-('V06 Calend 01'!I7*('V06 Calend 01'!E7-1))),'V06 Calend 01'!I7),0))+IF((20='V06 Calend 01'!D7),'V06 Calend 01'!J7,0))</f>
        <v>0</v>
      </c>
      <c r="AG7" s="2">
        <f>((IF((21='V06 Calend 01'!C7),('V06 Calend 01'!F7+'V06 Calend 01'!G7),0)+IF(AND(('V06 Calend 01'!E7&gt;0),(21&gt;'V06 Calend 01'!C7),(21&lt;'V06 Calend 01'!D7),(MOD((21-'V06 Calend 01'!C7),6)=0),(((21-'V06 Calend 01'!C7)/6)&lt;='V06 Calend 01'!E7)),IF((21=('V06 Calend 01'!C7+(6*'V06 Calend 01'!E7))),('V06 Calend 01'!H7-('V06 Calend 01'!I7*('V06 Calend 01'!E7-1))),'V06 Calend 01'!I7),0))+IF((21='V06 Calend 01'!D7),'V06 Calend 01'!J7,0))</f>
        <v>0</v>
      </c>
      <c r="AH7" s="2">
        <f>((IF((22='V06 Calend 01'!C7),('V06 Calend 01'!F7+'V06 Calend 01'!G7),0)+IF(AND(('V06 Calend 01'!E7&gt;0),(22&gt;'V06 Calend 01'!C7),(22&lt;'V06 Calend 01'!D7),(MOD((22-'V06 Calend 01'!C7),6)=0),(((22-'V06 Calend 01'!C7)/6)&lt;='V06 Calend 01'!E7)),IF((22=('V06 Calend 01'!C7+(6*'V06 Calend 01'!E7))),('V06 Calend 01'!H7-('V06 Calend 01'!I7*('V06 Calend 01'!E7-1))),'V06 Calend 01'!I7),0))+IF((22='V06 Calend 01'!D7),'V06 Calend 01'!J7,0))</f>
        <v>0</v>
      </c>
      <c r="AI7" s="2">
        <f>((IF((23='V06 Calend 01'!C7),('V06 Calend 01'!F7+'V06 Calend 01'!G7),0)+IF(AND(('V06 Calend 01'!E7&gt;0),(23&gt;'V06 Calend 01'!C7),(23&lt;'V06 Calend 01'!D7),(MOD((23-'V06 Calend 01'!C7),6)=0),(((23-'V06 Calend 01'!C7)/6)&lt;='V06 Calend 01'!E7)),IF((23=('V06 Calend 01'!C7+(6*'V06 Calend 01'!E7))),('V06 Calend 01'!H7-('V06 Calend 01'!I7*('V06 Calend 01'!E7-1))),'V06 Calend 01'!I7),0))+IF((23='V06 Calend 01'!D7),'V06 Calend 01'!J7,0))</f>
        <v>0</v>
      </c>
      <c r="AJ7" s="2">
        <f>((IF((24='V06 Calend 01'!C7),('V06 Calend 01'!F7+'V06 Calend 01'!G7),0)+IF(AND(('V06 Calend 01'!E7&gt;0),(24&gt;'V06 Calend 01'!C7),(24&lt;'V06 Calend 01'!D7),(MOD((24-'V06 Calend 01'!C7),6)=0),(((24-'V06 Calend 01'!C7)/6)&lt;='V06 Calend 01'!E7)),IF((24=('V06 Calend 01'!C7+(6*'V06 Calend 01'!E7))),('V06 Calend 01'!H7-('V06 Calend 01'!I7*('V06 Calend 01'!E7-1))),'V06 Calend 01'!I7),0))+IF((24='V06 Calend 01'!D7),'V06 Calend 01'!J7,0))</f>
        <v>0</v>
      </c>
      <c r="AK7" s="2">
        <f>((IF((25='V06 Calend 01'!C7),('V06 Calend 01'!F7+'V06 Calend 01'!G7),0)+IF(AND(('V06 Calend 01'!E7&gt;0),(25&gt;'V06 Calend 01'!C7),(25&lt;'V06 Calend 01'!D7),(MOD((25-'V06 Calend 01'!C7),6)=0),(((25-'V06 Calend 01'!C7)/6)&lt;='V06 Calend 01'!E7)),IF((25=('V06 Calend 01'!C7+(6*'V06 Calend 01'!E7))),('V06 Calend 01'!H7-('V06 Calend 01'!I7*('V06 Calend 01'!E7-1))),'V06 Calend 01'!I7),0))+IF((25='V06 Calend 01'!D7),'V06 Calend 01'!J7,0))</f>
        <v>34787.5</v>
      </c>
      <c r="AL7" s="2">
        <f>((IF((26='V06 Calend 01'!C7),('V06 Calend 01'!F7+'V06 Calend 01'!G7),0)+IF(AND(('V06 Calend 01'!E7&gt;0),(26&gt;'V06 Calend 01'!C7),(26&lt;'V06 Calend 01'!D7),(MOD((26-'V06 Calend 01'!C7),6)=0),(((26-'V06 Calend 01'!C7)/6)&lt;='V06 Calend 01'!E7)),IF((26=('V06 Calend 01'!C7+(6*'V06 Calend 01'!E7))),('V06 Calend 01'!H7-('V06 Calend 01'!I7*('V06 Calend 01'!E7-1))),'V06 Calend 01'!I7),0))+IF((26='V06 Calend 01'!D7),'V06 Calend 01'!J7,0))</f>
        <v>0</v>
      </c>
      <c r="AM7" s="2">
        <f>((IF((27='V06 Calend 01'!C7),('V06 Calend 01'!F7+'V06 Calend 01'!G7),0)+IF(AND(('V06 Calend 01'!E7&gt;0),(27&gt;'V06 Calend 01'!C7),(27&lt;'V06 Calend 01'!D7),(MOD((27-'V06 Calend 01'!C7),6)=0),(((27-'V06 Calend 01'!C7)/6)&lt;='V06 Calend 01'!E7)),IF((27=('V06 Calend 01'!C7+(6*'V06 Calend 01'!E7))),('V06 Calend 01'!H7-('V06 Calend 01'!I7*('V06 Calend 01'!E7-1))),'V06 Calend 01'!I7),0))+IF((27='V06 Calend 01'!D7),'V06 Calend 01'!J7,0))</f>
        <v>0</v>
      </c>
      <c r="AN7" s="2">
        <f>((IF((28='V06 Calend 01'!C7),('V06 Calend 01'!F7+'V06 Calend 01'!G7),0)+IF(AND(('V06 Calend 01'!E7&gt;0),(28&gt;'V06 Calend 01'!C7),(28&lt;'V06 Calend 01'!D7),(MOD((28-'V06 Calend 01'!C7),6)=0),(((28-'V06 Calend 01'!C7)/6)&lt;='V06 Calend 01'!E7)),IF((28=('V06 Calend 01'!C7+(6*'V06 Calend 01'!E7))),('V06 Calend 01'!H7-('V06 Calend 01'!I7*('V06 Calend 01'!E7-1))),'V06 Calend 01'!I7),0))+IF((28='V06 Calend 01'!D7),'V06 Calend 01'!J7,0))</f>
        <v>0</v>
      </c>
      <c r="AO7" s="2">
        <f>((IF((29='V06 Calend 01'!C7),('V06 Calend 01'!F7+'V06 Calend 01'!G7),0)+IF(AND(('V06 Calend 01'!E7&gt;0),(29&gt;'V06 Calend 01'!C7),(29&lt;'V06 Calend 01'!D7),(MOD((29-'V06 Calend 01'!C7),6)=0),(((29-'V06 Calend 01'!C7)/6)&lt;='V06 Calend 01'!E7)),IF((29=('V06 Calend 01'!C7+(6*'V06 Calend 01'!E7))),('V06 Calend 01'!H7-('V06 Calend 01'!I7*('V06 Calend 01'!E7-1))),'V06 Calend 01'!I7),0))+IF((29='V06 Calend 01'!D7),'V06 Calend 01'!J7,0))</f>
        <v>0</v>
      </c>
      <c r="AP7" s="2">
        <f>((IF((30='V06 Calend 01'!C7),('V06 Calend 01'!F7+'V06 Calend 01'!G7),0)+IF(AND(('V06 Calend 01'!E7&gt;0),(30&gt;'V06 Calend 01'!C7),(30&lt;'V06 Calend 01'!D7),(MOD((30-'V06 Calend 01'!C7),6)=0),(((30-'V06 Calend 01'!C7)/6)&lt;='V06 Calend 01'!E7)),IF((30=('V06 Calend 01'!C7+(6*'V06 Calend 01'!E7))),('V06 Calend 01'!H7-('V06 Calend 01'!I7*('V06 Calend 01'!E7-1))),'V06 Calend 01'!I7),0))+IF((30='V06 Calend 01'!D7),'V06 Calend 01'!J7,0))</f>
        <v>50600.0</v>
      </c>
      <c r="AQ7" s="2">
        <f>((IF((31='V06 Calend 01'!C7),('V06 Calend 01'!F7+'V06 Calend 01'!G7),0)+IF(AND(('V06 Calend 01'!E7&gt;0),(31&gt;'V06 Calend 01'!C7),(31&lt;'V06 Calend 01'!D7),(MOD((31-'V06 Calend 01'!C7),6)=0),(((31-'V06 Calend 01'!C7)/6)&lt;='V06 Calend 01'!E7)),IF((31=('V06 Calend 01'!C7+(6*'V06 Calend 01'!E7))),('V06 Calend 01'!H7-('V06 Calend 01'!I7*('V06 Calend 01'!E7-1))),'V06 Calend 01'!I7),0))+IF((31='V06 Calend 01'!D7),'V06 Calend 01'!J7,0))</f>
        <v>0</v>
      </c>
      <c r="AR7" s="2">
        <f>((IF((32='V06 Calend 01'!C7),('V06 Calend 01'!F7+'V06 Calend 01'!G7),0)+IF(AND(('V06 Calend 01'!E7&gt;0),(32&gt;'V06 Calend 01'!C7),(32&lt;'V06 Calend 01'!D7),(MOD((32-'V06 Calend 01'!C7),6)=0),(((32-'V06 Calend 01'!C7)/6)&lt;='V06 Calend 01'!E7)),IF((32=('V06 Calend 01'!C7+(6*'V06 Calend 01'!E7))),('V06 Calend 01'!H7-('V06 Calend 01'!I7*('V06 Calend 01'!E7-1))),'V06 Calend 01'!I7),0))+IF((32='V06 Calend 01'!D7),'V06 Calend 01'!J7,0))</f>
        <v>0</v>
      </c>
      <c r="AS7" s="2">
        <f>((IF((33='V06 Calend 01'!C7),('V06 Calend 01'!F7+'V06 Calend 01'!G7),0)+IF(AND(('V06 Calend 01'!E7&gt;0),(33&gt;'V06 Calend 01'!C7),(33&lt;'V06 Calend 01'!D7),(MOD((33-'V06 Calend 01'!C7),6)=0),(((33-'V06 Calend 01'!C7)/6)&lt;='V06 Calend 01'!E7)),IF((33=('V06 Calend 01'!C7+(6*'V06 Calend 01'!E7))),('V06 Calend 01'!H7-('V06 Calend 01'!I7*('V06 Calend 01'!E7-1))),'V06 Calend 01'!I7),0))+IF((33='V06 Calend 01'!D7),'V06 Calend 01'!J7,0))</f>
        <v>0</v>
      </c>
      <c r="AT7" s="2">
        <f>((IF((34='V06 Calend 01'!C7),('V06 Calend 01'!F7+'V06 Calend 01'!G7),0)+IF(AND(('V06 Calend 01'!E7&gt;0),(34&gt;'V06 Calend 01'!C7),(34&lt;'V06 Calend 01'!D7),(MOD((34-'V06 Calend 01'!C7),6)=0),(((34-'V06 Calend 01'!C7)/6)&lt;='V06 Calend 01'!E7)),IF((34=('V06 Calend 01'!C7+(6*'V06 Calend 01'!E7))),('V06 Calend 01'!H7-('V06 Calend 01'!I7*('V06 Calend 01'!E7-1))),'V06 Calend 01'!I7),0))+IF((34='V06 Calend 01'!D7),'V06 Calend 01'!J7,0))</f>
        <v>0</v>
      </c>
      <c r="AU7" s="2">
        <f>((IF((35='V06 Calend 01'!C7),('V06 Calend 01'!F7+'V06 Calend 01'!G7),0)+IF(AND(('V06 Calend 01'!E7&gt;0),(35&gt;'V06 Calend 01'!C7),(35&lt;'V06 Calend 01'!D7),(MOD((35-'V06 Calend 01'!C7),6)=0),(((35-'V06 Calend 01'!C7)/6)&lt;='V06 Calend 01'!E7)),IF((35=('V06 Calend 01'!C7+(6*'V06 Calend 01'!E7))),('V06 Calend 01'!H7-('V06 Calend 01'!I7*('V06 Calend 01'!E7-1))),'V06 Calend 01'!I7),0))+IF((35='V06 Calend 01'!D7),'V06 Calend 01'!J7,0))</f>
        <v>0</v>
      </c>
      <c r="AV7" s="2">
        <f>((IF((36='V06 Calend 01'!C7),('V06 Calend 01'!F7+'V06 Calend 01'!G7),0)+IF(AND(('V06 Calend 01'!E7&gt;0),(36&gt;'V06 Calend 01'!C7),(36&lt;'V06 Calend 01'!D7),(MOD((36-'V06 Calend 01'!C7),6)=0),(((36-'V06 Calend 01'!C7)/6)&lt;='V06 Calend 01'!E7)),IF((36=('V06 Calend 01'!C7+(6*'V06 Calend 01'!E7))),('V06 Calend 01'!H7-('V06 Calend 01'!I7*('V06 Calend 01'!E7-1))),'V06 Calend 01'!I7),0))+IF((36='V06 Calend 01'!D7),'V06 Calend 01'!J7,0))</f>
        <v>0</v>
      </c>
      <c r="AW7" s="2">
        <f>((IF((37='V06 Calend 01'!C7),('V06 Calend 01'!F7+'V06 Calend 01'!G7),0)+IF(AND(('V06 Calend 01'!E7&gt;0),(37&gt;'V06 Calend 01'!C7),(37&lt;'V06 Calend 01'!D7),(MOD((37-'V06 Calend 01'!C7),6)=0),(((37-'V06 Calend 01'!C7)/6)&lt;='V06 Calend 01'!E7)),IF((37=('V06 Calend 01'!C7+(6*'V06 Calend 01'!E7))),('V06 Calend 01'!H7-('V06 Calend 01'!I7*('V06 Calend 01'!E7-1))),'V06 Calend 01'!I7),0))+IF((37='V06 Calend 01'!D7),'V06 Calend 01'!J7,0))</f>
        <v>0</v>
      </c>
      <c r="AX7" s="2">
        <f>((IF((38='V06 Calend 01'!C7),('V06 Calend 01'!F7+'V06 Calend 01'!G7),0)+IF(AND(('V06 Calend 01'!E7&gt;0),(38&gt;'V06 Calend 01'!C7),(38&lt;'V06 Calend 01'!D7),(MOD((38-'V06 Calend 01'!C7),6)=0),(((38-'V06 Calend 01'!C7)/6)&lt;='V06 Calend 01'!E7)),IF((38=('V06 Calend 01'!C7+(6*'V06 Calend 01'!E7))),('V06 Calend 01'!H7-('V06 Calend 01'!I7*('V06 Calend 01'!E7-1))),'V06 Calend 01'!I7),0))+IF((38='V06 Calend 01'!D7),'V06 Calend 01'!J7,0))</f>
        <v>0</v>
      </c>
      <c r="AY7" s="2">
        <f>((IF((39='V06 Calend 01'!C7),('V06 Calend 01'!F7+'V06 Calend 01'!G7),0)+IF(AND(('V06 Calend 01'!E7&gt;0),(39&gt;'V06 Calend 01'!C7),(39&lt;'V06 Calend 01'!D7),(MOD((39-'V06 Calend 01'!C7),6)=0),(((39-'V06 Calend 01'!C7)/6)&lt;='V06 Calend 01'!E7)),IF((39=('V06 Calend 01'!C7+(6*'V06 Calend 01'!E7))),('V06 Calend 01'!H7-('V06 Calend 01'!I7*('V06 Calend 01'!E7-1))),'V06 Calend 01'!I7),0))+IF((39='V06 Calend 01'!D7),'V06 Calend 01'!J7,0))</f>
        <v>0</v>
      </c>
      <c r="AZ7" s="2">
        <f>((IF((40='V06 Calend 01'!C7),('V06 Calend 01'!F7+'V06 Calend 01'!G7),0)+IF(AND(('V06 Calend 01'!E7&gt;0),(40&gt;'V06 Calend 01'!C7),(40&lt;'V06 Calend 01'!D7),(MOD((40-'V06 Calend 01'!C7),6)=0),(((40-'V06 Calend 01'!C7)/6)&lt;='V06 Calend 01'!E7)),IF((40=('V06 Calend 01'!C7+(6*'V06 Calend 01'!E7))),('V06 Calend 01'!H7-('V06 Calend 01'!I7*('V06 Calend 01'!E7-1))),'V06 Calend 01'!I7),0))+IF((40='V06 Calend 01'!D7),'V06 Calend 01'!J7,0))</f>
        <v>0</v>
      </c>
      <c r="BA7" s="2">
        <f>((IF((41='V06 Calend 01'!C7),('V06 Calend 01'!F7+'V06 Calend 01'!G7),0)+IF(AND(('V06 Calend 01'!E7&gt;0),(41&gt;'V06 Calend 01'!C7),(41&lt;'V06 Calend 01'!D7),(MOD((41-'V06 Calend 01'!C7),6)=0),(((41-'V06 Calend 01'!C7)/6)&lt;='V06 Calend 01'!E7)),IF((41=('V06 Calend 01'!C7+(6*'V06 Calend 01'!E7))),('V06 Calend 01'!H7-('V06 Calend 01'!I7*('V06 Calend 01'!E7-1))),'V06 Calend 01'!I7),0))+IF((41='V06 Calend 01'!D7),'V06 Calend 01'!J7,0))</f>
        <v>0</v>
      </c>
      <c r="BB7" s="2">
        <f>((IF((42='V06 Calend 01'!C7),('V06 Calend 01'!F7+'V06 Calend 01'!G7),0)+IF(AND(('V06 Calend 01'!E7&gt;0),(42&gt;'V06 Calend 01'!C7),(42&lt;'V06 Calend 01'!D7),(MOD((42-'V06 Calend 01'!C7),6)=0),(((42-'V06 Calend 01'!C7)/6)&lt;='V06 Calend 01'!E7)),IF((42=('V06 Calend 01'!C7+(6*'V06 Calend 01'!E7))),('V06 Calend 01'!H7-('V06 Calend 01'!I7*('V06 Calend 01'!E7-1))),'V06 Calend 01'!I7),0))+IF((42='V06 Calend 01'!D7),'V06 Calend 01'!J7,0))</f>
        <v>0</v>
      </c>
      <c r="BC7" s="2">
        <f>((IF((43='V06 Calend 01'!C7),('V06 Calend 01'!F7+'V06 Calend 01'!G7),0)+IF(AND(('V06 Calend 01'!E7&gt;0),(43&gt;'V06 Calend 01'!C7),(43&lt;'V06 Calend 01'!D7),(MOD((43-'V06 Calend 01'!C7),6)=0),(((43-'V06 Calend 01'!C7)/6)&lt;='V06 Calend 01'!E7)),IF((43=('V06 Calend 01'!C7+(6*'V06 Calend 01'!E7))),('V06 Calend 01'!H7-('V06 Calend 01'!I7*('V06 Calend 01'!E7-1))),'V06 Calend 01'!I7),0))+IF((43='V06 Calend 01'!D7),'V06 Calend 01'!J7,0))</f>
        <v>0</v>
      </c>
      <c r="BD7" s="2">
        <f>((IF((44='V06 Calend 01'!C7),('V06 Calend 01'!F7+'V06 Calend 01'!G7),0)+IF(AND(('V06 Calend 01'!E7&gt;0),(44&gt;'V06 Calend 01'!C7),(44&lt;'V06 Calend 01'!D7),(MOD((44-'V06 Calend 01'!C7),6)=0),(((44-'V06 Calend 01'!C7)/6)&lt;='V06 Calend 01'!E7)),IF((44=('V06 Calend 01'!C7+(6*'V06 Calend 01'!E7))),('V06 Calend 01'!H7-('V06 Calend 01'!I7*('V06 Calend 01'!E7-1))),'V06 Calend 01'!I7),0))+IF((44='V06 Calend 01'!D7),'V06 Calend 01'!J7,0))</f>
        <v>0</v>
      </c>
      <c r="BE7" s="2">
        <f>((IF((45='V06 Calend 01'!C7),('V06 Calend 01'!F7+'V06 Calend 01'!G7),0)+IF(AND(('V06 Calend 01'!E7&gt;0),(45&gt;'V06 Calend 01'!C7),(45&lt;'V06 Calend 01'!D7),(MOD((45-'V06 Calend 01'!C7),6)=0),(((45-'V06 Calend 01'!C7)/6)&lt;='V06 Calend 01'!E7)),IF((45=('V06 Calend 01'!C7+(6*'V06 Calend 01'!E7))),('V06 Calend 01'!H7-('V06 Calend 01'!I7*('V06 Calend 01'!E7-1))),'V06 Calend 01'!I7),0))+IF((45='V06 Calend 01'!D7),'V06 Calend 01'!J7,0))</f>
        <v>0</v>
      </c>
      <c r="BF7" s="2">
        <f>((IF((46='V06 Calend 01'!C7),('V06 Calend 01'!F7+'V06 Calend 01'!G7),0)+IF(AND(('V06 Calend 01'!E7&gt;0),(46&gt;'V06 Calend 01'!C7),(46&lt;'V06 Calend 01'!D7),(MOD((46-'V06 Calend 01'!C7),6)=0),(((46-'V06 Calend 01'!C7)/6)&lt;='V06 Calend 01'!E7)),IF((46=('V06 Calend 01'!C7+(6*'V06 Calend 01'!E7))),('V06 Calend 01'!H7-('V06 Calend 01'!I7*('V06 Calend 01'!E7-1))),'V06 Calend 01'!I7),0))+IF((46='V06 Calend 01'!D7),'V06 Calend 01'!J7,0))</f>
        <v>0</v>
      </c>
      <c r="BG7" s="2">
        <f>((IF((47='V06 Calend 01'!C7),('V06 Calend 01'!F7+'V06 Calend 01'!G7),0)+IF(AND(('V06 Calend 01'!E7&gt;0),(47&gt;'V06 Calend 01'!C7),(47&lt;'V06 Calend 01'!D7),(MOD((47-'V06 Calend 01'!C7),6)=0),(((47-'V06 Calend 01'!C7)/6)&lt;='V06 Calend 01'!E7)),IF((47=('V06 Calend 01'!C7+(6*'V06 Calend 01'!E7))),('V06 Calend 01'!H7-('V06 Calend 01'!I7*('V06 Calend 01'!E7-1))),'V06 Calend 01'!I7),0))+IF((47='V06 Calend 01'!D7),'V06 Calend 01'!J7,0))</f>
        <v>0</v>
      </c>
      <c r="BH7" s="2">
        <f>((IF((48='V06 Calend 01'!C7),('V06 Calend 01'!F7+'V06 Calend 01'!G7),0)+IF(AND(('V06 Calend 01'!E7&gt;0),(48&gt;'V06 Calend 01'!C7),(48&lt;'V06 Calend 01'!D7),(MOD((48-'V06 Calend 01'!C7),6)=0),(((48-'V06 Calend 01'!C7)/6)&lt;='V06 Calend 01'!E7)),IF((48=('V06 Calend 01'!C7+(6*'V06 Calend 01'!E7))),('V06 Calend 01'!H7-('V06 Calend 01'!I7*('V06 Calend 01'!E7-1))),'V06 Calend 01'!I7),0))+IF((48='V06 Calend 01'!D7),'V06 Calend 01'!J7,0))</f>
        <v>0</v>
      </c>
      <c r="BI7" s="2">
        <f>((IF((49='V06 Calend 01'!C7),('V06 Calend 01'!F7+'V06 Calend 01'!G7),0)+IF(AND(('V06 Calend 01'!E7&gt;0),(49&gt;'V06 Calend 01'!C7),(49&lt;'V06 Calend 01'!D7),(MOD((49-'V06 Calend 01'!C7),6)=0),(((49-'V06 Calend 01'!C7)/6)&lt;='V06 Calend 01'!E7)),IF((49=('V06 Calend 01'!C7+(6*'V06 Calend 01'!E7))),('V06 Calend 01'!H7-('V06 Calend 01'!I7*('V06 Calend 01'!E7-1))),'V06 Calend 01'!I7),0))+IF((49='V06 Calend 01'!D7),'V06 Calend 01'!J7,0))</f>
        <v>0</v>
      </c>
      <c r="BJ7" s="2">
        <f>((IF((50='V06 Calend 01'!C7),('V06 Calend 01'!F7+'V06 Calend 01'!G7),0)+IF(AND(('V06 Calend 01'!E7&gt;0),(50&gt;'V06 Calend 01'!C7),(50&lt;'V06 Calend 01'!D7),(MOD((50-'V06 Calend 01'!C7),6)=0),(((50-'V06 Calend 01'!C7)/6)&lt;='V06 Calend 01'!E7)),IF((50=('V06 Calend 01'!C7+(6*'V06 Calend 01'!E7))),('V06 Calend 01'!H7-('V06 Calend 01'!I7*('V06 Calend 01'!E7-1))),'V06 Calend 01'!I7),0))+IF((50='V06 Calend 01'!D7),'V06 Calend 01'!J7,0))</f>
        <v>0</v>
      </c>
      <c r="BK7" s="2">
        <f>((IF((51='V06 Calend 01'!C7),('V06 Calend 01'!F7+'V06 Calend 01'!G7),0)+IF(AND(('V06 Calend 01'!E7&gt;0),(51&gt;'V06 Calend 01'!C7),(51&lt;'V06 Calend 01'!D7),(MOD((51-'V06 Calend 01'!C7),6)=0),(((51-'V06 Calend 01'!C7)/6)&lt;='V06 Calend 01'!E7)),IF((51=('V06 Calend 01'!C7+(6*'V06 Calend 01'!E7))),('V06 Calend 01'!H7-('V06 Calend 01'!I7*('V06 Calend 01'!E7-1))),'V06 Calend 01'!I7),0))+IF((51='V06 Calend 01'!D7),'V06 Calend 01'!J7,0))</f>
        <v>0</v>
      </c>
      <c r="BL7" s="2">
        <f>((IF((52='V06 Calend 01'!C7),('V06 Calend 01'!F7+'V06 Calend 01'!G7),0)+IF(AND(('V06 Calend 01'!E7&gt;0),(52&gt;'V06 Calend 01'!C7),(52&lt;'V06 Calend 01'!D7),(MOD((52-'V06 Calend 01'!C7),6)=0),(((52-'V06 Calend 01'!C7)/6)&lt;='V06 Calend 01'!E7)),IF((52=('V06 Calend 01'!C7+(6*'V06 Calend 01'!E7))),('V06 Calend 01'!H7-('V06 Calend 01'!I7*('V06 Calend 01'!E7-1))),'V06 Calend 01'!I7),0))+IF((52='V06 Calend 01'!D7),'V06 Calend 01'!J7,0))</f>
        <v>0</v>
      </c>
      <c r="BM7" s="2">
        <f>((IF((53='V06 Calend 01'!C7),('V06 Calend 01'!F7+'V06 Calend 01'!G7),0)+IF(AND(('V06 Calend 01'!E7&gt;0),(53&gt;'V06 Calend 01'!C7),(53&lt;'V06 Calend 01'!D7),(MOD((53-'V06 Calend 01'!C7),6)=0),(((53-'V06 Calend 01'!C7)/6)&lt;='V06 Calend 01'!E7)),IF((53=('V06 Calend 01'!C7+(6*'V06 Calend 01'!E7))),('V06 Calend 01'!H7-('V06 Calend 01'!I7*('V06 Calend 01'!E7-1))),'V06 Calend 01'!I7),0))+IF((53='V06 Calend 01'!D7),'V06 Calend 01'!J7,0))</f>
        <v>0</v>
      </c>
      <c r="BN7" s="2">
        <f>((IF((54='V06 Calend 01'!C7),('V06 Calend 01'!F7+'V06 Calend 01'!G7),0)+IF(AND(('V06 Calend 01'!E7&gt;0),(54&gt;'V06 Calend 01'!C7),(54&lt;'V06 Calend 01'!D7),(MOD((54-'V06 Calend 01'!C7),6)=0),(((54-'V06 Calend 01'!C7)/6)&lt;='V06 Calend 01'!E7)),IF((54=('V06 Calend 01'!C7+(6*'V06 Calend 01'!E7))),('V06 Calend 01'!H7-('V06 Calend 01'!I7*('V06 Calend 01'!E7-1))),'V06 Calend 01'!I7),0))+IF((54='V06 Calend 01'!D7),'V06 Calend 01'!J7,0))</f>
        <v>0</v>
      </c>
      <c r="BO7" s="2">
        <f>((IF((55='V06 Calend 01'!C7),('V06 Calend 01'!F7+'V06 Calend 01'!G7),0)+IF(AND(('V06 Calend 01'!E7&gt;0),(55&gt;'V06 Calend 01'!C7),(55&lt;'V06 Calend 01'!D7),(MOD((55-'V06 Calend 01'!C7),6)=0),(((55-'V06 Calend 01'!C7)/6)&lt;='V06 Calend 01'!E7)),IF((55=('V06 Calend 01'!C7+(6*'V06 Calend 01'!E7))),('V06 Calend 01'!H7-('V06 Calend 01'!I7*('V06 Calend 01'!E7-1))),'V06 Calend 01'!I7),0))+IF((55='V06 Calend 01'!D7),'V06 Calend 01'!J7,0))</f>
        <v>0</v>
      </c>
      <c r="BP7" s="2">
        <f>((IF((56='V06 Calend 01'!C7),('V06 Calend 01'!F7+'V06 Calend 01'!G7),0)+IF(AND(('V06 Calend 01'!E7&gt;0),(56&gt;'V06 Calend 01'!C7),(56&lt;'V06 Calend 01'!D7),(MOD((56-'V06 Calend 01'!C7),6)=0),(((56-'V06 Calend 01'!C7)/6)&lt;='V06 Calend 01'!E7)),IF((56=('V06 Calend 01'!C7+(6*'V06 Calend 01'!E7))),('V06 Calend 01'!H7-('V06 Calend 01'!I7*('V06 Calend 01'!E7-1))),'V06 Calend 01'!I7),0))+IF((56='V06 Calend 01'!D7),'V06 Calend 01'!J7,0))</f>
        <v>0</v>
      </c>
      <c r="BQ7" s="2">
        <f>((IF((57='V06 Calend 01'!C7),('V06 Calend 01'!F7+'V06 Calend 01'!G7),0)+IF(AND(('V06 Calend 01'!E7&gt;0),(57&gt;'V06 Calend 01'!C7),(57&lt;'V06 Calend 01'!D7),(MOD((57-'V06 Calend 01'!C7),6)=0),(((57-'V06 Calend 01'!C7)/6)&lt;='V06 Calend 01'!E7)),IF((57=('V06 Calend 01'!C7+(6*'V06 Calend 01'!E7))),('V06 Calend 01'!H7-('V06 Calend 01'!I7*('V06 Calend 01'!E7-1))),'V06 Calend 01'!I7),0))+IF((57='V06 Calend 01'!D7),'V06 Calend 01'!J7,0))</f>
        <v>0</v>
      </c>
      <c r="BR7" s="2">
        <f>((IF((58='V06 Calend 01'!C7),('V06 Calend 01'!F7+'V06 Calend 01'!G7),0)+IF(AND(('V06 Calend 01'!E7&gt;0),(58&gt;'V06 Calend 01'!C7),(58&lt;'V06 Calend 01'!D7),(MOD((58-'V06 Calend 01'!C7),6)=0),(((58-'V06 Calend 01'!C7)/6)&lt;='V06 Calend 01'!E7)),IF((58=('V06 Calend 01'!C7+(6*'V06 Calend 01'!E7))),('V06 Calend 01'!H7-('V06 Calend 01'!I7*('V06 Calend 01'!E7-1))),'V06 Calend 01'!I7),0))+IF((58='V06 Calend 01'!D7),'V06 Calend 01'!J7,0))</f>
        <v>0</v>
      </c>
      <c r="BS7" s="2">
        <f>((IF((59='V06 Calend 01'!C7),('V06 Calend 01'!F7+'V06 Calend 01'!G7),0)+IF(AND(('V06 Calend 01'!E7&gt;0),(59&gt;'V06 Calend 01'!C7),(59&lt;'V06 Calend 01'!D7),(MOD((59-'V06 Calend 01'!C7),6)=0),(((59-'V06 Calend 01'!C7)/6)&lt;='V06 Calend 01'!E7)),IF((59=('V06 Calend 01'!C7+(6*'V06 Calend 01'!E7))),('V06 Calend 01'!H7-('V06 Calend 01'!I7*('V06 Calend 01'!E7-1))),'V06 Calend 01'!I7),0))+IF((59='V06 Calend 01'!D7),'V06 Calend 01'!J7,0))</f>
        <v>0</v>
      </c>
      <c r="BT7" s="2">
        <f>((IF((60='V06 Calend 01'!C7),('V06 Calend 01'!F7+'V06 Calend 01'!G7),0)+IF(AND(('V06 Calend 01'!E7&gt;0),(60&gt;'V06 Calend 01'!C7),(60&lt;'V06 Calend 01'!D7),(MOD((60-'V06 Calend 01'!C7),6)=0),(((60-'V06 Calend 01'!C7)/6)&lt;='V06 Calend 01'!E7)),IF((60=('V06 Calend 01'!C7+(6*'V06 Calend 01'!E7))),('V06 Calend 01'!H7-('V06 Calend 01'!I7*('V06 Calend 01'!E7-1))),'V06 Calend 01'!I7),0))+IF((60='V06 Calend 01'!D7),'V06 Calend 01'!J7,0))</f>
        <v>0</v>
      </c>
      <c r="BU7" s="2">
        <f>((IF((61='V06 Calend 01'!C7),('V06 Calend 01'!F7+'V06 Calend 01'!G7),0)+IF(AND(('V06 Calend 01'!E7&gt;0),(61&gt;'V06 Calend 01'!C7),(61&lt;'V06 Calend 01'!D7),(MOD((61-'V06 Calend 01'!C7),6)=0),(((61-'V06 Calend 01'!C7)/6)&lt;='V06 Calend 01'!E7)),IF((61=('V06 Calend 01'!C7+(6*'V06 Calend 01'!E7))),('V06 Calend 01'!H7-('V06 Calend 01'!I7*('V06 Calend 01'!E7-1))),'V06 Calend 01'!I7),0))+IF((61='V06 Calend 01'!D7),'V06 Calend 01'!J7,0))</f>
        <v>0</v>
      </c>
      <c r="BV7" s="2">
        <f>((IF((62='V06 Calend 01'!C7),('V06 Calend 01'!F7+'V06 Calend 01'!G7),0)+IF(AND(('V06 Calend 01'!E7&gt;0),(62&gt;'V06 Calend 01'!C7),(62&lt;'V06 Calend 01'!D7),(MOD((62-'V06 Calend 01'!C7),6)=0),(((62-'V06 Calend 01'!C7)/6)&lt;='V06 Calend 01'!E7)),IF((62=('V06 Calend 01'!C7+(6*'V06 Calend 01'!E7))),('V06 Calend 01'!H7-('V06 Calend 01'!I7*('V06 Calend 01'!E7-1))),'V06 Calend 01'!I7),0))+IF((62='V06 Calend 01'!D7),'V06 Calend 01'!J7,0))</f>
        <v>0</v>
      </c>
      <c r="BW7" s="2">
        <f>((IF((63='V06 Calend 01'!C7),('V06 Calend 01'!F7+'V06 Calend 01'!G7),0)+IF(AND(('V06 Calend 01'!E7&gt;0),(63&gt;'V06 Calend 01'!C7),(63&lt;'V06 Calend 01'!D7),(MOD((63-'V06 Calend 01'!C7),6)=0),(((63-'V06 Calend 01'!C7)/6)&lt;='V06 Calend 01'!E7)),IF((63=('V06 Calend 01'!C7+(6*'V06 Calend 01'!E7))),('V06 Calend 01'!H7-('V06 Calend 01'!I7*('V06 Calend 01'!E7-1))),'V06 Calend 01'!I7),0))+IF((63='V06 Calend 01'!D7),'V06 Calend 01'!J7,0))</f>
        <v>0</v>
      </c>
      <c r="BX7" s="2">
        <f>((IF((64='V06 Calend 01'!C7),('V06 Calend 01'!F7+'V06 Calend 01'!G7),0)+IF(AND(('V06 Calend 01'!E7&gt;0),(64&gt;'V06 Calend 01'!C7),(64&lt;'V06 Calend 01'!D7),(MOD((64-'V06 Calend 01'!C7),6)=0),(((64-'V06 Calend 01'!C7)/6)&lt;='V06 Calend 01'!E7)),IF((64=('V06 Calend 01'!C7+(6*'V06 Calend 01'!E7))),('V06 Calend 01'!H7-('V06 Calend 01'!I7*('V06 Calend 01'!E7-1))),'V06 Calend 01'!I7),0))+IF((64='V06 Calend 01'!D7),'V06 Calend 01'!J7,0))</f>
        <v>0</v>
      </c>
      <c r="BY7" s="2">
        <f>((IF((65='V06 Calend 01'!C7),('V06 Calend 01'!F7+'V06 Calend 01'!G7),0)+IF(AND(('V06 Calend 01'!E7&gt;0),(65&gt;'V06 Calend 01'!C7),(65&lt;'V06 Calend 01'!D7),(MOD((65-'V06 Calend 01'!C7),6)=0),(((65-'V06 Calend 01'!C7)/6)&lt;='V06 Calend 01'!E7)),IF((65=('V06 Calend 01'!C7+(6*'V06 Calend 01'!E7))),('V06 Calend 01'!H7-('V06 Calend 01'!I7*('V06 Calend 01'!E7-1))),'V06 Calend 01'!I7),0))+IF((65='V06 Calend 01'!D7),'V06 Calend 01'!J7,0))</f>
        <v>0</v>
      </c>
      <c r="BZ7" s="2">
        <f>((IF((66='V06 Calend 01'!C7),('V06 Calend 01'!F7+'V06 Calend 01'!G7),0)+IF(AND(('V06 Calend 01'!E7&gt;0),(66&gt;'V06 Calend 01'!C7),(66&lt;'V06 Calend 01'!D7),(MOD((66-'V06 Calend 01'!C7),6)=0),(((66-'V06 Calend 01'!C7)/6)&lt;='V06 Calend 01'!E7)),IF((66=('V06 Calend 01'!C7+(6*'V06 Calend 01'!E7))),('V06 Calend 01'!H7-('V06 Calend 01'!I7*('V06 Calend 01'!E7-1))),'V06 Calend 01'!I7),0))+IF((66='V06 Calend 01'!D7),'V06 Calend 01'!J7,0))</f>
        <v>0</v>
      </c>
      <c r="CA7" s="2">
        <f>((IF((67='V06 Calend 01'!C7),('V06 Calend 01'!F7+'V06 Calend 01'!G7),0)+IF(AND(('V06 Calend 01'!E7&gt;0),(67&gt;'V06 Calend 01'!C7),(67&lt;'V06 Calend 01'!D7),(MOD((67-'V06 Calend 01'!C7),6)=0),(((67-'V06 Calend 01'!C7)/6)&lt;='V06 Calend 01'!E7)),IF((67=('V06 Calend 01'!C7+(6*'V06 Calend 01'!E7))),('V06 Calend 01'!H7-('V06 Calend 01'!I7*('V06 Calend 01'!E7-1))),'V06 Calend 01'!I7),0))+IF((67='V06 Calend 01'!D7),'V06 Calend 01'!J7,0))</f>
        <v>0</v>
      </c>
      <c r="CB7" s="2">
        <f>((IF((68='V06 Calend 01'!C7),('V06 Calend 01'!F7+'V06 Calend 01'!G7),0)+IF(AND(('V06 Calend 01'!E7&gt;0),(68&gt;'V06 Calend 01'!C7),(68&lt;'V06 Calend 01'!D7),(MOD((68-'V06 Calend 01'!C7),6)=0),(((68-'V06 Calend 01'!C7)/6)&lt;='V06 Calend 01'!E7)),IF((68=('V06 Calend 01'!C7+(6*'V06 Calend 01'!E7))),('V06 Calend 01'!H7-('V06 Calend 01'!I7*('V06 Calend 01'!E7-1))),'V06 Calend 01'!I7),0))+IF((68='V06 Calend 01'!D7),'V06 Calend 01'!J7,0))</f>
        <v>0</v>
      </c>
      <c r="CC7" s="2">
        <f>((IF((69='V06 Calend 01'!C7),('V06 Calend 01'!F7+'V06 Calend 01'!G7),0)+IF(AND(('V06 Calend 01'!E7&gt;0),(69&gt;'V06 Calend 01'!C7),(69&lt;'V06 Calend 01'!D7),(MOD((69-'V06 Calend 01'!C7),6)=0),(((69-'V06 Calend 01'!C7)/6)&lt;='V06 Calend 01'!E7)),IF((69=('V06 Calend 01'!C7+(6*'V06 Calend 01'!E7))),('V06 Calend 01'!H7-('V06 Calend 01'!I7*('V06 Calend 01'!E7-1))),'V06 Calend 01'!I7),0))+IF((69='V06 Calend 01'!D7),'V06 Calend 01'!J7,0))</f>
        <v>0</v>
      </c>
      <c r="CD7" s="2">
        <f>((IF((70='V06 Calend 01'!C7),('V06 Calend 01'!F7+'V06 Calend 01'!G7),0)+IF(AND(('V06 Calend 01'!E7&gt;0),(70&gt;'V06 Calend 01'!C7),(70&lt;'V06 Calend 01'!D7),(MOD((70-'V06 Calend 01'!C7),6)=0),(((70-'V06 Calend 01'!C7)/6)&lt;='V06 Calend 01'!E7)),IF((70=('V06 Calend 01'!C7+(6*'V06 Calend 01'!E7))),('V06 Calend 01'!H7-('V06 Calend 01'!I7*('V06 Calend 01'!E7-1))),'V06 Calend 01'!I7),0))+IF((70='V06 Calend 01'!D7),'V06 Calend 01'!J7,0))</f>
        <v>0</v>
      </c>
      <c r="CE7" s="2">
        <f>((IF((71='V06 Calend 01'!C7),('V06 Calend 01'!F7+'V06 Calend 01'!G7),0)+IF(AND(('V06 Calend 01'!E7&gt;0),(71&gt;'V06 Calend 01'!C7),(71&lt;'V06 Calend 01'!D7),(MOD((71-'V06 Calend 01'!C7),6)=0),(((71-'V06 Calend 01'!C7)/6)&lt;='V06 Calend 01'!E7)),IF((71=('V06 Calend 01'!C7+(6*'V06 Calend 01'!E7))),('V06 Calend 01'!H7-('V06 Calend 01'!I7*('V06 Calend 01'!E7-1))),'V06 Calend 01'!I7),0))+IF((71='V06 Calend 01'!D7),'V06 Calend 01'!J7,0))</f>
        <v>0</v>
      </c>
      <c r="CF7" s="2">
        <f>((IF((72='V06 Calend 01'!C7),('V06 Calend 01'!F7+'V06 Calend 01'!G7),0)+IF(AND(('V06 Calend 01'!E7&gt;0),(72&gt;'V06 Calend 01'!C7),(72&lt;'V06 Calend 01'!D7),(MOD((72-'V06 Calend 01'!C7),6)=0),(((72-'V06 Calend 01'!C7)/6)&lt;='V06 Calend 01'!E7)),IF((72=('V06 Calend 01'!C7+(6*'V06 Calend 01'!E7))),('V06 Calend 01'!H7-('V06 Calend 01'!I7*('V06 Calend 01'!E7-1))),'V06 Calend 01'!I7),0))+IF((72='V06 Calend 01'!D7),'V06 Calend 01'!J7,0))</f>
        <v>0</v>
      </c>
      <c r="CG7" s="2">
        <f>((IF((73='V06 Calend 01'!C7),('V06 Calend 01'!F7+'V06 Calend 01'!G7),0)+IF(AND(('V06 Calend 01'!E7&gt;0),(73&gt;'V06 Calend 01'!C7),(73&lt;'V06 Calend 01'!D7),(MOD((73-'V06 Calend 01'!C7),6)=0),(((73-'V06 Calend 01'!C7)/6)&lt;='V06 Calend 01'!E7)),IF((73=('V06 Calend 01'!C7+(6*'V06 Calend 01'!E7))),('V06 Calend 01'!H7-('V06 Calend 01'!I7*('V06 Calend 01'!E7-1))),'V06 Calend 01'!I7),0))+IF((73='V06 Calend 01'!D7),'V06 Calend 01'!J7,0))</f>
        <v>0</v>
      </c>
      <c r="CH7" s="2">
        <f>((IF((74='V06 Calend 01'!C7),('V06 Calend 01'!F7+'V06 Calend 01'!G7),0)+IF(AND(('V06 Calend 01'!E7&gt;0),(74&gt;'V06 Calend 01'!C7),(74&lt;'V06 Calend 01'!D7),(MOD((74-'V06 Calend 01'!C7),6)=0),(((74-'V06 Calend 01'!C7)/6)&lt;='V06 Calend 01'!E7)),IF((74=('V06 Calend 01'!C7+(6*'V06 Calend 01'!E7))),('V06 Calend 01'!H7-('V06 Calend 01'!I7*('V06 Calend 01'!E7-1))),'V06 Calend 01'!I7),0))+IF((74='V06 Calend 01'!D7),'V06 Calend 01'!J7,0))</f>
        <v>0</v>
      </c>
      <c r="CI7" s="2">
        <f>((IF((75='V06 Calend 01'!C7),('V06 Calend 01'!F7+'V06 Calend 01'!G7),0)+IF(AND(('V06 Calend 01'!E7&gt;0),(75&gt;'V06 Calend 01'!C7),(75&lt;'V06 Calend 01'!D7),(MOD((75-'V06 Calend 01'!C7),6)=0),(((75-'V06 Calend 01'!C7)/6)&lt;='V06 Calend 01'!E7)),IF((75=('V06 Calend 01'!C7+(6*'V06 Calend 01'!E7))),('V06 Calend 01'!H7-('V06 Calend 01'!I7*('V06 Calend 01'!E7-1))),'V06 Calend 01'!I7),0))+IF((75='V06 Calend 01'!D7),'V06 Calend 01'!J7,0))</f>
        <v>0</v>
      </c>
      <c r="CJ7" s="2">
        <f>((IF((76='V06 Calend 01'!C7),('V06 Calend 01'!F7+'V06 Calend 01'!G7),0)+IF(AND(('V06 Calend 01'!E7&gt;0),(76&gt;'V06 Calend 01'!C7),(76&lt;'V06 Calend 01'!D7),(MOD((76-'V06 Calend 01'!C7),6)=0),(((76-'V06 Calend 01'!C7)/6)&lt;='V06 Calend 01'!E7)),IF((76=('V06 Calend 01'!C7+(6*'V06 Calend 01'!E7))),('V06 Calend 01'!H7-('V06 Calend 01'!I7*('V06 Calend 01'!E7-1))),'V06 Calend 01'!I7),0))+IF((76='V06 Calend 01'!D7),'V06 Calend 01'!J7,0))</f>
        <v>0</v>
      </c>
      <c r="CK7" s="2">
        <f>((IF((77='V06 Calend 01'!C7),('V06 Calend 01'!F7+'V06 Calend 01'!G7),0)+IF(AND(('V06 Calend 01'!E7&gt;0),(77&gt;'V06 Calend 01'!C7),(77&lt;'V06 Calend 01'!D7),(MOD((77-'V06 Calend 01'!C7),6)=0),(((77-'V06 Calend 01'!C7)/6)&lt;='V06 Calend 01'!E7)),IF((77=('V06 Calend 01'!C7+(6*'V06 Calend 01'!E7))),('V06 Calend 01'!H7-('V06 Calend 01'!I7*('V06 Calend 01'!E7-1))),'V06 Calend 01'!I7),0))+IF((77='V06 Calend 01'!D7),'V06 Calend 01'!J7,0))</f>
        <v>0</v>
      </c>
      <c r="CL7" s="2">
        <f>((IF((78='V06 Calend 01'!C7),('V06 Calend 01'!F7+'V06 Calend 01'!G7),0)+IF(AND(('V06 Calend 01'!E7&gt;0),(78&gt;'V06 Calend 01'!C7),(78&lt;'V06 Calend 01'!D7),(MOD((78-'V06 Calend 01'!C7),6)=0),(((78-'V06 Calend 01'!C7)/6)&lt;='V06 Calend 01'!E7)),IF((78=('V06 Calend 01'!C7+(6*'V06 Calend 01'!E7))),('V06 Calend 01'!H7-('V06 Calend 01'!I7*('V06 Calend 01'!E7-1))),'V06 Calend 01'!I7),0))+IF((78='V06 Calend 01'!D7),'V06 Calend 01'!J7,0))</f>
        <v>0</v>
      </c>
      <c r="CM7" s="2">
        <f>((IF((79='V06 Calend 01'!C7),('V06 Calend 01'!F7+'V06 Calend 01'!G7),0)+IF(AND(('V06 Calend 01'!E7&gt;0),(79&gt;'V06 Calend 01'!C7),(79&lt;'V06 Calend 01'!D7),(MOD((79-'V06 Calend 01'!C7),6)=0),(((79-'V06 Calend 01'!C7)/6)&lt;='V06 Calend 01'!E7)),IF((79=('V06 Calend 01'!C7+(6*'V06 Calend 01'!E7))),('V06 Calend 01'!H7-('V06 Calend 01'!I7*('V06 Calend 01'!E7-1))),'V06 Calend 01'!I7),0))+IF((79='V06 Calend 01'!D7),'V06 Calend 01'!J7,0))</f>
        <v>0</v>
      </c>
      <c r="CN7" s="2">
        <f>((IF((80='V06 Calend 01'!C7),('V06 Calend 01'!F7+'V06 Calend 01'!G7),0)+IF(AND(('V06 Calend 01'!E7&gt;0),(80&gt;'V06 Calend 01'!C7),(80&lt;'V06 Calend 01'!D7),(MOD((80-'V06 Calend 01'!C7),6)=0),(((80-'V06 Calend 01'!C7)/6)&lt;='V06 Calend 01'!E7)),IF((80=('V06 Calend 01'!C7+(6*'V06 Calend 01'!E7))),('V06 Calend 01'!H7-('V06 Calend 01'!I7*('V06 Calend 01'!E7-1))),'V06 Calend 01'!I7),0))+IF((80='V06 Calend 01'!D7),'V06 Calend 01'!J7,0))</f>
        <v>0</v>
      </c>
      <c r="CO7" s="2">
        <f>((IF((81='V06 Calend 01'!C7),('V06 Calend 01'!F7+'V06 Calend 01'!G7),0)+IF(AND(('V06 Calend 01'!E7&gt;0),(81&gt;'V06 Calend 01'!C7),(81&lt;'V06 Calend 01'!D7),(MOD((81-'V06 Calend 01'!C7),6)=0),(((81-'V06 Calend 01'!C7)/6)&lt;='V06 Calend 01'!E7)),IF((81=('V06 Calend 01'!C7+(6*'V06 Calend 01'!E7))),('V06 Calend 01'!H7-('V06 Calend 01'!I7*('V06 Calend 01'!E7-1))),'V06 Calend 01'!I7),0))+IF((81='V06 Calend 01'!D7),'V06 Calend 01'!J7,0))</f>
        <v>0</v>
      </c>
      <c r="CP7" s="2">
        <f>((IF((82='V06 Calend 01'!C7),('V06 Calend 01'!F7+'V06 Calend 01'!G7),0)+IF(AND(('V06 Calend 01'!E7&gt;0),(82&gt;'V06 Calend 01'!C7),(82&lt;'V06 Calend 01'!D7),(MOD((82-'V06 Calend 01'!C7),6)=0),(((82-'V06 Calend 01'!C7)/6)&lt;='V06 Calend 01'!E7)),IF((82=('V06 Calend 01'!C7+(6*'V06 Calend 01'!E7))),('V06 Calend 01'!H7-('V06 Calend 01'!I7*('V06 Calend 01'!E7-1))),'V06 Calend 01'!I7),0))+IF((82='V06 Calend 01'!D7),'V06 Calend 01'!J7,0))</f>
        <v>0</v>
      </c>
      <c r="CQ7" s="2">
        <f>((IF((83='V06 Calend 01'!C7),('V06 Calend 01'!F7+'V06 Calend 01'!G7),0)+IF(AND(('V06 Calend 01'!E7&gt;0),(83&gt;'V06 Calend 01'!C7),(83&lt;'V06 Calend 01'!D7),(MOD((83-'V06 Calend 01'!C7),6)=0),(((83-'V06 Calend 01'!C7)/6)&lt;='V06 Calend 01'!E7)),IF((83=('V06 Calend 01'!C7+(6*'V06 Calend 01'!E7))),('V06 Calend 01'!H7-('V06 Calend 01'!I7*('V06 Calend 01'!E7-1))),'V06 Calend 01'!I7),0))+IF((83='V06 Calend 01'!D7),'V06 Calend 01'!J7,0))</f>
        <v>0</v>
      </c>
      <c r="CR7" s="2">
        <f>((IF((84='V06 Calend 01'!C7),('V06 Calend 01'!F7+'V06 Calend 01'!G7),0)+IF(AND(('V06 Calend 01'!E7&gt;0),(84&gt;'V06 Calend 01'!C7),(84&lt;'V06 Calend 01'!D7),(MOD((84-'V06 Calend 01'!C7),6)=0),(((84-'V06 Calend 01'!C7)/6)&lt;='V06 Calend 01'!E7)),IF((84=('V06 Calend 01'!C7+(6*'V06 Calend 01'!E7))),('V06 Calend 01'!H7-('V06 Calend 01'!I7*('V06 Calend 01'!E7-1))),'V06 Calend 01'!I7),0))+IF((84='V06 Calend 01'!D7),'V06 Calend 01'!J7,0))</f>
        <v>0</v>
      </c>
      <c r="CS7" s="2">
        <f>((IF((85='V06 Calend 01'!C7),('V06 Calend 01'!F7+'V06 Calend 01'!G7),0)+IF(AND(('V06 Calend 01'!E7&gt;0),(85&gt;'V06 Calend 01'!C7),(85&lt;'V06 Calend 01'!D7),(MOD((85-'V06 Calend 01'!C7),6)=0),(((85-'V06 Calend 01'!C7)/6)&lt;='V06 Calend 01'!E7)),IF((85=('V06 Calend 01'!C7+(6*'V06 Calend 01'!E7))),('V06 Calend 01'!H7-('V06 Calend 01'!I7*('V06 Calend 01'!E7-1))),'V06 Calend 01'!I7),0))+IF((85='V06 Calend 01'!D7),'V06 Calend 01'!J7,0))</f>
        <v>0</v>
      </c>
      <c r="CT7" s="2">
        <f>((IF((86='V06 Calend 01'!C7),('V06 Calend 01'!F7+'V06 Calend 01'!G7),0)+IF(AND(('V06 Calend 01'!E7&gt;0),(86&gt;'V06 Calend 01'!C7),(86&lt;'V06 Calend 01'!D7),(MOD((86-'V06 Calend 01'!C7),6)=0),(((86-'V06 Calend 01'!C7)/6)&lt;='V06 Calend 01'!E7)),IF((86=('V06 Calend 01'!C7+(6*'V06 Calend 01'!E7))),('V06 Calend 01'!H7-('V06 Calend 01'!I7*('V06 Calend 01'!E7-1))),'V06 Calend 01'!I7),0))+IF((86='V06 Calend 01'!D7),'V06 Calend 01'!J7,0))</f>
        <v>0</v>
      </c>
      <c r="CU7" s="2">
        <f>((IF((87='V06 Calend 01'!C7),('V06 Calend 01'!F7+'V06 Calend 01'!G7),0)+IF(AND(('V06 Calend 01'!E7&gt;0),(87&gt;'V06 Calend 01'!C7),(87&lt;'V06 Calend 01'!D7),(MOD((87-'V06 Calend 01'!C7),6)=0),(((87-'V06 Calend 01'!C7)/6)&lt;='V06 Calend 01'!E7)),IF((87=('V06 Calend 01'!C7+(6*'V06 Calend 01'!E7))),('V06 Calend 01'!H7-('V06 Calend 01'!I7*('V06 Calend 01'!E7-1))),'V06 Calend 01'!I7),0))+IF((87='V06 Calend 01'!D7),'V06 Calend 01'!J7,0))</f>
        <v>0</v>
      </c>
      <c r="CV7" s="2">
        <f>((IF((88='V06 Calend 01'!C7),('V06 Calend 01'!F7+'V06 Calend 01'!G7),0)+IF(AND(('V06 Calend 01'!E7&gt;0),(88&gt;'V06 Calend 01'!C7),(88&lt;'V06 Calend 01'!D7),(MOD((88-'V06 Calend 01'!C7),6)=0),(((88-'V06 Calend 01'!C7)/6)&lt;='V06 Calend 01'!E7)),IF((88=('V06 Calend 01'!C7+(6*'V06 Calend 01'!E7))),('V06 Calend 01'!H7-('V06 Calend 01'!I7*('V06 Calend 01'!E7-1))),'V06 Calend 01'!I7),0))+IF((88='V06 Calend 01'!D7),'V06 Calend 01'!J7,0))</f>
        <v>0</v>
      </c>
      <c r="CW7" s="2">
        <f>((IF((89='V06 Calend 01'!C7),('V06 Calend 01'!F7+'V06 Calend 01'!G7),0)+IF(AND(('V06 Calend 01'!E7&gt;0),(89&gt;'V06 Calend 01'!C7),(89&lt;'V06 Calend 01'!D7),(MOD((89-'V06 Calend 01'!C7),6)=0),(((89-'V06 Calend 01'!C7)/6)&lt;='V06 Calend 01'!E7)),IF((89=('V06 Calend 01'!C7+(6*'V06 Calend 01'!E7))),('V06 Calend 01'!H7-('V06 Calend 01'!I7*('V06 Calend 01'!E7-1))),'V06 Calend 01'!I7),0))+IF((89='V06 Calend 01'!D7),'V06 Calend 01'!J7,0))</f>
        <v>0</v>
      </c>
      <c r="CX7" s="2">
        <f>((IF((90='V06 Calend 01'!C7),('V06 Calend 01'!F7+'V06 Calend 01'!G7),0)+IF(AND(('V06 Calend 01'!E7&gt;0),(90&gt;'V06 Calend 01'!C7),(90&lt;'V06 Calend 01'!D7),(MOD((90-'V06 Calend 01'!C7),6)=0),(((90-'V06 Calend 01'!C7)/6)&lt;='V06 Calend 01'!E7)),IF((90=('V06 Calend 01'!C7+(6*'V06 Calend 01'!E7))),('V06 Calend 01'!H7-('V06 Calend 01'!I7*('V06 Calend 01'!E7-1))),'V06 Calend 01'!I7),0))+IF((90='V06 Calend 01'!D7),'V06 Calend 01'!J7,0))</f>
        <v>0</v>
      </c>
      <c r="CY7" s="2">
        <f>((IF((91='V06 Calend 01'!C7),('V06 Calend 01'!F7+'V06 Calend 01'!G7),0)+IF(AND(('V06 Calend 01'!E7&gt;0),(91&gt;'V06 Calend 01'!C7),(91&lt;'V06 Calend 01'!D7),(MOD((91-'V06 Calend 01'!C7),6)=0),(((91-'V06 Calend 01'!C7)/6)&lt;='V06 Calend 01'!E7)),IF((91=('V06 Calend 01'!C7+(6*'V06 Calend 01'!E7))),('V06 Calend 01'!H7-('V06 Calend 01'!I7*('V06 Calend 01'!E7-1))),'V06 Calend 01'!I7),0))+IF((91='V06 Calend 01'!D7),'V06 Calend 01'!J7,0))</f>
        <v>0</v>
      </c>
      <c r="CZ7" s="2">
        <f>((IF((92='V06 Calend 01'!C7),('V06 Calend 01'!F7+'V06 Calend 01'!G7),0)+IF(AND(('V06 Calend 01'!E7&gt;0),(92&gt;'V06 Calend 01'!C7),(92&lt;'V06 Calend 01'!D7),(MOD((92-'V06 Calend 01'!C7),6)=0),(((92-'V06 Calend 01'!C7)/6)&lt;='V06 Calend 01'!E7)),IF((92=('V06 Calend 01'!C7+(6*'V06 Calend 01'!E7))),('V06 Calend 01'!H7-('V06 Calend 01'!I7*('V06 Calend 01'!E7-1))),'V06 Calend 01'!I7),0))+IF((92='V06 Calend 01'!D7),'V06 Calend 01'!J7,0))</f>
        <v>0</v>
      </c>
      <c r="DA7" s="2">
        <f>((IF((93='V06 Calend 01'!C7),('V06 Calend 01'!F7+'V06 Calend 01'!G7),0)+IF(AND(('V06 Calend 01'!E7&gt;0),(93&gt;'V06 Calend 01'!C7),(93&lt;'V06 Calend 01'!D7),(MOD((93-'V06 Calend 01'!C7),6)=0),(((93-'V06 Calend 01'!C7)/6)&lt;='V06 Calend 01'!E7)),IF((93=('V06 Calend 01'!C7+(6*'V06 Calend 01'!E7))),('V06 Calend 01'!H7-('V06 Calend 01'!I7*('V06 Calend 01'!E7-1))),'V06 Calend 01'!I7),0))+IF((93='V06 Calend 01'!D7),'V06 Calend 01'!J7,0))</f>
        <v>0</v>
      </c>
      <c r="DB7" s="2">
        <f>((IF((94='V06 Calend 01'!C7),('V06 Calend 01'!F7+'V06 Calend 01'!G7),0)+IF(AND(('V06 Calend 01'!E7&gt;0),(94&gt;'V06 Calend 01'!C7),(94&lt;'V06 Calend 01'!D7),(MOD((94-'V06 Calend 01'!C7),6)=0),(((94-'V06 Calend 01'!C7)/6)&lt;='V06 Calend 01'!E7)),IF((94=('V06 Calend 01'!C7+(6*'V06 Calend 01'!E7))),('V06 Calend 01'!H7-('V06 Calend 01'!I7*('V06 Calend 01'!E7-1))),'V06 Calend 01'!I7),0))+IF((94='V06 Calend 01'!D7),'V06 Calend 01'!J7,0))</f>
        <v>0</v>
      </c>
      <c r="DC7" s="2">
        <f>((IF((95='V06 Calend 01'!C7),('V06 Calend 01'!F7+'V06 Calend 01'!G7),0)+IF(AND(('V06 Calend 01'!E7&gt;0),(95&gt;'V06 Calend 01'!C7),(95&lt;'V06 Calend 01'!D7),(MOD((95-'V06 Calend 01'!C7),6)=0),(((95-'V06 Calend 01'!C7)/6)&lt;='V06 Calend 01'!E7)),IF((95=('V06 Calend 01'!C7+(6*'V06 Calend 01'!E7))),('V06 Calend 01'!H7-('V06 Calend 01'!I7*('V06 Calend 01'!E7-1))),'V06 Calend 01'!I7),0))+IF((95='V06 Calend 01'!D7),'V06 Calend 01'!J7,0))</f>
        <v>0</v>
      </c>
      <c r="DD7" s="2">
        <f>((IF((96='V06 Calend 01'!C7),('V06 Calend 01'!F7+'V06 Calend 01'!G7),0)+IF(AND(('V06 Calend 01'!E7&gt;0),(96&gt;'V06 Calend 01'!C7),(96&lt;'V06 Calend 01'!D7),(MOD((96-'V06 Calend 01'!C7),6)=0),(((96-'V06 Calend 01'!C7)/6)&lt;='V06 Calend 01'!E7)),IF((96=('V06 Calend 01'!C7+(6*'V06 Calend 01'!E7))),('V06 Calend 01'!H7-('V06 Calend 01'!I7*('V06 Calend 01'!E7-1))),'V06 Calend 01'!I7),0))+IF((96='V06 Calend 01'!D7),'V06 Calend 01'!J7,0))</f>
        <v>0</v>
      </c>
      <c r="DE7" s="2">
        <f>((IF((97='V06 Calend 01'!C7),('V06 Calend 01'!F7+'V06 Calend 01'!G7),0)+IF(AND(('V06 Calend 01'!E7&gt;0),(97&gt;'V06 Calend 01'!C7),(97&lt;'V06 Calend 01'!D7),(MOD((97-'V06 Calend 01'!C7),6)=0),(((97-'V06 Calend 01'!C7)/6)&lt;='V06 Calend 01'!E7)),IF((97=('V06 Calend 01'!C7+(6*'V06 Calend 01'!E7))),('V06 Calend 01'!H7-('V06 Calend 01'!I7*('V06 Calend 01'!E7-1))),'V06 Calend 01'!I7),0))+IF((97='V06 Calend 01'!D7),'V06 Calend 01'!J7,0))</f>
        <v>0</v>
      </c>
      <c r="DF7" s="2">
        <f>((IF((98='V06 Calend 01'!C7),('V06 Calend 01'!F7+'V06 Calend 01'!G7),0)+IF(AND(('V06 Calend 01'!E7&gt;0),(98&gt;'V06 Calend 01'!C7),(98&lt;'V06 Calend 01'!D7),(MOD((98-'V06 Calend 01'!C7),6)=0),(((98-'V06 Calend 01'!C7)/6)&lt;='V06 Calend 01'!E7)),IF((98=('V06 Calend 01'!C7+(6*'V06 Calend 01'!E7))),('V06 Calend 01'!H7-('V06 Calend 01'!I7*('V06 Calend 01'!E7-1))),'V06 Calend 01'!I7),0))+IF((98='V06 Calend 01'!D7),'V06 Calend 01'!J7,0))</f>
        <v>0</v>
      </c>
      <c r="DG7" s="2">
        <f>((IF((99='V06 Calend 01'!C7),('V06 Calend 01'!F7+'V06 Calend 01'!G7),0)+IF(AND(('V06 Calend 01'!E7&gt;0),(99&gt;'V06 Calend 01'!C7),(99&lt;'V06 Calend 01'!D7),(MOD((99-'V06 Calend 01'!C7),6)=0),(((99-'V06 Calend 01'!C7)/6)&lt;='V06 Calend 01'!E7)),IF((99=('V06 Calend 01'!C7+(6*'V06 Calend 01'!E7))),('V06 Calend 01'!H7-('V06 Calend 01'!I7*('V06 Calend 01'!E7-1))),'V06 Calend 01'!I7),0))+IF((99='V06 Calend 01'!D7),'V06 Calend 01'!J7,0))</f>
        <v>0</v>
      </c>
      <c r="DH7" s="2">
        <f>((IF((100='V06 Calend 01'!C7),('V06 Calend 01'!F7+'V06 Calend 01'!G7),0)+IF(AND(('V06 Calend 01'!E7&gt;0),(100&gt;'V06 Calend 01'!C7),(100&lt;'V06 Calend 01'!D7),(MOD((100-'V06 Calend 01'!C7),6)=0),(((100-'V06 Calend 01'!C7)/6)&lt;='V06 Calend 01'!E7)),IF((100=('V06 Calend 01'!C7+(6*'V06 Calend 01'!E7))),('V06 Calend 01'!H7-('V06 Calend 01'!I7*('V06 Calend 01'!E7-1))),'V06 Calend 01'!I7),0))+IF((100='V06 Calend 01'!D7),'V06 Calend 01'!J7,0))</f>
        <v>0</v>
      </c>
      <c r="DI7" s="2">
        <f>((IF((101='V06 Calend 01'!C7),('V06 Calend 01'!F7+'V06 Calend 01'!G7),0)+IF(AND(('V06 Calend 01'!E7&gt;0),(101&gt;'V06 Calend 01'!C7),(101&lt;'V06 Calend 01'!D7),(MOD((101-'V06 Calend 01'!C7),6)=0),(((101-'V06 Calend 01'!C7)/6)&lt;='V06 Calend 01'!E7)),IF((101=('V06 Calend 01'!C7+(6*'V06 Calend 01'!E7))),('V06 Calend 01'!H7-('V06 Calend 01'!I7*('V06 Calend 01'!E7-1))),'V06 Calend 01'!I7),0))+IF((101='V06 Calend 01'!D7),'V06 Calend 01'!J7,0))</f>
        <v>0</v>
      </c>
      <c r="DJ7" s="2">
        <f>((IF((102='V06 Calend 01'!C7),('V06 Calend 01'!F7+'V06 Calend 01'!G7),0)+IF(AND(('V06 Calend 01'!E7&gt;0),(102&gt;'V06 Calend 01'!C7),(102&lt;'V06 Calend 01'!D7),(MOD((102-'V06 Calend 01'!C7),6)=0),(((102-'V06 Calend 01'!C7)/6)&lt;='V06 Calend 01'!E7)),IF((102=('V06 Calend 01'!C7+(6*'V06 Calend 01'!E7))),('V06 Calend 01'!H7-('V06 Calend 01'!I7*('V06 Calend 01'!E7-1))),'V06 Calend 01'!I7),0))+IF((102='V06 Calend 01'!D7),'V06 Calend 01'!J7,0))</f>
        <v>0</v>
      </c>
      <c r="DK7" s="2">
        <f>((IF((103='V06 Calend 01'!C7),('V06 Calend 01'!F7+'V06 Calend 01'!G7),0)+IF(AND(('V06 Calend 01'!E7&gt;0),(103&gt;'V06 Calend 01'!C7),(103&lt;'V06 Calend 01'!D7),(MOD((103-'V06 Calend 01'!C7),6)=0),(((103-'V06 Calend 01'!C7)/6)&lt;='V06 Calend 01'!E7)),IF((103=('V06 Calend 01'!C7+(6*'V06 Calend 01'!E7))),('V06 Calend 01'!H7-('V06 Calend 01'!I7*('V06 Calend 01'!E7-1))),'V06 Calend 01'!I7),0))+IF((103='V06 Calend 01'!D7),'V06 Calend 01'!J7,0))</f>
        <v>0</v>
      </c>
      <c r="DL7" s="2">
        <f>((IF((104='V06 Calend 01'!C7),('V06 Calend 01'!F7+'V06 Calend 01'!G7),0)+IF(AND(('V06 Calend 01'!E7&gt;0),(104&gt;'V06 Calend 01'!C7),(104&lt;'V06 Calend 01'!D7),(MOD((104-'V06 Calend 01'!C7),6)=0),(((104-'V06 Calend 01'!C7)/6)&lt;='V06 Calend 01'!E7)),IF((104=('V06 Calend 01'!C7+(6*'V06 Calend 01'!E7))),('V06 Calend 01'!H7-('V06 Calend 01'!I7*('V06 Calend 01'!E7-1))),'V06 Calend 01'!I7),0))+IF((104='V06 Calend 01'!D7),'V06 Calend 01'!J7,0))</f>
        <v>0</v>
      </c>
      <c r="DM7" s="2">
        <f>((IF((105='V06 Calend 01'!C7),('V06 Calend 01'!F7+'V06 Calend 01'!G7),0)+IF(AND(('V06 Calend 01'!E7&gt;0),(105&gt;'V06 Calend 01'!C7),(105&lt;'V06 Calend 01'!D7),(MOD((105-'V06 Calend 01'!C7),6)=0),(((105-'V06 Calend 01'!C7)/6)&lt;='V06 Calend 01'!E7)),IF((105=('V06 Calend 01'!C7+(6*'V06 Calend 01'!E7))),('V06 Calend 01'!H7-('V06 Calend 01'!I7*('V06 Calend 01'!E7-1))),'V06 Calend 01'!I7),0))+IF((105='V06 Calend 01'!D7),'V06 Calend 01'!J7,0))</f>
        <v>0</v>
      </c>
      <c r="DN7" s="2">
        <f>((IF((106='V06 Calend 01'!C7),('V06 Calend 01'!F7+'V06 Calend 01'!G7),0)+IF(AND(('V06 Calend 01'!E7&gt;0),(106&gt;'V06 Calend 01'!C7),(106&lt;'V06 Calend 01'!D7),(MOD((106-'V06 Calend 01'!C7),6)=0),(((106-'V06 Calend 01'!C7)/6)&lt;='V06 Calend 01'!E7)),IF((106=('V06 Calend 01'!C7+(6*'V06 Calend 01'!E7))),('V06 Calend 01'!H7-('V06 Calend 01'!I7*('V06 Calend 01'!E7-1))),'V06 Calend 01'!I7),0))+IF((106='V06 Calend 01'!D7),'V06 Calend 01'!J7,0))</f>
        <v>0</v>
      </c>
      <c r="DO7" s="2">
        <f>((IF((107='V06 Calend 01'!C7),('V06 Calend 01'!F7+'V06 Calend 01'!G7),0)+IF(AND(('V06 Calend 01'!E7&gt;0),(107&gt;'V06 Calend 01'!C7),(107&lt;'V06 Calend 01'!D7),(MOD((107-'V06 Calend 01'!C7),6)=0),(((107-'V06 Calend 01'!C7)/6)&lt;='V06 Calend 01'!E7)),IF((107=('V06 Calend 01'!C7+(6*'V06 Calend 01'!E7))),('V06 Calend 01'!H7-('V06 Calend 01'!I7*('V06 Calend 01'!E7-1))),'V06 Calend 01'!I7),0))+IF((107='V06 Calend 01'!D7),'V06 Calend 01'!J7,0))</f>
        <v>0</v>
      </c>
      <c r="DP7" s="2">
        <f>((IF((108='V06 Calend 01'!C7),('V06 Calend 01'!F7+'V06 Calend 01'!G7),0)+IF(AND(('V06 Calend 01'!E7&gt;0),(108&gt;'V06 Calend 01'!C7),(108&lt;'V06 Calend 01'!D7),(MOD((108-'V06 Calend 01'!C7),6)=0),(((108-'V06 Calend 01'!C7)/6)&lt;='V06 Calend 01'!E7)),IF((108=('V06 Calend 01'!C7+(6*'V06 Calend 01'!E7))),('V06 Calend 01'!H7-('V06 Calend 01'!I7*('V06 Calend 01'!E7-1))),'V06 Calend 01'!I7),0))+IF((108='V06 Calend 01'!D7),'V06 Calend 01'!J7,0))</f>
        <v>0</v>
      </c>
      <c r="DQ7" s="2">
        <f>((IF((109='V06 Calend 01'!C7),('V06 Calend 01'!F7+'V06 Calend 01'!G7),0)+IF(AND(('V06 Calend 01'!E7&gt;0),(109&gt;'V06 Calend 01'!C7),(109&lt;'V06 Calend 01'!D7),(MOD((109-'V06 Calend 01'!C7),6)=0),(((109-'V06 Calend 01'!C7)/6)&lt;='V06 Calend 01'!E7)),IF((109=('V06 Calend 01'!C7+(6*'V06 Calend 01'!E7))),('V06 Calend 01'!H7-('V06 Calend 01'!I7*('V06 Calend 01'!E7-1))),'V06 Calend 01'!I7),0))+IF((109='V06 Calend 01'!D7),'V06 Calend 01'!J7,0))</f>
        <v>0</v>
      </c>
      <c r="DR7" s="2">
        <f>((IF((110='V06 Calend 01'!C7),('V06 Calend 01'!F7+'V06 Calend 01'!G7),0)+IF(AND(('V06 Calend 01'!E7&gt;0),(110&gt;'V06 Calend 01'!C7),(110&lt;'V06 Calend 01'!D7),(MOD((110-'V06 Calend 01'!C7),6)=0),(((110-'V06 Calend 01'!C7)/6)&lt;='V06 Calend 01'!E7)),IF((110=('V06 Calend 01'!C7+(6*'V06 Calend 01'!E7))),('V06 Calend 01'!H7-('V06 Calend 01'!I7*('V06 Calend 01'!E7-1))),'V06 Calend 01'!I7),0))+IF((110='V06 Calend 01'!D7),'V06 Calend 01'!J7,0))</f>
        <v>0</v>
      </c>
      <c r="DS7" s="2">
        <f>((IF((111='V06 Calend 01'!C7),('V06 Calend 01'!F7+'V06 Calend 01'!G7),0)+IF(AND(('V06 Calend 01'!E7&gt;0),(111&gt;'V06 Calend 01'!C7),(111&lt;'V06 Calend 01'!D7),(MOD((111-'V06 Calend 01'!C7),6)=0),(((111-'V06 Calend 01'!C7)/6)&lt;='V06 Calend 01'!E7)),IF((111=('V06 Calend 01'!C7+(6*'V06 Calend 01'!E7))),('V06 Calend 01'!H7-('V06 Calend 01'!I7*('V06 Calend 01'!E7-1))),'V06 Calend 01'!I7),0))+IF((111='V06 Calend 01'!D7),'V06 Calend 01'!J7,0))</f>
        <v>0</v>
      </c>
      <c r="DT7" s="2">
        <f>((IF((112='V06 Calend 01'!C7),('V06 Calend 01'!F7+'V06 Calend 01'!G7),0)+IF(AND(('V06 Calend 01'!E7&gt;0),(112&gt;'V06 Calend 01'!C7),(112&lt;'V06 Calend 01'!D7),(MOD((112-'V06 Calend 01'!C7),6)=0),(((112-'V06 Calend 01'!C7)/6)&lt;='V06 Calend 01'!E7)),IF((112=('V06 Calend 01'!C7+(6*'V06 Calend 01'!E7))),('V06 Calend 01'!H7-('V06 Calend 01'!I7*('V06 Calend 01'!E7-1))),'V06 Calend 01'!I7),0))+IF((112='V06 Calend 01'!D7),'V06 Calend 01'!J7,0))</f>
        <v>0</v>
      </c>
      <c r="DU7" s="2">
        <f>((IF((113='V06 Calend 01'!C7),('V06 Calend 01'!F7+'V06 Calend 01'!G7),0)+IF(AND(('V06 Calend 01'!E7&gt;0),(113&gt;'V06 Calend 01'!C7),(113&lt;'V06 Calend 01'!D7),(MOD((113-'V06 Calend 01'!C7),6)=0),(((113-'V06 Calend 01'!C7)/6)&lt;='V06 Calend 01'!E7)),IF((113=('V06 Calend 01'!C7+(6*'V06 Calend 01'!E7))),('V06 Calend 01'!H7-('V06 Calend 01'!I7*('V06 Calend 01'!E7-1))),'V06 Calend 01'!I7),0))+IF((113='V06 Calend 01'!D7),'V06 Calend 01'!J7,0))</f>
        <v>0</v>
      </c>
      <c r="DV7" s="2">
        <f>((IF((114='V06 Calend 01'!C7),('V06 Calend 01'!F7+'V06 Calend 01'!G7),0)+IF(AND(('V06 Calend 01'!E7&gt;0),(114&gt;'V06 Calend 01'!C7),(114&lt;'V06 Calend 01'!D7),(MOD((114-'V06 Calend 01'!C7),6)=0),(((114-'V06 Calend 01'!C7)/6)&lt;='V06 Calend 01'!E7)),IF((114=('V06 Calend 01'!C7+(6*'V06 Calend 01'!E7))),('V06 Calend 01'!H7-('V06 Calend 01'!I7*('V06 Calend 01'!E7-1))),'V06 Calend 01'!I7),0))+IF((114='V06 Calend 01'!D7),'V06 Calend 01'!J7,0))</f>
        <v>0</v>
      </c>
      <c r="DW7" s="2">
        <f>((IF((115='V06 Calend 01'!C7),('V06 Calend 01'!F7+'V06 Calend 01'!G7),0)+IF(AND(('V06 Calend 01'!E7&gt;0),(115&gt;'V06 Calend 01'!C7),(115&lt;'V06 Calend 01'!D7),(MOD((115-'V06 Calend 01'!C7),6)=0),(((115-'V06 Calend 01'!C7)/6)&lt;='V06 Calend 01'!E7)),IF((115=('V06 Calend 01'!C7+(6*'V06 Calend 01'!E7))),('V06 Calend 01'!H7-('V06 Calend 01'!I7*('V06 Calend 01'!E7-1))),'V06 Calend 01'!I7),0))+IF((115='V06 Calend 01'!D7),'V06 Calend 01'!J7,0))</f>
        <v>0</v>
      </c>
      <c r="DX7" s="2">
        <f>((IF((116='V06 Calend 01'!C7),('V06 Calend 01'!F7+'V06 Calend 01'!G7),0)+IF(AND(('V06 Calend 01'!E7&gt;0),(116&gt;'V06 Calend 01'!C7),(116&lt;'V06 Calend 01'!D7),(MOD((116-'V06 Calend 01'!C7),6)=0),(((116-'V06 Calend 01'!C7)/6)&lt;='V06 Calend 01'!E7)),IF((116=('V06 Calend 01'!C7+(6*'V06 Calend 01'!E7))),('V06 Calend 01'!H7-('V06 Calend 01'!I7*('V06 Calend 01'!E7-1))),'V06 Calend 01'!I7),0))+IF((116='V06 Calend 01'!D7),'V06 Calend 01'!J7,0))</f>
        <v>0</v>
      </c>
      <c r="DY7" s="2">
        <f>((IF((117='V06 Calend 01'!C7),('V06 Calend 01'!F7+'V06 Calend 01'!G7),0)+IF(AND(('V06 Calend 01'!E7&gt;0),(117&gt;'V06 Calend 01'!C7),(117&lt;'V06 Calend 01'!D7),(MOD((117-'V06 Calend 01'!C7),6)=0),(((117-'V06 Calend 01'!C7)/6)&lt;='V06 Calend 01'!E7)),IF((117=('V06 Calend 01'!C7+(6*'V06 Calend 01'!E7))),('V06 Calend 01'!H7-('V06 Calend 01'!I7*('V06 Calend 01'!E7-1))),'V06 Calend 01'!I7),0))+IF((117='V06 Calend 01'!D7),'V06 Calend 01'!J7,0))</f>
        <v>0</v>
      </c>
      <c r="DZ7" s="2">
        <f>((IF((118='V06 Calend 01'!C7),('V06 Calend 01'!F7+'V06 Calend 01'!G7),0)+IF(AND(('V06 Calend 01'!E7&gt;0),(118&gt;'V06 Calend 01'!C7),(118&lt;'V06 Calend 01'!D7),(MOD((118-'V06 Calend 01'!C7),6)=0),(((118-'V06 Calend 01'!C7)/6)&lt;='V06 Calend 01'!E7)),IF((118=('V06 Calend 01'!C7+(6*'V06 Calend 01'!E7))),('V06 Calend 01'!H7-('V06 Calend 01'!I7*('V06 Calend 01'!E7-1))),'V06 Calend 01'!I7),0))+IF((118='V06 Calend 01'!D7),'V06 Calend 01'!J7,0))</f>
        <v>0</v>
      </c>
      <c r="EA7" s="2">
        <f>((IF((119='V06 Calend 01'!C7),('V06 Calend 01'!F7+'V06 Calend 01'!G7),0)+IF(AND(('V06 Calend 01'!E7&gt;0),(119&gt;'V06 Calend 01'!C7),(119&lt;'V06 Calend 01'!D7),(MOD((119-'V06 Calend 01'!C7),6)=0),(((119-'V06 Calend 01'!C7)/6)&lt;='V06 Calend 01'!E7)),IF((119=('V06 Calend 01'!C7+(6*'V06 Calend 01'!E7))),('V06 Calend 01'!H7-('V06 Calend 01'!I7*('V06 Calend 01'!E7-1))),'V06 Calend 01'!I7),0))+IF((119='V06 Calend 01'!D7),'V06 Calend 01'!J7,0))</f>
        <v>0</v>
      </c>
      <c r="EB7" s="2">
        <f>((IF((120='V06 Calend 01'!C7),('V06 Calend 01'!F7+'V06 Calend 01'!G7),0)+IF(AND(('V06 Calend 01'!E7&gt;0),(120&gt;'V06 Calend 01'!C7),(120&lt;'V06 Calend 01'!D7),(MOD((120-'V06 Calend 01'!C7),6)=0),(((120-'V06 Calend 01'!C7)/6)&lt;='V06 Calend 01'!E7)),IF((120=('V06 Calend 01'!C7+(6*'V06 Calend 01'!E7))),('V06 Calend 01'!H7-('V06 Calend 01'!I7*('V06 Calend 01'!E7-1))),'V06 Calend 01'!I7),0))+IF((120='V06 Calend 01'!D7),'V06 Calend 01'!J7,0))</f>
        <v>0</v>
      </c>
      <c r="EC7" s="2">
        <f>((IF((121='V06 Calend 01'!C7),('V06 Calend 01'!F7+'V06 Calend 01'!G7),0)+IF(AND(('V06 Calend 01'!E7&gt;0),(121&gt;'V06 Calend 01'!C7),(121&lt;'V06 Calend 01'!D7),(MOD((121-'V06 Calend 01'!C7),6)=0),(((121-'V06 Calend 01'!C7)/6)&lt;='V06 Calend 01'!E7)),IF((121=('V06 Calend 01'!C7+(6*'V06 Calend 01'!E7))),('V06 Calend 01'!H7-('V06 Calend 01'!I7*('V06 Calend 01'!E7-1))),'V06 Calend 01'!I7),0))+IF((121='V06 Calend 01'!D7),'V06 Calend 01'!J7,0))</f>
        <v>0</v>
      </c>
      <c r="ED7" s="2">
        <f>((IF((122='V06 Calend 01'!C7),('V06 Calend 01'!F7+'V06 Calend 01'!G7),0)+IF(AND(('V06 Calend 01'!E7&gt;0),(122&gt;'V06 Calend 01'!C7),(122&lt;'V06 Calend 01'!D7),(MOD((122-'V06 Calend 01'!C7),6)=0),(((122-'V06 Calend 01'!C7)/6)&lt;='V06 Calend 01'!E7)),IF((122=('V06 Calend 01'!C7+(6*'V06 Calend 01'!E7))),('V06 Calend 01'!H7-('V06 Calend 01'!I7*('V06 Calend 01'!E7-1))),'V06 Calend 01'!I7),0))+IF((122='V06 Calend 01'!D7),'V06 Calend 01'!J7,0))</f>
        <v>0</v>
      </c>
      <c r="EE7" s="2">
        <f>((IF((123='V06 Calend 01'!C7),('V06 Calend 01'!F7+'V06 Calend 01'!G7),0)+IF(AND(('V06 Calend 01'!E7&gt;0),(123&gt;'V06 Calend 01'!C7),(123&lt;'V06 Calend 01'!D7),(MOD((123-'V06 Calend 01'!C7),6)=0),(((123-'V06 Calend 01'!C7)/6)&lt;='V06 Calend 01'!E7)),IF((123=('V06 Calend 01'!C7+(6*'V06 Calend 01'!E7))),('V06 Calend 01'!H7-('V06 Calend 01'!I7*('V06 Calend 01'!E7-1))),'V06 Calend 01'!I7),0))+IF((123='V06 Calend 01'!D7),'V06 Calend 01'!J7,0))</f>
        <v>0</v>
      </c>
      <c r="EF7" s="2">
        <f>((IF((124='V06 Calend 01'!C7),('V06 Calend 01'!F7+'V06 Calend 01'!G7),0)+IF(AND(('V06 Calend 01'!E7&gt;0),(124&gt;'V06 Calend 01'!C7),(124&lt;'V06 Calend 01'!D7),(MOD((124-'V06 Calend 01'!C7),6)=0),(((124-'V06 Calend 01'!C7)/6)&lt;='V06 Calend 01'!E7)),IF((124=('V06 Calend 01'!C7+(6*'V06 Calend 01'!E7))),('V06 Calend 01'!H7-('V06 Calend 01'!I7*('V06 Calend 01'!E7-1))),'V06 Calend 01'!I7),0))+IF((124='V06 Calend 01'!D7),'V06 Calend 01'!J7,0))</f>
        <v>0</v>
      </c>
      <c r="EG7" s="2">
        <f>((IF((125='V06 Calend 01'!C7),('V06 Calend 01'!F7+'V06 Calend 01'!G7),0)+IF(AND(('V06 Calend 01'!E7&gt;0),(125&gt;'V06 Calend 01'!C7),(125&lt;'V06 Calend 01'!D7),(MOD((125-'V06 Calend 01'!C7),6)=0),(((125-'V06 Calend 01'!C7)/6)&lt;='V06 Calend 01'!E7)),IF((125=('V06 Calend 01'!C7+(6*'V06 Calend 01'!E7))),('V06 Calend 01'!H7-('V06 Calend 01'!I7*('V06 Calend 01'!E7-1))),'V06 Calend 01'!I7),0))+IF((125='V06 Calend 01'!D7),'V06 Calend 01'!J7,0))</f>
        <v>0</v>
      </c>
      <c r="EH7" s="2">
        <f>((IF((126='V06 Calend 01'!C7),('V06 Calend 01'!F7+'V06 Calend 01'!G7),0)+IF(AND(('V06 Calend 01'!E7&gt;0),(126&gt;'V06 Calend 01'!C7),(126&lt;'V06 Calend 01'!D7),(MOD((126-'V06 Calend 01'!C7),6)=0),(((126-'V06 Calend 01'!C7)/6)&lt;='V06 Calend 01'!E7)),IF((126=('V06 Calend 01'!C7+(6*'V06 Calend 01'!E7))),('V06 Calend 01'!H7-('V06 Calend 01'!I7*('V06 Calend 01'!E7-1))),'V06 Calend 01'!I7),0))+IF((126='V06 Calend 01'!D7),'V06 Calend 01'!J7,0))</f>
        <v>0</v>
      </c>
      <c r="EI7" s="2">
        <f>((IF((127='V06 Calend 01'!C7),('V06 Calend 01'!F7+'V06 Calend 01'!G7),0)+IF(AND(('V06 Calend 01'!E7&gt;0),(127&gt;'V06 Calend 01'!C7),(127&lt;'V06 Calend 01'!D7),(MOD((127-'V06 Calend 01'!C7),6)=0),(((127-'V06 Calend 01'!C7)/6)&lt;='V06 Calend 01'!E7)),IF((127=('V06 Calend 01'!C7+(6*'V06 Calend 01'!E7))),('V06 Calend 01'!H7-('V06 Calend 01'!I7*('V06 Calend 01'!E7-1))),'V06 Calend 01'!I7),0))+IF((127='V06 Calend 01'!D7),'V06 Calend 01'!J7,0))</f>
        <v>0</v>
      </c>
      <c r="EJ7" s="2">
        <f>((IF((128='V06 Calend 01'!C7),('V06 Calend 01'!F7+'V06 Calend 01'!G7),0)+IF(AND(('V06 Calend 01'!E7&gt;0),(128&gt;'V06 Calend 01'!C7),(128&lt;'V06 Calend 01'!D7),(MOD((128-'V06 Calend 01'!C7),6)=0),(((128-'V06 Calend 01'!C7)/6)&lt;='V06 Calend 01'!E7)),IF((128=('V06 Calend 01'!C7+(6*'V06 Calend 01'!E7))),('V06 Calend 01'!H7-('V06 Calend 01'!I7*('V06 Calend 01'!E7-1))),'V06 Calend 01'!I7),0))+IF((128='V06 Calend 01'!D7),'V06 Calend 01'!J7,0))</f>
        <v>0</v>
      </c>
      <c r="EK7" s="2">
        <f>((IF((129='V06 Calend 01'!C7),('V06 Calend 01'!F7+'V06 Calend 01'!G7),0)+IF(AND(('V06 Calend 01'!E7&gt;0),(129&gt;'V06 Calend 01'!C7),(129&lt;'V06 Calend 01'!D7),(MOD((129-'V06 Calend 01'!C7),6)=0),(((129-'V06 Calend 01'!C7)/6)&lt;='V06 Calend 01'!E7)),IF((129=('V06 Calend 01'!C7+(6*'V06 Calend 01'!E7))),('V06 Calend 01'!H7-('V06 Calend 01'!I7*('V06 Calend 01'!E7-1))),'V06 Calend 01'!I7),0))+IF((129='V06 Calend 01'!D7),'V06 Calend 01'!J7,0))</f>
        <v>0</v>
      </c>
      <c r="EL7" s="2">
        <f>((IF((130='V06 Calend 01'!C7),('V06 Calend 01'!F7+'V06 Calend 01'!G7),0)+IF(AND(('V06 Calend 01'!E7&gt;0),(130&gt;'V06 Calend 01'!C7),(130&lt;'V06 Calend 01'!D7),(MOD((130-'V06 Calend 01'!C7),6)=0),(((130-'V06 Calend 01'!C7)/6)&lt;='V06 Calend 01'!E7)),IF((130=('V06 Calend 01'!C7+(6*'V06 Calend 01'!E7))),('V06 Calend 01'!H7-('V06 Calend 01'!I7*('V06 Calend 01'!E7-1))),'V06 Calend 01'!I7),0))+IF((130='V06 Calend 01'!D7),'V06 Calend 01'!J7,0))</f>
        <v>0</v>
      </c>
      <c r="EM7" s="2">
        <f>((IF((131='V06 Calend 01'!C7),('V06 Calend 01'!F7+'V06 Calend 01'!G7),0)+IF(AND(('V06 Calend 01'!E7&gt;0),(131&gt;'V06 Calend 01'!C7),(131&lt;'V06 Calend 01'!D7),(MOD((131-'V06 Calend 01'!C7),6)=0),(((131-'V06 Calend 01'!C7)/6)&lt;='V06 Calend 01'!E7)),IF((131=('V06 Calend 01'!C7+(6*'V06 Calend 01'!E7))),('V06 Calend 01'!H7-('V06 Calend 01'!I7*('V06 Calend 01'!E7-1))),'V06 Calend 01'!I7),0))+IF((131='V06 Calend 01'!D7),'V06 Calend 01'!J7,0))</f>
        <v>0</v>
      </c>
      <c r="EN7" s="2">
        <f>((IF((132='V06 Calend 01'!C7),('V06 Calend 01'!F7+'V06 Calend 01'!G7),0)+IF(AND(('V06 Calend 01'!E7&gt;0),(132&gt;'V06 Calend 01'!C7),(132&lt;'V06 Calend 01'!D7),(MOD((132-'V06 Calend 01'!C7),6)=0),(((132-'V06 Calend 01'!C7)/6)&lt;='V06 Calend 01'!E7)),IF((132=('V06 Calend 01'!C7+(6*'V06 Calend 01'!E7))),('V06 Calend 01'!H7-('V06 Calend 01'!I7*('V06 Calend 01'!E7-1))),'V06 Calend 01'!I7),0))+IF((132='V06 Calend 01'!D7),'V06 Calend 01'!J7,0))</f>
        <v>0</v>
      </c>
      <c r="EO7" s="2">
        <f>((IF((133='V06 Calend 01'!C7),('V06 Calend 01'!F7+'V06 Calend 01'!G7),0)+IF(AND(('V06 Calend 01'!E7&gt;0),(133&gt;'V06 Calend 01'!C7),(133&lt;'V06 Calend 01'!D7),(MOD((133-'V06 Calend 01'!C7),6)=0),(((133-'V06 Calend 01'!C7)/6)&lt;='V06 Calend 01'!E7)),IF((133=('V06 Calend 01'!C7+(6*'V06 Calend 01'!E7))),('V06 Calend 01'!H7-('V06 Calend 01'!I7*('V06 Calend 01'!E7-1))),'V06 Calend 01'!I7),0))+IF((133='V06 Calend 01'!D7),'V06 Calend 01'!J7,0))</f>
        <v>0</v>
      </c>
      <c r="EP7" s="2">
        <f>((IF((134='V06 Calend 01'!C7),('V06 Calend 01'!F7+'V06 Calend 01'!G7),0)+IF(AND(('V06 Calend 01'!E7&gt;0),(134&gt;'V06 Calend 01'!C7),(134&lt;'V06 Calend 01'!D7),(MOD((134-'V06 Calend 01'!C7),6)=0),(((134-'V06 Calend 01'!C7)/6)&lt;='V06 Calend 01'!E7)),IF((134=('V06 Calend 01'!C7+(6*'V06 Calend 01'!E7))),('V06 Calend 01'!H7-('V06 Calend 01'!I7*('V06 Calend 01'!E7-1))),'V06 Calend 01'!I7),0))+IF((134='V06 Calend 01'!D7),'V06 Calend 01'!J7,0))</f>
        <v>0</v>
      </c>
      <c r="EQ7" s="2">
        <f>((IF((135='V06 Calend 01'!C7),('V06 Calend 01'!F7+'V06 Calend 01'!G7),0)+IF(AND(('V06 Calend 01'!E7&gt;0),(135&gt;'V06 Calend 01'!C7),(135&lt;'V06 Calend 01'!D7),(MOD((135-'V06 Calend 01'!C7),6)=0),(((135-'V06 Calend 01'!C7)/6)&lt;='V06 Calend 01'!E7)),IF((135=('V06 Calend 01'!C7+(6*'V06 Calend 01'!E7))),('V06 Calend 01'!H7-('V06 Calend 01'!I7*('V06 Calend 01'!E7-1))),'V06 Calend 01'!I7),0))+IF((135='V06 Calend 01'!D7),'V06 Calend 01'!J7,0))</f>
        <v>0</v>
      </c>
      <c r="ER7" s="2">
        <f>((IF((136='V06 Calend 01'!C7),('V06 Calend 01'!F7+'V06 Calend 01'!G7),0)+IF(AND(('V06 Calend 01'!E7&gt;0),(136&gt;'V06 Calend 01'!C7),(136&lt;'V06 Calend 01'!D7),(MOD((136-'V06 Calend 01'!C7),6)=0),(((136-'V06 Calend 01'!C7)/6)&lt;='V06 Calend 01'!E7)),IF((136=('V06 Calend 01'!C7+(6*'V06 Calend 01'!E7))),('V06 Calend 01'!H7-('V06 Calend 01'!I7*('V06 Calend 01'!E7-1))),'V06 Calend 01'!I7),0))+IF((136='V06 Calend 01'!D7),'V06 Calend 01'!J7,0))</f>
        <v>0</v>
      </c>
      <c r="ES7" s="2">
        <f>((IF((137='V06 Calend 01'!C7),('V06 Calend 01'!F7+'V06 Calend 01'!G7),0)+IF(AND(('V06 Calend 01'!E7&gt;0),(137&gt;'V06 Calend 01'!C7),(137&lt;'V06 Calend 01'!D7),(MOD((137-'V06 Calend 01'!C7),6)=0),(((137-'V06 Calend 01'!C7)/6)&lt;='V06 Calend 01'!E7)),IF((137=('V06 Calend 01'!C7+(6*'V06 Calend 01'!E7))),('V06 Calend 01'!H7-('V06 Calend 01'!I7*('V06 Calend 01'!E7-1))),'V06 Calend 01'!I7),0))+IF((137='V06 Calend 01'!D7),'V06 Calend 01'!J7,0))</f>
        <v>0</v>
      </c>
      <c r="ET7" s="2">
        <f>((IF((138='V06 Calend 01'!C7),('V06 Calend 01'!F7+'V06 Calend 01'!G7),0)+IF(AND(('V06 Calend 01'!E7&gt;0),(138&gt;'V06 Calend 01'!C7),(138&lt;'V06 Calend 01'!D7),(MOD((138-'V06 Calend 01'!C7),6)=0),(((138-'V06 Calend 01'!C7)/6)&lt;='V06 Calend 01'!E7)),IF((138=('V06 Calend 01'!C7+(6*'V06 Calend 01'!E7))),('V06 Calend 01'!H7-('V06 Calend 01'!I7*('V06 Calend 01'!E7-1))),'V06 Calend 01'!I7),0))+IF((138='V06 Calend 01'!D7),'V06 Calend 01'!J7,0))</f>
        <v>0</v>
      </c>
      <c r="EU7" s="2">
        <f>((IF((139='V06 Calend 01'!C7),('V06 Calend 01'!F7+'V06 Calend 01'!G7),0)+IF(AND(('V06 Calend 01'!E7&gt;0),(139&gt;'V06 Calend 01'!C7),(139&lt;'V06 Calend 01'!D7),(MOD((139-'V06 Calend 01'!C7),6)=0),(((139-'V06 Calend 01'!C7)/6)&lt;='V06 Calend 01'!E7)),IF((139=('V06 Calend 01'!C7+(6*'V06 Calend 01'!E7))),('V06 Calend 01'!H7-('V06 Calend 01'!I7*('V06 Calend 01'!E7-1))),'V06 Calend 01'!I7),0))+IF((139='V06 Calend 01'!D7),'V06 Calend 01'!J7,0))</f>
        <v>0</v>
      </c>
      <c r="EV7" s="2">
        <f>((IF((140='V06 Calend 01'!C7),('V06 Calend 01'!F7+'V06 Calend 01'!G7),0)+IF(AND(('V06 Calend 01'!E7&gt;0),(140&gt;'V06 Calend 01'!C7),(140&lt;'V06 Calend 01'!D7),(MOD((140-'V06 Calend 01'!C7),6)=0),(((140-'V06 Calend 01'!C7)/6)&lt;='V06 Calend 01'!E7)),IF((140=('V06 Calend 01'!C7+(6*'V06 Calend 01'!E7))),('V06 Calend 01'!H7-('V06 Calend 01'!I7*('V06 Calend 01'!E7-1))),'V06 Calend 01'!I7),0))+IF((140='V06 Calend 01'!D7),'V06 Calend 01'!J7,0))</f>
        <v>0</v>
      </c>
      <c r="EW7" s="2">
        <f>((IF((141='V06 Calend 01'!C7),('V06 Calend 01'!F7+'V06 Calend 01'!G7),0)+IF(AND(('V06 Calend 01'!E7&gt;0),(141&gt;'V06 Calend 01'!C7),(141&lt;'V06 Calend 01'!D7),(MOD((141-'V06 Calend 01'!C7),6)=0),(((141-'V06 Calend 01'!C7)/6)&lt;='V06 Calend 01'!E7)),IF((141=('V06 Calend 01'!C7+(6*'V06 Calend 01'!E7))),('V06 Calend 01'!H7-('V06 Calend 01'!I7*('V06 Calend 01'!E7-1))),'V06 Calend 01'!I7),0))+IF((141='V06 Calend 01'!D7),'V06 Calend 01'!J7,0))</f>
        <v>0</v>
      </c>
      <c r="EX7" s="2">
        <f>((IF((142='V06 Calend 01'!C7),('V06 Calend 01'!F7+'V06 Calend 01'!G7),0)+IF(AND(('V06 Calend 01'!E7&gt;0),(142&gt;'V06 Calend 01'!C7),(142&lt;'V06 Calend 01'!D7),(MOD((142-'V06 Calend 01'!C7),6)=0),(((142-'V06 Calend 01'!C7)/6)&lt;='V06 Calend 01'!E7)),IF((142=('V06 Calend 01'!C7+(6*'V06 Calend 01'!E7))),('V06 Calend 01'!H7-('V06 Calend 01'!I7*('V06 Calend 01'!E7-1))),'V06 Calend 01'!I7),0))+IF((142='V06 Calend 01'!D7),'V06 Calend 01'!J7,0))</f>
        <v>0</v>
      </c>
      <c r="EY7" s="2">
        <f>((IF((143='V06 Calend 01'!C7),('V06 Calend 01'!F7+'V06 Calend 01'!G7),0)+IF(AND(('V06 Calend 01'!E7&gt;0),(143&gt;'V06 Calend 01'!C7),(143&lt;'V06 Calend 01'!D7),(MOD((143-'V06 Calend 01'!C7),6)=0),(((143-'V06 Calend 01'!C7)/6)&lt;='V06 Calend 01'!E7)),IF((143=('V06 Calend 01'!C7+(6*'V06 Calend 01'!E7))),('V06 Calend 01'!H7-('V06 Calend 01'!I7*('V06 Calend 01'!E7-1))),'V06 Calend 01'!I7),0))+IF((143='V06 Calend 01'!D7),'V06 Calend 01'!J7,0))</f>
        <v>0</v>
      </c>
      <c r="EZ7" s="2">
        <f>((IF((144='V06 Calend 01'!C7),('V06 Calend 01'!F7+'V06 Calend 01'!G7),0)+IF(AND(('V06 Calend 01'!E7&gt;0),(144&gt;'V06 Calend 01'!C7),(144&lt;'V06 Calend 01'!D7),(MOD((144-'V06 Calend 01'!C7),6)=0),(((144-'V06 Calend 01'!C7)/6)&lt;='V06 Calend 01'!E7)),IF((144=('V06 Calend 01'!C7+(6*'V06 Calend 01'!E7))),('V06 Calend 01'!H7-('V06 Calend 01'!I7*('V06 Calend 01'!E7-1))),'V06 Calend 01'!I7),0))+IF((144='V06 Calend 01'!D7),'V06 Calend 01'!J7,0))</f>
        <v>0</v>
      </c>
      <c r="FA7" s="2">
        <f>((IF((145='V06 Calend 01'!C7),('V06 Calend 01'!F7+'V06 Calend 01'!G7),0)+IF(AND(('V06 Calend 01'!E7&gt;0),(145&gt;'V06 Calend 01'!C7),(145&lt;'V06 Calend 01'!D7),(MOD((145-'V06 Calend 01'!C7),6)=0),(((145-'V06 Calend 01'!C7)/6)&lt;='V06 Calend 01'!E7)),IF((145=('V06 Calend 01'!C7+(6*'V06 Calend 01'!E7))),('V06 Calend 01'!H7-('V06 Calend 01'!I7*('V06 Calend 01'!E7-1))),'V06 Calend 01'!I7),0))+IF((145='V06 Calend 01'!D7),'V06 Calend 01'!J7,0))</f>
        <v>0</v>
      </c>
      <c r="FB7" s="2">
        <f>((IF((146='V06 Calend 01'!C7),('V06 Calend 01'!F7+'V06 Calend 01'!G7),0)+IF(AND(('V06 Calend 01'!E7&gt;0),(146&gt;'V06 Calend 01'!C7),(146&lt;'V06 Calend 01'!D7),(MOD((146-'V06 Calend 01'!C7),6)=0),(((146-'V06 Calend 01'!C7)/6)&lt;='V06 Calend 01'!E7)),IF((146=('V06 Calend 01'!C7+(6*'V06 Calend 01'!E7))),('V06 Calend 01'!H7-('V06 Calend 01'!I7*('V06 Calend 01'!E7-1))),'V06 Calend 01'!I7),0))+IF((146='V06 Calend 01'!D7),'V06 Calend 01'!J7,0))</f>
        <v>0</v>
      </c>
      <c r="FC7" s="2">
        <f>((IF((147='V06 Calend 01'!C7),('V06 Calend 01'!F7+'V06 Calend 01'!G7),0)+IF(AND(('V06 Calend 01'!E7&gt;0),(147&gt;'V06 Calend 01'!C7),(147&lt;'V06 Calend 01'!D7),(MOD((147-'V06 Calend 01'!C7),6)=0),(((147-'V06 Calend 01'!C7)/6)&lt;='V06 Calend 01'!E7)),IF((147=('V06 Calend 01'!C7+(6*'V06 Calend 01'!E7))),('V06 Calend 01'!H7-('V06 Calend 01'!I7*('V06 Calend 01'!E7-1))),'V06 Calend 01'!I7),0))+IF((147='V06 Calend 01'!D7),'V06 Calend 01'!J7,0))</f>
        <v>0</v>
      </c>
      <c r="FD7" s="2">
        <f>((IF((148='V06 Calend 01'!C7),('V06 Calend 01'!F7+'V06 Calend 01'!G7),0)+IF(AND(('V06 Calend 01'!E7&gt;0),(148&gt;'V06 Calend 01'!C7),(148&lt;'V06 Calend 01'!D7),(MOD((148-'V06 Calend 01'!C7),6)=0),(((148-'V06 Calend 01'!C7)/6)&lt;='V06 Calend 01'!E7)),IF((148=('V06 Calend 01'!C7+(6*'V06 Calend 01'!E7))),('V06 Calend 01'!H7-('V06 Calend 01'!I7*('V06 Calend 01'!E7-1))),'V06 Calend 01'!I7),0))+IF((148='V06 Calend 01'!D7),'V06 Calend 01'!J7,0))</f>
        <v>0</v>
      </c>
      <c r="FE7" s="2">
        <f>((IF((149='V06 Calend 01'!C7),('V06 Calend 01'!F7+'V06 Calend 01'!G7),0)+IF(AND(('V06 Calend 01'!E7&gt;0),(149&gt;'V06 Calend 01'!C7),(149&lt;'V06 Calend 01'!D7),(MOD((149-'V06 Calend 01'!C7),6)=0),(((149-'V06 Calend 01'!C7)/6)&lt;='V06 Calend 01'!E7)),IF((149=('V06 Calend 01'!C7+(6*'V06 Calend 01'!E7))),('V06 Calend 01'!H7-('V06 Calend 01'!I7*('V06 Calend 01'!E7-1))),'V06 Calend 01'!I7),0))+IF((149='V06 Calend 01'!D7),'V06 Calend 01'!J7,0))</f>
        <v>0</v>
      </c>
      <c r="FF7" s="2">
        <f>((IF((150='V06 Calend 01'!C7),('V06 Calend 01'!F7+'V06 Calend 01'!G7),0)+IF(AND(('V06 Calend 01'!E7&gt;0),(150&gt;'V06 Calend 01'!C7),(150&lt;'V06 Calend 01'!D7),(MOD((150-'V06 Calend 01'!C7),6)=0),(((150-'V06 Calend 01'!C7)/6)&lt;='V06 Calend 01'!E7)),IF((150=('V06 Calend 01'!C7+(6*'V06 Calend 01'!E7))),('V06 Calend 01'!H7-('V06 Calend 01'!I7*('V06 Calend 01'!E7-1))),'V06 Calend 01'!I7),0))+IF((150='V06 Calend 01'!D7),'V06 Calend 01'!J7,0))</f>
        <v>0</v>
      </c>
      <c r="FG7" s="2">
        <f>((IF((151='V06 Calend 01'!C7),('V06 Calend 01'!F7+'V06 Calend 01'!G7),0)+IF(AND(('V06 Calend 01'!E7&gt;0),(151&gt;'V06 Calend 01'!C7),(151&lt;'V06 Calend 01'!D7),(MOD((151-'V06 Calend 01'!C7),6)=0),(((151-'V06 Calend 01'!C7)/6)&lt;='V06 Calend 01'!E7)),IF((151=('V06 Calend 01'!C7+(6*'V06 Calend 01'!E7))),('V06 Calend 01'!H7-('V06 Calend 01'!I7*('V06 Calend 01'!E7-1))),'V06 Calend 01'!I7),0))+IF((151='V06 Calend 01'!D7),'V06 Calend 01'!J7,0))</f>
        <v>0</v>
      </c>
      <c r="FH7" s="2">
        <f>((IF((152='V06 Calend 01'!C7),('V06 Calend 01'!F7+'V06 Calend 01'!G7),0)+IF(AND(('V06 Calend 01'!E7&gt;0),(152&gt;'V06 Calend 01'!C7),(152&lt;'V06 Calend 01'!D7),(MOD((152-'V06 Calend 01'!C7),6)=0),(((152-'V06 Calend 01'!C7)/6)&lt;='V06 Calend 01'!E7)),IF((152=('V06 Calend 01'!C7+(6*'V06 Calend 01'!E7))),('V06 Calend 01'!H7-('V06 Calend 01'!I7*('V06 Calend 01'!E7-1))),'V06 Calend 01'!I7),0))+IF((152='V06 Calend 01'!D7),'V06 Calend 01'!J7,0))</f>
        <v>0</v>
      </c>
      <c r="FI7" s="2">
        <f>((IF((153='V06 Calend 01'!C7),('V06 Calend 01'!F7+'V06 Calend 01'!G7),0)+IF(AND(('V06 Calend 01'!E7&gt;0),(153&gt;'V06 Calend 01'!C7),(153&lt;'V06 Calend 01'!D7),(MOD((153-'V06 Calend 01'!C7),6)=0),(((153-'V06 Calend 01'!C7)/6)&lt;='V06 Calend 01'!E7)),IF((153=('V06 Calend 01'!C7+(6*'V06 Calend 01'!E7))),('V06 Calend 01'!H7-('V06 Calend 01'!I7*('V06 Calend 01'!E7-1))),'V06 Calend 01'!I7),0))+IF((153='V06 Calend 01'!D7),'V06 Calend 01'!J7,0))</f>
        <v>0</v>
      </c>
      <c r="FJ7" s="2">
        <f>((IF((154='V06 Calend 01'!C7),('V06 Calend 01'!F7+'V06 Calend 01'!G7),0)+IF(AND(('V06 Calend 01'!E7&gt;0),(154&gt;'V06 Calend 01'!C7),(154&lt;'V06 Calend 01'!D7),(MOD((154-'V06 Calend 01'!C7),6)=0),(((154-'V06 Calend 01'!C7)/6)&lt;='V06 Calend 01'!E7)),IF((154=('V06 Calend 01'!C7+(6*'V06 Calend 01'!E7))),('V06 Calend 01'!H7-('V06 Calend 01'!I7*('V06 Calend 01'!E7-1))),'V06 Calend 01'!I7),0))+IF((154='V06 Calend 01'!D7),'V06 Calend 01'!J7,0))</f>
        <v>0</v>
      </c>
      <c r="FK7" s="2">
        <f>((IF((155='V06 Calend 01'!C7),('V06 Calend 01'!F7+'V06 Calend 01'!G7),0)+IF(AND(('V06 Calend 01'!E7&gt;0),(155&gt;'V06 Calend 01'!C7),(155&lt;'V06 Calend 01'!D7),(MOD((155-'V06 Calend 01'!C7),6)=0),(((155-'V06 Calend 01'!C7)/6)&lt;='V06 Calend 01'!E7)),IF((155=('V06 Calend 01'!C7+(6*'V06 Calend 01'!E7))),('V06 Calend 01'!H7-('V06 Calend 01'!I7*('V06 Calend 01'!E7-1))),'V06 Calend 01'!I7),0))+IF((155='V06 Calend 01'!D7),'V06 Calend 01'!J7,0))</f>
        <v>0</v>
      </c>
      <c r="FL7" s="2">
        <f>((IF((156='V06 Calend 01'!C7),('V06 Calend 01'!F7+'V06 Calend 01'!G7),0)+IF(AND(('V06 Calend 01'!E7&gt;0),(156&gt;'V06 Calend 01'!C7),(156&lt;'V06 Calend 01'!D7),(MOD((156-'V06 Calend 01'!C7),6)=0),(((156-'V06 Calend 01'!C7)/6)&lt;='V06 Calend 01'!E7)),IF((156=('V06 Calend 01'!C7+(6*'V06 Calend 01'!E7))),('V06 Calend 01'!H7-('V06 Calend 01'!I7*('V06 Calend 01'!E7-1))),'V06 Calend 01'!I7),0))+IF((156='V06 Calend 01'!D7),'V06 Calend 01'!J7,0))</f>
        <v>0</v>
      </c>
      <c r="FM7" s="2">
        <f>((IF((157='V06 Calend 01'!C7),('V06 Calend 01'!F7+'V06 Calend 01'!G7),0)+IF(AND(('V06 Calend 01'!E7&gt;0),(157&gt;'V06 Calend 01'!C7),(157&lt;'V06 Calend 01'!D7),(MOD((157-'V06 Calend 01'!C7),6)=0),(((157-'V06 Calend 01'!C7)/6)&lt;='V06 Calend 01'!E7)),IF((157=('V06 Calend 01'!C7+(6*'V06 Calend 01'!E7))),('V06 Calend 01'!H7-('V06 Calend 01'!I7*('V06 Calend 01'!E7-1))),'V06 Calend 01'!I7),0))+IF((157='V06 Calend 01'!D7),'V06 Calend 01'!J7,0))</f>
        <v>0</v>
      </c>
      <c r="FN7" s="2">
        <f>((IF((158='V06 Calend 01'!C7),('V06 Calend 01'!F7+'V06 Calend 01'!G7),0)+IF(AND(('V06 Calend 01'!E7&gt;0),(158&gt;'V06 Calend 01'!C7),(158&lt;'V06 Calend 01'!D7),(MOD((158-'V06 Calend 01'!C7),6)=0),(((158-'V06 Calend 01'!C7)/6)&lt;='V06 Calend 01'!E7)),IF((158=('V06 Calend 01'!C7+(6*'V06 Calend 01'!E7))),('V06 Calend 01'!H7-('V06 Calend 01'!I7*('V06 Calend 01'!E7-1))),'V06 Calend 01'!I7),0))+IF((158='V06 Calend 01'!D7),'V06 Calend 01'!J7,0))</f>
        <v>0</v>
      </c>
      <c r="FO7" s="2">
        <f>((IF((159='V06 Calend 01'!C7),('V06 Calend 01'!F7+'V06 Calend 01'!G7),0)+IF(AND(('V06 Calend 01'!E7&gt;0),(159&gt;'V06 Calend 01'!C7),(159&lt;'V06 Calend 01'!D7),(MOD((159-'V06 Calend 01'!C7),6)=0),(((159-'V06 Calend 01'!C7)/6)&lt;='V06 Calend 01'!E7)),IF((159=('V06 Calend 01'!C7+(6*'V06 Calend 01'!E7))),('V06 Calend 01'!H7-('V06 Calend 01'!I7*('V06 Calend 01'!E7-1))),'V06 Calend 01'!I7),0))+IF((159='V06 Calend 01'!D7),'V06 Calend 01'!J7,0))</f>
        <v>0</v>
      </c>
      <c r="FP7" s="2">
        <f>((IF((160='V06 Calend 01'!C7),('V06 Calend 01'!F7+'V06 Calend 01'!G7),0)+IF(AND(('V06 Calend 01'!E7&gt;0),(160&gt;'V06 Calend 01'!C7),(160&lt;'V06 Calend 01'!D7),(MOD((160-'V06 Calend 01'!C7),6)=0),(((160-'V06 Calend 01'!C7)/6)&lt;='V06 Calend 01'!E7)),IF((160=('V06 Calend 01'!C7+(6*'V06 Calend 01'!E7))),('V06 Calend 01'!H7-('V06 Calend 01'!I7*('V06 Calend 01'!E7-1))),'V06 Calend 01'!I7),0))+IF((160='V06 Calend 01'!D7),'V06 Calend 01'!J7,0))</f>
        <v>0</v>
      </c>
      <c r="FQ7" s="2">
        <f>((IF((161='V06 Calend 01'!C7),('V06 Calend 01'!F7+'V06 Calend 01'!G7),0)+IF(AND(('V06 Calend 01'!E7&gt;0),(161&gt;'V06 Calend 01'!C7),(161&lt;'V06 Calend 01'!D7),(MOD((161-'V06 Calend 01'!C7),6)=0),(((161-'V06 Calend 01'!C7)/6)&lt;='V06 Calend 01'!E7)),IF((161=('V06 Calend 01'!C7+(6*'V06 Calend 01'!E7))),('V06 Calend 01'!H7-('V06 Calend 01'!I7*('V06 Calend 01'!E7-1))),'V06 Calend 01'!I7),0))+IF((161='V06 Calend 01'!D7),'V06 Calend 01'!J7,0))</f>
        <v>0</v>
      </c>
      <c r="FR7" s="2">
        <f>((IF((162='V06 Calend 01'!C7),('V06 Calend 01'!F7+'V06 Calend 01'!G7),0)+IF(AND(('V06 Calend 01'!E7&gt;0),(162&gt;'V06 Calend 01'!C7),(162&lt;'V06 Calend 01'!D7),(MOD((162-'V06 Calend 01'!C7),6)=0),(((162-'V06 Calend 01'!C7)/6)&lt;='V06 Calend 01'!E7)),IF((162=('V06 Calend 01'!C7+(6*'V06 Calend 01'!E7))),('V06 Calend 01'!H7-('V06 Calend 01'!I7*('V06 Calend 01'!E7-1))),'V06 Calend 01'!I7),0))+IF((162='V06 Calend 01'!D7),'V06 Calend 01'!J7,0))</f>
        <v>0</v>
      </c>
      <c r="FS7" s="2">
        <f>((IF((163='V06 Calend 01'!C7),('V06 Calend 01'!F7+'V06 Calend 01'!G7),0)+IF(AND(('V06 Calend 01'!E7&gt;0),(163&gt;'V06 Calend 01'!C7),(163&lt;'V06 Calend 01'!D7),(MOD((163-'V06 Calend 01'!C7),6)=0),(((163-'V06 Calend 01'!C7)/6)&lt;='V06 Calend 01'!E7)),IF((163=('V06 Calend 01'!C7+(6*'V06 Calend 01'!E7))),('V06 Calend 01'!H7-('V06 Calend 01'!I7*('V06 Calend 01'!E7-1))),'V06 Calend 01'!I7),0))+IF((163='V06 Calend 01'!D7),'V06 Calend 01'!J7,0))</f>
        <v>0</v>
      </c>
      <c r="FT7" s="2">
        <f>((IF((164='V06 Calend 01'!C7),('V06 Calend 01'!F7+'V06 Calend 01'!G7),0)+IF(AND(('V06 Calend 01'!E7&gt;0),(164&gt;'V06 Calend 01'!C7),(164&lt;'V06 Calend 01'!D7),(MOD((164-'V06 Calend 01'!C7),6)=0),(((164-'V06 Calend 01'!C7)/6)&lt;='V06 Calend 01'!E7)),IF((164=('V06 Calend 01'!C7+(6*'V06 Calend 01'!E7))),('V06 Calend 01'!H7-('V06 Calend 01'!I7*('V06 Calend 01'!E7-1))),'V06 Calend 01'!I7),0))+IF((164='V06 Calend 01'!D7),'V06 Calend 01'!J7,0))</f>
        <v>0</v>
      </c>
      <c r="FU7" s="2">
        <f>((IF((165='V06 Calend 01'!C7),('V06 Calend 01'!F7+'V06 Calend 01'!G7),0)+IF(AND(('V06 Calend 01'!E7&gt;0),(165&gt;'V06 Calend 01'!C7),(165&lt;'V06 Calend 01'!D7),(MOD((165-'V06 Calend 01'!C7),6)=0),(((165-'V06 Calend 01'!C7)/6)&lt;='V06 Calend 01'!E7)),IF((165=('V06 Calend 01'!C7+(6*'V06 Calend 01'!E7))),('V06 Calend 01'!H7-('V06 Calend 01'!I7*('V06 Calend 01'!E7-1))),'V06 Calend 01'!I7),0))+IF((165='V06 Calend 01'!D7),'V06 Calend 01'!J7,0))</f>
        <v>0</v>
      </c>
      <c r="FV7" s="2">
        <f>((IF((166='V06 Calend 01'!C7),('V06 Calend 01'!F7+'V06 Calend 01'!G7),0)+IF(AND(('V06 Calend 01'!E7&gt;0),(166&gt;'V06 Calend 01'!C7),(166&lt;'V06 Calend 01'!D7),(MOD((166-'V06 Calend 01'!C7),6)=0),(((166-'V06 Calend 01'!C7)/6)&lt;='V06 Calend 01'!E7)),IF((166=('V06 Calend 01'!C7+(6*'V06 Calend 01'!E7))),('V06 Calend 01'!H7-('V06 Calend 01'!I7*('V06 Calend 01'!E7-1))),'V06 Calend 01'!I7),0))+IF((166='V06 Calend 01'!D7),'V06 Calend 01'!J7,0))</f>
        <v>0</v>
      </c>
      <c r="FW7" s="2">
        <f>((IF((167='V06 Calend 01'!C7),('V06 Calend 01'!F7+'V06 Calend 01'!G7),0)+IF(AND(('V06 Calend 01'!E7&gt;0),(167&gt;'V06 Calend 01'!C7),(167&lt;'V06 Calend 01'!D7),(MOD((167-'V06 Calend 01'!C7),6)=0),(((167-'V06 Calend 01'!C7)/6)&lt;='V06 Calend 01'!E7)),IF((167=('V06 Calend 01'!C7+(6*'V06 Calend 01'!E7))),('V06 Calend 01'!H7-('V06 Calend 01'!I7*('V06 Calend 01'!E7-1))),'V06 Calend 01'!I7),0))+IF((167='V06 Calend 01'!D7),'V06 Calend 01'!J7,0))</f>
        <v>0</v>
      </c>
      <c r="FX7" s="2">
        <f>((IF((168='V06 Calend 01'!C7),('V06 Calend 01'!F7+'V06 Calend 01'!G7),0)+IF(AND(('V06 Calend 01'!E7&gt;0),(168&gt;'V06 Calend 01'!C7),(168&lt;'V06 Calend 01'!D7),(MOD((168-'V06 Calend 01'!C7),6)=0),(((168-'V06 Calend 01'!C7)/6)&lt;='V06 Calend 01'!E7)),IF((168=('V06 Calend 01'!C7+(6*'V06 Calend 01'!E7))),('V06 Calend 01'!H7-('V06 Calend 01'!I7*('V06 Calend 01'!E7-1))),'V06 Calend 01'!I7),0))+IF((168='V06 Calend 01'!D7),'V06 Calend 01'!J7,0))</f>
        <v>0</v>
      </c>
      <c r="FY7" s="2">
        <f>((IF((169='V06 Calend 01'!C7),('V06 Calend 01'!F7+'V06 Calend 01'!G7),0)+IF(AND(('V06 Calend 01'!E7&gt;0),(169&gt;'V06 Calend 01'!C7),(169&lt;'V06 Calend 01'!D7),(MOD((169-'V06 Calend 01'!C7),6)=0),(((169-'V06 Calend 01'!C7)/6)&lt;='V06 Calend 01'!E7)),IF((169=('V06 Calend 01'!C7+(6*'V06 Calend 01'!E7))),('V06 Calend 01'!H7-('V06 Calend 01'!I7*('V06 Calend 01'!E7-1))),'V06 Calend 01'!I7),0))+IF((169='V06 Calend 01'!D7),'V06 Calend 01'!J7,0))</f>
        <v>0</v>
      </c>
      <c r="FZ7" s="2">
        <f>((IF((170='V06 Calend 01'!C7),('V06 Calend 01'!F7+'V06 Calend 01'!G7),0)+IF(AND(('V06 Calend 01'!E7&gt;0),(170&gt;'V06 Calend 01'!C7),(170&lt;'V06 Calend 01'!D7),(MOD((170-'V06 Calend 01'!C7),6)=0),(((170-'V06 Calend 01'!C7)/6)&lt;='V06 Calend 01'!E7)),IF((170=('V06 Calend 01'!C7+(6*'V06 Calend 01'!E7))),('V06 Calend 01'!H7-('V06 Calend 01'!I7*('V06 Calend 01'!E7-1))),'V06 Calend 01'!I7),0))+IF((170='V06 Calend 01'!D7),'V06 Calend 01'!J7,0))</f>
        <v>0</v>
      </c>
      <c r="GA7" s="2">
        <f>((IF((171='V06 Calend 01'!C7),('V06 Calend 01'!F7+'V06 Calend 01'!G7),0)+IF(AND(('V06 Calend 01'!E7&gt;0),(171&gt;'V06 Calend 01'!C7),(171&lt;'V06 Calend 01'!D7),(MOD((171-'V06 Calend 01'!C7),6)=0),(((171-'V06 Calend 01'!C7)/6)&lt;='V06 Calend 01'!E7)),IF((171=('V06 Calend 01'!C7+(6*'V06 Calend 01'!E7))),('V06 Calend 01'!H7-('V06 Calend 01'!I7*('V06 Calend 01'!E7-1))),'V06 Calend 01'!I7),0))+IF((171='V06 Calend 01'!D7),'V06 Calend 01'!J7,0))</f>
        <v>0</v>
      </c>
      <c r="GB7" s="2">
        <f>((IF((172='V06 Calend 01'!C7),('V06 Calend 01'!F7+'V06 Calend 01'!G7),0)+IF(AND(('V06 Calend 01'!E7&gt;0),(172&gt;'V06 Calend 01'!C7),(172&lt;'V06 Calend 01'!D7),(MOD((172-'V06 Calend 01'!C7),6)=0),(((172-'V06 Calend 01'!C7)/6)&lt;='V06 Calend 01'!E7)),IF((172=('V06 Calend 01'!C7+(6*'V06 Calend 01'!E7))),('V06 Calend 01'!H7-('V06 Calend 01'!I7*('V06 Calend 01'!E7-1))),'V06 Calend 01'!I7),0))+IF((172='V06 Calend 01'!D7),'V06 Calend 01'!J7,0))</f>
        <v>0</v>
      </c>
      <c r="GC7" s="2">
        <f>((IF((173='V06 Calend 01'!C7),('V06 Calend 01'!F7+'V06 Calend 01'!G7),0)+IF(AND(('V06 Calend 01'!E7&gt;0),(173&gt;'V06 Calend 01'!C7),(173&lt;'V06 Calend 01'!D7),(MOD((173-'V06 Calend 01'!C7),6)=0),(((173-'V06 Calend 01'!C7)/6)&lt;='V06 Calend 01'!E7)),IF((173=('V06 Calend 01'!C7+(6*'V06 Calend 01'!E7))),('V06 Calend 01'!H7-('V06 Calend 01'!I7*('V06 Calend 01'!E7-1))),'V06 Calend 01'!I7),0))+IF((173='V06 Calend 01'!D7),'V06 Calend 01'!J7,0))</f>
        <v>0</v>
      </c>
      <c r="GD7" s="2">
        <f>((IF((174='V06 Calend 01'!C7),('V06 Calend 01'!F7+'V06 Calend 01'!G7),0)+IF(AND(('V06 Calend 01'!E7&gt;0),(174&gt;'V06 Calend 01'!C7),(174&lt;'V06 Calend 01'!D7),(MOD((174-'V06 Calend 01'!C7),6)=0),(((174-'V06 Calend 01'!C7)/6)&lt;='V06 Calend 01'!E7)),IF((174=('V06 Calend 01'!C7+(6*'V06 Calend 01'!E7))),('V06 Calend 01'!H7-('V06 Calend 01'!I7*('V06 Calend 01'!E7-1))),'V06 Calend 01'!I7),0))+IF((174='V06 Calend 01'!D7),'V06 Calend 01'!J7,0))</f>
        <v>0</v>
      </c>
      <c r="GE7" s="2">
        <f>((IF((175='V06 Calend 01'!C7),('V06 Calend 01'!F7+'V06 Calend 01'!G7),0)+IF(AND(('V06 Calend 01'!E7&gt;0),(175&gt;'V06 Calend 01'!C7),(175&lt;'V06 Calend 01'!D7),(MOD((175-'V06 Calend 01'!C7),6)=0),(((175-'V06 Calend 01'!C7)/6)&lt;='V06 Calend 01'!E7)),IF((175=('V06 Calend 01'!C7+(6*'V06 Calend 01'!E7))),('V06 Calend 01'!H7-('V06 Calend 01'!I7*('V06 Calend 01'!E7-1))),'V06 Calend 01'!I7),0))+IF((175='V06 Calend 01'!D7),'V06 Calend 01'!J7,0))</f>
        <v>0</v>
      </c>
      <c r="GF7" s="2">
        <f>((IF((176='V06 Calend 01'!C7),('V06 Calend 01'!F7+'V06 Calend 01'!G7),0)+IF(AND(('V06 Calend 01'!E7&gt;0),(176&gt;'V06 Calend 01'!C7),(176&lt;'V06 Calend 01'!D7),(MOD((176-'V06 Calend 01'!C7),6)=0),(((176-'V06 Calend 01'!C7)/6)&lt;='V06 Calend 01'!E7)),IF((176=('V06 Calend 01'!C7+(6*'V06 Calend 01'!E7))),('V06 Calend 01'!H7-('V06 Calend 01'!I7*('V06 Calend 01'!E7-1))),'V06 Calend 01'!I7),0))+IF((176='V06 Calend 01'!D7),'V06 Calend 01'!J7,0))</f>
        <v>0</v>
      </c>
      <c r="GG7" s="2">
        <f>((IF((177='V06 Calend 01'!C7),('V06 Calend 01'!F7+'V06 Calend 01'!G7),0)+IF(AND(('V06 Calend 01'!E7&gt;0),(177&gt;'V06 Calend 01'!C7),(177&lt;'V06 Calend 01'!D7),(MOD((177-'V06 Calend 01'!C7),6)=0),(((177-'V06 Calend 01'!C7)/6)&lt;='V06 Calend 01'!E7)),IF((177=('V06 Calend 01'!C7+(6*'V06 Calend 01'!E7))),('V06 Calend 01'!H7-('V06 Calend 01'!I7*('V06 Calend 01'!E7-1))),'V06 Calend 01'!I7),0))+IF((177='V06 Calend 01'!D7),'V06 Calend 01'!J7,0))</f>
        <v>0</v>
      </c>
      <c r="GH7" s="2">
        <f>((IF((178='V06 Calend 01'!C7),('V06 Calend 01'!F7+'V06 Calend 01'!G7),0)+IF(AND(('V06 Calend 01'!E7&gt;0),(178&gt;'V06 Calend 01'!C7),(178&lt;'V06 Calend 01'!D7),(MOD((178-'V06 Calend 01'!C7),6)=0),(((178-'V06 Calend 01'!C7)/6)&lt;='V06 Calend 01'!E7)),IF((178=('V06 Calend 01'!C7+(6*'V06 Calend 01'!E7))),('V06 Calend 01'!H7-('V06 Calend 01'!I7*('V06 Calend 01'!E7-1))),'V06 Calend 01'!I7),0))+IF((178='V06 Calend 01'!D7),'V06 Calend 01'!J7,0))</f>
        <v>0</v>
      </c>
      <c r="GI7" s="2">
        <f>((IF((179='V06 Calend 01'!C7),('V06 Calend 01'!F7+'V06 Calend 01'!G7),0)+IF(AND(('V06 Calend 01'!E7&gt;0),(179&gt;'V06 Calend 01'!C7),(179&lt;'V06 Calend 01'!D7),(MOD((179-'V06 Calend 01'!C7),6)=0),(((179-'V06 Calend 01'!C7)/6)&lt;='V06 Calend 01'!E7)),IF((179=('V06 Calend 01'!C7+(6*'V06 Calend 01'!E7))),('V06 Calend 01'!H7-('V06 Calend 01'!I7*('V06 Calend 01'!E7-1))),'V06 Calend 01'!I7),0))+IF((179='V06 Calend 01'!D7),'V06 Calend 01'!J7,0))</f>
        <v>0</v>
      </c>
      <c r="GJ7" s="2">
        <f>((IF((180='V06 Calend 01'!C7),('V06 Calend 01'!F7+'V06 Calend 01'!G7),0)+IF(AND(('V06 Calend 01'!E7&gt;0),(180&gt;'V06 Calend 01'!C7),(180&lt;'V06 Calend 01'!D7),(MOD((180-'V06 Calend 01'!C7),6)=0),(((180-'V06 Calend 01'!C7)/6)&lt;='V06 Calend 01'!E7)),IF((180=('V06 Calend 01'!C7+(6*'V06 Calend 01'!E7))),('V06 Calend 01'!H7-('V06 Calend 01'!I7*('V06 Calend 01'!E7-1))),'V06 Calend 01'!I7),0))+IF((180='V06 Calend 01'!D7),'V06 Calend 01'!J7,0))</f>
        <v>0</v>
      </c>
    </row>
    <row r="8" spans="1:192">
      <c r="A8" s="3" t="str">
        <f>'V06 Unidades'!$A$8</f>
        <v>204</v>
      </c>
      <c r="B8" s="2">
        <f>'V06 Unidades'!$H$8</f>
        <v>253000</v>
      </c>
      <c r="C8" s="4">
        <f>('V06 Unidades'!$I$8+'V06 Controlos'!$B$37)</f>
        <v>1</v>
      </c>
      <c r="D8" s="4">
        <f>IF(('V06 Controlos'!$B$38&gt;0),MAX(('V06 Unidades'!$L$8+'V06 Controlos'!$B$37),(30+'V06 Controlos'!$B$38)),('V06 Unidades'!$L$8+'V06 Controlos'!$B$37))</f>
        <v>28</v>
      </c>
      <c r="E8" s="4">
        <f>MAX(0,INT(((('V06 Calend 01'!D8-'V06 Calend 01'!C8)-1)/6)))</f>
        <v>4</v>
      </c>
      <c r="F8" s="2">
        <f>ROUND(('V06 Calend 01'!B8*0.05),2)</f>
        <v>12650.0</v>
      </c>
      <c r="G8" s="2">
        <f>ROUND(('V06 Calend 01'!B8*0.2),2)</f>
        <v>50600.0</v>
      </c>
      <c r="H8" s="2">
        <f>ROUND(('V06 Calend 01'!B8*0.55),2)</f>
        <v>139150.0</v>
      </c>
      <c r="I8" s="2">
        <f>ROUND(('V06 Calend 01'!H8/MAX(1,'V06 Calend 01'!E8)),2)</f>
        <v>34787.5</v>
      </c>
      <c r="J8" s="2">
        <f>((('V06 Calend 01'!B8-'V06 Calend 01'!F8)-'V06 Calend 01'!G8)-'V06 Calend 01'!H8)</f>
        <v>50600.0</v>
      </c>
      <c r="K8" s="2">
        <f>('V06 Calend 01'!B8*0.025)</f>
        <v>6325.0</v>
      </c>
      <c r="L8" t="s">
        <v>378</v>
      </c>
      <c r="M8" s="2">
        <f>((IF((1='V06 Calend 01'!C8),('V06 Calend 01'!F8+'V06 Calend 01'!G8),0)+IF(AND(('V06 Calend 01'!E8&gt;0),(1&gt;'V06 Calend 01'!C8),(1&lt;'V06 Calend 01'!D8),(MOD((1-'V06 Calend 01'!C8),6)=0),(((1-'V06 Calend 01'!C8)/6)&lt;='V06 Calend 01'!E8)),IF((1=('V06 Calend 01'!C8+(6*'V06 Calend 01'!E8))),('V06 Calend 01'!H8-('V06 Calend 01'!I8*('V06 Calend 01'!E8-1))),'V06 Calend 01'!I8),0))+IF((1='V06 Calend 01'!D8),'V06 Calend 01'!J8,0))</f>
        <v>63250.0</v>
      </c>
      <c r="N8" s="2">
        <f>((IF((2='V06 Calend 01'!C8),('V06 Calend 01'!F8+'V06 Calend 01'!G8),0)+IF(AND(('V06 Calend 01'!E8&gt;0),(2&gt;'V06 Calend 01'!C8),(2&lt;'V06 Calend 01'!D8),(MOD((2-'V06 Calend 01'!C8),6)=0),(((2-'V06 Calend 01'!C8)/6)&lt;='V06 Calend 01'!E8)),IF((2=('V06 Calend 01'!C8+(6*'V06 Calend 01'!E8))),('V06 Calend 01'!H8-('V06 Calend 01'!I8*('V06 Calend 01'!E8-1))),'V06 Calend 01'!I8),0))+IF((2='V06 Calend 01'!D8),'V06 Calend 01'!J8,0))</f>
        <v>0</v>
      </c>
      <c r="O8" s="2">
        <f>((IF((3='V06 Calend 01'!C8),('V06 Calend 01'!F8+'V06 Calend 01'!G8),0)+IF(AND(('V06 Calend 01'!E8&gt;0),(3&gt;'V06 Calend 01'!C8),(3&lt;'V06 Calend 01'!D8),(MOD((3-'V06 Calend 01'!C8),6)=0),(((3-'V06 Calend 01'!C8)/6)&lt;='V06 Calend 01'!E8)),IF((3=('V06 Calend 01'!C8+(6*'V06 Calend 01'!E8))),('V06 Calend 01'!H8-('V06 Calend 01'!I8*('V06 Calend 01'!E8-1))),'V06 Calend 01'!I8),0))+IF((3='V06 Calend 01'!D8),'V06 Calend 01'!J8,0))</f>
        <v>0</v>
      </c>
      <c r="P8" s="2">
        <f>((IF((4='V06 Calend 01'!C8),('V06 Calend 01'!F8+'V06 Calend 01'!G8),0)+IF(AND(('V06 Calend 01'!E8&gt;0),(4&gt;'V06 Calend 01'!C8),(4&lt;'V06 Calend 01'!D8),(MOD((4-'V06 Calend 01'!C8),6)=0),(((4-'V06 Calend 01'!C8)/6)&lt;='V06 Calend 01'!E8)),IF((4=('V06 Calend 01'!C8+(6*'V06 Calend 01'!E8))),('V06 Calend 01'!H8-('V06 Calend 01'!I8*('V06 Calend 01'!E8-1))),'V06 Calend 01'!I8),0))+IF((4='V06 Calend 01'!D8),'V06 Calend 01'!J8,0))</f>
        <v>0</v>
      </c>
      <c r="Q8" s="2">
        <f>((IF((5='V06 Calend 01'!C8),('V06 Calend 01'!F8+'V06 Calend 01'!G8),0)+IF(AND(('V06 Calend 01'!E8&gt;0),(5&gt;'V06 Calend 01'!C8),(5&lt;'V06 Calend 01'!D8),(MOD((5-'V06 Calend 01'!C8),6)=0),(((5-'V06 Calend 01'!C8)/6)&lt;='V06 Calend 01'!E8)),IF((5=('V06 Calend 01'!C8+(6*'V06 Calend 01'!E8))),('V06 Calend 01'!H8-('V06 Calend 01'!I8*('V06 Calend 01'!E8-1))),'V06 Calend 01'!I8),0))+IF((5='V06 Calend 01'!D8),'V06 Calend 01'!J8,0))</f>
        <v>0</v>
      </c>
      <c r="R8" s="2">
        <f>((IF((6='V06 Calend 01'!C8),('V06 Calend 01'!F8+'V06 Calend 01'!G8),0)+IF(AND(('V06 Calend 01'!E8&gt;0),(6&gt;'V06 Calend 01'!C8),(6&lt;'V06 Calend 01'!D8),(MOD((6-'V06 Calend 01'!C8),6)=0),(((6-'V06 Calend 01'!C8)/6)&lt;='V06 Calend 01'!E8)),IF((6=('V06 Calend 01'!C8+(6*'V06 Calend 01'!E8))),('V06 Calend 01'!H8-('V06 Calend 01'!I8*('V06 Calend 01'!E8-1))),'V06 Calend 01'!I8),0))+IF((6='V06 Calend 01'!D8),'V06 Calend 01'!J8,0))</f>
        <v>0</v>
      </c>
      <c r="S8" s="2">
        <f>((IF((7='V06 Calend 01'!C8),('V06 Calend 01'!F8+'V06 Calend 01'!G8),0)+IF(AND(('V06 Calend 01'!E8&gt;0),(7&gt;'V06 Calend 01'!C8),(7&lt;'V06 Calend 01'!D8),(MOD((7-'V06 Calend 01'!C8),6)=0),(((7-'V06 Calend 01'!C8)/6)&lt;='V06 Calend 01'!E8)),IF((7=('V06 Calend 01'!C8+(6*'V06 Calend 01'!E8))),('V06 Calend 01'!H8-('V06 Calend 01'!I8*('V06 Calend 01'!E8-1))),'V06 Calend 01'!I8),0))+IF((7='V06 Calend 01'!D8),'V06 Calend 01'!J8,0))</f>
        <v>34787.5</v>
      </c>
      <c r="T8" s="2">
        <f>((IF((8='V06 Calend 01'!C8),('V06 Calend 01'!F8+'V06 Calend 01'!G8),0)+IF(AND(('V06 Calend 01'!E8&gt;0),(8&gt;'V06 Calend 01'!C8),(8&lt;'V06 Calend 01'!D8),(MOD((8-'V06 Calend 01'!C8),6)=0),(((8-'V06 Calend 01'!C8)/6)&lt;='V06 Calend 01'!E8)),IF((8=('V06 Calend 01'!C8+(6*'V06 Calend 01'!E8))),('V06 Calend 01'!H8-('V06 Calend 01'!I8*('V06 Calend 01'!E8-1))),'V06 Calend 01'!I8),0))+IF((8='V06 Calend 01'!D8),'V06 Calend 01'!J8,0))</f>
        <v>0</v>
      </c>
      <c r="U8" s="2">
        <f>((IF((9='V06 Calend 01'!C8),('V06 Calend 01'!F8+'V06 Calend 01'!G8),0)+IF(AND(('V06 Calend 01'!E8&gt;0),(9&gt;'V06 Calend 01'!C8),(9&lt;'V06 Calend 01'!D8),(MOD((9-'V06 Calend 01'!C8),6)=0),(((9-'V06 Calend 01'!C8)/6)&lt;='V06 Calend 01'!E8)),IF((9=('V06 Calend 01'!C8+(6*'V06 Calend 01'!E8))),('V06 Calend 01'!H8-('V06 Calend 01'!I8*('V06 Calend 01'!E8-1))),'V06 Calend 01'!I8),0))+IF((9='V06 Calend 01'!D8),'V06 Calend 01'!J8,0))</f>
        <v>0</v>
      </c>
      <c r="V8" s="2">
        <f>((IF((10='V06 Calend 01'!C8),('V06 Calend 01'!F8+'V06 Calend 01'!G8),0)+IF(AND(('V06 Calend 01'!E8&gt;0),(10&gt;'V06 Calend 01'!C8),(10&lt;'V06 Calend 01'!D8),(MOD((10-'V06 Calend 01'!C8),6)=0),(((10-'V06 Calend 01'!C8)/6)&lt;='V06 Calend 01'!E8)),IF((10=('V06 Calend 01'!C8+(6*'V06 Calend 01'!E8))),('V06 Calend 01'!H8-('V06 Calend 01'!I8*('V06 Calend 01'!E8-1))),'V06 Calend 01'!I8),0))+IF((10='V06 Calend 01'!D8),'V06 Calend 01'!J8,0))</f>
        <v>0</v>
      </c>
      <c r="W8" s="2">
        <f>((IF((11='V06 Calend 01'!C8),('V06 Calend 01'!F8+'V06 Calend 01'!G8),0)+IF(AND(('V06 Calend 01'!E8&gt;0),(11&gt;'V06 Calend 01'!C8),(11&lt;'V06 Calend 01'!D8),(MOD((11-'V06 Calend 01'!C8),6)=0),(((11-'V06 Calend 01'!C8)/6)&lt;='V06 Calend 01'!E8)),IF((11=('V06 Calend 01'!C8+(6*'V06 Calend 01'!E8))),('V06 Calend 01'!H8-('V06 Calend 01'!I8*('V06 Calend 01'!E8-1))),'V06 Calend 01'!I8),0))+IF((11='V06 Calend 01'!D8),'V06 Calend 01'!J8,0))</f>
        <v>0</v>
      </c>
      <c r="X8" s="2">
        <f>((IF((12='V06 Calend 01'!C8),('V06 Calend 01'!F8+'V06 Calend 01'!G8),0)+IF(AND(('V06 Calend 01'!E8&gt;0),(12&gt;'V06 Calend 01'!C8),(12&lt;'V06 Calend 01'!D8),(MOD((12-'V06 Calend 01'!C8),6)=0),(((12-'V06 Calend 01'!C8)/6)&lt;='V06 Calend 01'!E8)),IF((12=('V06 Calend 01'!C8+(6*'V06 Calend 01'!E8))),('V06 Calend 01'!H8-('V06 Calend 01'!I8*('V06 Calend 01'!E8-1))),'V06 Calend 01'!I8),0))+IF((12='V06 Calend 01'!D8),'V06 Calend 01'!J8,0))</f>
        <v>0</v>
      </c>
      <c r="Y8" s="2">
        <f>((IF((13='V06 Calend 01'!C8),('V06 Calend 01'!F8+'V06 Calend 01'!G8),0)+IF(AND(('V06 Calend 01'!E8&gt;0),(13&gt;'V06 Calend 01'!C8),(13&lt;'V06 Calend 01'!D8),(MOD((13-'V06 Calend 01'!C8),6)=0),(((13-'V06 Calend 01'!C8)/6)&lt;='V06 Calend 01'!E8)),IF((13=('V06 Calend 01'!C8+(6*'V06 Calend 01'!E8))),('V06 Calend 01'!H8-('V06 Calend 01'!I8*('V06 Calend 01'!E8-1))),'V06 Calend 01'!I8),0))+IF((13='V06 Calend 01'!D8),'V06 Calend 01'!J8,0))</f>
        <v>34787.5</v>
      </c>
      <c r="Z8" s="2">
        <f>((IF((14='V06 Calend 01'!C8),('V06 Calend 01'!F8+'V06 Calend 01'!G8),0)+IF(AND(('V06 Calend 01'!E8&gt;0),(14&gt;'V06 Calend 01'!C8),(14&lt;'V06 Calend 01'!D8),(MOD((14-'V06 Calend 01'!C8),6)=0),(((14-'V06 Calend 01'!C8)/6)&lt;='V06 Calend 01'!E8)),IF((14=('V06 Calend 01'!C8+(6*'V06 Calend 01'!E8))),('V06 Calend 01'!H8-('V06 Calend 01'!I8*('V06 Calend 01'!E8-1))),'V06 Calend 01'!I8),0))+IF((14='V06 Calend 01'!D8),'V06 Calend 01'!J8,0))</f>
        <v>0</v>
      </c>
      <c r="AA8" s="2">
        <f>((IF((15='V06 Calend 01'!C8),('V06 Calend 01'!F8+'V06 Calend 01'!G8),0)+IF(AND(('V06 Calend 01'!E8&gt;0),(15&gt;'V06 Calend 01'!C8),(15&lt;'V06 Calend 01'!D8),(MOD((15-'V06 Calend 01'!C8),6)=0),(((15-'V06 Calend 01'!C8)/6)&lt;='V06 Calend 01'!E8)),IF((15=('V06 Calend 01'!C8+(6*'V06 Calend 01'!E8))),('V06 Calend 01'!H8-('V06 Calend 01'!I8*('V06 Calend 01'!E8-1))),'V06 Calend 01'!I8),0))+IF((15='V06 Calend 01'!D8),'V06 Calend 01'!J8,0))</f>
        <v>0</v>
      </c>
      <c r="AB8" s="2">
        <f>((IF((16='V06 Calend 01'!C8),('V06 Calend 01'!F8+'V06 Calend 01'!G8),0)+IF(AND(('V06 Calend 01'!E8&gt;0),(16&gt;'V06 Calend 01'!C8),(16&lt;'V06 Calend 01'!D8),(MOD((16-'V06 Calend 01'!C8),6)=0),(((16-'V06 Calend 01'!C8)/6)&lt;='V06 Calend 01'!E8)),IF((16=('V06 Calend 01'!C8+(6*'V06 Calend 01'!E8))),('V06 Calend 01'!H8-('V06 Calend 01'!I8*('V06 Calend 01'!E8-1))),'V06 Calend 01'!I8),0))+IF((16='V06 Calend 01'!D8),'V06 Calend 01'!J8,0))</f>
        <v>0</v>
      </c>
      <c r="AC8" s="2">
        <f>((IF((17='V06 Calend 01'!C8),('V06 Calend 01'!F8+'V06 Calend 01'!G8),0)+IF(AND(('V06 Calend 01'!E8&gt;0),(17&gt;'V06 Calend 01'!C8),(17&lt;'V06 Calend 01'!D8),(MOD((17-'V06 Calend 01'!C8),6)=0),(((17-'V06 Calend 01'!C8)/6)&lt;='V06 Calend 01'!E8)),IF((17=('V06 Calend 01'!C8+(6*'V06 Calend 01'!E8))),('V06 Calend 01'!H8-('V06 Calend 01'!I8*('V06 Calend 01'!E8-1))),'V06 Calend 01'!I8),0))+IF((17='V06 Calend 01'!D8),'V06 Calend 01'!J8,0))</f>
        <v>0</v>
      </c>
      <c r="AD8" s="2">
        <f>((IF((18='V06 Calend 01'!C8),('V06 Calend 01'!F8+'V06 Calend 01'!G8),0)+IF(AND(('V06 Calend 01'!E8&gt;0),(18&gt;'V06 Calend 01'!C8),(18&lt;'V06 Calend 01'!D8),(MOD((18-'V06 Calend 01'!C8),6)=0),(((18-'V06 Calend 01'!C8)/6)&lt;='V06 Calend 01'!E8)),IF((18=('V06 Calend 01'!C8+(6*'V06 Calend 01'!E8))),('V06 Calend 01'!H8-('V06 Calend 01'!I8*('V06 Calend 01'!E8-1))),'V06 Calend 01'!I8),0))+IF((18='V06 Calend 01'!D8),'V06 Calend 01'!J8,0))</f>
        <v>0</v>
      </c>
      <c r="AE8" s="2">
        <f>((IF((19='V06 Calend 01'!C8),('V06 Calend 01'!F8+'V06 Calend 01'!G8),0)+IF(AND(('V06 Calend 01'!E8&gt;0),(19&gt;'V06 Calend 01'!C8),(19&lt;'V06 Calend 01'!D8),(MOD((19-'V06 Calend 01'!C8),6)=0),(((19-'V06 Calend 01'!C8)/6)&lt;='V06 Calend 01'!E8)),IF((19=('V06 Calend 01'!C8+(6*'V06 Calend 01'!E8))),('V06 Calend 01'!H8-('V06 Calend 01'!I8*('V06 Calend 01'!E8-1))),'V06 Calend 01'!I8),0))+IF((19='V06 Calend 01'!D8),'V06 Calend 01'!J8,0))</f>
        <v>34787.5</v>
      </c>
      <c r="AF8" s="2">
        <f>((IF((20='V06 Calend 01'!C8),('V06 Calend 01'!F8+'V06 Calend 01'!G8),0)+IF(AND(('V06 Calend 01'!E8&gt;0),(20&gt;'V06 Calend 01'!C8),(20&lt;'V06 Calend 01'!D8),(MOD((20-'V06 Calend 01'!C8),6)=0),(((20-'V06 Calend 01'!C8)/6)&lt;='V06 Calend 01'!E8)),IF((20=('V06 Calend 01'!C8+(6*'V06 Calend 01'!E8))),('V06 Calend 01'!H8-('V06 Calend 01'!I8*('V06 Calend 01'!E8-1))),'V06 Calend 01'!I8),0))+IF((20='V06 Calend 01'!D8),'V06 Calend 01'!J8,0))</f>
        <v>0</v>
      </c>
      <c r="AG8" s="2">
        <f>((IF((21='V06 Calend 01'!C8),('V06 Calend 01'!F8+'V06 Calend 01'!G8),0)+IF(AND(('V06 Calend 01'!E8&gt;0),(21&gt;'V06 Calend 01'!C8),(21&lt;'V06 Calend 01'!D8),(MOD((21-'V06 Calend 01'!C8),6)=0),(((21-'V06 Calend 01'!C8)/6)&lt;='V06 Calend 01'!E8)),IF((21=('V06 Calend 01'!C8+(6*'V06 Calend 01'!E8))),('V06 Calend 01'!H8-('V06 Calend 01'!I8*('V06 Calend 01'!E8-1))),'V06 Calend 01'!I8),0))+IF((21='V06 Calend 01'!D8),'V06 Calend 01'!J8,0))</f>
        <v>0</v>
      </c>
      <c r="AH8" s="2">
        <f>((IF((22='V06 Calend 01'!C8),('V06 Calend 01'!F8+'V06 Calend 01'!G8),0)+IF(AND(('V06 Calend 01'!E8&gt;0),(22&gt;'V06 Calend 01'!C8),(22&lt;'V06 Calend 01'!D8),(MOD((22-'V06 Calend 01'!C8),6)=0),(((22-'V06 Calend 01'!C8)/6)&lt;='V06 Calend 01'!E8)),IF((22=('V06 Calend 01'!C8+(6*'V06 Calend 01'!E8))),('V06 Calend 01'!H8-('V06 Calend 01'!I8*('V06 Calend 01'!E8-1))),'V06 Calend 01'!I8),0))+IF((22='V06 Calend 01'!D8),'V06 Calend 01'!J8,0))</f>
        <v>0</v>
      </c>
      <c r="AI8" s="2">
        <f>((IF((23='V06 Calend 01'!C8),('V06 Calend 01'!F8+'V06 Calend 01'!G8),0)+IF(AND(('V06 Calend 01'!E8&gt;0),(23&gt;'V06 Calend 01'!C8),(23&lt;'V06 Calend 01'!D8),(MOD((23-'V06 Calend 01'!C8),6)=0),(((23-'V06 Calend 01'!C8)/6)&lt;='V06 Calend 01'!E8)),IF((23=('V06 Calend 01'!C8+(6*'V06 Calend 01'!E8))),('V06 Calend 01'!H8-('V06 Calend 01'!I8*('V06 Calend 01'!E8-1))),'V06 Calend 01'!I8),0))+IF((23='V06 Calend 01'!D8),'V06 Calend 01'!J8,0))</f>
        <v>0</v>
      </c>
      <c r="AJ8" s="2">
        <f>((IF((24='V06 Calend 01'!C8),('V06 Calend 01'!F8+'V06 Calend 01'!G8),0)+IF(AND(('V06 Calend 01'!E8&gt;0),(24&gt;'V06 Calend 01'!C8),(24&lt;'V06 Calend 01'!D8),(MOD((24-'V06 Calend 01'!C8),6)=0),(((24-'V06 Calend 01'!C8)/6)&lt;='V06 Calend 01'!E8)),IF((24=('V06 Calend 01'!C8+(6*'V06 Calend 01'!E8))),('V06 Calend 01'!H8-('V06 Calend 01'!I8*('V06 Calend 01'!E8-1))),'V06 Calend 01'!I8),0))+IF((24='V06 Calend 01'!D8),'V06 Calend 01'!J8,0))</f>
        <v>0</v>
      </c>
      <c r="AK8" s="2">
        <f>((IF((25='V06 Calend 01'!C8),('V06 Calend 01'!F8+'V06 Calend 01'!G8),0)+IF(AND(('V06 Calend 01'!E8&gt;0),(25&gt;'V06 Calend 01'!C8),(25&lt;'V06 Calend 01'!D8),(MOD((25-'V06 Calend 01'!C8),6)=0),(((25-'V06 Calend 01'!C8)/6)&lt;='V06 Calend 01'!E8)),IF((25=('V06 Calend 01'!C8+(6*'V06 Calend 01'!E8))),('V06 Calend 01'!H8-('V06 Calend 01'!I8*('V06 Calend 01'!E8-1))),'V06 Calend 01'!I8),0))+IF((25='V06 Calend 01'!D8),'V06 Calend 01'!J8,0))</f>
        <v>34787.5</v>
      </c>
      <c r="AL8" s="2">
        <f>((IF((26='V06 Calend 01'!C8),('V06 Calend 01'!F8+'V06 Calend 01'!G8),0)+IF(AND(('V06 Calend 01'!E8&gt;0),(26&gt;'V06 Calend 01'!C8),(26&lt;'V06 Calend 01'!D8),(MOD((26-'V06 Calend 01'!C8),6)=0),(((26-'V06 Calend 01'!C8)/6)&lt;='V06 Calend 01'!E8)),IF((26=('V06 Calend 01'!C8+(6*'V06 Calend 01'!E8))),('V06 Calend 01'!H8-('V06 Calend 01'!I8*('V06 Calend 01'!E8-1))),'V06 Calend 01'!I8),0))+IF((26='V06 Calend 01'!D8),'V06 Calend 01'!J8,0))</f>
        <v>0</v>
      </c>
      <c r="AM8" s="2">
        <f>((IF((27='V06 Calend 01'!C8),('V06 Calend 01'!F8+'V06 Calend 01'!G8),0)+IF(AND(('V06 Calend 01'!E8&gt;0),(27&gt;'V06 Calend 01'!C8),(27&lt;'V06 Calend 01'!D8),(MOD((27-'V06 Calend 01'!C8),6)=0),(((27-'V06 Calend 01'!C8)/6)&lt;='V06 Calend 01'!E8)),IF((27=('V06 Calend 01'!C8+(6*'V06 Calend 01'!E8))),('V06 Calend 01'!H8-('V06 Calend 01'!I8*('V06 Calend 01'!E8-1))),'V06 Calend 01'!I8),0))+IF((27='V06 Calend 01'!D8),'V06 Calend 01'!J8,0))</f>
        <v>0</v>
      </c>
      <c r="AN8" s="2">
        <f>((IF((28='V06 Calend 01'!C8),('V06 Calend 01'!F8+'V06 Calend 01'!G8),0)+IF(AND(('V06 Calend 01'!E8&gt;0),(28&gt;'V06 Calend 01'!C8),(28&lt;'V06 Calend 01'!D8),(MOD((28-'V06 Calend 01'!C8),6)=0),(((28-'V06 Calend 01'!C8)/6)&lt;='V06 Calend 01'!E8)),IF((28=('V06 Calend 01'!C8+(6*'V06 Calend 01'!E8))),('V06 Calend 01'!H8-('V06 Calend 01'!I8*('V06 Calend 01'!E8-1))),'V06 Calend 01'!I8),0))+IF((28='V06 Calend 01'!D8),'V06 Calend 01'!J8,0))</f>
        <v>50600.0</v>
      </c>
      <c r="AO8" s="2">
        <f>((IF((29='V06 Calend 01'!C8),('V06 Calend 01'!F8+'V06 Calend 01'!G8),0)+IF(AND(('V06 Calend 01'!E8&gt;0),(29&gt;'V06 Calend 01'!C8),(29&lt;'V06 Calend 01'!D8),(MOD((29-'V06 Calend 01'!C8),6)=0),(((29-'V06 Calend 01'!C8)/6)&lt;='V06 Calend 01'!E8)),IF((29=('V06 Calend 01'!C8+(6*'V06 Calend 01'!E8))),('V06 Calend 01'!H8-('V06 Calend 01'!I8*('V06 Calend 01'!E8-1))),'V06 Calend 01'!I8),0))+IF((29='V06 Calend 01'!D8),'V06 Calend 01'!J8,0))</f>
        <v>0</v>
      </c>
      <c r="AP8" s="2">
        <f>((IF((30='V06 Calend 01'!C8),('V06 Calend 01'!F8+'V06 Calend 01'!G8),0)+IF(AND(('V06 Calend 01'!E8&gt;0),(30&gt;'V06 Calend 01'!C8),(30&lt;'V06 Calend 01'!D8),(MOD((30-'V06 Calend 01'!C8),6)=0),(((30-'V06 Calend 01'!C8)/6)&lt;='V06 Calend 01'!E8)),IF((30=('V06 Calend 01'!C8+(6*'V06 Calend 01'!E8))),('V06 Calend 01'!H8-('V06 Calend 01'!I8*('V06 Calend 01'!E8-1))),'V06 Calend 01'!I8),0))+IF((30='V06 Calend 01'!D8),'V06 Calend 01'!J8,0))</f>
        <v>0</v>
      </c>
      <c r="AQ8" s="2">
        <f>((IF((31='V06 Calend 01'!C8),('V06 Calend 01'!F8+'V06 Calend 01'!G8),0)+IF(AND(('V06 Calend 01'!E8&gt;0),(31&gt;'V06 Calend 01'!C8),(31&lt;'V06 Calend 01'!D8),(MOD((31-'V06 Calend 01'!C8),6)=0),(((31-'V06 Calend 01'!C8)/6)&lt;='V06 Calend 01'!E8)),IF((31=('V06 Calend 01'!C8+(6*'V06 Calend 01'!E8))),('V06 Calend 01'!H8-('V06 Calend 01'!I8*('V06 Calend 01'!E8-1))),'V06 Calend 01'!I8),0))+IF((31='V06 Calend 01'!D8),'V06 Calend 01'!J8,0))</f>
        <v>0</v>
      </c>
      <c r="AR8" s="2">
        <f>((IF((32='V06 Calend 01'!C8),('V06 Calend 01'!F8+'V06 Calend 01'!G8),0)+IF(AND(('V06 Calend 01'!E8&gt;0),(32&gt;'V06 Calend 01'!C8),(32&lt;'V06 Calend 01'!D8),(MOD((32-'V06 Calend 01'!C8),6)=0),(((32-'V06 Calend 01'!C8)/6)&lt;='V06 Calend 01'!E8)),IF((32=('V06 Calend 01'!C8+(6*'V06 Calend 01'!E8))),('V06 Calend 01'!H8-('V06 Calend 01'!I8*('V06 Calend 01'!E8-1))),'V06 Calend 01'!I8),0))+IF((32='V06 Calend 01'!D8),'V06 Calend 01'!J8,0))</f>
        <v>0</v>
      </c>
      <c r="AS8" s="2">
        <f>((IF((33='V06 Calend 01'!C8),('V06 Calend 01'!F8+'V06 Calend 01'!G8),0)+IF(AND(('V06 Calend 01'!E8&gt;0),(33&gt;'V06 Calend 01'!C8),(33&lt;'V06 Calend 01'!D8),(MOD((33-'V06 Calend 01'!C8),6)=0),(((33-'V06 Calend 01'!C8)/6)&lt;='V06 Calend 01'!E8)),IF((33=('V06 Calend 01'!C8+(6*'V06 Calend 01'!E8))),('V06 Calend 01'!H8-('V06 Calend 01'!I8*('V06 Calend 01'!E8-1))),'V06 Calend 01'!I8),0))+IF((33='V06 Calend 01'!D8),'V06 Calend 01'!J8,0))</f>
        <v>0</v>
      </c>
      <c r="AT8" s="2">
        <f>((IF((34='V06 Calend 01'!C8),('V06 Calend 01'!F8+'V06 Calend 01'!G8),0)+IF(AND(('V06 Calend 01'!E8&gt;0),(34&gt;'V06 Calend 01'!C8),(34&lt;'V06 Calend 01'!D8),(MOD((34-'V06 Calend 01'!C8),6)=0),(((34-'V06 Calend 01'!C8)/6)&lt;='V06 Calend 01'!E8)),IF((34=('V06 Calend 01'!C8+(6*'V06 Calend 01'!E8))),('V06 Calend 01'!H8-('V06 Calend 01'!I8*('V06 Calend 01'!E8-1))),'V06 Calend 01'!I8),0))+IF((34='V06 Calend 01'!D8),'V06 Calend 01'!J8,0))</f>
        <v>0</v>
      </c>
      <c r="AU8" s="2">
        <f>((IF((35='V06 Calend 01'!C8),('V06 Calend 01'!F8+'V06 Calend 01'!G8),0)+IF(AND(('V06 Calend 01'!E8&gt;0),(35&gt;'V06 Calend 01'!C8),(35&lt;'V06 Calend 01'!D8),(MOD((35-'V06 Calend 01'!C8),6)=0),(((35-'V06 Calend 01'!C8)/6)&lt;='V06 Calend 01'!E8)),IF((35=('V06 Calend 01'!C8+(6*'V06 Calend 01'!E8))),('V06 Calend 01'!H8-('V06 Calend 01'!I8*('V06 Calend 01'!E8-1))),'V06 Calend 01'!I8),0))+IF((35='V06 Calend 01'!D8),'V06 Calend 01'!J8,0))</f>
        <v>0</v>
      </c>
      <c r="AV8" s="2">
        <f>((IF((36='V06 Calend 01'!C8),('V06 Calend 01'!F8+'V06 Calend 01'!G8),0)+IF(AND(('V06 Calend 01'!E8&gt;0),(36&gt;'V06 Calend 01'!C8),(36&lt;'V06 Calend 01'!D8),(MOD((36-'V06 Calend 01'!C8),6)=0),(((36-'V06 Calend 01'!C8)/6)&lt;='V06 Calend 01'!E8)),IF((36=('V06 Calend 01'!C8+(6*'V06 Calend 01'!E8))),('V06 Calend 01'!H8-('V06 Calend 01'!I8*('V06 Calend 01'!E8-1))),'V06 Calend 01'!I8),0))+IF((36='V06 Calend 01'!D8),'V06 Calend 01'!J8,0))</f>
        <v>0</v>
      </c>
      <c r="AW8" s="2">
        <f>((IF((37='V06 Calend 01'!C8),('V06 Calend 01'!F8+'V06 Calend 01'!G8),0)+IF(AND(('V06 Calend 01'!E8&gt;0),(37&gt;'V06 Calend 01'!C8),(37&lt;'V06 Calend 01'!D8),(MOD((37-'V06 Calend 01'!C8),6)=0),(((37-'V06 Calend 01'!C8)/6)&lt;='V06 Calend 01'!E8)),IF((37=('V06 Calend 01'!C8+(6*'V06 Calend 01'!E8))),('V06 Calend 01'!H8-('V06 Calend 01'!I8*('V06 Calend 01'!E8-1))),'V06 Calend 01'!I8),0))+IF((37='V06 Calend 01'!D8),'V06 Calend 01'!J8,0))</f>
        <v>0</v>
      </c>
      <c r="AX8" s="2">
        <f>((IF((38='V06 Calend 01'!C8),('V06 Calend 01'!F8+'V06 Calend 01'!G8),0)+IF(AND(('V06 Calend 01'!E8&gt;0),(38&gt;'V06 Calend 01'!C8),(38&lt;'V06 Calend 01'!D8),(MOD((38-'V06 Calend 01'!C8),6)=0),(((38-'V06 Calend 01'!C8)/6)&lt;='V06 Calend 01'!E8)),IF((38=('V06 Calend 01'!C8+(6*'V06 Calend 01'!E8))),('V06 Calend 01'!H8-('V06 Calend 01'!I8*('V06 Calend 01'!E8-1))),'V06 Calend 01'!I8),0))+IF((38='V06 Calend 01'!D8),'V06 Calend 01'!J8,0))</f>
        <v>0</v>
      </c>
      <c r="AY8" s="2">
        <f>((IF((39='V06 Calend 01'!C8),('V06 Calend 01'!F8+'V06 Calend 01'!G8),0)+IF(AND(('V06 Calend 01'!E8&gt;0),(39&gt;'V06 Calend 01'!C8),(39&lt;'V06 Calend 01'!D8),(MOD((39-'V06 Calend 01'!C8),6)=0),(((39-'V06 Calend 01'!C8)/6)&lt;='V06 Calend 01'!E8)),IF((39=('V06 Calend 01'!C8+(6*'V06 Calend 01'!E8))),('V06 Calend 01'!H8-('V06 Calend 01'!I8*('V06 Calend 01'!E8-1))),'V06 Calend 01'!I8),0))+IF((39='V06 Calend 01'!D8),'V06 Calend 01'!J8,0))</f>
        <v>0</v>
      </c>
      <c r="AZ8" s="2">
        <f>((IF((40='V06 Calend 01'!C8),('V06 Calend 01'!F8+'V06 Calend 01'!G8),0)+IF(AND(('V06 Calend 01'!E8&gt;0),(40&gt;'V06 Calend 01'!C8),(40&lt;'V06 Calend 01'!D8),(MOD((40-'V06 Calend 01'!C8),6)=0),(((40-'V06 Calend 01'!C8)/6)&lt;='V06 Calend 01'!E8)),IF((40=('V06 Calend 01'!C8+(6*'V06 Calend 01'!E8))),('V06 Calend 01'!H8-('V06 Calend 01'!I8*('V06 Calend 01'!E8-1))),'V06 Calend 01'!I8),0))+IF((40='V06 Calend 01'!D8),'V06 Calend 01'!J8,0))</f>
        <v>0</v>
      </c>
      <c r="BA8" s="2">
        <f>((IF((41='V06 Calend 01'!C8),('V06 Calend 01'!F8+'V06 Calend 01'!G8),0)+IF(AND(('V06 Calend 01'!E8&gt;0),(41&gt;'V06 Calend 01'!C8),(41&lt;'V06 Calend 01'!D8),(MOD((41-'V06 Calend 01'!C8),6)=0),(((41-'V06 Calend 01'!C8)/6)&lt;='V06 Calend 01'!E8)),IF((41=('V06 Calend 01'!C8+(6*'V06 Calend 01'!E8))),('V06 Calend 01'!H8-('V06 Calend 01'!I8*('V06 Calend 01'!E8-1))),'V06 Calend 01'!I8),0))+IF((41='V06 Calend 01'!D8),'V06 Calend 01'!J8,0))</f>
        <v>0</v>
      </c>
      <c r="BB8" s="2">
        <f>((IF((42='V06 Calend 01'!C8),('V06 Calend 01'!F8+'V06 Calend 01'!G8),0)+IF(AND(('V06 Calend 01'!E8&gt;0),(42&gt;'V06 Calend 01'!C8),(42&lt;'V06 Calend 01'!D8),(MOD((42-'V06 Calend 01'!C8),6)=0),(((42-'V06 Calend 01'!C8)/6)&lt;='V06 Calend 01'!E8)),IF((42=('V06 Calend 01'!C8+(6*'V06 Calend 01'!E8))),('V06 Calend 01'!H8-('V06 Calend 01'!I8*('V06 Calend 01'!E8-1))),'V06 Calend 01'!I8),0))+IF((42='V06 Calend 01'!D8),'V06 Calend 01'!J8,0))</f>
        <v>0</v>
      </c>
      <c r="BC8" s="2">
        <f>((IF((43='V06 Calend 01'!C8),('V06 Calend 01'!F8+'V06 Calend 01'!G8),0)+IF(AND(('V06 Calend 01'!E8&gt;0),(43&gt;'V06 Calend 01'!C8),(43&lt;'V06 Calend 01'!D8),(MOD((43-'V06 Calend 01'!C8),6)=0),(((43-'V06 Calend 01'!C8)/6)&lt;='V06 Calend 01'!E8)),IF((43=('V06 Calend 01'!C8+(6*'V06 Calend 01'!E8))),('V06 Calend 01'!H8-('V06 Calend 01'!I8*('V06 Calend 01'!E8-1))),'V06 Calend 01'!I8),0))+IF((43='V06 Calend 01'!D8),'V06 Calend 01'!J8,0))</f>
        <v>0</v>
      </c>
      <c r="BD8" s="2">
        <f>((IF((44='V06 Calend 01'!C8),('V06 Calend 01'!F8+'V06 Calend 01'!G8),0)+IF(AND(('V06 Calend 01'!E8&gt;0),(44&gt;'V06 Calend 01'!C8),(44&lt;'V06 Calend 01'!D8),(MOD((44-'V06 Calend 01'!C8),6)=0),(((44-'V06 Calend 01'!C8)/6)&lt;='V06 Calend 01'!E8)),IF((44=('V06 Calend 01'!C8+(6*'V06 Calend 01'!E8))),('V06 Calend 01'!H8-('V06 Calend 01'!I8*('V06 Calend 01'!E8-1))),'V06 Calend 01'!I8),0))+IF((44='V06 Calend 01'!D8),'V06 Calend 01'!J8,0))</f>
        <v>0</v>
      </c>
      <c r="BE8" s="2">
        <f>((IF((45='V06 Calend 01'!C8),('V06 Calend 01'!F8+'V06 Calend 01'!G8),0)+IF(AND(('V06 Calend 01'!E8&gt;0),(45&gt;'V06 Calend 01'!C8),(45&lt;'V06 Calend 01'!D8),(MOD((45-'V06 Calend 01'!C8),6)=0),(((45-'V06 Calend 01'!C8)/6)&lt;='V06 Calend 01'!E8)),IF((45=('V06 Calend 01'!C8+(6*'V06 Calend 01'!E8))),('V06 Calend 01'!H8-('V06 Calend 01'!I8*('V06 Calend 01'!E8-1))),'V06 Calend 01'!I8),0))+IF((45='V06 Calend 01'!D8),'V06 Calend 01'!J8,0))</f>
        <v>0</v>
      </c>
      <c r="BF8" s="2">
        <f>((IF((46='V06 Calend 01'!C8),('V06 Calend 01'!F8+'V06 Calend 01'!G8),0)+IF(AND(('V06 Calend 01'!E8&gt;0),(46&gt;'V06 Calend 01'!C8),(46&lt;'V06 Calend 01'!D8),(MOD((46-'V06 Calend 01'!C8),6)=0),(((46-'V06 Calend 01'!C8)/6)&lt;='V06 Calend 01'!E8)),IF((46=('V06 Calend 01'!C8+(6*'V06 Calend 01'!E8))),('V06 Calend 01'!H8-('V06 Calend 01'!I8*('V06 Calend 01'!E8-1))),'V06 Calend 01'!I8),0))+IF((46='V06 Calend 01'!D8),'V06 Calend 01'!J8,0))</f>
        <v>0</v>
      </c>
      <c r="BG8" s="2">
        <f>((IF((47='V06 Calend 01'!C8),('V06 Calend 01'!F8+'V06 Calend 01'!G8),0)+IF(AND(('V06 Calend 01'!E8&gt;0),(47&gt;'V06 Calend 01'!C8),(47&lt;'V06 Calend 01'!D8),(MOD((47-'V06 Calend 01'!C8),6)=0),(((47-'V06 Calend 01'!C8)/6)&lt;='V06 Calend 01'!E8)),IF((47=('V06 Calend 01'!C8+(6*'V06 Calend 01'!E8))),('V06 Calend 01'!H8-('V06 Calend 01'!I8*('V06 Calend 01'!E8-1))),'V06 Calend 01'!I8),0))+IF((47='V06 Calend 01'!D8),'V06 Calend 01'!J8,0))</f>
        <v>0</v>
      </c>
      <c r="BH8" s="2">
        <f>((IF((48='V06 Calend 01'!C8),('V06 Calend 01'!F8+'V06 Calend 01'!G8),0)+IF(AND(('V06 Calend 01'!E8&gt;0),(48&gt;'V06 Calend 01'!C8),(48&lt;'V06 Calend 01'!D8),(MOD((48-'V06 Calend 01'!C8),6)=0),(((48-'V06 Calend 01'!C8)/6)&lt;='V06 Calend 01'!E8)),IF((48=('V06 Calend 01'!C8+(6*'V06 Calend 01'!E8))),('V06 Calend 01'!H8-('V06 Calend 01'!I8*('V06 Calend 01'!E8-1))),'V06 Calend 01'!I8),0))+IF((48='V06 Calend 01'!D8),'V06 Calend 01'!J8,0))</f>
        <v>0</v>
      </c>
      <c r="BI8" s="2">
        <f>((IF((49='V06 Calend 01'!C8),('V06 Calend 01'!F8+'V06 Calend 01'!G8),0)+IF(AND(('V06 Calend 01'!E8&gt;0),(49&gt;'V06 Calend 01'!C8),(49&lt;'V06 Calend 01'!D8),(MOD((49-'V06 Calend 01'!C8),6)=0),(((49-'V06 Calend 01'!C8)/6)&lt;='V06 Calend 01'!E8)),IF((49=('V06 Calend 01'!C8+(6*'V06 Calend 01'!E8))),('V06 Calend 01'!H8-('V06 Calend 01'!I8*('V06 Calend 01'!E8-1))),'V06 Calend 01'!I8),0))+IF((49='V06 Calend 01'!D8),'V06 Calend 01'!J8,0))</f>
        <v>0</v>
      </c>
      <c r="BJ8" s="2">
        <f>((IF((50='V06 Calend 01'!C8),('V06 Calend 01'!F8+'V06 Calend 01'!G8),0)+IF(AND(('V06 Calend 01'!E8&gt;0),(50&gt;'V06 Calend 01'!C8),(50&lt;'V06 Calend 01'!D8),(MOD((50-'V06 Calend 01'!C8),6)=0),(((50-'V06 Calend 01'!C8)/6)&lt;='V06 Calend 01'!E8)),IF((50=('V06 Calend 01'!C8+(6*'V06 Calend 01'!E8))),('V06 Calend 01'!H8-('V06 Calend 01'!I8*('V06 Calend 01'!E8-1))),'V06 Calend 01'!I8),0))+IF((50='V06 Calend 01'!D8),'V06 Calend 01'!J8,0))</f>
        <v>0</v>
      </c>
      <c r="BK8" s="2">
        <f>((IF((51='V06 Calend 01'!C8),('V06 Calend 01'!F8+'V06 Calend 01'!G8),0)+IF(AND(('V06 Calend 01'!E8&gt;0),(51&gt;'V06 Calend 01'!C8),(51&lt;'V06 Calend 01'!D8),(MOD((51-'V06 Calend 01'!C8),6)=0),(((51-'V06 Calend 01'!C8)/6)&lt;='V06 Calend 01'!E8)),IF((51=('V06 Calend 01'!C8+(6*'V06 Calend 01'!E8))),('V06 Calend 01'!H8-('V06 Calend 01'!I8*('V06 Calend 01'!E8-1))),'V06 Calend 01'!I8),0))+IF((51='V06 Calend 01'!D8),'V06 Calend 01'!J8,0))</f>
        <v>0</v>
      </c>
      <c r="BL8" s="2">
        <f>((IF((52='V06 Calend 01'!C8),('V06 Calend 01'!F8+'V06 Calend 01'!G8),0)+IF(AND(('V06 Calend 01'!E8&gt;0),(52&gt;'V06 Calend 01'!C8),(52&lt;'V06 Calend 01'!D8),(MOD((52-'V06 Calend 01'!C8),6)=0),(((52-'V06 Calend 01'!C8)/6)&lt;='V06 Calend 01'!E8)),IF((52=('V06 Calend 01'!C8+(6*'V06 Calend 01'!E8))),('V06 Calend 01'!H8-('V06 Calend 01'!I8*('V06 Calend 01'!E8-1))),'V06 Calend 01'!I8),0))+IF((52='V06 Calend 01'!D8),'V06 Calend 01'!J8,0))</f>
        <v>0</v>
      </c>
      <c r="BM8" s="2">
        <f>((IF((53='V06 Calend 01'!C8),('V06 Calend 01'!F8+'V06 Calend 01'!G8),0)+IF(AND(('V06 Calend 01'!E8&gt;0),(53&gt;'V06 Calend 01'!C8),(53&lt;'V06 Calend 01'!D8),(MOD((53-'V06 Calend 01'!C8),6)=0),(((53-'V06 Calend 01'!C8)/6)&lt;='V06 Calend 01'!E8)),IF((53=('V06 Calend 01'!C8+(6*'V06 Calend 01'!E8))),('V06 Calend 01'!H8-('V06 Calend 01'!I8*('V06 Calend 01'!E8-1))),'V06 Calend 01'!I8),0))+IF((53='V06 Calend 01'!D8),'V06 Calend 01'!J8,0))</f>
        <v>0</v>
      </c>
      <c r="BN8" s="2">
        <f>((IF((54='V06 Calend 01'!C8),('V06 Calend 01'!F8+'V06 Calend 01'!G8),0)+IF(AND(('V06 Calend 01'!E8&gt;0),(54&gt;'V06 Calend 01'!C8),(54&lt;'V06 Calend 01'!D8),(MOD((54-'V06 Calend 01'!C8),6)=0),(((54-'V06 Calend 01'!C8)/6)&lt;='V06 Calend 01'!E8)),IF((54=('V06 Calend 01'!C8+(6*'V06 Calend 01'!E8))),('V06 Calend 01'!H8-('V06 Calend 01'!I8*('V06 Calend 01'!E8-1))),'V06 Calend 01'!I8),0))+IF((54='V06 Calend 01'!D8),'V06 Calend 01'!J8,0))</f>
        <v>0</v>
      </c>
      <c r="BO8" s="2">
        <f>((IF((55='V06 Calend 01'!C8),('V06 Calend 01'!F8+'V06 Calend 01'!G8),0)+IF(AND(('V06 Calend 01'!E8&gt;0),(55&gt;'V06 Calend 01'!C8),(55&lt;'V06 Calend 01'!D8),(MOD((55-'V06 Calend 01'!C8),6)=0),(((55-'V06 Calend 01'!C8)/6)&lt;='V06 Calend 01'!E8)),IF((55=('V06 Calend 01'!C8+(6*'V06 Calend 01'!E8))),('V06 Calend 01'!H8-('V06 Calend 01'!I8*('V06 Calend 01'!E8-1))),'V06 Calend 01'!I8),0))+IF((55='V06 Calend 01'!D8),'V06 Calend 01'!J8,0))</f>
        <v>0</v>
      </c>
      <c r="BP8" s="2">
        <f>((IF((56='V06 Calend 01'!C8),('V06 Calend 01'!F8+'V06 Calend 01'!G8),0)+IF(AND(('V06 Calend 01'!E8&gt;0),(56&gt;'V06 Calend 01'!C8),(56&lt;'V06 Calend 01'!D8),(MOD((56-'V06 Calend 01'!C8),6)=0),(((56-'V06 Calend 01'!C8)/6)&lt;='V06 Calend 01'!E8)),IF((56=('V06 Calend 01'!C8+(6*'V06 Calend 01'!E8))),('V06 Calend 01'!H8-('V06 Calend 01'!I8*('V06 Calend 01'!E8-1))),'V06 Calend 01'!I8),0))+IF((56='V06 Calend 01'!D8),'V06 Calend 01'!J8,0))</f>
        <v>0</v>
      </c>
      <c r="BQ8" s="2">
        <f>((IF((57='V06 Calend 01'!C8),('V06 Calend 01'!F8+'V06 Calend 01'!G8),0)+IF(AND(('V06 Calend 01'!E8&gt;0),(57&gt;'V06 Calend 01'!C8),(57&lt;'V06 Calend 01'!D8),(MOD((57-'V06 Calend 01'!C8),6)=0),(((57-'V06 Calend 01'!C8)/6)&lt;='V06 Calend 01'!E8)),IF((57=('V06 Calend 01'!C8+(6*'V06 Calend 01'!E8))),('V06 Calend 01'!H8-('V06 Calend 01'!I8*('V06 Calend 01'!E8-1))),'V06 Calend 01'!I8),0))+IF((57='V06 Calend 01'!D8),'V06 Calend 01'!J8,0))</f>
        <v>0</v>
      </c>
      <c r="BR8" s="2">
        <f>((IF((58='V06 Calend 01'!C8),('V06 Calend 01'!F8+'V06 Calend 01'!G8),0)+IF(AND(('V06 Calend 01'!E8&gt;0),(58&gt;'V06 Calend 01'!C8),(58&lt;'V06 Calend 01'!D8),(MOD((58-'V06 Calend 01'!C8),6)=0),(((58-'V06 Calend 01'!C8)/6)&lt;='V06 Calend 01'!E8)),IF((58=('V06 Calend 01'!C8+(6*'V06 Calend 01'!E8))),('V06 Calend 01'!H8-('V06 Calend 01'!I8*('V06 Calend 01'!E8-1))),'V06 Calend 01'!I8),0))+IF((58='V06 Calend 01'!D8),'V06 Calend 01'!J8,0))</f>
        <v>0</v>
      </c>
      <c r="BS8" s="2">
        <f>((IF((59='V06 Calend 01'!C8),('V06 Calend 01'!F8+'V06 Calend 01'!G8),0)+IF(AND(('V06 Calend 01'!E8&gt;0),(59&gt;'V06 Calend 01'!C8),(59&lt;'V06 Calend 01'!D8),(MOD((59-'V06 Calend 01'!C8),6)=0),(((59-'V06 Calend 01'!C8)/6)&lt;='V06 Calend 01'!E8)),IF((59=('V06 Calend 01'!C8+(6*'V06 Calend 01'!E8))),('V06 Calend 01'!H8-('V06 Calend 01'!I8*('V06 Calend 01'!E8-1))),'V06 Calend 01'!I8),0))+IF((59='V06 Calend 01'!D8),'V06 Calend 01'!J8,0))</f>
        <v>0</v>
      </c>
      <c r="BT8" s="2">
        <f>((IF((60='V06 Calend 01'!C8),('V06 Calend 01'!F8+'V06 Calend 01'!G8),0)+IF(AND(('V06 Calend 01'!E8&gt;0),(60&gt;'V06 Calend 01'!C8),(60&lt;'V06 Calend 01'!D8),(MOD((60-'V06 Calend 01'!C8),6)=0),(((60-'V06 Calend 01'!C8)/6)&lt;='V06 Calend 01'!E8)),IF((60=('V06 Calend 01'!C8+(6*'V06 Calend 01'!E8))),('V06 Calend 01'!H8-('V06 Calend 01'!I8*('V06 Calend 01'!E8-1))),'V06 Calend 01'!I8),0))+IF((60='V06 Calend 01'!D8),'V06 Calend 01'!J8,0))</f>
        <v>0</v>
      </c>
      <c r="BU8" s="2">
        <f>((IF((61='V06 Calend 01'!C8),('V06 Calend 01'!F8+'V06 Calend 01'!G8),0)+IF(AND(('V06 Calend 01'!E8&gt;0),(61&gt;'V06 Calend 01'!C8),(61&lt;'V06 Calend 01'!D8),(MOD((61-'V06 Calend 01'!C8),6)=0),(((61-'V06 Calend 01'!C8)/6)&lt;='V06 Calend 01'!E8)),IF((61=('V06 Calend 01'!C8+(6*'V06 Calend 01'!E8))),('V06 Calend 01'!H8-('V06 Calend 01'!I8*('V06 Calend 01'!E8-1))),'V06 Calend 01'!I8),0))+IF((61='V06 Calend 01'!D8),'V06 Calend 01'!J8,0))</f>
        <v>0</v>
      </c>
      <c r="BV8" s="2">
        <f>((IF((62='V06 Calend 01'!C8),('V06 Calend 01'!F8+'V06 Calend 01'!G8),0)+IF(AND(('V06 Calend 01'!E8&gt;0),(62&gt;'V06 Calend 01'!C8),(62&lt;'V06 Calend 01'!D8),(MOD((62-'V06 Calend 01'!C8),6)=0),(((62-'V06 Calend 01'!C8)/6)&lt;='V06 Calend 01'!E8)),IF((62=('V06 Calend 01'!C8+(6*'V06 Calend 01'!E8))),('V06 Calend 01'!H8-('V06 Calend 01'!I8*('V06 Calend 01'!E8-1))),'V06 Calend 01'!I8),0))+IF((62='V06 Calend 01'!D8),'V06 Calend 01'!J8,0))</f>
        <v>0</v>
      </c>
      <c r="BW8" s="2">
        <f>((IF((63='V06 Calend 01'!C8),('V06 Calend 01'!F8+'V06 Calend 01'!G8),0)+IF(AND(('V06 Calend 01'!E8&gt;0),(63&gt;'V06 Calend 01'!C8),(63&lt;'V06 Calend 01'!D8),(MOD((63-'V06 Calend 01'!C8),6)=0),(((63-'V06 Calend 01'!C8)/6)&lt;='V06 Calend 01'!E8)),IF((63=('V06 Calend 01'!C8+(6*'V06 Calend 01'!E8))),('V06 Calend 01'!H8-('V06 Calend 01'!I8*('V06 Calend 01'!E8-1))),'V06 Calend 01'!I8),0))+IF((63='V06 Calend 01'!D8),'V06 Calend 01'!J8,0))</f>
        <v>0</v>
      </c>
      <c r="BX8" s="2">
        <f>((IF((64='V06 Calend 01'!C8),('V06 Calend 01'!F8+'V06 Calend 01'!G8),0)+IF(AND(('V06 Calend 01'!E8&gt;0),(64&gt;'V06 Calend 01'!C8),(64&lt;'V06 Calend 01'!D8),(MOD((64-'V06 Calend 01'!C8),6)=0),(((64-'V06 Calend 01'!C8)/6)&lt;='V06 Calend 01'!E8)),IF((64=('V06 Calend 01'!C8+(6*'V06 Calend 01'!E8))),('V06 Calend 01'!H8-('V06 Calend 01'!I8*('V06 Calend 01'!E8-1))),'V06 Calend 01'!I8),0))+IF((64='V06 Calend 01'!D8),'V06 Calend 01'!J8,0))</f>
        <v>0</v>
      </c>
      <c r="BY8" s="2">
        <f>((IF((65='V06 Calend 01'!C8),('V06 Calend 01'!F8+'V06 Calend 01'!G8),0)+IF(AND(('V06 Calend 01'!E8&gt;0),(65&gt;'V06 Calend 01'!C8),(65&lt;'V06 Calend 01'!D8),(MOD((65-'V06 Calend 01'!C8),6)=0),(((65-'V06 Calend 01'!C8)/6)&lt;='V06 Calend 01'!E8)),IF((65=('V06 Calend 01'!C8+(6*'V06 Calend 01'!E8))),('V06 Calend 01'!H8-('V06 Calend 01'!I8*('V06 Calend 01'!E8-1))),'V06 Calend 01'!I8),0))+IF((65='V06 Calend 01'!D8),'V06 Calend 01'!J8,0))</f>
        <v>0</v>
      </c>
      <c r="BZ8" s="2">
        <f>((IF((66='V06 Calend 01'!C8),('V06 Calend 01'!F8+'V06 Calend 01'!G8),0)+IF(AND(('V06 Calend 01'!E8&gt;0),(66&gt;'V06 Calend 01'!C8),(66&lt;'V06 Calend 01'!D8),(MOD((66-'V06 Calend 01'!C8),6)=0),(((66-'V06 Calend 01'!C8)/6)&lt;='V06 Calend 01'!E8)),IF((66=('V06 Calend 01'!C8+(6*'V06 Calend 01'!E8))),('V06 Calend 01'!H8-('V06 Calend 01'!I8*('V06 Calend 01'!E8-1))),'V06 Calend 01'!I8),0))+IF((66='V06 Calend 01'!D8),'V06 Calend 01'!J8,0))</f>
        <v>0</v>
      </c>
      <c r="CA8" s="2">
        <f>((IF((67='V06 Calend 01'!C8),('V06 Calend 01'!F8+'V06 Calend 01'!G8),0)+IF(AND(('V06 Calend 01'!E8&gt;0),(67&gt;'V06 Calend 01'!C8),(67&lt;'V06 Calend 01'!D8),(MOD((67-'V06 Calend 01'!C8),6)=0),(((67-'V06 Calend 01'!C8)/6)&lt;='V06 Calend 01'!E8)),IF((67=('V06 Calend 01'!C8+(6*'V06 Calend 01'!E8))),('V06 Calend 01'!H8-('V06 Calend 01'!I8*('V06 Calend 01'!E8-1))),'V06 Calend 01'!I8),0))+IF((67='V06 Calend 01'!D8),'V06 Calend 01'!J8,0))</f>
        <v>0</v>
      </c>
      <c r="CB8" s="2">
        <f>((IF((68='V06 Calend 01'!C8),('V06 Calend 01'!F8+'V06 Calend 01'!G8),0)+IF(AND(('V06 Calend 01'!E8&gt;0),(68&gt;'V06 Calend 01'!C8),(68&lt;'V06 Calend 01'!D8),(MOD((68-'V06 Calend 01'!C8),6)=0),(((68-'V06 Calend 01'!C8)/6)&lt;='V06 Calend 01'!E8)),IF((68=('V06 Calend 01'!C8+(6*'V06 Calend 01'!E8))),('V06 Calend 01'!H8-('V06 Calend 01'!I8*('V06 Calend 01'!E8-1))),'V06 Calend 01'!I8),0))+IF((68='V06 Calend 01'!D8),'V06 Calend 01'!J8,0))</f>
        <v>0</v>
      </c>
      <c r="CC8" s="2">
        <f>((IF((69='V06 Calend 01'!C8),('V06 Calend 01'!F8+'V06 Calend 01'!G8),0)+IF(AND(('V06 Calend 01'!E8&gt;0),(69&gt;'V06 Calend 01'!C8),(69&lt;'V06 Calend 01'!D8),(MOD((69-'V06 Calend 01'!C8),6)=0),(((69-'V06 Calend 01'!C8)/6)&lt;='V06 Calend 01'!E8)),IF((69=('V06 Calend 01'!C8+(6*'V06 Calend 01'!E8))),('V06 Calend 01'!H8-('V06 Calend 01'!I8*('V06 Calend 01'!E8-1))),'V06 Calend 01'!I8),0))+IF((69='V06 Calend 01'!D8),'V06 Calend 01'!J8,0))</f>
        <v>0</v>
      </c>
      <c r="CD8" s="2">
        <f>((IF((70='V06 Calend 01'!C8),('V06 Calend 01'!F8+'V06 Calend 01'!G8),0)+IF(AND(('V06 Calend 01'!E8&gt;0),(70&gt;'V06 Calend 01'!C8),(70&lt;'V06 Calend 01'!D8),(MOD((70-'V06 Calend 01'!C8),6)=0),(((70-'V06 Calend 01'!C8)/6)&lt;='V06 Calend 01'!E8)),IF((70=('V06 Calend 01'!C8+(6*'V06 Calend 01'!E8))),('V06 Calend 01'!H8-('V06 Calend 01'!I8*('V06 Calend 01'!E8-1))),'V06 Calend 01'!I8),0))+IF((70='V06 Calend 01'!D8),'V06 Calend 01'!J8,0))</f>
        <v>0</v>
      </c>
      <c r="CE8" s="2">
        <f>((IF((71='V06 Calend 01'!C8),('V06 Calend 01'!F8+'V06 Calend 01'!G8),0)+IF(AND(('V06 Calend 01'!E8&gt;0),(71&gt;'V06 Calend 01'!C8),(71&lt;'V06 Calend 01'!D8),(MOD((71-'V06 Calend 01'!C8),6)=0),(((71-'V06 Calend 01'!C8)/6)&lt;='V06 Calend 01'!E8)),IF((71=('V06 Calend 01'!C8+(6*'V06 Calend 01'!E8))),('V06 Calend 01'!H8-('V06 Calend 01'!I8*('V06 Calend 01'!E8-1))),'V06 Calend 01'!I8),0))+IF((71='V06 Calend 01'!D8),'V06 Calend 01'!J8,0))</f>
        <v>0</v>
      </c>
      <c r="CF8" s="2">
        <f>((IF((72='V06 Calend 01'!C8),('V06 Calend 01'!F8+'V06 Calend 01'!G8),0)+IF(AND(('V06 Calend 01'!E8&gt;0),(72&gt;'V06 Calend 01'!C8),(72&lt;'V06 Calend 01'!D8),(MOD((72-'V06 Calend 01'!C8),6)=0),(((72-'V06 Calend 01'!C8)/6)&lt;='V06 Calend 01'!E8)),IF((72=('V06 Calend 01'!C8+(6*'V06 Calend 01'!E8))),('V06 Calend 01'!H8-('V06 Calend 01'!I8*('V06 Calend 01'!E8-1))),'V06 Calend 01'!I8),0))+IF((72='V06 Calend 01'!D8),'V06 Calend 01'!J8,0))</f>
        <v>0</v>
      </c>
      <c r="CG8" s="2">
        <f>((IF((73='V06 Calend 01'!C8),('V06 Calend 01'!F8+'V06 Calend 01'!G8),0)+IF(AND(('V06 Calend 01'!E8&gt;0),(73&gt;'V06 Calend 01'!C8),(73&lt;'V06 Calend 01'!D8),(MOD((73-'V06 Calend 01'!C8),6)=0),(((73-'V06 Calend 01'!C8)/6)&lt;='V06 Calend 01'!E8)),IF((73=('V06 Calend 01'!C8+(6*'V06 Calend 01'!E8))),('V06 Calend 01'!H8-('V06 Calend 01'!I8*('V06 Calend 01'!E8-1))),'V06 Calend 01'!I8),0))+IF((73='V06 Calend 01'!D8),'V06 Calend 01'!J8,0))</f>
        <v>0</v>
      </c>
      <c r="CH8" s="2">
        <f>((IF((74='V06 Calend 01'!C8),('V06 Calend 01'!F8+'V06 Calend 01'!G8),0)+IF(AND(('V06 Calend 01'!E8&gt;0),(74&gt;'V06 Calend 01'!C8),(74&lt;'V06 Calend 01'!D8),(MOD((74-'V06 Calend 01'!C8),6)=0),(((74-'V06 Calend 01'!C8)/6)&lt;='V06 Calend 01'!E8)),IF((74=('V06 Calend 01'!C8+(6*'V06 Calend 01'!E8))),('V06 Calend 01'!H8-('V06 Calend 01'!I8*('V06 Calend 01'!E8-1))),'V06 Calend 01'!I8),0))+IF((74='V06 Calend 01'!D8),'V06 Calend 01'!J8,0))</f>
        <v>0</v>
      </c>
      <c r="CI8" s="2">
        <f>((IF((75='V06 Calend 01'!C8),('V06 Calend 01'!F8+'V06 Calend 01'!G8),0)+IF(AND(('V06 Calend 01'!E8&gt;0),(75&gt;'V06 Calend 01'!C8),(75&lt;'V06 Calend 01'!D8),(MOD((75-'V06 Calend 01'!C8),6)=0),(((75-'V06 Calend 01'!C8)/6)&lt;='V06 Calend 01'!E8)),IF((75=('V06 Calend 01'!C8+(6*'V06 Calend 01'!E8))),('V06 Calend 01'!H8-('V06 Calend 01'!I8*('V06 Calend 01'!E8-1))),'V06 Calend 01'!I8),0))+IF((75='V06 Calend 01'!D8),'V06 Calend 01'!J8,0))</f>
        <v>0</v>
      </c>
      <c r="CJ8" s="2">
        <f>((IF((76='V06 Calend 01'!C8),('V06 Calend 01'!F8+'V06 Calend 01'!G8),0)+IF(AND(('V06 Calend 01'!E8&gt;0),(76&gt;'V06 Calend 01'!C8),(76&lt;'V06 Calend 01'!D8),(MOD((76-'V06 Calend 01'!C8),6)=0),(((76-'V06 Calend 01'!C8)/6)&lt;='V06 Calend 01'!E8)),IF((76=('V06 Calend 01'!C8+(6*'V06 Calend 01'!E8))),('V06 Calend 01'!H8-('V06 Calend 01'!I8*('V06 Calend 01'!E8-1))),'V06 Calend 01'!I8),0))+IF((76='V06 Calend 01'!D8),'V06 Calend 01'!J8,0))</f>
        <v>0</v>
      </c>
      <c r="CK8" s="2">
        <f>((IF((77='V06 Calend 01'!C8),('V06 Calend 01'!F8+'V06 Calend 01'!G8),0)+IF(AND(('V06 Calend 01'!E8&gt;0),(77&gt;'V06 Calend 01'!C8),(77&lt;'V06 Calend 01'!D8),(MOD((77-'V06 Calend 01'!C8),6)=0),(((77-'V06 Calend 01'!C8)/6)&lt;='V06 Calend 01'!E8)),IF((77=('V06 Calend 01'!C8+(6*'V06 Calend 01'!E8))),('V06 Calend 01'!H8-('V06 Calend 01'!I8*('V06 Calend 01'!E8-1))),'V06 Calend 01'!I8),0))+IF((77='V06 Calend 01'!D8),'V06 Calend 01'!J8,0))</f>
        <v>0</v>
      </c>
      <c r="CL8" s="2">
        <f>((IF((78='V06 Calend 01'!C8),('V06 Calend 01'!F8+'V06 Calend 01'!G8),0)+IF(AND(('V06 Calend 01'!E8&gt;0),(78&gt;'V06 Calend 01'!C8),(78&lt;'V06 Calend 01'!D8),(MOD((78-'V06 Calend 01'!C8),6)=0),(((78-'V06 Calend 01'!C8)/6)&lt;='V06 Calend 01'!E8)),IF((78=('V06 Calend 01'!C8+(6*'V06 Calend 01'!E8))),('V06 Calend 01'!H8-('V06 Calend 01'!I8*('V06 Calend 01'!E8-1))),'V06 Calend 01'!I8),0))+IF((78='V06 Calend 01'!D8),'V06 Calend 01'!J8,0))</f>
        <v>0</v>
      </c>
      <c r="CM8" s="2">
        <f>((IF((79='V06 Calend 01'!C8),('V06 Calend 01'!F8+'V06 Calend 01'!G8),0)+IF(AND(('V06 Calend 01'!E8&gt;0),(79&gt;'V06 Calend 01'!C8),(79&lt;'V06 Calend 01'!D8),(MOD((79-'V06 Calend 01'!C8),6)=0),(((79-'V06 Calend 01'!C8)/6)&lt;='V06 Calend 01'!E8)),IF((79=('V06 Calend 01'!C8+(6*'V06 Calend 01'!E8))),('V06 Calend 01'!H8-('V06 Calend 01'!I8*('V06 Calend 01'!E8-1))),'V06 Calend 01'!I8),0))+IF((79='V06 Calend 01'!D8),'V06 Calend 01'!J8,0))</f>
        <v>0</v>
      </c>
      <c r="CN8" s="2">
        <f>((IF((80='V06 Calend 01'!C8),('V06 Calend 01'!F8+'V06 Calend 01'!G8),0)+IF(AND(('V06 Calend 01'!E8&gt;0),(80&gt;'V06 Calend 01'!C8),(80&lt;'V06 Calend 01'!D8),(MOD((80-'V06 Calend 01'!C8),6)=0),(((80-'V06 Calend 01'!C8)/6)&lt;='V06 Calend 01'!E8)),IF((80=('V06 Calend 01'!C8+(6*'V06 Calend 01'!E8))),('V06 Calend 01'!H8-('V06 Calend 01'!I8*('V06 Calend 01'!E8-1))),'V06 Calend 01'!I8),0))+IF((80='V06 Calend 01'!D8),'V06 Calend 01'!J8,0))</f>
        <v>0</v>
      </c>
      <c r="CO8" s="2">
        <f>((IF((81='V06 Calend 01'!C8),('V06 Calend 01'!F8+'V06 Calend 01'!G8),0)+IF(AND(('V06 Calend 01'!E8&gt;0),(81&gt;'V06 Calend 01'!C8),(81&lt;'V06 Calend 01'!D8),(MOD((81-'V06 Calend 01'!C8),6)=0),(((81-'V06 Calend 01'!C8)/6)&lt;='V06 Calend 01'!E8)),IF((81=('V06 Calend 01'!C8+(6*'V06 Calend 01'!E8))),('V06 Calend 01'!H8-('V06 Calend 01'!I8*('V06 Calend 01'!E8-1))),'V06 Calend 01'!I8),0))+IF((81='V06 Calend 01'!D8),'V06 Calend 01'!J8,0))</f>
        <v>0</v>
      </c>
      <c r="CP8" s="2">
        <f>((IF((82='V06 Calend 01'!C8),('V06 Calend 01'!F8+'V06 Calend 01'!G8),0)+IF(AND(('V06 Calend 01'!E8&gt;0),(82&gt;'V06 Calend 01'!C8),(82&lt;'V06 Calend 01'!D8),(MOD((82-'V06 Calend 01'!C8),6)=0),(((82-'V06 Calend 01'!C8)/6)&lt;='V06 Calend 01'!E8)),IF((82=('V06 Calend 01'!C8+(6*'V06 Calend 01'!E8))),('V06 Calend 01'!H8-('V06 Calend 01'!I8*('V06 Calend 01'!E8-1))),'V06 Calend 01'!I8),0))+IF((82='V06 Calend 01'!D8),'V06 Calend 01'!J8,0))</f>
        <v>0</v>
      </c>
      <c r="CQ8" s="2">
        <f>((IF((83='V06 Calend 01'!C8),('V06 Calend 01'!F8+'V06 Calend 01'!G8),0)+IF(AND(('V06 Calend 01'!E8&gt;0),(83&gt;'V06 Calend 01'!C8),(83&lt;'V06 Calend 01'!D8),(MOD((83-'V06 Calend 01'!C8),6)=0),(((83-'V06 Calend 01'!C8)/6)&lt;='V06 Calend 01'!E8)),IF((83=('V06 Calend 01'!C8+(6*'V06 Calend 01'!E8))),('V06 Calend 01'!H8-('V06 Calend 01'!I8*('V06 Calend 01'!E8-1))),'V06 Calend 01'!I8),0))+IF((83='V06 Calend 01'!D8),'V06 Calend 01'!J8,0))</f>
        <v>0</v>
      </c>
      <c r="CR8" s="2">
        <f>((IF((84='V06 Calend 01'!C8),('V06 Calend 01'!F8+'V06 Calend 01'!G8),0)+IF(AND(('V06 Calend 01'!E8&gt;0),(84&gt;'V06 Calend 01'!C8),(84&lt;'V06 Calend 01'!D8),(MOD((84-'V06 Calend 01'!C8),6)=0),(((84-'V06 Calend 01'!C8)/6)&lt;='V06 Calend 01'!E8)),IF((84=('V06 Calend 01'!C8+(6*'V06 Calend 01'!E8))),('V06 Calend 01'!H8-('V06 Calend 01'!I8*('V06 Calend 01'!E8-1))),'V06 Calend 01'!I8),0))+IF((84='V06 Calend 01'!D8),'V06 Calend 01'!J8,0))</f>
        <v>0</v>
      </c>
      <c r="CS8" s="2">
        <f>((IF((85='V06 Calend 01'!C8),('V06 Calend 01'!F8+'V06 Calend 01'!G8),0)+IF(AND(('V06 Calend 01'!E8&gt;0),(85&gt;'V06 Calend 01'!C8),(85&lt;'V06 Calend 01'!D8),(MOD((85-'V06 Calend 01'!C8),6)=0),(((85-'V06 Calend 01'!C8)/6)&lt;='V06 Calend 01'!E8)),IF((85=('V06 Calend 01'!C8+(6*'V06 Calend 01'!E8))),('V06 Calend 01'!H8-('V06 Calend 01'!I8*('V06 Calend 01'!E8-1))),'V06 Calend 01'!I8),0))+IF((85='V06 Calend 01'!D8),'V06 Calend 01'!J8,0))</f>
        <v>0</v>
      </c>
      <c r="CT8" s="2">
        <f>((IF((86='V06 Calend 01'!C8),('V06 Calend 01'!F8+'V06 Calend 01'!G8),0)+IF(AND(('V06 Calend 01'!E8&gt;0),(86&gt;'V06 Calend 01'!C8),(86&lt;'V06 Calend 01'!D8),(MOD((86-'V06 Calend 01'!C8),6)=0),(((86-'V06 Calend 01'!C8)/6)&lt;='V06 Calend 01'!E8)),IF((86=('V06 Calend 01'!C8+(6*'V06 Calend 01'!E8))),('V06 Calend 01'!H8-('V06 Calend 01'!I8*('V06 Calend 01'!E8-1))),'V06 Calend 01'!I8),0))+IF((86='V06 Calend 01'!D8),'V06 Calend 01'!J8,0))</f>
        <v>0</v>
      </c>
      <c r="CU8" s="2">
        <f>((IF((87='V06 Calend 01'!C8),('V06 Calend 01'!F8+'V06 Calend 01'!G8),0)+IF(AND(('V06 Calend 01'!E8&gt;0),(87&gt;'V06 Calend 01'!C8),(87&lt;'V06 Calend 01'!D8),(MOD((87-'V06 Calend 01'!C8),6)=0),(((87-'V06 Calend 01'!C8)/6)&lt;='V06 Calend 01'!E8)),IF((87=('V06 Calend 01'!C8+(6*'V06 Calend 01'!E8))),('V06 Calend 01'!H8-('V06 Calend 01'!I8*('V06 Calend 01'!E8-1))),'V06 Calend 01'!I8),0))+IF((87='V06 Calend 01'!D8),'V06 Calend 01'!J8,0))</f>
        <v>0</v>
      </c>
      <c r="CV8" s="2">
        <f>((IF((88='V06 Calend 01'!C8),('V06 Calend 01'!F8+'V06 Calend 01'!G8),0)+IF(AND(('V06 Calend 01'!E8&gt;0),(88&gt;'V06 Calend 01'!C8),(88&lt;'V06 Calend 01'!D8),(MOD((88-'V06 Calend 01'!C8),6)=0),(((88-'V06 Calend 01'!C8)/6)&lt;='V06 Calend 01'!E8)),IF((88=('V06 Calend 01'!C8+(6*'V06 Calend 01'!E8))),('V06 Calend 01'!H8-('V06 Calend 01'!I8*('V06 Calend 01'!E8-1))),'V06 Calend 01'!I8),0))+IF((88='V06 Calend 01'!D8),'V06 Calend 01'!J8,0))</f>
        <v>0</v>
      </c>
      <c r="CW8" s="2">
        <f>((IF((89='V06 Calend 01'!C8),('V06 Calend 01'!F8+'V06 Calend 01'!G8),0)+IF(AND(('V06 Calend 01'!E8&gt;0),(89&gt;'V06 Calend 01'!C8),(89&lt;'V06 Calend 01'!D8),(MOD((89-'V06 Calend 01'!C8),6)=0),(((89-'V06 Calend 01'!C8)/6)&lt;='V06 Calend 01'!E8)),IF((89=('V06 Calend 01'!C8+(6*'V06 Calend 01'!E8))),('V06 Calend 01'!H8-('V06 Calend 01'!I8*('V06 Calend 01'!E8-1))),'V06 Calend 01'!I8),0))+IF((89='V06 Calend 01'!D8),'V06 Calend 01'!J8,0))</f>
        <v>0</v>
      </c>
      <c r="CX8" s="2">
        <f>((IF((90='V06 Calend 01'!C8),('V06 Calend 01'!F8+'V06 Calend 01'!G8),0)+IF(AND(('V06 Calend 01'!E8&gt;0),(90&gt;'V06 Calend 01'!C8),(90&lt;'V06 Calend 01'!D8),(MOD((90-'V06 Calend 01'!C8),6)=0),(((90-'V06 Calend 01'!C8)/6)&lt;='V06 Calend 01'!E8)),IF((90=('V06 Calend 01'!C8+(6*'V06 Calend 01'!E8))),('V06 Calend 01'!H8-('V06 Calend 01'!I8*('V06 Calend 01'!E8-1))),'V06 Calend 01'!I8),0))+IF((90='V06 Calend 01'!D8),'V06 Calend 01'!J8,0))</f>
        <v>0</v>
      </c>
      <c r="CY8" s="2">
        <f>((IF((91='V06 Calend 01'!C8),('V06 Calend 01'!F8+'V06 Calend 01'!G8),0)+IF(AND(('V06 Calend 01'!E8&gt;0),(91&gt;'V06 Calend 01'!C8),(91&lt;'V06 Calend 01'!D8),(MOD((91-'V06 Calend 01'!C8),6)=0),(((91-'V06 Calend 01'!C8)/6)&lt;='V06 Calend 01'!E8)),IF((91=('V06 Calend 01'!C8+(6*'V06 Calend 01'!E8))),('V06 Calend 01'!H8-('V06 Calend 01'!I8*('V06 Calend 01'!E8-1))),'V06 Calend 01'!I8),0))+IF((91='V06 Calend 01'!D8),'V06 Calend 01'!J8,0))</f>
        <v>0</v>
      </c>
      <c r="CZ8" s="2">
        <f>((IF((92='V06 Calend 01'!C8),('V06 Calend 01'!F8+'V06 Calend 01'!G8),0)+IF(AND(('V06 Calend 01'!E8&gt;0),(92&gt;'V06 Calend 01'!C8),(92&lt;'V06 Calend 01'!D8),(MOD((92-'V06 Calend 01'!C8),6)=0),(((92-'V06 Calend 01'!C8)/6)&lt;='V06 Calend 01'!E8)),IF((92=('V06 Calend 01'!C8+(6*'V06 Calend 01'!E8))),('V06 Calend 01'!H8-('V06 Calend 01'!I8*('V06 Calend 01'!E8-1))),'V06 Calend 01'!I8),0))+IF((92='V06 Calend 01'!D8),'V06 Calend 01'!J8,0))</f>
        <v>0</v>
      </c>
      <c r="DA8" s="2">
        <f>((IF((93='V06 Calend 01'!C8),('V06 Calend 01'!F8+'V06 Calend 01'!G8),0)+IF(AND(('V06 Calend 01'!E8&gt;0),(93&gt;'V06 Calend 01'!C8),(93&lt;'V06 Calend 01'!D8),(MOD((93-'V06 Calend 01'!C8),6)=0),(((93-'V06 Calend 01'!C8)/6)&lt;='V06 Calend 01'!E8)),IF((93=('V06 Calend 01'!C8+(6*'V06 Calend 01'!E8))),('V06 Calend 01'!H8-('V06 Calend 01'!I8*('V06 Calend 01'!E8-1))),'V06 Calend 01'!I8),0))+IF((93='V06 Calend 01'!D8),'V06 Calend 01'!J8,0))</f>
        <v>0</v>
      </c>
      <c r="DB8" s="2">
        <f>((IF((94='V06 Calend 01'!C8),('V06 Calend 01'!F8+'V06 Calend 01'!G8),0)+IF(AND(('V06 Calend 01'!E8&gt;0),(94&gt;'V06 Calend 01'!C8),(94&lt;'V06 Calend 01'!D8),(MOD((94-'V06 Calend 01'!C8),6)=0),(((94-'V06 Calend 01'!C8)/6)&lt;='V06 Calend 01'!E8)),IF((94=('V06 Calend 01'!C8+(6*'V06 Calend 01'!E8))),('V06 Calend 01'!H8-('V06 Calend 01'!I8*('V06 Calend 01'!E8-1))),'V06 Calend 01'!I8),0))+IF((94='V06 Calend 01'!D8),'V06 Calend 01'!J8,0))</f>
        <v>0</v>
      </c>
      <c r="DC8" s="2">
        <f>((IF((95='V06 Calend 01'!C8),('V06 Calend 01'!F8+'V06 Calend 01'!G8),0)+IF(AND(('V06 Calend 01'!E8&gt;0),(95&gt;'V06 Calend 01'!C8),(95&lt;'V06 Calend 01'!D8),(MOD((95-'V06 Calend 01'!C8),6)=0),(((95-'V06 Calend 01'!C8)/6)&lt;='V06 Calend 01'!E8)),IF((95=('V06 Calend 01'!C8+(6*'V06 Calend 01'!E8))),('V06 Calend 01'!H8-('V06 Calend 01'!I8*('V06 Calend 01'!E8-1))),'V06 Calend 01'!I8),0))+IF((95='V06 Calend 01'!D8),'V06 Calend 01'!J8,0))</f>
        <v>0</v>
      </c>
      <c r="DD8" s="2">
        <f>((IF((96='V06 Calend 01'!C8),('V06 Calend 01'!F8+'V06 Calend 01'!G8),0)+IF(AND(('V06 Calend 01'!E8&gt;0),(96&gt;'V06 Calend 01'!C8),(96&lt;'V06 Calend 01'!D8),(MOD((96-'V06 Calend 01'!C8),6)=0),(((96-'V06 Calend 01'!C8)/6)&lt;='V06 Calend 01'!E8)),IF((96=('V06 Calend 01'!C8+(6*'V06 Calend 01'!E8))),('V06 Calend 01'!H8-('V06 Calend 01'!I8*('V06 Calend 01'!E8-1))),'V06 Calend 01'!I8),0))+IF((96='V06 Calend 01'!D8),'V06 Calend 01'!J8,0))</f>
        <v>0</v>
      </c>
      <c r="DE8" s="2">
        <f>((IF((97='V06 Calend 01'!C8),('V06 Calend 01'!F8+'V06 Calend 01'!G8),0)+IF(AND(('V06 Calend 01'!E8&gt;0),(97&gt;'V06 Calend 01'!C8),(97&lt;'V06 Calend 01'!D8),(MOD((97-'V06 Calend 01'!C8),6)=0),(((97-'V06 Calend 01'!C8)/6)&lt;='V06 Calend 01'!E8)),IF((97=('V06 Calend 01'!C8+(6*'V06 Calend 01'!E8))),('V06 Calend 01'!H8-('V06 Calend 01'!I8*('V06 Calend 01'!E8-1))),'V06 Calend 01'!I8),0))+IF((97='V06 Calend 01'!D8),'V06 Calend 01'!J8,0))</f>
        <v>0</v>
      </c>
      <c r="DF8" s="2">
        <f>((IF((98='V06 Calend 01'!C8),('V06 Calend 01'!F8+'V06 Calend 01'!G8),0)+IF(AND(('V06 Calend 01'!E8&gt;0),(98&gt;'V06 Calend 01'!C8),(98&lt;'V06 Calend 01'!D8),(MOD((98-'V06 Calend 01'!C8),6)=0),(((98-'V06 Calend 01'!C8)/6)&lt;='V06 Calend 01'!E8)),IF((98=('V06 Calend 01'!C8+(6*'V06 Calend 01'!E8))),('V06 Calend 01'!H8-('V06 Calend 01'!I8*('V06 Calend 01'!E8-1))),'V06 Calend 01'!I8),0))+IF((98='V06 Calend 01'!D8),'V06 Calend 01'!J8,0))</f>
        <v>0</v>
      </c>
      <c r="DG8" s="2">
        <f>((IF((99='V06 Calend 01'!C8),('V06 Calend 01'!F8+'V06 Calend 01'!G8),0)+IF(AND(('V06 Calend 01'!E8&gt;0),(99&gt;'V06 Calend 01'!C8),(99&lt;'V06 Calend 01'!D8),(MOD((99-'V06 Calend 01'!C8),6)=0),(((99-'V06 Calend 01'!C8)/6)&lt;='V06 Calend 01'!E8)),IF((99=('V06 Calend 01'!C8+(6*'V06 Calend 01'!E8))),('V06 Calend 01'!H8-('V06 Calend 01'!I8*('V06 Calend 01'!E8-1))),'V06 Calend 01'!I8),0))+IF((99='V06 Calend 01'!D8),'V06 Calend 01'!J8,0))</f>
        <v>0</v>
      </c>
      <c r="DH8" s="2">
        <f>((IF((100='V06 Calend 01'!C8),('V06 Calend 01'!F8+'V06 Calend 01'!G8),0)+IF(AND(('V06 Calend 01'!E8&gt;0),(100&gt;'V06 Calend 01'!C8),(100&lt;'V06 Calend 01'!D8),(MOD((100-'V06 Calend 01'!C8),6)=0),(((100-'V06 Calend 01'!C8)/6)&lt;='V06 Calend 01'!E8)),IF((100=('V06 Calend 01'!C8+(6*'V06 Calend 01'!E8))),('V06 Calend 01'!H8-('V06 Calend 01'!I8*('V06 Calend 01'!E8-1))),'V06 Calend 01'!I8),0))+IF((100='V06 Calend 01'!D8),'V06 Calend 01'!J8,0))</f>
        <v>0</v>
      </c>
      <c r="DI8" s="2">
        <f>((IF((101='V06 Calend 01'!C8),('V06 Calend 01'!F8+'V06 Calend 01'!G8),0)+IF(AND(('V06 Calend 01'!E8&gt;0),(101&gt;'V06 Calend 01'!C8),(101&lt;'V06 Calend 01'!D8),(MOD((101-'V06 Calend 01'!C8),6)=0),(((101-'V06 Calend 01'!C8)/6)&lt;='V06 Calend 01'!E8)),IF((101=('V06 Calend 01'!C8+(6*'V06 Calend 01'!E8))),('V06 Calend 01'!H8-('V06 Calend 01'!I8*('V06 Calend 01'!E8-1))),'V06 Calend 01'!I8),0))+IF((101='V06 Calend 01'!D8),'V06 Calend 01'!J8,0))</f>
        <v>0</v>
      </c>
      <c r="DJ8" s="2">
        <f>((IF((102='V06 Calend 01'!C8),('V06 Calend 01'!F8+'V06 Calend 01'!G8),0)+IF(AND(('V06 Calend 01'!E8&gt;0),(102&gt;'V06 Calend 01'!C8),(102&lt;'V06 Calend 01'!D8),(MOD((102-'V06 Calend 01'!C8),6)=0),(((102-'V06 Calend 01'!C8)/6)&lt;='V06 Calend 01'!E8)),IF((102=('V06 Calend 01'!C8+(6*'V06 Calend 01'!E8))),('V06 Calend 01'!H8-('V06 Calend 01'!I8*('V06 Calend 01'!E8-1))),'V06 Calend 01'!I8),0))+IF((102='V06 Calend 01'!D8),'V06 Calend 01'!J8,0))</f>
        <v>0</v>
      </c>
      <c r="DK8" s="2">
        <f>((IF((103='V06 Calend 01'!C8),('V06 Calend 01'!F8+'V06 Calend 01'!G8),0)+IF(AND(('V06 Calend 01'!E8&gt;0),(103&gt;'V06 Calend 01'!C8),(103&lt;'V06 Calend 01'!D8),(MOD((103-'V06 Calend 01'!C8),6)=0),(((103-'V06 Calend 01'!C8)/6)&lt;='V06 Calend 01'!E8)),IF((103=('V06 Calend 01'!C8+(6*'V06 Calend 01'!E8))),('V06 Calend 01'!H8-('V06 Calend 01'!I8*('V06 Calend 01'!E8-1))),'V06 Calend 01'!I8),0))+IF((103='V06 Calend 01'!D8),'V06 Calend 01'!J8,0))</f>
        <v>0</v>
      </c>
      <c r="DL8" s="2">
        <f>((IF((104='V06 Calend 01'!C8),('V06 Calend 01'!F8+'V06 Calend 01'!G8),0)+IF(AND(('V06 Calend 01'!E8&gt;0),(104&gt;'V06 Calend 01'!C8),(104&lt;'V06 Calend 01'!D8),(MOD((104-'V06 Calend 01'!C8),6)=0),(((104-'V06 Calend 01'!C8)/6)&lt;='V06 Calend 01'!E8)),IF((104=('V06 Calend 01'!C8+(6*'V06 Calend 01'!E8))),('V06 Calend 01'!H8-('V06 Calend 01'!I8*('V06 Calend 01'!E8-1))),'V06 Calend 01'!I8),0))+IF((104='V06 Calend 01'!D8),'V06 Calend 01'!J8,0))</f>
        <v>0</v>
      </c>
      <c r="DM8" s="2">
        <f>((IF((105='V06 Calend 01'!C8),('V06 Calend 01'!F8+'V06 Calend 01'!G8),0)+IF(AND(('V06 Calend 01'!E8&gt;0),(105&gt;'V06 Calend 01'!C8),(105&lt;'V06 Calend 01'!D8),(MOD((105-'V06 Calend 01'!C8),6)=0),(((105-'V06 Calend 01'!C8)/6)&lt;='V06 Calend 01'!E8)),IF((105=('V06 Calend 01'!C8+(6*'V06 Calend 01'!E8))),('V06 Calend 01'!H8-('V06 Calend 01'!I8*('V06 Calend 01'!E8-1))),'V06 Calend 01'!I8),0))+IF((105='V06 Calend 01'!D8),'V06 Calend 01'!J8,0))</f>
        <v>0</v>
      </c>
      <c r="DN8" s="2">
        <f>((IF((106='V06 Calend 01'!C8),('V06 Calend 01'!F8+'V06 Calend 01'!G8),0)+IF(AND(('V06 Calend 01'!E8&gt;0),(106&gt;'V06 Calend 01'!C8),(106&lt;'V06 Calend 01'!D8),(MOD((106-'V06 Calend 01'!C8),6)=0),(((106-'V06 Calend 01'!C8)/6)&lt;='V06 Calend 01'!E8)),IF((106=('V06 Calend 01'!C8+(6*'V06 Calend 01'!E8))),('V06 Calend 01'!H8-('V06 Calend 01'!I8*('V06 Calend 01'!E8-1))),'V06 Calend 01'!I8),0))+IF((106='V06 Calend 01'!D8),'V06 Calend 01'!J8,0))</f>
        <v>0</v>
      </c>
      <c r="DO8" s="2">
        <f>((IF((107='V06 Calend 01'!C8),('V06 Calend 01'!F8+'V06 Calend 01'!G8),0)+IF(AND(('V06 Calend 01'!E8&gt;0),(107&gt;'V06 Calend 01'!C8),(107&lt;'V06 Calend 01'!D8),(MOD((107-'V06 Calend 01'!C8),6)=0),(((107-'V06 Calend 01'!C8)/6)&lt;='V06 Calend 01'!E8)),IF((107=('V06 Calend 01'!C8+(6*'V06 Calend 01'!E8))),('V06 Calend 01'!H8-('V06 Calend 01'!I8*('V06 Calend 01'!E8-1))),'V06 Calend 01'!I8),0))+IF((107='V06 Calend 01'!D8),'V06 Calend 01'!J8,0))</f>
        <v>0</v>
      </c>
      <c r="DP8" s="2">
        <f>((IF((108='V06 Calend 01'!C8),('V06 Calend 01'!F8+'V06 Calend 01'!G8),0)+IF(AND(('V06 Calend 01'!E8&gt;0),(108&gt;'V06 Calend 01'!C8),(108&lt;'V06 Calend 01'!D8),(MOD((108-'V06 Calend 01'!C8),6)=0),(((108-'V06 Calend 01'!C8)/6)&lt;='V06 Calend 01'!E8)),IF((108=('V06 Calend 01'!C8+(6*'V06 Calend 01'!E8))),('V06 Calend 01'!H8-('V06 Calend 01'!I8*('V06 Calend 01'!E8-1))),'V06 Calend 01'!I8),0))+IF((108='V06 Calend 01'!D8),'V06 Calend 01'!J8,0))</f>
        <v>0</v>
      </c>
      <c r="DQ8" s="2">
        <f>((IF((109='V06 Calend 01'!C8),('V06 Calend 01'!F8+'V06 Calend 01'!G8),0)+IF(AND(('V06 Calend 01'!E8&gt;0),(109&gt;'V06 Calend 01'!C8),(109&lt;'V06 Calend 01'!D8),(MOD((109-'V06 Calend 01'!C8),6)=0),(((109-'V06 Calend 01'!C8)/6)&lt;='V06 Calend 01'!E8)),IF((109=('V06 Calend 01'!C8+(6*'V06 Calend 01'!E8))),('V06 Calend 01'!H8-('V06 Calend 01'!I8*('V06 Calend 01'!E8-1))),'V06 Calend 01'!I8),0))+IF((109='V06 Calend 01'!D8),'V06 Calend 01'!J8,0))</f>
        <v>0</v>
      </c>
      <c r="DR8" s="2">
        <f>((IF((110='V06 Calend 01'!C8),('V06 Calend 01'!F8+'V06 Calend 01'!G8),0)+IF(AND(('V06 Calend 01'!E8&gt;0),(110&gt;'V06 Calend 01'!C8),(110&lt;'V06 Calend 01'!D8),(MOD((110-'V06 Calend 01'!C8),6)=0),(((110-'V06 Calend 01'!C8)/6)&lt;='V06 Calend 01'!E8)),IF((110=('V06 Calend 01'!C8+(6*'V06 Calend 01'!E8))),('V06 Calend 01'!H8-('V06 Calend 01'!I8*('V06 Calend 01'!E8-1))),'V06 Calend 01'!I8),0))+IF((110='V06 Calend 01'!D8),'V06 Calend 01'!J8,0))</f>
        <v>0</v>
      </c>
      <c r="DS8" s="2">
        <f>((IF((111='V06 Calend 01'!C8),('V06 Calend 01'!F8+'V06 Calend 01'!G8),0)+IF(AND(('V06 Calend 01'!E8&gt;0),(111&gt;'V06 Calend 01'!C8),(111&lt;'V06 Calend 01'!D8),(MOD((111-'V06 Calend 01'!C8),6)=0),(((111-'V06 Calend 01'!C8)/6)&lt;='V06 Calend 01'!E8)),IF((111=('V06 Calend 01'!C8+(6*'V06 Calend 01'!E8))),('V06 Calend 01'!H8-('V06 Calend 01'!I8*('V06 Calend 01'!E8-1))),'V06 Calend 01'!I8),0))+IF((111='V06 Calend 01'!D8),'V06 Calend 01'!J8,0))</f>
        <v>0</v>
      </c>
      <c r="DT8" s="2">
        <f>((IF((112='V06 Calend 01'!C8),('V06 Calend 01'!F8+'V06 Calend 01'!G8),0)+IF(AND(('V06 Calend 01'!E8&gt;0),(112&gt;'V06 Calend 01'!C8),(112&lt;'V06 Calend 01'!D8),(MOD((112-'V06 Calend 01'!C8),6)=0),(((112-'V06 Calend 01'!C8)/6)&lt;='V06 Calend 01'!E8)),IF((112=('V06 Calend 01'!C8+(6*'V06 Calend 01'!E8))),('V06 Calend 01'!H8-('V06 Calend 01'!I8*('V06 Calend 01'!E8-1))),'V06 Calend 01'!I8),0))+IF((112='V06 Calend 01'!D8),'V06 Calend 01'!J8,0))</f>
        <v>0</v>
      </c>
      <c r="DU8" s="2">
        <f>((IF((113='V06 Calend 01'!C8),('V06 Calend 01'!F8+'V06 Calend 01'!G8),0)+IF(AND(('V06 Calend 01'!E8&gt;0),(113&gt;'V06 Calend 01'!C8),(113&lt;'V06 Calend 01'!D8),(MOD((113-'V06 Calend 01'!C8),6)=0),(((113-'V06 Calend 01'!C8)/6)&lt;='V06 Calend 01'!E8)),IF((113=('V06 Calend 01'!C8+(6*'V06 Calend 01'!E8))),('V06 Calend 01'!H8-('V06 Calend 01'!I8*('V06 Calend 01'!E8-1))),'V06 Calend 01'!I8),0))+IF((113='V06 Calend 01'!D8),'V06 Calend 01'!J8,0))</f>
        <v>0</v>
      </c>
      <c r="DV8" s="2">
        <f>((IF((114='V06 Calend 01'!C8),('V06 Calend 01'!F8+'V06 Calend 01'!G8),0)+IF(AND(('V06 Calend 01'!E8&gt;0),(114&gt;'V06 Calend 01'!C8),(114&lt;'V06 Calend 01'!D8),(MOD((114-'V06 Calend 01'!C8),6)=0),(((114-'V06 Calend 01'!C8)/6)&lt;='V06 Calend 01'!E8)),IF((114=('V06 Calend 01'!C8+(6*'V06 Calend 01'!E8))),('V06 Calend 01'!H8-('V06 Calend 01'!I8*('V06 Calend 01'!E8-1))),'V06 Calend 01'!I8),0))+IF((114='V06 Calend 01'!D8),'V06 Calend 01'!J8,0))</f>
        <v>0</v>
      </c>
      <c r="DW8" s="2">
        <f>((IF((115='V06 Calend 01'!C8),('V06 Calend 01'!F8+'V06 Calend 01'!G8),0)+IF(AND(('V06 Calend 01'!E8&gt;0),(115&gt;'V06 Calend 01'!C8),(115&lt;'V06 Calend 01'!D8),(MOD((115-'V06 Calend 01'!C8),6)=0),(((115-'V06 Calend 01'!C8)/6)&lt;='V06 Calend 01'!E8)),IF((115=('V06 Calend 01'!C8+(6*'V06 Calend 01'!E8))),('V06 Calend 01'!H8-('V06 Calend 01'!I8*('V06 Calend 01'!E8-1))),'V06 Calend 01'!I8),0))+IF((115='V06 Calend 01'!D8),'V06 Calend 01'!J8,0))</f>
        <v>0</v>
      </c>
      <c r="DX8" s="2">
        <f>((IF((116='V06 Calend 01'!C8),('V06 Calend 01'!F8+'V06 Calend 01'!G8),0)+IF(AND(('V06 Calend 01'!E8&gt;0),(116&gt;'V06 Calend 01'!C8),(116&lt;'V06 Calend 01'!D8),(MOD((116-'V06 Calend 01'!C8),6)=0),(((116-'V06 Calend 01'!C8)/6)&lt;='V06 Calend 01'!E8)),IF((116=('V06 Calend 01'!C8+(6*'V06 Calend 01'!E8))),('V06 Calend 01'!H8-('V06 Calend 01'!I8*('V06 Calend 01'!E8-1))),'V06 Calend 01'!I8),0))+IF((116='V06 Calend 01'!D8),'V06 Calend 01'!J8,0))</f>
        <v>0</v>
      </c>
      <c r="DY8" s="2">
        <f>((IF((117='V06 Calend 01'!C8),('V06 Calend 01'!F8+'V06 Calend 01'!G8),0)+IF(AND(('V06 Calend 01'!E8&gt;0),(117&gt;'V06 Calend 01'!C8),(117&lt;'V06 Calend 01'!D8),(MOD((117-'V06 Calend 01'!C8),6)=0),(((117-'V06 Calend 01'!C8)/6)&lt;='V06 Calend 01'!E8)),IF((117=('V06 Calend 01'!C8+(6*'V06 Calend 01'!E8))),('V06 Calend 01'!H8-('V06 Calend 01'!I8*('V06 Calend 01'!E8-1))),'V06 Calend 01'!I8),0))+IF((117='V06 Calend 01'!D8),'V06 Calend 01'!J8,0))</f>
        <v>0</v>
      </c>
      <c r="DZ8" s="2">
        <f>((IF((118='V06 Calend 01'!C8),('V06 Calend 01'!F8+'V06 Calend 01'!G8),0)+IF(AND(('V06 Calend 01'!E8&gt;0),(118&gt;'V06 Calend 01'!C8),(118&lt;'V06 Calend 01'!D8),(MOD((118-'V06 Calend 01'!C8),6)=0),(((118-'V06 Calend 01'!C8)/6)&lt;='V06 Calend 01'!E8)),IF((118=('V06 Calend 01'!C8+(6*'V06 Calend 01'!E8))),('V06 Calend 01'!H8-('V06 Calend 01'!I8*('V06 Calend 01'!E8-1))),'V06 Calend 01'!I8),0))+IF((118='V06 Calend 01'!D8),'V06 Calend 01'!J8,0))</f>
        <v>0</v>
      </c>
      <c r="EA8" s="2">
        <f>((IF((119='V06 Calend 01'!C8),('V06 Calend 01'!F8+'V06 Calend 01'!G8),0)+IF(AND(('V06 Calend 01'!E8&gt;0),(119&gt;'V06 Calend 01'!C8),(119&lt;'V06 Calend 01'!D8),(MOD((119-'V06 Calend 01'!C8),6)=0),(((119-'V06 Calend 01'!C8)/6)&lt;='V06 Calend 01'!E8)),IF((119=('V06 Calend 01'!C8+(6*'V06 Calend 01'!E8))),('V06 Calend 01'!H8-('V06 Calend 01'!I8*('V06 Calend 01'!E8-1))),'V06 Calend 01'!I8),0))+IF((119='V06 Calend 01'!D8),'V06 Calend 01'!J8,0))</f>
        <v>0</v>
      </c>
      <c r="EB8" s="2">
        <f>((IF((120='V06 Calend 01'!C8),('V06 Calend 01'!F8+'V06 Calend 01'!G8),0)+IF(AND(('V06 Calend 01'!E8&gt;0),(120&gt;'V06 Calend 01'!C8),(120&lt;'V06 Calend 01'!D8),(MOD((120-'V06 Calend 01'!C8),6)=0),(((120-'V06 Calend 01'!C8)/6)&lt;='V06 Calend 01'!E8)),IF((120=('V06 Calend 01'!C8+(6*'V06 Calend 01'!E8))),('V06 Calend 01'!H8-('V06 Calend 01'!I8*('V06 Calend 01'!E8-1))),'V06 Calend 01'!I8),0))+IF((120='V06 Calend 01'!D8),'V06 Calend 01'!J8,0))</f>
        <v>0</v>
      </c>
      <c r="EC8" s="2">
        <f>((IF((121='V06 Calend 01'!C8),('V06 Calend 01'!F8+'V06 Calend 01'!G8),0)+IF(AND(('V06 Calend 01'!E8&gt;0),(121&gt;'V06 Calend 01'!C8),(121&lt;'V06 Calend 01'!D8),(MOD((121-'V06 Calend 01'!C8),6)=0),(((121-'V06 Calend 01'!C8)/6)&lt;='V06 Calend 01'!E8)),IF((121=('V06 Calend 01'!C8+(6*'V06 Calend 01'!E8))),('V06 Calend 01'!H8-('V06 Calend 01'!I8*('V06 Calend 01'!E8-1))),'V06 Calend 01'!I8),0))+IF((121='V06 Calend 01'!D8),'V06 Calend 01'!J8,0))</f>
        <v>0</v>
      </c>
      <c r="ED8" s="2">
        <f>((IF((122='V06 Calend 01'!C8),('V06 Calend 01'!F8+'V06 Calend 01'!G8),0)+IF(AND(('V06 Calend 01'!E8&gt;0),(122&gt;'V06 Calend 01'!C8),(122&lt;'V06 Calend 01'!D8),(MOD((122-'V06 Calend 01'!C8),6)=0),(((122-'V06 Calend 01'!C8)/6)&lt;='V06 Calend 01'!E8)),IF((122=('V06 Calend 01'!C8+(6*'V06 Calend 01'!E8))),('V06 Calend 01'!H8-('V06 Calend 01'!I8*('V06 Calend 01'!E8-1))),'V06 Calend 01'!I8),0))+IF((122='V06 Calend 01'!D8),'V06 Calend 01'!J8,0))</f>
        <v>0</v>
      </c>
      <c r="EE8" s="2">
        <f>((IF((123='V06 Calend 01'!C8),('V06 Calend 01'!F8+'V06 Calend 01'!G8),0)+IF(AND(('V06 Calend 01'!E8&gt;0),(123&gt;'V06 Calend 01'!C8),(123&lt;'V06 Calend 01'!D8),(MOD((123-'V06 Calend 01'!C8),6)=0),(((123-'V06 Calend 01'!C8)/6)&lt;='V06 Calend 01'!E8)),IF((123=('V06 Calend 01'!C8+(6*'V06 Calend 01'!E8))),('V06 Calend 01'!H8-('V06 Calend 01'!I8*('V06 Calend 01'!E8-1))),'V06 Calend 01'!I8),0))+IF((123='V06 Calend 01'!D8),'V06 Calend 01'!J8,0))</f>
        <v>0</v>
      </c>
      <c r="EF8" s="2">
        <f>((IF((124='V06 Calend 01'!C8),('V06 Calend 01'!F8+'V06 Calend 01'!G8),0)+IF(AND(('V06 Calend 01'!E8&gt;0),(124&gt;'V06 Calend 01'!C8),(124&lt;'V06 Calend 01'!D8),(MOD((124-'V06 Calend 01'!C8),6)=0),(((124-'V06 Calend 01'!C8)/6)&lt;='V06 Calend 01'!E8)),IF((124=('V06 Calend 01'!C8+(6*'V06 Calend 01'!E8))),('V06 Calend 01'!H8-('V06 Calend 01'!I8*('V06 Calend 01'!E8-1))),'V06 Calend 01'!I8),0))+IF((124='V06 Calend 01'!D8),'V06 Calend 01'!J8,0))</f>
        <v>0</v>
      </c>
      <c r="EG8" s="2">
        <f>((IF((125='V06 Calend 01'!C8),('V06 Calend 01'!F8+'V06 Calend 01'!G8),0)+IF(AND(('V06 Calend 01'!E8&gt;0),(125&gt;'V06 Calend 01'!C8),(125&lt;'V06 Calend 01'!D8),(MOD((125-'V06 Calend 01'!C8),6)=0),(((125-'V06 Calend 01'!C8)/6)&lt;='V06 Calend 01'!E8)),IF((125=('V06 Calend 01'!C8+(6*'V06 Calend 01'!E8))),('V06 Calend 01'!H8-('V06 Calend 01'!I8*('V06 Calend 01'!E8-1))),'V06 Calend 01'!I8),0))+IF((125='V06 Calend 01'!D8),'V06 Calend 01'!J8,0))</f>
        <v>0</v>
      </c>
      <c r="EH8" s="2">
        <f>((IF((126='V06 Calend 01'!C8),('V06 Calend 01'!F8+'V06 Calend 01'!G8),0)+IF(AND(('V06 Calend 01'!E8&gt;0),(126&gt;'V06 Calend 01'!C8),(126&lt;'V06 Calend 01'!D8),(MOD((126-'V06 Calend 01'!C8),6)=0),(((126-'V06 Calend 01'!C8)/6)&lt;='V06 Calend 01'!E8)),IF((126=('V06 Calend 01'!C8+(6*'V06 Calend 01'!E8))),('V06 Calend 01'!H8-('V06 Calend 01'!I8*('V06 Calend 01'!E8-1))),'V06 Calend 01'!I8),0))+IF((126='V06 Calend 01'!D8),'V06 Calend 01'!J8,0))</f>
        <v>0</v>
      </c>
      <c r="EI8" s="2">
        <f>((IF((127='V06 Calend 01'!C8),('V06 Calend 01'!F8+'V06 Calend 01'!G8),0)+IF(AND(('V06 Calend 01'!E8&gt;0),(127&gt;'V06 Calend 01'!C8),(127&lt;'V06 Calend 01'!D8),(MOD((127-'V06 Calend 01'!C8),6)=0),(((127-'V06 Calend 01'!C8)/6)&lt;='V06 Calend 01'!E8)),IF((127=('V06 Calend 01'!C8+(6*'V06 Calend 01'!E8))),('V06 Calend 01'!H8-('V06 Calend 01'!I8*('V06 Calend 01'!E8-1))),'V06 Calend 01'!I8),0))+IF((127='V06 Calend 01'!D8),'V06 Calend 01'!J8,0))</f>
        <v>0</v>
      </c>
      <c r="EJ8" s="2">
        <f>((IF((128='V06 Calend 01'!C8),('V06 Calend 01'!F8+'V06 Calend 01'!G8),0)+IF(AND(('V06 Calend 01'!E8&gt;0),(128&gt;'V06 Calend 01'!C8),(128&lt;'V06 Calend 01'!D8),(MOD((128-'V06 Calend 01'!C8),6)=0),(((128-'V06 Calend 01'!C8)/6)&lt;='V06 Calend 01'!E8)),IF((128=('V06 Calend 01'!C8+(6*'V06 Calend 01'!E8))),('V06 Calend 01'!H8-('V06 Calend 01'!I8*('V06 Calend 01'!E8-1))),'V06 Calend 01'!I8),0))+IF((128='V06 Calend 01'!D8),'V06 Calend 01'!J8,0))</f>
        <v>0</v>
      </c>
      <c r="EK8" s="2">
        <f>((IF((129='V06 Calend 01'!C8),('V06 Calend 01'!F8+'V06 Calend 01'!G8),0)+IF(AND(('V06 Calend 01'!E8&gt;0),(129&gt;'V06 Calend 01'!C8),(129&lt;'V06 Calend 01'!D8),(MOD((129-'V06 Calend 01'!C8),6)=0),(((129-'V06 Calend 01'!C8)/6)&lt;='V06 Calend 01'!E8)),IF((129=('V06 Calend 01'!C8+(6*'V06 Calend 01'!E8))),('V06 Calend 01'!H8-('V06 Calend 01'!I8*('V06 Calend 01'!E8-1))),'V06 Calend 01'!I8),0))+IF((129='V06 Calend 01'!D8),'V06 Calend 01'!J8,0))</f>
        <v>0</v>
      </c>
      <c r="EL8" s="2">
        <f>((IF((130='V06 Calend 01'!C8),('V06 Calend 01'!F8+'V06 Calend 01'!G8),0)+IF(AND(('V06 Calend 01'!E8&gt;0),(130&gt;'V06 Calend 01'!C8),(130&lt;'V06 Calend 01'!D8),(MOD((130-'V06 Calend 01'!C8),6)=0),(((130-'V06 Calend 01'!C8)/6)&lt;='V06 Calend 01'!E8)),IF((130=('V06 Calend 01'!C8+(6*'V06 Calend 01'!E8))),('V06 Calend 01'!H8-('V06 Calend 01'!I8*('V06 Calend 01'!E8-1))),'V06 Calend 01'!I8),0))+IF((130='V06 Calend 01'!D8),'V06 Calend 01'!J8,0))</f>
        <v>0</v>
      </c>
      <c r="EM8" s="2">
        <f>((IF((131='V06 Calend 01'!C8),('V06 Calend 01'!F8+'V06 Calend 01'!G8),0)+IF(AND(('V06 Calend 01'!E8&gt;0),(131&gt;'V06 Calend 01'!C8),(131&lt;'V06 Calend 01'!D8),(MOD((131-'V06 Calend 01'!C8),6)=0),(((131-'V06 Calend 01'!C8)/6)&lt;='V06 Calend 01'!E8)),IF((131=('V06 Calend 01'!C8+(6*'V06 Calend 01'!E8))),('V06 Calend 01'!H8-('V06 Calend 01'!I8*('V06 Calend 01'!E8-1))),'V06 Calend 01'!I8),0))+IF((131='V06 Calend 01'!D8),'V06 Calend 01'!J8,0))</f>
        <v>0</v>
      </c>
      <c r="EN8" s="2">
        <f>((IF((132='V06 Calend 01'!C8),('V06 Calend 01'!F8+'V06 Calend 01'!G8),0)+IF(AND(('V06 Calend 01'!E8&gt;0),(132&gt;'V06 Calend 01'!C8),(132&lt;'V06 Calend 01'!D8),(MOD((132-'V06 Calend 01'!C8),6)=0),(((132-'V06 Calend 01'!C8)/6)&lt;='V06 Calend 01'!E8)),IF((132=('V06 Calend 01'!C8+(6*'V06 Calend 01'!E8))),('V06 Calend 01'!H8-('V06 Calend 01'!I8*('V06 Calend 01'!E8-1))),'V06 Calend 01'!I8),0))+IF((132='V06 Calend 01'!D8),'V06 Calend 01'!J8,0))</f>
        <v>0</v>
      </c>
      <c r="EO8" s="2">
        <f>((IF((133='V06 Calend 01'!C8),('V06 Calend 01'!F8+'V06 Calend 01'!G8),0)+IF(AND(('V06 Calend 01'!E8&gt;0),(133&gt;'V06 Calend 01'!C8),(133&lt;'V06 Calend 01'!D8),(MOD((133-'V06 Calend 01'!C8),6)=0),(((133-'V06 Calend 01'!C8)/6)&lt;='V06 Calend 01'!E8)),IF((133=('V06 Calend 01'!C8+(6*'V06 Calend 01'!E8))),('V06 Calend 01'!H8-('V06 Calend 01'!I8*('V06 Calend 01'!E8-1))),'V06 Calend 01'!I8),0))+IF((133='V06 Calend 01'!D8),'V06 Calend 01'!J8,0))</f>
        <v>0</v>
      </c>
      <c r="EP8" s="2">
        <f>((IF((134='V06 Calend 01'!C8),('V06 Calend 01'!F8+'V06 Calend 01'!G8),0)+IF(AND(('V06 Calend 01'!E8&gt;0),(134&gt;'V06 Calend 01'!C8),(134&lt;'V06 Calend 01'!D8),(MOD((134-'V06 Calend 01'!C8),6)=0),(((134-'V06 Calend 01'!C8)/6)&lt;='V06 Calend 01'!E8)),IF((134=('V06 Calend 01'!C8+(6*'V06 Calend 01'!E8))),('V06 Calend 01'!H8-('V06 Calend 01'!I8*('V06 Calend 01'!E8-1))),'V06 Calend 01'!I8),0))+IF((134='V06 Calend 01'!D8),'V06 Calend 01'!J8,0))</f>
        <v>0</v>
      </c>
      <c r="EQ8" s="2">
        <f>((IF((135='V06 Calend 01'!C8),('V06 Calend 01'!F8+'V06 Calend 01'!G8),0)+IF(AND(('V06 Calend 01'!E8&gt;0),(135&gt;'V06 Calend 01'!C8),(135&lt;'V06 Calend 01'!D8),(MOD((135-'V06 Calend 01'!C8),6)=0),(((135-'V06 Calend 01'!C8)/6)&lt;='V06 Calend 01'!E8)),IF((135=('V06 Calend 01'!C8+(6*'V06 Calend 01'!E8))),('V06 Calend 01'!H8-('V06 Calend 01'!I8*('V06 Calend 01'!E8-1))),'V06 Calend 01'!I8),0))+IF((135='V06 Calend 01'!D8),'V06 Calend 01'!J8,0))</f>
        <v>0</v>
      </c>
      <c r="ER8" s="2">
        <f>((IF((136='V06 Calend 01'!C8),('V06 Calend 01'!F8+'V06 Calend 01'!G8),0)+IF(AND(('V06 Calend 01'!E8&gt;0),(136&gt;'V06 Calend 01'!C8),(136&lt;'V06 Calend 01'!D8),(MOD((136-'V06 Calend 01'!C8),6)=0),(((136-'V06 Calend 01'!C8)/6)&lt;='V06 Calend 01'!E8)),IF((136=('V06 Calend 01'!C8+(6*'V06 Calend 01'!E8))),('V06 Calend 01'!H8-('V06 Calend 01'!I8*('V06 Calend 01'!E8-1))),'V06 Calend 01'!I8),0))+IF((136='V06 Calend 01'!D8),'V06 Calend 01'!J8,0))</f>
        <v>0</v>
      </c>
      <c r="ES8" s="2">
        <f>((IF((137='V06 Calend 01'!C8),('V06 Calend 01'!F8+'V06 Calend 01'!G8),0)+IF(AND(('V06 Calend 01'!E8&gt;0),(137&gt;'V06 Calend 01'!C8),(137&lt;'V06 Calend 01'!D8),(MOD((137-'V06 Calend 01'!C8),6)=0),(((137-'V06 Calend 01'!C8)/6)&lt;='V06 Calend 01'!E8)),IF((137=('V06 Calend 01'!C8+(6*'V06 Calend 01'!E8))),('V06 Calend 01'!H8-('V06 Calend 01'!I8*('V06 Calend 01'!E8-1))),'V06 Calend 01'!I8),0))+IF((137='V06 Calend 01'!D8),'V06 Calend 01'!J8,0))</f>
        <v>0</v>
      </c>
      <c r="ET8" s="2">
        <f>((IF((138='V06 Calend 01'!C8),('V06 Calend 01'!F8+'V06 Calend 01'!G8),0)+IF(AND(('V06 Calend 01'!E8&gt;0),(138&gt;'V06 Calend 01'!C8),(138&lt;'V06 Calend 01'!D8),(MOD((138-'V06 Calend 01'!C8),6)=0),(((138-'V06 Calend 01'!C8)/6)&lt;='V06 Calend 01'!E8)),IF((138=('V06 Calend 01'!C8+(6*'V06 Calend 01'!E8))),('V06 Calend 01'!H8-('V06 Calend 01'!I8*('V06 Calend 01'!E8-1))),'V06 Calend 01'!I8),0))+IF((138='V06 Calend 01'!D8),'V06 Calend 01'!J8,0))</f>
        <v>0</v>
      </c>
      <c r="EU8" s="2">
        <f>((IF((139='V06 Calend 01'!C8),('V06 Calend 01'!F8+'V06 Calend 01'!G8),0)+IF(AND(('V06 Calend 01'!E8&gt;0),(139&gt;'V06 Calend 01'!C8),(139&lt;'V06 Calend 01'!D8),(MOD((139-'V06 Calend 01'!C8),6)=0),(((139-'V06 Calend 01'!C8)/6)&lt;='V06 Calend 01'!E8)),IF((139=('V06 Calend 01'!C8+(6*'V06 Calend 01'!E8))),('V06 Calend 01'!H8-('V06 Calend 01'!I8*('V06 Calend 01'!E8-1))),'V06 Calend 01'!I8),0))+IF((139='V06 Calend 01'!D8),'V06 Calend 01'!J8,0))</f>
        <v>0</v>
      </c>
      <c r="EV8" s="2">
        <f>((IF((140='V06 Calend 01'!C8),('V06 Calend 01'!F8+'V06 Calend 01'!G8),0)+IF(AND(('V06 Calend 01'!E8&gt;0),(140&gt;'V06 Calend 01'!C8),(140&lt;'V06 Calend 01'!D8),(MOD((140-'V06 Calend 01'!C8),6)=0),(((140-'V06 Calend 01'!C8)/6)&lt;='V06 Calend 01'!E8)),IF((140=('V06 Calend 01'!C8+(6*'V06 Calend 01'!E8))),('V06 Calend 01'!H8-('V06 Calend 01'!I8*('V06 Calend 01'!E8-1))),'V06 Calend 01'!I8),0))+IF((140='V06 Calend 01'!D8),'V06 Calend 01'!J8,0))</f>
        <v>0</v>
      </c>
      <c r="EW8" s="2">
        <f>((IF((141='V06 Calend 01'!C8),('V06 Calend 01'!F8+'V06 Calend 01'!G8),0)+IF(AND(('V06 Calend 01'!E8&gt;0),(141&gt;'V06 Calend 01'!C8),(141&lt;'V06 Calend 01'!D8),(MOD((141-'V06 Calend 01'!C8),6)=0),(((141-'V06 Calend 01'!C8)/6)&lt;='V06 Calend 01'!E8)),IF((141=('V06 Calend 01'!C8+(6*'V06 Calend 01'!E8))),('V06 Calend 01'!H8-('V06 Calend 01'!I8*('V06 Calend 01'!E8-1))),'V06 Calend 01'!I8),0))+IF((141='V06 Calend 01'!D8),'V06 Calend 01'!J8,0))</f>
        <v>0</v>
      </c>
      <c r="EX8" s="2">
        <f>((IF((142='V06 Calend 01'!C8),('V06 Calend 01'!F8+'V06 Calend 01'!G8),0)+IF(AND(('V06 Calend 01'!E8&gt;0),(142&gt;'V06 Calend 01'!C8),(142&lt;'V06 Calend 01'!D8),(MOD((142-'V06 Calend 01'!C8),6)=0),(((142-'V06 Calend 01'!C8)/6)&lt;='V06 Calend 01'!E8)),IF((142=('V06 Calend 01'!C8+(6*'V06 Calend 01'!E8))),('V06 Calend 01'!H8-('V06 Calend 01'!I8*('V06 Calend 01'!E8-1))),'V06 Calend 01'!I8),0))+IF((142='V06 Calend 01'!D8),'V06 Calend 01'!J8,0))</f>
        <v>0</v>
      </c>
      <c r="EY8" s="2">
        <f>((IF((143='V06 Calend 01'!C8),('V06 Calend 01'!F8+'V06 Calend 01'!G8),0)+IF(AND(('V06 Calend 01'!E8&gt;0),(143&gt;'V06 Calend 01'!C8),(143&lt;'V06 Calend 01'!D8),(MOD((143-'V06 Calend 01'!C8),6)=0),(((143-'V06 Calend 01'!C8)/6)&lt;='V06 Calend 01'!E8)),IF((143=('V06 Calend 01'!C8+(6*'V06 Calend 01'!E8))),('V06 Calend 01'!H8-('V06 Calend 01'!I8*('V06 Calend 01'!E8-1))),'V06 Calend 01'!I8),0))+IF((143='V06 Calend 01'!D8),'V06 Calend 01'!J8,0))</f>
        <v>0</v>
      </c>
      <c r="EZ8" s="2">
        <f>((IF((144='V06 Calend 01'!C8),('V06 Calend 01'!F8+'V06 Calend 01'!G8),0)+IF(AND(('V06 Calend 01'!E8&gt;0),(144&gt;'V06 Calend 01'!C8),(144&lt;'V06 Calend 01'!D8),(MOD((144-'V06 Calend 01'!C8),6)=0),(((144-'V06 Calend 01'!C8)/6)&lt;='V06 Calend 01'!E8)),IF((144=('V06 Calend 01'!C8+(6*'V06 Calend 01'!E8))),('V06 Calend 01'!H8-('V06 Calend 01'!I8*('V06 Calend 01'!E8-1))),'V06 Calend 01'!I8),0))+IF((144='V06 Calend 01'!D8),'V06 Calend 01'!J8,0))</f>
        <v>0</v>
      </c>
      <c r="FA8" s="2">
        <f>((IF((145='V06 Calend 01'!C8),('V06 Calend 01'!F8+'V06 Calend 01'!G8),0)+IF(AND(('V06 Calend 01'!E8&gt;0),(145&gt;'V06 Calend 01'!C8),(145&lt;'V06 Calend 01'!D8),(MOD((145-'V06 Calend 01'!C8),6)=0),(((145-'V06 Calend 01'!C8)/6)&lt;='V06 Calend 01'!E8)),IF((145=('V06 Calend 01'!C8+(6*'V06 Calend 01'!E8))),('V06 Calend 01'!H8-('V06 Calend 01'!I8*('V06 Calend 01'!E8-1))),'V06 Calend 01'!I8),0))+IF((145='V06 Calend 01'!D8),'V06 Calend 01'!J8,0))</f>
        <v>0</v>
      </c>
      <c r="FB8" s="2">
        <f>((IF((146='V06 Calend 01'!C8),('V06 Calend 01'!F8+'V06 Calend 01'!G8),0)+IF(AND(('V06 Calend 01'!E8&gt;0),(146&gt;'V06 Calend 01'!C8),(146&lt;'V06 Calend 01'!D8),(MOD((146-'V06 Calend 01'!C8),6)=0),(((146-'V06 Calend 01'!C8)/6)&lt;='V06 Calend 01'!E8)),IF((146=('V06 Calend 01'!C8+(6*'V06 Calend 01'!E8))),('V06 Calend 01'!H8-('V06 Calend 01'!I8*('V06 Calend 01'!E8-1))),'V06 Calend 01'!I8),0))+IF((146='V06 Calend 01'!D8),'V06 Calend 01'!J8,0))</f>
        <v>0</v>
      </c>
      <c r="FC8" s="2">
        <f>((IF((147='V06 Calend 01'!C8),('V06 Calend 01'!F8+'V06 Calend 01'!G8),0)+IF(AND(('V06 Calend 01'!E8&gt;0),(147&gt;'V06 Calend 01'!C8),(147&lt;'V06 Calend 01'!D8),(MOD((147-'V06 Calend 01'!C8),6)=0),(((147-'V06 Calend 01'!C8)/6)&lt;='V06 Calend 01'!E8)),IF((147=('V06 Calend 01'!C8+(6*'V06 Calend 01'!E8))),('V06 Calend 01'!H8-('V06 Calend 01'!I8*('V06 Calend 01'!E8-1))),'V06 Calend 01'!I8),0))+IF((147='V06 Calend 01'!D8),'V06 Calend 01'!J8,0))</f>
        <v>0</v>
      </c>
      <c r="FD8" s="2">
        <f>((IF((148='V06 Calend 01'!C8),('V06 Calend 01'!F8+'V06 Calend 01'!G8),0)+IF(AND(('V06 Calend 01'!E8&gt;0),(148&gt;'V06 Calend 01'!C8),(148&lt;'V06 Calend 01'!D8),(MOD((148-'V06 Calend 01'!C8),6)=0),(((148-'V06 Calend 01'!C8)/6)&lt;='V06 Calend 01'!E8)),IF((148=('V06 Calend 01'!C8+(6*'V06 Calend 01'!E8))),('V06 Calend 01'!H8-('V06 Calend 01'!I8*('V06 Calend 01'!E8-1))),'V06 Calend 01'!I8),0))+IF((148='V06 Calend 01'!D8),'V06 Calend 01'!J8,0))</f>
        <v>0</v>
      </c>
      <c r="FE8" s="2">
        <f>((IF((149='V06 Calend 01'!C8),('V06 Calend 01'!F8+'V06 Calend 01'!G8),0)+IF(AND(('V06 Calend 01'!E8&gt;0),(149&gt;'V06 Calend 01'!C8),(149&lt;'V06 Calend 01'!D8),(MOD((149-'V06 Calend 01'!C8),6)=0),(((149-'V06 Calend 01'!C8)/6)&lt;='V06 Calend 01'!E8)),IF((149=('V06 Calend 01'!C8+(6*'V06 Calend 01'!E8))),('V06 Calend 01'!H8-('V06 Calend 01'!I8*('V06 Calend 01'!E8-1))),'V06 Calend 01'!I8),0))+IF((149='V06 Calend 01'!D8),'V06 Calend 01'!J8,0))</f>
        <v>0</v>
      </c>
      <c r="FF8" s="2">
        <f>((IF((150='V06 Calend 01'!C8),('V06 Calend 01'!F8+'V06 Calend 01'!G8),0)+IF(AND(('V06 Calend 01'!E8&gt;0),(150&gt;'V06 Calend 01'!C8),(150&lt;'V06 Calend 01'!D8),(MOD((150-'V06 Calend 01'!C8),6)=0),(((150-'V06 Calend 01'!C8)/6)&lt;='V06 Calend 01'!E8)),IF((150=('V06 Calend 01'!C8+(6*'V06 Calend 01'!E8))),('V06 Calend 01'!H8-('V06 Calend 01'!I8*('V06 Calend 01'!E8-1))),'V06 Calend 01'!I8),0))+IF((150='V06 Calend 01'!D8),'V06 Calend 01'!J8,0))</f>
        <v>0</v>
      </c>
      <c r="FG8" s="2">
        <f>((IF((151='V06 Calend 01'!C8),('V06 Calend 01'!F8+'V06 Calend 01'!G8),0)+IF(AND(('V06 Calend 01'!E8&gt;0),(151&gt;'V06 Calend 01'!C8),(151&lt;'V06 Calend 01'!D8),(MOD((151-'V06 Calend 01'!C8),6)=0),(((151-'V06 Calend 01'!C8)/6)&lt;='V06 Calend 01'!E8)),IF((151=('V06 Calend 01'!C8+(6*'V06 Calend 01'!E8))),('V06 Calend 01'!H8-('V06 Calend 01'!I8*('V06 Calend 01'!E8-1))),'V06 Calend 01'!I8),0))+IF((151='V06 Calend 01'!D8),'V06 Calend 01'!J8,0))</f>
        <v>0</v>
      </c>
      <c r="FH8" s="2">
        <f>((IF((152='V06 Calend 01'!C8),('V06 Calend 01'!F8+'V06 Calend 01'!G8),0)+IF(AND(('V06 Calend 01'!E8&gt;0),(152&gt;'V06 Calend 01'!C8),(152&lt;'V06 Calend 01'!D8),(MOD((152-'V06 Calend 01'!C8),6)=0),(((152-'V06 Calend 01'!C8)/6)&lt;='V06 Calend 01'!E8)),IF((152=('V06 Calend 01'!C8+(6*'V06 Calend 01'!E8))),('V06 Calend 01'!H8-('V06 Calend 01'!I8*('V06 Calend 01'!E8-1))),'V06 Calend 01'!I8),0))+IF((152='V06 Calend 01'!D8),'V06 Calend 01'!J8,0))</f>
        <v>0</v>
      </c>
      <c r="FI8" s="2">
        <f>((IF((153='V06 Calend 01'!C8),('V06 Calend 01'!F8+'V06 Calend 01'!G8),0)+IF(AND(('V06 Calend 01'!E8&gt;0),(153&gt;'V06 Calend 01'!C8),(153&lt;'V06 Calend 01'!D8),(MOD((153-'V06 Calend 01'!C8),6)=0),(((153-'V06 Calend 01'!C8)/6)&lt;='V06 Calend 01'!E8)),IF((153=('V06 Calend 01'!C8+(6*'V06 Calend 01'!E8))),('V06 Calend 01'!H8-('V06 Calend 01'!I8*('V06 Calend 01'!E8-1))),'V06 Calend 01'!I8),0))+IF((153='V06 Calend 01'!D8),'V06 Calend 01'!J8,0))</f>
        <v>0</v>
      </c>
      <c r="FJ8" s="2">
        <f>((IF((154='V06 Calend 01'!C8),('V06 Calend 01'!F8+'V06 Calend 01'!G8),0)+IF(AND(('V06 Calend 01'!E8&gt;0),(154&gt;'V06 Calend 01'!C8),(154&lt;'V06 Calend 01'!D8),(MOD((154-'V06 Calend 01'!C8),6)=0),(((154-'V06 Calend 01'!C8)/6)&lt;='V06 Calend 01'!E8)),IF((154=('V06 Calend 01'!C8+(6*'V06 Calend 01'!E8))),('V06 Calend 01'!H8-('V06 Calend 01'!I8*('V06 Calend 01'!E8-1))),'V06 Calend 01'!I8),0))+IF((154='V06 Calend 01'!D8),'V06 Calend 01'!J8,0))</f>
        <v>0</v>
      </c>
      <c r="FK8" s="2">
        <f>((IF((155='V06 Calend 01'!C8),('V06 Calend 01'!F8+'V06 Calend 01'!G8),0)+IF(AND(('V06 Calend 01'!E8&gt;0),(155&gt;'V06 Calend 01'!C8),(155&lt;'V06 Calend 01'!D8),(MOD((155-'V06 Calend 01'!C8),6)=0),(((155-'V06 Calend 01'!C8)/6)&lt;='V06 Calend 01'!E8)),IF((155=('V06 Calend 01'!C8+(6*'V06 Calend 01'!E8))),('V06 Calend 01'!H8-('V06 Calend 01'!I8*('V06 Calend 01'!E8-1))),'V06 Calend 01'!I8),0))+IF((155='V06 Calend 01'!D8),'V06 Calend 01'!J8,0))</f>
        <v>0</v>
      </c>
      <c r="FL8" s="2">
        <f>((IF((156='V06 Calend 01'!C8),('V06 Calend 01'!F8+'V06 Calend 01'!G8),0)+IF(AND(('V06 Calend 01'!E8&gt;0),(156&gt;'V06 Calend 01'!C8),(156&lt;'V06 Calend 01'!D8),(MOD((156-'V06 Calend 01'!C8),6)=0),(((156-'V06 Calend 01'!C8)/6)&lt;='V06 Calend 01'!E8)),IF((156=('V06 Calend 01'!C8+(6*'V06 Calend 01'!E8))),('V06 Calend 01'!H8-('V06 Calend 01'!I8*('V06 Calend 01'!E8-1))),'V06 Calend 01'!I8),0))+IF((156='V06 Calend 01'!D8),'V06 Calend 01'!J8,0))</f>
        <v>0</v>
      </c>
      <c r="FM8" s="2">
        <f>((IF((157='V06 Calend 01'!C8),('V06 Calend 01'!F8+'V06 Calend 01'!G8),0)+IF(AND(('V06 Calend 01'!E8&gt;0),(157&gt;'V06 Calend 01'!C8),(157&lt;'V06 Calend 01'!D8),(MOD((157-'V06 Calend 01'!C8),6)=0),(((157-'V06 Calend 01'!C8)/6)&lt;='V06 Calend 01'!E8)),IF((157=('V06 Calend 01'!C8+(6*'V06 Calend 01'!E8))),('V06 Calend 01'!H8-('V06 Calend 01'!I8*('V06 Calend 01'!E8-1))),'V06 Calend 01'!I8),0))+IF((157='V06 Calend 01'!D8),'V06 Calend 01'!J8,0))</f>
        <v>0</v>
      </c>
      <c r="FN8" s="2">
        <f>((IF((158='V06 Calend 01'!C8),('V06 Calend 01'!F8+'V06 Calend 01'!G8),0)+IF(AND(('V06 Calend 01'!E8&gt;0),(158&gt;'V06 Calend 01'!C8),(158&lt;'V06 Calend 01'!D8),(MOD((158-'V06 Calend 01'!C8),6)=0),(((158-'V06 Calend 01'!C8)/6)&lt;='V06 Calend 01'!E8)),IF((158=('V06 Calend 01'!C8+(6*'V06 Calend 01'!E8))),('V06 Calend 01'!H8-('V06 Calend 01'!I8*('V06 Calend 01'!E8-1))),'V06 Calend 01'!I8),0))+IF((158='V06 Calend 01'!D8),'V06 Calend 01'!J8,0))</f>
        <v>0</v>
      </c>
      <c r="FO8" s="2">
        <f>((IF((159='V06 Calend 01'!C8),('V06 Calend 01'!F8+'V06 Calend 01'!G8),0)+IF(AND(('V06 Calend 01'!E8&gt;0),(159&gt;'V06 Calend 01'!C8),(159&lt;'V06 Calend 01'!D8),(MOD((159-'V06 Calend 01'!C8),6)=0),(((159-'V06 Calend 01'!C8)/6)&lt;='V06 Calend 01'!E8)),IF((159=('V06 Calend 01'!C8+(6*'V06 Calend 01'!E8))),('V06 Calend 01'!H8-('V06 Calend 01'!I8*('V06 Calend 01'!E8-1))),'V06 Calend 01'!I8),0))+IF((159='V06 Calend 01'!D8),'V06 Calend 01'!J8,0))</f>
        <v>0</v>
      </c>
      <c r="FP8" s="2">
        <f>((IF((160='V06 Calend 01'!C8),('V06 Calend 01'!F8+'V06 Calend 01'!G8),0)+IF(AND(('V06 Calend 01'!E8&gt;0),(160&gt;'V06 Calend 01'!C8),(160&lt;'V06 Calend 01'!D8),(MOD((160-'V06 Calend 01'!C8),6)=0),(((160-'V06 Calend 01'!C8)/6)&lt;='V06 Calend 01'!E8)),IF((160=('V06 Calend 01'!C8+(6*'V06 Calend 01'!E8))),('V06 Calend 01'!H8-('V06 Calend 01'!I8*('V06 Calend 01'!E8-1))),'V06 Calend 01'!I8),0))+IF((160='V06 Calend 01'!D8),'V06 Calend 01'!J8,0))</f>
        <v>0</v>
      </c>
      <c r="FQ8" s="2">
        <f>((IF((161='V06 Calend 01'!C8),('V06 Calend 01'!F8+'V06 Calend 01'!G8),0)+IF(AND(('V06 Calend 01'!E8&gt;0),(161&gt;'V06 Calend 01'!C8),(161&lt;'V06 Calend 01'!D8),(MOD((161-'V06 Calend 01'!C8),6)=0),(((161-'V06 Calend 01'!C8)/6)&lt;='V06 Calend 01'!E8)),IF((161=('V06 Calend 01'!C8+(6*'V06 Calend 01'!E8))),('V06 Calend 01'!H8-('V06 Calend 01'!I8*('V06 Calend 01'!E8-1))),'V06 Calend 01'!I8),0))+IF((161='V06 Calend 01'!D8),'V06 Calend 01'!J8,0))</f>
        <v>0</v>
      </c>
      <c r="FR8" s="2">
        <f>((IF((162='V06 Calend 01'!C8),('V06 Calend 01'!F8+'V06 Calend 01'!G8),0)+IF(AND(('V06 Calend 01'!E8&gt;0),(162&gt;'V06 Calend 01'!C8),(162&lt;'V06 Calend 01'!D8),(MOD((162-'V06 Calend 01'!C8),6)=0),(((162-'V06 Calend 01'!C8)/6)&lt;='V06 Calend 01'!E8)),IF((162=('V06 Calend 01'!C8+(6*'V06 Calend 01'!E8))),('V06 Calend 01'!H8-('V06 Calend 01'!I8*('V06 Calend 01'!E8-1))),'V06 Calend 01'!I8),0))+IF((162='V06 Calend 01'!D8),'V06 Calend 01'!J8,0))</f>
        <v>0</v>
      </c>
      <c r="FS8" s="2">
        <f>((IF((163='V06 Calend 01'!C8),('V06 Calend 01'!F8+'V06 Calend 01'!G8),0)+IF(AND(('V06 Calend 01'!E8&gt;0),(163&gt;'V06 Calend 01'!C8),(163&lt;'V06 Calend 01'!D8),(MOD((163-'V06 Calend 01'!C8),6)=0),(((163-'V06 Calend 01'!C8)/6)&lt;='V06 Calend 01'!E8)),IF((163=('V06 Calend 01'!C8+(6*'V06 Calend 01'!E8))),('V06 Calend 01'!H8-('V06 Calend 01'!I8*('V06 Calend 01'!E8-1))),'V06 Calend 01'!I8),0))+IF((163='V06 Calend 01'!D8),'V06 Calend 01'!J8,0))</f>
        <v>0</v>
      </c>
      <c r="FT8" s="2">
        <f>((IF((164='V06 Calend 01'!C8),('V06 Calend 01'!F8+'V06 Calend 01'!G8),0)+IF(AND(('V06 Calend 01'!E8&gt;0),(164&gt;'V06 Calend 01'!C8),(164&lt;'V06 Calend 01'!D8),(MOD((164-'V06 Calend 01'!C8),6)=0),(((164-'V06 Calend 01'!C8)/6)&lt;='V06 Calend 01'!E8)),IF((164=('V06 Calend 01'!C8+(6*'V06 Calend 01'!E8))),('V06 Calend 01'!H8-('V06 Calend 01'!I8*('V06 Calend 01'!E8-1))),'V06 Calend 01'!I8),0))+IF((164='V06 Calend 01'!D8),'V06 Calend 01'!J8,0))</f>
        <v>0</v>
      </c>
      <c r="FU8" s="2">
        <f>((IF((165='V06 Calend 01'!C8),('V06 Calend 01'!F8+'V06 Calend 01'!G8),0)+IF(AND(('V06 Calend 01'!E8&gt;0),(165&gt;'V06 Calend 01'!C8),(165&lt;'V06 Calend 01'!D8),(MOD((165-'V06 Calend 01'!C8),6)=0),(((165-'V06 Calend 01'!C8)/6)&lt;='V06 Calend 01'!E8)),IF((165=('V06 Calend 01'!C8+(6*'V06 Calend 01'!E8))),('V06 Calend 01'!H8-('V06 Calend 01'!I8*('V06 Calend 01'!E8-1))),'V06 Calend 01'!I8),0))+IF((165='V06 Calend 01'!D8),'V06 Calend 01'!J8,0))</f>
        <v>0</v>
      </c>
      <c r="FV8" s="2">
        <f>((IF((166='V06 Calend 01'!C8),('V06 Calend 01'!F8+'V06 Calend 01'!G8),0)+IF(AND(('V06 Calend 01'!E8&gt;0),(166&gt;'V06 Calend 01'!C8),(166&lt;'V06 Calend 01'!D8),(MOD((166-'V06 Calend 01'!C8),6)=0),(((166-'V06 Calend 01'!C8)/6)&lt;='V06 Calend 01'!E8)),IF((166=('V06 Calend 01'!C8+(6*'V06 Calend 01'!E8))),('V06 Calend 01'!H8-('V06 Calend 01'!I8*('V06 Calend 01'!E8-1))),'V06 Calend 01'!I8),0))+IF((166='V06 Calend 01'!D8),'V06 Calend 01'!J8,0))</f>
        <v>0</v>
      </c>
      <c r="FW8" s="2">
        <f>((IF((167='V06 Calend 01'!C8),('V06 Calend 01'!F8+'V06 Calend 01'!G8),0)+IF(AND(('V06 Calend 01'!E8&gt;0),(167&gt;'V06 Calend 01'!C8),(167&lt;'V06 Calend 01'!D8),(MOD((167-'V06 Calend 01'!C8),6)=0),(((167-'V06 Calend 01'!C8)/6)&lt;='V06 Calend 01'!E8)),IF((167=('V06 Calend 01'!C8+(6*'V06 Calend 01'!E8))),('V06 Calend 01'!H8-('V06 Calend 01'!I8*('V06 Calend 01'!E8-1))),'V06 Calend 01'!I8),0))+IF((167='V06 Calend 01'!D8),'V06 Calend 01'!J8,0))</f>
        <v>0</v>
      </c>
      <c r="FX8" s="2">
        <f>((IF((168='V06 Calend 01'!C8),('V06 Calend 01'!F8+'V06 Calend 01'!G8),0)+IF(AND(('V06 Calend 01'!E8&gt;0),(168&gt;'V06 Calend 01'!C8),(168&lt;'V06 Calend 01'!D8),(MOD((168-'V06 Calend 01'!C8),6)=0),(((168-'V06 Calend 01'!C8)/6)&lt;='V06 Calend 01'!E8)),IF((168=('V06 Calend 01'!C8+(6*'V06 Calend 01'!E8))),('V06 Calend 01'!H8-('V06 Calend 01'!I8*('V06 Calend 01'!E8-1))),'V06 Calend 01'!I8),0))+IF((168='V06 Calend 01'!D8),'V06 Calend 01'!J8,0))</f>
        <v>0</v>
      </c>
      <c r="FY8" s="2">
        <f>((IF((169='V06 Calend 01'!C8),('V06 Calend 01'!F8+'V06 Calend 01'!G8),0)+IF(AND(('V06 Calend 01'!E8&gt;0),(169&gt;'V06 Calend 01'!C8),(169&lt;'V06 Calend 01'!D8),(MOD((169-'V06 Calend 01'!C8),6)=0),(((169-'V06 Calend 01'!C8)/6)&lt;='V06 Calend 01'!E8)),IF((169=('V06 Calend 01'!C8+(6*'V06 Calend 01'!E8))),('V06 Calend 01'!H8-('V06 Calend 01'!I8*('V06 Calend 01'!E8-1))),'V06 Calend 01'!I8),0))+IF((169='V06 Calend 01'!D8),'V06 Calend 01'!J8,0))</f>
        <v>0</v>
      </c>
      <c r="FZ8" s="2">
        <f>((IF((170='V06 Calend 01'!C8),('V06 Calend 01'!F8+'V06 Calend 01'!G8),0)+IF(AND(('V06 Calend 01'!E8&gt;0),(170&gt;'V06 Calend 01'!C8),(170&lt;'V06 Calend 01'!D8),(MOD((170-'V06 Calend 01'!C8),6)=0),(((170-'V06 Calend 01'!C8)/6)&lt;='V06 Calend 01'!E8)),IF((170=('V06 Calend 01'!C8+(6*'V06 Calend 01'!E8))),('V06 Calend 01'!H8-('V06 Calend 01'!I8*('V06 Calend 01'!E8-1))),'V06 Calend 01'!I8),0))+IF((170='V06 Calend 01'!D8),'V06 Calend 01'!J8,0))</f>
        <v>0</v>
      </c>
      <c r="GA8" s="2">
        <f>((IF((171='V06 Calend 01'!C8),('V06 Calend 01'!F8+'V06 Calend 01'!G8),0)+IF(AND(('V06 Calend 01'!E8&gt;0),(171&gt;'V06 Calend 01'!C8),(171&lt;'V06 Calend 01'!D8),(MOD((171-'V06 Calend 01'!C8),6)=0),(((171-'V06 Calend 01'!C8)/6)&lt;='V06 Calend 01'!E8)),IF((171=('V06 Calend 01'!C8+(6*'V06 Calend 01'!E8))),('V06 Calend 01'!H8-('V06 Calend 01'!I8*('V06 Calend 01'!E8-1))),'V06 Calend 01'!I8),0))+IF((171='V06 Calend 01'!D8),'V06 Calend 01'!J8,0))</f>
        <v>0</v>
      </c>
      <c r="GB8" s="2">
        <f>((IF((172='V06 Calend 01'!C8),('V06 Calend 01'!F8+'V06 Calend 01'!G8),0)+IF(AND(('V06 Calend 01'!E8&gt;0),(172&gt;'V06 Calend 01'!C8),(172&lt;'V06 Calend 01'!D8),(MOD((172-'V06 Calend 01'!C8),6)=0),(((172-'V06 Calend 01'!C8)/6)&lt;='V06 Calend 01'!E8)),IF((172=('V06 Calend 01'!C8+(6*'V06 Calend 01'!E8))),('V06 Calend 01'!H8-('V06 Calend 01'!I8*('V06 Calend 01'!E8-1))),'V06 Calend 01'!I8),0))+IF((172='V06 Calend 01'!D8),'V06 Calend 01'!J8,0))</f>
        <v>0</v>
      </c>
      <c r="GC8" s="2">
        <f>((IF((173='V06 Calend 01'!C8),('V06 Calend 01'!F8+'V06 Calend 01'!G8),0)+IF(AND(('V06 Calend 01'!E8&gt;0),(173&gt;'V06 Calend 01'!C8),(173&lt;'V06 Calend 01'!D8),(MOD((173-'V06 Calend 01'!C8),6)=0),(((173-'V06 Calend 01'!C8)/6)&lt;='V06 Calend 01'!E8)),IF((173=('V06 Calend 01'!C8+(6*'V06 Calend 01'!E8))),('V06 Calend 01'!H8-('V06 Calend 01'!I8*('V06 Calend 01'!E8-1))),'V06 Calend 01'!I8),0))+IF((173='V06 Calend 01'!D8),'V06 Calend 01'!J8,0))</f>
        <v>0</v>
      </c>
      <c r="GD8" s="2">
        <f>((IF((174='V06 Calend 01'!C8),('V06 Calend 01'!F8+'V06 Calend 01'!G8),0)+IF(AND(('V06 Calend 01'!E8&gt;0),(174&gt;'V06 Calend 01'!C8),(174&lt;'V06 Calend 01'!D8),(MOD((174-'V06 Calend 01'!C8),6)=0),(((174-'V06 Calend 01'!C8)/6)&lt;='V06 Calend 01'!E8)),IF((174=('V06 Calend 01'!C8+(6*'V06 Calend 01'!E8))),('V06 Calend 01'!H8-('V06 Calend 01'!I8*('V06 Calend 01'!E8-1))),'V06 Calend 01'!I8),0))+IF((174='V06 Calend 01'!D8),'V06 Calend 01'!J8,0))</f>
        <v>0</v>
      </c>
      <c r="GE8" s="2">
        <f>((IF((175='V06 Calend 01'!C8),('V06 Calend 01'!F8+'V06 Calend 01'!G8),0)+IF(AND(('V06 Calend 01'!E8&gt;0),(175&gt;'V06 Calend 01'!C8),(175&lt;'V06 Calend 01'!D8),(MOD((175-'V06 Calend 01'!C8),6)=0),(((175-'V06 Calend 01'!C8)/6)&lt;='V06 Calend 01'!E8)),IF((175=('V06 Calend 01'!C8+(6*'V06 Calend 01'!E8))),('V06 Calend 01'!H8-('V06 Calend 01'!I8*('V06 Calend 01'!E8-1))),'V06 Calend 01'!I8),0))+IF((175='V06 Calend 01'!D8),'V06 Calend 01'!J8,0))</f>
        <v>0</v>
      </c>
      <c r="GF8" s="2">
        <f>((IF((176='V06 Calend 01'!C8),('V06 Calend 01'!F8+'V06 Calend 01'!G8),0)+IF(AND(('V06 Calend 01'!E8&gt;0),(176&gt;'V06 Calend 01'!C8),(176&lt;'V06 Calend 01'!D8),(MOD((176-'V06 Calend 01'!C8),6)=0),(((176-'V06 Calend 01'!C8)/6)&lt;='V06 Calend 01'!E8)),IF((176=('V06 Calend 01'!C8+(6*'V06 Calend 01'!E8))),('V06 Calend 01'!H8-('V06 Calend 01'!I8*('V06 Calend 01'!E8-1))),'V06 Calend 01'!I8),0))+IF((176='V06 Calend 01'!D8),'V06 Calend 01'!J8,0))</f>
        <v>0</v>
      </c>
      <c r="GG8" s="2">
        <f>((IF((177='V06 Calend 01'!C8),('V06 Calend 01'!F8+'V06 Calend 01'!G8),0)+IF(AND(('V06 Calend 01'!E8&gt;0),(177&gt;'V06 Calend 01'!C8),(177&lt;'V06 Calend 01'!D8),(MOD((177-'V06 Calend 01'!C8),6)=0),(((177-'V06 Calend 01'!C8)/6)&lt;='V06 Calend 01'!E8)),IF((177=('V06 Calend 01'!C8+(6*'V06 Calend 01'!E8))),('V06 Calend 01'!H8-('V06 Calend 01'!I8*('V06 Calend 01'!E8-1))),'V06 Calend 01'!I8),0))+IF((177='V06 Calend 01'!D8),'V06 Calend 01'!J8,0))</f>
        <v>0</v>
      </c>
      <c r="GH8" s="2">
        <f>((IF((178='V06 Calend 01'!C8),('V06 Calend 01'!F8+'V06 Calend 01'!G8),0)+IF(AND(('V06 Calend 01'!E8&gt;0),(178&gt;'V06 Calend 01'!C8),(178&lt;'V06 Calend 01'!D8),(MOD((178-'V06 Calend 01'!C8),6)=0),(((178-'V06 Calend 01'!C8)/6)&lt;='V06 Calend 01'!E8)),IF((178=('V06 Calend 01'!C8+(6*'V06 Calend 01'!E8))),('V06 Calend 01'!H8-('V06 Calend 01'!I8*('V06 Calend 01'!E8-1))),'V06 Calend 01'!I8),0))+IF((178='V06 Calend 01'!D8),'V06 Calend 01'!J8,0))</f>
        <v>0</v>
      </c>
      <c r="GI8" s="2">
        <f>((IF((179='V06 Calend 01'!C8),('V06 Calend 01'!F8+'V06 Calend 01'!G8),0)+IF(AND(('V06 Calend 01'!E8&gt;0),(179&gt;'V06 Calend 01'!C8),(179&lt;'V06 Calend 01'!D8),(MOD((179-'V06 Calend 01'!C8),6)=0),(((179-'V06 Calend 01'!C8)/6)&lt;='V06 Calend 01'!E8)),IF((179=('V06 Calend 01'!C8+(6*'V06 Calend 01'!E8))),('V06 Calend 01'!H8-('V06 Calend 01'!I8*('V06 Calend 01'!E8-1))),'V06 Calend 01'!I8),0))+IF((179='V06 Calend 01'!D8),'V06 Calend 01'!J8,0))</f>
        <v>0</v>
      </c>
      <c r="GJ8" s="2">
        <f>((IF((180='V06 Calend 01'!C8),('V06 Calend 01'!F8+'V06 Calend 01'!G8),0)+IF(AND(('V06 Calend 01'!E8&gt;0),(180&gt;'V06 Calend 01'!C8),(180&lt;'V06 Calend 01'!D8),(MOD((180-'V06 Calend 01'!C8),6)=0),(((180-'V06 Calend 01'!C8)/6)&lt;='V06 Calend 01'!E8)),IF((180=('V06 Calend 01'!C8+(6*'V06 Calend 01'!E8))),('V06 Calend 01'!H8-('V06 Calend 01'!I8*('V06 Calend 01'!E8-1))),'V06 Calend 01'!I8),0))+IF((180='V06 Calend 01'!D8),'V06 Calend 01'!J8,0))</f>
        <v>0</v>
      </c>
    </row>
    <row r="9" spans="1:192">
      <c r="A9" s="3" t="str">
        <f>'V06 Unidades'!$A$9</f>
        <v>205</v>
      </c>
      <c r="B9" s="2">
        <f>'V06 Unidades'!$H$9</f>
        <v>402500</v>
      </c>
      <c r="C9" s="4">
        <f>('V06 Unidades'!$I$9+'V06 Controlos'!$B$37)</f>
        <v>1</v>
      </c>
      <c r="D9" s="4">
        <f>IF(('V06 Controlos'!$B$38&gt;0),MAX(('V06 Unidades'!$L$9+'V06 Controlos'!$B$37),(30+'V06 Controlos'!$B$38)),('V06 Unidades'!$L$9+'V06 Controlos'!$B$37))</f>
        <v>29</v>
      </c>
      <c r="E9" s="4">
        <f>MAX(0,INT(((('V06 Calend 01'!D9-'V06 Calend 01'!C9)-1)/6)))</f>
        <v>4</v>
      </c>
      <c r="F9" s="2">
        <f>ROUND(('V06 Calend 01'!B9*0.05),2)</f>
        <v>20125.0</v>
      </c>
      <c r="G9" s="2">
        <f>ROUND(('V06 Calend 01'!B9*0.2),2)</f>
        <v>80500.0</v>
      </c>
      <c r="H9" s="2">
        <f>ROUND(('V06 Calend 01'!B9*0.55),2)</f>
        <v>221375.0</v>
      </c>
      <c r="I9" s="2">
        <f>ROUND(('V06 Calend 01'!H9/MAX(1,'V06 Calend 01'!E9)),2)</f>
        <v>55343.75</v>
      </c>
      <c r="J9" s="2">
        <f>((('V06 Calend 01'!B9-'V06 Calend 01'!F9)-'V06 Calend 01'!G9)-'V06 Calend 01'!H9)</f>
        <v>80500.0</v>
      </c>
      <c r="K9" s="2">
        <f>('V06 Calend 01'!B9*0.025)</f>
        <v>10062.5</v>
      </c>
      <c r="L9" t="s">
        <v>378</v>
      </c>
      <c r="M9" s="2">
        <f>((IF((1='V06 Calend 01'!C9),('V06 Calend 01'!F9+'V06 Calend 01'!G9),0)+IF(AND(('V06 Calend 01'!E9&gt;0),(1&gt;'V06 Calend 01'!C9),(1&lt;'V06 Calend 01'!D9),(MOD((1-'V06 Calend 01'!C9),6)=0),(((1-'V06 Calend 01'!C9)/6)&lt;='V06 Calend 01'!E9)),IF((1=('V06 Calend 01'!C9+(6*'V06 Calend 01'!E9))),('V06 Calend 01'!H9-('V06 Calend 01'!I9*('V06 Calend 01'!E9-1))),'V06 Calend 01'!I9),0))+IF((1='V06 Calend 01'!D9),'V06 Calend 01'!J9,0))</f>
        <v>100625.0</v>
      </c>
      <c r="N9" s="2">
        <f>((IF((2='V06 Calend 01'!C9),('V06 Calend 01'!F9+'V06 Calend 01'!G9),0)+IF(AND(('V06 Calend 01'!E9&gt;0),(2&gt;'V06 Calend 01'!C9),(2&lt;'V06 Calend 01'!D9),(MOD((2-'V06 Calend 01'!C9),6)=0),(((2-'V06 Calend 01'!C9)/6)&lt;='V06 Calend 01'!E9)),IF((2=('V06 Calend 01'!C9+(6*'V06 Calend 01'!E9))),('V06 Calend 01'!H9-('V06 Calend 01'!I9*('V06 Calend 01'!E9-1))),'V06 Calend 01'!I9),0))+IF((2='V06 Calend 01'!D9),'V06 Calend 01'!J9,0))</f>
        <v>0</v>
      </c>
      <c r="O9" s="2">
        <f>((IF((3='V06 Calend 01'!C9),('V06 Calend 01'!F9+'V06 Calend 01'!G9),0)+IF(AND(('V06 Calend 01'!E9&gt;0),(3&gt;'V06 Calend 01'!C9),(3&lt;'V06 Calend 01'!D9),(MOD((3-'V06 Calend 01'!C9),6)=0),(((3-'V06 Calend 01'!C9)/6)&lt;='V06 Calend 01'!E9)),IF((3=('V06 Calend 01'!C9+(6*'V06 Calend 01'!E9))),('V06 Calend 01'!H9-('V06 Calend 01'!I9*('V06 Calend 01'!E9-1))),'V06 Calend 01'!I9),0))+IF((3='V06 Calend 01'!D9),'V06 Calend 01'!J9,0))</f>
        <v>0</v>
      </c>
      <c r="P9" s="2">
        <f>((IF((4='V06 Calend 01'!C9),('V06 Calend 01'!F9+'V06 Calend 01'!G9),0)+IF(AND(('V06 Calend 01'!E9&gt;0),(4&gt;'V06 Calend 01'!C9),(4&lt;'V06 Calend 01'!D9),(MOD((4-'V06 Calend 01'!C9),6)=0),(((4-'V06 Calend 01'!C9)/6)&lt;='V06 Calend 01'!E9)),IF((4=('V06 Calend 01'!C9+(6*'V06 Calend 01'!E9))),('V06 Calend 01'!H9-('V06 Calend 01'!I9*('V06 Calend 01'!E9-1))),'V06 Calend 01'!I9),0))+IF((4='V06 Calend 01'!D9),'V06 Calend 01'!J9,0))</f>
        <v>0</v>
      </c>
      <c r="Q9" s="2">
        <f>((IF((5='V06 Calend 01'!C9),('V06 Calend 01'!F9+'V06 Calend 01'!G9),0)+IF(AND(('V06 Calend 01'!E9&gt;0),(5&gt;'V06 Calend 01'!C9),(5&lt;'V06 Calend 01'!D9),(MOD((5-'V06 Calend 01'!C9),6)=0),(((5-'V06 Calend 01'!C9)/6)&lt;='V06 Calend 01'!E9)),IF((5=('V06 Calend 01'!C9+(6*'V06 Calend 01'!E9))),('V06 Calend 01'!H9-('V06 Calend 01'!I9*('V06 Calend 01'!E9-1))),'V06 Calend 01'!I9),0))+IF((5='V06 Calend 01'!D9),'V06 Calend 01'!J9,0))</f>
        <v>0</v>
      </c>
      <c r="R9" s="2">
        <f>((IF((6='V06 Calend 01'!C9),('V06 Calend 01'!F9+'V06 Calend 01'!G9),0)+IF(AND(('V06 Calend 01'!E9&gt;0),(6&gt;'V06 Calend 01'!C9),(6&lt;'V06 Calend 01'!D9),(MOD((6-'V06 Calend 01'!C9),6)=0),(((6-'V06 Calend 01'!C9)/6)&lt;='V06 Calend 01'!E9)),IF((6=('V06 Calend 01'!C9+(6*'V06 Calend 01'!E9))),('V06 Calend 01'!H9-('V06 Calend 01'!I9*('V06 Calend 01'!E9-1))),'V06 Calend 01'!I9),0))+IF((6='V06 Calend 01'!D9),'V06 Calend 01'!J9,0))</f>
        <v>0</v>
      </c>
      <c r="S9" s="2">
        <f>((IF((7='V06 Calend 01'!C9),('V06 Calend 01'!F9+'V06 Calend 01'!G9),0)+IF(AND(('V06 Calend 01'!E9&gt;0),(7&gt;'V06 Calend 01'!C9),(7&lt;'V06 Calend 01'!D9),(MOD((7-'V06 Calend 01'!C9),6)=0),(((7-'V06 Calend 01'!C9)/6)&lt;='V06 Calend 01'!E9)),IF((7=('V06 Calend 01'!C9+(6*'V06 Calend 01'!E9))),('V06 Calend 01'!H9-('V06 Calend 01'!I9*('V06 Calend 01'!E9-1))),'V06 Calend 01'!I9),0))+IF((7='V06 Calend 01'!D9),'V06 Calend 01'!J9,0))</f>
        <v>55343.75</v>
      </c>
      <c r="T9" s="2">
        <f>((IF((8='V06 Calend 01'!C9),('V06 Calend 01'!F9+'V06 Calend 01'!G9),0)+IF(AND(('V06 Calend 01'!E9&gt;0),(8&gt;'V06 Calend 01'!C9),(8&lt;'V06 Calend 01'!D9),(MOD((8-'V06 Calend 01'!C9),6)=0),(((8-'V06 Calend 01'!C9)/6)&lt;='V06 Calend 01'!E9)),IF((8=('V06 Calend 01'!C9+(6*'V06 Calend 01'!E9))),('V06 Calend 01'!H9-('V06 Calend 01'!I9*('V06 Calend 01'!E9-1))),'V06 Calend 01'!I9),0))+IF((8='V06 Calend 01'!D9),'V06 Calend 01'!J9,0))</f>
        <v>0</v>
      </c>
      <c r="U9" s="2">
        <f>((IF((9='V06 Calend 01'!C9),('V06 Calend 01'!F9+'V06 Calend 01'!G9),0)+IF(AND(('V06 Calend 01'!E9&gt;0),(9&gt;'V06 Calend 01'!C9),(9&lt;'V06 Calend 01'!D9),(MOD((9-'V06 Calend 01'!C9),6)=0),(((9-'V06 Calend 01'!C9)/6)&lt;='V06 Calend 01'!E9)),IF((9=('V06 Calend 01'!C9+(6*'V06 Calend 01'!E9))),('V06 Calend 01'!H9-('V06 Calend 01'!I9*('V06 Calend 01'!E9-1))),'V06 Calend 01'!I9),0))+IF((9='V06 Calend 01'!D9),'V06 Calend 01'!J9,0))</f>
        <v>0</v>
      </c>
      <c r="V9" s="2">
        <f>((IF((10='V06 Calend 01'!C9),('V06 Calend 01'!F9+'V06 Calend 01'!G9),0)+IF(AND(('V06 Calend 01'!E9&gt;0),(10&gt;'V06 Calend 01'!C9),(10&lt;'V06 Calend 01'!D9),(MOD((10-'V06 Calend 01'!C9),6)=0),(((10-'V06 Calend 01'!C9)/6)&lt;='V06 Calend 01'!E9)),IF((10=('V06 Calend 01'!C9+(6*'V06 Calend 01'!E9))),('V06 Calend 01'!H9-('V06 Calend 01'!I9*('V06 Calend 01'!E9-1))),'V06 Calend 01'!I9),0))+IF((10='V06 Calend 01'!D9),'V06 Calend 01'!J9,0))</f>
        <v>0</v>
      </c>
      <c r="W9" s="2">
        <f>((IF((11='V06 Calend 01'!C9),('V06 Calend 01'!F9+'V06 Calend 01'!G9),0)+IF(AND(('V06 Calend 01'!E9&gt;0),(11&gt;'V06 Calend 01'!C9),(11&lt;'V06 Calend 01'!D9),(MOD((11-'V06 Calend 01'!C9),6)=0),(((11-'V06 Calend 01'!C9)/6)&lt;='V06 Calend 01'!E9)),IF((11=('V06 Calend 01'!C9+(6*'V06 Calend 01'!E9))),('V06 Calend 01'!H9-('V06 Calend 01'!I9*('V06 Calend 01'!E9-1))),'V06 Calend 01'!I9),0))+IF((11='V06 Calend 01'!D9),'V06 Calend 01'!J9,0))</f>
        <v>0</v>
      </c>
      <c r="X9" s="2">
        <f>((IF((12='V06 Calend 01'!C9),('V06 Calend 01'!F9+'V06 Calend 01'!G9),0)+IF(AND(('V06 Calend 01'!E9&gt;0),(12&gt;'V06 Calend 01'!C9),(12&lt;'V06 Calend 01'!D9),(MOD((12-'V06 Calend 01'!C9),6)=0),(((12-'V06 Calend 01'!C9)/6)&lt;='V06 Calend 01'!E9)),IF((12=('V06 Calend 01'!C9+(6*'V06 Calend 01'!E9))),('V06 Calend 01'!H9-('V06 Calend 01'!I9*('V06 Calend 01'!E9-1))),'V06 Calend 01'!I9),0))+IF((12='V06 Calend 01'!D9),'V06 Calend 01'!J9,0))</f>
        <v>0</v>
      </c>
      <c r="Y9" s="2">
        <f>((IF((13='V06 Calend 01'!C9),('V06 Calend 01'!F9+'V06 Calend 01'!G9),0)+IF(AND(('V06 Calend 01'!E9&gt;0),(13&gt;'V06 Calend 01'!C9),(13&lt;'V06 Calend 01'!D9),(MOD((13-'V06 Calend 01'!C9),6)=0),(((13-'V06 Calend 01'!C9)/6)&lt;='V06 Calend 01'!E9)),IF((13=('V06 Calend 01'!C9+(6*'V06 Calend 01'!E9))),('V06 Calend 01'!H9-('V06 Calend 01'!I9*('V06 Calend 01'!E9-1))),'V06 Calend 01'!I9),0))+IF((13='V06 Calend 01'!D9),'V06 Calend 01'!J9,0))</f>
        <v>55343.75</v>
      </c>
      <c r="Z9" s="2">
        <f>((IF((14='V06 Calend 01'!C9),('V06 Calend 01'!F9+'V06 Calend 01'!G9),0)+IF(AND(('V06 Calend 01'!E9&gt;0),(14&gt;'V06 Calend 01'!C9),(14&lt;'V06 Calend 01'!D9),(MOD((14-'V06 Calend 01'!C9),6)=0),(((14-'V06 Calend 01'!C9)/6)&lt;='V06 Calend 01'!E9)),IF((14=('V06 Calend 01'!C9+(6*'V06 Calend 01'!E9))),('V06 Calend 01'!H9-('V06 Calend 01'!I9*('V06 Calend 01'!E9-1))),'V06 Calend 01'!I9),0))+IF((14='V06 Calend 01'!D9),'V06 Calend 01'!J9,0))</f>
        <v>0</v>
      </c>
      <c r="AA9" s="2">
        <f>((IF((15='V06 Calend 01'!C9),('V06 Calend 01'!F9+'V06 Calend 01'!G9),0)+IF(AND(('V06 Calend 01'!E9&gt;0),(15&gt;'V06 Calend 01'!C9),(15&lt;'V06 Calend 01'!D9),(MOD((15-'V06 Calend 01'!C9),6)=0),(((15-'V06 Calend 01'!C9)/6)&lt;='V06 Calend 01'!E9)),IF((15=('V06 Calend 01'!C9+(6*'V06 Calend 01'!E9))),('V06 Calend 01'!H9-('V06 Calend 01'!I9*('V06 Calend 01'!E9-1))),'V06 Calend 01'!I9),0))+IF((15='V06 Calend 01'!D9),'V06 Calend 01'!J9,0))</f>
        <v>0</v>
      </c>
      <c r="AB9" s="2">
        <f>((IF((16='V06 Calend 01'!C9),('V06 Calend 01'!F9+'V06 Calend 01'!G9),0)+IF(AND(('V06 Calend 01'!E9&gt;0),(16&gt;'V06 Calend 01'!C9),(16&lt;'V06 Calend 01'!D9),(MOD((16-'V06 Calend 01'!C9),6)=0),(((16-'V06 Calend 01'!C9)/6)&lt;='V06 Calend 01'!E9)),IF((16=('V06 Calend 01'!C9+(6*'V06 Calend 01'!E9))),('V06 Calend 01'!H9-('V06 Calend 01'!I9*('V06 Calend 01'!E9-1))),'V06 Calend 01'!I9),0))+IF((16='V06 Calend 01'!D9),'V06 Calend 01'!J9,0))</f>
        <v>0</v>
      </c>
      <c r="AC9" s="2">
        <f>((IF((17='V06 Calend 01'!C9),('V06 Calend 01'!F9+'V06 Calend 01'!G9),0)+IF(AND(('V06 Calend 01'!E9&gt;0),(17&gt;'V06 Calend 01'!C9),(17&lt;'V06 Calend 01'!D9),(MOD((17-'V06 Calend 01'!C9),6)=0),(((17-'V06 Calend 01'!C9)/6)&lt;='V06 Calend 01'!E9)),IF((17=('V06 Calend 01'!C9+(6*'V06 Calend 01'!E9))),('V06 Calend 01'!H9-('V06 Calend 01'!I9*('V06 Calend 01'!E9-1))),'V06 Calend 01'!I9),0))+IF((17='V06 Calend 01'!D9),'V06 Calend 01'!J9,0))</f>
        <v>0</v>
      </c>
      <c r="AD9" s="2">
        <f>((IF((18='V06 Calend 01'!C9),('V06 Calend 01'!F9+'V06 Calend 01'!G9),0)+IF(AND(('V06 Calend 01'!E9&gt;0),(18&gt;'V06 Calend 01'!C9),(18&lt;'V06 Calend 01'!D9),(MOD((18-'V06 Calend 01'!C9),6)=0),(((18-'V06 Calend 01'!C9)/6)&lt;='V06 Calend 01'!E9)),IF((18=('V06 Calend 01'!C9+(6*'V06 Calend 01'!E9))),('V06 Calend 01'!H9-('V06 Calend 01'!I9*('V06 Calend 01'!E9-1))),'V06 Calend 01'!I9),0))+IF((18='V06 Calend 01'!D9),'V06 Calend 01'!J9,0))</f>
        <v>0</v>
      </c>
      <c r="AE9" s="2">
        <f>((IF((19='V06 Calend 01'!C9),('V06 Calend 01'!F9+'V06 Calend 01'!G9),0)+IF(AND(('V06 Calend 01'!E9&gt;0),(19&gt;'V06 Calend 01'!C9),(19&lt;'V06 Calend 01'!D9),(MOD((19-'V06 Calend 01'!C9),6)=0),(((19-'V06 Calend 01'!C9)/6)&lt;='V06 Calend 01'!E9)),IF((19=('V06 Calend 01'!C9+(6*'V06 Calend 01'!E9))),('V06 Calend 01'!H9-('V06 Calend 01'!I9*('V06 Calend 01'!E9-1))),'V06 Calend 01'!I9),0))+IF((19='V06 Calend 01'!D9),'V06 Calend 01'!J9,0))</f>
        <v>55343.75</v>
      </c>
      <c r="AF9" s="2">
        <f>((IF((20='V06 Calend 01'!C9),('V06 Calend 01'!F9+'V06 Calend 01'!G9),0)+IF(AND(('V06 Calend 01'!E9&gt;0),(20&gt;'V06 Calend 01'!C9),(20&lt;'V06 Calend 01'!D9),(MOD((20-'V06 Calend 01'!C9),6)=0),(((20-'V06 Calend 01'!C9)/6)&lt;='V06 Calend 01'!E9)),IF((20=('V06 Calend 01'!C9+(6*'V06 Calend 01'!E9))),('V06 Calend 01'!H9-('V06 Calend 01'!I9*('V06 Calend 01'!E9-1))),'V06 Calend 01'!I9),0))+IF((20='V06 Calend 01'!D9),'V06 Calend 01'!J9,0))</f>
        <v>0</v>
      </c>
      <c r="AG9" s="2">
        <f>((IF((21='V06 Calend 01'!C9),('V06 Calend 01'!F9+'V06 Calend 01'!G9),0)+IF(AND(('V06 Calend 01'!E9&gt;0),(21&gt;'V06 Calend 01'!C9),(21&lt;'V06 Calend 01'!D9),(MOD((21-'V06 Calend 01'!C9),6)=0),(((21-'V06 Calend 01'!C9)/6)&lt;='V06 Calend 01'!E9)),IF((21=('V06 Calend 01'!C9+(6*'V06 Calend 01'!E9))),('V06 Calend 01'!H9-('V06 Calend 01'!I9*('V06 Calend 01'!E9-1))),'V06 Calend 01'!I9),0))+IF((21='V06 Calend 01'!D9),'V06 Calend 01'!J9,0))</f>
        <v>0</v>
      </c>
      <c r="AH9" s="2">
        <f>((IF((22='V06 Calend 01'!C9),('V06 Calend 01'!F9+'V06 Calend 01'!G9),0)+IF(AND(('V06 Calend 01'!E9&gt;0),(22&gt;'V06 Calend 01'!C9),(22&lt;'V06 Calend 01'!D9),(MOD((22-'V06 Calend 01'!C9),6)=0),(((22-'V06 Calend 01'!C9)/6)&lt;='V06 Calend 01'!E9)),IF((22=('V06 Calend 01'!C9+(6*'V06 Calend 01'!E9))),('V06 Calend 01'!H9-('V06 Calend 01'!I9*('V06 Calend 01'!E9-1))),'V06 Calend 01'!I9),0))+IF((22='V06 Calend 01'!D9),'V06 Calend 01'!J9,0))</f>
        <v>0</v>
      </c>
      <c r="AI9" s="2">
        <f>((IF((23='V06 Calend 01'!C9),('V06 Calend 01'!F9+'V06 Calend 01'!G9),0)+IF(AND(('V06 Calend 01'!E9&gt;0),(23&gt;'V06 Calend 01'!C9),(23&lt;'V06 Calend 01'!D9),(MOD((23-'V06 Calend 01'!C9),6)=0),(((23-'V06 Calend 01'!C9)/6)&lt;='V06 Calend 01'!E9)),IF((23=('V06 Calend 01'!C9+(6*'V06 Calend 01'!E9))),('V06 Calend 01'!H9-('V06 Calend 01'!I9*('V06 Calend 01'!E9-1))),'V06 Calend 01'!I9),0))+IF((23='V06 Calend 01'!D9),'V06 Calend 01'!J9,0))</f>
        <v>0</v>
      </c>
      <c r="AJ9" s="2">
        <f>((IF((24='V06 Calend 01'!C9),('V06 Calend 01'!F9+'V06 Calend 01'!G9),0)+IF(AND(('V06 Calend 01'!E9&gt;0),(24&gt;'V06 Calend 01'!C9),(24&lt;'V06 Calend 01'!D9),(MOD((24-'V06 Calend 01'!C9),6)=0),(((24-'V06 Calend 01'!C9)/6)&lt;='V06 Calend 01'!E9)),IF((24=('V06 Calend 01'!C9+(6*'V06 Calend 01'!E9))),('V06 Calend 01'!H9-('V06 Calend 01'!I9*('V06 Calend 01'!E9-1))),'V06 Calend 01'!I9),0))+IF((24='V06 Calend 01'!D9),'V06 Calend 01'!J9,0))</f>
        <v>0</v>
      </c>
      <c r="AK9" s="2">
        <f>((IF((25='V06 Calend 01'!C9),('V06 Calend 01'!F9+'V06 Calend 01'!G9),0)+IF(AND(('V06 Calend 01'!E9&gt;0),(25&gt;'V06 Calend 01'!C9),(25&lt;'V06 Calend 01'!D9),(MOD((25-'V06 Calend 01'!C9),6)=0),(((25-'V06 Calend 01'!C9)/6)&lt;='V06 Calend 01'!E9)),IF((25=('V06 Calend 01'!C9+(6*'V06 Calend 01'!E9))),('V06 Calend 01'!H9-('V06 Calend 01'!I9*('V06 Calend 01'!E9-1))),'V06 Calend 01'!I9),0))+IF((25='V06 Calend 01'!D9),'V06 Calend 01'!J9,0))</f>
        <v>55343.75</v>
      </c>
      <c r="AL9" s="2">
        <f>((IF((26='V06 Calend 01'!C9),('V06 Calend 01'!F9+'V06 Calend 01'!G9),0)+IF(AND(('V06 Calend 01'!E9&gt;0),(26&gt;'V06 Calend 01'!C9),(26&lt;'V06 Calend 01'!D9),(MOD((26-'V06 Calend 01'!C9),6)=0),(((26-'V06 Calend 01'!C9)/6)&lt;='V06 Calend 01'!E9)),IF((26=('V06 Calend 01'!C9+(6*'V06 Calend 01'!E9))),('V06 Calend 01'!H9-('V06 Calend 01'!I9*('V06 Calend 01'!E9-1))),'V06 Calend 01'!I9),0))+IF((26='V06 Calend 01'!D9),'V06 Calend 01'!J9,0))</f>
        <v>0</v>
      </c>
      <c r="AM9" s="2">
        <f>((IF((27='V06 Calend 01'!C9),('V06 Calend 01'!F9+'V06 Calend 01'!G9),0)+IF(AND(('V06 Calend 01'!E9&gt;0),(27&gt;'V06 Calend 01'!C9),(27&lt;'V06 Calend 01'!D9),(MOD((27-'V06 Calend 01'!C9),6)=0),(((27-'V06 Calend 01'!C9)/6)&lt;='V06 Calend 01'!E9)),IF((27=('V06 Calend 01'!C9+(6*'V06 Calend 01'!E9))),('V06 Calend 01'!H9-('V06 Calend 01'!I9*('V06 Calend 01'!E9-1))),'V06 Calend 01'!I9),0))+IF((27='V06 Calend 01'!D9),'V06 Calend 01'!J9,0))</f>
        <v>0</v>
      </c>
      <c r="AN9" s="2">
        <f>((IF((28='V06 Calend 01'!C9),('V06 Calend 01'!F9+'V06 Calend 01'!G9),0)+IF(AND(('V06 Calend 01'!E9&gt;0),(28&gt;'V06 Calend 01'!C9),(28&lt;'V06 Calend 01'!D9),(MOD((28-'V06 Calend 01'!C9),6)=0),(((28-'V06 Calend 01'!C9)/6)&lt;='V06 Calend 01'!E9)),IF((28=('V06 Calend 01'!C9+(6*'V06 Calend 01'!E9))),('V06 Calend 01'!H9-('V06 Calend 01'!I9*('V06 Calend 01'!E9-1))),'V06 Calend 01'!I9),0))+IF((28='V06 Calend 01'!D9),'V06 Calend 01'!J9,0))</f>
        <v>0</v>
      </c>
      <c r="AO9" s="2">
        <f>((IF((29='V06 Calend 01'!C9),('V06 Calend 01'!F9+'V06 Calend 01'!G9),0)+IF(AND(('V06 Calend 01'!E9&gt;0),(29&gt;'V06 Calend 01'!C9),(29&lt;'V06 Calend 01'!D9),(MOD((29-'V06 Calend 01'!C9),6)=0),(((29-'V06 Calend 01'!C9)/6)&lt;='V06 Calend 01'!E9)),IF((29=('V06 Calend 01'!C9+(6*'V06 Calend 01'!E9))),('V06 Calend 01'!H9-('V06 Calend 01'!I9*('V06 Calend 01'!E9-1))),'V06 Calend 01'!I9),0))+IF((29='V06 Calend 01'!D9),'V06 Calend 01'!J9,0))</f>
        <v>80500.0</v>
      </c>
      <c r="AP9" s="2">
        <f>((IF((30='V06 Calend 01'!C9),('V06 Calend 01'!F9+'V06 Calend 01'!G9),0)+IF(AND(('V06 Calend 01'!E9&gt;0),(30&gt;'V06 Calend 01'!C9),(30&lt;'V06 Calend 01'!D9),(MOD((30-'V06 Calend 01'!C9),6)=0),(((30-'V06 Calend 01'!C9)/6)&lt;='V06 Calend 01'!E9)),IF((30=('V06 Calend 01'!C9+(6*'V06 Calend 01'!E9))),('V06 Calend 01'!H9-('V06 Calend 01'!I9*('V06 Calend 01'!E9-1))),'V06 Calend 01'!I9),0))+IF((30='V06 Calend 01'!D9),'V06 Calend 01'!J9,0))</f>
        <v>0</v>
      </c>
      <c r="AQ9" s="2">
        <f>((IF((31='V06 Calend 01'!C9),('V06 Calend 01'!F9+'V06 Calend 01'!G9),0)+IF(AND(('V06 Calend 01'!E9&gt;0),(31&gt;'V06 Calend 01'!C9),(31&lt;'V06 Calend 01'!D9),(MOD((31-'V06 Calend 01'!C9),6)=0),(((31-'V06 Calend 01'!C9)/6)&lt;='V06 Calend 01'!E9)),IF((31=('V06 Calend 01'!C9+(6*'V06 Calend 01'!E9))),('V06 Calend 01'!H9-('V06 Calend 01'!I9*('V06 Calend 01'!E9-1))),'V06 Calend 01'!I9),0))+IF((31='V06 Calend 01'!D9),'V06 Calend 01'!J9,0))</f>
        <v>0</v>
      </c>
      <c r="AR9" s="2">
        <f>((IF((32='V06 Calend 01'!C9),('V06 Calend 01'!F9+'V06 Calend 01'!G9),0)+IF(AND(('V06 Calend 01'!E9&gt;0),(32&gt;'V06 Calend 01'!C9),(32&lt;'V06 Calend 01'!D9),(MOD((32-'V06 Calend 01'!C9),6)=0),(((32-'V06 Calend 01'!C9)/6)&lt;='V06 Calend 01'!E9)),IF((32=('V06 Calend 01'!C9+(6*'V06 Calend 01'!E9))),('V06 Calend 01'!H9-('V06 Calend 01'!I9*('V06 Calend 01'!E9-1))),'V06 Calend 01'!I9),0))+IF((32='V06 Calend 01'!D9),'V06 Calend 01'!J9,0))</f>
        <v>0</v>
      </c>
      <c r="AS9" s="2">
        <f>((IF((33='V06 Calend 01'!C9),('V06 Calend 01'!F9+'V06 Calend 01'!G9),0)+IF(AND(('V06 Calend 01'!E9&gt;0),(33&gt;'V06 Calend 01'!C9),(33&lt;'V06 Calend 01'!D9),(MOD((33-'V06 Calend 01'!C9),6)=0),(((33-'V06 Calend 01'!C9)/6)&lt;='V06 Calend 01'!E9)),IF((33=('V06 Calend 01'!C9+(6*'V06 Calend 01'!E9))),('V06 Calend 01'!H9-('V06 Calend 01'!I9*('V06 Calend 01'!E9-1))),'V06 Calend 01'!I9),0))+IF((33='V06 Calend 01'!D9),'V06 Calend 01'!J9,0))</f>
        <v>0</v>
      </c>
      <c r="AT9" s="2">
        <f>((IF((34='V06 Calend 01'!C9),('V06 Calend 01'!F9+'V06 Calend 01'!G9),0)+IF(AND(('V06 Calend 01'!E9&gt;0),(34&gt;'V06 Calend 01'!C9),(34&lt;'V06 Calend 01'!D9),(MOD((34-'V06 Calend 01'!C9),6)=0),(((34-'V06 Calend 01'!C9)/6)&lt;='V06 Calend 01'!E9)),IF((34=('V06 Calend 01'!C9+(6*'V06 Calend 01'!E9))),('V06 Calend 01'!H9-('V06 Calend 01'!I9*('V06 Calend 01'!E9-1))),'V06 Calend 01'!I9),0))+IF((34='V06 Calend 01'!D9),'V06 Calend 01'!J9,0))</f>
        <v>0</v>
      </c>
      <c r="AU9" s="2">
        <f>((IF((35='V06 Calend 01'!C9),('V06 Calend 01'!F9+'V06 Calend 01'!G9),0)+IF(AND(('V06 Calend 01'!E9&gt;0),(35&gt;'V06 Calend 01'!C9),(35&lt;'V06 Calend 01'!D9),(MOD((35-'V06 Calend 01'!C9),6)=0),(((35-'V06 Calend 01'!C9)/6)&lt;='V06 Calend 01'!E9)),IF((35=('V06 Calend 01'!C9+(6*'V06 Calend 01'!E9))),('V06 Calend 01'!H9-('V06 Calend 01'!I9*('V06 Calend 01'!E9-1))),'V06 Calend 01'!I9),0))+IF((35='V06 Calend 01'!D9),'V06 Calend 01'!J9,0))</f>
        <v>0</v>
      </c>
      <c r="AV9" s="2">
        <f>((IF((36='V06 Calend 01'!C9),('V06 Calend 01'!F9+'V06 Calend 01'!G9),0)+IF(AND(('V06 Calend 01'!E9&gt;0),(36&gt;'V06 Calend 01'!C9),(36&lt;'V06 Calend 01'!D9),(MOD((36-'V06 Calend 01'!C9),6)=0),(((36-'V06 Calend 01'!C9)/6)&lt;='V06 Calend 01'!E9)),IF((36=('V06 Calend 01'!C9+(6*'V06 Calend 01'!E9))),('V06 Calend 01'!H9-('V06 Calend 01'!I9*('V06 Calend 01'!E9-1))),'V06 Calend 01'!I9),0))+IF((36='V06 Calend 01'!D9),'V06 Calend 01'!J9,0))</f>
        <v>0</v>
      </c>
      <c r="AW9" s="2">
        <f>((IF((37='V06 Calend 01'!C9),('V06 Calend 01'!F9+'V06 Calend 01'!G9),0)+IF(AND(('V06 Calend 01'!E9&gt;0),(37&gt;'V06 Calend 01'!C9),(37&lt;'V06 Calend 01'!D9),(MOD((37-'V06 Calend 01'!C9),6)=0),(((37-'V06 Calend 01'!C9)/6)&lt;='V06 Calend 01'!E9)),IF((37=('V06 Calend 01'!C9+(6*'V06 Calend 01'!E9))),('V06 Calend 01'!H9-('V06 Calend 01'!I9*('V06 Calend 01'!E9-1))),'V06 Calend 01'!I9),0))+IF((37='V06 Calend 01'!D9),'V06 Calend 01'!J9,0))</f>
        <v>0</v>
      </c>
      <c r="AX9" s="2">
        <f>((IF((38='V06 Calend 01'!C9),('V06 Calend 01'!F9+'V06 Calend 01'!G9),0)+IF(AND(('V06 Calend 01'!E9&gt;0),(38&gt;'V06 Calend 01'!C9),(38&lt;'V06 Calend 01'!D9),(MOD((38-'V06 Calend 01'!C9),6)=0),(((38-'V06 Calend 01'!C9)/6)&lt;='V06 Calend 01'!E9)),IF((38=('V06 Calend 01'!C9+(6*'V06 Calend 01'!E9))),('V06 Calend 01'!H9-('V06 Calend 01'!I9*('V06 Calend 01'!E9-1))),'V06 Calend 01'!I9),0))+IF((38='V06 Calend 01'!D9),'V06 Calend 01'!J9,0))</f>
        <v>0</v>
      </c>
      <c r="AY9" s="2">
        <f>((IF((39='V06 Calend 01'!C9),('V06 Calend 01'!F9+'V06 Calend 01'!G9),0)+IF(AND(('V06 Calend 01'!E9&gt;0),(39&gt;'V06 Calend 01'!C9),(39&lt;'V06 Calend 01'!D9),(MOD((39-'V06 Calend 01'!C9),6)=0),(((39-'V06 Calend 01'!C9)/6)&lt;='V06 Calend 01'!E9)),IF((39=('V06 Calend 01'!C9+(6*'V06 Calend 01'!E9))),('V06 Calend 01'!H9-('V06 Calend 01'!I9*('V06 Calend 01'!E9-1))),'V06 Calend 01'!I9),0))+IF((39='V06 Calend 01'!D9),'V06 Calend 01'!J9,0))</f>
        <v>0</v>
      </c>
      <c r="AZ9" s="2">
        <f>((IF((40='V06 Calend 01'!C9),('V06 Calend 01'!F9+'V06 Calend 01'!G9),0)+IF(AND(('V06 Calend 01'!E9&gt;0),(40&gt;'V06 Calend 01'!C9),(40&lt;'V06 Calend 01'!D9),(MOD((40-'V06 Calend 01'!C9),6)=0),(((40-'V06 Calend 01'!C9)/6)&lt;='V06 Calend 01'!E9)),IF((40=('V06 Calend 01'!C9+(6*'V06 Calend 01'!E9))),('V06 Calend 01'!H9-('V06 Calend 01'!I9*('V06 Calend 01'!E9-1))),'V06 Calend 01'!I9),0))+IF((40='V06 Calend 01'!D9),'V06 Calend 01'!J9,0))</f>
        <v>0</v>
      </c>
      <c r="BA9" s="2">
        <f>((IF((41='V06 Calend 01'!C9),('V06 Calend 01'!F9+'V06 Calend 01'!G9),0)+IF(AND(('V06 Calend 01'!E9&gt;0),(41&gt;'V06 Calend 01'!C9),(41&lt;'V06 Calend 01'!D9),(MOD((41-'V06 Calend 01'!C9),6)=0),(((41-'V06 Calend 01'!C9)/6)&lt;='V06 Calend 01'!E9)),IF((41=('V06 Calend 01'!C9+(6*'V06 Calend 01'!E9))),('V06 Calend 01'!H9-('V06 Calend 01'!I9*('V06 Calend 01'!E9-1))),'V06 Calend 01'!I9),0))+IF((41='V06 Calend 01'!D9),'V06 Calend 01'!J9,0))</f>
        <v>0</v>
      </c>
      <c r="BB9" s="2">
        <f>((IF((42='V06 Calend 01'!C9),('V06 Calend 01'!F9+'V06 Calend 01'!G9),0)+IF(AND(('V06 Calend 01'!E9&gt;0),(42&gt;'V06 Calend 01'!C9),(42&lt;'V06 Calend 01'!D9),(MOD((42-'V06 Calend 01'!C9),6)=0),(((42-'V06 Calend 01'!C9)/6)&lt;='V06 Calend 01'!E9)),IF((42=('V06 Calend 01'!C9+(6*'V06 Calend 01'!E9))),('V06 Calend 01'!H9-('V06 Calend 01'!I9*('V06 Calend 01'!E9-1))),'V06 Calend 01'!I9),0))+IF((42='V06 Calend 01'!D9),'V06 Calend 01'!J9,0))</f>
        <v>0</v>
      </c>
      <c r="BC9" s="2">
        <f>((IF((43='V06 Calend 01'!C9),('V06 Calend 01'!F9+'V06 Calend 01'!G9),0)+IF(AND(('V06 Calend 01'!E9&gt;0),(43&gt;'V06 Calend 01'!C9),(43&lt;'V06 Calend 01'!D9),(MOD((43-'V06 Calend 01'!C9),6)=0),(((43-'V06 Calend 01'!C9)/6)&lt;='V06 Calend 01'!E9)),IF((43=('V06 Calend 01'!C9+(6*'V06 Calend 01'!E9))),('V06 Calend 01'!H9-('V06 Calend 01'!I9*('V06 Calend 01'!E9-1))),'V06 Calend 01'!I9),0))+IF((43='V06 Calend 01'!D9),'V06 Calend 01'!J9,0))</f>
        <v>0</v>
      </c>
      <c r="BD9" s="2">
        <f>((IF((44='V06 Calend 01'!C9),('V06 Calend 01'!F9+'V06 Calend 01'!G9),0)+IF(AND(('V06 Calend 01'!E9&gt;0),(44&gt;'V06 Calend 01'!C9),(44&lt;'V06 Calend 01'!D9),(MOD((44-'V06 Calend 01'!C9),6)=0),(((44-'V06 Calend 01'!C9)/6)&lt;='V06 Calend 01'!E9)),IF((44=('V06 Calend 01'!C9+(6*'V06 Calend 01'!E9))),('V06 Calend 01'!H9-('V06 Calend 01'!I9*('V06 Calend 01'!E9-1))),'V06 Calend 01'!I9),0))+IF((44='V06 Calend 01'!D9),'V06 Calend 01'!J9,0))</f>
        <v>0</v>
      </c>
      <c r="BE9" s="2">
        <f>((IF((45='V06 Calend 01'!C9),('V06 Calend 01'!F9+'V06 Calend 01'!G9),0)+IF(AND(('V06 Calend 01'!E9&gt;0),(45&gt;'V06 Calend 01'!C9),(45&lt;'V06 Calend 01'!D9),(MOD((45-'V06 Calend 01'!C9),6)=0),(((45-'V06 Calend 01'!C9)/6)&lt;='V06 Calend 01'!E9)),IF((45=('V06 Calend 01'!C9+(6*'V06 Calend 01'!E9))),('V06 Calend 01'!H9-('V06 Calend 01'!I9*('V06 Calend 01'!E9-1))),'V06 Calend 01'!I9),0))+IF((45='V06 Calend 01'!D9),'V06 Calend 01'!J9,0))</f>
        <v>0</v>
      </c>
      <c r="BF9" s="2">
        <f>((IF((46='V06 Calend 01'!C9),('V06 Calend 01'!F9+'V06 Calend 01'!G9),0)+IF(AND(('V06 Calend 01'!E9&gt;0),(46&gt;'V06 Calend 01'!C9),(46&lt;'V06 Calend 01'!D9),(MOD((46-'V06 Calend 01'!C9),6)=0),(((46-'V06 Calend 01'!C9)/6)&lt;='V06 Calend 01'!E9)),IF((46=('V06 Calend 01'!C9+(6*'V06 Calend 01'!E9))),('V06 Calend 01'!H9-('V06 Calend 01'!I9*('V06 Calend 01'!E9-1))),'V06 Calend 01'!I9),0))+IF((46='V06 Calend 01'!D9),'V06 Calend 01'!J9,0))</f>
        <v>0</v>
      </c>
      <c r="BG9" s="2">
        <f>((IF((47='V06 Calend 01'!C9),('V06 Calend 01'!F9+'V06 Calend 01'!G9),0)+IF(AND(('V06 Calend 01'!E9&gt;0),(47&gt;'V06 Calend 01'!C9),(47&lt;'V06 Calend 01'!D9),(MOD((47-'V06 Calend 01'!C9),6)=0),(((47-'V06 Calend 01'!C9)/6)&lt;='V06 Calend 01'!E9)),IF((47=('V06 Calend 01'!C9+(6*'V06 Calend 01'!E9))),('V06 Calend 01'!H9-('V06 Calend 01'!I9*('V06 Calend 01'!E9-1))),'V06 Calend 01'!I9),0))+IF((47='V06 Calend 01'!D9),'V06 Calend 01'!J9,0))</f>
        <v>0</v>
      </c>
      <c r="BH9" s="2">
        <f>((IF((48='V06 Calend 01'!C9),('V06 Calend 01'!F9+'V06 Calend 01'!G9),0)+IF(AND(('V06 Calend 01'!E9&gt;0),(48&gt;'V06 Calend 01'!C9),(48&lt;'V06 Calend 01'!D9),(MOD((48-'V06 Calend 01'!C9),6)=0),(((48-'V06 Calend 01'!C9)/6)&lt;='V06 Calend 01'!E9)),IF((48=('V06 Calend 01'!C9+(6*'V06 Calend 01'!E9))),('V06 Calend 01'!H9-('V06 Calend 01'!I9*('V06 Calend 01'!E9-1))),'V06 Calend 01'!I9),0))+IF((48='V06 Calend 01'!D9),'V06 Calend 01'!J9,0))</f>
        <v>0</v>
      </c>
      <c r="BI9" s="2">
        <f>((IF((49='V06 Calend 01'!C9),('V06 Calend 01'!F9+'V06 Calend 01'!G9),0)+IF(AND(('V06 Calend 01'!E9&gt;0),(49&gt;'V06 Calend 01'!C9),(49&lt;'V06 Calend 01'!D9),(MOD((49-'V06 Calend 01'!C9),6)=0),(((49-'V06 Calend 01'!C9)/6)&lt;='V06 Calend 01'!E9)),IF((49=('V06 Calend 01'!C9+(6*'V06 Calend 01'!E9))),('V06 Calend 01'!H9-('V06 Calend 01'!I9*('V06 Calend 01'!E9-1))),'V06 Calend 01'!I9),0))+IF((49='V06 Calend 01'!D9),'V06 Calend 01'!J9,0))</f>
        <v>0</v>
      </c>
      <c r="BJ9" s="2">
        <f>((IF((50='V06 Calend 01'!C9),('V06 Calend 01'!F9+'V06 Calend 01'!G9),0)+IF(AND(('V06 Calend 01'!E9&gt;0),(50&gt;'V06 Calend 01'!C9),(50&lt;'V06 Calend 01'!D9),(MOD((50-'V06 Calend 01'!C9),6)=0),(((50-'V06 Calend 01'!C9)/6)&lt;='V06 Calend 01'!E9)),IF((50=('V06 Calend 01'!C9+(6*'V06 Calend 01'!E9))),('V06 Calend 01'!H9-('V06 Calend 01'!I9*('V06 Calend 01'!E9-1))),'V06 Calend 01'!I9),0))+IF((50='V06 Calend 01'!D9),'V06 Calend 01'!J9,0))</f>
        <v>0</v>
      </c>
      <c r="BK9" s="2">
        <f>((IF((51='V06 Calend 01'!C9),('V06 Calend 01'!F9+'V06 Calend 01'!G9),0)+IF(AND(('V06 Calend 01'!E9&gt;0),(51&gt;'V06 Calend 01'!C9),(51&lt;'V06 Calend 01'!D9),(MOD((51-'V06 Calend 01'!C9),6)=0),(((51-'V06 Calend 01'!C9)/6)&lt;='V06 Calend 01'!E9)),IF((51=('V06 Calend 01'!C9+(6*'V06 Calend 01'!E9))),('V06 Calend 01'!H9-('V06 Calend 01'!I9*('V06 Calend 01'!E9-1))),'V06 Calend 01'!I9),0))+IF((51='V06 Calend 01'!D9),'V06 Calend 01'!J9,0))</f>
        <v>0</v>
      </c>
      <c r="BL9" s="2">
        <f>((IF((52='V06 Calend 01'!C9),('V06 Calend 01'!F9+'V06 Calend 01'!G9),0)+IF(AND(('V06 Calend 01'!E9&gt;0),(52&gt;'V06 Calend 01'!C9),(52&lt;'V06 Calend 01'!D9),(MOD((52-'V06 Calend 01'!C9),6)=0),(((52-'V06 Calend 01'!C9)/6)&lt;='V06 Calend 01'!E9)),IF((52=('V06 Calend 01'!C9+(6*'V06 Calend 01'!E9))),('V06 Calend 01'!H9-('V06 Calend 01'!I9*('V06 Calend 01'!E9-1))),'V06 Calend 01'!I9),0))+IF((52='V06 Calend 01'!D9),'V06 Calend 01'!J9,0))</f>
        <v>0</v>
      </c>
      <c r="BM9" s="2">
        <f>((IF((53='V06 Calend 01'!C9),('V06 Calend 01'!F9+'V06 Calend 01'!G9),0)+IF(AND(('V06 Calend 01'!E9&gt;0),(53&gt;'V06 Calend 01'!C9),(53&lt;'V06 Calend 01'!D9),(MOD((53-'V06 Calend 01'!C9),6)=0),(((53-'V06 Calend 01'!C9)/6)&lt;='V06 Calend 01'!E9)),IF((53=('V06 Calend 01'!C9+(6*'V06 Calend 01'!E9))),('V06 Calend 01'!H9-('V06 Calend 01'!I9*('V06 Calend 01'!E9-1))),'V06 Calend 01'!I9),0))+IF((53='V06 Calend 01'!D9),'V06 Calend 01'!J9,0))</f>
        <v>0</v>
      </c>
      <c r="BN9" s="2">
        <f>((IF((54='V06 Calend 01'!C9),('V06 Calend 01'!F9+'V06 Calend 01'!G9),0)+IF(AND(('V06 Calend 01'!E9&gt;0),(54&gt;'V06 Calend 01'!C9),(54&lt;'V06 Calend 01'!D9),(MOD((54-'V06 Calend 01'!C9),6)=0),(((54-'V06 Calend 01'!C9)/6)&lt;='V06 Calend 01'!E9)),IF((54=('V06 Calend 01'!C9+(6*'V06 Calend 01'!E9))),('V06 Calend 01'!H9-('V06 Calend 01'!I9*('V06 Calend 01'!E9-1))),'V06 Calend 01'!I9),0))+IF((54='V06 Calend 01'!D9),'V06 Calend 01'!J9,0))</f>
        <v>0</v>
      </c>
      <c r="BO9" s="2">
        <f>((IF((55='V06 Calend 01'!C9),('V06 Calend 01'!F9+'V06 Calend 01'!G9),0)+IF(AND(('V06 Calend 01'!E9&gt;0),(55&gt;'V06 Calend 01'!C9),(55&lt;'V06 Calend 01'!D9),(MOD((55-'V06 Calend 01'!C9),6)=0),(((55-'V06 Calend 01'!C9)/6)&lt;='V06 Calend 01'!E9)),IF((55=('V06 Calend 01'!C9+(6*'V06 Calend 01'!E9))),('V06 Calend 01'!H9-('V06 Calend 01'!I9*('V06 Calend 01'!E9-1))),'V06 Calend 01'!I9),0))+IF((55='V06 Calend 01'!D9),'V06 Calend 01'!J9,0))</f>
        <v>0</v>
      </c>
      <c r="BP9" s="2">
        <f>((IF((56='V06 Calend 01'!C9),('V06 Calend 01'!F9+'V06 Calend 01'!G9),0)+IF(AND(('V06 Calend 01'!E9&gt;0),(56&gt;'V06 Calend 01'!C9),(56&lt;'V06 Calend 01'!D9),(MOD((56-'V06 Calend 01'!C9),6)=0),(((56-'V06 Calend 01'!C9)/6)&lt;='V06 Calend 01'!E9)),IF((56=('V06 Calend 01'!C9+(6*'V06 Calend 01'!E9))),('V06 Calend 01'!H9-('V06 Calend 01'!I9*('V06 Calend 01'!E9-1))),'V06 Calend 01'!I9),0))+IF((56='V06 Calend 01'!D9),'V06 Calend 01'!J9,0))</f>
        <v>0</v>
      </c>
      <c r="BQ9" s="2">
        <f>((IF((57='V06 Calend 01'!C9),('V06 Calend 01'!F9+'V06 Calend 01'!G9),0)+IF(AND(('V06 Calend 01'!E9&gt;0),(57&gt;'V06 Calend 01'!C9),(57&lt;'V06 Calend 01'!D9),(MOD((57-'V06 Calend 01'!C9),6)=0),(((57-'V06 Calend 01'!C9)/6)&lt;='V06 Calend 01'!E9)),IF((57=('V06 Calend 01'!C9+(6*'V06 Calend 01'!E9))),('V06 Calend 01'!H9-('V06 Calend 01'!I9*('V06 Calend 01'!E9-1))),'V06 Calend 01'!I9),0))+IF((57='V06 Calend 01'!D9),'V06 Calend 01'!J9,0))</f>
        <v>0</v>
      </c>
      <c r="BR9" s="2">
        <f>((IF((58='V06 Calend 01'!C9),('V06 Calend 01'!F9+'V06 Calend 01'!G9),0)+IF(AND(('V06 Calend 01'!E9&gt;0),(58&gt;'V06 Calend 01'!C9),(58&lt;'V06 Calend 01'!D9),(MOD((58-'V06 Calend 01'!C9),6)=0),(((58-'V06 Calend 01'!C9)/6)&lt;='V06 Calend 01'!E9)),IF((58=('V06 Calend 01'!C9+(6*'V06 Calend 01'!E9))),('V06 Calend 01'!H9-('V06 Calend 01'!I9*('V06 Calend 01'!E9-1))),'V06 Calend 01'!I9),0))+IF((58='V06 Calend 01'!D9),'V06 Calend 01'!J9,0))</f>
        <v>0</v>
      </c>
      <c r="BS9" s="2">
        <f>((IF((59='V06 Calend 01'!C9),('V06 Calend 01'!F9+'V06 Calend 01'!G9),0)+IF(AND(('V06 Calend 01'!E9&gt;0),(59&gt;'V06 Calend 01'!C9),(59&lt;'V06 Calend 01'!D9),(MOD((59-'V06 Calend 01'!C9),6)=0),(((59-'V06 Calend 01'!C9)/6)&lt;='V06 Calend 01'!E9)),IF((59=('V06 Calend 01'!C9+(6*'V06 Calend 01'!E9))),('V06 Calend 01'!H9-('V06 Calend 01'!I9*('V06 Calend 01'!E9-1))),'V06 Calend 01'!I9),0))+IF((59='V06 Calend 01'!D9),'V06 Calend 01'!J9,0))</f>
        <v>0</v>
      </c>
      <c r="BT9" s="2">
        <f>((IF((60='V06 Calend 01'!C9),('V06 Calend 01'!F9+'V06 Calend 01'!G9),0)+IF(AND(('V06 Calend 01'!E9&gt;0),(60&gt;'V06 Calend 01'!C9),(60&lt;'V06 Calend 01'!D9),(MOD((60-'V06 Calend 01'!C9),6)=0),(((60-'V06 Calend 01'!C9)/6)&lt;='V06 Calend 01'!E9)),IF((60=('V06 Calend 01'!C9+(6*'V06 Calend 01'!E9))),('V06 Calend 01'!H9-('V06 Calend 01'!I9*('V06 Calend 01'!E9-1))),'V06 Calend 01'!I9),0))+IF((60='V06 Calend 01'!D9),'V06 Calend 01'!J9,0))</f>
        <v>0</v>
      </c>
      <c r="BU9" s="2">
        <f>((IF((61='V06 Calend 01'!C9),('V06 Calend 01'!F9+'V06 Calend 01'!G9),0)+IF(AND(('V06 Calend 01'!E9&gt;0),(61&gt;'V06 Calend 01'!C9),(61&lt;'V06 Calend 01'!D9),(MOD((61-'V06 Calend 01'!C9),6)=0),(((61-'V06 Calend 01'!C9)/6)&lt;='V06 Calend 01'!E9)),IF((61=('V06 Calend 01'!C9+(6*'V06 Calend 01'!E9))),('V06 Calend 01'!H9-('V06 Calend 01'!I9*('V06 Calend 01'!E9-1))),'V06 Calend 01'!I9),0))+IF((61='V06 Calend 01'!D9),'V06 Calend 01'!J9,0))</f>
        <v>0</v>
      </c>
      <c r="BV9" s="2">
        <f>((IF((62='V06 Calend 01'!C9),('V06 Calend 01'!F9+'V06 Calend 01'!G9),0)+IF(AND(('V06 Calend 01'!E9&gt;0),(62&gt;'V06 Calend 01'!C9),(62&lt;'V06 Calend 01'!D9),(MOD((62-'V06 Calend 01'!C9),6)=0),(((62-'V06 Calend 01'!C9)/6)&lt;='V06 Calend 01'!E9)),IF((62=('V06 Calend 01'!C9+(6*'V06 Calend 01'!E9))),('V06 Calend 01'!H9-('V06 Calend 01'!I9*('V06 Calend 01'!E9-1))),'V06 Calend 01'!I9),0))+IF((62='V06 Calend 01'!D9),'V06 Calend 01'!J9,0))</f>
        <v>0</v>
      </c>
      <c r="BW9" s="2">
        <f>((IF((63='V06 Calend 01'!C9),('V06 Calend 01'!F9+'V06 Calend 01'!G9),0)+IF(AND(('V06 Calend 01'!E9&gt;0),(63&gt;'V06 Calend 01'!C9),(63&lt;'V06 Calend 01'!D9),(MOD((63-'V06 Calend 01'!C9),6)=0),(((63-'V06 Calend 01'!C9)/6)&lt;='V06 Calend 01'!E9)),IF((63=('V06 Calend 01'!C9+(6*'V06 Calend 01'!E9))),('V06 Calend 01'!H9-('V06 Calend 01'!I9*('V06 Calend 01'!E9-1))),'V06 Calend 01'!I9),0))+IF((63='V06 Calend 01'!D9),'V06 Calend 01'!J9,0))</f>
        <v>0</v>
      </c>
      <c r="BX9" s="2">
        <f>((IF((64='V06 Calend 01'!C9),('V06 Calend 01'!F9+'V06 Calend 01'!G9),0)+IF(AND(('V06 Calend 01'!E9&gt;0),(64&gt;'V06 Calend 01'!C9),(64&lt;'V06 Calend 01'!D9),(MOD((64-'V06 Calend 01'!C9),6)=0),(((64-'V06 Calend 01'!C9)/6)&lt;='V06 Calend 01'!E9)),IF((64=('V06 Calend 01'!C9+(6*'V06 Calend 01'!E9))),('V06 Calend 01'!H9-('V06 Calend 01'!I9*('V06 Calend 01'!E9-1))),'V06 Calend 01'!I9),0))+IF((64='V06 Calend 01'!D9),'V06 Calend 01'!J9,0))</f>
        <v>0</v>
      </c>
      <c r="BY9" s="2">
        <f>((IF((65='V06 Calend 01'!C9),('V06 Calend 01'!F9+'V06 Calend 01'!G9),0)+IF(AND(('V06 Calend 01'!E9&gt;0),(65&gt;'V06 Calend 01'!C9),(65&lt;'V06 Calend 01'!D9),(MOD((65-'V06 Calend 01'!C9),6)=0),(((65-'V06 Calend 01'!C9)/6)&lt;='V06 Calend 01'!E9)),IF((65=('V06 Calend 01'!C9+(6*'V06 Calend 01'!E9))),('V06 Calend 01'!H9-('V06 Calend 01'!I9*('V06 Calend 01'!E9-1))),'V06 Calend 01'!I9),0))+IF((65='V06 Calend 01'!D9),'V06 Calend 01'!J9,0))</f>
        <v>0</v>
      </c>
      <c r="BZ9" s="2">
        <f>((IF((66='V06 Calend 01'!C9),('V06 Calend 01'!F9+'V06 Calend 01'!G9),0)+IF(AND(('V06 Calend 01'!E9&gt;0),(66&gt;'V06 Calend 01'!C9),(66&lt;'V06 Calend 01'!D9),(MOD((66-'V06 Calend 01'!C9),6)=0),(((66-'V06 Calend 01'!C9)/6)&lt;='V06 Calend 01'!E9)),IF((66=('V06 Calend 01'!C9+(6*'V06 Calend 01'!E9))),('V06 Calend 01'!H9-('V06 Calend 01'!I9*('V06 Calend 01'!E9-1))),'V06 Calend 01'!I9),0))+IF((66='V06 Calend 01'!D9),'V06 Calend 01'!J9,0))</f>
        <v>0</v>
      </c>
      <c r="CA9" s="2">
        <f>((IF((67='V06 Calend 01'!C9),('V06 Calend 01'!F9+'V06 Calend 01'!G9),0)+IF(AND(('V06 Calend 01'!E9&gt;0),(67&gt;'V06 Calend 01'!C9),(67&lt;'V06 Calend 01'!D9),(MOD((67-'V06 Calend 01'!C9),6)=0),(((67-'V06 Calend 01'!C9)/6)&lt;='V06 Calend 01'!E9)),IF((67=('V06 Calend 01'!C9+(6*'V06 Calend 01'!E9))),('V06 Calend 01'!H9-('V06 Calend 01'!I9*('V06 Calend 01'!E9-1))),'V06 Calend 01'!I9),0))+IF((67='V06 Calend 01'!D9),'V06 Calend 01'!J9,0))</f>
        <v>0</v>
      </c>
      <c r="CB9" s="2">
        <f>((IF((68='V06 Calend 01'!C9),('V06 Calend 01'!F9+'V06 Calend 01'!G9),0)+IF(AND(('V06 Calend 01'!E9&gt;0),(68&gt;'V06 Calend 01'!C9),(68&lt;'V06 Calend 01'!D9),(MOD((68-'V06 Calend 01'!C9),6)=0),(((68-'V06 Calend 01'!C9)/6)&lt;='V06 Calend 01'!E9)),IF((68=('V06 Calend 01'!C9+(6*'V06 Calend 01'!E9))),('V06 Calend 01'!H9-('V06 Calend 01'!I9*('V06 Calend 01'!E9-1))),'V06 Calend 01'!I9),0))+IF((68='V06 Calend 01'!D9),'V06 Calend 01'!J9,0))</f>
        <v>0</v>
      </c>
      <c r="CC9" s="2">
        <f>((IF((69='V06 Calend 01'!C9),('V06 Calend 01'!F9+'V06 Calend 01'!G9),0)+IF(AND(('V06 Calend 01'!E9&gt;0),(69&gt;'V06 Calend 01'!C9),(69&lt;'V06 Calend 01'!D9),(MOD((69-'V06 Calend 01'!C9),6)=0),(((69-'V06 Calend 01'!C9)/6)&lt;='V06 Calend 01'!E9)),IF((69=('V06 Calend 01'!C9+(6*'V06 Calend 01'!E9))),('V06 Calend 01'!H9-('V06 Calend 01'!I9*('V06 Calend 01'!E9-1))),'V06 Calend 01'!I9),0))+IF((69='V06 Calend 01'!D9),'V06 Calend 01'!J9,0))</f>
        <v>0</v>
      </c>
      <c r="CD9" s="2">
        <f>((IF((70='V06 Calend 01'!C9),('V06 Calend 01'!F9+'V06 Calend 01'!G9),0)+IF(AND(('V06 Calend 01'!E9&gt;0),(70&gt;'V06 Calend 01'!C9),(70&lt;'V06 Calend 01'!D9),(MOD((70-'V06 Calend 01'!C9),6)=0),(((70-'V06 Calend 01'!C9)/6)&lt;='V06 Calend 01'!E9)),IF((70=('V06 Calend 01'!C9+(6*'V06 Calend 01'!E9))),('V06 Calend 01'!H9-('V06 Calend 01'!I9*('V06 Calend 01'!E9-1))),'V06 Calend 01'!I9),0))+IF((70='V06 Calend 01'!D9),'V06 Calend 01'!J9,0))</f>
        <v>0</v>
      </c>
      <c r="CE9" s="2">
        <f>((IF((71='V06 Calend 01'!C9),('V06 Calend 01'!F9+'V06 Calend 01'!G9),0)+IF(AND(('V06 Calend 01'!E9&gt;0),(71&gt;'V06 Calend 01'!C9),(71&lt;'V06 Calend 01'!D9),(MOD((71-'V06 Calend 01'!C9),6)=0),(((71-'V06 Calend 01'!C9)/6)&lt;='V06 Calend 01'!E9)),IF((71=('V06 Calend 01'!C9+(6*'V06 Calend 01'!E9))),('V06 Calend 01'!H9-('V06 Calend 01'!I9*('V06 Calend 01'!E9-1))),'V06 Calend 01'!I9),0))+IF((71='V06 Calend 01'!D9),'V06 Calend 01'!J9,0))</f>
        <v>0</v>
      </c>
      <c r="CF9" s="2">
        <f>((IF((72='V06 Calend 01'!C9),('V06 Calend 01'!F9+'V06 Calend 01'!G9),0)+IF(AND(('V06 Calend 01'!E9&gt;0),(72&gt;'V06 Calend 01'!C9),(72&lt;'V06 Calend 01'!D9),(MOD((72-'V06 Calend 01'!C9),6)=0),(((72-'V06 Calend 01'!C9)/6)&lt;='V06 Calend 01'!E9)),IF((72=('V06 Calend 01'!C9+(6*'V06 Calend 01'!E9))),('V06 Calend 01'!H9-('V06 Calend 01'!I9*('V06 Calend 01'!E9-1))),'V06 Calend 01'!I9),0))+IF((72='V06 Calend 01'!D9),'V06 Calend 01'!J9,0))</f>
        <v>0</v>
      </c>
      <c r="CG9" s="2">
        <f>((IF((73='V06 Calend 01'!C9),('V06 Calend 01'!F9+'V06 Calend 01'!G9),0)+IF(AND(('V06 Calend 01'!E9&gt;0),(73&gt;'V06 Calend 01'!C9),(73&lt;'V06 Calend 01'!D9),(MOD((73-'V06 Calend 01'!C9),6)=0),(((73-'V06 Calend 01'!C9)/6)&lt;='V06 Calend 01'!E9)),IF((73=('V06 Calend 01'!C9+(6*'V06 Calend 01'!E9))),('V06 Calend 01'!H9-('V06 Calend 01'!I9*('V06 Calend 01'!E9-1))),'V06 Calend 01'!I9),0))+IF((73='V06 Calend 01'!D9),'V06 Calend 01'!J9,0))</f>
        <v>0</v>
      </c>
      <c r="CH9" s="2">
        <f>((IF((74='V06 Calend 01'!C9),('V06 Calend 01'!F9+'V06 Calend 01'!G9),0)+IF(AND(('V06 Calend 01'!E9&gt;0),(74&gt;'V06 Calend 01'!C9),(74&lt;'V06 Calend 01'!D9),(MOD((74-'V06 Calend 01'!C9),6)=0),(((74-'V06 Calend 01'!C9)/6)&lt;='V06 Calend 01'!E9)),IF((74=('V06 Calend 01'!C9+(6*'V06 Calend 01'!E9))),('V06 Calend 01'!H9-('V06 Calend 01'!I9*('V06 Calend 01'!E9-1))),'V06 Calend 01'!I9),0))+IF((74='V06 Calend 01'!D9),'V06 Calend 01'!J9,0))</f>
        <v>0</v>
      </c>
      <c r="CI9" s="2">
        <f>((IF((75='V06 Calend 01'!C9),('V06 Calend 01'!F9+'V06 Calend 01'!G9),0)+IF(AND(('V06 Calend 01'!E9&gt;0),(75&gt;'V06 Calend 01'!C9),(75&lt;'V06 Calend 01'!D9),(MOD((75-'V06 Calend 01'!C9),6)=0),(((75-'V06 Calend 01'!C9)/6)&lt;='V06 Calend 01'!E9)),IF((75=('V06 Calend 01'!C9+(6*'V06 Calend 01'!E9))),('V06 Calend 01'!H9-('V06 Calend 01'!I9*('V06 Calend 01'!E9-1))),'V06 Calend 01'!I9),0))+IF((75='V06 Calend 01'!D9),'V06 Calend 01'!J9,0))</f>
        <v>0</v>
      </c>
      <c r="CJ9" s="2">
        <f>((IF((76='V06 Calend 01'!C9),('V06 Calend 01'!F9+'V06 Calend 01'!G9),0)+IF(AND(('V06 Calend 01'!E9&gt;0),(76&gt;'V06 Calend 01'!C9),(76&lt;'V06 Calend 01'!D9),(MOD((76-'V06 Calend 01'!C9),6)=0),(((76-'V06 Calend 01'!C9)/6)&lt;='V06 Calend 01'!E9)),IF((76=('V06 Calend 01'!C9+(6*'V06 Calend 01'!E9))),('V06 Calend 01'!H9-('V06 Calend 01'!I9*('V06 Calend 01'!E9-1))),'V06 Calend 01'!I9),0))+IF((76='V06 Calend 01'!D9),'V06 Calend 01'!J9,0))</f>
        <v>0</v>
      </c>
      <c r="CK9" s="2">
        <f>((IF((77='V06 Calend 01'!C9),('V06 Calend 01'!F9+'V06 Calend 01'!G9),0)+IF(AND(('V06 Calend 01'!E9&gt;0),(77&gt;'V06 Calend 01'!C9),(77&lt;'V06 Calend 01'!D9),(MOD((77-'V06 Calend 01'!C9),6)=0),(((77-'V06 Calend 01'!C9)/6)&lt;='V06 Calend 01'!E9)),IF((77=('V06 Calend 01'!C9+(6*'V06 Calend 01'!E9))),('V06 Calend 01'!H9-('V06 Calend 01'!I9*('V06 Calend 01'!E9-1))),'V06 Calend 01'!I9),0))+IF((77='V06 Calend 01'!D9),'V06 Calend 01'!J9,0))</f>
        <v>0</v>
      </c>
      <c r="CL9" s="2">
        <f>((IF((78='V06 Calend 01'!C9),('V06 Calend 01'!F9+'V06 Calend 01'!G9),0)+IF(AND(('V06 Calend 01'!E9&gt;0),(78&gt;'V06 Calend 01'!C9),(78&lt;'V06 Calend 01'!D9),(MOD((78-'V06 Calend 01'!C9),6)=0),(((78-'V06 Calend 01'!C9)/6)&lt;='V06 Calend 01'!E9)),IF((78=('V06 Calend 01'!C9+(6*'V06 Calend 01'!E9))),('V06 Calend 01'!H9-('V06 Calend 01'!I9*('V06 Calend 01'!E9-1))),'V06 Calend 01'!I9),0))+IF((78='V06 Calend 01'!D9),'V06 Calend 01'!J9,0))</f>
        <v>0</v>
      </c>
      <c r="CM9" s="2">
        <f>((IF((79='V06 Calend 01'!C9),('V06 Calend 01'!F9+'V06 Calend 01'!G9),0)+IF(AND(('V06 Calend 01'!E9&gt;0),(79&gt;'V06 Calend 01'!C9),(79&lt;'V06 Calend 01'!D9),(MOD((79-'V06 Calend 01'!C9),6)=0),(((79-'V06 Calend 01'!C9)/6)&lt;='V06 Calend 01'!E9)),IF((79=('V06 Calend 01'!C9+(6*'V06 Calend 01'!E9))),('V06 Calend 01'!H9-('V06 Calend 01'!I9*('V06 Calend 01'!E9-1))),'V06 Calend 01'!I9),0))+IF((79='V06 Calend 01'!D9),'V06 Calend 01'!J9,0))</f>
        <v>0</v>
      </c>
      <c r="CN9" s="2">
        <f>((IF((80='V06 Calend 01'!C9),('V06 Calend 01'!F9+'V06 Calend 01'!G9),0)+IF(AND(('V06 Calend 01'!E9&gt;0),(80&gt;'V06 Calend 01'!C9),(80&lt;'V06 Calend 01'!D9),(MOD((80-'V06 Calend 01'!C9),6)=0),(((80-'V06 Calend 01'!C9)/6)&lt;='V06 Calend 01'!E9)),IF((80=('V06 Calend 01'!C9+(6*'V06 Calend 01'!E9))),('V06 Calend 01'!H9-('V06 Calend 01'!I9*('V06 Calend 01'!E9-1))),'V06 Calend 01'!I9),0))+IF((80='V06 Calend 01'!D9),'V06 Calend 01'!J9,0))</f>
        <v>0</v>
      </c>
      <c r="CO9" s="2">
        <f>((IF((81='V06 Calend 01'!C9),('V06 Calend 01'!F9+'V06 Calend 01'!G9),0)+IF(AND(('V06 Calend 01'!E9&gt;0),(81&gt;'V06 Calend 01'!C9),(81&lt;'V06 Calend 01'!D9),(MOD((81-'V06 Calend 01'!C9),6)=0),(((81-'V06 Calend 01'!C9)/6)&lt;='V06 Calend 01'!E9)),IF((81=('V06 Calend 01'!C9+(6*'V06 Calend 01'!E9))),('V06 Calend 01'!H9-('V06 Calend 01'!I9*('V06 Calend 01'!E9-1))),'V06 Calend 01'!I9),0))+IF((81='V06 Calend 01'!D9),'V06 Calend 01'!J9,0))</f>
        <v>0</v>
      </c>
      <c r="CP9" s="2">
        <f>((IF((82='V06 Calend 01'!C9),('V06 Calend 01'!F9+'V06 Calend 01'!G9),0)+IF(AND(('V06 Calend 01'!E9&gt;0),(82&gt;'V06 Calend 01'!C9),(82&lt;'V06 Calend 01'!D9),(MOD((82-'V06 Calend 01'!C9),6)=0),(((82-'V06 Calend 01'!C9)/6)&lt;='V06 Calend 01'!E9)),IF((82=('V06 Calend 01'!C9+(6*'V06 Calend 01'!E9))),('V06 Calend 01'!H9-('V06 Calend 01'!I9*('V06 Calend 01'!E9-1))),'V06 Calend 01'!I9),0))+IF((82='V06 Calend 01'!D9),'V06 Calend 01'!J9,0))</f>
        <v>0</v>
      </c>
      <c r="CQ9" s="2">
        <f>((IF((83='V06 Calend 01'!C9),('V06 Calend 01'!F9+'V06 Calend 01'!G9),0)+IF(AND(('V06 Calend 01'!E9&gt;0),(83&gt;'V06 Calend 01'!C9),(83&lt;'V06 Calend 01'!D9),(MOD((83-'V06 Calend 01'!C9),6)=0),(((83-'V06 Calend 01'!C9)/6)&lt;='V06 Calend 01'!E9)),IF((83=('V06 Calend 01'!C9+(6*'V06 Calend 01'!E9))),('V06 Calend 01'!H9-('V06 Calend 01'!I9*('V06 Calend 01'!E9-1))),'V06 Calend 01'!I9),0))+IF((83='V06 Calend 01'!D9),'V06 Calend 01'!J9,0))</f>
        <v>0</v>
      </c>
      <c r="CR9" s="2">
        <f>((IF((84='V06 Calend 01'!C9),('V06 Calend 01'!F9+'V06 Calend 01'!G9),0)+IF(AND(('V06 Calend 01'!E9&gt;0),(84&gt;'V06 Calend 01'!C9),(84&lt;'V06 Calend 01'!D9),(MOD((84-'V06 Calend 01'!C9),6)=0),(((84-'V06 Calend 01'!C9)/6)&lt;='V06 Calend 01'!E9)),IF((84=('V06 Calend 01'!C9+(6*'V06 Calend 01'!E9))),('V06 Calend 01'!H9-('V06 Calend 01'!I9*('V06 Calend 01'!E9-1))),'V06 Calend 01'!I9),0))+IF((84='V06 Calend 01'!D9),'V06 Calend 01'!J9,0))</f>
        <v>0</v>
      </c>
      <c r="CS9" s="2">
        <f>((IF((85='V06 Calend 01'!C9),('V06 Calend 01'!F9+'V06 Calend 01'!G9),0)+IF(AND(('V06 Calend 01'!E9&gt;0),(85&gt;'V06 Calend 01'!C9),(85&lt;'V06 Calend 01'!D9),(MOD((85-'V06 Calend 01'!C9),6)=0),(((85-'V06 Calend 01'!C9)/6)&lt;='V06 Calend 01'!E9)),IF((85=('V06 Calend 01'!C9+(6*'V06 Calend 01'!E9))),('V06 Calend 01'!H9-('V06 Calend 01'!I9*('V06 Calend 01'!E9-1))),'V06 Calend 01'!I9),0))+IF((85='V06 Calend 01'!D9),'V06 Calend 01'!J9,0))</f>
        <v>0</v>
      </c>
      <c r="CT9" s="2">
        <f>((IF((86='V06 Calend 01'!C9),('V06 Calend 01'!F9+'V06 Calend 01'!G9),0)+IF(AND(('V06 Calend 01'!E9&gt;0),(86&gt;'V06 Calend 01'!C9),(86&lt;'V06 Calend 01'!D9),(MOD((86-'V06 Calend 01'!C9),6)=0),(((86-'V06 Calend 01'!C9)/6)&lt;='V06 Calend 01'!E9)),IF((86=('V06 Calend 01'!C9+(6*'V06 Calend 01'!E9))),('V06 Calend 01'!H9-('V06 Calend 01'!I9*('V06 Calend 01'!E9-1))),'V06 Calend 01'!I9),0))+IF((86='V06 Calend 01'!D9),'V06 Calend 01'!J9,0))</f>
        <v>0</v>
      </c>
      <c r="CU9" s="2">
        <f>((IF((87='V06 Calend 01'!C9),('V06 Calend 01'!F9+'V06 Calend 01'!G9),0)+IF(AND(('V06 Calend 01'!E9&gt;0),(87&gt;'V06 Calend 01'!C9),(87&lt;'V06 Calend 01'!D9),(MOD((87-'V06 Calend 01'!C9),6)=0),(((87-'V06 Calend 01'!C9)/6)&lt;='V06 Calend 01'!E9)),IF((87=('V06 Calend 01'!C9+(6*'V06 Calend 01'!E9))),('V06 Calend 01'!H9-('V06 Calend 01'!I9*('V06 Calend 01'!E9-1))),'V06 Calend 01'!I9),0))+IF((87='V06 Calend 01'!D9),'V06 Calend 01'!J9,0))</f>
        <v>0</v>
      </c>
      <c r="CV9" s="2">
        <f>((IF((88='V06 Calend 01'!C9),('V06 Calend 01'!F9+'V06 Calend 01'!G9),0)+IF(AND(('V06 Calend 01'!E9&gt;0),(88&gt;'V06 Calend 01'!C9),(88&lt;'V06 Calend 01'!D9),(MOD((88-'V06 Calend 01'!C9),6)=0),(((88-'V06 Calend 01'!C9)/6)&lt;='V06 Calend 01'!E9)),IF((88=('V06 Calend 01'!C9+(6*'V06 Calend 01'!E9))),('V06 Calend 01'!H9-('V06 Calend 01'!I9*('V06 Calend 01'!E9-1))),'V06 Calend 01'!I9),0))+IF((88='V06 Calend 01'!D9),'V06 Calend 01'!J9,0))</f>
        <v>0</v>
      </c>
      <c r="CW9" s="2">
        <f>((IF((89='V06 Calend 01'!C9),('V06 Calend 01'!F9+'V06 Calend 01'!G9),0)+IF(AND(('V06 Calend 01'!E9&gt;0),(89&gt;'V06 Calend 01'!C9),(89&lt;'V06 Calend 01'!D9),(MOD((89-'V06 Calend 01'!C9),6)=0),(((89-'V06 Calend 01'!C9)/6)&lt;='V06 Calend 01'!E9)),IF((89=('V06 Calend 01'!C9+(6*'V06 Calend 01'!E9))),('V06 Calend 01'!H9-('V06 Calend 01'!I9*('V06 Calend 01'!E9-1))),'V06 Calend 01'!I9),0))+IF((89='V06 Calend 01'!D9),'V06 Calend 01'!J9,0))</f>
        <v>0</v>
      </c>
      <c r="CX9" s="2">
        <f>((IF((90='V06 Calend 01'!C9),('V06 Calend 01'!F9+'V06 Calend 01'!G9),0)+IF(AND(('V06 Calend 01'!E9&gt;0),(90&gt;'V06 Calend 01'!C9),(90&lt;'V06 Calend 01'!D9),(MOD((90-'V06 Calend 01'!C9),6)=0),(((90-'V06 Calend 01'!C9)/6)&lt;='V06 Calend 01'!E9)),IF((90=('V06 Calend 01'!C9+(6*'V06 Calend 01'!E9))),('V06 Calend 01'!H9-('V06 Calend 01'!I9*('V06 Calend 01'!E9-1))),'V06 Calend 01'!I9),0))+IF((90='V06 Calend 01'!D9),'V06 Calend 01'!J9,0))</f>
        <v>0</v>
      </c>
      <c r="CY9" s="2">
        <f>((IF((91='V06 Calend 01'!C9),('V06 Calend 01'!F9+'V06 Calend 01'!G9),0)+IF(AND(('V06 Calend 01'!E9&gt;0),(91&gt;'V06 Calend 01'!C9),(91&lt;'V06 Calend 01'!D9),(MOD((91-'V06 Calend 01'!C9),6)=0),(((91-'V06 Calend 01'!C9)/6)&lt;='V06 Calend 01'!E9)),IF((91=('V06 Calend 01'!C9+(6*'V06 Calend 01'!E9))),('V06 Calend 01'!H9-('V06 Calend 01'!I9*('V06 Calend 01'!E9-1))),'V06 Calend 01'!I9),0))+IF((91='V06 Calend 01'!D9),'V06 Calend 01'!J9,0))</f>
        <v>0</v>
      </c>
      <c r="CZ9" s="2">
        <f>((IF((92='V06 Calend 01'!C9),('V06 Calend 01'!F9+'V06 Calend 01'!G9),0)+IF(AND(('V06 Calend 01'!E9&gt;0),(92&gt;'V06 Calend 01'!C9),(92&lt;'V06 Calend 01'!D9),(MOD((92-'V06 Calend 01'!C9),6)=0),(((92-'V06 Calend 01'!C9)/6)&lt;='V06 Calend 01'!E9)),IF((92=('V06 Calend 01'!C9+(6*'V06 Calend 01'!E9))),('V06 Calend 01'!H9-('V06 Calend 01'!I9*('V06 Calend 01'!E9-1))),'V06 Calend 01'!I9),0))+IF((92='V06 Calend 01'!D9),'V06 Calend 01'!J9,0))</f>
        <v>0</v>
      </c>
      <c r="DA9" s="2">
        <f>((IF((93='V06 Calend 01'!C9),('V06 Calend 01'!F9+'V06 Calend 01'!G9),0)+IF(AND(('V06 Calend 01'!E9&gt;0),(93&gt;'V06 Calend 01'!C9),(93&lt;'V06 Calend 01'!D9),(MOD((93-'V06 Calend 01'!C9),6)=0),(((93-'V06 Calend 01'!C9)/6)&lt;='V06 Calend 01'!E9)),IF((93=('V06 Calend 01'!C9+(6*'V06 Calend 01'!E9))),('V06 Calend 01'!H9-('V06 Calend 01'!I9*('V06 Calend 01'!E9-1))),'V06 Calend 01'!I9),0))+IF((93='V06 Calend 01'!D9),'V06 Calend 01'!J9,0))</f>
        <v>0</v>
      </c>
      <c r="DB9" s="2">
        <f>((IF((94='V06 Calend 01'!C9),('V06 Calend 01'!F9+'V06 Calend 01'!G9),0)+IF(AND(('V06 Calend 01'!E9&gt;0),(94&gt;'V06 Calend 01'!C9),(94&lt;'V06 Calend 01'!D9),(MOD((94-'V06 Calend 01'!C9),6)=0),(((94-'V06 Calend 01'!C9)/6)&lt;='V06 Calend 01'!E9)),IF((94=('V06 Calend 01'!C9+(6*'V06 Calend 01'!E9))),('V06 Calend 01'!H9-('V06 Calend 01'!I9*('V06 Calend 01'!E9-1))),'V06 Calend 01'!I9),0))+IF((94='V06 Calend 01'!D9),'V06 Calend 01'!J9,0))</f>
        <v>0</v>
      </c>
      <c r="DC9" s="2">
        <f>((IF((95='V06 Calend 01'!C9),('V06 Calend 01'!F9+'V06 Calend 01'!G9),0)+IF(AND(('V06 Calend 01'!E9&gt;0),(95&gt;'V06 Calend 01'!C9),(95&lt;'V06 Calend 01'!D9),(MOD((95-'V06 Calend 01'!C9),6)=0),(((95-'V06 Calend 01'!C9)/6)&lt;='V06 Calend 01'!E9)),IF((95=('V06 Calend 01'!C9+(6*'V06 Calend 01'!E9))),('V06 Calend 01'!H9-('V06 Calend 01'!I9*('V06 Calend 01'!E9-1))),'V06 Calend 01'!I9),0))+IF((95='V06 Calend 01'!D9),'V06 Calend 01'!J9,0))</f>
        <v>0</v>
      </c>
      <c r="DD9" s="2">
        <f>((IF((96='V06 Calend 01'!C9),('V06 Calend 01'!F9+'V06 Calend 01'!G9),0)+IF(AND(('V06 Calend 01'!E9&gt;0),(96&gt;'V06 Calend 01'!C9),(96&lt;'V06 Calend 01'!D9),(MOD((96-'V06 Calend 01'!C9),6)=0),(((96-'V06 Calend 01'!C9)/6)&lt;='V06 Calend 01'!E9)),IF((96=('V06 Calend 01'!C9+(6*'V06 Calend 01'!E9))),('V06 Calend 01'!H9-('V06 Calend 01'!I9*('V06 Calend 01'!E9-1))),'V06 Calend 01'!I9),0))+IF((96='V06 Calend 01'!D9),'V06 Calend 01'!J9,0))</f>
        <v>0</v>
      </c>
      <c r="DE9" s="2">
        <f>((IF((97='V06 Calend 01'!C9),('V06 Calend 01'!F9+'V06 Calend 01'!G9),0)+IF(AND(('V06 Calend 01'!E9&gt;0),(97&gt;'V06 Calend 01'!C9),(97&lt;'V06 Calend 01'!D9),(MOD((97-'V06 Calend 01'!C9),6)=0),(((97-'V06 Calend 01'!C9)/6)&lt;='V06 Calend 01'!E9)),IF((97=('V06 Calend 01'!C9+(6*'V06 Calend 01'!E9))),('V06 Calend 01'!H9-('V06 Calend 01'!I9*('V06 Calend 01'!E9-1))),'V06 Calend 01'!I9),0))+IF((97='V06 Calend 01'!D9),'V06 Calend 01'!J9,0))</f>
        <v>0</v>
      </c>
      <c r="DF9" s="2">
        <f>((IF((98='V06 Calend 01'!C9),('V06 Calend 01'!F9+'V06 Calend 01'!G9),0)+IF(AND(('V06 Calend 01'!E9&gt;0),(98&gt;'V06 Calend 01'!C9),(98&lt;'V06 Calend 01'!D9),(MOD((98-'V06 Calend 01'!C9),6)=0),(((98-'V06 Calend 01'!C9)/6)&lt;='V06 Calend 01'!E9)),IF((98=('V06 Calend 01'!C9+(6*'V06 Calend 01'!E9))),('V06 Calend 01'!H9-('V06 Calend 01'!I9*('V06 Calend 01'!E9-1))),'V06 Calend 01'!I9),0))+IF((98='V06 Calend 01'!D9),'V06 Calend 01'!J9,0))</f>
        <v>0</v>
      </c>
      <c r="DG9" s="2">
        <f>((IF((99='V06 Calend 01'!C9),('V06 Calend 01'!F9+'V06 Calend 01'!G9),0)+IF(AND(('V06 Calend 01'!E9&gt;0),(99&gt;'V06 Calend 01'!C9),(99&lt;'V06 Calend 01'!D9),(MOD((99-'V06 Calend 01'!C9),6)=0),(((99-'V06 Calend 01'!C9)/6)&lt;='V06 Calend 01'!E9)),IF((99=('V06 Calend 01'!C9+(6*'V06 Calend 01'!E9))),('V06 Calend 01'!H9-('V06 Calend 01'!I9*('V06 Calend 01'!E9-1))),'V06 Calend 01'!I9),0))+IF((99='V06 Calend 01'!D9),'V06 Calend 01'!J9,0))</f>
        <v>0</v>
      </c>
      <c r="DH9" s="2">
        <f>((IF((100='V06 Calend 01'!C9),('V06 Calend 01'!F9+'V06 Calend 01'!G9),0)+IF(AND(('V06 Calend 01'!E9&gt;0),(100&gt;'V06 Calend 01'!C9),(100&lt;'V06 Calend 01'!D9),(MOD((100-'V06 Calend 01'!C9),6)=0),(((100-'V06 Calend 01'!C9)/6)&lt;='V06 Calend 01'!E9)),IF((100=('V06 Calend 01'!C9+(6*'V06 Calend 01'!E9))),('V06 Calend 01'!H9-('V06 Calend 01'!I9*('V06 Calend 01'!E9-1))),'V06 Calend 01'!I9),0))+IF((100='V06 Calend 01'!D9),'V06 Calend 01'!J9,0))</f>
        <v>0</v>
      </c>
      <c r="DI9" s="2">
        <f>((IF((101='V06 Calend 01'!C9),('V06 Calend 01'!F9+'V06 Calend 01'!G9),0)+IF(AND(('V06 Calend 01'!E9&gt;0),(101&gt;'V06 Calend 01'!C9),(101&lt;'V06 Calend 01'!D9),(MOD((101-'V06 Calend 01'!C9),6)=0),(((101-'V06 Calend 01'!C9)/6)&lt;='V06 Calend 01'!E9)),IF((101=('V06 Calend 01'!C9+(6*'V06 Calend 01'!E9))),('V06 Calend 01'!H9-('V06 Calend 01'!I9*('V06 Calend 01'!E9-1))),'V06 Calend 01'!I9),0))+IF((101='V06 Calend 01'!D9),'V06 Calend 01'!J9,0))</f>
        <v>0</v>
      </c>
      <c r="DJ9" s="2">
        <f>((IF((102='V06 Calend 01'!C9),('V06 Calend 01'!F9+'V06 Calend 01'!G9),0)+IF(AND(('V06 Calend 01'!E9&gt;0),(102&gt;'V06 Calend 01'!C9),(102&lt;'V06 Calend 01'!D9),(MOD((102-'V06 Calend 01'!C9),6)=0),(((102-'V06 Calend 01'!C9)/6)&lt;='V06 Calend 01'!E9)),IF((102=('V06 Calend 01'!C9+(6*'V06 Calend 01'!E9))),('V06 Calend 01'!H9-('V06 Calend 01'!I9*('V06 Calend 01'!E9-1))),'V06 Calend 01'!I9),0))+IF((102='V06 Calend 01'!D9),'V06 Calend 01'!J9,0))</f>
        <v>0</v>
      </c>
      <c r="DK9" s="2">
        <f>((IF((103='V06 Calend 01'!C9),('V06 Calend 01'!F9+'V06 Calend 01'!G9),0)+IF(AND(('V06 Calend 01'!E9&gt;0),(103&gt;'V06 Calend 01'!C9),(103&lt;'V06 Calend 01'!D9),(MOD((103-'V06 Calend 01'!C9),6)=0),(((103-'V06 Calend 01'!C9)/6)&lt;='V06 Calend 01'!E9)),IF((103=('V06 Calend 01'!C9+(6*'V06 Calend 01'!E9))),('V06 Calend 01'!H9-('V06 Calend 01'!I9*('V06 Calend 01'!E9-1))),'V06 Calend 01'!I9),0))+IF((103='V06 Calend 01'!D9),'V06 Calend 01'!J9,0))</f>
        <v>0</v>
      </c>
      <c r="DL9" s="2">
        <f>((IF((104='V06 Calend 01'!C9),('V06 Calend 01'!F9+'V06 Calend 01'!G9),0)+IF(AND(('V06 Calend 01'!E9&gt;0),(104&gt;'V06 Calend 01'!C9),(104&lt;'V06 Calend 01'!D9),(MOD((104-'V06 Calend 01'!C9),6)=0),(((104-'V06 Calend 01'!C9)/6)&lt;='V06 Calend 01'!E9)),IF((104=('V06 Calend 01'!C9+(6*'V06 Calend 01'!E9))),('V06 Calend 01'!H9-('V06 Calend 01'!I9*('V06 Calend 01'!E9-1))),'V06 Calend 01'!I9),0))+IF((104='V06 Calend 01'!D9),'V06 Calend 01'!J9,0))</f>
        <v>0</v>
      </c>
      <c r="DM9" s="2">
        <f>((IF((105='V06 Calend 01'!C9),('V06 Calend 01'!F9+'V06 Calend 01'!G9),0)+IF(AND(('V06 Calend 01'!E9&gt;0),(105&gt;'V06 Calend 01'!C9),(105&lt;'V06 Calend 01'!D9),(MOD((105-'V06 Calend 01'!C9),6)=0),(((105-'V06 Calend 01'!C9)/6)&lt;='V06 Calend 01'!E9)),IF((105=('V06 Calend 01'!C9+(6*'V06 Calend 01'!E9))),('V06 Calend 01'!H9-('V06 Calend 01'!I9*('V06 Calend 01'!E9-1))),'V06 Calend 01'!I9),0))+IF((105='V06 Calend 01'!D9),'V06 Calend 01'!J9,0))</f>
        <v>0</v>
      </c>
      <c r="DN9" s="2">
        <f>((IF((106='V06 Calend 01'!C9),('V06 Calend 01'!F9+'V06 Calend 01'!G9),0)+IF(AND(('V06 Calend 01'!E9&gt;0),(106&gt;'V06 Calend 01'!C9),(106&lt;'V06 Calend 01'!D9),(MOD((106-'V06 Calend 01'!C9),6)=0),(((106-'V06 Calend 01'!C9)/6)&lt;='V06 Calend 01'!E9)),IF((106=('V06 Calend 01'!C9+(6*'V06 Calend 01'!E9))),('V06 Calend 01'!H9-('V06 Calend 01'!I9*('V06 Calend 01'!E9-1))),'V06 Calend 01'!I9),0))+IF((106='V06 Calend 01'!D9),'V06 Calend 01'!J9,0))</f>
        <v>0</v>
      </c>
      <c r="DO9" s="2">
        <f>((IF((107='V06 Calend 01'!C9),('V06 Calend 01'!F9+'V06 Calend 01'!G9),0)+IF(AND(('V06 Calend 01'!E9&gt;0),(107&gt;'V06 Calend 01'!C9),(107&lt;'V06 Calend 01'!D9),(MOD((107-'V06 Calend 01'!C9),6)=0),(((107-'V06 Calend 01'!C9)/6)&lt;='V06 Calend 01'!E9)),IF((107=('V06 Calend 01'!C9+(6*'V06 Calend 01'!E9))),('V06 Calend 01'!H9-('V06 Calend 01'!I9*('V06 Calend 01'!E9-1))),'V06 Calend 01'!I9),0))+IF((107='V06 Calend 01'!D9),'V06 Calend 01'!J9,0))</f>
        <v>0</v>
      </c>
      <c r="DP9" s="2">
        <f>((IF((108='V06 Calend 01'!C9),('V06 Calend 01'!F9+'V06 Calend 01'!G9),0)+IF(AND(('V06 Calend 01'!E9&gt;0),(108&gt;'V06 Calend 01'!C9),(108&lt;'V06 Calend 01'!D9),(MOD((108-'V06 Calend 01'!C9),6)=0),(((108-'V06 Calend 01'!C9)/6)&lt;='V06 Calend 01'!E9)),IF((108=('V06 Calend 01'!C9+(6*'V06 Calend 01'!E9))),('V06 Calend 01'!H9-('V06 Calend 01'!I9*('V06 Calend 01'!E9-1))),'V06 Calend 01'!I9),0))+IF((108='V06 Calend 01'!D9),'V06 Calend 01'!J9,0))</f>
        <v>0</v>
      </c>
      <c r="DQ9" s="2">
        <f>((IF((109='V06 Calend 01'!C9),('V06 Calend 01'!F9+'V06 Calend 01'!G9),0)+IF(AND(('V06 Calend 01'!E9&gt;0),(109&gt;'V06 Calend 01'!C9),(109&lt;'V06 Calend 01'!D9),(MOD((109-'V06 Calend 01'!C9),6)=0),(((109-'V06 Calend 01'!C9)/6)&lt;='V06 Calend 01'!E9)),IF((109=('V06 Calend 01'!C9+(6*'V06 Calend 01'!E9))),('V06 Calend 01'!H9-('V06 Calend 01'!I9*('V06 Calend 01'!E9-1))),'V06 Calend 01'!I9),0))+IF((109='V06 Calend 01'!D9),'V06 Calend 01'!J9,0))</f>
        <v>0</v>
      </c>
      <c r="DR9" s="2">
        <f>((IF((110='V06 Calend 01'!C9),('V06 Calend 01'!F9+'V06 Calend 01'!G9),0)+IF(AND(('V06 Calend 01'!E9&gt;0),(110&gt;'V06 Calend 01'!C9),(110&lt;'V06 Calend 01'!D9),(MOD((110-'V06 Calend 01'!C9),6)=0),(((110-'V06 Calend 01'!C9)/6)&lt;='V06 Calend 01'!E9)),IF((110=('V06 Calend 01'!C9+(6*'V06 Calend 01'!E9))),('V06 Calend 01'!H9-('V06 Calend 01'!I9*('V06 Calend 01'!E9-1))),'V06 Calend 01'!I9),0))+IF((110='V06 Calend 01'!D9),'V06 Calend 01'!J9,0))</f>
        <v>0</v>
      </c>
      <c r="DS9" s="2">
        <f>((IF((111='V06 Calend 01'!C9),('V06 Calend 01'!F9+'V06 Calend 01'!G9),0)+IF(AND(('V06 Calend 01'!E9&gt;0),(111&gt;'V06 Calend 01'!C9),(111&lt;'V06 Calend 01'!D9),(MOD((111-'V06 Calend 01'!C9),6)=0),(((111-'V06 Calend 01'!C9)/6)&lt;='V06 Calend 01'!E9)),IF((111=('V06 Calend 01'!C9+(6*'V06 Calend 01'!E9))),('V06 Calend 01'!H9-('V06 Calend 01'!I9*('V06 Calend 01'!E9-1))),'V06 Calend 01'!I9),0))+IF((111='V06 Calend 01'!D9),'V06 Calend 01'!J9,0))</f>
        <v>0</v>
      </c>
      <c r="DT9" s="2">
        <f>((IF((112='V06 Calend 01'!C9),('V06 Calend 01'!F9+'V06 Calend 01'!G9),0)+IF(AND(('V06 Calend 01'!E9&gt;0),(112&gt;'V06 Calend 01'!C9),(112&lt;'V06 Calend 01'!D9),(MOD((112-'V06 Calend 01'!C9),6)=0),(((112-'V06 Calend 01'!C9)/6)&lt;='V06 Calend 01'!E9)),IF((112=('V06 Calend 01'!C9+(6*'V06 Calend 01'!E9))),('V06 Calend 01'!H9-('V06 Calend 01'!I9*('V06 Calend 01'!E9-1))),'V06 Calend 01'!I9),0))+IF((112='V06 Calend 01'!D9),'V06 Calend 01'!J9,0))</f>
        <v>0</v>
      </c>
      <c r="DU9" s="2">
        <f>((IF((113='V06 Calend 01'!C9),('V06 Calend 01'!F9+'V06 Calend 01'!G9),0)+IF(AND(('V06 Calend 01'!E9&gt;0),(113&gt;'V06 Calend 01'!C9),(113&lt;'V06 Calend 01'!D9),(MOD((113-'V06 Calend 01'!C9),6)=0),(((113-'V06 Calend 01'!C9)/6)&lt;='V06 Calend 01'!E9)),IF((113=('V06 Calend 01'!C9+(6*'V06 Calend 01'!E9))),('V06 Calend 01'!H9-('V06 Calend 01'!I9*('V06 Calend 01'!E9-1))),'V06 Calend 01'!I9),0))+IF((113='V06 Calend 01'!D9),'V06 Calend 01'!J9,0))</f>
        <v>0</v>
      </c>
      <c r="DV9" s="2">
        <f>((IF((114='V06 Calend 01'!C9),('V06 Calend 01'!F9+'V06 Calend 01'!G9),0)+IF(AND(('V06 Calend 01'!E9&gt;0),(114&gt;'V06 Calend 01'!C9),(114&lt;'V06 Calend 01'!D9),(MOD((114-'V06 Calend 01'!C9),6)=0),(((114-'V06 Calend 01'!C9)/6)&lt;='V06 Calend 01'!E9)),IF((114=('V06 Calend 01'!C9+(6*'V06 Calend 01'!E9))),('V06 Calend 01'!H9-('V06 Calend 01'!I9*('V06 Calend 01'!E9-1))),'V06 Calend 01'!I9),0))+IF((114='V06 Calend 01'!D9),'V06 Calend 01'!J9,0))</f>
        <v>0</v>
      </c>
      <c r="DW9" s="2">
        <f>((IF((115='V06 Calend 01'!C9),('V06 Calend 01'!F9+'V06 Calend 01'!G9),0)+IF(AND(('V06 Calend 01'!E9&gt;0),(115&gt;'V06 Calend 01'!C9),(115&lt;'V06 Calend 01'!D9),(MOD((115-'V06 Calend 01'!C9),6)=0),(((115-'V06 Calend 01'!C9)/6)&lt;='V06 Calend 01'!E9)),IF((115=('V06 Calend 01'!C9+(6*'V06 Calend 01'!E9))),('V06 Calend 01'!H9-('V06 Calend 01'!I9*('V06 Calend 01'!E9-1))),'V06 Calend 01'!I9),0))+IF((115='V06 Calend 01'!D9),'V06 Calend 01'!J9,0))</f>
        <v>0</v>
      </c>
      <c r="DX9" s="2">
        <f>((IF((116='V06 Calend 01'!C9),('V06 Calend 01'!F9+'V06 Calend 01'!G9),0)+IF(AND(('V06 Calend 01'!E9&gt;0),(116&gt;'V06 Calend 01'!C9),(116&lt;'V06 Calend 01'!D9),(MOD((116-'V06 Calend 01'!C9),6)=0),(((116-'V06 Calend 01'!C9)/6)&lt;='V06 Calend 01'!E9)),IF((116=('V06 Calend 01'!C9+(6*'V06 Calend 01'!E9))),('V06 Calend 01'!H9-('V06 Calend 01'!I9*('V06 Calend 01'!E9-1))),'V06 Calend 01'!I9),0))+IF((116='V06 Calend 01'!D9),'V06 Calend 01'!J9,0))</f>
        <v>0</v>
      </c>
      <c r="DY9" s="2">
        <f>((IF((117='V06 Calend 01'!C9),('V06 Calend 01'!F9+'V06 Calend 01'!G9),0)+IF(AND(('V06 Calend 01'!E9&gt;0),(117&gt;'V06 Calend 01'!C9),(117&lt;'V06 Calend 01'!D9),(MOD((117-'V06 Calend 01'!C9),6)=0),(((117-'V06 Calend 01'!C9)/6)&lt;='V06 Calend 01'!E9)),IF((117=('V06 Calend 01'!C9+(6*'V06 Calend 01'!E9))),('V06 Calend 01'!H9-('V06 Calend 01'!I9*('V06 Calend 01'!E9-1))),'V06 Calend 01'!I9),0))+IF((117='V06 Calend 01'!D9),'V06 Calend 01'!J9,0))</f>
        <v>0</v>
      </c>
      <c r="DZ9" s="2">
        <f>((IF((118='V06 Calend 01'!C9),('V06 Calend 01'!F9+'V06 Calend 01'!G9),0)+IF(AND(('V06 Calend 01'!E9&gt;0),(118&gt;'V06 Calend 01'!C9),(118&lt;'V06 Calend 01'!D9),(MOD((118-'V06 Calend 01'!C9),6)=0),(((118-'V06 Calend 01'!C9)/6)&lt;='V06 Calend 01'!E9)),IF((118=('V06 Calend 01'!C9+(6*'V06 Calend 01'!E9))),('V06 Calend 01'!H9-('V06 Calend 01'!I9*('V06 Calend 01'!E9-1))),'V06 Calend 01'!I9),0))+IF((118='V06 Calend 01'!D9),'V06 Calend 01'!J9,0))</f>
        <v>0</v>
      </c>
      <c r="EA9" s="2">
        <f>((IF((119='V06 Calend 01'!C9),('V06 Calend 01'!F9+'V06 Calend 01'!G9),0)+IF(AND(('V06 Calend 01'!E9&gt;0),(119&gt;'V06 Calend 01'!C9),(119&lt;'V06 Calend 01'!D9),(MOD((119-'V06 Calend 01'!C9),6)=0),(((119-'V06 Calend 01'!C9)/6)&lt;='V06 Calend 01'!E9)),IF((119=('V06 Calend 01'!C9+(6*'V06 Calend 01'!E9))),('V06 Calend 01'!H9-('V06 Calend 01'!I9*('V06 Calend 01'!E9-1))),'V06 Calend 01'!I9),0))+IF((119='V06 Calend 01'!D9),'V06 Calend 01'!J9,0))</f>
        <v>0</v>
      </c>
      <c r="EB9" s="2">
        <f>((IF((120='V06 Calend 01'!C9),('V06 Calend 01'!F9+'V06 Calend 01'!G9),0)+IF(AND(('V06 Calend 01'!E9&gt;0),(120&gt;'V06 Calend 01'!C9),(120&lt;'V06 Calend 01'!D9),(MOD((120-'V06 Calend 01'!C9),6)=0),(((120-'V06 Calend 01'!C9)/6)&lt;='V06 Calend 01'!E9)),IF((120=('V06 Calend 01'!C9+(6*'V06 Calend 01'!E9))),('V06 Calend 01'!H9-('V06 Calend 01'!I9*('V06 Calend 01'!E9-1))),'V06 Calend 01'!I9),0))+IF((120='V06 Calend 01'!D9),'V06 Calend 01'!J9,0))</f>
        <v>0</v>
      </c>
      <c r="EC9" s="2">
        <f>((IF((121='V06 Calend 01'!C9),('V06 Calend 01'!F9+'V06 Calend 01'!G9),0)+IF(AND(('V06 Calend 01'!E9&gt;0),(121&gt;'V06 Calend 01'!C9),(121&lt;'V06 Calend 01'!D9),(MOD((121-'V06 Calend 01'!C9),6)=0),(((121-'V06 Calend 01'!C9)/6)&lt;='V06 Calend 01'!E9)),IF((121=('V06 Calend 01'!C9+(6*'V06 Calend 01'!E9))),('V06 Calend 01'!H9-('V06 Calend 01'!I9*('V06 Calend 01'!E9-1))),'V06 Calend 01'!I9),0))+IF((121='V06 Calend 01'!D9),'V06 Calend 01'!J9,0))</f>
        <v>0</v>
      </c>
      <c r="ED9" s="2">
        <f>((IF((122='V06 Calend 01'!C9),('V06 Calend 01'!F9+'V06 Calend 01'!G9),0)+IF(AND(('V06 Calend 01'!E9&gt;0),(122&gt;'V06 Calend 01'!C9),(122&lt;'V06 Calend 01'!D9),(MOD((122-'V06 Calend 01'!C9),6)=0),(((122-'V06 Calend 01'!C9)/6)&lt;='V06 Calend 01'!E9)),IF((122=('V06 Calend 01'!C9+(6*'V06 Calend 01'!E9))),('V06 Calend 01'!H9-('V06 Calend 01'!I9*('V06 Calend 01'!E9-1))),'V06 Calend 01'!I9),0))+IF((122='V06 Calend 01'!D9),'V06 Calend 01'!J9,0))</f>
        <v>0</v>
      </c>
      <c r="EE9" s="2">
        <f>((IF((123='V06 Calend 01'!C9),('V06 Calend 01'!F9+'V06 Calend 01'!G9),0)+IF(AND(('V06 Calend 01'!E9&gt;0),(123&gt;'V06 Calend 01'!C9),(123&lt;'V06 Calend 01'!D9),(MOD((123-'V06 Calend 01'!C9),6)=0),(((123-'V06 Calend 01'!C9)/6)&lt;='V06 Calend 01'!E9)),IF((123=('V06 Calend 01'!C9+(6*'V06 Calend 01'!E9))),('V06 Calend 01'!H9-('V06 Calend 01'!I9*('V06 Calend 01'!E9-1))),'V06 Calend 01'!I9),0))+IF((123='V06 Calend 01'!D9),'V06 Calend 01'!J9,0))</f>
        <v>0</v>
      </c>
      <c r="EF9" s="2">
        <f>((IF((124='V06 Calend 01'!C9),('V06 Calend 01'!F9+'V06 Calend 01'!G9),0)+IF(AND(('V06 Calend 01'!E9&gt;0),(124&gt;'V06 Calend 01'!C9),(124&lt;'V06 Calend 01'!D9),(MOD((124-'V06 Calend 01'!C9),6)=0),(((124-'V06 Calend 01'!C9)/6)&lt;='V06 Calend 01'!E9)),IF((124=('V06 Calend 01'!C9+(6*'V06 Calend 01'!E9))),('V06 Calend 01'!H9-('V06 Calend 01'!I9*('V06 Calend 01'!E9-1))),'V06 Calend 01'!I9),0))+IF((124='V06 Calend 01'!D9),'V06 Calend 01'!J9,0))</f>
        <v>0</v>
      </c>
      <c r="EG9" s="2">
        <f>((IF((125='V06 Calend 01'!C9),('V06 Calend 01'!F9+'V06 Calend 01'!G9),0)+IF(AND(('V06 Calend 01'!E9&gt;0),(125&gt;'V06 Calend 01'!C9),(125&lt;'V06 Calend 01'!D9),(MOD((125-'V06 Calend 01'!C9),6)=0),(((125-'V06 Calend 01'!C9)/6)&lt;='V06 Calend 01'!E9)),IF((125=('V06 Calend 01'!C9+(6*'V06 Calend 01'!E9))),('V06 Calend 01'!H9-('V06 Calend 01'!I9*('V06 Calend 01'!E9-1))),'V06 Calend 01'!I9),0))+IF((125='V06 Calend 01'!D9),'V06 Calend 01'!J9,0))</f>
        <v>0</v>
      </c>
      <c r="EH9" s="2">
        <f>((IF((126='V06 Calend 01'!C9),('V06 Calend 01'!F9+'V06 Calend 01'!G9),0)+IF(AND(('V06 Calend 01'!E9&gt;0),(126&gt;'V06 Calend 01'!C9),(126&lt;'V06 Calend 01'!D9),(MOD((126-'V06 Calend 01'!C9),6)=0),(((126-'V06 Calend 01'!C9)/6)&lt;='V06 Calend 01'!E9)),IF((126=('V06 Calend 01'!C9+(6*'V06 Calend 01'!E9))),('V06 Calend 01'!H9-('V06 Calend 01'!I9*('V06 Calend 01'!E9-1))),'V06 Calend 01'!I9),0))+IF((126='V06 Calend 01'!D9),'V06 Calend 01'!J9,0))</f>
        <v>0</v>
      </c>
      <c r="EI9" s="2">
        <f>((IF((127='V06 Calend 01'!C9),('V06 Calend 01'!F9+'V06 Calend 01'!G9),0)+IF(AND(('V06 Calend 01'!E9&gt;0),(127&gt;'V06 Calend 01'!C9),(127&lt;'V06 Calend 01'!D9),(MOD((127-'V06 Calend 01'!C9),6)=0),(((127-'V06 Calend 01'!C9)/6)&lt;='V06 Calend 01'!E9)),IF((127=('V06 Calend 01'!C9+(6*'V06 Calend 01'!E9))),('V06 Calend 01'!H9-('V06 Calend 01'!I9*('V06 Calend 01'!E9-1))),'V06 Calend 01'!I9),0))+IF((127='V06 Calend 01'!D9),'V06 Calend 01'!J9,0))</f>
        <v>0</v>
      </c>
      <c r="EJ9" s="2">
        <f>((IF((128='V06 Calend 01'!C9),('V06 Calend 01'!F9+'V06 Calend 01'!G9),0)+IF(AND(('V06 Calend 01'!E9&gt;0),(128&gt;'V06 Calend 01'!C9),(128&lt;'V06 Calend 01'!D9),(MOD((128-'V06 Calend 01'!C9),6)=0),(((128-'V06 Calend 01'!C9)/6)&lt;='V06 Calend 01'!E9)),IF((128=('V06 Calend 01'!C9+(6*'V06 Calend 01'!E9))),('V06 Calend 01'!H9-('V06 Calend 01'!I9*('V06 Calend 01'!E9-1))),'V06 Calend 01'!I9),0))+IF((128='V06 Calend 01'!D9),'V06 Calend 01'!J9,0))</f>
        <v>0</v>
      </c>
      <c r="EK9" s="2">
        <f>((IF((129='V06 Calend 01'!C9),('V06 Calend 01'!F9+'V06 Calend 01'!G9),0)+IF(AND(('V06 Calend 01'!E9&gt;0),(129&gt;'V06 Calend 01'!C9),(129&lt;'V06 Calend 01'!D9),(MOD((129-'V06 Calend 01'!C9),6)=0),(((129-'V06 Calend 01'!C9)/6)&lt;='V06 Calend 01'!E9)),IF((129=('V06 Calend 01'!C9+(6*'V06 Calend 01'!E9))),('V06 Calend 01'!H9-('V06 Calend 01'!I9*('V06 Calend 01'!E9-1))),'V06 Calend 01'!I9),0))+IF((129='V06 Calend 01'!D9),'V06 Calend 01'!J9,0))</f>
        <v>0</v>
      </c>
      <c r="EL9" s="2">
        <f>((IF((130='V06 Calend 01'!C9),('V06 Calend 01'!F9+'V06 Calend 01'!G9),0)+IF(AND(('V06 Calend 01'!E9&gt;0),(130&gt;'V06 Calend 01'!C9),(130&lt;'V06 Calend 01'!D9),(MOD((130-'V06 Calend 01'!C9),6)=0),(((130-'V06 Calend 01'!C9)/6)&lt;='V06 Calend 01'!E9)),IF((130=('V06 Calend 01'!C9+(6*'V06 Calend 01'!E9))),('V06 Calend 01'!H9-('V06 Calend 01'!I9*('V06 Calend 01'!E9-1))),'V06 Calend 01'!I9),0))+IF((130='V06 Calend 01'!D9),'V06 Calend 01'!J9,0))</f>
        <v>0</v>
      </c>
      <c r="EM9" s="2">
        <f>((IF((131='V06 Calend 01'!C9),('V06 Calend 01'!F9+'V06 Calend 01'!G9),0)+IF(AND(('V06 Calend 01'!E9&gt;0),(131&gt;'V06 Calend 01'!C9),(131&lt;'V06 Calend 01'!D9),(MOD((131-'V06 Calend 01'!C9),6)=0),(((131-'V06 Calend 01'!C9)/6)&lt;='V06 Calend 01'!E9)),IF((131=('V06 Calend 01'!C9+(6*'V06 Calend 01'!E9))),('V06 Calend 01'!H9-('V06 Calend 01'!I9*('V06 Calend 01'!E9-1))),'V06 Calend 01'!I9),0))+IF((131='V06 Calend 01'!D9),'V06 Calend 01'!J9,0))</f>
        <v>0</v>
      </c>
      <c r="EN9" s="2">
        <f>((IF((132='V06 Calend 01'!C9),('V06 Calend 01'!F9+'V06 Calend 01'!G9),0)+IF(AND(('V06 Calend 01'!E9&gt;0),(132&gt;'V06 Calend 01'!C9),(132&lt;'V06 Calend 01'!D9),(MOD((132-'V06 Calend 01'!C9),6)=0),(((132-'V06 Calend 01'!C9)/6)&lt;='V06 Calend 01'!E9)),IF((132=('V06 Calend 01'!C9+(6*'V06 Calend 01'!E9))),('V06 Calend 01'!H9-('V06 Calend 01'!I9*('V06 Calend 01'!E9-1))),'V06 Calend 01'!I9),0))+IF((132='V06 Calend 01'!D9),'V06 Calend 01'!J9,0))</f>
        <v>0</v>
      </c>
      <c r="EO9" s="2">
        <f>((IF((133='V06 Calend 01'!C9),('V06 Calend 01'!F9+'V06 Calend 01'!G9),0)+IF(AND(('V06 Calend 01'!E9&gt;0),(133&gt;'V06 Calend 01'!C9),(133&lt;'V06 Calend 01'!D9),(MOD((133-'V06 Calend 01'!C9),6)=0),(((133-'V06 Calend 01'!C9)/6)&lt;='V06 Calend 01'!E9)),IF((133=('V06 Calend 01'!C9+(6*'V06 Calend 01'!E9))),('V06 Calend 01'!H9-('V06 Calend 01'!I9*('V06 Calend 01'!E9-1))),'V06 Calend 01'!I9),0))+IF((133='V06 Calend 01'!D9),'V06 Calend 01'!J9,0))</f>
        <v>0</v>
      </c>
      <c r="EP9" s="2">
        <f>((IF((134='V06 Calend 01'!C9),('V06 Calend 01'!F9+'V06 Calend 01'!G9),0)+IF(AND(('V06 Calend 01'!E9&gt;0),(134&gt;'V06 Calend 01'!C9),(134&lt;'V06 Calend 01'!D9),(MOD((134-'V06 Calend 01'!C9),6)=0),(((134-'V06 Calend 01'!C9)/6)&lt;='V06 Calend 01'!E9)),IF((134=('V06 Calend 01'!C9+(6*'V06 Calend 01'!E9))),('V06 Calend 01'!H9-('V06 Calend 01'!I9*('V06 Calend 01'!E9-1))),'V06 Calend 01'!I9),0))+IF((134='V06 Calend 01'!D9),'V06 Calend 01'!J9,0))</f>
        <v>0</v>
      </c>
      <c r="EQ9" s="2">
        <f>((IF((135='V06 Calend 01'!C9),('V06 Calend 01'!F9+'V06 Calend 01'!G9),0)+IF(AND(('V06 Calend 01'!E9&gt;0),(135&gt;'V06 Calend 01'!C9),(135&lt;'V06 Calend 01'!D9),(MOD((135-'V06 Calend 01'!C9),6)=0),(((135-'V06 Calend 01'!C9)/6)&lt;='V06 Calend 01'!E9)),IF((135=('V06 Calend 01'!C9+(6*'V06 Calend 01'!E9))),('V06 Calend 01'!H9-('V06 Calend 01'!I9*('V06 Calend 01'!E9-1))),'V06 Calend 01'!I9),0))+IF((135='V06 Calend 01'!D9),'V06 Calend 01'!J9,0))</f>
        <v>0</v>
      </c>
      <c r="ER9" s="2">
        <f>((IF((136='V06 Calend 01'!C9),('V06 Calend 01'!F9+'V06 Calend 01'!G9),0)+IF(AND(('V06 Calend 01'!E9&gt;0),(136&gt;'V06 Calend 01'!C9),(136&lt;'V06 Calend 01'!D9),(MOD((136-'V06 Calend 01'!C9),6)=0),(((136-'V06 Calend 01'!C9)/6)&lt;='V06 Calend 01'!E9)),IF((136=('V06 Calend 01'!C9+(6*'V06 Calend 01'!E9))),('V06 Calend 01'!H9-('V06 Calend 01'!I9*('V06 Calend 01'!E9-1))),'V06 Calend 01'!I9),0))+IF((136='V06 Calend 01'!D9),'V06 Calend 01'!J9,0))</f>
        <v>0</v>
      </c>
      <c r="ES9" s="2">
        <f>((IF((137='V06 Calend 01'!C9),('V06 Calend 01'!F9+'V06 Calend 01'!G9),0)+IF(AND(('V06 Calend 01'!E9&gt;0),(137&gt;'V06 Calend 01'!C9),(137&lt;'V06 Calend 01'!D9),(MOD((137-'V06 Calend 01'!C9),6)=0),(((137-'V06 Calend 01'!C9)/6)&lt;='V06 Calend 01'!E9)),IF((137=('V06 Calend 01'!C9+(6*'V06 Calend 01'!E9))),('V06 Calend 01'!H9-('V06 Calend 01'!I9*('V06 Calend 01'!E9-1))),'V06 Calend 01'!I9),0))+IF((137='V06 Calend 01'!D9),'V06 Calend 01'!J9,0))</f>
        <v>0</v>
      </c>
      <c r="ET9" s="2">
        <f>((IF((138='V06 Calend 01'!C9),('V06 Calend 01'!F9+'V06 Calend 01'!G9),0)+IF(AND(('V06 Calend 01'!E9&gt;0),(138&gt;'V06 Calend 01'!C9),(138&lt;'V06 Calend 01'!D9),(MOD((138-'V06 Calend 01'!C9),6)=0),(((138-'V06 Calend 01'!C9)/6)&lt;='V06 Calend 01'!E9)),IF((138=('V06 Calend 01'!C9+(6*'V06 Calend 01'!E9))),('V06 Calend 01'!H9-('V06 Calend 01'!I9*('V06 Calend 01'!E9-1))),'V06 Calend 01'!I9),0))+IF((138='V06 Calend 01'!D9),'V06 Calend 01'!J9,0))</f>
        <v>0</v>
      </c>
      <c r="EU9" s="2">
        <f>((IF((139='V06 Calend 01'!C9),('V06 Calend 01'!F9+'V06 Calend 01'!G9),0)+IF(AND(('V06 Calend 01'!E9&gt;0),(139&gt;'V06 Calend 01'!C9),(139&lt;'V06 Calend 01'!D9),(MOD((139-'V06 Calend 01'!C9),6)=0),(((139-'V06 Calend 01'!C9)/6)&lt;='V06 Calend 01'!E9)),IF((139=('V06 Calend 01'!C9+(6*'V06 Calend 01'!E9))),('V06 Calend 01'!H9-('V06 Calend 01'!I9*('V06 Calend 01'!E9-1))),'V06 Calend 01'!I9),0))+IF((139='V06 Calend 01'!D9),'V06 Calend 01'!J9,0))</f>
        <v>0</v>
      </c>
      <c r="EV9" s="2">
        <f>((IF((140='V06 Calend 01'!C9),('V06 Calend 01'!F9+'V06 Calend 01'!G9),0)+IF(AND(('V06 Calend 01'!E9&gt;0),(140&gt;'V06 Calend 01'!C9),(140&lt;'V06 Calend 01'!D9),(MOD((140-'V06 Calend 01'!C9),6)=0),(((140-'V06 Calend 01'!C9)/6)&lt;='V06 Calend 01'!E9)),IF((140=('V06 Calend 01'!C9+(6*'V06 Calend 01'!E9))),('V06 Calend 01'!H9-('V06 Calend 01'!I9*('V06 Calend 01'!E9-1))),'V06 Calend 01'!I9),0))+IF((140='V06 Calend 01'!D9),'V06 Calend 01'!J9,0))</f>
        <v>0</v>
      </c>
      <c r="EW9" s="2">
        <f>((IF((141='V06 Calend 01'!C9),('V06 Calend 01'!F9+'V06 Calend 01'!G9),0)+IF(AND(('V06 Calend 01'!E9&gt;0),(141&gt;'V06 Calend 01'!C9),(141&lt;'V06 Calend 01'!D9),(MOD((141-'V06 Calend 01'!C9),6)=0),(((141-'V06 Calend 01'!C9)/6)&lt;='V06 Calend 01'!E9)),IF((141=('V06 Calend 01'!C9+(6*'V06 Calend 01'!E9))),('V06 Calend 01'!H9-('V06 Calend 01'!I9*('V06 Calend 01'!E9-1))),'V06 Calend 01'!I9),0))+IF((141='V06 Calend 01'!D9),'V06 Calend 01'!J9,0))</f>
        <v>0</v>
      </c>
      <c r="EX9" s="2">
        <f>((IF((142='V06 Calend 01'!C9),('V06 Calend 01'!F9+'V06 Calend 01'!G9),0)+IF(AND(('V06 Calend 01'!E9&gt;0),(142&gt;'V06 Calend 01'!C9),(142&lt;'V06 Calend 01'!D9),(MOD((142-'V06 Calend 01'!C9),6)=0),(((142-'V06 Calend 01'!C9)/6)&lt;='V06 Calend 01'!E9)),IF((142=('V06 Calend 01'!C9+(6*'V06 Calend 01'!E9))),('V06 Calend 01'!H9-('V06 Calend 01'!I9*('V06 Calend 01'!E9-1))),'V06 Calend 01'!I9),0))+IF((142='V06 Calend 01'!D9),'V06 Calend 01'!J9,0))</f>
        <v>0</v>
      </c>
      <c r="EY9" s="2">
        <f>((IF((143='V06 Calend 01'!C9),('V06 Calend 01'!F9+'V06 Calend 01'!G9),0)+IF(AND(('V06 Calend 01'!E9&gt;0),(143&gt;'V06 Calend 01'!C9),(143&lt;'V06 Calend 01'!D9),(MOD((143-'V06 Calend 01'!C9),6)=0),(((143-'V06 Calend 01'!C9)/6)&lt;='V06 Calend 01'!E9)),IF((143=('V06 Calend 01'!C9+(6*'V06 Calend 01'!E9))),('V06 Calend 01'!H9-('V06 Calend 01'!I9*('V06 Calend 01'!E9-1))),'V06 Calend 01'!I9),0))+IF((143='V06 Calend 01'!D9),'V06 Calend 01'!J9,0))</f>
        <v>0</v>
      </c>
      <c r="EZ9" s="2">
        <f>((IF((144='V06 Calend 01'!C9),('V06 Calend 01'!F9+'V06 Calend 01'!G9),0)+IF(AND(('V06 Calend 01'!E9&gt;0),(144&gt;'V06 Calend 01'!C9),(144&lt;'V06 Calend 01'!D9),(MOD((144-'V06 Calend 01'!C9),6)=0),(((144-'V06 Calend 01'!C9)/6)&lt;='V06 Calend 01'!E9)),IF((144=('V06 Calend 01'!C9+(6*'V06 Calend 01'!E9))),('V06 Calend 01'!H9-('V06 Calend 01'!I9*('V06 Calend 01'!E9-1))),'V06 Calend 01'!I9),0))+IF((144='V06 Calend 01'!D9),'V06 Calend 01'!J9,0))</f>
        <v>0</v>
      </c>
      <c r="FA9" s="2">
        <f>((IF((145='V06 Calend 01'!C9),('V06 Calend 01'!F9+'V06 Calend 01'!G9),0)+IF(AND(('V06 Calend 01'!E9&gt;0),(145&gt;'V06 Calend 01'!C9),(145&lt;'V06 Calend 01'!D9),(MOD((145-'V06 Calend 01'!C9),6)=0),(((145-'V06 Calend 01'!C9)/6)&lt;='V06 Calend 01'!E9)),IF((145=('V06 Calend 01'!C9+(6*'V06 Calend 01'!E9))),('V06 Calend 01'!H9-('V06 Calend 01'!I9*('V06 Calend 01'!E9-1))),'V06 Calend 01'!I9),0))+IF((145='V06 Calend 01'!D9),'V06 Calend 01'!J9,0))</f>
        <v>0</v>
      </c>
      <c r="FB9" s="2">
        <f>((IF((146='V06 Calend 01'!C9),('V06 Calend 01'!F9+'V06 Calend 01'!G9),0)+IF(AND(('V06 Calend 01'!E9&gt;0),(146&gt;'V06 Calend 01'!C9),(146&lt;'V06 Calend 01'!D9),(MOD((146-'V06 Calend 01'!C9),6)=0),(((146-'V06 Calend 01'!C9)/6)&lt;='V06 Calend 01'!E9)),IF((146=('V06 Calend 01'!C9+(6*'V06 Calend 01'!E9))),('V06 Calend 01'!H9-('V06 Calend 01'!I9*('V06 Calend 01'!E9-1))),'V06 Calend 01'!I9),0))+IF((146='V06 Calend 01'!D9),'V06 Calend 01'!J9,0))</f>
        <v>0</v>
      </c>
      <c r="FC9" s="2">
        <f>((IF((147='V06 Calend 01'!C9),('V06 Calend 01'!F9+'V06 Calend 01'!G9),0)+IF(AND(('V06 Calend 01'!E9&gt;0),(147&gt;'V06 Calend 01'!C9),(147&lt;'V06 Calend 01'!D9),(MOD((147-'V06 Calend 01'!C9),6)=0),(((147-'V06 Calend 01'!C9)/6)&lt;='V06 Calend 01'!E9)),IF((147=('V06 Calend 01'!C9+(6*'V06 Calend 01'!E9))),('V06 Calend 01'!H9-('V06 Calend 01'!I9*('V06 Calend 01'!E9-1))),'V06 Calend 01'!I9),0))+IF((147='V06 Calend 01'!D9),'V06 Calend 01'!J9,0))</f>
        <v>0</v>
      </c>
      <c r="FD9" s="2">
        <f>((IF((148='V06 Calend 01'!C9),('V06 Calend 01'!F9+'V06 Calend 01'!G9),0)+IF(AND(('V06 Calend 01'!E9&gt;0),(148&gt;'V06 Calend 01'!C9),(148&lt;'V06 Calend 01'!D9),(MOD((148-'V06 Calend 01'!C9),6)=0),(((148-'V06 Calend 01'!C9)/6)&lt;='V06 Calend 01'!E9)),IF((148=('V06 Calend 01'!C9+(6*'V06 Calend 01'!E9))),('V06 Calend 01'!H9-('V06 Calend 01'!I9*('V06 Calend 01'!E9-1))),'V06 Calend 01'!I9),0))+IF((148='V06 Calend 01'!D9),'V06 Calend 01'!J9,0))</f>
        <v>0</v>
      </c>
      <c r="FE9" s="2">
        <f>((IF((149='V06 Calend 01'!C9),('V06 Calend 01'!F9+'V06 Calend 01'!G9),0)+IF(AND(('V06 Calend 01'!E9&gt;0),(149&gt;'V06 Calend 01'!C9),(149&lt;'V06 Calend 01'!D9),(MOD((149-'V06 Calend 01'!C9),6)=0),(((149-'V06 Calend 01'!C9)/6)&lt;='V06 Calend 01'!E9)),IF((149=('V06 Calend 01'!C9+(6*'V06 Calend 01'!E9))),('V06 Calend 01'!H9-('V06 Calend 01'!I9*('V06 Calend 01'!E9-1))),'V06 Calend 01'!I9),0))+IF((149='V06 Calend 01'!D9),'V06 Calend 01'!J9,0))</f>
        <v>0</v>
      </c>
      <c r="FF9" s="2">
        <f>((IF((150='V06 Calend 01'!C9),('V06 Calend 01'!F9+'V06 Calend 01'!G9),0)+IF(AND(('V06 Calend 01'!E9&gt;0),(150&gt;'V06 Calend 01'!C9),(150&lt;'V06 Calend 01'!D9),(MOD((150-'V06 Calend 01'!C9),6)=0),(((150-'V06 Calend 01'!C9)/6)&lt;='V06 Calend 01'!E9)),IF((150=('V06 Calend 01'!C9+(6*'V06 Calend 01'!E9))),('V06 Calend 01'!H9-('V06 Calend 01'!I9*('V06 Calend 01'!E9-1))),'V06 Calend 01'!I9),0))+IF((150='V06 Calend 01'!D9),'V06 Calend 01'!J9,0))</f>
        <v>0</v>
      </c>
      <c r="FG9" s="2">
        <f>((IF((151='V06 Calend 01'!C9),('V06 Calend 01'!F9+'V06 Calend 01'!G9),0)+IF(AND(('V06 Calend 01'!E9&gt;0),(151&gt;'V06 Calend 01'!C9),(151&lt;'V06 Calend 01'!D9),(MOD((151-'V06 Calend 01'!C9),6)=0),(((151-'V06 Calend 01'!C9)/6)&lt;='V06 Calend 01'!E9)),IF((151=('V06 Calend 01'!C9+(6*'V06 Calend 01'!E9))),('V06 Calend 01'!H9-('V06 Calend 01'!I9*('V06 Calend 01'!E9-1))),'V06 Calend 01'!I9),0))+IF((151='V06 Calend 01'!D9),'V06 Calend 01'!J9,0))</f>
        <v>0</v>
      </c>
      <c r="FH9" s="2">
        <f>((IF((152='V06 Calend 01'!C9),('V06 Calend 01'!F9+'V06 Calend 01'!G9),0)+IF(AND(('V06 Calend 01'!E9&gt;0),(152&gt;'V06 Calend 01'!C9),(152&lt;'V06 Calend 01'!D9),(MOD((152-'V06 Calend 01'!C9),6)=0),(((152-'V06 Calend 01'!C9)/6)&lt;='V06 Calend 01'!E9)),IF((152=('V06 Calend 01'!C9+(6*'V06 Calend 01'!E9))),('V06 Calend 01'!H9-('V06 Calend 01'!I9*('V06 Calend 01'!E9-1))),'V06 Calend 01'!I9),0))+IF((152='V06 Calend 01'!D9),'V06 Calend 01'!J9,0))</f>
        <v>0</v>
      </c>
      <c r="FI9" s="2">
        <f>((IF((153='V06 Calend 01'!C9),('V06 Calend 01'!F9+'V06 Calend 01'!G9),0)+IF(AND(('V06 Calend 01'!E9&gt;0),(153&gt;'V06 Calend 01'!C9),(153&lt;'V06 Calend 01'!D9),(MOD((153-'V06 Calend 01'!C9),6)=0),(((153-'V06 Calend 01'!C9)/6)&lt;='V06 Calend 01'!E9)),IF((153=('V06 Calend 01'!C9+(6*'V06 Calend 01'!E9))),('V06 Calend 01'!H9-('V06 Calend 01'!I9*('V06 Calend 01'!E9-1))),'V06 Calend 01'!I9),0))+IF((153='V06 Calend 01'!D9),'V06 Calend 01'!J9,0))</f>
        <v>0</v>
      </c>
      <c r="FJ9" s="2">
        <f>((IF((154='V06 Calend 01'!C9),('V06 Calend 01'!F9+'V06 Calend 01'!G9),0)+IF(AND(('V06 Calend 01'!E9&gt;0),(154&gt;'V06 Calend 01'!C9),(154&lt;'V06 Calend 01'!D9),(MOD((154-'V06 Calend 01'!C9),6)=0),(((154-'V06 Calend 01'!C9)/6)&lt;='V06 Calend 01'!E9)),IF((154=('V06 Calend 01'!C9+(6*'V06 Calend 01'!E9))),('V06 Calend 01'!H9-('V06 Calend 01'!I9*('V06 Calend 01'!E9-1))),'V06 Calend 01'!I9),0))+IF((154='V06 Calend 01'!D9),'V06 Calend 01'!J9,0))</f>
        <v>0</v>
      </c>
      <c r="FK9" s="2">
        <f>((IF((155='V06 Calend 01'!C9),('V06 Calend 01'!F9+'V06 Calend 01'!G9),0)+IF(AND(('V06 Calend 01'!E9&gt;0),(155&gt;'V06 Calend 01'!C9),(155&lt;'V06 Calend 01'!D9),(MOD((155-'V06 Calend 01'!C9),6)=0),(((155-'V06 Calend 01'!C9)/6)&lt;='V06 Calend 01'!E9)),IF((155=('V06 Calend 01'!C9+(6*'V06 Calend 01'!E9))),('V06 Calend 01'!H9-('V06 Calend 01'!I9*('V06 Calend 01'!E9-1))),'V06 Calend 01'!I9),0))+IF((155='V06 Calend 01'!D9),'V06 Calend 01'!J9,0))</f>
        <v>0</v>
      </c>
      <c r="FL9" s="2">
        <f>((IF((156='V06 Calend 01'!C9),('V06 Calend 01'!F9+'V06 Calend 01'!G9),0)+IF(AND(('V06 Calend 01'!E9&gt;0),(156&gt;'V06 Calend 01'!C9),(156&lt;'V06 Calend 01'!D9),(MOD((156-'V06 Calend 01'!C9),6)=0),(((156-'V06 Calend 01'!C9)/6)&lt;='V06 Calend 01'!E9)),IF((156=('V06 Calend 01'!C9+(6*'V06 Calend 01'!E9))),('V06 Calend 01'!H9-('V06 Calend 01'!I9*('V06 Calend 01'!E9-1))),'V06 Calend 01'!I9),0))+IF((156='V06 Calend 01'!D9),'V06 Calend 01'!J9,0))</f>
        <v>0</v>
      </c>
      <c r="FM9" s="2">
        <f>((IF((157='V06 Calend 01'!C9),('V06 Calend 01'!F9+'V06 Calend 01'!G9),0)+IF(AND(('V06 Calend 01'!E9&gt;0),(157&gt;'V06 Calend 01'!C9),(157&lt;'V06 Calend 01'!D9),(MOD((157-'V06 Calend 01'!C9),6)=0),(((157-'V06 Calend 01'!C9)/6)&lt;='V06 Calend 01'!E9)),IF((157=('V06 Calend 01'!C9+(6*'V06 Calend 01'!E9))),('V06 Calend 01'!H9-('V06 Calend 01'!I9*('V06 Calend 01'!E9-1))),'V06 Calend 01'!I9),0))+IF((157='V06 Calend 01'!D9),'V06 Calend 01'!J9,0))</f>
        <v>0</v>
      </c>
      <c r="FN9" s="2">
        <f>((IF((158='V06 Calend 01'!C9),('V06 Calend 01'!F9+'V06 Calend 01'!G9),0)+IF(AND(('V06 Calend 01'!E9&gt;0),(158&gt;'V06 Calend 01'!C9),(158&lt;'V06 Calend 01'!D9),(MOD((158-'V06 Calend 01'!C9),6)=0),(((158-'V06 Calend 01'!C9)/6)&lt;='V06 Calend 01'!E9)),IF((158=('V06 Calend 01'!C9+(6*'V06 Calend 01'!E9))),('V06 Calend 01'!H9-('V06 Calend 01'!I9*('V06 Calend 01'!E9-1))),'V06 Calend 01'!I9),0))+IF((158='V06 Calend 01'!D9),'V06 Calend 01'!J9,0))</f>
        <v>0</v>
      </c>
      <c r="FO9" s="2">
        <f>((IF((159='V06 Calend 01'!C9),('V06 Calend 01'!F9+'V06 Calend 01'!G9),0)+IF(AND(('V06 Calend 01'!E9&gt;0),(159&gt;'V06 Calend 01'!C9),(159&lt;'V06 Calend 01'!D9),(MOD((159-'V06 Calend 01'!C9),6)=0),(((159-'V06 Calend 01'!C9)/6)&lt;='V06 Calend 01'!E9)),IF((159=('V06 Calend 01'!C9+(6*'V06 Calend 01'!E9))),('V06 Calend 01'!H9-('V06 Calend 01'!I9*('V06 Calend 01'!E9-1))),'V06 Calend 01'!I9),0))+IF((159='V06 Calend 01'!D9),'V06 Calend 01'!J9,0))</f>
        <v>0</v>
      </c>
      <c r="FP9" s="2">
        <f>((IF((160='V06 Calend 01'!C9),('V06 Calend 01'!F9+'V06 Calend 01'!G9),0)+IF(AND(('V06 Calend 01'!E9&gt;0),(160&gt;'V06 Calend 01'!C9),(160&lt;'V06 Calend 01'!D9),(MOD((160-'V06 Calend 01'!C9),6)=0),(((160-'V06 Calend 01'!C9)/6)&lt;='V06 Calend 01'!E9)),IF((160=('V06 Calend 01'!C9+(6*'V06 Calend 01'!E9))),('V06 Calend 01'!H9-('V06 Calend 01'!I9*('V06 Calend 01'!E9-1))),'V06 Calend 01'!I9),0))+IF((160='V06 Calend 01'!D9),'V06 Calend 01'!J9,0))</f>
        <v>0</v>
      </c>
      <c r="FQ9" s="2">
        <f>((IF((161='V06 Calend 01'!C9),('V06 Calend 01'!F9+'V06 Calend 01'!G9),0)+IF(AND(('V06 Calend 01'!E9&gt;0),(161&gt;'V06 Calend 01'!C9),(161&lt;'V06 Calend 01'!D9),(MOD((161-'V06 Calend 01'!C9),6)=0),(((161-'V06 Calend 01'!C9)/6)&lt;='V06 Calend 01'!E9)),IF((161=('V06 Calend 01'!C9+(6*'V06 Calend 01'!E9))),('V06 Calend 01'!H9-('V06 Calend 01'!I9*('V06 Calend 01'!E9-1))),'V06 Calend 01'!I9),0))+IF((161='V06 Calend 01'!D9),'V06 Calend 01'!J9,0))</f>
        <v>0</v>
      </c>
      <c r="FR9" s="2">
        <f>((IF((162='V06 Calend 01'!C9),('V06 Calend 01'!F9+'V06 Calend 01'!G9),0)+IF(AND(('V06 Calend 01'!E9&gt;0),(162&gt;'V06 Calend 01'!C9),(162&lt;'V06 Calend 01'!D9),(MOD((162-'V06 Calend 01'!C9),6)=0),(((162-'V06 Calend 01'!C9)/6)&lt;='V06 Calend 01'!E9)),IF((162=('V06 Calend 01'!C9+(6*'V06 Calend 01'!E9))),('V06 Calend 01'!H9-('V06 Calend 01'!I9*('V06 Calend 01'!E9-1))),'V06 Calend 01'!I9),0))+IF((162='V06 Calend 01'!D9),'V06 Calend 01'!J9,0))</f>
        <v>0</v>
      </c>
      <c r="FS9" s="2">
        <f>((IF((163='V06 Calend 01'!C9),('V06 Calend 01'!F9+'V06 Calend 01'!G9),0)+IF(AND(('V06 Calend 01'!E9&gt;0),(163&gt;'V06 Calend 01'!C9),(163&lt;'V06 Calend 01'!D9),(MOD((163-'V06 Calend 01'!C9),6)=0),(((163-'V06 Calend 01'!C9)/6)&lt;='V06 Calend 01'!E9)),IF((163=('V06 Calend 01'!C9+(6*'V06 Calend 01'!E9))),('V06 Calend 01'!H9-('V06 Calend 01'!I9*('V06 Calend 01'!E9-1))),'V06 Calend 01'!I9),0))+IF((163='V06 Calend 01'!D9),'V06 Calend 01'!J9,0))</f>
        <v>0</v>
      </c>
      <c r="FT9" s="2">
        <f>((IF((164='V06 Calend 01'!C9),('V06 Calend 01'!F9+'V06 Calend 01'!G9),0)+IF(AND(('V06 Calend 01'!E9&gt;0),(164&gt;'V06 Calend 01'!C9),(164&lt;'V06 Calend 01'!D9),(MOD((164-'V06 Calend 01'!C9),6)=0),(((164-'V06 Calend 01'!C9)/6)&lt;='V06 Calend 01'!E9)),IF((164=('V06 Calend 01'!C9+(6*'V06 Calend 01'!E9))),('V06 Calend 01'!H9-('V06 Calend 01'!I9*('V06 Calend 01'!E9-1))),'V06 Calend 01'!I9),0))+IF((164='V06 Calend 01'!D9),'V06 Calend 01'!J9,0))</f>
        <v>0</v>
      </c>
      <c r="FU9" s="2">
        <f>((IF((165='V06 Calend 01'!C9),('V06 Calend 01'!F9+'V06 Calend 01'!G9),0)+IF(AND(('V06 Calend 01'!E9&gt;0),(165&gt;'V06 Calend 01'!C9),(165&lt;'V06 Calend 01'!D9),(MOD((165-'V06 Calend 01'!C9),6)=0),(((165-'V06 Calend 01'!C9)/6)&lt;='V06 Calend 01'!E9)),IF((165=('V06 Calend 01'!C9+(6*'V06 Calend 01'!E9))),('V06 Calend 01'!H9-('V06 Calend 01'!I9*('V06 Calend 01'!E9-1))),'V06 Calend 01'!I9),0))+IF((165='V06 Calend 01'!D9),'V06 Calend 01'!J9,0))</f>
        <v>0</v>
      </c>
      <c r="FV9" s="2">
        <f>((IF((166='V06 Calend 01'!C9),('V06 Calend 01'!F9+'V06 Calend 01'!G9),0)+IF(AND(('V06 Calend 01'!E9&gt;0),(166&gt;'V06 Calend 01'!C9),(166&lt;'V06 Calend 01'!D9),(MOD((166-'V06 Calend 01'!C9),6)=0),(((166-'V06 Calend 01'!C9)/6)&lt;='V06 Calend 01'!E9)),IF((166=('V06 Calend 01'!C9+(6*'V06 Calend 01'!E9))),('V06 Calend 01'!H9-('V06 Calend 01'!I9*('V06 Calend 01'!E9-1))),'V06 Calend 01'!I9),0))+IF((166='V06 Calend 01'!D9),'V06 Calend 01'!J9,0))</f>
        <v>0</v>
      </c>
      <c r="FW9" s="2">
        <f>((IF((167='V06 Calend 01'!C9),('V06 Calend 01'!F9+'V06 Calend 01'!G9),0)+IF(AND(('V06 Calend 01'!E9&gt;0),(167&gt;'V06 Calend 01'!C9),(167&lt;'V06 Calend 01'!D9),(MOD((167-'V06 Calend 01'!C9),6)=0),(((167-'V06 Calend 01'!C9)/6)&lt;='V06 Calend 01'!E9)),IF((167=('V06 Calend 01'!C9+(6*'V06 Calend 01'!E9))),('V06 Calend 01'!H9-('V06 Calend 01'!I9*('V06 Calend 01'!E9-1))),'V06 Calend 01'!I9),0))+IF((167='V06 Calend 01'!D9),'V06 Calend 01'!J9,0))</f>
        <v>0</v>
      </c>
      <c r="FX9" s="2">
        <f>((IF((168='V06 Calend 01'!C9),('V06 Calend 01'!F9+'V06 Calend 01'!G9),0)+IF(AND(('V06 Calend 01'!E9&gt;0),(168&gt;'V06 Calend 01'!C9),(168&lt;'V06 Calend 01'!D9),(MOD((168-'V06 Calend 01'!C9),6)=0),(((168-'V06 Calend 01'!C9)/6)&lt;='V06 Calend 01'!E9)),IF((168=('V06 Calend 01'!C9+(6*'V06 Calend 01'!E9))),('V06 Calend 01'!H9-('V06 Calend 01'!I9*('V06 Calend 01'!E9-1))),'V06 Calend 01'!I9),0))+IF((168='V06 Calend 01'!D9),'V06 Calend 01'!J9,0))</f>
        <v>0</v>
      </c>
      <c r="FY9" s="2">
        <f>((IF((169='V06 Calend 01'!C9),('V06 Calend 01'!F9+'V06 Calend 01'!G9),0)+IF(AND(('V06 Calend 01'!E9&gt;0),(169&gt;'V06 Calend 01'!C9),(169&lt;'V06 Calend 01'!D9),(MOD((169-'V06 Calend 01'!C9),6)=0),(((169-'V06 Calend 01'!C9)/6)&lt;='V06 Calend 01'!E9)),IF((169=('V06 Calend 01'!C9+(6*'V06 Calend 01'!E9))),('V06 Calend 01'!H9-('V06 Calend 01'!I9*('V06 Calend 01'!E9-1))),'V06 Calend 01'!I9),0))+IF((169='V06 Calend 01'!D9),'V06 Calend 01'!J9,0))</f>
        <v>0</v>
      </c>
      <c r="FZ9" s="2">
        <f>((IF((170='V06 Calend 01'!C9),('V06 Calend 01'!F9+'V06 Calend 01'!G9),0)+IF(AND(('V06 Calend 01'!E9&gt;0),(170&gt;'V06 Calend 01'!C9),(170&lt;'V06 Calend 01'!D9),(MOD((170-'V06 Calend 01'!C9),6)=0),(((170-'V06 Calend 01'!C9)/6)&lt;='V06 Calend 01'!E9)),IF((170=('V06 Calend 01'!C9+(6*'V06 Calend 01'!E9))),('V06 Calend 01'!H9-('V06 Calend 01'!I9*('V06 Calend 01'!E9-1))),'V06 Calend 01'!I9),0))+IF((170='V06 Calend 01'!D9),'V06 Calend 01'!J9,0))</f>
        <v>0</v>
      </c>
      <c r="GA9" s="2">
        <f>((IF((171='V06 Calend 01'!C9),('V06 Calend 01'!F9+'V06 Calend 01'!G9),0)+IF(AND(('V06 Calend 01'!E9&gt;0),(171&gt;'V06 Calend 01'!C9),(171&lt;'V06 Calend 01'!D9),(MOD((171-'V06 Calend 01'!C9),6)=0),(((171-'V06 Calend 01'!C9)/6)&lt;='V06 Calend 01'!E9)),IF((171=('V06 Calend 01'!C9+(6*'V06 Calend 01'!E9))),('V06 Calend 01'!H9-('V06 Calend 01'!I9*('V06 Calend 01'!E9-1))),'V06 Calend 01'!I9),0))+IF((171='V06 Calend 01'!D9),'V06 Calend 01'!J9,0))</f>
        <v>0</v>
      </c>
      <c r="GB9" s="2">
        <f>((IF((172='V06 Calend 01'!C9),('V06 Calend 01'!F9+'V06 Calend 01'!G9),0)+IF(AND(('V06 Calend 01'!E9&gt;0),(172&gt;'V06 Calend 01'!C9),(172&lt;'V06 Calend 01'!D9),(MOD((172-'V06 Calend 01'!C9),6)=0),(((172-'V06 Calend 01'!C9)/6)&lt;='V06 Calend 01'!E9)),IF((172=('V06 Calend 01'!C9+(6*'V06 Calend 01'!E9))),('V06 Calend 01'!H9-('V06 Calend 01'!I9*('V06 Calend 01'!E9-1))),'V06 Calend 01'!I9),0))+IF((172='V06 Calend 01'!D9),'V06 Calend 01'!J9,0))</f>
        <v>0</v>
      </c>
      <c r="GC9" s="2">
        <f>((IF((173='V06 Calend 01'!C9),('V06 Calend 01'!F9+'V06 Calend 01'!G9),0)+IF(AND(('V06 Calend 01'!E9&gt;0),(173&gt;'V06 Calend 01'!C9),(173&lt;'V06 Calend 01'!D9),(MOD((173-'V06 Calend 01'!C9),6)=0),(((173-'V06 Calend 01'!C9)/6)&lt;='V06 Calend 01'!E9)),IF((173=('V06 Calend 01'!C9+(6*'V06 Calend 01'!E9))),('V06 Calend 01'!H9-('V06 Calend 01'!I9*('V06 Calend 01'!E9-1))),'V06 Calend 01'!I9),0))+IF((173='V06 Calend 01'!D9),'V06 Calend 01'!J9,0))</f>
        <v>0</v>
      </c>
      <c r="GD9" s="2">
        <f>((IF((174='V06 Calend 01'!C9),('V06 Calend 01'!F9+'V06 Calend 01'!G9),0)+IF(AND(('V06 Calend 01'!E9&gt;0),(174&gt;'V06 Calend 01'!C9),(174&lt;'V06 Calend 01'!D9),(MOD((174-'V06 Calend 01'!C9),6)=0),(((174-'V06 Calend 01'!C9)/6)&lt;='V06 Calend 01'!E9)),IF((174=('V06 Calend 01'!C9+(6*'V06 Calend 01'!E9))),('V06 Calend 01'!H9-('V06 Calend 01'!I9*('V06 Calend 01'!E9-1))),'V06 Calend 01'!I9),0))+IF((174='V06 Calend 01'!D9),'V06 Calend 01'!J9,0))</f>
        <v>0</v>
      </c>
      <c r="GE9" s="2">
        <f>((IF((175='V06 Calend 01'!C9),('V06 Calend 01'!F9+'V06 Calend 01'!G9),0)+IF(AND(('V06 Calend 01'!E9&gt;0),(175&gt;'V06 Calend 01'!C9),(175&lt;'V06 Calend 01'!D9),(MOD((175-'V06 Calend 01'!C9),6)=0),(((175-'V06 Calend 01'!C9)/6)&lt;='V06 Calend 01'!E9)),IF((175=('V06 Calend 01'!C9+(6*'V06 Calend 01'!E9))),('V06 Calend 01'!H9-('V06 Calend 01'!I9*('V06 Calend 01'!E9-1))),'V06 Calend 01'!I9),0))+IF((175='V06 Calend 01'!D9),'V06 Calend 01'!J9,0))</f>
        <v>0</v>
      </c>
      <c r="GF9" s="2">
        <f>((IF((176='V06 Calend 01'!C9),('V06 Calend 01'!F9+'V06 Calend 01'!G9),0)+IF(AND(('V06 Calend 01'!E9&gt;0),(176&gt;'V06 Calend 01'!C9),(176&lt;'V06 Calend 01'!D9),(MOD((176-'V06 Calend 01'!C9),6)=0),(((176-'V06 Calend 01'!C9)/6)&lt;='V06 Calend 01'!E9)),IF((176=('V06 Calend 01'!C9+(6*'V06 Calend 01'!E9))),('V06 Calend 01'!H9-('V06 Calend 01'!I9*('V06 Calend 01'!E9-1))),'V06 Calend 01'!I9),0))+IF((176='V06 Calend 01'!D9),'V06 Calend 01'!J9,0))</f>
        <v>0</v>
      </c>
      <c r="GG9" s="2">
        <f>((IF((177='V06 Calend 01'!C9),('V06 Calend 01'!F9+'V06 Calend 01'!G9),0)+IF(AND(('V06 Calend 01'!E9&gt;0),(177&gt;'V06 Calend 01'!C9),(177&lt;'V06 Calend 01'!D9),(MOD((177-'V06 Calend 01'!C9),6)=0),(((177-'V06 Calend 01'!C9)/6)&lt;='V06 Calend 01'!E9)),IF((177=('V06 Calend 01'!C9+(6*'V06 Calend 01'!E9))),('V06 Calend 01'!H9-('V06 Calend 01'!I9*('V06 Calend 01'!E9-1))),'V06 Calend 01'!I9),0))+IF((177='V06 Calend 01'!D9),'V06 Calend 01'!J9,0))</f>
        <v>0</v>
      </c>
      <c r="GH9" s="2">
        <f>((IF((178='V06 Calend 01'!C9),('V06 Calend 01'!F9+'V06 Calend 01'!G9),0)+IF(AND(('V06 Calend 01'!E9&gt;0),(178&gt;'V06 Calend 01'!C9),(178&lt;'V06 Calend 01'!D9),(MOD((178-'V06 Calend 01'!C9),6)=0),(((178-'V06 Calend 01'!C9)/6)&lt;='V06 Calend 01'!E9)),IF((178=('V06 Calend 01'!C9+(6*'V06 Calend 01'!E9))),('V06 Calend 01'!H9-('V06 Calend 01'!I9*('V06 Calend 01'!E9-1))),'V06 Calend 01'!I9),0))+IF((178='V06 Calend 01'!D9),'V06 Calend 01'!J9,0))</f>
        <v>0</v>
      </c>
      <c r="GI9" s="2">
        <f>((IF((179='V06 Calend 01'!C9),('V06 Calend 01'!F9+'V06 Calend 01'!G9),0)+IF(AND(('V06 Calend 01'!E9&gt;0),(179&gt;'V06 Calend 01'!C9),(179&lt;'V06 Calend 01'!D9),(MOD((179-'V06 Calend 01'!C9),6)=0),(((179-'V06 Calend 01'!C9)/6)&lt;='V06 Calend 01'!E9)),IF((179=('V06 Calend 01'!C9+(6*'V06 Calend 01'!E9))),('V06 Calend 01'!H9-('V06 Calend 01'!I9*('V06 Calend 01'!E9-1))),'V06 Calend 01'!I9),0))+IF((179='V06 Calend 01'!D9),'V06 Calend 01'!J9,0))</f>
        <v>0</v>
      </c>
      <c r="GJ9" s="2">
        <f>((IF((180='V06 Calend 01'!C9),('V06 Calend 01'!F9+'V06 Calend 01'!G9),0)+IF(AND(('V06 Calend 01'!E9&gt;0),(180&gt;'V06 Calend 01'!C9),(180&lt;'V06 Calend 01'!D9),(MOD((180-'V06 Calend 01'!C9),6)=0),(((180-'V06 Calend 01'!C9)/6)&lt;='V06 Calend 01'!E9)),IF((180=('V06 Calend 01'!C9+(6*'V06 Calend 01'!E9))),('V06 Calend 01'!H9-('V06 Calend 01'!I9*('V06 Calend 01'!E9-1))),'V06 Calend 01'!I9),0))+IF((180='V06 Calend 01'!D9),'V06 Calend 01'!J9,0))</f>
        <v>0</v>
      </c>
    </row>
    <row r="10" spans="1:192">
      <c r="A10" s="3" t="str">
        <f>'V06 Unidades'!$A$10</f>
        <v>206</v>
      </c>
      <c r="B10" s="2">
        <f>'V06 Unidades'!$H$10</f>
        <v>408250</v>
      </c>
      <c r="C10" s="4">
        <f>('V06 Unidades'!$I$10+'V06 Controlos'!$B$37)</f>
        <v>1</v>
      </c>
      <c r="D10" s="4">
        <f>IF(('V06 Controlos'!$B$38&gt;0),MAX(('V06 Unidades'!$L$10+'V06 Controlos'!$B$37),(30+'V06 Controlos'!$B$38)),('V06 Unidades'!$L$10+'V06 Controlos'!$B$37))</f>
        <v>30</v>
      </c>
      <c r="E10" s="4">
        <f>MAX(0,INT(((('V06 Calend 01'!D10-'V06 Calend 01'!C10)-1)/6)))</f>
        <v>4</v>
      </c>
      <c r="F10" s="2">
        <f>ROUND(('V06 Calend 01'!B10*0.05),2)</f>
        <v>20412.5</v>
      </c>
      <c r="G10" s="2">
        <f>ROUND(('V06 Calend 01'!B10*0.2),2)</f>
        <v>81650.0</v>
      </c>
      <c r="H10" s="2">
        <f>ROUND(('V06 Calend 01'!B10*0.55),2)</f>
        <v>224537.5</v>
      </c>
      <c r="I10" s="2">
        <f>ROUND(('V06 Calend 01'!H10/MAX(1,'V06 Calend 01'!E10)),2)</f>
        <v>56134.38</v>
      </c>
      <c r="J10" s="2">
        <f>((('V06 Calend 01'!B10-'V06 Calend 01'!F10)-'V06 Calend 01'!G10)-'V06 Calend 01'!H10)</f>
        <v>81650.0</v>
      </c>
      <c r="K10" s="2">
        <f>('V06 Calend 01'!B10*0.025)</f>
        <v>10206.25</v>
      </c>
      <c r="L10" t="s">
        <v>378</v>
      </c>
      <c r="M10" s="2">
        <f>((IF((1='V06 Calend 01'!C10),('V06 Calend 01'!F10+'V06 Calend 01'!G10),0)+IF(AND(('V06 Calend 01'!E10&gt;0),(1&gt;'V06 Calend 01'!C10),(1&lt;'V06 Calend 01'!D10),(MOD((1-'V06 Calend 01'!C10),6)=0),(((1-'V06 Calend 01'!C10)/6)&lt;='V06 Calend 01'!E10)),IF((1=('V06 Calend 01'!C10+(6*'V06 Calend 01'!E10))),('V06 Calend 01'!H10-('V06 Calend 01'!I10*('V06 Calend 01'!E10-1))),'V06 Calend 01'!I10),0))+IF((1='V06 Calend 01'!D10),'V06 Calend 01'!J10,0))</f>
        <v>102062.5</v>
      </c>
      <c r="N10" s="2">
        <f>((IF((2='V06 Calend 01'!C10),('V06 Calend 01'!F10+'V06 Calend 01'!G10),0)+IF(AND(('V06 Calend 01'!E10&gt;0),(2&gt;'V06 Calend 01'!C10),(2&lt;'V06 Calend 01'!D10),(MOD((2-'V06 Calend 01'!C10),6)=0),(((2-'V06 Calend 01'!C10)/6)&lt;='V06 Calend 01'!E10)),IF((2=('V06 Calend 01'!C10+(6*'V06 Calend 01'!E10))),('V06 Calend 01'!H10-('V06 Calend 01'!I10*('V06 Calend 01'!E10-1))),'V06 Calend 01'!I10),0))+IF((2='V06 Calend 01'!D10),'V06 Calend 01'!J10,0))</f>
        <v>0</v>
      </c>
      <c r="O10" s="2">
        <f>((IF((3='V06 Calend 01'!C10),('V06 Calend 01'!F10+'V06 Calend 01'!G10),0)+IF(AND(('V06 Calend 01'!E10&gt;0),(3&gt;'V06 Calend 01'!C10),(3&lt;'V06 Calend 01'!D10),(MOD((3-'V06 Calend 01'!C10),6)=0),(((3-'V06 Calend 01'!C10)/6)&lt;='V06 Calend 01'!E10)),IF((3=('V06 Calend 01'!C10+(6*'V06 Calend 01'!E10))),('V06 Calend 01'!H10-('V06 Calend 01'!I10*('V06 Calend 01'!E10-1))),'V06 Calend 01'!I10),0))+IF((3='V06 Calend 01'!D10),'V06 Calend 01'!J10,0))</f>
        <v>0</v>
      </c>
      <c r="P10" s="2">
        <f>((IF((4='V06 Calend 01'!C10),('V06 Calend 01'!F10+'V06 Calend 01'!G10),0)+IF(AND(('V06 Calend 01'!E10&gt;0),(4&gt;'V06 Calend 01'!C10),(4&lt;'V06 Calend 01'!D10),(MOD((4-'V06 Calend 01'!C10),6)=0),(((4-'V06 Calend 01'!C10)/6)&lt;='V06 Calend 01'!E10)),IF((4=('V06 Calend 01'!C10+(6*'V06 Calend 01'!E10))),('V06 Calend 01'!H10-('V06 Calend 01'!I10*('V06 Calend 01'!E10-1))),'V06 Calend 01'!I10),0))+IF((4='V06 Calend 01'!D10),'V06 Calend 01'!J10,0))</f>
        <v>0</v>
      </c>
      <c r="Q10" s="2">
        <f>((IF((5='V06 Calend 01'!C10),('V06 Calend 01'!F10+'V06 Calend 01'!G10),0)+IF(AND(('V06 Calend 01'!E10&gt;0),(5&gt;'V06 Calend 01'!C10),(5&lt;'V06 Calend 01'!D10),(MOD((5-'V06 Calend 01'!C10),6)=0),(((5-'V06 Calend 01'!C10)/6)&lt;='V06 Calend 01'!E10)),IF((5=('V06 Calend 01'!C10+(6*'V06 Calend 01'!E10))),('V06 Calend 01'!H10-('V06 Calend 01'!I10*('V06 Calend 01'!E10-1))),'V06 Calend 01'!I10),0))+IF((5='V06 Calend 01'!D10),'V06 Calend 01'!J10,0))</f>
        <v>0</v>
      </c>
      <c r="R10" s="2">
        <f>((IF((6='V06 Calend 01'!C10),('V06 Calend 01'!F10+'V06 Calend 01'!G10),0)+IF(AND(('V06 Calend 01'!E10&gt;0),(6&gt;'V06 Calend 01'!C10),(6&lt;'V06 Calend 01'!D10),(MOD((6-'V06 Calend 01'!C10),6)=0),(((6-'V06 Calend 01'!C10)/6)&lt;='V06 Calend 01'!E10)),IF((6=('V06 Calend 01'!C10+(6*'V06 Calend 01'!E10))),('V06 Calend 01'!H10-('V06 Calend 01'!I10*('V06 Calend 01'!E10-1))),'V06 Calend 01'!I10),0))+IF((6='V06 Calend 01'!D10),'V06 Calend 01'!J10,0))</f>
        <v>0</v>
      </c>
      <c r="S10" s="2">
        <f>((IF((7='V06 Calend 01'!C10),('V06 Calend 01'!F10+'V06 Calend 01'!G10),0)+IF(AND(('V06 Calend 01'!E10&gt;0),(7&gt;'V06 Calend 01'!C10),(7&lt;'V06 Calend 01'!D10),(MOD((7-'V06 Calend 01'!C10),6)=0),(((7-'V06 Calend 01'!C10)/6)&lt;='V06 Calend 01'!E10)),IF((7=('V06 Calend 01'!C10+(6*'V06 Calend 01'!E10))),('V06 Calend 01'!H10-('V06 Calend 01'!I10*('V06 Calend 01'!E10-1))),'V06 Calend 01'!I10),0))+IF((7='V06 Calend 01'!D10),'V06 Calend 01'!J10,0))</f>
        <v>56134.38</v>
      </c>
      <c r="T10" s="2">
        <f>((IF((8='V06 Calend 01'!C10),('V06 Calend 01'!F10+'V06 Calend 01'!G10),0)+IF(AND(('V06 Calend 01'!E10&gt;0),(8&gt;'V06 Calend 01'!C10),(8&lt;'V06 Calend 01'!D10),(MOD((8-'V06 Calend 01'!C10),6)=0),(((8-'V06 Calend 01'!C10)/6)&lt;='V06 Calend 01'!E10)),IF((8=('V06 Calend 01'!C10+(6*'V06 Calend 01'!E10))),('V06 Calend 01'!H10-('V06 Calend 01'!I10*('V06 Calend 01'!E10-1))),'V06 Calend 01'!I10),0))+IF((8='V06 Calend 01'!D10),'V06 Calend 01'!J10,0))</f>
        <v>0</v>
      </c>
      <c r="U10" s="2">
        <f>((IF((9='V06 Calend 01'!C10),('V06 Calend 01'!F10+'V06 Calend 01'!G10),0)+IF(AND(('V06 Calend 01'!E10&gt;0),(9&gt;'V06 Calend 01'!C10),(9&lt;'V06 Calend 01'!D10),(MOD((9-'V06 Calend 01'!C10),6)=0),(((9-'V06 Calend 01'!C10)/6)&lt;='V06 Calend 01'!E10)),IF((9=('V06 Calend 01'!C10+(6*'V06 Calend 01'!E10))),('V06 Calend 01'!H10-('V06 Calend 01'!I10*('V06 Calend 01'!E10-1))),'V06 Calend 01'!I10),0))+IF((9='V06 Calend 01'!D10),'V06 Calend 01'!J10,0))</f>
        <v>0</v>
      </c>
      <c r="V10" s="2">
        <f>((IF((10='V06 Calend 01'!C10),('V06 Calend 01'!F10+'V06 Calend 01'!G10),0)+IF(AND(('V06 Calend 01'!E10&gt;0),(10&gt;'V06 Calend 01'!C10),(10&lt;'V06 Calend 01'!D10),(MOD((10-'V06 Calend 01'!C10),6)=0),(((10-'V06 Calend 01'!C10)/6)&lt;='V06 Calend 01'!E10)),IF((10=('V06 Calend 01'!C10+(6*'V06 Calend 01'!E10))),('V06 Calend 01'!H10-('V06 Calend 01'!I10*('V06 Calend 01'!E10-1))),'V06 Calend 01'!I10),0))+IF((10='V06 Calend 01'!D10),'V06 Calend 01'!J10,0))</f>
        <v>0</v>
      </c>
      <c r="W10" s="2">
        <f>((IF((11='V06 Calend 01'!C10),('V06 Calend 01'!F10+'V06 Calend 01'!G10),0)+IF(AND(('V06 Calend 01'!E10&gt;0),(11&gt;'V06 Calend 01'!C10),(11&lt;'V06 Calend 01'!D10),(MOD((11-'V06 Calend 01'!C10),6)=0),(((11-'V06 Calend 01'!C10)/6)&lt;='V06 Calend 01'!E10)),IF((11=('V06 Calend 01'!C10+(6*'V06 Calend 01'!E10))),('V06 Calend 01'!H10-('V06 Calend 01'!I10*('V06 Calend 01'!E10-1))),'V06 Calend 01'!I10),0))+IF((11='V06 Calend 01'!D10),'V06 Calend 01'!J10,0))</f>
        <v>0</v>
      </c>
      <c r="X10" s="2">
        <f>((IF((12='V06 Calend 01'!C10),('V06 Calend 01'!F10+'V06 Calend 01'!G10),0)+IF(AND(('V06 Calend 01'!E10&gt;0),(12&gt;'V06 Calend 01'!C10),(12&lt;'V06 Calend 01'!D10),(MOD((12-'V06 Calend 01'!C10),6)=0),(((12-'V06 Calend 01'!C10)/6)&lt;='V06 Calend 01'!E10)),IF((12=('V06 Calend 01'!C10+(6*'V06 Calend 01'!E10))),('V06 Calend 01'!H10-('V06 Calend 01'!I10*('V06 Calend 01'!E10-1))),'V06 Calend 01'!I10),0))+IF((12='V06 Calend 01'!D10),'V06 Calend 01'!J10,0))</f>
        <v>0</v>
      </c>
      <c r="Y10" s="2">
        <f>((IF((13='V06 Calend 01'!C10),('V06 Calend 01'!F10+'V06 Calend 01'!G10),0)+IF(AND(('V06 Calend 01'!E10&gt;0),(13&gt;'V06 Calend 01'!C10),(13&lt;'V06 Calend 01'!D10),(MOD((13-'V06 Calend 01'!C10),6)=0),(((13-'V06 Calend 01'!C10)/6)&lt;='V06 Calend 01'!E10)),IF((13=('V06 Calend 01'!C10+(6*'V06 Calend 01'!E10))),('V06 Calend 01'!H10-('V06 Calend 01'!I10*('V06 Calend 01'!E10-1))),'V06 Calend 01'!I10),0))+IF((13='V06 Calend 01'!D10),'V06 Calend 01'!J10,0))</f>
        <v>56134.38</v>
      </c>
      <c r="Z10" s="2">
        <f>((IF((14='V06 Calend 01'!C10),('V06 Calend 01'!F10+'V06 Calend 01'!G10),0)+IF(AND(('V06 Calend 01'!E10&gt;0),(14&gt;'V06 Calend 01'!C10),(14&lt;'V06 Calend 01'!D10),(MOD((14-'V06 Calend 01'!C10),6)=0),(((14-'V06 Calend 01'!C10)/6)&lt;='V06 Calend 01'!E10)),IF((14=('V06 Calend 01'!C10+(6*'V06 Calend 01'!E10))),('V06 Calend 01'!H10-('V06 Calend 01'!I10*('V06 Calend 01'!E10-1))),'V06 Calend 01'!I10),0))+IF((14='V06 Calend 01'!D10),'V06 Calend 01'!J10,0))</f>
        <v>0</v>
      </c>
      <c r="AA10" s="2">
        <f>((IF((15='V06 Calend 01'!C10),('V06 Calend 01'!F10+'V06 Calend 01'!G10),0)+IF(AND(('V06 Calend 01'!E10&gt;0),(15&gt;'V06 Calend 01'!C10),(15&lt;'V06 Calend 01'!D10),(MOD((15-'V06 Calend 01'!C10),6)=0),(((15-'V06 Calend 01'!C10)/6)&lt;='V06 Calend 01'!E10)),IF((15=('V06 Calend 01'!C10+(6*'V06 Calend 01'!E10))),('V06 Calend 01'!H10-('V06 Calend 01'!I10*('V06 Calend 01'!E10-1))),'V06 Calend 01'!I10),0))+IF((15='V06 Calend 01'!D10),'V06 Calend 01'!J10,0))</f>
        <v>0</v>
      </c>
      <c r="AB10" s="2">
        <f>((IF((16='V06 Calend 01'!C10),('V06 Calend 01'!F10+'V06 Calend 01'!G10),0)+IF(AND(('V06 Calend 01'!E10&gt;0),(16&gt;'V06 Calend 01'!C10),(16&lt;'V06 Calend 01'!D10),(MOD((16-'V06 Calend 01'!C10),6)=0),(((16-'V06 Calend 01'!C10)/6)&lt;='V06 Calend 01'!E10)),IF((16=('V06 Calend 01'!C10+(6*'V06 Calend 01'!E10))),('V06 Calend 01'!H10-('V06 Calend 01'!I10*('V06 Calend 01'!E10-1))),'V06 Calend 01'!I10),0))+IF((16='V06 Calend 01'!D10),'V06 Calend 01'!J10,0))</f>
        <v>0</v>
      </c>
      <c r="AC10" s="2">
        <f>((IF((17='V06 Calend 01'!C10),('V06 Calend 01'!F10+'V06 Calend 01'!G10),0)+IF(AND(('V06 Calend 01'!E10&gt;0),(17&gt;'V06 Calend 01'!C10),(17&lt;'V06 Calend 01'!D10),(MOD((17-'V06 Calend 01'!C10),6)=0),(((17-'V06 Calend 01'!C10)/6)&lt;='V06 Calend 01'!E10)),IF((17=('V06 Calend 01'!C10+(6*'V06 Calend 01'!E10))),('V06 Calend 01'!H10-('V06 Calend 01'!I10*('V06 Calend 01'!E10-1))),'V06 Calend 01'!I10),0))+IF((17='V06 Calend 01'!D10),'V06 Calend 01'!J10,0))</f>
        <v>0</v>
      </c>
      <c r="AD10" s="2">
        <f>((IF((18='V06 Calend 01'!C10),('V06 Calend 01'!F10+'V06 Calend 01'!G10),0)+IF(AND(('V06 Calend 01'!E10&gt;0),(18&gt;'V06 Calend 01'!C10),(18&lt;'V06 Calend 01'!D10),(MOD((18-'V06 Calend 01'!C10),6)=0),(((18-'V06 Calend 01'!C10)/6)&lt;='V06 Calend 01'!E10)),IF((18=('V06 Calend 01'!C10+(6*'V06 Calend 01'!E10))),('V06 Calend 01'!H10-('V06 Calend 01'!I10*('V06 Calend 01'!E10-1))),'V06 Calend 01'!I10),0))+IF((18='V06 Calend 01'!D10),'V06 Calend 01'!J10,0))</f>
        <v>0</v>
      </c>
      <c r="AE10" s="2">
        <f>((IF((19='V06 Calend 01'!C10),('V06 Calend 01'!F10+'V06 Calend 01'!G10),0)+IF(AND(('V06 Calend 01'!E10&gt;0),(19&gt;'V06 Calend 01'!C10),(19&lt;'V06 Calend 01'!D10),(MOD((19-'V06 Calend 01'!C10),6)=0),(((19-'V06 Calend 01'!C10)/6)&lt;='V06 Calend 01'!E10)),IF((19=('V06 Calend 01'!C10+(6*'V06 Calend 01'!E10))),('V06 Calend 01'!H10-('V06 Calend 01'!I10*('V06 Calend 01'!E10-1))),'V06 Calend 01'!I10),0))+IF((19='V06 Calend 01'!D10),'V06 Calend 01'!J10,0))</f>
        <v>56134.38</v>
      </c>
      <c r="AF10" s="2">
        <f>((IF((20='V06 Calend 01'!C10),('V06 Calend 01'!F10+'V06 Calend 01'!G10),0)+IF(AND(('V06 Calend 01'!E10&gt;0),(20&gt;'V06 Calend 01'!C10),(20&lt;'V06 Calend 01'!D10),(MOD((20-'V06 Calend 01'!C10),6)=0),(((20-'V06 Calend 01'!C10)/6)&lt;='V06 Calend 01'!E10)),IF((20=('V06 Calend 01'!C10+(6*'V06 Calend 01'!E10))),('V06 Calend 01'!H10-('V06 Calend 01'!I10*('V06 Calend 01'!E10-1))),'V06 Calend 01'!I10),0))+IF((20='V06 Calend 01'!D10),'V06 Calend 01'!J10,0))</f>
        <v>0</v>
      </c>
      <c r="AG10" s="2">
        <f>((IF((21='V06 Calend 01'!C10),('V06 Calend 01'!F10+'V06 Calend 01'!G10),0)+IF(AND(('V06 Calend 01'!E10&gt;0),(21&gt;'V06 Calend 01'!C10),(21&lt;'V06 Calend 01'!D10),(MOD((21-'V06 Calend 01'!C10),6)=0),(((21-'V06 Calend 01'!C10)/6)&lt;='V06 Calend 01'!E10)),IF((21=('V06 Calend 01'!C10+(6*'V06 Calend 01'!E10))),('V06 Calend 01'!H10-('V06 Calend 01'!I10*('V06 Calend 01'!E10-1))),'V06 Calend 01'!I10),0))+IF((21='V06 Calend 01'!D10),'V06 Calend 01'!J10,0))</f>
        <v>0</v>
      </c>
      <c r="AH10" s="2">
        <f>((IF((22='V06 Calend 01'!C10),('V06 Calend 01'!F10+'V06 Calend 01'!G10),0)+IF(AND(('V06 Calend 01'!E10&gt;0),(22&gt;'V06 Calend 01'!C10),(22&lt;'V06 Calend 01'!D10),(MOD((22-'V06 Calend 01'!C10),6)=0),(((22-'V06 Calend 01'!C10)/6)&lt;='V06 Calend 01'!E10)),IF((22=('V06 Calend 01'!C10+(6*'V06 Calend 01'!E10))),('V06 Calend 01'!H10-('V06 Calend 01'!I10*('V06 Calend 01'!E10-1))),'V06 Calend 01'!I10),0))+IF((22='V06 Calend 01'!D10),'V06 Calend 01'!J10,0))</f>
        <v>0</v>
      </c>
      <c r="AI10" s="2">
        <f>((IF((23='V06 Calend 01'!C10),('V06 Calend 01'!F10+'V06 Calend 01'!G10),0)+IF(AND(('V06 Calend 01'!E10&gt;0),(23&gt;'V06 Calend 01'!C10),(23&lt;'V06 Calend 01'!D10),(MOD((23-'V06 Calend 01'!C10),6)=0),(((23-'V06 Calend 01'!C10)/6)&lt;='V06 Calend 01'!E10)),IF((23=('V06 Calend 01'!C10+(6*'V06 Calend 01'!E10))),('V06 Calend 01'!H10-('V06 Calend 01'!I10*('V06 Calend 01'!E10-1))),'V06 Calend 01'!I10),0))+IF((23='V06 Calend 01'!D10),'V06 Calend 01'!J10,0))</f>
        <v>0</v>
      </c>
      <c r="AJ10" s="2">
        <f>((IF((24='V06 Calend 01'!C10),('V06 Calend 01'!F10+'V06 Calend 01'!G10),0)+IF(AND(('V06 Calend 01'!E10&gt;0),(24&gt;'V06 Calend 01'!C10),(24&lt;'V06 Calend 01'!D10),(MOD((24-'V06 Calend 01'!C10),6)=0),(((24-'V06 Calend 01'!C10)/6)&lt;='V06 Calend 01'!E10)),IF((24=('V06 Calend 01'!C10+(6*'V06 Calend 01'!E10))),('V06 Calend 01'!H10-('V06 Calend 01'!I10*('V06 Calend 01'!E10-1))),'V06 Calend 01'!I10),0))+IF((24='V06 Calend 01'!D10),'V06 Calend 01'!J10,0))</f>
        <v>0</v>
      </c>
      <c r="AK10" s="2">
        <f>((IF((25='V06 Calend 01'!C10),('V06 Calend 01'!F10+'V06 Calend 01'!G10),0)+IF(AND(('V06 Calend 01'!E10&gt;0),(25&gt;'V06 Calend 01'!C10),(25&lt;'V06 Calend 01'!D10),(MOD((25-'V06 Calend 01'!C10),6)=0),(((25-'V06 Calend 01'!C10)/6)&lt;='V06 Calend 01'!E10)),IF((25=('V06 Calend 01'!C10+(6*'V06 Calend 01'!E10))),('V06 Calend 01'!H10-('V06 Calend 01'!I10*('V06 Calend 01'!E10-1))),'V06 Calend 01'!I10),0))+IF((25='V06 Calend 01'!D10),'V06 Calend 01'!J10,0))</f>
        <v>56134.360000000015</v>
      </c>
      <c r="AL10" s="2">
        <f>((IF((26='V06 Calend 01'!C10),('V06 Calend 01'!F10+'V06 Calend 01'!G10),0)+IF(AND(('V06 Calend 01'!E10&gt;0),(26&gt;'V06 Calend 01'!C10),(26&lt;'V06 Calend 01'!D10),(MOD((26-'V06 Calend 01'!C10),6)=0),(((26-'V06 Calend 01'!C10)/6)&lt;='V06 Calend 01'!E10)),IF((26=('V06 Calend 01'!C10+(6*'V06 Calend 01'!E10))),('V06 Calend 01'!H10-('V06 Calend 01'!I10*('V06 Calend 01'!E10-1))),'V06 Calend 01'!I10),0))+IF((26='V06 Calend 01'!D10),'V06 Calend 01'!J10,0))</f>
        <v>0</v>
      </c>
      <c r="AM10" s="2">
        <f>((IF((27='V06 Calend 01'!C10),('V06 Calend 01'!F10+'V06 Calend 01'!G10),0)+IF(AND(('V06 Calend 01'!E10&gt;0),(27&gt;'V06 Calend 01'!C10),(27&lt;'V06 Calend 01'!D10),(MOD((27-'V06 Calend 01'!C10),6)=0),(((27-'V06 Calend 01'!C10)/6)&lt;='V06 Calend 01'!E10)),IF((27=('V06 Calend 01'!C10+(6*'V06 Calend 01'!E10))),('V06 Calend 01'!H10-('V06 Calend 01'!I10*('V06 Calend 01'!E10-1))),'V06 Calend 01'!I10),0))+IF((27='V06 Calend 01'!D10),'V06 Calend 01'!J10,0))</f>
        <v>0</v>
      </c>
      <c r="AN10" s="2">
        <f>((IF((28='V06 Calend 01'!C10),('V06 Calend 01'!F10+'V06 Calend 01'!G10),0)+IF(AND(('V06 Calend 01'!E10&gt;0),(28&gt;'V06 Calend 01'!C10),(28&lt;'V06 Calend 01'!D10),(MOD((28-'V06 Calend 01'!C10),6)=0),(((28-'V06 Calend 01'!C10)/6)&lt;='V06 Calend 01'!E10)),IF((28=('V06 Calend 01'!C10+(6*'V06 Calend 01'!E10))),('V06 Calend 01'!H10-('V06 Calend 01'!I10*('V06 Calend 01'!E10-1))),'V06 Calend 01'!I10),0))+IF((28='V06 Calend 01'!D10),'V06 Calend 01'!J10,0))</f>
        <v>0</v>
      </c>
      <c r="AO10" s="2">
        <f>((IF((29='V06 Calend 01'!C10),('V06 Calend 01'!F10+'V06 Calend 01'!G10),0)+IF(AND(('V06 Calend 01'!E10&gt;0),(29&gt;'V06 Calend 01'!C10),(29&lt;'V06 Calend 01'!D10),(MOD((29-'V06 Calend 01'!C10),6)=0),(((29-'V06 Calend 01'!C10)/6)&lt;='V06 Calend 01'!E10)),IF((29=('V06 Calend 01'!C10+(6*'V06 Calend 01'!E10))),('V06 Calend 01'!H10-('V06 Calend 01'!I10*('V06 Calend 01'!E10-1))),'V06 Calend 01'!I10),0))+IF((29='V06 Calend 01'!D10),'V06 Calend 01'!J10,0))</f>
        <v>0</v>
      </c>
      <c r="AP10" s="2">
        <f>((IF((30='V06 Calend 01'!C10),('V06 Calend 01'!F10+'V06 Calend 01'!G10),0)+IF(AND(('V06 Calend 01'!E10&gt;0),(30&gt;'V06 Calend 01'!C10),(30&lt;'V06 Calend 01'!D10),(MOD((30-'V06 Calend 01'!C10),6)=0),(((30-'V06 Calend 01'!C10)/6)&lt;='V06 Calend 01'!E10)),IF((30=('V06 Calend 01'!C10+(6*'V06 Calend 01'!E10))),('V06 Calend 01'!H10-('V06 Calend 01'!I10*('V06 Calend 01'!E10-1))),'V06 Calend 01'!I10),0))+IF((30='V06 Calend 01'!D10),'V06 Calend 01'!J10,0))</f>
        <v>81650.0</v>
      </c>
      <c r="AQ10" s="2">
        <f>((IF((31='V06 Calend 01'!C10),('V06 Calend 01'!F10+'V06 Calend 01'!G10),0)+IF(AND(('V06 Calend 01'!E10&gt;0),(31&gt;'V06 Calend 01'!C10),(31&lt;'V06 Calend 01'!D10),(MOD((31-'V06 Calend 01'!C10),6)=0),(((31-'V06 Calend 01'!C10)/6)&lt;='V06 Calend 01'!E10)),IF((31=('V06 Calend 01'!C10+(6*'V06 Calend 01'!E10))),('V06 Calend 01'!H10-('V06 Calend 01'!I10*('V06 Calend 01'!E10-1))),'V06 Calend 01'!I10),0))+IF((31='V06 Calend 01'!D10),'V06 Calend 01'!J10,0))</f>
        <v>0</v>
      </c>
      <c r="AR10" s="2">
        <f>((IF((32='V06 Calend 01'!C10),('V06 Calend 01'!F10+'V06 Calend 01'!G10),0)+IF(AND(('V06 Calend 01'!E10&gt;0),(32&gt;'V06 Calend 01'!C10),(32&lt;'V06 Calend 01'!D10),(MOD((32-'V06 Calend 01'!C10),6)=0),(((32-'V06 Calend 01'!C10)/6)&lt;='V06 Calend 01'!E10)),IF((32=('V06 Calend 01'!C10+(6*'V06 Calend 01'!E10))),('V06 Calend 01'!H10-('V06 Calend 01'!I10*('V06 Calend 01'!E10-1))),'V06 Calend 01'!I10),0))+IF((32='V06 Calend 01'!D10),'V06 Calend 01'!J10,0))</f>
        <v>0</v>
      </c>
      <c r="AS10" s="2">
        <f>((IF((33='V06 Calend 01'!C10),('V06 Calend 01'!F10+'V06 Calend 01'!G10),0)+IF(AND(('V06 Calend 01'!E10&gt;0),(33&gt;'V06 Calend 01'!C10),(33&lt;'V06 Calend 01'!D10),(MOD((33-'V06 Calend 01'!C10),6)=0),(((33-'V06 Calend 01'!C10)/6)&lt;='V06 Calend 01'!E10)),IF((33=('V06 Calend 01'!C10+(6*'V06 Calend 01'!E10))),('V06 Calend 01'!H10-('V06 Calend 01'!I10*('V06 Calend 01'!E10-1))),'V06 Calend 01'!I10),0))+IF((33='V06 Calend 01'!D10),'V06 Calend 01'!J10,0))</f>
        <v>0</v>
      </c>
      <c r="AT10" s="2">
        <f>((IF((34='V06 Calend 01'!C10),('V06 Calend 01'!F10+'V06 Calend 01'!G10),0)+IF(AND(('V06 Calend 01'!E10&gt;0),(34&gt;'V06 Calend 01'!C10),(34&lt;'V06 Calend 01'!D10),(MOD((34-'V06 Calend 01'!C10),6)=0),(((34-'V06 Calend 01'!C10)/6)&lt;='V06 Calend 01'!E10)),IF((34=('V06 Calend 01'!C10+(6*'V06 Calend 01'!E10))),('V06 Calend 01'!H10-('V06 Calend 01'!I10*('V06 Calend 01'!E10-1))),'V06 Calend 01'!I10),0))+IF((34='V06 Calend 01'!D10),'V06 Calend 01'!J10,0))</f>
        <v>0</v>
      </c>
      <c r="AU10" s="2">
        <f>((IF((35='V06 Calend 01'!C10),('V06 Calend 01'!F10+'V06 Calend 01'!G10),0)+IF(AND(('V06 Calend 01'!E10&gt;0),(35&gt;'V06 Calend 01'!C10),(35&lt;'V06 Calend 01'!D10),(MOD((35-'V06 Calend 01'!C10),6)=0),(((35-'V06 Calend 01'!C10)/6)&lt;='V06 Calend 01'!E10)),IF((35=('V06 Calend 01'!C10+(6*'V06 Calend 01'!E10))),('V06 Calend 01'!H10-('V06 Calend 01'!I10*('V06 Calend 01'!E10-1))),'V06 Calend 01'!I10),0))+IF((35='V06 Calend 01'!D10),'V06 Calend 01'!J10,0))</f>
        <v>0</v>
      </c>
      <c r="AV10" s="2">
        <f>((IF((36='V06 Calend 01'!C10),('V06 Calend 01'!F10+'V06 Calend 01'!G10),0)+IF(AND(('V06 Calend 01'!E10&gt;0),(36&gt;'V06 Calend 01'!C10),(36&lt;'V06 Calend 01'!D10),(MOD((36-'V06 Calend 01'!C10),6)=0),(((36-'V06 Calend 01'!C10)/6)&lt;='V06 Calend 01'!E10)),IF((36=('V06 Calend 01'!C10+(6*'V06 Calend 01'!E10))),('V06 Calend 01'!H10-('V06 Calend 01'!I10*('V06 Calend 01'!E10-1))),'V06 Calend 01'!I10),0))+IF((36='V06 Calend 01'!D10),'V06 Calend 01'!J10,0))</f>
        <v>0</v>
      </c>
      <c r="AW10" s="2">
        <f>((IF((37='V06 Calend 01'!C10),('V06 Calend 01'!F10+'V06 Calend 01'!G10),0)+IF(AND(('V06 Calend 01'!E10&gt;0),(37&gt;'V06 Calend 01'!C10),(37&lt;'V06 Calend 01'!D10),(MOD((37-'V06 Calend 01'!C10),6)=0),(((37-'V06 Calend 01'!C10)/6)&lt;='V06 Calend 01'!E10)),IF((37=('V06 Calend 01'!C10+(6*'V06 Calend 01'!E10))),('V06 Calend 01'!H10-('V06 Calend 01'!I10*('V06 Calend 01'!E10-1))),'V06 Calend 01'!I10),0))+IF((37='V06 Calend 01'!D10),'V06 Calend 01'!J10,0))</f>
        <v>0</v>
      </c>
      <c r="AX10" s="2">
        <f>((IF((38='V06 Calend 01'!C10),('V06 Calend 01'!F10+'V06 Calend 01'!G10),0)+IF(AND(('V06 Calend 01'!E10&gt;0),(38&gt;'V06 Calend 01'!C10),(38&lt;'V06 Calend 01'!D10),(MOD((38-'V06 Calend 01'!C10),6)=0),(((38-'V06 Calend 01'!C10)/6)&lt;='V06 Calend 01'!E10)),IF((38=('V06 Calend 01'!C10+(6*'V06 Calend 01'!E10))),('V06 Calend 01'!H10-('V06 Calend 01'!I10*('V06 Calend 01'!E10-1))),'V06 Calend 01'!I10),0))+IF((38='V06 Calend 01'!D10),'V06 Calend 01'!J10,0))</f>
        <v>0</v>
      </c>
      <c r="AY10" s="2">
        <f>((IF((39='V06 Calend 01'!C10),('V06 Calend 01'!F10+'V06 Calend 01'!G10),0)+IF(AND(('V06 Calend 01'!E10&gt;0),(39&gt;'V06 Calend 01'!C10),(39&lt;'V06 Calend 01'!D10),(MOD((39-'V06 Calend 01'!C10),6)=0),(((39-'V06 Calend 01'!C10)/6)&lt;='V06 Calend 01'!E10)),IF((39=('V06 Calend 01'!C10+(6*'V06 Calend 01'!E10))),('V06 Calend 01'!H10-('V06 Calend 01'!I10*('V06 Calend 01'!E10-1))),'V06 Calend 01'!I10),0))+IF((39='V06 Calend 01'!D10),'V06 Calend 01'!J10,0))</f>
        <v>0</v>
      </c>
      <c r="AZ10" s="2">
        <f>((IF((40='V06 Calend 01'!C10),('V06 Calend 01'!F10+'V06 Calend 01'!G10),0)+IF(AND(('V06 Calend 01'!E10&gt;0),(40&gt;'V06 Calend 01'!C10),(40&lt;'V06 Calend 01'!D10),(MOD((40-'V06 Calend 01'!C10),6)=0),(((40-'V06 Calend 01'!C10)/6)&lt;='V06 Calend 01'!E10)),IF((40=('V06 Calend 01'!C10+(6*'V06 Calend 01'!E10))),('V06 Calend 01'!H10-('V06 Calend 01'!I10*('V06 Calend 01'!E10-1))),'V06 Calend 01'!I10),0))+IF((40='V06 Calend 01'!D10),'V06 Calend 01'!J10,0))</f>
        <v>0</v>
      </c>
      <c r="BA10" s="2">
        <f>((IF((41='V06 Calend 01'!C10),('V06 Calend 01'!F10+'V06 Calend 01'!G10),0)+IF(AND(('V06 Calend 01'!E10&gt;0),(41&gt;'V06 Calend 01'!C10),(41&lt;'V06 Calend 01'!D10),(MOD((41-'V06 Calend 01'!C10),6)=0),(((41-'V06 Calend 01'!C10)/6)&lt;='V06 Calend 01'!E10)),IF((41=('V06 Calend 01'!C10+(6*'V06 Calend 01'!E10))),('V06 Calend 01'!H10-('V06 Calend 01'!I10*('V06 Calend 01'!E10-1))),'V06 Calend 01'!I10),0))+IF((41='V06 Calend 01'!D10),'V06 Calend 01'!J10,0))</f>
        <v>0</v>
      </c>
      <c r="BB10" s="2">
        <f>((IF((42='V06 Calend 01'!C10),('V06 Calend 01'!F10+'V06 Calend 01'!G10),0)+IF(AND(('V06 Calend 01'!E10&gt;0),(42&gt;'V06 Calend 01'!C10),(42&lt;'V06 Calend 01'!D10),(MOD((42-'V06 Calend 01'!C10),6)=0),(((42-'V06 Calend 01'!C10)/6)&lt;='V06 Calend 01'!E10)),IF((42=('V06 Calend 01'!C10+(6*'V06 Calend 01'!E10))),('V06 Calend 01'!H10-('V06 Calend 01'!I10*('V06 Calend 01'!E10-1))),'V06 Calend 01'!I10),0))+IF((42='V06 Calend 01'!D10),'V06 Calend 01'!J10,0))</f>
        <v>0</v>
      </c>
      <c r="BC10" s="2">
        <f>((IF((43='V06 Calend 01'!C10),('V06 Calend 01'!F10+'V06 Calend 01'!G10),0)+IF(AND(('V06 Calend 01'!E10&gt;0),(43&gt;'V06 Calend 01'!C10),(43&lt;'V06 Calend 01'!D10),(MOD((43-'V06 Calend 01'!C10),6)=0),(((43-'V06 Calend 01'!C10)/6)&lt;='V06 Calend 01'!E10)),IF((43=('V06 Calend 01'!C10+(6*'V06 Calend 01'!E10))),('V06 Calend 01'!H10-('V06 Calend 01'!I10*('V06 Calend 01'!E10-1))),'V06 Calend 01'!I10),0))+IF((43='V06 Calend 01'!D10),'V06 Calend 01'!J10,0))</f>
        <v>0</v>
      </c>
      <c r="BD10" s="2">
        <f>((IF((44='V06 Calend 01'!C10),('V06 Calend 01'!F10+'V06 Calend 01'!G10),0)+IF(AND(('V06 Calend 01'!E10&gt;0),(44&gt;'V06 Calend 01'!C10),(44&lt;'V06 Calend 01'!D10),(MOD((44-'V06 Calend 01'!C10),6)=0),(((44-'V06 Calend 01'!C10)/6)&lt;='V06 Calend 01'!E10)),IF((44=('V06 Calend 01'!C10+(6*'V06 Calend 01'!E10))),('V06 Calend 01'!H10-('V06 Calend 01'!I10*('V06 Calend 01'!E10-1))),'V06 Calend 01'!I10),0))+IF((44='V06 Calend 01'!D10),'V06 Calend 01'!J10,0))</f>
        <v>0</v>
      </c>
      <c r="BE10" s="2">
        <f>((IF((45='V06 Calend 01'!C10),('V06 Calend 01'!F10+'V06 Calend 01'!G10),0)+IF(AND(('V06 Calend 01'!E10&gt;0),(45&gt;'V06 Calend 01'!C10),(45&lt;'V06 Calend 01'!D10),(MOD((45-'V06 Calend 01'!C10),6)=0),(((45-'V06 Calend 01'!C10)/6)&lt;='V06 Calend 01'!E10)),IF((45=('V06 Calend 01'!C10+(6*'V06 Calend 01'!E10))),('V06 Calend 01'!H10-('V06 Calend 01'!I10*('V06 Calend 01'!E10-1))),'V06 Calend 01'!I10),0))+IF((45='V06 Calend 01'!D10),'V06 Calend 01'!J10,0))</f>
        <v>0</v>
      </c>
      <c r="BF10" s="2">
        <f>((IF((46='V06 Calend 01'!C10),('V06 Calend 01'!F10+'V06 Calend 01'!G10),0)+IF(AND(('V06 Calend 01'!E10&gt;0),(46&gt;'V06 Calend 01'!C10),(46&lt;'V06 Calend 01'!D10),(MOD((46-'V06 Calend 01'!C10),6)=0),(((46-'V06 Calend 01'!C10)/6)&lt;='V06 Calend 01'!E10)),IF((46=('V06 Calend 01'!C10+(6*'V06 Calend 01'!E10))),('V06 Calend 01'!H10-('V06 Calend 01'!I10*('V06 Calend 01'!E10-1))),'V06 Calend 01'!I10),0))+IF((46='V06 Calend 01'!D10),'V06 Calend 01'!J10,0))</f>
        <v>0</v>
      </c>
      <c r="BG10" s="2">
        <f>((IF((47='V06 Calend 01'!C10),('V06 Calend 01'!F10+'V06 Calend 01'!G10),0)+IF(AND(('V06 Calend 01'!E10&gt;0),(47&gt;'V06 Calend 01'!C10),(47&lt;'V06 Calend 01'!D10),(MOD((47-'V06 Calend 01'!C10),6)=0),(((47-'V06 Calend 01'!C10)/6)&lt;='V06 Calend 01'!E10)),IF((47=('V06 Calend 01'!C10+(6*'V06 Calend 01'!E10))),('V06 Calend 01'!H10-('V06 Calend 01'!I10*('V06 Calend 01'!E10-1))),'V06 Calend 01'!I10),0))+IF((47='V06 Calend 01'!D10),'V06 Calend 01'!J10,0))</f>
        <v>0</v>
      </c>
      <c r="BH10" s="2">
        <f>((IF((48='V06 Calend 01'!C10),('V06 Calend 01'!F10+'V06 Calend 01'!G10),0)+IF(AND(('V06 Calend 01'!E10&gt;0),(48&gt;'V06 Calend 01'!C10),(48&lt;'V06 Calend 01'!D10),(MOD((48-'V06 Calend 01'!C10),6)=0),(((48-'V06 Calend 01'!C10)/6)&lt;='V06 Calend 01'!E10)),IF((48=('V06 Calend 01'!C10+(6*'V06 Calend 01'!E10))),('V06 Calend 01'!H10-('V06 Calend 01'!I10*('V06 Calend 01'!E10-1))),'V06 Calend 01'!I10),0))+IF((48='V06 Calend 01'!D10),'V06 Calend 01'!J10,0))</f>
        <v>0</v>
      </c>
      <c r="BI10" s="2">
        <f>((IF((49='V06 Calend 01'!C10),('V06 Calend 01'!F10+'V06 Calend 01'!G10),0)+IF(AND(('V06 Calend 01'!E10&gt;0),(49&gt;'V06 Calend 01'!C10),(49&lt;'V06 Calend 01'!D10),(MOD((49-'V06 Calend 01'!C10),6)=0),(((49-'V06 Calend 01'!C10)/6)&lt;='V06 Calend 01'!E10)),IF((49=('V06 Calend 01'!C10+(6*'V06 Calend 01'!E10))),('V06 Calend 01'!H10-('V06 Calend 01'!I10*('V06 Calend 01'!E10-1))),'V06 Calend 01'!I10),0))+IF((49='V06 Calend 01'!D10),'V06 Calend 01'!J10,0))</f>
        <v>0</v>
      </c>
      <c r="BJ10" s="2">
        <f>((IF((50='V06 Calend 01'!C10),('V06 Calend 01'!F10+'V06 Calend 01'!G10),0)+IF(AND(('V06 Calend 01'!E10&gt;0),(50&gt;'V06 Calend 01'!C10),(50&lt;'V06 Calend 01'!D10),(MOD((50-'V06 Calend 01'!C10),6)=0),(((50-'V06 Calend 01'!C10)/6)&lt;='V06 Calend 01'!E10)),IF((50=('V06 Calend 01'!C10+(6*'V06 Calend 01'!E10))),('V06 Calend 01'!H10-('V06 Calend 01'!I10*('V06 Calend 01'!E10-1))),'V06 Calend 01'!I10),0))+IF((50='V06 Calend 01'!D10),'V06 Calend 01'!J10,0))</f>
        <v>0</v>
      </c>
      <c r="BK10" s="2">
        <f>((IF((51='V06 Calend 01'!C10),('V06 Calend 01'!F10+'V06 Calend 01'!G10),0)+IF(AND(('V06 Calend 01'!E10&gt;0),(51&gt;'V06 Calend 01'!C10),(51&lt;'V06 Calend 01'!D10),(MOD((51-'V06 Calend 01'!C10),6)=0),(((51-'V06 Calend 01'!C10)/6)&lt;='V06 Calend 01'!E10)),IF((51=('V06 Calend 01'!C10+(6*'V06 Calend 01'!E10))),('V06 Calend 01'!H10-('V06 Calend 01'!I10*('V06 Calend 01'!E10-1))),'V06 Calend 01'!I10),0))+IF((51='V06 Calend 01'!D10),'V06 Calend 01'!J10,0))</f>
        <v>0</v>
      </c>
      <c r="BL10" s="2">
        <f>((IF((52='V06 Calend 01'!C10),('V06 Calend 01'!F10+'V06 Calend 01'!G10),0)+IF(AND(('V06 Calend 01'!E10&gt;0),(52&gt;'V06 Calend 01'!C10),(52&lt;'V06 Calend 01'!D10),(MOD((52-'V06 Calend 01'!C10),6)=0),(((52-'V06 Calend 01'!C10)/6)&lt;='V06 Calend 01'!E10)),IF((52=('V06 Calend 01'!C10+(6*'V06 Calend 01'!E10))),('V06 Calend 01'!H10-('V06 Calend 01'!I10*('V06 Calend 01'!E10-1))),'V06 Calend 01'!I10),0))+IF((52='V06 Calend 01'!D10),'V06 Calend 01'!J10,0))</f>
        <v>0</v>
      </c>
      <c r="BM10" s="2">
        <f>((IF((53='V06 Calend 01'!C10),('V06 Calend 01'!F10+'V06 Calend 01'!G10),0)+IF(AND(('V06 Calend 01'!E10&gt;0),(53&gt;'V06 Calend 01'!C10),(53&lt;'V06 Calend 01'!D10),(MOD((53-'V06 Calend 01'!C10),6)=0),(((53-'V06 Calend 01'!C10)/6)&lt;='V06 Calend 01'!E10)),IF((53=('V06 Calend 01'!C10+(6*'V06 Calend 01'!E10))),('V06 Calend 01'!H10-('V06 Calend 01'!I10*('V06 Calend 01'!E10-1))),'V06 Calend 01'!I10),0))+IF((53='V06 Calend 01'!D10),'V06 Calend 01'!J10,0))</f>
        <v>0</v>
      </c>
      <c r="BN10" s="2">
        <f>((IF((54='V06 Calend 01'!C10),('V06 Calend 01'!F10+'V06 Calend 01'!G10),0)+IF(AND(('V06 Calend 01'!E10&gt;0),(54&gt;'V06 Calend 01'!C10),(54&lt;'V06 Calend 01'!D10),(MOD((54-'V06 Calend 01'!C10),6)=0),(((54-'V06 Calend 01'!C10)/6)&lt;='V06 Calend 01'!E10)),IF((54=('V06 Calend 01'!C10+(6*'V06 Calend 01'!E10))),('V06 Calend 01'!H10-('V06 Calend 01'!I10*('V06 Calend 01'!E10-1))),'V06 Calend 01'!I10),0))+IF((54='V06 Calend 01'!D10),'V06 Calend 01'!J10,0))</f>
        <v>0</v>
      </c>
      <c r="BO10" s="2">
        <f>((IF((55='V06 Calend 01'!C10),('V06 Calend 01'!F10+'V06 Calend 01'!G10),0)+IF(AND(('V06 Calend 01'!E10&gt;0),(55&gt;'V06 Calend 01'!C10),(55&lt;'V06 Calend 01'!D10),(MOD((55-'V06 Calend 01'!C10),6)=0),(((55-'V06 Calend 01'!C10)/6)&lt;='V06 Calend 01'!E10)),IF((55=('V06 Calend 01'!C10+(6*'V06 Calend 01'!E10))),('V06 Calend 01'!H10-('V06 Calend 01'!I10*('V06 Calend 01'!E10-1))),'V06 Calend 01'!I10),0))+IF((55='V06 Calend 01'!D10),'V06 Calend 01'!J10,0))</f>
        <v>0</v>
      </c>
      <c r="BP10" s="2">
        <f>((IF((56='V06 Calend 01'!C10),('V06 Calend 01'!F10+'V06 Calend 01'!G10),0)+IF(AND(('V06 Calend 01'!E10&gt;0),(56&gt;'V06 Calend 01'!C10),(56&lt;'V06 Calend 01'!D10),(MOD((56-'V06 Calend 01'!C10),6)=0),(((56-'V06 Calend 01'!C10)/6)&lt;='V06 Calend 01'!E10)),IF((56=('V06 Calend 01'!C10+(6*'V06 Calend 01'!E10))),('V06 Calend 01'!H10-('V06 Calend 01'!I10*('V06 Calend 01'!E10-1))),'V06 Calend 01'!I10),0))+IF((56='V06 Calend 01'!D10),'V06 Calend 01'!J10,0))</f>
        <v>0</v>
      </c>
      <c r="BQ10" s="2">
        <f>((IF((57='V06 Calend 01'!C10),('V06 Calend 01'!F10+'V06 Calend 01'!G10),0)+IF(AND(('V06 Calend 01'!E10&gt;0),(57&gt;'V06 Calend 01'!C10),(57&lt;'V06 Calend 01'!D10),(MOD((57-'V06 Calend 01'!C10),6)=0),(((57-'V06 Calend 01'!C10)/6)&lt;='V06 Calend 01'!E10)),IF((57=('V06 Calend 01'!C10+(6*'V06 Calend 01'!E10))),('V06 Calend 01'!H10-('V06 Calend 01'!I10*('V06 Calend 01'!E10-1))),'V06 Calend 01'!I10),0))+IF((57='V06 Calend 01'!D10),'V06 Calend 01'!J10,0))</f>
        <v>0</v>
      </c>
      <c r="BR10" s="2">
        <f>((IF((58='V06 Calend 01'!C10),('V06 Calend 01'!F10+'V06 Calend 01'!G10),0)+IF(AND(('V06 Calend 01'!E10&gt;0),(58&gt;'V06 Calend 01'!C10),(58&lt;'V06 Calend 01'!D10),(MOD((58-'V06 Calend 01'!C10),6)=0),(((58-'V06 Calend 01'!C10)/6)&lt;='V06 Calend 01'!E10)),IF((58=('V06 Calend 01'!C10+(6*'V06 Calend 01'!E10))),('V06 Calend 01'!H10-('V06 Calend 01'!I10*('V06 Calend 01'!E10-1))),'V06 Calend 01'!I10),0))+IF((58='V06 Calend 01'!D10),'V06 Calend 01'!J10,0))</f>
        <v>0</v>
      </c>
      <c r="BS10" s="2">
        <f>((IF((59='V06 Calend 01'!C10),('V06 Calend 01'!F10+'V06 Calend 01'!G10),0)+IF(AND(('V06 Calend 01'!E10&gt;0),(59&gt;'V06 Calend 01'!C10),(59&lt;'V06 Calend 01'!D10),(MOD((59-'V06 Calend 01'!C10),6)=0),(((59-'V06 Calend 01'!C10)/6)&lt;='V06 Calend 01'!E10)),IF((59=('V06 Calend 01'!C10+(6*'V06 Calend 01'!E10))),('V06 Calend 01'!H10-('V06 Calend 01'!I10*('V06 Calend 01'!E10-1))),'V06 Calend 01'!I10),0))+IF((59='V06 Calend 01'!D10),'V06 Calend 01'!J10,0))</f>
        <v>0</v>
      </c>
      <c r="BT10" s="2">
        <f>((IF((60='V06 Calend 01'!C10),('V06 Calend 01'!F10+'V06 Calend 01'!G10),0)+IF(AND(('V06 Calend 01'!E10&gt;0),(60&gt;'V06 Calend 01'!C10),(60&lt;'V06 Calend 01'!D10),(MOD((60-'V06 Calend 01'!C10),6)=0),(((60-'V06 Calend 01'!C10)/6)&lt;='V06 Calend 01'!E10)),IF((60=('V06 Calend 01'!C10+(6*'V06 Calend 01'!E10))),('V06 Calend 01'!H10-('V06 Calend 01'!I10*('V06 Calend 01'!E10-1))),'V06 Calend 01'!I10),0))+IF((60='V06 Calend 01'!D10),'V06 Calend 01'!J10,0))</f>
        <v>0</v>
      </c>
      <c r="BU10" s="2">
        <f>((IF((61='V06 Calend 01'!C10),('V06 Calend 01'!F10+'V06 Calend 01'!G10),0)+IF(AND(('V06 Calend 01'!E10&gt;0),(61&gt;'V06 Calend 01'!C10),(61&lt;'V06 Calend 01'!D10),(MOD((61-'V06 Calend 01'!C10),6)=0),(((61-'V06 Calend 01'!C10)/6)&lt;='V06 Calend 01'!E10)),IF((61=('V06 Calend 01'!C10+(6*'V06 Calend 01'!E10))),('V06 Calend 01'!H10-('V06 Calend 01'!I10*('V06 Calend 01'!E10-1))),'V06 Calend 01'!I10),0))+IF((61='V06 Calend 01'!D10),'V06 Calend 01'!J10,0))</f>
        <v>0</v>
      </c>
      <c r="BV10" s="2">
        <f>((IF((62='V06 Calend 01'!C10),('V06 Calend 01'!F10+'V06 Calend 01'!G10),0)+IF(AND(('V06 Calend 01'!E10&gt;0),(62&gt;'V06 Calend 01'!C10),(62&lt;'V06 Calend 01'!D10),(MOD((62-'V06 Calend 01'!C10),6)=0),(((62-'V06 Calend 01'!C10)/6)&lt;='V06 Calend 01'!E10)),IF((62=('V06 Calend 01'!C10+(6*'V06 Calend 01'!E10))),('V06 Calend 01'!H10-('V06 Calend 01'!I10*('V06 Calend 01'!E10-1))),'V06 Calend 01'!I10),0))+IF((62='V06 Calend 01'!D10),'V06 Calend 01'!J10,0))</f>
        <v>0</v>
      </c>
      <c r="BW10" s="2">
        <f>((IF((63='V06 Calend 01'!C10),('V06 Calend 01'!F10+'V06 Calend 01'!G10),0)+IF(AND(('V06 Calend 01'!E10&gt;0),(63&gt;'V06 Calend 01'!C10),(63&lt;'V06 Calend 01'!D10),(MOD((63-'V06 Calend 01'!C10),6)=0),(((63-'V06 Calend 01'!C10)/6)&lt;='V06 Calend 01'!E10)),IF((63=('V06 Calend 01'!C10+(6*'V06 Calend 01'!E10))),('V06 Calend 01'!H10-('V06 Calend 01'!I10*('V06 Calend 01'!E10-1))),'V06 Calend 01'!I10),0))+IF((63='V06 Calend 01'!D10),'V06 Calend 01'!J10,0))</f>
        <v>0</v>
      </c>
      <c r="BX10" s="2">
        <f>((IF((64='V06 Calend 01'!C10),('V06 Calend 01'!F10+'V06 Calend 01'!G10),0)+IF(AND(('V06 Calend 01'!E10&gt;0),(64&gt;'V06 Calend 01'!C10),(64&lt;'V06 Calend 01'!D10),(MOD((64-'V06 Calend 01'!C10),6)=0),(((64-'V06 Calend 01'!C10)/6)&lt;='V06 Calend 01'!E10)),IF((64=('V06 Calend 01'!C10+(6*'V06 Calend 01'!E10))),('V06 Calend 01'!H10-('V06 Calend 01'!I10*('V06 Calend 01'!E10-1))),'V06 Calend 01'!I10),0))+IF((64='V06 Calend 01'!D10),'V06 Calend 01'!J10,0))</f>
        <v>0</v>
      </c>
      <c r="BY10" s="2">
        <f>((IF((65='V06 Calend 01'!C10),('V06 Calend 01'!F10+'V06 Calend 01'!G10),0)+IF(AND(('V06 Calend 01'!E10&gt;0),(65&gt;'V06 Calend 01'!C10),(65&lt;'V06 Calend 01'!D10),(MOD((65-'V06 Calend 01'!C10),6)=0),(((65-'V06 Calend 01'!C10)/6)&lt;='V06 Calend 01'!E10)),IF((65=('V06 Calend 01'!C10+(6*'V06 Calend 01'!E10))),('V06 Calend 01'!H10-('V06 Calend 01'!I10*('V06 Calend 01'!E10-1))),'V06 Calend 01'!I10),0))+IF((65='V06 Calend 01'!D10),'V06 Calend 01'!J10,0))</f>
        <v>0</v>
      </c>
      <c r="BZ10" s="2">
        <f>((IF((66='V06 Calend 01'!C10),('V06 Calend 01'!F10+'V06 Calend 01'!G10),0)+IF(AND(('V06 Calend 01'!E10&gt;0),(66&gt;'V06 Calend 01'!C10),(66&lt;'V06 Calend 01'!D10),(MOD((66-'V06 Calend 01'!C10),6)=0),(((66-'V06 Calend 01'!C10)/6)&lt;='V06 Calend 01'!E10)),IF((66=('V06 Calend 01'!C10+(6*'V06 Calend 01'!E10))),('V06 Calend 01'!H10-('V06 Calend 01'!I10*('V06 Calend 01'!E10-1))),'V06 Calend 01'!I10),0))+IF((66='V06 Calend 01'!D10),'V06 Calend 01'!J10,0))</f>
        <v>0</v>
      </c>
      <c r="CA10" s="2">
        <f>((IF((67='V06 Calend 01'!C10),('V06 Calend 01'!F10+'V06 Calend 01'!G10),0)+IF(AND(('V06 Calend 01'!E10&gt;0),(67&gt;'V06 Calend 01'!C10),(67&lt;'V06 Calend 01'!D10),(MOD((67-'V06 Calend 01'!C10),6)=0),(((67-'V06 Calend 01'!C10)/6)&lt;='V06 Calend 01'!E10)),IF((67=('V06 Calend 01'!C10+(6*'V06 Calend 01'!E10))),('V06 Calend 01'!H10-('V06 Calend 01'!I10*('V06 Calend 01'!E10-1))),'V06 Calend 01'!I10),0))+IF((67='V06 Calend 01'!D10),'V06 Calend 01'!J10,0))</f>
        <v>0</v>
      </c>
      <c r="CB10" s="2">
        <f>((IF((68='V06 Calend 01'!C10),('V06 Calend 01'!F10+'V06 Calend 01'!G10),0)+IF(AND(('V06 Calend 01'!E10&gt;0),(68&gt;'V06 Calend 01'!C10),(68&lt;'V06 Calend 01'!D10),(MOD((68-'V06 Calend 01'!C10),6)=0),(((68-'V06 Calend 01'!C10)/6)&lt;='V06 Calend 01'!E10)),IF((68=('V06 Calend 01'!C10+(6*'V06 Calend 01'!E10))),('V06 Calend 01'!H10-('V06 Calend 01'!I10*('V06 Calend 01'!E10-1))),'V06 Calend 01'!I10),0))+IF((68='V06 Calend 01'!D10),'V06 Calend 01'!J10,0))</f>
        <v>0</v>
      </c>
      <c r="CC10" s="2">
        <f>((IF((69='V06 Calend 01'!C10),('V06 Calend 01'!F10+'V06 Calend 01'!G10),0)+IF(AND(('V06 Calend 01'!E10&gt;0),(69&gt;'V06 Calend 01'!C10),(69&lt;'V06 Calend 01'!D10),(MOD((69-'V06 Calend 01'!C10),6)=0),(((69-'V06 Calend 01'!C10)/6)&lt;='V06 Calend 01'!E10)),IF((69=('V06 Calend 01'!C10+(6*'V06 Calend 01'!E10))),('V06 Calend 01'!H10-('V06 Calend 01'!I10*('V06 Calend 01'!E10-1))),'V06 Calend 01'!I10),0))+IF((69='V06 Calend 01'!D10),'V06 Calend 01'!J10,0))</f>
        <v>0</v>
      </c>
      <c r="CD10" s="2">
        <f>((IF((70='V06 Calend 01'!C10),('V06 Calend 01'!F10+'V06 Calend 01'!G10),0)+IF(AND(('V06 Calend 01'!E10&gt;0),(70&gt;'V06 Calend 01'!C10),(70&lt;'V06 Calend 01'!D10),(MOD((70-'V06 Calend 01'!C10),6)=0),(((70-'V06 Calend 01'!C10)/6)&lt;='V06 Calend 01'!E10)),IF((70=('V06 Calend 01'!C10+(6*'V06 Calend 01'!E10))),('V06 Calend 01'!H10-('V06 Calend 01'!I10*('V06 Calend 01'!E10-1))),'V06 Calend 01'!I10),0))+IF((70='V06 Calend 01'!D10),'V06 Calend 01'!J10,0))</f>
        <v>0</v>
      </c>
      <c r="CE10" s="2">
        <f>((IF((71='V06 Calend 01'!C10),('V06 Calend 01'!F10+'V06 Calend 01'!G10),0)+IF(AND(('V06 Calend 01'!E10&gt;0),(71&gt;'V06 Calend 01'!C10),(71&lt;'V06 Calend 01'!D10),(MOD((71-'V06 Calend 01'!C10),6)=0),(((71-'V06 Calend 01'!C10)/6)&lt;='V06 Calend 01'!E10)),IF((71=('V06 Calend 01'!C10+(6*'V06 Calend 01'!E10))),('V06 Calend 01'!H10-('V06 Calend 01'!I10*('V06 Calend 01'!E10-1))),'V06 Calend 01'!I10),0))+IF((71='V06 Calend 01'!D10),'V06 Calend 01'!J10,0))</f>
        <v>0</v>
      </c>
      <c r="CF10" s="2">
        <f>((IF((72='V06 Calend 01'!C10),('V06 Calend 01'!F10+'V06 Calend 01'!G10),0)+IF(AND(('V06 Calend 01'!E10&gt;0),(72&gt;'V06 Calend 01'!C10),(72&lt;'V06 Calend 01'!D10),(MOD((72-'V06 Calend 01'!C10),6)=0),(((72-'V06 Calend 01'!C10)/6)&lt;='V06 Calend 01'!E10)),IF((72=('V06 Calend 01'!C10+(6*'V06 Calend 01'!E10))),('V06 Calend 01'!H10-('V06 Calend 01'!I10*('V06 Calend 01'!E10-1))),'V06 Calend 01'!I10),0))+IF((72='V06 Calend 01'!D10),'V06 Calend 01'!J10,0))</f>
        <v>0</v>
      </c>
      <c r="CG10" s="2">
        <f>((IF((73='V06 Calend 01'!C10),('V06 Calend 01'!F10+'V06 Calend 01'!G10),0)+IF(AND(('V06 Calend 01'!E10&gt;0),(73&gt;'V06 Calend 01'!C10),(73&lt;'V06 Calend 01'!D10),(MOD((73-'V06 Calend 01'!C10),6)=0),(((73-'V06 Calend 01'!C10)/6)&lt;='V06 Calend 01'!E10)),IF((73=('V06 Calend 01'!C10+(6*'V06 Calend 01'!E10))),('V06 Calend 01'!H10-('V06 Calend 01'!I10*('V06 Calend 01'!E10-1))),'V06 Calend 01'!I10),0))+IF((73='V06 Calend 01'!D10),'V06 Calend 01'!J10,0))</f>
        <v>0</v>
      </c>
      <c r="CH10" s="2">
        <f>((IF((74='V06 Calend 01'!C10),('V06 Calend 01'!F10+'V06 Calend 01'!G10),0)+IF(AND(('V06 Calend 01'!E10&gt;0),(74&gt;'V06 Calend 01'!C10),(74&lt;'V06 Calend 01'!D10),(MOD((74-'V06 Calend 01'!C10),6)=0),(((74-'V06 Calend 01'!C10)/6)&lt;='V06 Calend 01'!E10)),IF((74=('V06 Calend 01'!C10+(6*'V06 Calend 01'!E10))),('V06 Calend 01'!H10-('V06 Calend 01'!I10*('V06 Calend 01'!E10-1))),'V06 Calend 01'!I10),0))+IF((74='V06 Calend 01'!D10),'V06 Calend 01'!J10,0))</f>
        <v>0</v>
      </c>
      <c r="CI10" s="2">
        <f>((IF((75='V06 Calend 01'!C10),('V06 Calend 01'!F10+'V06 Calend 01'!G10),0)+IF(AND(('V06 Calend 01'!E10&gt;0),(75&gt;'V06 Calend 01'!C10),(75&lt;'V06 Calend 01'!D10),(MOD((75-'V06 Calend 01'!C10),6)=0),(((75-'V06 Calend 01'!C10)/6)&lt;='V06 Calend 01'!E10)),IF((75=('V06 Calend 01'!C10+(6*'V06 Calend 01'!E10))),('V06 Calend 01'!H10-('V06 Calend 01'!I10*('V06 Calend 01'!E10-1))),'V06 Calend 01'!I10),0))+IF((75='V06 Calend 01'!D10),'V06 Calend 01'!J10,0))</f>
        <v>0</v>
      </c>
      <c r="CJ10" s="2">
        <f>((IF((76='V06 Calend 01'!C10),('V06 Calend 01'!F10+'V06 Calend 01'!G10),0)+IF(AND(('V06 Calend 01'!E10&gt;0),(76&gt;'V06 Calend 01'!C10),(76&lt;'V06 Calend 01'!D10),(MOD((76-'V06 Calend 01'!C10),6)=0),(((76-'V06 Calend 01'!C10)/6)&lt;='V06 Calend 01'!E10)),IF((76=('V06 Calend 01'!C10+(6*'V06 Calend 01'!E10))),('V06 Calend 01'!H10-('V06 Calend 01'!I10*('V06 Calend 01'!E10-1))),'V06 Calend 01'!I10),0))+IF((76='V06 Calend 01'!D10),'V06 Calend 01'!J10,0))</f>
        <v>0</v>
      </c>
      <c r="CK10" s="2">
        <f>((IF((77='V06 Calend 01'!C10),('V06 Calend 01'!F10+'V06 Calend 01'!G10),0)+IF(AND(('V06 Calend 01'!E10&gt;0),(77&gt;'V06 Calend 01'!C10),(77&lt;'V06 Calend 01'!D10),(MOD((77-'V06 Calend 01'!C10),6)=0),(((77-'V06 Calend 01'!C10)/6)&lt;='V06 Calend 01'!E10)),IF((77=('V06 Calend 01'!C10+(6*'V06 Calend 01'!E10))),('V06 Calend 01'!H10-('V06 Calend 01'!I10*('V06 Calend 01'!E10-1))),'V06 Calend 01'!I10),0))+IF((77='V06 Calend 01'!D10),'V06 Calend 01'!J10,0))</f>
        <v>0</v>
      </c>
      <c r="CL10" s="2">
        <f>((IF((78='V06 Calend 01'!C10),('V06 Calend 01'!F10+'V06 Calend 01'!G10),0)+IF(AND(('V06 Calend 01'!E10&gt;0),(78&gt;'V06 Calend 01'!C10),(78&lt;'V06 Calend 01'!D10),(MOD((78-'V06 Calend 01'!C10),6)=0),(((78-'V06 Calend 01'!C10)/6)&lt;='V06 Calend 01'!E10)),IF((78=('V06 Calend 01'!C10+(6*'V06 Calend 01'!E10))),('V06 Calend 01'!H10-('V06 Calend 01'!I10*('V06 Calend 01'!E10-1))),'V06 Calend 01'!I10),0))+IF((78='V06 Calend 01'!D10),'V06 Calend 01'!J10,0))</f>
        <v>0</v>
      </c>
      <c r="CM10" s="2">
        <f>((IF((79='V06 Calend 01'!C10),('V06 Calend 01'!F10+'V06 Calend 01'!G10),0)+IF(AND(('V06 Calend 01'!E10&gt;0),(79&gt;'V06 Calend 01'!C10),(79&lt;'V06 Calend 01'!D10),(MOD((79-'V06 Calend 01'!C10),6)=0),(((79-'V06 Calend 01'!C10)/6)&lt;='V06 Calend 01'!E10)),IF((79=('V06 Calend 01'!C10+(6*'V06 Calend 01'!E10))),('V06 Calend 01'!H10-('V06 Calend 01'!I10*('V06 Calend 01'!E10-1))),'V06 Calend 01'!I10),0))+IF((79='V06 Calend 01'!D10),'V06 Calend 01'!J10,0))</f>
        <v>0</v>
      </c>
      <c r="CN10" s="2">
        <f>((IF((80='V06 Calend 01'!C10),('V06 Calend 01'!F10+'V06 Calend 01'!G10),0)+IF(AND(('V06 Calend 01'!E10&gt;0),(80&gt;'V06 Calend 01'!C10),(80&lt;'V06 Calend 01'!D10),(MOD((80-'V06 Calend 01'!C10),6)=0),(((80-'V06 Calend 01'!C10)/6)&lt;='V06 Calend 01'!E10)),IF((80=('V06 Calend 01'!C10+(6*'V06 Calend 01'!E10))),('V06 Calend 01'!H10-('V06 Calend 01'!I10*('V06 Calend 01'!E10-1))),'V06 Calend 01'!I10),0))+IF((80='V06 Calend 01'!D10),'V06 Calend 01'!J10,0))</f>
        <v>0</v>
      </c>
      <c r="CO10" s="2">
        <f>((IF((81='V06 Calend 01'!C10),('V06 Calend 01'!F10+'V06 Calend 01'!G10),0)+IF(AND(('V06 Calend 01'!E10&gt;0),(81&gt;'V06 Calend 01'!C10),(81&lt;'V06 Calend 01'!D10),(MOD((81-'V06 Calend 01'!C10),6)=0),(((81-'V06 Calend 01'!C10)/6)&lt;='V06 Calend 01'!E10)),IF((81=('V06 Calend 01'!C10+(6*'V06 Calend 01'!E10))),('V06 Calend 01'!H10-('V06 Calend 01'!I10*('V06 Calend 01'!E10-1))),'V06 Calend 01'!I10),0))+IF((81='V06 Calend 01'!D10),'V06 Calend 01'!J10,0))</f>
        <v>0</v>
      </c>
      <c r="CP10" s="2">
        <f>((IF((82='V06 Calend 01'!C10),('V06 Calend 01'!F10+'V06 Calend 01'!G10),0)+IF(AND(('V06 Calend 01'!E10&gt;0),(82&gt;'V06 Calend 01'!C10),(82&lt;'V06 Calend 01'!D10),(MOD((82-'V06 Calend 01'!C10),6)=0),(((82-'V06 Calend 01'!C10)/6)&lt;='V06 Calend 01'!E10)),IF((82=('V06 Calend 01'!C10+(6*'V06 Calend 01'!E10))),('V06 Calend 01'!H10-('V06 Calend 01'!I10*('V06 Calend 01'!E10-1))),'V06 Calend 01'!I10),0))+IF((82='V06 Calend 01'!D10),'V06 Calend 01'!J10,0))</f>
        <v>0</v>
      </c>
      <c r="CQ10" s="2">
        <f>((IF((83='V06 Calend 01'!C10),('V06 Calend 01'!F10+'V06 Calend 01'!G10),0)+IF(AND(('V06 Calend 01'!E10&gt;0),(83&gt;'V06 Calend 01'!C10),(83&lt;'V06 Calend 01'!D10),(MOD((83-'V06 Calend 01'!C10),6)=0),(((83-'V06 Calend 01'!C10)/6)&lt;='V06 Calend 01'!E10)),IF((83=('V06 Calend 01'!C10+(6*'V06 Calend 01'!E10))),('V06 Calend 01'!H10-('V06 Calend 01'!I10*('V06 Calend 01'!E10-1))),'V06 Calend 01'!I10),0))+IF((83='V06 Calend 01'!D10),'V06 Calend 01'!J10,0))</f>
        <v>0</v>
      </c>
      <c r="CR10" s="2">
        <f>((IF((84='V06 Calend 01'!C10),('V06 Calend 01'!F10+'V06 Calend 01'!G10),0)+IF(AND(('V06 Calend 01'!E10&gt;0),(84&gt;'V06 Calend 01'!C10),(84&lt;'V06 Calend 01'!D10),(MOD((84-'V06 Calend 01'!C10),6)=0),(((84-'V06 Calend 01'!C10)/6)&lt;='V06 Calend 01'!E10)),IF((84=('V06 Calend 01'!C10+(6*'V06 Calend 01'!E10))),('V06 Calend 01'!H10-('V06 Calend 01'!I10*('V06 Calend 01'!E10-1))),'V06 Calend 01'!I10),0))+IF((84='V06 Calend 01'!D10),'V06 Calend 01'!J10,0))</f>
        <v>0</v>
      </c>
      <c r="CS10" s="2">
        <f>((IF((85='V06 Calend 01'!C10),('V06 Calend 01'!F10+'V06 Calend 01'!G10),0)+IF(AND(('V06 Calend 01'!E10&gt;0),(85&gt;'V06 Calend 01'!C10),(85&lt;'V06 Calend 01'!D10),(MOD((85-'V06 Calend 01'!C10),6)=0),(((85-'V06 Calend 01'!C10)/6)&lt;='V06 Calend 01'!E10)),IF((85=('V06 Calend 01'!C10+(6*'V06 Calend 01'!E10))),('V06 Calend 01'!H10-('V06 Calend 01'!I10*('V06 Calend 01'!E10-1))),'V06 Calend 01'!I10),0))+IF((85='V06 Calend 01'!D10),'V06 Calend 01'!J10,0))</f>
        <v>0</v>
      </c>
      <c r="CT10" s="2">
        <f>((IF((86='V06 Calend 01'!C10),('V06 Calend 01'!F10+'V06 Calend 01'!G10),0)+IF(AND(('V06 Calend 01'!E10&gt;0),(86&gt;'V06 Calend 01'!C10),(86&lt;'V06 Calend 01'!D10),(MOD((86-'V06 Calend 01'!C10),6)=0),(((86-'V06 Calend 01'!C10)/6)&lt;='V06 Calend 01'!E10)),IF((86=('V06 Calend 01'!C10+(6*'V06 Calend 01'!E10))),('V06 Calend 01'!H10-('V06 Calend 01'!I10*('V06 Calend 01'!E10-1))),'V06 Calend 01'!I10),0))+IF((86='V06 Calend 01'!D10),'V06 Calend 01'!J10,0))</f>
        <v>0</v>
      </c>
      <c r="CU10" s="2">
        <f>((IF((87='V06 Calend 01'!C10),('V06 Calend 01'!F10+'V06 Calend 01'!G10),0)+IF(AND(('V06 Calend 01'!E10&gt;0),(87&gt;'V06 Calend 01'!C10),(87&lt;'V06 Calend 01'!D10),(MOD((87-'V06 Calend 01'!C10),6)=0),(((87-'V06 Calend 01'!C10)/6)&lt;='V06 Calend 01'!E10)),IF((87=('V06 Calend 01'!C10+(6*'V06 Calend 01'!E10))),('V06 Calend 01'!H10-('V06 Calend 01'!I10*('V06 Calend 01'!E10-1))),'V06 Calend 01'!I10),0))+IF((87='V06 Calend 01'!D10),'V06 Calend 01'!J10,0))</f>
        <v>0</v>
      </c>
      <c r="CV10" s="2">
        <f>((IF((88='V06 Calend 01'!C10),('V06 Calend 01'!F10+'V06 Calend 01'!G10),0)+IF(AND(('V06 Calend 01'!E10&gt;0),(88&gt;'V06 Calend 01'!C10),(88&lt;'V06 Calend 01'!D10),(MOD((88-'V06 Calend 01'!C10),6)=0),(((88-'V06 Calend 01'!C10)/6)&lt;='V06 Calend 01'!E10)),IF((88=('V06 Calend 01'!C10+(6*'V06 Calend 01'!E10))),('V06 Calend 01'!H10-('V06 Calend 01'!I10*('V06 Calend 01'!E10-1))),'V06 Calend 01'!I10),0))+IF((88='V06 Calend 01'!D10),'V06 Calend 01'!J10,0))</f>
        <v>0</v>
      </c>
      <c r="CW10" s="2">
        <f>((IF((89='V06 Calend 01'!C10),('V06 Calend 01'!F10+'V06 Calend 01'!G10),0)+IF(AND(('V06 Calend 01'!E10&gt;0),(89&gt;'V06 Calend 01'!C10),(89&lt;'V06 Calend 01'!D10),(MOD((89-'V06 Calend 01'!C10),6)=0),(((89-'V06 Calend 01'!C10)/6)&lt;='V06 Calend 01'!E10)),IF((89=('V06 Calend 01'!C10+(6*'V06 Calend 01'!E10))),('V06 Calend 01'!H10-('V06 Calend 01'!I10*('V06 Calend 01'!E10-1))),'V06 Calend 01'!I10),0))+IF((89='V06 Calend 01'!D10),'V06 Calend 01'!J10,0))</f>
        <v>0</v>
      </c>
      <c r="CX10" s="2">
        <f>((IF((90='V06 Calend 01'!C10),('V06 Calend 01'!F10+'V06 Calend 01'!G10),0)+IF(AND(('V06 Calend 01'!E10&gt;0),(90&gt;'V06 Calend 01'!C10),(90&lt;'V06 Calend 01'!D10),(MOD((90-'V06 Calend 01'!C10),6)=0),(((90-'V06 Calend 01'!C10)/6)&lt;='V06 Calend 01'!E10)),IF((90=('V06 Calend 01'!C10+(6*'V06 Calend 01'!E10))),('V06 Calend 01'!H10-('V06 Calend 01'!I10*('V06 Calend 01'!E10-1))),'V06 Calend 01'!I10),0))+IF((90='V06 Calend 01'!D10),'V06 Calend 01'!J10,0))</f>
        <v>0</v>
      </c>
      <c r="CY10" s="2">
        <f>((IF((91='V06 Calend 01'!C10),('V06 Calend 01'!F10+'V06 Calend 01'!G10),0)+IF(AND(('V06 Calend 01'!E10&gt;0),(91&gt;'V06 Calend 01'!C10),(91&lt;'V06 Calend 01'!D10),(MOD((91-'V06 Calend 01'!C10),6)=0),(((91-'V06 Calend 01'!C10)/6)&lt;='V06 Calend 01'!E10)),IF((91=('V06 Calend 01'!C10+(6*'V06 Calend 01'!E10))),('V06 Calend 01'!H10-('V06 Calend 01'!I10*('V06 Calend 01'!E10-1))),'V06 Calend 01'!I10),0))+IF((91='V06 Calend 01'!D10),'V06 Calend 01'!J10,0))</f>
        <v>0</v>
      </c>
      <c r="CZ10" s="2">
        <f>((IF((92='V06 Calend 01'!C10),('V06 Calend 01'!F10+'V06 Calend 01'!G10),0)+IF(AND(('V06 Calend 01'!E10&gt;0),(92&gt;'V06 Calend 01'!C10),(92&lt;'V06 Calend 01'!D10),(MOD((92-'V06 Calend 01'!C10),6)=0),(((92-'V06 Calend 01'!C10)/6)&lt;='V06 Calend 01'!E10)),IF((92=('V06 Calend 01'!C10+(6*'V06 Calend 01'!E10))),('V06 Calend 01'!H10-('V06 Calend 01'!I10*('V06 Calend 01'!E10-1))),'V06 Calend 01'!I10),0))+IF((92='V06 Calend 01'!D10),'V06 Calend 01'!J10,0))</f>
        <v>0</v>
      </c>
      <c r="DA10" s="2">
        <f>((IF((93='V06 Calend 01'!C10),('V06 Calend 01'!F10+'V06 Calend 01'!G10),0)+IF(AND(('V06 Calend 01'!E10&gt;0),(93&gt;'V06 Calend 01'!C10),(93&lt;'V06 Calend 01'!D10),(MOD((93-'V06 Calend 01'!C10),6)=0),(((93-'V06 Calend 01'!C10)/6)&lt;='V06 Calend 01'!E10)),IF((93=('V06 Calend 01'!C10+(6*'V06 Calend 01'!E10))),('V06 Calend 01'!H10-('V06 Calend 01'!I10*('V06 Calend 01'!E10-1))),'V06 Calend 01'!I10),0))+IF((93='V06 Calend 01'!D10),'V06 Calend 01'!J10,0))</f>
        <v>0</v>
      </c>
      <c r="DB10" s="2">
        <f>((IF((94='V06 Calend 01'!C10),('V06 Calend 01'!F10+'V06 Calend 01'!G10),0)+IF(AND(('V06 Calend 01'!E10&gt;0),(94&gt;'V06 Calend 01'!C10),(94&lt;'V06 Calend 01'!D10),(MOD((94-'V06 Calend 01'!C10),6)=0),(((94-'V06 Calend 01'!C10)/6)&lt;='V06 Calend 01'!E10)),IF((94=('V06 Calend 01'!C10+(6*'V06 Calend 01'!E10))),('V06 Calend 01'!H10-('V06 Calend 01'!I10*('V06 Calend 01'!E10-1))),'V06 Calend 01'!I10),0))+IF((94='V06 Calend 01'!D10),'V06 Calend 01'!J10,0))</f>
        <v>0</v>
      </c>
      <c r="DC10" s="2">
        <f>((IF((95='V06 Calend 01'!C10),('V06 Calend 01'!F10+'V06 Calend 01'!G10),0)+IF(AND(('V06 Calend 01'!E10&gt;0),(95&gt;'V06 Calend 01'!C10),(95&lt;'V06 Calend 01'!D10),(MOD((95-'V06 Calend 01'!C10),6)=0),(((95-'V06 Calend 01'!C10)/6)&lt;='V06 Calend 01'!E10)),IF((95=('V06 Calend 01'!C10+(6*'V06 Calend 01'!E10))),('V06 Calend 01'!H10-('V06 Calend 01'!I10*('V06 Calend 01'!E10-1))),'V06 Calend 01'!I10),0))+IF((95='V06 Calend 01'!D10),'V06 Calend 01'!J10,0))</f>
        <v>0</v>
      </c>
      <c r="DD10" s="2">
        <f>((IF((96='V06 Calend 01'!C10),('V06 Calend 01'!F10+'V06 Calend 01'!G10),0)+IF(AND(('V06 Calend 01'!E10&gt;0),(96&gt;'V06 Calend 01'!C10),(96&lt;'V06 Calend 01'!D10),(MOD((96-'V06 Calend 01'!C10),6)=0),(((96-'V06 Calend 01'!C10)/6)&lt;='V06 Calend 01'!E10)),IF((96=('V06 Calend 01'!C10+(6*'V06 Calend 01'!E10))),('V06 Calend 01'!H10-('V06 Calend 01'!I10*('V06 Calend 01'!E10-1))),'V06 Calend 01'!I10),0))+IF((96='V06 Calend 01'!D10),'V06 Calend 01'!J10,0))</f>
        <v>0</v>
      </c>
      <c r="DE10" s="2">
        <f>((IF((97='V06 Calend 01'!C10),('V06 Calend 01'!F10+'V06 Calend 01'!G10),0)+IF(AND(('V06 Calend 01'!E10&gt;0),(97&gt;'V06 Calend 01'!C10),(97&lt;'V06 Calend 01'!D10),(MOD((97-'V06 Calend 01'!C10),6)=0),(((97-'V06 Calend 01'!C10)/6)&lt;='V06 Calend 01'!E10)),IF((97=('V06 Calend 01'!C10+(6*'V06 Calend 01'!E10))),('V06 Calend 01'!H10-('V06 Calend 01'!I10*('V06 Calend 01'!E10-1))),'V06 Calend 01'!I10),0))+IF((97='V06 Calend 01'!D10),'V06 Calend 01'!J10,0))</f>
        <v>0</v>
      </c>
      <c r="DF10" s="2">
        <f>((IF((98='V06 Calend 01'!C10),('V06 Calend 01'!F10+'V06 Calend 01'!G10),0)+IF(AND(('V06 Calend 01'!E10&gt;0),(98&gt;'V06 Calend 01'!C10),(98&lt;'V06 Calend 01'!D10),(MOD((98-'V06 Calend 01'!C10),6)=0),(((98-'V06 Calend 01'!C10)/6)&lt;='V06 Calend 01'!E10)),IF((98=('V06 Calend 01'!C10+(6*'V06 Calend 01'!E10))),('V06 Calend 01'!H10-('V06 Calend 01'!I10*('V06 Calend 01'!E10-1))),'V06 Calend 01'!I10),0))+IF((98='V06 Calend 01'!D10),'V06 Calend 01'!J10,0))</f>
        <v>0</v>
      </c>
      <c r="DG10" s="2">
        <f>((IF((99='V06 Calend 01'!C10),('V06 Calend 01'!F10+'V06 Calend 01'!G10),0)+IF(AND(('V06 Calend 01'!E10&gt;0),(99&gt;'V06 Calend 01'!C10),(99&lt;'V06 Calend 01'!D10),(MOD((99-'V06 Calend 01'!C10),6)=0),(((99-'V06 Calend 01'!C10)/6)&lt;='V06 Calend 01'!E10)),IF((99=('V06 Calend 01'!C10+(6*'V06 Calend 01'!E10))),('V06 Calend 01'!H10-('V06 Calend 01'!I10*('V06 Calend 01'!E10-1))),'V06 Calend 01'!I10),0))+IF((99='V06 Calend 01'!D10),'V06 Calend 01'!J10,0))</f>
        <v>0</v>
      </c>
      <c r="DH10" s="2">
        <f>((IF((100='V06 Calend 01'!C10),('V06 Calend 01'!F10+'V06 Calend 01'!G10),0)+IF(AND(('V06 Calend 01'!E10&gt;0),(100&gt;'V06 Calend 01'!C10),(100&lt;'V06 Calend 01'!D10),(MOD((100-'V06 Calend 01'!C10),6)=0),(((100-'V06 Calend 01'!C10)/6)&lt;='V06 Calend 01'!E10)),IF((100=('V06 Calend 01'!C10+(6*'V06 Calend 01'!E10))),('V06 Calend 01'!H10-('V06 Calend 01'!I10*('V06 Calend 01'!E10-1))),'V06 Calend 01'!I10),0))+IF((100='V06 Calend 01'!D10),'V06 Calend 01'!J10,0))</f>
        <v>0</v>
      </c>
      <c r="DI10" s="2">
        <f>((IF((101='V06 Calend 01'!C10),('V06 Calend 01'!F10+'V06 Calend 01'!G10),0)+IF(AND(('V06 Calend 01'!E10&gt;0),(101&gt;'V06 Calend 01'!C10),(101&lt;'V06 Calend 01'!D10),(MOD((101-'V06 Calend 01'!C10),6)=0),(((101-'V06 Calend 01'!C10)/6)&lt;='V06 Calend 01'!E10)),IF((101=('V06 Calend 01'!C10+(6*'V06 Calend 01'!E10))),('V06 Calend 01'!H10-('V06 Calend 01'!I10*('V06 Calend 01'!E10-1))),'V06 Calend 01'!I10),0))+IF((101='V06 Calend 01'!D10),'V06 Calend 01'!J10,0))</f>
        <v>0</v>
      </c>
      <c r="DJ10" s="2">
        <f>((IF((102='V06 Calend 01'!C10),('V06 Calend 01'!F10+'V06 Calend 01'!G10),0)+IF(AND(('V06 Calend 01'!E10&gt;0),(102&gt;'V06 Calend 01'!C10),(102&lt;'V06 Calend 01'!D10),(MOD((102-'V06 Calend 01'!C10),6)=0),(((102-'V06 Calend 01'!C10)/6)&lt;='V06 Calend 01'!E10)),IF((102=('V06 Calend 01'!C10+(6*'V06 Calend 01'!E10))),('V06 Calend 01'!H10-('V06 Calend 01'!I10*('V06 Calend 01'!E10-1))),'V06 Calend 01'!I10),0))+IF((102='V06 Calend 01'!D10),'V06 Calend 01'!J10,0))</f>
        <v>0</v>
      </c>
      <c r="DK10" s="2">
        <f>((IF((103='V06 Calend 01'!C10),('V06 Calend 01'!F10+'V06 Calend 01'!G10),0)+IF(AND(('V06 Calend 01'!E10&gt;0),(103&gt;'V06 Calend 01'!C10),(103&lt;'V06 Calend 01'!D10),(MOD((103-'V06 Calend 01'!C10),6)=0),(((103-'V06 Calend 01'!C10)/6)&lt;='V06 Calend 01'!E10)),IF((103=('V06 Calend 01'!C10+(6*'V06 Calend 01'!E10))),('V06 Calend 01'!H10-('V06 Calend 01'!I10*('V06 Calend 01'!E10-1))),'V06 Calend 01'!I10),0))+IF((103='V06 Calend 01'!D10),'V06 Calend 01'!J10,0))</f>
        <v>0</v>
      </c>
      <c r="DL10" s="2">
        <f>((IF((104='V06 Calend 01'!C10),('V06 Calend 01'!F10+'V06 Calend 01'!G10),0)+IF(AND(('V06 Calend 01'!E10&gt;0),(104&gt;'V06 Calend 01'!C10),(104&lt;'V06 Calend 01'!D10),(MOD((104-'V06 Calend 01'!C10),6)=0),(((104-'V06 Calend 01'!C10)/6)&lt;='V06 Calend 01'!E10)),IF((104=('V06 Calend 01'!C10+(6*'V06 Calend 01'!E10))),('V06 Calend 01'!H10-('V06 Calend 01'!I10*('V06 Calend 01'!E10-1))),'V06 Calend 01'!I10),0))+IF((104='V06 Calend 01'!D10),'V06 Calend 01'!J10,0))</f>
        <v>0</v>
      </c>
      <c r="DM10" s="2">
        <f>((IF((105='V06 Calend 01'!C10),('V06 Calend 01'!F10+'V06 Calend 01'!G10),0)+IF(AND(('V06 Calend 01'!E10&gt;0),(105&gt;'V06 Calend 01'!C10),(105&lt;'V06 Calend 01'!D10),(MOD((105-'V06 Calend 01'!C10),6)=0),(((105-'V06 Calend 01'!C10)/6)&lt;='V06 Calend 01'!E10)),IF((105=('V06 Calend 01'!C10+(6*'V06 Calend 01'!E10))),('V06 Calend 01'!H10-('V06 Calend 01'!I10*('V06 Calend 01'!E10-1))),'V06 Calend 01'!I10),0))+IF((105='V06 Calend 01'!D10),'V06 Calend 01'!J10,0))</f>
        <v>0</v>
      </c>
      <c r="DN10" s="2">
        <f>((IF((106='V06 Calend 01'!C10),('V06 Calend 01'!F10+'V06 Calend 01'!G10),0)+IF(AND(('V06 Calend 01'!E10&gt;0),(106&gt;'V06 Calend 01'!C10),(106&lt;'V06 Calend 01'!D10),(MOD((106-'V06 Calend 01'!C10),6)=0),(((106-'V06 Calend 01'!C10)/6)&lt;='V06 Calend 01'!E10)),IF((106=('V06 Calend 01'!C10+(6*'V06 Calend 01'!E10))),('V06 Calend 01'!H10-('V06 Calend 01'!I10*('V06 Calend 01'!E10-1))),'V06 Calend 01'!I10),0))+IF((106='V06 Calend 01'!D10),'V06 Calend 01'!J10,0))</f>
        <v>0</v>
      </c>
      <c r="DO10" s="2">
        <f>((IF((107='V06 Calend 01'!C10),('V06 Calend 01'!F10+'V06 Calend 01'!G10),0)+IF(AND(('V06 Calend 01'!E10&gt;0),(107&gt;'V06 Calend 01'!C10),(107&lt;'V06 Calend 01'!D10),(MOD((107-'V06 Calend 01'!C10),6)=0),(((107-'V06 Calend 01'!C10)/6)&lt;='V06 Calend 01'!E10)),IF((107=('V06 Calend 01'!C10+(6*'V06 Calend 01'!E10))),('V06 Calend 01'!H10-('V06 Calend 01'!I10*('V06 Calend 01'!E10-1))),'V06 Calend 01'!I10),0))+IF((107='V06 Calend 01'!D10),'V06 Calend 01'!J10,0))</f>
        <v>0</v>
      </c>
      <c r="DP10" s="2">
        <f>((IF((108='V06 Calend 01'!C10),('V06 Calend 01'!F10+'V06 Calend 01'!G10),0)+IF(AND(('V06 Calend 01'!E10&gt;0),(108&gt;'V06 Calend 01'!C10),(108&lt;'V06 Calend 01'!D10),(MOD((108-'V06 Calend 01'!C10),6)=0),(((108-'V06 Calend 01'!C10)/6)&lt;='V06 Calend 01'!E10)),IF((108=('V06 Calend 01'!C10+(6*'V06 Calend 01'!E10))),('V06 Calend 01'!H10-('V06 Calend 01'!I10*('V06 Calend 01'!E10-1))),'V06 Calend 01'!I10),0))+IF((108='V06 Calend 01'!D10),'V06 Calend 01'!J10,0))</f>
        <v>0</v>
      </c>
      <c r="DQ10" s="2">
        <f>((IF((109='V06 Calend 01'!C10),('V06 Calend 01'!F10+'V06 Calend 01'!G10),0)+IF(AND(('V06 Calend 01'!E10&gt;0),(109&gt;'V06 Calend 01'!C10),(109&lt;'V06 Calend 01'!D10),(MOD((109-'V06 Calend 01'!C10),6)=0),(((109-'V06 Calend 01'!C10)/6)&lt;='V06 Calend 01'!E10)),IF((109=('V06 Calend 01'!C10+(6*'V06 Calend 01'!E10))),('V06 Calend 01'!H10-('V06 Calend 01'!I10*('V06 Calend 01'!E10-1))),'V06 Calend 01'!I10),0))+IF((109='V06 Calend 01'!D10),'V06 Calend 01'!J10,0))</f>
        <v>0</v>
      </c>
      <c r="DR10" s="2">
        <f>((IF((110='V06 Calend 01'!C10),('V06 Calend 01'!F10+'V06 Calend 01'!G10),0)+IF(AND(('V06 Calend 01'!E10&gt;0),(110&gt;'V06 Calend 01'!C10),(110&lt;'V06 Calend 01'!D10),(MOD((110-'V06 Calend 01'!C10),6)=0),(((110-'V06 Calend 01'!C10)/6)&lt;='V06 Calend 01'!E10)),IF((110=('V06 Calend 01'!C10+(6*'V06 Calend 01'!E10))),('V06 Calend 01'!H10-('V06 Calend 01'!I10*('V06 Calend 01'!E10-1))),'V06 Calend 01'!I10),0))+IF((110='V06 Calend 01'!D10),'V06 Calend 01'!J10,0))</f>
        <v>0</v>
      </c>
      <c r="DS10" s="2">
        <f>((IF((111='V06 Calend 01'!C10),('V06 Calend 01'!F10+'V06 Calend 01'!G10),0)+IF(AND(('V06 Calend 01'!E10&gt;0),(111&gt;'V06 Calend 01'!C10),(111&lt;'V06 Calend 01'!D10),(MOD((111-'V06 Calend 01'!C10),6)=0),(((111-'V06 Calend 01'!C10)/6)&lt;='V06 Calend 01'!E10)),IF((111=('V06 Calend 01'!C10+(6*'V06 Calend 01'!E10))),('V06 Calend 01'!H10-('V06 Calend 01'!I10*('V06 Calend 01'!E10-1))),'V06 Calend 01'!I10),0))+IF((111='V06 Calend 01'!D10),'V06 Calend 01'!J10,0))</f>
        <v>0</v>
      </c>
      <c r="DT10" s="2">
        <f>((IF((112='V06 Calend 01'!C10),('V06 Calend 01'!F10+'V06 Calend 01'!G10),0)+IF(AND(('V06 Calend 01'!E10&gt;0),(112&gt;'V06 Calend 01'!C10),(112&lt;'V06 Calend 01'!D10),(MOD((112-'V06 Calend 01'!C10),6)=0),(((112-'V06 Calend 01'!C10)/6)&lt;='V06 Calend 01'!E10)),IF((112=('V06 Calend 01'!C10+(6*'V06 Calend 01'!E10))),('V06 Calend 01'!H10-('V06 Calend 01'!I10*('V06 Calend 01'!E10-1))),'V06 Calend 01'!I10),0))+IF((112='V06 Calend 01'!D10),'V06 Calend 01'!J10,0))</f>
        <v>0</v>
      </c>
      <c r="DU10" s="2">
        <f>((IF((113='V06 Calend 01'!C10),('V06 Calend 01'!F10+'V06 Calend 01'!G10),0)+IF(AND(('V06 Calend 01'!E10&gt;0),(113&gt;'V06 Calend 01'!C10),(113&lt;'V06 Calend 01'!D10),(MOD((113-'V06 Calend 01'!C10),6)=0),(((113-'V06 Calend 01'!C10)/6)&lt;='V06 Calend 01'!E10)),IF((113=('V06 Calend 01'!C10+(6*'V06 Calend 01'!E10))),('V06 Calend 01'!H10-('V06 Calend 01'!I10*('V06 Calend 01'!E10-1))),'V06 Calend 01'!I10),0))+IF((113='V06 Calend 01'!D10),'V06 Calend 01'!J10,0))</f>
        <v>0</v>
      </c>
      <c r="DV10" s="2">
        <f>((IF((114='V06 Calend 01'!C10),('V06 Calend 01'!F10+'V06 Calend 01'!G10),0)+IF(AND(('V06 Calend 01'!E10&gt;0),(114&gt;'V06 Calend 01'!C10),(114&lt;'V06 Calend 01'!D10),(MOD((114-'V06 Calend 01'!C10),6)=0),(((114-'V06 Calend 01'!C10)/6)&lt;='V06 Calend 01'!E10)),IF((114=('V06 Calend 01'!C10+(6*'V06 Calend 01'!E10))),('V06 Calend 01'!H10-('V06 Calend 01'!I10*('V06 Calend 01'!E10-1))),'V06 Calend 01'!I10),0))+IF((114='V06 Calend 01'!D10),'V06 Calend 01'!J10,0))</f>
        <v>0</v>
      </c>
      <c r="DW10" s="2">
        <f>((IF((115='V06 Calend 01'!C10),('V06 Calend 01'!F10+'V06 Calend 01'!G10),0)+IF(AND(('V06 Calend 01'!E10&gt;0),(115&gt;'V06 Calend 01'!C10),(115&lt;'V06 Calend 01'!D10),(MOD((115-'V06 Calend 01'!C10),6)=0),(((115-'V06 Calend 01'!C10)/6)&lt;='V06 Calend 01'!E10)),IF((115=('V06 Calend 01'!C10+(6*'V06 Calend 01'!E10))),('V06 Calend 01'!H10-('V06 Calend 01'!I10*('V06 Calend 01'!E10-1))),'V06 Calend 01'!I10),0))+IF((115='V06 Calend 01'!D10),'V06 Calend 01'!J10,0))</f>
        <v>0</v>
      </c>
      <c r="DX10" s="2">
        <f>((IF((116='V06 Calend 01'!C10),('V06 Calend 01'!F10+'V06 Calend 01'!G10),0)+IF(AND(('V06 Calend 01'!E10&gt;0),(116&gt;'V06 Calend 01'!C10),(116&lt;'V06 Calend 01'!D10),(MOD((116-'V06 Calend 01'!C10),6)=0),(((116-'V06 Calend 01'!C10)/6)&lt;='V06 Calend 01'!E10)),IF((116=('V06 Calend 01'!C10+(6*'V06 Calend 01'!E10))),('V06 Calend 01'!H10-('V06 Calend 01'!I10*('V06 Calend 01'!E10-1))),'V06 Calend 01'!I10),0))+IF((116='V06 Calend 01'!D10),'V06 Calend 01'!J10,0))</f>
        <v>0</v>
      </c>
      <c r="DY10" s="2">
        <f>((IF((117='V06 Calend 01'!C10),('V06 Calend 01'!F10+'V06 Calend 01'!G10),0)+IF(AND(('V06 Calend 01'!E10&gt;0),(117&gt;'V06 Calend 01'!C10),(117&lt;'V06 Calend 01'!D10),(MOD((117-'V06 Calend 01'!C10),6)=0),(((117-'V06 Calend 01'!C10)/6)&lt;='V06 Calend 01'!E10)),IF((117=('V06 Calend 01'!C10+(6*'V06 Calend 01'!E10))),('V06 Calend 01'!H10-('V06 Calend 01'!I10*('V06 Calend 01'!E10-1))),'V06 Calend 01'!I10),0))+IF((117='V06 Calend 01'!D10),'V06 Calend 01'!J10,0))</f>
        <v>0</v>
      </c>
      <c r="DZ10" s="2">
        <f>((IF((118='V06 Calend 01'!C10),('V06 Calend 01'!F10+'V06 Calend 01'!G10),0)+IF(AND(('V06 Calend 01'!E10&gt;0),(118&gt;'V06 Calend 01'!C10),(118&lt;'V06 Calend 01'!D10),(MOD((118-'V06 Calend 01'!C10),6)=0),(((118-'V06 Calend 01'!C10)/6)&lt;='V06 Calend 01'!E10)),IF((118=('V06 Calend 01'!C10+(6*'V06 Calend 01'!E10))),('V06 Calend 01'!H10-('V06 Calend 01'!I10*('V06 Calend 01'!E10-1))),'V06 Calend 01'!I10),0))+IF((118='V06 Calend 01'!D10),'V06 Calend 01'!J10,0))</f>
        <v>0</v>
      </c>
      <c r="EA10" s="2">
        <f>((IF((119='V06 Calend 01'!C10),('V06 Calend 01'!F10+'V06 Calend 01'!G10),0)+IF(AND(('V06 Calend 01'!E10&gt;0),(119&gt;'V06 Calend 01'!C10),(119&lt;'V06 Calend 01'!D10),(MOD((119-'V06 Calend 01'!C10),6)=0),(((119-'V06 Calend 01'!C10)/6)&lt;='V06 Calend 01'!E10)),IF((119=('V06 Calend 01'!C10+(6*'V06 Calend 01'!E10))),('V06 Calend 01'!H10-('V06 Calend 01'!I10*('V06 Calend 01'!E10-1))),'V06 Calend 01'!I10),0))+IF((119='V06 Calend 01'!D10),'V06 Calend 01'!J10,0))</f>
        <v>0</v>
      </c>
      <c r="EB10" s="2">
        <f>((IF((120='V06 Calend 01'!C10),('V06 Calend 01'!F10+'V06 Calend 01'!G10),0)+IF(AND(('V06 Calend 01'!E10&gt;0),(120&gt;'V06 Calend 01'!C10),(120&lt;'V06 Calend 01'!D10),(MOD((120-'V06 Calend 01'!C10),6)=0),(((120-'V06 Calend 01'!C10)/6)&lt;='V06 Calend 01'!E10)),IF((120=('V06 Calend 01'!C10+(6*'V06 Calend 01'!E10))),('V06 Calend 01'!H10-('V06 Calend 01'!I10*('V06 Calend 01'!E10-1))),'V06 Calend 01'!I10),0))+IF((120='V06 Calend 01'!D10),'V06 Calend 01'!J10,0))</f>
        <v>0</v>
      </c>
      <c r="EC10" s="2">
        <f>((IF((121='V06 Calend 01'!C10),('V06 Calend 01'!F10+'V06 Calend 01'!G10),0)+IF(AND(('V06 Calend 01'!E10&gt;0),(121&gt;'V06 Calend 01'!C10),(121&lt;'V06 Calend 01'!D10),(MOD((121-'V06 Calend 01'!C10),6)=0),(((121-'V06 Calend 01'!C10)/6)&lt;='V06 Calend 01'!E10)),IF((121=('V06 Calend 01'!C10+(6*'V06 Calend 01'!E10))),('V06 Calend 01'!H10-('V06 Calend 01'!I10*('V06 Calend 01'!E10-1))),'V06 Calend 01'!I10),0))+IF((121='V06 Calend 01'!D10),'V06 Calend 01'!J10,0))</f>
        <v>0</v>
      </c>
      <c r="ED10" s="2">
        <f>((IF((122='V06 Calend 01'!C10),('V06 Calend 01'!F10+'V06 Calend 01'!G10),0)+IF(AND(('V06 Calend 01'!E10&gt;0),(122&gt;'V06 Calend 01'!C10),(122&lt;'V06 Calend 01'!D10),(MOD((122-'V06 Calend 01'!C10),6)=0),(((122-'V06 Calend 01'!C10)/6)&lt;='V06 Calend 01'!E10)),IF((122=('V06 Calend 01'!C10+(6*'V06 Calend 01'!E10))),('V06 Calend 01'!H10-('V06 Calend 01'!I10*('V06 Calend 01'!E10-1))),'V06 Calend 01'!I10),0))+IF((122='V06 Calend 01'!D10),'V06 Calend 01'!J10,0))</f>
        <v>0</v>
      </c>
      <c r="EE10" s="2">
        <f>((IF((123='V06 Calend 01'!C10),('V06 Calend 01'!F10+'V06 Calend 01'!G10),0)+IF(AND(('V06 Calend 01'!E10&gt;0),(123&gt;'V06 Calend 01'!C10),(123&lt;'V06 Calend 01'!D10),(MOD((123-'V06 Calend 01'!C10),6)=0),(((123-'V06 Calend 01'!C10)/6)&lt;='V06 Calend 01'!E10)),IF((123=('V06 Calend 01'!C10+(6*'V06 Calend 01'!E10))),('V06 Calend 01'!H10-('V06 Calend 01'!I10*('V06 Calend 01'!E10-1))),'V06 Calend 01'!I10),0))+IF((123='V06 Calend 01'!D10),'V06 Calend 01'!J10,0))</f>
        <v>0</v>
      </c>
      <c r="EF10" s="2">
        <f>((IF((124='V06 Calend 01'!C10),('V06 Calend 01'!F10+'V06 Calend 01'!G10),0)+IF(AND(('V06 Calend 01'!E10&gt;0),(124&gt;'V06 Calend 01'!C10),(124&lt;'V06 Calend 01'!D10),(MOD((124-'V06 Calend 01'!C10),6)=0),(((124-'V06 Calend 01'!C10)/6)&lt;='V06 Calend 01'!E10)),IF((124=('V06 Calend 01'!C10+(6*'V06 Calend 01'!E10))),('V06 Calend 01'!H10-('V06 Calend 01'!I10*('V06 Calend 01'!E10-1))),'V06 Calend 01'!I10),0))+IF((124='V06 Calend 01'!D10),'V06 Calend 01'!J10,0))</f>
        <v>0</v>
      </c>
      <c r="EG10" s="2">
        <f>((IF((125='V06 Calend 01'!C10),('V06 Calend 01'!F10+'V06 Calend 01'!G10),0)+IF(AND(('V06 Calend 01'!E10&gt;0),(125&gt;'V06 Calend 01'!C10),(125&lt;'V06 Calend 01'!D10),(MOD((125-'V06 Calend 01'!C10),6)=0),(((125-'V06 Calend 01'!C10)/6)&lt;='V06 Calend 01'!E10)),IF((125=('V06 Calend 01'!C10+(6*'V06 Calend 01'!E10))),('V06 Calend 01'!H10-('V06 Calend 01'!I10*('V06 Calend 01'!E10-1))),'V06 Calend 01'!I10),0))+IF((125='V06 Calend 01'!D10),'V06 Calend 01'!J10,0))</f>
        <v>0</v>
      </c>
      <c r="EH10" s="2">
        <f>((IF((126='V06 Calend 01'!C10),('V06 Calend 01'!F10+'V06 Calend 01'!G10),0)+IF(AND(('V06 Calend 01'!E10&gt;0),(126&gt;'V06 Calend 01'!C10),(126&lt;'V06 Calend 01'!D10),(MOD((126-'V06 Calend 01'!C10),6)=0),(((126-'V06 Calend 01'!C10)/6)&lt;='V06 Calend 01'!E10)),IF((126=('V06 Calend 01'!C10+(6*'V06 Calend 01'!E10))),('V06 Calend 01'!H10-('V06 Calend 01'!I10*('V06 Calend 01'!E10-1))),'V06 Calend 01'!I10),0))+IF((126='V06 Calend 01'!D10),'V06 Calend 01'!J10,0))</f>
        <v>0</v>
      </c>
      <c r="EI10" s="2">
        <f>((IF((127='V06 Calend 01'!C10),('V06 Calend 01'!F10+'V06 Calend 01'!G10),0)+IF(AND(('V06 Calend 01'!E10&gt;0),(127&gt;'V06 Calend 01'!C10),(127&lt;'V06 Calend 01'!D10),(MOD((127-'V06 Calend 01'!C10),6)=0),(((127-'V06 Calend 01'!C10)/6)&lt;='V06 Calend 01'!E10)),IF((127=('V06 Calend 01'!C10+(6*'V06 Calend 01'!E10))),('V06 Calend 01'!H10-('V06 Calend 01'!I10*('V06 Calend 01'!E10-1))),'V06 Calend 01'!I10),0))+IF((127='V06 Calend 01'!D10),'V06 Calend 01'!J10,0))</f>
        <v>0</v>
      </c>
      <c r="EJ10" s="2">
        <f>((IF((128='V06 Calend 01'!C10),('V06 Calend 01'!F10+'V06 Calend 01'!G10),0)+IF(AND(('V06 Calend 01'!E10&gt;0),(128&gt;'V06 Calend 01'!C10),(128&lt;'V06 Calend 01'!D10),(MOD((128-'V06 Calend 01'!C10),6)=0),(((128-'V06 Calend 01'!C10)/6)&lt;='V06 Calend 01'!E10)),IF((128=('V06 Calend 01'!C10+(6*'V06 Calend 01'!E10))),('V06 Calend 01'!H10-('V06 Calend 01'!I10*('V06 Calend 01'!E10-1))),'V06 Calend 01'!I10),0))+IF((128='V06 Calend 01'!D10),'V06 Calend 01'!J10,0))</f>
        <v>0</v>
      </c>
      <c r="EK10" s="2">
        <f>((IF((129='V06 Calend 01'!C10),('V06 Calend 01'!F10+'V06 Calend 01'!G10),0)+IF(AND(('V06 Calend 01'!E10&gt;0),(129&gt;'V06 Calend 01'!C10),(129&lt;'V06 Calend 01'!D10),(MOD((129-'V06 Calend 01'!C10),6)=0),(((129-'V06 Calend 01'!C10)/6)&lt;='V06 Calend 01'!E10)),IF((129=('V06 Calend 01'!C10+(6*'V06 Calend 01'!E10))),('V06 Calend 01'!H10-('V06 Calend 01'!I10*('V06 Calend 01'!E10-1))),'V06 Calend 01'!I10),0))+IF((129='V06 Calend 01'!D10),'V06 Calend 01'!J10,0))</f>
        <v>0</v>
      </c>
      <c r="EL10" s="2">
        <f>((IF((130='V06 Calend 01'!C10),('V06 Calend 01'!F10+'V06 Calend 01'!G10),0)+IF(AND(('V06 Calend 01'!E10&gt;0),(130&gt;'V06 Calend 01'!C10),(130&lt;'V06 Calend 01'!D10),(MOD((130-'V06 Calend 01'!C10),6)=0),(((130-'V06 Calend 01'!C10)/6)&lt;='V06 Calend 01'!E10)),IF((130=('V06 Calend 01'!C10+(6*'V06 Calend 01'!E10))),('V06 Calend 01'!H10-('V06 Calend 01'!I10*('V06 Calend 01'!E10-1))),'V06 Calend 01'!I10),0))+IF((130='V06 Calend 01'!D10),'V06 Calend 01'!J10,0))</f>
        <v>0</v>
      </c>
      <c r="EM10" s="2">
        <f>((IF((131='V06 Calend 01'!C10),('V06 Calend 01'!F10+'V06 Calend 01'!G10),0)+IF(AND(('V06 Calend 01'!E10&gt;0),(131&gt;'V06 Calend 01'!C10),(131&lt;'V06 Calend 01'!D10),(MOD((131-'V06 Calend 01'!C10),6)=0),(((131-'V06 Calend 01'!C10)/6)&lt;='V06 Calend 01'!E10)),IF((131=('V06 Calend 01'!C10+(6*'V06 Calend 01'!E10))),('V06 Calend 01'!H10-('V06 Calend 01'!I10*('V06 Calend 01'!E10-1))),'V06 Calend 01'!I10),0))+IF((131='V06 Calend 01'!D10),'V06 Calend 01'!J10,0))</f>
        <v>0</v>
      </c>
      <c r="EN10" s="2">
        <f>((IF((132='V06 Calend 01'!C10),('V06 Calend 01'!F10+'V06 Calend 01'!G10),0)+IF(AND(('V06 Calend 01'!E10&gt;0),(132&gt;'V06 Calend 01'!C10),(132&lt;'V06 Calend 01'!D10),(MOD((132-'V06 Calend 01'!C10),6)=0),(((132-'V06 Calend 01'!C10)/6)&lt;='V06 Calend 01'!E10)),IF((132=('V06 Calend 01'!C10+(6*'V06 Calend 01'!E10))),('V06 Calend 01'!H10-('V06 Calend 01'!I10*('V06 Calend 01'!E10-1))),'V06 Calend 01'!I10),0))+IF((132='V06 Calend 01'!D10),'V06 Calend 01'!J10,0))</f>
        <v>0</v>
      </c>
      <c r="EO10" s="2">
        <f>((IF((133='V06 Calend 01'!C10),('V06 Calend 01'!F10+'V06 Calend 01'!G10),0)+IF(AND(('V06 Calend 01'!E10&gt;0),(133&gt;'V06 Calend 01'!C10),(133&lt;'V06 Calend 01'!D10),(MOD((133-'V06 Calend 01'!C10),6)=0),(((133-'V06 Calend 01'!C10)/6)&lt;='V06 Calend 01'!E10)),IF((133=('V06 Calend 01'!C10+(6*'V06 Calend 01'!E10))),('V06 Calend 01'!H10-('V06 Calend 01'!I10*('V06 Calend 01'!E10-1))),'V06 Calend 01'!I10),0))+IF((133='V06 Calend 01'!D10),'V06 Calend 01'!J10,0))</f>
        <v>0</v>
      </c>
      <c r="EP10" s="2">
        <f>((IF((134='V06 Calend 01'!C10),('V06 Calend 01'!F10+'V06 Calend 01'!G10),0)+IF(AND(('V06 Calend 01'!E10&gt;0),(134&gt;'V06 Calend 01'!C10),(134&lt;'V06 Calend 01'!D10),(MOD((134-'V06 Calend 01'!C10),6)=0),(((134-'V06 Calend 01'!C10)/6)&lt;='V06 Calend 01'!E10)),IF((134=('V06 Calend 01'!C10+(6*'V06 Calend 01'!E10))),('V06 Calend 01'!H10-('V06 Calend 01'!I10*('V06 Calend 01'!E10-1))),'V06 Calend 01'!I10),0))+IF((134='V06 Calend 01'!D10),'V06 Calend 01'!J10,0))</f>
        <v>0</v>
      </c>
      <c r="EQ10" s="2">
        <f>((IF((135='V06 Calend 01'!C10),('V06 Calend 01'!F10+'V06 Calend 01'!G10),0)+IF(AND(('V06 Calend 01'!E10&gt;0),(135&gt;'V06 Calend 01'!C10),(135&lt;'V06 Calend 01'!D10),(MOD((135-'V06 Calend 01'!C10),6)=0),(((135-'V06 Calend 01'!C10)/6)&lt;='V06 Calend 01'!E10)),IF((135=('V06 Calend 01'!C10+(6*'V06 Calend 01'!E10))),('V06 Calend 01'!H10-('V06 Calend 01'!I10*('V06 Calend 01'!E10-1))),'V06 Calend 01'!I10),0))+IF((135='V06 Calend 01'!D10),'V06 Calend 01'!J10,0))</f>
        <v>0</v>
      </c>
      <c r="ER10" s="2">
        <f>((IF((136='V06 Calend 01'!C10),('V06 Calend 01'!F10+'V06 Calend 01'!G10),0)+IF(AND(('V06 Calend 01'!E10&gt;0),(136&gt;'V06 Calend 01'!C10),(136&lt;'V06 Calend 01'!D10),(MOD((136-'V06 Calend 01'!C10),6)=0),(((136-'V06 Calend 01'!C10)/6)&lt;='V06 Calend 01'!E10)),IF((136=('V06 Calend 01'!C10+(6*'V06 Calend 01'!E10))),('V06 Calend 01'!H10-('V06 Calend 01'!I10*('V06 Calend 01'!E10-1))),'V06 Calend 01'!I10),0))+IF((136='V06 Calend 01'!D10),'V06 Calend 01'!J10,0))</f>
        <v>0</v>
      </c>
      <c r="ES10" s="2">
        <f>((IF((137='V06 Calend 01'!C10),('V06 Calend 01'!F10+'V06 Calend 01'!G10),0)+IF(AND(('V06 Calend 01'!E10&gt;0),(137&gt;'V06 Calend 01'!C10),(137&lt;'V06 Calend 01'!D10),(MOD((137-'V06 Calend 01'!C10),6)=0),(((137-'V06 Calend 01'!C10)/6)&lt;='V06 Calend 01'!E10)),IF((137=('V06 Calend 01'!C10+(6*'V06 Calend 01'!E10))),('V06 Calend 01'!H10-('V06 Calend 01'!I10*('V06 Calend 01'!E10-1))),'V06 Calend 01'!I10),0))+IF((137='V06 Calend 01'!D10),'V06 Calend 01'!J10,0))</f>
        <v>0</v>
      </c>
      <c r="ET10" s="2">
        <f>((IF((138='V06 Calend 01'!C10),('V06 Calend 01'!F10+'V06 Calend 01'!G10),0)+IF(AND(('V06 Calend 01'!E10&gt;0),(138&gt;'V06 Calend 01'!C10),(138&lt;'V06 Calend 01'!D10),(MOD((138-'V06 Calend 01'!C10),6)=0),(((138-'V06 Calend 01'!C10)/6)&lt;='V06 Calend 01'!E10)),IF((138=('V06 Calend 01'!C10+(6*'V06 Calend 01'!E10))),('V06 Calend 01'!H10-('V06 Calend 01'!I10*('V06 Calend 01'!E10-1))),'V06 Calend 01'!I10),0))+IF((138='V06 Calend 01'!D10),'V06 Calend 01'!J10,0))</f>
        <v>0</v>
      </c>
      <c r="EU10" s="2">
        <f>((IF((139='V06 Calend 01'!C10),('V06 Calend 01'!F10+'V06 Calend 01'!G10),0)+IF(AND(('V06 Calend 01'!E10&gt;0),(139&gt;'V06 Calend 01'!C10),(139&lt;'V06 Calend 01'!D10),(MOD((139-'V06 Calend 01'!C10),6)=0),(((139-'V06 Calend 01'!C10)/6)&lt;='V06 Calend 01'!E10)),IF((139=('V06 Calend 01'!C10+(6*'V06 Calend 01'!E10))),('V06 Calend 01'!H10-('V06 Calend 01'!I10*('V06 Calend 01'!E10-1))),'V06 Calend 01'!I10),0))+IF((139='V06 Calend 01'!D10),'V06 Calend 01'!J10,0))</f>
        <v>0</v>
      </c>
      <c r="EV10" s="2">
        <f>((IF((140='V06 Calend 01'!C10),('V06 Calend 01'!F10+'V06 Calend 01'!G10),0)+IF(AND(('V06 Calend 01'!E10&gt;0),(140&gt;'V06 Calend 01'!C10),(140&lt;'V06 Calend 01'!D10),(MOD((140-'V06 Calend 01'!C10),6)=0),(((140-'V06 Calend 01'!C10)/6)&lt;='V06 Calend 01'!E10)),IF((140=('V06 Calend 01'!C10+(6*'V06 Calend 01'!E10))),('V06 Calend 01'!H10-('V06 Calend 01'!I10*('V06 Calend 01'!E10-1))),'V06 Calend 01'!I10),0))+IF((140='V06 Calend 01'!D10),'V06 Calend 01'!J10,0))</f>
        <v>0</v>
      </c>
      <c r="EW10" s="2">
        <f>((IF((141='V06 Calend 01'!C10),('V06 Calend 01'!F10+'V06 Calend 01'!G10),0)+IF(AND(('V06 Calend 01'!E10&gt;0),(141&gt;'V06 Calend 01'!C10),(141&lt;'V06 Calend 01'!D10),(MOD((141-'V06 Calend 01'!C10),6)=0),(((141-'V06 Calend 01'!C10)/6)&lt;='V06 Calend 01'!E10)),IF((141=('V06 Calend 01'!C10+(6*'V06 Calend 01'!E10))),('V06 Calend 01'!H10-('V06 Calend 01'!I10*('V06 Calend 01'!E10-1))),'V06 Calend 01'!I10),0))+IF((141='V06 Calend 01'!D10),'V06 Calend 01'!J10,0))</f>
        <v>0</v>
      </c>
      <c r="EX10" s="2">
        <f>((IF((142='V06 Calend 01'!C10),('V06 Calend 01'!F10+'V06 Calend 01'!G10),0)+IF(AND(('V06 Calend 01'!E10&gt;0),(142&gt;'V06 Calend 01'!C10),(142&lt;'V06 Calend 01'!D10),(MOD((142-'V06 Calend 01'!C10),6)=0),(((142-'V06 Calend 01'!C10)/6)&lt;='V06 Calend 01'!E10)),IF((142=('V06 Calend 01'!C10+(6*'V06 Calend 01'!E10))),('V06 Calend 01'!H10-('V06 Calend 01'!I10*('V06 Calend 01'!E10-1))),'V06 Calend 01'!I10),0))+IF((142='V06 Calend 01'!D10),'V06 Calend 01'!J10,0))</f>
        <v>0</v>
      </c>
      <c r="EY10" s="2">
        <f>((IF((143='V06 Calend 01'!C10),('V06 Calend 01'!F10+'V06 Calend 01'!G10),0)+IF(AND(('V06 Calend 01'!E10&gt;0),(143&gt;'V06 Calend 01'!C10),(143&lt;'V06 Calend 01'!D10),(MOD((143-'V06 Calend 01'!C10),6)=0),(((143-'V06 Calend 01'!C10)/6)&lt;='V06 Calend 01'!E10)),IF((143=('V06 Calend 01'!C10+(6*'V06 Calend 01'!E10))),('V06 Calend 01'!H10-('V06 Calend 01'!I10*('V06 Calend 01'!E10-1))),'V06 Calend 01'!I10),0))+IF((143='V06 Calend 01'!D10),'V06 Calend 01'!J10,0))</f>
        <v>0</v>
      </c>
      <c r="EZ10" s="2">
        <f>((IF((144='V06 Calend 01'!C10),('V06 Calend 01'!F10+'V06 Calend 01'!G10),0)+IF(AND(('V06 Calend 01'!E10&gt;0),(144&gt;'V06 Calend 01'!C10),(144&lt;'V06 Calend 01'!D10),(MOD((144-'V06 Calend 01'!C10),6)=0),(((144-'V06 Calend 01'!C10)/6)&lt;='V06 Calend 01'!E10)),IF((144=('V06 Calend 01'!C10+(6*'V06 Calend 01'!E10))),('V06 Calend 01'!H10-('V06 Calend 01'!I10*('V06 Calend 01'!E10-1))),'V06 Calend 01'!I10),0))+IF((144='V06 Calend 01'!D10),'V06 Calend 01'!J10,0))</f>
        <v>0</v>
      </c>
      <c r="FA10" s="2">
        <f>((IF((145='V06 Calend 01'!C10),('V06 Calend 01'!F10+'V06 Calend 01'!G10),0)+IF(AND(('V06 Calend 01'!E10&gt;0),(145&gt;'V06 Calend 01'!C10),(145&lt;'V06 Calend 01'!D10),(MOD((145-'V06 Calend 01'!C10),6)=0),(((145-'V06 Calend 01'!C10)/6)&lt;='V06 Calend 01'!E10)),IF((145=('V06 Calend 01'!C10+(6*'V06 Calend 01'!E10))),('V06 Calend 01'!H10-('V06 Calend 01'!I10*('V06 Calend 01'!E10-1))),'V06 Calend 01'!I10),0))+IF((145='V06 Calend 01'!D10),'V06 Calend 01'!J10,0))</f>
        <v>0</v>
      </c>
      <c r="FB10" s="2">
        <f>((IF((146='V06 Calend 01'!C10),('V06 Calend 01'!F10+'V06 Calend 01'!G10),0)+IF(AND(('V06 Calend 01'!E10&gt;0),(146&gt;'V06 Calend 01'!C10),(146&lt;'V06 Calend 01'!D10),(MOD((146-'V06 Calend 01'!C10),6)=0),(((146-'V06 Calend 01'!C10)/6)&lt;='V06 Calend 01'!E10)),IF((146=('V06 Calend 01'!C10+(6*'V06 Calend 01'!E10))),('V06 Calend 01'!H10-('V06 Calend 01'!I10*('V06 Calend 01'!E10-1))),'V06 Calend 01'!I10),0))+IF((146='V06 Calend 01'!D10),'V06 Calend 01'!J10,0))</f>
        <v>0</v>
      </c>
      <c r="FC10" s="2">
        <f>((IF((147='V06 Calend 01'!C10),('V06 Calend 01'!F10+'V06 Calend 01'!G10),0)+IF(AND(('V06 Calend 01'!E10&gt;0),(147&gt;'V06 Calend 01'!C10),(147&lt;'V06 Calend 01'!D10),(MOD((147-'V06 Calend 01'!C10),6)=0),(((147-'V06 Calend 01'!C10)/6)&lt;='V06 Calend 01'!E10)),IF((147=('V06 Calend 01'!C10+(6*'V06 Calend 01'!E10))),('V06 Calend 01'!H10-('V06 Calend 01'!I10*('V06 Calend 01'!E10-1))),'V06 Calend 01'!I10),0))+IF((147='V06 Calend 01'!D10),'V06 Calend 01'!J10,0))</f>
        <v>0</v>
      </c>
      <c r="FD10" s="2">
        <f>((IF((148='V06 Calend 01'!C10),('V06 Calend 01'!F10+'V06 Calend 01'!G10),0)+IF(AND(('V06 Calend 01'!E10&gt;0),(148&gt;'V06 Calend 01'!C10),(148&lt;'V06 Calend 01'!D10),(MOD((148-'V06 Calend 01'!C10),6)=0),(((148-'V06 Calend 01'!C10)/6)&lt;='V06 Calend 01'!E10)),IF((148=('V06 Calend 01'!C10+(6*'V06 Calend 01'!E10))),('V06 Calend 01'!H10-('V06 Calend 01'!I10*('V06 Calend 01'!E10-1))),'V06 Calend 01'!I10),0))+IF((148='V06 Calend 01'!D10),'V06 Calend 01'!J10,0))</f>
        <v>0</v>
      </c>
      <c r="FE10" s="2">
        <f>((IF((149='V06 Calend 01'!C10),('V06 Calend 01'!F10+'V06 Calend 01'!G10),0)+IF(AND(('V06 Calend 01'!E10&gt;0),(149&gt;'V06 Calend 01'!C10),(149&lt;'V06 Calend 01'!D10),(MOD((149-'V06 Calend 01'!C10),6)=0),(((149-'V06 Calend 01'!C10)/6)&lt;='V06 Calend 01'!E10)),IF((149=('V06 Calend 01'!C10+(6*'V06 Calend 01'!E10))),('V06 Calend 01'!H10-('V06 Calend 01'!I10*('V06 Calend 01'!E10-1))),'V06 Calend 01'!I10),0))+IF((149='V06 Calend 01'!D10),'V06 Calend 01'!J10,0))</f>
        <v>0</v>
      </c>
      <c r="FF10" s="2">
        <f>((IF((150='V06 Calend 01'!C10),('V06 Calend 01'!F10+'V06 Calend 01'!G10),0)+IF(AND(('V06 Calend 01'!E10&gt;0),(150&gt;'V06 Calend 01'!C10),(150&lt;'V06 Calend 01'!D10),(MOD((150-'V06 Calend 01'!C10),6)=0),(((150-'V06 Calend 01'!C10)/6)&lt;='V06 Calend 01'!E10)),IF((150=('V06 Calend 01'!C10+(6*'V06 Calend 01'!E10))),('V06 Calend 01'!H10-('V06 Calend 01'!I10*('V06 Calend 01'!E10-1))),'V06 Calend 01'!I10),0))+IF((150='V06 Calend 01'!D10),'V06 Calend 01'!J10,0))</f>
        <v>0</v>
      </c>
      <c r="FG10" s="2">
        <f>((IF((151='V06 Calend 01'!C10),('V06 Calend 01'!F10+'V06 Calend 01'!G10),0)+IF(AND(('V06 Calend 01'!E10&gt;0),(151&gt;'V06 Calend 01'!C10),(151&lt;'V06 Calend 01'!D10),(MOD((151-'V06 Calend 01'!C10),6)=0),(((151-'V06 Calend 01'!C10)/6)&lt;='V06 Calend 01'!E10)),IF((151=('V06 Calend 01'!C10+(6*'V06 Calend 01'!E10))),('V06 Calend 01'!H10-('V06 Calend 01'!I10*('V06 Calend 01'!E10-1))),'V06 Calend 01'!I10),0))+IF((151='V06 Calend 01'!D10),'V06 Calend 01'!J10,0))</f>
        <v>0</v>
      </c>
      <c r="FH10" s="2">
        <f>((IF((152='V06 Calend 01'!C10),('V06 Calend 01'!F10+'V06 Calend 01'!G10),0)+IF(AND(('V06 Calend 01'!E10&gt;0),(152&gt;'V06 Calend 01'!C10),(152&lt;'V06 Calend 01'!D10),(MOD((152-'V06 Calend 01'!C10),6)=0),(((152-'V06 Calend 01'!C10)/6)&lt;='V06 Calend 01'!E10)),IF((152=('V06 Calend 01'!C10+(6*'V06 Calend 01'!E10))),('V06 Calend 01'!H10-('V06 Calend 01'!I10*('V06 Calend 01'!E10-1))),'V06 Calend 01'!I10),0))+IF((152='V06 Calend 01'!D10),'V06 Calend 01'!J10,0))</f>
        <v>0</v>
      </c>
      <c r="FI10" s="2">
        <f>((IF((153='V06 Calend 01'!C10),('V06 Calend 01'!F10+'V06 Calend 01'!G10),0)+IF(AND(('V06 Calend 01'!E10&gt;0),(153&gt;'V06 Calend 01'!C10),(153&lt;'V06 Calend 01'!D10),(MOD((153-'V06 Calend 01'!C10),6)=0),(((153-'V06 Calend 01'!C10)/6)&lt;='V06 Calend 01'!E10)),IF((153=('V06 Calend 01'!C10+(6*'V06 Calend 01'!E10))),('V06 Calend 01'!H10-('V06 Calend 01'!I10*('V06 Calend 01'!E10-1))),'V06 Calend 01'!I10),0))+IF((153='V06 Calend 01'!D10),'V06 Calend 01'!J10,0))</f>
        <v>0</v>
      </c>
      <c r="FJ10" s="2">
        <f>((IF((154='V06 Calend 01'!C10),('V06 Calend 01'!F10+'V06 Calend 01'!G10),0)+IF(AND(('V06 Calend 01'!E10&gt;0),(154&gt;'V06 Calend 01'!C10),(154&lt;'V06 Calend 01'!D10),(MOD((154-'V06 Calend 01'!C10),6)=0),(((154-'V06 Calend 01'!C10)/6)&lt;='V06 Calend 01'!E10)),IF((154=('V06 Calend 01'!C10+(6*'V06 Calend 01'!E10))),('V06 Calend 01'!H10-('V06 Calend 01'!I10*('V06 Calend 01'!E10-1))),'V06 Calend 01'!I10),0))+IF((154='V06 Calend 01'!D10),'V06 Calend 01'!J10,0))</f>
        <v>0</v>
      </c>
      <c r="FK10" s="2">
        <f>((IF((155='V06 Calend 01'!C10),('V06 Calend 01'!F10+'V06 Calend 01'!G10),0)+IF(AND(('V06 Calend 01'!E10&gt;0),(155&gt;'V06 Calend 01'!C10),(155&lt;'V06 Calend 01'!D10),(MOD((155-'V06 Calend 01'!C10),6)=0),(((155-'V06 Calend 01'!C10)/6)&lt;='V06 Calend 01'!E10)),IF((155=('V06 Calend 01'!C10+(6*'V06 Calend 01'!E10))),('V06 Calend 01'!H10-('V06 Calend 01'!I10*('V06 Calend 01'!E10-1))),'V06 Calend 01'!I10),0))+IF((155='V06 Calend 01'!D10),'V06 Calend 01'!J10,0))</f>
        <v>0</v>
      </c>
      <c r="FL10" s="2">
        <f>((IF((156='V06 Calend 01'!C10),('V06 Calend 01'!F10+'V06 Calend 01'!G10),0)+IF(AND(('V06 Calend 01'!E10&gt;0),(156&gt;'V06 Calend 01'!C10),(156&lt;'V06 Calend 01'!D10),(MOD((156-'V06 Calend 01'!C10),6)=0),(((156-'V06 Calend 01'!C10)/6)&lt;='V06 Calend 01'!E10)),IF((156=('V06 Calend 01'!C10+(6*'V06 Calend 01'!E10))),('V06 Calend 01'!H10-('V06 Calend 01'!I10*('V06 Calend 01'!E10-1))),'V06 Calend 01'!I10),0))+IF((156='V06 Calend 01'!D10),'V06 Calend 01'!J10,0))</f>
        <v>0</v>
      </c>
      <c r="FM10" s="2">
        <f>((IF((157='V06 Calend 01'!C10),('V06 Calend 01'!F10+'V06 Calend 01'!G10),0)+IF(AND(('V06 Calend 01'!E10&gt;0),(157&gt;'V06 Calend 01'!C10),(157&lt;'V06 Calend 01'!D10),(MOD((157-'V06 Calend 01'!C10),6)=0),(((157-'V06 Calend 01'!C10)/6)&lt;='V06 Calend 01'!E10)),IF((157=('V06 Calend 01'!C10+(6*'V06 Calend 01'!E10))),('V06 Calend 01'!H10-('V06 Calend 01'!I10*('V06 Calend 01'!E10-1))),'V06 Calend 01'!I10),0))+IF((157='V06 Calend 01'!D10),'V06 Calend 01'!J10,0))</f>
        <v>0</v>
      </c>
      <c r="FN10" s="2">
        <f>((IF((158='V06 Calend 01'!C10),('V06 Calend 01'!F10+'V06 Calend 01'!G10),0)+IF(AND(('V06 Calend 01'!E10&gt;0),(158&gt;'V06 Calend 01'!C10),(158&lt;'V06 Calend 01'!D10),(MOD((158-'V06 Calend 01'!C10),6)=0),(((158-'V06 Calend 01'!C10)/6)&lt;='V06 Calend 01'!E10)),IF((158=('V06 Calend 01'!C10+(6*'V06 Calend 01'!E10))),('V06 Calend 01'!H10-('V06 Calend 01'!I10*('V06 Calend 01'!E10-1))),'V06 Calend 01'!I10),0))+IF((158='V06 Calend 01'!D10),'V06 Calend 01'!J10,0))</f>
        <v>0</v>
      </c>
      <c r="FO10" s="2">
        <f>((IF((159='V06 Calend 01'!C10),('V06 Calend 01'!F10+'V06 Calend 01'!G10),0)+IF(AND(('V06 Calend 01'!E10&gt;0),(159&gt;'V06 Calend 01'!C10),(159&lt;'V06 Calend 01'!D10),(MOD((159-'V06 Calend 01'!C10),6)=0),(((159-'V06 Calend 01'!C10)/6)&lt;='V06 Calend 01'!E10)),IF((159=('V06 Calend 01'!C10+(6*'V06 Calend 01'!E10))),('V06 Calend 01'!H10-('V06 Calend 01'!I10*('V06 Calend 01'!E10-1))),'V06 Calend 01'!I10),0))+IF((159='V06 Calend 01'!D10),'V06 Calend 01'!J10,0))</f>
        <v>0</v>
      </c>
      <c r="FP10" s="2">
        <f>((IF((160='V06 Calend 01'!C10),('V06 Calend 01'!F10+'V06 Calend 01'!G10),0)+IF(AND(('V06 Calend 01'!E10&gt;0),(160&gt;'V06 Calend 01'!C10),(160&lt;'V06 Calend 01'!D10),(MOD((160-'V06 Calend 01'!C10),6)=0),(((160-'V06 Calend 01'!C10)/6)&lt;='V06 Calend 01'!E10)),IF((160=('V06 Calend 01'!C10+(6*'V06 Calend 01'!E10))),('V06 Calend 01'!H10-('V06 Calend 01'!I10*('V06 Calend 01'!E10-1))),'V06 Calend 01'!I10),0))+IF((160='V06 Calend 01'!D10),'V06 Calend 01'!J10,0))</f>
        <v>0</v>
      </c>
      <c r="FQ10" s="2">
        <f>((IF((161='V06 Calend 01'!C10),('V06 Calend 01'!F10+'V06 Calend 01'!G10),0)+IF(AND(('V06 Calend 01'!E10&gt;0),(161&gt;'V06 Calend 01'!C10),(161&lt;'V06 Calend 01'!D10),(MOD((161-'V06 Calend 01'!C10),6)=0),(((161-'V06 Calend 01'!C10)/6)&lt;='V06 Calend 01'!E10)),IF((161=('V06 Calend 01'!C10+(6*'V06 Calend 01'!E10))),('V06 Calend 01'!H10-('V06 Calend 01'!I10*('V06 Calend 01'!E10-1))),'V06 Calend 01'!I10),0))+IF((161='V06 Calend 01'!D10),'V06 Calend 01'!J10,0))</f>
        <v>0</v>
      </c>
      <c r="FR10" s="2">
        <f>((IF((162='V06 Calend 01'!C10),('V06 Calend 01'!F10+'V06 Calend 01'!G10),0)+IF(AND(('V06 Calend 01'!E10&gt;0),(162&gt;'V06 Calend 01'!C10),(162&lt;'V06 Calend 01'!D10),(MOD((162-'V06 Calend 01'!C10),6)=0),(((162-'V06 Calend 01'!C10)/6)&lt;='V06 Calend 01'!E10)),IF((162=('V06 Calend 01'!C10+(6*'V06 Calend 01'!E10))),('V06 Calend 01'!H10-('V06 Calend 01'!I10*('V06 Calend 01'!E10-1))),'V06 Calend 01'!I10),0))+IF((162='V06 Calend 01'!D10),'V06 Calend 01'!J10,0))</f>
        <v>0</v>
      </c>
      <c r="FS10" s="2">
        <f>((IF((163='V06 Calend 01'!C10),('V06 Calend 01'!F10+'V06 Calend 01'!G10),0)+IF(AND(('V06 Calend 01'!E10&gt;0),(163&gt;'V06 Calend 01'!C10),(163&lt;'V06 Calend 01'!D10),(MOD((163-'V06 Calend 01'!C10),6)=0),(((163-'V06 Calend 01'!C10)/6)&lt;='V06 Calend 01'!E10)),IF((163=('V06 Calend 01'!C10+(6*'V06 Calend 01'!E10))),('V06 Calend 01'!H10-('V06 Calend 01'!I10*('V06 Calend 01'!E10-1))),'V06 Calend 01'!I10),0))+IF((163='V06 Calend 01'!D10),'V06 Calend 01'!J10,0))</f>
        <v>0</v>
      </c>
      <c r="FT10" s="2">
        <f>((IF((164='V06 Calend 01'!C10),('V06 Calend 01'!F10+'V06 Calend 01'!G10),0)+IF(AND(('V06 Calend 01'!E10&gt;0),(164&gt;'V06 Calend 01'!C10),(164&lt;'V06 Calend 01'!D10),(MOD((164-'V06 Calend 01'!C10),6)=0),(((164-'V06 Calend 01'!C10)/6)&lt;='V06 Calend 01'!E10)),IF((164=('V06 Calend 01'!C10+(6*'V06 Calend 01'!E10))),('V06 Calend 01'!H10-('V06 Calend 01'!I10*('V06 Calend 01'!E10-1))),'V06 Calend 01'!I10),0))+IF((164='V06 Calend 01'!D10),'V06 Calend 01'!J10,0))</f>
        <v>0</v>
      </c>
      <c r="FU10" s="2">
        <f>((IF((165='V06 Calend 01'!C10),('V06 Calend 01'!F10+'V06 Calend 01'!G10),0)+IF(AND(('V06 Calend 01'!E10&gt;0),(165&gt;'V06 Calend 01'!C10),(165&lt;'V06 Calend 01'!D10),(MOD((165-'V06 Calend 01'!C10),6)=0),(((165-'V06 Calend 01'!C10)/6)&lt;='V06 Calend 01'!E10)),IF((165=('V06 Calend 01'!C10+(6*'V06 Calend 01'!E10))),('V06 Calend 01'!H10-('V06 Calend 01'!I10*('V06 Calend 01'!E10-1))),'V06 Calend 01'!I10),0))+IF((165='V06 Calend 01'!D10),'V06 Calend 01'!J10,0))</f>
        <v>0</v>
      </c>
      <c r="FV10" s="2">
        <f>((IF((166='V06 Calend 01'!C10),('V06 Calend 01'!F10+'V06 Calend 01'!G10),0)+IF(AND(('V06 Calend 01'!E10&gt;0),(166&gt;'V06 Calend 01'!C10),(166&lt;'V06 Calend 01'!D10),(MOD((166-'V06 Calend 01'!C10),6)=0),(((166-'V06 Calend 01'!C10)/6)&lt;='V06 Calend 01'!E10)),IF((166=('V06 Calend 01'!C10+(6*'V06 Calend 01'!E10))),('V06 Calend 01'!H10-('V06 Calend 01'!I10*('V06 Calend 01'!E10-1))),'V06 Calend 01'!I10),0))+IF((166='V06 Calend 01'!D10),'V06 Calend 01'!J10,0))</f>
        <v>0</v>
      </c>
      <c r="FW10" s="2">
        <f>((IF((167='V06 Calend 01'!C10),('V06 Calend 01'!F10+'V06 Calend 01'!G10),0)+IF(AND(('V06 Calend 01'!E10&gt;0),(167&gt;'V06 Calend 01'!C10),(167&lt;'V06 Calend 01'!D10),(MOD((167-'V06 Calend 01'!C10),6)=0),(((167-'V06 Calend 01'!C10)/6)&lt;='V06 Calend 01'!E10)),IF((167=('V06 Calend 01'!C10+(6*'V06 Calend 01'!E10))),('V06 Calend 01'!H10-('V06 Calend 01'!I10*('V06 Calend 01'!E10-1))),'V06 Calend 01'!I10),0))+IF((167='V06 Calend 01'!D10),'V06 Calend 01'!J10,0))</f>
        <v>0</v>
      </c>
      <c r="FX10" s="2">
        <f>((IF((168='V06 Calend 01'!C10),('V06 Calend 01'!F10+'V06 Calend 01'!G10),0)+IF(AND(('V06 Calend 01'!E10&gt;0),(168&gt;'V06 Calend 01'!C10),(168&lt;'V06 Calend 01'!D10),(MOD((168-'V06 Calend 01'!C10),6)=0),(((168-'V06 Calend 01'!C10)/6)&lt;='V06 Calend 01'!E10)),IF((168=('V06 Calend 01'!C10+(6*'V06 Calend 01'!E10))),('V06 Calend 01'!H10-('V06 Calend 01'!I10*('V06 Calend 01'!E10-1))),'V06 Calend 01'!I10),0))+IF((168='V06 Calend 01'!D10),'V06 Calend 01'!J10,0))</f>
        <v>0</v>
      </c>
      <c r="FY10" s="2">
        <f>((IF((169='V06 Calend 01'!C10),('V06 Calend 01'!F10+'V06 Calend 01'!G10),0)+IF(AND(('V06 Calend 01'!E10&gt;0),(169&gt;'V06 Calend 01'!C10),(169&lt;'V06 Calend 01'!D10),(MOD((169-'V06 Calend 01'!C10),6)=0),(((169-'V06 Calend 01'!C10)/6)&lt;='V06 Calend 01'!E10)),IF((169=('V06 Calend 01'!C10+(6*'V06 Calend 01'!E10))),('V06 Calend 01'!H10-('V06 Calend 01'!I10*('V06 Calend 01'!E10-1))),'V06 Calend 01'!I10),0))+IF((169='V06 Calend 01'!D10),'V06 Calend 01'!J10,0))</f>
        <v>0</v>
      </c>
      <c r="FZ10" s="2">
        <f>((IF((170='V06 Calend 01'!C10),('V06 Calend 01'!F10+'V06 Calend 01'!G10),0)+IF(AND(('V06 Calend 01'!E10&gt;0),(170&gt;'V06 Calend 01'!C10),(170&lt;'V06 Calend 01'!D10),(MOD((170-'V06 Calend 01'!C10),6)=0),(((170-'V06 Calend 01'!C10)/6)&lt;='V06 Calend 01'!E10)),IF((170=('V06 Calend 01'!C10+(6*'V06 Calend 01'!E10))),('V06 Calend 01'!H10-('V06 Calend 01'!I10*('V06 Calend 01'!E10-1))),'V06 Calend 01'!I10),0))+IF((170='V06 Calend 01'!D10),'V06 Calend 01'!J10,0))</f>
        <v>0</v>
      </c>
      <c r="GA10" s="2">
        <f>((IF((171='V06 Calend 01'!C10),('V06 Calend 01'!F10+'V06 Calend 01'!G10),0)+IF(AND(('V06 Calend 01'!E10&gt;0),(171&gt;'V06 Calend 01'!C10),(171&lt;'V06 Calend 01'!D10),(MOD((171-'V06 Calend 01'!C10),6)=0),(((171-'V06 Calend 01'!C10)/6)&lt;='V06 Calend 01'!E10)),IF((171=('V06 Calend 01'!C10+(6*'V06 Calend 01'!E10))),('V06 Calend 01'!H10-('V06 Calend 01'!I10*('V06 Calend 01'!E10-1))),'V06 Calend 01'!I10),0))+IF((171='V06 Calend 01'!D10),'V06 Calend 01'!J10,0))</f>
        <v>0</v>
      </c>
      <c r="GB10" s="2">
        <f>((IF((172='V06 Calend 01'!C10),('V06 Calend 01'!F10+'V06 Calend 01'!G10),0)+IF(AND(('V06 Calend 01'!E10&gt;0),(172&gt;'V06 Calend 01'!C10),(172&lt;'V06 Calend 01'!D10),(MOD((172-'V06 Calend 01'!C10),6)=0),(((172-'V06 Calend 01'!C10)/6)&lt;='V06 Calend 01'!E10)),IF((172=('V06 Calend 01'!C10+(6*'V06 Calend 01'!E10))),('V06 Calend 01'!H10-('V06 Calend 01'!I10*('V06 Calend 01'!E10-1))),'V06 Calend 01'!I10),0))+IF((172='V06 Calend 01'!D10),'V06 Calend 01'!J10,0))</f>
        <v>0</v>
      </c>
      <c r="GC10" s="2">
        <f>((IF((173='V06 Calend 01'!C10),('V06 Calend 01'!F10+'V06 Calend 01'!G10),0)+IF(AND(('V06 Calend 01'!E10&gt;0),(173&gt;'V06 Calend 01'!C10),(173&lt;'V06 Calend 01'!D10),(MOD((173-'V06 Calend 01'!C10),6)=0),(((173-'V06 Calend 01'!C10)/6)&lt;='V06 Calend 01'!E10)),IF((173=('V06 Calend 01'!C10+(6*'V06 Calend 01'!E10))),('V06 Calend 01'!H10-('V06 Calend 01'!I10*('V06 Calend 01'!E10-1))),'V06 Calend 01'!I10),0))+IF((173='V06 Calend 01'!D10),'V06 Calend 01'!J10,0))</f>
        <v>0</v>
      </c>
      <c r="GD10" s="2">
        <f>((IF((174='V06 Calend 01'!C10),('V06 Calend 01'!F10+'V06 Calend 01'!G10),0)+IF(AND(('V06 Calend 01'!E10&gt;0),(174&gt;'V06 Calend 01'!C10),(174&lt;'V06 Calend 01'!D10),(MOD((174-'V06 Calend 01'!C10),6)=0),(((174-'V06 Calend 01'!C10)/6)&lt;='V06 Calend 01'!E10)),IF((174=('V06 Calend 01'!C10+(6*'V06 Calend 01'!E10))),('V06 Calend 01'!H10-('V06 Calend 01'!I10*('V06 Calend 01'!E10-1))),'V06 Calend 01'!I10),0))+IF((174='V06 Calend 01'!D10),'V06 Calend 01'!J10,0))</f>
        <v>0</v>
      </c>
      <c r="GE10" s="2">
        <f>((IF((175='V06 Calend 01'!C10),('V06 Calend 01'!F10+'V06 Calend 01'!G10),0)+IF(AND(('V06 Calend 01'!E10&gt;0),(175&gt;'V06 Calend 01'!C10),(175&lt;'V06 Calend 01'!D10),(MOD((175-'V06 Calend 01'!C10),6)=0),(((175-'V06 Calend 01'!C10)/6)&lt;='V06 Calend 01'!E10)),IF((175=('V06 Calend 01'!C10+(6*'V06 Calend 01'!E10))),('V06 Calend 01'!H10-('V06 Calend 01'!I10*('V06 Calend 01'!E10-1))),'V06 Calend 01'!I10),0))+IF((175='V06 Calend 01'!D10),'V06 Calend 01'!J10,0))</f>
        <v>0</v>
      </c>
      <c r="GF10" s="2">
        <f>((IF((176='V06 Calend 01'!C10),('V06 Calend 01'!F10+'V06 Calend 01'!G10),0)+IF(AND(('V06 Calend 01'!E10&gt;0),(176&gt;'V06 Calend 01'!C10),(176&lt;'V06 Calend 01'!D10),(MOD((176-'V06 Calend 01'!C10),6)=0),(((176-'V06 Calend 01'!C10)/6)&lt;='V06 Calend 01'!E10)),IF((176=('V06 Calend 01'!C10+(6*'V06 Calend 01'!E10))),('V06 Calend 01'!H10-('V06 Calend 01'!I10*('V06 Calend 01'!E10-1))),'V06 Calend 01'!I10),0))+IF((176='V06 Calend 01'!D10),'V06 Calend 01'!J10,0))</f>
        <v>0</v>
      </c>
      <c r="GG10" s="2">
        <f>((IF((177='V06 Calend 01'!C10),('V06 Calend 01'!F10+'V06 Calend 01'!G10),0)+IF(AND(('V06 Calend 01'!E10&gt;0),(177&gt;'V06 Calend 01'!C10),(177&lt;'V06 Calend 01'!D10),(MOD((177-'V06 Calend 01'!C10),6)=0),(((177-'V06 Calend 01'!C10)/6)&lt;='V06 Calend 01'!E10)),IF((177=('V06 Calend 01'!C10+(6*'V06 Calend 01'!E10))),('V06 Calend 01'!H10-('V06 Calend 01'!I10*('V06 Calend 01'!E10-1))),'V06 Calend 01'!I10),0))+IF((177='V06 Calend 01'!D10),'V06 Calend 01'!J10,0))</f>
        <v>0</v>
      </c>
      <c r="GH10" s="2">
        <f>((IF((178='V06 Calend 01'!C10),('V06 Calend 01'!F10+'V06 Calend 01'!G10),0)+IF(AND(('V06 Calend 01'!E10&gt;0),(178&gt;'V06 Calend 01'!C10),(178&lt;'V06 Calend 01'!D10),(MOD((178-'V06 Calend 01'!C10),6)=0),(((178-'V06 Calend 01'!C10)/6)&lt;='V06 Calend 01'!E10)),IF((178=('V06 Calend 01'!C10+(6*'V06 Calend 01'!E10))),('V06 Calend 01'!H10-('V06 Calend 01'!I10*('V06 Calend 01'!E10-1))),'V06 Calend 01'!I10),0))+IF((178='V06 Calend 01'!D10),'V06 Calend 01'!J10,0))</f>
        <v>0</v>
      </c>
      <c r="GI10" s="2">
        <f>((IF((179='V06 Calend 01'!C10),('V06 Calend 01'!F10+'V06 Calend 01'!G10),0)+IF(AND(('V06 Calend 01'!E10&gt;0),(179&gt;'V06 Calend 01'!C10),(179&lt;'V06 Calend 01'!D10),(MOD((179-'V06 Calend 01'!C10),6)=0),(((179-'V06 Calend 01'!C10)/6)&lt;='V06 Calend 01'!E10)),IF((179=('V06 Calend 01'!C10+(6*'V06 Calend 01'!E10))),('V06 Calend 01'!H10-('V06 Calend 01'!I10*('V06 Calend 01'!E10-1))),'V06 Calend 01'!I10),0))+IF((179='V06 Calend 01'!D10),'V06 Calend 01'!J10,0))</f>
        <v>0</v>
      </c>
      <c r="GJ10" s="2">
        <f>((IF((180='V06 Calend 01'!C10),('V06 Calend 01'!F10+'V06 Calend 01'!G10),0)+IF(AND(('V06 Calend 01'!E10&gt;0),(180&gt;'V06 Calend 01'!C10),(180&lt;'V06 Calend 01'!D10),(MOD((180-'V06 Calend 01'!C10),6)=0),(((180-'V06 Calend 01'!C10)/6)&lt;='V06 Calend 01'!E10)),IF((180=('V06 Calend 01'!C10+(6*'V06 Calend 01'!E10))),('V06 Calend 01'!H10-('V06 Calend 01'!I10*('V06 Calend 01'!E10-1))),'V06 Calend 01'!I10),0))+IF((180='V06 Calend 01'!D10),'V06 Calend 01'!J10,0))</f>
        <v>0</v>
      </c>
    </row>
    <row r="11" spans="1:192">
      <c r="A11" s="3" t="str">
        <f>'V06 Unidades'!$A$11</f>
        <v>207</v>
      </c>
      <c r="B11" s="2">
        <f>'V06 Unidades'!$H$11</f>
        <v>253000</v>
      </c>
      <c r="C11" s="4">
        <f>('V06 Unidades'!$I$11+'V06 Controlos'!$B$37)</f>
        <v>1</v>
      </c>
      <c r="D11" s="4">
        <f>IF(('V06 Controlos'!$B$38&gt;0),MAX(('V06 Unidades'!$L$11+'V06 Controlos'!$B$37),(30+'V06 Controlos'!$B$38)),('V06 Unidades'!$L$11+'V06 Controlos'!$B$37))</f>
        <v>28</v>
      </c>
      <c r="E11" s="4">
        <f>MAX(0,INT(((('V06 Calend 01'!D11-'V06 Calend 01'!C11)-1)/6)))</f>
        <v>4</v>
      </c>
      <c r="F11" s="2">
        <f>ROUND(('V06 Calend 01'!B11*0.05),2)</f>
        <v>12650.0</v>
      </c>
      <c r="G11" s="2">
        <f>ROUND(('V06 Calend 01'!B11*0.2),2)</f>
        <v>50600.0</v>
      </c>
      <c r="H11" s="2">
        <f>ROUND(('V06 Calend 01'!B11*0.55),2)</f>
        <v>139150.0</v>
      </c>
      <c r="I11" s="2">
        <f>ROUND(('V06 Calend 01'!H11/MAX(1,'V06 Calend 01'!E11)),2)</f>
        <v>34787.5</v>
      </c>
      <c r="J11" s="2">
        <f>((('V06 Calend 01'!B11-'V06 Calend 01'!F11)-'V06 Calend 01'!G11)-'V06 Calend 01'!H11)</f>
        <v>50600.0</v>
      </c>
      <c r="K11" s="2">
        <f>('V06 Calend 01'!B11*0.025)</f>
        <v>6325.0</v>
      </c>
      <c r="L11" t="s">
        <v>378</v>
      </c>
      <c r="M11" s="2">
        <f>((IF((1='V06 Calend 01'!C11),('V06 Calend 01'!F11+'V06 Calend 01'!G11),0)+IF(AND(('V06 Calend 01'!E11&gt;0),(1&gt;'V06 Calend 01'!C11),(1&lt;'V06 Calend 01'!D11),(MOD((1-'V06 Calend 01'!C11),6)=0),(((1-'V06 Calend 01'!C11)/6)&lt;='V06 Calend 01'!E11)),IF((1=('V06 Calend 01'!C11+(6*'V06 Calend 01'!E11))),('V06 Calend 01'!H11-('V06 Calend 01'!I11*('V06 Calend 01'!E11-1))),'V06 Calend 01'!I11),0))+IF((1='V06 Calend 01'!D11),'V06 Calend 01'!J11,0))</f>
        <v>63250.0</v>
      </c>
      <c r="N11" s="2">
        <f>((IF((2='V06 Calend 01'!C11),('V06 Calend 01'!F11+'V06 Calend 01'!G11),0)+IF(AND(('V06 Calend 01'!E11&gt;0),(2&gt;'V06 Calend 01'!C11),(2&lt;'V06 Calend 01'!D11),(MOD((2-'V06 Calend 01'!C11),6)=0),(((2-'V06 Calend 01'!C11)/6)&lt;='V06 Calend 01'!E11)),IF((2=('V06 Calend 01'!C11+(6*'V06 Calend 01'!E11))),('V06 Calend 01'!H11-('V06 Calend 01'!I11*('V06 Calend 01'!E11-1))),'V06 Calend 01'!I11),0))+IF((2='V06 Calend 01'!D11),'V06 Calend 01'!J11,0))</f>
        <v>0</v>
      </c>
      <c r="O11" s="2">
        <f>((IF((3='V06 Calend 01'!C11),('V06 Calend 01'!F11+'V06 Calend 01'!G11),0)+IF(AND(('V06 Calend 01'!E11&gt;0),(3&gt;'V06 Calend 01'!C11),(3&lt;'V06 Calend 01'!D11),(MOD((3-'V06 Calend 01'!C11),6)=0),(((3-'V06 Calend 01'!C11)/6)&lt;='V06 Calend 01'!E11)),IF((3=('V06 Calend 01'!C11+(6*'V06 Calend 01'!E11))),('V06 Calend 01'!H11-('V06 Calend 01'!I11*('V06 Calend 01'!E11-1))),'V06 Calend 01'!I11),0))+IF((3='V06 Calend 01'!D11),'V06 Calend 01'!J11,0))</f>
        <v>0</v>
      </c>
      <c r="P11" s="2">
        <f>((IF((4='V06 Calend 01'!C11),('V06 Calend 01'!F11+'V06 Calend 01'!G11),0)+IF(AND(('V06 Calend 01'!E11&gt;0),(4&gt;'V06 Calend 01'!C11),(4&lt;'V06 Calend 01'!D11),(MOD((4-'V06 Calend 01'!C11),6)=0),(((4-'V06 Calend 01'!C11)/6)&lt;='V06 Calend 01'!E11)),IF((4=('V06 Calend 01'!C11+(6*'V06 Calend 01'!E11))),('V06 Calend 01'!H11-('V06 Calend 01'!I11*('V06 Calend 01'!E11-1))),'V06 Calend 01'!I11),0))+IF((4='V06 Calend 01'!D11),'V06 Calend 01'!J11,0))</f>
        <v>0</v>
      </c>
      <c r="Q11" s="2">
        <f>((IF((5='V06 Calend 01'!C11),('V06 Calend 01'!F11+'V06 Calend 01'!G11),0)+IF(AND(('V06 Calend 01'!E11&gt;0),(5&gt;'V06 Calend 01'!C11),(5&lt;'V06 Calend 01'!D11),(MOD((5-'V06 Calend 01'!C11),6)=0),(((5-'V06 Calend 01'!C11)/6)&lt;='V06 Calend 01'!E11)),IF((5=('V06 Calend 01'!C11+(6*'V06 Calend 01'!E11))),('V06 Calend 01'!H11-('V06 Calend 01'!I11*('V06 Calend 01'!E11-1))),'V06 Calend 01'!I11),0))+IF((5='V06 Calend 01'!D11),'V06 Calend 01'!J11,0))</f>
        <v>0</v>
      </c>
      <c r="R11" s="2">
        <f>((IF((6='V06 Calend 01'!C11),('V06 Calend 01'!F11+'V06 Calend 01'!G11),0)+IF(AND(('V06 Calend 01'!E11&gt;0),(6&gt;'V06 Calend 01'!C11),(6&lt;'V06 Calend 01'!D11),(MOD((6-'V06 Calend 01'!C11),6)=0),(((6-'V06 Calend 01'!C11)/6)&lt;='V06 Calend 01'!E11)),IF((6=('V06 Calend 01'!C11+(6*'V06 Calend 01'!E11))),('V06 Calend 01'!H11-('V06 Calend 01'!I11*('V06 Calend 01'!E11-1))),'V06 Calend 01'!I11),0))+IF((6='V06 Calend 01'!D11),'V06 Calend 01'!J11,0))</f>
        <v>0</v>
      </c>
      <c r="S11" s="2">
        <f>((IF((7='V06 Calend 01'!C11),('V06 Calend 01'!F11+'V06 Calend 01'!G11),0)+IF(AND(('V06 Calend 01'!E11&gt;0),(7&gt;'V06 Calend 01'!C11),(7&lt;'V06 Calend 01'!D11),(MOD((7-'V06 Calend 01'!C11),6)=0),(((7-'V06 Calend 01'!C11)/6)&lt;='V06 Calend 01'!E11)),IF((7=('V06 Calend 01'!C11+(6*'V06 Calend 01'!E11))),('V06 Calend 01'!H11-('V06 Calend 01'!I11*('V06 Calend 01'!E11-1))),'V06 Calend 01'!I11),0))+IF((7='V06 Calend 01'!D11),'V06 Calend 01'!J11,0))</f>
        <v>34787.5</v>
      </c>
      <c r="T11" s="2">
        <f>((IF((8='V06 Calend 01'!C11),('V06 Calend 01'!F11+'V06 Calend 01'!G11),0)+IF(AND(('V06 Calend 01'!E11&gt;0),(8&gt;'V06 Calend 01'!C11),(8&lt;'V06 Calend 01'!D11),(MOD((8-'V06 Calend 01'!C11),6)=0),(((8-'V06 Calend 01'!C11)/6)&lt;='V06 Calend 01'!E11)),IF((8=('V06 Calend 01'!C11+(6*'V06 Calend 01'!E11))),('V06 Calend 01'!H11-('V06 Calend 01'!I11*('V06 Calend 01'!E11-1))),'V06 Calend 01'!I11),0))+IF((8='V06 Calend 01'!D11),'V06 Calend 01'!J11,0))</f>
        <v>0</v>
      </c>
      <c r="U11" s="2">
        <f>((IF((9='V06 Calend 01'!C11),('V06 Calend 01'!F11+'V06 Calend 01'!G11),0)+IF(AND(('V06 Calend 01'!E11&gt;0),(9&gt;'V06 Calend 01'!C11),(9&lt;'V06 Calend 01'!D11),(MOD((9-'V06 Calend 01'!C11),6)=0),(((9-'V06 Calend 01'!C11)/6)&lt;='V06 Calend 01'!E11)),IF((9=('V06 Calend 01'!C11+(6*'V06 Calend 01'!E11))),('V06 Calend 01'!H11-('V06 Calend 01'!I11*('V06 Calend 01'!E11-1))),'V06 Calend 01'!I11),0))+IF((9='V06 Calend 01'!D11),'V06 Calend 01'!J11,0))</f>
        <v>0</v>
      </c>
      <c r="V11" s="2">
        <f>((IF((10='V06 Calend 01'!C11),('V06 Calend 01'!F11+'V06 Calend 01'!G11),0)+IF(AND(('V06 Calend 01'!E11&gt;0),(10&gt;'V06 Calend 01'!C11),(10&lt;'V06 Calend 01'!D11),(MOD((10-'V06 Calend 01'!C11),6)=0),(((10-'V06 Calend 01'!C11)/6)&lt;='V06 Calend 01'!E11)),IF((10=('V06 Calend 01'!C11+(6*'V06 Calend 01'!E11))),('V06 Calend 01'!H11-('V06 Calend 01'!I11*('V06 Calend 01'!E11-1))),'V06 Calend 01'!I11),0))+IF((10='V06 Calend 01'!D11),'V06 Calend 01'!J11,0))</f>
        <v>0</v>
      </c>
      <c r="W11" s="2">
        <f>((IF((11='V06 Calend 01'!C11),('V06 Calend 01'!F11+'V06 Calend 01'!G11),0)+IF(AND(('V06 Calend 01'!E11&gt;0),(11&gt;'V06 Calend 01'!C11),(11&lt;'V06 Calend 01'!D11),(MOD((11-'V06 Calend 01'!C11),6)=0),(((11-'V06 Calend 01'!C11)/6)&lt;='V06 Calend 01'!E11)),IF((11=('V06 Calend 01'!C11+(6*'V06 Calend 01'!E11))),('V06 Calend 01'!H11-('V06 Calend 01'!I11*('V06 Calend 01'!E11-1))),'V06 Calend 01'!I11),0))+IF((11='V06 Calend 01'!D11),'V06 Calend 01'!J11,0))</f>
        <v>0</v>
      </c>
      <c r="X11" s="2">
        <f>((IF((12='V06 Calend 01'!C11),('V06 Calend 01'!F11+'V06 Calend 01'!G11),0)+IF(AND(('V06 Calend 01'!E11&gt;0),(12&gt;'V06 Calend 01'!C11),(12&lt;'V06 Calend 01'!D11),(MOD((12-'V06 Calend 01'!C11),6)=0),(((12-'V06 Calend 01'!C11)/6)&lt;='V06 Calend 01'!E11)),IF((12=('V06 Calend 01'!C11+(6*'V06 Calend 01'!E11))),('V06 Calend 01'!H11-('V06 Calend 01'!I11*('V06 Calend 01'!E11-1))),'V06 Calend 01'!I11),0))+IF((12='V06 Calend 01'!D11),'V06 Calend 01'!J11,0))</f>
        <v>0</v>
      </c>
      <c r="Y11" s="2">
        <f>((IF((13='V06 Calend 01'!C11),('V06 Calend 01'!F11+'V06 Calend 01'!G11),0)+IF(AND(('V06 Calend 01'!E11&gt;0),(13&gt;'V06 Calend 01'!C11),(13&lt;'V06 Calend 01'!D11),(MOD((13-'V06 Calend 01'!C11),6)=0),(((13-'V06 Calend 01'!C11)/6)&lt;='V06 Calend 01'!E11)),IF((13=('V06 Calend 01'!C11+(6*'V06 Calend 01'!E11))),('V06 Calend 01'!H11-('V06 Calend 01'!I11*('V06 Calend 01'!E11-1))),'V06 Calend 01'!I11),0))+IF((13='V06 Calend 01'!D11),'V06 Calend 01'!J11,0))</f>
        <v>34787.5</v>
      </c>
      <c r="Z11" s="2">
        <f>((IF((14='V06 Calend 01'!C11),('V06 Calend 01'!F11+'V06 Calend 01'!G11),0)+IF(AND(('V06 Calend 01'!E11&gt;0),(14&gt;'V06 Calend 01'!C11),(14&lt;'V06 Calend 01'!D11),(MOD((14-'V06 Calend 01'!C11),6)=0),(((14-'V06 Calend 01'!C11)/6)&lt;='V06 Calend 01'!E11)),IF((14=('V06 Calend 01'!C11+(6*'V06 Calend 01'!E11))),('V06 Calend 01'!H11-('V06 Calend 01'!I11*('V06 Calend 01'!E11-1))),'V06 Calend 01'!I11),0))+IF((14='V06 Calend 01'!D11),'V06 Calend 01'!J11,0))</f>
        <v>0</v>
      </c>
      <c r="AA11" s="2">
        <f>((IF((15='V06 Calend 01'!C11),('V06 Calend 01'!F11+'V06 Calend 01'!G11),0)+IF(AND(('V06 Calend 01'!E11&gt;0),(15&gt;'V06 Calend 01'!C11),(15&lt;'V06 Calend 01'!D11),(MOD((15-'V06 Calend 01'!C11),6)=0),(((15-'V06 Calend 01'!C11)/6)&lt;='V06 Calend 01'!E11)),IF((15=('V06 Calend 01'!C11+(6*'V06 Calend 01'!E11))),('V06 Calend 01'!H11-('V06 Calend 01'!I11*('V06 Calend 01'!E11-1))),'V06 Calend 01'!I11),0))+IF((15='V06 Calend 01'!D11),'V06 Calend 01'!J11,0))</f>
        <v>0</v>
      </c>
      <c r="AB11" s="2">
        <f>((IF((16='V06 Calend 01'!C11),('V06 Calend 01'!F11+'V06 Calend 01'!G11),0)+IF(AND(('V06 Calend 01'!E11&gt;0),(16&gt;'V06 Calend 01'!C11),(16&lt;'V06 Calend 01'!D11),(MOD((16-'V06 Calend 01'!C11),6)=0),(((16-'V06 Calend 01'!C11)/6)&lt;='V06 Calend 01'!E11)),IF((16=('V06 Calend 01'!C11+(6*'V06 Calend 01'!E11))),('V06 Calend 01'!H11-('V06 Calend 01'!I11*('V06 Calend 01'!E11-1))),'V06 Calend 01'!I11),0))+IF((16='V06 Calend 01'!D11),'V06 Calend 01'!J11,0))</f>
        <v>0</v>
      </c>
      <c r="AC11" s="2">
        <f>((IF((17='V06 Calend 01'!C11),('V06 Calend 01'!F11+'V06 Calend 01'!G11),0)+IF(AND(('V06 Calend 01'!E11&gt;0),(17&gt;'V06 Calend 01'!C11),(17&lt;'V06 Calend 01'!D11),(MOD((17-'V06 Calend 01'!C11),6)=0),(((17-'V06 Calend 01'!C11)/6)&lt;='V06 Calend 01'!E11)),IF((17=('V06 Calend 01'!C11+(6*'V06 Calend 01'!E11))),('V06 Calend 01'!H11-('V06 Calend 01'!I11*('V06 Calend 01'!E11-1))),'V06 Calend 01'!I11),0))+IF((17='V06 Calend 01'!D11),'V06 Calend 01'!J11,0))</f>
        <v>0</v>
      </c>
      <c r="AD11" s="2">
        <f>((IF((18='V06 Calend 01'!C11),('V06 Calend 01'!F11+'V06 Calend 01'!G11),0)+IF(AND(('V06 Calend 01'!E11&gt;0),(18&gt;'V06 Calend 01'!C11),(18&lt;'V06 Calend 01'!D11),(MOD((18-'V06 Calend 01'!C11),6)=0),(((18-'V06 Calend 01'!C11)/6)&lt;='V06 Calend 01'!E11)),IF((18=('V06 Calend 01'!C11+(6*'V06 Calend 01'!E11))),('V06 Calend 01'!H11-('V06 Calend 01'!I11*('V06 Calend 01'!E11-1))),'V06 Calend 01'!I11),0))+IF((18='V06 Calend 01'!D11),'V06 Calend 01'!J11,0))</f>
        <v>0</v>
      </c>
      <c r="AE11" s="2">
        <f>((IF((19='V06 Calend 01'!C11),('V06 Calend 01'!F11+'V06 Calend 01'!G11),0)+IF(AND(('V06 Calend 01'!E11&gt;0),(19&gt;'V06 Calend 01'!C11),(19&lt;'V06 Calend 01'!D11),(MOD((19-'V06 Calend 01'!C11),6)=0),(((19-'V06 Calend 01'!C11)/6)&lt;='V06 Calend 01'!E11)),IF((19=('V06 Calend 01'!C11+(6*'V06 Calend 01'!E11))),('V06 Calend 01'!H11-('V06 Calend 01'!I11*('V06 Calend 01'!E11-1))),'V06 Calend 01'!I11),0))+IF((19='V06 Calend 01'!D11),'V06 Calend 01'!J11,0))</f>
        <v>34787.5</v>
      </c>
      <c r="AF11" s="2">
        <f>((IF((20='V06 Calend 01'!C11),('V06 Calend 01'!F11+'V06 Calend 01'!G11),0)+IF(AND(('V06 Calend 01'!E11&gt;0),(20&gt;'V06 Calend 01'!C11),(20&lt;'V06 Calend 01'!D11),(MOD((20-'V06 Calend 01'!C11),6)=0),(((20-'V06 Calend 01'!C11)/6)&lt;='V06 Calend 01'!E11)),IF((20=('V06 Calend 01'!C11+(6*'V06 Calend 01'!E11))),('V06 Calend 01'!H11-('V06 Calend 01'!I11*('V06 Calend 01'!E11-1))),'V06 Calend 01'!I11),0))+IF((20='V06 Calend 01'!D11),'V06 Calend 01'!J11,0))</f>
        <v>0</v>
      </c>
      <c r="AG11" s="2">
        <f>((IF((21='V06 Calend 01'!C11),('V06 Calend 01'!F11+'V06 Calend 01'!G11),0)+IF(AND(('V06 Calend 01'!E11&gt;0),(21&gt;'V06 Calend 01'!C11),(21&lt;'V06 Calend 01'!D11),(MOD((21-'V06 Calend 01'!C11),6)=0),(((21-'V06 Calend 01'!C11)/6)&lt;='V06 Calend 01'!E11)),IF((21=('V06 Calend 01'!C11+(6*'V06 Calend 01'!E11))),('V06 Calend 01'!H11-('V06 Calend 01'!I11*('V06 Calend 01'!E11-1))),'V06 Calend 01'!I11),0))+IF((21='V06 Calend 01'!D11),'V06 Calend 01'!J11,0))</f>
        <v>0</v>
      </c>
      <c r="AH11" s="2">
        <f>((IF((22='V06 Calend 01'!C11),('V06 Calend 01'!F11+'V06 Calend 01'!G11),0)+IF(AND(('V06 Calend 01'!E11&gt;0),(22&gt;'V06 Calend 01'!C11),(22&lt;'V06 Calend 01'!D11),(MOD((22-'V06 Calend 01'!C11),6)=0),(((22-'V06 Calend 01'!C11)/6)&lt;='V06 Calend 01'!E11)),IF((22=('V06 Calend 01'!C11+(6*'V06 Calend 01'!E11))),('V06 Calend 01'!H11-('V06 Calend 01'!I11*('V06 Calend 01'!E11-1))),'V06 Calend 01'!I11),0))+IF((22='V06 Calend 01'!D11),'V06 Calend 01'!J11,0))</f>
        <v>0</v>
      </c>
      <c r="AI11" s="2">
        <f>((IF((23='V06 Calend 01'!C11),('V06 Calend 01'!F11+'V06 Calend 01'!G11),0)+IF(AND(('V06 Calend 01'!E11&gt;0),(23&gt;'V06 Calend 01'!C11),(23&lt;'V06 Calend 01'!D11),(MOD((23-'V06 Calend 01'!C11),6)=0),(((23-'V06 Calend 01'!C11)/6)&lt;='V06 Calend 01'!E11)),IF((23=('V06 Calend 01'!C11+(6*'V06 Calend 01'!E11))),('V06 Calend 01'!H11-('V06 Calend 01'!I11*('V06 Calend 01'!E11-1))),'V06 Calend 01'!I11),0))+IF((23='V06 Calend 01'!D11),'V06 Calend 01'!J11,0))</f>
        <v>0</v>
      </c>
      <c r="AJ11" s="2">
        <f>((IF((24='V06 Calend 01'!C11),('V06 Calend 01'!F11+'V06 Calend 01'!G11),0)+IF(AND(('V06 Calend 01'!E11&gt;0),(24&gt;'V06 Calend 01'!C11),(24&lt;'V06 Calend 01'!D11),(MOD((24-'V06 Calend 01'!C11),6)=0),(((24-'V06 Calend 01'!C11)/6)&lt;='V06 Calend 01'!E11)),IF((24=('V06 Calend 01'!C11+(6*'V06 Calend 01'!E11))),('V06 Calend 01'!H11-('V06 Calend 01'!I11*('V06 Calend 01'!E11-1))),'V06 Calend 01'!I11),0))+IF((24='V06 Calend 01'!D11),'V06 Calend 01'!J11,0))</f>
        <v>0</v>
      </c>
      <c r="AK11" s="2">
        <f>((IF((25='V06 Calend 01'!C11),('V06 Calend 01'!F11+'V06 Calend 01'!G11),0)+IF(AND(('V06 Calend 01'!E11&gt;0),(25&gt;'V06 Calend 01'!C11),(25&lt;'V06 Calend 01'!D11),(MOD((25-'V06 Calend 01'!C11),6)=0),(((25-'V06 Calend 01'!C11)/6)&lt;='V06 Calend 01'!E11)),IF((25=('V06 Calend 01'!C11+(6*'V06 Calend 01'!E11))),('V06 Calend 01'!H11-('V06 Calend 01'!I11*('V06 Calend 01'!E11-1))),'V06 Calend 01'!I11),0))+IF((25='V06 Calend 01'!D11),'V06 Calend 01'!J11,0))</f>
        <v>34787.5</v>
      </c>
      <c r="AL11" s="2">
        <f>((IF((26='V06 Calend 01'!C11),('V06 Calend 01'!F11+'V06 Calend 01'!G11),0)+IF(AND(('V06 Calend 01'!E11&gt;0),(26&gt;'V06 Calend 01'!C11),(26&lt;'V06 Calend 01'!D11),(MOD((26-'V06 Calend 01'!C11),6)=0),(((26-'V06 Calend 01'!C11)/6)&lt;='V06 Calend 01'!E11)),IF((26=('V06 Calend 01'!C11+(6*'V06 Calend 01'!E11))),('V06 Calend 01'!H11-('V06 Calend 01'!I11*('V06 Calend 01'!E11-1))),'V06 Calend 01'!I11),0))+IF((26='V06 Calend 01'!D11),'V06 Calend 01'!J11,0))</f>
        <v>0</v>
      </c>
      <c r="AM11" s="2">
        <f>((IF((27='V06 Calend 01'!C11),('V06 Calend 01'!F11+'V06 Calend 01'!G11),0)+IF(AND(('V06 Calend 01'!E11&gt;0),(27&gt;'V06 Calend 01'!C11),(27&lt;'V06 Calend 01'!D11),(MOD((27-'V06 Calend 01'!C11),6)=0),(((27-'V06 Calend 01'!C11)/6)&lt;='V06 Calend 01'!E11)),IF((27=('V06 Calend 01'!C11+(6*'V06 Calend 01'!E11))),('V06 Calend 01'!H11-('V06 Calend 01'!I11*('V06 Calend 01'!E11-1))),'V06 Calend 01'!I11),0))+IF((27='V06 Calend 01'!D11),'V06 Calend 01'!J11,0))</f>
        <v>0</v>
      </c>
      <c r="AN11" s="2">
        <f>((IF((28='V06 Calend 01'!C11),('V06 Calend 01'!F11+'V06 Calend 01'!G11),0)+IF(AND(('V06 Calend 01'!E11&gt;0),(28&gt;'V06 Calend 01'!C11),(28&lt;'V06 Calend 01'!D11),(MOD((28-'V06 Calend 01'!C11),6)=0),(((28-'V06 Calend 01'!C11)/6)&lt;='V06 Calend 01'!E11)),IF((28=('V06 Calend 01'!C11+(6*'V06 Calend 01'!E11))),('V06 Calend 01'!H11-('V06 Calend 01'!I11*('V06 Calend 01'!E11-1))),'V06 Calend 01'!I11),0))+IF((28='V06 Calend 01'!D11),'V06 Calend 01'!J11,0))</f>
        <v>50600.0</v>
      </c>
      <c r="AO11" s="2">
        <f>((IF((29='V06 Calend 01'!C11),('V06 Calend 01'!F11+'V06 Calend 01'!G11),0)+IF(AND(('V06 Calend 01'!E11&gt;0),(29&gt;'V06 Calend 01'!C11),(29&lt;'V06 Calend 01'!D11),(MOD((29-'V06 Calend 01'!C11),6)=0),(((29-'V06 Calend 01'!C11)/6)&lt;='V06 Calend 01'!E11)),IF((29=('V06 Calend 01'!C11+(6*'V06 Calend 01'!E11))),('V06 Calend 01'!H11-('V06 Calend 01'!I11*('V06 Calend 01'!E11-1))),'V06 Calend 01'!I11),0))+IF((29='V06 Calend 01'!D11),'V06 Calend 01'!J11,0))</f>
        <v>0</v>
      </c>
      <c r="AP11" s="2">
        <f>((IF((30='V06 Calend 01'!C11),('V06 Calend 01'!F11+'V06 Calend 01'!G11),0)+IF(AND(('V06 Calend 01'!E11&gt;0),(30&gt;'V06 Calend 01'!C11),(30&lt;'V06 Calend 01'!D11),(MOD((30-'V06 Calend 01'!C11),6)=0),(((30-'V06 Calend 01'!C11)/6)&lt;='V06 Calend 01'!E11)),IF((30=('V06 Calend 01'!C11+(6*'V06 Calend 01'!E11))),('V06 Calend 01'!H11-('V06 Calend 01'!I11*('V06 Calend 01'!E11-1))),'V06 Calend 01'!I11),0))+IF((30='V06 Calend 01'!D11),'V06 Calend 01'!J11,0))</f>
        <v>0</v>
      </c>
      <c r="AQ11" s="2">
        <f>((IF((31='V06 Calend 01'!C11),('V06 Calend 01'!F11+'V06 Calend 01'!G11),0)+IF(AND(('V06 Calend 01'!E11&gt;0),(31&gt;'V06 Calend 01'!C11),(31&lt;'V06 Calend 01'!D11),(MOD((31-'V06 Calend 01'!C11),6)=0),(((31-'V06 Calend 01'!C11)/6)&lt;='V06 Calend 01'!E11)),IF((31=('V06 Calend 01'!C11+(6*'V06 Calend 01'!E11))),('V06 Calend 01'!H11-('V06 Calend 01'!I11*('V06 Calend 01'!E11-1))),'V06 Calend 01'!I11),0))+IF((31='V06 Calend 01'!D11),'V06 Calend 01'!J11,0))</f>
        <v>0</v>
      </c>
      <c r="AR11" s="2">
        <f>((IF((32='V06 Calend 01'!C11),('V06 Calend 01'!F11+'V06 Calend 01'!G11),0)+IF(AND(('V06 Calend 01'!E11&gt;0),(32&gt;'V06 Calend 01'!C11),(32&lt;'V06 Calend 01'!D11),(MOD((32-'V06 Calend 01'!C11),6)=0),(((32-'V06 Calend 01'!C11)/6)&lt;='V06 Calend 01'!E11)),IF((32=('V06 Calend 01'!C11+(6*'V06 Calend 01'!E11))),('V06 Calend 01'!H11-('V06 Calend 01'!I11*('V06 Calend 01'!E11-1))),'V06 Calend 01'!I11),0))+IF((32='V06 Calend 01'!D11),'V06 Calend 01'!J11,0))</f>
        <v>0</v>
      </c>
      <c r="AS11" s="2">
        <f>((IF((33='V06 Calend 01'!C11),('V06 Calend 01'!F11+'V06 Calend 01'!G11),0)+IF(AND(('V06 Calend 01'!E11&gt;0),(33&gt;'V06 Calend 01'!C11),(33&lt;'V06 Calend 01'!D11),(MOD((33-'V06 Calend 01'!C11),6)=0),(((33-'V06 Calend 01'!C11)/6)&lt;='V06 Calend 01'!E11)),IF((33=('V06 Calend 01'!C11+(6*'V06 Calend 01'!E11))),('V06 Calend 01'!H11-('V06 Calend 01'!I11*('V06 Calend 01'!E11-1))),'V06 Calend 01'!I11),0))+IF((33='V06 Calend 01'!D11),'V06 Calend 01'!J11,0))</f>
        <v>0</v>
      </c>
      <c r="AT11" s="2">
        <f>((IF((34='V06 Calend 01'!C11),('V06 Calend 01'!F11+'V06 Calend 01'!G11),0)+IF(AND(('V06 Calend 01'!E11&gt;0),(34&gt;'V06 Calend 01'!C11),(34&lt;'V06 Calend 01'!D11),(MOD((34-'V06 Calend 01'!C11),6)=0),(((34-'V06 Calend 01'!C11)/6)&lt;='V06 Calend 01'!E11)),IF((34=('V06 Calend 01'!C11+(6*'V06 Calend 01'!E11))),('V06 Calend 01'!H11-('V06 Calend 01'!I11*('V06 Calend 01'!E11-1))),'V06 Calend 01'!I11),0))+IF((34='V06 Calend 01'!D11),'V06 Calend 01'!J11,0))</f>
        <v>0</v>
      </c>
      <c r="AU11" s="2">
        <f>((IF((35='V06 Calend 01'!C11),('V06 Calend 01'!F11+'V06 Calend 01'!G11),0)+IF(AND(('V06 Calend 01'!E11&gt;0),(35&gt;'V06 Calend 01'!C11),(35&lt;'V06 Calend 01'!D11),(MOD((35-'V06 Calend 01'!C11),6)=0),(((35-'V06 Calend 01'!C11)/6)&lt;='V06 Calend 01'!E11)),IF((35=('V06 Calend 01'!C11+(6*'V06 Calend 01'!E11))),('V06 Calend 01'!H11-('V06 Calend 01'!I11*('V06 Calend 01'!E11-1))),'V06 Calend 01'!I11),0))+IF((35='V06 Calend 01'!D11),'V06 Calend 01'!J11,0))</f>
        <v>0</v>
      </c>
      <c r="AV11" s="2">
        <f>((IF((36='V06 Calend 01'!C11),('V06 Calend 01'!F11+'V06 Calend 01'!G11),0)+IF(AND(('V06 Calend 01'!E11&gt;0),(36&gt;'V06 Calend 01'!C11),(36&lt;'V06 Calend 01'!D11),(MOD((36-'V06 Calend 01'!C11),6)=0),(((36-'V06 Calend 01'!C11)/6)&lt;='V06 Calend 01'!E11)),IF((36=('V06 Calend 01'!C11+(6*'V06 Calend 01'!E11))),('V06 Calend 01'!H11-('V06 Calend 01'!I11*('V06 Calend 01'!E11-1))),'V06 Calend 01'!I11),0))+IF((36='V06 Calend 01'!D11),'V06 Calend 01'!J11,0))</f>
        <v>0</v>
      </c>
      <c r="AW11" s="2">
        <f>((IF((37='V06 Calend 01'!C11),('V06 Calend 01'!F11+'V06 Calend 01'!G11),0)+IF(AND(('V06 Calend 01'!E11&gt;0),(37&gt;'V06 Calend 01'!C11),(37&lt;'V06 Calend 01'!D11),(MOD((37-'V06 Calend 01'!C11),6)=0),(((37-'V06 Calend 01'!C11)/6)&lt;='V06 Calend 01'!E11)),IF((37=('V06 Calend 01'!C11+(6*'V06 Calend 01'!E11))),('V06 Calend 01'!H11-('V06 Calend 01'!I11*('V06 Calend 01'!E11-1))),'V06 Calend 01'!I11),0))+IF((37='V06 Calend 01'!D11),'V06 Calend 01'!J11,0))</f>
        <v>0</v>
      </c>
      <c r="AX11" s="2">
        <f>((IF((38='V06 Calend 01'!C11),('V06 Calend 01'!F11+'V06 Calend 01'!G11),0)+IF(AND(('V06 Calend 01'!E11&gt;0),(38&gt;'V06 Calend 01'!C11),(38&lt;'V06 Calend 01'!D11),(MOD((38-'V06 Calend 01'!C11),6)=0),(((38-'V06 Calend 01'!C11)/6)&lt;='V06 Calend 01'!E11)),IF((38=('V06 Calend 01'!C11+(6*'V06 Calend 01'!E11))),('V06 Calend 01'!H11-('V06 Calend 01'!I11*('V06 Calend 01'!E11-1))),'V06 Calend 01'!I11),0))+IF((38='V06 Calend 01'!D11),'V06 Calend 01'!J11,0))</f>
        <v>0</v>
      </c>
      <c r="AY11" s="2">
        <f>((IF((39='V06 Calend 01'!C11),('V06 Calend 01'!F11+'V06 Calend 01'!G11),0)+IF(AND(('V06 Calend 01'!E11&gt;0),(39&gt;'V06 Calend 01'!C11),(39&lt;'V06 Calend 01'!D11),(MOD((39-'V06 Calend 01'!C11),6)=0),(((39-'V06 Calend 01'!C11)/6)&lt;='V06 Calend 01'!E11)),IF((39=('V06 Calend 01'!C11+(6*'V06 Calend 01'!E11))),('V06 Calend 01'!H11-('V06 Calend 01'!I11*('V06 Calend 01'!E11-1))),'V06 Calend 01'!I11),0))+IF((39='V06 Calend 01'!D11),'V06 Calend 01'!J11,0))</f>
        <v>0</v>
      </c>
      <c r="AZ11" s="2">
        <f>((IF((40='V06 Calend 01'!C11),('V06 Calend 01'!F11+'V06 Calend 01'!G11),0)+IF(AND(('V06 Calend 01'!E11&gt;0),(40&gt;'V06 Calend 01'!C11),(40&lt;'V06 Calend 01'!D11),(MOD((40-'V06 Calend 01'!C11),6)=0),(((40-'V06 Calend 01'!C11)/6)&lt;='V06 Calend 01'!E11)),IF((40=('V06 Calend 01'!C11+(6*'V06 Calend 01'!E11))),('V06 Calend 01'!H11-('V06 Calend 01'!I11*('V06 Calend 01'!E11-1))),'V06 Calend 01'!I11),0))+IF((40='V06 Calend 01'!D11),'V06 Calend 01'!J11,0))</f>
        <v>0</v>
      </c>
      <c r="BA11" s="2">
        <f>((IF((41='V06 Calend 01'!C11),('V06 Calend 01'!F11+'V06 Calend 01'!G11),0)+IF(AND(('V06 Calend 01'!E11&gt;0),(41&gt;'V06 Calend 01'!C11),(41&lt;'V06 Calend 01'!D11),(MOD((41-'V06 Calend 01'!C11),6)=0),(((41-'V06 Calend 01'!C11)/6)&lt;='V06 Calend 01'!E11)),IF((41=('V06 Calend 01'!C11+(6*'V06 Calend 01'!E11))),('V06 Calend 01'!H11-('V06 Calend 01'!I11*('V06 Calend 01'!E11-1))),'V06 Calend 01'!I11),0))+IF((41='V06 Calend 01'!D11),'V06 Calend 01'!J11,0))</f>
        <v>0</v>
      </c>
      <c r="BB11" s="2">
        <f>((IF((42='V06 Calend 01'!C11),('V06 Calend 01'!F11+'V06 Calend 01'!G11),0)+IF(AND(('V06 Calend 01'!E11&gt;0),(42&gt;'V06 Calend 01'!C11),(42&lt;'V06 Calend 01'!D11),(MOD((42-'V06 Calend 01'!C11),6)=0),(((42-'V06 Calend 01'!C11)/6)&lt;='V06 Calend 01'!E11)),IF((42=('V06 Calend 01'!C11+(6*'V06 Calend 01'!E11))),('V06 Calend 01'!H11-('V06 Calend 01'!I11*('V06 Calend 01'!E11-1))),'V06 Calend 01'!I11),0))+IF((42='V06 Calend 01'!D11),'V06 Calend 01'!J11,0))</f>
        <v>0</v>
      </c>
      <c r="BC11" s="2">
        <f>((IF((43='V06 Calend 01'!C11),('V06 Calend 01'!F11+'V06 Calend 01'!G11),0)+IF(AND(('V06 Calend 01'!E11&gt;0),(43&gt;'V06 Calend 01'!C11),(43&lt;'V06 Calend 01'!D11),(MOD((43-'V06 Calend 01'!C11),6)=0),(((43-'V06 Calend 01'!C11)/6)&lt;='V06 Calend 01'!E11)),IF((43=('V06 Calend 01'!C11+(6*'V06 Calend 01'!E11))),('V06 Calend 01'!H11-('V06 Calend 01'!I11*('V06 Calend 01'!E11-1))),'V06 Calend 01'!I11),0))+IF((43='V06 Calend 01'!D11),'V06 Calend 01'!J11,0))</f>
        <v>0</v>
      </c>
      <c r="BD11" s="2">
        <f>((IF((44='V06 Calend 01'!C11),('V06 Calend 01'!F11+'V06 Calend 01'!G11),0)+IF(AND(('V06 Calend 01'!E11&gt;0),(44&gt;'V06 Calend 01'!C11),(44&lt;'V06 Calend 01'!D11),(MOD((44-'V06 Calend 01'!C11),6)=0),(((44-'V06 Calend 01'!C11)/6)&lt;='V06 Calend 01'!E11)),IF((44=('V06 Calend 01'!C11+(6*'V06 Calend 01'!E11))),('V06 Calend 01'!H11-('V06 Calend 01'!I11*('V06 Calend 01'!E11-1))),'V06 Calend 01'!I11),0))+IF((44='V06 Calend 01'!D11),'V06 Calend 01'!J11,0))</f>
        <v>0</v>
      </c>
      <c r="BE11" s="2">
        <f>((IF((45='V06 Calend 01'!C11),('V06 Calend 01'!F11+'V06 Calend 01'!G11),0)+IF(AND(('V06 Calend 01'!E11&gt;0),(45&gt;'V06 Calend 01'!C11),(45&lt;'V06 Calend 01'!D11),(MOD((45-'V06 Calend 01'!C11),6)=0),(((45-'V06 Calend 01'!C11)/6)&lt;='V06 Calend 01'!E11)),IF((45=('V06 Calend 01'!C11+(6*'V06 Calend 01'!E11))),('V06 Calend 01'!H11-('V06 Calend 01'!I11*('V06 Calend 01'!E11-1))),'V06 Calend 01'!I11),0))+IF((45='V06 Calend 01'!D11),'V06 Calend 01'!J11,0))</f>
        <v>0</v>
      </c>
      <c r="BF11" s="2">
        <f>((IF((46='V06 Calend 01'!C11),('V06 Calend 01'!F11+'V06 Calend 01'!G11),0)+IF(AND(('V06 Calend 01'!E11&gt;0),(46&gt;'V06 Calend 01'!C11),(46&lt;'V06 Calend 01'!D11),(MOD((46-'V06 Calend 01'!C11),6)=0),(((46-'V06 Calend 01'!C11)/6)&lt;='V06 Calend 01'!E11)),IF((46=('V06 Calend 01'!C11+(6*'V06 Calend 01'!E11))),('V06 Calend 01'!H11-('V06 Calend 01'!I11*('V06 Calend 01'!E11-1))),'V06 Calend 01'!I11),0))+IF((46='V06 Calend 01'!D11),'V06 Calend 01'!J11,0))</f>
        <v>0</v>
      </c>
      <c r="BG11" s="2">
        <f>((IF((47='V06 Calend 01'!C11),('V06 Calend 01'!F11+'V06 Calend 01'!G11),0)+IF(AND(('V06 Calend 01'!E11&gt;0),(47&gt;'V06 Calend 01'!C11),(47&lt;'V06 Calend 01'!D11),(MOD((47-'V06 Calend 01'!C11),6)=0),(((47-'V06 Calend 01'!C11)/6)&lt;='V06 Calend 01'!E11)),IF((47=('V06 Calend 01'!C11+(6*'V06 Calend 01'!E11))),('V06 Calend 01'!H11-('V06 Calend 01'!I11*('V06 Calend 01'!E11-1))),'V06 Calend 01'!I11),0))+IF((47='V06 Calend 01'!D11),'V06 Calend 01'!J11,0))</f>
        <v>0</v>
      </c>
      <c r="BH11" s="2">
        <f>((IF((48='V06 Calend 01'!C11),('V06 Calend 01'!F11+'V06 Calend 01'!G11),0)+IF(AND(('V06 Calend 01'!E11&gt;0),(48&gt;'V06 Calend 01'!C11),(48&lt;'V06 Calend 01'!D11),(MOD((48-'V06 Calend 01'!C11),6)=0),(((48-'V06 Calend 01'!C11)/6)&lt;='V06 Calend 01'!E11)),IF((48=('V06 Calend 01'!C11+(6*'V06 Calend 01'!E11))),('V06 Calend 01'!H11-('V06 Calend 01'!I11*('V06 Calend 01'!E11-1))),'V06 Calend 01'!I11),0))+IF((48='V06 Calend 01'!D11),'V06 Calend 01'!J11,0))</f>
        <v>0</v>
      </c>
      <c r="BI11" s="2">
        <f>((IF((49='V06 Calend 01'!C11),('V06 Calend 01'!F11+'V06 Calend 01'!G11),0)+IF(AND(('V06 Calend 01'!E11&gt;0),(49&gt;'V06 Calend 01'!C11),(49&lt;'V06 Calend 01'!D11),(MOD((49-'V06 Calend 01'!C11),6)=0),(((49-'V06 Calend 01'!C11)/6)&lt;='V06 Calend 01'!E11)),IF((49=('V06 Calend 01'!C11+(6*'V06 Calend 01'!E11))),('V06 Calend 01'!H11-('V06 Calend 01'!I11*('V06 Calend 01'!E11-1))),'V06 Calend 01'!I11),0))+IF((49='V06 Calend 01'!D11),'V06 Calend 01'!J11,0))</f>
        <v>0</v>
      </c>
      <c r="BJ11" s="2">
        <f>((IF((50='V06 Calend 01'!C11),('V06 Calend 01'!F11+'V06 Calend 01'!G11),0)+IF(AND(('V06 Calend 01'!E11&gt;0),(50&gt;'V06 Calend 01'!C11),(50&lt;'V06 Calend 01'!D11),(MOD((50-'V06 Calend 01'!C11),6)=0),(((50-'V06 Calend 01'!C11)/6)&lt;='V06 Calend 01'!E11)),IF((50=('V06 Calend 01'!C11+(6*'V06 Calend 01'!E11))),('V06 Calend 01'!H11-('V06 Calend 01'!I11*('V06 Calend 01'!E11-1))),'V06 Calend 01'!I11),0))+IF((50='V06 Calend 01'!D11),'V06 Calend 01'!J11,0))</f>
        <v>0</v>
      </c>
      <c r="BK11" s="2">
        <f>((IF((51='V06 Calend 01'!C11),('V06 Calend 01'!F11+'V06 Calend 01'!G11),0)+IF(AND(('V06 Calend 01'!E11&gt;0),(51&gt;'V06 Calend 01'!C11),(51&lt;'V06 Calend 01'!D11),(MOD((51-'V06 Calend 01'!C11),6)=0),(((51-'V06 Calend 01'!C11)/6)&lt;='V06 Calend 01'!E11)),IF((51=('V06 Calend 01'!C11+(6*'V06 Calend 01'!E11))),('V06 Calend 01'!H11-('V06 Calend 01'!I11*('V06 Calend 01'!E11-1))),'V06 Calend 01'!I11),0))+IF((51='V06 Calend 01'!D11),'V06 Calend 01'!J11,0))</f>
        <v>0</v>
      </c>
      <c r="BL11" s="2">
        <f>((IF((52='V06 Calend 01'!C11),('V06 Calend 01'!F11+'V06 Calend 01'!G11),0)+IF(AND(('V06 Calend 01'!E11&gt;0),(52&gt;'V06 Calend 01'!C11),(52&lt;'V06 Calend 01'!D11),(MOD((52-'V06 Calend 01'!C11),6)=0),(((52-'V06 Calend 01'!C11)/6)&lt;='V06 Calend 01'!E11)),IF((52=('V06 Calend 01'!C11+(6*'V06 Calend 01'!E11))),('V06 Calend 01'!H11-('V06 Calend 01'!I11*('V06 Calend 01'!E11-1))),'V06 Calend 01'!I11),0))+IF((52='V06 Calend 01'!D11),'V06 Calend 01'!J11,0))</f>
        <v>0</v>
      </c>
      <c r="BM11" s="2">
        <f>((IF((53='V06 Calend 01'!C11),('V06 Calend 01'!F11+'V06 Calend 01'!G11),0)+IF(AND(('V06 Calend 01'!E11&gt;0),(53&gt;'V06 Calend 01'!C11),(53&lt;'V06 Calend 01'!D11),(MOD((53-'V06 Calend 01'!C11),6)=0),(((53-'V06 Calend 01'!C11)/6)&lt;='V06 Calend 01'!E11)),IF((53=('V06 Calend 01'!C11+(6*'V06 Calend 01'!E11))),('V06 Calend 01'!H11-('V06 Calend 01'!I11*('V06 Calend 01'!E11-1))),'V06 Calend 01'!I11),0))+IF((53='V06 Calend 01'!D11),'V06 Calend 01'!J11,0))</f>
        <v>0</v>
      </c>
      <c r="BN11" s="2">
        <f>((IF((54='V06 Calend 01'!C11),('V06 Calend 01'!F11+'V06 Calend 01'!G11),0)+IF(AND(('V06 Calend 01'!E11&gt;0),(54&gt;'V06 Calend 01'!C11),(54&lt;'V06 Calend 01'!D11),(MOD((54-'V06 Calend 01'!C11),6)=0),(((54-'V06 Calend 01'!C11)/6)&lt;='V06 Calend 01'!E11)),IF((54=('V06 Calend 01'!C11+(6*'V06 Calend 01'!E11))),('V06 Calend 01'!H11-('V06 Calend 01'!I11*('V06 Calend 01'!E11-1))),'V06 Calend 01'!I11),0))+IF((54='V06 Calend 01'!D11),'V06 Calend 01'!J11,0))</f>
        <v>0</v>
      </c>
      <c r="BO11" s="2">
        <f>((IF((55='V06 Calend 01'!C11),('V06 Calend 01'!F11+'V06 Calend 01'!G11),0)+IF(AND(('V06 Calend 01'!E11&gt;0),(55&gt;'V06 Calend 01'!C11),(55&lt;'V06 Calend 01'!D11),(MOD((55-'V06 Calend 01'!C11),6)=0),(((55-'V06 Calend 01'!C11)/6)&lt;='V06 Calend 01'!E11)),IF((55=('V06 Calend 01'!C11+(6*'V06 Calend 01'!E11))),('V06 Calend 01'!H11-('V06 Calend 01'!I11*('V06 Calend 01'!E11-1))),'V06 Calend 01'!I11),0))+IF((55='V06 Calend 01'!D11),'V06 Calend 01'!J11,0))</f>
        <v>0</v>
      </c>
      <c r="BP11" s="2">
        <f>((IF((56='V06 Calend 01'!C11),('V06 Calend 01'!F11+'V06 Calend 01'!G11),0)+IF(AND(('V06 Calend 01'!E11&gt;0),(56&gt;'V06 Calend 01'!C11),(56&lt;'V06 Calend 01'!D11),(MOD((56-'V06 Calend 01'!C11),6)=0),(((56-'V06 Calend 01'!C11)/6)&lt;='V06 Calend 01'!E11)),IF((56=('V06 Calend 01'!C11+(6*'V06 Calend 01'!E11))),('V06 Calend 01'!H11-('V06 Calend 01'!I11*('V06 Calend 01'!E11-1))),'V06 Calend 01'!I11),0))+IF((56='V06 Calend 01'!D11),'V06 Calend 01'!J11,0))</f>
        <v>0</v>
      </c>
      <c r="BQ11" s="2">
        <f>((IF((57='V06 Calend 01'!C11),('V06 Calend 01'!F11+'V06 Calend 01'!G11),0)+IF(AND(('V06 Calend 01'!E11&gt;0),(57&gt;'V06 Calend 01'!C11),(57&lt;'V06 Calend 01'!D11),(MOD((57-'V06 Calend 01'!C11),6)=0),(((57-'V06 Calend 01'!C11)/6)&lt;='V06 Calend 01'!E11)),IF((57=('V06 Calend 01'!C11+(6*'V06 Calend 01'!E11))),('V06 Calend 01'!H11-('V06 Calend 01'!I11*('V06 Calend 01'!E11-1))),'V06 Calend 01'!I11),0))+IF((57='V06 Calend 01'!D11),'V06 Calend 01'!J11,0))</f>
        <v>0</v>
      </c>
      <c r="BR11" s="2">
        <f>((IF((58='V06 Calend 01'!C11),('V06 Calend 01'!F11+'V06 Calend 01'!G11),0)+IF(AND(('V06 Calend 01'!E11&gt;0),(58&gt;'V06 Calend 01'!C11),(58&lt;'V06 Calend 01'!D11),(MOD((58-'V06 Calend 01'!C11),6)=0),(((58-'V06 Calend 01'!C11)/6)&lt;='V06 Calend 01'!E11)),IF((58=('V06 Calend 01'!C11+(6*'V06 Calend 01'!E11))),('V06 Calend 01'!H11-('V06 Calend 01'!I11*('V06 Calend 01'!E11-1))),'V06 Calend 01'!I11),0))+IF((58='V06 Calend 01'!D11),'V06 Calend 01'!J11,0))</f>
        <v>0</v>
      </c>
      <c r="BS11" s="2">
        <f>((IF((59='V06 Calend 01'!C11),('V06 Calend 01'!F11+'V06 Calend 01'!G11),0)+IF(AND(('V06 Calend 01'!E11&gt;0),(59&gt;'V06 Calend 01'!C11),(59&lt;'V06 Calend 01'!D11),(MOD((59-'V06 Calend 01'!C11),6)=0),(((59-'V06 Calend 01'!C11)/6)&lt;='V06 Calend 01'!E11)),IF((59=('V06 Calend 01'!C11+(6*'V06 Calend 01'!E11))),('V06 Calend 01'!H11-('V06 Calend 01'!I11*('V06 Calend 01'!E11-1))),'V06 Calend 01'!I11),0))+IF((59='V06 Calend 01'!D11),'V06 Calend 01'!J11,0))</f>
        <v>0</v>
      </c>
      <c r="BT11" s="2">
        <f>((IF((60='V06 Calend 01'!C11),('V06 Calend 01'!F11+'V06 Calend 01'!G11),0)+IF(AND(('V06 Calend 01'!E11&gt;0),(60&gt;'V06 Calend 01'!C11),(60&lt;'V06 Calend 01'!D11),(MOD((60-'V06 Calend 01'!C11),6)=0),(((60-'V06 Calend 01'!C11)/6)&lt;='V06 Calend 01'!E11)),IF((60=('V06 Calend 01'!C11+(6*'V06 Calend 01'!E11))),('V06 Calend 01'!H11-('V06 Calend 01'!I11*('V06 Calend 01'!E11-1))),'V06 Calend 01'!I11),0))+IF((60='V06 Calend 01'!D11),'V06 Calend 01'!J11,0))</f>
        <v>0</v>
      </c>
      <c r="BU11" s="2">
        <f>((IF((61='V06 Calend 01'!C11),('V06 Calend 01'!F11+'V06 Calend 01'!G11),0)+IF(AND(('V06 Calend 01'!E11&gt;0),(61&gt;'V06 Calend 01'!C11),(61&lt;'V06 Calend 01'!D11),(MOD((61-'V06 Calend 01'!C11),6)=0),(((61-'V06 Calend 01'!C11)/6)&lt;='V06 Calend 01'!E11)),IF((61=('V06 Calend 01'!C11+(6*'V06 Calend 01'!E11))),('V06 Calend 01'!H11-('V06 Calend 01'!I11*('V06 Calend 01'!E11-1))),'V06 Calend 01'!I11),0))+IF((61='V06 Calend 01'!D11),'V06 Calend 01'!J11,0))</f>
        <v>0</v>
      </c>
      <c r="BV11" s="2">
        <f>((IF((62='V06 Calend 01'!C11),('V06 Calend 01'!F11+'V06 Calend 01'!G11),0)+IF(AND(('V06 Calend 01'!E11&gt;0),(62&gt;'V06 Calend 01'!C11),(62&lt;'V06 Calend 01'!D11),(MOD((62-'V06 Calend 01'!C11),6)=0),(((62-'V06 Calend 01'!C11)/6)&lt;='V06 Calend 01'!E11)),IF((62=('V06 Calend 01'!C11+(6*'V06 Calend 01'!E11))),('V06 Calend 01'!H11-('V06 Calend 01'!I11*('V06 Calend 01'!E11-1))),'V06 Calend 01'!I11),0))+IF((62='V06 Calend 01'!D11),'V06 Calend 01'!J11,0))</f>
        <v>0</v>
      </c>
      <c r="BW11" s="2">
        <f>((IF((63='V06 Calend 01'!C11),('V06 Calend 01'!F11+'V06 Calend 01'!G11),0)+IF(AND(('V06 Calend 01'!E11&gt;0),(63&gt;'V06 Calend 01'!C11),(63&lt;'V06 Calend 01'!D11),(MOD((63-'V06 Calend 01'!C11),6)=0),(((63-'V06 Calend 01'!C11)/6)&lt;='V06 Calend 01'!E11)),IF((63=('V06 Calend 01'!C11+(6*'V06 Calend 01'!E11))),('V06 Calend 01'!H11-('V06 Calend 01'!I11*('V06 Calend 01'!E11-1))),'V06 Calend 01'!I11),0))+IF((63='V06 Calend 01'!D11),'V06 Calend 01'!J11,0))</f>
        <v>0</v>
      </c>
      <c r="BX11" s="2">
        <f>((IF((64='V06 Calend 01'!C11),('V06 Calend 01'!F11+'V06 Calend 01'!G11),0)+IF(AND(('V06 Calend 01'!E11&gt;0),(64&gt;'V06 Calend 01'!C11),(64&lt;'V06 Calend 01'!D11),(MOD((64-'V06 Calend 01'!C11),6)=0),(((64-'V06 Calend 01'!C11)/6)&lt;='V06 Calend 01'!E11)),IF((64=('V06 Calend 01'!C11+(6*'V06 Calend 01'!E11))),('V06 Calend 01'!H11-('V06 Calend 01'!I11*('V06 Calend 01'!E11-1))),'V06 Calend 01'!I11),0))+IF((64='V06 Calend 01'!D11),'V06 Calend 01'!J11,0))</f>
        <v>0</v>
      </c>
      <c r="BY11" s="2">
        <f>((IF((65='V06 Calend 01'!C11),('V06 Calend 01'!F11+'V06 Calend 01'!G11),0)+IF(AND(('V06 Calend 01'!E11&gt;0),(65&gt;'V06 Calend 01'!C11),(65&lt;'V06 Calend 01'!D11),(MOD((65-'V06 Calend 01'!C11),6)=0),(((65-'V06 Calend 01'!C11)/6)&lt;='V06 Calend 01'!E11)),IF((65=('V06 Calend 01'!C11+(6*'V06 Calend 01'!E11))),('V06 Calend 01'!H11-('V06 Calend 01'!I11*('V06 Calend 01'!E11-1))),'V06 Calend 01'!I11),0))+IF((65='V06 Calend 01'!D11),'V06 Calend 01'!J11,0))</f>
        <v>0</v>
      </c>
      <c r="BZ11" s="2">
        <f>((IF((66='V06 Calend 01'!C11),('V06 Calend 01'!F11+'V06 Calend 01'!G11),0)+IF(AND(('V06 Calend 01'!E11&gt;0),(66&gt;'V06 Calend 01'!C11),(66&lt;'V06 Calend 01'!D11),(MOD((66-'V06 Calend 01'!C11),6)=0),(((66-'V06 Calend 01'!C11)/6)&lt;='V06 Calend 01'!E11)),IF((66=('V06 Calend 01'!C11+(6*'V06 Calend 01'!E11))),('V06 Calend 01'!H11-('V06 Calend 01'!I11*('V06 Calend 01'!E11-1))),'V06 Calend 01'!I11),0))+IF((66='V06 Calend 01'!D11),'V06 Calend 01'!J11,0))</f>
        <v>0</v>
      </c>
      <c r="CA11" s="2">
        <f>((IF((67='V06 Calend 01'!C11),('V06 Calend 01'!F11+'V06 Calend 01'!G11),0)+IF(AND(('V06 Calend 01'!E11&gt;0),(67&gt;'V06 Calend 01'!C11),(67&lt;'V06 Calend 01'!D11),(MOD((67-'V06 Calend 01'!C11),6)=0),(((67-'V06 Calend 01'!C11)/6)&lt;='V06 Calend 01'!E11)),IF((67=('V06 Calend 01'!C11+(6*'V06 Calend 01'!E11))),('V06 Calend 01'!H11-('V06 Calend 01'!I11*('V06 Calend 01'!E11-1))),'V06 Calend 01'!I11),0))+IF((67='V06 Calend 01'!D11),'V06 Calend 01'!J11,0))</f>
        <v>0</v>
      </c>
      <c r="CB11" s="2">
        <f>((IF((68='V06 Calend 01'!C11),('V06 Calend 01'!F11+'V06 Calend 01'!G11),0)+IF(AND(('V06 Calend 01'!E11&gt;0),(68&gt;'V06 Calend 01'!C11),(68&lt;'V06 Calend 01'!D11),(MOD((68-'V06 Calend 01'!C11),6)=0),(((68-'V06 Calend 01'!C11)/6)&lt;='V06 Calend 01'!E11)),IF((68=('V06 Calend 01'!C11+(6*'V06 Calend 01'!E11))),('V06 Calend 01'!H11-('V06 Calend 01'!I11*('V06 Calend 01'!E11-1))),'V06 Calend 01'!I11),0))+IF((68='V06 Calend 01'!D11),'V06 Calend 01'!J11,0))</f>
        <v>0</v>
      </c>
      <c r="CC11" s="2">
        <f>((IF((69='V06 Calend 01'!C11),('V06 Calend 01'!F11+'V06 Calend 01'!G11),0)+IF(AND(('V06 Calend 01'!E11&gt;0),(69&gt;'V06 Calend 01'!C11),(69&lt;'V06 Calend 01'!D11),(MOD((69-'V06 Calend 01'!C11),6)=0),(((69-'V06 Calend 01'!C11)/6)&lt;='V06 Calend 01'!E11)),IF((69=('V06 Calend 01'!C11+(6*'V06 Calend 01'!E11))),('V06 Calend 01'!H11-('V06 Calend 01'!I11*('V06 Calend 01'!E11-1))),'V06 Calend 01'!I11),0))+IF((69='V06 Calend 01'!D11),'V06 Calend 01'!J11,0))</f>
        <v>0</v>
      </c>
      <c r="CD11" s="2">
        <f>((IF((70='V06 Calend 01'!C11),('V06 Calend 01'!F11+'V06 Calend 01'!G11),0)+IF(AND(('V06 Calend 01'!E11&gt;0),(70&gt;'V06 Calend 01'!C11),(70&lt;'V06 Calend 01'!D11),(MOD((70-'V06 Calend 01'!C11),6)=0),(((70-'V06 Calend 01'!C11)/6)&lt;='V06 Calend 01'!E11)),IF((70=('V06 Calend 01'!C11+(6*'V06 Calend 01'!E11))),('V06 Calend 01'!H11-('V06 Calend 01'!I11*('V06 Calend 01'!E11-1))),'V06 Calend 01'!I11),0))+IF((70='V06 Calend 01'!D11),'V06 Calend 01'!J11,0))</f>
        <v>0</v>
      </c>
      <c r="CE11" s="2">
        <f>((IF((71='V06 Calend 01'!C11),('V06 Calend 01'!F11+'V06 Calend 01'!G11),0)+IF(AND(('V06 Calend 01'!E11&gt;0),(71&gt;'V06 Calend 01'!C11),(71&lt;'V06 Calend 01'!D11),(MOD((71-'V06 Calend 01'!C11),6)=0),(((71-'V06 Calend 01'!C11)/6)&lt;='V06 Calend 01'!E11)),IF((71=('V06 Calend 01'!C11+(6*'V06 Calend 01'!E11))),('V06 Calend 01'!H11-('V06 Calend 01'!I11*('V06 Calend 01'!E11-1))),'V06 Calend 01'!I11),0))+IF((71='V06 Calend 01'!D11),'V06 Calend 01'!J11,0))</f>
        <v>0</v>
      </c>
      <c r="CF11" s="2">
        <f>((IF((72='V06 Calend 01'!C11),('V06 Calend 01'!F11+'V06 Calend 01'!G11),0)+IF(AND(('V06 Calend 01'!E11&gt;0),(72&gt;'V06 Calend 01'!C11),(72&lt;'V06 Calend 01'!D11),(MOD((72-'V06 Calend 01'!C11),6)=0),(((72-'V06 Calend 01'!C11)/6)&lt;='V06 Calend 01'!E11)),IF((72=('V06 Calend 01'!C11+(6*'V06 Calend 01'!E11))),('V06 Calend 01'!H11-('V06 Calend 01'!I11*('V06 Calend 01'!E11-1))),'V06 Calend 01'!I11),0))+IF((72='V06 Calend 01'!D11),'V06 Calend 01'!J11,0))</f>
        <v>0</v>
      </c>
      <c r="CG11" s="2">
        <f>((IF((73='V06 Calend 01'!C11),('V06 Calend 01'!F11+'V06 Calend 01'!G11),0)+IF(AND(('V06 Calend 01'!E11&gt;0),(73&gt;'V06 Calend 01'!C11),(73&lt;'V06 Calend 01'!D11),(MOD((73-'V06 Calend 01'!C11),6)=0),(((73-'V06 Calend 01'!C11)/6)&lt;='V06 Calend 01'!E11)),IF((73=('V06 Calend 01'!C11+(6*'V06 Calend 01'!E11))),('V06 Calend 01'!H11-('V06 Calend 01'!I11*('V06 Calend 01'!E11-1))),'V06 Calend 01'!I11),0))+IF((73='V06 Calend 01'!D11),'V06 Calend 01'!J11,0))</f>
        <v>0</v>
      </c>
      <c r="CH11" s="2">
        <f>((IF((74='V06 Calend 01'!C11),('V06 Calend 01'!F11+'V06 Calend 01'!G11),0)+IF(AND(('V06 Calend 01'!E11&gt;0),(74&gt;'V06 Calend 01'!C11),(74&lt;'V06 Calend 01'!D11),(MOD((74-'V06 Calend 01'!C11),6)=0),(((74-'V06 Calend 01'!C11)/6)&lt;='V06 Calend 01'!E11)),IF((74=('V06 Calend 01'!C11+(6*'V06 Calend 01'!E11))),('V06 Calend 01'!H11-('V06 Calend 01'!I11*('V06 Calend 01'!E11-1))),'V06 Calend 01'!I11),0))+IF((74='V06 Calend 01'!D11),'V06 Calend 01'!J11,0))</f>
        <v>0</v>
      </c>
      <c r="CI11" s="2">
        <f>((IF((75='V06 Calend 01'!C11),('V06 Calend 01'!F11+'V06 Calend 01'!G11),0)+IF(AND(('V06 Calend 01'!E11&gt;0),(75&gt;'V06 Calend 01'!C11),(75&lt;'V06 Calend 01'!D11),(MOD((75-'V06 Calend 01'!C11),6)=0),(((75-'V06 Calend 01'!C11)/6)&lt;='V06 Calend 01'!E11)),IF((75=('V06 Calend 01'!C11+(6*'V06 Calend 01'!E11))),('V06 Calend 01'!H11-('V06 Calend 01'!I11*('V06 Calend 01'!E11-1))),'V06 Calend 01'!I11),0))+IF((75='V06 Calend 01'!D11),'V06 Calend 01'!J11,0))</f>
        <v>0</v>
      </c>
      <c r="CJ11" s="2">
        <f>((IF((76='V06 Calend 01'!C11),('V06 Calend 01'!F11+'V06 Calend 01'!G11),0)+IF(AND(('V06 Calend 01'!E11&gt;0),(76&gt;'V06 Calend 01'!C11),(76&lt;'V06 Calend 01'!D11),(MOD((76-'V06 Calend 01'!C11),6)=0),(((76-'V06 Calend 01'!C11)/6)&lt;='V06 Calend 01'!E11)),IF((76=('V06 Calend 01'!C11+(6*'V06 Calend 01'!E11))),('V06 Calend 01'!H11-('V06 Calend 01'!I11*('V06 Calend 01'!E11-1))),'V06 Calend 01'!I11),0))+IF((76='V06 Calend 01'!D11),'V06 Calend 01'!J11,0))</f>
        <v>0</v>
      </c>
      <c r="CK11" s="2">
        <f>((IF((77='V06 Calend 01'!C11),('V06 Calend 01'!F11+'V06 Calend 01'!G11),0)+IF(AND(('V06 Calend 01'!E11&gt;0),(77&gt;'V06 Calend 01'!C11),(77&lt;'V06 Calend 01'!D11),(MOD((77-'V06 Calend 01'!C11),6)=0),(((77-'V06 Calend 01'!C11)/6)&lt;='V06 Calend 01'!E11)),IF((77=('V06 Calend 01'!C11+(6*'V06 Calend 01'!E11))),('V06 Calend 01'!H11-('V06 Calend 01'!I11*('V06 Calend 01'!E11-1))),'V06 Calend 01'!I11),0))+IF((77='V06 Calend 01'!D11),'V06 Calend 01'!J11,0))</f>
        <v>0</v>
      </c>
      <c r="CL11" s="2">
        <f>((IF((78='V06 Calend 01'!C11),('V06 Calend 01'!F11+'V06 Calend 01'!G11),0)+IF(AND(('V06 Calend 01'!E11&gt;0),(78&gt;'V06 Calend 01'!C11),(78&lt;'V06 Calend 01'!D11),(MOD((78-'V06 Calend 01'!C11),6)=0),(((78-'V06 Calend 01'!C11)/6)&lt;='V06 Calend 01'!E11)),IF((78=('V06 Calend 01'!C11+(6*'V06 Calend 01'!E11))),('V06 Calend 01'!H11-('V06 Calend 01'!I11*('V06 Calend 01'!E11-1))),'V06 Calend 01'!I11),0))+IF((78='V06 Calend 01'!D11),'V06 Calend 01'!J11,0))</f>
        <v>0</v>
      </c>
      <c r="CM11" s="2">
        <f>((IF((79='V06 Calend 01'!C11),('V06 Calend 01'!F11+'V06 Calend 01'!G11),0)+IF(AND(('V06 Calend 01'!E11&gt;0),(79&gt;'V06 Calend 01'!C11),(79&lt;'V06 Calend 01'!D11),(MOD((79-'V06 Calend 01'!C11),6)=0),(((79-'V06 Calend 01'!C11)/6)&lt;='V06 Calend 01'!E11)),IF((79=('V06 Calend 01'!C11+(6*'V06 Calend 01'!E11))),('V06 Calend 01'!H11-('V06 Calend 01'!I11*('V06 Calend 01'!E11-1))),'V06 Calend 01'!I11),0))+IF((79='V06 Calend 01'!D11),'V06 Calend 01'!J11,0))</f>
        <v>0</v>
      </c>
      <c r="CN11" s="2">
        <f>((IF((80='V06 Calend 01'!C11),('V06 Calend 01'!F11+'V06 Calend 01'!G11),0)+IF(AND(('V06 Calend 01'!E11&gt;0),(80&gt;'V06 Calend 01'!C11),(80&lt;'V06 Calend 01'!D11),(MOD((80-'V06 Calend 01'!C11),6)=0),(((80-'V06 Calend 01'!C11)/6)&lt;='V06 Calend 01'!E11)),IF((80=('V06 Calend 01'!C11+(6*'V06 Calend 01'!E11))),('V06 Calend 01'!H11-('V06 Calend 01'!I11*('V06 Calend 01'!E11-1))),'V06 Calend 01'!I11),0))+IF((80='V06 Calend 01'!D11),'V06 Calend 01'!J11,0))</f>
        <v>0</v>
      </c>
      <c r="CO11" s="2">
        <f>((IF((81='V06 Calend 01'!C11),('V06 Calend 01'!F11+'V06 Calend 01'!G11),0)+IF(AND(('V06 Calend 01'!E11&gt;0),(81&gt;'V06 Calend 01'!C11),(81&lt;'V06 Calend 01'!D11),(MOD((81-'V06 Calend 01'!C11),6)=0),(((81-'V06 Calend 01'!C11)/6)&lt;='V06 Calend 01'!E11)),IF((81=('V06 Calend 01'!C11+(6*'V06 Calend 01'!E11))),('V06 Calend 01'!H11-('V06 Calend 01'!I11*('V06 Calend 01'!E11-1))),'V06 Calend 01'!I11),0))+IF((81='V06 Calend 01'!D11),'V06 Calend 01'!J11,0))</f>
        <v>0</v>
      </c>
      <c r="CP11" s="2">
        <f>((IF((82='V06 Calend 01'!C11),('V06 Calend 01'!F11+'V06 Calend 01'!G11),0)+IF(AND(('V06 Calend 01'!E11&gt;0),(82&gt;'V06 Calend 01'!C11),(82&lt;'V06 Calend 01'!D11),(MOD((82-'V06 Calend 01'!C11),6)=0),(((82-'V06 Calend 01'!C11)/6)&lt;='V06 Calend 01'!E11)),IF((82=('V06 Calend 01'!C11+(6*'V06 Calend 01'!E11))),('V06 Calend 01'!H11-('V06 Calend 01'!I11*('V06 Calend 01'!E11-1))),'V06 Calend 01'!I11),0))+IF((82='V06 Calend 01'!D11),'V06 Calend 01'!J11,0))</f>
        <v>0</v>
      </c>
      <c r="CQ11" s="2">
        <f>((IF((83='V06 Calend 01'!C11),('V06 Calend 01'!F11+'V06 Calend 01'!G11),0)+IF(AND(('V06 Calend 01'!E11&gt;0),(83&gt;'V06 Calend 01'!C11),(83&lt;'V06 Calend 01'!D11),(MOD((83-'V06 Calend 01'!C11),6)=0),(((83-'V06 Calend 01'!C11)/6)&lt;='V06 Calend 01'!E11)),IF((83=('V06 Calend 01'!C11+(6*'V06 Calend 01'!E11))),('V06 Calend 01'!H11-('V06 Calend 01'!I11*('V06 Calend 01'!E11-1))),'V06 Calend 01'!I11),0))+IF((83='V06 Calend 01'!D11),'V06 Calend 01'!J11,0))</f>
        <v>0</v>
      </c>
      <c r="CR11" s="2">
        <f>((IF((84='V06 Calend 01'!C11),('V06 Calend 01'!F11+'V06 Calend 01'!G11),0)+IF(AND(('V06 Calend 01'!E11&gt;0),(84&gt;'V06 Calend 01'!C11),(84&lt;'V06 Calend 01'!D11),(MOD((84-'V06 Calend 01'!C11),6)=0),(((84-'V06 Calend 01'!C11)/6)&lt;='V06 Calend 01'!E11)),IF((84=('V06 Calend 01'!C11+(6*'V06 Calend 01'!E11))),('V06 Calend 01'!H11-('V06 Calend 01'!I11*('V06 Calend 01'!E11-1))),'V06 Calend 01'!I11),0))+IF((84='V06 Calend 01'!D11),'V06 Calend 01'!J11,0))</f>
        <v>0</v>
      </c>
      <c r="CS11" s="2">
        <f>((IF((85='V06 Calend 01'!C11),('V06 Calend 01'!F11+'V06 Calend 01'!G11),0)+IF(AND(('V06 Calend 01'!E11&gt;0),(85&gt;'V06 Calend 01'!C11),(85&lt;'V06 Calend 01'!D11),(MOD((85-'V06 Calend 01'!C11),6)=0),(((85-'V06 Calend 01'!C11)/6)&lt;='V06 Calend 01'!E11)),IF((85=('V06 Calend 01'!C11+(6*'V06 Calend 01'!E11))),('V06 Calend 01'!H11-('V06 Calend 01'!I11*('V06 Calend 01'!E11-1))),'V06 Calend 01'!I11),0))+IF((85='V06 Calend 01'!D11),'V06 Calend 01'!J11,0))</f>
        <v>0</v>
      </c>
      <c r="CT11" s="2">
        <f>((IF((86='V06 Calend 01'!C11),('V06 Calend 01'!F11+'V06 Calend 01'!G11),0)+IF(AND(('V06 Calend 01'!E11&gt;0),(86&gt;'V06 Calend 01'!C11),(86&lt;'V06 Calend 01'!D11),(MOD((86-'V06 Calend 01'!C11),6)=0),(((86-'V06 Calend 01'!C11)/6)&lt;='V06 Calend 01'!E11)),IF((86=('V06 Calend 01'!C11+(6*'V06 Calend 01'!E11))),('V06 Calend 01'!H11-('V06 Calend 01'!I11*('V06 Calend 01'!E11-1))),'V06 Calend 01'!I11),0))+IF((86='V06 Calend 01'!D11),'V06 Calend 01'!J11,0))</f>
        <v>0</v>
      </c>
      <c r="CU11" s="2">
        <f>((IF((87='V06 Calend 01'!C11),('V06 Calend 01'!F11+'V06 Calend 01'!G11),0)+IF(AND(('V06 Calend 01'!E11&gt;0),(87&gt;'V06 Calend 01'!C11),(87&lt;'V06 Calend 01'!D11),(MOD((87-'V06 Calend 01'!C11),6)=0),(((87-'V06 Calend 01'!C11)/6)&lt;='V06 Calend 01'!E11)),IF((87=('V06 Calend 01'!C11+(6*'V06 Calend 01'!E11))),('V06 Calend 01'!H11-('V06 Calend 01'!I11*('V06 Calend 01'!E11-1))),'V06 Calend 01'!I11),0))+IF((87='V06 Calend 01'!D11),'V06 Calend 01'!J11,0))</f>
        <v>0</v>
      </c>
      <c r="CV11" s="2">
        <f>((IF((88='V06 Calend 01'!C11),('V06 Calend 01'!F11+'V06 Calend 01'!G11),0)+IF(AND(('V06 Calend 01'!E11&gt;0),(88&gt;'V06 Calend 01'!C11),(88&lt;'V06 Calend 01'!D11),(MOD((88-'V06 Calend 01'!C11),6)=0),(((88-'V06 Calend 01'!C11)/6)&lt;='V06 Calend 01'!E11)),IF((88=('V06 Calend 01'!C11+(6*'V06 Calend 01'!E11))),('V06 Calend 01'!H11-('V06 Calend 01'!I11*('V06 Calend 01'!E11-1))),'V06 Calend 01'!I11),0))+IF((88='V06 Calend 01'!D11),'V06 Calend 01'!J11,0))</f>
        <v>0</v>
      </c>
      <c r="CW11" s="2">
        <f>((IF((89='V06 Calend 01'!C11),('V06 Calend 01'!F11+'V06 Calend 01'!G11),0)+IF(AND(('V06 Calend 01'!E11&gt;0),(89&gt;'V06 Calend 01'!C11),(89&lt;'V06 Calend 01'!D11),(MOD((89-'V06 Calend 01'!C11),6)=0),(((89-'V06 Calend 01'!C11)/6)&lt;='V06 Calend 01'!E11)),IF((89=('V06 Calend 01'!C11+(6*'V06 Calend 01'!E11))),('V06 Calend 01'!H11-('V06 Calend 01'!I11*('V06 Calend 01'!E11-1))),'V06 Calend 01'!I11),0))+IF((89='V06 Calend 01'!D11),'V06 Calend 01'!J11,0))</f>
        <v>0</v>
      </c>
      <c r="CX11" s="2">
        <f>((IF((90='V06 Calend 01'!C11),('V06 Calend 01'!F11+'V06 Calend 01'!G11),0)+IF(AND(('V06 Calend 01'!E11&gt;0),(90&gt;'V06 Calend 01'!C11),(90&lt;'V06 Calend 01'!D11),(MOD((90-'V06 Calend 01'!C11),6)=0),(((90-'V06 Calend 01'!C11)/6)&lt;='V06 Calend 01'!E11)),IF((90=('V06 Calend 01'!C11+(6*'V06 Calend 01'!E11))),('V06 Calend 01'!H11-('V06 Calend 01'!I11*('V06 Calend 01'!E11-1))),'V06 Calend 01'!I11),0))+IF((90='V06 Calend 01'!D11),'V06 Calend 01'!J11,0))</f>
        <v>0</v>
      </c>
      <c r="CY11" s="2">
        <f>((IF((91='V06 Calend 01'!C11),('V06 Calend 01'!F11+'V06 Calend 01'!G11),0)+IF(AND(('V06 Calend 01'!E11&gt;0),(91&gt;'V06 Calend 01'!C11),(91&lt;'V06 Calend 01'!D11),(MOD((91-'V06 Calend 01'!C11),6)=0),(((91-'V06 Calend 01'!C11)/6)&lt;='V06 Calend 01'!E11)),IF((91=('V06 Calend 01'!C11+(6*'V06 Calend 01'!E11))),('V06 Calend 01'!H11-('V06 Calend 01'!I11*('V06 Calend 01'!E11-1))),'V06 Calend 01'!I11),0))+IF((91='V06 Calend 01'!D11),'V06 Calend 01'!J11,0))</f>
        <v>0</v>
      </c>
      <c r="CZ11" s="2">
        <f>((IF((92='V06 Calend 01'!C11),('V06 Calend 01'!F11+'V06 Calend 01'!G11),0)+IF(AND(('V06 Calend 01'!E11&gt;0),(92&gt;'V06 Calend 01'!C11),(92&lt;'V06 Calend 01'!D11),(MOD((92-'V06 Calend 01'!C11),6)=0),(((92-'V06 Calend 01'!C11)/6)&lt;='V06 Calend 01'!E11)),IF((92=('V06 Calend 01'!C11+(6*'V06 Calend 01'!E11))),('V06 Calend 01'!H11-('V06 Calend 01'!I11*('V06 Calend 01'!E11-1))),'V06 Calend 01'!I11),0))+IF((92='V06 Calend 01'!D11),'V06 Calend 01'!J11,0))</f>
        <v>0</v>
      </c>
      <c r="DA11" s="2">
        <f>((IF((93='V06 Calend 01'!C11),('V06 Calend 01'!F11+'V06 Calend 01'!G11),0)+IF(AND(('V06 Calend 01'!E11&gt;0),(93&gt;'V06 Calend 01'!C11),(93&lt;'V06 Calend 01'!D11),(MOD((93-'V06 Calend 01'!C11),6)=0),(((93-'V06 Calend 01'!C11)/6)&lt;='V06 Calend 01'!E11)),IF((93=('V06 Calend 01'!C11+(6*'V06 Calend 01'!E11))),('V06 Calend 01'!H11-('V06 Calend 01'!I11*('V06 Calend 01'!E11-1))),'V06 Calend 01'!I11),0))+IF((93='V06 Calend 01'!D11),'V06 Calend 01'!J11,0))</f>
        <v>0</v>
      </c>
      <c r="DB11" s="2">
        <f>((IF((94='V06 Calend 01'!C11),('V06 Calend 01'!F11+'V06 Calend 01'!G11),0)+IF(AND(('V06 Calend 01'!E11&gt;0),(94&gt;'V06 Calend 01'!C11),(94&lt;'V06 Calend 01'!D11),(MOD((94-'V06 Calend 01'!C11),6)=0),(((94-'V06 Calend 01'!C11)/6)&lt;='V06 Calend 01'!E11)),IF((94=('V06 Calend 01'!C11+(6*'V06 Calend 01'!E11))),('V06 Calend 01'!H11-('V06 Calend 01'!I11*('V06 Calend 01'!E11-1))),'V06 Calend 01'!I11),0))+IF((94='V06 Calend 01'!D11),'V06 Calend 01'!J11,0))</f>
        <v>0</v>
      </c>
      <c r="DC11" s="2">
        <f>((IF((95='V06 Calend 01'!C11),('V06 Calend 01'!F11+'V06 Calend 01'!G11),0)+IF(AND(('V06 Calend 01'!E11&gt;0),(95&gt;'V06 Calend 01'!C11),(95&lt;'V06 Calend 01'!D11),(MOD((95-'V06 Calend 01'!C11),6)=0),(((95-'V06 Calend 01'!C11)/6)&lt;='V06 Calend 01'!E11)),IF((95=('V06 Calend 01'!C11+(6*'V06 Calend 01'!E11))),('V06 Calend 01'!H11-('V06 Calend 01'!I11*('V06 Calend 01'!E11-1))),'V06 Calend 01'!I11),0))+IF((95='V06 Calend 01'!D11),'V06 Calend 01'!J11,0))</f>
        <v>0</v>
      </c>
      <c r="DD11" s="2">
        <f>((IF((96='V06 Calend 01'!C11),('V06 Calend 01'!F11+'V06 Calend 01'!G11),0)+IF(AND(('V06 Calend 01'!E11&gt;0),(96&gt;'V06 Calend 01'!C11),(96&lt;'V06 Calend 01'!D11),(MOD((96-'V06 Calend 01'!C11),6)=0),(((96-'V06 Calend 01'!C11)/6)&lt;='V06 Calend 01'!E11)),IF((96=('V06 Calend 01'!C11+(6*'V06 Calend 01'!E11))),('V06 Calend 01'!H11-('V06 Calend 01'!I11*('V06 Calend 01'!E11-1))),'V06 Calend 01'!I11),0))+IF((96='V06 Calend 01'!D11),'V06 Calend 01'!J11,0))</f>
        <v>0</v>
      </c>
      <c r="DE11" s="2">
        <f>((IF((97='V06 Calend 01'!C11),('V06 Calend 01'!F11+'V06 Calend 01'!G11),0)+IF(AND(('V06 Calend 01'!E11&gt;0),(97&gt;'V06 Calend 01'!C11),(97&lt;'V06 Calend 01'!D11),(MOD((97-'V06 Calend 01'!C11),6)=0),(((97-'V06 Calend 01'!C11)/6)&lt;='V06 Calend 01'!E11)),IF((97=('V06 Calend 01'!C11+(6*'V06 Calend 01'!E11))),('V06 Calend 01'!H11-('V06 Calend 01'!I11*('V06 Calend 01'!E11-1))),'V06 Calend 01'!I11),0))+IF((97='V06 Calend 01'!D11),'V06 Calend 01'!J11,0))</f>
        <v>0</v>
      </c>
      <c r="DF11" s="2">
        <f>((IF((98='V06 Calend 01'!C11),('V06 Calend 01'!F11+'V06 Calend 01'!G11),0)+IF(AND(('V06 Calend 01'!E11&gt;0),(98&gt;'V06 Calend 01'!C11),(98&lt;'V06 Calend 01'!D11),(MOD((98-'V06 Calend 01'!C11),6)=0),(((98-'V06 Calend 01'!C11)/6)&lt;='V06 Calend 01'!E11)),IF((98=('V06 Calend 01'!C11+(6*'V06 Calend 01'!E11))),('V06 Calend 01'!H11-('V06 Calend 01'!I11*('V06 Calend 01'!E11-1))),'V06 Calend 01'!I11),0))+IF((98='V06 Calend 01'!D11),'V06 Calend 01'!J11,0))</f>
        <v>0</v>
      </c>
      <c r="DG11" s="2">
        <f>((IF((99='V06 Calend 01'!C11),('V06 Calend 01'!F11+'V06 Calend 01'!G11),0)+IF(AND(('V06 Calend 01'!E11&gt;0),(99&gt;'V06 Calend 01'!C11),(99&lt;'V06 Calend 01'!D11),(MOD((99-'V06 Calend 01'!C11),6)=0),(((99-'V06 Calend 01'!C11)/6)&lt;='V06 Calend 01'!E11)),IF((99=('V06 Calend 01'!C11+(6*'V06 Calend 01'!E11))),('V06 Calend 01'!H11-('V06 Calend 01'!I11*('V06 Calend 01'!E11-1))),'V06 Calend 01'!I11),0))+IF((99='V06 Calend 01'!D11),'V06 Calend 01'!J11,0))</f>
        <v>0</v>
      </c>
      <c r="DH11" s="2">
        <f>((IF((100='V06 Calend 01'!C11),('V06 Calend 01'!F11+'V06 Calend 01'!G11),0)+IF(AND(('V06 Calend 01'!E11&gt;0),(100&gt;'V06 Calend 01'!C11),(100&lt;'V06 Calend 01'!D11),(MOD((100-'V06 Calend 01'!C11),6)=0),(((100-'V06 Calend 01'!C11)/6)&lt;='V06 Calend 01'!E11)),IF((100=('V06 Calend 01'!C11+(6*'V06 Calend 01'!E11))),('V06 Calend 01'!H11-('V06 Calend 01'!I11*('V06 Calend 01'!E11-1))),'V06 Calend 01'!I11),0))+IF((100='V06 Calend 01'!D11),'V06 Calend 01'!J11,0))</f>
        <v>0</v>
      </c>
      <c r="DI11" s="2">
        <f>((IF((101='V06 Calend 01'!C11),('V06 Calend 01'!F11+'V06 Calend 01'!G11),0)+IF(AND(('V06 Calend 01'!E11&gt;0),(101&gt;'V06 Calend 01'!C11),(101&lt;'V06 Calend 01'!D11),(MOD((101-'V06 Calend 01'!C11),6)=0),(((101-'V06 Calend 01'!C11)/6)&lt;='V06 Calend 01'!E11)),IF((101=('V06 Calend 01'!C11+(6*'V06 Calend 01'!E11))),('V06 Calend 01'!H11-('V06 Calend 01'!I11*('V06 Calend 01'!E11-1))),'V06 Calend 01'!I11),0))+IF((101='V06 Calend 01'!D11),'V06 Calend 01'!J11,0))</f>
        <v>0</v>
      </c>
      <c r="DJ11" s="2">
        <f>((IF((102='V06 Calend 01'!C11),('V06 Calend 01'!F11+'V06 Calend 01'!G11),0)+IF(AND(('V06 Calend 01'!E11&gt;0),(102&gt;'V06 Calend 01'!C11),(102&lt;'V06 Calend 01'!D11),(MOD((102-'V06 Calend 01'!C11),6)=0),(((102-'V06 Calend 01'!C11)/6)&lt;='V06 Calend 01'!E11)),IF((102=('V06 Calend 01'!C11+(6*'V06 Calend 01'!E11))),('V06 Calend 01'!H11-('V06 Calend 01'!I11*('V06 Calend 01'!E11-1))),'V06 Calend 01'!I11),0))+IF((102='V06 Calend 01'!D11),'V06 Calend 01'!J11,0))</f>
        <v>0</v>
      </c>
      <c r="DK11" s="2">
        <f>((IF((103='V06 Calend 01'!C11),('V06 Calend 01'!F11+'V06 Calend 01'!G11),0)+IF(AND(('V06 Calend 01'!E11&gt;0),(103&gt;'V06 Calend 01'!C11),(103&lt;'V06 Calend 01'!D11),(MOD((103-'V06 Calend 01'!C11),6)=0),(((103-'V06 Calend 01'!C11)/6)&lt;='V06 Calend 01'!E11)),IF((103=('V06 Calend 01'!C11+(6*'V06 Calend 01'!E11))),('V06 Calend 01'!H11-('V06 Calend 01'!I11*('V06 Calend 01'!E11-1))),'V06 Calend 01'!I11),0))+IF((103='V06 Calend 01'!D11),'V06 Calend 01'!J11,0))</f>
        <v>0</v>
      </c>
      <c r="DL11" s="2">
        <f>((IF((104='V06 Calend 01'!C11),('V06 Calend 01'!F11+'V06 Calend 01'!G11),0)+IF(AND(('V06 Calend 01'!E11&gt;0),(104&gt;'V06 Calend 01'!C11),(104&lt;'V06 Calend 01'!D11),(MOD((104-'V06 Calend 01'!C11),6)=0),(((104-'V06 Calend 01'!C11)/6)&lt;='V06 Calend 01'!E11)),IF((104=('V06 Calend 01'!C11+(6*'V06 Calend 01'!E11))),('V06 Calend 01'!H11-('V06 Calend 01'!I11*('V06 Calend 01'!E11-1))),'V06 Calend 01'!I11),0))+IF((104='V06 Calend 01'!D11),'V06 Calend 01'!J11,0))</f>
        <v>0</v>
      </c>
      <c r="DM11" s="2">
        <f>((IF((105='V06 Calend 01'!C11),('V06 Calend 01'!F11+'V06 Calend 01'!G11),0)+IF(AND(('V06 Calend 01'!E11&gt;0),(105&gt;'V06 Calend 01'!C11),(105&lt;'V06 Calend 01'!D11),(MOD((105-'V06 Calend 01'!C11),6)=0),(((105-'V06 Calend 01'!C11)/6)&lt;='V06 Calend 01'!E11)),IF((105=('V06 Calend 01'!C11+(6*'V06 Calend 01'!E11))),('V06 Calend 01'!H11-('V06 Calend 01'!I11*('V06 Calend 01'!E11-1))),'V06 Calend 01'!I11),0))+IF((105='V06 Calend 01'!D11),'V06 Calend 01'!J11,0))</f>
        <v>0</v>
      </c>
      <c r="DN11" s="2">
        <f>((IF((106='V06 Calend 01'!C11),('V06 Calend 01'!F11+'V06 Calend 01'!G11),0)+IF(AND(('V06 Calend 01'!E11&gt;0),(106&gt;'V06 Calend 01'!C11),(106&lt;'V06 Calend 01'!D11),(MOD((106-'V06 Calend 01'!C11),6)=0),(((106-'V06 Calend 01'!C11)/6)&lt;='V06 Calend 01'!E11)),IF((106=('V06 Calend 01'!C11+(6*'V06 Calend 01'!E11))),('V06 Calend 01'!H11-('V06 Calend 01'!I11*('V06 Calend 01'!E11-1))),'V06 Calend 01'!I11),0))+IF((106='V06 Calend 01'!D11),'V06 Calend 01'!J11,0))</f>
        <v>0</v>
      </c>
      <c r="DO11" s="2">
        <f>((IF((107='V06 Calend 01'!C11),('V06 Calend 01'!F11+'V06 Calend 01'!G11),0)+IF(AND(('V06 Calend 01'!E11&gt;0),(107&gt;'V06 Calend 01'!C11),(107&lt;'V06 Calend 01'!D11),(MOD((107-'V06 Calend 01'!C11),6)=0),(((107-'V06 Calend 01'!C11)/6)&lt;='V06 Calend 01'!E11)),IF((107=('V06 Calend 01'!C11+(6*'V06 Calend 01'!E11))),('V06 Calend 01'!H11-('V06 Calend 01'!I11*('V06 Calend 01'!E11-1))),'V06 Calend 01'!I11),0))+IF((107='V06 Calend 01'!D11),'V06 Calend 01'!J11,0))</f>
        <v>0</v>
      </c>
      <c r="DP11" s="2">
        <f>((IF((108='V06 Calend 01'!C11),('V06 Calend 01'!F11+'V06 Calend 01'!G11),0)+IF(AND(('V06 Calend 01'!E11&gt;0),(108&gt;'V06 Calend 01'!C11),(108&lt;'V06 Calend 01'!D11),(MOD((108-'V06 Calend 01'!C11),6)=0),(((108-'V06 Calend 01'!C11)/6)&lt;='V06 Calend 01'!E11)),IF((108=('V06 Calend 01'!C11+(6*'V06 Calend 01'!E11))),('V06 Calend 01'!H11-('V06 Calend 01'!I11*('V06 Calend 01'!E11-1))),'V06 Calend 01'!I11),0))+IF((108='V06 Calend 01'!D11),'V06 Calend 01'!J11,0))</f>
        <v>0</v>
      </c>
      <c r="DQ11" s="2">
        <f>((IF((109='V06 Calend 01'!C11),('V06 Calend 01'!F11+'V06 Calend 01'!G11),0)+IF(AND(('V06 Calend 01'!E11&gt;0),(109&gt;'V06 Calend 01'!C11),(109&lt;'V06 Calend 01'!D11),(MOD((109-'V06 Calend 01'!C11),6)=0),(((109-'V06 Calend 01'!C11)/6)&lt;='V06 Calend 01'!E11)),IF((109=('V06 Calend 01'!C11+(6*'V06 Calend 01'!E11))),('V06 Calend 01'!H11-('V06 Calend 01'!I11*('V06 Calend 01'!E11-1))),'V06 Calend 01'!I11),0))+IF((109='V06 Calend 01'!D11),'V06 Calend 01'!J11,0))</f>
        <v>0</v>
      </c>
      <c r="DR11" s="2">
        <f>((IF((110='V06 Calend 01'!C11),('V06 Calend 01'!F11+'V06 Calend 01'!G11),0)+IF(AND(('V06 Calend 01'!E11&gt;0),(110&gt;'V06 Calend 01'!C11),(110&lt;'V06 Calend 01'!D11),(MOD((110-'V06 Calend 01'!C11),6)=0),(((110-'V06 Calend 01'!C11)/6)&lt;='V06 Calend 01'!E11)),IF((110=('V06 Calend 01'!C11+(6*'V06 Calend 01'!E11))),('V06 Calend 01'!H11-('V06 Calend 01'!I11*('V06 Calend 01'!E11-1))),'V06 Calend 01'!I11),0))+IF((110='V06 Calend 01'!D11),'V06 Calend 01'!J11,0))</f>
        <v>0</v>
      </c>
      <c r="DS11" s="2">
        <f>((IF((111='V06 Calend 01'!C11),('V06 Calend 01'!F11+'V06 Calend 01'!G11),0)+IF(AND(('V06 Calend 01'!E11&gt;0),(111&gt;'V06 Calend 01'!C11),(111&lt;'V06 Calend 01'!D11),(MOD((111-'V06 Calend 01'!C11),6)=0),(((111-'V06 Calend 01'!C11)/6)&lt;='V06 Calend 01'!E11)),IF((111=('V06 Calend 01'!C11+(6*'V06 Calend 01'!E11))),('V06 Calend 01'!H11-('V06 Calend 01'!I11*('V06 Calend 01'!E11-1))),'V06 Calend 01'!I11),0))+IF((111='V06 Calend 01'!D11),'V06 Calend 01'!J11,0))</f>
        <v>0</v>
      </c>
      <c r="DT11" s="2">
        <f>((IF((112='V06 Calend 01'!C11),('V06 Calend 01'!F11+'V06 Calend 01'!G11),0)+IF(AND(('V06 Calend 01'!E11&gt;0),(112&gt;'V06 Calend 01'!C11),(112&lt;'V06 Calend 01'!D11),(MOD((112-'V06 Calend 01'!C11),6)=0),(((112-'V06 Calend 01'!C11)/6)&lt;='V06 Calend 01'!E11)),IF((112=('V06 Calend 01'!C11+(6*'V06 Calend 01'!E11))),('V06 Calend 01'!H11-('V06 Calend 01'!I11*('V06 Calend 01'!E11-1))),'V06 Calend 01'!I11),0))+IF((112='V06 Calend 01'!D11),'V06 Calend 01'!J11,0))</f>
        <v>0</v>
      </c>
      <c r="DU11" s="2">
        <f>((IF((113='V06 Calend 01'!C11),('V06 Calend 01'!F11+'V06 Calend 01'!G11),0)+IF(AND(('V06 Calend 01'!E11&gt;0),(113&gt;'V06 Calend 01'!C11),(113&lt;'V06 Calend 01'!D11),(MOD((113-'V06 Calend 01'!C11),6)=0),(((113-'V06 Calend 01'!C11)/6)&lt;='V06 Calend 01'!E11)),IF((113=('V06 Calend 01'!C11+(6*'V06 Calend 01'!E11))),('V06 Calend 01'!H11-('V06 Calend 01'!I11*('V06 Calend 01'!E11-1))),'V06 Calend 01'!I11),0))+IF((113='V06 Calend 01'!D11),'V06 Calend 01'!J11,0))</f>
        <v>0</v>
      </c>
      <c r="DV11" s="2">
        <f>((IF((114='V06 Calend 01'!C11),('V06 Calend 01'!F11+'V06 Calend 01'!G11),0)+IF(AND(('V06 Calend 01'!E11&gt;0),(114&gt;'V06 Calend 01'!C11),(114&lt;'V06 Calend 01'!D11),(MOD((114-'V06 Calend 01'!C11),6)=0),(((114-'V06 Calend 01'!C11)/6)&lt;='V06 Calend 01'!E11)),IF((114=('V06 Calend 01'!C11+(6*'V06 Calend 01'!E11))),('V06 Calend 01'!H11-('V06 Calend 01'!I11*('V06 Calend 01'!E11-1))),'V06 Calend 01'!I11),0))+IF((114='V06 Calend 01'!D11),'V06 Calend 01'!J11,0))</f>
        <v>0</v>
      </c>
      <c r="DW11" s="2">
        <f>((IF((115='V06 Calend 01'!C11),('V06 Calend 01'!F11+'V06 Calend 01'!G11),0)+IF(AND(('V06 Calend 01'!E11&gt;0),(115&gt;'V06 Calend 01'!C11),(115&lt;'V06 Calend 01'!D11),(MOD((115-'V06 Calend 01'!C11),6)=0),(((115-'V06 Calend 01'!C11)/6)&lt;='V06 Calend 01'!E11)),IF((115=('V06 Calend 01'!C11+(6*'V06 Calend 01'!E11))),('V06 Calend 01'!H11-('V06 Calend 01'!I11*('V06 Calend 01'!E11-1))),'V06 Calend 01'!I11),0))+IF((115='V06 Calend 01'!D11),'V06 Calend 01'!J11,0))</f>
        <v>0</v>
      </c>
      <c r="DX11" s="2">
        <f>((IF((116='V06 Calend 01'!C11),('V06 Calend 01'!F11+'V06 Calend 01'!G11),0)+IF(AND(('V06 Calend 01'!E11&gt;0),(116&gt;'V06 Calend 01'!C11),(116&lt;'V06 Calend 01'!D11),(MOD((116-'V06 Calend 01'!C11),6)=0),(((116-'V06 Calend 01'!C11)/6)&lt;='V06 Calend 01'!E11)),IF((116=('V06 Calend 01'!C11+(6*'V06 Calend 01'!E11))),('V06 Calend 01'!H11-('V06 Calend 01'!I11*('V06 Calend 01'!E11-1))),'V06 Calend 01'!I11),0))+IF((116='V06 Calend 01'!D11),'V06 Calend 01'!J11,0))</f>
        <v>0</v>
      </c>
      <c r="DY11" s="2">
        <f>((IF((117='V06 Calend 01'!C11),('V06 Calend 01'!F11+'V06 Calend 01'!G11),0)+IF(AND(('V06 Calend 01'!E11&gt;0),(117&gt;'V06 Calend 01'!C11),(117&lt;'V06 Calend 01'!D11),(MOD((117-'V06 Calend 01'!C11),6)=0),(((117-'V06 Calend 01'!C11)/6)&lt;='V06 Calend 01'!E11)),IF((117=('V06 Calend 01'!C11+(6*'V06 Calend 01'!E11))),('V06 Calend 01'!H11-('V06 Calend 01'!I11*('V06 Calend 01'!E11-1))),'V06 Calend 01'!I11),0))+IF((117='V06 Calend 01'!D11),'V06 Calend 01'!J11,0))</f>
        <v>0</v>
      </c>
      <c r="DZ11" s="2">
        <f>((IF((118='V06 Calend 01'!C11),('V06 Calend 01'!F11+'V06 Calend 01'!G11),0)+IF(AND(('V06 Calend 01'!E11&gt;0),(118&gt;'V06 Calend 01'!C11),(118&lt;'V06 Calend 01'!D11),(MOD((118-'V06 Calend 01'!C11),6)=0),(((118-'V06 Calend 01'!C11)/6)&lt;='V06 Calend 01'!E11)),IF((118=('V06 Calend 01'!C11+(6*'V06 Calend 01'!E11))),('V06 Calend 01'!H11-('V06 Calend 01'!I11*('V06 Calend 01'!E11-1))),'V06 Calend 01'!I11),0))+IF((118='V06 Calend 01'!D11),'V06 Calend 01'!J11,0))</f>
        <v>0</v>
      </c>
      <c r="EA11" s="2">
        <f>((IF((119='V06 Calend 01'!C11),('V06 Calend 01'!F11+'V06 Calend 01'!G11),0)+IF(AND(('V06 Calend 01'!E11&gt;0),(119&gt;'V06 Calend 01'!C11),(119&lt;'V06 Calend 01'!D11),(MOD((119-'V06 Calend 01'!C11),6)=0),(((119-'V06 Calend 01'!C11)/6)&lt;='V06 Calend 01'!E11)),IF((119=('V06 Calend 01'!C11+(6*'V06 Calend 01'!E11))),('V06 Calend 01'!H11-('V06 Calend 01'!I11*('V06 Calend 01'!E11-1))),'V06 Calend 01'!I11),0))+IF((119='V06 Calend 01'!D11),'V06 Calend 01'!J11,0))</f>
        <v>0</v>
      </c>
      <c r="EB11" s="2">
        <f>((IF((120='V06 Calend 01'!C11),('V06 Calend 01'!F11+'V06 Calend 01'!G11),0)+IF(AND(('V06 Calend 01'!E11&gt;0),(120&gt;'V06 Calend 01'!C11),(120&lt;'V06 Calend 01'!D11),(MOD((120-'V06 Calend 01'!C11),6)=0),(((120-'V06 Calend 01'!C11)/6)&lt;='V06 Calend 01'!E11)),IF((120=('V06 Calend 01'!C11+(6*'V06 Calend 01'!E11))),('V06 Calend 01'!H11-('V06 Calend 01'!I11*('V06 Calend 01'!E11-1))),'V06 Calend 01'!I11),0))+IF((120='V06 Calend 01'!D11),'V06 Calend 01'!J11,0))</f>
        <v>0</v>
      </c>
      <c r="EC11" s="2">
        <f>((IF((121='V06 Calend 01'!C11),('V06 Calend 01'!F11+'V06 Calend 01'!G11),0)+IF(AND(('V06 Calend 01'!E11&gt;0),(121&gt;'V06 Calend 01'!C11),(121&lt;'V06 Calend 01'!D11),(MOD((121-'V06 Calend 01'!C11),6)=0),(((121-'V06 Calend 01'!C11)/6)&lt;='V06 Calend 01'!E11)),IF((121=('V06 Calend 01'!C11+(6*'V06 Calend 01'!E11))),('V06 Calend 01'!H11-('V06 Calend 01'!I11*('V06 Calend 01'!E11-1))),'V06 Calend 01'!I11),0))+IF((121='V06 Calend 01'!D11),'V06 Calend 01'!J11,0))</f>
        <v>0</v>
      </c>
      <c r="ED11" s="2">
        <f>((IF((122='V06 Calend 01'!C11),('V06 Calend 01'!F11+'V06 Calend 01'!G11),0)+IF(AND(('V06 Calend 01'!E11&gt;0),(122&gt;'V06 Calend 01'!C11),(122&lt;'V06 Calend 01'!D11),(MOD((122-'V06 Calend 01'!C11),6)=0),(((122-'V06 Calend 01'!C11)/6)&lt;='V06 Calend 01'!E11)),IF((122=('V06 Calend 01'!C11+(6*'V06 Calend 01'!E11))),('V06 Calend 01'!H11-('V06 Calend 01'!I11*('V06 Calend 01'!E11-1))),'V06 Calend 01'!I11),0))+IF((122='V06 Calend 01'!D11),'V06 Calend 01'!J11,0))</f>
        <v>0</v>
      </c>
      <c r="EE11" s="2">
        <f>((IF((123='V06 Calend 01'!C11),('V06 Calend 01'!F11+'V06 Calend 01'!G11),0)+IF(AND(('V06 Calend 01'!E11&gt;0),(123&gt;'V06 Calend 01'!C11),(123&lt;'V06 Calend 01'!D11),(MOD((123-'V06 Calend 01'!C11),6)=0),(((123-'V06 Calend 01'!C11)/6)&lt;='V06 Calend 01'!E11)),IF((123=('V06 Calend 01'!C11+(6*'V06 Calend 01'!E11))),('V06 Calend 01'!H11-('V06 Calend 01'!I11*('V06 Calend 01'!E11-1))),'V06 Calend 01'!I11),0))+IF((123='V06 Calend 01'!D11),'V06 Calend 01'!J11,0))</f>
        <v>0</v>
      </c>
      <c r="EF11" s="2">
        <f>((IF((124='V06 Calend 01'!C11),('V06 Calend 01'!F11+'V06 Calend 01'!G11),0)+IF(AND(('V06 Calend 01'!E11&gt;0),(124&gt;'V06 Calend 01'!C11),(124&lt;'V06 Calend 01'!D11),(MOD((124-'V06 Calend 01'!C11),6)=0),(((124-'V06 Calend 01'!C11)/6)&lt;='V06 Calend 01'!E11)),IF((124=('V06 Calend 01'!C11+(6*'V06 Calend 01'!E11))),('V06 Calend 01'!H11-('V06 Calend 01'!I11*('V06 Calend 01'!E11-1))),'V06 Calend 01'!I11),0))+IF((124='V06 Calend 01'!D11),'V06 Calend 01'!J11,0))</f>
        <v>0</v>
      </c>
      <c r="EG11" s="2">
        <f>((IF((125='V06 Calend 01'!C11),('V06 Calend 01'!F11+'V06 Calend 01'!G11),0)+IF(AND(('V06 Calend 01'!E11&gt;0),(125&gt;'V06 Calend 01'!C11),(125&lt;'V06 Calend 01'!D11),(MOD((125-'V06 Calend 01'!C11),6)=0),(((125-'V06 Calend 01'!C11)/6)&lt;='V06 Calend 01'!E11)),IF((125=('V06 Calend 01'!C11+(6*'V06 Calend 01'!E11))),('V06 Calend 01'!H11-('V06 Calend 01'!I11*('V06 Calend 01'!E11-1))),'V06 Calend 01'!I11),0))+IF((125='V06 Calend 01'!D11),'V06 Calend 01'!J11,0))</f>
        <v>0</v>
      </c>
      <c r="EH11" s="2">
        <f>((IF((126='V06 Calend 01'!C11),('V06 Calend 01'!F11+'V06 Calend 01'!G11),0)+IF(AND(('V06 Calend 01'!E11&gt;0),(126&gt;'V06 Calend 01'!C11),(126&lt;'V06 Calend 01'!D11),(MOD((126-'V06 Calend 01'!C11),6)=0),(((126-'V06 Calend 01'!C11)/6)&lt;='V06 Calend 01'!E11)),IF((126=('V06 Calend 01'!C11+(6*'V06 Calend 01'!E11))),('V06 Calend 01'!H11-('V06 Calend 01'!I11*('V06 Calend 01'!E11-1))),'V06 Calend 01'!I11),0))+IF((126='V06 Calend 01'!D11),'V06 Calend 01'!J11,0))</f>
        <v>0</v>
      </c>
      <c r="EI11" s="2">
        <f>((IF((127='V06 Calend 01'!C11),('V06 Calend 01'!F11+'V06 Calend 01'!G11),0)+IF(AND(('V06 Calend 01'!E11&gt;0),(127&gt;'V06 Calend 01'!C11),(127&lt;'V06 Calend 01'!D11),(MOD((127-'V06 Calend 01'!C11),6)=0),(((127-'V06 Calend 01'!C11)/6)&lt;='V06 Calend 01'!E11)),IF((127=('V06 Calend 01'!C11+(6*'V06 Calend 01'!E11))),('V06 Calend 01'!H11-('V06 Calend 01'!I11*('V06 Calend 01'!E11-1))),'V06 Calend 01'!I11),0))+IF((127='V06 Calend 01'!D11),'V06 Calend 01'!J11,0))</f>
        <v>0</v>
      </c>
      <c r="EJ11" s="2">
        <f>((IF((128='V06 Calend 01'!C11),('V06 Calend 01'!F11+'V06 Calend 01'!G11),0)+IF(AND(('V06 Calend 01'!E11&gt;0),(128&gt;'V06 Calend 01'!C11),(128&lt;'V06 Calend 01'!D11),(MOD((128-'V06 Calend 01'!C11),6)=0),(((128-'V06 Calend 01'!C11)/6)&lt;='V06 Calend 01'!E11)),IF((128=('V06 Calend 01'!C11+(6*'V06 Calend 01'!E11))),('V06 Calend 01'!H11-('V06 Calend 01'!I11*('V06 Calend 01'!E11-1))),'V06 Calend 01'!I11),0))+IF((128='V06 Calend 01'!D11),'V06 Calend 01'!J11,0))</f>
        <v>0</v>
      </c>
      <c r="EK11" s="2">
        <f>((IF((129='V06 Calend 01'!C11),('V06 Calend 01'!F11+'V06 Calend 01'!G11),0)+IF(AND(('V06 Calend 01'!E11&gt;0),(129&gt;'V06 Calend 01'!C11),(129&lt;'V06 Calend 01'!D11),(MOD((129-'V06 Calend 01'!C11),6)=0),(((129-'V06 Calend 01'!C11)/6)&lt;='V06 Calend 01'!E11)),IF((129=('V06 Calend 01'!C11+(6*'V06 Calend 01'!E11))),('V06 Calend 01'!H11-('V06 Calend 01'!I11*('V06 Calend 01'!E11-1))),'V06 Calend 01'!I11),0))+IF((129='V06 Calend 01'!D11),'V06 Calend 01'!J11,0))</f>
        <v>0</v>
      </c>
      <c r="EL11" s="2">
        <f>((IF((130='V06 Calend 01'!C11),('V06 Calend 01'!F11+'V06 Calend 01'!G11),0)+IF(AND(('V06 Calend 01'!E11&gt;0),(130&gt;'V06 Calend 01'!C11),(130&lt;'V06 Calend 01'!D11),(MOD((130-'V06 Calend 01'!C11),6)=0),(((130-'V06 Calend 01'!C11)/6)&lt;='V06 Calend 01'!E11)),IF((130=('V06 Calend 01'!C11+(6*'V06 Calend 01'!E11))),('V06 Calend 01'!H11-('V06 Calend 01'!I11*('V06 Calend 01'!E11-1))),'V06 Calend 01'!I11),0))+IF((130='V06 Calend 01'!D11),'V06 Calend 01'!J11,0))</f>
        <v>0</v>
      </c>
      <c r="EM11" s="2">
        <f>((IF((131='V06 Calend 01'!C11),('V06 Calend 01'!F11+'V06 Calend 01'!G11),0)+IF(AND(('V06 Calend 01'!E11&gt;0),(131&gt;'V06 Calend 01'!C11),(131&lt;'V06 Calend 01'!D11),(MOD((131-'V06 Calend 01'!C11),6)=0),(((131-'V06 Calend 01'!C11)/6)&lt;='V06 Calend 01'!E11)),IF((131=('V06 Calend 01'!C11+(6*'V06 Calend 01'!E11))),('V06 Calend 01'!H11-('V06 Calend 01'!I11*('V06 Calend 01'!E11-1))),'V06 Calend 01'!I11),0))+IF((131='V06 Calend 01'!D11),'V06 Calend 01'!J11,0))</f>
        <v>0</v>
      </c>
      <c r="EN11" s="2">
        <f>((IF((132='V06 Calend 01'!C11),('V06 Calend 01'!F11+'V06 Calend 01'!G11),0)+IF(AND(('V06 Calend 01'!E11&gt;0),(132&gt;'V06 Calend 01'!C11),(132&lt;'V06 Calend 01'!D11),(MOD((132-'V06 Calend 01'!C11),6)=0),(((132-'V06 Calend 01'!C11)/6)&lt;='V06 Calend 01'!E11)),IF((132=('V06 Calend 01'!C11+(6*'V06 Calend 01'!E11))),('V06 Calend 01'!H11-('V06 Calend 01'!I11*('V06 Calend 01'!E11-1))),'V06 Calend 01'!I11),0))+IF((132='V06 Calend 01'!D11),'V06 Calend 01'!J11,0))</f>
        <v>0</v>
      </c>
      <c r="EO11" s="2">
        <f>((IF((133='V06 Calend 01'!C11),('V06 Calend 01'!F11+'V06 Calend 01'!G11),0)+IF(AND(('V06 Calend 01'!E11&gt;0),(133&gt;'V06 Calend 01'!C11),(133&lt;'V06 Calend 01'!D11),(MOD((133-'V06 Calend 01'!C11),6)=0),(((133-'V06 Calend 01'!C11)/6)&lt;='V06 Calend 01'!E11)),IF((133=('V06 Calend 01'!C11+(6*'V06 Calend 01'!E11))),('V06 Calend 01'!H11-('V06 Calend 01'!I11*('V06 Calend 01'!E11-1))),'V06 Calend 01'!I11),0))+IF((133='V06 Calend 01'!D11),'V06 Calend 01'!J11,0))</f>
        <v>0</v>
      </c>
      <c r="EP11" s="2">
        <f>((IF((134='V06 Calend 01'!C11),('V06 Calend 01'!F11+'V06 Calend 01'!G11),0)+IF(AND(('V06 Calend 01'!E11&gt;0),(134&gt;'V06 Calend 01'!C11),(134&lt;'V06 Calend 01'!D11),(MOD((134-'V06 Calend 01'!C11),6)=0),(((134-'V06 Calend 01'!C11)/6)&lt;='V06 Calend 01'!E11)),IF((134=('V06 Calend 01'!C11+(6*'V06 Calend 01'!E11))),('V06 Calend 01'!H11-('V06 Calend 01'!I11*('V06 Calend 01'!E11-1))),'V06 Calend 01'!I11),0))+IF((134='V06 Calend 01'!D11),'V06 Calend 01'!J11,0))</f>
        <v>0</v>
      </c>
      <c r="EQ11" s="2">
        <f>((IF((135='V06 Calend 01'!C11),('V06 Calend 01'!F11+'V06 Calend 01'!G11),0)+IF(AND(('V06 Calend 01'!E11&gt;0),(135&gt;'V06 Calend 01'!C11),(135&lt;'V06 Calend 01'!D11),(MOD((135-'V06 Calend 01'!C11),6)=0),(((135-'V06 Calend 01'!C11)/6)&lt;='V06 Calend 01'!E11)),IF((135=('V06 Calend 01'!C11+(6*'V06 Calend 01'!E11))),('V06 Calend 01'!H11-('V06 Calend 01'!I11*('V06 Calend 01'!E11-1))),'V06 Calend 01'!I11),0))+IF((135='V06 Calend 01'!D11),'V06 Calend 01'!J11,0))</f>
        <v>0</v>
      </c>
      <c r="ER11" s="2">
        <f>((IF((136='V06 Calend 01'!C11),('V06 Calend 01'!F11+'V06 Calend 01'!G11),0)+IF(AND(('V06 Calend 01'!E11&gt;0),(136&gt;'V06 Calend 01'!C11),(136&lt;'V06 Calend 01'!D11),(MOD((136-'V06 Calend 01'!C11),6)=0),(((136-'V06 Calend 01'!C11)/6)&lt;='V06 Calend 01'!E11)),IF((136=('V06 Calend 01'!C11+(6*'V06 Calend 01'!E11))),('V06 Calend 01'!H11-('V06 Calend 01'!I11*('V06 Calend 01'!E11-1))),'V06 Calend 01'!I11),0))+IF((136='V06 Calend 01'!D11),'V06 Calend 01'!J11,0))</f>
        <v>0</v>
      </c>
      <c r="ES11" s="2">
        <f>((IF((137='V06 Calend 01'!C11),('V06 Calend 01'!F11+'V06 Calend 01'!G11),0)+IF(AND(('V06 Calend 01'!E11&gt;0),(137&gt;'V06 Calend 01'!C11),(137&lt;'V06 Calend 01'!D11),(MOD((137-'V06 Calend 01'!C11),6)=0),(((137-'V06 Calend 01'!C11)/6)&lt;='V06 Calend 01'!E11)),IF((137=('V06 Calend 01'!C11+(6*'V06 Calend 01'!E11))),('V06 Calend 01'!H11-('V06 Calend 01'!I11*('V06 Calend 01'!E11-1))),'V06 Calend 01'!I11),0))+IF((137='V06 Calend 01'!D11),'V06 Calend 01'!J11,0))</f>
        <v>0</v>
      </c>
      <c r="ET11" s="2">
        <f>((IF((138='V06 Calend 01'!C11),('V06 Calend 01'!F11+'V06 Calend 01'!G11),0)+IF(AND(('V06 Calend 01'!E11&gt;0),(138&gt;'V06 Calend 01'!C11),(138&lt;'V06 Calend 01'!D11),(MOD((138-'V06 Calend 01'!C11),6)=0),(((138-'V06 Calend 01'!C11)/6)&lt;='V06 Calend 01'!E11)),IF((138=('V06 Calend 01'!C11+(6*'V06 Calend 01'!E11))),('V06 Calend 01'!H11-('V06 Calend 01'!I11*('V06 Calend 01'!E11-1))),'V06 Calend 01'!I11),0))+IF((138='V06 Calend 01'!D11),'V06 Calend 01'!J11,0))</f>
        <v>0</v>
      </c>
      <c r="EU11" s="2">
        <f>((IF((139='V06 Calend 01'!C11),('V06 Calend 01'!F11+'V06 Calend 01'!G11),0)+IF(AND(('V06 Calend 01'!E11&gt;0),(139&gt;'V06 Calend 01'!C11),(139&lt;'V06 Calend 01'!D11),(MOD((139-'V06 Calend 01'!C11),6)=0),(((139-'V06 Calend 01'!C11)/6)&lt;='V06 Calend 01'!E11)),IF((139=('V06 Calend 01'!C11+(6*'V06 Calend 01'!E11))),('V06 Calend 01'!H11-('V06 Calend 01'!I11*('V06 Calend 01'!E11-1))),'V06 Calend 01'!I11),0))+IF((139='V06 Calend 01'!D11),'V06 Calend 01'!J11,0))</f>
        <v>0</v>
      </c>
      <c r="EV11" s="2">
        <f>((IF((140='V06 Calend 01'!C11),('V06 Calend 01'!F11+'V06 Calend 01'!G11),0)+IF(AND(('V06 Calend 01'!E11&gt;0),(140&gt;'V06 Calend 01'!C11),(140&lt;'V06 Calend 01'!D11),(MOD((140-'V06 Calend 01'!C11),6)=0),(((140-'V06 Calend 01'!C11)/6)&lt;='V06 Calend 01'!E11)),IF((140=('V06 Calend 01'!C11+(6*'V06 Calend 01'!E11))),('V06 Calend 01'!H11-('V06 Calend 01'!I11*('V06 Calend 01'!E11-1))),'V06 Calend 01'!I11),0))+IF((140='V06 Calend 01'!D11),'V06 Calend 01'!J11,0))</f>
        <v>0</v>
      </c>
      <c r="EW11" s="2">
        <f>((IF((141='V06 Calend 01'!C11),('V06 Calend 01'!F11+'V06 Calend 01'!G11),0)+IF(AND(('V06 Calend 01'!E11&gt;0),(141&gt;'V06 Calend 01'!C11),(141&lt;'V06 Calend 01'!D11),(MOD((141-'V06 Calend 01'!C11),6)=0),(((141-'V06 Calend 01'!C11)/6)&lt;='V06 Calend 01'!E11)),IF((141=('V06 Calend 01'!C11+(6*'V06 Calend 01'!E11))),('V06 Calend 01'!H11-('V06 Calend 01'!I11*('V06 Calend 01'!E11-1))),'V06 Calend 01'!I11),0))+IF((141='V06 Calend 01'!D11),'V06 Calend 01'!J11,0))</f>
        <v>0</v>
      </c>
      <c r="EX11" s="2">
        <f>((IF((142='V06 Calend 01'!C11),('V06 Calend 01'!F11+'V06 Calend 01'!G11),0)+IF(AND(('V06 Calend 01'!E11&gt;0),(142&gt;'V06 Calend 01'!C11),(142&lt;'V06 Calend 01'!D11),(MOD((142-'V06 Calend 01'!C11),6)=0),(((142-'V06 Calend 01'!C11)/6)&lt;='V06 Calend 01'!E11)),IF((142=('V06 Calend 01'!C11+(6*'V06 Calend 01'!E11))),('V06 Calend 01'!H11-('V06 Calend 01'!I11*('V06 Calend 01'!E11-1))),'V06 Calend 01'!I11),0))+IF((142='V06 Calend 01'!D11),'V06 Calend 01'!J11,0))</f>
        <v>0</v>
      </c>
      <c r="EY11" s="2">
        <f>((IF((143='V06 Calend 01'!C11),('V06 Calend 01'!F11+'V06 Calend 01'!G11),0)+IF(AND(('V06 Calend 01'!E11&gt;0),(143&gt;'V06 Calend 01'!C11),(143&lt;'V06 Calend 01'!D11),(MOD((143-'V06 Calend 01'!C11),6)=0),(((143-'V06 Calend 01'!C11)/6)&lt;='V06 Calend 01'!E11)),IF((143=('V06 Calend 01'!C11+(6*'V06 Calend 01'!E11))),('V06 Calend 01'!H11-('V06 Calend 01'!I11*('V06 Calend 01'!E11-1))),'V06 Calend 01'!I11),0))+IF((143='V06 Calend 01'!D11),'V06 Calend 01'!J11,0))</f>
        <v>0</v>
      </c>
      <c r="EZ11" s="2">
        <f>((IF((144='V06 Calend 01'!C11),('V06 Calend 01'!F11+'V06 Calend 01'!G11),0)+IF(AND(('V06 Calend 01'!E11&gt;0),(144&gt;'V06 Calend 01'!C11),(144&lt;'V06 Calend 01'!D11),(MOD((144-'V06 Calend 01'!C11),6)=0),(((144-'V06 Calend 01'!C11)/6)&lt;='V06 Calend 01'!E11)),IF((144=('V06 Calend 01'!C11+(6*'V06 Calend 01'!E11))),('V06 Calend 01'!H11-('V06 Calend 01'!I11*('V06 Calend 01'!E11-1))),'V06 Calend 01'!I11),0))+IF((144='V06 Calend 01'!D11),'V06 Calend 01'!J11,0))</f>
        <v>0</v>
      </c>
      <c r="FA11" s="2">
        <f>((IF((145='V06 Calend 01'!C11),('V06 Calend 01'!F11+'V06 Calend 01'!G11),0)+IF(AND(('V06 Calend 01'!E11&gt;0),(145&gt;'V06 Calend 01'!C11),(145&lt;'V06 Calend 01'!D11),(MOD((145-'V06 Calend 01'!C11),6)=0),(((145-'V06 Calend 01'!C11)/6)&lt;='V06 Calend 01'!E11)),IF((145=('V06 Calend 01'!C11+(6*'V06 Calend 01'!E11))),('V06 Calend 01'!H11-('V06 Calend 01'!I11*('V06 Calend 01'!E11-1))),'V06 Calend 01'!I11),0))+IF((145='V06 Calend 01'!D11),'V06 Calend 01'!J11,0))</f>
        <v>0</v>
      </c>
      <c r="FB11" s="2">
        <f>((IF((146='V06 Calend 01'!C11),('V06 Calend 01'!F11+'V06 Calend 01'!G11),0)+IF(AND(('V06 Calend 01'!E11&gt;0),(146&gt;'V06 Calend 01'!C11),(146&lt;'V06 Calend 01'!D11),(MOD((146-'V06 Calend 01'!C11),6)=0),(((146-'V06 Calend 01'!C11)/6)&lt;='V06 Calend 01'!E11)),IF((146=('V06 Calend 01'!C11+(6*'V06 Calend 01'!E11))),('V06 Calend 01'!H11-('V06 Calend 01'!I11*('V06 Calend 01'!E11-1))),'V06 Calend 01'!I11),0))+IF((146='V06 Calend 01'!D11),'V06 Calend 01'!J11,0))</f>
        <v>0</v>
      </c>
      <c r="FC11" s="2">
        <f>((IF((147='V06 Calend 01'!C11),('V06 Calend 01'!F11+'V06 Calend 01'!G11),0)+IF(AND(('V06 Calend 01'!E11&gt;0),(147&gt;'V06 Calend 01'!C11),(147&lt;'V06 Calend 01'!D11),(MOD((147-'V06 Calend 01'!C11),6)=0),(((147-'V06 Calend 01'!C11)/6)&lt;='V06 Calend 01'!E11)),IF((147=('V06 Calend 01'!C11+(6*'V06 Calend 01'!E11))),('V06 Calend 01'!H11-('V06 Calend 01'!I11*('V06 Calend 01'!E11-1))),'V06 Calend 01'!I11),0))+IF((147='V06 Calend 01'!D11),'V06 Calend 01'!J11,0))</f>
        <v>0</v>
      </c>
      <c r="FD11" s="2">
        <f>((IF((148='V06 Calend 01'!C11),('V06 Calend 01'!F11+'V06 Calend 01'!G11),0)+IF(AND(('V06 Calend 01'!E11&gt;0),(148&gt;'V06 Calend 01'!C11),(148&lt;'V06 Calend 01'!D11),(MOD((148-'V06 Calend 01'!C11),6)=0),(((148-'V06 Calend 01'!C11)/6)&lt;='V06 Calend 01'!E11)),IF((148=('V06 Calend 01'!C11+(6*'V06 Calend 01'!E11))),('V06 Calend 01'!H11-('V06 Calend 01'!I11*('V06 Calend 01'!E11-1))),'V06 Calend 01'!I11),0))+IF((148='V06 Calend 01'!D11),'V06 Calend 01'!J11,0))</f>
        <v>0</v>
      </c>
      <c r="FE11" s="2">
        <f>((IF((149='V06 Calend 01'!C11),('V06 Calend 01'!F11+'V06 Calend 01'!G11),0)+IF(AND(('V06 Calend 01'!E11&gt;0),(149&gt;'V06 Calend 01'!C11),(149&lt;'V06 Calend 01'!D11),(MOD((149-'V06 Calend 01'!C11),6)=0),(((149-'V06 Calend 01'!C11)/6)&lt;='V06 Calend 01'!E11)),IF((149=('V06 Calend 01'!C11+(6*'V06 Calend 01'!E11))),('V06 Calend 01'!H11-('V06 Calend 01'!I11*('V06 Calend 01'!E11-1))),'V06 Calend 01'!I11),0))+IF((149='V06 Calend 01'!D11),'V06 Calend 01'!J11,0))</f>
        <v>0</v>
      </c>
      <c r="FF11" s="2">
        <f>((IF((150='V06 Calend 01'!C11),('V06 Calend 01'!F11+'V06 Calend 01'!G11),0)+IF(AND(('V06 Calend 01'!E11&gt;0),(150&gt;'V06 Calend 01'!C11),(150&lt;'V06 Calend 01'!D11),(MOD((150-'V06 Calend 01'!C11),6)=0),(((150-'V06 Calend 01'!C11)/6)&lt;='V06 Calend 01'!E11)),IF((150=('V06 Calend 01'!C11+(6*'V06 Calend 01'!E11))),('V06 Calend 01'!H11-('V06 Calend 01'!I11*('V06 Calend 01'!E11-1))),'V06 Calend 01'!I11),0))+IF((150='V06 Calend 01'!D11),'V06 Calend 01'!J11,0))</f>
        <v>0</v>
      </c>
      <c r="FG11" s="2">
        <f>((IF((151='V06 Calend 01'!C11),('V06 Calend 01'!F11+'V06 Calend 01'!G11),0)+IF(AND(('V06 Calend 01'!E11&gt;0),(151&gt;'V06 Calend 01'!C11),(151&lt;'V06 Calend 01'!D11),(MOD((151-'V06 Calend 01'!C11),6)=0),(((151-'V06 Calend 01'!C11)/6)&lt;='V06 Calend 01'!E11)),IF((151=('V06 Calend 01'!C11+(6*'V06 Calend 01'!E11))),('V06 Calend 01'!H11-('V06 Calend 01'!I11*('V06 Calend 01'!E11-1))),'V06 Calend 01'!I11),0))+IF((151='V06 Calend 01'!D11),'V06 Calend 01'!J11,0))</f>
        <v>0</v>
      </c>
      <c r="FH11" s="2">
        <f>((IF((152='V06 Calend 01'!C11),('V06 Calend 01'!F11+'V06 Calend 01'!G11),0)+IF(AND(('V06 Calend 01'!E11&gt;0),(152&gt;'V06 Calend 01'!C11),(152&lt;'V06 Calend 01'!D11),(MOD((152-'V06 Calend 01'!C11),6)=0),(((152-'V06 Calend 01'!C11)/6)&lt;='V06 Calend 01'!E11)),IF((152=('V06 Calend 01'!C11+(6*'V06 Calend 01'!E11))),('V06 Calend 01'!H11-('V06 Calend 01'!I11*('V06 Calend 01'!E11-1))),'V06 Calend 01'!I11),0))+IF((152='V06 Calend 01'!D11),'V06 Calend 01'!J11,0))</f>
        <v>0</v>
      </c>
      <c r="FI11" s="2">
        <f>((IF((153='V06 Calend 01'!C11),('V06 Calend 01'!F11+'V06 Calend 01'!G11),0)+IF(AND(('V06 Calend 01'!E11&gt;0),(153&gt;'V06 Calend 01'!C11),(153&lt;'V06 Calend 01'!D11),(MOD((153-'V06 Calend 01'!C11),6)=0),(((153-'V06 Calend 01'!C11)/6)&lt;='V06 Calend 01'!E11)),IF((153=('V06 Calend 01'!C11+(6*'V06 Calend 01'!E11))),('V06 Calend 01'!H11-('V06 Calend 01'!I11*('V06 Calend 01'!E11-1))),'V06 Calend 01'!I11),0))+IF((153='V06 Calend 01'!D11),'V06 Calend 01'!J11,0))</f>
        <v>0</v>
      </c>
      <c r="FJ11" s="2">
        <f>((IF((154='V06 Calend 01'!C11),('V06 Calend 01'!F11+'V06 Calend 01'!G11),0)+IF(AND(('V06 Calend 01'!E11&gt;0),(154&gt;'V06 Calend 01'!C11),(154&lt;'V06 Calend 01'!D11),(MOD((154-'V06 Calend 01'!C11),6)=0),(((154-'V06 Calend 01'!C11)/6)&lt;='V06 Calend 01'!E11)),IF((154=('V06 Calend 01'!C11+(6*'V06 Calend 01'!E11))),('V06 Calend 01'!H11-('V06 Calend 01'!I11*('V06 Calend 01'!E11-1))),'V06 Calend 01'!I11),0))+IF((154='V06 Calend 01'!D11),'V06 Calend 01'!J11,0))</f>
        <v>0</v>
      </c>
      <c r="FK11" s="2">
        <f>((IF((155='V06 Calend 01'!C11),('V06 Calend 01'!F11+'V06 Calend 01'!G11),0)+IF(AND(('V06 Calend 01'!E11&gt;0),(155&gt;'V06 Calend 01'!C11),(155&lt;'V06 Calend 01'!D11),(MOD((155-'V06 Calend 01'!C11),6)=0),(((155-'V06 Calend 01'!C11)/6)&lt;='V06 Calend 01'!E11)),IF((155=('V06 Calend 01'!C11+(6*'V06 Calend 01'!E11))),('V06 Calend 01'!H11-('V06 Calend 01'!I11*('V06 Calend 01'!E11-1))),'V06 Calend 01'!I11),0))+IF((155='V06 Calend 01'!D11),'V06 Calend 01'!J11,0))</f>
        <v>0</v>
      </c>
      <c r="FL11" s="2">
        <f>((IF((156='V06 Calend 01'!C11),('V06 Calend 01'!F11+'V06 Calend 01'!G11),0)+IF(AND(('V06 Calend 01'!E11&gt;0),(156&gt;'V06 Calend 01'!C11),(156&lt;'V06 Calend 01'!D11),(MOD((156-'V06 Calend 01'!C11),6)=0),(((156-'V06 Calend 01'!C11)/6)&lt;='V06 Calend 01'!E11)),IF((156=('V06 Calend 01'!C11+(6*'V06 Calend 01'!E11))),('V06 Calend 01'!H11-('V06 Calend 01'!I11*('V06 Calend 01'!E11-1))),'V06 Calend 01'!I11),0))+IF((156='V06 Calend 01'!D11),'V06 Calend 01'!J11,0))</f>
        <v>0</v>
      </c>
      <c r="FM11" s="2">
        <f>((IF((157='V06 Calend 01'!C11),('V06 Calend 01'!F11+'V06 Calend 01'!G11),0)+IF(AND(('V06 Calend 01'!E11&gt;0),(157&gt;'V06 Calend 01'!C11),(157&lt;'V06 Calend 01'!D11),(MOD((157-'V06 Calend 01'!C11),6)=0),(((157-'V06 Calend 01'!C11)/6)&lt;='V06 Calend 01'!E11)),IF((157=('V06 Calend 01'!C11+(6*'V06 Calend 01'!E11))),('V06 Calend 01'!H11-('V06 Calend 01'!I11*('V06 Calend 01'!E11-1))),'V06 Calend 01'!I11),0))+IF((157='V06 Calend 01'!D11),'V06 Calend 01'!J11,0))</f>
        <v>0</v>
      </c>
      <c r="FN11" s="2">
        <f>((IF((158='V06 Calend 01'!C11),('V06 Calend 01'!F11+'V06 Calend 01'!G11),0)+IF(AND(('V06 Calend 01'!E11&gt;0),(158&gt;'V06 Calend 01'!C11),(158&lt;'V06 Calend 01'!D11),(MOD((158-'V06 Calend 01'!C11),6)=0),(((158-'V06 Calend 01'!C11)/6)&lt;='V06 Calend 01'!E11)),IF((158=('V06 Calend 01'!C11+(6*'V06 Calend 01'!E11))),('V06 Calend 01'!H11-('V06 Calend 01'!I11*('V06 Calend 01'!E11-1))),'V06 Calend 01'!I11),0))+IF((158='V06 Calend 01'!D11),'V06 Calend 01'!J11,0))</f>
        <v>0</v>
      </c>
      <c r="FO11" s="2">
        <f>((IF((159='V06 Calend 01'!C11),('V06 Calend 01'!F11+'V06 Calend 01'!G11),0)+IF(AND(('V06 Calend 01'!E11&gt;0),(159&gt;'V06 Calend 01'!C11),(159&lt;'V06 Calend 01'!D11),(MOD((159-'V06 Calend 01'!C11),6)=0),(((159-'V06 Calend 01'!C11)/6)&lt;='V06 Calend 01'!E11)),IF((159=('V06 Calend 01'!C11+(6*'V06 Calend 01'!E11))),('V06 Calend 01'!H11-('V06 Calend 01'!I11*('V06 Calend 01'!E11-1))),'V06 Calend 01'!I11),0))+IF((159='V06 Calend 01'!D11),'V06 Calend 01'!J11,0))</f>
        <v>0</v>
      </c>
      <c r="FP11" s="2">
        <f>((IF((160='V06 Calend 01'!C11),('V06 Calend 01'!F11+'V06 Calend 01'!G11),0)+IF(AND(('V06 Calend 01'!E11&gt;0),(160&gt;'V06 Calend 01'!C11),(160&lt;'V06 Calend 01'!D11),(MOD((160-'V06 Calend 01'!C11),6)=0),(((160-'V06 Calend 01'!C11)/6)&lt;='V06 Calend 01'!E11)),IF((160=('V06 Calend 01'!C11+(6*'V06 Calend 01'!E11))),('V06 Calend 01'!H11-('V06 Calend 01'!I11*('V06 Calend 01'!E11-1))),'V06 Calend 01'!I11),0))+IF((160='V06 Calend 01'!D11),'V06 Calend 01'!J11,0))</f>
        <v>0</v>
      </c>
      <c r="FQ11" s="2">
        <f>((IF((161='V06 Calend 01'!C11),('V06 Calend 01'!F11+'V06 Calend 01'!G11),0)+IF(AND(('V06 Calend 01'!E11&gt;0),(161&gt;'V06 Calend 01'!C11),(161&lt;'V06 Calend 01'!D11),(MOD((161-'V06 Calend 01'!C11),6)=0),(((161-'V06 Calend 01'!C11)/6)&lt;='V06 Calend 01'!E11)),IF((161=('V06 Calend 01'!C11+(6*'V06 Calend 01'!E11))),('V06 Calend 01'!H11-('V06 Calend 01'!I11*('V06 Calend 01'!E11-1))),'V06 Calend 01'!I11),0))+IF((161='V06 Calend 01'!D11),'V06 Calend 01'!J11,0))</f>
        <v>0</v>
      </c>
      <c r="FR11" s="2">
        <f>((IF((162='V06 Calend 01'!C11),('V06 Calend 01'!F11+'V06 Calend 01'!G11),0)+IF(AND(('V06 Calend 01'!E11&gt;0),(162&gt;'V06 Calend 01'!C11),(162&lt;'V06 Calend 01'!D11),(MOD((162-'V06 Calend 01'!C11),6)=0),(((162-'V06 Calend 01'!C11)/6)&lt;='V06 Calend 01'!E11)),IF((162=('V06 Calend 01'!C11+(6*'V06 Calend 01'!E11))),('V06 Calend 01'!H11-('V06 Calend 01'!I11*('V06 Calend 01'!E11-1))),'V06 Calend 01'!I11),0))+IF((162='V06 Calend 01'!D11),'V06 Calend 01'!J11,0))</f>
        <v>0</v>
      </c>
      <c r="FS11" s="2">
        <f>((IF((163='V06 Calend 01'!C11),('V06 Calend 01'!F11+'V06 Calend 01'!G11),0)+IF(AND(('V06 Calend 01'!E11&gt;0),(163&gt;'V06 Calend 01'!C11),(163&lt;'V06 Calend 01'!D11),(MOD((163-'V06 Calend 01'!C11),6)=0),(((163-'V06 Calend 01'!C11)/6)&lt;='V06 Calend 01'!E11)),IF((163=('V06 Calend 01'!C11+(6*'V06 Calend 01'!E11))),('V06 Calend 01'!H11-('V06 Calend 01'!I11*('V06 Calend 01'!E11-1))),'V06 Calend 01'!I11),0))+IF((163='V06 Calend 01'!D11),'V06 Calend 01'!J11,0))</f>
        <v>0</v>
      </c>
      <c r="FT11" s="2">
        <f>((IF((164='V06 Calend 01'!C11),('V06 Calend 01'!F11+'V06 Calend 01'!G11),0)+IF(AND(('V06 Calend 01'!E11&gt;0),(164&gt;'V06 Calend 01'!C11),(164&lt;'V06 Calend 01'!D11),(MOD((164-'V06 Calend 01'!C11),6)=0),(((164-'V06 Calend 01'!C11)/6)&lt;='V06 Calend 01'!E11)),IF((164=('V06 Calend 01'!C11+(6*'V06 Calend 01'!E11))),('V06 Calend 01'!H11-('V06 Calend 01'!I11*('V06 Calend 01'!E11-1))),'V06 Calend 01'!I11),0))+IF((164='V06 Calend 01'!D11),'V06 Calend 01'!J11,0))</f>
        <v>0</v>
      </c>
      <c r="FU11" s="2">
        <f>((IF((165='V06 Calend 01'!C11),('V06 Calend 01'!F11+'V06 Calend 01'!G11),0)+IF(AND(('V06 Calend 01'!E11&gt;0),(165&gt;'V06 Calend 01'!C11),(165&lt;'V06 Calend 01'!D11),(MOD((165-'V06 Calend 01'!C11),6)=0),(((165-'V06 Calend 01'!C11)/6)&lt;='V06 Calend 01'!E11)),IF((165=('V06 Calend 01'!C11+(6*'V06 Calend 01'!E11))),('V06 Calend 01'!H11-('V06 Calend 01'!I11*('V06 Calend 01'!E11-1))),'V06 Calend 01'!I11),0))+IF((165='V06 Calend 01'!D11),'V06 Calend 01'!J11,0))</f>
        <v>0</v>
      </c>
      <c r="FV11" s="2">
        <f>((IF((166='V06 Calend 01'!C11),('V06 Calend 01'!F11+'V06 Calend 01'!G11),0)+IF(AND(('V06 Calend 01'!E11&gt;0),(166&gt;'V06 Calend 01'!C11),(166&lt;'V06 Calend 01'!D11),(MOD((166-'V06 Calend 01'!C11),6)=0),(((166-'V06 Calend 01'!C11)/6)&lt;='V06 Calend 01'!E11)),IF((166=('V06 Calend 01'!C11+(6*'V06 Calend 01'!E11))),('V06 Calend 01'!H11-('V06 Calend 01'!I11*('V06 Calend 01'!E11-1))),'V06 Calend 01'!I11),0))+IF((166='V06 Calend 01'!D11),'V06 Calend 01'!J11,0))</f>
        <v>0</v>
      </c>
      <c r="FW11" s="2">
        <f>((IF((167='V06 Calend 01'!C11),('V06 Calend 01'!F11+'V06 Calend 01'!G11),0)+IF(AND(('V06 Calend 01'!E11&gt;0),(167&gt;'V06 Calend 01'!C11),(167&lt;'V06 Calend 01'!D11),(MOD((167-'V06 Calend 01'!C11),6)=0),(((167-'V06 Calend 01'!C11)/6)&lt;='V06 Calend 01'!E11)),IF((167=('V06 Calend 01'!C11+(6*'V06 Calend 01'!E11))),('V06 Calend 01'!H11-('V06 Calend 01'!I11*('V06 Calend 01'!E11-1))),'V06 Calend 01'!I11),0))+IF((167='V06 Calend 01'!D11),'V06 Calend 01'!J11,0))</f>
        <v>0</v>
      </c>
      <c r="FX11" s="2">
        <f>((IF((168='V06 Calend 01'!C11),('V06 Calend 01'!F11+'V06 Calend 01'!G11),0)+IF(AND(('V06 Calend 01'!E11&gt;0),(168&gt;'V06 Calend 01'!C11),(168&lt;'V06 Calend 01'!D11),(MOD((168-'V06 Calend 01'!C11),6)=0),(((168-'V06 Calend 01'!C11)/6)&lt;='V06 Calend 01'!E11)),IF((168=('V06 Calend 01'!C11+(6*'V06 Calend 01'!E11))),('V06 Calend 01'!H11-('V06 Calend 01'!I11*('V06 Calend 01'!E11-1))),'V06 Calend 01'!I11),0))+IF((168='V06 Calend 01'!D11),'V06 Calend 01'!J11,0))</f>
        <v>0</v>
      </c>
      <c r="FY11" s="2">
        <f>((IF((169='V06 Calend 01'!C11),('V06 Calend 01'!F11+'V06 Calend 01'!G11),0)+IF(AND(('V06 Calend 01'!E11&gt;0),(169&gt;'V06 Calend 01'!C11),(169&lt;'V06 Calend 01'!D11),(MOD((169-'V06 Calend 01'!C11),6)=0),(((169-'V06 Calend 01'!C11)/6)&lt;='V06 Calend 01'!E11)),IF((169=('V06 Calend 01'!C11+(6*'V06 Calend 01'!E11))),('V06 Calend 01'!H11-('V06 Calend 01'!I11*('V06 Calend 01'!E11-1))),'V06 Calend 01'!I11),0))+IF((169='V06 Calend 01'!D11),'V06 Calend 01'!J11,0))</f>
        <v>0</v>
      </c>
      <c r="FZ11" s="2">
        <f>((IF((170='V06 Calend 01'!C11),('V06 Calend 01'!F11+'V06 Calend 01'!G11),0)+IF(AND(('V06 Calend 01'!E11&gt;0),(170&gt;'V06 Calend 01'!C11),(170&lt;'V06 Calend 01'!D11),(MOD((170-'V06 Calend 01'!C11),6)=0),(((170-'V06 Calend 01'!C11)/6)&lt;='V06 Calend 01'!E11)),IF((170=('V06 Calend 01'!C11+(6*'V06 Calend 01'!E11))),('V06 Calend 01'!H11-('V06 Calend 01'!I11*('V06 Calend 01'!E11-1))),'V06 Calend 01'!I11),0))+IF((170='V06 Calend 01'!D11),'V06 Calend 01'!J11,0))</f>
        <v>0</v>
      </c>
      <c r="GA11" s="2">
        <f>((IF((171='V06 Calend 01'!C11),('V06 Calend 01'!F11+'V06 Calend 01'!G11),0)+IF(AND(('V06 Calend 01'!E11&gt;0),(171&gt;'V06 Calend 01'!C11),(171&lt;'V06 Calend 01'!D11),(MOD((171-'V06 Calend 01'!C11),6)=0),(((171-'V06 Calend 01'!C11)/6)&lt;='V06 Calend 01'!E11)),IF((171=('V06 Calend 01'!C11+(6*'V06 Calend 01'!E11))),('V06 Calend 01'!H11-('V06 Calend 01'!I11*('V06 Calend 01'!E11-1))),'V06 Calend 01'!I11),0))+IF((171='V06 Calend 01'!D11),'V06 Calend 01'!J11,0))</f>
        <v>0</v>
      </c>
      <c r="GB11" s="2">
        <f>((IF((172='V06 Calend 01'!C11),('V06 Calend 01'!F11+'V06 Calend 01'!G11),0)+IF(AND(('V06 Calend 01'!E11&gt;0),(172&gt;'V06 Calend 01'!C11),(172&lt;'V06 Calend 01'!D11),(MOD((172-'V06 Calend 01'!C11),6)=0),(((172-'V06 Calend 01'!C11)/6)&lt;='V06 Calend 01'!E11)),IF((172=('V06 Calend 01'!C11+(6*'V06 Calend 01'!E11))),('V06 Calend 01'!H11-('V06 Calend 01'!I11*('V06 Calend 01'!E11-1))),'V06 Calend 01'!I11),0))+IF((172='V06 Calend 01'!D11),'V06 Calend 01'!J11,0))</f>
        <v>0</v>
      </c>
      <c r="GC11" s="2">
        <f>((IF((173='V06 Calend 01'!C11),('V06 Calend 01'!F11+'V06 Calend 01'!G11),0)+IF(AND(('V06 Calend 01'!E11&gt;0),(173&gt;'V06 Calend 01'!C11),(173&lt;'V06 Calend 01'!D11),(MOD((173-'V06 Calend 01'!C11),6)=0),(((173-'V06 Calend 01'!C11)/6)&lt;='V06 Calend 01'!E11)),IF((173=('V06 Calend 01'!C11+(6*'V06 Calend 01'!E11))),('V06 Calend 01'!H11-('V06 Calend 01'!I11*('V06 Calend 01'!E11-1))),'V06 Calend 01'!I11),0))+IF((173='V06 Calend 01'!D11),'V06 Calend 01'!J11,0))</f>
        <v>0</v>
      </c>
      <c r="GD11" s="2">
        <f>((IF((174='V06 Calend 01'!C11),('V06 Calend 01'!F11+'V06 Calend 01'!G11),0)+IF(AND(('V06 Calend 01'!E11&gt;0),(174&gt;'V06 Calend 01'!C11),(174&lt;'V06 Calend 01'!D11),(MOD((174-'V06 Calend 01'!C11),6)=0),(((174-'V06 Calend 01'!C11)/6)&lt;='V06 Calend 01'!E11)),IF((174=('V06 Calend 01'!C11+(6*'V06 Calend 01'!E11))),('V06 Calend 01'!H11-('V06 Calend 01'!I11*('V06 Calend 01'!E11-1))),'V06 Calend 01'!I11),0))+IF((174='V06 Calend 01'!D11),'V06 Calend 01'!J11,0))</f>
        <v>0</v>
      </c>
      <c r="GE11" s="2">
        <f>((IF((175='V06 Calend 01'!C11),('V06 Calend 01'!F11+'V06 Calend 01'!G11),0)+IF(AND(('V06 Calend 01'!E11&gt;0),(175&gt;'V06 Calend 01'!C11),(175&lt;'V06 Calend 01'!D11),(MOD((175-'V06 Calend 01'!C11),6)=0),(((175-'V06 Calend 01'!C11)/6)&lt;='V06 Calend 01'!E11)),IF((175=('V06 Calend 01'!C11+(6*'V06 Calend 01'!E11))),('V06 Calend 01'!H11-('V06 Calend 01'!I11*('V06 Calend 01'!E11-1))),'V06 Calend 01'!I11),0))+IF((175='V06 Calend 01'!D11),'V06 Calend 01'!J11,0))</f>
        <v>0</v>
      </c>
      <c r="GF11" s="2">
        <f>((IF((176='V06 Calend 01'!C11),('V06 Calend 01'!F11+'V06 Calend 01'!G11),0)+IF(AND(('V06 Calend 01'!E11&gt;0),(176&gt;'V06 Calend 01'!C11),(176&lt;'V06 Calend 01'!D11),(MOD((176-'V06 Calend 01'!C11),6)=0),(((176-'V06 Calend 01'!C11)/6)&lt;='V06 Calend 01'!E11)),IF((176=('V06 Calend 01'!C11+(6*'V06 Calend 01'!E11))),('V06 Calend 01'!H11-('V06 Calend 01'!I11*('V06 Calend 01'!E11-1))),'V06 Calend 01'!I11),0))+IF((176='V06 Calend 01'!D11),'V06 Calend 01'!J11,0))</f>
        <v>0</v>
      </c>
      <c r="GG11" s="2">
        <f>((IF((177='V06 Calend 01'!C11),('V06 Calend 01'!F11+'V06 Calend 01'!G11),0)+IF(AND(('V06 Calend 01'!E11&gt;0),(177&gt;'V06 Calend 01'!C11),(177&lt;'V06 Calend 01'!D11),(MOD((177-'V06 Calend 01'!C11),6)=0),(((177-'V06 Calend 01'!C11)/6)&lt;='V06 Calend 01'!E11)),IF((177=('V06 Calend 01'!C11+(6*'V06 Calend 01'!E11))),('V06 Calend 01'!H11-('V06 Calend 01'!I11*('V06 Calend 01'!E11-1))),'V06 Calend 01'!I11),0))+IF((177='V06 Calend 01'!D11),'V06 Calend 01'!J11,0))</f>
        <v>0</v>
      </c>
      <c r="GH11" s="2">
        <f>((IF((178='V06 Calend 01'!C11),('V06 Calend 01'!F11+'V06 Calend 01'!G11),0)+IF(AND(('V06 Calend 01'!E11&gt;0),(178&gt;'V06 Calend 01'!C11),(178&lt;'V06 Calend 01'!D11),(MOD((178-'V06 Calend 01'!C11),6)=0),(((178-'V06 Calend 01'!C11)/6)&lt;='V06 Calend 01'!E11)),IF((178=('V06 Calend 01'!C11+(6*'V06 Calend 01'!E11))),('V06 Calend 01'!H11-('V06 Calend 01'!I11*('V06 Calend 01'!E11-1))),'V06 Calend 01'!I11),0))+IF((178='V06 Calend 01'!D11),'V06 Calend 01'!J11,0))</f>
        <v>0</v>
      </c>
      <c r="GI11" s="2">
        <f>((IF((179='V06 Calend 01'!C11),('V06 Calend 01'!F11+'V06 Calend 01'!G11),0)+IF(AND(('V06 Calend 01'!E11&gt;0),(179&gt;'V06 Calend 01'!C11),(179&lt;'V06 Calend 01'!D11),(MOD((179-'V06 Calend 01'!C11),6)=0),(((179-'V06 Calend 01'!C11)/6)&lt;='V06 Calend 01'!E11)),IF((179=('V06 Calend 01'!C11+(6*'V06 Calend 01'!E11))),('V06 Calend 01'!H11-('V06 Calend 01'!I11*('V06 Calend 01'!E11-1))),'V06 Calend 01'!I11),0))+IF((179='V06 Calend 01'!D11),'V06 Calend 01'!J11,0))</f>
        <v>0</v>
      </c>
      <c r="GJ11" s="2">
        <f>((IF((180='V06 Calend 01'!C11),('V06 Calend 01'!F11+'V06 Calend 01'!G11),0)+IF(AND(('V06 Calend 01'!E11&gt;0),(180&gt;'V06 Calend 01'!C11),(180&lt;'V06 Calend 01'!D11),(MOD((180-'V06 Calend 01'!C11),6)=0),(((180-'V06 Calend 01'!C11)/6)&lt;='V06 Calend 01'!E11)),IF((180=('V06 Calend 01'!C11+(6*'V06 Calend 01'!E11))),('V06 Calend 01'!H11-('V06 Calend 01'!I11*('V06 Calend 01'!E11-1))),'V06 Calend 01'!I11),0))+IF((180='V06 Calend 01'!D11),'V06 Calend 01'!J11,0))</f>
        <v>0</v>
      </c>
    </row>
    <row r="12" spans="1:192">
      <c r="A12" s="3" t="str">
        <f>'V06 Unidades'!$A$12</f>
        <v>208</v>
      </c>
      <c r="B12" s="2">
        <f>'V06 Unidades'!$H$12</f>
        <v>253000</v>
      </c>
      <c r="C12" s="4">
        <f>('V06 Unidades'!$I$12+'V06 Controlos'!$B$37)</f>
        <v>1</v>
      </c>
      <c r="D12" s="4">
        <f>IF(('V06 Controlos'!$B$38&gt;0),MAX(('V06 Unidades'!$L$12+'V06 Controlos'!$B$37),(30+'V06 Controlos'!$B$38)),('V06 Unidades'!$L$12+'V06 Controlos'!$B$37))</f>
        <v>29</v>
      </c>
      <c r="E12" s="4">
        <f>MAX(0,INT(((('V06 Calend 01'!D12-'V06 Calend 01'!C12)-1)/6)))</f>
        <v>4</v>
      </c>
      <c r="F12" s="2">
        <f>ROUND(('V06 Calend 01'!B12*0.05),2)</f>
        <v>12650.0</v>
      </c>
      <c r="G12" s="2">
        <f>ROUND(('V06 Calend 01'!B12*0.2),2)</f>
        <v>50600.0</v>
      </c>
      <c r="H12" s="2">
        <f>ROUND(('V06 Calend 01'!B12*0.55),2)</f>
        <v>139150.0</v>
      </c>
      <c r="I12" s="2">
        <f>ROUND(('V06 Calend 01'!H12/MAX(1,'V06 Calend 01'!E12)),2)</f>
        <v>34787.5</v>
      </c>
      <c r="J12" s="2">
        <f>((('V06 Calend 01'!B12-'V06 Calend 01'!F12)-'V06 Calend 01'!G12)-'V06 Calend 01'!H12)</f>
        <v>50600.0</v>
      </c>
      <c r="K12" s="2">
        <f>('V06 Calend 01'!B12*0.025)</f>
        <v>6325.0</v>
      </c>
      <c r="L12" t="s">
        <v>378</v>
      </c>
      <c r="M12" s="2">
        <f>((IF((1='V06 Calend 01'!C12),('V06 Calend 01'!F12+'V06 Calend 01'!G12),0)+IF(AND(('V06 Calend 01'!E12&gt;0),(1&gt;'V06 Calend 01'!C12),(1&lt;'V06 Calend 01'!D12),(MOD((1-'V06 Calend 01'!C12),6)=0),(((1-'V06 Calend 01'!C12)/6)&lt;='V06 Calend 01'!E12)),IF((1=('V06 Calend 01'!C12+(6*'V06 Calend 01'!E12))),('V06 Calend 01'!H12-('V06 Calend 01'!I12*('V06 Calend 01'!E12-1))),'V06 Calend 01'!I12),0))+IF((1='V06 Calend 01'!D12),'V06 Calend 01'!J12,0))</f>
        <v>63250.0</v>
      </c>
      <c r="N12" s="2">
        <f>((IF((2='V06 Calend 01'!C12),('V06 Calend 01'!F12+'V06 Calend 01'!G12),0)+IF(AND(('V06 Calend 01'!E12&gt;0),(2&gt;'V06 Calend 01'!C12),(2&lt;'V06 Calend 01'!D12),(MOD((2-'V06 Calend 01'!C12),6)=0),(((2-'V06 Calend 01'!C12)/6)&lt;='V06 Calend 01'!E12)),IF((2=('V06 Calend 01'!C12+(6*'V06 Calend 01'!E12))),('V06 Calend 01'!H12-('V06 Calend 01'!I12*('V06 Calend 01'!E12-1))),'V06 Calend 01'!I12),0))+IF((2='V06 Calend 01'!D12),'V06 Calend 01'!J12,0))</f>
        <v>0</v>
      </c>
      <c r="O12" s="2">
        <f>((IF((3='V06 Calend 01'!C12),('V06 Calend 01'!F12+'V06 Calend 01'!G12),0)+IF(AND(('V06 Calend 01'!E12&gt;0),(3&gt;'V06 Calend 01'!C12),(3&lt;'V06 Calend 01'!D12),(MOD((3-'V06 Calend 01'!C12),6)=0),(((3-'V06 Calend 01'!C12)/6)&lt;='V06 Calend 01'!E12)),IF((3=('V06 Calend 01'!C12+(6*'V06 Calend 01'!E12))),('V06 Calend 01'!H12-('V06 Calend 01'!I12*('V06 Calend 01'!E12-1))),'V06 Calend 01'!I12),0))+IF((3='V06 Calend 01'!D12),'V06 Calend 01'!J12,0))</f>
        <v>0</v>
      </c>
      <c r="P12" s="2">
        <f>((IF((4='V06 Calend 01'!C12),('V06 Calend 01'!F12+'V06 Calend 01'!G12),0)+IF(AND(('V06 Calend 01'!E12&gt;0),(4&gt;'V06 Calend 01'!C12),(4&lt;'V06 Calend 01'!D12),(MOD((4-'V06 Calend 01'!C12),6)=0),(((4-'V06 Calend 01'!C12)/6)&lt;='V06 Calend 01'!E12)),IF((4=('V06 Calend 01'!C12+(6*'V06 Calend 01'!E12))),('V06 Calend 01'!H12-('V06 Calend 01'!I12*('V06 Calend 01'!E12-1))),'V06 Calend 01'!I12),0))+IF((4='V06 Calend 01'!D12),'V06 Calend 01'!J12,0))</f>
        <v>0</v>
      </c>
      <c r="Q12" s="2">
        <f>((IF((5='V06 Calend 01'!C12),('V06 Calend 01'!F12+'V06 Calend 01'!G12),0)+IF(AND(('V06 Calend 01'!E12&gt;0),(5&gt;'V06 Calend 01'!C12),(5&lt;'V06 Calend 01'!D12),(MOD((5-'V06 Calend 01'!C12),6)=0),(((5-'V06 Calend 01'!C12)/6)&lt;='V06 Calend 01'!E12)),IF((5=('V06 Calend 01'!C12+(6*'V06 Calend 01'!E12))),('V06 Calend 01'!H12-('V06 Calend 01'!I12*('V06 Calend 01'!E12-1))),'V06 Calend 01'!I12),0))+IF((5='V06 Calend 01'!D12),'V06 Calend 01'!J12,0))</f>
        <v>0</v>
      </c>
      <c r="R12" s="2">
        <f>((IF((6='V06 Calend 01'!C12),('V06 Calend 01'!F12+'V06 Calend 01'!G12),0)+IF(AND(('V06 Calend 01'!E12&gt;0),(6&gt;'V06 Calend 01'!C12),(6&lt;'V06 Calend 01'!D12),(MOD((6-'V06 Calend 01'!C12),6)=0),(((6-'V06 Calend 01'!C12)/6)&lt;='V06 Calend 01'!E12)),IF((6=('V06 Calend 01'!C12+(6*'V06 Calend 01'!E12))),('V06 Calend 01'!H12-('V06 Calend 01'!I12*('V06 Calend 01'!E12-1))),'V06 Calend 01'!I12),0))+IF((6='V06 Calend 01'!D12),'V06 Calend 01'!J12,0))</f>
        <v>0</v>
      </c>
      <c r="S12" s="2">
        <f>((IF((7='V06 Calend 01'!C12),('V06 Calend 01'!F12+'V06 Calend 01'!G12),0)+IF(AND(('V06 Calend 01'!E12&gt;0),(7&gt;'V06 Calend 01'!C12),(7&lt;'V06 Calend 01'!D12),(MOD((7-'V06 Calend 01'!C12),6)=0),(((7-'V06 Calend 01'!C12)/6)&lt;='V06 Calend 01'!E12)),IF((7=('V06 Calend 01'!C12+(6*'V06 Calend 01'!E12))),('V06 Calend 01'!H12-('V06 Calend 01'!I12*('V06 Calend 01'!E12-1))),'V06 Calend 01'!I12),0))+IF((7='V06 Calend 01'!D12),'V06 Calend 01'!J12,0))</f>
        <v>34787.5</v>
      </c>
      <c r="T12" s="2">
        <f>((IF((8='V06 Calend 01'!C12),('V06 Calend 01'!F12+'V06 Calend 01'!G12),0)+IF(AND(('V06 Calend 01'!E12&gt;0),(8&gt;'V06 Calend 01'!C12),(8&lt;'V06 Calend 01'!D12),(MOD((8-'V06 Calend 01'!C12),6)=0),(((8-'V06 Calend 01'!C12)/6)&lt;='V06 Calend 01'!E12)),IF((8=('V06 Calend 01'!C12+(6*'V06 Calend 01'!E12))),('V06 Calend 01'!H12-('V06 Calend 01'!I12*('V06 Calend 01'!E12-1))),'V06 Calend 01'!I12),0))+IF((8='V06 Calend 01'!D12),'V06 Calend 01'!J12,0))</f>
        <v>0</v>
      </c>
      <c r="U12" s="2">
        <f>((IF((9='V06 Calend 01'!C12),('V06 Calend 01'!F12+'V06 Calend 01'!G12),0)+IF(AND(('V06 Calend 01'!E12&gt;0),(9&gt;'V06 Calend 01'!C12),(9&lt;'V06 Calend 01'!D12),(MOD((9-'V06 Calend 01'!C12),6)=0),(((9-'V06 Calend 01'!C12)/6)&lt;='V06 Calend 01'!E12)),IF((9=('V06 Calend 01'!C12+(6*'V06 Calend 01'!E12))),('V06 Calend 01'!H12-('V06 Calend 01'!I12*('V06 Calend 01'!E12-1))),'V06 Calend 01'!I12),0))+IF((9='V06 Calend 01'!D12),'V06 Calend 01'!J12,0))</f>
        <v>0</v>
      </c>
      <c r="V12" s="2">
        <f>((IF((10='V06 Calend 01'!C12),('V06 Calend 01'!F12+'V06 Calend 01'!G12),0)+IF(AND(('V06 Calend 01'!E12&gt;0),(10&gt;'V06 Calend 01'!C12),(10&lt;'V06 Calend 01'!D12),(MOD((10-'V06 Calend 01'!C12),6)=0),(((10-'V06 Calend 01'!C12)/6)&lt;='V06 Calend 01'!E12)),IF((10=('V06 Calend 01'!C12+(6*'V06 Calend 01'!E12))),('V06 Calend 01'!H12-('V06 Calend 01'!I12*('V06 Calend 01'!E12-1))),'V06 Calend 01'!I12),0))+IF((10='V06 Calend 01'!D12),'V06 Calend 01'!J12,0))</f>
        <v>0</v>
      </c>
      <c r="W12" s="2">
        <f>((IF((11='V06 Calend 01'!C12),('V06 Calend 01'!F12+'V06 Calend 01'!G12),0)+IF(AND(('V06 Calend 01'!E12&gt;0),(11&gt;'V06 Calend 01'!C12),(11&lt;'V06 Calend 01'!D12),(MOD((11-'V06 Calend 01'!C12),6)=0),(((11-'V06 Calend 01'!C12)/6)&lt;='V06 Calend 01'!E12)),IF((11=('V06 Calend 01'!C12+(6*'V06 Calend 01'!E12))),('V06 Calend 01'!H12-('V06 Calend 01'!I12*('V06 Calend 01'!E12-1))),'V06 Calend 01'!I12),0))+IF((11='V06 Calend 01'!D12),'V06 Calend 01'!J12,0))</f>
        <v>0</v>
      </c>
      <c r="X12" s="2">
        <f>((IF((12='V06 Calend 01'!C12),('V06 Calend 01'!F12+'V06 Calend 01'!G12),0)+IF(AND(('V06 Calend 01'!E12&gt;0),(12&gt;'V06 Calend 01'!C12),(12&lt;'V06 Calend 01'!D12),(MOD((12-'V06 Calend 01'!C12),6)=0),(((12-'V06 Calend 01'!C12)/6)&lt;='V06 Calend 01'!E12)),IF((12=('V06 Calend 01'!C12+(6*'V06 Calend 01'!E12))),('V06 Calend 01'!H12-('V06 Calend 01'!I12*('V06 Calend 01'!E12-1))),'V06 Calend 01'!I12),0))+IF((12='V06 Calend 01'!D12),'V06 Calend 01'!J12,0))</f>
        <v>0</v>
      </c>
      <c r="Y12" s="2">
        <f>((IF((13='V06 Calend 01'!C12),('V06 Calend 01'!F12+'V06 Calend 01'!G12),0)+IF(AND(('V06 Calend 01'!E12&gt;0),(13&gt;'V06 Calend 01'!C12),(13&lt;'V06 Calend 01'!D12),(MOD((13-'V06 Calend 01'!C12),6)=0),(((13-'V06 Calend 01'!C12)/6)&lt;='V06 Calend 01'!E12)),IF((13=('V06 Calend 01'!C12+(6*'V06 Calend 01'!E12))),('V06 Calend 01'!H12-('V06 Calend 01'!I12*('V06 Calend 01'!E12-1))),'V06 Calend 01'!I12),0))+IF((13='V06 Calend 01'!D12),'V06 Calend 01'!J12,0))</f>
        <v>34787.5</v>
      </c>
      <c r="Z12" s="2">
        <f>((IF((14='V06 Calend 01'!C12),('V06 Calend 01'!F12+'V06 Calend 01'!G12),0)+IF(AND(('V06 Calend 01'!E12&gt;0),(14&gt;'V06 Calend 01'!C12),(14&lt;'V06 Calend 01'!D12),(MOD((14-'V06 Calend 01'!C12),6)=0),(((14-'V06 Calend 01'!C12)/6)&lt;='V06 Calend 01'!E12)),IF((14=('V06 Calend 01'!C12+(6*'V06 Calend 01'!E12))),('V06 Calend 01'!H12-('V06 Calend 01'!I12*('V06 Calend 01'!E12-1))),'V06 Calend 01'!I12),0))+IF((14='V06 Calend 01'!D12),'V06 Calend 01'!J12,0))</f>
        <v>0</v>
      </c>
      <c r="AA12" s="2">
        <f>((IF((15='V06 Calend 01'!C12),('V06 Calend 01'!F12+'V06 Calend 01'!G12),0)+IF(AND(('V06 Calend 01'!E12&gt;0),(15&gt;'V06 Calend 01'!C12),(15&lt;'V06 Calend 01'!D12),(MOD((15-'V06 Calend 01'!C12),6)=0),(((15-'V06 Calend 01'!C12)/6)&lt;='V06 Calend 01'!E12)),IF((15=('V06 Calend 01'!C12+(6*'V06 Calend 01'!E12))),('V06 Calend 01'!H12-('V06 Calend 01'!I12*('V06 Calend 01'!E12-1))),'V06 Calend 01'!I12),0))+IF((15='V06 Calend 01'!D12),'V06 Calend 01'!J12,0))</f>
        <v>0</v>
      </c>
      <c r="AB12" s="2">
        <f>((IF((16='V06 Calend 01'!C12),('V06 Calend 01'!F12+'V06 Calend 01'!G12),0)+IF(AND(('V06 Calend 01'!E12&gt;0),(16&gt;'V06 Calend 01'!C12),(16&lt;'V06 Calend 01'!D12),(MOD((16-'V06 Calend 01'!C12),6)=0),(((16-'V06 Calend 01'!C12)/6)&lt;='V06 Calend 01'!E12)),IF((16=('V06 Calend 01'!C12+(6*'V06 Calend 01'!E12))),('V06 Calend 01'!H12-('V06 Calend 01'!I12*('V06 Calend 01'!E12-1))),'V06 Calend 01'!I12),0))+IF((16='V06 Calend 01'!D12),'V06 Calend 01'!J12,0))</f>
        <v>0</v>
      </c>
      <c r="AC12" s="2">
        <f>((IF((17='V06 Calend 01'!C12),('V06 Calend 01'!F12+'V06 Calend 01'!G12),0)+IF(AND(('V06 Calend 01'!E12&gt;0),(17&gt;'V06 Calend 01'!C12),(17&lt;'V06 Calend 01'!D12),(MOD((17-'V06 Calend 01'!C12),6)=0),(((17-'V06 Calend 01'!C12)/6)&lt;='V06 Calend 01'!E12)),IF((17=('V06 Calend 01'!C12+(6*'V06 Calend 01'!E12))),('V06 Calend 01'!H12-('V06 Calend 01'!I12*('V06 Calend 01'!E12-1))),'V06 Calend 01'!I12),0))+IF((17='V06 Calend 01'!D12),'V06 Calend 01'!J12,0))</f>
        <v>0</v>
      </c>
      <c r="AD12" s="2">
        <f>((IF((18='V06 Calend 01'!C12),('V06 Calend 01'!F12+'V06 Calend 01'!G12),0)+IF(AND(('V06 Calend 01'!E12&gt;0),(18&gt;'V06 Calend 01'!C12),(18&lt;'V06 Calend 01'!D12),(MOD((18-'V06 Calend 01'!C12),6)=0),(((18-'V06 Calend 01'!C12)/6)&lt;='V06 Calend 01'!E12)),IF((18=('V06 Calend 01'!C12+(6*'V06 Calend 01'!E12))),('V06 Calend 01'!H12-('V06 Calend 01'!I12*('V06 Calend 01'!E12-1))),'V06 Calend 01'!I12),0))+IF((18='V06 Calend 01'!D12),'V06 Calend 01'!J12,0))</f>
        <v>0</v>
      </c>
      <c r="AE12" s="2">
        <f>((IF((19='V06 Calend 01'!C12),('V06 Calend 01'!F12+'V06 Calend 01'!G12),0)+IF(AND(('V06 Calend 01'!E12&gt;0),(19&gt;'V06 Calend 01'!C12),(19&lt;'V06 Calend 01'!D12),(MOD((19-'V06 Calend 01'!C12),6)=0),(((19-'V06 Calend 01'!C12)/6)&lt;='V06 Calend 01'!E12)),IF((19=('V06 Calend 01'!C12+(6*'V06 Calend 01'!E12))),('V06 Calend 01'!H12-('V06 Calend 01'!I12*('V06 Calend 01'!E12-1))),'V06 Calend 01'!I12),0))+IF((19='V06 Calend 01'!D12),'V06 Calend 01'!J12,0))</f>
        <v>34787.5</v>
      </c>
      <c r="AF12" s="2">
        <f>((IF((20='V06 Calend 01'!C12),('V06 Calend 01'!F12+'V06 Calend 01'!G12),0)+IF(AND(('V06 Calend 01'!E12&gt;0),(20&gt;'V06 Calend 01'!C12),(20&lt;'V06 Calend 01'!D12),(MOD((20-'V06 Calend 01'!C12),6)=0),(((20-'V06 Calend 01'!C12)/6)&lt;='V06 Calend 01'!E12)),IF((20=('V06 Calend 01'!C12+(6*'V06 Calend 01'!E12))),('V06 Calend 01'!H12-('V06 Calend 01'!I12*('V06 Calend 01'!E12-1))),'V06 Calend 01'!I12),0))+IF((20='V06 Calend 01'!D12),'V06 Calend 01'!J12,0))</f>
        <v>0</v>
      </c>
      <c r="AG12" s="2">
        <f>((IF((21='V06 Calend 01'!C12),('V06 Calend 01'!F12+'V06 Calend 01'!G12),0)+IF(AND(('V06 Calend 01'!E12&gt;0),(21&gt;'V06 Calend 01'!C12),(21&lt;'V06 Calend 01'!D12),(MOD((21-'V06 Calend 01'!C12),6)=0),(((21-'V06 Calend 01'!C12)/6)&lt;='V06 Calend 01'!E12)),IF((21=('V06 Calend 01'!C12+(6*'V06 Calend 01'!E12))),('V06 Calend 01'!H12-('V06 Calend 01'!I12*('V06 Calend 01'!E12-1))),'V06 Calend 01'!I12),0))+IF((21='V06 Calend 01'!D12),'V06 Calend 01'!J12,0))</f>
        <v>0</v>
      </c>
      <c r="AH12" s="2">
        <f>((IF((22='V06 Calend 01'!C12),('V06 Calend 01'!F12+'V06 Calend 01'!G12),0)+IF(AND(('V06 Calend 01'!E12&gt;0),(22&gt;'V06 Calend 01'!C12),(22&lt;'V06 Calend 01'!D12),(MOD((22-'V06 Calend 01'!C12),6)=0),(((22-'V06 Calend 01'!C12)/6)&lt;='V06 Calend 01'!E12)),IF((22=('V06 Calend 01'!C12+(6*'V06 Calend 01'!E12))),('V06 Calend 01'!H12-('V06 Calend 01'!I12*('V06 Calend 01'!E12-1))),'V06 Calend 01'!I12),0))+IF((22='V06 Calend 01'!D12),'V06 Calend 01'!J12,0))</f>
        <v>0</v>
      </c>
      <c r="AI12" s="2">
        <f>((IF((23='V06 Calend 01'!C12),('V06 Calend 01'!F12+'V06 Calend 01'!G12),0)+IF(AND(('V06 Calend 01'!E12&gt;0),(23&gt;'V06 Calend 01'!C12),(23&lt;'V06 Calend 01'!D12),(MOD((23-'V06 Calend 01'!C12),6)=0),(((23-'V06 Calend 01'!C12)/6)&lt;='V06 Calend 01'!E12)),IF((23=('V06 Calend 01'!C12+(6*'V06 Calend 01'!E12))),('V06 Calend 01'!H12-('V06 Calend 01'!I12*('V06 Calend 01'!E12-1))),'V06 Calend 01'!I12),0))+IF((23='V06 Calend 01'!D12),'V06 Calend 01'!J12,0))</f>
        <v>0</v>
      </c>
      <c r="AJ12" s="2">
        <f>((IF((24='V06 Calend 01'!C12),('V06 Calend 01'!F12+'V06 Calend 01'!G12),0)+IF(AND(('V06 Calend 01'!E12&gt;0),(24&gt;'V06 Calend 01'!C12),(24&lt;'V06 Calend 01'!D12),(MOD((24-'V06 Calend 01'!C12),6)=0),(((24-'V06 Calend 01'!C12)/6)&lt;='V06 Calend 01'!E12)),IF((24=('V06 Calend 01'!C12+(6*'V06 Calend 01'!E12))),('V06 Calend 01'!H12-('V06 Calend 01'!I12*('V06 Calend 01'!E12-1))),'V06 Calend 01'!I12),0))+IF((24='V06 Calend 01'!D12),'V06 Calend 01'!J12,0))</f>
        <v>0</v>
      </c>
      <c r="AK12" s="2">
        <f>((IF((25='V06 Calend 01'!C12),('V06 Calend 01'!F12+'V06 Calend 01'!G12),0)+IF(AND(('V06 Calend 01'!E12&gt;0),(25&gt;'V06 Calend 01'!C12),(25&lt;'V06 Calend 01'!D12),(MOD((25-'V06 Calend 01'!C12),6)=0),(((25-'V06 Calend 01'!C12)/6)&lt;='V06 Calend 01'!E12)),IF((25=('V06 Calend 01'!C12+(6*'V06 Calend 01'!E12))),('V06 Calend 01'!H12-('V06 Calend 01'!I12*('V06 Calend 01'!E12-1))),'V06 Calend 01'!I12),0))+IF((25='V06 Calend 01'!D12),'V06 Calend 01'!J12,0))</f>
        <v>34787.5</v>
      </c>
      <c r="AL12" s="2">
        <f>((IF((26='V06 Calend 01'!C12),('V06 Calend 01'!F12+'V06 Calend 01'!G12),0)+IF(AND(('V06 Calend 01'!E12&gt;0),(26&gt;'V06 Calend 01'!C12),(26&lt;'V06 Calend 01'!D12),(MOD((26-'V06 Calend 01'!C12),6)=0),(((26-'V06 Calend 01'!C12)/6)&lt;='V06 Calend 01'!E12)),IF((26=('V06 Calend 01'!C12+(6*'V06 Calend 01'!E12))),('V06 Calend 01'!H12-('V06 Calend 01'!I12*('V06 Calend 01'!E12-1))),'V06 Calend 01'!I12),0))+IF((26='V06 Calend 01'!D12),'V06 Calend 01'!J12,0))</f>
        <v>0</v>
      </c>
      <c r="AM12" s="2">
        <f>((IF((27='V06 Calend 01'!C12),('V06 Calend 01'!F12+'V06 Calend 01'!G12),0)+IF(AND(('V06 Calend 01'!E12&gt;0),(27&gt;'V06 Calend 01'!C12),(27&lt;'V06 Calend 01'!D12),(MOD((27-'V06 Calend 01'!C12),6)=0),(((27-'V06 Calend 01'!C12)/6)&lt;='V06 Calend 01'!E12)),IF((27=('V06 Calend 01'!C12+(6*'V06 Calend 01'!E12))),('V06 Calend 01'!H12-('V06 Calend 01'!I12*('V06 Calend 01'!E12-1))),'V06 Calend 01'!I12),0))+IF((27='V06 Calend 01'!D12),'V06 Calend 01'!J12,0))</f>
        <v>0</v>
      </c>
      <c r="AN12" s="2">
        <f>((IF((28='V06 Calend 01'!C12),('V06 Calend 01'!F12+'V06 Calend 01'!G12),0)+IF(AND(('V06 Calend 01'!E12&gt;0),(28&gt;'V06 Calend 01'!C12),(28&lt;'V06 Calend 01'!D12),(MOD((28-'V06 Calend 01'!C12),6)=0),(((28-'V06 Calend 01'!C12)/6)&lt;='V06 Calend 01'!E12)),IF((28=('V06 Calend 01'!C12+(6*'V06 Calend 01'!E12))),('V06 Calend 01'!H12-('V06 Calend 01'!I12*('V06 Calend 01'!E12-1))),'V06 Calend 01'!I12),0))+IF((28='V06 Calend 01'!D12),'V06 Calend 01'!J12,0))</f>
        <v>0</v>
      </c>
      <c r="AO12" s="2">
        <f>((IF((29='V06 Calend 01'!C12),('V06 Calend 01'!F12+'V06 Calend 01'!G12),0)+IF(AND(('V06 Calend 01'!E12&gt;0),(29&gt;'V06 Calend 01'!C12),(29&lt;'V06 Calend 01'!D12),(MOD((29-'V06 Calend 01'!C12),6)=0),(((29-'V06 Calend 01'!C12)/6)&lt;='V06 Calend 01'!E12)),IF((29=('V06 Calend 01'!C12+(6*'V06 Calend 01'!E12))),('V06 Calend 01'!H12-('V06 Calend 01'!I12*('V06 Calend 01'!E12-1))),'V06 Calend 01'!I12),0))+IF((29='V06 Calend 01'!D12),'V06 Calend 01'!J12,0))</f>
        <v>50600.0</v>
      </c>
      <c r="AP12" s="2">
        <f>((IF((30='V06 Calend 01'!C12),('V06 Calend 01'!F12+'V06 Calend 01'!G12),0)+IF(AND(('V06 Calend 01'!E12&gt;0),(30&gt;'V06 Calend 01'!C12),(30&lt;'V06 Calend 01'!D12),(MOD((30-'V06 Calend 01'!C12),6)=0),(((30-'V06 Calend 01'!C12)/6)&lt;='V06 Calend 01'!E12)),IF((30=('V06 Calend 01'!C12+(6*'V06 Calend 01'!E12))),('V06 Calend 01'!H12-('V06 Calend 01'!I12*('V06 Calend 01'!E12-1))),'V06 Calend 01'!I12),0))+IF((30='V06 Calend 01'!D12),'V06 Calend 01'!J12,0))</f>
        <v>0</v>
      </c>
      <c r="AQ12" s="2">
        <f>((IF((31='V06 Calend 01'!C12),('V06 Calend 01'!F12+'V06 Calend 01'!G12),0)+IF(AND(('V06 Calend 01'!E12&gt;0),(31&gt;'V06 Calend 01'!C12),(31&lt;'V06 Calend 01'!D12),(MOD((31-'V06 Calend 01'!C12),6)=0),(((31-'V06 Calend 01'!C12)/6)&lt;='V06 Calend 01'!E12)),IF((31=('V06 Calend 01'!C12+(6*'V06 Calend 01'!E12))),('V06 Calend 01'!H12-('V06 Calend 01'!I12*('V06 Calend 01'!E12-1))),'V06 Calend 01'!I12),0))+IF((31='V06 Calend 01'!D12),'V06 Calend 01'!J12,0))</f>
        <v>0</v>
      </c>
      <c r="AR12" s="2">
        <f>((IF((32='V06 Calend 01'!C12),('V06 Calend 01'!F12+'V06 Calend 01'!G12),0)+IF(AND(('V06 Calend 01'!E12&gt;0),(32&gt;'V06 Calend 01'!C12),(32&lt;'V06 Calend 01'!D12),(MOD((32-'V06 Calend 01'!C12),6)=0),(((32-'V06 Calend 01'!C12)/6)&lt;='V06 Calend 01'!E12)),IF((32=('V06 Calend 01'!C12+(6*'V06 Calend 01'!E12))),('V06 Calend 01'!H12-('V06 Calend 01'!I12*('V06 Calend 01'!E12-1))),'V06 Calend 01'!I12),0))+IF((32='V06 Calend 01'!D12),'V06 Calend 01'!J12,0))</f>
        <v>0</v>
      </c>
      <c r="AS12" s="2">
        <f>((IF((33='V06 Calend 01'!C12),('V06 Calend 01'!F12+'V06 Calend 01'!G12),0)+IF(AND(('V06 Calend 01'!E12&gt;0),(33&gt;'V06 Calend 01'!C12),(33&lt;'V06 Calend 01'!D12),(MOD((33-'V06 Calend 01'!C12),6)=0),(((33-'V06 Calend 01'!C12)/6)&lt;='V06 Calend 01'!E12)),IF((33=('V06 Calend 01'!C12+(6*'V06 Calend 01'!E12))),('V06 Calend 01'!H12-('V06 Calend 01'!I12*('V06 Calend 01'!E12-1))),'V06 Calend 01'!I12),0))+IF((33='V06 Calend 01'!D12),'V06 Calend 01'!J12,0))</f>
        <v>0</v>
      </c>
      <c r="AT12" s="2">
        <f>((IF((34='V06 Calend 01'!C12),('V06 Calend 01'!F12+'V06 Calend 01'!G12),0)+IF(AND(('V06 Calend 01'!E12&gt;0),(34&gt;'V06 Calend 01'!C12),(34&lt;'V06 Calend 01'!D12),(MOD((34-'V06 Calend 01'!C12),6)=0),(((34-'V06 Calend 01'!C12)/6)&lt;='V06 Calend 01'!E12)),IF((34=('V06 Calend 01'!C12+(6*'V06 Calend 01'!E12))),('V06 Calend 01'!H12-('V06 Calend 01'!I12*('V06 Calend 01'!E12-1))),'V06 Calend 01'!I12),0))+IF((34='V06 Calend 01'!D12),'V06 Calend 01'!J12,0))</f>
        <v>0</v>
      </c>
      <c r="AU12" s="2">
        <f>((IF((35='V06 Calend 01'!C12),('V06 Calend 01'!F12+'V06 Calend 01'!G12),0)+IF(AND(('V06 Calend 01'!E12&gt;0),(35&gt;'V06 Calend 01'!C12),(35&lt;'V06 Calend 01'!D12),(MOD((35-'V06 Calend 01'!C12),6)=0),(((35-'V06 Calend 01'!C12)/6)&lt;='V06 Calend 01'!E12)),IF((35=('V06 Calend 01'!C12+(6*'V06 Calend 01'!E12))),('V06 Calend 01'!H12-('V06 Calend 01'!I12*('V06 Calend 01'!E12-1))),'V06 Calend 01'!I12),0))+IF((35='V06 Calend 01'!D12),'V06 Calend 01'!J12,0))</f>
        <v>0</v>
      </c>
      <c r="AV12" s="2">
        <f>((IF((36='V06 Calend 01'!C12),('V06 Calend 01'!F12+'V06 Calend 01'!G12),0)+IF(AND(('V06 Calend 01'!E12&gt;0),(36&gt;'V06 Calend 01'!C12),(36&lt;'V06 Calend 01'!D12),(MOD((36-'V06 Calend 01'!C12),6)=0),(((36-'V06 Calend 01'!C12)/6)&lt;='V06 Calend 01'!E12)),IF((36=('V06 Calend 01'!C12+(6*'V06 Calend 01'!E12))),('V06 Calend 01'!H12-('V06 Calend 01'!I12*('V06 Calend 01'!E12-1))),'V06 Calend 01'!I12),0))+IF((36='V06 Calend 01'!D12),'V06 Calend 01'!J12,0))</f>
        <v>0</v>
      </c>
      <c r="AW12" s="2">
        <f>((IF((37='V06 Calend 01'!C12),('V06 Calend 01'!F12+'V06 Calend 01'!G12),0)+IF(AND(('V06 Calend 01'!E12&gt;0),(37&gt;'V06 Calend 01'!C12),(37&lt;'V06 Calend 01'!D12),(MOD((37-'V06 Calend 01'!C12),6)=0),(((37-'V06 Calend 01'!C12)/6)&lt;='V06 Calend 01'!E12)),IF((37=('V06 Calend 01'!C12+(6*'V06 Calend 01'!E12))),('V06 Calend 01'!H12-('V06 Calend 01'!I12*('V06 Calend 01'!E12-1))),'V06 Calend 01'!I12),0))+IF((37='V06 Calend 01'!D12),'V06 Calend 01'!J12,0))</f>
        <v>0</v>
      </c>
      <c r="AX12" s="2">
        <f>((IF((38='V06 Calend 01'!C12),('V06 Calend 01'!F12+'V06 Calend 01'!G12),0)+IF(AND(('V06 Calend 01'!E12&gt;0),(38&gt;'V06 Calend 01'!C12),(38&lt;'V06 Calend 01'!D12),(MOD((38-'V06 Calend 01'!C12),6)=0),(((38-'V06 Calend 01'!C12)/6)&lt;='V06 Calend 01'!E12)),IF((38=('V06 Calend 01'!C12+(6*'V06 Calend 01'!E12))),('V06 Calend 01'!H12-('V06 Calend 01'!I12*('V06 Calend 01'!E12-1))),'V06 Calend 01'!I12),0))+IF((38='V06 Calend 01'!D12),'V06 Calend 01'!J12,0))</f>
        <v>0</v>
      </c>
      <c r="AY12" s="2">
        <f>((IF((39='V06 Calend 01'!C12),('V06 Calend 01'!F12+'V06 Calend 01'!G12),0)+IF(AND(('V06 Calend 01'!E12&gt;0),(39&gt;'V06 Calend 01'!C12),(39&lt;'V06 Calend 01'!D12),(MOD((39-'V06 Calend 01'!C12),6)=0),(((39-'V06 Calend 01'!C12)/6)&lt;='V06 Calend 01'!E12)),IF((39=('V06 Calend 01'!C12+(6*'V06 Calend 01'!E12))),('V06 Calend 01'!H12-('V06 Calend 01'!I12*('V06 Calend 01'!E12-1))),'V06 Calend 01'!I12),0))+IF((39='V06 Calend 01'!D12),'V06 Calend 01'!J12,0))</f>
        <v>0</v>
      </c>
      <c r="AZ12" s="2">
        <f>((IF((40='V06 Calend 01'!C12),('V06 Calend 01'!F12+'V06 Calend 01'!G12),0)+IF(AND(('V06 Calend 01'!E12&gt;0),(40&gt;'V06 Calend 01'!C12),(40&lt;'V06 Calend 01'!D12),(MOD((40-'V06 Calend 01'!C12),6)=0),(((40-'V06 Calend 01'!C12)/6)&lt;='V06 Calend 01'!E12)),IF((40=('V06 Calend 01'!C12+(6*'V06 Calend 01'!E12))),('V06 Calend 01'!H12-('V06 Calend 01'!I12*('V06 Calend 01'!E12-1))),'V06 Calend 01'!I12),0))+IF((40='V06 Calend 01'!D12),'V06 Calend 01'!J12,0))</f>
        <v>0</v>
      </c>
      <c r="BA12" s="2">
        <f>((IF((41='V06 Calend 01'!C12),('V06 Calend 01'!F12+'V06 Calend 01'!G12),0)+IF(AND(('V06 Calend 01'!E12&gt;0),(41&gt;'V06 Calend 01'!C12),(41&lt;'V06 Calend 01'!D12),(MOD((41-'V06 Calend 01'!C12),6)=0),(((41-'V06 Calend 01'!C12)/6)&lt;='V06 Calend 01'!E12)),IF((41=('V06 Calend 01'!C12+(6*'V06 Calend 01'!E12))),('V06 Calend 01'!H12-('V06 Calend 01'!I12*('V06 Calend 01'!E12-1))),'V06 Calend 01'!I12),0))+IF((41='V06 Calend 01'!D12),'V06 Calend 01'!J12,0))</f>
        <v>0</v>
      </c>
      <c r="BB12" s="2">
        <f>((IF((42='V06 Calend 01'!C12),('V06 Calend 01'!F12+'V06 Calend 01'!G12),0)+IF(AND(('V06 Calend 01'!E12&gt;0),(42&gt;'V06 Calend 01'!C12),(42&lt;'V06 Calend 01'!D12),(MOD((42-'V06 Calend 01'!C12),6)=0),(((42-'V06 Calend 01'!C12)/6)&lt;='V06 Calend 01'!E12)),IF((42=('V06 Calend 01'!C12+(6*'V06 Calend 01'!E12))),('V06 Calend 01'!H12-('V06 Calend 01'!I12*('V06 Calend 01'!E12-1))),'V06 Calend 01'!I12),0))+IF((42='V06 Calend 01'!D12),'V06 Calend 01'!J12,0))</f>
        <v>0</v>
      </c>
      <c r="BC12" s="2">
        <f>((IF((43='V06 Calend 01'!C12),('V06 Calend 01'!F12+'V06 Calend 01'!G12),0)+IF(AND(('V06 Calend 01'!E12&gt;0),(43&gt;'V06 Calend 01'!C12),(43&lt;'V06 Calend 01'!D12),(MOD((43-'V06 Calend 01'!C12),6)=0),(((43-'V06 Calend 01'!C12)/6)&lt;='V06 Calend 01'!E12)),IF((43=('V06 Calend 01'!C12+(6*'V06 Calend 01'!E12))),('V06 Calend 01'!H12-('V06 Calend 01'!I12*('V06 Calend 01'!E12-1))),'V06 Calend 01'!I12),0))+IF((43='V06 Calend 01'!D12),'V06 Calend 01'!J12,0))</f>
        <v>0</v>
      </c>
      <c r="BD12" s="2">
        <f>((IF((44='V06 Calend 01'!C12),('V06 Calend 01'!F12+'V06 Calend 01'!G12),0)+IF(AND(('V06 Calend 01'!E12&gt;0),(44&gt;'V06 Calend 01'!C12),(44&lt;'V06 Calend 01'!D12),(MOD((44-'V06 Calend 01'!C12),6)=0),(((44-'V06 Calend 01'!C12)/6)&lt;='V06 Calend 01'!E12)),IF((44=('V06 Calend 01'!C12+(6*'V06 Calend 01'!E12))),('V06 Calend 01'!H12-('V06 Calend 01'!I12*('V06 Calend 01'!E12-1))),'V06 Calend 01'!I12),0))+IF((44='V06 Calend 01'!D12),'V06 Calend 01'!J12,0))</f>
        <v>0</v>
      </c>
      <c r="BE12" s="2">
        <f>((IF((45='V06 Calend 01'!C12),('V06 Calend 01'!F12+'V06 Calend 01'!G12),0)+IF(AND(('V06 Calend 01'!E12&gt;0),(45&gt;'V06 Calend 01'!C12),(45&lt;'V06 Calend 01'!D12),(MOD((45-'V06 Calend 01'!C12),6)=0),(((45-'V06 Calend 01'!C12)/6)&lt;='V06 Calend 01'!E12)),IF((45=('V06 Calend 01'!C12+(6*'V06 Calend 01'!E12))),('V06 Calend 01'!H12-('V06 Calend 01'!I12*('V06 Calend 01'!E12-1))),'V06 Calend 01'!I12),0))+IF((45='V06 Calend 01'!D12),'V06 Calend 01'!J12,0))</f>
        <v>0</v>
      </c>
      <c r="BF12" s="2">
        <f>((IF((46='V06 Calend 01'!C12),('V06 Calend 01'!F12+'V06 Calend 01'!G12),0)+IF(AND(('V06 Calend 01'!E12&gt;0),(46&gt;'V06 Calend 01'!C12),(46&lt;'V06 Calend 01'!D12),(MOD((46-'V06 Calend 01'!C12),6)=0),(((46-'V06 Calend 01'!C12)/6)&lt;='V06 Calend 01'!E12)),IF((46=('V06 Calend 01'!C12+(6*'V06 Calend 01'!E12))),('V06 Calend 01'!H12-('V06 Calend 01'!I12*('V06 Calend 01'!E12-1))),'V06 Calend 01'!I12),0))+IF((46='V06 Calend 01'!D12),'V06 Calend 01'!J12,0))</f>
        <v>0</v>
      </c>
      <c r="BG12" s="2">
        <f>((IF((47='V06 Calend 01'!C12),('V06 Calend 01'!F12+'V06 Calend 01'!G12),0)+IF(AND(('V06 Calend 01'!E12&gt;0),(47&gt;'V06 Calend 01'!C12),(47&lt;'V06 Calend 01'!D12),(MOD((47-'V06 Calend 01'!C12),6)=0),(((47-'V06 Calend 01'!C12)/6)&lt;='V06 Calend 01'!E12)),IF((47=('V06 Calend 01'!C12+(6*'V06 Calend 01'!E12))),('V06 Calend 01'!H12-('V06 Calend 01'!I12*('V06 Calend 01'!E12-1))),'V06 Calend 01'!I12),0))+IF((47='V06 Calend 01'!D12),'V06 Calend 01'!J12,0))</f>
        <v>0</v>
      </c>
      <c r="BH12" s="2">
        <f>((IF((48='V06 Calend 01'!C12),('V06 Calend 01'!F12+'V06 Calend 01'!G12),0)+IF(AND(('V06 Calend 01'!E12&gt;0),(48&gt;'V06 Calend 01'!C12),(48&lt;'V06 Calend 01'!D12),(MOD((48-'V06 Calend 01'!C12),6)=0),(((48-'V06 Calend 01'!C12)/6)&lt;='V06 Calend 01'!E12)),IF((48=('V06 Calend 01'!C12+(6*'V06 Calend 01'!E12))),('V06 Calend 01'!H12-('V06 Calend 01'!I12*('V06 Calend 01'!E12-1))),'V06 Calend 01'!I12),0))+IF((48='V06 Calend 01'!D12),'V06 Calend 01'!J12,0))</f>
        <v>0</v>
      </c>
      <c r="BI12" s="2">
        <f>((IF((49='V06 Calend 01'!C12),('V06 Calend 01'!F12+'V06 Calend 01'!G12),0)+IF(AND(('V06 Calend 01'!E12&gt;0),(49&gt;'V06 Calend 01'!C12),(49&lt;'V06 Calend 01'!D12),(MOD((49-'V06 Calend 01'!C12),6)=0),(((49-'V06 Calend 01'!C12)/6)&lt;='V06 Calend 01'!E12)),IF((49=('V06 Calend 01'!C12+(6*'V06 Calend 01'!E12))),('V06 Calend 01'!H12-('V06 Calend 01'!I12*('V06 Calend 01'!E12-1))),'V06 Calend 01'!I12),0))+IF((49='V06 Calend 01'!D12),'V06 Calend 01'!J12,0))</f>
        <v>0</v>
      </c>
      <c r="BJ12" s="2">
        <f>((IF((50='V06 Calend 01'!C12),('V06 Calend 01'!F12+'V06 Calend 01'!G12),0)+IF(AND(('V06 Calend 01'!E12&gt;0),(50&gt;'V06 Calend 01'!C12),(50&lt;'V06 Calend 01'!D12),(MOD((50-'V06 Calend 01'!C12),6)=0),(((50-'V06 Calend 01'!C12)/6)&lt;='V06 Calend 01'!E12)),IF((50=('V06 Calend 01'!C12+(6*'V06 Calend 01'!E12))),('V06 Calend 01'!H12-('V06 Calend 01'!I12*('V06 Calend 01'!E12-1))),'V06 Calend 01'!I12),0))+IF((50='V06 Calend 01'!D12),'V06 Calend 01'!J12,0))</f>
        <v>0</v>
      </c>
      <c r="BK12" s="2">
        <f>((IF((51='V06 Calend 01'!C12),('V06 Calend 01'!F12+'V06 Calend 01'!G12),0)+IF(AND(('V06 Calend 01'!E12&gt;0),(51&gt;'V06 Calend 01'!C12),(51&lt;'V06 Calend 01'!D12),(MOD((51-'V06 Calend 01'!C12),6)=0),(((51-'V06 Calend 01'!C12)/6)&lt;='V06 Calend 01'!E12)),IF((51=('V06 Calend 01'!C12+(6*'V06 Calend 01'!E12))),('V06 Calend 01'!H12-('V06 Calend 01'!I12*('V06 Calend 01'!E12-1))),'V06 Calend 01'!I12),0))+IF((51='V06 Calend 01'!D12),'V06 Calend 01'!J12,0))</f>
        <v>0</v>
      </c>
      <c r="BL12" s="2">
        <f>((IF((52='V06 Calend 01'!C12),('V06 Calend 01'!F12+'V06 Calend 01'!G12),0)+IF(AND(('V06 Calend 01'!E12&gt;0),(52&gt;'V06 Calend 01'!C12),(52&lt;'V06 Calend 01'!D12),(MOD((52-'V06 Calend 01'!C12),6)=0),(((52-'V06 Calend 01'!C12)/6)&lt;='V06 Calend 01'!E12)),IF((52=('V06 Calend 01'!C12+(6*'V06 Calend 01'!E12))),('V06 Calend 01'!H12-('V06 Calend 01'!I12*('V06 Calend 01'!E12-1))),'V06 Calend 01'!I12),0))+IF((52='V06 Calend 01'!D12),'V06 Calend 01'!J12,0))</f>
        <v>0</v>
      </c>
      <c r="BM12" s="2">
        <f>((IF((53='V06 Calend 01'!C12),('V06 Calend 01'!F12+'V06 Calend 01'!G12),0)+IF(AND(('V06 Calend 01'!E12&gt;0),(53&gt;'V06 Calend 01'!C12),(53&lt;'V06 Calend 01'!D12),(MOD((53-'V06 Calend 01'!C12),6)=0),(((53-'V06 Calend 01'!C12)/6)&lt;='V06 Calend 01'!E12)),IF((53=('V06 Calend 01'!C12+(6*'V06 Calend 01'!E12))),('V06 Calend 01'!H12-('V06 Calend 01'!I12*('V06 Calend 01'!E12-1))),'V06 Calend 01'!I12),0))+IF((53='V06 Calend 01'!D12),'V06 Calend 01'!J12,0))</f>
        <v>0</v>
      </c>
      <c r="BN12" s="2">
        <f>((IF((54='V06 Calend 01'!C12),('V06 Calend 01'!F12+'V06 Calend 01'!G12),0)+IF(AND(('V06 Calend 01'!E12&gt;0),(54&gt;'V06 Calend 01'!C12),(54&lt;'V06 Calend 01'!D12),(MOD((54-'V06 Calend 01'!C12),6)=0),(((54-'V06 Calend 01'!C12)/6)&lt;='V06 Calend 01'!E12)),IF((54=('V06 Calend 01'!C12+(6*'V06 Calend 01'!E12))),('V06 Calend 01'!H12-('V06 Calend 01'!I12*('V06 Calend 01'!E12-1))),'V06 Calend 01'!I12),0))+IF((54='V06 Calend 01'!D12),'V06 Calend 01'!J12,0))</f>
        <v>0</v>
      </c>
      <c r="BO12" s="2">
        <f>((IF((55='V06 Calend 01'!C12),('V06 Calend 01'!F12+'V06 Calend 01'!G12),0)+IF(AND(('V06 Calend 01'!E12&gt;0),(55&gt;'V06 Calend 01'!C12),(55&lt;'V06 Calend 01'!D12),(MOD((55-'V06 Calend 01'!C12),6)=0),(((55-'V06 Calend 01'!C12)/6)&lt;='V06 Calend 01'!E12)),IF((55=('V06 Calend 01'!C12+(6*'V06 Calend 01'!E12))),('V06 Calend 01'!H12-('V06 Calend 01'!I12*('V06 Calend 01'!E12-1))),'V06 Calend 01'!I12),0))+IF((55='V06 Calend 01'!D12),'V06 Calend 01'!J12,0))</f>
        <v>0</v>
      </c>
      <c r="BP12" s="2">
        <f>((IF((56='V06 Calend 01'!C12),('V06 Calend 01'!F12+'V06 Calend 01'!G12),0)+IF(AND(('V06 Calend 01'!E12&gt;0),(56&gt;'V06 Calend 01'!C12),(56&lt;'V06 Calend 01'!D12),(MOD((56-'V06 Calend 01'!C12),6)=0),(((56-'V06 Calend 01'!C12)/6)&lt;='V06 Calend 01'!E12)),IF((56=('V06 Calend 01'!C12+(6*'V06 Calend 01'!E12))),('V06 Calend 01'!H12-('V06 Calend 01'!I12*('V06 Calend 01'!E12-1))),'V06 Calend 01'!I12),0))+IF((56='V06 Calend 01'!D12),'V06 Calend 01'!J12,0))</f>
        <v>0</v>
      </c>
      <c r="BQ12" s="2">
        <f>((IF((57='V06 Calend 01'!C12),('V06 Calend 01'!F12+'V06 Calend 01'!G12),0)+IF(AND(('V06 Calend 01'!E12&gt;0),(57&gt;'V06 Calend 01'!C12),(57&lt;'V06 Calend 01'!D12),(MOD((57-'V06 Calend 01'!C12),6)=0),(((57-'V06 Calend 01'!C12)/6)&lt;='V06 Calend 01'!E12)),IF((57=('V06 Calend 01'!C12+(6*'V06 Calend 01'!E12))),('V06 Calend 01'!H12-('V06 Calend 01'!I12*('V06 Calend 01'!E12-1))),'V06 Calend 01'!I12),0))+IF((57='V06 Calend 01'!D12),'V06 Calend 01'!J12,0))</f>
        <v>0</v>
      </c>
      <c r="BR12" s="2">
        <f>((IF((58='V06 Calend 01'!C12),('V06 Calend 01'!F12+'V06 Calend 01'!G12),0)+IF(AND(('V06 Calend 01'!E12&gt;0),(58&gt;'V06 Calend 01'!C12),(58&lt;'V06 Calend 01'!D12),(MOD((58-'V06 Calend 01'!C12),6)=0),(((58-'V06 Calend 01'!C12)/6)&lt;='V06 Calend 01'!E12)),IF((58=('V06 Calend 01'!C12+(6*'V06 Calend 01'!E12))),('V06 Calend 01'!H12-('V06 Calend 01'!I12*('V06 Calend 01'!E12-1))),'V06 Calend 01'!I12),0))+IF((58='V06 Calend 01'!D12),'V06 Calend 01'!J12,0))</f>
        <v>0</v>
      </c>
      <c r="BS12" s="2">
        <f>((IF((59='V06 Calend 01'!C12),('V06 Calend 01'!F12+'V06 Calend 01'!G12),0)+IF(AND(('V06 Calend 01'!E12&gt;0),(59&gt;'V06 Calend 01'!C12),(59&lt;'V06 Calend 01'!D12),(MOD((59-'V06 Calend 01'!C12),6)=0),(((59-'V06 Calend 01'!C12)/6)&lt;='V06 Calend 01'!E12)),IF((59=('V06 Calend 01'!C12+(6*'V06 Calend 01'!E12))),('V06 Calend 01'!H12-('V06 Calend 01'!I12*('V06 Calend 01'!E12-1))),'V06 Calend 01'!I12),0))+IF((59='V06 Calend 01'!D12),'V06 Calend 01'!J12,0))</f>
        <v>0</v>
      </c>
      <c r="BT12" s="2">
        <f>((IF((60='V06 Calend 01'!C12),('V06 Calend 01'!F12+'V06 Calend 01'!G12),0)+IF(AND(('V06 Calend 01'!E12&gt;0),(60&gt;'V06 Calend 01'!C12),(60&lt;'V06 Calend 01'!D12),(MOD((60-'V06 Calend 01'!C12),6)=0),(((60-'V06 Calend 01'!C12)/6)&lt;='V06 Calend 01'!E12)),IF((60=('V06 Calend 01'!C12+(6*'V06 Calend 01'!E12))),('V06 Calend 01'!H12-('V06 Calend 01'!I12*('V06 Calend 01'!E12-1))),'V06 Calend 01'!I12),0))+IF((60='V06 Calend 01'!D12),'V06 Calend 01'!J12,0))</f>
        <v>0</v>
      </c>
      <c r="BU12" s="2">
        <f>((IF((61='V06 Calend 01'!C12),('V06 Calend 01'!F12+'V06 Calend 01'!G12),0)+IF(AND(('V06 Calend 01'!E12&gt;0),(61&gt;'V06 Calend 01'!C12),(61&lt;'V06 Calend 01'!D12),(MOD((61-'V06 Calend 01'!C12),6)=0),(((61-'V06 Calend 01'!C12)/6)&lt;='V06 Calend 01'!E12)),IF((61=('V06 Calend 01'!C12+(6*'V06 Calend 01'!E12))),('V06 Calend 01'!H12-('V06 Calend 01'!I12*('V06 Calend 01'!E12-1))),'V06 Calend 01'!I12),0))+IF((61='V06 Calend 01'!D12),'V06 Calend 01'!J12,0))</f>
        <v>0</v>
      </c>
      <c r="BV12" s="2">
        <f>((IF((62='V06 Calend 01'!C12),('V06 Calend 01'!F12+'V06 Calend 01'!G12),0)+IF(AND(('V06 Calend 01'!E12&gt;0),(62&gt;'V06 Calend 01'!C12),(62&lt;'V06 Calend 01'!D12),(MOD((62-'V06 Calend 01'!C12),6)=0),(((62-'V06 Calend 01'!C12)/6)&lt;='V06 Calend 01'!E12)),IF((62=('V06 Calend 01'!C12+(6*'V06 Calend 01'!E12))),('V06 Calend 01'!H12-('V06 Calend 01'!I12*('V06 Calend 01'!E12-1))),'V06 Calend 01'!I12),0))+IF((62='V06 Calend 01'!D12),'V06 Calend 01'!J12,0))</f>
        <v>0</v>
      </c>
      <c r="BW12" s="2">
        <f>((IF((63='V06 Calend 01'!C12),('V06 Calend 01'!F12+'V06 Calend 01'!G12),0)+IF(AND(('V06 Calend 01'!E12&gt;0),(63&gt;'V06 Calend 01'!C12),(63&lt;'V06 Calend 01'!D12),(MOD((63-'V06 Calend 01'!C12),6)=0),(((63-'V06 Calend 01'!C12)/6)&lt;='V06 Calend 01'!E12)),IF((63=('V06 Calend 01'!C12+(6*'V06 Calend 01'!E12))),('V06 Calend 01'!H12-('V06 Calend 01'!I12*('V06 Calend 01'!E12-1))),'V06 Calend 01'!I12),0))+IF((63='V06 Calend 01'!D12),'V06 Calend 01'!J12,0))</f>
        <v>0</v>
      </c>
      <c r="BX12" s="2">
        <f>((IF((64='V06 Calend 01'!C12),('V06 Calend 01'!F12+'V06 Calend 01'!G12),0)+IF(AND(('V06 Calend 01'!E12&gt;0),(64&gt;'V06 Calend 01'!C12),(64&lt;'V06 Calend 01'!D12),(MOD((64-'V06 Calend 01'!C12),6)=0),(((64-'V06 Calend 01'!C12)/6)&lt;='V06 Calend 01'!E12)),IF((64=('V06 Calend 01'!C12+(6*'V06 Calend 01'!E12))),('V06 Calend 01'!H12-('V06 Calend 01'!I12*('V06 Calend 01'!E12-1))),'V06 Calend 01'!I12),0))+IF((64='V06 Calend 01'!D12),'V06 Calend 01'!J12,0))</f>
        <v>0</v>
      </c>
      <c r="BY12" s="2">
        <f>((IF((65='V06 Calend 01'!C12),('V06 Calend 01'!F12+'V06 Calend 01'!G12),0)+IF(AND(('V06 Calend 01'!E12&gt;0),(65&gt;'V06 Calend 01'!C12),(65&lt;'V06 Calend 01'!D12),(MOD((65-'V06 Calend 01'!C12),6)=0),(((65-'V06 Calend 01'!C12)/6)&lt;='V06 Calend 01'!E12)),IF((65=('V06 Calend 01'!C12+(6*'V06 Calend 01'!E12))),('V06 Calend 01'!H12-('V06 Calend 01'!I12*('V06 Calend 01'!E12-1))),'V06 Calend 01'!I12),0))+IF((65='V06 Calend 01'!D12),'V06 Calend 01'!J12,0))</f>
        <v>0</v>
      </c>
      <c r="BZ12" s="2">
        <f>((IF((66='V06 Calend 01'!C12),('V06 Calend 01'!F12+'V06 Calend 01'!G12),0)+IF(AND(('V06 Calend 01'!E12&gt;0),(66&gt;'V06 Calend 01'!C12),(66&lt;'V06 Calend 01'!D12),(MOD((66-'V06 Calend 01'!C12),6)=0),(((66-'V06 Calend 01'!C12)/6)&lt;='V06 Calend 01'!E12)),IF((66=('V06 Calend 01'!C12+(6*'V06 Calend 01'!E12))),('V06 Calend 01'!H12-('V06 Calend 01'!I12*('V06 Calend 01'!E12-1))),'V06 Calend 01'!I12),0))+IF((66='V06 Calend 01'!D12),'V06 Calend 01'!J12,0))</f>
        <v>0</v>
      </c>
      <c r="CA12" s="2">
        <f>((IF((67='V06 Calend 01'!C12),('V06 Calend 01'!F12+'V06 Calend 01'!G12),0)+IF(AND(('V06 Calend 01'!E12&gt;0),(67&gt;'V06 Calend 01'!C12),(67&lt;'V06 Calend 01'!D12),(MOD((67-'V06 Calend 01'!C12),6)=0),(((67-'V06 Calend 01'!C12)/6)&lt;='V06 Calend 01'!E12)),IF((67=('V06 Calend 01'!C12+(6*'V06 Calend 01'!E12))),('V06 Calend 01'!H12-('V06 Calend 01'!I12*('V06 Calend 01'!E12-1))),'V06 Calend 01'!I12),0))+IF((67='V06 Calend 01'!D12),'V06 Calend 01'!J12,0))</f>
        <v>0</v>
      </c>
      <c r="CB12" s="2">
        <f>((IF((68='V06 Calend 01'!C12),('V06 Calend 01'!F12+'V06 Calend 01'!G12),0)+IF(AND(('V06 Calend 01'!E12&gt;0),(68&gt;'V06 Calend 01'!C12),(68&lt;'V06 Calend 01'!D12),(MOD((68-'V06 Calend 01'!C12),6)=0),(((68-'V06 Calend 01'!C12)/6)&lt;='V06 Calend 01'!E12)),IF((68=('V06 Calend 01'!C12+(6*'V06 Calend 01'!E12))),('V06 Calend 01'!H12-('V06 Calend 01'!I12*('V06 Calend 01'!E12-1))),'V06 Calend 01'!I12),0))+IF((68='V06 Calend 01'!D12),'V06 Calend 01'!J12,0))</f>
        <v>0</v>
      </c>
      <c r="CC12" s="2">
        <f>((IF((69='V06 Calend 01'!C12),('V06 Calend 01'!F12+'V06 Calend 01'!G12),0)+IF(AND(('V06 Calend 01'!E12&gt;0),(69&gt;'V06 Calend 01'!C12),(69&lt;'V06 Calend 01'!D12),(MOD((69-'V06 Calend 01'!C12),6)=0),(((69-'V06 Calend 01'!C12)/6)&lt;='V06 Calend 01'!E12)),IF((69=('V06 Calend 01'!C12+(6*'V06 Calend 01'!E12))),('V06 Calend 01'!H12-('V06 Calend 01'!I12*('V06 Calend 01'!E12-1))),'V06 Calend 01'!I12),0))+IF((69='V06 Calend 01'!D12),'V06 Calend 01'!J12,0))</f>
        <v>0</v>
      </c>
      <c r="CD12" s="2">
        <f>((IF((70='V06 Calend 01'!C12),('V06 Calend 01'!F12+'V06 Calend 01'!G12),0)+IF(AND(('V06 Calend 01'!E12&gt;0),(70&gt;'V06 Calend 01'!C12),(70&lt;'V06 Calend 01'!D12),(MOD((70-'V06 Calend 01'!C12),6)=0),(((70-'V06 Calend 01'!C12)/6)&lt;='V06 Calend 01'!E12)),IF((70=('V06 Calend 01'!C12+(6*'V06 Calend 01'!E12))),('V06 Calend 01'!H12-('V06 Calend 01'!I12*('V06 Calend 01'!E12-1))),'V06 Calend 01'!I12),0))+IF((70='V06 Calend 01'!D12),'V06 Calend 01'!J12,0))</f>
        <v>0</v>
      </c>
      <c r="CE12" s="2">
        <f>((IF((71='V06 Calend 01'!C12),('V06 Calend 01'!F12+'V06 Calend 01'!G12),0)+IF(AND(('V06 Calend 01'!E12&gt;0),(71&gt;'V06 Calend 01'!C12),(71&lt;'V06 Calend 01'!D12),(MOD((71-'V06 Calend 01'!C12),6)=0),(((71-'V06 Calend 01'!C12)/6)&lt;='V06 Calend 01'!E12)),IF((71=('V06 Calend 01'!C12+(6*'V06 Calend 01'!E12))),('V06 Calend 01'!H12-('V06 Calend 01'!I12*('V06 Calend 01'!E12-1))),'V06 Calend 01'!I12),0))+IF((71='V06 Calend 01'!D12),'V06 Calend 01'!J12,0))</f>
        <v>0</v>
      </c>
      <c r="CF12" s="2">
        <f>((IF((72='V06 Calend 01'!C12),('V06 Calend 01'!F12+'V06 Calend 01'!G12),0)+IF(AND(('V06 Calend 01'!E12&gt;0),(72&gt;'V06 Calend 01'!C12),(72&lt;'V06 Calend 01'!D12),(MOD((72-'V06 Calend 01'!C12),6)=0),(((72-'V06 Calend 01'!C12)/6)&lt;='V06 Calend 01'!E12)),IF((72=('V06 Calend 01'!C12+(6*'V06 Calend 01'!E12))),('V06 Calend 01'!H12-('V06 Calend 01'!I12*('V06 Calend 01'!E12-1))),'V06 Calend 01'!I12),0))+IF((72='V06 Calend 01'!D12),'V06 Calend 01'!J12,0))</f>
        <v>0</v>
      </c>
      <c r="CG12" s="2">
        <f>((IF((73='V06 Calend 01'!C12),('V06 Calend 01'!F12+'V06 Calend 01'!G12),0)+IF(AND(('V06 Calend 01'!E12&gt;0),(73&gt;'V06 Calend 01'!C12),(73&lt;'V06 Calend 01'!D12),(MOD((73-'V06 Calend 01'!C12),6)=0),(((73-'V06 Calend 01'!C12)/6)&lt;='V06 Calend 01'!E12)),IF((73=('V06 Calend 01'!C12+(6*'V06 Calend 01'!E12))),('V06 Calend 01'!H12-('V06 Calend 01'!I12*('V06 Calend 01'!E12-1))),'V06 Calend 01'!I12),0))+IF((73='V06 Calend 01'!D12),'V06 Calend 01'!J12,0))</f>
        <v>0</v>
      </c>
      <c r="CH12" s="2">
        <f>((IF((74='V06 Calend 01'!C12),('V06 Calend 01'!F12+'V06 Calend 01'!G12),0)+IF(AND(('V06 Calend 01'!E12&gt;0),(74&gt;'V06 Calend 01'!C12),(74&lt;'V06 Calend 01'!D12),(MOD((74-'V06 Calend 01'!C12),6)=0),(((74-'V06 Calend 01'!C12)/6)&lt;='V06 Calend 01'!E12)),IF((74=('V06 Calend 01'!C12+(6*'V06 Calend 01'!E12))),('V06 Calend 01'!H12-('V06 Calend 01'!I12*('V06 Calend 01'!E12-1))),'V06 Calend 01'!I12),0))+IF((74='V06 Calend 01'!D12),'V06 Calend 01'!J12,0))</f>
        <v>0</v>
      </c>
      <c r="CI12" s="2">
        <f>((IF((75='V06 Calend 01'!C12),('V06 Calend 01'!F12+'V06 Calend 01'!G12),0)+IF(AND(('V06 Calend 01'!E12&gt;0),(75&gt;'V06 Calend 01'!C12),(75&lt;'V06 Calend 01'!D12),(MOD((75-'V06 Calend 01'!C12),6)=0),(((75-'V06 Calend 01'!C12)/6)&lt;='V06 Calend 01'!E12)),IF((75=('V06 Calend 01'!C12+(6*'V06 Calend 01'!E12))),('V06 Calend 01'!H12-('V06 Calend 01'!I12*('V06 Calend 01'!E12-1))),'V06 Calend 01'!I12),0))+IF((75='V06 Calend 01'!D12),'V06 Calend 01'!J12,0))</f>
        <v>0</v>
      </c>
      <c r="CJ12" s="2">
        <f>((IF((76='V06 Calend 01'!C12),('V06 Calend 01'!F12+'V06 Calend 01'!G12),0)+IF(AND(('V06 Calend 01'!E12&gt;0),(76&gt;'V06 Calend 01'!C12),(76&lt;'V06 Calend 01'!D12),(MOD((76-'V06 Calend 01'!C12),6)=0),(((76-'V06 Calend 01'!C12)/6)&lt;='V06 Calend 01'!E12)),IF((76=('V06 Calend 01'!C12+(6*'V06 Calend 01'!E12))),('V06 Calend 01'!H12-('V06 Calend 01'!I12*('V06 Calend 01'!E12-1))),'V06 Calend 01'!I12),0))+IF((76='V06 Calend 01'!D12),'V06 Calend 01'!J12,0))</f>
        <v>0</v>
      </c>
      <c r="CK12" s="2">
        <f>((IF((77='V06 Calend 01'!C12),('V06 Calend 01'!F12+'V06 Calend 01'!G12),0)+IF(AND(('V06 Calend 01'!E12&gt;0),(77&gt;'V06 Calend 01'!C12),(77&lt;'V06 Calend 01'!D12),(MOD((77-'V06 Calend 01'!C12),6)=0),(((77-'V06 Calend 01'!C12)/6)&lt;='V06 Calend 01'!E12)),IF((77=('V06 Calend 01'!C12+(6*'V06 Calend 01'!E12))),('V06 Calend 01'!H12-('V06 Calend 01'!I12*('V06 Calend 01'!E12-1))),'V06 Calend 01'!I12),0))+IF((77='V06 Calend 01'!D12),'V06 Calend 01'!J12,0))</f>
        <v>0</v>
      </c>
      <c r="CL12" s="2">
        <f>((IF((78='V06 Calend 01'!C12),('V06 Calend 01'!F12+'V06 Calend 01'!G12),0)+IF(AND(('V06 Calend 01'!E12&gt;0),(78&gt;'V06 Calend 01'!C12),(78&lt;'V06 Calend 01'!D12),(MOD((78-'V06 Calend 01'!C12),6)=0),(((78-'V06 Calend 01'!C12)/6)&lt;='V06 Calend 01'!E12)),IF((78=('V06 Calend 01'!C12+(6*'V06 Calend 01'!E12))),('V06 Calend 01'!H12-('V06 Calend 01'!I12*('V06 Calend 01'!E12-1))),'V06 Calend 01'!I12),0))+IF((78='V06 Calend 01'!D12),'V06 Calend 01'!J12,0))</f>
        <v>0</v>
      </c>
      <c r="CM12" s="2">
        <f>((IF((79='V06 Calend 01'!C12),('V06 Calend 01'!F12+'V06 Calend 01'!G12),0)+IF(AND(('V06 Calend 01'!E12&gt;0),(79&gt;'V06 Calend 01'!C12),(79&lt;'V06 Calend 01'!D12),(MOD((79-'V06 Calend 01'!C12),6)=0),(((79-'V06 Calend 01'!C12)/6)&lt;='V06 Calend 01'!E12)),IF((79=('V06 Calend 01'!C12+(6*'V06 Calend 01'!E12))),('V06 Calend 01'!H12-('V06 Calend 01'!I12*('V06 Calend 01'!E12-1))),'V06 Calend 01'!I12),0))+IF((79='V06 Calend 01'!D12),'V06 Calend 01'!J12,0))</f>
        <v>0</v>
      </c>
      <c r="CN12" s="2">
        <f>((IF((80='V06 Calend 01'!C12),('V06 Calend 01'!F12+'V06 Calend 01'!G12),0)+IF(AND(('V06 Calend 01'!E12&gt;0),(80&gt;'V06 Calend 01'!C12),(80&lt;'V06 Calend 01'!D12),(MOD((80-'V06 Calend 01'!C12),6)=0),(((80-'V06 Calend 01'!C12)/6)&lt;='V06 Calend 01'!E12)),IF((80=('V06 Calend 01'!C12+(6*'V06 Calend 01'!E12))),('V06 Calend 01'!H12-('V06 Calend 01'!I12*('V06 Calend 01'!E12-1))),'V06 Calend 01'!I12),0))+IF((80='V06 Calend 01'!D12),'V06 Calend 01'!J12,0))</f>
        <v>0</v>
      </c>
      <c r="CO12" s="2">
        <f>((IF((81='V06 Calend 01'!C12),('V06 Calend 01'!F12+'V06 Calend 01'!G12),0)+IF(AND(('V06 Calend 01'!E12&gt;0),(81&gt;'V06 Calend 01'!C12),(81&lt;'V06 Calend 01'!D12),(MOD((81-'V06 Calend 01'!C12),6)=0),(((81-'V06 Calend 01'!C12)/6)&lt;='V06 Calend 01'!E12)),IF((81=('V06 Calend 01'!C12+(6*'V06 Calend 01'!E12))),('V06 Calend 01'!H12-('V06 Calend 01'!I12*('V06 Calend 01'!E12-1))),'V06 Calend 01'!I12),0))+IF((81='V06 Calend 01'!D12),'V06 Calend 01'!J12,0))</f>
        <v>0</v>
      </c>
      <c r="CP12" s="2">
        <f>((IF((82='V06 Calend 01'!C12),('V06 Calend 01'!F12+'V06 Calend 01'!G12),0)+IF(AND(('V06 Calend 01'!E12&gt;0),(82&gt;'V06 Calend 01'!C12),(82&lt;'V06 Calend 01'!D12),(MOD((82-'V06 Calend 01'!C12),6)=0),(((82-'V06 Calend 01'!C12)/6)&lt;='V06 Calend 01'!E12)),IF((82=('V06 Calend 01'!C12+(6*'V06 Calend 01'!E12))),('V06 Calend 01'!H12-('V06 Calend 01'!I12*('V06 Calend 01'!E12-1))),'V06 Calend 01'!I12),0))+IF((82='V06 Calend 01'!D12),'V06 Calend 01'!J12,0))</f>
        <v>0</v>
      </c>
      <c r="CQ12" s="2">
        <f>((IF((83='V06 Calend 01'!C12),('V06 Calend 01'!F12+'V06 Calend 01'!G12),0)+IF(AND(('V06 Calend 01'!E12&gt;0),(83&gt;'V06 Calend 01'!C12),(83&lt;'V06 Calend 01'!D12),(MOD((83-'V06 Calend 01'!C12),6)=0),(((83-'V06 Calend 01'!C12)/6)&lt;='V06 Calend 01'!E12)),IF((83=('V06 Calend 01'!C12+(6*'V06 Calend 01'!E12))),('V06 Calend 01'!H12-('V06 Calend 01'!I12*('V06 Calend 01'!E12-1))),'V06 Calend 01'!I12),0))+IF((83='V06 Calend 01'!D12),'V06 Calend 01'!J12,0))</f>
        <v>0</v>
      </c>
      <c r="CR12" s="2">
        <f>((IF((84='V06 Calend 01'!C12),('V06 Calend 01'!F12+'V06 Calend 01'!G12),0)+IF(AND(('V06 Calend 01'!E12&gt;0),(84&gt;'V06 Calend 01'!C12),(84&lt;'V06 Calend 01'!D12),(MOD((84-'V06 Calend 01'!C12),6)=0),(((84-'V06 Calend 01'!C12)/6)&lt;='V06 Calend 01'!E12)),IF((84=('V06 Calend 01'!C12+(6*'V06 Calend 01'!E12))),('V06 Calend 01'!H12-('V06 Calend 01'!I12*('V06 Calend 01'!E12-1))),'V06 Calend 01'!I12),0))+IF((84='V06 Calend 01'!D12),'V06 Calend 01'!J12,0))</f>
        <v>0</v>
      </c>
      <c r="CS12" s="2">
        <f>((IF((85='V06 Calend 01'!C12),('V06 Calend 01'!F12+'V06 Calend 01'!G12),0)+IF(AND(('V06 Calend 01'!E12&gt;0),(85&gt;'V06 Calend 01'!C12),(85&lt;'V06 Calend 01'!D12),(MOD((85-'V06 Calend 01'!C12),6)=0),(((85-'V06 Calend 01'!C12)/6)&lt;='V06 Calend 01'!E12)),IF((85=('V06 Calend 01'!C12+(6*'V06 Calend 01'!E12))),('V06 Calend 01'!H12-('V06 Calend 01'!I12*('V06 Calend 01'!E12-1))),'V06 Calend 01'!I12),0))+IF((85='V06 Calend 01'!D12),'V06 Calend 01'!J12,0))</f>
        <v>0</v>
      </c>
      <c r="CT12" s="2">
        <f>((IF((86='V06 Calend 01'!C12),('V06 Calend 01'!F12+'V06 Calend 01'!G12),0)+IF(AND(('V06 Calend 01'!E12&gt;0),(86&gt;'V06 Calend 01'!C12),(86&lt;'V06 Calend 01'!D12),(MOD((86-'V06 Calend 01'!C12),6)=0),(((86-'V06 Calend 01'!C12)/6)&lt;='V06 Calend 01'!E12)),IF((86=('V06 Calend 01'!C12+(6*'V06 Calend 01'!E12))),('V06 Calend 01'!H12-('V06 Calend 01'!I12*('V06 Calend 01'!E12-1))),'V06 Calend 01'!I12),0))+IF((86='V06 Calend 01'!D12),'V06 Calend 01'!J12,0))</f>
        <v>0</v>
      </c>
      <c r="CU12" s="2">
        <f>((IF((87='V06 Calend 01'!C12),('V06 Calend 01'!F12+'V06 Calend 01'!G12),0)+IF(AND(('V06 Calend 01'!E12&gt;0),(87&gt;'V06 Calend 01'!C12),(87&lt;'V06 Calend 01'!D12),(MOD((87-'V06 Calend 01'!C12),6)=0),(((87-'V06 Calend 01'!C12)/6)&lt;='V06 Calend 01'!E12)),IF((87=('V06 Calend 01'!C12+(6*'V06 Calend 01'!E12))),('V06 Calend 01'!H12-('V06 Calend 01'!I12*('V06 Calend 01'!E12-1))),'V06 Calend 01'!I12),0))+IF((87='V06 Calend 01'!D12),'V06 Calend 01'!J12,0))</f>
        <v>0</v>
      </c>
      <c r="CV12" s="2">
        <f>((IF((88='V06 Calend 01'!C12),('V06 Calend 01'!F12+'V06 Calend 01'!G12),0)+IF(AND(('V06 Calend 01'!E12&gt;0),(88&gt;'V06 Calend 01'!C12),(88&lt;'V06 Calend 01'!D12),(MOD((88-'V06 Calend 01'!C12),6)=0),(((88-'V06 Calend 01'!C12)/6)&lt;='V06 Calend 01'!E12)),IF((88=('V06 Calend 01'!C12+(6*'V06 Calend 01'!E12))),('V06 Calend 01'!H12-('V06 Calend 01'!I12*('V06 Calend 01'!E12-1))),'V06 Calend 01'!I12),0))+IF((88='V06 Calend 01'!D12),'V06 Calend 01'!J12,0))</f>
        <v>0</v>
      </c>
      <c r="CW12" s="2">
        <f>((IF((89='V06 Calend 01'!C12),('V06 Calend 01'!F12+'V06 Calend 01'!G12),0)+IF(AND(('V06 Calend 01'!E12&gt;0),(89&gt;'V06 Calend 01'!C12),(89&lt;'V06 Calend 01'!D12),(MOD((89-'V06 Calend 01'!C12),6)=0),(((89-'V06 Calend 01'!C12)/6)&lt;='V06 Calend 01'!E12)),IF((89=('V06 Calend 01'!C12+(6*'V06 Calend 01'!E12))),('V06 Calend 01'!H12-('V06 Calend 01'!I12*('V06 Calend 01'!E12-1))),'V06 Calend 01'!I12),0))+IF((89='V06 Calend 01'!D12),'V06 Calend 01'!J12,0))</f>
        <v>0</v>
      </c>
      <c r="CX12" s="2">
        <f>((IF((90='V06 Calend 01'!C12),('V06 Calend 01'!F12+'V06 Calend 01'!G12),0)+IF(AND(('V06 Calend 01'!E12&gt;0),(90&gt;'V06 Calend 01'!C12),(90&lt;'V06 Calend 01'!D12),(MOD((90-'V06 Calend 01'!C12),6)=0),(((90-'V06 Calend 01'!C12)/6)&lt;='V06 Calend 01'!E12)),IF((90=('V06 Calend 01'!C12+(6*'V06 Calend 01'!E12))),('V06 Calend 01'!H12-('V06 Calend 01'!I12*('V06 Calend 01'!E12-1))),'V06 Calend 01'!I12),0))+IF((90='V06 Calend 01'!D12),'V06 Calend 01'!J12,0))</f>
        <v>0</v>
      </c>
      <c r="CY12" s="2">
        <f>((IF((91='V06 Calend 01'!C12),('V06 Calend 01'!F12+'V06 Calend 01'!G12),0)+IF(AND(('V06 Calend 01'!E12&gt;0),(91&gt;'V06 Calend 01'!C12),(91&lt;'V06 Calend 01'!D12),(MOD((91-'V06 Calend 01'!C12),6)=0),(((91-'V06 Calend 01'!C12)/6)&lt;='V06 Calend 01'!E12)),IF((91=('V06 Calend 01'!C12+(6*'V06 Calend 01'!E12))),('V06 Calend 01'!H12-('V06 Calend 01'!I12*('V06 Calend 01'!E12-1))),'V06 Calend 01'!I12),0))+IF((91='V06 Calend 01'!D12),'V06 Calend 01'!J12,0))</f>
        <v>0</v>
      </c>
      <c r="CZ12" s="2">
        <f>((IF((92='V06 Calend 01'!C12),('V06 Calend 01'!F12+'V06 Calend 01'!G12),0)+IF(AND(('V06 Calend 01'!E12&gt;0),(92&gt;'V06 Calend 01'!C12),(92&lt;'V06 Calend 01'!D12),(MOD((92-'V06 Calend 01'!C12),6)=0),(((92-'V06 Calend 01'!C12)/6)&lt;='V06 Calend 01'!E12)),IF((92=('V06 Calend 01'!C12+(6*'V06 Calend 01'!E12))),('V06 Calend 01'!H12-('V06 Calend 01'!I12*('V06 Calend 01'!E12-1))),'V06 Calend 01'!I12),0))+IF((92='V06 Calend 01'!D12),'V06 Calend 01'!J12,0))</f>
        <v>0</v>
      </c>
      <c r="DA12" s="2">
        <f>((IF((93='V06 Calend 01'!C12),('V06 Calend 01'!F12+'V06 Calend 01'!G12),0)+IF(AND(('V06 Calend 01'!E12&gt;0),(93&gt;'V06 Calend 01'!C12),(93&lt;'V06 Calend 01'!D12),(MOD((93-'V06 Calend 01'!C12),6)=0),(((93-'V06 Calend 01'!C12)/6)&lt;='V06 Calend 01'!E12)),IF((93=('V06 Calend 01'!C12+(6*'V06 Calend 01'!E12))),('V06 Calend 01'!H12-('V06 Calend 01'!I12*('V06 Calend 01'!E12-1))),'V06 Calend 01'!I12),0))+IF((93='V06 Calend 01'!D12),'V06 Calend 01'!J12,0))</f>
        <v>0</v>
      </c>
      <c r="DB12" s="2">
        <f>((IF((94='V06 Calend 01'!C12),('V06 Calend 01'!F12+'V06 Calend 01'!G12),0)+IF(AND(('V06 Calend 01'!E12&gt;0),(94&gt;'V06 Calend 01'!C12),(94&lt;'V06 Calend 01'!D12),(MOD((94-'V06 Calend 01'!C12),6)=0),(((94-'V06 Calend 01'!C12)/6)&lt;='V06 Calend 01'!E12)),IF((94=('V06 Calend 01'!C12+(6*'V06 Calend 01'!E12))),('V06 Calend 01'!H12-('V06 Calend 01'!I12*('V06 Calend 01'!E12-1))),'V06 Calend 01'!I12),0))+IF((94='V06 Calend 01'!D12),'V06 Calend 01'!J12,0))</f>
        <v>0</v>
      </c>
      <c r="DC12" s="2">
        <f>((IF((95='V06 Calend 01'!C12),('V06 Calend 01'!F12+'V06 Calend 01'!G12),0)+IF(AND(('V06 Calend 01'!E12&gt;0),(95&gt;'V06 Calend 01'!C12),(95&lt;'V06 Calend 01'!D12),(MOD((95-'V06 Calend 01'!C12),6)=0),(((95-'V06 Calend 01'!C12)/6)&lt;='V06 Calend 01'!E12)),IF((95=('V06 Calend 01'!C12+(6*'V06 Calend 01'!E12))),('V06 Calend 01'!H12-('V06 Calend 01'!I12*('V06 Calend 01'!E12-1))),'V06 Calend 01'!I12),0))+IF((95='V06 Calend 01'!D12),'V06 Calend 01'!J12,0))</f>
        <v>0</v>
      </c>
      <c r="DD12" s="2">
        <f>((IF((96='V06 Calend 01'!C12),('V06 Calend 01'!F12+'V06 Calend 01'!G12),0)+IF(AND(('V06 Calend 01'!E12&gt;0),(96&gt;'V06 Calend 01'!C12),(96&lt;'V06 Calend 01'!D12),(MOD((96-'V06 Calend 01'!C12),6)=0),(((96-'V06 Calend 01'!C12)/6)&lt;='V06 Calend 01'!E12)),IF((96=('V06 Calend 01'!C12+(6*'V06 Calend 01'!E12))),('V06 Calend 01'!H12-('V06 Calend 01'!I12*('V06 Calend 01'!E12-1))),'V06 Calend 01'!I12),0))+IF((96='V06 Calend 01'!D12),'V06 Calend 01'!J12,0))</f>
        <v>0</v>
      </c>
      <c r="DE12" s="2">
        <f>((IF((97='V06 Calend 01'!C12),('V06 Calend 01'!F12+'V06 Calend 01'!G12),0)+IF(AND(('V06 Calend 01'!E12&gt;0),(97&gt;'V06 Calend 01'!C12),(97&lt;'V06 Calend 01'!D12),(MOD((97-'V06 Calend 01'!C12),6)=0),(((97-'V06 Calend 01'!C12)/6)&lt;='V06 Calend 01'!E12)),IF((97=('V06 Calend 01'!C12+(6*'V06 Calend 01'!E12))),('V06 Calend 01'!H12-('V06 Calend 01'!I12*('V06 Calend 01'!E12-1))),'V06 Calend 01'!I12),0))+IF((97='V06 Calend 01'!D12),'V06 Calend 01'!J12,0))</f>
        <v>0</v>
      </c>
      <c r="DF12" s="2">
        <f>((IF((98='V06 Calend 01'!C12),('V06 Calend 01'!F12+'V06 Calend 01'!G12),0)+IF(AND(('V06 Calend 01'!E12&gt;0),(98&gt;'V06 Calend 01'!C12),(98&lt;'V06 Calend 01'!D12),(MOD((98-'V06 Calend 01'!C12),6)=0),(((98-'V06 Calend 01'!C12)/6)&lt;='V06 Calend 01'!E12)),IF((98=('V06 Calend 01'!C12+(6*'V06 Calend 01'!E12))),('V06 Calend 01'!H12-('V06 Calend 01'!I12*('V06 Calend 01'!E12-1))),'V06 Calend 01'!I12),0))+IF((98='V06 Calend 01'!D12),'V06 Calend 01'!J12,0))</f>
        <v>0</v>
      </c>
      <c r="DG12" s="2">
        <f>((IF((99='V06 Calend 01'!C12),('V06 Calend 01'!F12+'V06 Calend 01'!G12),0)+IF(AND(('V06 Calend 01'!E12&gt;0),(99&gt;'V06 Calend 01'!C12),(99&lt;'V06 Calend 01'!D12),(MOD((99-'V06 Calend 01'!C12),6)=0),(((99-'V06 Calend 01'!C12)/6)&lt;='V06 Calend 01'!E12)),IF((99=('V06 Calend 01'!C12+(6*'V06 Calend 01'!E12))),('V06 Calend 01'!H12-('V06 Calend 01'!I12*('V06 Calend 01'!E12-1))),'V06 Calend 01'!I12),0))+IF((99='V06 Calend 01'!D12),'V06 Calend 01'!J12,0))</f>
        <v>0</v>
      </c>
      <c r="DH12" s="2">
        <f>((IF((100='V06 Calend 01'!C12),('V06 Calend 01'!F12+'V06 Calend 01'!G12),0)+IF(AND(('V06 Calend 01'!E12&gt;0),(100&gt;'V06 Calend 01'!C12),(100&lt;'V06 Calend 01'!D12),(MOD((100-'V06 Calend 01'!C12),6)=0),(((100-'V06 Calend 01'!C12)/6)&lt;='V06 Calend 01'!E12)),IF((100=('V06 Calend 01'!C12+(6*'V06 Calend 01'!E12))),('V06 Calend 01'!H12-('V06 Calend 01'!I12*('V06 Calend 01'!E12-1))),'V06 Calend 01'!I12),0))+IF((100='V06 Calend 01'!D12),'V06 Calend 01'!J12,0))</f>
        <v>0</v>
      </c>
      <c r="DI12" s="2">
        <f>((IF((101='V06 Calend 01'!C12),('V06 Calend 01'!F12+'V06 Calend 01'!G12),0)+IF(AND(('V06 Calend 01'!E12&gt;0),(101&gt;'V06 Calend 01'!C12),(101&lt;'V06 Calend 01'!D12),(MOD((101-'V06 Calend 01'!C12),6)=0),(((101-'V06 Calend 01'!C12)/6)&lt;='V06 Calend 01'!E12)),IF((101=('V06 Calend 01'!C12+(6*'V06 Calend 01'!E12))),('V06 Calend 01'!H12-('V06 Calend 01'!I12*('V06 Calend 01'!E12-1))),'V06 Calend 01'!I12),0))+IF((101='V06 Calend 01'!D12),'V06 Calend 01'!J12,0))</f>
        <v>0</v>
      </c>
      <c r="DJ12" s="2">
        <f>((IF((102='V06 Calend 01'!C12),('V06 Calend 01'!F12+'V06 Calend 01'!G12),0)+IF(AND(('V06 Calend 01'!E12&gt;0),(102&gt;'V06 Calend 01'!C12),(102&lt;'V06 Calend 01'!D12),(MOD((102-'V06 Calend 01'!C12),6)=0),(((102-'V06 Calend 01'!C12)/6)&lt;='V06 Calend 01'!E12)),IF((102=('V06 Calend 01'!C12+(6*'V06 Calend 01'!E12))),('V06 Calend 01'!H12-('V06 Calend 01'!I12*('V06 Calend 01'!E12-1))),'V06 Calend 01'!I12),0))+IF((102='V06 Calend 01'!D12),'V06 Calend 01'!J12,0))</f>
        <v>0</v>
      </c>
      <c r="DK12" s="2">
        <f>((IF((103='V06 Calend 01'!C12),('V06 Calend 01'!F12+'V06 Calend 01'!G12),0)+IF(AND(('V06 Calend 01'!E12&gt;0),(103&gt;'V06 Calend 01'!C12),(103&lt;'V06 Calend 01'!D12),(MOD((103-'V06 Calend 01'!C12),6)=0),(((103-'V06 Calend 01'!C12)/6)&lt;='V06 Calend 01'!E12)),IF((103=('V06 Calend 01'!C12+(6*'V06 Calend 01'!E12))),('V06 Calend 01'!H12-('V06 Calend 01'!I12*('V06 Calend 01'!E12-1))),'V06 Calend 01'!I12),0))+IF((103='V06 Calend 01'!D12),'V06 Calend 01'!J12,0))</f>
        <v>0</v>
      </c>
      <c r="DL12" s="2">
        <f>((IF((104='V06 Calend 01'!C12),('V06 Calend 01'!F12+'V06 Calend 01'!G12),0)+IF(AND(('V06 Calend 01'!E12&gt;0),(104&gt;'V06 Calend 01'!C12),(104&lt;'V06 Calend 01'!D12),(MOD((104-'V06 Calend 01'!C12),6)=0),(((104-'V06 Calend 01'!C12)/6)&lt;='V06 Calend 01'!E12)),IF((104=('V06 Calend 01'!C12+(6*'V06 Calend 01'!E12))),('V06 Calend 01'!H12-('V06 Calend 01'!I12*('V06 Calend 01'!E12-1))),'V06 Calend 01'!I12),0))+IF((104='V06 Calend 01'!D12),'V06 Calend 01'!J12,0))</f>
        <v>0</v>
      </c>
      <c r="DM12" s="2">
        <f>((IF((105='V06 Calend 01'!C12),('V06 Calend 01'!F12+'V06 Calend 01'!G12),0)+IF(AND(('V06 Calend 01'!E12&gt;0),(105&gt;'V06 Calend 01'!C12),(105&lt;'V06 Calend 01'!D12),(MOD((105-'V06 Calend 01'!C12),6)=0),(((105-'V06 Calend 01'!C12)/6)&lt;='V06 Calend 01'!E12)),IF((105=('V06 Calend 01'!C12+(6*'V06 Calend 01'!E12))),('V06 Calend 01'!H12-('V06 Calend 01'!I12*('V06 Calend 01'!E12-1))),'V06 Calend 01'!I12),0))+IF((105='V06 Calend 01'!D12),'V06 Calend 01'!J12,0))</f>
        <v>0</v>
      </c>
      <c r="DN12" s="2">
        <f>((IF((106='V06 Calend 01'!C12),('V06 Calend 01'!F12+'V06 Calend 01'!G12),0)+IF(AND(('V06 Calend 01'!E12&gt;0),(106&gt;'V06 Calend 01'!C12),(106&lt;'V06 Calend 01'!D12),(MOD((106-'V06 Calend 01'!C12),6)=0),(((106-'V06 Calend 01'!C12)/6)&lt;='V06 Calend 01'!E12)),IF((106=('V06 Calend 01'!C12+(6*'V06 Calend 01'!E12))),('V06 Calend 01'!H12-('V06 Calend 01'!I12*('V06 Calend 01'!E12-1))),'V06 Calend 01'!I12),0))+IF((106='V06 Calend 01'!D12),'V06 Calend 01'!J12,0))</f>
        <v>0</v>
      </c>
      <c r="DO12" s="2">
        <f>((IF((107='V06 Calend 01'!C12),('V06 Calend 01'!F12+'V06 Calend 01'!G12),0)+IF(AND(('V06 Calend 01'!E12&gt;0),(107&gt;'V06 Calend 01'!C12),(107&lt;'V06 Calend 01'!D12),(MOD((107-'V06 Calend 01'!C12),6)=0),(((107-'V06 Calend 01'!C12)/6)&lt;='V06 Calend 01'!E12)),IF((107=('V06 Calend 01'!C12+(6*'V06 Calend 01'!E12))),('V06 Calend 01'!H12-('V06 Calend 01'!I12*('V06 Calend 01'!E12-1))),'V06 Calend 01'!I12),0))+IF((107='V06 Calend 01'!D12),'V06 Calend 01'!J12,0))</f>
        <v>0</v>
      </c>
      <c r="DP12" s="2">
        <f>((IF((108='V06 Calend 01'!C12),('V06 Calend 01'!F12+'V06 Calend 01'!G12),0)+IF(AND(('V06 Calend 01'!E12&gt;0),(108&gt;'V06 Calend 01'!C12),(108&lt;'V06 Calend 01'!D12),(MOD((108-'V06 Calend 01'!C12),6)=0),(((108-'V06 Calend 01'!C12)/6)&lt;='V06 Calend 01'!E12)),IF((108=('V06 Calend 01'!C12+(6*'V06 Calend 01'!E12))),('V06 Calend 01'!H12-('V06 Calend 01'!I12*('V06 Calend 01'!E12-1))),'V06 Calend 01'!I12),0))+IF((108='V06 Calend 01'!D12),'V06 Calend 01'!J12,0))</f>
        <v>0</v>
      </c>
      <c r="DQ12" s="2">
        <f>((IF((109='V06 Calend 01'!C12),('V06 Calend 01'!F12+'V06 Calend 01'!G12),0)+IF(AND(('V06 Calend 01'!E12&gt;0),(109&gt;'V06 Calend 01'!C12),(109&lt;'V06 Calend 01'!D12),(MOD((109-'V06 Calend 01'!C12),6)=0),(((109-'V06 Calend 01'!C12)/6)&lt;='V06 Calend 01'!E12)),IF((109=('V06 Calend 01'!C12+(6*'V06 Calend 01'!E12))),('V06 Calend 01'!H12-('V06 Calend 01'!I12*('V06 Calend 01'!E12-1))),'V06 Calend 01'!I12),0))+IF((109='V06 Calend 01'!D12),'V06 Calend 01'!J12,0))</f>
        <v>0</v>
      </c>
      <c r="DR12" s="2">
        <f>((IF((110='V06 Calend 01'!C12),('V06 Calend 01'!F12+'V06 Calend 01'!G12),0)+IF(AND(('V06 Calend 01'!E12&gt;0),(110&gt;'V06 Calend 01'!C12),(110&lt;'V06 Calend 01'!D12),(MOD((110-'V06 Calend 01'!C12),6)=0),(((110-'V06 Calend 01'!C12)/6)&lt;='V06 Calend 01'!E12)),IF((110=('V06 Calend 01'!C12+(6*'V06 Calend 01'!E12))),('V06 Calend 01'!H12-('V06 Calend 01'!I12*('V06 Calend 01'!E12-1))),'V06 Calend 01'!I12),0))+IF((110='V06 Calend 01'!D12),'V06 Calend 01'!J12,0))</f>
        <v>0</v>
      </c>
      <c r="DS12" s="2">
        <f>((IF((111='V06 Calend 01'!C12),('V06 Calend 01'!F12+'V06 Calend 01'!G12),0)+IF(AND(('V06 Calend 01'!E12&gt;0),(111&gt;'V06 Calend 01'!C12),(111&lt;'V06 Calend 01'!D12),(MOD((111-'V06 Calend 01'!C12),6)=0),(((111-'V06 Calend 01'!C12)/6)&lt;='V06 Calend 01'!E12)),IF((111=('V06 Calend 01'!C12+(6*'V06 Calend 01'!E12))),('V06 Calend 01'!H12-('V06 Calend 01'!I12*('V06 Calend 01'!E12-1))),'V06 Calend 01'!I12),0))+IF((111='V06 Calend 01'!D12),'V06 Calend 01'!J12,0))</f>
        <v>0</v>
      </c>
      <c r="DT12" s="2">
        <f>((IF((112='V06 Calend 01'!C12),('V06 Calend 01'!F12+'V06 Calend 01'!G12),0)+IF(AND(('V06 Calend 01'!E12&gt;0),(112&gt;'V06 Calend 01'!C12),(112&lt;'V06 Calend 01'!D12),(MOD((112-'V06 Calend 01'!C12),6)=0),(((112-'V06 Calend 01'!C12)/6)&lt;='V06 Calend 01'!E12)),IF((112=('V06 Calend 01'!C12+(6*'V06 Calend 01'!E12))),('V06 Calend 01'!H12-('V06 Calend 01'!I12*('V06 Calend 01'!E12-1))),'V06 Calend 01'!I12),0))+IF((112='V06 Calend 01'!D12),'V06 Calend 01'!J12,0))</f>
        <v>0</v>
      </c>
      <c r="DU12" s="2">
        <f>((IF((113='V06 Calend 01'!C12),('V06 Calend 01'!F12+'V06 Calend 01'!G12),0)+IF(AND(('V06 Calend 01'!E12&gt;0),(113&gt;'V06 Calend 01'!C12),(113&lt;'V06 Calend 01'!D12),(MOD((113-'V06 Calend 01'!C12),6)=0),(((113-'V06 Calend 01'!C12)/6)&lt;='V06 Calend 01'!E12)),IF((113=('V06 Calend 01'!C12+(6*'V06 Calend 01'!E12))),('V06 Calend 01'!H12-('V06 Calend 01'!I12*('V06 Calend 01'!E12-1))),'V06 Calend 01'!I12),0))+IF((113='V06 Calend 01'!D12),'V06 Calend 01'!J12,0))</f>
        <v>0</v>
      </c>
      <c r="DV12" s="2">
        <f>((IF((114='V06 Calend 01'!C12),('V06 Calend 01'!F12+'V06 Calend 01'!G12),0)+IF(AND(('V06 Calend 01'!E12&gt;0),(114&gt;'V06 Calend 01'!C12),(114&lt;'V06 Calend 01'!D12),(MOD((114-'V06 Calend 01'!C12),6)=0),(((114-'V06 Calend 01'!C12)/6)&lt;='V06 Calend 01'!E12)),IF((114=('V06 Calend 01'!C12+(6*'V06 Calend 01'!E12))),('V06 Calend 01'!H12-('V06 Calend 01'!I12*('V06 Calend 01'!E12-1))),'V06 Calend 01'!I12),0))+IF((114='V06 Calend 01'!D12),'V06 Calend 01'!J12,0))</f>
        <v>0</v>
      </c>
      <c r="DW12" s="2">
        <f>((IF((115='V06 Calend 01'!C12),('V06 Calend 01'!F12+'V06 Calend 01'!G12),0)+IF(AND(('V06 Calend 01'!E12&gt;0),(115&gt;'V06 Calend 01'!C12),(115&lt;'V06 Calend 01'!D12),(MOD((115-'V06 Calend 01'!C12),6)=0),(((115-'V06 Calend 01'!C12)/6)&lt;='V06 Calend 01'!E12)),IF((115=('V06 Calend 01'!C12+(6*'V06 Calend 01'!E12))),('V06 Calend 01'!H12-('V06 Calend 01'!I12*('V06 Calend 01'!E12-1))),'V06 Calend 01'!I12),0))+IF((115='V06 Calend 01'!D12),'V06 Calend 01'!J12,0))</f>
        <v>0</v>
      </c>
      <c r="DX12" s="2">
        <f>((IF((116='V06 Calend 01'!C12),('V06 Calend 01'!F12+'V06 Calend 01'!G12),0)+IF(AND(('V06 Calend 01'!E12&gt;0),(116&gt;'V06 Calend 01'!C12),(116&lt;'V06 Calend 01'!D12),(MOD((116-'V06 Calend 01'!C12),6)=0),(((116-'V06 Calend 01'!C12)/6)&lt;='V06 Calend 01'!E12)),IF((116=('V06 Calend 01'!C12+(6*'V06 Calend 01'!E12))),('V06 Calend 01'!H12-('V06 Calend 01'!I12*('V06 Calend 01'!E12-1))),'V06 Calend 01'!I12),0))+IF((116='V06 Calend 01'!D12),'V06 Calend 01'!J12,0))</f>
        <v>0</v>
      </c>
      <c r="DY12" s="2">
        <f>((IF((117='V06 Calend 01'!C12),('V06 Calend 01'!F12+'V06 Calend 01'!G12),0)+IF(AND(('V06 Calend 01'!E12&gt;0),(117&gt;'V06 Calend 01'!C12),(117&lt;'V06 Calend 01'!D12),(MOD((117-'V06 Calend 01'!C12),6)=0),(((117-'V06 Calend 01'!C12)/6)&lt;='V06 Calend 01'!E12)),IF((117=('V06 Calend 01'!C12+(6*'V06 Calend 01'!E12))),('V06 Calend 01'!H12-('V06 Calend 01'!I12*('V06 Calend 01'!E12-1))),'V06 Calend 01'!I12),0))+IF((117='V06 Calend 01'!D12),'V06 Calend 01'!J12,0))</f>
        <v>0</v>
      </c>
      <c r="DZ12" s="2">
        <f>((IF((118='V06 Calend 01'!C12),('V06 Calend 01'!F12+'V06 Calend 01'!G12),0)+IF(AND(('V06 Calend 01'!E12&gt;0),(118&gt;'V06 Calend 01'!C12),(118&lt;'V06 Calend 01'!D12),(MOD((118-'V06 Calend 01'!C12),6)=0),(((118-'V06 Calend 01'!C12)/6)&lt;='V06 Calend 01'!E12)),IF((118=('V06 Calend 01'!C12+(6*'V06 Calend 01'!E12))),('V06 Calend 01'!H12-('V06 Calend 01'!I12*('V06 Calend 01'!E12-1))),'V06 Calend 01'!I12),0))+IF((118='V06 Calend 01'!D12),'V06 Calend 01'!J12,0))</f>
        <v>0</v>
      </c>
      <c r="EA12" s="2">
        <f>((IF((119='V06 Calend 01'!C12),('V06 Calend 01'!F12+'V06 Calend 01'!G12),0)+IF(AND(('V06 Calend 01'!E12&gt;0),(119&gt;'V06 Calend 01'!C12),(119&lt;'V06 Calend 01'!D12),(MOD((119-'V06 Calend 01'!C12),6)=0),(((119-'V06 Calend 01'!C12)/6)&lt;='V06 Calend 01'!E12)),IF((119=('V06 Calend 01'!C12+(6*'V06 Calend 01'!E12))),('V06 Calend 01'!H12-('V06 Calend 01'!I12*('V06 Calend 01'!E12-1))),'V06 Calend 01'!I12),0))+IF((119='V06 Calend 01'!D12),'V06 Calend 01'!J12,0))</f>
        <v>0</v>
      </c>
      <c r="EB12" s="2">
        <f>((IF((120='V06 Calend 01'!C12),('V06 Calend 01'!F12+'V06 Calend 01'!G12),0)+IF(AND(('V06 Calend 01'!E12&gt;0),(120&gt;'V06 Calend 01'!C12),(120&lt;'V06 Calend 01'!D12),(MOD((120-'V06 Calend 01'!C12),6)=0),(((120-'V06 Calend 01'!C12)/6)&lt;='V06 Calend 01'!E12)),IF((120=('V06 Calend 01'!C12+(6*'V06 Calend 01'!E12))),('V06 Calend 01'!H12-('V06 Calend 01'!I12*('V06 Calend 01'!E12-1))),'V06 Calend 01'!I12),0))+IF((120='V06 Calend 01'!D12),'V06 Calend 01'!J12,0))</f>
        <v>0</v>
      </c>
      <c r="EC12" s="2">
        <f>((IF((121='V06 Calend 01'!C12),('V06 Calend 01'!F12+'V06 Calend 01'!G12),0)+IF(AND(('V06 Calend 01'!E12&gt;0),(121&gt;'V06 Calend 01'!C12),(121&lt;'V06 Calend 01'!D12),(MOD((121-'V06 Calend 01'!C12),6)=0),(((121-'V06 Calend 01'!C12)/6)&lt;='V06 Calend 01'!E12)),IF((121=('V06 Calend 01'!C12+(6*'V06 Calend 01'!E12))),('V06 Calend 01'!H12-('V06 Calend 01'!I12*('V06 Calend 01'!E12-1))),'V06 Calend 01'!I12),0))+IF((121='V06 Calend 01'!D12),'V06 Calend 01'!J12,0))</f>
        <v>0</v>
      </c>
      <c r="ED12" s="2">
        <f>((IF((122='V06 Calend 01'!C12),('V06 Calend 01'!F12+'V06 Calend 01'!G12),0)+IF(AND(('V06 Calend 01'!E12&gt;0),(122&gt;'V06 Calend 01'!C12),(122&lt;'V06 Calend 01'!D12),(MOD((122-'V06 Calend 01'!C12),6)=0),(((122-'V06 Calend 01'!C12)/6)&lt;='V06 Calend 01'!E12)),IF((122=('V06 Calend 01'!C12+(6*'V06 Calend 01'!E12))),('V06 Calend 01'!H12-('V06 Calend 01'!I12*('V06 Calend 01'!E12-1))),'V06 Calend 01'!I12),0))+IF((122='V06 Calend 01'!D12),'V06 Calend 01'!J12,0))</f>
        <v>0</v>
      </c>
      <c r="EE12" s="2">
        <f>((IF((123='V06 Calend 01'!C12),('V06 Calend 01'!F12+'V06 Calend 01'!G12),0)+IF(AND(('V06 Calend 01'!E12&gt;0),(123&gt;'V06 Calend 01'!C12),(123&lt;'V06 Calend 01'!D12),(MOD((123-'V06 Calend 01'!C12),6)=0),(((123-'V06 Calend 01'!C12)/6)&lt;='V06 Calend 01'!E12)),IF((123=('V06 Calend 01'!C12+(6*'V06 Calend 01'!E12))),('V06 Calend 01'!H12-('V06 Calend 01'!I12*('V06 Calend 01'!E12-1))),'V06 Calend 01'!I12),0))+IF((123='V06 Calend 01'!D12),'V06 Calend 01'!J12,0))</f>
        <v>0</v>
      </c>
      <c r="EF12" s="2">
        <f>((IF((124='V06 Calend 01'!C12),('V06 Calend 01'!F12+'V06 Calend 01'!G12),0)+IF(AND(('V06 Calend 01'!E12&gt;0),(124&gt;'V06 Calend 01'!C12),(124&lt;'V06 Calend 01'!D12),(MOD((124-'V06 Calend 01'!C12),6)=0),(((124-'V06 Calend 01'!C12)/6)&lt;='V06 Calend 01'!E12)),IF((124=('V06 Calend 01'!C12+(6*'V06 Calend 01'!E12))),('V06 Calend 01'!H12-('V06 Calend 01'!I12*('V06 Calend 01'!E12-1))),'V06 Calend 01'!I12),0))+IF((124='V06 Calend 01'!D12),'V06 Calend 01'!J12,0))</f>
        <v>0</v>
      </c>
      <c r="EG12" s="2">
        <f>((IF((125='V06 Calend 01'!C12),('V06 Calend 01'!F12+'V06 Calend 01'!G12),0)+IF(AND(('V06 Calend 01'!E12&gt;0),(125&gt;'V06 Calend 01'!C12),(125&lt;'V06 Calend 01'!D12),(MOD((125-'V06 Calend 01'!C12),6)=0),(((125-'V06 Calend 01'!C12)/6)&lt;='V06 Calend 01'!E12)),IF((125=('V06 Calend 01'!C12+(6*'V06 Calend 01'!E12))),('V06 Calend 01'!H12-('V06 Calend 01'!I12*('V06 Calend 01'!E12-1))),'V06 Calend 01'!I12),0))+IF((125='V06 Calend 01'!D12),'V06 Calend 01'!J12,0))</f>
        <v>0</v>
      </c>
      <c r="EH12" s="2">
        <f>((IF((126='V06 Calend 01'!C12),('V06 Calend 01'!F12+'V06 Calend 01'!G12),0)+IF(AND(('V06 Calend 01'!E12&gt;0),(126&gt;'V06 Calend 01'!C12),(126&lt;'V06 Calend 01'!D12),(MOD((126-'V06 Calend 01'!C12),6)=0),(((126-'V06 Calend 01'!C12)/6)&lt;='V06 Calend 01'!E12)),IF((126=('V06 Calend 01'!C12+(6*'V06 Calend 01'!E12))),('V06 Calend 01'!H12-('V06 Calend 01'!I12*('V06 Calend 01'!E12-1))),'V06 Calend 01'!I12),0))+IF((126='V06 Calend 01'!D12),'V06 Calend 01'!J12,0))</f>
        <v>0</v>
      </c>
      <c r="EI12" s="2">
        <f>((IF((127='V06 Calend 01'!C12),('V06 Calend 01'!F12+'V06 Calend 01'!G12),0)+IF(AND(('V06 Calend 01'!E12&gt;0),(127&gt;'V06 Calend 01'!C12),(127&lt;'V06 Calend 01'!D12),(MOD((127-'V06 Calend 01'!C12),6)=0),(((127-'V06 Calend 01'!C12)/6)&lt;='V06 Calend 01'!E12)),IF((127=('V06 Calend 01'!C12+(6*'V06 Calend 01'!E12))),('V06 Calend 01'!H12-('V06 Calend 01'!I12*('V06 Calend 01'!E12-1))),'V06 Calend 01'!I12),0))+IF((127='V06 Calend 01'!D12),'V06 Calend 01'!J12,0))</f>
        <v>0</v>
      </c>
      <c r="EJ12" s="2">
        <f>((IF((128='V06 Calend 01'!C12),('V06 Calend 01'!F12+'V06 Calend 01'!G12),0)+IF(AND(('V06 Calend 01'!E12&gt;0),(128&gt;'V06 Calend 01'!C12),(128&lt;'V06 Calend 01'!D12),(MOD((128-'V06 Calend 01'!C12),6)=0),(((128-'V06 Calend 01'!C12)/6)&lt;='V06 Calend 01'!E12)),IF((128=('V06 Calend 01'!C12+(6*'V06 Calend 01'!E12))),('V06 Calend 01'!H12-('V06 Calend 01'!I12*('V06 Calend 01'!E12-1))),'V06 Calend 01'!I12),0))+IF((128='V06 Calend 01'!D12),'V06 Calend 01'!J12,0))</f>
        <v>0</v>
      </c>
      <c r="EK12" s="2">
        <f>((IF((129='V06 Calend 01'!C12),('V06 Calend 01'!F12+'V06 Calend 01'!G12),0)+IF(AND(('V06 Calend 01'!E12&gt;0),(129&gt;'V06 Calend 01'!C12),(129&lt;'V06 Calend 01'!D12),(MOD((129-'V06 Calend 01'!C12),6)=0),(((129-'V06 Calend 01'!C12)/6)&lt;='V06 Calend 01'!E12)),IF((129=('V06 Calend 01'!C12+(6*'V06 Calend 01'!E12))),('V06 Calend 01'!H12-('V06 Calend 01'!I12*('V06 Calend 01'!E12-1))),'V06 Calend 01'!I12),0))+IF((129='V06 Calend 01'!D12),'V06 Calend 01'!J12,0))</f>
        <v>0</v>
      </c>
      <c r="EL12" s="2">
        <f>((IF((130='V06 Calend 01'!C12),('V06 Calend 01'!F12+'V06 Calend 01'!G12),0)+IF(AND(('V06 Calend 01'!E12&gt;0),(130&gt;'V06 Calend 01'!C12),(130&lt;'V06 Calend 01'!D12),(MOD((130-'V06 Calend 01'!C12),6)=0),(((130-'V06 Calend 01'!C12)/6)&lt;='V06 Calend 01'!E12)),IF((130=('V06 Calend 01'!C12+(6*'V06 Calend 01'!E12))),('V06 Calend 01'!H12-('V06 Calend 01'!I12*('V06 Calend 01'!E12-1))),'V06 Calend 01'!I12),0))+IF((130='V06 Calend 01'!D12),'V06 Calend 01'!J12,0))</f>
        <v>0</v>
      </c>
      <c r="EM12" s="2">
        <f>((IF((131='V06 Calend 01'!C12),('V06 Calend 01'!F12+'V06 Calend 01'!G12),0)+IF(AND(('V06 Calend 01'!E12&gt;0),(131&gt;'V06 Calend 01'!C12),(131&lt;'V06 Calend 01'!D12),(MOD((131-'V06 Calend 01'!C12),6)=0),(((131-'V06 Calend 01'!C12)/6)&lt;='V06 Calend 01'!E12)),IF((131=('V06 Calend 01'!C12+(6*'V06 Calend 01'!E12))),('V06 Calend 01'!H12-('V06 Calend 01'!I12*('V06 Calend 01'!E12-1))),'V06 Calend 01'!I12),0))+IF((131='V06 Calend 01'!D12),'V06 Calend 01'!J12,0))</f>
        <v>0</v>
      </c>
      <c r="EN12" s="2">
        <f>((IF((132='V06 Calend 01'!C12),('V06 Calend 01'!F12+'V06 Calend 01'!G12),0)+IF(AND(('V06 Calend 01'!E12&gt;0),(132&gt;'V06 Calend 01'!C12),(132&lt;'V06 Calend 01'!D12),(MOD((132-'V06 Calend 01'!C12),6)=0),(((132-'V06 Calend 01'!C12)/6)&lt;='V06 Calend 01'!E12)),IF((132=('V06 Calend 01'!C12+(6*'V06 Calend 01'!E12))),('V06 Calend 01'!H12-('V06 Calend 01'!I12*('V06 Calend 01'!E12-1))),'V06 Calend 01'!I12),0))+IF((132='V06 Calend 01'!D12),'V06 Calend 01'!J12,0))</f>
        <v>0</v>
      </c>
      <c r="EO12" s="2">
        <f>((IF((133='V06 Calend 01'!C12),('V06 Calend 01'!F12+'V06 Calend 01'!G12),0)+IF(AND(('V06 Calend 01'!E12&gt;0),(133&gt;'V06 Calend 01'!C12),(133&lt;'V06 Calend 01'!D12),(MOD((133-'V06 Calend 01'!C12),6)=0),(((133-'V06 Calend 01'!C12)/6)&lt;='V06 Calend 01'!E12)),IF((133=('V06 Calend 01'!C12+(6*'V06 Calend 01'!E12))),('V06 Calend 01'!H12-('V06 Calend 01'!I12*('V06 Calend 01'!E12-1))),'V06 Calend 01'!I12),0))+IF((133='V06 Calend 01'!D12),'V06 Calend 01'!J12,0))</f>
        <v>0</v>
      </c>
      <c r="EP12" s="2">
        <f>((IF((134='V06 Calend 01'!C12),('V06 Calend 01'!F12+'V06 Calend 01'!G12),0)+IF(AND(('V06 Calend 01'!E12&gt;0),(134&gt;'V06 Calend 01'!C12),(134&lt;'V06 Calend 01'!D12),(MOD((134-'V06 Calend 01'!C12),6)=0),(((134-'V06 Calend 01'!C12)/6)&lt;='V06 Calend 01'!E12)),IF((134=('V06 Calend 01'!C12+(6*'V06 Calend 01'!E12))),('V06 Calend 01'!H12-('V06 Calend 01'!I12*('V06 Calend 01'!E12-1))),'V06 Calend 01'!I12),0))+IF((134='V06 Calend 01'!D12),'V06 Calend 01'!J12,0))</f>
        <v>0</v>
      </c>
      <c r="EQ12" s="2">
        <f>((IF((135='V06 Calend 01'!C12),('V06 Calend 01'!F12+'V06 Calend 01'!G12),0)+IF(AND(('V06 Calend 01'!E12&gt;0),(135&gt;'V06 Calend 01'!C12),(135&lt;'V06 Calend 01'!D12),(MOD((135-'V06 Calend 01'!C12),6)=0),(((135-'V06 Calend 01'!C12)/6)&lt;='V06 Calend 01'!E12)),IF((135=('V06 Calend 01'!C12+(6*'V06 Calend 01'!E12))),('V06 Calend 01'!H12-('V06 Calend 01'!I12*('V06 Calend 01'!E12-1))),'V06 Calend 01'!I12),0))+IF((135='V06 Calend 01'!D12),'V06 Calend 01'!J12,0))</f>
        <v>0</v>
      </c>
      <c r="ER12" s="2">
        <f>((IF((136='V06 Calend 01'!C12),('V06 Calend 01'!F12+'V06 Calend 01'!G12),0)+IF(AND(('V06 Calend 01'!E12&gt;0),(136&gt;'V06 Calend 01'!C12),(136&lt;'V06 Calend 01'!D12),(MOD((136-'V06 Calend 01'!C12),6)=0),(((136-'V06 Calend 01'!C12)/6)&lt;='V06 Calend 01'!E12)),IF((136=('V06 Calend 01'!C12+(6*'V06 Calend 01'!E12))),('V06 Calend 01'!H12-('V06 Calend 01'!I12*('V06 Calend 01'!E12-1))),'V06 Calend 01'!I12),0))+IF((136='V06 Calend 01'!D12),'V06 Calend 01'!J12,0))</f>
        <v>0</v>
      </c>
      <c r="ES12" s="2">
        <f>((IF((137='V06 Calend 01'!C12),('V06 Calend 01'!F12+'V06 Calend 01'!G12),0)+IF(AND(('V06 Calend 01'!E12&gt;0),(137&gt;'V06 Calend 01'!C12),(137&lt;'V06 Calend 01'!D12),(MOD((137-'V06 Calend 01'!C12),6)=0),(((137-'V06 Calend 01'!C12)/6)&lt;='V06 Calend 01'!E12)),IF((137=('V06 Calend 01'!C12+(6*'V06 Calend 01'!E12))),('V06 Calend 01'!H12-('V06 Calend 01'!I12*('V06 Calend 01'!E12-1))),'V06 Calend 01'!I12),0))+IF((137='V06 Calend 01'!D12),'V06 Calend 01'!J12,0))</f>
        <v>0</v>
      </c>
      <c r="ET12" s="2">
        <f>((IF((138='V06 Calend 01'!C12),('V06 Calend 01'!F12+'V06 Calend 01'!G12),0)+IF(AND(('V06 Calend 01'!E12&gt;0),(138&gt;'V06 Calend 01'!C12),(138&lt;'V06 Calend 01'!D12),(MOD((138-'V06 Calend 01'!C12),6)=0),(((138-'V06 Calend 01'!C12)/6)&lt;='V06 Calend 01'!E12)),IF((138=('V06 Calend 01'!C12+(6*'V06 Calend 01'!E12))),('V06 Calend 01'!H12-('V06 Calend 01'!I12*('V06 Calend 01'!E12-1))),'V06 Calend 01'!I12),0))+IF((138='V06 Calend 01'!D12),'V06 Calend 01'!J12,0))</f>
        <v>0</v>
      </c>
      <c r="EU12" s="2">
        <f>((IF((139='V06 Calend 01'!C12),('V06 Calend 01'!F12+'V06 Calend 01'!G12),0)+IF(AND(('V06 Calend 01'!E12&gt;0),(139&gt;'V06 Calend 01'!C12),(139&lt;'V06 Calend 01'!D12),(MOD((139-'V06 Calend 01'!C12),6)=0),(((139-'V06 Calend 01'!C12)/6)&lt;='V06 Calend 01'!E12)),IF((139=('V06 Calend 01'!C12+(6*'V06 Calend 01'!E12))),('V06 Calend 01'!H12-('V06 Calend 01'!I12*('V06 Calend 01'!E12-1))),'V06 Calend 01'!I12),0))+IF((139='V06 Calend 01'!D12),'V06 Calend 01'!J12,0))</f>
        <v>0</v>
      </c>
      <c r="EV12" s="2">
        <f>((IF((140='V06 Calend 01'!C12),('V06 Calend 01'!F12+'V06 Calend 01'!G12),0)+IF(AND(('V06 Calend 01'!E12&gt;0),(140&gt;'V06 Calend 01'!C12),(140&lt;'V06 Calend 01'!D12),(MOD((140-'V06 Calend 01'!C12),6)=0),(((140-'V06 Calend 01'!C12)/6)&lt;='V06 Calend 01'!E12)),IF((140=('V06 Calend 01'!C12+(6*'V06 Calend 01'!E12))),('V06 Calend 01'!H12-('V06 Calend 01'!I12*('V06 Calend 01'!E12-1))),'V06 Calend 01'!I12),0))+IF((140='V06 Calend 01'!D12),'V06 Calend 01'!J12,0))</f>
        <v>0</v>
      </c>
      <c r="EW12" s="2">
        <f>((IF((141='V06 Calend 01'!C12),('V06 Calend 01'!F12+'V06 Calend 01'!G12),0)+IF(AND(('V06 Calend 01'!E12&gt;0),(141&gt;'V06 Calend 01'!C12),(141&lt;'V06 Calend 01'!D12),(MOD((141-'V06 Calend 01'!C12),6)=0),(((141-'V06 Calend 01'!C12)/6)&lt;='V06 Calend 01'!E12)),IF((141=('V06 Calend 01'!C12+(6*'V06 Calend 01'!E12))),('V06 Calend 01'!H12-('V06 Calend 01'!I12*('V06 Calend 01'!E12-1))),'V06 Calend 01'!I12),0))+IF((141='V06 Calend 01'!D12),'V06 Calend 01'!J12,0))</f>
        <v>0</v>
      </c>
      <c r="EX12" s="2">
        <f>((IF((142='V06 Calend 01'!C12),('V06 Calend 01'!F12+'V06 Calend 01'!G12),0)+IF(AND(('V06 Calend 01'!E12&gt;0),(142&gt;'V06 Calend 01'!C12),(142&lt;'V06 Calend 01'!D12),(MOD((142-'V06 Calend 01'!C12),6)=0),(((142-'V06 Calend 01'!C12)/6)&lt;='V06 Calend 01'!E12)),IF((142=('V06 Calend 01'!C12+(6*'V06 Calend 01'!E12))),('V06 Calend 01'!H12-('V06 Calend 01'!I12*('V06 Calend 01'!E12-1))),'V06 Calend 01'!I12),0))+IF((142='V06 Calend 01'!D12),'V06 Calend 01'!J12,0))</f>
        <v>0</v>
      </c>
      <c r="EY12" s="2">
        <f>((IF((143='V06 Calend 01'!C12),('V06 Calend 01'!F12+'V06 Calend 01'!G12),0)+IF(AND(('V06 Calend 01'!E12&gt;0),(143&gt;'V06 Calend 01'!C12),(143&lt;'V06 Calend 01'!D12),(MOD((143-'V06 Calend 01'!C12),6)=0),(((143-'V06 Calend 01'!C12)/6)&lt;='V06 Calend 01'!E12)),IF((143=('V06 Calend 01'!C12+(6*'V06 Calend 01'!E12))),('V06 Calend 01'!H12-('V06 Calend 01'!I12*('V06 Calend 01'!E12-1))),'V06 Calend 01'!I12),0))+IF((143='V06 Calend 01'!D12),'V06 Calend 01'!J12,0))</f>
        <v>0</v>
      </c>
      <c r="EZ12" s="2">
        <f>((IF((144='V06 Calend 01'!C12),('V06 Calend 01'!F12+'V06 Calend 01'!G12),0)+IF(AND(('V06 Calend 01'!E12&gt;0),(144&gt;'V06 Calend 01'!C12),(144&lt;'V06 Calend 01'!D12),(MOD((144-'V06 Calend 01'!C12),6)=0),(((144-'V06 Calend 01'!C12)/6)&lt;='V06 Calend 01'!E12)),IF((144=('V06 Calend 01'!C12+(6*'V06 Calend 01'!E12))),('V06 Calend 01'!H12-('V06 Calend 01'!I12*('V06 Calend 01'!E12-1))),'V06 Calend 01'!I12),0))+IF((144='V06 Calend 01'!D12),'V06 Calend 01'!J12,0))</f>
        <v>0</v>
      </c>
      <c r="FA12" s="2">
        <f>((IF((145='V06 Calend 01'!C12),('V06 Calend 01'!F12+'V06 Calend 01'!G12),0)+IF(AND(('V06 Calend 01'!E12&gt;0),(145&gt;'V06 Calend 01'!C12),(145&lt;'V06 Calend 01'!D12),(MOD((145-'V06 Calend 01'!C12),6)=0),(((145-'V06 Calend 01'!C12)/6)&lt;='V06 Calend 01'!E12)),IF((145=('V06 Calend 01'!C12+(6*'V06 Calend 01'!E12))),('V06 Calend 01'!H12-('V06 Calend 01'!I12*('V06 Calend 01'!E12-1))),'V06 Calend 01'!I12),0))+IF((145='V06 Calend 01'!D12),'V06 Calend 01'!J12,0))</f>
        <v>0</v>
      </c>
      <c r="FB12" s="2">
        <f>((IF((146='V06 Calend 01'!C12),('V06 Calend 01'!F12+'V06 Calend 01'!G12),0)+IF(AND(('V06 Calend 01'!E12&gt;0),(146&gt;'V06 Calend 01'!C12),(146&lt;'V06 Calend 01'!D12),(MOD((146-'V06 Calend 01'!C12),6)=0),(((146-'V06 Calend 01'!C12)/6)&lt;='V06 Calend 01'!E12)),IF((146=('V06 Calend 01'!C12+(6*'V06 Calend 01'!E12))),('V06 Calend 01'!H12-('V06 Calend 01'!I12*('V06 Calend 01'!E12-1))),'V06 Calend 01'!I12),0))+IF((146='V06 Calend 01'!D12),'V06 Calend 01'!J12,0))</f>
        <v>0</v>
      </c>
      <c r="FC12" s="2">
        <f>((IF((147='V06 Calend 01'!C12),('V06 Calend 01'!F12+'V06 Calend 01'!G12),0)+IF(AND(('V06 Calend 01'!E12&gt;0),(147&gt;'V06 Calend 01'!C12),(147&lt;'V06 Calend 01'!D12),(MOD((147-'V06 Calend 01'!C12),6)=0),(((147-'V06 Calend 01'!C12)/6)&lt;='V06 Calend 01'!E12)),IF((147=('V06 Calend 01'!C12+(6*'V06 Calend 01'!E12))),('V06 Calend 01'!H12-('V06 Calend 01'!I12*('V06 Calend 01'!E12-1))),'V06 Calend 01'!I12),0))+IF((147='V06 Calend 01'!D12),'V06 Calend 01'!J12,0))</f>
        <v>0</v>
      </c>
      <c r="FD12" s="2">
        <f>((IF((148='V06 Calend 01'!C12),('V06 Calend 01'!F12+'V06 Calend 01'!G12),0)+IF(AND(('V06 Calend 01'!E12&gt;0),(148&gt;'V06 Calend 01'!C12),(148&lt;'V06 Calend 01'!D12),(MOD((148-'V06 Calend 01'!C12),6)=0),(((148-'V06 Calend 01'!C12)/6)&lt;='V06 Calend 01'!E12)),IF((148=('V06 Calend 01'!C12+(6*'V06 Calend 01'!E12))),('V06 Calend 01'!H12-('V06 Calend 01'!I12*('V06 Calend 01'!E12-1))),'V06 Calend 01'!I12),0))+IF((148='V06 Calend 01'!D12),'V06 Calend 01'!J12,0))</f>
        <v>0</v>
      </c>
      <c r="FE12" s="2">
        <f>((IF((149='V06 Calend 01'!C12),('V06 Calend 01'!F12+'V06 Calend 01'!G12),0)+IF(AND(('V06 Calend 01'!E12&gt;0),(149&gt;'V06 Calend 01'!C12),(149&lt;'V06 Calend 01'!D12),(MOD((149-'V06 Calend 01'!C12),6)=0),(((149-'V06 Calend 01'!C12)/6)&lt;='V06 Calend 01'!E12)),IF((149=('V06 Calend 01'!C12+(6*'V06 Calend 01'!E12))),('V06 Calend 01'!H12-('V06 Calend 01'!I12*('V06 Calend 01'!E12-1))),'V06 Calend 01'!I12),0))+IF((149='V06 Calend 01'!D12),'V06 Calend 01'!J12,0))</f>
        <v>0</v>
      </c>
      <c r="FF12" s="2">
        <f>((IF((150='V06 Calend 01'!C12),('V06 Calend 01'!F12+'V06 Calend 01'!G12),0)+IF(AND(('V06 Calend 01'!E12&gt;0),(150&gt;'V06 Calend 01'!C12),(150&lt;'V06 Calend 01'!D12),(MOD((150-'V06 Calend 01'!C12),6)=0),(((150-'V06 Calend 01'!C12)/6)&lt;='V06 Calend 01'!E12)),IF((150=('V06 Calend 01'!C12+(6*'V06 Calend 01'!E12))),('V06 Calend 01'!H12-('V06 Calend 01'!I12*('V06 Calend 01'!E12-1))),'V06 Calend 01'!I12),0))+IF((150='V06 Calend 01'!D12),'V06 Calend 01'!J12,0))</f>
        <v>0</v>
      </c>
      <c r="FG12" s="2">
        <f>((IF((151='V06 Calend 01'!C12),('V06 Calend 01'!F12+'V06 Calend 01'!G12),0)+IF(AND(('V06 Calend 01'!E12&gt;0),(151&gt;'V06 Calend 01'!C12),(151&lt;'V06 Calend 01'!D12),(MOD((151-'V06 Calend 01'!C12),6)=0),(((151-'V06 Calend 01'!C12)/6)&lt;='V06 Calend 01'!E12)),IF((151=('V06 Calend 01'!C12+(6*'V06 Calend 01'!E12))),('V06 Calend 01'!H12-('V06 Calend 01'!I12*('V06 Calend 01'!E12-1))),'V06 Calend 01'!I12),0))+IF((151='V06 Calend 01'!D12),'V06 Calend 01'!J12,0))</f>
        <v>0</v>
      </c>
      <c r="FH12" s="2">
        <f>((IF((152='V06 Calend 01'!C12),('V06 Calend 01'!F12+'V06 Calend 01'!G12),0)+IF(AND(('V06 Calend 01'!E12&gt;0),(152&gt;'V06 Calend 01'!C12),(152&lt;'V06 Calend 01'!D12),(MOD((152-'V06 Calend 01'!C12),6)=0),(((152-'V06 Calend 01'!C12)/6)&lt;='V06 Calend 01'!E12)),IF((152=('V06 Calend 01'!C12+(6*'V06 Calend 01'!E12))),('V06 Calend 01'!H12-('V06 Calend 01'!I12*('V06 Calend 01'!E12-1))),'V06 Calend 01'!I12),0))+IF((152='V06 Calend 01'!D12),'V06 Calend 01'!J12,0))</f>
        <v>0</v>
      </c>
      <c r="FI12" s="2">
        <f>((IF((153='V06 Calend 01'!C12),('V06 Calend 01'!F12+'V06 Calend 01'!G12),0)+IF(AND(('V06 Calend 01'!E12&gt;0),(153&gt;'V06 Calend 01'!C12),(153&lt;'V06 Calend 01'!D12),(MOD((153-'V06 Calend 01'!C12),6)=0),(((153-'V06 Calend 01'!C12)/6)&lt;='V06 Calend 01'!E12)),IF((153=('V06 Calend 01'!C12+(6*'V06 Calend 01'!E12))),('V06 Calend 01'!H12-('V06 Calend 01'!I12*('V06 Calend 01'!E12-1))),'V06 Calend 01'!I12),0))+IF((153='V06 Calend 01'!D12),'V06 Calend 01'!J12,0))</f>
        <v>0</v>
      </c>
      <c r="FJ12" s="2">
        <f>((IF((154='V06 Calend 01'!C12),('V06 Calend 01'!F12+'V06 Calend 01'!G12),0)+IF(AND(('V06 Calend 01'!E12&gt;0),(154&gt;'V06 Calend 01'!C12),(154&lt;'V06 Calend 01'!D12),(MOD((154-'V06 Calend 01'!C12),6)=0),(((154-'V06 Calend 01'!C12)/6)&lt;='V06 Calend 01'!E12)),IF((154=('V06 Calend 01'!C12+(6*'V06 Calend 01'!E12))),('V06 Calend 01'!H12-('V06 Calend 01'!I12*('V06 Calend 01'!E12-1))),'V06 Calend 01'!I12),0))+IF((154='V06 Calend 01'!D12),'V06 Calend 01'!J12,0))</f>
        <v>0</v>
      </c>
      <c r="FK12" s="2">
        <f>((IF((155='V06 Calend 01'!C12),('V06 Calend 01'!F12+'V06 Calend 01'!G12),0)+IF(AND(('V06 Calend 01'!E12&gt;0),(155&gt;'V06 Calend 01'!C12),(155&lt;'V06 Calend 01'!D12),(MOD((155-'V06 Calend 01'!C12),6)=0),(((155-'V06 Calend 01'!C12)/6)&lt;='V06 Calend 01'!E12)),IF((155=('V06 Calend 01'!C12+(6*'V06 Calend 01'!E12))),('V06 Calend 01'!H12-('V06 Calend 01'!I12*('V06 Calend 01'!E12-1))),'V06 Calend 01'!I12),0))+IF((155='V06 Calend 01'!D12),'V06 Calend 01'!J12,0))</f>
        <v>0</v>
      </c>
      <c r="FL12" s="2">
        <f>((IF((156='V06 Calend 01'!C12),('V06 Calend 01'!F12+'V06 Calend 01'!G12),0)+IF(AND(('V06 Calend 01'!E12&gt;0),(156&gt;'V06 Calend 01'!C12),(156&lt;'V06 Calend 01'!D12),(MOD((156-'V06 Calend 01'!C12),6)=0),(((156-'V06 Calend 01'!C12)/6)&lt;='V06 Calend 01'!E12)),IF((156=('V06 Calend 01'!C12+(6*'V06 Calend 01'!E12))),('V06 Calend 01'!H12-('V06 Calend 01'!I12*('V06 Calend 01'!E12-1))),'V06 Calend 01'!I12),0))+IF((156='V06 Calend 01'!D12),'V06 Calend 01'!J12,0))</f>
        <v>0</v>
      </c>
      <c r="FM12" s="2">
        <f>((IF((157='V06 Calend 01'!C12),('V06 Calend 01'!F12+'V06 Calend 01'!G12),0)+IF(AND(('V06 Calend 01'!E12&gt;0),(157&gt;'V06 Calend 01'!C12),(157&lt;'V06 Calend 01'!D12),(MOD((157-'V06 Calend 01'!C12),6)=0),(((157-'V06 Calend 01'!C12)/6)&lt;='V06 Calend 01'!E12)),IF((157=('V06 Calend 01'!C12+(6*'V06 Calend 01'!E12))),('V06 Calend 01'!H12-('V06 Calend 01'!I12*('V06 Calend 01'!E12-1))),'V06 Calend 01'!I12),0))+IF((157='V06 Calend 01'!D12),'V06 Calend 01'!J12,0))</f>
        <v>0</v>
      </c>
      <c r="FN12" s="2">
        <f>((IF((158='V06 Calend 01'!C12),('V06 Calend 01'!F12+'V06 Calend 01'!G12),0)+IF(AND(('V06 Calend 01'!E12&gt;0),(158&gt;'V06 Calend 01'!C12),(158&lt;'V06 Calend 01'!D12),(MOD((158-'V06 Calend 01'!C12),6)=0),(((158-'V06 Calend 01'!C12)/6)&lt;='V06 Calend 01'!E12)),IF((158=('V06 Calend 01'!C12+(6*'V06 Calend 01'!E12))),('V06 Calend 01'!H12-('V06 Calend 01'!I12*('V06 Calend 01'!E12-1))),'V06 Calend 01'!I12),0))+IF((158='V06 Calend 01'!D12),'V06 Calend 01'!J12,0))</f>
        <v>0</v>
      </c>
      <c r="FO12" s="2">
        <f>((IF((159='V06 Calend 01'!C12),('V06 Calend 01'!F12+'V06 Calend 01'!G12),0)+IF(AND(('V06 Calend 01'!E12&gt;0),(159&gt;'V06 Calend 01'!C12),(159&lt;'V06 Calend 01'!D12),(MOD((159-'V06 Calend 01'!C12),6)=0),(((159-'V06 Calend 01'!C12)/6)&lt;='V06 Calend 01'!E12)),IF((159=('V06 Calend 01'!C12+(6*'V06 Calend 01'!E12))),('V06 Calend 01'!H12-('V06 Calend 01'!I12*('V06 Calend 01'!E12-1))),'V06 Calend 01'!I12),0))+IF((159='V06 Calend 01'!D12),'V06 Calend 01'!J12,0))</f>
        <v>0</v>
      </c>
      <c r="FP12" s="2">
        <f>((IF((160='V06 Calend 01'!C12),('V06 Calend 01'!F12+'V06 Calend 01'!G12),0)+IF(AND(('V06 Calend 01'!E12&gt;0),(160&gt;'V06 Calend 01'!C12),(160&lt;'V06 Calend 01'!D12),(MOD((160-'V06 Calend 01'!C12),6)=0),(((160-'V06 Calend 01'!C12)/6)&lt;='V06 Calend 01'!E12)),IF((160=('V06 Calend 01'!C12+(6*'V06 Calend 01'!E12))),('V06 Calend 01'!H12-('V06 Calend 01'!I12*('V06 Calend 01'!E12-1))),'V06 Calend 01'!I12),0))+IF((160='V06 Calend 01'!D12),'V06 Calend 01'!J12,0))</f>
        <v>0</v>
      </c>
      <c r="FQ12" s="2">
        <f>((IF((161='V06 Calend 01'!C12),('V06 Calend 01'!F12+'V06 Calend 01'!G12),0)+IF(AND(('V06 Calend 01'!E12&gt;0),(161&gt;'V06 Calend 01'!C12),(161&lt;'V06 Calend 01'!D12),(MOD((161-'V06 Calend 01'!C12),6)=0),(((161-'V06 Calend 01'!C12)/6)&lt;='V06 Calend 01'!E12)),IF((161=('V06 Calend 01'!C12+(6*'V06 Calend 01'!E12))),('V06 Calend 01'!H12-('V06 Calend 01'!I12*('V06 Calend 01'!E12-1))),'V06 Calend 01'!I12),0))+IF((161='V06 Calend 01'!D12),'V06 Calend 01'!J12,0))</f>
        <v>0</v>
      </c>
      <c r="FR12" s="2">
        <f>((IF((162='V06 Calend 01'!C12),('V06 Calend 01'!F12+'V06 Calend 01'!G12),0)+IF(AND(('V06 Calend 01'!E12&gt;0),(162&gt;'V06 Calend 01'!C12),(162&lt;'V06 Calend 01'!D12),(MOD((162-'V06 Calend 01'!C12),6)=0),(((162-'V06 Calend 01'!C12)/6)&lt;='V06 Calend 01'!E12)),IF((162=('V06 Calend 01'!C12+(6*'V06 Calend 01'!E12))),('V06 Calend 01'!H12-('V06 Calend 01'!I12*('V06 Calend 01'!E12-1))),'V06 Calend 01'!I12),0))+IF((162='V06 Calend 01'!D12),'V06 Calend 01'!J12,0))</f>
        <v>0</v>
      </c>
      <c r="FS12" s="2">
        <f>((IF((163='V06 Calend 01'!C12),('V06 Calend 01'!F12+'V06 Calend 01'!G12),0)+IF(AND(('V06 Calend 01'!E12&gt;0),(163&gt;'V06 Calend 01'!C12),(163&lt;'V06 Calend 01'!D12),(MOD((163-'V06 Calend 01'!C12),6)=0),(((163-'V06 Calend 01'!C12)/6)&lt;='V06 Calend 01'!E12)),IF((163=('V06 Calend 01'!C12+(6*'V06 Calend 01'!E12))),('V06 Calend 01'!H12-('V06 Calend 01'!I12*('V06 Calend 01'!E12-1))),'V06 Calend 01'!I12),0))+IF((163='V06 Calend 01'!D12),'V06 Calend 01'!J12,0))</f>
        <v>0</v>
      </c>
      <c r="FT12" s="2">
        <f>((IF((164='V06 Calend 01'!C12),('V06 Calend 01'!F12+'V06 Calend 01'!G12),0)+IF(AND(('V06 Calend 01'!E12&gt;0),(164&gt;'V06 Calend 01'!C12),(164&lt;'V06 Calend 01'!D12),(MOD((164-'V06 Calend 01'!C12),6)=0),(((164-'V06 Calend 01'!C12)/6)&lt;='V06 Calend 01'!E12)),IF((164=('V06 Calend 01'!C12+(6*'V06 Calend 01'!E12))),('V06 Calend 01'!H12-('V06 Calend 01'!I12*('V06 Calend 01'!E12-1))),'V06 Calend 01'!I12),0))+IF((164='V06 Calend 01'!D12),'V06 Calend 01'!J12,0))</f>
        <v>0</v>
      </c>
      <c r="FU12" s="2">
        <f>((IF((165='V06 Calend 01'!C12),('V06 Calend 01'!F12+'V06 Calend 01'!G12),0)+IF(AND(('V06 Calend 01'!E12&gt;0),(165&gt;'V06 Calend 01'!C12),(165&lt;'V06 Calend 01'!D12),(MOD((165-'V06 Calend 01'!C12),6)=0),(((165-'V06 Calend 01'!C12)/6)&lt;='V06 Calend 01'!E12)),IF((165=('V06 Calend 01'!C12+(6*'V06 Calend 01'!E12))),('V06 Calend 01'!H12-('V06 Calend 01'!I12*('V06 Calend 01'!E12-1))),'V06 Calend 01'!I12),0))+IF((165='V06 Calend 01'!D12),'V06 Calend 01'!J12,0))</f>
        <v>0</v>
      </c>
      <c r="FV12" s="2">
        <f>((IF((166='V06 Calend 01'!C12),('V06 Calend 01'!F12+'V06 Calend 01'!G12),0)+IF(AND(('V06 Calend 01'!E12&gt;0),(166&gt;'V06 Calend 01'!C12),(166&lt;'V06 Calend 01'!D12),(MOD((166-'V06 Calend 01'!C12),6)=0),(((166-'V06 Calend 01'!C12)/6)&lt;='V06 Calend 01'!E12)),IF((166=('V06 Calend 01'!C12+(6*'V06 Calend 01'!E12))),('V06 Calend 01'!H12-('V06 Calend 01'!I12*('V06 Calend 01'!E12-1))),'V06 Calend 01'!I12),0))+IF((166='V06 Calend 01'!D12),'V06 Calend 01'!J12,0))</f>
        <v>0</v>
      </c>
      <c r="FW12" s="2">
        <f>((IF((167='V06 Calend 01'!C12),('V06 Calend 01'!F12+'V06 Calend 01'!G12),0)+IF(AND(('V06 Calend 01'!E12&gt;0),(167&gt;'V06 Calend 01'!C12),(167&lt;'V06 Calend 01'!D12),(MOD((167-'V06 Calend 01'!C12),6)=0),(((167-'V06 Calend 01'!C12)/6)&lt;='V06 Calend 01'!E12)),IF((167=('V06 Calend 01'!C12+(6*'V06 Calend 01'!E12))),('V06 Calend 01'!H12-('V06 Calend 01'!I12*('V06 Calend 01'!E12-1))),'V06 Calend 01'!I12),0))+IF((167='V06 Calend 01'!D12),'V06 Calend 01'!J12,0))</f>
        <v>0</v>
      </c>
      <c r="FX12" s="2">
        <f>((IF((168='V06 Calend 01'!C12),('V06 Calend 01'!F12+'V06 Calend 01'!G12),0)+IF(AND(('V06 Calend 01'!E12&gt;0),(168&gt;'V06 Calend 01'!C12),(168&lt;'V06 Calend 01'!D12),(MOD((168-'V06 Calend 01'!C12),6)=0),(((168-'V06 Calend 01'!C12)/6)&lt;='V06 Calend 01'!E12)),IF((168=('V06 Calend 01'!C12+(6*'V06 Calend 01'!E12))),('V06 Calend 01'!H12-('V06 Calend 01'!I12*('V06 Calend 01'!E12-1))),'V06 Calend 01'!I12),0))+IF((168='V06 Calend 01'!D12),'V06 Calend 01'!J12,0))</f>
        <v>0</v>
      </c>
      <c r="FY12" s="2">
        <f>((IF((169='V06 Calend 01'!C12),('V06 Calend 01'!F12+'V06 Calend 01'!G12),0)+IF(AND(('V06 Calend 01'!E12&gt;0),(169&gt;'V06 Calend 01'!C12),(169&lt;'V06 Calend 01'!D12),(MOD((169-'V06 Calend 01'!C12),6)=0),(((169-'V06 Calend 01'!C12)/6)&lt;='V06 Calend 01'!E12)),IF((169=('V06 Calend 01'!C12+(6*'V06 Calend 01'!E12))),('V06 Calend 01'!H12-('V06 Calend 01'!I12*('V06 Calend 01'!E12-1))),'V06 Calend 01'!I12),0))+IF((169='V06 Calend 01'!D12),'V06 Calend 01'!J12,0))</f>
        <v>0</v>
      </c>
      <c r="FZ12" s="2">
        <f>((IF((170='V06 Calend 01'!C12),('V06 Calend 01'!F12+'V06 Calend 01'!G12),0)+IF(AND(('V06 Calend 01'!E12&gt;0),(170&gt;'V06 Calend 01'!C12),(170&lt;'V06 Calend 01'!D12),(MOD((170-'V06 Calend 01'!C12),6)=0),(((170-'V06 Calend 01'!C12)/6)&lt;='V06 Calend 01'!E12)),IF((170=('V06 Calend 01'!C12+(6*'V06 Calend 01'!E12))),('V06 Calend 01'!H12-('V06 Calend 01'!I12*('V06 Calend 01'!E12-1))),'V06 Calend 01'!I12),0))+IF((170='V06 Calend 01'!D12),'V06 Calend 01'!J12,0))</f>
        <v>0</v>
      </c>
      <c r="GA12" s="2">
        <f>((IF((171='V06 Calend 01'!C12),('V06 Calend 01'!F12+'V06 Calend 01'!G12),0)+IF(AND(('V06 Calend 01'!E12&gt;0),(171&gt;'V06 Calend 01'!C12),(171&lt;'V06 Calend 01'!D12),(MOD((171-'V06 Calend 01'!C12),6)=0),(((171-'V06 Calend 01'!C12)/6)&lt;='V06 Calend 01'!E12)),IF((171=('V06 Calend 01'!C12+(6*'V06 Calend 01'!E12))),('V06 Calend 01'!H12-('V06 Calend 01'!I12*('V06 Calend 01'!E12-1))),'V06 Calend 01'!I12),0))+IF((171='V06 Calend 01'!D12),'V06 Calend 01'!J12,0))</f>
        <v>0</v>
      </c>
      <c r="GB12" s="2">
        <f>((IF((172='V06 Calend 01'!C12),('V06 Calend 01'!F12+'V06 Calend 01'!G12),0)+IF(AND(('V06 Calend 01'!E12&gt;0),(172&gt;'V06 Calend 01'!C12),(172&lt;'V06 Calend 01'!D12),(MOD((172-'V06 Calend 01'!C12),6)=0),(((172-'V06 Calend 01'!C12)/6)&lt;='V06 Calend 01'!E12)),IF((172=('V06 Calend 01'!C12+(6*'V06 Calend 01'!E12))),('V06 Calend 01'!H12-('V06 Calend 01'!I12*('V06 Calend 01'!E12-1))),'V06 Calend 01'!I12),0))+IF((172='V06 Calend 01'!D12),'V06 Calend 01'!J12,0))</f>
        <v>0</v>
      </c>
      <c r="GC12" s="2">
        <f>((IF((173='V06 Calend 01'!C12),('V06 Calend 01'!F12+'V06 Calend 01'!G12),0)+IF(AND(('V06 Calend 01'!E12&gt;0),(173&gt;'V06 Calend 01'!C12),(173&lt;'V06 Calend 01'!D12),(MOD((173-'V06 Calend 01'!C12),6)=0),(((173-'V06 Calend 01'!C12)/6)&lt;='V06 Calend 01'!E12)),IF((173=('V06 Calend 01'!C12+(6*'V06 Calend 01'!E12))),('V06 Calend 01'!H12-('V06 Calend 01'!I12*('V06 Calend 01'!E12-1))),'V06 Calend 01'!I12),0))+IF((173='V06 Calend 01'!D12),'V06 Calend 01'!J12,0))</f>
        <v>0</v>
      </c>
      <c r="GD12" s="2">
        <f>((IF((174='V06 Calend 01'!C12),('V06 Calend 01'!F12+'V06 Calend 01'!G12),0)+IF(AND(('V06 Calend 01'!E12&gt;0),(174&gt;'V06 Calend 01'!C12),(174&lt;'V06 Calend 01'!D12),(MOD((174-'V06 Calend 01'!C12),6)=0),(((174-'V06 Calend 01'!C12)/6)&lt;='V06 Calend 01'!E12)),IF((174=('V06 Calend 01'!C12+(6*'V06 Calend 01'!E12))),('V06 Calend 01'!H12-('V06 Calend 01'!I12*('V06 Calend 01'!E12-1))),'V06 Calend 01'!I12),0))+IF((174='V06 Calend 01'!D12),'V06 Calend 01'!J12,0))</f>
        <v>0</v>
      </c>
      <c r="GE12" s="2">
        <f>((IF((175='V06 Calend 01'!C12),('V06 Calend 01'!F12+'V06 Calend 01'!G12),0)+IF(AND(('V06 Calend 01'!E12&gt;0),(175&gt;'V06 Calend 01'!C12),(175&lt;'V06 Calend 01'!D12),(MOD((175-'V06 Calend 01'!C12),6)=0),(((175-'V06 Calend 01'!C12)/6)&lt;='V06 Calend 01'!E12)),IF((175=('V06 Calend 01'!C12+(6*'V06 Calend 01'!E12))),('V06 Calend 01'!H12-('V06 Calend 01'!I12*('V06 Calend 01'!E12-1))),'V06 Calend 01'!I12),0))+IF((175='V06 Calend 01'!D12),'V06 Calend 01'!J12,0))</f>
        <v>0</v>
      </c>
      <c r="GF12" s="2">
        <f>((IF((176='V06 Calend 01'!C12),('V06 Calend 01'!F12+'V06 Calend 01'!G12),0)+IF(AND(('V06 Calend 01'!E12&gt;0),(176&gt;'V06 Calend 01'!C12),(176&lt;'V06 Calend 01'!D12),(MOD((176-'V06 Calend 01'!C12),6)=0),(((176-'V06 Calend 01'!C12)/6)&lt;='V06 Calend 01'!E12)),IF((176=('V06 Calend 01'!C12+(6*'V06 Calend 01'!E12))),('V06 Calend 01'!H12-('V06 Calend 01'!I12*('V06 Calend 01'!E12-1))),'V06 Calend 01'!I12),0))+IF((176='V06 Calend 01'!D12),'V06 Calend 01'!J12,0))</f>
        <v>0</v>
      </c>
      <c r="GG12" s="2">
        <f>((IF((177='V06 Calend 01'!C12),('V06 Calend 01'!F12+'V06 Calend 01'!G12),0)+IF(AND(('V06 Calend 01'!E12&gt;0),(177&gt;'V06 Calend 01'!C12),(177&lt;'V06 Calend 01'!D12),(MOD((177-'V06 Calend 01'!C12),6)=0),(((177-'V06 Calend 01'!C12)/6)&lt;='V06 Calend 01'!E12)),IF((177=('V06 Calend 01'!C12+(6*'V06 Calend 01'!E12))),('V06 Calend 01'!H12-('V06 Calend 01'!I12*('V06 Calend 01'!E12-1))),'V06 Calend 01'!I12),0))+IF((177='V06 Calend 01'!D12),'V06 Calend 01'!J12,0))</f>
        <v>0</v>
      </c>
      <c r="GH12" s="2">
        <f>((IF((178='V06 Calend 01'!C12),('V06 Calend 01'!F12+'V06 Calend 01'!G12),0)+IF(AND(('V06 Calend 01'!E12&gt;0),(178&gt;'V06 Calend 01'!C12),(178&lt;'V06 Calend 01'!D12),(MOD((178-'V06 Calend 01'!C12),6)=0),(((178-'V06 Calend 01'!C12)/6)&lt;='V06 Calend 01'!E12)),IF((178=('V06 Calend 01'!C12+(6*'V06 Calend 01'!E12))),('V06 Calend 01'!H12-('V06 Calend 01'!I12*('V06 Calend 01'!E12-1))),'V06 Calend 01'!I12),0))+IF((178='V06 Calend 01'!D12),'V06 Calend 01'!J12,0))</f>
        <v>0</v>
      </c>
      <c r="GI12" s="2">
        <f>((IF((179='V06 Calend 01'!C12),('V06 Calend 01'!F12+'V06 Calend 01'!G12),0)+IF(AND(('V06 Calend 01'!E12&gt;0),(179&gt;'V06 Calend 01'!C12),(179&lt;'V06 Calend 01'!D12),(MOD((179-'V06 Calend 01'!C12),6)=0),(((179-'V06 Calend 01'!C12)/6)&lt;='V06 Calend 01'!E12)),IF((179=('V06 Calend 01'!C12+(6*'V06 Calend 01'!E12))),('V06 Calend 01'!H12-('V06 Calend 01'!I12*('V06 Calend 01'!E12-1))),'V06 Calend 01'!I12),0))+IF((179='V06 Calend 01'!D12),'V06 Calend 01'!J12,0))</f>
        <v>0</v>
      </c>
      <c r="GJ12" s="2">
        <f>((IF((180='V06 Calend 01'!C12),('V06 Calend 01'!F12+'V06 Calend 01'!G12),0)+IF(AND(('V06 Calend 01'!E12&gt;0),(180&gt;'V06 Calend 01'!C12),(180&lt;'V06 Calend 01'!D12),(MOD((180-'V06 Calend 01'!C12),6)=0),(((180-'V06 Calend 01'!C12)/6)&lt;='V06 Calend 01'!E12)),IF((180=('V06 Calend 01'!C12+(6*'V06 Calend 01'!E12))),('V06 Calend 01'!H12-('V06 Calend 01'!I12*('V06 Calend 01'!E12-1))),'V06 Calend 01'!I12),0))+IF((180='V06 Calend 01'!D12),'V06 Calend 01'!J12,0))</f>
        <v>0</v>
      </c>
    </row>
    <row r="13" spans="1:192">
      <c r="A13" s="3" t="str">
        <f>'V06 Unidades'!$A$13</f>
        <v>209</v>
      </c>
      <c r="B13" s="2">
        <f>'V06 Unidades'!$H$13</f>
        <v>402500</v>
      </c>
      <c r="C13" s="4">
        <f>('V06 Unidades'!$I$13+'V06 Controlos'!$B$37)</f>
        <v>4</v>
      </c>
      <c r="D13" s="4">
        <f>IF(('V06 Controlos'!$B$38&gt;0),MAX(('V06 Unidades'!$L$13+'V06 Controlos'!$B$37),(30+'V06 Controlos'!$B$38)),('V06 Unidades'!$L$13+'V06 Controlos'!$B$37))</f>
        <v>30</v>
      </c>
      <c r="E13" s="4">
        <f>MAX(0,INT(((('V06 Calend 01'!D13-'V06 Calend 01'!C13)-1)/6)))</f>
        <v>4</v>
      </c>
      <c r="F13" s="2">
        <f>ROUND(('V06 Calend 01'!B13*0.05),2)</f>
        <v>20125.0</v>
      </c>
      <c r="G13" s="2">
        <f>ROUND(('V06 Calend 01'!B13*0.2),2)</f>
        <v>80500.0</v>
      </c>
      <c r="H13" s="2">
        <f>ROUND(('V06 Calend 01'!B13*0.55),2)</f>
        <v>221375.0</v>
      </c>
      <c r="I13" s="2">
        <f>ROUND(('V06 Calend 01'!H13/MAX(1,'V06 Calend 01'!E13)),2)</f>
        <v>55343.75</v>
      </c>
      <c r="J13" s="2">
        <f>((('V06 Calend 01'!B13-'V06 Calend 01'!F13)-'V06 Calend 01'!G13)-'V06 Calend 01'!H13)</f>
        <v>80500.0</v>
      </c>
      <c r="K13" s="2">
        <f>('V06 Calend 01'!B13*0.025)</f>
        <v>10062.5</v>
      </c>
      <c r="L13" t="s">
        <v>378</v>
      </c>
      <c r="M13" s="2">
        <f>((IF((1='V06 Calend 01'!C13),('V06 Calend 01'!F13+'V06 Calend 01'!G13),0)+IF(AND(('V06 Calend 01'!E13&gt;0),(1&gt;'V06 Calend 01'!C13),(1&lt;'V06 Calend 01'!D13),(MOD((1-'V06 Calend 01'!C13),6)=0),(((1-'V06 Calend 01'!C13)/6)&lt;='V06 Calend 01'!E13)),IF((1=('V06 Calend 01'!C13+(6*'V06 Calend 01'!E13))),('V06 Calend 01'!H13-('V06 Calend 01'!I13*('V06 Calend 01'!E13-1))),'V06 Calend 01'!I13),0))+IF((1='V06 Calend 01'!D13),'V06 Calend 01'!J13,0))</f>
        <v>0</v>
      </c>
      <c r="N13" s="2">
        <f>((IF((2='V06 Calend 01'!C13),('V06 Calend 01'!F13+'V06 Calend 01'!G13),0)+IF(AND(('V06 Calend 01'!E13&gt;0),(2&gt;'V06 Calend 01'!C13),(2&lt;'V06 Calend 01'!D13),(MOD((2-'V06 Calend 01'!C13),6)=0),(((2-'V06 Calend 01'!C13)/6)&lt;='V06 Calend 01'!E13)),IF((2=('V06 Calend 01'!C13+(6*'V06 Calend 01'!E13))),('V06 Calend 01'!H13-('V06 Calend 01'!I13*('V06 Calend 01'!E13-1))),'V06 Calend 01'!I13),0))+IF((2='V06 Calend 01'!D13),'V06 Calend 01'!J13,0))</f>
        <v>0</v>
      </c>
      <c r="O13" s="2">
        <f>((IF((3='V06 Calend 01'!C13),('V06 Calend 01'!F13+'V06 Calend 01'!G13),0)+IF(AND(('V06 Calend 01'!E13&gt;0),(3&gt;'V06 Calend 01'!C13),(3&lt;'V06 Calend 01'!D13),(MOD((3-'V06 Calend 01'!C13),6)=0),(((3-'V06 Calend 01'!C13)/6)&lt;='V06 Calend 01'!E13)),IF((3=('V06 Calend 01'!C13+(6*'V06 Calend 01'!E13))),('V06 Calend 01'!H13-('V06 Calend 01'!I13*('V06 Calend 01'!E13-1))),'V06 Calend 01'!I13),0))+IF((3='V06 Calend 01'!D13),'V06 Calend 01'!J13,0))</f>
        <v>0</v>
      </c>
      <c r="P13" s="2">
        <f>((IF((4='V06 Calend 01'!C13),('V06 Calend 01'!F13+'V06 Calend 01'!G13),0)+IF(AND(('V06 Calend 01'!E13&gt;0),(4&gt;'V06 Calend 01'!C13),(4&lt;'V06 Calend 01'!D13),(MOD((4-'V06 Calend 01'!C13),6)=0),(((4-'V06 Calend 01'!C13)/6)&lt;='V06 Calend 01'!E13)),IF((4=('V06 Calend 01'!C13+(6*'V06 Calend 01'!E13))),('V06 Calend 01'!H13-('V06 Calend 01'!I13*('V06 Calend 01'!E13-1))),'V06 Calend 01'!I13),0))+IF((4='V06 Calend 01'!D13),'V06 Calend 01'!J13,0))</f>
        <v>100625.0</v>
      </c>
      <c r="Q13" s="2">
        <f>((IF((5='V06 Calend 01'!C13),('V06 Calend 01'!F13+'V06 Calend 01'!G13),0)+IF(AND(('V06 Calend 01'!E13&gt;0),(5&gt;'V06 Calend 01'!C13),(5&lt;'V06 Calend 01'!D13),(MOD((5-'V06 Calend 01'!C13),6)=0),(((5-'V06 Calend 01'!C13)/6)&lt;='V06 Calend 01'!E13)),IF((5=('V06 Calend 01'!C13+(6*'V06 Calend 01'!E13))),('V06 Calend 01'!H13-('V06 Calend 01'!I13*('V06 Calend 01'!E13-1))),'V06 Calend 01'!I13),0))+IF((5='V06 Calend 01'!D13),'V06 Calend 01'!J13,0))</f>
        <v>0</v>
      </c>
      <c r="R13" s="2">
        <f>((IF((6='V06 Calend 01'!C13),('V06 Calend 01'!F13+'V06 Calend 01'!G13),0)+IF(AND(('V06 Calend 01'!E13&gt;0),(6&gt;'V06 Calend 01'!C13),(6&lt;'V06 Calend 01'!D13),(MOD((6-'V06 Calend 01'!C13),6)=0),(((6-'V06 Calend 01'!C13)/6)&lt;='V06 Calend 01'!E13)),IF((6=('V06 Calend 01'!C13+(6*'V06 Calend 01'!E13))),('V06 Calend 01'!H13-('V06 Calend 01'!I13*('V06 Calend 01'!E13-1))),'V06 Calend 01'!I13),0))+IF((6='V06 Calend 01'!D13),'V06 Calend 01'!J13,0))</f>
        <v>0</v>
      </c>
      <c r="S13" s="2">
        <f>((IF((7='V06 Calend 01'!C13),('V06 Calend 01'!F13+'V06 Calend 01'!G13),0)+IF(AND(('V06 Calend 01'!E13&gt;0),(7&gt;'V06 Calend 01'!C13),(7&lt;'V06 Calend 01'!D13),(MOD((7-'V06 Calend 01'!C13),6)=0),(((7-'V06 Calend 01'!C13)/6)&lt;='V06 Calend 01'!E13)),IF((7=('V06 Calend 01'!C13+(6*'V06 Calend 01'!E13))),('V06 Calend 01'!H13-('V06 Calend 01'!I13*('V06 Calend 01'!E13-1))),'V06 Calend 01'!I13),0))+IF((7='V06 Calend 01'!D13),'V06 Calend 01'!J13,0))</f>
        <v>0</v>
      </c>
      <c r="T13" s="2">
        <f>((IF((8='V06 Calend 01'!C13),('V06 Calend 01'!F13+'V06 Calend 01'!G13),0)+IF(AND(('V06 Calend 01'!E13&gt;0),(8&gt;'V06 Calend 01'!C13),(8&lt;'V06 Calend 01'!D13),(MOD((8-'V06 Calend 01'!C13),6)=0),(((8-'V06 Calend 01'!C13)/6)&lt;='V06 Calend 01'!E13)),IF((8=('V06 Calend 01'!C13+(6*'V06 Calend 01'!E13))),('V06 Calend 01'!H13-('V06 Calend 01'!I13*('V06 Calend 01'!E13-1))),'V06 Calend 01'!I13),0))+IF((8='V06 Calend 01'!D13),'V06 Calend 01'!J13,0))</f>
        <v>0</v>
      </c>
      <c r="U13" s="2">
        <f>((IF((9='V06 Calend 01'!C13),('V06 Calend 01'!F13+'V06 Calend 01'!G13),0)+IF(AND(('V06 Calend 01'!E13&gt;0),(9&gt;'V06 Calend 01'!C13),(9&lt;'V06 Calend 01'!D13),(MOD((9-'V06 Calend 01'!C13),6)=0),(((9-'V06 Calend 01'!C13)/6)&lt;='V06 Calend 01'!E13)),IF((9=('V06 Calend 01'!C13+(6*'V06 Calend 01'!E13))),('V06 Calend 01'!H13-('V06 Calend 01'!I13*('V06 Calend 01'!E13-1))),'V06 Calend 01'!I13),0))+IF((9='V06 Calend 01'!D13),'V06 Calend 01'!J13,0))</f>
        <v>0</v>
      </c>
      <c r="V13" s="2">
        <f>((IF((10='V06 Calend 01'!C13),('V06 Calend 01'!F13+'V06 Calend 01'!G13),0)+IF(AND(('V06 Calend 01'!E13&gt;0),(10&gt;'V06 Calend 01'!C13),(10&lt;'V06 Calend 01'!D13),(MOD((10-'V06 Calend 01'!C13),6)=0),(((10-'V06 Calend 01'!C13)/6)&lt;='V06 Calend 01'!E13)),IF((10=('V06 Calend 01'!C13+(6*'V06 Calend 01'!E13))),('V06 Calend 01'!H13-('V06 Calend 01'!I13*('V06 Calend 01'!E13-1))),'V06 Calend 01'!I13),0))+IF((10='V06 Calend 01'!D13),'V06 Calend 01'!J13,0))</f>
        <v>55343.75</v>
      </c>
      <c r="W13" s="2">
        <f>((IF((11='V06 Calend 01'!C13),('V06 Calend 01'!F13+'V06 Calend 01'!G13),0)+IF(AND(('V06 Calend 01'!E13&gt;0),(11&gt;'V06 Calend 01'!C13),(11&lt;'V06 Calend 01'!D13),(MOD((11-'V06 Calend 01'!C13),6)=0),(((11-'V06 Calend 01'!C13)/6)&lt;='V06 Calend 01'!E13)),IF((11=('V06 Calend 01'!C13+(6*'V06 Calend 01'!E13))),('V06 Calend 01'!H13-('V06 Calend 01'!I13*('V06 Calend 01'!E13-1))),'V06 Calend 01'!I13),0))+IF((11='V06 Calend 01'!D13),'V06 Calend 01'!J13,0))</f>
        <v>0</v>
      </c>
      <c r="X13" s="2">
        <f>((IF((12='V06 Calend 01'!C13),('V06 Calend 01'!F13+'V06 Calend 01'!G13),0)+IF(AND(('V06 Calend 01'!E13&gt;0),(12&gt;'V06 Calend 01'!C13),(12&lt;'V06 Calend 01'!D13),(MOD((12-'V06 Calend 01'!C13),6)=0),(((12-'V06 Calend 01'!C13)/6)&lt;='V06 Calend 01'!E13)),IF((12=('V06 Calend 01'!C13+(6*'V06 Calend 01'!E13))),('V06 Calend 01'!H13-('V06 Calend 01'!I13*('V06 Calend 01'!E13-1))),'V06 Calend 01'!I13),0))+IF((12='V06 Calend 01'!D13),'V06 Calend 01'!J13,0))</f>
        <v>0</v>
      </c>
      <c r="Y13" s="2">
        <f>((IF((13='V06 Calend 01'!C13),('V06 Calend 01'!F13+'V06 Calend 01'!G13),0)+IF(AND(('V06 Calend 01'!E13&gt;0),(13&gt;'V06 Calend 01'!C13),(13&lt;'V06 Calend 01'!D13),(MOD((13-'V06 Calend 01'!C13),6)=0),(((13-'V06 Calend 01'!C13)/6)&lt;='V06 Calend 01'!E13)),IF((13=('V06 Calend 01'!C13+(6*'V06 Calend 01'!E13))),('V06 Calend 01'!H13-('V06 Calend 01'!I13*('V06 Calend 01'!E13-1))),'V06 Calend 01'!I13),0))+IF((13='V06 Calend 01'!D13),'V06 Calend 01'!J13,0))</f>
        <v>0</v>
      </c>
      <c r="Z13" s="2">
        <f>((IF((14='V06 Calend 01'!C13),('V06 Calend 01'!F13+'V06 Calend 01'!G13),0)+IF(AND(('V06 Calend 01'!E13&gt;0),(14&gt;'V06 Calend 01'!C13),(14&lt;'V06 Calend 01'!D13),(MOD((14-'V06 Calend 01'!C13),6)=0),(((14-'V06 Calend 01'!C13)/6)&lt;='V06 Calend 01'!E13)),IF((14=('V06 Calend 01'!C13+(6*'V06 Calend 01'!E13))),('V06 Calend 01'!H13-('V06 Calend 01'!I13*('V06 Calend 01'!E13-1))),'V06 Calend 01'!I13),0))+IF((14='V06 Calend 01'!D13),'V06 Calend 01'!J13,0))</f>
        <v>0</v>
      </c>
      <c r="AA13" s="2">
        <f>((IF((15='V06 Calend 01'!C13),('V06 Calend 01'!F13+'V06 Calend 01'!G13),0)+IF(AND(('V06 Calend 01'!E13&gt;0),(15&gt;'V06 Calend 01'!C13),(15&lt;'V06 Calend 01'!D13),(MOD((15-'V06 Calend 01'!C13),6)=0),(((15-'V06 Calend 01'!C13)/6)&lt;='V06 Calend 01'!E13)),IF((15=('V06 Calend 01'!C13+(6*'V06 Calend 01'!E13))),('V06 Calend 01'!H13-('V06 Calend 01'!I13*('V06 Calend 01'!E13-1))),'V06 Calend 01'!I13),0))+IF((15='V06 Calend 01'!D13),'V06 Calend 01'!J13,0))</f>
        <v>0</v>
      </c>
      <c r="AB13" s="2">
        <f>((IF((16='V06 Calend 01'!C13),('V06 Calend 01'!F13+'V06 Calend 01'!G13),0)+IF(AND(('V06 Calend 01'!E13&gt;0),(16&gt;'V06 Calend 01'!C13),(16&lt;'V06 Calend 01'!D13),(MOD((16-'V06 Calend 01'!C13),6)=0),(((16-'V06 Calend 01'!C13)/6)&lt;='V06 Calend 01'!E13)),IF((16=('V06 Calend 01'!C13+(6*'V06 Calend 01'!E13))),('V06 Calend 01'!H13-('V06 Calend 01'!I13*('V06 Calend 01'!E13-1))),'V06 Calend 01'!I13),0))+IF((16='V06 Calend 01'!D13),'V06 Calend 01'!J13,0))</f>
        <v>55343.75</v>
      </c>
      <c r="AC13" s="2">
        <f>((IF((17='V06 Calend 01'!C13),('V06 Calend 01'!F13+'V06 Calend 01'!G13),0)+IF(AND(('V06 Calend 01'!E13&gt;0),(17&gt;'V06 Calend 01'!C13),(17&lt;'V06 Calend 01'!D13),(MOD((17-'V06 Calend 01'!C13),6)=0),(((17-'V06 Calend 01'!C13)/6)&lt;='V06 Calend 01'!E13)),IF((17=('V06 Calend 01'!C13+(6*'V06 Calend 01'!E13))),('V06 Calend 01'!H13-('V06 Calend 01'!I13*('V06 Calend 01'!E13-1))),'V06 Calend 01'!I13),0))+IF((17='V06 Calend 01'!D13),'V06 Calend 01'!J13,0))</f>
        <v>0</v>
      </c>
      <c r="AD13" s="2">
        <f>((IF((18='V06 Calend 01'!C13),('V06 Calend 01'!F13+'V06 Calend 01'!G13),0)+IF(AND(('V06 Calend 01'!E13&gt;0),(18&gt;'V06 Calend 01'!C13),(18&lt;'V06 Calend 01'!D13),(MOD((18-'V06 Calend 01'!C13),6)=0),(((18-'V06 Calend 01'!C13)/6)&lt;='V06 Calend 01'!E13)),IF((18=('V06 Calend 01'!C13+(6*'V06 Calend 01'!E13))),('V06 Calend 01'!H13-('V06 Calend 01'!I13*('V06 Calend 01'!E13-1))),'V06 Calend 01'!I13),0))+IF((18='V06 Calend 01'!D13),'V06 Calend 01'!J13,0))</f>
        <v>0</v>
      </c>
      <c r="AE13" s="2">
        <f>((IF((19='V06 Calend 01'!C13),('V06 Calend 01'!F13+'V06 Calend 01'!G13),0)+IF(AND(('V06 Calend 01'!E13&gt;0),(19&gt;'V06 Calend 01'!C13),(19&lt;'V06 Calend 01'!D13),(MOD((19-'V06 Calend 01'!C13),6)=0),(((19-'V06 Calend 01'!C13)/6)&lt;='V06 Calend 01'!E13)),IF((19=('V06 Calend 01'!C13+(6*'V06 Calend 01'!E13))),('V06 Calend 01'!H13-('V06 Calend 01'!I13*('V06 Calend 01'!E13-1))),'V06 Calend 01'!I13),0))+IF((19='V06 Calend 01'!D13),'V06 Calend 01'!J13,0))</f>
        <v>0</v>
      </c>
      <c r="AF13" s="2">
        <f>((IF((20='V06 Calend 01'!C13),('V06 Calend 01'!F13+'V06 Calend 01'!G13),0)+IF(AND(('V06 Calend 01'!E13&gt;0),(20&gt;'V06 Calend 01'!C13),(20&lt;'V06 Calend 01'!D13),(MOD((20-'V06 Calend 01'!C13),6)=0),(((20-'V06 Calend 01'!C13)/6)&lt;='V06 Calend 01'!E13)),IF((20=('V06 Calend 01'!C13+(6*'V06 Calend 01'!E13))),('V06 Calend 01'!H13-('V06 Calend 01'!I13*('V06 Calend 01'!E13-1))),'V06 Calend 01'!I13),0))+IF((20='V06 Calend 01'!D13),'V06 Calend 01'!J13,0))</f>
        <v>0</v>
      </c>
      <c r="AG13" s="2">
        <f>((IF((21='V06 Calend 01'!C13),('V06 Calend 01'!F13+'V06 Calend 01'!G13),0)+IF(AND(('V06 Calend 01'!E13&gt;0),(21&gt;'V06 Calend 01'!C13),(21&lt;'V06 Calend 01'!D13),(MOD((21-'V06 Calend 01'!C13),6)=0),(((21-'V06 Calend 01'!C13)/6)&lt;='V06 Calend 01'!E13)),IF((21=('V06 Calend 01'!C13+(6*'V06 Calend 01'!E13))),('V06 Calend 01'!H13-('V06 Calend 01'!I13*('V06 Calend 01'!E13-1))),'V06 Calend 01'!I13),0))+IF((21='V06 Calend 01'!D13),'V06 Calend 01'!J13,0))</f>
        <v>0</v>
      </c>
      <c r="AH13" s="2">
        <f>((IF((22='V06 Calend 01'!C13),('V06 Calend 01'!F13+'V06 Calend 01'!G13),0)+IF(AND(('V06 Calend 01'!E13&gt;0),(22&gt;'V06 Calend 01'!C13),(22&lt;'V06 Calend 01'!D13),(MOD((22-'V06 Calend 01'!C13),6)=0),(((22-'V06 Calend 01'!C13)/6)&lt;='V06 Calend 01'!E13)),IF((22=('V06 Calend 01'!C13+(6*'V06 Calend 01'!E13))),('V06 Calend 01'!H13-('V06 Calend 01'!I13*('V06 Calend 01'!E13-1))),'V06 Calend 01'!I13),0))+IF((22='V06 Calend 01'!D13),'V06 Calend 01'!J13,0))</f>
        <v>55343.75</v>
      </c>
      <c r="AI13" s="2">
        <f>((IF((23='V06 Calend 01'!C13),('V06 Calend 01'!F13+'V06 Calend 01'!G13),0)+IF(AND(('V06 Calend 01'!E13&gt;0),(23&gt;'V06 Calend 01'!C13),(23&lt;'V06 Calend 01'!D13),(MOD((23-'V06 Calend 01'!C13),6)=0),(((23-'V06 Calend 01'!C13)/6)&lt;='V06 Calend 01'!E13)),IF((23=('V06 Calend 01'!C13+(6*'V06 Calend 01'!E13))),('V06 Calend 01'!H13-('V06 Calend 01'!I13*('V06 Calend 01'!E13-1))),'V06 Calend 01'!I13),0))+IF((23='V06 Calend 01'!D13),'V06 Calend 01'!J13,0))</f>
        <v>0</v>
      </c>
      <c r="AJ13" s="2">
        <f>((IF((24='V06 Calend 01'!C13),('V06 Calend 01'!F13+'V06 Calend 01'!G13),0)+IF(AND(('V06 Calend 01'!E13&gt;0),(24&gt;'V06 Calend 01'!C13),(24&lt;'V06 Calend 01'!D13),(MOD((24-'V06 Calend 01'!C13),6)=0),(((24-'V06 Calend 01'!C13)/6)&lt;='V06 Calend 01'!E13)),IF((24=('V06 Calend 01'!C13+(6*'V06 Calend 01'!E13))),('V06 Calend 01'!H13-('V06 Calend 01'!I13*('V06 Calend 01'!E13-1))),'V06 Calend 01'!I13),0))+IF((24='V06 Calend 01'!D13),'V06 Calend 01'!J13,0))</f>
        <v>0</v>
      </c>
      <c r="AK13" s="2">
        <f>((IF((25='V06 Calend 01'!C13),('V06 Calend 01'!F13+'V06 Calend 01'!G13),0)+IF(AND(('V06 Calend 01'!E13&gt;0),(25&gt;'V06 Calend 01'!C13),(25&lt;'V06 Calend 01'!D13),(MOD((25-'V06 Calend 01'!C13),6)=0),(((25-'V06 Calend 01'!C13)/6)&lt;='V06 Calend 01'!E13)),IF((25=('V06 Calend 01'!C13+(6*'V06 Calend 01'!E13))),('V06 Calend 01'!H13-('V06 Calend 01'!I13*('V06 Calend 01'!E13-1))),'V06 Calend 01'!I13),0))+IF((25='V06 Calend 01'!D13),'V06 Calend 01'!J13,0))</f>
        <v>0</v>
      </c>
      <c r="AL13" s="2">
        <f>((IF((26='V06 Calend 01'!C13),('V06 Calend 01'!F13+'V06 Calend 01'!G13),0)+IF(AND(('V06 Calend 01'!E13&gt;0),(26&gt;'V06 Calend 01'!C13),(26&lt;'V06 Calend 01'!D13),(MOD((26-'V06 Calend 01'!C13),6)=0),(((26-'V06 Calend 01'!C13)/6)&lt;='V06 Calend 01'!E13)),IF((26=('V06 Calend 01'!C13+(6*'V06 Calend 01'!E13))),('V06 Calend 01'!H13-('V06 Calend 01'!I13*('V06 Calend 01'!E13-1))),'V06 Calend 01'!I13),0))+IF((26='V06 Calend 01'!D13),'V06 Calend 01'!J13,0))</f>
        <v>0</v>
      </c>
      <c r="AM13" s="2">
        <f>((IF((27='V06 Calend 01'!C13),('V06 Calend 01'!F13+'V06 Calend 01'!G13),0)+IF(AND(('V06 Calend 01'!E13&gt;0),(27&gt;'V06 Calend 01'!C13),(27&lt;'V06 Calend 01'!D13),(MOD((27-'V06 Calend 01'!C13),6)=0),(((27-'V06 Calend 01'!C13)/6)&lt;='V06 Calend 01'!E13)),IF((27=('V06 Calend 01'!C13+(6*'V06 Calend 01'!E13))),('V06 Calend 01'!H13-('V06 Calend 01'!I13*('V06 Calend 01'!E13-1))),'V06 Calend 01'!I13),0))+IF((27='V06 Calend 01'!D13),'V06 Calend 01'!J13,0))</f>
        <v>0</v>
      </c>
      <c r="AN13" s="2">
        <f>((IF((28='V06 Calend 01'!C13),('V06 Calend 01'!F13+'V06 Calend 01'!G13),0)+IF(AND(('V06 Calend 01'!E13&gt;0),(28&gt;'V06 Calend 01'!C13),(28&lt;'V06 Calend 01'!D13),(MOD((28-'V06 Calend 01'!C13),6)=0),(((28-'V06 Calend 01'!C13)/6)&lt;='V06 Calend 01'!E13)),IF((28=('V06 Calend 01'!C13+(6*'V06 Calend 01'!E13))),('V06 Calend 01'!H13-('V06 Calend 01'!I13*('V06 Calend 01'!E13-1))),'V06 Calend 01'!I13),0))+IF((28='V06 Calend 01'!D13),'V06 Calend 01'!J13,0))</f>
        <v>55343.75</v>
      </c>
      <c r="AO13" s="2">
        <f>((IF((29='V06 Calend 01'!C13),('V06 Calend 01'!F13+'V06 Calend 01'!G13),0)+IF(AND(('V06 Calend 01'!E13&gt;0),(29&gt;'V06 Calend 01'!C13),(29&lt;'V06 Calend 01'!D13),(MOD((29-'V06 Calend 01'!C13),6)=0),(((29-'V06 Calend 01'!C13)/6)&lt;='V06 Calend 01'!E13)),IF((29=('V06 Calend 01'!C13+(6*'V06 Calend 01'!E13))),('V06 Calend 01'!H13-('V06 Calend 01'!I13*('V06 Calend 01'!E13-1))),'V06 Calend 01'!I13),0))+IF((29='V06 Calend 01'!D13),'V06 Calend 01'!J13,0))</f>
        <v>0</v>
      </c>
      <c r="AP13" s="2">
        <f>((IF((30='V06 Calend 01'!C13),('V06 Calend 01'!F13+'V06 Calend 01'!G13),0)+IF(AND(('V06 Calend 01'!E13&gt;0),(30&gt;'V06 Calend 01'!C13),(30&lt;'V06 Calend 01'!D13),(MOD((30-'V06 Calend 01'!C13),6)=0),(((30-'V06 Calend 01'!C13)/6)&lt;='V06 Calend 01'!E13)),IF((30=('V06 Calend 01'!C13+(6*'V06 Calend 01'!E13))),('V06 Calend 01'!H13-('V06 Calend 01'!I13*('V06 Calend 01'!E13-1))),'V06 Calend 01'!I13),0))+IF((30='V06 Calend 01'!D13),'V06 Calend 01'!J13,0))</f>
        <v>80500.0</v>
      </c>
      <c r="AQ13" s="2">
        <f>((IF((31='V06 Calend 01'!C13),('V06 Calend 01'!F13+'V06 Calend 01'!G13),0)+IF(AND(('V06 Calend 01'!E13&gt;0),(31&gt;'V06 Calend 01'!C13),(31&lt;'V06 Calend 01'!D13),(MOD((31-'V06 Calend 01'!C13),6)=0),(((31-'V06 Calend 01'!C13)/6)&lt;='V06 Calend 01'!E13)),IF((31=('V06 Calend 01'!C13+(6*'V06 Calend 01'!E13))),('V06 Calend 01'!H13-('V06 Calend 01'!I13*('V06 Calend 01'!E13-1))),'V06 Calend 01'!I13),0))+IF((31='V06 Calend 01'!D13),'V06 Calend 01'!J13,0))</f>
        <v>0</v>
      </c>
      <c r="AR13" s="2">
        <f>((IF((32='V06 Calend 01'!C13),('V06 Calend 01'!F13+'V06 Calend 01'!G13),0)+IF(AND(('V06 Calend 01'!E13&gt;0),(32&gt;'V06 Calend 01'!C13),(32&lt;'V06 Calend 01'!D13),(MOD((32-'V06 Calend 01'!C13),6)=0),(((32-'V06 Calend 01'!C13)/6)&lt;='V06 Calend 01'!E13)),IF((32=('V06 Calend 01'!C13+(6*'V06 Calend 01'!E13))),('V06 Calend 01'!H13-('V06 Calend 01'!I13*('V06 Calend 01'!E13-1))),'V06 Calend 01'!I13),0))+IF((32='V06 Calend 01'!D13),'V06 Calend 01'!J13,0))</f>
        <v>0</v>
      </c>
      <c r="AS13" s="2">
        <f>((IF((33='V06 Calend 01'!C13),('V06 Calend 01'!F13+'V06 Calend 01'!G13),0)+IF(AND(('V06 Calend 01'!E13&gt;0),(33&gt;'V06 Calend 01'!C13),(33&lt;'V06 Calend 01'!D13),(MOD((33-'V06 Calend 01'!C13),6)=0),(((33-'V06 Calend 01'!C13)/6)&lt;='V06 Calend 01'!E13)),IF((33=('V06 Calend 01'!C13+(6*'V06 Calend 01'!E13))),('V06 Calend 01'!H13-('V06 Calend 01'!I13*('V06 Calend 01'!E13-1))),'V06 Calend 01'!I13),0))+IF((33='V06 Calend 01'!D13),'V06 Calend 01'!J13,0))</f>
        <v>0</v>
      </c>
      <c r="AT13" s="2">
        <f>((IF((34='V06 Calend 01'!C13),('V06 Calend 01'!F13+'V06 Calend 01'!G13),0)+IF(AND(('V06 Calend 01'!E13&gt;0),(34&gt;'V06 Calend 01'!C13),(34&lt;'V06 Calend 01'!D13),(MOD((34-'V06 Calend 01'!C13),6)=0),(((34-'V06 Calend 01'!C13)/6)&lt;='V06 Calend 01'!E13)),IF((34=('V06 Calend 01'!C13+(6*'V06 Calend 01'!E13))),('V06 Calend 01'!H13-('V06 Calend 01'!I13*('V06 Calend 01'!E13-1))),'V06 Calend 01'!I13),0))+IF((34='V06 Calend 01'!D13),'V06 Calend 01'!J13,0))</f>
        <v>0</v>
      </c>
      <c r="AU13" s="2">
        <f>((IF((35='V06 Calend 01'!C13),('V06 Calend 01'!F13+'V06 Calend 01'!G13),0)+IF(AND(('V06 Calend 01'!E13&gt;0),(35&gt;'V06 Calend 01'!C13),(35&lt;'V06 Calend 01'!D13),(MOD((35-'V06 Calend 01'!C13),6)=0),(((35-'V06 Calend 01'!C13)/6)&lt;='V06 Calend 01'!E13)),IF((35=('V06 Calend 01'!C13+(6*'V06 Calend 01'!E13))),('V06 Calend 01'!H13-('V06 Calend 01'!I13*('V06 Calend 01'!E13-1))),'V06 Calend 01'!I13),0))+IF((35='V06 Calend 01'!D13),'V06 Calend 01'!J13,0))</f>
        <v>0</v>
      </c>
      <c r="AV13" s="2">
        <f>((IF((36='V06 Calend 01'!C13),('V06 Calend 01'!F13+'V06 Calend 01'!G13),0)+IF(AND(('V06 Calend 01'!E13&gt;0),(36&gt;'V06 Calend 01'!C13),(36&lt;'V06 Calend 01'!D13),(MOD((36-'V06 Calend 01'!C13),6)=0),(((36-'V06 Calend 01'!C13)/6)&lt;='V06 Calend 01'!E13)),IF((36=('V06 Calend 01'!C13+(6*'V06 Calend 01'!E13))),('V06 Calend 01'!H13-('V06 Calend 01'!I13*('V06 Calend 01'!E13-1))),'V06 Calend 01'!I13),0))+IF((36='V06 Calend 01'!D13),'V06 Calend 01'!J13,0))</f>
        <v>0</v>
      </c>
      <c r="AW13" s="2">
        <f>((IF((37='V06 Calend 01'!C13),('V06 Calend 01'!F13+'V06 Calend 01'!G13),0)+IF(AND(('V06 Calend 01'!E13&gt;0),(37&gt;'V06 Calend 01'!C13),(37&lt;'V06 Calend 01'!D13),(MOD((37-'V06 Calend 01'!C13),6)=0),(((37-'V06 Calend 01'!C13)/6)&lt;='V06 Calend 01'!E13)),IF((37=('V06 Calend 01'!C13+(6*'V06 Calend 01'!E13))),('V06 Calend 01'!H13-('V06 Calend 01'!I13*('V06 Calend 01'!E13-1))),'V06 Calend 01'!I13),0))+IF((37='V06 Calend 01'!D13),'V06 Calend 01'!J13,0))</f>
        <v>0</v>
      </c>
      <c r="AX13" s="2">
        <f>((IF((38='V06 Calend 01'!C13),('V06 Calend 01'!F13+'V06 Calend 01'!G13),0)+IF(AND(('V06 Calend 01'!E13&gt;0),(38&gt;'V06 Calend 01'!C13),(38&lt;'V06 Calend 01'!D13),(MOD((38-'V06 Calend 01'!C13),6)=0),(((38-'V06 Calend 01'!C13)/6)&lt;='V06 Calend 01'!E13)),IF((38=('V06 Calend 01'!C13+(6*'V06 Calend 01'!E13))),('V06 Calend 01'!H13-('V06 Calend 01'!I13*('V06 Calend 01'!E13-1))),'V06 Calend 01'!I13),0))+IF((38='V06 Calend 01'!D13),'V06 Calend 01'!J13,0))</f>
        <v>0</v>
      </c>
      <c r="AY13" s="2">
        <f>((IF((39='V06 Calend 01'!C13),('V06 Calend 01'!F13+'V06 Calend 01'!G13),0)+IF(AND(('V06 Calend 01'!E13&gt;0),(39&gt;'V06 Calend 01'!C13),(39&lt;'V06 Calend 01'!D13),(MOD((39-'V06 Calend 01'!C13),6)=0),(((39-'V06 Calend 01'!C13)/6)&lt;='V06 Calend 01'!E13)),IF((39=('V06 Calend 01'!C13+(6*'V06 Calend 01'!E13))),('V06 Calend 01'!H13-('V06 Calend 01'!I13*('V06 Calend 01'!E13-1))),'V06 Calend 01'!I13),0))+IF((39='V06 Calend 01'!D13),'V06 Calend 01'!J13,0))</f>
        <v>0</v>
      </c>
      <c r="AZ13" s="2">
        <f>((IF((40='V06 Calend 01'!C13),('V06 Calend 01'!F13+'V06 Calend 01'!G13),0)+IF(AND(('V06 Calend 01'!E13&gt;0),(40&gt;'V06 Calend 01'!C13),(40&lt;'V06 Calend 01'!D13),(MOD((40-'V06 Calend 01'!C13),6)=0),(((40-'V06 Calend 01'!C13)/6)&lt;='V06 Calend 01'!E13)),IF((40=('V06 Calend 01'!C13+(6*'V06 Calend 01'!E13))),('V06 Calend 01'!H13-('V06 Calend 01'!I13*('V06 Calend 01'!E13-1))),'V06 Calend 01'!I13),0))+IF((40='V06 Calend 01'!D13),'V06 Calend 01'!J13,0))</f>
        <v>0</v>
      </c>
      <c r="BA13" s="2">
        <f>((IF((41='V06 Calend 01'!C13),('V06 Calend 01'!F13+'V06 Calend 01'!G13),0)+IF(AND(('V06 Calend 01'!E13&gt;0),(41&gt;'V06 Calend 01'!C13),(41&lt;'V06 Calend 01'!D13),(MOD((41-'V06 Calend 01'!C13),6)=0),(((41-'V06 Calend 01'!C13)/6)&lt;='V06 Calend 01'!E13)),IF((41=('V06 Calend 01'!C13+(6*'V06 Calend 01'!E13))),('V06 Calend 01'!H13-('V06 Calend 01'!I13*('V06 Calend 01'!E13-1))),'V06 Calend 01'!I13),0))+IF((41='V06 Calend 01'!D13),'V06 Calend 01'!J13,0))</f>
        <v>0</v>
      </c>
      <c r="BB13" s="2">
        <f>((IF((42='V06 Calend 01'!C13),('V06 Calend 01'!F13+'V06 Calend 01'!G13),0)+IF(AND(('V06 Calend 01'!E13&gt;0),(42&gt;'V06 Calend 01'!C13),(42&lt;'V06 Calend 01'!D13),(MOD((42-'V06 Calend 01'!C13),6)=0),(((42-'V06 Calend 01'!C13)/6)&lt;='V06 Calend 01'!E13)),IF((42=('V06 Calend 01'!C13+(6*'V06 Calend 01'!E13))),('V06 Calend 01'!H13-('V06 Calend 01'!I13*('V06 Calend 01'!E13-1))),'V06 Calend 01'!I13),0))+IF((42='V06 Calend 01'!D13),'V06 Calend 01'!J13,0))</f>
        <v>0</v>
      </c>
      <c r="BC13" s="2">
        <f>((IF((43='V06 Calend 01'!C13),('V06 Calend 01'!F13+'V06 Calend 01'!G13),0)+IF(AND(('V06 Calend 01'!E13&gt;0),(43&gt;'V06 Calend 01'!C13),(43&lt;'V06 Calend 01'!D13),(MOD((43-'V06 Calend 01'!C13),6)=0),(((43-'V06 Calend 01'!C13)/6)&lt;='V06 Calend 01'!E13)),IF((43=('V06 Calend 01'!C13+(6*'V06 Calend 01'!E13))),('V06 Calend 01'!H13-('V06 Calend 01'!I13*('V06 Calend 01'!E13-1))),'V06 Calend 01'!I13),0))+IF((43='V06 Calend 01'!D13),'V06 Calend 01'!J13,0))</f>
        <v>0</v>
      </c>
      <c r="BD13" s="2">
        <f>((IF((44='V06 Calend 01'!C13),('V06 Calend 01'!F13+'V06 Calend 01'!G13),0)+IF(AND(('V06 Calend 01'!E13&gt;0),(44&gt;'V06 Calend 01'!C13),(44&lt;'V06 Calend 01'!D13),(MOD((44-'V06 Calend 01'!C13),6)=0),(((44-'V06 Calend 01'!C13)/6)&lt;='V06 Calend 01'!E13)),IF((44=('V06 Calend 01'!C13+(6*'V06 Calend 01'!E13))),('V06 Calend 01'!H13-('V06 Calend 01'!I13*('V06 Calend 01'!E13-1))),'V06 Calend 01'!I13),0))+IF((44='V06 Calend 01'!D13),'V06 Calend 01'!J13,0))</f>
        <v>0</v>
      </c>
      <c r="BE13" s="2">
        <f>((IF((45='V06 Calend 01'!C13),('V06 Calend 01'!F13+'V06 Calend 01'!G13),0)+IF(AND(('V06 Calend 01'!E13&gt;0),(45&gt;'V06 Calend 01'!C13),(45&lt;'V06 Calend 01'!D13),(MOD((45-'V06 Calend 01'!C13),6)=0),(((45-'V06 Calend 01'!C13)/6)&lt;='V06 Calend 01'!E13)),IF((45=('V06 Calend 01'!C13+(6*'V06 Calend 01'!E13))),('V06 Calend 01'!H13-('V06 Calend 01'!I13*('V06 Calend 01'!E13-1))),'V06 Calend 01'!I13),0))+IF((45='V06 Calend 01'!D13),'V06 Calend 01'!J13,0))</f>
        <v>0</v>
      </c>
      <c r="BF13" s="2">
        <f>((IF((46='V06 Calend 01'!C13),('V06 Calend 01'!F13+'V06 Calend 01'!G13),0)+IF(AND(('V06 Calend 01'!E13&gt;0),(46&gt;'V06 Calend 01'!C13),(46&lt;'V06 Calend 01'!D13),(MOD((46-'V06 Calend 01'!C13),6)=0),(((46-'V06 Calend 01'!C13)/6)&lt;='V06 Calend 01'!E13)),IF((46=('V06 Calend 01'!C13+(6*'V06 Calend 01'!E13))),('V06 Calend 01'!H13-('V06 Calend 01'!I13*('V06 Calend 01'!E13-1))),'V06 Calend 01'!I13),0))+IF((46='V06 Calend 01'!D13),'V06 Calend 01'!J13,0))</f>
        <v>0</v>
      </c>
      <c r="BG13" s="2">
        <f>((IF((47='V06 Calend 01'!C13),('V06 Calend 01'!F13+'V06 Calend 01'!G13),0)+IF(AND(('V06 Calend 01'!E13&gt;0),(47&gt;'V06 Calend 01'!C13),(47&lt;'V06 Calend 01'!D13),(MOD((47-'V06 Calend 01'!C13),6)=0),(((47-'V06 Calend 01'!C13)/6)&lt;='V06 Calend 01'!E13)),IF((47=('V06 Calend 01'!C13+(6*'V06 Calend 01'!E13))),('V06 Calend 01'!H13-('V06 Calend 01'!I13*('V06 Calend 01'!E13-1))),'V06 Calend 01'!I13),0))+IF((47='V06 Calend 01'!D13),'V06 Calend 01'!J13,0))</f>
        <v>0</v>
      </c>
      <c r="BH13" s="2">
        <f>((IF((48='V06 Calend 01'!C13),('V06 Calend 01'!F13+'V06 Calend 01'!G13),0)+IF(AND(('V06 Calend 01'!E13&gt;0),(48&gt;'V06 Calend 01'!C13),(48&lt;'V06 Calend 01'!D13),(MOD((48-'V06 Calend 01'!C13),6)=0),(((48-'V06 Calend 01'!C13)/6)&lt;='V06 Calend 01'!E13)),IF((48=('V06 Calend 01'!C13+(6*'V06 Calend 01'!E13))),('V06 Calend 01'!H13-('V06 Calend 01'!I13*('V06 Calend 01'!E13-1))),'V06 Calend 01'!I13),0))+IF((48='V06 Calend 01'!D13),'V06 Calend 01'!J13,0))</f>
        <v>0</v>
      </c>
      <c r="BI13" s="2">
        <f>((IF((49='V06 Calend 01'!C13),('V06 Calend 01'!F13+'V06 Calend 01'!G13),0)+IF(AND(('V06 Calend 01'!E13&gt;0),(49&gt;'V06 Calend 01'!C13),(49&lt;'V06 Calend 01'!D13),(MOD((49-'V06 Calend 01'!C13),6)=0),(((49-'V06 Calend 01'!C13)/6)&lt;='V06 Calend 01'!E13)),IF((49=('V06 Calend 01'!C13+(6*'V06 Calend 01'!E13))),('V06 Calend 01'!H13-('V06 Calend 01'!I13*('V06 Calend 01'!E13-1))),'V06 Calend 01'!I13),0))+IF((49='V06 Calend 01'!D13),'V06 Calend 01'!J13,0))</f>
        <v>0</v>
      </c>
      <c r="BJ13" s="2">
        <f>((IF((50='V06 Calend 01'!C13),('V06 Calend 01'!F13+'V06 Calend 01'!G13),0)+IF(AND(('V06 Calend 01'!E13&gt;0),(50&gt;'V06 Calend 01'!C13),(50&lt;'V06 Calend 01'!D13),(MOD((50-'V06 Calend 01'!C13),6)=0),(((50-'V06 Calend 01'!C13)/6)&lt;='V06 Calend 01'!E13)),IF((50=('V06 Calend 01'!C13+(6*'V06 Calend 01'!E13))),('V06 Calend 01'!H13-('V06 Calend 01'!I13*('V06 Calend 01'!E13-1))),'V06 Calend 01'!I13),0))+IF((50='V06 Calend 01'!D13),'V06 Calend 01'!J13,0))</f>
        <v>0</v>
      </c>
      <c r="BK13" s="2">
        <f>((IF((51='V06 Calend 01'!C13),('V06 Calend 01'!F13+'V06 Calend 01'!G13),0)+IF(AND(('V06 Calend 01'!E13&gt;0),(51&gt;'V06 Calend 01'!C13),(51&lt;'V06 Calend 01'!D13),(MOD((51-'V06 Calend 01'!C13),6)=0),(((51-'V06 Calend 01'!C13)/6)&lt;='V06 Calend 01'!E13)),IF((51=('V06 Calend 01'!C13+(6*'V06 Calend 01'!E13))),('V06 Calend 01'!H13-('V06 Calend 01'!I13*('V06 Calend 01'!E13-1))),'V06 Calend 01'!I13),0))+IF((51='V06 Calend 01'!D13),'V06 Calend 01'!J13,0))</f>
        <v>0</v>
      </c>
      <c r="BL13" s="2">
        <f>((IF((52='V06 Calend 01'!C13),('V06 Calend 01'!F13+'V06 Calend 01'!G13),0)+IF(AND(('V06 Calend 01'!E13&gt;0),(52&gt;'V06 Calend 01'!C13),(52&lt;'V06 Calend 01'!D13),(MOD((52-'V06 Calend 01'!C13),6)=0),(((52-'V06 Calend 01'!C13)/6)&lt;='V06 Calend 01'!E13)),IF((52=('V06 Calend 01'!C13+(6*'V06 Calend 01'!E13))),('V06 Calend 01'!H13-('V06 Calend 01'!I13*('V06 Calend 01'!E13-1))),'V06 Calend 01'!I13),0))+IF((52='V06 Calend 01'!D13),'V06 Calend 01'!J13,0))</f>
        <v>0</v>
      </c>
      <c r="BM13" s="2">
        <f>((IF((53='V06 Calend 01'!C13),('V06 Calend 01'!F13+'V06 Calend 01'!G13),0)+IF(AND(('V06 Calend 01'!E13&gt;0),(53&gt;'V06 Calend 01'!C13),(53&lt;'V06 Calend 01'!D13),(MOD((53-'V06 Calend 01'!C13),6)=0),(((53-'V06 Calend 01'!C13)/6)&lt;='V06 Calend 01'!E13)),IF((53=('V06 Calend 01'!C13+(6*'V06 Calend 01'!E13))),('V06 Calend 01'!H13-('V06 Calend 01'!I13*('V06 Calend 01'!E13-1))),'V06 Calend 01'!I13),0))+IF((53='V06 Calend 01'!D13),'V06 Calend 01'!J13,0))</f>
        <v>0</v>
      </c>
      <c r="BN13" s="2">
        <f>((IF((54='V06 Calend 01'!C13),('V06 Calend 01'!F13+'V06 Calend 01'!G13),0)+IF(AND(('V06 Calend 01'!E13&gt;0),(54&gt;'V06 Calend 01'!C13),(54&lt;'V06 Calend 01'!D13),(MOD((54-'V06 Calend 01'!C13),6)=0),(((54-'V06 Calend 01'!C13)/6)&lt;='V06 Calend 01'!E13)),IF((54=('V06 Calend 01'!C13+(6*'V06 Calend 01'!E13))),('V06 Calend 01'!H13-('V06 Calend 01'!I13*('V06 Calend 01'!E13-1))),'V06 Calend 01'!I13),0))+IF((54='V06 Calend 01'!D13),'V06 Calend 01'!J13,0))</f>
        <v>0</v>
      </c>
      <c r="BO13" s="2">
        <f>((IF((55='V06 Calend 01'!C13),('V06 Calend 01'!F13+'V06 Calend 01'!G13),0)+IF(AND(('V06 Calend 01'!E13&gt;0),(55&gt;'V06 Calend 01'!C13),(55&lt;'V06 Calend 01'!D13),(MOD((55-'V06 Calend 01'!C13),6)=0),(((55-'V06 Calend 01'!C13)/6)&lt;='V06 Calend 01'!E13)),IF((55=('V06 Calend 01'!C13+(6*'V06 Calend 01'!E13))),('V06 Calend 01'!H13-('V06 Calend 01'!I13*('V06 Calend 01'!E13-1))),'V06 Calend 01'!I13),0))+IF((55='V06 Calend 01'!D13),'V06 Calend 01'!J13,0))</f>
        <v>0</v>
      </c>
      <c r="BP13" s="2">
        <f>((IF((56='V06 Calend 01'!C13),('V06 Calend 01'!F13+'V06 Calend 01'!G13),0)+IF(AND(('V06 Calend 01'!E13&gt;0),(56&gt;'V06 Calend 01'!C13),(56&lt;'V06 Calend 01'!D13),(MOD((56-'V06 Calend 01'!C13),6)=0),(((56-'V06 Calend 01'!C13)/6)&lt;='V06 Calend 01'!E13)),IF((56=('V06 Calend 01'!C13+(6*'V06 Calend 01'!E13))),('V06 Calend 01'!H13-('V06 Calend 01'!I13*('V06 Calend 01'!E13-1))),'V06 Calend 01'!I13),0))+IF((56='V06 Calend 01'!D13),'V06 Calend 01'!J13,0))</f>
        <v>0</v>
      </c>
      <c r="BQ13" s="2">
        <f>((IF((57='V06 Calend 01'!C13),('V06 Calend 01'!F13+'V06 Calend 01'!G13),0)+IF(AND(('V06 Calend 01'!E13&gt;0),(57&gt;'V06 Calend 01'!C13),(57&lt;'V06 Calend 01'!D13),(MOD((57-'V06 Calend 01'!C13),6)=0),(((57-'V06 Calend 01'!C13)/6)&lt;='V06 Calend 01'!E13)),IF((57=('V06 Calend 01'!C13+(6*'V06 Calend 01'!E13))),('V06 Calend 01'!H13-('V06 Calend 01'!I13*('V06 Calend 01'!E13-1))),'V06 Calend 01'!I13),0))+IF((57='V06 Calend 01'!D13),'V06 Calend 01'!J13,0))</f>
        <v>0</v>
      </c>
      <c r="BR13" s="2">
        <f>((IF((58='V06 Calend 01'!C13),('V06 Calend 01'!F13+'V06 Calend 01'!G13),0)+IF(AND(('V06 Calend 01'!E13&gt;0),(58&gt;'V06 Calend 01'!C13),(58&lt;'V06 Calend 01'!D13),(MOD((58-'V06 Calend 01'!C13),6)=0),(((58-'V06 Calend 01'!C13)/6)&lt;='V06 Calend 01'!E13)),IF((58=('V06 Calend 01'!C13+(6*'V06 Calend 01'!E13))),('V06 Calend 01'!H13-('V06 Calend 01'!I13*('V06 Calend 01'!E13-1))),'V06 Calend 01'!I13),0))+IF((58='V06 Calend 01'!D13),'V06 Calend 01'!J13,0))</f>
        <v>0</v>
      </c>
      <c r="BS13" s="2">
        <f>((IF((59='V06 Calend 01'!C13),('V06 Calend 01'!F13+'V06 Calend 01'!G13),0)+IF(AND(('V06 Calend 01'!E13&gt;0),(59&gt;'V06 Calend 01'!C13),(59&lt;'V06 Calend 01'!D13),(MOD((59-'V06 Calend 01'!C13),6)=0),(((59-'V06 Calend 01'!C13)/6)&lt;='V06 Calend 01'!E13)),IF((59=('V06 Calend 01'!C13+(6*'V06 Calend 01'!E13))),('V06 Calend 01'!H13-('V06 Calend 01'!I13*('V06 Calend 01'!E13-1))),'V06 Calend 01'!I13),0))+IF((59='V06 Calend 01'!D13),'V06 Calend 01'!J13,0))</f>
        <v>0</v>
      </c>
      <c r="BT13" s="2">
        <f>((IF((60='V06 Calend 01'!C13),('V06 Calend 01'!F13+'V06 Calend 01'!G13),0)+IF(AND(('V06 Calend 01'!E13&gt;0),(60&gt;'V06 Calend 01'!C13),(60&lt;'V06 Calend 01'!D13),(MOD((60-'V06 Calend 01'!C13),6)=0),(((60-'V06 Calend 01'!C13)/6)&lt;='V06 Calend 01'!E13)),IF((60=('V06 Calend 01'!C13+(6*'V06 Calend 01'!E13))),('V06 Calend 01'!H13-('V06 Calend 01'!I13*('V06 Calend 01'!E13-1))),'V06 Calend 01'!I13),0))+IF((60='V06 Calend 01'!D13),'V06 Calend 01'!J13,0))</f>
        <v>0</v>
      </c>
      <c r="BU13" s="2">
        <f>((IF((61='V06 Calend 01'!C13),('V06 Calend 01'!F13+'V06 Calend 01'!G13),0)+IF(AND(('V06 Calend 01'!E13&gt;0),(61&gt;'V06 Calend 01'!C13),(61&lt;'V06 Calend 01'!D13),(MOD((61-'V06 Calend 01'!C13),6)=0),(((61-'V06 Calend 01'!C13)/6)&lt;='V06 Calend 01'!E13)),IF((61=('V06 Calend 01'!C13+(6*'V06 Calend 01'!E13))),('V06 Calend 01'!H13-('V06 Calend 01'!I13*('V06 Calend 01'!E13-1))),'V06 Calend 01'!I13),0))+IF((61='V06 Calend 01'!D13),'V06 Calend 01'!J13,0))</f>
        <v>0</v>
      </c>
      <c r="BV13" s="2">
        <f>((IF((62='V06 Calend 01'!C13),('V06 Calend 01'!F13+'V06 Calend 01'!G13),0)+IF(AND(('V06 Calend 01'!E13&gt;0),(62&gt;'V06 Calend 01'!C13),(62&lt;'V06 Calend 01'!D13),(MOD((62-'V06 Calend 01'!C13),6)=0),(((62-'V06 Calend 01'!C13)/6)&lt;='V06 Calend 01'!E13)),IF((62=('V06 Calend 01'!C13+(6*'V06 Calend 01'!E13))),('V06 Calend 01'!H13-('V06 Calend 01'!I13*('V06 Calend 01'!E13-1))),'V06 Calend 01'!I13),0))+IF((62='V06 Calend 01'!D13),'V06 Calend 01'!J13,0))</f>
        <v>0</v>
      </c>
      <c r="BW13" s="2">
        <f>((IF((63='V06 Calend 01'!C13),('V06 Calend 01'!F13+'V06 Calend 01'!G13),0)+IF(AND(('V06 Calend 01'!E13&gt;0),(63&gt;'V06 Calend 01'!C13),(63&lt;'V06 Calend 01'!D13),(MOD((63-'V06 Calend 01'!C13),6)=0),(((63-'V06 Calend 01'!C13)/6)&lt;='V06 Calend 01'!E13)),IF((63=('V06 Calend 01'!C13+(6*'V06 Calend 01'!E13))),('V06 Calend 01'!H13-('V06 Calend 01'!I13*('V06 Calend 01'!E13-1))),'V06 Calend 01'!I13),0))+IF((63='V06 Calend 01'!D13),'V06 Calend 01'!J13,0))</f>
        <v>0</v>
      </c>
      <c r="BX13" s="2">
        <f>((IF((64='V06 Calend 01'!C13),('V06 Calend 01'!F13+'V06 Calend 01'!G13),0)+IF(AND(('V06 Calend 01'!E13&gt;0),(64&gt;'V06 Calend 01'!C13),(64&lt;'V06 Calend 01'!D13),(MOD((64-'V06 Calend 01'!C13),6)=0),(((64-'V06 Calend 01'!C13)/6)&lt;='V06 Calend 01'!E13)),IF((64=('V06 Calend 01'!C13+(6*'V06 Calend 01'!E13))),('V06 Calend 01'!H13-('V06 Calend 01'!I13*('V06 Calend 01'!E13-1))),'V06 Calend 01'!I13),0))+IF((64='V06 Calend 01'!D13),'V06 Calend 01'!J13,0))</f>
        <v>0</v>
      </c>
      <c r="BY13" s="2">
        <f>((IF((65='V06 Calend 01'!C13),('V06 Calend 01'!F13+'V06 Calend 01'!G13),0)+IF(AND(('V06 Calend 01'!E13&gt;0),(65&gt;'V06 Calend 01'!C13),(65&lt;'V06 Calend 01'!D13),(MOD((65-'V06 Calend 01'!C13),6)=0),(((65-'V06 Calend 01'!C13)/6)&lt;='V06 Calend 01'!E13)),IF((65=('V06 Calend 01'!C13+(6*'V06 Calend 01'!E13))),('V06 Calend 01'!H13-('V06 Calend 01'!I13*('V06 Calend 01'!E13-1))),'V06 Calend 01'!I13),0))+IF((65='V06 Calend 01'!D13),'V06 Calend 01'!J13,0))</f>
        <v>0</v>
      </c>
      <c r="BZ13" s="2">
        <f>((IF((66='V06 Calend 01'!C13),('V06 Calend 01'!F13+'V06 Calend 01'!G13),0)+IF(AND(('V06 Calend 01'!E13&gt;0),(66&gt;'V06 Calend 01'!C13),(66&lt;'V06 Calend 01'!D13),(MOD((66-'V06 Calend 01'!C13),6)=0),(((66-'V06 Calend 01'!C13)/6)&lt;='V06 Calend 01'!E13)),IF((66=('V06 Calend 01'!C13+(6*'V06 Calend 01'!E13))),('V06 Calend 01'!H13-('V06 Calend 01'!I13*('V06 Calend 01'!E13-1))),'V06 Calend 01'!I13),0))+IF((66='V06 Calend 01'!D13),'V06 Calend 01'!J13,0))</f>
        <v>0</v>
      </c>
      <c r="CA13" s="2">
        <f>((IF((67='V06 Calend 01'!C13),('V06 Calend 01'!F13+'V06 Calend 01'!G13),0)+IF(AND(('V06 Calend 01'!E13&gt;0),(67&gt;'V06 Calend 01'!C13),(67&lt;'V06 Calend 01'!D13),(MOD((67-'V06 Calend 01'!C13),6)=0),(((67-'V06 Calend 01'!C13)/6)&lt;='V06 Calend 01'!E13)),IF((67=('V06 Calend 01'!C13+(6*'V06 Calend 01'!E13))),('V06 Calend 01'!H13-('V06 Calend 01'!I13*('V06 Calend 01'!E13-1))),'V06 Calend 01'!I13),0))+IF((67='V06 Calend 01'!D13),'V06 Calend 01'!J13,0))</f>
        <v>0</v>
      </c>
      <c r="CB13" s="2">
        <f>((IF((68='V06 Calend 01'!C13),('V06 Calend 01'!F13+'V06 Calend 01'!G13),0)+IF(AND(('V06 Calend 01'!E13&gt;0),(68&gt;'V06 Calend 01'!C13),(68&lt;'V06 Calend 01'!D13),(MOD((68-'V06 Calend 01'!C13),6)=0),(((68-'V06 Calend 01'!C13)/6)&lt;='V06 Calend 01'!E13)),IF((68=('V06 Calend 01'!C13+(6*'V06 Calend 01'!E13))),('V06 Calend 01'!H13-('V06 Calend 01'!I13*('V06 Calend 01'!E13-1))),'V06 Calend 01'!I13),0))+IF((68='V06 Calend 01'!D13),'V06 Calend 01'!J13,0))</f>
        <v>0</v>
      </c>
      <c r="CC13" s="2">
        <f>((IF((69='V06 Calend 01'!C13),('V06 Calend 01'!F13+'V06 Calend 01'!G13),0)+IF(AND(('V06 Calend 01'!E13&gt;0),(69&gt;'V06 Calend 01'!C13),(69&lt;'V06 Calend 01'!D13),(MOD((69-'V06 Calend 01'!C13),6)=0),(((69-'V06 Calend 01'!C13)/6)&lt;='V06 Calend 01'!E13)),IF((69=('V06 Calend 01'!C13+(6*'V06 Calend 01'!E13))),('V06 Calend 01'!H13-('V06 Calend 01'!I13*('V06 Calend 01'!E13-1))),'V06 Calend 01'!I13),0))+IF((69='V06 Calend 01'!D13),'V06 Calend 01'!J13,0))</f>
        <v>0</v>
      </c>
      <c r="CD13" s="2">
        <f>((IF((70='V06 Calend 01'!C13),('V06 Calend 01'!F13+'V06 Calend 01'!G13),0)+IF(AND(('V06 Calend 01'!E13&gt;0),(70&gt;'V06 Calend 01'!C13),(70&lt;'V06 Calend 01'!D13),(MOD((70-'V06 Calend 01'!C13),6)=0),(((70-'V06 Calend 01'!C13)/6)&lt;='V06 Calend 01'!E13)),IF((70=('V06 Calend 01'!C13+(6*'V06 Calend 01'!E13))),('V06 Calend 01'!H13-('V06 Calend 01'!I13*('V06 Calend 01'!E13-1))),'V06 Calend 01'!I13),0))+IF((70='V06 Calend 01'!D13),'V06 Calend 01'!J13,0))</f>
        <v>0</v>
      </c>
      <c r="CE13" s="2">
        <f>((IF((71='V06 Calend 01'!C13),('V06 Calend 01'!F13+'V06 Calend 01'!G13),0)+IF(AND(('V06 Calend 01'!E13&gt;0),(71&gt;'V06 Calend 01'!C13),(71&lt;'V06 Calend 01'!D13),(MOD((71-'V06 Calend 01'!C13),6)=0),(((71-'V06 Calend 01'!C13)/6)&lt;='V06 Calend 01'!E13)),IF((71=('V06 Calend 01'!C13+(6*'V06 Calend 01'!E13))),('V06 Calend 01'!H13-('V06 Calend 01'!I13*('V06 Calend 01'!E13-1))),'V06 Calend 01'!I13),0))+IF((71='V06 Calend 01'!D13),'V06 Calend 01'!J13,0))</f>
        <v>0</v>
      </c>
      <c r="CF13" s="2">
        <f>((IF((72='V06 Calend 01'!C13),('V06 Calend 01'!F13+'V06 Calend 01'!G13),0)+IF(AND(('V06 Calend 01'!E13&gt;0),(72&gt;'V06 Calend 01'!C13),(72&lt;'V06 Calend 01'!D13),(MOD((72-'V06 Calend 01'!C13),6)=0),(((72-'V06 Calend 01'!C13)/6)&lt;='V06 Calend 01'!E13)),IF((72=('V06 Calend 01'!C13+(6*'V06 Calend 01'!E13))),('V06 Calend 01'!H13-('V06 Calend 01'!I13*('V06 Calend 01'!E13-1))),'V06 Calend 01'!I13),0))+IF((72='V06 Calend 01'!D13),'V06 Calend 01'!J13,0))</f>
        <v>0</v>
      </c>
      <c r="CG13" s="2">
        <f>((IF((73='V06 Calend 01'!C13),('V06 Calend 01'!F13+'V06 Calend 01'!G13),0)+IF(AND(('V06 Calend 01'!E13&gt;0),(73&gt;'V06 Calend 01'!C13),(73&lt;'V06 Calend 01'!D13),(MOD((73-'V06 Calend 01'!C13),6)=0),(((73-'V06 Calend 01'!C13)/6)&lt;='V06 Calend 01'!E13)),IF((73=('V06 Calend 01'!C13+(6*'V06 Calend 01'!E13))),('V06 Calend 01'!H13-('V06 Calend 01'!I13*('V06 Calend 01'!E13-1))),'V06 Calend 01'!I13),0))+IF((73='V06 Calend 01'!D13),'V06 Calend 01'!J13,0))</f>
        <v>0</v>
      </c>
      <c r="CH13" s="2">
        <f>((IF((74='V06 Calend 01'!C13),('V06 Calend 01'!F13+'V06 Calend 01'!G13),0)+IF(AND(('V06 Calend 01'!E13&gt;0),(74&gt;'V06 Calend 01'!C13),(74&lt;'V06 Calend 01'!D13),(MOD((74-'V06 Calend 01'!C13),6)=0),(((74-'V06 Calend 01'!C13)/6)&lt;='V06 Calend 01'!E13)),IF((74=('V06 Calend 01'!C13+(6*'V06 Calend 01'!E13))),('V06 Calend 01'!H13-('V06 Calend 01'!I13*('V06 Calend 01'!E13-1))),'V06 Calend 01'!I13),0))+IF((74='V06 Calend 01'!D13),'V06 Calend 01'!J13,0))</f>
        <v>0</v>
      </c>
      <c r="CI13" s="2">
        <f>((IF((75='V06 Calend 01'!C13),('V06 Calend 01'!F13+'V06 Calend 01'!G13),0)+IF(AND(('V06 Calend 01'!E13&gt;0),(75&gt;'V06 Calend 01'!C13),(75&lt;'V06 Calend 01'!D13),(MOD((75-'V06 Calend 01'!C13),6)=0),(((75-'V06 Calend 01'!C13)/6)&lt;='V06 Calend 01'!E13)),IF((75=('V06 Calend 01'!C13+(6*'V06 Calend 01'!E13))),('V06 Calend 01'!H13-('V06 Calend 01'!I13*('V06 Calend 01'!E13-1))),'V06 Calend 01'!I13),0))+IF((75='V06 Calend 01'!D13),'V06 Calend 01'!J13,0))</f>
        <v>0</v>
      </c>
      <c r="CJ13" s="2">
        <f>((IF((76='V06 Calend 01'!C13),('V06 Calend 01'!F13+'V06 Calend 01'!G13),0)+IF(AND(('V06 Calend 01'!E13&gt;0),(76&gt;'V06 Calend 01'!C13),(76&lt;'V06 Calend 01'!D13),(MOD((76-'V06 Calend 01'!C13),6)=0),(((76-'V06 Calend 01'!C13)/6)&lt;='V06 Calend 01'!E13)),IF((76=('V06 Calend 01'!C13+(6*'V06 Calend 01'!E13))),('V06 Calend 01'!H13-('V06 Calend 01'!I13*('V06 Calend 01'!E13-1))),'V06 Calend 01'!I13),0))+IF((76='V06 Calend 01'!D13),'V06 Calend 01'!J13,0))</f>
        <v>0</v>
      </c>
      <c r="CK13" s="2">
        <f>((IF((77='V06 Calend 01'!C13),('V06 Calend 01'!F13+'V06 Calend 01'!G13),0)+IF(AND(('V06 Calend 01'!E13&gt;0),(77&gt;'V06 Calend 01'!C13),(77&lt;'V06 Calend 01'!D13),(MOD((77-'V06 Calend 01'!C13),6)=0),(((77-'V06 Calend 01'!C13)/6)&lt;='V06 Calend 01'!E13)),IF((77=('V06 Calend 01'!C13+(6*'V06 Calend 01'!E13))),('V06 Calend 01'!H13-('V06 Calend 01'!I13*('V06 Calend 01'!E13-1))),'V06 Calend 01'!I13),0))+IF((77='V06 Calend 01'!D13),'V06 Calend 01'!J13,0))</f>
        <v>0</v>
      </c>
      <c r="CL13" s="2">
        <f>((IF((78='V06 Calend 01'!C13),('V06 Calend 01'!F13+'V06 Calend 01'!G13),0)+IF(AND(('V06 Calend 01'!E13&gt;0),(78&gt;'V06 Calend 01'!C13),(78&lt;'V06 Calend 01'!D13),(MOD((78-'V06 Calend 01'!C13),6)=0),(((78-'V06 Calend 01'!C13)/6)&lt;='V06 Calend 01'!E13)),IF((78=('V06 Calend 01'!C13+(6*'V06 Calend 01'!E13))),('V06 Calend 01'!H13-('V06 Calend 01'!I13*('V06 Calend 01'!E13-1))),'V06 Calend 01'!I13),0))+IF((78='V06 Calend 01'!D13),'V06 Calend 01'!J13,0))</f>
        <v>0</v>
      </c>
      <c r="CM13" s="2">
        <f>((IF((79='V06 Calend 01'!C13),('V06 Calend 01'!F13+'V06 Calend 01'!G13),0)+IF(AND(('V06 Calend 01'!E13&gt;0),(79&gt;'V06 Calend 01'!C13),(79&lt;'V06 Calend 01'!D13),(MOD((79-'V06 Calend 01'!C13),6)=0),(((79-'V06 Calend 01'!C13)/6)&lt;='V06 Calend 01'!E13)),IF((79=('V06 Calend 01'!C13+(6*'V06 Calend 01'!E13))),('V06 Calend 01'!H13-('V06 Calend 01'!I13*('V06 Calend 01'!E13-1))),'V06 Calend 01'!I13),0))+IF((79='V06 Calend 01'!D13),'V06 Calend 01'!J13,0))</f>
        <v>0</v>
      </c>
      <c r="CN13" s="2">
        <f>((IF((80='V06 Calend 01'!C13),('V06 Calend 01'!F13+'V06 Calend 01'!G13),0)+IF(AND(('V06 Calend 01'!E13&gt;0),(80&gt;'V06 Calend 01'!C13),(80&lt;'V06 Calend 01'!D13),(MOD((80-'V06 Calend 01'!C13),6)=0),(((80-'V06 Calend 01'!C13)/6)&lt;='V06 Calend 01'!E13)),IF((80=('V06 Calend 01'!C13+(6*'V06 Calend 01'!E13))),('V06 Calend 01'!H13-('V06 Calend 01'!I13*('V06 Calend 01'!E13-1))),'V06 Calend 01'!I13),0))+IF((80='V06 Calend 01'!D13),'V06 Calend 01'!J13,0))</f>
        <v>0</v>
      </c>
      <c r="CO13" s="2">
        <f>((IF((81='V06 Calend 01'!C13),('V06 Calend 01'!F13+'V06 Calend 01'!G13),0)+IF(AND(('V06 Calend 01'!E13&gt;0),(81&gt;'V06 Calend 01'!C13),(81&lt;'V06 Calend 01'!D13),(MOD((81-'V06 Calend 01'!C13),6)=0),(((81-'V06 Calend 01'!C13)/6)&lt;='V06 Calend 01'!E13)),IF((81=('V06 Calend 01'!C13+(6*'V06 Calend 01'!E13))),('V06 Calend 01'!H13-('V06 Calend 01'!I13*('V06 Calend 01'!E13-1))),'V06 Calend 01'!I13),0))+IF((81='V06 Calend 01'!D13),'V06 Calend 01'!J13,0))</f>
        <v>0</v>
      </c>
      <c r="CP13" s="2">
        <f>((IF((82='V06 Calend 01'!C13),('V06 Calend 01'!F13+'V06 Calend 01'!G13),0)+IF(AND(('V06 Calend 01'!E13&gt;0),(82&gt;'V06 Calend 01'!C13),(82&lt;'V06 Calend 01'!D13),(MOD((82-'V06 Calend 01'!C13),6)=0),(((82-'V06 Calend 01'!C13)/6)&lt;='V06 Calend 01'!E13)),IF((82=('V06 Calend 01'!C13+(6*'V06 Calend 01'!E13))),('V06 Calend 01'!H13-('V06 Calend 01'!I13*('V06 Calend 01'!E13-1))),'V06 Calend 01'!I13),0))+IF((82='V06 Calend 01'!D13),'V06 Calend 01'!J13,0))</f>
        <v>0</v>
      </c>
      <c r="CQ13" s="2">
        <f>((IF((83='V06 Calend 01'!C13),('V06 Calend 01'!F13+'V06 Calend 01'!G13),0)+IF(AND(('V06 Calend 01'!E13&gt;0),(83&gt;'V06 Calend 01'!C13),(83&lt;'V06 Calend 01'!D13),(MOD((83-'V06 Calend 01'!C13),6)=0),(((83-'V06 Calend 01'!C13)/6)&lt;='V06 Calend 01'!E13)),IF((83=('V06 Calend 01'!C13+(6*'V06 Calend 01'!E13))),('V06 Calend 01'!H13-('V06 Calend 01'!I13*('V06 Calend 01'!E13-1))),'V06 Calend 01'!I13),0))+IF((83='V06 Calend 01'!D13),'V06 Calend 01'!J13,0))</f>
        <v>0</v>
      </c>
      <c r="CR13" s="2">
        <f>((IF((84='V06 Calend 01'!C13),('V06 Calend 01'!F13+'V06 Calend 01'!G13),0)+IF(AND(('V06 Calend 01'!E13&gt;0),(84&gt;'V06 Calend 01'!C13),(84&lt;'V06 Calend 01'!D13),(MOD((84-'V06 Calend 01'!C13),6)=0),(((84-'V06 Calend 01'!C13)/6)&lt;='V06 Calend 01'!E13)),IF((84=('V06 Calend 01'!C13+(6*'V06 Calend 01'!E13))),('V06 Calend 01'!H13-('V06 Calend 01'!I13*('V06 Calend 01'!E13-1))),'V06 Calend 01'!I13),0))+IF((84='V06 Calend 01'!D13),'V06 Calend 01'!J13,0))</f>
        <v>0</v>
      </c>
      <c r="CS13" s="2">
        <f>((IF((85='V06 Calend 01'!C13),('V06 Calend 01'!F13+'V06 Calend 01'!G13),0)+IF(AND(('V06 Calend 01'!E13&gt;0),(85&gt;'V06 Calend 01'!C13),(85&lt;'V06 Calend 01'!D13),(MOD((85-'V06 Calend 01'!C13),6)=0),(((85-'V06 Calend 01'!C13)/6)&lt;='V06 Calend 01'!E13)),IF((85=('V06 Calend 01'!C13+(6*'V06 Calend 01'!E13))),('V06 Calend 01'!H13-('V06 Calend 01'!I13*('V06 Calend 01'!E13-1))),'V06 Calend 01'!I13),0))+IF((85='V06 Calend 01'!D13),'V06 Calend 01'!J13,0))</f>
        <v>0</v>
      </c>
      <c r="CT13" s="2">
        <f>((IF((86='V06 Calend 01'!C13),('V06 Calend 01'!F13+'V06 Calend 01'!G13),0)+IF(AND(('V06 Calend 01'!E13&gt;0),(86&gt;'V06 Calend 01'!C13),(86&lt;'V06 Calend 01'!D13),(MOD((86-'V06 Calend 01'!C13),6)=0),(((86-'V06 Calend 01'!C13)/6)&lt;='V06 Calend 01'!E13)),IF((86=('V06 Calend 01'!C13+(6*'V06 Calend 01'!E13))),('V06 Calend 01'!H13-('V06 Calend 01'!I13*('V06 Calend 01'!E13-1))),'V06 Calend 01'!I13),0))+IF((86='V06 Calend 01'!D13),'V06 Calend 01'!J13,0))</f>
        <v>0</v>
      </c>
      <c r="CU13" s="2">
        <f>((IF((87='V06 Calend 01'!C13),('V06 Calend 01'!F13+'V06 Calend 01'!G13),0)+IF(AND(('V06 Calend 01'!E13&gt;0),(87&gt;'V06 Calend 01'!C13),(87&lt;'V06 Calend 01'!D13),(MOD((87-'V06 Calend 01'!C13),6)=0),(((87-'V06 Calend 01'!C13)/6)&lt;='V06 Calend 01'!E13)),IF((87=('V06 Calend 01'!C13+(6*'V06 Calend 01'!E13))),('V06 Calend 01'!H13-('V06 Calend 01'!I13*('V06 Calend 01'!E13-1))),'V06 Calend 01'!I13),0))+IF((87='V06 Calend 01'!D13),'V06 Calend 01'!J13,0))</f>
        <v>0</v>
      </c>
      <c r="CV13" s="2">
        <f>((IF((88='V06 Calend 01'!C13),('V06 Calend 01'!F13+'V06 Calend 01'!G13),0)+IF(AND(('V06 Calend 01'!E13&gt;0),(88&gt;'V06 Calend 01'!C13),(88&lt;'V06 Calend 01'!D13),(MOD((88-'V06 Calend 01'!C13),6)=0),(((88-'V06 Calend 01'!C13)/6)&lt;='V06 Calend 01'!E13)),IF((88=('V06 Calend 01'!C13+(6*'V06 Calend 01'!E13))),('V06 Calend 01'!H13-('V06 Calend 01'!I13*('V06 Calend 01'!E13-1))),'V06 Calend 01'!I13),0))+IF((88='V06 Calend 01'!D13),'V06 Calend 01'!J13,0))</f>
        <v>0</v>
      </c>
      <c r="CW13" s="2">
        <f>((IF((89='V06 Calend 01'!C13),('V06 Calend 01'!F13+'V06 Calend 01'!G13),0)+IF(AND(('V06 Calend 01'!E13&gt;0),(89&gt;'V06 Calend 01'!C13),(89&lt;'V06 Calend 01'!D13),(MOD((89-'V06 Calend 01'!C13),6)=0),(((89-'V06 Calend 01'!C13)/6)&lt;='V06 Calend 01'!E13)),IF((89=('V06 Calend 01'!C13+(6*'V06 Calend 01'!E13))),('V06 Calend 01'!H13-('V06 Calend 01'!I13*('V06 Calend 01'!E13-1))),'V06 Calend 01'!I13),0))+IF((89='V06 Calend 01'!D13),'V06 Calend 01'!J13,0))</f>
        <v>0</v>
      </c>
      <c r="CX13" s="2">
        <f>((IF((90='V06 Calend 01'!C13),('V06 Calend 01'!F13+'V06 Calend 01'!G13),0)+IF(AND(('V06 Calend 01'!E13&gt;0),(90&gt;'V06 Calend 01'!C13),(90&lt;'V06 Calend 01'!D13),(MOD((90-'V06 Calend 01'!C13),6)=0),(((90-'V06 Calend 01'!C13)/6)&lt;='V06 Calend 01'!E13)),IF((90=('V06 Calend 01'!C13+(6*'V06 Calend 01'!E13))),('V06 Calend 01'!H13-('V06 Calend 01'!I13*('V06 Calend 01'!E13-1))),'V06 Calend 01'!I13),0))+IF((90='V06 Calend 01'!D13),'V06 Calend 01'!J13,0))</f>
        <v>0</v>
      </c>
      <c r="CY13" s="2">
        <f>((IF((91='V06 Calend 01'!C13),('V06 Calend 01'!F13+'V06 Calend 01'!G13),0)+IF(AND(('V06 Calend 01'!E13&gt;0),(91&gt;'V06 Calend 01'!C13),(91&lt;'V06 Calend 01'!D13),(MOD((91-'V06 Calend 01'!C13),6)=0),(((91-'V06 Calend 01'!C13)/6)&lt;='V06 Calend 01'!E13)),IF((91=('V06 Calend 01'!C13+(6*'V06 Calend 01'!E13))),('V06 Calend 01'!H13-('V06 Calend 01'!I13*('V06 Calend 01'!E13-1))),'V06 Calend 01'!I13),0))+IF((91='V06 Calend 01'!D13),'V06 Calend 01'!J13,0))</f>
        <v>0</v>
      </c>
      <c r="CZ13" s="2">
        <f>((IF((92='V06 Calend 01'!C13),('V06 Calend 01'!F13+'V06 Calend 01'!G13),0)+IF(AND(('V06 Calend 01'!E13&gt;0),(92&gt;'V06 Calend 01'!C13),(92&lt;'V06 Calend 01'!D13),(MOD((92-'V06 Calend 01'!C13),6)=0),(((92-'V06 Calend 01'!C13)/6)&lt;='V06 Calend 01'!E13)),IF((92=('V06 Calend 01'!C13+(6*'V06 Calend 01'!E13))),('V06 Calend 01'!H13-('V06 Calend 01'!I13*('V06 Calend 01'!E13-1))),'V06 Calend 01'!I13),0))+IF((92='V06 Calend 01'!D13),'V06 Calend 01'!J13,0))</f>
        <v>0</v>
      </c>
      <c r="DA13" s="2">
        <f>((IF((93='V06 Calend 01'!C13),('V06 Calend 01'!F13+'V06 Calend 01'!G13),0)+IF(AND(('V06 Calend 01'!E13&gt;0),(93&gt;'V06 Calend 01'!C13),(93&lt;'V06 Calend 01'!D13),(MOD((93-'V06 Calend 01'!C13),6)=0),(((93-'V06 Calend 01'!C13)/6)&lt;='V06 Calend 01'!E13)),IF((93=('V06 Calend 01'!C13+(6*'V06 Calend 01'!E13))),('V06 Calend 01'!H13-('V06 Calend 01'!I13*('V06 Calend 01'!E13-1))),'V06 Calend 01'!I13),0))+IF((93='V06 Calend 01'!D13),'V06 Calend 01'!J13,0))</f>
        <v>0</v>
      </c>
      <c r="DB13" s="2">
        <f>((IF((94='V06 Calend 01'!C13),('V06 Calend 01'!F13+'V06 Calend 01'!G13),0)+IF(AND(('V06 Calend 01'!E13&gt;0),(94&gt;'V06 Calend 01'!C13),(94&lt;'V06 Calend 01'!D13),(MOD((94-'V06 Calend 01'!C13),6)=0),(((94-'V06 Calend 01'!C13)/6)&lt;='V06 Calend 01'!E13)),IF((94=('V06 Calend 01'!C13+(6*'V06 Calend 01'!E13))),('V06 Calend 01'!H13-('V06 Calend 01'!I13*('V06 Calend 01'!E13-1))),'V06 Calend 01'!I13),0))+IF((94='V06 Calend 01'!D13),'V06 Calend 01'!J13,0))</f>
        <v>0</v>
      </c>
      <c r="DC13" s="2">
        <f>((IF((95='V06 Calend 01'!C13),('V06 Calend 01'!F13+'V06 Calend 01'!G13),0)+IF(AND(('V06 Calend 01'!E13&gt;0),(95&gt;'V06 Calend 01'!C13),(95&lt;'V06 Calend 01'!D13),(MOD((95-'V06 Calend 01'!C13),6)=0),(((95-'V06 Calend 01'!C13)/6)&lt;='V06 Calend 01'!E13)),IF((95=('V06 Calend 01'!C13+(6*'V06 Calend 01'!E13))),('V06 Calend 01'!H13-('V06 Calend 01'!I13*('V06 Calend 01'!E13-1))),'V06 Calend 01'!I13),0))+IF((95='V06 Calend 01'!D13),'V06 Calend 01'!J13,0))</f>
        <v>0</v>
      </c>
      <c r="DD13" s="2">
        <f>((IF((96='V06 Calend 01'!C13),('V06 Calend 01'!F13+'V06 Calend 01'!G13),0)+IF(AND(('V06 Calend 01'!E13&gt;0),(96&gt;'V06 Calend 01'!C13),(96&lt;'V06 Calend 01'!D13),(MOD((96-'V06 Calend 01'!C13),6)=0),(((96-'V06 Calend 01'!C13)/6)&lt;='V06 Calend 01'!E13)),IF((96=('V06 Calend 01'!C13+(6*'V06 Calend 01'!E13))),('V06 Calend 01'!H13-('V06 Calend 01'!I13*('V06 Calend 01'!E13-1))),'V06 Calend 01'!I13),0))+IF((96='V06 Calend 01'!D13),'V06 Calend 01'!J13,0))</f>
        <v>0</v>
      </c>
      <c r="DE13" s="2">
        <f>((IF((97='V06 Calend 01'!C13),('V06 Calend 01'!F13+'V06 Calend 01'!G13),0)+IF(AND(('V06 Calend 01'!E13&gt;0),(97&gt;'V06 Calend 01'!C13),(97&lt;'V06 Calend 01'!D13),(MOD((97-'V06 Calend 01'!C13),6)=0),(((97-'V06 Calend 01'!C13)/6)&lt;='V06 Calend 01'!E13)),IF((97=('V06 Calend 01'!C13+(6*'V06 Calend 01'!E13))),('V06 Calend 01'!H13-('V06 Calend 01'!I13*('V06 Calend 01'!E13-1))),'V06 Calend 01'!I13),0))+IF((97='V06 Calend 01'!D13),'V06 Calend 01'!J13,0))</f>
        <v>0</v>
      </c>
      <c r="DF13" s="2">
        <f>((IF((98='V06 Calend 01'!C13),('V06 Calend 01'!F13+'V06 Calend 01'!G13),0)+IF(AND(('V06 Calend 01'!E13&gt;0),(98&gt;'V06 Calend 01'!C13),(98&lt;'V06 Calend 01'!D13),(MOD((98-'V06 Calend 01'!C13),6)=0),(((98-'V06 Calend 01'!C13)/6)&lt;='V06 Calend 01'!E13)),IF((98=('V06 Calend 01'!C13+(6*'V06 Calend 01'!E13))),('V06 Calend 01'!H13-('V06 Calend 01'!I13*('V06 Calend 01'!E13-1))),'V06 Calend 01'!I13),0))+IF((98='V06 Calend 01'!D13),'V06 Calend 01'!J13,0))</f>
        <v>0</v>
      </c>
      <c r="DG13" s="2">
        <f>((IF((99='V06 Calend 01'!C13),('V06 Calend 01'!F13+'V06 Calend 01'!G13),0)+IF(AND(('V06 Calend 01'!E13&gt;0),(99&gt;'V06 Calend 01'!C13),(99&lt;'V06 Calend 01'!D13),(MOD((99-'V06 Calend 01'!C13),6)=0),(((99-'V06 Calend 01'!C13)/6)&lt;='V06 Calend 01'!E13)),IF((99=('V06 Calend 01'!C13+(6*'V06 Calend 01'!E13))),('V06 Calend 01'!H13-('V06 Calend 01'!I13*('V06 Calend 01'!E13-1))),'V06 Calend 01'!I13),0))+IF((99='V06 Calend 01'!D13),'V06 Calend 01'!J13,0))</f>
        <v>0</v>
      </c>
      <c r="DH13" s="2">
        <f>((IF((100='V06 Calend 01'!C13),('V06 Calend 01'!F13+'V06 Calend 01'!G13),0)+IF(AND(('V06 Calend 01'!E13&gt;0),(100&gt;'V06 Calend 01'!C13),(100&lt;'V06 Calend 01'!D13),(MOD((100-'V06 Calend 01'!C13),6)=0),(((100-'V06 Calend 01'!C13)/6)&lt;='V06 Calend 01'!E13)),IF((100=('V06 Calend 01'!C13+(6*'V06 Calend 01'!E13))),('V06 Calend 01'!H13-('V06 Calend 01'!I13*('V06 Calend 01'!E13-1))),'V06 Calend 01'!I13),0))+IF((100='V06 Calend 01'!D13),'V06 Calend 01'!J13,0))</f>
        <v>0</v>
      </c>
      <c r="DI13" s="2">
        <f>((IF((101='V06 Calend 01'!C13),('V06 Calend 01'!F13+'V06 Calend 01'!G13),0)+IF(AND(('V06 Calend 01'!E13&gt;0),(101&gt;'V06 Calend 01'!C13),(101&lt;'V06 Calend 01'!D13),(MOD((101-'V06 Calend 01'!C13),6)=0),(((101-'V06 Calend 01'!C13)/6)&lt;='V06 Calend 01'!E13)),IF((101=('V06 Calend 01'!C13+(6*'V06 Calend 01'!E13))),('V06 Calend 01'!H13-('V06 Calend 01'!I13*('V06 Calend 01'!E13-1))),'V06 Calend 01'!I13),0))+IF((101='V06 Calend 01'!D13),'V06 Calend 01'!J13,0))</f>
        <v>0</v>
      </c>
      <c r="DJ13" s="2">
        <f>((IF((102='V06 Calend 01'!C13),('V06 Calend 01'!F13+'V06 Calend 01'!G13),0)+IF(AND(('V06 Calend 01'!E13&gt;0),(102&gt;'V06 Calend 01'!C13),(102&lt;'V06 Calend 01'!D13),(MOD((102-'V06 Calend 01'!C13),6)=0),(((102-'V06 Calend 01'!C13)/6)&lt;='V06 Calend 01'!E13)),IF((102=('V06 Calend 01'!C13+(6*'V06 Calend 01'!E13))),('V06 Calend 01'!H13-('V06 Calend 01'!I13*('V06 Calend 01'!E13-1))),'V06 Calend 01'!I13),0))+IF((102='V06 Calend 01'!D13),'V06 Calend 01'!J13,0))</f>
        <v>0</v>
      </c>
      <c r="DK13" s="2">
        <f>((IF((103='V06 Calend 01'!C13),('V06 Calend 01'!F13+'V06 Calend 01'!G13),0)+IF(AND(('V06 Calend 01'!E13&gt;0),(103&gt;'V06 Calend 01'!C13),(103&lt;'V06 Calend 01'!D13),(MOD((103-'V06 Calend 01'!C13),6)=0),(((103-'V06 Calend 01'!C13)/6)&lt;='V06 Calend 01'!E13)),IF((103=('V06 Calend 01'!C13+(6*'V06 Calend 01'!E13))),('V06 Calend 01'!H13-('V06 Calend 01'!I13*('V06 Calend 01'!E13-1))),'V06 Calend 01'!I13),0))+IF((103='V06 Calend 01'!D13),'V06 Calend 01'!J13,0))</f>
        <v>0</v>
      </c>
      <c r="DL13" s="2">
        <f>((IF((104='V06 Calend 01'!C13),('V06 Calend 01'!F13+'V06 Calend 01'!G13),0)+IF(AND(('V06 Calend 01'!E13&gt;0),(104&gt;'V06 Calend 01'!C13),(104&lt;'V06 Calend 01'!D13),(MOD((104-'V06 Calend 01'!C13),6)=0),(((104-'V06 Calend 01'!C13)/6)&lt;='V06 Calend 01'!E13)),IF((104=('V06 Calend 01'!C13+(6*'V06 Calend 01'!E13))),('V06 Calend 01'!H13-('V06 Calend 01'!I13*('V06 Calend 01'!E13-1))),'V06 Calend 01'!I13),0))+IF((104='V06 Calend 01'!D13),'V06 Calend 01'!J13,0))</f>
        <v>0</v>
      </c>
      <c r="DM13" s="2">
        <f>((IF((105='V06 Calend 01'!C13),('V06 Calend 01'!F13+'V06 Calend 01'!G13),0)+IF(AND(('V06 Calend 01'!E13&gt;0),(105&gt;'V06 Calend 01'!C13),(105&lt;'V06 Calend 01'!D13),(MOD((105-'V06 Calend 01'!C13),6)=0),(((105-'V06 Calend 01'!C13)/6)&lt;='V06 Calend 01'!E13)),IF((105=('V06 Calend 01'!C13+(6*'V06 Calend 01'!E13))),('V06 Calend 01'!H13-('V06 Calend 01'!I13*('V06 Calend 01'!E13-1))),'V06 Calend 01'!I13),0))+IF((105='V06 Calend 01'!D13),'V06 Calend 01'!J13,0))</f>
        <v>0</v>
      </c>
      <c r="DN13" s="2">
        <f>((IF((106='V06 Calend 01'!C13),('V06 Calend 01'!F13+'V06 Calend 01'!G13),0)+IF(AND(('V06 Calend 01'!E13&gt;0),(106&gt;'V06 Calend 01'!C13),(106&lt;'V06 Calend 01'!D13),(MOD((106-'V06 Calend 01'!C13),6)=0),(((106-'V06 Calend 01'!C13)/6)&lt;='V06 Calend 01'!E13)),IF((106=('V06 Calend 01'!C13+(6*'V06 Calend 01'!E13))),('V06 Calend 01'!H13-('V06 Calend 01'!I13*('V06 Calend 01'!E13-1))),'V06 Calend 01'!I13),0))+IF((106='V06 Calend 01'!D13),'V06 Calend 01'!J13,0))</f>
        <v>0</v>
      </c>
      <c r="DO13" s="2">
        <f>((IF((107='V06 Calend 01'!C13),('V06 Calend 01'!F13+'V06 Calend 01'!G13),0)+IF(AND(('V06 Calend 01'!E13&gt;0),(107&gt;'V06 Calend 01'!C13),(107&lt;'V06 Calend 01'!D13),(MOD((107-'V06 Calend 01'!C13),6)=0),(((107-'V06 Calend 01'!C13)/6)&lt;='V06 Calend 01'!E13)),IF((107=('V06 Calend 01'!C13+(6*'V06 Calend 01'!E13))),('V06 Calend 01'!H13-('V06 Calend 01'!I13*('V06 Calend 01'!E13-1))),'V06 Calend 01'!I13),0))+IF((107='V06 Calend 01'!D13),'V06 Calend 01'!J13,0))</f>
        <v>0</v>
      </c>
      <c r="DP13" s="2">
        <f>((IF((108='V06 Calend 01'!C13),('V06 Calend 01'!F13+'V06 Calend 01'!G13),0)+IF(AND(('V06 Calend 01'!E13&gt;0),(108&gt;'V06 Calend 01'!C13),(108&lt;'V06 Calend 01'!D13),(MOD((108-'V06 Calend 01'!C13),6)=0),(((108-'V06 Calend 01'!C13)/6)&lt;='V06 Calend 01'!E13)),IF((108=('V06 Calend 01'!C13+(6*'V06 Calend 01'!E13))),('V06 Calend 01'!H13-('V06 Calend 01'!I13*('V06 Calend 01'!E13-1))),'V06 Calend 01'!I13),0))+IF((108='V06 Calend 01'!D13),'V06 Calend 01'!J13,0))</f>
        <v>0</v>
      </c>
      <c r="DQ13" s="2">
        <f>((IF((109='V06 Calend 01'!C13),('V06 Calend 01'!F13+'V06 Calend 01'!G13),0)+IF(AND(('V06 Calend 01'!E13&gt;0),(109&gt;'V06 Calend 01'!C13),(109&lt;'V06 Calend 01'!D13),(MOD((109-'V06 Calend 01'!C13),6)=0),(((109-'V06 Calend 01'!C13)/6)&lt;='V06 Calend 01'!E13)),IF((109=('V06 Calend 01'!C13+(6*'V06 Calend 01'!E13))),('V06 Calend 01'!H13-('V06 Calend 01'!I13*('V06 Calend 01'!E13-1))),'V06 Calend 01'!I13),0))+IF((109='V06 Calend 01'!D13),'V06 Calend 01'!J13,0))</f>
        <v>0</v>
      </c>
      <c r="DR13" s="2">
        <f>((IF((110='V06 Calend 01'!C13),('V06 Calend 01'!F13+'V06 Calend 01'!G13),0)+IF(AND(('V06 Calend 01'!E13&gt;0),(110&gt;'V06 Calend 01'!C13),(110&lt;'V06 Calend 01'!D13),(MOD((110-'V06 Calend 01'!C13),6)=0),(((110-'V06 Calend 01'!C13)/6)&lt;='V06 Calend 01'!E13)),IF((110=('V06 Calend 01'!C13+(6*'V06 Calend 01'!E13))),('V06 Calend 01'!H13-('V06 Calend 01'!I13*('V06 Calend 01'!E13-1))),'V06 Calend 01'!I13),0))+IF((110='V06 Calend 01'!D13),'V06 Calend 01'!J13,0))</f>
        <v>0</v>
      </c>
      <c r="DS13" s="2">
        <f>((IF((111='V06 Calend 01'!C13),('V06 Calend 01'!F13+'V06 Calend 01'!G13),0)+IF(AND(('V06 Calend 01'!E13&gt;0),(111&gt;'V06 Calend 01'!C13),(111&lt;'V06 Calend 01'!D13),(MOD((111-'V06 Calend 01'!C13),6)=0),(((111-'V06 Calend 01'!C13)/6)&lt;='V06 Calend 01'!E13)),IF((111=('V06 Calend 01'!C13+(6*'V06 Calend 01'!E13))),('V06 Calend 01'!H13-('V06 Calend 01'!I13*('V06 Calend 01'!E13-1))),'V06 Calend 01'!I13),0))+IF((111='V06 Calend 01'!D13),'V06 Calend 01'!J13,0))</f>
        <v>0</v>
      </c>
      <c r="DT13" s="2">
        <f>((IF((112='V06 Calend 01'!C13),('V06 Calend 01'!F13+'V06 Calend 01'!G13),0)+IF(AND(('V06 Calend 01'!E13&gt;0),(112&gt;'V06 Calend 01'!C13),(112&lt;'V06 Calend 01'!D13),(MOD((112-'V06 Calend 01'!C13),6)=0),(((112-'V06 Calend 01'!C13)/6)&lt;='V06 Calend 01'!E13)),IF((112=('V06 Calend 01'!C13+(6*'V06 Calend 01'!E13))),('V06 Calend 01'!H13-('V06 Calend 01'!I13*('V06 Calend 01'!E13-1))),'V06 Calend 01'!I13),0))+IF((112='V06 Calend 01'!D13),'V06 Calend 01'!J13,0))</f>
        <v>0</v>
      </c>
      <c r="DU13" s="2">
        <f>((IF((113='V06 Calend 01'!C13),('V06 Calend 01'!F13+'V06 Calend 01'!G13),0)+IF(AND(('V06 Calend 01'!E13&gt;0),(113&gt;'V06 Calend 01'!C13),(113&lt;'V06 Calend 01'!D13),(MOD((113-'V06 Calend 01'!C13),6)=0),(((113-'V06 Calend 01'!C13)/6)&lt;='V06 Calend 01'!E13)),IF((113=('V06 Calend 01'!C13+(6*'V06 Calend 01'!E13))),('V06 Calend 01'!H13-('V06 Calend 01'!I13*('V06 Calend 01'!E13-1))),'V06 Calend 01'!I13),0))+IF((113='V06 Calend 01'!D13),'V06 Calend 01'!J13,0))</f>
        <v>0</v>
      </c>
      <c r="DV13" s="2">
        <f>((IF((114='V06 Calend 01'!C13),('V06 Calend 01'!F13+'V06 Calend 01'!G13),0)+IF(AND(('V06 Calend 01'!E13&gt;0),(114&gt;'V06 Calend 01'!C13),(114&lt;'V06 Calend 01'!D13),(MOD((114-'V06 Calend 01'!C13),6)=0),(((114-'V06 Calend 01'!C13)/6)&lt;='V06 Calend 01'!E13)),IF((114=('V06 Calend 01'!C13+(6*'V06 Calend 01'!E13))),('V06 Calend 01'!H13-('V06 Calend 01'!I13*('V06 Calend 01'!E13-1))),'V06 Calend 01'!I13),0))+IF((114='V06 Calend 01'!D13),'V06 Calend 01'!J13,0))</f>
        <v>0</v>
      </c>
      <c r="DW13" s="2">
        <f>((IF((115='V06 Calend 01'!C13),('V06 Calend 01'!F13+'V06 Calend 01'!G13),0)+IF(AND(('V06 Calend 01'!E13&gt;0),(115&gt;'V06 Calend 01'!C13),(115&lt;'V06 Calend 01'!D13),(MOD((115-'V06 Calend 01'!C13),6)=0),(((115-'V06 Calend 01'!C13)/6)&lt;='V06 Calend 01'!E13)),IF((115=('V06 Calend 01'!C13+(6*'V06 Calend 01'!E13))),('V06 Calend 01'!H13-('V06 Calend 01'!I13*('V06 Calend 01'!E13-1))),'V06 Calend 01'!I13),0))+IF((115='V06 Calend 01'!D13),'V06 Calend 01'!J13,0))</f>
        <v>0</v>
      </c>
      <c r="DX13" s="2">
        <f>((IF((116='V06 Calend 01'!C13),('V06 Calend 01'!F13+'V06 Calend 01'!G13),0)+IF(AND(('V06 Calend 01'!E13&gt;0),(116&gt;'V06 Calend 01'!C13),(116&lt;'V06 Calend 01'!D13),(MOD((116-'V06 Calend 01'!C13),6)=0),(((116-'V06 Calend 01'!C13)/6)&lt;='V06 Calend 01'!E13)),IF((116=('V06 Calend 01'!C13+(6*'V06 Calend 01'!E13))),('V06 Calend 01'!H13-('V06 Calend 01'!I13*('V06 Calend 01'!E13-1))),'V06 Calend 01'!I13),0))+IF((116='V06 Calend 01'!D13),'V06 Calend 01'!J13,0))</f>
        <v>0</v>
      </c>
      <c r="DY13" s="2">
        <f>((IF((117='V06 Calend 01'!C13),('V06 Calend 01'!F13+'V06 Calend 01'!G13),0)+IF(AND(('V06 Calend 01'!E13&gt;0),(117&gt;'V06 Calend 01'!C13),(117&lt;'V06 Calend 01'!D13),(MOD((117-'V06 Calend 01'!C13),6)=0),(((117-'V06 Calend 01'!C13)/6)&lt;='V06 Calend 01'!E13)),IF((117=('V06 Calend 01'!C13+(6*'V06 Calend 01'!E13))),('V06 Calend 01'!H13-('V06 Calend 01'!I13*('V06 Calend 01'!E13-1))),'V06 Calend 01'!I13),0))+IF((117='V06 Calend 01'!D13),'V06 Calend 01'!J13,0))</f>
        <v>0</v>
      </c>
      <c r="DZ13" s="2">
        <f>((IF((118='V06 Calend 01'!C13),('V06 Calend 01'!F13+'V06 Calend 01'!G13),0)+IF(AND(('V06 Calend 01'!E13&gt;0),(118&gt;'V06 Calend 01'!C13),(118&lt;'V06 Calend 01'!D13),(MOD((118-'V06 Calend 01'!C13),6)=0),(((118-'V06 Calend 01'!C13)/6)&lt;='V06 Calend 01'!E13)),IF((118=('V06 Calend 01'!C13+(6*'V06 Calend 01'!E13))),('V06 Calend 01'!H13-('V06 Calend 01'!I13*('V06 Calend 01'!E13-1))),'V06 Calend 01'!I13),0))+IF((118='V06 Calend 01'!D13),'V06 Calend 01'!J13,0))</f>
        <v>0</v>
      </c>
      <c r="EA13" s="2">
        <f>((IF((119='V06 Calend 01'!C13),('V06 Calend 01'!F13+'V06 Calend 01'!G13),0)+IF(AND(('V06 Calend 01'!E13&gt;0),(119&gt;'V06 Calend 01'!C13),(119&lt;'V06 Calend 01'!D13),(MOD((119-'V06 Calend 01'!C13),6)=0),(((119-'V06 Calend 01'!C13)/6)&lt;='V06 Calend 01'!E13)),IF((119=('V06 Calend 01'!C13+(6*'V06 Calend 01'!E13))),('V06 Calend 01'!H13-('V06 Calend 01'!I13*('V06 Calend 01'!E13-1))),'V06 Calend 01'!I13),0))+IF((119='V06 Calend 01'!D13),'V06 Calend 01'!J13,0))</f>
        <v>0</v>
      </c>
      <c r="EB13" s="2">
        <f>((IF((120='V06 Calend 01'!C13),('V06 Calend 01'!F13+'V06 Calend 01'!G13),0)+IF(AND(('V06 Calend 01'!E13&gt;0),(120&gt;'V06 Calend 01'!C13),(120&lt;'V06 Calend 01'!D13),(MOD((120-'V06 Calend 01'!C13),6)=0),(((120-'V06 Calend 01'!C13)/6)&lt;='V06 Calend 01'!E13)),IF((120=('V06 Calend 01'!C13+(6*'V06 Calend 01'!E13))),('V06 Calend 01'!H13-('V06 Calend 01'!I13*('V06 Calend 01'!E13-1))),'V06 Calend 01'!I13),0))+IF((120='V06 Calend 01'!D13),'V06 Calend 01'!J13,0))</f>
        <v>0</v>
      </c>
      <c r="EC13" s="2">
        <f>((IF((121='V06 Calend 01'!C13),('V06 Calend 01'!F13+'V06 Calend 01'!G13),0)+IF(AND(('V06 Calend 01'!E13&gt;0),(121&gt;'V06 Calend 01'!C13),(121&lt;'V06 Calend 01'!D13),(MOD((121-'V06 Calend 01'!C13),6)=0),(((121-'V06 Calend 01'!C13)/6)&lt;='V06 Calend 01'!E13)),IF((121=('V06 Calend 01'!C13+(6*'V06 Calend 01'!E13))),('V06 Calend 01'!H13-('V06 Calend 01'!I13*('V06 Calend 01'!E13-1))),'V06 Calend 01'!I13),0))+IF((121='V06 Calend 01'!D13),'V06 Calend 01'!J13,0))</f>
        <v>0</v>
      </c>
      <c r="ED13" s="2">
        <f>((IF((122='V06 Calend 01'!C13),('V06 Calend 01'!F13+'V06 Calend 01'!G13),0)+IF(AND(('V06 Calend 01'!E13&gt;0),(122&gt;'V06 Calend 01'!C13),(122&lt;'V06 Calend 01'!D13),(MOD((122-'V06 Calend 01'!C13),6)=0),(((122-'V06 Calend 01'!C13)/6)&lt;='V06 Calend 01'!E13)),IF((122=('V06 Calend 01'!C13+(6*'V06 Calend 01'!E13))),('V06 Calend 01'!H13-('V06 Calend 01'!I13*('V06 Calend 01'!E13-1))),'V06 Calend 01'!I13),0))+IF((122='V06 Calend 01'!D13),'V06 Calend 01'!J13,0))</f>
        <v>0</v>
      </c>
      <c r="EE13" s="2">
        <f>((IF((123='V06 Calend 01'!C13),('V06 Calend 01'!F13+'V06 Calend 01'!G13),0)+IF(AND(('V06 Calend 01'!E13&gt;0),(123&gt;'V06 Calend 01'!C13),(123&lt;'V06 Calend 01'!D13),(MOD((123-'V06 Calend 01'!C13),6)=0),(((123-'V06 Calend 01'!C13)/6)&lt;='V06 Calend 01'!E13)),IF((123=('V06 Calend 01'!C13+(6*'V06 Calend 01'!E13))),('V06 Calend 01'!H13-('V06 Calend 01'!I13*('V06 Calend 01'!E13-1))),'V06 Calend 01'!I13),0))+IF((123='V06 Calend 01'!D13),'V06 Calend 01'!J13,0))</f>
        <v>0</v>
      </c>
      <c r="EF13" s="2">
        <f>((IF((124='V06 Calend 01'!C13),('V06 Calend 01'!F13+'V06 Calend 01'!G13),0)+IF(AND(('V06 Calend 01'!E13&gt;0),(124&gt;'V06 Calend 01'!C13),(124&lt;'V06 Calend 01'!D13),(MOD((124-'V06 Calend 01'!C13),6)=0),(((124-'V06 Calend 01'!C13)/6)&lt;='V06 Calend 01'!E13)),IF((124=('V06 Calend 01'!C13+(6*'V06 Calend 01'!E13))),('V06 Calend 01'!H13-('V06 Calend 01'!I13*('V06 Calend 01'!E13-1))),'V06 Calend 01'!I13),0))+IF((124='V06 Calend 01'!D13),'V06 Calend 01'!J13,0))</f>
        <v>0</v>
      </c>
      <c r="EG13" s="2">
        <f>((IF((125='V06 Calend 01'!C13),('V06 Calend 01'!F13+'V06 Calend 01'!G13),0)+IF(AND(('V06 Calend 01'!E13&gt;0),(125&gt;'V06 Calend 01'!C13),(125&lt;'V06 Calend 01'!D13),(MOD((125-'V06 Calend 01'!C13),6)=0),(((125-'V06 Calend 01'!C13)/6)&lt;='V06 Calend 01'!E13)),IF((125=('V06 Calend 01'!C13+(6*'V06 Calend 01'!E13))),('V06 Calend 01'!H13-('V06 Calend 01'!I13*('V06 Calend 01'!E13-1))),'V06 Calend 01'!I13),0))+IF((125='V06 Calend 01'!D13),'V06 Calend 01'!J13,0))</f>
        <v>0</v>
      </c>
      <c r="EH13" s="2">
        <f>((IF((126='V06 Calend 01'!C13),('V06 Calend 01'!F13+'V06 Calend 01'!G13),0)+IF(AND(('V06 Calend 01'!E13&gt;0),(126&gt;'V06 Calend 01'!C13),(126&lt;'V06 Calend 01'!D13),(MOD((126-'V06 Calend 01'!C13),6)=0),(((126-'V06 Calend 01'!C13)/6)&lt;='V06 Calend 01'!E13)),IF((126=('V06 Calend 01'!C13+(6*'V06 Calend 01'!E13))),('V06 Calend 01'!H13-('V06 Calend 01'!I13*('V06 Calend 01'!E13-1))),'V06 Calend 01'!I13),0))+IF((126='V06 Calend 01'!D13),'V06 Calend 01'!J13,0))</f>
        <v>0</v>
      </c>
      <c r="EI13" s="2">
        <f>((IF((127='V06 Calend 01'!C13),('V06 Calend 01'!F13+'V06 Calend 01'!G13),0)+IF(AND(('V06 Calend 01'!E13&gt;0),(127&gt;'V06 Calend 01'!C13),(127&lt;'V06 Calend 01'!D13),(MOD((127-'V06 Calend 01'!C13),6)=0),(((127-'V06 Calend 01'!C13)/6)&lt;='V06 Calend 01'!E13)),IF((127=('V06 Calend 01'!C13+(6*'V06 Calend 01'!E13))),('V06 Calend 01'!H13-('V06 Calend 01'!I13*('V06 Calend 01'!E13-1))),'V06 Calend 01'!I13),0))+IF((127='V06 Calend 01'!D13),'V06 Calend 01'!J13,0))</f>
        <v>0</v>
      </c>
      <c r="EJ13" s="2">
        <f>((IF((128='V06 Calend 01'!C13),('V06 Calend 01'!F13+'V06 Calend 01'!G13),0)+IF(AND(('V06 Calend 01'!E13&gt;0),(128&gt;'V06 Calend 01'!C13),(128&lt;'V06 Calend 01'!D13),(MOD((128-'V06 Calend 01'!C13),6)=0),(((128-'V06 Calend 01'!C13)/6)&lt;='V06 Calend 01'!E13)),IF((128=('V06 Calend 01'!C13+(6*'V06 Calend 01'!E13))),('V06 Calend 01'!H13-('V06 Calend 01'!I13*('V06 Calend 01'!E13-1))),'V06 Calend 01'!I13),0))+IF((128='V06 Calend 01'!D13),'V06 Calend 01'!J13,0))</f>
        <v>0</v>
      </c>
      <c r="EK13" s="2">
        <f>((IF((129='V06 Calend 01'!C13),('V06 Calend 01'!F13+'V06 Calend 01'!G13),0)+IF(AND(('V06 Calend 01'!E13&gt;0),(129&gt;'V06 Calend 01'!C13),(129&lt;'V06 Calend 01'!D13),(MOD((129-'V06 Calend 01'!C13),6)=0),(((129-'V06 Calend 01'!C13)/6)&lt;='V06 Calend 01'!E13)),IF((129=('V06 Calend 01'!C13+(6*'V06 Calend 01'!E13))),('V06 Calend 01'!H13-('V06 Calend 01'!I13*('V06 Calend 01'!E13-1))),'V06 Calend 01'!I13),0))+IF((129='V06 Calend 01'!D13),'V06 Calend 01'!J13,0))</f>
        <v>0</v>
      </c>
      <c r="EL13" s="2">
        <f>((IF((130='V06 Calend 01'!C13),('V06 Calend 01'!F13+'V06 Calend 01'!G13),0)+IF(AND(('V06 Calend 01'!E13&gt;0),(130&gt;'V06 Calend 01'!C13),(130&lt;'V06 Calend 01'!D13),(MOD((130-'V06 Calend 01'!C13),6)=0),(((130-'V06 Calend 01'!C13)/6)&lt;='V06 Calend 01'!E13)),IF((130=('V06 Calend 01'!C13+(6*'V06 Calend 01'!E13))),('V06 Calend 01'!H13-('V06 Calend 01'!I13*('V06 Calend 01'!E13-1))),'V06 Calend 01'!I13),0))+IF((130='V06 Calend 01'!D13),'V06 Calend 01'!J13,0))</f>
        <v>0</v>
      </c>
      <c r="EM13" s="2">
        <f>((IF((131='V06 Calend 01'!C13),('V06 Calend 01'!F13+'V06 Calend 01'!G13),0)+IF(AND(('V06 Calend 01'!E13&gt;0),(131&gt;'V06 Calend 01'!C13),(131&lt;'V06 Calend 01'!D13),(MOD((131-'V06 Calend 01'!C13),6)=0),(((131-'V06 Calend 01'!C13)/6)&lt;='V06 Calend 01'!E13)),IF((131=('V06 Calend 01'!C13+(6*'V06 Calend 01'!E13))),('V06 Calend 01'!H13-('V06 Calend 01'!I13*('V06 Calend 01'!E13-1))),'V06 Calend 01'!I13),0))+IF((131='V06 Calend 01'!D13),'V06 Calend 01'!J13,0))</f>
        <v>0</v>
      </c>
      <c r="EN13" s="2">
        <f>((IF((132='V06 Calend 01'!C13),('V06 Calend 01'!F13+'V06 Calend 01'!G13),0)+IF(AND(('V06 Calend 01'!E13&gt;0),(132&gt;'V06 Calend 01'!C13),(132&lt;'V06 Calend 01'!D13),(MOD((132-'V06 Calend 01'!C13),6)=0),(((132-'V06 Calend 01'!C13)/6)&lt;='V06 Calend 01'!E13)),IF((132=('V06 Calend 01'!C13+(6*'V06 Calend 01'!E13))),('V06 Calend 01'!H13-('V06 Calend 01'!I13*('V06 Calend 01'!E13-1))),'V06 Calend 01'!I13),0))+IF((132='V06 Calend 01'!D13),'V06 Calend 01'!J13,0))</f>
        <v>0</v>
      </c>
      <c r="EO13" s="2">
        <f>((IF((133='V06 Calend 01'!C13),('V06 Calend 01'!F13+'V06 Calend 01'!G13),0)+IF(AND(('V06 Calend 01'!E13&gt;0),(133&gt;'V06 Calend 01'!C13),(133&lt;'V06 Calend 01'!D13),(MOD((133-'V06 Calend 01'!C13),6)=0),(((133-'V06 Calend 01'!C13)/6)&lt;='V06 Calend 01'!E13)),IF((133=('V06 Calend 01'!C13+(6*'V06 Calend 01'!E13))),('V06 Calend 01'!H13-('V06 Calend 01'!I13*('V06 Calend 01'!E13-1))),'V06 Calend 01'!I13),0))+IF((133='V06 Calend 01'!D13),'V06 Calend 01'!J13,0))</f>
        <v>0</v>
      </c>
      <c r="EP13" s="2">
        <f>((IF((134='V06 Calend 01'!C13),('V06 Calend 01'!F13+'V06 Calend 01'!G13),0)+IF(AND(('V06 Calend 01'!E13&gt;0),(134&gt;'V06 Calend 01'!C13),(134&lt;'V06 Calend 01'!D13),(MOD((134-'V06 Calend 01'!C13),6)=0),(((134-'V06 Calend 01'!C13)/6)&lt;='V06 Calend 01'!E13)),IF((134=('V06 Calend 01'!C13+(6*'V06 Calend 01'!E13))),('V06 Calend 01'!H13-('V06 Calend 01'!I13*('V06 Calend 01'!E13-1))),'V06 Calend 01'!I13),0))+IF((134='V06 Calend 01'!D13),'V06 Calend 01'!J13,0))</f>
        <v>0</v>
      </c>
      <c r="EQ13" s="2">
        <f>((IF((135='V06 Calend 01'!C13),('V06 Calend 01'!F13+'V06 Calend 01'!G13),0)+IF(AND(('V06 Calend 01'!E13&gt;0),(135&gt;'V06 Calend 01'!C13),(135&lt;'V06 Calend 01'!D13),(MOD((135-'V06 Calend 01'!C13),6)=0),(((135-'V06 Calend 01'!C13)/6)&lt;='V06 Calend 01'!E13)),IF((135=('V06 Calend 01'!C13+(6*'V06 Calend 01'!E13))),('V06 Calend 01'!H13-('V06 Calend 01'!I13*('V06 Calend 01'!E13-1))),'V06 Calend 01'!I13),0))+IF((135='V06 Calend 01'!D13),'V06 Calend 01'!J13,0))</f>
        <v>0</v>
      </c>
      <c r="ER13" s="2">
        <f>((IF((136='V06 Calend 01'!C13),('V06 Calend 01'!F13+'V06 Calend 01'!G13),0)+IF(AND(('V06 Calend 01'!E13&gt;0),(136&gt;'V06 Calend 01'!C13),(136&lt;'V06 Calend 01'!D13),(MOD((136-'V06 Calend 01'!C13),6)=0),(((136-'V06 Calend 01'!C13)/6)&lt;='V06 Calend 01'!E13)),IF((136=('V06 Calend 01'!C13+(6*'V06 Calend 01'!E13))),('V06 Calend 01'!H13-('V06 Calend 01'!I13*('V06 Calend 01'!E13-1))),'V06 Calend 01'!I13),0))+IF((136='V06 Calend 01'!D13),'V06 Calend 01'!J13,0))</f>
        <v>0</v>
      </c>
      <c r="ES13" s="2">
        <f>((IF((137='V06 Calend 01'!C13),('V06 Calend 01'!F13+'V06 Calend 01'!G13),0)+IF(AND(('V06 Calend 01'!E13&gt;0),(137&gt;'V06 Calend 01'!C13),(137&lt;'V06 Calend 01'!D13),(MOD((137-'V06 Calend 01'!C13),6)=0),(((137-'V06 Calend 01'!C13)/6)&lt;='V06 Calend 01'!E13)),IF((137=('V06 Calend 01'!C13+(6*'V06 Calend 01'!E13))),('V06 Calend 01'!H13-('V06 Calend 01'!I13*('V06 Calend 01'!E13-1))),'V06 Calend 01'!I13),0))+IF((137='V06 Calend 01'!D13),'V06 Calend 01'!J13,0))</f>
        <v>0</v>
      </c>
      <c r="ET13" s="2">
        <f>((IF((138='V06 Calend 01'!C13),('V06 Calend 01'!F13+'V06 Calend 01'!G13),0)+IF(AND(('V06 Calend 01'!E13&gt;0),(138&gt;'V06 Calend 01'!C13),(138&lt;'V06 Calend 01'!D13),(MOD((138-'V06 Calend 01'!C13),6)=0),(((138-'V06 Calend 01'!C13)/6)&lt;='V06 Calend 01'!E13)),IF((138=('V06 Calend 01'!C13+(6*'V06 Calend 01'!E13))),('V06 Calend 01'!H13-('V06 Calend 01'!I13*('V06 Calend 01'!E13-1))),'V06 Calend 01'!I13),0))+IF((138='V06 Calend 01'!D13),'V06 Calend 01'!J13,0))</f>
        <v>0</v>
      </c>
      <c r="EU13" s="2">
        <f>((IF((139='V06 Calend 01'!C13),('V06 Calend 01'!F13+'V06 Calend 01'!G13),0)+IF(AND(('V06 Calend 01'!E13&gt;0),(139&gt;'V06 Calend 01'!C13),(139&lt;'V06 Calend 01'!D13),(MOD((139-'V06 Calend 01'!C13),6)=0),(((139-'V06 Calend 01'!C13)/6)&lt;='V06 Calend 01'!E13)),IF((139=('V06 Calend 01'!C13+(6*'V06 Calend 01'!E13))),('V06 Calend 01'!H13-('V06 Calend 01'!I13*('V06 Calend 01'!E13-1))),'V06 Calend 01'!I13),0))+IF((139='V06 Calend 01'!D13),'V06 Calend 01'!J13,0))</f>
        <v>0</v>
      </c>
      <c r="EV13" s="2">
        <f>((IF((140='V06 Calend 01'!C13),('V06 Calend 01'!F13+'V06 Calend 01'!G13),0)+IF(AND(('V06 Calend 01'!E13&gt;0),(140&gt;'V06 Calend 01'!C13),(140&lt;'V06 Calend 01'!D13),(MOD((140-'V06 Calend 01'!C13),6)=0),(((140-'V06 Calend 01'!C13)/6)&lt;='V06 Calend 01'!E13)),IF((140=('V06 Calend 01'!C13+(6*'V06 Calend 01'!E13))),('V06 Calend 01'!H13-('V06 Calend 01'!I13*('V06 Calend 01'!E13-1))),'V06 Calend 01'!I13),0))+IF((140='V06 Calend 01'!D13),'V06 Calend 01'!J13,0))</f>
        <v>0</v>
      </c>
      <c r="EW13" s="2">
        <f>((IF((141='V06 Calend 01'!C13),('V06 Calend 01'!F13+'V06 Calend 01'!G13),0)+IF(AND(('V06 Calend 01'!E13&gt;0),(141&gt;'V06 Calend 01'!C13),(141&lt;'V06 Calend 01'!D13),(MOD((141-'V06 Calend 01'!C13),6)=0),(((141-'V06 Calend 01'!C13)/6)&lt;='V06 Calend 01'!E13)),IF((141=('V06 Calend 01'!C13+(6*'V06 Calend 01'!E13))),('V06 Calend 01'!H13-('V06 Calend 01'!I13*('V06 Calend 01'!E13-1))),'V06 Calend 01'!I13),0))+IF((141='V06 Calend 01'!D13),'V06 Calend 01'!J13,0))</f>
        <v>0</v>
      </c>
      <c r="EX13" s="2">
        <f>((IF((142='V06 Calend 01'!C13),('V06 Calend 01'!F13+'V06 Calend 01'!G13),0)+IF(AND(('V06 Calend 01'!E13&gt;0),(142&gt;'V06 Calend 01'!C13),(142&lt;'V06 Calend 01'!D13),(MOD((142-'V06 Calend 01'!C13),6)=0),(((142-'V06 Calend 01'!C13)/6)&lt;='V06 Calend 01'!E13)),IF((142=('V06 Calend 01'!C13+(6*'V06 Calend 01'!E13))),('V06 Calend 01'!H13-('V06 Calend 01'!I13*('V06 Calend 01'!E13-1))),'V06 Calend 01'!I13),0))+IF((142='V06 Calend 01'!D13),'V06 Calend 01'!J13,0))</f>
        <v>0</v>
      </c>
      <c r="EY13" s="2">
        <f>((IF((143='V06 Calend 01'!C13),('V06 Calend 01'!F13+'V06 Calend 01'!G13),0)+IF(AND(('V06 Calend 01'!E13&gt;0),(143&gt;'V06 Calend 01'!C13),(143&lt;'V06 Calend 01'!D13),(MOD((143-'V06 Calend 01'!C13),6)=0),(((143-'V06 Calend 01'!C13)/6)&lt;='V06 Calend 01'!E13)),IF((143=('V06 Calend 01'!C13+(6*'V06 Calend 01'!E13))),('V06 Calend 01'!H13-('V06 Calend 01'!I13*('V06 Calend 01'!E13-1))),'V06 Calend 01'!I13),0))+IF((143='V06 Calend 01'!D13),'V06 Calend 01'!J13,0))</f>
        <v>0</v>
      </c>
      <c r="EZ13" s="2">
        <f>((IF((144='V06 Calend 01'!C13),('V06 Calend 01'!F13+'V06 Calend 01'!G13),0)+IF(AND(('V06 Calend 01'!E13&gt;0),(144&gt;'V06 Calend 01'!C13),(144&lt;'V06 Calend 01'!D13),(MOD((144-'V06 Calend 01'!C13),6)=0),(((144-'V06 Calend 01'!C13)/6)&lt;='V06 Calend 01'!E13)),IF((144=('V06 Calend 01'!C13+(6*'V06 Calend 01'!E13))),('V06 Calend 01'!H13-('V06 Calend 01'!I13*('V06 Calend 01'!E13-1))),'V06 Calend 01'!I13),0))+IF((144='V06 Calend 01'!D13),'V06 Calend 01'!J13,0))</f>
        <v>0</v>
      </c>
      <c r="FA13" s="2">
        <f>((IF((145='V06 Calend 01'!C13),('V06 Calend 01'!F13+'V06 Calend 01'!G13),0)+IF(AND(('V06 Calend 01'!E13&gt;0),(145&gt;'V06 Calend 01'!C13),(145&lt;'V06 Calend 01'!D13),(MOD((145-'V06 Calend 01'!C13),6)=0),(((145-'V06 Calend 01'!C13)/6)&lt;='V06 Calend 01'!E13)),IF((145=('V06 Calend 01'!C13+(6*'V06 Calend 01'!E13))),('V06 Calend 01'!H13-('V06 Calend 01'!I13*('V06 Calend 01'!E13-1))),'V06 Calend 01'!I13),0))+IF((145='V06 Calend 01'!D13),'V06 Calend 01'!J13,0))</f>
        <v>0</v>
      </c>
      <c r="FB13" s="2">
        <f>((IF((146='V06 Calend 01'!C13),('V06 Calend 01'!F13+'V06 Calend 01'!G13),0)+IF(AND(('V06 Calend 01'!E13&gt;0),(146&gt;'V06 Calend 01'!C13),(146&lt;'V06 Calend 01'!D13),(MOD((146-'V06 Calend 01'!C13),6)=0),(((146-'V06 Calend 01'!C13)/6)&lt;='V06 Calend 01'!E13)),IF((146=('V06 Calend 01'!C13+(6*'V06 Calend 01'!E13))),('V06 Calend 01'!H13-('V06 Calend 01'!I13*('V06 Calend 01'!E13-1))),'V06 Calend 01'!I13),0))+IF((146='V06 Calend 01'!D13),'V06 Calend 01'!J13,0))</f>
        <v>0</v>
      </c>
      <c r="FC13" s="2">
        <f>((IF((147='V06 Calend 01'!C13),('V06 Calend 01'!F13+'V06 Calend 01'!G13),0)+IF(AND(('V06 Calend 01'!E13&gt;0),(147&gt;'V06 Calend 01'!C13),(147&lt;'V06 Calend 01'!D13),(MOD((147-'V06 Calend 01'!C13),6)=0),(((147-'V06 Calend 01'!C13)/6)&lt;='V06 Calend 01'!E13)),IF((147=('V06 Calend 01'!C13+(6*'V06 Calend 01'!E13))),('V06 Calend 01'!H13-('V06 Calend 01'!I13*('V06 Calend 01'!E13-1))),'V06 Calend 01'!I13),0))+IF((147='V06 Calend 01'!D13),'V06 Calend 01'!J13,0))</f>
        <v>0</v>
      </c>
      <c r="FD13" s="2">
        <f>((IF((148='V06 Calend 01'!C13),('V06 Calend 01'!F13+'V06 Calend 01'!G13),0)+IF(AND(('V06 Calend 01'!E13&gt;0),(148&gt;'V06 Calend 01'!C13),(148&lt;'V06 Calend 01'!D13),(MOD((148-'V06 Calend 01'!C13),6)=0),(((148-'V06 Calend 01'!C13)/6)&lt;='V06 Calend 01'!E13)),IF((148=('V06 Calend 01'!C13+(6*'V06 Calend 01'!E13))),('V06 Calend 01'!H13-('V06 Calend 01'!I13*('V06 Calend 01'!E13-1))),'V06 Calend 01'!I13),0))+IF((148='V06 Calend 01'!D13),'V06 Calend 01'!J13,0))</f>
        <v>0</v>
      </c>
      <c r="FE13" s="2">
        <f>((IF((149='V06 Calend 01'!C13),('V06 Calend 01'!F13+'V06 Calend 01'!G13),0)+IF(AND(('V06 Calend 01'!E13&gt;0),(149&gt;'V06 Calend 01'!C13),(149&lt;'V06 Calend 01'!D13),(MOD((149-'V06 Calend 01'!C13),6)=0),(((149-'V06 Calend 01'!C13)/6)&lt;='V06 Calend 01'!E13)),IF((149=('V06 Calend 01'!C13+(6*'V06 Calend 01'!E13))),('V06 Calend 01'!H13-('V06 Calend 01'!I13*('V06 Calend 01'!E13-1))),'V06 Calend 01'!I13),0))+IF((149='V06 Calend 01'!D13),'V06 Calend 01'!J13,0))</f>
        <v>0</v>
      </c>
      <c r="FF13" s="2">
        <f>((IF((150='V06 Calend 01'!C13),('V06 Calend 01'!F13+'V06 Calend 01'!G13),0)+IF(AND(('V06 Calend 01'!E13&gt;0),(150&gt;'V06 Calend 01'!C13),(150&lt;'V06 Calend 01'!D13),(MOD((150-'V06 Calend 01'!C13),6)=0),(((150-'V06 Calend 01'!C13)/6)&lt;='V06 Calend 01'!E13)),IF((150=('V06 Calend 01'!C13+(6*'V06 Calend 01'!E13))),('V06 Calend 01'!H13-('V06 Calend 01'!I13*('V06 Calend 01'!E13-1))),'V06 Calend 01'!I13),0))+IF((150='V06 Calend 01'!D13),'V06 Calend 01'!J13,0))</f>
        <v>0</v>
      </c>
      <c r="FG13" s="2">
        <f>((IF((151='V06 Calend 01'!C13),('V06 Calend 01'!F13+'V06 Calend 01'!G13),0)+IF(AND(('V06 Calend 01'!E13&gt;0),(151&gt;'V06 Calend 01'!C13),(151&lt;'V06 Calend 01'!D13),(MOD((151-'V06 Calend 01'!C13),6)=0),(((151-'V06 Calend 01'!C13)/6)&lt;='V06 Calend 01'!E13)),IF((151=('V06 Calend 01'!C13+(6*'V06 Calend 01'!E13))),('V06 Calend 01'!H13-('V06 Calend 01'!I13*('V06 Calend 01'!E13-1))),'V06 Calend 01'!I13),0))+IF((151='V06 Calend 01'!D13),'V06 Calend 01'!J13,0))</f>
        <v>0</v>
      </c>
      <c r="FH13" s="2">
        <f>((IF((152='V06 Calend 01'!C13),('V06 Calend 01'!F13+'V06 Calend 01'!G13),0)+IF(AND(('V06 Calend 01'!E13&gt;0),(152&gt;'V06 Calend 01'!C13),(152&lt;'V06 Calend 01'!D13),(MOD((152-'V06 Calend 01'!C13),6)=0),(((152-'V06 Calend 01'!C13)/6)&lt;='V06 Calend 01'!E13)),IF((152=('V06 Calend 01'!C13+(6*'V06 Calend 01'!E13))),('V06 Calend 01'!H13-('V06 Calend 01'!I13*('V06 Calend 01'!E13-1))),'V06 Calend 01'!I13),0))+IF((152='V06 Calend 01'!D13),'V06 Calend 01'!J13,0))</f>
        <v>0</v>
      </c>
      <c r="FI13" s="2">
        <f>((IF((153='V06 Calend 01'!C13),('V06 Calend 01'!F13+'V06 Calend 01'!G13),0)+IF(AND(('V06 Calend 01'!E13&gt;0),(153&gt;'V06 Calend 01'!C13),(153&lt;'V06 Calend 01'!D13),(MOD((153-'V06 Calend 01'!C13),6)=0),(((153-'V06 Calend 01'!C13)/6)&lt;='V06 Calend 01'!E13)),IF((153=('V06 Calend 01'!C13+(6*'V06 Calend 01'!E13))),('V06 Calend 01'!H13-('V06 Calend 01'!I13*('V06 Calend 01'!E13-1))),'V06 Calend 01'!I13),0))+IF((153='V06 Calend 01'!D13),'V06 Calend 01'!J13,0))</f>
        <v>0</v>
      </c>
      <c r="FJ13" s="2">
        <f>((IF((154='V06 Calend 01'!C13),('V06 Calend 01'!F13+'V06 Calend 01'!G13),0)+IF(AND(('V06 Calend 01'!E13&gt;0),(154&gt;'V06 Calend 01'!C13),(154&lt;'V06 Calend 01'!D13),(MOD((154-'V06 Calend 01'!C13),6)=0),(((154-'V06 Calend 01'!C13)/6)&lt;='V06 Calend 01'!E13)),IF((154=('V06 Calend 01'!C13+(6*'V06 Calend 01'!E13))),('V06 Calend 01'!H13-('V06 Calend 01'!I13*('V06 Calend 01'!E13-1))),'V06 Calend 01'!I13),0))+IF((154='V06 Calend 01'!D13),'V06 Calend 01'!J13,0))</f>
        <v>0</v>
      </c>
      <c r="FK13" s="2">
        <f>((IF((155='V06 Calend 01'!C13),('V06 Calend 01'!F13+'V06 Calend 01'!G13),0)+IF(AND(('V06 Calend 01'!E13&gt;0),(155&gt;'V06 Calend 01'!C13),(155&lt;'V06 Calend 01'!D13),(MOD((155-'V06 Calend 01'!C13),6)=0),(((155-'V06 Calend 01'!C13)/6)&lt;='V06 Calend 01'!E13)),IF((155=('V06 Calend 01'!C13+(6*'V06 Calend 01'!E13))),('V06 Calend 01'!H13-('V06 Calend 01'!I13*('V06 Calend 01'!E13-1))),'V06 Calend 01'!I13),0))+IF((155='V06 Calend 01'!D13),'V06 Calend 01'!J13,0))</f>
        <v>0</v>
      </c>
      <c r="FL13" s="2">
        <f>((IF((156='V06 Calend 01'!C13),('V06 Calend 01'!F13+'V06 Calend 01'!G13),0)+IF(AND(('V06 Calend 01'!E13&gt;0),(156&gt;'V06 Calend 01'!C13),(156&lt;'V06 Calend 01'!D13),(MOD((156-'V06 Calend 01'!C13),6)=0),(((156-'V06 Calend 01'!C13)/6)&lt;='V06 Calend 01'!E13)),IF((156=('V06 Calend 01'!C13+(6*'V06 Calend 01'!E13))),('V06 Calend 01'!H13-('V06 Calend 01'!I13*('V06 Calend 01'!E13-1))),'V06 Calend 01'!I13),0))+IF((156='V06 Calend 01'!D13),'V06 Calend 01'!J13,0))</f>
        <v>0</v>
      </c>
      <c r="FM13" s="2">
        <f>((IF((157='V06 Calend 01'!C13),('V06 Calend 01'!F13+'V06 Calend 01'!G13),0)+IF(AND(('V06 Calend 01'!E13&gt;0),(157&gt;'V06 Calend 01'!C13),(157&lt;'V06 Calend 01'!D13),(MOD((157-'V06 Calend 01'!C13),6)=0),(((157-'V06 Calend 01'!C13)/6)&lt;='V06 Calend 01'!E13)),IF((157=('V06 Calend 01'!C13+(6*'V06 Calend 01'!E13))),('V06 Calend 01'!H13-('V06 Calend 01'!I13*('V06 Calend 01'!E13-1))),'V06 Calend 01'!I13),0))+IF((157='V06 Calend 01'!D13),'V06 Calend 01'!J13,0))</f>
        <v>0</v>
      </c>
      <c r="FN13" s="2">
        <f>((IF((158='V06 Calend 01'!C13),('V06 Calend 01'!F13+'V06 Calend 01'!G13),0)+IF(AND(('V06 Calend 01'!E13&gt;0),(158&gt;'V06 Calend 01'!C13),(158&lt;'V06 Calend 01'!D13),(MOD((158-'V06 Calend 01'!C13),6)=0),(((158-'V06 Calend 01'!C13)/6)&lt;='V06 Calend 01'!E13)),IF((158=('V06 Calend 01'!C13+(6*'V06 Calend 01'!E13))),('V06 Calend 01'!H13-('V06 Calend 01'!I13*('V06 Calend 01'!E13-1))),'V06 Calend 01'!I13),0))+IF((158='V06 Calend 01'!D13),'V06 Calend 01'!J13,0))</f>
        <v>0</v>
      </c>
      <c r="FO13" s="2">
        <f>((IF((159='V06 Calend 01'!C13),('V06 Calend 01'!F13+'V06 Calend 01'!G13),0)+IF(AND(('V06 Calend 01'!E13&gt;0),(159&gt;'V06 Calend 01'!C13),(159&lt;'V06 Calend 01'!D13),(MOD((159-'V06 Calend 01'!C13),6)=0),(((159-'V06 Calend 01'!C13)/6)&lt;='V06 Calend 01'!E13)),IF((159=('V06 Calend 01'!C13+(6*'V06 Calend 01'!E13))),('V06 Calend 01'!H13-('V06 Calend 01'!I13*('V06 Calend 01'!E13-1))),'V06 Calend 01'!I13),0))+IF((159='V06 Calend 01'!D13),'V06 Calend 01'!J13,0))</f>
        <v>0</v>
      </c>
      <c r="FP13" s="2">
        <f>((IF((160='V06 Calend 01'!C13),('V06 Calend 01'!F13+'V06 Calend 01'!G13),0)+IF(AND(('V06 Calend 01'!E13&gt;0),(160&gt;'V06 Calend 01'!C13),(160&lt;'V06 Calend 01'!D13),(MOD((160-'V06 Calend 01'!C13),6)=0),(((160-'V06 Calend 01'!C13)/6)&lt;='V06 Calend 01'!E13)),IF((160=('V06 Calend 01'!C13+(6*'V06 Calend 01'!E13))),('V06 Calend 01'!H13-('V06 Calend 01'!I13*('V06 Calend 01'!E13-1))),'V06 Calend 01'!I13),0))+IF((160='V06 Calend 01'!D13),'V06 Calend 01'!J13,0))</f>
        <v>0</v>
      </c>
      <c r="FQ13" s="2">
        <f>((IF((161='V06 Calend 01'!C13),('V06 Calend 01'!F13+'V06 Calend 01'!G13),0)+IF(AND(('V06 Calend 01'!E13&gt;0),(161&gt;'V06 Calend 01'!C13),(161&lt;'V06 Calend 01'!D13),(MOD((161-'V06 Calend 01'!C13),6)=0),(((161-'V06 Calend 01'!C13)/6)&lt;='V06 Calend 01'!E13)),IF((161=('V06 Calend 01'!C13+(6*'V06 Calend 01'!E13))),('V06 Calend 01'!H13-('V06 Calend 01'!I13*('V06 Calend 01'!E13-1))),'V06 Calend 01'!I13),0))+IF((161='V06 Calend 01'!D13),'V06 Calend 01'!J13,0))</f>
        <v>0</v>
      </c>
      <c r="FR13" s="2">
        <f>((IF((162='V06 Calend 01'!C13),('V06 Calend 01'!F13+'V06 Calend 01'!G13),0)+IF(AND(('V06 Calend 01'!E13&gt;0),(162&gt;'V06 Calend 01'!C13),(162&lt;'V06 Calend 01'!D13),(MOD((162-'V06 Calend 01'!C13),6)=0),(((162-'V06 Calend 01'!C13)/6)&lt;='V06 Calend 01'!E13)),IF((162=('V06 Calend 01'!C13+(6*'V06 Calend 01'!E13))),('V06 Calend 01'!H13-('V06 Calend 01'!I13*('V06 Calend 01'!E13-1))),'V06 Calend 01'!I13),0))+IF((162='V06 Calend 01'!D13),'V06 Calend 01'!J13,0))</f>
        <v>0</v>
      </c>
      <c r="FS13" s="2">
        <f>((IF((163='V06 Calend 01'!C13),('V06 Calend 01'!F13+'V06 Calend 01'!G13),0)+IF(AND(('V06 Calend 01'!E13&gt;0),(163&gt;'V06 Calend 01'!C13),(163&lt;'V06 Calend 01'!D13),(MOD((163-'V06 Calend 01'!C13),6)=0),(((163-'V06 Calend 01'!C13)/6)&lt;='V06 Calend 01'!E13)),IF((163=('V06 Calend 01'!C13+(6*'V06 Calend 01'!E13))),('V06 Calend 01'!H13-('V06 Calend 01'!I13*('V06 Calend 01'!E13-1))),'V06 Calend 01'!I13),0))+IF((163='V06 Calend 01'!D13),'V06 Calend 01'!J13,0))</f>
        <v>0</v>
      </c>
      <c r="FT13" s="2">
        <f>((IF((164='V06 Calend 01'!C13),('V06 Calend 01'!F13+'V06 Calend 01'!G13),0)+IF(AND(('V06 Calend 01'!E13&gt;0),(164&gt;'V06 Calend 01'!C13),(164&lt;'V06 Calend 01'!D13),(MOD((164-'V06 Calend 01'!C13),6)=0),(((164-'V06 Calend 01'!C13)/6)&lt;='V06 Calend 01'!E13)),IF((164=('V06 Calend 01'!C13+(6*'V06 Calend 01'!E13))),('V06 Calend 01'!H13-('V06 Calend 01'!I13*('V06 Calend 01'!E13-1))),'V06 Calend 01'!I13),0))+IF((164='V06 Calend 01'!D13),'V06 Calend 01'!J13,0))</f>
        <v>0</v>
      </c>
      <c r="FU13" s="2">
        <f>((IF((165='V06 Calend 01'!C13),('V06 Calend 01'!F13+'V06 Calend 01'!G13),0)+IF(AND(('V06 Calend 01'!E13&gt;0),(165&gt;'V06 Calend 01'!C13),(165&lt;'V06 Calend 01'!D13),(MOD((165-'V06 Calend 01'!C13),6)=0),(((165-'V06 Calend 01'!C13)/6)&lt;='V06 Calend 01'!E13)),IF((165=('V06 Calend 01'!C13+(6*'V06 Calend 01'!E13))),('V06 Calend 01'!H13-('V06 Calend 01'!I13*('V06 Calend 01'!E13-1))),'V06 Calend 01'!I13),0))+IF((165='V06 Calend 01'!D13),'V06 Calend 01'!J13,0))</f>
        <v>0</v>
      </c>
      <c r="FV13" s="2">
        <f>((IF((166='V06 Calend 01'!C13),('V06 Calend 01'!F13+'V06 Calend 01'!G13),0)+IF(AND(('V06 Calend 01'!E13&gt;0),(166&gt;'V06 Calend 01'!C13),(166&lt;'V06 Calend 01'!D13),(MOD((166-'V06 Calend 01'!C13),6)=0),(((166-'V06 Calend 01'!C13)/6)&lt;='V06 Calend 01'!E13)),IF((166=('V06 Calend 01'!C13+(6*'V06 Calend 01'!E13))),('V06 Calend 01'!H13-('V06 Calend 01'!I13*('V06 Calend 01'!E13-1))),'V06 Calend 01'!I13),0))+IF((166='V06 Calend 01'!D13),'V06 Calend 01'!J13,0))</f>
        <v>0</v>
      </c>
      <c r="FW13" s="2">
        <f>((IF((167='V06 Calend 01'!C13),('V06 Calend 01'!F13+'V06 Calend 01'!G13),0)+IF(AND(('V06 Calend 01'!E13&gt;0),(167&gt;'V06 Calend 01'!C13),(167&lt;'V06 Calend 01'!D13),(MOD((167-'V06 Calend 01'!C13),6)=0),(((167-'V06 Calend 01'!C13)/6)&lt;='V06 Calend 01'!E13)),IF((167=('V06 Calend 01'!C13+(6*'V06 Calend 01'!E13))),('V06 Calend 01'!H13-('V06 Calend 01'!I13*('V06 Calend 01'!E13-1))),'V06 Calend 01'!I13),0))+IF((167='V06 Calend 01'!D13),'V06 Calend 01'!J13,0))</f>
        <v>0</v>
      </c>
      <c r="FX13" s="2">
        <f>((IF((168='V06 Calend 01'!C13),('V06 Calend 01'!F13+'V06 Calend 01'!G13),0)+IF(AND(('V06 Calend 01'!E13&gt;0),(168&gt;'V06 Calend 01'!C13),(168&lt;'V06 Calend 01'!D13),(MOD((168-'V06 Calend 01'!C13),6)=0),(((168-'V06 Calend 01'!C13)/6)&lt;='V06 Calend 01'!E13)),IF((168=('V06 Calend 01'!C13+(6*'V06 Calend 01'!E13))),('V06 Calend 01'!H13-('V06 Calend 01'!I13*('V06 Calend 01'!E13-1))),'V06 Calend 01'!I13),0))+IF((168='V06 Calend 01'!D13),'V06 Calend 01'!J13,0))</f>
        <v>0</v>
      </c>
      <c r="FY13" s="2">
        <f>((IF((169='V06 Calend 01'!C13),('V06 Calend 01'!F13+'V06 Calend 01'!G13),0)+IF(AND(('V06 Calend 01'!E13&gt;0),(169&gt;'V06 Calend 01'!C13),(169&lt;'V06 Calend 01'!D13),(MOD((169-'V06 Calend 01'!C13),6)=0),(((169-'V06 Calend 01'!C13)/6)&lt;='V06 Calend 01'!E13)),IF((169=('V06 Calend 01'!C13+(6*'V06 Calend 01'!E13))),('V06 Calend 01'!H13-('V06 Calend 01'!I13*('V06 Calend 01'!E13-1))),'V06 Calend 01'!I13),0))+IF((169='V06 Calend 01'!D13),'V06 Calend 01'!J13,0))</f>
        <v>0</v>
      </c>
      <c r="FZ13" s="2">
        <f>((IF((170='V06 Calend 01'!C13),('V06 Calend 01'!F13+'V06 Calend 01'!G13),0)+IF(AND(('V06 Calend 01'!E13&gt;0),(170&gt;'V06 Calend 01'!C13),(170&lt;'V06 Calend 01'!D13),(MOD((170-'V06 Calend 01'!C13),6)=0),(((170-'V06 Calend 01'!C13)/6)&lt;='V06 Calend 01'!E13)),IF((170=('V06 Calend 01'!C13+(6*'V06 Calend 01'!E13))),('V06 Calend 01'!H13-('V06 Calend 01'!I13*('V06 Calend 01'!E13-1))),'V06 Calend 01'!I13),0))+IF((170='V06 Calend 01'!D13),'V06 Calend 01'!J13,0))</f>
        <v>0</v>
      </c>
      <c r="GA13" s="2">
        <f>((IF((171='V06 Calend 01'!C13),('V06 Calend 01'!F13+'V06 Calend 01'!G13),0)+IF(AND(('V06 Calend 01'!E13&gt;0),(171&gt;'V06 Calend 01'!C13),(171&lt;'V06 Calend 01'!D13),(MOD((171-'V06 Calend 01'!C13),6)=0),(((171-'V06 Calend 01'!C13)/6)&lt;='V06 Calend 01'!E13)),IF((171=('V06 Calend 01'!C13+(6*'V06 Calend 01'!E13))),('V06 Calend 01'!H13-('V06 Calend 01'!I13*('V06 Calend 01'!E13-1))),'V06 Calend 01'!I13),0))+IF((171='V06 Calend 01'!D13),'V06 Calend 01'!J13,0))</f>
        <v>0</v>
      </c>
      <c r="GB13" s="2">
        <f>((IF((172='V06 Calend 01'!C13),('V06 Calend 01'!F13+'V06 Calend 01'!G13),0)+IF(AND(('V06 Calend 01'!E13&gt;0),(172&gt;'V06 Calend 01'!C13),(172&lt;'V06 Calend 01'!D13),(MOD((172-'V06 Calend 01'!C13),6)=0),(((172-'V06 Calend 01'!C13)/6)&lt;='V06 Calend 01'!E13)),IF((172=('V06 Calend 01'!C13+(6*'V06 Calend 01'!E13))),('V06 Calend 01'!H13-('V06 Calend 01'!I13*('V06 Calend 01'!E13-1))),'V06 Calend 01'!I13),0))+IF((172='V06 Calend 01'!D13),'V06 Calend 01'!J13,0))</f>
        <v>0</v>
      </c>
      <c r="GC13" s="2">
        <f>((IF((173='V06 Calend 01'!C13),('V06 Calend 01'!F13+'V06 Calend 01'!G13),0)+IF(AND(('V06 Calend 01'!E13&gt;0),(173&gt;'V06 Calend 01'!C13),(173&lt;'V06 Calend 01'!D13),(MOD((173-'V06 Calend 01'!C13),6)=0),(((173-'V06 Calend 01'!C13)/6)&lt;='V06 Calend 01'!E13)),IF((173=('V06 Calend 01'!C13+(6*'V06 Calend 01'!E13))),('V06 Calend 01'!H13-('V06 Calend 01'!I13*('V06 Calend 01'!E13-1))),'V06 Calend 01'!I13),0))+IF((173='V06 Calend 01'!D13),'V06 Calend 01'!J13,0))</f>
        <v>0</v>
      </c>
      <c r="GD13" s="2">
        <f>((IF((174='V06 Calend 01'!C13),('V06 Calend 01'!F13+'V06 Calend 01'!G13),0)+IF(AND(('V06 Calend 01'!E13&gt;0),(174&gt;'V06 Calend 01'!C13),(174&lt;'V06 Calend 01'!D13),(MOD((174-'V06 Calend 01'!C13),6)=0),(((174-'V06 Calend 01'!C13)/6)&lt;='V06 Calend 01'!E13)),IF((174=('V06 Calend 01'!C13+(6*'V06 Calend 01'!E13))),('V06 Calend 01'!H13-('V06 Calend 01'!I13*('V06 Calend 01'!E13-1))),'V06 Calend 01'!I13),0))+IF((174='V06 Calend 01'!D13),'V06 Calend 01'!J13,0))</f>
        <v>0</v>
      </c>
      <c r="GE13" s="2">
        <f>((IF((175='V06 Calend 01'!C13),('V06 Calend 01'!F13+'V06 Calend 01'!G13),0)+IF(AND(('V06 Calend 01'!E13&gt;0),(175&gt;'V06 Calend 01'!C13),(175&lt;'V06 Calend 01'!D13),(MOD((175-'V06 Calend 01'!C13),6)=0),(((175-'V06 Calend 01'!C13)/6)&lt;='V06 Calend 01'!E13)),IF((175=('V06 Calend 01'!C13+(6*'V06 Calend 01'!E13))),('V06 Calend 01'!H13-('V06 Calend 01'!I13*('V06 Calend 01'!E13-1))),'V06 Calend 01'!I13),0))+IF((175='V06 Calend 01'!D13),'V06 Calend 01'!J13,0))</f>
        <v>0</v>
      </c>
      <c r="GF13" s="2">
        <f>((IF((176='V06 Calend 01'!C13),('V06 Calend 01'!F13+'V06 Calend 01'!G13),0)+IF(AND(('V06 Calend 01'!E13&gt;0),(176&gt;'V06 Calend 01'!C13),(176&lt;'V06 Calend 01'!D13),(MOD((176-'V06 Calend 01'!C13),6)=0),(((176-'V06 Calend 01'!C13)/6)&lt;='V06 Calend 01'!E13)),IF((176=('V06 Calend 01'!C13+(6*'V06 Calend 01'!E13))),('V06 Calend 01'!H13-('V06 Calend 01'!I13*('V06 Calend 01'!E13-1))),'V06 Calend 01'!I13),0))+IF((176='V06 Calend 01'!D13),'V06 Calend 01'!J13,0))</f>
        <v>0</v>
      </c>
      <c r="GG13" s="2">
        <f>((IF((177='V06 Calend 01'!C13),('V06 Calend 01'!F13+'V06 Calend 01'!G13),0)+IF(AND(('V06 Calend 01'!E13&gt;0),(177&gt;'V06 Calend 01'!C13),(177&lt;'V06 Calend 01'!D13),(MOD((177-'V06 Calend 01'!C13),6)=0),(((177-'V06 Calend 01'!C13)/6)&lt;='V06 Calend 01'!E13)),IF((177=('V06 Calend 01'!C13+(6*'V06 Calend 01'!E13))),('V06 Calend 01'!H13-('V06 Calend 01'!I13*('V06 Calend 01'!E13-1))),'V06 Calend 01'!I13),0))+IF((177='V06 Calend 01'!D13),'V06 Calend 01'!J13,0))</f>
        <v>0</v>
      </c>
      <c r="GH13" s="2">
        <f>((IF((178='V06 Calend 01'!C13),('V06 Calend 01'!F13+'V06 Calend 01'!G13),0)+IF(AND(('V06 Calend 01'!E13&gt;0),(178&gt;'V06 Calend 01'!C13),(178&lt;'V06 Calend 01'!D13),(MOD((178-'V06 Calend 01'!C13),6)=0),(((178-'V06 Calend 01'!C13)/6)&lt;='V06 Calend 01'!E13)),IF((178=('V06 Calend 01'!C13+(6*'V06 Calend 01'!E13))),('V06 Calend 01'!H13-('V06 Calend 01'!I13*('V06 Calend 01'!E13-1))),'V06 Calend 01'!I13),0))+IF((178='V06 Calend 01'!D13),'V06 Calend 01'!J13,0))</f>
        <v>0</v>
      </c>
      <c r="GI13" s="2">
        <f>((IF((179='V06 Calend 01'!C13),('V06 Calend 01'!F13+'V06 Calend 01'!G13),0)+IF(AND(('V06 Calend 01'!E13&gt;0),(179&gt;'V06 Calend 01'!C13),(179&lt;'V06 Calend 01'!D13),(MOD((179-'V06 Calend 01'!C13),6)=0),(((179-'V06 Calend 01'!C13)/6)&lt;='V06 Calend 01'!E13)),IF((179=('V06 Calend 01'!C13+(6*'V06 Calend 01'!E13))),('V06 Calend 01'!H13-('V06 Calend 01'!I13*('V06 Calend 01'!E13-1))),'V06 Calend 01'!I13),0))+IF((179='V06 Calend 01'!D13),'V06 Calend 01'!J13,0))</f>
        <v>0</v>
      </c>
      <c r="GJ13" s="2">
        <f>((IF((180='V06 Calend 01'!C13),('V06 Calend 01'!F13+'V06 Calend 01'!G13),0)+IF(AND(('V06 Calend 01'!E13&gt;0),(180&gt;'V06 Calend 01'!C13),(180&lt;'V06 Calend 01'!D13),(MOD((180-'V06 Calend 01'!C13),6)=0),(((180-'V06 Calend 01'!C13)/6)&lt;='V06 Calend 01'!E13)),IF((180=('V06 Calend 01'!C13+(6*'V06 Calend 01'!E13))),('V06 Calend 01'!H13-('V06 Calend 01'!I13*('V06 Calend 01'!E13-1))),'V06 Calend 01'!I13),0))+IF((180='V06 Calend 01'!D13),'V06 Calend 01'!J13,0))</f>
        <v>0</v>
      </c>
    </row>
    <row r="14" spans="1:192">
      <c r="A14" s="3" t="str">
        <f>'V06 Unidades'!$A$14</f>
        <v>210</v>
      </c>
      <c r="B14" s="2">
        <f>'V06 Unidades'!$H$14</f>
        <v>552000</v>
      </c>
      <c r="C14" s="4">
        <f>('V06 Unidades'!$I$14+'V06 Controlos'!$B$37)</f>
        <v>4</v>
      </c>
      <c r="D14" s="4">
        <f>IF(('V06 Controlos'!$B$38&gt;0),MAX(('V06 Unidades'!$L$14+'V06 Controlos'!$B$37),(30+'V06 Controlos'!$B$38)),('V06 Unidades'!$L$14+'V06 Controlos'!$B$37))</f>
        <v>28</v>
      </c>
      <c r="E14" s="4">
        <f>MAX(0,INT(((('V06 Calend 01'!D14-'V06 Calend 01'!C14)-1)/6)))</f>
        <v>3</v>
      </c>
      <c r="F14" s="2">
        <f>ROUND(('V06 Calend 01'!B14*0.05),2)</f>
        <v>27600.0</v>
      </c>
      <c r="G14" s="2">
        <f>ROUND(('V06 Calend 01'!B14*0.2),2)</f>
        <v>110400.0</v>
      </c>
      <c r="H14" s="2">
        <f>ROUND(('V06 Calend 01'!B14*0.55),2)</f>
        <v>303600.0</v>
      </c>
      <c r="I14" s="2">
        <f>ROUND(('V06 Calend 01'!H14/MAX(1,'V06 Calend 01'!E14)),2)</f>
        <v>101200.0</v>
      </c>
      <c r="J14" s="2">
        <f>((('V06 Calend 01'!B14-'V06 Calend 01'!F14)-'V06 Calend 01'!G14)-'V06 Calend 01'!H14)</f>
        <v>110400.0</v>
      </c>
      <c r="K14" s="2">
        <f>('V06 Calend 01'!B14*0.025)</f>
        <v>13800.0</v>
      </c>
      <c r="L14" t="s">
        <v>378</v>
      </c>
      <c r="M14" s="2">
        <f>((IF((1='V06 Calend 01'!C14),('V06 Calend 01'!F14+'V06 Calend 01'!G14),0)+IF(AND(('V06 Calend 01'!E14&gt;0),(1&gt;'V06 Calend 01'!C14),(1&lt;'V06 Calend 01'!D14),(MOD((1-'V06 Calend 01'!C14),6)=0),(((1-'V06 Calend 01'!C14)/6)&lt;='V06 Calend 01'!E14)),IF((1=('V06 Calend 01'!C14+(6*'V06 Calend 01'!E14))),('V06 Calend 01'!H14-('V06 Calend 01'!I14*('V06 Calend 01'!E14-1))),'V06 Calend 01'!I14),0))+IF((1='V06 Calend 01'!D14),'V06 Calend 01'!J14,0))</f>
        <v>0</v>
      </c>
      <c r="N14" s="2">
        <f>((IF((2='V06 Calend 01'!C14),('V06 Calend 01'!F14+'V06 Calend 01'!G14),0)+IF(AND(('V06 Calend 01'!E14&gt;0),(2&gt;'V06 Calend 01'!C14),(2&lt;'V06 Calend 01'!D14),(MOD((2-'V06 Calend 01'!C14),6)=0),(((2-'V06 Calend 01'!C14)/6)&lt;='V06 Calend 01'!E14)),IF((2=('V06 Calend 01'!C14+(6*'V06 Calend 01'!E14))),('V06 Calend 01'!H14-('V06 Calend 01'!I14*('V06 Calend 01'!E14-1))),'V06 Calend 01'!I14),0))+IF((2='V06 Calend 01'!D14),'V06 Calend 01'!J14,0))</f>
        <v>0</v>
      </c>
      <c r="O14" s="2">
        <f>((IF((3='V06 Calend 01'!C14),('V06 Calend 01'!F14+'V06 Calend 01'!G14),0)+IF(AND(('V06 Calend 01'!E14&gt;0),(3&gt;'V06 Calend 01'!C14),(3&lt;'V06 Calend 01'!D14),(MOD((3-'V06 Calend 01'!C14),6)=0),(((3-'V06 Calend 01'!C14)/6)&lt;='V06 Calend 01'!E14)),IF((3=('V06 Calend 01'!C14+(6*'V06 Calend 01'!E14))),('V06 Calend 01'!H14-('V06 Calend 01'!I14*('V06 Calend 01'!E14-1))),'V06 Calend 01'!I14),0))+IF((3='V06 Calend 01'!D14),'V06 Calend 01'!J14,0))</f>
        <v>0</v>
      </c>
      <c r="P14" s="2">
        <f>((IF((4='V06 Calend 01'!C14),('V06 Calend 01'!F14+'V06 Calend 01'!G14),0)+IF(AND(('V06 Calend 01'!E14&gt;0),(4&gt;'V06 Calend 01'!C14),(4&lt;'V06 Calend 01'!D14),(MOD((4-'V06 Calend 01'!C14),6)=0),(((4-'V06 Calend 01'!C14)/6)&lt;='V06 Calend 01'!E14)),IF((4=('V06 Calend 01'!C14+(6*'V06 Calend 01'!E14))),('V06 Calend 01'!H14-('V06 Calend 01'!I14*('V06 Calend 01'!E14-1))),'V06 Calend 01'!I14),0))+IF((4='V06 Calend 01'!D14),'V06 Calend 01'!J14,0))</f>
        <v>138000.0</v>
      </c>
      <c r="Q14" s="2">
        <f>((IF((5='V06 Calend 01'!C14),('V06 Calend 01'!F14+'V06 Calend 01'!G14),0)+IF(AND(('V06 Calend 01'!E14&gt;0),(5&gt;'V06 Calend 01'!C14),(5&lt;'V06 Calend 01'!D14),(MOD((5-'V06 Calend 01'!C14),6)=0),(((5-'V06 Calend 01'!C14)/6)&lt;='V06 Calend 01'!E14)),IF((5=('V06 Calend 01'!C14+(6*'V06 Calend 01'!E14))),('V06 Calend 01'!H14-('V06 Calend 01'!I14*('V06 Calend 01'!E14-1))),'V06 Calend 01'!I14),0))+IF((5='V06 Calend 01'!D14),'V06 Calend 01'!J14,0))</f>
        <v>0</v>
      </c>
      <c r="R14" s="2">
        <f>((IF((6='V06 Calend 01'!C14),('V06 Calend 01'!F14+'V06 Calend 01'!G14),0)+IF(AND(('V06 Calend 01'!E14&gt;0),(6&gt;'V06 Calend 01'!C14),(6&lt;'V06 Calend 01'!D14),(MOD((6-'V06 Calend 01'!C14),6)=0),(((6-'V06 Calend 01'!C14)/6)&lt;='V06 Calend 01'!E14)),IF((6=('V06 Calend 01'!C14+(6*'V06 Calend 01'!E14))),('V06 Calend 01'!H14-('V06 Calend 01'!I14*('V06 Calend 01'!E14-1))),'V06 Calend 01'!I14),0))+IF((6='V06 Calend 01'!D14),'V06 Calend 01'!J14,0))</f>
        <v>0</v>
      </c>
      <c r="S14" s="2">
        <f>((IF((7='V06 Calend 01'!C14),('V06 Calend 01'!F14+'V06 Calend 01'!G14),0)+IF(AND(('V06 Calend 01'!E14&gt;0),(7&gt;'V06 Calend 01'!C14),(7&lt;'V06 Calend 01'!D14),(MOD((7-'V06 Calend 01'!C14),6)=0),(((7-'V06 Calend 01'!C14)/6)&lt;='V06 Calend 01'!E14)),IF((7=('V06 Calend 01'!C14+(6*'V06 Calend 01'!E14))),('V06 Calend 01'!H14-('V06 Calend 01'!I14*('V06 Calend 01'!E14-1))),'V06 Calend 01'!I14),0))+IF((7='V06 Calend 01'!D14),'V06 Calend 01'!J14,0))</f>
        <v>0</v>
      </c>
      <c r="T14" s="2">
        <f>((IF((8='V06 Calend 01'!C14),('V06 Calend 01'!F14+'V06 Calend 01'!G14),0)+IF(AND(('V06 Calend 01'!E14&gt;0),(8&gt;'V06 Calend 01'!C14),(8&lt;'V06 Calend 01'!D14),(MOD((8-'V06 Calend 01'!C14),6)=0),(((8-'V06 Calend 01'!C14)/6)&lt;='V06 Calend 01'!E14)),IF((8=('V06 Calend 01'!C14+(6*'V06 Calend 01'!E14))),('V06 Calend 01'!H14-('V06 Calend 01'!I14*('V06 Calend 01'!E14-1))),'V06 Calend 01'!I14),0))+IF((8='V06 Calend 01'!D14),'V06 Calend 01'!J14,0))</f>
        <v>0</v>
      </c>
      <c r="U14" s="2">
        <f>((IF((9='V06 Calend 01'!C14),('V06 Calend 01'!F14+'V06 Calend 01'!G14),0)+IF(AND(('V06 Calend 01'!E14&gt;0),(9&gt;'V06 Calend 01'!C14),(9&lt;'V06 Calend 01'!D14),(MOD((9-'V06 Calend 01'!C14),6)=0),(((9-'V06 Calend 01'!C14)/6)&lt;='V06 Calend 01'!E14)),IF((9=('V06 Calend 01'!C14+(6*'V06 Calend 01'!E14))),('V06 Calend 01'!H14-('V06 Calend 01'!I14*('V06 Calend 01'!E14-1))),'V06 Calend 01'!I14),0))+IF((9='V06 Calend 01'!D14),'V06 Calend 01'!J14,0))</f>
        <v>0</v>
      </c>
      <c r="V14" s="2">
        <f>((IF((10='V06 Calend 01'!C14),('V06 Calend 01'!F14+'V06 Calend 01'!G14),0)+IF(AND(('V06 Calend 01'!E14&gt;0),(10&gt;'V06 Calend 01'!C14),(10&lt;'V06 Calend 01'!D14),(MOD((10-'V06 Calend 01'!C14),6)=0),(((10-'V06 Calend 01'!C14)/6)&lt;='V06 Calend 01'!E14)),IF((10=('V06 Calend 01'!C14+(6*'V06 Calend 01'!E14))),('V06 Calend 01'!H14-('V06 Calend 01'!I14*('V06 Calend 01'!E14-1))),'V06 Calend 01'!I14),0))+IF((10='V06 Calend 01'!D14),'V06 Calend 01'!J14,0))</f>
        <v>101200.0</v>
      </c>
      <c r="W14" s="2">
        <f>((IF((11='V06 Calend 01'!C14),('V06 Calend 01'!F14+'V06 Calend 01'!G14),0)+IF(AND(('V06 Calend 01'!E14&gt;0),(11&gt;'V06 Calend 01'!C14),(11&lt;'V06 Calend 01'!D14),(MOD((11-'V06 Calend 01'!C14),6)=0),(((11-'V06 Calend 01'!C14)/6)&lt;='V06 Calend 01'!E14)),IF((11=('V06 Calend 01'!C14+(6*'V06 Calend 01'!E14))),('V06 Calend 01'!H14-('V06 Calend 01'!I14*('V06 Calend 01'!E14-1))),'V06 Calend 01'!I14),0))+IF((11='V06 Calend 01'!D14),'V06 Calend 01'!J14,0))</f>
        <v>0</v>
      </c>
      <c r="X14" s="2">
        <f>((IF((12='V06 Calend 01'!C14),('V06 Calend 01'!F14+'V06 Calend 01'!G14),0)+IF(AND(('V06 Calend 01'!E14&gt;0),(12&gt;'V06 Calend 01'!C14),(12&lt;'V06 Calend 01'!D14),(MOD((12-'V06 Calend 01'!C14),6)=0),(((12-'V06 Calend 01'!C14)/6)&lt;='V06 Calend 01'!E14)),IF((12=('V06 Calend 01'!C14+(6*'V06 Calend 01'!E14))),('V06 Calend 01'!H14-('V06 Calend 01'!I14*('V06 Calend 01'!E14-1))),'V06 Calend 01'!I14),0))+IF((12='V06 Calend 01'!D14),'V06 Calend 01'!J14,0))</f>
        <v>0</v>
      </c>
      <c r="Y14" s="2">
        <f>((IF((13='V06 Calend 01'!C14),('V06 Calend 01'!F14+'V06 Calend 01'!G14),0)+IF(AND(('V06 Calend 01'!E14&gt;0),(13&gt;'V06 Calend 01'!C14),(13&lt;'V06 Calend 01'!D14),(MOD((13-'V06 Calend 01'!C14),6)=0),(((13-'V06 Calend 01'!C14)/6)&lt;='V06 Calend 01'!E14)),IF((13=('V06 Calend 01'!C14+(6*'V06 Calend 01'!E14))),('V06 Calend 01'!H14-('V06 Calend 01'!I14*('V06 Calend 01'!E14-1))),'V06 Calend 01'!I14),0))+IF((13='V06 Calend 01'!D14),'V06 Calend 01'!J14,0))</f>
        <v>0</v>
      </c>
      <c r="Z14" s="2">
        <f>((IF((14='V06 Calend 01'!C14),('V06 Calend 01'!F14+'V06 Calend 01'!G14),0)+IF(AND(('V06 Calend 01'!E14&gt;0),(14&gt;'V06 Calend 01'!C14),(14&lt;'V06 Calend 01'!D14),(MOD((14-'V06 Calend 01'!C14),6)=0),(((14-'V06 Calend 01'!C14)/6)&lt;='V06 Calend 01'!E14)),IF((14=('V06 Calend 01'!C14+(6*'V06 Calend 01'!E14))),('V06 Calend 01'!H14-('V06 Calend 01'!I14*('V06 Calend 01'!E14-1))),'V06 Calend 01'!I14),0))+IF((14='V06 Calend 01'!D14),'V06 Calend 01'!J14,0))</f>
        <v>0</v>
      </c>
      <c r="AA14" s="2">
        <f>((IF((15='V06 Calend 01'!C14),('V06 Calend 01'!F14+'V06 Calend 01'!G14),0)+IF(AND(('V06 Calend 01'!E14&gt;0),(15&gt;'V06 Calend 01'!C14),(15&lt;'V06 Calend 01'!D14),(MOD((15-'V06 Calend 01'!C14),6)=0),(((15-'V06 Calend 01'!C14)/6)&lt;='V06 Calend 01'!E14)),IF((15=('V06 Calend 01'!C14+(6*'V06 Calend 01'!E14))),('V06 Calend 01'!H14-('V06 Calend 01'!I14*('V06 Calend 01'!E14-1))),'V06 Calend 01'!I14),0))+IF((15='V06 Calend 01'!D14),'V06 Calend 01'!J14,0))</f>
        <v>0</v>
      </c>
      <c r="AB14" s="2">
        <f>((IF((16='V06 Calend 01'!C14),('V06 Calend 01'!F14+'V06 Calend 01'!G14),0)+IF(AND(('V06 Calend 01'!E14&gt;0),(16&gt;'V06 Calend 01'!C14),(16&lt;'V06 Calend 01'!D14),(MOD((16-'V06 Calend 01'!C14),6)=0),(((16-'V06 Calend 01'!C14)/6)&lt;='V06 Calend 01'!E14)),IF((16=('V06 Calend 01'!C14+(6*'V06 Calend 01'!E14))),('V06 Calend 01'!H14-('V06 Calend 01'!I14*('V06 Calend 01'!E14-1))),'V06 Calend 01'!I14),0))+IF((16='V06 Calend 01'!D14),'V06 Calend 01'!J14,0))</f>
        <v>101200.0</v>
      </c>
      <c r="AC14" s="2">
        <f>((IF((17='V06 Calend 01'!C14),('V06 Calend 01'!F14+'V06 Calend 01'!G14),0)+IF(AND(('V06 Calend 01'!E14&gt;0),(17&gt;'V06 Calend 01'!C14),(17&lt;'V06 Calend 01'!D14),(MOD((17-'V06 Calend 01'!C14),6)=0),(((17-'V06 Calend 01'!C14)/6)&lt;='V06 Calend 01'!E14)),IF((17=('V06 Calend 01'!C14+(6*'V06 Calend 01'!E14))),('V06 Calend 01'!H14-('V06 Calend 01'!I14*('V06 Calend 01'!E14-1))),'V06 Calend 01'!I14),0))+IF((17='V06 Calend 01'!D14),'V06 Calend 01'!J14,0))</f>
        <v>0</v>
      </c>
      <c r="AD14" s="2">
        <f>((IF((18='V06 Calend 01'!C14),('V06 Calend 01'!F14+'V06 Calend 01'!G14),0)+IF(AND(('V06 Calend 01'!E14&gt;0),(18&gt;'V06 Calend 01'!C14),(18&lt;'V06 Calend 01'!D14),(MOD((18-'V06 Calend 01'!C14),6)=0),(((18-'V06 Calend 01'!C14)/6)&lt;='V06 Calend 01'!E14)),IF((18=('V06 Calend 01'!C14+(6*'V06 Calend 01'!E14))),('V06 Calend 01'!H14-('V06 Calend 01'!I14*('V06 Calend 01'!E14-1))),'V06 Calend 01'!I14),0))+IF((18='V06 Calend 01'!D14),'V06 Calend 01'!J14,0))</f>
        <v>0</v>
      </c>
      <c r="AE14" s="2">
        <f>((IF((19='V06 Calend 01'!C14),('V06 Calend 01'!F14+'V06 Calend 01'!G14),0)+IF(AND(('V06 Calend 01'!E14&gt;0),(19&gt;'V06 Calend 01'!C14),(19&lt;'V06 Calend 01'!D14),(MOD((19-'V06 Calend 01'!C14),6)=0),(((19-'V06 Calend 01'!C14)/6)&lt;='V06 Calend 01'!E14)),IF((19=('V06 Calend 01'!C14+(6*'V06 Calend 01'!E14))),('V06 Calend 01'!H14-('V06 Calend 01'!I14*('V06 Calend 01'!E14-1))),'V06 Calend 01'!I14),0))+IF((19='V06 Calend 01'!D14),'V06 Calend 01'!J14,0))</f>
        <v>0</v>
      </c>
      <c r="AF14" s="2">
        <f>((IF((20='V06 Calend 01'!C14),('V06 Calend 01'!F14+'V06 Calend 01'!G14),0)+IF(AND(('V06 Calend 01'!E14&gt;0),(20&gt;'V06 Calend 01'!C14),(20&lt;'V06 Calend 01'!D14),(MOD((20-'V06 Calend 01'!C14),6)=0),(((20-'V06 Calend 01'!C14)/6)&lt;='V06 Calend 01'!E14)),IF((20=('V06 Calend 01'!C14+(6*'V06 Calend 01'!E14))),('V06 Calend 01'!H14-('V06 Calend 01'!I14*('V06 Calend 01'!E14-1))),'V06 Calend 01'!I14),0))+IF((20='V06 Calend 01'!D14),'V06 Calend 01'!J14,0))</f>
        <v>0</v>
      </c>
      <c r="AG14" s="2">
        <f>((IF((21='V06 Calend 01'!C14),('V06 Calend 01'!F14+'V06 Calend 01'!G14),0)+IF(AND(('V06 Calend 01'!E14&gt;0),(21&gt;'V06 Calend 01'!C14),(21&lt;'V06 Calend 01'!D14),(MOD((21-'V06 Calend 01'!C14),6)=0),(((21-'V06 Calend 01'!C14)/6)&lt;='V06 Calend 01'!E14)),IF((21=('V06 Calend 01'!C14+(6*'V06 Calend 01'!E14))),('V06 Calend 01'!H14-('V06 Calend 01'!I14*('V06 Calend 01'!E14-1))),'V06 Calend 01'!I14),0))+IF((21='V06 Calend 01'!D14),'V06 Calend 01'!J14,0))</f>
        <v>0</v>
      </c>
      <c r="AH14" s="2">
        <f>((IF((22='V06 Calend 01'!C14),('V06 Calend 01'!F14+'V06 Calend 01'!G14),0)+IF(AND(('V06 Calend 01'!E14&gt;0),(22&gt;'V06 Calend 01'!C14),(22&lt;'V06 Calend 01'!D14),(MOD((22-'V06 Calend 01'!C14),6)=0),(((22-'V06 Calend 01'!C14)/6)&lt;='V06 Calend 01'!E14)),IF((22=('V06 Calend 01'!C14+(6*'V06 Calend 01'!E14))),('V06 Calend 01'!H14-('V06 Calend 01'!I14*('V06 Calend 01'!E14-1))),'V06 Calend 01'!I14),0))+IF((22='V06 Calend 01'!D14),'V06 Calend 01'!J14,0))</f>
        <v>101200.0</v>
      </c>
      <c r="AI14" s="2">
        <f>((IF((23='V06 Calend 01'!C14),('V06 Calend 01'!F14+'V06 Calend 01'!G14),0)+IF(AND(('V06 Calend 01'!E14&gt;0),(23&gt;'V06 Calend 01'!C14),(23&lt;'V06 Calend 01'!D14),(MOD((23-'V06 Calend 01'!C14),6)=0),(((23-'V06 Calend 01'!C14)/6)&lt;='V06 Calend 01'!E14)),IF((23=('V06 Calend 01'!C14+(6*'V06 Calend 01'!E14))),('V06 Calend 01'!H14-('V06 Calend 01'!I14*('V06 Calend 01'!E14-1))),'V06 Calend 01'!I14),0))+IF((23='V06 Calend 01'!D14),'V06 Calend 01'!J14,0))</f>
        <v>0</v>
      </c>
      <c r="AJ14" s="2">
        <f>((IF((24='V06 Calend 01'!C14),('V06 Calend 01'!F14+'V06 Calend 01'!G14),0)+IF(AND(('V06 Calend 01'!E14&gt;0),(24&gt;'V06 Calend 01'!C14),(24&lt;'V06 Calend 01'!D14),(MOD((24-'V06 Calend 01'!C14),6)=0),(((24-'V06 Calend 01'!C14)/6)&lt;='V06 Calend 01'!E14)),IF((24=('V06 Calend 01'!C14+(6*'V06 Calend 01'!E14))),('V06 Calend 01'!H14-('V06 Calend 01'!I14*('V06 Calend 01'!E14-1))),'V06 Calend 01'!I14),0))+IF((24='V06 Calend 01'!D14),'V06 Calend 01'!J14,0))</f>
        <v>0</v>
      </c>
      <c r="AK14" s="2">
        <f>((IF((25='V06 Calend 01'!C14),('V06 Calend 01'!F14+'V06 Calend 01'!G14),0)+IF(AND(('V06 Calend 01'!E14&gt;0),(25&gt;'V06 Calend 01'!C14),(25&lt;'V06 Calend 01'!D14),(MOD((25-'V06 Calend 01'!C14),6)=0),(((25-'V06 Calend 01'!C14)/6)&lt;='V06 Calend 01'!E14)),IF((25=('V06 Calend 01'!C14+(6*'V06 Calend 01'!E14))),('V06 Calend 01'!H14-('V06 Calend 01'!I14*('V06 Calend 01'!E14-1))),'V06 Calend 01'!I14),0))+IF((25='V06 Calend 01'!D14),'V06 Calend 01'!J14,0))</f>
        <v>0</v>
      </c>
      <c r="AL14" s="2">
        <f>((IF((26='V06 Calend 01'!C14),('V06 Calend 01'!F14+'V06 Calend 01'!G14),0)+IF(AND(('V06 Calend 01'!E14&gt;0),(26&gt;'V06 Calend 01'!C14),(26&lt;'V06 Calend 01'!D14),(MOD((26-'V06 Calend 01'!C14),6)=0),(((26-'V06 Calend 01'!C14)/6)&lt;='V06 Calend 01'!E14)),IF((26=('V06 Calend 01'!C14+(6*'V06 Calend 01'!E14))),('V06 Calend 01'!H14-('V06 Calend 01'!I14*('V06 Calend 01'!E14-1))),'V06 Calend 01'!I14),0))+IF((26='V06 Calend 01'!D14),'V06 Calend 01'!J14,0))</f>
        <v>0</v>
      </c>
      <c r="AM14" s="2">
        <f>((IF((27='V06 Calend 01'!C14),('V06 Calend 01'!F14+'V06 Calend 01'!G14),0)+IF(AND(('V06 Calend 01'!E14&gt;0),(27&gt;'V06 Calend 01'!C14),(27&lt;'V06 Calend 01'!D14),(MOD((27-'V06 Calend 01'!C14),6)=0),(((27-'V06 Calend 01'!C14)/6)&lt;='V06 Calend 01'!E14)),IF((27=('V06 Calend 01'!C14+(6*'V06 Calend 01'!E14))),('V06 Calend 01'!H14-('V06 Calend 01'!I14*('V06 Calend 01'!E14-1))),'V06 Calend 01'!I14),0))+IF((27='V06 Calend 01'!D14),'V06 Calend 01'!J14,0))</f>
        <v>0</v>
      </c>
      <c r="AN14" s="2">
        <f>((IF((28='V06 Calend 01'!C14),('V06 Calend 01'!F14+'V06 Calend 01'!G14),0)+IF(AND(('V06 Calend 01'!E14&gt;0),(28&gt;'V06 Calend 01'!C14),(28&lt;'V06 Calend 01'!D14),(MOD((28-'V06 Calend 01'!C14),6)=0),(((28-'V06 Calend 01'!C14)/6)&lt;='V06 Calend 01'!E14)),IF((28=('V06 Calend 01'!C14+(6*'V06 Calend 01'!E14))),('V06 Calend 01'!H14-('V06 Calend 01'!I14*('V06 Calend 01'!E14-1))),'V06 Calend 01'!I14),0))+IF((28='V06 Calend 01'!D14),'V06 Calend 01'!J14,0))</f>
        <v>110400.0</v>
      </c>
      <c r="AO14" s="2">
        <f>((IF((29='V06 Calend 01'!C14),('V06 Calend 01'!F14+'V06 Calend 01'!G14),0)+IF(AND(('V06 Calend 01'!E14&gt;0),(29&gt;'V06 Calend 01'!C14),(29&lt;'V06 Calend 01'!D14),(MOD((29-'V06 Calend 01'!C14),6)=0),(((29-'V06 Calend 01'!C14)/6)&lt;='V06 Calend 01'!E14)),IF((29=('V06 Calend 01'!C14+(6*'V06 Calend 01'!E14))),('V06 Calend 01'!H14-('V06 Calend 01'!I14*('V06 Calend 01'!E14-1))),'V06 Calend 01'!I14),0))+IF((29='V06 Calend 01'!D14),'V06 Calend 01'!J14,0))</f>
        <v>0</v>
      </c>
      <c r="AP14" s="2">
        <f>((IF((30='V06 Calend 01'!C14),('V06 Calend 01'!F14+'V06 Calend 01'!G14),0)+IF(AND(('V06 Calend 01'!E14&gt;0),(30&gt;'V06 Calend 01'!C14),(30&lt;'V06 Calend 01'!D14),(MOD((30-'V06 Calend 01'!C14),6)=0),(((30-'V06 Calend 01'!C14)/6)&lt;='V06 Calend 01'!E14)),IF((30=('V06 Calend 01'!C14+(6*'V06 Calend 01'!E14))),('V06 Calend 01'!H14-('V06 Calend 01'!I14*('V06 Calend 01'!E14-1))),'V06 Calend 01'!I14),0))+IF((30='V06 Calend 01'!D14),'V06 Calend 01'!J14,0))</f>
        <v>0</v>
      </c>
      <c r="AQ14" s="2">
        <f>((IF((31='V06 Calend 01'!C14),('V06 Calend 01'!F14+'V06 Calend 01'!G14),0)+IF(AND(('V06 Calend 01'!E14&gt;0),(31&gt;'V06 Calend 01'!C14),(31&lt;'V06 Calend 01'!D14),(MOD((31-'V06 Calend 01'!C14),6)=0),(((31-'V06 Calend 01'!C14)/6)&lt;='V06 Calend 01'!E14)),IF((31=('V06 Calend 01'!C14+(6*'V06 Calend 01'!E14))),('V06 Calend 01'!H14-('V06 Calend 01'!I14*('V06 Calend 01'!E14-1))),'V06 Calend 01'!I14),0))+IF((31='V06 Calend 01'!D14),'V06 Calend 01'!J14,0))</f>
        <v>0</v>
      </c>
      <c r="AR14" s="2">
        <f>((IF((32='V06 Calend 01'!C14),('V06 Calend 01'!F14+'V06 Calend 01'!G14),0)+IF(AND(('V06 Calend 01'!E14&gt;0),(32&gt;'V06 Calend 01'!C14),(32&lt;'V06 Calend 01'!D14),(MOD((32-'V06 Calend 01'!C14),6)=0),(((32-'V06 Calend 01'!C14)/6)&lt;='V06 Calend 01'!E14)),IF((32=('V06 Calend 01'!C14+(6*'V06 Calend 01'!E14))),('V06 Calend 01'!H14-('V06 Calend 01'!I14*('V06 Calend 01'!E14-1))),'V06 Calend 01'!I14),0))+IF((32='V06 Calend 01'!D14),'V06 Calend 01'!J14,0))</f>
        <v>0</v>
      </c>
      <c r="AS14" s="2">
        <f>((IF((33='V06 Calend 01'!C14),('V06 Calend 01'!F14+'V06 Calend 01'!G14),0)+IF(AND(('V06 Calend 01'!E14&gt;0),(33&gt;'V06 Calend 01'!C14),(33&lt;'V06 Calend 01'!D14),(MOD((33-'V06 Calend 01'!C14),6)=0),(((33-'V06 Calend 01'!C14)/6)&lt;='V06 Calend 01'!E14)),IF((33=('V06 Calend 01'!C14+(6*'V06 Calend 01'!E14))),('V06 Calend 01'!H14-('V06 Calend 01'!I14*('V06 Calend 01'!E14-1))),'V06 Calend 01'!I14),0))+IF((33='V06 Calend 01'!D14),'V06 Calend 01'!J14,0))</f>
        <v>0</v>
      </c>
      <c r="AT14" s="2">
        <f>((IF((34='V06 Calend 01'!C14),('V06 Calend 01'!F14+'V06 Calend 01'!G14),0)+IF(AND(('V06 Calend 01'!E14&gt;0),(34&gt;'V06 Calend 01'!C14),(34&lt;'V06 Calend 01'!D14),(MOD((34-'V06 Calend 01'!C14),6)=0),(((34-'V06 Calend 01'!C14)/6)&lt;='V06 Calend 01'!E14)),IF((34=('V06 Calend 01'!C14+(6*'V06 Calend 01'!E14))),('V06 Calend 01'!H14-('V06 Calend 01'!I14*('V06 Calend 01'!E14-1))),'V06 Calend 01'!I14),0))+IF((34='V06 Calend 01'!D14),'V06 Calend 01'!J14,0))</f>
        <v>0</v>
      </c>
      <c r="AU14" s="2">
        <f>((IF((35='V06 Calend 01'!C14),('V06 Calend 01'!F14+'V06 Calend 01'!G14),0)+IF(AND(('V06 Calend 01'!E14&gt;0),(35&gt;'V06 Calend 01'!C14),(35&lt;'V06 Calend 01'!D14),(MOD((35-'V06 Calend 01'!C14),6)=0),(((35-'V06 Calend 01'!C14)/6)&lt;='V06 Calend 01'!E14)),IF((35=('V06 Calend 01'!C14+(6*'V06 Calend 01'!E14))),('V06 Calend 01'!H14-('V06 Calend 01'!I14*('V06 Calend 01'!E14-1))),'V06 Calend 01'!I14),0))+IF((35='V06 Calend 01'!D14),'V06 Calend 01'!J14,0))</f>
        <v>0</v>
      </c>
      <c r="AV14" s="2">
        <f>((IF((36='V06 Calend 01'!C14),('V06 Calend 01'!F14+'V06 Calend 01'!G14),0)+IF(AND(('V06 Calend 01'!E14&gt;0),(36&gt;'V06 Calend 01'!C14),(36&lt;'V06 Calend 01'!D14),(MOD((36-'V06 Calend 01'!C14),6)=0),(((36-'V06 Calend 01'!C14)/6)&lt;='V06 Calend 01'!E14)),IF((36=('V06 Calend 01'!C14+(6*'V06 Calend 01'!E14))),('V06 Calend 01'!H14-('V06 Calend 01'!I14*('V06 Calend 01'!E14-1))),'V06 Calend 01'!I14),0))+IF((36='V06 Calend 01'!D14),'V06 Calend 01'!J14,0))</f>
        <v>0</v>
      </c>
      <c r="AW14" s="2">
        <f>((IF((37='V06 Calend 01'!C14),('V06 Calend 01'!F14+'V06 Calend 01'!G14),0)+IF(AND(('V06 Calend 01'!E14&gt;0),(37&gt;'V06 Calend 01'!C14),(37&lt;'V06 Calend 01'!D14),(MOD((37-'V06 Calend 01'!C14),6)=0),(((37-'V06 Calend 01'!C14)/6)&lt;='V06 Calend 01'!E14)),IF((37=('V06 Calend 01'!C14+(6*'V06 Calend 01'!E14))),('V06 Calend 01'!H14-('V06 Calend 01'!I14*('V06 Calend 01'!E14-1))),'V06 Calend 01'!I14),0))+IF((37='V06 Calend 01'!D14),'V06 Calend 01'!J14,0))</f>
        <v>0</v>
      </c>
      <c r="AX14" s="2">
        <f>((IF((38='V06 Calend 01'!C14),('V06 Calend 01'!F14+'V06 Calend 01'!G14),0)+IF(AND(('V06 Calend 01'!E14&gt;0),(38&gt;'V06 Calend 01'!C14),(38&lt;'V06 Calend 01'!D14),(MOD((38-'V06 Calend 01'!C14),6)=0),(((38-'V06 Calend 01'!C14)/6)&lt;='V06 Calend 01'!E14)),IF((38=('V06 Calend 01'!C14+(6*'V06 Calend 01'!E14))),('V06 Calend 01'!H14-('V06 Calend 01'!I14*('V06 Calend 01'!E14-1))),'V06 Calend 01'!I14),0))+IF((38='V06 Calend 01'!D14),'V06 Calend 01'!J14,0))</f>
        <v>0</v>
      </c>
      <c r="AY14" s="2">
        <f>((IF((39='V06 Calend 01'!C14),('V06 Calend 01'!F14+'V06 Calend 01'!G14),0)+IF(AND(('V06 Calend 01'!E14&gt;0),(39&gt;'V06 Calend 01'!C14),(39&lt;'V06 Calend 01'!D14),(MOD((39-'V06 Calend 01'!C14),6)=0),(((39-'V06 Calend 01'!C14)/6)&lt;='V06 Calend 01'!E14)),IF((39=('V06 Calend 01'!C14+(6*'V06 Calend 01'!E14))),('V06 Calend 01'!H14-('V06 Calend 01'!I14*('V06 Calend 01'!E14-1))),'V06 Calend 01'!I14),0))+IF((39='V06 Calend 01'!D14),'V06 Calend 01'!J14,0))</f>
        <v>0</v>
      </c>
      <c r="AZ14" s="2">
        <f>((IF((40='V06 Calend 01'!C14),('V06 Calend 01'!F14+'V06 Calend 01'!G14),0)+IF(AND(('V06 Calend 01'!E14&gt;0),(40&gt;'V06 Calend 01'!C14),(40&lt;'V06 Calend 01'!D14),(MOD((40-'V06 Calend 01'!C14),6)=0),(((40-'V06 Calend 01'!C14)/6)&lt;='V06 Calend 01'!E14)),IF((40=('V06 Calend 01'!C14+(6*'V06 Calend 01'!E14))),('V06 Calend 01'!H14-('V06 Calend 01'!I14*('V06 Calend 01'!E14-1))),'V06 Calend 01'!I14),0))+IF((40='V06 Calend 01'!D14),'V06 Calend 01'!J14,0))</f>
        <v>0</v>
      </c>
      <c r="BA14" s="2">
        <f>((IF((41='V06 Calend 01'!C14),('V06 Calend 01'!F14+'V06 Calend 01'!G14),0)+IF(AND(('V06 Calend 01'!E14&gt;0),(41&gt;'V06 Calend 01'!C14),(41&lt;'V06 Calend 01'!D14),(MOD((41-'V06 Calend 01'!C14),6)=0),(((41-'V06 Calend 01'!C14)/6)&lt;='V06 Calend 01'!E14)),IF((41=('V06 Calend 01'!C14+(6*'V06 Calend 01'!E14))),('V06 Calend 01'!H14-('V06 Calend 01'!I14*('V06 Calend 01'!E14-1))),'V06 Calend 01'!I14),0))+IF((41='V06 Calend 01'!D14),'V06 Calend 01'!J14,0))</f>
        <v>0</v>
      </c>
      <c r="BB14" s="2">
        <f>((IF((42='V06 Calend 01'!C14),('V06 Calend 01'!F14+'V06 Calend 01'!G14),0)+IF(AND(('V06 Calend 01'!E14&gt;0),(42&gt;'V06 Calend 01'!C14),(42&lt;'V06 Calend 01'!D14),(MOD((42-'V06 Calend 01'!C14),6)=0),(((42-'V06 Calend 01'!C14)/6)&lt;='V06 Calend 01'!E14)),IF((42=('V06 Calend 01'!C14+(6*'V06 Calend 01'!E14))),('V06 Calend 01'!H14-('V06 Calend 01'!I14*('V06 Calend 01'!E14-1))),'V06 Calend 01'!I14),0))+IF((42='V06 Calend 01'!D14),'V06 Calend 01'!J14,0))</f>
        <v>0</v>
      </c>
      <c r="BC14" s="2">
        <f>((IF((43='V06 Calend 01'!C14),('V06 Calend 01'!F14+'V06 Calend 01'!G14),0)+IF(AND(('V06 Calend 01'!E14&gt;0),(43&gt;'V06 Calend 01'!C14),(43&lt;'V06 Calend 01'!D14),(MOD((43-'V06 Calend 01'!C14),6)=0),(((43-'V06 Calend 01'!C14)/6)&lt;='V06 Calend 01'!E14)),IF((43=('V06 Calend 01'!C14+(6*'V06 Calend 01'!E14))),('V06 Calend 01'!H14-('V06 Calend 01'!I14*('V06 Calend 01'!E14-1))),'V06 Calend 01'!I14),0))+IF((43='V06 Calend 01'!D14),'V06 Calend 01'!J14,0))</f>
        <v>0</v>
      </c>
      <c r="BD14" s="2">
        <f>((IF((44='V06 Calend 01'!C14),('V06 Calend 01'!F14+'V06 Calend 01'!G14),0)+IF(AND(('V06 Calend 01'!E14&gt;0),(44&gt;'V06 Calend 01'!C14),(44&lt;'V06 Calend 01'!D14),(MOD((44-'V06 Calend 01'!C14),6)=0),(((44-'V06 Calend 01'!C14)/6)&lt;='V06 Calend 01'!E14)),IF((44=('V06 Calend 01'!C14+(6*'V06 Calend 01'!E14))),('V06 Calend 01'!H14-('V06 Calend 01'!I14*('V06 Calend 01'!E14-1))),'V06 Calend 01'!I14),0))+IF((44='V06 Calend 01'!D14),'V06 Calend 01'!J14,0))</f>
        <v>0</v>
      </c>
      <c r="BE14" s="2">
        <f>((IF((45='V06 Calend 01'!C14),('V06 Calend 01'!F14+'V06 Calend 01'!G14),0)+IF(AND(('V06 Calend 01'!E14&gt;0),(45&gt;'V06 Calend 01'!C14),(45&lt;'V06 Calend 01'!D14),(MOD((45-'V06 Calend 01'!C14),6)=0),(((45-'V06 Calend 01'!C14)/6)&lt;='V06 Calend 01'!E14)),IF((45=('V06 Calend 01'!C14+(6*'V06 Calend 01'!E14))),('V06 Calend 01'!H14-('V06 Calend 01'!I14*('V06 Calend 01'!E14-1))),'V06 Calend 01'!I14),0))+IF((45='V06 Calend 01'!D14),'V06 Calend 01'!J14,0))</f>
        <v>0</v>
      </c>
      <c r="BF14" s="2">
        <f>((IF((46='V06 Calend 01'!C14),('V06 Calend 01'!F14+'V06 Calend 01'!G14),0)+IF(AND(('V06 Calend 01'!E14&gt;0),(46&gt;'V06 Calend 01'!C14),(46&lt;'V06 Calend 01'!D14),(MOD((46-'V06 Calend 01'!C14),6)=0),(((46-'V06 Calend 01'!C14)/6)&lt;='V06 Calend 01'!E14)),IF((46=('V06 Calend 01'!C14+(6*'V06 Calend 01'!E14))),('V06 Calend 01'!H14-('V06 Calend 01'!I14*('V06 Calend 01'!E14-1))),'V06 Calend 01'!I14),0))+IF((46='V06 Calend 01'!D14),'V06 Calend 01'!J14,0))</f>
        <v>0</v>
      </c>
      <c r="BG14" s="2">
        <f>((IF((47='V06 Calend 01'!C14),('V06 Calend 01'!F14+'V06 Calend 01'!G14),0)+IF(AND(('V06 Calend 01'!E14&gt;0),(47&gt;'V06 Calend 01'!C14),(47&lt;'V06 Calend 01'!D14),(MOD((47-'V06 Calend 01'!C14),6)=0),(((47-'V06 Calend 01'!C14)/6)&lt;='V06 Calend 01'!E14)),IF((47=('V06 Calend 01'!C14+(6*'V06 Calend 01'!E14))),('V06 Calend 01'!H14-('V06 Calend 01'!I14*('V06 Calend 01'!E14-1))),'V06 Calend 01'!I14),0))+IF((47='V06 Calend 01'!D14),'V06 Calend 01'!J14,0))</f>
        <v>0</v>
      </c>
      <c r="BH14" s="2">
        <f>((IF((48='V06 Calend 01'!C14),('V06 Calend 01'!F14+'V06 Calend 01'!G14),0)+IF(AND(('V06 Calend 01'!E14&gt;0),(48&gt;'V06 Calend 01'!C14),(48&lt;'V06 Calend 01'!D14),(MOD((48-'V06 Calend 01'!C14),6)=0),(((48-'V06 Calend 01'!C14)/6)&lt;='V06 Calend 01'!E14)),IF((48=('V06 Calend 01'!C14+(6*'V06 Calend 01'!E14))),('V06 Calend 01'!H14-('V06 Calend 01'!I14*('V06 Calend 01'!E14-1))),'V06 Calend 01'!I14),0))+IF((48='V06 Calend 01'!D14),'V06 Calend 01'!J14,0))</f>
        <v>0</v>
      </c>
      <c r="BI14" s="2">
        <f>((IF((49='V06 Calend 01'!C14),('V06 Calend 01'!F14+'V06 Calend 01'!G14),0)+IF(AND(('V06 Calend 01'!E14&gt;0),(49&gt;'V06 Calend 01'!C14),(49&lt;'V06 Calend 01'!D14),(MOD((49-'V06 Calend 01'!C14),6)=0),(((49-'V06 Calend 01'!C14)/6)&lt;='V06 Calend 01'!E14)),IF((49=('V06 Calend 01'!C14+(6*'V06 Calend 01'!E14))),('V06 Calend 01'!H14-('V06 Calend 01'!I14*('V06 Calend 01'!E14-1))),'V06 Calend 01'!I14),0))+IF((49='V06 Calend 01'!D14),'V06 Calend 01'!J14,0))</f>
        <v>0</v>
      </c>
      <c r="BJ14" s="2">
        <f>((IF((50='V06 Calend 01'!C14),('V06 Calend 01'!F14+'V06 Calend 01'!G14),0)+IF(AND(('V06 Calend 01'!E14&gt;0),(50&gt;'V06 Calend 01'!C14),(50&lt;'V06 Calend 01'!D14),(MOD((50-'V06 Calend 01'!C14),6)=0),(((50-'V06 Calend 01'!C14)/6)&lt;='V06 Calend 01'!E14)),IF((50=('V06 Calend 01'!C14+(6*'V06 Calend 01'!E14))),('V06 Calend 01'!H14-('V06 Calend 01'!I14*('V06 Calend 01'!E14-1))),'V06 Calend 01'!I14),0))+IF((50='V06 Calend 01'!D14),'V06 Calend 01'!J14,0))</f>
        <v>0</v>
      </c>
      <c r="BK14" s="2">
        <f>((IF((51='V06 Calend 01'!C14),('V06 Calend 01'!F14+'V06 Calend 01'!G14),0)+IF(AND(('V06 Calend 01'!E14&gt;0),(51&gt;'V06 Calend 01'!C14),(51&lt;'V06 Calend 01'!D14),(MOD((51-'V06 Calend 01'!C14),6)=0),(((51-'V06 Calend 01'!C14)/6)&lt;='V06 Calend 01'!E14)),IF((51=('V06 Calend 01'!C14+(6*'V06 Calend 01'!E14))),('V06 Calend 01'!H14-('V06 Calend 01'!I14*('V06 Calend 01'!E14-1))),'V06 Calend 01'!I14),0))+IF((51='V06 Calend 01'!D14),'V06 Calend 01'!J14,0))</f>
        <v>0</v>
      </c>
      <c r="BL14" s="2">
        <f>((IF((52='V06 Calend 01'!C14),('V06 Calend 01'!F14+'V06 Calend 01'!G14),0)+IF(AND(('V06 Calend 01'!E14&gt;0),(52&gt;'V06 Calend 01'!C14),(52&lt;'V06 Calend 01'!D14),(MOD((52-'V06 Calend 01'!C14),6)=0),(((52-'V06 Calend 01'!C14)/6)&lt;='V06 Calend 01'!E14)),IF((52=('V06 Calend 01'!C14+(6*'V06 Calend 01'!E14))),('V06 Calend 01'!H14-('V06 Calend 01'!I14*('V06 Calend 01'!E14-1))),'V06 Calend 01'!I14),0))+IF((52='V06 Calend 01'!D14),'V06 Calend 01'!J14,0))</f>
        <v>0</v>
      </c>
      <c r="BM14" s="2">
        <f>((IF((53='V06 Calend 01'!C14),('V06 Calend 01'!F14+'V06 Calend 01'!G14),0)+IF(AND(('V06 Calend 01'!E14&gt;0),(53&gt;'V06 Calend 01'!C14),(53&lt;'V06 Calend 01'!D14),(MOD((53-'V06 Calend 01'!C14),6)=0),(((53-'V06 Calend 01'!C14)/6)&lt;='V06 Calend 01'!E14)),IF((53=('V06 Calend 01'!C14+(6*'V06 Calend 01'!E14))),('V06 Calend 01'!H14-('V06 Calend 01'!I14*('V06 Calend 01'!E14-1))),'V06 Calend 01'!I14),0))+IF((53='V06 Calend 01'!D14),'V06 Calend 01'!J14,0))</f>
        <v>0</v>
      </c>
      <c r="BN14" s="2">
        <f>((IF((54='V06 Calend 01'!C14),('V06 Calend 01'!F14+'V06 Calend 01'!G14),0)+IF(AND(('V06 Calend 01'!E14&gt;0),(54&gt;'V06 Calend 01'!C14),(54&lt;'V06 Calend 01'!D14),(MOD((54-'V06 Calend 01'!C14),6)=0),(((54-'V06 Calend 01'!C14)/6)&lt;='V06 Calend 01'!E14)),IF((54=('V06 Calend 01'!C14+(6*'V06 Calend 01'!E14))),('V06 Calend 01'!H14-('V06 Calend 01'!I14*('V06 Calend 01'!E14-1))),'V06 Calend 01'!I14),0))+IF((54='V06 Calend 01'!D14),'V06 Calend 01'!J14,0))</f>
        <v>0</v>
      </c>
      <c r="BO14" s="2">
        <f>((IF((55='V06 Calend 01'!C14),('V06 Calend 01'!F14+'V06 Calend 01'!G14),0)+IF(AND(('V06 Calend 01'!E14&gt;0),(55&gt;'V06 Calend 01'!C14),(55&lt;'V06 Calend 01'!D14),(MOD((55-'V06 Calend 01'!C14),6)=0),(((55-'V06 Calend 01'!C14)/6)&lt;='V06 Calend 01'!E14)),IF((55=('V06 Calend 01'!C14+(6*'V06 Calend 01'!E14))),('V06 Calend 01'!H14-('V06 Calend 01'!I14*('V06 Calend 01'!E14-1))),'V06 Calend 01'!I14),0))+IF((55='V06 Calend 01'!D14),'V06 Calend 01'!J14,0))</f>
        <v>0</v>
      </c>
      <c r="BP14" s="2">
        <f>((IF((56='V06 Calend 01'!C14),('V06 Calend 01'!F14+'V06 Calend 01'!G14),0)+IF(AND(('V06 Calend 01'!E14&gt;0),(56&gt;'V06 Calend 01'!C14),(56&lt;'V06 Calend 01'!D14),(MOD((56-'V06 Calend 01'!C14),6)=0),(((56-'V06 Calend 01'!C14)/6)&lt;='V06 Calend 01'!E14)),IF((56=('V06 Calend 01'!C14+(6*'V06 Calend 01'!E14))),('V06 Calend 01'!H14-('V06 Calend 01'!I14*('V06 Calend 01'!E14-1))),'V06 Calend 01'!I14),0))+IF((56='V06 Calend 01'!D14),'V06 Calend 01'!J14,0))</f>
        <v>0</v>
      </c>
      <c r="BQ14" s="2">
        <f>((IF((57='V06 Calend 01'!C14),('V06 Calend 01'!F14+'V06 Calend 01'!G14),0)+IF(AND(('V06 Calend 01'!E14&gt;0),(57&gt;'V06 Calend 01'!C14),(57&lt;'V06 Calend 01'!D14),(MOD((57-'V06 Calend 01'!C14),6)=0),(((57-'V06 Calend 01'!C14)/6)&lt;='V06 Calend 01'!E14)),IF((57=('V06 Calend 01'!C14+(6*'V06 Calend 01'!E14))),('V06 Calend 01'!H14-('V06 Calend 01'!I14*('V06 Calend 01'!E14-1))),'V06 Calend 01'!I14),0))+IF((57='V06 Calend 01'!D14),'V06 Calend 01'!J14,0))</f>
        <v>0</v>
      </c>
      <c r="BR14" s="2">
        <f>((IF((58='V06 Calend 01'!C14),('V06 Calend 01'!F14+'V06 Calend 01'!G14),0)+IF(AND(('V06 Calend 01'!E14&gt;0),(58&gt;'V06 Calend 01'!C14),(58&lt;'V06 Calend 01'!D14),(MOD((58-'V06 Calend 01'!C14),6)=0),(((58-'V06 Calend 01'!C14)/6)&lt;='V06 Calend 01'!E14)),IF((58=('V06 Calend 01'!C14+(6*'V06 Calend 01'!E14))),('V06 Calend 01'!H14-('V06 Calend 01'!I14*('V06 Calend 01'!E14-1))),'V06 Calend 01'!I14),0))+IF((58='V06 Calend 01'!D14),'V06 Calend 01'!J14,0))</f>
        <v>0</v>
      </c>
      <c r="BS14" s="2">
        <f>((IF((59='V06 Calend 01'!C14),('V06 Calend 01'!F14+'V06 Calend 01'!G14),0)+IF(AND(('V06 Calend 01'!E14&gt;0),(59&gt;'V06 Calend 01'!C14),(59&lt;'V06 Calend 01'!D14),(MOD((59-'V06 Calend 01'!C14),6)=0),(((59-'V06 Calend 01'!C14)/6)&lt;='V06 Calend 01'!E14)),IF((59=('V06 Calend 01'!C14+(6*'V06 Calend 01'!E14))),('V06 Calend 01'!H14-('V06 Calend 01'!I14*('V06 Calend 01'!E14-1))),'V06 Calend 01'!I14),0))+IF((59='V06 Calend 01'!D14),'V06 Calend 01'!J14,0))</f>
        <v>0</v>
      </c>
      <c r="BT14" s="2">
        <f>((IF((60='V06 Calend 01'!C14),('V06 Calend 01'!F14+'V06 Calend 01'!G14),0)+IF(AND(('V06 Calend 01'!E14&gt;0),(60&gt;'V06 Calend 01'!C14),(60&lt;'V06 Calend 01'!D14),(MOD((60-'V06 Calend 01'!C14),6)=0),(((60-'V06 Calend 01'!C14)/6)&lt;='V06 Calend 01'!E14)),IF((60=('V06 Calend 01'!C14+(6*'V06 Calend 01'!E14))),('V06 Calend 01'!H14-('V06 Calend 01'!I14*('V06 Calend 01'!E14-1))),'V06 Calend 01'!I14),0))+IF((60='V06 Calend 01'!D14),'V06 Calend 01'!J14,0))</f>
        <v>0</v>
      </c>
      <c r="BU14" s="2">
        <f>((IF((61='V06 Calend 01'!C14),('V06 Calend 01'!F14+'V06 Calend 01'!G14),0)+IF(AND(('V06 Calend 01'!E14&gt;0),(61&gt;'V06 Calend 01'!C14),(61&lt;'V06 Calend 01'!D14),(MOD((61-'V06 Calend 01'!C14),6)=0),(((61-'V06 Calend 01'!C14)/6)&lt;='V06 Calend 01'!E14)),IF((61=('V06 Calend 01'!C14+(6*'V06 Calend 01'!E14))),('V06 Calend 01'!H14-('V06 Calend 01'!I14*('V06 Calend 01'!E14-1))),'V06 Calend 01'!I14),0))+IF((61='V06 Calend 01'!D14),'V06 Calend 01'!J14,0))</f>
        <v>0</v>
      </c>
      <c r="BV14" s="2">
        <f>((IF((62='V06 Calend 01'!C14),('V06 Calend 01'!F14+'V06 Calend 01'!G14),0)+IF(AND(('V06 Calend 01'!E14&gt;0),(62&gt;'V06 Calend 01'!C14),(62&lt;'V06 Calend 01'!D14),(MOD((62-'V06 Calend 01'!C14),6)=0),(((62-'V06 Calend 01'!C14)/6)&lt;='V06 Calend 01'!E14)),IF((62=('V06 Calend 01'!C14+(6*'V06 Calend 01'!E14))),('V06 Calend 01'!H14-('V06 Calend 01'!I14*('V06 Calend 01'!E14-1))),'V06 Calend 01'!I14),0))+IF((62='V06 Calend 01'!D14),'V06 Calend 01'!J14,0))</f>
        <v>0</v>
      </c>
      <c r="BW14" s="2">
        <f>((IF((63='V06 Calend 01'!C14),('V06 Calend 01'!F14+'V06 Calend 01'!G14),0)+IF(AND(('V06 Calend 01'!E14&gt;0),(63&gt;'V06 Calend 01'!C14),(63&lt;'V06 Calend 01'!D14),(MOD((63-'V06 Calend 01'!C14),6)=0),(((63-'V06 Calend 01'!C14)/6)&lt;='V06 Calend 01'!E14)),IF((63=('V06 Calend 01'!C14+(6*'V06 Calend 01'!E14))),('V06 Calend 01'!H14-('V06 Calend 01'!I14*('V06 Calend 01'!E14-1))),'V06 Calend 01'!I14),0))+IF((63='V06 Calend 01'!D14),'V06 Calend 01'!J14,0))</f>
        <v>0</v>
      </c>
      <c r="BX14" s="2">
        <f>((IF((64='V06 Calend 01'!C14),('V06 Calend 01'!F14+'V06 Calend 01'!G14),0)+IF(AND(('V06 Calend 01'!E14&gt;0),(64&gt;'V06 Calend 01'!C14),(64&lt;'V06 Calend 01'!D14),(MOD((64-'V06 Calend 01'!C14),6)=0),(((64-'V06 Calend 01'!C14)/6)&lt;='V06 Calend 01'!E14)),IF((64=('V06 Calend 01'!C14+(6*'V06 Calend 01'!E14))),('V06 Calend 01'!H14-('V06 Calend 01'!I14*('V06 Calend 01'!E14-1))),'V06 Calend 01'!I14),0))+IF((64='V06 Calend 01'!D14),'V06 Calend 01'!J14,0))</f>
        <v>0</v>
      </c>
      <c r="BY14" s="2">
        <f>((IF((65='V06 Calend 01'!C14),('V06 Calend 01'!F14+'V06 Calend 01'!G14),0)+IF(AND(('V06 Calend 01'!E14&gt;0),(65&gt;'V06 Calend 01'!C14),(65&lt;'V06 Calend 01'!D14),(MOD((65-'V06 Calend 01'!C14),6)=0),(((65-'V06 Calend 01'!C14)/6)&lt;='V06 Calend 01'!E14)),IF((65=('V06 Calend 01'!C14+(6*'V06 Calend 01'!E14))),('V06 Calend 01'!H14-('V06 Calend 01'!I14*('V06 Calend 01'!E14-1))),'V06 Calend 01'!I14),0))+IF((65='V06 Calend 01'!D14),'V06 Calend 01'!J14,0))</f>
        <v>0</v>
      </c>
      <c r="BZ14" s="2">
        <f>((IF((66='V06 Calend 01'!C14),('V06 Calend 01'!F14+'V06 Calend 01'!G14),0)+IF(AND(('V06 Calend 01'!E14&gt;0),(66&gt;'V06 Calend 01'!C14),(66&lt;'V06 Calend 01'!D14),(MOD((66-'V06 Calend 01'!C14),6)=0),(((66-'V06 Calend 01'!C14)/6)&lt;='V06 Calend 01'!E14)),IF((66=('V06 Calend 01'!C14+(6*'V06 Calend 01'!E14))),('V06 Calend 01'!H14-('V06 Calend 01'!I14*('V06 Calend 01'!E14-1))),'V06 Calend 01'!I14),0))+IF((66='V06 Calend 01'!D14),'V06 Calend 01'!J14,0))</f>
        <v>0</v>
      </c>
      <c r="CA14" s="2">
        <f>((IF((67='V06 Calend 01'!C14),('V06 Calend 01'!F14+'V06 Calend 01'!G14),0)+IF(AND(('V06 Calend 01'!E14&gt;0),(67&gt;'V06 Calend 01'!C14),(67&lt;'V06 Calend 01'!D14),(MOD((67-'V06 Calend 01'!C14),6)=0),(((67-'V06 Calend 01'!C14)/6)&lt;='V06 Calend 01'!E14)),IF((67=('V06 Calend 01'!C14+(6*'V06 Calend 01'!E14))),('V06 Calend 01'!H14-('V06 Calend 01'!I14*('V06 Calend 01'!E14-1))),'V06 Calend 01'!I14),0))+IF((67='V06 Calend 01'!D14),'V06 Calend 01'!J14,0))</f>
        <v>0</v>
      </c>
      <c r="CB14" s="2">
        <f>((IF((68='V06 Calend 01'!C14),('V06 Calend 01'!F14+'V06 Calend 01'!G14),0)+IF(AND(('V06 Calend 01'!E14&gt;0),(68&gt;'V06 Calend 01'!C14),(68&lt;'V06 Calend 01'!D14),(MOD((68-'V06 Calend 01'!C14),6)=0),(((68-'V06 Calend 01'!C14)/6)&lt;='V06 Calend 01'!E14)),IF((68=('V06 Calend 01'!C14+(6*'V06 Calend 01'!E14))),('V06 Calend 01'!H14-('V06 Calend 01'!I14*('V06 Calend 01'!E14-1))),'V06 Calend 01'!I14),0))+IF((68='V06 Calend 01'!D14),'V06 Calend 01'!J14,0))</f>
        <v>0</v>
      </c>
      <c r="CC14" s="2">
        <f>((IF((69='V06 Calend 01'!C14),('V06 Calend 01'!F14+'V06 Calend 01'!G14),0)+IF(AND(('V06 Calend 01'!E14&gt;0),(69&gt;'V06 Calend 01'!C14),(69&lt;'V06 Calend 01'!D14),(MOD((69-'V06 Calend 01'!C14),6)=0),(((69-'V06 Calend 01'!C14)/6)&lt;='V06 Calend 01'!E14)),IF((69=('V06 Calend 01'!C14+(6*'V06 Calend 01'!E14))),('V06 Calend 01'!H14-('V06 Calend 01'!I14*('V06 Calend 01'!E14-1))),'V06 Calend 01'!I14),0))+IF((69='V06 Calend 01'!D14),'V06 Calend 01'!J14,0))</f>
        <v>0</v>
      </c>
      <c r="CD14" s="2">
        <f>((IF((70='V06 Calend 01'!C14),('V06 Calend 01'!F14+'V06 Calend 01'!G14),0)+IF(AND(('V06 Calend 01'!E14&gt;0),(70&gt;'V06 Calend 01'!C14),(70&lt;'V06 Calend 01'!D14),(MOD((70-'V06 Calend 01'!C14),6)=0),(((70-'V06 Calend 01'!C14)/6)&lt;='V06 Calend 01'!E14)),IF((70=('V06 Calend 01'!C14+(6*'V06 Calend 01'!E14))),('V06 Calend 01'!H14-('V06 Calend 01'!I14*('V06 Calend 01'!E14-1))),'V06 Calend 01'!I14),0))+IF((70='V06 Calend 01'!D14),'V06 Calend 01'!J14,0))</f>
        <v>0</v>
      </c>
      <c r="CE14" s="2">
        <f>((IF((71='V06 Calend 01'!C14),('V06 Calend 01'!F14+'V06 Calend 01'!G14),0)+IF(AND(('V06 Calend 01'!E14&gt;0),(71&gt;'V06 Calend 01'!C14),(71&lt;'V06 Calend 01'!D14),(MOD((71-'V06 Calend 01'!C14),6)=0),(((71-'V06 Calend 01'!C14)/6)&lt;='V06 Calend 01'!E14)),IF((71=('V06 Calend 01'!C14+(6*'V06 Calend 01'!E14))),('V06 Calend 01'!H14-('V06 Calend 01'!I14*('V06 Calend 01'!E14-1))),'V06 Calend 01'!I14),0))+IF((71='V06 Calend 01'!D14),'V06 Calend 01'!J14,0))</f>
        <v>0</v>
      </c>
      <c r="CF14" s="2">
        <f>((IF((72='V06 Calend 01'!C14),('V06 Calend 01'!F14+'V06 Calend 01'!G14),0)+IF(AND(('V06 Calend 01'!E14&gt;0),(72&gt;'V06 Calend 01'!C14),(72&lt;'V06 Calend 01'!D14),(MOD((72-'V06 Calend 01'!C14),6)=0),(((72-'V06 Calend 01'!C14)/6)&lt;='V06 Calend 01'!E14)),IF((72=('V06 Calend 01'!C14+(6*'V06 Calend 01'!E14))),('V06 Calend 01'!H14-('V06 Calend 01'!I14*('V06 Calend 01'!E14-1))),'V06 Calend 01'!I14),0))+IF((72='V06 Calend 01'!D14),'V06 Calend 01'!J14,0))</f>
        <v>0</v>
      </c>
      <c r="CG14" s="2">
        <f>((IF((73='V06 Calend 01'!C14),('V06 Calend 01'!F14+'V06 Calend 01'!G14),0)+IF(AND(('V06 Calend 01'!E14&gt;0),(73&gt;'V06 Calend 01'!C14),(73&lt;'V06 Calend 01'!D14),(MOD((73-'V06 Calend 01'!C14),6)=0),(((73-'V06 Calend 01'!C14)/6)&lt;='V06 Calend 01'!E14)),IF((73=('V06 Calend 01'!C14+(6*'V06 Calend 01'!E14))),('V06 Calend 01'!H14-('V06 Calend 01'!I14*('V06 Calend 01'!E14-1))),'V06 Calend 01'!I14),0))+IF((73='V06 Calend 01'!D14),'V06 Calend 01'!J14,0))</f>
        <v>0</v>
      </c>
      <c r="CH14" s="2">
        <f>((IF((74='V06 Calend 01'!C14),('V06 Calend 01'!F14+'V06 Calend 01'!G14),0)+IF(AND(('V06 Calend 01'!E14&gt;0),(74&gt;'V06 Calend 01'!C14),(74&lt;'V06 Calend 01'!D14),(MOD((74-'V06 Calend 01'!C14),6)=0),(((74-'V06 Calend 01'!C14)/6)&lt;='V06 Calend 01'!E14)),IF((74=('V06 Calend 01'!C14+(6*'V06 Calend 01'!E14))),('V06 Calend 01'!H14-('V06 Calend 01'!I14*('V06 Calend 01'!E14-1))),'V06 Calend 01'!I14),0))+IF((74='V06 Calend 01'!D14),'V06 Calend 01'!J14,0))</f>
        <v>0</v>
      </c>
      <c r="CI14" s="2">
        <f>((IF((75='V06 Calend 01'!C14),('V06 Calend 01'!F14+'V06 Calend 01'!G14),0)+IF(AND(('V06 Calend 01'!E14&gt;0),(75&gt;'V06 Calend 01'!C14),(75&lt;'V06 Calend 01'!D14),(MOD((75-'V06 Calend 01'!C14),6)=0),(((75-'V06 Calend 01'!C14)/6)&lt;='V06 Calend 01'!E14)),IF((75=('V06 Calend 01'!C14+(6*'V06 Calend 01'!E14))),('V06 Calend 01'!H14-('V06 Calend 01'!I14*('V06 Calend 01'!E14-1))),'V06 Calend 01'!I14),0))+IF((75='V06 Calend 01'!D14),'V06 Calend 01'!J14,0))</f>
        <v>0</v>
      </c>
      <c r="CJ14" s="2">
        <f>((IF((76='V06 Calend 01'!C14),('V06 Calend 01'!F14+'V06 Calend 01'!G14),0)+IF(AND(('V06 Calend 01'!E14&gt;0),(76&gt;'V06 Calend 01'!C14),(76&lt;'V06 Calend 01'!D14),(MOD((76-'V06 Calend 01'!C14),6)=0),(((76-'V06 Calend 01'!C14)/6)&lt;='V06 Calend 01'!E14)),IF((76=('V06 Calend 01'!C14+(6*'V06 Calend 01'!E14))),('V06 Calend 01'!H14-('V06 Calend 01'!I14*('V06 Calend 01'!E14-1))),'V06 Calend 01'!I14),0))+IF((76='V06 Calend 01'!D14),'V06 Calend 01'!J14,0))</f>
        <v>0</v>
      </c>
      <c r="CK14" s="2">
        <f>((IF((77='V06 Calend 01'!C14),('V06 Calend 01'!F14+'V06 Calend 01'!G14),0)+IF(AND(('V06 Calend 01'!E14&gt;0),(77&gt;'V06 Calend 01'!C14),(77&lt;'V06 Calend 01'!D14),(MOD((77-'V06 Calend 01'!C14),6)=0),(((77-'V06 Calend 01'!C14)/6)&lt;='V06 Calend 01'!E14)),IF((77=('V06 Calend 01'!C14+(6*'V06 Calend 01'!E14))),('V06 Calend 01'!H14-('V06 Calend 01'!I14*('V06 Calend 01'!E14-1))),'V06 Calend 01'!I14),0))+IF((77='V06 Calend 01'!D14),'V06 Calend 01'!J14,0))</f>
        <v>0</v>
      </c>
      <c r="CL14" s="2">
        <f>((IF((78='V06 Calend 01'!C14),('V06 Calend 01'!F14+'V06 Calend 01'!G14),0)+IF(AND(('V06 Calend 01'!E14&gt;0),(78&gt;'V06 Calend 01'!C14),(78&lt;'V06 Calend 01'!D14),(MOD((78-'V06 Calend 01'!C14),6)=0),(((78-'V06 Calend 01'!C14)/6)&lt;='V06 Calend 01'!E14)),IF((78=('V06 Calend 01'!C14+(6*'V06 Calend 01'!E14))),('V06 Calend 01'!H14-('V06 Calend 01'!I14*('V06 Calend 01'!E14-1))),'V06 Calend 01'!I14),0))+IF((78='V06 Calend 01'!D14),'V06 Calend 01'!J14,0))</f>
        <v>0</v>
      </c>
      <c r="CM14" s="2">
        <f>((IF((79='V06 Calend 01'!C14),('V06 Calend 01'!F14+'V06 Calend 01'!G14),0)+IF(AND(('V06 Calend 01'!E14&gt;0),(79&gt;'V06 Calend 01'!C14),(79&lt;'V06 Calend 01'!D14),(MOD((79-'V06 Calend 01'!C14),6)=0),(((79-'V06 Calend 01'!C14)/6)&lt;='V06 Calend 01'!E14)),IF((79=('V06 Calend 01'!C14+(6*'V06 Calend 01'!E14))),('V06 Calend 01'!H14-('V06 Calend 01'!I14*('V06 Calend 01'!E14-1))),'V06 Calend 01'!I14),0))+IF((79='V06 Calend 01'!D14),'V06 Calend 01'!J14,0))</f>
        <v>0</v>
      </c>
      <c r="CN14" s="2">
        <f>((IF((80='V06 Calend 01'!C14),('V06 Calend 01'!F14+'V06 Calend 01'!G14),0)+IF(AND(('V06 Calend 01'!E14&gt;0),(80&gt;'V06 Calend 01'!C14),(80&lt;'V06 Calend 01'!D14),(MOD((80-'V06 Calend 01'!C14),6)=0),(((80-'V06 Calend 01'!C14)/6)&lt;='V06 Calend 01'!E14)),IF((80=('V06 Calend 01'!C14+(6*'V06 Calend 01'!E14))),('V06 Calend 01'!H14-('V06 Calend 01'!I14*('V06 Calend 01'!E14-1))),'V06 Calend 01'!I14),0))+IF((80='V06 Calend 01'!D14),'V06 Calend 01'!J14,0))</f>
        <v>0</v>
      </c>
      <c r="CO14" s="2">
        <f>((IF((81='V06 Calend 01'!C14),('V06 Calend 01'!F14+'V06 Calend 01'!G14),0)+IF(AND(('V06 Calend 01'!E14&gt;0),(81&gt;'V06 Calend 01'!C14),(81&lt;'V06 Calend 01'!D14),(MOD((81-'V06 Calend 01'!C14),6)=0),(((81-'V06 Calend 01'!C14)/6)&lt;='V06 Calend 01'!E14)),IF((81=('V06 Calend 01'!C14+(6*'V06 Calend 01'!E14))),('V06 Calend 01'!H14-('V06 Calend 01'!I14*('V06 Calend 01'!E14-1))),'V06 Calend 01'!I14),0))+IF((81='V06 Calend 01'!D14),'V06 Calend 01'!J14,0))</f>
        <v>0</v>
      </c>
      <c r="CP14" s="2">
        <f>((IF((82='V06 Calend 01'!C14),('V06 Calend 01'!F14+'V06 Calend 01'!G14),0)+IF(AND(('V06 Calend 01'!E14&gt;0),(82&gt;'V06 Calend 01'!C14),(82&lt;'V06 Calend 01'!D14),(MOD((82-'V06 Calend 01'!C14),6)=0),(((82-'V06 Calend 01'!C14)/6)&lt;='V06 Calend 01'!E14)),IF((82=('V06 Calend 01'!C14+(6*'V06 Calend 01'!E14))),('V06 Calend 01'!H14-('V06 Calend 01'!I14*('V06 Calend 01'!E14-1))),'V06 Calend 01'!I14),0))+IF((82='V06 Calend 01'!D14),'V06 Calend 01'!J14,0))</f>
        <v>0</v>
      </c>
      <c r="CQ14" s="2">
        <f>((IF((83='V06 Calend 01'!C14),('V06 Calend 01'!F14+'V06 Calend 01'!G14),0)+IF(AND(('V06 Calend 01'!E14&gt;0),(83&gt;'V06 Calend 01'!C14),(83&lt;'V06 Calend 01'!D14),(MOD((83-'V06 Calend 01'!C14),6)=0),(((83-'V06 Calend 01'!C14)/6)&lt;='V06 Calend 01'!E14)),IF((83=('V06 Calend 01'!C14+(6*'V06 Calend 01'!E14))),('V06 Calend 01'!H14-('V06 Calend 01'!I14*('V06 Calend 01'!E14-1))),'V06 Calend 01'!I14),0))+IF((83='V06 Calend 01'!D14),'V06 Calend 01'!J14,0))</f>
        <v>0</v>
      </c>
      <c r="CR14" s="2">
        <f>((IF((84='V06 Calend 01'!C14),('V06 Calend 01'!F14+'V06 Calend 01'!G14),0)+IF(AND(('V06 Calend 01'!E14&gt;0),(84&gt;'V06 Calend 01'!C14),(84&lt;'V06 Calend 01'!D14),(MOD((84-'V06 Calend 01'!C14),6)=0),(((84-'V06 Calend 01'!C14)/6)&lt;='V06 Calend 01'!E14)),IF((84=('V06 Calend 01'!C14+(6*'V06 Calend 01'!E14))),('V06 Calend 01'!H14-('V06 Calend 01'!I14*('V06 Calend 01'!E14-1))),'V06 Calend 01'!I14),0))+IF((84='V06 Calend 01'!D14),'V06 Calend 01'!J14,0))</f>
        <v>0</v>
      </c>
      <c r="CS14" s="2">
        <f>((IF((85='V06 Calend 01'!C14),('V06 Calend 01'!F14+'V06 Calend 01'!G14),0)+IF(AND(('V06 Calend 01'!E14&gt;0),(85&gt;'V06 Calend 01'!C14),(85&lt;'V06 Calend 01'!D14),(MOD((85-'V06 Calend 01'!C14),6)=0),(((85-'V06 Calend 01'!C14)/6)&lt;='V06 Calend 01'!E14)),IF((85=('V06 Calend 01'!C14+(6*'V06 Calend 01'!E14))),('V06 Calend 01'!H14-('V06 Calend 01'!I14*('V06 Calend 01'!E14-1))),'V06 Calend 01'!I14),0))+IF((85='V06 Calend 01'!D14),'V06 Calend 01'!J14,0))</f>
        <v>0</v>
      </c>
      <c r="CT14" s="2">
        <f>((IF((86='V06 Calend 01'!C14),('V06 Calend 01'!F14+'V06 Calend 01'!G14),0)+IF(AND(('V06 Calend 01'!E14&gt;0),(86&gt;'V06 Calend 01'!C14),(86&lt;'V06 Calend 01'!D14),(MOD((86-'V06 Calend 01'!C14),6)=0),(((86-'V06 Calend 01'!C14)/6)&lt;='V06 Calend 01'!E14)),IF((86=('V06 Calend 01'!C14+(6*'V06 Calend 01'!E14))),('V06 Calend 01'!H14-('V06 Calend 01'!I14*('V06 Calend 01'!E14-1))),'V06 Calend 01'!I14),0))+IF((86='V06 Calend 01'!D14),'V06 Calend 01'!J14,0))</f>
        <v>0</v>
      </c>
      <c r="CU14" s="2">
        <f>((IF((87='V06 Calend 01'!C14),('V06 Calend 01'!F14+'V06 Calend 01'!G14),0)+IF(AND(('V06 Calend 01'!E14&gt;0),(87&gt;'V06 Calend 01'!C14),(87&lt;'V06 Calend 01'!D14),(MOD((87-'V06 Calend 01'!C14),6)=0),(((87-'V06 Calend 01'!C14)/6)&lt;='V06 Calend 01'!E14)),IF((87=('V06 Calend 01'!C14+(6*'V06 Calend 01'!E14))),('V06 Calend 01'!H14-('V06 Calend 01'!I14*('V06 Calend 01'!E14-1))),'V06 Calend 01'!I14),0))+IF((87='V06 Calend 01'!D14),'V06 Calend 01'!J14,0))</f>
        <v>0</v>
      </c>
      <c r="CV14" s="2">
        <f>((IF((88='V06 Calend 01'!C14),('V06 Calend 01'!F14+'V06 Calend 01'!G14),0)+IF(AND(('V06 Calend 01'!E14&gt;0),(88&gt;'V06 Calend 01'!C14),(88&lt;'V06 Calend 01'!D14),(MOD((88-'V06 Calend 01'!C14),6)=0),(((88-'V06 Calend 01'!C14)/6)&lt;='V06 Calend 01'!E14)),IF((88=('V06 Calend 01'!C14+(6*'V06 Calend 01'!E14))),('V06 Calend 01'!H14-('V06 Calend 01'!I14*('V06 Calend 01'!E14-1))),'V06 Calend 01'!I14),0))+IF((88='V06 Calend 01'!D14),'V06 Calend 01'!J14,0))</f>
        <v>0</v>
      </c>
      <c r="CW14" s="2">
        <f>((IF((89='V06 Calend 01'!C14),('V06 Calend 01'!F14+'V06 Calend 01'!G14),0)+IF(AND(('V06 Calend 01'!E14&gt;0),(89&gt;'V06 Calend 01'!C14),(89&lt;'V06 Calend 01'!D14),(MOD((89-'V06 Calend 01'!C14),6)=0),(((89-'V06 Calend 01'!C14)/6)&lt;='V06 Calend 01'!E14)),IF((89=('V06 Calend 01'!C14+(6*'V06 Calend 01'!E14))),('V06 Calend 01'!H14-('V06 Calend 01'!I14*('V06 Calend 01'!E14-1))),'V06 Calend 01'!I14),0))+IF((89='V06 Calend 01'!D14),'V06 Calend 01'!J14,0))</f>
        <v>0</v>
      </c>
      <c r="CX14" s="2">
        <f>((IF((90='V06 Calend 01'!C14),('V06 Calend 01'!F14+'V06 Calend 01'!G14),0)+IF(AND(('V06 Calend 01'!E14&gt;0),(90&gt;'V06 Calend 01'!C14),(90&lt;'V06 Calend 01'!D14),(MOD((90-'V06 Calend 01'!C14),6)=0),(((90-'V06 Calend 01'!C14)/6)&lt;='V06 Calend 01'!E14)),IF((90=('V06 Calend 01'!C14+(6*'V06 Calend 01'!E14))),('V06 Calend 01'!H14-('V06 Calend 01'!I14*('V06 Calend 01'!E14-1))),'V06 Calend 01'!I14),0))+IF((90='V06 Calend 01'!D14),'V06 Calend 01'!J14,0))</f>
        <v>0</v>
      </c>
      <c r="CY14" s="2">
        <f>((IF((91='V06 Calend 01'!C14),('V06 Calend 01'!F14+'V06 Calend 01'!G14),0)+IF(AND(('V06 Calend 01'!E14&gt;0),(91&gt;'V06 Calend 01'!C14),(91&lt;'V06 Calend 01'!D14),(MOD((91-'V06 Calend 01'!C14),6)=0),(((91-'V06 Calend 01'!C14)/6)&lt;='V06 Calend 01'!E14)),IF((91=('V06 Calend 01'!C14+(6*'V06 Calend 01'!E14))),('V06 Calend 01'!H14-('V06 Calend 01'!I14*('V06 Calend 01'!E14-1))),'V06 Calend 01'!I14),0))+IF((91='V06 Calend 01'!D14),'V06 Calend 01'!J14,0))</f>
        <v>0</v>
      </c>
      <c r="CZ14" s="2">
        <f>((IF((92='V06 Calend 01'!C14),('V06 Calend 01'!F14+'V06 Calend 01'!G14),0)+IF(AND(('V06 Calend 01'!E14&gt;0),(92&gt;'V06 Calend 01'!C14),(92&lt;'V06 Calend 01'!D14),(MOD((92-'V06 Calend 01'!C14),6)=0),(((92-'V06 Calend 01'!C14)/6)&lt;='V06 Calend 01'!E14)),IF((92=('V06 Calend 01'!C14+(6*'V06 Calend 01'!E14))),('V06 Calend 01'!H14-('V06 Calend 01'!I14*('V06 Calend 01'!E14-1))),'V06 Calend 01'!I14),0))+IF((92='V06 Calend 01'!D14),'V06 Calend 01'!J14,0))</f>
        <v>0</v>
      </c>
      <c r="DA14" s="2">
        <f>((IF((93='V06 Calend 01'!C14),('V06 Calend 01'!F14+'V06 Calend 01'!G14),0)+IF(AND(('V06 Calend 01'!E14&gt;0),(93&gt;'V06 Calend 01'!C14),(93&lt;'V06 Calend 01'!D14),(MOD((93-'V06 Calend 01'!C14),6)=0),(((93-'V06 Calend 01'!C14)/6)&lt;='V06 Calend 01'!E14)),IF((93=('V06 Calend 01'!C14+(6*'V06 Calend 01'!E14))),('V06 Calend 01'!H14-('V06 Calend 01'!I14*('V06 Calend 01'!E14-1))),'V06 Calend 01'!I14),0))+IF((93='V06 Calend 01'!D14),'V06 Calend 01'!J14,0))</f>
        <v>0</v>
      </c>
      <c r="DB14" s="2">
        <f>((IF((94='V06 Calend 01'!C14),('V06 Calend 01'!F14+'V06 Calend 01'!G14),0)+IF(AND(('V06 Calend 01'!E14&gt;0),(94&gt;'V06 Calend 01'!C14),(94&lt;'V06 Calend 01'!D14),(MOD((94-'V06 Calend 01'!C14),6)=0),(((94-'V06 Calend 01'!C14)/6)&lt;='V06 Calend 01'!E14)),IF((94=('V06 Calend 01'!C14+(6*'V06 Calend 01'!E14))),('V06 Calend 01'!H14-('V06 Calend 01'!I14*('V06 Calend 01'!E14-1))),'V06 Calend 01'!I14),0))+IF((94='V06 Calend 01'!D14),'V06 Calend 01'!J14,0))</f>
        <v>0</v>
      </c>
      <c r="DC14" s="2">
        <f>((IF((95='V06 Calend 01'!C14),('V06 Calend 01'!F14+'V06 Calend 01'!G14),0)+IF(AND(('V06 Calend 01'!E14&gt;0),(95&gt;'V06 Calend 01'!C14),(95&lt;'V06 Calend 01'!D14),(MOD((95-'V06 Calend 01'!C14),6)=0),(((95-'V06 Calend 01'!C14)/6)&lt;='V06 Calend 01'!E14)),IF((95=('V06 Calend 01'!C14+(6*'V06 Calend 01'!E14))),('V06 Calend 01'!H14-('V06 Calend 01'!I14*('V06 Calend 01'!E14-1))),'V06 Calend 01'!I14),0))+IF((95='V06 Calend 01'!D14),'V06 Calend 01'!J14,0))</f>
        <v>0</v>
      </c>
      <c r="DD14" s="2">
        <f>((IF((96='V06 Calend 01'!C14),('V06 Calend 01'!F14+'V06 Calend 01'!G14),0)+IF(AND(('V06 Calend 01'!E14&gt;0),(96&gt;'V06 Calend 01'!C14),(96&lt;'V06 Calend 01'!D14),(MOD((96-'V06 Calend 01'!C14),6)=0),(((96-'V06 Calend 01'!C14)/6)&lt;='V06 Calend 01'!E14)),IF((96=('V06 Calend 01'!C14+(6*'V06 Calend 01'!E14))),('V06 Calend 01'!H14-('V06 Calend 01'!I14*('V06 Calend 01'!E14-1))),'V06 Calend 01'!I14),0))+IF((96='V06 Calend 01'!D14),'V06 Calend 01'!J14,0))</f>
        <v>0</v>
      </c>
      <c r="DE14" s="2">
        <f>((IF((97='V06 Calend 01'!C14),('V06 Calend 01'!F14+'V06 Calend 01'!G14),0)+IF(AND(('V06 Calend 01'!E14&gt;0),(97&gt;'V06 Calend 01'!C14),(97&lt;'V06 Calend 01'!D14),(MOD((97-'V06 Calend 01'!C14),6)=0),(((97-'V06 Calend 01'!C14)/6)&lt;='V06 Calend 01'!E14)),IF((97=('V06 Calend 01'!C14+(6*'V06 Calend 01'!E14))),('V06 Calend 01'!H14-('V06 Calend 01'!I14*('V06 Calend 01'!E14-1))),'V06 Calend 01'!I14),0))+IF((97='V06 Calend 01'!D14),'V06 Calend 01'!J14,0))</f>
        <v>0</v>
      </c>
      <c r="DF14" s="2">
        <f>((IF((98='V06 Calend 01'!C14),('V06 Calend 01'!F14+'V06 Calend 01'!G14),0)+IF(AND(('V06 Calend 01'!E14&gt;0),(98&gt;'V06 Calend 01'!C14),(98&lt;'V06 Calend 01'!D14),(MOD((98-'V06 Calend 01'!C14),6)=0),(((98-'V06 Calend 01'!C14)/6)&lt;='V06 Calend 01'!E14)),IF((98=('V06 Calend 01'!C14+(6*'V06 Calend 01'!E14))),('V06 Calend 01'!H14-('V06 Calend 01'!I14*('V06 Calend 01'!E14-1))),'V06 Calend 01'!I14),0))+IF((98='V06 Calend 01'!D14),'V06 Calend 01'!J14,0))</f>
        <v>0</v>
      </c>
      <c r="DG14" s="2">
        <f>((IF((99='V06 Calend 01'!C14),('V06 Calend 01'!F14+'V06 Calend 01'!G14),0)+IF(AND(('V06 Calend 01'!E14&gt;0),(99&gt;'V06 Calend 01'!C14),(99&lt;'V06 Calend 01'!D14),(MOD((99-'V06 Calend 01'!C14),6)=0),(((99-'V06 Calend 01'!C14)/6)&lt;='V06 Calend 01'!E14)),IF((99=('V06 Calend 01'!C14+(6*'V06 Calend 01'!E14))),('V06 Calend 01'!H14-('V06 Calend 01'!I14*('V06 Calend 01'!E14-1))),'V06 Calend 01'!I14),0))+IF((99='V06 Calend 01'!D14),'V06 Calend 01'!J14,0))</f>
        <v>0</v>
      </c>
      <c r="DH14" s="2">
        <f>((IF((100='V06 Calend 01'!C14),('V06 Calend 01'!F14+'V06 Calend 01'!G14),0)+IF(AND(('V06 Calend 01'!E14&gt;0),(100&gt;'V06 Calend 01'!C14),(100&lt;'V06 Calend 01'!D14),(MOD((100-'V06 Calend 01'!C14),6)=0),(((100-'V06 Calend 01'!C14)/6)&lt;='V06 Calend 01'!E14)),IF((100=('V06 Calend 01'!C14+(6*'V06 Calend 01'!E14))),('V06 Calend 01'!H14-('V06 Calend 01'!I14*('V06 Calend 01'!E14-1))),'V06 Calend 01'!I14),0))+IF((100='V06 Calend 01'!D14),'V06 Calend 01'!J14,0))</f>
        <v>0</v>
      </c>
      <c r="DI14" s="2">
        <f>((IF((101='V06 Calend 01'!C14),('V06 Calend 01'!F14+'V06 Calend 01'!G14),0)+IF(AND(('V06 Calend 01'!E14&gt;0),(101&gt;'V06 Calend 01'!C14),(101&lt;'V06 Calend 01'!D14),(MOD((101-'V06 Calend 01'!C14),6)=0),(((101-'V06 Calend 01'!C14)/6)&lt;='V06 Calend 01'!E14)),IF((101=('V06 Calend 01'!C14+(6*'V06 Calend 01'!E14))),('V06 Calend 01'!H14-('V06 Calend 01'!I14*('V06 Calend 01'!E14-1))),'V06 Calend 01'!I14),0))+IF((101='V06 Calend 01'!D14),'V06 Calend 01'!J14,0))</f>
        <v>0</v>
      </c>
      <c r="DJ14" s="2">
        <f>((IF((102='V06 Calend 01'!C14),('V06 Calend 01'!F14+'V06 Calend 01'!G14),0)+IF(AND(('V06 Calend 01'!E14&gt;0),(102&gt;'V06 Calend 01'!C14),(102&lt;'V06 Calend 01'!D14),(MOD((102-'V06 Calend 01'!C14),6)=0),(((102-'V06 Calend 01'!C14)/6)&lt;='V06 Calend 01'!E14)),IF((102=('V06 Calend 01'!C14+(6*'V06 Calend 01'!E14))),('V06 Calend 01'!H14-('V06 Calend 01'!I14*('V06 Calend 01'!E14-1))),'V06 Calend 01'!I14),0))+IF((102='V06 Calend 01'!D14),'V06 Calend 01'!J14,0))</f>
        <v>0</v>
      </c>
      <c r="DK14" s="2">
        <f>((IF((103='V06 Calend 01'!C14),('V06 Calend 01'!F14+'V06 Calend 01'!G14),0)+IF(AND(('V06 Calend 01'!E14&gt;0),(103&gt;'V06 Calend 01'!C14),(103&lt;'V06 Calend 01'!D14),(MOD((103-'V06 Calend 01'!C14),6)=0),(((103-'V06 Calend 01'!C14)/6)&lt;='V06 Calend 01'!E14)),IF((103=('V06 Calend 01'!C14+(6*'V06 Calend 01'!E14))),('V06 Calend 01'!H14-('V06 Calend 01'!I14*('V06 Calend 01'!E14-1))),'V06 Calend 01'!I14),0))+IF((103='V06 Calend 01'!D14),'V06 Calend 01'!J14,0))</f>
        <v>0</v>
      </c>
      <c r="DL14" s="2">
        <f>((IF((104='V06 Calend 01'!C14),('V06 Calend 01'!F14+'V06 Calend 01'!G14),0)+IF(AND(('V06 Calend 01'!E14&gt;0),(104&gt;'V06 Calend 01'!C14),(104&lt;'V06 Calend 01'!D14),(MOD((104-'V06 Calend 01'!C14),6)=0),(((104-'V06 Calend 01'!C14)/6)&lt;='V06 Calend 01'!E14)),IF((104=('V06 Calend 01'!C14+(6*'V06 Calend 01'!E14))),('V06 Calend 01'!H14-('V06 Calend 01'!I14*('V06 Calend 01'!E14-1))),'V06 Calend 01'!I14),0))+IF((104='V06 Calend 01'!D14),'V06 Calend 01'!J14,0))</f>
        <v>0</v>
      </c>
      <c r="DM14" s="2">
        <f>((IF((105='V06 Calend 01'!C14),('V06 Calend 01'!F14+'V06 Calend 01'!G14),0)+IF(AND(('V06 Calend 01'!E14&gt;0),(105&gt;'V06 Calend 01'!C14),(105&lt;'V06 Calend 01'!D14),(MOD((105-'V06 Calend 01'!C14),6)=0),(((105-'V06 Calend 01'!C14)/6)&lt;='V06 Calend 01'!E14)),IF((105=('V06 Calend 01'!C14+(6*'V06 Calend 01'!E14))),('V06 Calend 01'!H14-('V06 Calend 01'!I14*('V06 Calend 01'!E14-1))),'V06 Calend 01'!I14),0))+IF((105='V06 Calend 01'!D14),'V06 Calend 01'!J14,0))</f>
        <v>0</v>
      </c>
      <c r="DN14" s="2">
        <f>((IF((106='V06 Calend 01'!C14),('V06 Calend 01'!F14+'V06 Calend 01'!G14),0)+IF(AND(('V06 Calend 01'!E14&gt;0),(106&gt;'V06 Calend 01'!C14),(106&lt;'V06 Calend 01'!D14),(MOD((106-'V06 Calend 01'!C14),6)=0),(((106-'V06 Calend 01'!C14)/6)&lt;='V06 Calend 01'!E14)),IF((106=('V06 Calend 01'!C14+(6*'V06 Calend 01'!E14))),('V06 Calend 01'!H14-('V06 Calend 01'!I14*('V06 Calend 01'!E14-1))),'V06 Calend 01'!I14),0))+IF((106='V06 Calend 01'!D14),'V06 Calend 01'!J14,0))</f>
        <v>0</v>
      </c>
      <c r="DO14" s="2">
        <f>((IF((107='V06 Calend 01'!C14),('V06 Calend 01'!F14+'V06 Calend 01'!G14),0)+IF(AND(('V06 Calend 01'!E14&gt;0),(107&gt;'V06 Calend 01'!C14),(107&lt;'V06 Calend 01'!D14),(MOD((107-'V06 Calend 01'!C14),6)=0),(((107-'V06 Calend 01'!C14)/6)&lt;='V06 Calend 01'!E14)),IF((107=('V06 Calend 01'!C14+(6*'V06 Calend 01'!E14))),('V06 Calend 01'!H14-('V06 Calend 01'!I14*('V06 Calend 01'!E14-1))),'V06 Calend 01'!I14),0))+IF((107='V06 Calend 01'!D14),'V06 Calend 01'!J14,0))</f>
        <v>0</v>
      </c>
      <c r="DP14" s="2">
        <f>((IF((108='V06 Calend 01'!C14),('V06 Calend 01'!F14+'V06 Calend 01'!G14),0)+IF(AND(('V06 Calend 01'!E14&gt;0),(108&gt;'V06 Calend 01'!C14),(108&lt;'V06 Calend 01'!D14),(MOD((108-'V06 Calend 01'!C14),6)=0),(((108-'V06 Calend 01'!C14)/6)&lt;='V06 Calend 01'!E14)),IF((108=('V06 Calend 01'!C14+(6*'V06 Calend 01'!E14))),('V06 Calend 01'!H14-('V06 Calend 01'!I14*('V06 Calend 01'!E14-1))),'V06 Calend 01'!I14),0))+IF((108='V06 Calend 01'!D14),'V06 Calend 01'!J14,0))</f>
        <v>0</v>
      </c>
      <c r="DQ14" s="2">
        <f>((IF((109='V06 Calend 01'!C14),('V06 Calend 01'!F14+'V06 Calend 01'!G14),0)+IF(AND(('V06 Calend 01'!E14&gt;0),(109&gt;'V06 Calend 01'!C14),(109&lt;'V06 Calend 01'!D14),(MOD((109-'V06 Calend 01'!C14),6)=0),(((109-'V06 Calend 01'!C14)/6)&lt;='V06 Calend 01'!E14)),IF((109=('V06 Calend 01'!C14+(6*'V06 Calend 01'!E14))),('V06 Calend 01'!H14-('V06 Calend 01'!I14*('V06 Calend 01'!E14-1))),'V06 Calend 01'!I14),0))+IF((109='V06 Calend 01'!D14),'V06 Calend 01'!J14,0))</f>
        <v>0</v>
      </c>
      <c r="DR14" s="2">
        <f>((IF((110='V06 Calend 01'!C14),('V06 Calend 01'!F14+'V06 Calend 01'!G14),0)+IF(AND(('V06 Calend 01'!E14&gt;0),(110&gt;'V06 Calend 01'!C14),(110&lt;'V06 Calend 01'!D14),(MOD((110-'V06 Calend 01'!C14),6)=0),(((110-'V06 Calend 01'!C14)/6)&lt;='V06 Calend 01'!E14)),IF((110=('V06 Calend 01'!C14+(6*'V06 Calend 01'!E14))),('V06 Calend 01'!H14-('V06 Calend 01'!I14*('V06 Calend 01'!E14-1))),'V06 Calend 01'!I14),0))+IF((110='V06 Calend 01'!D14),'V06 Calend 01'!J14,0))</f>
        <v>0</v>
      </c>
      <c r="DS14" s="2">
        <f>((IF((111='V06 Calend 01'!C14),('V06 Calend 01'!F14+'V06 Calend 01'!G14),0)+IF(AND(('V06 Calend 01'!E14&gt;0),(111&gt;'V06 Calend 01'!C14),(111&lt;'V06 Calend 01'!D14),(MOD((111-'V06 Calend 01'!C14),6)=0),(((111-'V06 Calend 01'!C14)/6)&lt;='V06 Calend 01'!E14)),IF((111=('V06 Calend 01'!C14+(6*'V06 Calend 01'!E14))),('V06 Calend 01'!H14-('V06 Calend 01'!I14*('V06 Calend 01'!E14-1))),'V06 Calend 01'!I14),0))+IF((111='V06 Calend 01'!D14),'V06 Calend 01'!J14,0))</f>
        <v>0</v>
      </c>
      <c r="DT14" s="2">
        <f>((IF((112='V06 Calend 01'!C14),('V06 Calend 01'!F14+'V06 Calend 01'!G14),0)+IF(AND(('V06 Calend 01'!E14&gt;0),(112&gt;'V06 Calend 01'!C14),(112&lt;'V06 Calend 01'!D14),(MOD((112-'V06 Calend 01'!C14),6)=0),(((112-'V06 Calend 01'!C14)/6)&lt;='V06 Calend 01'!E14)),IF((112=('V06 Calend 01'!C14+(6*'V06 Calend 01'!E14))),('V06 Calend 01'!H14-('V06 Calend 01'!I14*('V06 Calend 01'!E14-1))),'V06 Calend 01'!I14),0))+IF((112='V06 Calend 01'!D14),'V06 Calend 01'!J14,0))</f>
        <v>0</v>
      </c>
      <c r="DU14" s="2">
        <f>((IF((113='V06 Calend 01'!C14),('V06 Calend 01'!F14+'V06 Calend 01'!G14),0)+IF(AND(('V06 Calend 01'!E14&gt;0),(113&gt;'V06 Calend 01'!C14),(113&lt;'V06 Calend 01'!D14),(MOD((113-'V06 Calend 01'!C14),6)=0),(((113-'V06 Calend 01'!C14)/6)&lt;='V06 Calend 01'!E14)),IF((113=('V06 Calend 01'!C14+(6*'V06 Calend 01'!E14))),('V06 Calend 01'!H14-('V06 Calend 01'!I14*('V06 Calend 01'!E14-1))),'V06 Calend 01'!I14),0))+IF((113='V06 Calend 01'!D14),'V06 Calend 01'!J14,0))</f>
        <v>0</v>
      </c>
      <c r="DV14" s="2">
        <f>((IF((114='V06 Calend 01'!C14),('V06 Calend 01'!F14+'V06 Calend 01'!G14),0)+IF(AND(('V06 Calend 01'!E14&gt;0),(114&gt;'V06 Calend 01'!C14),(114&lt;'V06 Calend 01'!D14),(MOD((114-'V06 Calend 01'!C14),6)=0),(((114-'V06 Calend 01'!C14)/6)&lt;='V06 Calend 01'!E14)),IF((114=('V06 Calend 01'!C14+(6*'V06 Calend 01'!E14))),('V06 Calend 01'!H14-('V06 Calend 01'!I14*('V06 Calend 01'!E14-1))),'V06 Calend 01'!I14),0))+IF((114='V06 Calend 01'!D14),'V06 Calend 01'!J14,0))</f>
        <v>0</v>
      </c>
      <c r="DW14" s="2">
        <f>((IF((115='V06 Calend 01'!C14),('V06 Calend 01'!F14+'V06 Calend 01'!G14),0)+IF(AND(('V06 Calend 01'!E14&gt;0),(115&gt;'V06 Calend 01'!C14),(115&lt;'V06 Calend 01'!D14),(MOD((115-'V06 Calend 01'!C14),6)=0),(((115-'V06 Calend 01'!C14)/6)&lt;='V06 Calend 01'!E14)),IF((115=('V06 Calend 01'!C14+(6*'V06 Calend 01'!E14))),('V06 Calend 01'!H14-('V06 Calend 01'!I14*('V06 Calend 01'!E14-1))),'V06 Calend 01'!I14),0))+IF((115='V06 Calend 01'!D14),'V06 Calend 01'!J14,0))</f>
        <v>0</v>
      </c>
      <c r="DX14" s="2">
        <f>((IF((116='V06 Calend 01'!C14),('V06 Calend 01'!F14+'V06 Calend 01'!G14),0)+IF(AND(('V06 Calend 01'!E14&gt;0),(116&gt;'V06 Calend 01'!C14),(116&lt;'V06 Calend 01'!D14),(MOD((116-'V06 Calend 01'!C14),6)=0),(((116-'V06 Calend 01'!C14)/6)&lt;='V06 Calend 01'!E14)),IF((116=('V06 Calend 01'!C14+(6*'V06 Calend 01'!E14))),('V06 Calend 01'!H14-('V06 Calend 01'!I14*('V06 Calend 01'!E14-1))),'V06 Calend 01'!I14),0))+IF((116='V06 Calend 01'!D14),'V06 Calend 01'!J14,0))</f>
        <v>0</v>
      </c>
      <c r="DY14" s="2">
        <f>((IF((117='V06 Calend 01'!C14),('V06 Calend 01'!F14+'V06 Calend 01'!G14),0)+IF(AND(('V06 Calend 01'!E14&gt;0),(117&gt;'V06 Calend 01'!C14),(117&lt;'V06 Calend 01'!D14),(MOD((117-'V06 Calend 01'!C14),6)=0),(((117-'V06 Calend 01'!C14)/6)&lt;='V06 Calend 01'!E14)),IF((117=('V06 Calend 01'!C14+(6*'V06 Calend 01'!E14))),('V06 Calend 01'!H14-('V06 Calend 01'!I14*('V06 Calend 01'!E14-1))),'V06 Calend 01'!I14),0))+IF((117='V06 Calend 01'!D14),'V06 Calend 01'!J14,0))</f>
        <v>0</v>
      </c>
      <c r="DZ14" s="2">
        <f>((IF((118='V06 Calend 01'!C14),('V06 Calend 01'!F14+'V06 Calend 01'!G14),0)+IF(AND(('V06 Calend 01'!E14&gt;0),(118&gt;'V06 Calend 01'!C14),(118&lt;'V06 Calend 01'!D14),(MOD((118-'V06 Calend 01'!C14),6)=0),(((118-'V06 Calend 01'!C14)/6)&lt;='V06 Calend 01'!E14)),IF((118=('V06 Calend 01'!C14+(6*'V06 Calend 01'!E14))),('V06 Calend 01'!H14-('V06 Calend 01'!I14*('V06 Calend 01'!E14-1))),'V06 Calend 01'!I14),0))+IF((118='V06 Calend 01'!D14),'V06 Calend 01'!J14,0))</f>
        <v>0</v>
      </c>
      <c r="EA14" s="2">
        <f>((IF((119='V06 Calend 01'!C14),('V06 Calend 01'!F14+'V06 Calend 01'!G14),0)+IF(AND(('V06 Calend 01'!E14&gt;0),(119&gt;'V06 Calend 01'!C14),(119&lt;'V06 Calend 01'!D14),(MOD((119-'V06 Calend 01'!C14),6)=0),(((119-'V06 Calend 01'!C14)/6)&lt;='V06 Calend 01'!E14)),IF((119=('V06 Calend 01'!C14+(6*'V06 Calend 01'!E14))),('V06 Calend 01'!H14-('V06 Calend 01'!I14*('V06 Calend 01'!E14-1))),'V06 Calend 01'!I14),0))+IF((119='V06 Calend 01'!D14),'V06 Calend 01'!J14,0))</f>
        <v>0</v>
      </c>
      <c r="EB14" s="2">
        <f>((IF((120='V06 Calend 01'!C14),('V06 Calend 01'!F14+'V06 Calend 01'!G14),0)+IF(AND(('V06 Calend 01'!E14&gt;0),(120&gt;'V06 Calend 01'!C14),(120&lt;'V06 Calend 01'!D14),(MOD((120-'V06 Calend 01'!C14),6)=0),(((120-'V06 Calend 01'!C14)/6)&lt;='V06 Calend 01'!E14)),IF((120=('V06 Calend 01'!C14+(6*'V06 Calend 01'!E14))),('V06 Calend 01'!H14-('V06 Calend 01'!I14*('V06 Calend 01'!E14-1))),'V06 Calend 01'!I14),0))+IF((120='V06 Calend 01'!D14),'V06 Calend 01'!J14,0))</f>
        <v>0</v>
      </c>
      <c r="EC14" s="2">
        <f>((IF((121='V06 Calend 01'!C14),('V06 Calend 01'!F14+'V06 Calend 01'!G14),0)+IF(AND(('V06 Calend 01'!E14&gt;0),(121&gt;'V06 Calend 01'!C14),(121&lt;'V06 Calend 01'!D14),(MOD((121-'V06 Calend 01'!C14),6)=0),(((121-'V06 Calend 01'!C14)/6)&lt;='V06 Calend 01'!E14)),IF((121=('V06 Calend 01'!C14+(6*'V06 Calend 01'!E14))),('V06 Calend 01'!H14-('V06 Calend 01'!I14*('V06 Calend 01'!E14-1))),'V06 Calend 01'!I14),0))+IF((121='V06 Calend 01'!D14),'V06 Calend 01'!J14,0))</f>
        <v>0</v>
      </c>
      <c r="ED14" s="2">
        <f>((IF((122='V06 Calend 01'!C14),('V06 Calend 01'!F14+'V06 Calend 01'!G14),0)+IF(AND(('V06 Calend 01'!E14&gt;0),(122&gt;'V06 Calend 01'!C14),(122&lt;'V06 Calend 01'!D14),(MOD((122-'V06 Calend 01'!C14),6)=0),(((122-'V06 Calend 01'!C14)/6)&lt;='V06 Calend 01'!E14)),IF((122=('V06 Calend 01'!C14+(6*'V06 Calend 01'!E14))),('V06 Calend 01'!H14-('V06 Calend 01'!I14*('V06 Calend 01'!E14-1))),'V06 Calend 01'!I14),0))+IF((122='V06 Calend 01'!D14),'V06 Calend 01'!J14,0))</f>
        <v>0</v>
      </c>
      <c r="EE14" s="2">
        <f>((IF((123='V06 Calend 01'!C14),('V06 Calend 01'!F14+'V06 Calend 01'!G14),0)+IF(AND(('V06 Calend 01'!E14&gt;0),(123&gt;'V06 Calend 01'!C14),(123&lt;'V06 Calend 01'!D14),(MOD((123-'V06 Calend 01'!C14),6)=0),(((123-'V06 Calend 01'!C14)/6)&lt;='V06 Calend 01'!E14)),IF((123=('V06 Calend 01'!C14+(6*'V06 Calend 01'!E14))),('V06 Calend 01'!H14-('V06 Calend 01'!I14*('V06 Calend 01'!E14-1))),'V06 Calend 01'!I14),0))+IF((123='V06 Calend 01'!D14),'V06 Calend 01'!J14,0))</f>
        <v>0</v>
      </c>
      <c r="EF14" s="2">
        <f>((IF((124='V06 Calend 01'!C14),('V06 Calend 01'!F14+'V06 Calend 01'!G14),0)+IF(AND(('V06 Calend 01'!E14&gt;0),(124&gt;'V06 Calend 01'!C14),(124&lt;'V06 Calend 01'!D14),(MOD((124-'V06 Calend 01'!C14),6)=0),(((124-'V06 Calend 01'!C14)/6)&lt;='V06 Calend 01'!E14)),IF((124=('V06 Calend 01'!C14+(6*'V06 Calend 01'!E14))),('V06 Calend 01'!H14-('V06 Calend 01'!I14*('V06 Calend 01'!E14-1))),'V06 Calend 01'!I14),0))+IF((124='V06 Calend 01'!D14),'V06 Calend 01'!J14,0))</f>
        <v>0</v>
      </c>
      <c r="EG14" s="2">
        <f>((IF((125='V06 Calend 01'!C14),('V06 Calend 01'!F14+'V06 Calend 01'!G14),0)+IF(AND(('V06 Calend 01'!E14&gt;0),(125&gt;'V06 Calend 01'!C14),(125&lt;'V06 Calend 01'!D14),(MOD((125-'V06 Calend 01'!C14),6)=0),(((125-'V06 Calend 01'!C14)/6)&lt;='V06 Calend 01'!E14)),IF((125=('V06 Calend 01'!C14+(6*'V06 Calend 01'!E14))),('V06 Calend 01'!H14-('V06 Calend 01'!I14*('V06 Calend 01'!E14-1))),'V06 Calend 01'!I14),0))+IF((125='V06 Calend 01'!D14),'V06 Calend 01'!J14,0))</f>
        <v>0</v>
      </c>
      <c r="EH14" s="2">
        <f>((IF((126='V06 Calend 01'!C14),('V06 Calend 01'!F14+'V06 Calend 01'!G14),0)+IF(AND(('V06 Calend 01'!E14&gt;0),(126&gt;'V06 Calend 01'!C14),(126&lt;'V06 Calend 01'!D14),(MOD((126-'V06 Calend 01'!C14),6)=0),(((126-'V06 Calend 01'!C14)/6)&lt;='V06 Calend 01'!E14)),IF((126=('V06 Calend 01'!C14+(6*'V06 Calend 01'!E14))),('V06 Calend 01'!H14-('V06 Calend 01'!I14*('V06 Calend 01'!E14-1))),'V06 Calend 01'!I14),0))+IF((126='V06 Calend 01'!D14),'V06 Calend 01'!J14,0))</f>
        <v>0</v>
      </c>
      <c r="EI14" s="2">
        <f>((IF((127='V06 Calend 01'!C14),('V06 Calend 01'!F14+'V06 Calend 01'!G14),0)+IF(AND(('V06 Calend 01'!E14&gt;0),(127&gt;'V06 Calend 01'!C14),(127&lt;'V06 Calend 01'!D14),(MOD((127-'V06 Calend 01'!C14),6)=0),(((127-'V06 Calend 01'!C14)/6)&lt;='V06 Calend 01'!E14)),IF((127=('V06 Calend 01'!C14+(6*'V06 Calend 01'!E14))),('V06 Calend 01'!H14-('V06 Calend 01'!I14*('V06 Calend 01'!E14-1))),'V06 Calend 01'!I14),0))+IF((127='V06 Calend 01'!D14),'V06 Calend 01'!J14,0))</f>
        <v>0</v>
      </c>
      <c r="EJ14" s="2">
        <f>((IF((128='V06 Calend 01'!C14),('V06 Calend 01'!F14+'V06 Calend 01'!G14),0)+IF(AND(('V06 Calend 01'!E14&gt;0),(128&gt;'V06 Calend 01'!C14),(128&lt;'V06 Calend 01'!D14),(MOD((128-'V06 Calend 01'!C14),6)=0),(((128-'V06 Calend 01'!C14)/6)&lt;='V06 Calend 01'!E14)),IF((128=('V06 Calend 01'!C14+(6*'V06 Calend 01'!E14))),('V06 Calend 01'!H14-('V06 Calend 01'!I14*('V06 Calend 01'!E14-1))),'V06 Calend 01'!I14),0))+IF((128='V06 Calend 01'!D14),'V06 Calend 01'!J14,0))</f>
        <v>0</v>
      </c>
      <c r="EK14" s="2">
        <f>((IF((129='V06 Calend 01'!C14),('V06 Calend 01'!F14+'V06 Calend 01'!G14),0)+IF(AND(('V06 Calend 01'!E14&gt;0),(129&gt;'V06 Calend 01'!C14),(129&lt;'V06 Calend 01'!D14),(MOD((129-'V06 Calend 01'!C14),6)=0),(((129-'V06 Calend 01'!C14)/6)&lt;='V06 Calend 01'!E14)),IF((129=('V06 Calend 01'!C14+(6*'V06 Calend 01'!E14))),('V06 Calend 01'!H14-('V06 Calend 01'!I14*('V06 Calend 01'!E14-1))),'V06 Calend 01'!I14),0))+IF((129='V06 Calend 01'!D14),'V06 Calend 01'!J14,0))</f>
        <v>0</v>
      </c>
      <c r="EL14" s="2">
        <f>((IF((130='V06 Calend 01'!C14),('V06 Calend 01'!F14+'V06 Calend 01'!G14),0)+IF(AND(('V06 Calend 01'!E14&gt;0),(130&gt;'V06 Calend 01'!C14),(130&lt;'V06 Calend 01'!D14),(MOD((130-'V06 Calend 01'!C14),6)=0),(((130-'V06 Calend 01'!C14)/6)&lt;='V06 Calend 01'!E14)),IF((130=('V06 Calend 01'!C14+(6*'V06 Calend 01'!E14))),('V06 Calend 01'!H14-('V06 Calend 01'!I14*('V06 Calend 01'!E14-1))),'V06 Calend 01'!I14),0))+IF((130='V06 Calend 01'!D14),'V06 Calend 01'!J14,0))</f>
        <v>0</v>
      </c>
      <c r="EM14" s="2">
        <f>((IF((131='V06 Calend 01'!C14),('V06 Calend 01'!F14+'V06 Calend 01'!G14),0)+IF(AND(('V06 Calend 01'!E14&gt;0),(131&gt;'V06 Calend 01'!C14),(131&lt;'V06 Calend 01'!D14),(MOD((131-'V06 Calend 01'!C14),6)=0),(((131-'V06 Calend 01'!C14)/6)&lt;='V06 Calend 01'!E14)),IF((131=('V06 Calend 01'!C14+(6*'V06 Calend 01'!E14))),('V06 Calend 01'!H14-('V06 Calend 01'!I14*('V06 Calend 01'!E14-1))),'V06 Calend 01'!I14),0))+IF((131='V06 Calend 01'!D14),'V06 Calend 01'!J14,0))</f>
        <v>0</v>
      </c>
      <c r="EN14" s="2">
        <f>((IF((132='V06 Calend 01'!C14),('V06 Calend 01'!F14+'V06 Calend 01'!G14),0)+IF(AND(('V06 Calend 01'!E14&gt;0),(132&gt;'V06 Calend 01'!C14),(132&lt;'V06 Calend 01'!D14),(MOD((132-'V06 Calend 01'!C14),6)=0),(((132-'V06 Calend 01'!C14)/6)&lt;='V06 Calend 01'!E14)),IF((132=('V06 Calend 01'!C14+(6*'V06 Calend 01'!E14))),('V06 Calend 01'!H14-('V06 Calend 01'!I14*('V06 Calend 01'!E14-1))),'V06 Calend 01'!I14),0))+IF((132='V06 Calend 01'!D14),'V06 Calend 01'!J14,0))</f>
        <v>0</v>
      </c>
      <c r="EO14" s="2">
        <f>((IF((133='V06 Calend 01'!C14),('V06 Calend 01'!F14+'V06 Calend 01'!G14),0)+IF(AND(('V06 Calend 01'!E14&gt;0),(133&gt;'V06 Calend 01'!C14),(133&lt;'V06 Calend 01'!D14),(MOD((133-'V06 Calend 01'!C14),6)=0),(((133-'V06 Calend 01'!C14)/6)&lt;='V06 Calend 01'!E14)),IF((133=('V06 Calend 01'!C14+(6*'V06 Calend 01'!E14))),('V06 Calend 01'!H14-('V06 Calend 01'!I14*('V06 Calend 01'!E14-1))),'V06 Calend 01'!I14),0))+IF((133='V06 Calend 01'!D14),'V06 Calend 01'!J14,0))</f>
        <v>0</v>
      </c>
      <c r="EP14" s="2">
        <f>((IF((134='V06 Calend 01'!C14),('V06 Calend 01'!F14+'V06 Calend 01'!G14),0)+IF(AND(('V06 Calend 01'!E14&gt;0),(134&gt;'V06 Calend 01'!C14),(134&lt;'V06 Calend 01'!D14),(MOD((134-'V06 Calend 01'!C14),6)=0),(((134-'V06 Calend 01'!C14)/6)&lt;='V06 Calend 01'!E14)),IF((134=('V06 Calend 01'!C14+(6*'V06 Calend 01'!E14))),('V06 Calend 01'!H14-('V06 Calend 01'!I14*('V06 Calend 01'!E14-1))),'V06 Calend 01'!I14),0))+IF((134='V06 Calend 01'!D14),'V06 Calend 01'!J14,0))</f>
        <v>0</v>
      </c>
      <c r="EQ14" s="2">
        <f>((IF((135='V06 Calend 01'!C14),('V06 Calend 01'!F14+'V06 Calend 01'!G14),0)+IF(AND(('V06 Calend 01'!E14&gt;0),(135&gt;'V06 Calend 01'!C14),(135&lt;'V06 Calend 01'!D14),(MOD((135-'V06 Calend 01'!C14),6)=0),(((135-'V06 Calend 01'!C14)/6)&lt;='V06 Calend 01'!E14)),IF((135=('V06 Calend 01'!C14+(6*'V06 Calend 01'!E14))),('V06 Calend 01'!H14-('V06 Calend 01'!I14*('V06 Calend 01'!E14-1))),'V06 Calend 01'!I14),0))+IF((135='V06 Calend 01'!D14),'V06 Calend 01'!J14,0))</f>
        <v>0</v>
      </c>
      <c r="ER14" s="2">
        <f>((IF((136='V06 Calend 01'!C14),('V06 Calend 01'!F14+'V06 Calend 01'!G14),0)+IF(AND(('V06 Calend 01'!E14&gt;0),(136&gt;'V06 Calend 01'!C14),(136&lt;'V06 Calend 01'!D14),(MOD((136-'V06 Calend 01'!C14),6)=0),(((136-'V06 Calend 01'!C14)/6)&lt;='V06 Calend 01'!E14)),IF((136=('V06 Calend 01'!C14+(6*'V06 Calend 01'!E14))),('V06 Calend 01'!H14-('V06 Calend 01'!I14*('V06 Calend 01'!E14-1))),'V06 Calend 01'!I14),0))+IF((136='V06 Calend 01'!D14),'V06 Calend 01'!J14,0))</f>
        <v>0</v>
      </c>
      <c r="ES14" s="2">
        <f>((IF((137='V06 Calend 01'!C14),('V06 Calend 01'!F14+'V06 Calend 01'!G14),0)+IF(AND(('V06 Calend 01'!E14&gt;0),(137&gt;'V06 Calend 01'!C14),(137&lt;'V06 Calend 01'!D14),(MOD((137-'V06 Calend 01'!C14),6)=0),(((137-'V06 Calend 01'!C14)/6)&lt;='V06 Calend 01'!E14)),IF((137=('V06 Calend 01'!C14+(6*'V06 Calend 01'!E14))),('V06 Calend 01'!H14-('V06 Calend 01'!I14*('V06 Calend 01'!E14-1))),'V06 Calend 01'!I14),0))+IF((137='V06 Calend 01'!D14),'V06 Calend 01'!J14,0))</f>
        <v>0</v>
      </c>
      <c r="ET14" s="2">
        <f>((IF((138='V06 Calend 01'!C14),('V06 Calend 01'!F14+'V06 Calend 01'!G14),0)+IF(AND(('V06 Calend 01'!E14&gt;0),(138&gt;'V06 Calend 01'!C14),(138&lt;'V06 Calend 01'!D14),(MOD((138-'V06 Calend 01'!C14),6)=0),(((138-'V06 Calend 01'!C14)/6)&lt;='V06 Calend 01'!E14)),IF((138=('V06 Calend 01'!C14+(6*'V06 Calend 01'!E14))),('V06 Calend 01'!H14-('V06 Calend 01'!I14*('V06 Calend 01'!E14-1))),'V06 Calend 01'!I14),0))+IF((138='V06 Calend 01'!D14),'V06 Calend 01'!J14,0))</f>
        <v>0</v>
      </c>
      <c r="EU14" s="2">
        <f>((IF((139='V06 Calend 01'!C14),('V06 Calend 01'!F14+'V06 Calend 01'!G14),0)+IF(AND(('V06 Calend 01'!E14&gt;0),(139&gt;'V06 Calend 01'!C14),(139&lt;'V06 Calend 01'!D14),(MOD((139-'V06 Calend 01'!C14),6)=0),(((139-'V06 Calend 01'!C14)/6)&lt;='V06 Calend 01'!E14)),IF((139=('V06 Calend 01'!C14+(6*'V06 Calend 01'!E14))),('V06 Calend 01'!H14-('V06 Calend 01'!I14*('V06 Calend 01'!E14-1))),'V06 Calend 01'!I14),0))+IF((139='V06 Calend 01'!D14),'V06 Calend 01'!J14,0))</f>
        <v>0</v>
      </c>
      <c r="EV14" s="2">
        <f>((IF((140='V06 Calend 01'!C14),('V06 Calend 01'!F14+'V06 Calend 01'!G14),0)+IF(AND(('V06 Calend 01'!E14&gt;0),(140&gt;'V06 Calend 01'!C14),(140&lt;'V06 Calend 01'!D14),(MOD((140-'V06 Calend 01'!C14),6)=0),(((140-'V06 Calend 01'!C14)/6)&lt;='V06 Calend 01'!E14)),IF((140=('V06 Calend 01'!C14+(6*'V06 Calend 01'!E14))),('V06 Calend 01'!H14-('V06 Calend 01'!I14*('V06 Calend 01'!E14-1))),'V06 Calend 01'!I14),0))+IF((140='V06 Calend 01'!D14),'V06 Calend 01'!J14,0))</f>
        <v>0</v>
      </c>
      <c r="EW14" s="2">
        <f>((IF((141='V06 Calend 01'!C14),('V06 Calend 01'!F14+'V06 Calend 01'!G14),0)+IF(AND(('V06 Calend 01'!E14&gt;0),(141&gt;'V06 Calend 01'!C14),(141&lt;'V06 Calend 01'!D14),(MOD((141-'V06 Calend 01'!C14),6)=0),(((141-'V06 Calend 01'!C14)/6)&lt;='V06 Calend 01'!E14)),IF((141=('V06 Calend 01'!C14+(6*'V06 Calend 01'!E14))),('V06 Calend 01'!H14-('V06 Calend 01'!I14*('V06 Calend 01'!E14-1))),'V06 Calend 01'!I14),0))+IF((141='V06 Calend 01'!D14),'V06 Calend 01'!J14,0))</f>
        <v>0</v>
      </c>
      <c r="EX14" s="2">
        <f>((IF((142='V06 Calend 01'!C14),('V06 Calend 01'!F14+'V06 Calend 01'!G14),0)+IF(AND(('V06 Calend 01'!E14&gt;0),(142&gt;'V06 Calend 01'!C14),(142&lt;'V06 Calend 01'!D14),(MOD((142-'V06 Calend 01'!C14),6)=0),(((142-'V06 Calend 01'!C14)/6)&lt;='V06 Calend 01'!E14)),IF((142=('V06 Calend 01'!C14+(6*'V06 Calend 01'!E14))),('V06 Calend 01'!H14-('V06 Calend 01'!I14*('V06 Calend 01'!E14-1))),'V06 Calend 01'!I14),0))+IF((142='V06 Calend 01'!D14),'V06 Calend 01'!J14,0))</f>
        <v>0</v>
      </c>
      <c r="EY14" s="2">
        <f>((IF((143='V06 Calend 01'!C14),('V06 Calend 01'!F14+'V06 Calend 01'!G14),0)+IF(AND(('V06 Calend 01'!E14&gt;0),(143&gt;'V06 Calend 01'!C14),(143&lt;'V06 Calend 01'!D14),(MOD((143-'V06 Calend 01'!C14),6)=0),(((143-'V06 Calend 01'!C14)/6)&lt;='V06 Calend 01'!E14)),IF((143=('V06 Calend 01'!C14+(6*'V06 Calend 01'!E14))),('V06 Calend 01'!H14-('V06 Calend 01'!I14*('V06 Calend 01'!E14-1))),'V06 Calend 01'!I14),0))+IF((143='V06 Calend 01'!D14),'V06 Calend 01'!J14,0))</f>
        <v>0</v>
      </c>
      <c r="EZ14" s="2">
        <f>((IF((144='V06 Calend 01'!C14),('V06 Calend 01'!F14+'V06 Calend 01'!G14),0)+IF(AND(('V06 Calend 01'!E14&gt;0),(144&gt;'V06 Calend 01'!C14),(144&lt;'V06 Calend 01'!D14),(MOD((144-'V06 Calend 01'!C14),6)=0),(((144-'V06 Calend 01'!C14)/6)&lt;='V06 Calend 01'!E14)),IF((144=('V06 Calend 01'!C14+(6*'V06 Calend 01'!E14))),('V06 Calend 01'!H14-('V06 Calend 01'!I14*('V06 Calend 01'!E14-1))),'V06 Calend 01'!I14),0))+IF((144='V06 Calend 01'!D14),'V06 Calend 01'!J14,0))</f>
        <v>0</v>
      </c>
      <c r="FA14" s="2">
        <f>((IF((145='V06 Calend 01'!C14),('V06 Calend 01'!F14+'V06 Calend 01'!G14),0)+IF(AND(('V06 Calend 01'!E14&gt;0),(145&gt;'V06 Calend 01'!C14),(145&lt;'V06 Calend 01'!D14),(MOD((145-'V06 Calend 01'!C14),6)=0),(((145-'V06 Calend 01'!C14)/6)&lt;='V06 Calend 01'!E14)),IF((145=('V06 Calend 01'!C14+(6*'V06 Calend 01'!E14))),('V06 Calend 01'!H14-('V06 Calend 01'!I14*('V06 Calend 01'!E14-1))),'V06 Calend 01'!I14),0))+IF((145='V06 Calend 01'!D14),'V06 Calend 01'!J14,0))</f>
        <v>0</v>
      </c>
      <c r="FB14" s="2">
        <f>((IF((146='V06 Calend 01'!C14),('V06 Calend 01'!F14+'V06 Calend 01'!G14),0)+IF(AND(('V06 Calend 01'!E14&gt;0),(146&gt;'V06 Calend 01'!C14),(146&lt;'V06 Calend 01'!D14),(MOD((146-'V06 Calend 01'!C14),6)=0),(((146-'V06 Calend 01'!C14)/6)&lt;='V06 Calend 01'!E14)),IF((146=('V06 Calend 01'!C14+(6*'V06 Calend 01'!E14))),('V06 Calend 01'!H14-('V06 Calend 01'!I14*('V06 Calend 01'!E14-1))),'V06 Calend 01'!I14),0))+IF((146='V06 Calend 01'!D14),'V06 Calend 01'!J14,0))</f>
        <v>0</v>
      </c>
      <c r="FC14" s="2">
        <f>((IF((147='V06 Calend 01'!C14),('V06 Calend 01'!F14+'V06 Calend 01'!G14),0)+IF(AND(('V06 Calend 01'!E14&gt;0),(147&gt;'V06 Calend 01'!C14),(147&lt;'V06 Calend 01'!D14),(MOD((147-'V06 Calend 01'!C14),6)=0),(((147-'V06 Calend 01'!C14)/6)&lt;='V06 Calend 01'!E14)),IF((147=('V06 Calend 01'!C14+(6*'V06 Calend 01'!E14))),('V06 Calend 01'!H14-('V06 Calend 01'!I14*('V06 Calend 01'!E14-1))),'V06 Calend 01'!I14),0))+IF((147='V06 Calend 01'!D14),'V06 Calend 01'!J14,0))</f>
        <v>0</v>
      </c>
      <c r="FD14" s="2">
        <f>((IF((148='V06 Calend 01'!C14),('V06 Calend 01'!F14+'V06 Calend 01'!G14),0)+IF(AND(('V06 Calend 01'!E14&gt;0),(148&gt;'V06 Calend 01'!C14),(148&lt;'V06 Calend 01'!D14),(MOD((148-'V06 Calend 01'!C14),6)=0),(((148-'V06 Calend 01'!C14)/6)&lt;='V06 Calend 01'!E14)),IF((148=('V06 Calend 01'!C14+(6*'V06 Calend 01'!E14))),('V06 Calend 01'!H14-('V06 Calend 01'!I14*('V06 Calend 01'!E14-1))),'V06 Calend 01'!I14),0))+IF((148='V06 Calend 01'!D14),'V06 Calend 01'!J14,0))</f>
        <v>0</v>
      </c>
      <c r="FE14" s="2">
        <f>((IF((149='V06 Calend 01'!C14),('V06 Calend 01'!F14+'V06 Calend 01'!G14),0)+IF(AND(('V06 Calend 01'!E14&gt;0),(149&gt;'V06 Calend 01'!C14),(149&lt;'V06 Calend 01'!D14),(MOD((149-'V06 Calend 01'!C14),6)=0),(((149-'V06 Calend 01'!C14)/6)&lt;='V06 Calend 01'!E14)),IF((149=('V06 Calend 01'!C14+(6*'V06 Calend 01'!E14))),('V06 Calend 01'!H14-('V06 Calend 01'!I14*('V06 Calend 01'!E14-1))),'V06 Calend 01'!I14),0))+IF((149='V06 Calend 01'!D14),'V06 Calend 01'!J14,0))</f>
        <v>0</v>
      </c>
      <c r="FF14" s="2">
        <f>((IF((150='V06 Calend 01'!C14),('V06 Calend 01'!F14+'V06 Calend 01'!G14),0)+IF(AND(('V06 Calend 01'!E14&gt;0),(150&gt;'V06 Calend 01'!C14),(150&lt;'V06 Calend 01'!D14),(MOD((150-'V06 Calend 01'!C14),6)=0),(((150-'V06 Calend 01'!C14)/6)&lt;='V06 Calend 01'!E14)),IF((150=('V06 Calend 01'!C14+(6*'V06 Calend 01'!E14))),('V06 Calend 01'!H14-('V06 Calend 01'!I14*('V06 Calend 01'!E14-1))),'V06 Calend 01'!I14),0))+IF((150='V06 Calend 01'!D14),'V06 Calend 01'!J14,0))</f>
        <v>0</v>
      </c>
      <c r="FG14" s="2">
        <f>((IF((151='V06 Calend 01'!C14),('V06 Calend 01'!F14+'V06 Calend 01'!G14),0)+IF(AND(('V06 Calend 01'!E14&gt;0),(151&gt;'V06 Calend 01'!C14),(151&lt;'V06 Calend 01'!D14),(MOD((151-'V06 Calend 01'!C14),6)=0),(((151-'V06 Calend 01'!C14)/6)&lt;='V06 Calend 01'!E14)),IF((151=('V06 Calend 01'!C14+(6*'V06 Calend 01'!E14))),('V06 Calend 01'!H14-('V06 Calend 01'!I14*('V06 Calend 01'!E14-1))),'V06 Calend 01'!I14),0))+IF((151='V06 Calend 01'!D14),'V06 Calend 01'!J14,0))</f>
        <v>0</v>
      </c>
      <c r="FH14" s="2">
        <f>((IF((152='V06 Calend 01'!C14),('V06 Calend 01'!F14+'V06 Calend 01'!G14),0)+IF(AND(('V06 Calend 01'!E14&gt;0),(152&gt;'V06 Calend 01'!C14),(152&lt;'V06 Calend 01'!D14),(MOD((152-'V06 Calend 01'!C14),6)=0),(((152-'V06 Calend 01'!C14)/6)&lt;='V06 Calend 01'!E14)),IF((152=('V06 Calend 01'!C14+(6*'V06 Calend 01'!E14))),('V06 Calend 01'!H14-('V06 Calend 01'!I14*('V06 Calend 01'!E14-1))),'V06 Calend 01'!I14),0))+IF((152='V06 Calend 01'!D14),'V06 Calend 01'!J14,0))</f>
        <v>0</v>
      </c>
      <c r="FI14" s="2">
        <f>((IF((153='V06 Calend 01'!C14),('V06 Calend 01'!F14+'V06 Calend 01'!G14),0)+IF(AND(('V06 Calend 01'!E14&gt;0),(153&gt;'V06 Calend 01'!C14),(153&lt;'V06 Calend 01'!D14),(MOD((153-'V06 Calend 01'!C14),6)=0),(((153-'V06 Calend 01'!C14)/6)&lt;='V06 Calend 01'!E14)),IF((153=('V06 Calend 01'!C14+(6*'V06 Calend 01'!E14))),('V06 Calend 01'!H14-('V06 Calend 01'!I14*('V06 Calend 01'!E14-1))),'V06 Calend 01'!I14),0))+IF((153='V06 Calend 01'!D14),'V06 Calend 01'!J14,0))</f>
        <v>0</v>
      </c>
      <c r="FJ14" s="2">
        <f>((IF((154='V06 Calend 01'!C14),('V06 Calend 01'!F14+'V06 Calend 01'!G14),0)+IF(AND(('V06 Calend 01'!E14&gt;0),(154&gt;'V06 Calend 01'!C14),(154&lt;'V06 Calend 01'!D14),(MOD((154-'V06 Calend 01'!C14),6)=0),(((154-'V06 Calend 01'!C14)/6)&lt;='V06 Calend 01'!E14)),IF((154=('V06 Calend 01'!C14+(6*'V06 Calend 01'!E14))),('V06 Calend 01'!H14-('V06 Calend 01'!I14*('V06 Calend 01'!E14-1))),'V06 Calend 01'!I14),0))+IF((154='V06 Calend 01'!D14),'V06 Calend 01'!J14,0))</f>
        <v>0</v>
      </c>
      <c r="FK14" s="2">
        <f>((IF((155='V06 Calend 01'!C14),('V06 Calend 01'!F14+'V06 Calend 01'!G14),0)+IF(AND(('V06 Calend 01'!E14&gt;0),(155&gt;'V06 Calend 01'!C14),(155&lt;'V06 Calend 01'!D14),(MOD((155-'V06 Calend 01'!C14),6)=0),(((155-'V06 Calend 01'!C14)/6)&lt;='V06 Calend 01'!E14)),IF((155=('V06 Calend 01'!C14+(6*'V06 Calend 01'!E14))),('V06 Calend 01'!H14-('V06 Calend 01'!I14*('V06 Calend 01'!E14-1))),'V06 Calend 01'!I14),0))+IF((155='V06 Calend 01'!D14),'V06 Calend 01'!J14,0))</f>
        <v>0</v>
      </c>
      <c r="FL14" s="2">
        <f>((IF((156='V06 Calend 01'!C14),('V06 Calend 01'!F14+'V06 Calend 01'!G14),0)+IF(AND(('V06 Calend 01'!E14&gt;0),(156&gt;'V06 Calend 01'!C14),(156&lt;'V06 Calend 01'!D14),(MOD((156-'V06 Calend 01'!C14),6)=0),(((156-'V06 Calend 01'!C14)/6)&lt;='V06 Calend 01'!E14)),IF((156=('V06 Calend 01'!C14+(6*'V06 Calend 01'!E14))),('V06 Calend 01'!H14-('V06 Calend 01'!I14*('V06 Calend 01'!E14-1))),'V06 Calend 01'!I14),0))+IF((156='V06 Calend 01'!D14),'V06 Calend 01'!J14,0))</f>
        <v>0</v>
      </c>
      <c r="FM14" s="2">
        <f>((IF((157='V06 Calend 01'!C14),('V06 Calend 01'!F14+'V06 Calend 01'!G14),0)+IF(AND(('V06 Calend 01'!E14&gt;0),(157&gt;'V06 Calend 01'!C14),(157&lt;'V06 Calend 01'!D14),(MOD((157-'V06 Calend 01'!C14),6)=0),(((157-'V06 Calend 01'!C14)/6)&lt;='V06 Calend 01'!E14)),IF((157=('V06 Calend 01'!C14+(6*'V06 Calend 01'!E14))),('V06 Calend 01'!H14-('V06 Calend 01'!I14*('V06 Calend 01'!E14-1))),'V06 Calend 01'!I14),0))+IF((157='V06 Calend 01'!D14),'V06 Calend 01'!J14,0))</f>
        <v>0</v>
      </c>
      <c r="FN14" s="2">
        <f>((IF((158='V06 Calend 01'!C14),('V06 Calend 01'!F14+'V06 Calend 01'!G14),0)+IF(AND(('V06 Calend 01'!E14&gt;0),(158&gt;'V06 Calend 01'!C14),(158&lt;'V06 Calend 01'!D14),(MOD((158-'V06 Calend 01'!C14),6)=0),(((158-'V06 Calend 01'!C14)/6)&lt;='V06 Calend 01'!E14)),IF((158=('V06 Calend 01'!C14+(6*'V06 Calend 01'!E14))),('V06 Calend 01'!H14-('V06 Calend 01'!I14*('V06 Calend 01'!E14-1))),'V06 Calend 01'!I14),0))+IF((158='V06 Calend 01'!D14),'V06 Calend 01'!J14,0))</f>
        <v>0</v>
      </c>
      <c r="FO14" s="2">
        <f>((IF((159='V06 Calend 01'!C14),('V06 Calend 01'!F14+'V06 Calend 01'!G14),0)+IF(AND(('V06 Calend 01'!E14&gt;0),(159&gt;'V06 Calend 01'!C14),(159&lt;'V06 Calend 01'!D14),(MOD((159-'V06 Calend 01'!C14),6)=0),(((159-'V06 Calend 01'!C14)/6)&lt;='V06 Calend 01'!E14)),IF((159=('V06 Calend 01'!C14+(6*'V06 Calend 01'!E14))),('V06 Calend 01'!H14-('V06 Calend 01'!I14*('V06 Calend 01'!E14-1))),'V06 Calend 01'!I14),0))+IF((159='V06 Calend 01'!D14),'V06 Calend 01'!J14,0))</f>
        <v>0</v>
      </c>
      <c r="FP14" s="2">
        <f>((IF((160='V06 Calend 01'!C14),('V06 Calend 01'!F14+'V06 Calend 01'!G14),0)+IF(AND(('V06 Calend 01'!E14&gt;0),(160&gt;'V06 Calend 01'!C14),(160&lt;'V06 Calend 01'!D14),(MOD((160-'V06 Calend 01'!C14),6)=0),(((160-'V06 Calend 01'!C14)/6)&lt;='V06 Calend 01'!E14)),IF((160=('V06 Calend 01'!C14+(6*'V06 Calend 01'!E14))),('V06 Calend 01'!H14-('V06 Calend 01'!I14*('V06 Calend 01'!E14-1))),'V06 Calend 01'!I14),0))+IF((160='V06 Calend 01'!D14),'V06 Calend 01'!J14,0))</f>
        <v>0</v>
      </c>
      <c r="FQ14" s="2">
        <f>((IF((161='V06 Calend 01'!C14),('V06 Calend 01'!F14+'V06 Calend 01'!G14),0)+IF(AND(('V06 Calend 01'!E14&gt;0),(161&gt;'V06 Calend 01'!C14),(161&lt;'V06 Calend 01'!D14),(MOD((161-'V06 Calend 01'!C14),6)=0),(((161-'V06 Calend 01'!C14)/6)&lt;='V06 Calend 01'!E14)),IF((161=('V06 Calend 01'!C14+(6*'V06 Calend 01'!E14))),('V06 Calend 01'!H14-('V06 Calend 01'!I14*('V06 Calend 01'!E14-1))),'V06 Calend 01'!I14),0))+IF((161='V06 Calend 01'!D14),'V06 Calend 01'!J14,0))</f>
        <v>0</v>
      </c>
      <c r="FR14" s="2">
        <f>((IF((162='V06 Calend 01'!C14),('V06 Calend 01'!F14+'V06 Calend 01'!G14),0)+IF(AND(('V06 Calend 01'!E14&gt;0),(162&gt;'V06 Calend 01'!C14),(162&lt;'V06 Calend 01'!D14),(MOD((162-'V06 Calend 01'!C14),6)=0),(((162-'V06 Calend 01'!C14)/6)&lt;='V06 Calend 01'!E14)),IF((162=('V06 Calend 01'!C14+(6*'V06 Calend 01'!E14))),('V06 Calend 01'!H14-('V06 Calend 01'!I14*('V06 Calend 01'!E14-1))),'V06 Calend 01'!I14),0))+IF((162='V06 Calend 01'!D14),'V06 Calend 01'!J14,0))</f>
        <v>0</v>
      </c>
      <c r="FS14" s="2">
        <f>((IF((163='V06 Calend 01'!C14),('V06 Calend 01'!F14+'V06 Calend 01'!G14),0)+IF(AND(('V06 Calend 01'!E14&gt;0),(163&gt;'V06 Calend 01'!C14),(163&lt;'V06 Calend 01'!D14),(MOD((163-'V06 Calend 01'!C14),6)=0),(((163-'V06 Calend 01'!C14)/6)&lt;='V06 Calend 01'!E14)),IF((163=('V06 Calend 01'!C14+(6*'V06 Calend 01'!E14))),('V06 Calend 01'!H14-('V06 Calend 01'!I14*('V06 Calend 01'!E14-1))),'V06 Calend 01'!I14),0))+IF((163='V06 Calend 01'!D14),'V06 Calend 01'!J14,0))</f>
        <v>0</v>
      </c>
      <c r="FT14" s="2">
        <f>((IF((164='V06 Calend 01'!C14),('V06 Calend 01'!F14+'V06 Calend 01'!G14),0)+IF(AND(('V06 Calend 01'!E14&gt;0),(164&gt;'V06 Calend 01'!C14),(164&lt;'V06 Calend 01'!D14),(MOD((164-'V06 Calend 01'!C14),6)=0),(((164-'V06 Calend 01'!C14)/6)&lt;='V06 Calend 01'!E14)),IF((164=('V06 Calend 01'!C14+(6*'V06 Calend 01'!E14))),('V06 Calend 01'!H14-('V06 Calend 01'!I14*('V06 Calend 01'!E14-1))),'V06 Calend 01'!I14),0))+IF((164='V06 Calend 01'!D14),'V06 Calend 01'!J14,0))</f>
        <v>0</v>
      </c>
      <c r="FU14" s="2">
        <f>((IF((165='V06 Calend 01'!C14),('V06 Calend 01'!F14+'V06 Calend 01'!G14),0)+IF(AND(('V06 Calend 01'!E14&gt;0),(165&gt;'V06 Calend 01'!C14),(165&lt;'V06 Calend 01'!D14),(MOD((165-'V06 Calend 01'!C14),6)=0),(((165-'V06 Calend 01'!C14)/6)&lt;='V06 Calend 01'!E14)),IF((165=('V06 Calend 01'!C14+(6*'V06 Calend 01'!E14))),('V06 Calend 01'!H14-('V06 Calend 01'!I14*('V06 Calend 01'!E14-1))),'V06 Calend 01'!I14),0))+IF((165='V06 Calend 01'!D14),'V06 Calend 01'!J14,0))</f>
        <v>0</v>
      </c>
      <c r="FV14" s="2">
        <f>((IF((166='V06 Calend 01'!C14),('V06 Calend 01'!F14+'V06 Calend 01'!G14),0)+IF(AND(('V06 Calend 01'!E14&gt;0),(166&gt;'V06 Calend 01'!C14),(166&lt;'V06 Calend 01'!D14),(MOD((166-'V06 Calend 01'!C14),6)=0),(((166-'V06 Calend 01'!C14)/6)&lt;='V06 Calend 01'!E14)),IF((166=('V06 Calend 01'!C14+(6*'V06 Calend 01'!E14))),('V06 Calend 01'!H14-('V06 Calend 01'!I14*('V06 Calend 01'!E14-1))),'V06 Calend 01'!I14),0))+IF((166='V06 Calend 01'!D14),'V06 Calend 01'!J14,0))</f>
        <v>0</v>
      </c>
      <c r="FW14" s="2">
        <f>((IF((167='V06 Calend 01'!C14),('V06 Calend 01'!F14+'V06 Calend 01'!G14),0)+IF(AND(('V06 Calend 01'!E14&gt;0),(167&gt;'V06 Calend 01'!C14),(167&lt;'V06 Calend 01'!D14),(MOD((167-'V06 Calend 01'!C14),6)=0),(((167-'V06 Calend 01'!C14)/6)&lt;='V06 Calend 01'!E14)),IF((167=('V06 Calend 01'!C14+(6*'V06 Calend 01'!E14))),('V06 Calend 01'!H14-('V06 Calend 01'!I14*('V06 Calend 01'!E14-1))),'V06 Calend 01'!I14),0))+IF((167='V06 Calend 01'!D14),'V06 Calend 01'!J14,0))</f>
        <v>0</v>
      </c>
      <c r="FX14" s="2">
        <f>((IF((168='V06 Calend 01'!C14),('V06 Calend 01'!F14+'V06 Calend 01'!G14),0)+IF(AND(('V06 Calend 01'!E14&gt;0),(168&gt;'V06 Calend 01'!C14),(168&lt;'V06 Calend 01'!D14),(MOD((168-'V06 Calend 01'!C14),6)=0),(((168-'V06 Calend 01'!C14)/6)&lt;='V06 Calend 01'!E14)),IF((168=('V06 Calend 01'!C14+(6*'V06 Calend 01'!E14))),('V06 Calend 01'!H14-('V06 Calend 01'!I14*('V06 Calend 01'!E14-1))),'V06 Calend 01'!I14),0))+IF((168='V06 Calend 01'!D14),'V06 Calend 01'!J14,0))</f>
        <v>0</v>
      </c>
      <c r="FY14" s="2">
        <f>((IF((169='V06 Calend 01'!C14),('V06 Calend 01'!F14+'V06 Calend 01'!G14),0)+IF(AND(('V06 Calend 01'!E14&gt;0),(169&gt;'V06 Calend 01'!C14),(169&lt;'V06 Calend 01'!D14),(MOD((169-'V06 Calend 01'!C14),6)=0),(((169-'V06 Calend 01'!C14)/6)&lt;='V06 Calend 01'!E14)),IF((169=('V06 Calend 01'!C14+(6*'V06 Calend 01'!E14))),('V06 Calend 01'!H14-('V06 Calend 01'!I14*('V06 Calend 01'!E14-1))),'V06 Calend 01'!I14),0))+IF((169='V06 Calend 01'!D14),'V06 Calend 01'!J14,0))</f>
        <v>0</v>
      </c>
      <c r="FZ14" s="2">
        <f>((IF((170='V06 Calend 01'!C14),('V06 Calend 01'!F14+'V06 Calend 01'!G14),0)+IF(AND(('V06 Calend 01'!E14&gt;0),(170&gt;'V06 Calend 01'!C14),(170&lt;'V06 Calend 01'!D14),(MOD((170-'V06 Calend 01'!C14),6)=0),(((170-'V06 Calend 01'!C14)/6)&lt;='V06 Calend 01'!E14)),IF((170=('V06 Calend 01'!C14+(6*'V06 Calend 01'!E14))),('V06 Calend 01'!H14-('V06 Calend 01'!I14*('V06 Calend 01'!E14-1))),'V06 Calend 01'!I14),0))+IF((170='V06 Calend 01'!D14),'V06 Calend 01'!J14,0))</f>
        <v>0</v>
      </c>
      <c r="GA14" s="2">
        <f>((IF((171='V06 Calend 01'!C14),('V06 Calend 01'!F14+'V06 Calend 01'!G14),0)+IF(AND(('V06 Calend 01'!E14&gt;0),(171&gt;'V06 Calend 01'!C14),(171&lt;'V06 Calend 01'!D14),(MOD((171-'V06 Calend 01'!C14),6)=0),(((171-'V06 Calend 01'!C14)/6)&lt;='V06 Calend 01'!E14)),IF((171=('V06 Calend 01'!C14+(6*'V06 Calend 01'!E14))),('V06 Calend 01'!H14-('V06 Calend 01'!I14*('V06 Calend 01'!E14-1))),'V06 Calend 01'!I14),0))+IF((171='V06 Calend 01'!D14),'V06 Calend 01'!J14,0))</f>
        <v>0</v>
      </c>
      <c r="GB14" s="2">
        <f>((IF((172='V06 Calend 01'!C14),('V06 Calend 01'!F14+'V06 Calend 01'!G14),0)+IF(AND(('V06 Calend 01'!E14&gt;0),(172&gt;'V06 Calend 01'!C14),(172&lt;'V06 Calend 01'!D14),(MOD((172-'V06 Calend 01'!C14),6)=0),(((172-'V06 Calend 01'!C14)/6)&lt;='V06 Calend 01'!E14)),IF((172=('V06 Calend 01'!C14+(6*'V06 Calend 01'!E14))),('V06 Calend 01'!H14-('V06 Calend 01'!I14*('V06 Calend 01'!E14-1))),'V06 Calend 01'!I14),0))+IF((172='V06 Calend 01'!D14),'V06 Calend 01'!J14,0))</f>
        <v>0</v>
      </c>
      <c r="GC14" s="2">
        <f>((IF((173='V06 Calend 01'!C14),('V06 Calend 01'!F14+'V06 Calend 01'!G14),0)+IF(AND(('V06 Calend 01'!E14&gt;0),(173&gt;'V06 Calend 01'!C14),(173&lt;'V06 Calend 01'!D14),(MOD((173-'V06 Calend 01'!C14),6)=0),(((173-'V06 Calend 01'!C14)/6)&lt;='V06 Calend 01'!E14)),IF((173=('V06 Calend 01'!C14+(6*'V06 Calend 01'!E14))),('V06 Calend 01'!H14-('V06 Calend 01'!I14*('V06 Calend 01'!E14-1))),'V06 Calend 01'!I14),0))+IF((173='V06 Calend 01'!D14),'V06 Calend 01'!J14,0))</f>
        <v>0</v>
      </c>
      <c r="GD14" s="2">
        <f>((IF((174='V06 Calend 01'!C14),('V06 Calend 01'!F14+'V06 Calend 01'!G14),0)+IF(AND(('V06 Calend 01'!E14&gt;0),(174&gt;'V06 Calend 01'!C14),(174&lt;'V06 Calend 01'!D14),(MOD((174-'V06 Calend 01'!C14),6)=0),(((174-'V06 Calend 01'!C14)/6)&lt;='V06 Calend 01'!E14)),IF((174=('V06 Calend 01'!C14+(6*'V06 Calend 01'!E14))),('V06 Calend 01'!H14-('V06 Calend 01'!I14*('V06 Calend 01'!E14-1))),'V06 Calend 01'!I14),0))+IF((174='V06 Calend 01'!D14),'V06 Calend 01'!J14,0))</f>
        <v>0</v>
      </c>
      <c r="GE14" s="2">
        <f>((IF((175='V06 Calend 01'!C14),('V06 Calend 01'!F14+'V06 Calend 01'!G14),0)+IF(AND(('V06 Calend 01'!E14&gt;0),(175&gt;'V06 Calend 01'!C14),(175&lt;'V06 Calend 01'!D14),(MOD((175-'V06 Calend 01'!C14),6)=0),(((175-'V06 Calend 01'!C14)/6)&lt;='V06 Calend 01'!E14)),IF((175=('V06 Calend 01'!C14+(6*'V06 Calend 01'!E14))),('V06 Calend 01'!H14-('V06 Calend 01'!I14*('V06 Calend 01'!E14-1))),'V06 Calend 01'!I14),0))+IF((175='V06 Calend 01'!D14),'V06 Calend 01'!J14,0))</f>
        <v>0</v>
      </c>
      <c r="GF14" s="2">
        <f>((IF((176='V06 Calend 01'!C14),('V06 Calend 01'!F14+'V06 Calend 01'!G14),0)+IF(AND(('V06 Calend 01'!E14&gt;0),(176&gt;'V06 Calend 01'!C14),(176&lt;'V06 Calend 01'!D14),(MOD((176-'V06 Calend 01'!C14),6)=0),(((176-'V06 Calend 01'!C14)/6)&lt;='V06 Calend 01'!E14)),IF((176=('V06 Calend 01'!C14+(6*'V06 Calend 01'!E14))),('V06 Calend 01'!H14-('V06 Calend 01'!I14*('V06 Calend 01'!E14-1))),'V06 Calend 01'!I14),0))+IF((176='V06 Calend 01'!D14),'V06 Calend 01'!J14,0))</f>
        <v>0</v>
      </c>
      <c r="GG14" s="2">
        <f>((IF((177='V06 Calend 01'!C14),('V06 Calend 01'!F14+'V06 Calend 01'!G14),0)+IF(AND(('V06 Calend 01'!E14&gt;0),(177&gt;'V06 Calend 01'!C14),(177&lt;'V06 Calend 01'!D14),(MOD((177-'V06 Calend 01'!C14),6)=0),(((177-'V06 Calend 01'!C14)/6)&lt;='V06 Calend 01'!E14)),IF((177=('V06 Calend 01'!C14+(6*'V06 Calend 01'!E14))),('V06 Calend 01'!H14-('V06 Calend 01'!I14*('V06 Calend 01'!E14-1))),'V06 Calend 01'!I14),0))+IF((177='V06 Calend 01'!D14),'V06 Calend 01'!J14,0))</f>
        <v>0</v>
      </c>
      <c r="GH14" s="2">
        <f>((IF((178='V06 Calend 01'!C14),('V06 Calend 01'!F14+'V06 Calend 01'!G14),0)+IF(AND(('V06 Calend 01'!E14&gt;0),(178&gt;'V06 Calend 01'!C14),(178&lt;'V06 Calend 01'!D14),(MOD((178-'V06 Calend 01'!C14),6)=0),(((178-'V06 Calend 01'!C14)/6)&lt;='V06 Calend 01'!E14)),IF((178=('V06 Calend 01'!C14+(6*'V06 Calend 01'!E14))),('V06 Calend 01'!H14-('V06 Calend 01'!I14*('V06 Calend 01'!E14-1))),'V06 Calend 01'!I14),0))+IF((178='V06 Calend 01'!D14),'V06 Calend 01'!J14,0))</f>
        <v>0</v>
      </c>
      <c r="GI14" s="2">
        <f>((IF((179='V06 Calend 01'!C14),('V06 Calend 01'!F14+'V06 Calend 01'!G14),0)+IF(AND(('V06 Calend 01'!E14&gt;0),(179&gt;'V06 Calend 01'!C14),(179&lt;'V06 Calend 01'!D14),(MOD((179-'V06 Calend 01'!C14),6)=0),(((179-'V06 Calend 01'!C14)/6)&lt;='V06 Calend 01'!E14)),IF((179=('V06 Calend 01'!C14+(6*'V06 Calend 01'!E14))),('V06 Calend 01'!H14-('V06 Calend 01'!I14*('V06 Calend 01'!E14-1))),'V06 Calend 01'!I14),0))+IF((179='V06 Calend 01'!D14),'V06 Calend 01'!J14,0))</f>
        <v>0</v>
      </c>
      <c r="GJ14" s="2">
        <f>((IF((180='V06 Calend 01'!C14),('V06 Calend 01'!F14+'V06 Calend 01'!G14),0)+IF(AND(('V06 Calend 01'!E14&gt;0),(180&gt;'V06 Calend 01'!C14),(180&lt;'V06 Calend 01'!D14),(MOD((180-'V06 Calend 01'!C14),6)=0),(((180-'V06 Calend 01'!C14)/6)&lt;='V06 Calend 01'!E14)),IF((180=('V06 Calend 01'!C14+(6*'V06 Calend 01'!E14))),('V06 Calend 01'!H14-('V06 Calend 01'!I14*('V06 Calend 01'!E14-1))),'V06 Calend 01'!I14),0))+IF((180='V06 Calend 01'!D14),'V06 Calend 01'!J14,0))</f>
        <v>0</v>
      </c>
    </row>
    <row r="15" spans="1:192">
      <c r="A15" s="3" t="str">
        <f>'V06 Unidades'!$A$15</f>
        <v>301</v>
      </c>
      <c r="B15" s="2">
        <f>'V06 Unidades'!$H$15</f>
        <v>563040</v>
      </c>
      <c r="C15" s="4">
        <f>('V06 Unidades'!$I$15+'V06 Controlos'!$B$37)</f>
        <v>4</v>
      </c>
      <c r="D15" s="4">
        <f>IF(('V06 Controlos'!$B$38&gt;0),MAX(('V06 Unidades'!$L$15+'V06 Controlos'!$B$37),(30+'V06 Controlos'!$B$38)),('V06 Unidades'!$L$15+'V06 Controlos'!$B$37))</f>
        <v>29</v>
      </c>
      <c r="E15" s="4">
        <f>MAX(0,INT(((('V06 Calend 01'!D15-'V06 Calend 01'!C15)-1)/6)))</f>
        <v>4</v>
      </c>
      <c r="F15" s="2">
        <f>ROUND(('V06 Calend 01'!B15*0.05),2)</f>
        <v>28152.0</v>
      </c>
      <c r="G15" s="2">
        <f>ROUND(('V06 Calend 01'!B15*0.2),2)</f>
        <v>112608.0</v>
      </c>
      <c r="H15" s="2">
        <f>ROUND(('V06 Calend 01'!B15*0.55),2)</f>
        <v>309672.0</v>
      </c>
      <c r="I15" s="2">
        <f>ROUND(('V06 Calend 01'!H15/MAX(1,'V06 Calend 01'!E15)),2)</f>
        <v>77418.0</v>
      </c>
      <c r="J15" s="2">
        <f>((('V06 Calend 01'!B15-'V06 Calend 01'!F15)-'V06 Calend 01'!G15)-'V06 Calend 01'!H15)</f>
        <v>112608.0</v>
      </c>
      <c r="K15" s="2">
        <f>('V06 Calend 01'!B15*0.025)</f>
        <v>14076.0</v>
      </c>
      <c r="L15" t="s">
        <v>378</v>
      </c>
      <c r="M15" s="2">
        <f>((IF((1='V06 Calend 01'!C15),('V06 Calend 01'!F15+'V06 Calend 01'!G15),0)+IF(AND(('V06 Calend 01'!E15&gt;0),(1&gt;'V06 Calend 01'!C15),(1&lt;'V06 Calend 01'!D15),(MOD((1-'V06 Calend 01'!C15),6)=0),(((1-'V06 Calend 01'!C15)/6)&lt;='V06 Calend 01'!E15)),IF((1=('V06 Calend 01'!C15+(6*'V06 Calend 01'!E15))),('V06 Calend 01'!H15-('V06 Calend 01'!I15*('V06 Calend 01'!E15-1))),'V06 Calend 01'!I15),0))+IF((1='V06 Calend 01'!D15),'V06 Calend 01'!J15,0))</f>
        <v>0</v>
      </c>
      <c r="N15" s="2">
        <f>((IF((2='V06 Calend 01'!C15),('V06 Calend 01'!F15+'V06 Calend 01'!G15),0)+IF(AND(('V06 Calend 01'!E15&gt;0),(2&gt;'V06 Calend 01'!C15),(2&lt;'V06 Calend 01'!D15),(MOD((2-'V06 Calend 01'!C15),6)=0),(((2-'V06 Calend 01'!C15)/6)&lt;='V06 Calend 01'!E15)),IF((2=('V06 Calend 01'!C15+(6*'V06 Calend 01'!E15))),('V06 Calend 01'!H15-('V06 Calend 01'!I15*('V06 Calend 01'!E15-1))),'V06 Calend 01'!I15),0))+IF((2='V06 Calend 01'!D15),'V06 Calend 01'!J15,0))</f>
        <v>0</v>
      </c>
      <c r="O15" s="2">
        <f>((IF((3='V06 Calend 01'!C15),('V06 Calend 01'!F15+'V06 Calend 01'!G15),0)+IF(AND(('V06 Calend 01'!E15&gt;0),(3&gt;'V06 Calend 01'!C15),(3&lt;'V06 Calend 01'!D15),(MOD((3-'V06 Calend 01'!C15),6)=0),(((3-'V06 Calend 01'!C15)/6)&lt;='V06 Calend 01'!E15)),IF((3=('V06 Calend 01'!C15+(6*'V06 Calend 01'!E15))),('V06 Calend 01'!H15-('V06 Calend 01'!I15*('V06 Calend 01'!E15-1))),'V06 Calend 01'!I15),0))+IF((3='V06 Calend 01'!D15),'V06 Calend 01'!J15,0))</f>
        <v>0</v>
      </c>
      <c r="P15" s="2">
        <f>((IF((4='V06 Calend 01'!C15),('V06 Calend 01'!F15+'V06 Calend 01'!G15),0)+IF(AND(('V06 Calend 01'!E15&gt;0),(4&gt;'V06 Calend 01'!C15),(4&lt;'V06 Calend 01'!D15),(MOD((4-'V06 Calend 01'!C15),6)=0),(((4-'V06 Calend 01'!C15)/6)&lt;='V06 Calend 01'!E15)),IF((4=('V06 Calend 01'!C15+(6*'V06 Calend 01'!E15))),('V06 Calend 01'!H15-('V06 Calend 01'!I15*('V06 Calend 01'!E15-1))),'V06 Calend 01'!I15),0))+IF((4='V06 Calend 01'!D15),'V06 Calend 01'!J15,0))</f>
        <v>140760.0</v>
      </c>
      <c r="Q15" s="2">
        <f>((IF((5='V06 Calend 01'!C15),('V06 Calend 01'!F15+'V06 Calend 01'!G15),0)+IF(AND(('V06 Calend 01'!E15&gt;0),(5&gt;'V06 Calend 01'!C15),(5&lt;'V06 Calend 01'!D15),(MOD((5-'V06 Calend 01'!C15),6)=0),(((5-'V06 Calend 01'!C15)/6)&lt;='V06 Calend 01'!E15)),IF((5=('V06 Calend 01'!C15+(6*'V06 Calend 01'!E15))),('V06 Calend 01'!H15-('V06 Calend 01'!I15*('V06 Calend 01'!E15-1))),'V06 Calend 01'!I15),0))+IF((5='V06 Calend 01'!D15),'V06 Calend 01'!J15,0))</f>
        <v>0</v>
      </c>
      <c r="R15" s="2">
        <f>((IF((6='V06 Calend 01'!C15),('V06 Calend 01'!F15+'V06 Calend 01'!G15),0)+IF(AND(('V06 Calend 01'!E15&gt;0),(6&gt;'V06 Calend 01'!C15),(6&lt;'V06 Calend 01'!D15),(MOD((6-'V06 Calend 01'!C15),6)=0),(((6-'V06 Calend 01'!C15)/6)&lt;='V06 Calend 01'!E15)),IF((6=('V06 Calend 01'!C15+(6*'V06 Calend 01'!E15))),('V06 Calend 01'!H15-('V06 Calend 01'!I15*('V06 Calend 01'!E15-1))),'V06 Calend 01'!I15),0))+IF((6='V06 Calend 01'!D15),'V06 Calend 01'!J15,0))</f>
        <v>0</v>
      </c>
      <c r="S15" s="2">
        <f>((IF((7='V06 Calend 01'!C15),('V06 Calend 01'!F15+'V06 Calend 01'!G15),0)+IF(AND(('V06 Calend 01'!E15&gt;0),(7&gt;'V06 Calend 01'!C15),(7&lt;'V06 Calend 01'!D15),(MOD((7-'V06 Calend 01'!C15),6)=0),(((7-'V06 Calend 01'!C15)/6)&lt;='V06 Calend 01'!E15)),IF((7=('V06 Calend 01'!C15+(6*'V06 Calend 01'!E15))),('V06 Calend 01'!H15-('V06 Calend 01'!I15*('V06 Calend 01'!E15-1))),'V06 Calend 01'!I15),0))+IF((7='V06 Calend 01'!D15),'V06 Calend 01'!J15,0))</f>
        <v>0</v>
      </c>
      <c r="T15" s="2">
        <f>((IF((8='V06 Calend 01'!C15),('V06 Calend 01'!F15+'V06 Calend 01'!G15),0)+IF(AND(('V06 Calend 01'!E15&gt;0),(8&gt;'V06 Calend 01'!C15),(8&lt;'V06 Calend 01'!D15),(MOD((8-'V06 Calend 01'!C15),6)=0),(((8-'V06 Calend 01'!C15)/6)&lt;='V06 Calend 01'!E15)),IF((8=('V06 Calend 01'!C15+(6*'V06 Calend 01'!E15))),('V06 Calend 01'!H15-('V06 Calend 01'!I15*('V06 Calend 01'!E15-1))),'V06 Calend 01'!I15),0))+IF((8='V06 Calend 01'!D15),'V06 Calend 01'!J15,0))</f>
        <v>0</v>
      </c>
      <c r="U15" s="2">
        <f>((IF((9='V06 Calend 01'!C15),('V06 Calend 01'!F15+'V06 Calend 01'!G15),0)+IF(AND(('V06 Calend 01'!E15&gt;0),(9&gt;'V06 Calend 01'!C15),(9&lt;'V06 Calend 01'!D15),(MOD((9-'V06 Calend 01'!C15),6)=0),(((9-'V06 Calend 01'!C15)/6)&lt;='V06 Calend 01'!E15)),IF((9=('V06 Calend 01'!C15+(6*'V06 Calend 01'!E15))),('V06 Calend 01'!H15-('V06 Calend 01'!I15*('V06 Calend 01'!E15-1))),'V06 Calend 01'!I15),0))+IF((9='V06 Calend 01'!D15),'V06 Calend 01'!J15,0))</f>
        <v>0</v>
      </c>
      <c r="V15" s="2">
        <f>((IF((10='V06 Calend 01'!C15),('V06 Calend 01'!F15+'V06 Calend 01'!G15),0)+IF(AND(('V06 Calend 01'!E15&gt;0),(10&gt;'V06 Calend 01'!C15),(10&lt;'V06 Calend 01'!D15),(MOD((10-'V06 Calend 01'!C15),6)=0),(((10-'V06 Calend 01'!C15)/6)&lt;='V06 Calend 01'!E15)),IF((10=('V06 Calend 01'!C15+(6*'V06 Calend 01'!E15))),('V06 Calend 01'!H15-('V06 Calend 01'!I15*('V06 Calend 01'!E15-1))),'V06 Calend 01'!I15),0))+IF((10='V06 Calend 01'!D15),'V06 Calend 01'!J15,0))</f>
        <v>77418.0</v>
      </c>
      <c r="W15" s="2">
        <f>((IF((11='V06 Calend 01'!C15),('V06 Calend 01'!F15+'V06 Calend 01'!G15),0)+IF(AND(('V06 Calend 01'!E15&gt;0),(11&gt;'V06 Calend 01'!C15),(11&lt;'V06 Calend 01'!D15),(MOD((11-'V06 Calend 01'!C15),6)=0),(((11-'V06 Calend 01'!C15)/6)&lt;='V06 Calend 01'!E15)),IF((11=('V06 Calend 01'!C15+(6*'V06 Calend 01'!E15))),('V06 Calend 01'!H15-('V06 Calend 01'!I15*('V06 Calend 01'!E15-1))),'V06 Calend 01'!I15),0))+IF((11='V06 Calend 01'!D15),'V06 Calend 01'!J15,0))</f>
        <v>0</v>
      </c>
      <c r="X15" s="2">
        <f>((IF((12='V06 Calend 01'!C15),('V06 Calend 01'!F15+'V06 Calend 01'!G15),0)+IF(AND(('V06 Calend 01'!E15&gt;0),(12&gt;'V06 Calend 01'!C15),(12&lt;'V06 Calend 01'!D15),(MOD((12-'V06 Calend 01'!C15),6)=0),(((12-'V06 Calend 01'!C15)/6)&lt;='V06 Calend 01'!E15)),IF((12=('V06 Calend 01'!C15+(6*'V06 Calend 01'!E15))),('V06 Calend 01'!H15-('V06 Calend 01'!I15*('V06 Calend 01'!E15-1))),'V06 Calend 01'!I15),0))+IF((12='V06 Calend 01'!D15),'V06 Calend 01'!J15,0))</f>
        <v>0</v>
      </c>
      <c r="Y15" s="2">
        <f>((IF((13='V06 Calend 01'!C15),('V06 Calend 01'!F15+'V06 Calend 01'!G15),0)+IF(AND(('V06 Calend 01'!E15&gt;0),(13&gt;'V06 Calend 01'!C15),(13&lt;'V06 Calend 01'!D15),(MOD((13-'V06 Calend 01'!C15),6)=0),(((13-'V06 Calend 01'!C15)/6)&lt;='V06 Calend 01'!E15)),IF((13=('V06 Calend 01'!C15+(6*'V06 Calend 01'!E15))),('V06 Calend 01'!H15-('V06 Calend 01'!I15*('V06 Calend 01'!E15-1))),'V06 Calend 01'!I15),0))+IF((13='V06 Calend 01'!D15),'V06 Calend 01'!J15,0))</f>
        <v>0</v>
      </c>
      <c r="Z15" s="2">
        <f>((IF((14='V06 Calend 01'!C15),('V06 Calend 01'!F15+'V06 Calend 01'!G15),0)+IF(AND(('V06 Calend 01'!E15&gt;0),(14&gt;'V06 Calend 01'!C15),(14&lt;'V06 Calend 01'!D15),(MOD((14-'V06 Calend 01'!C15),6)=0),(((14-'V06 Calend 01'!C15)/6)&lt;='V06 Calend 01'!E15)),IF((14=('V06 Calend 01'!C15+(6*'V06 Calend 01'!E15))),('V06 Calend 01'!H15-('V06 Calend 01'!I15*('V06 Calend 01'!E15-1))),'V06 Calend 01'!I15),0))+IF((14='V06 Calend 01'!D15),'V06 Calend 01'!J15,0))</f>
        <v>0</v>
      </c>
      <c r="AA15" s="2">
        <f>((IF((15='V06 Calend 01'!C15),('V06 Calend 01'!F15+'V06 Calend 01'!G15),0)+IF(AND(('V06 Calend 01'!E15&gt;0),(15&gt;'V06 Calend 01'!C15),(15&lt;'V06 Calend 01'!D15),(MOD((15-'V06 Calend 01'!C15),6)=0),(((15-'V06 Calend 01'!C15)/6)&lt;='V06 Calend 01'!E15)),IF((15=('V06 Calend 01'!C15+(6*'V06 Calend 01'!E15))),('V06 Calend 01'!H15-('V06 Calend 01'!I15*('V06 Calend 01'!E15-1))),'V06 Calend 01'!I15),0))+IF((15='V06 Calend 01'!D15),'V06 Calend 01'!J15,0))</f>
        <v>0</v>
      </c>
      <c r="AB15" s="2">
        <f>((IF((16='V06 Calend 01'!C15),('V06 Calend 01'!F15+'V06 Calend 01'!G15),0)+IF(AND(('V06 Calend 01'!E15&gt;0),(16&gt;'V06 Calend 01'!C15),(16&lt;'V06 Calend 01'!D15),(MOD((16-'V06 Calend 01'!C15),6)=0),(((16-'V06 Calend 01'!C15)/6)&lt;='V06 Calend 01'!E15)),IF((16=('V06 Calend 01'!C15+(6*'V06 Calend 01'!E15))),('V06 Calend 01'!H15-('V06 Calend 01'!I15*('V06 Calend 01'!E15-1))),'V06 Calend 01'!I15),0))+IF((16='V06 Calend 01'!D15),'V06 Calend 01'!J15,0))</f>
        <v>77418.0</v>
      </c>
      <c r="AC15" s="2">
        <f>((IF((17='V06 Calend 01'!C15),('V06 Calend 01'!F15+'V06 Calend 01'!G15),0)+IF(AND(('V06 Calend 01'!E15&gt;0),(17&gt;'V06 Calend 01'!C15),(17&lt;'V06 Calend 01'!D15),(MOD((17-'V06 Calend 01'!C15),6)=0),(((17-'V06 Calend 01'!C15)/6)&lt;='V06 Calend 01'!E15)),IF((17=('V06 Calend 01'!C15+(6*'V06 Calend 01'!E15))),('V06 Calend 01'!H15-('V06 Calend 01'!I15*('V06 Calend 01'!E15-1))),'V06 Calend 01'!I15),0))+IF((17='V06 Calend 01'!D15),'V06 Calend 01'!J15,0))</f>
        <v>0</v>
      </c>
      <c r="AD15" s="2">
        <f>((IF((18='V06 Calend 01'!C15),('V06 Calend 01'!F15+'V06 Calend 01'!G15),0)+IF(AND(('V06 Calend 01'!E15&gt;0),(18&gt;'V06 Calend 01'!C15),(18&lt;'V06 Calend 01'!D15),(MOD((18-'V06 Calend 01'!C15),6)=0),(((18-'V06 Calend 01'!C15)/6)&lt;='V06 Calend 01'!E15)),IF((18=('V06 Calend 01'!C15+(6*'V06 Calend 01'!E15))),('V06 Calend 01'!H15-('V06 Calend 01'!I15*('V06 Calend 01'!E15-1))),'V06 Calend 01'!I15),0))+IF((18='V06 Calend 01'!D15),'V06 Calend 01'!J15,0))</f>
        <v>0</v>
      </c>
      <c r="AE15" s="2">
        <f>((IF((19='V06 Calend 01'!C15),('V06 Calend 01'!F15+'V06 Calend 01'!G15),0)+IF(AND(('V06 Calend 01'!E15&gt;0),(19&gt;'V06 Calend 01'!C15),(19&lt;'V06 Calend 01'!D15),(MOD((19-'V06 Calend 01'!C15),6)=0),(((19-'V06 Calend 01'!C15)/6)&lt;='V06 Calend 01'!E15)),IF((19=('V06 Calend 01'!C15+(6*'V06 Calend 01'!E15))),('V06 Calend 01'!H15-('V06 Calend 01'!I15*('V06 Calend 01'!E15-1))),'V06 Calend 01'!I15),0))+IF((19='V06 Calend 01'!D15),'V06 Calend 01'!J15,0))</f>
        <v>0</v>
      </c>
      <c r="AF15" s="2">
        <f>((IF((20='V06 Calend 01'!C15),('V06 Calend 01'!F15+'V06 Calend 01'!G15),0)+IF(AND(('V06 Calend 01'!E15&gt;0),(20&gt;'V06 Calend 01'!C15),(20&lt;'V06 Calend 01'!D15),(MOD((20-'V06 Calend 01'!C15),6)=0),(((20-'V06 Calend 01'!C15)/6)&lt;='V06 Calend 01'!E15)),IF((20=('V06 Calend 01'!C15+(6*'V06 Calend 01'!E15))),('V06 Calend 01'!H15-('V06 Calend 01'!I15*('V06 Calend 01'!E15-1))),'V06 Calend 01'!I15),0))+IF((20='V06 Calend 01'!D15),'V06 Calend 01'!J15,0))</f>
        <v>0</v>
      </c>
      <c r="AG15" s="2">
        <f>((IF((21='V06 Calend 01'!C15),('V06 Calend 01'!F15+'V06 Calend 01'!G15),0)+IF(AND(('V06 Calend 01'!E15&gt;0),(21&gt;'V06 Calend 01'!C15),(21&lt;'V06 Calend 01'!D15),(MOD((21-'V06 Calend 01'!C15),6)=0),(((21-'V06 Calend 01'!C15)/6)&lt;='V06 Calend 01'!E15)),IF((21=('V06 Calend 01'!C15+(6*'V06 Calend 01'!E15))),('V06 Calend 01'!H15-('V06 Calend 01'!I15*('V06 Calend 01'!E15-1))),'V06 Calend 01'!I15),0))+IF((21='V06 Calend 01'!D15),'V06 Calend 01'!J15,0))</f>
        <v>0</v>
      </c>
      <c r="AH15" s="2">
        <f>((IF((22='V06 Calend 01'!C15),('V06 Calend 01'!F15+'V06 Calend 01'!G15),0)+IF(AND(('V06 Calend 01'!E15&gt;0),(22&gt;'V06 Calend 01'!C15),(22&lt;'V06 Calend 01'!D15),(MOD((22-'V06 Calend 01'!C15),6)=0),(((22-'V06 Calend 01'!C15)/6)&lt;='V06 Calend 01'!E15)),IF((22=('V06 Calend 01'!C15+(6*'V06 Calend 01'!E15))),('V06 Calend 01'!H15-('V06 Calend 01'!I15*('V06 Calend 01'!E15-1))),'V06 Calend 01'!I15),0))+IF((22='V06 Calend 01'!D15),'V06 Calend 01'!J15,0))</f>
        <v>77418.0</v>
      </c>
      <c r="AI15" s="2">
        <f>((IF((23='V06 Calend 01'!C15),('V06 Calend 01'!F15+'V06 Calend 01'!G15),0)+IF(AND(('V06 Calend 01'!E15&gt;0),(23&gt;'V06 Calend 01'!C15),(23&lt;'V06 Calend 01'!D15),(MOD((23-'V06 Calend 01'!C15),6)=0),(((23-'V06 Calend 01'!C15)/6)&lt;='V06 Calend 01'!E15)),IF((23=('V06 Calend 01'!C15+(6*'V06 Calend 01'!E15))),('V06 Calend 01'!H15-('V06 Calend 01'!I15*('V06 Calend 01'!E15-1))),'V06 Calend 01'!I15),0))+IF((23='V06 Calend 01'!D15),'V06 Calend 01'!J15,0))</f>
        <v>0</v>
      </c>
      <c r="AJ15" s="2">
        <f>((IF((24='V06 Calend 01'!C15),('V06 Calend 01'!F15+'V06 Calend 01'!G15),0)+IF(AND(('V06 Calend 01'!E15&gt;0),(24&gt;'V06 Calend 01'!C15),(24&lt;'V06 Calend 01'!D15),(MOD((24-'V06 Calend 01'!C15),6)=0),(((24-'V06 Calend 01'!C15)/6)&lt;='V06 Calend 01'!E15)),IF((24=('V06 Calend 01'!C15+(6*'V06 Calend 01'!E15))),('V06 Calend 01'!H15-('V06 Calend 01'!I15*('V06 Calend 01'!E15-1))),'V06 Calend 01'!I15),0))+IF((24='V06 Calend 01'!D15),'V06 Calend 01'!J15,0))</f>
        <v>0</v>
      </c>
      <c r="AK15" s="2">
        <f>((IF((25='V06 Calend 01'!C15),('V06 Calend 01'!F15+'V06 Calend 01'!G15),0)+IF(AND(('V06 Calend 01'!E15&gt;0),(25&gt;'V06 Calend 01'!C15),(25&lt;'V06 Calend 01'!D15),(MOD((25-'V06 Calend 01'!C15),6)=0),(((25-'V06 Calend 01'!C15)/6)&lt;='V06 Calend 01'!E15)),IF((25=('V06 Calend 01'!C15+(6*'V06 Calend 01'!E15))),('V06 Calend 01'!H15-('V06 Calend 01'!I15*('V06 Calend 01'!E15-1))),'V06 Calend 01'!I15),0))+IF((25='V06 Calend 01'!D15),'V06 Calend 01'!J15,0))</f>
        <v>0</v>
      </c>
      <c r="AL15" s="2">
        <f>((IF((26='V06 Calend 01'!C15),('V06 Calend 01'!F15+'V06 Calend 01'!G15),0)+IF(AND(('V06 Calend 01'!E15&gt;0),(26&gt;'V06 Calend 01'!C15),(26&lt;'V06 Calend 01'!D15),(MOD((26-'V06 Calend 01'!C15),6)=0),(((26-'V06 Calend 01'!C15)/6)&lt;='V06 Calend 01'!E15)),IF((26=('V06 Calend 01'!C15+(6*'V06 Calend 01'!E15))),('V06 Calend 01'!H15-('V06 Calend 01'!I15*('V06 Calend 01'!E15-1))),'V06 Calend 01'!I15),0))+IF((26='V06 Calend 01'!D15),'V06 Calend 01'!J15,0))</f>
        <v>0</v>
      </c>
      <c r="AM15" s="2">
        <f>((IF((27='V06 Calend 01'!C15),('V06 Calend 01'!F15+'V06 Calend 01'!G15),0)+IF(AND(('V06 Calend 01'!E15&gt;0),(27&gt;'V06 Calend 01'!C15),(27&lt;'V06 Calend 01'!D15),(MOD((27-'V06 Calend 01'!C15),6)=0),(((27-'V06 Calend 01'!C15)/6)&lt;='V06 Calend 01'!E15)),IF((27=('V06 Calend 01'!C15+(6*'V06 Calend 01'!E15))),('V06 Calend 01'!H15-('V06 Calend 01'!I15*('V06 Calend 01'!E15-1))),'V06 Calend 01'!I15),0))+IF((27='V06 Calend 01'!D15),'V06 Calend 01'!J15,0))</f>
        <v>0</v>
      </c>
      <c r="AN15" s="2">
        <f>((IF((28='V06 Calend 01'!C15),('V06 Calend 01'!F15+'V06 Calend 01'!G15),0)+IF(AND(('V06 Calend 01'!E15&gt;0),(28&gt;'V06 Calend 01'!C15),(28&lt;'V06 Calend 01'!D15),(MOD((28-'V06 Calend 01'!C15),6)=0),(((28-'V06 Calend 01'!C15)/6)&lt;='V06 Calend 01'!E15)),IF((28=('V06 Calend 01'!C15+(6*'V06 Calend 01'!E15))),('V06 Calend 01'!H15-('V06 Calend 01'!I15*('V06 Calend 01'!E15-1))),'V06 Calend 01'!I15),0))+IF((28='V06 Calend 01'!D15),'V06 Calend 01'!J15,0))</f>
        <v>77418.0</v>
      </c>
      <c r="AO15" s="2">
        <f>((IF((29='V06 Calend 01'!C15),('V06 Calend 01'!F15+'V06 Calend 01'!G15),0)+IF(AND(('V06 Calend 01'!E15&gt;0),(29&gt;'V06 Calend 01'!C15),(29&lt;'V06 Calend 01'!D15),(MOD((29-'V06 Calend 01'!C15),6)=0),(((29-'V06 Calend 01'!C15)/6)&lt;='V06 Calend 01'!E15)),IF((29=('V06 Calend 01'!C15+(6*'V06 Calend 01'!E15))),('V06 Calend 01'!H15-('V06 Calend 01'!I15*('V06 Calend 01'!E15-1))),'V06 Calend 01'!I15),0))+IF((29='V06 Calend 01'!D15),'V06 Calend 01'!J15,0))</f>
        <v>112608.0</v>
      </c>
      <c r="AP15" s="2">
        <f>((IF((30='V06 Calend 01'!C15),('V06 Calend 01'!F15+'V06 Calend 01'!G15),0)+IF(AND(('V06 Calend 01'!E15&gt;0),(30&gt;'V06 Calend 01'!C15),(30&lt;'V06 Calend 01'!D15),(MOD((30-'V06 Calend 01'!C15),6)=0),(((30-'V06 Calend 01'!C15)/6)&lt;='V06 Calend 01'!E15)),IF((30=('V06 Calend 01'!C15+(6*'V06 Calend 01'!E15))),('V06 Calend 01'!H15-('V06 Calend 01'!I15*('V06 Calend 01'!E15-1))),'V06 Calend 01'!I15),0))+IF((30='V06 Calend 01'!D15),'V06 Calend 01'!J15,0))</f>
        <v>0</v>
      </c>
      <c r="AQ15" s="2">
        <f>((IF((31='V06 Calend 01'!C15),('V06 Calend 01'!F15+'V06 Calend 01'!G15),0)+IF(AND(('V06 Calend 01'!E15&gt;0),(31&gt;'V06 Calend 01'!C15),(31&lt;'V06 Calend 01'!D15),(MOD((31-'V06 Calend 01'!C15),6)=0),(((31-'V06 Calend 01'!C15)/6)&lt;='V06 Calend 01'!E15)),IF((31=('V06 Calend 01'!C15+(6*'V06 Calend 01'!E15))),('V06 Calend 01'!H15-('V06 Calend 01'!I15*('V06 Calend 01'!E15-1))),'V06 Calend 01'!I15),0))+IF((31='V06 Calend 01'!D15),'V06 Calend 01'!J15,0))</f>
        <v>0</v>
      </c>
      <c r="AR15" s="2">
        <f>((IF((32='V06 Calend 01'!C15),('V06 Calend 01'!F15+'V06 Calend 01'!G15),0)+IF(AND(('V06 Calend 01'!E15&gt;0),(32&gt;'V06 Calend 01'!C15),(32&lt;'V06 Calend 01'!D15),(MOD((32-'V06 Calend 01'!C15),6)=0),(((32-'V06 Calend 01'!C15)/6)&lt;='V06 Calend 01'!E15)),IF((32=('V06 Calend 01'!C15+(6*'V06 Calend 01'!E15))),('V06 Calend 01'!H15-('V06 Calend 01'!I15*('V06 Calend 01'!E15-1))),'V06 Calend 01'!I15),0))+IF((32='V06 Calend 01'!D15),'V06 Calend 01'!J15,0))</f>
        <v>0</v>
      </c>
      <c r="AS15" s="2">
        <f>((IF((33='V06 Calend 01'!C15),('V06 Calend 01'!F15+'V06 Calend 01'!G15),0)+IF(AND(('V06 Calend 01'!E15&gt;0),(33&gt;'V06 Calend 01'!C15),(33&lt;'V06 Calend 01'!D15),(MOD((33-'V06 Calend 01'!C15),6)=0),(((33-'V06 Calend 01'!C15)/6)&lt;='V06 Calend 01'!E15)),IF((33=('V06 Calend 01'!C15+(6*'V06 Calend 01'!E15))),('V06 Calend 01'!H15-('V06 Calend 01'!I15*('V06 Calend 01'!E15-1))),'V06 Calend 01'!I15),0))+IF((33='V06 Calend 01'!D15),'V06 Calend 01'!J15,0))</f>
        <v>0</v>
      </c>
      <c r="AT15" s="2">
        <f>((IF((34='V06 Calend 01'!C15),('V06 Calend 01'!F15+'V06 Calend 01'!G15),0)+IF(AND(('V06 Calend 01'!E15&gt;0),(34&gt;'V06 Calend 01'!C15),(34&lt;'V06 Calend 01'!D15),(MOD((34-'V06 Calend 01'!C15),6)=0),(((34-'V06 Calend 01'!C15)/6)&lt;='V06 Calend 01'!E15)),IF((34=('V06 Calend 01'!C15+(6*'V06 Calend 01'!E15))),('V06 Calend 01'!H15-('V06 Calend 01'!I15*('V06 Calend 01'!E15-1))),'V06 Calend 01'!I15),0))+IF((34='V06 Calend 01'!D15),'V06 Calend 01'!J15,0))</f>
        <v>0</v>
      </c>
      <c r="AU15" s="2">
        <f>((IF((35='V06 Calend 01'!C15),('V06 Calend 01'!F15+'V06 Calend 01'!G15),0)+IF(AND(('V06 Calend 01'!E15&gt;0),(35&gt;'V06 Calend 01'!C15),(35&lt;'V06 Calend 01'!D15),(MOD((35-'V06 Calend 01'!C15),6)=0),(((35-'V06 Calend 01'!C15)/6)&lt;='V06 Calend 01'!E15)),IF((35=('V06 Calend 01'!C15+(6*'V06 Calend 01'!E15))),('V06 Calend 01'!H15-('V06 Calend 01'!I15*('V06 Calend 01'!E15-1))),'V06 Calend 01'!I15),0))+IF((35='V06 Calend 01'!D15),'V06 Calend 01'!J15,0))</f>
        <v>0</v>
      </c>
      <c r="AV15" s="2">
        <f>((IF((36='V06 Calend 01'!C15),('V06 Calend 01'!F15+'V06 Calend 01'!G15),0)+IF(AND(('V06 Calend 01'!E15&gt;0),(36&gt;'V06 Calend 01'!C15),(36&lt;'V06 Calend 01'!D15),(MOD((36-'V06 Calend 01'!C15),6)=0),(((36-'V06 Calend 01'!C15)/6)&lt;='V06 Calend 01'!E15)),IF((36=('V06 Calend 01'!C15+(6*'V06 Calend 01'!E15))),('V06 Calend 01'!H15-('V06 Calend 01'!I15*('V06 Calend 01'!E15-1))),'V06 Calend 01'!I15),0))+IF((36='V06 Calend 01'!D15),'V06 Calend 01'!J15,0))</f>
        <v>0</v>
      </c>
      <c r="AW15" s="2">
        <f>((IF((37='V06 Calend 01'!C15),('V06 Calend 01'!F15+'V06 Calend 01'!G15),0)+IF(AND(('V06 Calend 01'!E15&gt;0),(37&gt;'V06 Calend 01'!C15),(37&lt;'V06 Calend 01'!D15),(MOD((37-'V06 Calend 01'!C15),6)=0),(((37-'V06 Calend 01'!C15)/6)&lt;='V06 Calend 01'!E15)),IF((37=('V06 Calend 01'!C15+(6*'V06 Calend 01'!E15))),('V06 Calend 01'!H15-('V06 Calend 01'!I15*('V06 Calend 01'!E15-1))),'V06 Calend 01'!I15),0))+IF((37='V06 Calend 01'!D15),'V06 Calend 01'!J15,0))</f>
        <v>0</v>
      </c>
      <c r="AX15" s="2">
        <f>((IF((38='V06 Calend 01'!C15),('V06 Calend 01'!F15+'V06 Calend 01'!G15),0)+IF(AND(('V06 Calend 01'!E15&gt;0),(38&gt;'V06 Calend 01'!C15),(38&lt;'V06 Calend 01'!D15),(MOD((38-'V06 Calend 01'!C15),6)=0),(((38-'V06 Calend 01'!C15)/6)&lt;='V06 Calend 01'!E15)),IF((38=('V06 Calend 01'!C15+(6*'V06 Calend 01'!E15))),('V06 Calend 01'!H15-('V06 Calend 01'!I15*('V06 Calend 01'!E15-1))),'V06 Calend 01'!I15),0))+IF((38='V06 Calend 01'!D15),'V06 Calend 01'!J15,0))</f>
        <v>0</v>
      </c>
      <c r="AY15" s="2">
        <f>((IF((39='V06 Calend 01'!C15),('V06 Calend 01'!F15+'V06 Calend 01'!G15),0)+IF(AND(('V06 Calend 01'!E15&gt;0),(39&gt;'V06 Calend 01'!C15),(39&lt;'V06 Calend 01'!D15),(MOD((39-'V06 Calend 01'!C15),6)=0),(((39-'V06 Calend 01'!C15)/6)&lt;='V06 Calend 01'!E15)),IF((39=('V06 Calend 01'!C15+(6*'V06 Calend 01'!E15))),('V06 Calend 01'!H15-('V06 Calend 01'!I15*('V06 Calend 01'!E15-1))),'V06 Calend 01'!I15),0))+IF((39='V06 Calend 01'!D15),'V06 Calend 01'!J15,0))</f>
        <v>0</v>
      </c>
      <c r="AZ15" s="2">
        <f>((IF((40='V06 Calend 01'!C15),('V06 Calend 01'!F15+'V06 Calend 01'!G15),0)+IF(AND(('V06 Calend 01'!E15&gt;0),(40&gt;'V06 Calend 01'!C15),(40&lt;'V06 Calend 01'!D15),(MOD((40-'V06 Calend 01'!C15),6)=0),(((40-'V06 Calend 01'!C15)/6)&lt;='V06 Calend 01'!E15)),IF((40=('V06 Calend 01'!C15+(6*'V06 Calend 01'!E15))),('V06 Calend 01'!H15-('V06 Calend 01'!I15*('V06 Calend 01'!E15-1))),'V06 Calend 01'!I15),0))+IF((40='V06 Calend 01'!D15),'V06 Calend 01'!J15,0))</f>
        <v>0</v>
      </c>
      <c r="BA15" s="2">
        <f>((IF((41='V06 Calend 01'!C15),('V06 Calend 01'!F15+'V06 Calend 01'!G15),0)+IF(AND(('V06 Calend 01'!E15&gt;0),(41&gt;'V06 Calend 01'!C15),(41&lt;'V06 Calend 01'!D15),(MOD((41-'V06 Calend 01'!C15),6)=0),(((41-'V06 Calend 01'!C15)/6)&lt;='V06 Calend 01'!E15)),IF((41=('V06 Calend 01'!C15+(6*'V06 Calend 01'!E15))),('V06 Calend 01'!H15-('V06 Calend 01'!I15*('V06 Calend 01'!E15-1))),'V06 Calend 01'!I15),0))+IF((41='V06 Calend 01'!D15),'V06 Calend 01'!J15,0))</f>
        <v>0</v>
      </c>
      <c r="BB15" s="2">
        <f>((IF((42='V06 Calend 01'!C15),('V06 Calend 01'!F15+'V06 Calend 01'!G15),0)+IF(AND(('V06 Calend 01'!E15&gt;0),(42&gt;'V06 Calend 01'!C15),(42&lt;'V06 Calend 01'!D15),(MOD((42-'V06 Calend 01'!C15),6)=0),(((42-'V06 Calend 01'!C15)/6)&lt;='V06 Calend 01'!E15)),IF((42=('V06 Calend 01'!C15+(6*'V06 Calend 01'!E15))),('V06 Calend 01'!H15-('V06 Calend 01'!I15*('V06 Calend 01'!E15-1))),'V06 Calend 01'!I15),0))+IF((42='V06 Calend 01'!D15),'V06 Calend 01'!J15,0))</f>
        <v>0</v>
      </c>
      <c r="BC15" s="2">
        <f>((IF((43='V06 Calend 01'!C15),('V06 Calend 01'!F15+'V06 Calend 01'!G15),0)+IF(AND(('V06 Calend 01'!E15&gt;0),(43&gt;'V06 Calend 01'!C15),(43&lt;'V06 Calend 01'!D15),(MOD((43-'V06 Calend 01'!C15),6)=0),(((43-'V06 Calend 01'!C15)/6)&lt;='V06 Calend 01'!E15)),IF((43=('V06 Calend 01'!C15+(6*'V06 Calend 01'!E15))),('V06 Calend 01'!H15-('V06 Calend 01'!I15*('V06 Calend 01'!E15-1))),'V06 Calend 01'!I15),0))+IF((43='V06 Calend 01'!D15),'V06 Calend 01'!J15,0))</f>
        <v>0</v>
      </c>
      <c r="BD15" s="2">
        <f>((IF((44='V06 Calend 01'!C15),('V06 Calend 01'!F15+'V06 Calend 01'!G15),0)+IF(AND(('V06 Calend 01'!E15&gt;0),(44&gt;'V06 Calend 01'!C15),(44&lt;'V06 Calend 01'!D15),(MOD((44-'V06 Calend 01'!C15),6)=0),(((44-'V06 Calend 01'!C15)/6)&lt;='V06 Calend 01'!E15)),IF((44=('V06 Calend 01'!C15+(6*'V06 Calend 01'!E15))),('V06 Calend 01'!H15-('V06 Calend 01'!I15*('V06 Calend 01'!E15-1))),'V06 Calend 01'!I15),0))+IF((44='V06 Calend 01'!D15),'V06 Calend 01'!J15,0))</f>
        <v>0</v>
      </c>
      <c r="BE15" s="2">
        <f>((IF((45='V06 Calend 01'!C15),('V06 Calend 01'!F15+'V06 Calend 01'!G15),0)+IF(AND(('V06 Calend 01'!E15&gt;0),(45&gt;'V06 Calend 01'!C15),(45&lt;'V06 Calend 01'!D15),(MOD((45-'V06 Calend 01'!C15),6)=0),(((45-'V06 Calend 01'!C15)/6)&lt;='V06 Calend 01'!E15)),IF((45=('V06 Calend 01'!C15+(6*'V06 Calend 01'!E15))),('V06 Calend 01'!H15-('V06 Calend 01'!I15*('V06 Calend 01'!E15-1))),'V06 Calend 01'!I15),0))+IF((45='V06 Calend 01'!D15),'V06 Calend 01'!J15,0))</f>
        <v>0</v>
      </c>
      <c r="BF15" s="2">
        <f>((IF((46='V06 Calend 01'!C15),('V06 Calend 01'!F15+'V06 Calend 01'!G15),0)+IF(AND(('V06 Calend 01'!E15&gt;0),(46&gt;'V06 Calend 01'!C15),(46&lt;'V06 Calend 01'!D15),(MOD((46-'V06 Calend 01'!C15),6)=0),(((46-'V06 Calend 01'!C15)/6)&lt;='V06 Calend 01'!E15)),IF((46=('V06 Calend 01'!C15+(6*'V06 Calend 01'!E15))),('V06 Calend 01'!H15-('V06 Calend 01'!I15*('V06 Calend 01'!E15-1))),'V06 Calend 01'!I15),0))+IF((46='V06 Calend 01'!D15),'V06 Calend 01'!J15,0))</f>
        <v>0</v>
      </c>
      <c r="BG15" s="2">
        <f>((IF((47='V06 Calend 01'!C15),('V06 Calend 01'!F15+'V06 Calend 01'!G15),0)+IF(AND(('V06 Calend 01'!E15&gt;0),(47&gt;'V06 Calend 01'!C15),(47&lt;'V06 Calend 01'!D15),(MOD((47-'V06 Calend 01'!C15),6)=0),(((47-'V06 Calend 01'!C15)/6)&lt;='V06 Calend 01'!E15)),IF((47=('V06 Calend 01'!C15+(6*'V06 Calend 01'!E15))),('V06 Calend 01'!H15-('V06 Calend 01'!I15*('V06 Calend 01'!E15-1))),'V06 Calend 01'!I15),0))+IF((47='V06 Calend 01'!D15),'V06 Calend 01'!J15,0))</f>
        <v>0</v>
      </c>
      <c r="BH15" s="2">
        <f>((IF((48='V06 Calend 01'!C15),('V06 Calend 01'!F15+'V06 Calend 01'!G15),0)+IF(AND(('V06 Calend 01'!E15&gt;0),(48&gt;'V06 Calend 01'!C15),(48&lt;'V06 Calend 01'!D15),(MOD((48-'V06 Calend 01'!C15),6)=0),(((48-'V06 Calend 01'!C15)/6)&lt;='V06 Calend 01'!E15)),IF((48=('V06 Calend 01'!C15+(6*'V06 Calend 01'!E15))),('V06 Calend 01'!H15-('V06 Calend 01'!I15*('V06 Calend 01'!E15-1))),'V06 Calend 01'!I15),0))+IF((48='V06 Calend 01'!D15),'V06 Calend 01'!J15,0))</f>
        <v>0</v>
      </c>
      <c r="BI15" s="2">
        <f>((IF((49='V06 Calend 01'!C15),('V06 Calend 01'!F15+'V06 Calend 01'!G15),0)+IF(AND(('V06 Calend 01'!E15&gt;0),(49&gt;'V06 Calend 01'!C15),(49&lt;'V06 Calend 01'!D15),(MOD((49-'V06 Calend 01'!C15),6)=0),(((49-'V06 Calend 01'!C15)/6)&lt;='V06 Calend 01'!E15)),IF((49=('V06 Calend 01'!C15+(6*'V06 Calend 01'!E15))),('V06 Calend 01'!H15-('V06 Calend 01'!I15*('V06 Calend 01'!E15-1))),'V06 Calend 01'!I15),0))+IF((49='V06 Calend 01'!D15),'V06 Calend 01'!J15,0))</f>
        <v>0</v>
      </c>
      <c r="BJ15" s="2">
        <f>((IF((50='V06 Calend 01'!C15),('V06 Calend 01'!F15+'V06 Calend 01'!G15),0)+IF(AND(('V06 Calend 01'!E15&gt;0),(50&gt;'V06 Calend 01'!C15),(50&lt;'V06 Calend 01'!D15),(MOD((50-'V06 Calend 01'!C15),6)=0),(((50-'V06 Calend 01'!C15)/6)&lt;='V06 Calend 01'!E15)),IF((50=('V06 Calend 01'!C15+(6*'V06 Calend 01'!E15))),('V06 Calend 01'!H15-('V06 Calend 01'!I15*('V06 Calend 01'!E15-1))),'V06 Calend 01'!I15),0))+IF((50='V06 Calend 01'!D15),'V06 Calend 01'!J15,0))</f>
        <v>0</v>
      </c>
      <c r="BK15" s="2">
        <f>((IF((51='V06 Calend 01'!C15),('V06 Calend 01'!F15+'V06 Calend 01'!G15),0)+IF(AND(('V06 Calend 01'!E15&gt;0),(51&gt;'V06 Calend 01'!C15),(51&lt;'V06 Calend 01'!D15),(MOD((51-'V06 Calend 01'!C15),6)=0),(((51-'V06 Calend 01'!C15)/6)&lt;='V06 Calend 01'!E15)),IF((51=('V06 Calend 01'!C15+(6*'V06 Calend 01'!E15))),('V06 Calend 01'!H15-('V06 Calend 01'!I15*('V06 Calend 01'!E15-1))),'V06 Calend 01'!I15),0))+IF((51='V06 Calend 01'!D15),'V06 Calend 01'!J15,0))</f>
        <v>0</v>
      </c>
      <c r="BL15" s="2">
        <f>((IF((52='V06 Calend 01'!C15),('V06 Calend 01'!F15+'V06 Calend 01'!G15),0)+IF(AND(('V06 Calend 01'!E15&gt;0),(52&gt;'V06 Calend 01'!C15),(52&lt;'V06 Calend 01'!D15),(MOD((52-'V06 Calend 01'!C15),6)=0),(((52-'V06 Calend 01'!C15)/6)&lt;='V06 Calend 01'!E15)),IF((52=('V06 Calend 01'!C15+(6*'V06 Calend 01'!E15))),('V06 Calend 01'!H15-('V06 Calend 01'!I15*('V06 Calend 01'!E15-1))),'V06 Calend 01'!I15),0))+IF((52='V06 Calend 01'!D15),'V06 Calend 01'!J15,0))</f>
        <v>0</v>
      </c>
      <c r="BM15" s="2">
        <f>((IF((53='V06 Calend 01'!C15),('V06 Calend 01'!F15+'V06 Calend 01'!G15),0)+IF(AND(('V06 Calend 01'!E15&gt;0),(53&gt;'V06 Calend 01'!C15),(53&lt;'V06 Calend 01'!D15),(MOD((53-'V06 Calend 01'!C15),6)=0),(((53-'V06 Calend 01'!C15)/6)&lt;='V06 Calend 01'!E15)),IF((53=('V06 Calend 01'!C15+(6*'V06 Calend 01'!E15))),('V06 Calend 01'!H15-('V06 Calend 01'!I15*('V06 Calend 01'!E15-1))),'V06 Calend 01'!I15),0))+IF((53='V06 Calend 01'!D15),'V06 Calend 01'!J15,0))</f>
        <v>0</v>
      </c>
      <c r="BN15" s="2">
        <f>((IF((54='V06 Calend 01'!C15),('V06 Calend 01'!F15+'V06 Calend 01'!G15),0)+IF(AND(('V06 Calend 01'!E15&gt;0),(54&gt;'V06 Calend 01'!C15),(54&lt;'V06 Calend 01'!D15),(MOD((54-'V06 Calend 01'!C15),6)=0),(((54-'V06 Calend 01'!C15)/6)&lt;='V06 Calend 01'!E15)),IF((54=('V06 Calend 01'!C15+(6*'V06 Calend 01'!E15))),('V06 Calend 01'!H15-('V06 Calend 01'!I15*('V06 Calend 01'!E15-1))),'V06 Calend 01'!I15),0))+IF((54='V06 Calend 01'!D15),'V06 Calend 01'!J15,0))</f>
        <v>0</v>
      </c>
      <c r="BO15" s="2">
        <f>((IF((55='V06 Calend 01'!C15),('V06 Calend 01'!F15+'V06 Calend 01'!G15),0)+IF(AND(('V06 Calend 01'!E15&gt;0),(55&gt;'V06 Calend 01'!C15),(55&lt;'V06 Calend 01'!D15),(MOD((55-'V06 Calend 01'!C15),6)=0),(((55-'V06 Calend 01'!C15)/6)&lt;='V06 Calend 01'!E15)),IF((55=('V06 Calend 01'!C15+(6*'V06 Calend 01'!E15))),('V06 Calend 01'!H15-('V06 Calend 01'!I15*('V06 Calend 01'!E15-1))),'V06 Calend 01'!I15),0))+IF((55='V06 Calend 01'!D15),'V06 Calend 01'!J15,0))</f>
        <v>0</v>
      </c>
      <c r="BP15" s="2">
        <f>((IF((56='V06 Calend 01'!C15),('V06 Calend 01'!F15+'V06 Calend 01'!G15),0)+IF(AND(('V06 Calend 01'!E15&gt;0),(56&gt;'V06 Calend 01'!C15),(56&lt;'V06 Calend 01'!D15),(MOD((56-'V06 Calend 01'!C15),6)=0),(((56-'V06 Calend 01'!C15)/6)&lt;='V06 Calend 01'!E15)),IF((56=('V06 Calend 01'!C15+(6*'V06 Calend 01'!E15))),('V06 Calend 01'!H15-('V06 Calend 01'!I15*('V06 Calend 01'!E15-1))),'V06 Calend 01'!I15),0))+IF((56='V06 Calend 01'!D15),'V06 Calend 01'!J15,0))</f>
        <v>0</v>
      </c>
      <c r="BQ15" s="2">
        <f>((IF((57='V06 Calend 01'!C15),('V06 Calend 01'!F15+'V06 Calend 01'!G15),0)+IF(AND(('V06 Calend 01'!E15&gt;0),(57&gt;'V06 Calend 01'!C15),(57&lt;'V06 Calend 01'!D15),(MOD((57-'V06 Calend 01'!C15),6)=0),(((57-'V06 Calend 01'!C15)/6)&lt;='V06 Calend 01'!E15)),IF((57=('V06 Calend 01'!C15+(6*'V06 Calend 01'!E15))),('V06 Calend 01'!H15-('V06 Calend 01'!I15*('V06 Calend 01'!E15-1))),'V06 Calend 01'!I15),0))+IF((57='V06 Calend 01'!D15),'V06 Calend 01'!J15,0))</f>
        <v>0</v>
      </c>
      <c r="BR15" s="2">
        <f>((IF((58='V06 Calend 01'!C15),('V06 Calend 01'!F15+'V06 Calend 01'!G15),0)+IF(AND(('V06 Calend 01'!E15&gt;0),(58&gt;'V06 Calend 01'!C15),(58&lt;'V06 Calend 01'!D15),(MOD((58-'V06 Calend 01'!C15),6)=0),(((58-'V06 Calend 01'!C15)/6)&lt;='V06 Calend 01'!E15)),IF((58=('V06 Calend 01'!C15+(6*'V06 Calend 01'!E15))),('V06 Calend 01'!H15-('V06 Calend 01'!I15*('V06 Calend 01'!E15-1))),'V06 Calend 01'!I15),0))+IF((58='V06 Calend 01'!D15),'V06 Calend 01'!J15,0))</f>
        <v>0</v>
      </c>
      <c r="BS15" s="2">
        <f>((IF((59='V06 Calend 01'!C15),('V06 Calend 01'!F15+'V06 Calend 01'!G15),0)+IF(AND(('V06 Calend 01'!E15&gt;0),(59&gt;'V06 Calend 01'!C15),(59&lt;'V06 Calend 01'!D15),(MOD((59-'V06 Calend 01'!C15),6)=0),(((59-'V06 Calend 01'!C15)/6)&lt;='V06 Calend 01'!E15)),IF((59=('V06 Calend 01'!C15+(6*'V06 Calend 01'!E15))),('V06 Calend 01'!H15-('V06 Calend 01'!I15*('V06 Calend 01'!E15-1))),'V06 Calend 01'!I15),0))+IF((59='V06 Calend 01'!D15),'V06 Calend 01'!J15,0))</f>
        <v>0</v>
      </c>
      <c r="BT15" s="2">
        <f>((IF((60='V06 Calend 01'!C15),('V06 Calend 01'!F15+'V06 Calend 01'!G15),0)+IF(AND(('V06 Calend 01'!E15&gt;0),(60&gt;'V06 Calend 01'!C15),(60&lt;'V06 Calend 01'!D15),(MOD((60-'V06 Calend 01'!C15),6)=0),(((60-'V06 Calend 01'!C15)/6)&lt;='V06 Calend 01'!E15)),IF((60=('V06 Calend 01'!C15+(6*'V06 Calend 01'!E15))),('V06 Calend 01'!H15-('V06 Calend 01'!I15*('V06 Calend 01'!E15-1))),'V06 Calend 01'!I15),0))+IF((60='V06 Calend 01'!D15),'V06 Calend 01'!J15,0))</f>
        <v>0</v>
      </c>
      <c r="BU15" s="2">
        <f>((IF((61='V06 Calend 01'!C15),('V06 Calend 01'!F15+'V06 Calend 01'!G15),0)+IF(AND(('V06 Calend 01'!E15&gt;0),(61&gt;'V06 Calend 01'!C15),(61&lt;'V06 Calend 01'!D15),(MOD((61-'V06 Calend 01'!C15),6)=0),(((61-'V06 Calend 01'!C15)/6)&lt;='V06 Calend 01'!E15)),IF((61=('V06 Calend 01'!C15+(6*'V06 Calend 01'!E15))),('V06 Calend 01'!H15-('V06 Calend 01'!I15*('V06 Calend 01'!E15-1))),'V06 Calend 01'!I15),0))+IF((61='V06 Calend 01'!D15),'V06 Calend 01'!J15,0))</f>
        <v>0</v>
      </c>
      <c r="BV15" s="2">
        <f>((IF((62='V06 Calend 01'!C15),('V06 Calend 01'!F15+'V06 Calend 01'!G15),0)+IF(AND(('V06 Calend 01'!E15&gt;0),(62&gt;'V06 Calend 01'!C15),(62&lt;'V06 Calend 01'!D15),(MOD((62-'V06 Calend 01'!C15),6)=0),(((62-'V06 Calend 01'!C15)/6)&lt;='V06 Calend 01'!E15)),IF((62=('V06 Calend 01'!C15+(6*'V06 Calend 01'!E15))),('V06 Calend 01'!H15-('V06 Calend 01'!I15*('V06 Calend 01'!E15-1))),'V06 Calend 01'!I15),0))+IF((62='V06 Calend 01'!D15),'V06 Calend 01'!J15,0))</f>
        <v>0</v>
      </c>
      <c r="BW15" s="2">
        <f>((IF((63='V06 Calend 01'!C15),('V06 Calend 01'!F15+'V06 Calend 01'!G15),0)+IF(AND(('V06 Calend 01'!E15&gt;0),(63&gt;'V06 Calend 01'!C15),(63&lt;'V06 Calend 01'!D15),(MOD((63-'V06 Calend 01'!C15),6)=0),(((63-'V06 Calend 01'!C15)/6)&lt;='V06 Calend 01'!E15)),IF((63=('V06 Calend 01'!C15+(6*'V06 Calend 01'!E15))),('V06 Calend 01'!H15-('V06 Calend 01'!I15*('V06 Calend 01'!E15-1))),'V06 Calend 01'!I15),0))+IF((63='V06 Calend 01'!D15),'V06 Calend 01'!J15,0))</f>
        <v>0</v>
      </c>
      <c r="BX15" s="2">
        <f>((IF((64='V06 Calend 01'!C15),('V06 Calend 01'!F15+'V06 Calend 01'!G15),0)+IF(AND(('V06 Calend 01'!E15&gt;0),(64&gt;'V06 Calend 01'!C15),(64&lt;'V06 Calend 01'!D15),(MOD((64-'V06 Calend 01'!C15),6)=0),(((64-'V06 Calend 01'!C15)/6)&lt;='V06 Calend 01'!E15)),IF((64=('V06 Calend 01'!C15+(6*'V06 Calend 01'!E15))),('V06 Calend 01'!H15-('V06 Calend 01'!I15*('V06 Calend 01'!E15-1))),'V06 Calend 01'!I15),0))+IF((64='V06 Calend 01'!D15),'V06 Calend 01'!J15,0))</f>
        <v>0</v>
      </c>
      <c r="BY15" s="2">
        <f>((IF((65='V06 Calend 01'!C15),('V06 Calend 01'!F15+'V06 Calend 01'!G15),0)+IF(AND(('V06 Calend 01'!E15&gt;0),(65&gt;'V06 Calend 01'!C15),(65&lt;'V06 Calend 01'!D15),(MOD((65-'V06 Calend 01'!C15),6)=0),(((65-'V06 Calend 01'!C15)/6)&lt;='V06 Calend 01'!E15)),IF((65=('V06 Calend 01'!C15+(6*'V06 Calend 01'!E15))),('V06 Calend 01'!H15-('V06 Calend 01'!I15*('V06 Calend 01'!E15-1))),'V06 Calend 01'!I15),0))+IF((65='V06 Calend 01'!D15),'V06 Calend 01'!J15,0))</f>
        <v>0</v>
      </c>
      <c r="BZ15" s="2">
        <f>((IF((66='V06 Calend 01'!C15),('V06 Calend 01'!F15+'V06 Calend 01'!G15),0)+IF(AND(('V06 Calend 01'!E15&gt;0),(66&gt;'V06 Calend 01'!C15),(66&lt;'V06 Calend 01'!D15),(MOD((66-'V06 Calend 01'!C15),6)=0),(((66-'V06 Calend 01'!C15)/6)&lt;='V06 Calend 01'!E15)),IF((66=('V06 Calend 01'!C15+(6*'V06 Calend 01'!E15))),('V06 Calend 01'!H15-('V06 Calend 01'!I15*('V06 Calend 01'!E15-1))),'V06 Calend 01'!I15),0))+IF((66='V06 Calend 01'!D15),'V06 Calend 01'!J15,0))</f>
        <v>0</v>
      </c>
      <c r="CA15" s="2">
        <f>((IF((67='V06 Calend 01'!C15),('V06 Calend 01'!F15+'V06 Calend 01'!G15),0)+IF(AND(('V06 Calend 01'!E15&gt;0),(67&gt;'V06 Calend 01'!C15),(67&lt;'V06 Calend 01'!D15),(MOD((67-'V06 Calend 01'!C15),6)=0),(((67-'V06 Calend 01'!C15)/6)&lt;='V06 Calend 01'!E15)),IF((67=('V06 Calend 01'!C15+(6*'V06 Calend 01'!E15))),('V06 Calend 01'!H15-('V06 Calend 01'!I15*('V06 Calend 01'!E15-1))),'V06 Calend 01'!I15),0))+IF((67='V06 Calend 01'!D15),'V06 Calend 01'!J15,0))</f>
        <v>0</v>
      </c>
      <c r="CB15" s="2">
        <f>((IF((68='V06 Calend 01'!C15),('V06 Calend 01'!F15+'V06 Calend 01'!G15),0)+IF(AND(('V06 Calend 01'!E15&gt;0),(68&gt;'V06 Calend 01'!C15),(68&lt;'V06 Calend 01'!D15),(MOD((68-'V06 Calend 01'!C15),6)=0),(((68-'V06 Calend 01'!C15)/6)&lt;='V06 Calend 01'!E15)),IF((68=('V06 Calend 01'!C15+(6*'V06 Calend 01'!E15))),('V06 Calend 01'!H15-('V06 Calend 01'!I15*('V06 Calend 01'!E15-1))),'V06 Calend 01'!I15),0))+IF((68='V06 Calend 01'!D15),'V06 Calend 01'!J15,0))</f>
        <v>0</v>
      </c>
      <c r="CC15" s="2">
        <f>((IF((69='V06 Calend 01'!C15),('V06 Calend 01'!F15+'V06 Calend 01'!G15),0)+IF(AND(('V06 Calend 01'!E15&gt;0),(69&gt;'V06 Calend 01'!C15),(69&lt;'V06 Calend 01'!D15),(MOD((69-'V06 Calend 01'!C15),6)=0),(((69-'V06 Calend 01'!C15)/6)&lt;='V06 Calend 01'!E15)),IF((69=('V06 Calend 01'!C15+(6*'V06 Calend 01'!E15))),('V06 Calend 01'!H15-('V06 Calend 01'!I15*('V06 Calend 01'!E15-1))),'V06 Calend 01'!I15),0))+IF((69='V06 Calend 01'!D15),'V06 Calend 01'!J15,0))</f>
        <v>0</v>
      </c>
      <c r="CD15" s="2">
        <f>((IF((70='V06 Calend 01'!C15),('V06 Calend 01'!F15+'V06 Calend 01'!G15),0)+IF(AND(('V06 Calend 01'!E15&gt;0),(70&gt;'V06 Calend 01'!C15),(70&lt;'V06 Calend 01'!D15),(MOD((70-'V06 Calend 01'!C15),6)=0),(((70-'V06 Calend 01'!C15)/6)&lt;='V06 Calend 01'!E15)),IF((70=('V06 Calend 01'!C15+(6*'V06 Calend 01'!E15))),('V06 Calend 01'!H15-('V06 Calend 01'!I15*('V06 Calend 01'!E15-1))),'V06 Calend 01'!I15),0))+IF((70='V06 Calend 01'!D15),'V06 Calend 01'!J15,0))</f>
        <v>0</v>
      </c>
      <c r="CE15" s="2">
        <f>((IF((71='V06 Calend 01'!C15),('V06 Calend 01'!F15+'V06 Calend 01'!G15),0)+IF(AND(('V06 Calend 01'!E15&gt;0),(71&gt;'V06 Calend 01'!C15),(71&lt;'V06 Calend 01'!D15),(MOD((71-'V06 Calend 01'!C15),6)=0),(((71-'V06 Calend 01'!C15)/6)&lt;='V06 Calend 01'!E15)),IF((71=('V06 Calend 01'!C15+(6*'V06 Calend 01'!E15))),('V06 Calend 01'!H15-('V06 Calend 01'!I15*('V06 Calend 01'!E15-1))),'V06 Calend 01'!I15),0))+IF((71='V06 Calend 01'!D15),'V06 Calend 01'!J15,0))</f>
        <v>0</v>
      </c>
      <c r="CF15" s="2">
        <f>((IF((72='V06 Calend 01'!C15),('V06 Calend 01'!F15+'V06 Calend 01'!G15),0)+IF(AND(('V06 Calend 01'!E15&gt;0),(72&gt;'V06 Calend 01'!C15),(72&lt;'V06 Calend 01'!D15),(MOD((72-'V06 Calend 01'!C15),6)=0),(((72-'V06 Calend 01'!C15)/6)&lt;='V06 Calend 01'!E15)),IF((72=('V06 Calend 01'!C15+(6*'V06 Calend 01'!E15))),('V06 Calend 01'!H15-('V06 Calend 01'!I15*('V06 Calend 01'!E15-1))),'V06 Calend 01'!I15),0))+IF((72='V06 Calend 01'!D15),'V06 Calend 01'!J15,0))</f>
        <v>0</v>
      </c>
      <c r="CG15" s="2">
        <f>((IF((73='V06 Calend 01'!C15),('V06 Calend 01'!F15+'V06 Calend 01'!G15),0)+IF(AND(('V06 Calend 01'!E15&gt;0),(73&gt;'V06 Calend 01'!C15),(73&lt;'V06 Calend 01'!D15),(MOD((73-'V06 Calend 01'!C15),6)=0),(((73-'V06 Calend 01'!C15)/6)&lt;='V06 Calend 01'!E15)),IF((73=('V06 Calend 01'!C15+(6*'V06 Calend 01'!E15))),('V06 Calend 01'!H15-('V06 Calend 01'!I15*('V06 Calend 01'!E15-1))),'V06 Calend 01'!I15),0))+IF((73='V06 Calend 01'!D15),'V06 Calend 01'!J15,0))</f>
        <v>0</v>
      </c>
      <c r="CH15" s="2">
        <f>((IF((74='V06 Calend 01'!C15),('V06 Calend 01'!F15+'V06 Calend 01'!G15),0)+IF(AND(('V06 Calend 01'!E15&gt;0),(74&gt;'V06 Calend 01'!C15),(74&lt;'V06 Calend 01'!D15),(MOD((74-'V06 Calend 01'!C15),6)=0),(((74-'V06 Calend 01'!C15)/6)&lt;='V06 Calend 01'!E15)),IF((74=('V06 Calend 01'!C15+(6*'V06 Calend 01'!E15))),('V06 Calend 01'!H15-('V06 Calend 01'!I15*('V06 Calend 01'!E15-1))),'V06 Calend 01'!I15),0))+IF((74='V06 Calend 01'!D15),'V06 Calend 01'!J15,0))</f>
        <v>0</v>
      </c>
      <c r="CI15" s="2">
        <f>((IF((75='V06 Calend 01'!C15),('V06 Calend 01'!F15+'V06 Calend 01'!G15),0)+IF(AND(('V06 Calend 01'!E15&gt;0),(75&gt;'V06 Calend 01'!C15),(75&lt;'V06 Calend 01'!D15),(MOD((75-'V06 Calend 01'!C15),6)=0),(((75-'V06 Calend 01'!C15)/6)&lt;='V06 Calend 01'!E15)),IF((75=('V06 Calend 01'!C15+(6*'V06 Calend 01'!E15))),('V06 Calend 01'!H15-('V06 Calend 01'!I15*('V06 Calend 01'!E15-1))),'V06 Calend 01'!I15),0))+IF((75='V06 Calend 01'!D15),'V06 Calend 01'!J15,0))</f>
        <v>0</v>
      </c>
      <c r="CJ15" s="2">
        <f>((IF((76='V06 Calend 01'!C15),('V06 Calend 01'!F15+'V06 Calend 01'!G15),0)+IF(AND(('V06 Calend 01'!E15&gt;0),(76&gt;'V06 Calend 01'!C15),(76&lt;'V06 Calend 01'!D15),(MOD((76-'V06 Calend 01'!C15),6)=0),(((76-'V06 Calend 01'!C15)/6)&lt;='V06 Calend 01'!E15)),IF((76=('V06 Calend 01'!C15+(6*'V06 Calend 01'!E15))),('V06 Calend 01'!H15-('V06 Calend 01'!I15*('V06 Calend 01'!E15-1))),'V06 Calend 01'!I15),0))+IF((76='V06 Calend 01'!D15),'V06 Calend 01'!J15,0))</f>
        <v>0</v>
      </c>
      <c r="CK15" s="2">
        <f>((IF((77='V06 Calend 01'!C15),('V06 Calend 01'!F15+'V06 Calend 01'!G15),0)+IF(AND(('V06 Calend 01'!E15&gt;0),(77&gt;'V06 Calend 01'!C15),(77&lt;'V06 Calend 01'!D15),(MOD((77-'V06 Calend 01'!C15),6)=0),(((77-'V06 Calend 01'!C15)/6)&lt;='V06 Calend 01'!E15)),IF((77=('V06 Calend 01'!C15+(6*'V06 Calend 01'!E15))),('V06 Calend 01'!H15-('V06 Calend 01'!I15*('V06 Calend 01'!E15-1))),'V06 Calend 01'!I15),0))+IF((77='V06 Calend 01'!D15),'V06 Calend 01'!J15,0))</f>
        <v>0</v>
      </c>
      <c r="CL15" s="2">
        <f>((IF((78='V06 Calend 01'!C15),('V06 Calend 01'!F15+'V06 Calend 01'!G15),0)+IF(AND(('V06 Calend 01'!E15&gt;0),(78&gt;'V06 Calend 01'!C15),(78&lt;'V06 Calend 01'!D15),(MOD((78-'V06 Calend 01'!C15),6)=0),(((78-'V06 Calend 01'!C15)/6)&lt;='V06 Calend 01'!E15)),IF((78=('V06 Calend 01'!C15+(6*'V06 Calend 01'!E15))),('V06 Calend 01'!H15-('V06 Calend 01'!I15*('V06 Calend 01'!E15-1))),'V06 Calend 01'!I15),0))+IF((78='V06 Calend 01'!D15),'V06 Calend 01'!J15,0))</f>
        <v>0</v>
      </c>
      <c r="CM15" s="2">
        <f>((IF((79='V06 Calend 01'!C15),('V06 Calend 01'!F15+'V06 Calend 01'!G15),0)+IF(AND(('V06 Calend 01'!E15&gt;0),(79&gt;'V06 Calend 01'!C15),(79&lt;'V06 Calend 01'!D15),(MOD((79-'V06 Calend 01'!C15),6)=0),(((79-'V06 Calend 01'!C15)/6)&lt;='V06 Calend 01'!E15)),IF((79=('V06 Calend 01'!C15+(6*'V06 Calend 01'!E15))),('V06 Calend 01'!H15-('V06 Calend 01'!I15*('V06 Calend 01'!E15-1))),'V06 Calend 01'!I15),0))+IF((79='V06 Calend 01'!D15),'V06 Calend 01'!J15,0))</f>
        <v>0</v>
      </c>
      <c r="CN15" s="2">
        <f>((IF((80='V06 Calend 01'!C15),('V06 Calend 01'!F15+'V06 Calend 01'!G15),0)+IF(AND(('V06 Calend 01'!E15&gt;0),(80&gt;'V06 Calend 01'!C15),(80&lt;'V06 Calend 01'!D15),(MOD((80-'V06 Calend 01'!C15),6)=0),(((80-'V06 Calend 01'!C15)/6)&lt;='V06 Calend 01'!E15)),IF((80=('V06 Calend 01'!C15+(6*'V06 Calend 01'!E15))),('V06 Calend 01'!H15-('V06 Calend 01'!I15*('V06 Calend 01'!E15-1))),'V06 Calend 01'!I15),0))+IF((80='V06 Calend 01'!D15),'V06 Calend 01'!J15,0))</f>
        <v>0</v>
      </c>
      <c r="CO15" s="2">
        <f>((IF((81='V06 Calend 01'!C15),('V06 Calend 01'!F15+'V06 Calend 01'!G15),0)+IF(AND(('V06 Calend 01'!E15&gt;0),(81&gt;'V06 Calend 01'!C15),(81&lt;'V06 Calend 01'!D15),(MOD((81-'V06 Calend 01'!C15),6)=0),(((81-'V06 Calend 01'!C15)/6)&lt;='V06 Calend 01'!E15)),IF((81=('V06 Calend 01'!C15+(6*'V06 Calend 01'!E15))),('V06 Calend 01'!H15-('V06 Calend 01'!I15*('V06 Calend 01'!E15-1))),'V06 Calend 01'!I15),0))+IF((81='V06 Calend 01'!D15),'V06 Calend 01'!J15,0))</f>
        <v>0</v>
      </c>
      <c r="CP15" s="2">
        <f>((IF((82='V06 Calend 01'!C15),('V06 Calend 01'!F15+'V06 Calend 01'!G15),0)+IF(AND(('V06 Calend 01'!E15&gt;0),(82&gt;'V06 Calend 01'!C15),(82&lt;'V06 Calend 01'!D15),(MOD((82-'V06 Calend 01'!C15),6)=0),(((82-'V06 Calend 01'!C15)/6)&lt;='V06 Calend 01'!E15)),IF((82=('V06 Calend 01'!C15+(6*'V06 Calend 01'!E15))),('V06 Calend 01'!H15-('V06 Calend 01'!I15*('V06 Calend 01'!E15-1))),'V06 Calend 01'!I15),0))+IF((82='V06 Calend 01'!D15),'V06 Calend 01'!J15,0))</f>
        <v>0</v>
      </c>
      <c r="CQ15" s="2">
        <f>((IF((83='V06 Calend 01'!C15),('V06 Calend 01'!F15+'V06 Calend 01'!G15),0)+IF(AND(('V06 Calend 01'!E15&gt;0),(83&gt;'V06 Calend 01'!C15),(83&lt;'V06 Calend 01'!D15),(MOD((83-'V06 Calend 01'!C15),6)=0),(((83-'V06 Calend 01'!C15)/6)&lt;='V06 Calend 01'!E15)),IF((83=('V06 Calend 01'!C15+(6*'V06 Calend 01'!E15))),('V06 Calend 01'!H15-('V06 Calend 01'!I15*('V06 Calend 01'!E15-1))),'V06 Calend 01'!I15),0))+IF((83='V06 Calend 01'!D15),'V06 Calend 01'!J15,0))</f>
        <v>0</v>
      </c>
      <c r="CR15" s="2">
        <f>((IF((84='V06 Calend 01'!C15),('V06 Calend 01'!F15+'V06 Calend 01'!G15),0)+IF(AND(('V06 Calend 01'!E15&gt;0),(84&gt;'V06 Calend 01'!C15),(84&lt;'V06 Calend 01'!D15),(MOD((84-'V06 Calend 01'!C15),6)=0),(((84-'V06 Calend 01'!C15)/6)&lt;='V06 Calend 01'!E15)),IF((84=('V06 Calend 01'!C15+(6*'V06 Calend 01'!E15))),('V06 Calend 01'!H15-('V06 Calend 01'!I15*('V06 Calend 01'!E15-1))),'V06 Calend 01'!I15),0))+IF((84='V06 Calend 01'!D15),'V06 Calend 01'!J15,0))</f>
        <v>0</v>
      </c>
      <c r="CS15" s="2">
        <f>((IF((85='V06 Calend 01'!C15),('V06 Calend 01'!F15+'V06 Calend 01'!G15),0)+IF(AND(('V06 Calend 01'!E15&gt;0),(85&gt;'V06 Calend 01'!C15),(85&lt;'V06 Calend 01'!D15),(MOD((85-'V06 Calend 01'!C15),6)=0),(((85-'V06 Calend 01'!C15)/6)&lt;='V06 Calend 01'!E15)),IF((85=('V06 Calend 01'!C15+(6*'V06 Calend 01'!E15))),('V06 Calend 01'!H15-('V06 Calend 01'!I15*('V06 Calend 01'!E15-1))),'V06 Calend 01'!I15),0))+IF((85='V06 Calend 01'!D15),'V06 Calend 01'!J15,0))</f>
        <v>0</v>
      </c>
      <c r="CT15" s="2">
        <f>((IF((86='V06 Calend 01'!C15),('V06 Calend 01'!F15+'V06 Calend 01'!G15),0)+IF(AND(('V06 Calend 01'!E15&gt;0),(86&gt;'V06 Calend 01'!C15),(86&lt;'V06 Calend 01'!D15),(MOD((86-'V06 Calend 01'!C15),6)=0),(((86-'V06 Calend 01'!C15)/6)&lt;='V06 Calend 01'!E15)),IF((86=('V06 Calend 01'!C15+(6*'V06 Calend 01'!E15))),('V06 Calend 01'!H15-('V06 Calend 01'!I15*('V06 Calend 01'!E15-1))),'V06 Calend 01'!I15),0))+IF((86='V06 Calend 01'!D15),'V06 Calend 01'!J15,0))</f>
        <v>0</v>
      </c>
      <c r="CU15" s="2">
        <f>((IF((87='V06 Calend 01'!C15),('V06 Calend 01'!F15+'V06 Calend 01'!G15),0)+IF(AND(('V06 Calend 01'!E15&gt;0),(87&gt;'V06 Calend 01'!C15),(87&lt;'V06 Calend 01'!D15),(MOD((87-'V06 Calend 01'!C15),6)=0),(((87-'V06 Calend 01'!C15)/6)&lt;='V06 Calend 01'!E15)),IF((87=('V06 Calend 01'!C15+(6*'V06 Calend 01'!E15))),('V06 Calend 01'!H15-('V06 Calend 01'!I15*('V06 Calend 01'!E15-1))),'V06 Calend 01'!I15),0))+IF((87='V06 Calend 01'!D15),'V06 Calend 01'!J15,0))</f>
        <v>0</v>
      </c>
      <c r="CV15" s="2">
        <f>((IF((88='V06 Calend 01'!C15),('V06 Calend 01'!F15+'V06 Calend 01'!G15),0)+IF(AND(('V06 Calend 01'!E15&gt;0),(88&gt;'V06 Calend 01'!C15),(88&lt;'V06 Calend 01'!D15),(MOD((88-'V06 Calend 01'!C15),6)=0),(((88-'V06 Calend 01'!C15)/6)&lt;='V06 Calend 01'!E15)),IF((88=('V06 Calend 01'!C15+(6*'V06 Calend 01'!E15))),('V06 Calend 01'!H15-('V06 Calend 01'!I15*('V06 Calend 01'!E15-1))),'V06 Calend 01'!I15),0))+IF((88='V06 Calend 01'!D15),'V06 Calend 01'!J15,0))</f>
        <v>0</v>
      </c>
      <c r="CW15" s="2">
        <f>((IF((89='V06 Calend 01'!C15),('V06 Calend 01'!F15+'V06 Calend 01'!G15),0)+IF(AND(('V06 Calend 01'!E15&gt;0),(89&gt;'V06 Calend 01'!C15),(89&lt;'V06 Calend 01'!D15),(MOD((89-'V06 Calend 01'!C15),6)=0),(((89-'V06 Calend 01'!C15)/6)&lt;='V06 Calend 01'!E15)),IF((89=('V06 Calend 01'!C15+(6*'V06 Calend 01'!E15))),('V06 Calend 01'!H15-('V06 Calend 01'!I15*('V06 Calend 01'!E15-1))),'V06 Calend 01'!I15),0))+IF((89='V06 Calend 01'!D15),'V06 Calend 01'!J15,0))</f>
        <v>0</v>
      </c>
      <c r="CX15" s="2">
        <f>((IF((90='V06 Calend 01'!C15),('V06 Calend 01'!F15+'V06 Calend 01'!G15),0)+IF(AND(('V06 Calend 01'!E15&gt;0),(90&gt;'V06 Calend 01'!C15),(90&lt;'V06 Calend 01'!D15),(MOD((90-'V06 Calend 01'!C15),6)=0),(((90-'V06 Calend 01'!C15)/6)&lt;='V06 Calend 01'!E15)),IF((90=('V06 Calend 01'!C15+(6*'V06 Calend 01'!E15))),('V06 Calend 01'!H15-('V06 Calend 01'!I15*('V06 Calend 01'!E15-1))),'V06 Calend 01'!I15),0))+IF((90='V06 Calend 01'!D15),'V06 Calend 01'!J15,0))</f>
        <v>0</v>
      </c>
      <c r="CY15" s="2">
        <f>((IF((91='V06 Calend 01'!C15),('V06 Calend 01'!F15+'V06 Calend 01'!G15),0)+IF(AND(('V06 Calend 01'!E15&gt;0),(91&gt;'V06 Calend 01'!C15),(91&lt;'V06 Calend 01'!D15),(MOD((91-'V06 Calend 01'!C15),6)=0),(((91-'V06 Calend 01'!C15)/6)&lt;='V06 Calend 01'!E15)),IF((91=('V06 Calend 01'!C15+(6*'V06 Calend 01'!E15))),('V06 Calend 01'!H15-('V06 Calend 01'!I15*('V06 Calend 01'!E15-1))),'V06 Calend 01'!I15),0))+IF((91='V06 Calend 01'!D15),'V06 Calend 01'!J15,0))</f>
        <v>0</v>
      </c>
      <c r="CZ15" s="2">
        <f>((IF((92='V06 Calend 01'!C15),('V06 Calend 01'!F15+'V06 Calend 01'!G15),0)+IF(AND(('V06 Calend 01'!E15&gt;0),(92&gt;'V06 Calend 01'!C15),(92&lt;'V06 Calend 01'!D15),(MOD((92-'V06 Calend 01'!C15),6)=0),(((92-'V06 Calend 01'!C15)/6)&lt;='V06 Calend 01'!E15)),IF((92=('V06 Calend 01'!C15+(6*'V06 Calend 01'!E15))),('V06 Calend 01'!H15-('V06 Calend 01'!I15*('V06 Calend 01'!E15-1))),'V06 Calend 01'!I15),0))+IF((92='V06 Calend 01'!D15),'V06 Calend 01'!J15,0))</f>
        <v>0</v>
      </c>
      <c r="DA15" s="2">
        <f>((IF((93='V06 Calend 01'!C15),('V06 Calend 01'!F15+'V06 Calend 01'!G15),0)+IF(AND(('V06 Calend 01'!E15&gt;0),(93&gt;'V06 Calend 01'!C15),(93&lt;'V06 Calend 01'!D15),(MOD((93-'V06 Calend 01'!C15),6)=0),(((93-'V06 Calend 01'!C15)/6)&lt;='V06 Calend 01'!E15)),IF((93=('V06 Calend 01'!C15+(6*'V06 Calend 01'!E15))),('V06 Calend 01'!H15-('V06 Calend 01'!I15*('V06 Calend 01'!E15-1))),'V06 Calend 01'!I15),0))+IF((93='V06 Calend 01'!D15),'V06 Calend 01'!J15,0))</f>
        <v>0</v>
      </c>
      <c r="DB15" s="2">
        <f>((IF((94='V06 Calend 01'!C15),('V06 Calend 01'!F15+'V06 Calend 01'!G15),0)+IF(AND(('V06 Calend 01'!E15&gt;0),(94&gt;'V06 Calend 01'!C15),(94&lt;'V06 Calend 01'!D15),(MOD((94-'V06 Calend 01'!C15),6)=0),(((94-'V06 Calend 01'!C15)/6)&lt;='V06 Calend 01'!E15)),IF((94=('V06 Calend 01'!C15+(6*'V06 Calend 01'!E15))),('V06 Calend 01'!H15-('V06 Calend 01'!I15*('V06 Calend 01'!E15-1))),'V06 Calend 01'!I15),0))+IF((94='V06 Calend 01'!D15),'V06 Calend 01'!J15,0))</f>
        <v>0</v>
      </c>
      <c r="DC15" s="2">
        <f>((IF((95='V06 Calend 01'!C15),('V06 Calend 01'!F15+'V06 Calend 01'!G15),0)+IF(AND(('V06 Calend 01'!E15&gt;0),(95&gt;'V06 Calend 01'!C15),(95&lt;'V06 Calend 01'!D15),(MOD((95-'V06 Calend 01'!C15),6)=0),(((95-'V06 Calend 01'!C15)/6)&lt;='V06 Calend 01'!E15)),IF((95=('V06 Calend 01'!C15+(6*'V06 Calend 01'!E15))),('V06 Calend 01'!H15-('V06 Calend 01'!I15*('V06 Calend 01'!E15-1))),'V06 Calend 01'!I15),0))+IF((95='V06 Calend 01'!D15),'V06 Calend 01'!J15,0))</f>
        <v>0</v>
      </c>
      <c r="DD15" s="2">
        <f>((IF((96='V06 Calend 01'!C15),('V06 Calend 01'!F15+'V06 Calend 01'!G15),0)+IF(AND(('V06 Calend 01'!E15&gt;0),(96&gt;'V06 Calend 01'!C15),(96&lt;'V06 Calend 01'!D15),(MOD((96-'V06 Calend 01'!C15),6)=0),(((96-'V06 Calend 01'!C15)/6)&lt;='V06 Calend 01'!E15)),IF((96=('V06 Calend 01'!C15+(6*'V06 Calend 01'!E15))),('V06 Calend 01'!H15-('V06 Calend 01'!I15*('V06 Calend 01'!E15-1))),'V06 Calend 01'!I15),0))+IF((96='V06 Calend 01'!D15),'V06 Calend 01'!J15,0))</f>
        <v>0</v>
      </c>
      <c r="DE15" s="2">
        <f>((IF((97='V06 Calend 01'!C15),('V06 Calend 01'!F15+'V06 Calend 01'!G15),0)+IF(AND(('V06 Calend 01'!E15&gt;0),(97&gt;'V06 Calend 01'!C15),(97&lt;'V06 Calend 01'!D15),(MOD((97-'V06 Calend 01'!C15),6)=0),(((97-'V06 Calend 01'!C15)/6)&lt;='V06 Calend 01'!E15)),IF((97=('V06 Calend 01'!C15+(6*'V06 Calend 01'!E15))),('V06 Calend 01'!H15-('V06 Calend 01'!I15*('V06 Calend 01'!E15-1))),'V06 Calend 01'!I15),0))+IF((97='V06 Calend 01'!D15),'V06 Calend 01'!J15,0))</f>
        <v>0</v>
      </c>
      <c r="DF15" s="2">
        <f>((IF((98='V06 Calend 01'!C15),('V06 Calend 01'!F15+'V06 Calend 01'!G15),0)+IF(AND(('V06 Calend 01'!E15&gt;0),(98&gt;'V06 Calend 01'!C15),(98&lt;'V06 Calend 01'!D15),(MOD((98-'V06 Calend 01'!C15),6)=0),(((98-'V06 Calend 01'!C15)/6)&lt;='V06 Calend 01'!E15)),IF((98=('V06 Calend 01'!C15+(6*'V06 Calend 01'!E15))),('V06 Calend 01'!H15-('V06 Calend 01'!I15*('V06 Calend 01'!E15-1))),'V06 Calend 01'!I15),0))+IF((98='V06 Calend 01'!D15),'V06 Calend 01'!J15,0))</f>
        <v>0</v>
      </c>
      <c r="DG15" s="2">
        <f>((IF((99='V06 Calend 01'!C15),('V06 Calend 01'!F15+'V06 Calend 01'!G15),0)+IF(AND(('V06 Calend 01'!E15&gt;0),(99&gt;'V06 Calend 01'!C15),(99&lt;'V06 Calend 01'!D15),(MOD((99-'V06 Calend 01'!C15),6)=0),(((99-'V06 Calend 01'!C15)/6)&lt;='V06 Calend 01'!E15)),IF((99=('V06 Calend 01'!C15+(6*'V06 Calend 01'!E15))),('V06 Calend 01'!H15-('V06 Calend 01'!I15*('V06 Calend 01'!E15-1))),'V06 Calend 01'!I15),0))+IF((99='V06 Calend 01'!D15),'V06 Calend 01'!J15,0))</f>
        <v>0</v>
      </c>
      <c r="DH15" s="2">
        <f>((IF((100='V06 Calend 01'!C15),('V06 Calend 01'!F15+'V06 Calend 01'!G15),0)+IF(AND(('V06 Calend 01'!E15&gt;0),(100&gt;'V06 Calend 01'!C15),(100&lt;'V06 Calend 01'!D15),(MOD((100-'V06 Calend 01'!C15),6)=0),(((100-'V06 Calend 01'!C15)/6)&lt;='V06 Calend 01'!E15)),IF((100=('V06 Calend 01'!C15+(6*'V06 Calend 01'!E15))),('V06 Calend 01'!H15-('V06 Calend 01'!I15*('V06 Calend 01'!E15-1))),'V06 Calend 01'!I15),0))+IF((100='V06 Calend 01'!D15),'V06 Calend 01'!J15,0))</f>
        <v>0</v>
      </c>
      <c r="DI15" s="2">
        <f>((IF((101='V06 Calend 01'!C15),('V06 Calend 01'!F15+'V06 Calend 01'!G15),0)+IF(AND(('V06 Calend 01'!E15&gt;0),(101&gt;'V06 Calend 01'!C15),(101&lt;'V06 Calend 01'!D15),(MOD((101-'V06 Calend 01'!C15),6)=0),(((101-'V06 Calend 01'!C15)/6)&lt;='V06 Calend 01'!E15)),IF((101=('V06 Calend 01'!C15+(6*'V06 Calend 01'!E15))),('V06 Calend 01'!H15-('V06 Calend 01'!I15*('V06 Calend 01'!E15-1))),'V06 Calend 01'!I15),0))+IF((101='V06 Calend 01'!D15),'V06 Calend 01'!J15,0))</f>
        <v>0</v>
      </c>
      <c r="DJ15" s="2">
        <f>((IF((102='V06 Calend 01'!C15),('V06 Calend 01'!F15+'V06 Calend 01'!G15),0)+IF(AND(('V06 Calend 01'!E15&gt;0),(102&gt;'V06 Calend 01'!C15),(102&lt;'V06 Calend 01'!D15),(MOD((102-'V06 Calend 01'!C15),6)=0),(((102-'V06 Calend 01'!C15)/6)&lt;='V06 Calend 01'!E15)),IF((102=('V06 Calend 01'!C15+(6*'V06 Calend 01'!E15))),('V06 Calend 01'!H15-('V06 Calend 01'!I15*('V06 Calend 01'!E15-1))),'V06 Calend 01'!I15),0))+IF((102='V06 Calend 01'!D15),'V06 Calend 01'!J15,0))</f>
        <v>0</v>
      </c>
      <c r="DK15" s="2">
        <f>((IF((103='V06 Calend 01'!C15),('V06 Calend 01'!F15+'V06 Calend 01'!G15),0)+IF(AND(('V06 Calend 01'!E15&gt;0),(103&gt;'V06 Calend 01'!C15),(103&lt;'V06 Calend 01'!D15),(MOD((103-'V06 Calend 01'!C15),6)=0),(((103-'V06 Calend 01'!C15)/6)&lt;='V06 Calend 01'!E15)),IF((103=('V06 Calend 01'!C15+(6*'V06 Calend 01'!E15))),('V06 Calend 01'!H15-('V06 Calend 01'!I15*('V06 Calend 01'!E15-1))),'V06 Calend 01'!I15),0))+IF((103='V06 Calend 01'!D15),'V06 Calend 01'!J15,0))</f>
        <v>0</v>
      </c>
      <c r="DL15" s="2">
        <f>((IF((104='V06 Calend 01'!C15),('V06 Calend 01'!F15+'V06 Calend 01'!G15),0)+IF(AND(('V06 Calend 01'!E15&gt;0),(104&gt;'V06 Calend 01'!C15),(104&lt;'V06 Calend 01'!D15),(MOD((104-'V06 Calend 01'!C15),6)=0),(((104-'V06 Calend 01'!C15)/6)&lt;='V06 Calend 01'!E15)),IF((104=('V06 Calend 01'!C15+(6*'V06 Calend 01'!E15))),('V06 Calend 01'!H15-('V06 Calend 01'!I15*('V06 Calend 01'!E15-1))),'V06 Calend 01'!I15),0))+IF((104='V06 Calend 01'!D15),'V06 Calend 01'!J15,0))</f>
        <v>0</v>
      </c>
      <c r="DM15" s="2">
        <f>((IF((105='V06 Calend 01'!C15),('V06 Calend 01'!F15+'V06 Calend 01'!G15),0)+IF(AND(('V06 Calend 01'!E15&gt;0),(105&gt;'V06 Calend 01'!C15),(105&lt;'V06 Calend 01'!D15),(MOD((105-'V06 Calend 01'!C15),6)=0),(((105-'V06 Calend 01'!C15)/6)&lt;='V06 Calend 01'!E15)),IF((105=('V06 Calend 01'!C15+(6*'V06 Calend 01'!E15))),('V06 Calend 01'!H15-('V06 Calend 01'!I15*('V06 Calend 01'!E15-1))),'V06 Calend 01'!I15),0))+IF((105='V06 Calend 01'!D15),'V06 Calend 01'!J15,0))</f>
        <v>0</v>
      </c>
      <c r="DN15" s="2">
        <f>((IF((106='V06 Calend 01'!C15),('V06 Calend 01'!F15+'V06 Calend 01'!G15),0)+IF(AND(('V06 Calend 01'!E15&gt;0),(106&gt;'V06 Calend 01'!C15),(106&lt;'V06 Calend 01'!D15),(MOD((106-'V06 Calend 01'!C15),6)=0),(((106-'V06 Calend 01'!C15)/6)&lt;='V06 Calend 01'!E15)),IF((106=('V06 Calend 01'!C15+(6*'V06 Calend 01'!E15))),('V06 Calend 01'!H15-('V06 Calend 01'!I15*('V06 Calend 01'!E15-1))),'V06 Calend 01'!I15),0))+IF((106='V06 Calend 01'!D15),'V06 Calend 01'!J15,0))</f>
        <v>0</v>
      </c>
      <c r="DO15" s="2">
        <f>((IF((107='V06 Calend 01'!C15),('V06 Calend 01'!F15+'V06 Calend 01'!G15),0)+IF(AND(('V06 Calend 01'!E15&gt;0),(107&gt;'V06 Calend 01'!C15),(107&lt;'V06 Calend 01'!D15),(MOD((107-'V06 Calend 01'!C15),6)=0),(((107-'V06 Calend 01'!C15)/6)&lt;='V06 Calend 01'!E15)),IF((107=('V06 Calend 01'!C15+(6*'V06 Calend 01'!E15))),('V06 Calend 01'!H15-('V06 Calend 01'!I15*('V06 Calend 01'!E15-1))),'V06 Calend 01'!I15),0))+IF((107='V06 Calend 01'!D15),'V06 Calend 01'!J15,0))</f>
        <v>0</v>
      </c>
      <c r="DP15" s="2">
        <f>((IF((108='V06 Calend 01'!C15),('V06 Calend 01'!F15+'V06 Calend 01'!G15),0)+IF(AND(('V06 Calend 01'!E15&gt;0),(108&gt;'V06 Calend 01'!C15),(108&lt;'V06 Calend 01'!D15),(MOD((108-'V06 Calend 01'!C15),6)=0),(((108-'V06 Calend 01'!C15)/6)&lt;='V06 Calend 01'!E15)),IF((108=('V06 Calend 01'!C15+(6*'V06 Calend 01'!E15))),('V06 Calend 01'!H15-('V06 Calend 01'!I15*('V06 Calend 01'!E15-1))),'V06 Calend 01'!I15),0))+IF((108='V06 Calend 01'!D15),'V06 Calend 01'!J15,0))</f>
        <v>0</v>
      </c>
      <c r="DQ15" s="2">
        <f>((IF((109='V06 Calend 01'!C15),('V06 Calend 01'!F15+'V06 Calend 01'!G15),0)+IF(AND(('V06 Calend 01'!E15&gt;0),(109&gt;'V06 Calend 01'!C15),(109&lt;'V06 Calend 01'!D15),(MOD((109-'V06 Calend 01'!C15),6)=0),(((109-'V06 Calend 01'!C15)/6)&lt;='V06 Calend 01'!E15)),IF((109=('V06 Calend 01'!C15+(6*'V06 Calend 01'!E15))),('V06 Calend 01'!H15-('V06 Calend 01'!I15*('V06 Calend 01'!E15-1))),'V06 Calend 01'!I15),0))+IF((109='V06 Calend 01'!D15),'V06 Calend 01'!J15,0))</f>
        <v>0</v>
      </c>
      <c r="DR15" s="2">
        <f>((IF((110='V06 Calend 01'!C15),('V06 Calend 01'!F15+'V06 Calend 01'!G15),0)+IF(AND(('V06 Calend 01'!E15&gt;0),(110&gt;'V06 Calend 01'!C15),(110&lt;'V06 Calend 01'!D15),(MOD((110-'V06 Calend 01'!C15),6)=0),(((110-'V06 Calend 01'!C15)/6)&lt;='V06 Calend 01'!E15)),IF((110=('V06 Calend 01'!C15+(6*'V06 Calend 01'!E15))),('V06 Calend 01'!H15-('V06 Calend 01'!I15*('V06 Calend 01'!E15-1))),'V06 Calend 01'!I15),0))+IF((110='V06 Calend 01'!D15),'V06 Calend 01'!J15,0))</f>
        <v>0</v>
      </c>
      <c r="DS15" s="2">
        <f>((IF((111='V06 Calend 01'!C15),('V06 Calend 01'!F15+'V06 Calend 01'!G15),0)+IF(AND(('V06 Calend 01'!E15&gt;0),(111&gt;'V06 Calend 01'!C15),(111&lt;'V06 Calend 01'!D15),(MOD((111-'V06 Calend 01'!C15),6)=0),(((111-'V06 Calend 01'!C15)/6)&lt;='V06 Calend 01'!E15)),IF((111=('V06 Calend 01'!C15+(6*'V06 Calend 01'!E15))),('V06 Calend 01'!H15-('V06 Calend 01'!I15*('V06 Calend 01'!E15-1))),'V06 Calend 01'!I15),0))+IF((111='V06 Calend 01'!D15),'V06 Calend 01'!J15,0))</f>
        <v>0</v>
      </c>
      <c r="DT15" s="2">
        <f>((IF((112='V06 Calend 01'!C15),('V06 Calend 01'!F15+'V06 Calend 01'!G15),0)+IF(AND(('V06 Calend 01'!E15&gt;0),(112&gt;'V06 Calend 01'!C15),(112&lt;'V06 Calend 01'!D15),(MOD((112-'V06 Calend 01'!C15),6)=0),(((112-'V06 Calend 01'!C15)/6)&lt;='V06 Calend 01'!E15)),IF((112=('V06 Calend 01'!C15+(6*'V06 Calend 01'!E15))),('V06 Calend 01'!H15-('V06 Calend 01'!I15*('V06 Calend 01'!E15-1))),'V06 Calend 01'!I15),0))+IF((112='V06 Calend 01'!D15),'V06 Calend 01'!J15,0))</f>
        <v>0</v>
      </c>
      <c r="DU15" s="2">
        <f>((IF((113='V06 Calend 01'!C15),('V06 Calend 01'!F15+'V06 Calend 01'!G15),0)+IF(AND(('V06 Calend 01'!E15&gt;0),(113&gt;'V06 Calend 01'!C15),(113&lt;'V06 Calend 01'!D15),(MOD((113-'V06 Calend 01'!C15),6)=0),(((113-'V06 Calend 01'!C15)/6)&lt;='V06 Calend 01'!E15)),IF((113=('V06 Calend 01'!C15+(6*'V06 Calend 01'!E15))),('V06 Calend 01'!H15-('V06 Calend 01'!I15*('V06 Calend 01'!E15-1))),'V06 Calend 01'!I15),0))+IF((113='V06 Calend 01'!D15),'V06 Calend 01'!J15,0))</f>
        <v>0</v>
      </c>
      <c r="DV15" s="2">
        <f>((IF((114='V06 Calend 01'!C15),('V06 Calend 01'!F15+'V06 Calend 01'!G15),0)+IF(AND(('V06 Calend 01'!E15&gt;0),(114&gt;'V06 Calend 01'!C15),(114&lt;'V06 Calend 01'!D15),(MOD((114-'V06 Calend 01'!C15),6)=0),(((114-'V06 Calend 01'!C15)/6)&lt;='V06 Calend 01'!E15)),IF((114=('V06 Calend 01'!C15+(6*'V06 Calend 01'!E15))),('V06 Calend 01'!H15-('V06 Calend 01'!I15*('V06 Calend 01'!E15-1))),'V06 Calend 01'!I15),0))+IF((114='V06 Calend 01'!D15),'V06 Calend 01'!J15,0))</f>
        <v>0</v>
      </c>
      <c r="DW15" s="2">
        <f>((IF((115='V06 Calend 01'!C15),('V06 Calend 01'!F15+'V06 Calend 01'!G15),0)+IF(AND(('V06 Calend 01'!E15&gt;0),(115&gt;'V06 Calend 01'!C15),(115&lt;'V06 Calend 01'!D15),(MOD((115-'V06 Calend 01'!C15),6)=0),(((115-'V06 Calend 01'!C15)/6)&lt;='V06 Calend 01'!E15)),IF((115=('V06 Calend 01'!C15+(6*'V06 Calend 01'!E15))),('V06 Calend 01'!H15-('V06 Calend 01'!I15*('V06 Calend 01'!E15-1))),'V06 Calend 01'!I15),0))+IF((115='V06 Calend 01'!D15),'V06 Calend 01'!J15,0))</f>
        <v>0</v>
      </c>
      <c r="DX15" s="2">
        <f>((IF((116='V06 Calend 01'!C15),('V06 Calend 01'!F15+'V06 Calend 01'!G15),0)+IF(AND(('V06 Calend 01'!E15&gt;0),(116&gt;'V06 Calend 01'!C15),(116&lt;'V06 Calend 01'!D15),(MOD((116-'V06 Calend 01'!C15),6)=0),(((116-'V06 Calend 01'!C15)/6)&lt;='V06 Calend 01'!E15)),IF((116=('V06 Calend 01'!C15+(6*'V06 Calend 01'!E15))),('V06 Calend 01'!H15-('V06 Calend 01'!I15*('V06 Calend 01'!E15-1))),'V06 Calend 01'!I15),0))+IF((116='V06 Calend 01'!D15),'V06 Calend 01'!J15,0))</f>
        <v>0</v>
      </c>
      <c r="DY15" s="2">
        <f>((IF((117='V06 Calend 01'!C15),('V06 Calend 01'!F15+'V06 Calend 01'!G15),0)+IF(AND(('V06 Calend 01'!E15&gt;0),(117&gt;'V06 Calend 01'!C15),(117&lt;'V06 Calend 01'!D15),(MOD((117-'V06 Calend 01'!C15),6)=0),(((117-'V06 Calend 01'!C15)/6)&lt;='V06 Calend 01'!E15)),IF((117=('V06 Calend 01'!C15+(6*'V06 Calend 01'!E15))),('V06 Calend 01'!H15-('V06 Calend 01'!I15*('V06 Calend 01'!E15-1))),'V06 Calend 01'!I15),0))+IF((117='V06 Calend 01'!D15),'V06 Calend 01'!J15,0))</f>
        <v>0</v>
      </c>
      <c r="DZ15" s="2">
        <f>((IF((118='V06 Calend 01'!C15),('V06 Calend 01'!F15+'V06 Calend 01'!G15),0)+IF(AND(('V06 Calend 01'!E15&gt;0),(118&gt;'V06 Calend 01'!C15),(118&lt;'V06 Calend 01'!D15),(MOD((118-'V06 Calend 01'!C15),6)=0),(((118-'V06 Calend 01'!C15)/6)&lt;='V06 Calend 01'!E15)),IF((118=('V06 Calend 01'!C15+(6*'V06 Calend 01'!E15))),('V06 Calend 01'!H15-('V06 Calend 01'!I15*('V06 Calend 01'!E15-1))),'V06 Calend 01'!I15),0))+IF((118='V06 Calend 01'!D15),'V06 Calend 01'!J15,0))</f>
        <v>0</v>
      </c>
      <c r="EA15" s="2">
        <f>((IF((119='V06 Calend 01'!C15),('V06 Calend 01'!F15+'V06 Calend 01'!G15),0)+IF(AND(('V06 Calend 01'!E15&gt;0),(119&gt;'V06 Calend 01'!C15),(119&lt;'V06 Calend 01'!D15),(MOD((119-'V06 Calend 01'!C15),6)=0),(((119-'V06 Calend 01'!C15)/6)&lt;='V06 Calend 01'!E15)),IF((119=('V06 Calend 01'!C15+(6*'V06 Calend 01'!E15))),('V06 Calend 01'!H15-('V06 Calend 01'!I15*('V06 Calend 01'!E15-1))),'V06 Calend 01'!I15),0))+IF((119='V06 Calend 01'!D15),'V06 Calend 01'!J15,0))</f>
        <v>0</v>
      </c>
      <c r="EB15" s="2">
        <f>((IF((120='V06 Calend 01'!C15),('V06 Calend 01'!F15+'V06 Calend 01'!G15),0)+IF(AND(('V06 Calend 01'!E15&gt;0),(120&gt;'V06 Calend 01'!C15),(120&lt;'V06 Calend 01'!D15),(MOD((120-'V06 Calend 01'!C15),6)=0),(((120-'V06 Calend 01'!C15)/6)&lt;='V06 Calend 01'!E15)),IF((120=('V06 Calend 01'!C15+(6*'V06 Calend 01'!E15))),('V06 Calend 01'!H15-('V06 Calend 01'!I15*('V06 Calend 01'!E15-1))),'V06 Calend 01'!I15),0))+IF((120='V06 Calend 01'!D15),'V06 Calend 01'!J15,0))</f>
        <v>0</v>
      </c>
      <c r="EC15" s="2">
        <f>((IF((121='V06 Calend 01'!C15),('V06 Calend 01'!F15+'V06 Calend 01'!G15),0)+IF(AND(('V06 Calend 01'!E15&gt;0),(121&gt;'V06 Calend 01'!C15),(121&lt;'V06 Calend 01'!D15),(MOD((121-'V06 Calend 01'!C15),6)=0),(((121-'V06 Calend 01'!C15)/6)&lt;='V06 Calend 01'!E15)),IF((121=('V06 Calend 01'!C15+(6*'V06 Calend 01'!E15))),('V06 Calend 01'!H15-('V06 Calend 01'!I15*('V06 Calend 01'!E15-1))),'V06 Calend 01'!I15),0))+IF((121='V06 Calend 01'!D15),'V06 Calend 01'!J15,0))</f>
        <v>0</v>
      </c>
      <c r="ED15" s="2">
        <f>((IF((122='V06 Calend 01'!C15),('V06 Calend 01'!F15+'V06 Calend 01'!G15),0)+IF(AND(('V06 Calend 01'!E15&gt;0),(122&gt;'V06 Calend 01'!C15),(122&lt;'V06 Calend 01'!D15),(MOD((122-'V06 Calend 01'!C15),6)=0),(((122-'V06 Calend 01'!C15)/6)&lt;='V06 Calend 01'!E15)),IF((122=('V06 Calend 01'!C15+(6*'V06 Calend 01'!E15))),('V06 Calend 01'!H15-('V06 Calend 01'!I15*('V06 Calend 01'!E15-1))),'V06 Calend 01'!I15),0))+IF((122='V06 Calend 01'!D15),'V06 Calend 01'!J15,0))</f>
        <v>0</v>
      </c>
      <c r="EE15" s="2">
        <f>((IF((123='V06 Calend 01'!C15),('V06 Calend 01'!F15+'V06 Calend 01'!G15),0)+IF(AND(('V06 Calend 01'!E15&gt;0),(123&gt;'V06 Calend 01'!C15),(123&lt;'V06 Calend 01'!D15),(MOD((123-'V06 Calend 01'!C15),6)=0),(((123-'V06 Calend 01'!C15)/6)&lt;='V06 Calend 01'!E15)),IF((123=('V06 Calend 01'!C15+(6*'V06 Calend 01'!E15))),('V06 Calend 01'!H15-('V06 Calend 01'!I15*('V06 Calend 01'!E15-1))),'V06 Calend 01'!I15),0))+IF((123='V06 Calend 01'!D15),'V06 Calend 01'!J15,0))</f>
        <v>0</v>
      </c>
      <c r="EF15" s="2">
        <f>((IF((124='V06 Calend 01'!C15),('V06 Calend 01'!F15+'V06 Calend 01'!G15),0)+IF(AND(('V06 Calend 01'!E15&gt;0),(124&gt;'V06 Calend 01'!C15),(124&lt;'V06 Calend 01'!D15),(MOD((124-'V06 Calend 01'!C15),6)=0),(((124-'V06 Calend 01'!C15)/6)&lt;='V06 Calend 01'!E15)),IF((124=('V06 Calend 01'!C15+(6*'V06 Calend 01'!E15))),('V06 Calend 01'!H15-('V06 Calend 01'!I15*('V06 Calend 01'!E15-1))),'V06 Calend 01'!I15),0))+IF((124='V06 Calend 01'!D15),'V06 Calend 01'!J15,0))</f>
        <v>0</v>
      </c>
      <c r="EG15" s="2">
        <f>((IF((125='V06 Calend 01'!C15),('V06 Calend 01'!F15+'V06 Calend 01'!G15),0)+IF(AND(('V06 Calend 01'!E15&gt;0),(125&gt;'V06 Calend 01'!C15),(125&lt;'V06 Calend 01'!D15),(MOD((125-'V06 Calend 01'!C15),6)=0),(((125-'V06 Calend 01'!C15)/6)&lt;='V06 Calend 01'!E15)),IF((125=('V06 Calend 01'!C15+(6*'V06 Calend 01'!E15))),('V06 Calend 01'!H15-('V06 Calend 01'!I15*('V06 Calend 01'!E15-1))),'V06 Calend 01'!I15),0))+IF((125='V06 Calend 01'!D15),'V06 Calend 01'!J15,0))</f>
        <v>0</v>
      </c>
      <c r="EH15" s="2">
        <f>((IF((126='V06 Calend 01'!C15),('V06 Calend 01'!F15+'V06 Calend 01'!G15),0)+IF(AND(('V06 Calend 01'!E15&gt;0),(126&gt;'V06 Calend 01'!C15),(126&lt;'V06 Calend 01'!D15),(MOD((126-'V06 Calend 01'!C15),6)=0),(((126-'V06 Calend 01'!C15)/6)&lt;='V06 Calend 01'!E15)),IF((126=('V06 Calend 01'!C15+(6*'V06 Calend 01'!E15))),('V06 Calend 01'!H15-('V06 Calend 01'!I15*('V06 Calend 01'!E15-1))),'V06 Calend 01'!I15),0))+IF((126='V06 Calend 01'!D15),'V06 Calend 01'!J15,0))</f>
        <v>0</v>
      </c>
      <c r="EI15" s="2">
        <f>((IF((127='V06 Calend 01'!C15),('V06 Calend 01'!F15+'V06 Calend 01'!G15),0)+IF(AND(('V06 Calend 01'!E15&gt;0),(127&gt;'V06 Calend 01'!C15),(127&lt;'V06 Calend 01'!D15),(MOD((127-'V06 Calend 01'!C15),6)=0),(((127-'V06 Calend 01'!C15)/6)&lt;='V06 Calend 01'!E15)),IF((127=('V06 Calend 01'!C15+(6*'V06 Calend 01'!E15))),('V06 Calend 01'!H15-('V06 Calend 01'!I15*('V06 Calend 01'!E15-1))),'V06 Calend 01'!I15),0))+IF((127='V06 Calend 01'!D15),'V06 Calend 01'!J15,0))</f>
        <v>0</v>
      </c>
      <c r="EJ15" s="2">
        <f>((IF((128='V06 Calend 01'!C15),('V06 Calend 01'!F15+'V06 Calend 01'!G15),0)+IF(AND(('V06 Calend 01'!E15&gt;0),(128&gt;'V06 Calend 01'!C15),(128&lt;'V06 Calend 01'!D15),(MOD((128-'V06 Calend 01'!C15),6)=0),(((128-'V06 Calend 01'!C15)/6)&lt;='V06 Calend 01'!E15)),IF((128=('V06 Calend 01'!C15+(6*'V06 Calend 01'!E15))),('V06 Calend 01'!H15-('V06 Calend 01'!I15*('V06 Calend 01'!E15-1))),'V06 Calend 01'!I15),0))+IF((128='V06 Calend 01'!D15),'V06 Calend 01'!J15,0))</f>
        <v>0</v>
      </c>
      <c r="EK15" s="2">
        <f>((IF((129='V06 Calend 01'!C15),('V06 Calend 01'!F15+'V06 Calend 01'!G15),0)+IF(AND(('V06 Calend 01'!E15&gt;0),(129&gt;'V06 Calend 01'!C15),(129&lt;'V06 Calend 01'!D15),(MOD((129-'V06 Calend 01'!C15),6)=0),(((129-'V06 Calend 01'!C15)/6)&lt;='V06 Calend 01'!E15)),IF((129=('V06 Calend 01'!C15+(6*'V06 Calend 01'!E15))),('V06 Calend 01'!H15-('V06 Calend 01'!I15*('V06 Calend 01'!E15-1))),'V06 Calend 01'!I15),0))+IF((129='V06 Calend 01'!D15),'V06 Calend 01'!J15,0))</f>
        <v>0</v>
      </c>
      <c r="EL15" s="2">
        <f>((IF((130='V06 Calend 01'!C15),('V06 Calend 01'!F15+'V06 Calend 01'!G15),0)+IF(AND(('V06 Calend 01'!E15&gt;0),(130&gt;'V06 Calend 01'!C15),(130&lt;'V06 Calend 01'!D15),(MOD((130-'V06 Calend 01'!C15),6)=0),(((130-'V06 Calend 01'!C15)/6)&lt;='V06 Calend 01'!E15)),IF((130=('V06 Calend 01'!C15+(6*'V06 Calend 01'!E15))),('V06 Calend 01'!H15-('V06 Calend 01'!I15*('V06 Calend 01'!E15-1))),'V06 Calend 01'!I15),0))+IF((130='V06 Calend 01'!D15),'V06 Calend 01'!J15,0))</f>
        <v>0</v>
      </c>
      <c r="EM15" s="2">
        <f>((IF((131='V06 Calend 01'!C15),('V06 Calend 01'!F15+'V06 Calend 01'!G15),0)+IF(AND(('V06 Calend 01'!E15&gt;0),(131&gt;'V06 Calend 01'!C15),(131&lt;'V06 Calend 01'!D15),(MOD((131-'V06 Calend 01'!C15),6)=0),(((131-'V06 Calend 01'!C15)/6)&lt;='V06 Calend 01'!E15)),IF((131=('V06 Calend 01'!C15+(6*'V06 Calend 01'!E15))),('V06 Calend 01'!H15-('V06 Calend 01'!I15*('V06 Calend 01'!E15-1))),'V06 Calend 01'!I15),0))+IF((131='V06 Calend 01'!D15),'V06 Calend 01'!J15,0))</f>
        <v>0</v>
      </c>
      <c r="EN15" s="2">
        <f>((IF((132='V06 Calend 01'!C15),('V06 Calend 01'!F15+'V06 Calend 01'!G15),0)+IF(AND(('V06 Calend 01'!E15&gt;0),(132&gt;'V06 Calend 01'!C15),(132&lt;'V06 Calend 01'!D15),(MOD((132-'V06 Calend 01'!C15),6)=0),(((132-'V06 Calend 01'!C15)/6)&lt;='V06 Calend 01'!E15)),IF((132=('V06 Calend 01'!C15+(6*'V06 Calend 01'!E15))),('V06 Calend 01'!H15-('V06 Calend 01'!I15*('V06 Calend 01'!E15-1))),'V06 Calend 01'!I15),0))+IF((132='V06 Calend 01'!D15),'V06 Calend 01'!J15,0))</f>
        <v>0</v>
      </c>
      <c r="EO15" s="2">
        <f>((IF((133='V06 Calend 01'!C15),('V06 Calend 01'!F15+'V06 Calend 01'!G15),0)+IF(AND(('V06 Calend 01'!E15&gt;0),(133&gt;'V06 Calend 01'!C15),(133&lt;'V06 Calend 01'!D15),(MOD((133-'V06 Calend 01'!C15),6)=0),(((133-'V06 Calend 01'!C15)/6)&lt;='V06 Calend 01'!E15)),IF((133=('V06 Calend 01'!C15+(6*'V06 Calend 01'!E15))),('V06 Calend 01'!H15-('V06 Calend 01'!I15*('V06 Calend 01'!E15-1))),'V06 Calend 01'!I15),0))+IF((133='V06 Calend 01'!D15),'V06 Calend 01'!J15,0))</f>
        <v>0</v>
      </c>
      <c r="EP15" s="2">
        <f>((IF((134='V06 Calend 01'!C15),('V06 Calend 01'!F15+'V06 Calend 01'!G15),0)+IF(AND(('V06 Calend 01'!E15&gt;0),(134&gt;'V06 Calend 01'!C15),(134&lt;'V06 Calend 01'!D15),(MOD((134-'V06 Calend 01'!C15),6)=0),(((134-'V06 Calend 01'!C15)/6)&lt;='V06 Calend 01'!E15)),IF((134=('V06 Calend 01'!C15+(6*'V06 Calend 01'!E15))),('V06 Calend 01'!H15-('V06 Calend 01'!I15*('V06 Calend 01'!E15-1))),'V06 Calend 01'!I15),0))+IF((134='V06 Calend 01'!D15),'V06 Calend 01'!J15,0))</f>
        <v>0</v>
      </c>
      <c r="EQ15" s="2">
        <f>((IF((135='V06 Calend 01'!C15),('V06 Calend 01'!F15+'V06 Calend 01'!G15),0)+IF(AND(('V06 Calend 01'!E15&gt;0),(135&gt;'V06 Calend 01'!C15),(135&lt;'V06 Calend 01'!D15),(MOD((135-'V06 Calend 01'!C15),6)=0),(((135-'V06 Calend 01'!C15)/6)&lt;='V06 Calend 01'!E15)),IF((135=('V06 Calend 01'!C15+(6*'V06 Calend 01'!E15))),('V06 Calend 01'!H15-('V06 Calend 01'!I15*('V06 Calend 01'!E15-1))),'V06 Calend 01'!I15),0))+IF((135='V06 Calend 01'!D15),'V06 Calend 01'!J15,0))</f>
        <v>0</v>
      </c>
      <c r="ER15" s="2">
        <f>((IF((136='V06 Calend 01'!C15),('V06 Calend 01'!F15+'V06 Calend 01'!G15),0)+IF(AND(('V06 Calend 01'!E15&gt;0),(136&gt;'V06 Calend 01'!C15),(136&lt;'V06 Calend 01'!D15),(MOD((136-'V06 Calend 01'!C15),6)=0),(((136-'V06 Calend 01'!C15)/6)&lt;='V06 Calend 01'!E15)),IF((136=('V06 Calend 01'!C15+(6*'V06 Calend 01'!E15))),('V06 Calend 01'!H15-('V06 Calend 01'!I15*('V06 Calend 01'!E15-1))),'V06 Calend 01'!I15),0))+IF((136='V06 Calend 01'!D15),'V06 Calend 01'!J15,0))</f>
        <v>0</v>
      </c>
      <c r="ES15" s="2">
        <f>((IF((137='V06 Calend 01'!C15),('V06 Calend 01'!F15+'V06 Calend 01'!G15),0)+IF(AND(('V06 Calend 01'!E15&gt;0),(137&gt;'V06 Calend 01'!C15),(137&lt;'V06 Calend 01'!D15),(MOD((137-'V06 Calend 01'!C15),6)=0),(((137-'V06 Calend 01'!C15)/6)&lt;='V06 Calend 01'!E15)),IF((137=('V06 Calend 01'!C15+(6*'V06 Calend 01'!E15))),('V06 Calend 01'!H15-('V06 Calend 01'!I15*('V06 Calend 01'!E15-1))),'V06 Calend 01'!I15),0))+IF((137='V06 Calend 01'!D15),'V06 Calend 01'!J15,0))</f>
        <v>0</v>
      </c>
      <c r="ET15" s="2">
        <f>((IF((138='V06 Calend 01'!C15),('V06 Calend 01'!F15+'V06 Calend 01'!G15),0)+IF(AND(('V06 Calend 01'!E15&gt;0),(138&gt;'V06 Calend 01'!C15),(138&lt;'V06 Calend 01'!D15),(MOD((138-'V06 Calend 01'!C15),6)=0),(((138-'V06 Calend 01'!C15)/6)&lt;='V06 Calend 01'!E15)),IF((138=('V06 Calend 01'!C15+(6*'V06 Calend 01'!E15))),('V06 Calend 01'!H15-('V06 Calend 01'!I15*('V06 Calend 01'!E15-1))),'V06 Calend 01'!I15),0))+IF((138='V06 Calend 01'!D15),'V06 Calend 01'!J15,0))</f>
        <v>0</v>
      </c>
      <c r="EU15" s="2">
        <f>((IF((139='V06 Calend 01'!C15),('V06 Calend 01'!F15+'V06 Calend 01'!G15),0)+IF(AND(('V06 Calend 01'!E15&gt;0),(139&gt;'V06 Calend 01'!C15),(139&lt;'V06 Calend 01'!D15),(MOD((139-'V06 Calend 01'!C15),6)=0),(((139-'V06 Calend 01'!C15)/6)&lt;='V06 Calend 01'!E15)),IF((139=('V06 Calend 01'!C15+(6*'V06 Calend 01'!E15))),('V06 Calend 01'!H15-('V06 Calend 01'!I15*('V06 Calend 01'!E15-1))),'V06 Calend 01'!I15),0))+IF((139='V06 Calend 01'!D15),'V06 Calend 01'!J15,0))</f>
        <v>0</v>
      </c>
      <c r="EV15" s="2">
        <f>((IF((140='V06 Calend 01'!C15),('V06 Calend 01'!F15+'V06 Calend 01'!G15),0)+IF(AND(('V06 Calend 01'!E15&gt;0),(140&gt;'V06 Calend 01'!C15),(140&lt;'V06 Calend 01'!D15),(MOD((140-'V06 Calend 01'!C15),6)=0),(((140-'V06 Calend 01'!C15)/6)&lt;='V06 Calend 01'!E15)),IF((140=('V06 Calend 01'!C15+(6*'V06 Calend 01'!E15))),('V06 Calend 01'!H15-('V06 Calend 01'!I15*('V06 Calend 01'!E15-1))),'V06 Calend 01'!I15),0))+IF((140='V06 Calend 01'!D15),'V06 Calend 01'!J15,0))</f>
        <v>0</v>
      </c>
      <c r="EW15" s="2">
        <f>((IF((141='V06 Calend 01'!C15),('V06 Calend 01'!F15+'V06 Calend 01'!G15),0)+IF(AND(('V06 Calend 01'!E15&gt;0),(141&gt;'V06 Calend 01'!C15),(141&lt;'V06 Calend 01'!D15),(MOD((141-'V06 Calend 01'!C15),6)=0),(((141-'V06 Calend 01'!C15)/6)&lt;='V06 Calend 01'!E15)),IF((141=('V06 Calend 01'!C15+(6*'V06 Calend 01'!E15))),('V06 Calend 01'!H15-('V06 Calend 01'!I15*('V06 Calend 01'!E15-1))),'V06 Calend 01'!I15),0))+IF((141='V06 Calend 01'!D15),'V06 Calend 01'!J15,0))</f>
        <v>0</v>
      </c>
      <c r="EX15" s="2">
        <f>((IF((142='V06 Calend 01'!C15),('V06 Calend 01'!F15+'V06 Calend 01'!G15),0)+IF(AND(('V06 Calend 01'!E15&gt;0),(142&gt;'V06 Calend 01'!C15),(142&lt;'V06 Calend 01'!D15),(MOD((142-'V06 Calend 01'!C15),6)=0),(((142-'V06 Calend 01'!C15)/6)&lt;='V06 Calend 01'!E15)),IF((142=('V06 Calend 01'!C15+(6*'V06 Calend 01'!E15))),('V06 Calend 01'!H15-('V06 Calend 01'!I15*('V06 Calend 01'!E15-1))),'V06 Calend 01'!I15),0))+IF((142='V06 Calend 01'!D15),'V06 Calend 01'!J15,0))</f>
        <v>0</v>
      </c>
      <c r="EY15" s="2">
        <f>((IF((143='V06 Calend 01'!C15),('V06 Calend 01'!F15+'V06 Calend 01'!G15),0)+IF(AND(('V06 Calend 01'!E15&gt;0),(143&gt;'V06 Calend 01'!C15),(143&lt;'V06 Calend 01'!D15),(MOD((143-'V06 Calend 01'!C15),6)=0),(((143-'V06 Calend 01'!C15)/6)&lt;='V06 Calend 01'!E15)),IF((143=('V06 Calend 01'!C15+(6*'V06 Calend 01'!E15))),('V06 Calend 01'!H15-('V06 Calend 01'!I15*('V06 Calend 01'!E15-1))),'V06 Calend 01'!I15),0))+IF((143='V06 Calend 01'!D15),'V06 Calend 01'!J15,0))</f>
        <v>0</v>
      </c>
      <c r="EZ15" s="2">
        <f>((IF((144='V06 Calend 01'!C15),('V06 Calend 01'!F15+'V06 Calend 01'!G15),0)+IF(AND(('V06 Calend 01'!E15&gt;0),(144&gt;'V06 Calend 01'!C15),(144&lt;'V06 Calend 01'!D15),(MOD((144-'V06 Calend 01'!C15),6)=0),(((144-'V06 Calend 01'!C15)/6)&lt;='V06 Calend 01'!E15)),IF((144=('V06 Calend 01'!C15+(6*'V06 Calend 01'!E15))),('V06 Calend 01'!H15-('V06 Calend 01'!I15*('V06 Calend 01'!E15-1))),'V06 Calend 01'!I15),0))+IF((144='V06 Calend 01'!D15),'V06 Calend 01'!J15,0))</f>
        <v>0</v>
      </c>
      <c r="FA15" s="2">
        <f>((IF((145='V06 Calend 01'!C15),('V06 Calend 01'!F15+'V06 Calend 01'!G15),0)+IF(AND(('V06 Calend 01'!E15&gt;0),(145&gt;'V06 Calend 01'!C15),(145&lt;'V06 Calend 01'!D15),(MOD((145-'V06 Calend 01'!C15),6)=0),(((145-'V06 Calend 01'!C15)/6)&lt;='V06 Calend 01'!E15)),IF((145=('V06 Calend 01'!C15+(6*'V06 Calend 01'!E15))),('V06 Calend 01'!H15-('V06 Calend 01'!I15*('V06 Calend 01'!E15-1))),'V06 Calend 01'!I15),0))+IF((145='V06 Calend 01'!D15),'V06 Calend 01'!J15,0))</f>
        <v>0</v>
      </c>
      <c r="FB15" s="2">
        <f>((IF((146='V06 Calend 01'!C15),('V06 Calend 01'!F15+'V06 Calend 01'!G15),0)+IF(AND(('V06 Calend 01'!E15&gt;0),(146&gt;'V06 Calend 01'!C15),(146&lt;'V06 Calend 01'!D15),(MOD((146-'V06 Calend 01'!C15),6)=0),(((146-'V06 Calend 01'!C15)/6)&lt;='V06 Calend 01'!E15)),IF((146=('V06 Calend 01'!C15+(6*'V06 Calend 01'!E15))),('V06 Calend 01'!H15-('V06 Calend 01'!I15*('V06 Calend 01'!E15-1))),'V06 Calend 01'!I15),0))+IF((146='V06 Calend 01'!D15),'V06 Calend 01'!J15,0))</f>
        <v>0</v>
      </c>
      <c r="FC15" s="2">
        <f>((IF((147='V06 Calend 01'!C15),('V06 Calend 01'!F15+'V06 Calend 01'!G15),0)+IF(AND(('V06 Calend 01'!E15&gt;0),(147&gt;'V06 Calend 01'!C15),(147&lt;'V06 Calend 01'!D15),(MOD((147-'V06 Calend 01'!C15),6)=0),(((147-'V06 Calend 01'!C15)/6)&lt;='V06 Calend 01'!E15)),IF((147=('V06 Calend 01'!C15+(6*'V06 Calend 01'!E15))),('V06 Calend 01'!H15-('V06 Calend 01'!I15*('V06 Calend 01'!E15-1))),'V06 Calend 01'!I15),0))+IF((147='V06 Calend 01'!D15),'V06 Calend 01'!J15,0))</f>
        <v>0</v>
      </c>
      <c r="FD15" s="2">
        <f>((IF((148='V06 Calend 01'!C15),('V06 Calend 01'!F15+'V06 Calend 01'!G15),0)+IF(AND(('V06 Calend 01'!E15&gt;0),(148&gt;'V06 Calend 01'!C15),(148&lt;'V06 Calend 01'!D15),(MOD((148-'V06 Calend 01'!C15),6)=0),(((148-'V06 Calend 01'!C15)/6)&lt;='V06 Calend 01'!E15)),IF((148=('V06 Calend 01'!C15+(6*'V06 Calend 01'!E15))),('V06 Calend 01'!H15-('V06 Calend 01'!I15*('V06 Calend 01'!E15-1))),'V06 Calend 01'!I15),0))+IF((148='V06 Calend 01'!D15),'V06 Calend 01'!J15,0))</f>
        <v>0</v>
      </c>
      <c r="FE15" s="2">
        <f>((IF((149='V06 Calend 01'!C15),('V06 Calend 01'!F15+'V06 Calend 01'!G15),0)+IF(AND(('V06 Calend 01'!E15&gt;0),(149&gt;'V06 Calend 01'!C15),(149&lt;'V06 Calend 01'!D15),(MOD((149-'V06 Calend 01'!C15),6)=0),(((149-'V06 Calend 01'!C15)/6)&lt;='V06 Calend 01'!E15)),IF((149=('V06 Calend 01'!C15+(6*'V06 Calend 01'!E15))),('V06 Calend 01'!H15-('V06 Calend 01'!I15*('V06 Calend 01'!E15-1))),'V06 Calend 01'!I15),0))+IF((149='V06 Calend 01'!D15),'V06 Calend 01'!J15,0))</f>
        <v>0</v>
      </c>
      <c r="FF15" s="2">
        <f>((IF((150='V06 Calend 01'!C15),('V06 Calend 01'!F15+'V06 Calend 01'!G15),0)+IF(AND(('V06 Calend 01'!E15&gt;0),(150&gt;'V06 Calend 01'!C15),(150&lt;'V06 Calend 01'!D15),(MOD((150-'V06 Calend 01'!C15),6)=0),(((150-'V06 Calend 01'!C15)/6)&lt;='V06 Calend 01'!E15)),IF((150=('V06 Calend 01'!C15+(6*'V06 Calend 01'!E15))),('V06 Calend 01'!H15-('V06 Calend 01'!I15*('V06 Calend 01'!E15-1))),'V06 Calend 01'!I15),0))+IF((150='V06 Calend 01'!D15),'V06 Calend 01'!J15,0))</f>
        <v>0</v>
      </c>
      <c r="FG15" s="2">
        <f>((IF((151='V06 Calend 01'!C15),('V06 Calend 01'!F15+'V06 Calend 01'!G15),0)+IF(AND(('V06 Calend 01'!E15&gt;0),(151&gt;'V06 Calend 01'!C15),(151&lt;'V06 Calend 01'!D15),(MOD((151-'V06 Calend 01'!C15),6)=0),(((151-'V06 Calend 01'!C15)/6)&lt;='V06 Calend 01'!E15)),IF((151=('V06 Calend 01'!C15+(6*'V06 Calend 01'!E15))),('V06 Calend 01'!H15-('V06 Calend 01'!I15*('V06 Calend 01'!E15-1))),'V06 Calend 01'!I15),0))+IF((151='V06 Calend 01'!D15),'V06 Calend 01'!J15,0))</f>
        <v>0</v>
      </c>
      <c r="FH15" s="2">
        <f>((IF((152='V06 Calend 01'!C15),('V06 Calend 01'!F15+'V06 Calend 01'!G15),0)+IF(AND(('V06 Calend 01'!E15&gt;0),(152&gt;'V06 Calend 01'!C15),(152&lt;'V06 Calend 01'!D15),(MOD((152-'V06 Calend 01'!C15),6)=0),(((152-'V06 Calend 01'!C15)/6)&lt;='V06 Calend 01'!E15)),IF((152=('V06 Calend 01'!C15+(6*'V06 Calend 01'!E15))),('V06 Calend 01'!H15-('V06 Calend 01'!I15*('V06 Calend 01'!E15-1))),'V06 Calend 01'!I15),0))+IF((152='V06 Calend 01'!D15),'V06 Calend 01'!J15,0))</f>
        <v>0</v>
      </c>
      <c r="FI15" s="2">
        <f>((IF((153='V06 Calend 01'!C15),('V06 Calend 01'!F15+'V06 Calend 01'!G15),0)+IF(AND(('V06 Calend 01'!E15&gt;0),(153&gt;'V06 Calend 01'!C15),(153&lt;'V06 Calend 01'!D15),(MOD((153-'V06 Calend 01'!C15),6)=0),(((153-'V06 Calend 01'!C15)/6)&lt;='V06 Calend 01'!E15)),IF((153=('V06 Calend 01'!C15+(6*'V06 Calend 01'!E15))),('V06 Calend 01'!H15-('V06 Calend 01'!I15*('V06 Calend 01'!E15-1))),'V06 Calend 01'!I15),0))+IF((153='V06 Calend 01'!D15),'V06 Calend 01'!J15,0))</f>
        <v>0</v>
      </c>
      <c r="FJ15" s="2">
        <f>((IF((154='V06 Calend 01'!C15),('V06 Calend 01'!F15+'V06 Calend 01'!G15),0)+IF(AND(('V06 Calend 01'!E15&gt;0),(154&gt;'V06 Calend 01'!C15),(154&lt;'V06 Calend 01'!D15),(MOD((154-'V06 Calend 01'!C15),6)=0),(((154-'V06 Calend 01'!C15)/6)&lt;='V06 Calend 01'!E15)),IF((154=('V06 Calend 01'!C15+(6*'V06 Calend 01'!E15))),('V06 Calend 01'!H15-('V06 Calend 01'!I15*('V06 Calend 01'!E15-1))),'V06 Calend 01'!I15),0))+IF((154='V06 Calend 01'!D15),'V06 Calend 01'!J15,0))</f>
        <v>0</v>
      </c>
      <c r="FK15" s="2">
        <f>((IF((155='V06 Calend 01'!C15),('V06 Calend 01'!F15+'V06 Calend 01'!G15),0)+IF(AND(('V06 Calend 01'!E15&gt;0),(155&gt;'V06 Calend 01'!C15),(155&lt;'V06 Calend 01'!D15),(MOD((155-'V06 Calend 01'!C15),6)=0),(((155-'V06 Calend 01'!C15)/6)&lt;='V06 Calend 01'!E15)),IF((155=('V06 Calend 01'!C15+(6*'V06 Calend 01'!E15))),('V06 Calend 01'!H15-('V06 Calend 01'!I15*('V06 Calend 01'!E15-1))),'V06 Calend 01'!I15),0))+IF((155='V06 Calend 01'!D15),'V06 Calend 01'!J15,0))</f>
        <v>0</v>
      </c>
      <c r="FL15" s="2">
        <f>((IF((156='V06 Calend 01'!C15),('V06 Calend 01'!F15+'V06 Calend 01'!G15),0)+IF(AND(('V06 Calend 01'!E15&gt;0),(156&gt;'V06 Calend 01'!C15),(156&lt;'V06 Calend 01'!D15),(MOD((156-'V06 Calend 01'!C15),6)=0),(((156-'V06 Calend 01'!C15)/6)&lt;='V06 Calend 01'!E15)),IF((156=('V06 Calend 01'!C15+(6*'V06 Calend 01'!E15))),('V06 Calend 01'!H15-('V06 Calend 01'!I15*('V06 Calend 01'!E15-1))),'V06 Calend 01'!I15),0))+IF((156='V06 Calend 01'!D15),'V06 Calend 01'!J15,0))</f>
        <v>0</v>
      </c>
      <c r="FM15" s="2">
        <f>((IF((157='V06 Calend 01'!C15),('V06 Calend 01'!F15+'V06 Calend 01'!G15),0)+IF(AND(('V06 Calend 01'!E15&gt;0),(157&gt;'V06 Calend 01'!C15),(157&lt;'V06 Calend 01'!D15),(MOD((157-'V06 Calend 01'!C15),6)=0),(((157-'V06 Calend 01'!C15)/6)&lt;='V06 Calend 01'!E15)),IF((157=('V06 Calend 01'!C15+(6*'V06 Calend 01'!E15))),('V06 Calend 01'!H15-('V06 Calend 01'!I15*('V06 Calend 01'!E15-1))),'V06 Calend 01'!I15),0))+IF((157='V06 Calend 01'!D15),'V06 Calend 01'!J15,0))</f>
        <v>0</v>
      </c>
      <c r="FN15" s="2">
        <f>((IF((158='V06 Calend 01'!C15),('V06 Calend 01'!F15+'V06 Calend 01'!G15),0)+IF(AND(('V06 Calend 01'!E15&gt;0),(158&gt;'V06 Calend 01'!C15),(158&lt;'V06 Calend 01'!D15),(MOD((158-'V06 Calend 01'!C15),6)=0),(((158-'V06 Calend 01'!C15)/6)&lt;='V06 Calend 01'!E15)),IF((158=('V06 Calend 01'!C15+(6*'V06 Calend 01'!E15))),('V06 Calend 01'!H15-('V06 Calend 01'!I15*('V06 Calend 01'!E15-1))),'V06 Calend 01'!I15),0))+IF((158='V06 Calend 01'!D15),'V06 Calend 01'!J15,0))</f>
        <v>0</v>
      </c>
      <c r="FO15" s="2">
        <f>((IF((159='V06 Calend 01'!C15),('V06 Calend 01'!F15+'V06 Calend 01'!G15),0)+IF(AND(('V06 Calend 01'!E15&gt;0),(159&gt;'V06 Calend 01'!C15),(159&lt;'V06 Calend 01'!D15),(MOD((159-'V06 Calend 01'!C15),6)=0),(((159-'V06 Calend 01'!C15)/6)&lt;='V06 Calend 01'!E15)),IF((159=('V06 Calend 01'!C15+(6*'V06 Calend 01'!E15))),('V06 Calend 01'!H15-('V06 Calend 01'!I15*('V06 Calend 01'!E15-1))),'V06 Calend 01'!I15),0))+IF((159='V06 Calend 01'!D15),'V06 Calend 01'!J15,0))</f>
        <v>0</v>
      </c>
      <c r="FP15" s="2">
        <f>((IF((160='V06 Calend 01'!C15),('V06 Calend 01'!F15+'V06 Calend 01'!G15),0)+IF(AND(('V06 Calend 01'!E15&gt;0),(160&gt;'V06 Calend 01'!C15),(160&lt;'V06 Calend 01'!D15),(MOD((160-'V06 Calend 01'!C15),6)=0),(((160-'V06 Calend 01'!C15)/6)&lt;='V06 Calend 01'!E15)),IF((160=('V06 Calend 01'!C15+(6*'V06 Calend 01'!E15))),('V06 Calend 01'!H15-('V06 Calend 01'!I15*('V06 Calend 01'!E15-1))),'V06 Calend 01'!I15),0))+IF((160='V06 Calend 01'!D15),'V06 Calend 01'!J15,0))</f>
        <v>0</v>
      </c>
      <c r="FQ15" s="2">
        <f>((IF((161='V06 Calend 01'!C15),('V06 Calend 01'!F15+'V06 Calend 01'!G15),0)+IF(AND(('V06 Calend 01'!E15&gt;0),(161&gt;'V06 Calend 01'!C15),(161&lt;'V06 Calend 01'!D15),(MOD((161-'V06 Calend 01'!C15),6)=0),(((161-'V06 Calend 01'!C15)/6)&lt;='V06 Calend 01'!E15)),IF((161=('V06 Calend 01'!C15+(6*'V06 Calend 01'!E15))),('V06 Calend 01'!H15-('V06 Calend 01'!I15*('V06 Calend 01'!E15-1))),'V06 Calend 01'!I15),0))+IF((161='V06 Calend 01'!D15),'V06 Calend 01'!J15,0))</f>
        <v>0</v>
      </c>
      <c r="FR15" s="2">
        <f>((IF((162='V06 Calend 01'!C15),('V06 Calend 01'!F15+'V06 Calend 01'!G15),0)+IF(AND(('V06 Calend 01'!E15&gt;0),(162&gt;'V06 Calend 01'!C15),(162&lt;'V06 Calend 01'!D15),(MOD((162-'V06 Calend 01'!C15),6)=0),(((162-'V06 Calend 01'!C15)/6)&lt;='V06 Calend 01'!E15)),IF((162=('V06 Calend 01'!C15+(6*'V06 Calend 01'!E15))),('V06 Calend 01'!H15-('V06 Calend 01'!I15*('V06 Calend 01'!E15-1))),'V06 Calend 01'!I15),0))+IF((162='V06 Calend 01'!D15),'V06 Calend 01'!J15,0))</f>
        <v>0</v>
      </c>
      <c r="FS15" s="2">
        <f>((IF((163='V06 Calend 01'!C15),('V06 Calend 01'!F15+'V06 Calend 01'!G15),0)+IF(AND(('V06 Calend 01'!E15&gt;0),(163&gt;'V06 Calend 01'!C15),(163&lt;'V06 Calend 01'!D15),(MOD((163-'V06 Calend 01'!C15),6)=0),(((163-'V06 Calend 01'!C15)/6)&lt;='V06 Calend 01'!E15)),IF((163=('V06 Calend 01'!C15+(6*'V06 Calend 01'!E15))),('V06 Calend 01'!H15-('V06 Calend 01'!I15*('V06 Calend 01'!E15-1))),'V06 Calend 01'!I15),0))+IF((163='V06 Calend 01'!D15),'V06 Calend 01'!J15,0))</f>
        <v>0</v>
      </c>
      <c r="FT15" s="2">
        <f>((IF((164='V06 Calend 01'!C15),('V06 Calend 01'!F15+'V06 Calend 01'!G15),0)+IF(AND(('V06 Calend 01'!E15&gt;0),(164&gt;'V06 Calend 01'!C15),(164&lt;'V06 Calend 01'!D15),(MOD((164-'V06 Calend 01'!C15),6)=0),(((164-'V06 Calend 01'!C15)/6)&lt;='V06 Calend 01'!E15)),IF((164=('V06 Calend 01'!C15+(6*'V06 Calend 01'!E15))),('V06 Calend 01'!H15-('V06 Calend 01'!I15*('V06 Calend 01'!E15-1))),'V06 Calend 01'!I15),0))+IF((164='V06 Calend 01'!D15),'V06 Calend 01'!J15,0))</f>
        <v>0</v>
      </c>
      <c r="FU15" s="2">
        <f>((IF((165='V06 Calend 01'!C15),('V06 Calend 01'!F15+'V06 Calend 01'!G15),0)+IF(AND(('V06 Calend 01'!E15&gt;0),(165&gt;'V06 Calend 01'!C15),(165&lt;'V06 Calend 01'!D15),(MOD((165-'V06 Calend 01'!C15),6)=0),(((165-'V06 Calend 01'!C15)/6)&lt;='V06 Calend 01'!E15)),IF((165=('V06 Calend 01'!C15+(6*'V06 Calend 01'!E15))),('V06 Calend 01'!H15-('V06 Calend 01'!I15*('V06 Calend 01'!E15-1))),'V06 Calend 01'!I15),0))+IF((165='V06 Calend 01'!D15),'V06 Calend 01'!J15,0))</f>
        <v>0</v>
      </c>
      <c r="FV15" s="2">
        <f>((IF((166='V06 Calend 01'!C15),('V06 Calend 01'!F15+'V06 Calend 01'!G15),0)+IF(AND(('V06 Calend 01'!E15&gt;0),(166&gt;'V06 Calend 01'!C15),(166&lt;'V06 Calend 01'!D15),(MOD((166-'V06 Calend 01'!C15),6)=0),(((166-'V06 Calend 01'!C15)/6)&lt;='V06 Calend 01'!E15)),IF((166=('V06 Calend 01'!C15+(6*'V06 Calend 01'!E15))),('V06 Calend 01'!H15-('V06 Calend 01'!I15*('V06 Calend 01'!E15-1))),'V06 Calend 01'!I15),0))+IF((166='V06 Calend 01'!D15),'V06 Calend 01'!J15,0))</f>
        <v>0</v>
      </c>
      <c r="FW15" s="2">
        <f>((IF((167='V06 Calend 01'!C15),('V06 Calend 01'!F15+'V06 Calend 01'!G15),0)+IF(AND(('V06 Calend 01'!E15&gt;0),(167&gt;'V06 Calend 01'!C15),(167&lt;'V06 Calend 01'!D15),(MOD((167-'V06 Calend 01'!C15),6)=0),(((167-'V06 Calend 01'!C15)/6)&lt;='V06 Calend 01'!E15)),IF((167=('V06 Calend 01'!C15+(6*'V06 Calend 01'!E15))),('V06 Calend 01'!H15-('V06 Calend 01'!I15*('V06 Calend 01'!E15-1))),'V06 Calend 01'!I15),0))+IF((167='V06 Calend 01'!D15),'V06 Calend 01'!J15,0))</f>
        <v>0</v>
      </c>
      <c r="FX15" s="2">
        <f>((IF((168='V06 Calend 01'!C15),('V06 Calend 01'!F15+'V06 Calend 01'!G15),0)+IF(AND(('V06 Calend 01'!E15&gt;0),(168&gt;'V06 Calend 01'!C15),(168&lt;'V06 Calend 01'!D15),(MOD((168-'V06 Calend 01'!C15),6)=0),(((168-'V06 Calend 01'!C15)/6)&lt;='V06 Calend 01'!E15)),IF((168=('V06 Calend 01'!C15+(6*'V06 Calend 01'!E15))),('V06 Calend 01'!H15-('V06 Calend 01'!I15*('V06 Calend 01'!E15-1))),'V06 Calend 01'!I15),0))+IF((168='V06 Calend 01'!D15),'V06 Calend 01'!J15,0))</f>
        <v>0</v>
      </c>
      <c r="FY15" s="2">
        <f>((IF((169='V06 Calend 01'!C15),('V06 Calend 01'!F15+'V06 Calend 01'!G15),0)+IF(AND(('V06 Calend 01'!E15&gt;0),(169&gt;'V06 Calend 01'!C15),(169&lt;'V06 Calend 01'!D15),(MOD((169-'V06 Calend 01'!C15),6)=0),(((169-'V06 Calend 01'!C15)/6)&lt;='V06 Calend 01'!E15)),IF((169=('V06 Calend 01'!C15+(6*'V06 Calend 01'!E15))),('V06 Calend 01'!H15-('V06 Calend 01'!I15*('V06 Calend 01'!E15-1))),'V06 Calend 01'!I15),0))+IF((169='V06 Calend 01'!D15),'V06 Calend 01'!J15,0))</f>
        <v>0</v>
      </c>
      <c r="FZ15" s="2">
        <f>((IF((170='V06 Calend 01'!C15),('V06 Calend 01'!F15+'V06 Calend 01'!G15),0)+IF(AND(('V06 Calend 01'!E15&gt;0),(170&gt;'V06 Calend 01'!C15),(170&lt;'V06 Calend 01'!D15),(MOD((170-'V06 Calend 01'!C15),6)=0),(((170-'V06 Calend 01'!C15)/6)&lt;='V06 Calend 01'!E15)),IF((170=('V06 Calend 01'!C15+(6*'V06 Calend 01'!E15))),('V06 Calend 01'!H15-('V06 Calend 01'!I15*('V06 Calend 01'!E15-1))),'V06 Calend 01'!I15),0))+IF((170='V06 Calend 01'!D15),'V06 Calend 01'!J15,0))</f>
        <v>0</v>
      </c>
      <c r="GA15" s="2">
        <f>((IF((171='V06 Calend 01'!C15),('V06 Calend 01'!F15+'V06 Calend 01'!G15),0)+IF(AND(('V06 Calend 01'!E15&gt;0),(171&gt;'V06 Calend 01'!C15),(171&lt;'V06 Calend 01'!D15),(MOD((171-'V06 Calend 01'!C15),6)=0),(((171-'V06 Calend 01'!C15)/6)&lt;='V06 Calend 01'!E15)),IF((171=('V06 Calend 01'!C15+(6*'V06 Calend 01'!E15))),('V06 Calend 01'!H15-('V06 Calend 01'!I15*('V06 Calend 01'!E15-1))),'V06 Calend 01'!I15),0))+IF((171='V06 Calend 01'!D15),'V06 Calend 01'!J15,0))</f>
        <v>0</v>
      </c>
      <c r="GB15" s="2">
        <f>((IF((172='V06 Calend 01'!C15),('V06 Calend 01'!F15+'V06 Calend 01'!G15),0)+IF(AND(('V06 Calend 01'!E15&gt;0),(172&gt;'V06 Calend 01'!C15),(172&lt;'V06 Calend 01'!D15),(MOD((172-'V06 Calend 01'!C15),6)=0),(((172-'V06 Calend 01'!C15)/6)&lt;='V06 Calend 01'!E15)),IF((172=('V06 Calend 01'!C15+(6*'V06 Calend 01'!E15))),('V06 Calend 01'!H15-('V06 Calend 01'!I15*('V06 Calend 01'!E15-1))),'V06 Calend 01'!I15),0))+IF((172='V06 Calend 01'!D15),'V06 Calend 01'!J15,0))</f>
        <v>0</v>
      </c>
      <c r="GC15" s="2">
        <f>((IF((173='V06 Calend 01'!C15),('V06 Calend 01'!F15+'V06 Calend 01'!G15),0)+IF(AND(('V06 Calend 01'!E15&gt;0),(173&gt;'V06 Calend 01'!C15),(173&lt;'V06 Calend 01'!D15),(MOD((173-'V06 Calend 01'!C15),6)=0),(((173-'V06 Calend 01'!C15)/6)&lt;='V06 Calend 01'!E15)),IF((173=('V06 Calend 01'!C15+(6*'V06 Calend 01'!E15))),('V06 Calend 01'!H15-('V06 Calend 01'!I15*('V06 Calend 01'!E15-1))),'V06 Calend 01'!I15),0))+IF((173='V06 Calend 01'!D15),'V06 Calend 01'!J15,0))</f>
        <v>0</v>
      </c>
      <c r="GD15" s="2">
        <f>((IF((174='V06 Calend 01'!C15),('V06 Calend 01'!F15+'V06 Calend 01'!G15),0)+IF(AND(('V06 Calend 01'!E15&gt;0),(174&gt;'V06 Calend 01'!C15),(174&lt;'V06 Calend 01'!D15),(MOD((174-'V06 Calend 01'!C15),6)=0),(((174-'V06 Calend 01'!C15)/6)&lt;='V06 Calend 01'!E15)),IF((174=('V06 Calend 01'!C15+(6*'V06 Calend 01'!E15))),('V06 Calend 01'!H15-('V06 Calend 01'!I15*('V06 Calend 01'!E15-1))),'V06 Calend 01'!I15),0))+IF((174='V06 Calend 01'!D15),'V06 Calend 01'!J15,0))</f>
        <v>0</v>
      </c>
      <c r="GE15" s="2">
        <f>((IF((175='V06 Calend 01'!C15),('V06 Calend 01'!F15+'V06 Calend 01'!G15),0)+IF(AND(('V06 Calend 01'!E15&gt;0),(175&gt;'V06 Calend 01'!C15),(175&lt;'V06 Calend 01'!D15),(MOD((175-'V06 Calend 01'!C15),6)=0),(((175-'V06 Calend 01'!C15)/6)&lt;='V06 Calend 01'!E15)),IF((175=('V06 Calend 01'!C15+(6*'V06 Calend 01'!E15))),('V06 Calend 01'!H15-('V06 Calend 01'!I15*('V06 Calend 01'!E15-1))),'V06 Calend 01'!I15),0))+IF((175='V06 Calend 01'!D15),'V06 Calend 01'!J15,0))</f>
        <v>0</v>
      </c>
      <c r="GF15" s="2">
        <f>((IF((176='V06 Calend 01'!C15),('V06 Calend 01'!F15+'V06 Calend 01'!G15),0)+IF(AND(('V06 Calend 01'!E15&gt;0),(176&gt;'V06 Calend 01'!C15),(176&lt;'V06 Calend 01'!D15),(MOD((176-'V06 Calend 01'!C15),6)=0),(((176-'V06 Calend 01'!C15)/6)&lt;='V06 Calend 01'!E15)),IF((176=('V06 Calend 01'!C15+(6*'V06 Calend 01'!E15))),('V06 Calend 01'!H15-('V06 Calend 01'!I15*('V06 Calend 01'!E15-1))),'V06 Calend 01'!I15),0))+IF((176='V06 Calend 01'!D15),'V06 Calend 01'!J15,0))</f>
        <v>0</v>
      </c>
      <c r="GG15" s="2">
        <f>((IF((177='V06 Calend 01'!C15),('V06 Calend 01'!F15+'V06 Calend 01'!G15),0)+IF(AND(('V06 Calend 01'!E15&gt;0),(177&gt;'V06 Calend 01'!C15),(177&lt;'V06 Calend 01'!D15),(MOD((177-'V06 Calend 01'!C15),6)=0),(((177-'V06 Calend 01'!C15)/6)&lt;='V06 Calend 01'!E15)),IF((177=('V06 Calend 01'!C15+(6*'V06 Calend 01'!E15))),('V06 Calend 01'!H15-('V06 Calend 01'!I15*('V06 Calend 01'!E15-1))),'V06 Calend 01'!I15),0))+IF((177='V06 Calend 01'!D15),'V06 Calend 01'!J15,0))</f>
        <v>0</v>
      </c>
      <c r="GH15" s="2">
        <f>((IF((178='V06 Calend 01'!C15),('V06 Calend 01'!F15+'V06 Calend 01'!G15),0)+IF(AND(('V06 Calend 01'!E15&gt;0),(178&gt;'V06 Calend 01'!C15),(178&lt;'V06 Calend 01'!D15),(MOD((178-'V06 Calend 01'!C15),6)=0),(((178-'V06 Calend 01'!C15)/6)&lt;='V06 Calend 01'!E15)),IF((178=('V06 Calend 01'!C15+(6*'V06 Calend 01'!E15))),('V06 Calend 01'!H15-('V06 Calend 01'!I15*('V06 Calend 01'!E15-1))),'V06 Calend 01'!I15),0))+IF((178='V06 Calend 01'!D15),'V06 Calend 01'!J15,0))</f>
        <v>0</v>
      </c>
      <c r="GI15" s="2">
        <f>((IF((179='V06 Calend 01'!C15),('V06 Calend 01'!F15+'V06 Calend 01'!G15),0)+IF(AND(('V06 Calend 01'!E15&gt;0),(179&gt;'V06 Calend 01'!C15),(179&lt;'V06 Calend 01'!D15),(MOD((179-'V06 Calend 01'!C15),6)=0),(((179-'V06 Calend 01'!C15)/6)&lt;='V06 Calend 01'!E15)),IF((179=('V06 Calend 01'!C15+(6*'V06 Calend 01'!E15))),('V06 Calend 01'!H15-('V06 Calend 01'!I15*('V06 Calend 01'!E15-1))),'V06 Calend 01'!I15),0))+IF((179='V06 Calend 01'!D15),'V06 Calend 01'!J15,0))</f>
        <v>0</v>
      </c>
      <c r="GJ15" s="2">
        <f>((IF((180='V06 Calend 01'!C15),('V06 Calend 01'!F15+'V06 Calend 01'!G15),0)+IF(AND(('V06 Calend 01'!E15&gt;0),(180&gt;'V06 Calend 01'!C15),(180&lt;'V06 Calend 01'!D15),(MOD((180-'V06 Calend 01'!C15),6)=0),(((180-'V06 Calend 01'!C15)/6)&lt;='V06 Calend 01'!E15)),IF((180=('V06 Calend 01'!C15+(6*'V06 Calend 01'!E15))),('V06 Calend 01'!H15-('V06 Calend 01'!I15*('V06 Calend 01'!E15-1))),'V06 Calend 01'!I15),0))+IF((180='V06 Calend 01'!D15),'V06 Calend 01'!J15,0))</f>
        <v>0</v>
      </c>
    </row>
    <row r="16" spans="1:192">
      <c r="A16" s="3" t="str">
        <f>'V06 Unidades'!$A$16</f>
        <v>302</v>
      </c>
      <c r="B16" s="2">
        <f>'V06 Unidades'!$H$16</f>
        <v>410550</v>
      </c>
      <c r="C16" s="4">
        <f>('V06 Unidades'!$I$16+'V06 Controlos'!$B$37)</f>
        <v>4</v>
      </c>
      <c r="D16" s="4">
        <f>IF(('V06 Controlos'!$B$38&gt;0),MAX(('V06 Unidades'!$L$16+'V06 Controlos'!$B$37),(30+'V06 Controlos'!$B$38)),('V06 Unidades'!$L$16+'V06 Controlos'!$B$37))</f>
        <v>30</v>
      </c>
      <c r="E16" s="4">
        <f>MAX(0,INT(((('V06 Calend 01'!D16-'V06 Calend 01'!C16)-1)/6)))</f>
        <v>4</v>
      </c>
      <c r="F16" s="2">
        <f>ROUND(('V06 Calend 01'!B16*0.05),2)</f>
        <v>20527.5</v>
      </c>
      <c r="G16" s="2">
        <f>ROUND(('V06 Calend 01'!B16*0.2),2)</f>
        <v>82110.0</v>
      </c>
      <c r="H16" s="2">
        <f>ROUND(('V06 Calend 01'!B16*0.55),2)</f>
        <v>225802.5</v>
      </c>
      <c r="I16" s="2">
        <f>ROUND(('V06 Calend 01'!H16/MAX(1,'V06 Calend 01'!E16)),2)</f>
        <v>56450.63</v>
      </c>
      <c r="J16" s="2">
        <f>((('V06 Calend 01'!B16-'V06 Calend 01'!F16)-'V06 Calend 01'!G16)-'V06 Calend 01'!H16)</f>
        <v>82110.0</v>
      </c>
      <c r="K16" s="2">
        <f>('V06 Calend 01'!B16*0.025)</f>
        <v>10263.75</v>
      </c>
      <c r="L16" t="s">
        <v>378</v>
      </c>
      <c r="M16" s="2">
        <f>((IF((1='V06 Calend 01'!C16),('V06 Calend 01'!F16+'V06 Calend 01'!G16),0)+IF(AND(('V06 Calend 01'!E16&gt;0),(1&gt;'V06 Calend 01'!C16),(1&lt;'V06 Calend 01'!D16),(MOD((1-'V06 Calend 01'!C16),6)=0),(((1-'V06 Calend 01'!C16)/6)&lt;='V06 Calend 01'!E16)),IF((1=('V06 Calend 01'!C16+(6*'V06 Calend 01'!E16))),('V06 Calend 01'!H16-('V06 Calend 01'!I16*('V06 Calend 01'!E16-1))),'V06 Calend 01'!I16),0))+IF((1='V06 Calend 01'!D16),'V06 Calend 01'!J16,0))</f>
        <v>0</v>
      </c>
      <c r="N16" s="2">
        <f>((IF((2='V06 Calend 01'!C16),('V06 Calend 01'!F16+'V06 Calend 01'!G16),0)+IF(AND(('V06 Calend 01'!E16&gt;0),(2&gt;'V06 Calend 01'!C16),(2&lt;'V06 Calend 01'!D16),(MOD((2-'V06 Calend 01'!C16),6)=0),(((2-'V06 Calend 01'!C16)/6)&lt;='V06 Calend 01'!E16)),IF((2=('V06 Calend 01'!C16+(6*'V06 Calend 01'!E16))),('V06 Calend 01'!H16-('V06 Calend 01'!I16*('V06 Calend 01'!E16-1))),'V06 Calend 01'!I16),0))+IF((2='V06 Calend 01'!D16),'V06 Calend 01'!J16,0))</f>
        <v>0</v>
      </c>
      <c r="O16" s="2">
        <f>((IF((3='V06 Calend 01'!C16),('V06 Calend 01'!F16+'V06 Calend 01'!G16),0)+IF(AND(('V06 Calend 01'!E16&gt;0),(3&gt;'V06 Calend 01'!C16),(3&lt;'V06 Calend 01'!D16),(MOD((3-'V06 Calend 01'!C16),6)=0),(((3-'V06 Calend 01'!C16)/6)&lt;='V06 Calend 01'!E16)),IF((3=('V06 Calend 01'!C16+(6*'V06 Calend 01'!E16))),('V06 Calend 01'!H16-('V06 Calend 01'!I16*('V06 Calend 01'!E16-1))),'V06 Calend 01'!I16),0))+IF((3='V06 Calend 01'!D16),'V06 Calend 01'!J16,0))</f>
        <v>0</v>
      </c>
      <c r="P16" s="2">
        <f>((IF((4='V06 Calend 01'!C16),('V06 Calend 01'!F16+'V06 Calend 01'!G16),0)+IF(AND(('V06 Calend 01'!E16&gt;0),(4&gt;'V06 Calend 01'!C16),(4&lt;'V06 Calend 01'!D16),(MOD((4-'V06 Calend 01'!C16),6)=0),(((4-'V06 Calend 01'!C16)/6)&lt;='V06 Calend 01'!E16)),IF((4=('V06 Calend 01'!C16+(6*'V06 Calend 01'!E16))),('V06 Calend 01'!H16-('V06 Calend 01'!I16*('V06 Calend 01'!E16-1))),'V06 Calend 01'!I16),0))+IF((4='V06 Calend 01'!D16),'V06 Calend 01'!J16,0))</f>
        <v>102637.5</v>
      </c>
      <c r="Q16" s="2">
        <f>((IF((5='V06 Calend 01'!C16),('V06 Calend 01'!F16+'V06 Calend 01'!G16),0)+IF(AND(('V06 Calend 01'!E16&gt;0),(5&gt;'V06 Calend 01'!C16),(5&lt;'V06 Calend 01'!D16),(MOD((5-'V06 Calend 01'!C16),6)=0),(((5-'V06 Calend 01'!C16)/6)&lt;='V06 Calend 01'!E16)),IF((5=('V06 Calend 01'!C16+(6*'V06 Calend 01'!E16))),('V06 Calend 01'!H16-('V06 Calend 01'!I16*('V06 Calend 01'!E16-1))),'V06 Calend 01'!I16),0))+IF((5='V06 Calend 01'!D16),'V06 Calend 01'!J16,0))</f>
        <v>0</v>
      </c>
      <c r="R16" s="2">
        <f>((IF((6='V06 Calend 01'!C16),('V06 Calend 01'!F16+'V06 Calend 01'!G16),0)+IF(AND(('V06 Calend 01'!E16&gt;0),(6&gt;'V06 Calend 01'!C16),(6&lt;'V06 Calend 01'!D16),(MOD((6-'V06 Calend 01'!C16),6)=0),(((6-'V06 Calend 01'!C16)/6)&lt;='V06 Calend 01'!E16)),IF((6=('V06 Calend 01'!C16+(6*'V06 Calend 01'!E16))),('V06 Calend 01'!H16-('V06 Calend 01'!I16*('V06 Calend 01'!E16-1))),'V06 Calend 01'!I16),0))+IF((6='V06 Calend 01'!D16),'V06 Calend 01'!J16,0))</f>
        <v>0</v>
      </c>
      <c r="S16" s="2">
        <f>((IF((7='V06 Calend 01'!C16),('V06 Calend 01'!F16+'V06 Calend 01'!G16),0)+IF(AND(('V06 Calend 01'!E16&gt;0),(7&gt;'V06 Calend 01'!C16),(7&lt;'V06 Calend 01'!D16),(MOD((7-'V06 Calend 01'!C16),6)=0),(((7-'V06 Calend 01'!C16)/6)&lt;='V06 Calend 01'!E16)),IF((7=('V06 Calend 01'!C16+(6*'V06 Calend 01'!E16))),('V06 Calend 01'!H16-('V06 Calend 01'!I16*('V06 Calend 01'!E16-1))),'V06 Calend 01'!I16),0))+IF((7='V06 Calend 01'!D16),'V06 Calend 01'!J16,0))</f>
        <v>0</v>
      </c>
      <c r="T16" s="2">
        <f>((IF((8='V06 Calend 01'!C16),('V06 Calend 01'!F16+'V06 Calend 01'!G16),0)+IF(AND(('V06 Calend 01'!E16&gt;0),(8&gt;'V06 Calend 01'!C16),(8&lt;'V06 Calend 01'!D16),(MOD((8-'V06 Calend 01'!C16),6)=0),(((8-'V06 Calend 01'!C16)/6)&lt;='V06 Calend 01'!E16)),IF((8=('V06 Calend 01'!C16+(6*'V06 Calend 01'!E16))),('V06 Calend 01'!H16-('V06 Calend 01'!I16*('V06 Calend 01'!E16-1))),'V06 Calend 01'!I16),0))+IF((8='V06 Calend 01'!D16),'V06 Calend 01'!J16,0))</f>
        <v>0</v>
      </c>
      <c r="U16" s="2">
        <f>((IF((9='V06 Calend 01'!C16),('V06 Calend 01'!F16+'V06 Calend 01'!G16),0)+IF(AND(('V06 Calend 01'!E16&gt;0),(9&gt;'V06 Calend 01'!C16),(9&lt;'V06 Calend 01'!D16),(MOD((9-'V06 Calend 01'!C16),6)=0),(((9-'V06 Calend 01'!C16)/6)&lt;='V06 Calend 01'!E16)),IF((9=('V06 Calend 01'!C16+(6*'V06 Calend 01'!E16))),('V06 Calend 01'!H16-('V06 Calend 01'!I16*('V06 Calend 01'!E16-1))),'V06 Calend 01'!I16),0))+IF((9='V06 Calend 01'!D16),'V06 Calend 01'!J16,0))</f>
        <v>0</v>
      </c>
      <c r="V16" s="2">
        <f>((IF((10='V06 Calend 01'!C16),('V06 Calend 01'!F16+'V06 Calend 01'!G16),0)+IF(AND(('V06 Calend 01'!E16&gt;0),(10&gt;'V06 Calend 01'!C16),(10&lt;'V06 Calend 01'!D16),(MOD((10-'V06 Calend 01'!C16),6)=0),(((10-'V06 Calend 01'!C16)/6)&lt;='V06 Calend 01'!E16)),IF((10=('V06 Calend 01'!C16+(6*'V06 Calend 01'!E16))),('V06 Calend 01'!H16-('V06 Calend 01'!I16*('V06 Calend 01'!E16-1))),'V06 Calend 01'!I16),0))+IF((10='V06 Calend 01'!D16),'V06 Calend 01'!J16,0))</f>
        <v>56450.63</v>
      </c>
      <c r="W16" s="2">
        <f>((IF((11='V06 Calend 01'!C16),('V06 Calend 01'!F16+'V06 Calend 01'!G16),0)+IF(AND(('V06 Calend 01'!E16&gt;0),(11&gt;'V06 Calend 01'!C16),(11&lt;'V06 Calend 01'!D16),(MOD((11-'V06 Calend 01'!C16),6)=0),(((11-'V06 Calend 01'!C16)/6)&lt;='V06 Calend 01'!E16)),IF((11=('V06 Calend 01'!C16+(6*'V06 Calend 01'!E16))),('V06 Calend 01'!H16-('V06 Calend 01'!I16*('V06 Calend 01'!E16-1))),'V06 Calend 01'!I16),0))+IF((11='V06 Calend 01'!D16),'V06 Calend 01'!J16,0))</f>
        <v>0</v>
      </c>
      <c r="X16" s="2">
        <f>((IF((12='V06 Calend 01'!C16),('V06 Calend 01'!F16+'V06 Calend 01'!G16),0)+IF(AND(('V06 Calend 01'!E16&gt;0),(12&gt;'V06 Calend 01'!C16),(12&lt;'V06 Calend 01'!D16),(MOD((12-'V06 Calend 01'!C16),6)=0),(((12-'V06 Calend 01'!C16)/6)&lt;='V06 Calend 01'!E16)),IF((12=('V06 Calend 01'!C16+(6*'V06 Calend 01'!E16))),('V06 Calend 01'!H16-('V06 Calend 01'!I16*('V06 Calend 01'!E16-1))),'V06 Calend 01'!I16),0))+IF((12='V06 Calend 01'!D16),'V06 Calend 01'!J16,0))</f>
        <v>0</v>
      </c>
      <c r="Y16" s="2">
        <f>((IF((13='V06 Calend 01'!C16),('V06 Calend 01'!F16+'V06 Calend 01'!G16),0)+IF(AND(('V06 Calend 01'!E16&gt;0),(13&gt;'V06 Calend 01'!C16),(13&lt;'V06 Calend 01'!D16),(MOD((13-'V06 Calend 01'!C16),6)=0),(((13-'V06 Calend 01'!C16)/6)&lt;='V06 Calend 01'!E16)),IF((13=('V06 Calend 01'!C16+(6*'V06 Calend 01'!E16))),('V06 Calend 01'!H16-('V06 Calend 01'!I16*('V06 Calend 01'!E16-1))),'V06 Calend 01'!I16),0))+IF((13='V06 Calend 01'!D16),'V06 Calend 01'!J16,0))</f>
        <v>0</v>
      </c>
      <c r="Z16" s="2">
        <f>((IF((14='V06 Calend 01'!C16),('V06 Calend 01'!F16+'V06 Calend 01'!G16),0)+IF(AND(('V06 Calend 01'!E16&gt;0),(14&gt;'V06 Calend 01'!C16),(14&lt;'V06 Calend 01'!D16),(MOD((14-'V06 Calend 01'!C16),6)=0),(((14-'V06 Calend 01'!C16)/6)&lt;='V06 Calend 01'!E16)),IF((14=('V06 Calend 01'!C16+(6*'V06 Calend 01'!E16))),('V06 Calend 01'!H16-('V06 Calend 01'!I16*('V06 Calend 01'!E16-1))),'V06 Calend 01'!I16),0))+IF((14='V06 Calend 01'!D16),'V06 Calend 01'!J16,0))</f>
        <v>0</v>
      </c>
      <c r="AA16" s="2">
        <f>((IF((15='V06 Calend 01'!C16),('V06 Calend 01'!F16+'V06 Calend 01'!G16),0)+IF(AND(('V06 Calend 01'!E16&gt;0),(15&gt;'V06 Calend 01'!C16),(15&lt;'V06 Calend 01'!D16),(MOD((15-'V06 Calend 01'!C16),6)=0),(((15-'V06 Calend 01'!C16)/6)&lt;='V06 Calend 01'!E16)),IF((15=('V06 Calend 01'!C16+(6*'V06 Calend 01'!E16))),('V06 Calend 01'!H16-('V06 Calend 01'!I16*('V06 Calend 01'!E16-1))),'V06 Calend 01'!I16),0))+IF((15='V06 Calend 01'!D16),'V06 Calend 01'!J16,0))</f>
        <v>0</v>
      </c>
      <c r="AB16" s="2">
        <f>((IF((16='V06 Calend 01'!C16),('V06 Calend 01'!F16+'V06 Calend 01'!G16),0)+IF(AND(('V06 Calend 01'!E16&gt;0),(16&gt;'V06 Calend 01'!C16),(16&lt;'V06 Calend 01'!D16),(MOD((16-'V06 Calend 01'!C16),6)=0),(((16-'V06 Calend 01'!C16)/6)&lt;='V06 Calend 01'!E16)),IF((16=('V06 Calend 01'!C16+(6*'V06 Calend 01'!E16))),('V06 Calend 01'!H16-('V06 Calend 01'!I16*('V06 Calend 01'!E16-1))),'V06 Calend 01'!I16),0))+IF((16='V06 Calend 01'!D16),'V06 Calend 01'!J16,0))</f>
        <v>56450.63</v>
      </c>
      <c r="AC16" s="2">
        <f>((IF((17='V06 Calend 01'!C16),('V06 Calend 01'!F16+'V06 Calend 01'!G16),0)+IF(AND(('V06 Calend 01'!E16&gt;0),(17&gt;'V06 Calend 01'!C16),(17&lt;'V06 Calend 01'!D16),(MOD((17-'V06 Calend 01'!C16),6)=0),(((17-'V06 Calend 01'!C16)/6)&lt;='V06 Calend 01'!E16)),IF((17=('V06 Calend 01'!C16+(6*'V06 Calend 01'!E16))),('V06 Calend 01'!H16-('V06 Calend 01'!I16*('V06 Calend 01'!E16-1))),'V06 Calend 01'!I16),0))+IF((17='V06 Calend 01'!D16),'V06 Calend 01'!J16,0))</f>
        <v>0</v>
      </c>
      <c r="AD16" s="2">
        <f>((IF((18='V06 Calend 01'!C16),('V06 Calend 01'!F16+'V06 Calend 01'!G16),0)+IF(AND(('V06 Calend 01'!E16&gt;0),(18&gt;'V06 Calend 01'!C16),(18&lt;'V06 Calend 01'!D16),(MOD((18-'V06 Calend 01'!C16),6)=0),(((18-'V06 Calend 01'!C16)/6)&lt;='V06 Calend 01'!E16)),IF((18=('V06 Calend 01'!C16+(6*'V06 Calend 01'!E16))),('V06 Calend 01'!H16-('V06 Calend 01'!I16*('V06 Calend 01'!E16-1))),'V06 Calend 01'!I16),0))+IF((18='V06 Calend 01'!D16),'V06 Calend 01'!J16,0))</f>
        <v>0</v>
      </c>
      <c r="AE16" s="2">
        <f>((IF((19='V06 Calend 01'!C16),('V06 Calend 01'!F16+'V06 Calend 01'!G16),0)+IF(AND(('V06 Calend 01'!E16&gt;0),(19&gt;'V06 Calend 01'!C16),(19&lt;'V06 Calend 01'!D16),(MOD((19-'V06 Calend 01'!C16),6)=0),(((19-'V06 Calend 01'!C16)/6)&lt;='V06 Calend 01'!E16)),IF((19=('V06 Calend 01'!C16+(6*'V06 Calend 01'!E16))),('V06 Calend 01'!H16-('V06 Calend 01'!I16*('V06 Calend 01'!E16-1))),'V06 Calend 01'!I16),0))+IF((19='V06 Calend 01'!D16),'V06 Calend 01'!J16,0))</f>
        <v>0</v>
      </c>
      <c r="AF16" s="2">
        <f>((IF((20='V06 Calend 01'!C16),('V06 Calend 01'!F16+'V06 Calend 01'!G16),0)+IF(AND(('V06 Calend 01'!E16&gt;0),(20&gt;'V06 Calend 01'!C16),(20&lt;'V06 Calend 01'!D16),(MOD((20-'V06 Calend 01'!C16),6)=0),(((20-'V06 Calend 01'!C16)/6)&lt;='V06 Calend 01'!E16)),IF((20=('V06 Calend 01'!C16+(6*'V06 Calend 01'!E16))),('V06 Calend 01'!H16-('V06 Calend 01'!I16*('V06 Calend 01'!E16-1))),'V06 Calend 01'!I16),0))+IF((20='V06 Calend 01'!D16),'V06 Calend 01'!J16,0))</f>
        <v>0</v>
      </c>
      <c r="AG16" s="2">
        <f>((IF((21='V06 Calend 01'!C16),('V06 Calend 01'!F16+'V06 Calend 01'!G16),0)+IF(AND(('V06 Calend 01'!E16&gt;0),(21&gt;'V06 Calend 01'!C16),(21&lt;'V06 Calend 01'!D16),(MOD((21-'V06 Calend 01'!C16),6)=0),(((21-'V06 Calend 01'!C16)/6)&lt;='V06 Calend 01'!E16)),IF((21=('V06 Calend 01'!C16+(6*'V06 Calend 01'!E16))),('V06 Calend 01'!H16-('V06 Calend 01'!I16*('V06 Calend 01'!E16-1))),'V06 Calend 01'!I16),0))+IF((21='V06 Calend 01'!D16),'V06 Calend 01'!J16,0))</f>
        <v>0</v>
      </c>
      <c r="AH16" s="2">
        <f>((IF((22='V06 Calend 01'!C16),('V06 Calend 01'!F16+'V06 Calend 01'!G16),0)+IF(AND(('V06 Calend 01'!E16&gt;0),(22&gt;'V06 Calend 01'!C16),(22&lt;'V06 Calend 01'!D16),(MOD((22-'V06 Calend 01'!C16),6)=0),(((22-'V06 Calend 01'!C16)/6)&lt;='V06 Calend 01'!E16)),IF((22=('V06 Calend 01'!C16+(6*'V06 Calend 01'!E16))),('V06 Calend 01'!H16-('V06 Calend 01'!I16*('V06 Calend 01'!E16-1))),'V06 Calend 01'!I16),0))+IF((22='V06 Calend 01'!D16),'V06 Calend 01'!J16,0))</f>
        <v>56450.63</v>
      </c>
      <c r="AI16" s="2">
        <f>((IF((23='V06 Calend 01'!C16),('V06 Calend 01'!F16+'V06 Calend 01'!G16),0)+IF(AND(('V06 Calend 01'!E16&gt;0),(23&gt;'V06 Calend 01'!C16),(23&lt;'V06 Calend 01'!D16),(MOD((23-'V06 Calend 01'!C16),6)=0),(((23-'V06 Calend 01'!C16)/6)&lt;='V06 Calend 01'!E16)),IF((23=('V06 Calend 01'!C16+(6*'V06 Calend 01'!E16))),('V06 Calend 01'!H16-('V06 Calend 01'!I16*('V06 Calend 01'!E16-1))),'V06 Calend 01'!I16),0))+IF((23='V06 Calend 01'!D16),'V06 Calend 01'!J16,0))</f>
        <v>0</v>
      </c>
      <c r="AJ16" s="2">
        <f>((IF((24='V06 Calend 01'!C16),('V06 Calend 01'!F16+'V06 Calend 01'!G16),0)+IF(AND(('V06 Calend 01'!E16&gt;0),(24&gt;'V06 Calend 01'!C16),(24&lt;'V06 Calend 01'!D16),(MOD((24-'V06 Calend 01'!C16),6)=0),(((24-'V06 Calend 01'!C16)/6)&lt;='V06 Calend 01'!E16)),IF((24=('V06 Calend 01'!C16+(6*'V06 Calend 01'!E16))),('V06 Calend 01'!H16-('V06 Calend 01'!I16*('V06 Calend 01'!E16-1))),'V06 Calend 01'!I16),0))+IF((24='V06 Calend 01'!D16),'V06 Calend 01'!J16,0))</f>
        <v>0</v>
      </c>
      <c r="AK16" s="2">
        <f>((IF((25='V06 Calend 01'!C16),('V06 Calend 01'!F16+'V06 Calend 01'!G16),0)+IF(AND(('V06 Calend 01'!E16&gt;0),(25&gt;'V06 Calend 01'!C16),(25&lt;'V06 Calend 01'!D16),(MOD((25-'V06 Calend 01'!C16),6)=0),(((25-'V06 Calend 01'!C16)/6)&lt;='V06 Calend 01'!E16)),IF((25=('V06 Calend 01'!C16+(6*'V06 Calend 01'!E16))),('V06 Calend 01'!H16-('V06 Calend 01'!I16*('V06 Calend 01'!E16-1))),'V06 Calend 01'!I16),0))+IF((25='V06 Calend 01'!D16),'V06 Calend 01'!J16,0))</f>
        <v>0</v>
      </c>
      <c r="AL16" s="2">
        <f>((IF((26='V06 Calend 01'!C16),('V06 Calend 01'!F16+'V06 Calend 01'!G16),0)+IF(AND(('V06 Calend 01'!E16&gt;0),(26&gt;'V06 Calend 01'!C16),(26&lt;'V06 Calend 01'!D16),(MOD((26-'V06 Calend 01'!C16),6)=0),(((26-'V06 Calend 01'!C16)/6)&lt;='V06 Calend 01'!E16)),IF((26=('V06 Calend 01'!C16+(6*'V06 Calend 01'!E16))),('V06 Calend 01'!H16-('V06 Calend 01'!I16*('V06 Calend 01'!E16-1))),'V06 Calend 01'!I16),0))+IF((26='V06 Calend 01'!D16),'V06 Calend 01'!J16,0))</f>
        <v>0</v>
      </c>
      <c r="AM16" s="2">
        <f>((IF((27='V06 Calend 01'!C16),('V06 Calend 01'!F16+'V06 Calend 01'!G16),0)+IF(AND(('V06 Calend 01'!E16&gt;0),(27&gt;'V06 Calend 01'!C16),(27&lt;'V06 Calend 01'!D16),(MOD((27-'V06 Calend 01'!C16),6)=0),(((27-'V06 Calend 01'!C16)/6)&lt;='V06 Calend 01'!E16)),IF((27=('V06 Calend 01'!C16+(6*'V06 Calend 01'!E16))),('V06 Calend 01'!H16-('V06 Calend 01'!I16*('V06 Calend 01'!E16-1))),'V06 Calend 01'!I16),0))+IF((27='V06 Calend 01'!D16),'V06 Calend 01'!J16,0))</f>
        <v>0</v>
      </c>
      <c r="AN16" s="2">
        <f>((IF((28='V06 Calend 01'!C16),('V06 Calend 01'!F16+'V06 Calend 01'!G16),0)+IF(AND(('V06 Calend 01'!E16&gt;0),(28&gt;'V06 Calend 01'!C16),(28&lt;'V06 Calend 01'!D16),(MOD((28-'V06 Calend 01'!C16),6)=0),(((28-'V06 Calend 01'!C16)/6)&lt;='V06 Calend 01'!E16)),IF((28=('V06 Calend 01'!C16+(6*'V06 Calend 01'!E16))),('V06 Calend 01'!H16-('V06 Calend 01'!I16*('V06 Calend 01'!E16-1))),'V06 Calend 01'!I16),0))+IF((28='V06 Calend 01'!D16),'V06 Calend 01'!J16,0))</f>
        <v>56450.610000000015</v>
      </c>
      <c r="AO16" s="2">
        <f>((IF((29='V06 Calend 01'!C16),('V06 Calend 01'!F16+'V06 Calend 01'!G16),0)+IF(AND(('V06 Calend 01'!E16&gt;0),(29&gt;'V06 Calend 01'!C16),(29&lt;'V06 Calend 01'!D16),(MOD((29-'V06 Calend 01'!C16),6)=0),(((29-'V06 Calend 01'!C16)/6)&lt;='V06 Calend 01'!E16)),IF((29=('V06 Calend 01'!C16+(6*'V06 Calend 01'!E16))),('V06 Calend 01'!H16-('V06 Calend 01'!I16*('V06 Calend 01'!E16-1))),'V06 Calend 01'!I16),0))+IF((29='V06 Calend 01'!D16),'V06 Calend 01'!J16,0))</f>
        <v>0</v>
      </c>
      <c r="AP16" s="2">
        <f>((IF((30='V06 Calend 01'!C16),('V06 Calend 01'!F16+'V06 Calend 01'!G16),0)+IF(AND(('V06 Calend 01'!E16&gt;0),(30&gt;'V06 Calend 01'!C16),(30&lt;'V06 Calend 01'!D16),(MOD((30-'V06 Calend 01'!C16),6)=0),(((30-'V06 Calend 01'!C16)/6)&lt;='V06 Calend 01'!E16)),IF((30=('V06 Calend 01'!C16+(6*'V06 Calend 01'!E16))),('V06 Calend 01'!H16-('V06 Calend 01'!I16*('V06 Calend 01'!E16-1))),'V06 Calend 01'!I16),0))+IF((30='V06 Calend 01'!D16),'V06 Calend 01'!J16,0))</f>
        <v>82110.0</v>
      </c>
      <c r="AQ16" s="2">
        <f>((IF((31='V06 Calend 01'!C16),('V06 Calend 01'!F16+'V06 Calend 01'!G16),0)+IF(AND(('V06 Calend 01'!E16&gt;0),(31&gt;'V06 Calend 01'!C16),(31&lt;'V06 Calend 01'!D16),(MOD((31-'V06 Calend 01'!C16),6)=0),(((31-'V06 Calend 01'!C16)/6)&lt;='V06 Calend 01'!E16)),IF((31=('V06 Calend 01'!C16+(6*'V06 Calend 01'!E16))),('V06 Calend 01'!H16-('V06 Calend 01'!I16*('V06 Calend 01'!E16-1))),'V06 Calend 01'!I16),0))+IF((31='V06 Calend 01'!D16),'V06 Calend 01'!J16,0))</f>
        <v>0</v>
      </c>
      <c r="AR16" s="2">
        <f>((IF((32='V06 Calend 01'!C16),('V06 Calend 01'!F16+'V06 Calend 01'!G16),0)+IF(AND(('V06 Calend 01'!E16&gt;0),(32&gt;'V06 Calend 01'!C16),(32&lt;'V06 Calend 01'!D16),(MOD((32-'V06 Calend 01'!C16),6)=0),(((32-'V06 Calend 01'!C16)/6)&lt;='V06 Calend 01'!E16)),IF((32=('V06 Calend 01'!C16+(6*'V06 Calend 01'!E16))),('V06 Calend 01'!H16-('V06 Calend 01'!I16*('V06 Calend 01'!E16-1))),'V06 Calend 01'!I16),0))+IF((32='V06 Calend 01'!D16),'V06 Calend 01'!J16,0))</f>
        <v>0</v>
      </c>
      <c r="AS16" s="2">
        <f>((IF((33='V06 Calend 01'!C16),('V06 Calend 01'!F16+'V06 Calend 01'!G16),0)+IF(AND(('V06 Calend 01'!E16&gt;0),(33&gt;'V06 Calend 01'!C16),(33&lt;'V06 Calend 01'!D16),(MOD((33-'V06 Calend 01'!C16),6)=0),(((33-'V06 Calend 01'!C16)/6)&lt;='V06 Calend 01'!E16)),IF((33=('V06 Calend 01'!C16+(6*'V06 Calend 01'!E16))),('V06 Calend 01'!H16-('V06 Calend 01'!I16*('V06 Calend 01'!E16-1))),'V06 Calend 01'!I16),0))+IF((33='V06 Calend 01'!D16),'V06 Calend 01'!J16,0))</f>
        <v>0</v>
      </c>
      <c r="AT16" s="2">
        <f>((IF((34='V06 Calend 01'!C16),('V06 Calend 01'!F16+'V06 Calend 01'!G16),0)+IF(AND(('V06 Calend 01'!E16&gt;0),(34&gt;'V06 Calend 01'!C16),(34&lt;'V06 Calend 01'!D16),(MOD((34-'V06 Calend 01'!C16),6)=0),(((34-'V06 Calend 01'!C16)/6)&lt;='V06 Calend 01'!E16)),IF((34=('V06 Calend 01'!C16+(6*'V06 Calend 01'!E16))),('V06 Calend 01'!H16-('V06 Calend 01'!I16*('V06 Calend 01'!E16-1))),'V06 Calend 01'!I16),0))+IF((34='V06 Calend 01'!D16),'V06 Calend 01'!J16,0))</f>
        <v>0</v>
      </c>
      <c r="AU16" s="2">
        <f>((IF((35='V06 Calend 01'!C16),('V06 Calend 01'!F16+'V06 Calend 01'!G16),0)+IF(AND(('V06 Calend 01'!E16&gt;0),(35&gt;'V06 Calend 01'!C16),(35&lt;'V06 Calend 01'!D16),(MOD((35-'V06 Calend 01'!C16),6)=0),(((35-'V06 Calend 01'!C16)/6)&lt;='V06 Calend 01'!E16)),IF((35=('V06 Calend 01'!C16+(6*'V06 Calend 01'!E16))),('V06 Calend 01'!H16-('V06 Calend 01'!I16*('V06 Calend 01'!E16-1))),'V06 Calend 01'!I16),0))+IF((35='V06 Calend 01'!D16),'V06 Calend 01'!J16,0))</f>
        <v>0</v>
      </c>
      <c r="AV16" s="2">
        <f>((IF((36='V06 Calend 01'!C16),('V06 Calend 01'!F16+'V06 Calend 01'!G16),0)+IF(AND(('V06 Calend 01'!E16&gt;0),(36&gt;'V06 Calend 01'!C16),(36&lt;'V06 Calend 01'!D16),(MOD((36-'V06 Calend 01'!C16),6)=0),(((36-'V06 Calend 01'!C16)/6)&lt;='V06 Calend 01'!E16)),IF((36=('V06 Calend 01'!C16+(6*'V06 Calend 01'!E16))),('V06 Calend 01'!H16-('V06 Calend 01'!I16*('V06 Calend 01'!E16-1))),'V06 Calend 01'!I16),0))+IF((36='V06 Calend 01'!D16),'V06 Calend 01'!J16,0))</f>
        <v>0</v>
      </c>
      <c r="AW16" s="2">
        <f>((IF((37='V06 Calend 01'!C16),('V06 Calend 01'!F16+'V06 Calend 01'!G16),0)+IF(AND(('V06 Calend 01'!E16&gt;0),(37&gt;'V06 Calend 01'!C16),(37&lt;'V06 Calend 01'!D16),(MOD((37-'V06 Calend 01'!C16),6)=0),(((37-'V06 Calend 01'!C16)/6)&lt;='V06 Calend 01'!E16)),IF((37=('V06 Calend 01'!C16+(6*'V06 Calend 01'!E16))),('V06 Calend 01'!H16-('V06 Calend 01'!I16*('V06 Calend 01'!E16-1))),'V06 Calend 01'!I16),0))+IF((37='V06 Calend 01'!D16),'V06 Calend 01'!J16,0))</f>
        <v>0</v>
      </c>
      <c r="AX16" s="2">
        <f>((IF((38='V06 Calend 01'!C16),('V06 Calend 01'!F16+'V06 Calend 01'!G16),0)+IF(AND(('V06 Calend 01'!E16&gt;0),(38&gt;'V06 Calend 01'!C16),(38&lt;'V06 Calend 01'!D16),(MOD((38-'V06 Calend 01'!C16),6)=0),(((38-'V06 Calend 01'!C16)/6)&lt;='V06 Calend 01'!E16)),IF((38=('V06 Calend 01'!C16+(6*'V06 Calend 01'!E16))),('V06 Calend 01'!H16-('V06 Calend 01'!I16*('V06 Calend 01'!E16-1))),'V06 Calend 01'!I16),0))+IF((38='V06 Calend 01'!D16),'V06 Calend 01'!J16,0))</f>
        <v>0</v>
      </c>
      <c r="AY16" s="2">
        <f>((IF((39='V06 Calend 01'!C16),('V06 Calend 01'!F16+'V06 Calend 01'!G16),0)+IF(AND(('V06 Calend 01'!E16&gt;0),(39&gt;'V06 Calend 01'!C16),(39&lt;'V06 Calend 01'!D16),(MOD((39-'V06 Calend 01'!C16),6)=0),(((39-'V06 Calend 01'!C16)/6)&lt;='V06 Calend 01'!E16)),IF((39=('V06 Calend 01'!C16+(6*'V06 Calend 01'!E16))),('V06 Calend 01'!H16-('V06 Calend 01'!I16*('V06 Calend 01'!E16-1))),'V06 Calend 01'!I16),0))+IF((39='V06 Calend 01'!D16),'V06 Calend 01'!J16,0))</f>
        <v>0</v>
      </c>
      <c r="AZ16" s="2">
        <f>((IF((40='V06 Calend 01'!C16),('V06 Calend 01'!F16+'V06 Calend 01'!G16),0)+IF(AND(('V06 Calend 01'!E16&gt;0),(40&gt;'V06 Calend 01'!C16),(40&lt;'V06 Calend 01'!D16),(MOD((40-'V06 Calend 01'!C16),6)=0),(((40-'V06 Calend 01'!C16)/6)&lt;='V06 Calend 01'!E16)),IF((40=('V06 Calend 01'!C16+(6*'V06 Calend 01'!E16))),('V06 Calend 01'!H16-('V06 Calend 01'!I16*('V06 Calend 01'!E16-1))),'V06 Calend 01'!I16),0))+IF((40='V06 Calend 01'!D16),'V06 Calend 01'!J16,0))</f>
        <v>0</v>
      </c>
      <c r="BA16" s="2">
        <f>((IF((41='V06 Calend 01'!C16),('V06 Calend 01'!F16+'V06 Calend 01'!G16),0)+IF(AND(('V06 Calend 01'!E16&gt;0),(41&gt;'V06 Calend 01'!C16),(41&lt;'V06 Calend 01'!D16),(MOD((41-'V06 Calend 01'!C16),6)=0),(((41-'V06 Calend 01'!C16)/6)&lt;='V06 Calend 01'!E16)),IF((41=('V06 Calend 01'!C16+(6*'V06 Calend 01'!E16))),('V06 Calend 01'!H16-('V06 Calend 01'!I16*('V06 Calend 01'!E16-1))),'V06 Calend 01'!I16),0))+IF((41='V06 Calend 01'!D16),'V06 Calend 01'!J16,0))</f>
        <v>0</v>
      </c>
      <c r="BB16" s="2">
        <f>((IF((42='V06 Calend 01'!C16),('V06 Calend 01'!F16+'V06 Calend 01'!G16),0)+IF(AND(('V06 Calend 01'!E16&gt;0),(42&gt;'V06 Calend 01'!C16),(42&lt;'V06 Calend 01'!D16),(MOD((42-'V06 Calend 01'!C16),6)=0),(((42-'V06 Calend 01'!C16)/6)&lt;='V06 Calend 01'!E16)),IF((42=('V06 Calend 01'!C16+(6*'V06 Calend 01'!E16))),('V06 Calend 01'!H16-('V06 Calend 01'!I16*('V06 Calend 01'!E16-1))),'V06 Calend 01'!I16),0))+IF((42='V06 Calend 01'!D16),'V06 Calend 01'!J16,0))</f>
        <v>0</v>
      </c>
      <c r="BC16" s="2">
        <f>((IF((43='V06 Calend 01'!C16),('V06 Calend 01'!F16+'V06 Calend 01'!G16),0)+IF(AND(('V06 Calend 01'!E16&gt;0),(43&gt;'V06 Calend 01'!C16),(43&lt;'V06 Calend 01'!D16),(MOD((43-'V06 Calend 01'!C16),6)=0),(((43-'V06 Calend 01'!C16)/6)&lt;='V06 Calend 01'!E16)),IF((43=('V06 Calend 01'!C16+(6*'V06 Calend 01'!E16))),('V06 Calend 01'!H16-('V06 Calend 01'!I16*('V06 Calend 01'!E16-1))),'V06 Calend 01'!I16),0))+IF((43='V06 Calend 01'!D16),'V06 Calend 01'!J16,0))</f>
        <v>0</v>
      </c>
      <c r="BD16" s="2">
        <f>((IF((44='V06 Calend 01'!C16),('V06 Calend 01'!F16+'V06 Calend 01'!G16),0)+IF(AND(('V06 Calend 01'!E16&gt;0),(44&gt;'V06 Calend 01'!C16),(44&lt;'V06 Calend 01'!D16),(MOD((44-'V06 Calend 01'!C16),6)=0),(((44-'V06 Calend 01'!C16)/6)&lt;='V06 Calend 01'!E16)),IF((44=('V06 Calend 01'!C16+(6*'V06 Calend 01'!E16))),('V06 Calend 01'!H16-('V06 Calend 01'!I16*('V06 Calend 01'!E16-1))),'V06 Calend 01'!I16),0))+IF((44='V06 Calend 01'!D16),'V06 Calend 01'!J16,0))</f>
        <v>0</v>
      </c>
      <c r="BE16" s="2">
        <f>((IF((45='V06 Calend 01'!C16),('V06 Calend 01'!F16+'V06 Calend 01'!G16),0)+IF(AND(('V06 Calend 01'!E16&gt;0),(45&gt;'V06 Calend 01'!C16),(45&lt;'V06 Calend 01'!D16),(MOD((45-'V06 Calend 01'!C16),6)=0),(((45-'V06 Calend 01'!C16)/6)&lt;='V06 Calend 01'!E16)),IF((45=('V06 Calend 01'!C16+(6*'V06 Calend 01'!E16))),('V06 Calend 01'!H16-('V06 Calend 01'!I16*('V06 Calend 01'!E16-1))),'V06 Calend 01'!I16),0))+IF((45='V06 Calend 01'!D16),'V06 Calend 01'!J16,0))</f>
        <v>0</v>
      </c>
      <c r="BF16" s="2">
        <f>((IF((46='V06 Calend 01'!C16),('V06 Calend 01'!F16+'V06 Calend 01'!G16),0)+IF(AND(('V06 Calend 01'!E16&gt;0),(46&gt;'V06 Calend 01'!C16),(46&lt;'V06 Calend 01'!D16),(MOD((46-'V06 Calend 01'!C16),6)=0),(((46-'V06 Calend 01'!C16)/6)&lt;='V06 Calend 01'!E16)),IF((46=('V06 Calend 01'!C16+(6*'V06 Calend 01'!E16))),('V06 Calend 01'!H16-('V06 Calend 01'!I16*('V06 Calend 01'!E16-1))),'V06 Calend 01'!I16),0))+IF((46='V06 Calend 01'!D16),'V06 Calend 01'!J16,0))</f>
        <v>0</v>
      </c>
      <c r="BG16" s="2">
        <f>((IF((47='V06 Calend 01'!C16),('V06 Calend 01'!F16+'V06 Calend 01'!G16),0)+IF(AND(('V06 Calend 01'!E16&gt;0),(47&gt;'V06 Calend 01'!C16),(47&lt;'V06 Calend 01'!D16),(MOD((47-'V06 Calend 01'!C16),6)=0),(((47-'V06 Calend 01'!C16)/6)&lt;='V06 Calend 01'!E16)),IF((47=('V06 Calend 01'!C16+(6*'V06 Calend 01'!E16))),('V06 Calend 01'!H16-('V06 Calend 01'!I16*('V06 Calend 01'!E16-1))),'V06 Calend 01'!I16),0))+IF((47='V06 Calend 01'!D16),'V06 Calend 01'!J16,0))</f>
        <v>0</v>
      </c>
      <c r="BH16" s="2">
        <f>((IF((48='V06 Calend 01'!C16),('V06 Calend 01'!F16+'V06 Calend 01'!G16),0)+IF(AND(('V06 Calend 01'!E16&gt;0),(48&gt;'V06 Calend 01'!C16),(48&lt;'V06 Calend 01'!D16),(MOD((48-'V06 Calend 01'!C16),6)=0),(((48-'V06 Calend 01'!C16)/6)&lt;='V06 Calend 01'!E16)),IF((48=('V06 Calend 01'!C16+(6*'V06 Calend 01'!E16))),('V06 Calend 01'!H16-('V06 Calend 01'!I16*('V06 Calend 01'!E16-1))),'V06 Calend 01'!I16),0))+IF((48='V06 Calend 01'!D16),'V06 Calend 01'!J16,0))</f>
        <v>0</v>
      </c>
      <c r="BI16" s="2">
        <f>((IF((49='V06 Calend 01'!C16),('V06 Calend 01'!F16+'V06 Calend 01'!G16),0)+IF(AND(('V06 Calend 01'!E16&gt;0),(49&gt;'V06 Calend 01'!C16),(49&lt;'V06 Calend 01'!D16),(MOD((49-'V06 Calend 01'!C16),6)=0),(((49-'V06 Calend 01'!C16)/6)&lt;='V06 Calend 01'!E16)),IF((49=('V06 Calend 01'!C16+(6*'V06 Calend 01'!E16))),('V06 Calend 01'!H16-('V06 Calend 01'!I16*('V06 Calend 01'!E16-1))),'V06 Calend 01'!I16),0))+IF((49='V06 Calend 01'!D16),'V06 Calend 01'!J16,0))</f>
        <v>0</v>
      </c>
      <c r="BJ16" s="2">
        <f>((IF((50='V06 Calend 01'!C16),('V06 Calend 01'!F16+'V06 Calend 01'!G16),0)+IF(AND(('V06 Calend 01'!E16&gt;0),(50&gt;'V06 Calend 01'!C16),(50&lt;'V06 Calend 01'!D16),(MOD((50-'V06 Calend 01'!C16),6)=0),(((50-'V06 Calend 01'!C16)/6)&lt;='V06 Calend 01'!E16)),IF((50=('V06 Calend 01'!C16+(6*'V06 Calend 01'!E16))),('V06 Calend 01'!H16-('V06 Calend 01'!I16*('V06 Calend 01'!E16-1))),'V06 Calend 01'!I16),0))+IF((50='V06 Calend 01'!D16),'V06 Calend 01'!J16,0))</f>
        <v>0</v>
      </c>
      <c r="BK16" s="2">
        <f>((IF((51='V06 Calend 01'!C16),('V06 Calend 01'!F16+'V06 Calend 01'!G16),0)+IF(AND(('V06 Calend 01'!E16&gt;0),(51&gt;'V06 Calend 01'!C16),(51&lt;'V06 Calend 01'!D16),(MOD((51-'V06 Calend 01'!C16),6)=0),(((51-'V06 Calend 01'!C16)/6)&lt;='V06 Calend 01'!E16)),IF((51=('V06 Calend 01'!C16+(6*'V06 Calend 01'!E16))),('V06 Calend 01'!H16-('V06 Calend 01'!I16*('V06 Calend 01'!E16-1))),'V06 Calend 01'!I16),0))+IF((51='V06 Calend 01'!D16),'V06 Calend 01'!J16,0))</f>
        <v>0</v>
      </c>
      <c r="BL16" s="2">
        <f>((IF((52='V06 Calend 01'!C16),('V06 Calend 01'!F16+'V06 Calend 01'!G16),0)+IF(AND(('V06 Calend 01'!E16&gt;0),(52&gt;'V06 Calend 01'!C16),(52&lt;'V06 Calend 01'!D16),(MOD((52-'V06 Calend 01'!C16),6)=0),(((52-'V06 Calend 01'!C16)/6)&lt;='V06 Calend 01'!E16)),IF((52=('V06 Calend 01'!C16+(6*'V06 Calend 01'!E16))),('V06 Calend 01'!H16-('V06 Calend 01'!I16*('V06 Calend 01'!E16-1))),'V06 Calend 01'!I16),0))+IF((52='V06 Calend 01'!D16),'V06 Calend 01'!J16,0))</f>
        <v>0</v>
      </c>
      <c r="BM16" s="2">
        <f>((IF((53='V06 Calend 01'!C16),('V06 Calend 01'!F16+'V06 Calend 01'!G16),0)+IF(AND(('V06 Calend 01'!E16&gt;0),(53&gt;'V06 Calend 01'!C16),(53&lt;'V06 Calend 01'!D16),(MOD((53-'V06 Calend 01'!C16),6)=0),(((53-'V06 Calend 01'!C16)/6)&lt;='V06 Calend 01'!E16)),IF((53=('V06 Calend 01'!C16+(6*'V06 Calend 01'!E16))),('V06 Calend 01'!H16-('V06 Calend 01'!I16*('V06 Calend 01'!E16-1))),'V06 Calend 01'!I16),0))+IF((53='V06 Calend 01'!D16),'V06 Calend 01'!J16,0))</f>
        <v>0</v>
      </c>
      <c r="BN16" s="2">
        <f>((IF((54='V06 Calend 01'!C16),('V06 Calend 01'!F16+'V06 Calend 01'!G16),0)+IF(AND(('V06 Calend 01'!E16&gt;0),(54&gt;'V06 Calend 01'!C16),(54&lt;'V06 Calend 01'!D16),(MOD((54-'V06 Calend 01'!C16),6)=0),(((54-'V06 Calend 01'!C16)/6)&lt;='V06 Calend 01'!E16)),IF((54=('V06 Calend 01'!C16+(6*'V06 Calend 01'!E16))),('V06 Calend 01'!H16-('V06 Calend 01'!I16*('V06 Calend 01'!E16-1))),'V06 Calend 01'!I16),0))+IF((54='V06 Calend 01'!D16),'V06 Calend 01'!J16,0))</f>
        <v>0</v>
      </c>
      <c r="BO16" s="2">
        <f>((IF((55='V06 Calend 01'!C16),('V06 Calend 01'!F16+'V06 Calend 01'!G16),0)+IF(AND(('V06 Calend 01'!E16&gt;0),(55&gt;'V06 Calend 01'!C16),(55&lt;'V06 Calend 01'!D16),(MOD((55-'V06 Calend 01'!C16),6)=0),(((55-'V06 Calend 01'!C16)/6)&lt;='V06 Calend 01'!E16)),IF((55=('V06 Calend 01'!C16+(6*'V06 Calend 01'!E16))),('V06 Calend 01'!H16-('V06 Calend 01'!I16*('V06 Calend 01'!E16-1))),'V06 Calend 01'!I16),0))+IF((55='V06 Calend 01'!D16),'V06 Calend 01'!J16,0))</f>
        <v>0</v>
      </c>
      <c r="BP16" s="2">
        <f>((IF((56='V06 Calend 01'!C16),('V06 Calend 01'!F16+'V06 Calend 01'!G16),0)+IF(AND(('V06 Calend 01'!E16&gt;0),(56&gt;'V06 Calend 01'!C16),(56&lt;'V06 Calend 01'!D16),(MOD((56-'V06 Calend 01'!C16),6)=0),(((56-'V06 Calend 01'!C16)/6)&lt;='V06 Calend 01'!E16)),IF((56=('V06 Calend 01'!C16+(6*'V06 Calend 01'!E16))),('V06 Calend 01'!H16-('V06 Calend 01'!I16*('V06 Calend 01'!E16-1))),'V06 Calend 01'!I16),0))+IF((56='V06 Calend 01'!D16),'V06 Calend 01'!J16,0))</f>
        <v>0</v>
      </c>
      <c r="BQ16" s="2">
        <f>((IF((57='V06 Calend 01'!C16),('V06 Calend 01'!F16+'V06 Calend 01'!G16),0)+IF(AND(('V06 Calend 01'!E16&gt;0),(57&gt;'V06 Calend 01'!C16),(57&lt;'V06 Calend 01'!D16),(MOD((57-'V06 Calend 01'!C16),6)=0),(((57-'V06 Calend 01'!C16)/6)&lt;='V06 Calend 01'!E16)),IF((57=('V06 Calend 01'!C16+(6*'V06 Calend 01'!E16))),('V06 Calend 01'!H16-('V06 Calend 01'!I16*('V06 Calend 01'!E16-1))),'V06 Calend 01'!I16),0))+IF((57='V06 Calend 01'!D16),'V06 Calend 01'!J16,0))</f>
        <v>0</v>
      </c>
      <c r="BR16" s="2">
        <f>((IF((58='V06 Calend 01'!C16),('V06 Calend 01'!F16+'V06 Calend 01'!G16),0)+IF(AND(('V06 Calend 01'!E16&gt;0),(58&gt;'V06 Calend 01'!C16),(58&lt;'V06 Calend 01'!D16),(MOD((58-'V06 Calend 01'!C16),6)=0),(((58-'V06 Calend 01'!C16)/6)&lt;='V06 Calend 01'!E16)),IF((58=('V06 Calend 01'!C16+(6*'V06 Calend 01'!E16))),('V06 Calend 01'!H16-('V06 Calend 01'!I16*('V06 Calend 01'!E16-1))),'V06 Calend 01'!I16),0))+IF((58='V06 Calend 01'!D16),'V06 Calend 01'!J16,0))</f>
        <v>0</v>
      </c>
      <c r="BS16" s="2">
        <f>((IF((59='V06 Calend 01'!C16),('V06 Calend 01'!F16+'V06 Calend 01'!G16),0)+IF(AND(('V06 Calend 01'!E16&gt;0),(59&gt;'V06 Calend 01'!C16),(59&lt;'V06 Calend 01'!D16),(MOD((59-'V06 Calend 01'!C16),6)=0),(((59-'V06 Calend 01'!C16)/6)&lt;='V06 Calend 01'!E16)),IF((59=('V06 Calend 01'!C16+(6*'V06 Calend 01'!E16))),('V06 Calend 01'!H16-('V06 Calend 01'!I16*('V06 Calend 01'!E16-1))),'V06 Calend 01'!I16),0))+IF((59='V06 Calend 01'!D16),'V06 Calend 01'!J16,0))</f>
        <v>0</v>
      </c>
      <c r="BT16" s="2">
        <f>((IF((60='V06 Calend 01'!C16),('V06 Calend 01'!F16+'V06 Calend 01'!G16),0)+IF(AND(('V06 Calend 01'!E16&gt;0),(60&gt;'V06 Calend 01'!C16),(60&lt;'V06 Calend 01'!D16),(MOD((60-'V06 Calend 01'!C16),6)=0),(((60-'V06 Calend 01'!C16)/6)&lt;='V06 Calend 01'!E16)),IF((60=('V06 Calend 01'!C16+(6*'V06 Calend 01'!E16))),('V06 Calend 01'!H16-('V06 Calend 01'!I16*('V06 Calend 01'!E16-1))),'V06 Calend 01'!I16),0))+IF((60='V06 Calend 01'!D16),'V06 Calend 01'!J16,0))</f>
        <v>0</v>
      </c>
      <c r="BU16" s="2">
        <f>((IF((61='V06 Calend 01'!C16),('V06 Calend 01'!F16+'V06 Calend 01'!G16),0)+IF(AND(('V06 Calend 01'!E16&gt;0),(61&gt;'V06 Calend 01'!C16),(61&lt;'V06 Calend 01'!D16),(MOD((61-'V06 Calend 01'!C16),6)=0),(((61-'V06 Calend 01'!C16)/6)&lt;='V06 Calend 01'!E16)),IF((61=('V06 Calend 01'!C16+(6*'V06 Calend 01'!E16))),('V06 Calend 01'!H16-('V06 Calend 01'!I16*('V06 Calend 01'!E16-1))),'V06 Calend 01'!I16),0))+IF((61='V06 Calend 01'!D16),'V06 Calend 01'!J16,0))</f>
        <v>0</v>
      </c>
      <c r="BV16" s="2">
        <f>((IF((62='V06 Calend 01'!C16),('V06 Calend 01'!F16+'V06 Calend 01'!G16),0)+IF(AND(('V06 Calend 01'!E16&gt;0),(62&gt;'V06 Calend 01'!C16),(62&lt;'V06 Calend 01'!D16),(MOD((62-'V06 Calend 01'!C16),6)=0),(((62-'V06 Calend 01'!C16)/6)&lt;='V06 Calend 01'!E16)),IF((62=('V06 Calend 01'!C16+(6*'V06 Calend 01'!E16))),('V06 Calend 01'!H16-('V06 Calend 01'!I16*('V06 Calend 01'!E16-1))),'V06 Calend 01'!I16),0))+IF((62='V06 Calend 01'!D16),'V06 Calend 01'!J16,0))</f>
        <v>0</v>
      </c>
      <c r="BW16" s="2">
        <f>((IF((63='V06 Calend 01'!C16),('V06 Calend 01'!F16+'V06 Calend 01'!G16),0)+IF(AND(('V06 Calend 01'!E16&gt;0),(63&gt;'V06 Calend 01'!C16),(63&lt;'V06 Calend 01'!D16),(MOD((63-'V06 Calend 01'!C16),6)=0),(((63-'V06 Calend 01'!C16)/6)&lt;='V06 Calend 01'!E16)),IF((63=('V06 Calend 01'!C16+(6*'V06 Calend 01'!E16))),('V06 Calend 01'!H16-('V06 Calend 01'!I16*('V06 Calend 01'!E16-1))),'V06 Calend 01'!I16),0))+IF((63='V06 Calend 01'!D16),'V06 Calend 01'!J16,0))</f>
        <v>0</v>
      </c>
      <c r="BX16" s="2">
        <f>((IF((64='V06 Calend 01'!C16),('V06 Calend 01'!F16+'V06 Calend 01'!G16),0)+IF(AND(('V06 Calend 01'!E16&gt;0),(64&gt;'V06 Calend 01'!C16),(64&lt;'V06 Calend 01'!D16),(MOD((64-'V06 Calend 01'!C16),6)=0),(((64-'V06 Calend 01'!C16)/6)&lt;='V06 Calend 01'!E16)),IF((64=('V06 Calend 01'!C16+(6*'V06 Calend 01'!E16))),('V06 Calend 01'!H16-('V06 Calend 01'!I16*('V06 Calend 01'!E16-1))),'V06 Calend 01'!I16),0))+IF((64='V06 Calend 01'!D16),'V06 Calend 01'!J16,0))</f>
        <v>0</v>
      </c>
      <c r="BY16" s="2">
        <f>((IF((65='V06 Calend 01'!C16),('V06 Calend 01'!F16+'V06 Calend 01'!G16),0)+IF(AND(('V06 Calend 01'!E16&gt;0),(65&gt;'V06 Calend 01'!C16),(65&lt;'V06 Calend 01'!D16),(MOD((65-'V06 Calend 01'!C16),6)=0),(((65-'V06 Calend 01'!C16)/6)&lt;='V06 Calend 01'!E16)),IF((65=('V06 Calend 01'!C16+(6*'V06 Calend 01'!E16))),('V06 Calend 01'!H16-('V06 Calend 01'!I16*('V06 Calend 01'!E16-1))),'V06 Calend 01'!I16),0))+IF((65='V06 Calend 01'!D16),'V06 Calend 01'!J16,0))</f>
        <v>0</v>
      </c>
      <c r="BZ16" s="2">
        <f>((IF((66='V06 Calend 01'!C16),('V06 Calend 01'!F16+'V06 Calend 01'!G16),0)+IF(AND(('V06 Calend 01'!E16&gt;0),(66&gt;'V06 Calend 01'!C16),(66&lt;'V06 Calend 01'!D16),(MOD((66-'V06 Calend 01'!C16),6)=0),(((66-'V06 Calend 01'!C16)/6)&lt;='V06 Calend 01'!E16)),IF((66=('V06 Calend 01'!C16+(6*'V06 Calend 01'!E16))),('V06 Calend 01'!H16-('V06 Calend 01'!I16*('V06 Calend 01'!E16-1))),'V06 Calend 01'!I16),0))+IF((66='V06 Calend 01'!D16),'V06 Calend 01'!J16,0))</f>
        <v>0</v>
      </c>
      <c r="CA16" s="2">
        <f>((IF((67='V06 Calend 01'!C16),('V06 Calend 01'!F16+'V06 Calend 01'!G16),0)+IF(AND(('V06 Calend 01'!E16&gt;0),(67&gt;'V06 Calend 01'!C16),(67&lt;'V06 Calend 01'!D16),(MOD((67-'V06 Calend 01'!C16),6)=0),(((67-'V06 Calend 01'!C16)/6)&lt;='V06 Calend 01'!E16)),IF((67=('V06 Calend 01'!C16+(6*'V06 Calend 01'!E16))),('V06 Calend 01'!H16-('V06 Calend 01'!I16*('V06 Calend 01'!E16-1))),'V06 Calend 01'!I16),0))+IF((67='V06 Calend 01'!D16),'V06 Calend 01'!J16,0))</f>
        <v>0</v>
      </c>
      <c r="CB16" s="2">
        <f>((IF((68='V06 Calend 01'!C16),('V06 Calend 01'!F16+'V06 Calend 01'!G16),0)+IF(AND(('V06 Calend 01'!E16&gt;0),(68&gt;'V06 Calend 01'!C16),(68&lt;'V06 Calend 01'!D16),(MOD((68-'V06 Calend 01'!C16),6)=0),(((68-'V06 Calend 01'!C16)/6)&lt;='V06 Calend 01'!E16)),IF((68=('V06 Calend 01'!C16+(6*'V06 Calend 01'!E16))),('V06 Calend 01'!H16-('V06 Calend 01'!I16*('V06 Calend 01'!E16-1))),'V06 Calend 01'!I16),0))+IF((68='V06 Calend 01'!D16),'V06 Calend 01'!J16,0))</f>
        <v>0</v>
      </c>
      <c r="CC16" s="2">
        <f>((IF((69='V06 Calend 01'!C16),('V06 Calend 01'!F16+'V06 Calend 01'!G16),0)+IF(AND(('V06 Calend 01'!E16&gt;0),(69&gt;'V06 Calend 01'!C16),(69&lt;'V06 Calend 01'!D16),(MOD((69-'V06 Calend 01'!C16),6)=0),(((69-'V06 Calend 01'!C16)/6)&lt;='V06 Calend 01'!E16)),IF((69=('V06 Calend 01'!C16+(6*'V06 Calend 01'!E16))),('V06 Calend 01'!H16-('V06 Calend 01'!I16*('V06 Calend 01'!E16-1))),'V06 Calend 01'!I16),0))+IF((69='V06 Calend 01'!D16),'V06 Calend 01'!J16,0))</f>
        <v>0</v>
      </c>
      <c r="CD16" s="2">
        <f>((IF((70='V06 Calend 01'!C16),('V06 Calend 01'!F16+'V06 Calend 01'!G16),0)+IF(AND(('V06 Calend 01'!E16&gt;0),(70&gt;'V06 Calend 01'!C16),(70&lt;'V06 Calend 01'!D16),(MOD((70-'V06 Calend 01'!C16),6)=0),(((70-'V06 Calend 01'!C16)/6)&lt;='V06 Calend 01'!E16)),IF((70=('V06 Calend 01'!C16+(6*'V06 Calend 01'!E16))),('V06 Calend 01'!H16-('V06 Calend 01'!I16*('V06 Calend 01'!E16-1))),'V06 Calend 01'!I16),0))+IF((70='V06 Calend 01'!D16),'V06 Calend 01'!J16,0))</f>
        <v>0</v>
      </c>
      <c r="CE16" s="2">
        <f>((IF((71='V06 Calend 01'!C16),('V06 Calend 01'!F16+'V06 Calend 01'!G16),0)+IF(AND(('V06 Calend 01'!E16&gt;0),(71&gt;'V06 Calend 01'!C16),(71&lt;'V06 Calend 01'!D16),(MOD((71-'V06 Calend 01'!C16),6)=0),(((71-'V06 Calend 01'!C16)/6)&lt;='V06 Calend 01'!E16)),IF((71=('V06 Calend 01'!C16+(6*'V06 Calend 01'!E16))),('V06 Calend 01'!H16-('V06 Calend 01'!I16*('V06 Calend 01'!E16-1))),'V06 Calend 01'!I16),0))+IF((71='V06 Calend 01'!D16),'V06 Calend 01'!J16,0))</f>
        <v>0</v>
      </c>
      <c r="CF16" s="2">
        <f>((IF((72='V06 Calend 01'!C16),('V06 Calend 01'!F16+'V06 Calend 01'!G16),0)+IF(AND(('V06 Calend 01'!E16&gt;0),(72&gt;'V06 Calend 01'!C16),(72&lt;'V06 Calend 01'!D16),(MOD((72-'V06 Calend 01'!C16),6)=0),(((72-'V06 Calend 01'!C16)/6)&lt;='V06 Calend 01'!E16)),IF((72=('V06 Calend 01'!C16+(6*'V06 Calend 01'!E16))),('V06 Calend 01'!H16-('V06 Calend 01'!I16*('V06 Calend 01'!E16-1))),'V06 Calend 01'!I16),0))+IF((72='V06 Calend 01'!D16),'V06 Calend 01'!J16,0))</f>
        <v>0</v>
      </c>
      <c r="CG16" s="2">
        <f>((IF((73='V06 Calend 01'!C16),('V06 Calend 01'!F16+'V06 Calend 01'!G16),0)+IF(AND(('V06 Calend 01'!E16&gt;0),(73&gt;'V06 Calend 01'!C16),(73&lt;'V06 Calend 01'!D16),(MOD((73-'V06 Calend 01'!C16),6)=0),(((73-'V06 Calend 01'!C16)/6)&lt;='V06 Calend 01'!E16)),IF((73=('V06 Calend 01'!C16+(6*'V06 Calend 01'!E16))),('V06 Calend 01'!H16-('V06 Calend 01'!I16*('V06 Calend 01'!E16-1))),'V06 Calend 01'!I16),0))+IF((73='V06 Calend 01'!D16),'V06 Calend 01'!J16,0))</f>
        <v>0</v>
      </c>
      <c r="CH16" s="2">
        <f>((IF((74='V06 Calend 01'!C16),('V06 Calend 01'!F16+'V06 Calend 01'!G16),0)+IF(AND(('V06 Calend 01'!E16&gt;0),(74&gt;'V06 Calend 01'!C16),(74&lt;'V06 Calend 01'!D16),(MOD((74-'V06 Calend 01'!C16),6)=0),(((74-'V06 Calend 01'!C16)/6)&lt;='V06 Calend 01'!E16)),IF((74=('V06 Calend 01'!C16+(6*'V06 Calend 01'!E16))),('V06 Calend 01'!H16-('V06 Calend 01'!I16*('V06 Calend 01'!E16-1))),'V06 Calend 01'!I16),0))+IF((74='V06 Calend 01'!D16),'V06 Calend 01'!J16,0))</f>
        <v>0</v>
      </c>
      <c r="CI16" s="2">
        <f>((IF((75='V06 Calend 01'!C16),('V06 Calend 01'!F16+'V06 Calend 01'!G16),0)+IF(AND(('V06 Calend 01'!E16&gt;0),(75&gt;'V06 Calend 01'!C16),(75&lt;'V06 Calend 01'!D16),(MOD((75-'V06 Calend 01'!C16),6)=0),(((75-'V06 Calend 01'!C16)/6)&lt;='V06 Calend 01'!E16)),IF((75=('V06 Calend 01'!C16+(6*'V06 Calend 01'!E16))),('V06 Calend 01'!H16-('V06 Calend 01'!I16*('V06 Calend 01'!E16-1))),'V06 Calend 01'!I16),0))+IF((75='V06 Calend 01'!D16),'V06 Calend 01'!J16,0))</f>
        <v>0</v>
      </c>
      <c r="CJ16" s="2">
        <f>((IF((76='V06 Calend 01'!C16),('V06 Calend 01'!F16+'V06 Calend 01'!G16),0)+IF(AND(('V06 Calend 01'!E16&gt;0),(76&gt;'V06 Calend 01'!C16),(76&lt;'V06 Calend 01'!D16),(MOD((76-'V06 Calend 01'!C16),6)=0),(((76-'V06 Calend 01'!C16)/6)&lt;='V06 Calend 01'!E16)),IF((76=('V06 Calend 01'!C16+(6*'V06 Calend 01'!E16))),('V06 Calend 01'!H16-('V06 Calend 01'!I16*('V06 Calend 01'!E16-1))),'V06 Calend 01'!I16),0))+IF((76='V06 Calend 01'!D16),'V06 Calend 01'!J16,0))</f>
        <v>0</v>
      </c>
      <c r="CK16" s="2">
        <f>((IF((77='V06 Calend 01'!C16),('V06 Calend 01'!F16+'V06 Calend 01'!G16),0)+IF(AND(('V06 Calend 01'!E16&gt;0),(77&gt;'V06 Calend 01'!C16),(77&lt;'V06 Calend 01'!D16),(MOD((77-'V06 Calend 01'!C16),6)=0),(((77-'V06 Calend 01'!C16)/6)&lt;='V06 Calend 01'!E16)),IF((77=('V06 Calend 01'!C16+(6*'V06 Calend 01'!E16))),('V06 Calend 01'!H16-('V06 Calend 01'!I16*('V06 Calend 01'!E16-1))),'V06 Calend 01'!I16),0))+IF((77='V06 Calend 01'!D16),'V06 Calend 01'!J16,0))</f>
        <v>0</v>
      </c>
      <c r="CL16" s="2">
        <f>((IF((78='V06 Calend 01'!C16),('V06 Calend 01'!F16+'V06 Calend 01'!G16),0)+IF(AND(('V06 Calend 01'!E16&gt;0),(78&gt;'V06 Calend 01'!C16),(78&lt;'V06 Calend 01'!D16),(MOD((78-'V06 Calend 01'!C16),6)=0),(((78-'V06 Calend 01'!C16)/6)&lt;='V06 Calend 01'!E16)),IF((78=('V06 Calend 01'!C16+(6*'V06 Calend 01'!E16))),('V06 Calend 01'!H16-('V06 Calend 01'!I16*('V06 Calend 01'!E16-1))),'V06 Calend 01'!I16),0))+IF((78='V06 Calend 01'!D16),'V06 Calend 01'!J16,0))</f>
        <v>0</v>
      </c>
      <c r="CM16" s="2">
        <f>((IF((79='V06 Calend 01'!C16),('V06 Calend 01'!F16+'V06 Calend 01'!G16),0)+IF(AND(('V06 Calend 01'!E16&gt;0),(79&gt;'V06 Calend 01'!C16),(79&lt;'V06 Calend 01'!D16),(MOD((79-'V06 Calend 01'!C16),6)=0),(((79-'V06 Calend 01'!C16)/6)&lt;='V06 Calend 01'!E16)),IF((79=('V06 Calend 01'!C16+(6*'V06 Calend 01'!E16))),('V06 Calend 01'!H16-('V06 Calend 01'!I16*('V06 Calend 01'!E16-1))),'V06 Calend 01'!I16),0))+IF((79='V06 Calend 01'!D16),'V06 Calend 01'!J16,0))</f>
        <v>0</v>
      </c>
      <c r="CN16" s="2">
        <f>((IF((80='V06 Calend 01'!C16),('V06 Calend 01'!F16+'V06 Calend 01'!G16),0)+IF(AND(('V06 Calend 01'!E16&gt;0),(80&gt;'V06 Calend 01'!C16),(80&lt;'V06 Calend 01'!D16),(MOD((80-'V06 Calend 01'!C16),6)=0),(((80-'V06 Calend 01'!C16)/6)&lt;='V06 Calend 01'!E16)),IF((80=('V06 Calend 01'!C16+(6*'V06 Calend 01'!E16))),('V06 Calend 01'!H16-('V06 Calend 01'!I16*('V06 Calend 01'!E16-1))),'V06 Calend 01'!I16),0))+IF((80='V06 Calend 01'!D16),'V06 Calend 01'!J16,0))</f>
        <v>0</v>
      </c>
      <c r="CO16" s="2">
        <f>((IF((81='V06 Calend 01'!C16),('V06 Calend 01'!F16+'V06 Calend 01'!G16),0)+IF(AND(('V06 Calend 01'!E16&gt;0),(81&gt;'V06 Calend 01'!C16),(81&lt;'V06 Calend 01'!D16),(MOD((81-'V06 Calend 01'!C16),6)=0),(((81-'V06 Calend 01'!C16)/6)&lt;='V06 Calend 01'!E16)),IF((81=('V06 Calend 01'!C16+(6*'V06 Calend 01'!E16))),('V06 Calend 01'!H16-('V06 Calend 01'!I16*('V06 Calend 01'!E16-1))),'V06 Calend 01'!I16),0))+IF((81='V06 Calend 01'!D16),'V06 Calend 01'!J16,0))</f>
        <v>0</v>
      </c>
      <c r="CP16" s="2">
        <f>((IF((82='V06 Calend 01'!C16),('V06 Calend 01'!F16+'V06 Calend 01'!G16),0)+IF(AND(('V06 Calend 01'!E16&gt;0),(82&gt;'V06 Calend 01'!C16),(82&lt;'V06 Calend 01'!D16),(MOD((82-'V06 Calend 01'!C16),6)=0),(((82-'V06 Calend 01'!C16)/6)&lt;='V06 Calend 01'!E16)),IF((82=('V06 Calend 01'!C16+(6*'V06 Calend 01'!E16))),('V06 Calend 01'!H16-('V06 Calend 01'!I16*('V06 Calend 01'!E16-1))),'V06 Calend 01'!I16),0))+IF((82='V06 Calend 01'!D16),'V06 Calend 01'!J16,0))</f>
        <v>0</v>
      </c>
      <c r="CQ16" s="2">
        <f>((IF((83='V06 Calend 01'!C16),('V06 Calend 01'!F16+'V06 Calend 01'!G16),0)+IF(AND(('V06 Calend 01'!E16&gt;0),(83&gt;'V06 Calend 01'!C16),(83&lt;'V06 Calend 01'!D16),(MOD((83-'V06 Calend 01'!C16),6)=0),(((83-'V06 Calend 01'!C16)/6)&lt;='V06 Calend 01'!E16)),IF((83=('V06 Calend 01'!C16+(6*'V06 Calend 01'!E16))),('V06 Calend 01'!H16-('V06 Calend 01'!I16*('V06 Calend 01'!E16-1))),'V06 Calend 01'!I16),0))+IF((83='V06 Calend 01'!D16),'V06 Calend 01'!J16,0))</f>
        <v>0</v>
      </c>
      <c r="CR16" s="2">
        <f>((IF((84='V06 Calend 01'!C16),('V06 Calend 01'!F16+'V06 Calend 01'!G16),0)+IF(AND(('V06 Calend 01'!E16&gt;0),(84&gt;'V06 Calend 01'!C16),(84&lt;'V06 Calend 01'!D16),(MOD((84-'V06 Calend 01'!C16),6)=0),(((84-'V06 Calend 01'!C16)/6)&lt;='V06 Calend 01'!E16)),IF((84=('V06 Calend 01'!C16+(6*'V06 Calend 01'!E16))),('V06 Calend 01'!H16-('V06 Calend 01'!I16*('V06 Calend 01'!E16-1))),'V06 Calend 01'!I16),0))+IF((84='V06 Calend 01'!D16),'V06 Calend 01'!J16,0))</f>
        <v>0</v>
      </c>
      <c r="CS16" s="2">
        <f>((IF((85='V06 Calend 01'!C16),('V06 Calend 01'!F16+'V06 Calend 01'!G16),0)+IF(AND(('V06 Calend 01'!E16&gt;0),(85&gt;'V06 Calend 01'!C16),(85&lt;'V06 Calend 01'!D16),(MOD((85-'V06 Calend 01'!C16),6)=0),(((85-'V06 Calend 01'!C16)/6)&lt;='V06 Calend 01'!E16)),IF((85=('V06 Calend 01'!C16+(6*'V06 Calend 01'!E16))),('V06 Calend 01'!H16-('V06 Calend 01'!I16*('V06 Calend 01'!E16-1))),'V06 Calend 01'!I16),0))+IF((85='V06 Calend 01'!D16),'V06 Calend 01'!J16,0))</f>
        <v>0</v>
      </c>
      <c r="CT16" s="2">
        <f>((IF((86='V06 Calend 01'!C16),('V06 Calend 01'!F16+'V06 Calend 01'!G16),0)+IF(AND(('V06 Calend 01'!E16&gt;0),(86&gt;'V06 Calend 01'!C16),(86&lt;'V06 Calend 01'!D16),(MOD((86-'V06 Calend 01'!C16),6)=0),(((86-'V06 Calend 01'!C16)/6)&lt;='V06 Calend 01'!E16)),IF((86=('V06 Calend 01'!C16+(6*'V06 Calend 01'!E16))),('V06 Calend 01'!H16-('V06 Calend 01'!I16*('V06 Calend 01'!E16-1))),'V06 Calend 01'!I16),0))+IF((86='V06 Calend 01'!D16),'V06 Calend 01'!J16,0))</f>
        <v>0</v>
      </c>
      <c r="CU16" s="2">
        <f>((IF((87='V06 Calend 01'!C16),('V06 Calend 01'!F16+'V06 Calend 01'!G16),0)+IF(AND(('V06 Calend 01'!E16&gt;0),(87&gt;'V06 Calend 01'!C16),(87&lt;'V06 Calend 01'!D16),(MOD((87-'V06 Calend 01'!C16),6)=0),(((87-'V06 Calend 01'!C16)/6)&lt;='V06 Calend 01'!E16)),IF((87=('V06 Calend 01'!C16+(6*'V06 Calend 01'!E16))),('V06 Calend 01'!H16-('V06 Calend 01'!I16*('V06 Calend 01'!E16-1))),'V06 Calend 01'!I16),0))+IF((87='V06 Calend 01'!D16),'V06 Calend 01'!J16,0))</f>
        <v>0</v>
      </c>
      <c r="CV16" s="2">
        <f>((IF((88='V06 Calend 01'!C16),('V06 Calend 01'!F16+'V06 Calend 01'!G16),0)+IF(AND(('V06 Calend 01'!E16&gt;0),(88&gt;'V06 Calend 01'!C16),(88&lt;'V06 Calend 01'!D16),(MOD((88-'V06 Calend 01'!C16),6)=0),(((88-'V06 Calend 01'!C16)/6)&lt;='V06 Calend 01'!E16)),IF((88=('V06 Calend 01'!C16+(6*'V06 Calend 01'!E16))),('V06 Calend 01'!H16-('V06 Calend 01'!I16*('V06 Calend 01'!E16-1))),'V06 Calend 01'!I16),0))+IF((88='V06 Calend 01'!D16),'V06 Calend 01'!J16,0))</f>
        <v>0</v>
      </c>
      <c r="CW16" s="2">
        <f>((IF((89='V06 Calend 01'!C16),('V06 Calend 01'!F16+'V06 Calend 01'!G16),0)+IF(AND(('V06 Calend 01'!E16&gt;0),(89&gt;'V06 Calend 01'!C16),(89&lt;'V06 Calend 01'!D16),(MOD((89-'V06 Calend 01'!C16),6)=0),(((89-'V06 Calend 01'!C16)/6)&lt;='V06 Calend 01'!E16)),IF((89=('V06 Calend 01'!C16+(6*'V06 Calend 01'!E16))),('V06 Calend 01'!H16-('V06 Calend 01'!I16*('V06 Calend 01'!E16-1))),'V06 Calend 01'!I16),0))+IF((89='V06 Calend 01'!D16),'V06 Calend 01'!J16,0))</f>
        <v>0</v>
      </c>
      <c r="CX16" s="2">
        <f>((IF((90='V06 Calend 01'!C16),('V06 Calend 01'!F16+'V06 Calend 01'!G16),0)+IF(AND(('V06 Calend 01'!E16&gt;0),(90&gt;'V06 Calend 01'!C16),(90&lt;'V06 Calend 01'!D16),(MOD((90-'V06 Calend 01'!C16),6)=0),(((90-'V06 Calend 01'!C16)/6)&lt;='V06 Calend 01'!E16)),IF((90=('V06 Calend 01'!C16+(6*'V06 Calend 01'!E16))),('V06 Calend 01'!H16-('V06 Calend 01'!I16*('V06 Calend 01'!E16-1))),'V06 Calend 01'!I16),0))+IF((90='V06 Calend 01'!D16),'V06 Calend 01'!J16,0))</f>
        <v>0</v>
      </c>
      <c r="CY16" s="2">
        <f>((IF((91='V06 Calend 01'!C16),('V06 Calend 01'!F16+'V06 Calend 01'!G16),0)+IF(AND(('V06 Calend 01'!E16&gt;0),(91&gt;'V06 Calend 01'!C16),(91&lt;'V06 Calend 01'!D16),(MOD((91-'V06 Calend 01'!C16),6)=0),(((91-'V06 Calend 01'!C16)/6)&lt;='V06 Calend 01'!E16)),IF((91=('V06 Calend 01'!C16+(6*'V06 Calend 01'!E16))),('V06 Calend 01'!H16-('V06 Calend 01'!I16*('V06 Calend 01'!E16-1))),'V06 Calend 01'!I16),0))+IF((91='V06 Calend 01'!D16),'V06 Calend 01'!J16,0))</f>
        <v>0</v>
      </c>
      <c r="CZ16" s="2">
        <f>((IF((92='V06 Calend 01'!C16),('V06 Calend 01'!F16+'V06 Calend 01'!G16),0)+IF(AND(('V06 Calend 01'!E16&gt;0),(92&gt;'V06 Calend 01'!C16),(92&lt;'V06 Calend 01'!D16),(MOD((92-'V06 Calend 01'!C16),6)=0),(((92-'V06 Calend 01'!C16)/6)&lt;='V06 Calend 01'!E16)),IF((92=('V06 Calend 01'!C16+(6*'V06 Calend 01'!E16))),('V06 Calend 01'!H16-('V06 Calend 01'!I16*('V06 Calend 01'!E16-1))),'V06 Calend 01'!I16),0))+IF((92='V06 Calend 01'!D16),'V06 Calend 01'!J16,0))</f>
        <v>0</v>
      </c>
      <c r="DA16" s="2">
        <f>((IF((93='V06 Calend 01'!C16),('V06 Calend 01'!F16+'V06 Calend 01'!G16),0)+IF(AND(('V06 Calend 01'!E16&gt;0),(93&gt;'V06 Calend 01'!C16),(93&lt;'V06 Calend 01'!D16),(MOD((93-'V06 Calend 01'!C16),6)=0),(((93-'V06 Calend 01'!C16)/6)&lt;='V06 Calend 01'!E16)),IF((93=('V06 Calend 01'!C16+(6*'V06 Calend 01'!E16))),('V06 Calend 01'!H16-('V06 Calend 01'!I16*('V06 Calend 01'!E16-1))),'V06 Calend 01'!I16),0))+IF((93='V06 Calend 01'!D16),'V06 Calend 01'!J16,0))</f>
        <v>0</v>
      </c>
      <c r="DB16" s="2">
        <f>((IF((94='V06 Calend 01'!C16),('V06 Calend 01'!F16+'V06 Calend 01'!G16),0)+IF(AND(('V06 Calend 01'!E16&gt;0),(94&gt;'V06 Calend 01'!C16),(94&lt;'V06 Calend 01'!D16),(MOD((94-'V06 Calend 01'!C16),6)=0),(((94-'V06 Calend 01'!C16)/6)&lt;='V06 Calend 01'!E16)),IF((94=('V06 Calend 01'!C16+(6*'V06 Calend 01'!E16))),('V06 Calend 01'!H16-('V06 Calend 01'!I16*('V06 Calend 01'!E16-1))),'V06 Calend 01'!I16),0))+IF((94='V06 Calend 01'!D16),'V06 Calend 01'!J16,0))</f>
        <v>0</v>
      </c>
      <c r="DC16" s="2">
        <f>((IF((95='V06 Calend 01'!C16),('V06 Calend 01'!F16+'V06 Calend 01'!G16),0)+IF(AND(('V06 Calend 01'!E16&gt;0),(95&gt;'V06 Calend 01'!C16),(95&lt;'V06 Calend 01'!D16),(MOD((95-'V06 Calend 01'!C16),6)=0),(((95-'V06 Calend 01'!C16)/6)&lt;='V06 Calend 01'!E16)),IF((95=('V06 Calend 01'!C16+(6*'V06 Calend 01'!E16))),('V06 Calend 01'!H16-('V06 Calend 01'!I16*('V06 Calend 01'!E16-1))),'V06 Calend 01'!I16),0))+IF((95='V06 Calend 01'!D16),'V06 Calend 01'!J16,0))</f>
        <v>0</v>
      </c>
      <c r="DD16" s="2">
        <f>((IF((96='V06 Calend 01'!C16),('V06 Calend 01'!F16+'V06 Calend 01'!G16),0)+IF(AND(('V06 Calend 01'!E16&gt;0),(96&gt;'V06 Calend 01'!C16),(96&lt;'V06 Calend 01'!D16),(MOD((96-'V06 Calend 01'!C16),6)=0),(((96-'V06 Calend 01'!C16)/6)&lt;='V06 Calend 01'!E16)),IF((96=('V06 Calend 01'!C16+(6*'V06 Calend 01'!E16))),('V06 Calend 01'!H16-('V06 Calend 01'!I16*('V06 Calend 01'!E16-1))),'V06 Calend 01'!I16),0))+IF((96='V06 Calend 01'!D16),'V06 Calend 01'!J16,0))</f>
        <v>0</v>
      </c>
      <c r="DE16" s="2">
        <f>((IF((97='V06 Calend 01'!C16),('V06 Calend 01'!F16+'V06 Calend 01'!G16),0)+IF(AND(('V06 Calend 01'!E16&gt;0),(97&gt;'V06 Calend 01'!C16),(97&lt;'V06 Calend 01'!D16),(MOD((97-'V06 Calend 01'!C16),6)=0),(((97-'V06 Calend 01'!C16)/6)&lt;='V06 Calend 01'!E16)),IF((97=('V06 Calend 01'!C16+(6*'V06 Calend 01'!E16))),('V06 Calend 01'!H16-('V06 Calend 01'!I16*('V06 Calend 01'!E16-1))),'V06 Calend 01'!I16),0))+IF((97='V06 Calend 01'!D16),'V06 Calend 01'!J16,0))</f>
        <v>0</v>
      </c>
      <c r="DF16" s="2">
        <f>((IF((98='V06 Calend 01'!C16),('V06 Calend 01'!F16+'V06 Calend 01'!G16),0)+IF(AND(('V06 Calend 01'!E16&gt;0),(98&gt;'V06 Calend 01'!C16),(98&lt;'V06 Calend 01'!D16),(MOD((98-'V06 Calend 01'!C16),6)=0),(((98-'V06 Calend 01'!C16)/6)&lt;='V06 Calend 01'!E16)),IF((98=('V06 Calend 01'!C16+(6*'V06 Calend 01'!E16))),('V06 Calend 01'!H16-('V06 Calend 01'!I16*('V06 Calend 01'!E16-1))),'V06 Calend 01'!I16),0))+IF((98='V06 Calend 01'!D16),'V06 Calend 01'!J16,0))</f>
        <v>0</v>
      </c>
      <c r="DG16" s="2">
        <f>((IF((99='V06 Calend 01'!C16),('V06 Calend 01'!F16+'V06 Calend 01'!G16),0)+IF(AND(('V06 Calend 01'!E16&gt;0),(99&gt;'V06 Calend 01'!C16),(99&lt;'V06 Calend 01'!D16),(MOD((99-'V06 Calend 01'!C16),6)=0),(((99-'V06 Calend 01'!C16)/6)&lt;='V06 Calend 01'!E16)),IF((99=('V06 Calend 01'!C16+(6*'V06 Calend 01'!E16))),('V06 Calend 01'!H16-('V06 Calend 01'!I16*('V06 Calend 01'!E16-1))),'V06 Calend 01'!I16),0))+IF((99='V06 Calend 01'!D16),'V06 Calend 01'!J16,0))</f>
        <v>0</v>
      </c>
      <c r="DH16" s="2">
        <f>((IF((100='V06 Calend 01'!C16),('V06 Calend 01'!F16+'V06 Calend 01'!G16),0)+IF(AND(('V06 Calend 01'!E16&gt;0),(100&gt;'V06 Calend 01'!C16),(100&lt;'V06 Calend 01'!D16),(MOD((100-'V06 Calend 01'!C16),6)=0),(((100-'V06 Calend 01'!C16)/6)&lt;='V06 Calend 01'!E16)),IF((100=('V06 Calend 01'!C16+(6*'V06 Calend 01'!E16))),('V06 Calend 01'!H16-('V06 Calend 01'!I16*('V06 Calend 01'!E16-1))),'V06 Calend 01'!I16),0))+IF((100='V06 Calend 01'!D16),'V06 Calend 01'!J16,0))</f>
        <v>0</v>
      </c>
      <c r="DI16" s="2">
        <f>((IF((101='V06 Calend 01'!C16),('V06 Calend 01'!F16+'V06 Calend 01'!G16),0)+IF(AND(('V06 Calend 01'!E16&gt;0),(101&gt;'V06 Calend 01'!C16),(101&lt;'V06 Calend 01'!D16),(MOD((101-'V06 Calend 01'!C16),6)=0),(((101-'V06 Calend 01'!C16)/6)&lt;='V06 Calend 01'!E16)),IF((101=('V06 Calend 01'!C16+(6*'V06 Calend 01'!E16))),('V06 Calend 01'!H16-('V06 Calend 01'!I16*('V06 Calend 01'!E16-1))),'V06 Calend 01'!I16),0))+IF((101='V06 Calend 01'!D16),'V06 Calend 01'!J16,0))</f>
        <v>0</v>
      </c>
      <c r="DJ16" s="2">
        <f>((IF((102='V06 Calend 01'!C16),('V06 Calend 01'!F16+'V06 Calend 01'!G16),0)+IF(AND(('V06 Calend 01'!E16&gt;0),(102&gt;'V06 Calend 01'!C16),(102&lt;'V06 Calend 01'!D16),(MOD((102-'V06 Calend 01'!C16),6)=0),(((102-'V06 Calend 01'!C16)/6)&lt;='V06 Calend 01'!E16)),IF((102=('V06 Calend 01'!C16+(6*'V06 Calend 01'!E16))),('V06 Calend 01'!H16-('V06 Calend 01'!I16*('V06 Calend 01'!E16-1))),'V06 Calend 01'!I16),0))+IF((102='V06 Calend 01'!D16),'V06 Calend 01'!J16,0))</f>
        <v>0</v>
      </c>
      <c r="DK16" s="2">
        <f>((IF((103='V06 Calend 01'!C16),('V06 Calend 01'!F16+'V06 Calend 01'!G16),0)+IF(AND(('V06 Calend 01'!E16&gt;0),(103&gt;'V06 Calend 01'!C16),(103&lt;'V06 Calend 01'!D16),(MOD((103-'V06 Calend 01'!C16),6)=0),(((103-'V06 Calend 01'!C16)/6)&lt;='V06 Calend 01'!E16)),IF((103=('V06 Calend 01'!C16+(6*'V06 Calend 01'!E16))),('V06 Calend 01'!H16-('V06 Calend 01'!I16*('V06 Calend 01'!E16-1))),'V06 Calend 01'!I16),0))+IF((103='V06 Calend 01'!D16),'V06 Calend 01'!J16,0))</f>
        <v>0</v>
      </c>
      <c r="DL16" s="2">
        <f>((IF((104='V06 Calend 01'!C16),('V06 Calend 01'!F16+'V06 Calend 01'!G16),0)+IF(AND(('V06 Calend 01'!E16&gt;0),(104&gt;'V06 Calend 01'!C16),(104&lt;'V06 Calend 01'!D16),(MOD((104-'V06 Calend 01'!C16),6)=0),(((104-'V06 Calend 01'!C16)/6)&lt;='V06 Calend 01'!E16)),IF((104=('V06 Calend 01'!C16+(6*'V06 Calend 01'!E16))),('V06 Calend 01'!H16-('V06 Calend 01'!I16*('V06 Calend 01'!E16-1))),'V06 Calend 01'!I16),0))+IF((104='V06 Calend 01'!D16),'V06 Calend 01'!J16,0))</f>
        <v>0</v>
      </c>
      <c r="DM16" s="2">
        <f>((IF((105='V06 Calend 01'!C16),('V06 Calend 01'!F16+'V06 Calend 01'!G16),0)+IF(AND(('V06 Calend 01'!E16&gt;0),(105&gt;'V06 Calend 01'!C16),(105&lt;'V06 Calend 01'!D16),(MOD((105-'V06 Calend 01'!C16),6)=0),(((105-'V06 Calend 01'!C16)/6)&lt;='V06 Calend 01'!E16)),IF((105=('V06 Calend 01'!C16+(6*'V06 Calend 01'!E16))),('V06 Calend 01'!H16-('V06 Calend 01'!I16*('V06 Calend 01'!E16-1))),'V06 Calend 01'!I16),0))+IF((105='V06 Calend 01'!D16),'V06 Calend 01'!J16,0))</f>
        <v>0</v>
      </c>
      <c r="DN16" s="2">
        <f>((IF((106='V06 Calend 01'!C16),('V06 Calend 01'!F16+'V06 Calend 01'!G16),0)+IF(AND(('V06 Calend 01'!E16&gt;0),(106&gt;'V06 Calend 01'!C16),(106&lt;'V06 Calend 01'!D16),(MOD((106-'V06 Calend 01'!C16),6)=0),(((106-'V06 Calend 01'!C16)/6)&lt;='V06 Calend 01'!E16)),IF((106=('V06 Calend 01'!C16+(6*'V06 Calend 01'!E16))),('V06 Calend 01'!H16-('V06 Calend 01'!I16*('V06 Calend 01'!E16-1))),'V06 Calend 01'!I16),0))+IF((106='V06 Calend 01'!D16),'V06 Calend 01'!J16,0))</f>
        <v>0</v>
      </c>
      <c r="DO16" s="2">
        <f>((IF((107='V06 Calend 01'!C16),('V06 Calend 01'!F16+'V06 Calend 01'!G16),0)+IF(AND(('V06 Calend 01'!E16&gt;0),(107&gt;'V06 Calend 01'!C16),(107&lt;'V06 Calend 01'!D16),(MOD((107-'V06 Calend 01'!C16),6)=0),(((107-'V06 Calend 01'!C16)/6)&lt;='V06 Calend 01'!E16)),IF((107=('V06 Calend 01'!C16+(6*'V06 Calend 01'!E16))),('V06 Calend 01'!H16-('V06 Calend 01'!I16*('V06 Calend 01'!E16-1))),'V06 Calend 01'!I16),0))+IF((107='V06 Calend 01'!D16),'V06 Calend 01'!J16,0))</f>
        <v>0</v>
      </c>
      <c r="DP16" s="2">
        <f>((IF((108='V06 Calend 01'!C16),('V06 Calend 01'!F16+'V06 Calend 01'!G16),0)+IF(AND(('V06 Calend 01'!E16&gt;0),(108&gt;'V06 Calend 01'!C16),(108&lt;'V06 Calend 01'!D16),(MOD((108-'V06 Calend 01'!C16),6)=0),(((108-'V06 Calend 01'!C16)/6)&lt;='V06 Calend 01'!E16)),IF((108=('V06 Calend 01'!C16+(6*'V06 Calend 01'!E16))),('V06 Calend 01'!H16-('V06 Calend 01'!I16*('V06 Calend 01'!E16-1))),'V06 Calend 01'!I16),0))+IF((108='V06 Calend 01'!D16),'V06 Calend 01'!J16,0))</f>
        <v>0</v>
      </c>
      <c r="DQ16" s="2">
        <f>((IF((109='V06 Calend 01'!C16),('V06 Calend 01'!F16+'V06 Calend 01'!G16),0)+IF(AND(('V06 Calend 01'!E16&gt;0),(109&gt;'V06 Calend 01'!C16),(109&lt;'V06 Calend 01'!D16),(MOD((109-'V06 Calend 01'!C16),6)=0),(((109-'V06 Calend 01'!C16)/6)&lt;='V06 Calend 01'!E16)),IF((109=('V06 Calend 01'!C16+(6*'V06 Calend 01'!E16))),('V06 Calend 01'!H16-('V06 Calend 01'!I16*('V06 Calend 01'!E16-1))),'V06 Calend 01'!I16),0))+IF((109='V06 Calend 01'!D16),'V06 Calend 01'!J16,0))</f>
        <v>0</v>
      </c>
      <c r="DR16" s="2">
        <f>((IF((110='V06 Calend 01'!C16),('V06 Calend 01'!F16+'V06 Calend 01'!G16),0)+IF(AND(('V06 Calend 01'!E16&gt;0),(110&gt;'V06 Calend 01'!C16),(110&lt;'V06 Calend 01'!D16),(MOD((110-'V06 Calend 01'!C16),6)=0),(((110-'V06 Calend 01'!C16)/6)&lt;='V06 Calend 01'!E16)),IF((110=('V06 Calend 01'!C16+(6*'V06 Calend 01'!E16))),('V06 Calend 01'!H16-('V06 Calend 01'!I16*('V06 Calend 01'!E16-1))),'V06 Calend 01'!I16),0))+IF((110='V06 Calend 01'!D16),'V06 Calend 01'!J16,0))</f>
        <v>0</v>
      </c>
      <c r="DS16" s="2">
        <f>((IF((111='V06 Calend 01'!C16),('V06 Calend 01'!F16+'V06 Calend 01'!G16),0)+IF(AND(('V06 Calend 01'!E16&gt;0),(111&gt;'V06 Calend 01'!C16),(111&lt;'V06 Calend 01'!D16),(MOD((111-'V06 Calend 01'!C16),6)=0),(((111-'V06 Calend 01'!C16)/6)&lt;='V06 Calend 01'!E16)),IF((111=('V06 Calend 01'!C16+(6*'V06 Calend 01'!E16))),('V06 Calend 01'!H16-('V06 Calend 01'!I16*('V06 Calend 01'!E16-1))),'V06 Calend 01'!I16),0))+IF((111='V06 Calend 01'!D16),'V06 Calend 01'!J16,0))</f>
        <v>0</v>
      </c>
      <c r="DT16" s="2">
        <f>((IF((112='V06 Calend 01'!C16),('V06 Calend 01'!F16+'V06 Calend 01'!G16),0)+IF(AND(('V06 Calend 01'!E16&gt;0),(112&gt;'V06 Calend 01'!C16),(112&lt;'V06 Calend 01'!D16),(MOD((112-'V06 Calend 01'!C16),6)=0),(((112-'V06 Calend 01'!C16)/6)&lt;='V06 Calend 01'!E16)),IF((112=('V06 Calend 01'!C16+(6*'V06 Calend 01'!E16))),('V06 Calend 01'!H16-('V06 Calend 01'!I16*('V06 Calend 01'!E16-1))),'V06 Calend 01'!I16),0))+IF((112='V06 Calend 01'!D16),'V06 Calend 01'!J16,0))</f>
        <v>0</v>
      </c>
      <c r="DU16" s="2">
        <f>((IF((113='V06 Calend 01'!C16),('V06 Calend 01'!F16+'V06 Calend 01'!G16),0)+IF(AND(('V06 Calend 01'!E16&gt;0),(113&gt;'V06 Calend 01'!C16),(113&lt;'V06 Calend 01'!D16),(MOD((113-'V06 Calend 01'!C16),6)=0),(((113-'V06 Calend 01'!C16)/6)&lt;='V06 Calend 01'!E16)),IF((113=('V06 Calend 01'!C16+(6*'V06 Calend 01'!E16))),('V06 Calend 01'!H16-('V06 Calend 01'!I16*('V06 Calend 01'!E16-1))),'V06 Calend 01'!I16),0))+IF((113='V06 Calend 01'!D16),'V06 Calend 01'!J16,0))</f>
        <v>0</v>
      </c>
      <c r="DV16" s="2">
        <f>((IF((114='V06 Calend 01'!C16),('V06 Calend 01'!F16+'V06 Calend 01'!G16),0)+IF(AND(('V06 Calend 01'!E16&gt;0),(114&gt;'V06 Calend 01'!C16),(114&lt;'V06 Calend 01'!D16),(MOD((114-'V06 Calend 01'!C16),6)=0),(((114-'V06 Calend 01'!C16)/6)&lt;='V06 Calend 01'!E16)),IF((114=('V06 Calend 01'!C16+(6*'V06 Calend 01'!E16))),('V06 Calend 01'!H16-('V06 Calend 01'!I16*('V06 Calend 01'!E16-1))),'V06 Calend 01'!I16),0))+IF((114='V06 Calend 01'!D16),'V06 Calend 01'!J16,0))</f>
        <v>0</v>
      </c>
      <c r="DW16" s="2">
        <f>((IF((115='V06 Calend 01'!C16),('V06 Calend 01'!F16+'V06 Calend 01'!G16),0)+IF(AND(('V06 Calend 01'!E16&gt;0),(115&gt;'V06 Calend 01'!C16),(115&lt;'V06 Calend 01'!D16),(MOD((115-'V06 Calend 01'!C16),6)=0),(((115-'V06 Calend 01'!C16)/6)&lt;='V06 Calend 01'!E16)),IF((115=('V06 Calend 01'!C16+(6*'V06 Calend 01'!E16))),('V06 Calend 01'!H16-('V06 Calend 01'!I16*('V06 Calend 01'!E16-1))),'V06 Calend 01'!I16),0))+IF((115='V06 Calend 01'!D16),'V06 Calend 01'!J16,0))</f>
        <v>0</v>
      </c>
      <c r="DX16" s="2">
        <f>((IF((116='V06 Calend 01'!C16),('V06 Calend 01'!F16+'V06 Calend 01'!G16),0)+IF(AND(('V06 Calend 01'!E16&gt;0),(116&gt;'V06 Calend 01'!C16),(116&lt;'V06 Calend 01'!D16),(MOD((116-'V06 Calend 01'!C16),6)=0),(((116-'V06 Calend 01'!C16)/6)&lt;='V06 Calend 01'!E16)),IF((116=('V06 Calend 01'!C16+(6*'V06 Calend 01'!E16))),('V06 Calend 01'!H16-('V06 Calend 01'!I16*('V06 Calend 01'!E16-1))),'V06 Calend 01'!I16),0))+IF((116='V06 Calend 01'!D16),'V06 Calend 01'!J16,0))</f>
        <v>0</v>
      </c>
      <c r="DY16" s="2">
        <f>((IF((117='V06 Calend 01'!C16),('V06 Calend 01'!F16+'V06 Calend 01'!G16),0)+IF(AND(('V06 Calend 01'!E16&gt;0),(117&gt;'V06 Calend 01'!C16),(117&lt;'V06 Calend 01'!D16),(MOD((117-'V06 Calend 01'!C16),6)=0),(((117-'V06 Calend 01'!C16)/6)&lt;='V06 Calend 01'!E16)),IF((117=('V06 Calend 01'!C16+(6*'V06 Calend 01'!E16))),('V06 Calend 01'!H16-('V06 Calend 01'!I16*('V06 Calend 01'!E16-1))),'V06 Calend 01'!I16),0))+IF((117='V06 Calend 01'!D16),'V06 Calend 01'!J16,0))</f>
        <v>0</v>
      </c>
      <c r="DZ16" s="2">
        <f>((IF((118='V06 Calend 01'!C16),('V06 Calend 01'!F16+'V06 Calend 01'!G16),0)+IF(AND(('V06 Calend 01'!E16&gt;0),(118&gt;'V06 Calend 01'!C16),(118&lt;'V06 Calend 01'!D16),(MOD((118-'V06 Calend 01'!C16),6)=0),(((118-'V06 Calend 01'!C16)/6)&lt;='V06 Calend 01'!E16)),IF((118=('V06 Calend 01'!C16+(6*'V06 Calend 01'!E16))),('V06 Calend 01'!H16-('V06 Calend 01'!I16*('V06 Calend 01'!E16-1))),'V06 Calend 01'!I16),0))+IF((118='V06 Calend 01'!D16),'V06 Calend 01'!J16,0))</f>
        <v>0</v>
      </c>
      <c r="EA16" s="2">
        <f>((IF((119='V06 Calend 01'!C16),('V06 Calend 01'!F16+'V06 Calend 01'!G16),0)+IF(AND(('V06 Calend 01'!E16&gt;0),(119&gt;'V06 Calend 01'!C16),(119&lt;'V06 Calend 01'!D16),(MOD((119-'V06 Calend 01'!C16),6)=0),(((119-'V06 Calend 01'!C16)/6)&lt;='V06 Calend 01'!E16)),IF((119=('V06 Calend 01'!C16+(6*'V06 Calend 01'!E16))),('V06 Calend 01'!H16-('V06 Calend 01'!I16*('V06 Calend 01'!E16-1))),'V06 Calend 01'!I16),0))+IF((119='V06 Calend 01'!D16),'V06 Calend 01'!J16,0))</f>
        <v>0</v>
      </c>
      <c r="EB16" s="2">
        <f>((IF((120='V06 Calend 01'!C16),('V06 Calend 01'!F16+'V06 Calend 01'!G16),0)+IF(AND(('V06 Calend 01'!E16&gt;0),(120&gt;'V06 Calend 01'!C16),(120&lt;'V06 Calend 01'!D16),(MOD((120-'V06 Calend 01'!C16),6)=0),(((120-'V06 Calend 01'!C16)/6)&lt;='V06 Calend 01'!E16)),IF((120=('V06 Calend 01'!C16+(6*'V06 Calend 01'!E16))),('V06 Calend 01'!H16-('V06 Calend 01'!I16*('V06 Calend 01'!E16-1))),'V06 Calend 01'!I16),0))+IF((120='V06 Calend 01'!D16),'V06 Calend 01'!J16,0))</f>
        <v>0</v>
      </c>
      <c r="EC16" s="2">
        <f>((IF((121='V06 Calend 01'!C16),('V06 Calend 01'!F16+'V06 Calend 01'!G16),0)+IF(AND(('V06 Calend 01'!E16&gt;0),(121&gt;'V06 Calend 01'!C16),(121&lt;'V06 Calend 01'!D16),(MOD((121-'V06 Calend 01'!C16),6)=0),(((121-'V06 Calend 01'!C16)/6)&lt;='V06 Calend 01'!E16)),IF((121=('V06 Calend 01'!C16+(6*'V06 Calend 01'!E16))),('V06 Calend 01'!H16-('V06 Calend 01'!I16*('V06 Calend 01'!E16-1))),'V06 Calend 01'!I16),0))+IF((121='V06 Calend 01'!D16),'V06 Calend 01'!J16,0))</f>
        <v>0</v>
      </c>
      <c r="ED16" s="2">
        <f>((IF((122='V06 Calend 01'!C16),('V06 Calend 01'!F16+'V06 Calend 01'!G16),0)+IF(AND(('V06 Calend 01'!E16&gt;0),(122&gt;'V06 Calend 01'!C16),(122&lt;'V06 Calend 01'!D16),(MOD((122-'V06 Calend 01'!C16),6)=0),(((122-'V06 Calend 01'!C16)/6)&lt;='V06 Calend 01'!E16)),IF((122=('V06 Calend 01'!C16+(6*'V06 Calend 01'!E16))),('V06 Calend 01'!H16-('V06 Calend 01'!I16*('V06 Calend 01'!E16-1))),'V06 Calend 01'!I16),0))+IF((122='V06 Calend 01'!D16),'V06 Calend 01'!J16,0))</f>
        <v>0</v>
      </c>
      <c r="EE16" s="2">
        <f>((IF((123='V06 Calend 01'!C16),('V06 Calend 01'!F16+'V06 Calend 01'!G16),0)+IF(AND(('V06 Calend 01'!E16&gt;0),(123&gt;'V06 Calend 01'!C16),(123&lt;'V06 Calend 01'!D16),(MOD((123-'V06 Calend 01'!C16),6)=0),(((123-'V06 Calend 01'!C16)/6)&lt;='V06 Calend 01'!E16)),IF((123=('V06 Calend 01'!C16+(6*'V06 Calend 01'!E16))),('V06 Calend 01'!H16-('V06 Calend 01'!I16*('V06 Calend 01'!E16-1))),'V06 Calend 01'!I16),0))+IF((123='V06 Calend 01'!D16),'V06 Calend 01'!J16,0))</f>
        <v>0</v>
      </c>
      <c r="EF16" s="2">
        <f>((IF((124='V06 Calend 01'!C16),('V06 Calend 01'!F16+'V06 Calend 01'!G16),0)+IF(AND(('V06 Calend 01'!E16&gt;0),(124&gt;'V06 Calend 01'!C16),(124&lt;'V06 Calend 01'!D16),(MOD((124-'V06 Calend 01'!C16),6)=0),(((124-'V06 Calend 01'!C16)/6)&lt;='V06 Calend 01'!E16)),IF((124=('V06 Calend 01'!C16+(6*'V06 Calend 01'!E16))),('V06 Calend 01'!H16-('V06 Calend 01'!I16*('V06 Calend 01'!E16-1))),'V06 Calend 01'!I16),0))+IF((124='V06 Calend 01'!D16),'V06 Calend 01'!J16,0))</f>
        <v>0</v>
      </c>
      <c r="EG16" s="2">
        <f>((IF((125='V06 Calend 01'!C16),('V06 Calend 01'!F16+'V06 Calend 01'!G16),0)+IF(AND(('V06 Calend 01'!E16&gt;0),(125&gt;'V06 Calend 01'!C16),(125&lt;'V06 Calend 01'!D16),(MOD((125-'V06 Calend 01'!C16),6)=0),(((125-'V06 Calend 01'!C16)/6)&lt;='V06 Calend 01'!E16)),IF((125=('V06 Calend 01'!C16+(6*'V06 Calend 01'!E16))),('V06 Calend 01'!H16-('V06 Calend 01'!I16*('V06 Calend 01'!E16-1))),'V06 Calend 01'!I16),0))+IF((125='V06 Calend 01'!D16),'V06 Calend 01'!J16,0))</f>
        <v>0</v>
      </c>
      <c r="EH16" s="2">
        <f>((IF((126='V06 Calend 01'!C16),('V06 Calend 01'!F16+'V06 Calend 01'!G16),0)+IF(AND(('V06 Calend 01'!E16&gt;0),(126&gt;'V06 Calend 01'!C16),(126&lt;'V06 Calend 01'!D16),(MOD((126-'V06 Calend 01'!C16),6)=0),(((126-'V06 Calend 01'!C16)/6)&lt;='V06 Calend 01'!E16)),IF((126=('V06 Calend 01'!C16+(6*'V06 Calend 01'!E16))),('V06 Calend 01'!H16-('V06 Calend 01'!I16*('V06 Calend 01'!E16-1))),'V06 Calend 01'!I16),0))+IF((126='V06 Calend 01'!D16),'V06 Calend 01'!J16,0))</f>
        <v>0</v>
      </c>
      <c r="EI16" s="2">
        <f>((IF((127='V06 Calend 01'!C16),('V06 Calend 01'!F16+'V06 Calend 01'!G16),0)+IF(AND(('V06 Calend 01'!E16&gt;0),(127&gt;'V06 Calend 01'!C16),(127&lt;'V06 Calend 01'!D16),(MOD((127-'V06 Calend 01'!C16),6)=0),(((127-'V06 Calend 01'!C16)/6)&lt;='V06 Calend 01'!E16)),IF((127=('V06 Calend 01'!C16+(6*'V06 Calend 01'!E16))),('V06 Calend 01'!H16-('V06 Calend 01'!I16*('V06 Calend 01'!E16-1))),'V06 Calend 01'!I16),0))+IF((127='V06 Calend 01'!D16),'V06 Calend 01'!J16,0))</f>
        <v>0</v>
      </c>
      <c r="EJ16" s="2">
        <f>((IF((128='V06 Calend 01'!C16),('V06 Calend 01'!F16+'V06 Calend 01'!G16),0)+IF(AND(('V06 Calend 01'!E16&gt;0),(128&gt;'V06 Calend 01'!C16),(128&lt;'V06 Calend 01'!D16),(MOD((128-'V06 Calend 01'!C16),6)=0),(((128-'V06 Calend 01'!C16)/6)&lt;='V06 Calend 01'!E16)),IF((128=('V06 Calend 01'!C16+(6*'V06 Calend 01'!E16))),('V06 Calend 01'!H16-('V06 Calend 01'!I16*('V06 Calend 01'!E16-1))),'V06 Calend 01'!I16),0))+IF((128='V06 Calend 01'!D16),'V06 Calend 01'!J16,0))</f>
        <v>0</v>
      </c>
      <c r="EK16" s="2">
        <f>((IF((129='V06 Calend 01'!C16),('V06 Calend 01'!F16+'V06 Calend 01'!G16),0)+IF(AND(('V06 Calend 01'!E16&gt;0),(129&gt;'V06 Calend 01'!C16),(129&lt;'V06 Calend 01'!D16),(MOD((129-'V06 Calend 01'!C16),6)=0),(((129-'V06 Calend 01'!C16)/6)&lt;='V06 Calend 01'!E16)),IF((129=('V06 Calend 01'!C16+(6*'V06 Calend 01'!E16))),('V06 Calend 01'!H16-('V06 Calend 01'!I16*('V06 Calend 01'!E16-1))),'V06 Calend 01'!I16),0))+IF((129='V06 Calend 01'!D16),'V06 Calend 01'!J16,0))</f>
        <v>0</v>
      </c>
      <c r="EL16" s="2">
        <f>((IF((130='V06 Calend 01'!C16),('V06 Calend 01'!F16+'V06 Calend 01'!G16),0)+IF(AND(('V06 Calend 01'!E16&gt;0),(130&gt;'V06 Calend 01'!C16),(130&lt;'V06 Calend 01'!D16),(MOD((130-'V06 Calend 01'!C16),6)=0),(((130-'V06 Calend 01'!C16)/6)&lt;='V06 Calend 01'!E16)),IF((130=('V06 Calend 01'!C16+(6*'V06 Calend 01'!E16))),('V06 Calend 01'!H16-('V06 Calend 01'!I16*('V06 Calend 01'!E16-1))),'V06 Calend 01'!I16),0))+IF((130='V06 Calend 01'!D16),'V06 Calend 01'!J16,0))</f>
        <v>0</v>
      </c>
      <c r="EM16" s="2">
        <f>((IF((131='V06 Calend 01'!C16),('V06 Calend 01'!F16+'V06 Calend 01'!G16),0)+IF(AND(('V06 Calend 01'!E16&gt;0),(131&gt;'V06 Calend 01'!C16),(131&lt;'V06 Calend 01'!D16),(MOD((131-'V06 Calend 01'!C16),6)=0),(((131-'V06 Calend 01'!C16)/6)&lt;='V06 Calend 01'!E16)),IF((131=('V06 Calend 01'!C16+(6*'V06 Calend 01'!E16))),('V06 Calend 01'!H16-('V06 Calend 01'!I16*('V06 Calend 01'!E16-1))),'V06 Calend 01'!I16),0))+IF((131='V06 Calend 01'!D16),'V06 Calend 01'!J16,0))</f>
        <v>0</v>
      </c>
      <c r="EN16" s="2">
        <f>((IF((132='V06 Calend 01'!C16),('V06 Calend 01'!F16+'V06 Calend 01'!G16),0)+IF(AND(('V06 Calend 01'!E16&gt;0),(132&gt;'V06 Calend 01'!C16),(132&lt;'V06 Calend 01'!D16),(MOD((132-'V06 Calend 01'!C16),6)=0),(((132-'V06 Calend 01'!C16)/6)&lt;='V06 Calend 01'!E16)),IF((132=('V06 Calend 01'!C16+(6*'V06 Calend 01'!E16))),('V06 Calend 01'!H16-('V06 Calend 01'!I16*('V06 Calend 01'!E16-1))),'V06 Calend 01'!I16),0))+IF((132='V06 Calend 01'!D16),'V06 Calend 01'!J16,0))</f>
        <v>0</v>
      </c>
      <c r="EO16" s="2">
        <f>((IF((133='V06 Calend 01'!C16),('V06 Calend 01'!F16+'V06 Calend 01'!G16),0)+IF(AND(('V06 Calend 01'!E16&gt;0),(133&gt;'V06 Calend 01'!C16),(133&lt;'V06 Calend 01'!D16),(MOD((133-'V06 Calend 01'!C16),6)=0),(((133-'V06 Calend 01'!C16)/6)&lt;='V06 Calend 01'!E16)),IF((133=('V06 Calend 01'!C16+(6*'V06 Calend 01'!E16))),('V06 Calend 01'!H16-('V06 Calend 01'!I16*('V06 Calend 01'!E16-1))),'V06 Calend 01'!I16),0))+IF((133='V06 Calend 01'!D16),'V06 Calend 01'!J16,0))</f>
        <v>0</v>
      </c>
      <c r="EP16" s="2">
        <f>((IF((134='V06 Calend 01'!C16),('V06 Calend 01'!F16+'V06 Calend 01'!G16),0)+IF(AND(('V06 Calend 01'!E16&gt;0),(134&gt;'V06 Calend 01'!C16),(134&lt;'V06 Calend 01'!D16),(MOD((134-'V06 Calend 01'!C16),6)=0),(((134-'V06 Calend 01'!C16)/6)&lt;='V06 Calend 01'!E16)),IF((134=('V06 Calend 01'!C16+(6*'V06 Calend 01'!E16))),('V06 Calend 01'!H16-('V06 Calend 01'!I16*('V06 Calend 01'!E16-1))),'V06 Calend 01'!I16),0))+IF((134='V06 Calend 01'!D16),'V06 Calend 01'!J16,0))</f>
        <v>0</v>
      </c>
      <c r="EQ16" s="2">
        <f>((IF((135='V06 Calend 01'!C16),('V06 Calend 01'!F16+'V06 Calend 01'!G16),0)+IF(AND(('V06 Calend 01'!E16&gt;0),(135&gt;'V06 Calend 01'!C16),(135&lt;'V06 Calend 01'!D16),(MOD((135-'V06 Calend 01'!C16),6)=0),(((135-'V06 Calend 01'!C16)/6)&lt;='V06 Calend 01'!E16)),IF((135=('V06 Calend 01'!C16+(6*'V06 Calend 01'!E16))),('V06 Calend 01'!H16-('V06 Calend 01'!I16*('V06 Calend 01'!E16-1))),'V06 Calend 01'!I16),0))+IF((135='V06 Calend 01'!D16),'V06 Calend 01'!J16,0))</f>
        <v>0</v>
      </c>
      <c r="ER16" s="2">
        <f>((IF((136='V06 Calend 01'!C16),('V06 Calend 01'!F16+'V06 Calend 01'!G16),0)+IF(AND(('V06 Calend 01'!E16&gt;0),(136&gt;'V06 Calend 01'!C16),(136&lt;'V06 Calend 01'!D16),(MOD((136-'V06 Calend 01'!C16),6)=0),(((136-'V06 Calend 01'!C16)/6)&lt;='V06 Calend 01'!E16)),IF((136=('V06 Calend 01'!C16+(6*'V06 Calend 01'!E16))),('V06 Calend 01'!H16-('V06 Calend 01'!I16*('V06 Calend 01'!E16-1))),'V06 Calend 01'!I16),0))+IF((136='V06 Calend 01'!D16),'V06 Calend 01'!J16,0))</f>
        <v>0</v>
      </c>
      <c r="ES16" s="2">
        <f>((IF((137='V06 Calend 01'!C16),('V06 Calend 01'!F16+'V06 Calend 01'!G16),0)+IF(AND(('V06 Calend 01'!E16&gt;0),(137&gt;'V06 Calend 01'!C16),(137&lt;'V06 Calend 01'!D16),(MOD((137-'V06 Calend 01'!C16),6)=0),(((137-'V06 Calend 01'!C16)/6)&lt;='V06 Calend 01'!E16)),IF((137=('V06 Calend 01'!C16+(6*'V06 Calend 01'!E16))),('V06 Calend 01'!H16-('V06 Calend 01'!I16*('V06 Calend 01'!E16-1))),'V06 Calend 01'!I16),0))+IF((137='V06 Calend 01'!D16),'V06 Calend 01'!J16,0))</f>
        <v>0</v>
      </c>
      <c r="ET16" s="2">
        <f>((IF((138='V06 Calend 01'!C16),('V06 Calend 01'!F16+'V06 Calend 01'!G16),0)+IF(AND(('V06 Calend 01'!E16&gt;0),(138&gt;'V06 Calend 01'!C16),(138&lt;'V06 Calend 01'!D16),(MOD((138-'V06 Calend 01'!C16),6)=0),(((138-'V06 Calend 01'!C16)/6)&lt;='V06 Calend 01'!E16)),IF((138=('V06 Calend 01'!C16+(6*'V06 Calend 01'!E16))),('V06 Calend 01'!H16-('V06 Calend 01'!I16*('V06 Calend 01'!E16-1))),'V06 Calend 01'!I16),0))+IF((138='V06 Calend 01'!D16),'V06 Calend 01'!J16,0))</f>
        <v>0</v>
      </c>
      <c r="EU16" s="2">
        <f>((IF((139='V06 Calend 01'!C16),('V06 Calend 01'!F16+'V06 Calend 01'!G16),0)+IF(AND(('V06 Calend 01'!E16&gt;0),(139&gt;'V06 Calend 01'!C16),(139&lt;'V06 Calend 01'!D16),(MOD((139-'V06 Calend 01'!C16),6)=0),(((139-'V06 Calend 01'!C16)/6)&lt;='V06 Calend 01'!E16)),IF((139=('V06 Calend 01'!C16+(6*'V06 Calend 01'!E16))),('V06 Calend 01'!H16-('V06 Calend 01'!I16*('V06 Calend 01'!E16-1))),'V06 Calend 01'!I16),0))+IF((139='V06 Calend 01'!D16),'V06 Calend 01'!J16,0))</f>
        <v>0</v>
      </c>
      <c r="EV16" s="2">
        <f>((IF((140='V06 Calend 01'!C16),('V06 Calend 01'!F16+'V06 Calend 01'!G16),0)+IF(AND(('V06 Calend 01'!E16&gt;0),(140&gt;'V06 Calend 01'!C16),(140&lt;'V06 Calend 01'!D16),(MOD((140-'V06 Calend 01'!C16),6)=0),(((140-'V06 Calend 01'!C16)/6)&lt;='V06 Calend 01'!E16)),IF((140=('V06 Calend 01'!C16+(6*'V06 Calend 01'!E16))),('V06 Calend 01'!H16-('V06 Calend 01'!I16*('V06 Calend 01'!E16-1))),'V06 Calend 01'!I16),0))+IF((140='V06 Calend 01'!D16),'V06 Calend 01'!J16,0))</f>
        <v>0</v>
      </c>
      <c r="EW16" s="2">
        <f>((IF((141='V06 Calend 01'!C16),('V06 Calend 01'!F16+'V06 Calend 01'!G16),0)+IF(AND(('V06 Calend 01'!E16&gt;0),(141&gt;'V06 Calend 01'!C16),(141&lt;'V06 Calend 01'!D16),(MOD((141-'V06 Calend 01'!C16),6)=0),(((141-'V06 Calend 01'!C16)/6)&lt;='V06 Calend 01'!E16)),IF((141=('V06 Calend 01'!C16+(6*'V06 Calend 01'!E16))),('V06 Calend 01'!H16-('V06 Calend 01'!I16*('V06 Calend 01'!E16-1))),'V06 Calend 01'!I16),0))+IF((141='V06 Calend 01'!D16),'V06 Calend 01'!J16,0))</f>
        <v>0</v>
      </c>
      <c r="EX16" s="2">
        <f>((IF((142='V06 Calend 01'!C16),('V06 Calend 01'!F16+'V06 Calend 01'!G16),0)+IF(AND(('V06 Calend 01'!E16&gt;0),(142&gt;'V06 Calend 01'!C16),(142&lt;'V06 Calend 01'!D16),(MOD((142-'V06 Calend 01'!C16),6)=0),(((142-'V06 Calend 01'!C16)/6)&lt;='V06 Calend 01'!E16)),IF((142=('V06 Calend 01'!C16+(6*'V06 Calend 01'!E16))),('V06 Calend 01'!H16-('V06 Calend 01'!I16*('V06 Calend 01'!E16-1))),'V06 Calend 01'!I16),0))+IF((142='V06 Calend 01'!D16),'V06 Calend 01'!J16,0))</f>
        <v>0</v>
      </c>
      <c r="EY16" s="2">
        <f>((IF((143='V06 Calend 01'!C16),('V06 Calend 01'!F16+'V06 Calend 01'!G16),0)+IF(AND(('V06 Calend 01'!E16&gt;0),(143&gt;'V06 Calend 01'!C16),(143&lt;'V06 Calend 01'!D16),(MOD((143-'V06 Calend 01'!C16),6)=0),(((143-'V06 Calend 01'!C16)/6)&lt;='V06 Calend 01'!E16)),IF((143=('V06 Calend 01'!C16+(6*'V06 Calend 01'!E16))),('V06 Calend 01'!H16-('V06 Calend 01'!I16*('V06 Calend 01'!E16-1))),'V06 Calend 01'!I16),0))+IF((143='V06 Calend 01'!D16),'V06 Calend 01'!J16,0))</f>
        <v>0</v>
      </c>
      <c r="EZ16" s="2">
        <f>((IF((144='V06 Calend 01'!C16),('V06 Calend 01'!F16+'V06 Calend 01'!G16),0)+IF(AND(('V06 Calend 01'!E16&gt;0),(144&gt;'V06 Calend 01'!C16),(144&lt;'V06 Calend 01'!D16),(MOD((144-'V06 Calend 01'!C16),6)=0),(((144-'V06 Calend 01'!C16)/6)&lt;='V06 Calend 01'!E16)),IF((144=('V06 Calend 01'!C16+(6*'V06 Calend 01'!E16))),('V06 Calend 01'!H16-('V06 Calend 01'!I16*('V06 Calend 01'!E16-1))),'V06 Calend 01'!I16),0))+IF((144='V06 Calend 01'!D16),'V06 Calend 01'!J16,0))</f>
        <v>0</v>
      </c>
      <c r="FA16" s="2">
        <f>((IF((145='V06 Calend 01'!C16),('V06 Calend 01'!F16+'V06 Calend 01'!G16),0)+IF(AND(('V06 Calend 01'!E16&gt;0),(145&gt;'V06 Calend 01'!C16),(145&lt;'V06 Calend 01'!D16),(MOD((145-'V06 Calend 01'!C16),6)=0),(((145-'V06 Calend 01'!C16)/6)&lt;='V06 Calend 01'!E16)),IF((145=('V06 Calend 01'!C16+(6*'V06 Calend 01'!E16))),('V06 Calend 01'!H16-('V06 Calend 01'!I16*('V06 Calend 01'!E16-1))),'V06 Calend 01'!I16),0))+IF((145='V06 Calend 01'!D16),'V06 Calend 01'!J16,0))</f>
        <v>0</v>
      </c>
      <c r="FB16" s="2">
        <f>((IF((146='V06 Calend 01'!C16),('V06 Calend 01'!F16+'V06 Calend 01'!G16),0)+IF(AND(('V06 Calend 01'!E16&gt;0),(146&gt;'V06 Calend 01'!C16),(146&lt;'V06 Calend 01'!D16),(MOD((146-'V06 Calend 01'!C16),6)=0),(((146-'V06 Calend 01'!C16)/6)&lt;='V06 Calend 01'!E16)),IF((146=('V06 Calend 01'!C16+(6*'V06 Calend 01'!E16))),('V06 Calend 01'!H16-('V06 Calend 01'!I16*('V06 Calend 01'!E16-1))),'V06 Calend 01'!I16),0))+IF((146='V06 Calend 01'!D16),'V06 Calend 01'!J16,0))</f>
        <v>0</v>
      </c>
      <c r="FC16" s="2">
        <f>((IF((147='V06 Calend 01'!C16),('V06 Calend 01'!F16+'V06 Calend 01'!G16),0)+IF(AND(('V06 Calend 01'!E16&gt;0),(147&gt;'V06 Calend 01'!C16),(147&lt;'V06 Calend 01'!D16),(MOD((147-'V06 Calend 01'!C16),6)=0),(((147-'V06 Calend 01'!C16)/6)&lt;='V06 Calend 01'!E16)),IF((147=('V06 Calend 01'!C16+(6*'V06 Calend 01'!E16))),('V06 Calend 01'!H16-('V06 Calend 01'!I16*('V06 Calend 01'!E16-1))),'V06 Calend 01'!I16),0))+IF((147='V06 Calend 01'!D16),'V06 Calend 01'!J16,0))</f>
        <v>0</v>
      </c>
      <c r="FD16" s="2">
        <f>((IF((148='V06 Calend 01'!C16),('V06 Calend 01'!F16+'V06 Calend 01'!G16),0)+IF(AND(('V06 Calend 01'!E16&gt;0),(148&gt;'V06 Calend 01'!C16),(148&lt;'V06 Calend 01'!D16),(MOD((148-'V06 Calend 01'!C16),6)=0),(((148-'V06 Calend 01'!C16)/6)&lt;='V06 Calend 01'!E16)),IF((148=('V06 Calend 01'!C16+(6*'V06 Calend 01'!E16))),('V06 Calend 01'!H16-('V06 Calend 01'!I16*('V06 Calend 01'!E16-1))),'V06 Calend 01'!I16),0))+IF((148='V06 Calend 01'!D16),'V06 Calend 01'!J16,0))</f>
        <v>0</v>
      </c>
      <c r="FE16" s="2">
        <f>((IF((149='V06 Calend 01'!C16),('V06 Calend 01'!F16+'V06 Calend 01'!G16),0)+IF(AND(('V06 Calend 01'!E16&gt;0),(149&gt;'V06 Calend 01'!C16),(149&lt;'V06 Calend 01'!D16),(MOD((149-'V06 Calend 01'!C16),6)=0),(((149-'V06 Calend 01'!C16)/6)&lt;='V06 Calend 01'!E16)),IF((149=('V06 Calend 01'!C16+(6*'V06 Calend 01'!E16))),('V06 Calend 01'!H16-('V06 Calend 01'!I16*('V06 Calend 01'!E16-1))),'V06 Calend 01'!I16),0))+IF((149='V06 Calend 01'!D16),'V06 Calend 01'!J16,0))</f>
        <v>0</v>
      </c>
      <c r="FF16" s="2">
        <f>((IF((150='V06 Calend 01'!C16),('V06 Calend 01'!F16+'V06 Calend 01'!G16),0)+IF(AND(('V06 Calend 01'!E16&gt;0),(150&gt;'V06 Calend 01'!C16),(150&lt;'V06 Calend 01'!D16),(MOD((150-'V06 Calend 01'!C16),6)=0),(((150-'V06 Calend 01'!C16)/6)&lt;='V06 Calend 01'!E16)),IF((150=('V06 Calend 01'!C16+(6*'V06 Calend 01'!E16))),('V06 Calend 01'!H16-('V06 Calend 01'!I16*('V06 Calend 01'!E16-1))),'V06 Calend 01'!I16),0))+IF((150='V06 Calend 01'!D16),'V06 Calend 01'!J16,0))</f>
        <v>0</v>
      </c>
      <c r="FG16" s="2">
        <f>((IF((151='V06 Calend 01'!C16),('V06 Calend 01'!F16+'V06 Calend 01'!G16),0)+IF(AND(('V06 Calend 01'!E16&gt;0),(151&gt;'V06 Calend 01'!C16),(151&lt;'V06 Calend 01'!D16),(MOD((151-'V06 Calend 01'!C16),6)=0),(((151-'V06 Calend 01'!C16)/6)&lt;='V06 Calend 01'!E16)),IF((151=('V06 Calend 01'!C16+(6*'V06 Calend 01'!E16))),('V06 Calend 01'!H16-('V06 Calend 01'!I16*('V06 Calend 01'!E16-1))),'V06 Calend 01'!I16),0))+IF((151='V06 Calend 01'!D16),'V06 Calend 01'!J16,0))</f>
        <v>0</v>
      </c>
      <c r="FH16" s="2">
        <f>((IF((152='V06 Calend 01'!C16),('V06 Calend 01'!F16+'V06 Calend 01'!G16),0)+IF(AND(('V06 Calend 01'!E16&gt;0),(152&gt;'V06 Calend 01'!C16),(152&lt;'V06 Calend 01'!D16),(MOD((152-'V06 Calend 01'!C16),6)=0),(((152-'V06 Calend 01'!C16)/6)&lt;='V06 Calend 01'!E16)),IF((152=('V06 Calend 01'!C16+(6*'V06 Calend 01'!E16))),('V06 Calend 01'!H16-('V06 Calend 01'!I16*('V06 Calend 01'!E16-1))),'V06 Calend 01'!I16),0))+IF((152='V06 Calend 01'!D16),'V06 Calend 01'!J16,0))</f>
        <v>0</v>
      </c>
      <c r="FI16" s="2">
        <f>((IF((153='V06 Calend 01'!C16),('V06 Calend 01'!F16+'V06 Calend 01'!G16),0)+IF(AND(('V06 Calend 01'!E16&gt;0),(153&gt;'V06 Calend 01'!C16),(153&lt;'V06 Calend 01'!D16),(MOD((153-'V06 Calend 01'!C16),6)=0),(((153-'V06 Calend 01'!C16)/6)&lt;='V06 Calend 01'!E16)),IF((153=('V06 Calend 01'!C16+(6*'V06 Calend 01'!E16))),('V06 Calend 01'!H16-('V06 Calend 01'!I16*('V06 Calend 01'!E16-1))),'V06 Calend 01'!I16),0))+IF((153='V06 Calend 01'!D16),'V06 Calend 01'!J16,0))</f>
        <v>0</v>
      </c>
      <c r="FJ16" s="2">
        <f>((IF((154='V06 Calend 01'!C16),('V06 Calend 01'!F16+'V06 Calend 01'!G16),0)+IF(AND(('V06 Calend 01'!E16&gt;0),(154&gt;'V06 Calend 01'!C16),(154&lt;'V06 Calend 01'!D16),(MOD((154-'V06 Calend 01'!C16),6)=0),(((154-'V06 Calend 01'!C16)/6)&lt;='V06 Calend 01'!E16)),IF((154=('V06 Calend 01'!C16+(6*'V06 Calend 01'!E16))),('V06 Calend 01'!H16-('V06 Calend 01'!I16*('V06 Calend 01'!E16-1))),'V06 Calend 01'!I16),0))+IF((154='V06 Calend 01'!D16),'V06 Calend 01'!J16,0))</f>
        <v>0</v>
      </c>
      <c r="FK16" s="2">
        <f>((IF((155='V06 Calend 01'!C16),('V06 Calend 01'!F16+'V06 Calend 01'!G16),0)+IF(AND(('V06 Calend 01'!E16&gt;0),(155&gt;'V06 Calend 01'!C16),(155&lt;'V06 Calend 01'!D16),(MOD((155-'V06 Calend 01'!C16),6)=0),(((155-'V06 Calend 01'!C16)/6)&lt;='V06 Calend 01'!E16)),IF((155=('V06 Calend 01'!C16+(6*'V06 Calend 01'!E16))),('V06 Calend 01'!H16-('V06 Calend 01'!I16*('V06 Calend 01'!E16-1))),'V06 Calend 01'!I16),0))+IF((155='V06 Calend 01'!D16),'V06 Calend 01'!J16,0))</f>
        <v>0</v>
      </c>
      <c r="FL16" s="2">
        <f>((IF((156='V06 Calend 01'!C16),('V06 Calend 01'!F16+'V06 Calend 01'!G16),0)+IF(AND(('V06 Calend 01'!E16&gt;0),(156&gt;'V06 Calend 01'!C16),(156&lt;'V06 Calend 01'!D16),(MOD((156-'V06 Calend 01'!C16),6)=0),(((156-'V06 Calend 01'!C16)/6)&lt;='V06 Calend 01'!E16)),IF((156=('V06 Calend 01'!C16+(6*'V06 Calend 01'!E16))),('V06 Calend 01'!H16-('V06 Calend 01'!I16*('V06 Calend 01'!E16-1))),'V06 Calend 01'!I16),0))+IF((156='V06 Calend 01'!D16),'V06 Calend 01'!J16,0))</f>
        <v>0</v>
      </c>
      <c r="FM16" s="2">
        <f>((IF((157='V06 Calend 01'!C16),('V06 Calend 01'!F16+'V06 Calend 01'!G16),0)+IF(AND(('V06 Calend 01'!E16&gt;0),(157&gt;'V06 Calend 01'!C16),(157&lt;'V06 Calend 01'!D16),(MOD((157-'V06 Calend 01'!C16),6)=0),(((157-'V06 Calend 01'!C16)/6)&lt;='V06 Calend 01'!E16)),IF((157=('V06 Calend 01'!C16+(6*'V06 Calend 01'!E16))),('V06 Calend 01'!H16-('V06 Calend 01'!I16*('V06 Calend 01'!E16-1))),'V06 Calend 01'!I16),0))+IF((157='V06 Calend 01'!D16),'V06 Calend 01'!J16,0))</f>
        <v>0</v>
      </c>
      <c r="FN16" s="2">
        <f>((IF((158='V06 Calend 01'!C16),('V06 Calend 01'!F16+'V06 Calend 01'!G16),0)+IF(AND(('V06 Calend 01'!E16&gt;0),(158&gt;'V06 Calend 01'!C16),(158&lt;'V06 Calend 01'!D16),(MOD((158-'V06 Calend 01'!C16),6)=0),(((158-'V06 Calend 01'!C16)/6)&lt;='V06 Calend 01'!E16)),IF((158=('V06 Calend 01'!C16+(6*'V06 Calend 01'!E16))),('V06 Calend 01'!H16-('V06 Calend 01'!I16*('V06 Calend 01'!E16-1))),'V06 Calend 01'!I16),0))+IF((158='V06 Calend 01'!D16),'V06 Calend 01'!J16,0))</f>
        <v>0</v>
      </c>
      <c r="FO16" s="2">
        <f>((IF((159='V06 Calend 01'!C16),('V06 Calend 01'!F16+'V06 Calend 01'!G16),0)+IF(AND(('V06 Calend 01'!E16&gt;0),(159&gt;'V06 Calend 01'!C16),(159&lt;'V06 Calend 01'!D16),(MOD((159-'V06 Calend 01'!C16),6)=0),(((159-'V06 Calend 01'!C16)/6)&lt;='V06 Calend 01'!E16)),IF((159=('V06 Calend 01'!C16+(6*'V06 Calend 01'!E16))),('V06 Calend 01'!H16-('V06 Calend 01'!I16*('V06 Calend 01'!E16-1))),'V06 Calend 01'!I16),0))+IF((159='V06 Calend 01'!D16),'V06 Calend 01'!J16,0))</f>
        <v>0</v>
      </c>
      <c r="FP16" s="2">
        <f>((IF((160='V06 Calend 01'!C16),('V06 Calend 01'!F16+'V06 Calend 01'!G16),0)+IF(AND(('V06 Calend 01'!E16&gt;0),(160&gt;'V06 Calend 01'!C16),(160&lt;'V06 Calend 01'!D16),(MOD((160-'V06 Calend 01'!C16),6)=0),(((160-'V06 Calend 01'!C16)/6)&lt;='V06 Calend 01'!E16)),IF((160=('V06 Calend 01'!C16+(6*'V06 Calend 01'!E16))),('V06 Calend 01'!H16-('V06 Calend 01'!I16*('V06 Calend 01'!E16-1))),'V06 Calend 01'!I16),0))+IF((160='V06 Calend 01'!D16),'V06 Calend 01'!J16,0))</f>
        <v>0</v>
      </c>
      <c r="FQ16" s="2">
        <f>((IF((161='V06 Calend 01'!C16),('V06 Calend 01'!F16+'V06 Calend 01'!G16),0)+IF(AND(('V06 Calend 01'!E16&gt;0),(161&gt;'V06 Calend 01'!C16),(161&lt;'V06 Calend 01'!D16),(MOD((161-'V06 Calend 01'!C16),6)=0),(((161-'V06 Calend 01'!C16)/6)&lt;='V06 Calend 01'!E16)),IF((161=('V06 Calend 01'!C16+(6*'V06 Calend 01'!E16))),('V06 Calend 01'!H16-('V06 Calend 01'!I16*('V06 Calend 01'!E16-1))),'V06 Calend 01'!I16),0))+IF((161='V06 Calend 01'!D16),'V06 Calend 01'!J16,0))</f>
        <v>0</v>
      </c>
      <c r="FR16" s="2">
        <f>((IF((162='V06 Calend 01'!C16),('V06 Calend 01'!F16+'V06 Calend 01'!G16),0)+IF(AND(('V06 Calend 01'!E16&gt;0),(162&gt;'V06 Calend 01'!C16),(162&lt;'V06 Calend 01'!D16),(MOD((162-'V06 Calend 01'!C16),6)=0),(((162-'V06 Calend 01'!C16)/6)&lt;='V06 Calend 01'!E16)),IF((162=('V06 Calend 01'!C16+(6*'V06 Calend 01'!E16))),('V06 Calend 01'!H16-('V06 Calend 01'!I16*('V06 Calend 01'!E16-1))),'V06 Calend 01'!I16),0))+IF((162='V06 Calend 01'!D16),'V06 Calend 01'!J16,0))</f>
        <v>0</v>
      </c>
      <c r="FS16" s="2">
        <f>((IF((163='V06 Calend 01'!C16),('V06 Calend 01'!F16+'V06 Calend 01'!G16),0)+IF(AND(('V06 Calend 01'!E16&gt;0),(163&gt;'V06 Calend 01'!C16),(163&lt;'V06 Calend 01'!D16),(MOD((163-'V06 Calend 01'!C16),6)=0),(((163-'V06 Calend 01'!C16)/6)&lt;='V06 Calend 01'!E16)),IF((163=('V06 Calend 01'!C16+(6*'V06 Calend 01'!E16))),('V06 Calend 01'!H16-('V06 Calend 01'!I16*('V06 Calend 01'!E16-1))),'V06 Calend 01'!I16),0))+IF((163='V06 Calend 01'!D16),'V06 Calend 01'!J16,0))</f>
        <v>0</v>
      </c>
      <c r="FT16" s="2">
        <f>((IF((164='V06 Calend 01'!C16),('V06 Calend 01'!F16+'V06 Calend 01'!G16),0)+IF(AND(('V06 Calend 01'!E16&gt;0),(164&gt;'V06 Calend 01'!C16),(164&lt;'V06 Calend 01'!D16),(MOD((164-'V06 Calend 01'!C16),6)=0),(((164-'V06 Calend 01'!C16)/6)&lt;='V06 Calend 01'!E16)),IF((164=('V06 Calend 01'!C16+(6*'V06 Calend 01'!E16))),('V06 Calend 01'!H16-('V06 Calend 01'!I16*('V06 Calend 01'!E16-1))),'V06 Calend 01'!I16),0))+IF((164='V06 Calend 01'!D16),'V06 Calend 01'!J16,0))</f>
        <v>0</v>
      </c>
      <c r="FU16" s="2">
        <f>((IF((165='V06 Calend 01'!C16),('V06 Calend 01'!F16+'V06 Calend 01'!G16),0)+IF(AND(('V06 Calend 01'!E16&gt;0),(165&gt;'V06 Calend 01'!C16),(165&lt;'V06 Calend 01'!D16),(MOD((165-'V06 Calend 01'!C16),6)=0),(((165-'V06 Calend 01'!C16)/6)&lt;='V06 Calend 01'!E16)),IF((165=('V06 Calend 01'!C16+(6*'V06 Calend 01'!E16))),('V06 Calend 01'!H16-('V06 Calend 01'!I16*('V06 Calend 01'!E16-1))),'V06 Calend 01'!I16),0))+IF((165='V06 Calend 01'!D16),'V06 Calend 01'!J16,0))</f>
        <v>0</v>
      </c>
      <c r="FV16" s="2">
        <f>((IF((166='V06 Calend 01'!C16),('V06 Calend 01'!F16+'V06 Calend 01'!G16),0)+IF(AND(('V06 Calend 01'!E16&gt;0),(166&gt;'V06 Calend 01'!C16),(166&lt;'V06 Calend 01'!D16),(MOD((166-'V06 Calend 01'!C16),6)=0),(((166-'V06 Calend 01'!C16)/6)&lt;='V06 Calend 01'!E16)),IF((166=('V06 Calend 01'!C16+(6*'V06 Calend 01'!E16))),('V06 Calend 01'!H16-('V06 Calend 01'!I16*('V06 Calend 01'!E16-1))),'V06 Calend 01'!I16),0))+IF((166='V06 Calend 01'!D16),'V06 Calend 01'!J16,0))</f>
        <v>0</v>
      </c>
      <c r="FW16" s="2">
        <f>((IF((167='V06 Calend 01'!C16),('V06 Calend 01'!F16+'V06 Calend 01'!G16),0)+IF(AND(('V06 Calend 01'!E16&gt;0),(167&gt;'V06 Calend 01'!C16),(167&lt;'V06 Calend 01'!D16),(MOD((167-'V06 Calend 01'!C16),6)=0),(((167-'V06 Calend 01'!C16)/6)&lt;='V06 Calend 01'!E16)),IF((167=('V06 Calend 01'!C16+(6*'V06 Calend 01'!E16))),('V06 Calend 01'!H16-('V06 Calend 01'!I16*('V06 Calend 01'!E16-1))),'V06 Calend 01'!I16),0))+IF((167='V06 Calend 01'!D16),'V06 Calend 01'!J16,0))</f>
        <v>0</v>
      </c>
      <c r="FX16" s="2">
        <f>((IF((168='V06 Calend 01'!C16),('V06 Calend 01'!F16+'V06 Calend 01'!G16),0)+IF(AND(('V06 Calend 01'!E16&gt;0),(168&gt;'V06 Calend 01'!C16),(168&lt;'V06 Calend 01'!D16),(MOD((168-'V06 Calend 01'!C16),6)=0),(((168-'V06 Calend 01'!C16)/6)&lt;='V06 Calend 01'!E16)),IF((168=('V06 Calend 01'!C16+(6*'V06 Calend 01'!E16))),('V06 Calend 01'!H16-('V06 Calend 01'!I16*('V06 Calend 01'!E16-1))),'V06 Calend 01'!I16),0))+IF((168='V06 Calend 01'!D16),'V06 Calend 01'!J16,0))</f>
        <v>0</v>
      </c>
      <c r="FY16" s="2">
        <f>((IF((169='V06 Calend 01'!C16),('V06 Calend 01'!F16+'V06 Calend 01'!G16),0)+IF(AND(('V06 Calend 01'!E16&gt;0),(169&gt;'V06 Calend 01'!C16),(169&lt;'V06 Calend 01'!D16),(MOD((169-'V06 Calend 01'!C16),6)=0),(((169-'V06 Calend 01'!C16)/6)&lt;='V06 Calend 01'!E16)),IF((169=('V06 Calend 01'!C16+(6*'V06 Calend 01'!E16))),('V06 Calend 01'!H16-('V06 Calend 01'!I16*('V06 Calend 01'!E16-1))),'V06 Calend 01'!I16),0))+IF((169='V06 Calend 01'!D16),'V06 Calend 01'!J16,0))</f>
        <v>0</v>
      </c>
      <c r="FZ16" s="2">
        <f>((IF((170='V06 Calend 01'!C16),('V06 Calend 01'!F16+'V06 Calend 01'!G16),0)+IF(AND(('V06 Calend 01'!E16&gt;0),(170&gt;'V06 Calend 01'!C16),(170&lt;'V06 Calend 01'!D16),(MOD((170-'V06 Calend 01'!C16),6)=0),(((170-'V06 Calend 01'!C16)/6)&lt;='V06 Calend 01'!E16)),IF((170=('V06 Calend 01'!C16+(6*'V06 Calend 01'!E16))),('V06 Calend 01'!H16-('V06 Calend 01'!I16*('V06 Calend 01'!E16-1))),'V06 Calend 01'!I16),0))+IF((170='V06 Calend 01'!D16),'V06 Calend 01'!J16,0))</f>
        <v>0</v>
      </c>
      <c r="GA16" s="2">
        <f>((IF((171='V06 Calend 01'!C16),('V06 Calend 01'!F16+'V06 Calend 01'!G16),0)+IF(AND(('V06 Calend 01'!E16&gt;0),(171&gt;'V06 Calend 01'!C16),(171&lt;'V06 Calend 01'!D16),(MOD((171-'V06 Calend 01'!C16),6)=0),(((171-'V06 Calend 01'!C16)/6)&lt;='V06 Calend 01'!E16)),IF((171=('V06 Calend 01'!C16+(6*'V06 Calend 01'!E16))),('V06 Calend 01'!H16-('V06 Calend 01'!I16*('V06 Calend 01'!E16-1))),'V06 Calend 01'!I16),0))+IF((171='V06 Calend 01'!D16),'V06 Calend 01'!J16,0))</f>
        <v>0</v>
      </c>
      <c r="GB16" s="2">
        <f>((IF((172='V06 Calend 01'!C16),('V06 Calend 01'!F16+'V06 Calend 01'!G16),0)+IF(AND(('V06 Calend 01'!E16&gt;0),(172&gt;'V06 Calend 01'!C16),(172&lt;'V06 Calend 01'!D16),(MOD((172-'V06 Calend 01'!C16),6)=0),(((172-'V06 Calend 01'!C16)/6)&lt;='V06 Calend 01'!E16)),IF((172=('V06 Calend 01'!C16+(6*'V06 Calend 01'!E16))),('V06 Calend 01'!H16-('V06 Calend 01'!I16*('V06 Calend 01'!E16-1))),'V06 Calend 01'!I16),0))+IF((172='V06 Calend 01'!D16),'V06 Calend 01'!J16,0))</f>
        <v>0</v>
      </c>
      <c r="GC16" s="2">
        <f>((IF((173='V06 Calend 01'!C16),('V06 Calend 01'!F16+'V06 Calend 01'!G16),0)+IF(AND(('V06 Calend 01'!E16&gt;0),(173&gt;'V06 Calend 01'!C16),(173&lt;'V06 Calend 01'!D16),(MOD((173-'V06 Calend 01'!C16),6)=0),(((173-'V06 Calend 01'!C16)/6)&lt;='V06 Calend 01'!E16)),IF((173=('V06 Calend 01'!C16+(6*'V06 Calend 01'!E16))),('V06 Calend 01'!H16-('V06 Calend 01'!I16*('V06 Calend 01'!E16-1))),'V06 Calend 01'!I16),0))+IF((173='V06 Calend 01'!D16),'V06 Calend 01'!J16,0))</f>
        <v>0</v>
      </c>
      <c r="GD16" s="2">
        <f>((IF((174='V06 Calend 01'!C16),('V06 Calend 01'!F16+'V06 Calend 01'!G16),0)+IF(AND(('V06 Calend 01'!E16&gt;0),(174&gt;'V06 Calend 01'!C16),(174&lt;'V06 Calend 01'!D16),(MOD((174-'V06 Calend 01'!C16),6)=0),(((174-'V06 Calend 01'!C16)/6)&lt;='V06 Calend 01'!E16)),IF((174=('V06 Calend 01'!C16+(6*'V06 Calend 01'!E16))),('V06 Calend 01'!H16-('V06 Calend 01'!I16*('V06 Calend 01'!E16-1))),'V06 Calend 01'!I16),0))+IF((174='V06 Calend 01'!D16),'V06 Calend 01'!J16,0))</f>
        <v>0</v>
      </c>
      <c r="GE16" s="2">
        <f>((IF((175='V06 Calend 01'!C16),('V06 Calend 01'!F16+'V06 Calend 01'!G16),0)+IF(AND(('V06 Calend 01'!E16&gt;0),(175&gt;'V06 Calend 01'!C16),(175&lt;'V06 Calend 01'!D16),(MOD((175-'V06 Calend 01'!C16),6)=0),(((175-'V06 Calend 01'!C16)/6)&lt;='V06 Calend 01'!E16)),IF((175=('V06 Calend 01'!C16+(6*'V06 Calend 01'!E16))),('V06 Calend 01'!H16-('V06 Calend 01'!I16*('V06 Calend 01'!E16-1))),'V06 Calend 01'!I16),0))+IF((175='V06 Calend 01'!D16),'V06 Calend 01'!J16,0))</f>
        <v>0</v>
      </c>
      <c r="GF16" s="2">
        <f>((IF((176='V06 Calend 01'!C16),('V06 Calend 01'!F16+'V06 Calend 01'!G16),0)+IF(AND(('V06 Calend 01'!E16&gt;0),(176&gt;'V06 Calend 01'!C16),(176&lt;'V06 Calend 01'!D16),(MOD((176-'V06 Calend 01'!C16),6)=0),(((176-'V06 Calend 01'!C16)/6)&lt;='V06 Calend 01'!E16)),IF((176=('V06 Calend 01'!C16+(6*'V06 Calend 01'!E16))),('V06 Calend 01'!H16-('V06 Calend 01'!I16*('V06 Calend 01'!E16-1))),'V06 Calend 01'!I16),0))+IF((176='V06 Calend 01'!D16),'V06 Calend 01'!J16,0))</f>
        <v>0</v>
      </c>
      <c r="GG16" s="2">
        <f>((IF((177='V06 Calend 01'!C16),('V06 Calend 01'!F16+'V06 Calend 01'!G16),0)+IF(AND(('V06 Calend 01'!E16&gt;0),(177&gt;'V06 Calend 01'!C16),(177&lt;'V06 Calend 01'!D16),(MOD((177-'V06 Calend 01'!C16),6)=0),(((177-'V06 Calend 01'!C16)/6)&lt;='V06 Calend 01'!E16)),IF((177=('V06 Calend 01'!C16+(6*'V06 Calend 01'!E16))),('V06 Calend 01'!H16-('V06 Calend 01'!I16*('V06 Calend 01'!E16-1))),'V06 Calend 01'!I16),0))+IF((177='V06 Calend 01'!D16),'V06 Calend 01'!J16,0))</f>
        <v>0</v>
      </c>
      <c r="GH16" s="2">
        <f>((IF((178='V06 Calend 01'!C16),('V06 Calend 01'!F16+'V06 Calend 01'!G16),0)+IF(AND(('V06 Calend 01'!E16&gt;0),(178&gt;'V06 Calend 01'!C16),(178&lt;'V06 Calend 01'!D16),(MOD((178-'V06 Calend 01'!C16),6)=0),(((178-'V06 Calend 01'!C16)/6)&lt;='V06 Calend 01'!E16)),IF((178=('V06 Calend 01'!C16+(6*'V06 Calend 01'!E16))),('V06 Calend 01'!H16-('V06 Calend 01'!I16*('V06 Calend 01'!E16-1))),'V06 Calend 01'!I16),0))+IF((178='V06 Calend 01'!D16),'V06 Calend 01'!J16,0))</f>
        <v>0</v>
      </c>
      <c r="GI16" s="2">
        <f>((IF((179='V06 Calend 01'!C16),('V06 Calend 01'!F16+'V06 Calend 01'!G16),0)+IF(AND(('V06 Calend 01'!E16&gt;0),(179&gt;'V06 Calend 01'!C16),(179&lt;'V06 Calend 01'!D16),(MOD((179-'V06 Calend 01'!C16),6)=0),(((179-'V06 Calend 01'!C16)/6)&lt;='V06 Calend 01'!E16)),IF((179=('V06 Calend 01'!C16+(6*'V06 Calend 01'!E16))),('V06 Calend 01'!H16-('V06 Calend 01'!I16*('V06 Calend 01'!E16-1))),'V06 Calend 01'!I16),0))+IF((179='V06 Calend 01'!D16),'V06 Calend 01'!J16,0))</f>
        <v>0</v>
      </c>
      <c r="GJ16" s="2">
        <f>((IF((180='V06 Calend 01'!C16),('V06 Calend 01'!F16+'V06 Calend 01'!G16),0)+IF(AND(('V06 Calend 01'!E16&gt;0),(180&gt;'V06 Calend 01'!C16),(180&lt;'V06 Calend 01'!D16),(MOD((180-'V06 Calend 01'!C16),6)=0),(((180-'V06 Calend 01'!C16)/6)&lt;='V06 Calend 01'!E16)),IF((180=('V06 Calend 01'!C16+(6*'V06 Calend 01'!E16))),('V06 Calend 01'!H16-('V06 Calend 01'!I16*('V06 Calend 01'!E16-1))),'V06 Calend 01'!I16),0))+IF((180='V06 Calend 01'!D16),'V06 Calend 01'!J16,0))</f>
        <v>0</v>
      </c>
    </row>
    <row r="17" spans="1:192">
      <c r="A17" s="3" t="str">
        <f>'V06 Unidades'!$A$17</f>
        <v>303</v>
      </c>
      <c r="B17" s="2">
        <f>'V06 Unidades'!$H$17</f>
        <v>258060</v>
      </c>
      <c r="C17" s="4">
        <f>('V06 Unidades'!$I$17+'V06 Controlos'!$B$37)</f>
        <v>7</v>
      </c>
      <c r="D17" s="4">
        <f>IF(('V06 Controlos'!$B$38&gt;0),MAX(('V06 Unidades'!$L$17+'V06 Controlos'!$B$37),(30+'V06 Controlos'!$B$38)),('V06 Unidades'!$L$17+'V06 Controlos'!$B$37))</f>
        <v>28</v>
      </c>
      <c r="E17" s="4">
        <f>MAX(0,INT(((('V06 Calend 01'!D17-'V06 Calend 01'!C17)-1)/6)))</f>
        <v>3</v>
      </c>
      <c r="F17" s="2">
        <f>ROUND(('V06 Calend 01'!B17*0.05),2)</f>
        <v>12903.0</v>
      </c>
      <c r="G17" s="2">
        <f>ROUND(('V06 Calend 01'!B17*0.2),2)</f>
        <v>51612.0</v>
      </c>
      <c r="H17" s="2">
        <f>ROUND(('V06 Calend 01'!B17*0.55),2)</f>
        <v>141933.0</v>
      </c>
      <c r="I17" s="2">
        <f>ROUND(('V06 Calend 01'!H17/MAX(1,'V06 Calend 01'!E17)),2)</f>
        <v>47311.0</v>
      </c>
      <c r="J17" s="2">
        <f>((('V06 Calend 01'!B17-'V06 Calend 01'!F17)-'V06 Calend 01'!G17)-'V06 Calend 01'!H17)</f>
        <v>51612.0</v>
      </c>
      <c r="K17" s="2">
        <f>('V06 Calend 01'!B17*0.025)</f>
        <v>6451.5</v>
      </c>
      <c r="L17" t="s">
        <v>378</v>
      </c>
      <c r="M17" s="2">
        <f>((IF((1='V06 Calend 01'!C17),('V06 Calend 01'!F17+'V06 Calend 01'!G17),0)+IF(AND(('V06 Calend 01'!E17&gt;0),(1&gt;'V06 Calend 01'!C17),(1&lt;'V06 Calend 01'!D17),(MOD((1-'V06 Calend 01'!C17),6)=0),(((1-'V06 Calend 01'!C17)/6)&lt;='V06 Calend 01'!E17)),IF((1=('V06 Calend 01'!C17+(6*'V06 Calend 01'!E17))),('V06 Calend 01'!H17-('V06 Calend 01'!I17*('V06 Calend 01'!E17-1))),'V06 Calend 01'!I17),0))+IF((1='V06 Calend 01'!D17),'V06 Calend 01'!J17,0))</f>
        <v>0</v>
      </c>
      <c r="N17" s="2">
        <f>((IF((2='V06 Calend 01'!C17),('V06 Calend 01'!F17+'V06 Calend 01'!G17),0)+IF(AND(('V06 Calend 01'!E17&gt;0),(2&gt;'V06 Calend 01'!C17),(2&lt;'V06 Calend 01'!D17),(MOD((2-'V06 Calend 01'!C17),6)=0),(((2-'V06 Calend 01'!C17)/6)&lt;='V06 Calend 01'!E17)),IF((2=('V06 Calend 01'!C17+(6*'V06 Calend 01'!E17))),('V06 Calend 01'!H17-('V06 Calend 01'!I17*('V06 Calend 01'!E17-1))),'V06 Calend 01'!I17),0))+IF((2='V06 Calend 01'!D17),'V06 Calend 01'!J17,0))</f>
        <v>0</v>
      </c>
      <c r="O17" s="2">
        <f>((IF((3='V06 Calend 01'!C17),('V06 Calend 01'!F17+'V06 Calend 01'!G17),0)+IF(AND(('V06 Calend 01'!E17&gt;0),(3&gt;'V06 Calend 01'!C17),(3&lt;'V06 Calend 01'!D17),(MOD((3-'V06 Calend 01'!C17),6)=0),(((3-'V06 Calend 01'!C17)/6)&lt;='V06 Calend 01'!E17)),IF((3=('V06 Calend 01'!C17+(6*'V06 Calend 01'!E17))),('V06 Calend 01'!H17-('V06 Calend 01'!I17*('V06 Calend 01'!E17-1))),'V06 Calend 01'!I17),0))+IF((3='V06 Calend 01'!D17),'V06 Calend 01'!J17,0))</f>
        <v>0</v>
      </c>
      <c r="P17" s="2">
        <f>((IF((4='V06 Calend 01'!C17),('V06 Calend 01'!F17+'V06 Calend 01'!G17),0)+IF(AND(('V06 Calend 01'!E17&gt;0),(4&gt;'V06 Calend 01'!C17),(4&lt;'V06 Calend 01'!D17),(MOD((4-'V06 Calend 01'!C17),6)=0),(((4-'V06 Calend 01'!C17)/6)&lt;='V06 Calend 01'!E17)),IF((4=('V06 Calend 01'!C17+(6*'V06 Calend 01'!E17))),('V06 Calend 01'!H17-('V06 Calend 01'!I17*('V06 Calend 01'!E17-1))),'V06 Calend 01'!I17),0))+IF((4='V06 Calend 01'!D17),'V06 Calend 01'!J17,0))</f>
        <v>0</v>
      </c>
      <c r="Q17" s="2">
        <f>((IF((5='V06 Calend 01'!C17),('V06 Calend 01'!F17+'V06 Calend 01'!G17),0)+IF(AND(('V06 Calend 01'!E17&gt;0),(5&gt;'V06 Calend 01'!C17),(5&lt;'V06 Calend 01'!D17),(MOD((5-'V06 Calend 01'!C17),6)=0),(((5-'V06 Calend 01'!C17)/6)&lt;='V06 Calend 01'!E17)),IF((5=('V06 Calend 01'!C17+(6*'V06 Calend 01'!E17))),('V06 Calend 01'!H17-('V06 Calend 01'!I17*('V06 Calend 01'!E17-1))),'V06 Calend 01'!I17),0))+IF((5='V06 Calend 01'!D17),'V06 Calend 01'!J17,0))</f>
        <v>0</v>
      </c>
      <c r="R17" s="2">
        <f>((IF((6='V06 Calend 01'!C17),('V06 Calend 01'!F17+'V06 Calend 01'!G17),0)+IF(AND(('V06 Calend 01'!E17&gt;0),(6&gt;'V06 Calend 01'!C17),(6&lt;'V06 Calend 01'!D17),(MOD((6-'V06 Calend 01'!C17),6)=0),(((6-'V06 Calend 01'!C17)/6)&lt;='V06 Calend 01'!E17)),IF((6=('V06 Calend 01'!C17+(6*'V06 Calend 01'!E17))),('V06 Calend 01'!H17-('V06 Calend 01'!I17*('V06 Calend 01'!E17-1))),'V06 Calend 01'!I17),0))+IF((6='V06 Calend 01'!D17),'V06 Calend 01'!J17,0))</f>
        <v>0</v>
      </c>
      <c r="S17" s="2">
        <f>((IF((7='V06 Calend 01'!C17),('V06 Calend 01'!F17+'V06 Calend 01'!G17),0)+IF(AND(('V06 Calend 01'!E17&gt;0),(7&gt;'V06 Calend 01'!C17),(7&lt;'V06 Calend 01'!D17),(MOD((7-'V06 Calend 01'!C17),6)=0),(((7-'V06 Calend 01'!C17)/6)&lt;='V06 Calend 01'!E17)),IF((7=('V06 Calend 01'!C17+(6*'V06 Calend 01'!E17))),('V06 Calend 01'!H17-('V06 Calend 01'!I17*('V06 Calend 01'!E17-1))),'V06 Calend 01'!I17),0))+IF((7='V06 Calend 01'!D17),'V06 Calend 01'!J17,0))</f>
        <v>64515.0</v>
      </c>
      <c r="T17" s="2">
        <f>((IF((8='V06 Calend 01'!C17),('V06 Calend 01'!F17+'V06 Calend 01'!G17),0)+IF(AND(('V06 Calend 01'!E17&gt;0),(8&gt;'V06 Calend 01'!C17),(8&lt;'V06 Calend 01'!D17),(MOD((8-'V06 Calend 01'!C17),6)=0),(((8-'V06 Calend 01'!C17)/6)&lt;='V06 Calend 01'!E17)),IF((8=('V06 Calend 01'!C17+(6*'V06 Calend 01'!E17))),('V06 Calend 01'!H17-('V06 Calend 01'!I17*('V06 Calend 01'!E17-1))),'V06 Calend 01'!I17),0))+IF((8='V06 Calend 01'!D17),'V06 Calend 01'!J17,0))</f>
        <v>0</v>
      </c>
      <c r="U17" s="2">
        <f>((IF((9='V06 Calend 01'!C17),('V06 Calend 01'!F17+'V06 Calend 01'!G17),0)+IF(AND(('V06 Calend 01'!E17&gt;0),(9&gt;'V06 Calend 01'!C17),(9&lt;'V06 Calend 01'!D17),(MOD((9-'V06 Calend 01'!C17),6)=0),(((9-'V06 Calend 01'!C17)/6)&lt;='V06 Calend 01'!E17)),IF((9=('V06 Calend 01'!C17+(6*'V06 Calend 01'!E17))),('V06 Calend 01'!H17-('V06 Calend 01'!I17*('V06 Calend 01'!E17-1))),'V06 Calend 01'!I17),0))+IF((9='V06 Calend 01'!D17),'V06 Calend 01'!J17,0))</f>
        <v>0</v>
      </c>
      <c r="V17" s="2">
        <f>((IF((10='V06 Calend 01'!C17),('V06 Calend 01'!F17+'V06 Calend 01'!G17),0)+IF(AND(('V06 Calend 01'!E17&gt;0),(10&gt;'V06 Calend 01'!C17),(10&lt;'V06 Calend 01'!D17),(MOD((10-'V06 Calend 01'!C17),6)=0),(((10-'V06 Calend 01'!C17)/6)&lt;='V06 Calend 01'!E17)),IF((10=('V06 Calend 01'!C17+(6*'V06 Calend 01'!E17))),('V06 Calend 01'!H17-('V06 Calend 01'!I17*('V06 Calend 01'!E17-1))),'V06 Calend 01'!I17),0))+IF((10='V06 Calend 01'!D17),'V06 Calend 01'!J17,0))</f>
        <v>0</v>
      </c>
      <c r="W17" s="2">
        <f>((IF((11='V06 Calend 01'!C17),('V06 Calend 01'!F17+'V06 Calend 01'!G17),0)+IF(AND(('V06 Calend 01'!E17&gt;0),(11&gt;'V06 Calend 01'!C17),(11&lt;'V06 Calend 01'!D17),(MOD((11-'V06 Calend 01'!C17),6)=0),(((11-'V06 Calend 01'!C17)/6)&lt;='V06 Calend 01'!E17)),IF((11=('V06 Calend 01'!C17+(6*'V06 Calend 01'!E17))),('V06 Calend 01'!H17-('V06 Calend 01'!I17*('V06 Calend 01'!E17-1))),'V06 Calend 01'!I17),0))+IF((11='V06 Calend 01'!D17),'V06 Calend 01'!J17,0))</f>
        <v>0</v>
      </c>
      <c r="X17" s="2">
        <f>((IF((12='V06 Calend 01'!C17),('V06 Calend 01'!F17+'V06 Calend 01'!G17),0)+IF(AND(('V06 Calend 01'!E17&gt;0),(12&gt;'V06 Calend 01'!C17),(12&lt;'V06 Calend 01'!D17),(MOD((12-'V06 Calend 01'!C17),6)=0),(((12-'V06 Calend 01'!C17)/6)&lt;='V06 Calend 01'!E17)),IF((12=('V06 Calend 01'!C17+(6*'V06 Calend 01'!E17))),('V06 Calend 01'!H17-('V06 Calend 01'!I17*('V06 Calend 01'!E17-1))),'V06 Calend 01'!I17),0))+IF((12='V06 Calend 01'!D17),'V06 Calend 01'!J17,0))</f>
        <v>0</v>
      </c>
      <c r="Y17" s="2">
        <f>((IF((13='V06 Calend 01'!C17),('V06 Calend 01'!F17+'V06 Calend 01'!G17),0)+IF(AND(('V06 Calend 01'!E17&gt;0),(13&gt;'V06 Calend 01'!C17),(13&lt;'V06 Calend 01'!D17),(MOD((13-'V06 Calend 01'!C17),6)=0),(((13-'V06 Calend 01'!C17)/6)&lt;='V06 Calend 01'!E17)),IF((13=('V06 Calend 01'!C17+(6*'V06 Calend 01'!E17))),('V06 Calend 01'!H17-('V06 Calend 01'!I17*('V06 Calend 01'!E17-1))),'V06 Calend 01'!I17),0))+IF((13='V06 Calend 01'!D17),'V06 Calend 01'!J17,0))</f>
        <v>47311.0</v>
      </c>
      <c r="Z17" s="2">
        <f>((IF((14='V06 Calend 01'!C17),('V06 Calend 01'!F17+'V06 Calend 01'!G17),0)+IF(AND(('V06 Calend 01'!E17&gt;0),(14&gt;'V06 Calend 01'!C17),(14&lt;'V06 Calend 01'!D17),(MOD((14-'V06 Calend 01'!C17),6)=0),(((14-'V06 Calend 01'!C17)/6)&lt;='V06 Calend 01'!E17)),IF((14=('V06 Calend 01'!C17+(6*'V06 Calend 01'!E17))),('V06 Calend 01'!H17-('V06 Calend 01'!I17*('V06 Calend 01'!E17-1))),'V06 Calend 01'!I17),0))+IF((14='V06 Calend 01'!D17),'V06 Calend 01'!J17,0))</f>
        <v>0</v>
      </c>
      <c r="AA17" s="2">
        <f>((IF((15='V06 Calend 01'!C17),('V06 Calend 01'!F17+'V06 Calend 01'!G17),0)+IF(AND(('V06 Calend 01'!E17&gt;0),(15&gt;'V06 Calend 01'!C17),(15&lt;'V06 Calend 01'!D17),(MOD((15-'V06 Calend 01'!C17),6)=0),(((15-'V06 Calend 01'!C17)/6)&lt;='V06 Calend 01'!E17)),IF((15=('V06 Calend 01'!C17+(6*'V06 Calend 01'!E17))),('V06 Calend 01'!H17-('V06 Calend 01'!I17*('V06 Calend 01'!E17-1))),'V06 Calend 01'!I17),0))+IF((15='V06 Calend 01'!D17),'V06 Calend 01'!J17,0))</f>
        <v>0</v>
      </c>
      <c r="AB17" s="2">
        <f>((IF((16='V06 Calend 01'!C17),('V06 Calend 01'!F17+'V06 Calend 01'!G17),0)+IF(AND(('V06 Calend 01'!E17&gt;0),(16&gt;'V06 Calend 01'!C17),(16&lt;'V06 Calend 01'!D17),(MOD((16-'V06 Calend 01'!C17),6)=0),(((16-'V06 Calend 01'!C17)/6)&lt;='V06 Calend 01'!E17)),IF((16=('V06 Calend 01'!C17+(6*'V06 Calend 01'!E17))),('V06 Calend 01'!H17-('V06 Calend 01'!I17*('V06 Calend 01'!E17-1))),'V06 Calend 01'!I17),0))+IF((16='V06 Calend 01'!D17),'V06 Calend 01'!J17,0))</f>
        <v>0</v>
      </c>
      <c r="AC17" s="2">
        <f>((IF((17='V06 Calend 01'!C17),('V06 Calend 01'!F17+'V06 Calend 01'!G17),0)+IF(AND(('V06 Calend 01'!E17&gt;0),(17&gt;'V06 Calend 01'!C17),(17&lt;'V06 Calend 01'!D17),(MOD((17-'V06 Calend 01'!C17),6)=0),(((17-'V06 Calend 01'!C17)/6)&lt;='V06 Calend 01'!E17)),IF((17=('V06 Calend 01'!C17+(6*'V06 Calend 01'!E17))),('V06 Calend 01'!H17-('V06 Calend 01'!I17*('V06 Calend 01'!E17-1))),'V06 Calend 01'!I17),0))+IF((17='V06 Calend 01'!D17),'V06 Calend 01'!J17,0))</f>
        <v>0</v>
      </c>
      <c r="AD17" s="2">
        <f>((IF((18='V06 Calend 01'!C17),('V06 Calend 01'!F17+'V06 Calend 01'!G17),0)+IF(AND(('V06 Calend 01'!E17&gt;0),(18&gt;'V06 Calend 01'!C17),(18&lt;'V06 Calend 01'!D17),(MOD((18-'V06 Calend 01'!C17),6)=0),(((18-'V06 Calend 01'!C17)/6)&lt;='V06 Calend 01'!E17)),IF((18=('V06 Calend 01'!C17+(6*'V06 Calend 01'!E17))),('V06 Calend 01'!H17-('V06 Calend 01'!I17*('V06 Calend 01'!E17-1))),'V06 Calend 01'!I17),0))+IF((18='V06 Calend 01'!D17),'V06 Calend 01'!J17,0))</f>
        <v>0</v>
      </c>
      <c r="AE17" s="2">
        <f>((IF((19='V06 Calend 01'!C17),('V06 Calend 01'!F17+'V06 Calend 01'!G17),0)+IF(AND(('V06 Calend 01'!E17&gt;0),(19&gt;'V06 Calend 01'!C17),(19&lt;'V06 Calend 01'!D17),(MOD((19-'V06 Calend 01'!C17),6)=0),(((19-'V06 Calend 01'!C17)/6)&lt;='V06 Calend 01'!E17)),IF((19=('V06 Calend 01'!C17+(6*'V06 Calend 01'!E17))),('V06 Calend 01'!H17-('V06 Calend 01'!I17*('V06 Calend 01'!E17-1))),'V06 Calend 01'!I17),0))+IF((19='V06 Calend 01'!D17),'V06 Calend 01'!J17,0))</f>
        <v>47311.0</v>
      </c>
      <c r="AF17" s="2">
        <f>((IF((20='V06 Calend 01'!C17),('V06 Calend 01'!F17+'V06 Calend 01'!G17),0)+IF(AND(('V06 Calend 01'!E17&gt;0),(20&gt;'V06 Calend 01'!C17),(20&lt;'V06 Calend 01'!D17),(MOD((20-'V06 Calend 01'!C17),6)=0),(((20-'V06 Calend 01'!C17)/6)&lt;='V06 Calend 01'!E17)),IF((20=('V06 Calend 01'!C17+(6*'V06 Calend 01'!E17))),('V06 Calend 01'!H17-('V06 Calend 01'!I17*('V06 Calend 01'!E17-1))),'V06 Calend 01'!I17),0))+IF((20='V06 Calend 01'!D17),'V06 Calend 01'!J17,0))</f>
        <v>0</v>
      </c>
      <c r="AG17" s="2">
        <f>((IF((21='V06 Calend 01'!C17),('V06 Calend 01'!F17+'V06 Calend 01'!G17),0)+IF(AND(('V06 Calend 01'!E17&gt;0),(21&gt;'V06 Calend 01'!C17),(21&lt;'V06 Calend 01'!D17),(MOD((21-'V06 Calend 01'!C17),6)=0),(((21-'V06 Calend 01'!C17)/6)&lt;='V06 Calend 01'!E17)),IF((21=('V06 Calend 01'!C17+(6*'V06 Calend 01'!E17))),('V06 Calend 01'!H17-('V06 Calend 01'!I17*('V06 Calend 01'!E17-1))),'V06 Calend 01'!I17),0))+IF((21='V06 Calend 01'!D17),'V06 Calend 01'!J17,0))</f>
        <v>0</v>
      </c>
      <c r="AH17" s="2">
        <f>((IF((22='V06 Calend 01'!C17),('V06 Calend 01'!F17+'V06 Calend 01'!G17),0)+IF(AND(('V06 Calend 01'!E17&gt;0),(22&gt;'V06 Calend 01'!C17),(22&lt;'V06 Calend 01'!D17),(MOD((22-'V06 Calend 01'!C17),6)=0),(((22-'V06 Calend 01'!C17)/6)&lt;='V06 Calend 01'!E17)),IF((22=('V06 Calend 01'!C17+(6*'V06 Calend 01'!E17))),('V06 Calend 01'!H17-('V06 Calend 01'!I17*('V06 Calend 01'!E17-1))),'V06 Calend 01'!I17),0))+IF((22='V06 Calend 01'!D17),'V06 Calend 01'!J17,0))</f>
        <v>0</v>
      </c>
      <c r="AI17" s="2">
        <f>((IF((23='V06 Calend 01'!C17),('V06 Calend 01'!F17+'V06 Calend 01'!G17),0)+IF(AND(('V06 Calend 01'!E17&gt;0),(23&gt;'V06 Calend 01'!C17),(23&lt;'V06 Calend 01'!D17),(MOD((23-'V06 Calend 01'!C17),6)=0),(((23-'V06 Calend 01'!C17)/6)&lt;='V06 Calend 01'!E17)),IF((23=('V06 Calend 01'!C17+(6*'V06 Calend 01'!E17))),('V06 Calend 01'!H17-('V06 Calend 01'!I17*('V06 Calend 01'!E17-1))),'V06 Calend 01'!I17),0))+IF((23='V06 Calend 01'!D17),'V06 Calend 01'!J17,0))</f>
        <v>0</v>
      </c>
      <c r="AJ17" s="2">
        <f>((IF((24='V06 Calend 01'!C17),('V06 Calend 01'!F17+'V06 Calend 01'!G17),0)+IF(AND(('V06 Calend 01'!E17&gt;0),(24&gt;'V06 Calend 01'!C17),(24&lt;'V06 Calend 01'!D17),(MOD((24-'V06 Calend 01'!C17),6)=0),(((24-'V06 Calend 01'!C17)/6)&lt;='V06 Calend 01'!E17)),IF((24=('V06 Calend 01'!C17+(6*'V06 Calend 01'!E17))),('V06 Calend 01'!H17-('V06 Calend 01'!I17*('V06 Calend 01'!E17-1))),'V06 Calend 01'!I17),0))+IF((24='V06 Calend 01'!D17),'V06 Calend 01'!J17,0))</f>
        <v>0</v>
      </c>
      <c r="AK17" s="2">
        <f>((IF((25='V06 Calend 01'!C17),('V06 Calend 01'!F17+'V06 Calend 01'!G17),0)+IF(AND(('V06 Calend 01'!E17&gt;0),(25&gt;'V06 Calend 01'!C17),(25&lt;'V06 Calend 01'!D17),(MOD((25-'V06 Calend 01'!C17),6)=0),(((25-'V06 Calend 01'!C17)/6)&lt;='V06 Calend 01'!E17)),IF((25=('V06 Calend 01'!C17+(6*'V06 Calend 01'!E17))),('V06 Calend 01'!H17-('V06 Calend 01'!I17*('V06 Calend 01'!E17-1))),'V06 Calend 01'!I17),0))+IF((25='V06 Calend 01'!D17),'V06 Calend 01'!J17,0))</f>
        <v>47311.0</v>
      </c>
      <c r="AL17" s="2">
        <f>((IF((26='V06 Calend 01'!C17),('V06 Calend 01'!F17+'V06 Calend 01'!G17),0)+IF(AND(('V06 Calend 01'!E17&gt;0),(26&gt;'V06 Calend 01'!C17),(26&lt;'V06 Calend 01'!D17),(MOD((26-'V06 Calend 01'!C17),6)=0),(((26-'V06 Calend 01'!C17)/6)&lt;='V06 Calend 01'!E17)),IF((26=('V06 Calend 01'!C17+(6*'V06 Calend 01'!E17))),('V06 Calend 01'!H17-('V06 Calend 01'!I17*('V06 Calend 01'!E17-1))),'V06 Calend 01'!I17),0))+IF((26='V06 Calend 01'!D17),'V06 Calend 01'!J17,0))</f>
        <v>0</v>
      </c>
      <c r="AM17" s="2">
        <f>((IF((27='V06 Calend 01'!C17),('V06 Calend 01'!F17+'V06 Calend 01'!G17),0)+IF(AND(('V06 Calend 01'!E17&gt;0),(27&gt;'V06 Calend 01'!C17),(27&lt;'V06 Calend 01'!D17),(MOD((27-'V06 Calend 01'!C17),6)=0),(((27-'V06 Calend 01'!C17)/6)&lt;='V06 Calend 01'!E17)),IF((27=('V06 Calend 01'!C17+(6*'V06 Calend 01'!E17))),('V06 Calend 01'!H17-('V06 Calend 01'!I17*('V06 Calend 01'!E17-1))),'V06 Calend 01'!I17),0))+IF((27='V06 Calend 01'!D17),'V06 Calend 01'!J17,0))</f>
        <v>0</v>
      </c>
      <c r="AN17" s="2">
        <f>((IF((28='V06 Calend 01'!C17),('V06 Calend 01'!F17+'V06 Calend 01'!G17),0)+IF(AND(('V06 Calend 01'!E17&gt;0),(28&gt;'V06 Calend 01'!C17),(28&lt;'V06 Calend 01'!D17),(MOD((28-'V06 Calend 01'!C17),6)=0),(((28-'V06 Calend 01'!C17)/6)&lt;='V06 Calend 01'!E17)),IF((28=('V06 Calend 01'!C17+(6*'V06 Calend 01'!E17))),('V06 Calend 01'!H17-('V06 Calend 01'!I17*('V06 Calend 01'!E17-1))),'V06 Calend 01'!I17),0))+IF((28='V06 Calend 01'!D17),'V06 Calend 01'!J17,0))</f>
        <v>51612.0</v>
      </c>
      <c r="AO17" s="2">
        <f>((IF((29='V06 Calend 01'!C17),('V06 Calend 01'!F17+'V06 Calend 01'!G17),0)+IF(AND(('V06 Calend 01'!E17&gt;0),(29&gt;'V06 Calend 01'!C17),(29&lt;'V06 Calend 01'!D17),(MOD((29-'V06 Calend 01'!C17),6)=0),(((29-'V06 Calend 01'!C17)/6)&lt;='V06 Calend 01'!E17)),IF((29=('V06 Calend 01'!C17+(6*'V06 Calend 01'!E17))),('V06 Calend 01'!H17-('V06 Calend 01'!I17*('V06 Calend 01'!E17-1))),'V06 Calend 01'!I17),0))+IF((29='V06 Calend 01'!D17),'V06 Calend 01'!J17,0))</f>
        <v>0</v>
      </c>
      <c r="AP17" s="2">
        <f>((IF((30='V06 Calend 01'!C17),('V06 Calend 01'!F17+'V06 Calend 01'!G17),0)+IF(AND(('V06 Calend 01'!E17&gt;0),(30&gt;'V06 Calend 01'!C17),(30&lt;'V06 Calend 01'!D17),(MOD((30-'V06 Calend 01'!C17),6)=0),(((30-'V06 Calend 01'!C17)/6)&lt;='V06 Calend 01'!E17)),IF((30=('V06 Calend 01'!C17+(6*'V06 Calend 01'!E17))),('V06 Calend 01'!H17-('V06 Calend 01'!I17*('V06 Calend 01'!E17-1))),'V06 Calend 01'!I17),0))+IF((30='V06 Calend 01'!D17),'V06 Calend 01'!J17,0))</f>
        <v>0</v>
      </c>
      <c r="AQ17" s="2">
        <f>((IF((31='V06 Calend 01'!C17),('V06 Calend 01'!F17+'V06 Calend 01'!G17),0)+IF(AND(('V06 Calend 01'!E17&gt;0),(31&gt;'V06 Calend 01'!C17),(31&lt;'V06 Calend 01'!D17),(MOD((31-'V06 Calend 01'!C17),6)=0),(((31-'V06 Calend 01'!C17)/6)&lt;='V06 Calend 01'!E17)),IF((31=('V06 Calend 01'!C17+(6*'V06 Calend 01'!E17))),('V06 Calend 01'!H17-('V06 Calend 01'!I17*('V06 Calend 01'!E17-1))),'V06 Calend 01'!I17),0))+IF((31='V06 Calend 01'!D17),'V06 Calend 01'!J17,0))</f>
        <v>0</v>
      </c>
      <c r="AR17" s="2">
        <f>((IF((32='V06 Calend 01'!C17),('V06 Calend 01'!F17+'V06 Calend 01'!G17),0)+IF(AND(('V06 Calend 01'!E17&gt;0),(32&gt;'V06 Calend 01'!C17),(32&lt;'V06 Calend 01'!D17),(MOD((32-'V06 Calend 01'!C17),6)=0),(((32-'V06 Calend 01'!C17)/6)&lt;='V06 Calend 01'!E17)),IF((32=('V06 Calend 01'!C17+(6*'V06 Calend 01'!E17))),('V06 Calend 01'!H17-('V06 Calend 01'!I17*('V06 Calend 01'!E17-1))),'V06 Calend 01'!I17),0))+IF((32='V06 Calend 01'!D17),'V06 Calend 01'!J17,0))</f>
        <v>0</v>
      </c>
      <c r="AS17" s="2">
        <f>((IF((33='V06 Calend 01'!C17),('V06 Calend 01'!F17+'V06 Calend 01'!G17),0)+IF(AND(('V06 Calend 01'!E17&gt;0),(33&gt;'V06 Calend 01'!C17),(33&lt;'V06 Calend 01'!D17),(MOD((33-'V06 Calend 01'!C17),6)=0),(((33-'V06 Calend 01'!C17)/6)&lt;='V06 Calend 01'!E17)),IF((33=('V06 Calend 01'!C17+(6*'V06 Calend 01'!E17))),('V06 Calend 01'!H17-('V06 Calend 01'!I17*('V06 Calend 01'!E17-1))),'V06 Calend 01'!I17),0))+IF((33='V06 Calend 01'!D17),'V06 Calend 01'!J17,0))</f>
        <v>0</v>
      </c>
      <c r="AT17" s="2">
        <f>((IF((34='V06 Calend 01'!C17),('V06 Calend 01'!F17+'V06 Calend 01'!G17),0)+IF(AND(('V06 Calend 01'!E17&gt;0),(34&gt;'V06 Calend 01'!C17),(34&lt;'V06 Calend 01'!D17),(MOD((34-'V06 Calend 01'!C17),6)=0),(((34-'V06 Calend 01'!C17)/6)&lt;='V06 Calend 01'!E17)),IF((34=('V06 Calend 01'!C17+(6*'V06 Calend 01'!E17))),('V06 Calend 01'!H17-('V06 Calend 01'!I17*('V06 Calend 01'!E17-1))),'V06 Calend 01'!I17),0))+IF((34='V06 Calend 01'!D17),'V06 Calend 01'!J17,0))</f>
        <v>0</v>
      </c>
      <c r="AU17" s="2">
        <f>((IF((35='V06 Calend 01'!C17),('V06 Calend 01'!F17+'V06 Calend 01'!G17),0)+IF(AND(('V06 Calend 01'!E17&gt;0),(35&gt;'V06 Calend 01'!C17),(35&lt;'V06 Calend 01'!D17),(MOD((35-'V06 Calend 01'!C17),6)=0),(((35-'V06 Calend 01'!C17)/6)&lt;='V06 Calend 01'!E17)),IF((35=('V06 Calend 01'!C17+(6*'V06 Calend 01'!E17))),('V06 Calend 01'!H17-('V06 Calend 01'!I17*('V06 Calend 01'!E17-1))),'V06 Calend 01'!I17),0))+IF((35='V06 Calend 01'!D17),'V06 Calend 01'!J17,0))</f>
        <v>0</v>
      </c>
      <c r="AV17" s="2">
        <f>((IF((36='V06 Calend 01'!C17),('V06 Calend 01'!F17+'V06 Calend 01'!G17),0)+IF(AND(('V06 Calend 01'!E17&gt;0),(36&gt;'V06 Calend 01'!C17),(36&lt;'V06 Calend 01'!D17),(MOD((36-'V06 Calend 01'!C17),6)=0),(((36-'V06 Calend 01'!C17)/6)&lt;='V06 Calend 01'!E17)),IF((36=('V06 Calend 01'!C17+(6*'V06 Calend 01'!E17))),('V06 Calend 01'!H17-('V06 Calend 01'!I17*('V06 Calend 01'!E17-1))),'V06 Calend 01'!I17),0))+IF((36='V06 Calend 01'!D17),'V06 Calend 01'!J17,0))</f>
        <v>0</v>
      </c>
      <c r="AW17" s="2">
        <f>((IF((37='V06 Calend 01'!C17),('V06 Calend 01'!F17+'V06 Calend 01'!G17),0)+IF(AND(('V06 Calend 01'!E17&gt;0),(37&gt;'V06 Calend 01'!C17),(37&lt;'V06 Calend 01'!D17),(MOD((37-'V06 Calend 01'!C17),6)=0),(((37-'V06 Calend 01'!C17)/6)&lt;='V06 Calend 01'!E17)),IF((37=('V06 Calend 01'!C17+(6*'V06 Calend 01'!E17))),('V06 Calend 01'!H17-('V06 Calend 01'!I17*('V06 Calend 01'!E17-1))),'V06 Calend 01'!I17),0))+IF((37='V06 Calend 01'!D17),'V06 Calend 01'!J17,0))</f>
        <v>0</v>
      </c>
      <c r="AX17" s="2">
        <f>((IF((38='V06 Calend 01'!C17),('V06 Calend 01'!F17+'V06 Calend 01'!G17),0)+IF(AND(('V06 Calend 01'!E17&gt;0),(38&gt;'V06 Calend 01'!C17),(38&lt;'V06 Calend 01'!D17),(MOD((38-'V06 Calend 01'!C17),6)=0),(((38-'V06 Calend 01'!C17)/6)&lt;='V06 Calend 01'!E17)),IF((38=('V06 Calend 01'!C17+(6*'V06 Calend 01'!E17))),('V06 Calend 01'!H17-('V06 Calend 01'!I17*('V06 Calend 01'!E17-1))),'V06 Calend 01'!I17),0))+IF((38='V06 Calend 01'!D17),'V06 Calend 01'!J17,0))</f>
        <v>0</v>
      </c>
      <c r="AY17" s="2">
        <f>((IF((39='V06 Calend 01'!C17),('V06 Calend 01'!F17+'V06 Calend 01'!G17),0)+IF(AND(('V06 Calend 01'!E17&gt;0),(39&gt;'V06 Calend 01'!C17),(39&lt;'V06 Calend 01'!D17),(MOD((39-'V06 Calend 01'!C17),6)=0),(((39-'V06 Calend 01'!C17)/6)&lt;='V06 Calend 01'!E17)),IF((39=('V06 Calend 01'!C17+(6*'V06 Calend 01'!E17))),('V06 Calend 01'!H17-('V06 Calend 01'!I17*('V06 Calend 01'!E17-1))),'V06 Calend 01'!I17),0))+IF((39='V06 Calend 01'!D17),'V06 Calend 01'!J17,0))</f>
        <v>0</v>
      </c>
      <c r="AZ17" s="2">
        <f>((IF((40='V06 Calend 01'!C17),('V06 Calend 01'!F17+'V06 Calend 01'!G17),0)+IF(AND(('V06 Calend 01'!E17&gt;0),(40&gt;'V06 Calend 01'!C17),(40&lt;'V06 Calend 01'!D17),(MOD((40-'V06 Calend 01'!C17),6)=0),(((40-'V06 Calend 01'!C17)/6)&lt;='V06 Calend 01'!E17)),IF((40=('V06 Calend 01'!C17+(6*'V06 Calend 01'!E17))),('V06 Calend 01'!H17-('V06 Calend 01'!I17*('V06 Calend 01'!E17-1))),'V06 Calend 01'!I17),0))+IF((40='V06 Calend 01'!D17),'V06 Calend 01'!J17,0))</f>
        <v>0</v>
      </c>
      <c r="BA17" s="2">
        <f>((IF((41='V06 Calend 01'!C17),('V06 Calend 01'!F17+'V06 Calend 01'!G17),0)+IF(AND(('V06 Calend 01'!E17&gt;0),(41&gt;'V06 Calend 01'!C17),(41&lt;'V06 Calend 01'!D17),(MOD((41-'V06 Calend 01'!C17),6)=0),(((41-'V06 Calend 01'!C17)/6)&lt;='V06 Calend 01'!E17)),IF((41=('V06 Calend 01'!C17+(6*'V06 Calend 01'!E17))),('V06 Calend 01'!H17-('V06 Calend 01'!I17*('V06 Calend 01'!E17-1))),'V06 Calend 01'!I17),0))+IF((41='V06 Calend 01'!D17),'V06 Calend 01'!J17,0))</f>
        <v>0</v>
      </c>
      <c r="BB17" s="2">
        <f>((IF((42='V06 Calend 01'!C17),('V06 Calend 01'!F17+'V06 Calend 01'!G17),0)+IF(AND(('V06 Calend 01'!E17&gt;0),(42&gt;'V06 Calend 01'!C17),(42&lt;'V06 Calend 01'!D17),(MOD((42-'V06 Calend 01'!C17),6)=0),(((42-'V06 Calend 01'!C17)/6)&lt;='V06 Calend 01'!E17)),IF((42=('V06 Calend 01'!C17+(6*'V06 Calend 01'!E17))),('V06 Calend 01'!H17-('V06 Calend 01'!I17*('V06 Calend 01'!E17-1))),'V06 Calend 01'!I17),0))+IF((42='V06 Calend 01'!D17),'V06 Calend 01'!J17,0))</f>
        <v>0</v>
      </c>
      <c r="BC17" s="2">
        <f>((IF((43='V06 Calend 01'!C17),('V06 Calend 01'!F17+'V06 Calend 01'!G17),0)+IF(AND(('V06 Calend 01'!E17&gt;0),(43&gt;'V06 Calend 01'!C17),(43&lt;'V06 Calend 01'!D17),(MOD((43-'V06 Calend 01'!C17),6)=0),(((43-'V06 Calend 01'!C17)/6)&lt;='V06 Calend 01'!E17)),IF((43=('V06 Calend 01'!C17+(6*'V06 Calend 01'!E17))),('V06 Calend 01'!H17-('V06 Calend 01'!I17*('V06 Calend 01'!E17-1))),'V06 Calend 01'!I17),0))+IF((43='V06 Calend 01'!D17),'V06 Calend 01'!J17,0))</f>
        <v>0</v>
      </c>
      <c r="BD17" s="2">
        <f>((IF((44='V06 Calend 01'!C17),('V06 Calend 01'!F17+'V06 Calend 01'!G17),0)+IF(AND(('V06 Calend 01'!E17&gt;0),(44&gt;'V06 Calend 01'!C17),(44&lt;'V06 Calend 01'!D17),(MOD((44-'V06 Calend 01'!C17),6)=0),(((44-'V06 Calend 01'!C17)/6)&lt;='V06 Calend 01'!E17)),IF((44=('V06 Calend 01'!C17+(6*'V06 Calend 01'!E17))),('V06 Calend 01'!H17-('V06 Calend 01'!I17*('V06 Calend 01'!E17-1))),'V06 Calend 01'!I17),0))+IF((44='V06 Calend 01'!D17),'V06 Calend 01'!J17,0))</f>
        <v>0</v>
      </c>
      <c r="BE17" s="2">
        <f>((IF((45='V06 Calend 01'!C17),('V06 Calend 01'!F17+'V06 Calend 01'!G17),0)+IF(AND(('V06 Calend 01'!E17&gt;0),(45&gt;'V06 Calend 01'!C17),(45&lt;'V06 Calend 01'!D17),(MOD((45-'V06 Calend 01'!C17),6)=0),(((45-'V06 Calend 01'!C17)/6)&lt;='V06 Calend 01'!E17)),IF((45=('V06 Calend 01'!C17+(6*'V06 Calend 01'!E17))),('V06 Calend 01'!H17-('V06 Calend 01'!I17*('V06 Calend 01'!E17-1))),'V06 Calend 01'!I17),0))+IF((45='V06 Calend 01'!D17),'V06 Calend 01'!J17,0))</f>
        <v>0</v>
      </c>
      <c r="BF17" s="2">
        <f>((IF((46='V06 Calend 01'!C17),('V06 Calend 01'!F17+'V06 Calend 01'!G17),0)+IF(AND(('V06 Calend 01'!E17&gt;0),(46&gt;'V06 Calend 01'!C17),(46&lt;'V06 Calend 01'!D17),(MOD((46-'V06 Calend 01'!C17),6)=0),(((46-'V06 Calend 01'!C17)/6)&lt;='V06 Calend 01'!E17)),IF((46=('V06 Calend 01'!C17+(6*'V06 Calend 01'!E17))),('V06 Calend 01'!H17-('V06 Calend 01'!I17*('V06 Calend 01'!E17-1))),'V06 Calend 01'!I17),0))+IF((46='V06 Calend 01'!D17),'V06 Calend 01'!J17,0))</f>
        <v>0</v>
      </c>
      <c r="BG17" s="2">
        <f>((IF((47='V06 Calend 01'!C17),('V06 Calend 01'!F17+'V06 Calend 01'!G17),0)+IF(AND(('V06 Calend 01'!E17&gt;0),(47&gt;'V06 Calend 01'!C17),(47&lt;'V06 Calend 01'!D17),(MOD((47-'V06 Calend 01'!C17),6)=0),(((47-'V06 Calend 01'!C17)/6)&lt;='V06 Calend 01'!E17)),IF((47=('V06 Calend 01'!C17+(6*'V06 Calend 01'!E17))),('V06 Calend 01'!H17-('V06 Calend 01'!I17*('V06 Calend 01'!E17-1))),'V06 Calend 01'!I17),0))+IF((47='V06 Calend 01'!D17),'V06 Calend 01'!J17,0))</f>
        <v>0</v>
      </c>
      <c r="BH17" s="2">
        <f>((IF((48='V06 Calend 01'!C17),('V06 Calend 01'!F17+'V06 Calend 01'!G17),0)+IF(AND(('V06 Calend 01'!E17&gt;0),(48&gt;'V06 Calend 01'!C17),(48&lt;'V06 Calend 01'!D17),(MOD((48-'V06 Calend 01'!C17),6)=0),(((48-'V06 Calend 01'!C17)/6)&lt;='V06 Calend 01'!E17)),IF((48=('V06 Calend 01'!C17+(6*'V06 Calend 01'!E17))),('V06 Calend 01'!H17-('V06 Calend 01'!I17*('V06 Calend 01'!E17-1))),'V06 Calend 01'!I17),0))+IF((48='V06 Calend 01'!D17),'V06 Calend 01'!J17,0))</f>
        <v>0</v>
      </c>
      <c r="BI17" s="2">
        <f>((IF((49='V06 Calend 01'!C17),('V06 Calend 01'!F17+'V06 Calend 01'!G17),0)+IF(AND(('V06 Calend 01'!E17&gt;0),(49&gt;'V06 Calend 01'!C17),(49&lt;'V06 Calend 01'!D17),(MOD((49-'V06 Calend 01'!C17),6)=0),(((49-'V06 Calend 01'!C17)/6)&lt;='V06 Calend 01'!E17)),IF((49=('V06 Calend 01'!C17+(6*'V06 Calend 01'!E17))),('V06 Calend 01'!H17-('V06 Calend 01'!I17*('V06 Calend 01'!E17-1))),'V06 Calend 01'!I17),0))+IF((49='V06 Calend 01'!D17),'V06 Calend 01'!J17,0))</f>
        <v>0</v>
      </c>
      <c r="BJ17" s="2">
        <f>((IF((50='V06 Calend 01'!C17),('V06 Calend 01'!F17+'V06 Calend 01'!G17),0)+IF(AND(('V06 Calend 01'!E17&gt;0),(50&gt;'V06 Calend 01'!C17),(50&lt;'V06 Calend 01'!D17),(MOD((50-'V06 Calend 01'!C17),6)=0),(((50-'V06 Calend 01'!C17)/6)&lt;='V06 Calend 01'!E17)),IF((50=('V06 Calend 01'!C17+(6*'V06 Calend 01'!E17))),('V06 Calend 01'!H17-('V06 Calend 01'!I17*('V06 Calend 01'!E17-1))),'V06 Calend 01'!I17),0))+IF((50='V06 Calend 01'!D17),'V06 Calend 01'!J17,0))</f>
        <v>0</v>
      </c>
      <c r="BK17" s="2">
        <f>((IF((51='V06 Calend 01'!C17),('V06 Calend 01'!F17+'V06 Calend 01'!G17),0)+IF(AND(('V06 Calend 01'!E17&gt;0),(51&gt;'V06 Calend 01'!C17),(51&lt;'V06 Calend 01'!D17),(MOD((51-'V06 Calend 01'!C17),6)=0),(((51-'V06 Calend 01'!C17)/6)&lt;='V06 Calend 01'!E17)),IF((51=('V06 Calend 01'!C17+(6*'V06 Calend 01'!E17))),('V06 Calend 01'!H17-('V06 Calend 01'!I17*('V06 Calend 01'!E17-1))),'V06 Calend 01'!I17),0))+IF((51='V06 Calend 01'!D17),'V06 Calend 01'!J17,0))</f>
        <v>0</v>
      </c>
      <c r="BL17" s="2">
        <f>((IF((52='V06 Calend 01'!C17),('V06 Calend 01'!F17+'V06 Calend 01'!G17),0)+IF(AND(('V06 Calend 01'!E17&gt;0),(52&gt;'V06 Calend 01'!C17),(52&lt;'V06 Calend 01'!D17),(MOD((52-'V06 Calend 01'!C17),6)=0),(((52-'V06 Calend 01'!C17)/6)&lt;='V06 Calend 01'!E17)),IF((52=('V06 Calend 01'!C17+(6*'V06 Calend 01'!E17))),('V06 Calend 01'!H17-('V06 Calend 01'!I17*('V06 Calend 01'!E17-1))),'V06 Calend 01'!I17),0))+IF((52='V06 Calend 01'!D17),'V06 Calend 01'!J17,0))</f>
        <v>0</v>
      </c>
      <c r="BM17" s="2">
        <f>((IF((53='V06 Calend 01'!C17),('V06 Calend 01'!F17+'V06 Calend 01'!G17),0)+IF(AND(('V06 Calend 01'!E17&gt;0),(53&gt;'V06 Calend 01'!C17),(53&lt;'V06 Calend 01'!D17),(MOD((53-'V06 Calend 01'!C17),6)=0),(((53-'V06 Calend 01'!C17)/6)&lt;='V06 Calend 01'!E17)),IF((53=('V06 Calend 01'!C17+(6*'V06 Calend 01'!E17))),('V06 Calend 01'!H17-('V06 Calend 01'!I17*('V06 Calend 01'!E17-1))),'V06 Calend 01'!I17),0))+IF((53='V06 Calend 01'!D17),'V06 Calend 01'!J17,0))</f>
        <v>0</v>
      </c>
      <c r="BN17" s="2">
        <f>((IF((54='V06 Calend 01'!C17),('V06 Calend 01'!F17+'V06 Calend 01'!G17),0)+IF(AND(('V06 Calend 01'!E17&gt;0),(54&gt;'V06 Calend 01'!C17),(54&lt;'V06 Calend 01'!D17),(MOD((54-'V06 Calend 01'!C17),6)=0),(((54-'V06 Calend 01'!C17)/6)&lt;='V06 Calend 01'!E17)),IF((54=('V06 Calend 01'!C17+(6*'V06 Calend 01'!E17))),('V06 Calend 01'!H17-('V06 Calend 01'!I17*('V06 Calend 01'!E17-1))),'V06 Calend 01'!I17),0))+IF((54='V06 Calend 01'!D17),'V06 Calend 01'!J17,0))</f>
        <v>0</v>
      </c>
      <c r="BO17" s="2">
        <f>((IF((55='V06 Calend 01'!C17),('V06 Calend 01'!F17+'V06 Calend 01'!G17),0)+IF(AND(('V06 Calend 01'!E17&gt;0),(55&gt;'V06 Calend 01'!C17),(55&lt;'V06 Calend 01'!D17),(MOD((55-'V06 Calend 01'!C17),6)=0),(((55-'V06 Calend 01'!C17)/6)&lt;='V06 Calend 01'!E17)),IF((55=('V06 Calend 01'!C17+(6*'V06 Calend 01'!E17))),('V06 Calend 01'!H17-('V06 Calend 01'!I17*('V06 Calend 01'!E17-1))),'V06 Calend 01'!I17),0))+IF((55='V06 Calend 01'!D17),'V06 Calend 01'!J17,0))</f>
        <v>0</v>
      </c>
      <c r="BP17" s="2">
        <f>((IF((56='V06 Calend 01'!C17),('V06 Calend 01'!F17+'V06 Calend 01'!G17),0)+IF(AND(('V06 Calend 01'!E17&gt;0),(56&gt;'V06 Calend 01'!C17),(56&lt;'V06 Calend 01'!D17),(MOD((56-'V06 Calend 01'!C17),6)=0),(((56-'V06 Calend 01'!C17)/6)&lt;='V06 Calend 01'!E17)),IF((56=('V06 Calend 01'!C17+(6*'V06 Calend 01'!E17))),('V06 Calend 01'!H17-('V06 Calend 01'!I17*('V06 Calend 01'!E17-1))),'V06 Calend 01'!I17),0))+IF((56='V06 Calend 01'!D17),'V06 Calend 01'!J17,0))</f>
        <v>0</v>
      </c>
      <c r="BQ17" s="2">
        <f>((IF((57='V06 Calend 01'!C17),('V06 Calend 01'!F17+'V06 Calend 01'!G17),0)+IF(AND(('V06 Calend 01'!E17&gt;0),(57&gt;'V06 Calend 01'!C17),(57&lt;'V06 Calend 01'!D17),(MOD((57-'V06 Calend 01'!C17),6)=0),(((57-'V06 Calend 01'!C17)/6)&lt;='V06 Calend 01'!E17)),IF((57=('V06 Calend 01'!C17+(6*'V06 Calend 01'!E17))),('V06 Calend 01'!H17-('V06 Calend 01'!I17*('V06 Calend 01'!E17-1))),'V06 Calend 01'!I17),0))+IF((57='V06 Calend 01'!D17),'V06 Calend 01'!J17,0))</f>
        <v>0</v>
      </c>
      <c r="BR17" s="2">
        <f>((IF((58='V06 Calend 01'!C17),('V06 Calend 01'!F17+'V06 Calend 01'!G17),0)+IF(AND(('V06 Calend 01'!E17&gt;0),(58&gt;'V06 Calend 01'!C17),(58&lt;'V06 Calend 01'!D17),(MOD((58-'V06 Calend 01'!C17),6)=0),(((58-'V06 Calend 01'!C17)/6)&lt;='V06 Calend 01'!E17)),IF((58=('V06 Calend 01'!C17+(6*'V06 Calend 01'!E17))),('V06 Calend 01'!H17-('V06 Calend 01'!I17*('V06 Calend 01'!E17-1))),'V06 Calend 01'!I17),0))+IF((58='V06 Calend 01'!D17),'V06 Calend 01'!J17,0))</f>
        <v>0</v>
      </c>
      <c r="BS17" s="2">
        <f>((IF((59='V06 Calend 01'!C17),('V06 Calend 01'!F17+'V06 Calend 01'!G17),0)+IF(AND(('V06 Calend 01'!E17&gt;0),(59&gt;'V06 Calend 01'!C17),(59&lt;'V06 Calend 01'!D17),(MOD((59-'V06 Calend 01'!C17),6)=0),(((59-'V06 Calend 01'!C17)/6)&lt;='V06 Calend 01'!E17)),IF((59=('V06 Calend 01'!C17+(6*'V06 Calend 01'!E17))),('V06 Calend 01'!H17-('V06 Calend 01'!I17*('V06 Calend 01'!E17-1))),'V06 Calend 01'!I17),0))+IF((59='V06 Calend 01'!D17),'V06 Calend 01'!J17,0))</f>
        <v>0</v>
      </c>
      <c r="BT17" s="2">
        <f>((IF((60='V06 Calend 01'!C17),('V06 Calend 01'!F17+'V06 Calend 01'!G17),0)+IF(AND(('V06 Calend 01'!E17&gt;0),(60&gt;'V06 Calend 01'!C17),(60&lt;'V06 Calend 01'!D17),(MOD((60-'V06 Calend 01'!C17),6)=0),(((60-'V06 Calend 01'!C17)/6)&lt;='V06 Calend 01'!E17)),IF((60=('V06 Calend 01'!C17+(6*'V06 Calend 01'!E17))),('V06 Calend 01'!H17-('V06 Calend 01'!I17*('V06 Calend 01'!E17-1))),'V06 Calend 01'!I17),0))+IF((60='V06 Calend 01'!D17),'V06 Calend 01'!J17,0))</f>
        <v>0</v>
      </c>
      <c r="BU17" s="2">
        <f>((IF((61='V06 Calend 01'!C17),('V06 Calend 01'!F17+'V06 Calend 01'!G17),0)+IF(AND(('V06 Calend 01'!E17&gt;0),(61&gt;'V06 Calend 01'!C17),(61&lt;'V06 Calend 01'!D17),(MOD((61-'V06 Calend 01'!C17),6)=0),(((61-'V06 Calend 01'!C17)/6)&lt;='V06 Calend 01'!E17)),IF((61=('V06 Calend 01'!C17+(6*'V06 Calend 01'!E17))),('V06 Calend 01'!H17-('V06 Calend 01'!I17*('V06 Calend 01'!E17-1))),'V06 Calend 01'!I17),0))+IF((61='V06 Calend 01'!D17),'V06 Calend 01'!J17,0))</f>
        <v>0</v>
      </c>
      <c r="BV17" s="2">
        <f>((IF((62='V06 Calend 01'!C17),('V06 Calend 01'!F17+'V06 Calend 01'!G17),0)+IF(AND(('V06 Calend 01'!E17&gt;0),(62&gt;'V06 Calend 01'!C17),(62&lt;'V06 Calend 01'!D17),(MOD((62-'V06 Calend 01'!C17),6)=0),(((62-'V06 Calend 01'!C17)/6)&lt;='V06 Calend 01'!E17)),IF((62=('V06 Calend 01'!C17+(6*'V06 Calend 01'!E17))),('V06 Calend 01'!H17-('V06 Calend 01'!I17*('V06 Calend 01'!E17-1))),'V06 Calend 01'!I17),0))+IF((62='V06 Calend 01'!D17),'V06 Calend 01'!J17,0))</f>
        <v>0</v>
      </c>
      <c r="BW17" s="2">
        <f>((IF((63='V06 Calend 01'!C17),('V06 Calend 01'!F17+'V06 Calend 01'!G17),0)+IF(AND(('V06 Calend 01'!E17&gt;0),(63&gt;'V06 Calend 01'!C17),(63&lt;'V06 Calend 01'!D17),(MOD((63-'V06 Calend 01'!C17),6)=0),(((63-'V06 Calend 01'!C17)/6)&lt;='V06 Calend 01'!E17)),IF((63=('V06 Calend 01'!C17+(6*'V06 Calend 01'!E17))),('V06 Calend 01'!H17-('V06 Calend 01'!I17*('V06 Calend 01'!E17-1))),'V06 Calend 01'!I17),0))+IF((63='V06 Calend 01'!D17),'V06 Calend 01'!J17,0))</f>
        <v>0</v>
      </c>
      <c r="BX17" s="2">
        <f>((IF((64='V06 Calend 01'!C17),('V06 Calend 01'!F17+'V06 Calend 01'!G17),0)+IF(AND(('V06 Calend 01'!E17&gt;0),(64&gt;'V06 Calend 01'!C17),(64&lt;'V06 Calend 01'!D17),(MOD((64-'V06 Calend 01'!C17),6)=0),(((64-'V06 Calend 01'!C17)/6)&lt;='V06 Calend 01'!E17)),IF((64=('V06 Calend 01'!C17+(6*'V06 Calend 01'!E17))),('V06 Calend 01'!H17-('V06 Calend 01'!I17*('V06 Calend 01'!E17-1))),'V06 Calend 01'!I17),0))+IF((64='V06 Calend 01'!D17),'V06 Calend 01'!J17,0))</f>
        <v>0</v>
      </c>
      <c r="BY17" s="2">
        <f>((IF((65='V06 Calend 01'!C17),('V06 Calend 01'!F17+'V06 Calend 01'!G17),0)+IF(AND(('V06 Calend 01'!E17&gt;0),(65&gt;'V06 Calend 01'!C17),(65&lt;'V06 Calend 01'!D17),(MOD((65-'V06 Calend 01'!C17),6)=0),(((65-'V06 Calend 01'!C17)/6)&lt;='V06 Calend 01'!E17)),IF((65=('V06 Calend 01'!C17+(6*'V06 Calend 01'!E17))),('V06 Calend 01'!H17-('V06 Calend 01'!I17*('V06 Calend 01'!E17-1))),'V06 Calend 01'!I17),0))+IF((65='V06 Calend 01'!D17),'V06 Calend 01'!J17,0))</f>
        <v>0</v>
      </c>
      <c r="BZ17" s="2">
        <f>((IF((66='V06 Calend 01'!C17),('V06 Calend 01'!F17+'V06 Calend 01'!G17),0)+IF(AND(('V06 Calend 01'!E17&gt;0),(66&gt;'V06 Calend 01'!C17),(66&lt;'V06 Calend 01'!D17),(MOD((66-'V06 Calend 01'!C17),6)=0),(((66-'V06 Calend 01'!C17)/6)&lt;='V06 Calend 01'!E17)),IF((66=('V06 Calend 01'!C17+(6*'V06 Calend 01'!E17))),('V06 Calend 01'!H17-('V06 Calend 01'!I17*('V06 Calend 01'!E17-1))),'V06 Calend 01'!I17),0))+IF((66='V06 Calend 01'!D17),'V06 Calend 01'!J17,0))</f>
        <v>0</v>
      </c>
      <c r="CA17" s="2">
        <f>((IF((67='V06 Calend 01'!C17),('V06 Calend 01'!F17+'V06 Calend 01'!G17),0)+IF(AND(('V06 Calend 01'!E17&gt;0),(67&gt;'V06 Calend 01'!C17),(67&lt;'V06 Calend 01'!D17),(MOD((67-'V06 Calend 01'!C17),6)=0),(((67-'V06 Calend 01'!C17)/6)&lt;='V06 Calend 01'!E17)),IF((67=('V06 Calend 01'!C17+(6*'V06 Calend 01'!E17))),('V06 Calend 01'!H17-('V06 Calend 01'!I17*('V06 Calend 01'!E17-1))),'V06 Calend 01'!I17),0))+IF((67='V06 Calend 01'!D17),'V06 Calend 01'!J17,0))</f>
        <v>0</v>
      </c>
      <c r="CB17" s="2">
        <f>((IF((68='V06 Calend 01'!C17),('V06 Calend 01'!F17+'V06 Calend 01'!G17),0)+IF(AND(('V06 Calend 01'!E17&gt;0),(68&gt;'V06 Calend 01'!C17),(68&lt;'V06 Calend 01'!D17),(MOD((68-'V06 Calend 01'!C17),6)=0),(((68-'V06 Calend 01'!C17)/6)&lt;='V06 Calend 01'!E17)),IF((68=('V06 Calend 01'!C17+(6*'V06 Calend 01'!E17))),('V06 Calend 01'!H17-('V06 Calend 01'!I17*('V06 Calend 01'!E17-1))),'V06 Calend 01'!I17),0))+IF((68='V06 Calend 01'!D17),'V06 Calend 01'!J17,0))</f>
        <v>0</v>
      </c>
      <c r="CC17" s="2">
        <f>((IF((69='V06 Calend 01'!C17),('V06 Calend 01'!F17+'V06 Calend 01'!G17),0)+IF(AND(('V06 Calend 01'!E17&gt;0),(69&gt;'V06 Calend 01'!C17),(69&lt;'V06 Calend 01'!D17),(MOD((69-'V06 Calend 01'!C17),6)=0),(((69-'V06 Calend 01'!C17)/6)&lt;='V06 Calend 01'!E17)),IF((69=('V06 Calend 01'!C17+(6*'V06 Calend 01'!E17))),('V06 Calend 01'!H17-('V06 Calend 01'!I17*('V06 Calend 01'!E17-1))),'V06 Calend 01'!I17),0))+IF((69='V06 Calend 01'!D17),'V06 Calend 01'!J17,0))</f>
        <v>0</v>
      </c>
      <c r="CD17" s="2">
        <f>((IF((70='V06 Calend 01'!C17),('V06 Calend 01'!F17+'V06 Calend 01'!G17),0)+IF(AND(('V06 Calend 01'!E17&gt;0),(70&gt;'V06 Calend 01'!C17),(70&lt;'V06 Calend 01'!D17),(MOD((70-'V06 Calend 01'!C17),6)=0),(((70-'V06 Calend 01'!C17)/6)&lt;='V06 Calend 01'!E17)),IF((70=('V06 Calend 01'!C17+(6*'V06 Calend 01'!E17))),('V06 Calend 01'!H17-('V06 Calend 01'!I17*('V06 Calend 01'!E17-1))),'V06 Calend 01'!I17),0))+IF((70='V06 Calend 01'!D17),'V06 Calend 01'!J17,0))</f>
        <v>0</v>
      </c>
      <c r="CE17" s="2">
        <f>((IF((71='V06 Calend 01'!C17),('V06 Calend 01'!F17+'V06 Calend 01'!G17),0)+IF(AND(('V06 Calend 01'!E17&gt;0),(71&gt;'V06 Calend 01'!C17),(71&lt;'V06 Calend 01'!D17),(MOD((71-'V06 Calend 01'!C17),6)=0),(((71-'V06 Calend 01'!C17)/6)&lt;='V06 Calend 01'!E17)),IF((71=('V06 Calend 01'!C17+(6*'V06 Calend 01'!E17))),('V06 Calend 01'!H17-('V06 Calend 01'!I17*('V06 Calend 01'!E17-1))),'V06 Calend 01'!I17),0))+IF((71='V06 Calend 01'!D17),'V06 Calend 01'!J17,0))</f>
        <v>0</v>
      </c>
      <c r="CF17" s="2">
        <f>((IF((72='V06 Calend 01'!C17),('V06 Calend 01'!F17+'V06 Calend 01'!G17),0)+IF(AND(('V06 Calend 01'!E17&gt;0),(72&gt;'V06 Calend 01'!C17),(72&lt;'V06 Calend 01'!D17),(MOD((72-'V06 Calend 01'!C17),6)=0),(((72-'V06 Calend 01'!C17)/6)&lt;='V06 Calend 01'!E17)),IF((72=('V06 Calend 01'!C17+(6*'V06 Calend 01'!E17))),('V06 Calend 01'!H17-('V06 Calend 01'!I17*('V06 Calend 01'!E17-1))),'V06 Calend 01'!I17),0))+IF((72='V06 Calend 01'!D17),'V06 Calend 01'!J17,0))</f>
        <v>0</v>
      </c>
      <c r="CG17" s="2">
        <f>((IF((73='V06 Calend 01'!C17),('V06 Calend 01'!F17+'V06 Calend 01'!G17),0)+IF(AND(('V06 Calend 01'!E17&gt;0),(73&gt;'V06 Calend 01'!C17),(73&lt;'V06 Calend 01'!D17),(MOD((73-'V06 Calend 01'!C17),6)=0),(((73-'V06 Calend 01'!C17)/6)&lt;='V06 Calend 01'!E17)),IF((73=('V06 Calend 01'!C17+(6*'V06 Calend 01'!E17))),('V06 Calend 01'!H17-('V06 Calend 01'!I17*('V06 Calend 01'!E17-1))),'V06 Calend 01'!I17),0))+IF((73='V06 Calend 01'!D17),'V06 Calend 01'!J17,0))</f>
        <v>0</v>
      </c>
      <c r="CH17" s="2">
        <f>((IF((74='V06 Calend 01'!C17),('V06 Calend 01'!F17+'V06 Calend 01'!G17),0)+IF(AND(('V06 Calend 01'!E17&gt;0),(74&gt;'V06 Calend 01'!C17),(74&lt;'V06 Calend 01'!D17),(MOD((74-'V06 Calend 01'!C17),6)=0),(((74-'V06 Calend 01'!C17)/6)&lt;='V06 Calend 01'!E17)),IF((74=('V06 Calend 01'!C17+(6*'V06 Calend 01'!E17))),('V06 Calend 01'!H17-('V06 Calend 01'!I17*('V06 Calend 01'!E17-1))),'V06 Calend 01'!I17),0))+IF((74='V06 Calend 01'!D17),'V06 Calend 01'!J17,0))</f>
        <v>0</v>
      </c>
      <c r="CI17" s="2">
        <f>((IF((75='V06 Calend 01'!C17),('V06 Calend 01'!F17+'V06 Calend 01'!G17),0)+IF(AND(('V06 Calend 01'!E17&gt;0),(75&gt;'V06 Calend 01'!C17),(75&lt;'V06 Calend 01'!D17),(MOD((75-'V06 Calend 01'!C17),6)=0),(((75-'V06 Calend 01'!C17)/6)&lt;='V06 Calend 01'!E17)),IF((75=('V06 Calend 01'!C17+(6*'V06 Calend 01'!E17))),('V06 Calend 01'!H17-('V06 Calend 01'!I17*('V06 Calend 01'!E17-1))),'V06 Calend 01'!I17),0))+IF((75='V06 Calend 01'!D17),'V06 Calend 01'!J17,0))</f>
        <v>0</v>
      </c>
      <c r="CJ17" s="2">
        <f>((IF((76='V06 Calend 01'!C17),('V06 Calend 01'!F17+'V06 Calend 01'!G17),0)+IF(AND(('V06 Calend 01'!E17&gt;0),(76&gt;'V06 Calend 01'!C17),(76&lt;'V06 Calend 01'!D17),(MOD((76-'V06 Calend 01'!C17),6)=0),(((76-'V06 Calend 01'!C17)/6)&lt;='V06 Calend 01'!E17)),IF((76=('V06 Calend 01'!C17+(6*'V06 Calend 01'!E17))),('V06 Calend 01'!H17-('V06 Calend 01'!I17*('V06 Calend 01'!E17-1))),'V06 Calend 01'!I17),0))+IF((76='V06 Calend 01'!D17),'V06 Calend 01'!J17,0))</f>
        <v>0</v>
      </c>
      <c r="CK17" s="2">
        <f>((IF((77='V06 Calend 01'!C17),('V06 Calend 01'!F17+'V06 Calend 01'!G17),0)+IF(AND(('V06 Calend 01'!E17&gt;0),(77&gt;'V06 Calend 01'!C17),(77&lt;'V06 Calend 01'!D17),(MOD((77-'V06 Calend 01'!C17),6)=0),(((77-'V06 Calend 01'!C17)/6)&lt;='V06 Calend 01'!E17)),IF((77=('V06 Calend 01'!C17+(6*'V06 Calend 01'!E17))),('V06 Calend 01'!H17-('V06 Calend 01'!I17*('V06 Calend 01'!E17-1))),'V06 Calend 01'!I17),0))+IF((77='V06 Calend 01'!D17),'V06 Calend 01'!J17,0))</f>
        <v>0</v>
      </c>
      <c r="CL17" s="2">
        <f>((IF((78='V06 Calend 01'!C17),('V06 Calend 01'!F17+'V06 Calend 01'!G17),0)+IF(AND(('V06 Calend 01'!E17&gt;0),(78&gt;'V06 Calend 01'!C17),(78&lt;'V06 Calend 01'!D17),(MOD((78-'V06 Calend 01'!C17),6)=0),(((78-'V06 Calend 01'!C17)/6)&lt;='V06 Calend 01'!E17)),IF((78=('V06 Calend 01'!C17+(6*'V06 Calend 01'!E17))),('V06 Calend 01'!H17-('V06 Calend 01'!I17*('V06 Calend 01'!E17-1))),'V06 Calend 01'!I17),0))+IF((78='V06 Calend 01'!D17),'V06 Calend 01'!J17,0))</f>
        <v>0</v>
      </c>
      <c r="CM17" s="2">
        <f>((IF((79='V06 Calend 01'!C17),('V06 Calend 01'!F17+'V06 Calend 01'!G17),0)+IF(AND(('V06 Calend 01'!E17&gt;0),(79&gt;'V06 Calend 01'!C17),(79&lt;'V06 Calend 01'!D17),(MOD((79-'V06 Calend 01'!C17),6)=0),(((79-'V06 Calend 01'!C17)/6)&lt;='V06 Calend 01'!E17)),IF((79=('V06 Calend 01'!C17+(6*'V06 Calend 01'!E17))),('V06 Calend 01'!H17-('V06 Calend 01'!I17*('V06 Calend 01'!E17-1))),'V06 Calend 01'!I17),0))+IF((79='V06 Calend 01'!D17),'V06 Calend 01'!J17,0))</f>
        <v>0</v>
      </c>
      <c r="CN17" s="2">
        <f>((IF((80='V06 Calend 01'!C17),('V06 Calend 01'!F17+'V06 Calend 01'!G17),0)+IF(AND(('V06 Calend 01'!E17&gt;0),(80&gt;'V06 Calend 01'!C17),(80&lt;'V06 Calend 01'!D17),(MOD((80-'V06 Calend 01'!C17),6)=0),(((80-'V06 Calend 01'!C17)/6)&lt;='V06 Calend 01'!E17)),IF((80=('V06 Calend 01'!C17+(6*'V06 Calend 01'!E17))),('V06 Calend 01'!H17-('V06 Calend 01'!I17*('V06 Calend 01'!E17-1))),'V06 Calend 01'!I17),0))+IF((80='V06 Calend 01'!D17),'V06 Calend 01'!J17,0))</f>
        <v>0</v>
      </c>
      <c r="CO17" s="2">
        <f>((IF((81='V06 Calend 01'!C17),('V06 Calend 01'!F17+'V06 Calend 01'!G17),0)+IF(AND(('V06 Calend 01'!E17&gt;0),(81&gt;'V06 Calend 01'!C17),(81&lt;'V06 Calend 01'!D17),(MOD((81-'V06 Calend 01'!C17),6)=0),(((81-'V06 Calend 01'!C17)/6)&lt;='V06 Calend 01'!E17)),IF((81=('V06 Calend 01'!C17+(6*'V06 Calend 01'!E17))),('V06 Calend 01'!H17-('V06 Calend 01'!I17*('V06 Calend 01'!E17-1))),'V06 Calend 01'!I17),0))+IF((81='V06 Calend 01'!D17),'V06 Calend 01'!J17,0))</f>
        <v>0</v>
      </c>
      <c r="CP17" s="2">
        <f>((IF((82='V06 Calend 01'!C17),('V06 Calend 01'!F17+'V06 Calend 01'!G17),0)+IF(AND(('V06 Calend 01'!E17&gt;0),(82&gt;'V06 Calend 01'!C17),(82&lt;'V06 Calend 01'!D17),(MOD((82-'V06 Calend 01'!C17),6)=0),(((82-'V06 Calend 01'!C17)/6)&lt;='V06 Calend 01'!E17)),IF((82=('V06 Calend 01'!C17+(6*'V06 Calend 01'!E17))),('V06 Calend 01'!H17-('V06 Calend 01'!I17*('V06 Calend 01'!E17-1))),'V06 Calend 01'!I17),0))+IF((82='V06 Calend 01'!D17),'V06 Calend 01'!J17,0))</f>
        <v>0</v>
      </c>
      <c r="CQ17" s="2">
        <f>((IF((83='V06 Calend 01'!C17),('V06 Calend 01'!F17+'V06 Calend 01'!G17),0)+IF(AND(('V06 Calend 01'!E17&gt;0),(83&gt;'V06 Calend 01'!C17),(83&lt;'V06 Calend 01'!D17),(MOD((83-'V06 Calend 01'!C17),6)=0),(((83-'V06 Calend 01'!C17)/6)&lt;='V06 Calend 01'!E17)),IF((83=('V06 Calend 01'!C17+(6*'V06 Calend 01'!E17))),('V06 Calend 01'!H17-('V06 Calend 01'!I17*('V06 Calend 01'!E17-1))),'V06 Calend 01'!I17),0))+IF((83='V06 Calend 01'!D17),'V06 Calend 01'!J17,0))</f>
        <v>0</v>
      </c>
      <c r="CR17" s="2">
        <f>((IF((84='V06 Calend 01'!C17),('V06 Calend 01'!F17+'V06 Calend 01'!G17),0)+IF(AND(('V06 Calend 01'!E17&gt;0),(84&gt;'V06 Calend 01'!C17),(84&lt;'V06 Calend 01'!D17),(MOD((84-'V06 Calend 01'!C17),6)=0),(((84-'V06 Calend 01'!C17)/6)&lt;='V06 Calend 01'!E17)),IF((84=('V06 Calend 01'!C17+(6*'V06 Calend 01'!E17))),('V06 Calend 01'!H17-('V06 Calend 01'!I17*('V06 Calend 01'!E17-1))),'V06 Calend 01'!I17),0))+IF((84='V06 Calend 01'!D17),'V06 Calend 01'!J17,0))</f>
        <v>0</v>
      </c>
      <c r="CS17" s="2">
        <f>((IF((85='V06 Calend 01'!C17),('V06 Calend 01'!F17+'V06 Calend 01'!G17),0)+IF(AND(('V06 Calend 01'!E17&gt;0),(85&gt;'V06 Calend 01'!C17),(85&lt;'V06 Calend 01'!D17),(MOD((85-'V06 Calend 01'!C17),6)=0),(((85-'V06 Calend 01'!C17)/6)&lt;='V06 Calend 01'!E17)),IF((85=('V06 Calend 01'!C17+(6*'V06 Calend 01'!E17))),('V06 Calend 01'!H17-('V06 Calend 01'!I17*('V06 Calend 01'!E17-1))),'V06 Calend 01'!I17),0))+IF((85='V06 Calend 01'!D17),'V06 Calend 01'!J17,0))</f>
        <v>0</v>
      </c>
      <c r="CT17" s="2">
        <f>((IF((86='V06 Calend 01'!C17),('V06 Calend 01'!F17+'V06 Calend 01'!G17),0)+IF(AND(('V06 Calend 01'!E17&gt;0),(86&gt;'V06 Calend 01'!C17),(86&lt;'V06 Calend 01'!D17),(MOD((86-'V06 Calend 01'!C17),6)=0),(((86-'V06 Calend 01'!C17)/6)&lt;='V06 Calend 01'!E17)),IF((86=('V06 Calend 01'!C17+(6*'V06 Calend 01'!E17))),('V06 Calend 01'!H17-('V06 Calend 01'!I17*('V06 Calend 01'!E17-1))),'V06 Calend 01'!I17),0))+IF((86='V06 Calend 01'!D17),'V06 Calend 01'!J17,0))</f>
        <v>0</v>
      </c>
      <c r="CU17" s="2">
        <f>((IF((87='V06 Calend 01'!C17),('V06 Calend 01'!F17+'V06 Calend 01'!G17),0)+IF(AND(('V06 Calend 01'!E17&gt;0),(87&gt;'V06 Calend 01'!C17),(87&lt;'V06 Calend 01'!D17),(MOD((87-'V06 Calend 01'!C17),6)=0),(((87-'V06 Calend 01'!C17)/6)&lt;='V06 Calend 01'!E17)),IF((87=('V06 Calend 01'!C17+(6*'V06 Calend 01'!E17))),('V06 Calend 01'!H17-('V06 Calend 01'!I17*('V06 Calend 01'!E17-1))),'V06 Calend 01'!I17),0))+IF((87='V06 Calend 01'!D17),'V06 Calend 01'!J17,0))</f>
        <v>0</v>
      </c>
      <c r="CV17" s="2">
        <f>((IF((88='V06 Calend 01'!C17),('V06 Calend 01'!F17+'V06 Calend 01'!G17),0)+IF(AND(('V06 Calend 01'!E17&gt;0),(88&gt;'V06 Calend 01'!C17),(88&lt;'V06 Calend 01'!D17),(MOD((88-'V06 Calend 01'!C17),6)=0),(((88-'V06 Calend 01'!C17)/6)&lt;='V06 Calend 01'!E17)),IF((88=('V06 Calend 01'!C17+(6*'V06 Calend 01'!E17))),('V06 Calend 01'!H17-('V06 Calend 01'!I17*('V06 Calend 01'!E17-1))),'V06 Calend 01'!I17),0))+IF((88='V06 Calend 01'!D17),'V06 Calend 01'!J17,0))</f>
        <v>0</v>
      </c>
      <c r="CW17" s="2">
        <f>((IF((89='V06 Calend 01'!C17),('V06 Calend 01'!F17+'V06 Calend 01'!G17),0)+IF(AND(('V06 Calend 01'!E17&gt;0),(89&gt;'V06 Calend 01'!C17),(89&lt;'V06 Calend 01'!D17),(MOD((89-'V06 Calend 01'!C17),6)=0),(((89-'V06 Calend 01'!C17)/6)&lt;='V06 Calend 01'!E17)),IF((89=('V06 Calend 01'!C17+(6*'V06 Calend 01'!E17))),('V06 Calend 01'!H17-('V06 Calend 01'!I17*('V06 Calend 01'!E17-1))),'V06 Calend 01'!I17),0))+IF((89='V06 Calend 01'!D17),'V06 Calend 01'!J17,0))</f>
        <v>0</v>
      </c>
      <c r="CX17" s="2">
        <f>((IF((90='V06 Calend 01'!C17),('V06 Calend 01'!F17+'V06 Calend 01'!G17),0)+IF(AND(('V06 Calend 01'!E17&gt;0),(90&gt;'V06 Calend 01'!C17),(90&lt;'V06 Calend 01'!D17),(MOD((90-'V06 Calend 01'!C17),6)=0),(((90-'V06 Calend 01'!C17)/6)&lt;='V06 Calend 01'!E17)),IF((90=('V06 Calend 01'!C17+(6*'V06 Calend 01'!E17))),('V06 Calend 01'!H17-('V06 Calend 01'!I17*('V06 Calend 01'!E17-1))),'V06 Calend 01'!I17),0))+IF((90='V06 Calend 01'!D17),'V06 Calend 01'!J17,0))</f>
        <v>0</v>
      </c>
      <c r="CY17" s="2">
        <f>((IF((91='V06 Calend 01'!C17),('V06 Calend 01'!F17+'V06 Calend 01'!G17),0)+IF(AND(('V06 Calend 01'!E17&gt;0),(91&gt;'V06 Calend 01'!C17),(91&lt;'V06 Calend 01'!D17),(MOD((91-'V06 Calend 01'!C17),6)=0),(((91-'V06 Calend 01'!C17)/6)&lt;='V06 Calend 01'!E17)),IF((91=('V06 Calend 01'!C17+(6*'V06 Calend 01'!E17))),('V06 Calend 01'!H17-('V06 Calend 01'!I17*('V06 Calend 01'!E17-1))),'V06 Calend 01'!I17),0))+IF((91='V06 Calend 01'!D17),'V06 Calend 01'!J17,0))</f>
        <v>0</v>
      </c>
      <c r="CZ17" s="2">
        <f>((IF((92='V06 Calend 01'!C17),('V06 Calend 01'!F17+'V06 Calend 01'!G17),0)+IF(AND(('V06 Calend 01'!E17&gt;0),(92&gt;'V06 Calend 01'!C17),(92&lt;'V06 Calend 01'!D17),(MOD((92-'V06 Calend 01'!C17),6)=0),(((92-'V06 Calend 01'!C17)/6)&lt;='V06 Calend 01'!E17)),IF((92=('V06 Calend 01'!C17+(6*'V06 Calend 01'!E17))),('V06 Calend 01'!H17-('V06 Calend 01'!I17*('V06 Calend 01'!E17-1))),'V06 Calend 01'!I17),0))+IF((92='V06 Calend 01'!D17),'V06 Calend 01'!J17,0))</f>
        <v>0</v>
      </c>
      <c r="DA17" s="2">
        <f>((IF((93='V06 Calend 01'!C17),('V06 Calend 01'!F17+'V06 Calend 01'!G17),0)+IF(AND(('V06 Calend 01'!E17&gt;0),(93&gt;'V06 Calend 01'!C17),(93&lt;'V06 Calend 01'!D17),(MOD((93-'V06 Calend 01'!C17),6)=0),(((93-'V06 Calend 01'!C17)/6)&lt;='V06 Calend 01'!E17)),IF((93=('V06 Calend 01'!C17+(6*'V06 Calend 01'!E17))),('V06 Calend 01'!H17-('V06 Calend 01'!I17*('V06 Calend 01'!E17-1))),'V06 Calend 01'!I17),0))+IF((93='V06 Calend 01'!D17),'V06 Calend 01'!J17,0))</f>
        <v>0</v>
      </c>
      <c r="DB17" s="2">
        <f>((IF((94='V06 Calend 01'!C17),('V06 Calend 01'!F17+'V06 Calend 01'!G17),0)+IF(AND(('V06 Calend 01'!E17&gt;0),(94&gt;'V06 Calend 01'!C17),(94&lt;'V06 Calend 01'!D17),(MOD((94-'V06 Calend 01'!C17),6)=0),(((94-'V06 Calend 01'!C17)/6)&lt;='V06 Calend 01'!E17)),IF((94=('V06 Calend 01'!C17+(6*'V06 Calend 01'!E17))),('V06 Calend 01'!H17-('V06 Calend 01'!I17*('V06 Calend 01'!E17-1))),'V06 Calend 01'!I17),0))+IF((94='V06 Calend 01'!D17),'V06 Calend 01'!J17,0))</f>
        <v>0</v>
      </c>
      <c r="DC17" s="2">
        <f>((IF((95='V06 Calend 01'!C17),('V06 Calend 01'!F17+'V06 Calend 01'!G17),0)+IF(AND(('V06 Calend 01'!E17&gt;0),(95&gt;'V06 Calend 01'!C17),(95&lt;'V06 Calend 01'!D17),(MOD((95-'V06 Calend 01'!C17),6)=0),(((95-'V06 Calend 01'!C17)/6)&lt;='V06 Calend 01'!E17)),IF((95=('V06 Calend 01'!C17+(6*'V06 Calend 01'!E17))),('V06 Calend 01'!H17-('V06 Calend 01'!I17*('V06 Calend 01'!E17-1))),'V06 Calend 01'!I17),0))+IF((95='V06 Calend 01'!D17),'V06 Calend 01'!J17,0))</f>
        <v>0</v>
      </c>
      <c r="DD17" s="2">
        <f>((IF((96='V06 Calend 01'!C17),('V06 Calend 01'!F17+'V06 Calend 01'!G17),0)+IF(AND(('V06 Calend 01'!E17&gt;0),(96&gt;'V06 Calend 01'!C17),(96&lt;'V06 Calend 01'!D17),(MOD((96-'V06 Calend 01'!C17),6)=0),(((96-'V06 Calend 01'!C17)/6)&lt;='V06 Calend 01'!E17)),IF((96=('V06 Calend 01'!C17+(6*'V06 Calend 01'!E17))),('V06 Calend 01'!H17-('V06 Calend 01'!I17*('V06 Calend 01'!E17-1))),'V06 Calend 01'!I17),0))+IF((96='V06 Calend 01'!D17),'V06 Calend 01'!J17,0))</f>
        <v>0</v>
      </c>
      <c r="DE17" s="2">
        <f>((IF((97='V06 Calend 01'!C17),('V06 Calend 01'!F17+'V06 Calend 01'!G17),0)+IF(AND(('V06 Calend 01'!E17&gt;0),(97&gt;'V06 Calend 01'!C17),(97&lt;'V06 Calend 01'!D17),(MOD((97-'V06 Calend 01'!C17),6)=0),(((97-'V06 Calend 01'!C17)/6)&lt;='V06 Calend 01'!E17)),IF((97=('V06 Calend 01'!C17+(6*'V06 Calend 01'!E17))),('V06 Calend 01'!H17-('V06 Calend 01'!I17*('V06 Calend 01'!E17-1))),'V06 Calend 01'!I17),0))+IF((97='V06 Calend 01'!D17),'V06 Calend 01'!J17,0))</f>
        <v>0</v>
      </c>
      <c r="DF17" s="2">
        <f>((IF((98='V06 Calend 01'!C17),('V06 Calend 01'!F17+'V06 Calend 01'!G17),0)+IF(AND(('V06 Calend 01'!E17&gt;0),(98&gt;'V06 Calend 01'!C17),(98&lt;'V06 Calend 01'!D17),(MOD((98-'V06 Calend 01'!C17),6)=0),(((98-'V06 Calend 01'!C17)/6)&lt;='V06 Calend 01'!E17)),IF((98=('V06 Calend 01'!C17+(6*'V06 Calend 01'!E17))),('V06 Calend 01'!H17-('V06 Calend 01'!I17*('V06 Calend 01'!E17-1))),'V06 Calend 01'!I17),0))+IF((98='V06 Calend 01'!D17),'V06 Calend 01'!J17,0))</f>
        <v>0</v>
      </c>
      <c r="DG17" s="2">
        <f>((IF((99='V06 Calend 01'!C17),('V06 Calend 01'!F17+'V06 Calend 01'!G17),0)+IF(AND(('V06 Calend 01'!E17&gt;0),(99&gt;'V06 Calend 01'!C17),(99&lt;'V06 Calend 01'!D17),(MOD((99-'V06 Calend 01'!C17),6)=0),(((99-'V06 Calend 01'!C17)/6)&lt;='V06 Calend 01'!E17)),IF((99=('V06 Calend 01'!C17+(6*'V06 Calend 01'!E17))),('V06 Calend 01'!H17-('V06 Calend 01'!I17*('V06 Calend 01'!E17-1))),'V06 Calend 01'!I17),0))+IF((99='V06 Calend 01'!D17),'V06 Calend 01'!J17,0))</f>
        <v>0</v>
      </c>
      <c r="DH17" s="2">
        <f>((IF((100='V06 Calend 01'!C17),('V06 Calend 01'!F17+'V06 Calend 01'!G17),0)+IF(AND(('V06 Calend 01'!E17&gt;0),(100&gt;'V06 Calend 01'!C17),(100&lt;'V06 Calend 01'!D17),(MOD((100-'V06 Calend 01'!C17),6)=0),(((100-'V06 Calend 01'!C17)/6)&lt;='V06 Calend 01'!E17)),IF((100=('V06 Calend 01'!C17+(6*'V06 Calend 01'!E17))),('V06 Calend 01'!H17-('V06 Calend 01'!I17*('V06 Calend 01'!E17-1))),'V06 Calend 01'!I17),0))+IF((100='V06 Calend 01'!D17),'V06 Calend 01'!J17,0))</f>
        <v>0</v>
      </c>
      <c r="DI17" s="2">
        <f>((IF((101='V06 Calend 01'!C17),('V06 Calend 01'!F17+'V06 Calend 01'!G17),0)+IF(AND(('V06 Calend 01'!E17&gt;0),(101&gt;'V06 Calend 01'!C17),(101&lt;'V06 Calend 01'!D17),(MOD((101-'V06 Calend 01'!C17),6)=0),(((101-'V06 Calend 01'!C17)/6)&lt;='V06 Calend 01'!E17)),IF((101=('V06 Calend 01'!C17+(6*'V06 Calend 01'!E17))),('V06 Calend 01'!H17-('V06 Calend 01'!I17*('V06 Calend 01'!E17-1))),'V06 Calend 01'!I17),0))+IF((101='V06 Calend 01'!D17),'V06 Calend 01'!J17,0))</f>
        <v>0</v>
      </c>
      <c r="DJ17" s="2">
        <f>((IF((102='V06 Calend 01'!C17),('V06 Calend 01'!F17+'V06 Calend 01'!G17),0)+IF(AND(('V06 Calend 01'!E17&gt;0),(102&gt;'V06 Calend 01'!C17),(102&lt;'V06 Calend 01'!D17),(MOD((102-'V06 Calend 01'!C17),6)=0),(((102-'V06 Calend 01'!C17)/6)&lt;='V06 Calend 01'!E17)),IF((102=('V06 Calend 01'!C17+(6*'V06 Calend 01'!E17))),('V06 Calend 01'!H17-('V06 Calend 01'!I17*('V06 Calend 01'!E17-1))),'V06 Calend 01'!I17),0))+IF((102='V06 Calend 01'!D17),'V06 Calend 01'!J17,0))</f>
        <v>0</v>
      </c>
      <c r="DK17" s="2">
        <f>((IF((103='V06 Calend 01'!C17),('V06 Calend 01'!F17+'V06 Calend 01'!G17),0)+IF(AND(('V06 Calend 01'!E17&gt;0),(103&gt;'V06 Calend 01'!C17),(103&lt;'V06 Calend 01'!D17),(MOD((103-'V06 Calend 01'!C17),6)=0),(((103-'V06 Calend 01'!C17)/6)&lt;='V06 Calend 01'!E17)),IF((103=('V06 Calend 01'!C17+(6*'V06 Calend 01'!E17))),('V06 Calend 01'!H17-('V06 Calend 01'!I17*('V06 Calend 01'!E17-1))),'V06 Calend 01'!I17),0))+IF((103='V06 Calend 01'!D17),'V06 Calend 01'!J17,0))</f>
        <v>0</v>
      </c>
      <c r="DL17" s="2">
        <f>((IF((104='V06 Calend 01'!C17),('V06 Calend 01'!F17+'V06 Calend 01'!G17),0)+IF(AND(('V06 Calend 01'!E17&gt;0),(104&gt;'V06 Calend 01'!C17),(104&lt;'V06 Calend 01'!D17),(MOD((104-'V06 Calend 01'!C17),6)=0),(((104-'V06 Calend 01'!C17)/6)&lt;='V06 Calend 01'!E17)),IF((104=('V06 Calend 01'!C17+(6*'V06 Calend 01'!E17))),('V06 Calend 01'!H17-('V06 Calend 01'!I17*('V06 Calend 01'!E17-1))),'V06 Calend 01'!I17),0))+IF((104='V06 Calend 01'!D17),'V06 Calend 01'!J17,0))</f>
        <v>0</v>
      </c>
      <c r="DM17" s="2">
        <f>((IF((105='V06 Calend 01'!C17),('V06 Calend 01'!F17+'V06 Calend 01'!G17),0)+IF(AND(('V06 Calend 01'!E17&gt;0),(105&gt;'V06 Calend 01'!C17),(105&lt;'V06 Calend 01'!D17),(MOD((105-'V06 Calend 01'!C17),6)=0),(((105-'V06 Calend 01'!C17)/6)&lt;='V06 Calend 01'!E17)),IF((105=('V06 Calend 01'!C17+(6*'V06 Calend 01'!E17))),('V06 Calend 01'!H17-('V06 Calend 01'!I17*('V06 Calend 01'!E17-1))),'V06 Calend 01'!I17),0))+IF((105='V06 Calend 01'!D17),'V06 Calend 01'!J17,0))</f>
        <v>0</v>
      </c>
      <c r="DN17" s="2">
        <f>((IF((106='V06 Calend 01'!C17),('V06 Calend 01'!F17+'V06 Calend 01'!G17),0)+IF(AND(('V06 Calend 01'!E17&gt;0),(106&gt;'V06 Calend 01'!C17),(106&lt;'V06 Calend 01'!D17),(MOD((106-'V06 Calend 01'!C17),6)=0),(((106-'V06 Calend 01'!C17)/6)&lt;='V06 Calend 01'!E17)),IF((106=('V06 Calend 01'!C17+(6*'V06 Calend 01'!E17))),('V06 Calend 01'!H17-('V06 Calend 01'!I17*('V06 Calend 01'!E17-1))),'V06 Calend 01'!I17),0))+IF((106='V06 Calend 01'!D17),'V06 Calend 01'!J17,0))</f>
        <v>0</v>
      </c>
      <c r="DO17" s="2">
        <f>((IF((107='V06 Calend 01'!C17),('V06 Calend 01'!F17+'V06 Calend 01'!G17),0)+IF(AND(('V06 Calend 01'!E17&gt;0),(107&gt;'V06 Calend 01'!C17),(107&lt;'V06 Calend 01'!D17),(MOD((107-'V06 Calend 01'!C17),6)=0),(((107-'V06 Calend 01'!C17)/6)&lt;='V06 Calend 01'!E17)),IF((107=('V06 Calend 01'!C17+(6*'V06 Calend 01'!E17))),('V06 Calend 01'!H17-('V06 Calend 01'!I17*('V06 Calend 01'!E17-1))),'V06 Calend 01'!I17),0))+IF((107='V06 Calend 01'!D17),'V06 Calend 01'!J17,0))</f>
        <v>0</v>
      </c>
      <c r="DP17" s="2">
        <f>((IF((108='V06 Calend 01'!C17),('V06 Calend 01'!F17+'V06 Calend 01'!G17),0)+IF(AND(('V06 Calend 01'!E17&gt;0),(108&gt;'V06 Calend 01'!C17),(108&lt;'V06 Calend 01'!D17),(MOD((108-'V06 Calend 01'!C17),6)=0),(((108-'V06 Calend 01'!C17)/6)&lt;='V06 Calend 01'!E17)),IF((108=('V06 Calend 01'!C17+(6*'V06 Calend 01'!E17))),('V06 Calend 01'!H17-('V06 Calend 01'!I17*('V06 Calend 01'!E17-1))),'V06 Calend 01'!I17),0))+IF((108='V06 Calend 01'!D17),'V06 Calend 01'!J17,0))</f>
        <v>0</v>
      </c>
      <c r="DQ17" s="2">
        <f>((IF((109='V06 Calend 01'!C17),('V06 Calend 01'!F17+'V06 Calend 01'!G17),0)+IF(AND(('V06 Calend 01'!E17&gt;0),(109&gt;'V06 Calend 01'!C17),(109&lt;'V06 Calend 01'!D17),(MOD((109-'V06 Calend 01'!C17),6)=0),(((109-'V06 Calend 01'!C17)/6)&lt;='V06 Calend 01'!E17)),IF((109=('V06 Calend 01'!C17+(6*'V06 Calend 01'!E17))),('V06 Calend 01'!H17-('V06 Calend 01'!I17*('V06 Calend 01'!E17-1))),'V06 Calend 01'!I17),0))+IF((109='V06 Calend 01'!D17),'V06 Calend 01'!J17,0))</f>
        <v>0</v>
      </c>
      <c r="DR17" s="2">
        <f>((IF((110='V06 Calend 01'!C17),('V06 Calend 01'!F17+'V06 Calend 01'!G17),0)+IF(AND(('V06 Calend 01'!E17&gt;0),(110&gt;'V06 Calend 01'!C17),(110&lt;'V06 Calend 01'!D17),(MOD((110-'V06 Calend 01'!C17),6)=0),(((110-'V06 Calend 01'!C17)/6)&lt;='V06 Calend 01'!E17)),IF((110=('V06 Calend 01'!C17+(6*'V06 Calend 01'!E17))),('V06 Calend 01'!H17-('V06 Calend 01'!I17*('V06 Calend 01'!E17-1))),'V06 Calend 01'!I17),0))+IF((110='V06 Calend 01'!D17),'V06 Calend 01'!J17,0))</f>
        <v>0</v>
      </c>
      <c r="DS17" s="2">
        <f>((IF((111='V06 Calend 01'!C17),('V06 Calend 01'!F17+'V06 Calend 01'!G17),0)+IF(AND(('V06 Calend 01'!E17&gt;0),(111&gt;'V06 Calend 01'!C17),(111&lt;'V06 Calend 01'!D17),(MOD((111-'V06 Calend 01'!C17),6)=0),(((111-'V06 Calend 01'!C17)/6)&lt;='V06 Calend 01'!E17)),IF((111=('V06 Calend 01'!C17+(6*'V06 Calend 01'!E17))),('V06 Calend 01'!H17-('V06 Calend 01'!I17*('V06 Calend 01'!E17-1))),'V06 Calend 01'!I17),0))+IF((111='V06 Calend 01'!D17),'V06 Calend 01'!J17,0))</f>
        <v>0</v>
      </c>
      <c r="DT17" s="2">
        <f>((IF((112='V06 Calend 01'!C17),('V06 Calend 01'!F17+'V06 Calend 01'!G17),0)+IF(AND(('V06 Calend 01'!E17&gt;0),(112&gt;'V06 Calend 01'!C17),(112&lt;'V06 Calend 01'!D17),(MOD((112-'V06 Calend 01'!C17),6)=0),(((112-'V06 Calend 01'!C17)/6)&lt;='V06 Calend 01'!E17)),IF((112=('V06 Calend 01'!C17+(6*'V06 Calend 01'!E17))),('V06 Calend 01'!H17-('V06 Calend 01'!I17*('V06 Calend 01'!E17-1))),'V06 Calend 01'!I17),0))+IF((112='V06 Calend 01'!D17),'V06 Calend 01'!J17,0))</f>
        <v>0</v>
      </c>
      <c r="DU17" s="2">
        <f>((IF((113='V06 Calend 01'!C17),('V06 Calend 01'!F17+'V06 Calend 01'!G17),0)+IF(AND(('V06 Calend 01'!E17&gt;0),(113&gt;'V06 Calend 01'!C17),(113&lt;'V06 Calend 01'!D17),(MOD((113-'V06 Calend 01'!C17),6)=0),(((113-'V06 Calend 01'!C17)/6)&lt;='V06 Calend 01'!E17)),IF((113=('V06 Calend 01'!C17+(6*'V06 Calend 01'!E17))),('V06 Calend 01'!H17-('V06 Calend 01'!I17*('V06 Calend 01'!E17-1))),'V06 Calend 01'!I17),0))+IF((113='V06 Calend 01'!D17),'V06 Calend 01'!J17,0))</f>
        <v>0</v>
      </c>
      <c r="DV17" s="2">
        <f>((IF((114='V06 Calend 01'!C17),('V06 Calend 01'!F17+'V06 Calend 01'!G17),0)+IF(AND(('V06 Calend 01'!E17&gt;0),(114&gt;'V06 Calend 01'!C17),(114&lt;'V06 Calend 01'!D17),(MOD((114-'V06 Calend 01'!C17),6)=0),(((114-'V06 Calend 01'!C17)/6)&lt;='V06 Calend 01'!E17)),IF((114=('V06 Calend 01'!C17+(6*'V06 Calend 01'!E17))),('V06 Calend 01'!H17-('V06 Calend 01'!I17*('V06 Calend 01'!E17-1))),'V06 Calend 01'!I17),0))+IF((114='V06 Calend 01'!D17),'V06 Calend 01'!J17,0))</f>
        <v>0</v>
      </c>
      <c r="DW17" s="2">
        <f>((IF((115='V06 Calend 01'!C17),('V06 Calend 01'!F17+'V06 Calend 01'!G17),0)+IF(AND(('V06 Calend 01'!E17&gt;0),(115&gt;'V06 Calend 01'!C17),(115&lt;'V06 Calend 01'!D17),(MOD((115-'V06 Calend 01'!C17),6)=0),(((115-'V06 Calend 01'!C17)/6)&lt;='V06 Calend 01'!E17)),IF((115=('V06 Calend 01'!C17+(6*'V06 Calend 01'!E17))),('V06 Calend 01'!H17-('V06 Calend 01'!I17*('V06 Calend 01'!E17-1))),'V06 Calend 01'!I17),0))+IF((115='V06 Calend 01'!D17),'V06 Calend 01'!J17,0))</f>
        <v>0</v>
      </c>
      <c r="DX17" s="2">
        <f>((IF((116='V06 Calend 01'!C17),('V06 Calend 01'!F17+'V06 Calend 01'!G17),0)+IF(AND(('V06 Calend 01'!E17&gt;0),(116&gt;'V06 Calend 01'!C17),(116&lt;'V06 Calend 01'!D17),(MOD((116-'V06 Calend 01'!C17),6)=0),(((116-'V06 Calend 01'!C17)/6)&lt;='V06 Calend 01'!E17)),IF((116=('V06 Calend 01'!C17+(6*'V06 Calend 01'!E17))),('V06 Calend 01'!H17-('V06 Calend 01'!I17*('V06 Calend 01'!E17-1))),'V06 Calend 01'!I17),0))+IF((116='V06 Calend 01'!D17),'V06 Calend 01'!J17,0))</f>
        <v>0</v>
      </c>
      <c r="DY17" s="2">
        <f>((IF((117='V06 Calend 01'!C17),('V06 Calend 01'!F17+'V06 Calend 01'!G17),0)+IF(AND(('V06 Calend 01'!E17&gt;0),(117&gt;'V06 Calend 01'!C17),(117&lt;'V06 Calend 01'!D17),(MOD((117-'V06 Calend 01'!C17),6)=0),(((117-'V06 Calend 01'!C17)/6)&lt;='V06 Calend 01'!E17)),IF((117=('V06 Calend 01'!C17+(6*'V06 Calend 01'!E17))),('V06 Calend 01'!H17-('V06 Calend 01'!I17*('V06 Calend 01'!E17-1))),'V06 Calend 01'!I17),0))+IF((117='V06 Calend 01'!D17),'V06 Calend 01'!J17,0))</f>
        <v>0</v>
      </c>
      <c r="DZ17" s="2">
        <f>((IF((118='V06 Calend 01'!C17),('V06 Calend 01'!F17+'V06 Calend 01'!G17),0)+IF(AND(('V06 Calend 01'!E17&gt;0),(118&gt;'V06 Calend 01'!C17),(118&lt;'V06 Calend 01'!D17),(MOD((118-'V06 Calend 01'!C17),6)=0),(((118-'V06 Calend 01'!C17)/6)&lt;='V06 Calend 01'!E17)),IF((118=('V06 Calend 01'!C17+(6*'V06 Calend 01'!E17))),('V06 Calend 01'!H17-('V06 Calend 01'!I17*('V06 Calend 01'!E17-1))),'V06 Calend 01'!I17),0))+IF((118='V06 Calend 01'!D17),'V06 Calend 01'!J17,0))</f>
        <v>0</v>
      </c>
      <c r="EA17" s="2">
        <f>((IF((119='V06 Calend 01'!C17),('V06 Calend 01'!F17+'V06 Calend 01'!G17),0)+IF(AND(('V06 Calend 01'!E17&gt;0),(119&gt;'V06 Calend 01'!C17),(119&lt;'V06 Calend 01'!D17),(MOD((119-'V06 Calend 01'!C17),6)=0),(((119-'V06 Calend 01'!C17)/6)&lt;='V06 Calend 01'!E17)),IF((119=('V06 Calend 01'!C17+(6*'V06 Calend 01'!E17))),('V06 Calend 01'!H17-('V06 Calend 01'!I17*('V06 Calend 01'!E17-1))),'V06 Calend 01'!I17),0))+IF((119='V06 Calend 01'!D17),'V06 Calend 01'!J17,0))</f>
        <v>0</v>
      </c>
      <c r="EB17" s="2">
        <f>((IF((120='V06 Calend 01'!C17),('V06 Calend 01'!F17+'V06 Calend 01'!G17),0)+IF(AND(('V06 Calend 01'!E17&gt;0),(120&gt;'V06 Calend 01'!C17),(120&lt;'V06 Calend 01'!D17),(MOD((120-'V06 Calend 01'!C17),6)=0),(((120-'V06 Calend 01'!C17)/6)&lt;='V06 Calend 01'!E17)),IF((120=('V06 Calend 01'!C17+(6*'V06 Calend 01'!E17))),('V06 Calend 01'!H17-('V06 Calend 01'!I17*('V06 Calend 01'!E17-1))),'V06 Calend 01'!I17),0))+IF((120='V06 Calend 01'!D17),'V06 Calend 01'!J17,0))</f>
        <v>0</v>
      </c>
      <c r="EC17" s="2">
        <f>((IF((121='V06 Calend 01'!C17),('V06 Calend 01'!F17+'V06 Calend 01'!G17),0)+IF(AND(('V06 Calend 01'!E17&gt;0),(121&gt;'V06 Calend 01'!C17),(121&lt;'V06 Calend 01'!D17),(MOD((121-'V06 Calend 01'!C17),6)=0),(((121-'V06 Calend 01'!C17)/6)&lt;='V06 Calend 01'!E17)),IF((121=('V06 Calend 01'!C17+(6*'V06 Calend 01'!E17))),('V06 Calend 01'!H17-('V06 Calend 01'!I17*('V06 Calend 01'!E17-1))),'V06 Calend 01'!I17),0))+IF((121='V06 Calend 01'!D17),'V06 Calend 01'!J17,0))</f>
        <v>0</v>
      </c>
      <c r="ED17" s="2">
        <f>((IF((122='V06 Calend 01'!C17),('V06 Calend 01'!F17+'V06 Calend 01'!G17),0)+IF(AND(('V06 Calend 01'!E17&gt;0),(122&gt;'V06 Calend 01'!C17),(122&lt;'V06 Calend 01'!D17),(MOD((122-'V06 Calend 01'!C17),6)=0),(((122-'V06 Calend 01'!C17)/6)&lt;='V06 Calend 01'!E17)),IF((122=('V06 Calend 01'!C17+(6*'V06 Calend 01'!E17))),('V06 Calend 01'!H17-('V06 Calend 01'!I17*('V06 Calend 01'!E17-1))),'V06 Calend 01'!I17),0))+IF((122='V06 Calend 01'!D17),'V06 Calend 01'!J17,0))</f>
        <v>0</v>
      </c>
      <c r="EE17" s="2">
        <f>((IF((123='V06 Calend 01'!C17),('V06 Calend 01'!F17+'V06 Calend 01'!G17),0)+IF(AND(('V06 Calend 01'!E17&gt;0),(123&gt;'V06 Calend 01'!C17),(123&lt;'V06 Calend 01'!D17),(MOD((123-'V06 Calend 01'!C17),6)=0),(((123-'V06 Calend 01'!C17)/6)&lt;='V06 Calend 01'!E17)),IF((123=('V06 Calend 01'!C17+(6*'V06 Calend 01'!E17))),('V06 Calend 01'!H17-('V06 Calend 01'!I17*('V06 Calend 01'!E17-1))),'V06 Calend 01'!I17),0))+IF((123='V06 Calend 01'!D17),'V06 Calend 01'!J17,0))</f>
        <v>0</v>
      </c>
      <c r="EF17" s="2">
        <f>((IF((124='V06 Calend 01'!C17),('V06 Calend 01'!F17+'V06 Calend 01'!G17),0)+IF(AND(('V06 Calend 01'!E17&gt;0),(124&gt;'V06 Calend 01'!C17),(124&lt;'V06 Calend 01'!D17),(MOD((124-'V06 Calend 01'!C17),6)=0),(((124-'V06 Calend 01'!C17)/6)&lt;='V06 Calend 01'!E17)),IF((124=('V06 Calend 01'!C17+(6*'V06 Calend 01'!E17))),('V06 Calend 01'!H17-('V06 Calend 01'!I17*('V06 Calend 01'!E17-1))),'V06 Calend 01'!I17),0))+IF((124='V06 Calend 01'!D17),'V06 Calend 01'!J17,0))</f>
        <v>0</v>
      </c>
      <c r="EG17" s="2">
        <f>((IF((125='V06 Calend 01'!C17),('V06 Calend 01'!F17+'V06 Calend 01'!G17),0)+IF(AND(('V06 Calend 01'!E17&gt;0),(125&gt;'V06 Calend 01'!C17),(125&lt;'V06 Calend 01'!D17),(MOD((125-'V06 Calend 01'!C17),6)=0),(((125-'V06 Calend 01'!C17)/6)&lt;='V06 Calend 01'!E17)),IF((125=('V06 Calend 01'!C17+(6*'V06 Calend 01'!E17))),('V06 Calend 01'!H17-('V06 Calend 01'!I17*('V06 Calend 01'!E17-1))),'V06 Calend 01'!I17),0))+IF((125='V06 Calend 01'!D17),'V06 Calend 01'!J17,0))</f>
        <v>0</v>
      </c>
      <c r="EH17" s="2">
        <f>((IF((126='V06 Calend 01'!C17),('V06 Calend 01'!F17+'V06 Calend 01'!G17),0)+IF(AND(('V06 Calend 01'!E17&gt;0),(126&gt;'V06 Calend 01'!C17),(126&lt;'V06 Calend 01'!D17),(MOD((126-'V06 Calend 01'!C17),6)=0),(((126-'V06 Calend 01'!C17)/6)&lt;='V06 Calend 01'!E17)),IF((126=('V06 Calend 01'!C17+(6*'V06 Calend 01'!E17))),('V06 Calend 01'!H17-('V06 Calend 01'!I17*('V06 Calend 01'!E17-1))),'V06 Calend 01'!I17),0))+IF((126='V06 Calend 01'!D17),'V06 Calend 01'!J17,0))</f>
        <v>0</v>
      </c>
      <c r="EI17" s="2">
        <f>((IF((127='V06 Calend 01'!C17),('V06 Calend 01'!F17+'V06 Calend 01'!G17),0)+IF(AND(('V06 Calend 01'!E17&gt;0),(127&gt;'V06 Calend 01'!C17),(127&lt;'V06 Calend 01'!D17),(MOD((127-'V06 Calend 01'!C17),6)=0),(((127-'V06 Calend 01'!C17)/6)&lt;='V06 Calend 01'!E17)),IF((127=('V06 Calend 01'!C17+(6*'V06 Calend 01'!E17))),('V06 Calend 01'!H17-('V06 Calend 01'!I17*('V06 Calend 01'!E17-1))),'V06 Calend 01'!I17),0))+IF((127='V06 Calend 01'!D17),'V06 Calend 01'!J17,0))</f>
        <v>0</v>
      </c>
      <c r="EJ17" s="2">
        <f>((IF((128='V06 Calend 01'!C17),('V06 Calend 01'!F17+'V06 Calend 01'!G17),0)+IF(AND(('V06 Calend 01'!E17&gt;0),(128&gt;'V06 Calend 01'!C17),(128&lt;'V06 Calend 01'!D17),(MOD((128-'V06 Calend 01'!C17),6)=0),(((128-'V06 Calend 01'!C17)/6)&lt;='V06 Calend 01'!E17)),IF((128=('V06 Calend 01'!C17+(6*'V06 Calend 01'!E17))),('V06 Calend 01'!H17-('V06 Calend 01'!I17*('V06 Calend 01'!E17-1))),'V06 Calend 01'!I17),0))+IF((128='V06 Calend 01'!D17),'V06 Calend 01'!J17,0))</f>
        <v>0</v>
      </c>
      <c r="EK17" s="2">
        <f>((IF((129='V06 Calend 01'!C17),('V06 Calend 01'!F17+'V06 Calend 01'!G17),0)+IF(AND(('V06 Calend 01'!E17&gt;0),(129&gt;'V06 Calend 01'!C17),(129&lt;'V06 Calend 01'!D17),(MOD((129-'V06 Calend 01'!C17),6)=0),(((129-'V06 Calend 01'!C17)/6)&lt;='V06 Calend 01'!E17)),IF((129=('V06 Calend 01'!C17+(6*'V06 Calend 01'!E17))),('V06 Calend 01'!H17-('V06 Calend 01'!I17*('V06 Calend 01'!E17-1))),'V06 Calend 01'!I17),0))+IF((129='V06 Calend 01'!D17),'V06 Calend 01'!J17,0))</f>
        <v>0</v>
      </c>
      <c r="EL17" s="2">
        <f>((IF((130='V06 Calend 01'!C17),('V06 Calend 01'!F17+'V06 Calend 01'!G17),0)+IF(AND(('V06 Calend 01'!E17&gt;0),(130&gt;'V06 Calend 01'!C17),(130&lt;'V06 Calend 01'!D17),(MOD((130-'V06 Calend 01'!C17),6)=0),(((130-'V06 Calend 01'!C17)/6)&lt;='V06 Calend 01'!E17)),IF((130=('V06 Calend 01'!C17+(6*'V06 Calend 01'!E17))),('V06 Calend 01'!H17-('V06 Calend 01'!I17*('V06 Calend 01'!E17-1))),'V06 Calend 01'!I17),0))+IF((130='V06 Calend 01'!D17),'V06 Calend 01'!J17,0))</f>
        <v>0</v>
      </c>
      <c r="EM17" s="2">
        <f>((IF((131='V06 Calend 01'!C17),('V06 Calend 01'!F17+'V06 Calend 01'!G17),0)+IF(AND(('V06 Calend 01'!E17&gt;0),(131&gt;'V06 Calend 01'!C17),(131&lt;'V06 Calend 01'!D17),(MOD((131-'V06 Calend 01'!C17),6)=0),(((131-'V06 Calend 01'!C17)/6)&lt;='V06 Calend 01'!E17)),IF((131=('V06 Calend 01'!C17+(6*'V06 Calend 01'!E17))),('V06 Calend 01'!H17-('V06 Calend 01'!I17*('V06 Calend 01'!E17-1))),'V06 Calend 01'!I17),0))+IF((131='V06 Calend 01'!D17),'V06 Calend 01'!J17,0))</f>
        <v>0</v>
      </c>
      <c r="EN17" s="2">
        <f>((IF((132='V06 Calend 01'!C17),('V06 Calend 01'!F17+'V06 Calend 01'!G17),0)+IF(AND(('V06 Calend 01'!E17&gt;0),(132&gt;'V06 Calend 01'!C17),(132&lt;'V06 Calend 01'!D17),(MOD((132-'V06 Calend 01'!C17),6)=0),(((132-'V06 Calend 01'!C17)/6)&lt;='V06 Calend 01'!E17)),IF((132=('V06 Calend 01'!C17+(6*'V06 Calend 01'!E17))),('V06 Calend 01'!H17-('V06 Calend 01'!I17*('V06 Calend 01'!E17-1))),'V06 Calend 01'!I17),0))+IF((132='V06 Calend 01'!D17),'V06 Calend 01'!J17,0))</f>
        <v>0</v>
      </c>
      <c r="EO17" s="2">
        <f>((IF((133='V06 Calend 01'!C17),('V06 Calend 01'!F17+'V06 Calend 01'!G17),0)+IF(AND(('V06 Calend 01'!E17&gt;0),(133&gt;'V06 Calend 01'!C17),(133&lt;'V06 Calend 01'!D17),(MOD((133-'V06 Calend 01'!C17),6)=0),(((133-'V06 Calend 01'!C17)/6)&lt;='V06 Calend 01'!E17)),IF((133=('V06 Calend 01'!C17+(6*'V06 Calend 01'!E17))),('V06 Calend 01'!H17-('V06 Calend 01'!I17*('V06 Calend 01'!E17-1))),'V06 Calend 01'!I17),0))+IF((133='V06 Calend 01'!D17),'V06 Calend 01'!J17,0))</f>
        <v>0</v>
      </c>
      <c r="EP17" s="2">
        <f>((IF((134='V06 Calend 01'!C17),('V06 Calend 01'!F17+'V06 Calend 01'!G17),0)+IF(AND(('V06 Calend 01'!E17&gt;0),(134&gt;'V06 Calend 01'!C17),(134&lt;'V06 Calend 01'!D17),(MOD((134-'V06 Calend 01'!C17),6)=0),(((134-'V06 Calend 01'!C17)/6)&lt;='V06 Calend 01'!E17)),IF((134=('V06 Calend 01'!C17+(6*'V06 Calend 01'!E17))),('V06 Calend 01'!H17-('V06 Calend 01'!I17*('V06 Calend 01'!E17-1))),'V06 Calend 01'!I17),0))+IF((134='V06 Calend 01'!D17),'V06 Calend 01'!J17,0))</f>
        <v>0</v>
      </c>
      <c r="EQ17" s="2">
        <f>((IF((135='V06 Calend 01'!C17),('V06 Calend 01'!F17+'V06 Calend 01'!G17),0)+IF(AND(('V06 Calend 01'!E17&gt;0),(135&gt;'V06 Calend 01'!C17),(135&lt;'V06 Calend 01'!D17),(MOD((135-'V06 Calend 01'!C17),6)=0),(((135-'V06 Calend 01'!C17)/6)&lt;='V06 Calend 01'!E17)),IF((135=('V06 Calend 01'!C17+(6*'V06 Calend 01'!E17))),('V06 Calend 01'!H17-('V06 Calend 01'!I17*('V06 Calend 01'!E17-1))),'V06 Calend 01'!I17),0))+IF((135='V06 Calend 01'!D17),'V06 Calend 01'!J17,0))</f>
        <v>0</v>
      </c>
      <c r="ER17" s="2">
        <f>((IF((136='V06 Calend 01'!C17),('V06 Calend 01'!F17+'V06 Calend 01'!G17),0)+IF(AND(('V06 Calend 01'!E17&gt;0),(136&gt;'V06 Calend 01'!C17),(136&lt;'V06 Calend 01'!D17),(MOD((136-'V06 Calend 01'!C17),6)=0),(((136-'V06 Calend 01'!C17)/6)&lt;='V06 Calend 01'!E17)),IF((136=('V06 Calend 01'!C17+(6*'V06 Calend 01'!E17))),('V06 Calend 01'!H17-('V06 Calend 01'!I17*('V06 Calend 01'!E17-1))),'V06 Calend 01'!I17),0))+IF((136='V06 Calend 01'!D17),'V06 Calend 01'!J17,0))</f>
        <v>0</v>
      </c>
      <c r="ES17" s="2">
        <f>((IF((137='V06 Calend 01'!C17),('V06 Calend 01'!F17+'V06 Calend 01'!G17),0)+IF(AND(('V06 Calend 01'!E17&gt;0),(137&gt;'V06 Calend 01'!C17),(137&lt;'V06 Calend 01'!D17),(MOD((137-'V06 Calend 01'!C17),6)=0),(((137-'V06 Calend 01'!C17)/6)&lt;='V06 Calend 01'!E17)),IF((137=('V06 Calend 01'!C17+(6*'V06 Calend 01'!E17))),('V06 Calend 01'!H17-('V06 Calend 01'!I17*('V06 Calend 01'!E17-1))),'V06 Calend 01'!I17),0))+IF((137='V06 Calend 01'!D17),'V06 Calend 01'!J17,0))</f>
        <v>0</v>
      </c>
      <c r="ET17" s="2">
        <f>((IF((138='V06 Calend 01'!C17),('V06 Calend 01'!F17+'V06 Calend 01'!G17),0)+IF(AND(('V06 Calend 01'!E17&gt;0),(138&gt;'V06 Calend 01'!C17),(138&lt;'V06 Calend 01'!D17),(MOD((138-'V06 Calend 01'!C17),6)=0),(((138-'V06 Calend 01'!C17)/6)&lt;='V06 Calend 01'!E17)),IF((138=('V06 Calend 01'!C17+(6*'V06 Calend 01'!E17))),('V06 Calend 01'!H17-('V06 Calend 01'!I17*('V06 Calend 01'!E17-1))),'V06 Calend 01'!I17),0))+IF((138='V06 Calend 01'!D17),'V06 Calend 01'!J17,0))</f>
        <v>0</v>
      </c>
      <c r="EU17" s="2">
        <f>((IF((139='V06 Calend 01'!C17),('V06 Calend 01'!F17+'V06 Calend 01'!G17),0)+IF(AND(('V06 Calend 01'!E17&gt;0),(139&gt;'V06 Calend 01'!C17),(139&lt;'V06 Calend 01'!D17),(MOD((139-'V06 Calend 01'!C17),6)=0),(((139-'V06 Calend 01'!C17)/6)&lt;='V06 Calend 01'!E17)),IF((139=('V06 Calend 01'!C17+(6*'V06 Calend 01'!E17))),('V06 Calend 01'!H17-('V06 Calend 01'!I17*('V06 Calend 01'!E17-1))),'V06 Calend 01'!I17),0))+IF((139='V06 Calend 01'!D17),'V06 Calend 01'!J17,0))</f>
        <v>0</v>
      </c>
      <c r="EV17" s="2">
        <f>((IF((140='V06 Calend 01'!C17),('V06 Calend 01'!F17+'V06 Calend 01'!G17),0)+IF(AND(('V06 Calend 01'!E17&gt;0),(140&gt;'V06 Calend 01'!C17),(140&lt;'V06 Calend 01'!D17),(MOD((140-'V06 Calend 01'!C17),6)=0),(((140-'V06 Calend 01'!C17)/6)&lt;='V06 Calend 01'!E17)),IF((140=('V06 Calend 01'!C17+(6*'V06 Calend 01'!E17))),('V06 Calend 01'!H17-('V06 Calend 01'!I17*('V06 Calend 01'!E17-1))),'V06 Calend 01'!I17),0))+IF((140='V06 Calend 01'!D17),'V06 Calend 01'!J17,0))</f>
        <v>0</v>
      </c>
      <c r="EW17" s="2">
        <f>((IF((141='V06 Calend 01'!C17),('V06 Calend 01'!F17+'V06 Calend 01'!G17),0)+IF(AND(('V06 Calend 01'!E17&gt;0),(141&gt;'V06 Calend 01'!C17),(141&lt;'V06 Calend 01'!D17),(MOD((141-'V06 Calend 01'!C17),6)=0),(((141-'V06 Calend 01'!C17)/6)&lt;='V06 Calend 01'!E17)),IF((141=('V06 Calend 01'!C17+(6*'V06 Calend 01'!E17))),('V06 Calend 01'!H17-('V06 Calend 01'!I17*('V06 Calend 01'!E17-1))),'V06 Calend 01'!I17),0))+IF((141='V06 Calend 01'!D17),'V06 Calend 01'!J17,0))</f>
        <v>0</v>
      </c>
      <c r="EX17" s="2">
        <f>((IF((142='V06 Calend 01'!C17),('V06 Calend 01'!F17+'V06 Calend 01'!G17),0)+IF(AND(('V06 Calend 01'!E17&gt;0),(142&gt;'V06 Calend 01'!C17),(142&lt;'V06 Calend 01'!D17),(MOD((142-'V06 Calend 01'!C17),6)=0),(((142-'V06 Calend 01'!C17)/6)&lt;='V06 Calend 01'!E17)),IF((142=('V06 Calend 01'!C17+(6*'V06 Calend 01'!E17))),('V06 Calend 01'!H17-('V06 Calend 01'!I17*('V06 Calend 01'!E17-1))),'V06 Calend 01'!I17),0))+IF((142='V06 Calend 01'!D17),'V06 Calend 01'!J17,0))</f>
        <v>0</v>
      </c>
      <c r="EY17" s="2">
        <f>((IF((143='V06 Calend 01'!C17),('V06 Calend 01'!F17+'V06 Calend 01'!G17),0)+IF(AND(('V06 Calend 01'!E17&gt;0),(143&gt;'V06 Calend 01'!C17),(143&lt;'V06 Calend 01'!D17),(MOD((143-'V06 Calend 01'!C17),6)=0),(((143-'V06 Calend 01'!C17)/6)&lt;='V06 Calend 01'!E17)),IF((143=('V06 Calend 01'!C17+(6*'V06 Calend 01'!E17))),('V06 Calend 01'!H17-('V06 Calend 01'!I17*('V06 Calend 01'!E17-1))),'V06 Calend 01'!I17),0))+IF((143='V06 Calend 01'!D17),'V06 Calend 01'!J17,0))</f>
        <v>0</v>
      </c>
      <c r="EZ17" s="2">
        <f>((IF((144='V06 Calend 01'!C17),('V06 Calend 01'!F17+'V06 Calend 01'!G17),0)+IF(AND(('V06 Calend 01'!E17&gt;0),(144&gt;'V06 Calend 01'!C17),(144&lt;'V06 Calend 01'!D17),(MOD((144-'V06 Calend 01'!C17),6)=0),(((144-'V06 Calend 01'!C17)/6)&lt;='V06 Calend 01'!E17)),IF((144=('V06 Calend 01'!C17+(6*'V06 Calend 01'!E17))),('V06 Calend 01'!H17-('V06 Calend 01'!I17*('V06 Calend 01'!E17-1))),'V06 Calend 01'!I17),0))+IF((144='V06 Calend 01'!D17),'V06 Calend 01'!J17,0))</f>
        <v>0</v>
      </c>
      <c r="FA17" s="2">
        <f>((IF((145='V06 Calend 01'!C17),('V06 Calend 01'!F17+'V06 Calend 01'!G17),0)+IF(AND(('V06 Calend 01'!E17&gt;0),(145&gt;'V06 Calend 01'!C17),(145&lt;'V06 Calend 01'!D17),(MOD((145-'V06 Calend 01'!C17),6)=0),(((145-'V06 Calend 01'!C17)/6)&lt;='V06 Calend 01'!E17)),IF((145=('V06 Calend 01'!C17+(6*'V06 Calend 01'!E17))),('V06 Calend 01'!H17-('V06 Calend 01'!I17*('V06 Calend 01'!E17-1))),'V06 Calend 01'!I17),0))+IF((145='V06 Calend 01'!D17),'V06 Calend 01'!J17,0))</f>
        <v>0</v>
      </c>
      <c r="FB17" s="2">
        <f>((IF((146='V06 Calend 01'!C17),('V06 Calend 01'!F17+'V06 Calend 01'!G17),0)+IF(AND(('V06 Calend 01'!E17&gt;0),(146&gt;'V06 Calend 01'!C17),(146&lt;'V06 Calend 01'!D17),(MOD((146-'V06 Calend 01'!C17),6)=0),(((146-'V06 Calend 01'!C17)/6)&lt;='V06 Calend 01'!E17)),IF((146=('V06 Calend 01'!C17+(6*'V06 Calend 01'!E17))),('V06 Calend 01'!H17-('V06 Calend 01'!I17*('V06 Calend 01'!E17-1))),'V06 Calend 01'!I17),0))+IF((146='V06 Calend 01'!D17),'V06 Calend 01'!J17,0))</f>
        <v>0</v>
      </c>
      <c r="FC17" s="2">
        <f>((IF((147='V06 Calend 01'!C17),('V06 Calend 01'!F17+'V06 Calend 01'!G17),0)+IF(AND(('V06 Calend 01'!E17&gt;0),(147&gt;'V06 Calend 01'!C17),(147&lt;'V06 Calend 01'!D17),(MOD((147-'V06 Calend 01'!C17),6)=0),(((147-'V06 Calend 01'!C17)/6)&lt;='V06 Calend 01'!E17)),IF((147=('V06 Calend 01'!C17+(6*'V06 Calend 01'!E17))),('V06 Calend 01'!H17-('V06 Calend 01'!I17*('V06 Calend 01'!E17-1))),'V06 Calend 01'!I17),0))+IF((147='V06 Calend 01'!D17),'V06 Calend 01'!J17,0))</f>
        <v>0</v>
      </c>
      <c r="FD17" s="2">
        <f>((IF((148='V06 Calend 01'!C17),('V06 Calend 01'!F17+'V06 Calend 01'!G17),0)+IF(AND(('V06 Calend 01'!E17&gt;0),(148&gt;'V06 Calend 01'!C17),(148&lt;'V06 Calend 01'!D17),(MOD((148-'V06 Calend 01'!C17),6)=0),(((148-'V06 Calend 01'!C17)/6)&lt;='V06 Calend 01'!E17)),IF((148=('V06 Calend 01'!C17+(6*'V06 Calend 01'!E17))),('V06 Calend 01'!H17-('V06 Calend 01'!I17*('V06 Calend 01'!E17-1))),'V06 Calend 01'!I17),0))+IF((148='V06 Calend 01'!D17),'V06 Calend 01'!J17,0))</f>
        <v>0</v>
      </c>
      <c r="FE17" s="2">
        <f>((IF((149='V06 Calend 01'!C17),('V06 Calend 01'!F17+'V06 Calend 01'!G17),0)+IF(AND(('V06 Calend 01'!E17&gt;0),(149&gt;'V06 Calend 01'!C17),(149&lt;'V06 Calend 01'!D17),(MOD((149-'V06 Calend 01'!C17),6)=0),(((149-'V06 Calend 01'!C17)/6)&lt;='V06 Calend 01'!E17)),IF((149=('V06 Calend 01'!C17+(6*'V06 Calend 01'!E17))),('V06 Calend 01'!H17-('V06 Calend 01'!I17*('V06 Calend 01'!E17-1))),'V06 Calend 01'!I17),0))+IF((149='V06 Calend 01'!D17),'V06 Calend 01'!J17,0))</f>
        <v>0</v>
      </c>
      <c r="FF17" s="2">
        <f>((IF((150='V06 Calend 01'!C17),('V06 Calend 01'!F17+'V06 Calend 01'!G17),0)+IF(AND(('V06 Calend 01'!E17&gt;0),(150&gt;'V06 Calend 01'!C17),(150&lt;'V06 Calend 01'!D17),(MOD((150-'V06 Calend 01'!C17),6)=0),(((150-'V06 Calend 01'!C17)/6)&lt;='V06 Calend 01'!E17)),IF((150=('V06 Calend 01'!C17+(6*'V06 Calend 01'!E17))),('V06 Calend 01'!H17-('V06 Calend 01'!I17*('V06 Calend 01'!E17-1))),'V06 Calend 01'!I17),0))+IF((150='V06 Calend 01'!D17),'V06 Calend 01'!J17,0))</f>
        <v>0</v>
      </c>
      <c r="FG17" s="2">
        <f>((IF((151='V06 Calend 01'!C17),('V06 Calend 01'!F17+'V06 Calend 01'!G17),0)+IF(AND(('V06 Calend 01'!E17&gt;0),(151&gt;'V06 Calend 01'!C17),(151&lt;'V06 Calend 01'!D17),(MOD((151-'V06 Calend 01'!C17),6)=0),(((151-'V06 Calend 01'!C17)/6)&lt;='V06 Calend 01'!E17)),IF((151=('V06 Calend 01'!C17+(6*'V06 Calend 01'!E17))),('V06 Calend 01'!H17-('V06 Calend 01'!I17*('V06 Calend 01'!E17-1))),'V06 Calend 01'!I17),0))+IF((151='V06 Calend 01'!D17),'V06 Calend 01'!J17,0))</f>
        <v>0</v>
      </c>
      <c r="FH17" s="2">
        <f>((IF((152='V06 Calend 01'!C17),('V06 Calend 01'!F17+'V06 Calend 01'!G17),0)+IF(AND(('V06 Calend 01'!E17&gt;0),(152&gt;'V06 Calend 01'!C17),(152&lt;'V06 Calend 01'!D17),(MOD((152-'V06 Calend 01'!C17),6)=0),(((152-'V06 Calend 01'!C17)/6)&lt;='V06 Calend 01'!E17)),IF((152=('V06 Calend 01'!C17+(6*'V06 Calend 01'!E17))),('V06 Calend 01'!H17-('V06 Calend 01'!I17*('V06 Calend 01'!E17-1))),'V06 Calend 01'!I17),0))+IF((152='V06 Calend 01'!D17),'V06 Calend 01'!J17,0))</f>
        <v>0</v>
      </c>
      <c r="FI17" s="2">
        <f>((IF((153='V06 Calend 01'!C17),('V06 Calend 01'!F17+'V06 Calend 01'!G17),0)+IF(AND(('V06 Calend 01'!E17&gt;0),(153&gt;'V06 Calend 01'!C17),(153&lt;'V06 Calend 01'!D17),(MOD((153-'V06 Calend 01'!C17),6)=0),(((153-'V06 Calend 01'!C17)/6)&lt;='V06 Calend 01'!E17)),IF((153=('V06 Calend 01'!C17+(6*'V06 Calend 01'!E17))),('V06 Calend 01'!H17-('V06 Calend 01'!I17*('V06 Calend 01'!E17-1))),'V06 Calend 01'!I17),0))+IF((153='V06 Calend 01'!D17),'V06 Calend 01'!J17,0))</f>
        <v>0</v>
      </c>
      <c r="FJ17" s="2">
        <f>((IF((154='V06 Calend 01'!C17),('V06 Calend 01'!F17+'V06 Calend 01'!G17),0)+IF(AND(('V06 Calend 01'!E17&gt;0),(154&gt;'V06 Calend 01'!C17),(154&lt;'V06 Calend 01'!D17),(MOD((154-'V06 Calend 01'!C17),6)=0),(((154-'V06 Calend 01'!C17)/6)&lt;='V06 Calend 01'!E17)),IF((154=('V06 Calend 01'!C17+(6*'V06 Calend 01'!E17))),('V06 Calend 01'!H17-('V06 Calend 01'!I17*('V06 Calend 01'!E17-1))),'V06 Calend 01'!I17),0))+IF((154='V06 Calend 01'!D17),'V06 Calend 01'!J17,0))</f>
        <v>0</v>
      </c>
      <c r="FK17" s="2">
        <f>((IF((155='V06 Calend 01'!C17),('V06 Calend 01'!F17+'V06 Calend 01'!G17),0)+IF(AND(('V06 Calend 01'!E17&gt;0),(155&gt;'V06 Calend 01'!C17),(155&lt;'V06 Calend 01'!D17),(MOD((155-'V06 Calend 01'!C17),6)=0),(((155-'V06 Calend 01'!C17)/6)&lt;='V06 Calend 01'!E17)),IF((155=('V06 Calend 01'!C17+(6*'V06 Calend 01'!E17))),('V06 Calend 01'!H17-('V06 Calend 01'!I17*('V06 Calend 01'!E17-1))),'V06 Calend 01'!I17),0))+IF((155='V06 Calend 01'!D17),'V06 Calend 01'!J17,0))</f>
        <v>0</v>
      </c>
      <c r="FL17" s="2">
        <f>((IF((156='V06 Calend 01'!C17),('V06 Calend 01'!F17+'V06 Calend 01'!G17),0)+IF(AND(('V06 Calend 01'!E17&gt;0),(156&gt;'V06 Calend 01'!C17),(156&lt;'V06 Calend 01'!D17),(MOD((156-'V06 Calend 01'!C17),6)=0),(((156-'V06 Calend 01'!C17)/6)&lt;='V06 Calend 01'!E17)),IF((156=('V06 Calend 01'!C17+(6*'V06 Calend 01'!E17))),('V06 Calend 01'!H17-('V06 Calend 01'!I17*('V06 Calend 01'!E17-1))),'V06 Calend 01'!I17),0))+IF((156='V06 Calend 01'!D17),'V06 Calend 01'!J17,0))</f>
        <v>0</v>
      </c>
      <c r="FM17" s="2">
        <f>((IF((157='V06 Calend 01'!C17),('V06 Calend 01'!F17+'V06 Calend 01'!G17),0)+IF(AND(('V06 Calend 01'!E17&gt;0),(157&gt;'V06 Calend 01'!C17),(157&lt;'V06 Calend 01'!D17),(MOD((157-'V06 Calend 01'!C17),6)=0),(((157-'V06 Calend 01'!C17)/6)&lt;='V06 Calend 01'!E17)),IF((157=('V06 Calend 01'!C17+(6*'V06 Calend 01'!E17))),('V06 Calend 01'!H17-('V06 Calend 01'!I17*('V06 Calend 01'!E17-1))),'V06 Calend 01'!I17),0))+IF((157='V06 Calend 01'!D17),'V06 Calend 01'!J17,0))</f>
        <v>0</v>
      </c>
      <c r="FN17" s="2">
        <f>((IF((158='V06 Calend 01'!C17),('V06 Calend 01'!F17+'V06 Calend 01'!G17),0)+IF(AND(('V06 Calend 01'!E17&gt;0),(158&gt;'V06 Calend 01'!C17),(158&lt;'V06 Calend 01'!D17),(MOD((158-'V06 Calend 01'!C17),6)=0),(((158-'V06 Calend 01'!C17)/6)&lt;='V06 Calend 01'!E17)),IF((158=('V06 Calend 01'!C17+(6*'V06 Calend 01'!E17))),('V06 Calend 01'!H17-('V06 Calend 01'!I17*('V06 Calend 01'!E17-1))),'V06 Calend 01'!I17),0))+IF((158='V06 Calend 01'!D17),'V06 Calend 01'!J17,0))</f>
        <v>0</v>
      </c>
      <c r="FO17" s="2">
        <f>((IF((159='V06 Calend 01'!C17),('V06 Calend 01'!F17+'V06 Calend 01'!G17),0)+IF(AND(('V06 Calend 01'!E17&gt;0),(159&gt;'V06 Calend 01'!C17),(159&lt;'V06 Calend 01'!D17),(MOD((159-'V06 Calend 01'!C17),6)=0),(((159-'V06 Calend 01'!C17)/6)&lt;='V06 Calend 01'!E17)),IF((159=('V06 Calend 01'!C17+(6*'V06 Calend 01'!E17))),('V06 Calend 01'!H17-('V06 Calend 01'!I17*('V06 Calend 01'!E17-1))),'V06 Calend 01'!I17),0))+IF((159='V06 Calend 01'!D17),'V06 Calend 01'!J17,0))</f>
        <v>0</v>
      </c>
      <c r="FP17" s="2">
        <f>((IF((160='V06 Calend 01'!C17),('V06 Calend 01'!F17+'V06 Calend 01'!G17),0)+IF(AND(('V06 Calend 01'!E17&gt;0),(160&gt;'V06 Calend 01'!C17),(160&lt;'V06 Calend 01'!D17),(MOD((160-'V06 Calend 01'!C17),6)=0),(((160-'V06 Calend 01'!C17)/6)&lt;='V06 Calend 01'!E17)),IF((160=('V06 Calend 01'!C17+(6*'V06 Calend 01'!E17))),('V06 Calend 01'!H17-('V06 Calend 01'!I17*('V06 Calend 01'!E17-1))),'V06 Calend 01'!I17),0))+IF((160='V06 Calend 01'!D17),'V06 Calend 01'!J17,0))</f>
        <v>0</v>
      </c>
      <c r="FQ17" s="2">
        <f>((IF((161='V06 Calend 01'!C17),('V06 Calend 01'!F17+'V06 Calend 01'!G17),0)+IF(AND(('V06 Calend 01'!E17&gt;0),(161&gt;'V06 Calend 01'!C17),(161&lt;'V06 Calend 01'!D17),(MOD((161-'V06 Calend 01'!C17),6)=0),(((161-'V06 Calend 01'!C17)/6)&lt;='V06 Calend 01'!E17)),IF((161=('V06 Calend 01'!C17+(6*'V06 Calend 01'!E17))),('V06 Calend 01'!H17-('V06 Calend 01'!I17*('V06 Calend 01'!E17-1))),'V06 Calend 01'!I17),0))+IF((161='V06 Calend 01'!D17),'V06 Calend 01'!J17,0))</f>
        <v>0</v>
      </c>
      <c r="FR17" s="2">
        <f>((IF((162='V06 Calend 01'!C17),('V06 Calend 01'!F17+'V06 Calend 01'!G17),0)+IF(AND(('V06 Calend 01'!E17&gt;0),(162&gt;'V06 Calend 01'!C17),(162&lt;'V06 Calend 01'!D17),(MOD((162-'V06 Calend 01'!C17),6)=0),(((162-'V06 Calend 01'!C17)/6)&lt;='V06 Calend 01'!E17)),IF((162=('V06 Calend 01'!C17+(6*'V06 Calend 01'!E17))),('V06 Calend 01'!H17-('V06 Calend 01'!I17*('V06 Calend 01'!E17-1))),'V06 Calend 01'!I17),0))+IF((162='V06 Calend 01'!D17),'V06 Calend 01'!J17,0))</f>
        <v>0</v>
      </c>
      <c r="FS17" s="2">
        <f>((IF((163='V06 Calend 01'!C17),('V06 Calend 01'!F17+'V06 Calend 01'!G17),0)+IF(AND(('V06 Calend 01'!E17&gt;0),(163&gt;'V06 Calend 01'!C17),(163&lt;'V06 Calend 01'!D17),(MOD((163-'V06 Calend 01'!C17),6)=0),(((163-'V06 Calend 01'!C17)/6)&lt;='V06 Calend 01'!E17)),IF((163=('V06 Calend 01'!C17+(6*'V06 Calend 01'!E17))),('V06 Calend 01'!H17-('V06 Calend 01'!I17*('V06 Calend 01'!E17-1))),'V06 Calend 01'!I17),0))+IF((163='V06 Calend 01'!D17),'V06 Calend 01'!J17,0))</f>
        <v>0</v>
      </c>
      <c r="FT17" s="2">
        <f>((IF((164='V06 Calend 01'!C17),('V06 Calend 01'!F17+'V06 Calend 01'!G17),0)+IF(AND(('V06 Calend 01'!E17&gt;0),(164&gt;'V06 Calend 01'!C17),(164&lt;'V06 Calend 01'!D17),(MOD((164-'V06 Calend 01'!C17),6)=0),(((164-'V06 Calend 01'!C17)/6)&lt;='V06 Calend 01'!E17)),IF((164=('V06 Calend 01'!C17+(6*'V06 Calend 01'!E17))),('V06 Calend 01'!H17-('V06 Calend 01'!I17*('V06 Calend 01'!E17-1))),'V06 Calend 01'!I17),0))+IF((164='V06 Calend 01'!D17),'V06 Calend 01'!J17,0))</f>
        <v>0</v>
      </c>
      <c r="FU17" s="2">
        <f>((IF((165='V06 Calend 01'!C17),('V06 Calend 01'!F17+'V06 Calend 01'!G17),0)+IF(AND(('V06 Calend 01'!E17&gt;0),(165&gt;'V06 Calend 01'!C17),(165&lt;'V06 Calend 01'!D17),(MOD((165-'V06 Calend 01'!C17),6)=0),(((165-'V06 Calend 01'!C17)/6)&lt;='V06 Calend 01'!E17)),IF((165=('V06 Calend 01'!C17+(6*'V06 Calend 01'!E17))),('V06 Calend 01'!H17-('V06 Calend 01'!I17*('V06 Calend 01'!E17-1))),'V06 Calend 01'!I17),0))+IF((165='V06 Calend 01'!D17),'V06 Calend 01'!J17,0))</f>
        <v>0</v>
      </c>
      <c r="FV17" s="2">
        <f>((IF((166='V06 Calend 01'!C17),('V06 Calend 01'!F17+'V06 Calend 01'!G17),0)+IF(AND(('V06 Calend 01'!E17&gt;0),(166&gt;'V06 Calend 01'!C17),(166&lt;'V06 Calend 01'!D17),(MOD((166-'V06 Calend 01'!C17),6)=0),(((166-'V06 Calend 01'!C17)/6)&lt;='V06 Calend 01'!E17)),IF((166=('V06 Calend 01'!C17+(6*'V06 Calend 01'!E17))),('V06 Calend 01'!H17-('V06 Calend 01'!I17*('V06 Calend 01'!E17-1))),'V06 Calend 01'!I17),0))+IF((166='V06 Calend 01'!D17),'V06 Calend 01'!J17,0))</f>
        <v>0</v>
      </c>
      <c r="FW17" s="2">
        <f>((IF((167='V06 Calend 01'!C17),('V06 Calend 01'!F17+'V06 Calend 01'!G17),0)+IF(AND(('V06 Calend 01'!E17&gt;0),(167&gt;'V06 Calend 01'!C17),(167&lt;'V06 Calend 01'!D17),(MOD((167-'V06 Calend 01'!C17),6)=0),(((167-'V06 Calend 01'!C17)/6)&lt;='V06 Calend 01'!E17)),IF((167=('V06 Calend 01'!C17+(6*'V06 Calend 01'!E17))),('V06 Calend 01'!H17-('V06 Calend 01'!I17*('V06 Calend 01'!E17-1))),'V06 Calend 01'!I17),0))+IF((167='V06 Calend 01'!D17),'V06 Calend 01'!J17,0))</f>
        <v>0</v>
      </c>
      <c r="FX17" s="2">
        <f>((IF((168='V06 Calend 01'!C17),('V06 Calend 01'!F17+'V06 Calend 01'!G17),0)+IF(AND(('V06 Calend 01'!E17&gt;0),(168&gt;'V06 Calend 01'!C17),(168&lt;'V06 Calend 01'!D17),(MOD((168-'V06 Calend 01'!C17),6)=0),(((168-'V06 Calend 01'!C17)/6)&lt;='V06 Calend 01'!E17)),IF((168=('V06 Calend 01'!C17+(6*'V06 Calend 01'!E17))),('V06 Calend 01'!H17-('V06 Calend 01'!I17*('V06 Calend 01'!E17-1))),'V06 Calend 01'!I17),0))+IF((168='V06 Calend 01'!D17),'V06 Calend 01'!J17,0))</f>
        <v>0</v>
      </c>
      <c r="FY17" s="2">
        <f>((IF((169='V06 Calend 01'!C17),('V06 Calend 01'!F17+'V06 Calend 01'!G17),0)+IF(AND(('V06 Calend 01'!E17&gt;0),(169&gt;'V06 Calend 01'!C17),(169&lt;'V06 Calend 01'!D17),(MOD((169-'V06 Calend 01'!C17),6)=0),(((169-'V06 Calend 01'!C17)/6)&lt;='V06 Calend 01'!E17)),IF((169=('V06 Calend 01'!C17+(6*'V06 Calend 01'!E17))),('V06 Calend 01'!H17-('V06 Calend 01'!I17*('V06 Calend 01'!E17-1))),'V06 Calend 01'!I17),0))+IF((169='V06 Calend 01'!D17),'V06 Calend 01'!J17,0))</f>
        <v>0</v>
      </c>
      <c r="FZ17" s="2">
        <f>((IF((170='V06 Calend 01'!C17),('V06 Calend 01'!F17+'V06 Calend 01'!G17),0)+IF(AND(('V06 Calend 01'!E17&gt;0),(170&gt;'V06 Calend 01'!C17),(170&lt;'V06 Calend 01'!D17),(MOD((170-'V06 Calend 01'!C17),6)=0),(((170-'V06 Calend 01'!C17)/6)&lt;='V06 Calend 01'!E17)),IF((170=('V06 Calend 01'!C17+(6*'V06 Calend 01'!E17))),('V06 Calend 01'!H17-('V06 Calend 01'!I17*('V06 Calend 01'!E17-1))),'V06 Calend 01'!I17),0))+IF((170='V06 Calend 01'!D17),'V06 Calend 01'!J17,0))</f>
        <v>0</v>
      </c>
      <c r="GA17" s="2">
        <f>((IF((171='V06 Calend 01'!C17),('V06 Calend 01'!F17+'V06 Calend 01'!G17),0)+IF(AND(('V06 Calend 01'!E17&gt;0),(171&gt;'V06 Calend 01'!C17),(171&lt;'V06 Calend 01'!D17),(MOD((171-'V06 Calend 01'!C17),6)=0),(((171-'V06 Calend 01'!C17)/6)&lt;='V06 Calend 01'!E17)),IF((171=('V06 Calend 01'!C17+(6*'V06 Calend 01'!E17))),('V06 Calend 01'!H17-('V06 Calend 01'!I17*('V06 Calend 01'!E17-1))),'V06 Calend 01'!I17),0))+IF((171='V06 Calend 01'!D17),'V06 Calend 01'!J17,0))</f>
        <v>0</v>
      </c>
      <c r="GB17" s="2">
        <f>((IF((172='V06 Calend 01'!C17),('V06 Calend 01'!F17+'V06 Calend 01'!G17),0)+IF(AND(('V06 Calend 01'!E17&gt;0),(172&gt;'V06 Calend 01'!C17),(172&lt;'V06 Calend 01'!D17),(MOD((172-'V06 Calend 01'!C17),6)=0),(((172-'V06 Calend 01'!C17)/6)&lt;='V06 Calend 01'!E17)),IF((172=('V06 Calend 01'!C17+(6*'V06 Calend 01'!E17))),('V06 Calend 01'!H17-('V06 Calend 01'!I17*('V06 Calend 01'!E17-1))),'V06 Calend 01'!I17),0))+IF((172='V06 Calend 01'!D17),'V06 Calend 01'!J17,0))</f>
        <v>0</v>
      </c>
      <c r="GC17" s="2">
        <f>((IF((173='V06 Calend 01'!C17),('V06 Calend 01'!F17+'V06 Calend 01'!G17),0)+IF(AND(('V06 Calend 01'!E17&gt;0),(173&gt;'V06 Calend 01'!C17),(173&lt;'V06 Calend 01'!D17),(MOD((173-'V06 Calend 01'!C17),6)=0),(((173-'V06 Calend 01'!C17)/6)&lt;='V06 Calend 01'!E17)),IF((173=('V06 Calend 01'!C17+(6*'V06 Calend 01'!E17))),('V06 Calend 01'!H17-('V06 Calend 01'!I17*('V06 Calend 01'!E17-1))),'V06 Calend 01'!I17),0))+IF((173='V06 Calend 01'!D17),'V06 Calend 01'!J17,0))</f>
        <v>0</v>
      </c>
      <c r="GD17" s="2">
        <f>((IF((174='V06 Calend 01'!C17),('V06 Calend 01'!F17+'V06 Calend 01'!G17),0)+IF(AND(('V06 Calend 01'!E17&gt;0),(174&gt;'V06 Calend 01'!C17),(174&lt;'V06 Calend 01'!D17),(MOD((174-'V06 Calend 01'!C17),6)=0),(((174-'V06 Calend 01'!C17)/6)&lt;='V06 Calend 01'!E17)),IF((174=('V06 Calend 01'!C17+(6*'V06 Calend 01'!E17))),('V06 Calend 01'!H17-('V06 Calend 01'!I17*('V06 Calend 01'!E17-1))),'V06 Calend 01'!I17),0))+IF((174='V06 Calend 01'!D17),'V06 Calend 01'!J17,0))</f>
        <v>0</v>
      </c>
      <c r="GE17" s="2">
        <f>((IF((175='V06 Calend 01'!C17),('V06 Calend 01'!F17+'V06 Calend 01'!G17),0)+IF(AND(('V06 Calend 01'!E17&gt;0),(175&gt;'V06 Calend 01'!C17),(175&lt;'V06 Calend 01'!D17),(MOD((175-'V06 Calend 01'!C17),6)=0),(((175-'V06 Calend 01'!C17)/6)&lt;='V06 Calend 01'!E17)),IF((175=('V06 Calend 01'!C17+(6*'V06 Calend 01'!E17))),('V06 Calend 01'!H17-('V06 Calend 01'!I17*('V06 Calend 01'!E17-1))),'V06 Calend 01'!I17),0))+IF((175='V06 Calend 01'!D17),'V06 Calend 01'!J17,0))</f>
        <v>0</v>
      </c>
      <c r="GF17" s="2">
        <f>((IF((176='V06 Calend 01'!C17),('V06 Calend 01'!F17+'V06 Calend 01'!G17),0)+IF(AND(('V06 Calend 01'!E17&gt;0),(176&gt;'V06 Calend 01'!C17),(176&lt;'V06 Calend 01'!D17),(MOD((176-'V06 Calend 01'!C17),6)=0),(((176-'V06 Calend 01'!C17)/6)&lt;='V06 Calend 01'!E17)),IF((176=('V06 Calend 01'!C17+(6*'V06 Calend 01'!E17))),('V06 Calend 01'!H17-('V06 Calend 01'!I17*('V06 Calend 01'!E17-1))),'V06 Calend 01'!I17),0))+IF((176='V06 Calend 01'!D17),'V06 Calend 01'!J17,0))</f>
        <v>0</v>
      </c>
      <c r="GG17" s="2">
        <f>((IF((177='V06 Calend 01'!C17),('V06 Calend 01'!F17+'V06 Calend 01'!G17),0)+IF(AND(('V06 Calend 01'!E17&gt;0),(177&gt;'V06 Calend 01'!C17),(177&lt;'V06 Calend 01'!D17),(MOD((177-'V06 Calend 01'!C17),6)=0),(((177-'V06 Calend 01'!C17)/6)&lt;='V06 Calend 01'!E17)),IF((177=('V06 Calend 01'!C17+(6*'V06 Calend 01'!E17))),('V06 Calend 01'!H17-('V06 Calend 01'!I17*('V06 Calend 01'!E17-1))),'V06 Calend 01'!I17),0))+IF((177='V06 Calend 01'!D17),'V06 Calend 01'!J17,0))</f>
        <v>0</v>
      </c>
      <c r="GH17" s="2">
        <f>((IF((178='V06 Calend 01'!C17),('V06 Calend 01'!F17+'V06 Calend 01'!G17),0)+IF(AND(('V06 Calend 01'!E17&gt;0),(178&gt;'V06 Calend 01'!C17),(178&lt;'V06 Calend 01'!D17),(MOD((178-'V06 Calend 01'!C17),6)=0),(((178-'V06 Calend 01'!C17)/6)&lt;='V06 Calend 01'!E17)),IF((178=('V06 Calend 01'!C17+(6*'V06 Calend 01'!E17))),('V06 Calend 01'!H17-('V06 Calend 01'!I17*('V06 Calend 01'!E17-1))),'V06 Calend 01'!I17),0))+IF((178='V06 Calend 01'!D17),'V06 Calend 01'!J17,0))</f>
        <v>0</v>
      </c>
      <c r="GI17" s="2">
        <f>((IF((179='V06 Calend 01'!C17),('V06 Calend 01'!F17+'V06 Calend 01'!G17),0)+IF(AND(('V06 Calend 01'!E17&gt;0),(179&gt;'V06 Calend 01'!C17),(179&lt;'V06 Calend 01'!D17),(MOD((179-'V06 Calend 01'!C17),6)=0),(((179-'V06 Calend 01'!C17)/6)&lt;='V06 Calend 01'!E17)),IF((179=('V06 Calend 01'!C17+(6*'V06 Calend 01'!E17))),('V06 Calend 01'!H17-('V06 Calend 01'!I17*('V06 Calend 01'!E17-1))),'V06 Calend 01'!I17),0))+IF((179='V06 Calend 01'!D17),'V06 Calend 01'!J17,0))</f>
        <v>0</v>
      </c>
      <c r="GJ17" s="2">
        <f>((IF((180='V06 Calend 01'!C17),('V06 Calend 01'!F17+'V06 Calend 01'!G17),0)+IF(AND(('V06 Calend 01'!E17&gt;0),(180&gt;'V06 Calend 01'!C17),(180&lt;'V06 Calend 01'!D17),(MOD((180-'V06 Calend 01'!C17),6)=0),(((180-'V06 Calend 01'!C17)/6)&lt;='V06 Calend 01'!E17)),IF((180=('V06 Calend 01'!C17+(6*'V06 Calend 01'!E17))),('V06 Calend 01'!H17-('V06 Calend 01'!I17*('V06 Calend 01'!E17-1))),'V06 Calend 01'!I17),0))+IF((180='V06 Calend 01'!D17),'V06 Calend 01'!J17,0))</f>
        <v>0</v>
      </c>
    </row>
    <row r="18" spans="1:192">
      <c r="A18" s="3" t="str">
        <f>'V06 Unidades'!$A$18</f>
        <v>304</v>
      </c>
      <c r="B18" s="2">
        <f>'V06 Unidades'!$H$18</f>
        <v>258060</v>
      </c>
      <c r="C18" s="4">
        <f>('V06 Unidades'!$I$18+'V06 Controlos'!$B$37)</f>
        <v>7</v>
      </c>
      <c r="D18" s="4">
        <f>IF(('V06 Controlos'!$B$38&gt;0),MAX(('V06 Unidades'!$L$18+'V06 Controlos'!$B$37),(30+'V06 Controlos'!$B$38)),('V06 Unidades'!$L$18+'V06 Controlos'!$B$37))</f>
        <v>29</v>
      </c>
      <c r="E18" s="4">
        <f>MAX(0,INT(((('V06 Calend 01'!D18-'V06 Calend 01'!C18)-1)/6)))</f>
        <v>3</v>
      </c>
      <c r="F18" s="2">
        <f>ROUND(('V06 Calend 01'!B18*0.05),2)</f>
        <v>12903.0</v>
      </c>
      <c r="G18" s="2">
        <f>ROUND(('V06 Calend 01'!B18*0.2),2)</f>
        <v>51612.0</v>
      </c>
      <c r="H18" s="2">
        <f>ROUND(('V06 Calend 01'!B18*0.55),2)</f>
        <v>141933.0</v>
      </c>
      <c r="I18" s="2">
        <f>ROUND(('V06 Calend 01'!H18/MAX(1,'V06 Calend 01'!E18)),2)</f>
        <v>47311.0</v>
      </c>
      <c r="J18" s="2">
        <f>((('V06 Calend 01'!B18-'V06 Calend 01'!F18)-'V06 Calend 01'!G18)-'V06 Calend 01'!H18)</f>
        <v>51612.0</v>
      </c>
      <c r="K18" s="2">
        <f>('V06 Calend 01'!B18*0.025)</f>
        <v>6451.5</v>
      </c>
      <c r="L18" t="s">
        <v>378</v>
      </c>
      <c r="M18" s="2">
        <f>((IF((1='V06 Calend 01'!C18),('V06 Calend 01'!F18+'V06 Calend 01'!G18),0)+IF(AND(('V06 Calend 01'!E18&gt;0),(1&gt;'V06 Calend 01'!C18),(1&lt;'V06 Calend 01'!D18),(MOD((1-'V06 Calend 01'!C18),6)=0),(((1-'V06 Calend 01'!C18)/6)&lt;='V06 Calend 01'!E18)),IF((1=('V06 Calend 01'!C18+(6*'V06 Calend 01'!E18))),('V06 Calend 01'!H18-('V06 Calend 01'!I18*('V06 Calend 01'!E18-1))),'V06 Calend 01'!I18),0))+IF((1='V06 Calend 01'!D18),'V06 Calend 01'!J18,0))</f>
        <v>0</v>
      </c>
      <c r="N18" s="2">
        <f>((IF((2='V06 Calend 01'!C18),('V06 Calend 01'!F18+'V06 Calend 01'!G18),0)+IF(AND(('V06 Calend 01'!E18&gt;0),(2&gt;'V06 Calend 01'!C18),(2&lt;'V06 Calend 01'!D18),(MOD((2-'V06 Calend 01'!C18),6)=0),(((2-'V06 Calend 01'!C18)/6)&lt;='V06 Calend 01'!E18)),IF((2=('V06 Calend 01'!C18+(6*'V06 Calend 01'!E18))),('V06 Calend 01'!H18-('V06 Calend 01'!I18*('V06 Calend 01'!E18-1))),'V06 Calend 01'!I18),0))+IF((2='V06 Calend 01'!D18),'V06 Calend 01'!J18,0))</f>
        <v>0</v>
      </c>
      <c r="O18" s="2">
        <f>((IF((3='V06 Calend 01'!C18),('V06 Calend 01'!F18+'V06 Calend 01'!G18),0)+IF(AND(('V06 Calend 01'!E18&gt;0),(3&gt;'V06 Calend 01'!C18),(3&lt;'V06 Calend 01'!D18),(MOD((3-'V06 Calend 01'!C18),6)=0),(((3-'V06 Calend 01'!C18)/6)&lt;='V06 Calend 01'!E18)),IF((3=('V06 Calend 01'!C18+(6*'V06 Calend 01'!E18))),('V06 Calend 01'!H18-('V06 Calend 01'!I18*('V06 Calend 01'!E18-1))),'V06 Calend 01'!I18),0))+IF((3='V06 Calend 01'!D18),'V06 Calend 01'!J18,0))</f>
        <v>0</v>
      </c>
      <c r="P18" s="2">
        <f>((IF((4='V06 Calend 01'!C18),('V06 Calend 01'!F18+'V06 Calend 01'!G18),0)+IF(AND(('V06 Calend 01'!E18&gt;0),(4&gt;'V06 Calend 01'!C18),(4&lt;'V06 Calend 01'!D18),(MOD((4-'V06 Calend 01'!C18),6)=0),(((4-'V06 Calend 01'!C18)/6)&lt;='V06 Calend 01'!E18)),IF((4=('V06 Calend 01'!C18+(6*'V06 Calend 01'!E18))),('V06 Calend 01'!H18-('V06 Calend 01'!I18*('V06 Calend 01'!E18-1))),'V06 Calend 01'!I18),0))+IF((4='V06 Calend 01'!D18),'V06 Calend 01'!J18,0))</f>
        <v>0</v>
      </c>
      <c r="Q18" s="2">
        <f>((IF((5='V06 Calend 01'!C18),('V06 Calend 01'!F18+'V06 Calend 01'!G18),0)+IF(AND(('V06 Calend 01'!E18&gt;0),(5&gt;'V06 Calend 01'!C18),(5&lt;'V06 Calend 01'!D18),(MOD((5-'V06 Calend 01'!C18),6)=0),(((5-'V06 Calend 01'!C18)/6)&lt;='V06 Calend 01'!E18)),IF((5=('V06 Calend 01'!C18+(6*'V06 Calend 01'!E18))),('V06 Calend 01'!H18-('V06 Calend 01'!I18*('V06 Calend 01'!E18-1))),'V06 Calend 01'!I18),0))+IF((5='V06 Calend 01'!D18),'V06 Calend 01'!J18,0))</f>
        <v>0</v>
      </c>
      <c r="R18" s="2">
        <f>((IF((6='V06 Calend 01'!C18),('V06 Calend 01'!F18+'V06 Calend 01'!G18),0)+IF(AND(('V06 Calend 01'!E18&gt;0),(6&gt;'V06 Calend 01'!C18),(6&lt;'V06 Calend 01'!D18),(MOD((6-'V06 Calend 01'!C18),6)=0),(((6-'V06 Calend 01'!C18)/6)&lt;='V06 Calend 01'!E18)),IF((6=('V06 Calend 01'!C18+(6*'V06 Calend 01'!E18))),('V06 Calend 01'!H18-('V06 Calend 01'!I18*('V06 Calend 01'!E18-1))),'V06 Calend 01'!I18),0))+IF((6='V06 Calend 01'!D18),'V06 Calend 01'!J18,0))</f>
        <v>0</v>
      </c>
      <c r="S18" s="2">
        <f>((IF((7='V06 Calend 01'!C18),('V06 Calend 01'!F18+'V06 Calend 01'!G18),0)+IF(AND(('V06 Calend 01'!E18&gt;0),(7&gt;'V06 Calend 01'!C18),(7&lt;'V06 Calend 01'!D18),(MOD((7-'V06 Calend 01'!C18),6)=0),(((7-'V06 Calend 01'!C18)/6)&lt;='V06 Calend 01'!E18)),IF((7=('V06 Calend 01'!C18+(6*'V06 Calend 01'!E18))),('V06 Calend 01'!H18-('V06 Calend 01'!I18*('V06 Calend 01'!E18-1))),'V06 Calend 01'!I18),0))+IF((7='V06 Calend 01'!D18),'V06 Calend 01'!J18,0))</f>
        <v>64515.0</v>
      </c>
      <c r="T18" s="2">
        <f>((IF((8='V06 Calend 01'!C18),('V06 Calend 01'!F18+'V06 Calend 01'!G18),0)+IF(AND(('V06 Calend 01'!E18&gt;0),(8&gt;'V06 Calend 01'!C18),(8&lt;'V06 Calend 01'!D18),(MOD((8-'V06 Calend 01'!C18),6)=0),(((8-'V06 Calend 01'!C18)/6)&lt;='V06 Calend 01'!E18)),IF((8=('V06 Calend 01'!C18+(6*'V06 Calend 01'!E18))),('V06 Calend 01'!H18-('V06 Calend 01'!I18*('V06 Calend 01'!E18-1))),'V06 Calend 01'!I18),0))+IF((8='V06 Calend 01'!D18),'V06 Calend 01'!J18,0))</f>
        <v>0</v>
      </c>
      <c r="U18" s="2">
        <f>((IF((9='V06 Calend 01'!C18),('V06 Calend 01'!F18+'V06 Calend 01'!G18),0)+IF(AND(('V06 Calend 01'!E18&gt;0),(9&gt;'V06 Calend 01'!C18),(9&lt;'V06 Calend 01'!D18),(MOD((9-'V06 Calend 01'!C18),6)=0),(((9-'V06 Calend 01'!C18)/6)&lt;='V06 Calend 01'!E18)),IF((9=('V06 Calend 01'!C18+(6*'V06 Calend 01'!E18))),('V06 Calend 01'!H18-('V06 Calend 01'!I18*('V06 Calend 01'!E18-1))),'V06 Calend 01'!I18),0))+IF((9='V06 Calend 01'!D18),'V06 Calend 01'!J18,0))</f>
        <v>0</v>
      </c>
      <c r="V18" s="2">
        <f>((IF((10='V06 Calend 01'!C18),('V06 Calend 01'!F18+'V06 Calend 01'!G18),0)+IF(AND(('V06 Calend 01'!E18&gt;0),(10&gt;'V06 Calend 01'!C18),(10&lt;'V06 Calend 01'!D18),(MOD((10-'V06 Calend 01'!C18),6)=0),(((10-'V06 Calend 01'!C18)/6)&lt;='V06 Calend 01'!E18)),IF((10=('V06 Calend 01'!C18+(6*'V06 Calend 01'!E18))),('V06 Calend 01'!H18-('V06 Calend 01'!I18*('V06 Calend 01'!E18-1))),'V06 Calend 01'!I18),0))+IF((10='V06 Calend 01'!D18),'V06 Calend 01'!J18,0))</f>
        <v>0</v>
      </c>
      <c r="W18" s="2">
        <f>((IF((11='V06 Calend 01'!C18),('V06 Calend 01'!F18+'V06 Calend 01'!G18),0)+IF(AND(('V06 Calend 01'!E18&gt;0),(11&gt;'V06 Calend 01'!C18),(11&lt;'V06 Calend 01'!D18),(MOD((11-'V06 Calend 01'!C18),6)=0),(((11-'V06 Calend 01'!C18)/6)&lt;='V06 Calend 01'!E18)),IF((11=('V06 Calend 01'!C18+(6*'V06 Calend 01'!E18))),('V06 Calend 01'!H18-('V06 Calend 01'!I18*('V06 Calend 01'!E18-1))),'V06 Calend 01'!I18),0))+IF((11='V06 Calend 01'!D18),'V06 Calend 01'!J18,0))</f>
        <v>0</v>
      </c>
      <c r="X18" s="2">
        <f>((IF((12='V06 Calend 01'!C18),('V06 Calend 01'!F18+'V06 Calend 01'!G18),0)+IF(AND(('V06 Calend 01'!E18&gt;0),(12&gt;'V06 Calend 01'!C18),(12&lt;'V06 Calend 01'!D18),(MOD((12-'V06 Calend 01'!C18),6)=0),(((12-'V06 Calend 01'!C18)/6)&lt;='V06 Calend 01'!E18)),IF((12=('V06 Calend 01'!C18+(6*'V06 Calend 01'!E18))),('V06 Calend 01'!H18-('V06 Calend 01'!I18*('V06 Calend 01'!E18-1))),'V06 Calend 01'!I18),0))+IF((12='V06 Calend 01'!D18),'V06 Calend 01'!J18,0))</f>
        <v>0</v>
      </c>
      <c r="Y18" s="2">
        <f>((IF((13='V06 Calend 01'!C18),('V06 Calend 01'!F18+'V06 Calend 01'!G18),0)+IF(AND(('V06 Calend 01'!E18&gt;0),(13&gt;'V06 Calend 01'!C18),(13&lt;'V06 Calend 01'!D18),(MOD((13-'V06 Calend 01'!C18),6)=0),(((13-'V06 Calend 01'!C18)/6)&lt;='V06 Calend 01'!E18)),IF((13=('V06 Calend 01'!C18+(6*'V06 Calend 01'!E18))),('V06 Calend 01'!H18-('V06 Calend 01'!I18*('V06 Calend 01'!E18-1))),'V06 Calend 01'!I18),0))+IF((13='V06 Calend 01'!D18),'V06 Calend 01'!J18,0))</f>
        <v>47311.0</v>
      </c>
      <c r="Z18" s="2">
        <f>((IF((14='V06 Calend 01'!C18),('V06 Calend 01'!F18+'V06 Calend 01'!G18),0)+IF(AND(('V06 Calend 01'!E18&gt;0),(14&gt;'V06 Calend 01'!C18),(14&lt;'V06 Calend 01'!D18),(MOD((14-'V06 Calend 01'!C18),6)=0),(((14-'V06 Calend 01'!C18)/6)&lt;='V06 Calend 01'!E18)),IF((14=('V06 Calend 01'!C18+(6*'V06 Calend 01'!E18))),('V06 Calend 01'!H18-('V06 Calend 01'!I18*('V06 Calend 01'!E18-1))),'V06 Calend 01'!I18),0))+IF((14='V06 Calend 01'!D18),'V06 Calend 01'!J18,0))</f>
        <v>0</v>
      </c>
      <c r="AA18" s="2">
        <f>((IF((15='V06 Calend 01'!C18),('V06 Calend 01'!F18+'V06 Calend 01'!G18),0)+IF(AND(('V06 Calend 01'!E18&gt;0),(15&gt;'V06 Calend 01'!C18),(15&lt;'V06 Calend 01'!D18),(MOD((15-'V06 Calend 01'!C18),6)=0),(((15-'V06 Calend 01'!C18)/6)&lt;='V06 Calend 01'!E18)),IF((15=('V06 Calend 01'!C18+(6*'V06 Calend 01'!E18))),('V06 Calend 01'!H18-('V06 Calend 01'!I18*('V06 Calend 01'!E18-1))),'V06 Calend 01'!I18),0))+IF((15='V06 Calend 01'!D18),'V06 Calend 01'!J18,0))</f>
        <v>0</v>
      </c>
      <c r="AB18" s="2">
        <f>((IF((16='V06 Calend 01'!C18),('V06 Calend 01'!F18+'V06 Calend 01'!G18),0)+IF(AND(('V06 Calend 01'!E18&gt;0),(16&gt;'V06 Calend 01'!C18),(16&lt;'V06 Calend 01'!D18),(MOD((16-'V06 Calend 01'!C18),6)=0),(((16-'V06 Calend 01'!C18)/6)&lt;='V06 Calend 01'!E18)),IF((16=('V06 Calend 01'!C18+(6*'V06 Calend 01'!E18))),('V06 Calend 01'!H18-('V06 Calend 01'!I18*('V06 Calend 01'!E18-1))),'V06 Calend 01'!I18),0))+IF((16='V06 Calend 01'!D18),'V06 Calend 01'!J18,0))</f>
        <v>0</v>
      </c>
      <c r="AC18" s="2">
        <f>((IF((17='V06 Calend 01'!C18),('V06 Calend 01'!F18+'V06 Calend 01'!G18),0)+IF(AND(('V06 Calend 01'!E18&gt;0),(17&gt;'V06 Calend 01'!C18),(17&lt;'V06 Calend 01'!D18),(MOD((17-'V06 Calend 01'!C18),6)=0),(((17-'V06 Calend 01'!C18)/6)&lt;='V06 Calend 01'!E18)),IF((17=('V06 Calend 01'!C18+(6*'V06 Calend 01'!E18))),('V06 Calend 01'!H18-('V06 Calend 01'!I18*('V06 Calend 01'!E18-1))),'V06 Calend 01'!I18),0))+IF((17='V06 Calend 01'!D18),'V06 Calend 01'!J18,0))</f>
        <v>0</v>
      </c>
      <c r="AD18" s="2">
        <f>((IF((18='V06 Calend 01'!C18),('V06 Calend 01'!F18+'V06 Calend 01'!G18),0)+IF(AND(('V06 Calend 01'!E18&gt;0),(18&gt;'V06 Calend 01'!C18),(18&lt;'V06 Calend 01'!D18),(MOD((18-'V06 Calend 01'!C18),6)=0),(((18-'V06 Calend 01'!C18)/6)&lt;='V06 Calend 01'!E18)),IF((18=('V06 Calend 01'!C18+(6*'V06 Calend 01'!E18))),('V06 Calend 01'!H18-('V06 Calend 01'!I18*('V06 Calend 01'!E18-1))),'V06 Calend 01'!I18),0))+IF((18='V06 Calend 01'!D18),'V06 Calend 01'!J18,0))</f>
        <v>0</v>
      </c>
      <c r="AE18" s="2">
        <f>((IF((19='V06 Calend 01'!C18),('V06 Calend 01'!F18+'V06 Calend 01'!G18),0)+IF(AND(('V06 Calend 01'!E18&gt;0),(19&gt;'V06 Calend 01'!C18),(19&lt;'V06 Calend 01'!D18),(MOD((19-'V06 Calend 01'!C18),6)=0),(((19-'V06 Calend 01'!C18)/6)&lt;='V06 Calend 01'!E18)),IF((19=('V06 Calend 01'!C18+(6*'V06 Calend 01'!E18))),('V06 Calend 01'!H18-('V06 Calend 01'!I18*('V06 Calend 01'!E18-1))),'V06 Calend 01'!I18),0))+IF((19='V06 Calend 01'!D18),'V06 Calend 01'!J18,0))</f>
        <v>47311.0</v>
      </c>
      <c r="AF18" s="2">
        <f>((IF((20='V06 Calend 01'!C18),('V06 Calend 01'!F18+'V06 Calend 01'!G18),0)+IF(AND(('V06 Calend 01'!E18&gt;0),(20&gt;'V06 Calend 01'!C18),(20&lt;'V06 Calend 01'!D18),(MOD((20-'V06 Calend 01'!C18),6)=0),(((20-'V06 Calend 01'!C18)/6)&lt;='V06 Calend 01'!E18)),IF((20=('V06 Calend 01'!C18+(6*'V06 Calend 01'!E18))),('V06 Calend 01'!H18-('V06 Calend 01'!I18*('V06 Calend 01'!E18-1))),'V06 Calend 01'!I18),0))+IF((20='V06 Calend 01'!D18),'V06 Calend 01'!J18,0))</f>
        <v>0</v>
      </c>
      <c r="AG18" s="2">
        <f>((IF((21='V06 Calend 01'!C18),('V06 Calend 01'!F18+'V06 Calend 01'!G18),0)+IF(AND(('V06 Calend 01'!E18&gt;0),(21&gt;'V06 Calend 01'!C18),(21&lt;'V06 Calend 01'!D18),(MOD((21-'V06 Calend 01'!C18),6)=0),(((21-'V06 Calend 01'!C18)/6)&lt;='V06 Calend 01'!E18)),IF((21=('V06 Calend 01'!C18+(6*'V06 Calend 01'!E18))),('V06 Calend 01'!H18-('V06 Calend 01'!I18*('V06 Calend 01'!E18-1))),'V06 Calend 01'!I18),0))+IF((21='V06 Calend 01'!D18),'V06 Calend 01'!J18,0))</f>
        <v>0</v>
      </c>
      <c r="AH18" s="2">
        <f>((IF((22='V06 Calend 01'!C18),('V06 Calend 01'!F18+'V06 Calend 01'!G18),0)+IF(AND(('V06 Calend 01'!E18&gt;0),(22&gt;'V06 Calend 01'!C18),(22&lt;'V06 Calend 01'!D18),(MOD((22-'V06 Calend 01'!C18),6)=0),(((22-'V06 Calend 01'!C18)/6)&lt;='V06 Calend 01'!E18)),IF((22=('V06 Calend 01'!C18+(6*'V06 Calend 01'!E18))),('V06 Calend 01'!H18-('V06 Calend 01'!I18*('V06 Calend 01'!E18-1))),'V06 Calend 01'!I18),0))+IF((22='V06 Calend 01'!D18),'V06 Calend 01'!J18,0))</f>
        <v>0</v>
      </c>
      <c r="AI18" s="2">
        <f>((IF((23='V06 Calend 01'!C18),('V06 Calend 01'!F18+'V06 Calend 01'!G18),0)+IF(AND(('V06 Calend 01'!E18&gt;0),(23&gt;'V06 Calend 01'!C18),(23&lt;'V06 Calend 01'!D18),(MOD((23-'V06 Calend 01'!C18),6)=0),(((23-'V06 Calend 01'!C18)/6)&lt;='V06 Calend 01'!E18)),IF((23=('V06 Calend 01'!C18+(6*'V06 Calend 01'!E18))),('V06 Calend 01'!H18-('V06 Calend 01'!I18*('V06 Calend 01'!E18-1))),'V06 Calend 01'!I18),0))+IF((23='V06 Calend 01'!D18),'V06 Calend 01'!J18,0))</f>
        <v>0</v>
      </c>
      <c r="AJ18" s="2">
        <f>((IF((24='V06 Calend 01'!C18),('V06 Calend 01'!F18+'V06 Calend 01'!G18),0)+IF(AND(('V06 Calend 01'!E18&gt;0),(24&gt;'V06 Calend 01'!C18),(24&lt;'V06 Calend 01'!D18),(MOD((24-'V06 Calend 01'!C18),6)=0),(((24-'V06 Calend 01'!C18)/6)&lt;='V06 Calend 01'!E18)),IF((24=('V06 Calend 01'!C18+(6*'V06 Calend 01'!E18))),('V06 Calend 01'!H18-('V06 Calend 01'!I18*('V06 Calend 01'!E18-1))),'V06 Calend 01'!I18),0))+IF((24='V06 Calend 01'!D18),'V06 Calend 01'!J18,0))</f>
        <v>0</v>
      </c>
      <c r="AK18" s="2">
        <f>((IF((25='V06 Calend 01'!C18),('V06 Calend 01'!F18+'V06 Calend 01'!G18),0)+IF(AND(('V06 Calend 01'!E18&gt;0),(25&gt;'V06 Calend 01'!C18),(25&lt;'V06 Calend 01'!D18),(MOD((25-'V06 Calend 01'!C18),6)=0),(((25-'V06 Calend 01'!C18)/6)&lt;='V06 Calend 01'!E18)),IF((25=('V06 Calend 01'!C18+(6*'V06 Calend 01'!E18))),('V06 Calend 01'!H18-('V06 Calend 01'!I18*('V06 Calend 01'!E18-1))),'V06 Calend 01'!I18),0))+IF((25='V06 Calend 01'!D18),'V06 Calend 01'!J18,0))</f>
        <v>47311.0</v>
      </c>
      <c r="AL18" s="2">
        <f>((IF((26='V06 Calend 01'!C18),('V06 Calend 01'!F18+'V06 Calend 01'!G18),0)+IF(AND(('V06 Calend 01'!E18&gt;0),(26&gt;'V06 Calend 01'!C18),(26&lt;'V06 Calend 01'!D18),(MOD((26-'V06 Calend 01'!C18),6)=0),(((26-'V06 Calend 01'!C18)/6)&lt;='V06 Calend 01'!E18)),IF((26=('V06 Calend 01'!C18+(6*'V06 Calend 01'!E18))),('V06 Calend 01'!H18-('V06 Calend 01'!I18*('V06 Calend 01'!E18-1))),'V06 Calend 01'!I18),0))+IF((26='V06 Calend 01'!D18),'V06 Calend 01'!J18,0))</f>
        <v>0</v>
      </c>
      <c r="AM18" s="2">
        <f>((IF((27='V06 Calend 01'!C18),('V06 Calend 01'!F18+'V06 Calend 01'!G18),0)+IF(AND(('V06 Calend 01'!E18&gt;0),(27&gt;'V06 Calend 01'!C18),(27&lt;'V06 Calend 01'!D18),(MOD((27-'V06 Calend 01'!C18),6)=0),(((27-'V06 Calend 01'!C18)/6)&lt;='V06 Calend 01'!E18)),IF((27=('V06 Calend 01'!C18+(6*'V06 Calend 01'!E18))),('V06 Calend 01'!H18-('V06 Calend 01'!I18*('V06 Calend 01'!E18-1))),'V06 Calend 01'!I18),0))+IF((27='V06 Calend 01'!D18),'V06 Calend 01'!J18,0))</f>
        <v>0</v>
      </c>
      <c r="AN18" s="2">
        <f>((IF((28='V06 Calend 01'!C18),('V06 Calend 01'!F18+'V06 Calend 01'!G18),0)+IF(AND(('V06 Calend 01'!E18&gt;0),(28&gt;'V06 Calend 01'!C18),(28&lt;'V06 Calend 01'!D18),(MOD((28-'V06 Calend 01'!C18),6)=0),(((28-'V06 Calend 01'!C18)/6)&lt;='V06 Calend 01'!E18)),IF((28=('V06 Calend 01'!C18+(6*'V06 Calend 01'!E18))),('V06 Calend 01'!H18-('V06 Calend 01'!I18*('V06 Calend 01'!E18-1))),'V06 Calend 01'!I18),0))+IF((28='V06 Calend 01'!D18),'V06 Calend 01'!J18,0))</f>
        <v>0</v>
      </c>
      <c r="AO18" s="2">
        <f>((IF((29='V06 Calend 01'!C18),('V06 Calend 01'!F18+'V06 Calend 01'!G18),0)+IF(AND(('V06 Calend 01'!E18&gt;0),(29&gt;'V06 Calend 01'!C18),(29&lt;'V06 Calend 01'!D18),(MOD((29-'V06 Calend 01'!C18),6)=0),(((29-'V06 Calend 01'!C18)/6)&lt;='V06 Calend 01'!E18)),IF((29=('V06 Calend 01'!C18+(6*'V06 Calend 01'!E18))),('V06 Calend 01'!H18-('V06 Calend 01'!I18*('V06 Calend 01'!E18-1))),'V06 Calend 01'!I18),0))+IF((29='V06 Calend 01'!D18),'V06 Calend 01'!J18,0))</f>
        <v>51612.0</v>
      </c>
      <c r="AP18" s="2">
        <f>((IF((30='V06 Calend 01'!C18),('V06 Calend 01'!F18+'V06 Calend 01'!G18),0)+IF(AND(('V06 Calend 01'!E18&gt;0),(30&gt;'V06 Calend 01'!C18),(30&lt;'V06 Calend 01'!D18),(MOD((30-'V06 Calend 01'!C18),6)=0),(((30-'V06 Calend 01'!C18)/6)&lt;='V06 Calend 01'!E18)),IF((30=('V06 Calend 01'!C18+(6*'V06 Calend 01'!E18))),('V06 Calend 01'!H18-('V06 Calend 01'!I18*('V06 Calend 01'!E18-1))),'V06 Calend 01'!I18),0))+IF((30='V06 Calend 01'!D18),'V06 Calend 01'!J18,0))</f>
        <v>0</v>
      </c>
      <c r="AQ18" s="2">
        <f>((IF((31='V06 Calend 01'!C18),('V06 Calend 01'!F18+'V06 Calend 01'!G18),0)+IF(AND(('V06 Calend 01'!E18&gt;0),(31&gt;'V06 Calend 01'!C18),(31&lt;'V06 Calend 01'!D18),(MOD((31-'V06 Calend 01'!C18),6)=0),(((31-'V06 Calend 01'!C18)/6)&lt;='V06 Calend 01'!E18)),IF((31=('V06 Calend 01'!C18+(6*'V06 Calend 01'!E18))),('V06 Calend 01'!H18-('V06 Calend 01'!I18*('V06 Calend 01'!E18-1))),'V06 Calend 01'!I18),0))+IF((31='V06 Calend 01'!D18),'V06 Calend 01'!J18,0))</f>
        <v>0</v>
      </c>
      <c r="AR18" s="2">
        <f>((IF((32='V06 Calend 01'!C18),('V06 Calend 01'!F18+'V06 Calend 01'!G18),0)+IF(AND(('V06 Calend 01'!E18&gt;0),(32&gt;'V06 Calend 01'!C18),(32&lt;'V06 Calend 01'!D18),(MOD((32-'V06 Calend 01'!C18),6)=0),(((32-'V06 Calend 01'!C18)/6)&lt;='V06 Calend 01'!E18)),IF((32=('V06 Calend 01'!C18+(6*'V06 Calend 01'!E18))),('V06 Calend 01'!H18-('V06 Calend 01'!I18*('V06 Calend 01'!E18-1))),'V06 Calend 01'!I18),0))+IF((32='V06 Calend 01'!D18),'V06 Calend 01'!J18,0))</f>
        <v>0</v>
      </c>
      <c r="AS18" s="2">
        <f>((IF((33='V06 Calend 01'!C18),('V06 Calend 01'!F18+'V06 Calend 01'!G18),0)+IF(AND(('V06 Calend 01'!E18&gt;0),(33&gt;'V06 Calend 01'!C18),(33&lt;'V06 Calend 01'!D18),(MOD((33-'V06 Calend 01'!C18),6)=0),(((33-'V06 Calend 01'!C18)/6)&lt;='V06 Calend 01'!E18)),IF((33=('V06 Calend 01'!C18+(6*'V06 Calend 01'!E18))),('V06 Calend 01'!H18-('V06 Calend 01'!I18*('V06 Calend 01'!E18-1))),'V06 Calend 01'!I18),0))+IF((33='V06 Calend 01'!D18),'V06 Calend 01'!J18,0))</f>
        <v>0</v>
      </c>
      <c r="AT18" s="2">
        <f>((IF((34='V06 Calend 01'!C18),('V06 Calend 01'!F18+'V06 Calend 01'!G18),0)+IF(AND(('V06 Calend 01'!E18&gt;0),(34&gt;'V06 Calend 01'!C18),(34&lt;'V06 Calend 01'!D18),(MOD((34-'V06 Calend 01'!C18),6)=0),(((34-'V06 Calend 01'!C18)/6)&lt;='V06 Calend 01'!E18)),IF((34=('V06 Calend 01'!C18+(6*'V06 Calend 01'!E18))),('V06 Calend 01'!H18-('V06 Calend 01'!I18*('V06 Calend 01'!E18-1))),'V06 Calend 01'!I18),0))+IF((34='V06 Calend 01'!D18),'V06 Calend 01'!J18,0))</f>
        <v>0</v>
      </c>
      <c r="AU18" s="2">
        <f>((IF((35='V06 Calend 01'!C18),('V06 Calend 01'!F18+'V06 Calend 01'!G18),0)+IF(AND(('V06 Calend 01'!E18&gt;0),(35&gt;'V06 Calend 01'!C18),(35&lt;'V06 Calend 01'!D18),(MOD((35-'V06 Calend 01'!C18),6)=0),(((35-'V06 Calend 01'!C18)/6)&lt;='V06 Calend 01'!E18)),IF((35=('V06 Calend 01'!C18+(6*'V06 Calend 01'!E18))),('V06 Calend 01'!H18-('V06 Calend 01'!I18*('V06 Calend 01'!E18-1))),'V06 Calend 01'!I18),0))+IF((35='V06 Calend 01'!D18),'V06 Calend 01'!J18,0))</f>
        <v>0</v>
      </c>
      <c r="AV18" s="2">
        <f>((IF((36='V06 Calend 01'!C18),('V06 Calend 01'!F18+'V06 Calend 01'!G18),0)+IF(AND(('V06 Calend 01'!E18&gt;0),(36&gt;'V06 Calend 01'!C18),(36&lt;'V06 Calend 01'!D18),(MOD((36-'V06 Calend 01'!C18),6)=0),(((36-'V06 Calend 01'!C18)/6)&lt;='V06 Calend 01'!E18)),IF((36=('V06 Calend 01'!C18+(6*'V06 Calend 01'!E18))),('V06 Calend 01'!H18-('V06 Calend 01'!I18*('V06 Calend 01'!E18-1))),'V06 Calend 01'!I18),0))+IF((36='V06 Calend 01'!D18),'V06 Calend 01'!J18,0))</f>
        <v>0</v>
      </c>
      <c r="AW18" s="2">
        <f>((IF((37='V06 Calend 01'!C18),('V06 Calend 01'!F18+'V06 Calend 01'!G18),0)+IF(AND(('V06 Calend 01'!E18&gt;0),(37&gt;'V06 Calend 01'!C18),(37&lt;'V06 Calend 01'!D18),(MOD((37-'V06 Calend 01'!C18),6)=0),(((37-'V06 Calend 01'!C18)/6)&lt;='V06 Calend 01'!E18)),IF((37=('V06 Calend 01'!C18+(6*'V06 Calend 01'!E18))),('V06 Calend 01'!H18-('V06 Calend 01'!I18*('V06 Calend 01'!E18-1))),'V06 Calend 01'!I18),0))+IF((37='V06 Calend 01'!D18),'V06 Calend 01'!J18,0))</f>
        <v>0</v>
      </c>
      <c r="AX18" s="2">
        <f>((IF((38='V06 Calend 01'!C18),('V06 Calend 01'!F18+'V06 Calend 01'!G18),0)+IF(AND(('V06 Calend 01'!E18&gt;0),(38&gt;'V06 Calend 01'!C18),(38&lt;'V06 Calend 01'!D18),(MOD((38-'V06 Calend 01'!C18),6)=0),(((38-'V06 Calend 01'!C18)/6)&lt;='V06 Calend 01'!E18)),IF((38=('V06 Calend 01'!C18+(6*'V06 Calend 01'!E18))),('V06 Calend 01'!H18-('V06 Calend 01'!I18*('V06 Calend 01'!E18-1))),'V06 Calend 01'!I18),0))+IF((38='V06 Calend 01'!D18),'V06 Calend 01'!J18,0))</f>
        <v>0</v>
      </c>
      <c r="AY18" s="2">
        <f>((IF((39='V06 Calend 01'!C18),('V06 Calend 01'!F18+'V06 Calend 01'!G18),0)+IF(AND(('V06 Calend 01'!E18&gt;0),(39&gt;'V06 Calend 01'!C18),(39&lt;'V06 Calend 01'!D18),(MOD((39-'V06 Calend 01'!C18),6)=0),(((39-'V06 Calend 01'!C18)/6)&lt;='V06 Calend 01'!E18)),IF((39=('V06 Calend 01'!C18+(6*'V06 Calend 01'!E18))),('V06 Calend 01'!H18-('V06 Calend 01'!I18*('V06 Calend 01'!E18-1))),'V06 Calend 01'!I18),0))+IF((39='V06 Calend 01'!D18),'V06 Calend 01'!J18,0))</f>
        <v>0</v>
      </c>
      <c r="AZ18" s="2">
        <f>((IF((40='V06 Calend 01'!C18),('V06 Calend 01'!F18+'V06 Calend 01'!G18),0)+IF(AND(('V06 Calend 01'!E18&gt;0),(40&gt;'V06 Calend 01'!C18),(40&lt;'V06 Calend 01'!D18),(MOD((40-'V06 Calend 01'!C18),6)=0),(((40-'V06 Calend 01'!C18)/6)&lt;='V06 Calend 01'!E18)),IF((40=('V06 Calend 01'!C18+(6*'V06 Calend 01'!E18))),('V06 Calend 01'!H18-('V06 Calend 01'!I18*('V06 Calend 01'!E18-1))),'V06 Calend 01'!I18),0))+IF((40='V06 Calend 01'!D18),'V06 Calend 01'!J18,0))</f>
        <v>0</v>
      </c>
      <c r="BA18" s="2">
        <f>((IF((41='V06 Calend 01'!C18),('V06 Calend 01'!F18+'V06 Calend 01'!G18),0)+IF(AND(('V06 Calend 01'!E18&gt;0),(41&gt;'V06 Calend 01'!C18),(41&lt;'V06 Calend 01'!D18),(MOD((41-'V06 Calend 01'!C18),6)=0),(((41-'V06 Calend 01'!C18)/6)&lt;='V06 Calend 01'!E18)),IF((41=('V06 Calend 01'!C18+(6*'V06 Calend 01'!E18))),('V06 Calend 01'!H18-('V06 Calend 01'!I18*('V06 Calend 01'!E18-1))),'V06 Calend 01'!I18),0))+IF((41='V06 Calend 01'!D18),'V06 Calend 01'!J18,0))</f>
        <v>0</v>
      </c>
      <c r="BB18" s="2">
        <f>((IF((42='V06 Calend 01'!C18),('V06 Calend 01'!F18+'V06 Calend 01'!G18),0)+IF(AND(('V06 Calend 01'!E18&gt;0),(42&gt;'V06 Calend 01'!C18),(42&lt;'V06 Calend 01'!D18),(MOD((42-'V06 Calend 01'!C18),6)=0),(((42-'V06 Calend 01'!C18)/6)&lt;='V06 Calend 01'!E18)),IF((42=('V06 Calend 01'!C18+(6*'V06 Calend 01'!E18))),('V06 Calend 01'!H18-('V06 Calend 01'!I18*('V06 Calend 01'!E18-1))),'V06 Calend 01'!I18),0))+IF((42='V06 Calend 01'!D18),'V06 Calend 01'!J18,0))</f>
        <v>0</v>
      </c>
      <c r="BC18" s="2">
        <f>((IF((43='V06 Calend 01'!C18),('V06 Calend 01'!F18+'V06 Calend 01'!G18),0)+IF(AND(('V06 Calend 01'!E18&gt;0),(43&gt;'V06 Calend 01'!C18),(43&lt;'V06 Calend 01'!D18),(MOD((43-'V06 Calend 01'!C18),6)=0),(((43-'V06 Calend 01'!C18)/6)&lt;='V06 Calend 01'!E18)),IF((43=('V06 Calend 01'!C18+(6*'V06 Calend 01'!E18))),('V06 Calend 01'!H18-('V06 Calend 01'!I18*('V06 Calend 01'!E18-1))),'V06 Calend 01'!I18),0))+IF((43='V06 Calend 01'!D18),'V06 Calend 01'!J18,0))</f>
        <v>0</v>
      </c>
      <c r="BD18" s="2">
        <f>((IF((44='V06 Calend 01'!C18),('V06 Calend 01'!F18+'V06 Calend 01'!G18),0)+IF(AND(('V06 Calend 01'!E18&gt;0),(44&gt;'V06 Calend 01'!C18),(44&lt;'V06 Calend 01'!D18),(MOD((44-'V06 Calend 01'!C18),6)=0),(((44-'V06 Calend 01'!C18)/6)&lt;='V06 Calend 01'!E18)),IF((44=('V06 Calend 01'!C18+(6*'V06 Calend 01'!E18))),('V06 Calend 01'!H18-('V06 Calend 01'!I18*('V06 Calend 01'!E18-1))),'V06 Calend 01'!I18),0))+IF((44='V06 Calend 01'!D18),'V06 Calend 01'!J18,0))</f>
        <v>0</v>
      </c>
      <c r="BE18" s="2">
        <f>((IF((45='V06 Calend 01'!C18),('V06 Calend 01'!F18+'V06 Calend 01'!G18),0)+IF(AND(('V06 Calend 01'!E18&gt;0),(45&gt;'V06 Calend 01'!C18),(45&lt;'V06 Calend 01'!D18),(MOD((45-'V06 Calend 01'!C18),6)=0),(((45-'V06 Calend 01'!C18)/6)&lt;='V06 Calend 01'!E18)),IF((45=('V06 Calend 01'!C18+(6*'V06 Calend 01'!E18))),('V06 Calend 01'!H18-('V06 Calend 01'!I18*('V06 Calend 01'!E18-1))),'V06 Calend 01'!I18),0))+IF((45='V06 Calend 01'!D18),'V06 Calend 01'!J18,0))</f>
        <v>0</v>
      </c>
      <c r="BF18" s="2">
        <f>((IF((46='V06 Calend 01'!C18),('V06 Calend 01'!F18+'V06 Calend 01'!G18),0)+IF(AND(('V06 Calend 01'!E18&gt;0),(46&gt;'V06 Calend 01'!C18),(46&lt;'V06 Calend 01'!D18),(MOD((46-'V06 Calend 01'!C18),6)=0),(((46-'V06 Calend 01'!C18)/6)&lt;='V06 Calend 01'!E18)),IF((46=('V06 Calend 01'!C18+(6*'V06 Calend 01'!E18))),('V06 Calend 01'!H18-('V06 Calend 01'!I18*('V06 Calend 01'!E18-1))),'V06 Calend 01'!I18),0))+IF((46='V06 Calend 01'!D18),'V06 Calend 01'!J18,0))</f>
        <v>0</v>
      </c>
      <c r="BG18" s="2">
        <f>((IF((47='V06 Calend 01'!C18),('V06 Calend 01'!F18+'V06 Calend 01'!G18),0)+IF(AND(('V06 Calend 01'!E18&gt;0),(47&gt;'V06 Calend 01'!C18),(47&lt;'V06 Calend 01'!D18),(MOD((47-'V06 Calend 01'!C18),6)=0),(((47-'V06 Calend 01'!C18)/6)&lt;='V06 Calend 01'!E18)),IF((47=('V06 Calend 01'!C18+(6*'V06 Calend 01'!E18))),('V06 Calend 01'!H18-('V06 Calend 01'!I18*('V06 Calend 01'!E18-1))),'V06 Calend 01'!I18),0))+IF((47='V06 Calend 01'!D18),'V06 Calend 01'!J18,0))</f>
        <v>0</v>
      </c>
      <c r="BH18" s="2">
        <f>((IF((48='V06 Calend 01'!C18),('V06 Calend 01'!F18+'V06 Calend 01'!G18),0)+IF(AND(('V06 Calend 01'!E18&gt;0),(48&gt;'V06 Calend 01'!C18),(48&lt;'V06 Calend 01'!D18),(MOD((48-'V06 Calend 01'!C18),6)=0),(((48-'V06 Calend 01'!C18)/6)&lt;='V06 Calend 01'!E18)),IF((48=('V06 Calend 01'!C18+(6*'V06 Calend 01'!E18))),('V06 Calend 01'!H18-('V06 Calend 01'!I18*('V06 Calend 01'!E18-1))),'V06 Calend 01'!I18),0))+IF((48='V06 Calend 01'!D18),'V06 Calend 01'!J18,0))</f>
        <v>0</v>
      </c>
      <c r="BI18" s="2">
        <f>((IF((49='V06 Calend 01'!C18),('V06 Calend 01'!F18+'V06 Calend 01'!G18),0)+IF(AND(('V06 Calend 01'!E18&gt;0),(49&gt;'V06 Calend 01'!C18),(49&lt;'V06 Calend 01'!D18),(MOD((49-'V06 Calend 01'!C18),6)=0),(((49-'V06 Calend 01'!C18)/6)&lt;='V06 Calend 01'!E18)),IF((49=('V06 Calend 01'!C18+(6*'V06 Calend 01'!E18))),('V06 Calend 01'!H18-('V06 Calend 01'!I18*('V06 Calend 01'!E18-1))),'V06 Calend 01'!I18),0))+IF((49='V06 Calend 01'!D18),'V06 Calend 01'!J18,0))</f>
        <v>0</v>
      </c>
      <c r="BJ18" s="2">
        <f>((IF((50='V06 Calend 01'!C18),('V06 Calend 01'!F18+'V06 Calend 01'!G18),0)+IF(AND(('V06 Calend 01'!E18&gt;0),(50&gt;'V06 Calend 01'!C18),(50&lt;'V06 Calend 01'!D18),(MOD((50-'V06 Calend 01'!C18),6)=0),(((50-'V06 Calend 01'!C18)/6)&lt;='V06 Calend 01'!E18)),IF((50=('V06 Calend 01'!C18+(6*'V06 Calend 01'!E18))),('V06 Calend 01'!H18-('V06 Calend 01'!I18*('V06 Calend 01'!E18-1))),'V06 Calend 01'!I18),0))+IF((50='V06 Calend 01'!D18),'V06 Calend 01'!J18,0))</f>
        <v>0</v>
      </c>
      <c r="BK18" s="2">
        <f>((IF((51='V06 Calend 01'!C18),('V06 Calend 01'!F18+'V06 Calend 01'!G18),0)+IF(AND(('V06 Calend 01'!E18&gt;0),(51&gt;'V06 Calend 01'!C18),(51&lt;'V06 Calend 01'!D18),(MOD((51-'V06 Calend 01'!C18),6)=0),(((51-'V06 Calend 01'!C18)/6)&lt;='V06 Calend 01'!E18)),IF((51=('V06 Calend 01'!C18+(6*'V06 Calend 01'!E18))),('V06 Calend 01'!H18-('V06 Calend 01'!I18*('V06 Calend 01'!E18-1))),'V06 Calend 01'!I18),0))+IF((51='V06 Calend 01'!D18),'V06 Calend 01'!J18,0))</f>
        <v>0</v>
      </c>
      <c r="BL18" s="2">
        <f>((IF((52='V06 Calend 01'!C18),('V06 Calend 01'!F18+'V06 Calend 01'!G18),0)+IF(AND(('V06 Calend 01'!E18&gt;0),(52&gt;'V06 Calend 01'!C18),(52&lt;'V06 Calend 01'!D18),(MOD((52-'V06 Calend 01'!C18),6)=0),(((52-'V06 Calend 01'!C18)/6)&lt;='V06 Calend 01'!E18)),IF((52=('V06 Calend 01'!C18+(6*'V06 Calend 01'!E18))),('V06 Calend 01'!H18-('V06 Calend 01'!I18*('V06 Calend 01'!E18-1))),'V06 Calend 01'!I18),0))+IF((52='V06 Calend 01'!D18),'V06 Calend 01'!J18,0))</f>
        <v>0</v>
      </c>
      <c r="BM18" s="2">
        <f>((IF((53='V06 Calend 01'!C18),('V06 Calend 01'!F18+'V06 Calend 01'!G18),0)+IF(AND(('V06 Calend 01'!E18&gt;0),(53&gt;'V06 Calend 01'!C18),(53&lt;'V06 Calend 01'!D18),(MOD((53-'V06 Calend 01'!C18),6)=0),(((53-'V06 Calend 01'!C18)/6)&lt;='V06 Calend 01'!E18)),IF((53=('V06 Calend 01'!C18+(6*'V06 Calend 01'!E18))),('V06 Calend 01'!H18-('V06 Calend 01'!I18*('V06 Calend 01'!E18-1))),'V06 Calend 01'!I18),0))+IF((53='V06 Calend 01'!D18),'V06 Calend 01'!J18,0))</f>
        <v>0</v>
      </c>
      <c r="BN18" s="2">
        <f>((IF((54='V06 Calend 01'!C18),('V06 Calend 01'!F18+'V06 Calend 01'!G18),0)+IF(AND(('V06 Calend 01'!E18&gt;0),(54&gt;'V06 Calend 01'!C18),(54&lt;'V06 Calend 01'!D18),(MOD((54-'V06 Calend 01'!C18),6)=0),(((54-'V06 Calend 01'!C18)/6)&lt;='V06 Calend 01'!E18)),IF((54=('V06 Calend 01'!C18+(6*'V06 Calend 01'!E18))),('V06 Calend 01'!H18-('V06 Calend 01'!I18*('V06 Calend 01'!E18-1))),'V06 Calend 01'!I18),0))+IF((54='V06 Calend 01'!D18),'V06 Calend 01'!J18,0))</f>
        <v>0</v>
      </c>
      <c r="BO18" s="2">
        <f>((IF((55='V06 Calend 01'!C18),('V06 Calend 01'!F18+'V06 Calend 01'!G18),0)+IF(AND(('V06 Calend 01'!E18&gt;0),(55&gt;'V06 Calend 01'!C18),(55&lt;'V06 Calend 01'!D18),(MOD((55-'V06 Calend 01'!C18),6)=0),(((55-'V06 Calend 01'!C18)/6)&lt;='V06 Calend 01'!E18)),IF((55=('V06 Calend 01'!C18+(6*'V06 Calend 01'!E18))),('V06 Calend 01'!H18-('V06 Calend 01'!I18*('V06 Calend 01'!E18-1))),'V06 Calend 01'!I18),0))+IF((55='V06 Calend 01'!D18),'V06 Calend 01'!J18,0))</f>
        <v>0</v>
      </c>
      <c r="BP18" s="2">
        <f>((IF((56='V06 Calend 01'!C18),('V06 Calend 01'!F18+'V06 Calend 01'!G18),0)+IF(AND(('V06 Calend 01'!E18&gt;0),(56&gt;'V06 Calend 01'!C18),(56&lt;'V06 Calend 01'!D18),(MOD((56-'V06 Calend 01'!C18),6)=0),(((56-'V06 Calend 01'!C18)/6)&lt;='V06 Calend 01'!E18)),IF((56=('V06 Calend 01'!C18+(6*'V06 Calend 01'!E18))),('V06 Calend 01'!H18-('V06 Calend 01'!I18*('V06 Calend 01'!E18-1))),'V06 Calend 01'!I18),0))+IF((56='V06 Calend 01'!D18),'V06 Calend 01'!J18,0))</f>
        <v>0</v>
      </c>
      <c r="BQ18" s="2">
        <f>((IF((57='V06 Calend 01'!C18),('V06 Calend 01'!F18+'V06 Calend 01'!G18),0)+IF(AND(('V06 Calend 01'!E18&gt;0),(57&gt;'V06 Calend 01'!C18),(57&lt;'V06 Calend 01'!D18),(MOD((57-'V06 Calend 01'!C18),6)=0),(((57-'V06 Calend 01'!C18)/6)&lt;='V06 Calend 01'!E18)),IF((57=('V06 Calend 01'!C18+(6*'V06 Calend 01'!E18))),('V06 Calend 01'!H18-('V06 Calend 01'!I18*('V06 Calend 01'!E18-1))),'V06 Calend 01'!I18),0))+IF((57='V06 Calend 01'!D18),'V06 Calend 01'!J18,0))</f>
        <v>0</v>
      </c>
      <c r="BR18" s="2">
        <f>((IF((58='V06 Calend 01'!C18),('V06 Calend 01'!F18+'V06 Calend 01'!G18),0)+IF(AND(('V06 Calend 01'!E18&gt;0),(58&gt;'V06 Calend 01'!C18),(58&lt;'V06 Calend 01'!D18),(MOD((58-'V06 Calend 01'!C18),6)=0),(((58-'V06 Calend 01'!C18)/6)&lt;='V06 Calend 01'!E18)),IF((58=('V06 Calend 01'!C18+(6*'V06 Calend 01'!E18))),('V06 Calend 01'!H18-('V06 Calend 01'!I18*('V06 Calend 01'!E18-1))),'V06 Calend 01'!I18),0))+IF((58='V06 Calend 01'!D18),'V06 Calend 01'!J18,0))</f>
        <v>0</v>
      </c>
      <c r="BS18" s="2">
        <f>((IF((59='V06 Calend 01'!C18),('V06 Calend 01'!F18+'V06 Calend 01'!G18),0)+IF(AND(('V06 Calend 01'!E18&gt;0),(59&gt;'V06 Calend 01'!C18),(59&lt;'V06 Calend 01'!D18),(MOD((59-'V06 Calend 01'!C18),6)=0),(((59-'V06 Calend 01'!C18)/6)&lt;='V06 Calend 01'!E18)),IF((59=('V06 Calend 01'!C18+(6*'V06 Calend 01'!E18))),('V06 Calend 01'!H18-('V06 Calend 01'!I18*('V06 Calend 01'!E18-1))),'V06 Calend 01'!I18),0))+IF((59='V06 Calend 01'!D18),'V06 Calend 01'!J18,0))</f>
        <v>0</v>
      </c>
      <c r="BT18" s="2">
        <f>((IF((60='V06 Calend 01'!C18),('V06 Calend 01'!F18+'V06 Calend 01'!G18),0)+IF(AND(('V06 Calend 01'!E18&gt;0),(60&gt;'V06 Calend 01'!C18),(60&lt;'V06 Calend 01'!D18),(MOD((60-'V06 Calend 01'!C18),6)=0),(((60-'V06 Calend 01'!C18)/6)&lt;='V06 Calend 01'!E18)),IF((60=('V06 Calend 01'!C18+(6*'V06 Calend 01'!E18))),('V06 Calend 01'!H18-('V06 Calend 01'!I18*('V06 Calend 01'!E18-1))),'V06 Calend 01'!I18),0))+IF((60='V06 Calend 01'!D18),'V06 Calend 01'!J18,0))</f>
        <v>0</v>
      </c>
      <c r="BU18" s="2">
        <f>((IF((61='V06 Calend 01'!C18),('V06 Calend 01'!F18+'V06 Calend 01'!G18),0)+IF(AND(('V06 Calend 01'!E18&gt;0),(61&gt;'V06 Calend 01'!C18),(61&lt;'V06 Calend 01'!D18),(MOD((61-'V06 Calend 01'!C18),6)=0),(((61-'V06 Calend 01'!C18)/6)&lt;='V06 Calend 01'!E18)),IF((61=('V06 Calend 01'!C18+(6*'V06 Calend 01'!E18))),('V06 Calend 01'!H18-('V06 Calend 01'!I18*('V06 Calend 01'!E18-1))),'V06 Calend 01'!I18),0))+IF((61='V06 Calend 01'!D18),'V06 Calend 01'!J18,0))</f>
        <v>0</v>
      </c>
      <c r="BV18" s="2">
        <f>((IF((62='V06 Calend 01'!C18),('V06 Calend 01'!F18+'V06 Calend 01'!G18),0)+IF(AND(('V06 Calend 01'!E18&gt;0),(62&gt;'V06 Calend 01'!C18),(62&lt;'V06 Calend 01'!D18),(MOD((62-'V06 Calend 01'!C18),6)=0),(((62-'V06 Calend 01'!C18)/6)&lt;='V06 Calend 01'!E18)),IF((62=('V06 Calend 01'!C18+(6*'V06 Calend 01'!E18))),('V06 Calend 01'!H18-('V06 Calend 01'!I18*('V06 Calend 01'!E18-1))),'V06 Calend 01'!I18),0))+IF((62='V06 Calend 01'!D18),'V06 Calend 01'!J18,0))</f>
        <v>0</v>
      </c>
      <c r="BW18" s="2">
        <f>((IF((63='V06 Calend 01'!C18),('V06 Calend 01'!F18+'V06 Calend 01'!G18),0)+IF(AND(('V06 Calend 01'!E18&gt;0),(63&gt;'V06 Calend 01'!C18),(63&lt;'V06 Calend 01'!D18),(MOD((63-'V06 Calend 01'!C18),6)=0),(((63-'V06 Calend 01'!C18)/6)&lt;='V06 Calend 01'!E18)),IF((63=('V06 Calend 01'!C18+(6*'V06 Calend 01'!E18))),('V06 Calend 01'!H18-('V06 Calend 01'!I18*('V06 Calend 01'!E18-1))),'V06 Calend 01'!I18),0))+IF((63='V06 Calend 01'!D18),'V06 Calend 01'!J18,0))</f>
        <v>0</v>
      </c>
      <c r="BX18" s="2">
        <f>((IF((64='V06 Calend 01'!C18),('V06 Calend 01'!F18+'V06 Calend 01'!G18),0)+IF(AND(('V06 Calend 01'!E18&gt;0),(64&gt;'V06 Calend 01'!C18),(64&lt;'V06 Calend 01'!D18),(MOD((64-'V06 Calend 01'!C18),6)=0),(((64-'V06 Calend 01'!C18)/6)&lt;='V06 Calend 01'!E18)),IF((64=('V06 Calend 01'!C18+(6*'V06 Calend 01'!E18))),('V06 Calend 01'!H18-('V06 Calend 01'!I18*('V06 Calend 01'!E18-1))),'V06 Calend 01'!I18),0))+IF((64='V06 Calend 01'!D18),'V06 Calend 01'!J18,0))</f>
        <v>0</v>
      </c>
      <c r="BY18" s="2">
        <f>((IF((65='V06 Calend 01'!C18),('V06 Calend 01'!F18+'V06 Calend 01'!G18),0)+IF(AND(('V06 Calend 01'!E18&gt;0),(65&gt;'V06 Calend 01'!C18),(65&lt;'V06 Calend 01'!D18),(MOD((65-'V06 Calend 01'!C18),6)=0),(((65-'V06 Calend 01'!C18)/6)&lt;='V06 Calend 01'!E18)),IF((65=('V06 Calend 01'!C18+(6*'V06 Calend 01'!E18))),('V06 Calend 01'!H18-('V06 Calend 01'!I18*('V06 Calend 01'!E18-1))),'V06 Calend 01'!I18),0))+IF((65='V06 Calend 01'!D18),'V06 Calend 01'!J18,0))</f>
        <v>0</v>
      </c>
      <c r="BZ18" s="2">
        <f>((IF((66='V06 Calend 01'!C18),('V06 Calend 01'!F18+'V06 Calend 01'!G18),0)+IF(AND(('V06 Calend 01'!E18&gt;0),(66&gt;'V06 Calend 01'!C18),(66&lt;'V06 Calend 01'!D18),(MOD((66-'V06 Calend 01'!C18),6)=0),(((66-'V06 Calend 01'!C18)/6)&lt;='V06 Calend 01'!E18)),IF((66=('V06 Calend 01'!C18+(6*'V06 Calend 01'!E18))),('V06 Calend 01'!H18-('V06 Calend 01'!I18*('V06 Calend 01'!E18-1))),'V06 Calend 01'!I18),0))+IF((66='V06 Calend 01'!D18),'V06 Calend 01'!J18,0))</f>
        <v>0</v>
      </c>
      <c r="CA18" s="2">
        <f>((IF((67='V06 Calend 01'!C18),('V06 Calend 01'!F18+'V06 Calend 01'!G18),0)+IF(AND(('V06 Calend 01'!E18&gt;0),(67&gt;'V06 Calend 01'!C18),(67&lt;'V06 Calend 01'!D18),(MOD((67-'V06 Calend 01'!C18),6)=0),(((67-'V06 Calend 01'!C18)/6)&lt;='V06 Calend 01'!E18)),IF((67=('V06 Calend 01'!C18+(6*'V06 Calend 01'!E18))),('V06 Calend 01'!H18-('V06 Calend 01'!I18*('V06 Calend 01'!E18-1))),'V06 Calend 01'!I18),0))+IF((67='V06 Calend 01'!D18),'V06 Calend 01'!J18,0))</f>
        <v>0</v>
      </c>
      <c r="CB18" s="2">
        <f>((IF((68='V06 Calend 01'!C18),('V06 Calend 01'!F18+'V06 Calend 01'!G18),0)+IF(AND(('V06 Calend 01'!E18&gt;0),(68&gt;'V06 Calend 01'!C18),(68&lt;'V06 Calend 01'!D18),(MOD((68-'V06 Calend 01'!C18),6)=0),(((68-'V06 Calend 01'!C18)/6)&lt;='V06 Calend 01'!E18)),IF((68=('V06 Calend 01'!C18+(6*'V06 Calend 01'!E18))),('V06 Calend 01'!H18-('V06 Calend 01'!I18*('V06 Calend 01'!E18-1))),'V06 Calend 01'!I18),0))+IF((68='V06 Calend 01'!D18),'V06 Calend 01'!J18,0))</f>
        <v>0</v>
      </c>
      <c r="CC18" s="2">
        <f>((IF((69='V06 Calend 01'!C18),('V06 Calend 01'!F18+'V06 Calend 01'!G18),0)+IF(AND(('V06 Calend 01'!E18&gt;0),(69&gt;'V06 Calend 01'!C18),(69&lt;'V06 Calend 01'!D18),(MOD((69-'V06 Calend 01'!C18),6)=0),(((69-'V06 Calend 01'!C18)/6)&lt;='V06 Calend 01'!E18)),IF((69=('V06 Calend 01'!C18+(6*'V06 Calend 01'!E18))),('V06 Calend 01'!H18-('V06 Calend 01'!I18*('V06 Calend 01'!E18-1))),'V06 Calend 01'!I18),0))+IF((69='V06 Calend 01'!D18),'V06 Calend 01'!J18,0))</f>
        <v>0</v>
      </c>
      <c r="CD18" s="2">
        <f>((IF((70='V06 Calend 01'!C18),('V06 Calend 01'!F18+'V06 Calend 01'!G18),0)+IF(AND(('V06 Calend 01'!E18&gt;0),(70&gt;'V06 Calend 01'!C18),(70&lt;'V06 Calend 01'!D18),(MOD((70-'V06 Calend 01'!C18),6)=0),(((70-'V06 Calend 01'!C18)/6)&lt;='V06 Calend 01'!E18)),IF((70=('V06 Calend 01'!C18+(6*'V06 Calend 01'!E18))),('V06 Calend 01'!H18-('V06 Calend 01'!I18*('V06 Calend 01'!E18-1))),'V06 Calend 01'!I18),0))+IF((70='V06 Calend 01'!D18),'V06 Calend 01'!J18,0))</f>
        <v>0</v>
      </c>
      <c r="CE18" s="2">
        <f>((IF((71='V06 Calend 01'!C18),('V06 Calend 01'!F18+'V06 Calend 01'!G18),0)+IF(AND(('V06 Calend 01'!E18&gt;0),(71&gt;'V06 Calend 01'!C18),(71&lt;'V06 Calend 01'!D18),(MOD((71-'V06 Calend 01'!C18),6)=0),(((71-'V06 Calend 01'!C18)/6)&lt;='V06 Calend 01'!E18)),IF((71=('V06 Calend 01'!C18+(6*'V06 Calend 01'!E18))),('V06 Calend 01'!H18-('V06 Calend 01'!I18*('V06 Calend 01'!E18-1))),'V06 Calend 01'!I18),0))+IF((71='V06 Calend 01'!D18),'V06 Calend 01'!J18,0))</f>
        <v>0</v>
      </c>
      <c r="CF18" s="2">
        <f>((IF((72='V06 Calend 01'!C18),('V06 Calend 01'!F18+'V06 Calend 01'!G18),0)+IF(AND(('V06 Calend 01'!E18&gt;0),(72&gt;'V06 Calend 01'!C18),(72&lt;'V06 Calend 01'!D18),(MOD((72-'V06 Calend 01'!C18),6)=0),(((72-'V06 Calend 01'!C18)/6)&lt;='V06 Calend 01'!E18)),IF((72=('V06 Calend 01'!C18+(6*'V06 Calend 01'!E18))),('V06 Calend 01'!H18-('V06 Calend 01'!I18*('V06 Calend 01'!E18-1))),'V06 Calend 01'!I18),0))+IF((72='V06 Calend 01'!D18),'V06 Calend 01'!J18,0))</f>
        <v>0</v>
      </c>
      <c r="CG18" s="2">
        <f>((IF((73='V06 Calend 01'!C18),('V06 Calend 01'!F18+'V06 Calend 01'!G18),0)+IF(AND(('V06 Calend 01'!E18&gt;0),(73&gt;'V06 Calend 01'!C18),(73&lt;'V06 Calend 01'!D18),(MOD((73-'V06 Calend 01'!C18),6)=0),(((73-'V06 Calend 01'!C18)/6)&lt;='V06 Calend 01'!E18)),IF((73=('V06 Calend 01'!C18+(6*'V06 Calend 01'!E18))),('V06 Calend 01'!H18-('V06 Calend 01'!I18*('V06 Calend 01'!E18-1))),'V06 Calend 01'!I18),0))+IF((73='V06 Calend 01'!D18),'V06 Calend 01'!J18,0))</f>
        <v>0</v>
      </c>
      <c r="CH18" s="2">
        <f>((IF((74='V06 Calend 01'!C18),('V06 Calend 01'!F18+'V06 Calend 01'!G18),0)+IF(AND(('V06 Calend 01'!E18&gt;0),(74&gt;'V06 Calend 01'!C18),(74&lt;'V06 Calend 01'!D18),(MOD((74-'V06 Calend 01'!C18),6)=0),(((74-'V06 Calend 01'!C18)/6)&lt;='V06 Calend 01'!E18)),IF((74=('V06 Calend 01'!C18+(6*'V06 Calend 01'!E18))),('V06 Calend 01'!H18-('V06 Calend 01'!I18*('V06 Calend 01'!E18-1))),'V06 Calend 01'!I18),0))+IF((74='V06 Calend 01'!D18),'V06 Calend 01'!J18,0))</f>
        <v>0</v>
      </c>
      <c r="CI18" s="2">
        <f>((IF((75='V06 Calend 01'!C18),('V06 Calend 01'!F18+'V06 Calend 01'!G18),0)+IF(AND(('V06 Calend 01'!E18&gt;0),(75&gt;'V06 Calend 01'!C18),(75&lt;'V06 Calend 01'!D18),(MOD((75-'V06 Calend 01'!C18),6)=0),(((75-'V06 Calend 01'!C18)/6)&lt;='V06 Calend 01'!E18)),IF((75=('V06 Calend 01'!C18+(6*'V06 Calend 01'!E18))),('V06 Calend 01'!H18-('V06 Calend 01'!I18*('V06 Calend 01'!E18-1))),'V06 Calend 01'!I18),0))+IF((75='V06 Calend 01'!D18),'V06 Calend 01'!J18,0))</f>
        <v>0</v>
      </c>
      <c r="CJ18" s="2">
        <f>((IF((76='V06 Calend 01'!C18),('V06 Calend 01'!F18+'V06 Calend 01'!G18),0)+IF(AND(('V06 Calend 01'!E18&gt;0),(76&gt;'V06 Calend 01'!C18),(76&lt;'V06 Calend 01'!D18),(MOD((76-'V06 Calend 01'!C18),6)=0),(((76-'V06 Calend 01'!C18)/6)&lt;='V06 Calend 01'!E18)),IF((76=('V06 Calend 01'!C18+(6*'V06 Calend 01'!E18))),('V06 Calend 01'!H18-('V06 Calend 01'!I18*('V06 Calend 01'!E18-1))),'V06 Calend 01'!I18),0))+IF((76='V06 Calend 01'!D18),'V06 Calend 01'!J18,0))</f>
        <v>0</v>
      </c>
      <c r="CK18" s="2">
        <f>((IF((77='V06 Calend 01'!C18),('V06 Calend 01'!F18+'V06 Calend 01'!G18),0)+IF(AND(('V06 Calend 01'!E18&gt;0),(77&gt;'V06 Calend 01'!C18),(77&lt;'V06 Calend 01'!D18),(MOD((77-'V06 Calend 01'!C18),6)=0),(((77-'V06 Calend 01'!C18)/6)&lt;='V06 Calend 01'!E18)),IF((77=('V06 Calend 01'!C18+(6*'V06 Calend 01'!E18))),('V06 Calend 01'!H18-('V06 Calend 01'!I18*('V06 Calend 01'!E18-1))),'V06 Calend 01'!I18),0))+IF((77='V06 Calend 01'!D18),'V06 Calend 01'!J18,0))</f>
        <v>0</v>
      </c>
      <c r="CL18" s="2">
        <f>((IF((78='V06 Calend 01'!C18),('V06 Calend 01'!F18+'V06 Calend 01'!G18),0)+IF(AND(('V06 Calend 01'!E18&gt;0),(78&gt;'V06 Calend 01'!C18),(78&lt;'V06 Calend 01'!D18),(MOD((78-'V06 Calend 01'!C18),6)=0),(((78-'V06 Calend 01'!C18)/6)&lt;='V06 Calend 01'!E18)),IF((78=('V06 Calend 01'!C18+(6*'V06 Calend 01'!E18))),('V06 Calend 01'!H18-('V06 Calend 01'!I18*('V06 Calend 01'!E18-1))),'V06 Calend 01'!I18),0))+IF((78='V06 Calend 01'!D18),'V06 Calend 01'!J18,0))</f>
        <v>0</v>
      </c>
      <c r="CM18" s="2">
        <f>((IF((79='V06 Calend 01'!C18),('V06 Calend 01'!F18+'V06 Calend 01'!G18),0)+IF(AND(('V06 Calend 01'!E18&gt;0),(79&gt;'V06 Calend 01'!C18),(79&lt;'V06 Calend 01'!D18),(MOD((79-'V06 Calend 01'!C18),6)=0),(((79-'V06 Calend 01'!C18)/6)&lt;='V06 Calend 01'!E18)),IF((79=('V06 Calend 01'!C18+(6*'V06 Calend 01'!E18))),('V06 Calend 01'!H18-('V06 Calend 01'!I18*('V06 Calend 01'!E18-1))),'V06 Calend 01'!I18),0))+IF((79='V06 Calend 01'!D18),'V06 Calend 01'!J18,0))</f>
        <v>0</v>
      </c>
      <c r="CN18" s="2">
        <f>((IF((80='V06 Calend 01'!C18),('V06 Calend 01'!F18+'V06 Calend 01'!G18),0)+IF(AND(('V06 Calend 01'!E18&gt;0),(80&gt;'V06 Calend 01'!C18),(80&lt;'V06 Calend 01'!D18),(MOD((80-'V06 Calend 01'!C18),6)=0),(((80-'V06 Calend 01'!C18)/6)&lt;='V06 Calend 01'!E18)),IF((80=('V06 Calend 01'!C18+(6*'V06 Calend 01'!E18))),('V06 Calend 01'!H18-('V06 Calend 01'!I18*('V06 Calend 01'!E18-1))),'V06 Calend 01'!I18),0))+IF((80='V06 Calend 01'!D18),'V06 Calend 01'!J18,0))</f>
        <v>0</v>
      </c>
      <c r="CO18" s="2">
        <f>((IF((81='V06 Calend 01'!C18),('V06 Calend 01'!F18+'V06 Calend 01'!G18),0)+IF(AND(('V06 Calend 01'!E18&gt;0),(81&gt;'V06 Calend 01'!C18),(81&lt;'V06 Calend 01'!D18),(MOD((81-'V06 Calend 01'!C18),6)=0),(((81-'V06 Calend 01'!C18)/6)&lt;='V06 Calend 01'!E18)),IF((81=('V06 Calend 01'!C18+(6*'V06 Calend 01'!E18))),('V06 Calend 01'!H18-('V06 Calend 01'!I18*('V06 Calend 01'!E18-1))),'V06 Calend 01'!I18),0))+IF((81='V06 Calend 01'!D18),'V06 Calend 01'!J18,0))</f>
        <v>0</v>
      </c>
      <c r="CP18" s="2">
        <f>((IF((82='V06 Calend 01'!C18),('V06 Calend 01'!F18+'V06 Calend 01'!G18),0)+IF(AND(('V06 Calend 01'!E18&gt;0),(82&gt;'V06 Calend 01'!C18),(82&lt;'V06 Calend 01'!D18),(MOD((82-'V06 Calend 01'!C18),6)=0),(((82-'V06 Calend 01'!C18)/6)&lt;='V06 Calend 01'!E18)),IF((82=('V06 Calend 01'!C18+(6*'V06 Calend 01'!E18))),('V06 Calend 01'!H18-('V06 Calend 01'!I18*('V06 Calend 01'!E18-1))),'V06 Calend 01'!I18),0))+IF((82='V06 Calend 01'!D18),'V06 Calend 01'!J18,0))</f>
        <v>0</v>
      </c>
      <c r="CQ18" s="2">
        <f>((IF((83='V06 Calend 01'!C18),('V06 Calend 01'!F18+'V06 Calend 01'!G18),0)+IF(AND(('V06 Calend 01'!E18&gt;0),(83&gt;'V06 Calend 01'!C18),(83&lt;'V06 Calend 01'!D18),(MOD((83-'V06 Calend 01'!C18),6)=0),(((83-'V06 Calend 01'!C18)/6)&lt;='V06 Calend 01'!E18)),IF((83=('V06 Calend 01'!C18+(6*'V06 Calend 01'!E18))),('V06 Calend 01'!H18-('V06 Calend 01'!I18*('V06 Calend 01'!E18-1))),'V06 Calend 01'!I18),0))+IF((83='V06 Calend 01'!D18),'V06 Calend 01'!J18,0))</f>
        <v>0</v>
      </c>
      <c r="CR18" s="2">
        <f>((IF((84='V06 Calend 01'!C18),('V06 Calend 01'!F18+'V06 Calend 01'!G18),0)+IF(AND(('V06 Calend 01'!E18&gt;0),(84&gt;'V06 Calend 01'!C18),(84&lt;'V06 Calend 01'!D18),(MOD((84-'V06 Calend 01'!C18),6)=0),(((84-'V06 Calend 01'!C18)/6)&lt;='V06 Calend 01'!E18)),IF((84=('V06 Calend 01'!C18+(6*'V06 Calend 01'!E18))),('V06 Calend 01'!H18-('V06 Calend 01'!I18*('V06 Calend 01'!E18-1))),'V06 Calend 01'!I18),0))+IF((84='V06 Calend 01'!D18),'V06 Calend 01'!J18,0))</f>
        <v>0</v>
      </c>
      <c r="CS18" s="2">
        <f>((IF((85='V06 Calend 01'!C18),('V06 Calend 01'!F18+'V06 Calend 01'!G18),0)+IF(AND(('V06 Calend 01'!E18&gt;0),(85&gt;'V06 Calend 01'!C18),(85&lt;'V06 Calend 01'!D18),(MOD((85-'V06 Calend 01'!C18),6)=0),(((85-'V06 Calend 01'!C18)/6)&lt;='V06 Calend 01'!E18)),IF((85=('V06 Calend 01'!C18+(6*'V06 Calend 01'!E18))),('V06 Calend 01'!H18-('V06 Calend 01'!I18*('V06 Calend 01'!E18-1))),'V06 Calend 01'!I18),0))+IF((85='V06 Calend 01'!D18),'V06 Calend 01'!J18,0))</f>
        <v>0</v>
      </c>
      <c r="CT18" s="2">
        <f>((IF((86='V06 Calend 01'!C18),('V06 Calend 01'!F18+'V06 Calend 01'!G18),0)+IF(AND(('V06 Calend 01'!E18&gt;0),(86&gt;'V06 Calend 01'!C18),(86&lt;'V06 Calend 01'!D18),(MOD((86-'V06 Calend 01'!C18),6)=0),(((86-'V06 Calend 01'!C18)/6)&lt;='V06 Calend 01'!E18)),IF((86=('V06 Calend 01'!C18+(6*'V06 Calend 01'!E18))),('V06 Calend 01'!H18-('V06 Calend 01'!I18*('V06 Calend 01'!E18-1))),'V06 Calend 01'!I18),0))+IF((86='V06 Calend 01'!D18),'V06 Calend 01'!J18,0))</f>
        <v>0</v>
      </c>
      <c r="CU18" s="2">
        <f>((IF((87='V06 Calend 01'!C18),('V06 Calend 01'!F18+'V06 Calend 01'!G18),0)+IF(AND(('V06 Calend 01'!E18&gt;0),(87&gt;'V06 Calend 01'!C18),(87&lt;'V06 Calend 01'!D18),(MOD((87-'V06 Calend 01'!C18),6)=0),(((87-'V06 Calend 01'!C18)/6)&lt;='V06 Calend 01'!E18)),IF((87=('V06 Calend 01'!C18+(6*'V06 Calend 01'!E18))),('V06 Calend 01'!H18-('V06 Calend 01'!I18*('V06 Calend 01'!E18-1))),'V06 Calend 01'!I18),0))+IF((87='V06 Calend 01'!D18),'V06 Calend 01'!J18,0))</f>
        <v>0</v>
      </c>
      <c r="CV18" s="2">
        <f>((IF((88='V06 Calend 01'!C18),('V06 Calend 01'!F18+'V06 Calend 01'!G18),0)+IF(AND(('V06 Calend 01'!E18&gt;0),(88&gt;'V06 Calend 01'!C18),(88&lt;'V06 Calend 01'!D18),(MOD((88-'V06 Calend 01'!C18),6)=0),(((88-'V06 Calend 01'!C18)/6)&lt;='V06 Calend 01'!E18)),IF((88=('V06 Calend 01'!C18+(6*'V06 Calend 01'!E18))),('V06 Calend 01'!H18-('V06 Calend 01'!I18*('V06 Calend 01'!E18-1))),'V06 Calend 01'!I18),0))+IF((88='V06 Calend 01'!D18),'V06 Calend 01'!J18,0))</f>
        <v>0</v>
      </c>
      <c r="CW18" s="2">
        <f>((IF((89='V06 Calend 01'!C18),('V06 Calend 01'!F18+'V06 Calend 01'!G18),0)+IF(AND(('V06 Calend 01'!E18&gt;0),(89&gt;'V06 Calend 01'!C18),(89&lt;'V06 Calend 01'!D18),(MOD((89-'V06 Calend 01'!C18),6)=0),(((89-'V06 Calend 01'!C18)/6)&lt;='V06 Calend 01'!E18)),IF((89=('V06 Calend 01'!C18+(6*'V06 Calend 01'!E18))),('V06 Calend 01'!H18-('V06 Calend 01'!I18*('V06 Calend 01'!E18-1))),'V06 Calend 01'!I18),0))+IF((89='V06 Calend 01'!D18),'V06 Calend 01'!J18,0))</f>
        <v>0</v>
      </c>
      <c r="CX18" s="2">
        <f>((IF((90='V06 Calend 01'!C18),('V06 Calend 01'!F18+'V06 Calend 01'!G18),0)+IF(AND(('V06 Calend 01'!E18&gt;0),(90&gt;'V06 Calend 01'!C18),(90&lt;'V06 Calend 01'!D18),(MOD((90-'V06 Calend 01'!C18),6)=0),(((90-'V06 Calend 01'!C18)/6)&lt;='V06 Calend 01'!E18)),IF((90=('V06 Calend 01'!C18+(6*'V06 Calend 01'!E18))),('V06 Calend 01'!H18-('V06 Calend 01'!I18*('V06 Calend 01'!E18-1))),'V06 Calend 01'!I18),0))+IF((90='V06 Calend 01'!D18),'V06 Calend 01'!J18,0))</f>
        <v>0</v>
      </c>
      <c r="CY18" s="2">
        <f>((IF((91='V06 Calend 01'!C18),('V06 Calend 01'!F18+'V06 Calend 01'!G18),0)+IF(AND(('V06 Calend 01'!E18&gt;0),(91&gt;'V06 Calend 01'!C18),(91&lt;'V06 Calend 01'!D18),(MOD((91-'V06 Calend 01'!C18),6)=0),(((91-'V06 Calend 01'!C18)/6)&lt;='V06 Calend 01'!E18)),IF((91=('V06 Calend 01'!C18+(6*'V06 Calend 01'!E18))),('V06 Calend 01'!H18-('V06 Calend 01'!I18*('V06 Calend 01'!E18-1))),'V06 Calend 01'!I18),0))+IF((91='V06 Calend 01'!D18),'V06 Calend 01'!J18,0))</f>
        <v>0</v>
      </c>
      <c r="CZ18" s="2">
        <f>((IF((92='V06 Calend 01'!C18),('V06 Calend 01'!F18+'V06 Calend 01'!G18),0)+IF(AND(('V06 Calend 01'!E18&gt;0),(92&gt;'V06 Calend 01'!C18),(92&lt;'V06 Calend 01'!D18),(MOD((92-'V06 Calend 01'!C18),6)=0),(((92-'V06 Calend 01'!C18)/6)&lt;='V06 Calend 01'!E18)),IF((92=('V06 Calend 01'!C18+(6*'V06 Calend 01'!E18))),('V06 Calend 01'!H18-('V06 Calend 01'!I18*('V06 Calend 01'!E18-1))),'V06 Calend 01'!I18),0))+IF((92='V06 Calend 01'!D18),'V06 Calend 01'!J18,0))</f>
        <v>0</v>
      </c>
      <c r="DA18" s="2">
        <f>((IF((93='V06 Calend 01'!C18),('V06 Calend 01'!F18+'V06 Calend 01'!G18),0)+IF(AND(('V06 Calend 01'!E18&gt;0),(93&gt;'V06 Calend 01'!C18),(93&lt;'V06 Calend 01'!D18),(MOD((93-'V06 Calend 01'!C18),6)=0),(((93-'V06 Calend 01'!C18)/6)&lt;='V06 Calend 01'!E18)),IF((93=('V06 Calend 01'!C18+(6*'V06 Calend 01'!E18))),('V06 Calend 01'!H18-('V06 Calend 01'!I18*('V06 Calend 01'!E18-1))),'V06 Calend 01'!I18),0))+IF((93='V06 Calend 01'!D18),'V06 Calend 01'!J18,0))</f>
        <v>0</v>
      </c>
      <c r="DB18" s="2">
        <f>((IF((94='V06 Calend 01'!C18),('V06 Calend 01'!F18+'V06 Calend 01'!G18),0)+IF(AND(('V06 Calend 01'!E18&gt;0),(94&gt;'V06 Calend 01'!C18),(94&lt;'V06 Calend 01'!D18),(MOD((94-'V06 Calend 01'!C18),6)=0),(((94-'V06 Calend 01'!C18)/6)&lt;='V06 Calend 01'!E18)),IF((94=('V06 Calend 01'!C18+(6*'V06 Calend 01'!E18))),('V06 Calend 01'!H18-('V06 Calend 01'!I18*('V06 Calend 01'!E18-1))),'V06 Calend 01'!I18),0))+IF((94='V06 Calend 01'!D18),'V06 Calend 01'!J18,0))</f>
        <v>0</v>
      </c>
      <c r="DC18" s="2">
        <f>((IF((95='V06 Calend 01'!C18),('V06 Calend 01'!F18+'V06 Calend 01'!G18),0)+IF(AND(('V06 Calend 01'!E18&gt;0),(95&gt;'V06 Calend 01'!C18),(95&lt;'V06 Calend 01'!D18),(MOD((95-'V06 Calend 01'!C18),6)=0),(((95-'V06 Calend 01'!C18)/6)&lt;='V06 Calend 01'!E18)),IF((95=('V06 Calend 01'!C18+(6*'V06 Calend 01'!E18))),('V06 Calend 01'!H18-('V06 Calend 01'!I18*('V06 Calend 01'!E18-1))),'V06 Calend 01'!I18),0))+IF((95='V06 Calend 01'!D18),'V06 Calend 01'!J18,0))</f>
        <v>0</v>
      </c>
      <c r="DD18" s="2">
        <f>((IF((96='V06 Calend 01'!C18),('V06 Calend 01'!F18+'V06 Calend 01'!G18),0)+IF(AND(('V06 Calend 01'!E18&gt;0),(96&gt;'V06 Calend 01'!C18),(96&lt;'V06 Calend 01'!D18),(MOD((96-'V06 Calend 01'!C18),6)=0),(((96-'V06 Calend 01'!C18)/6)&lt;='V06 Calend 01'!E18)),IF((96=('V06 Calend 01'!C18+(6*'V06 Calend 01'!E18))),('V06 Calend 01'!H18-('V06 Calend 01'!I18*('V06 Calend 01'!E18-1))),'V06 Calend 01'!I18),0))+IF((96='V06 Calend 01'!D18),'V06 Calend 01'!J18,0))</f>
        <v>0</v>
      </c>
      <c r="DE18" s="2">
        <f>((IF((97='V06 Calend 01'!C18),('V06 Calend 01'!F18+'V06 Calend 01'!G18),0)+IF(AND(('V06 Calend 01'!E18&gt;0),(97&gt;'V06 Calend 01'!C18),(97&lt;'V06 Calend 01'!D18),(MOD((97-'V06 Calend 01'!C18),6)=0),(((97-'V06 Calend 01'!C18)/6)&lt;='V06 Calend 01'!E18)),IF((97=('V06 Calend 01'!C18+(6*'V06 Calend 01'!E18))),('V06 Calend 01'!H18-('V06 Calend 01'!I18*('V06 Calend 01'!E18-1))),'V06 Calend 01'!I18),0))+IF((97='V06 Calend 01'!D18),'V06 Calend 01'!J18,0))</f>
        <v>0</v>
      </c>
      <c r="DF18" s="2">
        <f>((IF((98='V06 Calend 01'!C18),('V06 Calend 01'!F18+'V06 Calend 01'!G18),0)+IF(AND(('V06 Calend 01'!E18&gt;0),(98&gt;'V06 Calend 01'!C18),(98&lt;'V06 Calend 01'!D18),(MOD((98-'V06 Calend 01'!C18),6)=0),(((98-'V06 Calend 01'!C18)/6)&lt;='V06 Calend 01'!E18)),IF((98=('V06 Calend 01'!C18+(6*'V06 Calend 01'!E18))),('V06 Calend 01'!H18-('V06 Calend 01'!I18*('V06 Calend 01'!E18-1))),'V06 Calend 01'!I18),0))+IF((98='V06 Calend 01'!D18),'V06 Calend 01'!J18,0))</f>
        <v>0</v>
      </c>
      <c r="DG18" s="2">
        <f>((IF((99='V06 Calend 01'!C18),('V06 Calend 01'!F18+'V06 Calend 01'!G18),0)+IF(AND(('V06 Calend 01'!E18&gt;0),(99&gt;'V06 Calend 01'!C18),(99&lt;'V06 Calend 01'!D18),(MOD((99-'V06 Calend 01'!C18),6)=0),(((99-'V06 Calend 01'!C18)/6)&lt;='V06 Calend 01'!E18)),IF((99=('V06 Calend 01'!C18+(6*'V06 Calend 01'!E18))),('V06 Calend 01'!H18-('V06 Calend 01'!I18*('V06 Calend 01'!E18-1))),'V06 Calend 01'!I18),0))+IF((99='V06 Calend 01'!D18),'V06 Calend 01'!J18,0))</f>
        <v>0</v>
      </c>
      <c r="DH18" s="2">
        <f>((IF((100='V06 Calend 01'!C18),('V06 Calend 01'!F18+'V06 Calend 01'!G18),0)+IF(AND(('V06 Calend 01'!E18&gt;0),(100&gt;'V06 Calend 01'!C18),(100&lt;'V06 Calend 01'!D18),(MOD((100-'V06 Calend 01'!C18),6)=0),(((100-'V06 Calend 01'!C18)/6)&lt;='V06 Calend 01'!E18)),IF((100=('V06 Calend 01'!C18+(6*'V06 Calend 01'!E18))),('V06 Calend 01'!H18-('V06 Calend 01'!I18*('V06 Calend 01'!E18-1))),'V06 Calend 01'!I18),0))+IF((100='V06 Calend 01'!D18),'V06 Calend 01'!J18,0))</f>
        <v>0</v>
      </c>
      <c r="DI18" s="2">
        <f>((IF((101='V06 Calend 01'!C18),('V06 Calend 01'!F18+'V06 Calend 01'!G18),0)+IF(AND(('V06 Calend 01'!E18&gt;0),(101&gt;'V06 Calend 01'!C18),(101&lt;'V06 Calend 01'!D18),(MOD((101-'V06 Calend 01'!C18),6)=0),(((101-'V06 Calend 01'!C18)/6)&lt;='V06 Calend 01'!E18)),IF((101=('V06 Calend 01'!C18+(6*'V06 Calend 01'!E18))),('V06 Calend 01'!H18-('V06 Calend 01'!I18*('V06 Calend 01'!E18-1))),'V06 Calend 01'!I18),0))+IF((101='V06 Calend 01'!D18),'V06 Calend 01'!J18,0))</f>
        <v>0</v>
      </c>
      <c r="DJ18" s="2">
        <f>((IF((102='V06 Calend 01'!C18),('V06 Calend 01'!F18+'V06 Calend 01'!G18),0)+IF(AND(('V06 Calend 01'!E18&gt;0),(102&gt;'V06 Calend 01'!C18),(102&lt;'V06 Calend 01'!D18),(MOD((102-'V06 Calend 01'!C18),6)=0),(((102-'V06 Calend 01'!C18)/6)&lt;='V06 Calend 01'!E18)),IF((102=('V06 Calend 01'!C18+(6*'V06 Calend 01'!E18))),('V06 Calend 01'!H18-('V06 Calend 01'!I18*('V06 Calend 01'!E18-1))),'V06 Calend 01'!I18),0))+IF((102='V06 Calend 01'!D18),'V06 Calend 01'!J18,0))</f>
        <v>0</v>
      </c>
      <c r="DK18" s="2">
        <f>((IF((103='V06 Calend 01'!C18),('V06 Calend 01'!F18+'V06 Calend 01'!G18),0)+IF(AND(('V06 Calend 01'!E18&gt;0),(103&gt;'V06 Calend 01'!C18),(103&lt;'V06 Calend 01'!D18),(MOD((103-'V06 Calend 01'!C18),6)=0),(((103-'V06 Calend 01'!C18)/6)&lt;='V06 Calend 01'!E18)),IF((103=('V06 Calend 01'!C18+(6*'V06 Calend 01'!E18))),('V06 Calend 01'!H18-('V06 Calend 01'!I18*('V06 Calend 01'!E18-1))),'V06 Calend 01'!I18),0))+IF((103='V06 Calend 01'!D18),'V06 Calend 01'!J18,0))</f>
        <v>0</v>
      </c>
      <c r="DL18" s="2">
        <f>((IF((104='V06 Calend 01'!C18),('V06 Calend 01'!F18+'V06 Calend 01'!G18),0)+IF(AND(('V06 Calend 01'!E18&gt;0),(104&gt;'V06 Calend 01'!C18),(104&lt;'V06 Calend 01'!D18),(MOD((104-'V06 Calend 01'!C18),6)=0),(((104-'V06 Calend 01'!C18)/6)&lt;='V06 Calend 01'!E18)),IF((104=('V06 Calend 01'!C18+(6*'V06 Calend 01'!E18))),('V06 Calend 01'!H18-('V06 Calend 01'!I18*('V06 Calend 01'!E18-1))),'V06 Calend 01'!I18),0))+IF((104='V06 Calend 01'!D18),'V06 Calend 01'!J18,0))</f>
        <v>0</v>
      </c>
      <c r="DM18" s="2">
        <f>((IF((105='V06 Calend 01'!C18),('V06 Calend 01'!F18+'V06 Calend 01'!G18),0)+IF(AND(('V06 Calend 01'!E18&gt;0),(105&gt;'V06 Calend 01'!C18),(105&lt;'V06 Calend 01'!D18),(MOD((105-'V06 Calend 01'!C18),6)=0),(((105-'V06 Calend 01'!C18)/6)&lt;='V06 Calend 01'!E18)),IF((105=('V06 Calend 01'!C18+(6*'V06 Calend 01'!E18))),('V06 Calend 01'!H18-('V06 Calend 01'!I18*('V06 Calend 01'!E18-1))),'V06 Calend 01'!I18),0))+IF((105='V06 Calend 01'!D18),'V06 Calend 01'!J18,0))</f>
        <v>0</v>
      </c>
      <c r="DN18" s="2">
        <f>((IF((106='V06 Calend 01'!C18),('V06 Calend 01'!F18+'V06 Calend 01'!G18),0)+IF(AND(('V06 Calend 01'!E18&gt;0),(106&gt;'V06 Calend 01'!C18),(106&lt;'V06 Calend 01'!D18),(MOD((106-'V06 Calend 01'!C18),6)=0),(((106-'V06 Calend 01'!C18)/6)&lt;='V06 Calend 01'!E18)),IF((106=('V06 Calend 01'!C18+(6*'V06 Calend 01'!E18))),('V06 Calend 01'!H18-('V06 Calend 01'!I18*('V06 Calend 01'!E18-1))),'V06 Calend 01'!I18),0))+IF((106='V06 Calend 01'!D18),'V06 Calend 01'!J18,0))</f>
        <v>0</v>
      </c>
      <c r="DO18" s="2">
        <f>((IF((107='V06 Calend 01'!C18),('V06 Calend 01'!F18+'V06 Calend 01'!G18),0)+IF(AND(('V06 Calend 01'!E18&gt;0),(107&gt;'V06 Calend 01'!C18),(107&lt;'V06 Calend 01'!D18),(MOD((107-'V06 Calend 01'!C18),6)=0),(((107-'V06 Calend 01'!C18)/6)&lt;='V06 Calend 01'!E18)),IF((107=('V06 Calend 01'!C18+(6*'V06 Calend 01'!E18))),('V06 Calend 01'!H18-('V06 Calend 01'!I18*('V06 Calend 01'!E18-1))),'V06 Calend 01'!I18),0))+IF((107='V06 Calend 01'!D18),'V06 Calend 01'!J18,0))</f>
        <v>0</v>
      </c>
      <c r="DP18" s="2">
        <f>((IF((108='V06 Calend 01'!C18),('V06 Calend 01'!F18+'V06 Calend 01'!G18),0)+IF(AND(('V06 Calend 01'!E18&gt;0),(108&gt;'V06 Calend 01'!C18),(108&lt;'V06 Calend 01'!D18),(MOD((108-'V06 Calend 01'!C18),6)=0),(((108-'V06 Calend 01'!C18)/6)&lt;='V06 Calend 01'!E18)),IF((108=('V06 Calend 01'!C18+(6*'V06 Calend 01'!E18))),('V06 Calend 01'!H18-('V06 Calend 01'!I18*('V06 Calend 01'!E18-1))),'V06 Calend 01'!I18),0))+IF((108='V06 Calend 01'!D18),'V06 Calend 01'!J18,0))</f>
        <v>0</v>
      </c>
      <c r="DQ18" s="2">
        <f>((IF((109='V06 Calend 01'!C18),('V06 Calend 01'!F18+'V06 Calend 01'!G18),0)+IF(AND(('V06 Calend 01'!E18&gt;0),(109&gt;'V06 Calend 01'!C18),(109&lt;'V06 Calend 01'!D18),(MOD((109-'V06 Calend 01'!C18),6)=0),(((109-'V06 Calend 01'!C18)/6)&lt;='V06 Calend 01'!E18)),IF((109=('V06 Calend 01'!C18+(6*'V06 Calend 01'!E18))),('V06 Calend 01'!H18-('V06 Calend 01'!I18*('V06 Calend 01'!E18-1))),'V06 Calend 01'!I18),0))+IF((109='V06 Calend 01'!D18),'V06 Calend 01'!J18,0))</f>
        <v>0</v>
      </c>
      <c r="DR18" s="2">
        <f>((IF((110='V06 Calend 01'!C18),('V06 Calend 01'!F18+'V06 Calend 01'!G18),0)+IF(AND(('V06 Calend 01'!E18&gt;0),(110&gt;'V06 Calend 01'!C18),(110&lt;'V06 Calend 01'!D18),(MOD((110-'V06 Calend 01'!C18),6)=0),(((110-'V06 Calend 01'!C18)/6)&lt;='V06 Calend 01'!E18)),IF((110=('V06 Calend 01'!C18+(6*'V06 Calend 01'!E18))),('V06 Calend 01'!H18-('V06 Calend 01'!I18*('V06 Calend 01'!E18-1))),'V06 Calend 01'!I18),0))+IF((110='V06 Calend 01'!D18),'V06 Calend 01'!J18,0))</f>
        <v>0</v>
      </c>
      <c r="DS18" s="2">
        <f>((IF((111='V06 Calend 01'!C18),('V06 Calend 01'!F18+'V06 Calend 01'!G18),0)+IF(AND(('V06 Calend 01'!E18&gt;0),(111&gt;'V06 Calend 01'!C18),(111&lt;'V06 Calend 01'!D18),(MOD((111-'V06 Calend 01'!C18),6)=0),(((111-'V06 Calend 01'!C18)/6)&lt;='V06 Calend 01'!E18)),IF((111=('V06 Calend 01'!C18+(6*'V06 Calend 01'!E18))),('V06 Calend 01'!H18-('V06 Calend 01'!I18*('V06 Calend 01'!E18-1))),'V06 Calend 01'!I18),0))+IF((111='V06 Calend 01'!D18),'V06 Calend 01'!J18,0))</f>
        <v>0</v>
      </c>
      <c r="DT18" s="2">
        <f>((IF((112='V06 Calend 01'!C18),('V06 Calend 01'!F18+'V06 Calend 01'!G18),0)+IF(AND(('V06 Calend 01'!E18&gt;0),(112&gt;'V06 Calend 01'!C18),(112&lt;'V06 Calend 01'!D18),(MOD((112-'V06 Calend 01'!C18),6)=0),(((112-'V06 Calend 01'!C18)/6)&lt;='V06 Calend 01'!E18)),IF((112=('V06 Calend 01'!C18+(6*'V06 Calend 01'!E18))),('V06 Calend 01'!H18-('V06 Calend 01'!I18*('V06 Calend 01'!E18-1))),'V06 Calend 01'!I18),0))+IF((112='V06 Calend 01'!D18),'V06 Calend 01'!J18,0))</f>
        <v>0</v>
      </c>
      <c r="DU18" s="2">
        <f>((IF((113='V06 Calend 01'!C18),('V06 Calend 01'!F18+'V06 Calend 01'!G18),0)+IF(AND(('V06 Calend 01'!E18&gt;0),(113&gt;'V06 Calend 01'!C18),(113&lt;'V06 Calend 01'!D18),(MOD((113-'V06 Calend 01'!C18),6)=0),(((113-'V06 Calend 01'!C18)/6)&lt;='V06 Calend 01'!E18)),IF((113=('V06 Calend 01'!C18+(6*'V06 Calend 01'!E18))),('V06 Calend 01'!H18-('V06 Calend 01'!I18*('V06 Calend 01'!E18-1))),'V06 Calend 01'!I18),0))+IF((113='V06 Calend 01'!D18),'V06 Calend 01'!J18,0))</f>
        <v>0</v>
      </c>
      <c r="DV18" s="2">
        <f>((IF((114='V06 Calend 01'!C18),('V06 Calend 01'!F18+'V06 Calend 01'!G18),0)+IF(AND(('V06 Calend 01'!E18&gt;0),(114&gt;'V06 Calend 01'!C18),(114&lt;'V06 Calend 01'!D18),(MOD((114-'V06 Calend 01'!C18),6)=0),(((114-'V06 Calend 01'!C18)/6)&lt;='V06 Calend 01'!E18)),IF((114=('V06 Calend 01'!C18+(6*'V06 Calend 01'!E18))),('V06 Calend 01'!H18-('V06 Calend 01'!I18*('V06 Calend 01'!E18-1))),'V06 Calend 01'!I18),0))+IF((114='V06 Calend 01'!D18),'V06 Calend 01'!J18,0))</f>
        <v>0</v>
      </c>
      <c r="DW18" s="2">
        <f>((IF((115='V06 Calend 01'!C18),('V06 Calend 01'!F18+'V06 Calend 01'!G18),0)+IF(AND(('V06 Calend 01'!E18&gt;0),(115&gt;'V06 Calend 01'!C18),(115&lt;'V06 Calend 01'!D18),(MOD((115-'V06 Calend 01'!C18),6)=0),(((115-'V06 Calend 01'!C18)/6)&lt;='V06 Calend 01'!E18)),IF((115=('V06 Calend 01'!C18+(6*'V06 Calend 01'!E18))),('V06 Calend 01'!H18-('V06 Calend 01'!I18*('V06 Calend 01'!E18-1))),'V06 Calend 01'!I18),0))+IF((115='V06 Calend 01'!D18),'V06 Calend 01'!J18,0))</f>
        <v>0</v>
      </c>
      <c r="DX18" s="2">
        <f>((IF((116='V06 Calend 01'!C18),('V06 Calend 01'!F18+'V06 Calend 01'!G18),0)+IF(AND(('V06 Calend 01'!E18&gt;0),(116&gt;'V06 Calend 01'!C18),(116&lt;'V06 Calend 01'!D18),(MOD((116-'V06 Calend 01'!C18),6)=0),(((116-'V06 Calend 01'!C18)/6)&lt;='V06 Calend 01'!E18)),IF((116=('V06 Calend 01'!C18+(6*'V06 Calend 01'!E18))),('V06 Calend 01'!H18-('V06 Calend 01'!I18*('V06 Calend 01'!E18-1))),'V06 Calend 01'!I18),0))+IF((116='V06 Calend 01'!D18),'V06 Calend 01'!J18,0))</f>
        <v>0</v>
      </c>
      <c r="DY18" s="2">
        <f>((IF((117='V06 Calend 01'!C18),('V06 Calend 01'!F18+'V06 Calend 01'!G18),0)+IF(AND(('V06 Calend 01'!E18&gt;0),(117&gt;'V06 Calend 01'!C18),(117&lt;'V06 Calend 01'!D18),(MOD((117-'V06 Calend 01'!C18),6)=0),(((117-'V06 Calend 01'!C18)/6)&lt;='V06 Calend 01'!E18)),IF((117=('V06 Calend 01'!C18+(6*'V06 Calend 01'!E18))),('V06 Calend 01'!H18-('V06 Calend 01'!I18*('V06 Calend 01'!E18-1))),'V06 Calend 01'!I18),0))+IF((117='V06 Calend 01'!D18),'V06 Calend 01'!J18,0))</f>
        <v>0</v>
      </c>
      <c r="DZ18" s="2">
        <f>((IF((118='V06 Calend 01'!C18),('V06 Calend 01'!F18+'V06 Calend 01'!G18),0)+IF(AND(('V06 Calend 01'!E18&gt;0),(118&gt;'V06 Calend 01'!C18),(118&lt;'V06 Calend 01'!D18),(MOD((118-'V06 Calend 01'!C18),6)=0),(((118-'V06 Calend 01'!C18)/6)&lt;='V06 Calend 01'!E18)),IF((118=('V06 Calend 01'!C18+(6*'V06 Calend 01'!E18))),('V06 Calend 01'!H18-('V06 Calend 01'!I18*('V06 Calend 01'!E18-1))),'V06 Calend 01'!I18),0))+IF((118='V06 Calend 01'!D18),'V06 Calend 01'!J18,0))</f>
        <v>0</v>
      </c>
      <c r="EA18" s="2">
        <f>((IF((119='V06 Calend 01'!C18),('V06 Calend 01'!F18+'V06 Calend 01'!G18),0)+IF(AND(('V06 Calend 01'!E18&gt;0),(119&gt;'V06 Calend 01'!C18),(119&lt;'V06 Calend 01'!D18),(MOD((119-'V06 Calend 01'!C18),6)=0),(((119-'V06 Calend 01'!C18)/6)&lt;='V06 Calend 01'!E18)),IF((119=('V06 Calend 01'!C18+(6*'V06 Calend 01'!E18))),('V06 Calend 01'!H18-('V06 Calend 01'!I18*('V06 Calend 01'!E18-1))),'V06 Calend 01'!I18),0))+IF((119='V06 Calend 01'!D18),'V06 Calend 01'!J18,0))</f>
        <v>0</v>
      </c>
      <c r="EB18" s="2">
        <f>((IF((120='V06 Calend 01'!C18),('V06 Calend 01'!F18+'V06 Calend 01'!G18),0)+IF(AND(('V06 Calend 01'!E18&gt;0),(120&gt;'V06 Calend 01'!C18),(120&lt;'V06 Calend 01'!D18),(MOD((120-'V06 Calend 01'!C18),6)=0),(((120-'V06 Calend 01'!C18)/6)&lt;='V06 Calend 01'!E18)),IF((120=('V06 Calend 01'!C18+(6*'V06 Calend 01'!E18))),('V06 Calend 01'!H18-('V06 Calend 01'!I18*('V06 Calend 01'!E18-1))),'V06 Calend 01'!I18),0))+IF((120='V06 Calend 01'!D18),'V06 Calend 01'!J18,0))</f>
        <v>0</v>
      </c>
      <c r="EC18" s="2">
        <f>((IF((121='V06 Calend 01'!C18),('V06 Calend 01'!F18+'V06 Calend 01'!G18),0)+IF(AND(('V06 Calend 01'!E18&gt;0),(121&gt;'V06 Calend 01'!C18),(121&lt;'V06 Calend 01'!D18),(MOD((121-'V06 Calend 01'!C18),6)=0),(((121-'V06 Calend 01'!C18)/6)&lt;='V06 Calend 01'!E18)),IF((121=('V06 Calend 01'!C18+(6*'V06 Calend 01'!E18))),('V06 Calend 01'!H18-('V06 Calend 01'!I18*('V06 Calend 01'!E18-1))),'V06 Calend 01'!I18),0))+IF((121='V06 Calend 01'!D18),'V06 Calend 01'!J18,0))</f>
        <v>0</v>
      </c>
      <c r="ED18" s="2">
        <f>((IF((122='V06 Calend 01'!C18),('V06 Calend 01'!F18+'V06 Calend 01'!G18),0)+IF(AND(('V06 Calend 01'!E18&gt;0),(122&gt;'V06 Calend 01'!C18),(122&lt;'V06 Calend 01'!D18),(MOD((122-'V06 Calend 01'!C18),6)=0),(((122-'V06 Calend 01'!C18)/6)&lt;='V06 Calend 01'!E18)),IF((122=('V06 Calend 01'!C18+(6*'V06 Calend 01'!E18))),('V06 Calend 01'!H18-('V06 Calend 01'!I18*('V06 Calend 01'!E18-1))),'V06 Calend 01'!I18),0))+IF((122='V06 Calend 01'!D18),'V06 Calend 01'!J18,0))</f>
        <v>0</v>
      </c>
      <c r="EE18" s="2">
        <f>((IF((123='V06 Calend 01'!C18),('V06 Calend 01'!F18+'V06 Calend 01'!G18),0)+IF(AND(('V06 Calend 01'!E18&gt;0),(123&gt;'V06 Calend 01'!C18),(123&lt;'V06 Calend 01'!D18),(MOD((123-'V06 Calend 01'!C18),6)=0),(((123-'V06 Calend 01'!C18)/6)&lt;='V06 Calend 01'!E18)),IF((123=('V06 Calend 01'!C18+(6*'V06 Calend 01'!E18))),('V06 Calend 01'!H18-('V06 Calend 01'!I18*('V06 Calend 01'!E18-1))),'V06 Calend 01'!I18),0))+IF((123='V06 Calend 01'!D18),'V06 Calend 01'!J18,0))</f>
        <v>0</v>
      </c>
      <c r="EF18" s="2">
        <f>((IF((124='V06 Calend 01'!C18),('V06 Calend 01'!F18+'V06 Calend 01'!G18),0)+IF(AND(('V06 Calend 01'!E18&gt;0),(124&gt;'V06 Calend 01'!C18),(124&lt;'V06 Calend 01'!D18),(MOD((124-'V06 Calend 01'!C18),6)=0),(((124-'V06 Calend 01'!C18)/6)&lt;='V06 Calend 01'!E18)),IF((124=('V06 Calend 01'!C18+(6*'V06 Calend 01'!E18))),('V06 Calend 01'!H18-('V06 Calend 01'!I18*('V06 Calend 01'!E18-1))),'V06 Calend 01'!I18),0))+IF((124='V06 Calend 01'!D18),'V06 Calend 01'!J18,0))</f>
        <v>0</v>
      </c>
      <c r="EG18" s="2">
        <f>((IF((125='V06 Calend 01'!C18),('V06 Calend 01'!F18+'V06 Calend 01'!G18),0)+IF(AND(('V06 Calend 01'!E18&gt;0),(125&gt;'V06 Calend 01'!C18),(125&lt;'V06 Calend 01'!D18),(MOD((125-'V06 Calend 01'!C18),6)=0),(((125-'V06 Calend 01'!C18)/6)&lt;='V06 Calend 01'!E18)),IF((125=('V06 Calend 01'!C18+(6*'V06 Calend 01'!E18))),('V06 Calend 01'!H18-('V06 Calend 01'!I18*('V06 Calend 01'!E18-1))),'V06 Calend 01'!I18),0))+IF((125='V06 Calend 01'!D18),'V06 Calend 01'!J18,0))</f>
        <v>0</v>
      </c>
      <c r="EH18" s="2">
        <f>((IF((126='V06 Calend 01'!C18),('V06 Calend 01'!F18+'V06 Calend 01'!G18),0)+IF(AND(('V06 Calend 01'!E18&gt;0),(126&gt;'V06 Calend 01'!C18),(126&lt;'V06 Calend 01'!D18),(MOD((126-'V06 Calend 01'!C18),6)=0),(((126-'V06 Calend 01'!C18)/6)&lt;='V06 Calend 01'!E18)),IF((126=('V06 Calend 01'!C18+(6*'V06 Calend 01'!E18))),('V06 Calend 01'!H18-('V06 Calend 01'!I18*('V06 Calend 01'!E18-1))),'V06 Calend 01'!I18),0))+IF((126='V06 Calend 01'!D18),'V06 Calend 01'!J18,0))</f>
        <v>0</v>
      </c>
      <c r="EI18" s="2">
        <f>((IF((127='V06 Calend 01'!C18),('V06 Calend 01'!F18+'V06 Calend 01'!G18),0)+IF(AND(('V06 Calend 01'!E18&gt;0),(127&gt;'V06 Calend 01'!C18),(127&lt;'V06 Calend 01'!D18),(MOD((127-'V06 Calend 01'!C18),6)=0),(((127-'V06 Calend 01'!C18)/6)&lt;='V06 Calend 01'!E18)),IF((127=('V06 Calend 01'!C18+(6*'V06 Calend 01'!E18))),('V06 Calend 01'!H18-('V06 Calend 01'!I18*('V06 Calend 01'!E18-1))),'V06 Calend 01'!I18),0))+IF((127='V06 Calend 01'!D18),'V06 Calend 01'!J18,0))</f>
        <v>0</v>
      </c>
      <c r="EJ18" s="2">
        <f>((IF((128='V06 Calend 01'!C18),('V06 Calend 01'!F18+'V06 Calend 01'!G18),0)+IF(AND(('V06 Calend 01'!E18&gt;0),(128&gt;'V06 Calend 01'!C18),(128&lt;'V06 Calend 01'!D18),(MOD((128-'V06 Calend 01'!C18),6)=0),(((128-'V06 Calend 01'!C18)/6)&lt;='V06 Calend 01'!E18)),IF((128=('V06 Calend 01'!C18+(6*'V06 Calend 01'!E18))),('V06 Calend 01'!H18-('V06 Calend 01'!I18*('V06 Calend 01'!E18-1))),'V06 Calend 01'!I18),0))+IF((128='V06 Calend 01'!D18),'V06 Calend 01'!J18,0))</f>
        <v>0</v>
      </c>
      <c r="EK18" s="2">
        <f>((IF((129='V06 Calend 01'!C18),('V06 Calend 01'!F18+'V06 Calend 01'!G18),0)+IF(AND(('V06 Calend 01'!E18&gt;0),(129&gt;'V06 Calend 01'!C18),(129&lt;'V06 Calend 01'!D18),(MOD((129-'V06 Calend 01'!C18),6)=0),(((129-'V06 Calend 01'!C18)/6)&lt;='V06 Calend 01'!E18)),IF((129=('V06 Calend 01'!C18+(6*'V06 Calend 01'!E18))),('V06 Calend 01'!H18-('V06 Calend 01'!I18*('V06 Calend 01'!E18-1))),'V06 Calend 01'!I18),0))+IF((129='V06 Calend 01'!D18),'V06 Calend 01'!J18,0))</f>
        <v>0</v>
      </c>
      <c r="EL18" s="2">
        <f>((IF((130='V06 Calend 01'!C18),('V06 Calend 01'!F18+'V06 Calend 01'!G18),0)+IF(AND(('V06 Calend 01'!E18&gt;0),(130&gt;'V06 Calend 01'!C18),(130&lt;'V06 Calend 01'!D18),(MOD((130-'V06 Calend 01'!C18),6)=0),(((130-'V06 Calend 01'!C18)/6)&lt;='V06 Calend 01'!E18)),IF((130=('V06 Calend 01'!C18+(6*'V06 Calend 01'!E18))),('V06 Calend 01'!H18-('V06 Calend 01'!I18*('V06 Calend 01'!E18-1))),'V06 Calend 01'!I18),0))+IF((130='V06 Calend 01'!D18),'V06 Calend 01'!J18,0))</f>
        <v>0</v>
      </c>
      <c r="EM18" s="2">
        <f>((IF((131='V06 Calend 01'!C18),('V06 Calend 01'!F18+'V06 Calend 01'!G18),0)+IF(AND(('V06 Calend 01'!E18&gt;0),(131&gt;'V06 Calend 01'!C18),(131&lt;'V06 Calend 01'!D18),(MOD((131-'V06 Calend 01'!C18),6)=0),(((131-'V06 Calend 01'!C18)/6)&lt;='V06 Calend 01'!E18)),IF((131=('V06 Calend 01'!C18+(6*'V06 Calend 01'!E18))),('V06 Calend 01'!H18-('V06 Calend 01'!I18*('V06 Calend 01'!E18-1))),'V06 Calend 01'!I18),0))+IF((131='V06 Calend 01'!D18),'V06 Calend 01'!J18,0))</f>
        <v>0</v>
      </c>
      <c r="EN18" s="2">
        <f>((IF((132='V06 Calend 01'!C18),('V06 Calend 01'!F18+'V06 Calend 01'!G18),0)+IF(AND(('V06 Calend 01'!E18&gt;0),(132&gt;'V06 Calend 01'!C18),(132&lt;'V06 Calend 01'!D18),(MOD((132-'V06 Calend 01'!C18),6)=0),(((132-'V06 Calend 01'!C18)/6)&lt;='V06 Calend 01'!E18)),IF((132=('V06 Calend 01'!C18+(6*'V06 Calend 01'!E18))),('V06 Calend 01'!H18-('V06 Calend 01'!I18*('V06 Calend 01'!E18-1))),'V06 Calend 01'!I18),0))+IF((132='V06 Calend 01'!D18),'V06 Calend 01'!J18,0))</f>
        <v>0</v>
      </c>
      <c r="EO18" s="2">
        <f>((IF((133='V06 Calend 01'!C18),('V06 Calend 01'!F18+'V06 Calend 01'!G18),0)+IF(AND(('V06 Calend 01'!E18&gt;0),(133&gt;'V06 Calend 01'!C18),(133&lt;'V06 Calend 01'!D18),(MOD((133-'V06 Calend 01'!C18),6)=0),(((133-'V06 Calend 01'!C18)/6)&lt;='V06 Calend 01'!E18)),IF((133=('V06 Calend 01'!C18+(6*'V06 Calend 01'!E18))),('V06 Calend 01'!H18-('V06 Calend 01'!I18*('V06 Calend 01'!E18-1))),'V06 Calend 01'!I18),0))+IF((133='V06 Calend 01'!D18),'V06 Calend 01'!J18,0))</f>
        <v>0</v>
      </c>
      <c r="EP18" s="2">
        <f>((IF((134='V06 Calend 01'!C18),('V06 Calend 01'!F18+'V06 Calend 01'!G18),0)+IF(AND(('V06 Calend 01'!E18&gt;0),(134&gt;'V06 Calend 01'!C18),(134&lt;'V06 Calend 01'!D18),(MOD((134-'V06 Calend 01'!C18),6)=0),(((134-'V06 Calend 01'!C18)/6)&lt;='V06 Calend 01'!E18)),IF((134=('V06 Calend 01'!C18+(6*'V06 Calend 01'!E18))),('V06 Calend 01'!H18-('V06 Calend 01'!I18*('V06 Calend 01'!E18-1))),'V06 Calend 01'!I18),0))+IF((134='V06 Calend 01'!D18),'V06 Calend 01'!J18,0))</f>
        <v>0</v>
      </c>
      <c r="EQ18" s="2">
        <f>((IF((135='V06 Calend 01'!C18),('V06 Calend 01'!F18+'V06 Calend 01'!G18),0)+IF(AND(('V06 Calend 01'!E18&gt;0),(135&gt;'V06 Calend 01'!C18),(135&lt;'V06 Calend 01'!D18),(MOD((135-'V06 Calend 01'!C18),6)=0),(((135-'V06 Calend 01'!C18)/6)&lt;='V06 Calend 01'!E18)),IF((135=('V06 Calend 01'!C18+(6*'V06 Calend 01'!E18))),('V06 Calend 01'!H18-('V06 Calend 01'!I18*('V06 Calend 01'!E18-1))),'V06 Calend 01'!I18),0))+IF((135='V06 Calend 01'!D18),'V06 Calend 01'!J18,0))</f>
        <v>0</v>
      </c>
      <c r="ER18" s="2">
        <f>((IF((136='V06 Calend 01'!C18),('V06 Calend 01'!F18+'V06 Calend 01'!G18),0)+IF(AND(('V06 Calend 01'!E18&gt;0),(136&gt;'V06 Calend 01'!C18),(136&lt;'V06 Calend 01'!D18),(MOD((136-'V06 Calend 01'!C18),6)=0),(((136-'V06 Calend 01'!C18)/6)&lt;='V06 Calend 01'!E18)),IF((136=('V06 Calend 01'!C18+(6*'V06 Calend 01'!E18))),('V06 Calend 01'!H18-('V06 Calend 01'!I18*('V06 Calend 01'!E18-1))),'V06 Calend 01'!I18),0))+IF((136='V06 Calend 01'!D18),'V06 Calend 01'!J18,0))</f>
        <v>0</v>
      </c>
      <c r="ES18" s="2">
        <f>((IF((137='V06 Calend 01'!C18),('V06 Calend 01'!F18+'V06 Calend 01'!G18),0)+IF(AND(('V06 Calend 01'!E18&gt;0),(137&gt;'V06 Calend 01'!C18),(137&lt;'V06 Calend 01'!D18),(MOD((137-'V06 Calend 01'!C18),6)=0),(((137-'V06 Calend 01'!C18)/6)&lt;='V06 Calend 01'!E18)),IF((137=('V06 Calend 01'!C18+(6*'V06 Calend 01'!E18))),('V06 Calend 01'!H18-('V06 Calend 01'!I18*('V06 Calend 01'!E18-1))),'V06 Calend 01'!I18),0))+IF((137='V06 Calend 01'!D18),'V06 Calend 01'!J18,0))</f>
        <v>0</v>
      </c>
      <c r="ET18" s="2">
        <f>((IF((138='V06 Calend 01'!C18),('V06 Calend 01'!F18+'V06 Calend 01'!G18),0)+IF(AND(('V06 Calend 01'!E18&gt;0),(138&gt;'V06 Calend 01'!C18),(138&lt;'V06 Calend 01'!D18),(MOD((138-'V06 Calend 01'!C18),6)=0),(((138-'V06 Calend 01'!C18)/6)&lt;='V06 Calend 01'!E18)),IF((138=('V06 Calend 01'!C18+(6*'V06 Calend 01'!E18))),('V06 Calend 01'!H18-('V06 Calend 01'!I18*('V06 Calend 01'!E18-1))),'V06 Calend 01'!I18),0))+IF((138='V06 Calend 01'!D18),'V06 Calend 01'!J18,0))</f>
        <v>0</v>
      </c>
      <c r="EU18" s="2">
        <f>((IF((139='V06 Calend 01'!C18),('V06 Calend 01'!F18+'V06 Calend 01'!G18),0)+IF(AND(('V06 Calend 01'!E18&gt;0),(139&gt;'V06 Calend 01'!C18),(139&lt;'V06 Calend 01'!D18),(MOD((139-'V06 Calend 01'!C18),6)=0),(((139-'V06 Calend 01'!C18)/6)&lt;='V06 Calend 01'!E18)),IF((139=('V06 Calend 01'!C18+(6*'V06 Calend 01'!E18))),('V06 Calend 01'!H18-('V06 Calend 01'!I18*('V06 Calend 01'!E18-1))),'V06 Calend 01'!I18),0))+IF((139='V06 Calend 01'!D18),'V06 Calend 01'!J18,0))</f>
        <v>0</v>
      </c>
      <c r="EV18" s="2">
        <f>((IF((140='V06 Calend 01'!C18),('V06 Calend 01'!F18+'V06 Calend 01'!G18),0)+IF(AND(('V06 Calend 01'!E18&gt;0),(140&gt;'V06 Calend 01'!C18),(140&lt;'V06 Calend 01'!D18),(MOD((140-'V06 Calend 01'!C18),6)=0),(((140-'V06 Calend 01'!C18)/6)&lt;='V06 Calend 01'!E18)),IF((140=('V06 Calend 01'!C18+(6*'V06 Calend 01'!E18))),('V06 Calend 01'!H18-('V06 Calend 01'!I18*('V06 Calend 01'!E18-1))),'V06 Calend 01'!I18),0))+IF((140='V06 Calend 01'!D18),'V06 Calend 01'!J18,0))</f>
        <v>0</v>
      </c>
      <c r="EW18" s="2">
        <f>((IF((141='V06 Calend 01'!C18),('V06 Calend 01'!F18+'V06 Calend 01'!G18),0)+IF(AND(('V06 Calend 01'!E18&gt;0),(141&gt;'V06 Calend 01'!C18),(141&lt;'V06 Calend 01'!D18),(MOD((141-'V06 Calend 01'!C18),6)=0),(((141-'V06 Calend 01'!C18)/6)&lt;='V06 Calend 01'!E18)),IF((141=('V06 Calend 01'!C18+(6*'V06 Calend 01'!E18))),('V06 Calend 01'!H18-('V06 Calend 01'!I18*('V06 Calend 01'!E18-1))),'V06 Calend 01'!I18),0))+IF((141='V06 Calend 01'!D18),'V06 Calend 01'!J18,0))</f>
        <v>0</v>
      </c>
      <c r="EX18" s="2">
        <f>((IF((142='V06 Calend 01'!C18),('V06 Calend 01'!F18+'V06 Calend 01'!G18),0)+IF(AND(('V06 Calend 01'!E18&gt;0),(142&gt;'V06 Calend 01'!C18),(142&lt;'V06 Calend 01'!D18),(MOD((142-'V06 Calend 01'!C18),6)=0),(((142-'V06 Calend 01'!C18)/6)&lt;='V06 Calend 01'!E18)),IF((142=('V06 Calend 01'!C18+(6*'V06 Calend 01'!E18))),('V06 Calend 01'!H18-('V06 Calend 01'!I18*('V06 Calend 01'!E18-1))),'V06 Calend 01'!I18),0))+IF((142='V06 Calend 01'!D18),'V06 Calend 01'!J18,0))</f>
        <v>0</v>
      </c>
      <c r="EY18" s="2">
        <f>((IF((143='V06 Calend 01'!C18),('V06 Calend 01'!F18+'V06 Calend 01'!G18),0)+IF(AND(('V06 Calend 01'!E18&gt;0),(143&gt;'V06 Calend 01'!C18),(143&lt;'V06 Calend 01'!D18),(MOD((143-'V06 Calend 01'!C18),6)=0),(((143-'V06 Calend 01'!C18)/6)&lt;='V06 Calend 01'!E18)),IF((143=('V06 Calend 01'!C18+(6*'V06 Calend 01'!E18))),('V06 Calend 01'!H18-('V06 Calend 01'!I18*('V06 Calend 01'!E18-1))),'V06 Calend 01'!I18),0))+IF((143='V06 Calend 01'!D18),'V06 Calend 01'!J18,0))</f>
        <v>0</v>
      </c>
      <c r="EZ18" s="2">
        <f>((IF((144='V06 Calend 01'!C18),('V06 Calend 01'!F18+'V06 Calend 01'!G18),0)+IF(AND(('V06 Calend 01'!E18&gt;0),(144&gt;'V06 Calend 01'!C18),(144&lt;'V06 Calend 01'!D18),(MOD((144-'V06 Calend 01'!C18),6)=0),(((144-'V06 Calend 01'!C18)/6)&lt;='V06 Calend 01'!E18)),IF((144=('V06 Calend 01'!C18+(6*'V06 Calend 01'!E18))),('V06 Calend 01'!H18-('V06 Calend 01'!I18*('V06 Calend 01'!E18-1))),'V06 Calend 01'!I18),0))+IF((144='V06 Calend 01'!D18),'V06 Calend 01'!J18,0))</f>
        <v>0</v>
      </c>
      <c r="FA18" s="2">
        <f>((IF((145='V06 Calend 01'!C18),('V06 Calend 01'!F18+'V06 Calend 01'!G18),0)+IF(AND(('V06 Calend 01'!E18&gt;0),(145&gt;'V06 Calend 01'!C18),(145&lt;'V06 Calend 01'!D18),(MOD((145-'V06 Calend 01'!C18),6)=0),(((145-'V06 Calend 01'!C18)/6)&lt;='V06 Calend 01'!E18)),IF((145=('V06 Calend 01'!C18+(6*'V06 Calend 01'!E18))),('V06 Calend 01'!H18-('V06 Calend 01'!I18*('V06 Calend 01'!E18-1))),'V06 Calend 01'!I18),0))+IF((145='V06 Calend 01'!D18),'V06 Calend 01'!J18,0))</f>
        <v>0</v>
      </c>
      <c r="FB18" s="2">
        <f>((IF((146='V06 Calend 01'!C18),('V06 Calend 01'!F18+'V06 Calend 01'!G18),0)+IF(AND(('V06 Calend 01'!E18&gt;0),(146&gt;'V06 Calend 01'!C18),(146&lt;'V06 Calend 01'!D18),(MOD((146-'V06 Calend 01'!C18),6)=0),(((146-'V06 Calend 01'!C18)/6)&lt;='V06 Calend 01'!E18)),IF((146=('V06 Calend 01'!C18+(6*'V06 Calend 01'!E18))),('V06 Calend 01'!H18-('V06 Calend 01'!I18*('V06 Calend 01'!E18-1))),'V06 Calend 01'!I18),0))+IF((146='V06 Calend 01'!D18),'V06 Calend 01'!J18,0))</f>
        <v>0</v>
      </c>
      <c r="FC18" s="2">
        <f>((IF((147='V06 Calend 01'!C18),('V06 Calend 01'!F18+'V06 Calend 01'!G18),0)+IF(AND(('V06 Calend 01'!E18&gt;0),(147&gt;'V06 Calend 01'!C18),(147&lt;'V06 Calend 01'!D18),(MOD((147-'V06 Calend 01'!C18),6)=0),(((147-'V06 Calend 01'!C18)/6)&lt;='V06 Calend 01'!E18)),IF((147=('V06 Calend 01'!C18+(6*'V06 Calend 01'!E18))),('V06 Calend 01'!H18-('V06 Calend 01'!I18*('V06 Calend 01'!E18-1))),'V06 Calend 01'!I18),0))+IF((147='V06 Calend 01'!D18),'V06 Calend 01'!J18,0))</f>
        <v>0</v>
      </c>
      <c r="FD18" s="2">
        <f>((IF((148='V06 Calend 01'!C18),('V06 Calend 01'!F18+'V06 Calend 01'!G18),0)+IF(AND(('V06 Calend 01'!E18&gt;0),(148&gt;'V06 Calend 01'!C18),(148&lt;'V06 Calend 01'!D18),(MOD((148-'V06 Calend 01'!C18),6)=0),(((148-'V06 Calend 01'!C18)/6)&lt;='V06 Calend 01'!E18)),IF((148=('V06 Calend 01'!C18+(6*'V06 Calend 01'!E18))),('V06 Calend 01'!H18-('V06 Calend 01'!I18*('V06 Calend 01'!E18-1))),'V06 Calend 01'!I18),0))+IF((148='V06 Calend 01'!D18),'V06 Calend 01'!J18,0))</f>
        <v>0</v>
      </c>
      <c r="FE18" s="2">
        <f>((IF((149='V06 Calend 01'!C18),('V06 Calend 01'!F18+'V06 Calend 01'!G18),0)+IF(AND(('V06 Calend 01'!E18&gt;0),(149&gt;'V06 Calend 01'!C18),(149&lt;'V06 Calend 01'!D18),(MOD((149-'V06 Calend 01'!C18),6)=0),(((149-'V06 Calend 01'!C18)/6)&lt;='V06 Calend 01'!E18)),IF((149=('V06 Calend 01'!C18+(6*'V06 Calend 01'!E18))),('V06 Calend 01'!H18-('V06 Calend 01'!I18*('V06 Calend 01'!E18-1))),'V06 Calend 01'!I18),0))+IF((149='V06 Calend 01'!D18),'V06 Calend 01'!J18,0))</f>
        <v>0</v>
      </c>
      <c r="FF18" s="2">
        <f>((IF((150='V06 Calend 01'!C18),('V06 Calend 01'!F18+'V06 Calend 01'!G18),0)+IF(AND(('V06 Calend 01'!E18&gt;0),(150&gt;'V06 Calend 01'!C18),(150&lt;'V06 Calend 01'!D18),(MOD((150-'V06 Calend 01'!C18),6)=0),(((150-'V06 Calend 01'!C18)/6)&lt;='V06 Calend 01'!E18)),IF((150=('V06 Calend 01'!C18+(6*'V06 Calend 01'!E18))),('V06 Calend 01'!H18-('V06 Calend 01'!I18*('V06 Calend 01'!E18-1))),'V06 Calend 01'!I18),0))+IF((150='V06 Calend 01'!D18),'V06 Calend 01'!J18,0))</f>
        <v>0</v>
      </c>
      <c r="FG18" s="2">
        <f>((IF((151='V06 Calend 01'!C18),('V06 Calend 01'!F18+'V06 Calend 01'!G18),0)+IF(AND(('V06 Calend 01'!E18&gt;0),(151&gt;'V06 Calend 01'!C18),(151&lt;'V06 Calend 01'!D18),(MOD((151-'V06 Calend 01'!C18),6)=0),(((151-'V06 Calend 01'!C18)/6)&lt;='V06 Calend 01'!E18)),IF((151=('V06 Calend 01'!C18+(6*'V06 Calend 01'!E18))),('V06 Calend 01'!H18-('V06 Calend 01'!I18*('V06 Calend 01'!E18-1))),'V06 Calend 01'!I18),0))+IF((151='V06 Calend 01'!D18),'V06 Calend 01'!J18,0))</f>
        <v>0</v>
      </c>
      <c r="FH18" s="2">
        <f>((IF((152='V06 Calend 01'!C18),('V06 Calend 01'!F18+'V06 Calend 01'!G18),0)+IF(AND(('V06 Calend 01'!E18&gt;0),(152&gt;'V06 Calend 01'!C18),(152&lt;'V06 Calend 01'!D18),(MOD((152-'V06 Calend 01'!C18),6)=0),(((152-'V06 Calend 01'!C18)/6)&lt;='V06 Calend 01'!E18)),IF((152=('V06 Calend 01'!C18+(6*'V06 Calend 01'!E18))),('V06 Calend 01'!H18-('V06 Calend 01'!I18*('V06 Calend 01'!E18-1))),'V06 Calend 01'!I18),0))+IF((152='V06 Calend 01'!D18),'V06 Calend 01'!J18,0))</f>
        <v>0</v>
      </c>
      <c r="FI18" s="2">
        <f>((IF((153='V06 Calend 01'!C18),('V06 Calend 01'!F18+'V06 Calend 01'!G18),0)+IF(AND(('V06 Calend 01'!E18&gt;0),(153&gt;'V06 Calend 01'!C18),(153&lt;'V06 Calend 01'!D18),(MOD((153-'V06 Calend 01'!C18),6)=0),(((153-'V06 Calend 01'!C18)/6)&lt;='V06 Calend 01'!E18)),IF((153=('V06 Calend 01'!C18+(6*'V06 Calend 01'!E18))),('V06 Calend 01'!H18-('V06 Calend 01'!I18*('V06 Calend 01'!E18-1))),'V06 Calend 01'!I18),0))+IF((153='V06 Calend 01'!D18),'V06 Calend 01'!J18,0))</f>
        <v>0</v>
      </c>
      <c r="FJ18" s="2">
        <f>((IF((154='V06 Calend 01'!C18),('V06 Calend 01'!F18+'V06 Calend 01'!G18),0)+IF(AND(('V06 Calend 01'!E18&gt;0),(154&gt;'V06 Calend 01'!C18),(154&lt;'V06 Calend 01'!D18),(MOD((154-'V06 Calend 01'!C18),6)=0),(((154-'V06 Calend 01'!C18)/6)&lt;='V06 Calend 01'!E18)),IF((154=('V06 Calend 01'!C18+(6*'V06 Calend 01'!E18))),('V06 Calend 01'!H18-('V06 Calend 01'!I18*('V06 Calend 01'!E18-1))),'V06 Calend 01'!I18),0))+IF((154='V06 Calend 01'!D18),'V06 Calend 01'!J18,0))</f>
        <v>0</v>
      </c>
      <c r="FK18" s="2">
        <f>((IF((155='V06 Calend 01'!C18),('V06 Calend 01'!F18+'V06 Calend 01'!G18),0)+IF(AND(('V06 Calend 01'!E18&gt;0),(155&gt;'V06 Calend 01'!C18),(155&lt;'V06 Calend 01'!D18),(MOD((155-'V06 Calend 01'!C18),6)=0),(((155-'V06 Calend 01'!C18)/6)&lt;='V06 Calend 01'!E18)),IF((155=('V06 Calend 01'!C18+(6*'V06 Calend 01'!E18))),('V06 Calend 01'!H18-('V06 Calend 01'!I18*('V06 Calend 01'!E18-1))),'V06 Calend 01'!I18),0))+IF((155='V06 Calend 01'!D18),'V06 Calend 01'!J18,0))</f>
        <v>0</v>
      </c>
      <c r="FL18" s="2">
        <f>((IF((156='V06 Calend 01'!C18),('V06 Calend 01'!F18+'V06 Calend 01'!G18),0)+IF(AND(('V06 Calend 01'!E18&gt;0),(156&gt;'V06 Calend 01'!C18),(156&lt;'V06 Calend 01'!D18),(MOD((156-'V06 Calend 01'!C18),6)=0),(((156-'V06 Calend 01'!C18)/6)&lt;='V06 Calend 01'!E18)),IF((156=('V06 Calend 01'!C18+(6*'V06 Calend 01'!E18))),('V06 Calend 01'!H18-('V06 Calend 01'!I18*('V06 Calend 01'!E18-1))),'V06 Calend 01'!I18),0))+IF((156='V06 Calend 01'!D18),'V06 Calend 01'!J18,0))</f>
        <v>0</v>
      </c>
      <c r="FM18" s="2">
        <f>((IF((157='V06 Calend 01'!C18),('V06 Calend 01'!F18+'V06 Calend 01'!G18),0)+IF(AND(('V06 Calend 01'!E18&gt;0),(157&gt;'V06 Calend 01'!C18),(157&lt;'V06 Calend 01'!D18),(MOD((157-'V06 Calend 01'!C18),6)=0),(((157-'V06 Calend 01'!C18)/6)&lt;='V06 Calend 01'!E18)),IF((157=('V06 Calend 01'!C18+(6*'V06 Calend 01'!E18))),('V06 Calend 01'!H18-('V06 Calend 01'!I18*('V06 Calend 01'!E18-1))),'V06 Calend 01'!I18),0))+IF((157='V06 Calend 01'!D18),'V06 Calend 01'!J18,0))</f>
        <v>0</v>
      </c>
      <c r="FN18" s="2">
        <f>((IF((158='V06 Calend 01'!C18),('V06 Calend 01'!F18+'V06 Calend 01'!G18),0)+IF(AND(('V06 Calend 01'!E18&gt;0),(158&gt;'V06 Calend 01'!C18),(158&lt;'V06 Calend 01'!D18),(MOD((158-'V06 Calend 01'!C18),6)=0),(((158-'V06 Calend 01'!C18)/6)&lt;='V06 Calend 01'!E18)),IF((158=('V06 Calend 01'!C18+(6*'V06 Calend 01'!E18))),('V06 Calend 01'!H18-('V06 Calend 01'!I18*('V06 Calend 01'!E18-1))),'V06 Calend 01'!I18),0))+IF((158='V06 Calend 01'!D18),'V06 Calend 01'!J18,0))</f>
        <v>0</v>
      </c>
      <c r="FO18" s="2">
        <f>((IF((159='V06 Calend 01'!C18),('V06 Calend 01'!F18+'V06 Calend 01'!G18),0)+IF(AND(('V06 Calend 01'!E18&gt;0),(159&gt;'V06 Calend 01'!C18),(159&lt;'V06 Calend 01'!D18),(MOD((159-'V06 Calend 01'!C18),6)=0),(((159-'V06 Calend 01'!C18)/6)&lt;='V06 Calend 01'!E18)),IF((159=('V06 Calend 01'!C18+(6*'V06 Calend 01'!E18))),('V06 Calend 01'!H18-('V06 Calend 01'!I18*('V06 Calend 01'!E18-1))),'V06 Calend 01'!I18),0))+IF((159='V06 Calend 01'!D18),'V06 Calend 01'!J18,0))</f>
        <v>0</v>
      </c>
      <c r="FP18" s="2">
        <f>((IF((160='V06 Calend 01'!C18),('V06 Calend 01'!F18+'V06 Calend 01'!G18),0)+IF(AND(('V06 Calend 01'!E18&gt;0),(160&gt;'V06 Calend 01'!C18),(160&lt;'V06 Calend 01'!D18),(MOD((160-'V06 Calend 01'!C18),6)=0),(((160-'V06 Calend 01'!C18)/6)&lt;='V06 Calend 01'!E18)),IF((160=('V06 Calend 01'!C18+(6*'V06 Calend 01'!E18))),('V06 Calend 01'!H18-('V06 Calend 01'!I18*('V06 Calend 01'!E18-1))),'V06 Calend 01'!I18),0))+IF((160='V06 Calend 01'!D18),'V06 Calend 01'!J18,0))</f>
        <v>0</v>
      </c>
      <c r="FQ18" s="2">
        <f>((IF((161='V06 Calend 01'!C18),('V06 Calend 01'!F18+'V06 Calend 01'!G18),0)+IF(AND(('V06 Calend 01'!E18&gt;0),(161&gt;'V06 Calend 01'!C18),(161&lt;'V06 Calend 01'!D18),(MOD((161-'V06 Calend 01'!C18),6)=0),(((161-'V06 Calend 01'!C18)/6)&lt;='V06 Calend 01'!E18)),IF((161=('V06 Calend 01'!C18+(6*'V06 Calend 01'!E18))),('V06 Calend 01'!H18-('V06 Calend 01'!I18*('V06 Calend 01'!E18-1))),'V06 Calend 01'!I18),0))+IF((161='V06 Calend 01'!D18),'V06 Calend 01'!J18,0))</f>
        <v>0</v>
      </c>
      <c r="FR18" s="2">
        <f>((IF((162='V06 Calend 01'!C18),('V06 Calend 01'!F18+'V06 Calend 01'!G18),0)+IF(AND(('V06 Calend 01'!E18&gt;0),(162&gt;'V06 Calend 01'!C18),(162&lt;'V06 Calend 01'!D18),(MOD((162-'V06 Calend 01'!C18),6)=0),(((162-'V06 Calend 01'!C18)/6)&lt;='V06 Calend 01'!E18)),IF((162=('V06 Calend 01'!C18+(6*'V06 Calend 01'!E18))),('V06 Calend 01'!H18-('V06 Calend 01'!I18*('V06 Calend 01'!E18-1))),'V06 Calend 01'!I18),0))+IF((162='V06 Calend 01'!D18),'V06 Calend 01'!J18,0))</f>
        <v>0</v>
      </c>
      <c r="FS18" s="2">
        <f>((IF((163='V06 Calend 01'!C18),('V06 Calend 01'!F18+'V06 Calend 01'!G18),0)+IF(AND(('V06 Calend 01'!E18&gt;0),(163&gt;'V06 Calend 01'!C18),(163&lt;'V06 Calend 01'!D18),(MOD((163-'V06 Calend 01'!C18),6)=0),(((163-'V06 Calend 01'!C18)/6)&lt;='V06 Calend 01'!E18)),IF((163=('V06 Calend 01'!C18+(6*'V06 Calend 01'!E18))),('V06 Calend 01'!H18-('V06 Calend 01'!I18*('V06 Calend 01'!E18-1))),'V06 Calend 01'!I18),0))+IF((163='V06 Calend 01'!D18),'V06 Calend 01'!J18,0))</f>
        <v>0</v>
      </c>
      <c r="FT18" s="2">
        <f>((IF((164='V06 Calend 01'!C18),('V06 Calend 01'!F18+'V06 Calend 01'!G18),0)+IF(AND(('V06 Calend 01'!E18&gt;0),(164&gt;'V06 Calend 01'!C18),(164&lt;'V06 Calend 01'!D18),(MOD((164-'V06 Calend 01'!C18),6)=0),(((164-'V06 Calend 01'!C18)/6)&lt;='V06 Calend 01'!E18)),IF((164=('V06 Calend 01'!C18+(6*'V06 Calend 01'!E18))),('V06 Calend 01'!H18-('V06 Calend 01'!I18*('V06 Calend 01'!E18-1))),'V06 Calend 01'!I18),0))+IF((164='V06 Calend 01'!D18),'V06 Calend 01'!J18,0))</f>
        <v>0</v>
      </c>
      <c r="FU18" s="2">
        <f>((IF((165='V06 Calend 01'!C18),('V06 Calend 01'!F18+'V06 Calend 01'!G18),0)+IF(AND(('V06 Calend 01'!E18&gt;0),(165&gt;'V06 Calend 01'!C18),(165&lt;'V06 Calend 01'!D18),(MOD((165-'V06 Calend 01'!C18),6)=0),(((165-'V06 Calend 01'!C18)/6)&lt;='V06 Calend 01'!E18)),IF((165=('V06 Calend 01'!C18+(6*'V06 Calend 01'!E18))),('V06 Calend 01'!H18-('V06 Calend 01'!I18*('V06 Calend 01'!E18-1))),'V06 Calend 01'!I18),0))+IF((165='V06 Calend 01'!D18),'V06 Calend 01'!J18,0))</f>
        <v>0</v>
      </c>
      <c r="FV18" s="2">
        <f>((IF((166='V06 Calend 01'!C18),('V06 Calend 01'!F18+'V06 Calend 01'!G18),0)+IF(AND(('V06 Calend 01'!E18&gt;0),(166&gt;'V06 Calend 01'!C18),(166&lt;'V06 Calend 01'!D18),(MOD((166-'V06 Calend 01'!C18),6)=0),(((166-'V06 Calend 01'!C18)/6)&lt;='V06 Calend 01'!E18)),IF((166=('V06 Calend 01'!C18+(6*'V06 Calend 01'!E18))),('V06 Calend 01'!H18-('V06 Calend 01'!I18*('V06 Calend 01'!E18-1))),'V06 Calend 01'!I18),0))+IF((166='V06 Calend 01'!D18),'V06 Calend 01'!J18,0))</f>
        <v>0</v>
      </c>
      <c r="FW18" s="2">
        <f>((IF((167='V06 Calend 01'!C18),('V06 Calend 01'!F18+'V06 Calend 01'!G18),0)+IF(AND(('V06 Calend 01'!E18&gt;0),(167&gt;'V06 Calend 01'!C18),(167&lt;'V06 Calend 01'!D18),(MOD((167-'V06 Calend 01'!C18),6)=0),(((167-'V06 Calend 01'!C18)/6)&lt;='V06 Calend 01'!E18)),IF((167=('V06 Calend 01'!C18+(6*'V06 Calend 01'!E18))),('V06 Calend 01'!H18-('V06 Calend 01'!I18*('V06 Calend 01'!E18-1))),'V06 Calend 01'!I18),0))+IF((167='V06 Calend 01'!D18),'V06 Calend 01'!J18,0))</f>
        <v>0</v>
      </c>
      <c r="FX18" s="2">
        <f>((IF((168='V06 Calend 01'!C18),('V06 Calend 01'!F18+'V06 Calend 01'!G18),0)+IF(AND(('V06 Calend 01'!E18&gt;0),(168&gt;'V06 Calend 01'!C18),(168&lt;'V06 Calend 01'!D18),(MOD((168-'V06 Calend 01'!C18),6)=0),(((168-'V06 Calend 01'!C18)/6)&lt;='V06 Calend 01'!E18)),IF((168=('V06 Calend 01'!C18+(6*'V06 Calend 01'!E18))),('V06 Calend 01'!H18-('V06 Calend 01'!I18*('V06 Calend 01'!E18-1))),'V06 Calend 01'!I18),0))+IF((168='V06 Calend 01'!D18),'V06 Calend 01'!J18,0))</f>
        <v>0</v>
      </c>
      <c r="FY18" s="2">
        <f>((IF((169='V06 Calend 01'!C18),('V06 Calend 01'!F18+'V06 Calend 01'!G18),0)+IF(AND(('V06 Calend 01'!E18&gt;0),(169&gt;'V06 Calend 01'!C18),(169&lt;'V06 Calend 01'!D18),(MOD((169-'V06 Calend 01'!C18),6)=0),(((169-'V06 Calend 01'!C18)/6)&lt;='V06 Calend 01'!E18)),IF((169=('V06 Calend 01'!C18+(6*'V06 Calend 01'!E18))),('V06 Calend 01'!H18-('V06 Calend 01'!I18*('V06 Calend 01'!E18-1))),'V06 Calend 01'!I18),0))+IF((169='V06 Calend 01'!D18),'V06 Calend 01'!J18,0))</f>
        <v>0</v>
      </c>
      <c r="FZ18" s="2">
        <f>((IF((170='V06 Calend 01'!C18),('V06 Calend 01'!F18+'V06 Calend 01'!G18),0)+IF(AND(('V06 Calend 01'!E18&gt;0),(170&gt;'V06 Calend 01'!C18),(170&lt;'V06 Calend 01'!D18),(MOD((170-'V06 Calend 01'!C18),6)=0),(((170-'V06 Calend 01'!C18)/6)&lt;='V06 Calend 01'!E18)),IF((170=('V06 Calend 01'!C18+(6*'V06 Calend 01'!E18))),('V06 Calend 01'!H18-('V06 Calend 01'!I18*('V06 Calend 01'!E18-1))),'V06 Calend 01'!I18),0))+IF((170='V06 Calend 01'!D18),'V06 Calend 01'!J18,0))</f>
        <v>0</v>
      </c>
      <c r="GA18" s="2">
        <f>((IF((171='V06 Calend 01'!C18),('V06 Calend 01'!F18+'V06 Calend 01'!G18),0)+IF(AND(('V06 Calend 01'!E18&gt;0),(171&gt;'V06 Calend 01'!C18),(171&lt;'V06 Calend 01'!D18),(MOD((171-'V06 Calend 01'!C18),6)=0),(((171-'V06 Calend 01'!C18)/6)&lt;='V06 Calend 01'!E18)),IF((171=('V06 Calend 01'!C18+(6*'V06 Calend 01'!E18))),('V06 Calend 01'!H18-('V06 Calend 01'!I18*('V06 Calend 01'!E18-1))),'V06 Calend 01'!I18),0))+IF((171='V06 Calend 01'!D18),'V06 Calend 01'!J18,0))</f>
        <v>0</v>
      </c>
      <c r="GB18" s="2">
        <f>((IF((172='V06 Calend 01'!C18),('V06 Calend 01'!F18+'V06 Calend 01'!G18),0)+IF(AND(('V06 Calend 01'!E18&gt;0),(172&gt;'V06 Calend 01'!C18),(172&lt;'V06 Calend 01'!D18),(MOD((172-'V06 Calend 01'!C18),6)=0),(((172-'V06 Calend 01'!C18)/6)&lt;='V06 Calend 01'!E18)),IF((172=('V06 Calend 01'!C18+(6*'V06 Calend 01'!E18))),('V06 Calend 01'!H18-('V06 Calend 01'!I18*('V06 Calend 01'!E18-1))),'V06 Calend 01'!I18),0))+IF((172='V06 Calend 01'!D18),'V06 Calend 01'!J18,0))</f>
        <v>0</v>
      </c>
      <c r="GC18" s="2">
        <f>((IF((173='V06 Calend 01'!C18),('V06 Calend 01'!F18+'V06 Calend 01'!G18),0)+IF(AND(('V06 Calend 01'!E18&gt;0),(173&gt;'V06 Calend 01'!C18),(173&lt;'V06 Calend 01'!D18),(MOD((173-'V06 Calend 01'!C18),6)=0),(((173-'V06 Calend 01'!C18)/6)&lt;='V06 Calend 01'!E18)),IF((173=('V06 Calend 01'!C18+(6*'V06 Calend 01'!E18))),('V06 Calend 01'!H18-('V06 Calend 01'!I18*('V06 Calend 01'!E18-1))),'V06 Calend 01'!I18),0))+IF((173='V06 Calend 01'!D18),'V06 Calend 01'!J18,0))</f>
        <v>0</v>
      </c>
      <c r="GD18" s="2">
        <f>((IF((174='V06 Calend 01'!C18),('V06 Calend 01'!F18+'V06 Calend 01'!G18),0)+IF(AND(('V06 Calend 01'!E18&gt;0),(174&gt;'V06 Calend 01'!C18),(174&lt;'V06 Calend 01'!D18),(MOD((174-'V06 Calend 01'!C18),6)=0),(((174-'V06 Calend 01'!C18)/6)&lt;='V06 Calend 01'!E18)),IF((174=('V06 Calend 01'!C18+(6*'V06 Calend 01'!E18))),('V06 Calend 01'!H18-('V06 Calend 01'!I18*('V06 Calend 01'!E18-1))),'V06 Calend 01'!I18),0))+IF((174='V06 Calend 01'!D18),'V06 Calend 01'!J18,0))</f>
        <v>0</v>
      </c>
      <c r="GE18" s="2">
        <f>((IF((175='V06 Calend 01'!C18),('V06 Calend 01'!F18+'V06 Calend 01'!G18),0)+IF(AND(('V06 Calend 01'!E18&gt;0),(175&gt;'V06 Calend 01'!C18),(175&lt;'V06 Calend 01'!D18),(MOD((175-'V06 Calend 01'!C18),6)=0),(((175-'V06 Calend 01'!C18)/6)&lt;='V06 Calend 01'!E18)),IF((175=('V06 Calend 01'!C18+(6*'V06 Calend 01'!E18))),('V06 Calend 01'!H18-('V06 Calend 01'!I18*('V06 Calend 01'!E18-1))),'V06 Calend 01'!I18),0))+IF((175='V06 Calend 01'!D18),'V06 Calend 01'!J18,0))</f>
        <v>0</v>
      </c>
      <c r="GF18" s="2">
        <f>((IF((176='V06 Calend 01'!C18),('V06 Calend 01'!F18+'V06 Calend 01'!G18),0)+IF(AND(('V06 Calend 01'!E18&gt;0),(176&gt;'V06 Calend 01'!C18),(176&lt;'V06 Calend 01'!D18),(MOD((176-'V06 Calend 01'!C18),6)=0),(((176-'V06 Calend 01'!C18)/6)&lt;='V06 Calend 01'!E18)),IF((176=('V06 Calend 01'!C18+(6*'V06 Calend 01'!E18))),('V06 Calend 01'!H18-('V06 Calend 01'!I18*('V06 Calend 01'!E18-1))),'V06 Calend 01'!I18),0))+IF((176='V06 Calend 01'!D18),'V06 Calend 01'!J18,0))</f>
        <v>0</v>
      </c>
      <c r="GG18" s="2">
        <f>((IF((177='V06 Calend 01'!C18),('V06 Calend 01'!F18+'V06 Calend 01'!G18),0)+IF(AND(('V06 Calend 01'!E18&gt;0),(177&gt;'V06 Calend 01'!C18),(177&lt;'V06 Calend 01'!D18),(MOD((177-'V06 Calend 01'!C18),6)=0),(((177-'V06 Calend 01'!C18)/6)&lt;='V06 Calend 01'!E18)),IF((177=('V06 Calend 01'!C18+(6*'V06 Calend 01'!E18))),('V06 Calend 01'!H18-('V06 Calend 01'!I18*('V06 Calend 01'!E18-1))),'V06 Calend 01'!I18),0))+IF((177='V06 Calend 01'!D18),'V06 Calend 01'!J18,0))</f>
        <v>0</v>
      </c>
      <c r="GH18" s="2">
        <f>((IF((178='V06 Calend 01'!C18),('V06 Calend 01'!F18+'V06 Calend 01'!G18),0)+IF(AND(('V06 Calend 01'!E18&gt;0),(178&gt;'V06 Calend 01'!C18),(178&lt;'V06 Calend 01'!D18),(MOD((178-'V06 Calend 01'!C18),6)=0),(((178-'V06 Calend 01'!C18)/6)&lt;='V06 Calend 01'!E18)),IF((178=('V06 Calend 01'!C18+(6*'V06 Calend 01'!E18))),('V06 Calend 01'!H18-('V06 Calend 01'!I18*('V06 Calend 01'!E18-1))),'V06 Calend 01'!I18),0))+IF((178='V06 Calend 01'!D18),'V06 Calend 01'!J18,0))</f>
        <v>0</v>
      </c>
      <c r="GI18" s="2">
        <f>((IF((179='V06 Calend 01'!C18),('V06 Calend 01'!F18+'V06 Calend 01'!G18),0)+IF(AND(('V06 Calend 01'!E18&gt;0),(179&gt;'V06 Calend 01'!C18),(179&lt;'V06 Calend 01'!D18),(MOD((179-'V06 Calend 01'!C18),6)=0),(((179-'V06 Calend 01'!C18)/6)&lt;='V06 Calend 01'!E18)),IF((179=('V06 Calend 01'!C18+(6*'V06 Calend 01'!E18))),('V06 Calend 01'!H18-('V06 Calend 01'!I18*('V06 Calend 01'!E18-1))),'V06 Calend 01'!I18),0))+IF((179='V06 Calend 01'!D18),'V06 Calend 01'!J18,0))</f>
        <v>0</v>
      </c>
      <c r="GJ18" s="2">
        <f>((IF((180='V06 Calend 01'!C18),('V06 Calend 01'!F18+'V06 Calend 01'!G18),0)+IF(AND(('V06 Calend 01'!E18&gt;0),(180&gt;'V06 Calend 01'!C18),(180&lt;'V06 Calend 01'!D18),(MOD((180-'V06 Calend 01'!C18),6)=0),(((180-'V06 Calend 01'!C18)/6)&lt;='V06 Calend 01'!E18)),IF((180=('V06 Calend 01'!C18+(6*'V06 Calend 01'!E18))),('V06 Calend 01'!H18-('V06 Calend 01'!I18*('V06 Calend 01'!E18-1))),'V06 Calend 01'!I18),0))+IF((180='V06 Calend 01'!D18),'V06 Calend 01'!J18,0))</f>
        <v>0</v>
      </c>
    </row>
    <row r="19" spans="1:192">
      <c r="A19" s="3" t="str">
        <f>'V06 Unidades'!$A$19</f>
        <v>305</v>
      </c>
      <c r="B19" s="2">
        <f>'V06 Unidades'!$H$19</f>
        <v>410550</v>
      </c>
      <c r="C19" s="4">
        <f>('V06 Unidades'!$I$19+'V06 Controlos'!$B$37)</f>
        <v>7</v>
      </c>
      <c r="D19" s="4">
        <f>IF(('V06 Controlos'!$B$38&gt;0),MAX(('V06 Unidades'!$L$19+'V06 Controlos'!$B$37),(30+'V06 Controlos'!$B$38)),('V06 Unidades'!$L$19+'V06 Controlos'!$B$37))</f>
        <v>30</v>
      </c>
      <c r="E19" s="4">
        <f>MAX(0,INT(((('V06 Calend 01'!D19-'V06 Calend 01'!C19)-1)/6)))</f>
        <v>3</v>
      </c>
      <c r="F19" s="2">
        <f>ROUND(('V06 Calend 01'!B19*0.05),2)</f>
        <v>20527.5</v>
      </c>
      <c r="G19" s="2">
        <f>ROUND(('V06 Calend 01'!B19*0.2),2)</f>
        <v>82110.0</v>
      </c>
      <c r="H19" s="2">
        <f>ROUND(('V06 Calend 01'!B19*0.55),2)</f>
        <v>225802.5</v>
      </c>
      <c r="I19" s="2">
        <f>ROUND(('V06 Calend 01'!H19/MAX(1,'V06 Calend 01'!E19)),2)</f>
        <v>75267.5</v>
      </c>
      <c r="J19" s="2">
        <f>((('V06 Calend 01'!B19-'V06 Calend 01'!F19)-'V06 Calend 01'!G19)-'V06 Calend 01'!H19)</f>
        <v>82110.0</v>
      </c>
      <c r="K19" s="2">
        <f>('V06 Calend 01'!B19*0.025)</f>
        <v>10263.75</v>
      </c>
      <c r="L19" t="s">
        <v>378</v>
      </c>
      <c r="M19" s="2">
        <f>((IF((1='V06 Calend 01'!C19),('V06 Calend 01'!F19+'V06 Calend 01'!G19),0)+IF(AND(('V06 Calend 01'!E19&gt;0),(1&gt;'V06 Calend 01'!C19),(1&lt;'V06 Calend 01'!D19),(MOD((1-'V06 Calend 01'!C19),6)=0),(((1-'V06 Calend 01'!C19)/6)&lt;='V06 Calend 01'!E19)),IF((1=('V06 Calend 01'!C19+(6*'V06 Calend 01'!E19))),('V06 Calend 01'!H19-('V06 Calend 01'!I19*('V06 Calend 01'!E19-1))),'V06 Calend 01'!I19),0))+IF((1='V06 Calend 01'!D19),'V06 Calend 01'!J19,0))</f>
        <v>0</v>
      </c>
      <c r="N19" s="2">
        <f>((IF((2='V06 Calend 01'!C19),('V06 Calend 01'!F19+'V06 Calend 01'!G19),0)+IF(AND(('V06 Calend 01'!E19&gt;0),(2&gt;'V06 Calend 01'!C19),(2&lt;'V06 Calend 01'!D19),(MOD((2-'V06 Calend 01'!C19),6)=0),(((2-'V06 Calend 01'!C19)/6)&lt;='V06 Calend 01'!E19)),IF((2=('V06 Calend 01'!C19+(6*'V06 Calend 01'!E19))),('V06 Calend 01'!H19-('V06 Calend 01'!I19*('V06 Calend 01'!E19-1))),'V06 Calend 01'!I19),0))+IF((2='V06 Calend 01'!D19),'V06 Calend 01'!J19,0))</f>
        <v>0</v>
      </c>
      <c r="O19" s="2">
        <f>((IF((3='V06 Calend 01'!C19),('V06 Calend 01'!F19+'V06 Calend 01'!G19),0)+IF(AND(('V06 Calend 01'!E19&gt;0),(3&gt;'V06 Calend 01'!C19),(3&lt;'V06 Calend 01'!D19),(MOD((3-'V06 Calend 01'!C19),6)=0),(((3-'V06 Calend 01'!C19)/6)&lt;='V06 Calend 01'!E19)),IF((3=('V06 Calend 01'!C19+(6*'V06 Calend 01'!E19))),('V06 Calend 01'!H19-('V06 Calend 01'!I19*('V06 Calend 01'!E19-1))),'V06 Calend 01'!I19),0))+IF((3='V06 Calend 01'!D19),'V06 Calend 01'!J19,0))</f>
        <v>0</v>
      </c>
      <c r="P19" s="2">
        <f>((IF((4='V06 Calend 01'!C19),('V06 Calend 01'!F19+'V06 Calend 01'!G19),0)+IF(AND(('V06 Calend 01'!E19&gt;0),(4&gt;'V06 Calend 01'!C19),(4&lt;'V06 Calend 01'!D19),(MOD((4-'V06 Calend 01'!C19),6)=0),(((4-'V06 Calend 01'!C19)/6)&lt;='V06 Calend 01'!E19)),IF((4=('V06 Calend 01'!C19+(6*'V06 Calend 01'!E19))),('V06 Calend 01'!H19-('V06 Calend 01'!I19*('V06 Calend 01'!E19-1))),'V06 Calend 01'!I19),0))+IF((4='V06 Calend 01'!D19),'V06 Calend 01'!J19,0))</f>
        <v>0</v>
      </c>
      <c r="Q19" s="2">
        <f>((IF((5='V06 Calend 01'!C19),('V06 Calend 01'!F19+'V06 Calend 01'!G19),0)+IF(AND(('V06 Calend 01'!E19&gt;0),(5&gt;'V06 Calend 01'!C19),(5&lt;'V06 Calend 01'!D19),(MOD((5-'V06 Calend 01'!C19),6)=0),(((5-'V06 Calend 01'!C19)/6)&lt;='V06 Calend 01'!E19)),IF((5=('V06 Calend 01'!C19+(6*'V06 Calend 01'!E19))),('V06 Calend 01'!H19-('V06 Calend 01'!I19*('V06 Calend 01'!E19-1))),'V06 Calend 01'!I19),0))+IF((5='V06 Calend 01'!D19),'V06 Calend 01'!J19,0))</f>
        <v>0</v>
      </c>
      <c r="R19" s="2">
        <f>((IF((6='V06 Calend 01'!C19),('V06 Calend 01'!F19+'V06 Calend 01'!G19),0)+IF(AND(('V06 Calend 01'!E19&gt;0),(6&gt;'V06 Calend 01'!C19),(6&lt;'V06 Calend 01'!D19),(MOD((6-'V06 Calend 01'!C19),6)=0),(((6-'V06 Calend 01'!C19)/6)&lt;='V06 Calend 01'!E19)),IF((6=('V06 Calend 01'!C19+(6*'V06 Calend 01'!E19))),('V06 Calend 01'!H19-('V06 Calend 01'!I19*('V06 Calend 01'!E19-1))),'V06 Calend 01'!I19),0))+IF((6='V06 Calend 01'!D19),'V06 Calend 01'!J19,0))</f>
        <v>0</v>
      </c>
      <c r="S19" s="2">
        <f>((IF((7='V06 Calend 01'!C19),('V06 Calend 01'!F19+'V06 Calend 01'!G19),0)+IF(AND(('V06 Calend 01'!E19&gt;0),(7&gt;'V06 Calend 01'!C19),(7&lt;'V06 Calend 01'!D19),(MOD((7-'V06 Calend 01'!C19),6)=0),(((7-'V06 Calend 01'!C19)/6)&lt;='V06 Calend 01'!E19)),IF((7=('V06 Calend 01'!C19+(6*'V06 Calend 01'!E19))),('V06 Calend 01'!H19-('V06 Calend 01'!I19*('V06 Calend 01'!E19-1))),'V06 Calend 01'!I19),0))+IF((7='V06 Calend 01'!D19),'V06 Calend 01'!J19,0))</f>
        <v>102637.5</v>
      </c>
      <c r="T19" s="2">
        <f>((IF((8='V06 Calend 01'!C19),('V06 Calend 01'!F19+'V06 Calend 01'!G19),0)+IF(AND(('V06 Calend 01'!E19&gt;0),(8&gt;'V06 Calend 01'!C19),(8&lt;'V06 Calend 01'!D19),(MOD((8-'V06 Calend 01'!C19),6)=0),(((8-'V06 Calend 01'!C19)/6)&lt;='V06 Calend 01'!E19)),IF((8=('V06 Calend 01'!C19+(6*'V06 Calend 01'!E19))),('V06 Calend 01'!H19-('V06 Calend 01'!I19*('V06 Calend 01'!E19-1))),'V06 Calend 01'!I19),0))+IF((8='V06 Calend 01'!D19),'V06 Calend 01'!J19,0))</f>
        <v>0</v>
      </c>
      <c r="U19" s="2">
        <f>((IF((9='V06 Calend 01'!C19),('V06 Calend 01'!F19+'V06 Calend 01'!G19),0)+IF(AND(('V06 Calend 01'!E19&gt;0),(9&gt;'V06 Calend 01'!C19),(9&lt;'V06 Calend 01'!D19),(MOD((9-'V06 Calend 01'!C19),6)=0),(((9-'V06 Calend 01'!C19)/6)&lt;='V06 Calend 01'!E19)),IF((9=('V06 Calend 01'!C19+(6*'V06 Calend 01'!E19))),('V06 Calend 01'!H19-('V06 Calend 01'!I19*('V06 Calend 01'!E19-1))),'V06 Calend 01'!I19),0))+IF((9='V06 Calend 01'!D19),'V06 Calend 01'!J19,0))</f>
        <v>0</v>
      </c>
      <c r="V19" s="2">
        <f>((IF((10='V06 Calend 01'!C19),('V06 Calend 01'!F19+'V06 Calend 01'!G19),0)+IF(AND(('V06 Calend 01'!E19&gt;0),(10&gt;'V06 Calend 01'!C19),(10&lt;'V06 Calend 01'!D19),(MOD((10-'V06 Calend 01'!C19),6)=0),(((10-'V06 Calend 01'!C19)/6)&lt;='V06 Calend 01'!E19)),IF((10=('V06 Calend 01'!C19+(6*'V06 Calend 01'!E19))),('V06 Calend 01'!H19-('V06 Calend 01'!I19*('V06 Calend 01'!E19-1))),'V06 Calend 01'!I19),0))+IF((10='V06 Calend 01'!D19),'V06 Calend 01'!J19,0))</f>
        <v>0</v>
      </c>
      <c r="W19" s="2">
        <f>((IF((11='V06 Calend 01'!C19),('V06 Calend 01'!F19+'V06 Calend 01'!G19),0)+IF(AND(('V06 Calend 01'!E19&gt;0),(11&gt;'V06 Calend 01'!C19),(11&lt;'V06 Calend 01'!D19),(MOD((11-'V06 Calend 01'!C19),6)=0),(((11-'V06 Calend 01'!C19)/6)&lt;='V06 Calend 01'!E19)),IF((11=('V06 Calend 01'!C19+(6*'V06 Calend 01'!E19))),('V06 Calend 01'!H19-('V06 Calend 01'!I19*('V06 Calend 01'!E19-1))),'V06 Calend 01'!I19),0))+IF((11='V06 Calend 01'!D19),'V06 Calend 01'!J19,0))</f>
        <v>0</v>
      </c>
      <c r="X19" s="2">
        <f>((IF((12='V06 Calend 01'!C19),('V06 Calend 01'!F19+'V06 Calend 01'!G19),0)+IF(AND(('V06 Calend 01'!E19&gt;0),(12&gt;'V06 Calend 01'!C19),(12&lt;'V06 Calend 01'!D19),(MOD((12-'V06 Calend 01'!C19),6)=0),(((12-'V06 Calend 01'!C19)/6)&lt;='V06 Calend 01'!E19)),IF((12=('V06 Calend 01'!C19+(6*'V06 Calend 01'!E19))),('V06 Calend 01'!H19-('V06 Calend 01'!I19*('V06 Calend 01'!E19-1))),'V06 Calend 01'!I19),0))+IF((12='V06 Calend 01'!D19),'V06 Calend 01'!J19,0))</f>
        <v>0</v>
      </c>
      <c r="Y19" s="2">
        <f>((IF((13='V06 Calend 01'!C19),('V06 Calend 01'!F19+'V06 Calend 01'!G19),0)+IF(AND(('V06 Calend 01'!E19&gt;0),(13&gt;'V06 Calend 01'!C19),(13&lt;'V06 Calend 01'!D19),(MOD((13-'V06 Calend 01'!C19),6)=0),(((13-'V06 Calend 01'!C19)/6)&lt;='V06 Calend 01'!E19)),IF((13=('V06 Calend 01'!C19+(6*'V06 Calend 01'!E19))),('V06 Calend 01'!H19-('V06 Calend 01'!I19*('V06 Calend 01'!E19-1))),'V06 Calend 01'!I19),0))+IF((13='V06 Calend 01'!D19),'V06 Calend 01'!J19,0))</f>
        <v>75267.5</v>
      </c>
      <c r="Z19" s="2">
        <f>((IF((14='V06 Calend 01'!C19),('V06 Calend 01'!F19+'V06 Calend 01'!G19),0)+IF(AND(('V06 Calend 01'!E19&gt;0),(14&gt;'V06 Calend 01'!C19),(14&lt;'V06 Calend 01'!D19),(MOD((14-'V06 Calend 01'!C19),6)=0),(((14-'V06 Calend 01'!C19)/6)&lt;='V06 Calend 01'!E19)),IF((14=('V06 Calend 01'!C19+(6*'V06 Calend 01'!E19))),('V06 Calend 01'!H19-('V06 Calend 01'!I19*('V06 Calend 01'!E19-1))),'V06 Calend 01'!I19),0))+IF((14='V06 Calend 01'!D19),'V06 Calend 01'!J19,0))</f>
        <v>0</v>
      </c>
      <c r="AA19" s="2">
        <f>((IF((15='V06 Calend 01'!C19),('V06 Calend 01'!F19+'V06 Calend 01'!G19),0)+IF(AND(('V06 Calend 01'!E19&gt;0),(15&gt;'V06 Calend 01'!C19),(15&lt;'V06 Calend 01'!D19),(MOD((15-'V06 Calend 01'!C19),6)=0),(((15-'V06 Calend 01'!C19)/6)&lt;='V06 Calend 01'!E19)),IF((15=('V06 Calend 01'!C19+(6*'V06 Calend 01'!E19))),('V06 Calend 01'!H19-('V06 Calend 01'!I19*('V06 Calend 01'!E19-1))),'V06 Calend 01'!I19),0))+IF((15='V06 Calend 01'!D19),'V06 Calend 01'!J19,0))</f>
        <v>0</v>
      </c>
      <c r="AB19" s="2">
        <f>((IF((16='V06 Calend 01'!C19),('V06 Calend 01'!F19+'V06 Calend 01'!G19),0)+IF(AND(('V06 Calend 01'!E19&gt;0),(16&gt;'V06 Calend 01'!C19),(16&lt;'V06 Calend 01'!D19),(MOD((16-'V06 Calend 01'!C19),6)=0),(((16-'V06 Calend 01'!C19)/6)&lt;='V06 Calend 01'!E19)),IF((16=('V06 Calend 01'!C19+(6*'V06 Calend 01'!E19))),('V06 Calend 01'!H19-('V06 Calend 01'!I19*('V06 Calend 01'!E19-1))),'V06 Calend 01'!I19),0))+IF((16='V06 Calend 01'!D19),'V06 Calend 01'!J19,0))</f>
        <v>0</v>
      </c>
      <c r="AC19" s="2">
        <f>((IF((17='V06 Calend 01'!C19),('V06 Calend 01'!F19+'V06 Calend 01'!G19),0)+IF(AND(('V06 Calend 01'!E19&gt;0),(17&gt;'V06 Calend 01'!C19),(17&lt;'V06 Calend 01'!D19),(MOD((17-'V06 Calend 01'!C19),6)=0),(((17-'V06 Calend 01'!C19)/6)&lt;='V06 Calend 01'!E19)),IF((17=('V06 Calend 01'!C19+(6*'V06 Calend 01'!E19))),('V06 Calend 01'!H19-('V06 Calend 01'!I19*('V06 Calend 01'!E19-1))),'V06 Calend 01'!I19),0))+IF((17='V06 Calend 01'!D19),'V06 Calend 01'!J19,0))</f>
        <v>0</v>
      </c>
      <c r="AD19" s="2">
        <f>((IF((18='V06 Calend 01'!C19),('V06 Calend 01'!F19+'V06 Calend 01'!G19),0)+IF(AND(('V06 Calend 01'!E19&gt;0),(18&gt;'V06 Calend 01'!C19),(18&lt;'V06 Calend 01'!D19),(MOD((18-'V06 Calend 01'!C19),6)=0),(((18-'V06 Calend 01'!C19)/6)&lt;='V06 Calend 01'!E19)),IF((18=('V06 Calend 01'!C19+(6*'V06 Calend 01'!E19))),('V06 Calend 01'!H19-('V06 Calend 01'!I19*('V06 Calend 01'!E19-1))),'V06 Calend 01'!I19),0))+IF((18='V06 Calend 01'!D19),'V06 Calend 01'!J19,0))</f>
        <v>0</v>
      </c>
      <c r="AE19" s="2">
        <f>((IF((19='V06 Calend 01'!C19),('V06 Calend 01'!F19+'V06 Calend 01'!G19),0)+IF(AND(('V06 Calend 01'!E19&gt;0),(19&gt;'V06 Calend 01'!C19),(19&lt;'V06 Calend 01'!D19),(MOD((19-'V06 Calend 01'!C19),6)=0),(((19-'V06 Calend 01'!C19)/6)&lt;='V06 Calend 01'!E19)),IF((19=('V06 Calend 01'!C19+(6*'V06 Calend 01'!E19))),('V06 Calend 01'!H19-('V06 Calend 01'!I19*('V06 Calend 01'!E19-1))),'V06 Calend 01'!I19),0))+IF((19='V06 Calend 01'!D19),'V06 Calend 01'!J19,0))</f>
        <v>75267.5</v>
      </c>
      <c r="AF19" s="2">
        <f>((IF((20='V06 Calend 01'!C19),('V06 Calend 01'!F19+'V06 Calend 01'!G19),0)+IF(AND(('V06 Calend 01'!E19&gt;0),(20&gt;'V06 Calend 01'!C19),(20&lt;'V06 Calend 01'!D19),(MOD((20-'V06 Calend 01'!C19),6)=0),(((20-'V06 Calend 01'!C19)/6)&lt;='V06 Calend 01'!E19)),IF((20=('V06 Calend 01'!C19+(6*'V06 Calend 01'!E19))),('V06 Calend 01'!H19-('V06 Calend 01'!I19*('V06 Calend 01'!E19-1))),'V06 Calend 01'!I19),0))+IF((20='V06 Calend 01'!D19),'V06 Calend 01'!J19,0))</f>
        <v>0</v>
      </c>
      <c r="AG19" s="2">
        <f>((IF((21='V06 Calend 01'!C19),('V06 Calend 01'!F19+'V06 Calend 01'!G19),0)+IF(AND(('V06 Calend 01'!E19&gt;0),(21&gt;'V06 Calend 01'!C19),(21&lt;'V06 Calend 01'!D19),(MOD((21-'V06 Calend 01'!C19),6)=0),(((21-'V06 Calend 01'!C19)/6)&lt;='V06 Calend 01'!E19)),IF((21=('V06 Calend 01'!C19+(6*'V06 Calend 01'!E19))),('V06 Calend 01'!H19-('V06 Calend 01'!I19*('V06 Calend 01'!E19-1))),'V06 Calend 01'!I19),0))+IF((21='V06 Calend 01'!D19),'V06 Calend 01'!J19,0))</f>
        <v>0</v>
      </c>
      <c r="AH19" s="2">
        <f>((IF((22='V06 Calend 01'!C19),('V06 Calend 01'!F19+'V06 Calend 01'!G19),0)+IF(AND(('V06 Calend 01'!E19&gt;0),(22&gt;'V06 Calend 01'!C19),(22&lt;'V06 Calend 01'!D19),(MOD((22-'V06 Calend 01'!C19),6)=0),(((22-'V06 Calend 01'!C19)/6)&lt;='V06 Calend 01'!E19)),IF((22=('V06 Calend 01'!C19+(6*'V06 Calend 01'!E19))),('V06 Calend 01'!H19-('V06 Calend 01'!I19*('V06 Calend 01'!E19-1))),'V06 Calend 01'!I19),0))+IF((22='V06 Calend 01'!D19),'V06 Calend 01'!J19,0))</f>
        <v>0</v>
      </c>
      <c r="AI19" s="2">
        <f>((IF((23='V06 Calend 01'!C19),('V06 Calend 01'!F19+'V06 Calend 01'!G19),0)+IF(AND(('V06 Calend 01'!E19&gt;0),(23&gt;'V06 Calend 01'!C19),(23&lt;'V06 Calend 01'!D19),(MOD((23-'V06 Calend 01'!C19),6)=0),(((23-'V06 Calend 01'!C19)/6)&lt;='V06 Calend 01'!E19)),IF((23=('V06 Calend 01'!C19+(6*'V06 Calend 01'!E19))),('V06 Calend 01'!H19-('V06 Calend 01'!I19*('V06 Calend 01'!E19-1))),'V06 Calend 01'!I19),0))+IF((23='V06 Calend 01'!D19),'V06 Calend 01'!J19,0))</f>
        <v>0</v>
      </c>
      <c r="AJ19" s="2">
        <f>((IF((24='V06 Calend 01'!C19),('V06 Calend 01'!F19+'V06 Calend 01'!G19),0)+IF(AND(('V06 Calend 01'!E19&gt;0),(24&gt;'V06 Calend 01'!C19),(24&lt;'V06 Calend 01'!D19),(MOD((24-'V06 Calend 01'!C19),6)=0),(((24-'V06 Calend 01'!C19)/6)&lt;='V06 Calend 01'!E19)),IF((24=('V06 Calend 01'!C19+(6*'V06 Calend 01'!E19))),('V06 Calend 01'!H19-('V06 Calend 01'!I19*('V06 Calend 01'!E19-1))),'V06 Calend 01'!I19),0))+IF((24='V06 Calend 01'!D19),'V06 Calend 01'!J19,0))</f>
        <v>0</v>
      </c>
      <c r="AK19" s="2">
        <f>((IF((25='V06 Calend 01'!C19),('V06 Calend 01'!F19+'V06 Calend 01'!G19),0)+IF(AND(('V06 Calend 01'!E19&gt;0),(25&gt;'V06 Calend 01'!C19),(25&lt;'V06 Calend 01'!D19),(MOD((25-'V06 Calend 01'!C19),6)=0),(((25-'V06 Calend 01'!C19)/6)&lt;='V06 Calend 01'!E19)),IF((25=('V06 Calend 01'!C19+(6*'V06 Calend 01'!E19))),('V06 Calend 01'!H19-('V06 Calend 01'!I19*('V06 Calend 01'!E19-1))),'V06 Calend 01'!I19),0))+IF((25='V06 Calend 01'!D19),'V06 Calend 01'!J19,0))</f>
        <v>75267.5</v>
      </c>
      <c r="AL19" s="2">
        <f>((IF((26='V06 Calend 01'!C19),('V06 Calend 01'!F19+'V06 Calend 01'!G19),0)+IF(AND(('V06 Calend 01'!E19&gt;0),(26&gt;'V06 Calend 01'!C19),(26&lt;'V06 Calend 01'!D19),(MOD((26-'V06 Calend 01'!C19),6)=0),(((26-'V06 Calend 01'!C19)/6)&lt;='V06 Calend 01'!E19)),IF((26=('V06 Calend 01'!C19+(6*'V06 Calend 01'!E19))),('V06 Calend 01'!H19-('V06 Calend 01'!I19*('V06 Calend 01'!E19-1))),'V06 Calend 01'!I19),0))+IF((26='V06 Calend 01'!D19),'V06 Calend 01'!J19,0))</f>
        <v>0</v>
      </c>
      <c r="AM19" s="2">
        <f>((IF((27='V06 Calend 01'!C19),('V06 Calend 01'!F19+'V06 Calend 01'!G19),0)+IF(AND(('V06 Calend 01'!E19&gt;0),(27&gt;'V06 Calend 01'!C19),(27&lt;'V06 Calend 01'!D19),(MOD((27-'V06 Calend 01'!C19),6)=0),(((27-'V06 Calend 01'!C19)/6)&lt;='V06 Calend 01'!E19)),IF((27=('V06 Calend 01'!C19+(6*'V06 Calend 01'!E19))),('V06 Calend 01'!H19-('V06 Calend 01'!I19*('V06 Calend 01'!E19-1))),'V06 Calend 01'!I19),0))+IF((27='V06 Calend 01'!D19),'V06 Calend 01'!J19,0))</f>
        <v>0</v>
      </c>
      <c r="AN19" s="2">
        <f>((IF((28='V06 Calend 01'!C19),('V06 Calend 01'!F19+'V06 Calend 01'!G19),0)+IF(AND(('V06 Calend 01'!E19&gt;0),(28&gt;'V06 Calend 01'!C19),(28&lt;'V06 Calend 01'!D19),(MOD((28-'V06 Calend 01'!C19),6)=0),(((28-'V06 Calend 01'!C19)/6)&lt;='V06 Calend 01'!E19)),IF((28=('V06 Calend 01'!C19+(6*'V06 Calend 01'!E19))),('V06 Calend 01'!H19-('V06 Calend 01'!I19*('V06 Calend 01'!E19-1))),'V06 Calend 01'!I19),0))+IF((28='V06 Calend 01'!D19),'V06 Calend 01'!J19,0))</f>
        <v>0</v>
      </c>
      <c r="AO19" s="2">
        <f>((IF((29='V06 Calend 01'!C19),('V06 Calend 01'!F19+'V06 Calend 01'!G19),0)+IF(AND(('V06 Calend 01'!E19&gt;0),(29&gt;'V06 Calend 01'!C19),(29&lt;'V06 Calend 01'!D19),(MOD((29-'V06 Calend 01'!C19),6)=0),(((29-'V06 Calend 01'!C19)/6)&lt;='V06 Calend 01'!E19)),IF((29=('V06 Calend 01'!C19+(6*'V06 Calend 01'!E19))),('V06 Calend 01'!H19-('V06 Calend 01'!I19*('V06 Calend 01'!E19-1))),'V06 Calend 01'!I19),0))+IF((29='V06 Calend 01'!D19),'V06 Calend 01'!J19,0))</f>
        <v>0</v>
      </c>
      <c r="AP19" s="2">
        <f>((IF((30='V06 Calend 01'!C19),('V06 Calend 01'!F19+'V06 Calend 01'!G19),0)+IF(AND(('V06 Calend 01'!E19&gt;0),(30&gt;'V06 Calend 01'!C19),(30&lt;'V06 Calend 01'!D19),(MOD((30-'V06 Calend 01'!C19),6)=0),(((30-'V06 Calend 01'!C19)/6)&lt;='V06 Calend 01'!E19)),IF((30=('V06 Calend 01'!C19+(6*'V06 Calend 01'!E19))),('V06 Calend 01'!H19-('V06 Calend 01'!I19*('V06 Calend 01'!E19-1))),'V06 Calend 01'!I19),0))+IF((30='V06 Calend 01'!D19),'V06 Calend 01'!J19,0))</f>
        <v>82110.0</v>
      </c>
      <c r="AQ19" s="2">
        <f>((IF((31='V06 Calend 01'!C19),('V06 Calend 01'!F19+'V06 Calend 01'!G19),0)+IF(AND(('V06 Calend 01'!E19&gt;0),(31&gt;'V06 Calend 01'!C19),(31&lt;'V06 Calend 01'!D19),(MOD((31-'V06 Calend 01'!C19),6)=0),(((31-'V06 Calend 01'!C19)/6)&lt;='V06 Calend 01'!E19)),IF((31=('V06 Calend 01'!C19+(6*'V06 Calend 01'!E19))),('V06 Calend 01'!H19-('V06 Calend 01'!I19*('V06 Calend 01'!E19-1))),'V06 Calend 01'!I19),0))+IF((31='V06 Calend 01'!D19),'V06 Calend 01'!J19,0))</f>
        <v>0</v>
      </c>
      <c r="AR19" s="2">
        <f>((IF((32='V06 Calend 01'!C19),('V06 Calend 01'!F19+'V06 Calend 01'!G19),0)+IF(AND(('V06 Calend 01'!E19&gt;0),(32&gt;'V06 Calend 01'!C19),(32&lt;'V06 Calend 01'!D19),(MOD((32-'V06 Calend 01'!C19),6)=0),(((32-'V06 Calend 01'!C19)/6)&lt;='V06 Calend 01'!E19)),IF((32=('V06 Calend 01'!C19+(6*'V06 Calend 01'!E19))),('V06 Calend 01'!H19-('V06 Calend 01'!I19*('V06 Calend 01'!E19-1))),'V06 Calend 01'!I19),0))+IF((32='V06 Calend 01'!D19),'V06 Calend 01'!J19,0))</f>
        <v>0</v>
      </c>
      <c r="AS19" s="2">
        <f>((IF((33='V06 Calend 01'!C19),('V06 Calend 01'!F19+'V06 Calend 01'!G19),0)+IF(AND(('V06 Calend 01'!E19&gt;0),(33&gt;'V06 Calend 01'!C19),(33&lt;'V06 Calend 01'!D19),(MOD((33-'V06 Calend 01'!C19),6)=0),(((33-'V06 Calend 01'!C19)/6)&lt;='V06 Calend 01'!E19)),IF((33=('V06 Calend 01'!C19+(6*'V06 Calend 01'!E19))),('V06 Calend 01'!H19-('V06 Calend 01'!I19*('V06 Calend 01'!E19-1))),'V06 Calend 01'!I19),0))+IF((33='V06 Calend 01'!D19),'V06 Calend 01'!J19,0))</f>
        <v>0</v>
      </c>
      <c r="AT19" s="2">
        <f>((IF((34='V06 Calend 01'!C19),('V06 Calend 01'!F19+'V06 Calend 01'!G19),0)+IF(AND(('V06 Calend 01'!E19&gt;0),(34&gt;'V06 Calend 01'!C19),(34&lt;'V06 Calend 01'!D19),(MOD((34-'V06 Calend 01'!C19),6)=0),(((34-'V06 Calend 01'!C19)/6)&lt;='V06 Calend 01'!E19)),IF((34=('V06 Calend 01'!C19+(6*'V06 Calend 01'!E19))),('V06 Calend 01'!H19-('V06 Calend 01'!I19*('V06 Calend 01'!E19-1))),'V06 Calend 01'!I19),0))+IF((34='V06 Calend 01'!D19),'V06 Calend 01'!J19,0))</f>
        <v>0</v>
      </c>
      <c r="AU19" s="2">
        <f>((IF((35='V06 Calend 01'!C19),('V06 Calend 01'!F19+'V06 Calend 01'!G19),0)+IF(AND(('V06 Calend 01'!E19&gt;0),(35&gt;'V06 Calend 01'!C19),(35&lt;'V06 Calend 01'!D19),(MOD((35-'V06 Calend 01'!C19),6)=0),(((35-'V06 Calend 01'!C19)/6)&lt;='V06 Calend 01'!E19)),IF((35=('V06 Calend 01'!C19+(6*'V06 Calend 01'!E19))),('V06 Calend 01'!H19-('V06 Calend 01'!I19*('V06 Calend 01'!E19-1))),'V06 Calend 01'!I19),0))+IF((35='V06 Calend 01'!D19),'V06 Calend 01'!J19,0))</f>
        <v>0</v>
      </c>
      <c r="AV19" s="2">
        <f>((IF((36='V06 Calend 01'!C19),('V06 Calend 01'!F19+'V06 Calend 01'!G19),0)+IF(AND(('V06 Calend 01'!E19&gt;0),(36&gt;'V06 Calend 01'!C19),(36&lt;'V06 Calend 01'!D19),(MOD((36-'V06 Calend 01'!C19),6)=0),(((36-'V06 Calend 01'!C19)/6)&lt;='V06 Calend 01'!E19)),IF((36=('V06 Calend 01'!C19+(6*'V06 Calend 01'!E19))),('V06 Calend 01'!H19-('V06 Calend 01'!I19*('V06 Calend 01'!E19-1))),'V06 Calend 01'!I19),0))+IF((36='V06 Calend 01'!D19),'V06 Calend 01'!J19,0))</f>
        <v>0</v>
      </c>
      <c r="AW19" s="2">
        <f>((IF((37='V06 Calend 01'!C19),('V06 Calend 01'!F19+'V06 Calend 01'!G19),0)+IF(AND(('V06 Calend 01'!E19&gt;0),(37&gt;'V06 Calend 01'!C19),(37&lt;'V06 Calend 01'!D19),(MOD((37-'V06 Calend 01'!C19),6)=0),(((37-'V06 Calend 01'!C19)/6)&lt;='V06 Calend 01'!E19)),IF((37=('V06 Calend 01'!C19+(6*'V06 Calend 01'!E19))),('V06 Calend 01'!H19-('V06 Calend 01'!I19*('V06 Calend 01'!E19-1))),'V06 Calend 01'!I19),0))+IF((37='V06 Calend 01'!D19),'V06 Calend 01'!J19,0))</f>
        <v>0</v>
      </c>
      <c r="AX19" s="2">
        <f>((IF((38='V06 Calend 01'!C19),('V06 Calend 01'!F19+'V06 Calend 01'!G19),0)+IF(AND(('V06 Calend 01'!E19&gt;0),(38&gt;'V06 Calend 01'!C19),(38&lt;'V06 Calend 01'!D19),(MOD((38-'V06 Calend 01'!C19),6)=0),(((38-'V06 Calend 01'!C19)/6)&lt;='V06 Calend 01'!E19)),IF((38=('V06 Calend 01'!C19+(6*'V06 Calend 01'!E19))),('V06 Calend 01'!H19-('V06 Calend 01'!I19*('V06 Calend 01'!E19-1))),'V06 Calend 01'!I19),0))+IF((38='V06 Calend 01'!D19),'V06 Calend 01'!J19,0))</f>
        <v>0</v>
      </c>
      <c r="AY19" s="2">
        <f>((IF((39='V06 Calend 01'!C19),('V06 Calend 01'!F19+'V06 Calend 01'!G19),0)+IF(AND(('V06 Calend 01'!E19&gt;0),(39&gt;'V06 Calend 01'!C19),(39&lt;'V06 Calend 01'!D19),(MOD((39-'V06 Calend 01'!C19),6)=0),(((39-'V06 Calend 01'!C19)/6)&lt;='V06 Calend 01'!E19)),IF((39=('V06 Calend 01'!C19+(6*'V06 Calend 01'!E19))),('V06 Calend 01'!H19-('V06 Calend 01'!I19*('V06 Calend 01'!E19-1))),'V06 Calend 01'!I19),0))+IF((39='V06 Calend 01'!D19),'V06 Calend 01'!J19,0))</f>
        <v>0</v>
      </c>
      <c r="AZ19" s="2">
        <f>((IF((40='V06 Calend 01'!C19),('V06 Calend 01'!F19+'V06 Calend 01'!G19),0)+IF(AND(('V06 Calend 01'!E19&gt;0),(40&gt;'V06 Calend 01'!C19),(40&lt;'V06 Calend 01'!D19),(MOD((40-'V06 Calend 01'!C19),6)=0),(((40-'V06 Calend 01'!C19)/6)&lt;='V06 Calend 01'!E19)),IF((40=('V06 Calend 01'!C19+(6*'V06 Calend 01'!E19))),('V06 Calend 01'!H19-('V06 Calend 01'!I19*('V06 Calend 01'!E19-1))),'V06 Calend 01'!I19),0))+IF((40='V06 Calend 01'!D19),'V06 Calend 01'!J19,0))</f>
        <v>0</v>
      </c>
      <c r="BA19" s="2">
        <f>((IF((41='V06 Calend 01'!C19),('V06 Calend 01'!F19+'V06 Calend 01'!G19),0)+IF(AND(('V06 Calend 01'!E19&gt;0),(41&gt;'V06 Calend 01'!C19),(41&lt;'V06 Calend 01'!D19),(MOD((41-'V06 Calend 01'!C19),6)=0),(((41-'V06 Calend 01'!C19)/6)&lt;='V06 Calend 01'!E19)),IF((41=('V06 Calend 01'!C19+(6*'V06 Calend 01'!E19))),('V06 Calend 01'!H19-('V06 Calend 01'!I19*('V06 Calend 01'!E19-1))),'V06 Calend 01'!I19),0))+IF((41='V06 Calend 01'!D19),'V06 Calend 01'!J19,0))</f>
        <v>0</v>
      </c>
      <c r="BB19" s="2">
        <f>((IF((42='V06 Calend 01'!C19),('V06 Calend 01'!F19+'V06 Calend 01'!G19),0)+IF(AND(('V06 Calend 01'!E19&gt;0),(42&gt;'V06 Calend 01'!C19),(42&lt;'V06 Calend 01'!D19),(MOD((42-'V06 Calend 01'!C19),6)=0),(((42-'V06 Calend 01'!C19)/6)&lt;='V06 Calend 01'!E19)),IF((42=('V06 Calend 01'!C19+(6*'V06 Calend 01'!E19))),('V06 Calend 01'!H19-('V06 Calend 01'!I19*('V06 Calend 01'!E19-1))),'V06 Calend 01'!I19),0))+IF((42='V06 Calend 01'!D19),'V06 Calend 01'!J19,0))</f>
        <v>0</v>
      </c>
      <c r="BC19" s="2">
        <f>((IF((43='V06 Calend 01'!C19),('V06 Calend 01'!F19+'V06 Calend 01'!G19),0)+IF(AND(('V06 Calend 01'!E19&gt;0),(43&gt;'V06 Calend 01'!C19),(43&lt;'V06 Calend 01'!D19),(MOD((43-'V06 Calend 01'!C19),6)=0),(((43-'V06 Calend 01'!C19)/6)&lt;='V06 Calend 01'!E19)),IF((43=('V06 Calend 01'!C19+(6*'V06 Calend 01'!E19))),('V06 Calend 01'!H19-('V06 Calend 01'!I19*('V06 Calend 01'!E19-1))),'V06 Calend 01'!I19),0))+IF((43='V06 Calend 01'!D19),'V06 Calend 01'!J19,0))</f>
        <v>0</v>
      </c>
      <c r="BD19" s="2">
        <f>((IF((44='V06 Calend 01'!C19),('V06 Calend 01'!F19+'V06 Calend 01'!G19),0)+IF(AND(('V06 Calend 01'!E19&gt;0),(44&gt;'V06 Calend 01'!C19),(44&lt;'V06 Calend 01'!D19),(MOD((44-'V06 Calend 01'!C19),6)=0),(((44-'V06 Calend 01'!C19)/6)&lt;='V06 Calend 01'!E19)),IF((44=('V06 Calend 01'!C19+(6*'V06 Calend 01'!E19))),('V06 Calend 01'!H19-('V06 Calend 01'!I19*('V06 Calend 01'!E19-1))),'V06 Calend 01'!I19),0))+IF((44='V06 Calend 01'!D19),'V06 Calend 01'!J19,0))</f>
        <v>0</v>
      </c>
      <c r="BE19" s="2">
        <f>((IF((45='V06 Calend 01'!C19),('V06 Calend 01'!F19+'V06 Calend 01'!G19),0)+IF(AND(('V06 Calend 01'!E19&gt;0),(45&gt;'V06 Calend 01'!C19),(45&lt;'V06 Calend 01'!D19),(MOD((45-'V06 Calend 01'!C19),6)=0),(((45-'V06 Calend 01'!C19)/6)&lt;='V06 Calend 01'!E19)),IF((45=('V06 Calend 01'!C19+(6*'V06 Calend 01'!E19))),('V06 Calend 01'!H19-('V06 Calend 01'!I19*('V06 Calend 01'!E19-1))),'V06 Calend 01'!I19),0))+IF((45='V06 Calend 01'!D19),'V06 Calend 01'!J19,0))</f>
        <v>0</v>
      </c>
      <c r="BF19" s="2">
        <f>((IF((46='V06 Calend 01'!C19),('V06 Calend 01'!F19+'V06 Calend 01'!G19),0)+IF(AND(('V06 Calend 01'!E19&gt;0),(46&gt;'V06 Calend 01'!C19),(46&lt;'V06 Calend 01'!D19),(MOD((46-'V06 Calend 01'!C19),6)=0),(((46-'V06 Calend 01'!C19)/6)&lt;='V06 Calend 01'!E19)),IF((46=('V06 Calend 01'!C19+(6*'V06 Calend 01'!E19))),('V06 Calend 01'!H19-('V06 Calend 01'!I19*('V06 Calend 01'!E19-1))),'V06 Calend 01'!I19),0))+IF((46='V06 Calend 01'!D19),'V06 Calend 01'!J19,0))</f>
        <v>0</v>
      </c>
      <c r="BG19" s="2">
        <f>((IF((47='V06 Calend 01'!C19),('V06 Calend 01'!F19+'V06 Calend 01'!G19),0)+IF(AND(('V06 Calend 01'!E19&gt;0),(47&gt;'V06 Calend 01'!C19),(47&lt;'V06 Calend 01'!D19),(MOD((47-'V06 Calend 01'!C19),6)=0),(((47-'V06 Calend 01'!C19)/6)&lt;='V06 Calend 01'!E19)),IF((47=('V06 Calend 01'!C19+(6*'V06 Calend 01'!E19))),('V06 Calend 01'!H19-('V06 Calend 01'!I19*('V06 Calend 01'!E19-1))),'V06 Calend 01'!I19),0))+IF((47='V06 Calend 01'!D19),'V06 Calend 01'!J19,0))</f>
        <v>0</v>
      </c>
      <c r="BH19" s="2">
        <f>((IF((48='V06 Calend 01'!C19),('V06 Calend 01'!F19+'V06 Calend 01'!G19),0)+IF(AND(('V06 Calend 01'!E19&gt;0),(48&gt;'V06 Calend 01'!C19),(48&lt;'V06 Calend 01'!D19),(MOD((48-'V06 Calend 01'!C19),6)=0),(((48-'V06 Calend 01'!C19)/6)&lt;='V06 Calend 01'!E19)),IF((48=('V06 Calend 01'!C19+(6*'V06 Calend 01'!E19))),('V06 Calend 01'!H19-('V06 Calend 01'!I19*('V06 Calend 01'!E19-1))),'V06 Calend 01'!I19),0))+IF((48='V06 Calend 01'!D19),'V06 Calend 01'!J19,0))</f>
        <v>0</v>
      </c>
      <c r="BI19" s="2">
        <f>((IF((49='V06 Calend 01'!C19),('V06 Calend 01'!F19+'V06 Calend 01'!G19),0)+IF(AND(('V06 Calend 01'!E19&gt;0),(49&gt;'V06 Calend 01'!C19),(49&lt;'V06 Calend 01'!D19),(MOD((49-'V06 Calend 01'!C19),6)=0),(((49-'V06 Calend 01'!C19)/6)&lt;='V06 Calend 01'!E19)),IF((49=('V06 Calend 01'!C19+(6*'V06 Calend 01'!E19))),('V06 Calend 01'!H19-('V06 Calend 01'!I19*('V06 Calend 01'!E19-1))),'V06 Calend 01'!I19),0))+IF((49='V06 Calend 01'!D19),'V06 Calend 01'!J19,0))</f>
        <v>0</v>
      </c>
      <c r="BJ19" s="2">
        <f>((IF((50='V06 Calend 01'!C19),('V06 Calend 01'!F19+'V06 Calend 01'!G19),0)+IF(AND(('V06 Calend 01'!E19&gt;0),(50&gt;'V06 Calend 01'!C19),(50&lt;'V06 Calend 01'!D19),(MOD((50-'V06 Calend 01'!C19),6)=0),(((50-'V06 Calend 01'!C19)/6)&lt;='V06 Calend 01'!E19)),IF((50=('V06 Calend 01'!C19+(6*'V06 Calend 01'!E19))),('V06 Calend 01'!H19-('V06 Calend 01'!I19*('V06 Calend 01'!E19-1))),'V06 Calend 01'!I19),0))+IF((50='V06 Calend 01'!D19),'V06 Calend 01'!J19,0))</f>
        <v>0</v>
      </c>
      <c r="BK19" s="2">
        <f>((IF((51='V06 Calend 01'!C19),('V06 Calend 01'!F19+'V06 Calend 01'!G19),0)+IF(AND(('V06 Calend 01'!E19&gt;0),(51&gt;'V06 Calend 01'!C19),(51&lt;'V06 Calend 01'!D19),(MOD((51-'V06 Calend 01'!C19),6)=0),(((51-'V06 Calend 01'!C19)/6)&lt;='V06 Calend 01'!E19)),IF((51=('V06 Calend 01'!C19+(6*'V06 Calend 01'!E19))),('V06 Calend 01'!H19-('V06 Calend 01'!I19*('V06 Calend 01'!E19-1))),'V06 Calend 01'!I19),0))+IF((51='V06 Calend 01'!D19),'V06 Calend 01'!J19,0))</f>
        <v>0</v>
      </c>
      <c r="BL19" s="2">
        <f>((IF((52='V06 Calend 01'!C19),('V06 Calend 01'!F19+'V06 Calend 01'!G19),0)+IF(AND(('V06 Calend 01'!E19&gt;0),(52&gt;'V06 Calend 01'!C19),(52&lt;'V06 Calend 01'!D19),(MOD((52-'V06 Calend 01'!C19),6)=0),(((52-'V06 Calend 01'!C19)/6)&lt;='V06 Calend 01'!E19)),IF((52=('V06 Calend 01'!C19+(6*'V06 Calend 01'!E19))),('V06 Calend 01'!H19-('V06 Calend 01'!I19*('V06 Calend 01'!E19-1))),'V06 Calend 01'!I19),0))+IF((52='V06 Calend 01'!D19),'V06 Calend 01'!J19,0))</f>
        <v>0</v>
      </c>
      <c r="BM19" s="2">
        <f>((IF((53='V06 Calend 01'!C19),('V06 Calend 01'!F19+'V06 Calend 01'!G19),0)+IF(AND(('V06 Calend 01'!E19&gt;0),(53&gt;'V06 Calend 01'!C19),(53&lt;'V06 Calend 01'!D19),(MOD((53-'V06 Calend 01'!C19),6)=0),(((53-'V06 Calend 01'!C19)/6)&lt;='V06 Calend 01'!E19)),IF((53=('V06 Calend 01'!C19+(6*'V06 Calend 01'!E19))),('V06 Calend 01'!H19-('V06 Calend 01'!I19*('V06 Calend 01'!E19-1))),'V06 Calend 01'!I19),0))+IF((53='V06 Calend 01'!D19),'V06 Calend 01'!J19,0))</f>
        <v>0</v>
      </c>
      <c r="BN19" s="2">
        <f>((IF((54='V06 Calend 01'!C19),('V06 Calend 01'!F19+'V06 Calend 01'!G19),0)+IF(AND(('V06 Calend 01'!E19&gt;0),(54&gt;'V06 Calend 01'!C19),(54&lt;'V06 Calend 01'!D19),(MOD((54-'V06 Calend 01'!C19),6)=0),(((54-'V06 Calend 01'!C19)/6)&lt;='V06 Calend 01'!E19)),IF((54=('V06 Calend 01'!C19+(6*'V06 Calend 01'!E19))),('V06 Calend 01'!H19-('V06 Calend 01'!I19*('V06 Calend 01'!E19-1))),'V06 Calend 01'!I19),0))+IF((54='V06 Calend 01'!D19),'V06 Calend 01'!J19,0))</f>
        <v>0</v>
      </c>
      <c r="BO19" s="2">
        <f>((IF((55='V06 Calend 01'!C19),('V06 Calend 01'!F19+'V06 Calend 01'!G19),0)+IF(AND(('V06 Calend 01'!E19&gt;0),(55&gt;'V06 Calend 01'!C19),(55&lt;'V06 Calend 01'!D19),(MOD((55-'V06 Calend 01'!C19),6)=0),(((55-'V06 Calend 01'!C19)/6)&lt;='V06 Calend 01'!E19)),IF((55=('V06 Calend 01'!C19+(6*'V06 Calend 01'!E19))),('V06 Calend 01'!H19-('V06 Calend 01'!I19*('V06 Calend 01'!E19-1))),'V06 Calend 01'!I19),0))+IF((55='V06 Calend 01'!D19),'V06 Calend 01'!J19,0))</f>
        <v>0</v>
      </c>
      <c r="BP19" s="2">
        <f>((IF((56='V06 Calend 01'!C19),('V06 Calend 01'!F19+'V06 Calend 01'!G19),0)+IF(AND(('V06 Calend 01'!E19&gt;0),(56&gt;'V06 Calend 01'!C19),(56&lt;'V06 Calend 01'!D19),(MOD((56-'V06 Calend 01'!C19),6)=0),(((56-'V06 Calend 01'!C19)/6)&lt;='V06 Calend 01'!E19)),IF((56=('V06 Calend 01'!C19+(6*'V06 Calend 01'!E19))),('V06 Calend 01'!H19-('V06 Calend 01'!I19*('V06 Calend 01'!E19-1))),'V06 Calend 01'!I19),0))+IF((56='V06 Calend 01'!D19),'V06 Calend 01'!J19,0))</f>
        <v>0</v>
      </c>
      <c r="BQ19" s="2">
        <f>((IF((57='V06 Calend 01'!C19),('V06 Calend 01'!F19+'V06 Calend 01'!G19),0)+IF(AND(('V06 Calend 01'!E19&gt;0),(57&gt;'V06 Calend 01'!C19),(57&lt;'V06 Calend 01'!D19),(MOD((57-'V06 Calend 01'!C19),6)=0),(((57-'V06 Calend 01'!C19)/6)&lt;='V06 Calend 01'!E19)),IF((57=('V06 Calend 01'!C19+(6*'V06 Calend 01'!E19))),('V06 Calend 01'!H19-('V06 Calend 01'!I19*('V06 Calend 01'!E19-1))),'V06 Calend 01'!I19),0))+IF((57='V06 Calend 01'!D19),'V06 Calend 01'!J19,0))</f>
        <v>0</v>
      </c>
      <c r="BR19" s="2">
        <f>((IF((58='V06 Calend 01'!C19),('V06 Calend 01'!F19+'V06 Calend 01'!G19),0)+IF(AND(('V06 Calend 01'!E19&gt;0),(58&gt;'V06 Calend 01'!C19),(58&lt;'V06 Calend 01'!D19),(MOD((58-'V06 Calend 01'!C19),6)=0),(((58-'V06 Calend 01'!C19)/6)&lt;='V06 Calend 01'!E19)),IF((58=('V06 Calend 01'!C19+(6*'V06 Calend 01'!E19))),('V06 Calend 01'!H19-('V06 Calend 01'!I19*('V06 Calend 01'!E19-1))),'V06 Calend 01'!I19),0))+IF((58='V06 Calend 01'!D19),'V06 Calend 01'!J19,0))</f>
        <v>0</v>
      </c>
      <c r="BS19" s="2">
        <f>((IF((59='V06 Calend 01'!C19),('V06 Calend 01'!F19+'V06 Calend 01'!G19),0)+IF(AND(('V06 Calend 01'!E19&gt;0),(59&gt;'V06 Calend 01'!C19),(59&lt;'V06 Calend 01'!D19),(MOD((59-'V06 Calend 01'!C19),6)=0),(((59-'V06 Calend 01'!C19)/6)&lt;='V06 Calend 01'!E19)),IF((59=('V06 Calend 01'!C19+(6*'V06 Calend 01'!E19))),('V06 Calend 01'!H19-('V06 Calend 01'!I19*('V06 Calend 01'!E19-1))),'V06 Calend 01'!I19),0))+IF((59='V06 Calend 01'!D19),'V06 Calend 01'!J19,0))</f>
        <v>0</v>
      </c>
      <c r="BT19" s="2">
        <f>((IF((60='V06 Calend 01'!C19),('V06 Calend 01'!F19+'V06 Calend 01'!G19),0)+IF(AND(('V06 Calend 01'!E19&gt;0),(60&gt;'V06 Calend 01'!C19),(60&lt;'V06 Calend 01'!D19),(MOD((60-'V06 Calend 01'!C19),6)=0),(((60-'V06 Calend 01'!C19)/6)&lt;='V06 Calend 01'!E19)),IF((60=('V06 Calend 01'!C19+(6*'V06 Calend 01'!E19))),('V06 Calend 01'!H19-('V06 Calend 01'!I19*('V06 Calend 01'!E19-1))),'V06 Calend 01'!I19),0))+IF((60='V06 Calend 01'!D19),'V06 Calend 01'!J19,0))</f>
        <v>0</v>
      </c>
      <c r="BU19" s="2">
        <f>((IF((61='V06 Calend 01'!C19),('V06 Calend 01'!F19+'V06 Calend 01'!G19),0)+IF(AND(('V06 Calend 01'!E19&gt;0),(61&gt;'V06 Calend 01'!C19),(61&lt;'V06 Calend 01'!D19),(MOD((61-'V06 Calend 01'!C19),6)=0),(((61-'V06 Calend 01'!C19)/6)&lt;='V06 Calend 01'!E19)),IF((61=('V06 Calend 01'!C19+(6*'V06 Calend 01'!E19))),('V06 Calend 01'!H19-('V06 Calend 01'!I19*('V06 Calend 01'!E19-1))),'V06 Calend 01'!I19),0))+IF((61='V06 Calend 01'!D19),'V06 Calend 01'!J19,0))</f>
        <v>0</v>
      </c>
      <c r="BV19" s="2">
        <f>((IF((62='V06 Calend 01'!C19),('V06 Calend 01'!F19+'V06 Calend 01'!G19),0)+IF(AND(('V06 Calend 01'!E19&gt;0),(62&gt;'V06 Calend 01'!C19),(62&lt;'V06 Calend 01'!D19),(MOD((62-'V06 Calend 01'!C19),6)=0),(((62-'V06 Calend 01'!C19)/6)&lt;='V06 Calend 01'!E19)),IF((62=('V06 Calend 01'!C19+(6*'V06 Calend 01'!E19))),('V06 Calend 01'!H19-('V06 Calend 01'!I19*('V06 Calend 01'!E19-1))),'V06 Calend 01'!I19),0))+IF((62='V06 Calend 01'!D19),'V06 Calend 01'!J19,0))</f>
        <v>0</v>
      </c>
      <c r="BW19" s="2">
        <f>((IF((63='V06 Calend 01'!C19),('V06 Calend 01'!F19+'V06 Calend 01'!G19),0)+IF(AND(('V06 Calend 01'!E19&gt;0),(63&gt;'V06 Calend 01'!C19),(63&lt;'V06 Calend 01'!D19),(MOD((63-'V06 Calend 01'!C19),6)=0),(((63-'V06 Calend 01'!C19)/6)&lt;='V06 Calend 01'!E19)),IF((63=('V06 Calend 01'!C19+(6*'V06 Calend 01'!E19))),('V06 Calend 01'!H19-('V06 Calend 01'!I19*('V06 Calend 01'!E19-1))),'V06 Calend 01'!I19),0))+IF((63='V06 Calend 01'!D19),'V06 Calend 01'!J19,0))</f>
        <v>0</v>
      </c>
      <c r="BX19" s="2">
        <f>((IF((64='V06 Calend 01'!C19),('V06 Calend 01'!F19+'V06 Calend 01'!G19),0)+IF(AND(('V06 Calend 01'!E19&gt;0),(64&gt;'V06 Calend 01'!C19),(64&lt;'V06 Calend 01'!D19),(MOD((64-'V06 Calend 01'!C19),6)=0),(((64-'V06 Calend 01'!C19)/6)&lt;='V06 Calend 01'!E19)),IF((64=('V06 Calend 01'!C19+(6*'V06 Calend 01'!E19))),('V06 Calend 01'!H19-('V06 Calend 01'!I19*('V06 Calend 01'!E19-1))),'V06 Calend 01'!I19),0))+IF((64='V06 Calend 01'!D19),'V06 Calend 01'!J19,0))</f>
        <v>0</v>
      </c>
      <c r="BY19" s="2">
        <f>((IF((65='V06 Calend 01'!C19),('V06 Calend 01'!F19+'V06 Calend 01'!G19),0)+IF(AND(('V06 Calend 01'!E19&gt;0),(65&gt;'V06 Calend 01'!C19),(65&lt;'V06 Calend 01'!D19),(MOD((65-'V06 Calend 01'!C19),6)=0),(((65-'V06 Calend 01'!C19)/6)&lt;='V06 Calend 01'!E19)),IF((65=('V06 Calend 01'!C19+(6*'V06 Calend 01'!E19))),('V06 Calend 01'!H19-('V06 Calend 01'!I19*('V06 Calend 01'!E19-1))),'V06 Calend 01'!I19),0))+IF((65='V06 Calend 01'!D19),'V06 Calend 01'!J19,0))</f>
        <v>0</v>
      </c>
      <c r="BZ19" s="2">
        <f>((IF((66='V06 Calend 01'!C19),('V06 Calend 01'!F19+'V06 Calend 01'!G19),0)+IF(AND(('V06 Calend 01'!E19&gt;0),(66&gt;'V06 Calend 01'!C19),(66&lt;'V06 Calend 01'!D19),(MOD((66-'V06 Calend 01'!C19),6)=0),(((66-'V06 Calend 01'!C19)/6)&lt;='V06 Calend 01'!E19)),IF((66=('V06 Calend 01'!C19+(6*'V06 Calend 01'!E19))),('V06 Calend 01'!H19-('V06 Calend 01'!I19*('V06 Calend 01'!E19-1))),'V06 Calend 01'!I19),0))+IF((66='V06 Calend 01'!D19),'V06 Calend 01'!J19,0))</f>
        <v>0</v>
      </c>
      <c r="CA19" s="2">
        <f>((IF((67='V06 Calend 01'!C19),('V06 Calend 01'!F19+'V06 Calend 01'!G19),0)+IF(AND(('V06 Calend 01'!E19&gt;0),(67&gt;'V06 Calend 01'!C19),(67&lt;'V06 Calend 01'!D19),(MOD((67-'V06 Calend 01'!C19),6)=0),(((67-'V06 Calend 01'!C19)/6)&lt;='V06 Calend 01'!E19)),IF((67=('V06 Calend 01'!C19+(6*'V06 Calend 01'!E19))),('V06 Calend 01'!H19-('V06 Calend 01'!I19*('V06 Calend 01'!E19-1))),'V06 Calend 01'!I19),0))+IF((67='V06 Calend 01'!D19),'V06 Calend 01'!J19,0))</f>
        <v>0</v>
      </c>
      <c r="CB19" s="2">
        <f>((IF((68='V06 Calend 01'!C19),('V06 Calend 01'!F19+'V06 Calend 01'!G19),0)+IF(AND(('V06 Calend 01'!E19&gt;0),(68&gt;'V06 Calend 01'!C19),(68&lt;'V06 Calend 01'!D19),(MOD((68-'V06 Calend 01'!C19),6)=0),(((68-'V06 Calend 01'!C19)/6)&lt;='V06 Calend 01'!E19)),IF((68=('V06 Calend 01'!C19+(6*'V06 Calend 01'!E19))),('V06 Calend 01'!H19-('V06 Calend 01'!I19*('V06 Calend 01'!E19-1))),'V06 Calend 01'!I19),0))+IF((68='V06 Calend 01'!D19),'V06 Calend 01'!J19,0))</f>
        <v>0</v>
      </c>
      <c r="CC19" s="2">
        <f>((IF((69='V06 Calend 01'!C19),('V06 Calend 01'!F19+'V06 Calend 01'!G19),0)+IF(AND(('V06 Calend 01'!E19&gt;0),(69&gt;'V06 Calend 01'!C19),(69&lt;'V06 Calend 01'!D19),(MOD((69-'V06 Calend 01'!C19),6)=0),(((69-'V06 Calend 01'!C19)/6)&lt;='V06 Calend 01'!E19)),IF((69=('V06 Calend 01'!C19+(6*'V06 Calend 01'!E19))),('V06 Calend 01'!H19-('V06 Calend 01'!I19*('V06 Calend 01'!E19-1))),'V06 Calend 01'!I19),0))+IF((69='V06 Calend 01'!D19),'V06 Calend 01'!J19,0))</f>
        <v>0</v>
      </c>
      <c r="CD19" s="2">
        <f>((IF((70='V06 Calend 01'!C19),('V06 Calend 01'!F19+'V06 Calend 01'!G19),0)+IF(AND(('V06 Calend 01'!E19&gt;0),(70&gt;'V06 Calend 01'!C19),(70&lt;'V06 Calend 01'!D19),(MOD((70-'V06 Calend 01'!C19),6)=0),(((70-'V06 Calend 01'!C19)/6)&lt;='V06 Calend 01'!E19)),IF((70=('V06 Calend 01'!C19+(6*'V06 Calend 01'!E19))),('V06 Calend 01'!H19-('V06 Calend 01'!I19*('V06 Calend 01'!E19-1))),'V06 Calend 01'!I19),0))+IF((70='V06 Calend 01'!D19),'V06 Calend 01'!J19,0))</f>
        <v>0</v>
      </c>
      <c r="CE19" s="2">
        <f>((IF((71='V06 Calend 01'!C19),('V06 Calend 01'!F19+'V06 Calend 01'!G19),0)+IF(AND(('V06 Calend 01'!E19&gt;0),(71&gt;'V06 Calend 01'!C19),(71&lt;'V06 Calend 01'!D19),(MOD((71-'V06 Calend 01'!C19),6)=0),(((71-'V06 Calend 01'!C19)/6)&lt;='V06 Calend 01'!E19)),IF((71=('V06 Calend 01'!C19+(6*'V06 Calend 01'!E19))),('V06 Calend 01'!H19-('V06 Calend 01'!I19*('V06 Calend 01'!E19-1))),'V06 Calend 01'!I19),0))+IF((71='V06 Calend 01'!D19),'V06 Calend 01'!J19,0))</f>
        <v>0</v>
      </c>
      <c r="CF19" s="2">
        <f>((IF((72='V06 Calend 01'!C19),('V06 Calend 01'!F19+'V06 Calend 01'!G19),0)+IF(AND(('V06 Calend 01'!E19&gt;0),(72&gt;'V06 Calend 01'!C19),(72&lt;'V06 Calend 01'!D19),(MOD((72-'V06 Calend 01'!C19),6)=0),(((72-'V06 Calend 01'!C19)/6)&lt;='V06 Calend 01'!E19)),IF((72=('V06 Calend 01'!C19+(6*'V06 Calend 01'!E19))),('V06 Calend 01'!H19-('V06 Calend 01'!I19*('V06 Calend 01'!E19-1))),'V06 Calend 01'!I19),0))+IF((72='V06 Calend 01'!D19),'V06 Calend 01'!J19,0))</f>
        <v>0</v>
      </c>
      <c r="CG19" s="2">
        <f>((IF((73='V06 Calend 01'!C19),('V06 Calend 01'!F19+'V06 Calend 01'!G19),0)+IF(AND(('V06 Calend 01'!E19&gt;0),(73&gt;'V06 Calend 01'!C19),(73&lt;'V06 Calend 01'!D19),(MOD((73-'V06 Calend 01'!C19),6)=0),(((73-'V06 Calend 01'!C19)/6)&lt;='V06 Calend 01'!E19)),IF((73=('V06 Calend 01'!C19+(6*'V06 Calend 01'!E19))),('V06 Calend 01'!H19-('V06 Calend 01'!I19*('V06 Calend 01'!E19-1))),'V06 Calend 01'!I19),0))+IF((73='V06 Calend 01'!D19),'V06 Calend 01'!J19,0))</f>
        <v>0</v>
      </c>
      <c r="CH19" s="2">
        <f>((IF((74='V06 Calend 01'!C19),('V06 Calend 01'!F19+'V06 Calend 01'!G19),0)+IF(AND(('V06 Calend 01'!E19&gt;0),(74&gt;'V06 Calend 01'!C19),(74&lt;'V06 Calend 01'!D19),(MOD((74-'V06 Calend 01'!C19),6)=0),(((74-'V06 Calend 01'!C19)/6)&lt;='V06 Calend 01'!E19)),IF((74=('V06 Calend 01'!C19+(6*'V06 Calend 01'!E19))),('V06 Calend 01'!H19-('V06 Calend 01'!I19*('V06 Calend 01'!E19-1))),'V06 Calend 01'!I19),0))+IF((74='V06 Calend 01'!D19),'V06 Calend 01'!J19,0))</f>
        <v>0</v>
      </c>
      <c r="CI19" s="2">
        <f>((IF((75='V06 Calend 01'!C19),('V06 Calend 01'!F19+'V06 Calend 01'!G19),0)+IF(AND(('V06 Calend 01'!E19&gt;0),(75&gt;'V06 Calend 01'!C19),(75&lt;'V06 Calend 01'!D19),(MOD((75-'V06 Calend 01'!C19),6)=0),(((75-'V06 Calend 01'!C19)/6)&lt;='V06 Calend 01'!E19)),IF((75=('V06 Calend 01'!C19+(6*'V06 Calend 01'!E19))),('V06 Calend 01'!H19-('V06 Calend 01'!I19*('V06 Calend 01'!E19-1))),'V06 Calend 01'!I19),0))+IF((75='V06 Calend 01'!D19),'V06 Calend 01'!J19,0))</f>
        <v>0</v>
      </c>
      <c r="CJ19" s="2">
        <f>((IF((76='V06 Calend 01'!C19),('V06 Calend 01'!F19+'V06 Calend 01'!G19),0)+IF(AND(('V06 Calend 01'!E19&gt;0),(76&gt;'V06 Calend 01'!C19),(76&lt;'V06 Calend 01'!D19),(MOD((76-'V06 Calend 01'!C19),6)=0),(((76-'V06 Calend 01'!C19)/6)&lt;='V06 Calend 01'!E19)),IF((76=('V06 Calend 01'!C19+(6*'V06 Calend 01'!E19))),('V06 Calend 01'!H19-('V06 Calend 01'!I19*('V06 Calend 01'!E19-1))),'V06 Calend 01'!I19),0))+IF((76='V06 Calend 01'!D19),'V06 Calend 01'!J19,0))</f>
        <v>0</v>
      </c>
      <c r="CK19" s="2">
        <f>((IF((77='V06 Calend 01'!C19),('V06 Calend 01'!F19+'V06 Calend 01'!G19),0)+IF(AND(('V06 Calend 01'!E19&gt;0),(77&gt;'V06 Calend 01'!C19),(77&lt;'V06 Calend 01'!D19),(MOD((77-'V06 Calend 01'!C19),6)=0),(((77-'V06 Calend 01'!C19)/6)&lt;='V06 Calend 01'!E19)),IF((77=('V06 Calend 01'!C19+(6*'V06 Calend 01'!E19))),('V06 Calend 01'!H19-('V06 Calend 01'!I19*('V06 Calend 01'!E19-1))),'V06 Calend 01'!I19),0))+IF((77='V06 Calend 01'!D19),'V06 Calend 01'!J19,0))</f>
        <v>0</v>
      </c>
      <c r="CL19" s="2">
        <f>((IF((78='V06 Calend 01'!C19),('V06 Calend 01'!F19+'V06 Calend 01'!G19),0)+IF(AND(('V06 Calend 01'!E19&gt;0),(78&gt;'V06 Calend 01'!C19),(78&lt;'V06 Calend 01'!D19),(MOD((78-'V06 Calend 01'!C19),6)=0),(((78-'V06 Calend 01'!C19)/6)&lt;='V06 Calend 01'!E19)),IF((78=('V06 Calend 01'!C19+(6*'V06 Calend 01'!E19))),('V06 Calend 01'!H19-('V06 Calend 01'!I19*('V06 Calend 01'!E19-1))),'V06 Calend 01'!I19),0))+IF((78='V06 Calend 01'!D19),'V06 Calend 01'!J19,0))</f>
        <v>0</v>
      </c>
      <c r="CM19" s="2">
        <f>((IF((79='V06 Calend 01'!C19),('V06 Calend 01'!F19+'V06 Calend 01'!G19),0)+IF(AND(('V06 Calend 01'!E19&gt;0),(79&gt;'V06 Calend 01'!C19),(79&lt;'V06 Calend 01'!D19),(MOD((79-'V06 Calend 01'!C19),6)=0),(((79-'V06 Calend 01'!C19)/6)&lt;='V06 Calend 01'!E19)),IF((79=('V06 Calend 01'!C19+(6*'V06 Calend 01'!E19))),('V06 Calend 01'!H19-('V06 Calend 01'!I19*('V06 Calend 01'!E19-1))),'V06 Calend 01'!I19),0))+IF((79='V06 Calend 01'!D19),'V06 Calend 01'!J19,0))</f>
        <v>0</v>
      </c>
      <c r="CN19" s="2">
        <f>((IF((80='V06 Calend 01'!C19),('V06 Calend 01'!F19+'V06 Calend 01'!G19),0)+IF(AND(('V06 Calend 01'!E19&gt;0),(80&gt;'V06 Calend 01'!C19),(80&lt;'V06 Calend 01'!D19),(MOD((80-'V06 Calend 01'!C19),6)=0),(((80-'V06 Calend 01'!C19)/6)&lt;='V06 Calend 01'!E19)),IF((80=('V06 Calend 01'!C19+(6*'V06 Calend 01'!E19))),('V06 Calend 01'!H19-('V06 Calend 01'!I19*('V06 Calend 01'!E19-1))),'V06 Calend 01'!I19),0))+IF((80='V06 Calend 01'!D19),'V06 Calend 01'!J19,0))</f>
        <v>0</v>
      </c>
      <c r="CO19" s="2">
        <f>((IF((81='V06 Calend 01'!C19),('V06 Calend 01'!F19+'V06 Calend 01'!G19),0)+IF(AND(('V06 Calend 01'!E19&gt;0),(81&gt;'V06 Calend 01'!C19),(81&lt;'V06 Calend 01'!D19),(MOD((81-'V06 Calend 01'!C19),6)=0),(((81-'V06 Calend 01'!C19)/6)&lt;='V06 Calend 01'!E19)),IF((81=('V06 Calend 01'!C19+(6*'V06 Calend 01'!E19))),('V06 Calend 01'!H19-('V06 Calend 01'!I19*('V06 Calend 01'!E19-1))),'V06 Calend 01'!I19),0))+IF((81='V06 Calend 01'!D19),'V06 Calend 01'!J19,0))</f>
        <v>0</v>
      </c>
      <c r="CP19" s="2">
        <f>((IF((82='V06 Calend 01'!C19),('V06 Calend 01'!F19+'V06 Calend 01'!G19),0)+IF(AND(('V06 Calend 01'!E19&gt;0),(82&gt;'V06 Calend 01'!C19),(82&lt;'V06 Calend 01'!D19),(MOD((82-'V06 Calend 01'!C19),6)=0),(((82-'V06 Calend 01'!C19)/6)&lt;='V06 Calend 01'!E19)),IF((82=('V06 Calend 01'!C19+(6*'V06 Calend 01'!E19))),('V06 Calend 01'!H19-('V06 Calend 01'!I19*('V06 Calend 01'!E19-1))),'V06 Calend 01'!I19),0))+IF((82='V06 Calend 01'!D19),'V06 Calend 01'!J19,0))</f>
        <v>0</v>
      </c>
      <c r="CQ19" s="2">
        <f>((IF((83='V06 Calend 01'!C19),('V06 Calend 01'!F19+'V06 Calend 01'!G19),0)+IF(AND(('V06 Calend 01'!E19&gt;0),(83&gt;'V06 Calend 01'!C19),(83&lt;'V06 Calend 01'!D19),(MOD((83-'V06 Calend 01'!C19),6)=0),(((83-'V06 Calend 01'!C19)/6)&lt;='V06 Calend 01'!E19)),IF((83=('V06 Calend 01'!C19+(6*'V06 Calend 01'!E19))),('V06 Calend 01'!H19-('V06 Calend 01'!I19*('V06 Calend 01'!E19-1))),'V06 Calend 01'!I19),0))+IF((83='V06 Calend 01'!D19),'V06 Calend 01'!J19,0))</f>
        <v>0</v>
      </c>
      <c r="CR19" s="2">
        <f>((IF((84='V06 Calend 01'!C19),('V06 Calend 01'!F19+'V06 Calend 01'!G19),0)+IF(AND(('V06 Calend 01'!E19&gt;0),(84&gt;'V06 Calend 01'!C19),(84&lt;'V06 Calend 01'!D19),(MOD((84-'V06 Calend 01'!C19),6)=0),(((84-'V06 Calend 01'!C19)/6)&lt;='V06 Calend 01'!E19)),IF((84=('V06 Calend 01'!C19+(6*'V06 Calend 01'!E19))),('V06 Calend 01'!H19-('V06 Calend 01'!I19*('V06 Calend 01'!E19-1))),'V06 Calend 01'!I19),0))+IF((84='V06 Calend 01'!D19),'V06 Calend 01'!J19,0))</f>
        <v>0</v>
      </c>
      <c r="CS19" s="2">
        <f>((IF((85='V06 Calend 01'!C19),('V06 Calend 01'!F19+'V06 Calend 01'!G19),0)+IF(AND(('V06 Calend 01'!E19&gt;0),(85&gt;'V06 Calend 01'!C19),(85&lt;'V06 Calend 01'!D19),(MOD((85-'V06 Calend 01'!C19),6)=0),(((85-'V06 Calend 01'!C19)/6)&lt;='V06 Calend 01'!E19)),IF((85=('V06 Calend 01'!C19+(6*'V06 Calend 01'!E19))),('V06 Calend 01'!H19-('V06 Calend 01'!I19*('V06 Calend 01'!E19-1))),'V06 Calend 01'!I19),0))+IF((85='V06 Calend 01'!D19),'V06 Calend 01'!J19,0))</f>
        <v>0</v>
      </c>
      <c r="CT19" s="2">
        <f>((IF((86='V06 Calend 01'!C19),('V06 Calend 01'!F19+'V06 Calend 01'!G19),0)+IF(AND(('V06 Calend 01'!E19&gt;0),(86&gt;'V06 Calend 01'!C19),(86&lt;'V06 Calend 01'!D19),(MOD((86-'V06 Calend 01'!C19),6)=0),(((86-'V06 Calend 01'!C19)/6)&lt;='V06 Calend 01'!E19)),IF((86=('V06 Calend 01'!C19+(6*'V06 Calend 01'!E19))),('V06 Calend 01'!H19-('V06 Calend 01'!I19*('V06 Calend 01'!E19-1))),'V06 Calend 01'!I19),0))+IF((86='V06 Calend 01'!D19),'V06 Calend 01'!J19,0))</f>
        <v>0</v>
      </c>
      <c r="CU19" s="2">
        <f>((IF((87='V06 Calend 01'!C19),('V06 Calend 01'!F19+'V06 Calend 01'!G19),0)+IF(AND(('V06 Calend 01'!E19&gt;0),(87&gt;'V06 Calend 01'!C19),(87&lt;'V06 Calend 01'!D19),(MOD((87-'V06 Calend 01'!C19),6)=0),(((87-'V06 Calend 01'!C19)/6)&lt;='V06 Calend 01'!E19)),IF((87=('V06 Calend 01'!C19+(6*'V06 Calend 01'!E19))),('V06 Calend 01'!H19-('V06 Calend 01'!I19*('V06 Calend 01'!E19-1))),'V06 Calend 01'!I19),0))+IF((87='V06 Calend 01'!D19),'V06 Calend 01'!J19,0))</f>
        <v>0</v>
      </c>
      <c r="CV19" s="2">
        <f>((IF((88='V06 Calend 01'!C19),('V06 Calend 01'!F19+'V06 Calend 01'!G19),0)+IF(AND(('V06 Calend 01'!E19&gt;0),(88&gt;'V06 Calend 01'!C19),(88&lt;'V06 Calend 01'!D19),(MOD((88-'V06 Calend 01'!C19),6)=0),(((88-'V06 Calend 01'!C19)/6)&lt;='V06 Calend 01'!E19)),IF((88=('V06 Calend 01'!C19+(6*'V06 Calend 01'!E19))),('V06 Calend 01'!H19-('V06 Calend 01'!I19*('V06 Calend 01'!E19-1))),'V06 Calend 01'!I19),0))+IF((88='V06 Calend 01'!D19),'V06 Calend 01'!J19,0))</f>
        <v>0</v>
      </c>
      <c r="CW19" s="2">
        <f>((IF((89='V06 Calend 01'!C19),('V06 Calend 01'!F19+'V06 Calend 01'!G19),0)+IF(AND(('V06 Calend 01'!E19&gt;0),(89&gt;'V06 Calend 01'!C19),(89&lt;'V06 Calend 01'!D19),(MOD((89-'V06 Calend 01'!C19),6)=0),(((89-'V06 Calend 01'!C19)/6)&lt;='V06 Calend 01'!E19)),IF((89=('V06 Calend 01'!C19+(6*'V06 Calend 01'!E19))),('V06 Calend 01'!H19-('V06 Calend 01'!I19*('V06 Calend 01'!E19-1))),'V06 Calend 01'!I19),0))+IF((89='V06 Calend 01'!D19),'V06 Calend 01'!J19,0))</f>
        <v>0</v>
      </c>
      <c r="CX19" s="2">
        <f>((IF((90='V06 Calend 01'!C19),('V06 Calend 01'!F19+'V06 Calend 01'!G19),0)+IF(AND(('V06 Calend 01'!E19&gt;0),(90&gt;'V06 Calend 01'!C19),(90&lt;'V06 Calend 01'!D19),(MOD((90-'V06 Calend 01'!C19),6)=0),(((90-'V06 Calend 01'!C19)/6)&lt;='V06 Calend 01'!E19)),IF((90=('V06 Calend 01'!C19+(6*'V06 Calend 01'!E19))),('V06 Calend 01'!H19-('V06 Calend 01'!I19*('V06 Calend 01'!E19-1))),'V06 Calend 01'!I19),0))+IF((90='V06 Calend 01'!D19),'V06 Calend 01'!J19,0))</f>
        <v>0</v>
      </c>
      <c r="CY19" s="2">
        <f>((IF((91='V06 Calend 01'!C19),('V06 Calend 01'!F19+'V06 Calend 01'!G19),0)+IF(AND(('V06 Calend 01'!E19&gt;0),(91&gt;'V06 Calend 01'!C19),(91&lt;'V06 Calend 01'!D19),(MOD((91-'V06 Calend 01'!C19),6)=0),(((91-'V06 Calend 01'!C19)/6)&lt;='V06 Calend 01'!E19)),IF((91=('V06 Calend 01'!C19+(6*'V06 Calend 01'!E19))),('V06 Calend 01'!H19-('V06 Calend 01'!I19*('V06 Calend 01'!E19-1))),'V06 Calend 01'!I19),0))+IF((91='V06 Calend 01'!D19),'V06 Calend 01'!J19,0))</f>
        <v>0</v>
      </c>
      <c r="CZ19" s="2">
        <f>((IF((92='V06 Calend 01'!C19),('V06 Calend 01'!F19+'V06 Calend 01'!G19),0)+IF(AND(('V06 Calend 01'!E19&gt;0),(92&gt;'V06 Calend 01'!C19),(92&lt;'V06 Calend 01'!D19),(MOD((92-'V06 Calend 01'!C19),6)=0),(((92-'V06 Calend 01'!C19)/6)&lt;='V06 Calend 01'!E19)),IF((92=('V06 Calend 01'!C19+(6*'V06 Calend 01'!E19))),('V06 Calend 01'!H19-('V06 Calend 01'!I19*('V06 Calend 01'!E19-1))),'V06 Calend 01'!I19),0))+IF((92='V06 Calend 01'!D19),'V06 Calend 01'!J19,0))</f>
        <v>0</v>
      </c>
      <c r="DA19" s="2">
        <f>((IF((93='V06 Calend 01'!C19),('V06 Calend 01'!F19+'V06 Calend 01'!G19),0)+IF(AND(('V06 Calend 01'!E19&gt;0),(93&gt;'V06 Calend 01'!C19),(93&lt;'V06 Calend 01'!D19),(MOD((93-'V06 Calend 01'!C19),6)=0),(((93-'V06 Calend 01'!C19)/6)&lt;='V06 Calend 01'!E19)),IF((93=('V06 Calend 01'!C19+(6*'V06 Calend 01'!E19))),('V06 Calend 01'!H19-('V06 Calend 01'!I19*('V06 Calend 01'!E19-1))),'V06 Calend 01'!I19),0))+IF((93='V06 Calend 01'!D19),'V06 Calend 01'!J19,0))</f>
        <v>0</v>
      </c>
      <c r="DB19" s="2">
        <f>((IF((94='V06 Calend 01'!C19),('V06 Calend 01'!F19+'V06 Calend 01'!G19),0)+IF(AND(('V06 Calend 01'!E19&gt;0),(94&gt;'V06 Calend 01'!C19),(94&lt;'V06 Calend 01'!D19),(MOD((94-'V06 Calend 01'!C19),6)=0),(((94-'V06 Calend 01'!C19)/6)&lt;='V06 Calend 01'!E19)),IF((94=('V06 Calend 01'!C19+(6*'V06 Calend 01'!E19))),('V06 Calend 01'!H19-('V06 Calend 01'!I19*('V06 Calend 01'!E19-1))),'V06 Calend 01'!I19),0))+IF((94='V06 Calend 01'!D19),'V06 Calend 01'!J19,0))</f>
        <v>0</v>
      </c>
      <c r="DC19" s="2">
        <f>((IF((95='V06 Calend 01'!C19),('V06 Calend 01'!F19+'V06 Calend 01'!G19),0)+IF(AND(('V06 Calend 01'!E19&gt;0),(95&gt;'V06 Calend 01'!C19),(95&lt;'V06 Calend 01'!D19),(MOD((95-'V06 Calend 01'!C19),6)=0),(((95-'V06 Calend 01'!C19)/6)&lt;='V06 Calend 01'!E19)),IF((95=('V06 Calend 01'!C19+(6*'V06 Calend 01'!E19))),('V06 Calend 01'!H19-('V06 Calend 01'!I19*('V06 Calend 01'!E19-1))),'V06 Calend 01'!I19),0))+IF((95='V06 Calend 01'!D19),'V06 Calend 01'!J19,0))</f>
        <v>0</v>
      </c>
      <c r="DD19" s="2">
        <f>((IF((96='V06 Calend 01'!C19),('V06 Calend 01'!F19+'V06 Calend 01'!G19),0)+IF(AND(('V06 Calend 01'!E19&gt;0),(96&gt;'V06 Calend 01'!C19),(96&lt;'V06 Calend 01'!D19),(MOD((96-'V06 Calend 01'!C19),6)=0),(((96-'V06 Calend 01'!C19)/6)&lt;='V06 Calend 01'!E19)),IF((96=('V06 Calend 01'!C19+(6*'V06 Calend 01'!E19))),('V06 Calend 01'!H19-('V06 Calend 01'!I19*('V06 Calend 01'!E19-1))),'V06 Calend 01'!I19),0))+IF((96='V06 Calend 01'!D19),'V06 Calend 01'!J19,0))</f>
        <v>0</v>
      </c>
      <c r="DE19" s="2">
        <f>((IF((97='V06 Calend 01'!C19),('V06 Calend 01'!F19+'V06 Calend 01'!G19),0)+IF(AND(('V06 Calend 01'!E19&gt;0),(97&gt;'V06 Calend 01'!C19),(97&lt;'V06 Calend 01'!D19),(MOD((97-'V06 Calend 01'!C19),6)=0),(((97-'V06 Calend 01'!C19)/6)&lt;='V06 Calend 01'!E19)),IF((97=('V06 Calend 01'!C19+(6*'V06 Calend 01'!E19))),('V06 Calend 01'!H19-('V06 Calend 01'!I19*('V06 Calend 01'!E19-1))),'V06 Calend 01'!I19),0))+IF((97='V06 Calend 01'!D19),'V06 Calend 01'!J19,0))</f>
        <v>0</v>
      </c>
      <c r="DF19" s="2">
        <f>((IF((98='V06 Calend 01'!C19),('V06 Calend 01'!F19+'V06 Calend 01'!G19),0)+IF(AND(('V06 Calend 01'!E19&gt;0),(98&gt;'V06 Calend 01'!C19),(98&lt;'V06 Calend 01'!D19),(MOD((98-'V06 Calend 01'!C19),6)=0),(((98-'V06 Calend 01'!C19)/6)&lt;='V06 Calend 01'!E19)),IF((98=('V06 Calend 01'!C19+(6*'V06 Calend 01'!E19))),('V06 Calend 01'!H19-('V06 Calend 01'!I19*('V06 Calend 01'!E19-1))),'V06 Calend 01'!I19),0))+IF((98='V06 Calend 01'!D19),'V06 Calend 01'!J19,0))</f>
        <v>0</v>
      </c>
      <c r="DG19" s="2">
        <f>((IF((99='V06 Calend 01'!C19),('V06 Calend 01'!F19+'V06 Calend 01'!G19),0)+IF(AND(('V06 Calend 01'!E19&gt;0),(99&gt;'V06 Calend 01'!C19),(99&lt;'V06 Calend 01'!D19),(MOD((99-'V06 Calend 01'!C19),6)=0),(((99-'V06 Calend 01'!C19)/6)&lt;='V06 Calend 01'!E19)),IF((99=('V06 Calend 01'!C19+(6*'V06 Calend 01'!E19))),('V06 Calend 01'!H19-('V06 Calend 01'!I19*('V06 Calend 01'!E19-1))),'V06 Calend 01'!I19),0))+IF((99='V06 Calend 01'!D19),'V06 Calend 01'!J19,0))</f>
        <v>0</v>
      </c>
      <c r="DH19" s="2">
        <f>((IF((100='V06 Calend 01'!C19),('V06 Calend 01'!F19+'V06 Calend 01'!G19),0)+IF(AND(('V06 Calend 01'!E19&gt;0),(100&gt;'V06 Calend 01'!C19),(100&lt;'V06 Calend 01'!D19),(MOD((100-'V06 Calend 01'!C19),6)=0),(((100-'V06 Calend 01'!C19)/6)&lt;='V06 Calend 01'!E19)),IF((100=('V06 Calend 01'!C19+(6*'V06 Calend 01'!E19))),('V06 Calend 01'!H19-('V06 Calend 01'!I19*('V06 Calend 01'!E19-1))),'V06 Calend 01'!I19),0))+IF((100='V06 Calend 01'!D19),'V06 Calend 01'!J19,0))</f>
        <v>0</v>
      </c>
      <c r="DI19" s="2">
        <f>((IF((101='V06 Calend 01'!C19),('V06 Calend 01'!F19+'V06 Calend 01'!G19),0)+IF(AND(('V06 Calend 01'!E19&gt;0),(101&gt;'V06 Calend 01'!C19),(101&lt;'V06 Calend 01'!D19),(MOD((101-'V06 Calend 01'!C19),6)=0),(((101-'V06 Calend 01'!C19)/6)&lt;='V06 Calend 01'!E19)),IF((101=('V06 Calend 01'!C19+(6*'V06 Calend 01'!E19))),('V06 Calend 01'!H19-('V06 Calend 01'!I19*('V06 Calend 01'!E19-1))),'V06 Calend 01'!I19),0))+IF((101='V06 Calend 01'!D19),'V06 Calend 01'!J19,0))</f>
        <v>0</v>
      </c>
      <c r="DJ19" s="2">
        <f>((IF((102='V06 Calend 01'!C19),('V06 Calend 01'!F19+'V06 Calend 01'!G19),0)+IF(AND(('V06 Calend 01'!E19&gt;0),(102&gt;'V06 Calend 01'!C19),(102&lt;'V06 Calend 01'!D19),(MOD((102-'V06 Calend 01'!C19),6)=0),(((102-'V06 Calend 01'!C19)/6)&lt;='V06 Calend 01'!E19)),IF((102=('V06 Calend 01'!C19+(6*'V06 Calend 01'!E19))),('V06 Calend 01'!H19-('V06 Calend 01'!I19*('V06 Calend 01'!E19-1))),'V06 Calend 01'!I19),0))+IF((102='V06 Calend 01'!D19),'V06 Calend 01'!J19,0))</f>
        <v>0</v>
      </c>
      <c r="DK19" s="2">
        <f>((IF((103='V06 Calend 01'!C19),('V06 Calend 01'!F19+'V06 Calend 01'!G19),0)+IF(AND(('V06 Calend 01'!E19&gt;0),(103&gt;'V06 Calend 01'!C19),(103&lt;'V06 Calend 01'!D19),(MOD((103-'V06 Calend 01'!C19),6)=0),(((103-'V06 Calend 01'!C19)/6)&lt;='V06 Calend 01'!E19)),IF((103=('V06 Calend 01'!C19+(6*'V06 Calend 01'!E19))),('V06 Calend 01'!H19-('V06 Calend 01'!I19*('V06 Calend 01'!E19-1))),'V06 Calend 01'!I19),0))+IF((103='V06 Calend 01'!D19),'V06 Calend 01'!J19,0))</f>
        <v>0</v>
      </c>
      <c r="DL19" s="2">
        <f>((IF((104='V06 Calend 01'!C19),('V06 Calend 01'!F19+'V06 Calend 01'!G19),0)+IF(AND(('V06 Calend 01'!E19&gt;0),(104&gt;'V06 Calend 01'!C19),(104&lt;'V06 Calend 01'!D19),(MOD((104-'V06 Calend 01'!C19),6)=0),(((104-'V06 Calend 01'!C19)/6)&lt;='V06 Calend 01'!E19)),IF((104=('V06 Calend 01'!C19+(6*'V06 Calend 01'!E19))),('V06 Calend 01'!H19-('V06 Calend 01'!I19*('V06 Calend 01'!E19-1))),'V06 Calend 01'!I19),0))+IF((104='V06 Calend 01'!D19),'V06 Calend 01'!J19,0))</f>
        <v>0</v>
      </c>
      <c r="DM19" s="2">
        <f>((IF((105='V06 Calend 01'!C19),('V06 Calend 01'!F19+'V06 Calend 01'!G19),0)+IF(AND(('V06 Calend 01'!E19&gt;0),(105&gt;'V06 Calend 01'!C19),(105&lt;'V06 Calend 01'!D19),(MOD((105-'V06 Calend 01'!C19),6)=0),(((105-'V06 Calend 01'!C19)/6)&lt;='V06 Calend 01'!E19)),IF((105=('V06 Calend 01'!C19+(6*'V06 Calend 01'!E19))),('V06 Calend 01'!H19-('V06 Calend 01'!I19*('V06 Calend 01'!E19-1))),'V06 Calend 01'!I19),0))+IF((105='V06 Calend 01'!D19),'V06 Calend 01'!J19,0))</f>
        <v>0</v>
      </c>
      <c r="DN19" s="2">
        <f>((IF((106='V06 Calend 01'!C19),('V06 Calend 01'!F19+'V06 Calend 01'!G19),0)+IF(AND(('V06 Calend 01'!E19&gt;0),(106&gt;'V06 Calend 01'!C19),(106&lt;'V06 Calend 01'!D19),(MOD((106-'V06 Calend 01'!C19),6)=0),(((106-'V06 Calend 01'!C19)/6)&lt;='V06 Calend 01'!E19)),IF((106=('V06 Calend 01'!C19+(6*'V06 Calend 01'!E19))),('V06 Calend 01'!H19-('V06 Calend 01'!I19*('V06 Calend 01'!E19-1))),'V06 Calend 01'!I19),0))+IF((106='V06 Calend 01'!D19),'V06 Calend 01'!J19,0))</f>
        <v>0</v>
      </c>
      <c r="DO19" s="2">
        <f>((IF((107='V06 Calend 01'!C19),('V06 Calend 01'!F19+'V06 Calend 01'!G19),0)+IF(AND(('V06 Calend 01'!E19&gt;0),(107&gt;'V06 Calend 01'!C19),(107&lt;'V06 Calend 01'!D19),(MOD((107-'V06 Calend 01'!C19),6)=0),(((107-'V06 Calend 01'!C19)/6)&lt;='V06 Calend 01'!E19)),IF((107=('V06 Calend 01'!C19+(6*'V06 Calend 01'!E19))),('V06 Calend 01'!H19-('V06 Calend 01'!I19*('V06 Calend 01'!E19-1))),'V06 Calend 01'!I19),0))+IF((107='V06 Calend 01'!D19),'V06 Calend 01'!J19,0))</f>
        <v>0</v>
      </c>
      <c r="DP19" s="2">
        <f>((IF((108='V06 Calend 01'!C19),('V06 Calend 01'!F19+'V06 Calend 01'!G19),0)+IF(AND(('V06 Calend 01'!E19&gt;0),(108&gt;'V06 Calend 01'!C19),(108&lt;'V06 Calend 01'!D19),(MOD((108-'V06 Calend 01'!C19),6)=0),(((108-'V06 Calend 01'!C19)/6)&lt;='V06 Calend 01'!E19)),IF((108=('V06 Calend 01'!C19+(6*'V06 Calend 01'!E19))),('V06 Calend 01'!H19-('V06 Calend 01'!I19*('V06 Calend 01'!E19-1))),'V06 Calend 01'!I19),0))+IF((108='V06 Calend 01'!D19),'V06 Calend 01'!J19,0))</f>
        <v>0</v>
      </c>
      <c r="DQ19" s="2">
        <f>((IF((109='V06 Calend 01'!C19),('V06 Calend 01'!F19+'V06 Calend 01'!G19),0)+IF(AND(('V06 Calend 01'!E19&gt;0),(109&gt;'V06 Calend 01'!C19),(109&lt;'V06 Calend 01'!D19),(MOD((109-'V06 Calend 01'!C19),6)=0),(((109-'V06 Calend 01'!C19)/6)&lt;='V06 Calend 01'!E19)),IF((109=('V06 Calend 01'!C19+(6*'V06 Calend 01'!E19))),('V06 Calend 01'!H19-('V06 Calend 01'!I19*('V06 Calend 01'!E19-1))),'V06 Calend 01'!I19),0))+IF((109='V06 Calend 01'!D19),'V06 Calend 01'!J19,0))</f>
        <v>0</v>
      </c>
      <c r="DR19" s="2">
        <f>((IF((110='V06 Calend 01'!C19),('V06 Calend 01'!F19+'V06 Calend 01'!G19),0)+IF(AND(('V06 Calend 01'!E19&gt;0),(110&gt;'V06 Calend 01'!C19),(110&lt;'V06 Calend 01'!D19),(MOD((110-'V06 Calend 01'!C19),6)=0),(((110-'V06 Calend 01'!C19)/6)&lt;='V06 Calend 01'!E19)),IF((110=('V06 Calend 01'!C19+(6*'V06 Calend 01'!E19))),('V06 Calend 01'!H19-('V06 Calend 01'!I19*('V06 Calend 01'!E19-1))),'V06 Calend 01'!I19),0))+IF((110='V06 Calend 01'!D19),'V06 Calend 01'!J19,0))</f>
        <v>0</v>
      </c>
      <c r="DS19" s="2">
        <f>((IF((111='V06 Calend 01'!C19),('V06 Calend 01'!F19+'V06 Calend 01'!G19),0)+IF(AND(('V06 Calend 01'!E19&gt;0),(111&gt;'V06 Calend 01'!C19),(111&lt;'V06 Calend 01'!D19),(MOD((111-'V06 Calend 01'!C19),6)=0),(((111-'V06 Calend 01'!C19)/6)&lt;='V06 Calend 01'!E19)),IF((111=('V06 Calend 01'!C19+(6*'V06 Calend 01'!E19))),('V06 Calend 01'!H19-('V06 Calend 01'!I19*('V06 Calend 01'!E19-1))),'V06 Calend 01'!I19),0))+IF((111='V06 Calend 01'!D19),'V06 Calend 01'!J19,0))</f>
        <v>0</v>
      </c>
      <c r="DT19" s="2">
        <f>((IF((112='V06 Calend 01'!C19),('V06 Calend 01'!F19+'V06 Calend 01'!G19),0)+IF(AND(('V06 Calend 01'!E19&gt;0),(112&gt;'V06 Calend 01'!C19),(112&lt;'V06 Calend 01'!D19),(MOD((112-'V06 Calend 01'!C19),6)=0),(((112-'V06 Calend 01'!C19)/6)&lt;='V06 Calend 01'!E19)),IF((112=('V06 Calend 01'!C19+(6*'V06 Calend 01'!E19))),('V06 Calend 01'!H19-('V06 Calend 01'!I19*('V06 Calend 01'!E19-1))),'V06 Calend 01'!I19),0))+IF((112='V06 Calend 01'!D19),'V06 Calend 01'!J19,0))</f>
        <v>0</v>
      </c>
      <c r="DU19" s="2">
        <f>((IF((113='V06 Calend 01'!C19),('V06 Calend 01'!F19+'V06 Calend 01'!G19),0)+IF(AND(('V06 Calend 01'!E19&gt;0),(113&gt;'V06 Calend 01'!C19),(113&lt;'V06 Calend 01'!D19),(MOD((113-'V06 Calend 01'!C19),6)=0),(((113-'V06 Calend 01'!C19)/6)&lt;='V06 Calend 01'!E19)),IF((113=('V06 Calend 01'!C19+(6*'V06 Calend 01'!E19))),('V06 Calend 01'!H19-('V06 Calend 01'!I19*('V06 Calend 01'!E19-1))),'V06 Calend 01'!I19),0))+IF((113='V06 Calend 01'!D19),'V06 Calend 01'!J19,0))</f>
        <v>0</v>
      </c>
      <c r="DV19" s="2">
        <f>((IF((114='V06 Calend 01'!C19),('V06 Calend 01'!F19+'V06 Calend 01'!G19),0)+IF(AND(('V06 Calend 01'!E19&gt;0),(114&gt;'V06 Calend 01'!C19),(114&lt;'V06 Calend 01'!D19),(MOD((114-'V06 Calend 01'!C19),6)=0),(((114-'V06 Calend 01'!C19)/6)&lt;='V06 Calend 01'!E19)),IF((114=('V06 Calend 01'!C19+(6*'V06 Calend 01'!E19))),('V06 Calend 01'!H19-('V06 Calend 01'!I19*('V06 Calend 01'!E19-1))),'V06 Calend 01'!I19),0))+IF((114='V06 Calend 01'!D19),'V06 Calend 01'!J19,0))</f>
        <v>0</v>
      </c>
      <c r="DW19" s="2">
        <f>((IF((115='V06 Calend 01'!C19),('V06 Calend 01'!F19+'V06 Calend 01'!G19),0)+IF(AND(('V06 Calend 01'!E19&gt;0),(115&gt;'V06 Calend 01'!C19),(115&lt;'V06 Calend 01'!D19),(MOD((115-'V06 Calend 01'!C19),6)=0),(((115-'V06 Calend 01'!C19)/6)&lt;='V06 Calend 01'!E19)),IF((115=('V06 Calend 01'!C19+(6*'V06 Calend 01'!E19))),('V06 Calend 01'!H19-('V06 Calend 01'!I19*('V06 Calend 01'!E19-1))),'V06 Calend 01'!I19),0))+IF((115='V06 Calend 01'!D19),'V06 Calend 01'!J19,0))</f>
        <v>0</v>
      </c>
      <c r="DX19" s="2">
        <f>((IF((116='V06 Calend 01'!C19),('V06 Calend 01'!F19+'V06 Calend 01'!G19),0)+IF(AND(('V06 Calend 01'!E19&gt;0),(116&gt;'V06 Calend 01'!C19),(116&lt;'V06 Calend 01'!D19),(MOD((116-'V06 Calend 01'!C19),6)=0),(((116-'V06 Calend 01'!C19)/6)&lt;='V06 Calend 01'!E19)),IF((116=('V06 Calend 01'!C19+(6*'V06 Calend 01'!E19))),('V06 Calend 01'!H19-('V06 Calend 01'!I19*('V06 Calend 01'!E19-1))),'V06 Calend 01'!I19),0))+IF((116='V06 Calend 01'!D19),'V06 Calend 01'!J19,0))</f>
        <v>0</v>
      </c>
      <c r="DY19" s="2">
        <f>((IF((117='V06 Calend 01'!C19),('V06 Calend 01'!F19+'V06 Calend 01'!G19),0)+IF(AND(('V06 Calend 01'!E19&gt;0),(117&gt;'V06 Calend 01'!C19),(117&lt;'V06 Calend 01'!D19),(MOD((117-'V06 Calend 01'!C19),6)=0),(((117-'V06 Calend 01'!C19)/6)&lt;='V06 Calend 01'!E19)),IF((117=('V06 Calend 01'!C19+(6*'V06 Calend 01'!E19))),('V06 Calend 01'!H19-('V06 Calend 01'!I19*('V06 Calend 01'!E19-1))),'V06 Calend 01'!I19),0))+IF((117='V06 Calend 01'!D19),'V06 Calend 01'!J19,0))</f>
        <v>0</v>
      </c>
      <c r="DZ19" s="2">
        <f>((IF((118='V06 Calend 01'!C19),('V06 Calend 01'!F19+'V06 Calend 01'!G19),0)+IF(AND(('V06 Calend 01'!E19&gt;0),(118&gt;'V06 Calend 01'!C19),(118&lt;'V06 Calend 01'!D19),(MOD((118-'V06 Calend 01'!C19),6)=0),(((118-'V06 Calend 01'!C19)/6)&lt;='V06 Calend 01'!E19)),IF((118=('V06 Calend 01'!C19+(6*'V06 Calend 01'!E19))),('V06 Calend 01'!H19-('V06 Calend 01'!I19*('V06 Calend 01'!E19-1))),'V06 Calend 01'!I19),0))+IF((118='V06 Calend 01'!D19),'V06 Calend 01'!J19,0))</f>
        <v>0</v>
      </c>
      <c r="EA19" s="2">
        <f>((IF((119='V06 Calend 01'!C19),('V06 Calend 01'!F19+'V06 Calend 01'!G19),0)+IF(AND(('V06 Calend 01'!E19&gt;0),(119&gt;'V06 Calend 01'!C19),(119&lt;'V06 Calend 01'!D19),(MOD((119-'V06 Calend 01'!C19),6)=0),(((119-'V06 Calend 01'!C19)/6)&lt;='V06 Calend 01'!E19)),IF((119=('V06 Calend 01'!C19+(6*'V06 Calend 01'!E19))),('V06 Calend 01'!H19-('V06 Calend 01'!I19*('V06 Calend 01'!E19-1))),'V06 Calend 01'!I19),0))+IF((119='V06 Calend 01'!D19),'V06 Calend 01'!J19,0))</f>
        <v>0</v>
      </c>
      <c r="EB19" s="2">
        <f>((IF((120='V06 Calend 01'!C19),('V06 Calend 01'!F19+'V06 Calend 01'!G19),0)+IF(AND(('V06 Calend 01'!E19&gt;0),(120&gt;'V06 Calend 01'!C19),(120&lt;'V06 Calend 01'!D19),(MOD((120-'V06 Calend 01'!C19),6)=0),(((120-'V06 Calend 01'!C19)/6)&lt;='V06 Calend 01'!E19)),IF((120=('V06 Calend 01'!C19+(6*'V06 Calend 01'!E19))),('V06 Calend 01'!H19-('V06 Calend 01'!I19*('V06 Calend 01'!E19-1))),'V06 Calend 01'!I19),0))+IF((120='V06 Calend 01'!D19),'V06 Calend 01'!J19,0))</f>
        <v>0</v>
      </c>
      <c r="EC19" s="2">
        <f>((IF((121='V06 Calend 01'!C19),('V06 Calend 01'!F19+'V06 Calend 01'!G19),0)+IF(AND(('V06 Calend 01'!E19&gt;0),(121&gt;'V06 Calend 01'!C19),(121&lt;'V06 Calend 01'!D19),(MOD((121-'V06 Calend 01'!C19),6)=0),(((121-'V06 Calend 01'!C19)/6)&lt;='V06 Calend 01'!E19)),IF((121=('V06 Calend 01'!C19+(6*'V06 Calend 01'!E19))),('V06 Calend 01'!H19-('V06 Calend 01'!I19*('V06 Calend 01'!E19-1))),'V06 Calend 01'!I19),0))+IF((121='V06 Calend 01'!D19),'V06 Calend 01'!J19,0))</f>
        <v>0</v>
      </c>
      <c r="ED19" s="2">
        <f>((IF((122='V06 Calend 01'!C19),('V06 Calend 01'!F19+'V06 Calend 01'!G19),0)+IF(AND(('V06 Calend 01'!E19&gt;0),(122&gt;'V06 Calend 01'!C19),(122&lt;'V06 Calend 01'!D19),(MOD((122-'V06 Calend 01'!C19),6)=0),(((122-'V06 Calend 01'!C19)/6)&lt;='V06 Calend 01'!E19)),IF((122=('V06 Calend 01'!C19+(6*'V06 Calend 01'!E19))),('V06 Calend 01'!H19-('V06 Calend 01'!I19*('V06 Calend 01'!E19-1))),'V06 Calend 01'!I19),0))+IF((122='V06 Calend 01'!D19),'V06 Calend 01'!J19,0))</f>
        <v>0</v>
      </c>
      <c r="EE19" s="2">
        <f>((IF((123='V06 Calend 01'!C19),('V06 Calend 01'!F19+'V06 Calend 01'!G19),0)+IF(AND(('V06 Calend 01'!E19&gt;0),(123&gt;'V06 Calend 01'!C19),(123&lt;'V06 Calend 01'!D19),(MOD((123-'V06 Calend 01'!C19),6)=0),(((123-'V06 Calend 01'!C19)/6)&lt;='V06 Calend 01'!E19)),IF((123=('V06 Calend 01'!C19+(6*'V06 Calend 01'!E19))),('V06 Calend 01'!H19-('V06 Calend 01'!I19*('V06 Calend 01'!E19-1))),'V06 Calend 01'!I19),0))+IF((123='V06 Calend 01'!D19),'V06 Calend 01'!J19,0))</f>
        <v>0</v>
      </c>
      <c r="EF19" s="2">
        <f>((IF((124='V06 Calend 01'!C19),('V06 Calend 01'!F19+'V06 Calend 01'!G19),0)+IF(AND(('V06 Calend 01'!E19&gt;0),(124&gt;'V06 Calend 01'!C19),(124&lt;'V06 Calend 01'!D19),(MOD((124-'V06 Calend 01'!C19),6)=0),(((124-'V06 Calend 01'!C19)/6)&lt;='V06 Calend 01'!E19)),IF((124=('V06 Calend 01'!C19+(6*'V06 Calend 01'!E19))),('V06 Calend 01'!H19-('V06 Calend 01'!I19*('V06 Calend 01'!E19-1))),'V06 Calend 01'!I19),0))+IF((124='V06 Calend 01'!D19),'V06 Calend 01'!J19,0))</f>
        <v>0</v>
      </c>
      <c r="EG19" s="2">
        <f>((IF((125='V06 Calend 01'!C19),('V06 Calend 01'!F19+'V06 Calend 01'!G19),0)+IF(AND(('V06 Calend 01'!E19&gt;0),(125&gt;'V06 Calend 01'!C19),(125&lt;'V06 Calend 01'!D19),(MOD((125-'V06 Calend 01'!C19),6)=0),(((125-'V06 Calend 01'!C19)/6)&lt;='V06 Calend 01'!E19)),IF((125=('V06 Calend 01'!C19+(6*'V06 Calend 01'!E19))),('V06 Calend 01'!H19-('V06 Calend 01'!I19*('V06 Calend 01'!E19-1))),'V06 Calend 01'!I19),0))+IF((125='V06 Calend 01'!D19),'V06 Calend 01'!J19,0))</f>
        <v>0</v>
      </c>
      <c r="EH19" s="2">
        <f>((IF((126='V06 Calend 01'!C19),('V06 Calend 01'!F19+'V06 Calend 01'!G19),0)+IF(AND(('V06 Calend 01'!E19&gt;0),(126&gt;'V06 Calend 01'!C19),(126&lt;'V06 Calend 01'!D19),(MOD((126-'V06 Calend 01'!C19),6)=0),(((126-'V06 Calend 01'!C19)/6)&lt;='V06 Calend 01'!E19)),IF((126=('V06 Calend 01'!C19+(6*'V06 Calend 01'!E19))),('V06 Calend 01'!H19-('V06 Calend 01'!I19*('V06 Calend 01'!E19-1))),'V06 Calend 01'!I19),0))+IF((126='V06 Calend 01'!D19),'V06 Calend 01'!J19,0))</f>
        <v>0</v>
      </c>
      <c r="EI19" s="2">
        <f>((IF((127='V06 Calend 01'!C19),('V06 Calend 01'!F19+'V06 Calend 01'!G19),0)+IF(AND(('V06 Calend 01'!E19&gt;0),(127&gt;'V06 Calend 01'!C19),(127&lt;'V06 Calend 01'!D19),(MOD((127-'V06 Calend 01'!C19),6)=0),(((127-'V06 Calend 01'!C19)/6)&lt;='V06 Calend 01'!E19)),IF((127=('V06 Calend 01'!C19+(6*'V06 Calend 01'!E19))),('V06 Calend 01'!H19-('V06 Calend 01'!I19*('V06 Calend 01'!E19-1))),'V06 Calend 01'!I19),0))+IF((127='V06 Calend 01'!D19),'V06 Calend 01'!J19,0))</f>
        <v>0</v>
      </c>
      <c r="EJ19" s="2">
        <f>((IF((128='V06 Calend 01'!C19),('V06 Calend 01'!F19+'V06 Calend 01'!G19),0)+IF(AND(('V06 Calend 01'!E19&gt;0),(128&gt;'V06 Calend 01'!C19),(128&lt;'V06 Calend 01'!D19),(MOD((128-'V06 Calend 01'!C19),6)=0),(((128-'V06 Calend 01'!C19)/6)&lt;='V06 Calend 01'!E19)),IF((128=('V06 Calend 01'!C19+(6*'V06 Calend 01'!E19))),('V06 Calend 01'!H19-('V06 Calend 01'!I19*('V06 Calend 01'!E19-1))),'V06 Calend 01'!I19),0))+IF((128='V06 Calend 01'!D19),'V06 Calend 01'!J19,0))</f>
        <v>0</v>
      </c>
      <c r="EK19" s="2">
        <f>((IF((129='V06 Calend 01'!C19),('V06 Calend 01'!F19+'V06 Calend 01'!G19),0)+IF(AND(('V06 Calend 01'!E19&gt;0),(129&gt;'V06 Calend 01'!C19),(129&lt;'V06 Calend 01'!D19),(MOD((129-'V06 Calend 01'!C19),6)=0),(((129-'V06 Calend 01'!C19)/6)&lt;='V06 Calend 01'!E19)),IF((129=('V06 Calend 01'!C19+(6*'V06 Calend 01'!E19))),('V06 Calend 01'!H19-('V06 Calend 01'!I19*('V06 Calend 01'!E19-1))),'V06 Calend 01'!I19),0))+IF((129='V06 Calend 01'!D19),'V06 Calend 01'!J19,0))</f>
        <v>0</v>
      </c>
      <c r="EL19" s="2">
        <f>((IF((130='V06 Calend 01'!C19),('V06 Calend 01'!F19+'V06 Calend 01'!G19),0)+IF(AND(('V06 Calend 01'!E19&gt;0),(130&gt;'V06 Calend 01'!C19),(130&lt;'V06 Calend 01'!D19),(MOD((130-'V06 Calend 01'!C19),6)=0),(((130-'V06 Calend 01'!C19)/6)&lt;='V06 Calend 01'!E19)),IF((130=('V06 Calend 01'!C19+(6*'V06 Calend 01'!E19))),('V06 Calend 01'!H19-('V06 Calend 01'!I19*('V06 Calend 01'!E19-1))),'V06 Calend 01'!I19),0))+IF((130='V06 Calend 01'!D19),'V06 Calend 01'!J19,0))</f>
        <v>0</v>
      </c>
      <c r="EM19" s="2">
        <f>((IF((131='V06 Calend 01'!C19),('V06 Calend 01'!F19+'V06 Calend 01'!G19),0)+IF(AND(('V06 Calend 01'!E19&gt;0),(131&gt;'V06 Calend 01'!C19),(131&lt;'V06 Calend 01'!D19),(MOD((131-'V06 Calend 01'!C19),6)=0),(((131-'V06 Calend 01'!C19)/6)&lt;='V06 Calend 01'!E19)),IF((131=('V06 Calend 01'!C19+(6*'V06 Calend 01'!E19))),('V06 Calend 01'!H19-('V06 Calend 01'!I19*('V06 Calend 01'!E19-1))),'V06 Calend 01'!I19),0))+IF((131='V06 Calend 01'!D19),'V06 Calend 01'!J19,0))</f>
        <v>0</v>
      </c>
      <c r="EN19" s="2">
        <f>((IF((132='V06 Calend 01'!C19),('V06 Calend 01'!F19+'V06 Calend 01'!G19),0)+IF(AND(('V06 Calend 01'!E19&gt;0),(132&gt;'V06 Calend 01'!C19),(132&lt;'V06 Calend 01'!D19),(MOD((132-'V06 Calend 01'!C19),6)=0),(((132-'V06 Calend 01'!C19)/6)&lt;='V06 Calend 01'!E19)),IF((132=('V06 Calend 01'!C19+(6*'V06 Calend 01'!E19))),('V06 Calend 01'!H19-('V06 Calend 01'!I19*('V06 Calend 01'!E19-1))),'V06 Calend 01'!I19),0))+IF((132='V06 Calend 01'!D19),'V06 Calend 01'!J19,0))</f>
        <v>0</v>
      </c>
      <c r="EO19" s="2">
        <f>((IF((133='V06 Calend 01'!C19),('V06 Calend 01'!F19+'V06 Calend 01'!G19),0)+IF(AND(('V06 Calend 01'!E19&gt;0),(133&gt;'V06 Calend 01'!C19),(133&lt;'V06 Calend 01'!D19),(MOD((133-'V06 Calend 01'!C19),6)=0),(((133-'V06 Calend 01'!C19)/6)&lt;='V06 Calend 01'!E19)),IF((133=('V06 Calend 01'!C19+(6*'V06 Calend 01'!E19))),('V06 Calend 01'!H19-('V06 Calend 01'!I19*('V06 Calend 01'!E19-1))),'V06 Calend 01'!I19),0))+IF((133='V06 Calend 01'!D19),'V06 Calend 01'!J19,0))</f>
        <v>0</v>
      </c>
      <c r="EP19" s="2">
        <f>((IF((134='V06 Calend 01'!C19),('V06 Calend 01'!F19+'V06 Calend 01'!G19),0)+IF(AND(('V06 Calend 01'!E19&gt;0),(134&gt;'V06 Calend 01'!C19),(134&lt;'V06 Calend 01'!D19),(MOD((134-'V06 Calend 01'!C19),6)=0),(((134-'V06 Calend 01'!C19)/6)&lt;='V06 Calend 01'!E19)),IF((134=('V06 Calend 01'!C19+(6*'V06 Calend 01'!E19))),('V06 Calend 01'!H19-('V06 Calend 01'!I19*('V06 Calend 01'!E19-1))),'V06 Calend 01'!I19),0))+IF((134='V06 Calend 01'!D19),'V06 Calend 01'!J19,0))</f>
        <v>0</v>
      </c>
      <c r="EQ19" s="2">
        <f>((IF((135='V06 Calend 01'!C19),('V06 Calend 01'!F19+'V06 Calend 01'!G19),0)+IF(AND(('V06 Calend 01'!E19&gt;0),(135&gt;'V06 Calend 01'!C19),(135&lt;'V06 Calend 01'!D19),(MOD((135-'V06 Calend 01'!C19),6)=0),(((135-'V06 Calend 01'!C19)/6)&lt;='V06 Calend 01'!E19)),IF((135=('V06 Calend 01'!C19+(6*'V06 Calend 01'!E19))),('V06 Calend 01'!H19-('V06 Calend 01'!I19*('V06 Calend 01'!E19-1))),'V06 Calend 01'!I19),0))+IF((135='V06 Calend 01'!D19),'V06 Calend 01'!J19,0))</f>
        <v>0</v>
      </c>
      <c r="ER19" s="2">
        <f>((IF((136='V06 Calend 01'!C19),('V06 Calend 01'!F19+'V06 Calend 01'!G19),0)+IF(AND(('V06 Calend 01'!E19&gt;0),(136&gt;'V06 Calend 01'!C19),(136&lt;'V06 Calend 01'!D19),(MOD((136-'V06 Calend 01'!C19),6)=0),(((136-'V06 Calend 01'!C19)/6)&lt;='V06 Calend 01'!E19)),IF((136=('V06 Calend 01'!C19+(6*'V06 Calend 01'!E19))),('V06 Calend 01'!H19-('V06 Calend 01'!I19*('V06 Calend 01'!E19-1))),'V06 Calend 01'!I19),0))+IF((136='V06 Calend 01'!D19),'V06 Calend 01'!J19,0))</f>
        <v>0</v>
      </c>
      <c r="ES19" s="2">
        <f>((IF((137='V06 Calend 01'!C19),('V06 Calend 01'!F19+'V06 Calend 01'!G19),0)+IF(AND(('V06 Calend 01'!E19&gt;0),(137&gt;'V06 Calend 01'!C19),(137&lt;'V06 Calend 01'!D19),(MOD((137-'V06 Calend 01'!C19),6)=0),(((137-'V06 Calend 01'!C19)/6)&lt;='V06 Calend 01'!E19)),IF((137=('V06 Calend 01'!C19+(6*'V06 Calend 01'!E19))),('V06 Calend 01'!H19-('V06 Calend 01'!I19*('V06 Calend 01'!E19-1))),'V06 Calend 01'!I19),0))+IF((137='V06 Calend 01'!D19),'V06 Calend 01'!J19,0))</f>
        <v>0</v>
      </c>
      <c r="ET19" s="2">
        <f>((IF((138='V06 Calend 01'!C19),('V06 Calend 01'!F19+'V06 Calend 01'!G19),0)+IF(AND(('V06 Calend 01'!E19&gt;0),(138&gt;'V06 Calend 01'!C19),(138&lt;'V06 Calend 01'!D19),(MOD((138-'V06 Calend 01'!C19),6)=0),(((138-'V06 Calend 01'!C19)/6)&lt;='V06 Calend 01'!E19)),IF((138=('V06 Calend 01'!C19+(6*'V06 Calend 01'!E19))),('V06 Calend 01'!H19-('V06 Calend 01'!I19*('V06 Calend 01'!E19-1))),'V06 Calend 01'!I19),0))+IF((138='V06 Calend 01'!D19),'V06 Calend 01'!J19,0))</f>
        <v>0</v>
      </c>
      <c r="EU19" s="2">
        <f>((IF((139='V06 Calend 01'!C19),('V06 Calend 01'!F19+'V06 Calend 01'!G19),0)+IF(AND(('V06 Calend 01'!E19&gt;0),(139&gt;'V06 Calend 01'!C19),(139&lt;'V06 Calend 01'!D19),(MOD((139-'V06 Calend 01'!C19),6)=0),(((139-'V06 Calend 01'!C19)/6)&lt;='V06 Calend 01'!E19)),IF((139=('V06 Calend 01'!C19+(6*'V06 Calend 01'!E19))),('V06 Calend 01'!H19-('V06 Calend 01'!I19*('V06 Calend 01'!E19-1))),'V06 Calend 01'!I19),0))+IF((139='V06 Calend 01'!D19),'V06 Calend 01'!J19,0))</f>
        <v>0</v>
      </c>
      <c r="EV19" s="2">
        <f>((IF((140='V06 Calend 01'!C19),('V06 Calend 01'!F19+'V06 Calend 01'!G19),0)+IF(AND(('V06 Calend 01'!E19&gt;0),(140&gt;'V06 Calend 01'!C19),(140&lt;'V06 Calend 01'!D19),(MOD((140-'V06 Calend 01'!C19),6)=0),(((140-'V06 Calend 01'!C19)/6)&lt;='V06 Calend 01'!E19)),IF((140=('V06 Calend 01'!C19+(6*'V06 Calend 01'!E19))),('V06 Calend 01'!H19-('V06 Calend 01'!I19*('V06 Calend 01'!E19-1))),'V06 Calend 01'!I19),0))+IF((140='V06 Calend 01'!D19),'V06 Calend 01'!J19,0))</f>
        <v>0</v>
      </c>
      <c r="EW19" s="2">
        <f>((IF((141='V06 Calend 01'!C19),('V06 Calend 01'!F19+'V06 Calend 01'!G19),0)+IF(AND(('V06 Calend 01'!E19&gt;0),(141&gt;'V06 Calend 01'!C19),(141&lt;'V06 Calend 01'!D19),(MOD((141-'V06 Calend 01'!C19),6)=0),(((141-'V06 Calend 01'!C19)/6)&lt;='V06 Calend 01'!E19)),IF((141=('V06 Calend 01'!C19+(6*'V06 Calend 01'!E19))),('V06 Calend 01'!H19-('V06 Calend 01'!I19*('V06 Calend 01'!E19-1))),'V06 Calend 01'!I19),0))+IF((141='V06 Calend 01'!D19),'V06 Calend 01'!J19,0))</f>
        <v>0</v>
      </c>
      <c r="EX19" s="2">
        <f>((IF((142='V06 Calend 01'!C19),('V06 Calend 01'!F19+'V06 Calend 01'!G19),0)+IF(AND(('V06 Calend 01'!E19&gt;0),(142&gt;'V06 Calend 01'!C19),(142&lt;'V06 Calend 01'!D19),(MOD((142-'V06 Calend 01'!C19),6)=0),(((142-'V06 Calend 01'!C19)/6)&lt;='V06 Calend 01'!E19)),IF((142=('V06 Calend 01'!C19+(6*'V06 Calend 01'!E19))),('V06 Calend 01'!H19-('V06 Calend 01'!I19*('V06 Calend 01'!E19-1))),'V06 Calend 01'!I19),0))+IF((142='V06 Calend 01'!D19),'V06 Calend 01'!J19,0))</f>
        <v>0</v>
      </c>
      <c r="EY19" s="2">
        <f>((IF((143='V06 Calend 01'!C19),('V06 Calend 01'!F19+'V06 Calend 01'!G19),0)+IF(AND(('V06 Calend 01'!E19&gt;0),(143&gt;'V06 Calend 01'!C19),(143&lt;'V06 Calend 01'!D19),(MOD((143-'V06 Calend 01'!C19),6)=0),(((143-'V06 Calend 01'!C19)/6)&lt;='V06 Calend 01'!E19)),IF((143=('V06 Calend 01'!C19+(6*'V06 Calend 01'!E19))),('V06 Calend 01'!H19-('V06 Calend 01'!I19*('V06 Calend 01'!E19-1))),'V06 Calend 01'!I19),0))+IF((143='V06 Calend 01'!D19),'V06 Calend 01'!J19,0))</f>
        <v>0</v>
      </c>
      <c r="EZ19" s="2">
        <f>((IF((144='V06 Calend 01'!C19),('V06 Calend 01'!F19+'V06 Calend 01'!G19),0)+IF(AND(('V06 Calend 01'!E19&gt;0),(144&gt;'V06 Calend 01'!C19),(144&lt;'V06 Calend 01'!D19),(MOD((144-'V06 Calend 01'!C19),6)=0),(((144-'V06 Calend 01'!C19)/6)&lt;='V06 Calend 01'!E19)),IF((144=('V06 Calend 01'!C19+(6*'V06 Calend 01'!E19))),('V06 Calend 01'!H19-('V06 Calend 01'!I19*('V06 Calend 01'!E19-1))),'V06 Calend 01'!I19),0))+IF((144='V06 Calend 01'!D19),'V06 Calend 01'!J19,0))</f>
        <v>0</v>
      </c>
      <c r="FA19" s="2">
        <f>((IF((145='V06 Calend 01'!C19),('V06 Calend 01'!F19+'V06 Calend 01'!G19),0)+IF(AND(('V06 Calend 01'!E19&gt;0),(145&gt;'V06 Calend 01'!C19),(145&lt;'V06 Calend 01'!D19),(MOD((145-'V06 Calend 01'!C19),6)=0),(((145-'V06 Calend 01'!C19)/6)&lt;='V06 Calend 01'!E19)),IF((145=('V06 Calend 01'!C19+(6*'V06 Calend 01'!E19))),('V06 Calend 01'!H19-('V06 Calend 01'!I19*('V06 Calend 01'!E19-1))),'V06 Calend 01'!I19),0))+IF((145='V06 Calend 01'!D19),'V06 Calend 01'!J19,0))</f>
        <v>0</v>
      </c>
      <c r="FB19" s="2">
        <f>((IF((146='V06 Calend 01'!C19),('V06 Calend 01'!F19+'V06 Calend 01'!G19),0)+IF(AND(('V06 Calend 01'!E19&gt;0),(146&gt;'V06 Calend 01'!C19),(146&lt;'V06 Calend 01'!D19),(MOD((146-'V06 Calend 01'!C19),6)=0),(((146-'V06 Calend 01'!C19)/6)&lt;='V06 Calend 01'!E19)),IF((146=('V06 Calend 01'!C19+(6*'V06 Calend 01'!E19))),('V06 Calend 01'!H19-('V06 Calend 01'!I19*('V06 Calend 01'!E19-1))),'V06 Calend 01'!I19),0))+IF((146='V06 Calend 01'!D19),'V06 Calend 01'!J19,0))</f>
        <v>0</v>
      </c>
      <c r="FC19" s="2">
        <f>((IF((147='V06 Calend 01'!C19),('V06 Calend 01'!F19+'V06 Calend 01'!G19),0)+IF(AND(('V06 Calend 01'!E19&gt;0),(147&gt;'V06 Calend 01'!C19),(147&lt;'V06 Calend 01'!D19),(MOD((147-'V06 Calend 01'!C19),6)=0),(((147-'V06 Calend 01'!C19)/6)&lt;='V06 Calend 01'!E19)),IF((147=('V06 Calend 01'!C19+(6*'V06 Calend 01'!E19))),('V06 Calend 01'!H19-('V06 Calend 01'!I19*('V06 Calend 01'!E19-1))),'V06 Calend 01'!I19),0))+IF((147='V06 Calend 01'!D19),'V06 Calend 01'!J19,0))</f>
        <v>0</v>
      </c>
      <c r="FD19" s="2">
        <f>((IF((148='V06 Calend 01'!C19),('V06 Calend 01'!F19+'V06 Calend 01'!G19),0)+IF(AND(('V06 Calend 01'!E19&gt;0),(148&gt;'V06 Calend 01'!C19),(148&lt;'V06 Calend 01'!D19),(MOD((148-'V06 Calend 01'!C19),6)=0),(((148-'V06 Calend 01'!C19)/6)&lt;='V06 Calend 01'!E19)),IF((148=('V06 Calend 01'!C19+(6*'V06 Calend 01'!E19))),('V06 Calend 01'!H19-('V06 Calend 01'!I19*('V06 Calend 01'!E19-1))),'V06 Calend 01'!I19),0))+IF((148='V06 Calend 01'!D19),'V06 Calend 01'!J19,0))</f>
        <v>0</v>
      </c>
      <c r="FE19" s="2">
        <f>((IF((149='V06 Calend 01'!C19),('V06 Calend 01'!F19+'V06 Calend 01'!G19),0)+IF(AND(('V06 Calend 01'!E19&gt;0),(149&gt;'V06 Calend 01'!C19),(149&lt;'V06 Calend 01'!D19),(MOD((149-'V06 Calend 01'!C19),6)=0),(((149-'V06 Calend 01'!C19)/6)&lt;='V06 Calend 01'!E19)),IF((149=('V06 Calend 01'!C19+(6*'V06 Calend 01'!E19))),('V06 Calend 01'!H19-('V06 Calend 01'!I19*('V06 Calend 01'!E19-1))),'V06 Calend 01'!I19),0))+IF((149='V06 Calend 01'!D19),'V06 Calend 01'!J19,0))</f>
        <v>0</v>
      </c>
      <c r="FF19" s="2">
        <f>((IF((150='V06 Calend 01'!C19),('V06 Calend 01'!F19+'V06 Calend 01'!G19),0)+IF(AND(('V06 Calend 01'!E19&gt;0),(150&gt;'V06 Calend 01'!C19),(150&lt;'V06 Calend 01'!D19),(MOD((150-'V06 Calend 01'!C19),6)=0),(((150-'V06 Calend 01'!C19)/6)&lt;='V06 Calend 01'!E19)),IF((150=('V06 Calend 01'!C19+(6*'V06 Calend 01'!E19))),('V06 Calend 01'!H19-('V06 Calend 01'!I19*('V06 Calend 01'!E19-1))),'V06 Calend 01'!I19),0))+IF((150='V06 Calend 01'!D19),'V06 Calend 01'!J19,0))</f>
        <v>0</v>
      </c>
      <c r="FG19" s="2">
        <f>((IF((151='V06 Calend 01'!C19),('V06 Calend 01'!F19+'V06 Calend 01'!G19),0)+IF(AND(('V06 Calend 01'!E19&gt;0),(151&gt;'V06 Calend 01'!C19),(151&lt;'V06 Calend 01'!D19),(MOD((151-'V06 Calend 01'!C19),6)=0),(((151-'V06 Calend 01'!C19)/6)&lt;='V06 Calend 01'!E19)),IF((151=('V06 Calend 01'!C19+(6*'V06 Calend 01'!E19))),('V06 Calend 01'!H19-('V06 Calend 01'!I19*('V06 Calend 01'!E19-1))),'V06 Calend 01'!I19),0))+IF((151='V06 Calend 01'!D19),'V06 Calend 01'!J19,0))</f>
        <v>0</v>
      </c>
      <c r="FH19" s="2">
        <f>((IF((152='V06 Calend 01'!C19),('V06 Calend 01'!F19+'V06 Calend 01'!G19),0)+IF(AND(('V06 Calend 01'!E19&gt;0),(152&gt;'V06 Calend 01'!C19),(152&lt;'V06 Calend 01'!D19),(MOD((152-'V06 Calend 01'!C19),6)=0),(((152-'V06 Calend 01'!C19)/6)&lt;='V06 Calend 01'!E19)),IF((152=('V06 Calend 01'!C19+(6*'V06 Calend 01'!E19))),('V06 Calend 01'!H19-('V06 Calend 01'!I19*('V06 Calend 01'!E19-1))),'V06 Calend 01'!I19),0))+IF((152='V06 Calend 01'!D19),'V06 Calend 01'!J19,0))</f>
        <v>0</v>
      </c>
      <c r="FI19" s="2">
        <f>((IF((153='V06 Calend 01'!C19),('V06 Calend 01'!F19+'V06 Calend 01'!G19),0)+IF(AND(('V06 Calend 01'!E19&gt;0),(153&gt;'V06 Calend 01'!C19),(153&lt;'V06 Calend 01'!D19),(MOD((153-'V06 Calend 01'!C19),6)=0),(((153-'V06 Calend 01'!C19)/6)&lt;='V06 Calend 01'!E19)),IF((153=('V06 Calend 01'!C19+(6*'V06 Calend 01'!E19))),('V06 Calend 01'!H19-('V06 Calend 01'!I19*('V06 Calend 01'!E19-1))),'V06 Calend 01'!I19),0))+IF((153='V06 Calend 01'!D19),'V06 Calend 01'!J19,0))</f>
        <v>0</v>
      </c>
      <c r="FJ19" s="2">
        <f>((IF((154='V06 Calend 01'!C19),('V06 Calend 01'!F19+'V06 Calend 01'!G19),0)+IF(AND(('V06 Calend 01'!E19&gt;0),(154&gt;'V06 Calend 01'!C19),(154&lt;'V06 Calend 01'!D19),(MOD((154-'V06 Calend 01'!C19),6)=0),(((154-'V06 Calend 01'!C19)/6)&lt;='V06 Calend 01'!E19)),IF((154=('V06 Calend 01'!C19+(6*'V06 Calend 01'!E19))),('V06 Calend 01'!H19-('V06 Calend 01'!I19*('V06 Calend 01'!E19-1))),'V06 Calend 01'!I19),0))+IF((154='V06 Calend 01'!D19),'V06 Calend 01'!J19,0))</f>
        <v>0</v>
      </c>
      <c r="FK19" s="2">
        <f>((IF((155='V06 Calend 01'!C19),('V06 Calend 01'!F19+'V06 Calend 01'!G19),0)+IF(AND(('V06 Calend 01'!E19&gt;0),(155&gt;'V06 Calend 01'!C19),(155&lt;'V06 Calend 01'!D19),(MOD((155-'V06 Calend 01'!C19),6)=0),(((155-'V06 Calend 01'!C19)/6)&lt;='V06 Calend 01'!E19)),IF((155=('V06 Calend 01'!C19+(6*'V06 Calend 01'!E19))),('V06 Calend 01'!H19-('V06 Calend 01'!I19*('V06 Calend 01'!E19-1))),'V06 Calend 01'!I19),0))+IF((155='V06 Calend 01'!D19),'V06 Calend 01'!J19,0))</f>
        <v>0</v>
      </c>
      <c r="FL19" s="2">
        <f>((IF((156='V06 Calend 01'!C19),('V06 Calend 01'!F19+'V06 Calend 01'!G19),0)+IF(AND(('V06 Calend 01'!E19&gt;0),(156&gt;'V06 Calend 01'!C19),(156&lt;'V06 Calend 01'!D19),(MOD((156-'V06 Calend 01'!C19),6)=0),(((156-'V06 Calend 01'!C19)/6)&lt;='V06 Calend 01'!E19)),IF((156=('V06 Calend 01'!C19+(6*'V06 Calend 01'!E19))),('V06 Calend 01'!H19-('V06 Calend 01'!I19*('V06 Calend 01'!E19-1))),'V06 Calend 01'!I19),0))+IF((156='V06 Calend 01'!D19),'V06 Calend 01'!J19,0))</f>
        <v>0</v>
      </c>
      <c r="FM19" s="2">
        <f>((IF((157='V06 Calend 01'!C19),('V06 Calend 01'!F19+'V06 Calend 01'!G19),0)+IF(AND(('V06 Calend 01'!E19&gt;0),(157&gt;'V06 Calend 01'!C19),(157&lt;'V06 Calend 01'!D19),(MOD((157-'V06 Calend 01'!C19),6)=0),(((157-'V06 Calend 01'!C19)/6)&lt;='V06 Calend 01'!E19)),IF((157=('V06 Calend 01'!C19+(6*'V06 Calend 01'!E19))),('V06 Calend 01'!H19-('V06 Calend 01'!I19*('V06 Calend 01'!E19-1))),'V06 Calend 01'!I19),0))+IF((157='V06 Calend 01'!D19),'V06 Calend 01'!J19,0))</f>
        <v>0</v>
      </c>
      <c r="FN19" s="2">
        <f>((IF((158='V06 Calend 01'!C19),('V06 Calend 01'!F19+'V06 Calend 01'!G19),0)+IF(AND(('V06 Calend 01'!E19&gt;0),(158&gt;'V06 Calend 01'!C19),(158&lt;'V06 Calend 01'!D19),(MOD((158-'V06 Calend 01'!C19),6)=0),(((158-'V06 Calend 01'!C19)/6)&lt;='V06 Calend 01'!E19)),IF((158=('V06 Calend 01'!C19+(6*'V06 Calend 01'!E19))),('V06 Calend 01'!H19-('V06 Calend 01'!I19*('V06 Calend 01'!E19-1))),'V06 Calend 01'!I19),0))+IF((158='V06 Calend 01'!D19),'V06 Calend 01'!J19,0))</f>
        <v>0</v>
      </c>
      <c r="FO19" s="2">
        <f>((IF((159='V06 Calend 01'!C19),('V06 Calend 01'!F19+'V06 Calend 01'!G19),0)+IF(AND(('V06 Calend 01'!E19&gt;0),(159&gt;'V06 Calend 01'!C19),(159&lt;'V06 Calend 01'!D19),(MOD((159-'V06 Calend 01'!C19),6)=0),(((159-'V06 Calend 01'!C19)/6)&lt;='V06 Calend 01'!E19)),IF((159=('V06 Calend 01'!C19+(6*'V06 Calend 01'!E19))),('V06 Calend 01'!H19-('V06 Calend 01'!I19*('V06 Calend 01'!E19-1))),'V06 Calend 01'!I19),0))+IF((159='V06 Calend 01'!D19),'V06 Calend 01'!J19,0))</f>
        <v>0</v>
      </c>
      <c r="FP19" s="2">
        <f>((IF((160='V06 Calend 01'!C19),('V06 Calend 01'!F19+'V06 Calend 01'!G19),0)+IF(AND(('V06 Calend 01'!E19&gt;0),(160&gt;'V06 Calend 01'!C19),(160&lt;'V06 Calend 01'!D19),(MOD((160-'V06 Calend 01'!C19),6)=0),(((160-'V06 Calend 01'!C19)/6)&lt;='V06 Calend 01'!E19)),IF((160=('V06 Calend 01'!C19+(6*'V06 Calend 01'!E19))),('V06 Calend 01'!H19-('V06 Calend 01'!I19*('V06 Calend 01'!E19-1))),'V06 Calend 01'!I19),0))+IF((160='V06 Calend 01'!D19),'V06 Calend 01'!J19,0))</f>
        <v>0</v>
      </c>
      <c r="FQ19" s="2">
        <f>((IF((161='V06 Calend 01'!C19),('V06 Calend 01'!F19+'V06 Calend 01'!G19),0)+IF(AND(('V06 Calend 01'!E19&gt;0),(161&gt;'V06 Calend 01'!C19),(161&lt;'V06 Calend 01'!D19),(MOD((161-'V06 Calend 01'!C19),6)=0),(((161-'V06 Calend 01'!C19)/6)&lt;='V06 Calend 01'!E19)),IF((161=('V06 Calend 01'!C19+(6*'V06 Calend 01'!E19))),('V06 Calend 01'!H19-('V06 Calend 01'!I19*('V06 Calend 01'!E19-1))),'V06 Calend 01'!I19),0))+IF((161='V06 Calend 01'!D19),'V06 Calend 01'!J19,0))</f>
        <v>0</v>
      </c>
      <c r="FR19" s="2">
        <f>((IF((162='V06 Calend 01'!C19),('V06 Calend 01'!F19+'V06 Calend 01'!G19),0)+IF(AND(('V06 Calend 01'!E19&gt;0),(162&gt;'V06 Calend 01'!C19),(162&lt;'V06 Calend 01'!D19),(MOD((162-'V06 Calend 01'!C19),6)=0),(((162-'V06 Calend 01'!C19)/6)&lt;='V06 Calend 01'!E19)),IF((162=('V06 Calend 01'!C19+(6*'V06 Calend 01'!E19))),('V06 Calend 01'!H19-('V06 Calend 01'!I19*('V06 Calend 01'!E19-1))),'V06 Calend 01'!I19),0))+IF((162='V06 Calend 01'!D19),'V06 Calend 01'!J19,0))</f>
        <v>0</v>
      </c>
      <c r="FS19" s="2">
        <f>((IF((163='V06 Calend 01'!C19),('V06 Calend 01'!F19+'V06 Calend 01'!G19),0)+IF(AND(('V06 Calend 01'!E19&gt;0),(163&gt;'V06 Calend 01'!C19),(163&lt;'V06 Calend 01'!D19),(MOD((163-'V06 Calend 01'!C19),6)=0),(((163-'V06 Calend 01'!C19)/6)&lt;='V06 Calend 01'!E19)),IF((163=('V06 Calend 01'!C19+(6*'V06 Calend 01'!E19))),('V06 Calend 01'!H19-('V06 Calend 01'!I19*('V06 Calend 01'!E19-1))),'V06 Calend 01'!I19),0))+IF((163='V06 Calend 01'!D19),'V06 Calend 01'!J19,0))</f>
        <v>0</v>
      </c>
      <c r="FT19" s="2">
        <f>((IF((164='V06 Calend 01'!C19),('V06 Calend 01'!F19+'V06 Calend 01'!G19),0)+IF(AND(('V06 Calend 01'!E19&gt;0),(164&gt;'V06 Calend 01'!C19),(164&lt;'V06 Calend 01'!D19),(MOD((164-'V06 Calend 01'!C19),6)=0),(((164-'V06 Calend 01'!C19)/6)&lt;='V06 Calend 01'!E19)),IF((164=('V06 Calend 01'!C19+(6*'V06 Calend 01'!E19))),('V06 Calend 01'!H19-('V06 Calend 01'!I19*('V06 Calend 01'!E19-1))),'V06 Calend 01'!I19),0))+IF((164='V06 Calend 01'!D19),'V06 Calend 01'!J19,0))</f>
        <v>0</v>
      </c>
      <c r="FU19" s="2">
        <f>((IF((165='V06 Calend 01'!C19),('V06 Calend 01'!F19+'V06 Calend 01'!G19),0)+IF(AND(('V06 Calend 01'!E19&gt;0),(165&gt;'V06 Calend 01'!C19),(165&lt;'V06 Calend 01'!D19),(MOD((165-'V06 Calend 01'!C19),6)=0),(((165-'V06 Calend 01'!C19)/6)&lt;='V06 Calend 01'!E19)),IF((165=('V06 Calend 01'!C19+(6*'V06 Calend 01'!E19))),('V06 Calend 01'!H19-('V06 Calend 01'!I19*('V06 Calend 01'!E19-1))),'V06 Calend 01'!I19),0))+IF((165='V06 Calend 01'!D19),'V06 Calend 01'!J19,0))</f>
        <v>0</v>
      </c>
      <c r="FV19" s="2">
        <f>((IF((166='V06 Calend 01'!C19),('V06 Calend 01'!F19+'V06 Calend 01'!G19),0)+IF(AND(('V06 Calend 01'!E19&gt;0),(166&gt;'V06 Calend 01'!C19),(166&lt;'V06 Calend 01'!D19),(MOD((166-'V06 Calend 01'!C19),6)=0),(((166-'V06 Calend 01'!C19)/6)&lt;='V06 Calend 01'!E19)),IF((166=('V06 Calend 01'!C19+(6*'V06 Calend 01'!E19))),('V06 Calend 01'!H19-('V06 Calend 01'!I19*('V06 Calend 01'!E19-1))),'V06 Calend 01'!I19),0))+IF((166='V06 Calend 01'!D19),'V06 Calend 01'!J19,0))</f>
        <v>0</v>
      </c>
      <c r="FW19" s="2">
        <f>((IF((167='V06 Calend 01'!C19),('V06 Calend 01'!F19+'V06 Calend 01'!G19),0)+IF(AND(('V06 Calend 01'!E19&gt;0),(167&gt;'V06 Calend 01'!C19),(167&lt;'V06 Calend 01'!D19),(MOD((167-'V06 Calend 01'!C19),6)=0),(((167-'V06 Calend 01'!C19)/6)&lt;='V06 Calend 01'!E19)),IF((167=('V06 Calend 01'!C19+(6*'V06 Calend 01'!E19))),('V06 Calend 01'!H19-('V06 Calend 01'!I19*('V06 Calend 01'!E19-1))),'V06 Calend 01'!I19),0))+IF((167='V06 Calend 01'!D19),'V06 Calend 01'!J19,0))</f>
        <v>0</v>
      </c>
      <c r="FX19" s="2">
        <f>((IF((168='V06 Calend 01'!C19),('V06 Calend 01'!F19+'V06 Calend 01'!G19),0)+IF(AND(('V06 Calend 01'!E19&gt;0),(168&gt;'V06 Calend 01'!C19),(168&lt;'V06 Calend 01'!D19),(MOD((168-'V06 Calend 01'!C19),6)=0),(((168-'V06 Calend 01'!C19)/6)&lt;='V06 Calend 01'!E19)),IF((168=('V06 Calend 01'!C19+(6*'V06 Calend 01'!E19))),('V06 Calend 01'!H19-('V06 Calend 01'!I19*('V06 Calend 01'!E19-1))),'V06 Calend 01'!I19),0))+IF((168='V06 Calend 01'!D19),'V06 Calend 01'!J19,0))</f>
        <v>0</v>
      </c>
      <c r="FY19" s="2">
        <f>((IF((169='V06 Calend 01'!C19),('V06 Calend 01'!F19+'V06 Calend 01'!G19),0)+IF(AND(('V06 Calend 01'!E19&gt;0),(169&gt;'V06 Calend 01'!C19),(169&lt;'V06 Calend 01'!D19),(MOD((169-'V06 Calend 01'!C19),6)=0),(((169-'V06 Calend 01'!C19)/6)&lt;='V06 Calend 01'!E19)),IF((169=('V06 Calend 01'!C19+(6*'V06 Calend 01'!E19))),('V06 Calend 01'!H19-('V06 Calend 01'!I19*('V06 Calend 01'!E19-1))),'V06 Calend 01'!I19),0))+IF((169='V06 Calend 01'!D19),'V06 Calend 01'!J19,0))</f>
        <v>0</v>
      </c>
      <c r="FZ19" s="2">
        <f>((IF((170='V06 Calend 01'!C19),('V06 Calend 01'!F19+'V06 Calend 01'!G19),0)+IF(AND(('V06 Calend 01'!E19&gt;0),(170&gt;'V06 Calend 01'!C19),(170&lt;'V06 Calend 01'!D19),(MOD((170-'V06 Calend 01'!C19),6)=0),(((170-'V06 Calend 01'!C19)/6)&lt;='V06 Calend 01'!E19)),IF((170=('V06 Calend 01'!C19+(6*'V06 Calend 01'!E19))),('V06 Calend 01'!H19-('V06 Calend 01'!I19*('V06 Calend 01'!E19-1))),'V06 Calend 01'!I19),0))+IF((170='V06 Calend 01'!D19),'V06 Calend 01'!J19,0))</f>
        <v>0</v>
      </c>
      <c r="GA19" s="2">
        <f>((IF((171='V06 Calend 01'!C19),('V06 Calend 01'!F19+'V06 Calend 01'!G19),0)+IF(AND(('V06 Calend 01'!E19&gt;0),(171&gt;'V06 Calend 01'!C19),(171&lt;'V06 Calend 01'!D19),(MOD((171-'V06 Calend 01'!C19),6)=0),(((171-'V06 Calend 01'!C19)/6)&lt;='V06 Calend 01'!E19)),IF((171=('V06 Calend 01'!C19+(6*'V06 Calend 01'!E19))),('V06 Calend 01'!H19-('V06 Calend 01'!I19*('V06 Calend 01'!E19-1))),'V06 Calend 01'!I19),0))+IF((171='V06 Calend 01'!D19),'V06 Calend 01'!J19,0))</f>
        <v>0</v>
      </c>
      <c r="GB19" s="2">
        <f>((IF((172='V06 Calend 01'!C19),('V06 Calend 01'!F19+'V06 Calend 01'!G19),0)+IF(AND(('V06 Calend 01'!E19&gt;0),(172&gt;'V06 Calend 01'!C19),(172&lt;'V06 Calend 01'!D19),(MOD((172-'V06 Calend 01'!C19),6)=0),(((172-'V06 Calend 01'!C19)/6)&lt;='V06 Calend 01'!E19)),IF((172=('V06 Calend 01'!C19+(6*'V06 Calend 01'!E19))),('V06 Calend 01'!H19-('V06 Calend 01'!I19*('V06 Calend 01'!E19-1))),'V06 Calend 01'!I19),0))+IF((172='V06 Calend 01'!D19),'V06 Calend 01'!J19,0))</f>
        <v>0</v>
      </c>
      <c r="GC19" s="2">
        <f>((IF((173='V06 Calend 01'!C19),('V06 Calend 01'!F19+'V06 Calend 01'!G19),0)+IF(AND(('V06 Calend 01'!E19&gt;0),(173&gt;'V06 Calend 01'!C19),(173&lt;'V06 Calend 01'!D19),(MOD((173-'V06 Calend 01'!C19),6)=0),(((173-'V06 Calend 01'!C19)/6)&lt;='V06 Calend 01'!E19)),IF((173=('V06 Calend 01'!C19+(6*'V06 Calend 01'!E19))),('V06 Calend 01'!H19-('V06 Calend 01'!I19*('V06 Calend 01'!E19-1))),'V06 Calend 01'!I19),0))+IF((173='V06 Calend 01'!D19),'V06 Calend 01'!J19,0))</f>
        <v>0</v>
      </c>
      <c r="GD19" s="2">
        <f>((IF((174='V06 Calend 01'!C19),('V06 Calend 01'!F19+'V06 Calend 01'!G19),0)+IF(AND(('V06 Calend 01'!E19&gt;0),(174&gt;'V06 Calend 01'!C19),(174&lt;'V06 Calend 01'!D19),(MOD((174-'V06 Calend 01'!C19),6)=0),(((174-'V06 Calend 01'!C19)/6)&lt;='V06 Calend 01'!E19)),IF((174=('V06 Calend 01'!C19+(6*'V06 Calend 01'!E19))),('V06 Calend 01'!H19-('V06 Calend 01'!I19*('V06 Calend 01'!E19-1))),'V06 Calend 01'!I19),0))+IF((174='V06 Calend 01'!D19),'V06 Calend 01'!J19,0))</f>
        <v>0</v>
      </c>
      <c r="GE19" s="2">
        <f>((IF((175='V06 Calend 01'!C19),('V06 Calend 01'!F19+'V06 Calend 01'!G19),0)+IF(AND(('V06 Calend 01'!E19&gt;0),(175&gt;'V06 Calend 01'!C19),(175&lt;'V06 Calend 01'!D19),(MOD((175-'V06 Calend 01'!C19),6)=0),(((175-'V06 Calend 01'!C19)/6)&lt;='V06 Calend 01'!E19)),IF((175=('V06 Calend 01'!C19+(6*'V06 Calend 01'!E19))),('V06 Calend 01'!H19-('V06 Calend 01'!I19*('V06 Calend 01'!E19-1))),'V06 Calend 01'!I19),0))+IF((175='V06 Calend 01'!D19),'V06 Calend 01'!J19,0))</f>
        <v>0</v>
      </c>
      <c r="GF19" s="2">
        <f>((IF((176='V06 Calend 01'!C19),('V06 Calend 01'!F19+'V06 Calend 01'!G19),0)+IF(AND(('V06 Calend 01'!E19&gt;0),(176&gt;'V06 Calend 01'!C19),(176&lt;'V06 Calend 01'!D19),(MOD((176-'V06 Calend 01'!C19),6)=0),(((176-'V06 Calend 01'!C19)/6)&lt;='V06 Calend 01'!E19)),IF((176=('V06 Calend 01'!C19+(6*'V06 Calend 01'!E19))),('V06 Calend 01'!H19-('V06 Calend 01'!I19*('V06 Calend 01'!E19-1))),'V06 Calend 01'!I19),0))+IF((176='V06 Calend 01'!D19),'V06 Calend 01'!J19,0))</f>
        <v>0</v>
      </c>
      <c r="GG19" s="2">
        <f>((IF((177='V06 Calend 01'!C19),('V06 Calend 01'!F19+'V06 Calend 01'!G19),0)+IF(AND(('V06 Calend 01'!E19&gt;0),(177&gt;'V06 Calend 01'!C19),(177&lt;'V06 Calend 01'!D19),(MOD((177-'V06 Calend 01'!C19),6)=0),(((177-'V06 Calend 01'!C19)/6)&lt;='V06 Calend 01'!E19)),IF((177=('V06 Calend 01'!C19+(6*'V06 Calend 01'!E19))),('V06 Calend 01'!H19-('V06 Calend 01'!I19*('V06 Calend 01'!E19-1))),'V06 Calend 01'!I19),0))+IF((177='V06 Calend 01'!D19),'V06 Calend 01'!J19,0))</f>
        <v>0</v>
      </c>
      <c r="GH19" s="2">
        <f>((IF((178='V06 Calend 01'!C19),('V06 Calend 01'!F19+'V06 Calend 01'!G19),0)+IF(AND(('V06 Calend 01'!E19&gt;0),(178&gt;'V06 Calend 01'!C19),(178&lt;'V06 Calend 01'!D19),(MOD((178-'V06 Calend 01'!C19),6)=0),(((178-'V06 Calend 01'!C19)/6)&lt;='V06 Calend 01'!E19)),IF((178=('V06 Calend 01'!C19+(6*'V06 Calend 01'!E19))),('V06 Calend 01'!H19-('V06 Calend 01'!I19*('V06 Calend 01'!E19-1))),'V06 Calend 01'!I19),0))+IF((178='V06 Calend 01'!D19),'V06 Calend 01'!J19,0))</f>
        <v>0</v>
      </c>
      <c r="GI19" s="2">
        <f>((IF((179='V06 Calend 01'!C19),('V06 Calend 01'!F19+'V06 Calend 01'!G19),0)+IF(AND(('V06 Calend 01'!E19&gt;0),(179&gt;'V06 Calend 01'!C19),(179&lt;'V06 Calend 01'!D19),(MOD((179-'V06 Calend 01'!C19),6)=0),(((179-'V06 Calend 01'!C19)/6)&lt;='V06 Calend 01'!E19)),IF((179=('V06 Calend 01'!C19+(6*'V06 Calend 01'!E19))),('V06 Calend 01'!H19-('V06 Calend 01'!I19*('V06 Calend 01'!E19-1))),'V06 Calend 01'!I19),0))+IF((179='V06 Calend 01'!D19),'V06 Calend 01'!J19,0))</f>
        <v>0</v>
      </c>
      <c r="GJ19" s="2">
        <f>((IF((180='V06 Calend 01'!C19),('V06 Calend 01'!F19+'V06 Calend 01'!G19),0)+IF(AND(('V06 Calend 01'!E19&gt;0),(180&gt;'V06 Calend 01'!C19),(180&lt;'V06 Calend 01'!D19),(MOD((180-'V06 Calend 01'!C19),6)=0),(((180-'V06 Calend 01'!C19)/6)&lt;='V06 Calend 01'!E19)),IF((180=('V06 Calend 01'!C19+(6*'V06 Calend 01'!E19))),('V06 Calend 01'!H19-('V06 Calend 01'!I19*('V06 Calend 01'!E19-1))),'V06 Calend 01'!I19),0))+IF((180='V06 Calend 01'!D19),'V06 Calend 01'!J19,0))</f>
        <v>0</v>
      </c>
    </row>
    <row r="20" spans="1:192">
      <c r="A20" s="3" t="str">
        <f>'V06 Unidades'!$A$20</f>
        <v>306</v>
      </c>
      <c r="B20" s="2">
        <f>'V06 Unidades'!$H$20</f>
        <v>416415</v>
      </c>
      <c r="C20" s="4">
        <f>('V06 Unidades'!$I$20+'V06 Controlos'!$B$37)</f>
        <v>7</v>
      </c>
      <c r="D20" s="4">
        <f>IF(('V06 Controlos'!$B$38&gt;0),MAX(('V06 Unidades'!$L$20+'V06 Controlos'!$B$37),(30+'V06 Controlos'!$B$38)),('V06 Unidades'!$L$20+'V06 Controlos'!$B$37))</f>
        <v>28</v>
      </c>
      <c r="E20" s="4">
        <f>MAX(0,INT(((('V06 Calend 01'!D20-'V06 Calend 01'!C20)-1)/6)))</f>
        <v>3</v>
      </c>
      <c r="F20" s="2">
        <f>ROUND(('V06 Calend 01'!B20*0.05),2)</f>
        <v>20820.75</v>
      </c>
      <c r="G20" s="2">
        <f>ROUND(('V06 Calend 01'!B20*0.2),2)</f>
        <v>83283.0</v>
      </c>
      <c r="H20" s="2">
        <f>ROUND(('V06 Calend 01'!B20*0.55),2)</f>
        <v>229028.25</v>
      </c>
      <c r="I20" s="2">
        <f>ROUND(('V06 Calend 01'!H20/MAX(1,'V06 Calend 01'!E20)),2)</f>
        <v>76342.75</v>
      </c>
      <c r="J20" s="2">
        <f>((('V06 Calend 01'!B20-'V06 Calend 01'!F20)-'V06 Calend 01'!G20)-'V06 Calend 01'!H20)</f>
        <v>83283.0</v>
      </c>
      <c r="K20" s="2">
        <f>('V06 Calend 01'!B20*0.025)</f>
        <v>10410.375</v>
      </c>
      <c r="L20" t="s">
        <v>378</v>
      </c>
      <c r="M20" s="2">
        <f>((IF((1='V06 Calend 01'!C20),('V06 Calend 01'!F20+'V06 Calend 01'!G20),0)+IF(AND(('V06 Calend 01'!E20&gt;0),(1&gt;'V06 Calend 01'!C20),(1&lt;'V06 Calend 01'!D20),(MOD((1-'V06 Calend 01'!C20),6)=0),(((1-'V06 Calend 01'!C20)/6)&lt;='V06 Calend 01'!E20)),IF((1=('V06 Calend 01'!C20+(6*'V06 Calend 01'!E20))),('V06 Calend 01'!H20-('V06 Calend 01'!I20*('V06 Calend 01'!E20-1))),'V06 Calend 01'!I20),0))+IF((1='V06 Calend 01'!D20),'V06 Calend 01'!J20,0))</f>
        <v>0</v>
      </c>
      <c r="N20" s="2">
        <f>((IF((2='V06 Calend 01'!C20),('V06 Calend 01'!F20+'V06 Calend 01'!G20),0)+IF(AND(('V06 Calend 01'!E20&gt;0),(2&gt;'V06 Calend 01'!C20),(2&lt;'V06 Calend 01'!D20),(MOD((2-'V06 Calend 01'!C20),6)=0),(((2-'V06 Calend 01'!C20)/6)&lt;='V06 Calend 01'!E20)),IF((2=('V06 Calend 01'!C20+(6*'V06 Calend 01'!E20))),('V06 Calend 01'!H20-('V06 Calend 01'!I20*('V06 Calend 01'!E20-1))),'V06 Calend 01'!I20),0))+IF((2='V06 Calend 01'!D20),'V06 Calend 01'!J20,0))</f>
        <v>0</v>
      </c>
      <c r="O20" s="2">
        <f>((IF((3='V06 Calend 01'!C20),('V06 Calend 01'!F20+'V06 Calend 01'!G20),0)+IF(AND(('V06 Calend 01'!E20&gt;0),(3&gt;'V06 Calend 01'!C20),(3&lt;'V06 Calend 01'!D20),(MOD((3-'V06 Calend 01'!C20),6)=0),(((3-'V06 Calend 01'!C20)/6)&lt;='V06 Calend 01'!E20)),IF((3=('V06 Calend 01'!C20+(6*'V06 Calend 01'!E20))),('V06 Calend 01'!H20-('V06 Calend 01'!I20*('V06 Calend 01'!E20-1))),'V06 Calend 01'!I20),0))+IF((3='V06 Calend 01'!D20),'V06 Calend 01'!J20,0))</f>
        <v>0</v>
      </c>
      <c r="P20" s="2">
        <f>((IF((4='V06 Calend 01'!C20),('V06 Calend 01'!F20+'V06 Calend 01'!G20),0)+IF(AND(('V06 Calend 01'!E20&gt;0),(4&gt;'V06 Calend 01'!C20),(4&lt;'V06 Calend 01'!D20),(MOD((4-'V06 Calend 01'!C20),6)=0),(((4-'V06 Calend 01'!C20)/6)&lt;='V06 Calend 01'!E20)),IF((4=('V06 Calend 01'!C20+(6*'V06 Calend 01'!E20))),('V06 Calend 01'!H20-('V06 Calend 01'!I20*('V06 Calend 01'!E20-1))),'V06 Calend 01'!I20),0))+IF((4='V06 Calend 01'!D20),'V06 Calend 01'!J20,0))</f>
        <v>0</v>
      </c>
      <c r="Q20" s="2">
        <f>((IF((5='V06 Calend 01'!C20),('V06 Calend 01'!F20+'V06 Calend 01'!G20),0)+IF(AND(('V06 Calend 01'!E20&gt;0),(5&gt;'V06 Calend 01'!C20),(5&lt;'V06 Calend 01'!D20),(MOD((5-'V06 Calend 01'!C20),6)=0),(((5-'V06 Calend 01'!C20)/6)&lt;='V06 Calend 01'!E20)),IF((5=('V06 Calend 01'!C20+(6*'V06 Calend 01'!E20))),('V06 Calend 01'!H20-('V06 Calend 01'!I20*('V06 Calend 01'!E20-1))),'V06 Calend 01'!I20),0))+IF((5='V06 Calend 01'!D20),'V06 Calend 01'!J20,0))</f>
        <v>0</v>
      </c>
      <c r="R20" s="2">
        <f>((IF((6='V06 Calend 01'!C20),('V06 Calend 01'!F20+'V06 Calend 01'!G20),0)+IF(AND(('V06 Calend 01'!E20&gt;0),(6&gt;'V06 Calend 01'!C20),(6&lt;'V06 Calend 01'!D20),(MOD((6-'V06 Calend 01'!C20),6)=0),(((6-'V06 Calend 01'!C20)/6)&lt;='V06 Calend 01'!E20)),IF((6=('V06 Calend 01'!C20+(6*'V06 Calend 01'!E20))),('V06 Calend 01'!H20-('V06 Calend 01'!I20*('V06 Calend 01'!E20-1))),'V06 Calend 01'!I20),0))+IF((6='V06 Calend 01'!D20),'V06 Calend 01'!J20,0))</f>
        <v>0</v>
      </c>
      <c r="S20" s="2">
        <f>((IF((7='V06 Calend 01'!C20),('V06 Calend 01'!F20+'V06 Calend 01'!G20),0)+IF(AND(('V06 Calend 01'!E20&gt;0),(7&gt;'V06 Calend 01'!C20),(7&lt;'V06 Calend 01'!D20),(MOD((7-'V06 Calend 01'!C20),6)=0),(((7-'V06 Calend 01'!C20)/6)&lt;='V06 Calend 01'!E20)),IF((7=('V06 Calend 01'!C20+(6*'V06 Calend 01'!E20))),('V06 Calend 01'!H20-('V06 Calend 01'!I20*('V06 Calend 01'!E20-1))),'V06 Calend 01'!I20),0))+IF((7='V06 Calend 01'!D20),'V06 Calend 01'!J20,0))</f>
        <v>104103.75</v>
      </c>
      <c r="T20" s="2">
        <f>((IF((8='V06 Calend 01'!C20),('V06 Calend 01'!F20+'V06 Calend 01'!G20),0)+IF(AND(('V06 Calend 01'!E20&gt;0),(8&gt;'V06 Calend 01'!C20),(8&lt;'V06 Calend 01'!D20),(MOD((8-'V06 Calend 01'!C20),6)=0),(((8-'V06 Calend 01'!C20)/6)&lt;='V06 Calend 01'!E20)),IF((8=('V06 Calend 01'!C20+(6*'V06 Calend 01'!E20))),('V06 Calend 01'!H20-('V06 Calend 01'!I20*('V06 Calend 01'!E20-1))),'V06 Calend 01'!I20),0))+IF((8='V06 Calend 01'!D20),'V06 Calend 01'!J20,0))</f>
        <v>0</v>
      </c>
      <c r="U20" s="2">
        <f>((IF((9='V06 Calend 01'!C20),('V06 Calend 01'!F20+'V06 Calend 01'!G20),0)+IF(AND(('V06 Calend 01'!E20&gt;0),(9&gt;'V06 Calend 01'!C20),(9&lt;'V06 Calend 01'!D20),(MOD((9-'V06 Calend 01'!C20),6)=0),(((9-'V06 Calend 01'!C20)/6)&lt;='V06 Calend 01'!E20)),IF((9=('V06 Calend 01'!C20+(6*'V06 Calend 01'!E20))),('V06 Calend 01'!H20-('V06 Calend 01'!I20*('V06 Calend 01'!E20-1))),'V06 Calend 01'!I20),0))+IF((9='V06 Calend 01'!D20),'V06 Calend 01'!J20,0))</f>
        <v>0</v>
      </c>
      <c r="V20" s="2">
        <f>((IF((10='V06 Calend 01'!C20),('V06 Calend 01'!F20+'V06 Calend 01'!G20),0)+IF(AND(('V06 Calend 01'!E20&gt;0),(10&gt;'V06 Calend 01'!C20),(10&lt;'V06 Calend 01'!D20),(MOD((10-'V06 Calend 01'!C20),6)=0),(((10-'V06 Calend 01'!C20)/6)&lt;='V06 Calend 01'!E20)),IF((10=('V06 Calend 01'!C20+(6*'V06 Calend 01'!E20))),('V06 Calend 01'!H20-('V06 Calend 01'!I20*('V06 Calend 01'!E20-1))),'V06 Calend 01'!I20),0))+IF((10='V06 Calend 01'!D20),'V06 Calend 01'!J20,0))</f>
        <v>0</v>
      </c>
      <c r="W20" s="2">
        <f>((IF((11='V06 Calend 01'!C20),('V06 Calend 01'!F20+'V06 Calend 01'!G20),0)+IF(AND(('V06 Calend 01'!E20&gt;0),(11&gt;'V06 Calend 01'!C20),(11&lt;'V06 Calend 01'!D20),(MOD((11-'V06 Calend 01'!C20),6)=0),(((11-'V06 Calend 01'!C20)/6)&lt;='V06 Calend 01'!E20)),IF((11=('V06 Calend 01'!C20+(6*'V06 Calend 01'!E20))),('V06 Calend 01'!H20-('V06 Calend 01'!I20*('V06 Calend 01'!E20-1))),'V06 Calend 01'!I20),0))+IF((11='V06 Calend 01'!D20),'V06 Calend 01'!J20,0))</f>
        <v>0</v>
      </c>
      <c r="X20" s="2">
        <f>((IF((12='V06 Calend 01'!C20),('V06 Calend 01'!F20+'V06 Calend 01'!G20),0)+IF(AND(('V06 Calend 01'!E20&gt;0),(12&gt;'V06 Calend 01'!C20),(12&lt;'V06 Calend 01'!D20),(MOD((12-'V06 Calend 01'!C20),6)=0),(((12-'V06 Calend 01'!C20)/6)&lt;='V06 Calend 01'!E20)),IF((12=('V06 Calend 01'!C20+(6*'V06 Calend 01'!E20))),('V06 Calend 01'!H20-('V06 Calend 01'!I20*('V06 Calend 01'!E20-1))),'V06 Calend 01'!I20),0))+IF((12='V06 Calend 01'!D20),'V06 Calend 01'!J20,0))</f>
        <v>0</v>
      </c>
      <c r="Y20" s="2">
        <f>((IF((13='V06 Calend 01'!C20),('V06 Calend 01'!F20+'V06 Calend 01'!G20),0)+IF(AND(('V06 Calend 01'!E20&gt;0),(13&gt;'V06 Calend 01'!C20),(13&lt;'V06 Calend 01'!D20),(MOD((13-'V06 Calend 01'!C20),6)=0),(((13-'V06 Calend 01'!C20)/6)&lt;='V06 Calend 01'!E20)),IF((13=('V06 Calend 01'!C20+(6*'V06 Calend 01'!E20))),('V06 Calend 01'!H20-('V06 Calend 01'!I20*('V06 Calend 01'!E20-1))),'V06 Calend 01'!I20),0))+IF((13='V06 Calend 01'!D20),'V06 Calend 01'!J20,0))</f>
        <v>76342.75</v>
      </c>
      <c r="Z20" s="2">
        <f>((IF((14='V06 Calend 01'!C20),('V06 Calend 01'!F20+'V06 Calend 01'!G20),0)+IF(AND(('V06 Calend 01'!E20&gt;0),(14&gt;'V06 Calend 01'!C20),(14&lt;'V06 Calend 01'!D20),(MOD((14-'V06 Calend 01'!C20),6)=0),(((14-'V06 Calend 01'!C20)/6)&lt;='V06 Calend 01'!E20)),IF((14=('V06 Calend 01'!C20+(6*'V06 Calend 01'!E20))),('V06 Calend 01'!H20-('V06 Calend 01'!I20*('V06 Calend 01'!E20-1))),'V06 Calend 01'!I20),0))+IF((14='V06 Calend 01'!D20),'V06 Calend 01'!J20,0))</f>
        <v>0</v>
      </c>
      <c r="AA20" s="2">
        <f>((IF((15='V06 Calend 01'!C20),('V06 Calend 01'!F20+'V06 Calend 01'!G20),0)+IF(AND(('V06 Calend 01'!E20&gt;0),(15&gt;'V06 Calend 01'!C20),(15&lt;'V06 Calend 01'!D20),(MOD((15-'V06 Calend 01'!C20),6)=0),(((15-'V06 Calend 01'!C20)/6)&lt;='V06 Calend 01'!E20)),IF((15=('V06 Calend 01'!C20+(6*'V06 Calend 01'!E20))),('V06 Calend 01'!H20-('V06 Calend 01'!I20*('V06 Calend 01'!E20-1))),'V06 Calend 01'!I20),0))+IF((15='V06 Calend 01'!D20),'V06 Calend 01'!J20,0))</f>
        <v>0</v>
      </c>
      <c r="AB20" s="2">
        <f>((IF((16='V06 Calend 01'!C20),('V06 Calend 01'!F20+'V06 Calend 01'!G20),0)+IF(AND(('V06 Calend 01'!E20&gt;0),(16&gt;'V06 Calend 01'!C20),(16&lt;'V06 Calend 01'!D20),(MOD((16-'V06 Calend 01'!C20),6)=0),(((16-'V06 Calend 01'!C20)/6)&lt;='V06 Calend 01'!E20)),IF((16=('V06 Calend 01'!C20+(6*'V06 Calend 01'!E20))),('V06 Calend 01'!H20-('V06 Calend 01'!I20*('V06 Calend 01'!E20-1))),'V06 Calend 01'!I20),0))+IF((16='V06 Calend 01'!D20),'V06 Calend 01'!J20,0))</f>
        <v>0</v>
      </c>
      <c r="AC20" s="2">
        <f>((IF((17='V06 Calend 01'!C20),('V06 Calend 01'!F20+'V06 Calend 01'!G20),0)+IF(AND(('V06 Calend 01'!E20&gt;0),(17&gt;'V06 Calend 01'!C20),(17&lt;'V06 Calend 01'!D20),(MOD((17-'V06 Calend 01'!C20),6)=0),(((17-'V06 Calend 01'!C20)/6)&lt;='V06 Calend 01'!E20)),IF((17=('V06 Calend 01'!C20+(6*'V06 Calend 01'!E20))),('V06 Calend 01'!H20-('V06 Calend 01'!I20*('V06 Calend 01'!E20-1))),'V06 Calend 01'!I20),0))+IF((17='V06 Calend 01'!D20),'V06 Calend 01'!J20,0))</f>
        <v>0</v>
      </c>
      <c r="AD20" s="2">
        <f>((IF((18='V06 Calend 01'!C20),('V06 Calend 01'!F20+'V06 Calend 01'!G20),0)+IF(AND(('V06 Calend 01'!E20&gt;0),(18&gt;'V06 Calend 01'!C20),(18&lt;'V06 Calend 01'!D20),(MOD((18-'V06 Calend 01'!C20),6)=0),(((18-'V06 Calend 01'!C20)/6)&lt;='V06 Calend 01'!E20)),IF((18=('V06 Calend 01'!C20+(6*'V06 Calend 01'!E20))),('V06 Calend 01'!H20-('V06 Calend 01'!I20*('V06 Calend 01'!E20-1))),'V06 Calend 01'!I20),0))+IF((18='V06 Calend 01'!D20),'V06 Calend 01'!J20,0))</f>
        <v>0</v>
      </c>
      <c r="AE20" s="2">
        <f>((IF((19='V06 Calend 01'!C20),('V06 Calend 01'!F20+'V06 Calend 01'!G20),0)+IF(AND(('V06 Calend 01'!E20&gt;0),(19&gt;'V06 Calend 01'!C20),(19&lt;'V06 Calend 01'!D20),(MOD((19-'V06 Calend 01'!C20),6)=0),(((19-'V06 Calend 01'!C20)/6)&lt;='V06 Calend 01'!E20)),IF((19=('V06 Calend 01'!C20+(6*'V06 Calend 01'!E20))),('V06 Calend 01'!H20-('V06 Calend 01'!I20*('V06 Calend 01'!E20-1))),'V06 Calend 01'!I20),0))+IF((19='V06 Calend 01'!D20),'V06 Calend 01'!J20,0))</f>
        <v>76342.75</v>
      </c>
      <c r="AF20" s="2">
        <f>((IF((20='V06 Calend 01'!C20),('V06 Calend 01'!F20+'V06 Calend 01'!G20),0)+IF(AND(('V06 Calend 01'!E20&gt;0),(20&gt;'V06 Calend 01'!C20),(20&lt;'V06 Calend 01'!D20),(MOD((20-'V06 Calend 01'!C20),6)=0),(((20-'V06 Calend 01'!C20)/6)&lt;='V06 Calend 01'!E20)),IF((20=('V06 Calend 01'!C20+(6*'V06 Calend 01'!E20))),('V06 Calend 01'!H20-('V06 Calend 01'!I20*('V06 Calend 01'!E20-1))),'V06 Calend 01'!I20),0))+IF((20='V06 Calend 01'!D20),'V06 Calend 01'!J20,0))</f>
        <v>0</v>
      </c>
      <c r="AG20" s="2">
        <f>((IF((21='V06 Calend 01'!C20),('V06 Calend 01'!F20+'V06 Calend 01'!G20),0)+IF(AND(('V06 Calend 01'!E20&gt;0),(21&gt;'V06 Calend 01'!C20),(21&lt;'V06 Calend 01'!D20),(MOD((21-'V06 Calend 01'!C20),6)=0),(((21-'V06 Calend 01'!C20)/6)&lt;='V06 Calend 01'!E20)),IF((21=('V06 Calend 01'!C20+(6*'V06 Calend 01'!E20))),('V06 Calend 01'!H20-('V06 Calend 01'!I20*('V06 Calend 01'!E20-1))),'V06 Calend 01'!I20),0))+IF((21='V06 Calend 01'!D20),'V06 Calend 01'!J20,0))</f>
        <v>0</v>
      </c>
      <c r="AH20" s="2">
        <f>((IF((22='V06 Calend 01'!C20),('V06 Calend 01'!F20+'V06 Calend 01'!G20),0)+IF(AND(('V06 Calend 01'!E20&gt;0),(22&gt;'V06 Calend 01'!C20),(22&lt;'V06 Calend 01'!D20),(MOD((22-'V06 Calend 01'!C20),6)=0),(((22-'V06 Calend 01'!C20)/6)&lt;='V06 Calend 01'!E20)),IF((22=('V06 Calend 01'!C20+(6*'V06 Calend 01'!E20))),('V06 Calend 01'!H20-('V06 Calend 01'!I20*('V06 Calend 01'!E20-1))),'V06 Calend 01'!I20),0))+IF((22='V06 Calend 01'!D20),'V06 Calend 01'!J20,0))</f>
        <v>0</v>
      </c>
      <c r="AI20" s="2">
        <f>((IF((23='V06 Calend 01'!C20),('V06 Calend 01'!F20+'V06 Calend 01'!G20),0)+IF(AND(('V06 Calend 01'!E20&gt;0),(23&gt;'V06 Calend 01'!C20),(23&lt;'V06 Calend 01'!D20),(MOD((23-'V06 Calend 01'!C20),6)=0),(((23-'V06 Calend 01'!C20)/6)&lt;='V06 Calend 01'!E20)),IF((23=('V06 Calend 01'!C20+(6*'V06 Calend 01'!E20))),('V06 Calend 01'!H20-('V06 Calend 01'!I20*('V06 Calend 01'!E20-1))),'V06 Calend 01'!I20),0))+IF((23='V06 Calend 01'!D20),'V06 Calend 01'!J20,0))</f>
        <v>0</v>
      </c>
      <c r="AJ20" s="2">
        <f>((IF((24='V06 Calend 01'!C20),('V06 Calend 01'!F20+'V06 Calend 01'!G20),0)+IF(AND(('V06 Calend 01'!E20&gt;0),(24&gt;'V06 Calend 01'!C20),(24&lt;'V06 Calend 01'!D20),(MOD((24-'V06 Calend 01'!C20),6)=0),(((24-'V06 Calend 01'!C20)/6)&lt;='V06 Calend 01'!E20)),IF((24=('V06 Calend 01'!C20+(6*'V06 Calend 01'!E20))),('V06 Calend 01'!H20-('V06 Calend 01'!I20*('V06 Calend 01'!E20-1))),'V06 Calend 01'!I20),0))+IF((24='V06 Calend 01'!D20),'V06 Calend 01'!J20,0))</f>
        <v>0</v>
      </c>
      <c r="AK20" s="2">
        <f>((IF((25='V06 Calend 01'!C20),('V06 Calend 01'!F20+'V06 Calend 01'!G20),0)+IF(AND(('V06 Calend 01'!E20&gt;0),(25&gt;'V06 Calend 01'!C20),(25&lt;'V06 Calend 01'!D20),(MOD((25-'V06 Calend 01'!C20),6)=0),(((25-'V06 Calend 01'!C20)/6)&lt;='V06 Calend 01'!E20)),IF((25=('V06 Calend 01'!C20+(6*'V06 Calend 01'!E20))),('V06 Calend 01'!H20-('V06 Calend 01'!I20*('V06 Calend 01'!E20-1))),'V06 Calend 01'!I20),0))+IF((25='V06 Calend 01'!D20),'V06 Calend 01'!J20,0))</f>
        <v>76342.75</v>
      </c>
      <c r="AL20" s="2">
        <f>((IF((26='V06 Calend 01'!C20),('V06 Calend 01'!F20+'V06 Calend 01'!G20),0)+IF(AND(('V06 Calend 01'!E20&gt;0),(26&gt;'V06 Calend 01'!C20),(26&lt;'V06 Calend 01'!D20),(MOD((26-'V06 Calend 01'!C20),6)=0),(((26-'V06 Calend 01'!C20)/6)&lt;='V06 Calend 01'!E20)),IF((26=('V06 Calend 01'!C20+(6*'V06 Calend 01'!E20))),('V06 Calend 01'!H20-('V06 Calend 01'!I20*('V06 Calend 01'!E20-1))),'V06 Calend 01'!I20),0))+IF((26='V06 Calend 01'!D20),'V06 Calend 01'!J20,0))</f>
        <v>0</v>
      </c>
      <c r="AM20" s="2">
        <f>((IF((27='V06 Calend 01'!C20),('V06 Calend 01'!F20+'V06 Calend 01'!G20),0)+IF(AND(('V06 Calend 01'!E20&gt;0),(27&gt;'V06 Calend 01'!C20),(27&lt;'V06 Calend 01'!D20),(MOD((27-'V06 Calend 01'!C20),6)=0),(((27-'V06 Calend 01'!C20)/6)&lt;='V06 Calend 01'!E20)),IF((27=('V06 Calend 01'!C20+(6*'V06 Calend 01'!E20))),('V06 Calend 01'!H20-('V06 Calend 01'!I20*('V06 Calend 01'!E20-1))),'V06 Calend 01'!I20),0))+IF((27='V06 Calend 01'!D20),'V06 Calend 01'!J20,0))</f>
        <v>0</v>
      </c>
      <c r="AN20" s="2">
        <f>((IF((28='V06 Calend 01'!C20),('V06 Calend 01'!F20+'V06 Calend 01'!G20),0)+IF(AND(('V06 Calend 01'!E20&gt;0),(28&gt;'V06 Calend 01'!C20),(28&lt;'V06 Calend 01'!D20),(MOD((28-'V06 Calend 01'!C20),6)=0),(((28-'V06 Calend 01'!C20)/6)&lt;='V06 Calend 01'!E20)),IF((28=('V06 Calend 01'!C20+(6*'V06 Calend 01'!E20))),('V06 Calend 01'!H20-('V06 Calend 01'!I20*('V06 Calend 01'!E20-1))),'V06 Calend 01'!I20),0))+IF((28='V06 Calend 01'!D20),'V06 Calend 01'!J20,0))</f>
        <v>83283.0</v>
      </c>
      <c r="AO20" s="2">
        <f>((IF((29='V06 Calend 01'!C20),('V06 Calend 01'!F20+'V06 Calend 01'!G20),0)+IF(AND(('V06 Calend 01'!E20&gt;0),(29&gt;'V06 Calend 01'!C20),(29&lt;'V06 Calend 01'!D20),(MOD((29-'V06 Calend 01'!C20),6)=0),(((29-'V06 Calend 01'!C20)/6)&lt;='V06 Calend 01'!E20)),IF((29=('V06 Calend 01'!C20+(6*'V06 Calend 01'!E20))),('V06 Calend 01'!H20-('V06 Calend 01'!I20*('V06 Calend 01'!E20-1))),'V06 Calend 01'!I20),0))+IF((29='V06 Calend 01'!D20),'V06 Calend 01'!J20,0))</f>
        <v>0</v>
      </c>
      <c r="AP20" s="2">
        <f>((IF((30='V06 Calend 01'!C20),('V06 Calend 01'!F20+'V06 Calend 01'!G20),0)+IF(AND(('V06 Calend 01'!E20&gt;0),(30&gt;'V06 Calend 01'!C20),(30&lt;'V06 Calend 01'!D20),(MOD((30-'V06 Calend 01'!C20),6)=0),(((30-'V06 Calend 01'!C20)/6)&lt;='V06 Calend 01'!E20)),IF((30=('V06 Calend 01'!C20+(6*'V06 Calend 01'!E20))),('V06 Calend 01'!H20-('V06 Calend 01'!I20*('V06 Calend 01'!E20-1))),'V06 Calend 01'!I20),0))+IF((30='V06 Calend 01'!D20),'V06 Calend 01'!J20,0))</f>
        <v>0</v>
      </c>
      <c r="AQ20" s="2">
        <f>((IF((31='V06 Calend 01'!C20),('V06 Calend 01'!F20+'V06 Calend 01'!G20),0)+IF(AND(('V06 Calend 01'!E20&gt;0),(31&gt;'V06 Calend 01'!C20),(31&lt;'V06 Calend 01'!D20),(MOD((31-'V06 Calend 01'!C20),6)=0),(((31-'V06 Calend 01'!C20)/6)&lt;='V06 Calend 01'!E20)),IF((31=('V06 Calend 01'!C20+(6*'V06 Calend 01'!E20))),('V06 Calend 01'!H20-('V06 Calend 01'!I20*('V06 Calend 01'!E20-1))),'V06 Calend 01'!I20),0))+IF((31='V06 Calend 01'!D20),'V06 Calend 01'!J20,0))</f>
        <v>0</v>
      </c>
      <c r="AR20" s="2">
        <f>((IF((32='V06 Calend 01'!C20),('V06 Calend 01'!F20+'V06 Calend 01'!G20),0)+IF(AND(('V06 Calend 01'!E20&gt;0),(32&gt;'V06 Calend 01'!C20),(32&lt;'V06 Calend 01'!D20),(MOD((32-'V06 Calend 01'!C20),6)=0),(((32-'V06 Calend 01'!C20)/6)&lt;='V06 Calend 01'!E20)),IF((32=('V06 Calend 01'!C20+(6*'V06 Calend 01'!E20))),('V06 Calend 01'!H20-('V06 Calend 01'!I20*('V06 Calend 01'!E20-1))),'V06 Calend 01'!I20),0))+IF((32='V06 Calend 01'!D20),'V06 Calend 01'!J20,0))</f>
        <v>0</v>
      </c>
      <c r="AS20" s="2">
        <f>((IF((33='V06 Calend 01'!C20),('V06 Calend 01'!F20+'V06 Calend 01'!G20),0)+IF(AND(('V06 Calend 01'!E20&gt;0),(33&gt;'V06 Calend 01'!C20),(33&lt;'V06 Calend 01'!D20),(MOD((33-'V06 Calend 01'!C20),6)=0),(((33-'V06 Calend 01'!C20)/6)&lt;='V06 Calend 01'!E20)),IF((33=('V06 Calend 01'!C20+(6*'V06 Calend 01'!E20))),('V06 Calend 01'!H20-('V06 Calend 01'!I20*('V06 Calend 01'!E20-1))),'V06 Calend 01'!I20),0))+IF((33='V06 Calend 01'!D20),'V06 Calend 01'!J20,0))</f>
        <v>0</v>
      </c>
      <c r="AT20" s="2">
        <f>((IF((34='V06 Calend 01'!C20),('V06 Calend 01'!F20+'V06 Calend 01'!G20),0)+IF(AND(('V06 Calend 01'!E20&gt;0),(34&gt;'V06 Calend 01'!C20),(34&lt;'V06 Calend 01'!D20),(MOD((34-'V06 Calend 01'!C20),6)=0),(((34-'V06 Calend 01'!C20)/6)&lt;='V06 Calend 01'!E20)),IF((34=('V06 Calend 01'!C20+(6*'V06 Calend 01'!E20))),('V06 Calend 01'!H20-('V06 Calend 01'!I20*('V06 Calend 01'!E20-1))),'V06 Calend 01'!I20),0))+IF((34='V06 Calend 01'!D20),'V06 Calend 01'!J20,0))</f>
        <v>0</v>
      </c>
      <c r="AU20" s="2">
        <f>((IF((35='V06 Calend 01'!C20),('V06 Calend 01'!F20+'V06 Calend 01'!G20),0)+IF(AND(('V06 Calend 01'!E20&gt;0),(35&gt;'V06 Calend 01'!C20),(35&lt;'V06 Calend 01'!D20),(MOD((35-'V06 Calend 01'!C20),6)=0),(((35-'V06 Calend 01'!C20)/6)&lt;='V06 Calend 01'!E20)),IF((35=('V06 Calend 01'!C20+(6*'V06 Calend 01'!E20))),('V06 Calend 01'!H20-('V06 Calend 01'!I20*('V06 Calend 01'!E20-1))),'V06 Calend 01'!I20),0))+IF((35='V06 Calend 01'!D20),'V06 Calend 01'!J20,0))</f>
        <v>0</v>
      </c>
      <c r="AV20" s="2">
        <f>((IF((36='V06 Calend 01'!C20),('V06 Calend 01'!F20+'V06 Calend 01'!G20),0)+IF(AND(('V06 Calend 01'!E20&gt;0),(36&gt;'V06 Calend 01'!C20),(36&lt;'V06 Calend 01'!D20),(MOD((36-'V06 Calend 01'!C20),6)=0),(((36-'V06 Calend 01'!C20)/6)&lt;='V06 Calend 01'!E20)),IF((36=('V06 Calend 01'!C20+(6*'V06 Calend 01'!E20))),('V06 Calend 01'!H20-('V06 Calend 01'!I20*('V06 Calend 01'!E20-1))),'V06 Calend 01'!I20),0))+IF((36='V06 Calend 01'!D20),'V06 Calend 01'!J20,0))</f>
        <v>0</v>
      </c>
      <c r="AW20" s="2">
        <f>((IF((37='V06 Calend 01'!C20),('V06 Calend 01'!F20+'V06 Calend 01'!G20),0)+IF(AND(('V06 Calend 01'!E20&gt;0),(37&gt;'V06 Calend 01'!C20),(37&lt;'V06 Calend 01'!D20),(MOD((37-'V06 Calend 01'!C20),6)=0),(((37-'V06 Calend 01'!C20)/6)&lt;='V06 Calend 01'!E20)),IF((37=('V06 Calend 01'!C20+(6*'V06 Calend 01'!E20))),('V06 Calend 01'!H20-('V06 Calend 01'!I20*('V06 Calend 01'!E20-1))),'V06 Calend 01'!I20),0))+IF((37='V06 Calend 01'!D20),'V06 Calend 01'!J20,0))</f>
        <v>0</v>
      </c>
      <c r="AX20" s="2">
        <f>((IF((38='V06 Calend 01'!C20),('V06 Calend 01'!F20+'V06 Calend 01'!G20),0)+IF(AND(('V06 Calend 01'!E20&gt;0),(38&gt;'V06 Calend 01'!C20),(38&lt;'V06 Calend 01'!D20),(MOD((38-'V06 Calend 01'!C20),6)=0),(((38-'V06 Calend 01'!C20)/6)&lt;='V06 Calend 01'!E20)),IF((38=('V06 Calend 01'!C20+(6*'V06 Calend 01'!E20))),('V06 Calend 01'!H20-('V06 Calend 01'!I20*('V06 Calend 01'!E20-1))),'V06 Calend 01'!I20),0))+IF((38='V06 Calend 01'!D20),'V06 Calend 01'!J20,0))</f>
        <v>0</v>
      </c>
      <c r="AY20" s="2">
        <f>((IF((39='V06 Calend 01'!C20),('V06 Calend 01'!F20+'V06 Calend 01'!G20),0)+IF(AND(('V06 Calend 01'!E20&gt;0),(39&gt;'V06 Calend 01'!C20),(39&lt;'V06 Calend 01'!D20),(MOD((39-'V06 Calend 01'!C20),6)=0),(((39-'V06 Calend 01'!C20)/6)&lt;='V06 Calend 01'!E20)),IF((39=('V06 Calend 01'!C20+(6*'V06 Calend 01'!E20))),('V06 Calend 01'!H20-('V06 Calend 01'!I20*('V06 Calend 01'!E20-1))),'V06 Calend 01'!I20),0))+IF((39='V06 Calend 01'!D20),'V06 Calend 01'!J20,0))</f>
        <v>0</v>
      </c>
      <c r="AZ20" s="2">
        <f>((IF((40='V06 Calend 01'!C20),('V06 Calend 01'!F20+'V06 Calend 01'!G20),0)+IF(AND(('V06 Calend 01'!E20&gt;0),(40&gt;'V06 Calend 01'!C20),(40&lt;'V06 Calend 01'!D20),(MOD((40-'V06 Calend 01'!C20),6)=0),(((40-'V06 Calend 01'!C20)/6)&lt;='V06 Calend 01'!E20)),IF((40=('V06 Calend 01'!C20+(6*'V06 Calend 01'!E20))),('V06 Calend 01'!H20-('V06 Calend 01'!I20*('V06 Calend 01'!E20-1))),'V06 Calend 01'!I20),0))+IF((40='V06 Calend 01'!D20),'V06 Calend 01'!J20,0))</f>
        <v>0</v>
      </c>
      <c r="BA20" s="2">
        <f>((IF((41='V06 Calend 01'!C20),('V06 Calend 01'!F20+'V06 Calend 01'!G20),0)+IF(AND(('V06 Calend 01'!E20&gt;0),(41&gt;'V06 Calend 01'!C20),(41&lt;'V06 Calend 01'!D20),(MOD((41-'V06 Calend 01'!C20),6)=0),(((41-'V06 Calend 01'!C20)/6)&lt;='V06 Calend 01'!E20)),IF((41=('V06 Calend 01'!C20+(6*'V06 Calend 01'!E20))),('V06 Calend 01'!H20-('V06 Calend 01'!I20*('V06 Calend 01'!E20-1))),'V06 Calend 01'!I20),0))+IF((41='V06 Calend 01'!D20),'V06 Calend 01'!J20,0))</f>
        <v>0</v>
      </c>
      <c r="BB20" s="2">
        <f>((IF((42='V06 Calend 01'!C20),('V06 Calend 01'!F20+'V06 Calend 01'!G20),0)+IF(AND(('V06 Calend 01'!E20&gt;0),(42&gt;'V06 Calend 01'!C20),(42&lt;'V06 Calend 01'!D20),(MOD((42-'V06 Calend 01'!C20),6)=0),(((42-'V06 Calend 01'!C20)/6)&lt;='V06 Calend 01'!E20)),IF((42=('V06 Calend 01'!C20+(6*'V06 Calend 01'!E20))),('V06 Calend 01'!H20-('V06 Calend 01'!I20*('V06 Calend 01'!E20-1))),'V06 Calend 01'!I20),0))+IF((42='V06 Calend 01'!D20),'V06 Calend 01'!J20,0))</f>
        <v>0</v>
      </c>
      <c r="BC20" s="2">
        <f>((IF((43='V06 Calend 01'!C20),('V06 Calend 01'!F20+'V06 Calend 01'!G20),0)+IF(AND(('V06 Calend 01'!E20&gt;0),(43&gt;'V06 Calend 01'!C20),(43&lt;'V06 Calend 01'!D20),(MOD((43-'V06 Calend 01'!C20),6)=0),(((43-'V06 Calend 01'!C20)/6)&lt;='V06 Calend 01'!E20)),IF((43=('V06 Calend 01'!C20+(6*'V06 Calend 01'!E20))),('V06 Calend 01'!H20-('V06 Calend 01'!I20*('V06 Calend 01'!E20-1))),'V06 Calend 01'!I20),0))+IF((43='V06 Calend 01'!D20),'V06 Calend 01'!J20,0))</f>
        <v>0</v>
      </c>
      <c r="BD20" s="2">
        <f>((IF((44='V06 Calend 01'!C20),('V06 Calend 01'!F20+'V06 Calend 01'!G20),0)+IF(AND(('V06 Calend 01'!E20&gt;0),(44&gt;'V06 Calend 01'!C20),(44&lt;'V06 Calend 01'!D20),(MOD((44-'V06 Calend 01'!C20),6)=0),(((44-'V06 Calend 01'!C20)/6)&lt;='V06 Calend 01'!E20)),IF((44=('V06 Calend 01'!C20+(6*'V06 Calend 01'!E20))),('V06 Calend 01'!H20-('V06 Calend 01'!I20*('V06 Calend 01'!E20-1))),'V06 Calend 01'!I20),0))+IF((44='V06 Calend 01'!D20),'V06 Calend 01'!J20,0))</f>
        <v>0</v>
      </c>
      <c r="BE20" s="2">
        <f>((IF((45='V06 Calend 01'!C20),('V06 Calend 01'!F20+'V06 Calend 01'!G20),0)+IF(AND(('V06 Calend 01'!E20&gt;0),(45&gt;'V06 Calend 01'!C20),(45&lt;'V06 Calend 01'!D20),(MOD((45-'V06 Calend 01'!C20),6)=0),(((45-'V06 Calend 01'!C20)/6)&lt;='V06 Calend 01'!E20)),IF((45=('V06 Calend 01'!C20+(6*'V06 Calend 01'!E20))),('V06 Calend 01'!H20-('V06 Calend 01'!I20*('V06 Calend 01'!E20-1))),'V06 Calend 01'!I20),0))+IF((45='V06 Calend 01'!D20),'V06 Calend 01'!J20,0))</f>
        <v>0</v>
      </c>
      <c r="BF20" s="2">
        <f>((IF((46='V06 Calend 01'!C20),('V06 Calend 01'!F20+'V06 Calend 01'!G20),0)+IF(AND(('V06 Calend 01'!E20&gt;0),(46&gt;'V06 Calend 01'!C20),(46&lt;'V06 Calend 01'!D20),(MOD((46-'V06 Calend 01'!C20),6)=0),(((46-'V06 Calend 01'!C20)/6)&lt;='V06 Calend 01'!E20)),IF((46=('V06 Calend 01'!C20+(6*'V06 Calend 01'!E20))),('V06 Calend 01'!H20-('V06 Calend 01'!I20*('V06 Calend 01'!E20-1))),'V06 Calend 01'!I20),0))+IF((46='V06 Calend 01'!D20),'V06 Calend 01'!J20,0))</f>
        <v>0</v>
      </c>
      <c r="BG20" s="2">
        <f>((IF((47='V06 Calend 01'!C20),('V06 Calend 01'!F20+'V06 Calend 01'!G20),0)+IF(AND(('V06 Calend 01'!E20&gt;0),(47&gt;'V06 Calend 01'!C20),(47&lt;'V06 Calend 01'!D20),(MOD((47-'V06 Calend 01'!C20),6)=0),(((47-'V06 Calend 01'!C20)/6)&lt;='V06 Calend 01'!E20)),IF((47=('V06 Calend 01'!C20+(6*'V06 Calend 01'!E20))),('V06 Calend 01'!H20-('V06 Calend 01'!I20*('V06 Calend 01'!E20-1))),'V06 Calend 01'!I20),0))+IF((47='V06 Calend 01'!D20),'V06 Calend 01'!J20,0))</f>
        <v>0</v>
      </c>
      <c r="BH20" s="2">
        <f>((IF((48='V06 Calend 01'!C20),('V06 Calend 01'!F20+'V06 Calend 01'!G20),0)+IF(AND(('V06 Calend 01'!E20&gt;0),(48&gt;'V06 Calend 01'!C20),(48&lt;'V06 Calend 01'!D20),(MOD((48-'V06 Calend 01'!C20),6)=0),(((48-'V06 Calend 01'!C20)/6)&lt;='V06 Calend 01'!E20)),IF((48=('V06 Calend 01'!C20+(6*'V06 Calend 01'!E20))),('V06 Calend 01'!H20-('V06 Calend 01'!I20*('V06 Calend 01'!E20-1))),'V06 Calend 01'!I20),0))+IF((48='V06 Calend 01'!D20),'V06 Calend 01'!J20,0))</f>
        <v>0</v>
      </c>
      <c r="BI20" s="2">
        <f>((IF((49='V06 Calend 01'!C20),('V06 Calend 01'!F20+'V06 Calend 01'!G20),0)+IF(AND(('V06 Calend 01'!E20&gt;0),(49&gt;'V06 Calend 01'!C20),(49&lt;'V06 Calend 01'!D20),(MOD((49-'V06 Calend 01'!C20),6)=0),(((49-'V06 Calend 01'!C20)/6)&lt;='V06 Calend 01'!E20)),IF((49=('V06 Calend 01'!C20+(6*'V06 Calend 01'!E20))),('V06 Calend 01'!H20-('V06 Calend 01'!I20*('V06 Calend 01'!E20-1))),'V06 Calend 01'!I20),0))+IF((49='V06 Calend 01'!D20),'V06 Calend 01'!J20,0))</f>
        <v>0</v>
      </c>
      <c r="BJ20" s="2">
        <f>((IF((50='V06 Calend 01'!C20),('V06 Calend 01'!F20+'V06 Calend 01'!G20),0)+IF(AND(('V06 Calend 01'!E20&gt;0),(50&gt;'V06 Calend 01'!C20),(50&lt;'V06 Calend 01'!D20),(MOD((50-'V06 Calend 01'!C20),6)=0),(((50-'V06 Calend 01'!C20)/6)&lt;='V06 Calend 01'!E20)),IF((50=('V06 Calend 01'!C20+(6*'V06 Calend 01'!E20))),('V06 Calend 01'!H20-('V06 Calend 01'!I20*('V06 Calend 01'!E20-1))),'V06 Calend 01'!I20),0))+IF((50='V06 Calend 01'!D20),'V06 Calend 01'!J20,0))</f>
        <v>0</v>
      </c>
      <c r="BK20" s="2">
        <f>((IF((51='V06 Calend 01'!C20),('V06 Calend 01'!F20+'V06 Calend 01'!G20),0)+IF(AND(('V06 Calend 01'!E20&gt;0),(51&gt;'V06 Calend 01'!C20),(51&lt;'V06 Calend 01'!D20),(MOD((51-'V06 Calend 01'!C20),6)=0),(((51-'V06 Calend 01'!C20)/6)&lt;='V06 Calend 01'!E20)),IF((51=('V06 Calend 01'!C20+(6*'V06 Calend 01'!E20))),('V06 Calend 01'!H20-('V06 Calend 01'!I20*('V06 Calend 01'!E20-1))),'V06 Calend 01'!I20),0))+IF((51='V06 Calend 01'!D20),'V06 Calend 01'!J20,0))</f>
        <v>0</v>
      </c>
      <c r="BL20" s="2">
        <f>((IF((52='V06 Calend 01'!C20),('V06 Calend 01'!F20+'V06 Calend 01'!G20),0)+IF(AND(('V06 Calend 01'!E20&gt;0),(52&gt;'V06 Calend 01'!C20),(52&lt;'V06 Calend 01'!D20),(MOD((52-'V06 Calend 01'!C20),6)=0),(((52-'V06 Calend 01'!C20)/6)&lt;='V06 Calend 01'!E20)),IF((52=('V06 Calend 01'!C20+(6*'V06 Calend 01'!E20))),('V06 Calend 01'!H20-('V06 Calend 01'!I20*('V06 Calend 01'!E20-1))),'V06 Calend 01'!I20),0))+IF((52='V06 Calend 01'!D20),'V06 Calend 01'!J20,0))</f>
        <v>0</v>
      </c>
      <c r="BM20" s="2">
        <f>((IF((53='V06 Calend 01'!C20),('V06 Calend 01'!F20+'V06 Calend 01'!G20),0)+IF(AND(('V06 Calend 01'!E20&gt;0),(53&gt;'V06 Calend 01'!C20),(53&lt;'V06 Calend 01'!D20),(MOD((53-'V06 Calend 01'!C20),6)=0),(((53-'V06 Calend 01'!C20)/6)&lt;='V06 Calend 01'!E20)),IF((53=('V06 Calend 01'!C20+(6*'V06 Calend 01'!E20))),('V06 Calend 01'!H20-('V06 Calend 01'!I20*('V06 Calend 01'!E20-1))),'V06 Calend 01'!I20),0))+IF((53='V06 Calend 01'!D20),'V06 Calend 01'!J20,0))</f>
        <v>0</v>
      </c>
      <c r="BN20" s="2">
        <f>((IF((54='V06 Calend 01'!C20),('V06 Calend 01'!F20+'V06 Calend 01'!G20),0)+IF(AND(('V06 Calend 01'!E20&gt;0),(54&gt;'V06 Calend 01'!C20),(54&lt;'V06 Calend 01'!D20),(MOD((54-'V06 Calend 01'!C20),6)=0),(((54-'V06 Calend 01'!C20)/6)&lt;='V06 Calend 01'!E20)),IF((54=('V06 Calend 01'!C20+(6*'V06 Calend 01'!E20))),('V06 Calend 01'!H20-('V06 Calend 01'!I20*('V06 Calend 01'!E20-1))),'V06 Calend 01'!I20),0))+IF((54='V06 Calend 01'!D20),'V06 Calend 01'!J20,0))</f>
        <v>0</v>
      </c>
      <c r="BO20" s="2">
        <f>((IF((55='V06 Calend 01'!C20),('V06 Calend 01'!F20+'V06 Calend 01'!G20),0)+IF(AND(('V06 Calend 01'!E20&gt;0),(55&gt;'V06 Calend 01'!C20),(55&lt;'V06 Calend 01'!D20),(MOD((55-'V06 Calend 01'!C20),6)=0),(((55-'V06 Calend 01'!C20)/6)&lt;='V06 Calend 01'!E20)),IF((55=('V06 Calend 01'!C20+(6*'V06 Calend 01'!E20))),('V06 Calend 01'!H20-('V06 Calend 01'!I20*('V06 Calend 01'!E20-1))),'V06 Calend 01'!I20),0))+IF((55='V06 Calend 01'!D20),'V06 Calend 01'!J20,0))</f>
        <v>0</v>
      </c>
      <c r="BP20" s="2">
        <f>((IF((56='V06 Calend 01'!C20),('V06 Calend 01'!F20+'V06 Calend 01'!G20),0)+IF(AND(('V06 Calend 01'!E20&gt;0),(56&gt;'V06 Calend 01'!C20),(56&lt;'V06 Calend 01'!D20),(MOD((56-'V06 Calend 01'!C20),6)=0),(((56-'V06 Calend 01'!C20)/6)&lt;='V06 Calend 01'!E20)),IF((56=('V06 Calend 01'!C20+(6*'V06 Calend 01'!E20))),('V06 Calend 01'!H20-('V06 Calend 01'!I20*('V06 Calend 01'!E20-1))),'V06 Calend 01'!I20),0))+IF((56='V06 Calend 01'!D20),'V06 Calend 01'!J20,0))</f>
        <v>0</v>
      </c>
      <c r="BQ20" s="2">
        <f>((IF((57='V06 Calend 01'!C20),('V06 Calend 01'!F20+'V06 Calend 01'!G20),0)+IF(AND(('V06 Calend 01'!E20&gt;0),(57&gt;'V06 Calend 01'!C20),(57&lt;'V06 Calend 01'!D20),(MOD((57-'V06 Calend 01'!C20),6)=0),(((57-'V06 Calend 01'!C20)/6)&lt;='V06 Calend 01'!E20)),IF((57=('V06 Calend 01'!C20+(6*'V06 Calend 01'!E20))),('V06 Calend 01'!H20-('V06 Calend 01'!I20*('V06 Calend 01'!E20-1))),'V06 Calend 01'!I20),0))+IF((57='V06 Calend 01'!D20),'V06 Calend 01'!J20,0))</f>
        <v>0</v>
      </c>
      <c r="BR20" s="2">
        <f>((IF((58='V06 Calend 01'!C20),('V06 Calend 01'!F20+'V06 Calend 01'!G20),0)+IF(AND(('V06 Calend 01'!E20&gt;0),(58&gt;'V06 Calend 01'!C20),(58&lt;'V06 Calend 01'!D20),(MOD((58-'V06 Calend 01'!C20),6)=0),(((58-'V06 Calend 01'!C20)/6)&lt;='V06 Calend 01'!E20)),IF((58=('V06 Calend 01'!C20+(6*'V06 Calend 01'!E20))),('V06 Calend 01'!H20-('V06 Calend 01'!I20*('V06 Calend 01'!E20-1))),'V06 Calend 01'!I20),0))+IF((58='V06 Calend 01'!D20),'V06 Calend 01'!J20,0))</f>
        <v>0</v>
      </c>
      <c r="BS20" s="2">
        <f>((IF((59='V06 Calend 01'!C20),('V06 Calend 01'!F20+'V06 Calend 01'!G20),0)+IF(AND(('V06 Calend 01'!E20&gt;0),(59&gt;'V06 Calend 01'!C20),(59&lt;'V06 Calend 01'!D20),(MOD((59-'V06 Calend 01'!C20),6)=0),(((59-'V06 Calend 01'!C20)/6)&lt;='V06 Calend 01'!E20)),IF((59=('V06 Calend 01'!C20+(6*'V06 Calend 01'!E20))),('V06 Calend 01'!H20-('V06 Calend 01'!I20*('V06 Calend 01'!E20-1))),'V06 Calend 01'!I20),0))+IF((59='V06 Calend 01'!D20),'V06 Calend 01'!J20,0))</f>
        <v>0</v>
      </c>
      <c r="BT20" s="2">
        <f>((IF((60='V06 Calend 01'!C20),('V06 Calend 01'!F20+'V06 Calend 01'!G20),0)+IF(AND(('V06 Calend 01'!E20&gt;0),(60&gt;'V06 Calend 01'!C20),(60&lt;'V06 Calend 01'!D20),(MOD((60-'V06 Calend 01'!C20),6)=0),(((60-'V06 Calend 01'!C20)/6)&lt;='V06 Calend 01'!E20)),IF((60=('V06 Calend 01'!C20+(6*'V06 Calend 01'!E20))),('V06 Calend 01'!H20-('V06 Calend 01'!I20*('V06 Calend 01'!E20-1))),'V06 Calend 01'!I20),0))+IF((60='V06 Calend 01'!D20),'V06 Calend 01'!J20,0))</f>
        <v>0</v>
      </c>
      <c r="BU20" s="2">
        <f>((IF((61='V06 Calend 01'!C20),('V06 Calend 01'!F20+'V06 Calend 01'!G20),0)+IF(AND(('V06 Calend 01'!E20&gt;0),(61&gt;'V06 Calend 01'!C20),(61&lt;'V06 Calend 01'!D20),(MOD((61-'V06 Calend 01'!C20),6)=0),(((61-'V06 Calend 01'!C20)/6)&lt;='V06 Calend 01'!E20)),IF((61=('V06 Calend 01'!C20+(6*'V06 Calend 01'!E20))),('V06 Calend 01'!H20-('V06 Calend 01'!I20*('V06 Calend 01'!E20-1))),'V06 Calend 01'!I20),0))+IF((61='V06 Calend 01'!D20),'V06 Calend 01'!J20,0))</f>
        <v>0</v>
      </c>
      <c r="BV20" s="2">
        <f>((IF((62='V06 Calend 01'!C20),('V06 Calend 01'!F20+'V06 Calend 01'!G20),0)+IF(AND(('V06 Calend 01'!E20&gt;0),(62&gt;'V06 Calend 01'!C20),(62&lt;'V06 Calend 01'!D20),(MOD((62-'V06 Calend 01'!C20),6)=0),(((62-'V06 Calend 01'!C20)/6)&lt;='V06 Calend 01'!E20)),IF((62=('V06 Calend 01'!C20+(6*'V06 Calend 01'!E20))),('V06 Calend 01'!H20-('V06 Calend 01'!I20*('V06 Calend 01'!E20-1))),'V06 Calend 01'!I20),0))+IF((62='V06 Calend 01'!D20),'V06 Calend 01'!J20,0))</f>
        <v>0</v>
      </c>
      <c r="BW20" s="2">
        <f>((IF((63='V06 Calend 01'!C20),('V06 Calend 01'!F20+'V06 Calend 01'!G20),0)+IF(AND(('V06 Calend 01'!E20&gt;0),(63&gt;'V06 Calend 01'!C20),(63&lt;'V06 Calend 01'!D20),(MOD((63-'V06 Calend 01'!C20),6)=0),(((63-'V06 Calend 01'!C20)/6)&lt;='V06 Calend 01'!E20)),IF((63=('V06 Calend 01'!C20+(6*'V06 Calend 01'!E20))),('V06 Calend 01'!H20-('V06 Calend 01'!I20*('V06 Calend 01'!E20-1))),'V06 Calend 01'!I20),0))+IF((63='V06 Calend 01'!D20),'V06 Calend 01'!J20,0))</f>
        <v>0</v>
      </c>
      <c r="BX20" s="2">
        <f>((IF((64='V06 Calend 01'!C20),('V06 Calend 01'!F20+'V06 Calend 01'!G20),0)+IF(AND(('V06 Calend 01'!E20&gt;0),(64&gt;'V06 Calend 01'!C20),(64&lt;'V06 Calend 01'!D20),(MOD((64-'V06 Calend 01'!C20),6)=0),(((64-'V06 Calend 01'!C20)/6)&lt;='V06 Calend 01'!E20)),IF((64=('V06 Calend 01'!C20+(6*'V06 Calend 01'!E20))),('V06 Calend 01'!H20-('V06 Calend 01'!I20*('V06 Calend 01'!E20-1))),'V06 Calend 01'!I20),0))+IF((64='V06 Calend 01'!D20),'V06 Calend 01'!J20,0))</f>
        <v>0</v>
      </c>
      <c r="BY20" s="2">
        <f>((IF((65='V06 Calend 01'!C20),('V06 Calend 01'!F20+'V06 Calend 01'!G20),0)+IF(AND(('V06 Calend 01'!E20&gt;0),(65&gt;'V06 Calend 01'!C20),(65&lt;'V06 Calend 01'!D20),(MOD((65-'V06 Calend 01'!C20),6)=0),(((65-'V06 Calend 01'!C20)/6)&lt;='V06 Calend 01'!E20)),IF((65=('V06 Calend 01'!C20+(6*'V06 Calend 01'!E20))),('V06 Calend 01'!H20-('V06 Calend 01'!I20*('V06 Calend 01'!E20-1))),'V06 Calend 01'!I20),0))+IF((65='V06 Calend 01'!D20),'V06 Calend 01'!J20,0))</f>
        <v>0</v>
      </c>
      <c r="BZ20" s="2">
        <f>((IF((66='V06 Calend 01'!C20),('V06 Calend 01'!F20+'V06 Calend 01'!G20),0)+IF(AND(('V06 Calend 01'!E20&gt;0),(66&gt;'V06 Calend 01'!C20),(66&lt;'V06 Calend 01'!D20),(MOD((66-'V06 Calend 01'!C20),6)=0),(((66-'V06 Calend 01'!C20)/6)&lt;='V06 Calend 01'!E20)),IF((66=('V06 Calend 01'!C20+(6*'V06 Calend 01'!E20))),('V06 Calend 01'!H20-('V06 Calend 01'!I20*('V06 Calend 01'!E20-1))),'V06 Calend 01'!I20),0))+IF((66='V06 Calend 01'!D20),'V06 Calend 01'!J20,0))</f>
        <v>0</v>
      </c>
      <c r="CA20" s="2">
        <f>((IF((67='V06 Calend 01'!C20),('V06 Calend 01'!F20+'V06 Calend 01'!G20),0)+IF(AND(('V06 Calend 01'!E20&gt;0),(67&gt;'V06 Calend 01'!C20),(67&lt;'V06 Calend 01'!D20),(MOD((67-'V06 Calend 01'!C20),6)=0),(((67-'V06 Calend 01'!C20)/6)&lt;='V06 Calend 01'!E20)),IF((67=('V06 Calend 01'!C20+(6*'V06 Calend 01'!E20))),('V06 Calend 01'!H20-('V06 Calend 01'!I20*('V06 Calend 01'!E20-1))),'V06 Calend 01'!I20),0))+IF((67='V06 Calend 01'!D20),'V06 Calend 01'!J20,0))</f>
        <v>0</v>
      </c>
      <c r="CB20" s="2">
        <f>((IF((68='V06 Calend 01'!C20),('V06 Calend 01'!F20+'V06 Calend 01'!G20),0)+IF(AND(('V06 Calend 01'!E20&gt;0),(68&gt;'V06 Calend 01'!C20),(68&lt;'V06 Calend 01'!D20),(MOD((68-'V06 Calend 01'!C20),6)=0),(((68-'V06 Calend 01'!C20)/6)&lt;='V06 Calend 01'!E20)),IF((68=('V06 Calend 01'!C20+(6*'V06 Calend 01'!E20))),('V06 Calend 01'!H20-('V06 Calend 01'!I20*('V06 Calend 01'!E20-1))),'V06 Calend 01'!I20),0))+IF((68='V06 Calend 01'!D20),'V06 Calend 01'!J20,0))</f>
        <v>0</v>
      </c>
      <c r="CC20" s="2">
        <f>((IF((69='V06 Calend 01'!C20),('V06 Calend 01'!F20+'V06 Calend 01'!G20),0)+IF(AND(('V06 Calend 01'!E20&gt;0),(69&gt;'V06 Calend 01'!C20),(69&lt;'V06 Calend 01'!D20),(MOD((69-'V06 Calend 01'!C20),6)=0),(((69-'V06 Calend 01'!C20)/6)&lt;='V06 Calend 01'!E20)),IF((69=('V06 Calend 01'!C20+(6*'V06 Calend 01'!E20))),('V06 Calend 01'!H20-('V06 Calend 01'!I20*('V06 Calend 01'!E20-1))),'V06 Calend 01'!I20),0))+IF((69='V06 Calend 01'!D20),'V06 Calend 01'!J20,0))</f>
        <v>0</v>
      </c>
      <c r="CD20" s="2">
        <f>((IF((70='V06 Calend 01'!C20),('V06 Calend 01'!F20+'V06 Calend 01'!G20),0)+IF(AND(('V06 Calend 01'!E20&gt;0),(70&gt;'V06 Calend 01'!C20),(70&lt;'V06 Calend 01'!D20),(MOD((70-'V06 Calend 01'!C20),6)=0),(((70-'V06 Calend 01'!C20)/6)&lt;='V06 Calend 01'!E20)),IF((70=('V06 Calend 01'!C20+(6*'V06 Calend 01'!E20))),('V06 Calend 01'!H20-('V06 Calend 01'!I20*('V06 Calend 01'!E20-1))),'V06 Calend 01'!I20),0))+IF((70='V06 Calend 01'!D20),'V06 Calend 01'!J20,0))</f>
        <v>0</v>
      </c>
      <c r="CE20" s="2">
        <f>((IF((71='V06 Calend 01'!C20),('V06 Calend 01'!F20+'V06 Calend 01'!G20),0)+IF(AND(('V06 Calend 01'!E20&gt;0),(71&gt;'V06 Calend 01'!C20),(71&lt;'V06 Calend 01'!D20),(MOD((71-'V06 Calend 01'!C20),6)=0),(((71-'V06 Calend 01'!C20)/6)&lt;='V06 Calend 01'!E20)),IF((71=('V06 Calend 01'!C20+(6*'V06 Calend 01'!E20))),('V06 Calend 01'!H20-('V06 Calend 01'!I20*('V06 Calend 01'!E20-1))),'V06 Calend 01'!I20),0))+IF((71='V06 Calend 01'!D20),'V06 Calend 01'!J20,0))</f>
        <v>0</v>
      </c>
      <c r="CF20" s="2">
        <f>((IF((72='V06 Calend 01'!C20),('V06 Calend 01'!F20+'V06 Calend 01'!G20),0)+IF(AND(('V06 Calend 01'!E20&gt;0),(72&gt;'V06 Calend 01'!C20),(72&lt;'V06 Calend 01'!D20),(MOD((72-'V06 Calend 01'!C20),6)=0),(((72-'V06 Calend 01'!C20)/6)&lt;='V06 Calend 01'!E20)),IF((72=('V06 Calend 01'!C20+(6*'V06 Calend 01'!E20))),('V06 Calend 01'!H20-('V06 Calend 01'!I20*('V06 Calend 01'!E20-1))),'V06 Calend 01'!I20),0))+IF((72='V06 Calend 01'!D20),'V06 Calend 01'!J20,0))</f>
        <v>0</v>
      </c>
      <c r="CG20" s="2">
        <f>((IF((73='V06 Calend 01'!C20),('V06 Calend 01'!F20+'V06 Calend 01'!G20),0)+IF(AND(('V06 Calend 01'!E20&gt;0),(73&gt;'V06 Calend 01'!C20),(73&lt;'V06 Calend 01'!D20),(MOD((73-'V06 Calend 01'!C20),6)=0),(((73-'V06 Calend 01'!C20)/6)&lt;='V06 Calend 01'!E20)),IF((73=('V06 Calend 01'!C20+(6*'V06 Calend 01'!E20))),('V06 Calend 01'!H20-('V06 Calend 01'!I20*('V06 Calend 01'!E20-1))),'V06 Calend 01'!I20),0))+IF((73='V06 Calend 01'!D20),'V06 Calend 01'!J20,0))</f>
        <v>0</v>
      </c>
      <c r="CH20" s="2">
        <f>((IF((74='V06 Calend 01'!C20),('V06 Calend 01'!F20+'V06 Calend 01'!G20),0)+IF(AND(('V06 Calend 01'!E20&gt;0),(74&gt;'V06 Calend 01'!C20),(74&lt;'V06 Calend 01'!D20),(MOD((74-'V06 Calend 01'!C20),6)=0),(((74-'V06 Calend 01'!C20)/6)&lt;='V06 Calend 01'!E20)),IF((74=('V06 Calend 01'!C20+(6*'V06 Calend 01'!E20))),('V06 Calend 01'!H20-('V06 Calend 01'!I20*('V06 Calend 01'!E20-1))),'V06 Calend 01'!I20),0))+IF((74='V06 Calend 01'!D20),'V06 Calend 01'!J20,0))</f>
        <v>0</v>
      </c>
      <c r="CI20" s="2">
        <f>((IF((75='V06 Calend 01'!C20),('V06 Calend 01'!F20+'V06 Calend 01'!G20),0)+IF(AND(('V06 Calend 01'!E20&gt;0),(75&gt;'V06 Calend 01'!C20),(75&lt;'V06 Calend 01'!D20),(MOD((75-'V06 Calend 01'!C20),6)=0),(((75-'V06 Calend 01'!C20)/6)&lt;='V06 Calend 01'!E20)),IF((75=('V06 Calend 01'!C20+(6*'V06 Calend 01'!E20))),('V06 Calend 01'!H20-('V06 Calend 01'!I20*('V06 Calend 01'!E20-1))),'V06 Calend 01'!I20),0))+IF((75='V06 Calend 01'!D20),'V06 Calend 01'!J20,0))</f>
        <v>0</v>
      </c>
      <c r="CJ20" s="2">
        <f>((IF((76='V06 Calend 01'!C20),('V06 Calend 01'!F20+'V06 Calend 01'!G20),0)+IF(AND(('V06 Calend 01'!E20&gt;0),(76&gt;'V06 Calend 01'!C20),(76&lt;'V06 Calend 01'!D20),(MOD((76-'V06 Calend 01'!C20),6)=0),(((76-'V06 Calend 01'!C20)/6)&lt;='V06 Calend 01'!E20)),IF((76=('V06 Calend 01'!C20+(6*'V06 Calend 01'!E20))),('V06 Calend 01'!H20-('V06 Calend 01'!I20*('V06 Calend 01'!E20-1))),'V06 Calend 01'!I20),0))+IF((76='V06 Calend 01'!D20),'V06 Calend 01'!J20,0))</f>
        <v>0</v>
      </c>
      <c r="CK20" s="2">
        <f>((IF((77='V06 Calend 01'!C20),('V06 Calend 01'!F20+'V06 Calend 01'!G20),0)+IF(AND(('V06 Calend 01'!E20&gt;0),(77&gt;'V06 Calend 01'!C20),(77&lt;'V06 Calend 01'!D20),(MOD((77-'V06 Calend 01'!C20),6)=0),(((77-'V06 Calend 01'!C20)/6)&lt;='V06 Calend 01'!E20)),IF((77=('V06 Calend 01'!C20+(6*'V06 Calend 01'!E20))),('V06 Calend 01'!H20-('V06 Calend 01'!I20*('V06 Calend 01'!E20-1))),'V06 Calend 01'!I20),0))+IF((77='V06 Calend 01'!D20),'V06 Calend 01'!J20,0))</f>
        <v>0</v>
      </c>
      <c r="CL20" s="2">
        <f>((IF((78='V06 Calend 01'!C20),('V06 Calend 01'!F20+'V06 Calend 01'!G20),0)+IF(AND(('V06 Calend 01'!E20&gt;0),(78&gt;'V06 Calend 01'!C20),(78&lt;'V06 Calend 01'!D20),(MOD((78-'V06 Calend 01'!C20),6)=0),(((78-'V06 Calend 01'!C20)/6)&lt;='V06 Calend 01'!E20)),IF((78=('V06 Calend 01'!C20+(6*'V06 Calend 01'!E20))),('V06 Calend 01'!H20-('V06 Calend 01'!I20*('V06 Calend 01'!E20-1))),'V06 Calend 01'!I20),0))+IF((78='V06 Calend 01'!D20),'V06 Calend 01'!J20,0))</f>
        <v>0</v>
      </c>
      <c r="CM20" s="2">
        <f>((IF((79='V06 Calend 01'!C20),('V06 Calend 01'!F20+'V06 Calend 01'!G20),0)+IF(AND(('V06 Calend 01'!E20&gt;0),(79&gt;'V06 Calend 01'!C20),(79&lt;'V06 Calend 01'!D20),(MOD((79-'V06 Calend 01'!C20),6)=0),(((79-'V06 Calend 01'!C20)/6)&lt;='V06 Calend 01'!E20)),IF((79=('V06 Calend 01'!C20+(6*'V06 Calend 01'!E20))),('V06 Calend 01'!H20-('V06 Calend 01'!I20*('V06 Calend 01'!E20-1))),'V06 Calend 01'!I20),0))+IF((79='V06 Calend 01'!D20),'V06 Calend 01'!J20,0))</f>
        <v>0</v>
      </c>
      <c r="CN20" s="2">
        <f>((IF((80='V06 Calend 01'!C20),('V06 Calend 01'!F20+'V06 Calend 01'!G20),0)+IF(AND(('V06 Calend 01'!E20&gt;0),(80&gt;'V06 Calend 01'!C20),(80&lt;'V06 Calend 01'!D20),(MOD((80-'V06 Calend 01'!C20),6)=0),(((80-'V06 Calend 01'!C20)/6)&lt;='V06 Calend 01'!E20)),IF((80=('V06 Calend 01'!C20+(6*'V06 Calend 01'!E20))),('V06 Calend 01'!H20-('V06 Calend 01'!I20*('V06 Calend 01'!E20-1))),'V06 Calend 01'!I20),0))+IF((80='V06 Calend 01'!D20),'V06 Calend 01'!J20,0))</f>
        <v>0</v>
      </c>
      <c r="CO20" s="2">
        <f>((IF((81='V06 Calend 01'!C20),('V06 Calend 01'!F20+'V06 Calend 01'!G20),0)+IF(AND(('V06 Calend 01'!E20&gt;0),(81&gt;'V06 Calend 01'!C20),(81&lt;'V06 Calend 01'!D20),(MOD((81-'V06 Calend 01'!C20),6)=0),(((81-'V06 Calend 01'!C20)/6)&lt;='V06 Calend 01'!E20)),IF((81=('V06 Calend 01'!C20+(6*'V06 Calend 01'!E20))),('V06 Calend 01'!H20-('V06 Calend 01'!I20*('V06 Calend 01'!E20-1))),'V06 Calend 01'!I20),0))+IF((81='V06 Calend 01'!D20),'V06 Calend 01'!J20,0))</f>
        <v>0</v>
      </c>
      <c r="CP20" s="2">
        <f>((IF((82='V06 Calend 01'!C20),('V06 Calend 01'!F20+'V06 Calend 01'!G20),0)+IF(AND(('V06 Calend 01'!E20&gt;0),(82&gt;'V06 Calend 01'!C20),(82&lt;'V06 Calend 01'!D20),(MOD((82-'V06 Calend 01'!C20),6)=0),(((82-'V06 Calend 01'!C20)/6)&lt;='V06 Calend 01'!E20)),IF((82=('V06 Calend 01'!C20+(6*'V06 Calend 01'!E20))),('V06 Calend 01'!H20-('V06 Calend 01'!I20*('V06 Calend 01'!E20-1))),'V06 Calend 01'!I20),0))+IF((82='V06 Calend 01'!D20),'V06 Calend 01'!J20,0))</f>
        <v>0</v>
      </c>
      <c r="CQ20" s="2">
        <f>((IF((83='V06 Calend 01'!C20),('V06 Calend 01'!F20+'V06 Calend 01'!G20),0)+IF(AND(('V06 Calend 01'!E20&gt;0),(83&gt;'V06 Calend 01'!C20),(83&lt;'V06 Calend 01'!D20),(MOD((83-'V06 Calend 01'!C20),6)=0),(((83-'V06 Calend 01'!C20)/6)&lt;='V06 Calend 01'!E20)),IF((83=('V06 Calend 01'!C20+(6*'V06 Calend 01'!E20))),('V06 Calend 01'!H20-('V06 Calend 01'!I20*('V06 Calend 01'!E20-1))),'V06 Calend 01'!I20),0))+IF((83='V06 Calend 01'!D20),'V06 Calend 01'!J20,0))</f>
        <v>0</v>
      </c>
      <c r="CR20" s="2">
        <f>((IF((84='V06 Calend 01'!C20),('V06 Calend 01'!F20+'V06 Calend 01'!G20),0)+IF(AND(('V06 Calend 01'!E20&gt;0),(84&gt;'V06 Calend 01'!C20),(84&lt;'V06 Calend 01'!D20),(MOD((84-'V06 Calend 01'!C20),6)=0),(((84-'V06 Calend 01'!C20)/6)&lt;='V06 Calend 01'!E20)),IF((84=('V06 Calend 01'!C20+(6*'V06 Calend 01'!E20))),('V06 Calend 01'!H20-('V06 Calend 01'!I20*('V06 Calend 01'!E20-1))),'V06 Calend 01'!I20),0))+IF((84='V06 Calend 01'!D20),'V06 Calend 01'!J20,0))</f>
        <v>0</v>
      </c>
      <c r="CS20" s="2">
        <f>((IF((85='V06 Calend 01'!C20),('V06 Calend 01'!F20+'V06 Calend 01'!G20),0)+IF(AND(('V06 Calend 01'!E20&gt;0),(85&gt;'V06 Calend 01'!C20),(85&lt;'V06 Calend 01'!D20),(MOD((85-'V06 Calend 01'!C20),6)=0),(((85-'V06 Calend 01'!C20)/6)&lt;='V06 Calend 01'!E20)),IF((85=('V06 Calend 01'!C20+(6*'V06 Calend 01'!E20))),('V06 Calend 01'!H20-('V06 Calend 01'!I20*('V06 Calend 01'!E20-1))),'V06 Calend 01'!I20),0))+IF((85='V06 Calend 01'!D20),'V06 Calend 01'!J20,0))</f>
        <v>0</v>
      </c>
      <c r="CT20" s="2">
        <f>((IF((86='V06 Calend 01'!C20),('V06 Calend 01'!F20+'V06 Calend 01'!G20),0)+IF(AND(('V06 Calend 01'!E20&gt;0),(86&gt;'V06 Calend 01'!C20),(86&lt;'V06 Calend 01'!D20),(MOD((86-'V06 Calend 01'!C20),6)=0),(((86-'V06 Calend 01'!C20)/6)&lt;='V06 Calend 01'!E20)),IF((86=('V06 Calend 01'!C20+(6*'V06 Calend 01'!E20))),('V06 Calend 01'!H20-('V06 Calend 01'!I20*('V06 Calend 01'!E20-1))),'V06 Calend 01'!I20),0))+IF((86='V06 Calend 01'!D20),'V06 Calend 01'!J20,0))</f>
        <v>0</v>
      </c>
      <c r="CU20" s="2">
        <f>((IF((87='V06 Calend 01'!C20),('V06 Calend 01'!F20+'V06 Calend 01'!G20),0)+IF(AND(('V06 Calend 01'!E20&gt;0),(87&gt;'V06 Calend 01'!C20),(87&lt;'V06 Calend 01'!D20),(MOD((87-'V06 Calend 01'!C20),6)=0),(((87-'V06 Calend 01'!C20)/6)&lt;='V06 Calend 01'!E20)),IF((87=('V06 Calend 01'!C20+(6*'V06 Calend 01'!E20))),('V06 Calend 01'!H20-('V06 Calend 01'!I20*('V06 Calend 01'!E20-1))),'V06 Calend 01'!I20),0))+IF((87='V06 Calend 01'!D20),'V06 Calend 01'!J20,0))</f>
        <v>0</v>
      </c>
      <c r="CV20" s="2">
        <f>((IF((88='V06 Calend 01'!C20),('V06 Calend 01'!F20+'V06 Calend 01'!G20),0)+IF(AND(('V06 Calend 01'!E20&gt;0),(88&gt;'V06 Calend 01'!C20),(88&lt;'V06 Calend 01'!D20),(MOD((88-'V06 Calend 01'!C20),6)=0),(((88-'V06 Calend 01'!C20)/6)&lt;='V06 Calend 01'!E20)),IF((88=('V06 Calend 01'!C20+(6*'V06 Calend 01'!E20))),('V06 Calend 01'!H20-('V06 Calend 01'!I20*('V06 Calend 01'!E20-1))),'V06 Calend 01'!I20),0))+IF((88='V06 Calend 01'!D20),'V06 Calend 01'!J20,0))</f>
        <v>0</v>
      </c>
      <c r="CW20" s="2">
        <f>((IF((89='V06 Calend 01'!C20),('V06 Calend 01'!F20+'V06 Calend 01'!G20),0)+IF(AND(('V06 Calend 01'!E20&gt;0),(89&gt;'V06 Calend 01'!C20),(89&lt;'V06 Calend 01'!D20),(MOD((89-'V06 Calend 01'!C20),6)=0),(((89-'V06 Calend 01'!C20)/6)&lt;='V06 Calend 01'!E20)),IF((89=('V06 Calend 01'!C20+(6*'V06 Calend 01'!E20))),('V06 Calend 01'!H20-('V06 Calend 01'!I20*('V06 Calend 01'!E20-1))),'V06 Calend 01'!I20),0))+IF((89='V06 Calend 01'!D20),'V06 Calend 01'!J20,0))</f>
        <v>0</v>
      </c>
      <c r="CX20" s="2">
        <f>((IF((90='V06 Calend 01'!C20),('V06 Calend 01'!F20+'V06 Calend 01'!G20),0)+IF(AND(('V06 Calend 01'!E20&gt;0),(90&gt;'V06 Calend 01'!C20),(90&lt;'V06 Calend 01'!D20),(MOD((90-'V06 Calend 01'!C20),6)=0),(((90-'V06 Calend 01'!C20)/6)&lt;='V06 Calend 01'!E20)),IF((90=('V06 Calend 01'!C20+(6*'V06 Calend 01'!E20))),('V06 Calend 01'!H20-('V06 Calend 01'!I20*('V06 Calend 01'!E20-1))),'V06 Calend 01'!I20),0))+IF((90='V06 Calend 01'!D20),'V06 Calend 01'!J20,0))</f>
        <v>0</v>
      </c>
      <c r="CY20" s="2">
        <f>((IF((91='V06 Calend 01'!C20),('V06 Calend 01'!F20+'V06 Calend 01'!G20),0)+IF(AND(('V06 Calend 01'!E20&gt;0),(91&gt;'V06 Calend 01'!C20),(91&lt;'V06 Calend 01'!D20),(MOD((91-'V06 Calend 01'!C20),6)=0),(((91-'V06 Calend 01'!C20)/6)&lt;='V06 Calend 01'!E20)),IF((91=('V06 Calend 01'!C20+(6*'V06 Calend 01'!E20))),('V06 Calend 01'!H20-('V06 Calend 01'!I20*('V06 Calend 01'!E20-1))),'V06 Calend 01'!I20),0))+IF((91='V06 Calend 01'!D20),'V06 Calend 01'!J20,0))</f>
        <v>0</v>
      </c>
      <c r="CZ20" s="2">
        <f>((IF((92='V06 Calend 01'!C20),('V06 Calend 01'!F20+'V06 Calend 01'!G20),0)+IF(AND(('V06 Calend 01'!E20&gt;0),(92&gt;'V06 Calend 01'!C20),(92&lt;'V06 Calend 01'!D20),(MOD((92-'V06 Calend 01'!C20),6)=0),(((92-'V06 Calend 01'!C20)/6)&lt;='V06 Calend 01'!E20)),IF((92=('V06 Calend 01'!C20+(6*'V06 Calend 01'!E20))),('V06 Calend 01'!H20-('V06 Calend 01'!I20*('V06 Calend 01'!E20-1))),'V06 Calend 01'!I20),0))+IF((92='V06 Calend 01'!D20),'V06 Calend 01'!J20,0))</f>
        <v>0</v>
      </c>
      <c r="DA20" s="2">
        <f>((IF((93='V06 Calend 01'!C20),('V06 Calend 01'!F20+'V06 Calend 01'!G20),0)+IF(AND(('V06 Calend 01'!E20&gt;0),(93&gt;'V06 Calend 01'!C20),(93&lt;'V06 Calend 01'!D20),(MOD((93-'V06 Calend 01'!C20),6)=0),(((93-'V06 Calend 01'!C20)/6)&lt;='V06 Calend 01'!E20)),IF((93=('V06 Calend 01'!C20+(6*'V06 Calend 01'!E20))),('V06 Calend 01'!H20-('V06 Calend 01'!I20*('V06 Calend 01'!E20-1))),'V06 Calend 01'!I20),0))+IF((93='V06 Calend 01'!D20),'V06 Calend 01'!J20,0))</f>
        <v>0</v>
      </c>
      <c r="DB20" s="2">
        <f>((IF((94='V06 Calend 01'!C20),('V06 Calend 01'!F20+'V06 Calend 01'!G20),0)+IF(AND(('V06 Calend 01'!E20&gt;0),(94&gt;'V06 Calend 01'!C20),(94&lt;'V06 Calend 01'!D20),(MOD((94-'V06 Calend 01'!C20),6)=0),(((94-'V06 Calend 01'!C20)/6)&lt;='V06 Calend 01'!E20)),IF((94=('V06 Calend 01'!C20+(6*'V06 Calend 01'!E20))),('V06 Calend 01'!H20-('V06 Calend 01'!I20*('V06 Calend 01'!E20-1))),'V06 Calend 01'!I20),0))+IF((94='V06 Calend 01'!D20),'V06 Calend 01'!J20,0))</f>
        <v>0</v>
      </c>
      <c r="DC20" s="2">
        <f>((IF((95='V06 Calend 01'!C20),('V06 Calend 01'!F20+'V06 Calend 01'!G20),0)+IF(AND(('V06 Calend 01'!E20&gt;0),(95&gt;'V06 Calend 01'!C20),(95&lt;'V06 Calend 01'!D20),(MOD((95-'V06 Calend 01'!C20),6)=0),(((95-'V06 Calend 01'!C20)/6)&lt;='V06 Calend 01'!E20)),IF((95=('V06 Calend 01'!C20+(6*'V06 Calend 01'!E20))),('V06 Calend 01'!H20-('V06 Calend 01'!I20*('V06 Calend 01'!E20-1))),'V06 Calend 01'!I20),0))+IF((95='V06 Calend 01'!D20),'V06 Calend 01'!J20,0))</f>
        <v>0</v>
      </c>
      <c r="DD20" s="2">
        <f>((IF((96='V06 Calend 01'!C20),('V06 Calend 01'!F20+'V06 Calend 01'!G20),0)+IF(AND(('V06 Calend 01'!E20&gt;0),(96&gt;'V06 Calend 01'!C20),(96&lt;'V06 Calend 01'!D20),(MOD((96-'V06 Calend 01'!C20),6)=0),(((96-'V06 Calend 01'!C20)/6)&lt;='V06 Calend 01'!E20)),IF((96=('V06 Calend 01'!C20+(6*'V06 Calend 01'!E20))),('V06 Calend 01'!H20-('V06 Calend 01'!I20*('V06 Calend 01'!E20-1))),'V06 Calend 01'!I20),0))+IF((96='V06 Calend 01'!D20),'V06 Calend 01'!J20,0))</f>
        <v>0</v>
      </c>
      <c r="DE20" s="2">
        <f>((IF((97='V06 Calend 01'!C20),('V06 Calend 01'!F20+'V06 Calend 01'!G20),0)+IF(AND(('V06 Calend 01'!E20&gt;0),(97&gt;'V06 Calend 01'!C20),(97&lt;'V06 Calend 01'!D20),(MOD((97-'V06 Calend 01'!C20),6)=0),(((97-'V06 Calend 01'!C20)/6)&lt;='V06 Calend 01'!E20)),IF((97=('V06 Calend 01'!C20+(6*'V06 Calend 01'!E20))),('V06 Calend 01'!H20-('V06 Calend 01'!I20*('V06 Calend 01'!E20-1))),'V06 Calend 01'!I20),0))+IF((97='V06 Calend 01'!D20),'V06 Calend 01'!J20,0))</f>
        <v>0</v>
      </c>
      <c r="DF20" s="2">
        <f>((IF((98='V06 Calend 01'!C20),('V06 Calend 01'!F20+'V06 Calend 01'!G20),0)+IF(AND(('V06 Calend 01'!E20&gt;0),(98&gt;'V06 Calend 01'!C20),(98&lt;'V06 Calend 01'!D20),(MOD((98-'V06 Calend 01'!C20),6)=0),(((98-'V06 Calend 01'!C20)/6)&lt;='V06 Calend 01'!E20)),IF((98=('V06 Calend 01'!C20+(6*'V06 Calend 01'!E20))),('V06 Calend 01'!H20-('V06 Calend 01'!I20*('V06 Calend 01'!E20-1))),'V06 Calend 01'!I20),0))+IF((98='V06 Calend 01'!D20),'V06 Calend 01'!J20,0))</f>
        <v>0</v>
      </c>
      <c r="DG20" s="2">
        <f>((IF((99='V06 Calend 01'!C20),('V06 Calend 01'!F20+'V06 Calend 01'!G20),0)+IF(AND(('V06 Calend 01'!E20&gt;0),(99&gt;'V06 Calend 01'!C20),(99&lt;'V06 Calend 01'!D20),(MOD((99-'V06 Calend 01'!C20),6)=0),(((99-'V06 Calend 01'!C20)/6)&lt;='V06 Calend 01'!E20)),IF((99=('V06 Calend 01'!C20+(6*'V06 Calend 01'!E20))),('V06 Calend 01'!H20-('V06 Calend 01'!I20*('V06 Calend 01'!E20-1))),'V06 Calend 01'!I20),0))+IF((99='V06 Calend 01'!D20),'V06 Calend 01'!J20,0))</f>
        <v>0</v>
      </c>
      <c r="DH20" s="2">
        <f>((IF((100='V06 Calend 01'!C20),('V06 Calend 01'!F20+'V06 Calend 01'!G20),0)+IF(AND(('V06 Calend 01'!E20&gt;0),(100&gt;'V06 Calend 01'!C20),(100&lt;'V06 Calend 01'!D20),(MOD((100-'V06 Calend 01'!C20),6)=0),(((100-'V06 Calend 01'!C20)/6)&lt;='V06 Calend 01'!E20)),IF((100=('V06 Calend 01'!C20+(6*'V06 Calend 01'!E20))),('V06 Calend 01'!H20-('V06 Calend 01'!I20*('V06 Calend 01'!E20-1))),'V06 Calend 01'!I20),0))+IF((100='V06 Calend 01'!D20),'V06 Calend 01'!J20,0))</f>
        <v>0</v>
      </c>
      <c r="DI20" s="2">
        <f>((IF((101='V06 Calend 01'!C20),('V06 Calend 01'!F20+'V06 Calend 01'!G20),0)+IF(AND(('V06 Calend 01'!E20&gt;0),(101&gt;'V06 Calend 01'!C20),(101&lt;'V06 Calend 01'!D20),(MOD((101-'V06 Calend 01'!C20),6)=0),(((101-'V06 Calend 01'!C20)/6)&lt;='V06 Calend 01'!E20)),IF((101=('V06 Calend 01'!C20+(6*'V06 Calend 01'!E20))),('V06 Calend 01'!H20-('V06 Calend 01'!I20*('V06 Calend 01'!E20-1))),'V06 Calend 01'!I20),0))+IF((101='V06 Calend 01'!D20),'V06 Calend 01'!J20,0))</f>
        <v>0</v>
      </c>
      <c r="DJ20" s="2">
        <f>((IF((102='V06 Calend 01'!C20),('V06 Calend 01'!F20+'V06 Calend 01'!G20),0)+IF(AND(('V06 Calend 01'!E20&gt;0),(102&gt;'V06 Calend 01'!C20),(102&lt;'V06 Calend 01'!D20),(MOD((102-'V06 Calend 01'!C20),6)=0),(((102-'V06 Calend 01'!C20)/6)&lt;='V06 Calend 01'!E20)),IF((102=('V06 Calend 01'!C20+(6*'V06 Calend 01'!E20))),('V06 Calend 01'!H20-('V06 Calend 01'!I20*('V06 Calend 01'!E20-1))),'V06 Calend 01'!I20),0))+IF((102='V06 Calend 01'!D20),'V06 Calend 01'!J20,0))</f>
        <v>0</v>
      </c>
      <c r="DK20" s="2">
        <f>((IF((103='V06 Calend 01'!C20),('V06 Calend 01'!F20+'V06 Calend 01'!G20),0)+IF(AND(('V06 Calend 01'!E20&gt;0),(103&gt;'V06 Calend 01'!C20),(103&lt;'V06 Calend 01'!D20),(MOD((103-'V06 Calend 01'!C20),6)=0),(((103-'V06 Calend 01'!C20)/6)&lt;='V06 Calend 01'!E20)),IF((103=('V06 Calend 01'!C20+(6*'V06 Calend 01'!E20))),('V06 Calend 01'!H20-('V06 Calend 01'!I20*('V06 Calend 01'!E20-1))),'V06 Calend 01'!I20),0))+IF((103='V06 Calend 01'!D20),'V06 Calend 01'!J20,0))</f>
        <v>0</v>
      </c>
      <c r="DL20" s="2">
        <f>((IF((104='V06 Calend 01'!C20),('V06 Calend 01'!F20+'V06 Calend 01'!G20),0)+IF(AND(('V06 Calend 01'!E20&gt;0),(104&gt;'V06 Calend 01'!C20),(104&lt;'V06 Calend 01'!D20),(MOD((104-'V06 Calend 01'!C20),6)=0),(((104-'V06 Calend 01'!C20)/6)&lt;='V06 Calend 01'!E20)),IF((104=('V06 Calend 01'!C20+(6*'V06 Calend 01'!E20))),('V06 Calend 01'!H20-('V06 Calend 01'!I20*('V06 Calend 01'!E20-1))),'V06 Calend 01'!I20),0))+IF((104='V06 Calend 01'!D20),'V06 Calend 01'!J20,0))</f>
        <v>0</v>
      </c>
      <c r="DM20" s="2">
        <f>((IF((105='V06 Calend 01'!C20),('V06 Calend 01'!F20+'V06 Calend 01'!G20),0)+IF(AND(('V06 Calend 01'!E20&gt;0),(105&gt;'V06 Calend 01'!C20),(105&lt;'V06 Calend 01'!D20),(MOD((105-'V06 Calend 01'!C20),6)=0),(((105-'V06 Calend 01'!C20)/6)&lt;='V06 Calend 01'!E20)),IF((105=('V06 Calend 01'!C20+(6*'V06 Calend 01'!E20))),('V06 Calend 01'!H20-('V06 Calend 01'!I20*('V06 Calend 01'!E20-1))),'V06 Calend 01'!I20),0))+IF((105='V06 Calend 01'!D20),'V06 Calend 01'!J20,0))</f>
        <v>0</v>
      </c>
      <c r="DN20" s="2">
        <f>((IF((106='V06 Calend 01'!C20),('V06 Calend 01'!F20+'V06 Calend 01'!G20),0)+IF(AND(('V06 Calend 01'!E20&gt;0),(106&gt;'V06 Calend 01'!C20),(106&lt;'V06 Calend 01'!D20),(MOD((106-'V06 Calend 01'!C20),6)=0),(((106-'V06 Calend 01'!C20)/6)&lt;='V06 Calend 01'!E20)),IF((106=('V06 Calend 01'!C20+(6*'V06 Calend 01'!E20))),('V06 Calend 01'!H20-('V06 Calend 01'!I20*('V06 Calend 01'!E20-1))),'V06 Calend 01'!I20),0))+IF((106='V06 Calend 01'!D20),'V06 Calend 01'!J20,0))</f>
        <v>0</v>
      </c>
      <c r="DO20" s="2">
        <f>((IF((107='V06 Calend 01'!C20),('V06 Calend 01'!F20+'V06 Calend 01'!G20),0)+IF(AND(('V06 Calend 01'!E20&gt;0),(107&gt;'V06 Calend 01'!C20),(107&lt;'V06 Calend 01'!D20),(MOD((107-'V06 Calend 01'!C20),6)=0),(((107-'V06 Calend 01'!C20)/6)&lt;='V06 Calend 01'!E20)),IF((107=('V06 Calend 01'!C20+(6*'V06 Calend 01'!E20))),('V06 Calend 01'!H20-('V06 Calend 01'!I20*('V06 Calend 01'!E20-1))),'V06 Calend 01'!I20),0))+IF((107='V06 Calend 01'!D20),'V06 Calend 01'!J20,0))</f>
        <v>0</v>
      </c>
      <c r="DP20" s="2">
        <f>((IF((108='V06 Calend 01'!C20),('V06 Calend 01'!F20+'V06 Calend 01'!G20),0)+IF(AND(('V06 Calend 01'!E20&gt;0),(108&gt;'V06 Calend 01'!C20),(108&lt;'V06 Calend 01'!D20),(MOD((108-'V06 Calend 01'!C20),6)=0),(((108-'V06 Calend 01'!C20)/6)&lt;='V06 Calend 01'!E20)),IF((108=('V06 Calend 01'!C20+(6*'V06 Calend 01'!E20))),('V06 Calend 01'!H20-('V06 Calend 01'!I20*('V06 Calend 01'!E20-1))),'V06 Calend 01'!I20),0))+IF((108='V06 Calend 01'!D20),'V06 Calend 01'!J20,0))</f>
        <v>0</v>
      </c>
      <c r="DQ20" s="2">
        <f>((IF((109='V06 Calend 01'!C20),('V06 Calend 01'!F20+'V06 Calend 01'!G20),0)+IF(AND(('V06 Calend 01'!E20&gt;0),(109&gt;'V06 Calend 01'!C20),(109&lt;'V06 Calend 01'!D20),(MOD((109-'V06 Calend 01'!C20),6)=0),(((109-'V06 Calend 01'!C20)/6)&lt;='V06 Calend 01'!E20)),IF((109=('V06 Calend 01'!C20+(6*'V06 Calend 01'!E20))),('V06 Calend 01'!H20-('V06 Calend 01'!I20*('V06 Calend 01'!E20-1))),'V06 Calend 01'!I20),0))+IF((109='V06 Calend 01'!D20),'V06 Calend 01'!J20,0))</f>
        <v>0</v>
      </c>
      <c r="DR20" s="2">
        <f>((IF((110='V06 Calend 01'!C20),('V06 Calend 01'!F20+'V06 Calend 01'!G20),0)+IF(AND(('V06 Calend 01'!E20&gt;0),(110&gt;'V06 Calend 01'!C20),(110&lt;'V06 Calend 01'!D20),(MOD((110-'V06 Calend 01'!C20),6)=0),(((110-'V06 Calend 01'!C20)/6)&lt;='V06 Calend 01'!E20)),IF((110=('V06 Calend 01'!C20+(6*'V06 Calend 01'!E20))),('V06 Calend 01'!H20-('V06 Calend 01'!I20*('V06 Calend 01'!E20-1))),'V06 Calend 01'!I20),0))+IF((110='V06 Calend 01'!D20),'V06 Calend 01'!J20,0))</f>
        <v>0</v>
      </c>
      <c r="DS20" s="2">
        <f>((IF((111='V06 Calend 01'!C20),('V06 Calend 01'!F20+'V06 Calend 01'!G20),0)+IF(AND(('V06 Calend 01'!E20&gt;0),(111&gt;'V06 Calend 01'!C20),(111&lt;'V06 Calend 01'!D20),(MOD((111-'V06 Calend 01'!C20),6)=0),(((111-'V06 Calend 01'!C20)/6)&lt;='V06 Calend 01'!E20)),IF((111=('V06 Calend 01'!C20+(6*'V06 Calend 01'!E20))),('V06 Calend 01'!H20-('V06 Calend 01'!I20*('V06 Calend 01'!E20-1))),'V06 Calend 01'!I20),0))+IF((111='V06 Calend 01'!D20),'V06 Calend 01'!J20,0))</f>
        <v>0</v>
      </c>
      <c r="DT20" s="2">
        <f>((IF((112='V06 Calend 01'!C20),('V06 Calend 01'!F20+'V06 Calend 01'!G20),0)+IF(AND(('V06 Calend 01'!E20&gt;0),(112&gt;'V06 Calend 01'!C20),(112&lt;'V06 Calend 01'!D20),(MOD((112-'V06 Calend 01'!C20),6)=0),(((112-'V06 Calend 01'!C20)/6)&lt;='V06 Calend 01'!E20)),IF((112=('V06 Calend 01'!C20+(6*'V06 Calend 01'!E20))),('V06 Calend 01'!H20-('V06 Calend 01'!I20*('V06 Calend 01'!E20-1))),'V06 Calend 01'!I20),0))+IF((112='V06 Calend 01'!D20),'V06 Calend 01'!J20,0))</f>
        <v>0</v>
      </c>
      <c r="DU20" s="2">
        <f>((IF((113='V06 Calend 01'!C20),('V06 Calend 01'!F20+'V06 Calend 01'!G20),0)+IF(AND(('V06 Calend 01'!E20&gt;0),(113&gt;'V06 Calend 01'!C20),(113&lt;'V06 Calend 01'!D20),(MOD((113-'V06 Calend 01'!C20),6)=0),(((113-'V06 Calend 01'!C20)/6)&lt;='V06 Calend 01'!E20)),IF((113=('V06 Calend 01'!C20+(6*'V06 Calend 01'!E20))),('V06 Calend 01'!H20-('V06 Calend 01'!I20*('V06 Calend 01'!E20-1))),'V06 Calend 01'!I20),0))+IF((113='V06 Calend 01'!D20),'V06 Calend 01'!J20,0))</f>
        <v>0</v>
      </c>
      <c r="DV20" s="2">
        <f>((IF((114='V06 Calend 01'!C20),('V06 Calend 01'!F20+'V06 Calend 01'!G20),0)+IF(AND(('V06 Calend 01'!E20&gt;0),(114&gt;'V06 Calend 01'!C20),(114&lt;'V06 Calend 01'!D20),(MOD((114-'V06 Calend 01'!C20),6)=0),(((114-'V06 Calend 01'!C20)/6)&lt;='V06 Calend 01'!E20)),IF((114=('V06 Calend 01'!C20+(6*'V06 Calend 01'!E20))),('V06 Calend 01'!H20-('V06 Calend 01'!I20*('V06 Calend 01'!E20-1))),'V06 Calend 01'!I20),0))+IF((114='V06 Calend 01'!D20),'V06 Calend 01'!J20,0))</f>
        <v>0</v>
      </c>
      <c r="DW20" s="2">
        <f>((IF((115='V06 Calend 01'!C20),('V06 Calend 01'!F20+'V06 Calend 01'!G20),0)+IF(AND(('V06 Calend 01'!E20&gt;0),(115&gt;'V06 Calend 01'!C20),(115&lt;'V06 Calend 01'!D20),(MOD((115-'V06 Calend 01'!C20),6)=0),(((115-'V06 Calend 01'!C20)/6)&lt;='V06 Calend 01'!E20)),IF((115=('V06 Calend 01'!C20+(6*'V06 Calend 01'!E20))),('V06 Calend 01'!H20-('V06 Calend 01'!I20*('V06 Calend 01'!E20-1))),'V06 Calend 01'!I20),0))+IF((115='V06 Calend 01'!D20),'V06 Calend 01'!J20,0))</f>
        <v>0</v>
      </c>
      <c r="DX20" s="2">
        <f>((IF((116='V06 Calend 01'!C20),('V06 Calend 01'!F20+'V06 Calend 01'!G20),0)+IF(AND(('V06 Calend 01'!E20&gt;0),(116&gt;'V06 Calend 01'!C20),(116&lt;'V06 Calend 01'!D20),(MOD((116-'V06 Calend 01'!C20),6)=0),(((116-'V06 Calend 01'!C20)/6)&lt;='V06 Calend 01'!E20)),IF((116=('V06 Calend 01'!C20+(6*'V06 Calend 01'!E20))),('V06 Calend 01'!H20-('V06 Calend 01'!I20*('V06 Calend 01'!E20-1))),'V06 Calend 01'!I20),0))+IF((116='V06 Calend 01'!D20),'V06 Calend 01'!J20,0))</f>
        <v>0</v>
      </c>
      <c r="DY20" s="2">
        <f>((IF((117='V06 Calend 01'!C20),('V06 Calend 01'!F20+'V06 Calend 01'!G20),0)+IF(AND(('V06 Calend 01'!E20&gt;0),(117&gt;'V06 Calend 01'!C20),(117&lt;'V06 Calend 01'!D20),(MOD((117-'V06 Calend 01'!C20),6)=0),(((117-'V06 Calend 01'!C20)/6)&lt;='V06 Calend 01'!E20)),IF((117=('V06 Calend 01'!C20+(6*'V06 Calend 01'!E20))),('V06 Calend 01'!H20-('V06 Calend 01'!I20*('V06 Calend 01'!E20-1))),'V06 Calend 01'!I20),0))+IF((117='V06 Calend 01'!D20),'V06 Calend 01'!J20,0))</f>
        <v>0</v>
      </c>
      <c r="DZ20" s="2">
        <f>((IF((118='V06 Calend 01'!C20),('V06 Calend 01'!F20+'V06 Calend 01'!G20),0)+IF(AND(('V06 Calend 01'!E20&gt;0),(118&gt;'V06 Calend 01'!C20),(118&lt;'V06 Calend 01'!D20),(MOD((118-'V06 Calend 01'!C20),6)=0),(((118-'V06 Calend 01'!C20)/6)&lt;='V06 Calend 01'!E20)),IF((118=('V06 Calend 01'!C20+(6*'V06 Calend 01'!E20))),('V06 Calend 01'!H20-('V06 Calend 01'!I20*('V06 Calend 01'!E20-1))),'V06 Calend 01'!I20),0))+IF((118='V06 Calend 01'!D20),'V06 Calend 01'!J20,0))</f>
        <v>0</v>
      </c>
      <c r="EA20" s="2">
        <f>((IF((119='V06 Calend 01'!C20),('V06 Calend 01'!F20+'V06 Calend 01'!G20),0)+IF(AND(('V06 Calend 01'!E20&gt;0),(119&gt;'V06 Calend 01'!C20),(119&lt;'V06 Calend 01'!D20),(MOD((119-'V06 Calend 01'!C20),6)=0),(((119-'V06 Calend 01'!C20)/6)&lt;='V06 Calend 01'!E20)),IF((119=('V06 Calend 01'!C20+(6*'V06 Calend 01'!E20))),('V06 Calend 01'!H20-('V06 Calend 01'!I20*('V06 Calend 01'!E20-1))),'V06 Calend 01'!I20),0))+IF((119='V06 Calend 01'!D20),'V06 Calend 01'!J20,0))</f>
        <v>0</v>
      </c>
      <c r="EB20" s="2">
        <f>((IF((120='V06 Calend 01'!C20),('V06 Calend 01'!F20+'V06 Calend 01'!G20),0)+IF(AND(('V06 Calend 01'!E20&gt;0),(120&gt;'V06 Calend 01'!C20),(120&lt;'V06 Calend 01'!D20),(MOD((120-'V06 Calend 01'!C20),6)=0),(((120-'V06 Calend 01'!C20)/6)&lt;='V06 Calend 01'!E20)),IF((120=('V06 Calend 01'!C20+(6*'V06 Calend 01'!E20))),('V06 Calend 01'!H20-('V06 Calend 01'!I20*('V06 Calend 01'!E20-1))),'V06 Calend 01'!I20),0))+IF((120='V06 Calend 01'!D20),'V06 Calend 01'!J20,0))</f>
        <v>0</v>
      </c>
      <c r="EC20" s="2">
        <f>((IF((121='V06 Calend 01'!C20),('V06 Calend 01'!F20+'V06 Calend 01'!G20),0)+IF(AND(('V06 Calend 01'!E20&gt;0),(121&gt;'V06 Calend 01'!C20),(121&lt;'V06 Calend 01'!D20),(MOD((121-'V06 Calend 01'!C20),6)=0),(((121-'V06 Calend 01'!C20)/6)&lt;='V06 Calend 01'!E20)),IF((121=('V06 Calend 01'!C20+(6*'V06 Calend 01'!E20))),('V06 Calend 01'!H20-('V06 Calend 01'!I20*('V06 Calend 01'!E20-1))),'V06 Calend 01'!I20),0))+IF((121='V06 Calend 01'!D20),'V06 Calend 01'!J20,0))</f>
        <v>0</v>
      </c>
      <c r="ED20" s="2">
        <f>((IF((122='V06 Calend 01'!C20),('V06 Calend 01'!F20+'V06 Calend 01'!G20),0)+IF(AND(('V06 Calend 01'!E20&gt;0),(122&gt;'V06 Calend 01'!C20),(122&lt;'V06 Calend 01'!D20),(MOD((122-'V06 Calend 01'!C20),6)=0),(((122-'V06 Calend 01'!C20)/6)&lt;='V06 Calend 01'!E20)),IF((122=('V06 Calend 01'!C20+(6*'V06 Calend 01'!E20))),('V06 Calend 01'!H20-('V06 Calend 01'!I20*('V06 Calend 01'!E20-1))),'V06 Calend 01'!I20),0))+IF((122='V06 Calend 01'!D20),'V06 Calend 01'!J20,0))</f>
        <v>0</v>
      </c>
      <c r="EE20" s="2">
        <f>((IF((123='V06 Calend 01'!C20),('V06 Calend 01'!F20+'V06 Calend 01'!G20),0)+IF(AND(('V06 Calend 01'!E20&gt;0),(123&gt;'V06 Calend 01'!C20),(123&lt;'V06 Calend 01'!D20),(MOD((123-'V06 Calend 01'!C20),6)=0),(((123-'V06 Calend 01'!C20)/6)&lt;='V06 Calend 01'!E20)),IF((123=('V06 Calend 01'!C20+(6*'V06 Calend 01'!E20))),('V06 Calend 01'!H20-('V06 Calend 01'!I20*('V06 Calend 01'!E20-1))),'V06 Calend 01'!I20),0))+IF((123='V06 Calend 01'!D20),'V06 Calend 01'!J20,0))</f>
        <v>0</v>
      </c>
      <c r="EF20" s="2">
        <f>((IF((124='V06 Calend 01'!C20),('V06 Calend 01'!F20+'V06 Calend 01'!G20),0)+IF(AND(('V06 Calend 01'!E20&gt;0),(124&gt;'V06 Calend 01'!C20),(124&lt;'V06 Calend 01'!D20),(MOD((124-'V06 Calend 01'!C20),6)=0),(((124-'V06 Calend 01'!C20)/6)&lt;='V06 Calend 01'!E20)),IF((124=('V06 Calend 01'!C20+(6*'V06 Calend 01'!E20))),('V06 Calend 01'!H20-('V06 Calend 01'!I20*('V06 Calend 01'!E20-1))),'V06 Calend 01'!I20),0))+IF((124='V06 Calend 01'!D20),'V06 Calend 01'!J20,0))</f>
        <v>0</v>
      </c>
      <c r="EG20" s="2">
        <f>((IF((125='V06 Calend 01'!C20),('V06 Calend 01'!F20+'V06 Calend 01'!G20),0)+IF(AND(('V06 Calend 01'!E20&gt;0),(125&gt;'V06 Calend 01'!C20),(125&lt;'V06 Calend 01'!D20),(MOD((125-'V06 Calend 01'!C20),6)=0),(((125-'V06 Calend 01'!C20)/6)&lt;='V06 Calend 01'!E20)),IF((125=('V06 Calend 01'!C20+(6*'V06 Calend 01'!E20))),('V06 Calend 01'!H20-('V06 Calend 01'!I20*('V06 Calend 01'!E20-1))),'V06 Calend 01'!I20),0))+IF((125='V06 Calend 01'!D20),'V06 Calend 01'!J20,0))</f>
        <v>0</v>
      </c>
      <c r="EH20" s="2">
        <f>((IF((126='V06 Calend 01'!C20),('V06 Calend 01'!F20+'V06 Calend 01'!G20),0)+IF(AND(('V06 Calend 01'!E20&gt;0),(126&gt;'V06 Calend 01'!C20),(126&lt;'V06 Calend 01'!D20),(MOD((126-'V06 Calend 01'!C20),6)=0),(((126-'V06 Calend 01'!C20)/6)&lt;='V06 Calend 01'!E20)),IF((126=('V06 Calend 01'!C20+(6*'V06 Calend 01'!E20))),('V06 Calend 01'!H20-('V06 Calend 01'!I20*('V06 Calend 01'!E20-1))),'V06 Calend 01'!I20),0))+IF((126='V06 Calend 01'!D20),'V06 Calend 01'!J20,0))</f>
        <v>0</v>
      </c>
      <c r="EI20" s="2">
        <f>((IF((127='V06 Calend 01'!C20),('V06 Calend 01'!F20+'V06 Calend 01'!G20),0)+IF(AND(('V06 Calend 01'!E20&gt;0),(127&gt;'V06 Calend 01'!C20),(127&lt;'V06 Calend 01'!D20),(MOD((127-'V06 Calend 01'!C20),6)=0),(((127-'V06 Calend 01'!C20)/6)&lt;='V06 Calend 01'!E20)),IF((127=('V06 Calend 01'!C20+(6*'V06 Calend 01'!E20))),('V06 Calend 01'!H20-('V06 Calend 01'!I20*('V06 Calend 01'!E20-1))),'V06 Calend 01'!I20),0))+IF((127='V06 Calend 01'!D20),'V06 Calend 01'!J20,0))</f>
        <v>0</v>
      </c>
      <c r="EJ20" s="2">
        <f>((IF((128='V06 Calend 01'!C20),('V06 Calend 01'!F20+'V06 Calend 01'!G20),0)+IF(AND(('V06 Calend 01'!E20&gt;0),(128&gt;'V06 Calend 01'!C20),(128&lt;'V06 Calend 01'!D20),(MOD((128-'V06 Calend 01'!C20),6)=0),(((128-'V06 Calend 01'!C20)/6)&lt;='V06 Calend 01'!E20)),IF((128=('V06 Calend 01'!C20+(6*'V06 Calend 01'!E20))),('V06 Calend 01'!H20-('V06 Calend 01'!I20*('V06 Calend 01'!E20-1))),'V06 Calend 01'!I20),0))+IF((128='V06 Calend 01'!D20),'V06 Calend 01'!J20,0))</f>
        <v>0</v>
      </c>
      <c r="EK20" s="2">
        <f>((IF((129='V06 Calend 01'!C20),('V06 Calend 01'!F20+'V06 Calend 01'!G20),0)+IF(AND(('V06 Calend 01'!E20&gt;0),(129&gt;'V06 Calend 01'!C20),(129&lt;'V06 Calend 01'!D20),(MOD((129-'V06 Calend 01'!C20),6)=0),(((129-'V06 Calend 01'!C20)/6)&lt;='V06 Calend 01'!E20)),IF((129=('V06 Calend 01'!C20+(6*'V06 Calend 01'!E20))),('V06 Calend 01'!H20-('V06 Calend 01'!I20*('V06 Calend 01'!E20-1))),'V06 Calend 01'!I20),0))+IF((129='V06 Calend 01'!D20),'V06 Calend 01'!J20,0))</f>
        <v>0</v>
      </c>
      <c r="EL20" s="2">
        <f>((IF((130='V06 Calend 01'!C20),('V06 Calend 01'!F20+'V06 Calend 01'!G20),0)+IF(AND(('V06 Calend 01'!E20&gt;0),(130&gt;'V06 Calend 01'!C20),(130&lt;'V06 Calend 01'!D20),(MOD((130-'V06 Calend 01'!C20),6)=0),(((130-'V06 Calend 01'!C20)/6)&lt;='V06 Calend 01'!E20)),IF((130=('V06 Calend 01'!C20+(6*'V06 Calend 01'!E20))),('V06 Calend 01'!H20-('V06 Calend 01'!I20*('V06 Calend 01'!E20-1))),'V06 Calend 01'!I20),0))+IF((130='V06 Calend 01'!D20),'V06 Calend 01'!J20,0))</f>
        <v>0</v>
      </c>
      <c r="EM20" s="2">
        <f>((IF((131='V06 Calend 01'!C20),('V06 Calend 01'!F20+'V06 Calend 01'!G20),0)+IF(AND(('V06 Calend 01'!E20&gt;0),(131&gt;'V06 Calend 01'!C20),(131&lt;'V06 Calend 01'!D20),(MOD((131-'V06 Calend 01'!C20),6)=0),(((131-'V06 Calend 01'!C20)/6)&lt;='V06 Calend 01'!E20)),IF((131=('V06 Calend 01'!C20+(6*'V06 Calend 01'!E20))),('V06 Calend 01'!H20-('V06 Calend 01'!I20*('V06 Calend 01'!E20-1))),'V06 Calend 01'!I20),0))+IF((131='V06 Calend 01'!D20),'V06 Calend 01'!J20,0))</f>
        <v>0</v>
      </c>
      <c r="EN20" s="2">
        <f>((IF((132='V06 Calend 01'!C20),('V06 Calend 01'!F20+'V06 Calend 01'!G20),0)+IF(AND(('V06 Calend 01'!E20&gt;0),(132&gt;'V06 Calend 01'!C20),(132&lt;'V06 Calend 01'!D20),(MOD((132-'V06 Calend 01'!C20),6)=0),(((132-'V06 Calend 01'!C20)/6)&lt;='V06 Calend 01'!E20)),IF((132=('V06 Calend 01'!C20+(6*'V06 Calend 01'!E20))),('V06 Calend 01'!H20-('V06 Calend 01'!I20*('V06 Calend 01'!E20-1))),'V06 Calend 01'!I20),0))+IF((132='V06 Calend 01'!D20),'V06 Calend 01'!J20,0))</f>
        <v>0</v>
      </c>
      <c r="EO20" s="2">
        <f>((IF((133='V06 Calend 01'!C20),('V06 Calend 01'!F20+'V06 Calend 01'!G20),0)+IF(AND(('V06 Calend 01'!E20&gt;0),(133&gt;'V06 Calend 01'!C20),(133&lt;'V06 Calend 01'!D20),(MOD((133-'V06 Calend 01'!C20),6)=0),(((133-'V06 Calend 01'!C20)/6)&lt;='V06 Calend 01'!E20)),IF((133=('V06 Calend 01'!C20+(6*'V06 Calend 01'!E20))),('V06 Calend 01'!H20-('V06 Calend 01'!I20*('V06 Calend 01'!E20-1))),'V06 Calend 01'!I20),0))+IF((133='V06 Calend 01'!D20),'V06 Calend 01'!J20,0))</f>
        <v>0</v>
      </c>
      <c r="EP20" s="2">
        <f>((IF((134='V06 Calend 01'!C20),('V06 Calend 01'!F20+'V06 Calend 01'!G20),0)+IF(AND(('V06 Calend 01'!E20&gt;0),(134&gt;'V06 Calend 01'!C20),(134&lt;'V06 Calend 01'!D20),(MOD((134-'V06 Calend 01'!C20),6)=0),(((134-'V06 Calend 01'!C20)/6)&lt;='V06 Calend 01'!E20)),IF((134=('V06 Calend 01'!C20+(6*'V06 Calend 01'!E20))),('V06 Calend 01'!H20-('V06 Calend 01'!I20*('V06 Calend 01'!E20-1))),'V06 Calend 01'!I20),0))+IF((134='V06 Calend 01'!D20),'V06 Calend 01'!J20,0))</f>
        <v>0</v>
      </c>
      <c r="EQ20" s="2">
        <f>((IF((135='V06 Calend 01'!C20),('V06 Calend 01'!F20+'V06 Calend 01'!G20),0)+IF(AND(('V06 Calend 01'!E20&gt;0),(135&gt;'V06 Calend 01'!C20),(135&lt;'V06 Calend 01'!D20),(MOD((135-'V06 Calend 01'!C20),6)=0),(((135-'V06 Calend 01'!C20)/6)&lt;='V06 Calend 01'!E20)),IF((135=('V06 Calend 01'!C20+(6*'V06 Calend 01'!E20))),('V06 Calend 01'!H20-('V06 Calend 01'!I20*('V06 Calend 01'!E20-1))),'V06 Calend 01'!I20),0))+IF((135='V06 Calend 01'!D20),'V06 Calend 01'!J20,0))</f>
        <v>0</v>
      </c>
      <c r="ER20" s="2">
        <f>((IF((136='V06 Calend 01'!C20),('V06 Calend 01'!F20+'V06 Calend 01'!G20),0)+IF(AND(('V06 Calend 01'!E20&gt;0),(136&gt;'V06 Calend 01'!C20),(136&lt;'V06 Calend 01'!D20),(MOD((136-'V06 Calend 01'!C20),6)=0),(((136-'V06 Calend 01'!C20)/6)&lt;='V06 Calend 01'!E20)),IF((136=('V06 Calend 01'!C20+(6*'V06 Calend 01'!E20))),('V06 Calend 01'!H20-('V06 Calend 01'!I20*('V06 Calend 01'!E20-1))),'V06 Calend 01'!I20),0))+IF((136='V06 Calend 01'!D20),'V06 Calend 01'!J20,0))</f>
        <v>0</v>
      </c>
      <c r="ES20" s="2">
        <f>((IF((137='V06 Calend 01'!C20),('V06 Calend 01'!F20+'V06 Calend 01'!G20),0)+IF(AND(('V06 Calend 01'!E20&gt;0),(137&gt;'V06 Calend 01'!C20),(137&lt;'V06 Calend 01'!D20),(MOD((137-'V06 Calend 01'!C20),6)=0),(((137-'V06 Calend 01'!C20)/6)&lt;='V06 Calend 01'!E20)),IF((137=('V06 Calend 01'!C20+(6*'V06 Calend 01'!E20))),('V06 Calend 01'!H20-('V06 Calend 01'!I20*('V06 Calend 01'!E20-1))),'V06 Calend 01'!I20),0))+IF((137='V06 Calend 01'!D20),'V06 Calend 01'!J20,0))</f>
        <v>0</v>
      </c>
      <c r="ET20" s="2">
        <f>((IF((138='V06 Calend 01'!C20),('V06 Calend 01'!F20+'V06 Calend 01'!G20),0)+IF(AND(('V06 Calend 01'!E20&gt;0),(138&gt;'V06 Calend 01'!C20),(138&lt;'V06 Calend 01'!D20),(MOD((138-'V06 Calend 01'!C20),6)=0),(((138-'V06 Calend 01'!C20)/6)&lt;='V06 Calend 01'!E20)),IF((138=('V06 Calend 01'!C20+(6*'V06 Calend 01'!E20))),('V06 Calend 01'!H20-('V06 Calend 01'!I20*('V06 Calend 01'!E20-1))),'V06 Calend 01'!I20),0))+IF((138='V06 Calend 01'!D20),'V06 Calend 01'!J20,0))</f>
        <v>0</v>
      </c>
      <c r="EU20" s="2">
        <f>((IF((139='V06 Calend 01'!C20),('V06 Calend 01'!F20+'V06 Calend 01'!G20),0)+IF(AND(('V06 Calend 01'!E20&gt;0),(139&gt;'V06 Calend 01'!C20),(139&lt;'V06 Calend 01'!D20),(MOD((139-'V06 Calend 01'!C20),6)=0),(((139-'V06 Calend 01'!C20)/6)&lt;='V06 Calend 01'!E20)),IF((139=('V06 Calend 01'!C20+(6*'V06 Calend 01'!E20))),('V06 Calend 01'!H20-('V06 Calend 01'!I20*('V06 Calend 01'!E20-1))),'V06 Calend 01'!I20),0))+IF((139='V06 Calend 01'!D20),'V06 Calend 01'!J20,0))</f>
        <v>0</v>
      </c>
      <c r="EV20" s="2">
        <f>((IF((140='V06 Calend 01'!C20),('V06 Calend 01'!F20+'V06 Calend 01'!G20),0)+IF(AND(('V06 Calend 01'!E20&gt;0),(140&gt;'V06 Calend 01'!C20),(140&lt;'V06 Calend 01'!D20),(MOD((140-'V06 Calend 01'!C20),6)=0),(((140-'V06 Calend 01'!C20)/6)&lt;='V06 Calend 01'!E20)),IF((140=('V06 Calend 01'!C20+(6*'V06 Calend 01'!E20))),('V06 Calend 01'!H20-('V06 Calend 01'!I20*('V06 Calend 01'!E20-1))),'V06 Calend 01'!I20),0))+IF((140='V06 Calend 01'!D20),'V06 Calend 01'!J20,0))</f>
        <v>0</v>
      </c>
      <c r="EW20" s="2">
        <f>((IF((141='V06 Calend 01'!C20),('V06 Calend 01'!F20+'V06 Calend 01'!G20),0)+IF(AND(('V06 Calend 01'!E20&gt;0),(141&gt;'V06 Calend 01'!C20),(141&lt;'V06 Calend 01'!D20),(MOD((141-'V06 Calend 01'!C20),6)=0),(((141-'V06 Calend 01'!C20)/6)&lt;='V06 Calend 01'!E20)),IF((141=('V06 Calend 01'!C20+(6*'V06 Calend 01'!E20))),('V06 Calend 01'!H20-('V06 Calend 01'!I20*('V06 Calend 01'!E20-1))),'V06 Calend 01'!I20),0))+IF((141='V06 Calend 01'!D20),'V06 Calend 01'!J20,0))</f>
        <v>0</v>
      </c>
      <c r="EX20" s="2">
        <f>((IF((142='V06 Calend 01'!C20),('V06 Calend 01'!F20+'V06 Calend 01'!G20),0)+IF(AND(('V06 Calend 01'!E20&gt;0),(142&gt;'V06 Calend 01'!C20),(142&lt;'V06 Calend 01'!D20),(MOD((142-'V06 Calend 01'!C20),6)=0),(((142-'V06 Calend 01'!C20)/6)&lt;='V06 Calend 01'!E20)),IF((142=('V06 Calend 01'!C20+(6*'V06 Calend 01'!E20))),('V06 Calend 01'!H20-('V06 Calend 01'!I20*('V06 Calend 01'!E20-1))),'V06 Calend 01'!I20),0))+IF((142='V06 Calend 01'!D20),'V06 Calend 01'!J20,0))</f>
        <v>0</v>
      </c>
      <c r="EY20" s="2">
        <f>((IF((143='V06 Calend 01'!C20),('V06 Calend 01'!F20+'V06 Calend 01'!G20),0)+IF(AND(('V06 Calend 01'!E20&gt;0),(143&gt;'V06 Calend 01'!C20),(143&lt;'V06 Calend 01'!D20),(MOD((143-'V06 Calend 01'!C20),6)=0),(((143-'V06 Calend 01'!C20)/6)&lt;='V06 Calend 01'!E20)),IF((143=('V06 Calend 01'!C20+(6*'V06 Calend 01'!E20))),('V06 Calend 01'!H20-('V06 Calend 01'!I20*('V06 Calend 01'!E20-1))),'V06 Calend 01'!I20),0))+IF((143='V06 Calend 01'!D20),'V06 Calend 01'!J20,0))</f>
        <v>0</v>
      </c>
      <c r="EZ20" s="2">
        <f>((IF((144='V06 Calend 01'!C20),('V06 Calend 01'!F20+'V06 Calend 01'!G20),0)+IF(AND(('V06 Calend 01'!E20&gt;0),(144&gt;'V06 Calend 01'!C20),(144&lt;'V06 Calend 01'!D20),(MOD((144-'V06 Calend 01'!C20),6)=0),(((144-'V06 Calend 01'!C20)/6)&lt;='V06 Calend 01'!E20)),IF((144=('V06 Calend 01'!C20+(6*'V06 Calend 01'!E20))),('V06 Calend 01'!H20-('V06 Calend 01'!I20*('V06 Calend 01'!E20-1))),'V06 Calend 01'!I20),0))+IF((144='V06 Calend 01'!D20),'V06 Calend 01'!J20,0))</f>
        <v>0</v>
      </c>
      <c r="FA20" s="2">
        <f>((IF((145='V06 Calend 01'!C20),('V06 Calend 01'!F20+'V06 Calend 01'!G20),0)+IF(AND(('V06 Calend 01'!E20&gt;0),(145&gt;'V06 Calend 01'!C20),(145&lt;'V06 Calend 01'!D20),(MOD((145-'V06 Calend 01'!C20),6)=0),(((145-'V06 Calend 01'!C20)/6)&lt;='V06 Calend 01'!E20)),IF((145=('V06 Calend 01'!C20+(6*'V06 Calend 01'!E20))),('V06 Calend 01'!H20-('V06 Calend 01'!I20*('V06 Calend 01'!E20-1))),'V06 Calend 01'!I20),0))+IF((145='V06 Calend 01'!D20),'V06 Calend 01'!J20,0))</f>
        <v>0</v>
      </c>
      <c r="FB20" s="2">
        <f>((IF((146='V06 Calend 01'!C20),('V06 Calend 01'!F20+'V06 Calend 01'!G20),0)+IF(AND(('V06 Calend 01'!E20&gt;0),(146&gt;'V06 Calend 01'!C20),(146&lt;'V06 Calend 01'!D20),(MOD((146-'V06 Calend 01'!C20),6)=0),(((146-'V06 Calend 01'!C20)/6)&lt;='V06 Calend 01'!E20)),IF((146=('V06 Calend 01'!C20+(6*'V06 Calend 01'!E20))),('V06 Calend 01'!H20-('V06 Calend 01'!I20*('V06 Calend 01'!E20-1))),'V06 Calend 01'!I20),0))+IF((146='V06 Calend 01'!D20),'V06 Calend 01'!J20,0))</f>
        <v>0</v>
      </c>
      <c r="FC20" s="2">
        <f>((IF((147='V06 Calend 01'!C20),('V06 Calend 01'!F20+'V06 Calend 01'!G20),0)+IF(AND(('V06 Calend 01'!E20&gt;0),(147&gt;'V06 Calend 01'!C20),(147&lt;'V06 Calend 01'!D20),(MOD((147-'V06 Calend 01'!C20),6)=0),(((147-'V06 Calend 01'!C20)/6)&lt;='V06 Calend 01'!E20)),IF((147=('V06 Calend 01'!C20+(6*'V06 Calend 01'!E20))),('V06 Calend 01'!H20-('V06 Calend 01'!I20*('V06 Calend 01'!E20-1))),'V06 Calend 01'!I20),0))+IF((147='V06 Calend 01'!D20),'V06 Calend 01'!J20,0))</f>
        <v>0</v>
      </c>
      <c r="FD20" s="2">
        <f>((IF((148='V06 Calend 01'!C20),('V06 Calend 01'!F20+'V06 Calend 01'!G20),0)+IF(AND(('V06 Calend 01'!E20&gt;0),(148&gt;'V06 Calend 01'!C20),(148&lt;'V06 Calend 01'!D20),(MOD((148-'V06 Calend 01'!C20),6)=0),(((148-'V06 Calend 01'!C20)/6)&lt;='V06 Calend 01'!E20)),IF((148=('V06 Calend 01'!C20+(6*'V06 Calend 01'!E20))),('V06 Calend 01'!H20-('V06 Calend 01'!I20*('V06 Calend 01'!E20-1))),'V06 Calend 01'!I20),0))+IF((148='V06 Calend 01'!D20),'V06 Calend 01'!J20,0))</f>
        <v>0</v>
      </c>
      <c r="FE20" s="2">
        <f>((IF((149='V06 Calend 01'!C20),('V06 Calend 01'!F20+'V06 Calend 01'!G20),0)+IF(AND(('V06 Calend 01'!E20&gt;0),(149&gt;'V06 Calend 01'!C20),(149&lt;'V06 Calend 01'!D20),(MOD((149-'V06 Calend 01'!C20),6)=0),(((149-'V06 Calend 01'!C20)/6)&lt;='V06 Calend 01'!E20)),IF((149=('V06 Calend 01'!C20+(6*'V06 Calend 01'!E20))),('V06 Calend 01'!H20-('V06 Calend 01'!I20*('V06 Calend 01'!E20-1))),'V06 Calend 01'!I20),0))+IF((149='V06 Calend 01'!D20),'V06 Calend 01'!J20,0))</f>
        <v>0</v>
      </c>
      <c r="FF20" s="2">
        <f>((IF((150='V06 Calend 01'!C20),('V06 Calend 01'!F20+'V06 Calend 01'!G20),0)+IF(AND(('V06 Calend 01'!E20&gt;0),(150&gt;'V06 Calend 01'!C20),(150&lt;'V06 Calend 01'!D20),(MOD((150-'V06 Calend 01'!C20),6)=0),(((150-'V06 Calend 01'!C20)/6)&lt;='V06 Calend 01'!E20)),IF((150=('V06 Calend 01'!C20+(6*'V06 Calend 01'!E20))),('V06 Calend 01'!H20-('V06 Calend 01'!I20*('V06 Calend 01'!E20-1))),'V06 Calend 01'!I20),0))+IF((150='V06 Calend 01'!D20),'V06 Calend 01'!J20,0))</f>
        <v>0</v>
      </c>
      <c r="FG20" s="2">
        <f>((IF((151='V06 Calend 01'!C20),('V06 Calend 01'!F20+'V06 Calend 01'!G20),0)+IF(AND(('V06 Calend 01'!E20&gt;0),(151&gt;'V06 Calend 01'!C20),(151&lt;'V06 Calend 01'!D20),(MOD((151-'V06 Calend 01'!C20),6)=0),(((151-'V06 Calend 01'!C20)/6)&lt;='V06 Calend 01'!E20)),IF((151=('V06 Calend 01'!C20+(6*'V06 Calend 01'!E20))),('V06 Calend 01'!H20-('V06 Calend 01'!I20*('V06 Calend 01'!E20-1))),'V06 Calend 01'!I20),0))+IF((151='V06 Calend 01'!D20),'V06 Calend 01'!J20,0))</f>
        <v>0</v>
      </c>
      <c r="FH20" s="2">
        <f>((IF((152='V06 Calend 01'!C20),('V06 Calend 01'!F20+'V06 Calend 01'!G20),0)+IF(AND(('V06 Calend 01'!E20&gt;0),(152&gt;'V06 Calend 01'!C20),(152&lt;'V06 Calend 01'!D20),(MOD((152-'V06 Calend 01'!C20),6)=0),(((152-'V06 Calend 01'!C20)/6)&lt;='V06 Calend 01'!E20)),IF((152=('V06 Calend 01'!C20+(6*'V06 Calend 01'!E20))),('V06 Calend 01'!H20-('V06 Calend 01'!I20*('V06 Calend 01'!E20-1))),'V06 Calend 01'!I20),0))+IF((152='V06 Calend 01'!D20),'V06 Calend 01'!J20,0))</f>
        <v>0</v>
      </c>
      <c r="FI20" s="2">
        <f>((IF((153='V06 Calend 01'!C20),('V06 Calend 01'!F20+'V06 Calend 01'!G20),0)+IF(AND(('V06 Calend 01'!E20&gt;0),(153&gt;'V06 Calend 01'!C20),(153&lt;'V06 Calend 01'!D20),(MOD((153-'V06 Calend 01'!C20),6)=0),(((153-'V06 Calend 01'!C20)/6)&lt;='V06 Calend 01'!E20)),IF((153=('V06 Calend 01'!C20+(6*'V06 Calend 01'!E20))),('V06 Calend 01'!H20-('V06 Calend 01'!I20*('V06 Calend 01'!E20-1))),'V06 Calend 01'!I20),0))+IF((153='V06 Calend 01'!D20),'V06 Calend 01'!J20,0))</f>
        <v>0</v>
      </c>
      <c r="FJ20" s="2">
        <f>((IF((154='V06 Calend 01'!C20),('V06 Calend 01'!F20+'V06 Calend 01'!G20),0)+IF(AND(('V06 Calend 01'!E20&gt;0),(154&gt;'V06 Calend 01'!C20),(154&lt;'V06 Calend 01'!D20),(MOD((154-'V06 Calend 01'!C20),6)=0),(((154-'V06 Calend 01'!C20)/6)&lt;='V06 Calend 01'!E20)),IF((154=('V06 Calend 01'!C20+(6*'V06 Calend 01'!E20))),('V06 Calend 01'!H20-('V06 Calend 01'!I20*('V06 Calend 01'!E20-1))),'V06 Calend 01'!I20),0))+IF((154='V06 Calend 01'!D20),'V06 Calend 01'!J20,0))</f>
        <v>0</v>
      </c>
      <c r="FK20" s="2">
        <f>((IF((155='V06 Calend 01'!C20),('V06 Calend 01'!F20+'V06 Calend 01'!G20),0)+IF(AND(('V06 Calend 01'!E20&gt;0),(155&gt;'V06 Calend 01'!C20),(155&lt;'V06 Calend 01'!D20),(MOD((155-'V06 Calend 01'!C20),6)=0),(((155-'V06 Calend 01'!C20)/6)&lt;='V06 Calend 01'!E20)),IF((155=('V06 Calend 01'!C20+(6*'V06 Calend 01'!E20))),('V06 Calend 01'!H20-('V06 Calend 01'!I20*('V06 Calend 01'!E20-1))),'V06 Calend 01'!I20),0))+IF((155='V06 Calend 01'!D20),'V06 Calend 01'!J20,0))</f>
        <v>0</v>
      </c>
      <c r="FL20" s="2">
        <f>((IF((156='V06 Calend 01'!C20),('V06 Calend 01'!F20+'V06 Calend 01'!G20),0)+IF(AND(('V06 Calend 01'!E20&gt;0),(156&gt;'V06 Calend 01'!C20),(156&lt;'V06 Calend 01'!D20),(MOD((156-'V06 Calend 01'!C20),6)=0),(((156-'V06 Calend 01'!C20)/6)&lt;='V06 Calend 01'!E20)),IF((156=('V06 Calend 01'!C20+(6*'V06 Calend 01'!E20))),('V06 Calend 01'!H20-('V06 Calend 01'!I20*('V06 Calend 01'!E20-1))),'V06 Calend 01'!I20),0))+IF((156='V06 Calend 01'!D20),'V06 Calend 01'!J20,0))</f>
        <v>0</v>
      </c>
      <c r="FM20" s="2">
        <f>((IF((157='V06 Calend 01'!C20),('V06 Calend 01'!F20+'V06 Calend 01'!G20),0)+IF(AND(('V06 Calend 01'!E20&gt;0),(157&gt;'V06 Calend 01'!C20),(157&lt;'V06 Calend 01'!D20),(MOD((157-'V06 Calend 01'!C20),6)=0),(((157-'V06 Calend 01'!C20)/6)&lt;='V06 Calend 01'!E20)),IF((157=('V06 Calend 01'!C20+(6*'V06 Calend 01'!E20))),('V06 Calend 01'!H20-('V06 Calend 01'!I20*('V06 Calend 01'!E20-1))),'V06 Calend 01'!I20),0))+IF((157='V06 Calend 01'!D20),'V06 Calend 01'!J20,0))</f>
        <v>0</v>
      </c>
      <c r="FN20" s="2">
        <f>((IF((158='V06 Calend 01'!C20),('V06 Calend 01'!F20+'V06 Calend 01'!G20),0)+IF(AND(('V06 Calend 01'!E20&gt;0),(158&gt;'V06 Calend 01'!C20),(158&lt;'V06 Calend 01'!D20),(MOD((158-'V06 Calend 01'!C20),6)=0),(((158-'V06 Calend 01'!C20)/6)&lt;='V06 Calend 01'!E20)),IF((158=('V06 Calend 01'!C20+(6*'V06 Calend 01'!E20))),('V06 Calend 01'!H20-('V06 Calend 01'!I20*('V06 Calend 01'!E20-1))),'V06 Calend 01'!I20),0))+IF((158='V06 Calend 01'!D20),'V06 Calend 01'!J20,0))</f>
        <v>0</v>
      </c>
      <c r="FO20" s="2">
        <f>((IF((159='V06 Calend 01'!C20),('V06 Calend 01'!F20+'V06 Calend 01'!G20),0)+IF(AND(('V06 Calend 01'!E20&gt;0),(159&gt;'V06 Calend 01'!C20),(159&lt;'V06 Calend 01'!D20),(MOD((159-'V06 Calend 01'!C20),6)=0),(((159-'V06 Calend 01'!C20)/6)&lt;='V06 Calend 01'!E20)),IF((159=('V06 Calend 01'!C20+(6*'V06 Calend 01'!E20))),('V06 Calend 01'!H20-('V06 Calend 01'!I20*('V06 Calend 01'!E20-1))),'V06 Calend 01'!I20),0))+IF((159='V06 Calend 01'!D20),'V06 Calend 01'!J20,0))</f>
        <v>0</v>
      </c>
      <c r="FP20" s="2">
        <f>((IF((160='V06 Calend 01'!C20),('V06 Calend 01'!F20+'V06 Calend 01'!G20),0)+IF(AND(('V06 Calend 01'!E20&gt;0),(160&gt;'V06 Calend 01'!C20),(160&lt;'V06 Calend 01'!D20),(MOD((160-'V06 Calend 01'!C20),6)=0),(((160-'V06 Calend 01'!C20)/6)&lt;='V06 Calend 01'!E20)),IF((160=('V06 Calend 01'!C20+(6*'V06 Calend 01'!E20))),('V06 Calend 01'!H20-('V06 Calend 01'!I20*('V06 Calend 01'!E20-1))),'V06 Calend 01'!I20),0))+IF((160='V06 Calend 01'!D20),'V06 Calend 01'!J20,0))</f>
        <v>0</v>
      </c>
      <c r="FQ20" s="2">
        <f>((IF((161='V06 Calend 01'!C20),('V06 Calend 01'!F20+'V06 Calend 01'!G20),0)+IF(AND(('V06 Calend 01'!E20&gt;0),(161&gt;'V06 Calend 01'!C20),(161&lt;'V06 Calend 01'!D20),(MOD((161-'V06 Calend 01'!C20),6)=0),(((161-'V06 Calend 01'!C20)/6)&lt;='V06 Calend 01'!E20)),IF((161=('V06 Calend 01'!C20+(6*'V06 Calend 01'!E20))),('V06 Calend 01'!H20-('V06 Calend 01'!I20*('V06 Calend 01'!E20-1))),'V06 Calend 01'!I20),0))+IF((161='V06 Calend 01'!D20),'V06 Calend 01'!J20,0))</f>
        <v>0</v>
      </c>
      <c r="FR20" s="2">
        <f>((IF((162='V06 Calend 01'!C20),('V06 Calend 01'!F20+'V06 Calend 01'!G20),0)+IF(AND(('V06 Calend 01'!E20&gt;0),(162&gt;'V06 Calend 01'!C20),(162&lt;'V06 Calend 01'!D20),(MOD((162-'V06 Calend 01'!C20),6)=0),(((162-'V06 Calend 01'!C20)/6)&lt;='V06 Calend 01'!E20)),IF((162=('V06 Calend 01'!C20+(6*'V06 Calend 01'!E20))),('V06 Calend 01'!H20-('V06 Calend 01'!I20*('V06 Calend 01'!E20-1))),'V06 Calend 01'!I20),0))+IF((162='V06 Calend 01'!D20),'V06 Calend 01'!J20,0))</f>
        <v>0</v>
      </c>
      <c r="FS20" s="2">
        <f>((IF((163='V06 Calend 01'!C20),('V06 Calend 01'!F20+'V06 Calend 01'!G20),0)+IF(AND(('V06 Calend 01'!E20&gt;0),(163&gt;'V06 Calend 01'!C20),(163&lt;'V06 Calend 01'!D20),(MOD((163-'V06 Calend 01'!C20),6)=0),(((163-'V06 Calend 01'!C20)/6)&lt;='V06 Calend 01'!E20)),IF((163=('V06 Calend 01'!C20+(6*'V06 Calend 01'!E20))),('V06 Calend 01'!H20-('V06 Calend 01'!I20*('V06 Calend 01'!E20-1))),'V06 Calend 01'!I20),0))+IF((163='V06 Calend 01'!D20),'V06 Calend 01'!J20,0))</f>
        <v>0</v>
      </c>
      <c r="FT20" s="2">
        <f>((IF((164='V06 Calend 01'!C20),('V06 Calend 01'!F20+'V06 Calend 01'!G20),0)+IF(AND(('V06 Calend 01'!E20&gt;0),(164&gt;'V06 Calend 01'!C20),(164&lt;'V06 Calend 01'!D20),(MOD((164-'V06 Calend 01'!C20),6)=0),(((164-'V06 Calend 01'!C20)/6)&lt;='V06 Calend 01'!E20)),IF((164=('V06 Calend 01'!C20+(6*'V06 Calend 01'!E20))),('V06 Calend 01'!H20-('V06 Calend 01'!I20*('V06 Calend 01'!E20-1))),'V06 Calend 01'!I20),0))+IF((164='V06 Calend 01'!D20),'V06 Calend 01'!J20,0))</f>
        <v>0</v>
      </c>
      <c r="FU20" s="2">
        <f>((IF((165='V06 Calend 01'!C20),('V06 Calend 01'!F20+'V06 Calend 01'!G20),0)+IF(AND(('V06 Calend 01'!E20&gt;0),(165&gt;'V06 Calend 01'!C20),(165&lt;'V06 Calend 01'!D20),(MOD((165-'V06 Calend 01'!C20),6)=0),(((165-'V06 Calend 01'!C20)/6)&lt;='V06 Calend 01'!E20)),IF((165=('V06 Calend 01'!C20+(6*'V06 Calend 01'!E20))),('V06 Calend 01'!H20-('V06 Calend 01'!I20*('V06 Calend 01'!E20-1))),'V06 Calend 01'!I20),0))+IF((165='V06 Calend 01'!D20),'V06 Calend 01'!J20,0))</f>
        <v>0</v>
      </c>
      <c r="FV20" s="2">
        <f>((IF((166='V06 Calend 01'!C20),('V06 Calend 01'!F20+'V06 Calend 01'!G20),0)+IF(AND(('V06 Calend 01'!E20&gt;0),(166&gt;'V06 Calend 01'!C20),(166&lt;'V06 Calend 01'!D20),(MOD((166-'V06 Calend 01'!C20),6)=0),(((166-'V06 Calend 01'!C20)/6)&lt;='V06 Calend 01'!E20)),IF((166=('V06 Calend 01'!C20+(6*'V06 Calend 01'!E20))),('V06 Calend 01'!H20-('V06 Calend 01'!I20*('V06 Calend 01'!E20-1))),'V06 Calend 01'!I20),0))+IF((166='V06 Calend 01'!D20),'V06 Calend 01'!J20,0))</f>
        <v>0</v>
      </c>
      <c r="FW20" s="2">
        <f>((IF((167='V06 Calend 01'!C20),('V06 Calend 01'!F20+'V06 Calend 01'!G20),0)+IF(AND(('V06 Calend 01'!E20&gt;0),(167&gt;'V06 Calend 01'!C20),(167&lt;'V06 Calend 01'!D20),(MOD((167-'V06 Calend 01'!C20),6)=0),(((167-'V06 Calend 01'!C20)/6)&lt;='V06 Calend 01'!E20)),IF((167=('V06 Calend 01'!C20+(6*'V06 Calend 01'!E20))),('V06 Calend 01'!H20-('V06 Calend 01'!I20*('V06 Calend 01'!E20-1))),'V06 Calend 01'!I20),0))+IF((167='V06 Calend 01'!D20),'V06 Calend 01'!J20,0))</f>
        <v>0</v>
      </c>
      <c r="FX20" s="2">
        <f>((IF((168='V06 Calend 01'!C20),('V06 Calend 01'!F20+'V06 Calend 01'!G20),0)+IF(AND(('V06 Calend 01'!E20&gt;0),(168&gt;'V06 Calend 01'!C20),(168&lt;'V06 Calend 01'!D20),(MOD((168-'V06 Calend 01'!C20),6)=0),(((168-'V06 Calend 01'!C20)/6)&lt;='V06 Calend 01'!E20)),IF((168=('V06 Calend 01'!C20+(6*'V06 Calend 01'!E20))),('V06 Calend 01'!H20-('V06 Calend 01'!I20*('V06 Calend 01'!E20-1))),'V06 Calend 01'!I20),0))+IF((168='V06 Calend 01'!D20),'V06 Calend 01'!J20,0))</f>
        <v>0</v>
      </c>
      <c r="FY20" s="2">
        <f>((IF((169='V06 Calend 01'!C20),('V06 Calend 01'!F20+'V06 Calend 01'!G20),0)+IF(AND(('V06 Calend 01'!E20&gt;0),(169&gt;'V06 Calend 01'!C20),(169&lt;'V06 Calend 01'!D20),(MOD((169-'V06 Calend 01'!C20),6)=0),(((169-'V06 Calend 01'!C20)/6)&lt;='V06 Calend 01'!E20)),IF((169=('V06 Calend 01'!C20+(6*'V06 Calend 01'!E20))),('V06 Calend 01'!H20-('V06 Calend 01'!I20*('V06 Calend 01'!E20-1))),'V06 Calend 01'!I20),0))+IF((169='V06 Calend 01'!D20),'V06 Calend 01'!J20,0))</f>
        <v>0</v>
      </c>
      <c r="FZ20" s="2">
        <f>((IF((170='V06 Calend 01'!C20),('V06 Calend 01'!F20+'V06 Calend 01'!G20),0)+IF(AND(('V06 Calend 01'!E20&gt;0),(170&gt;'V06 Calend 01'!C20),(170&lt;'V06 Calend 01'!D20),(MOD((170-'V06 Calend 01'!C20),6)=0),(((170-'V06 Calend 01'!C20)/6)&lt;='V06 Calend 01'!E20)),IF((170=('V06 Calend 01'!C20+(6*'V06 Calend 01'!E20))),('V06 Calend 01'!H20-('V06 Calend 01'!I20*('V06 Calend 01'!E20-1))),'V06 Calend 01'!I20),0))+IF((170='V06 Calend 01'!D20),'V06 Calend 01'!J20,0))</f>
        <v>0</v>
      </c>
      <c r="GA20" s="2">
        <f>((IF((171='V06 Calend 01'!C20),('V06 Calend 01'!F20+'V06 Calend 01'!G20),0)+IF(AND(('V06 Calend 01'!E20&gt;0),(171&gt;'V06 Calend 01'!C20),(171&lt;'V06 Calend 01'!D20),(MOD((171-'V06 Calend 01'!C20),6)=0),(((171-'V06 Calend 01'!C20)/6)&lt;='V06 Calend 01'!E20)),IF((171=('V06 Calend 01'!C20+(6*'V06 Calend 01'!E20))),('V06 Calend 01'!H20-('V06 Calend 01'!I20*('V06 Calend 01'!E20-1))),'V06 Calend 01'!I20),0))+IF((171='V06 Calend 01'!D20),'V06 Calend 01'!J20,0))</f>
        <v>0</v>
      </c>
      <c r="GB20" s="2">
        <f>((IF((172='V06 Calend 01'!C20),('V06 Calend 01'!F20+'V06 Calend 01'!G20),0)+IF(AND(('V06 Calend 01'!E20&gt;0),(172&gt;'V06 Calend 01'!C20),(172&lt;'V06 Calend 01'!D20),(MOD((172-'V06 Calend 01'!C20),6)=0),(((172-'V06 Calend 01'!C20)/6)&lt;='V06 Calend 01'!E20)),IF((172=('V06 Calend 01'!C20+(6*'V06 Calend 01'!E20))),('V06 Calend 01'!H20-('V06 Calend 01'!I20*('V06 Calend 01'!E20-1))),'V06 Calend 01'!I20),0))+IF((172='V06 Calend 01'!D20),'V06 Calend 01'!J20,0))</f>
        <v>0</v>
      </c>
      <c r="GC20" s="2">
        <f>((IF((173='V06 Calend 01'!C20),('V06 Calend 01'!F20+'V06 Calend 01'!G20),0)+IF(AND(('V06 Calend 01'!E20&gt;0),(173&gt;'V06 Calend 01'!C20),(173&lt;'V06 Calend 01'!D20),(MOD((173-'V06 Calend 01'!C20),6)=0),(((173-'V06 Calend 01'!C20)/6)&lt;='V06 Calend 01'!E20)),IF((173=('V06 Calend 01'!C20+(6*'V06 Calend 01'!E20))),('V06 Calend 01'!H20-('V06 Calend 01'!I20*('V06 Calend 01'!E20-1))),'V06 Calend 01'!I20),0))+IF((173='V06 Calend 01'!D20),'V06 Calend 01'!J20,0))</f>
        <v>0</v>
      </c>
      <c r="GD20" s="2">
        <f>((IF((174='V06 Calend 01'!C20),('V06 Calend 01'!F20+'V06 Calend 01'!G20),0)+IF(AND(('V06 Calend 01'!E20&gt;0),(174&gt;'V06 Calend 01'!C20),(174&lt;'V06 Calend 01'!D20),(MOD((174-'V06 Calend 01'!C20),6)=0),(((174-'V06 Calend 01'!C20)/6)&lt;='V06 Calend 01'!E20)),IF((174=('V06 Calend 01'!C20+(6*'V06 Calend 01'!E20))),('V06 Calend 01'!H20-('V06 Calend 01'!I20*('V06 Calend 01'!E20-1))),'V06 Calend 01'!I20),0))+IF((174='V06 Calend 01'!D20),'V06 Calend 01'!J20,0))</f>
        <v>0</v>
      </c>
      <c r="GE20" s="2">
        <f>((IF((175='V06 Calend 01'!C20),('V06 Calend 01'!F20+'V06 Calend 01'!G20),0)+IF(AND(('V06 Calend 01'!E20&gt;0),(175&gt;'V06 Calend 01'!C20),(175&lt;'V06 Calend 01'!D20),(MOD((175-'V06 Calend 01'!C20),6)=0),(((175-'V06 Calend 01'!C20)/6)&lt;='V06 Calend 01'!E20)),IF((175=('V06 Calend 01'!C20+(6*'V06 Calend 01'!E20))),('V06 Calend 01'!H20-('V06 Calend 01'!I20*('V06 Calend 01'!E20-1))),'V06 Calend 01'!I20),0))+IF((175='V06 Calend 01'!D20),'V06 Calend 01'!J20,0))</f>
        <v>0</v>
      </c>
      <c r="GF20" s="2">
        <f>((IF((176='V06 Calend 01'!C20),('V06 Calend 01'!F20+'V06 Calend 01'!G20),0)+IF(AND(('V06 Calend 01'!E20&gt;0),(176&gt;'V06 Calend 01'!C20),(176&lt;'V06 Calend 01'!D20),(MOD((176-'V06 Calend 01'!C20),6)=0),(((176-'V06 Calend 01'!C20)/6)&lt;='V06 Calend 01'!E20)),IF((176=('V06 Calend 01'!C20+(6*'V06 Calend 01'!E20))),('V06 Calend 01'!H20-('V06 Calend 01'!I20*('V06 Calend 01'!E20-1))),'V06 Calend 01'!I20),0))+IF((176='V06 Calend 01'!D20),'V06 Calend 01'!J20,0))</f>
        <v>0</v>
      </c>
      <c r="GG20" s="2">
        <f>((IF((177='V06 Calend 01'!C20),('V06 Calend 01'!F20+'V06 Calend 01'!G20),0)+IF(AND(('V06 Calend 01'!E20&gt;0),(177&gt;'V06 Calend 01'!C20),(177&lt;'V06 Calend 01'!D20),(MOD((177-'V06 Calend 01'!C20),6)=0),(((177-'V06 Calend 01'!C20)/6)&lt;='V06 Calend 01'!E20)),IF((177=('V06 Calend 01'!C20+(6*'V06 Calend 01'!E20))),('V06 Calend 01'!H20-('V06 Calend 01'!I20*('V06 Calend 01'!E20-1))),'V06 Calend 01'!I20),0))+IF((177='V06 Calend 01'!D20),'V06 Calend 01'!J20,0))</f>
        <v>0</v>
      </c>
      <c r="GH20" s="2">
        <f>((IF((178='V06 Calend 01'!C20),('V06 Calend 01'!F20+'V06 Calend 01'!G20),0)+IF(AND(('V06 Calend 01'!E20&gt;0),(178&gt;'V06 Calend 01'!C20),(178&lt;'V06 Calend 01'!D20),(MOD((178-'V06 Calend 01'!C20),6)=0),(((178-'V06 Calend 01'!C20)/6)&lt;='V06 Calend 01'!E20)),IF((178=('V06 Calend 01'!C20+(6*'V06 Calend 01'!E20))),('V06 Calend 01'!H20-('V06 Calend 01'!I20*('V06 Calend 01'!E20-1))),'V06 Calend 01'!I20),0))+IF((178='V06 Calend 01'!D20),'V06 Calend 01'!J20,0))</f>
        <v>0</v>
      </c>
      <c r="GI20" s="2">
        <f>((IF((179='V06 Calend 01'!C20),('V06 Calend 01'!F20+'V06 Calend 01'!G20),0)+IF(AND(('V06 Calend 01'!E20&gt;0),(179&gt;'V06 Calend 01'!C20),(179&lt;'V06 Calend 01'!D20),(MOD((179-'V06 Calend 01'!C20),6)=0),(((179-'V06 Calend 01'!C20)/6)&lt;='V06 Calend 01'!E20)),IF((179=('V06 Calend 01'!C20+(6*'V06 Calend 01'!E20))),('V06 Calend 01'!H20-('V06 Calend 01'!I20*('V06 Calend 01'!E20-1))),'V06 Calend 01'!I20),0))+IF((179='V06 Calend 01'!D20),'V06 Calend 01'!J20,0))</f>
        <v>0</v>
      </c>
      <c r="GJ20" s="2">
        <f>((IF((180='V06 Calend 01'!C20),('V06 Calend 01'!F20+'V06 Calend 01'!G20),0)+IF(AND(('V06 Calend 01'!E20&gt;0),(180&gt;'V06 Calend 01'!C20),(180&lt;'V06 Calend 01'!D20),(MOD((180-'V06 Calend 01'!C20),6)=0),(((180-'V06 Calend 01'!C20)/6)&lt;='V06 Calend 01'!E20)),IF((180=('V06 Calend 01'!C20+(6*'V06 Calend 01'!E20))),('V06 Calend 01'!H20-('V06 Calend 01'!I20*('V06 Calend 01'!E20-1))),'V06 Calend 01'!I20),0))+IF((180='V06 Calend 01'!D20),'V06 Calend 01'!J20,0))</f>
        <v>0</v>
      </c>
    </row>
    <row r="21" spans="1:192">
      <c r="A21" s="3" t="str">
        <f>'V06 Unidades'!$A$21</f>
        <v>307</v>
      </c>
      <c r="B21" s="2">
        <f>'V06 Unidades'!$H$21</f>
        <v>258060</v>
      </c>
      <c r="C21" s="4">
        <f>('V06 Unidades'!$I$21+'V06 Controlos'!$B$37)</f>
        <v>10</v>
      </c>
      <c r="D21" s="4">
        <f>IF(('V06 Controlos'!$B$38&gt;0),MAX(('V06 Unidades'!$L$21+'V06 Controlos'!$B$37),(30+'V06 Controlos'!$B$38)),('V06 Unidades'!$L$21+'V06 Controlos'!$B$37))</f>
        <v>29</v>
      </c>
      <c r="E21" s="4">
        <f>MAX(0,INT(((('V06 Calend 01'!D21-'V06 Calend 01'!C21)-1)/6)))</f>
        <v>3</v>
      </c>
      <c r="F21" s="2">
        <f>ROUND(('V06 Calend 01'!B21*0.05),2)</f>
        <v>12903.0</v>
      </c>
      <c r="G21" s="2">
        <f>ROUND(('V06 Calend 01'!B21*0.2),2)</f>
        <v>51612.0</v>
      </c>
      <c r="H21" s="2">
        <f>ROUND(('V06 Calend 01'!B21*0.55),2)</f>
        <v>141933.0</v>
      </c>
      <c r="I21" s="2">
        <f>ROUND(('V06 Calend 01'!H21/MAX(1,'V06 Calend 01'!E21)),2)</f>
        <v>47311.0</v>
      </c>
      <c r="J21" s="2">
        <f>((('V06 Calend 01'!B21-'V06 Calend 01'!F21)-'V06 Calend 01'!G21)-'V06 Calend 01'!H21)</f>
        <v>51612.0</v>
      </c>
      <c r="K21" s="2">
        <f>('V06 Calend 01'!B21*0.025)</f>
        <v>6451.5</v>
      </c>
      <c r="L21" t="s">
        <v>378</v>
      </c>
      <c r="M21" s="2">
        <f>((IF((1='V06 Calend 01'!C21),('V06 Calend 01'!F21+'V06 Calend 01'!G21),0)+IF(AND(('V06 Calend 01'!E21&gt;0),(1&gt;'V06 Calend 01'!C21),(1&lt;'V06 Calend 01'!D21),(MOD((1-'V06 Calend 01'!C21),6)=0),(((1-'V06 Calend 01'!C21)/6)&lt;='V06 Calend 01'!E21)),IF((1=('V06 Calend 01'!C21+(6*'V06 Calend 01'!E21))),('V06 Calend 01'!H21-('V06 Calend 01'!I21*('V06 Calend 01'!E21-1))),'V06 Calend 01'!I21),0))+IF((1='V06 Calend 01'!D21),'V06 Calend 01'!J21,0))</f>
        <v>0</v>
      </c>
      <c r="N21" s="2">
        <f>((IF((2='V06 Calend 01'!C21),('V06 Calend 01'!F21+'V06 Calend 01'!G21),0)+IF(AND(('V06 Calend 01'!E21&gt;0),(2&gt;'V06 Calend 01'!C21),(2&lt;'V06 Calend 01'!D21),(MOD((2-'V06 Calend 01'!C21),6)=0),(((2-'V06 Calend 01'!C21)/6)&lt;='V06 Calend 01'!E21)),IF((2=('V06 Calend 01'!C21+(6*'V06 Calend 01'!E21))),('V06 Calend 01'!H21-('V06 Calend 01'!I21*('V06 Calend 01'!E21-1))),'V06 Calend 01'!I21),0))+IF((2='V06 Calend 01'!D21),'V06 Calend 01'!J21,0))</f>
        <v>0</v>
      </c>
      <c r="O21" s="2">
        <f>((IF((3='V06 Calend 01'!C21),('V06 Calend 01'!F21+'V06 Calend 01'!G21),0)+IF(AND(('V06 Calend 01'!E21&gt;0),(3&gt;'V06 Calend 01'!C21),(3&lt;'V06 Calend 01'!D21),(MOD((3-'V06 Calend 01'!C21),6)=0),(((3-'V06 Calend 01'!C21)/6)&lt;='V06 Calend 01'!E21)),IF((3=('V06 Calend 01'!C21+(6*'V06 Calend 01'!E21))),('V06 Calend 01'!H21-('V06 Calend 01'!I21*('V06 Calend 01'!E21-1))),'V06 Calend 01'!I21),0))+IF((3='V06 Calend 01'!D21),'V06 Calend 01'!J21,0))</f>
        <v>0</v>
      </c>
      <c r="P21" s="2">
        <f>((IF((4='V06 Calend 01'!C21),('V06 Calend 01'!F21+'V06 Calend 01'!G21),0)+IF(AND(('V06 Calend 01'!E21&gt;0),(4&gt;'V06 Calend 01'!C21),(4&lt;'V06 Calend 01'!D21),(MOD((4-'V06 Calend 01'!C21),6)=0),(((4-'V06 Calend 01'!C21)/6)&lt;='V06 Calend 01'!E21)),IF((4=('V06 Calend 01'!C21+(6*'V06 Calend 01'!E21))),('V06 Calend 01'!H21-('V06 Calend 01'!I21*('V06 Calend 01'!E21-1))),'V06 Calend 01'!I21),0))+IF((4='V06 Calend 01'!D21),'V06 Calend 01'!J21,0))</f>
        <v>0</v>
      </c>
      <c r="Q21" s="2">
        <f>((IF((5='V06 Calend 01'!C21),('V06 Calend 01'!F21+'V06 Calend 01'!G21),0)+IF(AND(('V06 Calend 01'!E21&gt;0),(5&gt;'V06 Calend 01'!C21),(5&lt;'V06 Calend 01'!D21),(MOD((5-'V06 Calend 01'!C21),6)=0),(((5-'V06 Calend 01'!C21)/6)&lt;='V06 Calend 01'!E21)),IF((5=('V06 Calend 01'!C21+(6*'V06 Calend 01'!E21))),('V06 Calend 01'!H21-('V06 Calend 01'!I21*('V06 Calend 01'!E21-1))),'V06 Calend 01'!I21),0))+IF((5='V06 Calend 01'!D21),'V06 Calend 01'!J21,0))</f>
        <v>0</v>
      </c>
      <c r="R21" s="2">
        <f>((IF((6='V06 Calend 01'!C21),('V06 Calend 01'!F21+'V06 Calend 01'!G21),0)+IF(AND(('V06 Calend 01'!E21&gt;0),(6&gt;'V06 Calend 01'!C21),(6&lt;'V06 Calend 01'!D21),(MOD((6-'V06 Calend 01'!C21),6)=0),(((6-'V06 Calend 01'!C21)/6)&lt;='V06 Calend 01'!E21)),IF((6=('V06 Calend 01'!C21+(6*'V06 Calend 01'!E21))),('V06 Calend 01'!H21-('V06 Calend 01'!I21*('V06 Calend 01'!E21-1))),'V06 Calend 01'!I21),0))+IF((6='V06 Calend 01'!D21),'V06 Calend 01'!J21,0))</f>
        <v>0</v>
      </c>
      <c r="S21" s="2">
        <f>((IF((7='V06 Calend 01'!C21),('V06 Calend 01'!F21+'V06 Calend 01'!G21),0)+IF(AND(('V06 Calend 01'!E21&gt;0),(7&gt;'V06 Calend 01'!C21),(7&lt;'V06 Calend 01'!D21),(MOD((7-'V06 Calend 01'!C21),6)=0),(((7-'V06 Calend 01'!C21)/6)&lt;='V06 Calend 01'!E21)),IF((7=('V06 Calend 01'!C21+(6*'V06 Calend 01'!E21))),('V06 Calend 01'!H21-('V06 Calend 01'!I21*('V06 Calend 01'!E21-1))),'V06 Calend 01'!I21),0))+IF((7='V06 Calend 01'!D21),'V06 Calend 01'!J21,0))</f>
        <v>0</v>
      </c>
      <c r="T21" s="2">
        <f>((IF((8='V06 Calend 01'!C21),('V06 Calend 01'!F21+'V06 Calend 01'!G21),0)+IF(AND(('V06 Calend 01'!E21&gt;0),(8&gt;'V06 Calend 01'!C21),(8&lt;'V06 Calend 01'!D21),(MOD((8-'V06 Calend 01'!C21),6)=0),(((8-'V06 Calend 01'!C21)/6)&lt;='V06 Calend 01'!E21)),IF((8=('V06 Calend 01'!C21+(6*'V06 Calend 01'!E21))),('V06 Calend 01'!H21-('V06 Calend 01'!I21*('V06 Calend 01'!E21-1))),'V06 Calend 01'!I21),0))+IF((8='V06 Calend 01'!D21),'V06 Calend 01'!J21,0))</f>
        <v>0</v>
      </c>
      <c r="U21" s="2">
        <f>((IF((9='V06 Calend 01'!C21),('V06 Calend 01'!F21+'V06 Calend 01'!G21),0)+IF(AND(('V06 Calend 01'!E21&gt;0),(9&gt;'V06 Calend 01'!C21),(9&lt;'V06 Calend 01'!D21),(MOD((9-'V06 Calend 01'!C21),6)=0),(((9-'V06 Calend 01'!C21)/6)&lt;='V06 Calend 01'!E21)),IF((9=('V06 Calend 01'!C21+(6*'V06 Calend 01'!E21))),('V06 Calend 01'!H21-('V06 Calend 01'!I21*('V06 Calend 01'!E21-1))),'V06 Calend 01'!I21),0))+IF((9='V06 Calend 01'!D21),'V06 Calend 01'!J21,0))</f>
        <v>0</v>
      </c>
      <c r="V21" s="2">
        <f>((IF((10='V06 Calend 01'!C21),('V06 Calend 01'!F21+'V06 Calend 01'!G21),0)+IF(AND(('V06 Calend 01'!E21&gt;0),(10&gt;'V06 Calend 01'!C21),(10&lt;'V06 Calend 01'!D21),(MOD((10-'V06 Calend 01'!C21),6)=0),(((10-'V06 Calend 01'!C21)/6)&lt;='V06 Calend 01'!E21)),IF((10=('V06 Calend 01'!C21+(6*'V06 Calend 01'!E21))),('V06 Calend 01'!H21-('V06 Calend 01'!I21*('V06 Calend 01'!E21-1))),'V06 Calend 01'!I21),0))+IF((10='V06 Calend 01'!D21),'V06 Calend 01'!J21,0))</f>
        <v>64515.0</v>
      </c>
      <c r="W21" s="2">
        <f>((IF((11='V06 Calend 01'!C21),('V06 Calend 01'!F21+'V06 Calend 01'!G21),0)+IF(AND(('V06 Calend 01'!E21&gt;0),(11&gt;'V06 Calend 01'!C21),(11&lt;'V06 Calend 01'!D21),(MOD((11-'V06 Calend 01'!C21),6)=0),(((11-'V06 Calend 01'!C21)/6)&lt;='V06 Calend 01'!E21)),IF((11=('V06 Calend 01'!C21+(6*'V06 Calend 01'!E21))),('V06 Calend 01'!H21-('V06 Calend 01'!I21*('V06 Calend 01'!E21-1))),'V06 Calend 01'!I21),0))+IF((11='V06 Calend 01'!D21),'V06 Calend 01'!J21,0))</f>
        <v>0</v>
      </c>
      <c r="X21" s="2">
        <f>((IF((12='V06 Calend 01'!C21),('V06 Calend 01'!F21+'V06 Calend 01'!G21),0)+IF(AND(('V06 Calend 01'!E21&gt;0),(12&gt;'V06 Calend 01'!C21),(12&lt;'V06 Calend 01'!D21),(MOD((12-'V06 Calend 01'!C21),6)=0),(((12-'V06 Calend 01'!C21)/6)&lt;='V06 Calend 01'!E21)),IF((12=('V06 Calend 01'!C21+(6*'V06 Calend 01'!E21))),('V06 Calend 01'!H21-('V06 Calend 01'!I21*('V06 Calend 01'!E21-1))),'V06 Calend 01'!I21),0))+IF((12='V06 Calend 01'!D21),'V06 Calend 01'!J21,0))</f>
        <v>0</v>
      </c>
      <c r="Y21" s="2">
        <f>((IF((13='V06 Calend 01'!C21),('V06 Calend 01'!F21+'V06 Calend 01'!G21),0)+IF(AND(('V06 Calend 01'!E21&gt;0),(13&gt;'V06 Calend 01'!C21),(13&lt;'V06 Calend 01'!D21),(MOD((13-'V06 Calend 01'!C21),6)=0),(((13-'V06 Calend 01'!C21)/6)&lt;='V06 Calend 01'!E21)),IF((13=('V06 Calend 01'!C21+(6*'V06 Calend 01'!E21))),('V06 Calend 01'!H21-('V06 Calend 01'!I21*('V06 Calend 01'!E21-1))),'V06 Calend 01'!I21),0))+IF((13='V06 Calend 01'!D21),'V06 Calend 01'!J21,0))</f>
        <v>0</v>
      </c>
      <c r="Z21" s="2">
        <f>((IF((14='V06 Calend 01'!C21),('V06 Calend 01'!F21+'V06 Calend 01'!G21),0)+IF(AND(('V06 Calend 01'!E21&gt;0),(14&gt;'V06 Calend 01'!C21),(14&lt;'V06 Calend 01'!D21),(MOD((14-'V06 Calend 01'!C21),6)=0),(((14-'V06 Calend 01'!C21)/6)&lt;='V06 Calend 01'!E21)),IF((14=('V06 Calend 01'!C21+(6*'V06 Calend 01'!E21))),('V06 Calend 01'!H21-('V06 Calend 01'!I21*('V06 Calend 01'!E21-1))),'V06 Calend 01'!I21),0))+IF((14='V06 Calend 01'!D21),'V06 Calend 01'!J21,0))</f>
        <v>0</v>
      </c>
      <c r="AA21" s="2">
        <f>((IF((15='V06 Calend 01'!C21),('V06 Calend 01'!F21+'V06 Calend 01'!G21),0)+IF(AND(('V06 Calend 01'!E21&gt;0),(15&gt;'V06 Calend 01'!C21),(15&lt;'V06 Calend 01'!D21),(MOD((15-'V06 Calend 01'!C21),6)=0),(((15-'V06 Calend 01'!C21)/6)&lt;='V06 Calend 01'!E21)),IF((15=('V06 Calend 01'!C21+(6*'V06 Calend 01'!E21))),('V06 Calend 01'!H21-('V06 Calend 01'!I21*('V06 Calend 01'!E21-1))),'V06 Calend 01'!I21),0))+IF((15='V06 Calend 01'!D21),'V06 Calend 01'!J21,0))</f>
        <v>0</v>
      </c>
      <c r="AB21" s="2">
        <f>((IF((16='V06 Calend 01'!C21),('V06 Calend 01'!F21+'V06 Calend 01'!G21),0)+IF(AND(('V06 Calend 01'!E21&gt;0),(16&gt;'V06 Calend 01'!C21),(16&lt;'V06 Calend 01'!D21),(MOD((16-'V06 Calend 01'!C21),6)=0),(((16-'V06 Calend 01'!C21)/6)&lt;='V06 Calend 01'!E21)),IF((16=('V06 Calend 01'!C21+(6*'V06 Calend 01'!E21))),('V06 Calend 01'!H21-('V06 Calend 01'!I21*('V06 Calend 01'!E21-1))),'V06 Calend 01'!I21),0))+IF((16='V06 Calend 01'!D21),'V06 Calend 01'!J21,0))</f>
        <v>47311.0</v>
      </c>
      <c r="AC21" s="2">
        <f>((IF((17='V06 Calend 01'!C21),('V06 Calend 01'!F21+'V06 Calend 01'!G21),0)+IF(AND(('V06 Calend 01'!E21&gt;0),(17&gt;'V06 Calend 01'!C21),(17&lt;'V06 Calend 01'!D21),(MOD((17-'V06 Calend 01'!C21),6)=0),(((17-'V06 Calend 01'!C21)/6)&lt;='V06 Calend 01'!E21)),IF((17=('V06 Calend 01'!C21+(6*'V06 Calend 01'!E21))),('V06 Calend 01'!H21-('V06 Calend 01'!I21*('V06 Calend 01'!E21-1))),'V06 Calend 01'!I21),0))+IF((17='V06 Calend 01'!D21),'V06 Calend 01'!J21,0))</f>
        <v>0</v>
      </c>
      <c r="AD21" s="2">
        <f>((IF((18='V06 Calend 01'!C21),('V06 Calend 01'!F21+'V06 Calend 01'!G21),0)+IF(AND(('V06 Calend 01'!E21&gt;0),(18&gt;'V06 Calend 01'!C21),(18&lt;'V06 Calend 01'!D21),(MOD((18-'V06 Calend 01'!C21),6)=0),(((18-'V06 Calend 01'!C21)/6)&lt;='V06 Calend 01'!E21)),IF((18=('V06 Calend 01'!C21+(6*'V06 Calend 01'!E21))),('V06 Calend 01'!H21-('V06 Calend 01'!I21*('V06 Calend 01'!E21-1))),'V06 Calend 01'!I21),0))+IF((18='V06 Calend 01'!D21),'V06 Calend 01'!J21,0))</f>
        <v>0</v>
      </c>
      <c r="AE21" s="2">
        <f>((IF((19='V06 Calend 01'!C21),('V06 Calend 01'!F21+'V06 Calend 01'!G21),0)+IF(AND(('V06 Calend 01'!E21&gt;0),(19&gt;'V06 Calend 01'!C21),(19&lt;'V06 Calend 01'!D21),(MOD((19-'V06 Calend 01'!C21),6)=0),(((19-'V06 Calend 01'!C21)/6)&lt;='V06 Calend 01'!E21)),IF((19=('V06 Calend 01'!C21+(6*'V06 Calend 01'!E21))),('V06 Calend 01'!H21-('V06 Calend 01'!I21*('V06 Calend 01'!E21-1))),'V06 Calend 01'!I21),0))+IF((19='V06 Calend 01'!D21),'V06 Calend 01'!J21,0))</f>
        <v>0</v>
      </c>
      <c r="AF21" s="2">
        <f>((IF((20='V06 Calend 01'!C21),('V06 Calend 01'!F21+'V06 Calend 01'!G21),0)+IF(AND(('V06 Calend 01'!E21&gt;0),(20&gt;'V06 Calend 01'!C21),(20&lt;'V06 Calend 01'!D21),(MOD((20-'V06 Calend 01'!C21),6)=0),(((20-'V06 Calend 01'!C21)/6)&lt;='V06 Calend 01'!E21)),IF((20=('V06 Calend 01'!C21+(6*'V06 Calend 01'!E21))),('V06 Calend 01'!H21-('V06 Calend 01'!I21*('V06 Calend 01'!E21-1))),'V06 Calend 01'!I21),0))+IF((20='V06 Calend 01'!D21),'V06 Calend 01'!J21,0))</f>
        <v>0</v>
      </c>
      <c r="AG21" s="2">
        <f>((IF((21='V06 Calend 01'!C21),('V06 Calend 01'!F21+'V06 Calend 01'!G21),0)+IF(AND(('V06 Calend 01'!E21&gt;0),(21&gt;'V06 Calend 01'!C21),(21&lt;'V06 Calend 01'!D21),(MOD((21-'V06 Calend 01'!C21),6)=0),(((21-'V06 Calend 01'!C21)/6)&lt;='V06 Calend 01'!E21)),IF((21=('V06 Calend 01'!C21+(6*'V06 Calend 01'!E21))),('V06 Calend 01'!H21-('V06 Calend 01'!I21*('V06 Calend 01'!E21-1))),'V06 Calend 01'!I21),0))+IF((21='V06 Calend 01'!D21),'V06 Calend 01'!J21,0))</f>
        <v>0</v>
      </c>
      <c r="AH21" s="2">
        <f>((IF((22='V06 Calend 01'!C21),('V06 Calend 01'!F21+'V06 Calend 01'!G21),0)+IF(AND(('V06 Calend 01'!E21&gt;0),(22&gt;'V06 Calend 01'!C21),(22&lt;'V06 Calend 01'!D21),(MOD((22-'V06 Calend 01'!C21),6)=0),(((22-'V06 Calend 01'!C21)/6)&lt;='V06 Calend 01'!E21)),IF((22=('V06 Calend 01'!C21+(6*'V06 Calend 01'!E21))),('V06 Calend 01'!H21-('V06 Calend 01'!I21*('V06 Calend 01'!E21-1))),'V06 Calend 01'!I21),0))+IF((22='V06 Calend 01'!D21),'V06 Calend 01'!J21,0))</f>
        <v>47311.0</v>
      </c>
      <c r="AI21" s="2">
        <f>((IF((23='V06 Calend 01'!C21),('V06 Calend 01'!F21+'V06 Calend 01'!G21),0)+IF(AND(('V06 Calend 01'!E21&gt;0),(23&gt;'V06 Calend 01'!C21),(23&lt;'V06 Calend 01'!D21),(MOD((23-'V06 Calend 01'!C21),6)=0),(((23-'V06 Calend 01'!C21)/6)&lt;='V06 Calend 01'!E21)),IF((23=('V06 Calend 01'!C21+(6*'V06 Calend 01'!E21))),('V06 Calend 01'!H21-('V06 Calend 01'!I21*('V06 Calend 01'!E21-1))),'V06 Calend 01'!I21),0))+IF((23='V06 Calend 01'!D21),'V06 Calend 01'!J21,0))</f>
        <v>0</v>
      </c>
      <c r="AJ21" s="2">
        <f>((IF((24='V06 Calend 01'!C21),('V06 Calend 01'!F21+'V06 Calend 01'!G21),0)+IF(AND(('V06 Calend 01'!E21&gt;0),(24&gt;'V06 Calend 01'!C21),(24&lt;'V06 Calend 01'!D21),(MOD((24-'V06 Calend 01'!C21),6)=0),(((24-'V06 Calend 01'!C21)/6)&lt;='V06 Calend 01'!E21)),IF((24=('V06 Calend 01'!C21+(6*'V06 Calend 01'!E21))),('V06 Calend 01'!H21-('V06 Calend 01'!I21*('V06 Calend 01'!E21-1))),'V06 Calend 01'!I21),0))+IF((24='V06 Calend 01'!D21),'V06 Calend 01'!J21,0))</f>
        <v>0</v>
      </c>
      <c r="AK21" s="2">
        <f>((IF((25='V06 Calend 01'!C21),('V06 Calend 01'!F21+'V06 Calend 01'!G21),0)+IF(AND(('V06 Calend 01'!E21&gt;0),(25&gt;'V06 Calend 01'!C21),(25&lt;'V06 Calend 01'!D21),(MOD((25-'V06 Calend 01'!C21),6)=0),(((25-'V06 Calend 01'!C21)/6)&lt;='V06 Calend 01'!E21)),IF((25=('V06 Calend 01'!C21+(6*'V06 Calend 01'!E21))),('V06 Calend 01'!H21-('V06 Calend 01'!I21*('V06 Calend 01'!E21-1))),'V06 Calend 01'!I21),0))+IF((25='V06 Calend 01'!D21),'V06 Calend 01'!J21,0))</f>
        <v>0</v>
      </c>
      <c r="AL21" s="2">
        <f>((IF((26='V06 Calend 01'!C21),('V06 Calend 01'!F21+'V06 Calend 01'!G21),0)+IF(AND(('V06 Calend 01'!E21&gt;0),(26&gt;'V06 Calend 01'!C21),(26&lt;'V06 Calend 01'!D21),(MOD((26-'V06 Calend 01'!C21),6)=0),(((26-'V06 Calend 01'!C21)/6)&lt;='V06 Calend 01'!E21)),IF((26=('V06 Calend 01'!C21+(6*'V06 Calend 01'!E21))),('V06 Calend 01'!H21-('V06 Calend 01'!I21*('V06 Calend 01'!E21-1))),'V06 Calend 01'!I21),0))+IF((26='V06 Calend 01'!D21),'V06 Calend 01'!J21,0))</f>
        <v>0</v>
      </c>
      <c r="AM21" s="2">
        <f>((IF((27='V06 Calend 01'!C21),('V06 Calend 01'!F21+'V06 Calend 01'!G21),0)+IF(AND(('V06 Calend 01'!E21&gt;0),(27&gt;'V06 Calend 01'!C21),(27&lt;'V06 Calend 01'!D21),(MOD((27-'V06 Calend 01'!C21),6)=0),(((27-'V06 Calend 01'!C21)/6)&lt;='V06 Calend 01'!E21)),IF((27=('V06 Calend 01'!C21+(6*'V06 Calend 01'!E21))),('V06 Calend 01'!H21-('V06 Calend 01'!I21*('V06 Calend 01'!E21-1))),'V06 Calend 01'!I21),0))+IF((27='V06 Calend 01'!D21),'V06 Calend 01'!J21,0))</f>
        <v>0</v>
      </c>
      <c r="AN21" s="2">
        <f>((IF((28='V06 Calend 01'!C21),('V06 Calend 01'!F21+'V06 Calend 01'!G21),0)+IF(AND(('V06 Calend 01'!E21&gt;0),(28&gt;'V06 Calend 01'!C21),(28&lt;'V06 Calend 01'!D21),(MOD((28-'V06 Calend 01'!C21),6)=0),(((28-'V06 Calend 01'!C21)/6)&lt;='V06 Calend 01'!E21)),IF((28=('V06 Calend 01'!C21+(6*'V06 Calend 01'!E21))),('V06 Calend 01'!H21-('V06 Calend 01'!I21*('V06 Calend 01'!E21-1))),'V06 Calend 01'!I21),0))+IF((28='V06 Calend 01'!D21),'V06 Calend 01'!J21,0))</f>
        <v>47311.0</v>
      </c>
      <c r="AO21" s="2">
        <f>((IF((29='V06 Calend 01'!C21),('V06 Calend 01'!F21+'V06 Calend 01'!G21),0)+IF(AND(('V06 Calend 01'!E21&gt;0),(29&gt;'V06 Calend 01'!C21),(29&lt;'V06 Calend 01'!D21),(MOD((29-'V06 Calend 01'!C21),6)=0),(((29-'V06 Calend 01'!C21)/6)&lt;='V06 Calend 01'!E21)),IF((29=('V06 Calend 01'!C21+(6*'V06 Calend 01'!E21))),('V06 Calend 01'!H21-('V06 Calend 01'!I21*('V06 Calend 01'!E21-1))),'V06 Calend 01'!I21),0))+IF((29='V06 Calend 01'!D21),'V06 Calend 01'!J21,0))</f>
        <v>51612.0</v>
      </c>
      <c r="AP21" s="2">
        <f>((IF((30='V06 Calend 01'!C21),('V06 Calend 01'!F21+'V06 Calend 01'!G21),0)+IF(AND(('V06 Calend 01'!E21&gt;0),(30&gt;'V06 Calend 01'!C21),(30&lt;'V06 Calend 01'!D21),(MOD((30-'V06 Calend 01'!C21),6)=0),(((30-'V06 Calend 01'!C21)/6)&lt;='V06 Calend 01'!E21)),IF((30=('V06 Calend 01'!C21+(6*'V06 Calend 01'!E21))),('V06 Calend 01'!H21-('V06 Calend 01'!I21*('V06 Calend 01'!E21-1))),'V06 Calend 01'!I21),0))+IF((30='V06 Calend 01'!D21),'V06 Calend 01'!J21,0))</f>
        <v>0</v>
      </c>
      <c r="AQ21" s="2">
        <f>((IF((31='V06 Calend 01'!C21),('V06 Calend 01'!F21+'V06 Calend 01'!G21),0)+IF(AND(('V06 Calend 01'!E21&gt;0),(31&gt;'V06 Calend 01'!C21),(31&lt;'V06 Calend 01'!D21),(MOD((31-'V06 Calend 01'!C21),6)=0),(((31-'V06 Calend 01'!C21)/6)&lt;='V06 Calend 01'!E21)),IF((31=('V06 Calend 01'!C21+(6*'V06 Calend 01'!E21))),('V06 Calend 01'!H21-('V06 Calend 01'!I21*('V06 Calend 01'!E21-1))),'V06 Calend 01'!I21),0))+IF((31='V06 Calend 01'!D21),'V06 Calend 01'!J21,0))</f>
        <v>0</v>
      </c>
      <c r="AR21" s="2">
        <f>((IF((32='V06 Calend 01'!C21),('V06 Calend 01'!F21+'V06 Calend 01'!G21),0)+IF(AND(('V06 Calend 01'!E21&gt;0),(32&gt;'V06 Calend 01'!C21),(32&lt;'V06 Calend 01'!D21),(MOD((32-'V06 Calend 01'!C21),6)=0),(((32-'V06 Calend 01'!C21)/6)&lt;='V06 Calend 01'!E21)),IF((32=('V06 Calend 01'!C21+(6*'V06 Calend 01'!E21))),('V06 Calend 01'!H21-('V06 Calend 01'!I21*('V06 Calend 01'!E21-1))),'V06 Calend 01'!I21),0))+IF((32='V06 Calend 01'!D21),'V06 Calend 01'!J21,0))</f>
        <v>0</v>
      </c>
      <c r="AS21" s="2">
        <f>((IF((33='V06 Calend 01'!C21),('V06 Calend 01'!F21+'V06 Calend 01'!G21),0)+IF(AND(('V06 Calend 01'!E21&gt;0),(33&gt;'V06 Calend 01'!C21),(33&lt;'V06 Calend 01'!D21),(MOD((33-'V06 Calend 01'!C21),6)=0),(((33-'V06 Calend 01'!C21)/6)&lt;='V06 Calend 01'!E21)),IF((33=('V06 Calend 01'!C21+(6*'V06 Calend 01'!E21))),('V06 Calend 01'!H21-('V06 Calend 01'!I21*('V06 Calend 01'!E21-1))),'V06 Calend 01'!I21),0))+IF((33='V06 Calend 01'!D21),'V06 Calend 01'!J21,0))</f>
        <v>0</v>
      </c>
      <c r="AT21" s="2">
        <f>((IF((34='V06 Calend 01'!C21),('V06 Calend 01'!F21+'V06 Calend 01'!G21),0)+IF(AND(('V06 Calend 01'!E21&gt;0),(34&gt;'V06 Calend 01'!C21),(34&lt;'V06 Calend 01'!D21),(MOD((34-'V06 Calend 01'!C21),6)=0),(((34-'V06 Calend 01'!C21)/6)&lt;='V06 Calend 01'!E21)),IF((34=('V06 Calend 01'!C21+(6*'V06 Calend 01'!E21))),('V06 Calend 01'!H21-('V06 Calend 01'!I21*('V06 Calend 01'!E21-1))),'V06 Calend 01'!I21),0))+IF((34='V06 Calend 01'!D21),'V06 Calend 01'!J21,0))</f>
        <v>0</v>
      </c>
      <c r="AU21" s="2">
        <f>((IF((35='V06 Calend 01'!C21),('V06 Calend 01'!F21+'V06 Calend 01'!G21),0)+IF(AND(('V06 Calend 01'!E21&gt;0),(35&gt;'V06 Calend 01'!C21),(35&lt;'V06 Calend 01'!D21),(MOD((35-'V06 Calend 01'!C21),6)=0),(((35-'V06 Calend 01'!C21)/6)&lt;='V06 Calend 01'!E21)),IF((35=('V06 Calend 01'!C21+(6*'V06 Calend 01'!E21))),('V06 Calend 01'!H21-('V06 Calend 01'!I21*('V06 Calend 01'!E21-1))),'V06 Calend 01'!I21),0))+IF((35='V06 Calend 01'!D21),'V06 Calend 01'!J21,0))</f>
        <v>0</v>
      </c>
      <c r="AV21" s="2">
        <f>((IF((36='V06 Calend 01'!C21),('V06 Calend 01'!F21+'V06 Calend 01'!G21),0)+IF(AND(('V06 Calend 01'!E21&gt;0),(36&gt;'V06 Calend 01'!C21),(36&lt;'V06 Calend 01'!D21),(MOD((36-'V06 Calend 01'!C21),6)=0),(((36-'V06 Calend 01'!C21)/6)&lt;='V06 Calend 01'!E21)),IF((36=('V06 Calend 01'!C21+(6*'V06 Calend 01'!E21))),('V06 Calend 01'!H21-('V06 Calend 01'!I21*('V06 Calend 01'!E21-1))),'V06 Calend 01'!I21),0))+IF((36='V06 Calend 01'!D21),'V06 Calend 01'!J21,0))</f>
        <v>0</v>
      </c>
      <c r="AW21" s="2">
        <f>((IF((37='V06 Calend 01'!C21),('V06 Calend 01'!F21+'V06 Calend 01'!G21),0)+IF(AND(('V06 Calend 01'!E21&gt;0),(37&gt;'V06 Calend 01'!C21),(37&lt;'V06 Calend 01'!D21),(MOD((37-'V06 Calend 01'!C21),6)=0),(((37-'V06 Calend 01'!C21)/6)&lt;='V06 Calend 01'!E21)),IF((37=('V06 Calend 01'!C21+(6*'V06 Calend 01'!E21))),('V06 Calend 01'!H21-('V06 Calend 01'!I21*('V06 Calend 01'!E21-1))),'V06 Calend 01'!I21),0))+IF((37='V06 Calend 01'!D21),'V06 Calend 01'!J21,0))</f>
        <v>0</v>
      </c>
      <c r="AX21" s="2">
        <f>((IF((38='V06 Calend 01'!C21),('V06 Calend 01'!F21+'V06 Calend 01'!G21),0)+IF(AND(('V06 Calend 01'!E21&gt;0),(38&gt;'V06 Calend 01'!C21),(38&lt;'V06 Calend 01'!D21),(MOD((38-'V06 Calend 01'!C21),6)=0),(((38-'V06 Calend 01'!C21)/6)&lt;='V06 Calend 01'!E21)),IF((38=('V06 Calend 01'!C21+(6*'V06 Calend 01'!E21))),('V06 Calend 01'!H21-('V06 Calend 01'!I21*('V06 Calend 01'!E21-1))),'V06 Calend 01'!I21),0))+IF((38='V06 Calend 01'!D21),'V06 Calend 01'!J21,0))</f>
        <v>0</v>
      </c>
      <c r="AY21" s="2">
        <f>((IF((39='V06 Calend 01'!C21),('V06 Calend 01'!F21+'V06 Calend 01'!G21),0)+IF(AND(('V06 Calend 01'!E21&gt;0),(39&gt;'V06 Calend 01'!C21),(39&lt;'V06 Calend 01'!D21),(MOD((39-'V06 Calend 01'!C21),6)=0),(((39-'V06 Calend 01'!C21)/6)&lt;='V06 Calend 01'!E21)),IF((39=('V06 Calend 01'!C21+(6*'V06 Calend 01'!E21))),('V06 Calend 01'!H21-('V06 Calend 01'!I21*('V06 Calend 01'!E21-1))),'V06 Calend 01'!I21),0))+IF((39='V06 Calend 01'!D21),'V06 Calend 01'!J21,0))</f>
        <v>0</v>
      </c>
      <c r="AZ21" s="2">
        <f>((IF((40='V06 Calend 01'!C21),('V06 Calend 01'!F21+'V06 Calend 01'!G21),0)+IF(AND(('V06 Calend 01'!E21&gt;0),(40&gt;'V06 Calend 01'!C21),(40&lt;'V06 Calend 01'!D21),(MOD((40-'V06 Calend 01'!C21),6)=0),(((40-'V06 Calend 01'!C21)/6)&lt;='V06 Calend 01'!E21)),IF((40=('V06 Calend 01'!C21+(6*'V06 Calend 01'!E21))),('V06 Calend 01'!H21-('V06 Calend 01'!I21*('V06 Calend 01'!E21-1))),'V06 Calend 01'!I21),0))+IF((40='V06 Calend 01'!D21),'V06 Calend 01'!J21,0))</f>
        <v>0</v>
      </c>
      <c r="BA21" s="2">
        <f>((IF((41='V06 Calend 01'!C21),('V06 Calend 01'!F21+'V06 Calend 01'!G21),0)+IF(AND(('V06 Calend 01'!E21&gt;0),(41&gt;'V06 Calend 01'!C21),(41&lt;'V06 Calend 01'!D21),(MOD((41-'V06 Calend 01'!C21),6)=0),(((41-'V06 Calend 01'!C21)/6)&lt;='V06 Calend 01'!E21)),IF((41=('V06 Calend 01'!C21+(6*'V06 Calend 01'!E21))),('V06 Calend 01'!H21-('V06 Calend 01'!I21*('V06 Calend 01'!E21-1))),'V06 Calend 01'!I21),0))+IF((41='V06 Calend 01'!D21),'V06 Calend 01'!J21,0))</f>
        <v>0</v>
      </c>
      <c r="BB21" s="2">
        <f>((IF((42='V06 Calend 01'!C21),('V06 Calend 01'!F21+'V06 Calend 01'!G21),0)+IF(AND(('V06 Calend 01'!E21&gt;0),(42&gt;'V06 Calend 01'!C21),(42&lt;'V06 Calend 01'!D21),(MOD((42-'V06 Calend 01'!C21),6)=0),(((42-'V06 Calend 01'!C21)/6)&lt;='V06 Calend 01'!E21)),IF((42=('V06 Calend 01'!C21+(6*'V06 Calend 01'!E21))),('V06 Calend 01'!H21-('V06 Calend 01'!I21*('V06 Calend 01'!E21-1))),'V06 Calend 01'!I21),0))+IF((42='V06 Calend 01'!D21),'V06 Calend 01'!J21,0))</f>
        <v>0</v>
      </c>
      <c r="BC21" s="2">
        <f>((IF((43='V06 Calend 01'!C21),('V06 Calend 01'!F21+'V06 Calend 01'!G21),0)+IF(AND(('V06 Calend 01'!E21&gt;0),(43&gt;'V06 Calend 01'!C21),(43&lt;'V06 Calend 01'!D21),(MOD((43-'V06 Calend 01'!C21),6)=0),(((43-'V06 Calend 01'!C21)/6)&lt;='V06 Calend 01'!E21)),IF((43=('V06 Calend 01'!C21+(6*'V06 Calend 01'!E21))),('V06 Calend 01'!H21-('V06 Calend 01'!I21*('V06 Calend 01'!E21-1))),'V06 Calend 01'!I21),0))+IF((43='V06 Calend 01'!D21),'V06 Calend 01'!J21,0))</f>
        <v>0</v>
      </c>
      <c r="BD21" s="2">
        <f>((IF((44='V06 Calend 01'!C21),('V06 Calend 01'!F21+'V06 Calend 01'!G21),0)+IF(AND(('V06 Calend 01'!E21&gt;0),(44&gt;'V06 Calend 01'!C21),(44&lt;'V06 Calend 01'!D21),(MOD((44-'V06 Calend 01'!C21),6)=0),(((44-'V06 Calend 01'!C21)/6)&lt;='V06 Calend 01'!E21)),IF((44=('V06 Calend 01'!C21+(6*'V06 Calend 01'!E21))),('V06 Calend 01'!H21-('V06 Calend 01'!I21*('V06 Calend 01'!E21-1))),'V06 Calend 01'!I21),0))+IF((44='V06 Calend 01'!D21),'V06 Calend 01'!J21,0))</f>
        <v>0</v>
      </c>
      <c r="BE21" s="2">
        <f>((IF((45='V06 Calend 01'!C21),('V06 Calend 01'!F21+'V06 Calend 01'!G21),0)+IF(AND(('V06 Calend 01'!E21&gt;0),(45&gt;'V06 Calend 01'!C21),(45&lt;'V06 Calend 01'!D21),(MOD((45-'V06 Calend 01'!C21),6)=0),(((45-'V06 Calend 01'!C21)/6)&lt;='V06 Calend 01'!E21)),IF((45=('V06 Calend 01'!C21+(6*'V06 Calend 01'!E21))),('V06 Calend 01'!H21-('V06 Calend 01'!I21*('V06 Calend 01'!E21-1))),'V06 Calend 01'!I21),0))+IF((45='V06 Calend 01'!D21),'V06 Calend 01'!J21,0))</f>
        <v>0</v>
      </c>
      <c r="BF21" s="2">
        <f>((IF((46='V06 Calend 01'!C21),('V06 Calend 01'!F21+'V06 Calend 01'!G21),0)+IF(AND(('V06 Calend 01'!E21&gt;0),(46&gt;'V06 Calend 01'!C21),(46&lt;'V06 Calend 01'!D21),(MOD((46-'V06 Calend 01'!C21),6)=0),(((46-'V06 Calend 01'!C21)/6)&lt;='V06 Calend 01'!E21)),IF((46=('V06 Calend 01'!C21+(6*'V06 Calend 01'!E21))),('V06 Calend 01'!H21-('V06 Calend 01'!I21*('V06 Calend 01'!E21-1))),'V06 Calend 01'!I21),0))+IF((46='V06 Calend 01'!D21),'V06 Calend 01'!J21,0))</f>
        <v>0</v>
      </c>
      <c r="BG21" s="2">
        <f>((IF((47='V06 Calend 01'!C21),('V06 Calend 01'!F21+'V06 Calend 01'!G21),0)+IF(AND(('V06 Calend 01'!E21&gt;0),(47&gt;'V06 Calend 01'!C21),(47&lt;'V06 Calend 01'!D21),(MOD((47-'V06 Calend 01'!C21),6)=0),(((47-'V06 Calend 01'!C21)/6)&lt;='V06 Calend 01'!E21)),IF((47=('V06 Calend 01'!C21+(6*'V06 Calend 01'!E21))),('V06 Calend 01'!H21-('V06 Calend 01'!I21*('V06 Calend 01'!E21-1))),'V06 Calend 01'!I21),0))+IF((47='V06 Calend 01'!D21),'V06 Calend 01'!J21,0))</f>
        <v>0</v>
      </c>
      <c r="BH21" s="2">
        <f>((IF((48='V06 Calend 01'!C21),('V06 Calend 01'!F21+'V06 Calend 01'!G21),0)+IF(AND(('V06 Calend 01'!E21&gt;0),(48&gt;'V06 Calend 01'!C21),(48&lt;'V06 Calend 01'!D21),(MOD((48-'V06 Calend 01'!C21),6)=0),(((48-'V06 Calend 01'!C21)/6)&lt;='V06 Calend 01'!E21)),IF((48=('V06 Calend 01'!C21+(6*'V06 Calend 01'!E21))),('V06 Calend 01'!H21-('V06 Calend 01'!I21*('V06 Calend 01'!E21-1))),'V06 Calend 01'!I21),0))+IF((48='V06 Calend 01'!D21),'V06 Calend 01'!J21,0))</f>
        <v>0</v>
      </c>
      <c r="BI21" s="2">
        <f>((IF((49='V06 Calend 01'!C21),('V06 Calend 01'!F21+'V06 Calend 01'!G21),0)+IF(AND(('V06 Calend 01'!E21&gt;0),(49&gt;'V06 Calend 01'!C21),(49&lt;'V06 Calend 01'!D21),(MOD((49-'V06 Calend 01'!C21),6)=0),(((49-'V06 Calend 01'!C21)/6)&lt;='V06 Calend 01'!E21)),IF((49=('V06 Calend 01'!C21+(6*'V06 Calend 01'!E21))),('V06 Calend 01'!H21-('V06 Calend 01'!I21*('V06 Calend 01'!E21-1))),'V06 Calend 01'!I21),0))+IF((49='V06 Calend 01'!D21),'V06 Calend 01'!J21,0))</f>
        <v>0</v>
      </c>
      <c r="BJ21" s="2">
        <f>((IF((50='V06 Calend 01'!C21),('V06 Calend 01'!F21+'V06 Calend 01'!G21),0)+IF(AND(('V06 Calend 01'!E21&gt;0),(50&gt;'V06 Calend 01'!C21),(50&lt;'V06 Calend 01'!D21),(MOD((50-'V06 Calend 01'!C21),6)=0),(((50-'V06 Calend 01'!C21)/6)&lt;='V06 Calend 01'!E21)),IF((50=('V06 Calend 01'!C21+(6*'V06 Calend 01'!E21))),('V06 Calend 01'!H21-('V06 Calend 01'!I21*('V06 Calend 01'!E21-1))),'V06 Calend 01'!I21),0))+IF((50='V06 Calend 01'!D21),'V06 Calend 01'!J21,0))</f>
        <v>0</v>
      </c>
      <c r="BK21" s="2">
        <f>((IF((51='V06 Calend 01'!C21),('V06 Calend 01'!F21+'V06 Calend 01'!G21),0)+IF(AND(('V06 Calend 01'!E21&gt;0),(51&gt;'V06 Calend 01'!C21),(51&lt;'V06 Calend 01'!D21),(MOD((51-'V06 Calend 01'!C21),6)=0),(((51-'V06 Calend 01'!C21)/6)&lt;='V06 Calend 01'!E21)),IF((51=('V06 Calend 01'!C21+(6*'V06 Calend 01'!E21))),('V06 Calend 01'!H21-('V06 Calend 01'!I21*('V06 Calend 01'!E21-1))),'V06 Calend 01'!I21),0))+IF((51='V06 Calend 01'!D21),'V06 Calend 01'!J21,0))</f>
        <v>0</v>
      </c>
      <c r="BL21" s="2">
        <f>((IF((52='V06 Calend 01'!C21),('V06 Calend 01'!F21+'V06 Calend 01'!G21),0)+IF(AND(('V06 Calend 01'!E21&gt;0),(52&gt;'V06 Calend 01'!C21),(52&lt;'V06 Calend 01'!D21),(MOD((52-'V06 Calend 01'!C21),6)=0),(((52-'V06 Calend 01'!C21)/6)&lt;='V06 Calend 01'!E21)),IF((52=('V06 Calend 01'!C21+(6*'V06 Calend 01'!E21))),('V06 Calend 01'!H21-('V06 Calend 01'!I21*('V06 Calend 01'!E21-1))),'V06 Calend 01'!I21),0))+IF((52='V06 Calend 01'!D21),'V06 Calend 01'!J21,0))</f>
        <v>0</v>
      </c>
      <c r="BM21" s="2">
        <f>((IF((53='V06 Calend 01'!C21),('V06 Calend 01'!F21+'V06 Calend 01'!G21),0)+IF(AND(('V06 Calend 01'!E21&gt;0),(53&gt;'V06 Calend 01'!C21),(53&lt;'V06 Calend 01'!D21),(MOD((53-'V06 Calend 01'!C21),6)=0),(((53-'V06 Calend 01'!C21)/6)&lt;='V06 Calend 01'!E21)),IF((53=('V06 Calend 01'!C21+(6*'V06 Calend 01'!E21))),('V06 Calend 01'!H21-('V06 Calend 01'!I21*('V06 Calend 01'!E21-1))),'V06 Calend 01'!I21),0))+IF((53='V06 Calend 01'!D21),'V06 Calend 01'!J21,0))</f>
        <v>0</v>
      </c>
      <c r="BN21" s="2">
        <f>((IF((54='V06 Calend 01'!C21),('V06 Calend 01'!F21+'V06 Calend 01'!G21),0)+IF(AND(('V06 Calend 01'!E21&gt;0),(54&gt;'V06 Calend 01'!C21),(54&lt;'V06 Calend 01'!D21),(MOD((54-'V06 Calend 01'!C21),6)=0),(((54-'V06 Calend 01'!C21)/6)&lt;='V06 Calend 01'!E21)),IF((54=('V06 Calend 01'!C21+(6*'V06 Calend 01'!E21))),('V06 Calend 01'!H21-('V06 Calend 01'!I21*('V06 Calend 01'!E21-1))),'V06 Calend 01'!I21),0))+IF((54='V06 Calend 01'!D21),'V06 Calend 01'!J21,0))</f>
        <v>0</v>
      </c>
      <c r="BO21" s="2">
        <f>((IF((55='V06 Calend 01'!C21),('V06 Calend 01'!F21+'V06 Calend 01'!G21),0)+IF(AND(('V06 Calend 01'!E21&gt;0),(55&gt;'V06 Calend 01'!C21),(55&lt;'V06 Calend 01'!D21),(MOD((55-'V06 Calend 01'!C21),6)=0),(((55-'V06 Calend 01'!C21)/6)&lt;='V06 Calend 01'!E21)),IF((55=('V06 Calend 01'!C21+(6*'V06 Calend 01'!E21))),('V06 Calend 01'!H21-('V06 Calend 01'!I21*('V06 Calend 01'!E21-1))),'V06 Calend 01'!I21),0))+IF((55='V06 Calend 01'!D21),'V06 Calend 01'!J21,0))</f>
        <v>0</v>
      </c>
      <c r="BP21" s="2">
        <f>((IF((56='V06 Calend 01'!C21),('V06 Calend 01'!F21+'V06 Calend 01'!G21),0)+IF(AND(('V06 Calend 01'!E21&gt;0),(56&gt;'V06 Calend 01'!C21),(56&lt;'V06 Calend 01'!D21),(MOD((56-'V06 Calend 01'!C21),6)=0),(((56-'V06 Calend 01'!C21)/6)&lt;='V06 Calend 01'!E21)),IF((56=('V06 Calend 01'!C21+(6*'V06 Calend 01'!E21))),('V06 Calend 01'!H21-('V06 Calend 01'!I21*('V06 Calend 01'!E21-1))),'V06 Calend 01'!I21),0))+IF((56='V06 Calend 01'!D21),'V06 Calend 01'!J21,0))</f>
        <v>0</v>
      </c>
      <c r="BQ21" s="2">
        <f>((IF((57='V06 Calend 01'!C21),('V06 Calend 01'!F21+'V06 Calend 01'!G21),0)+IF(AND(('V06 Calend 01'!E21&gt;0),(57&gt;'V06 Calend 01'!C21),(57&lt;'V06 Calend 01'!D21),(MOD((57-'V06 Calend 01'!C21),6)=0),(((57-'V06 Calend 01'!C21)/6)&lt;='V06 Calend 01'!E21)),IF((57=('V06 Calend 01'!C21+(6*'V06 Calend 01'!E21))),('V06 Calend 01'!H21-('V06 Calend 01'!I21*('V06 Calend 01'!E21-1))),'V06 Calend 01'!I21),0))+IF((57='V06 Calend 01'!D21),'V06 Calend 01'!J21,0))</f>
        <v>0</v>
      </c>
      <c r="BR21" s="2">
        <f>((IF((58='V06 Calend 01'!C21),('V06 Calend 01'!F21+'V06 Calend 01'!G21),0)+IF(AND(('V06 Calend 01'!E21&gt;0),(58&gt;'V06 Calend 01'!C21),(58&lt;'V06 Calend 01'!D21),(MOD((58-'V06 Calend 01'!C21),6)=0),(((58-'V06 Calend 01'!C21)/6)&lt;='V06 Calend 01'!E21)),IF((58=('V06 Calend 01'!C21+(6*'V06 Calend 01'!E21))),('V06 Calend 01'!H21-('V06 Calend 01'!I21*('V06 Calend 01'!E21-1))),'V06 Calend 01'!I21),0))+IF((58='V06 Calend 01'!D21),'V06 Calend 01'!J21,0))</f>
        <v>0</v>
      </c>
      <c r="BS21" s="2">
        <f>((IF((59='V06 Calend 01'!C21),('V06 Calend 01'!F21+'V06 Calend 01'!G21),0)+IF(AND(('V06 Calend 01'!E21&gt;0),(59&gt;'V06 Calend 01'!C21),(59&lt;'V06 Calend 01'!D21),(MOD((59-'V06 Calend 01'!C21),6)=0),(((59-'V06 Calend 01'!C21)/6)&lt;='V06 Calend 01'!E21)),IF((59=('V06 Calend 01'!C21+(6*'V06 Calend 01'!E21))),('V06 Calend 01'!H21-('V06 Calend 01'!I21*('V06 Calend 01'!E21-1))),'V06 Calend 01'!I21),0))+IF((59='V06 Calend 01'!D21),'V06 Calend 01'!J21,0))</f>
        <v>0</v>
      </c>
      <c r="BT21" s="2">
        <f>((IF((60='V06 Calend 01'!C21),('V06 Calend 01'!F21+'V06 Calend 01'!G21),0)+IF(AND(('V06 Calend 01'!E21&gt;0),(60&gt;'V06 Calend 01'!C21),(60&lt;'V06 Calend 01'!D21),(MOD((60-'V06 Calend 01'!C21),6)=0),(((60-'V06 Calend 01'!C21)/6)&lt;='V06 Calend 01'!E21)),IF((60=('V06 Calend 01'!C21+(6*'V06 Calend 01'!E21))),('V06 Calend 01'!H21-('V06 Calend 01'!I21*('V06 Calend 01'!E21-1))),'V06 Calend 01'!I21),0))+IF((60='V06 Calend 01'!D21),'V06 Calend 01'!J21,0))</f>
        <v>0</v>
      </c>
      <c r="BU21" s="2">
        <f>((IF((61='V06 Calend 01'!C21),('V06 Calend 01'!F21+'V06 Calend 01'!G21),0)+IF(AND(('V06 Calend 01'!E21&gt;0),(61&gt;'V06 Calend 01'!C21),(61&lt;'V06 Calend 01'!D21),(MOD((61-'V06 Calend 01'!C21),6)=0),(((61-'V06 Calend 01'!C21)/6)&lt;='V06 Calend 01'!E21)),IF((61=('V06 Calend 01'!C21+(6*'V06 Calend 01'!E21))),('V06 Calend 01'!H21-('V06 Calend 01'!I21*('V06 Calend 01'!E21-1))),'V06 Calend 01'!I21),0))+IF((61='V06 Calend 01'!D21),'V06 Calend 01'!J21,0))</f>
        <v>0</v>
      </c>
      <c r="BV21" s="2">
        <f>((IF((62='V06 Calend 01'!C21),('V06 Calend 01'!F21+'V06 Calend 01'!G21),0)+IF(AND(('V06 Calend 01'!E21&gt;0),(62&gt;'V06 Calend 01'!C21),(62&lt;'V06 Calend 01'!D21),(MOD((62-'V06 Calend 01'!C21),6)=0),(((62-'V06 Calend 01'!C21)/6)&lt;='V06 Calend 01'!E21)),IF((62=('V06 Calend 01'!C21+(6*'V06 Calend 01'!E21))),('V06 Calend 01'!H21-('V06 Calend 01'!I21*('V06 Calend 01'!E21-1))),'V06 Calend 01'!I21),0))+IF((62='V06 Calend 01'!D21),'V06 Calend 01'!J21,0))</f>
        <v>0</v>
      </c>
      <c r="BW21" s="2">
        <f>((IF((63='V06 Calend 01'!C21),('V06 Calend 01'!F21+'V06 Calend 01'!G21),0)+IF(AND(('V06 Calend 01'!E21&gt;0),(63&gt;'V06 Calend 01'!C21),(63&lt;'V06 Calend 01'!D21),(MOD((63-'V06 Calend 01'!C21),6)=0),(((63-'V06 Calend 01'!C21)/6)&lt;='V06 Calend 01'!E21)),IF((63=('V06 Calend 01'!C21+(6*'V06 Calend 01'!E21))),('V06 Calend 01'!H21-('V06 Calend 01'!I21*('V06 Calend 01'!E21-1))),'V06 Calend 01'!I21),0))+IF((63='V06 Calend 01'!D21),'V06 Calend 01'!J21,0))</f>
        <v>0</v>
      </c>
      <c r="BX21" s="2">
        <f>((IF((64='V06 Calend 01'!C21),('V06 Calend 01'!F21+'V06 Calend 01'!G21),0)+IF(AND(('V06 Calend 01'!E21&gt;0),(64&gt;'V06 Calend 01'!C21),(64&lt;'V06 Calend 01'!D21),(MOD((64-'V06 Calend 01'!C21),6)=0),(((64-'V06 Calend 01'!C21)/6)&lt;='V06 Calend 01'!E21)),IF((64=('V06 Calend 01'!C21+(6*'V06 Calend 01'!E21))),('V06 Calend 01'!H21-('V06 Calend 01'!I21*('V06 Calend 01'!E21-1))),'V06 Calend 01'!I21),0))+IF((64='V06 Calend 01'!D21),'V06 Calend 01'!J21,0))</f>
        <v>0</v>
      </c>
      <c r="BY21" s="2">
        <f>((IF((65='V06 Calend 01'!C21),('V06 Calend 01'!F21+'V06 Calend 01'!G21),0)+IF(AND(('V06 Calend 01'!E21&gt;0),(65&gt;'V06 Calend 01'!C21),(65&lt;'V06 Calend 01'!D21),(MOD((65-'V06 Calend 01'!C21),6)=0),(((65-'V06 Calend 01'!C21)/6)&lt;='V06 Calend 01'!E21)),IF((65=('V06 Calend 01'!C21+(6*'V06 Calend 01'!E21))),('V06 Calend 01'!H21-('V06 Calend 01'!I21*('V06 Calend 01'!E21-1))),'V06 Calend 01'!I21),0))+IF((65='V06 Calend 01'!D21),'V06 Calend 01'!J21,0))</f>
        <v>0</v>
      </c>
      <c r="BZ21" s="2">
        <f>((IF((66='V06 Calend 01'!C21),('V06 Calend 01'!F21+'V06 Calend 01'!G21),0)+IF(AND(('V06 Calend 01'!E21&gt;0),(66&gt;'V06 Calend 01'!C21),(66&lt;'V06 Calend 01'!D21),(MOD((66-'V06 Calend 01'!C21),6)=0),(((66-'V06 Calend 01'!C21)/6)&lt;='V06 Calend 01'!E21)),IF((66=('V06 Calend 01'!C21+(6*'V06 Calend 01'!E21))),('V06 Calend 01'!H21-('V06 Calend 01'!I21*('V06 Calend 01'!E21-1))),'V06 Calend 01'!I21),0))+IF((66='V06 Calend 01'!D21),'V06 Calend 01'!J21,0))</f>
        <v>0</v>
      </c>
      <c r="CA21" s="2">
        <f>((IF((67='V06 Calend 01'!C21),('V06 Calend 01'!F21+'V06 Calend 01'!G21),0)+IF(AND(('V06 Calend 01'!E21&gt;0),(67&gt;'V06 Calend 01'!C21),(67&lt;'V06 Calend 01'!D21),(MOD((67-'V06 Calend 01'!C21),6)=0),(((67-'V06 Calend 01'!C21)/6)&lt;='V06 Calend 01'!E21)),IF((67=('V06 Calend 01'!C21+(6*'V06 Calend 01'!E21))),('V06 Calend 01'!H21-('V06 Calend 01'!I21*('V06 Calend 01'!E21-1))),'V06 Calend 01'!I21),0))+IF((67='V06 Calend 01'!D21),'V06 Calend 01'!J21,0))</f>
        <v>0</v>
      </c>
      <c r="CB21" s="2">
        <f>((IF((68='V06 Calend 01'!C21),('V06 Calend 01'!F21+'V06 Calend 01'!G21),0)+IF(AND(('V06 Calend 01'!E21&gt;0),(68&gt;'V06 Calend 01'!C21),(68&lt;'V06 Calend 01'!D21),(MOD((68-'V06 Calend 01'!C21),6)=0),(((68-'V06 Calend 01'!C21)/6)&lt;='V06 Calend 01'!E21)),IF((68=('V06 Calend 01'!C21+(6*'V06 Calend 01'!E21))),('V06 Calend 01'!H21-('V06 Calend 01'!I21*('V06 Calend 01'!E21-1))),'V06 Calend 01'!I21),0))+IF((68='V06 Calend 01'!D21),'V06 Calend 01'!J21,0))</f>
        <v>0</v>
      </c>
      <c r="CC21" s="2">
        <f>((IF((69='V06 Calend 01'!C21),('V06 Calend 01'!F21+'V06 Calend 01'!G21),0)+IF(AND(('V06 Calend 01'!E21&gt;0),(69&gt;'V06 Calend 01'!C21),(69&lt;'V06 Calend 01'!D21),(MOD((69-'V06 Calend 01'!C21),6)=0),(((69-'V06 Calend 01'!C21)/6)&lt;='V06 Calend 01'!E21)),IF((69=('V06 Calend 01'!C21+(6*'V06 Calend 01'!E21))),('V06 Calend 01'!H21-('V06 Calend 01'!I21*('V06 Calend 01'!E21-1))),'V06 Calend 01'!I21),0))+IF((69='V06 Calend 01'!D21),'V06 Calend 01'!J21,0))</f>
        <v>0</v>
      </c>
      <c r="CD21" s="2">
        <f>((IF((70='V06 Calend 01'!C21),('V06 Calend 01'!F21+'V06 Calend 01'!G21),0)+IF(AND(('V06 Calend 01'!E21&gt;0),(70&gt;'V06 Calend 01'!C21),(70&lt;'V06 Calend 01'!D21),(MOD((70-'V06 Calend 01'!C21),6)=0),(((70-'V06 Calend 01'!C21)/6)&lt;='V06 Calend 01'!E21)),IF((70=('V06 Calend 01'!C21+(6*'V06 Calend 01'!E21))),('V06 Calend 01'!H21-('V06 Calend 01'!I21*('V06 Calend 01'!E21-1))),'V06 Calend 01'!I21),0))+IF((70='V06 Calend 01'!D21),'V06 Calend 01'!J21,0))</f>
        <v>0</v>
      </c>
      <c r="CE21" s="2">
        <f>((IF((71='V06 Calend 01'!C21),('V06 Calend 01'!F21+'V06 Calend 01'!G21),0)+IF(AND(('V06 Calend 01'!E21&gt;0),(71&gt;'V06 Calend 01'!C21),(71&lt;'V06 Calend 01'!D21),(MOD((71-'V06 Calend 01'!C21),6)=0),(((71-'V06 Calend 01'!C21)/6)&lt;='V06 Calend 01'!E21)),IF((71=('V06 Calend 01'!C21+(6*'V06 Calend 01'!E21))),('V06 Calend 01'!H21-('V06 Calend 01'!I21*('V06 Calend 01'!E21-1))),'V06 Calend 01'!I21),0))+IF((71='V06 Calend 01'!D21),'V06 Calend 01'!J21,0))</f>
        <v>0</v>
      </c>
      <c r="CF21" s="2">
        <f>((IF((72='V06 Calend 01'!C21),('V06 Calend 01'!F21+'V06 Calend 01'!G21),0)+IF(AND(('V06 Calend 01'!E21&gt;0),(72&gt;'V06 Calend 01'!C21),(72&lt;'V06 Calend 01'!D21),(MOD((72-'V06 Calend 01'!C21),6)=0),(((72-'V06 Calend 01'!C21)/6)&lt;='V06 Calend 01'!E21)),IF((72=('V06 Calend 01'!C21+(6*'V06 Calend 01'!E21))),('V06 Calend 01'!H21-('V06 Calend 01'!I21*('V06 Calend 01'!E21-1))),'V06 Calend 01'!I21),0))+IF((72='V06 Calend 01'!D21),'V06 Calend 01'!J21,0))</f>
        <v>0</v>
      </c>
      <c r="CG21" s="2">
        <f>((IF((73='V06 Calend 01'!C21),('V06 Calend 01'!F21+'V06 Calend 01'!G21),0)+IF(AND(('V06 Calend 01'!E21&gt;0),(73&gt;'V06 Calend 01'!C21),(73&lt;'V06 Calend 01'!D21),(MOD((73-'V06 Calend 01'!C21),6)=0),(((73-'V06 Calend 01'!C21)/6)&lt;='V06 Calend 01'!E21)),IF((73=('V06 Calend 01'!C21+(6*'V06 Calend 01'!E21))),('V06 Calend 01'!H21-('V06 Calend 01'!I21*('V06 Calend 01'!E21-1))),'V06 Calend 01'!I21),0))+IF((73='V06 Calend 01'!D21),'V06 Calend 01'!J21,0))</f>
        <v>0</v>
      </c>
      <c r="CH21" s="2">
        <f>((IF((74='V06 Calend 01'!C21),('V06 Calend 01'!F21+'V06 Calend 01'!G21),0)+IF(AND(('V06 Calend 01'!E21&gt;0),(74&gt;'V06 Calend 01'!C21),(74&lt;'V06 Calend 01'!D21),(MOD((74-'V06 Calend 01'!C21),6)=0),(((74-'V06 Calend 01'!C21)/6)&lt;='V06 Calend 01'!E21)),IF((74=('V06 Calend 01'!C21+(6*'V06 Calend 01'!E21))),('V06 Calend 01'!H21-('V06 Calend 01'!I21*('V06 Calend 01'!E21-1))),'V06 Calend 01'!I21),0))+IF((74='V06 Calend 01'!D21),'V06 Calend 01'!J21,0))</f>
        <v>0</v>
      </c>
      <c r="CI21" s="2">
        <f>((IF((75='V06 Calend 01'!C21),('V06 Calend 01'!F21+'V06 Calend 01'!G21),0)+IF(AND(('V06 Calend 01'!E21&gt;0),(75&gt;'V06 Calend 01'!C21),(75&lt;'V06 Calend 01'!D21),(MOD((75-'V06 Calend 01'!C21),6)=0),(((75-'V06 Calend 01'!C21)/6)&lt;='V06 Calend 01'!E21)),IF((75=('V06 Calend 01'!C21+(6*'V06 Calend 01'!E21))),('V06 Calend 01'!H21-('V06 Calend 01'!I21*('V06 Calend 01'!E21-1))),'V06 Calend 01'!I21),0))+IF((75='V06 Calend 01'!D21),'V06 Calend 01'!J21,0))</f>
        <v>0</v>
      </c>
      <c r="CJ21" s="2">
        <f>((IF((76='V06 Calend 01'!C21),('V06 Calend 01'!F21+'V06 Calend 01'!G21),0)+IF(AND(('V06 Calend 01'!E21&gt;0),(76&gt;'V06 Calend 01'!C21),(76&lt;'V06 Calend 01'!D21),(MOD((76-'V06 Calend 01'!C21),6)=0),(((76-'V06 Calend 01'!C21)/6)&lt;='V06 Calend 01'!E21)),IF((76=('V06 Calend 01'!C21+(6*'V06 Calend 01'!E21))),('V06 Calend 01'!H21-('V06 Calend 01'!I21*('V06 Calend 01'!E21-1))),'V06 Calend 01'!I21),0))+IF((76='V06 Calend 01'!D21),'V06 Calend 01'!J21,0))</f>
        <v>0</v>
      </c>
      <c r="CK21" s="2">
        <f>((IF((77='V06 Calend 01'!C21),('V06 Calend 01'!F21+'V06 Calend 01'!G21),0)+IF(AND(('V06 Calend 01'!E21&gt;0),(77&gt;'V06 Calend 01'!C21),(77&lt;'V06 Calend 01'!D21),(MOD((77-'V06 Calend 01'!C21),6)=0),(((77-'V06 Calend 01'!C21)/6)&lt;='V06 Calend 01'!E21)),IF((77=('V06 Calend 01'!C21+(6*'V06 Calend 01'!E21))),('V06 Calend 01'!H21-('V06 Calend 01'!I21*('V06 Calend 01'!E21-1))),'V06 Calend 01'!I21),0))+IF((77='V06 Calend 01'!D21),'V06 Calend 01'!J21,0))</f>
        <v>0</v>
      </c>
      <c r="CL21" s="2">
        <f>((IF((78='V06 Calend 01'!C21),('V06 Calend 01'!F21+'V06 Calend 01'!G21),0)+IF(AND(('V06 Calend 01'!E21&gt;0),(78&gt;'V06 Calend 01'!C21),(78&lt;'V06 Calend 01'!D21),(MOD((78-'V06 Calend 01'!C21),6)=0),(((78-'V06 Calend 01'!C21)/6)&lt;='V06 Calend 01'!E21)),IF((78=('V06 Calend 01'!C21+(6*'V06 Calend 01'!E21))),('V06 Calend 01'!H21-('V06 Calend 01'!I21*('V06 Calend 01'!E21-1))),'V06 Calend 01'!I21),0))+IF((78='V06 Calend 01'!D21),'V06 Calend 01'!J21,0))</f>
        <v>0</v>
      </c>
      <c r="CM21" s="2">
        <f>((IF((79='V06 Calend 01'!C21),('V06 Calend 01'!F21+'V06 Calend 01'!G21),0)+IF(AND(('V06 Calend 01'!E21&gt;0),(79&gt;'V06 Calend 01'!C21),(79&lt;'V06 Calend 01'!D21),(MOD((79-'V06 Calend 01'!C21),6)=0),(((79-'V06 Calend 01'!C21)/6)&lt;='V06 Calend 01'!E21)),IF((79=('V06 Calend 01'!C21+(6*'V06 Calend 01'!E21))),('V06 Calend 01'!H21-('V06 Calend 01'!I21*('V06 Calend 01'!E21-1))),'V06 Calend 01'!I21),0))+IF((79='V06 Calend 01'!D21),'V06 Calend 01'!J21,0))</f>
        <v>0</v>
      </c>
      <c r="CN21" s="2">
        <f>((IF((80='V06 Calend 01'!C21),('V06 Calend 01'!F21+'V06 Calend 01'!G21),0)+IF(AND(('V06 Calend 01'!E21&gt;0),(80&gt;'V06 Calend 01'!C21),(80&lt;'V06 Calend 01'!D21),(MOD((80-'V06 Calend 01'!C21),6)=0),(((80-'V06 Calend 01'!C21)/6)&lt;='V06 Calend 01'!E21)),IF((80=('V06 Calend 01'!C21+(6*'V06 Calend 01'!E21))),('V06 Calend 01'!H21-('V06 Calend 01'!I21*('V06 Calend 01'!E21-1))),'V06 Calend 01'!I21),0))+IF((80='V06 Calend 01'!D21),'V06 Calend 01'!J21,0))</f>
        <v>0</v>
      </c>
      <c r="CO21" s="2">
        <f>((IF((81='V06 Calend 01'!C21),('V06 Calend 01'!F21+'V06 Calend 01'!G21),0)+IF(AND(('V06 Calend 01'!E21&gt;0),(81&gt;'V06 Calend 01'!C21),(81&lt;'V06 Calend 01'!D21),(MOD((81-'V06 Calend 01'!C21),6)=0),(((81-'V06 Calend 01'!C21)/6)&lt;='V06 Calend 01'!E21)),IF((81=('V06 Calend 01'!C21+(6*'V06 Calend 01'!E21))),('V06 Calend 01'!H21-('V06 Calend 01'!I21*('V06 Calend 01'!E21-1))),'V06 Calend 01'!I21),0))+IF((81='V06 Calend 01'!D21),'V06 Calend 01'!J21,0))</f>
        <v>0</v>
      </c>
      <c r="CP21" s="2">
        <f>((IF((82='V06 Calend 01'!C21),('V06 Calend 01'!F21+'V06 Calend 01'!G21),0)+IF(AND(('V06 Calend 01'!E21&gt;0),(82&gt;'V06 Calend 01'!C21),(82&lt;'V06 Calend 01'!D21),(MOD((82-'V06 Calend 01'!C21),6)=0),(((82-'V06 Calend 01'!C21)/6)&lt;='V06 Calend 01'!E21)),IF((82=('V06 Calend 01'!C21+(6*'V06 Calend 01'!E21))),('V06 Calend 01'!H21-('V06 Calend 01'!I21*('V06 Calend 01'!E21-1))),'V06 Calend 01'!I21),0))+IF((82='V06 Calend 01'!D21),'V06 Calend 01'!J21,0))</f>
        <v>0</v>
      </c>
      <c r="CQ21" s="2">
        <f>((IF((83='V06 Calend 01'!C21),('V06 Calend 01'!F21+'V06 Calend 01'!G21),0)+IF(AND(('V06 Calend 01'!E21&gt;0),(83&gt;'V06 Calend 01'!C21),(83&lt;'V06 Calend 01'!D21),(MOD((83-'V06 Calend 01'!C21),6)=0),(((83-'V06 Calend 01'!C21)/6)&lt;='V06 Calend 01'!E21)),IF((83=('V06 Calend 01'!C21+(6*'V06 Calend 01'!E21))),('V06 Calend 01'!H21-('V06 Calend 01'!I21*('V06 Calend 01'!E21-1))),'V06 Calend 01'!I21),0))+IF((83='V06 Calend 01'!D21),'V06 Calend 01'!J21,0))</f>
        <v>0</v>
      </c>
      <c r="CR21" s="2">
        <f>((IF((84='V06 Calend 01'!C21),('V06 Calend 01'!F21+'V06 Calend 01'!G21),0)+IF(AND(('V06 Calend 01'!E21&gt;0),(84&gt;'V06 Calend 01'!C21),(84&lt;'V06 Calend 01'!D21),(MOD((84-'V06 Calend 01'!C21),6)=0),(((84-'V06 Calend 01'!C21)/6)&lt;='V06 Calend 01'!E21)),IF((84=('V06 Calend 01'!C21+(6*'V06 Calend 01'!E21))),('V06 Calend 01'!H21-('V06 Calend 01'!I21*('V06 Calend 01'!E21-1))),'V06 Calend 01'!I21),0))+IF((84='V06 Calend 01'!D21),'V06 Calend 01'!J21,0))</f>
        <v>0</v>
      </c>
      <c r="CS21" s="2">
        <f>((IF((85='V06 Calend 01'!C21),('V06 Calend 01'!F21+'V06 Calend 01'!G21),0)+IF(AND(('V06 Calend 01'!E21&gt;0),(85&gt;'V06 Calend 01'!C21),(85&lt;'V06 Calend 01'!D21),(MOD((85-'V06 Calend 01'!C21),6)=0),(((85-'V06 Calend 01'!C21)/6)&lt;='V06 Calend 01'!E21)),IF((85=('V06 Calend 01'!C21+(6*'V06 Calend 01'!E21))),('V06 Calend 01'!H21-('V06 Calend 01'!I21*('V06 Calend 01'!E21-1))),'V06 Calend 01'!I21),0))+IF((85='V06 Calend 01'!D21),'V06 Calend 01'!J21,0))</f>
        <v>0</v>
      </c>
      <c r="CT21" s="2">
        <f>((IF((86='V06 Calend 01'!C21),('V06 Calend 01'!F21+'V06 Calend 01'!G21),0)+IF(AND(('V06 Calend 01'!E21&gt;0),(86&gt;'V06 Calend 01'!C21),(86&lt;'V06 Calend 01'!D21),(MOD((86-'V06 Calend 01'!C21),6)=0),(((86-'V06 Calend 01'!C21)/6)&lt;='V06 Calend 01'!E21)),IF((86=('V06 Calend 01'!C21+(6*'V06 Calend 01'!E21))),('V06 Calend 01'!H21-('V06 Calend 01'!I21*('V06 Calend 01'!E21-1))),'V06 Calend 01'!I21),0))+IF((86='V06 Calend 01'!D21),'V06 Calend 01'!J21,0))</f>
        <v>0</v>
      </c>
      <c r="CU21" s="2">
        <f>((IF((87='V06 Calend 01'!C21),('V06 Calend 01'!F21+'V06 Calend 01'!G21),0)+IF(AND(('V06 Calend 01'!E21&gt;0),(87&gt;'V06 Calend 01'!C21),(87&lt;'V06 Calend 01'!D21),(MOD((87-'V06 Calend 01'!C21),6)=0),(((87-'V06 Calend 01'!C21)/6)&lt;='V06 Calend 01'!E21)),IF((87=('V06 Calend 01'!C21+(6*'V06 Calend 01'!E21))),('V06 Calend 01'!H21-('V06 Calend 01'!I21*('V06 Calend 01'!E21-1))),'V06 Calend 01'!I21),0))+IF((87='V06 Calend 01'!D21),'V06 Calend 01'!J21,0))</f>
        <v>0</v>
      </c>
      <c r="CV21" s="2">
        <f>((IF((88='V06 Calend 01'!C21),('V06 Calend 01'!F21+'V06 Calend 01'!G21),0)+IF(AND(('V06 Calend 01'!E21&gt;0),(88&gt;'V06 Calend 01'!C21),(88&lt;'V06 Calend 01'!D21),(MOD((88-'V06 Calend 01'!C21),6)=0),(((88-'V06 Calend 01'!C21)/6)&lt;='V06 Calend 01'!E21)),IF((88=('V06 Calend 01'!C21+(6*'V06 Calend 01'!E21))),('V06 Calend 01'!H21-('V06 Calend 01'!I21*('V06 Calend 01'!E21-1))),'V06 Calend 01'!I21),0))+IF((88='V06 Calend 01'!D21),'V06 Calend 01'!J21,0))</f>
        <v>0</v>
      </c>
      <c r="CW21" s="2">
        <f>((IF((89='V06 Calend 01'!C21),('V06 Calend 01'!F21+'V06 Calend 01'!G21),0)+IF(AND(('V06 Calend 01'!E21&gt;0),(89&gt;'V06 Calend 01'!C21),(89&lt;'V06 Calend 01'!D21),(MOD((89-'V06 Calend 01'!C21),6)=0),(((89-'V06 Calend 01'!C21)/6)&lt;='V06 Calend 01'!E21)),IF((89=('V06 Calend 01'!C21+(6*'V06 Calend 01'!E21))),('V06 Calend 01'!H21-('V06 Calend 01'!I21*('V06 Calend 01'!E21-1))),'V06 Calend 01'!I21),0))+IF((89='V06 Calend 01'!D21),'V06 Calend 01'!J21,0))</f>
        <v>0</v>
      </c>
      <c r="CX21" s="2">
        <f>((IF((90='V06 Calend 01'!C21),('V06 Calend 01'!F21+'V06 Calend 01'!G21),0)+IF(AND(('V06 Calend 01'!E21&gt;0),(90&gt;'V06 Calend 01'!C21),(90&lt;'V06 Calend 01'!D21),(MOD((90-'V06 Calend 01'!C21),6)=0),(((90-'V06 Calend 01'!C21)/6)&lt;='V06 Calend 01'!E21)),IF((90=('V06 Calend 01'!C21+(6*'V06 Calend 01'!E21))),('V06 Calend 01'!H21-('V06 Calend 01'!I21*('V06 Calend 01'!E21-1))),'V06 Calend 01'!I21),0))+IF((90='V06 Calend 01'!D21),'V06 Calend 01'!J21,0))</f>
        <v>0</v>
      </c>
      <c r="CY21" s="2">
        <f>((IF((91='V06 Calend 01'!C21),('V06 Calend 01'!F21+'V06 Calend 01'!G21),0)+IF(AND(('V06 Calend 01'!E21&gt;0),(91&gt;'V06 Calend 01'!C21),(91&lt;'V06 Calend 01'!D21),(MOD((91-'V06 Calend 01'!C21),6)=0),(((91-'V06 Calend 01'!C21)/6)&lt;='V06 Calend 01'!E21)),IF((91=('V06 Calend 01'!C21+(6*'V06 Calend 01'!E21))),('V06 Calend 01'!H21-('V06 Calend 01'!I21*('V06 Calend 01'!E21-1))),'V06 Calend 01'!I21),0))+IF((91='V06 Calend 01'!D21),'V06 Calend 01'!J21,0))</f>
        <v>0</v>
      </c>
      <c r="CZ21" s="2">
        <f>((IF((92='V06 Calend 01'!C21),('V06 Calend 01'!F21+'V06 Calend 01'!G21),0)+IF(AND(('V06 Calend 01'!E21&gt;0),(92&gt;'V06 Calend 01'!C21),(92&lt;'V06 Calend 01'!D21),(MOD((92-'V06 Calend 01'!C21),6)=0),(((92-'V06 Calend 01'!C21)/6)&lt;='V06 Calend 01'!E21)),IF((92=('V06 Calend 01'!C21+(6*'V06 Calend 01'!E21))),('V06 Calend 01'!H21-('V06 Calend 01'!I21*('V06 Calend 01'!E21-1))),'V06 Calend 01'!I21),0))+IF((92='V06 Calend 01'!D21),'V06 Calend 01'!J21,0))</f>
        <v>0</v>
      </c>
      <c r="DA21" s="2">
        <f>((IF((93='V06 Calend 01'!C21),('V06 Calend 01'!F21+'V06 Calend 01'!G21),0)+IF(AND(('V06 Calend 01'!E21&gt;0),(93&gt;'V06 Calend 01'!C21),(93&lt;'V06 Calend 01'!D21),(MOD((93-'V06 Calend 01'!C21),6)=0),(((93-'V06 Calend 01'!C21)/6)&lt;='V06 Calend 01'!E21)),IF((93=('V06 Calend 01'!C21+(6*'V06 Calend 01'!E21))),('V06 Calend 01'!H21-('V06 Calend 01'!I21*('V06 Calend 01'!E21-1))),'V06 Calend 01'!I21),0))+IF((93='V06 Calend 01'!D21),'V06 Calend 01'!J21,0))</f>
        <v>0</v>
      </c>
      <c r="DB21" s="2">
        <f>((IF((94='V06 Calend 01'!C21),('V06 Calend 01'!F21+'V06 Calend 01'!G21),0)+IF(AND(('V06 Calend 01'!E21&gt;0),(94&gt;'V06 Calend 01'!C21),(94&lt;'V06 Calend 01'!D21),(MOD((94-'V06 Calend 01'!C21),6)=0),(((94-'V06 Calend 01'!C21)/6)&lt;='V06 Calend 01'!E21)),IF((94=('V06 Calend 01'!C21+(6*'V06 Calend 01'!E21))),('V06 Calend 01'!H21-('V06 Calend 01'!I21*('V06 Calend 01'!E21-1))),'V06 Calend 01'!I21),0))+IF((94='V06 Calend 01'!D21),'V06 Calend 01'!J21,0))</f>
        <v>0</v>
      </c>
      <c r="DC21" s="2">
        <f>((IF((95='V06 Calend 01'!C21),('V06 Calend 01'!F21+'V06 Calend 01'!G21),0)+IF(AND(('V06 Calend 01'!E21&gt;0),(95&gt;'V06 Calend 01'!C21),(95&lt;'V06 Calend 01'!D21),(MOD((95-'V06 Calend 01'!C21),6)=0),(((95-'V06 Calend 01'!C21)/6)&lt;='V06 Calend 01'!E21)),IF((95=('V06 Calend 01'!C21+(6*'V06 Calend 01'!E21))),('V06 Calend 01'!H21-('V06 Calend 01'!I21*('V06 Calend 01'!E21-1))),'V06 Calend 01'!I21),0))+IF((95='V06 Calend 01'!D21),'V06 Calend 01'!J21,0))</f>
        <v>0</v>
      </c>
      <c r="DD21" s="2">
        <f>((IF((96='V06 Calend 01'!C21),('V06 Calend 01'!F21+'V06 Calend 01'!G21),0)+IF(AND(('V06 Calend 01'!E21&gt;0),(96&gt;'V06 Calend 01'!C21),(96&lt;'V06 Calend 01'!D21),(MOD((96-'V06 Calend 01'!C21),6)=0),(((96-'V06 Calend 01'!C21)/6)&lt;='V06 Calend 01'!E21)),IF((96=('V06 Calend 01'!C21+(6*'V06 Calend 01'!E21))),('V06 Calend 01'!H21-('V06 Calend 01'!I21*('V06 Calend 01'!E21-1))),'V06 Calend 01'!I21),0))+IF((96='V06 Calend 01'!D21),'V06 Calend 01'!J21,0))</f>
        <v>0</v>
      </c>
      <c r="DE21" s="2">
        <f>((IF((97='V06 Calend 01'!C21),('V06 Calend 01'!F21+'V06 Calend 01'!G21),0)+IF(AND(('V06 Calend 01'!E21&gt;0),(97&gt;'V06 Calend 01'!C21),(97&lt;'V06 Calend 01'!D21),(MOD((97-'V06 Calend 01'!C21),6)=0),(((97-'V06 Calend 01'!C21)/6)&lt;='V06 Calend 01'!E21)),IF((97=('V06 Calend 01'!C21+(6*'V06 Calend 01'!E21))),('V06 Calend 01'!H21-('V06 Calend 01'!I21*('V06 Calend 01'!E21-1))),'V06 Calend 01'!I21),0))+IF((97='V06 Calend 01'!D21),'V06 Calend 01'!J21,0))</f>
        <v>0</v>
      </c>
      <c r="DF21" s="2">
        <f>((IF((98='V06 Calend 01'!C21),('V06 Calend 01'!F21+'V06 Calend 01'!G21),0)+IF(AND(('V06 Calend 01'!E21&gt;0),(98&gt;'V06 Calend 01'!C21),(98&lt;'V06 Calend 01'!D21),(MOD((98-'V06 Calend 01'!C21),6)=0),(((98-'V06 Calend 01'!C21)/6)&lt;='V06 Calend 01'!E21)),IF((98=('V06 Calend 01'!C21+(6*'V06 Calend 01'!E21))),('V06 Calend 01'!H21-('V06 Calend 01'!I21*('V06 Calend 01'!E21-1))),'V06 Calend 01'!I21),0))+IF((98='V06 Calend 01'!D21),'V06 Calend 01'!J21,0))</f>
        <v>0</v>
      </c>
      <c r="DG21" s="2">
        <f>((IF((99='V06 Calend 01'!C21),('V06 Calend 01'!F21+'V06 Calend 01'!G21),0)+IF(AND(('V06 Calend 01'!E21&gt;0),(99&gt;'V06 Calend 01'!C21),(99&lt;'V06 Calend 01'!D21),(MOD((99-'V06 Calend 01'!C21),6)=0),(((99-'V06 Calend 01'!C21)/6)&lt;='V06 Calend 01'!E21)),IF((99=('V06 Calend 01'!C21+(6*'V06 Calend 01'!E21))),('V06 Calend 01'!H21-('V06 Calend 01'!I21*('V06 Calend 01'!E21-1))),'V06 Calend 01'!I21),0))+IF((99='V06 Calend 01'!D21),'V06 Calend 01'!J21,0))</f>
        <v>0</v>
      </c>
      <c r="DH21" s="2">
        <f>((IF((100='V06 Calend 01'!C21),('V06 Calend 01'!F21+'V06 Calend 01'!G21),0)+IF(AND(('V06 Calend 01'!E21&gt;0),(100&gt;'V06 Calend 01'!C21),(100&lt;'V06 Calend 01'!D21),(MOD((100-'V06 Calend 01'!C21),6)=0),(((100-'V06 Calend 01'!C21)/6)&lt;='V06 Calend 01'!E21)),IF((100=('V06 Calend 01'!C21+(6*'V06 Calend 01'!E21))),('V06 Calend 01'!H21-('V06 Calend 01'!I21*('V06 Calend 01'!E21-1))),'V06 Calend 01'!I21),0))+IF((100='V06 Calend 01'!D21),'V06 Calend 01'!J21,0))</f>
        <v>0</v>
      </c>
      <c r="DI21" s="2">
        <f>((IF((101='V06 Calend 01'!C21),('V06 Calend 01'!F21+'V06 Calend 01'!G21),0)+IF(AND(('V06 Calend 01'!E21&gt;0),(101&gt;'V06 Calend 01'!C21),(101&lt;'V06 Calend 01'!D21),(MOD((101-'V06 Calend 01'!C21),6)=0),(((101-'V06 Calend 01'!C21)/6)&lt;='V06 Calend 01'!E21)),IF((101=('V06 Calend 01'!C21+(6*'V06 Calend 01'!E21))),('V06 Calend 01'!H21-('V06 Calend 01'!I21*('V06 Calend 01'!E21-1))),'V06 Calend 01'!I21),0))+IF((101='V06 Calend 01'!D21),'V06 Calend 01'!J21,0))</f>
        <v>0</v>
      </c>
      <c r="DJ21" s="2">
        <f>((IF((102='V06 Calend 01'!C21),('V06 Calend 01'!F21+'V06 Calend 01'!G21),0)+IF(AND(('V06 Calend 01'!E21&gt;0),(102&gt;'V06 Calend 01'!C21),(102&lt;'V06 Calend 01'!D21),(MOD((102-'V06 Calend 01'!C21),6)=0),(((102-'V06 Calend 01'!C21)/6)&lt;='V06 Calend 01'!E21)),IF((102=('V06 Calend 01'!C21+(6*'V06 Calend 01'!E21))),('V06 Calend 01'!H21-('V06 Calend 01'!I21*('V06 Calend 01'!E21-1))),'V06 Calend 01'!I21),0))+IF((102='V06 Calend 01'!D21),'V06 Calend 01'!J21,0))</f>
        <v>0</v>
      </c>
      <c r="DK21" s="2">
        <f>((IF((103='V06 Calend 01'!C21),('V06 Calend 01'!F21+'V06 Calend 01'!G21),0)+IF(AND(('V06 Calend 01'!E21&gt;0),(103&gt;'V06 Calend 01'!C21),(103&lt;'V06 Calend 01'!D21),(MOD((103-'V06 Calend 01'!C21),6)=0),(((103-'V06 Calend 01'!C21)/6)&lt;='V06 Calend 01'!E21)),IF((103=('V06 Calend 01'!C21+(6*'V06 Calend 01'!E21))),('V06 Calend 01'!H21-('V06 Calend 01'!I21*('V06 Calend 01'!E21-1))),'V06 Calend 01'!I21),0))+IF((103='V06 Calend 01'!D21),'V06 Calend 01'!J21,0))</f>
        <v>0</v>
      </c>
      <c r="DL21" s="2">
        <f>((IF((104='V06 Calend 01'!C21),('V06 Calend 01'!F21+'V06 Calend 01'!G21),0)+IF(AND(('V06 Calend 01'!E21&gt;0),(104&gt;'V06 Calend 01'!C21),(104&lt;'V06 Calend 01'!D21),(MOD((104-'V06 Calend 01'!C21),6)=0),(((104-'V06 Calend 01'!C21)/6)&lt;='V06 Calend 01'!E21)),IF((104=('V06 Calend 01'!C21+(6*'V06 Calend 01'!E21))),('V06 Calend 01'!H21-('V06 Calend 01'!I21*('V06 Calend 01'!E21-1))),'V06 Calend 01'!I21),0))+IF((104='V06 Calend 01'!D21),'V06 Calend 01'!J21,0))</f>
        <v>0</v>
      </c>
      <c r="DM21" s="2">
        <f>((IF((105='V06 Calend 01'!C21),('V06 Calend 01'!F21+'V06 Calend 01'!G21),0)+IF(AND(('V06 Calend 01'!E21&gt;0),(105&gt;'V06 Calend 01'!C21),(105&lt;'V06 Calend 01'!D21),(MOD((105-'V06 Calend 01'!C21),6)=0),(((105-'V06 Calend 01'!C21)/6)&lt;='V06 Calend 01'!E21)),IF((105=('V06 Calend 01'!C21+(6*'V06 Calend 01'!E21))),('V06 Calend 01'!H21-('V06 Calend 01'!I21*('V06 Calend 01'!E21-1))),'V06 Calend 01'!I21),0))+IF((105='V06 Calend 01'!D21),'V06 Calend 01'!J21,0))</f>
        <v>0</v>
      </c>
      <c r="DN21" s="2">
        <f>((IF((106='V06 Calend 01'!C21),('V06 Calend 01'!F21+'V06 Calend 01'!G21),0)+IF(AND(('V06 Calend 01'!E21&gt;0),(106&gt;'V06 Calend 01'!C21),(106&lt;'V06 Calend 01'!D21),(MOD((106-'V06 Calend 01'!C21),6)=0),(((106-'V06 Calend 01'!C21)/6)&lt;='V06 Calend 01'!E21)),IF((106=('V06 Calend 01'!C21+(6*'V06 Calend 01'!E21))),('V06 Calend 01'!H21-('V06 Calend 01'!I21*('V06 Calend 01'!E21-1))),'V06 Calend 01'!I21),0))+IF((106='V06 Calend 01'!D21),'V06 Calend 01'!J21,0))</f>
        <v>0</v>
      </c>
      <c r="DO21" s="2">
        <f>((IF((107='V06 Calend 01'!C21),('V06 Calend 01'!F21+'V06 Calend 01'!G21),0)+IF(AND(('V06 Calend 01'!E21&gt;0),(107&gt;'V06 Calend 01'!C21),(107&lt;'V06 Calend 01'!D21),(MOD((107-'V06 Calend 01'!C21),6)=0),(((107-'V06 Calend 01'!C21)/6)&lt;='V06 Calend 01'!E21)),IF((107=('V06 Calend 01'!C21+(6*'V06 Calend 01'!E21))),('V06 Calend 01'!H21-('V06 Calend 01'!I21*('V06 Calend 01'!E21-1))),'V06 Calend 01'!I21),0))+IF((107='V06 Calend 01'!D21),'V06 Calend 01'!J21,0))</f>
        <v>0</v>
      </c>
      <c r="DP21" s="2">
        <f>((IF((108='V06 Calend 01'!C21),('V06 Calend 01'!F21+'V06 Calend 01'!G21),0)+IF(AND(('V06 Calend 01'!E21&gt;0),(108&gt;'V06 Calend 01'!C21),(108&lt;'V06 Calend 01'!D21),(MOD((108-'V06 Calend 01'!C21),6)=0),(((108-'V06 Calend 01'!C21)/6)&lt;='V06 Calend 01'!E21)),IF((108=('V06 Calend 01'!C21+(6*'V06 Calend 01'!E21))),('V06 Calend 01'!H21-('V06 Calend 01'!I21*('V06 Calend 01'!E21-1))),'V06 Calend 01'!I21),0))+IF((108='V06 Calend 01'!D21),'V06 Calend 01'!J21,0))</f>
        <v>0</v>
      </c>
      <c r="DQ21" s="2">
        <f>((IF((109='V06 Calend 01'!C21),('V06 Calend 01'!F21+'V06 Calend 01'!G21),0)+IF(AND(('V06 Calend 01'!E21&gt;0),(109&gt;'V06 Calend 01'!C21),(109&lt;'V06 Calend 01'!D21),(MOD((109-'V06 Calend 01'!C21),6)=0),(((109-'V06 Calend 01'!C21)/6)&lt;='V06 Calend 01'!E21)),IF((109=('V06 Calend 01'!C21+(6*'V06 Calend 01'!E21))),('V06 Calend 01'!H21-('V06 Calend 01'!I21*('V06 Calend 01'!E21-1))),'V06 Calend 01'!I21),0))+IF((109='V06 Calend 01'!D21),'V06 Calend 01'!J21,0))</f>
        <v>0</v>
      </c>
      <c r="DR21" s="2">
        <f>((IF((110='V06 Calend 01'!C21),('V06 Calend 01'!F21+'V06 Calend 01'!G21),0)+IF(AND(('V06 Calend 01'!E21&gt;0),(110&gt;'V06 Calend 01'!C21),(110&lt;'V06 Calend 01'!D21),(MOD((110-'V06 Calend 01'!C21),6)=0),(((110-'V06 Calend 01'!C21)/6)&lt;='V06 Calend 01'!E21)),IF((110=('V06 Calend 01'!C21+(6*'V06 Calend 01'!E21))),('V06 Calend 01'!H21-('V06 Calend 01'!I21*('V06 Calend 01'!E21-1))),'V06 Calend 01'!I21),0))+IF((110='V06 Calend 01'!D21),'V06 Calend 01'!J21,0))</f>
        <v>0</v>
      </c>
      <c r="DS21" s="2">
        <f>((IF((111='V06 Calend 01'!C21),('V06 Calend 01'!F21+'V06 Calend 01'!G21),0)+IF(AND(('V06 Calend 01'!E21&gt;0),(111&gt;'V06 Calend 01'!C21),(111&lt;'V06 Calend 01'!D21),(MOD((111-'V06 Calend 01'!C21),6)=0),(((111-'V06 Calend 01'!C21)/6)&lt;='V06 Calend 01'!E21)),IF((111=('V06 Calend 01'!C21+(6*'V06 Calend 01'!E21))),('V06 Calend 01'!H21-('V06 Calend 01'!I21*('V06 Calend 01'!E21-1))),'V06 Calend 01'!I21),0))+IF((111='V06 Calend 01'!D21),'V06 Calend 01'!J21,0))</f>
        <v>0</v>
      </c>
      <c r="DT21" s="2">
        <f>((IF((112='V06 Calend 01'!C21),('V06 Calend 01'!F21+'V06 Calend 01'!G21),0)+IF(AND(('V06 Calend 01'!E21&gt;0),(112&gt;'V06 Calend 01'!C21),(112&lt;'V06 Calend 01'!D21),(MOD((112-'V06 Calend 01'!C21),6)=0),(((112-'V06 Calend 01'!C21)/6)&lt;='V06 Calend 01'!E21)),IF((112=('V06 Calend 01'!C21+(6*'V06 Calend 01'!E21))),('V06 Calend 01'!H21-('V06 Calend 01'!I21*('V06 Calend 01'!E21-1))),'V06 Calend 01'!I21),0))+IF((112='V06 Calend 01'!D21),'V06 Calend 01'!J21,0))</f>
        <v>0</v>
      </c>
      <c r="DU21" s="2">
        <f>((IF((113='V06 Calend 01'!C21),('V06 Calend 01'!F21+'V06 Calend 01'!G21),0)+IF(AND(('V06 Calend 01'!E21&gt;0),(113&gt;'V06 Calend 01'!C21),(113&lt;'V06 Calend 01'!D21),(MOD((113-'V06 Calend 01'!C21),6)=0),(((113-'V06 Calend 01'!C21)/6)&lt;='V06 Calend 01'!E21)),IF((113=('V06 Calend 01'!C21+(6*'V06 Calend 01'!E21))),('V06 Calend 01'!H21-('V06 Calend 01'!I21*('V06 Calend 01'!E21-1))),'V06 Calend 01'!I21),0))+IF((113='V06 Calend 01'!D21),'V06 Calend 01'!J21,0))</f>
        <v>0</v>
      </c>
      <c r="DV21" s="2">
        <f>((IF((114='V06 Calend 01'!C21),('V06 Calend 01'!F21+'V06 Calend 01'!G21),0)+IF(AND(('V06 Calend 01'!E21&gt;0),(114&gt;'V06 Calend 01'!C21),(114&lt;'V06 Calend 01'!D21),(MOD((114-'V06 Calend 01'!C21),6)=0),(((114-'V06 Calend 01'!C21)/6)&lt;='V06 Calend 01'!E21)),IF((114=('V06 Calend 01'!C21+(6*'V06 Calend 01'!E21))),('V06 Calend 01'!H21-('V06 Calend 01'!I21*('V06 Calend 01'!E21-1))),'V06 Calend 01'!I21),0))+IF((114='V06 Calend 01'!D21),'V06 Calend 01'!J21,0))</f>
        <v>0</v>
      </c>
      <c r="DW21" s="2">
        <f>((IF((115='V06 Calend 01'!C21),('V06 Calend 01'!F21+'V06 Calend 01'!G21),0)+IF(AND(('V06 Calend 01'!E21&gt;0),(115&gt;'V06 Calend 01'!C21),(115&lt;'V06 Calend 01'!D21),(MOD((115-'V06 Calend 01'!C21),6)=0),(((115-'V06 Calend 01'!C21)/6)&lt;='V06 Calend 01'!E21)),IF((115=('V06 Calend 01'!C21+(6*'V06 Calend 01'!E21))),('V06 Calend 01'!H21-('V06 Calend 01'!I21*('V06 Calend 01'!E21-1))),'V06 Calend 01'!I21),0))+IF((115='V06 Calend 01'!D21),'V06 Calend 01'!J21,0))</f>
        <v>0</v>
      </c>
      <c r="DX21" s="2">
        <f>((IF((116='V06 Calend 01'!C21),('V06 Calend 01'!F21+'V06 Calend 01'!G21),0)+IF(AND(('V06 Calend 01'!E21&gt;0),(116&gt;'V06 Calend 01'!C21),(116&lt;'V06 Calend 01'!D21),(MOD((116-'V06 Calend 01'!C21),6)=0),(((116-'V06 Calend 01'!C21)/6)&lt;='V06 Calend 01'!E21)),IF((116=('V06 Calend 01'!C21+(6*'V06 Calend 01'!E21))),('V06 Calend 01'!H21-('V06 Calend 01'!I21*('V06 Calend 01'!E21-1))),'V06 Calend 01'!I21),0))+IF((116='V06 Calend 01'!D21),'V06 Calend 01'!J21,0))</f>
        <v>0</v>
      </c>
      <c r="DY21" s="2">
        <f>((IF((117='V06 Calend 01'!C21),('V06 Calend 01'!F21+'V06 Calend 01'!G21),0)+IF(AND(('V06 Calend 01'!E21&gt;0),(117&gt;'V06 Calend 01'!C21),(117&lt;'V06 Calend 01'!D21),(MOD((117-'V06 Calend 01'!C21),6)=0),(((117-'V06 Calend 01'!C21)/6)&lt;='V06 Calend 01'!E21)),IF((117=('V06 Calend 01'!C21+(6*'V06 Calend 01'!E21))),('V06 Calend 01'!H21-('V06 Calend 01'!I21*('V06 Calend 01'!E21-1))),'V06 Calend 01'!I21),0))+IF((117='V06 Calend 01'!D21),'V06 Calend 01'!J21,0))</f>
        <v>0</v>
      </c>
      <c r="DZ21" s="2">
        <f>((IF((118='V06 Calend 01'!C21),('V06 Calend 01'!F21+'V06 Calend 01'!G21),0)+IF(AND(('V06 Calend 01'!E21&gt;0),(118&gt;'V06 Calend 01'!C21),(118&lt;'V06 Calend 01'!D21),(MOD((118-'V06 Calend 01'!C21),6)=0),(((118-'V06 Calend 01'!C21)/6)&lt;='V06 Calend 01'!E21)),IF((118=('V06 Calend 01'!C21+(6*'V06 Calend 01'!E21))),('V06 Calend 01'!H21-('V06 Calend 01'!I21*('V06 Calend 01'!E21-1))),'V06 Calend 01'!I21),0))+IF((118='V06 Calend 01'!D21),'V06 Calend 01'!J21,0))</f>
        <v>0</v>
      </c>
      <c r="EA21" s="2">
        <f>((IF((119='V06 Calend 01'!C21),('V06 Calend 01'!F21+'V06 Calend 01'!G21),0)+IF(AND(('V06 Calend 01'!E21&gt;0),(119&gt;'V06 Calend 01'!C21),(119&lt;'V06 Calend 01'!D21),(MOD((119-'V06 Calend 01'!C21),6)=0),(((119-'V06 Calend 01'!C21)/6)&lt;='V06 Calend 01'!E21)),IF((119=('V06 Calend 01'!C21+(6*'V06 Calend 01'!E21))),('V06 Calend 01'!H21-('V06 Calend 01'!I21*('V06 Calend 01'!E21-1))),'V06 Calend 01'!I21),0))+IF((119='V06 Calend 01'!D21),'V06 Calend 01'!J21,0))</f>
        <v>0</v>
      </c>
      <c r="EB21" s="2">
        <f>((IF((120='V06 Calend 01'!C21),('V06 Calend 01'!F21+'V06 Calend 01'!G21),0)+IF(AND(('V06 Calend 01'!E21&gt;0),(120&gt;'V06 Calend 01'!C21),(120&lt;'V06 Calend 01'!D21),(MOD((120-'V06 Calend 01'!C21),6)=0),(((120-'V06 Calend 01'!C21)/6)&lt;='V06 Calend 01'!E21)),IF((120=('V06 Calend 01'!C21+(6*'V06 Calend 01'!E21))),('V06 Calend 01'!H21-('V06 Calend 01'!I21*('V06 Calend 01'!E21-1))),'V06 Calend 01'!I21),0))+IF((120='V06 Calend 01'!D21),'V06 Calend 01'!J21,0))</f>
        <v>0</v>
      </c>
      <c r="EC21" s="2">
        <f>((IF((121='V06 Calend 01'!C21),('V06 Calend 01'!F21+'V06 Calend 01'!G21),0)+IF(AND(('V06 Calend 01'!E21&gt;0),(121&gt;'V06 Calend 01'!C21),(121&lt;'V06 Calend 01'!D21),(MOD((121-'V06 Calend 01'!C21),6)=0),(((121-'V06 Calend 01'!C21)/6)&lt;='V06 Calend 01'!E21)),IF((121=('V06 Calend 01'!C21+(6*'V06 Calend 01'!E21))),('V06 Calend 01'!H21-('V06 Calend 01'!I21*('V06 Calend 01'!E21-1))),'V06 Calend 01'!I21),0))+IF((121='V06 Calend 01'!D21),'V06 Calend 01'!J21,0))</f>
        <v>0</v>
      </c>
      <c r="ED21" s="2">
        <f>((IF((122='V06 Calend 01'!C21),('V06 Calend 01'!F21+'V06 Calend 01'!G21),0)+IF(AND(('V06 Calend 01'!E21&gt;0),(122&gt;'V06 Calend 01'!C21),(122&lt;'V06 Calend 01'!D21),(MOD((122-'V06 Calend 01'!C21),6)=0),(((122-'V06 Calend 01'!C21)/6)&lt;='V06 Calend 01'!E21)),IF((122=('V06 Calend 01'!C21+(6*'V06 Calend 01'!E21))),('V06 Calend 01'!H21-('V06 Calend 01'!I21*('V06 Calend 01'!E21-1))),'V06 Calend 01'!I21),0))+IF((122='V06 Calend 01'!D21),'V06 Calend 01'!J21,0))</f>
        <v>0</v>
      </c>
      <c r="EE21" s="2">
        <f>((IF((123='V06 Calend 01'!C21),('V06 Calend 01'!F21+'V06 Calend 01'!G21),0)+IF(AND(('V06 Calend 01'!E21&gt;0),(123&gt;'V06 Calend 01'!C21),(123&lt;'V06 Calend 01'!D21),(MOD((123-'V06 Calend 01'!C21),6)=0),(((123-'V06 Calend 01'!C21)/6)&lt;='V06 Calend 01'!E21)),IF((123=('V06 Calend 01'!C21+(6*'V06 Calend 01'!E21))),('V06 Calend 01'!H21-('V06 Calend 01'!I21*('V06 Calend 01'!E21-1))),'V06 Calend 01'!I21),0))+IF((123='V06 Calend 01'!D21),'V06 Calend 01'!J21,0))</f>
        <v>0</v>
      </c>
      <c r="EF21" s="2">
        <f>((IF((124='V06 Calend 01'!C21),('V06 Calend 01'!F21+'V06 Calend 01'!G21),0)+IF(AND(('V06 Calend 01'!E21&gt;0),(124&gt;'V06 Calend 01'!C21),(124&lt;'V06 Calend 01'!D21),(MOD((124-'V06 Calend 01'!C21),6)=0),(((124-'V06 Calend 01'!C21)/6)&lt;='V06 Calend 01'!E21)),IF((124=('V06 Calend 01'!C21+(6*'V06 Calend 01'!E21))),('V06 Calend 01'!H21-('V06 Calend 01'!I21*('V06 Calend 01'!E21-1))),'V06 Calend 01'!I21),0))+IF((124='V06 Calend 01'!D21),'V06 Calend 01'!J21,0))</f>
        <v>0</v>
      </c>
      <c r="EG21" s="2">
        <f>((IF((125='V06 Calend 01'!C21),('V06 Calend 01'!F21+'V06 Calend 01'!G21),0)+IF(AND(('V06 Calend 01'!E21&gt;0),(125&gt;'V06 Calend 01'!C21),(125&lt;'V06 Calend 01'!D21),(MOD((125-'V06 Calend 01'!C21),6)=0),(((125-'V06 Calend 01'!C21)/6)&lt;='V06 Calend 01'!E21)),IF((125=('V06 Calend 01'!C21+(6*'V06 Calend 01'!E21))),('V06 Calend 01'!H21-('V06 Calend 01'!I21*('V06 Calend 01'!E21-1))),'V06 Calend 01'!I21),0))+IF((125='V06 Calend 01'!D21),'V06 Calend 01'!J21,0))</f>
        <v>0</v>
      </c>
      <c r="EH21" s="2">
        <f>((IF((126='V06 Calend 01'!C21),('V06 Calend 01'!F21+'V06 Calend 01'!G21),0)+IF(AND(('V06 Calend 01'!E21&gt;0),(126&gt;'V06 Calend 01'!C21),(126&lt;'V06 Calend 01'!D21),(MOD((126-'V06 Calend 01'!C21),6)=0),(((126-'V06 Calend 01'!C21)/6)&lt;='V06 Calend 01'!E21)),IF((126=('V06 Calend 01'!C21+(6*'V06 Calend 01'!E21))),('V06 Calend 01'!H21-('V06 Calend 01'!I21*('V06 Calend 01'!E21-1))),'V06 Calend 01'!I21),0))+IF((126='V06 Calend 01'!D21),'V06 Calend 01'!J21,0))</f>
        <v>0</v>
      </c>
      <c r="EI21" s="2">
        <f>((IF((127='V06 Calend 01'!C21),('V06 Calend 01'!F21+'V06 Calend 01'!G21),0)+IF(AND(('V06 Calend 01'!E21&gt;0),(127&gt;'V06 Calend 01'!C21),(127&lt;'V06 Calend 01'!D21),(MOD((127-'V06 Calend 01'!C21),6)=0),(((127-'V06 Calend 01'!C21)/6)&lt;='V06 Calend 01'!E21)),IF((127=('V06 Calend 01'!C21+(6*'V06 Calend 01'!E21))),('V06 Calend 01'!H21-('V06 Calend 01'!I21*('V06 Calend 01'!E21-1))),'V06 Calend 01'!I21),0))+IF((127='V06 Calend 01'!D21),'V06 Calend 01'!J21,0))</f>
        <v>0</v>
      </c>
      <c r="EJ21" s="2">
        <f>((IF((128='V06 Calend 01'!C21),('V06 Calend 01'!F21+'V06 Calend 01'!G21),0)+IF(AND(('V06 Calend 01'!E21&gt;0),(128&gt;'V06 Calend 01'!C21),(128&lt;'V06 Calend 01'!D21),(MOD((128-'V06 Calend 01'!C21),6)=0),(((128-'V06 Calend 01'!C21)/6)&lt;='V06 Calend 01'!E21)),IF((128=('V06 Calend 01'!C21+(6*'V06 Calend 01'!E21))),('V06 Calend 01'!H21-('V06 Calend 01'!I21*('V06 Calend 01'!E21-1))),'V06 Calend 01'!I21),0))+IF((128='V06 Calend 01'!D21),'V06 Calend 01'!J21,0))</f>
        <v>0</v>
      </c>
      <c r="EK21" s="2">
        <f>((IF((129='V06 Calend 01'!C21),('V06 Calend 01'!F21+'V06 Calend 01'!G21),0)+IF(AND(('V06 Calend 01'!E21&gt;0),(129&gt;'V06 Calend 01'!C21),(129&lt;'V06 Calend 01'!D21),(MOD((129-'V06 Calend 01'!C21),6)=0),(((129-'V06 Calend 01'!C21)/6)&lt;='V06 Calend 01'!E21)),IF((129=('V06 Calend 01'!C21+(6*'V06 Calend 01'!E21))),('V06 Calend 01'!H21-('V06 Calend 01'!I21*('V06 Calend 01'!E21-1))),'V06 Calend 01'!I21),0))+IF((129='V06 Calend 01'!D21),'V06 Calend 01'!J21,0))</f>
        <v>0</v>
      </c>
      <c r="EL21" s="2">
        <f>((IF((130='V06 Calend 01'!C21),('V06 Calend 01'!F21+'V06 Calend 01'!G21),0)+IF(AND(('V06 Calend 01'!E21&gt;0),(130&gt;'V06 Calend 01'!C21),(130&lt;'V06 Calend 01'!D21),(MOD((130-'V06 Calend 01'!C21),6)=0),(((130-'V06 Calend 01'!C21)/6)&lt;='V06 Calend 01'!E21)),IF((130=('V06 Calend 01'!C21+(6*'V06 Calend 01'!E21))),('V06 Calend 01'!H21-('V06 Calend 01'!I21*('V06 Calend 01'!E21-1))),'V06 Calend 01'!I21),0))+IF((130='V06 Calend 01'!D21),'V06 Calend 01'!J21,0))</f>
        <v>0</v>
      </c>
      <c r="EM21" s="2">
        <f>((IF((131='V06 Calend 01'!C21),('V06 Calend 01'!F21+'V06 Calend 01'!G21),0)+IF(AND(('V06 Calend 01'!E21&gt;0),(131&gt;'V06 Calend 01'!C21),(131&lt;'V06 Calend 01'!D21),(MOD((131-'V06 Calend 01'!C21),6)=0),(((131-'V06 Calend 01'!C21)/6)&lt;='V06 Calend 01'!E21)),IF((131=('V06 Calend 01'!C21+(6*'V06 Calend 01'!E21))),('V06 Calend 01'!H21-('V06 Calend 01'!I21*('V06 Calend 01'!E21-1))),'V06 Calend 01'!I21),0))+IF((131='V06 Calend 01'!D21),'V06 Calend 01'!J21,0))</f>
        <v>0</v>
      </c>
      <c r="EN21" s="2">
        <f>((IF((132='V06 Calend 01'!C21),('V06 Calend 01'!F21+'V06 Calend 01'!G21),0)+IF(AND(('V06 Calend 01'!E21&gt;0),(132&gt;'V06 Calend 01'!C21),(132&lt;'V06 Calend 01'!D21),(MOD((132-'V06 Calend 01'!C21),6)=0),(((132-'V06 Calend 01'!C21)/6)&lt;='V06 Calend 01'!E21)),IF((132=('V06 Calend 01'!C21+(6*'V06 Calend 01'!E21))),('V06 Calend 01'!H21-('V06 Calend 01'!I21*('V06 Calend 01'!E21-1))),'V06 Calend 01'!I21),0))+IF((132='V06 Calend 01'!D21),'V06 Calend 01'!J21,0))</f>
        <v>0</v>
      </c>
      <c r="EO21" s="2">
        <f>((IF((133='V06 Calend 01'!C21),('V06 Calend 01'!F21+'V06 Calend 01'!G21),0)+IF(AND(('V06 Calend 01'!E21&gt;0),(133&gt;'V06 Calend 01'!C21),(133&lt;'V06 Calend 01'!D21),(MOD((133-'V06 Calend 01'!C21),6)=0),(((133-'V06 Calend 01'!C21)/6)&lt;='V06 Calend 01'!E21)),IF((133=('V06 Calend 01'!C21+(6*'V06 Calend 01'!E21))),('V06 Calend 01'!H21-('V06 Calend 01'!I21*('V06 Calend 01'!E21-1))),'V06 Calend 01'!I21),0))+IF((133='V06 Calend 01'!D21),'V06 Calend 01'!J21,0))</f>
        <v>0</v>
      </c>
      <c r="EP21" s="2">
        <f>((IF((134='V06 Calend 01'!C21),('V06 Calend 01'!F21+'V06 Calend 01'!G21),0)+IF(AND(('V06 Calend 01'!E21&gt;0),(134&gt;'V06 Calend 01'!C21),(134&lt;'V06 Calend 01'!D21),(MOD((134-'V06 Calend 01'!C21),6)=0),(((134-'V06 Calend 01'!C21)/6)&lt;='V06 Calend 01'!E21)),IF((134=('V06 Calend 01'!C21+(6*'V06 Calend 01'!E21))),('V06 Calend 01'!H21-('V06 Calend 01'!I21*('V06 Calend 01'!E21-1))),'V06 Calend 01'!I21),0))+IF((134='V06 Calend 01'!D21),'V06 Calend 01'!J21,0))</f>
        <v>0</v>
      </c>
      <c r="EQ21" s="2">
        <f>((IF((135='V06 Calend 01'!C21),('V06 Calend 01'!F21+'V06 Calend 01'!G21),0)+IF(AND(('V06 Calend 01'!E21&gt;0),(135&gt;'V06 Calend 01'!C21),(135&lt;'V06 Calend 01'!D21),(MOD((135-'V06 Calend 01'!C21),6)=0),(((135-'V06 Calend 01'!C21)/6)&lt;='V06 Calend 01'!E21)),IF((135=('V06 Calend 01'!C21+(6*'V06 Calend 01'!E21))),('V06 Calend 01'!H21-('V06 Calend 01'!I21*('V06 Calend 01'!E21-1))),'V06 Calend 01'!I21),0))+IF((135='V06 Calend 01'!D21),'V06 Calend 01'!J21,0))</f>
        <v>0</v>
      </c>
      <c r="ER21" s="2">
        <f>((IF((136='V06 Calend 01'!C21),('V06 Calend 01'!F21+'V06 Calend 01'!G21),0)+IF(AND(('V06 Calend 01'!E21&gt;0),(136&gt;'V06 Calend 01'!C21),(136&lt;'V06 Calend 01'!D21),(MOD((136-'V06 Calend 01'!C21),6)=0),(((136-'V06 Calend 01'!C21)/6)&lt;='V06 Calend 01'!E21)),IF((136=('V06 Calend 01'!C21+(6*'V06 Calend 01'!E21))),('V06 Calend 01'!H21-('V06 Calend 01'!I21*('V06 Calend 01'!E21-1))),'V06 Calend 01'!I21),0))+IF((136='V06 Calend 01'!D21),'V06 Calend 01'!J21,0))</f>
        <v>0</v>
      </c>
      <c r="ES21" s="2">
        <f>((IF((137='V06 Calend 01'!C21),('V06 Calend 01'!F21+'V06 Calend 01'!G21),0)+IF(AND(('V06 Calend 01'!E21&gt;0),(137&gt;'V06 Calend 01'!C21),(137&lt;'V06 Calend 01'!D21),(MOD((137-'V06 Calend 01'!C21),6)=0),(((137-'V06 Calend 01'!C21)/6)&lt;='V06 Calend 01'!E21)),IF((137=('V06 Calend 01'!C21+(6*'V06 Calend 01'!E21))),('V06 Calend 01'!H21-('V06 Calend 01'!I21*('V06 Calend 01'!E21-1))),'V06 Calend 01'!I21),0))+IF((137='V06 Calend 01'!D21),'V06 Calend 01'!J21,0))</f>
        <v>0</v>
      </c>
      <c r="ET21" s="2">
        <f>((IF((138='V06 Calend 01'!C21),('V06 Calend 01'!F21+'V06 Calend 01'!G21),0)+IF(AND(('V06 Calend 01'!E21&gt;0),(138&gt;'V06 Calend 01'!C21),(138&lt;'V06 Calend 01'!D21),(MOD((138-'V06 Calend 01'!C21),6)=0),(((138-'V06 Calend 01'!C21)/6)&lt;='V06 Calend 01'!E21)),IF((138=('V06 Calend 01'!C21+(6*'V06 Calend 01'!E21))),('V06 Calend 01'!H21-('V06 Calend 01'!I21*('V06 Calend 01'!E21-1))),'V06 Calend 01'!I21),0))+IF((138='V06 Calend 01'!D21),'V06 Calend 01'!J21,0))</f>
        <v>0</v>
      </c>
      <c r="EU21" s="2">
        <f>((IF((139='V06 Calend 01'!C21),('V06 Calend 01'!F21+'V06 Calend 01'!G21),0)+IF(AND(('V06 Calend 01'!E21&gt;0),(139&gt;'V06 Calend 01'!C21),(139&lt;'V06 Calend 01'!D21),(MOD((139-'V06 Calend 01'!C21),6)=0),(((139-'V06 Calend 01'!C21)/6)&lt;='V06 Calend 01'!E21)),IF((139=('V06 Calend 01'!C21+(6*'V06 Calend 01'!E21))),('V06 Calend 01'!H21-('V06 Calend 01'!I21*('V06 Calend 01'!E21-1))),'V06 Calend 01'!I21),0))+IF((139='V06 Calend 01'!D21),'V06 Calend 01'!J21,0))</f>
        <v>0</v>
      </c>
      <c r="EV21" s="2">
        <f>((IF((140='V06 Calend 01'!C21),('V06 Calend 01'!F21+'V06 Calend 01'!G21),0)+IF(AND(('V06 Calend 01'!E21&gt;0),(140&gt;'V06 Calend 01'!C21),(140&lt;'V06 Calend 01'!D21),(MOD((140-'V06 Calend 01'!C21),6)=0),(((140-'V06 Calend 01'!C21)/6)&lt;='V06 Calend 01'!E21)),IF((140=('V06 Calend 01'!C21+(6*'V06 Calend 01'!E21))),('V06 Calend 01'!H21-('V06 Calend 01'!I21*('V06 Calend 01'!E21-1))),'V06 Calend 01'!I21),0))+IF((140='V06 Calend 01'!D21),'V06 Calend 01'!J21,0))</f>
        <v>0</v>
      </c>
      <c r="EW21" s="2">
        <f>((IF((141='V06 Calend 01'!C21),('V06 Calend 01'!F21+'V06 Calend 01'!G21),0)+IF(AND(('V06 Calend 01'!E21&gt;0),(141&gt;'V06 Calend 01'!C21),(141&lt;'V06 Calend 01'!D21),(MOD((141-'V06 Calend 01'!C21),6)=0),(((141-'V06 Calend 01'!C21)/6)&lt;='V06 Calend 01'!E21)),IF((141=('V06 Calend 01'!C21+(6*'V06 Calend 01'!E21))),('V06 Calend 01'!H21-('V06 Calend 01'!I21*('V06 Calend 01'!E21-1))),'V06 Calend 01'!I21),0))+IF((141='V06 Calend 01'!D21),'V06 Calend 01'!J21,0))</f>
        <v>0</v>
      </c>
      <c r="EX21" s="2">
        <f>((IF((142='V06 Calend 01'!C21),('V06 Calend 01'!F21+'V06 Calend 01'!G21),0)+IF(AND(('V06 Calend 01'!E21&gt;0),(142&gt;'V06 Calend 01'!C21),(142&lt;'V06 Calend 01'!D21),(MOD((142-'V06 Calend 01'!C21),6)=0),(((142-'V06 Calend 01'!C21)/6)&lt;='V06 Calend 01'!E21)),IF((142=('V06 Calend 01'!C21+(6*'V06 Calend 01'!E21))),('V06 Calend 01'!H21-('V06 Calend 01'!I21*('V06 Calend 01'!E21-1))),'V06 Calend 01'!I21),0))+IF((142='V06 Calend 01'!D21),'V06 Calend 01'!J21,0))</f>
        <v>0</v>
      </c>
      <c r="EY21" s="2">
        <f>((IF((143='V06 Calend 01'!C21),('V06 Calend 01'!F21+'V06 Calend 01'!G21),0)+IF(AND(('V06 Calend 01'!E21&gt;0),(143&gt;'V06 Calend 01'!C21),(143&lt;'V06 Calend 01'!D21),(MOD((143-'V06 Calend 01'!C21),6)=0),(((143-'V06 Calend 01'!C21)/6)&lt;='V06 Calend 01'!E21)),IF((143=('V06 Calend 01'!C21+(6*'V06 Calend 01'!E21))),('V06 Calend 01'!H21-('V06 Calend 01'!I21*('V06 Calend 01'!E21-1))),'V06 Calend 01'!I21),0))+IF((143='V06 Calend 01'!D21),'V06 Calend 01'!J21,0))</f>
        <v>0</v>
      </c>
      <c r="EZ21" s="2">
        <f>((IF((144='V06 Calend 01'!C21),('V06 Calend 01'!F21+'V06 Calend 01'!G21),0)+IF(AND(('V06 Calend 01'!E21&gt;0),(144&gt;'V06 Calend 01'!C21),(144&lt;'V06 Calend 01'!D21),(MOD((144-'V06 Calend 01'!C21),6)=0),(((144-'V06 Calend 01'!C21)/6)&lt;='V06 Calend 01'!E21)),IF((144=('V06 Calend 01'!C21+(6*'V06 Calend 01'!E21))),('V06 Calend 01'!H21-('V06 Calend 01'!I21*('V06 Calend 01'!E21-1))),'V06 Calend 01'!I21),0))+IF((144='V06 Calend 01'!D21),'V06 Calend 01'!J21,0))</f>
        <v>0</v>
      </c>
      <c r="FA21" s="2">
        <f>((IF((145='V06 Calend 01'!C21),('V06 Calend 01'!F21+'V06 Calend 01'!G21),0)+IF(AND(('V06 Calend 01'!E21&gt;0),(145&gt;'V06 Calend 01'!C21),(145&lt;'V06 Calend 01'!D21),(MOD((145-'V06 Calend 01'!C21),6)=0),(((145-'V06 Calend 01'!C21)/6)&lt;='V06 Calend 01'!E21)),IF((145=('V06 Calend 01'!C21+(6*'V06 Calend 01'!E21))),('V06 Calend 01'!H21-('V06 Calend 01'!I21*('V06 Calend 01'!E21-1))),'V06 Calend 01'!I21),0))+IF((145='V06 Calend 01'!D21),'V06 Calend 01'!J21,0))</f>
        <v>0</v>
      </c>
      <c r="FB21" s="2">
        <f>((IF((146='V06 Calend 01'!C21),('V06 Calend 01'!F21+'V06 Calend 01'!G21),0)+IF(AND(('V06 Calend 01'!E21&gt;0),(146&gt;'V06 Calend 01'!C21),(146&lt;'V06 Calend 01'!D21),(MOD((146-'V06 Calend 01'!C21),6)=0),(((146-'V06 Calend 01'!C21)/6)&lt;='V06 Calend 01'!E21)),IF((146=('V06 Calend 01'!C21+(6*'V06 Calend 01'!E21))),('V06 Calend 01'!H21-('V06 Calend 01'!I21*('V06 Calend 01'!E21-1))),'V06 Calend 01'!I21),0))+IF((146='V06 Calend 01'!D21),'V06 Calend 01'!J21,0))</f>
        <v>0</v>
      </c>
      <c r="FC21" s="2">
        <f>((IF((147='V06 Calend 01'!C21),('V06 Calend 01'!F21+'V06 Calend 01'!G21),0)+IF(AND(('V06 Calend 01'!E21&gt;0),(147&gt;'V06 Calend 01'!C21),(147&lt;'V06 Calend 01'!D21),(MOD((147-'V06 Calend 01'!C21),6)=0),(((147-'V06 Calend 01'!C21)/6)&lt;='V06 Calend 01'!E21)),IF((147=('V06 Calend 01'!C21+(6*'V06 Calend 01'!E21))),('V06 Calend 01'!H21-('V06 Calend 01'!I21*('V06 Calend 01'!E21-1))),'V06 Calend 01'!I21),0))+IF((147='V06 Calend 01'!D21),'V06 Calend 01'!J21,0))</f>
        <v>0</v>
      </c>
      <c r="FD21" s="2">
        <f>((IF((148='V06 Calend 01'!C21),('V06 Calend 01'!F21+'V06 Calend 01'!G21),0)+IF(AND(('V06 Calend 01'!E21&gt;0),(148&gt;'V06 Calend 01'!C21),(148&lt;'V06 Calend 01'!D21),(MOD((148-'V06 Calend 01'!C21),6)=0),(((148-'V06 Calend 01'!C21)/6)&lt;='V06 Calend 01'!E21)),IF((148=('V06 Calend 01'!C21+(6*'V06 Calend 01'!E21))),('V06 Calend 01'!H21-('V06 Calend 01'!I21*('V06 Calend 01'!E21-1))),'V06 Calend 01'!I21),0))+IF((148='V06 Calend 01'!D21),'V06 Calend 01'!J21,0))</f>
        <v>0</v>
      </c>
      <c r="FE21" s="2">
        <f>((IF((149='V06 Calend 01'!C21),('V06 Calend 01'!F21+'V06 Calend 01'!G21),0)+IF(AND(('V06 Calend 01'!E21&gt;0),(149&gt;'V06 Calend 01'!C21),(149&lt;'V06 Calend 01'!D21),(MOD((149-'V06 Calend 01'!C21),6)=0),(((149-'V06 Calend 01'!C21)/6)&lt;='V06 Calend 01'!E21)),IF((149=('V06 Calend 01'!C21+(6*'V06 Calend 01'!E21))),('V06 Calend 01'!H21-('V06 Calend 01'!I21*('V06 Calend 01'!E21-1))),'V06 Calend 01'!I21),0))+IF((149='V06 Calend 01'!D21),'V06 Calend 01'!J21,0))</f>
        <v>0</v>
      </c>
      <c r="FF21" s="2">
        <f>((IF((150='V06 Calend 01'!C21),('V06 Calend 01'!F21+'V06 Calend 01'!G21),0)+IF(AND(('V06 Calend 01'!E21&gt;0),(150&gt;'V06 Calend 01'!C21),(150&lt;'V06 Calend 01'!D21),(MOD((150-'V06 Calend 01'!C21),6)=0),(((150-'V06 Calend 01'!C21)/6)&lt;='V06 Calend 01'!E21)),IF((150=('V06 Calend 01'!C21+(6*'V06 Calend 01'!E21))),('V06 Calend 01'!H21-('V06 Calend 01'!I21*('V06 Calend 01'!E21-1))),'V06 Calend 01'!I21),0))+IF((150='V06 Calend 01'!D21),'V06 Calend 01'!J21,0))</f>
        <v>0</v>
      </c>
      <c r="FG21" s="2">
        <f>((IF((151='V06 Calend 01'!C21),('V06 Calend 01'!F21+'V06 Calend 01'!G21),0)+IF(AND(('V06 Calend 01'!E21&gt;0),(151&gt;'V06 Calend 01'!C21),(151&lt;'V06 Calend 01'!D21),(MOD((151-'V06 Calend 01'!C21),6)=0),(((151-'V06 Calend 01'!C21)/6)&lt;='V06 Calend 01'!E21)),IF((151=('V06 Calend 01'!C21+(6*'V06 Calend 01'!E21))),('V06 Calend 01'!H21-('V06 Calend 01'!I21*('V06 Calend 01'!E21-1))),'V06 Calend 01'!I21),0))+IF((151='V06 Calend 01'!D21),'V06 Calend 01'!J21,0))</f>
        <v>0</v>
      </c>
      <c r="FH21" s="2">
        <f>((IF((152='V06 Calend 01'!C21),('V06 Calend 01'!F21+'V06 Calend 01'!G21),0)+IF(AND(('V06 Calend 01'!E21&gt;0),(152&gt;'V06 Calend 01'!C21),(152&lt;'V06 Calend 01'!D21),(MOD((152-'V06 Calend 01'!C21),6)=0),(((152-'V06 Calend 01'!C21)/6)&lt;='V06 Calend 01'!E21)),IF((152=('V06 Calend 01'!C21+(6*'V06 Calend 01'!E21))),('V06 Calend 01'!H21-('V06 Calend 01'!I21*('V06 Calend 01'!E21-1))),'V06 Calend 01'!I21),0))+IF((152='V06 Calend 01'!D21),'V06 Calend 01'!J21,0))</f>
        <v>0</v>
      </c>
      <c r="FI21" s="2">
        <f>((IF((153='V06 Calend 01'!C21),('V06 Calend 01'!F21+'V06 Calend 01'!G21),0)+IF(AND(('V06 Calend 01'!E21&gt;0),(153&gt;'V06 Calend 01'!C21),(153&lt;'V06 Calend 01'!D21),(MOD((153-'V06 Calend 01'!C21),6)=0),(((153-'V06 Calend 01'!C21)/6)&lt;='V06 Calend 01'!E21)),IF((153=('V06 Calend 01'!C21+(6*'V06 Calend 01'!E21))),('V06 Calend 01'!H21-('V06 Calend 01'!I21*('V06 Calend 01'!E21-1))),'V06 Calend 01'!I21),0))+IF((153='V06 Calend 01'!D21),'V06 Calend 01'!J21,0))</f>
        <v>0</v>
      </c>
      <c r="FJ21" s="2">
        <f>((IF((154='V06 Calend 01'!C21),('V06 Calend 01'!F21+'V06 Calend 01'!G21),0)+IF(AND(('V06 Calend 01'!E21&gt;0),(154&gt;'V06 Calend 01'!C21),(154&lt;'V06 Calend 01'!D21),(MOD((154-'V06 Calend 01'!C21),6)=0),(((154-'V06 Calend 01'!C21)/6)&lt;='V06 Calend 01'!E21)),IF((154=('V06 Calend 01'!C21+(6*'V06 Calend 01'!E21))),('V06 Calend 01'!H21-('V06 Calend 01'!I21*('V06 Calend 01'!E21-1))),'V06 Calend 01'!I21),0))+IF((154='V06 Calend 01'!D21),'V06 Calend 01'!J21,0))</f>
        <v>0</v>
      </c>
      <c r="FK21" s="2">
        <f>((IF((155='V06 Calend 01'!C21),('V06 Calend 01'!F21+'V06 Calend 01'!G21),0)+IF(AND(('V06 Calend 01'!E21&gt;0),(155&gt;'V06 Calend 01'!C21),(155&lt;'V06 Calend 01'!D21),(MOD((155-'V06 Calend 01'!C21),6)=0),(((155-'V06 Calend 01'!C21)/6)&lt;='V06 Calend 01'!E21)),IF((155=('V06 Calend 01'!C21+(6*'V06 Calend 01'!E21))),('V06 Calend 01'!H21-('V06 Calend 01'!I21*('V06 Calend 01'!E21-1))),'V06 Calend 01'!I21),0))+IF((155='V06 Calend 01'!D21),'V06 Calend 01'!J21,0))</f>
        <v>0</v>
      </c>
      <c r="FL21" s="2">
        <f>((IF((156='V06 Calend 01'!C21),('V06 Calend 01'!F21+'V06 Calend 01'!G21),0)+IF(AND(('V06 Calend 01'!E21&gt;0),(156&gt;'V06 Calend 01'!C21),(156&lt;'V06 Calend 01'!D21),(MOD((156-'V06 Calend 01'!C21),6)=0),(((156-'V06 Calend 01'!C21)/6)&lt;='V06 Calend 01'!E21)),IF((156=('V06 Calend 01'!C21+(6*'V06 Calend 01'!E21))),('V06 Calend 01'!H21-('V06 Calend 01'!I21*('V06 Calend 01'!E21-1))),'V06 Calend 01'!I21),0))+IF((156='V06 Calend 01'!D21),'V06 Calend 01'!J21,0))</f>
        <v>0</v>
      </c>
      <c r="FM21" s="2">
        <f>((IF((157='V06 Calend 01'!C21),('V06 Calend 01'!F21+'V06 Calend 01'!G21),0)+IF(AND(('V06 Calend 01'!E21&gt;0),(157&gt;'V06 Calend 01'!C21),(157&lt;'V06 Calend 01'!D21),(MOD((157-'V06 Calend 01'!C21),6)=0),(((157-'V06 Calend 01'!C21)/6)&lt;='V06 Calend 01'!E21)),IF((157=('V06 Calend 01'!C21+(6*'V06 Calend 01'!E21))),('V06 Calend 01'!H21-('V06 Calend 01'!I21*('V06 Calend 01'!E21-1))),'V06 Calend 01'!I21),0))+IF((157='V06 Calend 01'!D21),'V06 Calend 01'!J21,0))</f>
        <v>0</v>
      </c>
      <c r="FN21" s="2">
        <f>((IF((158='V06 Calend 01'!C21),('V06 Calend 01'!F21+'V06 Calend 01'!G21),0)+IF(AND(('V06 Calend 01'!E21&gt;0),(158&gt;'V06 Calend 01'!C21),(158&lt;'V06 Calend 01'!D21),(MOD((158-'V06 Calend 01'!C21),6)=0),(((158-'V06 Calend 01'!C21)/6)&lt;='V06 Calend 01'!E21)),IF((158=('V06 Calend 01'!C21+(6*'V06 Calend 01'!E21))),('V06 Calend 01'!H21-('V06 Calend 01'!I21*('V06 Calend 01'!E21-1))),'V06 Calend 01'!I21),0))+IF((158='V06 Calend 01'!D21),'V06 Calend 01'!J21,0))</f>
        <v>0</v>
      </c>
      <c r="FO21" s="2">
        <f>((IF((159='V06 Calend 01'!C21),('V06 Calend 01'!F21+'V06 Calend 01'!G21),0)+IF(AND(('V06 Calend 01'!E21&gt;0),(159&gt;'V06 Calend 01'!C21),(159&lt;'V06 Calend 01'!D21),(MOD((159-'V06 Calend 01'!C21),6)=0),(((159-'V06 Calend 01'!C21)/6)&lt;='V06 Calend 01'!E21)),IF((159=('V06 Calend 01'!C21+(6*'V06 Calend 01'!E21))),('V06 Calend 01'!H21-('V06 Calend 01'!I21*('V06 Calend 01'!E21-1))),'V06 Calend 01'!I21),0))+IF((159='V06 Calend 01'!D21),'V06 Calend 01'!J21,0))</f>
        <v>0</v>
      </c>
      <c r="FP21" s="2">
        <f>((IF((160='V06 Calend 01'!C21),('V06 Calend 01'!F21+'V06 Calend 01'!G21),0)+IF(AND(('V06 Calend 01'!E21&gt;0),(160&gt;'V06 Calend 01'!C21),(160&lt;'V06 Calend 01'!D21),(MOD((160-'V06 Calend 01'!C21),6)=0),(((160-'V06 Calend 01'!C21)/6)&lt;='V06 Calend 01'!E21)),IF((160=('V06 Calend 01'!C21+(6*'V06 Calend 01'!E21))),('V06 Calend 01'!H21-('V06 Calend 01'!I21*('V06 Calend 01'!E21-1))),'V06 Calend 01'!I21),0))+IF((160='V06 Calend 01'!D21),'V06 Calend 01'!J21,0))</f>
        <v>0</v>
      </c>
      <c r="FQ21" s="2">
        <f>((IF((161='V06 Calend 01'!C21),('V06 Calend 01'!F21+'V06 Calend 01'!G21),0)+IF(AND(('V06 Calend 01'!E21&gt;0),(161&gt;'V06 Calend 01'!C21),(161&lt;'V06 Calend 01'!D21),(MOD((161-'V06 Calend 01'!C21),6)=0),(((161-'V06 Calend 01'!C21)/6)&lt;='V06 Calend 01'!E21)),IF((161=('V06 Calend 01'!C21+(6*'V06 Calend 01'!E21))),('V06 Calend 01'!H21-('V06 Calend 01'!I21*('V06 Calend 01'!E21-1))),'V06 Calend 01'!I21),0))+IF((161='V06 Calend 01'!D21),'V06 Calend 01'!J21,0))</f>
        <v>0</v>
      </c>
      <c r="FR21" s="2">
        <f>((IF((162='V06 Calend 01'!C21),('V06 Calend 01'!F21+'V06 Calend 01'!G21),0)+IF(AND(('V06 Calend 01'!E21&gt;0),(162&gt;'V06 Calend 01'!C21),(162&lt;'V06 Calend 01'!D21),(MOD((162-'V06 Calend 01'!C21),6)=0),(((162-'V06 Calend 01'!C21)/6)&lt;='V06 Calend 01'!E21)),IF((162=('V06 Calend 01'!C21+(6*'V06 Calend 01'!E21))),('V06 Calend 01'!H21-('V06 Calend 01'!I21*('V06 Calend 01'!E21-1))),'V06 Calend 01'!I21),0))+IF((162='V06 Calend 01'!D21),'V06 Calend 01'!J21,0))</f>
        <v>0</v>
      </c>
      <c r="FS21" s="2">
        <f>((IF((163='V06 Calend 01'!C21),('V06 Calend 01'!F21+'V06 Calend 01'!G21),0)+IF(AND(('V06 Calend 01'!E21&gt;0),(163&gt;'V06 Calend 01'!C21),(163&lt;'V06 Calend 01'!D21),(MOD((163-'V06 Calend 01'!C21),6)=0),(((163-'V06 Calend 01'!C21)/6)&lt;='V06 Calend 01'!E21)),IF((163=('V06 Calend 01'!C21+(6*'V06 Calend 01'!E21))),('V06 Calend 01'!H21-('V06 Calend 01'!I21*('V06 Calend 01'!E21-1))),'V06 Calend 01'!I21),0))+IF((163='V06 Calend 01'!D21),'V06 Calend 01'!J21,0))</f>
        <v>0</v>
      </c>
      <c r="FT21" s="2">
        <f>((IF((164='V06 Calend 01'!C21),('V06 Calend 01'!F21+'V06 Calend 01'!G21),0)+IF(AND(('V06 Calend 01'!E21&gt;0),(164&gt;'V06 Calend 01'!C21),(164&lt;'V06 Calend 01'!D21),(MOD((164-'V06 Calend 01'!C21),6)=0),(((164-'V06 Calend 01'!C21)/6)&lt;='V06 Calend 01'!E21)),IF((164=('V06 Calend 01'!C21+(6*'V06 Calend 01'!E21))),('V06 Calend 01'!H21-('V06 Calend 01'!I21*('V06 Calend 01'!E21-1))),'V06 Calend 01'!I21),0))+IF((164='V06 Calend 01'!D21),'V06 Calend 01'!J21,0))</f>
        <v>0</v>
      </c>
      <c r="FU21" s="2">
        <f>((IF((165='V06 Calend 01'!C21),('V06 Calend 01'!F21+'V06 Calend 01'!G21),0)+IF(AND(('V06 Calend 01'!E21&gt;0),(165&gt;'V06 Calend 01'!C21),(165&lt;'V06 Calend 01'!D21),(MOD((165-'V06 Calend 01'!C21),6)=0),(((165-'V06 Calend 01'!C21)/6)&lt;='V06 Calend 01'!E21)),IF((165=('V06 Calend 01'!C21+(6*'V06 Calend 01'!E21))),('V06 Calend 01'!H21-('V06 Calend 01'!I21*('V06 Calend 01'!E21-1))),'V06 Calend 01'!I21),0))+IF((165='V06 Calend 01'!D21),'V06 Calend 01'!J21,0))</f>
        <v>0</v>
      </c>
      <c r="FV21" s="2">
        <f>((IF((166='V06 Calend 01'!C21),('V06 Calend 01'!F21+'V06 Calend 01'!G21),0)+IF(AND(('V06 Calend 01'!E21&gt;0),(166&gt;'V06 Calend 01'!C21),(166&lt;'V06 Calend 01'!D21),(MOD((166-'V06 Calend 01'!C21),6)=0),(((166-'V06 Calend 01'!C21)/6)&lt;='V06 Calend 01'!E21)),IF((166=('V06 Calend 01'!C21+(6*'V06 Calend 01'!E21))),('V06 Calend 01'!H21-('V06 Calend 01'!I21*('V06 Calend 01'!E21-1))),'V06 Calend 01'!I21),0))+IF((166='V06 Calend 01'!D21),'V06 Calend 01'!J21,0))</f>
        <v>0</v>
      </c>
      <c r="FW21" s="2">
        <f>((IF((167='V06 Calend 01'!C21),('V06 Calend 01'!F21+'V06 Calend 01'!G21),0)+IF(AND(('V06 Calend 01'!E21&gt;0),(167&gt;'V06 Calend 01'!C21),(167&lt;'V06 Calend 01'!D21),(MOD((167-'V06 Calend 01'!C21),6)=0),(((167-'V06 Calend 01'!C21)/6)&lt;='V06 Calend 01'!E21)),IF((167=('V06 Calend 01'!C21+(6*'V06 Calend 01'!E21))),('V06 Calend 01'!H21-('V06 Calend 01'!I21*('V06 Calend 01'!E21-1))),'V06 Calend 01'!I21),0))+IF((167='V06 Calend 01'!D21),'V06 Calend 01'!J21,0))</f>
        <v>0</v>
      </c>
      <c r="FX21" s="2">
        <f>((IF((168='V06 Calend 01'!C21),('V06 Calend 01'!F21+'V06 Calend 01'!G21),0)+IF(AND(('V06 Calend 01'!E21&gt;0),(168&gt;'V06 Calend 01'!C21),(168&lt;'V06 Calend 01'!D21),(MOD((168-'V06 Calend 01'!C21),6)=0),(((168-'V06 Calend 01'!C21)/6)&lt;='V06 Calend 01'!E21)),IF((168=('V06 Calend 01'!C21+(6*'V06 Calend 01'!E21))),('V06 Calend 01'!H21-('V06 Calend 01'!I21*('V06 Calend 01'!E21-1))),'V06 Calend 01'!I21),0))+IF((168='V06 Calend 01'!D21),'V06 Calend 01'!J21,0))</f>
        <v>0</v>
      </c>
      <c r="FY21" s="2">
        <f>((IF((169='V06 Calend 01'!C21),('V06 Calend 01'!F21+'V06 Calend 01'!G21),0)+IF(AND(('V06 Calend 01'!E21&gt;0),(169&gt;'V06 Calend 01'!C21),(169&lt;'V06 Calend 01'!D21),(MOD((169-'V06 Calend 01'!C21),6)=0),(((169-'V06 Calend 01'!C21)/6)&lt;='V06 Calend 01'!E21)),IF((169=('V06 Calend 01'!C21+(6*'V06 Calend 01'!E21))),('V06 Calend 01'!H21-('V06 Calend 01'!I21*('V06 Calend 01'!E21-1))),'V06 Calend 01'!I21),0))+IF((169='V06 Calend 01'!D21),'V06 Calend 01'!J21,0))</f>
        <v>0</v>
      </c>
      <c r="FZ21" s="2">
        <f>((IF((170='V06 Calend 01'!C21),('V06 Calend 01'!F21+'V06 Calend 01'!G21),0)+IF(AND(('V06 Calend 01'!E21&gt;0),(170&gt;'V06 Calend 01'!C21),(170&lt;'V06 Calend 01'!D21),(MOD((170-'V06 Calend 01'!C21),6)=0),(((170-'V06 Calend 01'!C21)/6)&lt;='V06 Calend 01'!E21)),IF((170=('V06 Calend 01'!C21+(6*'V06 Calend 01'!E21))),('V06 Calend 01'!H21-('V06 Calend 01'!I21*('V06 Calend 01'!E21-1))),'V06 Calend 01'!I21),0))+IF((170='V06 Calend 01'!D21),'V06 Calend 01'!J21,0))</f>
        <v>0</v>
      </c>
      <c r="GA21" s="2">
        <f>((IF((171='V06 Calend 01'!C21),('V06 Calend 01'!F21+'V06 Calend 01'!G21),0)+IF(AND(('V06 Calend 01'!E21&gt;0),(171&gt;'V06 Calend 01'!C21),(171&lt;'V06 Calend 01'!D21),(MOD((171-'V06 Calend 01'!C21),6)=0),(((171-'V06 Calend 01'!C21)/6)&lt;='V06 Calend 01'!E21)),IF((171=('V06 Calend 01'!C21+(6*'V06 Calend 01'!E21))),('V06 Calend 01'!H21-('V06 Calend 01'!I21*('V06 Calend 01'!E21-1))),'V06 Calend 01'!I21),0))+IF((171='V06 Calend 01'!D21),'V06 Calend 01'!J21,0))</f>
        <v>0</v>
      </c>
      <c r="GB21" s="2">
        <f>((IF((172='V06 Calend 01'!C21),('V06 Calend 01'!F21+'V06 Calend 01'!G21),0)+IF(AND(('V06 Calend 01'!E21&gt;0),(172&gt;'V06 Calend 01'!C21),(172&lt;'V06 Calend 01'!D21),(MOD((172-'V06 Calend 01'!C21),6)=0),(((172-'V06 Calend 01'!C21)/6)&lt;='V06 Calend 01'!E21)),IF((172=('V06 Calend 01'!C21+(6*'V06 Calend 01'!E21))),('V06 Calend 01'!H21-('V06 Calend 01'!I21*('V06 Calend 01'!E21-1))),'V06 Calend 01'!I21),0))+IF((172='V06 Calend 01'!D21),'V06 Calend 01'!J21,0))</f>
        <v>0</v>
      </c>
      <c r="GC21" s="2">
        <f>((IF((173='V06 Calend 01'!C21),('V06 Calend 01'!F21+'V06 Calend 01'!G21),0)+IF(AND(('V06 Calend 01'!E21&gt;0),(173&gt;'V06 Calend 01'!C21),(173&lt;'V06 Calend 01'!D21),(MOD((173-'V06 Calend 01'!C21),6)=0),(((173-'V06 Calend 01'!C21)/6)&lt;='V06 Calend 01'!E21)),IF((173=('V06 Calend 01'!C21+(6*'V06 Calend 01'!E21))),('V06 Calend 01'!H21-('V06 Calend 01'!I21*('V06 Calend 01'!E21-1))),'V06 Calend 01'!I21),0))+IF((173='V06 Calend 01'!D21),'V06 Calend 01'!J21,0))</f>
        <v>0</v>
      </c>
      <c r="GD21" s="2">
        <f>((IF((174='V06 Calend 01'!C21),('V06 Calend 01'!F21+'V06 Calend 01'!G21),0)+IF(AND(('V06 Calend 01'!E21&gt;0),(174&gt;'V06 Calend 01'!C21),(174&lt;'V06 Calend 01'!D21),(MOD((174-'V06 Calend 01'!C21),6)=0),(((174-'V06 Calend 01'!C21)/6)&lt;='V06 Calend 01'!E21)),IF((174=('V06 Calend 01'!C21+(6*'V06 Calend 01'!E21))),('V06 Calend 01'!H21-('V06 Calend 01'!I21*('V06 Calend 01'!E21-1))),'V06 Calend 01'!I21),0))+IF((174='V06 Calend 01'!D21),'V06 Calend 01'!J21,0))</f>
        <v>0</v>
      </c>
      <c r="GE21" s="2">
        <f>((IF((175='V06 Calend 01'!C21),('V06 Calend 01'!F21+'V06 Calend 01'!G21),0)+IF(AND(('V06 Calend 01'!E21&gt;0),(175&gt;'V06 Calend 01'!C21),(175&lt;'V06 Calend 01'!D21),(MOD((175-'V06 Calend 01'!C21),6)=0),(((175-'V06 Calend 01'!C21)/6)&lt;='V06 Calend 01'!E21)),IF((175=('V06 Calend 01'!C21+(6*'V06 Calend 01'!E21))),('V06 Calend 01'!H21-('V06 Calend 01'!I21*('V06 Calend 01'!E21-1))),'V06 Calend 01'!I21),0))+IF((175='V06 Calend 01'!D21),'V06 Calend 01'!J21,0))</f>
        <v>0</v>
      </c>
      <c r="GF21" s="2">
        <f>((IF((176='V06 Calend 01'!C21),('V06 Calend 01'!F21+'V06 Calend 01'!G21),0)+IF(AND(('V06 Calend 01'!E21&gt;0),(176&gt;'V06 Calend 01'!C21),(176&lt;'V06 Calend 01'!D21),(MOD((176-'V06 Calend 01'!C21),6)=0),(((176-'V06 Calend 01'!C21)/6)&lt;='V06 Calend 01'!E21)),IF((176=('V06 Calend 01'!C21+(6*'V06 Calend 01'!E21))),('V06 Calend 01'!H21-('V06 Calend 01'!I21*('V06 Calend 01'!E21-1))),'V06 Calend 01'!I21),0))+IF((176='V06 Calend 01'!D21),'V06 Calend 01'!J21,0))</f>
        <v>0</v>
      </c>
      <c r="GG21" s="2">
        <f>((IF((177='V06 Calend 01'!C21),('V06 Calend 01'!F21+'V06 Calend 01'!G21),0)+IF(AND(('V06 Calend 01'!E21&gt;0),(177&gt;'V06 Calend 01'!C21),(177&lt;'V06 Calend 01'!D21),(MOD((177-'V06 Calend 01'!C21),6)=0),(((177-'V06 Calend 01'!C21)/6)&lt;='V06 Calend 01'!E21)),IF((177=('V06 Calend 01'!C21+(6*'V06 Calend 01'!E21))),('V06 Calend 01'!H21-('V06 Calend 01'!I21*('V06 Calend 01'!E21-1))),'V06 Calend 01'!I21),0))+IF((177='V06 Calend 01'!D21),'V06 Calend 01'!J21,0))</f>
        <v>0</v>
      </c>
      <c r="GH21" s="2">
        <f>((IF((178='V06 Calend 01'!C21),('V06 Calend 01'!F21+'V06 Calend 01'!G21),0)+IF(AND(('V06 Calend 01'!E21&gt;0),(178&gt;'V06 Calend 01'!C21),(178&lt;'V06 Calend 01'!D21),(MOD((178-'V06 Calend 01'!C21),6)=0),(((178-'V06 Calend 01'!C21)/6)&lt;='V06 Calend 01'!E21)),IF((178=('V06 Calend 01'!C21+(6*'V06 Calend 01'!E21))),('V06 Calend 01'!H21-('V06 Calend 01'!I21*('V06 Calend 01'!E21-1))),'V06 Calend 01'!I21),0))+IF((178='V06 Calend 01'!D21),'V06 Calend 01'!J21,0))</f>
        <v>0</v>
      </c>
      <c r="GI21" s="2">
        <f>((IF((179='V06 Calend 01'!C21),('V06 Calend 01'!F21+'V06 Calend 01'!G21),0)+IF(AND(('V06 Calend 01'!E21&gt;0),(179&gt;'V06 Calend 01'!C21),(179&lt;'V06 Calend 01'!D21),(MOD((179-'V06 Calend 01'!C21),6)=0),(((179-'V06 Calend 01'!C21)/6)&lt;='V06 Calend 01'!E21)),IF((179=('V06 Calend 01'!C21+(6*'V06 Calend 01'!E21))),('V06 Calend 01'!H21-('V06 Calend 01'!I21*('V06 Calend 01'!E21-1))),'V06 Calend 01'!I21),0))+IF((179='V06 Calend 01'!D21),'V06 Calend 01'!J21,0))</f>
        <v>0</v>
      </c>
      <c r="GJ21" s="2">
        <f>((IF((180='V06 Calend 01'!C21),('V06 Calend 01'!F21+'V06 Calend 01'!G21),0)+IF(AND(('V06 Calend 01'!E21&gt;0),(180&gt;'V06 Calend 01'!C21),(180&lt;'V06 Calend 01'!D21),(MOD((180-'V06 Calend 01'!C21),6)=0),(((180-'V06 Calend 01'!C21)/6)&lt;='V06 Calend 01'!E21)),IF((180=('V06 Calend 01'!C21+(6*'V06 Calend 01'!E21))),('V06 Calend 01'!H21-('V06 Calend 01'!I21*('V06 Calend 01'!E21-1))),'V06 Calend 01'!I21),0))+IF((180='V06 Calend 01'!D21),'V06 Calend 01'!J21,0))</f>
        <v>0</v>
      </c>
    </row>
    <row r="22" spans="1:192">
      <c r="A22" s="3" t="str">
        <f>'V06 Unidades'!$A$22</f>
        <v>308</v>
      </c>
      <c r="B22" s="2">
        <f>'V06 Unidades'!$H$22</f>
        <v>258060</v>
      </c>
      <c r="C22" s="4">
        <f>('V06 Unidades'!$I$22+'V06 Controlos'!$B$37)</f>
        <v>10</v>
      </c>
      <c r="D22" s="4">
        <f>IF(('V06 Controlos'!$B$38&gt;0),MAX(('V06 Unidades'!$L$22+'V06 Controlos'!$B$37),(30+'V06 Controlos'!$B$38)),('V06 Unidades'!$L$22+'V06 Controlos'!$B$37))</f>
        <v>30</v>
      </c>
      <c r="E22" s="4">
        <f>MAX(0,INT(((('V06 Calend 01'!D22-'V06 Calend 01'!C22)-1)/6)))</f>
        <v>3</v>
      </c>
      <c r="F22" s="2">
        <f>ROUND(('V06 Calend 01'!B22*0.05),2)</f>
        <v>12903.0</v>
      </c>
      <c r="G22" s="2">
        <f>ROUND(('V06 Calend 01'!B22*0.2),2)</f>
        <v>51612.0</v>
      </c>
      <c r="H22" s="2">
        <f>ROUND(('V06 Calend 01'!B22*0.55),2)</f>
        <v>141933.0</v>
      </c>
      <c r="I22" s="2">
        <f>ROUND(('V06 Calend 01'!H22/MAX(1,'V06 Calend 01'!E22)),2)</f>
        <v>47311.0</v>
      </c>
      <c r="J22" s="2">
        <f>((('V06 Calend 01'!B22-'V06 Calend 01'!F22)-'V06 Calend 01'!G22)-'V06 Calend 01'!H22)</f>
        <v>51612.0</v>
      </c>
      <c r="K22" s="2">
        <f>('V06 Calend 01'!B22*0.025)</f>
        <v>6451.5</v>
      </c>
      <c r="L22" t="s">
        <v>378</v>
      </c>
      <c r="M22" s="2">
        <f>((IF((1='V06 Calend 01'!C22),('V06 Calend 01'!F22+'V06 Calend 01'!G22),0)+IF(AND(('V06 Calend 01'!E22&gt;0),(1&gt;'V06 Calend 01'!C22),(1&lt;'V06 Calend 01'!D22),(MOD((1-'V06 Calend 01'!C22),6)=0),(((1-'V06 Calend 01'!C22)/6)&lt;='V06 Calend 01'!E22)),IF((1=('V06 Calend 01'!C22+(6*'V06 Calend 01'!E22))),('V06 Calend 01'!H22-('V06 Calend 01'!I22*('V06 Calend 01'!E22-1))),'V06 Calend 01'!I22),0))+IF((1='V06 Calend 01'!D22),'V06 Calend 01'!J22,0))</f>
        <v>0</v>
      </c>
      <c r="N22" s="2">
        <f>((IF((2='V06 Calend 01'!C22),('V06 Calend 01'!F22+'V06 Calend 01'!G22),0)+IF(AND(('V06 Calend 01'!E22&gt;0),(2&gt;'V06 Calend 01'!C22),(2&lt;'V06 Calend 01'!D22),(MOD((2-'V06 Calend 01'!C22),6)=0),(((2-'V06 Calend 01'!C22)/6)&lt;='V06 Calend 01'!E22)),IF((2=('V06 Calend 01'!C22+(6*'V06 Calend 01'!E22))),('V06 Calend 01'!H22-('V06 Calend 01'!I22*('V06 Calend 01'!E22-1))),'V06 Calend 01'!I22),0))+IF((2='V06 Calend 01'!D22),'V06 Calend 01'!J22,0))</f>
        <v>0</v>
      </c>
      <c r="O22" s="2">
        <f>((IF((3='V06 Calend 01'!C22),('V06 Calend 01'!F22+'V06 Calend 01'!G22),0)+IF(AND(('V06 Calend 01'!E22&gt;0),(3&gt;'V06 Calend 01'!C22),(3&lt;'V06 Calend 01'!D22),(MOD((3-'V06 Calend 01'!C22),6)=0),(((3-'V06 Calend 01'!C22)/6)&lt;='V06 Calend 01'!E22)),IF((3=('V06 Calend 01'!C22+(6*'V06 Calend 01'!E22))),('V06 Calend 01'!H22-('V06 Calend 01'!I22*('V06 Calend 01'!E22-1))),'V06 Calend 01'!I22),0))+IF((3='V06 Calend 01'!D22),'V06 Calend 01'!J22,0))</f>
        <v>0</v>
      </c>
      <c r="P22" s="2">
        <f>((IF((4='V06 Calend 01'!C22),('V06 Calend 01'!F22+'V06 Calend 01'!G22),0)+IF(AND(('V06 Calend 01'!E22&gt;0),(4&gt;'V06 Calend 01'!C22),(4&lt;'V06 Calend 01'!D22),(MOD((4-'V06 Calend 01'!C22),6)=0),(((4-'V06 Calend 01'!C22)/6)&lt;='V06 Calend 01'!E22)),IF((4=('V06 Calend 01'!C22+(6*'V06 Calend 01'!E22))),('V06 Calend 01'!H22-('V06 Calend 01'!I22*('V06 Calend 01'!E22-1))),'V06 Calend 01'!I22),0))+IF((4='V06 Calend 01'!D22),'V06 Calend 01'!J22,0))</f>
        <v>0</v>
      </c>
      <c r="Q22" s="2">
        <f>((IF((5='V06 Calend 01'!C22),('V06 Calend 01'!F22+'V06 Calend 01'!G22),0)+IF(AND(('V06 Calend 01'!E22&gt;0),(5&gt;'V06 Calend 01'!C22),(5&lt;'V06 Calend 01'!D22),(MOD((5-'V06 Calend 01'!C22),6)=0),(((5-'V06 Calend 01'!C22)/6)&lt;='V06 Calend 01'!E22)),IF((5=('V06 Calend 01'!C22+(6*'V06 Calend 01'!E22))),('V06 Calend 01'!H22-('V06 Calend 01'!I22*('V06 Calend 01'!E22-1))),'V06 Calend 01'!I22),0))+IF((5='V06 Calend 01'!D22),'V06 Calend 01'!J22,0))</f>
        <v>0</v>
      </c>
      <c r="R22" s="2">
        <f>((IF((6='V06 Calend 01'!C22),('V06 Calend 01'!F22+'V06 Calend 01'!G22),0)+IF(AND(('V06 Calend 01'!E22&gt;0),(6&gt;'V06 Calend 01'!C22),(6&lt;'V06 Calend 01'!D22),(MOD((6-'V06 Calend 01'!C22),6)=0),(((6-'V06 Calend 01'!C22)/6)&lt;='V06 Calend 01'!E22)),IF((6=('V06 Calend 01'!C22+(6*'V06 Calend 01'!E22))),('V06 Calend 01'!H22-('V06 Calend 01'!I22*('V06 Calend 01'!E22-1))),'V06 Calend 01'!I22),0))+IF((6='V06 Calend 01'!D22),'V06 Calend 01'!J22,0))</f>
        <v>0</v>
      </c>
      <c r="S22" s="2">
        <f>((IF((7='V06 Calend 01'!C22),('V06 Calend 01'!F22+'V06 Calend 01'!G22),0)+IF(AND(('V06 Calend 01'!E22&gt;0),(7&gt;'V06 Calend 01'!C22),(7&lt;'V06 Calend 01'!D22),(MOD((7-'V06 Calend 01'!C22),6)=0),(((7-'V06 Calend 01'!C22)/6)&lt;='V06 Calend 01'!E22)),IF((7=('V06 Calend 01'!C22+(6*'V06 Calend 01'!E22))),('V06 Calend 01'!H22-('V06 Calend 01'!I22*('V06 Calend 01'!E22-1))),'V06 Calend 01'!I22),0))+IF((7='V06 Calend 01'!D22),'V06 Calend 01'!J22,0))</f>
        <v>0</v>
      </c>
      <c r="T22" s="2">
        <f>((IF((8='V06 Calend 01'!C22),('V06 Calend 01'!F22+'V06 Calend 01'!G22),0)+IF(AND(('V06 Calend 01'!E22&gt;0),(8&gt;'V06 Calend 01'!C22),(8&lt;'V06 Calend 01'!D22),(MOD((8-'V06 Calend 01'!C22),6)=0),(((8-'V06 Calend 01'!C22)/6)&lt;='V06 Calend 01'!E22)),IF((8=('V06 Calend 01'!C22+(6*'V06 Calend 01'!E22))),('V06 Calend 01'!H22-('V06 Calend 01'!I22*('V06 Calend 01'!E22-1))),'V06 Calend 01'!I22),0))+IF((8='V06 Calend 01'!D22),'V06 Calend 01'!J22,0))</f>
        <v>0</v>
      </c>
      <c r="U22" s="2">
        <f>((IF((9='V06 Calend 01'!C22),('V06 Calend 01'!F22+'V06 Calend 01'!G22),0)+IF(AND(('V06 Calend 01'!E22&gt;0),(9&gt;'V06 Calend 01'!C22),(9&lt;'V06 Calend 01'!D22),(MOD((9-'V06 Calend 01'!C22),6)=0),(((9-'V06 Calend 01'!C22)/6)&lt;='V06 Calend 01'!E22)),IF((9=('V06 Calend 01'!C22+(6*'V06 Calend 01'!E22))),('V06 Calend 01'!H22-('V06 Calend 01'!I22*('V06 Calend 01'!E22-1))),'V06 Calend 01'!I22),0))+IF((9='V06 Calend 01'!D22),'V06 Calend 01'!J22,0))</f>
        <v>0</v>
      </c>
      <c r="V22" s="2">
        <f>((IF((10='V06 Calend 01'!C22),('V06 Calend 01'!F22+'V06 Calend 01'!G22),0)+IF(AND(('V06 Calend 01'!E22&gt;0),(10&gt;'V06 Calend 01'!C22),(10&lt;'V06 Calend 01'!D22),(MOD((10-'V06 Calend 01'!C22),6)=0),(((10-'V06 Calend 01'!C22)/6)&lt;='V06 Calend 01'!E22)),IF((10=('V06 Calend 01'!C22+(6*'V06 Calend 01'!E22))),('V06 Calend 01'!H22-('V06 Calend 01'!I22*('V06 Calend 01'!E22-1))),'V06 Calend 01'!I22),0))+IF((10='V06 Calend 01'!D22),'V06 Calend 01'!J22,0))</f>
        <v>64515.0</v>
      </c>
      <c r="W22" s="2">
        <f>((IF((11='V06 Calend 01'!C22),('V06 Calend 01'!F22+'V06 Calend 01'!G22),0)+IF(AND(('V06 Calend 01'!E22&gt;0),(11&gt;'V06 Calend 01'!C22),(11&lt;'V06 Calend 01'!D22),(MOD((11-'V06 Calend 01'!C22),6)=0),(((11-'V06 Calend 01'!C22)/6)&lt;='V06 Calend 01'!E22)),IF((11=('V06 Calend 01'!C22+(6*'V06 Calend 01'!E22))),('V06 Calend 01'!H22-('V06 Calend 01'!I22*('V06 Calend 01'!E22-1))),'V06 Calend 01'!I22),0))+IF((11='V06 Calend 01'!D22),'V06 Calend 01'!J22,0))</f>
        <v>0</v>
      </c>
      <c r="X22" s="2">
        <f>((IF((12='V06 Calend 01'!C22),('V06 Calend 01'!F22+'V06 Calend 01'!G22),0)+IF(AND(('V06 Calend 01'!E22&gt;0),(12&gt;'V06 Calend 01'!C22),(12&lt;'V06 Calend 01'!D22),(MOD((12-'V06 Calend 01'!C22),6)=0),(((12-'V06 Calend 01'!C22)/6)&lt;='V06 Calend 01'!E22)),IF((12=('V06 Calend 01'!C22+(6*'V06 Calend 01'!E22))),('V06 Calend 01'!H22-('V06 Calend 01'!I22*('V06 Calend 01'!E22-1))),'V06 Calend 01'!I22),0))+IF((12='V06 Calend 01'!D22),'V06 Calend 01'!J22,0))</f>
        <v>0</v>
      </c>
      <c r="Y22" s="2">
        <f>((IF((13='V06 Calend 01'!C22),('V06 Calend 01'!F22+'V06 Calend 01'!G22),0)+IF(AND(('V06 Calend 01'!E22&gt;0),(13&gt;'V06 Calend 01'!C22),(13&lt;'V06 Calend 01'!D22),(MOD((13-'V06 Calend 01'!C22),6)=0),(((13-'V06 Calend 01'!C22)/6)&lt;='V06 Calend 01'!E22)),IF((13=('V06 Calend 01'!C22+(6*'V06 Calend 01'!E22))),('V06 Calend 01'!H22-('V06 Calend 01'!I22*('V06 Calend 01'!E22-1))),'V06 Calend 01'!I22),0))+IF((13='V06 Calend 01'!D22),'V06 Calend 01'!J22,0))</f>
        <v>0</v>
      </c>
      <c r="Z22" s="2">
        <f>((IF((14='V06 Calend 01'!C22),('V06 Calend 01'!F22+'V06 Calend 01'!G22),0)+IF(AND(('V06 Calend 01'!E22&gt;0),(14&gt;'V06 Calend 01'!C22),(14&lt;'V06 Calend 01'!D22),(MOD((14-'V06 Calend 01'!C22),6)=0),(((14-'V06 Calend 01'!C22)/6)&lt;='V06 Calend 01'!E22)),IF((14=('V06 Calend 01'!C22+(6*'V06 Calend 01'!E22))),('V06 Calend 01'!H22-('V06 Calend 01'!I22*('V06 Calend 01'!E22-1))),'V06 Calend 01'!I22),0))+IF((14='V06 Calend 01'!D22),'V06 Calend 01'!J22,0))</f>
        <v>0</v>
      </c>
      <c r="AA22" s="2">
        <f>((IF((15='V06 Calend 01'!C22),('V06 Calend 01'!F22+'V06 Calend 01'!G22),0)+IF(AND(('V06 Calend 01'!E22&gt;0),(15&gt;'V06 Calend 01'!C22),(15&lt;'V06 Calend 01'!D22),(MOD((15-'V06 Calend 01'!C22),6)=0),(((15-'V06 Calend 01'!C22)/6)&lt;='V06 Calend 01'!E22)),IF((15=('V06 Calend 01'!C22+(6*'V06 Calend 01'!E22))),('V06 Calend 01'!H22-('V06 Calend 01'!I22*('V06 Calend 01'!E22-1))),'V06 Calend 01'!I22),0))+IF((15='V06 Calend 01'!D22),'V06 Calend 01'!J22,0))</f>
        <v>0</v>
      </c>
      <c r="AB22" s="2">
        <f>((IF((16='V06 Calend 01'!C22),('V06 Calend 01'!F22+'V06 Calend 01'!G22),0)+IF(AND(('V06 Calend 01'!E22&gt;0),(16&gt;'V06 Calend 01'!C22),(16&lt;'V06 Calend 01'!D22),(MOD((16-'V06 Calend 01'!C22),6)=0),(((16-'V06 Calend 01'!C22)/6)&lt;='V06 Calend 01'!E22)),IF((16=('V06 Calend 01'!C22+(6*'V06 Calend 01'!E22))),('V06 Calend 01'!H22-('V06 Calend 01'!I22*('V06 Calend 01'!E22-1))),'V06 Calend 01'!I22),0))+IF((16='V06 Calend 01'!D22),'V06 Calend 01'!J22,0))</f>
        <v>47311.0</v>
      </c>
      <c r="AC22" s="2">
        <f>((IF((17='V06 Calend 01'!C22),('V06 Calend 01'!F22+'V06 Calend 01'!G22),0)+IF(AND(('V06 Calend 01'!E22&gt;0),(17&gt;'V06 Calend 01'!C22),(17&lt;'V06 Calend 01'!D22),(MOD((17-'V06 Calend 01'!C22),6)=0),(((17-'V06 Calend 01'!C22)/6)&lt;='V06 Calend 01'!E22)),IF((17=('V06 Calend 01'!C22+(6*'V06 Calend 01'!E22))),('V06 Calend 01'!H22-('V06 Calend 01'!I22*('V06 Calend 01'!E22-1))),'V06 Calend 01'!I22),0))+IF((17='V06 Calend 01'!D22),'V06 Calend 01'!J22,0))</f>
        <v>0</v>
      </c>
      <c r="AD22" s="2">
        <f>((IF((18='V06 Calend 01'!C22),('V06 Calend 01'!F22+'V06 Calend 01'!G22),0)+IF(AND(('V06 Calend 01'!E22&gt;0),(18&gt;'V06 Calend 01'!C22),(18&lt;'V06 Calend 01'!D22),(MOD((18-'V06 Calend 01'!C22),6)=0),(((18-'V06 Calend 01'!C22)/6)&lt;='V06 Calend 01'!E22)),IF((18=('V06 Calend 01'!C22+(6*'V06 Calend 01'!E22))),('V06 Calend 01'!H22-('V06 Calend 01'!I22*('V06 Calend 01'!E22-1))),'V06 Calend 01'!I22),0))+IF((18='V06 Calend 01'!D22),'V06 Calend 01'!J22,0))</f>
        <v>0</v>
      </c>
      <c r="AE22" s="2">
        <f>((IF((19='V06 Calend 01'!C22),('V06 Calend 01'!F22+'V06 Calend 01'!G22),0)+IF(AND(('V06 Calend 01'!E22&gt;0),(19&gt;'V06 Calend 01'!C22),(19&lt;'V06 Calend 01'!D22),(MOD((19-'V06 Calend 01'!C22),6)=0),(((19-'V06 Calend 01'!C22)/6)&lt;='V06 Calend 01'!E22)),IF((19=('V06 Calend 01'!C22+(6*'V06 Calend 01'!E22))),('V06 Calend 01'!H22-('V06 Calend 01'!I22*('V06 Calend 01'!E22-1))),'V06 Calend 01'!I22),0))+IF((19='V06 Calend 01'!D22),'V06 Calend 01'!J22,0))</f>
        <v>0</v>
      </c>
      <c r="AF22" s="2">
        <f>((IF((20='V06 Calend 01'!C22),('V06 Calend 01'!F22+'V06 Calend 01'!G22),0)+IF(AND(('V06 Calend 01'!E22&gt;0),(20&gt;'V06 Calend 01'!C22),(20&lt;'V06 Calend 01'!D22),(MOD((20-'V06 Calend 01'!C22),6)=0),(((20-'V06 Calend 01'!C22)/6)&lt;='V06 Calend 01'!E22)),IF((20=('V06 Calend 01'!C22+(6*'V06 Calend 01'!E22))),('V06 Calend 01'!H22-('V06 Calend 01'!I22*('V06 Calend 01'!E22-1))),'V06 Calend 01'!I22),0))+IF((20='V06 Calend 01'!D22),'V06 Calend 01'!J22,0))</f>
        <v>0</v>
      </c>
      <c r="AG22" s="2">
        <f>((IF((21='V06 Calend 01'!C22),('V06 Calend 01'!F22+'V06 Calend 01'!G22),0)+IF(AND(('V06 Calend 01'!E22&gt;0),(21&gt;'V06 Calend 01'!C22),(21&lt;'V06 Calend 01'!D22),(MOD((21-'V06 Calend 01'!C22),6)=0),(((21-'V06 Calend 01'!C22)/6)&lt;='V06 Calend 01'!E22)),IF((21=('V06 Calend 01'!C22+(6*'V06 Calend 01'!E22))),('V06 Calend 01'!H22-('V06 Calend 01'!I22*('V06 Calend 01'!E22-1))),'V06 Calend 01'!I22),0))+IF((21='V06 Calend 01'!D22),'V06 Calend 01'!J22,0))</f>
        <v>0</v>
      </c>
      <c r="AH22" s="2">
        <f>((IF((22='V06 Calend 01'!C22),('V06 Calend 01'!F22+'V06 Calend 01'!G22),0)+IF(AND(('V06 Calend 01'!E22&gt;0),(22&gt;'V06 Calend 01'!C22),(22&lt;'V06 Calend 01'!D22),(MOD((22-'V06 Calend 01'!C22),6)=0),(((22-'V06 Calend 01'!C22)/6)&lt;='V06 Calend 01'!E22)),IF((22=('V06 Calend 01'!C22+(6*'V06 Calend 01'!E22))),('V06 Calend 01'!H22-('V06 Calend 01'!I22*('V06 Calend 01'!E22-1))),'V06 Calend 01'!I22),0))+IF((22='V06 Calend 01'!D22),'V06 Calend 01'!J22,0))</f>
        <v>47311.0</v>
      </c>
      <c r="AI22" s="2">
        <f>((IF((23='V06 Calend 01'!C22),('V06 Calend 01'!F22+'V06 Calend 01'!G22),0)+IF(AND(('V06 Calend 01'!E22&gt;0),(23&gt;'V06 Calend 01'!C22),(23&lt;'V06 Calend 01'!D22),(MOD((23-'V06 Calend 01'!C22),6)=0),(((23-'V06 Calend 01'!C22)/6)&lt;='V06 Calend 01'!E22)),IF((23=('V06 Calend 01'!C22+(6*'V06 Calend 01'!E22))),('V06 Calend 01'!H22-('V06 Calend 01'!I22*('V06 Calend 01'!E22-1))),'V06 Calend 01'!I22),0))+IF((23='V06 Calend 01'!D22),'V06 Calend 01'!J22,0))</f>
        <v>0</v>
      </c>
      <c r="AJ22" s="2">
        <f>((IF((24='V06 Calend 01'!C22),('V06 Calend 01'!F22+'V06 Calend 01'!G22),0)+IF(AND(('V06 Calend 01'!E22&gt;0),(24&gt;'V06 Calend 01'!C22),(24&lt;'V06 Calend 01'!D22),(MOD((24-'V06 Calend 01'!C22),6)=0),(((24-'V06 Calend 01'!C22)/6)&lt;='V06 Calend 01'!E22)),IF((24=('V06 Calend 01'!C22+(6*'V06 Calend 01'!E22))),('V06 Calend 01'!H22-('V06 Calend 01'!I22*('V06 Calend 01'!E22-1))),'V06 Calend 01'!I22),0))+IF((24='V06 Calend 01'!D22),'V06 Calend 01'!J22,0))</f>
        <v>0</v>
      </c>
      <c r="AK22" s="2">
        <f>((IF((25='V06 Calend 01'!C22),('V06 Calend 01'!F22+'V06 Calend 01'!G22),0)+IF(AND(('V06 Calend 01'!E22&gt;0),(25&gt;'V06 Calend 01'!C22),(25&lt;'V06 Calend 01'!D22),(MOD((25-'V06 Calend 01'!C22),6)=0),(((25-'V06 Calend 01'!C22)/6)&lt;='V06 Calend 01'!E22)),IF((25=('V06 Calend 01'!C22+(6*'V06 Calend 01'!E22))),('V06 Calend 01'!H22-('V06 Calend 01'!I22*('V06 Calend 01'!E22-1))),'V06 Calend 01'!I22),0))+IF((25='V06 Calend 01'!D22),'V06 Calend 01'!J22,0))</f>
        <v>0</v>
      </c>
      <c r="AL22" s="2">
        <f>((IF((26='V06 Calend 01'!C22),('V06 Calend 01'!F22+'V06 Calend 01'!G22),0)+IF(AND(('V06 Calend 01'!E22&gt;0),(26&gt;'V06 Calend 01'!C22),(26&lt;'V06 Calend 01'!D22),(MOD((26-'V06 Calend 01'!C22),6)=0),(((26-'V06 Calend 01'!C22)/6)&lt;='V06 Calend 01'!E22)),IF((26=('V06 Calend 01'!C22+(6*'V06 Calend 01'!E22))),('V06 Calend 01'!H22-('V06 Calend 01'!I22*('V06 Calend 01'!E22-1))),'V06 Calend 01'!I22),0))+IF((26='V06 Calend 01'!D22),'V06 Calend 01'!J22,0))</f>
        <v>0</v>
      </c>
      <c r="AM22" s="2">
        <f>((IF((27='V06 Calend 01'!C22),('V06 Calend 01'!F22+'V06 Calend 01'!G22),0)+IF(AND(('V06 Calend 01'!E22&gt;0),(27&gt;'V06 Calend 01'!C22),(27&lt;'V06 Calend 01'!D22),(MOD((27-'V06 Calend 01'!C22),6)=0),(((27-'V06 Calend 01'!C22)/6)&lt;='V06 Calend 01'!E22)),IF((27=('V06 Calend 01'!C22+(6*'V06 Calend 01'!E22))),('V06 Calend 01'!H22-('V06 Calend 01'!I22*('V06 Calend 01'!E22-1))),'V06 Calend 01'!I22),0))+IF((27='V06 Calend 01'!D22),'V06 Calend 01'!J22,0))</f>
        <v>0</v>
      </c>
      <c r="AN22" s="2">
        <f>((IF((28='V06 Calend 01'!C22),('V06 Calend 01'!F22+'V06 Calend 01'!G22),0)+IF(AND(('V06 Calend 01'!E22&gt;0),(28&gt;'V06 Calend 01'!C22),(28&lt;'V06 Calend 01'!D22),(MOD((28-'V06 Calend 01'!C22),6)=0),(((28-'V06 Calend 01'!C22)/6)&lt;='V06 Calend 01'!E22)),IF((28=('V06 Calend 01'!C22+(6*'V06 Calend 01'!E22))),('V06 Calend 01'!H22-('V06 Calend 01'!I22*('V06 Calend 01'!E22-1))),'V06 Calend 01'!I22),0))+IF((28='V06 Calend 01'!D22),'V06 Calend 01'!J22,0))</f>
        <v>47311.0</v>
      </c>
      <c r="AO22" s="2">
        <f>((IF((29='V06 Calend 01'!C22),('V06 Calend 01'!F22+'V06 Calend 01'!G22),0)+IF(AND(('V06 Calend 01'!E22&gt;0),(29&gt;'V06 Calend 01'!C22),(29&lt;'V06 Calend 01'!D22),(MOD((29-'V06 Calend 01'!C22),6)=0),(((29-'V06 Calend 01'!C22)/6)&lt;='V06 Calend 01'!E22)),IF((29=('V06 Calend 01'!C22+(6*'V06 Calend 01'!E22))),('V06 Calend 01'!H22-('V06 Calend 01'!I22*('V06 Calend 01'!E22-1))),'V06 Calend 01'!I22),0))+IF((29='V06 Calend 01'!D22),'V06 Calend 01'!J22,0))</f>
        <v>0</v>
      </c>
      <c r="AP22" s="2">
        <f>((IF((30='V06 Calend 01'!C22),('V06 Calend 01'!F22+'V06 Calend 01'!G22),0)+IF(AND(('V06 Calend 01'!E22&gt;0),(30&gt;'V06 Calend 01'!C22),(30&lt;'V06 Calend 01'!D22),(MOD((30-'V06 Calend 01'!C22),6)=0),(((30-'V06 Calend 01'!C22)/6)&lt;='V06 Calend 01'!E22)),IF((30=('V06 Calend 01'!C22+(6*'V06 Calend 01'!E22))),('V06 Calend 01'!H22-('V06 Calend 01'!I22*('V06 Calend 01'!E22-1))),'V06 Calend 01'!I22),0))+IF((30='V06 Calend 01'!D22),'V06 Calend 01'!J22,0))</f>
        <v>51612.0</v>
      </c>
      <c r="AQ22" s="2">
        <f>((IF((31='V06 Calend 01'!C22),('V06 Calend 01'!F22+'V06 Calend 01'!G22),0)+IF(AND(('V06 Calend 01'!E22&gt;0),(31&gt;'V06 Calend 01'!C22),(31&lt;'V06 Calend 01'!D22),(MOD((31-'V06 Calend 01'!C22),6)=0),(((31-'V06 Calend 01'!C22)/6)&lt;='V06 Calend 01'!E22)),IF((31=('V06 Calend 01'!C22+(6*'V06 Calend 01'!E22))),('V06 Calend 01'!H22-('V06 Calend 01'!I22*('V06 Calend 01'!E22-1))),'V06 Calend 01'!I22),0))+IF((31='V06 Calend 01'!D22),'V06 Calend 01'!J22,0))</f>
        <v>0</v>
      </c>
      <c r="AR22" s="2">
        <f>((IF((32='V06 Calend 01'!C22),('V06 Calend 01'!F22+'V06 Calend 01'!G22),0)+IF(AND(('V06 Calend 01'!E22&gt;0),(32&gt;'V06 Calend 01'!C22),(32&lt;'V06 Calend 01'!D22),(MOD((32-'V06 Calend 01'!C22),6)=0),(((32-'V06 Calend 01'!C22)/6)&lt;='V06 Calend 01'!E22)),IF((32=('V06 Calend 01'!C22+(6*'V06 Calend 01'!E22))),('V06 Calend 01'!H22-('V06 Calend 01'!I22*('V06 Calend 01'!E22-1))),'V06 Calend 01'!I22),0))+IF((32='V06 Calend 01'!D22),'V06 Calend 01'!J22,0))</f>
        <v>0</v>
      </c>
      <c r="AS22" s="2">
        <f>((IF((33='V06 Calend 01'!C22),('V06 Calend 01'!F22+'V06 Calend 01'!G22),0)+IF(AND(('V06 Calend 01'!E22&gt;0),(33&gt;'V06 Calend 01'!C22),(33&lt;'V06 Calend 01'!D22),(MOD((33-'V06 Calend 01'!C22),6)=0),(((33-'V06 Calend 01'!C22)/6)&lt;='V06 Calend 01'!E22)),IF((33=('V06 Calend 01'!C22+(6*'V06 Calend 01'!E22))),('V06 Calend 01'!H22-('V06 Calend 01'!I22*('V06 Calend 01'!E22-1))),'V06 Calend 01'!I22),0))+IF((33='V06 Calend 01'!D22),'V06 Calend 01'!J22,0))</f>
        <v>0</v>
      </c>
      <c r="AT22" s="2">
        <f>((IF((34='V06 Calend 01'!C22),('V06 Calend 01'!F22+'V06 Calend 01'!G22),0)+IF(AND(('V06 Calend 01'!E22&gt;0),(34&gt;'V06 Calend 01'!C22),(34&lt;'V06 Calend 01'!D22),(MOD((34-'V06 Calend 01'!C22),6)=0),(((34-'V06 Calend 01'!C22)/6)&lt;='V06 Calend 01'!E22)),IF((34=('V06 Calend 01'!C22+(6*'V06 Calend 01'!E22))),('V06 Calend 01'!H22-('V06 Calend 01'!I22*('V06 Calend 01'!E22-1))),'V06 Calend 01'!I22),0))+IF((34='V06 Calend 01'!D22),'V06 Calend 01'!J22,0))</f>
        <v>0</v>
      </c>
      <c r="AU22" s="2">
        <f>((IF((35='V06 Calend 01'!C22),('V06 Calend 01'!F22+'V06 Calend 01'!G22),0)+IF(AND(('V06 Calend 01'!E22&gt;0),(35&gt;'V06 Calend 01'!C22),(35&lt;'V06 Calend 01'!D22),(MOD((35-'V06 Calend 01'!C22),6)=0),(((35-'V06 Calend 01'!C22)/6)&lt;='V06 Calend 01'!E22)),IF((35=('V06 Calend 01'!C22+(6*'V06 Calend 01'!E22))),('V06 Calend 01'!H22-('V06 Calend 01'!I22*('V06 Calend 01'!E22-1))),'V06 Calend 01'!I22),0))+IF((35='V06 Calend 01'!D22),'V06 Calend 01'!J22,0))</f>
        <v>0</v>
      </c>
      <c r="AV22" s="2">
        <f>((IF((36='V06 Calend 01'!C22),('V06 Calend 01'!F22+'V06 Calend 01'!G22),0)+IF(AND(('V06 Calend 01'!E22&gt;0),(36&gt;'V06 Calend 01'!C22),(36&lt;'V06 Calend 01'!D22),(MOD((36-'V06 Calend 01'!C22),6)=0),(((36-'V06 Calend 01'!C22)/6)&lt;='V06 Calend 01'!E22)),IF((36=('V06 Calend 01'!C22+(6*'V06 Calend 01'!E22))),('V06 Calend 01'!H22-('V06 Calend 01'!I22*('V06 Calend 01'!E22-1))),'V06 Calend 01'!I22),0))+IF((36='V06 Calend 01'!D22),'V06 Calend 01'!J22,0))</f>
        <v>0</v>
      </c>
      <c r="AW22" s="2">
        <f>((IF((37='V06 Calend 01'!C22),('V06 Calend 01'!F22+'V06 Calend 01'!G22),0)+IF(AND(('V06 Calend 01'!E22&gt;0),(37&gt;'V06 Calend 01'!C22),(37&lt;'V06 Calend 01'!D22),(MOD((37-'V06 Calend 01'!C22),6)=0),(((37-'V06 Calend 01'!C22)/6)&lt;='V06 Calend 01'!E22)),IF((37=('V06 Calend 01'!C22+(6*'V06 Calend 01'!E22))),('V06 Calend 01'!H22-('V06 Calend 01'!I22*('V06 Calend 01'!E22-1))),'V06 Calend 01'!I22),0))+IF((37='V06 Calend 01'!D22),'V06 Calend 01'!J22,0))</f>
        <v>0</v>
      </c>
      <c r="AX22" s="2">
        <f>((IF((38='V06 Calend 01'!C22),('V06 Calend 01'!F22+'V06 Calend 01'!G22),0)+IF(AND(('V06 Calend 01'!E22&gt;0),(38&gt;'V06 Calend 01'!C22),(38&lt;'V06 Calend 01'!D22),(MOD((38-'V06 Calend 01'!C22),6)=0),(((38-'V06 Calend 01'!C22)/6)&lt;='V06 Calend 01'!E22)),IF((38=('V06 Calend 01'!C22+(6*'V06 Calend 01'!E22))),('V06 Calend 01'!H22-('V06 Calend 01'!I22*('V06 Calend 01'!E22-1))),'V06 Calend 01'!I22),0))+IF((38='V06 Calend 01'!D22),'V06 Calend 01'!J22,0))</f>
        <v>0</v>
      </c>
      <c r="AY22" s="2">
        <f>((IF((39='V06 Calend 01'!C22),('V06 Calend 01'!F22+'V06 Calend 01'!G22),0)+IF(AND(('V06 Calend 01'!E22&gt;0),(39&gt;'V06 Calend 01'!C22),(39&lt;'V06 Calend 01'!D22),(MOD((39-'V06 Calend 01'!C22),6)=0),(((39-'V06 Calend 01'!C22)/6)&lt;='V06 Calend 01'!E22)),IF((39=('V06 Calend 01'!C22+(6*'V06 Calend 01'!E22))),('V06 Calend 01'!H22-('V06 Calend 01'!I22*('V06 Calend 01'!E22-1))),'V06 Calend 01'!I22),0))+IF((39='V06 Calend 01'!D22),'V06 Calend 01'!J22,0))</f>
        <v>0</v>
      </c>
      <c r="AZ22" s="2">
        <f>((IF((40='V06 Calend 01'!C22),('V06 Calend 01'!F22+'V06 Calend 01'!G22),0)+IF(AND(('V06 Calend 01'!E22&gt;0),(40&gt;'V06 Calend 01'!C22),(40&lt;'V06 Calend 01'!D22),(MOD((40-'V06 Calend 01'!C22),6)=0),(((40-'V06 Calend 01'!C22)/6)&lt;='V06 Calend 01'!E22)),IF((40=('V06 Calend 01'!C22+(6*'V06 Calend 01'!E22))),('V06 Calend 01'!H22-('V06 Calend 01'!I22*('V06 Calend 01'!E22-1))),'V06 Calend 01'!I22),0))+IF((40='V06 Calend 01'!D22),'V06 Calend 01'!J22,0))</f>
        <v>0</v>
      </c>
      <c r="BA22" s="2">
        <f>((IF((41='V06 Calend 01'!C22),('V06 Calend 01'!F22+'V06 Calend 01'!G22),0)+IF(AND(('V06 Calend 01'!E22&gt;0),(41&gt;'V06 Calend 01'!C22),(41&lt;'V06 Calend 01'!D22),(MOD((41-'V06 Calend 01'!C22),6)=0),(((41-'V06 Calend 01'!C22)/6)&lt;='V06 Calend 01'!E22)),IF((41=('V06 Calend 01'!C22+(6*'V06 Calend 01'!E22))),('V06 Calend 01'!H22-('V06 Calend 01'!I22*('V06 Calend 01'!E22-1))),'V06 Calend 01'!I22),0))+IF((41='V06 Calend 01'!D22),'V06 Calend 01'!J22,0))</f>
        <v>0</v>
      </c>
      <c r="BB22" s="2">
        <f>((IF((42='V06 Calend 01'!C22),('V06 Calend 01'!F22+'V06 Calend 01'!G22),0)+IF(AND(('V06 Calend 01'!E22&gt;0),(42&gt;'V06 Calend 01'!C22),(42&lt;'V06 Calend 01'!D22),(MOD((42-'V06 Calend 01'!C22),6)=0),(((42-'V06 Calend 01'!C22)/6)&lt;='V06 Calend 01'!E22)),IF((42=('V06 Calend 01'!C22+(6*'V06 Calend 01'!E22))),('V06 Calend 01'!H22-('V06 Calend 01'!I22*('V06 Calend 01'!E22-1))),'V06 Calend 01'!I22),0))+IF((42='V06 Calend 01'!D22),'V06 Calend 01'!J22,0))</f>
        <v>0</v>
      </c>
      <c r="BC22" s="2">
        <f>((IF((43='V06 Calend 01'!C22),('V06 Calend 01'!F22+'V06 Calend 01'!G22),0)+IF(AND(('V06 Calend 01'!E22&gt;0),(43&gt;'V06 Calend 01'!C22),(43&lt;'V06 Calend 01'!D22),(MOD((43-'V06 Calend 01'!C22),6)=0),(((43-'V06 Calend 01'!C22)/6)&lt;='V06 Calend 01'!E22)),IF((43=('V06 Calend 01'!C22+(6*'V06 Calend 01'!E22))),('V06 Calend 01'!H22-('V06 Calend 01'!I22*('V06 Calend 01'!E22-1))),'V06 Calend 01'!I22),0))+IF((43='V06 Calend 01'!D22),'V06 Calend 01'!J22,0))</f>
        <v>0</v>
      </c>
      <c r="BD22" s="2">
        <f>((IF((44='V06 Calend 01'!C22),('V06 Calend 01'!F22+'V06 Calend 01'!G22),0)+IF(AND(('V06 Calend 01'!E22&gt;0),(44&gt;'V06 Calend 01'!C22),(44&lt;'V06 Calend 01'!D22),(MOD((44-'V06 Calend 01'!C22),6)=0),(((44-'V06 Calend 01'!C22)/6)&lt;='V06 Calend 01'!E22)),IF((44=('V06 Calend 01'!C22+(6*'V06 Calend 01'!E22))),('V06 Calend 01'!H22-('V06 Calend 01'!I22*('V06 Calend 01'!E22-1))),'V06 Calend 01'!I22),0))+IF((44='V06 Calend 01'!D22),'V06 Calend 01'!J22,0))</f>
        <v>0</v>
      </c>
      <c r="BE22" s="2">
        <f>((IF((45='V06 Calend 01'!C22),('V06 Calend 01'!F22+'V06 Calend 01'!G22),0)+IF(AND(('V06 Calend 01'!E22&gt;0),(45&gt;'V06 Calend 01'!C22),(45&lt;'V06 Calend 01'!D22),(MOD((45-'V06 Calend 01'!C22),6)=0),(((45-'V06 Calend 01'!C22)/6)&lt;='V06 Calend 01'!E22)),IF((45=('V06 Calend 01'!C22+(6*'V06 Calend 01'!E22))),('V06 Calend 01'!H22-('V06 Calend 01'!I22*('V06 Calend 01'!E22-1))),'V06 Calend 01'!I22),0))+IF((45='V06 Calend 01'!D22),'V06 Calend 01'!J22,0))</f>
        <v>0</v>
      </c>
      <c r="BF22" s="2">
        <f>((IF((46='V06 Calend 01'!C22),('V06 Calend 01'!F22+'V06 Calend 01'!G22),0)+IF(AND(('V06 Calend 01'!E22&gt;0),(46&gt;'V06 Calend 01'!C22),(46&lt;'V06 Calend 01'!D22),(MOD((46-'V06 Calend 01'!C22),6)=0),(((46-'V06 Calend 01'!C22)/6)&lt;='V06 Calend 01'!E22)),IF((46=('V06 Calend 01'!C22+(6*'V06 Calend 01'!E22))),('V06 Calend 01'!H22-('V06 Calend 01'!I22*('V06 Calend 01'!E22-1))),'V06 Calend 01'!I22),0))+IF((46='V06 Calend 01'!D22),'V06 Calend 01'!J22,0))</f>
        <v>0</v>
      </c>
      <c r="BG22" s="2">
        <f>((IF((47='V06 Calend 01'!C22),('V06 Calend 01'!F22+'V06 Calend 01'!G22),0)+IF(AND(('V06 Calend 01'!E22&gt;0),(47&gt;'V06 Calend 01'!C22),(47&lt;'V06 Calend 01'!D22),(MOD((47-'V06 Calend 01'!C22),6)=0),(((47-'V06 Calend 01'!C22)/6)&lt;='V06 Calend 01'!E22)),IF((47=('V06 Calend 01'!C22+(6*'V06 Calend 01'!E22))),('V06 Calend 01'!H22-('V06 Calend 01'!I22*('V06 Calend 01'!E22-1))),'V06 Calend 01'!I22),0))+IF((47='V06 Calend 01'!D22),'V06 Calend 01'!J22,0))</f>
        <v>0</v>
      </c>
      <c r="BH22" s="2">
        <f>((IF((48='V06 Calend 01'!C22),('V06 Calend 01'!F22+'V06 Calend 01'!G22),0)+IF(AND(('V06 Calend 01'!E22&gt;0),(48&gt;'V06 Calend 01'!C22),(48&lt;'V06 Calend 01'!D22),(MOD((48-'V06 Calend 01'!C22),6)=0),(((48-'V06 Calend 01'!C22)/6)&lt;='V06 Calend 01'!E22)),IF((48=('V06 Calend 01'!C22+(6*'V06 Calend 01'!E22))),('V06 Calend 01'!H22-('V06 Calend 01'!I22*('V06 Calend 01'!E22-1))),'V06 Calend 01'!I22),0))+IF((48='V06 Calend 01'!D22),'V06 Calend 01'!J22,0))</f>
        <v>0</v>
      </c>
      <c r="BI22" s="2">
        <f>((IF((49='V06 Calend 01'!C22),('V06 Calend 01'!F22+'V06 Calend 01'!G22),0)+IF(AND(('V06 Calend 01'!E22&gt;0),(49&gt;'V06 Calend 01'!C22),(49&lt;'V06 Calend 01'!D22),(MOD((49-'V06 Calend 01'!C22),6)=0),(((49-'V06 Calend 01'!C22)/6)&lt;='V06 Calend 01'!E22)),IF((49=('V06 Calend 01'!C22+(6*'V06 Calend 01'!E22))),('V06 Calend 01'!H22-('V06 Calend 01'!I22*('V06 Calend 01'!E22-1))),'V06 Calend 01'!I22),0))+IF((49='V06 Calend 01'!D22),'V06 Calend 01'!J22,0))</f>
        <v>0</v>
      </c>
      <c r="BJ22" s="2">
        <f>((IF((50='V06 Calend 01'!C22),('V06 Calend 01'!F22+'V06 Calend 01'!G22),0)+IF(AND(('V06 Calend 01'!E22&gt;0),(50&gt;'V06 Calend 01'!C22),(50&lt;'V06 Calend 01'!D22),(MOD((50-'V06 Calend 01'!C22),6)=0),(((50-'V06 Calend 01'!C22)/6)&lt;='V06 Calend 01'!E22)),IF((50=('V06 Calend 01'!C22+(6*'V06 Calend 01'!E22))),('V06 Calend 01'!H22-('V06 Calend 01'!I22*('V06 Calend 01'!E22-1))),'V06 Calend 01'!I22),0))+IF((50='V06 Calend 01'!D22),'V06 Calend 01'!J22,0))</f>
        <v>0</v>
      </c>
      <c r="BK22" s="2">
        <f>((IF((51='V06 Calend 01'!C22),('V06 Calend 01'!F22+'V06 Calend 01'!G22),0)+IF(AND(('V06 Calend 01'!E22&gt;0),(51&gt;'V06 Calend 01'!C22),(51&lt;'V06 Calend 01'!D22),(MOD((51-'V06 Calend 01'!C22),6)=0),(((51-'V06 Calend 01'!C22)/6)&lt;='V06 Calend 01'!E22)),IF((51=('V06 Calend 01'!C22+(6*'V06 Calend 01'!E22))),('V06 Calend 01'!H22-('V06 Calend 01'!I22*('V06 Calend 01'!E22-1))),'V06 Calend 01'!I22),0))+IF((51='V06 Calend 01'!D22),'V06 Calend 01'!J22,0))</f>
        <v>0</v>
      </c>
      <c r="BL22" s="2">
        <f>((IF((52='V06 Calend 01'!C22),('V06 Calend 01'!F22+'V06 Calend 01'!G22),0)+IF(AND(('V06 Calend 01'!E22&gt;0),(52&gt;'V06 Calend 01'!C22),(52&lt;'V06 Calend 01'!D22),(MOD((52-'V06 Calend 01'!C22),6)=0),(((52-'V06 Calend 01'!C22)/6)&lt;='V06 Calend 01'!E22)),IF((52=('V06 Calend 01'!C22+(6*'V06 Calend 01'!E22))),('V06 Calend 01'!H22-('V06 Calend 01'!I22*('V06 Calend 01'!E22-1))),'V06 Calend 01'!I22),0))+IF((52='V06 Calend 01'!D22),'V06 Calend 01'!J22,0))</f>
        <v>0</v>
      </c>
      <c r="BM22" s="2">
        <f>((IF((53='V06 Calend 01'!C22),('V06 Calend 01'!F22+'V06 Calend 01'!G22),0)+IF(AND(('V06 Calend 01'!E22&gt;0),(53&gt;'V06 Calend 01'!C22),(53&lt;'V06 Calend 01'!D22),(MOD((53-'V06 Calend 01'!C22),6)=0),(((53-'V06 Calend 01'!C22)/6)&lt;='V06 Calend 01'!E22)),IF((53=('V06 Calend 01'!C22+(6*'V06 Calend 01'!E22))),('V06 Calend 01'!H22-('V06 Calend 01'!I22*('V06 Calend 01'!E22-1))),'V06 Calend 01'!I22),0))+IF((53='V06 Calend 01'!D22),'V06 Calend 01'!J22,0))</f>
        <v>0</v>
      </c>
      <c r="BN22" s="2">
        <f>((IF((54='V06 Calend 01'!C22),('V06 Calend 01'!F22+'V06 Calend 01'!G22),0)+IF(AND(('V06 Calend 01'!E22&gt;0),(54&gt;'V06 Calend 01'!C22),(54&lt;'V06 Calend 01'!D22),(MOD((54-'V06 Calend 01'!C22),6)=0),(((54-'V06 Calend 01'!C22)/6)&lt;='V06 Calend 01'!E22)),IF((54=('V06 Calend 01'!C22+(6*'V06 Calend 01'!E22))),('V06 Calend 01'!H22-('V06 Calend 01'!I22*('V06 Calend 01'!E22-1))),'V06 Calend 01'!I22),0))+IF((54='V06 Calend 01'!D22),'V06 Calend 01'!J22,0))</f>
        <v>0</v>
      </c>
      <c r="BO22" s="2">
        <f>((IF((55='V06 Calend 01'!C22),('V06 Calend 01'!F22+'V06 Calend 01'!G22),0)+IF(AND(('V06 Calend 01'!E22&gt;0),(55&gt;'V06 Calend 01'!C22),(55&lt;'V06 Calend 01'!D22),(MOD((55-'V06 Calend 01'!C22),6)=0),(((55-'V06 Calend 01'!C22)/6)&lt;='V06 Calend 01'!E22)),IF((55=('V06 Calend 01'!C22+(6*'V06 Calend 01'!E22))),('V06 Calend 01'!H22-('V06 Calend 01'!I22*('V06 Calend 01'!E22-1))),'V06 Calend 01'!I22),0))+IF((55='V06 Calend 01'!D22),'V06 Calend 01'!J22,0))</f>
        <v>0</v>
      </c>
      <c r="BP22" s="2">
        <f>((IF((56='V06 Calend 01'!C22),('V06 Calend 01'!F22+'V06 Calend 01'!G22),0)+IF(AND(('V06 Calend 01'!E22&gt;0),(56&gt;'V06 Calend 01'!C22),(56&lt;'V06 Calend 01'!D22),(MOD((56-'V06 Calend 01'!C22),6)=0),(((56-'V06 Calend 01'!C22)/6)&lt;='V06 Calend 01'!E22)),IF((56=('V06 Calend 01'!C22+(6*'V06 Calend 01'!E22))),('V06 Calend 01'!H22-('V06 Calend 01'!I22*('V06 Calend 01'!E22-1))),'V06 Calend 01'!I22),0))+IF((56='V06 Calend 01'!D22),'V06 Calend 01'!J22,0))</f>
        <v>0</v>
      </c>
      <c r="BQ22" s="2">
        <f>((IF((57='V06 Calend 01'!C22),('V06 Calend 01'!F22+'V06 Calend 01'!G22),0)+IF(AND(('V06 Calend 01'!E22&gt;0),(57&gt;'V06 Calend 01'!C22),(57&lt;'V06 Calend 01'!D22),(MOD((57-'V06 Calend 01'!C22),6)=0),(((57-'V06 Calend 01'!C22)/6)&lt;='V06 Calend 01'!E22)),IF((57=('V06 Calend 01'!C22+(6*'V06 Calend 01'!E22))),('V06 Calend 01'!H22-('V06 Calend 01'!I22*('V06 Calend 01'!E22-1))),'V06 Calend 01'!I22),0))+IF((57='V06 Calend 01'!D22),'V06 Calend 01'!J22,0))</f>
        <v>0</v>
      </c>
      <c r="BR22" s="2">
        <f>((IF((58='V06 Calend 01'!C22),('V06 Calend 01'!F22+'V06 Calend 01'!G22),0)+IF(AND(('V06 Calend 01'!E22&gt;0),(58&gt;'V06 Calend 01'!C22),(58&lt;'V06 Calend 01'!D22),(MOD((58-'V06 Calend 01'!C22),6)=0),(((58-'V06 Calend 01'!C22)/6)&lt;='V06 Calend 01'!E22)),IF((58=('V06 Calend 01'!C22+(6*'V06 Calend 01'!E22))),('V06 Calend 01'!H22-('V06 Calend 01'!I22*('V06 Calend 01'!E22-1))),'V06 Calend 01'!I22),0))+IF((58='V06 Calend 01'!D22),'V06 Calend 01'!J22,0))</f>
        <v>0</v>
      </c>
      <c r="BS22" s="2">
        <f>((IF((59='V06 Calend 01'!C22),('V06 Calend 01'!F22+'V06 Calend 01'!G22),0)+IF(AND(('V06 Calend 01'!E22&gt;0),(59&gt;'V06 Calend 01'!C22),(59&lt;'V06 Calend 01'!D22),(MOD((59-'V06 Calend 01'!C22),6)=0),(((59-'V06 Calend 01'!C22)/6)&lt;='V06 Calend 01'!E22)),IF((59=('V06 Calend 01'!C22+(6*'V06 Calend 01'!E22))),('V06 Calend 01'!H22-('V06 Calend 01'!I22*('V06 Calend 01'!E22-1))),'V06 Calend 01'!I22),0))+IF((59='V06 Calend 01'!D22),'V06 Calend 01'!J22,0))</f>
        <v>0</v>
      </c>
      <c r="BT22" s="2">
        <f>((IF((60='V06 Calend 01'!C22),('V06 Calend 01'!F22+'V06 Calend 01'!G22),0)+IF(AND(('V06 Calend 01'!E22&gt;0),(60&gt;'V06 Calend 01'!C22),(60&lt;'V06 Calend 01'!D22),(MOD((60-'V06 Calend 01'!C22),6)=0),(((60-'V06 Calend 01'!C22)/6)&lt;='V06 Calend 01'!E22)),IF((60=('V06 Calend 01'!C22+(6*'V06 Calend 01'!E22))),('V06 Calend 01'!H22-('V06 Calend 01'!I22*('V06 Calend 01'!E22-1))),'V06 Calend 01'!I22),0))+IF((60='V06 Calend 01'!D22),'V06 Calend 01'!J22,0))</f>
        <v>0</v>
      </c>
      <c r="BU22" s="2">
        <f>((IF((61='V06 Calend 01'!C22),('V06 Calend 01'!F22+'V06 Calend 01'!G22),0)+IF(AND(('V06 Calend 01'!E22&gt;0),(61&gt;'V06 Calend 01'!C22),(61&lt;'V06 Calend 01'!D22),(MOD((61-'V06 Calend 01'!C22),6)=0),(((61-'V06 Calend 01'!C22)/6)&lt;='V06 Calend 01'!E22)),IF((61=('V06 Calend 01'!C22+(6*'V06 Calend 01'!E22))),('V06 Calend 01'!H22-('V06 Calend 01'!I22*('V06 Calend 01'!E22-1))),'V06 Calend 01'!I22),0))+IF((61='V06 Calend 01'!D22),'V06 Calend 01'!J22,0))</f>
        <v>0</v>
      </c>
      <c r="BV22" s="2">
        <f>((IF((62='V06 Calend 01'!C22),('V06 Calend 01'!F22+'V06 Calend 01'!G22),0)+IF(AND(('V06 Calend 01'!E22&gt;0),(62&gt;'V06 Calend 01'!C22),(62&lt;'V06 Calend 01'!D22),(MOD((62-'V06 Calend 01'!C22),6)=0),(((62-'V06 Calend 01'!C22)/6)&lt;='V06 Calend 01'!E22)),IF((62=('V06 Calend 01'!C22+(6*'V06 Calend 01'!E22))),('V06 Calend 01'!H22-('V06 Calend 01'!I22*('V06 Calend 01'!E22-1))),'V06 Calend 01'!I22),0))+IF((62='V06 Calend 01'!D22),'V06 Calend 01'!J22,0))</f>
        <v>0</v>
      </c>
      <c r="BW22" s="2">
        <f>((IF((63='V06 Calend 01'!C22),('V06 Calend 01'!F22+'V06 Calend 01'!G22),0)+IF(AND(('V06 Calend 01'!E22&gt;0),(63&gt;'V06 Calend 01'!C22),(63&lt;'V06 Calend 01'!D22),(MOD((63-'V06 Calend 01'!C22),6)=0),(((63-'V06 Calend 01'!C22)/6)&lt;='V06 Calend 01'!E22)),IF((63=('V06 Calend 01'!C22+(6*'V06 Calend 01'!E22))),('V06 Calend 01'!H22-('V06 Calend 01'!I22*('V06 Calend 01'!E22-1))),'V06 Calend 01'!I22),0))+IF((63='V06 Calend 01'!D22),'V06 Calend 01'!J22,0))</f>
        <v>0</v>
      </c>
      <c r="BX22" s="2">
        <f>((IF((64='V06 Calend 01'!C22),('V06 Calend 01'!F22+'V06 Calend 01'!G22),0)+IF(AND(('V06 Calend 01'!E22&gt;0),(64&gt;'V06 Calend 01'!C22),(64&lt;'V06 Calend 01'!D22),(MOD((64-'V06 Calend 01'!C22),6)=0),(((64-'V06 Calend 01'!C22)/6)&lt;='V06 Calend 01'!E22)),IF((64=('V06 Calend 01'!C22+(6*'V06 Calend 01'!E22))),('V06 Calend 01'!H22-('V06 Calend 01'!I22*('V06 Calend 01'!E22-1))),'V06 Calend 01'!I22),0))+IF((64='V06 Calend 01'!D22),'V06 Calend 01'!J22,0))</f>
        <v>0</v>
      </c>
      <c r="BY22" s="2">
        <f>((IF((65='V06 Calend 01'!C22),('V06 Calend 01'!F22+'V06 Calend 01'!G22),0)+IF(AND(('V06 Calend 01'!E22&gt;0),(65&gt;'V06 Calend 01'!C22),(65&lt;'V06 Calend 01'!D22),(MOD((65-'V06 Calend 01'!C22),6)=0),(((65-'V06 Calend 01'!C22)/6)&lt;='V06 Calend 01'!E22)),IF((65=('V06 Calend 01'!C22+(6*'V06 Calend 01'!E22))),('V06 Calend 01'!H22-('V06 Calend 01'!I22*('V06 Calend 01'!E22-1))),'V06 Calend 01'!I22),0))+IF((65='V06 Calend 01'!D22),'V06 Calend 01'!J22,0))</f>
        <v>0</v>
      </c>
      <c r="BZ22" s="2">
        <f>((IF((66='V06 Calend 01'!C22),('V06 Calend 01'!F22+'V06 Calend 01'!G22),0)+IF(AND(('V06 Calend 01'!E22&gt;0),(66&gt;'V06 Calend 01'!C22),(66&lt;'V06 Calend 01'!D22),(MOD((66-'V06 Calend 01'!C22),6)=0),(((66-'V06 Calend 01'!C22)/6)&lt;='V06 Calend 01'!E22)),IF((66=('V06 Calend 01'!C22+(6*'V06 Calend 01'!E22))),('V06 Calend 01'!H22-('V06 Calend 01'!I22*('V06 Calend 01'!E22-1))),'V06 Calend 01'!I22),0))+IF((66='V06 Calend 01'!D22),'V06 Calend 01'!J22,0))</f>
        <v>0</v>
      </c>
      <c r="CA22" s="2">
        <f>((IF((67='V06 Calend 01'!C22),('V06 Calend 01'!F22+'V06 Calend 01'!G22),0)+IF(AND(('V06 Calend 01'!E22&gt;0),(67&gt;'V06 Calend 01'!C22),(67&lt;'V06 Calend 01'!D22),(MOD((67-'V06 Calend 01'!C22),6)=0),(((67-'V06 Calend 01'!C22)/6)&lt;='V06 Calend 01'!E22)),IF((67=('V06 Calend 01'!C22+(6*'V06 Calend 01'!E22))),('V06 Calend 01'!H22-('V06 Calend 01'!I22*('V06 Calend 01'!E22-1))),'V06 Calend 01'!I22),0))+IF((67='V06 Calend 01'!D22),'V06 Calend 01'!J22,0))</f>
        <v>0</v>
      </c>
      <c r="CB22" s="2">
        <f>((IF((68='V06 Calend 01'!C22),('V06 Calend 01'!F22+'V06 Calend 01'!G22),0)+IF(AND(('V06 Calend 01'!E22&gt;0),(68&gt;'V06 Calend 01'!C22),(68&lt;'V06 Calend 01'!D22),(MOD((68-'V06 Calend 01'!C22),6)=0),(((68-'V06 Calend 01'!C22)/6)&lt;='V06 Calend 01'!E22)),IF((68=('V06 Calend 01'!C22+(6*'V06 Calend 01'!E22))),('V06 Calend 01'!H22-('V06 Calend 01'!I22*('V06 Calend 01'!E22-1))),'V06 Calend 01'!I22),0))+IF((68='V06 Calend 01'!D22),'V06 Calend 01'!J22,0))</f>
        <v>0</v>
      </c>
      <c r="CC22" s="2">
        <f>((IF((69='V06 Calend 01'!C22),('V06 Calend 01'!F22+'V06 Calend 01'!G22),0)+IF(AND(('V06 Calend 01'!E22&gt;0),(69&gt;'V06 Calend 01'!C22),(69&lt;'V06 Calend 01'!D22),(MOD((69-'V06 Calend 01'!C22),6)=0),(((69-'V06 Calend 01'!C22)/6)&lt;='V06 Calend 01'!E22)),IF((69=('V06 Calend 01'!C22+(6*'V06 Calend 01'!E22))),('V06 Calend 01'!H22-('V06 Calend 01'!I22*('V06 Calend 01'!E22-1))),'V06 Calend 01'!I22),0))+IF((69='V06 Calend 01'!D22),'V06 Calend 01'!J22,0))</f>
        <v>0</v>
      </c>
      <c r="CD22" s="2">
        <f>((IF((70='V06 Calend 01'!C22),('V06 Calend 01'!F22+'V06 Calend 01'!G22),0)+IF(AND(('V06 Calend 01'!E22&gt;0),(70&gt;'V06 Calend 01'!C22),(70&lt;'V06 Calend 01'!D22),(MOD((70-'V06 Calend 01'!C22),6)=0),(((70-'V06 Calend 01'!C22)/6)&lt;='V06 Calend 01'!E22)),IF((70=('V06 Calend 01'!C22+(6*'V06 Calend 01'!E22))),('V06 Calend 01'!H22-('V06 Calend 01'!I22*('V06 Calend 01'!E22-1))),'V06 Calend 01'!I22),0))+IF((70='V06 Calend 01'!D22),'V06 Calend 01'!J22,0))</f>
        <v>0</v>
      </c>
      <c r="CE22" s="2">
        <f>((IF((71='V06 Calend 01'!C22),('V06 Calend 01'!F22+'V06 Calend 01'!G22),0)+IF(AND(('V06 Calend 01'!E22&gt;0),(71&gt;'V06 Calend 01'!C22),(71&lt;'V06 Calend 01'!D22),(MOD((71-'V06 Calend 01'!C22),6)=0),(((71-'V06 Calend 01'!C22)/6)&lt;='V06 Calend 01'!E22)),IF((71=('V06 Calend 01'!C22+(6*'V06 Calend 01'!E22))),('V06 Calend 01'!H22-('V06 Calend 01'!I22*('V06 Calend 01'!E22-1))),'V06 Calend 01'!I22),0))+IF((71='V06 Calend 01'!D22),'V06 Calend 01'!J22,0))</f>
        <v>0</v>
      </c>
      <c r="CF22" s="2">
        <f>((IF((72='V06 Calend 01'!C22),('V06 Calend 01'!F22+'V06 Calend 01'!G22),0)+IF(AND(('V06 Calend 01'!E22&gt;0),(72&gt;'V06 Calend 01'!C22),(72&lt;'V06 Calend 01'!D22),(MOD((72-'V06 Calend 01'!C22),6)=0),(((72-'V06 Calend 01'!C22)/6)&lt;='V06 Calend 01'!E22)),IF((72=('V06 Calend 01'!C22+(6*'V06 Calend 01'!E22))),('V06 Calend 01'!H22-('V06 Calend 01'!I22*('V06 Calend 01'!E22-1))),'V06 Calend 01'!I22),0))+IF((72='V06 Calend 01'!D22),'V06 Calend 01'!J22,0))</f>
        <v>0</v>
      </c>
      <c r="CG22" s="2">
        <f>((IF((73='V06 Calend 01'!C22),('V06 Calend 01'!F22+'V06 Calend 01'!G22),0)+IF(AND(('V06 Calend 01'!E22&gt;0),(73&gt;'V06 Calend 01'!C22),(73&lt;'V06 Calend 01'!D22),(MOD((73-'V06 Calend 01'!C22),6)=0),(((73-'V06 Calend 01'!C22)/6)&lt;='V06 Calend 01'!E22)),IF((73=('V06 Calend 01'!C22+(6*'V06 Calend 01'!E22))),('V06 Calend 01'!H22-('V06 Calend 01'!I22*('V06 Calend 01'!E22-1))),'V06 Calend 01'!I22),0))+IF((73='V06 Calend 01'!D22),'V06 Calend 01'!J22,0))</f>
        <v>0</v>
      </c>
      <c r="CH22" s="2">
        <f>((IF((74='V06 Calend 01'!C22),('V06 Calend 01'!F22+'V06 Calend 01'!G22),0)+IF(AND(('V06 Calend 01'!E22&gt;0),(74&gt;'V06 Calend 01'!C22),(74&lt;'V06 Calend 01'!D22),(MOD((74-'V06 Calend 01'!C22),6)=0),(((74-'V06 Calend 01'!C22)/6)&lt;='V06 Calend 01'!E22)),IF((74=('V06 Calend 01'!C22+(6*'V06 Calend 01'!E22))),('V06 Calend 01'!H22-('V06 Calend 01'!I22*('V06 Calend 01'!E22-1))),'V06 Calend 01'!I22),0))+IF((74='V06 Calend 01'!D22),'V06 Calend 01'!J22,0))</f>
        <v>0</v>
      </c>
      <c r="CI22" s="2">
        <f>((IF((75='V06 Calend 01'!C22),('V06 Calend 01'!F22+'V06 Calend 01'!G22),0)+IF(AND(('V06 Calend 01'!E22&gt;0),(75&gt;'V06 Calend 01'!C22),(75&lt;'V06 Calend 01'!D22),(MOD((75-'V06 Calend 01'!C22),6)=0),(((75-'V06 Calend 01'!C22)/6)&lt;='V06 Calend 01'!E22)),IF((75=('V06 Calend 01'!C22+(6*'V06 Calend 01'!E22))),('V06 Calend 01'!H22-('V06 Calend 01'!I22*('V06 Calend 01'!E22-1))),'V06 Calend 01'!I22),0))+IF((75='V06 Calend 01'!D22),'V06 Calend 01'!J22,0))</f>
        <v>0</v>
      </c>
      <c r="CJ22" s="2">
        <f>((IF((76='V06 Calend 01'!C22),('V06 Calend 01'!F22+'V06 Calend 01'!G22),0)+IF(AND(('V06 Calend 01'!E22&gt;0),(76&gt;'V06 Calend 01'!C22),(76&lt;'V06 Calend 01'!D22),(MOD((76-'V06 Calend 01'!C22),6)=0),(((76-'V06 Calend 01'!C22)/6)&lt;='V06 Calend 01'!E22)),IF((76=('V06 Calend 01'!C22+(6*'V06 Calend 01'!E22))),('V06 Calend 01'!H22-('V06 Calend 01'!I22*('V06 Calend 01'!E22-1))),'V06 Calend 01'!I22),0))+IF((76='V06 Calend 01'!D22),'V06 Calend 01'!J22,0))</f>
        <v>0</v>
      </c>
      <c r="CK22" s="2">
        <f>((IF((77='V06 Calend 01'!C22),('V06 Calend 01'!F22+'V06 Calend 01'!G22),0)+IF(AND(('V06 Calend 01'!E22&gt;0),(77&gt;'V06 Calend 01'!C22),(77&lt;'V06 Calend 01'!D22),(MOD((77-'V06 Calend 01'!C22),6)=0),(((77-'V06 Calend 01'!C22)/6)&lt;='V06 Calend 01'!E22)),IF((77=('V06 Calend 01'!C22+(6*'V06 Calend 01'!E22))),('V06 Calend 01'!H22-('V06 Calend 01'!I22*('V06 Calend 01'!E22-1))),'V06 Calend 01'!I22),0))+IF((77='V06 Calend 01'!D22),'V06 Calend 01'!J22,0))</f>
        <v>0</v>
      </c>
      <c r="CL22" s="2">
        <f>((IF((78='V06 Calend 01'!C22),('V06 Calend 01'!F22+'V06 Calend 01'!G22),0)+IF(AND(('V06 Calend 01'!E22&gt;0),(78&gt;'V06 Calend 01'!C22),(78&lt;'V06 Calend 01'!D22),(MOD((78-'V06 Calend 01'!C22),6)=0),(((78-'V06 Calend 01'!C22)/6)&lt;='V06 Calend 01'!E22)),IF((78=('V06 Calend 01'!C22+(6*'V06 Calend 01'!E22))),('V06 Calend 01'!H22-('V06 Calend 01'!I22*('V06 Calend 01'!E22-1))),'V06 Calend 01'!I22),0))+IF((78='V06 Calend 01'!D22),'V06 Calend 01'!J22,0))</f>
        <v>0</v>
      </c>
      <c r="CM22" s="2">
        <f>((IF((79='V06 Calend 01'!C22),('V06 Calend 01'!F22+'V06 Calend 01'!G22),0)+IF(AND(('V06 Calend 01'!E22&gt;0),(79&gt;'V06 Calend 01'!C22),(79&lt;'V06 Calend 01'!D22),(MOD((79-'V06 Calend 01'!C22),6)=0),(((79-'V06 Calend 01'!C22)/6)&lt;='V06 Calend 01'!E22)),IF((79=('V06 Calend 01'!C22+(6*'V06 Calend 01'!E22))),('V06 Calend 01'!H22-('V06 Calend 01'!I22*('V06 Calend 01'!E22-1))),'V06 Calend 01'!I22),0))+IF((79='V06 Calend 01'!D22),'V06 Calend 01'!J22,0))</f>
        <v>0</v>
      </c>
      <c r="CN22" s="2">
        <f>((IF((80='V06 Calend 01'!C22),('V06 Calend 01'!F22+'V06 Calend 01'!G22),0)+IF(AND(('V06 Calend 01'!E22&gt;0),(80&gt;'V06 Calend 01'!C22),(80&lt;'V06 Calend 01'!D22),(MOD((80-'V06 Calend 01'!C22),6)=0),(((80-'V06 Calend 01'!C22)/6)&lt;='V06 Calend 01'!E22)),IF((80=('V06 Calend 01'!C22+(6*'V06 Calend 01'!E22))),('V06 Calend 01'!H22-('V06 Calend 01'!I22*('V06 Calend 01'!E22-1))),'V06 Calend 01'!I22),0))+IF((80='V06 Calend 01'!D22),'V06 Calend 01'!J22,0))</f>
        <v>0</v>
      </c>
      <c r="CO22" s="2">
        <f>((IF((81='V06 Calend 01'!C22),('V06 Calend 01'!F22+'V06 Calend 01'!G22),0)+IF(AND(('V06 Calend 01'!E22&gt;0),(81&gt;'V06 Calend 01'!C22),(81&lt;'V06 Calend 01'!D22),(MOD((81-'V06 Calend 01'!C22),6)=0),(((81-'V06 Calend 01'!C22)/6)&lt;='V06 Calend 01'!E22)),IF((81=('V06 Calend 01'!C22+(6*'V06 Calend 01'!E22))),('V06 Calend 01'!H22-('V06 Calend 01'!I22*('V06 Calend 01'!E22-1))),'V06 Calend 01'!I22),0))+IF((81='V06 Calend 01'!D22),'V06 Calend 01'!J22,0))</f>
        <v>0</v>
      </c>
      <c r="CP22" s="2">
        <f>((IF((82='V06 Calend 01'!C22),('V06 Calend 01'!F22+'V06 Calend 01'!G22),0)+IF(AND(('V06 Calend 01'!E22&gt;0),(82&gt;'V06 Calend 01'!C22),(82&lt;'V06 Calend 01'!D22),(MOD((82-'V06 Calend 01'!C22),6)=0),(((82-'V06 Calend 01'!C22)/6)&lt;='V06 Calend 01'!E22)),IF((82=('V06 Calend 01'!C22+(6*'V06 Calend 01'!E22))),('V06 Calend 01'!H22-('V06 Calend 01'!I22*('V06 Calend 01'!E22-1))),'V06 Calend 01'!I22),0))+IF((82='V06 Calend 01'!D22),'V06 Calend 01'!J22,0))</f>
        <v>0</v>
      </c>
      <c r="CQ22" s="2">
        <f>((IF((83='V06 Calend 01'!C22),('V06 Calend 01'!F22+'V06 Calend 01'!G22),0)+IF(AND(('V06 Calend 01'!E22&gt;0),(83&gt;'V06 Calend 01'!C22),(83&lt;'V06 Calend 01'!D22),(MOD((83-'V06 Calend 01'!C22),6)=0),(((83-'V06 Calend 01'!C22)/6)&lt;='V06 Calend 01'!E22)),IF((83=('V06 Calend 01'!C22+(6*'V06 Calend 01'!E22))),('V06 Calend 01'!H22-('V06 Calend 01'!I22*('V06 Calend 01'!E22-1))),'V06 Calend 01'!I22),0))+IF((83='V06 Calend 01'!D22),'V06 Calend 01'!J22,0))</f>
        <v>0</v>
      </c>
      <c r="CR22" s="2">
        <f>((IF((84='V06 Calend 01'!C22),('V06 Calend 01'!F22+'V06 Calend 01'!G22),0)+IF(AND(('V06 Calend 01'!E22&gt;0),(84&gt;'V06 Calend 01'!C22),(84&lt;'V06 Calend 01'!D22),(MOD((84-'V06 Calend 01'!C22),6)=0),(((84-'V06 Calend 01'!C22)/6)&lt;='V06 Calend 01'!E22)),IF((84=('V06 Calend 01'!C22+(6*'V06 Calend 01'!E22))),('V06 Calend 01'!H22-('V06 Calend 01'!I22*('V06 Calend 01'!E22-1))),'V06 Calend 01'!I22),0))+IF((84='V06 Calend 01'!D22),'V06 Calend 01'!J22,0))</f>
        <v>0</v>
      </c>
      <c r="CS22" s="2">
        <f>((IF((85='V06 Calend 01'!C22),('V06 Calend 01'!F22+'V06 Calend 01'!G22),0)+IF(AND(('V06 Calend 01'!E22&gt;0),(85&gt;'V06 Calend 01'!C22),(85&lt;'V06 Calend 01'!D22),(MOD((85-'V06 Calend 01'!C22),6)=0),(((85-'V06 Calend 01'!C22)/6)&lt;='V06 Calend 01'!E22)),IF((85=('V06 Calend 01'!C22+(6*'V06 Calend 01'!E22))),('V06 Calend 01'!H22-('V06 Calend 01'!I22*('V06 Calend 01'!E22-1))),'V06 Calend 01'!I22),0))+IF((85='V06 Calend 01'!D22),'V06 Calend 01'!J22,0))</f>
        <v>0</v>
      </c>
      <c r="CT22" s="2">
        <f>((IF((86='V06 Calend 01'!C22),('V06 Calend 01'!F22+'V06 Calend 01'!G22),0)+IF(AND(('V06 Calend 01'!E22&gt;0),(86&gt;'V06 Calend 01'!C22),(86&lt;'V06 Calend 01'!D22),(MOD((86-'V06 Calend 01'!C22),6)=0),(((86-'V06 Calend 01'!C22)/6)&lt;='V06 Calend 01'!E22)),IF((86=('V06 Calend 01'!C22+(6*'V06 Calend 01'!E22))),('V06 Calend 01'!H22-('V06 Calend 01'!I22*('V06 Calend 01'!E22-1))),'V06 Calend 01'!I22),0))+IF((86='V06 Calend 01'!D22),'V06 Calend 01'!J22,0))</f>
        <v>0</v>
      </c>
      <c r="CU22" s="2">
        <f>((IF((87='V06 Calend 01'!C22),('V06 Calend 01'!F22+'V06 Calend 01'!G22),0)+IF(AND(('V06 Calend 01'!E22&gt;0),(87&gt;'V06 Calend 01'!C22),(87&lt;'V06 Calend 01'!D22),(MOD((87-'V06 Calend 01'!C22),6)=0),(((87-'V06 Calend 01'!C22)/6)&lt;='V06 Calend 01'!E22)),IF((87=('V06 Calend 01'!C22+(6*'V06 Calend 01'!E22))),('V06 Calend 01'!H22-('V06 Calend 01'!I22*('V06 Calend 01'!E22-1))),'V06 Calend 01'!I22),0))+IF((87='V06 Calend 01'!D22),'V06 Calend 01'!J22,0))</f>
        <v>0</v>
      </c>
      <c r="CV22" s="2">
        <f>((IF((88='V06 Calend 01'!C22),('V06 Calend 01'!F22+'V06 Calend 01'!G22),0)+IF(AND(('V06 Calend 01'!E22&gt;0),(88&gt;'V06 Calend 01'!C22),(88&lt;'V06 Calend 01'!D22),(MOD((88-'V06 Calend 01'!C22),6)=0),(((88-'V06 Calend 01'!C22)/6)&lt;='V06 Calend 01'!E22)),IF((88=('V06 Calend 01'!C22+(6*'V06 Calend 01'!E22))),('V06 Calend 01'!H22-('V06 Calend 01'!I22*('V06 Calend 01'!E22-1))),'V06 Calend 01'!I22),0))+IF((88='V06 Calend 01'!D22),'V06 Calend 01'!J22,0))</f>
        <v>0</v>
      </c>
      <c r="CW22" s="2">
        <f>((IF((89='V06 Calend 01'!C22),('V06 Calend 01'!F22+'V06 Calend 01'!G22),0)+IF(AND(('V06 Calend 01'!E22&gt;0),(89&gt;'V06 Calend 01'!C22),(89&lt;'V06 Calend 01'!D22),(MOD((89-'V06 Calend 01'!C22),6)=0),(((89-'V06 Calend 01'!C22)/6)&lt;='V06 Calend 01'!E22)),IF((89=('V06 Calend 01'!C22+(6*'V06 Calend 01'!E22))),('V06 Calend 01'!H22-('V06 Calend 01'!I22*('V06 Calend 01'!E22-1))),'V06 Calend 01'!I22),0))+IF((89='V06 Calend 01'!D22),'V06 Calend 01'!J22,0))</f>
        <v>0</v>
      </c>
      <c r="CX22" s="2">
        <f>((IF((90='V06 Calend 01'!C22),('V06 Calend 01'!F22+'V06 Calend 01'!G22),0)+IF(AND(('V06 Calend 01'!E22&gt;0),(90&gt;'V06 Calend 01'!C22),(90&lt;'V06 Calend 01'!D22),(MOD((90-'V06 Calend 01'!C22),6)=0),(((90-'V06 Calend 01'!C22)/6)&lt;='V06 Calend 01'!E22)),IF((90=('V06 Calend 01'!C22+(6*'V06 Calend 01'!E22))),('V06 Calend 01'!H22-('V06 Calend 01'!I22*('V06 Calend 01'!E22-1))),'V06 Calend 01'!I22),0))+IF((90='V06 Calend 01'!D22),'V06 Calend 01'!J22,0))</f>
        <v>0</v>
      </c>
      <c r="CY22" s="2">
        <f>((IF((91='V06 Calend 01'!C22),('V06 Calend 01'!F22+'V06 Calend 01'!G22),0)+IF(AND(('V06 Calend 01'!E22&gt;0),(91&gt;'V06 Calend 01'!C22),(91&lt;'V06 Calend 01'!D22),(MOD((91-'V06 Calend 01'!C22),6)=0),(((91-'V06 Calend 01'!C22)/6)&lt;='V06 Calend 01'!E22)),IF((91=('V06 Calend 01'!C22+(6*'V06 Calend 01'!E22))),('V06 Calend 01'!H22-('V06 Calend 01'!I22*('V06 Calend 01'!E22-1))),'V06 Calend 01'!I22),0))+IF((91='V06 Calend 01'!D22),'V06 Calend 01'!J22,0))</f>
        <v>0</v>
      </c>
      <c r="CZ22" s="2">
        <f>((IF((92='V06 Calend 01'!C22),('V06 Calend 01'!F22+'V06 Calend 01'!G22),0)+IF(AND(('V06 Calend 01'!E22&gt;0),(92&gt;'V06 Calend 01'!C22),(92&lt;'V06 Calend 01'!D22),(MOD((92-'V06 Calend 01'!C22),6)=0),(((92-'V06 Calend 01'!C22)/6)&lt;='V06 Calend 01'!E22)),IF((92=('V06 Calend 01'!C22+(6*'V06 Calend 01'!E22))),('V06 Calend 01'!H22-('V06 Calend 01'!I22*('V06 Calend 01'!E22-1))),'V06 Calend 01'!I22),0))+IF((92='V06 Calend 01'!D22),'V06 Calend 01'!J22,0))</f>
        <v>0</v>
      </c>
      <c r="DA22" s="2">
        <f>((IF((93='V06 Calend 01'!C22),('V06 Calend 01'!F22+'V06 Calend 01'!G22),0)+IF(AND(('V06 Calend 01'!E22&gt;0),(93&gt;'V06 Calend 01'!C22),(93&lt;'V06 Calend 01'!D22),(MOD((93-'V06 Calend 01'!C22),6)=0),(((93-'V06 Calend 01'!C22)/6)&lt;='V06 Calend 01'!E22)),IF((93=('V06 Calend 01'!C22+(6*'V06 Calend 01'!E22))),('V06 Calend 01'!H22-('V06 Calend 01'!I22*('V06 Calend 01'!E22-1))),'V06 Calend 01'!I22),0))+IF((93='V06 Calend 01'!D22),'V06 Calend 01'!J22,0))</f>
        <v>0</v>
      </c>
      <c r="DB22" s="2">
        <f>((IF((94='V06 Calend 01'!C22),('V06 Calend 01'!F22+'V06 Calend 01'!G22),0)+IF(AND(('V06 Calend 01'!E22&gt;0),(94&gt;'V06 Calend 01'!C22),(94&lt;'V06 Calend 01'!D22),(MOD((94-'V06 Calend 01'!C22),6)=0),(((94-'V06 Calend 01'!C22)/6)&lt;='V06 Calend 01'!E22)),IF((94=('V06 Calend 01'!C22+(6*'V06 Calend 01'!E22))),('V06 Calend 01'!H22-('V06 Calend 01'!I22*('V06 Calend 01'!E22-1))),'V06 Calend 01'!I22),0))+IF((94='V06 Calend 01'!D22),'V06 Calend 01'!J22,0))</f>
        <v>0</v>
      </c>
      <c r="DC22" s="2">
        <f>((IF((95='V06 Calend 01'!C22),('V06 Calend 01'!F22+'V06 Calend 01'!G22),0)+IF(AND(('V06 Calend 01'!E22&gt;0),(95&gt;'V06 Calend 01'!C22),(95&lt;'V06 Calend 01'!D22),(MOD((95-'V06 Calend 01'!C22),6)=0),(((95-'V06 Calend 01'!C22)/6)&lt;='V06 Calend 01'!E22)),IF((95=('V06 Calend 01'!C22+(6*'V06 Calend 01'!E22))),('V06 Calend 01'!H22-('V06 Calend 01'!I22*('V06 Calend 01'!E22-1))),'V06 Calend 01'!I22),0))+IF((95='V06 Calend 01'!D22),'V06 Calend 01'!J22,0))</f>
        <v>0</v>
      </c>
      <c r="DD22" s="2">
        <f>((IF((96='V06 Calend 01'!C22),('V06 Calend 01'!F22+'V06 Calend 01'!G22),0)+IF(AND(('V06 Calend 01'!E22&gt;0),(96&gt;'V06 Calend 01'!C22),(96&lt;'V06 Calend 01'!D22),(MOD((96-'V06 Calend 01'!C22),6)=0),(((96-'V06 Calend 01'!C22)/6)&lt;='V06 Calend 01'!E22)),IF((96=('V06 Calend 01'!C22+(6*'V06 Calend 01'!E22))),('V06 Calend 01'!H22-('V06 Calend 01'!I22*('V06 Calend 01'!E22-1))),'V06 Calend 01'!I22),0))+IF((96='V06 Calend 01'!D22),'V06 Calend 01'!J22,0))</f>
        <v>0</v>
      </c>
      <c r="DE22" s="2">
        <f>((IF((97='V06 Calend 01'!C22),('V06 Calend 01'!F22+'V06 Calend 01'!G22),0)+IF(AND(('V06 Calend 01'!E22&gt;0),(97&gt;'V06 Calend 01'!C22),(97&lt;'V06 Calend 01'!D22),(MOD((97-'V06 Calend 01'!C22),6)=0),(((97-'V06 Calend 01'!C22)/6)&lt;='V06 Calend 01'!E22)),IF((97=('V06 Calend 01'!C22+(6*'V06 Calend 01'!E22))),('V06 Calend 01'!H22-('V06 Calend 01'!I22*('V06 Calend 01'!E22-1))),'V06 Calend 01'!I22),0))+IF((97='V06 Calend 01'!D22),'V06 Calend 01'!J22,0))</f>
        <v>0</v>
      </c>
      <c r="DF22" s="2">
        <f>((IF((98='V06 Calend 01'!C22),('V06 Calend 01'!F22+'V06 Calend 01'!G22),0)+IF(AND(('V06 Calend 01'!E22&gt;0),(98&gt;'V06 Calend 01'!C22),(98&lt;'V06 Calend 01'!D22),(MOD((98-'V06 Calend 01'!C22),6)=0),(((98-'V06 Calend 01'!C22)/6)&lt;='V06 Calend 01'!E22)),IF((98=('V06 Calend 01'!C22+(6*'V06 Calend 01'!E22))),('V06 Calend 01'!H22-('V06 Calend 01'!I22*('V06 Calend 01'!E22-1))),'V06 Calend 01'!I22),0))+IF((98='V06 Calend 01'!D22),'V06 Calend 01'!J22,0))</f>
        <v>0</v>
      </c>
      <c r="DG22" s="2">
        <f>((IF((99='V06 Calend 01'!C22),('V06 Calend 01'!F22+'V06 Calend 01'!G22),0)+IF(AND(('V06 Calend 01'!E22&gt;0),(99&gt;'V06 Calend 01'!C22),(99&lt;'V06 Calend 01'!D22),(MOD((99-'V06 Calend 01'!C22),6)=0),(((99-'V06 Calend 01'!C22)/6)&lt;='V06 Calend 01'!E22)),IF((99=('V06 Calend 01'!C22+(6*'V06 Calend 01'!E22))),('V06 Calend 01'!H22-('V06 Calend 01'!I22*('V06 Calend 01'!E22-1))),'V06 Calend 01'!I22),0))+IF((99='V06 Calend 01'!D22),'V06 Calend 01'!J22,0))</f>
        <v>0</v>
      </c>
      <c r="DH22" s="2">
        <f>((IF((100='V06 Calend 01'!C22),('V06 Calend 01'!F22+'V06 Calend 01'!G22),0)+IF(AND(('V06 Calend 01'!E22&gt;0),(100&gt;'V06 Calend 01'!C22),(100&lt;'V06 Calend 01'!D22),(MOD((100-'V06 Calend 01'!C22),6)=0),(((100-'V06 Calend 01'!C22)/6)&lt;='V06 Calend 01'!E22)),IF((100=('V06 Calend 01'!C22+(6*'V06 Calend 01'!E22))),('V06 Calend 01'!H22-('V06 Calend 01'!I22*('V06 Calend 01'!E22-1))),'V06 Calend 01'!I22),0))+IF((100='V06 Calend 01'!D22),'V06 Calend 01'!J22,0))</f>
        <v>0</v>
      </c>
      <c r="DI22" s="2">
        <f>((IF((101='V06 Calend 01'!C22),('V06 Calend 01'!F22+'V06 Calend 01'!G22),0)+IF(AND(('V06 Calend 01'!E22&gt;0),(101&gt;'V06 Calend 01'!C22),(101&lt;'V06 Calend 01'!D22),(MOD((101-'V06 Calend 01'!C22),6)=0),(((101-'V06 Calend 01'!C22)/6)&lt;='V06 Calend 01'!E22)),IF((101=('V06 Calend 01'!C22+(6*'V06 Calend 01'!E22))),('V06 Calend 01'!H22-('V06 Calend 01'!I22*('V06 Calend 01'!E22-1))),'V06 Calend 01'!I22),0))+IF((101='V06 Calend 01'!D22),'V06 Calend 01'!J22,0))</f>
        <v>0</v>
      </c>
      <c r="DJ22" s="2">
        <f>((IF((102='V06 Calend 01'!C22),('V06 Calend 01'!F22+'V06 Calend 01'!G22),0)+IF(AND(('V06 Calend 01'!E22&gt;0),(102&gt;'V06 Calend 01'!C22),(102&lt;'V06 Calend 01'!D22),(MOD((102-'V06 Calend 01'!C22),6)=0),(((102-'V06 Calend 01'!C22)/6)&lt;='V06 Calend 01'!E22)),IF((102=('V06 Calend 01'!C22+(6*'V06 Calend 01'!E22))),('V06 Calend 01'!H22-('V06 Calend 01'!I22*('V06 Calend 01'!E22-1))),'V06 Calend 01'!I22),0))+IF((102='V06 Calend 01'!D22),'V06 Calend 01'!J22,0))</f>
        <v>0</v>
      </c>
      <c r="DK22" s="2">
        <f>((IF((103='V06 Calend 01'!C22),('V06 Calend 01'!F22+'V06 Calend 01'!G22),0)+IF(AND(('V06 Calend 01'!E22&gt;0),(103&gt;'V06 Calend 01'!C22),(103&lt;'V06 Calend 01'!D22),(MOD((103-'V06 Calend 01'!C22),6)=0),(((103-'V06 Calend 01'!C22)/6)&lt;='V06 Calend 01'!E22)),IF((103=('V06 Calend 01'!C22+(6*'V06 Calend 01'!E22))),('V06 Calend 01'!H22-('V06 Calend 01'!I22*('V06 Calend 01'!E22-1))),'V06 Calend 01'!I22),0))+IF((103='V06 Calend 01'!D22),'V06 Calend 01'!J22,0))</f>
        <v>0</v>
      </c>
      <c r="DL22" s="2">
        <f>((IF((104='V06 Calend 01'!C22),('V06 Calend 01'!F22+'V06 Calend 01'!G22),0)+IF(AND(('V06 Calend 01'!E22&gt;0),(104&gt;'V06 Calend 01'!C22),(104&lt;'V06 Calend 01'!D22),(MOD((104-'V06 Calend 01'!C22),6)=0),(((104-'V06 Calend 01'!C22)/6)&lt;='V06 Calend 01'!E22)),IF((104=('V06 Calend 01'!C22+(6*'V06 Calend 01'!E22))),('V06 Calend 01'!H22-('V06 Calend 01'!I22*('V06 Calend 01'!E22-1))),'V06 Calend 01'!I22),0))+IF((104='V06 Calend 01'!D22),'V06 Calend 01'!J22,0))</f>
        <v>0</v>
      </c>
      <c r="DM22" s="2">
        <f>((IF((105='V06 Calend 01'!C22),('V06 Calend 01'!F22+'V06 Calend 01'!G22),0)+IF(AND(('V06 Calend 01'!E22&gt;0),(105&gt;'V06 Calend 01'!C22),(105&lt;'V06 Calend 01'!D22),(MOD((105-'V06 Calend 01'!C22),6)=0),(((105-'V06 Calend 01'!C22)/6)&lt;='V06 Calend 01'!E22)),IF((105=('V06 Calend 01'!C22+(6*'V06 Calend 01'!E22))),('V06 Calend 01'!H22-('V06 Calend 01'!I22*('V06 Calend 01'!E22-1))),'V06 Calend 01'!I22),0))+IF((105='V06 Calend 01'!D22),'V06 Calend 01'!J22,0))</f>
        <v>0</v>
      </c>
      <c r="DN22" s="2">
        <f>((IF((106='V06 Calend 01'!C22),('V06 Calend 01'!F22+'V06 Calend 01'!G22),0)+IF(AND(('V06 Calend 01'!E22&gt;0),(106&gt;'V06 Calend 01'!C22),(106&lt;'V06 Calend 01'!D22),(MOD((106-'V06 Calend 01'!C22),6)=0),(((106-'V06 Calend 01'!C22)/6)&lt;='V06 Calend 01'!E22)),IF((106=('V06 Calend 01'!C22+(6*'V06 Calend 01'!E22))),('V06 Calend 01'!H22-('V06 Calend 01'!I22*('V06 Calend 01'!E22-1))),'V06 Calend 01'!I22),0))+IF((106='V06 Calend 01'!D22),'V06 Calend 01'!J22,0))</f>
        <v>0</v>
      </c>
      <c r="DO22" s="2">
        <f>((IF((107='V06 Calend 01'!C22),('V06 Calend 01'!F22+'V06 Calend 01'!G22),0)+IF(AND(('V06 Calend 01'!E22&gt;0),(107&gt;'V06 Calend 01'!C22),(107&lt;'V06 Calend 01'!D22),(MOD((107-'V06 Calend 01'!C22),6)=0),(((107-'V06 Calend 01'!C22)/6)&lt;='V06 Calend 01'!E22)),IF((107=('V06 Calend 01'!C22+(6*'V06 Calend 01'!E22))),('V06 Calend 01'!H22-('V06 Calend 01'!I22*('V06 Calend 01'!E22-1))),'V06 Calend 01'!I22),0))+IF((107='V06 Calend 01'!D22),'V06 Calend 01'!J22,0))</f>
        <v>0</v>
      </c>
      <c r="DP22" s="2">
        <f>((IF((108='V06 Calend 01'!C22),('V06 Calend 01'!F22+'V06 Calend 01'!G22),0)+IF(AND(('V06 Calend 01'!E22&gt;0),(108&gt;'V06 Calend 01'!C22),(108&lt;'V06 Calend 01'!D22),(MOD((108-'V06 Calend 01'!C22),6)=0),(((108-'V06 Calend 01'!C22)/6)&lt;='V06 Calend 01'!E22)),IF((108=('V06 Calend 01'!C22+(6*'V06 Calend 01'!E22))),('V06 Calend 01'!H22-('V06 Calend 01'!I22*('V06 Calend 01'!E22-1))),'V06 Calend 01'!I22),0))+IF((108='V06 Calend 01'!D22),'V06 Calend 01'!J22,0))</f>
        <v>0</v>
      </c>
      <c r="DQ22" s="2">
        <f>((IF((109='V06 Calend 01'!C22),('V06 Calend 01'!F22+'V06 Calend 01'!G22),0)+IF(AND(('V06 Calend 01'!E22&gt;0),(109&gt;'V06 Calend 01'!C22),(109&lt;'V06 Calend 01'!D22),(MOD((109-'V06 Calend 01'!C22),6)=0),(((109-'V06 Calend 01'!C22)/6)&lt;='V06 Calend 01'!E22)),IF((109=('V06 Calend 01'!C22+(6*'V06 Calend 01'!E22))),('V06 Calend 01'!H22-('V06 Calend 01'!I22*('V06 Calend 01'!E22-1))),'V06 Calend 01'!I22),0))+IF((109='V06 Calend 01'!D22),'V06 Calend 01'!J22,0))</f>
        <v>0</v>
      </c>
      <c r="DR22" s="2">
        <f>((IF((110='V06 Calend 01'!C22),('V06 Calend 01'!F22+'V06 Calend 01'!G22),0)+IF(AND(('V06 Calend 01'!E22&gt;0),(110&gt;'V06 Calend 01'!C22),(110&lt;'V06 Calend 01'!D22),(MOD((110-'V06 Calend 01'!C22),6)=0),(((110-'V06 Calend 01'!C22)/6)&lt;='V06 Calend 01'!E22)),IF((110=('V06 Calend 01'!C22+(6*'V06 Calend 01'!E22))),('V06 Calend 01'!H22-('V06 Calend 01'!I22*('V06 Calend 01'!E22-1))),'V06 Calend 01'!I22),0))+IF((110='V06 Calend 01'!D22),'V06 Calend 01'!J22,0))</f>
        <v>0</v>
      </c>
      <c r="DS22" s="2">
        <f>((IF((111='V06 Calend 01'!C22),('V06 Calend 01'!F22+'V06 Calend 01'!G22),0)+IF(AND(('V06 Calend 01'!E22&gt;0),(111&gt;'V06 Calend 01'!C22),(111&lt;'V06 Calend 01'!D22),(MOD((111-'V06 Calend 01'!C22),6)=0),(((111-'V06 Calend 01'!C22)/6)&lt;='V06 Calend 01'!E22)),IF((111=('V06 Calend 01'!C22+(6*'V06 Calend 01'!E22))),('V06 Calend 01'!H22-('V06 Calend 01'!I22*('V06 Calend 01'!E22-1))),'V06 Calend 01'!I22),0))+IF((111='V06 Calend 01'!D22),'V06 Calend 01'!J22,0))</f>
        <v>0</v>
      </c>
      <c r="DT22" s="2">
        <f>((IF((112='V06 Calend 01'!C22),('V06 Calend 01'!F22+'V06 Calend 01'!G22),0)+IF(AND(('V06 Calend 01'!E22&gt;0),(112&gt;'V06 Calend 01'!C22),(112&lt;'V06 Calend 01'!D22),(MOD((112-'V06 Calend 01'!C22),6)=0),(((112-'V06 Calend 01'!C22)/6)&lt;='V06 Calend 01'!E22)),IF((112=('V06 Calend 01'!C22+(6*'V06 Calend 01'!E22))),('V06 Calend 01'!H22-('V06 Calend 01'!I22*('V06 Calend 01'!E22-1))),'V06 Calend 01'!I22),0))+IF((112='V06 Calend 01'!D22),'V06 Calend 01'!J22,0))</f>
        <v>0</v>
      </c>
      <c r="DU22" s="2">
        <f>((IF((113='V06 Calend 01'!C22),('V06 Calend 01'!F22+'V06 Calend 01'!G22),0)+IF(AND(('V06 Calend 01'!E22&gt;0),(113&gt;'V06 Calend 01'!C22),(113&lt;'V06 Calend 01'!D22),(MOD((113-'V06 Calend 01'!C22),6)=0),(((113-'V06 Calend 01'!C22)/6)&lt;='V06 Calend 01'!E22)),IF((113=('V06 Calend 01'!C22+(6*'V06 Calend 01'!E22))),('V06 Calend 01'!H22-('V06 Calend 01'!I22*('V06 Calend 01'!E22-1))),'V06 Calend 01'!I22),0))+IF((113='V06 Calend 01'!D22),'V06 Calend 01'!J22,0))</f>
        <v>0</v>
      </c>
      <c r="DV22" s="2">
        <f>((IF((114='V06 Calend 01'!C22),('V06 Calend 01'!F22+'V06 Calend 01'!G22),0)+IF(AND(('V06 Calend 01'!E22&gt;0),(114&gt;'V06 Calend 01'!C22),(114&lt;'V06 Calend 01'!D22),(MOD((114-'V06 Calend 01'!C22),6)=0),(((114-'V06 Calend 01'!C22)/6)&lt;='V06 Calend 01'!E22)),IF((114=('V06 Calend 01'!C22+(6*'V06 Calend 01'!E22))),('V06 Calend 01'!H22-('V06 Calend 01'!I22*('V06 Calend 01'!E22-1))),'V06 Calend 01'!I22),0))+IF((114='V06 Calend 01'!D22),'V06 Calend 01'!J22,0))</f>
        <v>0</v>
      </c>
      <c r="DW22" s="2">
        <f>((IF((115='V06 Calend 01'!C22),('V06 Calend 01'!F22+'V06 Calend 01'!G22),0)+IF(AND(('V06 Calend 01'!E22&gt;0),(115&gt;'V06 Calend 01'!C22),(115&lt;'V06 Calend 01'!D22),(MOD((115-'V06 Calend 01'!C22),6)=0),(((115-'V06 Calend 01'!C22)/6)&lt;='V06 Calend 01'!E22)),IF((115=('V06 Calend 01'!C22+(6*'V06 Calend 01'!E22))),('V06 Calend 01'!H22-('V06 Calend 01'!I22*('V06 Calend 01'!E22-1))),'V06 Calend 01'!I22),0))+IF((115='V06 Calend 01'!D22),'V06 Calend 01'!J22,0))</f>
        <v>0</v>
      </c>
      <c r="DX22" s="2">
        <f>((IF((116='V06 Calend 01'!C22),('V06 Calend 01'!F22+'V06 Calend 01'!G22),0)+IF(AND(('V06 Calend 01'!E22&gt;0),(116&gt;'V06 Calend 01'!C22),(116&lt;'V06 Calend 01'!D22),(MOD((116-'V06 Calend 01'!C22),6)=0),(((116-'V06 Calend 01'!C22)/6)&lt;='V06 Calend 01'!E22)),IF((116=('V06 Calend 01'!C22+(6*'V06 Calend 01'!E22))),('V06 Calend 01'!H22-('V06 Calend 01'!I22*('V06 Calend 01'!E22-1))),'V06 Calend 01'!I22),0))+IF((116='V06 Calend 01'!D22),'V06 Calend 01'!J22,0))</f>
        <v>0</v>
      </c>
      <c r="DY22" s="2">
        <f>((IF((117='V06 Calend 01'!C22),('V06 Calend 01'!F22+'V06 Calend 01'!G22),0)+IF(AND(('V06 Calend 01'!E22&gt;0),(117&gt;'V06 Calend 01'!C22),(117&lt;'V06 Calend 01'!D22),(MOD((117-'V06 Calend 01'!C22),6)=0),(((117-'V06 Calend 01'!C22)/6)&lt;='V06 Calend 01'!E22)),IF((117=('V06 Calend 01'!C22+(6*'V06 Calend 01'!E22))),('V06 Calend 01'!H22-('V06 Calend 01'!I22*('V06 Calend 01'!E22-1))),'V06 Calend 01'!I22),0))+IF((117='V06 Calend 01'!D22),'V06 Calend 01'!J22,0))</f>
        <v>0</v>
      </c>
      <c r="DZ22" s="2">
        <f>((IF((118='V06 Calend 01'!C22),('V06 Calend 01'!F22+'V06 Calend 01'!G22),0)+IF(AND(('V06 Calend 01'!E22&gt;0),(118&gt;'V06 Calend 01'!C22),(118&lt;'V06 Calend 01'!D22),(MOD((118-'V06 Calend 01'!C22),6)=0),(((118-'V06 Calend 01'!C22)/6)&lt;='V06 Calend 01'!E22)),IF((118=('V06 Calend 01'!C22+(6*'V06 Calend 01'!E22))),('V06 Calend 01'!H22-('V06 Calend 01'!I22*('V06 Calend 01'!E22-1))),'V06 Calend 01'!I22),0))+IF((118='V06 Calend 01'!D22),'V06 Calend 01'!J22,0))</f>
        <v>0</v>
      </c>
      <c r="EA22" s="2">
        <f>((IF((119='V06 Calend 01'!C22),('V06 Calend 01'!F22+'V06 Calend 01'!G22),0)+IF(AND(('V06 Calend 01'!E22&gt;0),(119&gt;'V06 Calend 01'!C22),(119&lt;'V06 Calend 01'!D22),(MOD((119-'V06 Calend 01'!C22),6)=0),(((119-'V06 Calend 01'!C22)/6)&lt;='V06 Calend 01'!E22)),IF((119=('V06 Calend 01'!C22+(6*'V06 Calend 01'!E22))),('V06 Calend 01'!H22-('V06 Calend 01'!I22*('V06 Calend 01'!E22-1))),'V06 Calend 01'!I22),0))+IF((119='V06 Calend 01'!D22),'V06 Calend 01'!J22,0))</f>
        <v>0</v>
      </c>
      <c r="EB22" s="2">
        <f>((IF((120='V06 Calend 01'!C22),('V06 Calend 01'!F22+'V06 Calend 01'!G22),0)+IF(AND(('V06 Calend 01'!E22&gt;0),(120&gt;'V06 Calend 01'!C22),(120&lt;'V06 Calend 01'!D22),(MOD((120-'V06 Calend 01'!C22),6)=0),(((120-'V06 Calend 01'!C22)/6)&lt;='V06 Calend 01'!E22)),IF((120=('V06 Calend 01'!C22+(6*'V06 Calend 01'!E22))),('V06 Calend 01'!H22-('V06 Calend 01'!I22*('V06 Calend 01'!E22-1))),'V06 Calend 01'!I22),0))+IF((120='V06 Calend 01'!D22),'V06 Calend 01'!J22,0))</f>
        <v>0</v>
      </c>
      <c r="EC22" s="2">
        <f>((IF((121='V06 Calend 01'!C22),('V06 Calend 01'!F22+'V06 Calend 01'!G22),0)+IF(AND(('V06 Calend 01'!E22&gt;0),(121&gt;'V06 Calend 01'!C22),(121&lt;'V06 Calend 01'!D22),(MOD((121-'V06 Calend 01'!C22),6)=0),(((121-'V06 Calend 01'!C22)/6)&lt;='V06 Calend 01'!E22)),IF((121=('V06 Calend 01'!C22+(6*'V06 Calend 01'!E22))),('V06 Calend 01'!H22-('V06 Calend 01'!I22*('V06 Calend 01'!E22-1))),'V06 Calend 01'!I22),0))+IF((121='V06 Calend 01'!D22),'V06 Calend 01'!J22,0))</f>
        <v>0</v>
      </c>
      <c r="ED22" s="2">
        <f>((IF((122='V06 Calend 01'!C22),('V06 Calend 01'!F22+'V06 Calend 01'!G22),0)+IF(AND(('V06 Calend 01'!E22&gt;0),(122&gt;'V06 Calend 01'!C22),(122&lt;'V06 Calend 01'!D22),(MOD((122-'V06 Calend 01'!C22),6)=0),(((122-'V06 Calend 01'!C22)/6)&lt;='V06 Calend 01'!E22)),IF((122=('V06 Calend 01'!C22+(6*'V06 Calend 01'!E22))),('V06 Calend 01'!H22-('V06 Calend 01'!I22*('V06 Calend 01'!E22-1))),'V06 Calend 01'!I22),0))+IF((122='V06 Calend 01'!D22),'V06 Calend 01'!J22,0))</f>
        <v>0</v>
      </c>
      <c r="EE22" s="2">
        <f>((IF((123='V06 Calend 01'!C22),('V06 Calend 01'!F22+'V06 Calend 01'!G22),0)+IF(AND(('V06 Calend 01'!E22&gt;0),(123&gt;'V06 Calend 01'!C22),(123&lt;'V06 Calend 01'!D22),(MOD((123-'V06 Calend 01'!C22),6)=0),(((123-'V06 Calend 01'!C22)/6)&lt;='V06 Calend 01'!E22)),IF((123=('V06 Calend 01'!C22+(6*'V06 Calend 01'!E22))),('V06 Calend 01'!H22-('V06 Calend 01'!I22*('V06 Calend 01'!E22-1))),'V06 Calend 01'!I22),0))+IF((123='V06 Calend 01'!D22),'V06 Calend 01'!J22,0))</f>
        <v>0</v>
      </c>
      <c r="EF22" s="2">
        <f>((IF((124='V06 Calend 01'!C22),('V06 Calend 01'!F22+'V06 Calend 01'!G22),0)+IF(AND(('V06 Calend 01'!E22&gt;0),(124&gt;'V06 Calend 01'!C22),(124&lt;'V06 Calend 01'!D22),(MOD((124-'V06 Calend 01'!C22),6)=0),(((124-'V06 Calend 01'!C22)/6)&lt;='V06 Calend 01'!E22)),IF((124=('V06 Calend 01'!C22+(6*'V06 Calend 01'!E22))),('V06 Calend 01'!H22-('V06 Calend 01'!I22*('V06 Calend 01'!E22-1))),'V06 Calend 01'!I22),0))+IF((124='V06 Calend 01'!D22),'V06 Calend 01'!J22,0))</f>
        <v>0</v>
      </c>
      <c r="EG22" s="2">
        <f>((IF((125='V06 Calend 01'!C22),('V06 Calend 01'!F22+'V06 Calend 01'!G22),0)+IF(AND(('V06 Calend 01'!E22&gt;0),(125&gt;'V06 Calend 01'!C22),(125&lt;'V06 Calend 01'!D22),(MOD((125-'V06 Calend 01'!C22),6)=0),(((125-'V06 Calend 01'!C22)/6)&lt;='V06 Calend 01'!E22)),IF((125=('V06 Calend 01'!C22+(6*'V06 Calend 01'!E22))),('V06 Calend 01'!H22-('V06 Calend 01'!I22*('V06 Calend 01'!E22-1))),'V06 Calend 01'!I22),0))+IF((125='V06 Calend 01'!D22),'V06 Calend 01'!J22,0))</f>
        <v>0</v>
      </c>
      <c r="EH22" s="2">
        <f>((IF((126='V06 Calend 01'!C22),('V06 Calend 01'!F22+'V06 Calend 01'!G22),0)+IF(AND(('V06 Calend 01'!E22&gt;0),(126&gt;'V06 Calend 01'!C22),(126&lt;'V06 Calend 01'!D22),(MOD((126-'V06 Calend 01'!C22),6)=0),(((126-'V06 Calend 01'!C22)/6)&lt;='V06 Calend 01'!E22)),IF((126=('V06 Calend 01'!C22+(6*'V06 Calend 01'!E22))),('V06 Calend 01'!H22-('V06 Calend 01'!I22*('V06 Calend 01'!E22-1))),'V06 Calend 01'!I22),0))+IF((126='V06 Calend 01'!D22),'V06 Calend 01'!J22,0))</f>
        <v>0</v>
      </c>
      <c r="EI22" s="2">
        <f>((IF((127='V06 Calend 01'!C22),('V06 Calend 01'!F22+'V06 Calend 01'!G22),0)+IF(AND(('V06 Calend 01'!E22&gt;0),(127&gt;'V06 Calend 01'!C22),(127&lt;'V06 Calend 01'!D22),(MOD((127-'V06 Calend 01'!C22),6)=0),(((127-'V06 Calend 01'!C22)/6)&lt;='V06 Calend 01'!E22)),IF((127=('V06 Calend 01'!C22+(6*'V06 Calend 01'!E22))),('V06 Calend 01'!H22-('V06 Calend 01'!I22*('V06 Calend 01'!E22-1))),'V06 Calend 01'!I22),0))+IF((127='V06 Calend 01'!D22),'V06 Calend 01'!J22,0))</f>
        <v>0</v>
      </c>
      <c r="EJ22" s="2">
        <f>((IF((128='V06 Calend 01'!C22),('V06 Calend 01'!F22+'V06 Calend 01'!G22),0)+IF(AND(('V06 Calend 01'!E22&gt;0),(128&gt;'V06 Calend 01'!C22),(128&lt;'V06 Calend 01'!D22),(MOD((128-'V06 Calend 01'!C22),6)=0),(((128-'V06 Calend 01'!C22)/6)&lt;='V06 Calend 01'!E22)),IF((128=('V06 Calend 01'!C22+(6*'V06 Calend 01'!E22))),('V06 Calend 01'!H22-('V06 Calend 01'!I22*('V06 Calend 01'!E22-1))),'V06 Calend 01'!I22),0))+IF((128='V06 Calend 01'!D22),'V06 Calend 01'!J22,0))</f>
        <v>0</v>
      </c>
      <c r="EK22" s="2">
        <f>((IF((129='V06 Calend 01'!C22),('V06 Calend 01'!F22+'V06 Calend 01'!G22),0)+IF(AND(('V06 Calend 01'!E22&gt;0),(129&gt;'V06 Calend 01'!C22),(129&lt;'V06 Calend 01'!D22),(MOD((129-'V06 Calend 01'!C22),6)=0),(((129-'V06 Calend 01'!C22)/6)&lt;='V06 Calend 01'!E22)),IF((129=('V06 Calend 01'!C22+(6*'V06 Calend 01'!E22))),('V06 Calend 01'!H22-('V06 Calend 01'!I22*('V06 Calend 01'!E22-1))),'V06 Calend 01'!I22),0))+IF((129='V06 Calend 01'!D22),'V06 Calend 01'!J22,0))</f>
        <v>0</v>
      </c>
      <c r="EL22" s="2">
        <f>((IF((130='V06 Calend 01'!C22),('V06 Calend 01'!F22+'V06 Calend 01'!G22),0)+IF(AND(('V06 Calend 01'!E22&gt;0),(130&gt;'V06 Calend 01'!C22),(130&lt;'V06 Calend 01'!D22),(MOD((130-'V06 Calend 01'!C22),6)=0),(((130-'V06 Calend 01'!C22)/6)&lt;='V06 Calend 01'!E22)),IF((130=('V06 Calend 01'!C22+(6*'V06 Calend 01'!E22))),('V06 Calend 01'!H22-('V06 Calend 01'!I22*('V06 Calend 01'!E22-1))),'V06 Calend 01'!I22),0))+IF((130='V06 Calend 01'!D22),'V06 Calend 01'!J22,0))</f>
        <v>0</v>
      </c>
      <c r="EM22" s="2">
        <f>((IF((131='V06 Calend 01'!C22),('V06 Calend 01'!F22+'V06 Calend 01'!G22),0)+IF(AND(('V06 Calend 01'!E22&gt;0),(131&gt;'V06 Calend 01'!C22),(131&lt;'V06 Calend 01'!D22),(MOD((131-'V06 Calend 01'!C22),6)=0),(((131-'V06 Calend 01'!C22)/6)&lt;='V06 Calend 01'!E22)),IF((131=('V06 Calend 01'!C22+(6*'V06 Calend 01'!E22))),('V06 Calend 01'!H22-('V06 Calend 01'!I22*('V06 Calend 01'!E22-1))),'V06 Calend 01'!I22),0))+IF((131='V06 Calend 01'!D22),'V06 Calend 01'!J22,0))</f>
        <v>0</v>
      </c>
      <c r="EN22" s="2">
        <f>((IF((132='V06 Calend 01'!C22),('V06 Calend 01'!F22+'V06 Calend 01'!G22),0)+IF(AND(('V06 Calend 01'!E22&gt;0),(132&gt;'V06 Calend 01'!C22),(132&lt;'V06 Calend 01'!D22),(MOD((132-'V06 Calend 01'!C22),6)=0),(((132-'V06 Calend 01'!C22)/6)&lt;='V06 Calend 01'!E22)),IF((132=('V06 Calend 01'!C22+(6*'V06 Calend 01'!E22))),('V06 Calend 01'!H22-('V06 Calend 01'!I22*('V06 Calend 01'!E22-1))),'V06 Calend 01'!I22),0))+IF((132='V06 Calend 01'!D22),'V06 Calend 01'!J22,0))</f>
        <v>0</v>
      </c>
      <c r="EO22" s="2">
        <f>((IF((133='V06 Calend 01'!C22),('V06 Calend 01'!F22+'V06 Calend 01'!G22),0)+IF(AND(('V06 Calend 01'!E22&gt;0),(133&gt;'V06 Calend 01'!C22),(133&lt;'V06 Calend 01'!D22),(MOD((133-'V06 Calend 01'!C22),6)=0),(((133-'V06 Calend 01'!C22)/6)&lt;='V06 Calend 01'!E22)),IF((133=('V06 Calend 01'!C22+(6*'V06 Calend 01'!E22))),('V06 Calend 01'!H22-('V06 Calend 01'!I22*('V06 Calend 01'!E22-1))),'V06 Calend 01'!I22),0))+IF((133='V06 Calend 01'!D22),'V06 Calend 01'!J22,0))</f>
        <v>0</v>
      </c>
      <c r="EP22" s="2">
        <f>((IF((134='V06 Calend 01'!C22),('V06 Calend 01'!F22+'V06 Calend 01'!G22),0)+IF(AND(('V06 Calend 01'!E22&gt;0),(134&gt;'V06 Calend 01'!C22),(134&lt;'V06 Calend 01'!D22),(MOD((134-'V06 Calend 01'!C22),6)=0),(((134-'V06 Calend 01'!C22)/6)&lt;='V06 Calend 01'!E22)),IF((134=('V06 Calend 01'!C22+(6*'V06 Calend 01'!E22))),('V06 Calend 01'!H22-('V06 Calend 01'!I22*('V06 Calend 01'!E22-1))),'V06 Calend 01'!I22),0))+IF((134='V06 Calend 01'!D22),'V06 Calend 01'!J22,0))</f>
        <v>0</v>
      </c>
      <c r="EQ22" s="2">
        <f>((IF((135='V06 Calend 01'!C22),('V06 Calend 01'!F22+'V06 Calend 01'!G22),0)+IF(AND(('V06 Calend 01'!E22&gt;0),(135&gt;'V06 Calend 01'!C22),(135&lt;'V06 Calend 01'!D22),(MOD((135-'V06 Calend 01'!C22),6)=0),(((135-'V06 Calend 01'!C22)/6)&lt;='V06 Calend 01'!E22)),IF((135=('V06 Calend 01'!C22+(6*'V06 Calend 01'!E22))),('V06 Calend 01'!H22-('V06 Calend 01'!I22*('V06 Calend 01'!E22-1))),'V06 Calend 01'!I22),0))+IF((135='V06 Calend 01'!D22),'V06 Calend 01'!J22,0))</f>
        <v>0</v>
      </c>
      <c r="ER22" s="2">
        <f>((IF((136='V06 Calend 01'!C22),('V06 Calend 01'!F22+'V06 Calend 01'!G22),0)+IF(AND(('V06 Calend 01'!E22&gt;0),(136&gt;'V06 Calend 01'!C22),(136&lt;'V06 Calend 01'!D22),(MOD((136-'V06 Calend 01'!C22),6)=0),(((136-'V06 Calend 01'!C22)/6)&lt;='V06 Calend 01'!E22)),IF((136=('V06 Calend 01'!C22+(6*'V06 Calend 01'!E22))),('V06 Calend 01'!H22-('V06 Calend 01'!I22*('V06 Calend 01'!E22-1))),'V06 Calend 01'!I22),0))+IF((136='V06 Calend 01'!D22),'V06 Calend 01'!J22,0))</f>
        <v>0</v>
      </c>
      <c r="ES22" s="2">
        <f>((IF((137='V06 Calend 01'!C22),('V06 Calend 01'!F22+'V06 Calend 01'!G22),0)+IF(AND(('V06 Calend 01'!E22&gt;0),(137&gt;'V06 Calend 01'!C22),(137&lt;'V06 Calend 01'!D22),(MOD((137-'V06 Calend 01'!C22),6)=0),(((137-'V06 Calend 01'!C22)/6)&lt;='V06 Calend 01'!E22)),IF((137=('V06 Calend 01'!C22+(6*'V06 Calend 01'!E22))),('V06 Calend 01'!H22-('V06 Calend 01'!I22*('V06 Calend 01'!E22-1))),'V06 Calend 01'!I22),0))+IF((137='V06 Calend 01'!D22),'V06 Calend 01'!J22,0))</f>
        <v>0</v>
      </c>
      <c r="ET22" s="2">
        <f>((IF((138='V06 Calend 01'!C22),('V06 Calend 01'!F22+'V06 Calend 01'!G22),0)+IF(AND(('V06 Calend 01'!E22&gt;0),(138&gt;'V06 Calend 01'!C22),(138&lt;'V06 Calend 01'!D22),(MOD((138-'V06 Calend 01'!C22),6)=0),(((138-'V06 Calend 01'!C22)/6)&lt;='V06 Calend 01'!E22)),IF((138=('V06 Calend 01'!C22+(6*'V06 Calend 01'!E22))),('V06 Calend 01'!H22-('V06 Calend 01'!I22*('V06 Calend 01'!E22-1))),'V06 Calend 01'!I22),0))+IF((138='V06 Calend 01'!D22),'V06 Calend 01'!J22,0))</f>
        <v>0</v>
      </c>
      <c r="EU22" s="2">
        <f>((IF((139='V06 Calend 01'!C22),('V06 Calend 01'!F22+'V06 Calend 01'!G22),0)+IF(AND(('V06 Calend 01'!E22&gt;0),(139&gt;'V06 Calend 01'!C22),(139&lt;'V06 Calend 01'!D22),(MOD((139-'V06 Calend 01'!C22),6)=0),(((139-'V06 Calend 01'!C22)/6)&lt;='V06 Calend 01'!E22)),IF((139=('V06 Calend 01'!C22+(6*'V06 Calend 01'!E22))),('V06 Calend 01'!H22-('V06 Calend 01'!I22*('V06 Calend 01'!E22-1))),'V06 Calend 01'!I22),0))+IF((139='V06 Calend 01'!D22),'V06 Calend 01'!J22,0))</f>
        <v>0</v>
      </c>
      <c r="EV22" s="2">
        <f>((IF((140='V06 Calend 01'!C22),('V06 Calend 01'!F22+'V06 Calend 01'!G22),0)+IF(AND(('V06 Calend 01'!E22&gt;0),(140&gt;'V06 Calend 01'!C22),(140&lt;'V06 Calend 01'!D22),(MOD((140-'V06 Calend 01'!C22),6)=0),(((140-'V06 Calend 01'!C22)/6)&lt;='V06 Calend 01'!E22)),IF((140=('V06 Calend 01'!C22+(6*'V06 Calend 01'!E22))),('V06 Calend 01'!H22-('V06 Calend 01'!I22*('V06 Calend 01'!E22-1))),'V06 Calend 01'!I22),0))+IF((140='V06 Calend 01'!D22),'V06 Calend 01'!J22,0))</f>
        <v>0</v>
      </c>
      <c r="EW22" s="2">
        <f>((IF((141='V06 Calend 01'!C22),('V06 Calend 01'!F22+'V06 Calend 01'!G22),0)+IF(AND(('V06 Calend 01'!E22&gt;0),(141&gt;'V06 Calend 01'!C22),(141&lt;'V06 Calend 01'!D22),(MOD((141-'V06 Calend 01'!C22),6)=0),(((141-'V06 Calend 01'!C22)/6)&lt;='V06 Calend 01'!E22)),IF((141=('V06 Calend 01'!C22+(6*'V06 Calend 01'!E22))),('V06 Calend 01'!H22-('V06 Calend 01'!I22*('V06 Calend 01'!E22-1))),'V06 Calend 01'!I22),0))+IF((141='V06 Calend 01'!D22),'V06 Calend 01'!J22,0))</f>
        <v>0</v>
      </c>
      <c r="EX22" s="2">
        <f>((IF((142='V06 Calend 01'!C22),('V06 Calend 01'!F22+'V06 Calend 01'!G22),0)+IF(AND(('V06 Calend 01'!E22&gt;0),(142&gt;'V06 Calend 01'!C22),(142&lt;'V06 Calend 01'!D22),(MOD((142-'V06 Calend 01'!C22),6)=0),(((142-'V06 Calend 01'!C22)/6)&lt;='V06 Calend 01'!E22)),IF((142=('V06 Calend 01'!C22+(6*'V06 Calend 01'!E22))),('V06 Calend 01'!H22-('V06 Calend 01'!I22*('V06 Calend 01'!E22-1))),'V06 Calend 01'!I22),0))+IF((142='V06 Calend 01'!D22),'V06 Calend 01'!J22,0))</f>
        <v>0</v>
      </c>
      <c r="EY22" s="2">
        <f>((IF((143='V06 Calend 01'!C22),('V06 Calend 01'!F22+'V06 Calend 01'!G22),0)+IF(AND(('V06 Calend 01'!E22&gt;0),(143&gt;'V06 Calend 01'!C22),(143&lt;'V06 Calend 01'!D22),(MOD((143-'V06 Calend 01'!C22),6)=0),(((143-'V06 Calend 01'!C22)/6)&lt;='V06 Calend 01'!E22)),IF((143=('V06 Calend 01'!C22+(6*'V06 Calend 01'!E22))),('V06 Calend 01'!H22-('V06 Calend 01'!I22*('V06 Calend 01'!E22-1))),'V06 Calend 01'!I22),0))+IF((143='V06 Calend 01'!D22),'V06 Calend 01'!J22,0))</f>
        <v>0</v>
      </c>
      <c r="EZ22" s="2">
        <f>((IF((144='V06 Calend 01'!C22),('V06 Calend 01'!F22+'V06 Calend 01'!G22),0)+IF(AND(('V06 Calend 01'!E22&gt;0),(144&gt;'V06 Calend 01'!C22),(144&lt;'V06 Calend 01'!D22),(MOD((144-'V06 Calend 01'!C22),6)=0),(((144-'V06 Calend 01'!C22)/6)&lt;='V06 Calend 01'!E22)),IF((144=('V06 Calend 01'!C22+(6*'V06 Calend 01'!E22))),('V06 Calend 01'!H22-('V06 Calend 01'!I22*('V06 Calend 01'!E22-1))),'V06 Calend 01'!I22),0))+IF((144='V06 Calend 01'!D22),'V06 Calend 01'!J22,0))</f>
        <v>0</v>
      </c>
      <c r="FA22" s="2">
        <f>((IF((145='V06 Calend 01'!C22),('V06 Calend 01'!F22+'V06 Calend 01'!G22),0)+IF(AND(('V06 Calend 01'!E22&gt;0),(145&gt;'V06 Calend 01'!C22),(145&lt;'V06 Calend 01'!D22),(MOD((145-'V06 Calend 01'!C22),6)=0),(((145-'V06 Calend 01'!C22)/6)&lt;='V06 Calend 01'!E22)),IF((145=('V06 Calend 01'!C22+(6*'V06 Calend 01'!E22))),('V06 Calend 01'!H22-('V06 Calend 01'!I22*('V06 Calend 01'!E22-1))),'V06 Calend 01'!I22),0))+IF((145='V06 Calend 01'!D22),'V06 Calend 01'!J22,0))</f>
        <v>0</v>
      </c>
      <c r="FB22" s="2">
        <f>((IF((146='V06 Calend 01'!C22),('V06 Calend 01'!F22+'V06 Calend 01'!G22),0)+IF(AND(('V06 Calend 01'!E22&gt;0),(146&gt;'V06 Calend 01'!C22),(146&lt;'V06 Calend 01'!D22),(MOD((146-'V06 Calend 01'!C22),6)=0),(((146-'V06 Calend 01'!C22)/6)&lt;='V06 Calend 01'!E22)),IF((146=('V06 Calend 01'!C22+(6*'V06 Calend 01'!E22))),('V06 Calend 01'!H22-('V06 Calend 01'!I22*('V06 Calend 01'!E22-1))),'V06 Calend 01'!I22),0))+IF((146='V06 Calend 01'!D22),'V06 Calend 01'!J22,0))</f>
        <v>0</v>
      </c>
      <c r="FC22" s="2">
        <f>((IF((147='V06 Calend 01'!C22),('V06 Calend 01'!F22+'V06 Calend 01'!G22),0)+IF(AND(('V06 Calend 01'!E22&gt;0),(147&gt;'V06 Calend 01'!C22),(147&lt;'V06 Calend 01'!D22),(MOD((147-'V06 Calend 01'!C22),6)=0),(((147-'V06 Calend 01'!C22)/6)&lt;='V06 Calend 01'!E22)),IF((147=('V06 Calend 01'!C22+(6*'V06 Calend 01'!E22))),('V06 Calend 01'!H22-('V06 Calend 01'!I22*('V06 Calend 01'!E22-1))),'V06 Calend 01'!I22),0))+IF((147='V06 Calend 01'!D22),'V06 Calend 01'!J22,0))</f>
        <v>0</v>
      </c>
      <c r="FD22" s="2">
        <f>((IF((148='V06 Calend 01'!C22),('V06 Calend 01'!F22+'V06 Calend 01'!G22),0)+IF(AND(('V06 Calend 01'!E22&gt;0),(148&gt;'V06 Calend 01'!C22),(148&lt;'V06 Calend 01'!D22),(MOD((148-'V06 Calend 01'!C22),6)=0),(((148-'V06 Calend 01'!C22)/6)&lt;='V06 Calend 01'!E22)),IF((148=('V06 Calend 01'!C22+(6*'V06 Calend 01'!E22))),('V06 Calend 01'!H22-('V06 Calend 01'!I22*('V06 Calend 01'!E22-1))),'V06 Calend 01'!I22),0))+IF((148='V06 Calend 01'!D22),'V06 Calend 01'!J22,0))</f>
        <v>0</v>
      </c>
      <c r="FE22" s="2">
        <f>((IF((149='V06 Calend 01'!C22),('V06 Calend 01'!F22+'V06 Calend 01'!G22),0)+IF(AND(('V06 Calend 01'!E22&gt;0),(149&gt;'V06 Calend 01'!C22),(149&lt;'V06 Calend 01'!D22),(MOD((149-'V06 Calend 01'!C22),6)=0),(((149-'V06 Calend 01'!C22)/6)&lt;='V06 Calend 01'!E22)),IF((149=('V06 Calend 01'!C22+(6*'V06 Calend 01'!E22))),('V06 Calend 01'!H22-('V06 Calend 01'!I22*('V06 Calend 01'!E22-1))),'V06 Calend 01'!I22),0))+IF((149='V06 Calend 01'!D22),'V06 Calend 01'!J22,0))</f>
        <v>0</v>
      </c>
      <c r="FF22" s="2">
        <f>((IF((150='V06 Calend 01'!C22),('V06 Calend 01'!F22+'V06 Calend 01'!G22),0)+IF(AND(('V06 Calend 01'!E22&gt;0),(150&gt;'V06 Calend 01'!C22),(150&lt;'V06 Calend 01'!D22),(MOD((150-'V06 Calend 01'!C22),6)=0),(((150-'V06 Calend 01'!C22)/6)&lt;='V06 Calend 01'!E22)),IF((150=('V06 Calend 01'!C22+(6*'V06 Calend 01'!E22))),('V06 Calend 01'!H22-('V06 Calend 01'!I22*('V06 Calend 01'!E22-1))),'V06 Calend 01'!I22),0))+IF((150='V06 Calend 01'!D22),'V06 Calend 01'!J22,0))</f>
        <v>0</v>
      </c>
      <c r="FG22" s="2">
        <f>((IF((151='V06 Calend 01'!C22),('V06 Calend 01'!F22+'V06 Calend 01'!G22),0)+IF(AND(('V06 Calend 01'!E22&gt;0),(151&gt;'V06 Calend 01'!C22),(151&lt;'V06 Calend 01'!D22),(MOD((151-'V06 Calend 01'!C22),6)=0),(((151-'V06 Calend 01'!C22)/6)&lt;='V06 Calend 01'!E22)),IF((151=('V06 Calend 01'!C22+(6*'V06 Calend 01'!E22))),('V06 Calend 01'!H22-('V06 Calend 01'!I22*('V06 Calend 01'!E22-1))),'V06 Calend 01'!I22),0))+IF((151='V06 Calend 01'!D22),'V06 Calend 01'!J22,0))</f>
        <v>0</v>
      </c>
      <c r="FH22" s="2">
        <f>((IF((152='V06 Calend 01'!C22),('V06 Calend 01'!F22+'V06 Calend 01'!G22),0)+IF(AND(('V06 Calend 01'!E22&gt;0),(152&gt;'V06 Calend 01'!C22),(152&lt;'V06 Calend 01'!D22),(MOD((152-'V06 Calend 01'!C22),6)=0),(((152-'V06 Calend 01'!C22)/6)&lt;='V06 Calend 01'!E22)),IF((152=('V06 Calend 01'!C22+(6*'V06 Calend 01'!E22))),('V06 Calend 01'!H22-('V06 Calend 01'!I22*('V06 Calend 01'!E22-1))),'V06 Calend 01'!I22),0))+IF((152='V06 Calend 01'!D22),'V06 Calend 01'!J22,0))</f>
        <v>0</v>
      </c>
      <c r="FI22" s="2">
        <f>((IF((153='V06 Calend 01'!C22),('V06 Calend 01'!F22+'V06 Calend 01'!G22),0)+IF(AND(('V06 Calend 01'!E22&gt;0),(153&gt;'V06 Calend 01'!C22),(153&lt;'V06 Calend 01'!D22),(MOD((153-'V06 Calend 01'!C22),6)=0),(((153-'V06 Calend 01'!C22)/6)&lt;='V06 Calend 01'!E22)),IF((153=('V06 Calend 01'!C22+(6*'V06 Calend 01'!E22))),('V06 Calend 01'!H22-('V06 Calend 01'!I22*('V06 Calend 01'!E22-1))),'V06 Calend 01'!I22),0))+IF((153='V06 Calend 01'!D22),'V06 Calend 01'!J22,0))</f>
        <v>0</v>
      </c>
      <c r="FJ22" s="2">
        <f>((IF((154='V06 Calend 01'!C22),('V06 Calend 01'!F22+'V06 Calend 01'!G22),0)+IF(AND(('V06 Calend 01'!E22&gt;0),(154&gt;'V06 Calend 01'!C22),(154&lt;'V06 Calend 01'!D22),(MOD((154-'V06 Calend 01'!C22),6)=0),(((154-'V06 Calend 01'!C22)/6)&lt;='V06 Calend 01'!E22)),IF((154=('V06 Calend 01'!C22+(6*'V06 Calend 01'!E22))),('V06 Calend 01'!H22-('V06 Calend 01'!I22*('V06 Calend 01'!E22-1))),'V06 Calend 01'!I22),0))+IF((154='V06 Calend 01'!D22),'V06 Calend 01'!J22,0))</f>
        <v>0</v>
      </c>
      <c r="FK22" s="2">
        <f>((IF((155='V06 Calend 01'!C22),('V06 Calend 01'!F22+'V06 Calend 01'!G22),0)+IF(AND(('V06 Calend 01'!E22&gt;0),(155&gt;'V06 Calend 01'!C22),(155&lt;'V06 Calend 01'!D22),(MOD((155-'V06 Calend 01'!C22),6)=0),(((155-'V06 Calend 01'!C22)/6)&lt;='V06 Calend 01'!E22)),IF((155=('V06 Calend 01'!C22+(6*'V06 Calend 01'!E22))),('V06 Calend 01'!H22-('V06 Calend 01'!I22*('V06 Calend 01'!E22-1))),'V06 Calend 01'!I22),0))+IF((155='V06 Calend 01'!D22),'V06 Calend 01'!J22,0))</f>
        <v>0</v>
      </c>
      <c r="FL22" s="2">
        <f>((IF((156='V06 Calend 01'!C22),('V06 Calend 01'!F22+'V06 Calend 01'!G22),0)+IF(AND(('V06 Calend 01'!E22&gt;0),(156&gt;'V06 Calend 01'!C22),(156&lt;'V06 Calend 01'!D22),(MOD((156-'V06 Calend 01'!C22),6)=0),(((156-'V06 Calend 01'!C22)/6)&lt;='V06 Calend 01'!E22)),IF((156=('V06 Calend 01'!C22+(6*'V06 Calend 01'!E22))),('V06 Calend 01'!H22-('V06 Calend 01'!I22*('V06 Calend 01'!E22-1))),'V06 Calend 01'!I22),0))+IF((156='V06 Calend 01'!D22),'V06 Calend 01'!J22,0))</f>
        <v>0</v>
      </c>
      <c r="FM22" s="2">
        <f>((IF((157='V06 Calend 01'!C22),('V06 Calend 01'!F22+'V06 Calend 01'!G22),0)+IF(AND(('V06 Calend 01'!E22&gt;0),(157&gt;'V06 Calend 01'!C22),(157&lt;'V06 Calend 01'!D22),(MOD((157-'V06 Calend 01'!C22),6)=0),(((157-'V06 Calend 01'!C22)/6)&lt;='V06 Calend 01'!E22)),IF((157=('V06 Calend 01'!C22+(6*'V06 Calend 01'!E22))),('V06 Calend 01'!H22-('V06 Calend 01'!I22*('V06 Calend 01'!E22-1))),'V06 Calend 01'!I22),0))+IF((157='V06 Calend 01'!D22),'V06 Calend 01'!J22,0))</f>
        <v>0</v>
      </c>
      <c r="FN22" s="2">
        <f>((IF((158='V06 Calend 01'!C22),('V06 Calend 01'!F22+'V06 Calend 01'!G22),0)+IF(AND(('V06 Calend 01'!E22&gt;0),(158&gt;'V06 Calend 01'!C22),(158&lt;'V06 Calend 01'!D22),(MOD((158-'V06 Calend 01'!C22),6)=0),(((158-'V06 Calend 01'!C22)/6)&lt;='V06 Calend 01'!E22)),IF((158=('V06 Calend 01'!C22+(6*'V06 Calend 01'!E22))),('V06 Calend 01'!H22-('V06 Calend 01'!I22*('V06 Calend 01'!E22-1))),'V06 Calend 01'!I22),0))+IF((158='V06 Calend 01'!D22),'V06 Calend 01'!J22,0))</f>
        <v>0</v>
      </c>
      <c r="FO22" s="2">
        <f>((IF((159='V06 Calend 01'!C22),('V06 Calend 01'!F22+'V06 Calend 01'!G22),0)+IF(AND(('V06 Calend 01'!E22&gt;0),(159&gt;'V06 Calend 01'!C22),(159&lt;'V06 Calend 01'!D22),(MOD((159-'V06 Calend 01'!C22),6)=0),(((159-'V06 Calend 01'!C22)/6)&lt;='V06 Calend 01'!E22)),IF((159=('V06 Calend 01'!C22+(6*'V06 Calend 01'!E22))),('V06 Calend 01'!H22-('V06 Calend 01'!I22*('V06 Calend 01'!E22-1))),'V06 Calend 01'!I22),0))+IF((159='V06 Calend 01'!D22),'V06 Calend 01'!J22,0))</f>
        <v>0</v>
      </c>
      <c r="FP22" s="2">
        <f>((IF((160='V06 Calend 01'!C22),('V06 Calend 01'!F22+'V06 Calend 01'!G22),0)+IF(AND(('V06 Calend 01'!E22&gt;0),(160&gt;'V06 Calend 01'!C22),(160&lt;'V06 Calend 01'!D22),(MOD((160-'V06 Calend 01'!C22),6)=0),(((160-'V06 Calend 01'!C22)/6)&lt;='V06 Calend 01'!E22)),IF((160=('V06 Calend 01'!C22+(6*'V06 Calend 01'!E22))),('V06 Calend 01'!H22-('V06 Calend 01'!I22*('V06 Calend 01'!E22-1))),'V06 Calend 01'!I22),0))+IF((160='V06 Calend 01'!D22),'V06 Calend 01'!J22,0))</f>
        <v>0</v>
      </c>
      <c r="FQ22" s="2">
        <f>((IF((161='V06 Calend 01'!C22),('V06 Calend 01'!F22+'V06 Calend 01'!G22),0)+IF(AND(('V06 Calend 01'!E22&gt;0),(161&gt;'V06 Calend 01'!C22),(161&lt;'V06 Calend 01'!D22),(MOD((161-'V06 Calend 01'!C22),6)=0),(((161-'V06 Calend 01'!C22)/6)&lt;='V06 Calend 01'!E22)),IF((161=('V06 Calend 01'!C22+(6*'V06 Calend 01'!E22))),('V06 Calend 01'!H22-('V06 Calend 01'!I22*('V06 Calend 01'!E22-1))),'V06 Calend 01'!I22),0))+IF((161='V06 Calend 01'!D22),'V06 Calend 01'!J22,0))</f>
        <v>0</v>
      </c>
      <c r="FR22" s="2">
        <f>((IF((162='V06 Calend 01'!C22),('V06 Calend 01'!F22+'V06 Calend 01'!G22),0)+IF(AND(('V06 Calend 01'!E22&gt;0),(162&gt;'V06 Calend 01'!C22),(162&lt;'V06 Calend 01'!D22),(MOD((162-'V06 Calend 01'!C22),6)=0),(((162-'V06 Calend 01'!C22)/6)&lt;='V06 Calend 01'!E22)),IF((162=('V06 Calend 01'!C22+(6*'V06 Calend 01'!E22))),('V06 Calend 01'!H22-('V06 Calend 01'!I22*('V06 Calend 01'!E22-1))),'V06 Calend 01'!I22),0))+IF((162='V06 Calend 01'!D22),'V06 Calend 01'!J22,0))</f>
        <v>0</v>
      </c>
      <c r="FS22" s="2">
        <f>((IF((163='V06 Calend 01'!C22),('V06 Calend 01'!F22+'V06 Calend 01'!G22),0)+IF(AND(('V06 Calend 01'!E22&gt;0),(163&gt;'V06 Calend 01'!C22),(163&lt;'V06 Calend 01'!D22),(MOD((163-'V06 Calend 01'!C22),6)=0),(((163-'V06 Calend 01'!C22)/6)&lt;='V06 Calend 01'!E22)),IF((163=('V06 Calend 01'!C22+(6*'V06 Calend 01'!E22))),('V06 Calend 01'!H22-('V06 Calend 01'!I22*('V06 Calend 01'!E22-1))),'V06 Calend 01'!I22),0))+IF((163='V06 Calend 01'!D22),'V06 Calend 01'!J22,0))</f>
        <v>0</v>
      </c>
      <c r="FT22" s="2">
        <f>((IF((164='V06 Calend 01'!C22),('V06 Calend 01'!F22+'V06 Calend 01'!G22),0)+IF(AND(('V06 Calend 01'!E22&gt;0),(164&gt;'V06 Calend 01'!C22),(164&lt;'V06 Calend 01'!D22),(MOD((164-'V06 Calend 01'!C22),6)=0),(((164-'V06 Calend 01'!C22)/6)&lt;='V06 Calend 01'!E22)),IF((164=('V06 Calend 01'!C22+(6*'V06 Calend 01'!E22))),('V06 Calend 01'!H22-('V06 Calend 01'!I22*('V06 Calend 01'!E22-1))),'V06 Calend 01'!I22),0))+IF((164='V06 Calend 01'!D22),'V06 Calend 01'!J22,0))</f>
        <v>0</v>
      </c>
      <c r="FU22" s="2">
        <f>((IF((165='V06 Calend 01'!C22),('V06 Calend 01'!F22+'V06 Calend 01'!G22),0)+IF(AND(('V06 Calend 01'!E22&gt;0),(165&gt;'V06 Calend 01'!C22),(165&lt;'V06 Calend 01'!D22),(MOD((165-'V06 Calend 01'!C22),6)=0),(((165-'V06 Calend 01'!C22)/6)&lt;='V06 Calend 01'!E22)),IF((165=('V06 Calend 01'!C22+(6*'V06 Calend 01'!E22))),('V06 Calend 01'!H22-('V06 Calend 01'!I22*('V06 Calend 01'!E22-1))),'V06 Calend 01'!I22),0))+IF((165='V06 Calend 01'!D22),'V06 Calend 01'!J22,0))</f>
        <v>0</v>
      </c>
      <c r="FV22" s="2">
        <f>((IF((166='V06 Calend 01'!C22),('V06 Calend 01'!F22+'V06 Calend 01'!G22),0)+IF(AND(('V06 Calend 01'!E22&gt;0),(166&gt;'V06 Calend 01'!C22),(166&lt;'V06 Calend 01'!D22),(MOD((166-'V06 Calend 01'!C22),6)=0),(((166-'V06 Calend 01'!C22)/6)&lt;='V06 Calend 01'!E22)),IF((166=('V06 Calend 01'!C22+(6*'V06 Calend 01'!E22))),('V06 Calend 01'!H22-('V06 Calend 01'!I22*('V06 Calend 01'!E22-1))),'V06 Calend 01'!I22),0))+IF((166='V06 Calend 01'!D22),'V06 Calend 01'!J22,0))</f>
        <v>0</v>
      </c>
      <c r="FW22" s="2">
        <f>((IF((167='V06 Calend 01'!C22),('V06 Calend 01'!F22+'V06 Calend 01'!G22),0)+IF(AND(('V06 Calend 01'!E22&gt;0),(167&gt;'V06 Calend 01'!C22),(167&lt;'V06 Calend 01'!D22),(MOD((167-'V06 Calend 01'!C22),6)=0),(((167-'V06 Calend 01'!C22)/6)&lt;='V06 Calend 01'!E22)),IF((167=('V06 Calend 01'!C22+(6*'V06 Calend 01'!E22))),('V06 Calend 01'!H22-('V06 Calend 01'!I22*('V06 Calend 01'!E22-1))),'V06 Calend 01'!I22),0))+IF((167='V06 Calend 01'!D22),'V06 Calend 01'!J22,0))</f>
        <v>0</v>
      </c>
      <c r="FX22" s="2">
        <f>((IF((168='V06 Calend 01'!C22),('V06 Calend 01'!F22+'V06 Calend 01'!G22),0)+IF(AND(('V06 Calend 01'!E22&gt;0),(168&gt;'V06 Calend 01'!C22),(168&lt;'V06 Calend 01'!D22),(MOD((168-'V06 Calend 01'!C22),6)=0),(((168-'V06 Calend 01'!C22)/6)&lt;='V06 Calend 01'!E22)),IF((168=('V06 Calend 01'!C22+(6*'V06 Calend 01'!E22))),('V06 Calend 01'!H22-('V06 Calend 01'!I22*('V06 Calend 01'!E22-1))),'V06 Calend 01'!I22),0))+IF((168='V06 Calend 01'!D22),'V06 Calend 01'!J22,0))</f>
        <v>0</v>
      </c>
      <c r="FY22" s="2">
        <f>((IF((169='V06 Calend 01'!C22),('V06 Calend 01'!F22+'V06 Calend 01'!G22),0)+IF(AND(('V06 Calend 01'!E22&gt;0),(169&gt;'V06 Calend 01'!C22),(169&lt;'V06 Calend 01'!D22),(MOD((169-'V06 Calend 01'!C22),6)=0),(((169-'V06 Calend 01'!C22)/6)&lt;='V06 Calend 01'!E22)),IF((169=('V06 Calend 01'!C22+(6*'V06 Calend 01'!E22))),('V06 Calend 01'!H22-('V06 Calend 01'!I22*('V06 Calend 01'!E22-1))),'V06 Calend 01'!I22),0))+IF((169='V06 Calend 01'!D22),'V06 Calend 01'!J22,0))</f>
        <v>0</v>
      </c>
      <c r="FZ22" s="2">
        <f>((IF((170='V06 Calend 01'!C22),('V06 Calend 01'!F22+'V06 Calend 01'!G22),0)+IF(AND(('V06 Calend 01'!E22&gt;0),(170&gt;'V06 Calend 01'!C22),(170&lt;'V06 Calend 01'!D22),(MOD((170-'V06 Calend 01'!C22),6)=0),(((170-'V06 Calend 01'!C22)/6)&lt;='V06 Calend 01'!E22)),IF((170=('V06 Calend 01'!C22+(6*'V06 Calend 01'!E22))),('V06 Calend 01'!H22-('V06 Calend 01'!I22*('V06 Calend 01'!E22-1))),'V06 Calend 01'!I22),0))+IF((170='V06 Calend 01'!D22),'V06 Calend 01'!J22,0))</f>
        <v>0</v>
      </c>
      <c r="GA22" s="2">
        <f>((IF((171='V06 Calend 01'!C22),('V06 Calend 01'!F22+'V06 Calend 01'!G22),0)+IF(AND(('V06 Calend 01'!E22&gt;0),(171&gt;'V06 Calend 01'!C22),(171&lt;'V06 Calend 01'!D22),(MOD((171-'V06 Calend 01'!C22),6)=0),(((171-'V06 Calend 01'!C22)/6)&lt;='V06 Calend 01'!E22)),IF((171=('V06 Calend 01'!C22+(6*'V06 Calend 01'!E22))),('V06 Calend 01'!H22-('V06 Calend 01'!I22*('V06 Calend 01'!E22-1))),'V06 Calend 01'!I22),0))+IF((171='V06 Calend 01'!D22),'V06 Calend 01'!J22,0))</f>
        <v>0</v>
      </c>
      <c r="GB22" s="2">
        <f>((IF((172='V06 Calend 01'!C22),('V06 Calend 01'!F22+'V06 Calend 01'!G22),0)+IF(AND(('V06 Calend 01'!E22&gt;0),(172&gt;'V06 Calend 01'!C22),(172&lt;'V06 Calend 01'!D22),(MOD((172-'V06 Calend 01'!C22),6)=0),(((172-'V06 Calend 01'!C22)/6)&lt;='V06 Calend 01'!E22)),IF((172=('V06 Calend 01'!C22+(6*'V06 Calend 01'!E22))),('V06 Calend 01'!H22-('V06 Calend 01'!I22*('V06 Calend 01'!E22-1))),'V06 Calend 01'!I22),0))+IF((172='V06 Calend 01'!D22),'V06 Calend 01'!J22,0))</f>
        <v>0</v>
      </c>
      <c r="GC22" s="2">
        <f>((IF((173='V06 Calend 01'!C22),('V06 Calend 01'!F22+'V06 Calend 01'!G22),0)+IF(AND(('V06 Calend 01'!E22&gt;0),(173&gt;'V06 Calend 01'!C22),(173&lt;'V06 Calend 01'!D22),(MOD((173-'V06 Calend 01'!C22),6)=0),(((173-'V06 Calend 01'!C22)/6)&lt;='V06 Calend 01'!E22)),IF((173=('V06 Calend 01'!C22+(6*'V06 Calend 01'!E22))),('V06 Calend 01'!H22-('V06 Calend 01'!I22*('V06 Calend 01'!E22-1))),'V06 Calend 01'!I22),0))+IF((173='V06 Calend 01'!D22),'V06 Calend 01'!J22,0))</f>
        <v>0</v>
      </c>
      <c r="GD22" s="2">
        <f>((IF((174='V06 Calend 01'!C22),('V06 Calend 01'!F22+'V06 Calend 01'!G22),0)+IF(AND(('V06 Calend 01'!E22&gt;0),(174&gt;'V06 Calend 01'!C22),(174&lt;'V06 Calend 01'!D22),(MOD((174-'V06 Calend 01'!C22),6)=0),(((174-'V06 Calend 01'!C22)/6)&lt;='V06 Calend 01'!E22)),IF((174=('V06 Calend 01'!C22+(6*'V06 Calend 01'!E22))),('V06 Calend 01'!H22-('V06 Calend 01'!I22*('V06 Calend 01'!E22-1))),'V06 Calend 01'!I22),0))+IF((174='V06 Calend 01'!D22),'V06 Calend 01'!J22,0))</f>
        <v>0</v>
      </c>
      <c r="GE22" s="2">
        <f>((IF((175='V06 Calend 01'!C22),('V06 Calend 01'!F22+'V06 Calend 01'!G22),0)+IF(AND(('V06 Calend 01'!E22&gt;0),(175&gt;'V06 Calend 01'!C22),(175&lt;'V06 Calend 01'!D22),(MOD((175-'V06 Calend 01'!C22),6)=0),(((175-'V06 Calend 01'!C22)/6)&lt;='V06 Calend 01'!E22)),IF((175=('V06 Calend 01'!C22+(6*'V06 Calend 01'!E22))),('V06 Calend 01'!H22-('V06 Calend 01'!I22*('V06 Calend 01'!E22-1))),'V06 Calend 01'!I22),0))+IF((175='V06 Calend 01'!D22),'V06 Calend 01'!J22,0))</f>
        <v>0</v>
      </c>
      <c r="GF22" s="2">
        <f>((IF((176='V06 Calend 01'!C22),('V06 Calend 01'!F22+'V06 Calend 01'!G22),0)+IF(AND(('V06 Calend 01'!E22&gt;0),(176&gt;'V06 Calend 01'!C22),(176&lt;'V06 Calend 01'!D22),(MOD((176-'V06 Calend 01'!C22),6)=0),(((176-'V06 Calend 01'!C22)/6)&lt;='V06 Calend 01'!E22)),IF((176=('V06 Calend 01'!C22+(6*'V06 Calend 01'!E22))),('V06 Calend 01'!H22-('V06 Calend 01'!I22*('V06 Calend 01'!E22-1))),'V06 Calend 01'!I22),0))+IF((176='V06 Calend 01'!D22),'V06 Calend 01'!J22,0))</f>
        <v>0</v>
      </c>
      <c r="GG22" s="2">
        <f>((IF((177='V06 Calend 01'!C22),('V06 Calend 01'!F22+'V06 Calend 01'!G22),0)+IF(AND(('V06 Calend 01'!E22&gt;0),(177&gt;'V06 Calend 01'!C22),(177&lt;'V06 Calend 01'!D22),(MOD((177-'V06 Calend 01'!C22),6)=0),(((177-'V06 Calend 01'!C22)/6)&lt;='V06 Calend 01'!E22)),IF((177=('V06 Calend 01'!C22+(6*'V06 Calend 01'!E22))),('V06 Calend 01'!H22-('V06 Calend 01'!I22*('V06 Calend 01'!E22-1))),'V06 Calend 01'!I22),0))+IF((177='V06 Calend 01'!D22),'V06 Calend 01'!J22,0))</f>
        <v>0</v>
      </c>
      <c r="GH22" s="2">
        <f>((IF((178='V06 Calend 01'!C22),('V06 Calend 01'!F22+'V06 Calend 01'!G22),0)+IF(AND(('V06 Calend 01'!E22&gt;0),(178&gt;'V06 Calend 01'!C22),(178&lt;'V06 Calend 01'!D22),(MOD((178-'V06 Calend 01'!C22),6)=0),(((178-'V06 Calend 01'!C22)/6)&lt;='V06 Calend 01'!E22)),IF((178=('V06 Calend 01'!C22+(6*'V06 Calend 01'!E22))),('V06 Calend 01'!H22-('V06 Calend 01'!I22*('V06 Calend 01'!E22-1))),'V06 Calend 01'!I22),0))+IF((178='V06 Calend 01'!D22),'V06 Calend 01'!J22,0))</f>
        <v>0</v>
      </c>
      <c r="GI22" s="2">
        <f>((IF((179='V06 Calend 01'!C22),('V06 Calend 01'!F22+'V06 Calend 01'!G22),0)+IF(AND(('V06 Calend 01'!E22&gt;0),(179&gt;'V06 Calend 01'!C22),(179&lt;'V06 Calend 01'!D22),(MOD((179-'V06 Calend 01'!C22),6)=0),(((179-'V06 Calend 01'!C22)/6)&lt;='V06 Calend 01'!E22)),IF((179=('V06 Calend 01'!C22+(6*'V06 Calend 01'!E22))),('V06 Calend 01'!H22-('V06 Calend 01'!I22*('V06 Calend 01'!E22-1))),'V06 Calend 01'!I22),0))+IF((179='V06 Calend 01'!D22),'V06 Calend 01'!J22,0))</f>
        <v>0</v>
      </c>
      <c r="GJ22" s="2">
        <f>((IF((180='V06 Calend 01'!C22),('V06 Calend 01'!F22+'V06 Calend 01'!G22),0)+IF(AND(('V06 Calend 01'!E22&gt;0),(180&gt;'V06 Calend 01'!C22),(180&lt;'V06 Calend 01'!D22),(MOD((180-'V06 Calend 01'!C22),6)=0),(((180-'V06 Calend 01'!C22)/6)&lt;='V06 Calend 01'!E22)),IF((180=('V06 Calend 01'!C22+(6*'V06 Calend 01'!E22))),('V06 Calend 01'!H22-('V06 Calend 01'!I22*('V06 Calend 01'!E22-1))),'V06 Calend 01'!I22),0))+IF((180='V06 Calend 01'!D22),'V06 Calend 01'!J22,0))</f>
        <v>0</v>
      </c>
    </row>
    <row r="23" spans="1:192">
      <c r="A23" s="3" t="str">
        <f>'V06 Unidades'!$A$23</f>
        <v>309</v>
      </c>
      <c r="B23" s="2">
        <f>'V06 Unidades'!$H$23</f>
        <v>410550</v>
      </c>
      <c r="C23" s="4">
        <f>('V06 Unidades'!$I$23+'V06 Controlos'!$B$37)</f>
        <v>10</v>
      </c>
      <c r="D23" s="4">
        <f>IF(('V06 Controlos'!$B$38&gt;0),MAX(('V06 Unidades'!$L$23+'V06 Controlos'!$B$37),(30+'V06 Controlos'!$B$38)),('V06 Unidades'!$L$23+'V06 Controlos'!$B$37))</f>
        <v>28</v>
      </c>
      <c r="E23" s="4">
        <f>MAX(0,INT(((('V06 Calend 01'!D23-'V06 Calend 01'!C23)-1)/6)))</f>
        <v>2</v>
      </c>
      <c r="F23" s="2">
        <f>ROUND(('V06 Calend 01'!B23*0.05),2)</f>
        <v>20527.5</v>
      </c>
      <c r="G23" s="2">
        <f>ROUND(('V06 Calend 01'!B23*0.2),2)</f>
        <v>82110.0</v>
      </c>
      <c r="H23" s="2">
        <f>ROUND(('V06 Calend 01'!B23*0.55),2)</f>
        <v>225802.5</v>
      </c>
      <c r="I23" s="2">
        <f>ROUND(('V06 Calend 01'!H23/MAX(1,'V06 Calend 01'!E23)),2)</f>
        <v>112901.25</v>
      </c>
      <c r="J23" s="2">
        <f>((('V06 Calend 01'!B23-'V06 Calend 01'!F23)-'V06 Calend 01'!G23)-'V06 Calend 01'!H23)</f>
        <v>82110.0</v>
      </c>
      <c r="K23" s="2">
        <f>('V06 Calend 01'!B23*0.025)</f>
        <v>10263.75</v>
      </c>
      <c r="L23" t="s">
        <v>378</v>
      </c>
      <c r="M23" s="2">
        <f>((IF((1='V06 Calend 01'!C23),('V06 Calend 01'!F23+'V06 Calend 01'!G23),0)+IF(AND(('V06 Calend 01'!E23&gt;0),(1&gt;'V06 Calend 01'!C23),(1&lt;'V06 Calend 01'!D23),(MOD((1-'V06 Calend 01'!C23),6)=0),(((1-'V06 Calend 01'!C23)/6)&lt;='V06 Calend 01'!E23)),IF((1=('V06 Calend 01'!C23+(6*'V06 Calend 01'!E23))),('V06 Calend 01'!H23-('V06 Calend 01'!I23*('V06 Calend 01'!E23-1))),'V06 Calend 01'!I23),0))+IF((1='V06 Calend 01'!D23),'V06 Calend 01'!J23,0))</f>
        <v>0</v>
      </c>
      <c r="N23" s="2">
        <f>((IF((2='V06 Calend 01'!C23),('V06 Calend 01'!F23+'V06 Calend 01'!G23),0)+IF(AND(('V06 Calend 01'!E23&gt;0),(2&gt;'V06 Calend 01'!C23),(2&lt;'V06 Calend 01'!D23),(MOD((2-'V06 Calend 01'!C23),6)=0),(((2-'V06 Calend 01'!C23)/6)&lt;='V06 Calend 01'!E23)),IF((2=('V06 Calend 01'!C23+(6*'V06 Calend 01'!E23))),('V06 Calend 01'!H23-('V06 Calend 01'!I23*('V06 Calend 01'!E23-1))),'V06 Calend 01'!I23),0))+IF((2='V06 Calend 01'!D23),'V06 Calend 01'!J23,0))</f>
        <v>0</v>
      </c>
      <c r="O23" s="2">
        <f>((IF((3='V06 Calend 01'!C23),('V06 Calend 01'!F23+'V06 Calend 01'!G23),0)+IF(AND(('V06 Calend 01'!E23&gt;0),(3&gt;'V06 Calend 01'!C23),(3&lt;'V06 Calend 01'!D23),(MOD((3-'V06 Calend 01'!C23),6)=0),(((3-'V06 Calend 01'!C23)/6)&lt;='V06 Calend 01'!E23)),IF((3=('V06 Calend 01'!C23+(6*'V06 Calend 01'!E23))),('V06 Calend 01'!H23-('V06 Calend 01'!I23*('V06 Calend 01'!E23-1))),'V06 Calend 01'!I23),0))+IF((3='V06 Calend 01'!D23),'V06 Calend 01'!J23,0))</f>
        <v>0</v>
      </c>
      <c r="P23" s="2">
        <f>((IF((4='V06 Calend 01'!C23),('V06 Calend 01'!F23+'V06 Calend 01'!G23),0)+IF(AND(('V06 Calend 01'!E23&gt;0),(4&gt;'V06 Calend 01'!C23),(4&lt;'V06 Calend 01'!D23),(MOD((4-'V06 Calend 01'!C23),6)=0),(((4-'V06 Calend 01'!C23)/6)&lt;='V06 Calend 01'!E23)),IF((4=('V06 Calend 01'!C23+(6*'V06 Calend 01'!E23))),('V06 Calend 01'!H23-('V06 Calend 01'!I23*('V06 Calend 01'!E23-1))),'V06 Calend 01'!I23),0))+IF((4='V06 Calend 01'!D23),'V06 Calend 01'!J23,0))</f>
        <v>0</v>
      </c>
      <c r="Q23" s="2">
        <f>((IF((5='V06 Calend 01'!C23),('V06 Calend 01'!F23+'V06 Calend 01'!G23),0)+IF(AND(('V06 Calend 01'!E23&gt;0),(5&gt;'V06 Calend 01'!C23),(5&lt;'V06 Calend 01'!D23),(MOD((5-'V06 Calend 01'!C23),6)=0),(((5-'V06 Calend 01'!C23)/6)&lt;='V06 Calend 01'!E23)),IF((5=('V06 Calend 01'!C23+(6*'V06 Calend 01'!E23))),('V06 Calend 01'!H23-('V06 Calend 01'!I23*('V06 Calend 01'!E23-1))),'V06 Calend 01'!I23),0))+IF((5='V06 Calend 01'!D23),'V06 Calend 01'!J23,0))</f>
        <v>0</v>
      </c>
      <c r="R23" s="2">
        <f>((IF((6='V06 Calend 01'!C23),('V06 Calend 01'!F23+'V06 Calend 01'!G23),0)+IF(AND(('V06 Calend 01'!E23&gt;0),(6&gt;'V06 Calend 01'!C23),(6&lt;'V06 Calend 01'!D23),(MOD((6-'V06 Calend 01'!C23),6)=0),(((6-'V06 Calend 01'!C23)/6)&lt;='V06 Calend 01'!E23)),IF((6=('V06 Calend 01'!C23+(6*'V06 Calend 01'!E23))),('V06 Calend 01'!H23-('V06 Calend 01'!I23*('V06 Calend 01'!E23-1))),'V06 Calend 01'!I23),0))+IF((6='V06 Calend 01'!D23),'V06 Calend 01'!J23,0))</f>
        <v>0</v>
      </c>
      <c r="S23" s="2">
        <f>((IF((7='V06 Calend 01'!C23),('V06 Calend 01'!F23+'V06 Calend 01'!G23),0)+IF(AND(('V06 Calend 01'!E23&gt;0),(7&gt;'V06 Calend 01'!C23),(7&lt;'V06 Calend 01'!D23),(MOD((7-'V06 Calend 01'!C23),6)=0),(((7-'V06 Calend 01'!C23)/6)&lt;='V06 Calend 01'!E23)),IF((7=('V06 Calend 01'!C23+(6*'V06 Calend 01'!E23))),('V06 Calend 01'!H23-('V06 Calend 01'!I23*('V06 Calend 01'!E23-1))),'V06 Calend 01'!I23),0))+IF((7='V06 Calend 01'!D23),'V06 Calend 01'!J23,0))</f>
        <v>0</v>
      </c>
      <c r="T23" s="2">
        <f>((IF((8='V06 Calend 01'!C23),('V06 Calend 01'!F23+'V06 Calend 01'!G23),0)+IF(AND(('V06 Calend 01'!E23&gt;0),(8&gt;'V06 Calend 01'!C23),(8&lt;'V06 Calend 01'!D23),(MOD((8-'V06 Calend 01'!C23),6)=0),(((8-'V06 Calend 01'!C23)/6)&lt;='V06 Calend 01'!E23)),IF((8=('V06 Calend 01'!C23+(6*'V06 Calend 01'!E23))),('V06 Calend 01'!H23-('V06 Calend 01'!I23*('V06 Calend 01'!E23-1))),'V06 Calend 01'!I23),0))+IF((8='V06 Calend 01'!D23),'V06 Calend 01'!J23,0))</f>
        <v>0</v>
      </c>
      <c r="U23" s="2">
        <f>((IF((9='V06 Calend 01'!C23),('V06 Calend 01'!F23+'V06 Calend 01'!G23),0)+IF(AND(('V06 Calend 01'!E23&gt;0),(9&gt;'V06 Calend 01'!C23),(9&lt;'V06 Calend 01'!D23),(MOD((9-'V06 Calend 01'!C23),6)=0),(((9-'V06 Calend 01'!C23)/6)&lt;='V06 Calend 01'!E23)),IF((9=('V06 Calend 01'!C23+(6*'V06 Calend 01'!E23))),('V06 Calend 01'!H23-('V06 Calend 01'!I23*('V06 Calend 01'!E23-1))),'V06 Calend 01'!I23),0))+IF((9='V06 Calend 01'!D23),'V06 Calend 01'!J23,0))</f>
        <v>0</v>
      </c>
      <c r="V23" s="2">
        <f>((IF((10='V06 Calend 01'!C23),('V06 Calend 01'!F23+'V06 Calend 01'!G23),0)+IF(AND(('V06 Calend 01'!E23&gt;0),(10&gt;'V06 Calend 01'!C23),(10&lt;'V06 Calend 01'!D23),(MOD((10-'V06 Calend 01'!C23),6)=0),(((10-'V06 Calend 01'!C23)/6)&lt;='V06 Calend 01'!E23)),IF((10=('V06 Calend 01'!C23+(6*'V06 Calend 01'!E23))),('V06 Calend 01'!H23-('V06 Calend 01'!I23*('V06 Calend 01'!E23-1))),'V06 Calend 01'!I23),0))+IF((10='V06 Calend 01'!D23),'V06 Calend 01'!J23,0))</f>
        <v>102637.5</v>
      </c>
      <c r="W23" s="2">
        <f>((IF((11='V06 Calend 01'!C23),('V06 Calend 01'!F23+'V06 Calend 01'!G23),0)+IF(AND(('V06 Calend 01'!E23&gt;0),(11&gt;'V06 Calend 01'!C23),(11&lt;'V06 Calend 01'!D23),(MOD((11-'V06 Calend 01'!C23),6)=0),(((11-'V06 Calend 01'!C23)/6)&lt;='V06 Calend 01'!E23)),IF((11=('V06 Calend 01'!C23+(6*'V06 Calend 01'!E23))),('V06 Calend 01'!H23-('V06 Calend 01'!I23*('V06 Calend 01'!E23-1))),'V06 Calend 01'!I23),0))+IF((11='V06 Calend 01'!D23),'V06 Calend 01'!J23,0))</f>
        <v>0</v>
      </c>
      <c r="X23" s="2">
        <f>((IF((12='V06 Calend 01'!C23),('V06 Calend 01'!F23+'V06 Calend 01'!G23),0)+IF(AND(('V06 Calend 01'!E23&gt;0),(12&gt;'V06 Calend 01'!C23),(12&lt;'V06 Calend 01'!D23),(MOD((12-'V06 Calend 01'!C23),6)=0),(((12-'V06 Calend 01'!C23)/6)&lt;='V06 Calend 01'!E23)),IF((12=('V06 Calend 01'!C23+(6*'V06 Calend 01'!E23))),('V06 Calend 01'!H23-('V06 Calend 01'!I23*('V06 Calend 01'!E23-1))),'V06 Calend 01'!I23),0))+IF((12='V06 Calend 01'!D23),'V06 Calend 01'!J23,0))</f>
        <v>0</v>
      </c>
      <c r="Y23" s="2">
        <f>((IF((13='V06 Calend 01'!C23),('V06 Calend 01'!F23+'V06 Calend 01'!G23),0)+IF(AND(('V06 Calend 01'!E23&gt;0),(13&gt;'V06 Calend 01'!C23),(13&lt;'V06 Calend 01'!D23),(MOD((13-'V06 Calend 01'!C23),6)=0),(((13-'V06 Calend 01'!C23)/6)&lt;='V06 Calend 01'!E23)),IF((13=('V06 Calend 01'!C23+(6*'V06 Calend 01'!E23))),('V06 Calend 01'!H23-('V06 Calend 01'!I23*('V06 Calend 01'!E23-1))),'V06 Calend 01'!I23),0))+IF((13='V06 Calend 01'!D23),'V06 Calend 01'!J23,0))</f>
        <v>0</v>
      </c>
      <c r="Z23" s="2">
        <f>((IF((14='V06 Calend 01'!C23),('V06 Calend 01'!F23+'V06 Calend 01'!G23),0)+IF(AND(('V06 Calend 01'!E23&gt;0),(14&gt;'V06 Calend 01'!C23),(14&lt;'V06 Calend 01'!D23),(MOD((14-'V06 Calend 01'!C23),6)=0),(((14-'V06 Calend 01'!C23)/6)&lt;='V06 Calend 01'!E23)),IF((14=('V06 Calend 01'!C23+(6*'V06 Calend 01'!E23))),('V06 Calend 01'!H23-('V06 Calend 01'!I23*('V06 Calend 01'!E23-1))),'V06 Calend 01'!I23),0))+IF((14='V06 Calend 01'!D23),'V06 Calend 01'!J23,0))</f>
        <v>0</v>
      </c>
      <c r="AA23" s="2">
        <f>((IF((15='V06 Calend 01'!C23),('V06 Calend 01'!F23+'V06 Calend 01'!G23),0)+IF(AND(('V06 Calend 01'!E23&gt;0),(15&gt;'V06 Calend 01'!C23),(15&lt;'V06 Calend 01'!D23),(MOD((15-'V06 Calend 01'!C23),6)=0),(((15-'V06 Calend 01'!C23)/6)&lt;='V06 Calend 01'!E23)),IF((15=('V06 Calend 01'!C23+(6*'V06 Calend 01'!E23))),('V06 Calend 01'!H23-('V06 Calend 01'!I23*('V06 Calend 01'!E23-1))),'V06 Calend 01'!I23),0))+IF((15='V06 Calend 01'!D23),'V06 Calend 01'!J23,0))</f>
        <v>0</v>
      </c>
      <c r="AB23" s="2">
        <f>((IF((16='V06 Calend 01'!C23),('V06 Calend 01'!F23+'V06 Calend 01'!G23),0)+IF(AND(('V06 Calend 01'!E23&gt;0),(16&gt;'V06 Calend 01'!C23),(16&lt;'V06 Calend 01'!D23),(MOD((16-'V06 Calend 01'!C23),6)=0),(((16-'V06 Calend 01'!C23)/6)&lt;='V06 Calend 01'!E23)),IF((16=('V06 Calend 01'!C23+(6*'V06 Calend 01'!E23))),('V06 Calend 01'!H23-('V06 Calend 01'!I23*('V06 Calend 01'!E23-1))),'V06 Calend 01'!I23),0))+IF((16='V06 Calend 01'!D23),'V06 Calend 01'!J23,0))</f>
        <v>112901.25</v>
      </c>
      <c r="AC23" s="2">
        <f>((IF((17='V06 Calend 01'!C23),('V06 Calend 01'!F23+'V06 Calend 01'!G23),0)+IF(AND(('V06 Calend 01'!E23&gt;0),(17&gt;'V06 Calend 01'!C23),(17&lt;'V06 Calend 01'!D23),(MOD((17-'V06 Calend 01'!C23),6)=0),(((17-'V06 Calend 01'!C23)/6)&lt;='V06 Calend 01'!E23)),IF((17=('V06 Calend 01'!C23+(6*'V06 Calend 01'!E23))),('V06 Calend 01'!H23-('V06 Calend 01'!I23*('V06 Calend 01'!E23-1))),'V06 Calend 01'!I23),0))+IF((17='V06 Calend 01'!D23),'V06 Calend 01'!J23,0))</f>
        <v>0</v>
      </c>
      <c r="AD23" s="2">
        <f>((IF((18='V06 Calend 01'!C23),('V06 Calend 01'!F23+'V06 Calend 01'!G23),0)+IF(AND(('V06 Calend 01'!E23&gt;0),(18&gt;'V06 Calend 01'!C23),(18&lt;'V06 Calend 01'!D23),(MOD((18-'V06 Calend 01'!C23),6)=0),(((18-'V06 Calend 01'!C23)/6)&lt;='V06 Calend 01'!E23)),IF((18=('V06 Calend 01'!C23+(6*'V06 Calend 01'!E23))),('V06 Calend 01'!H23-('V06 Calend 01'!I23*('V06 Calend 01'!E23-1))),'V06 Calend 01'!I23),0))+IF((18='V06 Calend 01'!D23),'V06 Calend 01'!J23,0))</f>
        <v>0</v>
      </c>
      <c r="AE23" s="2">
        <f>((IF((19='V06 Calend 01'!C23),('V06 Calend 01'!F23+'V06 Calend 01'!G23),0)+IF(AND(('V06 Calend 01'!E23&gt;0),(19&gt;'V06 Calend 01'!C23),(19&lt;'V06 Calend 01'!D23),(MOD((19-'V06 Calend 01'!C23),6)=0),(((19-'V06 Calend 01'!C23)/6)&lt;='V06 Calend 01'!E23)),IF((19=('V06 Calend 01'!C23+(6*'V06 Calend 01'!E23))),('V06 Calend 01'!H23-('V06 Calend 01'!I23*('V06 Calend 01'!E23-1))),'V06 Calend 01'!I23),0))+IF((19='V06 Calend 01'!D23),'V06 Calend 01'!J23,0))</f>
        <v>0</v>
      </c>
      <c r="AF23" s="2">
        <f>((IF((20='V06 Calend 01'!C23),('V06 Calend 01'!F23+'V06 Calend 01'!G23),0)+IF(AND(('V06 Calend 01'!E23&gt;0),(20&gt;'V06 Calend 01'!C23),(20&lt;'V06 Calend 01'!D23),(MOD((20-'V06 Calend 01'!C23),6)=0),(((20-'V06 Calend 01'!C23)/6)&lt;='V06 Calend 01'!E23)),IF((20=('V06 Calend 01'!C23+(6*'V06 Calend 01'!E23))),('V06 Calend 01'!H23-('V06 Calend 01'!I23*('V06 Calend 01'!E23-1))),'V06 Calend 01'!I23),0))+IF((20='V06 Calend 01'!D23),'V06 Calend 01'!J23,0))</f>
        <v>0</v>
      </c>
      <c r="AG23" s="2">
        <f>((IF((21='V06 Calend 01'!C23),('V06 Calend 01'!F23+'V06 Calend 01'!G23),0)+IF(AND(('V06 Calend 01'!E23&gt;0),(21&gt;'V06 Calend 01'!C23),(21&lt;'V06 Calend 01'!D23),(MOD((21-'V06 Calend 01'!C23),6)=0),(((21-'V06 Calend 01'!C23)/6)&lt;='V06 Calend 01'!E23)),IF((21=('V06 Calend 01'!C23+(6*'V06 Calend 01'!E23))),('V06 Calend 01'!H23-('V06 Calend 01'!I23*('V06 Calend 01'!E23-1))),'V06 Calend 01'!I23),0))+IF((21='V06 Calend 01'!D23),'V06 Calend 01'!J23,0))</f>
        <v>0</v>
      </c>
      <c r="AH23" s="2">
        <f>((IF((22='V06 Calend 01'!C23),('V06 Calend 01'!F23+'V06 Calend 01'!G23),0)+IF(AND(('V06 Calend 01'!E23&gt;0),(22&gt;'V06 Calend 01'!C23),(22&lt;'V06 Calend 01'!D23),(MOD((22-'V06 Calend 01'!C23),6)=0),(((22-'V06 Calend 01'!C23)/6)&lt;='V06 Calend 01'!E23)),IF((22=('V06 Calend 01'!C23+(6*'V06 Calend 01'!E23))),('V06 Calend 01'!H23-('V06 Calend 01'!I23*('V06 Calend 01'!E23-1))),'V06 Calend 01'!I23),0))+IF((22='V06 Calend 01'!D23),'V06 Calend 01'!J23,0))</f>
        <v>112901.25</v>
      </c>
      <c r="AI23" s="2">
        <f>((IF((23='V06 Calend 01'!C23),('V06 Calend 01'!F23+'V06 Calend 01'!G23),0)+IF(AND(('V06 Calend 01'!E23&gt;0),(23&gt;'V06 Calend 01'!C23),(23&lt;'V06 Calend 01'!D23),(MOD((23-'V06 Calend 01'!C23),6)=0),(((23-'V06 Calend 01'!C23)/6)&lt;='V06 Calend 01'!E23)),IF((23=('V06 Calend 01'!C23+(6*'V06 Calend 01'!E23))),('V06 Calend 01'!H23-('V06 Calend 01'!I23*('V06 Calend 01'!E23-1))),'V06 Calend 01'!I23),0))+IF((23='V06 Calend 01'!D23),'V06 Calend 01'!J23,0))</f>
        <v>0</v>
      </c>
      <c r="AJ23" s="2">
        <f>((IF((24='V06 Calend 01'!C23),('V06 Calend 01'!F23+'V06 Calend 01'!G23),0)+IF(AND(('V06 Calend 01'!E23&gt;0),(24&gt;'V06 Calend 01'!C23),(24&lt;'V06 Calend 01'!D23),(MOD((24-'V06 Calend 01'!C23),6)=0),(((24-'V06 Calend 01'!C23)/6)&lt;='V06 Calend 01'!E23)),IF((24=('V06 Calend 01'!C23+(6*'V06 Calend 01'!E23))),('V06 Calend 01'!H23-('V06 Calend 01'!I23*('V06 Calend 01'!E23-1))),'V06 Calend 01'!I23),0))+IF((24='V06 Calend 01'!D23),'V06 Calend 01'!J23,0))</f>
        <v>0</v>
      </c>
      <c r="AK23" s="2">
        <f>((IF((25='V06 Calend 01'!C23),('V06 Calend 01'!F23+'V06 Calend 01'!G23),0)+IF(AND(('V06 Calend 01'!E23&gt;0),(25&gt;'V06 Calend 01'!C23),(25&lt;'V06 Calend 01'!D23),(MOD((25-'V06 Calend 01'!C23),6)=0),(((25-'V06 Calend 01'!C23)/6)&lt;='V06 Calend 01'!E23)),IF((25=('V06 Calend 01'!C23+(6*'V06 Calend 01'!E23))),('V06 Calend 01'!H23-('V06 Calend 01'!I23*('V06 Calend 01'!E23-1))),'V06 Calend 01'!I23),0))+IF((25='V06 Calend 01'!D23),'V06 Calend 01'!J23,0))</f>
        <v>0</v>
      </c>
      <c r="AL23" s="2">
        <f>((IF((26='V06 Calend 01'!C23),('V06 Calend 01'!F23+'V06 Calend 01'!G23),0)+IF(AND(('V06 Calend 01'!E23&gt;0),(26&gt;'V06 Calend 01'!C23),(26&lt;'V06 Calend 01'!D23),(MOD((26-'V06 Calend 01'!C23),6)=0),(((26-'V06 Calend 01'!C23)/6)&lt;='V06 Calend 01'!E23)),IF((26=('V06 Calend 01'!C23+(6*'V06 Calend 01'!E23))),('V06 Calend 01'!H23-('V06 Calend 01'!I23*('V06 Calend 01'!E23-1))),'V06 Calend 01'!I23),0))+IF((26='V06 Calend 01'!D23),'V06 Calend 01'!J23,0))</f>
        <v>0</v>
      </c>
      <c r="AM23" s="2">
        <f>((IF((27='V06 Calend 01'!C23),('V06 Calend 01'!F23+'V06 Calend 01'!G23),0)+IF(AND(('V06 Calend 01'!E23&gt;0),(27&gt;'V06 Calend 01'!C23),(27&lt;'V06 Calend 01'!D23),(MOD((27-'V06 Calend 01'!C23),6)=0),(((27-'V06 Calend 01'!C23)/6)&lt;='V06 Calend 01'!E23)),IF((27=('V06 Calend 01'!C23+(6*'V06 Calend 01'!E23))),('V06 Calend 01'!H23-('V06 Calend 01'!I23*('V06 Calend 01'!E23-1))),'V06 Calend 01'!I23),0))+IF((27='V06 Calend 01'!D23),'V06 Calend 01'!J23,0))</f>
        <v>0</v>
      </c>
      <c r="AN23" s="2">
        <f>((IF((28='V06 Calend 01'!C23),('V06 Calend 01'!F23+'V06 Calend 01'!G23),0)+IF(AND(('V06 Calend 01'!E23&gt;0),(28&gt;'V06 Calend 01'!C23),(28&lt;'V06 Calend 01'!D23),(MOD((28-'V06 Calend 01'!C23),6)=0),(((28-'V06 Calend 01'!C23)/6)&lt;='V06 Calend 01'!E23)),IF((28=('V06 Calend 01'!C23+(6*'V06 Calend 01'!E23))),('V06 Calend 01'!H23-('V06 Calend 01'!I23*('V06 Calend 01'!E23-1))),'V06 Calend 01'!I23),0))+IF((28='V06 Calend 01'!D23),'V06 Calend 01'!J23,0))</f>
        <v>82110.0</v>
      </c>
      <c r="AO23" s="2">
        <f>((IF((29='V06 Calend 01'!C23),('V06 Calend 01'!F23+'V06 Calend 01'!G23),0)+IF(AND(('V06 Calend 01'!E23&gt;0),(29&gt;'V06 Calend 01'!C23),(29&lt;'V06 Calend 01'!D23),(MOD((29-'V06 Calend 01'!C23),6)=0),(((29-'V06 Calend 01'!C23)/6)&lt;='V06 Calend 01'!E23)),IF((29=('V06 Calend 01'!C23+(6*'V06 Calend 01'!E23))),('V06 Calend 01'!H23-('V06 Calend 01'!I23*('V06 Calend 01'!E23-1))),'V06 Calend 01'!I23),0))+IF((29='V06 Calend 01'!D23),'V06 Calend 01'!J23,0))</f>
        <v>0</v>
      </c>
      <c r="AP23" s="2">
        <f>((IF((30='V06 Calend 01'!C23),('V06 Calend 01'!F23+'V06 Calend 01'!G23),0)+IF(AND(('V06 Calend 01'!E23&gt;0),(30&gt;'V06 Calend 01'!C23),(30&lt;'V06 Calend 01'!D23),(MOD((30-'V06 Calend 01'!C23),6)=0),(((30-'V06 Calend 01'!C23)/6)&lt;='V06 Calend 01'!E23)),IF((30=('V06 Calend 01'!C23+(6*'V06 Calend 01'!E23))),('V06 Calend 01'!H23-('V06 Calend 01'!I23*('V06 Calend 01'!E23-1))),'V06 Calend 01'!I23),0))+IF((30='V06 Calend 01'!D23),'V06 Calend 01'!J23,0))</f>
        <v>0</v>
      </c>
      <c r="AQ23" s="2">
        <f>((IF((31='V06 Calend 01'!C23),('V06 Calend 01'!F23+'V06 Calend 01'!G23),0)+IF(AND(('V06 Calend 01'!E23&gt;0),(31&gt;'V06 Calend 01'!C23),(31&lt;'V06 Calend 01'!D23),(MOD((31-'V06 Calend 01'!C23),6)=0),(((31-'V06 Calend 01'!C23)/6)&lt;='V06 Calend 01'!E23)),IF((31=('V06 Calend 01'!C23+(6*'V06 Calend 01'!E23))),('V06 Calend 01'!H23-('V06 Calend 01'!I23*('V06 Calend 01'!E23-1))),'V06 Calend 01'!I23),0))+IF((31='V06 Calend 01'!D23),'V06 Calend 01'!J23,0))</f>
        <v>0</v>
      </c>
      <c r="AR23" s="2">
        <f>((IF((32='V06 Calend 01'!C23),('V06 Calend 01'!F23+'V06 Calend 01'!G23),0)+IF(AND(('V06 Calend 01'!E23&gt;0),(32&gt;'V06 Calend 01'!C23),(32&lt;'V06 Calend 01'!D23),(MOD((32-'V06 Calend 01'!C23),6)=0),(((32-'V06 Calend 01'!C23)/6)&lt;='V06 Calend 01'!E23)),IF((32=('V06 Calend 01'!C23+(6*'V06 Calend 01'!E23))),('V06 Calend 01'!H23-('V06 Calend 01'!I23*('V06 Calend 01'!E23-1))),'V06 Calend 01'!I23),0))+IF((32='V06 Calend 01'!D23),'V06 Calend 01'!J23,0))</f>
        <v>0</v>
      </c>
      <c r="AS23" s="2">
        <f>((IF((33='V06 Calend 01'!C23),('V06 Calend 01'!F23+'V06 Calend 01'!G23),0)+IF(AND(('V06 Calend 01'!E23&gt;0),(33&gt;'V06 Calend 01'!C23),(33&lt;'V06 Calend 01'!D23),(MOD((33-'V06 Calend 01'!C23),6)=0),(((33-'V06 Calend 01'!C23)/6)&lt;='V06 Calend 01'!E23)),IF((33=('V06 Calend 01'!C23+(6*'V06 Calend 01'!E23))),('V06 Calend 01'!H23-('V06 Calend 01'!I23*('V06 Calend 01'!E23-1))),'V06 Calend 01'!I23),0))+IF((33='V06 Calend 01'!D23),'V06 Calend 01'!J23,0))</f>
        <v>0</v>
      </c>
      <c r="AT23" s="2">
        <f>((IF((34='V06 Calend 01'!C23),('V06 Calend 01'!F23+'V06 Calend 01'!G23),0)+IF(AND(('V06 Calend 01'!E23&gt;0),(34&gt;'V06 Calend 01'!C23),(34&lt;'V06 Calend 01'!D23),(MOD((34-'V06 Calend 01'!C23),6)=0),(((34-'V06 Calend 01'!C23)/6)&lt;='V06 Calend 01'!E23)),IF((34=('V06 Calend 01'!C23+(6*'V06 Calend 01'!E23))),('V06 Calend 01'!H23-('V06 Calend 01'!I23*('V06 Calend 01'!E23-1))),'V06 Calend 01'!I23),0))+IF((34='V06 Calend 01'!D23),'V06 Calend 01'!J23,0))</f>
        <v>0</v>
      </c>
      <c r="AU23" s="2">
        <f>((IF((35='V06 Calend 01'!C23),('V06 Calend 01'!F23+'V06 Calend 01'!G23),0)+IF(AND(('V06 Calend 01'!E23&gt;0),(35&gt;'V06 Calend 01'!C23),(35&lt;'V06 Calend 01'!D23),(MOD((35-'V06 Calend 01'!C23),6)=0),(((35-'V06 Calend 01'!C23)/6)&lt;='V06 Calend 01'!E23)),IF((35=('V06 Calend 01'!C23+(6*'V06 Calend 01'!E23))),('V06 Calend 01'!H23-('V06 Calend 01'!I23*('V06 Calend 01'!E23-1))),'V06 Calend 01'!I23),0))+IF((35='V06 Calend 01'!D23),'V06 Calend 01'!J23,0))</f>
        <v>0</v>
      </c>
      <c r="AV23" s="2">
        <f>((IF((36='V06 Calend 01'!C23),('V06 Calend 01'!F23+'V06 Calend 01'!G23),0)+IF(AND(('V06 Calend 01'!E23&gt;0),(36&gt;'V06 Calend 01'!C23),(36&lt;'V06 Calend 01'!D23),(MOD((36-'V06 Calend 01'!C23),6)=0),(((36-'V06 Calend 01'!C23)/6)&lt;='V06 Calend 01'!E23)),IF((36=('V06 Calend 01'!C23+(6*'V06 Calend 01'!E23))),('V06 Calend 01'!H23-('V06 Calend 01'!I23*('V06 Calend 01'!E23-1))),'V06 Calend 01'!I23),0))+IF((36='V06 Calend 01'!D23),'V06 Calend 01'!J23,0))</f>
        <v>0</v>
      </c>
      <c r="AW23" s="2">
        <f>((IF((37='V06 Calend 01'!C23),('V06 Calend 01'!F23+'V06 Calend 01'!G23),0)+IF(AND(('V06 Calend 01'!E23&gt;0),(37&gt;'V06 Calend 01'!C23),(37&lt;'V06 Calend 01'!D23),(MOD((37-'V06 Calend 01'!C23),6)=0),(((37-'V06 Calend 01'!C23)/6)&lt;='V06 Calend 01'!E23)),IF((37=('V06 Calend 01'!C23+(6*'V06 Calend 01'!E23))),('V06 Calend 01'!H23-('V06 Calend 01'!I23*('V06 Calend 01'!E23-1))),'V06 Calend 01'!I23),0))+IF((37='V06 Calend 01'!D23),'V06 Calend 01'!J23,0))</f>
        <v>0</v>
      </c>
      <c r="AX23" s="2">
        <f>((IF((38='V06 Calend 01'!C23),('V06 Calend 01'!F23+'V06 Calend 01'!G23),0)+IF(AND(('V06 Calend 01'!E23&gt;0),(38&gt;'V06 Calend 01'!C23),(38&lt;'V06 Calend 01'!D23),(MOD((38-'V06 Calend 01'!C23),6)=0),(((38-'V06 Calend 01'!C23)/6)&lt;='V06 Calend 01'!E23)),IF((38=('V06 Calend 01'!C23+(6*'V06 Calend 01'!E23))),('V06 Calend 01'!H23-('V06 Calend 01'!I23*('V06 Calend 01'!E23-1))),'V06 Calend 01'!I23),0))+IF((38='V06 Calend 01'!D23),'V06 Calend 01'!J23,0))</f>
        <v>0</v>
      </c>
      <c r="AY23" s="2">
        <f>((IF((39='V06 Calend 01'!C23),('V06 Calend 01'!F23+'V06 Calend 01'!G23),0)+IF(AND(('V06 Calend 01'!E23&gt;0),(39&gt;'V06 Calend 01'!C23),(39&lt;'V06 Calend 01'!D23),(MOD((39-'V06 Calend 01'!C23),6)=0),(((39-'V06 Calend 01'!C23)/6)&lt;='V06 Calend 01'!E23)),IF((39=('V06 Calend 01'!C23+(6*'V06 Calend 01'!E23))),('V06 Calend 01'!H23-('V06 Calend 01'!I23*('V06 Calend 01'!E23-1))),'V06 Calend 01'!I23),0))+IF((39='V06 Calend 01'!D23),'V06 Calend 01'!J23,0))</f>
        <v>0</v>
      </c>
      <c r="AZ23" s="2">
        <f>((IF((40='V06 Calend 01'!C23),('V06 Calend 01'!F23+'V06 Calend 01'!G23),0)+IF(AND(('V06 Calend 01'!E23&gt;0),(40&gt;'V06 Calend 01'!C23),(40&lt;'V06 Calend 01'!D23),(MOD((40-'V06 Calend 01'!C23),6)=0),(((40-'V06 Calend 01'!C23)/6)&lt;='V06 Calend 01'!E23)),IF((40=('V06 Calend 01'!C23+(6*'V06 Calend 01'!E23))),('V06 Calend 01'!H23-('V06 Calend 01'!I23*('V06 Calend 01'!E23-1))),'V06 Calend 01'!I23),0))+IF((40='V06 Calend 01'!D23),'V06 Calend 01'!J23,0))</f>
        <v>0</v>
      </c>
      <c r="BA23" s="2">
        <f>((IF((41='V06 Calend 01'!C23),('V06 Calend 01'!F23+'V06 Calend 01'!G23),0)+IF(AND(('V06 Calend 01'!E23&gt;0),(41&gt;'V06 Calend 01'!C23),(41&lt;'V06 Calend 01'!D23),(MOD((41-'V06 Calend 01'!C23),6)=0),(((41-'V06 Calend 01'!C23)/6)&lt;='V06 Calend 01'!E23)),IF((41=('V06 Calend 01'!C23+(6*'V06 Calend 01'!E23))),('V06 Calend 01'!H23-('V06 Calend 01'!I23*('V06 Calend 01'!E23-1))),'V06 Calend 01'!I23),0))+IF((41='V06 Calend 01'!D23),'V06 Calend 01'!J23,0))</f>
        <v>0</v>
      </c>
      <c r="BB23" s="2">
        <f>((IF((42='V06 Calend 01'!C23),('V06 Calend 01'!F23+'V06 Calend 01'!G23),0)+IF(AND(('V06 Calend 01'!E23&gt;0),(42&gt;'V06 Calend 01'!C23),(42&lt;'V06 Calend 01'!D23),(MOD((42-'V06 Calend 01'!C23),6)=0),(((42-'V06 Calend 01'!C23)/6)&lt;='V06 Calend 01'!E23)),IF((42=('V06 Calend 01'!C23+(6*'V06 Calend 01'!E23))),('V06 Calend 01'!H23-('V06 Calend 01'!I23*('V06 Calend 01'!E23-1))),'V06 Calend 01'!I23),0))+IF((42='V06 Calend 01'!D23),'V06 Calend 01'!J23,0))</f>
        <v>0</v>
      </c>
      <c r="BC23" s="2">
        <f>((IF((43='V06 Calend 01'!C23),('V06 Calend 01'!F23+'V06 Calend 01'!G23),0)+IF(AND(('V06 Calend 01'!E23&gt;0),(43&gt;'V06 Calend 01'!C23),(43&lt;'V06 Calend 01'!D23),(MOD((43-'V06 Calend 01'!C23),6)=0),(((43-'V06 Calend 01'!C23)/6)&lt;='V06 Calend 01'!E23)),IF((43=('V06 Calend 01'!C23+(6*'V06 Calend 01'!E23))),('V06 Calend 01'!H23-('V06 Calend 01'!I23*('V06 Calend 01'!E23-1))),'V06 Calend 01'!I23),0))+IF((43='V06 Calend 01'!D23),'V06 Calend 01'!J23,0))</f>
        <v>0</v>
      </c>
      <c r="BD23" s="2">
        <f>((IF((44='V06 Calend 01'!C23),('V06 Calend 01'!F23+'V06 Calend 01'!G23),0)+IF(AND(('V06 Calend 01'!E23&gt;0),(44&gt;'V06 Calend 01'!C23),(44&lt;'V06 Calend 01'!D23),(MOD((44-'V06 Calend 01'!C23),6)=0),(((44-'V06 Calend 01'!C23)/6)&lt;='V06 Calend 01'!E23)),IF((44=('V06 Calend 01'!C23+(6*'V06 Calend 01'!E23))),('V06 Calend 01'!H23-('V06 Calend 01'!I23*('V06 Calend 01'!E23-1))),'V06 Calend 01'!I23),0))+IF((44='V06 Calend 01'!D23),'V06 Calend 01'!J23,0))</f>
        <v>0</v>
      </c>
      <c r="BE23" s="2">
        <f>((IF((45='V06 Calend 01'!C23),('V06 Calend 01'!F23+'V06 Calend 01'!G23),0)+IF(AND(('V06 Calend 01'!E23&gt;0),(45&gt;'V06 Calend 01'!C23),(45&lt;'V06 Calend 01'!D23),(MOD((45-'V06 Calend 01'!C23),6)=0),(((45-'V06 Calend 01'!C23)/6)&lt;='V06 Calend 01'!E23)),IF((45=('V06 Calend 01'!C23+(6*'V06 Calend 01'!E23))),('V06 Calend 01'!H23-('V06 Calend 01'!I23*('V06 Calend 01'!E23-1))),'V06 Calend 01'!I23),0))+IF((45='V06 Calend 01'!D23),'V06 Calend 01'!J23,0))</f>
        <v>0</v>
      </c>
      <c r="BF23" s="2">
        <f>((IF((46='V06 Calend 01'!C23),('V06 Calend 01'!F23+'V06 Calend 01'!G23),0)+IF(AND(('V06 Calend 01'!E23&gt;0),(46&gt;'V06 Calend 01'!C23),(46&lt;'V06 Calend 01'!D23),(MOD((46-'V06 Calend 01'!C23),6)=0),(((46-'V06 Calend 01'!C23)/6)&lt;='V06 Calend 01'!E23)),IF((46=('V06 Calend 01'!C23+(6*'V06 Calend 01'!E23))),('V06 Calend 01'!H23-('V06 Calend 01'!I23*('V06 Calend 01'!E23-1))),'V06 Calend 01'!I23),0))+IF((46='V06 Calend 01'!D23),'V06 Calend 01'!J23,0))</f>
        <v>0</v>
      </c>
      <c r="BG23" s="2">
        <f>((IF((47='V06 Calend 01'!C23),('V06 Calend 01'!F23+'V06 Calend 01'!G23),0)+IF(AND(('V06 Calend 01'!E23&gt;0),(47&gt;'V06 Calend 01'!C23),(47&lt;'V06 Calend 01'!D23),(MOD((47-'V06 Calend 01'!C23),6)=0),(((47-'V06 Calend 01'!C23)/6)&lt;='V06 Calend 01'!E23)),IF((47=('V06 Calend 01'!C23+(6*'V06 Calend 01'!E23))),('V06 Calend 01'!H23-('V06 Calend 01'!I23*('V06 Calend 01'!E23-1))),'V06 Calend 01'!I23),0))+IF((47='V06 Calend 01'!D23),'V06 Calend 01'!J23,0))</f>
        <v>0</v>
      </c>
      <c r="BH23" s="2">
        <f>((IF((48='V06 Calend 01'!C23),('V06 Calend 01'!F23+'V06 Calend 01'!G23),0)+IF(AND(('V06 Calend 01'!E23&gt;0),(48&gt;'V06 Calend 01'!C23),(48&lt;'V06 Calend 01'!D23),(MOD((48-'V06 Calend 01'!C23),6)=0),(((48-'V06 Calend 01'!C23)/6)&lt;='V06 Calend 01'!E23)),IF((48=('V06 Calend 01'!C23+(6*'V06 Calend 01'!E23))),('V06 Calend 01'!H23-('V06 Calend 01'!I23*('V06 Calend 01'!E23-1))),'V06 Calend 01'!I23),0))+IF((48='V06 Calend 01'!D23),'V06 Calend 01'!J23,0))</f>
        <v>0</v>
      </c>
      <c r="BI23" s="2">
        <f>((IF((49='V06 Calend 01'!C23),('V06 Calend 01'!F23+'V06 Calend 01'!G23),0)+IF(AND(('V06 Calend 01'!E23&gt;0),(49&gt;'V06 Calend 01'!C23),(49&lt;'V06 Calend 01'!D23),(MOD((49-'V06 Calend 01'!C23),6)=0),(((49-'V06 Calend 01'!C23)/6)&lt;='V06 Calend 01'!E23)),IF((49=('V06 Calend 01'!C23+(6*'V06 Calend 01'!E23))),('V06 Calend 01'!H23-('V06 Calend 01'!I23*('V06 Calend 01'!E23-1))),'V06 Calend 01'!I23),0))+IF((49='V06 Calend 01'!D23),'V06 Calend 01'!J23,0))</f>
        <v>0</v>
      </c>
      <c r="BJ23" s="2">
        <f>((IF((50='V06 Calend 01'!C23),('V06 Calend 01'!F23+'V06 Calend 01'!G23),0)+IF(AND(('V06 Calend 01'!E23&gt;0),(50&gt;'V06 Calend 01'!C23),(50&lt;'V06 Calend 01'!D23),(MOD((50-'V06 Calend 01'!C23),6)=0),(((50-'V06 Calend 01'!C23)/6)&lt;='V06 Calend 01'!E23)),IF((50=('V06 Calend 01'!C23+(6*'V06 Calend 01'!E23))),('V06 Calend 01'!H23-('V06 Calend 01'!I23*('V06 Calend 01'!E23-1))),'V06 Calend 01'!I23),0))+IF((50='V06 Calend 01'!D23),'V06 Calend 01'!J23,0))</f>
        <v>0</v>
      </c>
      <c r="BK23" s="2">
        <f>((IF((51='V06 Calend 01'!C23),('V06 Calend 01'!F23+'V06 Calend 01'!G23),0)+IF(AND(('V06 Calend 01'!E23&gt;0),(51&gt;'V06 Calend 01'!C23),(51&lt;'V06 Calend 01'!D23),(MOD((51-'V06 Calend 01'!C23),6)=0),(((51-'V06 Calend 01'!C23)/6)&lt;='V06 Calend 01'!E23)),IF((51=('V06 Calend 01'!C23+(6*'V06 Calend 01'!E23))),('V06 Calend 01'!H23-('V06 Calend 01'!I23*('V06 Calend 01'!E23-1))),'V06 Calend 01'!I23),0))+IF((51='V06 Calend 01'!D23),'V06 Calend 01'!J23,0))</f>
        <v>0</v>
      </c>
      <c r="BL23" s="2">
        <f>((IF((52='V06 Calend 01'!C23),('V06 Calend 01'!F23+'V06 Calend 01'!G23),0)+IF(AND(('V06 Calend 01'!E23&gt;0),(52&gt;'V06 Calend 01'!C23),(52&lt;'V06 Calend 01'!D23),(MOD((52-'V06 Calend 01'!C23),6)=0),(((52-'V06 Calend 01'!C23)/6)&lt;='V06 Calend 01'!E23)),IF((52=('V06 Calend 01'!C23+(6*'V06 Calend 01'!E23))),('V06 Calend 01'!H23-('V06 Calend 01'!I23*('V06 Calend 01'!E23-1))),'V06 Calend 01'!I23),0))+IF((52='V06 Calend 01'!D23),'V06 Calend 01'!J23,0))</f>
        <v>0</v>
      </c>
      <c r="BM23" s="2">
        <f>((IF((53='V06 Calend 01'!C23),('V06 Calend 01'!F23+'V06 Calend 01'!G23),0)+IF(AND(('V06 Calend 01'!E23&gt;0),(53&gt;'V06 Calend 01'!C23),(53&lt;'V06 Calend 01'!D23),(MOD((53-'V06 Calend 01'!C23),6)=0),(((53-'V06 Calend 01'!C23)/6)&lt;='V06 Calend 01'!E23)),IF((53=('V06 Calend 01'!C23+(6*'V06 Calend 01'!E23))),('V06 Calend 01'!H23-('V06 Calend 01'!I23*('V06 Calend 01'!E23-1))),'V06 Calend 01'!I23),0))+IF((53='V06 Calend 01'!D23),'V06 Calend 01'!J23,0))</f>
        <v>0</v>
      </c>
      <c r="BN23" s="2">
        <f>((IF((54='V06 Calend 01'!C23),('V06 Calend 01'!F23+'V06 Calend 01'!G23),0)+IF(AND(('V06 Calend 01'!E23&gt;0),(54&gt;'V06 Calend 01'!C23),(54&lt;'V06 Calend 01'!D23),(MOD((54-'V06 Calend 01'!C23),6)=0),(((54-'V06 Calend 01'!C23)/6)&lt;='V06 Calend 01'!E23)),IF((54=('V06 Calend 01'!C23+(6*'V06 Calend 01'!E23))),('V06 Calend 01'!H23-('V06 Calend 01'!I23*('V06 Calend 01'!E23-1))),'V06 Calend 01'!I23),0))+IF((54='V06 Calend 01'!D23),'V06 Calend 01'!J23,0))</f>
        <v>0</v>
      </c>
      <c r="BO23" s="2">
        <f>((IF((55='V06 Calend 01'!C23),('V06 Calend 01'!F23+'V06 Calend 01'!G23),0)+IF(AND(('V06 Calend 01'!E23&gt;0),(55&gt;'V06 Calend 01'!C23),(55&lt;'V06 Calend 01'!D23),(MOD((55-'V06 Calend 01'!C23),6)=0),(((55-'V06 Calend 01'!C23)/6)&lt;='V06 Calend 01'!E23)),IF((55=('V06 Calend 01'!C23+(6*'V06 Calend 01'!E23))),('V06 Calend 01'!H23-('V06 Calend 01'!I23*('V06 Calend 01'!E23-1))),'V06 Calend 01'!I23),0))+IF((55='V06 Calend 01'!D23),'V06 Calend 01'!J23,0))</f>
        <v>0</v>
      </c>
      <c r="BP23" s="2">
        <f>((IF((56='V06 Calend 01'!C23),('V06 Calend 01'!F23+'V06 Calend 01'!G23),0)+IF(AND(('V06 Calend 01'!E23&gt;0),(56&gt;'V06 Calend 01'!C23),(56&lt;'V06 Calend 01'!D23),(MOD((56-'V06 Calend 01'!C23),6)=0),(((56-'V06 Calend 01'!C23)/6)&lt;='V06 Calend 01'!E23)),IF((56=('V06 Calend 01'!C23+(6*'V06 Calend 01'!E23))),('V06 Calend 01'!H23-('V06 Calend 01'!I23*('V06 Calend 01'!E23-1))),'V06 Calend 01'!I23),0))+IF((56='V06 Calend 01'!D23),'V06 Calend 01'!J23,0))</f>
        <v>0</v>
      </c>
      <c r="BQ23" s="2">
        <f>((IF((57='V06 Calend 01'!C23),('V06 Calend 01'!F23+'V06 Calend 01'!G23),0)+IF(AND(('V06 Calend 01'!E23&gt;0),(57&gt;'V06 Calend 01'!C23),(57&lt;'V06 Calend 01'!D23),(MOD((57-'V06 Calend 01'!C23),6)=0),(((57-'V06 Calend 01'!C23)/6)&lt;='V06 Calend 01'!E23)),IF((57=('V06 Calend 01'!C23+(6*'V06 Calend 01'!E23))),('V06 Calend 01'!H23-('V06 Calend 01'!I23*('V06 Calend 01'!E23-1))),'V06 Calend 01'!I23),0))+IF((57='V06 Calend 01'!D23),'V06 Calend 01'!J23,0))</f>
        <v>0</v>
      </c>
      <c r="BR23" s="2">
        <f>((IF((58='V06 Calend 01'!C23),('V06 Calend 01'!F23+'V06 Calend 01'!G23),0)+IF(AND(('V06 Calend 01'!E23&gt;0),(58&gt;'V06 Calend 01'!C23),(58&lt;'V06 Calend 01'!D23),(MOD((58-'V06 Calend 01'!C23),6)=0),(((58-'V06 Calend 01'!C23)/6)&lt;='V06 Calend 01'!E23)),IF((58=('V06 Calend 01'!C23+(6*'V06 Calend 01'!E23))),('V06 Calend 01'!H23-('V06 Calend 01'!I23*('V06 Calend 01'!E23-1))),'V06 Calend 01'!I23),0))+IF((58='V06 Calend 01'!D23),'V06 Calend 01'!J23,0))</f>
        <v>0</v>
      </c>
      <c r="BS23" s="2">
        <f>((IF((59='V06 Calend 01'!C23),('V06 Calend 01'!F23+'V06 Calend 01'!G23),0)+IF(AND(('V06 Calend 01'!E23&gt;0),(59&gt;'V06 Calend 01'!C23),(59&lt;'V06 Calend 01'!D23),(MOD((59-'V06 Calend 01'!C23),6)=0),(((59-'V06 Calend 01'!C23)/6)&lt;='V06 Calend 01'!E23)),IF((59=('V06 Calend 01'!C23+(6*'V06 Calend 01'!E23))),('V06 Calend 01'!H23-('V06 Calend 01'!I23*('V06 Calend 01'!E23-1))),'V06 Calend 01'!I23),0))+IF((59='V06 Calend 01'!D23),'V06 Calend 01'!J23,0))</f>
        <v>0</v>
      </c>
      <c r="BT23" s="2">
        <f>((IF((60='V06 Calend 01'!C23),('V06 Calend 01'!F23+'V06 Calend 01'!G23),0)+IF(AND(('V06 Calend 01'!E23&gt;0),(60&gt;'V06 Calend 01'!C23),(60&lt;'V06 Calend 01'!D23),(MOD((60-'V06 Calend 01'!C23),6)=0),(((60-'V06 Calend 01'!C23)/6)&lt;='V06 Calend 01'!E23)),IF((60=('V06 Calend 01'!C23+(6*'V06 Calend 01'!E23))),('V06 Calend 01'!H23-('V06 Calend 01'!I23*('V06 Calend 01'!E23-1))),'V06 Calend 01'!I23),0))+IF((60='V06 Calend 01'!D23),'V06 Calend 01'!J23,0))</f>
        <v>0</v>
      </c>
      <c r="BU23" s="2">
        <f>((IF((61='V06 Calend 01'!C23),('V06 Calend 01'!F23+'V06 Calend 01'!G23),0)+IF(AND(('V06 Calend 01'!E23&gt;0),(61&gt;'V06 Calend 01'!C23),(61&lt;'V06 Calend 01'!D23),(MOD((61-'V06 Calend 01'!C23),6)=0),(((61-'V06 Calend 01'!C23)/6)&lt;='V06 Calend 01'!E23)),IF((61=('V06 Calend 01'!C23+(6*'V06 Calend 01'!E23))),('V06 Calend 01'!H23-('V06 Calend 01'!I23*('V06 Calend 01'!E23-1))),'V06 Calend 01'!I23),0))+IF((61='V06 Calend 01'!D23),'V06 Calend 01'!J23,0))</f>
        <v>0</v>
      </c>
      <c r="BV23" s="2">
        <f>((IF((62='V06 Calend 01'!C23),('V06 Calend 01'!F23+'V06 Calend 01'!G23),0)+IF(AND(('V06 Calend 01'!E23&gt;0),(62&gt;'V06 Calend 01'!C23),(62&lt;'V06 Calend 01'!D23),(MOD((62-'V06 Calend 01'!C23),6)=0),(((62-'V06 Calend 01'!C23)/6)&lt;='V06 Calend 01'!E23)),IF((62=('V06 Calend 01'!C23+(6*'V06 Calend 01'!E23))),('V06 Calend 01'!H23-('V06 Calend 01'!I23*('V06 Calend 01'!E23-1))),'V06 Calend 01'!I23),0))+IF((62='V06 Calend 01'!D23),'V06 Calend 01'!J23,0))</f>
        <v>0</v>
      </c>
      <c r="BW23" s="2">
        <f>((IF((63='V06 Calend 01'!C23),('V06 Calend 01'!F23+'V06 Calend 01'!G23),0)+IF(AND(('V06 Calend 01'!E23&gt;0),(63&gt;'V06 Calend 01'!C23),(63&lt;'V06 Calend 01'!D23),(MOD((63-'V06 Calend 01'!C23),6)=0),(((63-'V06 Calend 01'!C23)/6)&lt;='V06 Calend 01'!E23)),IF((63=('V06 Calend 01'!C23+(6*'V06 Calend 01'!E23))),('V06 Calend 01'!H23-('V06 Calend 01'!I23*('V06 Calend 01'!E23-1))),'V06 Calend 01'!I23),0))+IF((63='V06 Calend 01'!D23),'V06 Calend 01'!J23,0))</f>
        <v>0</v>
      </c>
      <c r="BX23" s="2">
        <f>((IF((64='V06 Calend 01'!C23),('V06 Calend 01'!F23+'V06 Calend 01'!G23),0)+IF(AND(('V06 Calend 01'!E23&gt;0),(64&gt;'V06 Calend 01'!C23),(64&lt;'V06 Calend 01'!D23),(MOD((64-'V06 Calend 01'!C23),6)=0),(((64-'V06 Calend 01'!C23)/6)&lt;='V06 Calend 01'!E23)),IF((64=('V06 Calend 01'!C23+(6*'V06 Calend 01'!E23))),('V06 Calend 01'!H23-('V06 Calend 01'!I23*('V06 Calend 01'!E23-1))),'V06 Calend 01'!I23),0))+IF((64='V06 Calend 01'!D23),'V06 Calend 01'!J23,0))</f>
        <v>0</v>
      </c>
      <c r="BY23" s="2">
        <f>((IF((65='V06 Calend 01'!C23),('V06 Calend 01'!F23+'V06 Calend 01'!G23),0)+IF(AND(('V06 Calend 01'!E23&gt;0),(65&gt;'V06 Calend 01'!C23),(65&lt;'V06 Calend 01'!D23),(MOD((65-'V06 Calend 01'!C23),6)=0),(((65-'V06 Calend 01'!C23)/6)&lt;='V06 Calend 01'!E23)),IF((65=('V06 Calend 01'!C23+(6*'V06 Calend 01'!E23))),('V06 Calend 01'!H23-('V06 Calend 01'!I23*('V06 Calend 01'!E23-1))),'V06 Calend 01'!I23),0))+IF((65='V06 Calend 01'!D23),'V06 Calend 01'!J23,0))</f>
        <v>0</v>
      </c>
      <c r="BZ23" s="2">
        <f>((IF((66='V06 Calend 01'!C23),('V06 Calend 01'!F23+'V06 Calend 01'!G23),0)+IF(AND(('V06 Calend 01'!E23&gt;0),(66&gt;'V06 Calend 01'!C23),(66&lt;'V06 Calend 01'!D23),(MOD((66-'V06 Calend 01'!C23),6)=0),(((66-'V06 Calend 01'!C23)/6)&lt;='V06 Calend 01'!E23)),IF((66=('V06 Calend 01'!C23+(6*'V06 Calend 01'!E23))),('V06 Calend 01'!H23-('V06 Calend 01'!I23*('V06 Calend 01'!E23-1))),'V06 Calend 01'!I23),0))+IF((66='V06 Calend 01'!D23),'V06 Calend 01'!J23,0))</f>
        <v>0</v>
      </c>
      <c r="CA23" s="2">
        <f>((IF((67='V06 Calend 01'!C23),('V06 Calend 01'!F23+'V06 Calend 01'!G23),0)+IF(AND(('V06 Calend 01'!E23&gt;0),(67&gt;'V06 Calend 01'!C23),(67&lt;'V06 Calend 01'!D23),(MOD((67-'V06 Calend 01'!C23),6)=0),(((67-'V06 Calend 01'!C23)/6)&lt;='V06 Calend 01'!E23)),IF((67=('V06 Calend 01'!C23+(6*'V06 Calend 01'!E23))),('V06 Calend 01'!H23-('V06 Calend 01'!I23*('V06 Calend 01'!E23-1))),'V06 Calend 01'!I23),0))+IF((67='V06 Calend 01'!D23),'V06 Calend 01'!J23,0))</f>
        <v>0</v>
      </c>
      <c r="CB23" s="2">
        <f>((IF((68='V06 Calend 01'!C23),('V06 Calend 01'!F23+'V06 Calend 01'!G23),0)+IF(AND(('V06 Calend 01'!E23&gt;0),(68&gt;'V06 Calend 01'!C23),(68&lt;'V06 Calend 01'!D23),(MOD((68-'V06 Calend 01'!C23),6)=0),(((68-'V06 Calend 01'!C23)/6)&lt;='V06 Calend 01'!E23)),IF((68=('V06 Calend 01'!C23+(6*'V06 Calend 01'!E23))),('V06 Calend 01'!H23-('V06 Calend 01'!I23*('V06 Calend 01'!E23-1))),'V06 Calend 01'!I23),0))+IF((68='V06 Calend 01'!D23),'V06 Calend 01'!J23,0))</f>
        <v>0</v>
      </c>
      <c r="CC23" s="2">
        <f>((IF((69='V06 Calend 01'!C23),('V06 Calend 01'!F23+'V06 Calend 01'!G23),0)+IF(AND(('V06 Calend 01'!E23&gt;0),(69&gt;'V06 Calend 01'!C23),(69&lt;'V06 Calend 01'!D23),(MOD((69-'V06 Calend 01'!C23),6)=0),(((69-'V06 Calend 01'!C23)/6)&lt;='V06 Calend 01'!E23)),IF((69=('V06 Calend 01'!C23+(6*'V06 Calend 01'!E23))),('V06 Calend 01'!H23-('V06 Calend 01'!I23*('V06 Calend 01'!E23-1))),'V06 Calend 01'!I23),0))+IF((69='V06 Calend 01'!D23),'V06 Calend 01'!J23,0))</f>
        <v>0</v>
      </c>
      <c r="CD23" s="2">
        <f>((IF((70='V06 Calend 01'!C23),('V06 Calend 01'!F23+'V06 Calend 01'!G23),0)+IF(AND(('V06 Calend 01'!E23&gt;0),(70&gt;'V06 Calend 01'!C23),(70&lt;'V06 Calend 01'!D23),(MOD((70-'V06 Calend 01'!C23),6)=0),(((70-'V06 Calend 01'!C23)/6)&lt;='V06 Calend 01'!E23)),IF((70=('V06 Calend 01'!C23+(6*'V06 Calend 01'!E23))),('V06 Calend 01'!H23-('V06 Calend 01'!I23*('V06 Calend 01'!E23-1))),'V06 Calend 01'!I23),0))+IF((70='V06 Calend 01'!D23),'V06 Calend 01'!J23,0))</f>
        <v>0</v>
      </c>
      <c r="CE23" s="2">
        <f>((IF((71='V06 Calend 01'!C23),('V06 Calend 01'!F23+'V06 Calend 01'!G23),0)+IF(AND(('V06 Calend 01'!E23&gt;0),(71&gt;'V06 Calend 01'!C23),(71&lt;'V06 Calend 01'!D23),(MOD((71-'V06 Calend 01'!C23),6)=0),(((71-'V06 Calend 01'!C23)/6)&lt;='V06 Calend 01'!E23)),IF((71=('V06 Calend 01'!C23+(6*'V06 Calend 01'!E23))),('V06 Calend 01'!H23-('V06 Calend 01'!I23*('V06 Calend 01'!E23-1))),'V06 Calend 01'!I23),0))+IF((71='V06 Calend 01'!D23),'V06 Calend 01'!J23,0))</f>
        <v>0</v>
      </c>
      <c r="CF23" s="2">
        <f>((IF((72='V06 Calend 01'!C23),('V06 Calend 01'!F23+'V06 Calend 01'!G23),0)+IF(AND(('V06 Calend 01'!E23&gt;0),(72&gt;'V06 Calend 01'!C23),(72&lt;'V06 Calend 01'!D23),(MOD((72-'V06 Calend 01'!C23),6)=0),(((72-'V06 Calend 01'!C23)/6)&lt;='V06 Calend 01'!E23)),IF((72=('V06 Calend 01'!C23+(6*'V06 Calend 01'!E23))),('V06 Calend 01'!H23-('V06 Calend 01'!I23*('V06 Calend 01'!E23-1))),'V06 Calend 01'!I23),0))+IF((72='V06 Calend 01'!D23),'V06 Calend 01'!J23,0))</f>
        <v>0</v>
      </c>
      <c r="CG23" s="2">
        <f>((IF((73='V06 Calend 01'!C23),('V06 Calend 01'!F23+'V06 Calend 01'!G23),0)+IF(AND(('V06 Calend 01'!E23&gt;0),(73&gt;'V06 Calend 01'!C23),(73&lt;'V06 Calend 01'!D23),(MOD((73-'V06 Calend 01'!C23),6)=0),(((73-'V06 Calend 01'!C23)/6)&lt;='V06 Calend 01'!E23)),IF((73=('V06 Calend 01'!C23+(6*'V06 Calend 01'!E23))),('V06 Calend 01'!H23-('V06 Calend 01'!I23*('V06 Calend 01'!E23-1))),'V06 Calend 01'!I23),0))+IF((73='V06 Calend 01'!D23),'V06 Calend 01'!J23,0))</f>
        <v>0</v>
      </c>
      <c r="CH23" s="2">
        <f>((IF((74='V06 Calend 01'!C23),('V06 Calend 01'!F23+'V06 Calend 01'!G23),0)+IF(AND(('V06 Calend 01'!E23&gt;0),(74&gt;'V06 Calend 01'!C23),(74&lt;'V06 Calend 01'!D23),(MOD((74-'V06 Calend 01'!C23),6)=0),(((74-'V06 Calend 01'!C23)/6)&lt;='V06 Calend 01'!E23)),IF((74=('V06 Calend 01'!C23+(6*'V06 Calend 01'!E23))),('V06 Calend 01'!H23-('V06 Calend 01'!I23*('V06 Calend 01'!E23-1))),'V06 Calend 01'!I23),0))+IF((74='V06 Calend 01'!D23),'V06 Calend 01'!J23,0))</f>
        <v>0</v>
      </c>
      <c r="CI23" s="2">
        <f>((IF((75='V06 Calend 01'!C23),('V06 Calend 01'!F23+'V06 Calend 01'!G23),0)+IF(AND(('V06 Calend 01'!E23&gt;0),(75&gt;'V06 Calend 01'!C23),(75&lt;'V06 Calend 01'!D23),(MOD((75-'V06 Calend 01'!C23),6)=0),(((75-'V06 Calend 01'!C23)/6)&lt;='V06 Calend 01'!E23)),IF((75=('V06 Calend 01'!C23+(6*'V06 Calend 01'!E23))),('V06 Calend 01'!H23-('V06 Calend 01'!I23*('V06 Calend 01'!E23-1))),'V06 Calend 01'!I23),0))+IF((75='V06 Calend 01'!D23),'V06 Calend 01'!J23,0))</f>
        <v>0</v>
      </c>
      <c r="CJ23" s="2">
        <f>((IF((76='V06 Calend 01'!C23),('V06 Calend 01'!F23+'V06 Calend 01'!G23),0)+IF(AND(('V06 Calend 01'!E23&gt;0),(76&gt;'V06 Calend 01'!C23),(76&lt;'V06 Calend 01'!D23),(MOD((76-'V06 Calend 01'!C23),6)=0),(((76-'V06 Calend 01'!C23)/6)&lt;='V06 Calend 01'!E23)),IF((76=('V06 Calend 01'!C23+(6*'V06 Calend 01'!E23))),('V06 Calend 01'!H23-('V06 Calend 01'!I23*('V06 Calend 01'!E23-1))),'V06 Calend 01'!I23),0))+IF((76='V06 Calend 01'!D23),'V06 Calend 01'!J23,0))</f>
        <v>0</v>
      </c>
      <c r="CK23" s="2">
        <f>((IF((77='V06 Calend 01'!C23),('V06 Calend 01'!F23+'V06 Calend 01'!G23),0)+IF(AND(('V06 Calend 01'!E23&gt;0),(77&gt;'V06 Calend 01'!C23),(77&lt;'V06 Calend 01'!D23),(MOD((77-'V06 Calend 01'!C23),6)=0),(((77-'V06 Calend 01'!C23)/6)&lt;='V06 Calend 01'!E23)),IF((77=('V06 Calend 01'!C23+(6*'V06 Calend 01'!E23))),('V06 Calend 01'!H23-('V06 Calend 01'!I23*('V06 Calend 01'!E23-1))),'V06 Calend 01'!I23),0))+IF((77='V06 Calend 01'!D23),'V06 Calend 01'!J23,0))</f>
        <v>0</v>
      </c>
      <c r="CL23" s="2">
        <f>((IF((78='V06 Calend 01'!C23),('V06 Calend 01'!F23+'V06 Calend 01'!G23),0)+IF(AND(('V06 Calend 01'!E23&gt;0),(78&gt;'V06 Calend 01'!C23),(78&lt;'V06 Calend 01'!D23),(MOD((78-'V06 Calend 01'!C23),6)=0),(((78-'V06 Calend 01'!C23)/6)&lt;='V06 Calend 01'!E23)),IF((78=('V06 Calend 01'!C23+(6*'V06 Calend 01'!E23))),('V06 Calend 01'!H23-('V06 Calend 01'!I23*('V06 Calend 01'!E23-1))),'V06 Calend 01'!I23),0))+IF((78='V06 Calend 01'!D23),'V06 Calend 01'!J23,0))</f>
        <v>0</v>
      </c>
      <c r="CM23" s="2">
        <f>((IF((79='V06 Calend 01'!C23),('V06 Calend 01'!F23+'V06 Calend 01'!G23),0)+IF(AND(('V06 Calend 01'!E23&gt;0),(79&gt;'V06 Calend 01'!C23),(79&lt;'V06 Calend 01'!D23),(MOD((79-'V06 Calend 01'!C23),6)=0),(((79-'V06 Calend 01'!C23)/6)&lt;='V06 Calend 01'!E23)),IF((79=('V06 Calend 01'!C23+(6*'V06 Calend 01'!E23))),('V06 Calend 01'!H23-('V06 Calend 01'!I23*('V06 Calend 01'!E23-1))),'V06 Calend 01'!I23),0))+IF((79='V06 Calend 01'!D23),'V06 Calend 01'!J23,0))</f>
        <v>0</v>
      </c>
      <c r="CN23" s="2">
        <f>((IF((80='V06 Calend 01'!C23),('V06 Calend 01'!F23+'V06 Calend 01'!G23),0)+IF(AND(('V06 Calend 01'!E23&gt;0),(80&gt;'V06 Calend 01'!C23),(80&lt;'V06 Calend 01'!D23),(MOD((80-'V06 Calend 01'!C23),6)=0),(((80-'V06 Calend 01'!C23)/6)&lt;='V06 Calend 01'!E23)),IF((80=('V06 Calend 01'!C23+(6*'V06 Calend 01'!E23))),('V06 Calend 01'!H23-('V06 Calend 01'!I23*('V06 Calend 01'!E23-1))),'V06 Calend 01'!I23),0))+IF((80='V06 Calend 01'!D23),'V06 Calend 01'!J23,0))</f>
        <v>0</v>
      </c>
      <c r="CO23" s="2">
        <f>((IF((81='V06 Calend 01'!C23),('V06 Calend 01'!F23+'V06 Calend 01'!G23),0)+IF(AND(('V06 Calend 01'!E23&gt;0),(81&gt;'V06 Calend 01'!C23),(81&lt;'V06 Calend 01'!D23),(MOD((81-'V06 Calend 01'!C23),6)=0),(((81-'V06 Calend 01'!C23)/6)&lt;='V06 Calend 01'!E23)),IF((81=('V06 Calend 01'!C23+(6*'V06 Calend 01'!E23))),('V06 Calend 01'!H23-('V06 Calend 01'!I23*('V06 Calend 01'!E23-1))),'V06 Calend 01'!I23),0))+IF((81='V06 Calend 01'!D23),'V06 Calend 01'!J23,0))</f>
        <v>0</v>
      </c>
      <c r="CP23" s="2">
        <f>((IF((82='V06 Calend 01'!C23),('V06 Calend 01'!F23+'V06 Calend 01'!G23),0)+IF(AND(('V06 Calend 01'!E23&gt;0),(82&gt;'V06 Calend 01'!C23),(82&lt;'V06 Calend 01'!D23),(MOD((82-'V06 Calend 01'!C23),6)=0),(((82-'V06 Calend 01'!C23)/6)&lt;='V06 Calend 01'!E23)),IF((82=('V06 Calend 01'!C23+(6*'V06 Calend 01'!E23))),('V06 Calend 01'!H23-('V06 Calend 01'!I23*('V06 Calend 01'!E23-1))),'V06 Calend 01'!I23),0))+IF((82='V06 Calend 01'!D23),'V06 Calend 01'!J23,0))</f>
        <v>0</v>
      </c>
      <c r="CQ23" s="2">
        <f>((IF((83='V06 Calend 01'!C23),('V06 Calend 01'!F23+'V06 Calend 01'!G23),0)+IF(AND(('V06 Calend 01'!E23&gt;0),(83&gt;'V06 Calend 01'!C23),(83&lt;'V06 Calend 01'!D23),(MOD((83-'V06 Calend 01'!C23),6)=0),(((83-'V06 Calend 01'!C23)/6)&lt;='V06 Calend 01'!E23)),IF((83=('V06 Calend 01'!C23+(6*'V06 Calend 01'!E23))),('V06 Calend 01'!H23-('V06 Calend 01'!I23*('V06 Calend 01'!E23-1))),'V06 Calend 01'!I23),0))+IF((83='V06 Calend 01'!D23),'V06 Calend 01'!J23,0))</f>
        <v>0</v>
      </c>
      <c r="CR23" s="2">
        <f>((IF((84='V06 Calend 01'!C23),('V06 Calend 01'!F23+'V06 Calend 01'!G23),0)+IF(AND(('V06 Calend 01'!E23&gt;0),(84&gt;'V06 Calend 01'!C23),(84&lt;'V06 Calend 01'!D23),(MOD((84-'V06 Calend 01'!C23),6)=0),(((84-'V06 Calend 01'!C23)/6)&lt;='V06 Calend 01'!E23)),IF((84=('V06 Calend 01'!C23+(6*'V06 Calend 01'!E23))),('V06 Calend 01'!H23-('V06 Calend 01'!I23*('V06 Calend 01'!E23-1))),'V06 Calend 01'!I23),0))+IF((84='V06 Calend 01'!D23),'V06 Calend 01'!J23,0))</f>
        <v>0</v>
      </c>
      <c r="CS23" s="2">
        <f>((IF((85='V06 Calend 01'!C23),('V06 Calend 01'!F23+'V06 Calend 01'!G23),0)+IF(AND(('V06 Calend 01'!E23&gt;0),(85&gt;'V06 Calend 01'!C23),(85&lt;'V06 Calend 01'!D23),(MOD((85-'V06 Calend 01'!C23),6)=0),(((85-'V06 Calend 01'!C23)/6)&lt;='V06 Calend 01'!E23)),IF((85=('V06 Calend 01'!C23+(6*'V06 Calend 01'!E23))),('V06 Calend 01'!H23-('V06 Calend 01'!I23*('V06 Calend 01'!E23-1))),'V06 Calend 01'!I23),0))+IF((85='V06 Calend 01'!D23),'V06 Calend 01'!J23,0))</f>
        <v>0</v>
      </c>
      <c r="CT23" s="2">
        <f>((IF((86='V06 Calend 01'!C23),('V06 Calend 01'!F23+'V06 Calend 01'!G23),0)+IF(AND(('V06 Calend 01'!E23&gt;0),(86&gt;'V06 Calend 01'!C23),(86&lt;'V06 Calend 01'!D23),(MOD((86-'V06 Calend 01'!C23),6)=0),(((86-'V06 Calend 01'!C23)/6)&lt;='V06 Calend 01'!E23)),IF((86=('V06 Calend 01'!C23+(6*'V06 Calend 01'!E23))),('V06 Calend 01'!H23-('V06 Calend 01'!I23*('V06 Calend 01'!E23-1))),'V06 Calend 01'!I23),0))+IF((86='V06 Calend 01'!D23),'V06 Calend 01'!J23,0))</f>
        <v>0</v>
      </c>
      <c r="CU23" s="2">
        <f>((IF((87='V06 Calend 01'!C23),('V06 Calend 01'!F23+'V06 Calend 01'!G23),0)+IF(AND(('V06 Calend 01'!E23&gt;0),(87&gt;'V06 Calend 01'!C23),(87&lt;'V06 Calend 01'!D23),(MOD((87-'V06 Calend 01'!C23),6)=0),(((87-'V06 Calend 01'!C23)/6)&lt;='V06 Calend 01'!E23)),IF((87=('V06 Calend 01'!C23+(6*'V06 Calend 01'!E23))),('V06 Calend 01'!H23-('V06 Calend 01'!I23*('V06 Calend 01'!E23-1))),'V06 Calend 01'!I23),0))+IF((87='V06 Calend 01'!D23),'V06 Calend 01'!J23,0))</f>
        <v>0</v>
      </c>
      <c r="CV23" s="2">
        <f>((IF((88='V06 Calend 01'!C23),('V06 Calend 01'!F23+'V06 Calend 01'!G23),0)+IF(AND(('V06 Calend 01'!E23&gt;0),(88&gt;'V06 Calend 01'!C23),(88&lt;'V06 Calend 01'!D23),(MOD((88-'V06 Calend 01'!C23),6)=0),(((88-'V06 Calend 01'!C23)/6)&lt;='V06 Calend 01'!E23)),IF((88=('V06 Calend 01'!C23+(6*'V06 Calend 01'!E23))),('V06 Calend 01'!H23-('V06 Calend 01'!I23*('V06 Calend 01'!E23-1))),'V06 Calend 01'!I23),0))+IF((88='V06 Calend 01'!D23),'V06 Calend 01'!J23,0))</f>
        <v>0</v>
      </c>
      <c r="CW23" s="2">
        <f>((IF((89='V06 Calend 01'!C23),('V06 Calend 01'!F23+'V06 Calend 01'!G23),0)+IF(AND(('V06 Calend 01'!E23&gt;0),(89&gt;'V06 Calend 01'!C23),(89&lt;'V06 Calend 01'!D23),(MOD((89-'V06 Calend 01'!C23),6)=0),(((89-'V06 Calend 01'!C23)/6)&lt;='V06 Calend 01'!E23)),IF((89=('V06 Calend 01'!C23+(6*'V06 Calend 01'!E23))),('V06 Calend 01'!H23-('V06 Calend 01'!I23*('V06 Calend 01'!E23-1))),'V06 Calend 01'!I23),0))+IF((89='V06 Calend 01'!D23),'V06 Calend 01'!J23,0))</f>
        <v>0</v>
      </c>
      <c r="CX23" s="2">
        <f>((IF((90='V06 Calend 01'!C23),('V06 Calend 01'!F23+'V06 Calend 01'!G23),0)+IF(AND(('V06 Calend 01'!E23&gt;0),(90&gt;'V06 Calend 01'!C23),(90&lt;'V06 Calend 01'!D23),(MOD((90-'V06 Calend 01'!C23),6)=0),(((90-'V06 Calend 01'!C23)/6)&lt;='V06 Calend 01'!E23)),IF((90=('V06 Calend 01'!C23+(6*'V06 Calend 01'!E23))),('V06 Calend 01'!H23-('V06 Calend 01'!I23*('V06 Calend 01'!E23-1))),'V06 Calend 01'!I23),0))+IF((90='V06 Calend 01'!D23),'V06 Calend 01'!J23,0))</f>
        <v>0</v>
      </c>
      <c r="CY23" s="2">
        <f>((IF((91='V06 Calend 01'!C23),('V06 Calend 01'!F23+'V06 Calend 01'!G23),0)+IF(AND(('V06 Calend 01'!E23&gt;0),(91&gt;'V06 Calend 01'!C23),(91&lt;'V06 Calend 01'!D23),(MOD((91-'V06 Calend 01'!C23),6)=0),(((91-'V06 Calend 01'!C23)/6)&lt;='V06 Calend 01'!E23)),IF((91=('V06 Calend 01'!C23+(6*'V06 Calend 01'!E23))),('V06 Calend 01'!H23-('V06 Calend 01'!I23*('V06 Calend 01'!E23-1))),'V06 Calend 01'!I23),0))+IF((91='V06 Calend 01'!D23),'V06 Calend 01'!J23,0))</f>
        <v>0</v>
      </c>
      <c r="CZ23" s="2">
        <f>((IF((92='V06 Calend 01'!C23),('V06 Calend 01'!F23+'V06 Calend 01'!G23),0)+IF(AND(('V06 Calend 01'!E23&gt;0),(92&gt;'V06 Calend 01'!C23),(92&lt;'V06 Calend 01'!D23),(MOD((92-'V06 Calend 01'!C23),6)=0),(((92-'V06 Calend 01'!C23)/6)&lt;='V06 Calend 01'!E23)),IF((92=('V06 Calend 01'!C23+(6*'V06 Calend 01'!E23))),('V06 Calend 01'!H23-('V06 Calend 01'!I23*('V06 Calend 01'!E23-1))),'V06 Calend 01'!I23),0))+IF((92='V06 Calend 01'!D23),'V06 Calend 01'!J23,0))</f>
        <v>0</v>
      </c>
      <c r="DA23" s="2">
        <f>((IF((93='V06 Calend 01'!C23),('V06 Calend 01'!F23+'V06 Calend 01'!G23),0)+IF(AND(('V06 Calend 01'!E23&gt;0),(93&gt;'V06 Calend 01'!C23),(93&lt;'V06 Calend 01'!D23),(MOD((93-'V06 Calend 01'!C23),6)=0),(((93-'V06 Calend 01'!C23)/6)&lt;='V06 Calend 01'!E23)),IF((93=('V06 Calend 01'!C23+(6*'V06 Calend 01'!E23))),('V06 Calend 01'!H23-('V06 Calend 01'!I23*('V06 Calend 01'!E23-1))),'V06 Calend 01'!I23),0))+IF((93='V06 Calend 01'!D23),'V06 Calend 01'!J23,0))</f>
        <v>0</v>
      </c>
      <c r="DB23" s="2">
        <f>((IF((94='V06 Calend 01'!C23),('V06 Calend 01'!F23+'V06 Calend 01'!G23),0)+IF(AND(('V06 Calend 01'!E23&gt;0),(94&gt;'V06 Calend 01'!C23),(94&lt;'V06 Calend 01'!D23),(MOD((94-'V06 Calend 01'!C23),6)=0),(((94-'V06 Calend 01'!C23)/6)&lt;='V06 Calend 01'!E23)),IF((94=('V06 Calend 01'!C23+(6*'V06 Calend 01'!E23))),('V06 Calend 01'!H23-('V06 Calend 01'!I23*('V06 Calend 01'!E23-1))),'V06 Calend 01'!I23),0))+IF((94='V06 Calend 01'!D23),'V06 Calend 01'!J23,0))</f>
        <v>0</v>
      </c>
      <c r="DC23" s="2">
        <f>((IF((95='V06 Calend 01'!C23),('V06 Calend 01'!F23+'V06 Calend 01'!G23),0)+IF(AND(('V06 Calend 01'!E23&gt;0),(95&gt;'V06 Calend 01'!C23),(95&lt;'V06 Calend 01'!D23),(MOD((95-'V06 Calend 01'!C23),6)=0),(((95-'V06 Calend 01'!C23)/6)&lt;='V06 Calend 01'!E23)),IF((95=('V06 Calend 01'!C23+(6*'V06 Calend 01'!E23))),('V06 Calend 01'!H23-('V06 Calend 01'!I23*('V06 Calend 01'!E23-1))),'V06 Calend 01'!I23),0))+IF((95='V06 Calend 01'!D23),'V06 Calend 01'!J23,0))</f>
        <v>0</v>
      </c>
      <c r="DD23" s="2">
        <f>((IF((96='V06 Calend 01'!C23),('V06 Calend 01'!F23+'V06 Calend 01'!G23),0)+IF(AND(('V06 Calend 01'!E23&gt;0),(96&gt;'V06 Calend 01'!C23),(96&lt;'V06 Calend 01'!D23),(MOD((96-'V06 Calend 01'!C23),6)=0),(((96-'V06 Calend 01'!C23)/6)&lt;='V06 Calend 01'!E23)),IF((96=('V06 Calend 01'!C23+(6*'V06 Calend 01'!E23))),('V06 Calend 01'!H23-('V06 Calend 01'!I23*('V06 Calend 01'!E23-1))),'V06 Calend 01'!I23),0))+IF((96='V06 Calend 01'!D23),'V06 Calend 01'!J23,0))</f>
        <v>0</v>
      </c>
      <c r="DE23" s="2">
        <f>((IF((97='V06 Calend 01'!C23),('V06 Calend 01'!F23+'V06 Calend 01'!G23),0)+IF(AND(('V06 Calend 01'!E23&gt;0),(97&gt;'V06 Calend 01'!C23),(97&lt;'V06 Calend 01'!D23),(MOD((97-'V06 Calend 01'!C23),6)=0),(((97-'V06 Calend 01'!C23)/6)&lt;='V06 Calend 01'!E23)),IF((97=('V06 Calend 01'!C23+(6*'V06 Calend 01'!E23))),('V06 Calend 01'!H23-('V06 Calend 01'!I23*('V06 Calend 01'!E23-1))),'V06 Calend 01'!I23),0))+IF((97='V06 Calend 01'!D23),'V06 Calend 01'!J23,0))</f>
        <v>0</v>
      </c>
      <c r="DF23" s="2">
        <f>((IF((98='V06 Calend 01'!C23),('V06 Calend 01'!F23+'V06 Calend 01'!G23),0)+IF(AND(('V06 Calend 01'!E23&gt;0),(98&gt;'V06 Calend 01'!C23),(98&lt;'V06 Calend 01'!D23),(MOD((98-'V06 Calend 01'!C23),6)=0),(((98-'V06 Calend 01'!C23)/6)&lt;='V06 Calend 01'!E23)),IF((98=('V06 Calend 01'!C23+(6*'V06 Calend 01'!E23))),('V06 Calend 01'!H23-('V06 Calend 01'!I23*('V06 Calend 01'!E23-1))),'V06 Calend 01'!I23),0))+IF((98='V06 Calend 01'!D23),'V06 Calend 01'!J23,0))</f>
        <v>0</v>
      </c>
      <c r="DG23" s="2">
        <f>((IF((99='V06 Calend 01'!C23),('V06 Calend 01'!F23+'V06 Calend 01'!G23),0)+IF(AND(('V06 Calend 01'!E23&gt;0),(99&gt;'V06 Calend 01'!C23),(99&lt;'V06 Calend 01'!D23),(MOD((99-'V06 Calend 01'!C23),6)=0),(((99-'V06 Calend 01'!C23)/6)&lt;='V06 Calend 01'!E23)),IF((99=('V06 Calend 01'!C23+(6*'V06 Calend 01'!E23))),('V06 Calend 01'!H23-('V06 Calend 01'!I23*('V06 Calend 01'!E23-1))),'V06 Calend 01'!I23),0))+IF((99='V06 Calend 01'!D23),'V06 Calend 01'!J23,0))</f>
        <v>0</v>
      </c>
      <c r="DH23" s="2">
        <f>((IF((100='V06 Calend 01'!C23),('V06 Calend 01'!F23+'V06 Calend 01'!G23),0)+IF(AND(('V06 Calend 01'!E23&gt;0),(100&gt;'V06 Calend 01'!C23),(100&lt;'V06 Calend 01'!D23),(MOD((100-'V06 Calend 01'!C23),6)=0),(((100-'V06 Calend 01'!C23)/6)&lt;='V06 Calend 01'!E23)),IF((100=('V06 Calend 01'!C23+(6*'V06 Calend 01'!E23))),('V06 Calend 01'!H23-('V06 Calend 01'!I23*('V06 Calend 01'!E23-1))),'V06 Calend 01'!I23),0))+IF((100='V06 Calend 01'!D23),'V06 Calend 01'!J23,0))</f>
        <v>0</v>
      </c>
      <c r="DI23" s="2">
        <f>((IF((101='V06 Calend 01'!C23),('V06 Calend 01'!F23+'V06 Calend 01'!G23),0)+IF(AND(('V06 Calend 01'!E23&gt;0),(101&gt;'V06 Calend 01'!C23),(101&lt;'V06 Calend 01'!D23),(MOD((101-'V06 Calend 01'!C23),6)=0),(((101-'V06 Calend 01'!C23)/6)&lt;='V06 Calend 01'!E23)),IF((101=('V06 Calend 01'!C23+(6*'V06 Calend 01'!E23))),('V06 Calend 01'!H23-('V06 Calend 01'!I23*('V06 Calend 01'!E23-1))),'V06 Calend 01'!I23),0))+IF((101='V06 Calend 01'!D23),'V06 Calend 01'!J23,0))</f>
        <v>0</v>
      </c>
      <c r="DJ23" s="2">
        <f>((IF((102='V06 Calend 01'!C23),('V06 Calend 01'!F23+'V06 Calend 01'!G23),0)+IF(AND(('V06 Calend 01'!E23&gt;0),(102&gt;'V06 Calend 01'!C23),(102&lt;'V06 Calend 01'!D23),(MOD((102-'V06 Calend 01'!C23),6)=0),(((102-'V06 Calend 01'!C23)/6)&lt;='V06 Calend 01'!E23)),IF((102=('V06 Calend 01'!C23+(6*'V06 Calend 01'!E23))),('V06 Calend 01'!H23-('V06 Calend 01'!I23*('V06 Calend 01'!E23-1))),'V06 Calend 01'!I23),0))+IF((102='V06 Calend 01'!D23),'V06 Calend 01'!J23,0))</f>
        <v>0</v>
      </c>
      <c r="DK23" s="2">
        <f>((IF((103='V06 Calend 01'!C23),('V06 Calend 01'!F23+'V06 Calend 01'!G23),0)+IF(AND(('V06 Calend 01'!E23&gt;0),(103&gt;'V06 Calend 01'!C23),(103&lt;'V06 Calend 01'!D23),(MOD((103-'V06 Calend 01'!C23),6)=0),(((103-'V06 Calend 01'!C23)/6)&lt;='V06 Calend 01'!E23)),IF((103=('V06 Calend 01'!C23+(6*'V06 Calend 01'!E23))),('V06 Calend 01'!H23-('V06 Calend 01'!I23*('V06 Calend 01'!E23-1))),'V06 Calend 01'!I23),0))+IF((103='V06 Calend 01'!D23),'V06 Calend 01'!J23,0))</f>
        <v>0</v>
      </c>
      <c r="DL23" s="2">
        <f>((IF((104='V06 Calend 01'!C23),('V06 Calend 01'!F23+'V06 Calend 01'!G23),0)+IF(AND(('V06 Calend 01'!E23&gt;0),(104&gt;'V06 Calend 01'!C23),(104&lt;'V06 Calend 01'!D23),(MOD((104-'V06 Calend 01'!C23),6)=0),(((104-'V06 Calend 01'!C23)/6)&lt;='V06 Calend 01'!E23)),IF((104=('V06 Calend 01'!C23+(6*'V06 Calend 01'!E23))),('V06 Calend 01'!H23-('V06 Calend 01'!I23*('V06 Calend 01'!E23-1))),'V06 Calend 01'!I23),0))+IF((104='V06 Calend 01'!D23),'V06 Calend 01'!J23,0))</f>
        <v>0</v>
      </c>
      <c r="DM23" s="2">
        <f>((IF((105='V06 Calend 01'!C23),('V06 Calend 01'!F23+'V06 Calend 01'!G23),0)+IF(AND(('V06 Calend 01'!E23&gt;0),(105&gt;'V06 Calend 01'!C23),(105&lt;'V06 Calend 01'!D23),(MOD((105-'V06 Calend 01'!C23),6)=0),(((105-'V06 Calend 01'!C23)/6)&lt;='V06 Calend 01'!E23)),IF((105=('V06 Calend 01'!C23+(6*'V06 Calend 01'!E23))),('V06 Calend 01'!H23-('V06 Calend 01'!I23*('V06 Calend 01'!E23-1))),'V06 Calend 01'!I23),0))+IF((105='V06 Calend 01'!D23),'V06 Calend 01'!J23,0))</f>
        <v>0</v>
      </c>
      <c r="DN23" s="2">
        <f>((IF((106='V06 Calend 01'!C23),('V06 Calend 01'!F23+'V06 Calend 01'!G23),0)+IF(AND(('V06 Calend 01'!E23&gt;0),(106&gt;'V06 Calend 01'!C23),(106&lt;'V06 Calend 01'!D23),(MOD((106-'V06 Calend 01'!C23),6)=0),(((106-'V06 Calend 01'!C23)/6)&lt;='V06 Calend 01'!E23)),IF((106=('V06 Calend 01'!C23+(6*'V06 Calend 01'!E23))),('V06 Calend 01'!H23-('V06 Calend 01'!I23*('V06 Calend 01'!E23-1))),'V06 Calend 01'!I23),0))+IF((106='V06 Calend 01'!D23),'V06 Calend 01'!J23,0))</f>
        <v>0</v>
      </c>
      <c r="DO23" s="2">
        <f>((IF((107='V06 Calend 01'!C23),('V06 Calend 01'!F23+'V06 Calend 01'!G23),0)+IF(AND(('V06 Calend 01'!E23&gt;0),(107&gt;'V06 Calend 01'!C23),(107&lt;'V06 Calend 01'!D23),(MOD((107-'V06 Calend 01'!C23),6)=0),(((107-'V06 Calend 01'!C23)/6)&lt;='V06 Calend 01'!E23)),IF((107=('V06 Calend 01'!C23+(6*'V06 Calend 01'!E23))),('V06 Calend 01'!H23-('V06 Calend 01'!I23*('V06 Calend 01'!E23-1))),'V06 Calend 01'!I23),0))+IF((107='V06 Calend 01'!D23),'V06 Calend 01'!J23,0))</f>
        <v>0</v>
      </c>
      <c r="DP23" s="2">
        <f>((IF((108='V06 Calend 01'!C23),('V06 Calend 01'!F23+'V06 Calend 01'!G23),0)+IF(AND(('V06 Calend 01'!E23&gt;0),(108&gt;'V06 Calend 01'!C23),(108&lt;'V06 Calend 01'!D23),(MOD((108-'V06 Calend 01'!C23),6)=0),(((108-'V06 Calend 01'!C23)/6)&lt;='V06 Calend 01'!E23)),IF((108=('V06 Calend 01'!C23+(6*'V06 Calend 01'!E23))),('V06 Calend 01'!H23-('V06 Calend 01'!I23*('V06 Calend 01'!E23-1))),'V06 Calend 01'!I23),0))+IF((108='V06 Calend 01'!D23),'V06 Calend 01'!J23,0))</f>
        <v>0</v>
      </c>
      <c r="DQ23" s="2">
        <f>((IF((109='V06 Calend 01'!C23),('V06 Calend 01'!F23+'V06 Calend 01'!G23),0)+IF(AND(('V06 Calend 01'!E23&gt;0),(109&gt;'V06 Calend 01'!C23),(109&lt;'V06 Calend 01'!D23),(MOD((109-'V06 Calend 01'!C23),6)=0),(((109-'V06 Calend 01'!C23)/6)&lt;='V06 Calend 01'!E23)),IF((109=('V06 Calend 01'!C23+(6*'V06 Calend 01'!E23))),('V06 Calend 01'!H23-('V06 Calend 01'!I23*('V06 Calend 01'!E23-1))),'V06 Calend 01'!I23),0))+IF((109='V06 Calend 01'!D23),'V06 Calend 01'!J23,0))</f>
        <v>0</v>
      </c>
      <c r="DR23" s="2">
        <f>((IF((110='V06 Calend 01'!C23),('V06 Calend 01'!F23+'V06 Calend 01'!G23),0)+IF(AND(('V06 Calend 01'!E23&gt;0),(110&gt;'V06 Calend 01'!C23),(110&lt;'V06 Calend 01'!D23),(MOD((110-'V06 Calend 01'!C23),6)=0),(((110-'V06 Calend 01'!C23)/6)&lt;='V06 Calend 01'!E23)),IF((110=('V06 Calend 01'!C23+(6*'V06 Calend 01'!E23))),('V06 Calend 01'!H23-('V06 Calend 01'!I23*('V06 Calend 01'!E23-1))),'V06 Calend 01'!I23),0))+IF((110='V06 Calend 01'!D23),'V06 Calend 01'!J23,0))</f>
        <v>0</v>
      </c>
      <c r="DS23" s="2">
        <f>((IF((111='V06 Calend 01'!C23),('V06 Calend 01'!F23+'V06 Calend 01'!G23),0)+IF(AND(('V06 Calend 01'!E23&gt;0),(111&gt;'V06 Calend 01'!C23),(111&lt;'V06 Calend 01'!D23),(MOD((111-'V06 Calend 01'!C23),6)=0),(((111-'V06 Calend 01'!C23)/6)&lt;='V06 Calend 01'!E23)),IF((111=('V06 Calend 01'!C23+(6*'V06 Calend 01'!E23))),('V06 Calend 01'!H23-('V06 Calend 01'!I23*('V06 Calend 01'!E23-1))),'V06 Calend 01'!I23),0))+IF((111='V06 Calend 01'!D23),'V06 Calend 01'!J23,0))</f>
        <v>0</v>
      </c>
      <c r="DT23" s="2">
        <f>((IF((112='V06 Calend 01'!C23),('V06 Calend 01'!F23+'V06 Calend 01'!G23),0)+IF(AND(('V06 Calend 01'!E23&gt;0),(112&gt;'V06 Calend 01'!C23),(112&lt;'V06 Calend 01'!D23),(MOD((112-'V06 Calend 01'!C23),6)=0),(((112-'V06 Calend 01'!C23)/6)&lt;='V06 Calend 01'!E23)),IF((112=('V06 Calend 01'!C23+(6*'V06 Calend 01'!E23))),('V06 Calend 01'!H23-('V06 Calend 01'!I23*('V06 Calend 01'!E23-1))),'V06 Calend 01'!I23),0))+IF((112='V06 Calend 01'!D23),'V06 Calend 01'!J23,0))</f>
        <v>0</v>
      </c>
      <c r="DU23" s="2">
        <f>((IF((113='V06 Calend 01'!C23),('V06 Calend 01'!F23+'V06 Calend 01'!G23),0)+IF(AND(('V06 Calend 01'!E23&gt;0),(113&gt;'V06 Calend 01'!C23),(113&lt;'V06 Calend 01'!D23),(MOD((113-'V06 Calend 01'!C23),6)=0),(((113-'V06 Calend 01'!C23)/6)&lt;='V06 Calend 01'!E23)),IF((113=('V06 Calend 01'!C23+(6*'V06 Calend 01'!E23))),('V06 Calend 01'!H23-('V06 Calend 01'!I23*('V06 Calend 01'!E23-1))),'V06 Calend 01'!I23),0))+IF((113='V06 Calend 01'!D23),'V06 Calend 01'!J23,0))</f>
        <v>0</v>
      </c>
      <c r="DV23" s="2">
        <f>((IF((114='V06 Calend 01'!C23),('V06 Calend 01'!F23+'V06 Calend 01'!G23),0)+IF(AND(('V06 Calend 01'!E23&gt;0),(114&gt;'V06 Calend 01'!C23),(114&lt;'V06 Calend 01'!D23),(MOD((114-'V06 Calend 01'!C23),6)=0),(((114-'V06 Calend 01'!C23)/6)&lt;='V06 Calend 01'!E23)),IF((114=('V06 Calend 01'!C23+(6*'V06 Calend 01'!E23))),('V06 Calend 01'!H23-('V06 Calend 01'!I23*('V06 Calend 01'!E23-1))),'V06 Calend 01'!I23),0))+IF((114='V06 Calend 01'!D23),'V06 Calend 01'!J23,0))</f>
        <v>0</v>
      </c>
      <c r="DW23" s="2">
        <f>((IF((115='V06 Calend 01'!C23),('V06 Calend 01'!F23+'V06 Calend 01'!G23),0)+IF(AND(('V06 Calend 01'!E23&gt;0),(115&gt;'V06 Calend 01'!C23),(115&lt;'V06 Calend 01'!D23),(MOD((115-'V06 Calend 01'!C23),6)=0),(((115-'V06 Calend 01'!C23)/6)&lt;='V06 Calend 01'!E23)),IF((115=('V06 Calend 01'!C23+(6*'V06 Calend 01'!E23))),('V06 Calend 01'!H23-('V06 Calend 01'!I23*('V06 Calend 01'!E23-1))),'V06 Calend 01'!I23),0))+IF((115='V06 Calend 01'!D23),'V06 Calend 01'!J23,0))</f>
        <v>0</v>
      </c>
      <c r="DX23" s="2">
        <f>((IF((116='V06 Calend 01'!C23),('V06 Calend 01'!F23+'V06 Calend 01'!G23),0)+IF(AND(('V06 Calend 01'!E23&gt;0),(116&gt;'V06 Calend 01'!C23),(116&lt;'V06 Calend 01'!D23),(MOD((116-'V06 Calend 01'!C23),6)=0),(((116-'V06 Calend 01'!C23)/6)&lt;='V06 Calend 01'!E23)),IF((116=('V06 Calend 01'!C23+(6*'V06 Calend 01'!E23))),('V06 Calend 01'!H23-('V06 Calend 01'!I23*('V06 Calend 01'!E23-1))),'V06 Calend 01'!I23),0))+IF((116='V06 Calend 01'!D23),'V06 Calend 01'!J23,0))</f>
        <v>0</v>
      </c>
      <c r="DY23" s="2">
        <f>((IF((117='V06 Calend 01'!C23),('V06 Calend 01'!F23+'V06 Calend 01'!G23),0)+IF(AND(('V06 Calend 01'!E23&gt;0),(117&gt;'V06 Calend 01'!C23),(117&lt;'V06 Calend 01'!D23),(MOD((117-'V06 Calend 01'!C23),6)=0),(((117-'V06 Calend 01'!C23)/6)&lt;='V06 Calend 01'!E23)),IF((117=('V06 Calend 01'!C23+(6*'V06 Calend 01'!E23))),('V06 Calend 01'!H23-('V06 Calend 01'!I23*('V06 Calend 01'!E23-1))),'V06 Calend 01'!I23),0))+IF((117='V06 Calend 01'!D23),'V06 Calend 01'!J23,0))</f>
        <v>0</v>
      </c>
      <c r="DZ23" s="2">
        <f>((IF((118='V06 Calend 01'!C23),('V06 Calend 01'!F23+'V06 Calend 01'!G23),0)+IF(AND(('V06 Calend 01'!E23&gt;0),(118&gt;'V06 Calend 01'!C23),(118&lt;'V06 Calend 01'!D23),(MOD((118-'V06 Calend 01'!C23),6)=0),(((118-'V06 Calend 01'!C23)/6)&lt;='V06 Calend 01'!E23)),IF((118=('V06 Calend 01'!C23+(6*'V06 Calend 01'!E23))),('V06 Calend 01'!H23-('V06 Calend 01'!I23*('V06 Calend 01'!E23-1))),'V06 Calend 01'!I23),0))+IF((118='V06 Calend 01'!D23),'V06 Calend 01'!J23,0))</f>
        <v>0</v>
      </c>
      <c r="EA23" s="2">
        <f>((IF((119='V06 Calend 01'!C23),('V06 Calend 01'!F23+'V06 Calend 01'!G23),0)+IF(AND(('V06 Calend 01'!E23&gt;0),(119&gt;'V06 Calend 01'!C23),(119&lt;'V06 Calend 01'!D23),(MOD((119-'V06 Calend 01'!C23),6)=0),(((119-'V06 Calend 01'!C23)/6)&lt;='V06 Calend 01'!E23)),IF((119=('V06 Calend 01'!C23+(6*'V06 Calend 01'!E23))),('V06 Calend 01'!H23-('V06 Calend 01'!I23*('V06 Calend 01'!E23-1))),'V06 Calend 01'!I23),0))+IF((119='V06 Calend 01'!D23),'V06 Calend 01'!J23,0))</f>
        <v>0</v>
      </c>
      <c r="EB23" s="2">
        <f>((IF((120='V06 Calend 01'!C23),('V06 Calend 01'!F23+'V06 Calend 01'!G23),0)+IF(AND(('V06 Calend 01'!E23&gt;0),(120&gt;'V06 Calend 01'!C23),(120&lt;'V06 Calend 01'!D23),(MOD((120-'V06 Calend 01'!C23),6)=0),(((120-'V06 Calend 01'!C23)/6)&lt;='V06 Calend 01'!E23)),IF((120=('V06 Calend 01'!C23+(6*'V06 Calend 01'!E23))),('V06 Calend 01'!H23-('V06 Calend 01'!I23*('V06 Calend 01'!E23-1))),'V06 Calend 01'!I23),0))+IF((120='V06 Calend 01'!D23),'V06 Calend 01'!J23,0))</f>
        <v>0</v>
      </c>
      <c r="EC23" s="2">
        <f>((IF((121='V06 Calend 01'!C23),('V06 Calend 01'!F23+'V06 Calend 01'!G23),0)+IF(AND(('V06 Calend 01'!E23&gt;0),(121&gt;'V06 Calend 01'!C23),(121&lt;'V06 Calend 01'!D23),(MOD((121-'V06 Calend 01'!C23),6)=0),(((121-'V06 Calend 01'!C23)/6)&lt;='V06 Calend 01'!E23)),IF((121=('V06 Calend 01'!C23+(6*'V06 Calend 01'!E23))),('V06 Calend 01'!H23-('V06 Calend 01'!I23*('V06 Calend 01'!E23-1))),'V06 Calend 01'!I23),0))+IF((121='V06 Calend 01'!D23),'V06 Calend 01'!J23,0))</f>
        <v>0</v>
      </c>
      <c r="ED23" s="2">
        <f>((IF((122='V06 Calend 01'!C23),('V06 Calend 01'!F23+'V06 Calend 01'!G23),0)+IF(AND(('V06 Calend 01'!E23&gt;0),(122&gt;'V06 Calend 01'!C23),(122&lt;'V06 Calend 01'!D23),(MOD((122-'V06 Calend 01'!C23),6)=0),(((122-'V06 Calend 01'!C23)/6)&lt;='V06 Calend 01'!E23)),IF((122=('V06 Calend 01'!C23+(6*'V06 Calend 01'!E23))),('V06 Calend 01'!H23-('V06 Calend 01'!I23*('V06 Calend 01'!E23-1))),'V06 Calend 01'!I23),0))+IF((122='V06 Calend 01'!D23),'V06 Calend 01'!J23,0))</f>
        <v>0</v>
      </c>
      <c r="EE23" s="2">
        <f>((IF((123='V06 Calend 01'!C23),('V06 Calend 01'!F23+'V06 Calend 01'!G23),0)+IF(AND(('V06 Calend 01'!E23&gt;0),(123&gt;'V06 Calend 01'!C23),(123&lt;'V06 Calend 01'!D23),(MOD((123-'V06 Calend 01'!C23),6)=0),(((123-'V06 Calend 01'!C23)/6)&lt;='V06 Calend 01'!E23)),IF((123=('V06 Calend 01'!C23+(6*'V06 Calend 01'!E23))),('V06 Calend 01'!H23-('V06 Calend 01'!I23*('V06 Calend 01'!E23-1))),'V06 Calend 01'!I23),0))+IF((123='V06 Calend 01'!D23),'V06 Calend 01'!J23,0))</f>
        <v>0</v>
      </c>
      <c r="EF23" s="2">
        <f>((IF((124='V06 Calend 01'!C23),('V06 Calend 01'!F23+'V06 Calend 01'!G23),0)+IF(AND(('V06 Calend 01'!E23&gt;0),(124&gt;'V06 Calend 01'!C23),(124&lt;'V06 Calend 01'!D23),(MOD((124-'V06 Calend 01'!C23),6)=0),(((124-'V06 Calend 01'!C23)/6)&lt;='V06 Calend 01'!E23)),IF((124=('V06 Calend 01'!C23+(6*'V06 Calend 01'!E23))),('V06 Calend 01'!H23-('V06 Calend 01'!I23*('V06 Calend 01'!E23-1))),'V06 Calend 01'!I23),0))+IF((124='V06 Calend 01'!D23),'V06 Calend 01'!J23,0))</f>
        <v>0</v>
      </c>
      <c r="EG23" s="2">
        <f>((IF((125='V06 Calend 01'!C23),('V06 Calend 01'!F23+'V06 Calend 01'!G23),0)+IF(AND(('V06 Calend 01'!E23&gt;0),(125&gt;'V06 Calend 01'!C23),(125&lt;'V06 Calend 01'!D23),(MOD((125-'V06 Calend 01'!C23),6)=0),(((125-'V06 Calend 01'!C23)/6)&lt;='V06 Calend 01'!E23)),IF((125=('V06 Calend 01'!C23+(6*'V06 Calend 01'!E23))),('V06 Calend 01'!H23-('V06 Calend 01'!I23*('V06 Calend 01'!E23-1))),'V06 Calend 01'!I23),0))+IF((125='V06 Calend 01'!D23),'V06 Calend 01'!J23,0))</f>
        <v>0</v>
      </c>
      <c r="EH23" s="2">
        <f>((IF((126='V06 Calend 01'!C23),('V06 Calend 01'!F23+'V06 Calend 01'!G23),0)+IF(AND(('V06 Calend 01'!E23&gt;0),(126&gt;'V06 Calend 01'!C23),(126&lt;'V06 Calend 01'!D23),(MOD((126-'V06 Calend 01'!C23),6)=0),(((126-'V06 Calend 01'!C23)/6)&lt;='V06 Calend 01'!E23)),IF((126=('V06 Calend 01'!C23+(6*'V06 Calend 01'!E23))),('V06 Calend 01'!H23-('V06 Calend 01'!I23*('V06 Calend 01'!E23-1))),'V06 Calend 01'!I23),0))+IF((126='V06 Calend 01'!D23),'V06 Calend 01'!J23,0))</f>
        <v>0</v>
      </c>
      <c r="EI23" s="2">
        <f>((IF((127='V06 Calend 01'!C23),('V06 Calend 01'!F23+'V06 Calend 01'!G23),0)+IF(AND(('V06 Calend 01'!E23&gt;0),(127&gt;'V06 Calend 01'!C23),(127&lt;'V06 Calend 01'!D23),(MOD((127-'V06 Calend 01'!C23),6)=0),(((127-'V06 Calend 01'!C23)/6)&lt;='V06 Calend 01'!E23)),IF((127=('V06 Calend 01'!C23+(6*'V06 Calend 01'!E23))),('V06 Calend 01'!H23-('V06 Calend 01'!I23*('V06 Calend 01'!E23-1))),'V06 Calend 01'!I23),0))+IF((127='V06 Calend 01'!D23),'V06 Calend 01'!J23,0))</f>
        <v>0</v>
      </c>
      <c r="EJ23" s="2">
        <f>((IF((128='V06 Calend 01'!C23),('V06 Calend 01'!F23+'V06 Calend 01'!G23),0)+IF(AND(('V06 Calend 01'!E23&gt;0),(128&gt;'V06 Calend 01'!C23),(128&lt;'V06 Calend 01'!D23),(MOD((128-'V06 Calend 01'!C23),6)=0),(((128-'V06 Calend 01'!C23)/6)&lt;='V06 Calend 01'!E23)),IF((128=('V06 Calend 01'!C23+(6*'V06 Calend 01'!E23))),('V06 Calend 01'!H23-('V06 Calend 01'!I23*('V06 Calend 01'!E23-1))),'V06 Calend 01'!I23),0))+IF((128='V06 Calend 01'!D23),'V06 Calend 01'!J23,0))</f>
        <v>0</v>
      </c>
      <c r="EK23" s="2">
        <f>((IF((129='V06 Calend 01'!C23),('V06 Calend 01'!F23+'V06 Calend 01'!G23),0)+IF(AND(('V06 Calend 01'!E23&gt;0),(129&gt;'V06 Calend 01'!C23),(129&lt;'V06 Calend 01'!D23),(MOD((129-'V06 Calend 01'!C23),6)=0),(((129-'V06 Calend 01'!C23)/6)&lt;='V06 Calend 01'!E23)),IF((129=('V06 Calend 01'!C23+(6*'V06 Calend 01'!E23))),('V06 Calend 01'!H23-('V06 Calend 01'!I23*('V06 Calend 01'!E23-1))),'V06 Calend 01'!I23),0))+IF((129='V06 Calend 01'!D23),'V06 Calend 01'!J23,0))</f>
        <v>0</v>
      </c>
      <c r="EL23" s="2">
        <f>((IF((130='V06 Calend 01'!C23),('V06 Calend 01'!F23+'V06 Calend 01'!G23),0)+IF(AND(('V06 Calend 01'!E23&gt;0),(130&gt;'V06 Calend 01'!C23),(130&lt;'V06 Calend 01'!D23),(MOD((130-'V06 Calend 01'!C23),6)=0),(((130-'V06 Calend 01'!C23)/6)&lt;='V06 Calend 01'!E23)),IF((130=('V06 Calend 01'!C23+(6*'V06 Calend 01'!E23))),('V06 Calend 01'!H23-('V06 Calend 01'!I23*('V06 Calend 01'!E23-1))),'V06 Calend 01'!I23),0))+IF((130='V06 Calend 01'!D23),'V06 Calend 01'!J23,0))</f>
        <v>0</v>
      </c>
      <c r="EM23" s="2">
        <f>((IF((131='V06 Calend 01'!C23),('V06 Calend 01'!F23+'V06 Calend 01'!G23),0)+IF(AND(('V06 Calend 01'!E23&gt;0),(131&gt;'V06 Calend 01'!C23),(131&lt;'V06 Calend 01'!D23),(MOD((131-'V06 Calend 01'!C23),6)=0),(((131-'V06 Calend 01'!C23)/6)&lt;='V06 Calend 01'!E23)),IF((131=('V06 Calend 01'!C23+(6*'V06 Calend 01'!E23))),('V06 Calend 01'!H23-('V06 Calend 01'!I23*('V06 Calend 01'!E23-1))),'V06 Calend 01'!I23),0))+IF((131='V06 Calend 01'!D23),'V06 Calend 01'!J23,0))</f>
        <v>0</v>
      </c>
      <c r="EN23" s="2">
        <f>((IF((132='V06 Calend 01'!C23),('V06 Calend 01'!F23+'V06 Calend 01'!G23),0)+IF(AND(('V06 Calend 01'!E23&gt;0),(132&gt;'V06 Calend 01'!C23),(132&lt;'V06 Calend 01'!D23),(MOD((132-'V06 Calend 01'!C23),6)=0),(((132-'V06 Calend 01'!C23)/6)&lt;='V06 Calend 01'!E23)),IF((132=('V06 Calend 01'!C23+(6*'V06 Calend 01'!E23))),('V06 Calend 01'!H23-('V06 Calend 01'!I23*('V06 Calend 01'!E23-1))),'V06 Calend 01'!I23),0))+IF((132='V06 Calend 01'!D23),'V06 Calend 01'!J23,0))</f>
        <v>0</v>
      </c>
      <c r="EO23" s="2">
        <f>((IF((133='V06 Calend 01'!C23),('V06 Calend 01'!F23+'V06 Calend 01'!G23),0)+IF(AND(('V06 Calend 01'!E23&gt;0),(133&gt;'V06 Calend 01'!C23),(133&lt;'V06 Calend 01'!D23),(MOD((133-'V06 Calend 01'!C23),6)=0),(((133-'V06 Calend 01'!C23)/6)&lt;='V06 Calend 01'!E23)),IF((133=('V06 Calend 01'!C23+(6*'V06 Calend 01'!E23))),('V06 Calend 01'!H23-('V06 Calend 01'!I23*('V06 Calend 01'!E23-1))),'V06 Calend 01'!I23),0))+IF((133='V06 Calend 01'!D23),'V06 Calend 01'!J23,0))</f>
        <v>0</v>
      </c>
      <c r="EP23" s="2">
        <f>((IF((134='V06 Calend 01'!C23),('V06 Calend 01'!F23+'V06 Calend 01'!G23),0)+IF(AND(('V06 Calend 01'!E23&gt;0),(134&gt;'V06 Calend 01'!C23),(134&lt;'V06 Calend 01'!D23),(MOD((134-'V06 Calend 01'!C23),6)=0),(((134-'V06 Calend 01'!C23)/6)&lt;='V06 Calend 01'!E23)),IF((134=('V06 Calend 01'!C23+(6*'V06 Calend 01'!E23))),('V06 Calend 01'!H23-('V06 Calend 01'!I23*('V06 Calend 01'!E23-1))),'V06 Calend 01'!I23),0))+IF((134='V06 Calend 01'!D23),'V06 Calend 01'!J23,0))</f>
        <v>0</v>
      </c>
      <c r="EQ23" s="2">
        <f>((IF((135='V06 Calend 01'!C23),('V06 Calend 01'!F23+'V06 Calend 01'!G23),0)+IF(AND(('V06 Calend 01'!E23&gt;0),(135&gt;'V06 Calend 01'!C23),(135&lt;'V06 Calend 01'!D23),(MOD((135-'V06 Calend 01'!C23),6)=0),(((135-'V06 Calend 01'!C23)/6)&lt;='V06 Calend 01'!E23)),IF((135=('V06 Calend 01'!C23+(6*'V06 Calend 01'!E23))),('V06 Calend 01'!H23-('V06 Calend 01'!I23*('V06 Calend 01'!E23-1))),'V06 Calend 01'!I23),0))+IF((135='V06 Calend 01'!D23),'V06 Calend 01'!J23,0))</f>
        <v>0</v>
      </c>
      <c r="ER23" s="2">
        <f>((IF((136='V06 Calend 01'!C23),('V06 Calend 01'!F23+'V06 Calend 01'!G23),0)+IF(AND(('V06 Calend 01'!E23&gt;0),(136&gt;'V06 Calend 01'!C23),(136&lt;'V06 Calend 01'!D23),(MOD((136-'V06 Calend 01'!C23),6)=0),(((136-'V06 Calend 01'!C23)/6)&lt;='V06 Calend 01'!E23)),IF((136=('V06 Calend 01'!C23+(6*'V06 Calend 01'!E23))),('V06 Calend 01'!H23-('V06 Calend 01'!I23*('V06 Calend 01'!E23-1))),'V06 Calend 01'!I23),0))+IF((136='V06 Calend 01'!D23),'V06 Calend 01'!J23,0))</f>
        <v>0</v>
      </c>
      <c r="ES23" s="2">
        <f>((IF((137='V06 Calend 01'!C23),('V06 Calend 01'!F23+'V06 Calend 01'!G23),0)+IF(AND(('V06 Calend 01'!E23&gt;0),(137&gt;'V06 Calend 01'!C23),(137&lt;'V06 Calend 01'!D23),(MOD((137-'V06 Calend 01'!C23),6)=0),(((137-'V06 Calend 01'!C23)/6)&lt;='V06 Calend 01'!E23)),IF((137=('V06 Calend 01'!C23+(6*'V06 Calend 01'!E23))),('V06 Calend 01'!H23-('V06 Calend 01'!I23*('V06 Calend 01'!E23-1))),'V06 Calend 01'!I23),0))+IF((137='V06 Calend 01'!D23),'V06 Calend 01'!J23,0))</f>
        <v>0</v>
      </c>
      <c r="ET23" s="2">
        <f>((IF((138='V06 Calend 01'!C23),('V06 Calend 01'!F23+'V06 Calend 01'!G23),0)+IF(AND(('V06 Calend 01'!E23&gt;0),(138&gt;'V06 Calend 01'!C23),(138&lt;'V06 Calend 01'!D23),(MOD((138-'V06 Calend 01'!C23),6)=0),(((138-'V06 Calend 01'!C23)/6)&lt;='V06 Calend 01'!E23)),IF((138=('V06 Calend 01'!C23+(6*'V06 Calend 01'!E23))),('V06 Calend 01'!H23-('V06 Calend 01'!I23*('V06 Calend 01'!E23-1))),'V06 Calend 01'!I23),0))+IF((138='V06 Calend 01'!D23),'V06 Calend 01'!J23,0))</f>
        <v>0</v>
      </c>
      <c r="EU23" s="2">
        <f>((IF((139='V06 Calend 01'!C23),('V06 Calend 01'!F23+'V06 Calend 01'!G23),0)+IF(AND(('V06 Calend 01'!E23&gt;0),(139&gt;'V06 Calend 01'!C23),(139&lt;'V06 Calend 01'!D23),(MOD((139-'V06 Calend 01'!C23),6)=0),(((139-'V06 Calend 01'!C23)/6)&lt;='V06 Calend 01'!E23)),IF((139=('V06 Calend 01'!C23+(6*'V06 Calend 01'!E23))),('V06 Calend 01'!H23-('V06 Calend 01'!I23*('V06 Calend 01'!E23-1))),'V06 Calend 01'!I23),0))+IF((139='V06 Calend 01'!D23),'V06 Calend 01'!J23,0))</f>
        <v>0</v>
      </c>
      <c r="EV23" s="2">
        <f>((IF((140='V06 Calend 01'!C23),('V06 Calend 01'!F23+'V06 Calend 01'!G23),0)+IF(AND(('V06 Calend 01'!E23&gt;0),(140&gt;'V06 Calend 01'!C23),(140&lt;'V06 Calend 01'!D23),(MOD((140-'V06 Calend 01'!C23),6)=0),(((140-'V06 Calend 01'!C23)/6)&lt;='V06 Calend 01'!E23)),IF((140=('V06 Calend 01'!C23+(6*'V06 Calend 01'!E23))),('V06 Calend 01'!H23-('V06 Calend 01'!I23*('V06 Calend 01'!E23-1))),'V06 Calend 01'!I23),0))+IF((140='V06 Calend 01'!D23),'V06 Calend 01'!J23,0))</f>
        <v>0</v>
      </c>
      <c r="EW23" s="2">
        <f>((IF((141='V06 Calend 01'!C23),('V06 Calend 01'!F23+'V06 Calend 01'!G23),0)+IF(AND(('V06 Calend 01'!E23&gt;0),(141&gt;'V06 Calend 01'!C23),(141&lt;'V06 Calend 01'!D23),(MOD((141-'V06 Calend 01'!C23),6)=0),(((141-'V06 Calend 01'!C23)/6)&lt;='V06 Calend 01'!E23)),IF((141=('V06 Calend 01'!C23+(6*'V06 Calend 01'!E23))),('V06 Calend 01'!H23-('V06 Calend 01'!I23*('V06 Calend 01'!E23-1))),'V06 Calend 01'!I23),0))+IF((141='V06 Calend 01'!D23),'V06 Calend 01'!J23,0))</f>
        <v>0</v>
      </c>
      <c r="EX23" s="2">
        <f>((IF((142='V06 Calend 01'!C23),('V06 Calend 01'!F23+'V06 Calend 01'!G23),0)+IF(AND(('V06 Calend 01'!E23&gt;0),(142&gt;'V06 Calend 01'!C23),(142&lt;'V06 Calend 01'!D23),(MOD((142-'V06 Calend 01'!C23),6)=0),(((142-'V06 Calend 01'!C23)/6)&lt;='V06 Calend 01'!E23)),IF((142=('V06 Calend 01'!C23+(6*'V06 Calend 01'!E23))),('V06 Calend 01'!H23-('V06 Calend 01'!I23*('V06 Calend 01'!E23-1))),'V06 Calend 01'!I23),0))+IF((142='V06 Calend 01'!D23),'V06 Calend 01'!J23,0))</f>
        <v>0</v>
      </c>
      <c r="EY23" s="2">
        <f>((IF((143='V06 Calend 01'!C23),('V06 Calend 01'!F23+'V06 Calend 01'!G23),0)+IF(AND(('V06 Calend 01'!E23&gt;0),(143&gt;'V06 Calend 01'!C23),(143&lt;'V06 Calend 01'!D23),(MOD((143-'V06 Calend 01'!C23),6)=0),(((143-'V06 Calend 01'!C23)/6)&lt;='V06 Calend 01'!E23)),IF((143=('V06 Calend 01'!C23+(6*'V06 Calend 01'!E23))),('V06 Calend 01'!H23-('V06 Calend 01'!I23*('V06 Calend 01'!E23-1))),'V06 Calend 01'!I23),0))+IF((143='V06 Calend 01'!D23),'V06 Calend 01'!J23,0))</f>
        <v>0</v>
      </c>
      <c r="EZ23" s="2">
        <f>((IF((144='V06 Calend 01'!C23),('V06 Calend 01'!F23+'V06 Calend 01'!G23),0)+IF(AND(('V06 Calend 01'!E23&gt;0),(144&gt;'V06 Calend 01'!C23),(144&lt;'V06 Calend 01'!D23),(MOD((144-'V06 Calend 01'!C23),6)=0),(((144-'V06 Calend 01'!C23)/6)&lt;='V06 Calend 01'!E23)),IF((144=('V06 Calend 01'!C23+(6*'V06 Calend 01'!E23))),('V06 Calend 01'!H23-('V06 Calend 01'!I23*('V06 Calend 01'!E23-1))),'V06 Calend 01'!I23),0))+IF((144='V06 Calend 01'!D23),'V06 Calend 01'!J23,0))</f>
        <v>0</v>
      </c>
      <c r="FA23" s="2">
        <f>((IF((145='V06 Calend 01'!C23),('V06 Calend 01'!F23+'V06 Calend 01'!G23),0)+IF(AND(('V06 Calend 01'!E23&gt;0),(145&gt;'V06 Calend 01'!C23),(145&lt;'V06 Calend 01'!D23),(MOD((145-'V06 Calend 01'!C23),6)=0),(((145-'V06 Calend 01'!C23)/6)&lt;='V06 Calend 01'!E23)),IF((145=('V06 Calend 01'!C23+(6*'V06 Calend 01'!E23))),('V06 Calend 01'!H23-('V06 Calend 01'!I23*('V06 Calend 01'!E23-1))),'V06 Calend 01'!I23),0))+IF((145='V06 Calend 01'!D23),'V06 Calend 01'!J23,0))</f>
        <v>0</v>
      </c>
      <c r="FB23" s="2">
        <f>((IF((146='V06 Calend 01'!C23),('V06 Calend 01'!F23+'V06 Calend 01'!G23),0)+IF(AND(('V06 Calend 01'!E23&gt;0),(146&gt;'V06 Calend 01'!C23),(146&lt;'V06 Calend 01'!D23),(MOD((146-'V06 Calend 01'!C23),6)=0),(((146-'V06 Calend 01'!C23)/6)&lt;='V06 Calend 01'!E23)),IF((146=('V06 Calend 01'!C23+(6*'V06 Calend 01'!E23))),('V06 Calend 01'!H23-('V06 Calend 01'!I23*('V06 Calend 01'!E23-1))),'V06 Calend 01'!I23),0))+IF((146='V06 Calend 01'!D23),'V06 Calend 01'!J23,0))</f>
        <v>0</v>
      </c>
      <c r="FC23" s="2">
        <f>((IF((147='V06 Calend 01'!C23),('V06 Calend 01'!F23+'V06 Calend 01'!G23),0)+IF(AND(('V06 Calend 01'!E23&gt;0),(147&gt;'V06 Calend 01'!C23),(147&lt;'V06 Calend 01'!D23),(MOD((147-'V06 Calend 01'!C23),6)=0),(((147-'V06 Calend 01'!C23)/6)&lt;='V06 Calend 01'!E23)),IF((147=('V06 Calend 01'!C23+(6*'V06 Calend 01'!E23))),('V06 Calend 01'!H23-('V06 Calend 01'!I23*('V06 Calend 01'!E23-1))),'V06 Calend 01'!I23),0))+IF((147='V06 Calend 01'!D23),'V06 Calend 01'!J23,0))</f>
        <v>0</v>
      </c>
      <c r="FD23" s="2">
        <f>((IF((148='V06 Calend 01'!C23),('V06 Calend 01'!F23+'V06 Calend 01'!G23),0)+IF(AND(('V06 Calend 01'!E23&gt;0),(148&gt;'V06 Calend 01'!C23),(148&lt;'V06 Calend 01'!D23),(MOD((148-'V06 Calend 01'!C23),6)=0),(((148-'V06 Calend 01'!C23)/6)&lt;='V06 Calend 01'!E23)),IF((148=('V06 Calend 01'!C23+(6*'V06 Calend 01'!E23))),('V06 Calend 01'!H23-('V06 Calend 01'!I23*('V06 Calend 01'!E23-1))),'V06 Calend 01'!I23),0))+IF((148='V06 Calend 01'!D23),'V06 Calend 01'!J23,0))</f>
        <v>0</v>
      </c>
      <c r="FE23" s="2">
        <f>((IF((149='V06 Calend 01'!C23),('V06 Calend 01'!F23+'V06 Calend 01'!G23),0)+IF(AND(('V06 Calend 01'!E23&gt;0),(149&gt;'V06 Calend 01'!C23),(149&lt;'V06 Calend 01'!D23),(MOD((149-'V06 Calend 01'!C23),6)=0),(((149-'V06 Calend 01'!C23)/6)&lt;='V06 Calend 01'!E23)),IF((149=('V06 Calend 01'!C23+(6*'V06 Calend 01'!E23))),('V06 Calend 01'!H23-('V06 Calend 01'!I23*('V06 Calend 01'!E23-1))),'V06 Calend 01'!I23),0))+IF((149='V06 Calend 01'!D23),'V06 Calend 01'!J23,0))</f>
        <v>0</v>
      </c>
      <c r="FF23" s="2">
        <f>((IF((150='V06 Calend 01'!C23),('V06 Calend 01'!F23+'V06 Calend 01'!G23),0)+IF(AND(('V06 Calend 01'!E23&gt;0),(150&gt;'V06 Calend 01'!C23),(150&lt;'V06 Calend 01'!D23),(MOD((150-'V06 Calend 01'!C23),6)=0),(((150-'V06 Calend 01'!C23)/6)&lt;='V06 Calend 01'!E23)),IF((150=('V06 Calend 01'!C23+(6*'V06 Calend 01'!E23))),('V06 Calend 01'!H23-('V06 Calend 01'!I23*('V06 Calend 01'!E23-1))),'V06 Calend 01'!I23),0))+IF((150='V06 Calend 01'!D23),'V06 Calend 01'!J23,0))</f>
        <v>0</v>
      </c>
      <c r="FG23" s="2">
        <f>((IF((151='V06 Calend 01'!C23),('V06 Calend 01'!F23+'V06 Calend 01'!G23),0)+IF(AND(('V06 Calend 01'!E23&gt;0),(151&gt;'V06 Calend 01'!C23),(151&lt;'V06 Calend 01'!D23),(MOD((151-'V06 Calend 01'!C23),6)=0),(((151-'V06 Calend 01'!C23)/6)&lt;='V06 Calend 01'!E23)),IF((151=('V06 Calend 01'!C23+(6*'V06 Calend 01'!E23))),('V06 Calend 01'!H23-('V06 Calend 01'!I23*('V06 Calend 01'!E23-1))),'V06 Calend 01'!I23),0))+IF((151='V06 Calend 01'!D23),'V06 Calend 01'!J23,0))</f>
        <v>0</v>
      </c>
      <c r="FH23" s="2">
        <f>((IF((152='V06 Calend 01'!C23),('V06 Calend 01'!F23+'V06 Calend 01'!G23),0)+IF(AND(('V06 Calend 01'!E23&gt;0),(152&gt;'V06 Calend 01'!C23),(152&lt;'V06 Calend 01'!D23),(MOD((152-'V06 Calend 01'!C23),6)=0),(((152-'V06 Calend 01'!C23)/6)&lt;='V06 Calend 01'!E23)),IF((152=('V06 Calend 01'!C23+(6*'V06 Calend 01'!E23))),('V06 Calend 01'!H23-('V06 Calend 01'!I23*('V06 Calend 01'!E23-1))),'V06 Calend 01'!I23),0))+IF((152='V06 Calend 01'!D23),'V06 Calend 01'!J23,0))</f>
        <v>0</v>
      </c>
      <c r="FI23" s="2">
        <f>((IF((153='V06 Calend 01'!C23),('V06 Calend 01'!F23+'V06 Calend 01'!G23),0)+IF(AND(('V06 Calend 01'!E23&gt;0),(153&gt;'V06 Calend 01'!C23),(153&lt;'V06 Calend 01'!D23),(MOD((153-'V06 Calend 01'!C23),6)=0),(((153-'V06 Calend 01'!C23)/6)&lt;='V06 Calend 01'!E23)),IF((153=('V06 Calend 01'!C23+(6*'V06 Calend 01'!E23))),('V06 Calend 01'!H23-('V06 Calend 01'!I23*('V06 Calend 01'!E23-1))),'V06 Calend 01'!I23),0))+IF((153='V06 Calend 01'!D23),'V06 Calend 01'!J23,0))</f>
        <v>0</v>
      </c>
      <c r="FJ23" s="2">
        <f>((IF((154='V06 Calend 01'!C23),('V06 Calend 01'!F23+'V06 Calend 01'!G23),0)+IF(AND(('V06 Calend 01'!E23&gt;0),(154&gt;'V06 Calend 01'!C23),(154&lt;'V06 Calend 01'!D23),(MOD((154-'V06 Calend 01'!C23),6)=0),(((154-'V06 Calend 01'!C23)/6)&lt;='V06 Calend 01'!E23)),IF((154=('V06 Calend 01'!C23+(6*'V06 Calend 01'!E23))),('V06 Calend 01'!H23-('V06 Calend 01'!I23*('V06 Calend 01'!E23-1))),'V06 Calend 01'!I23),0))+IF((154='V06 Calend 01'!D23),'V06 Calend 01'!J23,0))</f>
        <v>0</v>
      </c>
      <c r="FK23" s="2">
        <f>((IF((155='V06 Calend 01'!C23),('V06 Calend 01'!F23+'V06 Calend 01'!G23),0)+IF(AND(('V06 Calend 01'!E23&gt;0),(155&gt;'V06 Calend 01'!C23),(155&lt;'V06 Calend 01'!D23),(MOD((155-'V06 Calend 01'!C23),6)=0),(((155-'V06 Calend 01'!C23)/6)&lt;='V06 Calend 01'!E23)),IF((155=('V06 Calend 01'!C23+(6*'V06 Calend 01'!E23))),('V06 Calend 01'!H23-('V06 Calend 01'!I23*('V06 Calend 01'!E23-1))),'V06 Calend 01'!I23),0))+IF((155='V06 Calend 01'!D23),'V06 Calend 01'!J23,0))</f>
        <v>0</v>
      </c>
      <c r="FL23" s="2">
        <f>((IF((156='V06 Calend 01'!C23),('V06 Calend 01'!F23+'V06 Calend 01'!G23),0)+IF(AND(('V06 Calend 01'!E23&gt;0),(156&gt;'V06 Calend 01'!C23),(156&lt;'V06 Calend 01'!D23),(MOD((156-'V06 Calend 01'!C23),6)=0),(((156-'V06 Calend 01'!C23)/6)&lt;='V06 Calend 01'!E23)),IF((156=('V06 Calend 01'!C23+(6*'V06 Calend 01'!E23))),('V06 Calend 01'!H23-('V06 Calend 01'!I23*('V06 Calend 01'!E23-1))),'V06 Calend 01'!I23),0))+IF((156='V06 Calend 01'!D23),'V06 Calend 01'!J23,0))</f>
        <v>0</v>
      </c>
      <c r="FM23" s="2">
        <f>((IF((157='V06 Calend 01'!C23),('V06 Calend 01'!F23+'V06 Calend 01'!G23),0)+IF(AND(('V06 Calend 01'!E23&gt;0),(157&gt;'V06 Calend 01'!C23),(157&lt;'V06 Calend 01'!D23),(MOD((157-'V06 Calend 01'!C23),6)=0),(((157-'V06 Calend 01'!C23)/6)&lt;='V06 Calend 01'!E23)),IF((157=('V06 Calend 01'!C23+(6*'V06 Calend 01'!E23))),('V06 Calend 01'!H23-('V06 Calend 01'!I23*('V06 Calend 01'!E23-1))),'V06 Calend 01'!I23),0))+IF((157='V06 Calend 01'!D23),'V06 Calend 01'!J23,0))</f>
        <v>0</v>
      </c>
      <c r="FN23" s="2">
        <f>((IF((158='V06 Calend 01'!C23),('V06 Calend 01'!F23+'V06 Calend 01'!G23),0)+IF(AND(('V06 Calend 01'!E23&gt;0),(158&gt;'V06 Calend 01'!C23),(158&lt;'V06 Calend 01'!D23),(MOD((158-'V06 Calend 01'!C23),6)=0),(((158-'V06 Calend 01'!C23)/6)&lt;='V06 Calend 01'!E23)),IF((158=('V06 Calend 01'!C23+(6*'V06 Calend 01'!E23))),('V06 Calend 01'!H23-('V06 Calend 01'!I23*('V06 Calend 01'!E23-1))),'V06 Calend 01'!I23),0))+IF((158='V06 Calend 01'!D23),'V06 Calend 01'!J23,0))</f>
        <v>0</v>
      </c>
      <c r="FO23" s="2">
        <f>((IF((159='V06 Calend 01'!C23),('V06 Calend 01'!F23+'V06 Calend 01'!G23),0)+IF(AND(('V06 Calend 01'!E23&gt;0),(159&gt;'V06 Calend 01'!C23),(159&lt;'V06 Calend 01'!D23),(MOD((159-'V06 Calend 01'!C23),6)=0),(((159-'V06 Calend 01'!C23)/6)&lt;='V06 Calend 01'!E23)),IF((159=('V06 Calend 01'!C23+(6*'V06 Calend 01'!E23))),('V06 Calend 01'!H23-('V06 Calend 01'!I23*('V06 Calend 01'!E23-1))),'V06 Calend 01'!I23),0))+IF((159='V06 Calend 01'!D23),'V06 Calend 01'!J23,0))</f>
        <v>0</v>
      </c>
      <c r="FP23" s="2">
        <f>((IF((160='V06 Calend 01'!C23),('V06 Calend 01'!F23+'V06 Calend 01'!G23),0)+IF(AND(('V06 Calend 01'!E23&gt;0),(160&gt;'V06 Calend 01'!C23),(160&lt;'V06 Calend 01'!D23),(MOD((160-'V06 Calend 01'!C23),6)=0),(((160-'V06 Calend 01'!C23)/6)&lt;='V06 Calend 01'!E23)),IF((160=('V06 Calend 01'!C23+(6*'V06 Calend 01'!E23))),('V06 Calend 01'!H23-('V06 Calend 01'!I23*('V06 Calend 01'!E23-1))),'V06 Calend 01'!I23),0))+IF((160='V06 Calend 01'!D23),'V06 Calend 01'!J23,0))</f>
        <v>0</v>
      </c>
      <c r="FQ23" s="2">
        <f>((IF((161='V06 Calend 01'!C23),('V06 Calend 01'!F23+'V06 Calend 01'!G23),0)+IF(AND(('V06 Calend 01'!E23&gt;0),(161&gt;'V06 Calend 01'!C23),(161&lt;'V06 Calend 01'!D23),(MOD((161-'V06 Calend 01'!C23),6)=0),(((161-'V06 Calend 01'!C23)/6)&lt;='V06 Calend 01'!E23)),IF((161=('V06 Calend 01'!C23+(6*'V06 Calend 01'!E23))),('V06 Calend 01'!H23-('V06 Calend 01'!I23*('V06 Calend 01'!E23-1))),'V06 Calend 01'!I23),0))+IF((161='V06 Calend 01'!D23),'V06 Calend 01'!J23,0))</f>
        <v>0</v>
      </c>
      <c r="FR23" s="2">
        <f>((IF((162='V06 Calend 01'!C23),('V06 Calend 01'!F23+'V06 Calend 01'!G23),0)+IF(AND(('V06 Calend 01'!E23&gt;0),(162&gt;'V06 Calend 01'!C23),(162&lt;'V06 Calend 01'!D23),(MOD((162-'V06 Calend 01'!C23),6)=0),(((162-'V06 Calend 01'!C23)/6)&lt;='V06 Calend 01'!E23)),IF((162=('V06 Calend 01'!C23+(6*'V06 Calend 01'!E23))),('V06 Calend 01'!H23-('V06 Calend 01'!I23*('V06 Calend 01'!E23-1))),'V06 Calend 01'!I23),0))+IF((162='V06 Calend 01'!D23),'V06 Calend 01'!J23,0))</f>
        <v>0</v>
      </c>
      <c r="FS23" s="2">
        <f>((IF((163='V06 Calend 01'!C23),('V06 Calend 01'!F23+'V06 Calend 01'!G23),0)+IF(AND(('V06 Calend 01'!E23&gt;0),(163&gt;'V06 Calend 01'!C23),(163&lt;'V06 Calend 01'!D23),(MOD((163-'V06 Calend 01'!C23),6)=0),(((163-'V06 Calend 01'!C23)/6)&lt;='V06 Calend 01'!E23)),IF((163=('V06 Calend 01'!C23+(6*'V06 Calend 01'!E23))),('V06 Calend 01'!H23-('V06 Calend 01'!I23*('V06 Calend 01'!E23-1))),'V06 Calend 01'!I23),0))+IF((163='V06 Calend 01'!D23),'V06 Calend 01'!J23,0))</f>
        <v>0</v>
      </c>
      <c r="FT23" s="2">
        <f>((IF((164='V06 Calend 01'!C23),('V06 Calend 01'!F23+'V06 Calend 01'!G23),0)+IF(AND(('V06 Calend 01'!E23&gt;0),(164&gt;'V06 Calend 01'!C23),(164&lt;'V06 Calend 01'!D23),(MOD((164-'V06 Calend 01'!C23),6)=0),(((164-'V06 Calend 01'!C23)/6)&lt;='V06 Calend 01'!E23)),IF((164=('V06 Calend 01'!C23+(6*'V06 Calend 01'!E23))),('V06 Calend 01'!H23-('V06 Calend 01'!I23*('V06 Calend 01'!E23-1))),'V06 Calend 01'!I23),0))+IF((164='V06 Calend 01'!D23),'V06 Calend 01'!J23,0))</f>
        <v>0</v>
      </c>
      <c r="FU23" s="2">
        <f>((IF((165='V06 Calend 01'!C23),('V06 Calend 01'!F23+'V06 Calend 01'!G23),0)+IF(AND(('V06 Calend 01'!E23&gt;0),(165&gt;'V06 Calend 01'!C23),(165&lt;'V06 Calend 01'!D23),(MOD((165-'V06 Calend 01'!C23),6)=0),(((165-'V06 Calend 01'!C23)/6)&lt;='V06 Calend 01'!E23)),IF((165=('V06 Calend 01'!C23+(6*'V06 Calend 01'!E23))),('V06 Calend 01'!H23-('V06 Calend 01'!I23*('V06 Calend 01'!E23-1))),'V06 Calend 01'!I23),0))+IF((165='V06 Calend 01'!D23),'V06 Calend 01'!J23,0))</f>
        <v>0</v>
      </c>
      <c r="FV23" s="2">
        <f>((IF((166='V06 Calend 01'!C23),('V06 Calend 01'!F23+'V06 Calend 01'!G23),0)+IF(AND(('V06 Calend 01'!E23&gt;0),(166&gt;'V06 Calend 01'!C23),(166&lt;'V06 Calend 01'!D23),(MOD((166-'V06 Calend 01'!C23),6)=0),(((166-'V06 Calend 01'!C23)/6)&lt;='V06 Calend 01'!E23)),IF((166=('V06 Calend 01'!C23+(6*'V06 Calend 01'!E23))),('V06 Calend 01'!H23-('V06 Calend 01'!I23*('V06 Calend 01'!E23-1))),'V06 Calend 01'!I23),0))+IF((166='V06 Calend 01'!D23),'V06 Calend 01'!J23,0))</f>
        <v>0</v>
      </c>
      <c r="FW23" s="2">
        <f>((IF((167='V06 Calend 01'!C23),('V06 Calend 01'!F23+'V06 Calend 01'!G23),0)+IF(AND(('V06 Calend 01'!E23&gt;0),(167&gt;'V06 Calend 01'!C23),(167&lt;'V06 Calend 01'!D23),(MOD((167-'V06 Calend 01'!C23),6)=0),(((167-'V06 Calend 01'!C23)/6)&lt;='V06 Calend 01'!E23)),IF((167=('V06 Calend 01'!C23+(6*'V06 Calend 01'!E23))),('V06 Calend 01'!H23-('V06 Calend 01'!I23*('V06 Calend 01'!E23-1))),'V06 Calend 01'!I23),0))+IF((167='V06 Calend 01'!D23),'V06 Calend 01'!J23,0))</f>
        <v>0</v>
      </c>
      <c r="FX23" s="2">
        <f>((IF((168='V06 Calend 01'!C23),('V06 Calend 01'!F23+'V06 Calend 01'!G23),0)+IF(AND(('V06 Calend 01'!E23&gt;0),(168&gt;'V06 Calend 01'!C23),(168&lt;'V06 Calend 01'!D23),(MOD((168-'V06 Calend 01'!C23),6)=0),(((168-'V06 Calend 01'!C23)/6)&lt;='V06 Calend 01'!E23)),IF((168=('V06 Calend 01'!C23+(6*'V06 Calend 01'!E23))),('V06 Calend 01'!H23-('V06 Calend 01'!I23*('V06 Calend 01'!E23-1))),'V06 Calend 01'!I23),0))+IF((168='V06 Calend 01'!D23),'V06 Calend 01'!J23,0))</f>
        <v>0</v>
      </c>
      <c r="FY23" s="2">
        <f>((IF((169='V06 Calend 01'!C23),('V06 Calend 01'!F23+'V06 Calend 01'!G23),0)+IF(AND(('V06 Calend 01'!E23&gt;0),(169&gt;'V06 Calend 01'!C23),(169&lt;'V06 Calend 01'!D23),(MOD((169-'V06 Calend 01'!C23),6)=0),(((169-'V06 Calend 01'!C23)/6)&lt;='V06 Calend 01'!E23)),IF((169=('V06 Calend 01'!C23+(6*'V06 Calend 01'!E23))),('V06 Calend 01'!H23-('V06 Calend 01'!I23*('V06 Calend 01'!E23-1))),'V06 Calend 01'!I23),0))+IF((169='V06 Calend 01'!D23),'V06 Calend 01'!J23,0))</f>
        <v>0</v>
      </c>
      <c r="FZ23" s="2">
        <f>((IF((170='V06 Calend 01'!C23),('V06 Calend 01'!F23+'V06 Calend 01'!G23),0)+IF(AND(('V06 Calend 01'!E23&gt;0),(170&gt;'V06 Calend 01'!C23),(170&lt;'V06 Calend 01'!D23),(MOD((170-'V06 Calend 01'!C23),6)=0),(((170-'V06 Calend 01'!C23)/6)&lt;='V06 Calend 01'!E23)),IF((170=('V06 Calend 01'!C23+(6*'V06 Calend 01'!E23))),('V06 Calend 01'!H23-('V06 Calend 01'!I23*('V06 Calend 01'!E23-1))),'V06 Calend 01'!I23),0))+IF((170='V06 Calend 01'!D23),'V06 Calend 01'!J23,0))</f>
        <v>0</v>
      </c>
      <c r="GA23" s="2">
        <f>((IF((171='V06 Calend 01'!C23),('V06 Calend 01'!F23+'V06 Calend 01'!G23),0)+IF(AND(('V06 Calend 01'!E23&gt;0),(171&gt;'V06 Calend 01'!C23),(171&lt;'V06 Calend 01'!D23),(MOD((171-'V06 Calend 01'!C23),6)=0),(((171-'V06 Calend 01'!C23)/6)&lt;='V06 Calend 01'!E23)),IF((171=('V06 Calend 01'!C23+(6*'V06 Calend 01'!E23))),('V06 Calend 01'!H23-('V06 Calend 01'!I23*('V06 Calend 01'!E23-1))),'V06 Calend 01'!I23),0))+IF((171='V06 Calend 01'!D23),'V06 Calend 01'!J23,0))</f>
        <v>0</v>
      </c>
      <c r="GB23" s="2">
        <f>((IF((172='V06 Calend 01'!C23),('V06 Calend 01'!F23+'V06 Calend 01'!G23),0)+IF(AND(('V06 Calend 01'!E23&gt;0),(172&gt;'V06 Calend 01'!C23),(172&lt;'V06 Calend 01'!D23),(MOD((172-'V06 Calend 01'!C23),6)=0),(((172-'V06 Calend 01'!C23)/6)&lt;='V06 Calend 01'!E23)),IF((172=('V06 Calend 01'!C23+(6*'V06 Calend 01'!E23))),('V06 Calend 01'!H23-('V06 Calend 01'!I23*('V06 Calend 01'!E23-1))),'V06 Calend 01'!I23),0))+IF((172='V06 Calend 01'!D23),'V06 Calend 01'!J23,0))</f>
        <v>0</v>
      </c>
      <c r="GC23" s="2">
        <f>((IF((173='V06 Calend 01'!C23),('V06 Calend 01'!F23+'V06 Calend 01'!G23),0)+IF(AND(('V06 Calend 01'!E23&gt;0),(173&gt;'V06 Calend 01'!C23),(173&lt;'V06 Calend 01'!D23),(MOD((173-'V06 Calend 01'!C23),6)=0),(((173-'V06 Calend 01'!C23)/6)&lt;='V06 Calend 01'!E23)),IF((173=('V06 Calend 01'!C23+(6*'V06 Calend 01'!E23))),('V06 Calend 01'!H23-('V06 Calend 01'!I23*('V06 Calend 01'!E23-1))),'V06 Calend 01'!I23),0))+IF((173='V06 Calend 01'!D23),'V06 Calend 01'!J23,0))</f>
        <v>0</v>
      </c>
      <c r="GD23" s="2">
        <f>((IF((174='V06 Calend 01'!C23),('V06 Calend 01'!F23+'V06 Calend 01'!G23),0)+IF(AND(('V06 Calend 01'!E23&gt;0),(174&gt;'V06 Calend 01'!C23),(174&lt;'V06 Calend 01'!D23),(MOD((174-'V06 Calend 01'!C23),6)=0),(((174-'V06 Calend 01'!C23)/6)&lt;='V06 Calend 01'!E23)),IF((174=('V06 Calend 01'!C23+(6*'V06 Calend 01'!E23))),('V06 Calend 01'!H23-('V06 Calend 01'!I23*('V06 Calend 01'!E23-1))),'V06 Calend 01'!I23),0))+IF((174='V06 Calend 01'!D23),'V06 Calend 01'!J23,0))</f>
        <v>0</v>
      </c>
      <c r="GE23" s="2">
        <f>((IF((175='V06 Calend 01'!C23),('V06 Calend 01'!F23+'V06 Calend 01'!G23),0)+IF(AND(('V06 Calend 01'!E23&gt;0),(175&gt;'V06 Calend 01'!C23),(175&lt;'V06 Calend 01'!D23),(MOD((175-'V06 Calend 01'!C23),6)=0),(((175-'V06 Calend 01'!C23)/6)&lt;='V06 Calend 01'!E23)),IF((175=('V06 Calend 01'!C23+(6*'V06 Calend 01'!E23))),('V06 Calend 01'!H23-('V06 Calend 01'!I23*('V06 Calend 01'!E23-1))),'V06 Calend 01'!I23),0))+IF((175='V06 Calend 01'!D23),'V06 Calend 01'!J23,0))</f>
        <v>0</v>
      </c>
      <c r="GF23" s="2">
        <f>((IF((176='V06 Calend 01'!C23),('V06 Calend 01'!F23+'V06 Calend 01'!G23),0)+IF(AND(('V06 Calend 01'!E23&gt;0),(176&gt;'V06 Calend 01'!C23),(176&lt;'V06 Calend 01'!D23),(MOD((176-'V06 Calend 01'!C23),6)=0),(((176-'V06 Calend 01'!C23)/6)&lt;='V06 Calend 01'!E23)),IF((176=('V06 Calend 01'!C23+(6*'V06 Calend 01'!E23))),('V06 Calend 01'!H23-('V06 Calend 01'!I23*('V06 Calend 01'!E23-1))),'V06 Calend 01'!I23),0))+IF((176='V06 Calend 01'!D23),'V06 Calend 01'!J23,0))</f>
        <v>0</v>
      </c>
      <c r="GG23" s="2">
        <f>((IF((177='V06 Calend 01'!C23),('V06 Calend 01'!F23+'V06 Calend 01'!G23),0)+IF(AND(('V06 Calend 01'!E23&gt;0),(177&gt;'V06 Calend 01'!C23),(177&lt;'V06 Calend 01'!D23),(MOD((177-'V06 Calend 01'!C23),6)=0),(((177-'V06 Calend 01'!C23)/6)&lt;='V06 Calend 01'!E23)),IF((177=('V06 Calend 01'!C23+(6*'V06 Calend 01'!E23))),('V06 Calend 01'!H23-('V06 Calend 01'!I23*('V06 Calend 01'!E23-1))),'V06 Calend 01'!I23),0))+IF((177='V06 Calend 01'!D23),'V06 Calend 01'!J23,0))</f>
        <v>0</v>
      </c>
      <c r="GH23" s="2">
        <f>((IF((178='V06 Calend 01'!C23),('V06 Calend 01'!F23+'V06 Calend 01'!G23),0)+IF(AND(('V06 Calend 01'!E23&gt;0),(178&gt;'V06 Calend 01'!C23),(178&lt;'V06 Calend 01'!D23),(MOD((178-'V06 Calend 01'!C23),6)=0),(((178-'V06 Calend 01'!C23)/6)&lt;='V06 Calend 01'!E23)),IF((178=('V06 Calend 01'!C23+(6*'V06 Calend 01'!E23))),('V06 Calend 01'!H23-('V06 Calend 01'!I23*('V06 Calend 01'!E23-1))),'V06 Calend 01'!I23),0))+IF((178='V06 Calend 01'!D23),'V06 Calend 01'!J23,0))</f>
        <v>0</v>
      </c>
      <c r="GI23" s="2">
        <f>((IF((179='V06 Calend 01'!C23),('V06 Calend 01'!F23+'V06 Calend 01'!G23),0)+IF(AND(('V06 Calend 01'!E23&gt;0),(179&gt;'V06 Calend 01'!C23),(179&lt;'V06 Calend 01'!D23),(MOD((179-'V06 Calend 01'!C23),6)=0),(((179-'V06 Calend 01'!C23)/6)&lt;='V06 Calend 01'!E23)),IF((179=('V06 Calend 01'!C23+(6*'V06 Calend 01'!E23))),('V06 Calend 01'!H23-('V06 Calend 01'!I23*('V06 Calend 01'!E23-1))),'V06 Calend 01'!I23),0))+IF((179='V06 Calend 01'!D23),'V06 Calend 01'!J23,0))</f>
        <v>0</v>
      </c>
      <c r="GJ23" s="2">
        <f>((IF((180='V06 Calend 01'!C23),('V06 Calend 01'!F23+'V06 Calend 01'!G23),0)+IF(AND(('V06 Calend 01'!E23&gt;0),(180&gt;'V06 Calend 01'!C23),(180&lt;'V06 Calend 01'!D23),(MOD((180-'V06 Calend 01'!C23),6)=0),(((180-'V06 Calend 01'!C23)/6)&lt;='V06 Calend 01'!E23)),IF((180=('V06 Calend 01'!C23+(6*'V06 Calend 01'!E23))),('V06 Calend 01'!H23-('V06 Calend 01'!I23*('V06 Calend 01'!E23-1))),'V06 Calend 01'!I23),0))+IF((180='V06 Calend 01'!D23),'V06 Calend 01'!J23,0))</f>
        <v>0</v>
      </c>
    </row>
    <row r="24" spans="1:192">
      <c r="A24" s="3" t="str">
        <f>'V06 Unidades'!$A$24</f>
        <v>310</v>
      </c>
      <c r="B24" s="2">
        <f>'V06 Unidades'!$H$24</f>
        <v>563040</v>
      </c>
      <c r="C24" s="4">
        <f>('V06 Unidades'!$I$24+'V06 Controlos'!$B$37)</f>
        <v>10</v>
      </c>
      <c r="D24" s="4">
        <f>IF(('V06 Controlos'!$B$38&gt;0),MAX(('V06 Unidades'!$L$24+'V06 Controlos'!$B$37),(30+'V06 Controlos'!$B$38)),('V06 Unidades'!$L$24+'V06 Controlos'!$B$37))</f>
        <v>29</v>
      </c>
      <c r="E24" s="4">
        <f>MAX(0,INT(((('V06 Calend 01'!D24-'V06 Calend 01'!C24)-1)/6)))</f>
        <v>3</v>
      </c>
      <c r="F24" s="2">
        <f>ROUND(('V06 Calend 01'!B24*0.05),2)</f>
        <v>28152.0</v>
      </c>
      <c r="G24" s="2">
        <f>ROUND(('V06 Calend 01'!B24*0.2),2)</f>
        <v>112608.0</v>
      </c>
      <c r="H24" s="2">
        <f>ROUND(('V06 Calend 01'!B24*0.55),2)</f>
        <v>309672.0</v>
      </c>
      <c r="I24" s="2">
        <f>ROUND(('V06 Calend 01'!H24/MAX(1,'V06 Calend 01'!E24)),2)</f>
        <v>103224.0</v>
      </c>
      <c r="J24" s="2">
        <f>((('V06 Calend 01'!B24-'V06 Calend 01'!F24)-'V06 Calend 01'!G24)-'V06 Calend 01'!H24)</f>
        <v>112608.0</v>
      </c>
      <c r="K24" s="2">
        <f>('V06 Calend 01'!B24*0.025)</f>
        <v>14076.0</v>
      </c>
      <c r="L24" t="s">
        <v>378</v>
      </c>
      <c r="M24" s="2">
        <f>((IF((1='V06 Calend 01'!C24),('V06 Calend 01'!F24+'V06 Calend 01'!G24),0)+IF(AND(('V06 Calend 01'!E24&gt;0),(1&gt;'V06 Calend 01'!C24),(1&lt;'V06 Calend 01'!D24),(MOD((1-'V06 Calend 01'!C24),6)=0),(((1-'V06 Calend 01'!C24)/6)&lt;='V06 Calend 01'!E24)),IF((1=('V06 Calend 01'!C24+(6*'V06 Calend 01'!E24))),('V06 Calend 01'!H24-('V06 Calend 01'!I24*('V06 Calend 01'!E24-1))),'V06 Calend 01'!I24),0))+IF((1='V06 Calend 01'!D24),'V06 Calend 01'!J24,0))</f>
        <v>0</v>
      </c>
      <c r="N24" s="2">
        <f>((IF((2='V06 Calend 01'!C24),('V06 Calend 01'!F24+'V06 Calend 01'!G24),0)+IF(AND(('V06 Calend 01'!E24&gt;0),(2&gt;'V06 Calend 01'!C24),(2&lt;'V06 Calend 01'!D24),(MOD((2-'V06 Calend 01'!C24),6)=0),(((2-'V06 Calend 01'!C24)/6)&lt;='V06 Calend 01'!E24)),IF((2=('V06 Calend 01'!C24+(6*'V06 Calend 01'!E24))),('V06 Calend 01'!H24-('V06 Calend 01'!I24*('V06 Calend 01'!E24-1))),'V06 Calend 01'!I24),0))+IF((2='V06 Calend 01'!D24),'V06 Calend 01'!J24,0))</f>
        <v>0</v>
      </c>
      <c r="O24" s="2">
        <f>((IF((3='V06 Calend 01'!C24),('V06 Calend 01'!F24+'V06 Calend 01'!G24),0)+IF(AND(('V06 Calend 01'!E24&gt;0),(3&gt;'V06 Calend 01'!C24),(3&lt;'V06 Calend 01'!D24),(MOD((3-'V06 Calend 01'!C24),6)=0),(((3-'V06 Calend 01'!C24)/6)&lt;='V06 Calend 01'!E24)),IF((3=('V06 Calend 01'!C24+(6*'V06 Calend 01'!E24))),('V06 Calend 01'!H24-('V06 Calend 01'!I24*('V06 Calend 01'!E24-1))),'V06 Calend 01'!I24),0))+IF((3='V06 Calend 01'!D24),'V06 Calend 01'!J24,0))</f>
        <v>0</v>
      </c>
      <c r="P24" s="2">
        <f>((IF((4='V06 Calend 01'!C24),('V06 Calend 01'!F24+'V06 Calend 01'!G24),0)+IF(AND(('V06 Calend 01'!E24&gt;0),(4&gt;'V06 Calend 01'!C24),(4&lt;'V06 Calend 01'!D24),(MOD((4-'V06 Calend 01'!C24),6)=0),(((4-'V06 Calend 01'!C24)/6)&lt;='V06 Calend 01'!E24)),IF((4=('V06 Calend 01'!C24+(6*'V06 Calend 01'!E24))),('V06 Calend 01'!H24-('V06 Calend 01'!I24*('V06 Calend 01'!E24-1))),'V06 Calend 01'!I24),0))+IF((4='V06 Calend 01'!D24),'V06 Calend 01'!J24,0))</f>
        <v>0</v>
      </c>
      <c r="Q24" s="2">
        <f>((IF((5='V06 Calend 01'!C24),('V06 Calend 01'!F24+'V06 Calend 01'!G24),0)+IF(AND(('V06 Calend 01'!E24&gt;0),(5&gt;'V06 Calend 01'!C24),(5&lt;'V06 Calend 01'!D24),(MOD((5-'V06 Calend 01'!C24),6)=0),(((5-'V06 Calend 01'!C24)/6)&lt;='V06 Calend 01'!E24)),IF((5=('V06 Calend 01'!C24+(6*'V06 Calend 01'!E24))),('V06 Calend 01'!H24-('V06 Calend 01'!I24*('V06 Calend 01'!E24-1))),'V06 Calend 01'!I24),0))+IF((5='V06 Calend 01'!D24),'V06 Calend 01'!J24,0))</f>
        <v>0</v>
      </c>
      <c r="R24" s="2">
        <f>((IF((6='V06 Calend 01'!C24),('V06 Calend 01'!F24+'V06 Calend 01'!G24),0)+IF(AND(('V06 Calend 01'!E24&gt;0),(6&gt;'V06 Calend 01'!C24),(6&lt;'V06 Calend 01'!D24),(MOD((6-'V06 Calend 01'!C24),6)=0),(((6-'V06 Calend 01'!C24)/6)&lt;='V06 Calend 01'!E24)),IF((6=('V06 Calend 01'!C24+(6*'V06 Calend 01'!E24))),('V06 Calend 01'!H24-('V06 Calend 01'!I24*('V06 Calend 01'!E24-1))),'V06 Calend 01'!I24),0))+IF((6='V06 Calend 01'!D24),'V06 Calend 01'!J24,0))</f>
        <v>0</v>
      </c>
      <c r="S24" s="2">
        <f>((IF((7='V06 Calend 01'!C24),('V06 Calend 01'!F24+'V06 Calend 01'!G24),0)+IF(AND(('V06 Calend 01'!E24&gt;0),(7&gt;'V06 Calend 01'!C24),(7&lt;'V06 Calend 01'!D24),(MOD((7-'V06 Calend 01'!C24),6)=0),(((7-'V06 Calend 01'!C24)/6)&lt;='V06 Calend 01'!E24)),IF((7=('V06 Calend 01'!C24+(6*'V06 Calend 01'!E24))),('V06 Calend 01'!H24-('V06 Calend 01'!I24*('V06 Calend 01'!E24-1))),'V06 Calend 01'!I24),0))+IF((7='V06 Calend 01'!D24),'V06 Calend 01'!J24,0))</f>
        <v>0</v>
      </c>
      <c r="T24" s="2">
        <f>((IF((8='V06 Calend 01'!C24),('V06 Calend 01'!F24+'V06 Calend 01'!G24),0)+IF(AND(('V06 Calend 01'!E24&gt;0),(8&gt;'V06 Calend 01'!C24),(8&lt;'V06 Calend 01'!D24),(MOD((8-'V06 Calend 01'!C24),6)=0),(((8-'V06 Calend 01'!C24)/6)&lt;='V06 Calend 01'!E24)),IF((8=('V06 Calend 01'!C24+(6*'V06 Calend 01'!E24))),('V06 Calend 01'!H24-('V06 Calend 01'!I24*('V06 Calend 01'!E24-1))),'V06 Calend 01'!I24),0))+IF((8='V06 Calend 01'!D24),'V06 Calend 01'!J24,0))</f>
        <v>0</v>
      </c>
      <c r="U24" s="2">
        <f>((IF((9='V06 Calend 01'!C24),('V06 Calend 01'!F24+'V06 Calend 01'!G24),0)+IF(AND(('V06 Calend 01'!E24&gt;0),(9&gt;'V06 Calend 01'!C24),(9&lt;'V06 Calend 01'!D24),(MOD((9-'V06 Calend 01'!C24),6)=0),(((9-'V06 Calend 01'!C24)/6)&lt;='V06 Calend 01'!E24)),IF((9=('V06 Calend 01'!C24+(6*'V06 Calend 01'!E24))),('V06 Calend 01'!H24-('V06 Calend 01'!I24*('V06 Calend 01'!E24-1))),'V06 Calend 01'!I24),0))+IF((9='V06 Calend 01'!D24),'V06 Calend 01'!J24,0))</f>
        <v>0</v>
      </c>
      <c r="V24" s="2">
        <f>((IF((10='V06 Calend 01'!C24),('V06 Calend 01'!F24+'V06 Calend 01'!G24),0)+IF(AND(('V06 Calend 01'!E24&gt;0),(10&gt;'V06 Calend 01'!C24),(10&lt;'V06 Calend 01'!D24),(MOD((10-'V06 Calend 01'!C24),6)=0),(((10-'V06 Calend 01'!C24)/6)&lt;='V06 Calend 01'!E24)),IF((10=('V06 Calend 01'!C24+(6*'V06 Calend 01'!E24))),('V06 Calend 01'!H24-('V06 Calend 01'!I24*('V06 Calend 01'!E24-1))),'V06 Calend 01'!I24),0))+IF((10='V06 Calend 01'!D24),'V06 Calend 01'!J24,0))</f>
        <v>140760.0</v>
      </c>
      <c r="W24" s="2">
        <f>((IF((11='V06 Calend 01'!C24),('V06 Calend 01'!F24+'V06 Calend 01'!G24),0)+IF(AND(('V06 Calend 01'!E24&gt;0),(11&gt;'V06 Calend 01'!C24),(11&lt;'V06 Calend 01'!D24),(MOD((11-'V06 Calend 01'!C24),6)=0),(((11-'V06 Calend 01'!C24)/6)&lt;='V06 Calend 01'!E24)),IF((11=('V06 Calend 01'!C24+(6*'V06 Calend 01'!E24))),('V06 Calend 01'!H24-('V06 Calend 01'!I24*('V06 Calend 01'!E24-1))),'V06 Calend 01'!I24),0))+IF((11='V06 Calend 01'!D24),'V06 Calend 01'!J24,0))</f>
        <v>0</v>
      </c>
      <c r="X24" s="2">
        <f>((IF((12='V06 Calend 01'!C24),('V06 Calend 01'!F24+'V06 Calend 01'!G24),0)+IF(AND(('V06 Calend 01'!E24&gt;0),(12&gt;'V06 Calend 01'!C24),(12&lt;'V06 Calend 01'!D24),(MOD((12-'V06 Calend 01'!C24),6)=0),(((12-'V06 Calend 01'!C24)/6)&lt;='V06 Calend 01'!E24)),IF((12=('V06 Calend 01'!C24+(6*'V06 Calend 01'!E24))),('V06 Calend 01'!H24-('V06 Calend 01'!I24*('V06 Calend 01'!E24-1))),'V06 Calend 01'!I24),0))+IF((12='V06 Calend 01'!D24),'V06 Calend 01'!J24,0))</f>
        <v>0</v>
      </c>
      <c r="Y24" s="2">
        <f>((IF((13='V06 Calend 01'!C24),('V06 Calend 01'!F24+'V06 Calend 01'!G24),0)+IF(AND(('V06 Calend 01'!E24&gt;0),(13&gt;'V06 Calend 01'!C24),(13&lt;'V06 Calend 01'!D24),(MOD((13-'V06 Calend 01'!C24),6)=0),(((13-'V06 Calend 01'!C24)/6)&lt;='V06 Calend 01'!E24)),IF((13=('V06 Calend 01'!C24+(6*'V06 Calend 01'!E24))),('V06 Calend 01'!H24-('V06 Calend 01'!I24*('V06 Calend 01'!E24-1))),'V06 Calend 01'!I24),0))+IF((13='V06 Calend 01'!D24),'V06 Calend 01'!J24,0))</f>
        <v>0</v>
      </c>
      <c r="Z24" s="2">
        <f>((IF((14='V06 Calend 01'!C24),('V06 Calend 01'!F24+'V06 Calend 01'!G24),0)+IF(AND(('V06 Calend 01'!E24&gt;0),(14&gt;'V06 Calend 01'!C24),(14&lt;'V06 Calend 01'!D24),(MOD((14-'V06 Calend 01'!C24),6)=0),(((14-'V06 Calend 01'!C24)/6)&lt;='V06 Calend 01'!E24)),IF((14=('V06 Calend 01'!C24+(6*'V06 Calend 01'!E24))),('V06 Calend 01'!H24-('V06 Calend 01'!I24*('V06 Calend 01'!E24-1))),'V06 Calend 01'!I24),0))+IF((14='V06 Calend 01'!D24),'V06 Calend 01'!J24,0))</f>
        <v>0</v>
      </c>
      <c r="AA24" s="2">
        <f>((IF((15='V06 Calend 01'!C24),('V06 Calend 01'!F24+'V06 Calend 01'!G24),0)+IF(AND(('V06 Calend 01'!E24&gt;0),(15&gt;'V06 Calend 01'!C24),(15&lt;'V06 Calend 01'!D24),(MOD((15-'V06 Calend 01'!C24),6)=0),(((15-'V06 Calend 01'!C24)/6)&lt;='V06 Calend 01'!E24)),IF((15=('V06 Calend 01'!C24+(6*'V06 Calend 01'!E24))),('V06 Calend 01'!H24-('V06 Calend 01'!I24*('V06 Calend 01'!E24-1))),'V06 Calend 01'!I24),0))+IF((15='V06 Calend 01'!D24),'V06 Calend 01'!J24,0))</f>
        <v>0</v>
      </c>
      <c r="AB24" s="2">
        <f>((IF((16='V06 Calend 01'!C24),('V06 Calend 01'!F24+'V06 Calend 01'!G24),0)+IF(AND(('V06 Calend 01'!E24&gt;0),(16&gt;'V06 Calend 01'!C24),(16&lt;'V06 Calend 01'!D24),(MOD((16-'V06 Calend 01'!C24),6)=0),(((16-'V06 Calend 01'!C24)/6)&lt;='V06 Calend 01'!E24)),IF((16=('V06 Calend 01'!C24+(6*'V06 Calend 01'!E24))),('V06 Calend 01'!H24-('V06 Calend 01'!I24*('V06 Calend 01'!E24-1))),'V06 Calend 01'!I24),0))+IF((16='V06 Calend 01'!D24),'V06 Calend 01'!J24,0))</f>
        <v>103224.0</v>
      </c>
      <c r="AC24" s="2">
        <f>((IF((17='V06 Calend 01'!C24),('V06 Calend 01'!F24+'V06 Calend 01'!G24),0)+IF(AND(('V06 Calend 01'!E24&gt;0),(17&gt;'V06 Calend 01'!C24),(17&lt;'V06 Calend 01'!D24),(MOD((17-'V06 Calend 01'!C24),6)=0),(((17-'V06 Calend 01'!C24)/6)&lt;='V06 Calend 01'!E24)),IF((17=('V06 Calend 01'!C24+(6*'V06 Calend 01'!E24))),('V06 Calend 01'!H24-('V06 Calend 01'!I24*('V06 Calend 01'!E24-1))),'V06 Calend 01'!I24),0))+IF((17='V06 Calend 01'!D24),'V06 Calend 01'!J24,0))</f>
        <v>0</v>
      </c>
      <c r="AD24" s="2">
        <f>((IF((18='V06 Calend 01'!C24),('V06 Calend 01'!F24+'V06 Calend 01'!G24),0)+IF(AND(('V06 Calend 01'!E24&gt;0),(18&gt;'V06 Calend 01'!C24),(18&lt;'V06 Calend 01'!D24),(MOD((18-'V06 Calend 01'!C24),6)=0),(((18-'V06 Calend 01'!C24)/6)&lt;='V06 Calend 01'!E24)),IF((18=('V06 Calend 01'!C24+(6*'V06 Calend 01'!E24))),('V06 Calend 01'!H24-('V06 Calend 01'!I24*('V06 Calend 01'!E24-1))),'V06 Calend 01'!I24),0))+IF((18='V06 Calend 01'!D24),'V06 Calend 01'!J24,0))</f>
        <v>0</v>
      </c>
      <c r="AE24" s="2">
        <f>((IF((19='V06 Calend 01'!C24),('V06 Calend 01'!F24+'V06 Calend 01'!G24),0)+IF(AND(('V06 Calend 01'!E24&gt;0),(19&gt;'V06 Calend 01'!C24),(19&lt;'V06 Calend 01'!D24),(MOD((19-'V06 Calend 01'!C24),6)=0),(((19-'V06 Calend 01'!C24)/6)&lt;='V06 Calend 01'!E24)),IF((19=('V06 Calend 01'!C24+(6*'V06 Calend 01'!E24))),('V06 Calend 01'!H24-('V06 Calend 01'!I24*('V06 Calend 01'!E24-1))),'V06 Calend 01'!I24),0))+IF((19='V06 Calend 01'!D24),'V06 Calend 01'!J24,0))</f>
        <v>0</v>
      </c>
      <c r="AF24" s="2">
        <f>((IF((20='V06 Calend 01'!C24),('V06 Calend 01'!F24+'V06 Calend 01'!G24),0)+IF(AND(('V06 Calend 01'!E24&gt;0),(20&gt;'V06 Calend 01'!C24),(20&lt;'V06 Calend 01'!D24),(MOD((20-'V06 Calend 01'!C24),6)=0),(((20-'V06 Calend 01'!C24)/6)&lt;='V06 Calend 01'!E24)),IF((20=('V06 Calend 01'!C24+(6*'V06 Calend 01'!E24))),('V06 Calend 01'!H24-('V06 Calend 01'!I24*('V06 Calend 01'!E24-1))),'V06 Calend 01'!I24),0))+IF((20='V06 Calend 01'!D24),'V06 Calend 01'!J24,0))</f>
        <v>0</v>
      </c>
      <c r="AG24" s="2">
        <f>((IF((21='V06 Calend 01'!C24),('V06 Calend 01'!F24+'V06 Calend 01'!G24),0)+IF(AND(('V06 Calend 01'!E24&gt;0),(21&gt;'V06 Calend 01'!C24),(21&lt;'V06 Calend 01'!D24),(MOD((21-'V06 Calend 01'!C24),6)=0),(((21-'V06 Calend 01'!C24)/6)&lt;='V06 Calend 01'!E24)),IF((21=('V06 Calend 01'!C24+(6*'V06 Calend 01'!E24))),('V06 Calend 01'!H24-('V06 Calend 01'!I24*('V06 Calend 01'!E24-1))),'V06 Calend 01'!I24),0))+IF((21='V06 Calend 01'!D24),'V06 Calend 01'!J24,0))</f>
        <v>0</v>
      </c>
      <c r="AH24" s="2">
        <f>((IF((22='V06 Calend 01'!C24),('V06 Calend 01'!F24+'V06 Calend 01'!G24),0)+IF(AND(('V06 Calend 01'!E24&gt;0),(22&gt;'V06 Calend 01'!C24),(22&lt;'V06 Calend 01'!D24),(MOD((22-'V06 Calend 01'!C24),6)=0),(((22-'V06 Calend 01'!C24)/6)&lt;='V06 Calend 01'!E24)),IF((22=('V06 Calend 01'!C24+(6*'V06 Calend 01'!E24))),('V06 Calend 01'!H24-('V06 Calend 01'!I24*('V06 Calend 01'!E24-1))),'V06 Calend 01'!I24),0))+IF((22='V06 Calend 01'!D24),'V06 Calend 01'!J24,0))</f>
        <v>103224.0</v>
      </c>
      <c r="AI24" s="2">
        <f>((IF((23='V06 Calend 01'!C24),('V06 Calend 01'!F24+'V06 Calend 01'!G24),0)+IF(AND(('V06 Calend 01'!E24&gt;0),(23&gt;'V06 Calend 01'!C24),(23&lt;'V06 Calend 01'!D24),(MOD((23-'V06 Calend 01'!C24),6)=0),(((23-'V06 Calend 01'!C24)/6)&lt;='V06 Calend 01'!E24)),IF((23=('V06 Calend 01'!C24+(6*'V06 Calend 01'!E24))),('V06 Calend 01'!H24-('V06 Calend 01'!I24*('V06 Calend 01'!E24-1))),'V06 Calend 01'!I24),0))+IF((23='V06 Calend 01'!D24),'V06 Calend 01'!J24,0))</f>
        <v>0</v>
      </c>
      <c r="AJ24" s="2">
        <f>((IF((24='V06 Calend 01'!C24),('V06 Calend 01'!F24+'V06 Calend 01'!G24),0)+IF(AND(('V06 Calend 01'!E24&gt;0),(24&gt;'V06 Calend 01'!C24),(24&lt;'V06 Calend 01'!D24),(MOD((24-'V06 Calend 01'!C24),6)=0),(((24-'V06 Calend 01'!C24)/6)&lt;='V06 Calend 01'!E24)),IF((24=('V06 Calend 01'!C24+(6*'V06 Calend 01'!E24))),('V06 Calend 01'!H24-('V06 Calend 01'!I24*('V06 Calend 01'!E24-1))),'V06 Calend 01'!I24),0))+IF((24='V06 Calend 01'!D24),'V06 Calend 01'!J24,0))</f>
        <v>0</v>
      </c>
      <c r="AK24" s="2">
        <f>((IF((25='V06 Calend 01'!C24),('V06 Calend 01'!F24+'V06 Calend 01'!G24),0)+IF(AND(('V06 Calend 01'!E24&gt;0),(25&gt;'V06 Calend 01'!C24),(25&lt;'V06 Calend 01'!D24),(MOD((25-'V06 Calend 01'!C24),6)=0),(((25-'V06 Calend 01'!C24)/6)&lt;='V06 Calend 01'!E24)),IF((25=('V06 Calend 01'!C24+(6*'V06 Calend 01'!E24))),('V06 Calend 01'!H24-('V06 Calend 01'!I24*('V06 Calend 01'!E24-1))),'V06 Calend 01'!I24),0))+IF((25='V06 Calend 01'!D24),'V06 Calend 01'!J24,0))</f>
        <v>0</v>
      </c>
      <c r="AL24" s="2">
        <f>((IF((26='V06 Calend 01'!C24),('V06 Calend 01'!F24+'V06 Calend 01'!G24),0)+IF(AND(('V06 Calend 01'!E24&gt;0),(26&gt;'V06 Calend 01'!C24),(26&lt;'V06 Calend 01'!D24),(MOD((26-'V06 Calend 01'!C24),6)=0),(((26-'V06 Calend 01'!C24)/6)&lt;='V06 Calend 01'!E24)),IF((26=('V06 Calend 01'!C24+(6*'V06 Calend 01'!E24))),('V06 Calend 01'!H24-('V06 Calend 01'!I24*('V06 Calend 01'!E24-1))),'V06 Calend 01'!I24),0))+IF((26='V06 Calend 01'!D24),'V06 Calend 01'!J24,0))</f>
        <v>0</v>
      </c>
      <c r="AM24" s="2">
        <f>((IF((27='V06 Calend 01'!C24),('V06 Calend 01'!F24+'V06 Calend 01'!G24),0)+IF(AND(('V06 Calend 01'!E24&gt;0),(27&gt;'V06 Calend 01'!C24),(27&lt;'V06 Calend 01'!D24),(MOD((27-'V06 Calend 01'!C24),6)=0),(((27-'V06 Calend 01'!C24)/6)&lt;='V06 Calend 01'!E24)),IF((27=('V06 Calend 01'!C24+(6*'V06 Calend 01'!E24))),('V06 Calend 01'!H24-('V06 Calend 01'!I24*('V06 Calend 01'!E24-1))),'V06 Calend 01'!I24),0))+IF((27='V06 Calend 01'!D24),'V06 Calend 01'!J24,0))</f>
        <v>0</v>
      </c>
      <c r="AN24" s="2">
        <f>((IF((28='V06 Calend 01'!C24),('V06 Calend 01'!F24+'V06 Calend 01'!G24),0)+IF(AND(('V06 Calend 01'!E24&gt;0),(28&gt;'V06 Calend 01'!C24),(28&lt;'V06 Calend 01'!D24),(MOD((28-'V06 Calend 01'!C24),6)=0),(((28-'V06 Calend 01'!C24)/6)&lt;='V06 Calend 01'!E24)),IF((28=('V06 Calend 01'!C24+(6*'V06 Calend 01'!E24))),('V06 Calend 01'!H24-('V06 Calend 01'!I24*('V06 Calend 01'!E24-1))),'V06 Calend 01'!I24),0))+IF((28='V06 Calend 01'!D24),'V06 Calend 01'!J24,0))</f>
        <v>103224.0</v>
      </c>
      <c r="AO24" s="2">
        <f>((IF((29='V06 Calend 01'!C24),('V06 Calend 01'!F24+'V06 Calend 01'!G24),0)+IF(AND(('V06 Calend 01'!E24&gt;0),(29&gt;'V06 Calend 01'!C24),(29&lt;'V06 Calend 01'!D24),(MOD((29-'V06 Calend 01'!C24),6)=0),(((29-'V06 Calend 01'!C24)/6)&lt;='V06 Calend 01'!E24)),IF((29=('V06 Calend 01'!C24+(6*'V06 Calend 01'!E24))),('V06 Calend 01'!H24-('V06 Calend 01'!I24*('V06 Calend 01'!E24-1))),'V06 Calend 01'!I24),0))+IF((29='V06 Calend 01'!D24),'V06 Calend 01'!J24,0))</f>
        <v>112608.0</v>
      </c>
      <c r="AP24" s="2">
        <f>((IF((30='V06 Calend 01'!C24),('V06 Calend 01'!F24+'V06 Calend 01'!G24),0)+IF(AND(('V06 Calend 01'!E24&gt;0),(30&gt;'V06 Calend 01'!C24),(30&lt;'V06 Calend 01'!D24),(MOD((30-'V06 Calend 01'!C24),6)=0),(((30-'V06 Calend 01'!C24)/6)&lt;='V06 Calend 01'!E24)),IF((30=('V06 Calend 01'!C24+(6*'V06 Calend 01'!E24))),('V06 Calend 01'!H24-('V06 Calend 01'!I24*('V06 Calend 01'!E24-1))),'V06 Calend 01'!I24),0))+IF((30='V06 Calend 01'!D24),'V06 Calend 01'!J24,0))</f>
        <v>0</v>
      </c>
      <c r="AQ24" s="2">
        <f>((IF((31='V06 Calend 01'!C24),('V06 Calend 01'!F24+'V06 Calend 01'!G24),0)+IF(AND(('V06 Calend 01'!E24&gt;0),(31&gt;'V06 Calend 01'!C24),(31&lt;'V06 Calend 01'!D24),(MOD((31-'V06 Calend 01'!C24),6)=0),(((31-'V06 Calend 01'!C24)/6)&lt;='V06 Calend 01'!E24)),IF((31=('V06 Calend 01'!C24+(6*'V06 Calend 01'!E24))),('V06 Calend 01'!H24-('V06 Calend 01'!I24*('V06 Calend 01'!E24-1))),'V06 Calend 01'!I24),0))+IF((31='V06 Calend 01'!D24),'V06 Calend 01'!J24,0))</f>
        <v>0</v>
      </c>
      <c r="AR24" s="2">
        <f>((IF((32='V06 Calend 01'!C24),('V06 Calend 01'!F24+'V06 Calend 01'!G24),0)+IF(AND(('V06 Calend 01'!E24&gt;0),(32&gt;'V06 Calend 01'!C24),(32&lt;'V06 Calend 01'!D24),(MOD((32-'V06 Calend 01'!C24),6)=0),(((32-'V06 Calend 01'!C24)/6)&lt;='V06 Calend 01'!E24)),IF((32=('V06 Calend 01'!C24+(6*'V06 Calend 01'!E24))),('V06 Calend 01'!H24-('V06 Calend 01'!I24*('V06 Calend 01'!E24-1))),'V06 Calend 01'!I24),0))+IF((32='V06 Calend 01'!D24),'V06 Calend 01'!J24,0))</f>
        <v>0</v>
      </c>
      <c r="AS24" s="2">
        <f>((IF((33='V06 Calend 01'!C24),('V06 Calend 01'!F24+'V06 Calend 01'!G24),0)+IF(AND(('V06 Calend 01'!E24&gt;0),(33&gt;'V06 Calend 01'!C24),(33&lt;'V06 Calend 01'!D24),(MOD((33-'V06 Calend 01'!C24),6)=0),(((33-'V06 Calend 01'!C24)/6)&lt;='V06 Calend 01'!E24)),IF((33=('V06 Calend 01'!C24+(6*'V06 Calend 01'!E24))),('V06 Calend 01'!H24-('V06 Calend 01'!I24*('V06 Calend 01'!E24-1))),'V06 Calend 01'!I24),0))+IF((33='V06 Calend 01'!D24),'V06 Calend 01'!J24,0))</f>
        <v>0</v>
      </c>
      <c r="AT24" s="2">
        <f>((IF((34='V06 Calend 01'!C24),('V06 Calend 01'!F24+'V06 Calend 01'!G24),0)+IF(AND(('V06 Calend 01'!E24&gt;0),(34&gt;'V06 Calend 01'!C24),(34&lt;'V06 Calend 01'!D24),(MOD((34-'V06 Calend 01'!C24),6)=0),(((34-'V06 Calend 01'!C24)/6)&lt;='V06 Calend 01'!E24)),IF((34=('V06 Calend 01'!C24+(6*'V06 Calend 01'!E24))),('V06 Calend 01'!H24-('V06 Calend 01'!I24*('V06 Calend 01'!E24-1))),'V06 Calend 01'!I24),0))+IF((34='V06 Calend 01'!D24),'V06 Calend 01'!J24,0))</f>
        <v>0</v>
      </c>
      <c r="AU24" s="2">
        <f>((IF((35='V06 Calend 01'!C24),('V06 Calend 01'!F24+'V06 Calend 01'!G24),0)+IF(AND(('V06 Calend 01'!E24&gt;0),(35&gt;'V06 Calend 01'!C24),(35&lt;'V06 Calend 01'!D24),(MOD((35-'V06 Calend 01'!C24),6)=0),(((35-'V06 Calend 01'!C24)/6)&lt;='V06 Calend 01'!E24)),IF((35=('V06 Calend 01'!C24+(6*'V06 Calend 01'!E24))),('V06 Calend 01'!H24-('V06 Calend 01'!I24*('V06 Calend 01'!E24-1))),'V06 Calend 01'!I24),0))+IF((35='V06 Calend 01'!D24),'V06 Calend 01'!J24,0))</f>
        <v>0</v>
      </c>
      <c r="AV24" s="2">
        <f>((IF((36='V06 Calend 01'!C24),('V06 Calend 01'!F24+'V06 Calend 01'!G24),0)+IF(AND(('V06 Calend 01'!E24&gt;0),(36&gt;'V06 Calend 01'!C24),(36&lt;'V06 Calend 01'!D24),(MOD((36-'V06 Calend 01'!C24),6)=0),(((36-'V06 Calend 01'!C24)/6)&lt;='V06 Calend 01'!E24)),IF((36=('V06 Calend 01'!C24+(6*'V06 Calend 01'!E24))),('V06 Calend 01'!H24-('V06 Calend 01'!I24*('V06 Calend 01'!E24-1))),'V06 Calend 01'!I24),0))+IF((36='V06 Calend 01'!D24),'V06 Calend 01'!J24,0))</f>
        <v>0</v>
      </c>
      <c r="AW24" s="2">
        <f>((IF((37='V06 Calend 01'!C24),('V06 Calend 01'!F24+'V06 Calend 01'!G24),0)+IF(AND(('V06 Calend 01'!E24&gt;0),(37&gt;'V06 Calend 01'!C24),(37&lt;'V06 Calend 01'!D24),(MOD((37-'V06 Calend 01'!C24),6)=0),(((37-'V06 Calend 01'!C24)/6)&lt;='V06 Calend 01'!E24)),IF((37=('V06 Calend 01'!C24+(6*'V06 Calend 01'!E24))),('V06 Calend 01'!H24-('V06 Calend 01'!I24*('V06 Calend 01'!E24-1))),'V06 Calend 01'!I24),0))+IF((37='V06 Calend 01'!D24),'V06 Calend 01'!J24,0))</f>
        <v>0</v>
      </c>
      <c r="AX24" s="2">
        <f>((IF((38='V06 Calend 01'!C24),('V06 Calend 01'!F24+'V06 Calend 01'!G24),0)+IF(AND(('V06 Calend 01'!E24&gt;0),(38&gt;'V06 Calend 01'!C24),(38&lt;'V06 Calend 01'!D24),(MOD((38-'V06 Calend 01'!C24),6)=0),(((38-'V06 Calend 01'!C24)/6)&lt;='V06 Calend 01'!E24)),IF((38=('V06 Calend 01'!C24+(6*'V06 Calend 01'!E24))),('V06 Calend 01'!H24-('V06 Calend 01'!I24*('V06 Calend 01'!E24-1))),'V06 Calend 01'!I24),0))+IF((38='V06 Calend 01'!D24),'V06 Calend 01'!J24,0))</f>
        <v>0</v>
      </c>
      <c r="AY24" s="2">
        <f>((IF((39='V06 Calend 01'!C24),('V06 Calend 01'!F24+'V06 Calend 01'!G24),0)+IF(AND(('V06 Calend 01'!E24&gt;0),(39&gt;'V06 Calend 01'!C24),(39&lt;'V06 Calend 01'!D24),(MOD((39-'V06 Calend 01'!C24),6)=0),(((39-'V06 Calend 01'!C24)/6)&lt;='V06 Calend 01'!E24)),IF((39=('V06 Calend 01'!C24+(6*'V06 Calend 01'!E24))),('V06 Calend 01'!H24-('V06 Calend 01'!I24*('V06 Calend 01'!E24-1))),'V06 Calend 01'!I24),0))+IF((39='V06 Calend 01'!D24),'V06 Calend 01'!J24,0))</f>
        <v>0</v>
      </c>
      <c r="AZ24" s="2">
        <f>((IF((40='V06 Calend 01'!C24),('V06 Calend 01'!F24+'V06 Calend 01'!G24),0)+IF(AND(('V06 Calend 01'!E24&gt;0),(40&gt;'V06 Calend 01'!C24),(40&lt;'V06 Calend 01'!D24),(MOD((40-'V06 Calend 01'!C24),6)=0),(((40-'V06 Calend 01'!C24)/6)&lt;='V06 Calend 01'!E24)),IF((40=('V06 Calend 01'!C24+(6*'V06 Calend 01'!E24))),('V06 Calend 01'!H24-('V06 Calend 01'!I24*('V06 Calend 01'!E24-1))),'V06 Calend 01'!I24),0))+IF((40='V06 Calend 01'!D24),'V06 Calend 01'!J24,0))</f>
        <v>0</v>
      </c>
      <c r="BA24" s="2">
        <f>((IF((41='V06 Calend 01'!C24),('V06 Calend 01'!F24+'V06 Calend 01'!G24),0)+IF(AND(('V06 Calend 01'!E24&gt;0),(41&gt;'V06 Calend 01'!C24),(41&lt;'V06 Calend 01'!D24),(MOD((41-'V06 Calend 01'!C24),6)=0),(((41-'V06 Calend 01'!C24)/6)&lt;='V06 Calend 01'!E24)),IF((41=('V06 Calend 01'!C24+(6*'V06 Calend 01'!E24))),('V06 Calend 01'!H24-('V06 Calend 01'!I24*('V06 Calend 01'!E24-1))),'V06 Calend 01'!I24),0))+IF((41='V06 Calend 01'!D24),'V06 Calend 01'!J24,0))</f>
        <v>0</v>
      </c>
      <c r="BB24" s="2">
        <f>((IF((42='V06 Calend 01'!C24),('V06 Calend 01'!F24+'V06 Calend 01'!G24),0)+IF(AND(('V06 Calend 01'!E24&gt;0),(42&gt;'V06 Calend 01'!C24),(42&lt;'V06 Calend 01'!D24),(MOD((42-'V06 Calend 01'!C24),6)=0),(((42-'V06 Calend 01'!C24)/6)&lt;='V06 Calend 01'!E24)),IF((42=('V06 Calend 01'!C24+(6*'V06 Calend 01'!E24))),('V06 Calend 01'!H24-('V06 Calend 01'!I24*('V06 Calend 01'!E24-1))),'V06 Calend 01'!I24),0))+IF((42='V06 Calend 01'!D24),'V06 Calend 01'!J24,0))</f>
        <v>0</v>
      </c>
      <c r="BC24" s="2">
        <f>((IF((43='V06 Calend 01'!C24),('V06 Calend 01'!F24+'V06 Calend 01'!G24),0)+IF(AND(('V06 Calend 01'!E24&gt;0),(43&gt;'V06 Calend 01'!C24),(43&lt;'V06 Calend 01'!D24),(MOD((43-'V06 Calend 01'!C24),6)=0),(((43-'V06 Calend 01'!C24)/6)&lt;='V06 Calend 01'!E24)),IF((43=('V06 Calend 01'!C24+(6*'V06 Calend 01'!E24))),('V06 Calend 01'!H24-('V06 Calend 01'!I24*('V06 Calend 01'!E24-1))),'V06 Calend 01'!I24),0))+IF((43='V06 Calend 01'!D24),'V06 Calend 01'!J24,0))</f>
        <v>0</v>
      </c>
      <c r="BD24" s="2">
        <f>((IF((44='V06 Calend 01'!C24),('V06 Calend 01'!F24+'V06 Calend 01'!G24),0)+IF(AND(('V06 Calend 01'!E24&gt;0),(44&gt;'V06 Calend 01'!C24),(44&lt;'V06 Calend 01'!D24),(MOD((44-'V06 Calend 01'!C24),6)=0),(((44-'V06 Calend 01'!C24)/6)&lt;='V06 Calend 01'!E24)),IF((44=('V06 Calend 01'!C24+(6*'V06 Calend 01'!E24))),('V06 Calend 01'!H24-('V06 Calend 01'!I24*('V06 Calend 01'!E24-1))),'V06 Calend 01'!I24),0))+IF((44='V06 Calend 01'!D24),'V06 Calend 01'!J24,0))</f>
        <v>0</v>
      </c>
      <c r="BE24" s="2">
        <f>((IF((45='V06 Calend 01'!C24),('V06 Calend 01'!F24+'V06 Calend 01'!G24),0)+IF(AND(('V06 Calend 01'!E24&gt;0),(45&gt;'V06 Calend 01'!C24),(45&lt;'V06 Calend 01'!D24),(MOD((45-'V06 Calend 01'!C24),6)=0),(((45-'V06 Calend 01'!C24)/6)&lt;='V06 Calend 01'!E24)),IF((45=('V06 Calend 01'!C24+(6*'V06 Calend 01'!E24))),('V06 Calend 01'!H24-('V06 Calend 01'!I24*('V06 Calend 01'!E24-1))),'V06 Calend 01'!I24),0))+IF((45='V06 Calend 01'!D24),'V06 Calend 01'!J24,0))</f>
        <v>0</v>
      </c>
      <c r="BF24" s="2">
        <f>((IF((46='V06 Calend 01'!C24),('V06 Calend 01'!F24+'V06 Calend 01'!G24),0)+IF(AND(('V06 Calend 01'!E24&gt;0),(46&gt;'V06 Calend 01'!C24),(46&lt;'V06 Calend 01'!D24),(MOD((46-'V06 Calend 01'!C24),6)=0),(((46-'V06 Calend 01'!C24)/6)&lt;='V06 Calend 01'!E24)),IF((46=('V06 Calend 01'!C24+(6*'V06 Calend 01'!E24))),('V06 Calend 01'!H24-('V06 Calend 01'!I24*('V06 Calend 01'!E24-1))),'V06 Calend 01'!I24),0))+IF((46='V06 Calend 01'!D24),'V06 Calend 01'!J24,0))</f>
        <v>0</v>
      </c>
      <c r="BG24" s="2">
        <f>((IF((47='V06 Calend 01'!C24),('V06 Calend 01'!F24+'V06 Calend 01'!G24),0)+IF(AND(('V06 Calend 01'!E24&gt;0),(47&gt;'V06 Calend 01'!C24),(47&lt;'V06 Calend 01'!D24),(MOD((47-'V06 Calend 01'!C24),6)=0),(((47-'V06 Calend 01'!C24)/6)&lt;='V06 Calend 01'!E24)),IF((47=('V06 Calend 01'!C24+(6*'V06 Calend 01'!E24))),('V06 Calend 01'!H24-('V06 Calend 01'!I24*('V06 Calend 01'!E24-1))),'V06 Calend 01'!I24),0))+IF((47='V06 Calend 01'!D24),'V06 Calend 01'!J24,0))</f>
        <v>0</v>
      </c>
      <c r="BH24" s="2">
        <f>((IF((48='V06 Calend 01'!C24),('V06 Calend 01'!F24+'V06 Calend 01'!G24),0)+IF(AND(('V06 Calend 01'!E24&gt;0),(48&gt;'V06 Calend 01'!C24),(48&lt;'V06 Calend 01'!D24),(MOD((48-'V06 Calend 01'!C24),6)=0),(((48-'V06 Calend 01'!C24)/6)&lt;='V06 Calend 01'!E24)),IF((48=('V06 Calend 01'!C24+(6*'V06 Calend 01'!E24))),('V06 Calend 01'!H24-('V06 Calend 01'!I24*('V06 Calend 01'!E24-1))),'V06 Calend 01'!I24),0))+IF((48='V06 Calend 01'!D24),'V06 Calend 01'!J24,0))</f>
        <v>0</v>
      </c>
      <c r="BI24" s="2">
        <f>((IF((49='V06 Calend 01'!C24),('V06 Calend 01'!F24+'V06 Calend 01'!G24),0)+IF(AND(('V06 Calend 01'!E24&gt;0),(49&gt;'V06 Calend 01'!C24),(49&lt;'V06 Calend 01'!D24),(MOD((49-'V06 Calend 01'!C24),6)=0),(((49-'V06 Calend 01'!C24)/6)&lt;='V06 Calend 01'!E24)),IF((49=('V06 Calend 01'!C24+(6*'V06 Calend 01'!E24))),('V06 Calend 01'!H24-('V06 Calend 01'!I24*('V06 Calend 01'!E24-1))),'V06 Calend 01'!I24),0))+IF((49='V06 Calend 01'!D24),'V06 Calend 01'!J24,0))</f>
        <v>0</v>
      </c>
      <c r="BJ24" s="2">
        <f>((IF((50='V06 Calend 01'!C24),('V06 Calend 01'!F24+'V06 Calend 01'!G24),0)+IF(AND(('V06 Calend 01'!E24&gt;0),(50&gt;'V06 Calend 01'!C24),(50&lt;'V06 Calend 01'!D24),(MOD((50-'V06 Calend 01'!C24),6)=0),(((50-'V06 Calend 01'!C24)/6)&lt;='V06 Calend 01'!E24)),IF((50=('V06 Calend 01'!C24+(6*'V06 Calend 01'!E24))),('V06 Calend 01'!H24-('V06 Calend 01'!I24*('V06 Calend 01'!E24-1))),'V06 Calend 01'!I24),0))+IF((50='V06 Calend 01'!D24),'V06 Calend 01'!J24,0))</f>
        <v>0</v>
      </c>
      <c r="BK24" s="2">
        <f>((IF((51='V06 Calend 01'!C24),('V06 Calend 01'!F24+'V06 Calend 01'!G24),0)+IF(AND(('V06 Calend 01'!E24&gt;0),(51&gt;'V06 Calend 01'!C24),(51&lt;'V06 Calend 01'!D24),(MOD((51-'V06 Calend 01'!C24),6)=0),(((51-'V06 Calend 01'!C24)/6)&lt;='V06 Calend 01'!E24)),IF((51=('V06 Calend 01'!C24+(6*'V06 Calend 01'!E24))),('V06 Calend 01'!H24-('V06 Calend 01'!I24*('V06 Calend 01'!E24-1))),'V06 Calend 01'!I24),0))+IF((51='V06 Calend 01'!D24),'V06 Calend 01'!J24,0))</f>
        <v>0</v>
      </c>
      <c r="BL24" s="2">
        <f>((IF((52='V06 Calend 01'!C24),('V06 Calend 01'!F24+'V06 Calend 01'!G24),0)+IF(AND(('V06 Calend 01'!E24&gt;0),(52&gt;'V06 Calend 01'!C24),(52&lt;'V06 Calend 01'!D24),(MOD((52-'V06 Calend 01'!C24),6)=0),(((52-'V06 Calend 01'!C24)/6)&lt;='V06 Calend 01'!E24)),IF((52=('V06 Calend 01'!C24+(6*'V06 Calend 01'!E24))),('V06 Calend 01'!H24-('V06 Calend 01'!I24*('V06 Calend 01'!E24-1))),'V06 Calend 01'!I24),0))+IF((52='V06 Calend 01'!D24),'V06 Calend 01'!J24,0))</f>
        <v>0</v>
      </c>
      <c r="BM24" s="2">
        <f>((IF((53='V06 Calend 01'!C24),('V06 Calend 01'!F24+'V06 Calend 01'!G24),0)+IF(AND(('V06 Calend 01'!E24&gt;0),(53&gt;'V06 Calend 01'!C24),(53&lt;'V06 Calend 01'!D24),(MOD((53-'V06 Calend 01'!C24),6)=0),(((53-'V06 Calend 01'!C24)/6)&lt;='V06 Calend 01'!E24)),IF((53=('V06 Calend 01'!C24+(6*'V06 Calend 01'!E24))),('V06 Calend 01'!H24-('V06 Calend 01'!I24*('V06 Calend 01'!E24-1))),'V06 Calend 01'!I24),0))+IF((53='V06 Calend 01'!D24),'V06 Calend 01'!J24,0))</f>
        <v>0</v>
      </c>
      <c r="BN24" s="2">
        <f>((IF((54='V06 Calend 01'!C24),('V06 Calend 01'!F24+'V06 Calend 01'!G24),0)+IF(AND(('V06 Calend 01'!E24&gt;0),(54&gt;'V06 Calend 01'!C24),(54&lt;'V06 Calend 01'!D24),(MOD((54-'V06 Calend 01'!C24),6)=0),(((54-'V06 Calend 01'!C24)/6)&lt;='V06 Calend 01'!E24)),IF((54=('V06 Calend 01'!C24+(6*'V06 Calend 01'!E24))),('V06 Calend 01'!H24-('V06 Calend 01'!I24*('V06 Calend 01'!E24-1))),'V06 Calend 01'!I24),0))+IF((54='V06 Calend 01'!D24),'V06 Calend 01'!J24,0))</f>
        <v>0</v>
      </c>
      <c r="BO24" s="2">
        <f>((IF((55='V06 Calend 01'!C24),('V06 Calend 01'!F24+'V06 Calend 01'!G24),0)+IF(AND(('V06 Calend 01'!E24&gt;0),(55&gt;'V06 Calend 01'!C24),(55&lt;'V06 Calend 01'!D24),(MOD((55-'V06 Calend 01'!C24),6)=0),(((55-'V06 Calend 01'!C24)/6)&lt;='V06 Calend 01'!E24)),IF((55=('V06 Calend 01'!C24+(6*'V06 Calend 01'!E24))),('V06 Calend 01'!H24-('V06 Calend 01'!I24*('V06 Calend 01'!E24-1))),'V06 Calend 01'!I24),0))+IF((55='V06 Calend 01'!D24),'V06 Calend 01'!J24,0))</f>
        <v>0</v>
      </c>
      <c r="BP24" s="2">
        <f>((IF((56='V06 Calend 01'!C24),('V06 Calend 01'!F24+'V06 Calend 01'!G24),0)+IF(AND(('V06 Calend 01'!E24&gt;0),(56&gt;'V06 Calend 01'!C24),(56&lt;'V06 Calend 01'!D24),(MOD((56-'V06 Calend 01'!C24),6)=0),(((56-'V06 Calend 01'!C24)/6)&lt;='V06 Calend 01'!E24)),IF((56=('V06 Calend 01'!C24+(6*'V06 Calend 01'!E24))),('V06 Calend 01'!H24-('V06 Calend 01'!I24*('V06 Calend 01'!E24-1))),'V06 Calend 01'!I24),0))+IF((56='V06 Calend 01'!D24),'V06 Calend 01'!J24,0))</f>
        <v>0</v>
      </c>
      <c r="BQ24" s="2">
        <f>((IF((57='V06 Calend 01'!C24),('V06 Calend 01'!F24+'V06 Calend 01'!G24),0)+IF(AND(('V06 Calend 01'!E24&gt;0),(57&gt;'V06 Calend 01'!C24),(57&lt;'V06 Calend 01'!D24),(MOD((57-'V06 Calend 01'!C24),6)=0),(((57-'V06 Calend 01'!C24)/6)&lt;='V06 Calend 01'!E24)),IF((57=('V06 Calend 01'!C24+(6*'V06 Calend 01'!E24))),('V06 Calend 01'!H24-('V06 Calend 01'!I24*('V06 Calend 01'!E24-1))),'V06 Calend 01'!I24),0))+IF((57='V06 Calend 01'!D24),'V06 Calend 01'!J24,0))</f>
        <v>0</v>
      </c>
      <c r="BR24" s="2">
        <f>((IF((58='V06 Calend 01'!C24),('V06 Calend 01'!F24+'V06 Calend 01'!G24),0)+IF(AND(('V06 Calend 01'!E24&gt;0),(58&gt;'V06 Calend 01'!C24),(58&lt;'V06 Calend 01'!D24),(MOD((58-'V06 Calend 01'!C24),6)=0),(((58-'V06 Calend 01'!C24)/6)&lt;='V06 Calend 01'!E24)),IF((58=('V06 Calend 01'!C24+(6*'V06 Calend 01'!E24))),('V06 Calend 01'!H24-('V06 Calend 01'!I24*('V06 Calend 01'!E24-1))),'V06 Calend 01'!I24),0))+IF((58='V06 Calend 01'!D24),'V06 Calend 01'!J24,0))</f>
        <v>0</v>
      </c>
      <c r="BS24" s="2">
        <f>((IF((59='V06 Calend 01'!C24),('V06 Calend 01'!F24+'V06 Calend 01'!G24),0)+IF(AND(('V06 Calend 01'!E24&gt;0),(59&gt;'V06 Calend 01'!C24),(59&lt;'V06 Calend 01'!D24),(MOD((59-'V06 Calend 01'!C24),6)=0),(((59-'V06 Calend 01'!C24)/6)&lt;='V06 Calend 01'!E24)),IF((59=('V06 Calend 01'!C24+(6*'V06 Calend 01'!E24))),('V06 Calend 01'!H24-('V06 Calend 01'!I24*('V06 Calend 01'!E24-1))),'V06 Calend 01'!I24),0))+IF((59='V06 Calend 01'!D24),'V06 Calend 01'!J24,0))</f>
        <v>0</v>
      </c>
      <c r="BT24" s="2">
        <f>((IF((60='V06 Calend 01'!C24),('V06 Calend 01'!F24+'V06 Calend 01'!G24),0)+IF(AND(('V06 Calend 01'!E24&gt;0),(60&gt;'V06 Calend 01'!C24),(60&lt;'V06 Calend 01'!D24),(MOD((60-'V06 Calend 01'!C24),6)=0),(((60-'V06 Calend 01'!C24)/6)&lt;='V06 Calend 01'!E24)),IF((60=('V06 Calend 01'!C24+(6*'V06 Calend 01'!E24))),('V06 Calend 01'!H24-('V06 Calend 01'!I24*('V06 Calend 01'!E24-1))),'V06 Calend 01'!I24),0))+IF((60='V06 Calend 01'!D24),'V06 Calend 01'!J24,0))</f>
        <v>0</v>
      </c>
      <c r="BU24" s="2">
        <f>((IF((61='V06 Calend 01'!C24),('V06 Calend 01'!F24+'V06 Calend 01'!G24),0)+IF(AND(('V06 Calend 01'!E24&gt;0),(61&gt;'V06 Calend 01'!C24),(61&lt;'V06 Calend 01'!D24),(MOD((61-'V06 Calend 01'!C24),6)=0),(((61-'V06 Calend 01'!C24)/6)&lt;='V06 Calend 01'!E24)),IF((61=('V06 Calend 01'!C24+(6*'V06 Calend 01'!E24))),('V06 Calend 01'!H24-('V06 Calend 01'!I24*('V06 Calend 01'!E24-1))),'V06 Calend 01'!I24),0))+IF((61='V06 Calend 01'!D24),'V06 Calend 01'!J24,0))</f>
        <v>0</v>
      </c>
      <c r="BV24" s="2">
        <f>((IF((62='V06 Calend 01'!C24),('V06 Calend 01'!F24+'V06 Calend 01'!G24),0)+IF(AND(('V06 Calend 01'!E24&gt;0),(62&gt;'V06 Calend 01'!C24),(62&lt;'V06 Calend 01'!D24),(MOD((62-'V06 Calend 01'!C24),6)=0),(((62-'V06 Calend 01'!C24)/6)&lt;='V06 Calend 01'!E24)),IF((62=('V06 Calend 01'!C24+(6*'V06 Calend 01'!E24))),('V06 Calend 01'!H24-('V06 Calend 01'!I24*('V06 Calend 01'!E24-1))),'V06 Calend 01'!I24),0))+IF((62='V06 Calend 01'!D24),'V06 Calend 01'!J24,0))</f>
        <v>0</v>
      </c>
      <c r="BW24" s="2">
        <f>((IF((63='V06 Calend 01'!C24),('V06 Calend 01'!F24+'V06 Calend 01'!G24),0)+IF(AND(('V06 Calend 01'!E24&gt;0),(63&gt;'V06 Calend 01'!C24),(63&lt;'V06 Calend 01'!D24),(MOD((63-'V06 Calend 01'!C24),6)=0),(((63-'V06 Calend 01'!C24)/6)&lt;='V06 Calend 01'!E24)),IF((63=('V06 Calend 01'!C24+(6*'V06 Calend 01'!E24))),('V06 Calend 01'!H24-('V06 Calend 01'!I24*('V06 Calend 01'!E24-1))),'V06 Calend 01'!I24),0))+IF((63='V06 Calend 01'!D24),'V06 Calend 01'!J24,0))</f>
        <v>0</v>
      </c>
      <c r="BX24" s="2">
        <f>((IF((64='V06 Calend 01'!C24),('V06 Calend 01'!F24+'V06 Calend 01'!G24),0)+IF(AND(('V06 Calend 01'!E24&gt;0),(64&gt;'V06 Calend 01'!C24),(64&lt;'V06 Calend 01'!D24),(MOD((64-'V06 Calend 01'!C24),6)=0),(((64-'V06 Calend 01'!C24)/6)&lt;='V06 Calend 01'!E24)),IF((64=('V06 Calend 01'!C24+(6*'V06 Calend 01'!E24))),('V06 Calend 01'!H24-('V06 Calend 01'!I24*('V06 Calend 01'!E24-1))),'V06 Calend 01'!I24),0))+IF((64='V06 Calend 01'!D24),'V06 Calend 01'!J24,0))</f>
        <v>0</v>
      </c>
      <c r="BY24" s="2">
        <f>((IF((65='V06 Calend 01'!C24),('V06 Calend 01'!F24+'V06 Calend 01'!G24),0)+IF(AND(('V06 Calend 01'!E24&gt;0),(65&gt;'V06 Calend 01'!C24),(65&lt;'V06 Calend 01'!D24),(MOD((65-'V06 Calend 01'!C24),6)=0),(((65-'V06 Calend 01'!C24)/6)&lt;='V06 Calend 01'!E24)),IF((65=('V06 Calend 01'!C24+(6*'V06 Calend 01'!E24))),('V06 Calend 01'!H24-('V06 Calend 01'!I24*('V06 Calend 01'!E24-1))),'V06 Calend 01'!I24),0))+IF((65='V06 Calend 01'!D24),'V06 Calend 01'!J24,0))</f>
        <v>0</v>
      </c>
      <c r="BZ24" s="2">
        <f>((IF((66='V06 Calend 01'!C24),('V06 Calend 01'!F24+'V06 Calend 01'!G24),0)+IF(AND(('V06 Calend 01'!E24&gt;0),(66&gt;'V06 Calend 01'!C24),(66&lt;'V06 Calend 01'!D24),(MOD((66-'V06 Calend 01'!C24),6)=0),(((66-'V06 Calend 01'!C24)/6)&lt;='V06 Calend 01'!E24)),IF((66=('V06 Calend 01'!C24+(6*'V06 Calend 01'!E24))),('V06 Calend 01'!H24-('V06 Calend 01'!I24*('V06 Calend 01'!E24-1))),'V06 Calend 01'!I24),0))+IF((66='V06 Calend 01'!D24),'V06 Calend 01'!J24,0))</f>
        <v>0</v>
      </c>
      <c r="CA24" s="2">
        <f>((IF((67='V06 Calend 01'!C24),('V06 Calend 01'!F24+'V06 Calend 01'!G24),0)+IF(AND(('V06 Calend 01'!E24&gt;0),(67&gt;'V06 Calend 01'!C24),(67&lt;'V06 Calend 01'!D24),(MOD((67-'V06 Calend 01'!C24),6)=0),(((67-'V06 Calend 01'!C24)/6)&lt;='V06 Calend 01'!E24)),IF((67=('V06 Calend 01'!C24+(6*'V06 Calend 01'!E24))),('V06 Calend 01'!H24-('V06 Calend 01'!I24*('V06 Calend 01'!E24-1))),'V06 Calend 01'!I24),0))+IF((67='V06 Calend 01'!D24),'V06 Calend 01'!J24,0))</f>
        <v>0</v>
      </c>
      <c r="CB24" s="2">
        <f>((IF((68='V06 Calend 01'!C24),('V06 Calend 01'!F24+'V06 Calend 01'!G24),0)+IF(AND(('V06 Calend 01'!E24&gt;0),(68&gt;'V06 Calend 01'!C24),(68&lt;'V06 Calend 01'!D24),(MOD((68-'V06 Calend 01'!C24),6)=0),(((68-'V06 Calend 01'!C24)/6)&lt;='V06 Calend 01'!E24)),IF((68=('V06 Calend 01'!C24+(6*'V06 Calend 01'!E24))),('V06 Calend 01'!H24-('V06 Calend 01'!I24*('V06 Calend 01'!E24-1))),'V06 Calend 01'!I24),0))+IF((68='V06 Calend 01'!D24),'V06 Calend 01'!J24,0))</f>
        <v>0</v>
      </c>
      <c r="CC24" s="2">
        <f>((IF((69='V06 Calend 01'!C24),('V06 Calend 01'!F24+'V06 Calend 01'!G24),0)+IF(AND(('V06 Calend 01'!E24&gt;0),(69&gt;'V06 Calend 01'!C24),(69&lt;'V06 Calend 01'!D24),(MOD((69-'V06 Calend 01'!C24),6)=0),(((69-'V06 Calend 01'!C24)/6)&lt;='V06 Calend 01'!E24)),IF((69=('V06 Calend 01'!C24+(6*'V06 Calend 01'!E24))),('V06 Calend 01'!H24-('V06 Calend 01'!I24*('V06 Calend 01'!E24-1))),'V06 Calend 01'!I24),0))+IF((69='V06 Calend 01'!D24),'V06 Calend 01'!J24,0))</f>
        <v>0</v>
      </c>
      <c r="CD24" s="2">
        <f>((IF((70='V06 Calend 01'!C24),('V06 Calend 01'!F24+'V06 Calend 01'!G24),0)+IF(AND(('V06 Calend 01'!E24&gt;0),(70&gt;'V06 Calend 01'!C24),(70&lt;'V06 Calend 01'!D24),(MOD((70-'V06 Calend 01'!C24),6)=0),(((70-'V06 Calend 01'!C24)/6)&lt;='V06 Calend 01'!E24)),IF((70=('V06 Calend 01'!C24+(6*'V06 Calend 01'!E24))),('V06 Calend 01'!H24-('V06 Calend 01'!I24*('V06 Calend 01'!E24-1))),'V06 Calend 01'!I24),0))+IF((70='V06 Calend 01'!D24),'V06 Calend 01'!J24,0))</f>
        <v>0</v>
      </c>
      <c r="CE24" s="2">
        <f>((IF((71='V06 Calend 01'!C24),('V06 Calend 01'!F24+'V06 Calend 01'!G24),0)+IF(AND(('V06 Calend 01'!E24&gt;0),(71&gt;'V06 Calend 01'!C24),(71&lt;'V06 Calend 01'!D24),(MOD((71-'V06 Calend 01'!C24),6)=0),(((71-'V06 Calend 01'!C24)/6)&lt;='V06 Calend 01'!E24)),IF((71=('V06 Calend 01'!C24+(6*'V06 Calend 01'!E24))),('V06 Calend 01'!H24-('V06 Calend 01'!I24*('V06 Calend 01'!E24-1))),'V06 Calend 01'!I24),0))+IF((71='V06 Calend 01'!D24),'V06 Calend 01'!J24,0))</f>
        <v>0</v>
      </c>
      <c r="CF24" s="2">
        <f>((IF((72='V06 Calend 01'!C24),('V06 Calend 01'!F24+'V06 Calend 01'!G24),0)+IF(AND(('V06 Calend 01'!E24&gt;0),(72&gt;'V06 Calend 01'!C24),(72&lt;'V06 Calend 01'!D24),(MOD((72-'V06 Calend 01'!C24),6)=0),(((72-'V06 Calend 01'!C24)/6)&lt;='V06 Calend 01'!E24)),IF((72=('V06 Calend 01'!C24+(6*'V06 Calend 01'!E24))),('V06 Calend 01'!H24-('V06 Calend 01'!I24*('V06 Calend 01'!E24-1))),'V06 Calend 01'!I24),0))+IF((72='V06 Calend 01'!D24),'V06 Calend 01'!J24,0))</f>
        <v>0</v>
      </c>
      <c r="CG24" s="2">
        <f>((IF((73='V06 Calend 01'!C24),('V06 Calend 01'!F24+'V06 Calend 01'!G24),0)+IF(AND(('V06 Calend 01'!E24&gt;0),(73&gt;'V06 Calend 01'!C24),(73&lt;'V06 Calend 01'!D24),(MOD((73-'V06 Calend 01'!C24),6)=0),(((73-'V06 Calend 01'!C24)/6)&lt;='V06 Calend 01'!E24)),IF((73=('V06 Calend 01'!C24+(6*'V06 Calend 01'!E24))),('V06 Calend 01'!H24-('V06 Calend 01'!I24*('V06 Calend 01'!E24-1))),'V06 Calend 01'!I24),0))+IF((73='V06 Calend 01'!D24),'V06 Calend 01'!J24,0))</f>
        <v>0</v>
      </c>
      <c r="CH24" s="2">
        <f>((IF((74='V06 Calend 01'!C24),('V06 Calend 01'!F24+'V06 Calend 01'!G24),0)+IF(AND(('V06 Calend 01'!E24&gt;0),(74&gt;'V06 Calend 01'!C24),(74&lt;'V06 Calend 01'!D24),(MOD((74-'V06 Calend 01'!C24),6)=0),(((74-'V06 Calend 01'!C24)/6)&lt;='V06 Calend 01'!E24)),IF((74=('V06 Calend 01'!C24+(6*'V06 Calend 01'!E24))),('V06 Calend 01'!H24-('V06 Calend 01'!I24*('V06 Calend 01'!E24-1))),'V06 Calend 01'!I24),0))+IF((74='V06 Calend 01'!D24),'V06 Calend 01'!J24,0))</f>
        <v>0</v>
      </c>
      <c r="CI24" s="2">
        <f>((IF((75='V06 Calend 01'!C24),('V06 Calend 01'!F24+'V06 Calend 01'!G24),0)+IF(AND(('V06 Calend 01'!E24&gt;0),(75&gt;'V06 Calend 01'!C24),(75&lt;'V06 Calend 01'!D24),(MOD((75-'V06 Calend 01'!C24),6)=0),(((75-'V06 Calend 01'!C24)/6)&lt;='V06 Calend 01'!E24)),IF((75=('V06 Calend 01'!C24+(6*'V06 Calend 01'!E24))),('V06 Calend 01'!H24-('V06 Calend 01'!I24*('V06 Calend 01'!E24-1))),'V06 Calend 01'!I24),0))+IF((75='V06 Calend 01'!D24),'V06 Calend 01'!J24,0))</f>
        <v>0</v>
      </c>
      <c r="CJ24" s="2">
        <f>((IF((76='V06 Calend 01'!C24),('V06 Calend 01'!F24+'V06 Calend 01'!G24),0)+IF(AND(('V06 Calend 01'!E24&gt;0),(76&gt;'V06 Calend 01'!C24),(76&lt;'V06 Calend 01'!D24),(MOD((76-'V06 Calend 01'!C24),6)=0),(((76-'V06 Calend 01'!C24)/6)&lt;='V06 Calend 01'!E24)),IF((76=('V06 Calend 01'!C24+(6*'V06 Calend 01'!E24))),('V06 Calend 01'!H24-('V06 Calend 01'!I24*('V06 Calend 01'!E24-1))),'V06 Calend 01'!I24),0))+IF((76='V06 Calend 01'!D24),'V06 Calend 01'!J24,0))</f>
        <v>0</v>
      </c>
      <c r="CK24" s="2">
        <f>((IF((77='V06 Calend 01'!C24),('V06 Calend 01'!F24+'V06 Calend 01'!G24),0)+IF(AND(('V06 Calend 01'!E24&gt;0),(77&gt;'V06 Calend 01'!C24),(77&lt;'V06 Calend 01'!D24),(MOD((77-'V06 Calend 01'!C24),6)=0),(((77-'V06 Calend 01'!C24)/6)&lt;='V06 Calend 01'!E24)),IF((77=('V06 Calend 01'!C24+(6*'V06 Calend 01'!E24))),('V06 Calend 01'!H24-('V06 Calend 01'!I24*('V06 Calend 01'!E24-1))),'V06 Calend 01'!I24),0))+IF((77='V06 Calend 01'!D24),'V06 Calend 01'!J24,0))</f>
        <v>0</v>
      </c>
      <c r="CL24" s="2">
        <f>((IF((78='V06 Calend 01'!C24),('V06 Calend 01'!F24+'V06 Calend 01'!G24),0)+IF(AND(('V06 Calend 01'!E24&gt;0),(78&gt;'V06 Calend 01'!C24),(78&lt;'V06 Calend 01'!D24),(MOD((78-'V06 Calend 01'!C24),6)=0),(((78-'V06 Calend 01'!C24)/6)&lt;='V06 Calend 01'!E24)),IF((78=('V06 Calend 01'!C24+(6*'V06 Calend 01'!E24))),('V06 Calend 01'!H24-('V06 Calend 01'!I24*('V06 Calend 01'!E24-1))),'V06 Calend 01'!I24),0))+IF((78='V06 Calend 01'!D24),'V06 Calend 01'!J24,0))</f>
        <v>0</v>
      </c>
      <c r="CM24" s="2">
        <f>((IF((79='V06 Calend 01'!C24),('V06 Calend 01'!F24+'V06 Calend 01'!G24),0)+IF(AND(('V06 Calend 01'!E24&gt;0),(79&gt;'V06 Calend 01'!C24),(79&lt;'V06 Calend 01'!D24),(MOD((79-'V06 Calend 01'!C24),6)=0),(((79-'V06 Calend 01'!C24)/6)&lt;='V06 Calend 01'!E24)),IF((79=('V06 Calend 01'!C24+(6*'V06 Calend 01'!E24))),('V06 Calend 01'!H24-('V06 Calend 01'!I24*('V06 Calend 01'!E24-1))),'V06 Calend 01'!I24),0))+IF((79='V06 Calend 01'!D24),'V06 Calend 01'!J24,0))</f>
        <v>0</v>
      </c>
      <c r="CN24" s="2">
        <f>((IF((80='V06 Calend 01'!C24),('V06 Calend 01'!F24+'V06 Calend 01'!G24),0)+IF(AND(('V06 Calend 01'!E24&gt;0),(80&gt;'V06 Calend 01'!C24),(80&lt;'V06 Calend 01'!D24),(MOD((80-'V06 Calend 01'!C24),6)=0),(((80-'V06 Calend 01'!C24)/6)&lt;='V06 Calend 01'!E24)),IF((80=('V06 Calend 01'!C24+(6*'V06 Calend 01'!E24))),('V06 Calend 01'!H24-('V06 Calend 01'!I24*('V06 Calend 01'!E24-1))),'V06 Calend 01'!I24),0))+IF((80='V06 Calend 01'!D24),'V06 Calend 01'!J24,0))</f>
        <v>0</v>
      </c>
      <c r="CO24" s="2">
        <f>((IF((81='V06 Calend 01'!C24),('V06 Calend 01'!F24+'V06 Calend 01'!G24),0)+IF(AND(('V06 Calend 01'!E24&gt;0),(81&gt;'V06 Calend 01'!C24),(81&lt;'V06 Calend 01'!D24),(MOD((81-'V06 Calend 01'!C24),6)=0),(((81-'V06 Calend 01'!C24)/6)&lt;='V06 Calend 01'!E24)),IF((81=('V06 Calend 01'!C24+(6*'V06 Calend 01'!E24))),('V06 Calend 01'!H24-('V06 Calend 01'!I24*('V06 Calend 01'!E24-1))),'V06 Calend 01'!I24),0))+IF((81='V06 Calend 01'!D24),'V06 Calend 01'!J24,0))</f>
        <v>0</v>
      </c>
      <c r="CP24" s="2">
        <f>((IF((82='V06 Calend 01'!C24),('V06 Calend 01'!F24+'V06 Calend 01'!G24),0)+IF(AND(('V06 Calend 01'!E24&gt;0),(82&gt;'V06 Calend 01'!C24),(82&lt;'V06 Calend 01'!D24),(MOD((82-'V06 Calend 01'!C24),6)=0),(((82-'V06 Calend 01'!C24)/6)&lt;='V06 Calend 01'!E24)),IF((82=('V06 Calend 01'!C24+(6*'V06 Calend 01'!E24))),('V06 Calend 01'!H24-('V06 Calend 01'!I24*('V06 Calend 01'!E24-1))),'V06 Calend 01'!I24),0))+IF((82='V06 Calend 01'!D24),'V06 Calend 01'!J24,0))</f>
        <v>0</v>
      </c>
      <c r="CQ24" s="2">
        <f>((IF((83='V06 Calend 01'!C24),('V06 Calend 01'!F24+'V06 Calend 01'!G24),0)+IF(AND(('V06 Calend 01'!E24&gt;0),(83&gt;'V06 Calend 01'!C24),(83&lt;'V06 Calend 01'!D24),(MOD((83-'V06 Calend 01'!C24),6)=0),(((83-'V06 Calend 01'!C24)/6)&lt;='V06 Calend 01'!E24)),IF((83=('V06 Calend 01'!C24+(6*'V06 Calend 01'!E24))),('V06 Calend 01'!H24-('V06 Calend 01'!I24*('V06 Calend 01'!E24-1))),'V06 Calend 01'!I24),0))+IF((83='V06 Calend 01'!D24),'V06 Calend 01'!J24,0))</f>
        <v>0</v>
      </c>
      <c r="CR24" s="2">
        <f>((IF((84='V06 Calend 01'!C24),('V06 Calend 01'!F24+'V06 Calend 01'!G24),0)+IF(AND(('V06 Calend 01'!E24&gt;0),(84&gt;'V06 Calend 01'!C24),(84&lt;'V06 Calend 01'!D24),(MOD((84-'V06 Calend 01'!C24),6)=0),(((84-'V06 Calend 01'!C24)/6)&lt;='V06 Calend 01'!E24)),IF((84=('V06 Calend 01'!C24+(6*'V06 Calend 01'!E24))),('V06 Calend 01'!H24-('V06 Calend 01'!I24*('V06 Calend 01'!E24-1))),'V06 Calend 01'!I24),0))+IF((84='V06 Calend 01'!D24),'V06 Calend 01'!J24,0))</f>
        <v>0</v>
      </c>
      <c r="CS24" s="2">
        <f>((IF((85='V06 Calend 01'!C24),('V06 Calend 01'!F24+'V06 Calend 01'!G24),0)+IF(AND(('V06 Calend 01'!E24&gt;0),(85&gt;'V06 Calend 01'!C24),(85&lt;'V06 Calend 01'!D24),(MOD((85-'V06 Calend 01'!C24),6)=0),(((85-'V06 Calend 01'!C24)/6)&lt;='V06 Calend 01'!E24)),IF((85=('V06 Calend 01'!C24+(6*'V06 Calend 01'!E24))),('V06 Calend 01'!H24-('V06 Calend 01'!I24*('V06 Calend 01'!E24-1))),'V06 Calend 01'!I24),0))+IF((85='V06 Calend 01'!D24),'V06 Calend 01'!J24,0))</f>
        <v>0</v>
      </c>
      <c r="CT24" s="2">
        <f>((IF((86='V06 Calend 01'!C24),('V06 Calend 01'!F24+'V06 Calend 01'!G24),0)+IF(AND(('V06 Calend 01'!E24&gt;0),(86&gt;'V06 Calend 01'!C24),(86&lt;'V06 Calend 01'!D24),(MOD((86-'V06 Calend 01'!C24),6)=0),(((86-'V06 Calend 01'!C24)/6)&lt;='V06 Calend 01'!E24)),IF((86=('V06 Calend 01'!C24+(6*'V06 Calend 01'!E24))),('V06 Calend 01'!H24-('V06 Calend 01'!I24*('V06 Calend 01'!E24-1))),'V06 Calend 01'!I24),0))+IF((86='V06 Calend 01'!D24),'V06 Calend 01'!J24,0))</f>
        <v>0</v>
      </c>
      <c r="CU24" s="2">
        <f>((IF((87='V06 Calend 01'!C24),('V06 Calend 01'!F24+'V06 Calend 01'!G24),0)+IF(AND(('V06 Calend 01'!E24&gt;0),(87&gt;'V06 Calend 01'!C24),(87&lt;'V06 Calend 01'!D24),(MOD((87-'V06 Calend 01'!C24),6)=0),(((87-'V06 Calend 01'!C24)/6)&lt;='V06 Calend 01'!E24)),IF((87=('V06 Calend 01'!C24+(6*'V06 Calend 01'!E24))),('V06 Calend 01'!H24-('V06 Calend 01'!I24*('V06 Calend 01'!E24-1))),'V06 Calend 01'!I24),0))+IF((87='V06 Calend 01'!D24),'V06 Calend 01'!J24,0))</f>
        <v>0</v>
      </c>
      <c r="CV24" s="2">
        <f>((IF((88='V06 Calend 01'!C24),('V06 Calend 01'!F24+'V06 Calend 01'!G24),0)+IF(AND(('V06 Calend 01'!E24&gt;0),(88&gt;'V06 Calend 01'!C24),(88&lt;'V06 Calend 01'!D24),(MOD((88-'V06 Calend 01'!C24),6)=0),(((88-'V06 Calend 01'!C24)/6)&lt;='V06 Calend 01'!E24)),IF((88=('V06 Calend 01'!C24+(6*'V06 Calend 01'!E24))),('V06 Calend 01'!H24-('V06 Calend 01'!I24*('V06 Calend 01'!E24-1))),'V06 Calend 01'!I24),0))+IF((88='V06 Calend 01'!D24),'V06 Calend 01'!J24,0))</f>
        <v>0</v>
      </c>
      <c r="CW24" s="2">
        <f>((IF((89='V06 Calend 01'!C24),('V06 Calend 01'!F24+'V06 Calend 01'!G24),0)+IF(AND(('V06 Calend 01'!E24&gt;0),(89&gt;'V06 Calend 01'!C24),(89&lt;'V06 Calend 01'!D24),(MOD((89-'V06 Calend 01'!C24),6)=0),(((89-'V06 Calend 01'!C24)/6)&lt;='V06 Calend 01'!E24)),IF((89=('V06 Calend 01'!C24+(6*'V06 Calend 01'!E24))),('V06 Calend 01'!H24-('V06 Calend 01'!I24*('V06 Calend 01'!E24-1))),'V06 Calend 01'!I24),0))+IF((89='V06 Calend 01'!D24),'V06 Calend 01'!J24,0))</f>
        <v>0</v>
      </c>
      <c r="CX24" s="2">
        <f>((IF((90='V06 Calend 01'!C24),('V06 Calend 01'!F24+'V06 Calend 01'!G24),0)+IF(AND(('V06 Calend 01'!E24&gt;0),(90&gt;'V06 Calend 01'!C24),(90&lt;'V06 Calend 01'!D24),(MOD((90-'V06 Calend 01'!C24),6)=0),(((90-'V06 Calend 01'!C24)/6)&lt;='V06 Calend 01'!E24)),IF((90=('V06 Calend 01'!C24+(6*'V06 Calend 01'!E24))),('V06 Calend 01'!H24-('V06 Calend 01'!I24*('V06 Calend 01'!E24-1))),'V06 Calend 01'!I24),0))+IF((90='V06 Calend 01'!D24),'V06 Calend 01'!J24,0))</f>
        <v>0</v>
      </c>
      <c r="CY24" s="2">
        <f>((IF((91='V06 Calend 01'!C24),('V06 Calend 01'!F24+'V06 Calend 01'!G24),0)+IF(AND(('V06 Calend 01'!E24&gt;0),(91&gt;'V06 Calend 01'!C24),(91&lt;'V06 Calend 01'!D24),(MOD((91-'V06 Calend 01'!C24),6)=0),(((91-'V06 Calend 01'!C24)/6)&lt;='V06 Calend 01'!E24)),IF((91=('V06 Calend 01'!C24+(6*'V06 Calend 01'!E24))),('V06 Calend 01'!H24-('V06 Calend 01'!I24*('V06 Calend 01'!E24-1))),'V06 Calend 01'!I24),0))+IF((91='V06 Calend 01'!D24),'V06 Calend 01'!J24,0))</f>
        <v>0</v>
      </c>
      <c r="CZ24" s="2">
        <f>((IF((92='V06 Calend 01'!C24),('V06 Calend 01'!F24+'V06 Calend 01'!G24),0)+IF(AND(('V06 Calend 01'!E24&gt;0),(92&gt;'V06 Calend 01'!C24),(92&lt;'V06 Calend 01'!D24),(MOD((92-'V06 Calend 01'!C24),6)=0),(((92-'V06 Calend 01'!C24)/6)&lt;='V06 Calend 01'!E24)),IF((92=('V06 Calend 01'!C24+(6*'V06 Calend 01'!E24))),('V06 Calend 01'!H24-('V06 Calend 01'!I24*('V06 Calend 01'!E24-1))),'V06 Calend 01'!I24),0))+IF((92='V06 Calend 01'!D24),'V06 Calend 01'!J24,0))</f>
        <v>0</v>
      </c>
      <c r="DA24" s="2">
        <f>((IF((93='V06 Calend 01'!C24),('V06 Calend 01'!F24+'V06 Calend 01'!G24),0)+IF(AND(('V06 Calend 01'!E24&gt;0),(93&gt;'V06 Calend 01'!C24),(93&lt;'V06 Calend 01'!D24),(MOD((93-'V06 Calend 01'!C24),6)=0),(((93-'V06 Calend 01'!C24)/6)&lt;='V06 Calend 01'!E24)),IF((93=('V06 Calend 01'!C24+(6*'V06 Calend 01'!E24))),('V06 Calend 01'!H24-('V06 Calend 01'!I24*('V06 Calend 01'!E24-1))),'V06 Calend 01'!I24),0))+IF((93='V06 Calend 01'!D24),'V06 Calend 01'!J24,0))</f>
        <v>0</v>
      </c>
      <c r="DB24" s="2">
        <f>((IF((94='V06 Calend 01'!C24),('V06 Calend 01'!F24+'V06 Calend 01'!G24),0)+IF(AND(('V06 Calend 01'!E24&gt;0),(94&gt;'V06 Calend 01'!C24),(94&lt;'V06 Calend 01'!D24),(MOD((94-'V06 Calend 01'!C24),6)=0),(((94-'V06 Calend 01'!C24)/6)&lt;='V06 Calend 01'!E24)),IF((94=('V06 Calend 01'!C24+(6*'V06 Calend 01'!E24))),('V06 Calend 01'!H24-('V06 Calend 01'!I24*('V06 Calend 01'!E24-1))),'V06 Calend 01'!I24),0))+IF((94='V06 Calend 01'!D24),'V06 Calend 01'!J24,0))</f>
        <v>0</v>
      </c>
      <c r="DC24" s="2">
        <f>((IF((95='V06 Calend 01'!C24),('V06 Calend 01'!F24+'V06 Calend 01'!G24),0)+IF(AND(('V06 Calend 01'!E24&gt;0),(95&gt;'V06 Calend 01'!C24),(95&lt;'V06 Calend 01'!D24),(MOD((95-'V06 Calend 01'!C24),6)=0),(((95-'V06 Calend 01'!C24)/6)&lt;='V06 Calend 01'!E24)),IF((95=('V06 Calend 01'!C24+(6*'V06 Calend 01'!E24))),('V06 Calend 01'!H24-('V06 Calend 01'!I24*('V06 Calend 01'!E24-1))),'V06 Calend 01'!I24),0))+IF((95='V06 Calend 01'!D24),'V06 Calend 01'!J24,0))</f>
        <v>0</v>
      </c>
      <c r="DD24" s="2">
        <f>((IF((96='V06 Calend 01'!C24),('V06 Calend 01'!F24+'V06 Calend 01'!G24),0)+IF(AND(('V06 Calend 01'!E24&gt;0),(96&gt;'V06 Calend 01'!C24),(96&lt;'V06 Calend 01'!D24),(MOD((96-'V06 Calend 01'!C24),6)=0),(((96-'V06 Calend 01'!C24)/6)&lt;='V06 Calend 01'!E24)),IF((96=('V06 Calend 01'!C24+(6*'V06 Calend 01'!E24))),('V06 Calend 01'!H24-('V06 Calend 01'!I24*('V06 Calend 01'!E24-1))),'V06 Calend 01'!I24),0))+IF((96='V06 Calend 01'!D24),'V06 Calend 01'!J24,0))</f>
        <v>0</v>
      </c>
      <c r="DE24" s="2">
        <f>((IF((97='V06 Calend 01'!C24),('V06 Calend 01'!F24+'V06 Calend 01'!G24),0)+IF(AND(('V06 Calend 01'!E24&gt;0),(97&gt;'V06 Calend 01'!C24),(97&lt;'V06 Calend 01'!D24),(MOD((97-'V06 Calend 01'!C24),6)=0),(((97-'V06 Calend 01'!C24)/6)&lt;='V06 Calend 01'!E24)),IF((97=('V06 Calend 01'!C24+(6*'V06 Calend 01'!E24))),('V06 Calend 01'!H24-('V06 Calend 01'!I24*('V06 Calend 01'!E24-1))),'V06 Calend 01'!I24),0))+IF((97='V06 Calend 01'!D24),'V06 Calend 01'!J24,0))</f>
        <v>0</v>
      </c>
      <c r="DF24" s="2">
        <f>((IF((98='V06 Calend 01'!C24),('V06 Calend 01'!F24+'V06 Calend 01'!G24),0)+IF(AND(('V06 Calend 01'!E24&gt;0),(98&gt;'V06 Calend 01'!C24),(98&lt;'V06 Calend 01'!D24),(MOD((98-'V06 Calend 01'!C24),6)=0),(((98-'V06 Calend 01'!C24)/6)&lt;='V06 Calend 01'!E24)),IF((98=('V06 Calend 01'!C24+(6*'V06 Calend 01'!E24))),('V06 Calend 01'!H24-('V06 Calend 01'!I24*('V06 Calend 01'!E24-1))),'V06 Calend 01'!I24),0))+IF((98='V06 Calend 01'!D24),'V06 Calend 01'!J24,0))</f>
        <v>0</v>
      </c>
      <c r="DG24" s="2">
        <f>((IF((99='V06 Calend 01'!C24),('V06 Calend 01'!F24+'V06 Calend 01'!G24),0)+IF(AND(('V06 Calend 01'!E24&gt;0),(99&gt;'V06 Calend 01'!C24),(99&lt;'V06 Calend 01'!D24),(MOD((99-'V06 Calend 01'!C24),6)=0),(((99-'V06 Calend 01'!C24)/6)&lt;='V06 Calend 01'!E24)),IF((99=('V06 Calend 01'!C24+(6*'V06 Calend 01'!E24))),('V06 Calend 01'!H24-('V06 Calend 01'!I24*('V06 Calend 01'!E24-1))),'V06 Calend 01'!I24),0))+IF((99='V06 Calend 01'!D24),'V06 Calend 01'!J24,0))</f>
        <v>0</v>
      </c>
      <c r="DH24" s="2">
        <f>((IF((100='V06 Calend 01'!C24),('V06 Calend 01'!F24+'V06 Calend 01'!G24),0)+IF(AND(('V06 Calend 01'!E24&gt;0),(100&gt;'V06 Calend 01'!C24),(100&lt;'V06 Calend 01'!D24),(MOD((100-'V06 Calend 01'!C24),6)=0),(((100-'V06 Calend 01'!C24)/6)&lt;='V06 Calend 01'!E24)),IF((100=('V06 Calend 01'!C24+(6*'V06 Calend 01'!E24))),('V06 Calend 01'!H24-('V06 Calend 01'!I24*('V06 Calend 01'!E24-1))),'V06 Calend 01'!I24),0))+IF((100='V06 Calend 01'!D24),'V06 Calend 01'!J24,0))</f>
        <v>0</v>
      </c>
      <c r="DI24" s="2">
        <f>((IF((101='V06 Calend 01'!C24),('V06 Calend 01'!F24+'V06 Calend 01'!G24),0)+IF(AND(('V06 Calend 01'!E24&gt;0),(101&gt;'V06 Calend 01'!C24),(101&lt;'V06 Calend 01'!D24),(MOD((101-'V06 Calend 01'!C24),6)=0),(((101-'V06 Calend 01'!C24)/6)&lt;='V06 Calend 01'!E24)),IF((101=('V06 Calend 01'!C24+(6*'V06 Calend 01'!E24))),('V06 Calend 01'!H24-('V06 Calend 01'!I24*('V06 Calend 01'!E24-1))),'V06 Calend 01'!I24),0))+IF((101='V06 Calend 01'!D24),'V06 Calend 01'!J24,0))</f>
        <v>0</v>
      </c>
      <c r="DJ24" s="2">
        <f>((IF((102='V06 Calend 01'!C24),('V06 Calend 01'!F24+'V06 Calend 01'!G24),0)+IF(AND(('V06 Calend 01'!E24&gt;0),(102&gt;'V06 Calend 01'!C24),(102&lt;'V06 Calend 01'!D24),(MOD((102-'V06 Calend 01'!C24),6)=0),(((102-'V06 Calend 01'!C24)/6)&lt;='V06 Calend 01'!E24)),IF((102=('V06 Calend 01'!C24+(6*'V06 Calend 01'!E24))),('V06 Calend 01'!H24-('V06 Calend 01'!I24*('V06 Calend 01'!E24-1))),'V06 Calend 01'!I24),0))+IF((102='V06 Calend 01'!D24),'V06 Calend 01'!J24,0))</f>
        <v>0</v>
      </c>
      <c r="DK24" s="2">
        <f>((IF((103='V06 Calend 01'!C24),('V06 Calend 01'!F24+'V06 Calend 01'!G24),0)+IF(AND(('V06 Calend 01'!E24&gt;0),(103&gt;'V06 Calend 01'!C24),(103&lt;'V06 Calend 01'!D24),(MOD((103-'V06 Calend 01'!C24),6)=0),(((103-'V06 Calend 01'!C24)/6)&lt;='V06 Calend 01'!E24)),IF((103=('V06 Calend 01'!C24+(6*'V06 Calend 01'!E24))),('V06 Calend 01'!H24-('V06 Calend 01'!I24*('V06 Calend 01'!E24-1))),'V06 Calend 01'!I24),0))+IF((103='V06 Calend 01'!D24),'V06 Calend 01'!J24,0))</f>
        <v>0</v>
      </c>
      <c r="DL24" s="2">
        <f>((IF((104='V06 Calend 01'!C24),('V06 Calend 01'!F24+'V06 Calend 01'!G24),0)+IF(AND(('V06 Calend 01'!E24&gt;0),(104&gt;'V06 Calend 01'!C24),(104&lt;'V06 Calend 01'!D24),(MOD((104-'V06 Calend 01'!C24),6)=0),(((104-'V06 Calend 01'!C24)/6)&lt;='V06 Calend 01'!E24)),IF((104=('V06 Calend 01'!C24+(6*'V06 Calend 01'!E24))),('V06 Calend 01'!H24-('V06 Calend 01'!I24*('V06 Calend 01'!E24-1))),'V06 Calend 01'!I24),0))+IF((104='V06 Calend 01'!D24),'V06 Calend 01'!J24,0))</f>
        <v>0</v>
      </c>
      <c r="DM24" s="2">
        <f>((IF((105='V06 Calend 01'!C24),('V06 Calend 01'!F24+'V06 Calend 01'!G24),0)+IF(AND(('V06 Calend 01'!E24&gt;0),(105&gt;'V06 Calend 01'!C24),(105&lt;'V06 Calend 01'!D24),(MOD((105-'V06 Calend 01'!C24),6)=0),(((105-'V06 Calend 01'!C24)/6)&lt;='V06 Calend 01'!E24)),IF((105=('V06 Calend 01'!C24+(6*'V06 Calend 01'!E24))),('V06 Calend 01'!H24-('V06 Calend 01'!I24*('V06 Calend 01'!E24-1))),'V06 Calend 01'!I24),0))+IF((105='V06 Calend 01'!D24),'V06 Calend 01'!J24,0))</f>
        <v>0</v>
      </c>
      <c r="DN24" s="2">
        <f>((IF((106='V06 Calend 01'!C24),('V06 Calend 01'!F24+'V06 Calend 01'!G24),0)+IF(AND(('V06 Calend 01'!E24&gt;0),(106&gt;'V06 Calend 01'!C24),(106&lt;'V06 Calend 01'!D24),(MOD((106-'V06 Calend 01'!C24),6)=0),(((106-'V06 Calend 01'!C24)/6)&lt;='V06 Calend 01'!E24)),IF((106=('V06 Calend 01'!C24+(6*'V06 Calend 01'!E24))),('V06 Calend 01'!H24-('V06 Calend 01'!I24*('V06 Calend 01'!E24-1))),'V06 Calend 01'!I24),0))+IF((106='V06 Calend 01'!D24),'V06 Calend 01'!J24,0))</f>
        <v>0</v>
      </c>
      <c r="DO24" s="2">
        <f>((IF((107='V06 Calend 01'!C24),('V06 Calend 01'!F24+'V06 Calend 01'!G24),0)+IF(AND(('V06 Calend 01'!E24&gt;0),(107&gt;'V06 Calend 01'!C24),(107&lt;'V06 Calend 01'!D24),(MOD((107-'V06 Calend 01'!C24),6)=0),(((107-'V06 Calend 01'!C24)/6)&lt;='V06 Calend 01'!E24)),IF((107=('V06 Calend 01'!C24+(6*'V06 Calend 01'!E24))),('V06 Calend 01'!H24-('V06 Calend 01'!I24*('V06 Calend 01'!E24-1))),'V06 Calend 01'!I24),0))+IF((107='V06 Calend 01'!D24),'V06 Calend 01'!J24,0))</f>
        <v>0</v>
      </c>
      <c r="DP24" s="2">
        <f>((IF((108='V06 Calend 01'!C24),('V06 Calend 01'!F24+'V06 Calend 01'!G24),0)+IF(AND(('V06 Calend 01'!E24&gt;0),(108&gt;'V06 Calend 01'!C24),(108&lt;'V06 Calend 01'!D24),(MOD((108-'V06 Calend 01'!C24),6)=0),(((108-'V06 Calend 01'!C24)/6)&lt;='V06 Calend 01'!E24)),IF((108=('V06 Calend 01'!C24+(6*'V06 Calend 01'!E24))),('V06 Calend 01'!H24-('V06 Calend 01'!I24*('V06 Calend 01'!E24-1))),'V06 Calend 01'!I24),0))+IF((108='V06 Calend 01'!D24),'V06 Calend 01'!J24,0))</f>
        <v>0</v>
      </c>
      <c r="DQ24" s="2">
        <f>((IF((109='V06 Calend 01'!C24),('V06 Calend 01'!F24+'V06 Calend 01'!G24),0)+IF(AND(('V06 Calend 01'!E24&gt;0),(109&gt;'V06 Calend 01'!C24),(109&lt;'V06 Calend 01'!D24),(MOD((109-'V06 Calend 01'!C24),6)=0),(((109-'V06 Calend 01'!C24)/6)&lt;='V06 Calend 01'!E24)),IF((109=('V06 Calend 01'!C24+(6*'V06 Calend 01'!E24))),('V06 Calend 01'!H24-('V06 Calend 01'!I24*('V06 Calend 01'!E24-1))),'V06 Calend 01'!I24),0))+IF((109='V06 Calend 01'!D24),'V06 Calend 01'!J24,0))</f>
        <v>0</v>
      </c>
      <c r="DR24" s="2">
        <f>((IF((110='V06 Calend 01'!C24),('V06 Calend 01'!F24+'V06 Calend 01'!G24),0)+IF(AND(('V06 Calend 01'!E24&gt;0),(110&gt;'V06 Calend 01'!C24),(110&lt;'V06 Calend 01'!D24),(MOD((110-'V06 Calend 01'!C24),6)=0),(((110-'V06 Calend 01'!C24)/6)&lt;='V06 Calend 01'!E24)),IF((110=('V06 Calend 01'!C24+(6*'V06 Calend 01'!E24))),('V06 Calend 01'!H24-('V06 Calend 01'!I24*('V06 Calend 01'!E24-1))),'V06 Calend 01'!I24),0))+IF((110='V06 Calend 01'!D24),'V06 Calend 01'!J24,0))</f>
        <v>0</v>
      </c>
      <c r="DS24" s="2">
        <f>((IF((111='V06 Calend 01'!C24),('V06 Calend 01'!F24+'V06 Calend 01'!G24),0)+IF(AND(('V06 Calend 01'!E24&gt;0),(111&gt;'V06 Calend 01'!C24),(111&lt;'V06 Calend 01'!D24),(MOD((111-'V06 Calend 01'!C24),6)=0),(((111-'V06 Calend 01'!C24)/6)&lt;='V06 Calend 01'!E24)),IF((111=('V06 Calend 01'!C24+(6*'V06 Calend 01'!E24))),('V06 Calend 01'!H24-('V06 Calend 01'!I24*('V06 Calend 01'!E24-1))),'V06 Calend 01'!I24),0))+IF((111='V06 Calend 01'!D24),'V06 Calend 01'!J24,0))</f>
        <v>0</v>
      </c>
      <c r="DT24" s="2">
        <f>((IF((112='V06 Calend 01'!C24),('V06 Calend 01'!F24+'V06 Calend 01'!G24),0)+IF(AND(('V06 Calend 01'!E24&gt;0),(112&gt;'V06 Calend 01'!C24),(112&lt;'V06 Calend 01'!D24),(MOD((112-'V06 Calend 01'!C24),6)=0),(((112-'V06 Calend 01'!C24)/6)&lt;='V06 Calend 01'!E24)),IF((112=('V06 Calend 01'!C24+(6*'V06 Calend 01'!E24))),('V06 Calend 01'!H24-('V06 Calend 01'!I24*('V06 Calend 01'!E24-1))),'V06 Calend 01'!I24),0))+IF((112='V06 Calend 01'!D24),'V06 Calend 01'!J24,0))</f>
        <v>0</v>
      </c>
      <c r="DU24" s="2">
        <f>((IF((113='V06 Calend 01'!C24),('V06 Calend 01'!F24+'V06 Calend 01'!G24),0)+IF(AND(('V06 Calend 01'!E24&gt;0),(113&gt;'V06 Calend 01'!C24),(113&lt;'V06 Calend 01'!D24),(MOD((113-'V06 Calend 01'!C24),6)=0),(((113-'V06 Calend 01'!C24)/6)&lt;='V06 Calend 01'!E24)),IF((113=('V06 Calend 01'!C24+(6*'V06 Calend 01'!E24))),('V06 Calend 01'!H24-('V06 Calend 01'!I24*('V06 Calend 01'!E24-1))),'V06 Calend 01'!I24),0))+IF((113='V06 Calend 01'!D24),'V06 Calend 01'!J24,0))</f>
        <v>0</v>
      </c>
      <c r="DV24" s="2">
        <f>((IF((114='V06 Calend 01'!C24),('V06 Calend 01'!F24+'V06 Calend 01'!G24),0)+IF(AND(('V06 Calend 01'!E24&gt;0),(114&gt;'V06 Calend 01'!C24),(114&lt;'V06 Calend 01'!D24),(MOD((114-'V06 Calend 01'!C24),6)=0),(((114-'V06 Calend 01'!C24)/6)&lt;='V06 Calend 01'!E24)),IF((114=('V06 Calend 01'!C24+(6*'V06 Calend 01'!E24))),('V06 Calend 01'!H24-('V06 Calend 01'!I24*('V06 Calend 01'!E24-1))),'V06 Calend 01'!I24),0))+IF((114='V06 Calend 01'!D24),'V06 Calend 01'!J24,0))</f>
        <v>0</v>
      </c>
      <c r="DW24" s="2">
        <f>((IF((115='V06 Calend 01'!C24),('V06 Calend 01'!F24+'V06 Calend 01'!G24),0)+IF(AND(('V06 Calend 01'!E24&gt;0),(115&gt;'V06 Calend 01'!C24),(115&lt;'V06 Calend 01'!D24),(MOD((115-'V06 Calend 01'!C24),6)=0),(((115-'V06 Calend 01'!C24)/6)&lt;='V06 Calend 01'!E24)),IF((115=('V06 Calend 01'!C24+(6*'V06 Calend 01'!E24))),('V06 Calend 01'!H24-('V06 Calend 01'!I24*('V06 Calend 01'!E24-1))),'V06 Calend 01'!I24),0))+IF((115='V06 Calend 01'!D24),'V06 Calend 01'!J24,0))</f>
        <v>0</v>
      </c>
      <c r="DX24" s="2">
        <f>((IF((116='V06 Calend 01'!C24),('V06 Calend 01'!F24+'V06 Calend 01'!G24),0)+IF(AND(('V06 Calend 01'!E24&gt;0),(116&gt;'V06 Calend 01'!C24),(116&lt;'V06 Calend 01'!D24),(MOD((116-'V06 Calend 01'!C24),6)=0),(((116-'V06 Calend 01'!C24)/6)&lt;='V06 Calend 01'!E24)),IF((116=('V06 Calend 01'!C24+(6*'V06 Calend 01'!E24))),('V06 Calend 01'!H24-('V06 Calend 01'!I24*('V06 Calend 01'!E24-1))),'V06 Calend 01'!I24),0))+IF((116='V06 Calend 01'!D24),'V06 Calend 01'!J24,0))</f>
        <v>0</v>
      </c>
      <c r="DY24" s="2">
        <f>((IF((117='V06 Calend 01'!C24),('V06 Calend 01'!F24+'V06 Calend 01'!G24),0)+IF(AND(('V06 Calend 01'!E24&gt;0),(117&gt;'V06 Calend 01'!C24),(117&lt;'V06 Calend 01'!D24),(MOD((117-'V06 Calend 01'!C24),6)=0),(((117-'V06 Calend 01'!C24)/6)&lt;='V06 Calend 01'!E24)),IF((117=('V06 Calend 01'!C24+(6*'V06 Calend 01'!E24))),('V06 Calend 01'!H24-('V06 Calend 01'!I24*('V06 Calend 01'!E24-1))),'V06 Calend 01'!I24),0))+IF((117='V06 Calend 01'!D24),'V06 Calend 01'!J24,0))</f>
        <v>0</v>
      </c>
      <c r="DZ24" s="2">
        <f>((IF((118='V06 Calend 01'!C24),('V06 Calend 01'!F24+'V06 Calend 01'!G24),0)+IF(AND(('V06 Calend 01'!E24&gt;0),(118&gt;'V06 Calend 01'!C24),(118&lt;'V06 Calend 01'!D24),(MOD((118-'V06 Calend 01'!C24),6)=0),(((118-'V06 Calend 01'!C24)/6)&lt;='V06 Calend 01'!E24)),IF((118=('V06 Calend 01'!C24+(6*'V06 Calend 01'!E24))),('V06 Calend 01'!H24-('V06 Calend 01'!I24*('V06 Calend 01'!E24-1))),'V06 Calend 01'!I24),0))+IF((118='V06 Calend 01'!D24),'V06 Calend 01'!J24,0))</f>
        <v>0</v>
      </c>
      <c r="EA24" s="2">
        <f>((IF((119='V06 Calend 01'!C24),('V06 Calend 01'!F24+'V06 Calend 01'!G24),0)+IF(AND(('V06 Calend 01'!E24&gt;0),(119&gt;'V06 Calend 01'!C24),(119&lt;'V06 Calend 01'!D24),(MOD((119-'V06 Calend 01'!C24),6)=0),(((119-'V06 Calend 01'!C24)/6)&lt;='V06 Calend 01'!E24)),IF((119=('V06 Calend 01'!C24+(6*'V06 Calend 01'!E24))),('V06 Calend 01'!H24-('V06 Calend 01'!I24*('V06 Calend 01'!E24-1))),'V06 Calend 01'!I24),0))+IF((119='V06 Calend 01'!D24),'V06 Calend 01'!J24,0))</f>
        <v>0</v>
      </c>
      <c r="EB24" s="2">
        <f>((IF((120='V06 Calend 01'!C24),('V06 Calend 01'!F24+'V06 Calend 01'!G24),0)+IF(AND(('V06 Calend 01'!E24&gt;0),(120&gt;'V06 Calend 01'!C24),(120&lt;'V06 Calend 01'!D24),(MOD((120-'V06 Calend 01'!C24),6)=0),(((120-'V06 Calend 01'!C24)/6)&lt;='V06 Calend 01'!E24)),IF((120=('V06 Calend 01'!C24+(6*'V06 Calend 01'!E24))),('V06 Calend 01'!H24-('V06 Calend 01'!I24*('V06 Calend 01'!E24-1))),'V06 Calend 01'!I24),0))+IF((120='V06 Calend 01'!D24),'V06 Calend 01'!J24,0))</f>
        <v>0</v>
      </c>
      <c r="EC24" s="2">
        <f>((IF((121='V06 Calend 01'!C24),('V06 Calend 01'!F24+'V06 Calend 01'!G24),0)+IF(AND(('V06 Calend 01'!E24&gt;0),(121&gt;'V06 Calend 01'!C24),(121&lt;'V06 Calend 01'!D24),(MOD((121-'V06 Calend 01'!C24),6)=0),(((121-'V06 Calend 01'!C24)/6)&lt;='V06 Calend 01'!E24)),IF((121=('V06 Calend 01'!C24+(6*'V06 Calend 01'!E24))),('V06 Calend 01'!H24-('V06 Calend 01'!I24*('V06 Calend 01'!E24-1))),'V06 Calend 01'!I24),0))+IF((121='V06 Calend 01'!D24),'V06 Calend 01'!J24,0))</f>
        <v>0</v>
      </c>
      <c r="ED24" s="2">
        <f>((IF((122='V06 Calend 01'!C24),('V06 Calend 01'!F24+'V06 Calend 01'!G24),0)+IF(AND(('V06 Calend 01'!E24&gt;0),(122&gt;'V06 Calend 01'!C24),(122&lt;'V06 Calend 01'!D24),(MOD((122-'V06 Calend 01'!C24),6)=0),(((122-'V06 Calend 01'!C24)/6)&lt;='V06 Calend 01'!E24)),IF((122=('V06 Calend 01'!C24+(6*'V06 Calend 01'!E24))),('V06 Calend 01'!H24-('V06 Calend 01'!I24*('V06 Calend 01'!E24-1))),'V06 Calend 01'!I24),0))+IF((122='V06 Calend 01'!D24),'V06 Calend 01'!J24,0))</f>
        <v>0</v>
      </c>
      <c r="EE24" s="2">
        <f>((IF((123='V06 Calend 01'!C24),('V06 Calend 01'!F24+'V06 Calend 01'!G24),0)+IF(AND(('V06 Calend 01'!E24&gt;0),(123&gt;'V06 Calend 01'!C24),(123&lt;'V06 Calend 01'!D24),(MOD((123-'V06 Calend 01'!C24),6)=0),(((123-'V06 Calend 01'!C24)/6)&lt;='V06 Calend 01'!E24)),IF((123=('V06 Calend 01'!C24+(6*'V06 Calend 01'!E24))),('V06 Calend 01'!H24-('V06 Calend 01'!I24*('V06 Calend 01'!E24-1))),'V06 Calend 01'!I24),0))+IF((123='V06 Calend 01'!D24),'V06 Calend 01'!J24,0))</f>
        <v>0</v>
      </c>
      <c r="EF24" s="2">
        <f>((IF((124='V06 Calend 01'!C24),('V06 Calend 01'!F24+'V06 Calend 01'!G24),0)+IF(AND(('V06 Calend 01'!E24&gt;0),(124&gt;'V06 Calend 01'!C24),(124&lt;'V06 Calend 01'!D24),(MOD((124-'V06 Calend 01'!C24),6)=0),(((124-'V06 Calend 01'!C24)/6)&lt;='V06 Calend 01'!E24)),IF((124=('V06 Calend 01'!C24+(6*'V06 Calend 01'!E24))),('V06 Calend 01'!H24-('V06 Calend 01'!I24*('V06 Calend 01'!E24-1))),'V06 Calend 01'!I24),0))+IF((124='V06 Calend 01'!D24),'V06 Calend 01'!J24,0))</f>
        <v>0</v>
      </c>
      <c r="EG24" s="2">
        <f>((IF((125='V06 Calend 01'!C24),('V06 Calend 01'!F24+'V06 Calend 01'!G24),0)+IF(AND(('V06 Calend 01'!E24&gt;0),(125&gt;'V06 Calend 01'!C24),(125&lt;'V06 Calend 01'!D24),(MOD((125-'V06 Calend 01'!C24),6)=0),(((125-'V06 Calend 01'!C24)/6)&lt;='V06 Calend 01'!E24)),IF((125=('V06 Calend 01'!C24+(6*'V06 Calend 01'!E24))),('V06 Calend 01'!H24-('V06 Calend 01'!I24*('V06 Calend 01'!E24-1))),'V06 Calend 01'!I24),0))+IF((125='V06 Calend 01'!D24),'V06 Calend 01'!J24,0))</f>
        <v>0</v>
      </c>
      <c r="EH24" s="2">
        <f>((IF((126='V06 Calend 01'!C24),('V06 Calend 01'!F24+'V06 Calend 01'!G24),0)+IF(AND(('V06 Calend 01'!E24&gt;0),(126&gt;'V06 Calend 01'!C24),(126&lt;'V06 Calend 01'!D24),(MOD((126-'V06 Calend 01'!C24),6)=0),(((126-'V06 Calend 01'!C24)/6)&lt;='V06 Calend 01'!E24)),IF((126=('V06 Calend 01'!C24+(6*'V06 Calend 01'!E24))),('V06 Calend 01'!H24-('V06 Calend 01'!I24*('V06 Calend 01'!E24-1))),'V06 Calend 01'!I24),0))+IF((126='V06 Calend 01'!D24),'V06 Calend 01'!J24,0))</f>
        <v>0</v>
      </c>
      <c r="EI24" s="2">
        <f>((IF((127='V06 Calend 01'!C24),('V06 Calend 01'!F24+'V06 Calend 01'!G24),0)+IF(AND(('V06 Calend 01'!E24&gt;0),(127&gt;'V06 Calend 01'!C24),(127&lt;'V06 Calend 01'!D24),(MOD((127-'V06 Calend 01'!C24),6)=0),(((127-'V06 Calend 01'!C24)/6)&lt;='V06 Calend 01'!E24)),IF((127=('V06 Calend 01'!C24+(6*'V06 Calend 01'!E24))),('V06 Calend 01'!H24-('V06 Calend 01'!I24*('V06 Calend 01'!E24-1))),'V06 Calend 01'!I24),0))+IF((127='V06 Calend 01'!D24),'V06 Calend 01'!J24,0))</f>
        <v>0</v>
      </c>
      <c r="EJ24" s="2">
        <f>((IF((128='V06 Calend 01'!C24),('V06 Calend 01'!F24+'V06 Calend 01'!G24),0)+IF(AND(('V06 Calend 01'!E24&gt;0),(128&gt;'V06 Calend 01'!C24),(128&lt;'V06 Calend 01'!D24),(MOD((128-'V06 Calend 01'!C24),6)=0),(((128-'V06 Calend 01'!C24)/6)&lt;='V06 Calend 01'!E24)),IF((128=('V06 Calend 01'!C24+(6*'V06 Calend 01'!E24))),('V06 Calend 01'!H24-('V06 Calend 01'!I24*('V06 Calend 01'!E24-1))),'V06 Calend 01'!I24),0))+IF((128='V06 Calend 01'!D24),'V06 Calend 01'!J24,0))</f>
        <v>0</v>
      </c>
      <c r="EK24" s="2">
        <f>((IF((129='V06 Calend 01'!C24),('V06 Calend 01'!F24+'V06 Calend 01'!G24),0)+IF(AND(('V06 Calend 01'!E24&gt;0),(129&gt;'V06 Calend 01'!C24),(129&lt;'V06 Calend 01'!D24),(MOD((129-'V06 Calend 01'!C24),6)=0),(((129-'V06 Calend 01'!C24)/6)&lt;='V06 Calend 01'!E24)),IF((129=('V06 Calend 01'!C24+(6*'V06 Calend 01'!E24))),('V06 Calend 01'!H24-('V06 Calend 01'!I24*('V06 Calend 01'!E24-1))),'V06 Calend 01'!I24),0))+IF((129='V06 Calend 01'!D24),'V06 Calend 01'!J24,0))</f>
        <v>0</v>
      </c>
      <c r="EL24" s="2">
        <f>((IF((130='V06 Calend 01'!C24),('V06 Calend 01'!F24+'V06 Calend 01'!G24),0)+IF(AND(('V06 Calend 01'!E24&gt;0),(130&gt;'V06 Calend 01'!C24),(130&lt;'V06 Calend 01'!D24),(MOD((130-'V06 Calend 01'!C24),6)=0),(((130-'V06 Calend 01'!C24)/6)&lt;='V06 Calend 01'!E24)),IF((130=('V06 Calend 01'!C24+(6*'V06 Calend 01'!E24))),('V06 Calend 01'!H24-('V06 Calend 01'!I24*('V06 Calend 01'!E24-1))),'V06 Calend 01'!I24),0))+IF((130='V06 Calend 01'!D24),'V06 Calend 01'!J24,0))</f>
        <v>0</v>
      </c>
      <c r="EM24" s="2">
        <f>((IF((131='V06 Calend 01'!C24),('V06 Calend 01'!F24+'V06 Calend 01'!G24),0)+IF(AND(('V06 Calend 01'!E24&gt;0),(131&gt;'V06 Calend 01'!C24),(131&lt;'V06 Calend 01'!D24),(MOD((131-'V06 Calend 01'!C24),6)=0),(((131-'V06 Calend 01'!C24)/6)&lt;='V06 Calend 01'!E24)),IF((131=('V06 Calend 01'!C24+(6*'V06 Calend 01'!E24))),('V06 Calend 01'!H24-('V06 Calend 01'!I24*('V06 Calend 01'!E24-1))),'V06 Calend 01'!I24),0))+IF((131='V06 Calend 01'!D24),'V06 Calend 01'!J24,0))</f>
        <v>0</v>
      </c>
      <c r="EN24" s="2">
        <f>((IF((132='V06 Calend 01'!C24),('V06 Calend 01'!F24+'V06 Calend 01'!G24),0)+IF(AND(('V06 Calend 01'!E24&gt;0),(132&gt;'V06 Calend 01'!C24),(132&lt;'V06 Calend 01'!D24),(MOD((132-'V06 Calend 01'!C24),6)=0),(((132-'V06 Calend 01'!C24)/6)&lt;='V06 Calend 01'!E24)),IF((132=('V06 Calend 01'!C24+(6*'V06 Calend 01'!E24))),('V06 Calend 01'!H24-('V06 Calend 01'!I24*('V06 Calend 01'!E24-1))),'V06 Calend 01'!I24),0))+IF((132='V06 Calend 01'!D24),'V06 Calend 01'!J24,0))</f>
        <v>0</v>
      </c>
      <c r="EO24" s="2">
        <f>((IF((133='V06 Calend 01'!C24),('V06 Calend 01'!F24+'V06 Calend 01'!G24),0)+IF(AND(('V06 Calend 01'!E24&gt;0),(133&gt;'V06 Calend 01'!C24),(133&lt;'V06 Calend 01'!D24),(MOD((133-'V06 Calend 01'!C24),6)=0),(((133-'V06 Calend 01'!C24)/6)&lt;='V06 Calend 01'!E24)),IF((133=('V06 Calend 01'!C24+(6*'V06 Calend 01'!E24))),('V06 Calend 01'!H24-('V06 Calend 01'!I24*('V06 Calend 01'!E24-1))),'V06 Calend 01'!I24),0))+IF((133='V06 Calend 01'!D24),'V06 Calend 01'!J24,0))</f>
        <v>0</v>
      </c>
      <c r="EP24" s="2">
        <f>((IF((134='V06 Calend 01'!C24),('V06 Calend 01'!F24+'V06 Calend 01'!G24),0)+IF(AND(('V06 Calend 01'!E24&gt;0),(134&gt;'V06 Calend 01'!C24),(134&lt;'V06 Calend 01'!D24),(MOD((134-'V06 Calend 01'!C24),6)=0),(((134-'V06 Calend 01'!C24)/6)&lt;='V06 Calend 01'!E24)),IF((134=('V06 Calend 01'!C24+(6*'V06 Calend 01'!E24))),('V06 Calend 01'!H24-('V06 Calend 01'!I24*('V06 Calend 01'!E24-1))),'V06 Calend 01'!I24),0))+IF((134='V06 Calend 01'!D24),'V06 Calend 01'!J24,0))</f>
        <v>0</v>
      </c>
      <c r="EQ24" s="2">
        <f>((IF((135='V06 Calend 01'!C24),('V06 Calend 01'!F24+'V06 Calend 01'!G24),0)+IF(AND(('V06 Calend 01'!E24&gt;0),(135&gt;'V06 Calend 01'!C24),(135&lt;'V06 Calend 01'!D24),(MOD((135-'V06 Calend 01'!C24),6)=0),(((135-'V06 Calend 01'!C24)/6)&lt;='V06 Calend 01'!E24)),IF((135=('V06 Calend 01'!C24+(6*'V06 Calend 01'!E24))),('V06 Calend 01'!H24-('V06 Calend 01'!I24*('V06 Calend 01'!E24-1))),'V06 Calend 01'!I24),0))+IF((135='V06 Calend 01'!D24),'V06 Calend 01'!J24,0))</f>
        <v>0</v>
      </c>
      <c r="ER24" s="2">
        <f>((IF((136='V06 Calend 01'!C24),('V06 Calend 01'!F24+'V06 Calend 01'!G24),0)+IF(AND(('V06 Calend 01'!E24&gt;0),(136&gt;'V06 Calend 01'!C24),(136&lt;'V06 Calend 01'!D24),(MOD((136-'V06 Calend 01'!C24),6)=0),(((136-'V06 Calend 01'!C24)/6)&lt;='V06 Calend 01'!E24)),IF((136=('V06 Calend 01'!C24+(6*'V06 Calend 01'!E24))),('V06 Calend 01'!H24-('V06 Calend 01'!I24*('V06 Calend 01'!E24-1))),'V06 Calend 01'!I24),0))+IF((136='V06 Calend 01'!D24),'V06 Calend 01'!J24,0))</f>
        <v>0</v>
      </c>
      <c r="ES24" s="2">
        <f>((IF((137='V06 Calend 01'!C24),('V06 Calend 01'!F24+'V06 Calend 01'!G24),0)+IF(AND(('V06 Calend 01'!E24&gt;0),(137&gt;'V06 Calend 01'!C24),(137&lt;'V06 Calend 01'!D24),(MOD((137-'V06 Calend 01'!C24),6)=0),(((137-'V06 Calend 01'!C24)/6)&lt;='V06 Calend 01'!E24)),IF((137=('V06 Calend 01'!C24+(6*'V06 Calend 01'!E24))),('V06 Calend 01'!H24-('V06 Calend 01'!I24*('V06 Calend 01'!E24-1))),'V06 Calend 01'!I24),0))+IF((137='V06 Calend 01'!D24),'V06 Calend 01'!J24,0))</f>
        <v>0</v>
      </c>
      <c r="ET24" s="2">
        <f>((IF((138='V06 Calend 01'!C24),('V06 Calend 01'!F24+'V06 Calend 01'!G24),0)+IF(AND(('V06 Calend 01'!E24&gt;0),(138&gt;'V06 Calend 01'!C24),(138&lt;'V06 Calend 01'!D24),(MOD((138-'V06 Calend 01'!C24),6)=0),(((138-'V06 Calend 01'!C24)/6)&lt;='V06 Calend 01'!E24)),IF((138=('V06 Calend 01'!C24+(6*'V06 Calend 01'!E24))),('V06 Calend 01'!H24-('V06 Calend 01'!I24*('V06 Calend 01'!E24-1))),'V06 Calend 01'!I24),0))+IF((138='V06 Calend 01'!D24),'V06 Calend 01'!J24,0))</f>
        <v>0</v>
      </c>
      <c r="EU24" s="2">
        <f>((IF((139='V06 Calend 01'!C24),('V06 Calend 01'!F24+'V06 Calend 01'!G24),0)+IF(AND(('V06 Calend 01'!E24&gt;0),(139&gt;'V06 Calend 01'!C24),(139&lt;'V06 Calend 01'!D24),(MOD((139-'V06 Calend 01'!C24),6)=0),(((139-'V06 Calend 01'!C24)/6)&lt;='V06 Calend 01'!E24)),IF((139=('V06 Calend 01'!C24+(6*'V06 Calend 01'!E24))),('V06 Calend 01'!H24-('V06 Calend 01'!I24*('V06 Calend 01'!E24-1))),'V06 Calend 01'!I24),0))+IF((139='V06 Calend 01'!D24),'V06 Calend 01'!J24,0))</f>
        <v>0</v>
      </c>
      <c r="EV24" s="2">
        <f>((IF((140='V06 Calend 01'!C24),('V06 Calend 01'!F24+'V06 Calend 01'!G24),0)+IF(AND(('V06 Calend 01'!E24&gt;0),(140&gt;'V06 Calend 01'!C24),(140&lt;'V06 Calend 01'!D24),(MOD((140-'V06 Calend 01'!C24),6)=0),(((140-'V06 Calend 01'!C24)/6)&lt;='V06 Calend 01'!E24)),IF((140=('V06 Calend 01'!C24+(6*'V06 Calend 01'!E24))),('V06 Calend 01'!H24-('V06 Calend 01'!I24*('V06 Calend 01'!E24-1))),'V06 Calend 01'!I24),0))+IF((140='V06 Calend 01'!D24),'V06 Calend 01'!J24,0))</f>
        <v>0</v>
      </c>
      <c r="EW24" s="2">
        <f>((IF((141='V06 Calend 01'!C24),('V06 Calend 01'!F24+'V06 Calend 01'!G24),0)+IF(AND(('V06 Calend 01'!E24&gt;0),(141&gt;'V06 Calend 01'!C24),(141&lt;'V06 Calend 01'!D24),(MOD((141-'V06 Calend 01'!C24),6)=0),(((141-'V06 Calend 01'!C24)/6)&lt;='V06 Calend 01'!E24)),IF((141=('V06 Calend 01'!C24+(6*'V06 Calend 01'!E24))),('V06 Calend 01'!H24-('V06 Calend 01'!I24*('V06 Calend 01'!E24-1))),'V06 Calend 01'!I24),0))+IF((141='V06 Calend 01'!D24),'V06 Calend 01'!J24,0))</f>
        <v>0</v>
      </c>
      <c r="EX24" s="2">
        <f>((IF((142='V06 Calend 01'!C24),('V06 Calend 01'!F24+'V06 Calend 01'!G24),0)+IF(AND(('V06 Calend 01'!E24&gt;0),(142&gt;'V06 Calend 01'!C24),(142&lt;'V06 Calend 01'!D24),(MOD((142-'V06 Calend 01'!C24),6)=0),(((142-'V06 Calend 01'!C24)/6)&lt;='V06 Calend 01'!E24)),IF((142=('V06 Calend 01'!C24+(6*'V06 Calend 01'!E24))),('V06 Calend 01'!H24-('V06 Calend 01'!I24*('V06 Calend 01'!E24-1))),'V06 Calend 01'!I24),0))+IF((142='V06 Calend 01'!D24),'V06 Calend 01'!J24,0))</f>
        <v>0</v>
      </c>
      <c r="EY24" s="2">
        <f>((IF((143='V06 Calend 01'!C24),('V06 Calend 01'!F24+'V06 Calend 01'!G24),0)+IF(AND(('V06 Calend 01'!E24&gt;0),(143&gt;'V06 Calend 01'!C24),(143&lt;'V06 Calend 01'!D24),(MOD((143-'V06 Calend 01'!C24),6)=0),(((143-'V06 Calend 01'!C24)/6)&lt;='V06 Calend 01'!E24)),IF((143=('V06 Calend 01'!C24+(6*'V06 Calend 01'!E24))),('V06 Calend 01'!H24-('V06 Calend 01'!I24*('V06 Calend 01'!E24-1))),'V06 Calend 01'!I24),0))+IF((143='V06 Calend 01'!D24),'V06 Calend 01'!J24,0))</f>
        <v>0</v>
      </c>
      <c r="EZ24" s="2">
        <f>((IF((144='V06 Calend 01'!C24),('V06 Calend 01'!F24+'V06 Calend 01'!G24),0)+IF(AND(('V06 Calend 01'!E24&gt;0),(144&gt;'V06 Calend 01'!C24),(144&lt;'V06 Calend 01'!D24),(MOD((144-'V06 Calend 01'!C24),6)=0),(((144-'V06 Calend 01'!C24)/6)&lt;='V06 Calend 01'!E24)),IF((144=('V06 Calend 01'!C24+(6*'V06 Calend 01'!E24))),('V06 Calend 01'!H24-('V06 Calend 01'!I24*('V06 Calend 01'!E24-1))),'V06 Calend 01'!I24),0))+IF((144='V06 Calend 01'!D24),'V06 Calend 01'!J24,0))</f>
        <v>0</v>
      </c>
      <c r="FA24" s="2">
        <f>((IF((145='V06 Calend 01'!C24),('V06 Calend 01'!F24+'V06 Calend 01'!G24),0)+IF(AND(('V06 Calend 01'!E24&gt;0),(145&gt;'V06 Calend 01'!C24),(145&lt;'V06 Calend 01'!D24),(MOD((145-'V06 Calend 01'!C24),6)=0),(((145-'V06 Calend 01'!C24)/6)&lt;='V06 Calend 01'!E24)),IF((145=('V06 Calend 01'!C24+(6*'V06 Calend 01'!E24))),('V06 Calend 01'!H24-('V06 Calend 01'!I24*('V06 Calend 01'!E24-1))),'V06 Calend 01'!I24),0))+IF((145='V06 Calend 01'!D24),'V06 Calend 01'!J24,0))</f>
        <v>0</v>
      </c>
      <c r="FB24" s="2">
        <f>((IF((146='V06 Calend 01'!C24),('V06 Calend 01'!F24+'V06 Calend 01'!G24),0)+IF(AND(('V06 Calend 01'!E24&gt;0),(146&gt;'V06 Calend 01'!C24),(146&lt;'V06 Calend 01'!D24),(MOD((146-'V06 Calend 01'!C24),6)=0),(((146-'V06 Calend 01'!C24)/6)&lt;='V06 Calend 01'!E24)),IF((146=('V06 Calend 01'!C24+(6*'V06 Calend 01'!E24))),('V06 Calend 01'!H24-('V06 Calend 01'!I24*('V06 Calend 01'!E24-1))),'V06 Calend 01'!I24),0))+IF((146='V06 Calend 01'!D24),'V06 Calend 01'!J24,0))</f>
        <v>0</v>
      </c>
      <c r="FC24" s="2">
        <f>((IF((147='V06 Calend 01'!C24),('V06 Calend 01'!F24+'V06 Calend 01'!G24),0)+IF(AND(('V06 Calend 01'!E24&gt;0),(147&gt;'V06 Calend 01'!C24),(147&lt;'V06 Calend 01'!D24),(MOD((147-'V06 Calend 01'!C24),6)=0),(((147-'V06 Calend 01'!C24)/6)&lt;='V06 Calend 01'!E24)),IF((147=('V06 Calend 01'!C24+(6*'V06 Calend 01'!E24))),('V06 Calend 01'!H24-('V06 Calend 01'!I24*('V06 Calend 01'!E24-1))),'V06 Calend 01'!I24),0))+IF((147='V06 Calend 01'!D24),'V06 Calend 01'!J24,0))</f>
        <v>0</v>
      </c>
      <c r="FD24" s="2">
        <f>((IF((148='V06 Calend 01'!C24),('V06 Calend 01'!F24+'V06 Calend 01'!G24),0)+IF(AND(('V06 Calend 01'!E24&gt;0),(148&gt;'V06 Calend 01'!C24),(148&lt;'V06 Calend 01'!D24),(MOD((148-'V06 Calend 01'!C24),6)=0),(((148-'V06 Calend 01'!C24)/6)&lt;='V06 Calend 01'!E24)),IF((148=('V06 Calend 01'!C24+(6*'V06 Calend 01'!E24))),('V06 Calend 01'!H24-('V06 Calend 01'!I24*('V06 Calend 01'!E24-1))),'V06 Calend 01'!I24),0))+IF((148='V06 Calend 01'!D24),'V06 Calend 01'!J24,0))</f>
        <v>0</v>
      </c>
      <c r="FE24" s="2">
        <f>((IF((149='V06 Calend 01'!C24),('V06 Calend 01'!F24+'V06 Calend 01'!G24),0)+IF(AND(('V06 Calend 01'!E24&gt;0),(149&gt;'V06 Calend 01'!C24),(149&lt;'V06 Calend 01'!D24),(MOD((149-'V06 Calend 01'!C24),6)=0),(((149-'V06 Calend 01'!C24)/6)&lt;='V06 Calend 01'!E24)),IF((149=('V06 Calend 01'!C24+(6*'V06 Calend 01'!E24))),('V06 Calend 01'!H24-('V06 Calend 01'!I24*('V06 Calend 01'!E24-1))),'V06 Calend 01'!I24),0))+IF((149='V06 Calend 01'!D24),'V06 Calend 01'!J24,0))</f>
        <v>0</v>
      </c>
      <c r="FF24" s="2">
        <f>((IF((150='V06 Calend 01'!C24),('V06 Calend 01'!F24+'V06 Calend 01'!G24),0)+IF(AND(('V06 Calend 01'!E24&gt;0),(150&gt;'V06 Calend 01'!C24),(150&lt;'V06 Calend 01'!D24),(MOD((150-'V06 Calend 01'!C24),6)=0),(((150-'V06 Calend 01'!C24)/6)&lt;='V06 Calend 01'!E24)),IF((150=('V06 Calend 01'!C24+(6*'V06 Calend 01'!E24))),('V06 Calend 01'!H24-('V06 Calend 01'!I24*('V06 Calend 01'!E24-1))),'V06 Calend 01'!I24),0))+IF((150='V06 Calend 01'!D24),'V06 Calend 01'!J24,0))</f>
        <v>0</v>
      </c>
      <c r="FG24" s="2">
        <f>((IF((151='V06 Calend 01'!C24),('V06 Calend 01'!F24+'V06 Calend 01'!G24),0)+IF(AND(('V06 Calend 01'!E24&gt;0),(151&gt;'V06 Calend 01'!C24),(151&lt;'V06 Calend 01'!D24),(MOD((151-'V06 Calend 01'!C24),6)=0),(((151-'V06 Calend 01'!C24)/6)&lt;='V06 Calend 01'!E24)),IF((151=('V06 Calend 01'!C24+(6*'V06 Calend 01'!E24))),('V06 Calend 01'!H24-('V06 Calend 01'!I24*('V06 Calend 01'!E24-1))),'V06 Calend 01'!I24),0))+IF((151='V06 Calend 01'!D24),'V06 Calend 01'!J24,0))</f>
        <v>0</v>
      </c>
      <c r="FH24" s="2">
        <f>((IF((152='V06 Calend 01'!C24),('V06 Calend 01'!F24+'V06 Calend 01'!G24),0)+IF(AND(('V06 Calend 01'!E24&gt;0),(152&gt;'V06 Calend 01'!C24),(152&lt;'V06 Calend 01'!D24),(MOD((152-'V06 Calend 01'!C24),6)=0),(((152-'V06 Calend 01'!C24)/6)&lt;='V06 Calend 01'!E24)),IF((152=('V06 Calend 01'!C24+(6*'V06 Calend 01'!E24))),('V06 Calend 01'!H24-('V06 Calend 01'!I24*('V06 Calend 01'!E24-1))),'V06 Calend 01'!I24),0))+IF((152='V06 Calend 01'!D24),'V06 Calend 01'!J24,0))</f>
        <v>0</v>
      </c>
      <c r="FI24" s="2">
        <f>((IF((153='V06 Calend 01'!C24),('V06 Calend 01'!F24+'V06 Calend 01'!G24),0)+IF(AND(('V06 Calend 01'!E24&gt;0),(153&gt;'V06 Calend 01'!C24),(153&lt;'V06 Calend 01'!D24),(MOD((153-'V06 Calend 01'!C24),6)=0),(((153-'V06 Calend 01'!C24)/6)&lt;='V06 Calend 01'!E24)),IF((153=('V06 Calend 01'!C24+(6*'V06 Calend 01'!E24))),('V06 Calend 01'!H24-('V06 Calend 01'!I24*('V06 Calend 01'!E24-1))),'V06 Calend 01'!I24),0))+IF((153='V06 Calend 01'!D24),'V06 Calend 01'!J24,0))</f>
        <v>0</v>
      </c>
      <c r="FJ24" s="2">
        <f>((IF((154='V06 Calend 01'!C24),('V06 Calend 01'!F24+'V06 Calend 01'!G24),0)+IF(AND(('V06 Calend 01'!E24&gt;0),(154&gt;'V06 Calend 01'!C24),(154&lt;'V06 Calend 01'!D24),(MOD((154-'V06 Calend 01'!C24),6)=0),(((154-'V06 Calend 01'!C24)/6)&lt;='V06 Calend 01'!E24)),IF((154=('V06 Calend 01'!C24+(6*'V06 Calend 01'!E24))),('V06 Calend 01'!H24-('V06 Calend 01'!I24*('V06 Calend 01'!E24-1))),'V06 Calend 01'!I24),0))+IF((154='V06 Calend 01'!D24),'V06 Calend 01'!J24,0))</f>
        <v>0</v>
      </c>
      <c r="FK24" s="2">
        <f>((IF((155='V06 Calend 01'!C24),('V06 Calend 01'!F24+'V06 Calend 01'!G24),0)+IF(AND(('V06 Calend 01'!E24&gt;0),(155&gt;'V06 Calend 01'!C24),(155&lt;'V06 Calend 01'!D24),(MOD((155-'V06 Calend 01'!C24),6)=0),(((155-'V06 Calend 01'!C24)/6)&lt;='V06 Calend 01'!E24)),IF((155=('V06 Calend 01'!C24+(6*'V06 Calend 01'!E24))),('V06 Calend 01'!H24-('V06 Calend 01'!I24*('V06 Calend 01'!E24-1))),'V06 Calend 01'!I24),0))+IF((155='V06 Calend 01'!D24),'V06 Calend 01'!J24,0))</f>
        <v>0</v>
      </c>
      <c r="FL24" s="2">
        <f>((IF((156='V06 Calend 01'!C24),('V06 Calend 01'!F24+'V06 Calend 01'!G24),0)+IF(AND(('V06 Calend 01'!E24&gt;0),(156&gt;'V06 Calend 01'!C24),(156&lt;'V06 Calend 01'!D24),(MOD((156-'V06 Calend 01'!C24),6)=0),(((156-'V06 Calend 01'!C24)/6)&lt;='V06 Calend 01'!E24)),IF((156=('V06 Calend 01'!C24+(6*'V06 Calend 01'!E24))),('V06 Calend 01'!H24-('V06 Calend 01'!I24*('V06 Calend 01'!E24-1))),'V06 Calend 01'!I24),0))+IF((156='V06 Calend 01'!D24),'V06 Calend 01'!J24,0))</f>
        <v>0</v>
      </c>
      <c r="FM24" s="2">
        <f>((IF((157='V06 Calend 01'!C24),('V06 Calend 01'!F24+'V06 Calend 01'!G24),0)+IF(AND(('V06 Calend 01'!E24&gt;0),(157&gt;'V06 Calend 01'!C24),(157&lt;'V06 Calend 01'!D24),(MOD((157-'V06 Calend 01'!C24),6)=0),(((157-'V06 Calend 01'!C24)/6)&lt;='V06 Calend 01'!E24)),IF((157=('V06 Calend 01'!C24+(6*'V06 Calend 01'!E24))),('V06 Calend 01'!H24-('V06 Calend 01'!I24*('V06 Calend 01'!E24-1))),'V06 Calend 01'!I24),0))+IF((157='V06 Calend 01'!D24),'V06 Calend 01'!J24,0))</f>
        <v>0</v>
      </c>
      <c r="FN24" s="2">
        <f>((IF((158='V06 Calend 01'!C24),('V06 Calend 01'!F24+'V06 Calend 01'!G24),0)+IF(AND(('V06 Calend 01'!E24&gt;0),(158&gt;'V06 Calend 01'!C24),(158&lt;'V06 Calend 01'!D24),(MOD((158-'V06 Calend 01'!C24),6)=0),(((158-'V06 Calend 01'!C24)/6)&lt;='V06 Calend 01'!E24)),IF((158=('V06 Calend 01'!C24+(6*'V06 Calend 01'!E24))),('V06 Calend 01'!H24-('V06 Calend 01'!I24*('V06 Calend 01'!E24-1))),'V06 Calend 01'!I24),0))+IF((158='V06 Calend 01'!D24),'V06 Calend 01'!J24,0))</f>
        <v>0</v>
      </c>
      <c r="FO24" s="2">
        <f>((IF((159='V06 Calend 01'!C24),('V06 Calend 01'!F24+'V06 Calend 01'!G24),0)+IF(AND(('V06 Calend 01'!E24&gt;0),(159&gt;'V06 Calend 01'!C24),(159&lt;'V06 Calend 01'!D24),(MOD((159-'V06 Calend 01'!C24),6)=0),(((159-'V06 Calend 01'!C24)/6)&lt;='V06 Calend 01'!E24)),IF((159=('V06 Calend 01'!C24+(6*'V06 Calend 01'!E24))),('V06 Calend 01'!H24-('V06 Calend 01'!I24*('V06 Calend 01'!E24-1))),'V06 Calend 01'!I24),0))+IF((159='V06 Calend 01'!D24),'V06 Calend 01'!J24,0))</f>
        <v>0</v>
      </c>
      <c r="FP24" s="2">
        <f>((IF((160='V06 Calend 01'!C24),('V06 Calend 01'!F24+'V06 Calend 01'!G24),0)+IF(AND(('V06 Calend 01'!E24&gt;0),(160&gt;'V06 Calend 01'!C24),(160&lt;'V06 Calend 01'!D24),(MOD((160-'V06 Calend 01'!C24),6)=0),(((160-'V06 Calend 01'!C24)/6)&lt;='V06 Calend 01'!E24)),IF((160=('V06 Calend 01'!C24+(6*'V06 Calend 01'!E24))),('V06 Calend 01'!H24-('V06 Calend 01'!I24*('V06 Calend 01'!E24-1))),'V06 Calend 01'!I24),0))+IF((160='V06 Calend 01'!D24),'V06 Calend 01'!J24,0))</f>
        <v>0</v>
      </c>
      <c r="FQ24" s="2">
        <f>((IF((161='V06 Calend 01'!C24),('V06 Calend 01'!F24+'V06 Calend 01'!G24),0)+IF(AND(('V06 Calend 01'!E24&gt;0),(161&gt;'V06 Calend 01'!C24),(161&lt;'V06 Calend 01'!D24),(MOD((161-'V06 Calend 01'!C24),6)=0),(((161-'V06 Calend 01'!C24)/6)&lt;='V06 Calend 01'!E24)),IF((161=('V06 Calend 01'!C24+(6*'V06 Calend 01'!E24))),('V06 Calend 01'!H24-('V06 Calend 01'!I24*('V06 Calend 01'!E24-1))),'V06 Calend 01'!I24),0))+IF((161='V06 Calend 01'!D24),'V06 Calend 01'!J24,0))</f>
        <v>0</v>
      </c>
      <c r="FR24" s="2">
        <f>((IF((162='V06 Calend 01'!C24),('V06 Calend 01'!F24+'V06 Calend 01'!G24),0)+IF(AND(('V06 Calend 01'!E24&gt;0),(162&gt;'V06 Calend 01'!C24),(162&lt;'V06 Calend 01'!D24),(MOD((162-'V06 Calend 01'!C24),6)=0),(((162-'V06 Calend 01'!C24)/6)&lt;='V06 Calend 01'!E24)),IF((162=('V06 Calend 01'!C24+(6*'V06 Calend 01'!E24))),('V06 Calend 01'!H24-('V06 Calend 01'!I24*('V06 Calend 01'!E24-1))),'V06 Calend 01'!I24),0))+IF((162='V06 Calend 01'!D24),'V06 Calend 01'!J24,0))</f>
        <v>0</v>
      </c>
      <c r="FS24" s="2">
        <f>((IF((163='V06 Calend 01'!C24),('V06 Calend 01'!F24+'V06 Calend 01'!G24),0)+IF(AND(('V06 Calend 01'!E24&gt;0),(163&gt;'V06 Calend 01'!C24),(163&lt;'V06 Calend 01'!D24),(MOD((163-'V06 Calend 01'!C24),6)=0),(((163-'V06 Calend 01'!C24)/6)&lt;='V06 Calend 01'!E24)),IF((163=('V06 Calend 01'!C24+(6*'V06 Calend 01'!E24))),('V06 Calend 01'!H24-('V06 Calend 01'!I24*('V06 Calend 01'!E24-1))),'V06 Calend 01'!I24),0))+IF((163='V06 Calend 01'!D24),'V06 Calend 01'!J24,0))</f>
        <v>0</v>
      </c>
      <c r="FT24" s="2">
        <f>((IF((164='V06 Calend 01'!C24),('V06 Calend 01'!F24+'V06 Calend 01'!G24),0)+IF(AND(('V06 Calend 01'!E24&gt;0),(164&gt;'V06 Calend 01'!C24),(164&lt;'V06 Calend 01'!D24),(MOD((164-'V06 Calend 01'!C24),6)=0),(((164-'V06 Calend 01'!C24)/6)&lt;='V06 Calend 01'!E24)),IF((164=('V06 Calend 01'!C24+(6*'V06 Calend 01'!E24))),('V06 Calend 01'!H24-('V06 Calend 01'!I24*('V06 Calend 01'!E24-1))),'V06 Calend 01'!I24),0))+IF((164='V06 Calend 01'!D24),'V06 Calend 01'!J24,0))</f>
        <v>0</v>
      </c>
      <c r="FU24" s="2">
        <f>((IF((165='V06 Calend 01'!C24),('V06 Calend 01'!F24+'V06 Calend 01'!G24),0)+IF(AND(('V06 Calend 01'!E24&gt;0),(165&gt;'V06 Calend 01'!C24),(165&lt;'V06 Calend 01'!D24),(MOD((165-'V06 Calend 01'!C24),6)=0),(((165-'V06 Calend 01'!C24)/6)&lt;='V06 Calend 01'!E24)),IF((165=('V06 Calend 01'!C24+(6*'V06 Calend 01'!E24))),('V06 Calend 01'!H24-('V06 Calend 01'!I24*('V06 Calend 01'!E24-1))),'V06 Calend 01'!I24),0))+IF((165='V06 Calend 01'!D24),'V06 Calend 01'!J24,0))</f>
        <v>0</v>
      </c>
      <c r="FV24" s="2">
        <f>((IF((166='V06 Calend 01'!C24),('V06 Calend 01'!F24+'V06 Calend 01'!G24),0)+IF(AND(('V06 Calend 01'!E24&gt;0),(166&gt;'V06 Calend 01'!C24),(166&lt;'V06 Calend 01'!D24),(MOD((166-'V06 Calend 01'!C24),6)=0),(((166-'V06 Calend 01'!C24)/6)&lt;='V06 Calend 01'!E24)),IF((166=('V06 Calend 01'!C24+(6*'V06 Calend 01'!E24))),('V06 Calend 01'!H24-('V06 Calend 01'!I24*('V06 Calend 01'!E24-1))),'V06 Calend 01'!I24),0))+IF((166='V06 Calend 01'!D24),'V06 Calend 01'!J24,0))</f>
        <v>0</v>
      </c>
      <c r="FW24" s="2">
        <f>((IF((167='V06 Calend 01'!C24),('V06 Calend 01'!F24+'V06 Calend 01'!G24),0)+IF(AND(('V06 Calend 01'!E24&gt;0),(167&gt;'V06 Calend 01'!C24),(167&lt;'V06 Calend 01'!D24),(MOD((167-'V06 Calend 01'!C24),6)=0),(((167-'V06 Calend 01'!C24)/6)&lt;='V06 Calend 01'!E24)),IF((167=('V06 Calend 01'!C24+(6*'V06 Calend 01'!E24))),('V06 Calend 01'!H24-('V06 Calend 01'!I24*('V06 Calend 01'!E24-1))),'V06 Calend 01'!I24),0))+IF((167='V06 Calend 01'!D24),'V06 Calend 01'!J24,0))</f>
        <v>0</v>
      </c>
      <c r="FX24" s="2">
        <f>((IF((168='V06 Calend 01'!C24),('V06 Calend 01'!F24+'V06 Calend 01'!G24),0)+IF(AND(('V06 Calend 01'!E24&gt;0),(168&gt;'V06 Calend 01'!C24),(168&lt;'V06 Calend 01'!D24),(MOD((168-'V06 Calend 01'!C24),6)=0),(((168-'V06 Calend 01'!C24)/6)&lt;='V06 Calend 01'!E24)),IF((168=('V06 Calend 01'!C24+(6*'V06 Calend 01'!E24))),('V06 Calend 01'!H24-('V06 Calend 01'!I24*('V06 Calend 01'!E24-1))),'V06 Calend 01'!I24),0))+IF((168='V06 Calend 01'!D24),'V06 Calend 01'!J24,0))</f>
        <v>0</v>
      </c>
      <c r="FY24" s="2">
        <f>((IF((169='V06 Calend 01'!C24),('V06 Calend 01'!F24+'V06 Calend 01'!G24),0)+IF(AND(('V06 Calend 01'!E24&gt;0),(169&gt;'V06 Calend 01'!C24),(169&lt;'V06 Calend 01'!D24),(MOD((169-'V06 Calend 01'!C24),6)=0),(((169-'V06 Calend 01'!C24)/6)&lt;='V06 Calend 01'!E24)),IF((169=('V06 Calend 01'!C24+(6*'V06 Calend 01'!E24))),('V06 Calend 01'!H24-('V06 Calend 01'!I24*('V06 Calend 01'!E24-1))),'V06 Calend 01'!I24),0))+IF((169='V06 Calend 01'!D24),'V06 Calend 01'!J24,0))</f>
        <v>0</v>
      </c>
      <c r="FZ24" s="2">
        <f>((IF((170='V06 Calend 01'!C24),('V06 Calend 01'!F24+'V06 Calend 01'!G24),0)+IF(AND(('V06 Calend 01'!E24&gt;0),(170&gt;'V06 Calend 01'!C24),(170&lt;'V06 Calend 01'!D24),(MOD((170-'V06 Calend 01'!C24),6)=0),(((170-'V06 Calend 01'!C24)/6)&lt;='V06 Calend 01'!E24)),IF((170=('V06 Calend 01'!C24+(6*'V06 Calend 01'!E24))),('V06 Calend 01'!H24-('V06 Calend 01'!I24*('V06 Calend 01'!E24-1))),'V06 Calend 01'!I24),0))+IF((170='V06 Calend 01'!D24),'V06 Calend 01'!J24,0))</f>
        <v>0</v>
      </c>
      <c r="GA24" s="2">
        <f>((IF((171='V06 Calend 01'!C24),('V06 Calend 01'!F24+'V06 Calend 01'!G24),0)+IF(AND(('V06 Calend 01'!E24&gt;0),(171&gt;'V06 Calend 01'!C24),(171&lt;'V06 Calend 01'!D24),(MOD((171-'V06 Calend 01'!C24),6)=0),(((171-'V06 Calend 01'!C24)/6)&lt;='V06 Calend 01'!E24)),IF((171=('V06 Calend 01'!C24+(6*'V06 Calend 01'!E24))),('V06 Calend 01'!H24-('V06 Calend 01'!I24*('V06 Calend 01'!E24-1))),'V06 Calend 01'!I24),0))+IF((171='V06 Calend 01'!D24),'V06 Calend 01'!J24,0))</f>
        <v>0</v>
      </c>
      <c r="GB24" s="2">
        <f>((IF((172='V06 Calend 01'!C24),('V06 Calend 01'!F24+'V06 Calend 01'!G24),0)+IF(AND(('V06 Calend 01'!E24&gt;0),(172&gt;'V06 Calend 01'!C24),(172&lt;'V06 Calend 01'!D24),(MOD((172-'V06 Calend 01'!C24),6)=0),(((172-'V06 Calend 01'!C24)/6)&lt;='V06 Calend 01'!E24)),IF((172=('V06 Calend 01'!C24+(6*'V06 Calend 01'!E24))),('V06 Calend 01'!H24-('V06 Calend 01'!I24*('V06 Calend 01'!E24-1))),'V06 Calend 01'!I24),0))+IF((172='V06 Calend 01'!D24),'V06 Calend 01'!J24,0))</f>
        <v>0</v>
      </c>
      <c r="GC24" s="2">
        <f>((IF((173='V06 Calend 01'!C24),('V06 Calend 01'!F24+'V06 Calend 01'!G24),0)+IF(AND(('V06 Calend 01'!E24&gt;0),(173&gt;'V06 Calend 01'!C24),(173&lt;'V06 Calend 01'!D24),(MOD((173-'V06 Calend 01'!C24),6)=0),(((173-'V06 Calend 01'!C24)/6)&lt;='V06 Calend 01'!E24)),IF((173=('V06 Calend 01'!C24+(6*'V06 Calend 01'!E24))),('V06 Calend 01'!H24-('V06 Calend 01'!I24*('V06 Calend 01'!E24-1))),'V06 Calend 01'!I24),0))+IF((173='V06 Calend 01'!D24),'V06 Calend 01'!J24,0))</f>
        <v>0</v>
      </c>
      <c r="GD24" s="2">
        <f>((IF((174='V06 Calend 01'!C24),('V06 Calend 01'!F24+'V06 Calend 01'!G24),0)+IF(AND(('V06 Calend 01'!E24&gt;0),(174&gt;'V06 Calend 01'!C24),(174&lt;'V06 Calend 01'!D24),(MOD((174-'V06 Calend 01'!C24),6)=0),(((174-'V06 Calend 01'!C24)/6)&lt;='V06 Calend 01'!E24)),IF((174=('V06 Calend 01'!C24+(6*'V06 Calend 01'!E24))),('V06 Calend 01'!H24-('V06 Calend 01'!I24*('V06 Calend 01'!E24-1))),'V06 Calend 01'!I24),0))+IF((174='V06 Calend 01'!D24),'V06 Calend 01'!J24,0))</f>
        <v>0</v>
      </c>
      <c r="GE24" s="2">
        <f>((IF((175='V06 Calend 01'!C24),('V06 Calend 01'!F24+'V06 Calend 01'!G24),0)+IF(AND(('V06 Calend 01'!E24&gt;0),(175&gt;'V06 Calend 01'!C24),(175&lt;'V06 Calend 01'!D24),(MOD((175-'V06 Calend 01'!C24),6)=0),(((175-'V06 Calend 01'!C24)/6)&lt;='V06 Calend 01'!E24)),IF((175=('V06 Calend 01'!C24+(6*'V06 Calend 01'!E24))),('V06 Calend 01'!H24-('V06 Calend 01'!I24*('V06 Calend 01'!E24-1))),'V06 Calend 01'!I24),0))+IF((175='V06 Calend 01'!D24),'V06 Calend 01'!J24,0))</f>
        <v>0</v>
      </c>
      <c r="GF24" s="2">
        <f>((IF((176='V06 Calend 01'!C24),('V06 Calend 01'!F24+'V06 Calend 01'!G24),0)+IF(AND(('V06 Calend 01'!E24&gt;0),(176&gt;'V06 Calend 01'!C24),(176&lt;'V06 Calend 01'!D24),(MOD((176-'V06 Calend 01'!C24),6)=0),(((176-'V06 Calend 01'!C24)/6)&lt;='V06 Calend 01'!E24)),IF((176=('V06 Calend 01'!C24+(6*'V06 Calend 01'!E24))),('V06 Calend 01'!H24-('V06 Calend 01'!I24*('V06 Calend 01'!E24-1))),'V06 Calend 01'!I24),0))+IF((176='V06 Calend 01'!D24),'V06 Calend 01'!J24,0))</f>
        <v>0</v>
      </c>
      <c r="GG24" s="2">
        <f>((IF((177='V06 Calend 01'!C24),('V06 Calend 01'!F24+'V06 Calend 01'!G24),0)+IF(AND(('V06 Calend 01'!E24&gt;0),(177&gt;'V06 Calend 01'!C24),(177&lt;'V06 Calend 01'!D24),(MOD((177-'V06 Calend 01'!C24),6)=0),(((177-'V06 Calend 01'!C24)/6)&lt;='V06 Calend 01'!E24)),IF((177=('V06 Calend 01'!C24+(6*'V06 Calend 01'!E24))),('V06 Calend 01'!H24-('V06 Calend 01'!I24*('V06 Calend 01'!E24-1))),'V06 Calend 01'!I24),0))+IF((177='V06 Calend 01'!D24),'V06 Calend 01'!J24,0))</f>
        <v>0</v>
      </c>
      <c r="GH24" s="2">
        <f>((IF((178='V06 Calend 01'!C24),('V06 Calend 01'!F24+'V06 Calend 01'!G24),0)+IF(AND(('V06 Calend 01'!E24&gt;0),(178&gt;'V06 Calend 01'!C24),(178&lt;'V06 Calend 01'!D24),(MOD((178-'V06 Calend 01'!C24),6)=0),(((178-'V06 Calend 01'!C24)/6)&lt;='V06 Calend 01'!E24)),IF((178=('V06 Calend 01'!C24+(6*'V06 Calend 01'!E24))),('V06 Calend 01'!H24-('V06 Calend 01'!I24*('V06 Calend 01'!E24-1))),'V06 Calend 01'!I24),0))+IF((178='V06 Calend 01'!D24),'V06 Calend 01'!J24,0))</f>
        <v>0</v>
      </c>
      <c r="GI24" s="2">
        <f>((IF((179='V06 Calend 01'!C24),('V06 Calend 01'!F24+'V06 Calend 01'!G24),0)+IF(AND(('V06 Calend 01'!E24&gt;0),(179&gt;'V06 Calend 01'!C24),(179&lt;'V06 Calend 01'!D24),(MOD((179-'V06 Calend 01'!C24),6)=0),(((179-'V06 Calend 01'!C24)/6)&lt;='V06 Calend 01'!E24)),IF((179=('V06 Calend 01'!C24+(6*'V06 Calend 01'!E24))),('V06 Calend 01'!H24-('V06 Calend 01'!I24*('V06 Calend 01'!E24-1))),'V06 Calend 01'!I24),0))+IF((179='V06 Calend 01'!D24),'V06 Calend 01'!J24,0))</f>
        <v>0</v>
      </c>
      <c r="GJ24" s="2">
        <f>((IF((180='V06 Calend 01'!C24),('V06 Calend 01'!F24+'V06 Calend 01'!G24),0)+IF(AND(('V06 Calend 01'!E24&gt;0),(180&gt;'V06 Calend 01'!C24),(180&lt;'V06 Calend 01'!D24),(MOD((180-'V06 Calend 01'!C24),6)=0),(((180-'V06 Calend 01'!C24)/6)&lt;='V06 Calend 01'!E24)),IF((180=('V06 Calend 01'!C24+(6*'V06 Calend 01'!E24))),('V06 Calend 01'!H24-('V06 Calend 01'!I24*('V06 Calend 01'!E24-1))),'V06 Calend 01'!I24),0))+IF((180='V06 Calend 01'!D24),'V06 Calend 01'!J24,0))</f>
        <v>0</v>
      </c>
    </row>
    <row r="25" spans="1:192">
      <c r="A25" s="3" t="str">
        <f>'V06 Unidades'!$A$25</f>
        <v>401</v>
      </c>
      <c r="B25" s="2">
        <f>'V06 Unidades'!$H$25</f>
        <v>585561.6</v>
      </c>
      <c r="C25" s="4">
        <f>('V06 Unidades'!$I$25+'V06 Controlos'!$B$37)</f>
        <v>13</v>
      </c>
      <c r="D25" s="4">
        <f>IF(('V06 Controlos'!$B$38&gt;0),MAX(('V06 Unidades'!$L$25+'V06 Controlos'!$B$37),(30+'V06 Controlos'!$B$38)),('V06 Unidades'!$L$25+'V06 Controlos'!$B$37))</f>
        <v>30</v>
      </c>
      <c r="E25" s="4">
        <f>MAX(0,INT(((('V06 Calend 01'!D25-'V06 Calend 01'!C25)-1)/6)))</f>
        <v>2</v>
      </c>
      <c r="F25" s="2">
        <f>ROUND(('V06 Calend 01'!B25*0.05),2)</f>
        <v>29278.08</v>
      </c>
      <c r="G25" s="2">
        <f>ROUND(('V06 Calend 01'!B25*0.2),2)</f>
        <v>117112.32</v>
      </c>
      <c r="H25" s="2">
        <f>ROUND(('V06 Calend 01'!B25*0.55),2)</f>
        <v>322058.88</v>
      </c>
      <c r="I25" s="2">
        <f>ROUND(('V06 Calend 01'!H25/MAX(1,'V06 Calend 01'!E25)),2)</f>
        <v>161029.44</v>
      </c>
      <c r="J25" s="2">
        <f>((('V06 Calend 01'!B25-'V06 Calend 01'!F25)-'V06 Calend 01'!G25)-'V06 Calend 01'!H25)</f>
        <v>117112.32</v>
      </c>
      <c r="K25" s="2">
        <f>('V06 Calend 01'!B25*0.025)</f>
        <v>14639.04</v>
      </c>
      <c r="L25" t="s">
        <v>378</v>
      </c>
      <c r="M25" s="2">
        <f>((IF((1='V06 Calend 01'!C25),('V06 Calend 01'!F25+'V06 Calend 01'!G25),0)+IF(AND(('V06 Calend 01'!E25&gt;0),(1&gt;'V06 Calend 01'!C25),(1&lt;'V06 Calend 01'!D25),(MOD((1-'V06 Calend 01'!C25),6)=0),(((1-'V06 Calend 01'!C25)/6)&lt;='V06 Calend 01'!E25)),IF((1=('V06 Calend 01'!C25+(6*'V06 Calend 01'!E25))),('V06 Calend 01'!H25-('V06 Calend 01'!I25*('V06 Calend 01'!E25-1))),'V06 Calend 01'!I25),0))+IF((1='V06 Calend 01'!D25),'V06 Calend 01'!J25,0))</f>
        <v>0</v>
      </c>
      <c r="N25" s="2">
        <f>((IF((2='V06 Calend 01'!C25),('V06 Calend 01'!F25+'V06 Calend 01'!G25),0)+IF(AND(('V06 Calend 01'!E25&gt;0),(2&gt;'V06 Calend 01'!C25),(2&lt;'V06 Calend 01'!D25),(MOD((2-'V06 Calend 01'!C25),6)=0),(((2-'V06 Calend 01'!C25)/6)&lt;='V06 Calend 01'!E25)),IF((2=('V06 Calend 01'!C25+(6*'V06 Calend 01'!E25))),('V06 Calend 01'!H25-('V06 Calend 01'!I25*('V06 Calend 01'!E25-1))),'V06 Calend 01'!I25),0))+IF((2='V06 Calend 01'!D25),'V06 Calend 01'!J25,0))</f>
        <v>0</v>
      </c>
      <c r="O25" s="2">
        <f>((IF((3='V06 Calend 01'!C25),('V06 Calend 01'!F25+'V06 Calend 01'!G25),0)+IF(AND(('V06 Calend 01'!E25&gt;0),(3&gt;'V06 Calend 01'!C25),(3&lt;'V06 Calend 01'!D25),(MOD((3-'V06 Calend 01'!C25),6)=0),(((3-'V06 Calend 01'!C25)/6)&lt;='V06 Calend 01'!E25)),IF((3=('V06 Calend 01'!C25+(6*'V06 Calend 01'!E25))),('V06 Calend 01'!H25-('V06 Calend 01'!I25*('V06 Calend 01'!E25-1))),'V06 Calend 01'!I25),0))+IF((3='V06 Calend 01'!D25),'V06 Calend 01'!J25,0))</f>
        <v>0</v>
      </c>
      <c r="P25" s="2">
        <f>((IF((4='V06 Calend 01'!C25),('V06 Calend 01'!F25+'V06 Calend 01'!G25),0)+IF(AND(('V06 Calend 01'!E25&gt;0),(4&gt;'V06 Calend 01'!C25),(4&lt;'V06 Calend 01'!D25),(MOD((4-'V06 Calend 01'!C25),6)=0),(((4-'V06 Calend 01'!C25)/6)&lt;='V06 Calend 01'!E25)),IF((4=('V06 Calend 01'!C25+(6*'V06 Calend 01'!E25))),('V06 Calend 01'!H25-('V06 Calend 01'!I25*('V06 Calend 01'!E25-1))),'V06 Calend 01'!I25),0))+IF((4='V06 Calend 01'!D25),'V06 Calend 01'!J25,0))</f>
        <v>0</v>
      </c>
      <c r="Q25" s="2">
        <f>((IF((5='V06 Calend 01'!C25),('V06 Calend 01'!F25+'V06 Calend 01'!G25),0)+IF(AND(('V06 Calend 01'!E25&gt;0),(5&gt;'V06 Calend 01'!C25),(5&lt;'V06 Calend 01'!D25),(MOD((5-'V06 Calend 01'!C25),6)=0),(((5-'V06 Calend 01'!C25)/6)&lt;='V06 Calend 01'!E25)),IF((5=('V06 Calend 01'!C25+(6*'V06 Calend 01'!E25))),('V06 Calend 01'!H25-('V06 Calend 01'!I25*('V06 Calend 01'!E25-1))),'V06 Calend 01'!I25),0))+IF((5='V06 Calend 01'!D25),'V06 Calend 01'!J25,0))</f>
        <v>0</v>
      </c>
      <c r="R25" s="2">
        <f>((IF((6='V06 Calend 01'!C25),('V06 Calend 01'!F25+'V06 Calend 01'!G25),0)+IF(AND(('V06 Calend 01'!E25&gt;0),(6&gt;'V06 Calend 01'!C25),(6&lt;'V06 Calend 01'!D25),(MOD((6-'V06 Calend 01'!C25),6)=0),(((6-'V06 Calend 01'!C25)/6)&lt;='V06 Calend 01'!E25)),IF((6=('V06 Calend 01'!C25+(6*'V06 Calend 01'!E25))),('V06 Calend 01'!H25-('V06 Calend 01'!I25*('V06 Calend 01'!E25-1))),'V06 Calend 01'!I25),0))+IF((6='V06 Calend 01'!D25),'V06 Calend 01'!J25,0))</f>
        <v>0</v>
      </c>
      <c r="S25" s="2">
        <f>((IF((7='V06 Calend 01'!C25),('V06 Calend 01'!F25+'V06 Calend 01'!G25),0)+IF(AND(('V06 Calend 01'!E25&gt;0),(7&gt;'V06 Calend 01'!C25),(7&lt;'V06 Calend 01'!D25),(MOD((7-'V06 Calend 01'!C25),6)=0),(((7-'V06 Calend 01'!C25)/6)&lt;='V06 Calend 01'!E25)),IF((7=('V06 Calend 01'!C25+(6*'V06 Calend 01'!E25))),('V06 Calend 01'!H25-('V06 Calend 01'!I25*('V06 Calend 01'!E25-1))),'V06 Calend 01'!I25),0))+IF((7='V06 Calend 01'!D25),'V06 Calend 01'!J25,0))</f>
        <v>0</v>
      </c>
      <c r="T25" s="2">
        <f>((IF((8='V06 Calend 01'!C25),('V06 Calend 01'!F25+'V06 Calend 01'!G25),0)+IF(AND(('V06 Calend 01'!E25&gt;0),(8&gt;'V06 Calend 01'!C25),(8&lt;'V06 Calend 01'!D25),(MOD((8-'V06 Calend 01'!C25),6)=0),(((8-'V06 Calend 01'!C25)/6)&lt;='V06 Calend 01'!E25)),IF((8=('V06 Calend 01'!C25+(6*'V06 Calend 01'!E25))),('V06 Calend 01'!H25-('V06 Calend 01'!I25*('V06 Calend 01'!E25-1))),'V06 Calend 01'!I25),0))+IF((8='V06 Calend 01'!D25),'V06 Calend 01'!J25,0))</f>
        <v>0</v>
      </c>
      <c r="U25" s="2">
        <f>((IF((9='V06 Calend 01'!C25),('V06 Calend 01'!F25+'V06 Calend 01'!G25),0)+IF(AND(('V06 Calend 01'!E25&gt;0),(9&gt;'V06 Calend 01'!C25),(9&lt;'V06 Calend 01'!D25),(MOD((9-'V06 Calend 01'!C25),6)=0),(((9-'V06 Calend 01'!C25)/6)&lt;='V06 Calend 01'!E25)),IF((9=('V06 Calend 01'!C25+(6*'V06 Calend 01'!E25))),('V06 Calend 01'!H25-('V06 Calend 01'!I25*('V06 Calend 01'!E25-1))),'V06 Calend 01'!I25),0))+IF((9='V06 Calend 01'!D25),'V06 Calend 01'!J25,0))</f>
        <v>0</v>
      </c>
      <c r="V25" s="2">
        <f>((IF((10='V06 Calend 01'!C25),('V06 Calend 01'!F25+'V06 Calend 01'!G25),0)+IF(AND(('V06 Calend 01'!E25&gt;0),(10&gt;'V06 Calend 01'!C25),(10&lt;'V06 Calend 01'!D25),(MOD((10-'V06 Calend 01'!C25),6)=0),(((10-'V06 Calend 01'!C25)/6)&lt;='V06 Calend 01'!E25)),IF((10=('V06 Calend 01'!C25+(6*'V06 Calend 01'!E25))),('V06 Calend 01'!H25-('V06 Calend 01'!I25*('V06 Calend 01'!E25-1))),'V06 Calend 01'!I25),0))+IF((10='V06 Calend 01'!D25),'V06 Calend 01'!J25,0))</f>
        <v>0</v>
      </c>
      <c r="W25" s="2">
        <f>((IF((11='V06 Calend 01'!C25),('V06 Calend 01'!F25+'V06 Calend 01'!G25),0)+IF(AND(('V06 Calend 01'!E25&gt;0),(11&gt;'V06 Calend 01'!C25),(11&lt;'V06 Calend 01'!D25),(MOD((11-'V06 Calend 01'!C25),6)=0),(((11-'V06 Calend 01'!C25)/6)&lt;='V06 Calend 01'!E25)),IF((11=('V06 Calend 01'!C25+(6*'V06 Calend 01'!E25))),('V06 Calend 01'!H25-('V06 Calend 01'!I25*('V06 Calend 01'!E25-1))),'V06 Calend 01'!I25),0))+IF((11='V06 Calend 01'!D25),'V06 Calend 01'!J25,0))</f>
        <v>0</v>
      </c>
      <c r="X25" s="2">
        <f>((IF((12='V06 Calend 01'!C25),('V06 Calend 01'!F25+'V06 Calend 01'!G25),0)+IF(AND(('V06 Calend 01'!E25&gt;0),(12&gt;'V06 Calend 01'!C25),(12&lt;'V06 Calend 01'!D25),(MOD((12-'V06 Calend 01'!C25),6)=0),(((12-'V06 Calend 01'!C25)/6)&lt;='V06 Calend 01'!E25)),IF((12=('V06 Calend 01'!C25+(6*'V06 Calend 01'!E25))),('V06 Calend 01'!H25-('V06 Calend 01'!I25*('V06 Calend 01'!E25-1))),'V06 Calend 01'!I25),0))+IF((12='V06 Calend 01'!D25),'V06 Calend 01'!J25,0))</f>
        <v>0</v>
      </c>
      <c r="Y25" s="2">
        <f>((IF((13='V06 Calend 01'!C25),('V06 Calend 01'!F25+'V06 Calend 01'!G25),0)+IF(AND(('V06 Calend 01'!E25&gt;0),(13&gt;'V06 Calend 01'!C25),(13&lt;'V06 Calend 01'!D25),(MOD((13-'V06 Calend 01'!C25),6)=0),(((13-'V06 Calend 01'!C25)/6)&lt;='V06 Calend 01'!E25)),IF((13=('V06 Calend 01'!C25+(6*'V06 Calend 01'!E25))),('V06 Calend 01'!H25-('V06 Calend 01'!I25*('V06 Calend 01'!E25-1))),'V06 Calend 01'!I25),0))+IF((13='V06 Calend 01'!D25),'V06 Calend 01'!J25,0))</f>
        <v>146390.40000000002</v>
      </c>
      <c r="Z25" s="2">
        <f>((IF((14='V06 Calend 01'!C25),('V06 Calend 01'!F25+'V06 Calend 01'!G25),0)+IF(AND(('V06 Calend 01'!E25&gt;0),(14&gt;'V06 Calend 01'!C25),(14&lt;'V06 Calend 01'!D25),(MOD((14-'V06 Calend 01'!C25),6)=0),(((14-'V06 Calend 01'!C25)/6)&lt;='V06 Calend 01'!E25)),IF((14=('V06 Calend 01'!C25+(6*'V06 Calend 01'!E25))),('V06 Calend 01'!H25-('V06 Calend 01'!I25*('V06 Calend 01'!E25-1))),'V06 Calend 01'!I25),0))+IF((14='V06 Calend 01'!D25),'V06 Calend 01'!J25,0))</f>
        <v>0</v>
      </c>
      <c r="AA25" s="2">
        <f>((IF((15='V06 Calend 01'!C25),('V06 Calend 01'!F25+'V06 Calend 01'!G25),0)+IF(AND(('V06 Calend 01'!E25&gt;0),(15&gt;'V06 Calend 01'!C25),(15&lt;'V06 Calend 01'!D25),(MOD((15-'V06 Calend 01'!C25),6)=0),(((15-'V06 Calend 01'!C25)/6)&lt;='V06 Calend 01'!E25)),IF((15=('V06 Calend 01'!C25+(6*'V06 Calend 01'!E25))),('V06 Calend 01'!H25-('V06 Calend 01'!I25*('V06 Calend 01'!E25-1))),'V06 Calend 01'!I25),0))+IF((15='V06 Calend 01'!D25),'V06 Calend 01'!J25,0))</f>
        <v>0</v>
      </c>
      <c r="AB25" s="2">
        <f>((IF((16='V06 Calend 01'!C25),('V06 Calend 01'!F25+'V06 Calend 01'!G25),0)+IF(AND(('V06 Calend 01'!E25&gt;0),(16&gt;'V06 Calend 01'!C25),(16&lt;'V06 Calend 01'!D25),(MOD((16-'V06 Calend 01'!C25),6)=0),(((16-'V06 Calend 01'!C25)/6)&lt;='V06 Calend 01'!E25)),IF((16=('V06 Calend 01'!C25+(6*'V06 Calend 01'!E25))),('V06 Calend 01'!H25-('V06 Calend 01'!I25*('V06 Calend 01'!E25-1))),'V06 Calend 01'!I25),0))+IF((16='V06 Calend 01'!D25),'V06 Calend 01'!J25,0))</f>
        <v>0</v>
      </c>
      <c r="AC25" s="2">
        <f>((IF((17='V06 Calend 01'!C25),('V06 Calend 01'!F25+'V06 Calend 01'!G25),0)+IF(AND(('V06 Calend 01'!E25&gt;0),(17&gt;'V06 Calend 01'!C25),(17&lt;'V06 Calend 01'!D25),(MOD((17-'V06 Calend 01'!C25),6)=0),(((17-'V06 Calend 01'!C25)/6)&lt;='V06 Calend 01'!E25)),IF((17=('V06 Calend 01'!C25+(6*'V06 Calend 01'!E25))),('V06 Calend 01'!H25-('V06 Calend 01'!I25*('V06 Calend 01'!E25-1))),'V06 Calend 01'!I25),0))+IF((17='V06 Calend 01'!D25),'V06 Calend 01'!J25,0))</f>
        <v>0</v>
      </c>
      <c r="AD25" s="2">
        <f>((IF((18='V06 Calend 01'!C25),('V06 Calend 01'!F25+'V06 Calend 01'!G25),0)+IF(AND(('V06 Calend 01'!E25&gt;0),(18&gt;'V06 Calend 01'!C25),(18&lt;'V06 Calend 01'!D25),(MOD((18-'V06 Calend 01'!C25),6)=0),(((18-'V06 Calend 01'!C25)/6)&lt;='V06 Calend 01'!E25)),IF((18=('V06 Calend 01'!C25+(6*'V06 Calend 01'!E25))),('V06 Calend 01'!H25-('V06 Calend 01'!I25*('V06 Calend 01'!E25-1))),'V06 Calend 01'!I25),0))+IF((18='V06 Calend 01'!D25),'V06 Calend 01'!J25,0))</f>
        <v>0</v>
      </c>
      <c r="AE25" s="2">
        <f>((IF((19='V06 Calend 01'!C25),('V06 Calend 01'!F25+'V06 Calend 01'!G25),0)+IF(AND(('V06 Calend 01'!E25&gt;0),(19&gt;'V06 Calend 01'!C25),(19&lt;'V06 Calend 01'!D25),(MOD((19-'V06 Calend 01'!C25),6)=0),(((19-'V06 Calend 01'!C25)/6)&lt;='V06 Calend 01'!E25)),IF((19=('V06 Calend 01'!C25+(6*'V06 Calend 01'!E25))),('V06 Calend 01'!H25-('V06 Calend 01'!I25*('V06 Calend 01'!E25-1))),'V06 Calend 01'!I25),0))+IF((19='V06 Calend 01'!D25),'V06 Calend 01'!J25,0))</f>
        <v>161029.44</v>
      </c>
      <c r="AF25" s="2">
        <f>((IF((20='V06 Calend 01'!C25),('V06 Calend 01'!F25+'V06 Calend 01'!G25),0)+IF(AND(('V06 Calend 01'!E25&gt;0),(20&gt;'V06 Calend 01'!C25),(20&lt;'V06 Calend 01'!D25),(MOD((20-'V06 Calend 01'!C25),6)=0),(((20-'V06 Calend 01'!C25)/6)&lt;='V06 Calend 01'!E25)),IF((20=('V06 Calend 01'!C25+(6*'V06 Calend 01'!E25))),('V06 Calend 01'!H25-('V06 Calend 01'!I25*('V06 Calend 01'!E25-1))),'V06 Calend 01'!I25),0))+IF((20='V06 Calend 01'!D25),'V06 Calend 01'!J25,0))</f>
        <v>0</v>
      </c>
      <c r="AG25" s="2">
        <f>((IF((21='V06 Calend 01'!C25),('V06 Calend 01'!F25+'V06 Calend 01'!G25),0)+IF(AND(('V06 Calend 01'!E25&gt;0),(21&gt;'V06 Calend 01'!C25),(21&lt;'V06 Calend 01'!D25),(MOD((21-'V06 Calend 01'!C25),6)=0),(((21-'V06 Calend 01'!C25)/6)&lt;='V06 Calend 01'!E25)),IF((21=('V06 Calend 01'!C25+(6*'V06 Calend 01'!E25))),('V06 Calend 01'!H25-('V06 Calend 01'!I25*('V06 Calend 01'!E25-1))),'V06 Calend 01'!I25),0))+IF((21='V06 Calend 01'!D25),'V06 Calend 01'!J25,0))</f>
        <v>0</v>
      </c>
      <c r="AH25" s="2">
        <f>((IF((22='V06 Calend 01'!C25),('V06 Calend 01'!F25+'V06 Calend 01'!G25),0)+IF(AND(('V06 Calend 01'!E25&gt;0),(22&gt;'V06 Calend 01'!C25),(22&lt;'V06 Calend 01'!D25),(MOD((22-'V06 Calend 01'!C25),6)=0),(((22-'V06 Calend 01'!C25)/6)&lt;='V06 Calend 01'!E25)),IF((22=('V06 Calend 01'!C25+(6*'V06 Calend 01'!E25))),('V06 Calend 01'!H25-('V06 Calend 01'!I25*('V06 Calend 01'!E25-1))),'V06 Calend 01'!I25),0))+IF((22='V06 Calend 01'!D25),'V06 Calend 01'!J25,0))</f>
        <v>0</v>
      </c>
      <c r="AI25" s="2">
        <f>((IF((23='V06 Calend 01'!C25),('V06 Calend 01'!F25+'V06 Calend 01'!G25),0)+IF(AND(('V06 Calend 01'!E25&gt;0),(23&gt;'V06 Calend 01'!C25),(23&lt;'V06 Calend 01'!D25),(MOD((23-'V06 Calend 01'!C25),6)=0),(((23-'V06 Calend 01'!C25)/6)&lt;='V06 Calend 01'!E25)),IF((23=('V06 Calend 01'!C25+(6*'V06 Calend 01'!E25))),('V06 Calend 01'!H25-('V06 Calend 01'!I25*('V06 Calend 01'!E25-1))),'V06 Calend 01'!I25),0))+IF((23='V06 Calend 01'!D25),'V06 Calend 01'!J25,0))</f>
        <v>0</v>
      </c>
      <c r="AJ25" s="2">
        <f>((IF((24='V06 Calend 01'!C25),('V06 Calend 01'!F25+'V06 Calend 01'!G25),0)+IF(AND(('V06 Calend 01'!E25&gt;0),(24&gt;'V06 Calend 01'!C25),(24&lt;'V06 Calend 01'!D25),(MOD((24-'V06 Calend 01'!C25),6)=0),(((24-'V06 Calend 01'!C25)/6)&lt;='V06 Calend 01'!E25)),IF((24=('V06 Calend 01'!C25+(6*'V06 Calend 01'!E25))),('V06 Calend 01'!H25-('V06 Calend 01'!I25*('V06 Calend 01'!E25-1))),'V06 Calend 01'!I25),0))+IF((24='V06 Calend 01'!D25),'V06 Calend 01'!J25,0))</f>
        <v>0</v>
      </c>
      <c r="AK25" s="2">
        <f>((IF((25='V06 Calend 01'!C25),('V06 Calend 01'!F25+'V06 Calend 01'!G25),0)+IF(AND(('V06 Calend 01'!E25&gt;0),(25&gt;'V06 Calend 01'!C25),(25&lt;'V06 Calend 01'!D25),(MOD((25-'V06 Calend 01'!C25),6)=0),(((25-'V06 Calend 01'!C25)/6)&lt;='V06 Calend 01'!E25)),IF((25=('V06 Calend 01'!C25+(6*'V06 Calend 01'!E25))),('V06 Calend 01'!H25-('V06 Calend 01'!I25*('V06 Calend 01'!E25-1))),'V06 Calend 01'!I25),0))+IF((25='V06 Calend 01'!D25),'V06 Calend 01'!J25,0))</f>
        <v>161029.44</v>
      </c>
      <c r="AL25" s="2">
        <f>((IF((26='V06 Calend 01'!C25),('V06 Calend 01'!F25+'V06 Calend 01'!G25),0)+IF(AND(('V06 Calend 01'!E25&gt;0),(26&gt;'V06 Calend 01'!C25),(26&lt;'V06 Calend 01'!D25),(MOD((26-'V06 Calend 01'!C25),6)=0),(((26-'V06 Calend 01'!C25)/6)&lt;='V06 Calend 01'!E25)),IF((26=('V06 Calend 01'!C25+(6*'V06 Calend 01'!E25))),('V06 Calend 01'!H25-('V06 Calend 01'!I25*('V06 Calend 01'!E25-1))),'V06 Calend 01'!I25),0))+IF((26='V06 Calend 01'!D25),'V06 Calend 01'!J25,0))</f>
        <v>0</v>
      </c>
      <c r="AM25" s="2">
        <f>((IF((27='V06 Calend 01'!C25),('V06 Calend 01'!F25+'V06 Calend 01'!G25),0)+IF(AND(('V06 Calend 01'!E25&gt;0),(27&gt;'V06 Calend 01'!C25),(27&lt;'V06 Calend 01'!D25),(MOD((27-'V06 Calend 01'!C25),6)=0),(((27-'V06 Calend 01'!C25)/6)&lt;='V06 Calend 01'!E25)),IF((27=('V06 Calend 01'!C25+(6*'V06 Calend 01'!E25))),('V06 Calend 01'!H25-('V06 Calend 01'!I25*('V06 Calend 01'!E25-1))),'V06 Calend 01'!I25),0))+IF((27='V06 Calend 01'!D25),'V06 Calend 01'!J25,0))</f>
        <v>0</v>
      </c>
      <c r="AN25" s="2">
        <f>((IF((28='V06 Calend 01'!C25),('V06 Calend 01'!F25+'V06 Calend 01'!G25),0)+IF(AND(('V06 Calend 01'!E25&gt;0),(28&gt;'V06 Calend 01'!C25),(28&lt;'V06 Calend 01'!D25),(MOD((28-'V06 Calend 01'!C25),6)=0),(((28-'V06 Calend 01'!C25)/6)&lt;='V06 Calend 01'!E25)),IF((28=('V06 Calend 01'!C25+(6*'V06 Calend 01'!E25))),('V06 Calend 01'!H25-('V06 Calend 01'!I25*('V06 Calend 01'!E25-1))),'V06 Calend 01'!I25),0))+IF((28='V06 Calend 01'!D25),'V06 Calend 01'!J25,0))</f>
        <v>0</v>
      </c>
      <c r="AO25" s="2">
        <f>((IF((29='V06 Calend 01'!C25),('V06 Calend 01'!F25+'V06 Calend 01'!G25),0)+IF(AND(('V06 Calend 01'!E25&gt;0),(29&gt;'V06 Calend 01'!C25),(29&lt;'V06 Calend 01'!D25),(MOD((29-'V06 Calend 01'!C25),6)=0),(((29-'V06 Calend 01'!C25)/6)&lt;='V06 Calend 01'!E25)),IF((29=('V06 Calend 01'!C25+(6*'V06 Calend 01'!E25))),('V06 Calend 01'!H25-('V06 Calend 01'!I25*('V06 Calend 01'!E25-1))),'V06 Calend 01'!I25),0))+IF((29='V06 Calend 01'!D25),'V06 Calend 01'!J25,0))</f>
        <v>0</v>
      </c>
      <c r="AP25" s="2">
        <f>((IF((30='V06 Calend 01'!C25),('V06 Calend 01'!F25+'V06 Calend 01'!G25),0)+IF(AND(('V06 Calend 01'!E25&gt;0),(30&gt;'V06 Calend 01'!C25),(30&lt;'V06 Calend 01'!D25),(MOD((30-'V06 Calend 01'!C25),6)=0),(((30-'V06 Calend 01'!C25)/6)&lt;='V06 Calend 01'!E25)),IF((30=('V06 Calend 01'!C25+(6*'V06 Calend 01'!E25))),('V06 Calend 01'!H25-('V06 Calend 01'!I25*('V06 Calend 01'!E25-1))),'V06 Calend 01'!I25),0))+IF((30='V06 Calend 01'!D25),'V06 Calend 01'!J25,0))</f>
        <v>117112.32</v>
      </c>
      <c r="AQ25" s="2">
        <f>((IF((31='V06 Calend 01'!C25),('V06 Calend 01'!F25+'V06 Calend 01'!G25),0)+IF(AND(('V06 Calend 01'!E25&gt;0),(31&gt;'V06 Calend 01'!C25),(31&lt;'V06 Calend 01'!D25),(MOD((31-'V06 Calend 01'!C25),6)=0),(((31-'V06 Calend 01'!C25)/6)&lt;='V06 Calend 01'!E25)),IF((31=('V06 Calend 01'!C25+(6*'V06 Calend 01'!E25))),('V06 Calend 01'!H25-('V06 Calend 01'!I25*('V06 Calend 01'!E25-1))),'V06 Calend 01'!I25),0))+IF((31='V06 Calend 01'!D25),'V06 Calend 01'!J25,0))</f>
        <v>0</v>
      </c>
      <c r="AR25" s="2">
        <f>((IF((32='V06 Calend 01'!C25),('V06 Calend 01'!F25+'V06 Calend 01'!G25),0)+IF(AND(('V06 Calend 01'!E25&gt;0),(32&gt;'V06 Calend 01'!C25),(32&lt;'V06 Calend 01'!D25),(MOD((32-'V06 Calend 01'!C25),6)=0),(((32-'V06 Calend 01'!C25)/6)&lt;='V06 Calend 01'!E25)),IF((32=('V06 Calend 01'!C25+(6*'V06 Calend 01'!E25))),('V06 Calend 01'!H25-('V06 Calend 01'!I25*('V06 Calend 01'!E25-1))),'V06 Calend 01'!I25),0))+IF((32='V06 Calend 01'!D25),'V06 Calend 01'!J25,0))</f>
        <v>0</v>
      </c>
      <c r="AS25" s="2">
        <f>((IF((33='V06 Calend 01'!C25),('V06 Calend 01'!F25+'V06 Calend 01'!G25),0)+IF(AND(('V06 Calend 01'!E25&gt;0),(33&gt;'V06 Calend 01'!C25),(33&lt;'V06 Calend 01'!D25),(MOD((33-'V06 Calend 01'!C25),6)=0),(((33-'V06 Calend 01'!C25)/6)&lt;='V06 Calend 01'!E25)),IF((33=('V06 Calend 01'!C25+(6*'V06 Calend 01'!E25))),('V06 Calend 01'!H25-('V06 Calend 01'!I25*('V06 Calend 01'!E25-1))),'V06 Calend 01'!I25),0))+IF((33='V06 Calend 01'!D25),'V06 Calend 01'!J25,0))</f>
        <v>0</v>
      </c>
      <c r="AT25" s="2">
        <f>((IF((34='V06 Calend 01'!C25),('V06 Calend 01'!F25+'V06 Calend 01'!G25),0)+IF(AND(('V06 Calend 01'!E25&gt;0),(34&gt;'V06 Calend 01'!C25),(34&lt;'V06 Calend 01'!D25),(MOD((34-'V06 Calend 01'!C25),6)=0),(((34-'V06 Calend 01'!C25)/6)&lt;='V06 Calend 01'!E25)),IF((34=('V06 Calend 01'!C25+(6*'V06 Calend 01'!E25))),('V06 Calend 01'!H25-('V06 Calend 01'!I25*('V06 Calend 01'!E25-1))),'V06 Calend 01'!I25),0))+IF((34='V06 Calend 01'!D25),'V06 Calend 01'!J25,0))</f>
        <v>0</v>
      </c>
      <c r="AU25" s="2">
        <f>((IF((35='V06 Calend 01'!C25),('V06 Calend 01'!F25+'V06 Calend 01'!G25),0)+IF(AND(('V06 Calend 01'!E25&gt;0),(35&gt;'V06 Calend 01'!C25),(35&lt;'V06 Calend 01'!D25),(MOD((35-'V06 Calend 01'!C25),6)=0),(((35-'V06 Calend 01'!C25)/6)&lt;='V06 Calend 01'!E25)),IF((35=('V06 Calend 01'!C25+(6*'V06 Calend 01'!E25))),('V06 Calend 01'!H25-('V06 Calend 01'!I25*('V06 Calend 01'!E25-1))),'V06 Calend 01'!I25),0))+IF((35='V06 Calend 01'!D25),'V06 Calend 01'!J25,0))</f>
        <v>0</v>
      </c>
      <c r="AV25" s="2">
        <f>((IF((36='V06 Calend 01'!C25),('V06 Calend 01'!F25+'V06 Calend 01'!G25),0)+IF(AND(('V06 Calend 01'!E25&gt;0),(36&gt;'V06 Calend 01'!C25),(36&lt;'V06 Calend 01'!D25),(MOD((36-'V06 Calend 01'!C25),6)=0),(((36-'V06 Calend 01'!C25)/6)&lt;='V06 Calend 01'!E25)),IF((36=('V06 Calend 01'!C25+(6*'V06 Calend 01'!E25))),('V06 Calend 01'!H25-('V06 Calend 01'!I25*('V06 Calend 01'!E25-1))),'V06 Calend 01'!I25),0))+IF((36='V06 Calend 01'!D25),'V06 Calend 01'!J25,0))</f>
        <v>0</v>
      </c>
      <c r="AW25" s="2">
        <f>((IF((37='V06 Calend 01'!C25),('V06 Calend 01'!F25+'V06 Calend 01'!G25),0)+IF(AND(('V06 Calend 01'!E25&gt;0),(37&gt;'V06 Calend 01'!C25),(37&lt;'V06 Calend 01'!D25),(MOD((37-'V06 Calend 01'!C25),6)=0),(((37-'V06 Calend 01'!C25)/6)&lt;='V06 Calend 01'!E25)),IF((37=('V06 Calend 01'!C25+(6*'V06 Calend 01'!E25))),('V06 Calend 01'!H25-('V06 Calend 01'!I25*('V06 Calend 01'!E25-1))),'V06 Calend 01'!I25),0))+IF((37='V06 Calend 01'!D25),'V06 Calend 01'!J25,0))</f>
        <v>0</v>
      </c>
      <c r="AX25" s="2">
        <f>((IF((38='V06 Calend 01'!C25),('V06 Calend 01'!F25+'V06 Calend 01'!G25),0)+IF(AND(('V06 Calend 01'!E25&gt;0),(38&gt;'V06 Calend 01'!C25),(38&lt;'V06 Calend 01'!D25),(MOD((38-'V06 Calend 01'!C25),6)=0),(((38-'V06 Calend 01'!C25)/6)&lt;='V06 Calend 01'!E25)),IF((38=('V06 Calend 01'!C25+(6*'V06 Calend 01'!E25))),('V06 Calend 01'!H25-('V06 Calend 01'!I25*('V06 Calend 01'!E25-1))),'V06 Calend 01'!I25),0))+IF((38='V06 Calend 01'!D25),'V06 Calend 01'!J25,0))</f>
        <v>0</v>
      </c>
      <c r="AY25" s="2">
        <f>((IF((39='V06 Calend 01'!C25),('V06 Calend 01'!F25+'V06 Calend 01'!G25),0)+IF(AND(('V06 Calend 01'!E25&gt;0),(39&gt;'V06 Calend 01'!C25),(39&lt;'V06 Calend 01'!D25),(MOD((39-'V06 Calend 01'!C25),6)=0),(((39-'V06 Calend 01'!C25)/6)&lt;='V06 Calend 01'!E25)),IF((39=('V06 Calend 01'!C25+(6*'V06 Calend 01'!E25))),('V06 Calend 01'!H25-('V06 Calend 01'!I25*('V06 Calend 01'!E25-1))),'V06 Calend 01'!I25),0))+IF((39='V06 Calend 01'!D25),'V06 Calend 01'!J25,0))</f>
        <v>0</v>
      </c>
      <c r="AZ25" s="2">
        <f>((IF((40='V06 Calend 01'!C25),('V06 Calend 01'!F25+'V06 Calend 01'!G25),0)+IF(AND(('V06 Calend 01'!E25&gt;0),(40&gt;'V06 Calend 01'!C25),(40&lt;'V06 Calend 01'!D25),(MOD((40-'V06 Calend 01'!C25),6)=0),(((40-'V06 Calend 01'!C25)/6)&lt;='V06 Calend 01'!E25)),IF((40=('V06 Calend 01'!C25+(6*'V06 Calend 01'!E25))),('V06 Calend 01'!H25-('V06 Calend 01'!I25*('V06 Calend 01'!E25-1))),'V06 Calend 01'!I25),0))+IF((40='V06 Calend 01'!D25),'V06 Calend 01'!J25,0))</f>
        <v>0</v>
      </c>
      <c r="BA25" s="2">
        <f>((IF((41='V06 Calend 01'!C25),('V06 Calend 01'!F25+'V06 Calend 01'!G25),0)+IF(AND(('V06 Calend 01'!E25&gt;0),(41&gt;'V06 Calend 01'!C25),(41&lt;'V06 Calend 01'!D25),(MOD((41-'V06 Calend 01'!C25),6)=0),(((41-'V06 Calend 01'!C25)/6)&lt;='V06 Calend 01'!E25)),IF((41=('V06 Calend 01'!C25+(6*'V06 Calend 01'!E25))),('V06 Calend 01'!H25-('V06 Calend 01'!I25*('V06 Calend 01'!E25-1))),'V06 Calend 01'!I25),0))+IF((41='V06 Calend 01'!D25),'V06 Calend 01'!J25,0))</f>
        <v>0</v>
      </c>
      <c r="BB25" s="2">
        <f>((IF((42='V06 Calend 01'!C25),('V06 Calend 01'!F25+'V06 Calend 01'!G25),0)+IF(AND(('V06 Calend 01'!E25&gt;0),(42&gt;'V06 Calend 01'!C25),(42&lt;'V06 Calend 01'!D25),(MOD((42-'V06 Calend 01'!C25),6)=0),(((42-'V06 Calend 01'!C25)/6)&lt;='V06 Calend 01'!E25)),IF((42=('V06 Calend 01'!C25+(6*'V06 Calend 01'!E25))),('V06 Calend 01'!H25-('V06 Calend 01'!I25*('V06 Calend 01'!E25-1))),'V06 Calend 01'!I25),0))+IF((42='V06 Calend 01'!D25),'V06 Calend 01'!J25,0))</f>
        <v>0</v>
      </c>
      <c r="BC25" s="2">
        <f>((IF((43='V06 Calend 01'!C25),('V06 Calend 01'!F25+'V06 Calend 01'!G25),0)+IF(AND(('V06 Calend 01'!E25&gt;0),(43&gt;'V06 Calend 01'!C25),(43&lt;'V06 Calend 01'!D25),(MOD((43-'V06 Calend 01'!C25),6)=0),(((43-'V06 Calend 01'!C25)/6)&lt;='V06 Calend 01'!E25)),IF((43=('V06 Calend 01'!C25+(6*'V06 Calend 01'!E25))),('V06 Calend 01'!H25-('V06 Calend 01'!I25*('V06 Calend 01'!E25-1))),'V06 Calend 01'!I25),0))+IF((43='V06 Calend 01'!D25),'V06 Calend 01'!J25,0))</f>
        <v>0</v>
      </c>
      <c r="BD25" s="2">
        <f>((IF((44='V06 Calend 01'!C25),('V06 Calend 01'!F25+'V06 Calend 01'!G25),0)+IF(AND(('V06 Calend 01'!E25&gt;0),(44&gt;'V06 Calend 01'!C25),(44&lt;'V06 Calend 01'!D25),(MOD((44-'V06 Calend 01'!C25),6)=0),(((44-'V06 Calend 01'!C25)/6)&lt;='V06 Calend 01'!E25)),IF((44=('V06 Calend 01'!C25+(6*'V06 Calend 01'!E25))),('V06 Calend 01'!H25-('V06 Calend 01'!I25*('V06 Calend 01'!E25-1))),'V06 Calend 01'!I25),0))+IF((44='V06 Calend 01'!D25),'V06 Calend 01'!J25,0))</f>
        <v>0</v>
      </c>
      <c r="BE25" s="2">
        <f>((IF((45='V06 Calend 01'!C25),('V06 Calend 01'!F25+'V06 Calend 01'!G25),0)+IF(AND(('V06 Calend 01'!E25&gt;0),(45&gt;'V06 Calend 01'!C25),(45&lt;'V06 Calend 01'!D25),(MOD((45-'V06 Calend 01'!C25),6)=0),(((45-'V06 Calend 01'!C25)/6)&lt;='V06 Calend 01'!E25)),IF((45=('V06 Calend 01'!C25+(6*'V06 Calend 01'!E25))),('V06 Calend 01'!H25-('V06 Calend 01'!I25*('V06 Calend 01'!E25-1))),'V06 Calend 01'!I25),0))+IF((45='V06 Calend 01'!D25),'V06 Calend 01'!J25,0))</f>
        <v>0</v>
      </c>
      <c r="BF25" s="2">
        <f>((IF((46='V06 Calend 01'!C25),('V06 Calend 01'!F25+'V06 Calend 01'!G25),0)+IF(AND(('V06 Calend 01'!E25&gt;0),(46&gt;'V06 Calend 01'!C25),(46&lt;'V06 Calend 01'!D25),(MOD((46-'V06 Calend 01'!C25),6)=0),(((46-'V06 Calend 01'!C25)/6)&lt;='V06 Calend 01'!E25)),IF((46=('V06 Calend 01'!C25+(6*'V06 Calend 01'!E25))),('V06 Calend 01'!H25-('V06 Calend 01'!I25*('V06 Calend 01'!E25-1))),'V06 Calend 01'!I25),0))+IF((46='V06 Calend 01'!D25),'V06 Calend 01'!J25,0))</f>
        <v>0</v>
      </c>
      <c r="BG25" s="2">
        <f>((IF((47='V06 Calend 01'!C25),('V06 Calend 01'!F25+'V06 Calend 01'!G25),0)+IF(AND(('V06 Calend 01'!E25&gt;0),(47&gt;'V06 Calend 01'!C25),(47&lt;'V06 Calend 01'!D25),(MOD((47-'V06 Calend 01'!C25),6)=0),(((47-'V06 Calend 01'!C25)/6)&lt;='V06 Calend 01'!E25)),IF((47=('V06 Calend 01'!C25+(6*'V06 Calend 01'!E25))),('V06 Calend 01'!H25-('V06 Calend 01'!I25*('V06 Calend 01'!E25-1))),'V06 Calend 01'!I25),0))+IF((47='V06 Calend 01'!D25),'V06 Calend 01'!J25,0))</f>
        <v>0</v>
      </c>
      <c r="BH25" s="2">
        <f>((IF((48='V06 Calend 01'!C25),('V06 Calend 01'!F25+'V06 Calend 01'!G25),0)+IF(AND(('V06 Calend 01'!E25&gt;0),(48&gt;'V06 Calend 01'!C25),(48&lt;'V06 Calend 01'!D25),(MOD((48-'V06 Calend 01'!C25),6)=0),(((48-'V06 Calend 01'!C25)/6)&lt;='V06 Calend 01'!E25)),IF((48=('V06 Calend 01'!C25+(6*'V06 Calend 01'!E25))),('V06 Calend 01'!H25-('V06 Calend 01'!I25*('V06 Calend 01'!E25-1))),'V06 Calend 01'!I25),0))+IF((48='V06 Calend 01'!D25),'V06 Calend 01'!J25,0))</f>
        <v>0</v>
      </c>
      <c r="BI25" s="2">
        <f>((IF((49='V06 Calend 01'!C25),('V06 Calend 01'!F25+'V06 Calend 01'!G25),0)+IF(AND(('V06 Calend 01'!E25&gt;0),(49&gt;'V06 Calend 01'!C25),(49&lt;'V06 Calend 01'!D25),(MOD((49-'V06 Calend 01'!C25),6)=0),(((49-'V06 Calend 01'!C25)/6)&lt;='V06 Calend 01'!E25)),IF((49=('V06 Calend 01'!C25+(6*'V06 Calend 01'!E25))),('V06 Calend 01'!H25-('V06 Calend 01'!I25*('V06 Calend 01'!E25-1))),'V06 Calend 01'!I25),0))+IF((49='V06 Calend 01'!D25),'V06 Calend 01'!J25,0))</f>
        <v>0</v>
      </c>
      <c r="BJ25" s="2">
        <f>((IF((50='V06 Calend 01'!C25),('V06 Calend 01'!F25+'V06 Calend 01'!G25),0)+IF(AND(('V06 Calend 01'!E25&gt;0),(50&gt;'V06 Calend 01'!C25),(50&lt;'V06 Calend 01'!D25),(MOD((50-'V06 Calend 01'!C25),6)=0),(((50-'V06 Calend 01'!C25)/6)&lt;='V06 Calend 01'!E25)),IF((50=('V06 Calend 01'!C25+(6*'V06 Calend 01'!E25))),('V06 Calend 01'!H25-('V06 Calend 01'!I25*('V06 Calend 01'!E25-1))),'V06 Calend 01'!I25),0))+IF((50='V06 Calend 01'!D25),'V06 Calend 01'!J25,0))</f>
        <v>0</v>
      </c>
      <c r="BK25" s="2">
        <f>((IF((51='V06 Calend 01'!C25),('V06 Calend 01'!F25+'V06 Calend 01'!G25),0)+IF(AND(('V06 Calend 01'!E25&gt;0),(51&gt;'V06 Calend 01'!C25),(51&lt;'V06 Calend 01'!D25),(MOD((51-'V06 Calend 01'!C25),6)=0),(((51-'V06 Calend 01'!C25)/6)&lt;='V06 Calend 01'!E25)),IF((51=('V06 Calend 01'!C25+(6*'V06 Calend 01'!E25))),('V06 Calend 01'!H25-('V06 Calend 01'!I25*('V06 Calend 01'!E25-1))),'V06 Calend 01'!I25),0))+IF((51='V06 Calend 01'!D25),'V06 Calend 01'!J25,0))</f>
        <v>0</v>
      </c>
      <c r="BL25" s="2">
        <f>((IF((52='V06 Calend 01'!C25),('V06 Calend 01'!F25+'V06 Calend 01'!G25),0)+IF(AND(('V06 Calend 01'!E25&gt;0),(52&gt;'V06 Calend 01'!C25),(52&lt;'V06 Calend 01'!D25),(MOD((52-'V06 Calend 01'!C25),6)=0),(((52-'V06 Calend 01'!C25)/6)&lt;='V06 Calend 01'!E25)),IF((52=('V06 Calend 01'!C25+(6*'V06 Calend 01'!E25))),('V06 Calend 01'!H25-('V06 Calend 01'!I25*('V06 Calend 01'!E25-1))),'V06 Calend 01'!I25),0))+IF((52='V06 Calend 01'!D25),'V06 Calend 01'!J25,0))</f>
        <v>0</v>
      </c>
      <c r="BM25" s="2">
        <f>((IF((53='V06 Calend 01'!C25),('V06 Calend 01'!F25+'V06 Calend 01'!G25),0)+IF(AND(('V06 Calend 01'!E25&gt;0),(53&gt;'V06 Calend 01'!C25),(53&lt;'V06 Calend 01'!D25),(MOD((53-'V06 Calend 01'!C25),6)=0),(((53-'V06 Calend 01'!C25)/6)&lt;='V06 Calend 01'!E25)),IF((53=('V06 Calend 01'!C25+(6*'V06 Calend 01'!E25))),('V06 Calend 01'!H25-('V06 Calend 01'!I25*('V06 Calend 01'!E25-1))),'V06 Calend 01'!I25),0))+IF((53='V06 Calend 01'!D25),'V06 Calend 01'!J25,0))</f>
        <v>0</v>
      </c>
      <c r="BN25" s="2">
        <f>((IF((54='V06 Calend 01'!C25),('V06 Calend 01'!F25+'V06 Calend 01'!G25),0)+IF(AND(('V06 Calend 01'!E25&gt;0),(54&gt;'V06 Calend 01'!C25),(54&lt;'V06 Calend 01'!D25),(MOD((54-'V06 Calend 01'!C25),6)=0),(((54-'V06 Calend 01'!C25)/6)&lt;='V06 Calend 01'!E25)),IF((54=('V06 Calend 01'!C25+(6*'V06 Calend 01'!E25))),('V06 Calend 01'!H25-('V06 Calend 01'!I25*('V06 Calend 01'!E25-1))),'V06 Calend 01'!I25),0))+IF((54='V06 Calend 01'!D25),'V06 Calend 01'!J25,0))</f>
        <v>0</v>
      </c>
      <c r="BO25" s="2">
        <f>((IF((55='V06 Calend 01'!C25),('V06 Calend 01'!F25+'V06 Calend 01'!G25),0)+IF(AND(('V06 Calend 01'!E25&gt;0),(55&gt;'V06 Calend 01'!C25),(55&lt;'V06 Calend 01'!D25),(MOD((55-'V06 Calend 01'!C25),6)=0),(((55-'V06 Calend 01'!C25)/6)&lt;='V06 Calend 01'!E25)),IF((55=('V06 Calend 01'!C25+(6*'V06 Calend 01'!E25))),('V06 Calend 01'!H25-('V06 Calend 01'!I25*('V06 Calend 01'!E25-1))),'V06 Calend 01'!I25),0))+IF((55='V06 Calend 01'!D25),'V06 Calend 01'!J25,0))</f>
        <v>0</v>
      </c>
      <c r="BP25" s="2">
        <f>((IF((56='V06 Calend 01'!C25),('V06 Calend 01'!F25+'V06 Calend 01'!G25),0)+IF(AND(('V06 Calend 01'!E25&gt;0),(56&gt;'V06 Calend 01'!C25),(56&lt;'V06 Calend 01'!D25),(MOD((56-'V06 Calend 01'!C25),6)=0),(((56-'V06 Calend 01'!C25)/6)&lt;='V06 Calend 01'!E25)),IF((56=('V06 Calend 01'!C25+(6*'V06 Calend 01'!E25))),('V06 Calend 01'!H25-('V06 Calend 01'!I25*('V06 Calend 01'!E25-1))),'V06 Calend 01'!I25),0))+IF((56='V06 Calend 01'!D25),'V06 Calend 01'!J25,0))</f>
        <v>0</v>
      </c>
      <c r="BQ25" s="2">
        <f>((IF((57='V06 Calend 01'!C25),('V06 Calend 01'!F25+'V06 Calend 01'!G25),0)+IF(AND(('V06 Calend 01'!E25&gt;0),(57&gt;'V06 Calend 01'!C25),(57&lt;'V06 Calend 01'!D25),(MOD((57-'V06 Calend 01'!C25),6)=0),(((57-'V06 Calend 01'!C25)/6)&lt;='V06 Calend 01'!E25)),IF((57=('V06 Calend 01'!C25+(6*'V06 Calend 01'!E25))),('V06 Calend 01'!H25-('V06 Calend 01'!I25*('V06 Calend 01'!E25-1))),'V06 Calend 01'!I25),0))+IF((57='V06 Calend 01'!D25),'V06 Calend 01'!J25,0))</f>
        <v>0</v>
      </c>
      <c r="BR25" s="2">
        <f>((IF((58='V06 Calend 01'!C25),('V06 Calend 01'!F25+'V06 Calend 01'!G25),0)+IF(AND(('V06 Calend 01'!E25&gt;0),(58&gt;'V06 Calend 01'!C25),(58&lt;'V06 Calend 01'!D25),(MOD((58-'V06 Calend 01'!C25),6)=0),(((58-'V06 Calend 01'!C25)/6)&lt;='V06 Calend 01'!E25)),IF((58=('V06 Calend 01'!C25+(6*'V06 Calend 01'!E25))),('V06 Calend 01'!H25-('V06 Calend 01'!I25*('V06 Calend 01'!E25-1))),'V06 Calend 01'!I25),0))+IF((58='V06 Calend 01'!D25),'V06 Calend 01'!J25,0))</f>
        <v>0</v>
      </c>
      <c r="BS25" s="2">
        <f>((IF((59='V06 Calend 01'!C25),('V06 Calend 01'!F25+'V06 Calend 01'!G25),0)+IF(AND(('V06 Calend 01'!E25&gt;0),(59&gt;'V06 Calend 01'!C25),(59&lt;'V06 Calend 01'!D25),(MOD((59-'V06 Calend 01'!C25),6)=0),(((59-'V06 Calend 01'!C25)/6)&lt;='V06 Calend 01'!E25)),IF((59=('V06 Calend 01'!C25+(6*'V06 Calend 01'!E25))),('V06 Calend 01'!H25-('V06 Calend 01'!I25*('V06 Calend 01'!E25-1))),'V06 Calend 01'!I25),0))+IF((59='V06 Calend 01'!D25),'V06 Calend 01'!J25,0))</f>
        <v>0</v>
      </c>
      <c r="BT25" s="2">
        <f>((IF((60='V06 Calend 01'!C25),('V06 Calend 01'!F25+'V06 Calend 01'!G25),0)+IF(AND(('V06 Calend 01'!E25&gt;0),(60&gt;'V06 Calend 01'!C25),(60&lt;'V06 Calend 01'!D25),(MOD((60-'V06 Calend 01'!C25),6)=0),(((60-'V06 Calend 01'!C25)/6)&lt;='V06 Calend 01'!E25)),IF((60=('V06 Calend 01'!C25+(6*'V06 Calend 01'!E25))),('V06 Calend 01'!H25-('V06 Calend 01'!I25*('V06 Calend 01'!E25-1))),'V06 Calend 01'!I25),0))+IF((60='V06 Calend 01'!D25),'V06 Calend 01'!J25,0))</f>
        <v>0</v>
      </c>
      <c r="BU25" s="2">
        <f>((IF((61='V06 Calend 01'!C25),('V06 Calend 01'!F25+'V06 Calend 01'!G25),0)+IF(AND(('V06 Calend 01'!E25&gt;0),(61&gt;'V06 Calend 01'!C25),(61&lt;'V06 Calend 01'!D25),(MOD((61-'V06 Calend 01'!C25),6)=0),(((61-'V06 Calend 01'!C25)/6)&lt;='V06 Calend 01'!E25)),IF((61=('V06 Calend 01'!C25+(6*'V06 Calend 01'!E25))),('V06 Calend 01'!H25-('V06 Calend 01'!I25*('V06 Calend 01'!E25-1))),'V06 Calend 01'!I25),0))+IF((61='V06 Calend 01'!D25),'V06 Calend 01'!J25,0))</f>
        <v>0</v>
      </c>
      <c r="BV25" s="2">
        <f>((IF((62='V06 Calend 01'!C25),('V06 Calend 01'!F25+'V06 Calend 01'!G25),0)+IF(AND(('V06 Calend 01'!E25&gt;0),(62&gt;'V06 Calend 01'!C25),(62&lt;'V06 Calend 01'!D25),(MOD((62-'V06 Calend 01'!C25),6)=0),(((62-'V06 Calend 01'!C25)/6)&lt;='V06 Calend 01'!E25)),IF((62=('V06 Calend 01'!C25+(6*'V06 Calend 01'!E25))),('V06 Calend 01'!H25-('V06 Calend 01'!I25*('V06 Calend 01'!E25-1))),'V06 Calend 01'!I25),0))+IF((62='V06 Calend 01'!D25),'V06 Calend 01'!J25,0))</f>
        <v>0</v>
      </c>
      <c r="BW25" s="2">
        <f>((IF((63='V06 Calend 01'!C25),('V06 Calend 01'!F25+'V06 Calend 01'!G25),0)+IF(AND(('V06 Calend 01'!E25&gt;0),(63&gt;'V06 Calend 01'!C25),(63&lt;'V06 Calend 01'!D25),(MOD((63-'V06 Calend 01'!C25),6)=0),(((63-'V06 Calend 01'!C25)/6)&lt;='V06 Calend 01'!E25)),IF((63=('V06 Calend 01'!C25+(6*'V06 Calend 01'!E25))),('V06 Calend 01'!H25-('V06 Calend 01'!I25*('V06 Calend 01'!E25-1))),'V06 Calend 01'!I25),0))+IF((63='V06 Calend 01'!D25),'V06 Calend 01'!J25,0))</f>
        <v>0</v>
      </c>
      <c r="BX25" s="2">
        <f>((IF((64='V06 Calend 01'!C25),('V06 Calend 01'!F25+'V06 Calend 01'!G25),0)+IF(AND(('V06 Calend 01'!E25&gt;0),(64&gt;'V06 Calend 01'!C25),(64&lt;'V06 Calend 01'!D25),(MOD((64-'V06 Calend 01'!C25),6)=0),(((64-'V06 Calend 01'!C25)/6)&lt;='V06 Calend 01'!E25)),IF((64=('V06 Calend 01'!C25+(6*'V06 Calend 01'!E25))),('V06 Calend 01'!H25-('V06 Calend 01'!I25*('V06 Calend 01'!E25-1))),'V06 Calend 01'!I25),0))+IF((64='V06 Calend 01'!D25),'V06 Calend 01'!J25,0))</f>
        <v>0</v>
      </c>
      <c r="BY25" s="2">
        <f>((IF((65='V06 Calend 01'!C25),('V06 Calend 01'!F25+'V06 Calend 01'!G25),0)+IF(AND(('V06 Calend 01'!E25&gt;0),(65&gt;'V06 Calend 01'!C25),(65&lt;'V06 Calend 01'!D25),(MOD((65-'V06 Calend 01'!C25),6)=0),(((65-'V06 Calend 01'!C25)/6)&lt;='V06 Calend 01'!E25)),IF((65=('V06 Calend 01'!C25+(6*'V06 Calend 01'!E25))),('V06 Calend 01'!H25-('V06 Calend 01'!I25*('V06 Calend 01'!E25-1))),'V06 Calend 01'!I25),0))+IF((65='V06 Calend 01'!D25),'V06 Calend 01'!J25,0))</f>
        <v>0</v>
      </c>
      <c r="BZ25" s="2">
        <f>((IF((66='V06 Calend 01'!C25),('V06 Calend 01'!F25+'V06 Calend 01'!G25),0)+IF(AND(('V06 Calend 01'!E25&gt;0),(66&gt;'V06 Calend 01'!C25),(66&lt;'V06 Calend 01'!D25),(MOD((66-'V06 Calend 01'!C25),6)=0),(((66-'V06 Calend 01'!C25)/6)&lt;='V06 Calend 01'!E25)),IF((66=('V06 Calend 01'!C25+(6*'V06 Calend 01'!E25))),('V06 Calend 01'!H25-('V06 Calend 01'!I25*('V06 Calend 01'!E25-1))),'V06 Calend 01'!I25),0))+IF((66='V06 Calend 01'!D25),'V06 Calend 01'!J25,0))</f>
        <v>0</v>
      </c>
      <c r="CA25" s="2">
        <f>((IF((67='V06 Calend 01'!C25),('V06 Calend 01'!F25+'V06 Calend 01'!G25),0)+IF(AND(('V06 Calend 01'!E25&gt;0),(67&gt;'V06 Calend 01'!C25),(67&lt;'V06 Calend 01'!D25),(MOD((67-'V06 Calend 01'!C25),6)=0),(((67-'V06 Calend 01'!C25)/6)&lt;='V06 Calend 01'!E25)),IF((67=('V06 Calend 01'!C25+(6*'V06 Calend 01'!E25))),('V06 Calend 01'!H25-('V06 Calend 01'!I25*('V06 Calend 01'!E25-1))),'V06 Calend 01'!I25),0))+IF((67='V06 Calend 01'!D25),'V06 Calend 01'!J25,0))</f>
        <v>0</v>
      </c>
      <c r="CB25" s="2">
        <f>((IF((68='V06 Calend 01'!C25),('V06 Calend 01'!F25+'V06 Calend 01'!G25),0)+IF(AND(('V06 Calend 01'!E25&gt;0),(68&gt;'V06 Calend 01'!C25),(68&lt;'V06 Calend 01'!D25),(MOD((68-'V06 Calend 01'!C25),6)=0),(((68-'V06 Calend 01'!C25)/6)&lt;='V06 Calend 01'!E25)),IF((68=('V06 Calend 01'!C25+(6*'V06 Calend 01'!E25))),('V06 Calend 01'!H25-('V06 Calend 01'!I25*('V06 Calend 01'!E25-1))),'V06 Calend 01'!I25),0))+IF((68='V06 Calend 01'!D25),'V06 Calend 01'!J25,0))</f>
        <v>0</v>
      </c>
      <c r="CC25" s="2">
        <f>((IF((69='V06 Calend 01'!C25),('V06 Calend 01'!F25+'V06 Calend 01'!G25),0)+IF(AND(('V06 Calend 01'!E25&gt;0),(69&gt;'V06 Calend 01'!C25),(69&lt;'V06 Calend 01'!D25),(MOD((69-'V06 Calend 01'!C25),6)=0),(((69-'V06 Calend 01'!C25)/6)&lt;='V06 Calend 01'!E25)),IF((69=('V06 Calend 01'!C25+(6*'V06 Calend 01'!E25))),('V06 Calend 01'!H25-('V06 Calend 01'!I25*('V06 Calend 01'!E25-1))),'V06 Calend 01'!I25),0))+IF((69='V06 Calend 01'!D25),'V06 Calend 01'!J25,0))</f>
        <v>0</v>
      </c>
      <c r="CD25" s="2">
        <f>((IF((70='V06 Calend 01'!C25),('V06 Calend 01'!F25+'V06 Calend 01'!G25),0)+IF(AND(('V06 Calend 01'!E25&gt;0),(70&gt;'V06 Calend 01'!C25),(70&lt;'V06 Calend 01'!D25),(MOD((70-'V06 Calend 01'!C25),6)=0),(((70-'V06 Calend 01'!C25)/6)&lt;='V06 Calend 01'!E25)),IF((70=('V06 Calend 01'!C25+(6*'V06 Calend 01'!E25))),('V06 Calend 01'!H25-('V06 Calend 01'!I25*('V06 Calend 01'!E25-1))),'V06 Calend 01'!I25),0))+IF((70='V06 Calend 01'!D25),'V06 Calend 01'!J25,0))</f>
        <v>0</v>
      </c>
      <c r="CE25" s="2">
        <f>((IF((71='V06 Calend 01'!C25),('V06 Calend 01'!F25+'V06 Calend 01'!G25),0)+IF(AND(('V06 Calend 01'!E25&gt;0),(71&gt;'V06 Calend 01'!C25),(71&lt;'V06 Calend 01'!D25),(MOD((71-'V06 Calend 01'!C25),6)=0),(((71-'V06 Calend 01'!C25)/6)&lt;='V06 Calend 01'!E25)),IF((71=('V06 Calend 01'!C25+(6*'V06 Calend 01'!E25))),('V06 Calend 01'!H25-('V06 Calend 01'!I25*('V06 Calend 01'!E25-1))),'V06 Calend 01'!I25),0))+IF((71='V06 Calend 01'!D25),'V06 Calend 01'!J25,0))</f>
        <v>0</v>
      </c>
      <c r="CF25" s="2">
        <f>((IF((72='V06 Calend 01'!C25),('V06 Calend 01'!F25+'V06 Calend 01'!G25),0)+IF(AND(('V06 Calend 01'!E25&gt;0),(72&gt;'V06 Calend 01'!C25),(72&lt;'V06 Calend 01'!D25),(MOD((72-'V06 Calend 01'!C25),6)=0),(((72-'V06 Calend 01'!C25)/6)&lt;='V06 Calend 01'!E25)),IF((72=('V06 Calend 01'!C25+(6*'V06 Calend 01'!E25))),('V06 Calend 01'!H25-('V06 Calend 01'!I25*('V06 Calend 01'!E25-1))),'V06 Calend 01'!I25),0))+IF((72='V06 Calend 01'!D25),'V06 Calend 01'!J25,0))</f>
        <v>0</v>
      </c>
      <c r="CG25" s="2">
        <f>((IF((73='V06 Calend 01'!C25),('V06 Calend 01'!F25+'V06 Calend 01'!G25),0)+IF(AND(('V06 Calend 01'!E25&gt;0),(73&gt;'V06 Calend 01'!C25),(73&lt;'V06 Calend 01'!D25),(MOD((73-'V06 Calend 01'!C25),6)=0),(((73-'V06 Calend 01'!C25)/6)&lt;='V06 Calend 01'!E25)),IF((73=('V06 Calend 01'!C25+(6*'V06 Calend 01'!E25))),('V06 Calend 01'!H25-('V06 Calend 01'!I25*('V06 Calend 01'!E25-1))),'V06 Calend 01'!I25),0))+IF((73='V06 Calend 01'!D25),'V06 Calend 01'!J25,0))</f>
        <v>0</v>
      </c>
      <c r="CH25" s="2">
        <f>((IF((74='V06 Calend 01'!C25),('V06 Calend 01'!F25+'V06 Calend 01'!G25),0)+IF(AND(('V06 Calend 01'!E25&gt;0),(74&gt;'V06 Calend 01'!C25),(74&lt;'V06 Calend 01'!D25),(MOD((74-'V06 Calend 01'!C25),6)=0),(((74-'V06 Calend 01'!C25)/6)&lt;='V06 Calend 01'!E25)),IF((74=('V06 Calend 01'!C25+(6*'V06 Calend 01'!E25))),('V06 Calend 01'!H25-('V06 Calend 01'!I25*('V06 Calend 01'!E25-1))),'V06 Calend 01'!I25),0))+IF((74='V06 Calend 01'!D25),'V06 Calend 01'!J25,0))</f>
        <v>0</v>
      </c>
      <c r="CI25" s="2">
        <f>((IF((75='V06 Calend 01'!C25),('V06 Calend 01'!F25+'V06 Calend 01'!G25),0)+IF(AND(('V06 Calend 01'!E25&gt;0),(75&gt;'V06 Calend 01'!C25),(75&lt;'V06 Calend 01'!D25),(MOD((75-'V06 Calend 01'!C25),6)=0),(((75-'V06 Calend 01'!C25)/6)&lt;='V06 Calend 01'!E25)),IF((75=('V06 Calend 01'!C25+(6*'V06 Calend 01'!E25))),('V06 Calend 01'!H25-('V06 Calend 01'!I25*('V06 Calend 01'!E25-1))),'V06 Calend 01'!I25),0))+IF((75='V06 Calend 01'!D25),'V06 Calend 01'!J25,0))</f>
        <v>0</v>
      </c>
      <c r="CJ25" s="2">
        <f>((IF((76='V06 Calend 01'!C25),('V06 Calend 01'!F25+'V06 Calend 01'!G25),0)+IF(AND(('V06 Calend 01'!E25&gt;0),(76&gt;'V06 Calend 01'!C25),(76&lt;'V06 Calend 01'!D25),(MOD((76-'V06 Calend 01'!C25),6)=0),(((76-'V06 Calend 01'!C25)/6)&lt;='V06 Calend 01'!E25)),IF((76=('V06 Calend 01'!C25+(6*'V06 Calend 01'!E25))),('V06 Calend 01'!H25-('V06 Calend 01'!I25*('V06 Calend 01'!E25-1))),'V06 Calend 01'!I25),0))+IF((76='V06 Calend 01'!D25),'V06 Calend 01'!J25,0))</f>
        <v>0</v>
      </c>
      <c r="CK25" s="2">
        <f>((IF((77='V06 Calend 01'!C25),('V06 Calend 01'!F25+'V06 Calend 01'!G25),0)+IF(AND(('V06 Calend 01'!E25&gt;0),(77&gt;'V06 Calend 01'!C25),(77&lt;'V06 Calend 01'!D25),(MOD((77-'V06 Calend 01'!C25),6)=0),(((77-'V06 Calend 01'!C25)/6)&lt;='V06 Calend 01'!E25)),IF((77=('V06 Calend 01'!C25+(6*'V06 Calend 01'!E25))),('V06 Calend 01'!H25-('V06 Calend 01'!I25*('V06 Calend 01'!E25-1))),'V06 Calend 01'!I25),0))+IF((77='V06 Calend 01'!D25),'V06 Calend 01'!J25,0))</f>
        <v>0</v>
      </c>
      <c r="CL25" s="2">
        <f>((IF((78='V06 Calend 01'!C25),('V06 Calend 01'!F25+'V06 Calend 01'!G25),0)+IF(AND(('V06 Calend 01'!E25&gt;0),(78&gt;'V06 Calend 01'!C25),(78&lt;'V06 Calend 01'!D25),(MOD((78-'V06 Calend 01'!C25),6)=0),(((78-'V06 Calend 01'!C25)/6)&lt;='V06 Calend 01'!E25)),IF((78=('V06 Calend 01'!C25+(6*'V06 Calend 01'!E25))),('V06 Calend 01'!H25-('V06 Calend 01'!I25*('V06 Calend 01'!E25-1))),'V06 Calend 01'!I25),0))+IF((78='V06 Calend 01'!D25),'V06 Calend 01'!J25,0))</f>
        <v>0</v>
      </c>
      <c r="CM25" s="2">
        <f>((IF((79='V06 Calend 01'!C25),('V06 Calend 01'!F25+'V06 Calend 01'!G25),0)+IF(AND(('V06 Calend 01'!E25&gt;0),(79&gt;'V06 Calend 01'!C25),(79&lt;'V06 Calend 01'!D25),(MOD((79-'V06 Calend 01'!C25),6)=0),(((79-'V06 Calend 01'!C25)/6)&lt;='V06 Calend 01'!E25)),IF((79=('V06 Calend 01'!C25+(6*'V06 Calend 01'!E25))),('V06 Calend 01'!H25-('V06 Calend 01'!I25*('V06 Calend 01'!E25-1))),'V06 Calend 01'!I25),0))+IF((79='V06 Calend 01'!D25),'V06 Calend 01'!J25,0))</f>
        <v>0</v>
      </c>
      <c r="CN25" s="2">
        <f>((IF((80='V06 Calend 01'!C25),('V06 Calend 01'!F25+'V06 Calend 01'!G25),0)+IF(AND(('V06 Calend 01'!E25&gt;0),(80&gt;'V06 Calend 01'!C25),(80&lt;'V06 Calend 01'!D25),(MOD((80-'V06 Calend 01'!C25),6)=0),(((80-'V06 Calend 01'!C25)/6)&lt;='V06 Calend 01'!E25)),IF((80=('V06 Calend 01'!C25+(6*'V06 Calend 01'!E25))),('V06 Calend 01'!H25-('V06 Calend 01'!I25*('V06 Calend 01'!E25-1))),'V06 Calend 01'!I25),0))+IF((80='V06 Calend 01'!D25),'V06 Calend 01'!J25,0))</f>
        <v>0</v>
      </c>
      <c r="CO25" s="2">
        <f>((IF((81='V06 Calend 01'!C25),('V06 Calend 01'!F25+'V06 Calend 01'!G25),0)+IF(AND(('V06 Calend 01'!E25&gt;0),(81&gt;'V06 Calend 01'!C25),(81&lt;'V06 Calend 01'!D25),(MOD((81-'V06 Calend 01'!C25),6)=0),(((81-'V06 Calend 01'!C25)/6)&lt;='V06 Calend 01'!E25)),IF((81=('V06 Calend 01'!C25+(6*'V06 Calend 01'!E25))),('V06 Calend 01'!H25-('V06 Calend 01'!I25*('V06 Calend 01'!E25-1))),'V06 Calend 01'!I25),0))+IF((81='V06 Calend 01'!D25),'V06 Calend 01'!J25,0))</f>
        <v>0</v>
      </c>
      <c r="CP25" s="2">
        <f>((IF((82='V06 Calend 01'!C25),('V06 Calend 01'!F25+'V06 Calend 01'!G25),0)+IF(AND(('V06 Calend 01'!E25&gt;0),(82&gt;'V06 Calend 01'!C25),(82&lt;'V06 Calend 01'!D25),(MOD((82-'V06 Calend 01'!C25),6)=0),(((82-'V06 Calend 01'!C25)/6)&lt;='V06 Calend 01'!E25)),IF((82=('V06 Calend 01'!C25+(6*'V06 Calend 01'!E25))),('V06 Calend 01'!H25-('V06 Calend 01'!I25*('V06 Calend 01'!E25-1))),'V06 Calend 01'!I25),0))+IF((82='V06 Calend 01'!D25),'V06 Calend 01'!J25,0))</f>
        <v>0</v>
      </c>
      <c r="CQ25" s="2">
        <f>((IF((83='V06 Calend 01'!C25),('V06 Calend 01'!F25+'V06 Calend 01'!G25),0)+IF(AND(('V06 Calend 01'!E25&gt;0),(83&gt;'V06 Calend 01'!C25),(83&lt;'V06 Calend 01'!D25),(MOD((83-'V06 Calend 01'!C25),6)=0),(((83-'V06 Calend 01'!C25)/6)&lt;='V06 Calend 01'!E25)),IF((83=('V06 Calend 01'!C25+(6*'V06 Calend 01'!E25))),('V06 Calend 01'!H25-('V06 Calend 01'!I25*('V06 Calend 01'!E25-1))),'V06 Calend 01'!I25),0))+IF((83='V06 Calend 01'!D25),'V06 Calend 01'!J25,0))</f>
        <v>0</v>
      </c>
      <c r="CR25" s="2">
        <f>((IF((84='V06 Calend 01'!C25),('V06 Calend 01'!F25+'V06 Calend 01'!G25),0)+IF(AND(('V06 Calend 01'!E25&gt;0),(84&gt;'V06 Calend 01'!C25),(84&lt;'V06 Calend 01'!D25),(MOD((84-'V06 Calend 01'!C25),6)=0),(((84-'V06 Calend 01'!C25)/6)&lt;='V06 Calend 01'!E25)),IF((84=('V06 Calend 01'!C25+(6*'V06 Calend 01'!E25))),('V06 Calend 01'!H25-('V06 Calend 01'!I25*('V06 Calend 01'!E25-1))),'V06 Calend 01'!I25),0))+IF((84='V06 Calend 01'!D25),'V06 Calend 01'!J25,0))</f>
        <v>0</v>
      </c>
      <c r="CS25" s="2">
        <f>((IF((85='V06 Calend 01'!C25),('V06 Calend 01'!F25+'V06 Calend 01'!G25),0)+IF(AND(('V06 Calend 01'!E25&gt;0),(85&gt;'V06 Calend 01'!C25),(85&lt;'V06 Calend 01'!D25),(MOD((85-'V06 Calend 01'!C25),6)=0),(((85-'V06 Calend 01'!C25)/6)&lt;='V06 Calend 01'!E25)),IF((85=('V06 Calend 01'!C25+(6*'V06 Calend 01'!E25))),('V06 Calend 01'!H25-('V06 Calend 01'!I25*('V06 Calend 01'!E25-1))),'V06 Calend 01'!I25),0))+IF((85='V06 Calend 01'!D25),'V06 Calend 01'!J25,0))</f>
        <v>0</v>
      </c>
      <c r="CT25" s="2">
        <f>((IF((86='V06 Calend 01'!C25),('V06 Calend 01'!F25+'V06 Calend 01'!G25),0)+IF(AND(('V06 Calend 01'!E25&gt;0),(86&gt;'V06 Calend 01'!C25),(86&lt;'V06 Calend 01'!D25),(MOD((86-'V06 Calend 01'!C25),6)=0),(((86-'V06 Calend 01'!C25)/6)&lt;='V06 Calend 01'!E25)),IF((86=('V06 Calend 01'!C25+(6*'V06 Calend 01'!E25))),('V06 Calend 01'!H25-('V06 Calend 01'!I25*('V06 Calend 01'!E25-1))),'V06 Calend 01'!I25),0))+IF((86='V06 Calend 01'!D25),'V06 Calend 01'!J25,0))</f>
        <v>0</v>
      </c>
      <c r="CU25" s="2">
        <f>((IF((87='V06 Calend 01'!C25),('V06 Calend 01'!F25+'V06 Calend 01'!G25),0)+IF(AND(('V06 Calend 01'!E25&gt;0),(87&gt;'V06 Calend 01'!C25),(87&lt;'V06 Calend 01'!D25),(MOD((87-'V06 Calend 01'!C25),6)=0),(((87-'V06 Calend 01'!C25)/6)&lt;='V06 Calend 01'!E25)),IF((87=('V06 Calend 01'!C25+(6*'V06 Calend 01'!E25))),('V06 Calend 01'!H25-('V06 Calend 01'!I25*('V06 Calend 01'!E25-1))),'V06 Calend 01'!I25),0))+IF((87='V06 Calend 01'!D25),'V06 Calend 01'!J25,0))</f>
        <v>0</v>
      </c>
      <c r="CV25" s="2">
        <f>((IF((88='V06 Calend 01'!C25),('V06 Calend 01'!F25+'V06 Calend 01'!G25),0)+IF(AND(('V06 Calend 01'!E25&gt;0),(88&gt;'V06 Calend 01'!C25),(88&lt;'V06 Calend 01'!D25),(MOD((88-'V06 Calend 01'!C25),6)=0),(((88-'V06 Calend 01'!C25)/6)&lt;='V06 Calend 01'!E25)),IF((88=('V06 Calend 01'!C25+(6*'V06 Calend 01'!E25))),('V06 Calend 01'!H25-('V06 Calend 01'!I25*('V06 Calend 01'!E25-1))),'V06 Calend 01'!I25),0))+IF((88='V06 Calend 01'!D25),'V06 Calend 01'!J25,0))</f>
        <v>0</v>
      </c>
      <c r="CW25" s="2">
        <f>((IF((89='V06 Calend 01'!C25),('V06 Calend 01'!F25+'V06 Calend 01'!G25),0)+IF(AND(('V06 Calend 01'!E25&gt;0),(89&gt;'V06 Calend 01'!C25),(89&lt;'V06 Calend 01'!D25),(MOD((89-'V06 Calend 01'!C25),6)=0),(((89-'V06 Calend 01'!C25)/6)&lt;='V06 Calend 01'!E25)),IF((89=('V06 Calend 01'!C25+(6*'V06 Calend 01'!E25))),('V06 Calend 01'!H25-('V06 Calend 01'!I25*('V06 Calend 01'!E25-1))),'V06 Calend 01'!I25),0))+IF((89='V06 Calend 01'!D25),'V06 Calend 01'!J25,0))</f>
        <v>0</v>
      </c>
      <c r="CX25" s="2">
        <f>((IF((90='V06 Calend 01'!C25),('V06 Calend 01'!F25+'V06 Calend 01'!G25),0)+IF(AND(('V06 Calend 01'!E25&gt;0),(90&gt;'V06 Calend 01'!C25),(90&lt;'V06 Calend 01'!D25),(MOD((90-'V06 Calend 01'!C25),6)=0),(((90-'V06 Calend 01'!C25)/6)&lt;='V06 Calend 01'!E25)),IF((90=('V06 Calend 01'!C25+(6*'V06 Calend 01'!E25))),('V06 Calend 01'!H25-('V06 Calend 01'!I25*('V06 Calend 01'!E25-1))),'V06 Calend 01'!I25),0))+IF((90='V06 Calend 01'!D25),'V06 Calend 01'!J25,0))</f>
        <v>0</v>
      </c>
      <c r="CY25" s="2">
        <f>((IF((91='V06 Calend 01'!C25),('V06 Calend 01'!F25+'V06 Calend 01'!G25),0)+IF(AND(('V06 Calend 01'!E25&gt;0),(91&gt;'V06 Calend 01'!C25),(91&lt;'V06 Calend 01'!D25),(MOD((91-'V06 Calend 01'!C25),6)=0),(((91-'V06 Calend 01'!C25)/6)&lt;='V06 Calend 01'!E25)),IF((91=('V06 Calend 01'!C25+(6*'V06 Calend 01'!E25))),('V06 Calend 01'!H25-('V06 Calend 01'!I25*('V06 Calend 01'!E25-1))),'V06 Calend 01'!I25),0))+IF((91='V06 Calend 01'!D25),'V06 Calend 01'!J25,0))</f>
        <v>0</v>
      </c>
      <c r="CZ25" s="2">
        <f>((IF((92='V06 Calend 01'!C25),('V06 Calend 01'!F25+'V06 Calend 01'!G25),0)+IF(AND(('V06 Calend 01'!E25&gt;0),(92&gt;'V06 Calend 01'!C25),(92&lt;'V06 Calend 01'!D25),(MOD((92-'V06 Calend 01'!C25),6)=0),(((92-'V06 Calend 01'!C25)/6)&lt;='V06 Calend 01'!E25)),IF((92=('V06 Calend 01'!C25+(6*'V06 Calend 01'!E25))),('V06 Calend 01'!H25-('V06 Calend 01'!I25*('V06 Calend 01'!E25-1))),'V06 Calend 01'!I25),0))+IF((92='V06 Calend 01'!D25),'V06 Calend 01'!J25,0))</f>
        <v>0</v>
      </c>
      <c r="DA25" s="2">
        <f>((IF((93='V06 Calend 01'!C25),('V06 Calend 01'!F25+'V06 Calend 01'!G25),0)+IF(AND(('V06 Calend 01'!E25&gt;0),(93&gt;'V06 Calend 01'!C25),(93&lt;'V06 Calend 01'!D25),(MOD((93-'V06 Calend 01'!C25),6)=0),(((93-'V06 Calend 01'!C25)/6)&lt;='V06 Calend 01'!E25)),IF((93=('V06 Calend 01'!C25+(6*'V06 Calend 01'!E25))),('V06 Calend 01'!H25-('V06 Calend 01'!I25*('V06 Calend 01'!E25-1))),'V06 Calend 01'!I25),0))+IF((93='V06 Calend 01'!D25),'V06 Calend 01'!J25,0))</f>
        <v>0</v>
      </c>
      <c r="DB25" s="2">
        <f>((IF((94='V06 Calend 01'!C25),('V06 Calend 01'!F25+'V06 Calend 01'!G25),0)+IF(AND(('V06 Calend 01'!E25&gt;0),(94&gt;'V06 Calend 01'!C25),(94&lt;'V06 Calend 01'!D25),(MOD((94-'V06 Calend 01'!C25),6)=0),(((94-'V06 Calend 01'!C25)/6)&lt;='V06 Calend 01'!E25)),IF((94=('V06 Calend 01'!C25+(6*'V06 Calend 01'!E25))),('V06 Calend 01'!H25-('V06 Calend 01'!I25*('V06 Calend 01'!E25-1))),'V06 Calend 01'!I25),0))+IF((94='V06 Calend 01'!D25),'V06 Calend 01'!J25,0))</f>
        <v>0</v>
      </c>
      <c r="DC25" s="2">
        <f>((IF((95='V06 Calend 01'!C25),('V06 Calend 01'!F25+'V06 Calend 01'!G25),0)+IF(AND(('V06 Calend 01'!E25&gt;0),(95&gt;'V06 Calend 01'!C25),(95&lt;'V06 Calend 01'!D25),(MOD((95-'V06 Calend 01'!C25),6)=0),(((95-'V06 Calend 01'!C25)/6)&lt;='V06 Calend 01'!E25)),IF((95=('V06 Calend 01'!C25+(6*'V06 Calend 01'!E25))),('V06 Calend 01'!H25-('V06 Calend 01'!I25*('V06 Calend 01'!E25-1))),'V06 Calend 01'!I25),0))+IF((95='V06 Calend 01'!D25),'V06 Calend 01'!J25,0))</f>
        <v>0</v>
      </c>
      <c r="DD25" s="2">
        <f>((IF((96='V06 Calend 01'!C25),('V06 Calend 01'!F25+'V06 Calend 01'!G25),0)+IF(AND(('V06 Calend 01'!E25&gt;0),(96&gt;'V06 Calend 01'!C25),(96&lt;'V06 Calend 01'!D25),(MOD((96-'V06 Calend 01'!C25),6)=0),(((96-'V06 Calend 01'!C25)/6)&lt;='V06 Calend 01'!E25)),IF((96=('V06 Calend 01'!C25+(6*'V06 Calend 01'!E25))),('V06 Calend 01'!H25-('V06 Calend 01'!I25*('V06 Calend 01'!E25-1))),'V06 Calend 01'!I25),0))+IF((96='V06 Calend 01'!D25),'V06 Calend 01'!J25,0))</f>
        <v>0</v>
      </c>
      <c r="DE25" s="2">
        <f>((IF((97='V06 Calend 01'!C25),('V06 Calend 01'!F25+'V06 Calend 01'!G25),0)+IF(AND(('V06 Calend 01'!E25&gt;0),(97&gt;'V06 Calend 01'!C25),(97&lt;'V06 Calend 01'!D25),(MOD((97-'V06 Calend 01'!C25),6)=0),(((97-'V06 Calend 01'!C25)/6)&lt;='V06 Calend 01'!E25)),IF((97=('V06 Calend 01'!C25+(6*'V06 Calend 01'!E25))),('V06 Calend 01'!H25-('V06 Calend 01'!I25*('V06 Calend 01'!E25-1))),'V06 Calend 01'!I25),0))+IF((97='V06 Calend 01'!D25),'V06 Calend 01'!J25,0))</f>
        <v>0</v>
      </c>
      <c r="DF25" s="2">
        <f>((IF((98='V06 Calend 01'!C25),('V06 Calend 01'!F25+'V06 Calend 01'!G25),0)+IF(AND(('V06 Calend 01'!E25&gt;0),(98&gt;'V06 Calend 01'!C25),(98&lt;'V06 Calend 01'!D25),(MOD((98-'V06 Calend 01'!C25),6)=0),(((98-'V06 Calend 01'!C25)/6)&lt;='V06 Calend 01'!E25)),IF((98=('V06 Calend 01'!C25+(6*'V06 Calend 01'!E25))),('V06 Calend 01'!H25-('V06 Calend 01'!I25*('V06 Calend 01'!E25-1))),'V06 Calend 01'!I25),0))+IF((98='V06 Calend 01'!D25),'V06 Calend 01'!J25,0))</f>
        <v>0</v>
      </c>
      <c r="DG25" s="2">
        <f>((IF((99='V06 Calend 01'!C25),('V06 Calend 01'!F25+'V06 Calend 01'!G25),0)+IF(AND(('V06 Calend 01'!E25&gt;0),(99&gt;'V06 Calend 01'!C25),(99&lt;'V06 Calend 01'!D25),(MOD((99-'V06 Calend 01'!C25),6)=0),(((99-'V06 Calend 01'!C25)/6)&lt;='V06 Calend 01'!E25)),IF((99=('V06 Calend 01'!C25+(6*'V06 Calend 01'!E25))),('V06 Calend 01'!H25-('V06 Calend 01'!I25*('V06 Calend 01'!E25-1))),'V06 Calend 01'!I25),0))+IF((99='V06 Calend 01'!D25),'V06 Calend 01'!J25,0))</f>
        <v>0</v>
      </c>
      <c r="DH25" s="2">
        <f>((IF((100='V06 Calend 01'!C25),('V06 Calend 01'!F25+'V06 Calend 01'!G25),0)+IF(AND(('V06 Calend 01'!E25&gt;0),(100&gt;'V06 Calend 01'!C25),(100&lt;'V06 Calend 01'!D25),(MOD((100-'V06 Calend 01'!C25),6)=0),(((100-'V06 Calend 01'!C25)/6)&lt;='V06 Calend 01'!E25)),IF((100=('V06 Calend 01'!C25+(6*'V06 Calend 01'!E25))),('V06 Calend 01'!H25-('V06 Calend 01'!I25*('V06 Calend 01'!E25-1))),'V06 Calend 01'!I25),0))+IF((100='V06 Calend 01'!D25),'V06 Calend 01'!J25,0))</f>
        <v>0</v>
      </c>
      <c r="DI25" s="2">
        <f>((IF((101='V06 Calend 01'!C25),('V06 Calend 01'!F25+'V06 Calend 01'!G25),0)+IF(AND(('V06 Calend 01'!E25&gt;0),(101&gt;'V06 Calend 01'!C25),(101&lt;'V06 Calend 01'!D25),(MOD((101-'V06 Calend 01'!C25),6)=0),(((101-'V06 Calend 01'!C25)/6)&lt;='V06 Calend 01'!E25)),IF((101=('V06 Calend 01'!C25+(6*'V06 Calend 01'!E25))),('V06 Calend 01'!H25-('V06 Calend 01'!I25*('V06 Calend 01'!E25-1))),'V06 Calend 01'!I25),0))+IF((101='V06 Calend 01'!D25),'V06 Calend 01'!J25,0))</f>
        <v>0</v>
      </c>
      <c r="DJ25" s="2">
        <f>((IF((102='V06 Calend 01'!C25),('V06 Calend 01'!F25+'V06 Calend 01'!G25),0)+IF(AND(('V06 Calend 01'!E25&gt;0),(102&gt;'V06 Calend 01'!C25),(102&lt;'V06 Calend 01'!D25),(MOD((102-'V06 Calend 01'!C25),6)=0),(((102-'V06 Calend 01'!C25)/6)&lt;='V06 Calend 01'!E25)),IF((102=('V06 Calend 01'!C25+(6*'V06 Calend 01'!E25))),('V06 Calend 01'!H25-('V06 Calend 01'!I25*('V06 Calend 01'!E25-1))),'V06 Calend 01'!I25),0))+IF((102='V06 Calend 01'!D25),'V06 Calend 01'!J25,0))</f>
        <v>0</v>
      </c>
      <c r="DK25" s="2">
        <f>((IF((103='V06 Calend 01'!C25),('V06 Calend 01'!F25+'V06 Calend 01'!G25),0)+IF(AND(('V06 Calend 01'!E25&gt;0),(103&gt;'V06 Calend 01'!C25),(103&lt;'V06 Calend 01'!D25),(MOD((103-'V06 Calend 01'!C25),6)=0),(((103-'V06 Calend 01'!C25)/6)&lt;='V06 Calend 01'!E25)),IF((103=('V06 Calend 01'!C25+(6*'V06 Calend 01'!E25))),('V06 Calend 01'!H25-('V06 Calend 01'!I25*('V06 Calend 01'!E25-1))),'V06 Calend 01'!I25),0))+IF((103='V06 Calend 01'!D25),'V06 Calend 01'!J25,0))</f>
        <v>0</v>
      </c>
      <c r="DL25" s="2">
        <f>((IF((104='V06 Calend 01'!C25),('V06 Calend 01'!F25+'V06 Calend 01'!G25),0)+IF(AND(('V06 Calend 01'!E25&gt;0),(104&gt;'V06 Calend 01'!C25),(104&lt;'V06 Calend 01'!D25),(MOD((104-'V06 Calend 01'!C25),6)=0),(((104-'V06 Calend 01'!C25)/6)&lt;='V06 Calend 01'!E25)),IF((104=('V06 Calend 01'!C25+(6*'V06 Calend 01'!E25))),('V06 Calend 01'!H25-('V06 Calend 01'!I25*('V06 Calend 01'!E25-1))),'V06 Calend 01'!I25),0))+IF((104='V06 Calend 01'!D25),'V06 Calend 01'!J25,0))</f>
        <v>0</v>
      </c>
      <c r="DM25" s="2">
        <f>((IF((105='V06 Calend 01'!C25),('V06 Calend 01'!F25+'V06 Calend 01'!G25),0)+IF(AND(('V06 Calend 01'!E25&gt;0),(105&gt;'V06 Calend 01'!C25),(105&lt;'V06 Calend 01'!D25),(MOD((105-'V06 Calend 01'!C25),6)=0),(((105-'V06 Calend 01'!C25)/6)&lt;='V06 Calend 01'!E25)),IF((105=('V06 Calend 01'!C25+(6*'V06 Calend 01'!E25))),('V06 Calend 01'!H25-('V06 Calend 01'!I25*('V06 Calend 01'!E25-1))),'V06 Calend 01'!I25),0))+IF((105='V06 Calend 01'!D25),'V06 Calend 01'!J25,0))</f>
        <v>0</v>
      </c>
      <c r="DN25" s="2">
        <f>((IF((106='V06 Calend 01'!C25),('V06 Calend 01'!F25+'V06 Calend 01'!G25),0)+IF(AND(('V06 Calend 01'!E25&gt;0),(106&gt;'V06 Calend 01'!C25),(106&lt;'V06 Calend 01'!D25),(MOD((106-'V06 Calend 01'!C25),6)=0),(((106-'V06 Calend 01'!C25)/6)&lt;='V06 Calend 01'!E25)),IF((106=('V06 Calend 01'!C25+(6*'V06 Calend 01'!E25))),('V06 Calend 01'!H25-('V06 Calend 01'!I25*('V06 Calend 01'!E25-1))),'V06 Calend 01'!I25),0))+IF((106='V06 Calend 01'!D25),'V06 Calend 01'!J25,0))</f>
        <v>0</v>
      </c>
      <c r="DO25" s="2">
        <f>((IF((107='V06 Calend 01'!C25),('V06 Calend 01'!F25+'V06 Calend 01'!G25),0)+IF(AND(('V06 Calend 01'!E25&gt;0),(107&gt;'V06 Calend 01'!C25),(107&lt;'V06 Calend 01'!D25),(MOD((107-'V06 Calend 01'!C25),6)=0),(((107-'V06 Calend 01'!C25)/6)&lt;='V06 Calend 01'!E25)),IF((107=('V06 Calend 01'!C25+(6*'V06 Calend 01'!E25))),('V06 Calend 01'!H25-('V06 Calend 01'!I25*('V06 Calend 01'!E25-1))),'V06 Calend 01'!I25),0))+IF((107='V06 Calend 01'!D25),'V06 Calend 01'!J25,0))</f>
        <v>0</v>
      </c>
      <c r="DP25" s="2">
        <f>((IF((108='V06 Calend 01'!C25),('V06 Calend 01'!F25+'V06 Calend 01'!G25),0)+IF(AND(('V06 Calend 01'!E25&gt;0),(108&gt;'V06 Calend 01'!C25),(108&lt;'V06 Calend 01'!D25),(MOD((108-'V06 Calend 01'!C25),6)=0),(((108-'V06 Calend 01'!C25)/6)&lt;='V06 Calend 01'!E25)),IF((108=('V06 Calend 01'!C25+(6*'V06 Calend 01'!E25))),('V06 Calend 01'!H25-('V06 Calend 01'!I25*('V06 Calend 01'!E25-1))),'V06 Calend 01'!I25),0))+IF((108='V06 Calend 01'!D25),'V06 Calend 01'!J25,0))</f>
        <v>0</v>
      </c>
      <c r="DQ25" s="2">
        <f>((IF((109='V06 Calend 01'!C25),('V06 Calend 01'!F25+'V06 Calend 01'!G25),0)+IF(AND(('V06 Calend 01'!E25&gt;0),(109&gt;'V06 Calend 01'!C25),(109&lt;'V06 Calend 01'!D25),(MOD((109-'V06 Calend 01'!C25),6)=0),(((109-'V06 Calend 01'!C25)/6)&lt;='V06 Calend 01'!E25)),IF((109=('V06 Calend 01'!C25+(6*'V06 Calend 01'!E25))),('V06 Calend 01'!H25-('V06 Calend 01'!I25*('V06 Calend 01'!E25-1))),'V06 Calend 01'!I25),0))+IF((109='V06 Calend 01'!D25),'V06 Calend 01'!J25,0))</f>
        <v>0</v>
      </c>
      <c r="DR25" s="2">
        <f>((IF((110='V06 Calend 01'!C25),('V06 Calend 01'!F25+'V06 Calend 01'!G25),0)+IF(AND(('V06 Calend 01'!E25&gt;0),(110&gt;'V06 Calend 01'!C25),(110&lt;'V06 Calend 01'!D25),(MOD((110-'V06 Calend 01'!C25),6)=0),(((110-'V06 Calend 01'!C25)/6)&lt;='V06 Calend 01'!E25)),IF((110=('V06 Calend 01'!C25+(6*'V06 Calend 01'!E25))),('V06 Calend 01'!H25-('V06 Calend 01'!I25*('V06 Calend 01'!E25-1))),'V06 Calend 01'!I25),0))+IF((110='V06 Calend 01'!D25),'V06 Calend 01'!J25,0))</f>
        <v>0</v>
      </c>
      <c r="DS25" s="2">
        <f>((IF((111='V06 Calend 01'!C25),('V06 Calend 01'!F25+'V06 Calend 01'!G25),0)+IF(AND(('V06 Calend 01'!E25&gt;0),(111&gt;'V06 Calend 01'!C25),(111&lt;'V06 Calend 01'!D25),(MOD((111-'V06 Calend 01'!C25),6)=0),(((111-'V06 Calend 01'!C25)/6)&lt;='V06 Calend 01'!E25)),IF((111=('V06 Calend 01'!C25+(6*'V06 Calend 01'!E25))),('V06 Calend 01'!H25-('V06 Calend 01'!I25*('V06 Calend 01'!E25-1))),'V06 Calend 01'!I25),0))+IF((111='V06 Calend 01'!D25),'V06 Calend 01'!J25,0))</f>
        <v>0</v>
      </c>
      <c r="DT25" s="2">
        <f>((IF((112='V06 Calend 01'!C25),('V06 Calend 01'!F25+'V06 Calend 01'!G25),0)+IF(AND(('V06 Calend 01'!E25&gt;0),(112&gt;'V06 Calend 01'!C25),(112&lt;'V06 Calend 01'!D25),(MOD((112-'V06 Calend 01'!C25),6)=0),(((112-'V06 Calend 01'!C25)/6)&lt;='V06 Calend 01'!E25)),IF((112=('V06 Calend 01'!C25+(6*'V06 Calend 01'!E25))),('V06 Calend 01'!H25-('V06 Calend 01'!I25*('V06 Calend 01'!E25-1))),'V06 Calend 01'!I25),0))+IF((112='V06 Calend 01'!D25),'V06 Calend 01'!J25,0))</f>
        <v>0</v>
      </c>
      <c r="DU25" s="2">
        <f>((IF((113='V06 Calend 01'!C25),('V06 Calend 01'!F25+'V06 Calend 01'!G25),0)+IF(AND(('V06 Calend 01'!E25&gt;0),(113&gt;'V06 Calend 01'!C25),(113&lt;'V06 Calend 01'!D25),(MOD((113-'V06 Calend 01'!C25),6)=0),(((113-'V06 Calend 01'!C25)/6)&lt;='V06 Calend 01'!E25)),IF((113=('V06 Calend 01'!C25+(6*'V06 Calend 01'!E25))),('V06 Calend 01'!H25-('V06 Calend 01'!I25*('V06 Calend 01'!E25-1))),'V06 Calend 01'!I25),0))+IF((113='V06 Calend 01'!D25),'V06 Calend 01'!J25,0))</f>
        <v>0</v>
      </c>
      <c r="DV25" s="2">
        <f>((IF((114='V06 Calend 01'!C25),('V06 Calend 01'!F25+'V06 Calend 01'!G25),0)+IF(AND(('V06 Calend 01'!E25&gt;0),(114&gt;'V06 Calend 01'!C25),(114&lt;'V06 Calend 01'!D25),(MOD((114-'V06 Calend 01'!C25),6)=0),(((114-'V06 Calend 01'!C25)/6)&lt;='V06 Calend 01'!E25)),IF((114=('V06 Calend 01'!C25+(6*'V06 Calend 01'!E25))),('V06 Calend 01'!H25-('V06 Calend 01'!I25*('V06 Calend 01'!E25-1))),'V06 Calend 01'!I25),0))+IF((114='V06 Calend 01'!D25),'V06 Calend 01'!J25,0))</f>
        <v>0</v>
      </c>
      <c r="DW25" s="2">
        <f>((IF((115='V06 Calend 01'!C25),('V06 Calend 01'!F25+'V06 Calend 01'!G25),0)+IF(AND(('V06 Calend 01'!E25&gt;0),(115&gt;'V06 Calend 01'!C25),(115&lt;'V06 Calend 01'!D25),(MOD((115-'V06 Calend 01'!C25),6)=0),(((115-'V06 Calend 01'!C25)/6)&lt;='V06 Calend 01'!E25)),IF((115=('V06 Calend 01'!C25+(6*'V06 Calend 01'!E25))),('V06 Calend 01'!H25-('V06 Calend 01'!I25*('V06 Calend 01'!E25-1))),'V06 Calend 01'!I25),0))+IF((115='V06 Calend 01'!D25),'V06 Calend 01'!J25,0))</f>
        <v>0</v>
      </c>
      <c r="DX25" s="2">
        <f>((IF((116='V06 Calend 01'!C25),('V06 Calend 01'!F25+'V06 Calend 01'!G25),0)+IF(AND(('V06 Calend 01'!E25&gt;0),(116&gt;'V06 Calend 01'!C25),(116&lt;'V06 Calend 01'!D25),(MOD((116-'V06 Calend 01'!C25),6)=0),(((116-'V06 Calend 01'!C25)/6)&lt;='V06 Calend 01'!E25)),IF((116=('V06 Calend 01'!C25+(6*'V06 Calend 01'!E25))),('V06 Calend 01'!H25-('V06 Calend 01'!I25*('V06 Calend 01'!E25-1))),'V06 Calend 01'!I25),0))+IF((116='V06 Calend 01'!D25),'V06 Calend 01'!J25,0))</f>
        <v>0</v>
      </c>
      <c r="DY25" s="2">
        <f>((IF((117='V06 Calend 01'!C25),('V06 Calend 01'!F25+'V06 Calend 01'!G25),0)+IF(AND(('V06 Calend 01'!E25&gt;0),(117&gt;'V06 Calend 01'!C25),(117&lt;'V06 Calend 01'!D25),(MOD((117-'V06 Calend 01'!C25),6)=0),(((117-'V06 Calend 01'!C25)/6)&lt;='V06 Calend 01'!E25)),IF((117=('V06 Calend 01'!C25+(6*'V06 Calend 01'!E25))),('V06 Calend 01'!H25-('V06 Calend 01'!I25*('V06 Calend 01'!E25-1))),'V06 Calend 01'!I25),0))+IF((117='V06 Calend 01'!D25),'V06 Calend 01'!J25,0))</f>
        <v>0</v>
      </c>
      <c r="DZ25" s="2">
        <f>((IF((118='V06 Calend 01'!C25),('V06 Calend 01'!F25+'V06 Calend 01'!G25),0)+IF(AND(('V06 Calend 01'!E25&gt;0),(118&gt;'V06 Calend 01'!C25),(118&lt;'V06 Calend 01'!D25),(MOD((118-'V06 Calend 01'!C25),6)=0),(((118-'V06 Calend 01'!C25)/6)&lt;='V06 Calend 01'!E25)),IF((118=('V06 Calend 01'!C25+(6*'V06 Calend 01'!E25))),('V06 Calend 01'!H25-('V06 Calend 01'!I25*('V06 Calend 01'!E25-1))),'V06 Calend 01'!I25),0))+IF((118='V06 Calend 01'!D25),'V06 Calend 01'!J25,0))</f>
        <v>0</v>
      </c>
      <c r="EA25" s="2">
        <f>((IF((119='V06 Calend 01'!C25),('V06 Calend 01'!F25+'V06 Calend 01'!G25),0)+IF(AND(('V06 Calend 01'!E25&gt;0),(119&gt;'V06 Calend 01'!C25),(119&lt;'V06 Calend 01'!D25),(MOD((119-'V06 Calend 01'!C25),6)=0),(((119-'V06 Calend 01'!C25)/6)&lt;='V06 Calend 01'!E25)),IF((119=('V06 Calend 01'!C25+(6*'V06 Calend 01'!E25))),('V06 Calend 01'!H25-('V06 Calend 01'!I25*('V06 Calend 01'!E25-1))),'V06 Calend 01'!I25),0))+IF((119='V06 Calend 01'!D25),'V06 Calend 01'!J25,0))</f>
        <v>0</v>
      </c>
      <c r="EB25" s="2">
        <f>((IF((120='V06 Calend 01'!C25),('V06 Calend 01'!F25+'V06 Calend 01'!G25),0)+IF(AND(('V06 Calend 01'!E25&gt;0),(120&gt;'V06 Calend 01'!C25),(120&lt;'V06 Calend 01'!D25),(MOD((120-'V06 Calend 01'!C25),6)=0),(((120-'V06 Calend 01'!C25)/6)&lt;='V06 Calend 01'!E25)),IF((120=('V06 Calend 01'!C25+(6*'V06 Calend 01'!E25))),('V06 Calend 01'!H25-('V06 Calend 01'!I25*('V06 Calend 01'!E25-1))),'V06 Calend 01'!I25),0))+IF((120='V06 Calend 01'!D25),'V06 Calend 01'!J25,0))</f>
        <v>0</v>
      </c>
      <c r="EC25" s="2">
        <f>((IF((121='V06 Calend 01'!C25),('V06 Calend 01'!F25+'V06 Calend 01'!G25),0)+IF(AND(('V06 Calend 01'!E25&gt;0),(121&gt;'V06 Calend 01'!C25),(121&lt;'V06 Calend 01'!D25),(MOD((121-'V06 Calend 01'!C25),6)=0),(((121-'V06 Calend 01'!C25)/6)&lt;='V06 Calend 01'!E25)),IF((121=('V06 Calend 01'!C25+(6*'V06 Calend 01'!E25))),('V06 Calend 01'!H25-('V06 Calend 01'!I25*('V06 Calend 01'!E25-1))),'V06 Calend 01'!I25),0))+IF((121='V06 Calend 01'!D25),'V06 Calend 01'!J25,0))</f>
        <v>0</v>
      </c>
      <c r="ED25" s="2">
        <f>((IF((122='V06 Calend 01'!C25),('V06 Calend 01'!F25+'V06 Calend 01'!G25),0)+IF(AND(('V06 Calend 01'!E25&gt;0),(122&gt;'V06 Calend 01'!C25),(122&lt;'V06 Calend 01'!D25),(MOD((122-'V06 Calend 01'!C25),6)=0),(((122-'V06 Calend 01'!C25)/6)&lt;='V06 Calend 01'!E25)),IF((122=('V06 Calend 01'!C25+(6*'V06 Calend 01'!E25))),('V06 Calend 01'!H25-('V06 Calend 01'!I25*('V06 Calend 01'!E25-1))),'V06 Calend 01'!I25),0))+IF((122='V06 Calend 01'!D25),'V06 Calend 01'!J25,0))</f>
        <v>0</v>
      </c>
      <c r="EE25" s="2">
        <f>((IF((123='V06 Calend 01'!C25),('V06 Calend 01'!F25+'V06 Calend 01'!G25),0)+IF(AND(('V06 Calend 01'!E25&gt;0),(123&gt;'V06 Calend 01'!C25),(123&lt;'V06 Calend 01'!D25),(MOD((123-'V06 Calend 01'!C25),6)=0),(((123-'V06 Calend 01'!C25)/6)&lt;='V06 Calend 01'!E25)),IF((123=('V06 Calend 01'!C25+(6*'V06 Calend 01'!E25))),('V06 Calend 01'!H25-('V06 Calend 01'!I25*('V06 Calend 01'!E25-1))),'V06 Calend 01'!I25),0))+IF((123='V06 Calend 01'!D25),'V06 Calend 01'!J25,0))</f>
        <v>0</v>
      </c>
      <c r="EF25" s="2">
        <f>((IF((124='V06 Calend 01'!C25),('V06 Calend 01'!F25+'V06 Calend 01'!G25),0)+IF(AND(('V06 Calend 01'!E25&gt;0),(124&gt;'V06 Calend 01'!C25),(124&lt;'V06 Calend 01'!D25),(MOD((124-'V06 Calend 01'!C25),6)=0),(((124-'V06 Calend 01'!C25)/6)&lt;='V06 Calend 01'!E25)),IF((124=('V06 Calend 01'!C25+(6*'V06 Calend 01'!E25))),('V06 Calend 01'!H25-('V06 Calend 01'!I25*('V06 Calend 01'!E25-1))),'V06 Calend 01'!I25),0))+IF((124='V06 Calend 01'!D25),'V06 Calend 01'!J25,0))</f>
        <v>0</v>
      </c>
      <c r="EG25" s="2">
        <f>((IF((125='V06 Calend 01'!C25),('V06 Calend 01'!F25+'V06 Calend 01'!G25),0)+IF(AND(('V06 Calend 01'!E25&gt;0),(125&gt;'V06 Calend 01'!C25),(125&lt;'V06 Calend 01'!D25),(MOD((125-'V06 Calend 01'!C25),6)=0),(((125-'V06 Calend 01'!C25)/6)&lt;='V06 Calend 01'!E25)),IF((125=('V06 Calend 01'!C25+(6*'V06 Calend 01'!E25))),('V06 Calend 01'!H25-('V06 Calend 01'!I25*('V06 Calend 01'!E25-1))),'V06 Calend 01'!I25),0))+IF((125='V06 Calend 01'!D25),'V06 Calend 01'!J25,0))</f>
        <v>0</v>
      </c>
      <c r="EH25" s="2">
        <f>((IF((126='V06 Calend 01'!C25),('V06 Calend 01'!F25+'V06 Calend 01'!G25),0)+IF(AND(('V06 Calend 01'!E25&gt;0),(126&gt;'V06 Calend 01'!C25),(126&lt;'V06 Calend 01'!D25),(MOD((126-'V06 Calend 01'!C25),6)=0),(((126-'V06 Calend 01'!C25)/6)&lt;='V06 Calend 01'!E25)),IF((126=('V06 Calend 01'!C25+(6*'V06 Calend 01'!E25))),('V06 Calend 01'!H25-('V06 Calend 01'!I25*('V06 Calend 01'!E25-1))),'V06 Calend 01'!I25),0))+IF((126='V06 Calend 01'!D25),'V06 Calend 01'!J25,0))</f>
        <v>0</v>
      </c>
      <c r="EI25" s="2">
        <f>((IF((127='V06 Calend 01'!C25),('V06 Calend 01'!F25+'V06 Calend 01'!G25),0)+IF(AND(('V06 Calend 01'!E25&gt;0),(127&gt;'V06 Calend 01'!C25),(127&lt;'V06 Calend 01'!D25),(MOD((127-'V06 Calend 01'!C25),6)=0),(((127-'V06 Calend 01'!C25)/6)&lt;='V06 Calend 01'!E25)),IF((127=('V06 Calend 01'!C25+(6*'V06 Calend 01'!E25))),('V06 Calend 01'!H25-('V06 Calend 01'!I25*('V06 Calend 01'!E25-1))),'V06 Calend 01'!I25),0))+IF((127='V06 Calend 01'!D25),'V06 Calend 01'!J25,0))</f>
        <v>0</v>
      </c>
      <c r="EJ25" s="2">
        <f>((IF((128='V06 Calend 01'!C25),('V06 Calend 01'!F25+'V06 Calend 01'!G25),0)+IF(AND(('V06 Calend 01'!E25&gt;0),(128&gt;'V06 Calend 01'!C25),(128&lt;'V06 Calend 01'!D25),(MOD((128-'V06 Calend 01'!C25),6)=0),(((128-'V06 Calend 01'!C25)/6)&lt;='V06 Calend 01'!E25)),IF((128=('V06 Calend 01'!C25+(6*'V06 Calend 01'!E25))),('V06 Calend 01'!H25-('V06 Calend 01'!I25*('V06 Calend 01'!E25-1))),'V06 Calend 01'!I25),0))+IF((128='V06 Calend 01'!D25),'V06 Calend 01'!J25,0))</f>
        <v>0</v>
      </c>
      <c r="EK25" s="2">
        <f>((IF((129='V06 Calend 01'!C25),('V06 Calend 01'!F25+'V06 Calend 01'!G25),0)+IF(AND(('V06 Calend 01'!E25&gt;0),(129&gt;'V06 Calend 01'!C25),(129&lt;'V06 Calend 01'!D25),(MOD((129-'V06 Calend 01'!C25),6)=0),(((129-'V06 Calend 01'!C25)/6)&lt;='V06 Calend 01'!E25)),IF((129=('V06 Calend 01'!C25+(6*'V06 Calend 01'!E25))),('V06 Calend 01'!H25-('V06 Calend 01'!I25*('V06 Calend 01'!E25-1))),'V06 Calend 01'!I25),0))+IF((129='V06 Calend 01'!D25),'V06 Calend 01'!J25,0))</f>
        <v>0</v>
      </c>
      <c r="EL25" s="2">
        <f>((IF((130='V06 Calend 01'!C25),('V06 Calend 01'!F25+'V06 Calend 01'!G25),0)+IF(AND(('V06 Calend 01'!E25&gt;0),(130&gt;'V06 Calend 01'!C25),(130&lt;'V06 Calend 01'!D25),(MOD((130-'V06 Calend 01'!C25),6)=0),(((130-'V06 Calend 01'!C25)/6)&lt;='V06 Calend 01'!E25)),IF((130=('V06 Calend 01'!C25+(6*'V06 Calend 01'!E25))),('V06 Calend 01'!H25-('V06 Calend 01'!I25*('V06 Calend 01'!E25-1))),'V06 Calend 01'!I25),0))+IF((130='V06 Calend 01'!D25),'V06 Calend 01'!J25,0))</f>
        <v>0</v>
      </c>
      <c r="EM25" s="2">
        <f>((IF((131='V06 Calend 01'!C25),('V06 Calend 01'!F25+'V06 Calend 01'!G25),0)+IF(AND(('V06 Calend 01'!E25&gt;0),(131&gt;'V06 Calend 01'!C25),(131&lt;'V06 Calend 01'!D25),(MOD((131-'V06 Calend 01'!C25),6)=0),(((131-'V06 Calend 01'!C25)/6)&lt;='V06 Calend 01'!E25)),IF((131=('V06 Calend 01'!C25+(6*'V06 Calend 01'!E25))),('V06 Calend 01'!H25-('V06 Calend 01'!I25*('V06 Calend 01'!E25-1))),'V06 Calend 01'!I25),0))+IF((131='V06 Calend 01'!D25),'V06 Calend 01'!J25,0))</f>
        <v>0</v>
      </c>
      <c r="EN25" s="2">
        <f>((IF((132='V06 Calend 01'!C25),('V06 Calend 01'!F25+'V06 Calend 01'!G25),0)+IF(AND(('V06 Calend 01'!E25&gt;0),(132&gt;'V06 Calend 01'!C25),(132&lt;'V06 Calend 01'!D25),(MOD((132-'V06 Calend 01'!C25),6)=0),(((132-'V06 Calend 01'!C25)/6)&lt;='V06 Calend 01'!E25)),IF((132=('V06 Calend 01'!C25+(6*'V06 Calend 01'!E25))),('V06 Calend 01'!H25-('V06 Calend 01'!I25*('V06 Calend 01'!E25-1))),'V06 Calend 01'!I25),0))+IF((132='V06 Calend 01'!D25),'V06 Calend 01'!J25,0))</f>
        <v>0</v>
      </c>
      <c r="EO25" s="2">
        <f>((IF((133='V06 Calend 01'!C25),('V06 Calend 01'!F25+'V06 Calend 01'!G25),0)+IF(AND(('V06 Calend 01'!E25&gt;0),(133&gt;'V06 Calend 01'!C25),(133&lt;'V06 Calend 01'!D25),(MOD((133-'V06 Calend 01'!C25),6)=0),(((133-'V06 Calend 01'!C25)/6)&lt;='V06 Calend 01'!E25)),IF((133=('V06 Calend 01'!C25+(6*'V06 Calend 01'!E25))),('V06 Calend 01'!H25-('V06 Calend 01'!I25*('V06 Calend 01'!E25-1))),'V06 Calend 01'!I25),0))+IF((133='V06 Calend 01'!D25),'V06 Calend 01'!J25,0))</f>
        <v>0</v>
      </c>
      <c r="EP25" s="2">
        <f>((IF((134='V06 Calend 01'!C25),('V06 Calend 01'!F25+'V06 Calend 01'!G25),0)+IF(AND(('V06 Calend 01'!E25&gt;0),(134&gt;'V06 Calend 01'!C25),(134&lt;'V06 Calend 01'!D25),(MOD((134-'V06 Calend 01'!C25),6)=0),(((134-'V06 Calend 01'!C25)/6)&lt;='V06 Calend 01'!E25)),IF((134=('V06 Calend 01'!C25+(6*'V06 Calend 01'!E25))),('V06 Calend 01'!H25-('V06 Calend 01'!I25*('V06 Calend 01'!E25-1))),'V06 Calend 01'!I25),0))+IF((134='V06 Calend 01'!D25),'V06 Calend 01'!J25,0))</f>
        <v>0</v>
      </c>
      <c r="EQ25" s="2">
        <f>((IF((135='V06 Calend 01'!C25),('V06 Calend 01'!F25+'V06 Calend 01'!G25),0)+IF(AND(('V06 Calend 01'!E25&gt;0),(135&gt;'V06 Calend 01'!C25),(135&lt;'V06 Calend 01'!D25),(MOD((135-'V06 Calend 01'!C25),6)=0),(((135-'V06 Calend 01'!C25)/6)&lt;='V06 Calend 01'!E25)),IF((135=('V06 Calend 01'!C25+(6*'V06 Calend 01'!E25))),('V06 Calend 01'!H25-('V06 Calend 01'!I25*('V06 Calend 01'!E25-1))),'V06 Calend 01'!I25),0))+IF((135='V06 Calend 01'!D25),'V06 Calend 01'!J25,0))</f>
        <v>0</v>
      </c>
      <c r="ER25" s="2">
        <f>((IF((136='V06 Calend 01'!C25),('V06 Calend 01'!F25+'V06 Calend 01'!G25),0)+IF(AND(('V06 Calend 01'!E25&gt;0),(136&gt;'V06 Calend 01'!C25),(136&lt;'V06 Calend 01'!D25),(MOD((136-'V06 Calend 01'!C25),6)=0),(((136-'V06 Calend 01'!C25)/6)&lt;='V06 Calend 01'!E25)),IF((136=('V06 Calend 01'!C25+(6*'V06 Calend 01'!E25))),('V06 Calend 01'!H25-('V06 Calend 01'!I25*('V06 Calend 01'!E25-1))),'V06 Calend 01'!I25),0))+IF((136='V06 Calend 01'!D25),'V06 Calend 01'!J25,0))</f>
        <v>0</v>
      </c>
      <c r="ES25" s="2">
        <f>((IF((137='V06 Calend 01'!C25),('V06 Calend 01'!F25+'V06 Calend 01'!G25),0)+IF(AND(('V06 Calend 01'!E25&gt;0),(137&gt;'V06 Calend 01'!C25),(137&lt;'V06 Calend 01'!D25),(MOD((137-'V06 Calend 01'!C25),6)=0),(((137-'V06 Calend 01'!C25)/6)&lt;='V06 Calend 01'!E25)),IF((137=('V06 Calend 01'!C25+(6*'V06 Calend 01'!E25))),('V06 Calend 01'!H25-('V06 Calend 01'!I25*('V06 Calend 01'!E25-1))),'V06 Calend 01'!I25),0))+IF((137='V06 Calend 01'!D25),'V06 Calend 01'!J25,0))</f>
        <v>0</v>
      </c>
      <c r="ET25" s="2">
        <f>((IF((138='V06 Calend 01'!C25),('V06 Calend 01'!F25+'V06 Calend 01'!G25),0)+IF(AND(('V06 Calend 01'!E25&gt;0),(138&gt;'V06 Calend 01'!C25),(138&lt;'V06 Calend 01'!D25),(MOD((138-'V06 Calend 01'!C25),6)=0),(((138-'V06 Calend 01'!C25)/6)&lt;='V06 Calend 01'!E25)),IF((138=('V06 Calend 01'!C25+(6*'V06 Calend 01'!E25))),('V06 Calend 01'!H25-('V06 Calend 01'!I25*('V06 Calend 01'!E25-1))),'V06 Calend 01'!I25),0))+IF((138='V06 Calend 01'!D25),'V06 Calend 01'!J25,0))</f>
        <v>0</v>
      </c>
      <c r="EU25" s="2">
        <f>((IF((139='V06 Calend 01'!C25),('V06 Calend 01'!F25+'V06 Calend 01'!G25),0)+IF(AND(('V06 Calend 01'!E25&gt;0),(139&gt;'V06 Calend 01'!C25),(139&lt;'V06 Calend 01'!D25),(MOD((139-'V06 Calend 01'!C25),6)=0),(((139-'V06 Calend 01'!C25)/6)&lt;='V06 Calend 01'!E25)),IF((139=('V06 Calend 01'!C25+(6*'V06 Calend 01'!E25))),('V06 Calend 01'!H25-('V06 Calend 01'!I25*('V06 Calend 01'!E25-1))),'V06 Calend 01'!I25),0))+IF((139='V06 Calend 01'!D25),'V06 Calend 01'!J25,0))</f>
        <v>0</v>
      </c>
      <c r="EV25" s="2">
        <f>((IF((140='V06 Calend 01'!C25),('V06 Calend 01'!F25+'V06 Calend 01'!G25),0)+IF(AND(('V06 Calend 01'!E25&gt;0),(140&gt;'V06 Calend 01'!C25),(140&lt;'V06 Calend 01'!D25),(MOD((140-'V06 Calend 01'!C25),6)=0),(((140-'V06 Calend 01'!C25)/6)&lt;='V06 Calend 01'!E25)),IF((140=('V06 Calend 01'!C25+(6*'V06 Calend 01'!E25))),('V06 Calend 01'!H25-('V06 Calend 01'!I25*('V06 Calend 01'!E25-1))),'V06 Calend 01'!I25),0))+IF((140='V06 Calend 01'!D25),'V06 Calend 01'!J25,0))</f>
        <v>0</v>
      </c>
      <c r="EW25" s="2">
        <f>((IF((141='V06 Calend 01'!C25),('V06 Calend 01'!F25+'V06 Calend 01'!G25),0)+IF(AND(('V06 Calend 01'!E25&gt;0),(141&gt;'V06 Calend 01'!C25),(141&lt;'V06 Calend 01'!D25),(MOD((141-'V06 Calend 01'!C25),6)=0),(((141-'V06 Calend 01'!C25)/6)&lt;='V06 Calend 01'!E25)),IF((141=('V06 Calend 01'!C25+(6*'V06 Calend 01'!E25))),('V06 Calend 01'!H25-('V06 Calend 01'!I25*('V06 Calend 01'!E25-1))),'V06 Calend 01'!I25),0))+IF((141='V06 Calend 01'!D25),'V06 Calend 01'!J25,0))</f>
        <v>0</v>
      </c>
      <c r="EX25" s="2">
        <f>((IF((142='V06 Calend 01'!C25),('V06 Calend 01'!F25+'V06 Calend 01'!G25),0)+IF(AND(('V06 Calend 01'!E25&gt;0),(142&gt;'V06 Calend 01'!C25),(142&lt;'V06 Calend 01'!D25),(MOD((142-'V06 Calend 01'!C25),6)=0),(((142-'V06 Calend 01'!C25)/6)&lt;='V06 Calend 01'!E25)),IF((142=('V06 Calend 01'!C25+(6*'V06 Calend 01'!E25))),('V06 Calend 01'!H25-('V06 Calend 01'!I25*('V06 Calend 01'!E25-1))),'V06 Calend 01'!I25),0))+IF((142='V06 Calend 01'!D25),'V06 Calend 01'!J25,0))</f>
        <v>0</v>
      </c>
      <c r="EY25" s="2">
        <f>((IF((143='V06 Calend 01'!C25),('V06 Calend 01'!F25+'V06 Calend 01'!G25),0)+IF(AND(('V06 Calend 01'!E25&gt;0),(143&gt;'V06 Calend 01'!C25),(143&lt;'V06 Calend 01'!D25),(MOD((143-'V06 Calend 01'!C25),6)=0),(((143-'V06 Calend 01'!C25)/6)&lt;='V06 Calend 01'!E25)),IF((143=('V06 Calend 01'!C25+(6*'V06 Calend 01'!E25))),('V06 Calend 01'!H25-('V06 Calend 01'!I25*('V06 Calend 01'!E25-1))),'V06 Calend 01'!I25),0))+IF((143='V06 Calend 01'!D25),'V06 Calend 01'!J25,0))</f>
        <v>0</v>
      </c>
      <c r="EZ25" s="2">
        <f>((IF((144='V06 Calend 01'!C25),('V06 Calend 01'!F25+'V06 Calend 01'!G25),0)+IF(AND(('V06 Calend 01'!E25&gt;0),(144&gt;'V06 Calend 01'!C25),(144&lt;'V06 Calend 01'!D25),(MOD((144-'V06 Calend 01'!C25),6)=0),(((144-'V06 Calend 01'!C25)/6)&lt;='V06 Calend 01'!E25)),IF((144=('V06 Calend 01'!C25+(6*'V06 Calend 01'!E25))),('V06 Calend 01'!H25-('V06 Calend 01'!I25*('V06 Calend 01'!E25-1))),'V06 Calend 01'!I25),0))+IF((144='V06 Calend 01'!D25),'V06 Calend 01'!J25,0))</f>
        <v>0</v>
      </c>
      <c r="FA25" s="2">
        <f>((IF((145='V06 Calend 01'!C25),('V06 Calend 01'!F25+'V06 Calend 01'!G25),0)+IF(AND(('V06 Calend 01'!E25&gt;0),(145&gt;'V06 Calend 01'!C25),(145&lt;'V06 Calend 01'!D25),(MOD((145-'V06 Calend 01'!C25),6)=0),(((145-'V06 Calend 01'!C25)/6)&lt;='V06 Calend 01'!E25)),IF((145=('V06 Calend 01'!C25+(6*'V06 Calend 01'!E25))),('V06 Calend 01'!H25-('V06 Calend 01'!I25*('V06 Calend 01'!E25-1))),'V06 Calend 01'!I25),0))+IF((145='V06 Calend 01'!D25),'V06 Calend 01'!J25,0))</f>
        <v>0</v>
      </c>
      <c r="FB25" s="2">
        <f>((IF((146='V06 Calend 01'!C25),('V06 Calend 01'!F25+'V06 Calend 01'!G25),0)+IF(AND(('V06 Calend 01'!E25&gt;0),(146&gt;'V06 Calend 01'!C25),(146&lt;'V06 Calend 01'!D25),(MOD((146-'V06 Calend 01'!C25),6)=0),(((146-'V06 Calend 01'!C25)/6)&lt;='V06 Calend 01'!E25)),IF((146=('V06 Calend 01'!C25+(6*'V06 Calend 01'!E25))),('V06 Calend 01'!H25-('V06 Calend 01'!I25*('V06 Calend 01'!E25-1))),'V06 Calend 01'!I25),0))+IF((146='V06 Calend 01'!D25),'V06 Calend 01'!J25,0))</f>
        <v>0</v>
      </c>
      <c r="FC25" s="2">
        <f>((IF((147='V06 Calend 01'!C25),('V06 Calend 01'!F25+'V06 Calend 01'!G25),0)+IF(AND(('V06 Calend 01'!E25&gt;0),(147&gt;'V06 Calend 01'!C25),(147&lt;'V06 Calend 01'!D25),(MOD((147-'V06 Calend 01'!C25),6)=0),(((147-'V06 Calend 01'!C25)/6)&lt;='V06 Calend 01'!E25)),IF((147=('V06 Calend 01'!C25+(6*'V06 Calend 01'!E25))),('V06 Calend 01'!H25-('V06 Calend 01'!I25*('V06 Calend 01'!E25-1))),'V06 Calend 01'!I25),0))+IF((147='V06 Calend 01'!D25),'V06 Calend 01'!J25,0))</f>
        <v>0</v>
      </c>
      <c r="FD25" s="2">
        <f>((IF((148='V06 Calend 01'!C25),('V06 Calend 01'!F25+'V06 Calend 01'!G25),0)+IF(AND(('V06 Calend 01'!E25&gt;0),(148&gt;'V06 Calend 01'!C25),(148&lt;'V06 Calend 01'!D25),(MOD((148-'V06 Calend 01'!C25),6)=0),(((148-'V06 Calend 01'!C25)/6)&lt;='V06 Calend 01'!E25)),IF((148=('V06 Calend 01'!C25+(6*'V06 Calend 01'!E25))),('V06 Calend 01'!H25-('V06 Calend 01'!I25*('V06 Calend 01'!E25-1))),'V06 Calend 01'!I25),0))+IF((148='V06 Calend 01'!D25),'V06 Calend 01'!J25,0))</f>
        <v>0</v>
      </c>
      <c r="FE25" s="2">
        <f>((IF((149='V06 Calend 01'!C25),('V06 Calend 01'!F25+'V06 Calend 01'!G25),0)+IF(AND(('V06 Calend 01'!E25&gt;0),(149&gt;'V06 Calend 01'!C25),(149&lt;'V06 Calend 01'!D25),(MOD((149-'V06 Calend 01'!C25),6)=0),(((149-'V06 Calend 01'!C25)/6)&lt;='V06 Calend 01'!E25)),IF((149=('V06 Calend 01'!C25+(6*'V06 Calend 01'!E25))),('V06 Calend 01'!H25-('V06 Calend 01'!I25*('V06 Calend 01'!E25-1))),'V06 Calend 01'!I25),0))+IF((149='V06 Calend 01'!D25),'V06 Calend 01'!J25,0))</f>
        <v>0</v>
      </c>
      <c r="FF25" s="2">
        <f>((IF((150='V06 Calend 01'!C25),('V06 Calend 01'!F25+'V06 Calend 01'!G25),0)+IF(AND(('V06 Calend 01'!E25&gt;0),(150&gt;'V06 Calend 01'!C25),(150&lt;'V06 Calend 01'!D25),(MOD((150-'V06 Calend 01'!C25),6)=0),(((150-'V06 Calend 01'!C25)/6)&lt;='V06 Calend 01'!E25)),IF((150=('V06 Calend 01'!C25+(6*'V06 Calend 01'!E25))),('V06 Calend 01'!H25-('V06 Calend 01'!I25*('V06 Calend 01'!E25-1))),'V06 Calend 01'!I25),0))+IF((150='V06 Calend 01'!D25),'V06 Calend 01'!J25,0))</f>
        <v>0</v>
      </c>
      <c r="FG25" s="2">
        <f>((IF((151='V06 Calend 01'!C25),('V06 Calend 01'!F25+'V06 Calend 01'!G25),0)+IF(AND(('V06 Calend 01'!E25&gt;0),(151&gt;'V06 Calend 01'!C25),(151&lt;'V06 Calend 01'!D25),(MOD((151-'V06 Calend 01'!C25),6)=0),(((151-'V06 Calend 01'!C25)/6)&lt;='V06 Calend 01'!E25)),IF((151=('V06 Calend 01'!C25+(6*'V06 Calend 01'!E25))),('V06 Calend 01'!H25-('V06 Calend 01'!I25*('V06 Calend 01'!E25-1))),'V06 Calend 01'!I25),0))+IF((151='V06 Calend 01'!D25),'V06 Calend 01'!J25,0))</f>
        <v>0</v>
      </c>
      <c r="FH25" s="2">
        <f>((IF((152='V06 Calend 01'!C25),('V06 Calend 01'!F25+'V06 Calend 01'!G25),0)+IF(AND(('V06 Calend 01'!E25&gt;0),(152&gt;'V06 Calend 01'!C25),(152&lt;'V06 Calend 01'!D25),(MOD((152-'V06 Calend 01'!C25),6)=0),(((152-'V06 Calend 01'!C25)/6)&lt;='V06 Calend 01'!E25)),IF((152=('V06 Calend 01'!C25+(6*'V06 Calend 01'!E25))),('V06 Calend 01'!H25-('V06 Calend 01'!I25*('V06 Calend 01'!E25-1))),'V06 Calend 01'!I25),0))+IF((152='V06 Calend 01'!D25),'V06 Calend 01'!J25,0))</f>
        <v>0</v>
      </c>
      <c r="FI25" s="2">
        <f>((IF((153='V06 Calend 01'!C25),('V06 Calend 01'!F25+'V06 Calend 01'!G25),0)+IF(AND(('V06 Calend 01'!E25&gt;0),(153&gt;'V06 Calend 01'!C25),(153&lt;'V06 Calend 01'!D25),(MOD((153-'V06 Calend 01'!C25),6)=0),(((153-'V06 Calend 01'!C25)/6)&lt;='V06 Calend 01'!E25)),IF((153=('V06 Calend 01'!C25+(6*'V06 Calend 01'!E25))),('V06 Calend 01'!H25-('V06 Calend 01'!I25*('V06 Calend 01'!E25-1))),'V06 Calend 01'!I25),0))+IF((153='V06 Calend 01'!D25),'V06 Calend 01'!J25,0))</f>
        <v>0</v>
      </c>
      <c r="FJ25" s="2">
        <f>((IF((154='V06 Calend 01'!C25),('V06 Calend 01'!F25+'V06 Calend 01'!G25),0)+IF(AND(('V06 Calend 01'!E25&gt;0),(154&gt;'V06 Calend 01'!C25),(154&lt;'V06 Calend 01'!D25),(MOD((154-'V06 Calend 01'!C25),6)=0),(((154-'V06 Calend 01'!C25)/6)&lt;='V06 Calend 01'!E25)),IF((154=('V06 Calend 01'!C25+(6*'V06 Calend 01'!E25))),('V06 Calend 01'!H25-('V06 Calend 01'!I25*('V06 Calend 01'!E25-1))),'V06 Calend 01'!I25),0))+IF((154='V06 Calend 01'!D25),'V06 Calend 01'!J25,0))</f>
        <v>0</v>
      </c>
      <c r="FK25" s="2">
        <f>((IF((155='V06 Calend 01'!C25),('V06 Calend 01'!F25+'V06 Calend 01'!G25),0)+IF(AND(('V06 Calend 01'!E25&gt;0),(155&gt;'V06 Calend 01'!C25),(155&lt;'V06 Calend 01'!D25),(MOD((155-'V06 Calend 01'!C25),6)=0),(((155-'V06 Calend 01'!C25)/6)&lt;='V06 Calend 01'!E25)),IF((155=('V06 Calend 01'!C25+(6*'V06 Calend 01'!E25))),('V06 Calend 01'!H25-('V06 Calend 01'!I25*('V06 Calend 01'!E25-1))),'V06 Calend 01'!I25),0))+IF((155='V06 Calend 01'!D25),'V06 Calend 01'!J25,0))</f>
        <v>0</v>
      </c>
      <c r="FL25" s="2">
        <f>((IF((156='V06 Calend 01'!C25),('V06 Calend 01'!F25+'V06 Calend 01'!G25),0)+IF(AND(('V06 Calend 01'!E25&gt;0),(156&gt;'V06 Calend 01'!C25),(156&lt;'V06 Calend 01'!D25),(MOD((156-'V06 Calend 01'!C25),6)=0),(((156-'V06 Calend 01'!C25)/6)&lt;='V06 Calend 01'!E25)),IF((156=('V06 Calend 01'!C25+(6*'V06 Calend 01'!E25))),('V06 Calend 01'!H25-('V06 Calend 01'!I25*('V06 Calend 01'!E25-1))),'V06 Calend 01'!I25),0))+IF((156='V06 Calend 01'!D25),'V06 Calend 01'!J25,0))</f>
        <v>0</v>
      </c>
      <c r="FM25" s="2">
        <f>((IF((157='V06 Calend 01'!C25),('V06 Calend 01'!F25+'V06 Calend 01'!G25),0)+IF(AND(('V06 Calend 01'!E25&gt;0),(157&gt;'V06 Calend 01'!C25),(157&lt;'V06 Calend 01'!D25),(MOD((157-'V06 Calend 01'!C25),6)=0),(((157-'V06 Calend 01'!C25)/6)&lt;='V06 Calend 01'!E25)),IF((157=('V06 Calend 01'!C25+(6*'V06 Calend 01'!E25))),('V06 Calend 01'!H25-('V06 Calend 01'!I25*('V06 Calend 01'!E25-1))),'V06 Calend 01'!I25),0))+IF((157='V06 Calend 01'!D25),'V06 Calend 01'!J25,0))</f>
        <v>0</v>
      </c>
      <c r="FN25" s="2">
        <f>((IF((158='V06 Calend 01'!C25),('V06 Calend 01'!F25+'V06 Calend 01'!G25),0)+IF(AND(('V06 Calend 01'!E25&gt;0),(158&gt;'V06 Calend 01'!C25),(158&lt;'V06 Calend 01'!D25),(MOD((158-'V06 Calend 01'!C25),6)=0),(((158-'V06 Calend 01'!C25)/6)&lt;='V06 Calend 01'!E25)),IF((158=('V06 Calend 01'!C25+(6*'V06 Calend 01'!E25))),('V06 Calend 01'!H25-('V06 Calend 01'!I25*('V06 Calend 01'!E25-1))),'V06 Calend 01'!I25),0))+IF((158='V06 Calend 01'!D25),'V06 Calend 01'!J25,0))</f>
        <v>0</v>
      </c>
      <c r="FO25" s="2">
        <f>((IF((159='V06 Calend 01'!C25),('V06 Calend 01'!F25+'V06 Calend 01'!G25),0)+IF(AND(('V06 Calend 01'!E25&gt;0),(159&gt;'V06 Calend 01'!C25),(159&lt;'V06 Calend 01'!D25),(MOD((159-'V06 Calend 01'!C25),6)=0),(((159-'V06 Calend 01'!C25)/6)&lt;='V06 Calend 01'!E25)),IF((159=('V06 Calend 01'!C25+(6*'V06 Calend 01'!E25))),('V06 Calend 01'!H25-('V06 Calend 01'!I25*('V06 Calend 01'!E25-1))),'V06 Calend 01'!I25),0))+IF((159='V06 Calend 01'!D25),'V06 Calend 01'!J25,0))</f>
        <v>0</v>
      </c>
      <c r="FP25" s="2">
        <f>((IF((160='V06 Calend 01'!C25),('V06 Calend 01'!F25+'V06 Calend 01'!G25),0)+IF(AND(('V06 Calend 01'!E25&gt;0),(160&gt;'V06 Calend 01'!C25),(160&lt;'V06 Calend 01'!D25),(MOD((160-'V06 Calend 01'!C25),6)=0),(((160-'V06 Calend 01'!C25)/6)&lt;='V06 Calend 01'!E25)),IF((160=('V06 Calend 01'!C25+(6*'V06 Calend 01'!E25))),('V06 Calend 01'!H25-('V06 Calend 01'!I25*('V06 Calend 01'!E25-1))),'V06 Calend 01'!I25),0))+IF((160='V06 Calend 01'!D25),'V06 Calend 01'!J25,0))</f>
        <v>0</v>
      </c>
      <c r="FQ25" s="2">
        <f>((IF((161='V06 Calend 01'!C25),('V06 Calend 01'!F25+'V06 Calend 01'!G25),0)+IF(AND(('V06 Calend 01'!E25&gt;0),(161&gt;'V06 Calend 01'!C25),(161&lt;'V06 Calend 01'!D25),(MOD((161-'V06 Calend 01'!C25),6)=0),(((161-'V06 Calend 01'!C25)/6)&lt;='V06 Calend 01'!E25)),IF((161=('V06 Calend 01'!C25+(6*'V06 Calend 01'!E25))),('V06 Calend 01'!H25-('V06 Calend 01'!I25*('V06 Calend 01'!E25-1))),'V06 Calend 01'!I25),0))+IF((161='V06 Calend 01'!D25),'V06 Calend 01'!J25,0))</f>
        <v>0</v>
      </c>
      <c r="FR25" s="2">
        <f>((IF((162='V06 Calend 01'!C25),('V06 Calend 01'!F25+'V06 Calend 01'!G25),0)+IF(AND(('V06 Calend 01'!E25&gt;0),(162&gt;'V06 Calend 01'!C25),(162&lt;'V06 Calend 01'!D25),(MOD((162-'V06 Calend 01'!C25),6)=0),(((162-'V06 Calend 01'!C25)/6)&lt;='V06 Calend 01'!E25)),IF((162=('V06 Calend 01'!C25+(6*'V06 Calend 01'!E25))),('V06 Calend 01'!H25-('V06 Calend 01'!I25*('V06 Calend 01'!E25-1))),'V06 Calend 01'!I25),0))+IF((162='V06 Calend 01'!D25),'V06 Calend 01'!J25,0))</f>
        <v>0</v>
      </c>
      <c r="FS25" s="2">
        <f>((IF((163='V06 Calend 01'!C25),('V06 Calend 01'!F25+'V06 Calend 01'!G25),0)+IF(AND(('V06 Calend 01'!E25&gt;0),(163&gt;'V06 Calend 01'!C25),(163&lt;'V06 Calend 01'!D25),(MOD((163-'V06 Calend 01'!C25),6)=0),(((163-'V06 Calend 01'!C25)/6)&lt;='V06 Calend 01'!E25)),IF((163=('V06 Calend 01'!C25+(6*'V06 Calend 01'!E25))),('V06 Calend 01'!H25-('V06 Calend 01'!I25*('V06 Calend 01'!E25-1))),'V06 Calend 01'!I25),0))+IF((163='V06 Calend 01'!D25),'V06 Calend 01'!J25,0))</f>
        <v>0</v>
      </c>
      <c r="FT25" s="2">
        <f>((IF((164='V06 Calend 01'!C25),('V06 Calend 01'!F25+'V06 Calend 01'!G25),0)+IF(AND(('V06 Calend 01'!E25&gt;0),(164&gt;'V06 Calend 01'!C25),(164&lt;'V06 Calend 01'!D25),(MOD((164-'V06 Calend 01'!C25),6)=0),(((164-'V06 Calend 01'!C25)/6)&lt;='V06 Calend 01'!E25)),IF((164=('V06 Calend 01'!C25+(6*'V06 Calend 01'!E25))),('V06 Calend 01'!H25-('V06 Calend 01'!I25*('V06 Calend 01'!E25-1))),'V06 Calend 01'!I25),0))+IF((164='V06 Calend 01'!D25),'V06 Calend 01'!J25,0))</f>
        <v>0</v>
      </c>
      <c r="FU25" s="2">
        <f>((IF((165='V06 Calend 01'!C25),('V06 Calend 01'!F25+'V06 Calend 01'!G25),0)+IF(AND(('V06 Calend 01'!E25&gt;0),(165&gt;'V06 Calend 01'!C25),(165&lt;'V06 Calend 01'!D25),(MOD((165-'V06 Calend 01'!C25),6)=0),(((165-'V06 Calend 01'!C25)/6)&lt;='V06 Calend 01'!E25)),IF((165=('V06 Calend 01'!C25+(6*'V06 Calend 01'!E25))),('V06 Calend 01'!H25-('V06 Calend 01'!I25*('V06 Calend 01'!E25-1))),'V06 Calend 01'!I25),0))+IF((165='V06 Calend 01'!D25),'V06 Calend 01'!J25,0))</f>
        <v>0</v>
      </c>
      <c r="FV25" s="2">
        <f>((IF((166='V06 Calend 01'!C25),('V06 Calend 01'!F25+'V06 Calend 01'!G25),0)+IF(AND(('V06 Calend 01'!E25&gt;0),(166&gt;'V06 Calend 01'!C25),(166&lt;'V06 Calend 01'!D25),(MOD((166-'V06 Calend 01'!C25),6)=0),(((166-'V06 Calend 01'!C25)/6)&lt;='V06 Calend 01'!E25)),IF((166=('V06 Calend 01'!C25+(6*'V06 Calend 01'!E25))),('V06 Calend 01'!H25-('V06 Calend 01'!I25*('V06 Calend 01'!E25-1))),'V06 Calend 01'!I25),0))+IF((166='V06 Calend 01'!D25),'V06 Calend 01'!J25,0))</f>
        <v>0</v>
      </c>
      <c r="FW25" s="2">
        <f>((IF((167='V06 Calend 01'!C25),('V06 Calend 01'!F25+'V06 Calend 01'!G25),0)+IF(AND(('V06 Calend 01'!E25&gt;0),(167&gt;'V06 Calend 01'!C25),(167&lt;'V06 Calend 01'!D25),(MOD((167-'V06 Calend 01'!C25),6)=0),(((167-'V06 Calend 01'!C25)/6)&lt;='V06 Calend 01'!E25)),IF((167=('V06 Calend 01'!C25+(6*'V06 Calend 01'!E25))),('V06 Calend 01'!H25-('V06 Calend 01'!I25*('V06 Calend 01'!E25-1))),'V06 Calend 01'!I25),0))+IF((167='V06 Calend 01'!D25),'V06 Calend 01'!J25,0))</f>
        <v>0</v>
      </c>
      <c r="FX25" s="2">
        <f>((IF((168='V06 Calend 01'!C25),('V06 Calend 01'!F25+'V06 Calend 01'!G25),0)+IF(AND(('V06 Calend 01'!E25&gt;0),(168&gt;'V06 Calend 01'!C25),(168&lt;'V06 Calend 01'!D25),(MOD((168-'V06 Calend 01'!C25),6)=0),(((168-'V06 Calend 01'!C25)/6)&lt;='V06 Calend 01'!E25)),IF((168=('V06 Calend 01'!C25+(6*'V06 Calend 01'!E25))),('V06 Calend 01'!H25-('V06 Calend 01'!I25*('V06 Calend 01'!E25-1))),'V06 Calend 01'!I25),0))+IF((168='V06 Calend 01'!D25),'V06 Calend 01'!J25,0))</f>
        <v>0</v>
      </c>
      <c r="FY25" s="2">
        <f>((IF((169='V06 Calend 01'!C25),('V06 Calend 01'!F25+'V06 Calend 01'!G25),0)+IF(AND(('V06 Calend 01'!E25&gt;0),(169&gt;'V06 Calend 01'!C25),(169&lt;'V06 Calend 01'!D25),(MOD((169-'V06 Calend 01'!C25),6)=0),(((169-'V06 Calend 01'!C25)/6)&lt;='V06 Calend 01'!E25)),IF((169=('V06 Calend 01'!C25+(6*'V06 Calend 01'!E25))),('V06 Calend 01'!H25-('V06 Calend 01'!I25*('V06 Calend 01'!E25-1))),'V06 Calend 01'!I25),0))+IF((169='V06 Calend 01'!D25),'V06 Calend 01'!J25,0))</f>
        <v>0</v>
      </c>
      <c r="FZ25" s="2">
        <f>((IF((170='V06 Calend 01'!C25),('V06 Calend 01'!F25+'V06 Calend 01'!G25),0)+IF(AND(('V06 Calend 01'!E25&gt;0),(170&gt;'V06 Calend 01'!C25),(170&lt;'V06 Calend 01'!D25),(MOD((170-'V06 Calend 01'!C25),6)=0),(((170-'V06 Calend 01'!C25)/6)&lt;='V06 Calend 01'!E25)),IF((170=('V06 Calend 01'!C25+(6*'V06 Calend 01'!E25))),('V06 Calend 01'!H25-('V06 Calend 01'!I25*('V06 Calend 01'!E25-1))),'V06 Calend 01'!I25),0))+IF((170='V06 Calend 01'!D25),'V06 Calend 01'!J25,0))</f>
        <v>0</v>
      </c>
      <c r="GA25" s="2">
        <f>((IF((171='V06 Calend 01'!C25),('V06 Calend 01'!F25+'V06 Calend 01'!G25),0)+IF(AND(('V06 Calend 01'!E25&gt;0),(171&gt;'V06 Calend 01'!C25),(171&lt;'V06 Calend 01'!D25),(MOD((171-'V06 Calend 01'!C25),6)=0),(((171-'V06 Calend 01'!C25)/6)&lt;='V06 Calend 01'!E25)),IF((171=('V06 Calend 01'!C25+(6*'V06 Calend 01'!E25))),('V06 Calend 01'!H25-('V06 Calend 01'!I25*('V06 Calend 01'!E25-1))),'V06 Calend 01'!I25),0))+IF((171='V06 Calend 01'!D25),'V06 Calend 01'!J25,0))</f>
        <v>0</v>
      </c>
      <c r="GB25" s="2">
        <f>((IF((172='V06 Calend 01'!C25),('V06 Calend 01'!F25+'V06 Calend 01'!G25),0)+IF(AND(('V06 Calend 01'!E25&gt;0),(172&gt;'V06 Calend 01'!C25),(172&lt;'V06 Calend 01'!D25),(MOD((172-'V06 Calend 01'!C25),6)=0),(((172-'V06 Calend 01'!C25)/6)&lt;='V06 Calend 01'!E25)),IF((172=('V06 Calend 01'!C25+(6*'V06 Calend 01'!E25))),('V06 Calend 01'!H25-('V06 Calend 01'!I25*('V06 Calend 01'!E25-1))),'V06 Calend 01'!I25),0))+IF((172='V06 Calend 01'!D25),'V06 Calend 01'!J25,0))</f>
        <v>0</v>
      </c>
      <c r="GC25" s="2">
        <f>((IF((173='V06 Calend 01'!C25),('V06 Calend 01'!F25+'V06 Calend 01'!G25),0)+IF(AND(('V06 Calend 01'!E25&gt;0),(173&gt;'V06 Calend 01'!C25),(173&lt;'V06 Calend 01'!D25),(MOD((173-'V06 Calend 01'!C25),6)=0),(((173-'V06 Calend 01'!C25)/6)&lt;='V06 Calend 01'!E25)),IF((173=('V06 Calend 01'!C25+(6*'V06 Calend 01'!E25))),('V06 Calend 01'!H25-('V06 Calend 01'!I25*('V06 Calend 01'!E25-1))),'V06 Calend 01'!I25),0))+IF((173='V06 Calend 01'!D25),'V06 Calend 01'!J25,0))</f>
        <v>0</v>
      </c>
      <c r="GD25" s="2">
        <f>((IF((174='V06 Calend 01'!C25),('V06 Calend 01'!F25+'V06 Calend 01'!G25),0)+IF(AND(('V06 Calend 01'!E25&gt;0),(174&gt;'V06 Calend 01'!C25),(174&lt;'V06 Calend 01'!D25),(MOD((174-'V06 Calend 01'!C25),6)=0),(((174-'V06 Calend 01'!C25)/6)&lt;='V06 Calend 01'!E25)),IF((174=('V06 Calend 01'!C25+(6*'V06 Calend 01'!E25))),('V06 Calend 01'!H25-('V06 Calend 01'!I25*('V06 Calend 01'!E25-1))),'V06 Calend 01'!I25),0))+IF((174='V06 Calend 01'!D25),'V06 Calend 01'!J25,0))</f>
        <v>0</v>
      </c>
      <c r="GE25" s="2">
        <f>((IF((175='V06 Calend 01'!C25),('V06 Calend 01'!F25+'V06 Calend 01'!G25),0)+IF(AND(('V06 Calend 01'!E25&gt;0),(175&gt;'V06 Calend 01'!C25),(175&lt;'V06 Calend 01'!D25),(MOD((175-'V06 Calend 01'!C25),6)=0),(((175-'V06 Calend 01'!C25)/6)&lt;='V06 Calend 01'!E25)),IF((175=('V06 Calend 01'!C25+(6*'V06 Calend 01'!E25))),('V06 Calend 01'!H25-('V06 Calend 01'!I25*('V06 Calend 01'!E25-1))),'V06 Calend 01'!I25),0))+IF((175='V06 Calend 01'!D25),'V06 Calend 01'!J25,0))</f>
        <v>0</v>
      </c>
      <c r="GF25" s="2">
        <f>((IF((176='V06 Calend 01'!C25),('V06 Calend 01'!F25+'V06 Calend 01'!G25),0)+IF(AND(('V06 Calend 01'!E25&gt;0),(176&gt;'V06 Calend 01'!C25),(176&lt;'V06 Calend 01'!D25),(MOD((176-'V06 Calend 01'!C25),6)=0),(((176-'V06 Calend 01'!C25)/6)&lt;='V06 Calend 01'!E25)),IF((176=('V06 Calend 01'!C25+(6*'V06 Calend 01'!E25))),('V06 Calend 01'!H25-('V06 Calend 01'!I25*('V06 Calend 01'!E25-1))),'V06 Calend 01'!I25),0))+IF((176='V06 Calend 01'!D25),'V06 Calend 01'!J25,0))</f>
        <v>0</v>
      </c>
      <c r="GG25" s="2">
        <f>((IF((177='V06 Calend 01'!C25),('V06 Calend 01'!F25+'V06 Calend 01'!G25),0)+IF(AND(('V06 Calend 01'!E25&gt;0),(177&gt;'V06 Calend 01'!C25),(177&lt;'V06 Calend 01'!D25),(MOD((177-'V06 Calend 01'!C25),6)=0),(((177-'V06 Calend 01'!C25)/6)&lt;='V06 Calend 01'!E25)),IF((177=('V06 Calend 01'!C25+(6*'V06 Calend 01'!E25))),('V06 Calend 01'!H25-('V06 Calend 01'!I25*('V06 Calend 01'!E25-1))),'V06 Calend 01'!I25),0))+IF((177='V06 Calend 01'!D25),'V06 Calend 01'!J25,0))</f>
        <v>0</v>
      </c>
      <c r="GH25" s="2">
        <f>((IF((178='V06 Calend 01'!C25),('V06 Calend 01'!F25+'V06 Calend 01'!G25),0)+IF(AND(('V06 Calend 01'!E25&gt;0),(178&gt;'V06 Calend 01'!C25),(178&lt;'V06 Calend 01'!D25),(MOD((178-'V06 Calend 01'!C25),6)=0),(((178-'V06 Calend 01'!C25)/6)&lt;='V06 Calend 01'!E25)),IF((178=('V06 Calend 01'!C25+(6*'V06 Calend 01'!E25))),('V06 Calend 01'!H25-('V06 Calend 01'!I25*('V06 Calend 01'!E25-1))),'V06 Calend 01'!I25),0))+IF((178='V06 Calend 01'!D25),'V06 Calend 01'!J25,0))</f>
        <v>0</v>
      </c>
      <c r="GI25" s="2">
        <f>((IF((179='V06 Calend 01'!C25),('V06 Calend 01'!F25+'V06 Calend 01'!G25),0)+IF(AND(('V06 Calend 01'!E25&gt;0),(179&gt;'V06 Calend 01'!C25),(179&lt;'V06 Calend 01'!D25),(MOD((179-'V06 Calend 01'!C25),6)=0),(((179-'V06 Calend 01'!C25)/6)&lt;='V06 Calend 01'!E25)),IF((179=('V06 Calend 01'!C25+(6*'V06 Calend 01'!E25))),('V06 Calend 01'!H25-('V06 Calend 01'!I25*('V06 Calend 01'!E25-1))),'V06 Calend 01'!I25),0))+IF((179='V06 Calend 01'!D25),'V06 Calend 01'!J25,0))</f>
        <v>0</v>
      </c>
      <c r="GJ25" s="2">
        <f>((IF((180='V06 Calend 01'!C25),('V06 Calend 01'!F25+'V06 Calend 01'!G25),0)+IF(AND(('V06 Calend 01'!E25&gt;0),(180&gt;'V06 Calend 01'!C25),(180&lt;'V06 Calend 01'!D25),(MOD((180-'V06 Calend 01'!C25),6)=0),(((180-'V06 Calend 01'!C25)/6)&lt;='V06 Calend 01'!E25)),IF((180=('V06 Calend 01'!C25+(6*'V06 Calend 01'!E25))),('V06 Calend 01'!H25-('V06 Calend 01'!I25*('V06 Calend 01'!E25-1))),'V06 Calend 01'!I25),0))+IF((180='V06 Calend 01'!D25),'V06 Calend 01'!J25,0))</f>
        <v>0</v>
      </c>
    </row>
    <row r="26" spans="1:192">
      <c r="A26" s="3" t="str">
        <f>'V06 Unidades'!$A$26</f>
        <v>402</v>
      </c>
      <c r="B26" s="2">
        <f>'V06 Unidades'!$H$26</f>
        <v>426972</v>
      </c>
      <c r="C26" s="4">
        <f>('V06 Unidades'!$I$26+'V06 Controlos'!$B$37)</f>
        <v>13</v>
      </c>
      <c r="D26" s="4">
        <f>IF(('V06 Controlos'!$B$38&gt;0),MAX(('V06 Unidades'!$L$26+'V06 Controlos'!$B$37),(30+'V06 Controlos'!$B$38)),('V06 Unidades'!$L$26+'V06 Controlos'!$B$37))</f>
        <v>28</v>
      </c>
      <c r="E26" s="4">
        <f>MAX(0,INT(((('V06 Calend 01'!D26-'V06 Calend 01'!C26)-1)/6)))</f>
        <v>2</v>
      </c>
      <c r="F26" s="2">
        <f>ROUND(('V06 Calend 01'!B26*0.05),2)</f>
        <v>21348.6</v>
      </c>
      <c r="G26" s="2">
        <f>ROUND(('V06 Calend 01'!B26*0.2),2)</f>
        <v>85394.4</v>
      </c>
      <c r="H26" s="2">
        <f>ROUND(('V06 Calend 01'!B26*0.55),2)</f>
        <v>234834.6</v>
      </c>
      <c r="I26" s="2">
        <f>ROUND(('V06 Calend 01'!H26/MAX(1,'V06 Calend 01'!E26)),2)</f>
        <v>117417.3</v>
      </c>
      <c r="J26" s="2">
        <f>((('V06 Calend 01'!B26-'V06 Calend 01'!F26)-'V06 Calend 01'!G26)-'V06 Calend 01'!H26)</f>
        <v>85394.4</v>
      </c>
      <c r="K26" s="2">
        <f>('V06 Calend 01'!B26*0.025)</f>
        <v>10674.300000000001</v>
      </c>
      <c r="L26" t="s">
        <v>378</v>
      </c>
      <c r="M26" s="2">
        <f>((IF((1='V06 Calend 01'!C26),('V06 Calend 01'!F26+'V06 Calend 01'!G26),0)+IF(AND(('V06 Calend 01'!E26&gt;0),(1&gt;'V06 Calend 01'!C26),(1&lt;'V06 Calend 01'!D26),(MOD((1-'V06 Calend 01'!C26),6)=0),(((1-'V06 Calend 01'!C26)/6)&lt;='V06 Calend 01'!E26)),IF((1=('V06 Calend 01'!C26+(6*'V06 Calend 01'!E26))),('V06 Calend 01'!H26-('V06 Calend 01'!I26*('V06 Calend 01'!E26-1))),'V06 Calend 01'!I26),0))+IF((1='V06 Calend 01'!D26),'V06 Calend 01'!J26,0))</f>
        <v>0</v>
      </c>
      <c r="N26" s="2">
        <f>((IF((2='V06 Calend 01'!C26),('V06 Calend 01'!F26+'V06 Calend 01'!G26),0)+IF(AND(('V06 Calend 01'!E26&gt;0),(2&gt;'V06 Calend 01'!C26),(2&lt;'V06 Calend 01'!D26),(MOD((2-'V06 Calend 01'!C26),6)=0),(((2-'V06 Calend 01'!C26)/6)&lt;='V06 Calend 01'!E26)),IF((2=('V06 Calend 01'!C26+(6*'V06 Calend 01'!E26))),('V06 Calend 01'!H26-('V06 Calend 01'!I26*('V06 Calend 01'!E26-1))),'V06 Calend 01'!I26),0))+IF((2='V06 Calend 01'!D26),'V06 Calend 01'!J26,0))</f>
        <v>0</v>
      </c>
      <c r="O26" s="2">
        <f>((IF((3='V06 Calend 01'!C26),('V06 Calend 01'!F26+'V06 Calend 01'!G26),0)+IF(AND(('V06 Calend 01'!E26&gt;0),(3&gt;'V06 Calend 01'!C26),(3&lt;'V06 Calend 01'!D26),(MOD((3-'V06 Calend 01'!C26),6)=0),(((3-'V06 Calend 01'!C26)/6)&lt;='V06 Calend 01'!E26)),IF((3=('V06 Calend 01'!C26+(6*'V06 Calend 01'!E26))),('V06 Calend 01'!H26-('V06 Calend 01'!I26*('V06 Calend 01'!E26-1))),'V06 Calend 01'!I26),0))+IF((3='V06 Calend 01'!D26),'V06 Calend 01'!J26,0))</f>
        <v>0</v>
      </c>
      <c r="P26" s="2">
        <f>((IF((4='V06 Calend 01'!C26),('V06 Calend 01'!F26+'V06 Calend 01'!G26),0)+IF(AND(('V06 Calend 01'!E26&gt;0),(4&gt;'V06 Calend 01'!C26),(4&lt;'V06 Calend 01'!D26),(MOD((4-'V06 Calend 01'!C26),6)=0),(((4-'V06 Calend 01'!C26)/6)&lt;='V06 Calend 01'!E26)),IF((4=('V06 Calend 01'!C26+(6*'V06 Calend 01'!E26))),('V06 Calend 01'!H26-('V06 Calend 01'!I26*('V06 Calend 01'!E26-1))),'V06 Calend 01'!I26),0))+IF((4='V06 Calend 01'!D26),'V06 Calend 01'!J26,0))</f>
        <v>0</v>
      </c>
      <c r="Q26" s="2">
        <f>((IF((5='V06 Calend 01'!C26),('V06 Calend 01'!F26+'V06 Calend 01'!G26),0)+IF(AND(('V06 Calend 01'!E26&gt;0),(5&gt;'V06 Calend 01'!C26),(5&lt;'V06 Calend 01'!D26),(MOD((5-'V06 Calend 01'!C26),6)=0),(((5-'V06 Calend 01'!C26)/6)&lt;='V06 Calend 01'!E26)),IF((5=('V06 Calend 01'!C26+(6*'V06 Calend 01'!E26))),('V06 Calend 01'!H26-('V06 Calend 01'!I26*('V06 Calend 01'!E26-1))),'V06 Calend 01'!I26),0))+IF((5='V06 Calend 01'!D26),'V06 Calend 01'!J26,0))</f>
        <v>0</v>
      </c>
      <c r="R26" s="2">
        <f>((IF((6='V06 Calend 01'!C26),('V06 Calend 01'!F26+'V06 Calend 01'!G26),0)+IF(AND(('V06 Calend 01'!E26&gt;0),(6&gt;'V06 Calend 01'!C26),(6&lt;'V06 Calend 01'!D26),(MOD((6-'V06 Calend 01'!C26),6)=0),(((6-'V06 Calend 01'!C26)/6)&lt;='V06 Calend 01'!E26)),IF((6=('V06 Calend 01'!C26+(6*'V06 Calend 01'!E26))),('V06 Calend 01'!H26-('V06 Calend 01'!I26*('V06 Calend 01'!E26-1))),'V06 Calend 01'!I26),0))+IF((6='V06 Calend 01'!D26),'V06 Calend 01'!J26,0))</f>
        <v>0</v>
      </c>
      <c r="S26" s="2">
        <f>((IF((7='V06 Calend 01'!C26),('V06 Calend 01'!F26+'V06 Calend 01'!G26),0)+IF(AND(('V06 Calend 01'!E26&gt;0),(7&gt;'V06 Calend 01'!C26),(7&lt;'V06 Calend 01'!D26),(MOD((7-'V06 Calend 01'!C26),6)=0),(((7-'V06 Calend 01'!C26)/6)&lt;='V06 Calend 01'!E26)),IF((7=('V06 Calend 01'!C26+(6*'V06 Calend 01'!E26))),('V06 Calend 01'!H26-('V06 Calend 01'!I26*('V06 Calend 01'!E26-1))),'V06 Calend 01'!I26),0))+IF((7='V06 Calend 01'!D26),'V06 Calend 01'!J26,0))</f>
        <v>0</v>
      </c>
      <c r="T26" s="2">
        <f>((IF((8='V06 Calend 01'!C26),('V06 Calend 01'!F26+'V06 Calend 01'!G26),0)+IF(AND(('V06 Calend 01'!E26&gt;0),(8&gt;'V06 Calend 01'!C26),(8&lt;'V06 Calend 01'!D26),(MOD((8-'V06 Calend 01'!C26),6)=0),(((8-'V06 Calend 01'!C26)/6)&lt;='V06 Calend 01'!E26)),IF((8=('V06 Calend 01'!C26+(6*'V06 Calend 01'!E26))),('V06 Calend 01'!H26-('V06 Calend 01'!I26*('V06 Calend 01'!E26-1))),'V06 Calend 01'!I26),0))+IF((8='V06 Calend 01'!D26),'V06 Calend 01'!J26,0))</f>
        <v>0</v>
      </c>
      <c r="U26" s="2">
        <f>((IF((9='V06 Calend 01'!C26),('V06 Calend 01'!F26+'V06 Calend 01'!G26),0)+IF(AND(('V06 Calend 01'!E26&gt;0),(9&gt;'V06 Calend 01'!C26),(9&lt;'V06 Calend 01'!D26),(MOD((9-'V06 Calend 01'!C26),6)=0),(((9-'V06 Calend 01'!C26)/6)&lt;='V06 Calend 01'!E26)),IF((9=('V06 Calend 01'!C26+(6*'V06 Calend 01'!E26))),('V06 Calend 01'!H26-('V06 Calend 01'!I26*('V06 Calend 01'!E26-1))),'V06 Calend 01'!I26),0))+IF((9='V06 Calend 01'!D26),'V06 Calend 01'!J26,0))</f>
        <v>0</v>
      </c>
      <c r="V26" s="2">
        <f>((IF((10='V06 Calend 01'!C26),('V06 Calend 01'!F26+'V06 Calend 01'!G26),0)+IF(AND(('V06 Calend 01'!E26&gt;0),(10&gt;'V06 Calend 01'!C26),(10&lt;'V06 Calend 01'!D26),(MOD((10-'V06 Calend 01'!C26),6)=0),(((10-'V06 Calend 01'!C26)/6)&lt;='V06 Calend 01'!E26)),IF((10=('V06 Calend 01'!C26+(6*'V06 Calend 01'!E26))),('V06 Calend 01'!H26-('V06 Calend 01'!I26*('V06 Calend 01'!E26-1))),'V06 Calend 01'!I26),0))+IF((10='V06 Calend 01'!D26),'V06 Calend 01'!J26,0))</f>
        <v>0</v>
      </c>
      <c r="W26" s="2">
        <f>((IF((11='V06 Calend 01'!C26),('V06 Calend 01'!F26+'V06 Calend 01'!G26),0)+IF(AND(('V06 Calend 01'!E26&gt;0),(11&gt;'V06 Calend 01'!C26),(11&lt;'V06 Calend 01'!D26),(MOD((11-'V06 Calend 01'!C26),6)=0),(((11-'V06 Calend 01'!C26)/6)&lt;='V06 Calend 01'!E26)),IF((11=('V06 Calend 01'!C26+(6*'V06 Calend 01'!E26))),('V06 Calend 01'!H26-('V06 Calend 01'!I26*('V06 Calend 01'!E26-1))),'V06 Calend 01'!I26),0))+IF((11='V06 Calend 01'!D26),'V06 Calend 01'!J26,0))</f>
        <v>0</v>
      </c>
      <c r="X26" s="2">
        <f>((IF((12='V06 Calend 01'!C26),('V06 Calend 01'!F26+'V06 Calend 01'!G26),0)+IF(AND(('V06 Calend 01'!E26&gt;0),(12&gt;'V06 Calend 01'!C26),(12&lt;'V06 Calend 01'!D26),(MOD((12-'V06 Calend 01'!C26),6)=0),(((12-'V06 Calend 01'!C26)/6)&lt;='V06 Calend 01'!E26)),IF((12=('V06 Calend 01'!C26+(6*'V06 Calend 01'!E26))),('V06 Calend 01'!H26-('V06 Calend 01'!I26*('V06 Calend 01'!E26-1))),'V06 Calend 01'!I26),0))+IF((12='V06 Calend 01'!D26),'V06 Calend 01'!J26,0))</f>
        <v>0</v>
      </c>
      <c r="Y26" s="2">
        <f>((IF((13='V06 Calend 01'!C26),('V06 Calend 01'!F26+'V06 Calend 01'!G26),0)+IF(AND(('V06 Calend 01'!E26&gt;0),(13&gt;'V06 Calend 01'!C26),(13&lt;'V06 Calend 01'!D26),(MOD((13-'V06 Calend 01'!C26),6)=0),(((13-'V06 Calend 01'!C26)/6)&lt;='V06 Calend 01'!E26)),IF((13=('V06 Calend 01'!C26+(6*'V06 Calend 01'!E26))),('V06 Calend 01'!H26-('V06 Calend 01'!I26*('V06 Calend 01'!E26-1))),'V06 Calend 01'!I26),0))+IF((13='V06 Calend 01'!D26),'V06 Calend 01'!J26,0))</f>
        <v>106743.0</v>
      </c>
      <c r="Z26" s="2">
        <f>((IF((14='V06 Calend 01'!C26),('V06 Calend 01'!F26+'V06 Calend 01'!G26),0)+IF(AND(('V06 Calend 01'!E26&gt;0),(14&gt;'V06 Calend 01'!C26),(14&lt;'V06 Calend 01'!D26),(MOD((14-'V06 Calend 01'!C26),6)=0),(((14-'V06 Calend 01'!C26)/6)&lt;='V06 Calend 01'!E26)),IF((14=('V06 Calend 01'!C26+(6*'V06 Calend 01'!E26))),('V06 Calend 01'!H26-('V06 Calend 01'!I26*('V06 Calend 01'!E26-1))),'V06 Calend 01'!I26),0))+IF((14='V06 Calend 01'!D26),'V06 Calend 01'!J26,0))</f>
        <v>0</v>
      </c>
      <c r="AA26" s="2">
        <f>((IF((15='V06 Calend 01'!C26),('V06 Calend 01'!F26+'V06 Calend 01'!G26),0)+IF(AND(('V06 Calend 01'!E26&gt;0),(15&gt;'V06 Calend 01'!C26),(15&lt;'V06 Calend 01'!D26),(MOD((15-'V06 Calend 01'!C26),6)=0),(((15-'V06 Calend 01'!C26)/6)&lt;='V06 Calend 01'!E26)),IF((15=('V06 Calend 01'!C26+(6*'V06 Calend 01'!E26))),('V06 Calend 01'!H26-('V06 Calend 01'!I26*('V06 Calend 01'!E26-1))),'V06 Calend 01'!I26),0))+IF((15='V06 Calend 01'!D26),'V06 Calend 01'!J26,0))</f>
        <v>0</v>
      </c>
      <c r="AB26" s="2">
        <f>((IF((16='V06 Calend 01'!C26),('V06 Calend 01'!F26+'V06 Calend 01'!G26),0)+IF(AND(('V06 Calend 01'!E26&gt;0),(16&gt;'V06 Calend 01'!C26),(16&lt;'V06 Calend 01'!D26),(MOD((16-'V06 Calend 01'!C26),6)=0),(((16-'V06 Calend 01'!C26)/6)&lt;='V06 Calend 01'!E26)),IF((16=('V06 Calend 01'!C26+(6*'V06 Calend 01'!E26))),('V06 Calend 01'!H26-('V06 Calend 01'!I26*('V06 Calend 01'!E26-1))),'V06 Calend 01'!I26),0))+IF((16='V06 Calend 01'!D26),'V06 Calend 01'!J26,0))</f>
        <v>0</v>
      </c>
      <c r="AC26" s="2">
        <f>((IF((17='V06 Calend 01'!C26),('V06 Calend 01'!F26+'V06 Calend 01'!G26),0)+IF(AND(('V06 Calend 01'!E26&gt;0),(17&gt;'V06 Calend 01'!C26),(17&lt;'V06 Calend 01'!D26),(MOD((17-'V06 Calend 01'!C26),6)=0),(((17-'V06 Calend 01'!C26)/6)&lt;='V06 Calend 01'!E26)),IF((17=('V06 Calend 01'!C26+(6*'V06 Calend 01'!E26))),('V06 Calend 01'!H26-('V06 Calend 01'!I26*('V06 Calend 01'!E26-1))),'V06 Calend 01'!I26),0))+IF((17='V06 Calend 01'!D26),'V06 Calend 01'!J26,0))</f>
        <v>0</v>
      </c>
      <c r="AD26" s="2">
        <f>((IF((18='V06 Calend 01'!C26),('V06 Calend 01'!F26+'V06 Calend 01'!G26),0)+IF(AND(('V06 Calend 01'!E26&gt;0),(18&gt;'V06 Calend 01'!C26),(18&lt;'V06 Calend 01'!D26),(MOD((18-'V06 Calend 01'!C26),6)=0),(((18-'V06 Calend 01'!C26)/6)&lt;='V06 Calend 01'!E26)),IF((18=('V06 Calend 01'!C26+(6*'V06 Calend 01'!E26))),('V06 Calend 01'!H26-('V06 Calend 01'!I26*('V06 Calend 01'!E26-1))),'V06 Calend 01'!I26),0))+IF((18='V06 Calend 01'!D26),'V06 Calend 01'!J26,0))</f>
        <v>0</v>
      </c>
      <c r="AE26" s="2">
        <f>((IF((19='V06 Calend 01'!C26),('V06 Calend 01'!F26+'V06 Calend 01'!G26),0)+IF(AND(('V06 Calend 01'!E26&gt;0),(19&gt;'V06 Calend 01'!C26),(19&lt;'V06 Calend 01'!D26),(MOD((19-'V06 Calend 01'!C26),6)=0),(((19-'V06 Calend 01'!C26)/6)&lt;='V06 Calend 01'!E26)),IF((19=('V06 Calend 01'!C26+(6*'V06 Calend 01'!E26))),('V06 Calend 01'!H26-('V06 Calend 01'!I26*('V06 Calend 01'!E26-1))),'V06 Calend 01'!I26),0))+IF((19='V06 Calend 01'!D26),'V06 Calend 01'!J26,0))</f>
        <v>117417.3</v>
      </c>
      <c r="AF26" s="2">
        <f>((IF((20='V06 Calend 01'!C26),('V06 Calend 01'!F26+'V06 Calend 01'!G26),0)+IF(AND(('V06 Calend 01'!E26&gt;0),(20&gt;'V06 Calend 01'!C26),(20&lt;'V06 Calend 01'!D26),(MOD((20-'V06 Calend 01'!C26),6)=0),(((20-'V06 Calend 01'!C26)/6)&lt;='V06 Calend 01'!E26)),IF((20=('V06 Calend 01'!C26+(6*'V06 Calend 01'!E26))),('V06 Calend 01'!H26-('V06 Calend 01'!I26*('V06 Calend 01'!E26-1))),'V06 Calend 01'!I26),0))+IF((20='V06 Calend 01'!D26),'V06 Calend 01'!J26,0))</f>
        <v>0</v>
      </c>
      <c r="AG26" s="2">
        <f>((IF((21='V06 Calend 01'!C26),('V06 Calend 01'!F26+'V06 Calend 01'!G26),0)+IF(AND(('V06 Calend 01'!E26&gt;0),(21&gt;'V06 Calend 01'!C26),(21&lt;'V06 Calend 01'!D26),(MOD((21-'V06 Calend 01'!C26),6)=0),(((21-'V06 Calend 01'!C26)/6)&lt;='V06 Calend 01'!E26)),IF((21=('V06 Calend 01'!C26+(6*'V06 Calend 01'!E26))),('V06 Calend 01'!H26-('V06 Calend 01'!I26*('V06 Calend 01'!E26-1))),'V06 Calend 01'!I26),0))+IF((21='V06 Calend 01'!D26),'V06 Calend 01'!J26,0))</f>
        <v>0</v>
      </c>
      <c r="AH26" s="2">
        <f>((IF((22='V06 Calend 01'!C26),('V06 Calend 01'!F26+'V06 Calend 01'!G26),0)+IF(AND(('V06 Calend 01'!E26&gt;0),(22&gt;'V06 Calend 01'!C26),(22&lt;'V06 Calend 01'!D26),(MOD((22-'V06 Calend 01'!C26),6)=0),(((22-'V06 Calend 01'!C26)/6)&lt;='V06 Calend 01'!E26)),IF((22=('V06 Calend 01'!C26+(6*'V06 Calend 01'!E26))),('V06 Calend 01'!H26-('V06 Calend 01'!I26*('V06 Calend 01'!E26-1))),'V06 Calend 01'!I26),0))+IF((22='V06 Calend 01'!D26),'V06 Calend 01'!J26,0))</f>
        <v>0</v>
      </c>
      <c r="AI26" s="2">
        <f>((IF((23='V06 Calend 01'!C26),('V06 Calend 01'!F26+'V06 Calend 01'!G26),0)+IF(AND(('V06 Calend 01'!E26&gt;0),(23&gt;'V06 Calend 01'!C26),(23&lt;'V06 Calend 01'!D26),(MOD((23-'V06 Calend 01'!C26),6)=0),(((23-'V06 Calend 01'!C26)/6)&lt;='V06 Calend 01'!E26)),IF((23=('V06 Calend 01'!C26+(6*'V06 Calend 01'!E26))),('V06 Calend 01'!H26-('V06 Calend 01'!I26*('V06 Calend 01'!E26-1))),'V06 Calend 01'!I26),0))+IF((23='V06 Calend 01'!D26),'V06 Calend 01'!J26,0))</f>
        <v>0</v>
      </c>
      <c r="AJ26" s="2">
        <f>((IF((24='V06 Calend 01'!C26),('V06 Calend 01'!F26+'V06 Calend 01'!G26),0)+IF(AND(('V06 Calend 01'!E26&gt;0),(24&gt;'V06 Calend 01'!C26),(24&lt;'V06 Calend 01'!D26),(MOD((24-'V06 Calend 01'!C26),6)=0),(((24-'V06 Calend 01'!C26)/6)&lt;='V06 Calend 01'!E26)),IF((24=('V06 Calend 01'!C26+(6*'V06 Calend 01'!E26))),('V06 Calend 01'!H26-('V06 Calend 01'!I26*('V06 Calend 01'!E26-1))),'V06 Calend 01'!I26),0))+IF((24='V06 Calend 01'!D26),'V06 Calend 01'!J26,0))</f>
        <v>0</v>
      </c>
      <c r="AK26" s="2">
        <f>((IF((25='V06 Calend 01'!C26),('V06 Calend 01'!F26+'V06 Calend 01'!G26),0)+IF(AND(('V06 Calend 01'!E26&gt;0),(25&gt;'V06 Calend 01'!C26),(25&lt;'V06 Calend 01'!D26),(MOD((25-'V06 Calend 01'!C26),6)=0),(((25-'V06 Calend 01'!C26)/6)&lt;='V06 Calend 01'!E26)),IF((25=('V06 Calend 01'!C26+(6*'V06 Calend 01'!E26))),('V06 Calend 01'!H26-('V06 Calend 01'!I26*('V06 Calend 01'!E26-1))),'V06 Calend 01'!I26),0))+IF((25='V06 Calend 01'!D26),'V06 Calend 01'!J26,0))</f>
        <v>117417.3</v>
      </c>
      <c r="AL26" s="2">
        <f>((IF((26='V06 Calend 01'!C26),('V06 Calend 01'!F26+'V06 Calend 01'!G26),0)+IF(AND(('V06 Calend 01'!E26&gt;0),(26&gt;'V06 Calend 01'!C26),(26&lt;'V06 Calend 01'!D26),(MOD((26-'V06 Calend 01'!C26),6)=0),(((26-'V06 Calend 01'!C26)/6)&lt;='V06 Calend 01'!E26)),IF((26=('V06 Calend 01'!C26+(6*'V06 Calend 01'!E26))),('V06 Calend 01'!H26-('V06 Calend 01'!I26*('V06 Calend 01'!E26-1))),'V06 Calend 01'!I26),0))+IF((26='V06 Calend 01'!D26),'V06 Calend 01'!J26,0))</f>
        <v>0</v>
      </c>
      <c r="AM26" s="2">
        <f>((IF((27='V06 Calend 01'!C26),('V06 Calend 01'!F26+'V06 Calend 01'!G26),0)+IF(AND(('V06 Calend 01'!E26&gt;0),(27&gt;'V06 Calend 01'!C26),(27&lt;'V06 Calend 01'!D26),(MOD((27-'V06 Calend 01'!C26),6)=0),(((27-'V06 Calend 01'!C26)/6)&lt;='V06 Calend 01'!E26)),IF((27=('V06 Calend 01'!C26+(6*'V06 Calend 01'!E26))),('V06 Calend 01'!H26-('V06 Calend 01'!I26*('V06 Calend 01'!E26-1))),'V06 Calend 01'!I26),0))+IF((27='V06 Calend 01'!D26),'V06 Calend 01'!J26,0))</f>
        <v>0</v>
      </c>
      <c r="AN26" s="2">
        <f>((IF((28='V06 Calend 01'!C26),('V06 Calend 01'!F26+'V06 Calend 01'!G26),0)+IF(AND(('V06 Calend 01'!E26&gt;0),(28&gt;'V06 Calend 01'!C26),(28&lt;'V06 Calend 01'!D26),(MOD((28-'V06 Calend 01'!C26),6)=0),(((28-'V06 Calend 01'!C26)/6)&lt;='V06 Calend 01'!E26)),IF((28=('V06 Calend 01'!C26+(6*'V06 Calend 01'!E26))),('V06 Calend 01'!H26-('V06 Calend 01'!I26*('V06 Calend 01'!E26-1))),'V06 Calend 01'!I26),0))+IF((28='V06 Calend 01'!D26),'V06 Calend 01'!J26,0))</f>
        <v>85394.4</v>
      </c>
      <c r="AO26" s="2">
        <f>((IF((29='V06 Calend 01'!C26),('V06 Calend 01'!F26+'V06 Calend 01'!G26),0)+IF(AND(('V06 Calend 01'!E26&gt;0),(29&gt;'V06 Calend 01'!C26),(29&lt;'V06 Calend 01'!D26),(MOD((29-'V06 Calend 01'!C26),6)=0),(((29-'V06 Calend 01'!C26)/6)&lt;='V06 Calend 01'!E26)),IF((29=('V06 Calend 01'!C26+(6*'V06 Calend 01'!E26))),('V06 Calend 01'!H26-('V06 Calend 01'!I26*('V06 Calend 01'!E26-1))),'V06 Calend 01'!I26),0))+IF((29='V06 Calend 01'!D26),'V06 Calend 01'!J26,0))</f>
        <v>0</v>
      </c>
      <c r="AP26" s="2">
        <f>((IF((30='V06 Calend 01'!C26),('V06 Calend 01'!F26+'V06 Calend 01'!G26),0)+IF(AND(('V06 Calend 01'!E26&gt;0),(30&gt;'V06 Calend 01'!C26),(30&lt;'V06 Calend 01'!D26),(MOD((30-'V06 Calend 01'!C26),6)=0),(((30-'V06 Calend 01'!C26)/6)&lt;='V06 Calend 01'!E26)),IF((30=('V06 Calend 01'!C26+(6*'V06 Calend 01'!E26))),('V06 Calend 01'!H26-('V06 Calend 01'!I26*('V06 Calend 01'!E26-1))),'V06 Calend 01'!I26),0))+IF((30='V06 Calend 01'!D26),'V06 Calend 01'!J26,0))</f>
        <v>0</v>
      </c>
      <c r="AQ26" s="2">
        <f>((IF((31='V06 Calend 01'!C26),('V06 Calend 01'!F26+'V06 Calend 01'!G26),0)+IF(AND(('V06 Calend 01'!E26&gt;0),(31&gt;'V06 Calend 01'!C26),(31&lt;'V06 Calend 01'!D26),(MOD((31-'V06 Calend 01'!C26),6)=0),(((31-'V06 Calend 01'!C26)/6)&lt;='V06 Calend 01'!E26)),IF((31=('V06 Calend 01'!C26+(6*'V06 Calend 01'!E26))),('V06 Calend 01'!H26-('V06 Calend 01'!I26*('V06 Calend 01'!E26-1))),'V06 Calend 01'!I26),0))+IF((31='V06 Calend 01'!D26),'V06 Calend 01'!J26,0))</f>
        <v>0</v>
      </c>
      <c r="AR26" s="2">
        <f>((IF((32='V06 Calend 01'!C26),('V06 Calend 01'!F26+'V06 Calend 01'!G26),0)+IF(AND(('V06 Calend 01'!E26&gt;0),(32&gt;'V06 Calend 01'!C26),(32&lt;'V06 Calend 01'!D26),(MOD((32-'V06 Calend 01'!C26),6)=0),(((32-'V06 Calend 01'!C26)/6)&lt;='V06 Calend 01'!E26)),IF((32=('V06 Calend 01'!C26+(6*'V06 Calend 01'!E26))),('V06 Calend 01'!H26-('V06 Calend 01'!I26*('V06 Calend 01'!E26-1))),'V06 Calend 01'!I26),0))+IF((32='V06 Calend 01'!D26),'V06 Calend 01'!J26,0))</f>
        <v>0</v>
      </c>
      <c r="AS26" s="2">
        <f>((IF((33='V06 Calend 01'!C26),('V06 Calend 01'!F26+'V06 Calend 01'!G26),0)+IF(AND(('V06 Calend 01'!E26&gt;0),(33&gt;'V06 Calend 01'!C26),(33&lt;'V06 Calend 01'!D26),(MOD((33-'V06 Calend 01'!C26),6)=0),(((33-'V06 Calend 01'!C26)/6)&lt;='V06 Calend 01'!E26)),IF((33=('V06 Calend 01'!C26+(6*'V06 Calend 01'!E26))),('V06 Calend 01'!H26-('V06 Calend 01'!I26*('V06 Calend 01'!E26-1))),'V06 Calend 01'!I26),0))+IF((33='V06 Calend 01'!D26),'V06 Calend 01'!J26,0))</f>
        <v>0</v>
      </c>
      <c r="AT26" s="2">
        <f>((IF((34='V06 Calend 01'!C26),('V06 Calend 01'!F26+'V06 Calend 01'!G26),0)+IF(AND(('V06 Calend 01'!E26&gt;0),(34&gt;'V06 Calend 01'!C26),(34&lt;'V06 Calend 01'!D26),(MOD((34-'V06 Calend 01'!C26),6)=0),(((34-'V06 Calend 01'!C26)/6)&lt;='V06 Calend 01'!E26)),IF((34=('V06 Calend 01'!C26+(6*'V06 Calend 01'!E26))),('V06 Calend 01'!H26-('V06 Calend 01'!I26*('V06 Calend 01'!E26-1))),'V06 Calend 01'!I26),0))+IF((34='V06 Calend 01'!D26),'V06 Calend 01'!J26,0))</f>
        <v>0</v>
      </c>
      <c r="AU26" s="2">
        <f>((IF((35='V06 Calend 01'!C26),('V06 Calend 01'!F26+'V06 Calend 01'!G26),0)+IF(AND(('V06 Calend 01'!E26&gt;0),(35&gt;'V06 Calend 01'!C26),(35&lt;'V06 Calend 01'!D26),(MOD((35-'V06 Calend 01'!C26),6)=0),(((35-'V06 Calend 01'!C26)/6)&lt;='V06 Calend 01'!E26)),IF((35=('V06 Calend 01'!C26+(6*'V06 Calend 01'!E26))),('V06 Calend 01'!H26-('V06 Calend 01'!I26*('V06 Calend 01'!E26-1))),'V06 Calend 01'!I26),0))+IF((35='V06 Calend 01'!D26),'V06 Calend 01'!J26,0))</f>
        <v>0</v>
      </c>
      <c r="AV26" s="2">
        <f>((IF((36='V06 Calend 01'!C26),('V06 Calend 01'!F26+'V06 Calend 01'!G26),0)+IF(AND(('V06 Calend 01'!E26&gt;0),(36&gt;'V06 Calend 01'!C26),(36&lt;'V06 Calend 01'!D26),(MOD((36-'V06 Calend 01'!C26),6)=0),(((36-'V06 Calend 01'!C26)/6)&lt;='V06 Calend 01'!E26)),IF((36=('V06 Calend 01'!C26+(6*'V06 Calend 01'!E26))),('V06 Calend 01'!H26-('V06 Calend 01'!I26*('V06 Calend 01'!E26-1))),'V06 Calend 01'!I26),0))+IF((36='V06 Calend 01'!D26),'V06 Calend 01'!J26,0))</f>
        <v>0</v>
      </c>
      <c r="AW26" s="2">
        <f>((IF((37='V06 Calend 01'!C26),('V06 Calend 01'!F26+'V06 Calend 01'!G26),0)+IF(AND(('V06 Calend 01'!E26&gt;0),(37&gt;'V06 Calend 01'!C26),(37&lt;'V06 Calend 01'!D26),(MOD((37-'V06 Calend 01'!C26),6)=0),(((37-'V06 Calend 01'!C26)/6)&lt;='V06 Calend 01'!E26)),IF((37=('V06 Calend 01'!C26+(6*'V06 Calend 01'!E26))),('V06 Calend 01'!H26-('V06 Calend 01'!I26*('V06 Calend 01'!E26-1))),'V06 Calend 01'!I26),0))+IF((37='V06 Calend 01'!D26),'V06 Calend 01'!J26,0))</f>
        <v>0</v>
      </c>
      <c r="AX26" s="2">
        <f>((IF((38='V06 Calend 01'!C26),('V06 Calend 01'!F26+'V06 Calend 01'!G26),0)+IF(AND(('V06 Calend 01'!E26&gt;0),(38&gt;'V06 Calend 01'!C26),(38&lt;'V06 Calend 01'!D26),(MOD((38-'V06 Calend 01'!C26),6)=0),(((38-'V06 Calend 01'!C26)/6)&lt;='V06 Calend 01'!E26)),IF((38=('V06 Calend 01'!C26+(6*'V06 Calend 01'!E26))),('V06 Calend 01'!H26-('V06 Calend 01'!I26*('V06 Calend 01'!E26-1))),'V06 Calend 01'!I26),0))+IF((38='V06 Calend 01'!D26),'V06 Calend 01'!J26,0))</f>
        <v>0</v>
      </c>
      <c r="AY26" s="2">
        <f>((IF((39='V06 Calend 01'!C26),('V06 Calend 01'!F26+'V06 Calend 01'!G26),0)+IF(AND(('V06 Calend 01'!E26&gt;0),(39&gt;'V06 Calend 01'!C26),(39&lt;'V06 Calend 01'!D26),(MOD((39-'V06 Calend 01'!C26),6)=0),(((39-'V06 Calend 01'!C26)/6)&lt;='V06 Calend 01'!E26)),IF((39=('V06 Calend 01'!C26+(6*'V06 Calend 01'!E26))),('V06 Calend 01'!H26-('V06 Calend 01'!I26*('V06 Calend 01'!E26-1))),'V06 Calend 01'!I26),0))+IF((39='V06 Calend 01'!D26),'V06 Calend 01'!J26,0))</f>
        <v>0</v>
      </c>
      <c r="AZ26" s="2">
        <f>((IF((40='V06 Calend 01'!C26),('V06 Calend 01'!F26+'V06 Calend 01'!G26),0)+IF(AND(('V06 Calend 01'!E26&gt;0),(40&gt;'V06 Calend 01'!C26),(40&lt;'V06 Calend 01'!D26),(MOD((40-'V06 Calend 01'!C26),6)=0),(((40-'V06 Calend 01'!C26)/6)&lt;='V06 Calend 01'!E26)),IF((40=('V06 Calend 01'!C26+(6*'V06 Calend 01'!E26))),('V06 Calend 01'!H26-('V06 Calend 01'!I26*('V06 Calend 01'!E26-1))),'V06 Calend 01'!I26),0))+IF((40='V06 Calend 01'!D26),'V06 Calend 01'!J26,0))</f>
        <v>0</v>
      </c>
      <c r="BA26" s="2">
        <f>((IF((41='V06 Calend 01'!C26),('V06 Calend 01'!F26+'V06 Calend 01'!G26),0)+IF(AND(('V06 Calend 01'!E26&gt;0),(41&gt;'V06 Calend 01'!C26),(41&lt;'V06 Calend 01'!D26),(MOD((41-'V06 Calend 01'!C26),6)=0),(((41-'V06 Calend 01'!C26)/6)&lt;='V06 Calend 01'!E26)),IF((41=('V06 Calend 01'!C26+(6*'V06 Calend 01'!E26))),('V06 Calend 01'!H26-('V06 Calend 01'!I26*('V06 Calend 01'!E26-1))),'V06 Calend 01'!I26),0))+IF((41='V06 Calend 01'!D26),'V06 Calend 01'!J26,0))</f>
        <v>0</v>
      </c>
      <c r="BB26" s="2">
        <f>((IF((42='V06 Calend 01'!C26),('V06 Calend 01'!F26+'V06 Calend 01'!G26),0)+IF(AND(('V06 Calend 01'!E26&gt;0),(42&gt;'V06 Calend 01'!C26),(42&lt;'V06 Calend 01'!D26),(MOD((42-'V06 Calend 01'!C26),6)=0),(((42-'V06 Calend 01'!C26)/6)&lt;='V06 Calend 01'!E26)),IF((42=('V06 Calend 01'!C26+(6*'V06 Calend 01'!E26))),('V06 Calend 01'!H26-('V06 Calend 01'!I26*('V06 Calend 01'!E26-1))),'V06 Calend 01'!I26),0))+IF((42='V06 Calend 01'!D26),'V06 Calend 01'!J26,0))</f>
        <v>0</v>
      </c>
      <c r="BC26" s="2">
        <f>((IF((43='V06 Calend 01'!C26),('V06 Calend 01'!F26+'V06 Calend 01'!G26),0)+IF(AND(('V06 Calend 01'!E26&gt;0),(43&gt;'V06 Calend 01'!C26),(43&lt;'V06 Calend 01'!D26),(MOD((43-'V06 Calend 01'!C26),6)=0),(((43-'V06 Calend 01'!C26)/6)&lt;='V06 Calend 01'!E26)),IF((43=('V06 Calend 01'!C26+(6*'V06 Calend 01'!E26))),('V06 Calend 01'!H26-('V06 Calend 01'!I26*('V06 Calend 01'!E26-1))),'V06 Calend 01'!I26),0))+IF((43='V06 Calend 01'!D26),'V06 Calend 01'!J26,0))</f>
        <v>0</v>
      </c>
      <c r="BD26" s="2">
        <f>((IF((44='V06 Calend 01'!C26),('V06 Calend 01'!F26+'V06 Calend 01'!G26),0)+IF(AND(('V06 Calend 01'!E26&gt;0),(44&gt;'V06 Calend 01'!C26),(44&lt;'V06 Calend 01'!D26),(MOD((44-'V06 Calend 01'!C26),6)=0),(((44-'V06 Calend 01'!C26)/6)&lt;='V06 Calend 01'!E26)),IF((44=('V06 Calend 01'!C26+(6*'V06 Calend 01'!E26))),('V06 Calend 01'!H26-('V06 Calend 01'!I26*('V06 Calend 01'!E26-1))),'V06 Calend 01'!I26),0))+IF((44='V06 Calend 01'!D26),'V06 Calend 01'!J26,0))</f>
        <v>0</v>
      </c>
      <c r="BE26" s="2">
        <f>((IF((45='V06 Calend 01'!C26),('V06 Calend 01'!F26+'V06 Calend 01'!G26),0)+IF(AND(('V06 Calend 01'!E26&gt;0),(45&gt;'V06 Calend 01'!C26),(45&lt;'V06 Calend 01'!D26),(MOD((45-'V06 Calend 01'!C26),6)=0),(((45-'V06 Calend 01'!C26)/6)&lt;='V06 Calend 01'!E26)),IF((45=('V06 Calend 01'!C26+(6*'V06 Calend 01'!E26))),('V06 Calend 01'!H26-('V06 Calend 01'!I26*('V06 Calend 01'!E26-1))),'V06 Calend 01'!I26),0))+IF((45='V06 Calend 01'!D26),'V06 Calend 01'!J26,0))</f>
        <v>0</v>
      </c>
      <c r="BF26" s="2">
        <f>((IF((46='V06 Calend 01'!C26),('V06 Calend 01'!F26+'V06 Calend 01'!G26),0)+IF(AND(('V06 Calend 01'!E26&gt;0),(46&gt;'V06 Calend 01'!C26),(46&lt;'V06 Calend 01'!D26),(MOD((46-'V06 Calend 01'!C26),6)=0),(((46-'V06 Calend 01'!C26)/6)&lt;='V06 Calend 01'!E26)),IF((46=('V06 Calend 01'!C26+(6*'V06 Calend 01'!E26))),('V06 Calend 01'!H26-('V06 Calend 01'!I26*('V06 Calend 01'!E26-1))),'V06 Calend 01'!I26),0))+IF((46='V06 Calend 01'!D26),'V06 Calend 01'!J26,0))</f>
        <v>0</v>
      </c>
      <c r="BG26" s="2">
        <f>((IF((47='V06 Calend 01'!C26),('V06 Calend 01'!F26+'V06 Calend 01'!G26),0)+IF(AND(('V06 Calend 01'!E26&gt;0),(47&gt;'V06 Calend 01'!C26),(47&lt;'V06 Calend 01'!D26),(MOD((47-'V06 Calend 01'!C26),6)=0),(((47-'V06 Calend 01'!C26)/6)&lt;='V06 Calend 01'!E26)),IF((47=('V06 Calend 01'!C26+(6*'V06 Calend 01'!E26))),('V06 Calend 01'!H26-('V06 Calend 01'!I26*('V06 Calend 01'!E26-1))),'V06 Calend 01'!I26),0))+IF((47='V06 Calend 01'!D26),'V06 Calend 01'!J26,0))</f>
        <v>0</v>
      </c>
      <c r="BH26" s="2">
        <f>((IF((48='V06 Calend 01'!C26),('V06 Calend 01'!F26+'V06 Calend 01'!G26),0)+IF(AND(('V06 Calend 01'!E26&gt;0),(48&gt;'V06 Calend 01'!C26),(48&lt;'V06 Calend 01'!D26),(MOD((48-'V06 Calend 01'!C26),6)=0),(((48-'V06 Calend 01'!C26)/6)&lt;='V06 Calend 01'!E26)),IF((48=('V06 Calend 01'!C26+(6*'V06 Calend 01'!E26))),('V06 Calend 01'!H26-('V06 Calend 01'!I26*('V06 Calend 01'!E26-1))),'V06 Calend 01'!I26),0))+IF((48='V06 Calend 01'!D26),'V06 Calend 01'!J26,0))</f>
        <v>0</v>
      </c>
      <c r="BI26" s="2">
        <f>((IF((49='V06 Calend 01'!C26),('V06 Calend 01'!F26+'V06 Calend 01'!G26),0)+IF(AND(('V06 Calend 01'!E26&gt;0),(49&gt;'V06 Calend 01'!C26),(49&lt;'V06 Calend 01'!D26),(MOD((49-'V06 Calend 01'!C26),6)=0),(((49-'V06 Calend 01'!C26)/6)&lt;='V06 Calend 01'!E26)),IF((49=('V06 Calend 01'!C26+(6*'V06 Calend 01'!E26))),('V06 Calend 01'!H26-('V06 Calend 01'!I26*('V06 Calend 01'!E26-1))),'V06 Calend 01'!I26),0))+IF((49='V06 Calend 01'!D26),'V06 Calend 01'!J26,0))</f>
        <v>0</v>
      </c>
      <c r="BJ26" s="2">
        <f>((IF((50='V06 Calend 01'!C26),('V06 Calend 01'!F26+'V06 Calend 01'!G26),0)+IF(AND(('V06 Calend 01'!E26&gt;0),(50&gt;'V06 Calend 01'!C26),(50&lt;'V06 Calend 01'!D26),(MOD((50-'V06 Calend 01'!C26),6)=0),(((50-'V06 Calend 01'!C26)/6)&lt;='V06 Calend 01'!E26)),IF((50=('V06 Calend 01'!C26+(6*'V06 Calend 01'!E26))),('V06 Calend 01'!H26-('V06 Calend 01'!I26*('V06 Calend 01'!E26-1))),'V06 Calend 01'!I26),0))+IF((50='V06 Calend 01'!D26),'V06 Calend 01'!J26,0))</f>
        <v>0</v>
      </c>
      <c r="BK26" s="2">
        <f>((IF((51='V06 Calend 01'!C26),('V06 Calend 01'!F26+'V06 Calend 01'!G26),0)+IF(AND(('V06 Calend 01'!E26&gt;0),(51&gt;'V06 Calend 01'!C26),(51&lt;'V06 Calend 01'!D26),(MOD((51-'V06 Calend 01'!C26),6)=0),(((51-'V06 Calend 01'!C26)/6)&lt;='V06 Calend 01'!E26)),IF((51=('V06 Calend 01'!C26+(6*'V06 Calend 01'!E26))),('V06 Calend 01'!H26-('V06 Calend 01'!I26*('V06 Calend 01'!E26-1))),'V06 Calend 01'!I26),0))+IF((51='V06 Calend 01'!D26),'V06 Calend 01'!J26,0))</f>
        <v>0</v>
      </c>
      <c r="BL26" s="2">
        <f>((IF((52='V06 Calend 01'!C26),('V06 Calend 01'!F26+'V06 Calend 01'!G26),0)+IF(AND(('V06 Calend 01'!E26&gt;0),(52&gt;'V06 Calend 01'!C26),(52&lt;'V06 Calend 01'!D26),(MOD((52-'V06 Calend 01'!C26),6)=0),(((52-'V06 Calend 01'!C26)/6)&lt;='V06 Calend 01'!E26)),IF((52=('V06 Calend 01'!C26+(6*'V06 Calend 01'!E26))),('V06 Calend 01'!H26-('V06 Calend 01'!I26*('V06 Calend 01'!E26-1))),'V06 Calend 01'!I26),0))+IF((52='V06 Calend 01'!D26),'V06 Calend 01'!J26,0))</f>
        <v>0</v>
      </c>
      <c r="BM26" s="2">
        <f>((IF((53='V06 Calend 01'!C26),('V06 Calend 01'!F26+'V06 Calend 01'!G26),0)+IF(AND(('V06 Calend 01'!E26&gt;0),(53&gt;'V06 Calend 01'!C26),(53&lt;'V06 Calend 01'!D26),(MOD((53-'V06 Calend 01'!C26),6)=0),(((53-'V06 Calend 01'!C26)/6)&lt;='V06 Calend 01'!E26)),IF((53=('V06 Calend 01'!C26+(6*'V06 Calend 01'!E26))),('V06 Calend 01'!H26-('V06 Calend 01'!I26*('V06 Calend 01'!E26-1))),'V06 Calend 01'!I26),0))+IF((53='V06 Calend 01'!D26),'V06 Calend 01'!J26,0))</f>
        <v>0</v>
      </c>
      <c r="BN26" s="2">
        <f>((IF((54='V06 Calend 01'!C26),('V06 Calend 01'!F26+'V06 Calend 01'!G26),0)+IF(AND(('V06 Calend 01'!E26&gt;0),(54&gt;'V06 Calend 01'!C26),(54&lt;'V06 Calend 01'!D26),(MOD((54-'V06 Calend 01'!C26),6)=0),(((54-'V06 Calend 01'!C26)/6)&lt;='V06 Calend 01'!E26)),IF((54=('V06 Calend 01'!C26+(6*'V06 Calend 01'!E26))),('V06 Calend 01'!H26-('V06 Calend 01'!I26*('V06 Calend 01'!E26-1))),'V06 Calend 01'!I26),0))+IF((54='V06 Calend 01'!D26),'V06 Calend 01'!J26,0))</f>
        <v>0</v>
      </c>
      <c r="BO26" s="2">
        <f>((IF((55='V06 Calend 01'!C26),('V06 Calend 01'!F26+'V06 Calend 01'!G26),0)+IF(AND(('V06 Calend 01'!E26&gt;0),(55&gt;'V06 Calend 01'!C26),(55&lt;'V06 Calend 01'!D26),(MOD((55-'V06 Calend 01'!C26),6)=0),(((55-'V06 Calend 01'!C26)/6)&lt;='V06 Calend 01'!E26)),IF((55=('V06 Calend 01'!C26+(6*'V06 Calend 01'!E26))),('V06 Calend 01'!H26-('V06 Calend 01'!I26*('V06 Calend 01'!E26-1))),'V06 Calend 01'!I26),0))+IF((55='V06 Calend 01'!D26),'V06 Calend 01'!J26,0))</f>
        <v>0</v>
      </c>
      <c r="BP26" s="2">
        <f>((IF((56='V06 Calend 01'!C26),('V06 Calend 01'!F26+'V06 Calend 01'!G26),0)+IF(AND(('V06 Calend 01'!E26&gt;0),(56&gt;'V06 Calend 01'!C26),(56&lt;'V06 Calend 01'!D26),(MOD((56-'V06 Calend 01'!C26),6)=0),(((56-'V06 Calend 01'!C26)/6)&lt;='V06 Calend 01'!E26)),IF((56=('V06 Calend 01'!C26+(6*'V06 Calend 01'!E26))),('V06 Calend 01'!H26-('V06 Calend 01'!I26*('V06 Calend 01'!E26-1))),'V06 Calend 01'!I26),0))+IF((56='V06 Calend 01'!D26),'V06 Calend 01'!J26,0))</f>
        <v>0</v>
      </c>
      <c r="BQ26" s="2">
        <f>((IF((57='V06 Calend 01'!C26),('V06 Calend 01'!F26+'V06 Calend 01'!G26),0)+IF(AND(('V06 Calend 01'!E26&gt;0),(57&gt;'V06 Calend 01'!C26),(57&lt;'V06 Calend 01'!D26),(MOD((57-'V06 Calend 01'!C26),6)=0),(((57-'V06 Calend 01'!C26)/6)&lt;='V06 Calend 01'!E26)),IF((57=('V06 Calend 01'!C26+(6*'V06 Calend 01'!E26))),('V06 Calend 01'!H26-('V06 Calend 01'!I26*('V06 Calend 01'!E26-1))),'V06 Calend 01'!I26),0))+IF((57='V06 Calend 01'!D26),'V06 Calend 01'!J26,0))</f>
        <v>0</v>
      </c>
      <c r="BR26" s="2">
        <f>((IF((58='V06 Calend 01'!C26),('V06 Calend 01'!F26+'V06 Calend 01'!G26),0)+IF(AND(('V06 Calend 01'!E26&gt;0),(58&gt;'V06 Calend 01'!C26),(58&lt;'V06 Calend 01'!D26),(MOD((58-'V06 Calend 01'!C26),6)=0),(((58-'V06 Calend 01'!C26)/6)&lt;='V06 Calend 01'!E26)),IF((58=('V06 Calend 01'!C26+(6*'V06 Calend 01'!E26))),('V06 Calend 01'!H26-('V06 Calend 01'!I26*('V06 Calend 01'!E26-1))),'V06 Calend 01'!I26),0))+IF((58='V06 Calend 01'!D26),'V06 Calend 01'!J26,0))</f>
        <v>0</v>
      </c>
      <c r="BS26" s="2">
        <f>((IF((59='V06 Calend 01'!C26),('V06 Calend 01'!F26+'V06 Calend 01'!G26),0)+IF(AND(('V06 Calend 01'!E26&gt;0),(59&gt;'V06 Calend 01'!C26),(59&lt;'V06 Calend 01'!D26),(MOD((59-'V06 Calend 01'!C26),6)=0),(((59-'V06 Calend 01'!C26)/6)&lt;='V06 Calend 01'!E26)),IF((59=('V06 Calend 01'!C26+(6*'V06 Calend 01'!E26))),('V06 Calend 01'!H26-('V06 Calend 01'!I26*('V06 Calend 01'!E26-1))),'V06 Calend 01'!I26),0))+IF((59='V06 Calend 01'!D26),'V06 Calend 01'!J26,0))</f>
        <v>0</v>
      </c>
      <c r="BT26" s="2">
        <f>((IF((60='V06 Calend 01'!C26),('V06 Calend 01'!F26+'V06 Calend 01'!G26),0)+IF(AND(('V06 Calend 01'!E26&gt;0),(60&gt;'V06 Calend 01'!C26),(60&lt;'V06 Calend 01'!D26),(MOD((60-'V06 Calend 01'!C26),6)=0),(((60-'V06 Calend 01'!C26)/6)&lt;='V06 Calend 01'!E26)),IF((60=('V06 Calend 01'!C26+(6*'V06 Calend 01'!E26))),('V06 Calend 01'!H26-('V06 Calend 01'!I26*('V06 Calend 01'!E26-1))),'V06 Calend 01'!I26),0))+IF((60='V06 Calend 01'!D26),'V06 Calend 01'!J26,0))</f>
        <v>0</v>
      </c>
      <c r="BU26" s="2">
        <f>((IF((61='V06 Calend 01'!C26),('V06 Calend 01'!F26+'V06 Calend 01'!G26),0)+IF(AND(('V06 Calend 01'!E26&gt;0),(61&gt;'V06 Calend 01'!C26),(61&lt;'V06 Calend 01'!D26),(MOD((61-'V06 Calend 01'!C26),6)=0),(((61-'V06 Calend 01'!C26)/6)&lt;='V06 Calend 01'!E26)),IF((61=('V06 Calend 01'!C26+(6*'V06 Calend 01'!E26))),('V06 Calend 01'!H26-('V06 Calend 01'!I26*('V06 Calend 01'!E26-1))),'V06 Calend 01'!I26),0))+IF((61='V06 Calend 01'!D26),'V06 Calend 01'!J26,0))</f>
        <v>0</v>
      </c>
      <c r="BV26" s="2">
        <f>((IF((62='V06 Calend 01'!C26),('V06 Calend 01'!F26+'V06 Calend 01'!G26),0)+IF(AND(('V06 Calend 01'!E26&gt;0),(62&gt;'V06 Calend 01'!C26),(62&lt;'V06 Calend 01'!D26),(MOD((62-'V06 Calend 01'!C26),6)=0),(((62-'V06 Calend 01'!C26)/6)&lt;='V06 Calend 01'!E26)),IF((62=('V06 Calend 01'!C26+(6*'V06 Calend 01'!E26))),('V06 Calend 01'!H26-('V06 Calend 01'!I26*('V06 Calend 01'!E26-1))),'V06 Calend 01'!I26),0))+IF((62='V06 Calend 01'!D26),'V06 Calend 01'!J26,0))</f>
        <v>0</v>
      </c>
      <c r="BW26" s="2">
        <f>((IF((63='V06 Calend 01'!C26),('V06 Calend 01'!F26+'V06 Calend 01'!G26),0)+IF(AND(('V06 Calend 01'!E26&gt;0),(63&gt;'V06 Calend 01'!C26),(63&lt;'V06 Calend 01'!D26),(MOD((63-'V06 Calend 01'!C26),6)=0),(((63-'V06 Calend 01'!C26)/6)&lt;='V06 Calend 01'!E26)),IF((63=('V06 Calend 01'!C26+(6*'V06 Calend 01'!E26))),('V06 Calend 01'!H26-('V06 Calend 01'!I26*('V06 Calend 01'!E26-1))),'V06 Calend 01'!I26),0))+IF((63='V06 Calend 01'!D26),'V06 Calend 01'!J26,0))</f>
        <v>0</v>
      </c>
      <c r="BX26" s="2">
        <f>((IF((64='V06 Calend 01'!C26),('V06 Calend 01'!F26+'V06 Calend 01'!G26),0)+IF(AND(('V06 Calend 01'!E26&gt;0),(64&gt;'V06 Calend 01'!C26),(64&lt;'V06 Calend 01'!D26),(MOD((64-'V06 Calend 01'!C26),6)=0),(((64-'V06 Calend 01'!C26)/6)&lt;='V06 Calend 01'!E26)),IF((64=('V06 Calend 01'!C26+(6*'V06 Calend 01'!E26))),('V06 Calend 01'!H26-('V06 Calend 01'!I26*('V06 Calend 01'!E26-1))),'V06 Calend 01'!I26),0))+IF((64='V06 Calend 01'!D26),'V06 Calend 01'!J26,0))</f>
        <v>0</v>
      </c>
      <c r="BY26" s="2">
        <f>((IF((65='V06 Calend 01'!C26),('V06 Calend 01'!F26+'V06 Calend 01'!G26),0)+IF(AND(('V06 Calend 01'!E26&gt;0),(65&gt;'V06 Calend 01'!C26),(65&lt;'V06 Calend 01'!D26),(MOD((65-'V06 Calend 01'!C26),6)=0),(((65-'V06 Calend 01'!C26)/6)&lt;='V06 Calend 01'!E26)),IF((65=('V06 Calend 01'!C26+(6*'V06 Calend 01'!E26))),('V06 Calend 01'!H26-('V06 Calend 01'!I26*('V06 Calend 01'!E26-1))),'V06 Calend 01'!I26),0))+IF((65='V06 Calend 01'!D26),'V06 Calend 01'!J26,0))</f>
        <v>0</v>
      </c>
      <c r="BZ26" s="2">
        <f>((IF((66='V06 Calend 01'!C26),('V06 Calend 01'!F26+'V06 Calend 01'!G26),0)+IF(AND(('V06 Calend 01'!E26&gt;0),(66&gt;'V06 Calend 01'!C26),(66&lt;'V06 Calend 01'!D26),(MOD((66-'V06 Calend 01'!C26),6)=0),(((66-'V06 Calend 01'!C26)/6)&lt;='V06 Calend 01'!E26)),IF((66=('V06 Calend 01'!C26+(6*'V06 Calend 01'!E26))),('V06 Calend 01'!H26-('V06 Calend 01'!I26*('V06 Calend 01'!E26-1))),'V06 Calend 01'!I26),0))+IF((66='V06 Calend 01'!D26),'V06 Calend 01'!J26,0))</f>
        <v>0</v>
      </c>
      <c r="CA26" s="2">
        <f>((IF((67='V06 Calend 01'!C26),('V06 Calend 01'!F26+'V06 Calend 01'!G26),0)+IF(AND(('V06 Calend 01'!E26&gt;0),(67&gt;'V06 Calend 01'!C26),(67&lt;'V06 Calend 01'!D26),(MOD((67-'V06 Calend 01'!C26),6)=0),(((67-'V06 Calend 01'!C26)/6)&lt;='V06 Calend 01'!E26)),IF((67=('V06 Calend 01'!C26+(6*'V06 Calend 01'!E26))),('V06 Calend 01'!H26-('V06 Calend 01'!I26*('V06 Calend 01'!E26-1))),'V06 Calend 01'!I26),0))+IF((67='V06 Calend 01'!D26),'V06 Calend 01'!J26,0))</f>
        <v>0</v>
      </c>
      <c r="CB26" s="2">
        <f>((IF((68='V06 Calend 01'!C26),('V06 Calend 01'!F26+'V06 Calend 01'!G26),0)+IF(AND(('V06 Calend 01'!E26&gt;0),(68&gt;'V06 Calend 01'!C26),(68&lt;'V06 Calend 01'!D26),(MOD((68-'V06 Calend 01'!C26),6)=0),(((68-'V06 Calend 01'!C26)/6)&lt;='V06 Calend 01'!E26)),IF((68=('V06 Calend 01'!C26+(6*'V06 Calend 01'!E26))),('V06 Calend 01'!H26-('V06 Calend 01'!I26*('V06 Calend 01'!E26-1))),'V06 Calend 01'!I26),0))+IF((68='V06 Calend 01'!D26),'V06 Calend 01'!J26,0))</f>
        <v>0</v>
      </c>
      <c r="CC26" s="2">
        <f>((IF((69='V06 Calend 01'!C26),('V06 Calend 01'!F26+'V06 Calend 01'!G26),0)+IF(AND(('V06 Calend 01'!E26&gt;0),(69&gt;'V06 Calend 01'!C26),(69&lt;'V06 Calend 01'!D26),(MOD((69-'V06 Calend 01'!C26),6)=0),(((69-'V06 Calend 01'!C26)/6)&lt;='V06 Calend 01'!E26)),IF((69=('V06 Calend 01'!C26+(6*'V06 Calend 01'!E26))),('V06 Calend 01'!H26-('V06 Calend 01'!I26*('V06 Calend 01'!E26-1))),'V06 Calend 01'!I26),0))+IF((69='V06 Calend 01'!D26),'V06 Calend 01'!J26,0))</f>
        <v>0</v>
      </c>
      <c r="CD26" s="2">
        <f>((IF((70='V06 Calend 01'!C26),('V06 Calend 01'!F26+'V06 Calend 01'!G26),0)+IF(AND(('V06 Calend 01'!E26&gt;0),(70&gt;'V06 Calend 01'!C26),(70&lt;'V06 Calend 01'!D26),(MOD((70-'V06 Calend 01'!C26),6)=0),(((70-'V06 Calend 01'!C26)/6)&lt;='V06 Calend 01'!E26)),IF((70=('V06 Calend 01'!C26+(6*'V06 Calend 01'!E26))),('V06 Calend 01'!H26-('V06 Calend 01'!I26*('V06 Calend 01'!E26-1))),'V06 Calend 01'!I26),0))+IF((70='V06 Calend 01'!D26),'V06 Calend 01'!J26,0))</f>
        <v>0</v>
      </c>
      <c r="CE26" s="2">
        <f>((IF((71='V06 Calend 01'!C26),('V06 Calend 01'!F26+'V06 Calend 01'!G26),0)+IF(AND(('V06 Calend 01'!E26&gt;0),(71&gt;'V06 Calend 01'!C26),(71&lt;'V06 Calend 01'!D26),(MOD((71-'V06 Calend 01'!C26),6)=0),(((71-'V06 Calend 01'!C26)/6)&lt;='V06 Calend 01'!E26)),IF((71=('V06 Calend 01'!C26+(6*'V06 Calend 01'!E26))),('V06 Calend 01'!H26-('V06 Calend 01'!I26*('V06 Calend 01'!E26-1))),'V06 Calend 01'!I26),0))+IF((71='V06 Calend 01'!D26),'V06 Calend 01'!J26,0))</f>
        <v>0</v>
      </c>
      <c r="CF26" s="2">
        <f>((IF((72='V06 Calend 01'!C26),('V06 Calend 01'!F26+'V06 Calend 01'!G26),0)+IF(AND(('V06 Calend 01'!E26&gt;0),(72&gt;'V06 Calend 01'!C26),(72&lt;'V06 Calend 01'!D26),(MOD((72-'V06 Calend 01'!C26),6)=0),(((72-'V06 Calend 01'!C26)/6)&lt;='V06 Calend 01'!E26)),IF((72=('V06 Calend 01'!C26+(6*'V06 Calend 01'!E26))),('V06 Calend 01'!H26-('V06 Calend 01'!I26*('V06 Calend 01'!E26-1))),'V06 Calend 01'!I26),0))+IF((72='V06 Calend 01'!D26),'V06 Calend 01'!J26,0))</f>
        <v>0</v>
      </c>
      <c r="CG26" s="2">
        <f>((IF((73='V06 Calend 01'!C26),('V06 Calend 01'!F26+'V06 Calend 01'!G26),0)+IF(AND(('V06 Calend 01'!E26&gt;0),(73&gt;'V06 Calend 01'!C26),(73&lt;'V06 Calend 01'!D26),(MOD((73-'V06 Calend 01'!C26),6)=0),(((73-'V06 Calend 01'!C26)/6)&lt;='V06 Calend 01'!E26)),IF((73=('V06 Calend 01'!C26+(6*'V06 Calend 01'!E26))),('V06 Calend 01'!H26-('V06 Calend 01'!I26*('V06 Calend 01'!E26-1))),'V06 Calend 01'!I26),0))+IF((73='V06 Calend 01'!D26),'V06 Calend 01'!J26,0))</f>
        <v>0</v>
      </c>
      <c r="CH26" s="2">
        <f>((IF((74='V06 Calend 01'!C26),('V06 Calend 01'!F26+'V06 Calend 01'!G26),0)+IF(AND(('V06 Calend 01'!E26&gt;0),(74&gt;'V06 Calend 01'!C26),(74&lt;'V06 Calend 01'!D26),(MOD((74-'V06 Calend 01'!C26),6)=0),(((74-'V06 Calend 01'!C26)/6)&lt;='V06 Calend 01'!E26)),IF((74=('V06 Calend 01'!C26+(6*'V06 Calend 01'!E26))),('V06 Calend 01'!H26-('V06 Calend 01'!I26*('V06 Calend 01'!E26-1))),'V06 Calend 01'!I26),0))+IF((74='V06 Calend 01'!D26),'V06 Calend 01'!J26,0))</f>
        <v>0</v>
      </c>
      <c r="CI26" s="2">
        <f>((IF((75='V06 Calend 01'!C26),('V06 Calend 01'!F26+'V06 Calend 01'!G26),0)+IF(AND(('V06 Calend 01'!E26&gt;0),(75&gt;'V06 Calend 01'!C26),(75&lt;'V06 Calend 01'!D26),(MOD((75-'V06 Calend 01'!C26),6)=0),(((75-'V06 Calend 01'!C26)/6)&lt;='V06 Calend 01'!E26)),IF((75=('V06 Calend 01'!C26+(6*'V06 Calend 01'!E26))),('V06 Calend 01'!H26-('V06 Calend 01'!I26*('V06 Calend 01'!E26-1))),'V06 Calend 01'!I26),0))+IF((75='V06 Calend 01'!D26),'V06 Calend 01'!J26,0))</f>
        <v>0</v>
      </c>
      <c r="CJ26" s="2">
        <f>((IF((76='V06 Calend 01'!C26),('V06 Calend 01'!F26+'V06 Calend 01'!G26),0)+IF(AND(('V06 Calend 01'!E26&gt;0),(76&gt;'V06 Calend 01'!C26),(76&lt;'V06 Calend 01'!D26),(MOD((76-'V06 Calend 01'!C26),6)=0),(((76-'V06 Calend 01'!C26)/6)&lt;='V06 Calend 01'!E26)),IF((76=('V06 Calend 01'!C26+(6*'V06 Calend 01'!E26))),('V06 Calend 01'!H26-('V06 Calend 01'!I26*('V06 Calend 01'!E26-1))),'V06 Calend 01'!I26),0))+IF((76='V06 Calend 01'!D26),'V06 Calend 01'!J26,0))</f>
        <v>0</v>
      </c>
      <c r="CK26" s="2">
        <f>((IF((77='V06 Calend 01'!C26),('V06 Calend 01'!F26+'V06 Calend 01'!G26),0)+IF(AND(('V06 Calend 01'!E26&gt;0),(77&gt;'V06 Calend 01'!C26),(77&lt;'V06 Calend 01'!D26),(MOD((77-'V06 Calend 01'!C26),6)=0),(((77-'V06 Calend 01'!C26)/6)&lt;='V06 Calend 01'!E26)),IF((77=('V06 Calend 01'!C26+(6*'V06 Calend 01'!E26))),('V06 Calend 01'!H26-('V06 Calend 01'!I26*('V06 Calend 01'!E26-1))),'V06 Calend 01'!I26),0))+IF((77='V06 Calend 01'!D26),'V06 Calend 01'!J26,0))</f>
        <v>0</v>
      </c>
      <c r="CL26" s="2">
        <f>((IF((78='V06 Calend 01'!C26),('V06 Calend 01'!F26+'V06 Calend 01'!G26),0)+IF(AND(('V06 Calend 01'!E26&gt;0),(78&gt;'V06 Calend 01'!C26),(78&lt;'V06 Calend 01'!D26),(MOD((78-'V06 Calend 01'!C26),6)=0),(((78-'V06 Calend 01'!C26)/6)&lt;='V06 Calend 01'!E26)),IF((78=('V06 Calend 01'!C26+(6*'V06 Calend 01'!E26))),('V06 Calend 01'!H26-('V06 Calend 01'!I26*('V06 Calend 01'!E26-1))),'V06 Calend 01'!I26),0))+IF((78='V06 Calend 01'!D26),'V06 Calend 01'!J26,0))</f>
        <v>0</v>
      </c>
      <c r="CM26" s="2">
        <f>((IF((79='V06 Calend 01'!C26),('V06 Calend 01'!F26+'V06 Calend 01'!G26),0)+IF(AND(('V06 Calend 01'!E26&gt;0),(79&gt;'V06 Calend 01'!C26),(79&lt;'V06 Calend 01'!D26),(MOD((79-'V06 Calend 01'!C26),6)=0),(((79-'V06 Calend 01'!C26)/6)&lt;='V06 Calend 01'!E26)),IF((79=('V06 Calend 01'!C26+(6*'V06 Calend 01'!E26))),('V06 Calend 01'!H26-('V06 Calend 01'!I26*('V06 Calend 01'!E26-1))),'V06 Calend 01'!I26),0))+IF((79='V06 Calend 01'!D26),'V06 Calend 01'!J26,0))</f>
        <v>0</v>
      </c>
      <c r="CN26" s="2">
        <f>((IF((80='V06 Calend 01'!C26),('V06 Calend 01'!F26+'V06 Calend 01'!G26),0)+IF(AND(('V06 Calend 01'!E26&gt;0),(80&gt;'V06 Calend 01'!C26),(80&lt;'V06 Calend 01'!D26),(MOD((80-'V06 Calend 01'!C26),6)=0),(((80-'V06 Calend 01'!C26)/6)&lt;='V06 Calend 01'!E26)),IF((80=('V06 Calend 01'!C26+(6*'V06 Calend 01'!E26))),('V06 Calend 01'!H26-('V06 Calend 01'!I26*('V06 Calend 01'!E26-1))),'V06 Calend 01'!I26),0))+IF((80='V06 Calend 01'!D26),'V06 Calend 01'!J26,0))</f>
        <v>0</v>
      </c>
      <c r="CO26" s="2">
        <f>((IF((81='V06 Calend 01'!C26),('V06 Calend 01'!F26+'V06 Calend 01'!G26),0)+IF(AND(('V06 Calend 01'!E26&gt;0),(81&gt;'V06 Calend 01'!C26),(81&lt;'V06 Calend 01'!D26),(MOD((81-'V06 Calend 01'!C26),6)=0),(((81-'V06 Calend 01'!C26)/6)&lt;='V06 Calend 01'!E26)),IF((81=('V06 Calend 01'!C26+(6*'V06 Calend 01'!E26))),('V06 Calend 01'!H26-('V06 Calend 01'!I26*('V06 Calend 01'!E26-1))),'V06 Calend 01'!I26),0))+IF((81='V06 Calend 01'!D26),'V06 Calend 01'!J26,0))</f>
        <v>0</v>
      </c>
      <c r="CP26" s="2">
        <f>((IF((82='V06 Calend 01'!C26),('V06 Calend 01'!F26+'V06 Calend 01'!G26),0)+IF(AND(('V06 Calend 01'!E26&gt;0),(82&gt;'V06 Calend 01'!C26),(82&lt;'V06 Calend 01'!D26),(MOD((82-'V06 Calend 01'!C26),6)=0),(((82-'V06 Calend 01'!C26)/6)&lt;='V06 Calend 01'!E26)),IF((82=('V06 Calend 01'!C26+(6*'V06 Calend 01'!E26))),('V06 Calend 01'!H26-('V06 Calend 01'!I26*('V06 Calend 01'!E26-1))),'V06 Calend 01'!I26),0))+IF((82='V06 Calend 01'!D26),'V06 Calend 01'!J26,0))</f>
        <v>0</v>
      </c>
      <c r="CQ26" s="2">
        <f>((IF((83='V06 Calend 01'!C26),('V06 Calend 01'!F26+'V06 Calend 01'!G26),0)+IF(AND(('V06 Calend 01'!E26&gt;0),(83&gt;'V06 Calend 01'!C26),(83&lt;'V06 Calend 01'!D26),(MOD((83-'V06 Calend 01'!C26),6)=0),(((83-'V06 Calend 01'!C26)/6)&lt;='V06 Calend 01'!E26)),IF((83=('V06 Calend 01'!C26+(6*'V06 Calend 01'!E26))),('V06 Calend 01'!H26-('V06 Calend 01'!I26*('V06 Calend 01'!E26-1))),'V06 Calend 01'!I26),0))+IF((83='V06 Calend 01'!D26),'V06 Calend 01'!J26,0))</f>
        <v>0</v>
      </c>
      <c r="CR26" s="2">
        <f>((IF((84='V06 Calend 01'!C26),('V06 Calend 01'!F26+'V06 Calend 01'!G26),0)+IF(AND(('V06 Calend 01'!E26&gt;0),(84&gt;'V06 Calend 01'!C26),(84&lt;'V06 Calend 01'!D26),(MOD((84-'V06 Calend 01'!C26),6)=0),(((84-'V06 Calend 01'!C26)/6)&lt;='V06 Calend 01'!E26)),IF((84=('V06 Calend 01'!C26+(6*'V06 Calend 01'!E26))),('V06 Calend 01'!H26-('V06 Calend 01'!I26*('V06 Calend 01'!E26-1))),'V06 Calend 01'!I26),0))+IF((84='V06 Calend 01'!D26),'V06 Calend 01'!J26,0))</f>
        <v>0</v>
      </c>
      <c r="CS26" s="2">
        <f>((IF((85='V06 Calend 01'!C26),('V06 Calend 01'!F26+'V06 Calend 01'!G26),0)+IF(AND(('V06 Calend 01'!E26&gt;0),(85&gt;'V06 Calend 01'!C26),(85&lt;'V06 Calend 01'!D26),(MOD((85-'V06 Calend 01'!C26),6)=0),(((85-'V06 Calend 01'!C26)/6)&lt;='V06 Calend 01'!E26)),IF((85=('V06 Calend 01'!C26+(6*'V06 Calend 01'!E26))),('V06 Calend 01'!H26-('V06 Calend 01'!I26*('V06 Calend 01'!E26-1))),'V06 Calend 01'!I26),0))+IF((85='V06 Calend 01'!D26),'V06 Calend 01'!J26,0))</f>
        <v>0</v>
      </c>
      <c r="CT26" s="2">
        <f>((IF((86='V06 Calend 01'!C26),('V06 Calend 01'!F26+'V06 Calend 01'!G26),0)+IF(AND(('V06 Calend 01'!E26&gt;0),(86&gt;'V06 Calend 01'!C26),(86&lt;'V06 Calend 01'!D26),(MOD((86-'V06 Calend 01'!C26),6)=0),(((86-'V06 Calend 01'!C26)/6)&lt;='V06 Calend 01'!E26)),IF((86=('V06 Calend 01'!C26+(6*'V06 Calend 01'!E26))),('V06 Calend 01'!H26-('V06 Calend 01'!I26*('V06 Calend 01'!E26-1))),'V06 Calend 01'!I26),0))+IF((86='V06 Calend 01'!D26),'V06 Calend 01'!J26,0))</f>
        <v>0</v>
      </c>
      <c r="CU26" s="2">
        <f>((IF((87='V06 Calend 01'!C26),('V06 Calend 01'!F26+'V06 Calend 01'!G26),0)+IF(AND(('V06 Calend 01'!E26&gt;0),(87&gt;'V06 Calend 01'!C26),(87&lt;'V06 Calend 01'!D26),(MOD((87-'V06 Calend 01'!C26),6)=0),(((87-'V06 Calend 01'!C26)/6)&lt;='V06 Calend 01'!E26)),IF((87=('V06 Calend 01'!C26+(6*'V06 Calend 01'!E26))),('V06 Calend 01'!H26-('V06 Calend 01'!I26*('V06 Calend 01'!E26-1))),'V06 Calend 01'!I26),0))+IF((87='V06 Calend 01'!D26),'V06 Calend 01'!J26,0))</f>
        <v>0</v>
      </c>
      <c r="CV26" s="2">
        <f>((IF((88='V06 Calend 01'!C26),('V06 Calend 01'!F26+'V06 Calend 01'!G26),0)+IF(AND(('V06 Calend 01'!E26&gt;0),(88&gt;'V06 Calend 01'!C26),(88&lt;'V06 Calend 01'!D26),(MOD((88-'V06 Calend 01'!C26),6)=0),(((88-'V06 Calend 01'!C26)/6)&lt;='V06 Calend 01'!E26)),IF((88=('V06 Calend 01'!C26+(6*'V06 Calend 01'!E26))),('V06 Calend 01'!H26-('V06 Calend 01'!I26*('V06 Calend 01'!E26-1))),'V06 Calend 01'!I26),0))+IF((88='V06 Calend 01'!D26),'V06 Calend 01'!J26,0))</f>
        <v>0</v>
      </c>
      <c r="CW26" s="2">
        <f>((IF((89='V06 Calend 01'!C26),('V06 Calend 01'!F26+'V06 Calend 01'!G26),0)+IF(AND(('V06 Calend 01'!E26&gt;0),(89&gt;'V06 Calend 01'!C26),(89&lt;'V06 Calend 01'!D26),(MOD((89-'V06 Calend 01'!C26),6)=0),(((89-'V06 Calend 01'!C26)/6)&lt;='V06 Calend 01'!E26)),IF((89=('V06 Calend 01'!C26+(6*'V06 Calend 01'!E26))),('V06 Calend 01'!H26-('V06 Calend 01'!I26*('V06 Calend 01'!E26-1))),'V06 Calend 01'!I26),0))+IF((89='V06 Calend 01'!D26),'V06 Calend 01'!J26,0))</f>
        <v>0</v>
      </c>
      <c r="CX26" s="2">
        <f>((IF((90='V06 Calend 01'!C26),('V06 Calend 01'!F26+'V06 Calend 01'!G26),0)+IF(AND(('V06 Calend 01'!E26&gt;0),(90&gt;'V06 Calend 01'!C26),(90&lt;'V06 Calend 01'!D26),(MOD((90-'V06 Calend 01'!C26),6)=0),(((90-'V06 Calend 01'!C26)/6)&lt;='V06 Calend 01'!E26)),IF((90=('V06 Calend 01'!C26+(6*'V06 Calend 01'!E26))),('V06 Calend 01'!H26-('V06 Calend 01'!I26*('V06 Calend 01'!E26-1))),'V06 Calend 01'!I26),0))+IF((90='V06 Calend 01'!D26),'V06 Calend 01'!J26,0))</f>
        <v>0</v>
      </c>
      <c r="CY26" s="2">
        <f>((IF((91='V06 Calend 01'!C26),('V06 Calend 01'!F26+'V06 Calend 01'!G26),0)+IF(AND(('V06 Calend 01'!E26&gt;0),(91&gt;'V06 Calend 01'!C26),(91&lt;'V06 Calend 01'!D26),(MOD((91-'V06 Calend 01'!C26),6)=0),(((91-'V06 Calend 01'!C26)/6)&lt;='V06 Calend 01'!E26)),IF((91=('V06 Calend 01'!C26+(6*'V06 Calend 01'!E26))),('V06 Calend 01'!H26-('V06 Calend 01'!I26*('V06 Calend 01'!E26-1))),'V06 Calend 01'!I26),0))+IF((91='V06 Calend 01'!D26),'V06 Calend 01'!J26,0))</f>
        <v>0</v>
      </c>
      <c r="CZ26" s="2">
        <f>((IF((92='V06 Calend 01'!C26),('V06 Calend 01'!F26+'V06 Calend 01'!G26),0)+IF(AND(('V06 Calend 01'!E26&gt;0),(92&gt;'V06 Calend 01'!C26),(92&lt;'V06 Calend 01'!D26),(MOD((92-'V06 Calend 01'!C26),6)=0),(((92-'V06 Calend 01'!C26)/6)&lt;='V06 Calend 01'!E26)),IF((92=('V06 Calend 01'!C26+(6*'V06 Calend 01'!E26))),('V06 Calend 01'!H26-('V06 Calend 01'!I26*('V06 Calend 01'!E26-1))),'V06 Calend 01'!I26),0))+IF((92='V06 Calend 01'!D26),'V06 Calend 01'!J26,0))</f>
        <v>0</v>
      </c>
      <c r="DA26" s="2">
        <f>((IF((93='V06 Calend 01'!C26),('V06 Calend 01'!F26+'V06 Calend 01'!G26),0)+IF(AND(('V06 Calend 01'!E26&gt;0),(93&gt;'V06 Calend 01'!C26),(93&lt;'V06 Calend 01'!D26),(MOD((93-'V06 Calend 01'!C26),6)=0),(((93-'V06 Calend 01'!C26)/6)&lt;='V06 Calend 01'!E26)),IF((93=('V06 Calend 01'!C26+(6*'V06 Calend 01'!E26))),('V06 Calend 01'!H26-('V06 Calend 01'!I26*('V06 Calend 01'!E26-1))),'V06 Calend 01'!I26),0))+IF((93='V06 Calend 01'!D26),'V06 Calend 01'!J26,0))</f>
        <v>0</v>
      </c>
      <c r="DB26" s="2">
        <f>((IF((94='V06 Calend 01'!C26),('V06 Calend 01'!F26+'V06 Calend 01'!G26),0)+IF(AND(('V06 Calend 01'!E26&gt;0),(94&gt;'V06 Calend 01'!C26),(94&lt;'V06 Calend 01'!D26),(MOD((94-'V06 Calend 01'!C26),6)=0),(((94-'V06 Calend 01'!C26)/6)&lt;='V06 Calend 01'!E26)),IF((94=('V06 Calend 01'!C26+(6*'V06 Calend 01'!E26))),('V06 Calend 01'!H26-('V06 Calend 01'!I26*('V06 Calend 01'!E26-1))),'V06 Calend 01'!I26),0))+IF((94='V06 Calend 01'!D26),'V06 Calend 01'!J26,0))</f>
        <v>0</v>
      </c>
      <c r="DC26" s="2">
        <f>((IF((95='V06 Calend 01'!C26),('V06 Calend 01'!F26+'V06 Calend 01'!G26),0)+IF(AND(('V06 Calend 01'!E26&gt;0),(95&gt;'V06 Calend 01'!C26),(95&lt;'V06 Calend 01'!D26),(MOD((95-'V06 Calend 01'!C26),6)=0),(((95-'V06 Calend 01'!C26)/6)&lt;='V06 Calend 01'!E26)),IF((95=('V06 Calend 01'!C26+(6*'V06 Calend 01'!E26))),('V06 Calend 01'!H26-('V06 Calend 01'!I26*('V06 Calend 01'!E26-1))),'V06 Calend 01'!I26),0))+IF((95='V06 Calend 01'!D26),'V06 Calend 01'!J26,0))</f>
        <v>0</v>
      </c>
      <c r="DD26" s="2">
        <f>((IF((96='V06 Calend 01'!C26),('V06 Calend 01'!F26+'V06 Calend 01'!G26),0)+IF(AND(('V06 Calend 01'!E26&gt;0),(96&gt;'V06 Calend 01'!C26),(96&lt;'V06 Calend 01'!D26),(MOD((96-'V06 Calend 01'!C26),6)=0),(((96-'V06 Calend 01'!C26)/6)&lt;='V06 Calend 01'!E26)),IF((96=('V06 Calend 01'!C26+(6*'V06 Calend 01'!E26))),('V06 Calend 01'!H26-('V06 Calend 01'!I26*('V06 Calend 01'!E26-1))),'V06 Calend 01'!I26),0))+IF((96='V06 Calend 01'!D26),'V06 Calend 01'!J26,0))</f>
        <v>0</v>
      </c>
      <c r="DE26" s="2">
        <f>((IF((97='V06 Calend 01'!C26),('V06 Calend 01'!F26+'V06 Calend 01'!G26),0)+IF(AND(('V06 Calend 01'!E26&gt;0),(97&gt;'V06 Calend 01'!C26),(97&lt;'V06 Calend 01'!D26),(MOD((97-'V06 Calend 01'!C26),6)=0),(((97-'V06 Calend 01'!C26)/6)&lt;='V06 Calend 01'!E26)),IF((97=('V06 Calend 01'!C26+(6*'V06 Calend 01'!E26))),('V06 Calend 01'!H26-('V06 Calend 01'!I26*('V06 Calend 01'!E26-1))),'V06 Calend 01'!I26),0))+IF((97='V06 Calend 01'!D26),'V06 Calend 01'!J26,0))</f>
        <v>0</v>
      </c>
      <c r="DF26" s="2">
        <f>((IF((98='V06 Calend 01'!C26),('V06 Calend 01'!F26+'V06 Calend 01'!G26),0)+IF(AND(('V06 Calend 01'!E26&gt;0),(98&gt;'V06 Calend 01'!C26),(98&lt;'V06 Calend 01'!D26),(MOD((98-'V06 Calend 01'!C26),6)=0),(((98-'V06 Calend 01'!C26)/6)&lt;='V06 Calend 01'!E26)),IF((98=('V06 Calend 01'!C26+(6*'V06 Calend 01'!E26))),('V06 Calend 01'!H26-('V06 Calend 01'!I26*('V06 Calend 01'!E26-1))),'V06 Calend 01'!I26),0))+IF((98='V06 Calend 01'!D26),'V06 Calend 01'!J26,0))</f>
        <v>0</v>
      </c>
      <c r="DG26" s="2">
        <f>((IF((99='V06 Calend 01'!C26),('V06 Calend 01'!F26+'V06 Calend 01'!G26),0)+IF(AND(('V06 Calend 01'!E26&gt;0),(99&gt;'V06 Calend 01'!C26),(99&lt;'V06 Calend 01'!D26),(MOD((99-'V06 Calend 01'!C26),6)=0),(((99-'V06 Calend 01'!C26)/6)&lt;='V06 Calend 01'!E26)),IF((99=('V06 Calend 01'!C26+(6*'V06 Calend 01'!E26))),('V06 Calend 01'!H26-('V06 Calend 01'!I26*('V06 Calend 01'!E26-1))),'V06 Calend 01'!I26),0))+IF((99='V06 Calend 01'!D26),'V06 Calend 01'!J26,0))</f>
        <v>0</v>
      </c>
      <c r="DH26" s="2">
        <f>((IF((100='V06 Calend 01'!C26),('V06 Calend 01'!F26+'V06 Calend 01'!G26),0)+IF(AND(('V06 Calend 01'!E26&gt;0),(100&gt;'V06 Calend 01'!C26),(100&lt;'V06 Calend 01'!D26),(MOD((100-'V06 Calend 01'!C26),6)=0),(((100-'V06 Calend 01'!C26)/6)&lt;='V06 Calend 01'!E26)),IF((100=('V06 Calend 01'!C26+(6*'V06 Calend 01'!E26))),('V06 Calend 01'!H26-('V06 Calend 01'!I26*('V06 Calend 01'!E26-1))),'V06 Calend 01'!I26),0))+IF((100='V06 Calend 01'!D26),'V06 Calend 01'!J26,0))</f>
        <v>0</v>
      </c>
      <c r="DI26" s="2">
        <f>((IF((101='V06 Calend 01'!C26),('V06 Calend 01'!F26+'V06 Calend 01'!G26),0)+IF(AND(('V06 Calend 01'!E26&gt;0),(101&gt;'V06 Calend 01'!C26),(101&lt;'V06 Calend 01'!D26),(MOD((101-'V06 Calend 01'!C26),6)=0),(((101-'V06 Calend 01'!C26)/6)&lt;='V06 Calend 01'!E26)),IF((101=('V06 Calend 01'!C26+(6*'V06 Calend 01'!E26))),('V06 Calend 01'!H26-('V06 Calend 01'!I26*('V06 Calend 01'!E26-1))),'V06 Calend 01'!I26),0))+IF((101='V06 Calend 01'!D26),'V06 Calend 01'!J26,0))</f>
        <v>0</v>
      </c>
      <c r="DJ26" s="2">
        <f>((IF((102='V06 Calend 01'!C26),('V06 Calend 01'!F26+'V06 Calend 01'!G26),0)+IF(AND(('V06 Calend 01'!E26&gt;0),(102&gt;'V06 Calend 01'!C26),(102&lt;'V06 Calend 01'!D26),(MOD((102-'V06 Calend 01'!C26),6)=0),(((102-'V06 Calend 01'!C26)/6)&lt;='V06 Calend 01'!E26)),IF((102=('V06 Calend 01'!C26+(6*'V06 Calend 01'!E26))),('V06 Calend 01'!H26-('V06 Calend 01'!I26*('V06 Calend 01'!E26-1))),'V06 Calend 01'!I26),0))+IF((102='V06 Calend 01'!D26),'V06 Calend 01'!J26,0))</f>
        <v>0</v>
      </c>
      <c r="DK26" s="2">
        <f>((IF((103='V06 Calend 01'!C26),('V06 Calend 01'!F26+'V06 Calend 01'!G26),0)+IF(AND(('V06 Calend 01'!E26&gt;0),(103&gt;'V06 Calend 01'!C26),(103&lt;'V06 Calend 01'!D26),(MOD((103-'V06 Calend 01'!C26),6)=0),(((103-'V06 Calend 01'!C26)/6)&lt;='V06 Calend 01'!E26)),IF((103=('V06 Calend 01'!C26+(6*'V06 Calend 01'!E26))),('V06 Calend 01'!H26-('V06 Calend 01'!I26*('V06 Calend 01'!E26-1))),'V06 Calend 01'!I26),0))+IF((103='V06 Calend 01'!D26),'V06 Calend 01'!J26,0))</f>
        <v>0</v>
      </c>
      <c r="DL26" s="2">
        <f>((IF((104='V06 Calend 01'!C26),('V06 Calend 01'!F26+'V06 Calend 01'!G26),0)+IF(AND(('V06 Calend 01'!E26&gt;0),(104&gt;'V06 Calend 01'!C26),(104&lt;'V06 Calend 01'!D26),(MOD((104-'V06 Calend 01'!C26),6)=0),(((104-'V06 Calend 01'!C26)/6)&lt;='V06 Calend 01'!E26)),IF((104=('V06 Calend 01'!C26+(6*'V06 Calend 01'!E26))),('V06 Calend 01'!H26-('V06 Calend 01'!I26*('V06 Calend 01'!E26-1))),'V06 Calend 01'!I26),0))+IF((104='V06 Calend 01'!D26),'V06 Calend 01'!J26,0))</f>
        <v>0</v>
      </c>
      <c r="DM26" s="2">
        <f>((IF((105='V06 Calend 01'!C26),('V06 Calend 01'!F26+'V06 Calend 01'!G26),0)+IF(AND(('V06 Calend 01'!E26&gt;0),(105&gt;'V06 Calend 01'!C26),(105&lt;'V06 Calend 01'!D26),(MOD((105-'V06 Calend 01'!C26),6)=0),(((105-'V06 Calend 01'!C26)/6)&lt;='V06 Calend 01'!E26)),IF((105=('V06 Calend 01'!C26+(6*'V06 Calend 01'!E26))),('V06 Calend 01'!H26-('V06 Calend 01'!I26*('V06 Calend 01'!E26-1))),'V06 Calend 01'!I26),0))+IF((105='V06 Calend 01'!D26),'V06 Calend 01'!J26,0))</f>
        <v>0</v>
      </c>
      <c r="DN26" s="2">
        <f>((IF((106='V06 Calend 01'!C26),('V06 Calend 01'!F26+'V06 Calend 01'!G26),0)+IF(AND(('V06 Calend 01'!E26&gt;0),(106&gt;'V06 Calend 01'!C26),(106&lt;'V06 Calend 01'!D26),(MOD((106-'V06 Calend 01'!C26),6)=0),(((106-'V06 Calend 01'!C26)/6)&lt;='V06 Calend 01'!E26)),IF((106=('V06 Calend 01'!C26+(6*'V06 Calend 01'!E26))),('V06 Calend 01'!H26-('V06 Calend 01'!I26*('V06 Calend 01'!E26-1))),'V06 Calend 01'!I26),0))+IF((106='V06 Calend 01'!D26),'V06 Calend 01'!J26,0))</f>
        <v>0</v>
      </c>
      <c r="DO26" s="2">
        <f>((IF((107='V06 Calend 01'!C26),('V06 Calend 01'!F26+'V06 Calend 01'!G26),0)+IF(AND(('V06 Calend 01'!E26&gt;0),(107&gt;'V06 Calend 01'!C26),(107&lt;'V06 Calend 01'!D26),(MOD((107-'V06 Calend 01'!C26),6)=0),(((107-'V06 Calend 01'!C26)/6)&lt;='V06 Calend 01'!E26)),IF((107=('V06 Calend 01'!C26+(6*'V06 Calend 01'!E26))),('V06 Calend 01'!H26-('V06 Calend 01'!I26*('V06 Calend 01'!E26-1))),'V06 Calend 01'!I26),0))+IF((107='V06 Calend 01'!D26),'V06 Calend 01'!J26,0))</f>
        <v>0</v>
      </c>
      <c r="DP26" s="2">
        <f>((IF((108='V06 Calend 01'!C26),('V06 Calend 01'!F26+'V06 Calend 01'!G26),0)+IF(AND(('V06 Calend 01'!E26&gt;0),(108&gt;'V06 Calend 01'!C26),(108&lt;'V06 Calend 01'!D26),(MOD((108-'V06 Calend 01'!C26),6)=0),(((108-'V06 Calend 01'!C26)/6)&lt;='V06 Calend 01'!E26)),IF((108=('V06 Calend 01'!C26+(6*'V06 Calend 01'!E26))),('V06 Calend 01'!H26-('V06 Calend 01'!I26*('V06 Calend 01'!E26-1))),'V06 Calend 01'!I26),0))+IF((108='V06 Calend 01'!D26),'V06 Calend 01'!J26,0))</f>
        <v>0</v>
      </c>
      <c r="DQ26" s="2">
        <f>((IF((109='V06 Calend 01'!C26),('V06 Calend 01'!F26+'V06 Calend 01'!G26),0)+IF(AND(('V06 Calend 01'!E26&gt;0),(109&gt;'V06 Calend 01'!C26),(109&lt;'V06 Calend 01'!D26),(MOD((109-'V06 Calend 01'!C26),6)=0),(((109-'V06 Calend 01'!C26)/6)&lt;='V06 Calend 01'!E26)),IF((109=('V06 Calend 01'!C26+(6*'V06 Calend 01'!E26))),('V06 Calend 01'!H26-('V06 Calend 01'!I26*('V06 Calend 01'!E26-1))),'V06 Calend 01'!I26),0))+IF((109='V06 Calend 01'!D26),'V06 Calend 01'!J26,0))</f>
        <v>0</v>
      </c>
      <c r="DR26" s="2">
        <f>((IF((110='V06 Calend 01'!C26),('V06 Calend 01'!F26+'V06 Calend 01'!G26),0)+IF(AND(('V06 Calend 01'!E26&gt;0),(110&gt;'V06 Calend 01'!C26),(110&lt;'V06 Calend 01'!D26),(MOD((110-'V06 Calend 01'!C26),6)=0),(((110-'V06 Calend 01'!C26)/6)&lt;='V06 Calend 01'!E26)),IF((110=('V06 Calend 01'!C26+(6*'V06 Calend 01'!E26))),('V06 Calend 01'!H26-('V06 Calend 01'!I26*('V06 Calend 01'!E26-1))),'V06 Calend 01'!I26),0))+IF((110='V06 Calend 01'!D26),'V06 Calend 01'!J26,0))</f>
        <v>0</v>
      </c>
      <c r="DS26" s="2">
        <f>((IF((111='V06 Calend 01'!C26),('V06 Calend 01'!F26+'V06 Calend 01'!G26),0)+IF(AND(('V06 Calend 01'!E26&gt;0),(111&gt;'V06 Calend 01'!C26),(111&lt;'V06 Calend 01'!D26),(MOD((111-'V06 Calend 01'!C26),6)=0),(((111-'V06 Calend 01'!C26)/6)&lt;='V06 Calend 01'!E26)),IF((111=('V06 Calend 01'!C26+(6*'V06 Calend 01'!E26))),('V06 Calend 01'!H26-('V06 Calend 01'!I26*('V06 Calend 01'!E26-1))),'V06 Calend 01'!I26),0))+IF((111='V06 Calend 01'!D26),'V06 Calend 01'!J26,0))</f>
        <v>0</v>
      </c>
      <c r="DT26" s="2">
        <f>((IF((112='V06 Calend 01'!C26),('V06 Calend 01'!F26+'V06 Calend 01'!G26),0)+IF(AND(('V06 Calend 01'!E26&gt;0),(112&gt;'V06 Calend 01'!C26),(112&lt;'V06 Calend 01'!D26),(MOD((112-'V06 Calend 01'!C26),6)=0),(((112-'V06 Calend 01'!C26)/6)&lt;='V06 Calend 01'!E26)),IF((112=('V06 Calend 01'!C26+(6*'V06 Calend 01'!E26))),('V06 Calend 01'!H26-('V06 Calend 01'!I26*('V06 Calend 01'!E26-1))),'V06 Calend 01'!I26),0))+IF((112='V06 Calend 01'!D26),'V06 Calend 01'!J26,0))</f>
        <v>0</v>
      </c>
      <c r="DU26" s="2">
        <f>((IF((113='V06 Calend 01'!C26),('V06 Calend 01'!F26+'V06 Calend 01'!G26),0)+IF(AND(('V06 Calend 01'!E26&gt;0),(113&gt;'V06 Calend 01'!C26),(113&lt;'V06 Calend 01'!D26),(MOD((113-'V06 Calend 01'!C26),6)=0),(((113-'V06 Calend 01'!C26)/6)&lt;='V06 Calend 01'!E26)),IF((113=('V06 Calend 01'!C26+(6*'V06 Calend 01'!E26))),('V06 Calend 01'!H26-('V06 Calend 01'!I26*('V06 Calend 01'!E26-1))),'V06 Calend 01'!I26),0))+IF((113='V06 Calend 01'!D26),'V06 Calend 01'!J26,0))</f>
        <v>0</v>
      </c>
      <c r="DV26" s="2">
        <f>((IF((114='V06 Calend 01'!C26),('V06 Calend 01'!F26+'V06 Calend 01'!G26),0)+IF(AND(('V06 Calend 01'!E26&gt;0),(114&gt;'V06 Calend 01'!C26),(114&lt;'V06 Calend 01'!D26),(MOD((114-'V06 Calend 01'!C26),6)=0),(((114-'V06 Calend 01'!C26)/6)&lt;='V06 Calend 01'!E26)),IF((114=('V06 Calend 01'!C26+(6*'V06 Calend 01'!E26))),('V06 Calend 01'!H26-('V06 Calend 01'!I26*('V06 Calend 01'!E26-1))),'V06 Calend 01'!I26),0))+IF((114='V06 Calend 01'!D26),'V06 Calend 01'!J26,0))</f>
        <v>0</v>
      </c>
      <c r="DW26" s="2">
        <f>((IF((115='V06 Calend 01'!C26),('V06 Calend 01'!F26+'V06 Calend 01'!G26),0)+IF(AND(('V06 Calend 01'!E26&gt;0),(115&gt;'V06 Calend 01'!C26),(115&lt;'V06 Calend 01'!D26),(MOD((115-'V06 Calend 01'!C26),6)=0),(((115-'V06 Calend 01'!C26)/6)&lt;='V06 Calend 01'!E26)),IF((115=('V06 Calend 01'!C26+(6*'V06 Calend 01'!E26))),('V06 Calend 01'!H26-('V06 Calend 01'!I26*('V06 Calend 01'!E26-1))),'V06 Calend 01'!I26),0))+IF((115='V06 Calend 01'!D26),'V06 Calend 01'!J26,0))</f>
        <v>0</v>
      </c>
      <c r="DX26" s="2">
        <f>((IF((116='V06 Calend 01'!C26),('V06 Calend 01'!F26+'V06 Calend 01'!G26),0)+IF(AND(('V06 Calend 01'!E26&gt;0),(116&gt;'V06 Calend 01'!C26),(116&lt;'V06 Calend 01'!D26),(MOD((116-'V06 Calend 01'!C26),6)=0),(((116-'V06 Calend 01'!C26)/6)&lt;='V06 Calend 01'!E26)),IF((116=('V06 Calend 01'!C26+(6*'V06 Calend 01'!E26))),('V06 Calend 01'!H26-('V06 Calend 01'!I26*('V06 Calend 01'!E26-1))),'V06 Calend 01'!I26),0))+IF((116='V06 Calend 01'!D26),'V06 Calend 01'!J26,0))</f>
        <v>0</v>
      </c>
      <c r="DY26" s="2">
        <f>((IF((117='V06 Calend 01'!C26),('V06 Calend 01'!F26+'V06 Calend 01'!G26),0)+IF(AND(('V06 Calend 01'!E26&gt;0),(117&gt;'V06 Calend 01'!C26),(117&lt;'V06 Calend 01'!D26),(MOD((117-'V06 Calend 01'!C26),6)=0),(((117-'V06 Calend 01'!C26)/6)&lt;='V06 Calend 01'!E26)),IF((117=('V06 Calend 01'!C26+(6*'V06 Calend 01'!E26))),('V06 Calend 01'!H26-('V06 Calend 01'!I26*('V06 Calend 01'!E26-1))),'V06 Calend 01'!I26),0))+IF((117='V06 Calend 01'!D26),'V06 Calend 01'!J26,0))</f>
        <v>0</v>
      </c>
      <c r="DZ26" s="2">
        <f>((IF((118='V06 Calend 01'!C26),('V06 Calend 01'!F26+'V06 Calend 01'!G26),0)+IF(AND(('V06 Calend 01'!E26&gt;0),(118&gt;'V06 Calend 01'!C26),(118&lt;'V06 Calend 01'!D26),(MOD((118-'V06 Calend 01'!C26),6)=0),(((118-'V06 Calend 01'!C26)/6)&lt;='V06 Calend 01'!E26)),IF((118=('V06 Calend 01'!C26+(6*'V06 Calend 01'!E26))),('V06 Calend 01'!H26-('V06 Calend 01'!I26*('V06 Calend 01'!E26-1))),'V06 Calend 01'!I26),0))+IF((118='V06 Calend 01'!D26),'V06 Calend 01'!J26,0))</f>
        <v>0</v>
      </c>
      <c r="EA26" s="2">
        <f>((IF((119='V06 Calend 01'!C26),('V06 Calend 01'!F26+'V06 Calend 01'!G26),0)+IF(AND(('V06 Calend 01'!E26&gt;0),(119&gt;'V06 Calend 01'!C26),(119&lt;'V06 Calend 01'!D26),(MOD((119-'V06 Calend 01'!C26),6)=0),(((119-'V06 Calend 01'!C26)/6)&lt;='V06 Calend 01'!E26)),IF((119=('V06 Calend 01'!C26+(6*'V06 Calend 01'!E26))),('V06 Calend 01'!H26-('V06 Calend 01'!I26*('V06 Calend 01'!E26-1))),'V06 Calend 01'!I26),0))+IF((119='V06 Calend 01'!D26),'V06 Calend 01'!J26,0))</f>
        <v>0</v>
      </c>
      <c r="EB26" s="2">
        <f>((IF((120='V06 Calend 01'!C26),('V06 Calend 01'!F26+'V06 Calend 01'!G26),0)+IF(AND(('V06 Calend 01'!E26&gt;0),(120&gt;'V06 Calend 01'!C26),(120&lt;'V06 Calend 01'!D26),(MOD((120-'V06 Calend 01'!C26),6)=0),(((120-'V06 Calend 01'!C26)/6)&lt;='V06 Calend 01'!E26)),IF((120=('V06 Calend 01'!C26+(6*'V06 Calend 01'!E26))),('V06 Calend 01'!H26-('V06 Calend 01'!I26*('V06 Calend 01'!E26-1))),'V06 Calend 01'!I26),0))+IF((120='V06 Calend 01'!D26),'V06 Calend 01'!J26,0))</f>
        <v>0</v>
      </c>
      <c r="EC26" s="2">
        <f>((IF((121='V06 Calend 01'!C26),('V06 Calend 01'!F26+'V06 Calend 01'!G26),0)+IF(AND(('V06 Calend 01'!E26&gt;0),(121&gt;'V06 Calend 01'!C26),(121&lt;'V06 Calend 01'!D26),(MOD((121-'V06 Calend 01'!C26),6)=0),(((121-'V06 Calend 01'!C26)/6)&lt;='V06 Calend 01'!E26)),IF((121=('V06 Calend 01'!C26+(6*'V06 Calend 01'!E26))),('V06 Calend 01'!H26-('V06 Calend 01'!I26*('V06 Calend 01'!E26-1))),'V06 Calend 01'!I26),0))+IF((121='V06 Calend 01'!D26),'V06 Calend 01'!J26,0))</f>
        <v>0</v>
      </c>
      <c r="ED26" s="2">
        <f>((IF((122='V06 Calend 01'!C26),('V06 Calend 01'!F26+'V06 Calend 01'!G26),0)+IF(AND(('V06 Calend 01'!E26&gt;0),(122&gt;'V06 Calend 01'!C26),(122&lt;'V06 Calend 01'!D26),(MOD((122-'V06 Calend 01'!C26),6)=0),(((122-'V06 Calend 01'!C26)/6)&lt;='V06 Calend 01'!E26)),IF((122=('V06 Calend 01'!C26+(6*'V06 Calend 01'!E26))),('V06 Calend 01'!H26-('V06 Calend 01'!I26*('V06 Calend 01'!E26-1))),'V06 Calend 01'!I26),0))+IF((122='V06 Calend 01'!D26),'V06 Calend 01'!J26,0))</f>
        <v>0</v>
      </c>
      <c r="EE26" s="2">
        <f>((IF((123='V06 Calend 01'!C26),('V06 Calend 01'!F26+'V06 Calend 01'!G26),0)+IF(AND(('V06 Calend 01'!E26&gt;0),(123&gt;'V06 Calend 01'!C26),(123&lt;'V06 Calend 01'!D26),(MOD((123-'V06 Calend 01'!C26),6)=0),(((123-'V06 Calend 01'!C26)/6)&lt;='V06 Calend 01'!E26)),IF((123=('V06 Calend 01'!C26+(6*'V06 Calend 01'!E26))),('V06 Calend 01'!H26-('V06 Calend 01'!I26*('V06 Calend 01'!E26-1))),'V06 Calend 01'!I26),0))+IF((123='V06 Calend 01'!D26),'V06 Calend 01'!J26,0))</f>
        <v>0</v>
      </c>
      <c r="EF26" s="2">
        <f>((IF((124='V06 Calend 01'!C26),('V06 Calend 01'!F26+'V06 Calend 01'!G26),0)+IF(AND(('V06 Calend 01'!E26&gt;0),(124&gt;'V06 Calend 01'!C26),(124&lt;'V06 Calend 01'!D26),(MOD((124-'V06 Calend 01'!C26),6)=0),(((124-'V06 Calend 01'!C26)/6)&lt;='V06 Calend 01'!E26)),IF((124=('V06 Calend 01'!C26+(6*'V06 Calend 01'!E26))),('V06 Calend 01'!H26-('V06 Calend 01'!I26*('V06 Calend 01'!E26-1))),'V06 Calend 01'!I26),0))+IF((124='V06 Calend 01'!D26),'V06 Calend 01'!J26,0))</f>
        <v>0</v>
      </c>
      <c r="EG26" s="2">
        <f>((IF((125='V06 Calend 01'!C26),('V06 Calend 01'!F26+'V06 Calend 01'!G26),0)+IF(AND(('V06 Calend 01'!E26&gt;0),(125&gt;'V06 Calend 01'!C26),(125&lt;'V06 Calend 01'!D26),(MOD((125-'V06 Calend 01'!C26),6)=0),(((125-'V06 Calend 01'!C26)/6)&lt;='V06 Calend 01'!E26)),IF((125=('V06 Calend 01'!C26+(6*'V06 Calend 01'!E26))),('V06 Calend 01'!H26-('V06 Calend 01'!I26*('V06 Calend 01'!E26-1))),'V06 Calend 01'!I26),0))+IF((125='V06 Calend 01'!D26),'V06 Calend 01'!J26,0))</f>
        <v>0</v>
      </c>
      <c r="EH26" s="2">
        <f>((IF((126='V06 Calend 01'!C26),('V06 Calend 01'!F26+'V06 Calend 01'!G26),0)+IF(AND(('V06 Calend 01'!E26&gt;0),(126&gt;'V06 Calend 01'!C26),(126&lt;'V06 Calend 01'!D26),(MOD((126-'V06 Calend 01'!C26),6)=0),(((126-'V06 Calend 01'!C26)/6)&lt;='V06 Calend 01'!E26)),IF((126=('V06 Calend 01'!C26+(6*'V06 Calend 01'!E26))),('V06 Calend 01'!H26-('V06 Calend 01'!I26*('V06 Calend 01'!E26-1))),'V06 Calend 01'!I26),0))+IF((126='V06 Calend 01'!D26),'V06 Calend 01'!J26,0))</f>
        <v>0</v>
      </c>
      <c r="EI26" s="2">
        <f>((IF((127='V06 Calend 01'!C26),('V06 Calend 01'!F26+'V06 Calend 01'!G26),0)+IF(AND(('V06 Calend 01'!E26&gt;0),(127&gt;'V06 Calend 01'!C26),(127&lt;'V06 Calend 01'!D26),(MOD((127-'V06 Calend 01'!C26),6)=0),(((127-'V06 Calend 01'!C26)/6)&lt;='V06 Calend 01'!E26)),IF((127=('V06 Calend 01'!C26+(6*'V06 Calend 01'!E26))),('V06 Calend 01'!H26-('V06 Calend 01'!I26*('V06 Calend 01'!E26-1))),'V06 Calend 01'!I26),0))+IF((127='V06 Calend 01'!D26),'V06 Calend 01'!J26,0))</f>
        <v>0</v>
      </c>
      <c r="EJ26" s="2">
        <f>((IF((128='V06 Calend 01'!C26),('V06 Calend 01'!F26+'V06 Calend 01'!G26),0)+IF(AND(('V06 Calend 01'!E26&gt;0),(128&gt;'V06 Calend 01'!C26),(128&lt;'V06 Calend 01'!D26),(MOD((128-'V06 Calend 01'!C26),6)=0),(((128-'V06 Calend 01'!C26)/6)&lt;='V06 Calend 01'!E26)),IF((128=('V06 Calend 01'!C26+(6*'V06 Calend 01'!E26))),('V06 Calend 01'!H26-('V06 Calend 01'!I26*('V06 Calend 01'!E26-1))),'V06 Calend 01'!I26),0))+IF((128='V06 Calend 01'!D26),'V06 Calend 01'!J26,0))</f>
        <v>0</v>
      </c>
      <c r="EK26" s="2">
        <f>((IF((129='V06 Calend 01'!C26),('V06 Calend 01'!F26+'V06 Calend 01'!G26),0)+IF(AND(('V06 Calend 01'!E26&gt;0),(129&gt;'V06 Calend 01'!C26),(129&lt;'V06 Calend 01'!D26),(MOD((129-'V06 Calend 01'!C26),6)=0),(((129-'V06 Calend 01'!C26)/6)&lt;='V06 Calend 01'!E26)),IF((129=('V06 Calend 01'!C26+(6*'V06 Calend 01'!E26))),('V06 Calend 01'!H26-('V06 Calend 01'!I26*('V06 Calend 01'!E26-1))),'V06 Calend 01'!I26),0))+IF((129='V06 Calend 01'!D26),'V06 Calend 01'!J26,0))</f>
        <v>0</v>
      </c>
      <c r="EL26" s="2">
        <f>((IF((130='V06 Calend 01'!C26),('V06 Calend 01'!F26+'V06 Calend 01'!G26),0)+IF(AND(('V06 Calend 01'!E26&gt;0),(130&gt;'V06 Calend 01'!C26),(130&lt;'V06 Calend 01'!D26),(MOD((130-'V06 Calend 01'!C26),6)=0),(((130-'V06 Calend 01'!C26)/6)&lt;='V06 Calend 01'!E26)),IF((130=('V06 Calend 01'!C26+(6*'V06 Calend 01'!E26))),('V06 Calend 01'!H26-('V06 Calend 01'!I26*('V06 Calend 01'!E26-1))),'V06 Calend 01'!I26),0))+IF((130='V06 Calend 01'!D26),'V06 Calend 01'!J26,0))</f>
        <v>0</v>
      </c>
      <c r="EM26" s="2">
        <f>((IF((131='V06 Calend 01'!C26),('V06 Calend 01'!F26+'V06 Calend 01'!G26),0)+IF(AND(('V06 Calend 01'!E26&gt;0),(131&gt;'V06 Calend 01'!C26),(131&lt;'V06 Calend 01'!D26),(MOD((131-'V06 Calend 01'!C26),6)=0),(((131-'V06 Calend 01'!C26)/6)&lt;='V06 Calend 01'!E26)),IF((131=('V06 Calend 01'!C26+(6*'V06 Calend 01'!E26))),('V06 Calend 01'!H26-('V06 Calend 01'!I26*('V06 Calend 01'!E26-1))),'V06 Calend 01'!I26),0))+IF((131='V06 Calend 01'!D26),'V06 Calend 01'!J26,0))</f>
        <v>0</v>
      </c>
      <c r="EN26" s="2">
        <f>((IF((132='V06 Calend 01'!C26),('V06 Calend 01'!F26+'V06 Calend 01'!G26),0)+IF(AND(('V06 Calend 01'!E26&gt;0),(132&gt;'V06 Calend 01'!C26),(132&lt;'V06 Calend 01'!D26),(MOD((132-'V06 Calend 01'!C26),6)=0),(((132-'V06 Calend 01'!C26)/6)&lt;='V06 Calend 01'!E26)),IF((132=('V06 Calend 01'!C26+(6*'V06 Calend 01'!E26))),('V06 Calend 01'!H26-('V06 Calend 01'!I26*('V06 Calend 01'!E26-1))),'V06 Calend 01'!I26),0))+IF((132='V06 Calend 01'!D26),'V06 Calend 01'!J26,0))</f>
        <v>0</v>
      </c>
      <c r="EO26" s="2">
        <f>((IF((133='V06 Calend 01'!C26),('V06 Calend 01'!F26+'V06 Calend 01'!G26),0)+IF(AND(('V06 Calend 01'!E26&gt;0),(133&gt;'V06 Calend 01'!C26),(133&lt;'V06 Calend 01'!D26),(MOD((133-'V06 Calend 01'!C26),6)=0),(((133-'V06 Calend 01'!C26)/6)&lt;='V06 Calend 01'!E26)),IF((133=('V06 Calend 01'!C26+(6*'V06 Calend 01'!E26))),('V06 Calend 01'!H26-('V06 Calend 01'!I26*('V06 Calend 01'!E26-1))),'V06 Calend 01'!I26),0))+IF((133='V06 Calend 01'!D26),'V06 Calend 01'!J26,0))</f>
        <v>0</v>
      </c>
      <c r="EP26" s="2">
        <f>((IF((134='V06 Calend 01'!C26),('V06 Calend 01'!F26+'V06 Calend 01'!G26),0)+IF(AND(('V06 Calend 01'!E26&gt;0),(134&gt;'V06 Calend 01'!C26),(134&lt;'V06 Calend 01'!D26),(MOD((134-'V06 Calend 01'!C26),6)=0),(((134-'V06 Calend 01'!C26)/6)&lt;='V06 Calend 01'!E26)),IF((134=('V06 Calend 01'!C26+(6*'V06 Calend 01'!E26))),('V06 Calend 01'!H26-('V06 Calend 01'!I26*('V06 Calend 01'!E26-1))),'V06 Calend 01'!I26),0))+IF((134='V06 Calend 01'!D26),'V06 Calend 01'!J26,0))</f>
        <v>0</v>
      </c>
      <c r="EQ26" s="2">
        <f>((IF((135='V06 Calend 01'!C26),('V06 Calend 01'!F26+'V06 Calend 01'!G26),0)+IF(AND(('V06 Calend 01'!E26&gt;0),(135&gt;'V06 Calend 01'!C26),(135&lt;'V06 Calend 01'!D26),(MOD((135-'V06 Calend 01'!C26),6)=0),(((135-'V06 Calend 01'!C26)/6)&lt;='V06 Calend 01'!E26)),IF((135=('V06 Calend 01'!C26+(6*'V06 Calend 01'!E26))),('V06 Calend 01'!H26-('V06 Calend 01'!I26*('V06 Calend 01'!E26-1))),'V06 Calend 01'!I26),0))+IF((135='V06 Calend 01'!D26),'V06 Calend 01'!J26,0))</f>
        <v>0</v>
      </c>
      <c r="ER26" s="2">
        <f>((IF((136='V06 Calend 01'!C26),('V06 Calend 01'!F26+'V06 Calend 01'!G26),0)+IF(AND(('V06 Calend 01'!E26&gt;0),(136&gt;'V06 Calend 01'!C26),(136&lt;'V06 Calend 01'!D26),(MOD((136-'V06 Calend 01'!C26),6)=0),(((136-'V06 Calend 01'!C26)/6)&lt;='V06 Calend 01'!E26)),IF((136=('V06 Calend 01'!C26+(6*'V06 Calend 01'!E26))),('V06 Calend 01'!H26-('V06 Calend 01'!I26*('V06 Calend 01'!E26-1))),'V06 Calend 01'!I26),0))+IF((136='V06 Calend 01'!D26),'V06 Calend 01'!J26,0))</f>
        <v>0</v>
      </c>
      <c r="ES26" s="2">
        <f>((IF((137='V06 Calend 01'!C26),('V06 Calend 01'!F26+'V06 Calend 01'!G26),0)+IF(AND(('V06 Calend 01'!E26&gt;0),(137&gt;'V06 Calend 01'!C26),(137&lt;'V06 Calend 01'!D26),(MOD((137-'V06 Calend 01'!C26),6)=0),(((137-'V06 Calend 01'!C26)/6)&lt;='V06 Calend 01'!E26)),IF((137=('V06 Calend 01'!C26+(6*'V06 Calend 01'!E26))),('V06 Calend 01'!H26-('V06 Calend 01'!I26*('V06 Calend 01'!E26-1))),'V06 Calend 01'!I26),0))+IF((137='V06 Calend 01'!D26),'V06 Calend 01'!J26,0))</f>
        <v>0</v>
      </c>
      <c r="ET26" s="2">
        <f>((IF((138='V06 Calend 01'!C26),('V06 Calend 01'!F26+'V06 Calend 01'!G26),0)+IF(AND(('V06 Calend 01'!E26&gt;0),(138&gt;'V06 Calend 01'!C26),(138&lt;'V06 Calend 01'!D26),(MOD((138-'V06 Calend 01'!C26),6)=0),(((138-'V06 Calend 01'!C26)/6)&lt;='V06 Calend 01'!E26)),IF((138=('V06 Calend 01'!C26+(6*'V06 Calend 01'!E26))),('V06 Calend 01'!H26-('V06 Calend 01'!I26*('V06 Calend 01'!E26-1))),'V06 Calend 01'!I26),0))+IF((138='V06 Calend 01'!D26),'V06 Calend 01'!J26,0))</f>
        <v>0</v>
      </c>
      <c r="EU26" s="2">
        <f>((IF((139='V06 Calend 01'!C26),('V06 Calend 01'!F26+'V06 Calend 01'!G26),0)+IF(AND(('V06 Calend 01'!E26&gt;0),(139&gt;'V06 Calend 01'!C26),(139&lt;'V06 Calend 01'!D26),(MOD((139-'V06 Calend 01'!C26),6)=0),(((139-'V06 Calend 01'!C26)/6)&lt;='V06 Calend 01'!E26)),IF((139=('V06 Calend 01'!C26+(6*'V06 Calend 01'!E26))),('V06 Calend 01'!H26-('V06 Calend 01'!I26*('V06 Calend 01'!E26-1))),'V06 Calend 01'!I26),0))+IF((139='V06 Calend 01'!D26),'V06 Calend 01'!J26,0))</f>
        <v>0</v>
      </c>
      <c r="EV26" s="2">
        <f>((IF((140='V06 Calend 01'!C26),('V06 Calend 01'!F26+'V06 Calend 01'!G26),0)+IF(AND(('V06 Calend 01'!E26&gt;0),(140&gt;'V06 Calend 01'!C26),(140&lt;'V06 Calend 01'!D26),(MOD((140-'V06 Calend 01'!C26),6)=0),(((140-'V06 Calend 01'!C26)/6)&lt;='V06 Calend 01'!E26)),IF((140=('V06 Calend 01'!C26+(6*'V06 Calend 01'!E26))),('V06 Calend 01'!H26-('V06 Calend 01'!I26*('V06 Calend 01'!E26-1))),'V06 Calend 01'!I26),0))+IF((140='V06 Calend 01'!D26),'V06 Calend 01'!J26,0))</f>
        <v>0</v>
      </c>
      <c r="EW26" s="2">
        <f>((IF((141='V06 Calend 01'!C26),('V06 Calend 01'!F26+'V06 Calend 01'!G26),0)+IF(AND(('V06 Calend 01'!E26&gt;0),(141&gt;'V06 Calend 01'!C26),(141&lt;'V06 Calend 01'!D26),(MOD((141-'V06 Calend 01'!C26),6)=0),(((141-'V06 Calend 01'!C26)/6)&lt;='V06 Calend 01'!E26)),IF((141=('V06 Calend 01'!C26+(6*'V06 Calend 01'!E26))),('V06 Calend 01'!H26-('V06 Calend 01'!I26*('V06 Calend 01'!E26-1))),'V06 Calend 01'!I26),0))+IF((141='V06 Calend 01'!D26),'V06 Calend 01'!J26,0))</f>
        <v>0</v>
      </c>
      <c r="EX26" s="2">
        <f>((IF((142='V06 Calend 01'!C26),('V06 Calend 01'!F26+'V06 Calend 01'!G26),0)+IF(AND(('V06 Calend 01'!E26&gt;0),(142&gt;'V06 Calend 01'!C26),(142&lt;'V06 Calend 01'!D26),(MOD((142-'V06 Calend 01'!C26),6)=0),(((142-'V06 Calend 01'!C26)/6)&lt;='V06 Calend 01'!E26)),IF((142=('V06 Calend 01'!C26+(6*'V06 Calend 01'!E26))),('V06 Calend 01'!H26-('V06 Calend 01'!I26*('V06 Calend 01'!E26-1))),'V06 Calend 01'!I26),0))+IF((142='V06 Calend 01'!D26),'V06 Calend 01'!J26,0))</f>
        <v>0</v>
      </c>
      <c r="EY26" s="2">
        <f>((IF((143='V06 Calend 01'!C26),('V06 Calend 01'!F26+'V06 Calend 01'!G26),0)+IF(AND(('V06 Calend 01'!E26&gt;0),(143&gt;'V06 Calend 01'!C26),(143&lt;'V06 Calend 01'!D26),(MOD((143-'V06 Calend 01'!C26),6)=0),(((143-'V06 Calend 01'!C26)/6)&lt;='V06 Calend 01'!E26)),IF((143=('V06 Calend 01'!C26+(6*'V06 Calend 01'!E26))),('V06 Calend 01'!H26-('V06 Calend 01'!I26*('V06 Calend 01'!E26-1))),'V06 Calend 01'!I26),0))+IF((143='V06 Calend 01'!D26),'V06 Calend 01'!J26,0))</f>
        <v>0</v>
      </c>
      <c r="EZ26" s="2">
        <f>((IF((144='V06 Calend 01'!C26),('V06 Calend 01'!F26+'V06 Calend 01'!G26),0)+IF(AND(('V06 Calend 01'!E26&gt;0),(144&gt;'V06 Calend 01'!C26),(144&lt;'V06 Calend 01'!D26),(MOD((144-'V06 Calend 01'!C26),6)=0),(((144-'V06 Calend 01'!C26)/6)&lt;='V06 Calend 01'!E26)),IF((144=('V06 Calend 01'!C26+(6*'V06 Calend 01'!E26))),('V06 Calend 01'!H26-('V06 Calend 01'!I26*('V06 Calend 01'!E26-1))),'V06 Calend 01'!I26),0))+IF((144='V06 Calend 01'!D26),'V06 Calend 01'!J26,0))</f>
        <v>0</v>
      </c>
      <c r="FA26" s="2">
        <f>((IF((145='V06 Calend 01'!C26),('V06 Calend 01'!F26+'V06 Calend 01'!G26),0)+IF(AND(('V06 Calend 01'!E26&gt;0),(145&gt;'V06 Calend 01'!C26),(145&lt;'V06 Calend 01'!D26),(MOD((145-'V06 Calend 01'!C26),6)=0),(((145-'V06 Calend 01'!C26)/6)&lt;='V06 Calend 01'!E26)),IF((145=('V06 Calend 01'!C26+(6*'V06 Calend 01'!E26))),('V06 Calend 01'!H26-('V06 Calend 01'!I26*('V06 Calend 01'!E26-1))),'V06 Calend 01'!I26),0))+IF((145='V06 Calend 01'!D26),'V06 Calend 01'!J26,0))</f>
        <v>0</v>
      </c>
      <c r="FB26" s="2">
        <f>((IF((146='V06 Calend 01'!C26),('V06 Calend 01'!F26+'V06 Calend 01'!G26),0)+IF(AND(('V06 Calend 01'!E26&gt;0),(146&gt;'V06 Calend 01'!C26),(146&lt;'V06 Calend 01'!D26),(MOD((146-'V06 Calend 01'!C26),6)=0),(((146-'V06 Calend 01'!C26)/6)&lt;='V06 Calend 01'!E26)),IF((146=('V06 Calend 01'!C26+(6*'V06 Calend 01'!E26))),('V06 Calend 01'!H26-('V06 Calend 01'!I26*('V06 Calend 01'!E26-1))),'V06 Calend 01'!I26),0))+IF((146='V06 Calend 01'!D26),'V06 Calend 01'!J26,0))</f>
        <v>0</v>
      </c>
      <c r="FC26" s="2">
        <f>((IF((147='V06 Calend 01'!C26),('V06 Calend 01'!F26+'V06 Calend 01'!G26),0)+IF(AND(('V06 Calend 01'!E26&gt;0),(147&gt;'V06 Calend 01'!C26),(147&lt;'V06 Calend 01'!D26),(MOD((147-'V06 Calend 01'!C26),6)=0),(((147-'V06 Calend 01'!C26)/6)&lt;='V06 Calend 01'!E26)),IF((147=('V06 Calend 01'!C26+(6*'V06 Calend 01'!E26))),('V06 Calend 01'!H26-('V06 Calend 01'!I26*('V06 Calend 01'!E26-1))),'V06 Calend 01'!I26),0))+IF((147='V06 Calend 01'!D26),'V06 Calend 01'!J26,0))</f>
        <v>0</v>
      </c>
      <c r="FD26" s="2">
        <f>((IF((148='V06 Calend 01'!C26),('V06 Calend 01'!F26+'V06 Calend 01'!G26),0)+IF(AND(('V06 Calend 01'!E26&gt;0),(148&gt;'V06 Calend 01'!C26),(148&lt;'V06 Calend 01'!D26),(MOD((148-'V06 Calend 01'!C26),6)=0),(((148-'V06 Calend 01'!C26)/6)&lt;='V06 Calend 01'!E26)),IF((148=('V06 Calend 01'!C26+(6*'V06 Calend 01'!E26))),('V06 Calend 01'!H26-('V06 Calend 01'!I26*('V06 Calend 01'!E26-1))),'V06 Calend 01'!I26),0))+IF((148='V06 Calend 01'!D26),'V06 Calend 01'!J26,0))</f>
        <v>0</v>
      </c>
      <c r="FE26" s="2">
        <f>((IF((149='V06 Calend 01'!C26),('V06 Calend 01'!F26+'V06 Calend 01'!G26),0)+IF(AND(('V06 Calend 01'!E26&gt;0),(149&gt;'V06 Calend 01'!C26),(149&lt;'V06 Calend 01'!D26),(MOD((149-'V06 Calend 01'!C26),6)=0),(((149-'V06 Calend 01'!C26)/6)&lt;='V06 Calend 01'!E26)),IF((149=('V06 Calend 01'!C26+(6*'V06 Calend 01'!E26))),('V06 Calend 01'!H26-('V06 Calend 01'!I26*('V06 Calend 01'!E26-1))),'V06 Calend 01'!I26),0))+IF((149='V06 Calend 01'!D26),'V06 Calend 01'!J26,0))</f>
        <v>0</v>
      </c>
      <c r="FF26" s="2">
        <f>((IF((150='V06 Calend 01'!C26),('V06 Calend 01'!F26+'V06 Calend 01'!G26),0)+IF(AND(('V06 Calend 01'!E26&gt;0),(150&gt;'V06 Calend 01'!C26),(150&lt;'V06 Calend 01'!D26),(MOD((150-'V06 Calend 01'!C26),6)=0),(((150-'V06 Calend 01'!C26)/6)&lt;='V06 Calend 01'!E26)),IF((150=('V06 Calend 01'!C26+(6*'V06 Calend 01'!E26))),('V06 Calend 01'!H26-('V06 Calend 01'!I26*('V06 Calend 01'!E26-1))),'V06 Calend 01'!I26),0))+IF((150='V06 Calend 01'!D26),'V06 Calend 01'!J26,0))</f>
        <v>0</v>
      </c>
      <c r="FG26" s="2">
        <f>((IF((151='V06 Calend 01'!C26),('V06 Calend 01'!F26+'V06 Calend 01'!G26),0)+IF(AND(('V06 Calend 01'!E26&gt;0),(151&gt;'V06 Calend 01'!C26),(151&lt;'V06 Calend 01'!D26),(MOD((151-'V06 Calend 01'!C26),6)=0),(((151-'V06 Calend 01'!C26)/6)&lt;='V06 Calend 01'!E26)),IF((151=('V06 Calend 01'!C26+(6*'V06 Calend 01'!E26))),('V06 Calend 01'!H26-('V06 Calend 01'!I26*('V06 Calend 01'!E26-1))),'V06 Calend 01'!I26),0))+IF((151='V06 Calend 01'!D26),'V06 Calend 01'!J26,0))</f>
        <v>0</v>
      </c>
      <c r="FH26" s="2">
        <f>((IF((152='V06 Calend 01'!C26),('V06 Calend 01'!F26+'V06 Calend 01'!G26),0)+IF(AND(('V06 Calend 01'!E26&gt;0),(152&gt;'V06 Calend 01'!C26),(152&lt;'V06 Calend 01'!D26),(MOD((152-'V06 Calend 01'!C26),6)=0),(((152-'V06 Calend 01'!C26)/6)&lt;='V06 Calend 01'!E26)),IF((152=('V06 Calend 01'!C26+(6*'V06 Calend 01'!E26))),('V06 Calend 01'!H26-('V06 Calend 01'!I26*('V06 Calend 01'!E26-1))),'V06 Calend 01'!I26),0))+IF((152='V06 Calend 01'!D26),'V06 Calend 01'!J26,0))</f>
        <v>0</v>
      </c>
      <c r="FI26" s="2">
        <f>((IF((153='V06 Calend 01'!C26),('V06 Calend 01'!F26+'V06 Calend 01'!G26),0)+IF(AND(('V06 Calend 01'!E26&gt;0),(153&gt;'V06 Calend 01'!C26),(153&lt;'V06 Calend 01'!D26),(MOD((153-'V06 Calend 01'!C26),6)=0),(((153-'V06 Calend 01'!C26)/6)&lt;='V06 Calend 01'!E26)),IF((153=('V06 Calend 01'!C26+(6*'V06 Calend 01'!E26))),('V06 Calend 01'!H26-('V06 Calend 01'!I26*('V06 Calend 01'!E26-1))),'V06 Calend 01'!I26),0))+IF((153='V06 Calend 01'!D26),'V06 Calend 01'!J26,0))</f>
        <v>0</v>
      </c>
      <c r="FJ26" s="2">
        <f>((IF((154='V06 Calend 01'!C26),('V06 Calend 01'!F26+'V06 Calend 01'!G26),0)+IF(AND(('V06 Calend 01'!E26&gt;0),(154&gt;'V06 Calend 01'!C26),(154&lt;'V06 Calend 01'!D26),(MOD((154-'V06 Calend 01'!C26),6)=0),(((154-'V06 Calend 01'!C26)/6)&lt;='V06 Calend 01'!E26)),IF((154=('V06 Calend 01'!C26+(6*'V06 Calend 01'!E26))),('V06 Calend 01'!H26-('V06 Calend 01'!I26*('V06 Calend 01'!E26-1))),'V06 Calend 01'!I26),0))+IF((154='V06 Calend 01'!D26),'V06 Calend 01'!J26,0))</f>
        <v>0</v>
      </c>
      <c r="FK26" s="2">
        <f>((IF((155='V06 Calend 01'!C26),('V06 Calend 01'!F26+'V06 Calend 01'!G26),0)+IF(AND(('V06 Calend 01'!E26&gt;0),(155&gt;'V06 Calend 01'!C26),(155&lt;'V06 Calend 01'!D26),(MOD((155-'V06 Calend 01'!C26),6)=0),(((155-'V06 Calend 01'!C26)/6)&lt;='V06 Calend 01'!E26)),IF((155=('V06 Calend 01'!C26+(6*'V06 Calend 01'!E26))),('V06 Calend 01'!H26-('V06 Calend 01'!I26*('V06 Calend 01'!E26-1))),'V06 Calend 01'!I26),0))+IF((155='V06 Calend 01'!D26),'V06 Calend 01'!J26,0))</f>
        <v>0</v>
      </c>
      <c r="FL26" s="2">
        <f>((IF((156='V06 Calend 01'!C26),('V06 Calend 01'!F26+'V06 Calend 01'!G26),0)+IF(AND(('V06 Calend 01'!E26&gt;0),(156&gt;'V06 Calend 01'!C26),(156&lt;'V06 Calend 01'!D26),(MOD((156-'V06 Calend 01'!C26),6)=0),(((156-'V06 Calend 01'!C26)/6)&lt;='V06 Calend 01'!E26)),IF((156=('V06 Calend 01'!C26+(6*'V06 Calend 01'!E26))),('V06 Calend 01'!H26-('V06 Calend 01'!I26*('V06 Calend 01'!E26-1))),'V06 Calend 01'!I26),0))+IF((156='V06 Calend 01'!D26),'V06 Calend 01'!J26,0))</f>
        <v>0</v>
      </c>
      <c r="FM26" s="2">
        <f>((IF((157='V06 Calend 01'!C26),('V06 Calend 01'!F26+'V06 Calend 01'!G26),0)+IF(AND(('V06 Calend 01'!E26&gt;0),(157&gt;'V06 Calend 01'!C26),(157&lt;'V06 Calend 01'!D26),(MOD((157-'V06 Calend 01'!C26),6)=0),(((157-'V06 Calend 01'!C26)/6)&lt;='V06 Calend 01'!E26)),IF((157=('V06 Calend 01'!C26+(6*'V06 Calend 01'!E26))),('V06 Calend 01'!H26-('V06 Calend 01'!I26*('V06 Calend 01'!E26-1))),'V06 Calend 01'!I26),0))+IF((157='V06 Calend 01'!D26),'V06 Calend 01'!J26,0))</f>
        <v>0</v>
      </c>
      <c r="FN26" s="2">
        <f>((IF((158='V06 Calend 01'!C26),('V06 Calend 01'!F26+'V06 Calend 01'!G26),0)+IF(AND(('V06 Calend 01'!E26&gt;0),(158&gt;'V06 Calend 01'!C26),(158&lt;'V06 Calend 01'!D26),(MOD((158-'V06 Calend 01'!C26),6)=0),(((158-'V06 Calend 01'!C26)/6)&lt;='V06 Calend 01'!E26)),IF((158=('V06 Calend 01'!C26+(6*'V06 Calend 01'!E26))),('V06 Calend 01'!H26-('V06 Calend 01'!I26*('V06 Calend 01'!E26-1))),'V06 Calend 01'!I26),0))+IF((158='V06 Calend 01'!D26),'V06 Calend 01'!J26,0))</f>
        <v>0</v>
      </c>
      <c r="FO26" s="2">
        <f>((IF((159='V06 Calend 01'!C26),('V06 Calend 01'!F26+'V06 Calend 01'!G26),0)+IF(AND(('V06 Calend 01'!E26&gt;0),(159&gt;'V06 Calend 01'!C26),(159&lt;'V06 Calend 01'!D26),(MOD((159-'V06 Calend 01'!C26),6)=0),(((159-'V06 Calend 01'!C26)/6)&lt;='V06 Calend 01'!E26)),IF((159=('V06 Calend 01'!C26+(6*'V06 Calend 01'!E26))),('V06 Calend 01'!H26-('V06 Calend 01'!I26*('V06 Calend 01'!E26-1))),'V06 Calend 01'!I26),0))+IF((159='V06 Calend 01'!D26),'V06 Calend 01'!J26,0))</f>
        <v>0</v>
      </c>
      <c r="FP26" s="2">
        <f>((IF((160='V06 Calend 01'!C26),('V06 Calend 01'!F26+'V06 Calend 01'!G26),0)+IF(AND(('V06 Calend 01'!E26&gt;0),(160&gt;'V06 Calend 01'!C26),(160&lt;'V06 Calend 01'!D26),(MOD((160-'V06 Calend 01'!C26),6)=0),(((160-'V06 Calend 01'!C26)/6)&lt;='V06 Calend 01'!E26)),IF((160=('V06 Calend 01'!C26+(6*'V06 Calend 01'!E26))),('V06 Calend 01'!H26-('V06 Calend 01'!I26*('V06 Calend 01'!E26-1))),'V06 Calend 01'!I26),0))+IF((160='V06 Calend 01'!D26),'V06 Calend 01'!J26,0))</f>
        <v>0</v>
      </c>
      <c r="FQ26" s="2">
        <f>((IF((161='V06 Calend 01'!C26),('V06 Calend 01'!F26+'V06 Calend 01'!G26),0)+IF(AND(('V06 Calend 01'!E26&gt;0),(161&gt;'V06 Calend 01'!C26),(161&lt;'V06 Calend 01'!D26),(MOD((161-'V06 Calend 01'!C26),6)=0),(((161-'V06 Calend 01'!C26)/6)&lt;='V06 Calend 01'!E26)),IF((161=('V06 Calend 01'!C26+(6*'V06 Calend 01'!E26))),('V06 Calend 01'!H26-('V06 Calend 01'!I26*('V06 Calend 01'!E26-1))),'V06 Calend 01'!I26),0))+IF((161='V06 Calend 01'!D26),'V06 Calend 01'!J26,0))</f>
        <v>0</v>
      </c>
      <c r="FR26" s="2">
        <f>((IF((162='V06 Calend 01'!C26),('V06 Calend 01'!F26+'V06 Calend 01'!G26),0)+IF(AND(('V06 Calend 01'!E26&gt;0),(162&gt;'V06 Calend 01'!C26),(162&lt;'V06 Calend 01'!D26),(MOD((162-'V06 Calend 01'!C26),6)=0),(((162-'V06 Calend 01'!C26)/6)&lt;='V06 Calend 01'!E26)),IF((162=('V06 Calend 01'!C26+(6*'V06 Calend 01'!E26))),('V06 Calend 01'!H26-('V06 Calend 01'!I26*('V06 Calend 01'!E26-1))),'V06 Calend 01'!I26),0))+IF((162='V06 Calend 01'!D26),'V06 Calend 01'!J26,0))</f>
        <v>0</v>
      </c>
      <c r="FS26" s="2">
        <f>((IF((163='V06 Calend 01'!C26),('V06 Calend 01'!F26+'V06 Calend 01'!G26),0)+IF(AND(('V06 Calend 01'!E26&gt;0),(163&gt;'V06 Calend 01'!C26),(163&lt;'V06 Calend 01'!D26),(MOD((163-'V06 Calend 01'!C26),6)=0),(((163-'V06 Calend 01'!C26)/6)&lt;='V06 Calend 01'!E26)),IF((163=('V06 Calend 01'!C26+(6*'V06 Calend 01'!E26))),('V06 Calend 01'!H26-('V06 Calend 01'!I26*('V06 Calend 01'!E26-1))),'V06 Calend 01'!I26),0))+IF((163='V06 Calend 01'!D26),'V06 Calend 01'!J26,0))</f>
        <v>0</v>
      </c>
      <c r="FT26" s="2">
        <f>((IF((164='V06 Calend 01'!C26),('V06 Calend 01'!F26+'V06 Calend 01'!G26),0)+IF(AND(('V06 Calend 01'!E26&gt;0),(164&gt;'V06 Calend 01'!C26),(164&lt;'V06 Calend 01'!D26),(MOD((164-'V06 Calend 01'!C26),6)=0),(((164-'V06 Calend 01'!C26)/6)&lt;='V06 Calend 01'!E26)),IF((164=('V06 Calend 01'!C26+(6*'V06 Calend 01'!E26))),('V06 Calend 01'!H26-('V06 Calend 01'!I26*('V06 Calend 01'!E26-1))),'V06 Calend 01'!I26),0))+IF((164='V06 Calend 01'!D26),'V06 Calend 01'!J26,0))</f>
        <v>0</v>
      </c>
      <c r="FU26" s="2">
        <f>((IF((165='V06 Calend 01'!C26),('V06 Calend 01'!F26+'V06 Calend 01'!G26),0)+IF(AND(('V06 Calend 01'!E26&gt;0),(165&gt;'V06 Calend 01'!C26),(165&lt;'V06 Calend 01'!D26),(MOD((165-'V06 Calend 01'!C26),6)=0),(((165-'V06 Calend 01'!C26)/6)&lt;='V06 Calend 01'!E26)),IF((165=('V06 Calend 01'!C26+(6*'V06 Calend 01'!E26))),('V06 Calend 01'!H26-('V06 Calend 01'!I26*('V06 Calend 01'!E26-1))),'V06 Calend 01'!I26),0))+IF((165='V06 Calend 01'!D26),'V06 Calend 01'!J26,0))</f>
        <v>0</v>
      </c>
      <c r="FV26" s="2">
        <f>((IF((166='V06 Calend 01'!C26),('V06 Calend 01'!F26+'V06 Calend 01'!G26),0)+IF(AND(('V06 Calend 01'!E26&gt;0),(166&gt;'V06 Calend 01'!C26),(166&lt;'V06 Calend 01'!D26),(MOD((166-'V06 Calend 01'!C26),6)=0),(((166-'V06 Calend 01'!C26)/6)&lt;='V06 Calend 01'!E26)),IF((166=('V06 Calend 01'!C26+(6*'V06 Calend 01'!E26))),('V06 Calend 01'!H26-('V06 Calend 01'!I26*('V06 Calend 01'!E26-1))),'V06 Calend 01'!I26),0))+IF((166='V06 Calend 01'!D26),'V06 Calend 01'!J26,0))</f>
        <v>0</v>
      </c>
      <c r="FW26" s="2">
        <f>((IF((167='V06 Calend 01'!C26),('V06 Calend 01'!F26+'V06 Calend 01'!G26),0)+IF(AND(('V06 Calend 01'!E26&gt;0),(167&gt;'V06 Calend 01'!C26),(167&lt;'V06 Calend 01'!D26),(MOD((167-'V06 Calend 01'!C26),6)=0),(((167-'V06 Calend 01'!C26)/6)&lt;='V06 Calend 01'!E26)),IF((167=('V06 Calend 01'!C26+(6*'V06 Calend 01'!E26))),('V06 Calend 01'!H26-('V06 Calend 01'!I26*('V06 Calend 01'!E26-1))),'V06 Calend 01'!I26),0))+IF((167='V06 Calend 01'!D26),'V06 Calend 01'!J26,0))</f>
        <v>0</v>
      </c>
      <c r="FX26" s="2">
        <f>((IF((168='V06 Calend 01'!C26),('V06 Calend 01'!F26+'V06 Calend 01'!G26),0)+IF(AND(('V06 Calend 01'!E26&gt;0),(168&gt;'V06 Calend 01'!C26),(168&lt;'V06 Calend 01'!D26),(MOD((168-'V06 Calend 01'!C26),6)=0),(((168-'V06 Calend 01'!C26)/6)&lt;='V06 Calend 01'!E26)),IF((168=('V06 Calend 01'!C26+(6*'V06 Calend 01'!E26))),('V06 Calend 01'!H26-('V06 Calend 01'!I26*('V06 Calend 01'!E26-1))),'V06 Calend 01'!I26),0))+IF((168='V06 Calend 01'!D26),'V06 Calend 01'!J26,0))</f>
        <v>0</v>
      </c>
      <c r="FY26" s="2">
        <f>((IF((169='V06 Calend 01'!C26),('V06 Calend 01'!F26+'V06 Calend 01'!G26),0)+IF(AND(('V06 Calend 01'!E26&gt;0),(169&gt;'V06 Calend 01'!C26),(169&lt;'V06 Calend 01'!D26),(MOD((169-'V06 Calend 01'!C26),6)=0),(((169-'V06 Calend 01'!C26)/6)&lt;='V06 Calend 01'!E26)),IF((169=('V06 Calend 01'!C26+(6*'V06 Calend 01'!E26))),('V06 Calend 01'!H26-('V06 Calend 01'!I26*('V06 Calend 01'!E26-1))),'V06 Calend 01'!I26),0))+IF((169='V06 Calend 01'!D26),'V06 Calend 01'!J26,0))</f>
        <v>0</v>
      </c>
      <c r="FZ26" s="2">
        <f>((IF((170='V06 Calend 01'!C26),('V06 Calend 01'!F26+'V06 Calend 01'!G26),0)+IF(AND(('V06 Calend 01'!E26&gt;0),(170&gt;'V06 Calend 01'!C26),(170&lt;'V06 Calend 01'!D26),(MOD((170-'V06 Calend 01'!C26),6)=0),(((170-'V06 Calend 01'!C26)/6)&lt;='V06 Calend 01'!E26)),IF((170=('V06 Calend 01'!C26+(6*'V06 Calend 01'!E26))),('V06 Calend 01'!H26-('V06 Calend 01'!I26*('V06 Calend 01'!E26-1))),'V06 Calend 01'!I26),0))+IF((170='V06 Calend 01'!D26),'V06 Calend 01'!J26,0))</f>
        <v>0</v>
      </c>
      <c r="GA26" s="2">
        <f>((IF((171='V06 Calend 01'!C26),('V06 Calend 01'!F26+'V06 Calend 01'!G26),0)+IF(AND(('V06 Calend 01'!E26&gt;0),(171&gt;'V06 Calend 01'!C26),(171&lt;'V06 Calend 01'!D26),(MOD((171-'V06 Calend 01'!C26),6)=0),(((171-'V06 Calend 01'!C26)/6)&lt;='V06 Calend 01'!E26)),IF((171=('V06 Calend 01'!C26+(6*'V06 Calend 01'!E26))),('V06 Calend 01'!H26-('V06 Calend 01'!I26*('V06 Calend 01'!E26-1))),'V06 Calend 01'!I26),0))+IF((171='V06 Calend 01'!D26),'V06 Calend 01'!J26,0))</f>
        <v>0</v>
      </c>
      <c r="GB26" s="2">
        <f>((IF((172='V06 Calend 01'!C26),('V06 Calend 01'!F26+'V06 Calend 01'!G26),0)+IF(AND(('V06 Calend 01'!E26&gt;0),(172&gt;'V06 Calend 01'!C26),(172&lt;'V06 Calend 01'!D26),(MOD((172-'V06 Calend 01'!C26),6)=0),(((172-'V06 Calend 01'!C26)/6)&lt;='V06 Calend 01'!E26)),IF((172=('V06 Calend 01'!C26+(6*'V06 Calend 01'!E26))),('V06 Calend 01'!H26-('V06 Calend 01'!I26*('V06 Calend 01'!E26-1))),'V06 Calend 01'!I26),0))+IF((172='V06 Calend 01'!D26),'V06 Calend 01'!J26,0))</f>
        <v>0</v>
      </c>
      <c r="GC26" s="2">
        <f>((IF((173='V06 Calend 01'!C26),('V06 Calend 01'!F26+'V06 Calend 01'!G26),0)+IF(AND(('V06 Calend 01'!E26&gt;0),(173&gt;'V06 Calend 01'!C26),(173&lt;'V06 Calend 01'!D26),(MOD((173-'V06 Calend 01'!C26),6)=0),(((173-'V06 Calend 01'!C26)/6)&lt;='V06 Calend 01'!E26)),IF((173=('V06 Calend 01'!C26+(6*'V06 Calend 01'!E26))),('V06 Calend 01'!H26-('V06 Calend 01'!I26*('V06 Calend 01'!E26-1))),'V06 Calend 01'!I26),0))+IF((173='V06 Calend 01'!D26),'V06 Calend 01'!J26,0))</f>
        <v>0</v>
      </c>
      <c r="GD26" s="2">
        <f>((IF((174='V06 Calend 01'!C26),('V06 Calend 01'!F26+'V06 Calend 01'!G26),0)+IF(AND(('V06 Calend 01'!E26&gt;0),(174&gt;'V06 Calend 01'!C26),(174&lt;'V06 Calend 01'!D26),(MOD((174-'V06 Calend 01'!C26),6)=0),(((174-'V06 Calend 01'!C26)/6)&lt;='V06 Calend 01'!E26)),IF((174=('V06 Calend 01'!C26+(6*'V06 Calend 01'!E26))),('V06 Calend 01'!H26-('V06 Calend 01'!I26*('V06 Calend 01'!E26-1))),'V06 Calend 01'!I26),0))+IF((174='V06 Calend 01'!D26),'V06 Calend 01'!J26,0))</f>
        <v>0</v>
      </c>
      <c r="GE26" s="2">
        <f>((IF((175='V06 Calend 01'!C26),('V06 Calend 01'!F26+'V06 Calend 01'!G26),0)+IF(AND(('V06 Calend 01'!E26&gt;0),(175&gt;'V06 Calend 01'!C26),(175&lt;'V06 Calend 01'!D26),(MOD((175-'V06 Calend 01'!C26),6)=0),(((175-'V06 Calend 01'!C26)/6)&lt;='V06 Calend 01'!E26)),IF((175=('V06 Calend 01'!C26+(6*'V06 Calend 01'!E26))),('V06 Calend 01'!H26-('V06 Calend 01'!I26*('V06 Calend 01'!E26-1))),'V06 Calend 01'!I26),0))+IF((175='V06 Calend 01'!D26),'V06 Calend 01'!J26,0))</f>
        <v>0</v>
      </c>
      <c r="GF26" s="2">
        <f>((IF((176='V06 Calend 01'!C26),('V06 Calend 01'!F26+'V06 Calend 01'!G26),0)+IF(AND(('V06 Calend 01'!E26&gt;0),(176&gt;'V06 Calend 01'!C26),(176&lt;'V06 Calend 01'!D26),(MOD((176-'V06 Calend 01'!C26),6)=0),(((176-'V06 Calend 01'!C26)/6)&lt;='V06 Calend 01'!E26)),IF((176=('V06 Calend 01'!C26+(6*'V06 Calend 01'!E26))),('V06 Calend 01'!H26-('V06 Calend 01'!I26*('V06 Calend 01'!E26-1))),'V06 Calend 01'!I26),0))+IF((176='V06 Calend 01'!D26),'V06 Calend 01'!J26,0))</f>
        <v>0</v>
      </c>
      <c r="GG26" s="2">
        <f>((IF((177='V06 Calend 01'!C26),('V06 Calend 01'!F26+'V06 Calend 01'!G26),0)+IF(AND(('V06 Calend 01'!E26&gt;0),(177&gt;'V06 Calend 01'!C26),(177&lt;'V06 Calend 01'!D26),(MOD((177-'V06 Calend 01'!C26),6)=0),(((177-'V06 Calend 01'!C26)/6)&lt;='V06 Calend 01'!E26)),IF((177=('V06 Calend 01'!C26+(6*'V06 Calend 01'!E26))),('V06 Calend 01'!H26-('V06 Calend 01'!I26*('V06 Calend 01'!E26-1))),'V06 Calend 01'!I26),0))+IF((177='V06 Calend 01'!D26),'V06 Calend 01'!J26,0))</f>
        <v>0</v>
      </c>
      <c r="GH26" s="2">
        <f>((IF((178='V06 Calend 01'!C26),('V06 Calend 01'!F26+'V06 Calend 01'!G26),0)+IF(AND(('V06 Calend 01'!E26&gt;0),(178&gt;'V06 Calend 01'!C26),(178&lt;'V06 Calend 01'!D26),(MOD((178-'V06 Calend 01'!C26),6)=0),(((178-'V06 Calend 01'!C26)/6)&lt;='V06 Calend 01'!E26)),IF((178=('V06 Calend 01'!C26+(6*'V06 Calend 01'!E26))),('V06 Calend 01'!H26-('V06 Calend 01'!I26*('V06 Calend 01'!E26-1))),'V06 Calend 01'!I26),0))+IF((178='V06 Calend 01'!D26),'V06 Calend 01'!J26,0))</f>
        <v>0</v>
      </c>
      <c r="GI26" s="2">
        <f>((IF((179='V06 Calend 01'!C26),('V06 Calend 01'!F26+'V06 Calend 01'!G26),0)+IF(AND(('V06 Calend 01'!E26&gt;0),(179&gt;'V06 Calend 01'!C26),(179&lt;'V06 Calend 01'!D26),(MOD((179-'V06 Calend 01'!C26),6)=0),(((179-'V06 Calend 01'!C26)/6)&lt;='V06 Calend 01'!E26)),IF((179=('V06 Calend 01'!C26+(6*'V06 Calend 01'!E26))),('V06 Calend 01'!H26-('V06 Calend 01'!I26*('V06 Calend 01'!E26-1))),'V06 Calend 01'!I26),0))+IF((179='V06 Calend 01'!D26),'V06 Calend 01'!J26,0))</f>
        <v>0</v>
      </c>
      <c r="GJ26" s="2">
        <f>((IF((180='V06 Calend 01'!C26),('V06 Calend 01'!F26+'V06 Calend 01'!G26),0)+IF(AND(('V06 Calend 01'!E26&gt;0),(180&gt;'V06 Calend 01'!C26),(180&lt;'V06 Calend 01'!D26),(MOD((180-'V06 Calend 01'!C26),6)=0),(((180-'V06 Calend 01'!C26)/6)&lt;='V06 Calend 01'!E26)),IF((180=('V06 Calend 01'!C26+(6*'V06 Calend 01'!E26))),('V06 Calend 01'!H26-('V06 Calend 01'!I26*('V06 Calend 01'!E26-1))),'V06 Calend 01'!I26),0))+IF((180='V06 Calend 01'!D26),'V06 Calend 01'!J26,0))</f>
        <v>0</v>
      </c>
    </row>
    <row r="27" spans="1:192">
      <c r="A27" s="3" t="str">
        <f>'V06 Unidades'!$A$27</f>
        <v>403</v>
      </c>
      <c r="B27" s="2">
        <f>'V06 Unidades'!$H$27</f>
        <v>268382.4</v>
      </c>
      <c r="C27" s="4">
        <f>('V06 Unidades'!$I$27+'V06 Controlos'!$B$37)</f>
        <v>13</v>
      </c>
      <c r="D27" s="4">
        <f>IF(('V06 Controlos'!$B$38&gt;0),MAX(('V06 Unidades'!$L$27+'V06 Controlos'!$B$37),(30+'V06 Controlos'!$B$38)),('V06 Unidades'!$L$27+'V06 Controlos'!$B$37))</f>
        <v>29</v>
      </c>
      <c r="E27" s="4">
        <f>MAX(0,INT(((('V06 Calend 01'!D27-'V06 Calend 01'!C27)-1)/6)))</f>
        <v>2</v>
      </c>
      <c r="F27" s="2">
        <f>ROUND(('V06 Calend 01'!B27*0.05),2)</f>
        <v>13419.12</v>
      </c>
      <c r="G27" s="2">
        <f>ROUND(('V06 Calend 01'!B27*0.2),2)</f>
        <v>53676.48</v>
      </c>
      <c r="H27" s="2">
        <f>ROUND(('V06 Calend 01'!B27*0.55),2)</f>
        <v>147610.32</v>
      </c>
      <c r="I27" s="2">
        <f>ROUND(('V06 Calend 01'!H27/MAX(1,'V06 Calend 01'!E27)),2)</f>
        <v>73805.16</v>
      </c>
      <c r="J27" s="2">
        <f>((('V06 Calend 01'!B27-'V06 Calend 01'!F27)-'V06 Calend 01'!G27)-'V06 Calend 01'!H27)</f>
        <v>53676.48000000001</v>
      </c>
      <c r="K27" s="2">
        <f>('V06 Calend 01'!B27*0.025)</f>
        <v>6709.560000000001</v>
      </c>
      <c r="L27" t="s">
        <v>378</v>
      </c>
      <c r="M27" s="2">
        <f>((IF((1='V06 Calend 01'!C27),('V06 Calend 01'!F27+'V06 Calend 01'!G27),0)+IF(AND(('V06 Calend 01'!E27&gt;0),(1&gt;'V06 Calend 01'!C27),(1&lt;'V06 Calend 01'!D27),(MOD((1-'V06 Calend 01'!C27),6)=0),(((1-'V06 Calend 01'!C27)/6)&lt;='V06 Calend 01'!E27)),IF((1=('V06 Calend 01'!C27+(6*'V06 Calend 01'!E27))),('V06 Calend 01'!H27-('V06 Calend 01'!I27*('V06 Calend 01'!E27-1))),'V06 Calend 01'!I27),0))+IF((1='V06 Calend 01'!D27),'V06 Calend 01'!J27,0))</f>
        <v>0</v>
      </c>
      <c r="N27" s="2">
        <f>((IF((2='V06 Calend 01'!C27),('V06 Calend 01'!F27+'V06 Calend 01'!G27),0)+IF(AND(('V06 Calend 01'!E27&gt;0),(2&gt;'V06 Calend 01'!C27),(2&lt;'V06 Calend 01'!D27),(MOD((2-'V06 Calend 01'!C27),6)=0),(((2-'V06 Calend 01'!C27)/6)&lt;='V06 Calend 01'!E27)),IF((2=('V06 Calend 01'!C27+(6*'V06 Calend 01'!E27))),('V06 Calend 01'!H27-('V06 Calend 01'!I27*('V06 Calend 01'!E27-1))),'V06 Calend 01'!I27),0))+IF((2='V06 Calend 01'!D27),'V06 Calend 01'!J27,0))</f>
        <v>0</v>
      </c>
      <c r="O27" s="2">
        <f>((IF((3='V06 Calend 01'!C27),('V06 Calend 01'!F27+'V06 Calend 01'!G27),0)+IF(AND(('V06 Calend 01'!E27&gt;0),(3&gt;'V06 Calend 01'!C27),(3&lt;'V06 Calend 01'!D27),(MOD((3-'V06 Calend 01'!C27),6)=0),(((3-'V06 Calend 01'!C27)/6)&lt;='V06 Calend 01'!E27)),IF((3=('V06 Calend 01'!C27+(6*'V06 Calend 01'!E27))),('V06 Calend 01'!H27-('V06 Calend 01'!I27*('V06 Calend 01'!E27-1))),'V06 Calend 01'!I27),0))+IF((3='V06 Calend 01'!D27),'V06 Calend 01'!J27,0))</f>
        <v>0</v>
      </c>
      <c r="P27" s="2">
        <f>((IF((4='V06 Calend 01'!C27),('V06 Calend 01'!F27+'V06 Calend 01'!G27),0)+IF(AND(('V06 Calend 01'!E27&gt;0),(4&gt;'V06 Calend 01'!C27),(4&lt;'V06 Calend 01'!D27),(MOD((4-'V06 Calend 01'!C27),6)=0),(((4-'V06 Calend 01'!C27)/6)&lt;='V06 Calend 01'!E27)),IF((4=('V06 Calend 01'!C27+(6*'V06 Calend 01'!E27))),('V06 Calend 01'!H27-('V06 Calend 01'!I27*('V06 Calend 01'!E27-1))),'V06 Calend 01'!I27),0))+IF((4='V06 Calend 01'!D27),'V06 Calend 01'!J27,0))</f>
        <v>0</v>
      </c>
      <c r="Q27" s="2">
        <f>((IF((5='V06 Calend 01'!C27),('V06 Calend 01'!F27+'V06 Calend 01'!G27),0)+IF(AND(('V06 Calend 01'!E27&gt;0),(5&gt;'V06 Calend 01'!C27),(5&lt;'V06 Calend 01'!D27),(MOD((5-'V06 Calend 01'!C27),6)=0),(((5-'V06 Calend 01'!C27)/6)&lt;='V06 Calend 01'!E27)),IF((5=('V06 Calend 01'!C27+(6*'V06 Calend 01'!E27))),('V06 Calend 01'!H27-('V06 Calend 01'!I27*('V06 Calend 01'!E27-1))),'V06 Calend 01'!I27),0))+IF((5='V06 Calend 01'!D27),'V06 Calend 01'!J27,0))</f>
        <v>0</v>
      </c>
      <c r="R27" s="2">
        <f>((IF((6='V06 Calend 01'!C27),('V06 Calend 01'!F27+'V06 Calend 01'!G27),0)+IF(AND(('V06 Calend 01'!E27&gt;0),(6&gt;'V06 Calend 01'!C27),(6&lt;'V06 Calend 01'!D27),(MOD((6-'V06 Calend 01'!C27),6)=0),(((6-'V06 Calend 01'!C27)/6)&lt;='V06 Calend 01'!E27)),IF((6=('V06 Calend 01'!C27+(6*'V06 Calend 01'!E27))),('V06 Calend 01'!H27-('V06 Calend 01'!I27*('V06 Calend 01'!E27-1))),'V06 Calend 01'!I27),0))+IF((6='V06 Calend 01'!D27),'V06 Calend 01'!J27,0))</f>
        <v>0</v>
      </c>
      <c r="S27" s="2">
        <f>((IF((7='V06 Calend 01'!C27),('V06 Calend 01'!F27+'V06 Calend 01'!G27),0)+IF(AND(('V06 Calend 01'!E27&gt;0),(7&gt;'V06 Calend 01'!C27),(7&lt;'V06 Calend 01'!D27),(MOD((7-'V06 Calend 01'!C27),6)=0),(((7-'V06 Calend 01'!C27)/6)&lt;='V06 Calend 01'!E27)),IF((7=('V06 Calend 01'!C27+(6*'V06 Calend 01'!E27))),('V06 Calend 01'!H27-('V06 Calend 01'!I27*('V06 Calend 01'!E27-1))),'V06 Calend 01'!I27),0))+IF((7='V06 Calend 01'!D27),'V06 Calend 01'!J27,0))</f>
        <v>0</v>
      </c>
      <c r="T27" s="2">
        <f>((IF((8='V06 Calend 01'!C27),('V06 Calend 01'!F27+'V06 Calend 01'!G27),0)+IF(AND(('V06 Calend 01'!E27&gt;0),(8&gt;'V06 Calend 01'!C27),(8&lt;'V06 Calend 01'!D27),(MOD((8-'V06 Calend 01'!C27),6)=0),(((8-'V06 Calend 01'!C27)/6)&lt;='V06 Calend 01'!E27)),IF((8=('V06 Calend 01'!C27+(6*'V06 Calend 01'!E27))),('V06 Calend 01'!H27-('V06 Calend 01'!I27*('V06 Calend 01'!E27-1))),'V06 Calend 01'!I27),0))+IF((8='V06 Calend 01'!D27),'V06 Calend 01'!J27,0))</f>
        <v>0</v>
      </c>
      <c r="U27" s="2">
        <f>((IF((9='V06 Calend 01'!C27),('V06 Calend 01'!F27+'V06 Calend 01'!G27),0)+IF(AND(('V06 Calend 01'!E27&gt;0),(9&gt;'V06 Calend 01'!C27),(9&lt;'V06 Calend 01'!D27),(MOD((9-'V06 Calend 01'!C27),6)=0),(((9-'V06 Calend 01'!C27)/6)&lt;='V06 Calend 01'!E27)),IF((9=('V06 Calend 01'!C27+(6*'V06 Calend 01'!E27))),('V06 Calend 01'!H27-('V06 Calend 01'!I27*('V06 Calend 01'!E27-1))),'V06 Calend 01'!I27),0))+IF((9='V06 Calend 01'!D27),'V06 Calend 01'!J27,0))</f>
        <v>0</v>
      </c>
      <c r="V27" s="2">
        <f>((IF((10='V06 Calend 01'!C27),('V06 Calend 01'!F27+'V06 Calend 01'!G27),0)+IF(AND(('V06 Calend 01'!E27&gt;0),(10&gt;'V06 Calend 01'!C27),(10&lt;'V06 Calend 01'!D27),(MOD((10-'V06 Calend 01'!C27),6)=0),(((10-'V06 Calend 01'!C27)/6)&lt;='V06 Calend 01'!E27)),IF((10=('V06 Calend 01'!C27+(6*'V06 Calend 01'!E27))),('V06 Calend 01'!H27-('V06 Calend 01'!I27*('V06 Calend 01'!E27-1))),'V06 Calend 01'!I27),0))+IF((10='V06 Calend 01'!D27),'V06 Calend 01'!J27,0))</f>
        <v>0</v>
      </c>
      <c r="W27" s="2">
        <f>((IF((11='V06 Calend 01'!C27),('V06 Calend 01'!F27+'V06 Calend 01'!G27),0)+IF(AND(('V06 Calend 01'!E27&gt;0),(11&gt;'V06 Calend 01'!C27),(11&lt;'V06 Calend 01'!D27),(MOD((11-'V06 Calend 01'!C27),6)=0),(((11-'V06 Calend 01'!C27)/6)&lt;='V06 Calend 01'!E27)),IF((11=('V06 Calend 01'!C27+(6*'V06 Calend 01'!E27))),('V06 Calend 01'!H27-('V06 Calend 01'!I27*('V06 Calend 01'!E27-1))),'V06 Calend 01'!I27),0))+IF((11='V06 Calend 01'!D27),'V06 Calend 01'!J27,0))</f>
        <v>0</v>
      </c>
      <c r="X27" s="2">
        <f>((IF((12='V06 Calend 01'!C27),('V06 Calend 01'!F27+'V06 Calend 01'!G27),0)+IF(AND(('V06 Calend 01'!E27&gt;0),(12&gt;'V06 Calend 01'!C27),(12&lt;'V06 Calend 01'!D27),(MOD((12-'V06 Calend 01'!C27),6)=0),(((12-'V06 Calend 01'!C27)/6)&lt;='V06 Calend 01'!E27)),IF((12=('V06 Calend 01'!C27+(6*'V06 Calend 01'!E27))),('V06 Calend 01'!H27-('V06 Calend 01'!I27*('V06 Calend 01'!E27-1))),'V06 Calend 01'!I27),0))+IF((12='V06 Calend 01'!D27),'V06 Calend 01'!J27,0))</f>
        <v>0</v>
      </c>
      <c r="Y27" s="2">
        <f>((IF((13='V06 Calend 01'!C27),('V06 Calend 01'!F27+'V06 Calend 01'!G27),0)+IF(AND(('V06 Calend 01'!E27&gt;0),(13&gt;'V06 Calend 01'!C27),(13&lt;'V06 Calend 01'!D27),(MOD((13-'V06 Calend 01'!C27),6)=0),(((13-'V06 Calend 01'!C27)/6)&lt;='V06 Calend 01'!E27)),IF((13=('V06 Calend 01'!C27+(6*'V06 Calend 01'!E27))),('V06 Calend 01'!H27-('V06 Calend 01'!I27*('V06 Calend 01'!E27-1))),'V06 Calend 01'!I27),0))+IF((13='V06 Calend 01'!D27),'V06 Calend 01'!J27,0))</f>
        <v>67095.6</v>
      </c>
      <c r="Z27" s="2">
        <f>((IF((14='V06 Calend 01'!C27),('V06 Calend 01'!F27+'V06 Calend 01'!G27),0)+IF(AND(('V06 Calend 01'!E27&gt;0),(14&gt;'V06 Calend 01'!C27),(14&lt;'V06 Calend 01'!D27),(MOD((14-'V06 Calend 01'!C27),6)=0),(((14-'V06 Calend 01'!C27)/6)&lt;='V06 Calend 01'!E27)),IF((14=('V06 Calend 01'!C27+(6*'V06 Calend 01'!E27))),('V06 Calend 01'!H27-('V06 Calend 01'!I27*('V06 Calend 01'!E27-1))),'V06 Calend 01'!I27),0))+IF((14='V06 Calend 01'!D27),'V06 Calend 01'!J27,0))</f>
        <v>0</v>
      </c>
      <c r="AA27" s="2">
        <f>((IF((15='V06 Calend 01'!C27),('V06 Calend 01'!F27+'V06 Calend 01'!G27),0)+IF(AND(('V06 Calend 01'!E27&gt;0),(15&gt;'V06 Calend 01'!C27),(15&lt;'V06 Calend 01'!D27),(MOD((15-'V06 Calend 01'!C27),6)=0),(((15-'V06 Calend 01'!C27)/6)&lt;='V06 Calend 01'!E27)),IF((15=('V06 Calend 01'!C27+(6*'V06 Calend 01'!E27))),('V06 Calend 01'!H27-('V06 Calend 01'!I27*('V06 Calend 01'!E27-1))),'V06 Calend 01'!I27),0))+IF((15='V06 Calend 01'!D27),'V06 Calend 01'!J27,0))</f>
        <v>0</v>
      </c>
      <c r="AB27" s="2">
        <f>((IF((16='V06 Calend 01'!C27),('V06 Calend 01'!F27+'V06 Calend 01'!G27),0)+IF(AND(('V06 Calend 01'!E27&gt;0),(16&gt;'V06 Calend 01'!C27),(16&lt;'V06 Calend 01'!D27),(MOD((16-'V06 Calend 01'!C27),6)=0),(((16-'V06 Calend 01'!C27)/6)&lt;='V06 Calend 01'!E27)),IF((16=('V06 Calend 01'!C27+(6*'V06 Calend 01'!E27))),('V06 Calend 01'!H27-('V06 Calend 01'!I27*('V06 Calend 01'!E27-1))),'V06 Calend 01'!I27),0))+IF((16='V06 Calend 01'!D27),'V06 Calend 01'!J27,0))</f>
        <v>0</v>
      </c>
      <c r="AC27" s="2">
        <f>((IF((17='V06 Calend 01'!C27),('V06 Calend 01'!F27+'V06 Calend 01'!G27),0)+IF(AND(('V06 Calend 01'!E27&gt;0),(17&gt;'V06 Calend 01'!C27),(17&lt;'V06 Calend 01'!D27),(MOD((17-'V06 Calend 01'!C27),6)=0),(((17-'V06 Calend 01'!C27)/6)&lt;='V06 Calend 01'!E27)),IF((17=('V06 Calend 01'!C27+(6*'V06 Calend 01'!E27))),('V06 Calend 01'!H27-('V06 Calend 01'!I27*('V06 Calend 01'!E27-1))),'V06 Calend 01'!I27),0))+IF((17='V06 Calend 01'!D27),'V06 Calend 01'!J27,0))</f>
        <v>0</v>
      </c>
      <c r="AD27" s="2">
        <f>((IF((18='V06 Calend 01'!C27),('V06 Calend 01'!F27+'V06 Calend 01'!G27),0)+IF(AND(('V06 Calend 01'!E27&gt;0),(18&gt;'V06 Calend 01'!C27),(18&lt;'V06 Calend 01'!D27),(MOD((18-'V06 Calend 01'!C27),6)=0),(((18-'V06 Calend 01'!C27)/6)&lt;='V06 Calend 01'!E27)),IF((18=('V06 Calend 01'!C27+(6*'V06 Calend 01'!E27))),('V06 Calend 01'!H27-('V06 Calend 01'!I27*('V06 Calend 01'!E27-1))),'V06 Calend 01'!I27),0))+IF((18='V06 Calend 01'!D27),'V06 Calend 01'!J27,0))</f>
        <v>0</v>
      </c>
      <c r="AE27" s="2">
        <f>((IF((19='V06 Calend 01'!C27),('V06 Calend 01'!F27+'V06 Calend 01'!G27),0)+IF(AND(('V06 Calend 01'!E27&gt;0),(19&gt;'V06 Calend 01'!C27),(19&lt;'V06 Calend 01'!D27),(MOD((19-'V06 Calend 01'!C27),6)=0),(((19-'V06 Calend 01'!C27)/6)&lt;='V06 Calend 01'!E27)),IF((19=('V06 Calend 01'!C27+(6*'V06 Calend 01'!E27))),('V06 Calend 01'!H27-('V06 Calend 01'!I27*('V06 Calend 01'!E27-1))),'V06 Calend 01'!I27),0))+IF((19='V06 Calend 01'!D27),'V06 Calend 01'!J27,0))</f>
        <v>73805.16</v>
      </c>
      <c r="AF27" s="2">
        <f>((IF((20='V06 Calend 01'!C27),('V06 Calend 01'!F27+'V06 Calend 01'!G27),0)+IF(AND(('V06 Calend 01'!E27&gt;0),(20&gt;'V06 Calend 01'!C27),(20&lt;'V06 Calend 01'!D27),(MOD((20-'V06 Calend 01'!C27),6)=0),(((20-'V06 Calend 01'!C27)/6)&lt;='V06 Calend 01'!E27)),IF((20=('V06 Calend 01'!C27+(6*'V06 Calend 01'!E27))),('V06 Calend 01'!H27-('V06 Calend 01'!I27*('V06 Calend 01'!E27-1))),'V06 Calend 01'!I27),0))+IF((20='V06 Calend 01'!D27),'V06 Calend 01'!J27,0))</f>
        <v>0</v>
      </c>
      <c r="AG27" s="2">
        <f>((IF((21='V06 Calend 01'!C27),('V06 Calend 01'!F27+'V06 Calend 01'!G27),0)+IF(AND(('V06 Calend 01'!E27&gt;0),(21&gt;'V06 Calend 01'!C27),(21&lt;'V06 Calend 01'!D27),(MOD((21-'V06 Calend 01'!C27),6)=0),(((21-'V06 Calend 01'!C27)/6)&lt;='V06 Calend 01'!E27)),IF((21=('V06 Calend 01'!C27+(6*'V06 Calend 01'!E27))),('V06 Calend 01'!H27-('V06 Calend 01'!I27*('V06 Calend 01'!E27-1))),'V06 Calend 01'!I27),0))+IF((21='V06 Calend 01'!D27),'V06 Calend 01'!J27,0))</f>
        <v>0</v>
      </c>
      <c r="AH27" s="2">
        <f>((IF((22='V06 Calend 01'!C27),('V06 Calend 01'!F27+'V06 Calend 01'!G27),0)+IF(AND(('V06 Calend 01'!E27&gt;0),(22&gt;'V06 Calend 01'!C27),(22&lt;'V06 Calend 01'!D27),(MOD((22-'V06 Calend 01'!C27),6)=0),(((22-'V06 Calend 01'!C27)/6)&lt;='V06 Calend 01'!E27)),IF((22=('V06 Calend 01'!C27+(6*'V06 Calend 01'!E27))),('V06 Calend 01'!H27-('V06 Calend 01'!I27*('V06 Calend 01'!E27-1))),'V06 Calend 01'!I27),0))+IF((22='V06 Calend 01'!D27),'V06 Calend 01'!J27,0))</f>
        <v>0</v>
      </c>
      <c r="AI27" s="2">
        <f>((IF((23='V06 Calend 01'!C27),('V06 Calend 01'!F27+'V06 Calend 01'!G27),0)+IF(AND(('V06 Calend 01'!E27&gt;0),(23&gt;'V06 Calend 01'!C27),(23&lt;'V06 Calend 01'!D27),(MOD((23-'V06 Calend 01'!C27),6)=0),(((23-'V06 Calend 01'!C27)/6)&lt;='V06 Calend 01'!E27)),IF((23=('V06 Calend 01'!C27+(6*'V06 Calend 01'!E27))),('V06 Calend 01'!H27-('V06 Calend 01'!I27*('V06 Calend 01'!E27-1))),'V06 Calend 01'!I27),0))+IF((23='V06 Calend 01'!D27),'V06 Calend 01'!J27,0))</f>
        <v>0</v>
      </c>
      <c r="AJ27" s="2">
        <f>((IF((24='V06 Calend 01'!C27),('V06 Calend 01'!F27+'V06 Calend 01'!G27),0)+IF(AND(('V06 Calend 01'!E27&gt;0),(24&gt;'V06 Calend 01'!C27),(24&lt;'V06 Calend 01'!D27),(MOD((24-'V06 Calend 01'!C27),6)=0),(((24-'V06 Calend 01'!C27)/6)&lt;='V06 Calend 01'!E27)),IF((24=('V06 Calend 01'!C27+(6*'V06 Calend 01'!E27))),('V06 Calend 01'!H27-('V06 Calend 01'!I27*('V06 Calend 01'!E27-1))),'V06 Calend 01'!I27),0))+IF((24='V06 Calend 01'!D27),'V06 Calend 01'!J27,0))</f>
        <v>0</v>
      </c>
      <c r="AK27" s="2">
        <f>((IF((25='V06 Calend 01'!C27),('V06 Calend 01'!F27+'V06 Calend 01'!G27),0)+IF(AND(('V06 Calend 01'!E27&gt;0),(25&gt;'V06 Calend 01'!C27),(25&lt;'V06 Calend 01'!D27),(MOD((25-'V06 Calend 01'!C27),6)=0),(((25-'V06 Calend 01'!C27)/6)&lt;='V06 Calend 01'!E27)),IF((25=('V06 Calend 01'!C27+(6*'V06 Calend 01'!E27))),('V06 Calend 01'!H27-('V06 Calend 01'!I27*('V06 Calend 01'!E27-1))),'V06 Calend 01'!I27),0))+IF((25='V06 Calend 01'!D27),'V06 Calend 01'!J27,0))</f>
        <v>73805.16</v>
      </c>
      <c r="AL27" s="2">
        <f>((IF((26='V06 Calend 01'!C27),('V06 Calend 01'!F27+'V06 Calend 01'!G27),0)+IF(AND(('V06 Calend 01'!E27&gt;0),(26&gt;'V06 Calend 01'!C27),(26&lt;'V06 Calend 01'!D27),(MOD((26-'V06 Calend 01'!C27),6)=0),(((26-'V06 Calend 01'!C27)/6)&lt;='V06 Calend 01'!E27)),IF((26=('V06 Calend 01'!C27+(6*'V06 Calend 01'!E27))),('V06 Calend 01'!H27-('V06 Calend 01'!I27*('V06 Calend 01'!E27-1))),'V06 Calend 01'!I27),0))+IF((26='V06 Calend 01'!D27),'V06 Calend 01'!J27,0))</f>
        <v>0</v>
      </c>
      <c r="AM27" s="2">
        <f>((IF((27='V06 Calend 01'!C27),('V06 Calend 01'!F27+'V06 Calend 01'!G27),0)+IF(AND(('V06 Calend 01'!E27&gt;0),(27&gt;'V06 Calend 01'!C27),(27&lt;'V06 Calend 01'!D27),(MOD((27-'V06 Calend 01'!C27),6)=0),(((27-'V06 Calend 01'!C27)/6)&lt;='V06 Calend 01'!E27)),IF((27=('V06 Calend 01'!C27+(6*'V06 Calend 01'!E27))),('V06 Calend 01'!H27-('V06 Calend 01'!I27*('V06 Calend 01'!E27-1))),'V06 Calend 01'!I27),0))+IF((27='V06 Calend 01'!D27),'V06 Calend 01'!J27,0))</f>
        <v>0</v>
      </c>
      <c r="AN27" s="2">
        <f>((IF((28='V06 Calend 01'!C27),('V06 Calend 01'!F27+'V06 Calend 01'!G27),0)+IF(AND(('V06 Calend 01'!E27&gt;0),(28&gt;'V06 Calend 01'!C27),(28&lt;'V06 Calend 01'!D27),(MOD((28-'V06 Calend 01'!C27),6)=0),(((28-'V06 Calend 01'!C27)/6)&lt;='V06 Calend 01'!E27)),IF((28=('V06 Calend 01'!C27+(6*'V06 Calend 01'!E27))),('V06 Calend 01'!H27-('V06 Calend 01'!I27*('V06 Calend 01'!E27-1))),'V06 Calend 01'!I27),0))+IF((28='V06 Calend 01'!D27),'V06 Calend 01'!J27,0))</f>
        <v>0</v>
      </c>
      <c r="AO27" s="2">
        <f>((IF((29='V06 Calend 01'!C27),('V06 Calend 01'!F27+'V06 Calend 01'!G27),0)+IF(AND(('V06 Calend 01'!E27&gt;0),(29&gt;'V06 Calend 01'!C27),(29&lt;'V06 Calend 01'!D27),(MOD((29-'V06 Calend 01'!C27),6)=0),(((29-'V06 Calend 01'!C27)/6)&lt;='V06 Calend 01'!E27)),IF((29=('V06 Calend 01'!C27+(6*'V06 Calend 01'!E27))),('V06 Calend 01'!H27-('V06 Calend 01'!I27*('V06 Calend 01'!E27-1))),'V06 Calend 01'!I27),0))+IF((29='V06 Calend 01'!D27),'V06 Calend 01'!J27,0))</f>
        <v>53676.48000000001</v>
      </c>
      <c r="AP27" s="2">
        <f>((IF((30='V06 Calend 01'!C27),('V06 Calend 01'!F27+'V06 Calend 01'!G27),0)+IF(AND(('V06 Calend 01'!E27&gt;0),(30&gt;'V06 Calend 01'!C27),(30&lt;'V06 Calend 01'!D27),(MOD((30-'V06 Calend 01'!C27),6)=0),(((30-'V06 Calend 01'!C27)/6)&lt;='V06 Calend 01'!E27)),IF((30=('V06 Calend 01'!C27+(6*'V06 Calend 01'!E27))),('V06 Calend 01'!H27-('V06 Calend 01'!I27*('V06 Calend 01'!E27-1))),'V06 Calend 01'!I27),0))+IF((30='V06 Calend 01'!D27),'V06 Calend 01'!J27,0))</f>
        <v>0</v>
      </c>
      <c r="AQ27" s="2">
        <f>((IF((31='V06 Calend 01'!C27),('V06 Calend 01'!F27+'V06 Calend 01'!G27),0)+IF(AND(('V06 Calend 01'!E27&gt;0),(31&gt;'V06 Calend 01'!C27),(31&lt;'V06 Calend 01'!D27),(MOD((31-'V06 Calend 01'!C27),6)=0),(((31-'V06 Calend 01'!C27)/6)&lt;='V06 Calend 01'!E27)),IF((31=('V06 Calend 01'!C27+(6*'V06 Calend 01'!E27))),('V06 Calend 01'!H27-('V06 Calend 01'!I27*('V06 Calend 01'!E27-1))),'V06 Calend 01'!I27),0))+IF((31='V06 Calend 01'!D27),'V06 Calend 01'!J27,0))</f>
        <v>0</v>
      </c>
      <c r="AR27" s="2">
        <f>((IF((32='V06 Calend 01'!C27),('V06 Calend 01'!F27+'V06 Calend 01'!G27),0)+IF(AND(('V06 Calend 01'!E27&gt;0),(32&gt;'V06 Calend 01'!C27),(32&lt;'V06 Calend 01'!D27),(MOD((32-'V06 Calend 01'!C27),6)=0),(((32-'V06 Calend 01'!C27)/6)&lt;='V06 Calend 01'!E27)),IF((32=('V06 Calend 01'!C27+(6*'V06 Calend 01'!E27))),('V06 Calend 01'!H27-('V06 Calend 01'!I27*('V06 Calend 01'!E27-1))),'V06 Calend 01'!I27),0))+IF((32='V06 Calend 01'!D27),'V06 Calend 01'!J27,0))</f>
        <v>0</v>
      </c>
      <c r="AS27" s="2">
        <f>((IF((33='V06 Calend 01'!C27),('V06 Calend 01'!F27+'V06 Calend 01'!G27),0)+IF(AND(('V06 Calend 01'!E27&gt;0),(33&gt;'V06 Calend 01'!C27),(33&lt;'V06 Calend 01'!D27),(MOD((33-'V06 Calend 01'!C27),6)=0),(((33-'V06 Calend 01'!C27)/6)&lt;='V06 Calend 01'!E27)),IF((33=('V06 Calend 01'!C27+(6*'V06 Calend 01'!E27))),('V06 Calend 01'!H27-('V06 Calend 01'!I27*('V06 Calend 01'!E27-1))),'V06 Calend 01'!I27),0))+IF((33='V06 Calend 01'!D27),'V06 Calend 01'!J27,0))</f>
        <v>0</v>
      </c>
      <c r="AT27" s="2">
        <f>((IF((34='V06 Calend 01'!C27),('V06 Calend 01'!F27+'V06 Calend 01'!G27),0)+IF(AND(('V06 Calend 01'!E27&gt;0),(34&gt;'V06 Calend 01'!C27),(34&lt;'V06 Calend 01'!D27),(MOD((34-'V06 Calend 01'!C27),6)=0),(((34-'V06 Calend 01'!C27)/6)&lt;='V06 Calend 01'!E27)),IF((34=('V06 Calend 01'!C27+(6*'V06 Calend 01'!E27))),('V06 Calend 01'!H27-('V06 Calend 01'!I27*('V06 Calend 01'!E27-1))),'V06 Calend 01'!I27),0))+IF((34='V06 Calend 01'!D27),'V06 Calend 01'!J27,0))</f>
        <v>0</v>
      </c>
      <c r="AU27" s="2">
        <f>((IF((35='V06 Calend 01'!C27),('V06 Calend 01'!F27+'V06 Calend 01'!G27),0)+IF(AND(('V06 Calend 01'!E27&gt;0),(35&gt;'V06 Calend 01'!C27),(35&lt;'V06 Calend 01'!D27),(MOD((35-'V06 Calend 01'!C27),6)=0),(((35-'V06 Calend 01'!C27)/6)&lt;='V06 Calend 01'!E27)),IF((35=('V06 Calend 01'!C27+(6*'V06 Calend 01'!E27))),('V06 Calend 01'!H27-('V06 Calend 01'!I27*('V06 Calend 01'!E27-1))),'V06 Calend 01'!I27),0))+IF((35='V06 Calend 01'!D27),'V06 Calend 01'!J27,0))</f>
        <v>0</v>
      </c>
      <c r="AV27" s="2">
        <f>((IF((36='V06 Calend 01'!C27),('V06 Calend 01'!F27+'V06 Calend 01'!G27),0)+IF(AND(('V06 Calend 01'!E27&gt;0),(36&gt;'V06 Calend 01'!C27),(36&lt;'V06 Calend 01'!D27),(MOD((36-'V06 Calend 01'!C27),6)=0),(((36-'V06 Calend 01'!C27)/6)&lt;='V06 Calend 01'!E27)),IF((36=('V06 Calend 01'!C27+(6*'V06 Calend 01'!E27))),('V06 Calend 01'!H27-('V06 Calend 01'!I27*('V06 Calend 01'!E27-1))),'V06 Calend 01'!I27),0))+IF((36='V06 Calend 01'!D27),'V06 Calend 01'!J27,0))</f>
        <v>0</v>
      </c>
      <c r="AW27" s="2">
        <f>((IF((37='V06 Calend 01'!C27),('V06 Calend 01'!F27+'V06 Calend 01'!G27),0)+IF(AND(('V06 Calend 01'!E27&gt;0),(37&gt;'V06 Calend 01'!C27),(37&lt;'V06 Calend 01'!D27),(MOD((37-'V06 Calend 01'!C27),6)=0),(((37-'V06 Calend 01'!C27)/6)&lt;='V06 Calend 01'!E27)),IF((37=('V06 Calend 01'!C27+(6*'V06 Calend 01'!E27))),('V06 Calend 01'!H27-('V06 Calend 01'!I27*('V06 Calend 01'!E27-1))),'V06 Calend 01'!I27),0))+IF((37='V06 Calend 01'!D27),'V06 Calend 01'!J27,0))</f>
        <v>0</v>
      </c>
      <c r="AX27" s="2">
        <f>((IF((38='V06 Calend 01'!C27),('V06 Calend 01'!F27+'V06 Calend 01'!G27),0)+IF(AND(('V06 Calend 01'!E27&gt;0),(38&gt;'V06 Calend 01'!C27),(38&lt;'V06 Calend 01'!D27),(MOD((38-'V06 Calend 01'!C27),6)=0),(((38-'V06 Calend 01'!C27)/6)&lt;='V06 Calend 01'!E27)),IF((38=('V06 Calend 01'!C27+(6*'V06 Calend 01'!E27))),('V06 Calend 01'!H27-('V06 Calend 01'!I27*('V06 Calend 01'!E27-1))),'V06 Calend 01'!I27),0))+IF((38='V06 Calend 01'!D27),'V06 Calend 01'!J27,0))</f>
        <v>0</v>
      </c>
      <c r="AY27" s="2">
        <f>((IF((39='V06 Calend 01'!C27),('V06 Calend 01'!F27+'V06 Calend 01'!G27),0)+IF(AND(('V06 Calend 01'!E27&gt;0),(39&gt;'V06 Calend 01'!C27),(39&lt;'V06 Calend 01'!D27),(MOD((39-'V06 Calend 01'!C27),6)=0),(((39-'V06 Calend 01'!C27)/6)&lt;='V06 Calend 01'!E27)),IF((39=('V06 Calend 01'!C27+(6*'V06 Calend 01'!E27))),('V06 Calend 01'!H27-('V06 Calend 01'!I27*('V06 Calend 01'!E27-1))),'V06 Calend 01'!I27),0))+IF((39='V06 Calend 01'!D27),'V06 Calend 01'!J27,0))</f>
        <v>0</v>
      </c>
      <c r="AZ27" s="2">
        <f>((IF((40='V06 Calend 01'!C27),('V06 Calend 01'!F27+'V06 Calend 01'!G27),0)+IF(AND(('V06 Calend 01'!E27&gt;0),(40&gt;'V06 Calend 01'!C27),(40&lt;'V06 Calend 01'!D27),(MOD((40-'V06 Calend 01'!C27),6)=0),(((40-'V06 Calend 01'!C27)/6)&lt;='V06 Calend 01'!E27)),IF((40=('V06 Calend 01'!C27+(6*'V06 Calend 01'!E27))),('V06 Calend 01'!H27-('V06 Calend 01'!I27*('V06 Calend 01'!E27-1))),'V06 Calend 01'!I27),0))+IF((40='V06 Calend 01'!D27),'V06 Calend 01'!J27,0))</f>
        <v>0</v>
      </c>
      <c r="BA27" s="2">
        <f>((IF((41='V06 Calend 01'!C27),('V06 Calend 01'!F27+'V06 Calend 01'!G27),0)+IF(AND(('V06 Calend 01'!E27&gt;0),(41&gt;'V06 Calend 01'!C27),(41&lt;'V06 Calend 01'!D27),(MOD((41-'V06 Calend 01'!C27),6)=0),(((41-'V06 Calend 01'!C27)/6)&lt;='V06 Calend 01'!E27)),IF((41=('V06 Calend 01'!C27+(6*'V06 Calend 01'!E27))),('V06 Calend 01'!H27-('V06 Calend 01'!I27*('V06 Calend 01'!E27-1))),'V06 Calend 01'!I27),0))+IF((41='V06 Calend 01'!D27),'V06 Calend 01'!J27,0))</f>
        <v>0</v>
      </c>
      <c r="BB27" s="2">
        <f>((IF((42='V06 Calend 01'!C27),('V06 Calend 01'!F27+'V06 Calend 01'!G27),0)+IF(AND(('V06 Calend 01'!E27&gt;0),(42&gt;'V06 Calend 01'!C27),(42&lt;'V06 Calend 01'!D27),(MOD((42-'V06 Calend 01'!C27),6)=0),(((42-'V06 Calend 01'!C27)/6)&lt;='V06 Calend 01'!E27)),IF((42=('V06 Calend 01'!C27+(6*'V06 Calend 01'!E27))),('V06 Calend 01'!H27-('V06 Calend 01'!I27*('V06 Calend 01'!E27-1))),'V06 Calend 01'!I27),0))+IF((42='V06 Calend 01'!D27),'V06 Calend 01'!J27,0))</f>
        <v>0</v>
      </c>
      <c r="BC27" s="2">
        <f>((IF((43='V06 Calend 01'!C27),('V06 Calend 01'!F27+'V06 Calend 01'!G27),0)+IF(AND(('V06 Calend 01'!E27&gt;0),(43&gt;'V06 Calend 01'!C27),(43&lt;'V06 Calend 01'!D27),(MOD((43-'V06 Calend 01'!C27),6)=0),(((43-'V06 Calend 01'!C27)/6)&lt;='V06 Calend 01'!E27)),IF((43=('V06 Calend 01'!C27+(6*'V06 Calend 01'!E27))),('V06 Calend 01'!H27-('V06 Calend 01'!I27*('V06 Calend 01'!E27-1))),'V06 Calend 01'!I27),0))+IF((43='V06 Calend 01'!D27),'V06 Calend 01'!J27,0))</f>
        <v>0</v>
      </c>
      <c r="BD27" s="2">
        <f>((IF((44='V06 Calend 01'!C27),('V06 Calend 01'!F27+'V06 Calend 01'!G27),0)+IF(AND(('V06 Calend 01'!E27&gt;0),(44&gt;'V06 Calend 01'!C27),(44&lt;'V06 Calend 01'!D27),(MOD((44-'V06 Calend 01'!C27),6)=0),(((44-'V06 Calend 01'!C27)/6)&lt;='V06 Calend 01'!E27)),IF((44=('V06 Calend 01'!C27+(6*'V06 Calend 01'!E27))),('V06 Calend 01'!H27-('V06 Calend 01'!I27*('V06 Calend 01'!E27-1))),'V06 Calend 01'!I27),0))+IF((44='V06 Calend 01'!D27),'V06 Calend 01'!J27,0))</f>
        <v>0</v>
      </c>
      <c r="BE27" s="2">
        <f>((IF((45='V06 Calend 01'!C27),('V06 Calend 01'!F27+'V06 Calend 01'!G27),0)+IF(AND(('V06 Calend 01'!E27&gt;0),(45&gt;'V06 Calend 01'!C27),(45&lt;'V06 Calend 01'!D27),(MOD((45-'V06 Calend 01'!C27),6)=0),(((45-'V06 Calend 01'!C27)/6)&lt;='V06 Calend 01'!E27)),IF((45=('V06 Calend 01'!C27+(6*'V06 Calend 01'!E27))),('V06 Calend 01'!H27-('V06 Calend 01'!I27*('V06 Calend 01'!E27-1))),'V06 Calend 01'!I27),0))+IF((45='V06 Calend 01'!D27),'V06 Calend 01'!J27,0))</f>
        <v>0</v>
      </c>
      <c r="BF27" s="2">
        <f>((IF((46='V06 Calend 01'!C27),('V06 Calend 01'!F27+'V06 Calend 01'!G27),0)+IF(AND(('V06 Calend 01'!E27&gt;0),(46&gt;'V06 Calend 01'!C27),(46&lt;'V06 Calend 01'!D27),(MOD((46-'V06 Calend 01'!C27),6)=0),(((46-'V06 Calend 01'!C27)/6)&lt;='V06 Calend 01'!E27)),IF((46=('V06 Calend 01'!C27+(6*'V06 Calend 01'!E27))),('V06 Calend 01'!H27-('V06 Calend 01'!I27*('V06 Calend 01'!E27-1))),'V06 Calend 01'!I27),0))+IF((46='V06 Calend 01'!D27),'V06 Calend 01'!J27,0))</f>
        <v>0</v>
      </c>
      <c r="BG27" s="2">
        <f>((IF((47='V06 Calend 01'!C27),('V06 Calend 01'!F27+'V06 Calend 01'!G27),0)+IF(AND(('V06 Calend 01'!E27&gt;0),(47&gt;'V06 Calend 01'!C27),(47&lt;'V06 Calend 01'!D27),(MOD((47-'V06 Calend 01'!C27),6)=0),(((47-'V06 Calend 01'!C27)/6)&lt;='V06 Calend 01'!E27)),IF((47=('V06 Calend 01'!C27+(6*'V06 Calend 01'!E27))),('V06 Calend 01'!H27-('V06 Calend 01'!I27*('V06 Calend 01'!E27-1))),'V06 Calend 01'!I27),0))+IF((47='V06 Calend 01'!D27),'V06 Calend 01'!J27,0))</f>
        <v>0</v>
      </c>
      <c r="BH27" s="2">
        <f>((IF((48='V06 Calend 01'!C27),('V06 Calend 01'!F27+'V06 Calend 01'!G27),0)+IF(AND(('V06 Calend 01'!E27&gt;0),(48&gt;'V06 Calend 01'!C27),(48&lt;'V06 Calend 01'!D27),(MOD((48-'V06 Calend 01'!C27),6)=0),(((48-'V06 Calend 01'!C27)/6)&lt;='V06 Calend 01'!E27)),IF((48=('V06 Calend 01'!C27+(6*'V06 Calend 01'!E27))),('V06 Calend 01'!H27-('V06 Calend 01'!I27*('V06 Calend 01'!E27-1))),'V06 Calend 01'!I27),0))+IF((48='V06 Calend 01'!D27),'V06 Calend 01'!J27,0))</f>
        <v>0</v>
      </c>
      <c r="BI27" s="2">
        <f>((IF((49='V06 Calend 01'!C27),('V06 Calend 01'!F27+'V06 Calend 01'!G27),0)+IF(AND(('V06 Calend 01'!E27&gt;0),(49&gt;'V06 Calend 01'!C27),(49&lt;'V06 Calend 01'!D27),(MOD((49-'V06 Calend 01'!C27),6)=0),(((49-'V06 Calend 01'!C27)/6)&lt;='V06 Calend 01'!E27)),IF((49=('V06 Calend 01'!C27+(6*'V06 Calend 01'!E27))),('V06 Calend 01'!H27-('V06 Calend 01'!I27*('V06 Calend 01'!E27-1))),'V06 Calend 01'!I27),0))+IF((49='V06 Calend 01'!D27),'V06 Calend 01'!J27,0))</f>
        <v>0</v>
      </c>
      <c r="BJ27" s="2">
        <f>((IF((50='V06 Calend 01'!C27),('V06 Calend 01'!F27+'V06 Calend 01'!G27),0)+IF(AND(('V06 Calend 01'!E27&gt;0),(50&gt;'V06 Calend 01'!C27),(50&lt;'V06 Calend 01'!D27),(MOD((50-'V06 Calend 01'!C27),6)=0),(((50-'V06 Calend 01'!C27)/6)&lt;='V06 Calend 01'!E27)),IF((50=('V06 Calend 01'!C27+(6*'V06 Calend 01'!E27))),('V06 Calend 01'!H27-('V06 Calend 01'!I27*('V06 Calend 01'!E27-1))),'V06 Calend 01'!I27),0))+IF((50='V06 Calend 01'!D27),'V06 Calend 01'!J27,0))</f>
        <v>0</v>
      </c>
      <c r="BK27" s="2">
        <f>((IF((51='V06 Calend 01'!C27),('V06 Calend 01'!F27+'V06 Calend 01'!G27),0)+IF(AND(('V06 Calend 01'!E27&gt;0),(51&gt;'V06 Calend 01'!C27),(51&lt;'V06 Calend 01'!D27),(MOD((51-'V06 Calend 01'!C27),6)=0),(((51-'V06 Calend 01'!C27)/6)&lt;='V06 Calend 01'!E27)),IF((51=('V06 Calend 01'!C27+(6*'V06 Calend 01'!E27))),('V06 Calend 01'!H27-('V06 Calend 01'!I27*('V06 Calend 01'!E27-1))),'V06 Calend 01'!I27),0))+IF((51='V06 Calend 01'!D27),'V06 Calend 01'!J27,0))</f>
        <v>0</v>
      </c>
      <c r="BL27" s="2">
        <f>((IF((52='V06 Calend 01'!C27),('V06 Calend 01'!F27+'V06 Calend 01'!G27),0)+IF(AND(('V06 Calend 01'!E27&gt;0),(52&gt;'V06 Calend 01'!C27),(52&lt;'V06 Calend 01'!D27),(MOD((52-'V06 Calend 01'!C27),6)=0),(((52-'V06 Calend 01'!C27)/6)&lt;='V06 Calend 01'!E27)),IF((52=('V06 Calend 01'!C27+(6*'V06 Calend 01'!E27))),('V06 Calend 01'!H27-('V06 Calend 01'!I27*('V06 Calend 01'!E27-1))),'V06 Calend 01'!I27),0))+IF((52='V06 Calend 01'!D27),'V06 Calend 01'!J27,0))</f>
        <v>0</v>
      </c>
      <c r="BM27" s="2">
        <f>((IF((53='V06 Calend 01'!C27),('V06 Calend 01'!F27+'V06 Calend 01'!G27),0)+IF(AND(('V06 Calend 01'!E27&gt;0),(53&gt;'V06 Calend 01'!C27),(53&lt;'V06 Calend 01'!D27),(MOD((53-'V06 Calend 01'!C27),6)=0),(((53-'V06 Calend 01'!C27)/6)&lt;='V06 Calend 01'!E27)),IF((53=('V06 Calend 01'!C27+(6*'V06 Calend 01'!E27))),('V06 Calend 01'!H27-('V06 Calend 01'!I27*('V06 Calend 01'!E27-1))),'V06 Calend 01'!I27),0))+IF((53='V06 Calend 01'!D27),'V06 Calend 01'!J27,0))</f>
        <v>0</v>
      </c>
      <c r="BN27" s="2">
        <f>((IF((54='V06 Calend 01'!C27),('V06 Calend 01'!F27+'V06 Calend 01'!G27),0)+IF(AND(('V06 Calend 01'!E27&gt;0),(54&gt;'V06 Calend 01'!C27),(54&lt;'V06 Calend 01'!D27),(MOD((54-'V06 Calend 01'!C27),6)=0),(((54-'V06 Calend 01'!C27)/6)&lt;='V06 Calend 01'!E27)),IF((54=('V06 Calend 01'!C27+(6*'V06 Calend 01'!E27))),('V06 Calend 01'!H27-('V06 Calend 01'!I27*('V06 Calend 01'!E27-1))),'V06 Calend 01'!I27),0))+IF((54='V06 Calend 01'!D27),'V06 Calend 01'!J27,0))</f>
        <v>0</v>
      </c>
      <c r="BO27" s="2">
        <f>((IF((55='V06 Calend 01'!C27),('V06 Calend 01'!F27+'V06 Calend 01'!G27),0)+IF(AND(('V06 Calend 01'!E27&gt;0),(55&gt;'V06 Calend 01'!C27),(55&lt;'V06 Calend 01'!D27),(MOD((55-'V06 Calend 01'!C27),6)=0),(((55-'V06 Calend 01'!C27)/6)&lt;='V06 Calend 01'!E27)),IF((55=('V06 Calend 01'!C27+(6*'V06 Calend 01'!E27))),('V06 Calend 01'!H27-('V06 Calend 01'!I27*('V06 Calend 01'!E27-1))),'V06 Calend 01'!I27),0))+IF((55='V06 Calend 01'!D27),'V06 Calend 01'!J27,0))</f>
        <v>0</v>
      </c>
      <c r="BP27" s="2">
        <f>((IF((56='V06 Calend 01'!C27),('V06 Calend 01'!F27+'V06 Calend 01'!G27),0)+IF(AND(('V06 Calend 01'!E27&gt;0),(56&gt;'V06 Calend 01'!C27),(56&lt;'V06 Calend 01'!D27),(MOD((56-'V06 Calend 01'!C27),6)=0),(((56-'V06 Calend 01'!C27)/6)&lt;='V06 Calend 01'!E27)),IF((56=('V06 Calend 01'!C27+(6*'V06 Calend 01'!E27))),('V06 Calend 01'!H27-('V06 Calend 01'!I27*('V06 Calend 01'!E27-1))),'V06 Calend 01'!I27),0))+IF((56='V06 Calend 01'!D27),'V06 Calend 01'!J27,0))</f>
        <v>0</v>
      </c>
      <c r="BQ27" s="2">
        <f>((IF((57='V06 Calend 01'!C27),('V06 Calend 01'!F27+'V06 Calend 01'!G27),0)+IF(AND(('V06 Calend 01'!E27&gt;0),(57&gt;'V06 Calend 01'!C27),(57&lt;'V06 Calend 01'!D27),(MOD((57-'V06 Calend 01'!C27),6)=0),(((57-'V06 Calend 01'!C27)/6)&lt;='V06 Calend 01'!E27)),IF((57=('V06 Calend 01'!C27+(6*'V06 Calend 01'!E27))),('V06 Calend 01'!H27-('V06 Calend 01'!I27*('V06 Calend 01'!E27-1))),'V06 Calend 01'!I27),0))+IF((57='V06 Calend 01'!D27),'V06 Calend 01'!J27,0))</f>
        <v>0</v>
      </c>
      <c r="BR27" s="2">
        <f>((IF((58='V06 Calend 01'!C27),('V06 Calend 01'!F27+'V06 Calend 01'!G27),0)+IF(AND(('V06 Calend 01'!E27&gt;0),(58&gt;'V06 Calend 01'!C27),(58&lt;'V06 Calend 01'!D27),(MOD((58-'V06 Calend 01'!C27),6)=0),(((58-'V06 Calend 01'!C27)/6)&lt;='V06 Calend 01'!E27)),IF((58=('V06 Calend 01'!C27+(6*'V06 Calend 01'!E27))),('V06 Calend 01'!H27-('V06 Calend 01'!I27*('V06 Calend 01'!E27-1))),'V06 Calend 01'!I27),0))+IF((58='V06 Calend 01'!D27),'V06 Calend 01'!J27,0))</f>
        <v>0</v>
      </c>
      <c r="BS27" s="2">
        <f>((IF((59='V06 Calend 01'!C27),('V06 Calend 01'!F27+'V06 Calend 01'!G27),0)+IF(AND(('V06 Calend 01'!E27&gt;0),(59&gt;'V06 Calend 01'!C27),(59&lt;'V06 Calend 01'!D27),(MOD((59-'V06 Calend 01'!C27),6)=0),(((59-'V06 Calend 01'!C27)/6)&lt;='V06 Calend 01'!E27)),IF((59=('V06 Calend 01'!C27+(6*'V06 Calend 01'!E27))),('V06 Calend 01'!H27-('V06 Calend 01'!I27*('V06 Calend 01'!E27-1))),'V06 Calend 01'!I27),0))+IF((59='V06 Calend 01'!D27),'V06 Calend 01'!J27,0))</f>
        <v>0</v>
      </c>
      <c r="BT27" s="2">
        <f>((IF((60='V06 Calend 01'!C27),('V06 Calend 01'!F27+'V06 Calend 01'!G27),0)+IF(AND(('V06 Calend 01'!E27&gt;0),(60&gt;'V06 Calend 01'!C27),(60&lt;'V06 Calend 01'!D27),(MOD((60-'V06 Calend 01'!C27),6)=0),(((60-'V06 Calend 01'!C27)/6)&lt;='V06 Calend 01'!E27)),IF((60=('V06 Calend 01'!C27+(6*'V06 Calend 01'!E27))),('V06 Calend 01'!H27-('V06 Calend 01'!I27*('V06 Calend 01'!E27-1))),'V06 Calend 01'!I27),0))+IF((60='V06 Calend 01'!D27),'V06 Calend 01'!J27,0))</f>
        <v>0</v>
      </c>
      <c r="BU27" s="2">
        <f>((IF((61='V06 Calend 01'!C27),('V06 Calend 01'!F27+'V06 Calend 01'!G27),0)+IF(AND(('V06 Calend 01'!E27&gt;0),(61&gt;'V06 Calend 01'!C27),(61&lt;'V06 Calend 01'!D27),(MOD((61-'V06 Calend 01'!C27),6)=0),(((61-'V06 Calend 01'!C27)/6)&lt;='V06 Calend 01'!E27)),IF((61=('V06 Calend 01'!C27+(6*'V06 Calend 01'!E27))),('V06 Calend 01'!H27-('V06 Calend 01'!I27*('V06 Calend 01'!E27-1))),'V06 Calend 01'!I27),0))+IF((61='V06 Calend 01'!D27),'V06 Calend 01'!J27,0))</f>
        <v>0</v>
      </c>
      <c r="BV27" s="2">
        <f>((IF((62='V06 Calend 01'!C27),('V06 Calend 01'!F27+'V06 Calend 01'!G27),0)+IF(AND(('V06 Calend 01'!E27&gt;0),(62&gt;'V06 Calend 01'!C27),(62&lt;'V06 Calend 01'!D27),(MOD((62-'V06 Calend 01'!C27),6)=0),(((62-'V06 Calend 01'!C27)/6)&lt;='V06 Calend 01'!E27)),IF((62=('V06 Calend 01'!C27+(6*'V06 Calend 01'!E27))),('V06 Calend 01'!H27-('V06 Calend 01'!I27*('V06 Calend 01'!E27-1))),'V06 Calend 01'!I27),0))+IF((62='V06 Calend 01'!D27),'V06 Calend 01'!J27,0))</f>
        <v>0</v>
      </c>
      <c r="BW27" s="2">
        <f>((IF((63='V06 Calend 01'!C27),('V06 Calend 01'!F27+'V06 Calend 01'!G27),0)+IF(AND(('V06 Calend 01'!E27&gt;0),(63&gt;'V06 Calend 01'!C27),(63&lt;'V06 Calend 01'!D27),(MOD((63-'V06 Calend 01'!C27),6)=0),(((63-'V06 Calend 01'!C27)/6)&lt;='V06 Calend 01'!E27)),IF((63=('V06 Calend 01'!C27+(6*'V06 Calend 01'!E27))),('V06 Calend 01'!H27-('V06 Calend 01'!I27*('V06 Calend 01'!E27-1))),'V06 Calend 01'!I27),0))+IF((63='V06 Calend 01'!D27),'V06 Calend 01'!J27,0))</f>
        <v>0</v>
      </c>
      <c r="BX27" s="2">
        <f>((IF((64='V06 Calend 01'!C27),('V06 Calend 01'!F27+'V06 Calend 01'!G27),0)+IF(AND(('V06 Calend 01'!E27&gt;0),(64&gt;'V06 Calend 01'!C27),(64&lt;'V06 Calend 01'!D27),(MOD((64-'V06 Calend 01'!C27),6)=0),(((64-'V06 Calend 01'!C27)/6)&lt;='V06 Calend 01'!E27)),IF((64=('V06 Calend 01'!C27+(6*'V06 Calend 01'!E27))),('V06 Calend 01'!H27-('V06 Calend 01'!I27*('V06 Calend 01'!E27-1))),'V06 Calend 01'!I27),0))+IF((64='V06 Calend 01'!D27),'V06 Calend 01'!J27,0))</f>
        <v>0</v>
      </c>
      <c r="BY27" s="2">
        <f>((IF((65='V06 Calend 01'!C27),('V06 Calend 01'!F27+'V06 Calend 01'!G27),0)+IF(AND(('V06 Calend 01'!E27&gt;0),(65&gt;'V06 Calend 01'!C27),(65&lt;'V06 Calend 01'!D27),(MOD((65-'V06 Calend 01'!C27),6)=0),(((65-'V06 Calend 01'!C27)/6)&lt;='V06 Calend 01'!E27)),IF((65=('V06 Calend 01'!C27+(6*'V06 Calend 01'!E27))),('V06 Calend 01'!H27-('V06 Calend 01'!I27*('V06 Calend 01'!E27-1))),'V06 Calend 01'!I27),0))+IF((65='V06 Calend 01'!D27),'V06 Calend 01'!J27,0))</f>
        <v>0</v>
      </c>
      <c r="BZ27" s="2">
        <f>((IF((66='V06 Calend 01'!C27),('V06 Calend 01'!F27+'V06 Calend 01'!G27),0)+IF(AND(('V06 Calend 01'!E27&gt;0),(66&gt;'V06 Calend 01'!C27),(66&lt;'V06 Calend 01'!D27),(MOD((66-'V06 Calend 01'!C27),6)=0),(((66-'V06 Calend 01'!C27)/6)&lt;='V06 Calend 01'!E27)),IF((66=('V06 Calend 01'!C27+(6*'V06 Calend 01'!E27))),('V06 Calend 01'!H27-('V06 Calend 01'!I27*('V06 Calend 01'!E27-1))),'V06 Calend 01'!I27),0))+IF((66='V06 Calend 01'!D27),'V06 Calend 01'!J27,0))</f>
        <v>0</v>
      </c>
      <c r="CA27" s="2">
        <f>((IF((67='V06 Calend 01'!C27),('V06 Calend 01'!F27+'V06 Calend 01'!G27),0)+IF(AND(('V06 Calend 01'!E27&gt;0),(67&gt;'V06 Calend 01'!C27),(67&lt;'V06 Calend 01'!D27),(MOD((67-'V06 Calend 01'!C27),6)=0),(((67-'V06 Calend 01'!C27)/6)&lt;='V06 Calend 01'!E27)),IF((67=('V06 Calend 01'!C27+(6*'V06 Calend 01'!E27))),('V06 Calend 01'!H27-('V06 Calend 01'!I27*('V06 Calend 01'!E27-1))),'V06 Calend 01'!I27),0))+IF((67='V06 Calend 01'!D27),'V06 Calend 01'!J27,0))</f>
        <v>0</v>
      </c>
      <c r="CB27" s="2">
        <f>((IF((68='V06 Calend 01'!C27),('V06 Calend 01'!F27+'V06 Calend 01'!G27),0)+IF(AND(('V06 Calend 01'!E27&gt;0),(68&gt;'V06 Calend 01'!C27),(68&lt;'V06 Calend 01'!D27),(MOD((68-'V06 Calend 01'!C27),6)=0),(((68-'V06 Calend 01'!C27)/6)&lt;='V06 Calend 01'!E27)),IF((68=('V06 Calend 01'!C27+(6*'V06 Calend 01'!E27))),('V06 Calend 01'!H27-('V06 Calend 01'!I27*('V06 Calend 01'!E27-1))),'V06 Calend 01'!I27),0))+IF((68='V06 Calend 01'!D27),'V06 Calend 01'!J27,0))</f>
        <v>0</v>
      </c>
      <c r="CC27" s="2">
        <f>((IF((69='V06 Calend 01'!C27),('V06 Calend 01'!F27+'V06 Calend 01'!G27),0)+IF(AND(('V06 Calend 01'!E27&gt;0),(69&gt;'V06 Calend 01'!C27),(69&lt;'V06 Calend 01'!D27),(MOD((69-'V06 Calend 01'!C27),6)=0),(((69-'V06 Calend 01'!C27)/6)&lt;='V06 Calend 01'!E27)),IF((69=('V06 Calend 01'!C27+(6*'V06 Calend 01'!E27))),('V06 Calend 01'!H27-('V06 Calend 01'!I27*('V06 Calend 01'!E27-1))),'V06 Calend 01'!I27),0))+IF((69='V06 Calend 01'!D27),'V06 Calend 01'!J27,0))</f>
        <v>0</v>
      </c>
      <c r="CD27" s="2">
        <f>((IF((70='V06 Calend 01'!C27),('V06 Calend 01'!F27+'V06 Calend 01'!G27),0)+IF(AND(('V06 Calend 01'!E27&gt;0),(70&gt;'V06 Calend 01'!C27),(70&lt;'V06 Calend 01'!D27),(MOD((70-'V06 Calend 01'!C27),6)=0),(((70-'V06 Calend 01'!C27)/6)&lt;='V06 Calend 01'!E27)),IF((70=('V06 Calend 01'!C27+(6*'V06 Calend 01'!E27))),('V06 Calend 01'!H27-('V06 Calend 01'!I27*('V06 Calend 01'!E27-1))),'V06 Calend 01'!I27),0))+IF((70='V06 Calend 01'!D27),'V06 Calend 01'!J27,0))</f>
        <v>0</v>
      </c>
      <c r="CE27" s="2">
        <f>((IF((71='V06 Calend 01'!C27),('V06 Calend 01'!F27+'V06 Calend 01'!G27),0)+IF(AND(('V06 Calend 01'!E27&gt;0),(71&gt;'V06 Calend 01'!C27),(71&lt;'V06 Calend 01'!D27),(MOD((71-'V06 Calend 01'!C27),6)=0),(((71-'V06 Calend 01'!C27)/6)&lt;='V06 Calend 01'!E27)),IF((71=('V06 Calend 01'!C27+(6*'V06 Calend 01'!E27))),('V06 Calend 01'!H27-('V06 Calend 01'!I27*('V06 Calend 01'!E27-1))),'V06 Calend 01'!I27),0))+IF((71='V06 Calend 01'!D27),'V06 Calend 01'!J27,0))</f>
        <v>0</v>
      </c>
      <c r="CF27" s="2">
        <f>((IF((72='V06 Calend 01'!C27),('V06 Calend 01'!F27+'V06 Calend 01'!G27),0)+IF(AND(('V06 Calend 01'!E27&gt;0),(72&gt;'V06 Calend 01'!C27),(72&lt;'V06 Calend 01'!D27),(MOD((72-'V06 Calend 01'!C27),6)=0),(((72-'V06 Calend 01'!C27)/6)&lt;='V06 Calend 01'!E27)),IF((72=('V06 Calend 01'!C27+(6*'V06 Calend 01'!E27))),('V06 Calend 01'!H27-('V06 Calend 01'!I27*('V06 Calend 01'!E27-1))),'V06 Calend 01'!I27),0))+IF((72='V06 Calend 01'!D27),'V06 Calend 01'!J27,0))</f>
        <v>0</v>
      </c>
      <c r="CG27" s="2">
        <f>((IF((73='V06 Calend 01'!C27),('V06 Calend 01'!F27+'V06 Calend 01'!G27),0)+IF(AND(('V06 Calend 01'!E27&gt;0),(73&gt;'V06 Calend 01'!C27),(73&lt;'V06 Calend 01'!D27),(MOD((73-'V06 Calend 01'!C27),6)=0),(((73-'V06 Calend 01'!C27)/6)&lt;='V06 Calend 01'!E27)),IF((73=('V06 Calend 01'!C27+(6*'V06 Calend 01'!E27))),('V06 Calend 01'!H27-('V06 Calend 01'!I27*('V06 Calend 01'!E27-1))),'V06 Calend 01'!I27),0))+IF((73='V06 Calend 01'!D27),'V06 Calend 01'!J27,0))</f>
        <v>0</v>
      </c>
      <c r="CH27" s="2">
        <f>((IF((74='V06 Calend 01'!C27),('V06 Calend 01'!F27+'V06 Calend 01'!G27),0)+IF(AND(('V06 Calend 01'!E27&gt;0),(74&gt;'V06 Calend 01'!C27),(74&lt;'V06 Calend 01'!D27),(MOD((74-'V06 Calend 01'!C27),6)=0),(((74-'V06 Calend 01'!C27)/6)&lt;='V06 Calend 01'!E27)),IF((74=('V06 Calend 01'!C27+(6*'V06 Calend 01'!E27))),('V06 Calend 01'!H27-('V06 Calend 01'!I27*('V06 Calend 01'!E27-1))),'V06 Calend 01'!I27),0))+IF((74='V06 Calend 01'!D27),'V06 Calend 01'!J27,0))</f>
        <v>0</v>
      </c>
      <c r="CI27" s="2">
        <f>((IF((75='V06 Calend 01'!C27),('V06 Calend 01'!F27+'V06 Calend 01'!G27),0)+IF(AND(('V06 Calend 01'!E27&gt;0),(75&gt;'V06 Calend 01'!C27),(75&lt;'V06 Calend 01'!D27),(MOD((75-'V06 Calend 01'!C27),6)=0),(((75-'V06 Calend 01'!C27)/6)&lt;='V06 Calend 01'!E27)),IF((75=('V06 Calend 01'!C27+(6*'V06 Calend 01'!E27))),('V06 Calend 01'!H27-('V06 Calend 01'!I27*('V06 Calend 01'!E27-1))),'V06 Calend 01'!I27),0))+IF((75='V06 Calend 01'!D27),'V06 Calend 01'!J27,0))</f>
        <v>0</v>
      </c>
      <c r="CJ27" s="2">
        <f>((IF((76='V06 Calend 01'!C27),('V06 Calend 01'!F27+'V06 Calend 01'!G27),0)+IF(AND(('V06 Calend 01'!E27&gt;0),(76&gt;'V06 Calend 01'!C27),(76&lt;'V06 Calend 01'!D27),(MOD((76-'V06 Calend 01'!C27),6)=0),(((76-'V06 Calend 01'!C27)/6)&lt;='V06 Calend 01'!E27)),IF((76=('V06 Calend 01'!C27+(6*'V06 Calend 01'!E27))),('V06 Calend 01'!H27-('V06 Calend 01'!I27*('V06 Calend 01'!E27-1))),'V06 Calend 01'!I27),0))+IF((76='V06 Calend 01'!D27),'V06 Calend 01'!J27,0))</f>
        <v>0</v>
      </c>
      <c r="CK27" s="2">
        <f>((IF((77='V06 Calend 01'!C27),('V06 Calend 01'!F27+'V06 Calend 01'!G27),0)+IF(AND(('V06 Calend 01'!E27&gt;0),(77&gt;'V06 Calend 01'!C27),(77&lt;'V06 Calend 01'!D27),(MOD((77-'V06 Calend 01'!C27),6)=0),(((77-'V06 Calend 01'!C27)/6)&lt;='V06 Calend 01'!E27)),IF((77=('V06 Calend 01'!C27+(6*'V06 Calend 01'!E27))),('V06 Calend 01'!H27-('V06 Calend 01'!I27*('V06 Calend 01'!E27-1))),'V06 Calend 01'!I27),0))+IF((77='V06 Calend 01'!D27),'V06 Calend 01'!J27,0))</f>
        <v>0</v>
      </c>
      <c r="CL27" s="2">
        <f>((IF((78='V06 Calend 01'!C27),('V06 Calend 01'!F27+'V06 Calend 01'!G27),0)+IF(AND(('V06 Calend 01'!E27&gt;0),(78&gt;'V06 Calend 01'!C27),(78&lt;'V06 Calend 01'!D27),(MOD((78-'V06 Calend 01'!C27),6)=0),(((78-'V06 Calend 01'!C27)/6)&lt;='V06 Calend 01'!E27)),IF((78=('V06 Calend 01'!C27+(6*'V06 Calend 01'!E27))),('V06 Calend 01'!H27-('V06 Calend 01'!I27*('V06 Calend 01'!E27-1))),'V06 Calend 01'!I27),0))+IF((78='V06 Calend 01'!D27),'V06 Calend 01'!J27,0))</f>
        <v>0</v>
      </c>
      <c r="CM27" s="2">
        <f>((IF((79='V06 Calend 01'!C27),('V06 Calend 01'!F27+'V06 Calend 01'!G27),0)+IF(AND(('V06 Calend 01'!E27&gt;0),(79&gt;'V06 Calend 01'!C27),(79&lt;'V06 Calend 01'!D27),(MOD((79-'V06 Calend 01'!C27),6)=0),(((79-'V06 Calend 01'!C27)/6)&lt;='V06 Calend 01'!E27)),IF((79=('V06 Calend 01'!C27+(6*'V06 Calend 01'!E27))),('V06 Calend 01'!H27-('V06 Calend 01'!I27*('V06 Calend 01'!E27-1))),'V06 Calend 01'!I27),0))+IF((79='V06 Calend 01'!D27),'V06 Calend 01'!J27,0))</f>
        <v>0</v>
      </c>
      <c r="CN27" s="2">
        <f>((IF((80='V06 Calend 01'!C27),('V06 Calend 01'!F27+'V06 Calend 01'!G27),0)+IF(AND(('V06 Calend 01'!E27&gt;0),(80&gt;'V06 Calend 01'!C27),(80&lt;'V06 Calend 01'!D27),(MOD((80-'V06 Calend 01'!C27),6)=0),(((80-'V06 Calend 01'!C27)/6)&lt;='V06 Calend 01'!E27)),IF((80=('V06 Calend 01'!C27+(6*'V06 Calend 01'!E27))),('V06 Calend 01'!H27-('V06 Calend 01'!I27*('V06 Calend 01'!E27-1))),'V06 Calend 01'!I27),0))+IF((80='V06 Calend 01'!D27),'V06 Calend 01'!J27,0))</f>
        <v>0</v>
      </c>
      <c r="CO27" s="2">
        <f>((IF((81='V06 Calend 01'!C27),('V06 Calend 01'!F27+'V06 Calend 01'!G27),0)+IF(AND(('V06 Calend 01'!E27&gt;0),(81&gt;'V06 Calend 01'!C27),(81&lt;'V06 Calend 01'!D27),(MOD((81-'V06 Calend 01'!C27),6)=0),(((81-'V06 Calend 01'!C27)/6)&lt;='V06 Calend 01'!E27)),IF((81=('V06 Calend 01'!C27+(6*'V06 Calend 01'!E27))),('V06 Calend 01'!H27-('V06 Calend 01'!I27*('V06 Calend 01'!E27-1))),'V06 Calend 01'!I27),0))+IF((81='V06 Calend 01'!D27),'V06 Calend 01'!J27,0))</f>
        <v>0</v>
      </c>
      <c r="CP27" s="2">
        <f>((IF((82='V06 Calend 01'!C27),('V06 Calend 01'!F27+'V06 Calend 01'!G27),0)+IF(AND(('V06 Calend 01'!E27&gt;0),(82&gt;'V06 Calend 01'!C27),(82&lt;'V06 Calend 01'!D27),(MOD((82-'V06 Calend 01'!C27),6)=0),(((82-'V06 Calend 01'!C27)/6)&lt;='V06 Calend 01'!E27)),IF((82=('V06 Calend 01'!C27+(6*'V06 Calend 01'!E27))),('V06 Calend 01'!H27-('V06 Calend 01'!I27*('V06 Calend 01'!E27-1))),'V06 Calend 01'!I27),0))+IF((82='V06 Calend 01'!D27),'V06 Calend 01'!J27,0))</f>
        <v>0</v>
      </c>
      <c r="CQ27" s="2">
        <f>((IF((83='V06 Calend 01'!C27),('V06 Calend 01'!F27+'V06 Calend 01'!G27),0)+IF(AND(('V06 Calend 01'!E27&gt;0),(83&gt;'V06 Calend 01'!C27),(83&lt;'V06 Calend 01'!D27),(MOD((83-'V06 Calend 01'!C27),6)=0),(((83-'V06 Calend 01'!C27)/6)&lt;='V06 Calend 01'!E27)),IF((83=('V06 Calend 01'!C27+(6*'V06 Calend 01'!E27))),('V06 Calend 01'!H27-('V06 Calend 01'!I27*('V06 Calend 01'!E27-1))),'V06 Calend 01'!I27),0))+IF((83='V06 Calend 01'!D27),'V06 Calend 01'!J27,0))</f>
        <v>0</v>
      </c>
      <c r="CR27" s="2">
        <f>((IF((84='V06 Calend 01'!C27),('V06 Calend 01'!F27+'V06 Calend 01'!G27),0)+IF(AND(('V06 Calend 01'!E27&gt;0),(84&gt;'V06 Calend 01'!C27),(84&lt;'V06 Calend 01'!D27),(MOD((84-'V06 Calend 01'!C27),6)=0),(((84-'V06 Calend 01'!C27)/6)&lt;='V06 Calend 01'!E27)),IF((84=('V06 Calend 01'!C27+(6*'V06 Calend 01'!E27))),('V06 Calend 01'!H27-('V06 Calend 01'!I27*('V06 Calend 01'!E27-1))),'V06 Calend 01'!I27),0))+IF((84='V06 Calend 01'!D27),'V06 Calend 01'!J27,0))</f>
        <v>0</v>
      </c>
      <c r="CS27" s="2">
        <f>((IF((85='V06 Calend 01'!C27),('V06 Calend 01'!F27+'V06 Calend 01'!G27),0)+IF(AND(('V06 Calend 01'!E27&gt;0),(85&gt;'V06 Calend 01'!C27),(85&lt;'V06 Calend 01'!D27),(MOD((85-'V06 Calend 01'!C27),6)=0),(((85-'V06 Calend 01'!C27)/6)&lt;='V06 Calend 01'!E27)),IF((85=('V06 Calend 01'!C27+(6*'V06 Calend 01'!E27))),('V06 Calend 01'!H27-('V06 Calend 01'!I27*('V06 Calend 01'!E27-1))),'V06 Calend 01'!I27),0))+IF((85='V06 Calend 01'!D27),'V06 Calend 01'!J27,0))</f>
        <v>0</v>
      </c>
      <c r="CT27" s="2">
        <f>((IF((86='V06 Calend 01'!C27),('V06 Calend 01'!F27+'V06 Calend 01'!G27),0)+IF(AND(('V06 Calend 01'!E27&gt;0),(86&gt;'V06 Calend 01'!C27),(86&lt;'V06 Calend 01'!D27),(MOD((86-'V06 Calend 01'!C27),6)=0),(((86-'V06 Calend 01'!C27)/6)&lt;='V06 Calend 01'!E27)),IF((86=('V06 Calend 01'!C27+(6*'V06 Calend 01'!E27))),('V06 Calend 01'!H27-('V06 Calend 01'!I27*('V06 Calend 01'!E27-1))),'V06 Calend 01'!I27),0))+IF((86='V06 Calend 01'!D27),'V06 Calend 01'!J27,0))</f>
        <v>0</v>
      </c>
      <c r="CU27" s="2">
        <f>((IF((87='V06 Calend 01'!C27),('V06 Calend 01'!F27+'V06 Calend 01'!G27),0)+IF(AND(('V06 Calend 01'!E27&gt;0),(87&gt;'V06 Calend 01'!C27),(87&lt;'V06 Calend 01'!D27),(MOD((87-'V06 Calend 01'!C27),6)=0),(((87-'V06 Calend 01'!C27)/6)&lt;='V06 Calend 01'!E27)),IF((87=('V06 Calend 01'!C27+(6*'V06 Calend 01'!E27))),('V06 Calend 01'!H27-('V06 Calend 01'!I27*('V06 Calend 01'!E27-1))),'V06 Calend 01'!I27),0))+IF((87='V06 Calend 01'!D27),'V06 Calend 01'!J27,0))</f>
        <v>0</v>
      </c>
      <c r="CV27" s="2">
        <f>((IF((88='V06 Calend 01'!C27),('V06 Calend 01'!F27+'V06 Calend 01'!G27),0)+IF(AND(('V06 Calend 01'!E27&gt;0),(88&gt;'V06 Calend 01'!C27),(88&lt;'V06 Calend 01'!D27),(MOD((88-'V06 Calend 01'!C27),6)=0),(((88-'V06 Calend 01'!C27)/6)&lt;='V06 Calend 01'!E27)),IF((88=('V06 Calend 01'!C27+(6*'V06 Calend 01'!E27))),('V06 Calend 01'!H27-('V06 Calend 01'!I27*('V06 Calend 01'!E27-1))),'V06 Calend 01'!I27),0))+IF((88='V06 Calend 01'!D27),'V06 Calend 01'!J27,0))</f>
        <v>0</v>
      </c>
      <c r="CW27" s="2">
        <f>((IF((89='V06 Calend 01'!C27),('V06 Calend 01'!F27+'V06 Calend 01'!G27),0)+IF(AND(('V06 Calend 01'!E27&gt;0),(89&gt;'V06 Calend 01'!C27),(89&lt;'V06 Calend 01'!D27),(MOD((89-'V06 Calend 01'!C27),6)=0),(((89-'V06 Calend 01'!C27)/6)&lt;='V06 Calend 01'!E27)),IF((89=('V06 Calend 01'!C27+(6*'V06 Calend 01'!E27))),('V06 Calend 01'!H27-('V06 Calend 01'!I27*('V06 Calend 01'!E27-1))),'V06 Calend 01'!I27),0))+IF((89='V06 Calend 01'!D27),'V06 Calend 01'!J27,0))</f>
        <v>0</v>
      </c>
      <c r="CX27" s="2">
        <f>((IF((90='V06 Calend 01'!C27),('V06 Calend 01'!F27+'V06 Calend 01'!G27),0)+IF(AND(('V06 Calend 01'!E27&gt;0),(90&gt;'V06 Calend 01'!C27),(90&lt;'V06 Calend 01'!D27),(MOD((90-'V06 Calend 01'!C27),6)=0),(((90-'V06 Calend 01'!C27)/6)&lt;='V06 Calend 01'!E27)),IF((90=('V06 Calend 01'!C27+(6*'V06 Calend 01'!E27))),('V06 Calend 01'!H27-('V06 Calend 01'!I27*('V06 Calend 01'!E27-1))),'V06 Calend 01'!I27),0))+IF((90='V06 Calend 01'!D27),'V06 Calend 01'!J27,0))</f>
        <v>0</v>
      </c>
      <c r="CY27" s="2">
        <f>((IF((91='V06 Calend 01'!C27),('V06 Calend 01'!F27+'V06 Calend 01'!G27),0)+IF(AND(('V06 Calend 01'!E27&gt;0),(91&gt;'V06 Calend 01'!C27),(91&lt;'V06 Calend 01'!D27),(MOD((91-'V06 Calend 01'!C27),6)=0),(((91-'V06 Calend 01'!C27)/6)&lt;='V06 Calend 01'!E27)),IF((91=('V06 Calend 01'!C27+(6*'V06 Calend 01'!E27))),('V06 Calend 01'!H27-('V06 Calend 01'!I27*('V06 Calend 01'!E27-1))),'V06 Calend 01'!I27),0))+IF((91='V06 Calend 01'!D27),'V06 Calend 01'!J27,0))</f>
        <v>0</v>
      </c>
      <c r="CZ27" s="2">
        <f>((IF((92='V06 Calend 01'!C27),('V06 Calend 01'!F27+'V06 Calend 01'!G27),0)+IF(AND(('V06 Calend 01'!E27&gt;0),(92&gt;'V06 Calend 01'!C27),(92&lt;'V06 Calend 01'!D27),(MOD((92-'V06 Calend 01'!C27),6)=0),(((92-'V06 Calend 01'!C27)/6)&lt;='V06 Calend 01'!E27)),IF((92=('V06 Calend 01'!C27+(6*'V06 Calend 01'!E27))),('V06 Calend 01'!H27-('V06 Calend 01'!I27*('V06 Calend 01'!E27-1))),'V06 Calend 01'!I27),0))+IF((92='V06 Calend 01'!D27),'V06 Calend 01'!J27,0))</f>
        <v>0</v>
      </c>
      <c r="DA27" s="2">
        <f>((IF((93='V06 Calend 01'!C27),('V06 Calend 01'!F27+'V06 Calend 01'!G27),0)+IF(AND(('V06 Calend 01'!E27&gt;0),(93&gt;'V06 Calend 01'!C27),(93&lt;'V06 Calend 01'!D27),(MOD((93-'V06 Calend 01'!C27),6)=0),(((93-'V06 Calend 01'!C27)/6)&lt;='V06 Calend 01'!E27)),IF((93=('V06 Calend 01'!C27+(6*'V06 Calend 01'!E27))),('V06 Calend 01'!H27-('V06 Calend 01'!I27*('V06 Calend 01'!E27-1))),'V06 Calend 01'!I27),0))+IF((93='V06 Calend 01'!D27),'V06 Calend 01'!J27,0))</f>
        <v>0</v>
      </c>
      <c r="DB27" s="2">
        <f>((IF((94='V06 Calend 01'!C27),('V06 Calend 01'!F27+'V06 Calend 01'!G27),0)+IF(AND(('V06 Calend 01'!E27&gt;0),(94&gt;'V06 Calend 01'!C27),(94&lt;'V06 Calend 01'!D27),(MOD((94-'V06 Calend 01'!C27),6)=0),(((94-'V06 Calend 01'!C27)/6)&lt;='V06 Calend 01'!E27)),IF((94=('V06 Calend 01'!C27+(6*'V06 Calend 01'!E27))),('V06 Calend 01'!H27-('V06 Calend 01'!I27*('V06 Calend 01'!E27-1))),'V06 Calend 01'!I27),0))+IF((94='V06 Calend 01'!D27),'V06 Calend 01'!J27,0))</f>
        <v>0</v>
      </c>
      <c r="DC27" s="2">
        <f>((IF((95='V06 Calend 01'!C27),('V06 Calend 01'!F27+'V06 Calend 01'!G27),0)+IF(AND(('V06 Calend 01'!E27&gt;0),(95&gt;'V06 Calend 01'!C27),(95&lt;'V06 Calend 01'!D27),(MOD((95-'V06 Calend 01'!C27),6)=0),(((95-'V06 Calend 01'!C27)/6)&lt;='V06 Calend 01'!E27)),IF((95=('V06 Calend 01'!C27+(6*'V06 Calend 01'!E27))),('V06 Calend 01'!H27-('V06 Calend 01'!I27*('V06 Calend 01'!E27-1))),'V06 Calend 01'!I27),0))+IF((95='V06 Calend 01'!D27),'V06 Calend 01'!J27,0))</f>
        <v>0</v>
      </c>
      <c r="DD27" s="2">
        <f>((IF((96='V06 Calend 01'!C27),('V06 Calend 01'!F27+'V06 Calend 01'!G27),0)+IF(AND(('V06 Calend 01'!E27&gt;0),(96&gt;'V06 Calend 01'!C27),(96&lt;'V06 Calend 01'!D27),(MOD((96-'V06 Calend 01'!C27),6)=0),(((96-'V06 Calend 01'!C27)/6)&lt;='V06 Calend 01'!E27)),IF((96=('V06 Calend 01'!C27+(6*'V06 Calend 01'!E27))),('V06 Calend 01'!H27-('V06 Calend 01'!I27*('V06 Calend 01'!E27-1))),'V06 Calend 01'!I27),0))+IF((96='V06 Calend 01'!D27),'V06 Calend 01'!J27,0))</f>
        <v>0</v>
      </c>
      <c r="DE27" s="2">
        <f>((IF((97='V06 Calend 01'!C27),('V06 Calend 01'!F27+'V06 Calend 01'!G27),0)+IF(AND(('V06 Calend 01'!E27&gt;0),(97&gt;'V06 Calend 01'!C27),(97&lt;'V06 Calend 01'!D27),(MOD((97-'V06 Calend 01'!C27),6)=0),(((97-'V06 Calend 01'!C27)/6)&lt;='V06 Calend 01'!E27)),IF((97=('V06 Calend 01'!C27+(6*'V06 Calend 01'!E27))),('V06 Calend 01'!H27-('V06 Calend 01'!I27*('V06 Calend 01'!E27-1))),'V06 Calend 01'!I27),0))+IF((97='V06 Calend 01'!D27),'V06 Calend 01'!J27,0))</f>
        <v>0</v>
      </c>
      <c r="DF27" s="2">
        <f>((IF((98='V06 Calend 01'!C27),('V06 Calend 01'!F27+'V06 Calend 01'!G27),0)+IF(AND(('V06 Calend 01'!E27&gt;0),(98&gt;'V06 Calend 01'!C27),(98&lt;'V06 Calend 01'!D27),(MOD((98-'V06 Calend 01'!C27),6)=0),(((98-'V06 Calend 01'!C27)/6)&lt;='V06 Calend 01'!E27)),IF((98=('V06 Calend 01'!C27+(6*'V06 Calend 01'!E27))),('V06 Calend 01'!H27-('V06 Calend 01'!I27*('V06 Calend 01'!E27-1))),'V06 Calend 01'!I27),0))+IF((98='V06 Calend 01'!D27),'V06 Calend 01'!J27,0))</f>
        <v>0</v>
      </c>
      <c r="DG27" s="2">
        <f>((IF((99='V06 Calend 01'!C27),('V06 Calend 01'!F27+'V06 Calend 01'!G27),0)+IF(AND(('V06 Calend 01'!E27&gt;0),(99&gt;'V06 Calend 01'!C27),(99&lt;'V06 Calend 01'!D27),(MOD((99-'V06 Calend 01'!C27),6)=0),(((99-'V06 Calend 01'!C27)/6)&lt;='V06 Calend 01'!E27)),IF((99=('V06 Calend 01'!C27+(6*'V06 Calend 01'!E27))),('V06 Calend 01'!H27-('V06 Calend 01'!I27*('V06 Calend 01'!E27-1))),'V06 Calend 01'!I27),0))+IF((99='V06 Calend 01'!D27),'V06 Calend 01'!J27,0))</f>
        <v>0</v>
      </c>
      <c r="DH27" s="2">
        <f>((IF((100='V06 Calend 01'!C27),('V06 Calend 01'!F27+'V06 Calend 01'!G27),0)+IF(AND(('V06 Calend 01'!E27&gt;0),(100&gt;'V06 Calend 01'!C27),(100&lt;'V06 Calend 01'!D27),(MOD((100-'V06 Calend 01'!C27),6)=0),(((100-'V06 Calend 01'!C27)/6)&lt;='V06 Calend 01'!E27)),IF((100=('V06 Calend 01'!C27+(6*'V06 Calend 01'!E27))),('V06 Calend 01'!H27-('V06 Calend 01'!I27*('V06 Calend 01'!E27-1))),'V06 Calend 01'!I27),0))+IF((100='V06 Calend 01'!D27),'V06 Calend 01'!J27,0))</f>
        <v>0</v>
      </c>
      <c r="DI27" s="2">
        <f>((IF((101='V06 Calend 01'!C27),('V06 Calend 01'!F27+'V06 Calend 01'!G27),0)+IF(AND(('V06 Calend 01'!E27&gt;0),(101&gt;'V06 Calend 01'!C27),(101&lt;'V06 Calend 01'!D27),(MOD((101-'V06 Calend 01'!C27),6)=0),(((101-'V06 Calend 01'!C27)/6)&lt;='V06 Calend 01'!E27)),IF((101=('V06 Calend 01'!C27+(6*'V06 Calend 01'!E27))),('V06 Calend 01'!H27-('V06 Calend 01'!I27*('V06 Calend 01'!E27-1))),'V06 Calend 01'!I27),0))+IF((101='V06 Calend 01'!D27),'V06 Calend 01'!J27,0))</f>
        <v>0</v>
      </c>
      <c r="DJ27" s="2">
        <f>((IF((102='V06 Calend 01'!C27),('V06 Calend 01'!F27+'V06 Calend 01'!G27),0)+IF(AND(('V06 Calend 01'!E27&gt;0),(102&gt;'V06 Calend 01'!C27),(102&lt;'V06 Calend 01'!D27),(MOD((102-'V06 Calend 01'!C27),6)=0),(((102-'V06 Calend 01'!C27)/6)&lt;='V06 Calend 01'!E27)),IF((102=('V06 Calend 01'!C27+(6*'V06 Calend 01'!E27))),('V06 Calend 01'!H27-('V06 Calend 01'!I27*('V06 Calend 01'!E27-1))),'V06 Calend 01'!I27),0))+IF((102='V06 Calend 01'!D27),'V06 Calend 01'!J27,0))</f>
        <v>0</v>
      </c>
      <c r="DK27" s="2">
        <f>((IF((103='V06 Calend 01'!C27),('V06 Calend 01'!F27+'V06 Calend 01'!G27),0)+IF(AND(('V06 Calend 01'!E27&gt;0),(103&gt;'V06 Calend 01'!C27),(103&lt;'V06 Calend 01'!D27),(MOD((103-'V06 Calend 01'!C27),6)=0),(((103-'V06 Calend 01'!C27)/6)&lt;='V06 Calend 01'!E27)),IF((103=('V06 Calend 01'!C27+(6*'V06 Calend 01'!E27))),('V06 Calend 01'!H27-('V06 Calend 01'!I27*('V06 Calend 01'!E27-1))),'V06 Calend 01'!I27),0))+IF((103='V06 Calend 01'!D27),'V06 Calend 01'!J27,0))</f>
        <v>0</v>
      </c>
      <c r="DL27" s="2">
        <f>((IF((104='V06 Calend 01'!C27),('V06 Calend 01'!F27+'V06 Calend 01'!G27),0)+IF(AND(('V06 Calend 01'!E27&gt;0),(104&gt;'V06 Calend 01'!C27),(104&lt;'V06 Calend 01'!D27),(MOD((104-'V06 Calend 01'!C27),6)=0),(((104-'V06 Calend 01'!C27)/6)&lt;='V06 Calend 01'!E27)),IF((104=('V06 Calend 01'!C27+(6*'V06 Calend 01'!E27))),('V06 Calend 01'!H27-('V06 Calend 01'!I27*('V06 Calend 01'!E27-1))),'V06 Calend 01'!I27),0))+IF((104='V06 Calend 01'!D27),'V06 Calend 01'!J27,0))</f>
        <v>0</v>
      </c>
      <c r="DM27" s="2">
        <f>((IF((105='V06 Calend 01'!C27),('V06 Calend 01'!F27+'V06 Calend 01'!G27),0)+IF(AND(('V06 Calend 01'!E27&gt;0),(105&gt;'V06 Calend 01'!C27),(105&lt;'V06 Calend 01'!D27),(MOD((105-'V06 Calend 01'!C27),6)=0),(((105-'V06 Calend 01'!C27)/6)&lt;='V06 Calend 01'!E27)),IF((105=('V06 Calend 01'!C27+(6*'V06 Calend 01'!E27))),('V06 Calend 01'!H27-('V06 Calend 01'!I27*('V06 Calend 01'!E27-1))),'V06 Calend 01'!I27),0))+IF((105='V06 Calend 01'!D27),'V06 Calend 01'!J27,0))</f>
        <v>0</v>
      </c>
      <c r="DN27" s="2">
        <f>((IF((106='V06 Calend 01'!C27),('V06 Calend 01'!F27+'V06 Calend 01'!G27),0)+IF(AND(('V06 Calend 01'!E27&gt;0),(106&gt;'V06 Calend 01'!C27),(106&lt;'V06 Calend 01'!D27),(MOD((106-'V06 Calend 01'!C27),6)=0),(((106-'V06 Calend 01'!C27)/6)&lt;='V06 Calend 01'!E27)),IF((106=('V06 Calend 01'!C27+(6*'V06 Calend 01'!E27))),('V06 Calend 01'!H27-('V06 Calend 01'!I27*('V06 Calend 01'!E27-1))),'V06 Calend 01'!I27),0))+IF((106='V06 Calend 01'!D27),'V06 Calend 01'!J27,0))</f>
        <v>0</v>
      </c>
      <c r="DO27" s="2">
        <f>((IF((107='V06 Calend 01'!C27),('V06 Calend 01'!F27+'V06 Calend 01'!G27),0)+IF(AND(('V06 Calend 01'!E27&gt;0),(107&gt;'V06 Calend 01'!C27),(107&lt;'V06 Calend 01'!D27),(MOD((107-'V06 Calend 01'!C27),6)=0),(((107-'V06 Calend 01'!C27)/6)&lt;='V06 Calend 01'!E27)),IF((107=('V06 Calend 01'!C27+(6*'V06 Calend 01'!E27))),('V06 Calend 01'!H27-('V06 Calend 01'!I27*('V06 Calend 01'!E27-1))),'V06 Calend 01'!I27),0))+IF((107='V06 Calend 01'!D27),'V06 Calend 01'!J27,0))</f>
        <v>0</v>
      </c>
      <c r="DP27" s="2">
        <f>((IF((108='V06 Calend 01'!C27),('V06 Calend 01'!F27+'V06 Calend 01'!G27),0)+IF(AND(('V06 Calend 01'!E27&gt;0),(108&gt;'V06 Calend 01'!C27),(108&lt;'V06 Calend 01'!D27),(MOD((108-'V06 Calend 01'!C27),6)=0),(((108-'V06 Calend 01'!C27)/6)&lt;='V06 Calend 01'!E27)),IF((108=('V06 Calend 01'!C27+(6*'V06 Calend 01'!E27))),('V06 Calend 01'!H27-('V06 Calend 01'!I27*('V06 Calend 01'!E27-1))),'V06 Calend 01'!I27),0))+IF((108='V06 Calend 01'!D27),'V06 Calend 01'!J27,0))</f>
        <v>0</v>
      </c>
      <c r="DQ27" s="2">
        <f>((IF((109='V06 Calend 01'!C27),('V06 Calend 01'!F27+'V06 Calend 01'!G27),0)+IF(AND(('V06 Calend 01'!E27&gt;0),(109&gt;'V06 Calend 01'!C27),(109&lt;'V06 Calend 01'!D27),(MOD((109-'V06 Calend 01'!C27),6)=0),(((109-'V06 Calend 01'!C27)/6)&lt;='V06 Calend 01'!E27)),IF((109=('V06 Calend 01'!C27+(6*'V06 Calend 01'!E27))),('V06 Calend 01'!H27-('V06 Calend 01'!I27*('V06 Calend 01'!E27-1))),'V06 Calend 01'!I27),0))+IF((109='V06 Calend 01'!D27),'V06 Calend 01'!J27,0))</f>
        <v>0</v>
      </c>
      <c r="DR27" s="2">
        <f>((IF((110='V06 Calend 01'!C27),('V06 Calend 01'!F27+'V06 Calend 01'!G27),0)+IF(AND(('V06 Calend 01'!E27&gt;0),(110&gt;'V06 Calend 01'!C27),(110&lt;'V06 Calend 01'!D27),(MOD((110-'V06 Calend 01'!C27),6)=0),(((110-'V06 Calend 01'!C27)/6)&lt;='V06 Calend 01'!E27)),IF((110=('V06 Calend 01'!C27+(6*'V06 Calend 01'!E27))),('V06 Calend 01'!H27-('V06 Calend 01'!I27*('V06 Calend 01'!E27-1))),'V06 Calend 01'!I27),0))+IF((110='V06 Calend 01'!D27),'V06 Calend 01'!J27,0))</f>
        <v>0</v>
      </c>
      <c r="DS27" s="2">
        <f>((IF((111='V06 Calend 01'!C27),('V06 Calend 01'!F27+'V06 Calend 01'!G27),0)+IF(AND(('V06 Calend 01'!E27&gt;0),(111&gt;'V06 Calend 01'!C27),(111&lt;'V06 Calend 01'!D27),(MOD((111-'V06 Calend 01'!C27),6)=0),(((111-'V06 Calend 01'!C27)/6)&lt;='V06 Calend 01'!E27)),IF((111=('V06 Calend 01'!C27+(6*'V06 Calend 01'!E27))),('V06 Calend 01'!H27-('V06 Calend 01'!I27*('V06 Calend 01'!E27-1))),'V06 Calend 01'!I27),0))+IF((111='V06 Calend 01'!D27),'V06 Calend 01'!J27,0))</f>
        <v>0</v>
      </c>
      <c r="DT27" s="2">
        <f>((IF((112='V06 Calend 01'!C27),('V06 Calend 01'!F27+'V06 Calend 01'!G27),0)+IF(AND(('V06 Calend 01'!E27&gt;0),(112&gt;'V06 Calend 01'!C27),(112&lt;'V06 Calend 01'!D27),(MOD((112-'V06 Calend 01'!C27),6)=0),(((112-'V06 Calend 01'!C27)/6)&lt;='V06 Calend 01'!E27)),IF((112=('V06 Calend 01'!C27+(6*'V06 Calend 01'!E27))),('V06 Calend 01'!H27-('V06 Calend 01'!I27*('V06 Calend 01'!E27-1))),'V06 Calend 01'!I27),0))+IF((112='V06 Calend 01'!D27),'V06 Calend 01'!J27,0))</f>
        <v>0</v>
      </c>
      <c r="DU27" s="2">
        <f>((IF((113='V06 Calend 01'!C27),('V06 Calend 01'!F27+'V06 Calend 01'!G27),0)+IF(AND(('V06 Calend 01'!E27&gt;0),(113&gt;'V06 Calend 01'!C27),(113&lt;'V06 Calend 01'!D27),(MOD((113-'V06 Calend 01'!C27),6)=0),(((113-'V06 Calend 01'!C27)/6)&lt;='V06 Calend 01'!E27)),IF((113=('V06 Calend 01'!C27+(6*'V06 Calend 01'!E27))),('V06 Calend 01'!H27-('V06 Calend 01'!I27*('V06 Calend 01'!E27-1))),'V06 Calend 01'!I27),0))+IF((113='V06 Calend 01'!D27),'V06 Calend 01'!J27,0))</f>
        <v>0</v>
      </c>
      <c r="DV27" s="2">
        <f>((IF((114='V06 Calend 01'!C27),('V06 Calend 01'!F27+'V06 Calend 01'!G27),0)+IF(AND(('V06 Calend 01'!E27&gt;0),(114&gt;'V06 Calend 01'!C27),(114&lt;'V06 Calend 01'!D27),(MOD((114-'V06 Calend 01'!C27),6)=0),(((114-'V06 Calend 01'!C27)/6)&lt;='V06 Calend 01'!E27)),IF((114=('V06 Calend 01'!C27+(6*'V06 Calend 01'!E27))),('V06 Calend 01'!H27-('V06 Calend 01'!I27*('V06 Calend 01'!E27-1))),'V06 Calend 01'!I27),0))+IF((114='V06 Calend 01'!D27),'V06 Calend 01'!J27,0))</f>
        <v>0</v>
      </c>
      <c r="DW27" s="2">
        <f>((IF((115='V06 Calend 01'!C27),('V06 Calend 01'!F27+'V06 Calend 01'!G27),0)+IF(AND(('V06 Calend 01'!E27&gt;0),(115&gt;'V06 Calend 01'!C27),(115&lt;'V06 Calend 01'!D27),(MOD((115-'V06 Calend 01'!C27),6)=0),(((115-'V06 Calend 01'!C27)/6)&lt;='V06 Calend 01'!E27)),IF((115=('V06 Calend 01'!C27+(6*'V06 Calend 01'!E27))),('V06 Calend 01'!H27-('V06 Calend 01'!I27*('V06 Calend 01'!E27-1))),'V06 Calend 01'!I27),0))+IF((115='V06 Calend 01'!D27),'V06 Calend 01'!J27,0))</f>
        <v>0</v>
      </c>
      <c r="DX27" s="2">
        <f>((IF((116='V06 Calend 01'!C27),('V06 Calend 01'!F27+'V06 Calend 01'!G27),0)+IF(AND(('V06 Calend 01'!E27&gt;0),(116&gt;'V06 Calend 01'!C27),(116&lt;'V06 Calend 01'!D27),(MOD((116-'V06 Calend 01'!C27),6)=0),(((116-'V06 Calend 01'!C27)/6)&lt;='V06 Calend 01'!E27)),IF((116=('V06 Calend 01'!C27+(6*'V06 Calend 01'!E27))),('V06 Calend 01'!H27-('V06 Calend 01'!I27*('V06 Calend 01'!E27-1))),'V06 Calend 01'!I27),0))+IF((116='V06 Calend 01'!D27),'V06 Calend 01'!J27,0))</f>
        <v>0</v>
      </c>
      <c r="DY27" s="2">
        <f>((IF((117='V06 Calend 01'!C27),('V06 Calend 01'!F27+'V06 Calend 01'!G27),0)+IF(AND(('V06 Calend 01'!E27&gt;0),(117&gt;'V06 Calend 01'!C27),(117&lt;'V06 Calend 01'!D27),(MOD((117-'V06 Calend 01'!C27),6)=0),(((117-'V06 Calend 01'!C27)/6)&lt;='V06 Calend 01'!E27)),IF((117=('V06 Calend 01'!C27+(6*'V06 Calend 01'!E27))),('V06 Calend 01'!H27-('V06 Calend 01'!I27*('V06 Calend 01'!E27-1))),'V06 Calend 01'!I27),0))+IF((117='V06 Calend 01'!D27),'V06 Calend 01'!J27,0))</f>
        <v>0</v>
      </c>
      <c r="DZ27" s="2">
        <f>((IF((118='V06 Calend 01'!C27),('V06 Calend 01'!F27+'V06 Calend 01'!G27),0)+IF(AND(('V06 Calend 01'!E27&gt;0),(118&gt;'V06 Calend 01'!C27),(118&lt;'V06 Calend 01'!D27),(MOD((118-'V06 Calend 01'!C27),6)=0),(((118-'V06 Calend 01'!C27)/6)&lt;='V06 Calend 01'!E27)),IF((118=('V06 Calend 01'!C27+(6*'V06 Calend 01'!E27))),('V06 Calend 01'!H27-('V06 Calend 01'!I27*('V06 Calend 01'!E27-1))),'V06 Calend 01'!I27),0))+IF((118='V06 Calend 01'!D27),'V06 Calend 01'!J27,0))</f>
        <v>0</v>
      </c>
      <c r="EA27" s="2">
        <f>((IF((119='V06 Calend 01'!C27),('V06 Calend 01'!F27+'V06 Calend 01'!G27),0)+IF(AND(('V06 Calend 01'!E27&gt;0),(119&gt;'V06 Calend 01'!C27),(119&lt;'V06 Calend 01'!D27),(MOD((119-'V06 Calend 01'!C27),6)=0),(((119-'V06 Calend 01'!C27)/6)&lt;='V06 Calend 01'!E27)),IF((119=('V06 Calend 01'!C27+(6*'V06 Calend 01'!E27))),('V06 Calend 01'!H27-('V06 Calend 01'!I27*('V06 Calend 01'!E27-1))),'V06 Calend 01'!I27),0))+IF((119='V06 Calend 01'!D27),'V06 Calend 01'!J27,0))</f>
        <v>0</v>
      </c>
      <c r="EB27" s="2">
        <f>((IF((120='V06 Calend 01'!C27),('V06 Calend 01'!F27+'V06 Calend 01'!G27),0)+IF(AND(('V06 Calend 01'!E27&gt;0),(120&gt;'V06 Calend 01'!C27),(120&lt;'V06 Calend 01'!D27),(MOD((120-'V06 Calend 01'!C27),6)=0),(((120-'V06 Calend 01'!C27)/6)&lt;='V06 Calend 01'!E27)),IF((120=('V06 Calend 01'!C27+(6*'V06 Calend 01'!E27))),('V06 Calend 01'!H27-('V06 Calend 01'!I27*('V06 Calend 01'!E27-1))),'V06 Calend 01'!I27),0))+IF((120='V06 Calend 01'!D27),'V06 Calend 01'!J27,0))</f>
        <v>0</v>
      </c>
      <c r="EC27" s="2">
        <f>((IF((121='V06 Calend 01'!C27),('V06 Calend 01'!F27+'V06 Calend 01'!G27),0)+IF(AND(('V06 Calend 01'!E27&gt;0),(121&gt;'V06 Calend 01'!C27),(121&lt;'V06 Calend 01'!D27),(MOD((121-'V06 Calend 01'!C27),6)=0),(((121-'V06 Calend 01'!C27)/6)&lt;='V06 Calend 01'!E27)),IF((121=('V06 Calend 01'!C27+(6*'V06 Calend 01'!E27))),('V06 Calend 01'!H27-('V06 Calend 01'!I27*('V06 Calend 01'!E27-1))),'V06 Calend 01'!I27),0))+IF((121='V06 Calend 01'!D27),'V06 Calend 01'!J27,0))</f>
        <v>0</v>
      </c>
      <c r="ED27" s="2">
        <f>((IF((122='V06 Calend 01'!C27),('V06 Calend 01'!F27+'V06 Calend 01'!G27),0)+IF(AND(('V06 Calend 01'!E27&gt;0),(122&gt;'V06 Calend 01'!C27),(122&lt;'V06 Calend 01'!D27),(MOD((122-'V06 Calend 01'!C27),6)=0),(((122-'V06 Calend 01'!C27)/6)&lt;='V06 Calend 01'!E27)),IF((122=('V06 Calend 01'!C27+(6*'V06 Calend 01'!E27))),('V06 Calend 01'!H27-('V06 Calend 01'!I27*('V06 Calend 01'!E27-1))),'V06 Calend 01'!I27),0))+IF((122='V06 Calend 01'!D27),'V06 Calend 01'!J27,0))</f>
        <v>0</v>
      </c>
      <c r="EE27" s="2">
        <f>((IF((123='V06 Calend 01'!C27),('V06 Calend 01'!F27+'V06 Calend 01'!G27),0)+IF(AND(('V06 Calend 01'!E27&gt;0),(123&gt;'V06 Calend 01'!C27),(123&lt;'V06 Calend 01'!D27),(MOD((123-'V06 Calend 01'!C27),6)=0),(((123-'V06 Calend 01'!C27)/6)&lt;='V06 Calend 01'!E27)),IF((123=('V06 Calend 01'!C27+(6*'V06 Calend 01'!E27))),('V06 Calend 01'!H27-('V06 Calend 01'!I27*('V06 Calend 01'!E27-1))),'V06 Calend 01'!I27),0))+IF((123='V06 Calend 01'!D27),'V06 Calend 01'!J27,0))</f>
        <v>0</v>
      </c>
      <c r="EF27" s="2">
        <f>((IF((124='V06 Calend 01'!C27),('V06 Calend 01'!F27+'V06 Calend 01'!G27),0)+IF(AND(('V06 Calend 01'!E27&gt;0),(124&gt;'V06 Calend 01'!C27),(124&lt;'V06 Calend 01'!D27),(MOD((124-'V06 Calend 01'!C27),6)=0),(((124-'V06 Calend 01'!C27)/6)&lt;='V06 Calend 01'!E27)),IF((124=('V06 Calend 01'!C27+(6*'V06 Calend 01'!E27))),('V06 Calend 01'!H27-('V06 Calend 01'!I27*('V06 Calend 01'!E27-1))),'V06 Calend 01'!I27),0))+IF((124='V06 Calend 01'!D27),'V06 Calend 01'!J27,0))</f>
        <v>0</v>
      </c>
      <c r="EG27" s="2">
        <f>((IF((125='V06 Calend 01'!C27),('V06 Calend 01'!F27+'V06 Calend 01'!G27),0)+IF(AND(('V06 Calend 01'!E27&gt;0),(125&gt;'V06 Calend 01'!C27),(125&lt;'V06 Calend 01'!D27),(MOD((125-'V06 Calend 01'!C27),6)=0),(((125-'V06 Calend 01'!C27)/6)&lt;='V06 Calend 01'!E27)),IF((125=('V06 Calend 01'!C27+(6*'V06 Calend 01'!E27))),('V06 Calend 01'!H27-('V06 Calend 01'!I27*('V06 Calend 01'!E27-1))),'V06 Calend 01'!I27),0))+IF((125='V06 Calend 01'!D27),'V06 Calend 01'!J27,0))</f>
        <v>0</v>
      </c>
      <c r="EH27" s="2">
        <f>((IF((126='V06 Calend 01'!C27),('V06 Calend 01'!F27+'V06 Calend 01'!G27),0)+IF(AND(('V06 Calend 01'!E27&gt;0),(126&gt;'V06 Calend 01'!C27),(126&lt;'V06 Calend 01'!D27),(MOD((126-'V06 Calend 01'!C27),6)=0),(((126-'V06 Calend 01'!C27)/6)&lt;='V06 Calend 01'!E27)),IF((126=('V06 Calend 01'!C27+(6*'V06 Calend 01'!E27))),('V06 Calend 01'!H27-('V06 Calend 01'!I27*('V06 Calend 01'!E27-1))),'V06 Calend 01'!I27),0))+IF((126='V06 Calend 01'!D27),'V06 Calend 01'!J27,0))</f>
        <v>0</v>
      </c>
      <c r="EI27" s="2">
        <f>((IF((127='V06 Calend 01'!C27),('V06 Calend 01'!F27+'V06 Calend 01'!G27),0)+IF(AND(('V06 Calend 01'!E27&gt;0),(127&gt;'V06 Calend 01'!C27),(127&lt;'V06 Calend 01'!D27),(MOD((127-'V06 Calend 01'!C27),6)=0),(((127-'V06 Calend 01'!C27)/6)&lt;='V06 Calend 01'!E27)),IF((127=('V06 Calend 01'!C27+(6*'V06 Calend 01'!E27))),('V06 Calend 01'!H27-('V06 Calend 01'!I27*('V06 Calend 01'!E27-1))),'V06 Calend 01'!I27),0))+IF((127='V06 Calend 01'!D27),'V06 Calend 01'!J27,0))</f>
        <v>0</v>
      </c>
      <c r="EJ27" s="2">
        <f>((IF((128='V06 Calend 01'!C27),('V06 Calend 01'!F27+'V06 Calend 01'!G27),0)+IF(AND(('V06 Calend 01'!E27&gt;0),(128&gt;'V06 Calend 01'!C27),(128&lt;'V06 Calend 01'!D27),(MOD((128-'V06 Calend 01'!C27),6)=0),(((128-'V06 Calend 01'!C27)/6)&lt;='V06 Calend 01'!E27)),IF((128=('V06 Calend 01'!C27+(6*'V06 Calend 01'!E27))),('V06 Calend 01'!H27-('V06 Calend 01'!I27*('V06 Calend 01'!E27-1))),'V06 Calend 01'!I27),0))+IF((128='V06 Calend 01'!D27),'V06 Calend 01'!J27,0))</f>
        <v>0</v>
      </c>
      <c r="EK27" s="2">
        <f>((IF((129='V06 Calend 01'!C27),('V06 Calend 01'!F27+'V06 Calend 01'!G27),0)+IF(AND(('V06 Calend 01'!E27&gt;0),(129&gt;'V06 Calend 01'!C27),(129&lt;'V06 Calend 01'!D27),(MOD((129-'V06 Calend 01'!C27),6)=0),(((129-'V06 Calend 01'!C27)/6)&lt;='V06 Calend 01'!E27)),IF((129=('V06 Calend 01'!C27+(6*'V06 Calend 01'!E27))),('V06 Calend 01'!H27-('V06 Calend 01'!I27*('V06 Calend 01'!E27-1))),'V06 Calend 01'!I27),0))+IF((129='V06 Calend 01'!D27),'V06 Calend 01'!J27,0))</f>
        <v>0</v>
      </c>
      <c r="EL27" s="2">
        <f>((IF((130='V06 Calend 01'!C27),('V06 Calend 01'!F27+'V06 Calend 01'!G27),0)+IF(AND(('V06 Calend 01'!E27&gt;0),(130&gt;'V06 Calend 01'!C27),(130&lt;'V06 Calend 01'!D27),(MOD((130-'V06 Calend 01'!C27),6)=0),(((130-'V06 Calend 01'!C27)/6)&lt;='V06 Calend 01'!E27)),IF((130=('V06 Calend 01'!C27+(6*'V06 Calend 01'!E27))),('V06 Calend 01'!H27-('V06 Calend 01'!I27*('V06 Calend 01'!E27-1))),'V06 Calend 01'!I27),0))+IF((130='V06 Calend 01'!D27),'V06 Calend 01'!J27,0))</f>
        <v>0</v>
      </c>
      <c r="EM27" s="2">
        <f>((IF((131='V06 Calend 01'!C27),('V06 Calend 01'!F27+'V06 Calend 01'!G27),0)+IF(AND(('V06 Calend 01'!E27&gt;0),(131&gt;'V06 Calend 01'!C27),(131&lt;'V06 Calend 01'!D27),(MOD((131-'V06 Calend 01'!C27),6)=0),(((131-'V06 Calend 01'!C27)/6)&lt;='V06 Calend 01'!E27)),IF((131=('V06 Calend 01'!C27+(6*'V06 Calend 01'!E27))),('V06 Calend 01'!H27-('V06 Calend 01'!I27*('V06 Calend 01'!E27-1))),'V06 Calend 01'!I27),0))+IF((131='V06 Calend 01'!D27),'V06 Calend 01'!J27,0))</f>
        <v>0</v>
      </c>
      <c r="EN27" s="2">
        <f>((IF((132='V06 Calend 01'!C27),('V06 Calend 01'!F27+'V06 Calend 01'!G27),0)+IF(AND(('V06 Calend 01'!E27&gt;0),(132&gt;'V06 Calend 01'!C27),(132&lt;'V06 Calend 01'!D27),(MOD((132-'V06 Calend 01'!C27),6)=0),(((132-'V06 Calend 01'!C27)/6)&lt;='V06 Calend 01'!E27)),IF((132=('V06 Calend 01'!C27+(6*'V06 Calend 01'!E27))),('V06 Calend 01'!H27-('V06 Calend 01'!I27*('V06 Calend 01'!E27-1))),'V06 Calend 01'!I27),0))+IF((132='V06 Calend 01'!D27),'V06 Calend 01'!J27,0))</f>
        <v>0</v>
      </c>
      <c r="EO27" s="2">
        <f>((IF((133='V06 Calend 01'!C27),('V06 Calend 01'!F27+'V06 Calend 01'!G27),0)+IF(AND(('V06 Calend 01'!E27&gt;0),(133&gt;'V06 Calend 01'!C27),(133&lt;'V06 Calend 01'!D27),(MOD((133-'V06 Calend 01'!C27),6)=0),(((133-'V06 Calend 01'!C27)/6)&lt;='V06 Calend 01'!E27)),IF((133=('V06 Calend 01'!C27+(6*'V06 Calend 01'!E27))),('V06 Calend 01'!H27-('V06 Calend 01'!I27*('V06 Calend 01'!E27-1))),'V06 Calend 01'!I27),0))+IF((133='V06 Calend 01'!D27),'V06 Calend 01'!J27,0))</f>
        <v>0</v>
      </c>
      <c r="EP27" s="2">
        <f>((IF((134='V06 Calend 01'!C27),('V06 Calend 01'!F27+'V06 Calend 01'!G27),0)+IF(AND(('V06 Calend 01'!E27&gt;0),(134&gt;'V06 Calend 01'!C27),(134&lt;'V06 Calend 01'!D27),(MOD((134-'V06 Calend 01'!C27),6)=0),(((134-'V06 Calend 01'!C27)/6)&lt;='V06 Calend 01'!E27)),IF((134=('V06 Calend 01'!C27+(6*'V06 Calend 01'!E27))),('V06 Calend 01'!H27-('V06 Calend 01'!I27*('V06 Calend 01'!E27-1))),'V06 Calend 01'!I27),0))+IF((134='V06 Calend 01'!D27),'V06 Calend 01'!J27,0))</f>
        <v>0</v>
      </c>
      <c r="EQ27" s="2">
        <f>((IF((135='V06 Calend 01'!C27),('V06 Calend 01'!F27+'V06 Calend 01'!G27),0)+IF(AND(('V06 Calend 01'!E27&gt;0),(135&gt;'V06 Calend 01'!C27),(135&lt;'V06 Calend 01'!D27),(MOD((135-'V06 Calend 01'!C27),6)=0),(((135-'V06 Calend 01'!C27)/6)&lt;='V06 Calend 01'!E27)),IF((135=('V06 Calend 01'!C27+(6*'V06 Calend 01'!E27))),('V06 Calend 01'!H27-('V06 Calend 01'!I27*('V06 Calend 01'!E27-1))),'V06 Calend 01'!I27),0))+IF((135='V06 Calend 01'!D27),'V06 Calend 01'!J27,0))</f>
        <v>0</v>
      </c>
      <c r="ER27" s="2">
        <f>((IF((136='V06 Calend 01'!C27),('V06 Calend 01'!F27+'V06 Calend 01'!G27),0)+IF(AND(('V06 Calend 01'!E27&gt;0),(136&gt;'V06 Calend 01'!C27),(136&lt;'V06 Calend 01'!D27),(MOD((136-'V06 Calend 01'!C27),6)=0),(((136-'V06 Calend 01'!C27)/6)&lt;='V06 Calend 01'!E27)),IF((136=('V06 Calend 01'!C27+(6*'V06 Calend 01'!E27))),('V06 Calend 01'!H27-('V06 Calend 01'!I27*('V06 Calend 01'!E27-1))),'V06 Calend 01'!I27),0))+IF((136='V06 Calend 01'!D27),'V06 Calend 01'!J27,0))</f>
        <v>0</v>
      </c>
      <c r="ES27" s="2">
        <f>((IF((137='V06 Calend 01'!C27),('V06 Calend 01'!F27+'V06 Calend 01'!G27),0)+IF(AND(('V06 Calend 01'!E27&gt;0),(137&gt;'V06 Calend 01'!C27),(137&lt;'V06 Calend 01'!D27),(MOD((137-'V06 Calend 01'!C27),6)=0),(((137-'V06 Calend 01'!C27)/6)&lt;='V06 Calend 01'!E27)),IF((137=('V06 Calend 01'!C27+(6*'V06 Calend 01'!E27))),('V06 Calend 01'!H27-('V06 Calend 01'!I27*('V06 Calend 01'!E27-1))),'V06 Calend 01'!I27),0))+IF((137='V06 Calend 01'!D27),'V06 Calend 01'!J27,0))</f>
        <v>0</v>
      </c>
      <c r="ET27" s="2">
        <f>((IF((138='V06 Calend 01'!C27),('V06 Calend 01'!F27+'V06 Calend 01'!G27),0)+IF(AND(('V06 Calend 01'!E27&gt;0),(138&gt;'V06 Calend 01'!C27),(138&lt;'V06 Calend 01'!D27),(MOD((138-'V06 Calend 01'!C27),6)=0),(((138-'V06 Calend 01'!C27)/6)&lt;='V06 Calend 01'!E27)),IF((138=('V06 Calend 01'!C27+(6*'V06 Calend 01'!E27))),('V06 Calend 01'!H27-('V06 Calend 01'!I27*('V06 Calend 01'!E27-1))),'V06 Calend 01'!I27),0))+IF((138='V06 Calend 01'!D27),'V06 Calend 01'!J27,0))</f>
        <v>0</v>
      </c>
      <c r="EU27" s="2">
        <f>((IF((139='V06 Calend 01'!C27),('V06 Calend 01'!F27+'V06 Calend 01'!G27),0)+IF(AND(('V06 Calend 01'!E27&gt;0),(139&gt;'V06 Calend 01'!C27),(139&lt;'V06 Calend 01'!D27),(MOD((139-'V06 Calend 01'!C27),6)=0),(((139-'V06 Calend 01'!C27)/6)&lt;='V06 Calend 01'!E27)),IF((139=('V06 Calend 01'!C27+(6*'V06 Calend 01'!E27))),('V06 Calend 01'!H27-('V06 Calend 01'!I27*('V06 Calend 01'!E27-1))),'V06 Calend 01'!I27),0))+IF((139='V06 Calend 01'!D27),'V06 Calend 01'!J27,0))</f>
        <v>0</v>
      </c>
      <c r="EV27" s="2">
        <f>((IF((140='V06 Calend 01'!C27),('V06 Calend 01'!F27+'V06 Calend 01'!G27),0)+IF(AND(('V06 Calend 01'!E27&gt;0),(140&gt;'V06 Calend 01'!C27),(140&lt;'V06 Calend 01'!D27),(MOD((140-'V06 Calend 01'!C27),6)=0),(((140-'V06 Calend 01'!C27)/6)&lt;='V06 Calend 01'!E27)),IF((140=('V06 Calend 01'!C27+(6*'V06 Calend 01'!E27))),('V06 Calend 01'!H27-('V06 Calend 01'!I27*('V06 Calend 01'!E27-1))),'V06 Calend 01'!I27),0))+IF((140='V06 Calend 01'!D27),'V06 Calend 01'!J27,0))</f>
        <v>0</v>
      </c>
      <c r="EW27" s="2">
        <f>((IF((141='V06 Calend 01'!C27),('V06 Calend 01'!F27+'V06 Calend 01'!G27),0)+IF(AND(('V06 Calend 01'!E27&gt;0),(141&gt;'V06 Calend 01'!C27),(141&lt;'V06 Calend 01'!D27),(MOD((141-'V06 Calend 01'!C27),6)=0),(((141-'V06 Calend 01'!C27)/6)&lt;='V06 Calend 01'!E27)),IF((141=('V06 Calend 01'!C27+(6*'V06 Calend 01'!E27))),('V06 Calend 01'!H27-('V06 Calend 01'!I27*('V06 Calend 01'!E27-1))),'V06 Calend 01'!I27),0))+IF((141='V06 Calend 01'!D27),'V06 Calend 01'!J27,0))</f>
        <v>0</v>
      </c>
      <c r="EX27" s="2">
        <f>((IF((142='V06 Calend 01'!C27),('V06 Calend 01'!F27+'V06 Calend 01'!G27),0)+IF(AND(('V06 Calend 01'!E27&gt;0),(142&gt;'V06 Calend 01'!C27),(142&lt;'V06 Calend 01'!D27),(MOD((142-'V06 Calend 01'!C27),6)=0),(((142-'V06 Calend 01'!C27)/6)&lt;='V06 Calend 01'!E27)),IF((142=('V06 Calend 01'!C27+(6*'V06 Calend 01'!E27))),('V06 Calend 01'!H27-('V06 Calend 01'!I27*('V06 Calend 01'!E27-1))),'V06 Calend 01'!I27),0))+IF((142='V06 Calend 01'!D27),'V06 Calend 01'!J27,0))</f>
        <v>0</v>
      </c>
      <c r="EY27" s="2">
        <f>((IF((143='V06 Calend 01'!C27),('V06 Calend 01'!F27+'V06 Calend 01'!G27),0)+IF(AND(('V06 Calend 01'!E27&gt;0),(143&gt;'V06 Calend 01'!C27),(143&lt;'V06 Calend 01'!D27),(MOD((143-'V06 Calend 01'!C27),6)=0),(((143-'V06 Calend 01'!C27)/6)&lt;='V06 Calend 01'!E27)),IF((143=('V06 Calend 01'!C27+(6*'V06 Calend 01'!E27))),('V06 Calend 01'!H27-('V06 Calend 01'!I27*('V06 Calend 01'!E27-1))),'V06 Calend 01'!I27),0))+IF((143='V06 Calend 01'!D27),'V06 Calend 01'!J27,0))</f>
        <v>0</v>
      </c>
      <c r="EZ27" s="2">
        <f>((IF((144='V06 Calend 01'!C27),('V06 Calend 01'!F27+'V06 Calend 01'!G27),0)+IF(AND(('V06 Calend 01'!E27&gt;0),(144&gt;'V06 Calend 01'!C27),(144&lt;'V06 Calend 01'!D27),(MOD((144-'V06 Calend 01'!C27),6)=0),(((144-'V06 Calend 01'!C27)/6)&lt;='V06 Calend 01'!E27)),IF((144=('V06 Calend 01'!C27+(6*'V06 Calend 01'!E27))),('V06 Calend 01'!H27-('V06 Calend 01'!I27*('V06 Calend 01'!E27-1))),'V06 Calend 01'!I27),0))+IF((144='V06 Calend 01'!D27),'V06 Calend 01'!J27,0))</f>
        <v>0</v>
      </c>
      <c r="FA27" s="2">
        <f>((IF((145='V06 Calend 01'!C27),('V06 Calend 01'!F27+'V06 Calend 01'!G27),0)+IF(AND(('V06 Calend 01'!E27&gt;0),(145&gt;'V06 Calend 01'!C27),(145&lt;'V06 Calend 01'!D27),(MOD((145-'V06 Calend 01'!C27),6)=0),(((145-'V06 Calend 01'!C27)/6)&lt;='V06 Calend 01'!E27)),IF((145=('V06 Calend 01'!C27+(6*'V06 Calend 01'!E27))),('V06 Calend 01'!H27-('V06 Calend 01'!I27*('V06 Calend 01'!E27-1))),'V06 Calend 01'!I27),0))+IF((145='V06 Calend 01'!D27),'V06 Calend 01'!J27,0))</f>
        <v>0</v>
      </c>
      <c r="FB27" s="2">
        <f>((IF((146='V06 Calend 01'!C27),('V06 Calend 01'!F27+'V06 Calend 01'!G27),0)+IF(AND(('V06 Calend 01'!E27&gt;0),(146&gt;'V06 Calend 01'!C27),(146&lt;'V06 Calend 01'!D27),(MOD((146-'V06 Calend 01'!C27),6)=0),(((146-'V06 Calend 01'!C27)/6)&lt;='V06 Calend 01'!E27)),IF((146=('V06 Calend 01'!C27+(6*'V06 Calend 01'!E27))),('V06 Calend 01'!H27-('V06 Calend 01'!I27*('V06 Calend 01'!E27-1))),'V06 Calend 01'!I27),0))+IF((146='V06 Calend 01'!D27),'V06 Calend 01'!J27,0))</f>
        <v>0</v>
      </c>
      <c r="FC27" s="2">
        <f>((IF((147='V06 Calend 01'!C27),('V06 Calend 01'!F27+'V06 Calend 01'!G27),0)+IF(AND(('V06 Calend 01'!E27&gt;0),(147&gt;'V06 Calend 01'!C27),(147&lt;'V06 Calend 01'!D27),(MOD((147-'V06 Calend 01'!C27),6)=0),(((147-'V06 Calend 01'!C27)/6)&lt;='V06 Calend 01'!E27)),IF((147=('V06 Calend 01'!C27+(6*'V06 Calend 01'!E27))),('V06 Calend 01'!H27-('V06 Calend 01'!I27*('V06 Calend 01'!E27-1))),'V06 Calend 01'!I27),0))+IF((147='V06 Calend 01'!D27),'V06 Calend 01'!J27,0))</f>
        <v>0</v>
      </c>
      <c r="FD27" s="2">
        <f>((IF((148='V06 Calend 01'!C27),('V06 Calend 01'!F27+'V06 Calend 01'!G27),0)+IF(AND(('V06 Calend 01'!E27&gt;0),(148&gt;'V06 Calend 01'!C27),(148&lt;'V06 Calend 01'!D27),(MOD((148-'V06 Calend 01'!C27),6)=0),(((148-'V06 Calend 01'!C27)/6)&lt;='V06 Calend 01'!E27)),IF((148=('V06 Calend 01'!C27+(6*'V06 Calend 01'!E27))),('V06 Calend 01'!H27-('V06 Calend 01'!I27*('V06 Calend 01'!E27-1))),'V06 Calend 01'!I27),0))+IF((148='V06 Calend 01'!D27),'V06 Calend 01'!J27,0))</f>
        <v>0</v>
      </c>
      <c r="FE27" s="2">
        <f>((IF((149='V06 Calend 01'!C27),('V06 Calend 01'!F27+'V06 Calend 01'!G27),0)+IF(AND(('V06 Calend 01'!E27&gt;0),(149&gt;'V06 Calend 01'!C27),(149&lt;'V06 Calend 01'!D27),(MOD((149-'V06 Calend 01'!C27),6)=0),(((149-'V06 Calend 01'!C27)/6)&lt;='V06 Calend 01'!E27)),IF((149=('V06 Calend 01'!C27+(6*'V06 Calend 01'!E27))),('V06 Calend 01'!H27-('V06 Calend 01'!I27*('V06 Calend 01'!E27-1))),'V06 Calend 01'!I27),0))+IF((149='V06 Calend 01'!D27),'V06 Calend 01'!J27,0))</f>
        <v>0</v>
      </c>
      <c r="FF27" s="2">
        <f>((IF((150='V06 Calend 01'!C27),('V06 Calend 01'!F27+'V06 Calend 01'!G27),0)+IF(AND(('V06 Calend 01'!E27&gt;0),(150&gt;'V06 Calend 01'!C27),(150&lt;'V06 Calend 01'!D27),(MOD((150-'V06 Calend 01'!C27),6)=0),(((150-'V06 Calend 01'!C27)/6)&lt;='V06 Calend 01'!E27)),IF((150=('V06 Calend 01'!C27+(6*'V06 Calend 01'!E27))),('V06 Calend 01'!H27-('V06 Calend 01'!I27*('V06 Calend 01'!E27-1))),'V06 Calend 01'!I27),0))+IF((150='V06 Calend 01'!D27),'V06 Calend 01'!J27,0))</f>
        <v>0</v>
      </c>
      <c r="FG27" s="2">
        <f>((IF((151='V06 Calend 01'!C27),('V06 Calend 01'!F27+'V06 Calend 01'!G27),0)+IF(AND(('V06 Calend 01'!E27&gt;0),(151&gt;'V06 Calend 01'!C27),(151&lt;'V06 Calend 01'!D27),(MOD((151-'V06 Calend 01'!C27),6)=0),(((151-'V06 Calend 01'!C27)/6)&lt;='V06 Calend 01'!E27)),IF((151=('V06 Calend 01'!C27+(6*'V06 Calend 01'!E27))),('V06 Calend 01'!H27-('V06 Calend 01'!I27*('V06 Calend 01'!E27-1))),'V06 Calend 01'!I27),0))+IF((151='V06 Calend 01'!D27),'V06 Calend 01'!J27,0))</f>
        <v>0</v>
      </c>
      <c r="FH27" s="2">
        <f>((IF((152='V06 Calend 01'!C27),('V06 Calend 01'!F27+'V06 Calend 01'!G27),0)+IF(AND(('V06 Calend 01'!E27&gt;0),(152&gt;'V06 Calend 01'!C27),(152&lt;'V06 Calend 01'!D27),(MOD((152-'V06 Calend 01'!C27),6)=0),(((152-'V06 Calend 01'!C27)/6)&lt;='V06 Calend 01'!E27)),IF((152=('V06 Calend 01'!C27+(6*'V06 Calend 01'!E27))),('V06 Calend 01'!H27-('V06 Calend 01'!I27*('V06 Calend 01'!E27-1))),'V06 Calend 01'!I27),0))+IF((152='V06 Calend 01'!D27),'V06 Calend 01'!J27,0))</f>
        <v>0</v>
      </c>
      <c r="FI27" s="2">
        <f>((IF((153='V06 Calend 01'!C27),('V06 Calend 01'!F27+'V06 Calend 01'!G27),0)+IF(AND(('V06 Calend 01'!E27&gt;0),(153&gt;'V06 Calend 01'!C27),(153&lt;'V06 Calend 01'!D27),(MOD((153-'V06 Calend 01'!C27),6)=0),(((153-'V06 Calend 01'!C27)/6)&lt;='V06 Calend 01'!E27)),IF((153=('V06 Calend 01'!C27+(6*'V06 Calend 01'!E27))),('V06 Calend 01'!H27-('V06 Calend 01'!I27*('V06 Calend 01'!E27-1))),'V06 Calend 01'!I27),0))+IF((153='V06 Calend 01'!D27),'V06 Calend 01'!J27,0))</f>
        <v>0</v>
      </c>
      <c r="FJ27" s="2">
        <f>((IF((154='V06 Calend 01'!C27),('V06 Calend 01'!F27+'V06 Calend 01'!G27),0)+IF(AND(('V06 Calend 01'!E27&gt;0),(154&gt;'V06 Calend 01'!C27),(154&lt;'V06 Calend 01'!D27),(MOD((154-'V06 Calend 01'!C27),6)=0),(((154-'V06 Calend 01'!C27)/6)&lt;='V06 Calend 01'!E27)),IF((154=('V06 Calend 01'!C27+(6*'V06 Calend 01'!E27))),('V06 Calend 01'!H27-('V06 Calend 01'!I27*('V06 Calend 01'!E27-1))),'V06 Calend 01'!I27),0))+IF((154='V06 Calend 01'!D27),'V06 Calend 01'!J27,0))</f>
        <v>0</v>
      </c>
      <c r="FK27" s="2">
        <f>((IF((155='V06 Calend 01'!C27),('V06 Calend 01'!F27+'V06 Calend 01'!G27),0)+IF(AND(('V06 Calend 01'!E27&gt;0),(155&gt;'V06 Calend 01'!C27),(155&lt;'V06 Calend 01'!D27),(MOD((155-'V06 Calend 01'!C27),6)=0),(((155-'V06 Calend 01'!C27)/6)&lt;='V06 Calend 01'!E27)),IF((155=('V06 Calend 01'!C27+(6*'V06 Calend 01'!E27))),('V06 Calend 01'!H27-('V06 Calend 01'!I27*('V06 Calend 01'!E27-1))),'V06 Calend 01'!I27),0))+IF((155='V06 Calend 01'!D27),'V06 Calend 01'!J27,0))</f>
        <v>0</v>
      </c>
      <c r="FL27" s="2">
        <f>((IF((156='V06 Calend 01'!C27),('V06 Calend 01'!F27+'V06 Calend 01'!G27),0)+IF(AND(('V06 Calend 01'!E27&gt;0),(156&gt;'V06 Calend 01'!C27),(156&lt;'V06 Calend 01'!D27),(MOD((156-'V06 Calend 01'!C27),6)=0),(((156-'V06 Calend 01'!C27)/6)&lt;='V06 Calend 01'!E27)),IF((156=('V06 Calend 01'!C27+(6*'V06 Calend 01'!E27))),('V06 Calend 01'!H27-('V06 Calend 01'!I27*('V06 Calend 01'!E27-1))),'V06 Calend 01'!I27),0))+IF((156='V06 Calend 01'!D27),'V06 Calend 01'!J27,0))</f>
        <v>0</v>
      </c>
      <c r="FM27" s="2">
        <f>((IF((157='V06 Calend 01'!C27),('V06 Calend 01'!F27+'V06 Calend 01'!G27),0)+IF(AND(('V06 Calend 01'!E27&gt;0),(157&gt;'V06 Calend 01'!C27),(157&lt;'V06 Calend 01'!D27),(MOD((157-'V06 Calend 01'!C27),6)=0),(((157-'V06 Calend 01'!C27)/6)&lt;='V06 Calend 01'!E27)),IF((157=('V06 Calend 01'!C27+(6*'V06 Calend 01'!E27))),('V06 Calend 01'!H27-('V06 Calend 01'!I27*('V06 Calend 01'!E27-1))),'V06 Calend 01'!I27),0))+IF((157='V06 Calend 01'!D27),'V06 Calend 01'!J27,0))</f>
        <v>0</v>
      </c>
      <c r="FN27" s="2">
        <f>((IF((158='V06 Calend 01'!C27),('V06 Calend 01'!F27+'V06 Calend 01'!G27),0)+IF(AND(('V06 Calend 01'!E27&gt;0),(158&gt;'V06 Calend 01'!C27),(158&lt;'V06 Calend 01'!D27),(MOD((158-'V06 Calend 01'!C27),6)=0),(((158-'V06 Calend 01'!C27)/6)&lt;='V06 Calend 01'!E27)),IF((158=('V06 Calend 01'!C27+(6*'V06 Calend 01'!E27))),('V06 Calend 01'!H27-('V06 Calend 01'!I27*('V06 Calend 01'!E27-1))),'V06 Calend 01'!I27),0))+IF((158='V06 Calend 01'!D27),'V06 Calend 01'!J27,0))</f>
        <v>0</v>
      </c>
      <c r="FO27" s="2">
        <f>((IF((159='V06 Calend 01'!C27),('V06 Calend 01'!F27+'V06 Calend 01'!G27),0)+IF(AND(('V06 Calend 01'!E27&gt;0),(159&gt;'V06 Calend 01'!C27),(159&lt;'V06 Calend 01'!D27),(MOD((159-'V06 Calend 01'!C27),6)=0),(((159-'V06 Calend 01'!C27)/6)&lt;='V06 Calend 01'!E27)),IF((159=('V06 Calend 01'!C27+(6*'V06 Calend 01'!E27))),('V06 Calend 01'!H27-('V06 Calend 01'!I27*('V06 Calend 01'!E27-1))),'V06 Calend 01'!I27),0))+IF((159='V06 Calend 01'!D27),'V06 Calend 01'!J27,0))</f>
        <v>0</v>
      </c>
      <c r="FP27" s="2">
        <f>((IF((160='V06 Calend 01'!C27),('V06 Calend 01'!F27+'V06 Calend 01'!G27),0)+IF(AND(('V06 Calend 01'!E27&gt;0),(160&gt;'V06 Calend 01'!C27),(160&lt;'V06 Calend 01'!D27),(MOD((160-'V06 Calend 01'!C27),6)=0),(((160-'V06 Calend 01'!C27)/6)&lt;='V06 Calend 01'!E27)),IF((160=('V06 Calend 01'!C27+(6*'V06 Calend 01'!E27))),('V06 Calend 01'!H27-('V06 Calend 01'!I27*('V06 Calend 01'!E27-1))),'V06 Calend 01'!I27),0))+IF((160='V06 Calend 01'!D27),'V06 Calend 01'!J27,0))</f>
        <v>0</v>
      </c>
      <c r="FQ27" s="2">
        <f>((IF((161='V06 Calend 01'!C27),('V06 Calend 01'!F27+'V06 Calend 01'!G27),0)+IF(AND(('V06 Calend 01'!E27&gt;0),(161&gt;'V06 Calend 01'!C27),(161&lt;'V06 Calend 01'!D27),(MOD((161-'V06 Calend 01'!C27),6)=0),(((161-'V06 Calend 01'!C27)/6)&lt;='V06 Calend 01'!E27)),IF((161=('V06 Calend 01'!C27+(6*'V06 Calend 01'!E27))),('V06 Calend 01'!H27-('V06 Calend 01'!I27*('V06 Calend 01'!E27-1))),'V06 Calend 01'!I27),0))+IF((161='V06 Calend 01'!D27),'V06 Calend 01'!J27,0))</f>
        <v>0</v>
      </c>
      <c r="FR27" s="2">
        <f>((IF((162='V06 Calend 01'!C27),('V06 Calend 01'!F27+'V06 Calend 01'!G27),0)+IF(AND(('V06 Calend 01'!E27&gt;0),(162&gt;'V06 Calend 01'!C27),(162&lt;'V06 Calend 01'!D27),(MOD((162-'V06 Calend 01'!C27),6)=0),(((162-'V06 Calend 01'!C27)/6)&lt;='V06 Calend 01'!E27)),IF((162=('V06 Calend 01'!C27+(6*'V06 Calend 01'!E27))),('V06 Calend 01'!H27-('V06 Calend 01'!I27*('V06 Calend 01'!E27-1))),'V06 Calend 01'!I27),0))+IF((162='V06 Calend 01'!D27),'V06 Calend 01'!J27,0))</f>
        <v>0</v>
      </c>
      <c r="FS27" s="2">
        <f>((IF((163='V06 Calend 01'!C27),('V06 Calend 01'!F27+'V06 Calend 01'!G27),0)+IF(AND(('V06 Calend 01'!E27&gt;0),(163&gt;'V06 Calend 01'!C27),(163&lt;'V06 Calend 01'!D27),(MOD((163-'V06 Calend 01'!C27),6)=0),(((163-'V06 Calend 01'!C27)/6)&lt;='V06 Calend 01'!E27)),IF((163=('V06 Calend 01'!C27+(6*'V06 Calend 01'!E27))),('V06 Calend 01'!H27-('V06 Calend 01'!I27*('V06 Calend 01'!E27-1))),'V06 Calend 01'!I27),0))+IF((163='V06 Calend 01'!D27),'V06 Calend 01'!J27,0))</f>
        <v>0</v>
      </c>
      <c r="FT27" s="2">
        <f>((IF((164='V06 Calend 01'!C27),('V06 Calend 01'!F27+'V06 Calend 01'!G27),0)+IF(AND(('V06 Calend 01'!E27&gt;0),(164&gt;'V06 Calend 01'!C27),(164&lt;'V06 Calend 01'!D27),(MOD((164-'V06 Calend 01'!C27),6)=0),(((164-'V06 Calend 01'!C27)/6)&lt;='V06 Calend 01'!E27)),IF((164=('V06 Calend 01'!C27+(6*'V06 Calend 01'!E27))),('V06 Calend 01'!H27-('V06 Calend 01'!I27*('V06 Calend 01'!E27-1))),'V06 Calend 01'!I27),0))+IF((164='V06 Calend 01'!D27),'V06 Calend 01'!J27,0))</f>
        <v>0</v>
      </c>
      <c r="FU27" s="2">
        <f>((IF((165='V06 Calend 01'!C27),('V06 Calend 01'!F27+'V06 Calend 01'!G27),0)+IF(AND(('V06 Calend 01'!E27&gt;0),(165&gt;'V06 Calend 01'!C27),(165&lt;'V06 Calend 01'!D27),(MOD((165-'V06 Calend 01'!C27),6)=0),(((165-'V06 Calend 01'!C27)/6)&lt;='V06 Calend 01'!E27)),IF((165=('V06 Calend 01'!C27+(6*'V06 Calend 01'!E27))),('V06 Calend 01'!H27-('V06 Calend 01'!I27*('V06 Calend 01'!E27-1))),'V06 Calend 01'!I27),0))+IF((165='V06 Calend 01'!D27),'V06 Calend 01'!J27,0))</f>
        <v>0</v>
      </c>
      <c r="FV27" s="2">
        <f>((IF((166='V06 Calend 01'!C27),('V06 Calend 01'!F27+'V06 Calend 01'!G27),0)+IF(AND(('V06 Calend 01'!E27&gt;0),(166&gt;'V06 Calend 01'!C27),(166&lt;'V06 Calend 01'!D27),(MOD((166-'V06 Calend 01'!C27),6)=0),(((166-'V06 Calend 01'!C27)/6)&lt;='V06 Calend 01'!E27)),IF((166=('V06 Calend 01'!C27+(6*'V06 Calend 01'!E27))),('V06 Calend 01'!H27-('V06 Calend 01'!I27*('V06 Calend 01'!E27-1))),'V06 Calend 01'!I27),0))+IF((166='V06 Calend 01'!D27),'V06 Calend 01'!J27,0))</f>
        <v>0</v>
      </c>
      <c r="FW27" s="2">
        <f>((IF((167='V06 Calend 01'!C27),('V06 Calend 01'!F27+'V06 Calend 01'!G27),0)+IF(AND(('V06 Calend 01'!E27&gt;0),(167&gt;'V06 Calend 01'!C27),(167&lt;'V06 Calend 01'!D27),(MOD((167-'V06 Calend 01'!C27),6)=0),(((167-'V06 Calend 01'!C27)/6)&lt;='V06 Calend 01'!E27)),IF((167=('V06 Calend 01'!C27+(6*'V06 Calend 01'!E27))),('V06 Calend 01'!H27-('V06 Calend 01'!I27*('V06 Calend 01'!E27-1))),'V06 Calend 01'!I27),0))+IF((167='V06 Calend 01'!D27),'V06 Calend 01'!J27,0))</f>
        <v>0</v>
      </c>
      <c r="FX27" s="2">
        <f>((IF((168='V06 Calend 01'!C27),('V06 Calend 01'!F27+'V06 Calend 01'!G27),0)+IF(AND(('V06 Calend 01'!E27&gt;0),(168&gt;'V06 Calend 01'!C27),(168&lt;'V06 Calend 01'!D27),(MOD((168-'V06 Calend 01'!C27),6)=0),(((168-'V06 Calend 01'!C27)/6)&lt;='V06 Calend 01'!E27)),IF((168=('V06 Calend 01'!C27+(6*'V06 Calend 01'!E27))),('V06 Calend 01'!H27-('V06 Calend 01'!I27*('V06 Calend 01'!E27-1))),'V06 Calend 01'!I27),0))+IF((168='V06 Calend 01'!D27),'V06 Calend 01'!J27,0))</f>
        <v>0</v>
      </c>
      <c r="FY27" s="2">
        <f>((IF((169='V06 Calend 01'!C27),('V06 Calend 01'!F27+'V06 Calend 01'!G27),0)+IF(AND(('V06 Calend 01'!E27&gt;0),(169&gt;'V06 Calend 01'!C27),(169&lt;'V06 Calend 01'!D27),(MOD((169-'V06 Calend 01'!C27),6)=0),(((169-'V06 Calend 01'!C27)/6)&lt;='V06 Calend 01'!E27)),IF((169=('V06 Calend 01'!C27+(6*'V06 Calend 01'!E27))),('V06 Calend 01'!H27-('V06 Calend 01'!I27*('V06 Calend 01'!E27-1))),'V06 Calend 01'!I27),0))+IF((169='V06 Calend 01'!D27),'V06 Calend 01'!J27,0))</f>
        <v>0</v>
      </c>
      <c r="FZ27" s="2">
        <f>((IF((170='V06 Calend 01'!C27),('V06 Calend 01'!F27+'V06 Calend 01'!G27),0)+IF(AND(('V06 Calend 01'!E27&gt;0),(170&gt;'V06 Calend 01'!C27),(170&lt;'V06 Calend 01'!D27),(MOD((170-'V06 Calend 01'!C27),6)=0),(((170-'V06 Calend 01'!C27)/6)&lt;='V06 Calend 01'!E27)),IF((170=('V06 Calend 01'!C27+(6*'V06 Calend 01'!E27))),('V06 Calend 01'!H27-('V06 Calend 01'!I27*('V06 Calend 01'!E27-1))),'V06 Calend 01'!I27),0))+IF((170='V06 Calend 01'!D27),'V06 Calend 01'!J27,0))</f>
        <v>0</v>
      </c>
      <c r="GA27" s="2">
        <f>((IF((171='V06 Calend 01'!C27),('V06 Calend 01'!F27+'V06 Calend 01'!G27),0)+IF(AND(('V06 Calend 01'!E27&gt;0),(171&gt;'V06 Calend 01'!C27),(171&lt;'V06 Calend 01'!D27),(MOD((171-'V06 Calend 01'!C27),6)=0),(((171-'V06 Calend 01'!C27)/6)&lt;='V06 Calend 01'!E27)),IF((171=('V06 Calend 01'!C27+(6*'V06 Calend 01'!E27))),('V06 Calend 01'!H27-('V06 Calend 01'!I27*('V06 Calend 01'!E27-1))),'V06 Calend 01'!I27),0))+IF((171='V06 Calend 01'!D27),'V06 Calend 01'!J27,0))</f>
        <v>0</v>
      </c>
      <c r="GB27" s="2">
        <f>((IF((172='V06 Calend 01'!C27),('V06 Calend 01'!F27+'V06 Calend 01'!G27),0)+IF(AND(('V06 Calend 01'!E27&gt;0),(172&gt;'V06 Calend 01'!C27),(172&lt;'V06 Calend 01'!D27),(MOD((172-'V06 Calend 01'!C27),6)=0),(((172-'V06 Calend 01'!C27)/6)&lt;='V06 Calend 01'!E27)),IF((172=('V06 Calend 01'!C27+(6*'V06 Calend 01'!E27))),('V06 Calend 01'!H27-('V06 Calend 01'!I27*('V06 Calend 01'!E27-1))),'V06 Calend 01'!I27),0))+IF((172='V06 Calend 01'!D27),'V06 Calend 01'!J27,0))</f>
        <v>0</v>
      </c>
      <c r="GC27" s="2">
        <f>((IF((173='V06 Calend 01'!C27),('V06 Calend 01'!F27+'V06 Calend 01'!G27),0)+IF(AND(('V06 Calend 01'!E27&gt;0),(173&gt;'V06 Calend 01'!C27),(173&lt;'V06 Calend 01'!D27),(MOD((173-'V06 Calend 01'!C27),6)=0),(((173-'V06 Calend 01'!C27)/6)&lt;='V06 Calend 01'!E27)),IF((173=('V06 Calend 01'!C27+(6*'V06 Calend 01'!E27))),('V06 Calend 01'!H27-('V06 Calend 01'!I27*('V06 Calend 01'!E27-1))),'V06 Calend 01'!I27),0))+IF((173='V06 Calend 01'!D27),'V06 Calend 01'!J27,0))</f>
        <v>0</v>
      </c>
      <c r="GD27" s="2">
        <f>((IF((174='V06 Calend 01'!C27),('V06 Calend 01'!F27+'V06 Calend 01'!G27),0)+IF(AND(('V06 Calend 01'!E27&gt;0),(174&gt;'V06 Calend 01'!C27),(174&lt;'V06 Calend 01'!D27),(MOD((174-'V06 Calend 01'!C27),6)=0),(((174-'V06 Calend 01'!C27)/6)&lt;='V06 Calend 01'!E27)),IF((174=('V06 Calend 01'!C27+(6*'V06 Calend 01'!E27))),('V06 Calend 01'!H27-('V06 Calend 01'!I27*('V06 Calend 01'!E27-1))),'V06 Calend 01'!I27),0))+IF((174='V06 Calend 01'!D27),'V06 Calend 01'!J27,0))</f>
        <v>0</v>
      </c>
      <c r="GE27" s="2">
        <f>((IF((175='V06 Calend 01'!C27),('V06 Calend 01'!F27+'V06 Calend 01'!G27),0)+IF(AND(('V06 Calend 01'!E27&gt;0),(175&gt;'V06 Calend 01'!C27),(175&lt;'V06 Calend 01'!D27),(MOD((175-'V06 Calend 01'!C27),6)=0),(((175-'V06 Calend 01'!C27)/6)&lt;='V06 Calend 01'!E27)),IF((175=('V06 Calend 01'!C27+(6*'V06 Calend 01'!E27))),('V06 Calend 01'!H27-('V06 Calend 01'!I27*('V06 Calend 01'!E27-1))),'V06 Calend 01'!I27),0))+IF((175='V06 Calend 01'!D27),'V06 Calend 01'!J27,0))</f>
        <v>0</v>
      </c>
      <c r="GF27" s="2">
        <f>((IF((176='V06 Calend 01'!C27),('V06 Calend 01'!F27+'V06 Calend 01'!G27),0)+IF(AND(('V06 Calend 01'!E27&gt;0),(176&gt;'V06 Calend 01'!C27),(176&lt;'V06 Calend 01'!D27),(MOD((176-'V06 Calend 01'!C27),6)=0),(((176-'V06 Calend 01'!C27)/6)&lt;='V06 Calend 01'!E27)),IF((176=('V06 Calend 01'!C27+(6*'V06 Calend 01'!E27))),('V06 Calend 01'!H27-('V06 Calend 01'!I27*('V06 Calend 01'!E27-1))),'V06 Calend 01'!I27),0))+IF((176='V06 Calend 01'!D27),'V06 Calend 01'!J27,0))</f>
        <v>0</v>
      </c>
      <c r="GG27" s="2">
        <f>((IF((177='V06 Calend 01'!C27),('V06 Calend 01'!F27+'V06 Calend 01'!G27),0)+IF(AND(('V06 Calend 01'!E27&gt;0),(177&gt;'V06 Calend 01'!C27),(177&lt;'V06 Calend 01'!D27),(MOD((177-'V06 Calend 01'!C27),6)=0),(((177-'V06 Calend 01'!C27)/6)&lt;='V06 Calend 01'!E27)),IF((177=('V06 Calend 01'!C27+(6*'V06 Calend 01'!E27))),('V06 Calend 01'!H27-('V06 Calend 01'!I27*('V06 Calend 01'!E27-1))),'V06 Calend 01'!I27),0))+IF((177='V06 Calend 01'!D27),'V06 Calend 01'!J27,0))</f>
        <v>0</v>
      </c>
      <c r="GH27" s="2">
        <f>((IF((178='V06 Calend 01'!C27),('V06 Calend 01'!F27+'V06 Calend 01'!G27),0)+IF(AND(('V06 Calend 01'!E27&gt;0),(178&gt;'V06 Calend 01'!C27),(178&lt;'V06 Calend 01'!D27),(MOD((178-'V06 Calend 01'!C27),6)=0),(((178-'V06 Calend 01'!C27)/6)&lt;='V06 Calend 01'!E27)),IF((178=('V06 Calend 01'!C27+(6*'V06 Calend 01'!E27))),('V06 Calend 01'!H27-('V06 Calend 01'!I27*('V06 Calend 01'!E27-1))),'V06 Calend 01'!I27),0))+IF((178='V06 Calend 01'!D27),'V06 Calend 01'!J27,0))</f>
        <v>0</v>
      </c>
      <c r="GI27" s="2">
        <f>((IF((179='V06 Calend 01'!C27),('V06 Calend 01'!F27+'V06 Calend 01'!G27),0)+IF(AND(('V06 Calend 01'!E27&gt;0),(179&gt;'V06 Calend 01'!C27),(179&lt;'V06 Calend 01'!D27),(MOD((179-'V06 Calend 01'!C27),6)=0),(((179-'V06 Calend 01'!C27)/6)&lt;='V06 Calend 01'!E27)),IF((179=('V06 Calend 01'!C27+(6*'V06 Calend 01'!E27))),('V06 Calend 01'!H27-('V06 Calend 01'!I27*('V06 Calend 01'!E27-1))),'V06 Calend 01'!I27),0))+IF((179='V06 Calend 01'!D27),'V06 Calend 01'!J27,0))</f>
        <v>0</v>
      </c>
      <c r="GJ27" s="2">
        <f>((IF((180='V06 Calend 01'!C27),('V06 Calend 01'!F27+'V06 Calend 01'!G27),0)+IF(AND(('V06 Calend 01'!E27&gt;0),(180&gt;'V06 Calend 01'!C27),(180&lt;'V06 Calend 01'!D27),(MOD((180-'V06 Calend 01'!C27),6)=0),(((180-'V06 Calend 01'!C27)/6)&lt;='V06 Calend 01'!E27)),IF((180=('V06 Calend 01'!C27+(6*'V06 Calend 01'!E27))),('V06 Calend 01'!H27-('V06 Calend 01'!I27*('V06 Calend 01'!E27-1))),'V06 Calend 01'!I27),0))+IF((180='V06 Calend 01'!D27),'V06 Calend 01'!J27,0))</f>
        <v>0</v>
      </c>
    </row>
    <row r="28" spans="1:192">
      <c r="A28" s="3" t="str">
        <f>'V06 Unidades'!$A$28</f>
        <v>404</v>
      </c>
      <c r="B28" s="2">
        <f>'V06 Unidades'!$H$28</f>
        <v>268382.4</v>
      </c>
      <c r="C28" s="4">
        <f>('V06 Unidades'!$I$28+'V06 Controlos'!$B$37)</f>
        <v>13</v>
      </c>
      <c r="D28" s="4">
        <f>IF(('V06 Controlos'!$B$38&gt;0),MAX(('V06 Unidades'!$L$28+'V06 Controlos'!$B$37),(30+'V06 Controlos'!$B$38)),('V06 Unidades'!$L$28+'V06 Controlos'!$B$37))</f>
        <v>30</v>
      </c>
      <c r="E28" s="4">
        <f>MAX(0,INT(((('V06 Calend 01'!D28-'V06 Calend 01'!C28)-1)/6)))</f>
        <v>2</v>
      </c>
      <c r="F28" s="2">
        <f>ROUND(('V06 Calend 01'!B28*0.05),2)</f>
        <v>13419.12</v>
      </c>
      <c r="G28" s="2">
        <f>ROUND(('V06 Calend 01'!B28*0.2),2)</f>
        <v>53676.48</v>
      </c>
      <c r="H28" s="2">
        <f>ROUND(('V06 Calend 01'!B28*0.55),2)</f>
        <v>147610.32</v>
      </c>
      <c r="I28" s="2">
        <f>ROUND(('V06 Calend 01'!H28/MAX(1,'V06 Calend 01'!E28)),2)</f>
        <v>73805.16</v>
      </c>
      <c r="J28" s="2">
        <f>((('V06 Calend 01'!B28-'V06 Calend 01'!F28)-'V06 Calend 01'!G28)-'V06 Calend 01'!H28)</f>
        <v>53676.48000000001</v>
      </c>
      <c r="K28" s="2">
        <f>('V06 Calend 01'!B28*0.025)</f>
        <v>6709.560000000001</v>
      </c>
      <c r="L28" t="s">
        <v>378</v>
      </c>
      <c r="M28" s="2">
        <f>((IF((1='V06 Calend 01'!C28),('V06 Calend 01'!F28+'V06 Calend 01'!G28),0)+IF(AND(('V06 Calend 01'!E28&gt;0),(1&gt;'V06 Calend 01'!C28),(1&lt;'V06 Calend 01'!D28),(MOD((1-'V06 Calend 01'!C28),6)=0),(((1-'V06 Calend 01'!C28)/6)&lt;='V06 Calend 01'!E28)),IF((1=('V06 Calend 01'!C28+(6*'V06 Calend 01'!E28))),('V06 Calend 01'!H28-('V06 Calend 01'!I28*('V06 Calend 01'!E28-1))),'V06 Calend 01'!I28),0))+IF((1='V06 Calend 01'!D28),'V06 Calend 01'!J28,0))</f>
        <v>0</v>
      </c>
      <c r="N28" s="2">
        <f>((IF((2='V06 Calend 01'!C28),('V06 Calend 01'!F28+'V06 Calend 01'!G28),0)+IF(AND(('V06 Calend 01'!E28&gt;0),(2&gt;'V06 Calend 01'!C28),(2&lt;'V06 Calend 01'!D28),(MOD((2-'V06 Calend 01'!C28),6)=0),(((2-'V06 Calend 01'!C28)/6)&lt;='V06 Calend 01'!E28)),IF((2=('V06 Calend 01'!C28+(6*'V06 Calend 01'!E28))),('V06 Calend 01'!H28-('V06 Calend 01'!I28*('V06 Calend 01'!E28-1))),'V06 Calend 01'!I28),0))+IF((2='V06 Calend 01'!D28),'V06 Calend 01'!J28,0))</f>
        <v>0</v>
      </c>
      <c r="O28" s="2">
        <f>((IF((3='V06 Calend 01'!C28),('V06 Calend 01'!F28+'V06 Calend 01'!G28),0)+IF(AND(('V06 Calend 01'!E28&gt;0),(3&gt;'V06 Calend 01'!C28),(3&lt;'V06 Calend 01'!D28),(MOD((3-'V06 Calend 01'!C28),6)=0),(((3-'V06 Calend 01'!C28)/6)&lt;='V06 Calend 01'!E28)),IF((3=('V06 Calend 01'!C28+(6*'V06 Calend 01'!E28))),('V06 Calend 01'!H28-('V06 Calend 01'!I28*('V06 Calend 01'!E28-1))),'V06 Calend 01'!I28),0))+IF((3='V06 Calend 01'!D28),'V06 Calend 01'!J28,0))</f>
        <v>0</v>
      </c>
      <c r="P28" s="2">
        <f>((IF((4='V06 Calend 01'!C28),('V06 Calend 01'!F28+'V06 Calend 01'!G28),0)+IF(AND(('V06 Calend 01'!E28&gt;0),(4&gt;'V06 Calend 01'!C28),(4&lt;'V06 Calend 01'!D28),(MOD((4-'V06 Calend 01'!C28),6)=0),(((4-'V06 Calend 01'!C28)/6)&lt;='V06 Calend 01'!E28)),IF((4=('V06 Calend 01'!C28+(6*'V06 Calend 01'!E28))),('V06 Calend 01'!H28-('V06 Calend 01'!I28*('V06 Calend 01'!E28-1))),'V06 Calend 01'!I28),0))+IF((4='V06 Calend 01'!D28),'V06 Calend 01'!J28,0))</f>
        <v>0</v>
      </c>
      <c r="Q28" s="2">
        <f>((IF((5='V06 Calend 01'!C28),('V06 Calend 01'!F28+'V06 Calend 01'!G28),0)+IF(AND(('V06 Calend 01'!E28&gt;0),(5&gt;'V06 Calend 01'!C28),(5&lt;'V06 Calend 01'!D28),(MOD((5-'V06 Calend 01'!C28),6)=0),(((5-'V06 Calend 01'!C28)/6)&lt;='V06 Calend 01'!E28)),IF((5=('V06 Calend 01'!C28+(6*'V06 Calend 01'!E28))),('V06 Calend 01'!H28-('V06 Calend 01'!I28*('V06 Calend 01'!E28-1))),'V06 Calend 01'!I28),0))+IF((5='V06 Calend 01'!D28),'V06 Calend 01'!J28,0))</f>
        <v>0</v>
      </c>
      <c r="R28" s="2">
        <f>((IF((6='V06 Calend 01'!C28),('V06 Calend 01'!F28+'V06 Calend 01'!G28),0)+IF(AND(('V06 Calend 01'!E28&gt;0),(6&gt;'V06 Calend 01'!C28),(6&lt;'V06 Calend 01'!D28),(MOD((6-'V06 Calend 01'!C28),6)=0),(((6-'V06 Calend 01'!C28)/6)&lt;='V06 Calend 01'!E28)),IF((6=('V06 Calend 01'!C28+(6*'V06 Calend 01'!E28))),('V06 Calend 01'!H28-('V06 Calend 01'!I28*('V06 Calend 01'!E28-1))),'V06 Calend 01'!I28),0))+IF((6='V06 Calend 01'!D28),'V06 Calend 01'!J28,0))</f>
        <v>0</v>
      </c>
      <c r="S28" s="2">
        <f>((IF((7='V06 Calend 01'!C28),('V06 Calend 01'!F28+'V06 Calend 01'!G28),0)+IF(AND(('V06 Calend 01'!E28&gt;0),(7&gt;'V06 Calend 01'!C28),(7&lt;'V06 Calend 01'!D28),(MOD((7-'V06 Calend 01'!C28),6)=0),(((7-'V06 Calend 01'!C28)/6)&lt;='V06 Calend 01'!E28)),IF((7=('V06 Calend 01'!C28+(6*'V06 Calend 01'!E28))),('V06 Calend 01'!H28-('V06 Calend 01'!I28*('V06 Calend 01'!E28-1))),'V06 Calend 01'!I28),0))+IF((7='V06 Calend 01'!D28),'V06 Calend 01'!J28,0))</f>
        <v>0</v>
      </c>
      <c r="T28" s="2">
        <f>((IF((8='V06 Calend 01'!C28),('V06 Calend 01'!F28+'V06 Calend 01'!G28),0)+IF(AND(('V06 Calend 01'!E28&gt;0),(8&gt;'V06 Calend 01'!C28),(8&lt;'V06 Calend 01'!D28),(MOD((8-'V06 Calend 01'!C28),6)=0),(((8-'V06 Calend 01'!C28)/6)&lt;='V06 Calend 01'!E28)),IF((8=('V06 Calend 01'!C28+(6*'V06 Calend 01'!E28))),('V06 Calend 01'!H28-('V06 Calend 01'!I28*('V06 Calend 01'!E28-1))),'V06 Calend 01'!I28),0))+IF((8='V06 Calend 01'!D28),'V06 Calend 01'!J28,0))</f>
        <v>0</v>
      </c>
      <c r="U28" s="2">
        <f>((IF((9='V06 Calend 01'!C28),('V06 Calend 01'!F28+'V06 Calend 01'!G28),0)+IF(AND(('V06 Calend 01'!E28&gt;0),(9&gt;'V06 Calend 01'!C28),(9&lt;'V06 Calend 01'!D28),(MOD((9-'V06 Calend 01'!C28),6)=0),(((9-'V06 Calend 01'!C28)/6)&lt;='V06 Calend 01'!E28)),IF((9=('V06 Calend 01'!C28+(6*'V06 Calend 01'!E28))),('V06 Calend 01'!H28-('V06 Calend 01'!I28*('V06 Calend 01'!E28-1))),'V06 Calend 01'!I28),0))+IF((9='V06 Calend 01'!D28),'V06 Calend 01'!J28,0))</f>
        <v>0</v>
      </c>
      <c r="V28" s="2">
        <f>((IF((10='V06 Calend 01'!C28),('V06 Calend 01'!F28+'V06 Calend 01'!G28),0)+IF(AND(('V06 Calend 01'!E28&gt;0),(10&gt;'V06 Calend 01'!C28),(10&lt;'V06 Calend 01'!D28),(MOD((10-'V06 Calend 01'!C28),6)=0),(((10-'V06 Calend 01'!C28)/6)&lt;='V06 Calend 01'!E28)),IF((10=('V06 Calend 01'!C28+(6*'V06 Calend 01'!E28))),('V06 Calend 01'!H28-('V06 Calend 01'!I28*('V06 Calend 01'!E28-1))),'V06 Calend 01'!I28),0))+IF((10='V06 Calend 01'!D28),'V06 Calend 01'!J28,0))</f>
        <v>0</v>
      </c>
      <c r="W28" s="2">
        <f>((IF((11='V06 Calend 01'!C28),('V06 Calend 01'!F28+'V06 Calend 01'!G28),0)+IF(AND(('V06 Calend 01'!E28&gt;0),(11&gt;'V06 Calend 01'!C28),(11&lt;'V06 Calend 01'!D28),(MOD((11-'V06 Calend 01'!C28),6)=0),(((11-'V06 Calend 01'!C28)/6)&lt;='V06 Calend 01'!E28)),IF((11=('V06 Calend 01'!C28+(6*'V06 Calend 01'!E28))),('V06 Calend 01'!H28-('V06 Calend 01'!I28*('V06 Calend 01'!E28-1))),'V06 Calend 01'!I28),0))+IF((11='V06 Calend 01'!D28),'V06 Calend 01'!J28,0))</f>
        <v>0</v>
      </c>
      <c r="X28" s="2">
        <f>((IF((12='V06 Calend 01'!C28),('V06 Calend 01'!F28+'V06 Calend 01'!G28),0)+IF(AND(('V06 Calend 01'!E28&gt;0),(12&gt;'V06 Calend 01'!C28),(12&lt;'V06 Calend 01'!D28),(MOD((12-'V06 Calend 01'!C28),6)=0),(((12-'V06 Calend 01'!C28)/6)&lt;='V06 Calend 01'!E28)),IF((12=('V06 Calend 01'!C28+(6*'V06 Calend 01'!E28))),('V06 Calend 01'!H28-('V06 Calend 01'!I28*('V06 Calend 01'!E28-1))),'V06 Calend 01'!I28),0))+IF((12='V06 Calend 01'!D28),'V06 Calend 01'!J28,0))</f>
        <v>0</v>
      </c>
      <c r="Y28" s="2">
        <f>((IF((13='V06 Calend 01'!C28),('V06 Calend 01'!F28+'V06 Calend 01'!G28),0)+IF(AND(('V06 Calend 01'!E28&gt;0),(13&gt;'V06 Calend 01'!C28),(13&lt;'V06 Calend 01'!D28),(MOD((13-'V06 Calend 01'!C28),6)=0),(((13-'V06 Calend 01'!C28)/6)&lt;='V06 Calend 01'!E28)),IF((13=('V06 Calend 01'!C28+(6*'V06 Calend 01'!E28))),('V06 Calend 01'!H28-('V06 Calend 01'!I28*('V06 Calend 01'!E28-1))),'V06 Calend 01'!I28),0))+IF((13='V06 Calend 01'!D28),'V06 Calend 01'!J28,0))</f>
        <v>67095.6</v>
      </c>
      <c r="Z28" s="2">
        <f>((IF((14='V06 Calend 01'!C28),('V06 Calend 01'!F28+'V06 Calend 01'!G28),0)+IF(AND(('V06 Calend 01'!E28&gt;0),(14&gt;'V06 Calend 01'!C28),(14&lt;'V06 Calend 01'!D28),(MOD((14-'V06 Calend 01'!C28),6)=0),(((14-'V06 Calend 01'!C28)/6)&lt;='V06 Calend 01'!E28)),IF((14=('V06 Calend 01'!C28+(6*'V06 Calend 01'!E28))),('V06 Calend 01'!H28-('V06 Calend 01'!I28*('V06 Calend 01'!E28-1))),'V06 Calend 01'!I28),0))+IF((14='V06 Calend 01'!D28),'V06 Calend 01'!J28,0))</f>
        <v>0</v>
      </c>
      <c r="AA28" s="2">
        <f>((IF((15='V06 Calend 01'!C28),('V06 Calend 01'!F28+'V06 Calend 01'!G28),0)+IF(AND(('V06 Calend 01'!E28&gt;0),(15&gt;'V06 Calend 01'!C28),(15&lt;'V06 Calend 01'!D28),(MOD((15-'V06 Calend 01'!C28),6)=0),(((15-'V06 Calend 01'!C28)/6)&lt;='V06 Calend 01'!E28)),IF((15=('V06 Calend 01'!C28+(6*'V06 Calend 01'!E28))),('V06 Calend 01'!H28-('V06 Calend 01'!I28*('V06 Calend 01'!E28-1))),'V06 Calend 01'!I28),0))+IF((15='V06 Calend 01'!D28),'V06 Calend 01'!J28,0))</f>
        <v>0</v>
      </c>
      <c r="AB28" s="2">
        <f>((IF((16='V06 Calend 01'!C28),('V06 Calend 01'!F28+'V06 Calend 01'!G28),0)+IF(AND(('V06 Calend 01'!E28&gt;0),(16&gt;'V06 Calend 01'!C28),(16&lt;'V06 Calend 01'!D28),(MOD((16-'V06 Calend 01'!C28),6)=0),(((16-'V06 Calend 01'!C28)/6)&lt;='V06 Calend 01'!E28)),IF((16=('V06 Calend 01'!C28+(6*'V06 Calend 01'!E28))),('V06 Calend 01'!H28-('V06 Calend 01'!I28*('V06 Calend 01'!E28-1))),'V06 Calend 01'!I28),0))+IF((16='V06 Calend 01'!D28),'V06 Calend 01'!J28,0))</f>
        <v>0</v>
      </c>
      <c r="AC28" s="2">
        <f>((IF((17='V06 Calend 01'!C28),('V06 Calend 01'!F28+'V06 Calend 01'!G28),0)+IF(AND(('V06 Calend 01'!E28&gt;0),(17&gt;'V06 Calend 01'!C28),(17&lt;'V06 Calend 01'!D28),(MOD((17-'V06 Calend 01'!C28),6)=0),(((17-'V06 Calend 01'!C28)/6)&lt;='V06 Calend 01'!E28)),IF((17=('V06 Calend 01'!C28+(6*'V06 Calend 01'!E28))),('V06 Calend 01'!H28-('V06 Calend 01'!I28*('V06 Calend 01'!E28-1))),'V06 Calend 01'!I28),0))+IF((17='V06 Calend 01'!D28),'V06 Calend 01'!J28,0))</f>
        <v>0</v>
      </c>
      <c r="AD28" s="2">
        <f>((IF((18='V06 Calend 01'!C28),('V06 Calend 01'!F28+'V06 Calend 01'!G28),0)+IF(AND(('V06 Calend 01'!E28&gt;0),(18&gt;'V06 Calend 01'!C28),(18&lt;'V06 Calend 01'!D28),(MOD((18-'V06 Calend 01'!C28),6)=0),(((18-'V06 Calend 01'!C28)/6)&lt;='V06 Calend 01'!E28)),IF((18=('V06 Calend 01'!C28+(6*'V06 Calend 01'!E28))),('V06 Calend 01'!H28-('V06 Calend 01'!I28*('V06 Calend 01'!E28-1))),'V06 Calend 01'!I28),0))+IF((18='V06 Calend 01'!D28),'V06 Calend 01'!J28,0))</f>
        <v>0</v>
      </c>
      <c r="AE28" s="2">
        <f>((IF((19='V06 Calend 01'!C28),('V06 Calend 01'!F28+'V06 Calend 01'!G28),0)+IF(AND(('V06 Calend 01'!E28&gt;0),(19&gt;'V06 Calend 01'!C28),(19&lt;'V06 Calend 01'!D28),(MOD((19-'V06 Calend 01'!C28),6)=0),(((19-'V06 Calend 01'!C28)/6)&lt;='V06 Calend 01'!E28)),IF((19=('V06 Calend 01'!C28+(6*'V06 Calend 01'!E28))),('V06 Calend 01'!H28-('V06 Calend 01'!I28*('V06 Calend 01'!E28-1))),'V06 Calend 01'!I28),0))+IF((19='V06 Calend 01'!D28),'V06 Calend 01'!J28,0))</f>
        <v>73805.16</v>
      </c>
      <c r="AF28" s="2">
        <f>((IF((20='V06 Calend 01'!C28),('V06 Calend 01'!F28+'V06 Calend 01'!G28),0)+IF(AND(('V06 Calend 01'!E28&gt;0),(20&gt;'V06 Calend 01'!C28),(20&lt;'V06 Calend 01'!D28),(MOD((20-'V06 Calend 01'!C28),6)=0),(((20-'V06 Calend 01'!C28)/6)&lt;='V06 Calend 01'!E28)),IF((20=('V06 Calend 01'!C28+(6*'V06 Calend 01'!E28))),('V06 Calend 01'!H28-('V06 Calend 01'!I28*('V06 Calend 01'!E28-1))),'V06 Calend 01'!I28),0))+IF((20='V06 Calend 01'!D28),'V06 Calend 01'!J28,0))</f>
        <v>0</v>
      </c>
      <c r="AG28" s="2">
        <f>((IF((21='V06 Calend 01'!C28),('V06 Calend 01'!F28+'V06 Calend 01'!G28),0)+IF(AND(('V06 Calend 01'!E28&gt;0),(21&gt;'V06 Calend 01'!C28),(21&lt;'V06 Calend 01'!D28),(MOD((21-'V06 Calend 01'!C28),6)=0),(((21-'V06 Calend 01'!C28)/6)&lt;='V06 Calend 01'!E28)),IF((21=('V06 Calend 01'!C28+(6*'V06 Calend 01'!E28))),('V06 Calend 01'!H28-('V06 Calend 01'!I28*('V06 Calend 01'!E28-1))),'V06 Calend 01'!I28),0))+IF((21='V06 Calend 01'!D28),'V06 Calend 01'!J28,0))</f>
        <v>0</v>
      </c>
      <c r="AH28" s="2">
        <f>((IF((22='V06 Calend 01'!C28),('V06 Calend 01'!F28+'V06 Calend 01'!G28),0)+IF(AND(('V06 Calend 01'!E28&gt;0),(22&gt;'V06 Calend 01'!C28),(22&lt;'V06 Calend 01'!D28),(MOD((22-'V06 Calend 01'!C28),6)=0),(((22-'V06 Calend 01'!C28)/6)&lt;='V06 Calend 01'!E28)),IF((22=('V06 Calend 01'!C28+(6*'V06 Calend 01'!E28))),('V06 Calend 01'!H28-('V06 Calend 01'!I28*('V06 Calend 01'!E28-1))),'V06 Calend 01'!I28),0))+IF((22='V06 Calend 01'!D28),'V06 Calend 01'!J28,0))</f>
        <v>0</v>
      </c>
      <c r="AI28" s="2">
        <f>((IF((23='V06 Calend 01'!C28),('V06 Calend 01'!F28+'V06 Calend 01'!G28),0)+IF(AND(('V06 Calend 01'!E28&gt;0),(23&gt;'V06 Calend 01'!C28),(23&lt;'V06 Calend 01'!D28),(MOD((23-'V06 Calend 01'!C28),6)=0),(((23-'V06 Calend 01'!C28)/6)&lt;='V06 Calend 01'!E28)),IF((23=('V06 Calend 01'!C28+(6*'V06 Calend 01'!E28))),('V06 Calend 01'!H28-('V06 Calend 01'!I28*('V06 Calend 01'!E28-1))),'V06 Calend 01'!I28),0))+IF((23='V06 Calend 01'!D28),'V06 Calend 01'!J28,0))</f>
        <v>0</v>
      </c>
      <c r="AJ28" s="2">
        <f>((IF((24='V06 Calend 01'!C28),('V06 Calend 01'!F28+'V06 Calend 01'!G28),0)+IF(AND(('V06 Calend 01'!E28&gt;0),(24&gt;'V06 Calend 01'!C28),(24&lt;'V06 Calend 01'!D28),(MOD((24-'V06 Calend 01'!C28),6)=0),(((24-'V06 Calend 01'!C28)/6)&lt;='V06 Calend 01'!E28)),IF((24=('V06 Calend 01'!C28+(6*'V06 Calend 01'!E28))),('V06 Calend 01'!H28-('V06 Calend 01'!I28*('V06 Calend 01'!E28-1))),'V06 Calend 01'!I28),0))+IF((24='V06 Calend 01'!D28),'V06 Calend 01'!J28,0))</f>
        <v>0</v>
      </c>
      <c r="AK28" s="2">
        <f>((IF((25='V06 Calend 01'!C28),('V06 Calend 01'!F28+'V06 Calend 01'!G28),0)+IF(AND(('V06 Calend 01'!E28&gt;0),(25&gt;'V06 Calend 01'!C28),(25&lt;'V06 Calend 01'!D28),(MOD((25-'V06 Calend 01'!C28),6)=0),(((25-'V06 Calend 01'!C28)/6)&lt;='V06 Calend 01'!E28)),IF((25=('V06 Calend 01'!C28+(6*'V06 Calend 01'!E28))),('V06 Calend 01'!H28-('V06 Calend 01'!I28*('V06 Calend 01'!E28-1))),'V06 Calend 01'!I28),0))+IF((25='V06 Calend 01'!D28),'V06 Calend 01'!J28,0))</f>
        <v>73805.16</v>
      </c>
      <c r="AL28" s="2">
        <f>((IF((26='V06 Calend 01'!C28),('V06 Calend 01'!F28+'V06 Calend 01'!G28),0)+IF(AND(('V06 Calend 01'!E28&gt;0),(26&gt;'V06 Calend 01'!C28),(26&lt;'V06 Calend 01'!D28),(MOD((26-'V06 Calend 01'!C28),6)=0),(((26-'V06 Calend 01'!C28)/6)&lt;='V06 Calend 01'!E28)),IF((26=('V06 Calend 01'!C28+(6*'V06 Calend 01'!E28))),('V06 Calend 01'!H28-('V06 Calend 01'!I28*('V06 Calend 01'!E28-1))),'V06 Calend 01'!I28),0))+IF((26='V06 Calend 01'!D28),'V06 Calend 01'!J28,0))</f>
        <v>0</v>
      </c>
      <c r="AM28" s="2">
        <f>((IF((27='V06 Calend 01'!C28),('V06 Calend 01'!F28+'V06 Calend 01'!G28),0)+IF(AND(('V06 Calend 01'!E28&gt;0),(27&gt;'V06 Calend 01'!C28),(27&lt;'V06 Calend 01'!D28),(MOD((27-'V06 Calend 01'!C28),6)=0),(((27-'V06 Calend 01'!C28)/6)&lt;='V06 Calend 01'!E28)),IF((27=('V06 Calend 01'!C28+(6*'V06 Calend 01'!E28))),('V06 Calend 01'!H28-('V06 Calend 01'!I28*('V06 Calend 01'!E28-1))),'V06 Calend 01'!I28),0))+IF((27='V06 Calend 01'!D28),'V06 Calend 01'!J28,0))</f>
        <v>0</v>
      </c>
      <c r="AN28" s="2">
        <f>((IF((28='V06 Calend 01'!C28),('V06 Calend 01'!F28+'V06 Calend 01'!G28),0)+IF(AND(('V06 Calend 01'!E28&gt;0),(28&gt;'V06 Calend 01'!C28),(28&lt;'V06 Calend 01'!D28),(MOD((28-'V06 Calend 01'!C28),6)=0),(((28-'V06 Calend 01'!C28)/6)&lt;='V06 Calend 01'!E28)),IF((28=('V06 Calend 01'!C28+(6*'V06 Calend 01'!E28))),('V06 Calend 01'!H28-('V06 Calend 01'!I28*('V06 Calend 01'!E28-1))),'V06 Calend 01'!I28),0))+IF((28='V06 Calend 01'!D28),'V06 Calend 01'!J28,0))</f>
        <v>0</v>
      </c>
      <c r="AO28" s="2">
        <f>((IF((29='V06 Calend 01'!C28),('V06 Calend 01'!F28+'V06 Calend 01'!G28),0)+IF(AND(('V06 Calend 01'!E28&gt;0),(29&gt;'V06 Calend 01'!C28),(29&lt;'V06 Calend 01'!D28),(MOD((29-'V06 Calend 01'!C28),6)=0),(((29-'V06 Calend 01'!C28)/6)&lt;='V06 Calend 01'!E28)),IF((29=('V06 Calend 01'!C28+(6*'V06 Calend 01'!E28))),('V06 Calend 01'!H28-('V06 Calend 01'!I28*('V06 Calend 01'!E28-1))),'V06 Calend 01'!I28),0))+IF((29='V06 Calend 01'!D28),'V06 Calend 01'!J28,0))</f>
        <v>0</v>
      </c>
      <c r="AP28" s="2">
        <f>((IF((30='V06 Calend 01'!C28),('V06 Calend 01'!F28+'V06 Calend 01'!G28),0)+IF(AND(('V06 Calend 01'!E28&gt;0),(30&gt;'V06 Calend 01'!C28),(30&lt;'V06 Calend 01'!D28),(MOD((30-'V06 Calend 01'!C28),6)=0),(((30-'V06 Calend 01'!C28)/6)&lt;='V06 Calend 01'!E28)),IF((30=('V06 Calend 01'!C28+(6*'V06 Calend 01'!E28))),('V06 Calend 01'!H28-('V06 Calend 01'!I28*('V06 Calend 01'!E28-1))),'V06 Calend 01'!I28),0))+IF((30='V06 Calend 01'!D28),'V06 Calend 01'!J28,0))</f>
        <v>53676.48000000001</v>
      </c>
      <c r="AQ28" s="2">
        <f>((IF((31='V06 Calend 01'!C28),('V06 Calend 01'!F28+'V06 Calend 01'!G28),0)+IF(AND(('V06 Calend 01'!E28&gt;0),(31&gt;'V06 Calend 01'!C28),(31&lt;'V06 Calend 01'!D28),(MOD((31-'V06 Calend 01'!C28),6)=0),(((31-'V06 Calend 01'!C28)/6)&lt;='V06 Calend 01'!E28)),IF((31=('V06 Calend 01'!C28+(6*'V06 Calend 01'!E28))),('V06 Calend 01'!H28-('V06 Calend 01'!I28*('V06 Calend 01'!E28-1))),'V06 Calend 01'!I28),0))+IF((31='V06 Calend 01'!D28),'V06 Calend 01'!J28,0))</f>
        <v>0</v>
      </c>
      <c r="AR28" s="2">
        <f>((IF((32='V06 Calend 01'!C28),('V06 Calend 01'!F28+'V06 Calend 01'!G28),0)+IF(AND(('V06 Calend 01'!E28&gt;0),(32&gt;'V06 Calend 01'!C28),(32&lt;'V06 Calend 01'!D28),(MOD((32-'V06 Calend 01'!C28),6)=0),(((32-'V06 Calend 01'!C28)/6)&lt;='V06 Calend 01'!E28)),IF((32=('V06 Calend 01'!C28+(6*'V06 Calend 01'!E28))),('V06 Calend 01'!H28-('V06 Calend 01'!I28*('V06 Calend 01'!E28-1))),'V06 Calend 01'!I28),0))+IF((32='V06 Calend 01'!D28),'V06 Calend 01'!J28,0))</f>
        <v>0</v>
      </c>
      <c r="AS28" s="2">
        <f>((IF((33='V06 Calend 01'!C28),('V06 Calend 01'!F28+'V06 Calend 01'!G28),0)+IF(AND(('V06 Calend 01'!E28&gt;0),(33&gt;'V06 Calend 01'!C28),(33&lt;'V06 Calend 01'!D28),(MOD((33-'V06 Calend 01'!C28),6)=0),(((33-'V06 Calend 01'!C28)/6)&lt;='V06 Calend 01'!E28)),IF((33=('V06 Calend 01'!C28+(6*'V06 Calend 01'!E28))),('V06 Calend 01'!H28-('V06 Calend 01'!I28*('V06 Calend 01'!E28-1))),'V06 Calend 01'!I28),0))+IF((33='V06 Calend 01'!D28),'V06 Calend 01'!J28,0))</f>
        <v>0</v>
      </c>
      <c r="AT28" s="2">
        <f>((IF((34='V06 Calend 01'!C28),('V06 Calend 01'!F28+'V06 Calend 01'!G28),0)+IF(AND(('V06 Calend 01'!E28&gt;0),(34&gt;'V06 Calend 01'!C28),(34&lt;'V06 Calend 01'!D28),(MOD((34-'V06 Calend 01'!C28),6)=0),(((34-'V06 Calend 01'!C28)/6)&lt;='V06 Calend 01'!E28)),IF((34=('V06 Calend 01'!C28+(6*'V06 Calend 01'!E28))),('V06 Calend 01'!H28-('V06 Calend 01'!I28*('V06 Calend 01'!E28-1))),'V06 Calend 01'!I28),0))+IF((34='V06 Calend 01'!D28),'V06 Calend 01'!J28,0))</f>
        <v>0</v>
      </c>
      <c r="AU28" s="2">
        <f>((IF((35='V06 Calend 01'!C28),('V06 Calend 01'!F28+'V06 Calend 01'!G28),0)+IF(AND(('V06 Calend 01'!E28&gt;0),(35&gt;'V06 Calend 01'!C28),(35&lt;'V06 Calend 01'!D28),(MOD((35-'V06 Calend 01'!C28),6)=0),(((35-'V06 Calend 01'!C28)/6)&lt;='V06 Calend 01'!E28)),IF((35=('V06 Calend 01'!C28+(6*'V06 Calend 01'!E28))),('V06 Calend 01'!H28-('V06 Calend 01'!I28*('V06 Calend 01'!E28-1))),'V06 Calend 01'!I28),0))+IF((35='V06 Calend 01'!D28),'V06 Calend 01'!J28,0))</f>
        <v>0</v>
      </c>
      <c r="AV28" s="2">
        <f>((IF((36='V06 Calend 01'!C28),('V06 Calend 01'!F28+'V06 Calend 01'!G28),0)+IF(AND(('V06 Calend 01'!E28&gt;0),(36&gt;'V06 Calend 01'!C28),(36&lt;'V06 Calend 01'!D28),(MOD((36-'V06 Calend 01'!C28),6)=0),(((36-'V06 Calend 01'!C28)/6)&lt;='V06 Calend 01'!E28)),IF((36=('V06 Calend 01'!C28+(6*'V06 Calend 01'!E28))),('V06 Calend 01'!H28-('V06 Calend 01'!I28*('V06 Calend 01'!E28-1))),'V06 Calend 01'!I28),0))+IF((36='V06 Calend 01'!D28),'V06 Calend 01'!J28,0))</f>
        <v>0</v>
      </c>
      <c r="AW28" s="2">
        <f>((IF((37='V06 Calend 01'!C28),('V06 Calend 01'!F28+'V06 Calend 01'!G28),0)+IF(AND(('V06 Calend 01'!E28&gt;0),(37&gt;'V06 Calend 01'!C28),(37&lt;'V06 Calend 01'!D28),(MOD((37-'V06 Calend 01'!C28),6)=0),(((37-'V06 Calend 01'!C28)/6)&lt;='V06 Calend 01'!E28)),IF((37=('V06 Calend 01'!C28+(6*'V06 Calend 01'!E28))),('V06 Calend 01'!H28-('V06 Calend 01'!I28*('V06 Calend 01'!E28-1))),'V06 Calend 01'!I28),0))+IF((37='V06 Calend 01'!D28),'V06 Calend 01'!J28,0))</f>
        <v>0</v>
      </c>
      <c r="AX28" s="2">
        <f>((IF((38='V06 Calend 01'!C28),('V06 Calend 01'!F28+'V06 Calend 01'!G28),0)+IF(AND(('V06 Calend 01'!E28&gt;0),(38&gt;'V06 Calend 01'!C28),(38&lt;'V06 Calend 01'!D28),(MOD((38-'V06 Calend 01'!C28),6)=0),(((38-'V06 Calend 01'!C28)/6)&lt;='V06 Calend 01'!E28)),IF((38=('V06 Calend 01'!C28+(6*'V06 Calend 01'!E28))),('V06 Calend 01'!H28-('V06 Calend 01'!I28*('V06 Calend 01'!E28-1))),'V06 Calend 01'!I28),0))+IF((38='V06 Calend 01'!D28),'V06 Calend 01'!J28,0))</f>
        <v>0</v>
      </c>
      <c r="AY28" s="2">
        <f>((IF((39='V06 Calend 01'!C28),('V06 Calend 01'!F28+'V06 Calend 01'!G28),0)+IF(AND(('V06 Calend 01'!E28&gt;0),(39&gt;'V06 Calend 01'!C28),(39&lt;'V06 Calend 01'!D28),(MOD((39-'V06 Calend 01'!C28),6)=0),(((39-'V06 Calend 01'!C28)/6)&lt;='V06 Calend 01'!E28)),IF((39=('V06 Calend 01'!C28+(6*'V06 Calend 01'!E28))),('V06 Calend 01'!H28-('V06 Calend 01'!I28*('V06 Calend 01'!E28-1))),'V06 Calend 01'!I28),0))+IF((39='V06 Calend 01'!D28),'V06 Calend 01'!J28,0))</f>
        <v>0</v>
      </c>
      <c r="AZ28" s="2">
        <f>((IF((40='V06 Calend 01'!C28),('V06 Calend 01'!F28+'V06 Calend 01'!G28),0)+IF(AND(('V06 Calend 01'!E28&gt;0),(40&gt;'V06 Calend 01'!C28),(40&lt;'V06 Calend 01'!D28),(MOD((40-'V06 Calend 01'!C28),6)=0),(((40-'V06 Calend 01'!C28)/6)&lt;='V06 Calend 01'!E28)),IF((40=('V06 Calend 01'!C28+(6*'V06 Calend 01'!E28))),('V06 Calend 01'!H28-('V06 Calend 01'!I28*('V06 Calend 01'!E28-1))),'V06 Calend 01'!I28),0))+IF((40='V06 Calend 01'!D28),'V06 Calend 01'!J28,0))</f>
        <v>0</v>
      </c>
      <c r="BA28" s="2">
        <f>((IF((41='V06 Calend 01'!C28),('V06 Calend 01'!F28+'V06 Calend 01'!G28),0)+IF(AND(('V06 Calend 01'!E28&gt;0),(41&gt;'V06 Calend 01'!C28),(41&lt;'V06 Calend 01'!D28),(MOD((41-'V06 Calend 01'!C28),6)=0),(((41-'V06 Calend 01'!C28)/6)&lt;='V06 Calend 01'!E28)),IF((41=('V06 Calend 01'!C28+(6*'V06 Calend 01'!E28))),('V06 Calend 01'!H28-('V06 Calend 01'!I28*('V06 Calend 01'!E28-1))),'V06 Calend 01'!I28),0))+IF((41='V06 Calend 01'!D28),'V06 Calend 01'!J28,0))</f>
        <v>0</v>
      </c>
      <c r="BB28" s="2">
        <f>((IF((42='V06 Calend 01'!C28),('V06 Calend 01'!F28+'V06 Calend 01'!G28),0)+IF(AND(('V06 Calend 01'!E28&gt;0),(42&gt;'V06 Calend 01'!C28),(42&lt;'V06 Calend 01'!D28),(MOD((42-'V06 Calend 01'!C28),6)=0),(((42-'V06 Calend 01'!C28)/6)&lt;='V06 Calend 01'!E28)),IF((42=('V06 Calend 01'!C28+(6*'V06 Calend 01'!E28))),('V06 Calend 01'!H28-('V06 Calend 01'!I28*('V06 Calend 01'!E28-1))),'V06 Calend 01'!I28),0))+IF((42='V06 Calend 01'!D28),'V06 Calend 01'!J28,0))</f>
        <v>0</v>
      </c>
      <c r="BC28" s="2">
        <f>((IF((43='V06 Calend 01'!C28),('V06 Calend 01'!F28+'V06 Calend 01'!G28),0)+IF(AND(('V06 Calend 01'!E28&gt;0),(43&gt;'V06 Calend 01'!C28),(43&lt;'V06 Calend 01'!D28),(MOD((43-'V06 Calend 01'!C28),6)=0),(((43-'V06 Calend 01'!C28)/6)&lt;='V06 Calend 01'!E28)),IF((43=('V06 Calend 01'!C28+(6*'V06 Calend 01'!E28))),('V06 Calend 01'!H28-('V06 Calend 01'!I28*('V06 Calend 01'!E28-1))),'V06 Calend 01'!I28),0))+IF((43='V06 Calend 01'!D28),'V06 Calend 01'!J28,0))</f>
        <v>0</v>
      </c>
      <c r="BD28" s="2">
        <f>((IF((44='V06 Calend 01'!C28),('V06 Calend 01'!F28+'V06 Calend 01'!G28),0)+IF(AND(('V06 Calend 01'!E28&gt;0),(44&gt;'V06 Calend 01'!C28),(44&lt;'V06 Calend 01'!D28),(MOD((44-'V06 Calend 01'!C28),6)=0),(((44-'V06 Calend 01'!C28)/6)&lt;='V06 Calend 01'!E28)),IF((44=('V06 Calend 01'!C28+(6*'V06 Calend 01'!E28))),('V06 Calend 01'!H28-('V06 Calend 01'!I28*('V06 Calend 01'!E28-1))),'V06 Calend 01'!I28),0))+IF((44='V06 Calend 01'!D28),'V06 Calend 01'!J28,0))</f>
        <v>0</v>
      </c>
      <c r="BE28" s="2">
        <f>((IF((45='V06 Calend 01'!C28),('V06 Calend 01'!F28+'V06 Calend 01'!G28),0)+IF(AND(('V06 Calend 01'!E28&gt;0),(45&gt;'V06 Calend 01'!C28),(45&lt;'V06 Calend 01'!D28),(MOD((45-'V06 Calend 01'!C28),6)=0),(((45-'V06 Calend 01'!C28)/6)&lt;='V06 Calend 01'!E28)),IF((45=('V06 Calend 01'!C28+(6*'V06 Calend 01'!E28))),('V06 Calend 01'!H28-('V06 Calend 01'!I28*('V06 Calend 01'!E28-1))),'V06 Calend 01'!I28),0))+IF((45='V06 Calend 01'!D28),'V06 Calend 01'!J28,0))</f>
        <v>0</v>
      </c>
      <c r="BF28" s="2">
        <f>((IF((46='V06 Calend 01'!C28),('V06 Calend 01'!F28+'V06 Calend 01'!G28),0)+IF(AND(('V06 Calend 01'!E28&gt;0),(46&gt;'V06 Calend 01'!C28),(46&lt;'V06 Calend 01'!D28),(MOD((46-'V06 Calend 01'!C28),6)=0),(((46-'V06 Calend 01'!C28)/6)&lt;='V06 Calend 01'!E28)),IF((46=('V06 Calend 01'!C28+(6*'V06 Calend 01'!E28))),('V06 Calend 01'!H28-('V06 Calend 01'!I28*('V06 Calend 01'!E28-1))),'V06 Calend 01'!I28),0))+IF((46='V06 Calend 01'!D28),'V06 Calend 01'!J28,0))</f>
        <v>0</v>
      </c>
      <c r="BG28" s="2">
        <f>((IF((47='V06 Calend 01'!C28),('V06 Calend 01'!F28+'V06 Calend 01'!G28),0)+IF(AND(('V06 Calend 01'!E28&gt;0),(47&gt;'V06 Calend 01'!C28),(47&lt;'V06 Calend 01'!D28),(MOD((47-'V06 Calend 01'!C28),6)=0),(((47-'V06 Calend 01'!C28)/6)&lt;='V06 Calend 01'!E28)),IF((47=('V06 Calend 01'!C28+(6*'V06 Calend 01'!E28))),('V06 Calend 01'!H28-('V06 Calend 01'!I28*('V06 Calend 01'!E28-1))),'V06 Calend 01'!I28),0))+IF((47='V06 Calend 01'!D28),'V06 Calend 01'!J28,0))</f>
        <v>0</v>
      </c>
      <c r="BH28" s="2">
        <f>((IF((48='V06 Calend 01'!C28),('V06 Calend 01'!F28+'V06 Calend 01'!G28),0)+IF(AND(('V06 Calend 01'!E28&gt;0),(48&gt;'V06 Calend 01'!C28),(48&lt;'V06 Calend 01'!D28),(MOD((48-'V06 Calend 01'!C28),6)=0),(((48-'V06 Calend 01'!C28)/6)&lt;='V06 Calend 01'!E28)),IF((48=('V06 Calend 01'!C28+(6*'V06 Calend 01'!E28))),('V06 Calend 01'!H28-('V06 Calend 01'!I28*('V06 Calend 01'!E28-1))),'V06 Calend 01'!I28),0))+IF((48='V06 Calend 01'!D28),'V06 Calend 01'!J28,0))</f>
        <v>0</v>
      </c>
      <c r="BI28" s="2">
        <f>((IF((49='V06 Calend 01'!C28),('V06 Calend 01'!F28+'V06 Calend 01'!G28),0)+IF(AND(('V06 Calend 01'!E28&gt;0),(49&gt;'V06 Calend 01'!C28),(49&lt;'V06 Calend 01'!D28),(MOD((49-'V06 Calend 01'!C28),6)=0),(((49-'V06 Calend 01'!C28)/6)&lt;='V06 Calend 01'!E28)),IF((49=('V06 Calend 01'!C28+(6*'V06 Calend 01'!E28))),('V06 Calend 01'!H28-('V06 Calend 01'!I28*('V06 Calend 01'!E28-1))),'V06 Calend 01'!I28),0))+IF((49='V06 Calend 01'!D28),'V06 Calend 01'!J28,0))</f>
        <v>0</v>
      </c>
      <c r="BJ28" s="2">
        <f>((IF((50='V06 Calend 01'!C28),('V06 Calend 01'!F28+'V06 Calend 01'!G28),0)+IF(AND(('V06 Calend 01'!E28&gt;0),(50&gt;'V06 Calend 01'!C28),(50&lt;'V06 Calend 01'!D28),(MOD((50-'V06 Calend 01'!C28),6)=0),(((50-'V06 Calend 01'!C28)/6)&lt;='V06 Calend 01'!E28)),IF((50=('V06 Calend 01'!C28+(6*'V06 Calend 01'!E28))),('V06 Calend 01'!H28-('V06 Calend 01'!I28*('V06 Calend 01'!E28-1))),'V06 Calend 01'!I28),0))+IF((50='V06 Calend 01'!D28),'V06 Calend 01'!J28,0))</f>
        <v>0</v>
      </c>
      <c r="BK28" s="2">
        <f>((IF((51='V06 Calend 01'!C28),('V06 Calend 01'!F28+'V06 Calend 01'!G28),0)+IF(AND(('V06 Calend 01'!E28&gt;0),(51&gt;'V06 Calend 01'!C28),(51&lt;'V06 Calend 01'!D28),(MOD((51-'V06 Calend 01'!C28),6)=0),(((51-'V06 Calend 01'!C28)/6)&lt;='V06 Calend 01'!E28)),IF((51=('V06 Calend 01'!C28+(6*'V06 Calend 01'!E28))),('V06 Calend 01'!H28-('V06 Calend 01'!I28*('V06 Calend 01'!E28-1))),'V06 Calend 01'!I28),0))+IF((51='V06 Calend 01'!D28),'V06 Calend 01'!J28,0))</f>
        <v>0</v>
      </c>
      <c r="BL28" s="2">
        <f>((IF((52='V06 Calend 01'!C28),('V06 Calend 01'!F28+'V06 Calend 01'!G28),0)+IF(AND(('V06 Calend 01'!E28&gt;0),(52&gt;'V06 Calend 01'!C28),(52&lt;'V06 Calend 01'!D28),(MOD((52-'V06 Calend 01'!C28),6)=0),(((52-'V06 Calend 01'!C28)/6)&lt;='V06 Calend 01'!E28)),IF((52=('V06 Calend 01'!C28+(6*'V06 Calend 01'!E28))),('V06 Calend 01'!H28-('V06 Calend 01'!I28*('V06 Calend 01'!E28-1))),'V06 Calend 01'!I28),0))+IF((52='V06 Calend 01'!D28),'V06 Calend 01'!J28,0))</f>
        <v>0</v>
      </c>
      <c r="BM28" s="2">
        <f>((IF((53='V06 Calend 01'!C28),('V06 Calend 01'!F28+'V06 Calend 01'!G28),0)+IF(AND(('V06 Calend 01'!E28&gt;0),(53&gt;'V06 Calend 01'!C28),(53&lt;'V06 Calend 01'!D28),(MOD((53-'V06 Calend 01'!C28),6)=0),(((53-'V06 Calend 01'!C28)/6)&lt;='V06 Calend 01'!E28)),IF((53=('V06 Calend 01'!C28+(6*'V06 Calend 01'!E28))),('V06 Calend 01'!H28-('V06 Calend 01'!I28*('V06 Calend 01'!E28-1))),'V06 Calend 01'!I28),0))+IF((53='V06 Calend 01'!D28),'V06 Calend 01'!J28,0))</f>
        <v>0</v>
      </c>
      <c r="BN28" s="2">
        <f>((IF((54='V06 Calend 01'!C28),('V06 Calend 01'!F28+'V06 Calend 01'!G28),0)+IF(AND(('V06 Calend 01'!E28&gt;0),(54&gt;'V06 Calend 01'!C28),(54&lt;'V06 Calend 01'!D28),(MOD((54-'V06 Calend 01'!C28),6)=0),(((54-'V06 Calend 01'!C28)/6)&lt;='V06 Calend 01'!E28)),IF((54=('V06 Calend 01'!C28+(6*'V06 Calend 01'!E28))),('V06 Calend 01'!H28-('V06 Calend 01'!I28*('V06 Calend 01'!E28-1))),'V06 Calend 01'!I28),0))+IF((54='V06 Calend 01'!D28),'V06 Calend 01'!J28,0))</f>
        <v>0</v>
      </c>
      <c r="BO28" s="2">
        <f>((IF((55='V06 Calend 01'!C28),('V06 Calend 01'!F28+'V06 Calend 01'!G28),0)+IF(AND(('V06 Calend 01'!E28&gt;0),(55&gt;'V06 Calend 01'!C28),(55&lt;'V06 Calend 01'!D28),(MOD((55-'V06 Calend 01'!C28),6)=0),(((55-'V06 Calend 01'!C28)/6)&lt;='V06 Calend 01'!E28)),IF((55=('V06 Calend 01'!C28+(6*'V06 Calend 01'!E28))),('V06 Calend 01'!H28-('V06 Calend 01'!I28*('V06 Calend 01'!E28-1))),'V06 Calend 01'!I28),0))+IF((55='V06 Calend 01'!D28),'V06 Calend 01'!J28,0))</f>
        <v>0</v>
      </c>
      <c r="BP28" s="2">
        <f>((IF((56='V06 Calend 01'!C28),('V06 Calend 01'!F28+'V06 Calend 01'!G28),0)+IF(AND(('V06 Calend 01'!E28&gt;0),(56&gt;'V06 Calend 01'!C28),(56&lt;'V06 Calend 01'!D28),(MOD((56-'V06 Calend 01'!C28),6)=0),(((56-'V06 Calend 01'!C28)/6)&lt;='V06 Calend 01'!E28)),IF((56=('V06 Calend 01'!C28+(6*'V06 Calend 01'!E28))),('V06 Calend 01'!H28-('V06 Calend 01'!I28*('V06 Calend 01'!E28-1))),'V06 Calend 01'!I28),0))+IF((56='V06 Calend 01'!D28),'V06 Calend 01'!J28,0))</f>
        <v>0</v>
      </c>
      <c r="BQ28" s="2">
        <f>((IF((57='V06 Calend 01'!C28),('V06 Calend 01'!F28+'V06 Calend 01'!G28),0)+IF(AND(('V06 Calend 01'!E28&gt;0),(57&gt;'V06 Calend 01'!C28),(57&lt;'V06 Calend 01'!D28),(MOD((57-'V06 Calend 01'!C28),6)=0),(((57-'V06 Calend 01'!C28)/6)&lt;='V06 Calend 01'!E28)),IF((57=('V06 Calend 01'!C28+(6*'V06 Calend 01'!E28))),('V06 Calend 01'!H28-('V06 Calend 01'!I28*('V06 Calend 01'!E28-1))),'V06 Calend 01'!I28),0))+IF((57='V06 Calend 01'!D28),'V06 Calend 01'!J28,0))</f>
        <v>0</v>
      </c>
      <c r="BR28" s="2">
        <f>((IF((58='V06 Calend 01'!C28),('V06 Calend 01'!F28+'V06 Calend 01'!G28),0)+IF(AND(('V06 Calend 01'!E28&gt;0),(58&gt;'V06 Calend 01'!C28),(58&lt;'V06 Calend 01'!D28),(MOD((58-'V06 Calend 01'!C28),6)=0),(((58-'V06 Calend 01'!C28)/6)&lt;='V06 Calend 01'!E28)),IF((58=('V06 Calend 01'!C28+(6*'V06 Calend 01'!E28))),('V06 Calend 01'!H28-('V06 Calend 01'!I28*('V06 Calend 01'!E28-1))),'V06 Calend 01'!I28),0))+IF((58='V06 Calend 01'!D28),'V06 Calend 01'!J28,0))</f>
        <v>0</v>
      </c>
      <c r="BS28" s="2">
        <f>((IF((59='V06 Calend 01'!C28),('V06 Calend 01'!F28+'V06 Calend 01'!G28),0)+IF(AND(('V06 Calend 01'!E28&gt;0),(59&gt;'V06 Calend 01'!C28),(59&lt;'V06 Calend 01'!D28),(MOD((59-'V06 Calend 01'!C28),6)=0),(((59-'V06 Calend 01'!C28)/6)&lt;='V06 Calend 01'!E28)),IF((59=('V06 Calend 01'!C28+(6*'V06 Calend 01'!E28))),('V06 Calend 01'!H28-('V06 Calend 01'!I28*('V06 Calend 01'!E28-1))),'V06 Calend 01'!I28),0))+IF((59='V06 Calend 01'!D28),'V06 Calend 01'!J28,0))</f>
        <v>0</v>
      </c>
      <c r="BT28" s="2">
        <f>((IF((60='V06 Calend 01'!C28),('V06 Calend 01'!F28+'V06 Calend 01'!G28),0)+IF(AND(('V06 Calend 01'!E28&gt;0),(60&gt;'V06 Calend 01'!C28),(60&lt;'V06 Calend 01'!D28),(MOD((60-'V06 Calend 01'!C28),6)=0),(((60-'V06 Calend 01'!C28)/6)&lt;='V06 Calend 01'!E28)),IF((60=('V06 Calend 01'!C28+(6*'V06 Calend 01'!E28))),('V06 Calend 01'!H28-('V06 Calend 01'!I28*('V06 Calend 01'!E28-1))),'V06 Calend 01'!I28),0))+IF((60='V06 Calend 01'!D28),'V06 Calend 01'!J28,0))</f>
        <v>0</v>
      </c>
      <c r="BU28" s="2">
        <f>((IF((61='V06 Calend 01'!C28),('V06 Calend 01'!F28+'V06 Calend 01'!G28),0)+IF(AND(('V06 Calend 01'!E28&gt;0),(61&gt;'V06 Calend 01'!C28),(61&lt;'V06 Calend 01'!D28),(MOD((61-'V06 Calend 01'!C28),6)=0),(((61-'V06 Calend 01'!C28)/6)&lt;='V06 Calend 01'!E28)),IF((61=('V06 Calend 01'!C28+(6*'V06 Calend 01'!E28))),('V06 Calend 01'!H28-('V06 Calend 01'!I28*('V06 Calend 01'!E28-1))),'V06 Calend 01'!I28),0))+IF((61='V06 Calend 01'!D28),'V06 Calend 01'!J28,0))</f>
        <v>0</v>
      </c>
      <c r="BV28" s="2">
        <f>((IF((62='V06 Calend 01'!C28),('V06 Calend 01'!F28+'V06 Calend 01'!G28),0)+IF(AND(('V06 Calend 01'!E28&gt;0),(62&gt;'V06 Calend 01'!C28),(62&lt;'V06 Calend 01'!D28),(MOD((62-'V06 Calend 01'!C28),6)=0),(((62-'V06 Calend 01'!C28)/6)&lt;='V06 Calend 01'!E28)),IF((62=('V06 Calend 01'!C28+(6*'V06 Calend 01'!E28))),('V06 Calend 01'!H28-('V06 Calend 01'!I28*('V06 Calend 01'!E28-1))),'V06 Calend 01'!I28),0))+IF((62='V06 Calend 01'!D28),'V06 Calend 01'!J28,0))</f>
        <v>0</v>
      </c>
      <c r="BW28" s="2">
        <f>((IF((63='V06 Calend 01'!C28),('V06 Calend 01'!F28+'V06 Calend 01'!G28),0)+IF(AND(('V06 Calend 01'!E28&gt;0),(63&gt;'V06 Calend 01'!C28),(63&lt;'V06 Calend 01'!D28),(MOD((63-'V06 Calend 01'!C28),6)=0),(((63-'V06 Calend 01'!C28)/6)&lt;='V06 Calend 01'!E28)),IF((63=('V06 Calend 01'!C28+(6*'V06 Calend 01'!E28))),('V06 Calend 01'!H28-('V06 Calend 01'!I28*('V06 Calend 01'!E28-1))),'V06 Calend 01'!I28),0))+IF((63='V06 Calend 01'!D28),'V06 Calend 01'!J28,0))</f>
        <v>0</v>
      </c>
      <c r="BX28" s="2">
        <f>((IF((64='V06 Calend 01'!C28),('V06 Calend 01'!F28+'V06 Calend 01'!G28),0)+IF(AND(('V06 Calend 01'!E28&gt;0),(64&gt;'V06 Calend 01'!C28),(64&lt;'V06 Calend 01'!D28),(MOD((64-'V06 Calend 01'!C28),6)=0),(((64-'V06 Calend 01'!C28)/6)&lt;='V06 Calend 01'!E28)),IF((64=('V06 Calend 01'!C28+(6*'V06 Calend 01'!E28))),('V06 Calend 01'!H28-('V06 Calend 01'!I28*('V06 Calend 01'!E28-1))),'V06 Calend 01'!I28),0))+IF((64='V06 Calend 01'!D28),'V06 Calend 01'!J28,0))</f>
        <v>0</v>
      </c>
      <c r="BY28" s="2">
        <f>((IF((65='V06 Calend 01'!C28),('V06 Calend 01'!F28+'V06 Calend 01'!G28),0)+IF(AND(('V06 Calend 01'!E28&gt;0),(65&gt;'V06 Calend 01'!C28),(65&lt;'V06 Calend 01'!D28),(MOD((65-'V06 Calend 01'!C28),6)=0),(((65-'V06 Calend 01'!C28)/6)&lt;='V06 Calend 01'!E28)),IF((65=('V06 Calend 01'!C28+(6*'V06 Calend 01'!E28))),('V06 Calend 01'!H28-('V06 Calend 01'!I28*('V06 Calend 01'!E28-1))),'V06 Calend 01'!I28),0))+IF((65='V06 Calend 01'!D28),'V06 Calend 01'!J28,0))</f>
        <v>0</v>
      </c>
      <c r="BZ28" s="2">
        <f>((IF((66='V06 Calend 01'!C28),('V06 Calend 01'!F28+'V06 Calend 01'!G28),0)+IF(AND(('V06 Calend 01'!E28&gt;0),(66&gt;'V06 Calend 01'!C28),(66&lt;'V06 Calend 01'!D28),(MOD((66-'V06 Calend 01'!C28),6)=0),(((66-'V06 Calend 01'!C28)/6)&lt;='V06 Calend 01'!E28)),IF((66=('V06 Calend 01'!C28+(6*'V06 Calend 01'!E28))),('V06 Calend 01'!H28-('V06 Calend 01'!I28*('V06 Calend 01'!E28-1))),'V06 Calend 01'!I28),0))+IF((66='V06 Calend 01'!D28),'V06 Calend 01'!J28,0))</f>
        <v>0</v>
      </c>
      <c r="CA28" s="2">
        <f>((IF((67='V06 Calend 01'!C28),('V06 Calend 01'!F28+'V06 Calend 01'!G28),0)+IF(AND(('V06 Calend 01'!E28&gt;0),(67&gt;'V06 Calend 01'!C28),(67&lt;'V06 Calend 01'!D28),(MOD((67-'V06 Calend 01'!C28),6)=0),(((67-'V06 Calend 01'!C28)/6)&lt;='V06 Calend 01'!E28)),IF((67=('V06 Calend 01'!C28+(6*'V06 Calend 01'!E28))),('V06 Calend 01'!H28-('V06 Calend 01'!I28*('V06 Calend 01'!E28-1))),'V06 Calend 01'!I28),0))+IF((67='V06 Calend 01'!D28),'V06 Calend 01'!J28,0))</f>
        <v>0</v>
      </c>
      <c r="CB28" s="2">
        <f>((IF((68='V06 Calend 01'!C28),('V06 Calend 01'!F28+'V06 Calend 01'!G28),0)+IF(AND(('V06 Calend 01'!E28&gt;0),(68&gt;'V06 Calend 01'!C28),(68&lt;'V06 Calend 01'!D28),(MOD((68-'V06 Calend 01'!C28),6)=0),(((68-'V06 Calend 01'!C28)/6)&lt;='V06 Calend 01'!E28)),IF((68=('V06 Calend 01'!C28+(6*'V06 Calend 01'!E28))),('V06 Calend 01'!H28-('V06 Calend 01'!I28*('V06 Calend 01'!E28-1))),'V06 Calend 01'!I28),0))+IF((68='V06 Calend 01'!D28),'V06 Calend 01'!J28,0))</f>
        <v>0</v>
      </c>
      <c r="CC28" s="2">
        <f>((IF((69='V06 Calend 01'!C28),('V06 Calend 01'!F28+'V06 Calend 01'!G28),0)+IF(AND(('V06 Calend 01'!E28&gt;0),(69&gt;'V06 Calend 01'!C28),(69&lt;'V06 Calend 01'!D28),(MOD((69-'V06 Calend 01'!C28),6)=0),(((69-'V06 Calend 01'!C28)/6)&lt;='V06 Calend 01'!E28)),IF((69=('V06 Calend 01'!C28+(6*'V06 Calend 01'!E28))),('V06 Calend 01'!H28-('V06 Calend 01'!I28*('V06 Calend 01'!E28-1))),'V06 Calend 01'!I28),0))+IF((69='V06 Calend 01'!D28),'V06 Calend 01'!J28,0))</f>
        <v>0</v>
      </c>
      <c r="CD28" s="2">
        <f>((IF((70='V06 Calend 01'!C28),('V06 Calend 01'!F28+'V06 Calend 01'!G28),0)+IF(AND(('V06 Calend 01'!E28&gt;0),(70&gt;'V06 Calend 01'!C28),(70&lt;'V06 Calend 01'!D28),(MOD((70-'V06 Calend 01'!C28),6)=0),(((70-'V06 Calend 01'!C28)/6)&lt;='V06 Calend 01'!E28)),IF((70=('V06 Calend 01'!C28+(6*'V06 Calend 01'!E28))),('V06 Calend 01'!H28-('V06 Calend 01'!I28*('V06 Calend 01'!E28-1))),'V06 Calend 01'!I28),0))+IF((70='V06 Calend 01'!D28),'V06 Calend 01'!J28,0))</f>
        <v>0</v>
      </c>
      <c r="CE28" s="2">
        <f>((IF((71='V06 Calend 01'!C28),('V06 Calend 01'!F28+'V06 Calend 01'!G28),0)+IF(AND(('V06 Calend 01'!E28&gt;0),(71&gt;'V06 Calend 01'!C28),(71&lt;'V06 Calend 01'!D28),(MOD((71-'V06 Calend 01'!C28),6)=0),(((71-'V06 Calend 01'!C28)/6)&lt;='V06 Calend 01'!E28)),IF((71=('V06 Calend 01'!C28+(6*'V06 Calend 01'!E28))),('V06 Calend 01'!H28-('V06 Calend 01'!I28*('V06 Calend 01'!E28-1))),'V06 Calend 01'!I28),0))+IF((71='V06 Calend 01'!D28),'V06 Calend 01'!J28,0))</f>
        <v>0</v>
      </c>
      <c r="CF28" s="2">
        <f>((IF((72='V06 Calend 01'!C28),('V06 Calend 01'!F28+'V06 Calend 01'!G28),0)+IF(AND(('V06 Calend 01'!E28&gt;0),(72&gt;'V06 Calend 01'!C28),(72&lt;'V06 Calend 01'!D28),(MOD((72-'V06 Calend 01'!C28),6)=0),(((72-'V06 Calend 01'!C28)/6)&lt;='V06 Calend 01'!E28)),IF((72=('V06 Calend 01'!C28+(6*'V06 Calend 01'!E28))),('V06 Calend 01'!H28-('V06 Calend 01'!I28*('V06 Calend 01'!E28-1))),'V06 Calend 01'!I28),0))+IF((72='V06 Calend 01'!D28),'V06 Calend 01'!J28,0))</f>
        <v>0</v>
      </c>
      <c r="CG28" s="2">
        <f>((IF((73='V06 Calend 01'!C28),('V06 Calend 01'!F28+'V06 Calend 01'!G28),0)+IF(AND(('V06 Calend 01'!E28&gt;0),(73&gt;'V06 Calend 01'!C28),(73&lt;'V06 Calend 01'!D28),(MOD((73-'V06 Calend 01'!C28),6)=0),(((73-'V06 Calend 01'!C28)/6)&lt;='V06 Calend 01'!E28)),IF((73=('V06 Calend 01'!C28+(6*'V06 Calend 01'!E28))),('V06 Calend 01'!H28-('V06 Calend 01'!I28*('V06 Calend 01'!E28-1))),'V06 Calend 01'!I28),0))+IF((73='V06 Calend 01'!D28),'V06 Calend 01'!J28,0))</f>
        <v>0</v>
      </c>
      <c r="CH28" s="2">
        <f>((IF((74='V06 Calend 01'!C28),('V06 Calend 01'!F28+'V06 Calend 01'!G28),0)+IF(AND(('V06 Calend 01'!E28&gt;0),(74&gt;'V06 Calend 01'!C28),(74&lt;'V06 Calend 01'!D28),(MOD((74-'V06 Calend 01'!C28),6)=0),(((74-'V06 Calend 01'!C28)/6)&lt;='V06 Calend 01'!E28)),IF((74=('V06 Calend 01'!C28+(6*'V06 Calend 01'!E28))),('V06 Calend 01'!H28-('V06 Calend 01'!I28*('V06 Calend 01'!E28-1))),'V06 Calend 01'!I28),0))+IF((74='V06 Calend 01'!D28),'V06 Calend 01'!J28,0))</f>
        <v>0</v>
      </c>
      <c r="CI28" s="2">
        <f>((IF((75='V06 Calend 01'!C28),('V06 Calend 01'!F28+'V06 Calend 01'!G28),0)+IF(AND(('V06 Calend 01'!E28&gt;0),(75&gt;'V06 Calend 01'!C28),(75&lt;'V06 Calend 01'!D28),(MOD((75-'V06 Calend 01'!C28),6)=0),(((75-'V06 Calend 01'!C28)/6)&lt;='V06 Calend 01'!E28)),IF((75=('V06 Calend 01'!C28+(6*'V06 Calend 01'!E28))),('V06 Calend 01'!H28-('V06 Calend 01'!I28*('V06 Calend 01'!E28-1))),'V06 Calend 01'!I28),0))+IF((75='V06 Calend 01'!D28),'V06 Calend 01'!J28,0))</f>
        <v>0</v>
      </c>
      <c r="CJ28" s="2">
        <f>((IF((76='V06 Calend 01'!C28),('V06 Calend 01'!F28+'V06 Calend 01'!G28),0)+IF(AND(('V06 Calend 01'!E28&gt;0),(76&gt;'V06 Calend 01'!C28),(76&lt;'V06 Calend 01'!D28),(MOD((76-'V06 Calend 01'!C28),6)=0),(((76-'V06 Calend 01'!C28)/6)&lt;='V06 Calend 01'!E28)),IF((76=('V06 Calend 01'!C28+(6*'V06 Calend 01'!E28))),('V06 Calend 01'!H28-('V06 Calend 01'!I28*('V06 Calend 01'!E28-1))),'V06 Calend 01'!I28),0))+IF((76='V06 Calend 01'!D28),'V06 Calend 01'!J28,0))</f>
        <v>0</v>
      </c>
      <c r="CK28" s="2">
        <f>((IF((77='V06 Calend 01'!C28),('V06 Calend 01'!F28+'V06 Calend 01'!G28),0)+IF(AND(('V06 Calend 01'!E28&gt;0),(77&gt;'V06 Calend 01'!C28),(77&lt;'V06 Calend 01'!D28),(MOD((77-'V06 Calend 01'!C28),6)=0),(((77-'V06 Calend 01'!C28)/6)&lt;='V06 Calend 01'!E28)),IF((77=('V06 Calend 01'!C28+(6*'V06 Calend 01'!E28))),('V06 Calend 01'!H28-('V06 Calend 01'!I28*('V06 Calend 01'!E28-1))),'V06 Calend 01'!I28),0))+IF((77='V06 Calend 01'!D28),'V06 Calend 01'!J28,0))</f>
        <v>0</v>
      </c>
      <c r="CL28" s="2">
        <f>((IF((78='V06 Calend 01'!C28),('V06 Calend 01'!F28+'V06 Calend 01'!G28),0)+IF(AND(('V06 Calend 01'!E28&gt;0),(78&gt;'V06 Calend 01'!C28),(78&lt;'V06 Calend 01'!D28),(MOD((78-'V06 Calend 01'!C28),6)=0),(((78-'V06 Calend 01'!C28)/6)&lt;='V06 Calend 01'!E28)),IF((78=('V06 Calend 01'!C28+(6*'V06 Calend 01'!E28))),('V06 Calend 01'!H28-('V06 Calend 01'!I28*('V06 Calend 01'!E28-1))),'V06 Calend 01'!I28),0))+IF((78='V06 Calend 01'!D28),'V06 Calend 01'!J28,0))</f>
        <v>0</v>
      </c>
      <c r="CM28" s="2">
        <f>((IF((79='V06 Calend 01'!C28),('V06 Calend 01'!F28+'V06 Calend 01'!G28),0)+IF(AND(('V06 Calend 01'!E28&gt;0),(79&gt;'V06 Calend 01'!C28),(79&lt;'V06 Calend 01'!D28),(MOD((79-'V06 Calend 01'!C28),6)=0),(((79-'V06 Calend 01'!C28)/6)&lt;='V06 Calend 01'!E28)),IF((79=('V06 Calend 01'!C28+(6*'V06 Calend 01'!E28))),('V06 Calend 01'!H28-('V06 Calend 01'!I28*('V06 Calend 01'!E28-1))),'V06 Calend 01'!I28),0))+IF((79='V06 Calend 01'!D28),'V06 Calend 01'!J28,0))</f>
        <v>0</v>
      </c>
      <c r="CN28" s="2">
        <f>((IF((80='V06 Calend 01'!C28),('V06 Calend 01'!F28+'V06 Calend 01'!G28),0)+IF(AND(('V06 Calend 01'!E28&gt;0),(80&gt;'V06 Calend 01'!C28),(80&lt;'V06 Calend 01'!D28),(MOD((80-'V06 Calend 01'!C28),6)=0),(((80-'V06 Calend 01'!C28)/6)&lt;='V06 Calend 01'!E28)),IF((80=('V06 Calend 01'!C28+(6*'V06 Calend 01'!E28))),('V06 Calend 01'!H28-('V06 Calend 01'!I28*('V06 Calend 01'!E28-1))),'V06 Calend 01'!I28),0))+IF((80='V06 Calend 01'!D28),'V06 Calend 01'!J28,0))</f>
        <v>0</v>
      </c>
      <c r="CO28" s="2">
        <f>((IF((81='V06 Calend 01'!C28),('V06 Calend 01'!F28+'V06 Calend 01'!G28),0)+IF(AND(('V06 Calend 01'!E28&gt;0),(81&gt;'V06 Calend 01'!C28),(81&lt;'V06 Calend 01'!D28),(MOD((81-'V06 Calend 01'!C28),6)=0),(((81-'V06 Calend 01'!C28)/6)&lt;='V06 Calend 01'!E28)),IF((81=('V06 Calend 01'!C28+(6*'V06 Calend 01'!E28))),('V06 Calend 01'!H28-('V06 Calend 01'!I28*('V06 Calend 01'!E28-1))),'V06 Calend 01'!I28),0))+IF((81='V06 Calend 01'!D28),'V06 Calend 01'!J28,0))</f>
        <v>0</v>
      </c>
      <c r="CP28" s="2">
        <f>((IF((82='V06 Calend 01'!C28),('V06 Calend 01'!F28+'V06 Calend 01'!G28),0)+IF(AND(('V06 Calend 01'!E28&gt;0),(82&gt;'V06 Calend 01'!C28),(82&lt;'V06 Calend 01'!D28),(MOD((82-'V06 Calend 01'!C28),6)=0),(((82-'V06 Calend 01'!C28)/6)&lt;='V06 Calend 01'!E28)),IF((82=('V06 Calend 01'!C28+(6*'V06 Calend 01'!E28))),('V06 Calend 01'!H28-('V06 Calend 01'!I28*('V06 Calend 01'!E28-1))),'V06 Calend 01'!I28),0))+IF((82='V06 Calend 01'!D28),'V06 Calend 01'!J28,0))</f>
        <v>0</v>
      </c>
      <c r="CQ28" s="2">
        <f>((IF((83='V06 Calend 01'!C28),('V06 Calend 01'!F28+'V06 Calend 01'!G28),0)+IF(AND(('V06 Calend 01'!E28&gt;0),(83&gt;'V06 Calend 01'!C28),(83&lt;'V06 Calend 01'!D28),(MOD((83-'V06 Calend 01'!C28),6)=0),(((83-'V06 Calend 01'!C28)/6)&lt;='V06 Calend 01'!E28)),IF((83=('V06 Calend 01'!C28+(6*'V06 Calend 01'!E28))),('V06 Calend 01'!H28-('V06 Calend 01'!I28*('V06 Calend 01'!E28-1))),'V06 Calend 01'!I28),0))+IF((83='V06 Calend 01'!D28),'V06 Calend 01'!J28,0))</f>
        <v>0</v>
      </c>
      <c r="CR28" s="2">
        <f>((IF((84='V06 Calend 01'!C28),('V06 Calend 01'!F28+'V06 Calend 01'!G28),0)+IF(AND(('V06 Calend 01'!E28&gt;0),(84&gt;'V06 Calend 01'!C28),(84&lt;'V06 Calend 01'!D28),(MOD((84-'V06 Calend 01'!C28),6)=0),(((84-'V06 Calend 01'!C28)/6)&lt;='V06 Calend 01'!E28)),IF((84=('V06 Calend 01'!C28+(6*'V06 Calend 01'!E28))),('V06 Calend 01'!H28-('V06 Calend 01'!I28*('V06 Calend 01'!E28-1))),'V06 Calend 01'!I28),0))+IF((84='V06 Calend 01'!D28),'V06 Calend 01'!J28,0))</f>
        <v>0</v>
      </c>
      <c r="CS28" s="2">
        <f>((IF((85='V06 Calend 01'!C28),('V06 Calend 01'!F28+'V06 Calend 01'!G28),0)+IF(AND(('V06 Calend 01'!E28&gt;0),(85&gt;'V06 Calend 01'!C28),(85&lt;'V06 Calend 01'!D28),(MOD((85-'V06 Calend 01'!C28),6)=0),(((85-'V06 Calend 01'!C28)/6)&lt;='V06 Calend 01'!E28)),IF((85=('V06 Calend 01'!C28+(6*'V06 Calend 01'!E28))),('V06 Calend 01'!H28-('V06 Calend 01'!I28*('V06 Calend 01'!E28-1))),'V06 Calend 01'!I28),0))+IF((85='V06 Calend 01'!D28),'V06 Calend 01'!J28,0))</f>
        <v>0</v>
      </c>
      <c r="CT28" s="2">
        <f>((IF((86='V06 Calend 01'!C28),('V06 Calend 01'!F28+'V06 Calend 01'!G28),0)+IF(AND(('V06 Calend 01'!E28&gt;0),(86&gt;'V06 Calend 01'!C28),(86&lt;'V06 Calend 01'!D28),(MOD((86-'V06 Calend 01'!C28),6)=0),(((86-'V06 Calend 01'!C28)/6)&lt;='V06 Calend 01'!E28)),IF((86=('V06 Calend 01'!C28+(6*'V06 Calend 01'!E28))),('V06 Calend 01'!H28-('V06 Calend 01'!I28*('V06 Calend 01'!E28-1))),'V06 Calend 01'!I28),0))+IF((86='V06 Calend 01'!D28),'V06 Calend 01'!J28,0))</f>
        <v>0</v>
      </c>
      <c r="CU28" s="2">
        <f>((IF((87='V06 Calend 01'!C28),('V06 Calend 01'!F28+'V06 Calend 01'!G28),0)+IF(AND(('V06 Calend 01'!E28&gt;0),(87&gt;'V06 Calend 01'!C28),(87&lt;'V06 Calend 01'!D28),(MOD((87-'V06 Calend 01'!C28),6)=0),(((87-'V06 Calend 01'!C28)/6)&lt;='V06 Calend 01'!E28)),IF((87=('V06 Calend 01'!C28+(6*'V06 Calend 01'!E28))),('V06 Calend 01'!H28-('V06 Calend 01'!I28*('V06 Calend 01'!E28-1))),'V06 Calend 01'!I28),0))+IF((87='V06 Calend 01'!D28),'V06 Calend 01'!J28,0))</f>
        <v>0</v>
      </c>
      <c r="CV28" s="2">
        <f>((IF((88='V06 Calend 01'!C28),('V06 Calend 01'!F28+'V06 Calend 01'!G28),0)+IF(AND(('V06 Calend 01'!E28&gt;0),(88&gt;'V06 Calend 01'!C28),(88&lt;'V06 Calend 01'!D28),(MOD((88-'V06 Calend 01'!C28),6)=0),(((88-'V06 Calend 01'!C28)/6)&lt;='V06 Calend 01'!E28)),IF((88=('V06 Calend 01'!C28+(6*'V06 Calend 01'!E28))),('V06 Calend 01'!H28-('V06 Calend 01'!I28*('V06 Calend 01'!E28-1))),'V06 Calend 01'!I28),0))+IF((88='V06 Calend 01'!D28),'V06 Calend 01'!J28,0))</f>
        <v>0</v>
      </c>
      <c r="CW28" s="2">
        <f>((IF((89='V06 Calend 01'!C28),('V06 Calend 01'!F28+'V06 Calend 01'!G28),0)+IF(AND(('V06 Calend 01'!E28&gt;0),(89&gt;'V06 Calend 01'!C28),(89&lt;'V06 Calend 01'!D28),(MOD((89-'V06 Calend 01'!C28),6)=0),(((89-'V06 Calend 01'!C28)/6)&lt;='V06 Calend 01'!E28)),IF((89=('V06 Calend 01'!C28+(6*'V06 Calend 01'!E28))),('V06 Calend 01'!H28-('V06 Calend 01'!I28*('V06 Calend 01'!E28-1))),'V06 Calend 01'!I28),0))+IF((89='V06 Calend 01'!D28),'V06 Calend 01'!J28,0))</f>
        <v>0</v>
      </c>
      <c r="CX28" s="2">
        <f>((IF((90='V06 Calend 01'!C28),('V06 Calend 01'!F28+'V06 Calend 01'!G28),0)+IF(AND(('V06 Calend 01'!E28&gt;0),(90&gt;'V06 Calend 01'!C28),(90&lt;'V06 Calend 01'!D28),(MOD((90-'V06 Calend 01'!C28),6)=0),(((90-'V06 Calend 01'!C28)/6)&lt;='V06 Calend 01'!E28)),IF((90=('V06 Calend 01'!C28+(6*'V06 Calend 01'!E28))),('V06 Calend 01'!H28-('V06 Calend 01'!I28*('V06 Calend 01'!E28-1))),'V06 Calend 01'!I28),0))+IF((90='V06 Calend 01'!D28),'V06 Calend 01'!J28,0))</f>
        <v>0</v>
      </c>
      <c r="CY28" s="2">
        <f>((IF((91='V06 Calend 01'!C28),('V06 Calend 01'!F28+'V06 Calend 01'!G28),0)+IF(AND(('V06 Calend 01'!E28&gt;0),(91&gt;'V06 Calend 01'!C28),(91&lt;'V06 Calend 01'!D28),(MOD((91-'V06 Calend 01'!C28),6)=0),(((91-'V06 Calend 01'!C28)/6)&lt;='V06 Calend 01'!E28)),IF((91=('V06 Calend 01'!C28+(6*'V06 Calend 01'!E28))),('V06 Calend 01'!H28-('V06 Calend 01'!I28*('V06 Calend 01'!E28-1))),'V06 Calend 01'!I28),0))+IF((91='V06 Calend 01'!D28),'V06 Calend 01'!J28,0))</f>
        <v>0</v>
      </c>
      <c r="CZ28" s="2">
        <f>((IF((92='V06 Calend 01'!C28),('V06 Calend 01'!F28+'V06 Calend 01'!G28),0)+IF(AND(('V06 Calend 01'!E28&gt;0),(92&gt;'V06 Calend 01'!C28),(92&lt;'V06 Calend 01'!D28),(MOD((92-'V06 Calend 01'!C28),6)=0),(((92-'V06 Calend 01'!C28)/6)&lt;='V06 Calend 01'!E28)),IF((92=('V06 Calend 01'!C28+(6*'V06 Calend 01'!E28))),('V06 Calend 01'!H28-('V06 Calend 01'!I28*('V06 Calend 01'!E28-1))),'V06 Calend 01'!I28),0))+IF((92='V06 Calend 01'!D28),'V06 Calend 01'!J28,0))</f>
        <v>0</v>
      </c>
      <c r="DA28" s="2">
        <f>((IF((93='V06 Calend 01'!C28),('V06 Calend 01'!F28+'V06 Calend 01'!G28),0)+IF(AND(('V06 Calend 01'!E28&gt;0),(93&gt;'V06 Calend 01'!C28),(93&lt;'V06 Calend 01'!D28),(MOD((93-'V06 Calend 01'!C28),6)=0),(((93-'V06 Calend 01'!C28)/6)&lt;='V06 Calend 01'!E28)),IF((93=('V06 Calend 01'!C28+(6*'V06 Calend 01'!E28))),('V06 Calend 01'!H28-('V06 Calend 01'!I28*('V06 Calend 01'!E28-1))),'V06 Calend 01'!I28),0))+IF((93='V06 Calend 01'!D28),'V06 Calend 01'!J28,0))</f>
        <v>0</v>
      </c>
      <c r="DB28" s="2">
        <f>((IF((94='V06 Calend 01'!C28),('V06 Calend 01'!F28+'V06 Calend 01'!G28),0)+IF(AND(('V06 Calend 01'!E28&gt;0),(94&gt;'V06 Calend 01'!C28),(94&lt;'V06 Calend 01'!D28),(MOD((94-'V06 Calend 01'!C28),6)=0),(((94-'V06 Calend 01'!C28)/6)&lt;='V06 Calend 01'!E28)),IF((94=('V06 Calend 01'!C28+(6*'V06 Calend 01'!E28))),('V06 Calend 01'!H28-('V06 Calend 01'!I28*('V06 Calend 01'!E28-1))),'V06 Calend 01'!I28),0))+IF((94='V06 Calend 01'!D28),'V06 Calend 01'!J28,0))</f>
        <v>0</v>
      </c>
      <c r="DC28" s="2">
        <f>((IF((95='V06 Calend 01'!C28),('V06 Calend 01'!F28+'V06 Calend 01'!G28),0)+IF(AND(('V06 Calend 01'!E28&gt;0),(95&gt;'V06 Calend 01'!C28),(95&lt;'V06 Calend 01'!D28),(MOD((95-'V06 Calend 01'!C28),6)=0),(((95-'V06 Calend 01'!C28)/6)&lt;='V06 Calend 01'!E28)),IF((95=('V06 Calend 01'!C28+(6*'V06 Calend 01'!E28))),('V06 Calend 01'!H28-('V06 Calend 01'!I28*('V06 Calend 01'!E28-1))),'V06 Calend 01'!I28),0))+IF((95='V06 Calend 01'!D28),'V06 Calend 01'!J28,0))</f>
        <v>0</v>
      </c>
      <c r="DD28" s="2">
        <f>((IF((96='V06 Calend 01'!C28),('V06 Calend 01'!F28+'V06 Calend 01'!G28),0)+IF(AND(('V06 Calend 01'!E28&gt;0),(96&gt;'V06 Calend 01'!C28),(96&lt;'V06 Calend 01'!D28),(MOD((96-'V06 Calend 01'!C28),6)=0),(((96-'V06 Calend 01'!C28)/6)&lt;='V06 Calend 01'!E28)),IF((96=('V06 Calend 01'!C28+(6*'V06 Calend 01'!E28))),('V06 Calend 01'!H28-('V06 Calend 01'!I28*('V06 Calend 01'!E28-1))),'V06 Calend 01'!I28),0))+IF((96='V06 Calend 01'!D28),'V06 Calend 01'!J28,0))</f>
        <v>0</v>
      </c>
      <c r="DE28" s="2">
        <f>((IF((97='V06 Calend 01'!C28),('V06 Calend 01'!F28+'V06 Calend 01'!G28),0)+IF(AND(('V06 Calend 01'!E28&gt;0),(97&gt;'V06 Calend 01'!C28),(97&lt;'V06 Calend 01'!D28),(MOD((97-'V06 Calend 01'!C28),6)=0),(((97-'V06 Calend 01'!C28)/6)&lt;='V06 Calend 01'!E28)),IF((97=('V06 Calend 01'!C28+(6*'V06 Calend 01'!E28))),('V06 Calend 01'!H28-('V06 Calend 01'!I28*('V06 Calend 01'!E28-1))),'V06 Calend 01'!I28),0))+IF((97='V06 Calend 01'!D28),'V06 Calend 01'!J28,0))</f>
        <v>0</v>
      </c>
      <c r="DF28" s="2">
        <f>((IF((98='V06 Calend 01'!C28),('V06 Calend 01'!F28+'V06 Calend 01'!G28),0)+IF(AND(('V06 Calend 01'!E28&gt;0),(98&gt;'V06 Calend 01'!C28),(98&lt;'V06 Calend 01'!D28),(MOD((98-'V06 Calend 01'!C28),6)=0),(((98-'V06 Calend 01'!C28)/6)&lt;='V06 Calend 01'!E28)),IF((98=('V06 Calend 01'!C28+(6*'V06 Calend 01'!E28))),('V06 Calend 01'!H28-('V06 Calend 01'!I28*('V06 Calend 01'!E28-1))),'V06 Calend 01'!I28),0))+IF((98='V06 Calend 01'!D28),'V06 Calend 01'!J28,0))</f>
        <v>0</v>
      </c>
      <c r="DG28" s="2">
        <f>((IF((99='V06 Calend 01'!C28),('V06 Calend 01'!F28+'V06 Calend 01'!G28),0)+IF(AND(('V06 Calend 01'!E28&gt;0),(99&gt;'V06 Calend 01'!C28),(99&lt;'V06 Calend 01'!D28),(MOD((99-'V06 Calend 01'!C28),6)=0),(((99-'V06 Calend 01'!C28)/6)&lt;='V06 Calend 01'!E28)),IF((99=('V06 Calend 01'!C28+(6*'V06 Calend 01'!E28))),('V06 Calend 01'!H28-('V06 Calend 01'!I28*('V06 Calend 01'!E28-1))),'V06 Calend 01'!I28),0))+IF((99='V06 Calend 01'!D28),'V06 Calend 01'!J28,0))</f>
        <v>0</v>
      </c>
      <c r="DH28" s="2">
        <f>((IF((100='V06 Calend 01'!C28),('V06 Calend 01'!F28+'V06 Calend 01'!G28),0)+IF(AND(('V06 Calend 01'!E28&gt;0),(100&gt;'V06 Calend 01'!C28),(100&lt;'V06 Calend 01'!D28),(MOD((100-'V06 Calend 01'!C28),6)=0),(((100-'V06 Calend 01'!C28)/6)&lt;='V06 Calend 01'!E28)),IF((100=('V06 Calend 01'!C28+(6*'V06 Calend 01'!E28))),('V06 Calend 01'!H28-('V06 Calend 01'!I28*('V06 Calend 01'!E28-1))),'V06 Calend 01'!I28),0))+IF((100='V06 Calend 01'!D28),'V06 Calend 01'!J28,0))</f>
        <v>0</v>
      </c>
      <c r="DI28" s="2">
        <f>((IF((101='V06 Calend 01'!C28),('V06 Calend 01'!F28+'V06 Calend 01'!G28),0)+IF(AND(('V06 Calend 01'!E28&gt;0),(101&gt;'V06 Calend 01'!C28),(101&lt;'V06 Calend 01'!D28),(MOD((101-'V06 Calend 01'!C28),6)=0),(((101-'V06 Calend 01'!C28)/6)&lt;='V06 Calend 01'!E28)),IF((101=('V06 Calend 01'!C28+(6*'V06 Calend 01'!E28))),('V06 Calend 01'!H28-('V06 Calend 01'!I28*('V06 Calend 01'!E28-1))),'V06 Calend 01'!I28),0))+IF((101='V06 Calend 01'!D28),'V06 Calend 01'!J28,0))</f>
        <v>0</v>
      </c>
      <c r="DJ28" s="2">
        <f>((IF((102='V06 Calend 01'!C28),('V06 Calend 01'!F28+'V06 Calend 01'!G28),0)+IF(AND(('V06 Calend 01'!E28&gt;0),(102&gt;'V06 Calend 01'!C28),(102&lt;'V06 Calend 01'!D28),(MOD((102-'V06 Calend 01'!C28),6)=0),(((102-'V06 Calend 01'!C28)/6)&lt;='V06 Calend 01'!E28)),IF((102=('V06 Calend 01'!C28+(6*'V06 Calend 01'!E28))),('V06 Calend 01'!H28-('V06 Calend 01'!I28*('V06 Calend 01'!E28-1))),'V06 Calend 01'!I28),0))+IF((102='V06 Calend 01'!D28),'V06 Calend 01'!J28,0))</f>
        <v>0</v>
      </c>
      <c r="DK28" s="2">
        <f>((IF((103='V06 Calend 01'!C28),('V06 Calend 01'!F28+'V06 Calend 01'!G28),0)+IF(AND(('V06 Calend 01'!E28&gt;0),(103&gt;'V06 Calend 01'!C28),(103&lt;'V06 Calend 01'!D28),(MOD((103-'V06 Calend 01'!C28),6)=0),(((103-'V06 Calend 01'!C28)/6)&lt;='V06 Calend 01'!E28)),IF((103=('V06 Calend 01'!C28+(6*'V06 Calend 01'!E28))),('V06 Calend 01'!H28-('V06 Calend 01'!I28*('V06 Calend 01'!E28-1))),'V06 Calend 01'!I28),0))+IF((103='V06 Calend 01'!D28),'V06 Calend 01'!J28,0))</f>
        <v>0</v>
      </c>
      <c r="DL28" s="2">
        <f>((IF((104='V06 Calend 01'!C28),('V06 Calend 01'!F28+'V06 Calend 01'!G28),0)+IF(AND(('V06 Calend 01'!E28&gt;0),(104&gt;'V06 Calend 01'!C28),(104&lt;'V06 Calend 01'!D28),(MOD((104-'V06 Calend 01'!C28),6)=0),(((104-'V06 Calend 01'!C28)/6)&lt;='V06 Calend 01'!E28)),IF((104=('V06 Calend 01'!C28+(6*'V06 Calend 01'!E28))),('V06 Calend 01'!H28-('V06 Calend 01'!I28*('V06 Calend 01'!E28-1))),'V06 Calend 01'!I28),0))+IF((104='V06 Calend 01'!D28),'V06 Calend 01'!J28,0))</f>
        <v>0</v>
      </c>
      <c r="DM28" s="2">
        <f>((IF((105='V06 Calend 01'!C28),('V06 Calend 01'!F28+'V06 Calend 01'!G28),0)+IF(AND(('V06 Calend 01'!E28&gt;0),(105&gt;'V06 Calend 01'!C28),(105&lt;'V06 Calend 01'!D28),(MOD((105-'V06 Calend 01'!C28),6)=0),(((105-'V06 Calend 01'!C28)/6)&lt;='V06 Calend 01'!E28)),IF((105=('V06 Calend 01'!C28+(6*'V06 Calend 01'!E28))),('V06 Calend 01'!H28-('V06 Calend 01'!I28*('V06 Calend 01'!E28-1))),'V06 Calend 01'!I28),0))+IF((105='V06 Calend 01'!D28),'V06 Calend 01'!J28,0))</f>
        <v>0</v>
      </c>
      <c r="DN28" s="2">
        <f>((IF((106='V06 Calend 01'!C28),('V06 Calend 01'!F28+'V06 Calend 01'!G28),0)+IF(AND(('V06 Calend 01'!E28&gt;0),(106&gt;'V06 Calend 01'!C28),(106&lt;'V06 Calend 01'!D28),(MOD((106-'V06 Calend 01'!C28),6)=0),(((106-'V06 Calend 01'!C28)/6)&lt;='V06 Calend 01'!E28)),IF((106=('V06 Calend 01'!C28+(6*'V06 Calend 01'!E28))),('V06 Calend 01'!H28-('V06 Calend 01'!I28*('V06 Calend 01'!E28-1))),'V06 Calend 01'!I28),0))+IF((106='V06 Calend 01'!D28),'V06 Calend 01'!J28,0))</f>
        <v>0</v>
      </c>
      <c r="DO28" s="2">
        <f>((IF((107='V06 Calend 01'!C28),('V06 Calend 01'!F28+'V06 Calend 01'!G28),0)+IF(AND(('V06 Calend 01'!E28&gt;0),(107&gt;'V06 Calend 01'!C28),(107&lt;'V06 Calend 01'!D28),(MOD((107-'V06 Calend 01'!C28),6)=0),(((107-'V06 Calend 01'!C28)/6)&lt;='V06 Calend 01'!E28)),IF((107=('V06 Calend 01'!C28+(6*'V06 Calend 01'!E28))),('V06 Calend 01'!H28-('V06 Calend 01'!I28*('V06 Calend 01'!E28-1))),'V06 Calend 01'!I28),0))+IF((107='V06 Calend 01'!D28),'V06 Calend 01'!J28,0))</f>
        <v>0</v>
      </c>
      <c r="DP28" s="2">
        <f>((IF((108='V06 Calend 01'!C28),('V06 Calend 01'!F28+'V06 Calend 01'!G28),0)+IF(AND(('V06 Calend 01'!E28&gt;0),(108&gt;'V06 Calend 01'!C28),(108&lt;'V06 Calend 01'!D28),(MOD((108-'V06 Calend 01'!C28),6)=0),(((108-'V06 Calend 01'!C28)/6)&lt;='V06 Calend 01'!E28)),IF((108=('V06 Calend 01'!C28+(6*'V06 Calend 01'!E28))),('V06 Calend 01'!H28-('V06 Calend 01'!I28*('V06 Calend 01'!E28-1))),'V06 Calend 01'!I28),0))+IF((108='V06 Calend 01'!D28),'V06 Calend 01'!J28,0))</f>
        <v>0</v>
      </c>
      <c r="DQ28" s="2">
        <f>((IF((109='V06 Calend 01'!C28),('V06 Calend 01'!F28+'V06 Calend 01'!G28),0)+IF(AND(('V06 Calend 01'!E28&gt;0),(109&gt;'V06 Calend 01'!C28),(109&lt;'V06 Calend 01'!D28),(MOD((109-'V06 Calend 01'!C28),6)=0),(((109-'V06 Calend 01'!C28)/6)&lt;='V06 Calend 01'!E28)),IF((109=('V06 Calend 01'!C28+(6*'V06 Calend 01'!E28))),('V06 Calend 01'!H28-('V06 Calend 01'!I28*('V06 Calend 01'!E28-1))),'V06 Calend 01'!I28),0))+IF((109='V06 Calend 01'!D28),'V06 Calend 01'!J28,0))</f>
        <v>0</v>
      </c>
      <c r="DR28" s="2">
        <f>((IF((110='V06 Calend 01'!C28),('V06 Calend 01'!F28+'V06 Calend 01'!G28),0)+IF(AND(('V06 Calend 01'!E28&gt;0),(110&gt;'V06 Calend 01'!C28),(110&lt;'V06 Calend 01'!D28),(MOD((110-'V06 Calend 01'!C28),6)=0),(((110-'V06 Calend 01'!C28)/6)&lt;='V06 Calend 01'!E28)),IF((110=('V06 Calend 01'!C28+(6*'V06 Calend 01'!E28))),('V06 Calend 01'!H28-('V06 Calend 01'!I28*('V06 Calend 01'!E28-1))),'V06 Calend 01'!I28),0))+IF((110='V06 Calend 01'!D28),'V06 Calend 01'!J28,0))</f>
        <v>0</v>
      </c>
      <c r="DS28" s="2">
        <f>((IF((111='V06 Calend 01'!C28),('V06 Calend 01'!F28+'V06 Calend 01'!G28),0)+IF(AND(('V06 Calend 01'!E28&gt;0),(111&gt;'V06 Calend 01'!C28),(111&lt;'V06 Calend 01'!D28),(MOD((111-'V06 Calend 01'!C28),6)=0),(((111-'V06 Calend 01'!C28)/6)&lt;='V06 Calend 01'!E28)),IF((111=('V06 Calend 01'!C28+(6*'V06 Calend 01'!E28))),('V06 Calend 01'!H28-('V06 Calend 01'!I28*('V06 Calend 01'!E28-1))),'V06 Calend 01'!I28),0))+IF((111='V06 Calend 01'!D28),'V06 Calend 01'!J28,0))</f>
        <v>0</v>
      </c>
      <c r="DT28" s="2">
        <f>((IF((112='V06 Calend 01'!C28),('V06 Calend 01'!F28+'V06 Calend 01'!G28),0)+IF(AND(('V06 Calend 01'!E28&gt;0),(112&gt;'V06 Calend 01'!C28),(112&lt;'V06 Calend 01'!D28),(MOD((112-'V06 Calend 01'!C28),6)=0),(((112-'V06 Calend 01'!C28)/6)&lt;='V06 Calend 01'!E28)),IF((112=('V06 Calend 01'!C28+(6*'V06 Calend 01'!E28))),('V06 Calend 01'!H28-('V06 Calend 01'!I28*('V06 Calend 01'!E28-1))),'V06 Calend 01'!I28),0))+IF((112='V06 Calend 01'!D28),'V06 Calend 01'!J28,0))</f>
        <v>0</v>
      </c>
      <c r="DU28" s="2">
        <f>((IF((113='V06 Calend 01'!C28),('V06 Calend 01'!F28+'V06 Calend 01'!G28),0)+IF(AND(('V06 Calend 01'!E28&gt;0),(113&gt;'V06 Calend 01'!C28),(113&lt;'V06 Calend 01'!D28),(MOD((113-'V06 Calend 01'!C28),6)=0),(((113-'V06 Calend 01'!C28)/6)&lt;='V06 Calend 01'!E28)),IF((113=('V06 Calend 01'!C28+(6*'V06 Calend 01'!E28))),('V06 Calend 01'!H28-('V06 Calend 01'!I28*('V06 Calend 01'!E28-1))),'V06 Calend 01'!I28),0))+IF((113='V06 Calend 01'!D28),'V06 Calend 01'!J28,0))</f>
        <v>0</v>
      </c>
      <c r="DV28" s="2">
        <f>((IF((114='V06 Calend 01'!C28),('V06 Calend 01'!F28+'V06 Calend 01'!G28),0)+IF(AND(('V06 Calend 01'!E28&gt;0),(114&gt;'V06 Calend 01'!C28),(114&lt;'V06 Calend 01'!D28),(MOD((114-'V06 Calend 01'!C28),6)=0),(((114-'V06 Calend 01'!C28)/6)&lt;='V06 Calend 01'!E28)),IF((114=('V06 Calend 01'!C28+(6*'V06 Calend 01'!E28))),('V06 Calend 01'!H28-('V06 Calend 01'!I28*('V06 Calend 01'!E28-1))),'V06 Calend 01'!I28),0))+IF((114='V06 Calend 01'!D28),'V06 Calend 01'!J28,0))</f>
        <v>0</v>
      </c>
      <c r="DW28" s="2">
        <f>((IF((115='V06 Calend 01'!C28),('V06 Calend 01'!F28+'V06 Calend 01'!G28),0)+IF(AND(('V06 Calend 01'!E28&gt;0),(115&gt;'V06 Calend 01'!C28),(115&lt;'V06 Calend 01'!D28),(MOD((115-'V06 Calend 01'!C28),6)=0),(((115-'V06 Calend 01'!C28)/6)&lt;='V06 Calend 01'!E28)),IF((115=('V06 Calend 01'!C28+(6*'V06 Calend 01'!E28))),('V06 Calend 01'!H28-('V06 Calend 01'!I28*('V06 Calend 01'!E28-1))),'V06 Calend 01'!I28),0))+IF((115='V06 Calend 01'!D28),'V06 Calend 01'!J28,0))</f>
        <v>0</v>
      </c>
      <c r="DX28" s="2">
        <f>((IF((116='V06 Calend 01'!C28),('V06 Calend 01'!F28+'V06 Calend 01'!G28),0)+IF(AND(('V06 Calend 01'!E28&gt;0),(116&gt;'V06 Calend 01'!C28),(116&lt;'V06 Calend 01'!D28),(MOD((116-'V06 Calend 01'!C28),6)=0),(((116-'V06 Calend 01'!C28)/6)&lt;='V06 Calend 01'!E28)),IF((116=('V06 Calend 01'!C28+(6*'V06 Calend 01'!E28))),('V06 Calend 01'!H28-('V06 Calend 01'!I28*('V06 Calend 01'!E28-1))),'V06 Calend 01'!I28),0))+IF((116='V06 Calend 01'!D28),'V06 Calend 01'!J28,0))</f>
        <v>0</v>
      </c>
      <c r="DY28" s="2">
        <f>((IF((117='V06 Calend 01'!C28),('V06 Calend 01'!F28+'V06 Calend 01'!G28),0)+IF(AND(('V06 Calend 01'!E28&gt;0),(117&gt;'V06 Calend 01'!C28),(117&lt;'V06 Calend 01'!D28),(MOD((117-'V06 Calend 01'!C28),6)=0),(((117-'V06 Calend 01'!C28)/6)&lt;='V06 Calend 01'!E28)),IF((117=('V06 Calend 01'!C28+(6*'V06 Calend 01'!E28))),('V06 Calend 01'!H28-('V06 Calend 01'!I28*('V06 Calend 01'!E28-1))),'V06 Calend 01'!I28),0))+IF((117='V06 Calend 01'!D28),'V06 Calend 01'!J28,0))</f>
        <v>0</v>
      </c>
      <c r="DZ28" s="2">
        <f>((IF((118='V06 Calend 01'!C28),('V06 Calend 01'!F28+'V06 Calend 01'!G28),0)+IF(AND(('V06 Calend 01'!E28&gt;0),(118&gt;'V06 Calend 01'!C28),(118&lt;'V06 Calend 01'!D28),(MOD((118-'V06 Calend 01'!C28),6)=0),(((118-'V06 Calend 01'!C28)/6)&lt;='V06 Calend 01'!E28)),IF((118=('V06 Calend 01'!C28+(6*'V06 Calend 01'!E28))),('V06 Calend 01'!H28-('V06 Calend 01'!I28*('V06 Calend 01'!E28-1))),'V06 Calend 01'!I28),0))+IF((118='V06 Calend 01'!D28),'V06 Calend 01'!J28,0))</f>
        <v>0</v>
      </c>
      <c r="EA28" s="2">
        <f>((IF((119='V06 Calend 01'!C28),('V06 Calend 01'!F28+'V06 Calend 01'!G28),0)+IF(AND(('V06 Calend 01'!E28&gt;0),(119&gt;'V06 Calend 01'!C28),(119&lt;'V06 Calend 01'!D28),(MOD((119-'V06 Calend 01'!C28),6)=0),(((119-'V06 Calend 01'!C28)/6)&lt;='V06 Calend 01'!E28)),IF((119=('V06 Calend 01'!C28+(6*'V06 Calend 01'!E28))),('V06 Calend 01'!H28-('V06 Calend 01'!I28*('V06 Calend 01'!E28-1))),'V06 Calend 01'!I28),0))+IF((119='V06 Calend 01'!D28),'V06 Calend 01'!J28,0))</f>
        <v>0</v>
      </c>
      <c r="EB28" s="2">
        <f>((IF((120='V06 Calend 01'!C28),('V06 Calend 01'!F28+'V06 Calend 01'!G28),0)+IF(AND(('V06 Calend 01'!E28&gt;0),(120&gt;'V06 Calend 01'!C28),(120&lt;'V06 Calend 01'!D28),(MOD((120-'V06 Calend 01'!C28),6)=0),(((120-'V06 Calend 01'!C28)/6)&lt;='V06 Calend 01'!E28)),IF((120=('V06 Calend 01'!C28+(6*'V06 Calend 01'!E28))),('V06 Calend 01'!H28-('V06 Calend 01'!I28*('V06 Calend 01'!E28-1))),'V06 Calend 01'!I28),0))+IF((120='V06 Calend 01'!D28),'V06 Calend 01'!J28,0))</f>
        <v>0</v>
      </c>
      <c r="EC28" s="2">
        <f>((IF((121='V06 Calend 01'!C28),('V06 Calend 01'!F28+'V06 Calend 01'!G28),0)+IF(AND(('V06 Calend 01'!E28&gt;0),(121&gt;'V06 Calend 01'!C28),(121&lt;'V06 Calend 01'!D28),(MOD((121-'V06 Calend 01'!C28),6)=0),(((121-'V06 Calend 01'!C28)/6)&lt;='V06 Calend 01'!E28)),IF((121=('V06 Calend 01'!C28+(6*'V06 Calend 01'!E28))),('V06 Calend 01'!H28-('V06 Calend 01'!I28*('V06 Calend 01'!E28-1))),'V06 Calend 01'!I28),0))+IF((121='V06 Calend 01'!D28),'V06 Calend 01'!J28,0))</f>
        <v>0</v>
      </c>
      <c r="ED28" s="2">
        <f>((IF((122='V06 Calend 01'!C28),('V06 Calend 01'!F28+'V06 Calend 01'!G28),0)+IF(AND(('V06 Calend 01'!E28&gt;0),(122&gt;'V06 Calend 01'!C28),(122&lt;'V06 Calend 01'!D28),(MOD((122-'V06 Calend 01'!C28),6)=0),(((122-'V06 Calend 01'!C28)/6)&lt;='V06 Calend 01'!E28)),IF((122=('V06 Calend 01'!C28+(6*'V06 Calend 01'!E28))),('V06 Calend 01'!H28-('V06 Calend 01'!I28*('V06 Calend 01'!E28-1))),'V06 Calend 01'!I28),0))+IF((122='V06 Calend 01'!D28),'V06 Calend 01'!J28,0))</f>
        <v>0</v>
      </c>
      <c r="EE28" s="2">
        <f>((IF((123='V06 Calend 01'!C28),('V06 Calend 01'!F28+'V06 Calend 01'!G28),0)+IF(AND(('V06 Calend 01'!E28&gt;0),(123&gt;'V06 Calend 01'!C28),(123&lt;'V06 Calend 01'!D28),(MOD((123-'V06 Calend 01'!C28),6)=0),(((123-'V06 Calend 01'!C28)/6)&lt;='V06 Calend 01'!E28)),IF((123=('V06 Calend 01'!C28+(6*'V06 Calend 01'!E28))),('V06 Calend 01'!H28-('V06 Calend 01'!I28*('V06 Calend 01'!E28-1))),'V06 Calend 01'!I28),0))+IF((123='V06 Calend 01'!D28),'V06 Calend 01'!J28,0))</f>
        <v>0</v>
      </c>
      <c r="EF28" s="2">
        <f>((IF((124='V06 Calend 01'!C28),('V06 Calend 01'!F28+'V06 Calend 01'!G28),0)+IF(AND(('V06 Calend 01'!E28&gt;0),(124&gt;'V06 Calend 01'!C28),(124&lt;'V06 Calend 01'!D28),(MOD((124-'V06 Calend 01'!C28),6)=0),(((124-'V06 Calend 01'!C28)/6)&lt;='V06 Calend 01'!E28)),IF((124=('V06 Calend 01'!C28+(6*'V06 Calend 01'!E28))),('V06 Calend 01'!H28-('V06 Calend 01'!I28*('V06 Calend 01'!E28-1))),'V06 Calend 01'!I28),0))+IF((124='V06 Calend 01'!D28),'V06 Calend 01'!J28,0))</f>
        <v>0</v>
      </c>
      <c r="EG28" s="2">
        <f>((IF((125='V06 Calend 01'!C28),('V06 Calend 01'!F28+'V06 Calend 01'!G28),0)+IF(AND(('V06 Calend 01'!E28&gt;0),(125&gt;'V06 Calend 01'!C28),(125&lt;'V06 Calend 01'!D28),(MOD((125-'V06 Calend 01'!C28),6)=0),(((125-'V06 Calend 01'!C28)/6)&lt;='V06 Calend 01'!E28)),IF((125=('V06 Calend 01'!C28+(6*'V06 Calend 01'!E28))),('V06 Calend 01'!H28-('V06 Calend 01'!I28*('V06 Calend 01'!E28-1))),'V06 Calend 01'!I28),0))+IF((125='V06 Calend 01'!D28),'V06 Calend 01'!J28,0))</f>
        <v>0</v>
      </c>
      <c r="EH28" s="2">
        <f>((IF((126='V06 Calend 01'!C28),('V06 Calend 01'!F28+'V06 Calend 01'!G28),0)+IF(AND(('V06 Calend 01'!E28&gt;0),(126&gt;'V06 Calend 01'!C28),(126&lt;'V06 Calend 01'!D28),(MOD((126-'V06 Calend 01'!C28),6)=0),(((126-'V06 Calend 01'!C28)/6)&lt;='V06 Calend 01'!E28)),IF((126=('V06 Calend 01'!C28+(6*'V06 Calend 01'!E28))),('V06 Calend 01'!H28-('V06 Calend 01'!I28*('V06 Calend 01'!E28-1))),'V06 Calend 01'!I28),0))+IF((126='V06 Calend 01'!D28),'V06 Calend 01'!J28,0))</f>
        <v>0</v>
      </c>
      <c r="EI28" s="2">
        <f>((IF((127='V06 Calend 01'!C28),('V06 Calend 01'!F28+'V06 Calend 01'!G28),0)+IF(AND(('V06 Calend 01'!E28&gt;0),(127&gt;'V06 Calend 01'!C28),(127&lt;'V06 Calend 01'!D28),(MOD((127-'V06 Calend 01'!C28),6)=0),(((127-'V06 Calend 01'!C28)/6)&lt;='V06 Calend 01'!E28)),IF((127=('V06 Calend 01'!C28+(6*'V06 Calend 01'!E28))),('V06 Calend 01'!H28-('V06 Calend 01'!I28*('V06 Calend 01'!E28-1))),'V06 Calend 01'!I28),0))+IF((127='V06 Calend 01'!D28),'V06 Calend 01'!J28,0))</f>
        <v>0</v>
      </c>
      <c r="EJ28" s="2">
        <f>((IF((128='V06 Calend 01'!C28),('V06 Calend 01'!F28+'V06 Calend 01'!G28),0)+IF(AND(('V06 Calend 01'!E28&gt;0),(128&gt;'V06 Calend 01'!C28),(128&lt;'V06 Calend 01'!D28),(MOD((128-'V06 Calend 01'!C28),6)=0),(((128-'V06 Calend 01'!C28)/6)&lt;='V06 Calend 01'!E28)),IF((128=('V06 Calend 01'!C28+(6*'V06 Calend 01'!E28))),('V06 Calend 01'!H28-('V06 Calend 01'!I28*('V06 Calend 01'!E28-1))),'V06 Calend 01'!I28),0))+IF((128='V06 Calend 01'!D28),'V06 Calend 01'!J28,0))</f>
        <v>0</v>
      </c>
      <c r="EK28" s="2">
        <f>((IF((129='V06 Calend 01'!C28),('V06 Calend 01'!F28+'V06 Calend 01'!G28),0)+IF(AND(('V06 Calend 01'!E28&gt;0),(129&gt;'V06 Calend 01'!C28),(129&lt;'V06 Calend 01'!D28),(MOD((129-'V06 Calend 01'!C28),6)=0),(((129-'V06 Calend 01'!C28)/6)&lt;='V06 Calend 01'!E28)),IF((129=('V06 Calend 01'!C28+(6*'V06 Calend 01'!E28))),('V06 Calend 01'!H28-('V06 Calend 01'!I28*('V06 Calend 01'!E28-1))),'V06 Calend 01'!I28),0))+IF((129='V06 Calend 01'!D28),'V06 Calend 01'!J28,0))</f>
        <v>0</v>
      </c>
      <c r="EL28" s="2">
        <f>((IF((130='V06 Calend 01'!C28),('V06 Calend 01'!F28+'V06 Calend 01'!G28),0)+IF(AND(('V06 Calend 01'!E28&gt;0),(130&gt;'V06 Calend 01'!C28),(130&lt;'V06 Calend 01'!D28),(MOD((130-'V06 Calend 01'!C28),6)=0),(((130-'V06 Calend 01'!C28)/6)&lt;='V06 Calend 01'!E28)),IF((130=('V06 Calend 01'!C28+(6*'V06 Calend 01'!E28))),('V06 Calend 01'!H28-('V06 Calend 01'!I28*('V06 Calend 01'!E28-1))),'V06 Calend 01'!I28),0))+IF((130='V06 Calend 01'!D28),'V06 Calend 01'!J28,0))</f>
        <v>0</v>
      </c>
      <c r="EM28" s="2">
        <f>((IF((131='V06 Calend 01'!C28),('V06 Calend 01'!F28+'V06 Calend 01'!G28),0)+IF(AND(('V06 Calend 01'!E28&gt;0),(131&gt;'V06 Calend 01'!C28),(131&lt;'V06 Calend 01'!D28),(MOD((131-'V06 Calend 01'!C28),6)=0),(((131-'V06 Calend 01'!C28)/6)&lt;='V06 Calend 01'!E28)),IF((131=('V06 Calend 01'!C28+(6*'V06 Calend 01'!E28))),('V06 Calend 01'!H28-('V06 Calend 01'!I28*('V06 Calend 01'!E28-1))),'V06 Calend 01'!I28),0))+IF((131='V06 Calend 01'!D28),'V06 Calend 01'!J28,0))</f>
        <v>0</v>
      </c>
      <c r="EN28" s="2">
        <f>((IF((132='V06 Calend 01'!C28),('V06 Calend 01'!F28+'V06 Calend 01'!G28),0)+IF(AND(('V06 Calend 01'!E28&gt;0),(132&gt;'V06 Calend 01'!C28),(132&lt;'V06 Calend 01'!D28),(MOD((132-'V06 Calend 01'!C28),6)=0),(((132-'V06 Calend 01'!C28)/6)&lt;='V06 Calend 01'!E28)),IF((132=('V06 Calend 01'!C28+(6*'V06 Calend 01'!E28))),('V06 Calend 01'!H28-('V06 Calend 01'!I28*('V06 Calend 01'!E28-1))),'V06 Calend 01'!I28),0))+IF((132='V06 Calend 01'!D28),'V06 Calend 01'!J28,0))</f>
        <v>0</v>
      </c>
      <c r="EO28" s="2">
        <f>((IF((133='V06 Calend 01'!C28),('V06 Calend 01'!F28+'V06 Calend 01'!G28),0)+IF(AND(('V06 Calend 01'!E28&gt;0),(133&gt;'V06 Calend 01'!C28),(133&lt;'V06 Calend 01'!D28),(MOD((133-'V06 Calend 01'!C28),6)=0),(((133-'V06 Calend 01'!C28)/6)&lt;='V06 Calend 01'!E28)),IF((133=('V06 Calend 01'!C28+(6*'V06 Calend 01'!E28))),('V06 Calend 01'!H28-('V06 Calend 01'!I28*('V06 Calend 01'!E28-1))),'V06 Calend 01'!I28),0))+IF((133='V06 Calend 01'!D28),'V06 Calend 01'!J28,0))</f>
        <v>0</v>
      </c>
      <c r="EP28" s="2">
        <f>((IF((134='V06 Calend 01'!C28),('V06 Calend 01'!F28+'V06 Calend 01'!G28),0)+IF(AND(('V06 Calend 01'!E28&gt;0),(134&gt;'V06 Calend 01'!C28),(134&lt;'V06 Calend 01'!D28),(MOD((134-'V06 Calend 01'!C28),6)=0),(((134-'V06 Calend 01'!C28)/6)&lt;='V06 Calend 01'!E28)),IF((134=('V06 Calend 01'!C28+(6*'V06 Calend 01'!E28))),('V06 Calend 01'!H28-('V06 Calend 01'!I28*('V06 Calend 01'!E28-1))),'V06 Calend 01'!I28),0))+IF((134='V06 Calend 01'!D28),'V06 Calend 01'!J28,0))</f>
        <v>0</v>
      </c>
      <c r="EQ28" s="2">
        <f>((IF((135='V06 Calend 01'!C28),('V06 Calend 01'!F28+'V06 Calend 01'!G28),0)+IF(AND(('V06 Calend 01'!E28&gt;0),(135&gt;'V06 Calend 01'!C28),(135&lt;'V06 Calend 01'!D28),(MOD((135-'V06 Calend 01'!C28),6)=0),(((135-'V06 Calend 01'!C28)/6)&lt;='V06 Calend 01'!E28)),IF((135=('V06 Calend 01'!C28+(6*'V06 Calend 01'!E28))),('V06 Calend 01'!H28-('V06 Calend 01'!I28*('V06 Calend 01'!E28-1))),'V06 Calend 01'!I28),0))+IF((135='V06 Calend 01'!D28),'V06 Calend 01'!J28,0))</f>
        <v>0</v>
      </c>
      <c r="ER28" s="2">
        <f>((IF((136='V06 Calend 01'!C28),('V06 Calend 01'!F28+'V06 Calend 01'!G28),0)+IF(AND(('V06 Calend 01'!E28&gt;0),(136&gt;'V06 Calend 01'!C28),(136&lt;'V06 Calend 01'!D28),(MOD((136-'V06 Calend 01'!C28),6)=0),(((136-'V06 Calend 01'!C28)/6)&lt;='V06 Calend 01'!E28)),IF((136=('V06 Calend 01'!C28+(6*'V06 Calend 01'!E28))),('V06 Calend 01'!H28-('V06 Calend 01'!I28*('V06 Calend 01'!E28-1))),'V06 Calend 01'!I28),0))+IF((136='V06 Calend 01'!D28),'V06 Calend 01'!J28,0))</f>
        <v>0</v>
      </c>
      <c r="ES28" s="2">
        <f>((IF((137='V06 Calend 01'!C28),('V06 Calend 01'!F28+'V06 Calend 01'!G28),0)+IF(AND(('V06 Calend 01'!E28&gt;0),(137&gt;'V06 Calend 01'!C28),(137&lt;'V06 Calend 01'!D28),(MOD((137-'V06 Calend 01'!C28),6)=0),(((137-'V06 Calend 01'!C28)/6)&lt;='V06 Calend 01'!E28)),IF((137=('V06 Calend 01'!C28+(6*'V06 Calend 01'!E28))),('V06 Calend 01'!H28-('V06 Calend 01'!I28*('V06 Calend 01'!E28-1))),'V06 Calend 01'!I28),0))+IF((137='V06 Calend 01'!D28),'V06 Calend 01'!J28,0))</f>
        <v>0</v>
      </c>
      <c r="ET28" s="2">
        <f>((IF((138='V06 Calend 01'!C28),('V06 Calend 01'!F28+'V06 Calend 01'!G28),0)+IF(AND(('V06 Calend 01'!E28&gt;0),(138&gt;'V06 Calend 01'!C28),(138&lt;'V06 Calend 01'!D28),(MOD((138-'V06 Calend 01'!C28),6)=0),(((138-'V06 Calend 01'!C28)/6)&lt;='V06 Calend 01'!E28)),IF((138=('V06 Calend 01'!C28+(6*'V06 Calend 01'!E28))),('V06 Calend 01'!H28-('V06 Calend 01'!I28*('V06 Calend 01'!E28-1))),'V06 Calend 01'!I28),0))+IF((138='V06 Calend 01'!D28),'V06 Calend 01'!J28,0))</f>
        <v>0</v>
      </c>
      <c r="EU28" s="2">
        <f>((IF((139='V06 Calend 01'!C28),('V06 Calend 01'!F28+'V06 Calend 01'!G28),0)+IF(AND(('V06 Calend 01'!E28&gt;0),(139&gt;'V06 Calend 01'!C28),(139&lt;'V06 Calend 01'!D28),(MOD((139-'V06 Calend 01'!C28),6)=0),(((139-'V06 Calend 01'!C28)/6)&lt;='V06 Calend 01'!E28)),IF((139=('V06 Calend 01'!C28+(6*'V06 Calend 01'!E28))),('V06 Calend 01'!H28-('V06 Calend 01'!I28*('V06 Calend 01'!E28-1))),'V06 Calend 01'!I28),0))+IF((139='V06 Calend 01'!D28),'V06 Calend 01'!J28,0))</f>
        <v>0</v>
      </c>
      <c r="EV28" s="2">
        <f>((IF((140='V06 Calend 01'!C28),('V06 Calend 01'!F28+'V06 Calend 01'!G28),0)+IF(AND(('V06 Calend 01'!E28&gt;0),(140&gt;'V06 Calend 01'!C28),(140&lt;'V06 Calend 01'!D28),(MOD((140-'V06 Calend 01'!C28),6)=0),(((140-'V06 Calend 01'!C28)/6)&lt;='V06 Calend 01'!E28)),IF((140=('V06 Calend 01'!C28+(6*'V06 Calend 01'!E28))),('V06 Calend 01'!H28-('V06 Calend 01'!I28*('V06 Calend 01'!E28-1))),'V06 Calend 01'!I28),0))+IF((140='V06 Calend 01'!D28),'V06 Calend 01'!J28,0))</f>
        <v>0</v>
      </c>
      <c r="EW28" s="2">
        <f>((IF((141='V06 Calend 01'!C28),('V06 Calend 01'!F28+'V06 Calend 01'!G28),0)+IF(AND(('V06 Calend 01'!E28&gt;0),(141&gt;'V06 Calend 01'!C28),(141&lt;'V06 Calend 01'!D28),(MOD((141-'V06 Calend 01'!C28),6)=0),(((141-'V06 Calend 01'!C28)/6)&lt;='V06 Calend 01'!E28)),IF((141=('V06 Calend 01'!C28+(6*'V06 Calend 01'!E28))),('V06 Calend 01'!H28-('V06 Calend 01'!I28*('V06 Calend 01'!E28-1))),'V06 Calend 01'!I28),0))+IF((141='V06 Calend 01'!D28),'V06 Calend 01'!J28,0))</f>
        <v>0</v>
      </c>
      <c r="EX28" s="2">
        <f>((IF((142='V06 Calend 01'!C28),('V06 Calend 01'!F28+'V06 Calend 01'!G28),0)+IF(AND(('V06 Calend 01'!E28&gt;0),(142&gt;'V06 Calend 01'!C28),(142&lt;'V06 Calend 01'!D28),(MOD((142-'V06 Calend 01'!C28),6)=0),(((142-'V06 Calend 01'!C28)/6)&lt;='V06 Calend 01'!E28)),IF((142=('V06 Calend 01'!C28+(6*'V06 Calend 01'!E28))),('V06 Calend 01'!H28-('V06 Calend 01'!I28*('V06 Calend 01'!E28-1))),'V06 Calend 01'!I28),0))+IF((142='V06 Calend 01'!D28),'V06 Calend 01'!J28,0))</f>
        <v>0</v>
      </c>
      <c r="EY28" s="2">
        <f>((IF((143='V06 Calend 01'!C28),('V06 Calend 01'!F28+'V06 Calend 01'!G28),0)+IF(AND(('V06 Calend 01'!E28&gt;0),(143&gt;'V06 Calend 01'!C28),(143&lt;'V06 Calend 01'!D28),(MOD((143-'V06 Calend 01'!C28),6)=0),(((143-'V06 Calend 01'!C28)/6)&lt;='V06 Calend 01'!E28)),IF((143=('V06 Calend 01'!C28+(6*'V06 Calend 01'!E28))),('V06 Calend 01'!H28-('V06 Calend 01'!I28*('V06 Calend 01'!E28-1))),'V06 Calend 01'!I28),0))+IF((143='V06 Calend 01'!D28),'V06 Calend 01'!J28,0))</f>
        <v>0</v>
      </c>
      <c r="EZ28" s="2">
        <f>((IF((144='V06 Calend 01'!C28),('V06 Calend 01'!F28+'V06 Calend 01'!G28),0)+IF(AND(('V06 Calend 01'!E28&gt;0),(144&gt;'V06 Calend 01'!C28),(144&lt;'V06 Calend 01'!D28),(MOD((144-'V06 Calend 01'!C28),6)=0),(((144-'V06 Calend 01'!C28)/6)&lt;='V06 Calend 01'!E28)),IF((144=('V06 Calend 01'!C28+(6*'V06 Calend 01'!E28))),('V06 Calend 01'!H28-('V06 Calend 01'!I28*('V06 Calend 01'!E28-1))),'V06 Calend 01'!I28),0))+IF((144='V06 Calend 01'!D28),'V06 Calend 01'!J28,0))</f>
        <v>0</v>
      </c>
      <c r="FA28" s="2">
        <f>((IF((145='V06 Calend 01'!C28),('V06 Calend 01'!F28+'V06 Calend 01'!G28),0)+IF(AND(('V06 Calend 01'!E28&gt;0),(145&gt;'V06 Calend 01'!C28),(145&lt;'V06 Calend 01'!D28),(MOD((145-'V06 Calend 01'!C28),6)=0),(((145-'V06 Calend 01'!C28)/6)&lt;='V06 Calend 01'!E28)),IF((145=('V06 Calend 01'!C28+(6*'V06 Calend 01'!E28))),('V06 Calend 01'!H28-('V06 Calend 01'!I28*('V06 Calend 01'!E28-1))),'V06 Calend 01'!I28),0))+IF((145='V06 Calend 01'!D28),'V06 Calend 01'!J28,0))</f>
        <v>0</v>
      </c>
      <c r="FB28" s="2">
        <f>((IF((146='V06 Calend 01'!C28),('V06 Calend 01'!F28+'V06 Calend 01'!G28),0)+IF(AND(('V06 Calend 01'!E28&gt;0),(146&gt;'V06 Calend 01'!C28),(146&lt;'V06 Calend 01'!D28),(MOD((146-'V06 Calend 01'!C28),6)=0),(((146-'V06 Calend 01'!C28)/6)&lt;='V06 Calend 01'!E28)),IF((146=('V06 Calend 01'!C28+(6*'V06 Calend 01'!E28))),('V06 Calend 01'!H28-('V06 Calend 01'!I28*('V06 Calend 01'!E28-1))),'V06 Calend 01'!I28),0))+IF((146='V06 Calend 01'!D28),'V06 Calend 01'!J28,0))</f>
        <v>0</v>
      </c>
      <c r="FC28" s="2">
        <f>((IF((147='V06 Calend 01'!C28),('V06 Calend 01'!F28+'V06 Calend 01'!G28),0)+IF(AND(('V06 Calend 01'!E28&gt;0),(147&gt;'V06 Calend 01'!C28),(147&lt;'V06 Calend 01'!D28),(MOD((147-'V06 Calend 01'!C28),6)=0),(((147-'V06 Calend 01'!C28)/6)&lt;='V06 Calend 01'!E28)),IF((147=('V06 Calend 01'!C28+(6*'V06 Calend 01'!E28))),('V06 Calend 01'!H28-('V06 Calend 01'!I28*('V06 Calend 01'!E28-1))),'V06 Calend 01'!I28),0))+IF((147='V06 Calend 01'!D28),'V06 Calend 01'!J28,0))</f>
        <v>0</v>
      </c>
      <c r="FD28" s="2">
        <f>((IF((148='V06 Calend 01'!C28),('V06 Calend 01'!F28+'V06 Calend 01'!G28),0)+IF(AND(('V06 Calend 01'!E28&gt;0),(148&gt;'V06 Calend 01'!C28),(148&lt;'V06 Calend 01'!D28),(MOD((148-'V06 Calend 01'!C28),6)=0),(((148-'V06 Calend 01'!C28)/6)&lt;='V06 Calend 01'!E28)),IF((148=('V06 Calend 01'!C28+(6*'V06 Calend 01'!E28))),('V06 Calend 01'!H28-('V06 Calend 01'!I28*('V06 Calend 01'!E28-1))),'V06 Calend 01'!I28),0))+IF((148='V06 Calend 01'!D28),'V06 Calend 01'!J28,0))</f>
        <v>0</v>
      </c>
      <c r="FE28" s="2">
        <f>((IF((149='V06 Calend 01'!C28),('V06 Calend 01'!F28+'V06 Calend 01'!G28),0)+IF(AND(('V06 Calend 01'!E28&gt;0),(149&gt;'V06 Calend 01'!C28),(149&lt;'V06 Calend 01'!D28),(MOD((149-'V06 Calend 01'!C28),6)=0),(((149-'V06 Calend 01'!C28)/6)&lt;='V06 Calend 01'!E28)),IF((149=('V06 Calend 01'!C28+(6*'V06 Calend 01'!E28))),('V06 Calend 01'!H28-('V06 Calend 01'!I28*('V06 Calend 01'!E28-1))),'V06 Calend 01'!I28),0))+IF((149='V06 Calend 01'!D28),'V06 Calend 01'!J28,0))</f>
        <v>0</v>
      </c>
      <c r="FF28" s="2">
        <f>((IF((150='V06 Calend 01'!C28),('V06 Calend 01'!F28+'V06 Calend 01'!G28),0)+IF(AND(('V06 Calend 01'!E28&gt;0),(150&gt;'V06 Calend 01'!C28),(150&lt;'V06 Calend 01'!D28),(MOD((150-'V06 Calend 01'!C28),6)=0),(((150-'V06 Calend 01'!C28)/6)&lt;='V06 Calend 01'!E28)),IF((150=('V06 Calend 01'!C28+(6*'V06 Calend 01'!E28))),('V06 Calend 01'!H28-('V06 Calend 01'!I28*('V06 Calend 01'!E28-1))),'V06 Calend 01'!I28),0))+IF((150='V06 Calend 01'!D28),'V06 Calend 01'!J28,0))</f>
        <v>0</v>
      </c>
      <c r="FG28" s="2">
        <f>((IF((151='V06 Calend 01'!C28),('V06 Calend 01'!F28+'V06 Calend 01'!G28),0)+IF(AND(('V06 Calend 01'!E28&gt;0),(151&gt;'V06 Calend 01'!C28),(151&lt;'V06 Calend 01'!D28),(MOD((151-'V06 Calend 01'!C28),6)=0),(((151-'V06 Calend 01'!C28)/6)&lt;='V06 Calend 01'!E28)),IF((151=('V06 Calend 01'!C28+(6*'V06 Calend 01'!E28))),('V06 Calend 01'!H28-('V06 Calend 01'!I28*('V06 Calend 01'!E28-1))),'V06 Calend 01'!I28),0))+IF((151='V06 Calend 01'!D28),'V06 Calend 01'!J28,0))</f>
        <v>0</v>
      </c>
      <c r="FH28" s="2">
        <f>((IF((152='V06 Calend 01'!C28),('V06 Calend 01'!F28+'V06 Calend 01'!G28),0)+IF(AND(('V06 Calend 01'!E28&gt;0),(152&gt;'V06 Calend 01'!C28),(152&lt;'V06 Calend 01'!D28),(MOD((152-'V06 Calend 01'!C28),6)=0),(((152-'V06 Calend 01'!C28)/6)&lt;='V06 Calend 01'!E28)),IF((152=('V06 Calend 01'!C28+(6*'V06 Calend 01'!E28))),('V06 Calend 01'!H28-('V06 Calend 01'!I28*('V06 Calend 01'!E28-1))),'V06 Calend 01'!I28),0))+IF((152='V06 Calend 01'!D28),'V06 Calend 01'!J28,0))</f>
        <v>0</v>
      </c>
      <c r="FI28" s="2">
        <f>((IF((153='V06 Calend 01'!C28),('V06 Calend 01'!F28+'V06 Calend 01'!G28),0)+IF(AND(('V06 Calend 01'!E28&gt;0),(153&gt;'V06 Calend 01'!C28),(153&lt;'V06 Calend 01'!D28),(MOD((153-'V06 Calend 01'!C28),6)=0),(((153-'V06 Calend 01'!C28)/6)&lt;='V06 Calend 01'!E28)),IF((153=('V06 Calend 01'!C28+(6*'V06 Calend 01'!E28))),('V06 Calend 01'!H28-('V06 Calend 01'!I28*('V06 Calend 01'!E28-1))),'V06 Calend 01'!I28),0))+IF((153='V06 Calend 01'!D28),'V06 Calend 01'!J28,0))</f>
        <v>0</v>
      </c>
      <c r="FJ28" s="2">
        <f>((IF((154='V06 Calend 01'!C28),('V06 Calend 01'!F28+'V06 Calend 01'!G28),0)+IF(AND(('V06 Calend 01'!E28&gt;0),(154&gt;'V06 Calend 01'!C28),(154&lt;'V06 Calend 01'!D28),(MOD((154-'V06 Calend 01'!C28),6)=0),(((154-'V06 Calend 01'!C28)/6)&lt;='V06 Calend 01'!E28)),IF((154=('V06 Calend 01'!C28+(6*'V06 Calend 01'!E28))),('V06 Calend 01'!H28-('V06 Calend 01'!I28*('V06 Calend 01'!E28-1))),'V06 Calend 01'!I28),0))+IF((154='V06 Calend 01'!D28),'V06 Calend 01'!J28,0))</f>
        <v>0</v>
      </c>
      <c r="FK28" s="2">
        <f>((IF((155='V06 Calend 01'!C28),('V06 Calend 01'!F28+'V06 Calend 01'!G28),0)+IF(AND(('V06 Calend 01'!E28&gt;0),(155&gt;'V06 Calend 01'!C28),(155&lt;'V06 Calend 01'!D28),(MOD((155-'V06 Calend 01'!C28),6)=0),(((155-'V06 Calend 01'!C28)/6)&lt;='V06 Calend 01'!E28)),IF((155=('V06 Calend 01'!C28+(6*'V06 Calend 01'!E28))),('V06 Calend 01'!H28-('V06 Calend 01'!I28*('V06 Calend 01'!E28-1))),'V06 Calend 01'!I28),0))+IF((155='V06 Calend 01'!D28),'V06 Calend 01'!J28,0))</f>
        <v>0</v>
      </c>
      <c r="FL28" s="2">
        <f>((IF((156='V06 Calend 01'!C28),('V06 Calend 01'!F28+'V06 Calend 01'!G28),0)+IF(AND(('V06 Calend 01'!E28&gt;0),(156&gt;'V06 Calend 01'!C28),(156&lt;'V06 Calend 01'!D28),(MOD((156-'V06 Calend 01'!C28),6)=0),(((156-'V06 Calend 01'!C28)/6)&lt;='V06 Calend 01'!E28)),IF((156=('V06 Calend 01'!C28+(6*'V06 Calend 01'!E28))),('V06 Calend 01'!H28-('V06 Calend 01'!I28*('V06 Calend 01'!E28-1))),'V06 Calend 01'!I28),0))+IF((156='V06 Calend 01'!D28),'V06 Calend 01'!J28,0))</f>
        <v>0</v>
      </c>
      <c r="FM28" s="2">
        <f>((IF((157='V06 Calend 01'!C28),('V06 Calend 01'!F28+'V06 Calend 01'!G28),0)+IF(AND(('V06 Calend 01'!E28&gt;0),(157&gt;'V06 Calend 01'!C28),(157&lt;'V06 Calend 01'!D28),(MOD((157-'V06 Calend 01'!C28),6)=0),(((157-'V06 Calend 01'!C28)/6)&lt;='V06 Calend 01'!E28)),IF((157=('V06 Calend 01'!C28+(6*'V06 Calend 01'!E28))),('V06 Calend 01'!H28-('V06 Calend 01'!I28*('V06 Calend 01'!E28-1))),'V06 Calend 01'!I28),0))+IF((157='V06 Calend 01'!D28),'V06 Calend 01'!J28,0))</f>
        <v>0</v>
      </c>
      <c r="FN28" s="2">
        <f>((IF((158='V06 Calend 01'!C28),('V06 Calend 01'!F28+'V06 Calend 01'!G28),0)+IF(AND(('V06 Calend 01'!E28&gt;0),(158&gt;'V06 Calend 01'!C28),(158&lt;'V06 Calend 01'!D28),(MOD((158-'V06 Calend 01'!C28),6)=0),(((158-'V06 Calend 01'!C28)/6)&lt;='V06 Calend 01'!E28)),IF((158=('V06 Calend 01'!C28+(6*'V06 Calend 01'!E28))),('V06 Calend 01'!H28-('V06 Calend 01'!I28*('V06 Calend 01'!E28-1))),'V06 Calend 01'!I28),0))+IF((158='V06 Calend 01'!D28),'V06 Calend 01'!J28,0))</f>
        <v>0</v>
      </c>
      <c r="FO28" s="2">
        <f>((IF((159='V06 Calend 01'!C28),('V06 Calend 01'!F28+'V06 Calend 01'!G28),0)+IF(AND(('V06 Calend 01'!E28&gt;0),(159&gt;'V06 Calend 01'!C28),(159&lt;'V06 Calend 01'!D28),(MOD((159-'V06 Calend 01'!C28),6)=0),(((159-'V06 Calend 01'!C28)/6)&lt;='V06 Calend 01'!E28)),IF((159=('V06 Calend 01'!C28+(6*'V06 Calend 01'!E28))),('V06 Calend 01'!H28-('V06 Calend 01'!I28*('V06 Calend 01'!E28-1))),'V06 Calend 01'!I28),0))+IF((159='V06 Calend 01'!D28),'V06 Calend 01'!J28,0))</f>
        <v>0</v>
      </c>
      <c r="FP28" s="2">
        <f>((IF((160='V06 Calend 01'!C28),('V06 Calend 01'!F28+'V06 Calend 01'!G28),0)+IF(AND(('V06 Calend 01'!E28&gt;0),(160&gt;'V06 Calend 01'!C28),(160&lt;'V06 Calend 01'!D28),(MOD((160-'V06 Calend 01'!C28),6)=0),(((160-'V06 Calend 01'!C28)/6)&lt;='V06 Calend 01'!E28)),IF((160=('V06 Calend 01'!C28+(6*'V06 Calend 01'!E28))),('V06 Calend 01'!H28-('V06 Calend 01'!I28*('V06 Calend 01'!E28-1))),'V06 Calend 01'!I28),0))+IF((160='V06 Calend 01'!D28),'V06 Calend 01'!J28,0))</f>
        <v>0</v>
      </c>
      <c r="FQ28" s="2">
        <f>((IF((161='V06 Calend 01'!C28),('V06 Calend 01'!F28+'V06 Calend 01'!G28),0)+IF(AND(('V06 Calend 01'!E28&gt;0),(161&gt;'V06 Calend 01'!C28),(161&lt;'V06 Calend 01'!D28),(MOD((161-'V06 Calend 01'!C28),6)=0),(((161-'V06 Calend 01'!C28)/6)&lt;='V06 Calend 01'!E28)),IF((161=('V06 Calend 01'!C28+(6*'V06 Calend 01'!E28))),('V06 Calend 01'!H28-('V06 Calend 01'!I28*('V06 Calend 01'!E28-1))),'V06 Calend 01'!I28),0))+IF((161='V06 Calend 01'!D28),'V06 Calend 01'!J28,0))</f>
        <v>0</v>
      </c>
      <c r="FR28" s="2">
        <f>((IF((162='V06 Calend 01'!C28),('V06 Calend 01'!F28+'V06 Calend 01'!G28),0)+IF(AND(('V06 Calend 01'!E28&gt;0),(162&gt;'V06 Calend 01'!C28),(162&lt;'V06 Calend 01'!D28),(MOD((162-'V06 Calend 01'!C28),6)=0),(((162-'V06 Calend 01'!C28)/6)&lt;='V06 Calend 01'!E28)),IF((162=('V06 Calend 01'!C28+(6*'V06 Calend 01'!E28))),('V06 Calend 01'!H28-('V06 Calend 01'!I28*('V06 Calend 01'!E28-1))),'V06 Calend 01'!I28),0))+IF((162='V06 Calend 01'!D28),'V06 Calend 01'!J28,0))</f>
        <v>0</v>
      </c>
      <c r="FS28" s="2">
        <f>((IF((163='V06 Calend 01'!C28),('V06 Calend 01'!F28+'V06 Calend 01'!G28),0)+IF(AND(('V06 Calend 01'!E28&gt;0),(163&gt;'V06 Calend 01'!C28),(163&lt;'V06 Calend 01'!D28),(MOD((163-'V06 Calend 01'!C28),6)=0),(((163-'V06 Calend 01'!C28)/6)&lt;='V06 Calend 01'!E28)),IF((163=('V06 Calend 01'!C28+(6*'V06 Calend 01'!E28))),('V06 Calend 01'!H28-('V06 Calend 01'!I28*('V06 Calend 01'!E28-1))),'V06 Calend 01'!I28),0))+IF((163='V06 Calend 01'!D28),'V06 Calend 01'!J28,0))</f>
        <v>0</v>
      </c>
      <c r="FT28" s="2">
        <f>((IF((164='V06 Calend 01'!C28),('V06 Calend 01'!F28+'V06 Calend 01'!G28),0)+IF(AND(('V06 Calend 01'!E28&gt;0),(164&gt;'V06 Calend 01'!C28),(164&lt;'V06 Calend 01'!D28),(MOD((164-'V06 Calend 01'!C28),6)=0),(((164-'V06 Calend 01'!C28)/6)&lt;='V06 Calend 01'!E28)),IF((164=('V06 Calend 01'!C28+(6*'V06 Calend 01'!E28))),('V06 Calend 01'!H28-('V06 Calend 01'!I28*('V06 Calend 01'!E28-1))),'V06 Calend 01'!I28),0))+IF((164='V06 Calend 01'!D28),'V06 Calend 01'!J28,0))</f>
        <v>0</v>
      </c>
      <c r="FU28" s="2">
        <f>((IF((165='V06 Calend 01'!C28),('V06 Calend 01'!F28+'V06 Calend 01'!G28),0)+IF(AND(('V06 Calend 01'!E28&gt;0),(165&gt;'V06 Calend 01'!C28),(165&lt;'V06 Calend 01'!D28),(MOD((165-'V06 Calend 01'!C28),6)=0),(((165-'V06 Calend 01'!C28)/6)&lt;='V06 Calend 01'!E28)),IF((165=('V06 Calend 01'!C28+(6*'V06 Calend 01'!E28))),('V06 Calend 01'!H28-('V06 Calend 01'!I28*('V06 Calend 01'!E28-1))),'V06 Calend 01'!I28),0))+IF((165='V06 Calend 01'!D28),'V06 Calend 01'!J28,0))</f>
        <v>0</v>
      </c>
      <c r="FV28" s="2">
        <f>((IF((166='V06 Calend 01'!C28),('V06 Calend 01'!F28+'V06 Calend 01'!G28),0)+IF(AND(('V06 Calend 01'!E28&gt;0),(166&gt;'V06 Calend 01'!C28),(166&lt;'V06 Calend 01'!D28),(MOD((166-'V06 Calend 01'!C28),6)=0),(((166-'V06 Calend 01'!C28)/6)&lt;='V06 Calend 01'!E28)),IF((166=('V06 Calend 01'!C28+(6*'V06 Calend 01'!E28))),('V06 Calend 01'!H28-('V06 Calend 01'!I28*('V06 Calend 01'!E28-1))),'V06 Calend 01'!I28),0))+IF((166='V06 Calend 01'!D28),'V06 Calend 01'!J28,0))</f>
        <v>0</v>
      </c>
      <c r="FW28" s="2">
        <f>((IF((167='V06 Calend 01'!C28),('V06 Calend 01'!F28+'V06 Calend 01'!G28),0)+IF(AND(('V06 Calend 01'!E28&gt;0),(167&gt;'V06 Calend 01'!C28),(167&lt;'V06 Calend 01'!D28),(MOD((167-'V06 Calend 01'!C28),6)=0),(((167-'V06 Calend 01'!C28)/6)&lt;='V06 Calend 01'!E28)),IF((167=('V06 Calend 01'!C28+(6*'V06 Calend 01'!E28))),('V06 Calend 01'!H28-('V06 Calend 01'!I28*('V06 Calend 01'!E28-1))),'V06 Calend 01'!I28),0))+IF((167='V06 Calend 01'!D28),'V06 Calend 01'!J28,0))</f>
        <v>0</v>
      </c>
      <c r="FX28" s="2">
        <f>((IF((168='V06 Calend 01'!C28),('V06 Calend 01'!F28+'V06 Calend 01'!G28),0)+IF(AND(('V06 Calend 01'!E28&gt;0),(168&gt;'V06 Calend 01'!C28),(168&lt;'V06 Calend 01'!D28),(MOD((168-'V06 Calend 01'!C28),6)=0),(((168-'V06 Calend 01'!C28)/6)&lt;='V06 Calend 01'!E28)),IF((168=('V06 Calend 01'!C28+(6*'V06 Calend 01'!E28))),('V06 Calend 01'!H28-('V06 Calend 01'!I28*('V06 Calend 01'!E28-1))),'V06 Calend 01'!I28),0))+IF((168='V06 Calend 01'!D28),'V06 Calend 01'!J28,0))</f>
        <v>0</v>
      </c>
      <c r="FY28" s="2">
        <f>((IF((169='V06 Calend 01'!C28),('V06 Calend 01'!F28+'V06 Calend 01'!G28),0)+IF(AND(('V06 Calend 01'!E28&gt;0),(169&gt;'V06 Calend 01'!C28),(169&lt;'V06 Calend 01'!D28),(MOD((169-'V06 Calend 01'!C28),6)=0),(((169-'V06 Calend 01'!C28)/6)&lt;='V06 Calend 01'!E28)),IF((169=('V06 Calend 01'!C28+(6*'V06 Calend 01'!E28))),('V06 Calend 01'!H28-('V06 Calend 01'!I28*('V06 Calend 01'!E28-1))),'V06 Calend 01'!I28),0))+IF((169='V06 Calend 01'!D28),'V06 Calend 01'!J28,0))</f>
        <v>0</v>
      </c>
      <c r="FZ28" s="2">
        <f>((IF((170='V06 Calend 01'!C28),('V06 Calend 01'!F28+'V06 Calend 01'!G28),0)+IF(AND(('V06 Calend 01'!E28&gt;0),(170&gt;'V06 Calend 01'!C28),(170&lt;'V06 Calend 01'!D28),(MOD((170-'V06 Calend 01'!C28),6)=0),(((170-'V06 Calend 01'!C28)/6)&lt;='V06 Calend 01'!E28)),IF((170=('V06 Calend 01'!C28+(6*'V06 Calend 01'!E28))),('V06 Calend 01'!H28-('V06 Calend 01'!I28*('V06 Calend 01'!E28-1))),'V06 Calend 01'!I28),0))+IF((170='V06 Calend 01'!D28),'V06 Calend 01'!J28,0))</f>
        <v>0</v>
      </c>
      <c r="GA28" s="2">
        <f>((IF((171='V06 Calend 01'!C28),('V06 Calend 01'!F28+'V06 Calend 01'!G28),0)+IF(AND(('V06 Calend 01'!E28&gt;0),(171&gt;'V06 Calend 01'!C28),(171&lt;'V06 Calend 01'!D28),(MOD((171-'V06 Calend 01'!C28),6)=0),(((171-'V06 Calend 01'!C28)/6)&lt;='V06 Calend 01'!E28)),IF((171=('V06 Calend 01'!C28+(6*'V06 Calend 01'!E28))),('V06 Calend 01'!H28-('V06 Calend 01'!I28*('V06 Calend 01'!E28-1))),'V06 Calend 01'!I28),0))+IF((171='V06 Calend 01'!D28),'V06 Calend 01'!J28,0))</f>
        <v>0</v>
      </c>
      <c r="GB28" s="2">
        <f>((IF((172='V06 Calend 01'!C28),('V06 Calend 01'!F28+'V06 Calend 01'!G28),0)+IF(AND(('V06 Calend 01'!E28&gt;0),(172&gt;'V06 Calend 01'!C28),(172&lt;'V06 Calend 01'!D28),(MOD((172-'V06 Calend 01'!C28),6)=0),(((172-'V06 Calend 01'!C28)/6)&lt;='V06 Calend 01'!E28)),IF((172=('V06 Calend 01'!C28+(6*'V06 Calend 01'!E28))),('V06 Calend 01'!H28-('V06 Calend 01'!I28*('V06 Calend 01'!E28-1))),'V06 Calend 01'!I28),0))+IF((172='V06 Calend 01'!D28),'V06 Calend 01'!J28,0))</f>
        <v>0</v>
      </c>
      <c r="GC28" s="2">
        <f>((IF((173='V06 Calend 01'!C28),('V06 Calend 01'!F28+'V06 Calend 01'!G28),0)+IF(AND(('V06 Calend 01'!E28&gt;0),(173&gt;'V06 Calend 01'!C28),(173&lt;'V06 Calend 01'!D28),(MOD((173-'V06 Calend 01'!C28),6)=0),(((173-'V06 Calend 01'!C28)/6)&lt;='V06 Calend 01'!E28)),IF((173=('V06 Calend 01'!C28+(6*'V06 Calend 01'!E28))),('V06 Calend 01'!H28-('V06 Calend 01'!I28*('V06 Calend 01'!E28-1))),'V06 Calend 01'!I28),0))+IF((173='V06 Calend 01'!D28),'V06 Calend 01'!J28,0))</f>
        <v>0</v>
      </c>
      <c r="GD28" s="2">
        <f>((IF((174='V06 Calend 01'!C28),('V06 Calend 01'!F28+'V06 Calend 01'!G28),0)+IF(AND(('V06 Calend 01'!E28&gt;0),(174&gt;'V06 Calend 01'!C28),(174&lt;'V06 Calend 01'!D28),(MOD((174-'V06 Calend 01'!C28),6)=0),(((174-'V06 Calend 01'!C28)/6)&lt;='V06 Calend 01'!E28)),IF((174=('V06 Calend 01'!C28+(6*'V06 Calend 01'!E28))),('V06 Calend 01'!H28-('V06 Calend 01'!I28*('V06 Calend 01'!E28-1))),'V06 Calend 01'!I28),0))+IF((174='V06 Calend 01'!D28),'V06 Calend 01'!J28,0))</f>
        <v>0</v>
      </c>
      <c r="GE28" s="2">
        <f>((IF((175='V06 Calend 01'!C28),('V06 Calend 01'!F28+'V06 Calend 01'!G28),0)+IF(AND(('V06 Calend 01'!E28&gt;0),(175&gt;'V06 Calend 01'!C28),(175&lt;'V06 Calend 01'!D28),(MOD((175-'V06 Calend 01'!C28),6)=0),(((175-'V06 Calend 01'!C28)/6)&lt;='V06 Calend 01'!E28)),IF((175=('V06 Calend 01'!C28+(6*'V06 Calend 01'!E28))),('V06 Calend 01'!H28-('V06 Calend 01'!I28*('V06 Calend 01'!E28-1))),'V06 Calend 01'!I28),0))+IF((175='V06 Calend 01'!D28),'V06 Calend 01'!J28,0))</f>
        <v>0</v>
      </c>
      <c r="GF28" s="2">
        <f>((IF((176='V06 Calend 01'!C28),('V06 Calend 01'!F28+'V06 Calend 01'!G28),0)+IF(AND(('V06 Calend 01'!E28&gt;0),(176&gt;'V06 Calend 01'!C28),(176&lt;'V06 Calend 01'!D28),(MOD((176-'V06 Calend 01'!C28),6)=0),(((176-'V06 Calend 01'!C28)/6)&lt;='V06 Calend 01'!E28)),IF((176=('V06 Calend 01'!C28+(6*'V06 Calend 01'!E28))),('V06 Calend 01'!H28-('V06 Calend 01'!I28*('V06 Calend 01'!E28-1))),'V06 Calend 01'!I28),0))+IF((176='V06 Calend 01'!D28),'V06 Calend 01'!J28,0))</f>
        <v>0</v>
      </c>
      <c r="GG28" s="2">
        <f>((IF((177='V06 Calend 01'!C28),('V06 Calend 01'!F28+'V06 Calend 01'!G28),0)+IF(AND(('V06 Calend 01'!E28&gt;0),(177&gt;'V06 Calend 01'!C28),(177&lt;'V06 Calend 01'!D28),(MOD((177-'V06 Calend 01'!C28),6)=0),(((177-'V06 Calend 01'!C28)/6)&lt;='V06 Calend 01'!E28)),IF((177=('V06 Calend 01'!C28+(6*'V06 Calend 01'!E28))),('V06 Calend 01'!H28-('V06 Calend 01'!I28*('V06 Calend 01'!E28-1))),'V06 Calend 01'!I28),0))+IF((177='V06 Calend 01'!D28),'V06 Calend 01'!J28,0))</f>
        <v>0</v>
      </c>
      <c r="GH28" s="2">
        <f>((IF((178='V06 Calend 01'!C28),('V06 Calend 01'!F28+'V06 Calend 01'!G28),0)+IF(AND(('V06 Calend 01'!E28&gt;0),(178&gt;'V06 Calend 01'!C28),(178&lt;'V06 Calend 01'!D28),(MOD((178-'V06 Calend 01'!C28),6)=0),(((178-'V06 Calend 01'!C28)/6)&lt;='V06 Calend 01'!E28)),IF((178=('V06 Calend 01'!C28+(6*'V06 Calend 01'!E28))),('V06 Calend 01'!H28-('V06 Calend 01'!I28*('V06 Calend 01'!E28-1))),'V06 Calend 01'!I28),0))+IF((178='V06 Calend 01'!D28),'V06 Calend 01'!J28,0))</f>
        <v>0</v>
      </c>
      <c r="GI28" s="2">
        <f>((IF((179='V06 Calend 01'!C28),('V06 Calend 01'!F28+'V06 Calend 01'!G28),0)+IF(AND(('V06 Calend 01'!E28&gt;0),(179&gt;'V06 Calend 01'!C28),(179&lt;'V06 Calend 01'!D28),(MOD((179-'V06 Calend 01'!C28),6)=0),(((179-'V06 Calend 01'!C28)/6)&lt;='V06 Calend 01'!E28)),IF((179=('V06 Calend 01'!C28+(6*'V06 Calend 01'!E28))),('V06 Calend 01'!H28-('V06 Calend 01'!I28*('V06 Calend 01'!E28-1))),'V06 Calend 01'!I28),0))+IF((179='V06 Calend 01'!D28),'V06 Calend 01'!J28,0))</f>
        <v>0</v>
      </c>
      <c r="GJ28" s="2">
        <f>((IF((180='V06 Calend 01'!C28),('V06 Calend 01'!F28+'V06 Calend 01'!G28),0)+IF(AND(('V06 Calend 01'!E28&gt;0),(180&gt;'V06 Calend 01'!C28),(180&lt;'V06 Calend 01'!D28),(MOD((180-'V06 Calend 01'!C28),6)=0),(((180-'V06 Calend 01'!C28)/6)&lt;='V06 Calend 01'!E28)),IF((180=('V06 Calend 01'!C28+(6*'V06 Calend 01'!E28))),('V06 Calend 01'!H28-('V06 Calend 01'!I28*('V06 Calend 01'!E28-1))),'V06 Calend 01'!I28),0))+IF((180='V06 Calend 01'!D28),'V06 Calend 01'!J28,0))</f>
        <v>0</v>
      </c>
    </row>
    <row r="29" spans="1:192">
      <c r="A29" s="3" t="str">
        <f>'V06 Unidades'!$A$29</f>
        <v>405</v>
      </c>
      <c r="B29" s="2">
        <f>'V06 Unidades'!$H$29</f>
        <v>426972</v>
      </c>
      <c r="C29" s="4">
        <f>('V06 Unidades'!$I$29+'V06 Controlos'!$B$37)</f>
        <v>16</v>
      </c>
      <c r="D29" s="4">
        <f>IF(('V06 Controlos'!$B$38&gt;0),MAX(('V06 Unidades'!$L$29+'V06 Controlos'!$B$37),(30+'V06 Controlos'!$B$38)),('V06 Unidades'!$L$29+'V06 Controlos'!$B$37))</f>
        <v>28</v>
      </c>
      <c r="E29" s="4">
        <f>MAX(0,INT(((('V06 Calend 01'!D29-'V06 Calend 01'!C29)-1)/6)))</f>
        <v>1</v>
      </c>
      <c r="F29" s="2">
        <f>ROUND(('V06 Calend 01'!B29*0.05),2)</f>
        <v>21348.6</v>
      </c>
      <c r="G29" s="2">
        <f>ROUND(('V06 Calend 01'!B29*0.2),2)</f>
        <v>85394.4</v>
      </c>
      <c r="H29" s="2">
        <f>ROUND(('V06 Calend 01'!B29*0.55),2)</f>
        <v>234834.6</v>
      </c>
      <c r="I29" s="2">
        <f>ROUND(('V06 Calend 01'!H29/MAX(1,'V06 Calend 01'!E29)),2)</f>
        <v>234834.6</v>
      </c>
      <c r="J29" s="2">
        <f>((('V06 Calend 01'!B29-'V06 Calend 01'!F29)-'V06 Calend 01'!G29)-'V06 Calend 01'!H29)</f>
        <v>85394.4</v>
      </c>
      <c r="K29" s="2">
        <f>('V06 Calend 01'!B29*0.025)</f>
        <v>10674.300000000001</v>
      </c>
      <c r="L29" t="s">
        <v>378</v>
      </c>
      <c r="M29" s="2">
        <f>((IF((1='V06 Calend 01'!C29),('V06 Calend 01'!F29+'V06 Calend 01'!G29),0)+IF(AND(('V06 Calend 01'!E29&gt;0),(1&gt;'V06 Calend 01'!C29),(1&lt;'V06 Calend 01'!D29),(MOD((1-'V06 Calend 01'!C29),6)=0),(((1-'V06 Calend 01'!C29)/6)&lt;='V06 Calend 01'!E29)),IF((1=('V06 Calend 01'!C29+(6*'V06 Calend 01'!E29))),('V06 Calend 01'!H29-('V06 Calend 01'!I29*('V06 Calend 01'!E29-1))),'V06 Calend 01'!I29),0))+IF((1='V06 Calend 01'!D29),'V06 Calend 01'!J29,0))</f>
        <v>0</v>
      </c>
      <c r="N29" s="2">
        <f>((IF((2='V06 Calend 01'!C29),('V06 Calend 01'!F29+'V06 Calend 01'!G29),0)+IF(AND(('V06 Calend 01'!E29&gt;0),(2&gt;'V06 Calend 01'!C29),(2&lt;'V06 Calend 01'!D29),(MOD((2-'V06 Calend 01'!C29),6)=0),(((2-'V06 Calend 01'!C29)/6)&lt;='V06 Calend 01'!E29)),IF((2=('V06 Calend 01'!C29+(6*'V06 Calend 01'!E29))),('V06 Calend 01'!H29-('V06 Calend 01'!I29*('V06 Calend 01'!E29-1))),'V06 Calend 01'!I29),0))+IF((2='V06 Calend 01'!D29),'V06 Calend 01'!J29,0))</f>
        <v>0</v>
      </c>
      <c r="O29" s="2">
        <f>((IF((3='V06 Calend 01'!C29),('V06 Calend 01'!F29+'V06 Calend 01'!G29),0)+IF(AND(('V06 Calend 01'!E29&gt;0),(3&gt;'V06 Calend 01'!C29),(3&lt;'V06 Calend 01'!D29),(MOD((3-'V06 Calend 01'!C29),6)=0),(((3-'V06 Calend 01'!C29)/6)&lt;='V06 Calend 01'!E29)),IF((3=('V06 Calend 01'!C29+(6*'V06 Calend 01'!E29))),('V06 Calend 01'!H29-('V06 Calend 01'!I29*('V06 Calend 01'!E29-1))),'V06 Calend 01'!I29),0))+IF((3='V06 Calend 01'!D29),'V06 Calend 01'!J29,0))</f>
        <v>0</v>
      </c>
      <c r="P29" s="2">
        <f>((IF((4='V06 Calend 01'!C29),('V06 Calend 01'!F29+'V06 Calend 01'!G29),0)+IF(AND(('V06 Calend 01'!E29&gt;0),(4&gt;'V06 Calend 01'!C29),(4&lt;'V06 Calend 01'!D29),(MOD((4-'V06 Calend 01'!C29),6)=0),(((4-'V06 Calend 01'!C29)/6)&lt;='V06 Calend 01'!E29)),IF((4=('V06 Calend 01'!C29+(6*'V06 Calend 01'!E29))),('V06 Calend 01'!H29-('V06 Calend 01'!I29*('V06 Calend 01'!E29-1))),'V06 Calend 01'!I29),0))+IF((4='V06 Calend 01'!D29),'V06 Calend 01'!J29,0))</f>
        <v>0</v>
      </c>
      <c r="Q29" s="2">
        <f>((IF((5='V06 Calend 01'!C29),('V06 Calend 01'!F29+'V06 Calend 01'!G29),0)+IF(AND(('V06 Calend 01'!E29&gt;0),(5&gt;'V06 Calend 01'!C29),(5&lt;'V06 Calend 01'!D29),(MOD((5-'V06 Calend 01'!C29),6)=0),(((5-'V06 Calend 01'!C29)/6)&lt;='V06 Calend 01'!E29)),IF((5=('V06 Calend 01'!C29+(6*'V06 Calend 01'!E29))),('V06 Calend 01'!H29-('V06 Calend 01'!I29*('V06 Calend 01'!E29-1))),'V06 Calend 01'!I29),0))+IF((5='V06 Calend 01'!D29),'V06 Calend 01'!J29,0))</f>
        <v>0</v>
      </c>
      <c r="R29" s="2">
        <f>((IF((6='V06 Calend 01'!C29),('V06 Calend 01'!F29+'V06 Calend 01'!G29),0)+IF(AND(('V06 Calend 01'!E29&gt;0),(6&gt;'V06 Calend 01'!C29),(6&lt;'V06 Calend 01'!D29),(MOD((6-'V06 Calend 01'!C29),6)=0),(((6-'V06 Calend 01'!C29)/6)&lt;='V06 Calend 01'!E29)),IF((6=('V06 Calend 01'!C29+(6*'V06 Calend 01'!E29))),('V06 Calend 01'!H29-('V06 Calend 01'!I29*('V06 Calend 01'!E29-1))),'V06 Calend 01'!I29),0))+IF((6='V06 Calend 01'!D29),'V06 Calend 01'!J29,0))</f>
        <v>0</v>
      </c>
      <c r="S29" s="2">
        <f>((IF((7='V06 Calend 01'!C29),('V06 Calend 01'!F29+'V06 Calend 01'!G29),0)+IF(AND(('V06 Calend 01'!E29&gt;0),(7&gt;'V06 Calend 01'!C29),(7&lt;'V06 Calend 01'!D29),(MOD((7-'V06 Calend 01'!C29),6)=0),(((7-'V06 Calend 01'!C29)/6)&lt;='V06 Calend 01'!E29)),IF((7=('V06 Calend 01'!C29+(6*'V06 Calend 01'!E29))),('V06 Calend 01'!H29-('V06 Calend 01'!I29*('V06 Calend 01'!E29-1))),'V06 Calend 01'!I29),0))+IF((7='V06 Calend 01'!D29),'V06 Calend 01'!J29,0))</f>
        <v>0</v>
      </c>
      <c r="T29" s="2">
        <f>((IF((8='V06 Calend 01'!C29),('V06 Calend 01'!F29+'V06 Calend 01'!G29),0)+IF(AND(('V06 Calend 01'!E29&gt;0),(8&gt;'V06 Calend 01'!C29),(8&lt;'V06 Calend 01'!D29),(MOD((8-'V06 Calend 01'!C29),6)=0),(((8-'V06 Calend 01'!C29)/6)&lt;='V06 Calend 01'!E29)),IF((8=('V06 Calend 01'!C29+(6*'V06 Calend 01'!E29))),('V06 Calend 01'!H29-('V06 Calend 01'!I29*('V06 Calend 01'!E29-1))),'V06 Calend 01'!I29),0))+IF((8='V06 Calend 01'!D29),'V06 Calend 01'!J29,0))</f>
        <v>0</v>
      </c>
      <c r="U29" s="2">
        <f>((IF((9='V06 Calend 01'!C29),('V06 Calend 01'!F29+'V06 Calend 01'!G29),0)+IF(AND(('V06 Calend 01'!E29&gt;0),(9&gt;'V06 Calend 01'!C29),(9&lt;'V06 Calend 01'!D29),(MOD((9-'V06 Calend 01'!C29),6)=0),(((9-'V06 Calend 01'!C29)/6)&lt;='V06 Calend 01'!E29)),IF((9=('V06 Calend 01'!C29+(6*'V06 Calend 01'!E29))),('V06 Calend 01'!H29-('V06 Calend 01'!I29*('V06 Calend 01'!E29-1))),'V06 Calend 01'!I29),0))+IF((9='V06 Calend 01'!D29),'V06 Calend 01'!J29,0))</f>
        <v>0</v>
      </c>
      <c r="V29" s="2">
        <f>((IF((10='V06 Calend 01'!C29),('V06 Calend 01'!F29+'V06 Calend 01'!G29),0)+IF(AND(('V06 Calend 01'!E29&gt;0),(10&gt;'V06 Calend 01'!C29),(10&lt;'V06 Calend 01'!D29),(MOD((10-'V06 Calend 01'!C29),6)=0),(((10-'V06 Calend 01'!C29)/6)&lt;='V06 Calend 01'!E29)),IF((10=('V06 Calend 01'!C29+(6*'V06 Calend 01'!E29))),('V06 Calend 01'!H29-('V06 Calend 01'!I29*('V06 Calend 01'!E29-1))),'V06 Calend 01'!I29),0))+IF((10='V06 Calend 01'!D29),'V06 Calend 01'!J29,0))</f>
        <v>0</v>
      </c>
      <c r="W29" s="2">
        <f>((IF((11='V06 Calend 01'!C29),('V06 Calend 01'!F29+'V06 Calend 01'!G29),0)+IF(AND(('V06 Calend 01'!E29&gt;0),(11&gt;'V06 Calend 01'!C29),(11&lt;'V06 Calend 01'!D29),(MOD((11-'V06 Calend 01'!C29),6)=0),(((11-'V06 Calend 01'!C29)/6)&lt;='V06 Calend 01'!E29)),IF((11=('V06 Calend 01'!C29+(6*'V06 Calend 01'!E29))),('V06 Calend 01'!H29-('V06 Calend 01'!I29*('V06 Calend 01'!E29-1))),'V06 Calend 01'!I29),0))+IF((11='V06 Calend 01'!D29),'V06 Calend 01'!J29,0))</f>
        <v>0</v>
      </c>
      <c r="X29" s="2">
        <f>((IF((12='V06 Calend 01'!C29),('V06 Calend 01'!F29+'V06 Calend 01'!G29),0)+IF(AND(('V06 Calend 01'!E29&gt;0),(12&gt;'V06 Calend 01'!C29),(12&lt;'V06 Calend 01'!D29),(MOD((12-'V06 Calend 01'!C29),6)=0),(((12-'V06 Calend 01'!C29)/6)&lt;='V06 Calend 01'!E29)),IF((12=('V06 Calend 01'!C29+(6*'V06 Calend 01'!E29))),('V06 Calend 01'!H29-('V06 Calend 01'!I29*('V06 Calend 01'!E29-1))),'V06 Calend 01'!I29),0))+IF((12='V06 Calend 01'!D29),'V06 Calend 01'!J29,0))</f>
        <v>0</v>
      </c>
      <c r="Y29" s="2">
        <f>((IF((13='V06 Calend 01'!C29),('V06 Calend 01'!F29+'V06 Calend 01'!G29),0)+IF(AND(('V06 Calend 01'!E29&gt;0),(13&gt;'V06 Calend 01'!C29),(13&lt;'V06 Calend 01'!D29),(MOD((13-'V06 Calend 01'!C29),6)=0),(((13-'V06 Calend 01'!C29)/6)&lt;='V06 Calend 01'!E29)),IF((13=('V06 Calend 01'!C29+(6*'V06 Calend 01'!E29))),('V06 Calend 01'!H29-('V06 Calend 01'!I29*('V06 Calend 01'!E29-1))),'V06 Calend 01'!I29),0))+IF((13='V06 Calend 01'!D29),'V06 Calend 01'!J29,0))</f>
        <v>0</v>
      </c>
      <c r="Z29" s="2">
        <f>((IF((14='V06 Calend 01'!C29),('V06 Calend 01'!F29+'V06 Calend 01'!G29),0)+IF(AND(('V06 Calend 01'!E29&gt;0),(14&gt;'V06 Calend 01'!C29),(14&lt;'V06 Calend 01'!D29),(MOD((14-'V06 Calend 01'!C29),6)=0),(((14-'V06 Calend 01'!C29)/6)&lt;='V06 Calend 01'!E29)),IF((14=('V06 Calend 01'!C29+(6*'V06 Calend 01'!E29))),('V06 Calend 01'!H29-('V06 Calend 01'!I29*('V06 Calend 01'!E29-1))),'V06 Calend 01'!I29),0))+IF((14='V06 Calend 01'!D29),'V06 Calend 01'!J29,0))</f>
        <v>0</v>
      </c>
      <c r="AA29" s="2">
        <f>((IF((15='V06 Calend 01'!C29),('V06 Calend 01'!F29+'V06 Calend 01'!G29),0)+IF(AND(('V06 Calend 01'!E29&gt;0),(15&gt;'V06 Calend 01'!C29),(15&lt;'V06 Calend 01'!D29),(MOD((15-'V06 Calend 01'!C29),6)=0),(((15-'V06 Calend 01'!C29)/6)&lt;='V06 Calend 01'!E29)),IF((15=('V06 Calend 01'!C29+(6*'V06 Calend 01'!E29))),('V06 Calend 01'!H29-('V06 Calend 01'!I29*('V06 Calend 01'!E29-1))),'V06 Calend 01'!I29),0))+IF((15='V06 Calend 01'!D29),'V06 Calend 01'!J29,0))</f>
        <v>0</v>
      </c>
      <c r="AB29" s="2">
        <f>((IF((16='V06 Calend 01'!C29),('V06 Calend 01'!F29+'V06 Calend 01'!G29),0)+IF(AND(('V06 Calend 01'!E29&gt;0),(16&gt;'V06 Calend 01'!C29),(16&lt;'V06 Calend 01'!D29),(MOD((16-'V06 Calend 01'!C29),6)=0),(((16-'V06 Calend 01'!C29)/6)&lt;='V06 Calend 01'!E29)),IF((16=('V06 Calend 01'!C29+(6*'V06 Calend 01'!E29))),('V06 Calend 01'!H29-('V06 Calend 01'!I29*('V06 Calend 01'!E29-1))),'V06 Calend 01'!I29),0))+IF((16='V06 Calend 01'!D29),'V06 Calend 01'!J29,0))</f>
        <v>106743.0</v>
      </c>
      <c r="AC29" s="2">
        <f>((IF((17='V06 Calend 01'!C29),('V06 Calend 01'!F29+'V06 Calend 01'!G29),0)+IF(AND(('V06 Calend 01'!E29&gt;0),(17&gt;'V06 Calend 01'!C29),(17&lt;'V06 Calend 01'!D29),(MOD((17-'V06 Calend 01'!C29),6)=0),(((17-'V06 Calend 01'!C29)/6)&lt;='V06 Calend 01'!E29)),IF((17=('V06 Calend 01'!C29+(6*'V06 Calend 01'!E29))),('V06 Calend 01'!H29-('V06 Calend 01'!I29*('V06 Calend 01'!E29-1))),'V06 Calend 01'!I29),0))+IF((17='V06 Calend 01'!D29),'V06 Calend 01'!J29,0))</f>
        <v>0</v>
      </c>
      <c r="AD29" s="2">
        <f>((IF((18='V06 Calend 01'!C29),('V06 Calend 01'!F29+'V06 Calend 01'!G29),0)+IF(AND(('V06 Calend 01'!E29&gt;0),(18&gt;'V06 Calend 01'!C29),(18&lt;'V06 Calend 01'!D29),(MOD((18-'V06 Calend 01'!C29),6)=0),(((18-'V06 Calend 01'!C29)/6)&lt;='V06 Calend 01'!E29)),IF((18=('V06 Calend 01'!C29+(6*'V06 Calend 01'!E29))),('V06 Calend 01'!H29-('V06 Calend 01'!I29*('V06 Calend 01'!E29-1))),'V06 Calend 01'!I29),0))+IF((18='V06 Calend 01'!D29),'V06 Calend 01'!J29,0))</f>
        <v>0</v>
      </c>
      <c r="AE29" s="2">
        <f>((IF((19='V06 Calend 01'!C29),('V06 Calend 01'!F29+'V06 Calend 01'!G29),0)+IF(AND(('V06 Calend 01'!E29&gt;0),(19&gt;'V06 Calend 01'!C29),(19&lt;'V06 Calend 01'!D29),(MOD((19-'V06 Calend 01'!C29),6)=0),(((19-'V06 Calend 01'!C29)/6)&lt;='V06 Calend 01'!E29)),IF((19=('V06 Calend 01'!C29+(6*'V06 Calend 01'!E29))),('V06 Calend 01'!H29-('V06 Calend 01'!I29*('V06 Calend 01'!E29-1))),'V06 Calend 01'!I29),0))+IF((19='V06 Calend 01'!D29),'V06 Calend 01'!J29,0))</f>
        <v>0</v>
      </c>
      <c r="AF29" s="2">
        <f>((IF((20='V06 Calend 01'!C29),('V06 Calend 01'!F29+'V06 Calend 01'!G29),0)+IF(AND(('V06 Calend 01'!E29&gt;0),(20&gt;'V06 Calend 01'!C29),(20&lt;'V06 Calend 01'!D29),(MOD((20-'V06 Calend 01'!C29),6)=0),(((20-'V06 Calend 01'!C29)/6)&lt;='V06 Calend 01'!E29)),IF((20=('V06 Calend 01'!C29+(6*'V06 Calend 01'!E29))),('V06 Calend 01'!H29-('V06 Calend 01'!I29*('V06 Calend 01'!E29-1))),'V06 Calend 01'!I29),0))+IF((20='V06 Calend 01'!D29),'V06 Calend 01'!J29,0))</f>
        <v>0</v>
      </c>
      <c r="AG29" s="2">
        <f>((IF((21='V06 Calend 01'!C29),('V06 Calend 01'!F29+'V06 Calend 01'!G29),0)+IF(AND(('V06 Calend 01'!E29&gt;0),(21&gt;'V06 Calend 01'!C29),(21&lt;'V06 Calend 01'!D29),(MOD((21-'V06 Calend 01'!C29),6)=0),(((21-'V06 Calend 01'!C29)/6)&lt;='V06 Calend 01'!E29)),IF((21=('V06 Calend 01'!C29+(6*'V06 Calend 01'!E29))),('V06 Calend 01'!H29-('V06 Calend 01'!I29*('V06 Calend 01'!E29-1))),'V06 Calend 01'!I29),0))+IF((21='V06 Calend 01'!D29),'V06 Calend 01'!J29,0))</f>
        <v>0</v>
      </c>
      <c r="AH29" s="2">
        <f>((IF((22='V06 Calend 01'!C29),('V06 Calend 01'!F29+'V06 Calend 01'!G29),0)+IF(AND(('V06 Calend 01'!E29&gt;0),(22&gt;'V06 Calend 01'!C29),(22&lt;'V06 Calend 01'!D29),(MOD((22-'V06 Calend 01'!C29),6)=0),(((22-'V06 Calend 01'!C29)/6)&lt;='V06 Calend 01'!E29)),IF((22=('V06 Calend 01'!C29+(6*'V06 Calend 01'!E29))),('V06 Calend 01'!H29-('V06 Calend 01'!I29*('V06 Calend 01'!E29-1))),'V06 Calend 01'!I29),0))+IF((22='V06 Calend 01'!D29),'V06 Calend 01'!J29,0))</f>
        <v>234834.6</v>
      </c>
      <c r="AI29" s="2">
        <f>((IF((23='V06 Calend 01'!C29),('V06 Calend 01'!F29+'V06 Calend 01'!G29),0)+IF(AND(('V06 Calend 01'!E29&gt;0),(23&gt;'V06 Calend 01'!C29),(23&lt;'V06 Calend 01'!D29),(MOD((23-'V06 Calend 01'!C29),6)=0),(((23-'V06 Calend 01'!C29)/6)&lt;='V06 Calend 01'!E29)),IF((23=('V06 Calend 01'!C29+(6*'V06 Calend 01'!E29))),('V06 Calend 01'!H29-('V06 Calend 01'!I29*('V06 Calend 01'!E29-1))),'V06 Calend 01'!I29),0))+IF((23='V06 Calend 01'!D29),'V06 Calend 01'!J29,0))</f>
        <v>0</v>
      </c>
      <c r="AJ29" s="2">
        <f>((IF((24='V06 Calend 01'!C29),('V06 Calend 01'!F29+'V06 Calend 01'!G29),0)+IF(AND(('V06 Calend 01'!E29&gt;0),(24&gt;'V06 Calend 01'!C29),(24&lt;'V06 Calend 01'!D29),(MOD((24-'V06 Calend 01'!C29),6)=0),(((24-'V06 Calend 01'!C29)/6)&lt;='V06 Calend 01'!E29)),IF((24=('V06 Calend 01'!C29+(6*'V06 Calend 01'!E29))),('V06 Calend 01'!H29-('V06 Calend 01'!I29*('V06 Calend 01'!E29-1))),'V06 Calend 01'!I29),0))+IF((24='V06 Calend 01'!D29),'V06 Calend 01'!J29,0))</f>
        <v>0</v>
      </c>
      <c r="AK29" s="2">
        <f>((IF((25='V06 Calend 01'!C29),('V06 Calend 01'!F29+'V06 Calend 01'!G29),0)+IF(AND(('V06 Calend 01'!E29&gt;0),(25&gt;'V06 Calend 01'!C29),(25&lt;'V06 Calend 01'!D29),(MOD((25-'V06 Calend 01'!C29),6)=0),(((25-'V06 Calend 01'!C29)/6)&lt;='V06 Calend 01'!E29)),IF((25=('V06 Calend 01'!C29+(6*'V06 Calend 01'!E29))),('V06 Calend 01'!H29-('V06 Calend 01'!I29*('V06 Calend 01'!E29-1))),'V06 Calend 01'!I29),0))+IF((25='V06 Calend 01'!D29),'V06 Calend 01'!J29,0))</f>
        <v>0</v>
      </c>
      <c r="AL29" s="2">
        <f>((IF((26='V06 Calend 01'!C29),('V06 Calend 01'!F29+'V06 Calend 01'!G29),0)+IF(AND(('V06 Calend 01'!E29&gt;0),(26&gt;'V06 Calend 01'!C29),(26&lt;'V06 Calend 01'!D29),(MOD((26-'V06 Calend 01'!C29),6)=0),(((26-'V06 Calend 01'!C29)/6)&lt;='V06 Calend 01'!E29)),IF((26=('V06 Calend 01'!C29+(6*'V06 Calend 01'!E29))),('V06 Calend 01'!H29-('V06 Calend 01'!I29*('V06 Calend 01'!E29-1))),'V06 Calend 01'!I29),0))+IF((26='V06 Calend 01'!D29),'V06 Calend 01'!J29,0))</f>
        <v>0</v>
      </c>
      <c r="AM29" s="2">
        <f>((IF((27='V06 Calend 01'!C29),('V06 Calend 01'!F29+'V06 Calend 01'!G29),0)+IF(AND(('V06 Calend 01'!E29&gt;0),(27&gt;'V06 Calend 01'!C29),(27&lt;'V06 Calend 01'!D29),(MOD((27-'V06 Calend 01'!C29),6)=0),(((27-'V06 Calend 01'!C29)/6)&lt;='V06 Calend 01'!E29)),IF((27=('V06 Calend 01'!C29+(6*'V06 Calend 01'!E29))),('V06 Calend 01'!H29-('V06 Calend 01'!I29*('V06 Calend 01'!E29-1))),'V06 Calend 01'!I29),0))+IF((27='V06 Calend 01'!D29),'V06 Calend 01'!J29,0))</f>
        <v>0</v>
      </c>
      <c r="AN29" s="2">
        <f>((IF((28='V06 Calend 01'!C29),('V06 Calend 01'!F29+'V06 Calend 01'!G29),0)+IF(AND(('V06 Calend 01'!E29&gt;0),(28&gt;'V06 Calend 01'!C29),(28&lt;'V06 Calend 01'!D29),(MOD((28-'V06 Calend 01'!C29),6)=0),(((28-'V06 Calend 01'!C29)/6)&lt;='V06 Calend 01'!E29)),IF((28=('V06 Calend 01'!C29+(6*'V06 Calend 01'!E29))),('V06 Calend 01'!H29-('V06 Calend 01'!I29*('V06 Calend 01'!E29-1))),'V06 Calend 01'!I29),0))+IF((28='V06 Calend 01'!D29),'V06 Calend 01'!J29,0))</f>
        <v>85394.4</v>
      </c>
      <c r="AO29" s="2">
        <f>((IF((29='V06 Calend 01'!C29),('V06 Calend 01'!F29+'V06 Calend 01'!G29),0)+IF(AND(('V06 Calend 01'!E29&gt;0),(29&gt;'V06 Calend 01'!C29),(29&lt;'V06 Calend 01'!D29),(MOD((29-'V06 Calend 01'!C29),6)=0),(((29-'V06 Calend 01'!C29)/6)&lt;='V06 Calend 01'!E29)),IF((29=('V06 Calend 01'!C29+(6*'V06 Calend 01'!E29))),('V06 Calend 01'!H29-('V06 Calend 01'!I29*('V06 Calend 01'!E29-1))),'V06 Calend 01'!I29),0))+IF((29='V06 Calend 01'!D29),'V06 Calend 01'!J29,0))</f>
        <v>0</v>
      </c>
      <c r="AP29" s="2">
        <f>((IF((30='V06 Calend 01'!C29),('V06 Calend 01'!F29+'V06 Calend 01'!G29),0)+IF(AND(('V06 Calend 01'!E29&gt;0),(30&gt;'V06 Calend 01'!C29),(30&lt;'V06 Calend 01'!D29),(MOD((30-'V06 Calend 01'!C29),6)=0),(((30-'V06 Calend 01'!C29)/6)&lt;='V06 Calend 01'!E29)),IF((30=('V06 Calend 01'!C29+(6*'V06 Calend 01'!E29))),('V06 Calend 01'!H29-('V06 Calend 01'!I29*('V06 Calend 01'!E29-1))),'V06 Calend 01'!I29),0))+IF((30='V06 Calend 01'!D29),'V06 Calend 01'!J29,0))</f>
        <v>0</v>
      </c>
      <c r="AQ29" s="2">
        <f>((IF((31='V06 Calend 01'!C29),('V06 Calend 01'!F29+'V06 Calend 01'!G29),0)+IF(AND(('V06 Calend 01'!E29&gt;0),(31&gt;'V06 Calend 01'!C29),(31&lt;'V06 Calend 01'!D29),(MOD((31-'V06 Calend 01'!C29),6)=0),(((31-'V06 Calend 01'!C29)/6)&lt;='V06 Calend 01'!E29)),IF((31=('V06 Calend 01'!C29+(6*'V06 Calend 01'!E29))),('V06 Calend 01'!H29-('V06 Calend 01'!I29*('V06 Calend 01'!E29-1))),'V06 Calend 01'!I29),0))+IF((31='V06 Calend 01'!D29),'V06 Calend 01'!J29,0))</f>
        <v>0</v>
      </c>
      <c r="AR29" s="2">
        <f>((IF((32='V06 Calend 01'!C29),('V06 Calend 01'!F29+'V06 Calend 01'!G29),0)+IF(AND(('V06 Calend 01'!E29&gt;0),(32&gt;'V06 Calend 01'!C29),(32&lt;'V06 Calend 01'!D29),(MOD((32-'V06 Calend 01'!C29),6)=0),(((32-'V06 Calend 01'!C29)/6)&lt;='V06 Calend 01'!E29)),IF((32=('V06 Calend 01'!C29+(6*'V06 Calend 01'!E29))),('V06 Calend 01'!H29-('V06 Calend 01'!I29*('V06 Calend 01'!E29-1))),'V06 Calend 01'!I29),0))+IF((32='V06 Calend 01'!D29),'V06 Calend 01'!J29,0))</f>
        <v>0</v>
      </c>
      <c r="AS29" s="2">
        <f>((IF((33='V06 Calend 01'!C29),('V06 Calend 01'!F29+'V06 Calend 01'!G29),0)+IF(AND(('V06 Calend 01'!E29&gt;0),(33&gt;'V06 Calend 01'!C29),(33&lt;'V06 Calend 01'!D29),(MOD((33-'V06 Calend 01'!C29),6)=0),(((33-'V06 Calend 01'!C29)/6)&lt;='V06 Calend 01'!E29)),IF((33=('V06 Calend 01'!C29+(6*'V06 Calend 01'!E29))),('V06 Calend 01'!H29-('V06 Calend 01'!I29*('V06 Calend 01'!E29-1))),'V06 Calend 01'!I29),0))+IF((33='V06 Calend 01'!D29),'V06 Calend 01'!J29,0))</f>
        <v>0</v>
      </c>
      <c r="AT29" s="2">
        <f>((IF((34='V06 Calend 01'!C29),('V06 Calend 01'!F29+'V06 Calend 01'!G29),0)+IF(AND(('V06 Calend 01'!E29&gt;0),(34&gt;'V06 Calend 01'!C29),(34&lt;'V06 Calend 01'!D29),(MOD((34-'V06 Calend 01'!C29),6)=0),(((34-'V06 Calend 01'!C29)/6)&lt;='V06 Calend 01'!E29)),IF((34=('V06 Calend 01'!C29+(6*'V06 Calend 01'!E29))),('V06 Calend 01'!H29-('V06 Calend 01'!I29*('V06 Calend 01'!E29-1))),'V06 Calend 01'!I29),0))+IF((34='V06 Calend 01'!D29),'V06 Calend 01'!J29,0))</f>
        <v>0</v>
      </c>
      <c r="AU29" s="2">
        <f>((IF((35='V06 Calend 01'!C29),('V06 Calend 01'!F29+'V06 Calend 01'!G29),0)+IF(AND(('V06 Calend 01'!E29&gt;0),(35&gt;'V06 Calend 01'!C29),(35&lt;'V06 Calend 01'!D29),(MOD((35-'V06 Calend 01'!C29),6)=0),(((35-'V06 Calend 01'!C29)/6)&lt;='V06 Calend 01'!E29)),IF((35=('V06 Calend 01'!C29+(6*'V06 Calend 01'!E29))),('V06 Calend 01'!H29-('V06 Calend 01'!I29*('V06 Calend 01'!E29-1))),'V06 Calend 01'!I29),0))+IF((35='V06 Calend 01'!D29),'V06 Calend 01'!J29,0))</f>
        <v>0</v>
      </c>
      <c r="AV29" s="2">
        <f>((IF((36='V06 Calend 01'!C29),('V06 Calend 01'!F29+'V06 Calend 01'!G29),0)+IF(AND(('V06 Calend 01'!E29&gt;0),(36&gt;'V06 Calend 01'!C29),(36&lt;'V06 Calend 01'!D29),(MOD((36-'V06 Calend 01'!C29),6)=0),(((36-'V06 Calend 01'!C29)/6)&lt;='V06 Calend 01'!E29)),IF((36=('V06 Calend 01'!C29+(6*'V06 Calend 01'!E29))),('V06 Calend 01'!H29-('V06 Calend 01'!I29*('V06 Calend 01'!E29-1))),'V06 Calend 01'!I29),0))+IF((36='V06 Calend 01'!D29),'V06 Calend 01'!J29,0))</f>
        <v>0</v>
      </c>
      <c r="AW29" s="2">
        <f>((IF((37='V06 Calend 01'!C29),('V06 Calend 01'!F29+'V06 Calend 01'!G29),0)+IF(AND(('V06 Calend 01'!E29&gt;0),(37&gt;'V06 Calend 01'!C29),(37&lt;'V06 Calend 01'!D29),(MOD((37-'V06 Calend 01'!C29),6)=0),(((37-'V06 Calend 01'!C29)/6)&lt;='V06 Calend 01'!E29)),IF((37=('V06 Calend 01'!C29+(6*'V06 Calend 01'!E29))),('V06 Calend 01'!H29-('V06 Calend 01'!I29*('V06 Calend 01'!E29-1))),'V06 Calend 01'!I29),0))+IF((37='V06 Calend 01'!D29),'V06 Calend 01'!J29,0))</f>
        <v>0</v>
      </c>
      <c r="AX29" s="2">
        <f>((IF((38='V06 Calend 01'!C29),('V06 Calend 01'!F29+'V06 Calend 01'!G29),0)+IF(AND(('V06 Calend 01'!E29&gt;0),(38&gt;'V06 Calend 01'!C29),(38&lt;'V06 Calend 01'!D29),(MOD((38-'V06 Calend 01'!C29),6)=0),(((38-'V06 Calend 01'!C29)/6)&lt;='V06 Calend 01'!E29)),IF((38=('V06 Calend 01'!C29+(6*'V06 Calend 01'!E29))),('V06 Calend 01'!H29-('V06 Calend 01'!I29*('V06 Calend 01'!E29-1))),'V06 Calend 01'!I29),0))+IF((38='V06 Calend 01'!D29),'V06 Calend 01'!J29,0))</f>
        <v>0</v>
      </c>
      <c r="AY29" s="2">
        <f>((IF((39='V06 Calend 01'!C29),('V06 Calend 01'!F29+'V06 Calend 01'!G29),0)+IF(AND(('V06 Calend 01'!E29&gt;0),(39&gt;'V06 Calend 01'!C29),(39&lt;'V06 Calend 01'!D29),(MOD((39-'V06 Calend 01'!C29),6)=0),(((39-'V06 Calend 01'!C29)/6)&lt;='V06 Calend 01'!E29)),IF((39=('V06 Calend 01'!C29+(6*'V06 Calend 01'!E29))),('V06 Calend 01'!H29-('V06 Calend 01'!I29*('V06 Calend 01'!E29-1))),'V06 Calend 01'!I29),0))+IF((39='V06 Calend 01'!D29),'V06 Calend 01'!J29,0))</f>
        <v>0</v>
      </c>
      <c r="AZ29" s="2">
        <f>((IF((40='V06 Calend 01'!C29),('V06 Calend 01'!F29+'V06 Calend 01'!G29),0)+IF(AND(('V06 Calend 01'!E29&gt;0),(40&gt;'V06 Calend 01'!C29),(40&lt;'V06 Calend 01'!D29),(MOD((40-'V06 Calend 01'!C29),6)=0),(((40-'V06 Calend 01'!C29)/6)&lt;='V06 Calend 01'!E29)),IF((40=('V06 Calend 01'!C29+(6*'V06 Calend 01'!E29))),('V06 Calend 01'!H29-('V06 Calend 01'!I29*('V06 Calend 01'!E29-1))),'V06 Calend 01'!I29),0))+IF((40='V06 Calend 01'!D29),'V06 Calend 01'!J29,0))</f>
        <v>0</v>
      </c>
      <c r="BA29" s="2">
        <f>((IF((41='V06 Calend 01'!C29),('V06 Calend 01'!F29+'V06 Calend 01'!G29),0)+IF(AND(('V06 Calend 01'!E29&gt;0),(41&gt;'V06 Calend 01'!C29),(41&lt;'V06 Calend 01'!D29),(MOD((41-'V06 Calend 01'!C29),6)=0),(((41-'V06 Calend 01'!C29)/6)&lt;='V06 Calend 01'!E29)),IF((41=('V06 Calend 01'!C29+(6*'V06 Calend 01'!E29))),('V06 Calend 01'!H29-('V06 Calend 01'!I29*('V06 Calend 01'!E29-1))),'V06 Calend 01'!I29),0))+IF((41='V06 Calend 01'!D29),'V06 Calend 01'!J29,0))</f>
        <v>0</v>
      </c>
      <c r="BB29" s="2">
        <f>((IF((42='V06 Calend 01'!C29),('V06 Calend 01'!F29+'V06 Calend 01'!G29),0)+IF(AND(('V06 Calend 01'!E29&gt;0),(42&gt;'V06 Calend 01'!C29),(42&lt;'V06 Calend 01'!D29),(MOD((42-'V06 Calend 01'!C29),6)=0),(((42-'V06 Calend 01'!C29)/6)&lt;='V06 Calend 01'!E29)),IF((42=('V06 Calend 01'!C29+(6*'V06 Calend 01'!E29))),('V06 Calend 01'!H29-('V06 Calend 01'!I29*('V06 Calend 01'!E29-1))),'V06 Calend 01'!I29),0))+IF((42='V06 Calend 01'!D29),'V06 Calend 01'!J29,0))</f>
        <v>0</v>
      </c>
      <c r="BC29" s="2">
        <f>((IF((43='V06 Calend 01'!C29),('V06 Calend 01'!F29+'V06 Calend 01'!G29),0)+IF(AND(('V06 Calend 01'!E29&gt;0),(43&gt;'V06 Calend 01'!C29),(43&lt;'V06 Calend 01'!D29),(MOD((43-'V06 Calend 01'!C29),6)=0),(((43-'V06 Calend 01'!C29)/6)&lt;='V06 Calend 01'!E29)),IF((43=('V06 Calend 01'!C29+(6*'V06 Calend 01'!E29))),('V06 Calend 01'!H29-('V06 Calend 01'!I29*('V06 Calend 01'!E29-1))),'V06 Calend 01'!I29),0))+IF((43='V06 Calend 01'!D29),'V06 Calend 01'!J29,0))</f>
        <v>0</v>
      </c>
      <c r="BD29" s="2">
        <f>((IF((44='V06 Calend 01'!C29),('V06 Calend 01'!F29+'V06 Calend 01'!G29),0)+IF(AND(('V06 Calend 01'!E29&gt;0),(44&gt;'V06 Calend 01'!C29),(44&lt;'V06 Calend 01'!D29),(MOD((44-'V06 Calend 01'!C29),6)=0),(((44-'V06 Calend 01'!C29)/6)&lt;='V06 Calend 01'!E29)),IF((44=('V06 Calend 01'!C29+(6*'V06 Calend 01'!E29))),('V06 Calend 01'!H29-('V06 Calend 01'!I29*('V06 Calend 01'!E29-1))),'V06 Calend 01'!I29),0))+IF((44='V06 Calend 01'!D29),'V06 Calend 01'!J29,0))</f>
        <v>0</v>
      </c>
      <c r="BE29" s="2">
        <f>((IF((45='V06 Calend 01'!C29),('V06 Calend 01'!F29+'V06 Calend 01'!G29),0)+IF(AND(('V06 Calend 01'!E29&gt;0),(45&gt;'V06 Calend 01'!C29),(45&lt;'V06 Calend 01'!D29),(MOD((45-'V06 Calend 01'!C29),6)=0),(((45-'V06 Calend 01'!C29)/6)&lt;='V06 Calend 01'!E29)),IF((45=('V06 Calend 01'!C29+(6*'V06 Calend 01'!E29))),('V06 Calend 01'!H29-('V06 Calend 01'!I29*('V06 Calend 01'!E29-1))),'V06 Calend 01'!I29),0))+IF((45='V06 Calend 01'!D29),'V06 Calend 01'!J29,0))</f>
        <v>0</v>
      </c>
      <c r="BF29" s="2">
        <f>((IF((46='V06 Calend 01'!C29),('V06 Calend 01'!F29+'V06 Calend 01'!G29),0)+IF(AND(('V06 Calend 01'!E29&gt;0),(46&gt;'V06 Calend 01'!C29),(46&lt;'V06 Calend 01'!D29),(MOD((46-'V06 Calend 01'!C29),6)=0),(((46-'V06 Calend 01'!C29)/6)&lt;='V06 Calend 01'!E29)),IF((46=('V06 Calend 01'!C29+(6*'V06 Calend 01'!E29))),('V06 Calend 01'!H29-('V06 Calend 01'!I29*('V06 Calend 01'!E29-1))),'V06 Calend 01'!I29),0))+IF((46='V06 Calend 01'!D29),'V06 Calend 01'!J29,0))</f>
        <v>0</v>
      </c>
      <c r="BG29" s="2">
        <f>((IF((47='V06 Calend 01'!C29),('V06 Calend 01'!F29+'V06 Calend 01'!G29),0)+IF(AND(('V06 Calend 01'!E29&gt;0),(47&gt;'V06 Calend 01'!C29),(47&lt;'V06 Calend 01'!D29),(MOD((47-'V06 Calend 01'!C29),6)=0),(((47-'V06 Calend 01'!C29)/6)&lt;='V06 Calend 01'!E29)),IF((47=('V06 Calend 01'!C29+(6*'V06 Calend 01'!E29))),('V06 Calend 01'!H29-('V06 Calend 01'!I29*('V06 Calend 01'!E29-1))),'V06 Calend 01'!I29),0))+IF((47='V06 Calend 01'!D29),'V06 Calend 01'!J29,0))</f>
        <v>0</v>
      </c>
      <c r="BH29" s="2">
        <f>((IF((48='V06 Calend 01'!C29),('V06 Calend 01'!F29+'V06 Calend 01'!G29),0)+IF(AND(('V06 Calend 01'!E29&gt;0),(48&gt;'V06 Calend 01'!C29),(48&lt;'V06 Calend 01'!D29),(MOD((48-'V06 Calend 01'!C29),6)=0),(((48-'V06 Calend 01'!C29)/6)&lt;='V06 Calend 01'!E29)),IF((48=('V06 Calend 01'!C29+(6*'V06 Calend 01'!E29))),('V06 Calend 01'!H29-('V06 Calend 01'!I29*('V06 Calend 01'!E29-1))),'V06 Calend 01'!I29),0))+IF((48='V06 Calend 01'!D29),'V06 Calend 01'!J29,0))</f>
        <v>0</v>
      </c>
      <c r="BI29" s="2">
        <f>((IF((49='V06 Calend 01'!C29),('V06 Calend 01'!F29+'V06 Calend 01'!G29),0)+IF(AND(('V06 Calend 01'!E29&gt;0),(49&gt;'V06 Calend 01'!C29),(49&lt;'V06 Calend 01'!D29),(MOD((49-'V06 Calend 01'!C29),6)=0),(((49-'V06 Calend 01'!C29)/6)&lt;='V06 Calend 01'!E29)),IF((49=('V06 Calend 01'!C29+(6*'V06 Calend 01'!E29))),('V06 Calend 01'!H29-('V06 Calend 01'!I29*('V06 Calend 01'!E29-1))),'V06 Calend 01'!I29),0))+IF((49='V06 Calend 01'!D29),'V06 Calend 01'!J29,0))</f>
        <v>0</v>
      </c>
      <c r="BJ29" s="2">
        <f>((IF((50='V06 Calend 01'!C29),('V06 Calend 01'!F29+'V06 Calend 01'!G29),0)+IF(AND(('V06 Calend 01'!E29&gt;0),(50&gt;'V06 Calend 01'!C29),(50&lt;'V06 Calend 01'!D29),(MOD((50-'V06 Calend 01'!C29),6)=0),(((50-'V06 Calend 01'!C29)/6)&lt;='V06 Calend 01'!E29)),IF((50=('V06 Calend 01'!C29+(6*'V06 Calend 01'!E29))),('V06 Calend 01'!H29-('V06 Calend 01'!I29*('V06 Calend 01'!E29-1))),'V06 Calend 01'!I29),0))+IF((50='V06 Calend 01'!D29),'V06 Calend 01'!J29,0))</f>
        <v>0</v>
      </c>
      <c r="BK29" s="2">
        <f>((IF((51='V06 Calend 01'!C29),('V06 Calend 01'!F29+'V06 Calend 01'!G29),0)+IF(AND(('V06 Calend 01'!E29&gt;0),(51&gt;'V06 Calend 01'!C29),(51&lt;'V06 Calend 01'!D29),(MOD((51-'V06 Calend 01'!C29),6)=0),(((51-'V06 Calend 01'!C29)/6)&lt;='V06 Calend 01'!E29)),IF((51=('V06 Calend 01'!C29+(6*'V06 Calend 01'!E29))),('V06 Calend 01'!H29-('V06 Calend 01'!I29*('V06 Calend 01'!E29-1))),'V06 Calend 01'!I29),0))+IF((51='V06 Calend 01'!D29),'V06 Calend 01'!J29,0))</f>
        <v>0</v>
      </c>
      <c r="BL29" s="2">
        <f>((IF((52='V06 Calend 01'!C29),('V06 Calend 01'!F29+'V06 Calend 01'!G29),0)+IF(AND(('V06 Calend 01'!E29&gt;0),(52&gt;'V06 Calend 01'!C29),(52&lt;'V06 Calend 01'!D29),(MOD((52-'V06 Calend 01'!C29),6)=0),(((52-'V06 Calend 01'!C29)/6)&lt;='V06 Calend 01'!E29)),IF((52=('V06 Calend 01'!C29+(6*'V06 Calend 01'!E29))),('V06 Calend 01'!H29-('V06 Calend 01'!I29*('V06 Calend 01'!E29-1))),'V06 Calend 01'!I29),0))+IF((52='V06 Calend 01'!D29),'V06 Calend 01'!J29,0))</f>
        <v>0</v>
      </c>
      <c r="BM29" s="2">
        <f>((IF((53='V06 Calend 01'!C29),('V06 Calend 01'!F29+'V06 Calend 01'!G29),0)+IF(AND(('V06 Calend 01'!E29&gt;0),(53&gt;'V06 Calend 01'!C29),(53&lt;'V06 Calend 01'!D29),(MOD((53-'V06 Calend 01'!C29),6)=0),(((53-'V06 Calend 01'!C29)/6)&lt;='V06 Calend 01'!E29)),IF((53=('V06 Calend 01'!C29+(6*'V06 Calend 01'!E29))),('V06 Calend 01'!H29-('V06 Calend 01'!I29*('V06 Calend 01'!E29-1))),'V06 Calend 01'!I29),0))+IF((53='V06 Calend 01'!D29),'V06 Calend 01'!J29,0))</f>
        <v>0</v>
      </c>
      <c r="BN29" s="2">
        <f>((IF((54='V06 Calend 01'!C29),('V06 Calend 01'!F29+'V06 Calend 01'!G29),0)+IF(AND(('V06 Calend 01'!E29&gt;0),(54&gt;'V06 Calend 01'!C29),(54&lt;'V06 Calend 01'!D29),(MOD((54-'V06 Calend 01'!C29),6)=0),(((54-'V06 Calend 01'!C29)/6)&lt;='V06 Calend 01'!E29)),IF((54=('V06 Calend 01'!C29+(6*'V06 Calend 01'!E29))),('V06 Calend 01'!H29-('V06 Calend 01'!I29*('V06 Calend 01'!E29-1))),'V06 Calend 01'!I29),0))+IF((54='V06 Calend 01'!D29),'V06 Calend 01'!J29,0))</f>
        <v>0</v>
      </c>
      <c r="BO29" s="2">
        <f>((IF((55='V06 Calend 01'!C29),('V06 Calend 01'!F29+'V06 Calend 01'!G29),0)+IF(AND(('V06 Calend 01'!E29&gt;0),(55&gt;'V06 Calend 01'!C29),(55&lt;'V06 Calend 01'!D29),(MOD((55-'V06 Calend 01'!C29),6)=0),(((55-'V06 Calend 01'!C29)/6)&lt;='V06 Calend 01'!E29)),IF((55=('V06 Calend 01'!C29+(6*'V06 Calend 01'!E29))),('V06 Calend 01'!H29-('V06 Calend 01'!I29*('V06 Calend 01'!E29-1))),'V06 Calend 01'!I29),0))+IF((55='V06 Calend 01'!D29),'V06 Calend 01'!J29,0))</f>
        <v>0</v>
      </c>
      <c r="BP29" s="2">
        <f>((IF((56='V06 Calend 01'!C29),('V06 Calend 01'!F29+'V06 Calend 01'!G29),0)+IF(AND(('V06 Calend 01'!E29&gt;0),(56&gt;'V06 Calend 01'!C29),(56&lt;'V06 Calend 01'!D29),(MOD((56-'V06 Calend 01'!C29),6)=0),(((56-'V06 Calend 01'!C29)/6)&lt;='V06 Calend 01'!E29)),IF((56=('V06 Calend 01'!C29+(6*'V06 Calend 01'!E29))),('V06 Calend 01'!H29-('V06 Calend 01'!I29*('V06 Calend 01'!E29-1))),'V06 Calend 01'!I29),0))+IF((56='V06 Calend 01'!D29),'V06 Calend 01'!J29,0))</f>
        <v>0</v>
      </c>
      <c r="BQ29" s="2">
        <f>((IF((57='V06 Calend 01'!C29),('V06 Calend 01'!F29+'V06 Calend 01'!G29),0)+IF(AND(('V06 Calend 01'!E29&gt;0),(57&gt;'V06 Calend 01'!C29),(57&lt;'V06 Calend 01'!D29),(MOD((57-'V06 Calend 01'!C29),6)=0),(((57-'V06 Calend 01'!C29)/6)&lt;='V06 Calend 01'!E29)),IF((57=('V06 Calend 01'!C29+(6*'V06 Calend 01'!E29))),('V06 Calend 01'!H29-('V06 Calend 01'!I29*('V06 Calend 01'!E29-1))),'V06 Calend 01'!I29),0))+IF((57='V06 Calend 01'!D29),'V06 Calend 01'!J29,0))</f>
        <v>0</v>
      </c>
      <c r="BR29" s="2">
        <f>((IF((58='V06 Calend 01'!C29),('V06 Calend 01'!F29+'V06 Calend 01'!G29),0)+IF(AND(('V06 Calend 01'!E29&gt;0),(58&gt;'V06 Calend 01'!C29),(58&lt;'V06 Calend 01'!D29),(MOD((58-'V06 Calend 01'!C29),6)=0),(((58-'V06 Calend 01'!C29)/6)&lt;='V06 Calend 01'!E29)),IF((58=('V06 Calend 01'!C29+(6*'V06 Calend 01'!E29))),('V06 Calend 01'!H29-('V06 Calend 01'!I29*('V06 Calend 01'!E29-1))),'V06 Calend 01'!I29),0))+IF((58='V06 Calend 01'!D29),'V06 Calend 01'!J29,0))</f>
        <v>0</v>
      </c>
      <c r="BS29" s="2">
        <f>((IF((59='V06 Calend 01'!C29),('V06 Calend 01'!F29+'V06 Calend 01'!G29),0)+IF(AND(('V06 Calend 01'!E29&gt;0),(59&gt;'V06 Calend 01'!C29),(59&lt;'V06 Calend 01'!D29),(MOD((59-'V06 Calend 01'!C29),6)=0),(((59-'V06 Calend 01'!C29)/6)&lt;='V06 Calend 01'!E29)),IF((59=('V06 Calend 01'!C29+(6*'V06 Calend 01'!E29))),('V06 Calend 01'!H29-('V06 Calend 01'!I29*('V06 Calend 01'!E29-1))),'V06 Calend 01'!I29),0))+IF((59='V06 Calend 01'!D29),'V06 Calend 01'!J29,0))</f>
        <v>0</v>
      </c>
      <c r="BT29" s="2">
        <f>((IF((60='V06 Calend 01'!C29),('V06 Calend 01'!F29+'V06 Calend 01'!G29),0)+IF(AND(('V06 Calend 01'!E29&gt;0),(60&gt;'V06 Calend 01'!C29),(60&lt;'V06 Calend 01'!D29),(MOD((60-'V06 Calend 01'!C29),6)=0),(((60-'V06 Calend 01'!C29)/6)&lt;='V06 Calend 01'!E29)),IF((60=('V06 Calend 01'!C29+(6*'V06 Calend 01'!E29))),('V06 Calend 01'!H29-('V06 Calend 01'!I29*('V06 Calend 01'!E29-1))),'V06 Calend 01'!I29),0))+IF((60='V06 Calend 01'!D29),'V06 Calend 01'!J29,0))</f>
        <v>0</v>
      </c>
      <c r="BU29" s="2">
        <f>((IF((61='V06 Calend 01'!C29),('V06 Calend 01'!F29+'V06 Calend 01'!G29),0)+IF(AND(('V06 Calend 01'!E29&gt;0),(61&gt;'V06 Calend 01'!C29),(61&lt;'V06 Calend 01'!D29),(MOD((61-'V06 Calend 01'!C29),6)=0),(((61-'V06 Calend 01'!C29)/6)&lt;='V06 Calend 01'!E29)),IF((61=('V06 Calend 01'!C29+(6*'V06 Calend 01'!E29))),('V06 Calend 01'!H29-('V06 Calend 01'!I29*('V06 Calend 01'!E29-1))),'V06 Calend 01'!I29),0))+IF((61='V06 Calend 01'!D29),'V06 Calend 01'!J29,0))</f>
        <v>0</v>
      </c>
      <c r="BV29" s="2">
        <f>((IF((62='V06 Calend 01'!C29),('V06 Calend 01'!F29+'V06 Calend 01'!G29),0)+IF(AND(('V06 Calend 01'!E29&gt;0),(62&gt;'V06 Calend 01'!C29),(62&lt;'V06 Calend 01'!D29),(MOD((62-'V06 Calend 01'!C29),6)=0),(((62-'V06 Calend 01'!C29)/6)&lt;='V06 Calend 01'!E29)),IF((62=('V06 Calend 01'!C29+(6*'V06 Calend 01'!E29))),('V06 Calend 01'!H29-('V06 Calend 01'!I29*('V06 Calend 01'!E29-1))),'V06 Calend 01'!I29),0))+IF((62='V06 Calend 01'!D29),'V06 Calend 01'!J29,0))</f>
        <v>0</v>
      </c>
      <c r="BW29" s="2">
        <f>((IF((63='V06 Calend 01'!C29),('V06 Calend 01'!F29+'V06 Calend 01'!G29),0)+IF(AND(('V06 Calend 01'!E29&gt;0),(63&gt;'V06 Calend 01'!C29),(63&lt;'V06 Calend 01'!D29),(MOD((63-'V06 Calend 01'!C29),6)=0),(((63-'V06 Calend 01'!C29)/6)&lt;='V06 Calend 01'!E29)),IF((63=('V06 Calend 01'!C29+(6*'V06 Calend 01'!E29))),('V06 Calend 01'!H29-('V06 Calend 01'!I29*('V06 Calend 01'!E29-1))),'V06 Calend 01'!I29),0))+IF((63='V06 Calend 01'!D29),'V06 Calend 01'!J29,0))</f>
        <v>0</v>
      </c>
      <c r="BX29" s="2">
        <f>((IF((64='V06 Calend 01'!C29),('V06 Calend 01'!F29+'V06 Calend 01'!G29),0)+IF(AND(('V06 Calend 01'!E29&gt;0),(64&gt;'V06 Calend 01'!C29),(64&lt;'V06 Calend 01'!D29),(MOD((64-'V06 Calend 01'!C29),6)=0),(((64-'V06 Calend 01'!C29)/6)&lt;='V06 Calend 01'!E29)),IF((64=('V06 Calend 01'!C29+(6*'V06 Calend 01'!E29))),('V06 Calend 01'!H29-('V06 Calend 01'!I29*('V06 Calend 01'!E29-1))),'V06 Calend 01'!I29),0))+IF((64='V06 Calend 01'!D29),'V06 Calend 01'!J29,0))</f>
        <v>0</v>
      </c>
      <c r="BY29" s="2">
        <f>((IF((65='V06 Calend 01'!C29),('V06 Calend 01'!F29+'V06 Calend 01'!G29),0)+IF(AND(('V06 Calend 01'!E29&gt;0),(65&gt;'V06 Calend 01'!C29),(65&lt;'V06 Calend 01'!D29),(MOD((65-'V06 Calend 01'!C29),6)=0),(((65-'V06 Calend 01'!C29)/6)&lt;='V06 Calend 01'!E29)),IF((65=('V06 Calend 01'!C29+(6*'V06 Calend 01'!E29))),('V06 Calend 01'!H29-('V06 Calend 01'!I29*('V06 Calend 01'!E29-1))),'V06 Calend 01'!I29),0))+IF((65='V06 Calend 01'!D29),'V06 Calend 01'!J29,0))</f>
        <v>0</v>
      </c>
      <c r="BZ29" s="2">
        <f>((IF((66='V06 Calend 01'!C29),('V06 Calend 01'!F29+'V06 Calend 01'!G29),0)+IF(AND(('V06 Calend 01'!E29&gt;0),(66&gt;'V06 Calend 01'!C29),(66&lt;'V06 Calend 01'!D29),(MOD((66-'V06 Calend 01'!C29),6)=0),(((66-'V06 Calend 01'!C29)/6)&lt;='V06 Calend 01'!E29)),IF((66=('V06 Calend 01'!C29+(6*'V06 Calend 01'!E29))),('V06 Calend 01'!H29-('V06 Calend 01'!I29*('V06 Calend 01'!E29-1))),'V06 Calend 01'!I29),0))+IF((66='V06 Calend 01'!D29),'V06 Calend 01'!J29,0))</f>
        <v>0</v>
      </c>
      <c r="CA29" s="2">
        <f>((IF((67='V06 Calend 01'!C29),('V06 Calend 01'!F29+'V06 Calend 01'!G29),0)+IF(AND(('V06 Calend 01'!E29&gt;0),(67&gt;'V06 Calend 01'!C29),(67&lt;'V06 Calend 01'!D29),(MOD((67-'V06 Calend 01'!C29),6)=0),(((67-'V06 Calend 01'!C29)/6)&lt;='V06 Calend 01'!E29)),IF((67=('V06 Calend 01'!C29+(6*'V06 Calend 01'!E29))),('V06 Calend 01'!H29-('V06 Calend 01'!I29*('V06 Calend 01'!E29-1))),'V06 Calend 01'!I29),0))+IF((67='V06 Calend 01'!D29),'V06 Calend 01'!J29,0))</f>
        <v>0</v>
      </c>
      <c r="CB29" s="2">
        <f>((IF((68='V06 Calend 01'!C29),('V06 Calend 01'!F29+'V06 Calend 01'!G29),0)+IF(AND(('V06 Calend 01'!E29&gt;0),(68&gt;'V06 Calend 01'!C29),(68&lt;'V06 Calend 01'!D29),(MOD((68-'V06 Calend 01'!C29),6)=0),(((68-'V06 Calend 01'!C29)/6)&lt;='V06 Calend 01'!E29)),IF((68=('V06 Calend 01'!C29+(6*'V06 Calend 01'!E29))),('V06 Calend 01'!H29-('V06 Calend 01'!I29*('V06 Calend 01'!E29-1))),'V06 Calend 01'!I29),0))+IF((68='V06 Calend 01'!D29),'V06 Calend 01'!J29,0))</f>
        <v>0</v>
      </c>
      <c r="CC29" s="2">
        <f>((IF((69='V06 Calend 01'!C29),('V06 Calend 01'!F29+'V06 Calend 01'!G29),0)+IF(AND(('V06 Calend 01'!E29&gt;0),(69&gt;'V06 Calend 01'!C29),(69&lt;'V06 Calend 01'!D29),(MOD((69-'V06 Calend 01'!C29),6)=0),(((69-'V06 Calend 01'!C29)/6)&lt;='V06 Calend 01'!E29)),IF((69=('V06 Calend 01'!C29+(6*'V06 Calend 01'!E29))),('V06 Calend 01'!H29-('V06 Calend 01'!I29*('V06 Calend 01'!E29-1))),'V06 Calend 01'!I29),0))+IF((69='V06 Calend 01'!D29),'V06 Calend 01'!J29,0))</f>
        <v>0</v>
      </c>
      <c r="CD29" s="2">
        <f>((IF((70='V06 Calend 01'!C29),('V06 Calend 01'!F29+'V06 Calend 01'!G29),0)+IF(AND(('V06 Calend 01'!E29&gt;0),(70&gt;'V06 Calend 01'!C29),(70&lt;'V06 Calend 01'!D29),(MOD((70-'V06 Calend 01'!C29),6)=0),(((70-'V06 Calend 01'!C29)/6)&lt;='V06 Calend 01'!E29)),IF((70=('V06 Calend 01'!C29+(6*'V06 Calend 01'!E29))),('V06 Calend 01'!H29-('V06 Calend 01'!I29*('V06 Calend 01'!E29-1))),'V06 Calend 01'!I29),0))+IF((70='V06 Calend 01'!D29),'V06 Calend 01'!J29,0))</f>
        <v>0</v>
      </c>
      <c r="CE29" s="2">
        <f>((IF((71='V06 Calend 01'!C29),('V06 Calend 01'!F29+'V06 Calend 01'!G29),0)+IF(AND(('V06 Calend 01'!E29&gt;0),(71&gt;'V06 Calend 01'!C29),(71&lt;'V06 Calend 01'!D29),(MOD((71-'V06 Calend 01'!C29),6)=0),(((71-'V06 Calend 01'!C29)/6)&lt;='V06 Calend 01'!E29)),IF((71=('V06 Calend 01'!C29+(6*'V06 Calend 01'!E29))),('V06 Calend 01'!H29-('V06 Calend 01'!I29*('V06 Calend 01'!E29-1))),'V06 Calend 01'!I29),0))+IF((71='V06 Calend 01'!D29),'V06 Calend 01'!J29,0))</f>
        <v>0</v>
      </c>
      <c r="CF29" s="2">
        <f>((IF((72='V06 Calend 01'!C29),('V06 Calend 01'!F29+'V06 Calend 01'!G29),0)+IF(AND(('V06 Calend 01'!E29&gt;0),(72&gt;'V06 Calend 01'!C29),(72&lt;'V06 Calend 01'!D29),(MOD((72-'V06 Calend 01'!C29),6)=0),(((72-'V06 Calend 01'!C29)/6)&lt;='V06 Calend 01'!E29)),IF((72=('V06 Calend 01'!C29+(6*'V06 Calend 01'!E29))),('V06 Calend 01'!H29-('V06 Calend 01'!I29*('V06 Calend 01'!E29-1))),'V06 Calend 01'!I29),0))+IF((72='V06 Calend 01'!D29),'V06 Calend 01'!J29,0))</f>
        <v>0</v>
      </c>
      <c r="CG29" s="2">
        <f>((IF((73='V06 Calend 01'!C29),('V06 Calend 01'!F29+'V06 Calend 01'!G29),0)+IF(AND(('V06 Calend 01'!E29&gt;0),(73&gt;'V06 Calend 01'!C29),(73&lt;'V06 Calend 01'!D29),(MOD((73-'V06 Calend 01'!C29),6)=0),(((73-'V06 Calend 01'!C29)/6)&lt;='V06 Calend 01'!E29)),IF((73=('V06 Calend 01'!C29+(6*'V06 Calend 01'!E29))),('V06 Calend 01'!H29-('V06 Calend 01'!I29*('V06 Calend 01'!E29-1))),'V06 Calend 01'!I29),0))+IF((73='V06 Calend 01'!D29),'V06 Calend 01'!J29,0))</f>
        <v>0</v>
      </c>
      <c r="CH29" s="2">
        <f>((IF((74='V06 Calend 01'!C29),('V06 Calend 01'!F29+'V06 Calend 01'!G29),0)+IF(AND(('V06 Calend 01'!E29&gt;0),(74&gt;'V06 Calend 01'!C29),(74&lt;'V06 Calend 01'!D29),(MOD((74-'V06 Calend 01'!C29),6)=0),(((74-'V06 Calend 01'!C29)/6)&lt;='V06 Calend 01'!E29)),IF((74=('V06 Calend 01'!C29+(6*'V06 Calend 01'!E29))),('V06 Calend 01'!H29-('V06 Calend 01'!I29*('V06 Calend 01'!E29-1))),'V06 Calend 01'!I29),0))+IF((74='V06 Calend 01'!D29),'V06 Calend 01'!J29,0))</f>
        <v>0</v>
      </c>
      <c r="CI29" s="2">
        <f>((IF((75='V06 Calend 01'!C29),('V06 Calend 01'!F29+'V06 Calend 01'!G29),0)+IF(AND(('V06 Calend 01'!E29&gt;0),(75&gt;'V06 Calend 01'!C29),(75&lt;'V06 Calend 01'!D29),(MOD((75-'V06 Calend 01'!C29),6)=0),(((75-'V06 Calend 01'!C29)/6)&lt;='V06 Calend 01'!E29)),IF((75=('V06 Calend 01'!C29+(6*'V06 Calend 01'!E29))),('V06 Calend 01'!H29-('V06 Calend 01'!I29*('V06 Calend 01'!E29-1))),'V06 Calend 01'!I29),0))+IF((75='V06 Calend 01'!D29),'V06 Calend 01'!J29,0))</f>
        <v>0</v>
      </c>
      <c r="CJ29" s="2">
        <f>((IF((76='V06 Calend 01'!C29),('V06 Calend 01'!F29+'V06 Calend 01'!G29),0)+IF(AND(('V06 Calend 01'!E29&gt;0),(76&gt;'V06 Calend 01'!C29),(76&lt;'V06 Calend 01'!D29),(MOD((76-'V06 Calend 01'!C29),6)=0),(((76-'V06 Calend 01'!C29)/6)&lt;='V06 Calend 01'!E29)),IF((76=('V06 Calend 01'!C29+(6*'V06 Calend 01'!E29))),('V06 Calend 01'!H29-('V06 Calend 01'!I29*('V06 Calend 01'!E29-1))),'V06 Calend 01'!I29),0))+IF((76='V06 Calend 01'!D29),'V06 Calend 01'!J29,0))</f>
        <v>0</v>
      </c>
      <c r="CK29" s="2">
        <f>((IF((77='V06 Calend 01'!C29),('V06 Calend 01'!F29+'V06 Calend 01'!G29),0)+IF(AND(('V06 Calend 01'!E29&gt;0),(77&gt;'V06 Calend 01'!C29),(77&lt;'V06 Calend 01'!D29),(MOD((77-'V06 Calend 01'!C29),6)=0),(((77-'V06 Calend 01'!C29)/6)&lt;='V06 Calend 01'!E29)),IF((77=('V06 Calend 01'!C29+(6*'V06 Calend 01'!E29))),('V06 Calend 01'!H29-('V06 Calend 01'!I29*('V06 Calend 01'!E29-1))),'V06 Calend 01'!I29),0))+IF((77='V06 Calend 01'!D29),'V06 Calend 01'!J29,0))</f>
        <v>0</v>
      </c>
      <c r="CL29" s="2">
        <f>((IF((78='V06 Calend 01'!C29),('V06 Calend 01'!F29+'V06 Calend 01'!G29),0)+IF(AND(('V06 Calend 01'!E29&gt;0),(78&gt;'V06 Calend 01'!C29),(78&lt;'V06 Calend 01'!D29),(MOD((78-'V06 Calend 01'!C29),6)=0),(((78-'V06 Calend 01'!C29)/6)&lt;='V06 Calend 01'!E29)),IF((78=('V06 Calend 01'!C29+(6*'V06 Calend 01'!E29))),('V06 Calend 01'!H29-('V06 Calend 01'!I29*('V06 Calend 01'!E29-1))),'V06 Calend 01'!I29),0))+IF((78='V06 Calend 01'!D29),'V06 Calend 01'!J29,0))</f>
        <v>0</v>
      </c>
      <c r="CM29" s="2">
        <f>((IF((79='V06 Calend 01'!C29),('V06 Calend 01'!F29+'V06 Calend 01'!G29),0)+IF(AND(('V06 Calend 01'!E29&gt;0),(79&gt;'V06 Calend 01'!C29),(79&lt;'V06 Calend 01'!D29),(MOD((79-'V06 Calend 01'!C29),6)=0),(((79-'V06 Calend 01'!C29)/6)&lt;='V06 Calend 01'!E29)),IF((79=('V06 Calend 01'!C29+(6*'V06 Calend 01'!E29))),('V06 Calend 01'!H29-('V06 Calend 01'!I29*('V06 Calend 01'!E29-1))),'V06 Calend 01'!I29),0))+IF((79='V06 Calend 01'!D29),'V06 Calend 01'!J29,0))</f>
        <v>0</v>
      </c>
      <c r="CN29" s="2">
        <f>((IF((80='V06 Calend 01'!C29),('V06 Calend 01'!F29+'V06 Calend 01'!G29),0)+IF(AND(('V06 Calend 01'!E29&gt;0),(80&gt;'V06 Calend 01'!C29),(80&lt;'V06 Calend 01'!D29),(MOD((80-'V06 Calend 01'!C29),6)=0),(((80-'V06 Calend 01'!C29)/6)&lt;='V06 Calend 01'!E29)),IF((80=('V06 Calend 01'!C29+(6*'V06 Calend 01'!E29))),('V06 Calend 01'!H29-('V06 Calend 01'!I29*('V06 Calend 01'!E29-1))),'V06 Calend 01'!I29),0))+IF((80='V06 Calend 01'!D29),'V06 Calend 01'!J29,0))</f>
        <v>0</v>
      </c>
      <c r="CO29" s="2">
        <f>((IF((81='V06 Calend 01'!C29),('V06 Calend 01'!F29+'V06 Calend 01'!G29),0)+IF(AND(('V06 Calend 01'!E29&gt;0),(81&gt;'V06 Calend 01'!C29),(81&lt;'V06 Calend 01'!D29),(MOD((81-'V06 Calend 01'!C29),6)=0),(((81-'V06 Calend 01'!C29)/6)&lt;='V06 Calend 01'!E29)),IF((81=('V06 Calend 01'!C29+(6*'V06 Calend 01'!E29))),('V06 Calend 01'!H29-('V06 Calend 01'!I29*('V06 Calend 01'!E29-1))),'V06 Calend 01'!I29),0))+IF((81='V06 Calend 01'!D29),'V06 Calend 01'!J29,0))</f>
        <v>0</v>
      </c>
      <c r="CP29" s="2">
        <f>((IF((82='V06 Calend 01'!C29),('V06 Calend 01'!F29+'V06 Calend 01'!G29),0)+IF(AND(('V06 Calend 01'!E29&gt;0),(82&gt;'V06 Calend 01'!C29),(82&lt;'V06 Calend 01'!D29),(MOD((82-'V06 Calend 01'!C29),6)=0),(((82-'V06 Calend 01'!C29)/6)&lt;='V06 Calend 01'!E29)),IF((82=('V06 Calend 01'!C29+(6*'V06 Calend 01'!E29))),('V06 Calend 01'!H29-('V06 Calend 01'!I29*('V06 Calend 01'!E29-1))),'V06 Calend 01'!I29),0))+IF((82='V06 Calend 01'!D29),'V06 Calend 01'!J29,0))</f>
        <v>0</v>
      </c>
      <c r="CQ29" s="2">
        <f>((IF((83='V06 Calend 01'!C29),('V06 Calend 01'!F29+'V06 Calend 01'!G29),0)+IF(AND(('V06 Calend 01'!E29&gt;0),(83&gt;'V06 Calend 01'!C29),(83&lt;'V06 Calend 01'!D29),(MOD((83-'V06 Calend 01'!C29),6)=0),(((83-'V06 Calend 01'!C29)/6)&lt;='V06 Calend 01'!E29)),IF((83=('V06 Calend 01'!C29+(6*'V06 Calend 01'!E29))),('V06 Calend 01'!H29-('V06 Calend 01'!I29*('V06 Calend 01'!E29-1))),'V06 Calend 01'!I29),0))+IF((83='V06 Calend 01'!D29),'V06 Calend 01'!J29,0))</f>
        <v>0</v>
      </c>
      <c r="CR29" s="2">
        <f>((IF((84='V06 Calend 01'!C29),('V06 Calend 01'!F29+'V06 Calend 01'!G29),0)+IF(AND(('V06 Calend 01'!E29&gt;0),(84&gt;'V06 Calend 01'!C29),(84&lt;'V06 Calend 01'!D29),(MOD((84-'V06 Calend 01'!C29),6)=0),(((84-'V06 Calend 01'!C29)/6)&lt;='V06 Calend 01'!E29)),IF((84=('V06 Calend 01'!C29+(6*'V06 Calend 01'!E29))),('V06 Calend 01'!H29-('V06 Calend 01'!I29*('V06 Calend 01'!E29-1))),'V06 Calend 01'!I29),0))+IF((84='V06 Calend 01'!D29),'V06 Calend 01'!J29,0))</f>
        <v>0</v>
      </c>
      <c r="CS29" s="2">
        <f>((IF((85='V06 Calend 01'!C29),('V06 Calend 01'!F29+'V06 Calend 01'!G29),0)+IF(AND(('V06 Calend 01'!E29&gt;0),(85&gt;'V06 Calend 01'!C29),(85&lt;'V06 Calend 01'!D29),(MOD((85-'V06 Calend 01'!C29),6)=0),(((85-'V06 Calend 01'!C29)/6)&lt;='V06 Calend 01'!E29)),IF((85=('V06 Calend 01'!C29+(6*'V06 Calend 01'!E29))),('V06 Calend 01'!H29-('V06 Calend 01'!I29*('V06 Calend 01'!E29-1))),'V06 Calend 01'!I29),0))+IF((85='V06 Calend 01'!D29),'V06 Calend 01'!J29,0))</f>
        <v>0</v>
      </c>
      <c r="CT29" s="2">
        <f>((IF((86='V06 Calend 01'!C29),('V06 Calend 01'!F29+'V06 Calend 01'!G29),0)+IF(AND(('V06 Calend 01'!E29&gt;0),(86&gt;'V06 Calend 01'!C29),(86&lt;'V06 Calend 01'!D29),(MOD((86-'V06 Calend 01'!C29),6)=0),(((86-'V06 Calend 01'!C29)/6)&lt;='V06 Calend 01'!E29)),IF((86=('V06 Calend 01'!C29+(6*'V06 Calend 01'!E29))),('V06 Calend 01'!H29-('V06 Calend 01'!I29*('V06 Calend 01'!E29-1))),'V06 Calend 01'!I29),0))+IF((86='V06 Calend 01'!D29),'V06 Calend 01'!J29,0))</f>
        <v>0</v>
      </c>
      <c r="CU29" s="2">
        <f>((IF((87='V06 Calend 01'!C29),('V06 Calend 01'!F29+'V06 Calend 01'!G29),0)+IF(AND(('V06 Calend 01'!E29&gt;0),(87&gt;'V06 Calend 01'!C29),(87&lt;'V06 Calend 01'!D29),(MOD((87-'V06 Calend 01'!C29),6)=0),(((87-'V06 Calend 01'!C29)/6)&lt;='V06 Calend 01'!E29)),IF((87=('V06 Calend 01'!C29+(6*'V06 Calend 01'!E29))),('V06 Calend 01'!H29-('V06 Calend 01'!I29*('V06 Calend 01'!E29-1))),'V06 Calend 01'!I29),0))+IF((87='V06 Calend 01'!D29),'V06 Calend 01'!J29,0))</f>
        <v>0</v>
      </c>
      <c r="CV29" s="2">
        <f>((IF((88='V06 Calend 01'!C29),('V06 Calend 01'!F29+'V06 Calend 01'!G29),0)+IF(AND(('V06 Calend 01'!E29&gt;0),(88&gt;'V06 Calend 01'!C29),(88&lt;'V06 Calend 01'!D29),(MOD((88-'V06 Calend 01'!C29),6)=0),(((88-'V06 Calend 01'!C29)/6)&lt;='V06 Calend 01'!E29)),IF((88=('V06 Calend 01'!C29+(6*'V06 Calend 01'!E29))),('V06 Calend 01'!H29-('V06 Calend 01'!I29*('V06 Calend 01'!E29-1))),'V06 Calend 01'!I29),0))+IF((88='V06 Calend 01'!D29),'V06 Calend 01'!J29,0))</f>
        <v>0</v>
      </c>
      <c r="CW29" s="2">
        <f>((IF((89='V06 Calend 01'!C29),('V06 Calend 01'!F29+'V06 Calend 01'!G29),0)+IF(AND(('V06 Calend 01'!E29&gt;0),(89&gt;'V06 Calend 01'!C29),(89&lt;'V06 Calend 01'!D29),(MOD((89-'V06 Calend 01'!C29),6)=0),(((89-'V06 Calend 01'!C29)/6)&lt;='V06 Calend 01'!E29)),IF((89=('V06 Calend 01'!C29+(6*'V06 Calend 01'!E29))),('V06 Calend 01'!H29-('V06 Calend 01'!I29*('V06 Calend 01'!E29-1))),'V06 Calend 01'!I29),0))+IF((89='V06 Calend 01'!D29),'V06 Calend 01'!J29,0))</f>
        <v>0</v>
      </c>
      <c r="CX29" s="2">
        <f>((IF((90='V06 Calend 01'!C29),('V06 Calend 01'!F29+'V06 Calend 01'!G29),0)+IF(AND(('V06 Calend 01'!E29&gt;0),(90&gt;'V06 Calend 01'!C29),(90&lt;'V06 Calend 01'!D29),(MOD((90-'V06 Calend 01'!C29),6)=0),(((90-'V06 Calend 01'!C29)/6)&lt;='V06 Calend 01'!E29)),IF((90=('V06 Calend 01'!C29+(6*'V06 Calend 01'!E29))),('V06 Calend 01'!H29-('V06 Calend 01'!I29*('V06 Calend 01'!E29-1))),'V06 Calend 01'!I29),0))+IF((90='V06 Calend 01'!D29),'V06 Calend 01'!J29,0))</f>
        <v>0</v>
      </c>
      <c r="CY29" s="2">
        <f>((IF((91='V06 Calend 01'!C29),('V06 Calend 01'!F29+'V06 Calend 01'!G29),0)+IF(AND(('V06 Calend 01'!E29&gt;0),(91&gt;'V06 Calend 01'!C29),(91&lt;'V06 Calend 01'!D29),(MOD((91-'V06 Calend 01'!C29),6)=0),(((91-'V06 Calend 01'!C29)/6)&lt;='V06 Calend 01'!E29)),IF((91=('V06 Calend 01'!C29+(6*'V06 Calend 01'!E29))),('V06 Calend 01'!H29-('V06 Calend 01'!I29*('V06 Calend 01'!E29-1))),'V06 Calend 01'!I29),0))+IF((91='V06 Calend 01'!D29),'V06 Calend 01'!J29,0))</f>
        <v>0</v>
      </c>
      <c r="CZ29" s="2">
        <f>((IF((92='V06 Calend 01'!C29),('V06 Calend 01'!F29+'V06 Calend 01'!G29),0)+IF(AND(('V06 Calend 01'!E29&gt;0),(92&gt;'V06 Calend 01'!C29),(92&lt;'V06 Calend 01'!D29),(MOD((92-'V06 Calend 01'!C29),6)=0),(((92-'V06 Calend 01'!C29)/6)&lt;='V06 Calend 01'!E29)),IF((92=('V06 Calend 01'!C29+(6*'V06 Calend 01'!E29))),('V06 Calend 01'!H29-('V06 Calend 01'!I29*('V06 Calend 01'!E29-1))),'V06 Calend 01'!I29),0))+IF((92='V06 Calend 01'!D29),'V06 Calend 01'!J29,0))</f>
        <v>0</v>
      </c>
      <c r="DA29" s="2">
        <f>((IF((93='V06 Calend 01'!C29),('V06 Calend 01'!F29+'V06 Calend 01'!G29),0)+IF(AND(('V06 Calend 01'!E29&gt;0),(93&gt;'V06 Calend 01'!C29),(93&lt;'V06 Calend 01'!D29),(MOD((93-'V06 Calend 01'!C29),6)=0),(((93-'V06 Calend 01'!C29)/6)&lt;='V06 Calend 01'!E29)),IF((93=('V06 Calend 01'!C29+(6*'V06 Calend 01'!E29))),('V06 Calend 01'!H29-('V06 Calend 01'!I29*('V06 Calend 01'!E29-1))),'V06 Calend 01'!I29),0))+IF((93='V06 Calend 01'!D29),'V06 Calend 01'!J29,0))</f>
        <v>0</v>
      </c>
      <c r="DB29" s="2">
        <f>((IF((94='V06 Calend 01'!C29),('V06 Calend 01'!F29+'V06 Calend 01'!G29),0)+IF(AND(('V06 Calend 01'!E29&gt;0),(94&gt;'V06 Calend 01'!C29),(94&lt;'V06 Calend 01'!D29),(MOD((94-'V06 Calend 01'!C29),6)=0),(((94-'V06 Calend 01'!C29)/6)&lt;='V06 Calend 01'!E29)),IF((94=('V06 Calend 01'!C29+(6*'V06 Calend 01'!E29))),('V06 Calend 01'!H29-('V06 Calend 01'!I29*('V06 Calend 01'!E29-1))),'V06 Calend 01'!I29),0))+IF((94='V06 Calend 01'!D29),'V06 Calend 01'!J29,0))</f>
        <v>0</v>
      </c>
      <c r="DC29" s="2">
        <f>((IF((95='V06 Calend 01'!C29),('V06 Calend 01'!F29+'V06 Calend 01'!G29),0)+IF(AND(('V06 Calend 01'!E29&gt;0),(95&gt;'V06 Calend 01'!C29),(95&lt;'V06 Calend 01'!D29),(MOD((95-'V06 Calend 01'!C29),6)=0),(((95-'V06 Calend 01'!C29)/6)&lt;='V06 Calend 01'!E29)),IF((95=('V06 Calend 01'!C29+(6*'V06 Calend 01'!E29))),('V06 Calend 01'!H29-('V06 Calend 01'!I29*('V06 Calend 01'!E29-1))),'V06 Calend 01'!I29),0))+IF((95='V06 Calend 01'!D29),'V06 Calend 01'!J29,0))</f>
        <v>0</v>
      </c>
      <c r="DD29" s="2">
        <f>((IF((96='V06 Calend 01'!C29),('V06 Calend 01'!F29+'V06 Calend 01'!G29),0)+IF(AND(('V06 Calend 01'!E29&gt;0),(96&gt;'V06 Calend 01'!C29),(96&lt;'V06 Calend 01'!D29),(MOD((96-'V06 Calend 01'!C29),6)=0),(((96-'V06 Calend 01'!C29)/6)&lt;='V06 Calend 01'!E29)),IF((96=('V06 Calend 01'!C29+(6*'V06 Calend 01'!E29))),('V06 Calend 01'!H29-('V06 Calend 01'!I29*('V06 Calend 01'!E29-1))),'V06 Calend 01'!I29),0))+IF((96='V06 Calend 01'!D29),'V06 Calend 01'!J29,0))</f>
        <v>0</v>
      </c>
      <c r="DE29" s="2">
        <f>((IF((97='V06 Calend 01'!C29),('V06 Calend 01'!F29+'V06 Calend 01'!G29),0)+IF(AND(('V06 Calend 01'!E29&gt;0),(97&gt;'V06 Calend 01'!C29),(97&lt;'V06 Calend 01'!D29),(MOD((97-'V06 Calend 01'!C29),6)=0),(((97-'V06 Calend 01'!C29)/6)&lt;='V06 Calend 01'!E29)),IF((97=('V06 Calend 01'!C29+(6*'V06 Calend 01'!E29))),('V06 Calend 01'!H29-('V06 Calend 01'!I29*('V06 Calend 01'!E29-1))),'V06 Calend 01'!I29),0))+IF((97='V06 Calend 01'!D29),'V06 Calend 01'!J29,0))</f>
        <v>0</v>
      </c>
      <c r="DF29" s="2">
        <f>((IF((98='V06 Calend 01'!C29),('V06 Calend 01'!F29+'V06 Calend 01'!G29),0)+IF(AND(('V06 Calend 01'!E29&gt;0),(98&gt;'V06 Calend 01'!C29),(98&lt;'V06 Calend 01'!D29),(MOD((98-'V06 Calend 01'!C29),6)=0),(((98-'V06 Calend 01'!C29)/6)&lt;='V06 Calend 01'!E29)),IF((98=('V06 Calend 01'!C29+(6*'V06 Calend 01'!E29))),('V06 Calend 01'!H29-('V06 Calend 01'!I29*('V06 Calend 01'!E29-1))),'V06 Calend 01'!I29),0))+IF((98='V06 Calend 01'!D29),'V06 Calend 01'!J29,0))</f>
        <v>0</v>
      </c>
      <c r="DG29" s="2">
        <f>((IF((99='V06 Calend 01'!C29),('V06 Calend 01'!F29+'V06 Calend 01'!G29),0)+IF(AND(('V06 Calend 01'!E29&gt;0),(99&gt;'V06 Calend 01'!C29),(99&lt;'V06 Calend 01'!D29),(MOD((99-'V06 Calend 01'!C29),6)=0),(((99-'V06 Calend 01'!C29)/6)&lt;='V06 Calend 01'!E29)),IF((99=('V06 Calend 01'!C29+(6*'V06 Calend 01'!E29))),('V06 Calend 01'!H29-('V06 Calend 01'!I29*('V06 Calend 01'!E29-1))),'V06 Calend 01'!I29),0))+IF((99='V06 Calend 01'!D29),'V06 Calend 01'!J29,0))</f>
        <v>0</v>
      </c>
      <c r="DH29" s="2">
        <f>((IF((100='V06 Calend 01'!C29),('V06 Calend 01'!F29+'V06 Calend 01'!G29),0)+IF(AND(('V06 Calend 01'!E29&gt;0),(100&gt;'V06 Calend 01'!C29),(100&lt;'V06 Calend 01'!D29),(MOD((100-'V06 Calend 01'!C29),6)=0),(((100-'V06 Calend 01'!C29)/6)&lt;='V06 Calend 01'!E29)),IF((100=('V06 Calend 01'!C29+(6*'V06 Calend 01'!E29))),('V06 Calend 01'!H29-('V06 Calend 01'!I29*('V06 Calend 01'!E29-1))),'V06 Calend 01'!I29),0))+IF((100='V06 Calend 01'!D29),'V06 Calend 01'!J29,0))</f>
        <v>0</v>
      </c>
      <c r="DI29" s="2">
        <f>((IF((101='V06 Calend 01'!C29),('V06 Calend 01'!F29+'V06 Calend 01'!G29),0)+IF(AND(('V06 Calend 01'!E29&gt;0),(101&gt;'V06 Calend 01'!C29),(101&lt;'V06 Calend 01'!D29),(MOD((101-'V06 Calend 01'!C29),6)=0),(((101-'V06 Calend 01'!C29)/6)&lt;='V06 Calend 01'!E29)),IF((101=('V06 Calend 01'!C29+(6*'V06 Calend 01'!E29))),('V06 Calend 01'!H29-('V06 Calend 01'!I29*('V06 Calend 01'!E29-1))),'V06 Calend 01'!I29),0))+IF((101='V06 Calend 01'!D29),'V06 Calend 01'!J29,0))</f>
        <v>0</v>
      </c>
      <c r="DJ29" s="2">
        <f>((IF((102='V06 Calend 01'!C29),('V06 Calend 01'!F29+'V06 Calend 01'!G29),0)+IF(AND(('V06 Calend 01'!E29&gt;0),(102&gt;'V06 Calend 01'!C29),(102&lt;'V06 Calend 01'!D29),(MOD((102-'V06 Calend 01'!C29),6)=0),(((102-'V06 Calend 01'!C29)/6)&lt;='V06 Calend 01'!E29)),IF((102=('V06 Calend 01'!C29+(6*'V06 Calend 01'!E29))),('V06 Calend 01'!H29-('V06 Calend 01'!I29*('V06 Calend 01'!E29-1))),'V06 Calend 01'!I29),0))+IF((102='V06 Calend 01'!D29),'V06 Calend 01'!J29,0))</f>
        <v>0</v>
      </c>
      <c r="DK29" s="2">
        <f>((IF((103='V06 Calend 01'!C29),('V06 Calend 01'!F29+'V06 Calend 01'!G29),0)+IF(AND(('V06 Calend 01'!E29&gt;0),(103&gt;'V06 Calend 01'!C29),(103&lt;'V06 Calend 01'!D29),(MOD((103-'V06 Calend 01'!C29),6)=0),(((103-'V06 Calend 01'!C29)/6)&lt;='V06 Calend 01'!E29)),IF((103=('V06 Calend 01'!C29+(6*'V06 Calend 01'!E29))),('V06 Calend 01'!H29-('V06 Calend 01'!I29*('V06 Calend 01'!E29-1))),'V06 Calend 01'!I29),0))+IF((103='V06 Calend 01'!D29),'V06 Calend 01'!J29,0))</f>
        <v>0</v>
      </c>
      <c r="DL29" s="2">
        <f>((IF((104='V06 Calend 01'!C29),('V06 Calend 01'!F29+'V06 Calend 01'!G29),0)+IF(AND(('V06 Calend 01'!E29&gt;0),(104&gt;'V06 Calend 01'!C29),(104&lt;'V06 Calend 01'!D29),(MOD((104-'V06 Calend 01'!C29),6)=0),(((104-'V06 Calend 01'!C29)/6)&lt;='V06 Calend 01'!E29)),IF((104=('V06 Calend 01'!C29+(6*'V06 Calend 01'!E29))),('V06 Calend 01'!H29-('V06 Calend 01'!I29*('V06 Calend 01'!E29-1))),'V06 Calend 01'!I29),0))+IF((104='V06 Calend 01'!D29),'V06 Calend 01'!J29,0))</f>
        <v>0</v>
      </c>
      <c r="DM29" s="2">
        <f>((IF((105='V06 Calend 01'!C29),('V06 Calend 01'!F29+'V06 Calend 01'!G29),0)+IF(AND(('V06 Calend 01'!E29&gt;0),(105&gt;'V06 Calend 01'!C29),(105&lt;'V06 Calend 01'!D29),(MOD((105-'V06 Calend 01'!C29),6)=0),(((105-'V06 Calend 01'!C29)/6)&lt;='V06 Calend 01'!E29)),IF((105=('V06 Calend 01'!C29+(6*'V06 Calend 01'!E29))),('V06 Calend 01'!H29-('V06 Calend 01'!I29*('V06 Calend 01'!E29-1))),'V06 Calend 01'!I29),0))+IF((105='V06 Calend 01'!D29),'V06 Calend 01'!J29,0))</f>
        <v>0</v>
      </c>
      <c r="DN29" s="2">
        <f>((IF((106='V06 Calend 01'!C29),('V06 Calend 01'!F29+'V06 Calend 01'!G29),0)+IF(AND(('V06 Calend 01'!E29&gt;0),(106&gt;'V06 Calend 01'!C29),(106&lt;'V06 Calend 01'!D29),(MOD((106-'V06 Calend 01'!C29),6)=0),(((106-'V06 Calend 01'!C29)/6)&lt;='V06 Calend 01'!E29)),IF((106=('V06 Calend 01'!C29+(6*'V06 Calend 01'!E29))),('V06 Calend 01'!H29-('V06 Calend 01'!I29*('V06 Calend 01'!E29-1))),'V06 Calend 01'!I29),0))+IF((106='V06 Calend 01'!D29),'V06 Calend 01'!J29,0))</f>
        <v>0</v>
      </c>
      <c r="DO29" s="2">
        <f>((IF((107='V06 Calend 01'!C29),('V06 Calend 01'!F29+'V06 Calend 01'!G29),0)+IF(AND(('V06 Calend 01'!E29&gt;0),(107&gt;'V06 Calend 01'!C29),(107&lt;'V06 Calend 01'!D29),(MOD((107-'V06 Calend 01'!C29),6)=0),(((107-'V06 Calend 01'!C29)/6)&lt;='V06 Calend 01'!E29)),IF((107=('V06 Calend 01'!C29+(6*'V06 Calend 01'!E29))),('V06 Calend 01'!H29-('V06 Calend 01'!I29*('V06 Calend 01'!E29-1))),'V06 Calend 01'!I29),0))+IF((107='V06 Calend 01'!D29),'V06 Calend 01'!J29,0))</f>
        <v>0</v>
      </c>
      <c r="DP29" s="2">
        <f>((IF((108='V06 Calend 01'!C29),('V06 Calend 01'!F29+'V06 Calend 01'!G29),0)+IF(AND(('V06 Calend 01'!E29&gt;0),(108&gt;'V06 Calend 01'!C29),(108&lt;'V06 Calend 01'!D29),(MOD((108-'V06 Calend 01'!C29),6)=0),(((108-'V06 Calend 01'!C29)/6)&lt;='V06 Calend 01'!E29)),IF((108=('V06 Calend 01'!C29+(6*'V06 Calend 01'!E29))),('V06 Calend 01'!H29-('V06 Calend 01'!I29*('V06 Calend 01'!E29-1))),'V06 Calend 01'!I29),0))+IF((108='V06 Calend 01'!D29),'V06 Calend 01'!J29,0))</f>
        <v>0</v>
      </c>
      <c r="DQ29" s="2">
        <f>((IF((109='V06 Calend 01'!C29),('V06 Calend 01'!F29+'V06 Calend 01'!G29),0)+IF(AND(('V06 Calend 01'!E29&gt;0),(109&gt;'V06 Calend 01'!C29),(109&lt;'V06 Calend 01'!D29),(MOD((109-'V06 Calend 01'!C29),6)=0),(((109-'V06 Calend 01'!C29)/6)&lt;='V06 Calend 01'!E29)),IF((109=('V06 Calend 01'!C29+(6*'V06 Calend 01'!E29))),('V06 Calend 01'!H29-('V06 Calend 01'!I29*('V06 Calend 01'!E29-1))),'V06 Calend 01'!I29),0))+IF((109='V06 Calend 01'!D29),'V06 Calend 01'!J29,0))</f>
        <v>0</v>
      </c>
      <c r="DR29" s="2">
        <f>((IF((110='V06 Calend 01'!C29),('V06 Calend 01'!F29+'V06 Calend 01'!G29),0)+IF(AND(('V06 Calend 01'!E29&gt;0),(110&gt;'V06 Calend 01'!C29),(110&lt;'V06 Calend 01'!D29),(MOD((110-'V06 Calend 01'!C29),6)=0),(((110-'V06 Calend 01'!C29)/6)&lt;='V06 Calend 01'!E29)),IF((110=('V06 Calend 01'!C29+(6*'V06 Calend 01'!E29))),('V06 Calend 01'!H29-('V06 Calend 01'!I29*('V06 Calend 01'!E29-1))),'V06 Calend 01'!I29),0))+IF((110='V06 Calend 01'!D29),'V06 Calend 01'!J29,0))</f>
        <v>0</v>
      </c>
      <c r="DS29" s="2">
        <f>((IF((111='V06 Calend 01'!C29),('V06 Calend 01'!F29+'V06 Calend 01'!G29),0)+IF(AND(('V06 Calend 01'!E29&gt;0),(111&gt;'V06 Calend 01'!C29),(111&lt;'V06 Calend 01'!D29),(MOD((111-'V06 Calend 01'!C29),6)=0),(((111-'V06 Calend 01'!C29)/6)&lt;='V06 Calend 01'!E29)),IF((111=('V06 Calend 01'!C29+(6*'V06 Calend 01'!E29))),('V06 Calend 01'!H29-('V06 Calend 01'!I29*('V06 Calend 01'!E29-1))),'V06 Calend 01'!I29),0))+IF((111='V06 Calend 01'!D29),'V06 Calend 01'!J29,0))</f>
        <v>0</v>
      </c>
      <c r="DT29" s="2">
        <f>((IF((112='V06 Calend 01'!C29),('V06 Calend 01'!F29+'V06 Calend 01'!G29),0)+IF(AND(('V06 Calend 01'!E29&gt;0),(112&gt;'V06 Calend 01'!C29),(112&lt;'V06 Calend 01'!D29),(MOD((112-'V06 Calend 01'!C29),6)=0),(((112-'V06 Calend 01'!C29)/6)&lt;='V06 Calend 01'!E29)),IF((112=('V06 Calend 01'!C29+(6*'V06 Calend 01'!E29))),('V06 Calend 01'!H29-('V06 Calend 01'!I29*('V06 Calend 01'!E29-1))),'V06 Calend 01'!I29),0))+IF((112='V06 Calend 01'!D29),'V06 Calend 01'!J29,0))</f>
        <v>0</v>
      </c>
      <c r="DU29" s="2">
        <f>((IF((113='V06 Calend 01'!C29),('V06 Calend 01'!F29+'V06 Calend 01'!G29),0)+IF(AND(('V06 Calend 01'!E29&gt;0),(113&gt;'V06 Calend 01'!C29),(113&lt;'V06 Calend 01'!D29),(MOD((113-'V06 Calend 01'!C29),6)=0),(((113-'V06 Calend 01'!C29)/6)&lt;='V06 Calend 01'!E29)),IF((113=('V06 Calend 01'!C29+(6*'V06 Calend 01'!E29))),('V06 Calend 01'!H29-('V06 Calend 01'!I29*('V06 Calend 01'!E29-1))),'V06 Calend 01'!I29),0))+IF((113='V06 Calend 01'!D29),'V06 Calend 01'!J29,0))</f>
        <v>0</v>
      </c>
      <c r="DV29" s="2">
        <f>((IF((114='V06 Calend 01'!C29),('V06 Calend 01'!F29+'V06 Calend 01'!G29),0)+IF(AND(('V06 Calend 01'!E29&gt;0),(114&gt;'V06 Calend 01'!C29),(114&lt;'V06 Calend 01'!D29),(MOD((114-'V06 Calend 01'!C29),6)=0),(((114-'V06 Calend 01'!C29)/6)&lt;='V06 Calend 01'!E29)),IF((114=('V06 Calend 01'!C29+(6*'V06 Calend 01'!E29))),('V06 Calend 01'!H29-('V06 Calend 01'!I29*('V06 Calend 01'!E29-1))),'V06 Calend 01'!I29),0))+IF((114='V06 Calend 01'!D29),'V06 Calend 01'!J29,0))</f>
        <v>0</v>
      </c>
      <c r="DW29" s="2">
        <f>((IF((115='V06 Calend 01'!C29),('V06 Calend 01'!F29+'V06 Calend 01'!G29),0)+IF(AND(('V06 Calend 01'!E29&gt;0),(115&gt;'V06 Calend 01'!C29),(115&lt;'V06 Calend 01'!D29),(MOD((115-'V06 Calend 01'!C29),6)=0),(((115-'V06 Calend 01'!C29)/6)&lt;='V06 Calend 01'!E29)),IF((115=('V06 Calend 01'!C29+(6*'V06 Calend 01'!E29))),('V06 Calend 01'!H29-('V06 Calend 01'!I29*('V06 Calend 01'!E29-1))),'V06 Calend 01'!I29),0))+IF((115='V06 Calend 01'!D29),'V06 Calend 01'!J29,0))</f>
        <v>0</v>
      </c>
      <c r="DX29" s="2">
        <f>((IF((116='V06 Calend 01'!C29),('V06 Calend 01'!F29+'V06 Calend 01'!G29),0)+IF(AND(('V06 Calend 01'!E29&gt;0),(116&gt;'V06 Calend 01'!C29),(116&lt;'V06 Calend 01'!D29),(MOD((116-'V06 Calend 01'!C29),6)=0),(((116-'V06 Calend 01'!C29)/6)&lt;='V06 Calend 01'!E29)),IF((116=('V06 Calend 01'!C29+(6*'V06 Calend 01'!E29))),('V06 Calend 01'!H29-('V06 Calend 01'!I29*('V06 Calend 01'!E29-1))),'V06 Calend 01'!I29),0))+IF((116='V06 Calend 01'!D29),'V06 Calend 01'!J29,0))</f>
        <v>0</v>
      </c>
      <c r="DY29" s="2">
        <f>((IF((117='V06 Calend 01'!C29),('V06 Calend 01'!F29+'V06 Calend 01'!G29),0)+IF(AND(('V06 Calend 01'!E29&gt;0),(117&gt;'V06 Calend 01'!C29),(117&lt;'V06 Calend 01'!D29),(MOD((117-'V06 Calend 01'!C29),6)=0),(((117-'V06 Calend 01'!C29)/6)&lt;='V06 Calend 01'!E29)),IF((117=('V06 Calend 01'!C29+(6*'V06 Calend 01'!E29))),('V06 Calend 01'!H29-('V06 Calend 01'!I29*('V06 Calend 01'!E29-1))),'V06 Calend 01'!I29),0))+IF((117='V06 Calend 01'!D29),'V06 Calend 01'!J29,0))</f>
        <v>0</v>
      </c>
      <c r="DZ29" s="2">
        <f>((IF((118='V06 Calend 01'!C29),('V06 Calend 01'!F29+'V06 Calend 01'!G29),0)+IF(AND(('V06 Calend 01'!E29&gt;0),(118&gt;'V06 Calend 01'!C29),(118&lt;'V06 Calend 01'!D29),(MOD((118-'V06 Calend 01'!C29),6)=0),(((118-'V06 Calend 01'!C29)/6)&lt;='V06 Calend 01'!E29)),IF((118=('V06 Calend 01'!C29+(6*'V06 Calend 01'!E29))),('V06 Calend 01'!H29-('V06 Calend 01'!I29*('V06 Calend 01'!E29-1))),'V06 Calend 01'!I29),0))+IF((118='V06 Calend 01'!D29),'V06 Calend 01'!J29,0))</f>
        <v>0</v>
      </c>
      <c r="EA29" s="2">
        <f>((IF((119='V06 Calend 01'!C29),('V06 Calend 01'!F29+'V06 Calend 01'!G29),0)+IF(AND(('V06 Calend 01'!E29&gt;0),(119&gt;'V06 Calend 01'!C29),(119&lt;'V06 Calend 01'!D29),(MOD((119-'V06 Calend 01'!C29),6)=0),(((119-'V06 Calend 01'!C29)/6)&lt;='V06 Calend 01'!E29)),IF((119=('V06 Calend 01'!C29+(6*'V06 Calend 01'!E29))),('V06 Calend 01'!H29-('V06 Calend 01'!I29*('V06 Calend 01'!E29-1))),'V06 Calend 01'!I29),0))+IF((119='V06 Calend 01'!D29),'V06 Calend 01'!J29,0))</f>
        <v>0</v>
      </c>
      <c r="EB29" s="2">
        <f>((IF((120='V06 Calend 01'!C29),('V06 Calend 01'!F29+'V06 Calend 01'!G29),0)+IF(AND(('V06 Calend 01'!E29&gt;0),(120&gt;'V06 Calend 01'!C29),(120&lt;'V06 Calend 01'!D29),(MOD((120-'V06 Calend 01'!C29),6)=0),(((120-'V06 Calend 01'!C29)/6)&lt;='V06 Calend 01'!E29)),IF((120=('V06 Calend 01'!C29+(6*'V06 Calend 01'!E29))),('V06 Calend 01'!H29-('V06 Calend 01'!I29*('V06 Calend 01'!E29-1))),'V06 Calend 01'!I29),0))+IF((120='V06 Calend 01'!D29),'V06 Calend 01'!J29,0))</f>
        <v>0</v>
      </c>
      <c r="EC29" s="2">
        <f>((IF((121='V06 Calend 01'!C29),('V06 Calend 01'!F29+'V06 Calend 01'!G29),0)+IF(AND(('V06 Calend 01'!E29&gt;0),(121&gt;'V06 Calend 01'!C29),(121&lt;'V06 Calend 01'!D29),(MOD((121-'V06 Calend 01'!C29),6)=0),(((121-'V06 Calend 01'!C29)/6)&lt;='V06 Calend 01'!E29)),IF((121=('V06 Calend 01'!C29+(6*'V06 Calend 01'!E29))),('V06 Calend 01'!H29-('V06 Calend 01'!I29*('V06 Calend 01'!E29-1))),'V06 Calend 01'!I29),0))+IF((121='V06 Calend 01'!D29),'V06 Calend 01'!J29,0))</f>
        <v>0</v>
      </c>
      <c r="ED29" s="2">
        <f>((IF((122='V06 Calend 01'!C29),('V06 Calend 01'!F29+'V06 Calend 01'!G29),0)+IF(AND(('V06 Calend 01'!E29&gt;0),(122&gt;'V06 Calend 01'!C29),(122&lt;'V06 Calend 01'!D29),(MOD((122-'V06 Calend 01'!C29),6)=0),(((122-'V06 Calend 01'!C29)/6)&lt;='V06 Calend 01'!E29)),IF((122=('V06 Calend 01'!C29+(6*'V06 Calend 01'!E29))),('V06 Calend 01'!H29-('V06 Calend 01'!I29*('V06 Calend 01'!E29-1))),'V06 Calend 01'!I29),0))+IF((122='V06 Calend 01'!D29),'V06 Calend 01'!J29,0))</f>
        <v>0</v>
      </c>
      <c r="EE29" s="2">
        <f>((IF((123='V06 Calend 01'!C29),('V06 Calend 01'!F29+'V06 Calend 01'!G29),0)+IF(AND(('V06 Calend 01'!E29&gt;0),(123&gt;'V06 Calend 01'!C29),(123&lt;'V06 Calend 01'!D29),(MOD((123-'V06 Calend 01'!C29),6)=0),(((123-'V06 Calend 01'!C29)/6)&lt;='V06 Calend 01'!E29)),IF((123=('V06 Calend 01'!C29+(6*'V06 Calend 01'!E29))),('V06 Calend 01'!H29-('V06 Calend 01'!I29*('V06 Calend 01'!E29-1))),'V06 Calend 01'!I29),0))+IF((123='V06 Calend 01'!D29),'V06 Calend 01'!J29,0))</f>
        <v>0</v>
      </c>
      <c r="EF29" s="2">
        <f>((IF((124='V06 Calend 01'!C29),('V06 Calend 01'!F29+'V06 Calend 01'!G29),0)+IF(AND(('V06 Calend 01'!E29&gt;0),(124&gt;'V06 Calend 01'!C29),(124&lt;'V06 Calend 01'!D29),(MOD((124-'V06 Calend 01'!C29),6)=0),(((124-'V06 Calend 01'!C29)/6)&lt;='V06 Calend 01'!E29)),IF((124=('V06 Calend 01'!C29+(6*'V06 Calend 01'!E29))),('V06 Calend 01'!H29-('V06 Calend 01'!I29*('V06 Calend 01'!E29-1))),'V06 Calend 01'!I29),0))+IF((124='V06 Calend 01'!D29),'V06 Calend 01'!J29,0))</f>
        <v>0</v>
      </c>
      <c r="EG29" s="2">
        <f>((IF((125='V06 Calend 01'!C29),('V06 Calend 01'!F29+'V06 Calend 01'!G29),0)+IF(AND(('V06 Calend 01'!E29&gt;0),(125&gt;'V06 Calend 01'!C29),(125&lt;'V06 Calend 01'!D29),(MOD((125-'V06 Calend 01'!C29),6)=0),(((125-'V06 Calend 01'!C29)/6)&lt;='V06 Calend 01'!E29)),IF((125=('V06 Calend 01'!C29+(6*'V06 Calend 01'!E29))),('V06 Calend 01'!H29-('V06 Calend 01'!I29*('V06 Calend 01'!E29-1))),'V06 Calend 01'!I29),0))+IF((125='V06 Calend 01'!D29),'V06 Calend 01'!J29,0))</f>
        <v>0</v>
      </c>
      <c r="EH29" s="2">
        <f>((IF((126='V06 Calend 01'!C29),('V06 Calend 01'!F29+'V06 Calend 01'!G29),0)+IF(AND(('V06 Calend 01'!E29&gt;0),(126&gt;'V06 Calend 01'!C29),(126&lt;'V06 Calend 01'!D29),(MOD((126-'V06 Calend 01'!C29),6)=0),(((126-'V06 Calend 01'!C29)/6)&lt;='V06 Calend 01'!E29)),IF((126=('V06 Calend 01'!C29+(6*'V06 Calend 01'!E29))),('V06 Calend 01'!H29-('V06 Calend 01'!I29*('V06 Calend 01'!E29-1))),'V06 Calend 01'!I29),0))+IF((126='V06 Calend 01'!D29),'V06 Calend 01'!J29,0))</f>
        <v>0</v>
      </c>
      <c r="EI29" s="2">
        <f>((IF((127='V06 Calend 01'!C29),('V06 Calend 01'!F29+'V06 Calend 01'!G29),0)+IF(AND(('V06 Calend 01'!E29&gt;0),(127&gt;'V06 Calend 01'!C29),(127&lt;'V06 Calend 01'!D29),(MOD((127-'V06 Calend 01'!C29),6)=0),(((127-'V06 Calend 01'!C29)/6)&lt;='V06 Calend 01'!E29)),IF((127=('V06 Calend 01'!C29+(6*'V06 Calend 01'!E29))),('V06 Calend 01'!H29-('V06 Calend 01'!I29*('V06 Calend 01'!E29-1))),'V06 Calend 01'!I29),0))+IF((127='V06 Calend 01'!D29),'V06 Calend 01'!J29,0))</f>
        <v>0</v>
      </c>
      <c r="EJ29" s="2">
        <f>((IF((128='V06 Calend 01'!C29),('V06 Calend 01'!F29+'V06 Calend 01'!G29),0)+IF(AND(('V06 Calend 01'!E29&gt;0),(128&gt;'V06 Calend 01'!C29),(128&lt;'V06 Calend 01'!D29),(MOD((128-'V06 Calend 01'!C29),6)=0),(((128-'V06 Calend 01'!C29)/6)&lt;='V06 Calend 01'!E29)),IF((128=('V06 Calend 01'!C29+(6*'V06 Calend 01'!E29))),('V06 Calend 01'!H29-('V06 Calend 01'!I29*('V06 Calend 01'!E29-1))),'V06 Calend 01'!I29),0))+IF((128='V06 Calend 01'!D29),'V06 Calend 01'!J29,0))</f>
        <v>0</v>
      </c>
      <c r="EK29" s="2">
        <f>((IF((129='V06 Calend 01'!C29),('V06 Calend 01'!F29+'V06 Calend 01'!G29),0)+IF(AND(('V06 Calend 01'!E29&gt;0),(129&gt;'V06 Calend 01'!C29),(129&lt;'V06 Calend 01'!D29),(MOD((129-'V06 Calend 01'!C29),6)=0),(((129-'V06 Calend 01'!C29)/6)&lt;='V06 Calend 01'!E29)),IF((129=('V06 Calend 01'!C29+(6*'V06 Calend 01'!E29))),('V06 Calend 01'!H29-('V06 Calend 01'!I29*('V06 Calend 01'!E29-1))),'V06 Calend 01'!I29),0))+IF((129='V06 Calend 01'!D29),'V06 Calend 01'!J29,0))</f>
        <v>0</v>
      </c>
      <c r="EL29" s="2">
        <f>((IF((130='V06 Calend 01'!C29),('V06 Calend 01'!F29+'V06 Calend 01'!G29),0)+IF(AND(('V06 Calend 01'!E29&gt;0),(130&gt;'V06 Calend 01'!C29),(130&lt;'V06 Calend 01'!D29),(MOD((130-'V06 Calend 01'!C29),6)=0),(((130-'V06 Calend 01'!C29)/6)&lt;='V06 Calend 01'!E29)),IF((130=('V06 Calend 01'!C29+(6*'V06 Calend 01'!E29))),('V06 Calend 01'!H29-('V06 Calend 01'!I29*('V06 Calend 01'!E29-1))),'V06 Calend 01'!I29),0))+IF((130='V06 Calend 01'!D29),'V06 Calend 01'!J29,0))</f>
        <v>0</v>
      </c>
      <c r="EM29" s="2">
        <f>((IF((131='V06 Calend 01'!C29),('V06 Calend 01'!F29+'V06 Calend 01'!G29),0)+IF(AND(('V06 Calend 01'!E29&gt;0),(131&gt;'V06 Calend 01'!C29),(131&lt;'V06 Calend 01'!D29),(MOD((131-'V06 Calend 01'!C29),6)=0),(((131-'V06 Calend 01'!C29)/6)&lt;='V06 Calend 01'!E29)),IF((131=('V06 Calend 01'!C29+(6*'V06 Calend 01'!E29))),('V06 Calend 01'!H29-('V06 Calend 01'!I29*('V06 Calend 01'!E29-1))),'V06 Calend 01'!I29),0))+IF((131='V06 Calend 01'!D29),'V06 Calend 01'!J29,0))</f>
        <v>0</v>
      </c>
      <c r="EN29" s="2">
        <f>((IF((132='V06 Calend 01'!C29),('V06 Calend 01'!F29+'V06 Calend 01'!G29),0)+IF(AND(('V06 Calend 01'!E29&gt;0),(132&gt;'V06 Calend 01'!C29),(132&lt;'V06 Calend 01'!D29),(MOD((132-'V06 Calend 01'!C29),6)=0),(((132-'V06 Calend 01'!C29)/6)&lt;='V06 Calend 01'!E29)),IF((132=('V06 Calend 01'!C29+(6*'V06 Calend 01'!E29))),('V06 Calend 01'!H29-('V06 Calend 01'!I29*('V06 Calend 01'!E29-1))),'V06 Calend 01'!I29),0))+IF((132='V06 Calend 01'!D29),'V06 Calend 01'!J29,0))</f>
        <v>0</v>
      </c>
      <c r="EO29" s="2">
        <f>((IF((133='V06 Calend 01'!C29),('V06 Calend 01'!F29+'V06 Calend 01'!G29),0)+IF(AND(('V06 Calend 01'!E29&gt;0),(133&gt;'V06 Calend 01'!C29),(133&lt;'V06 Calend 01'!D29),(MOD((133-'V06 Calend 01'!C29),6)=0),(((133-'V06 Calend 01'!C29)/6)&lt;='V06 Calend 01'!E29)),IF((133=('V06 Calend 01'!C29+(6*'V06 Calend 01'!E29))),('V06 Calend 01'!H29-('V06 Calend 01'!I29*('V06 Calend 01'!E29-1))),'V06 Calend 01'!I29),0))+IF((133='V06 Calend 01'!D29),'V06 Calend 01'!J29,0))</f>
        <v>0</v>
      </c>
      <c r="EP29" s="2">
        <f>((IF((134='V06 Calend 01'!C29),('V06 Calend 01'!F29+'V06 Calend 01'!G29),0)+IF(AND(('V06 Calend 01'!E29&gt;0),(134&gt;'V06 Calend 01'!C29),(134&lt;'V06 Calend 01'!D29),(MOD((134-'V06 Calend 01'!C29),6)=0),(((134-'V06 Calend 01'!C29)/6)&lt;='V06 Calend 01'!E29)),IF((134=('V06 Calend 01'!C29+(6*'V06 Calend 01'!E29))),('V06 Calend 01'!H29-('V06 Calend 01'!I29*('V06 Calend 01'!E29-1))),'V06 Calend 01'!I29),0))+IF((134='V06 Calend 01'!D29),'V06 Calend 01'!J29,0))</f>
        <v>0</v>
      </c>
      <c r="EQ29" s="2">
        <f>((IF((135='V06 Calend 01'!C29),('V06 Calend 01'!F29+'V06 Calend 01'!G29),0)+IF(AND(('V06 Calend 01'!E29&gt;0),(135&gt;'V06 Calend 01'!C29),(135&lt;'V06 Calend 01'!D29),(MOD((135-'V06 Calend 01'!C29),6)=0),(((135-'V06 Calend 01'!C29)/6)&lt;='V06 Calend 01'!E29)),IF((135=('V06 Calend 01'!C29+(6*'V06 Calend 01'!E29))),('V06 Calend 01'!H29-('V06 Calend 01'!I29*('V06 Calend 01'!E29-1))),'V06 Calend 01'!I29),0))+IF((135='V06 Calend 01'!D29),'V06 Calend 01'!J29,0))</f>
        <v>0</v>
      </c>
      <c r="ER29" s="2">
        <f>((IF((136='V06 Calend 01'!C29),('V06 Calend 01'!F29+'V06 Calend 01'!G29),0)+IF(AND(('V06 Calend 01'!E29&gt;0),(136&gt;'V06 Calend 01'!C29),(136&lt;'V06 Calend 01'!D29),(MOD((136-'V06 Calend 01'!C29),6)=0),(((136-'V06 Calend 01'!C29)/6)&lt;='V06 Calend 01'!E29)),IF((136=('V06 Calend 01'!C29+(6*'V06 Calend 01'!E29))),('V06 Calend 01'!H29-('V06 Calend 01'!I29*('V06 Calend 01'!E29-1))),'V06 Calend 01'!I29),0))+IF((136='V06 Calend 01'!D29),'V06 Calend 01'!J29,0))</f>
        <v>0</v>
      </c>
      <c r="ES29" s="2">
        <f>((IF((137='V06 Calend 01'!C29),('V06 Calend 01'!F29+'V06 Calend 01'!G29),0)+IF(AND(('V06 Calend 01'!E29&gt;0),(137&gt;'V06 Calend 01'!C29),(137&lt;'V06 Calend 01'!D29),(MOD((137-'V06 Calend 01'!C29),6)=0),(((137-'V06 Calend 01'!C29)/6)&lt;='V06 Calend 01'!E29)),IF((137=('V06 Calend 01'!C29+(6*'V06 Calend 01'!E29))),('V06 Calend 01'!H29-('V06 Calend 01'!I29*('V06 Calend 01'!E29-1))),'V06 Calend 01'!I29),0))+IF((137='V06 Calend 01'!D29),'V06 Calend 01'!J29,0))</f>
        <v>0</v>
      </c>
      <c r="ET29" s="2">
        <f>((IF((138='V06 Calend 01'!C29),('V06 Calend 01'!F29+'V06 Calend 01'!G29),0)+IF(AND(('V06 Calend 01'!E29&gt;0),(138&gt;'V06 Calend 01'!C29),(138&lt;'V06 Calend 01'!D29),(MOD((138-'V06 Calend 01'!C29),6)=0),(((138-'V06 Calend 01'!C29)/6)&lt;='V06 Calend 01'!E29)),IF((138=('V06 Calend 01'!C29+(6*'V06 Calend 01'!E29))),('V06 Calend 01'!H29-('V06 Calend 01'!I29*('V06 Calend 01'!E29-1))),'V06 Calend 01'!I29),0))+IF((138='V06 Calend 01'!D29),'V06 Calend 01'!J29,0))</f>
        <v>0</v>
      </c>
      <c r="EU29" s="2">
        <f>((IF((139='V06 Calend 01'!C29),('V06 Calend 01'!F29+'V06 Calend 01'!G29),0)+IF(AND(('V06 Calend 01'!E29&gt;0),(139&gt;'V06 Calend 01'!C29),(139&lt;'V06 Calend 01'!D29),(MOD((139-'V06 Calend 01'!C29),6)=0),(((139-'V06 Calend 01'!C29)/6)&lt;='V06 Calend 01'!E29)),IF((139=('V06 Calend 01'!C29+(6*'V06 Calend 01'!E29))),('V06 Calend 01'!H29-('V06 Calend 01'!I29*('V06 Calend 01'!E29-1))),'V06 Calend 01'!I29),0))+IF((139='V06 Calend 01'!D29),'V06 Calend 01'!J29,0))</f>
        <v>0</v>
      </c>
      <c r="EV29" s="2">
        <f>((IF((140='V06 Calend 01'!C29),('V06 Calend 01'!F29+'V06 Calend 01'!G29),0)+IF(AND(('V06 Calend 01'!E29&gt;0),(140&gt;'V06 Calend 01'!C29),(140&lt;'V06 Calend 01'!D29),(MOD((140-'V06 Calend 01'!C29),6)=0),(((140-'V06 Calend 01'!C29)/6)&lt;='V06 Calend 01'!E29)),IF((140=('V06 Calend 01'!C29+(6*'V06 Calend 01'!E29))),('V06 Calend 01'!H29-('V06 Calend 01'!I29*('V06 Calend 01'!E29-1))),'V06 Calend 01'!I29),0))+IF((140='V06 Calend 01'!D29),'V06 Calend 01'!J29,0))</f>
        <v>0</v>
      </c>
      <c r="EW29" s="2">
        <f>((IF((141='V06 Calend 01'!C29),('V06 Calend 01'!F29+'V06 Calend 01'!G29),0)+IF(AND(('V06 Calend 01'!E29&gt;0),(141&gt;'V06 Calend 01'!C29),(141&lt;'V06 Calend 01'!D29),(MOD((141-'V06 Calend 01'!C29),6)=0),(((141-'V06 Calend 01'!C29)/6)&lt;='V06 Calend 01'!E29)),IF((141=('V06 Calend 01'!C29+(6*'V06 Calend 01'!E29))),('V06 Calend 01'!H29-('V06 Calend 01'!I29*('V06 Calend 01'!E29-1))),'V06 Calend 01'!I29),0))+IF((141='V06 Calend 01'!D29),'V06 Calend 01'!J29,0))</f>
        <v>0</v>
      </c>
      <c r="EX29" s="2">
        <f>((IF((142='V06 Calend 01'!C29),('V06 Calend 01'!F29+'V06 Calend 01'!G29),0)+IF(AND(('V06 Calend 01'!E29&gt;0),(142&gt;'V06 Calend 01'!C29),(142&lt;'V06 Calend 01'!D29),(MOD((142-'V06 Calend 01'!C29),6)=0),(((142-'V06 Calend 01'!C29)/6)&lt;='V06 Calend 01'!E29)),IF((142=('V06 Calend 01'!C29+(6*'V06 Calend 01'!E29))),('V06 Calend 01'!H29-('V06 Calend 01'!I29*('V06 Calend 01'!E29-1))),'V06 Calend 01'!I29),0))+IF((142='V06 Calend 01'!D29),'V06 Calend 01'!J29,0))</f>
        <v>0</v>
      </c>
      <c r="EY29" s="2">
        <f>((IF((143='V06 Calend 01'!C29),('V06 Calend 01'!F29+'V06 Calend 01'!G29),0)+IF(AND(('V06 Calend 01'!E29&gt;0),(143&gt;'V06 Calend 01'!C29),(143&lt;'V06 Calend 01'!D29),(MOD((143-'V06 Calend 01'!C29),6)=0),(((143-'V06 Calend 01'!C29)/6)&lt;='V06 Calend 01'!E29)),IF((143=('V06 Calend 01'!C29+(6*'V06 Calend 01'!E29))),('V06 Calend 01'!H29-('V06 Calend 01'!I29*('V06 Calend 01'!E29-1))),'V06 Calend 01'!I29),0))+IF((143='V06 Calend 01'!D29),'V06 Calend 01'!J29,0))</f>
        <v>0</v>
      </c>
      <c r="EZ29" s="2">
        <f>((IF((144='V06 Calend 01'!C29),('V06 Calend 01'!F29+'V06 Calend 01'!G29),0)+IF(AND(('V06 Calend 01'!E29&gt;0),(144&gt;'V06 Calend 01'!C29),(144&lt;'V06 Calend 01'!D29),(MOD((144-'V06 Calend 01'!C29),6)=0),(((144-'V06 Calend 01'!C29)/6)&lt;='V06 Calend 01'!E29)),IF((144=('V06 Calend 01'!C29+(6*'V06 Calend 01'!E29))),('V06 Calend 01'!H29-('V06 Calend 01'!I29*('V06 Calend 01'!E29-1))),'V06 Calend 01'!I29),0))+IF((144='V06 Calend 01'!D29),'V06 Calend 01'!J29,0))</f>
        <v>0</v>
      </c>
      <c r="FA29" s="2">
        <f>((IF((145='V06 Calend 01'!C29),('V06 Calend 01'!F29+'V06 Calend 01'!G29),0)+IF(AND(('V06 Calend 01'!E29&gt;0),(145&gt;'V06 Calend 01'!C29),(145&lt;'V06 Calend 01'!D29),(MOD((145-'V06 Calend 01'!C29),6)=0),(((145-'V06 Calend 01'!C29)/6)&lt;='V06 Calend 01'!E29)),IF((145=('V06 Calend 01'!C29+(6*'V06 Calend 01'!E29))),('V06 Calend 01'!H29-('V06 Calend 01'!I29*('V06 Calend 01'!E29-1))),'V06 Calend 01'!I29),0))+IF((145='V06 Calend 01'!D29),'V06 Calend 01'!J29,0))</f>
        <v>0</v>
      </c>
      <c r="FB29" s="2">
        <f>((IF((146='V06 Calend 01'!C29),('V06 Calend 01'!F29+'V06 Calend 01'!G29),0)+IF(AND(('V06 Calend 01'!E29&gt;0),(146&gt;'V06 Calend 01'!C29),(146&lt;'V06 Calend 01'!D29),(MOD((146-'V06 Calend 01'!C29),6)=0),(((146-'V06 Calend 01'!C29)/6)&lt;='V06 Calend 01'!E29)),IF((146=('V06 Calend 01'!C29+(6*'V06 Calend 01'!E29))),('V06 Calend 01'!H29-('V06 Calend 01'!I29*('V06 Calend 01'!E29-1))),'V06 Calend 01'!I29),0))+IF((146='V06 Calend 01'!D29),'V06 Calend 01'!J29,0))</f>
        <v>0</v>
      </c>
      <c r="FC29" s="2">
        <f>((IF((147='V06 Calend 01'!C29),('V06 Calend 01'!F29+'V06 Calend 01'!G29),0)+IF(AND(('V06 Calend 01'!E29&gt;0),(147&gt;'V06 Calend 01'!C29),(147&lt;'V06 Calend 01'!D29),(MOD((147-'V06 Calend 01'!C29),6)=0),(((147-'V06 Calend 01'!C29)/6)&lt;='V06 Calend 01'!E29)),IF((147=('V06 Calend 01'!C29+(6*'V06 Calend 01'!E29))),('V06 Calend 01'!H29-('V06 Calend 01'!I29*('V06 Calend 01'!E29-1))),'V06 Calend 01'!I29),0))+IF((147='V06 Calend 01'!D29),'V06 Calend 01'!J29,0))</f>
        <v>0</v>
      </c>
      <c r="FD29" s="2">
        <f>((IF((148='V06 Calend 01'!C29),('V06 Calend 01'!F29+'V06 Calend 01'!G29),0)+IF(AND(('V06 Calend 01'!E29&gt;0),(148&gt;'V06 Calend 01'!C29),(148&lt;'V06 Calend 01'!D29),(MOD((148-'V06 Calend 01'!C29),6)=0),(((148-'V06 Calend 01'!C29)/6)&lt;='V06 Calend 01'!E29)),IF((148=('V06 Calend 01'!C29+(6*'V06 Calend 01'!E29))),('V06 Calend 01'!H29-('V06 Calend 01'!I29*('V06 Calend 01'!E29-1))),'V06 Calend 01'!I29),0))+IF((148='V06 Calend 01'!D29),'V06 Calend 01'!J29,0))</f>
        <v>0</v>
      </c>
      <c r="FE29" s="2">
        <f>((IF((149='V06 Calend 01'!C29),('V06 Calend 01'!F29+'V06 Calend 01'!G29),0)+IF(AND(('V06 Calend 01'!E29&gt;0),(149&gt;'V06 Calend 01'!C29),(149&lt;'V06 Calend 01'!D29),(MOD((149-'V06 Calend 01'!C29),6)=0),(((149-'V06 Calend 01'!C29)/6)&lt;='V06 Calend 01'!E29)),IF((149=('V06 Calend 01'!C29+(6*'V06 Calend 01'!E29))),('V06 Calend 01'!H29-('V06 Calend 01'!I29*('V06 Calend 01'!E29-1))),'V06 Calend 01'!I29),0))+IF((149='V06 Calend 01'!D29),'V06 Calend 01'!J29,0))</f>
        <v>0</v>
      </c>
      <c r="FF29" s="2">
        <f>((IF((150='V06 Calend 01'!C29),('V06 Calend 01'!F29+'V06 Calend 01'!G29),0)+IF(AND(('V06 Calend 01'!E29&gt;0),(150&gt;'V06 Calend 01'!C29),(150&lt;'V06 Calend 01'!D29),(MOD((150-'V06 Calend 01'!C29),6)=0),(((150-'V06 Calend 01'!C29)/6)&lt;='V06 Calend 01'!E29)),IF((150=('V06 Calend 01'!C29+(6*'V06 Calend 01'!E29))),('V06 Calend 01'!H29-('V06 Calend 01'!I29*('V06 Calend 01'!E29-1))),'V06 Calend 01'!I29),0))+IF((150='V06 Calend 01'!D29),'V06 Calend 01'!J29,0))</f>
        <v>0</v>
      </c>
      <c r="FG29" s="2">
        <f>((IF((151='V06 Calend 01'!C29),('V06 Calend 01'!F29+'V06 Calend 01'!G29),0)+IF(AND(('V06 Calend 01'!E29&gt;0),(151&gt;'V06 Calend 01'!C29),(151&lt;'V06 Calend 01'!D29),(MOD((151-'V06 Calend 01'!C29),6)=0),(((151-'V06 Calend 01'!C29)/6)&lt;='V06 Calend 01'!E29)),IF((151=('V06 Calend 01'!C29+(6*'V06 Calend 01'!E29))),('V06 Calend 01'!H29-('V06 Calend 01'!I29*('V06 Calend 01'!E29-1))),'V06 Calend 01'!I29),0))+IF((151='V06 Calend 01'!D29),'V06 Calend 01'!J29,0))</f>
        <v>0</v>
      </c>
      <c r="FH29" s="2">
        <f>((IF((152='V06 Calend 01'!C29),('V06 Calend 01'!F29+'V06 Calend 01'!G29),0)+IF(AND(('V06 Calend 01'!E29&gt;0),(152&gt;'V06 Calend 01'!C29),(152&lt;'V06 Calend 01'!D29),(MOD((152-'V06 Calend 01'!C29),6)=0),(((152-'V06 Calend 01'!C29)/6)&lt;='V06 Calend 01'!E29)),IF((152=('V06 Calend 01'!C29+(6*'V06 Calend 01'!E29))),('V06 Calend 01'!H29-('V06 Calend 01'!I29*('V06 Calend 01'!E29-1))),'V06 Calend 01'!I29),0))+IF((152='V06 Calend 01'!D29),'V06 Calend 01'!J29,0))</f>
        <v>0</v>
      </c>
      <c r="FI29" s="2">
        <f>((IF((153='V06 Calend 01'!C29),('V06 Calend 01'!F29+'V06 Calend 01'!G29),0)+IF(AND(('V06 Calend 01'!E29&gt;0),(153&gt;'V06 Calend 01'!C29),(153&lt;'V06 Calend 01'!D29),(MOD((153-'V06 Calend 01'!C29),6)=0),(((153-'V06 Calend 01'!C29)/6)&lt;='V06 Calend 01'!E29)),IF((153=('V06 Calend 01'!C29+(6*'V06 Calend 01'!E29))),('V06 Calend 01'!H29-('V06 Calend 01'!I29*('V06 Calend 01'!E29-1))),'V06 Calend 01'!I29),0))+IF((153='V06 Calend 01'!D29),'V06 Calend 01'!J29,0))</f>
        <v>0</v>
      </c>
      <c r="FJ29" s="2">
        <f>((IF((154='V06 Calend 01'!C29),('V06 Calend 01'!F29+'V06 Calend 01'!G29),0)+IF(AND(('V06 Calend 01'!E29&gt;0),(154&gt;'V06 Calend 01'!C29),(154&lt;'V06 Calend 01'!D29),(MOD((154-'V06 Calend 01'!C29),6)=0),(((154-'V06 Calend 01'!C29)/6)&lt;='V06 Calend 01'!E29)),IF((154=('V06 Calend 01'!C29+(6*'V06 Calend 01'!E29))),('V06 Calend 01'!H29-('V06 Calend 01'!I29*('V06 Calend 01'!E29-1))),'V06 Calend 01'!I29),0))+IF((154='V06 Calend 01'!D29),'V06 Calend 01'!J29,0))</f>
        <v>0</v>
      </c>
      <c r="FK29" s="2">
        <f>((IF((155='V06 Calend 01'!C29),('V06 Calend 01'!F29+'V06 Calend 01'!G29),0)+IF(AND(('V06 Calend 01'!E29&gt;0),(155&gt;'V06 Calend 01'!C29),(155&lt;'V06 Calend 01'!D29),(MOD((155-'V06 Calend 01'!C29),6)=0),(((155-'V06 Calend 01'!C29)/6)&lt;='V06 Calend 01'!E29)),IF((155=('V06 Calend 01'!C29+(6*'V06 Calend 01'!E29))),('V06 Calend 01'!H29-('V06 Calend 01'!I29*('V06 Calend 01'!E29-1))),'V06 Calend 01'!I29),0))+IF((155='V06 Calend 01'!D29),'V06 Calend 01'!J29,0))</f>
        <v>0</v>
      </c>
      <c r="FL29" s="2">
        <f>((IF((156='V06 Calend 01'!C29),('V06 Calend 01'!F29+'V06 Calend 01'!G29),0)+IF(AND(('V06 Calend 01'!E29&gt;0),(156&gt;'V06 Calend 01'!C29),(156&lt;'V06 Calend 01'!D29),(MOD((156-'V06 Calend 01'!C29),6)=0),(((156-'V06 Calend 01'!C29)/6)&lt;='V06 Calend 01'!E29)),IF((156=('V06 Calend 01'!C29+(6*'V06 Calend 01'!E29))),('V06 Calend 01'!H29-('V06 Calend 01'!I29*('V06 Calend 01'!E29-1))),'V06 Calend 01'!I29),0))+IF((156='V06 Calend 01'!D29),'V06 Calend 01'!J29,0))</f>
        <v>0</v>
      </c>
      <c r="FM29" s="2">
        <f>((IF((157='V06 Calend 01'!C29),('V06 Calend 01'!F29+'V06 Calend 01'!G29),0)+IF(AND(('V06 Calend 01'!E29&gt;0),(157&gt;'V06 Calend 01'!C29),(157&lt;'V06 Calend 01'!D29),(MOD((157-'V06 Calend 01'!C29),6)=0),(((157-'V06 Calend 01'!C29)/6)&lt;='V06 Calend 01'!E29)),IF((157=('V06 Calend 01'!C29+(6*'V06 Calend 01'!E29))),('V06 Calend 01'!H29-('V06 Calend 01'!I29*('V06 Calend 01'!E29-1))),'V06 Calend 01'!I29),0))+IF((157='V06 Calend 01'!D29),'V06 Calend 01'!J29,0))</f>
        <v>0</v>
      </c>
      <c r="FN29" s="2">
        <f>((IF((158='V06 Calend 01'!C29),('V06 Calend 01'!F29+'V06 Calend 01'!G29),0)+IF(AND(('V06 Calend 01'!E29&gt;0),(158&gt;'V06 Calend 01'!C29),(158&lt;'V06 Calend 01'!D29),(MOD((158-'V06 Calend 01'!C29),6)=0),(((158-'V06 Calend 01'!C29)/6)&lt;='V06 Calend 01'!E29)),IF((158=('V06 Calend 01'!C29+(6*'V06 Calend 01'!E29))),('V06 Calend 01'!H29-('V06 Calend 01'!I29*('V06 Calend 01'!E29-1))),'V06 Calend 01'!I29),0))+IF((158='V06 Calend 01'!D29),'V06 Calend 01'!J29,0))</f>
        <v>0</v>
      </c>
      <c r="FO29" s="2">
        <f>((IF((159='V06 Calend 01'!C29),('V06 Calend 01'!F29+'V06 Calend 01'!G29),0)+IF(AND(('V06 Calend 01'!E29&gt;0),(159&gt;'V06 Calend 01'!C29),(159&lt;'V06 Calend 01'!D29),(MOD((159-'V06 Calend 01'!C29),6)=0),(((159-'V06 Calend 01'!C29)/6)&lt;='V06 Calend 01'!E29)),IF((159=('V06 Calend 01'!C29+(6*'V06 Calend 01'!E29))),('V06 Calend 01'!H29-('V06 Calend 01'!I29*('V06 Calend 01'!E29-1))),'V06 Calend 01'!I29),0))+IF((159='V06 Calend 01'!D29),'V06 Calend 01'!J29,0))</f>
        <v>0</v>
      </c>
      <c r="FP29" s="2">
        <f>((IF((160='V06 Calend 01'!C29),('V06 Calend 01'!F29+'V06 Calend 01'!G29),0)+IF(AND(('V06 Calend 01'!E29&gt;0),(160&gt;'V06 Calend 01'!C29),(160&lt;'V06 Calend 01'!D29),(MOD((160-'V06 Calend 01'!C29),6)=0),(((160-'V06 Calend 01'!C29)/6)&lt;='V06 Calend 01'!E29)),IF((160=('V06 Calend 01'!C29+(6*'V06 Calend 01'!E29))),('V06 Calend 01'!H29-('V06 Calend 01'!I29*('V06 Calend 01'!E29-1))),'V06 Calend 01'!I29),0))+IF((160='V06 Calend 01'!D29),'V06 Calend 01'!J29,0))</f>
        <v>0</v>
      </c>
      <c r="FQ29" s="2">
        <f>((IF((161='V06 Calend 01'!C29),('V06 Calend 01'!F29+'V06 Calend 01'!G29),0)+IF(AND(('V06 Calend 01'!E29&gt;0),(161&gt;'V06 Calend 01'!C29),(161&lt;'V06 Calend 01'!D29),(MOD((161-'V06 Calend 01'!C29),6)=0),(((161-'V06 Calend 01'!C29)/6)&lt;='V06 Calend 01'!E29)),IF((161=('V06 Calend 01'!C29+(6*'V06 Calend 01'!E29))),('V06 Calend 01'!H29-('V06 Calend 01'!I29*('V06 Calend 01'!E29-1))),'V06 Calend 01'!I29),0))+IF((161='V06 Calend 01'!D29),'V06 Calend 01'!J29,0))</f>
        <v>0</v>
      </c>
      <c r="FR29" s="2">
        <f>((IF((162='V06 Calend 01'!C29),('V06 Calend 01'!F29+'V06 Calend 01'!G29),0)+IF(AND(('V06 Calend 01'!E29&gt;0),(162&gt;'V06 Calend 01'!C29),(162&lt;'V06 Calend 01'!D29),(MOD((162-'V06 Calend 01'!C29),6)=0),(((162-'V06 Calend 01'!C29)/6)&lt;='V06 Calend 01'!E29)),IF((162=('V06 Calend 01'!C29+(6*'V06 Calend 01'!E29))),('V06 Calend 01'!H29-('V06 Calend 01'!I29*('V06 Calend 01'!E29-1))),'V06 Calend 01'!I29),0))+IF((162='V06 Calend 01'!D29),'V06 Calend 01'!J29,0))</f>
        <v>0</v>
      </c>
      <c r="FS29" s="2">
        <f>((IF((163='V06 Calend 01'!C29),('V06 Calend 01'!F29+'V06 Calend 01'!G29),0)+IF(AND(('V06 Calend 01'!E29&gt;0),(163&gt;'V06 Calend 01'!C29),(163&lt;'V06 Calend 01'!D29),(MOD((163-'V06 Calend 01'!C29),6)=0),(((163-'V06 Calend 01'!C29)/6)&lt;='V06 Calend 01'!E29)),IF((163=('V06 Calend 01'!C29+(6*'V06 Calend 01'!E29))),('V06 Calend 01'!H29-('V06 Calend 01'!I29*('V06 Calend 01'!E29-1))),'V06 Calend 01'!I29),0))+IF((163='V06 Calend 01'!D29),'V06 Calend 01'!J29,0))</f>
        <v>0</v>
      </c>
      <c r="FT29" s="2">
        <f>((IF((164='V06 Calend 01'!C29),('V06 Calend 01'!F29+'V06 Calend 01'!G29),0)+IF(AND(('V06 Calend 01'!E29&gt;0),(164&gt;'V06 Calend 01'!C29),(164&lt;'V06 Calend 01'!D29),(MOD((164-'V06 Calend 01'!C29),6)=0),(((164-'V06 Calend 01'!C29)/6)&lt;='V06 Calend 01'!E29)),IF((164=('V06 Calend 01'!C29+(6*'V06 Calend 01'!E29))),('V06 Calend 01'!H29-('V06 Calend 01'!I29*('V06 Calend 01'!E29-1))),'V06 Calend 01'!I29),0))+IF((164='V06 Calend 01'!D29),'V06 Calend 01'!J29,0))</f>
        <v>0</v>
      </c>
      <c r="FU29" s="2">
        <f>((IF((165='V06 Calend 01'!C29),('V06 Calend 01'!F29+'V06 Calend 01'!G29),0)+IF(AND(('V06 Calend 01'!E29&gt;0),(165&gt;'V06 Calend 01'!C29),(165&lt;'V06 Calend 01'!D29),(MOD((165-'V06 Calend 01'!C29),6)=0),(((165-'V06 Calend 01'!C29)/6)&lt;='V06 Calend 01'!E29)),IF((165=('V06 Calend 01'!C29+(6*'V06 Calend 01'!E29))),('V06 Calend 01'!H29-('V06 Calend 01'!I29*('V06 Calend 01'!E29-1))),'V06 Calend 01'!I29),0))+IF((165='V06 Calend 01'!D29),'V06 Calend 01'!J29,0))</f>
        <v>0</v>
      </c>
      <c r="FV29" s="2">
        <f>((IF((166='V06 Calend 01'!C29),('V06 Calend 01'!F29+'V06 Calend 01'!G29),0)+IF(AND(('V06 Calend 01'!E29&gt;0),(166&gt;'V06 Calend 01'!C29),(166&lt;'V06 Calend 01'!D29),(MOD((166-'V06 Calend 01'!C29),6)=0),(((166-'V06 Calend 01'!C29)/6)&lt;='V06 Calend 01'!E29)),IF((166=('V06 Calend 01'!C29+(6*'V06 Calend 01'!E29))),('V06 Calend 01'!H29-('V06 Calend 01'!I29*('V06 Calend 01'!E29-1))),'V06 Calend 01'!I29),0))+IF((166='V06 Calend 01'!D29),'V06 Calend 01'!J29,0))</f>
        <v>0</v>
      </c>
      <c r="FW29" s="2">
        <f>((IF((167='V06 Calend 01'!C29),('V06 Calend 01'!F29+'V06 Calend 01'!G29),0)+IF(AND(('V06 Calend 01'!E29&gt;0),(167&gt;'V06 Calend 01'!C29),(167&lt;'V06 Calend 01'!D29),(MOD((167-'V06 Calend 01'!C29),6)=0),(((167-'V06 Calend 01'!C29)/6)&lt;='V06 Calend 01'!E29)),IF((167=('V06 Calend 01'!C29+(6*'V06 Calend 01'!E29))),('V06 Calend 01'!H29-('V06 Calend 01'!I29*('V06 Calend 01'!E29-1))),'V06 Calend 01'!I29),0))+IF((167='V06 Calend 01'!D29),'V06 Calend 01'!J29,0))</f>
        <v>0</v>
      </c>
      <c r="FX29" s="2">
        <f>((IF((168='V06 Calend 01'!C29),('V06 Calend 01'!F29+'V06 Calend 01'!G29),0)+IF(AND(('V06 Calend 01'!E29&gt;0),(168&gt;'V06 Calend 01'!C29),(168&lt;'V06 Calend 01'!D29),(MOD((168-'V06 Calend 01'!C29),6)=0),(((168-'V06 Calend 01'!C29)/6)&lt;='V06 Calend 01'!E29)),IF((168=('V06 Calend 01'!C29+(6*'V06 Calend 01'!E29))),('V06 Calend 01'!H29-('V06 Calend 01'!I29*('V06 Calend 01'!E29-1))),'V06 Calend 01'!I29),0))+IF((168='V06 Calend 01'!D29),'V06 Calend 01'!J29,0))</f>
        <v>0</v>
      </c>
      <c r="FY29" s="2">
        <f>((IF((169='V06 Calend 01'!C29),('V06 Calend 01'!F29+'V06 Calend 01'!G29),0)+IF(AND(('V06 Calend 01'!E29&gt;0),(169&gt;'V06 Calend 01'!C29),(169&lt;'V06 Calend 01'!D29),(MOD((169-'V06 Calend 01'!C29),6)=0),(((169-'V06 Calend 01'!C29)/6)&lt;='V06 Calend 01'!E29)),IF((169=('V06 Calend 01'!C29+(6*'V06 Calend 01'!E29))),('V06 Calend 01'!H29-('V06 Calend 01'!I29*('V06 Calend 01'!E29-1))),'V06 Calend 01'!I29),0))+IF((169='V06 Calend 01'!D29),'V06 Calend 01'!J29,0))</f>
        <v>0</v>
      </c>
      <c r="FZ29" s="2">
        <f>((IF((170='V06 Calend 01'!C29),('V06 Calend 01'!F29+'V06 Calend 01'!G29),0)+IF(AND(('V06 Calend 01'!E29&gt;0),(170&gt;'V06 Calend 01'!C29),(170&lt;'V06 Calend 01'!D29),(MOD((170-'V06 Calend 01'!C29),6)=0),(((170-'V06 Calend 01'!C29)/6)&lt;='V06 Calend 01'!E29)),IF((170=('V06 Calend 01'!C29+(6*'V06 Calend 01'!E29))),('V06 Calend 01'!H29-('V06 Calend 01'!I29*('V06 Calend 01'!E29-1))),'V06 Calend 01'!I29),0))+IF((170='V06 Calend 01'!D29),'V06 Calend 01'!J29,0))</f>
        <v>0</v>
      </c>
      <c r="GA29" s="2">
        <f>((IF((171='V06 Calend 01'!C29),('V06 Calend 01'!F29+'V06 Calend 01'!G29),0)+IF(AND(('V06 Calend 01'!E29&gt;0),(171&gt;'V06 Calend 01'!C29),(171&lt;'V06 Calend 01'!D29),(MOD((171-'V06 Calend 01'!C29),6)=0),(((171-'V06 Calend 01'!C29)/6)&lt;='V06 Calend 01'!E29)),IF((171=('V06 Calend 01'!C29+(6*'V06 Calend 01'!E29))),('V06 Calend 01'!H29-('V06 Calend 01'!I29*('V06 Calend 01'!E29-1))),'V06 Calend 01'!I29),0))+IF((171='V06 Calend 01'!D29),'V06 Calend 01'!J29,0))</f>
        <v>0</v>
      </c>
      <c r="GB29" s="2">
        <f>((IF((172='V06 Calend 01'!C29),('V06 Calend 01'!F29+'V06 Calend 01'!G29),0)+IF(AND(('V06 Calend 01'!E29&gt;0),(172&gt;'V06 Calend 01'!C29),(172&lt;'V06 Calend 01'!D29),(MOD((172-'V06 Calend 01'!C29),6)=0),(((172-'V06 Calend 01'!C29)/6)&lt;='V06 Calend 01'!E29)),IF((172=('V06 Calend 01'!C29+(6*'V06 Calend 01'!E29))),('V06 Calend 01'!H29-('V06 Calend 01'!I29*('V06 Calend 01'!E29-1))),'V06 Calend 01'!I29),0))+IF((172='V06 Calend 01'!D29),'V06 Calend 01'!J29,0))</f>
        <v>0</v>
      </c>
      <c r="GC29" s="2">
        <f>((IF((173='V06 Calend 01'!C29),('V06 Calend 01'!F29+'V06 Calend 01'!G29),0)+IF(AND(('V06 Calend 01'!E29&gt;0),(173&gt;'V06 Calend 01'!C29),(173&lt;'V06 Calend 01'!D29),(MOD((173-'V06 Calend 01'!C29),6)=0),(((173-'V06 Calend 01'!C29)/6)&lt;='V06 Calend 01'!E29)),IF((173=('V06 Calend 01'!C29+(6*'V06 Calend 01'!E29))),('V06 Calend 01'!H29-('V06 Calend 01'!I29*('V06 Calend 01'!E29-1))),'V06 Calend 01'!I29),0))+IF((173='V06 Calend 01'!D29),'V06 Calend 01'!J29,0))</f>
        <v>0</v>
      </c>
      <c r="GD29" s="2">
        <f>((IF((174='V06 Calend 01'!C29),('V06 Calend 01'!F29+'V06 Calend 01'!G29),0)+IF(AND(('V06 Calend 01'!E29&gt;0),(174&gt;'V06 Calend 01'!C29),(174&lt;'V06 Calend 01'!D29),(MOD((174-'V06 Calend 01'!C29),6)=0),(((174-'V06 Calend 01'!C29)/6)&lt;='V06 Calend 01'!E29)),IF((174=('V06 Calend 01'!C29+(6*'V06 Calend 01'!E29))),('V06 Calend 01'!H29-('V06 Calend 01'!I29*('V06 Calend 01'!E29-1))),'V06 Calend 01'!I29),0))+IF((174='V06 Calend 01'!D29),'V06 Calend 01'!J29,0))</f>
        <v>0</v>
      </c>
      <c r="GE29" s="2">
        <f>((IF((175='V06 Calend 01'!C29),('V06 Calend 01'!F29+'V06 Calend 01'!G29),0)+IF(AND(('V06 Calend 01'!E29&gt;0),(175&gt;'V06 Calend 01'!C29),(175&lt;'V06 Calend 01'!D29),(MOD((175-'V06 Calend 01'!C29),6)=0),(((175-'V06 Calend 01'!C29)/6)&lt;='V06 Calend 01'!E29)),IF((175=('V06 Calend 01'!C29+(6*'V06 Calend 01'!E29))),('V06 Calend 01'!H29-('V06 Calend 01'!I29*('V06 Calend 01'!E29-1))),'V06 Calend 01'!I29),0))+IF((175='V06 Calend 01'!D29),'V06 Calend 01'!J29,0))</f>
        <v>0</v>
      </c>
      <c r="GF29" s="2">
        <f>((IF((176='V06 Calend 01'!C29),('V06 Calend 01'!F29+'V06 Calend 01'!G29),0)+IF(AND(('V06 Calend 01'!E29&gt;0),(176&gt;'V06 Calend 01'!C29),(176&lt;'V06 Calend 01'!D29),(MOD((176-'V06 Calend 01'!C29),6)=0),(((176-'V06 Calend 01'!C29)/6)&lt;='V06 Calend 01'!E29)),IF((176=('V06 Calend 01'!C29+(6*'V06 Calend 01'!E29))),('V06 Calend 01'!H29-('V06 Calend 01'!I29*('V06 Calend 01'!E29-1))),'V06 Calend 01'!I29),0))+IF((176='V06 Calend 01'!D29),'V06 Calend 01'!J29,0))</f>
        <v>0</v>
      </c>
      <c r="GG29" s="2">
        <f>((IF((177='V06 Calend 01'!C29),('V06 Calend 01'!F29+'V06 Calend 01'!G29),0)+IF(AND(('V06 Calend 01'!E29&gt;0),(177&gt;'V06 Calend 01'!C29),(177&lt;'V06 Calend 01'!D29),(MOD((177-'V06 Calend 01'!C29),6)=0),(((177-'V06 Calend 01'!C29)/6)&lt;='V06 Calend 01'!E29)),IF((177=('V06 Calend 01'!C29+(6*'V06 Calend 01'!E29))),('V06 Calend 01'!H29-('V06 Calend 01'!I29*('V06 Calend 01'!E29-1))),'V06 Calend 01'!I29),0))+IF((177='V06 Calend 01'!D29),'V06 Calend 01'!J29,0))</f>
        <v>0</v>
      </c>
      <c r="GH29" s="2">
        <f>((IF((178='V06 Calend 01'!C29),('V06 Calend 01'!F29+'V06 Calend 01'!G29),0)+IF(AND(('V06 Calend 01'!E29&gt;0),(178&gt;'V06 Calend 01'!C29),(178&lt;'V06 Calend 01'!D29),(MOD((178-'V06 Calend 01'!C29),6)=0),(((178-'V06 Calend 01'!C29)/6)&lt;='V06 Calend 01'!E29)),IF((178=('V06 Calend 01'!C29+(6*'V06 Calend 01'!E29))),('V06 Calend 01'!H29-('V06 Calend 01'!I29*('V06 Calend 01'!E29-1))),'V06 Calend 01'!I29),0))+IF((178='V06 Calend 01'!D29),'V06 Calend 01'!J29,0))</f>
        <v>0</v>
      </c>
      <c r="GI29" s="2">
        <f>((IF((179='V06 Calend 01'!C29),('V06 Calend 01'!F29+'V06 Calend 01'!G29),0)+IF(AND(('V06 Calend 01'!E29&gt;0),(179&gt;'V06 Calend 01'!C29),(179&lt;'V06 Calend 01'!D29),(MOD((179-'V06 Calend 01'!C29),6)=0),(((179-'V06 Calend 01'!C29)/6)&lt;='V06 Calend 01'!E29)),IF((179=('V06 Calend 01'!C29+(6*'V06 Calend 01'!E29))),('V06 Calend 01'!H29-('V06 Calend 01'!I29*('V06 Calend 01'!E29-1))),'V06 Calend 01'!I29),0))+IF((179='V06 Calend 01'!D29),'V06 Calend 01'!J29,0))</f>
        <v>0</v>
      </c>
      <c r="GJ29" s="2">
        <f>((IF((180='V06 Calend 01'!C29),('V06 Calend 01'!F29+'V06 Calend 01'!G29),0)+IF(AND(('V06 Calend 01'!E29&gt;0),(180&gt;'V06 Calend 01'!C29),(180&lt;'V06 Calend 01'!D29),(MOD((180-'V06 Calend 01'!C29),6)=0),(((180-'V06 Calend 01'!C29)/6)&lt;='V06 Calend 01'!E29)),IF((180=('V06 Calend 01'!C29+(6*'V06 Calend 01'!E29))),('V06 Calend 01'!H29-('V06 Calend 01'!I29*('V06 Calend 01'!E29-1))),'V06 Calend 01'!I29),0))+IF((180='V06 Calend 01'!D29),'V06 Calend 01'!J29,0))</f>
        <v>0</v>
      </c>
    </row>
    <row r="30" spans="1:192">
      <c r="A30" s="3" t="str">
        <f>'V06 Unidades'!$A$30</f>
        <v>406</v>
      </c>
      <c r="B30" s="2">
        <f>'V06 Unidades'!$H$30</f>
        <v>433071.6</v>
      </c>
      <c r="C30" s="4">
        <f>('V06 Unidades'!$I$30+'V06 Controlos'!$B$37)</f>
        <v>16</v>
      </c>
      <c r="D30" s="4">
        <f>IF(('V06 Controlos'!$B$38&gt;0),MAX(('V06 Unidades'!$L$30+'V06 Controlos'!$B$37),(30+'V06 Controlos'!$B$38)),('V06 Unidades'!$L$30+'V06 Controlos'!$B$37))</f>
        <v>29</v>
      </c>
      <c r="E30" s="4">
        <f>MAX(0,INT(((('V06 Calend 01'!D30-'V06 Calend 01'!C30)-1)/6)))</f>
        <v>2</v>
      </c>
      <c r="F30" s="2">
        <f>ROUND(('V06 Calend 01'!B30*0.05),2)</f>
        <v>21653.58</v>
      </c>
      <c r="G30" s="2">
        <f>ROUND(('V06 Calend 01'!B30*0.2),2)</f>
        <v>86614.32</v>
      </c>
      <c r="H30" s="2">
        <f>ROUND(('V06 Calend 01'!B30*0.55),2)</f>
        <v>238189.38</v>
      </c>
      <c r="I30" s="2">
        <f>ROUND(('V06 Calend 01'!H30/MAX(1,'V06 Calend 01'!E30)),2)</f>
        <v>119094.69</v>
      </c>
      <c r="J30" s="2">
        <f>((('V06 Calend 01'!B30-'V06 Calend 01'!F30)-'V06 Calend 01'!G30)-'V06 Calend 01'!H30)</f>
        <v>86614.31999999995</v>
      </c>
      <c r="K30" s="2">
        <f>('V06 Calend 01'!B30*0.025)</f>
        <v>10826.79</v>
      </c>
      <c r="L30" t="s">
        <v>378</v>
      </c>
      <c r="M30" s="2">
        <f>((IF((1='V06 Calend 01'!C30),('V06 Calend 01'!F30+'V06 Calend 01'!G30),0)+IF(AND(('V06 Calend 01'!E30&gt;0),(1&gt;'V06 Calend 01'!C30),(1&lt;'V06 Calend 01'!D30),(MOD((1-'V06 Calend 01'!C30),6)=0),(((1-'V06 Calend 01'!C30)/6)&lt;='V06 Calend 01'!E30)),IF((1=('V06 Calend 01'!C30+(6*'V06 Calend 01'!E30))),('V06 Calend 01'!H30-('V06 Calend 01'!I30*('V06 Calend 01'!E30-1))),'V06 Calend 01'!I30),0))+IF((1='V06 Calend 01'!D30),'V06 Calend 01'!J30,0))</f>
        <v>0</v>
      </c>
      <c r="N30" s="2">
        <f>((IF((2='V06 Calend 01'!C30),('V06 Calend 01'!F30+'V06 Calend 01'!G30),0)+IF(AND(('V06 Calend 01'!E30&gt;0),(2&gt;'V06 Calend 01'!C30),(2&lt;'V06 Calend 01'!D30),(MOD((2-'V06 Calend 01'!C30),6)=0),(((2-'V06 Calend 01'!C30)/6)&lt;='V06 Calend 01'!E30)),IF((2=('V06 Calend 01'!C30+(6*'V06 Calend 01'!E30))),('V06 Calend 01'!H30-('V06 Calend 01'!I30*('V06 Calend 01'!E30-1))),'V06 Calend 01'!I30),0))+IF((2='V06 Calend 01'!D30),'V06 Calend 01'!J30,0))</f>
        <v>0</v>
      </c>
      <c r="O30" s="2">
        <f>((IF((3='V06 Calend 01'!C30),('V06 Calend 01'!F30+'V06 Calend 01'!G30),0)+IF(AND(('V06 Calend 01'!E30&gt;0),(3&gt;'V06 Calend 01'!C30),(3&lt;'V06 Calend 01'!D30),(MOD((3-'V06 Calend 01'!C30),6)=0),(((3-'V06 Calend 01'!C30)/6)&lt;='V06 Calend 01'!E30)),IF((3=('V06 Calend 01'!C30+(6*'V06 Calend 01'!E30))),('V06 Calend 01'!H30-('V06 Calend 01'!I30*('V06 Calend 01'!E30-1))),'V06 Calend 01'!I30),0))+IF((3='V06 Calend 01'!D30),'V06 Calend 01'!J30,0))</f>
        <v>0</v>
      </c>
      <c r="P30" s="2">
        <f>((IF((4='V06 Calend 01'!C30),('V06 Calend 01'!F30+'V06 Calend 01'!G30),0)+IF(AND(('V06 Calend 01'!E30&gt;0),(4&gt;'V06 Calend 01'!C30),(4&lt;'V06 Calend 01'!D30),(MOD((4-'V06 Calend 01'!C30),6)=0),(((4-'V06 Calend 01'!C30)/6)&lt;='V06 Calend 01'!E30)),IF((4=('V06 Calend 01'!C30+(6*'V06 Calend 01'!E30))),('V06 Calend 01'!H30-('V06 Calend 01'!I30*('V06 Calend 01'!E30-1))),'V06 Calend 01'!I30),0))+IF((4='V06 Calend 01'!D30),'V06 Calend 01'!J30,0))</f>
        <v>0</v>
      </c>
      <c r="Q30" s="2">
        <f>((IF((5='V06 Calend 01'!C30),('V06 Calend 01'!F30+'V06 Calend 01'!G30),0)+IF(AND(('V06 Calend 01'!E30&gt;0),(5&gt;'V06 Calend 01'!C30),(5&lt;'V06 Calend 01'!D30),(MOD((5-'V06 Calend 01'!C30),6)=0),(((5-'V06 Calend 01'!C30)/6)&lt;='V06 Calend 01'!E30)),IF((5=('V06 Calend 01'!C30+(6*'V06 Calend 01'!E30))),('V06 Calend 01'!H30-('V06 Calend 01'!I30*('V06 Calend 01'!E30-1))),'V06 Calend 01'!I30),0))+IF((5='V06 Calend 01'!D30),'V06 Calend 01'!J30,0))</f>
        <v>0</v>
      </c>
      <c r="R30" s="2">
        <f>((IF((6='V06 Calend 01'!C30),('V06 Calend 01'!F30+'V06 Calend 01'!G30),0)+IF(AND(('V06 Calend 01'!E30&gt;0),(6&gt;'V06 Calend 01'!C30),(6&lt;'V06 Calend 01'!D30),(MOD((6-'V06 Calend 01'!C30),6)=0),(((6-'V06 Calend 01'!C30)/6)&lt;='V06 Calend 01'!E30)),IF((6=('V06 Calend 01'!C30+(6*'V06 Calend 01'!E30))),('V06 Calend 01'!H30-('V06 Calend 01'!I30*('V06 Calend 01'!E30-1))),'V06 Calend 01'!I30),0))+IF((6='V06 Calend 01'!D30),'V06 Calend 01'!J30,0))</f>
        <v>0</v>
      </c>
      <c r="S30" s="2">
        <f>((IF((7='V06 Calend 01'!C30),('V06 Calend 01'!F30+'V06 Calend 01'!G30),0)+IF(AND(('V06 Calend 01'!E30&gt;0),(7&gt;'V06 Calend 01'!C30),(7&lt;'V06 Calend 01'!D30),(MOD((7-'V06 Calend 01'!C30),6)=0),(((7-'V06 Calend 01'!C30)/6)&lt;='V06 Calend 01'!E30)),IF((7=('V06 Calend 01'!C30+(6*'V06 Calend 01'!E30))),('V06 Calend 01'!H30-('V06 Calend 01'!I30*('V06 Calend 01'!E30-1))),'V06 Calend 01'!I30),0))+IF((7='V06 Calend 01'!D30),'V06 Calend 01'!J30,0))</f>
        <v>0</v>
      </c>
      <c r="T30" s="2">
        <f>((IF((8='V06 Calend 01'!C30),('V06 Calend 01'!F30+'V06 Calend 01'!G30),0)+IF(AND(('V06 Calend 01'!E30&gt;0),(8&gt;'V06 Calend 01'!C30),(8&lt;'V06 Calend 01'!D30),(MOD((8-'V06 Calend 01'!C30),6)=0),(((8-'V06 Calend 01'!C30)/6)&lt;='V06 Calend 01'!E30)),IF((8=('V06 Calend 01'!C30+(6*'V06 Calend 01'!E30))),('V06 Calend 01'!H30-('V06 Calend 01'!I30*('V06 Calend 01'!E30-1))),'V06 Calend 01'!I30),0))+IF((8='V06 Calend 01'!D30),'V06 Calend 01'!J30,0))</f>
        <v>0</v>
      </c>
      <c r="U30" s="2">
        <f>((IF((9='V06 Calend 01'!C30),('V06 Calend 01'!F30+'V06 Calend 01'!G30),0)+IF(AND(('V06 Calend 01'!E30&gt;0),(9&gt;'V06 Calend 01'!C30),(9&lt;'V06 Calend 01'!D30),(MOD((9-'V06 Calend 01'!C30),6)=0),(((9-'V06 Calend 01'!C30)/6)&lt;='V06 Calend 01'!E30)),IF((9=('V06 Calend 01'!C30+(6*'V06 Calend 01'!E30))),('V06 Calend 01'!H30-('V06 Calend 01'!I30*('V06 Calend 01'!E30-1))),'V06 Calend 01'!I30),0))+IF((9='V06 Calend 01'!D30),'V06 Calend 01'!J30,0))</f>
        <v>0</v>
      </c>
      <c r="V30" s="2">
        <f>((IF((10='V06 Calend 01'!C30),('V06 Calend 01'!F30+'V06 Calend 01'!G30),0)+IF(AND(('V06 Calend 01'!E30&gt;0),(10&gt;'V06 Calend 01'!C30),(10&lt;'V06 Calend 01'!D30),(MOD((10-'V06 Calend 01'!C30),6)=0),(((10-'V06 Calend 01'!C30)/6)&lt;='V06 Calend 01'!E30)),IF((10=('V06 Calend 01'!C30+(6*'V06 Calend 01'!E30))),('V06 Calend 01'!H30-('V06 Calend 01'!I30*('V06 Calend 01'!E30-1))),'V06 Calend 01'!I30),0))+IF((10='V06 Calend 01'!D30),'V06 Calend 01'!J30,0))</f>
        <v>0</v>
      </c>
      <c r="W30" s="2">
        <f>((IF((11='V06 Calend 01'!C30),('V06 Calend 01'!F30+'V06 Calend 01'!G30),0)+IF(AND(('V06 Calend 01'!E30&gt;0),(11&gt;'V06 Calend 01'!C30),(11&lt;'V06 Calend 01'!D30),(MOD((11-'V06 Calend 01'!C30),6)=0),(((11-'V06 Calend 01'!C30)/6)&lt;='V06 Calend 01'!E30)),IF((11=('V06 Calend 01'!C30+(6*'V06 Calend 01'!E30))),('V06 Calend 01'!H30-('V06 Calend 01'!I30*('V06 Calend 01'!E30-1))),'V06 Calend 01'!I30),0))+IF((11='V06 Calend 01'!D30),'V06 Calend 01'!J30,0))</f>
        <v>0</v>
      </c>
      <c r="X30" s="2">
        <f>((IF((12='V06 Calend 01'!C30),('V06 Calend 01'!F30+'V06 Calend 01'!G30),0)+IF(AND(('V06 Calend 01'!E30&gt;0),(12&gt;'V06 Calend 01'!C30),(12&lt;'V06 Calend 01'!D30),(MOD((12-'V06 Calend 01'!C30),6)=0),(((12-'V06 Calend 01'!C30)/6)&lt;='V06 Calend 01'!E30)),IF((12=('V06 Calend 01'!C30+(6*'V06 Calend 01'!E30))),('V06 Calend 01'!H30-('V06 Calend 01'!I30*('V06 Calend 01'!E30-1))),'V06 Calend 01'!I30),0))+IF((12='V06 Calend 01'!D30),'V06 Calend 01'!J30,0))</f>
        <v>0</v>
      </c>
      <c r="Y30" s="2">
        <f>((IF((13='V06 Calend 01'!C30),('V06 Calend 01'!F30+'V06 Calend 01'!G30),0)+IF(AND(('V06 Calend 01'!E30&gt;0),(13&gt;'V06 Calend 01'!C30),(13&lt;'V06 Calend 01'!D30),(MOD((13-'V06 Calend 01'!C30),6)=0),(((13-'V06 Calend 01'!C30)/6)&lt;='V06 Calend 01'!E30)),IF((13=('V06 Calend 01'!C30+(6*'V06 Calend 01'!E30))),('V06 Calend 01'!H30-('V06 Calend 01'!I30*('V06 Calend 01'!E30-1))),'V06 Calend 01'!I30),0))+IF((13='V06 Calend 01'!D30),'V06 Calend 01'!J30,0))</f>
        <v>0</v>
      </c>
      <c r="Z30" s="2">
        <f>((IF((14='V06 Calend 01'!C30),('V06 Calend 01'!F30+'V06 Calend 01'!G30),0)+IF(AND(('V06 Calend 01'!E30&gt;0),(14&gt;'V06 Calend 01'!C30),(14&lt;'V06 Calend 01'!D30),(MOD((14-'V06 Calend 01'!C30),6)=0),(((14-'V06 Calend 01'!C30)/6)&lt;='V06 Calend 01'!E30)),IF((14=('V06 Calend 01'!C30+(6*'V06 Calend 01'!E30))),('V06 Calend 01'!H30-('V06 Calend 01'!I30*('V06 Calend 01'!E30-1))),'V06 Calend 01'!I30),0))+IF((14='V06 Calend 01'!D30),'V06 Calend 01'!J30,0))</f>
        <v>0</v>
      </c>
      <c r="AA30" s="2">
        <f>((IF((15='V06 Calend 01'!C30),('V06 Calend 01'!F30+'V06 Calend 01'!G30),0)+IF(AND(('V06 Calend 01'!E30&gt;0),(15&gt;'V06 Calend 01'!C30),(15&lt;'V06 Calend 01'!D30),(MOD((15-'V06 Calend 01'!C30),6)=0),(((15-'V06 Calend 01'!C30)/6)&lt;='V06 Calend 01'!E30)),IF((15=('V06 Calend 01'!C30+(6*'V06 Calend 01'!E30))),('V06 Calend 01'!H30-('V06 Calend 01'!I30*('V06 Calend 01'!E30-1))),'V06 Calend 01'!I30),0))+IF((15='V06 Calend 01'!D30),'V06 Calend 01'!J30,0))</f>
        <v>0</v>
      </c>
      <c r="AB30" s="2">
        <f>((IF((16='V06 Calend 01'!C30),('V06 Calend 01'!F30+'V06 Calend 01'!G30),0)+IF(AND(('V06 Calend 01'!E30&gt;0),(16&gt;'V06 Calend 01'!C30),(16&lt;'V06 Calend 01'!D30),(MOD((16-'V06 Calend 01'!C30),6)=0),(((16-'V06 Calend 01'!C30)/6)&lt;='V06 Calend 01'!E30)),IF((16=('V06 Calend 01'!C30+(6*'V06 Calend 01'!E30))),('V06 Calend 01'!H30-('V06 Calend 01'!I30*('V06 Calend 01'!E30-1))),'V06 Calend 01'!I30),0))+IF((16='V06 Calend 01'!D30),'V06 Calend 01'!J30,0))</f>
        <v>108267.90000000001</v>
      </c>
      <c r="AC30" s="2">
        <f>((IF((17='V06 Calend 01'!C30),('V06 Calend 01'!F30+'V06 Calend 01'!G30),0)+IF(AND(('V06 Calend 01'!E30&gt;0),(17&gt;'V06 Calend 01'!C30),(17&lt;'V06 Calend 01'!D30),(MOD((17-'V06 Calend 01'!C30),6)=0),(((17-'V06 Calend 01'!C30)/6)&lt;='V06 Calend 01'!E30)),IF((17=('V06 Calend 01'!C30+(6*'V06 Calend 01'!E30))),('V06 Calend 01'!H30-('V06 Calend 01'!I30*('V06 Calend 01'!E30-1))),'V06 Calend 01'!I30),0))+IF((17='V06 Calend 01'!D30),'V06 Calend 01'!J30,0))</f>
        <v>0</v>
      </c>
      <c r="AD30" s="2">
        <f>((IF((18='V06 Calend 01'!C30),('V06 Calend 01'!F30+'V06 Calend 01'!G30),0)+IF(AND(('V06 Calend 01'!E30&gt;0),(18&gt;'V06 Calend 01'!C30),(18&lt;'V06 Calend 01'!D30),(MOD((18-'V06 Calend 01'!C30),6)=0),(((18-'V06 Calend 01'!C30)/6)&lt;='V06 Calend 01'!E30)),IF((18=('V06 Calend 01'!C30+(6*'V06 Calend 01'!E30))),('V06 Calend 01'!H30-('V06 Calend 01'!I30*('V06 Calend 01'!E30-1))),'V06 Calend 01'!I30),0))+IF((18='V06 Calend 01'!D30),'V06 Calend 01'!J30,0))</f>
        <v>0</v>
      </c>
      <c r="AE30" s="2">
        <f>((IF((19='V06 Calend 01'!C30),('V06 Calend 01'!F30+'V06 Calend 01'!G30),0)+IF(AND(('V06 Calend 01'!E30&gt;0),(19&gt;'V06 Calend 01'!C30),(19&lt;'V06 Calend 01'!D30),(MOD((19-'V06 Calend 01'!C30),6)=0),(((19-'V06 Calend 01'!C30)/6)&lt;='V06 Calend 01'!E30)),IF((19=('V06 Calend 01'!C30+(6*'V06 Calend 01'!E30))),('V06 Calend 01'!H30-('V06 Calend 01'!I30*('V06 Calend 01'!E30-1))),'V06 Calend 01'!I30),0))+IF((19='V06 Calend 01'!D30),'V06 Calend 01'!J30,0))</f>
        <v>0</v>
      </c>
      <c r="AF30" s="2">
        <f>((IF((20='V06 Calend 01'!C30),('V06 Calend 01'!F30+'V06 Calend 01'!G30),0)+IF(AND(('V06 Calend 01'!E30&gt;0),(20&gt;'V06 Calend 01'!C30),(20&lt;'V06 Calend 01'!D30),(MOD((20-'V06 Calend 01'!C30),6)=0),(((20-'V06 Calend 01'!C30)/6)&lt;='V06 Calend 01'!E30)),IF((20=('V06 Calend 01'!C30+(6*'V06 Calend 01'!E30))),('V06 Calend 01'!H30-('V06 Calend 01'!I30*('V06 Calend 01'!E30-1))),'V06 Calend 01'!I30),0))+IF((20='V06 Calend 01'!D30),'V06 Calend 01'!J30,0))</f>
        <v>0</v>
      </c>
      <c r="AG30" s="2">
        <f>((IF((21='V06 Calend 01'!C30),('V06 Calend 01'!F30+'V06 Calend 01'!G30),0)+IF(AND(('V06 Calend 01'!E30&gt;0),(21&gt;'V06 Calend 01'!C30),(21&lt;'V06 Calend 01'!D30),(MOD((21-'V06 Calend 01'!C30),6)=0),(((21-'V06 Calend 01'!C30)/6)&lt;='V06 Calend 01'!E30)),IF((21=('V06 Calend 01'!C30+(6*'V06 Calend 01'!E30))),('V06 Calend 01'!H30-('V06 Calend 01'!I30*('V06 Calend 01'!E30-1))),'V06 Calend 01'!I30),0))+IF((21='V06 Calend 01'!D30),'V06 Calend 01'!J30,0))</f>
        <v>0</v>
      </c>
      <c r="AH30" s="2">
        <f>((IF((22='V06 Calend 01'!C30),('V06 Calend 01'!F30+'V06 Calend 01'!G30),0)+IF(AND(('V06 Calend 01'!E30&gt;0),(22&gt;'V06 Calend 01'!C30),(22&lt;'V06 Calend 01'!D30),(MOD((22-'V06 Calend 01'!C30),6)=0),(((22-'V06 Calend 01'!C30)/6)&lt;='V06 Calend 01'!E30)),IF((22=('V06 Calend 01'!C30+(6*'V06 Calend 01'!E30))),('V06 Calend 01'!H30-('V06 Calend 01'!I30*('V06 Calend 01'!E30-1))),'V06 Calend 01'!I30),0))+IF((22='V06 Calend 01'!D30),'V06 Calend 01'!J30,0))</f>
        <v>119094.69</v>
      </c>
      <c r="AI30" s="2">
        <f>((IF((23='V06 Calend 01'!C30),('V06 Calend 01'!F30+'V06 Calend 01'!G30),0)+IF(AND(('V06 Calend 01'!E30&gt;0),(23&gt;'V06 Calend 01'!C30),(23&lt;'V06 Calend 01'!D30),(MOD((23-'V06 Calend 01'!C30),6)=0),(((23-'V06 Calend 01'!C30)/6)&lt;='V06 Calend 01'!E30)),IF((23=('V06 Calend 01'!C30+(6*'V06 Calend 01'!E30))),('V06 Calend 01'!H30-('V06 Calend 01'!I30*('V06 Calend 01'!E30-1))),'V06 Calend 01'!I30),0))+IF((23='V06 Calend 01'!D30),'V06 Calend 01'!J30,0))</f>
        <v>0</v>
      </c>
      <c r="AJ30" s="2">
        <f>((IF((24='V06 Calend 01'!C30),('V06 Calend 01'!F30+'V06 Calend 01'!G30),0)+IF(AND(('V06 Calend 01'!E30&gt;0),(24&gt;'V06 Calend 01'!C30),(24&lt;'V06 Calend 01'!D30),(MOD((24-'V06 Calend 01'!C30),6)=0),(((24-'V06 Calend 01'!C30)/6)&lt;='V06 Calend 01'!E30)),IF((24=('V06 Calend 01'!C30+(6*'V06 Calend 01'!E30))),('V06 Calend 01'!H30-('V06 Calend 01'!I30*('V06 Calend 01'!E30-1))),'V06 Calend 01'!I30),0))+IF((24='V06 Calend 01'!D30),'V06 Calend 01'!J30,0))</f>
        <v>0</v>
      </c>
      <c r="AK30" s="2">
        <f>((IF((25='V06 Calend 01'!C30),('V06 Calend 01'!F30+'V06 Calend 01'!G30),0)+IF(AND(('V06 Calend 01'!E30&gt;0),(25&gt;'V06 Calend 01'!C30),(25&lt;'V06 Calend 01'!D30),(MOD((25-'V06 Calend 01'!C30),6)=0),(((25-'V06 Calend 01'!C30)/6)&lt;='V06 Calend 01'!E30)),IF((25=('V06 Calend 01'!C30+(6*'V06 Calend 01'!E30))),('V06 Calend 01'!H30-('V06 Calend 01'!I30*('V06 Calend 01'!E30-1))),'V06 Calend 01'!I30),0))+IF((25='V06 Calend 01'!D30),'V06 Calend 01'!J30,0))</f>
        <v>0</v>
      </c>
      <c r="AL30" s="2">
        <f>((IF((26='V06 Calend 01'!C30),('V06 Calend 01'!F30+'V06 Calend 01'!G30),0)+IF(AND(('V06 Calend 01'!E30&gt;0),(26&gt;'V06 Calend 01'!C30),(26&lt;'V06 Calend 01'!D30),(MOD((26-'V06 Calend 01'!C30),6)=0),(((26-'V06 Calend 01'!C30)/6)&lt;='V06 Calend 01'!E30)),IF((26=('V06 Calend 01'!C30+(6*'V06 Calend 01'!E30))),('V06 Calend 01'!H30-('V06 Calend 01'!I30*('V06 Calend 01'!E30-1))),'V06 Calend 01'!I30),0))+IF((26='V06 Calend 01'!D30),'V06 Calend 01'!J30,0))</f>
        <v>0</v>
      </c>
      <c r="AM30" s="2">
        <f>((IF((27='V06 Calend 01'!C30),('V06 Calend 01'!F30+'V06 Calend 01'!G30),0)+IF(AND(('V06 Calend 01'!E30&gt;0),(27&gt;'V06 Calend 01'!C30),(27&lt;'V06 Calend 01'!D30),(MOD((27-'V06 Calend 01'!C30),6)=0),(((27-'V06 Calend 01'!C30)/6)&lt;='V06 Calend 01'!E30)),IF((27=('V06 Calend 01'!C30+(6*'V06 Calend 01'!E30))),('V06 Calend 01'!H30-('V06 Calend 01'!I30*('V06 Calend 01'!E30-1))),'V06 Calend 01'!I30),0))+IF((27='V06 Calend 01'!D30),'V06 Calend 01'!J30,0))</f>
        <v>0</v>
      </c>
      <c r="AN30" s="2">
        <f>((IF((28='V06 Calend 01'!C30),('V06 Calend 01'!F30+'V06 Calend 01'!G30),0)+IF(AND(('V06 Calend 01'!E30&gt;0),(28&gt;'V06 Calend 01'!C30),(28&lt;'V06 Calend 01'!D30),(MOD((28-'V06 Calend 01'!C30),6)=0),(((28-'V06 Calend 01'!C30)/6)&lt;='V06 Calend 01'!E30)),IF((28=('V06 Calend 01'!C30+(6*'V06 Calend 01'!E30))),('V06 Calend 01'!H30-('V06 Calend 01'!I30*('V06 Calend 01'!E30-1))),'V06 Calend 01'!I30),0))+IF((28='V06 Calend 01'!D30),'V06 Calend 01'!J30,0))</f>
        <v>119094.69</v>
      </c>
      <c r="AO30" s="2">
        <f>((IF((29='V06 Calend 01'!C30),('V06 Calend 01'!F30+'V06 Calend 01'!G30),0)+IF(AND(('V06 Calend 01'!E30&gt;0),(29&gt;'V06 Calend 01'!C30),(29&lt;'V06 Calend 01'!D30),(MOD((29-'V06 Calend 01'!C30),6)=0),(((29-'V06 Calend 01'!C30)/6)&lt;='V06 Calend 01'!E30)),IF((29=('V06 Calend 01'!C30+(6*'V06 Calend 01'!E30))),('V06 Calend 01'!H30-('V06 Calend 01'!I30*('V06 Calend 01'!E30-1))),'V06 Calend 01'!I30),0))+IF((29='V06 Calend 01'!D30),'V06 Calend 01'!J30,0))</f>
        <v>86614.31999999995</v>
      </c>
      <c r="AP30" s="2">
        <f>((IF((30='V06 Calend 01'!C30),('V06 Calend 01'!F30+'V06 Calend 01'!G30),0)+IF(AND(('V06 Calend 01'!E30&gt;0),(30&gt;'V06 Calend 01'!C30),(30&lt;'V06 Calend 01'!D30),(MOD((30-'V06 Calend 01'!C30),6)=0),(((30-'V06 Calend 01'!C30)/6)&lt;='V06 Calend 01'!E30)),IF((30=('V06 Calend 01'!C30+(6*'V06 Calend 01'!E30))),('V06 Calend 01'!H30-('V06 Calend 01'!I30*('V06 Calend 01'!E30-1))),'V06 Calend 01'!I30),0))+IF((30='V06 Calend 01'!D30),'V06 Calend 01'!J30,0))</f>
        <v>0</v>
      </c>
      <c r="AQ30" s="2">
        <f>((IF((31='V06 Calend 01'!C30),('V06 Calend 01'!F30+'V06 Calend 01'!G30),0)+IF(AND(('V06 Calend 01'!E30&gt;0),(31&gt;'V06 Calend 01'!C30),(31&lt;'V06 Calend 01'!D30),(MOD((31-'V06 Calend 01'!C30),6)=0),(((31-'V06 Calend 01'!C30)/6)&lt;='V06 Calend 01'!E30)),IF((31=('V06 Calend 01'!C30+(6*'V06 Calend 01'!E30))),('V06 Calend 01'!H30-('V06 Calend 01'!I30*('V06 Calend 01'!E30-1))),'V06 Calend 01'!I30),0))+IF((31='V06 Calend 01'!D30),'V06 Calend 01'!J30,0))</f>
        <v>0</v>
      </c>
      <c r="AR30" s="2">
        <f>((IF((32='V06 Calend 01'!C30),('V06 Calend 01'!F30+'V06 Calend 01'!G30),0)+IF(AND(('V06 Calend 01'!E30&gt;0),(32&gt;'V06 Calend 01'!C30),(32&lt;'V06 Calend 01'!D30),(MOD((32-'V06 Calend 01'!C30),6)=0),(((32-'V06 Calend 01'!C30)/6)&lt;='V06 Calend 01'!E30)),IF((32=('V06 Calend 01'!C30+(6*'V06 Calend 01'!E30))),('V06 Calend 01'!H30-('V06 Calend 01'!I30*('V06 Calend 01'!E30-1))),'V06 Calend 01'!I30),0))+IF((32='V06 Calend 01'!D30),'V06 Calend 01'!J30,0))</f>
        <v>0</v>
      </c>
      <c r="AS30" s="2">
        <f>((IF((33='V06 Calend 01'!C30),('V06 Calend 01'!F30+'V06 Calend 01'!G30),0)+IF(AND(('V06 Calend 01'!E30&gt;0),(33&gt;'V06 Calend 01'!C30),(33&lt;'V06 Calend 01'!D30),(MOD((33-'V06 Calend 01'!C30),6)=0),(((33-'V06 Calend 01'!C30)/6)&lt;='V06 Calend 01'!E30)),IF((33=('V06 Calend 01'!C30+(6*'V06 Calend 01'!E30))),('V06 Calend 01'!H30-('V06 Calend 01'!I30*('V06 Calend 01'!E30-1))),'V06 Calend 01'!I30),0))+IF((33='V06 Calend 01'!D30),'V06 Calend 01'!J30,0))</f>
        <v>0</v>
      </c>
      <c r="AT30" s="2">
        <f>((IF((34='V06 Calend 01'!C30),('V06 Calend 01'!F30+'V06 Calend 01'!G30),0)+IF(AND(('V06 Calend 01'!E30&gt;0),(34&gt;'V06 Calend 01'!C30),(34&lt;'V06 Calend 01'!D30),(MOD((34-'V06 Calend 01'!C30),6)=0),(((34-'V06 Calend 01'!C30)/6)&lt;='V06 Calend 01'!E30)),IF((34=('V06 Calend 01'!C30+(6*'V06 Calend 01'!E30))),('V06 Calend 01'!H30-('V06 Calend 01'!I30*('V06 Calend 01'!E30-1))),'V06 Calend 01'!I30),0))+IF((34='V06 Calend 01'!D30),'V06 Calend 01'!J30,0))</f>
        <v>0</v>
      </c>
      <c r="AU30" s="2">
        <f>((IF((35='V06 Calend 01'!C30),('V06 Calend 01'!F30+'V06 Calend 01'!G30),0)+IF(AND(('V06 Calend 01'!E30&gt;0),(35&gt;'V06 Calend 01'!C30),(35&lt;'V06 Calend 01'!D30),(MOD((35-'V06 Calend 01'!C30),6)=0),(((35-'V06 Calend 01'!C30)/6)&lt;='V06 Calend 01'!E30)),IF((35=('V06 Calend 01'!C30+(6*'V06 Calend 01'!E30))),('V06 Calend 01'!H30-('V06 Calend 01'!I30*('V06 Calend 01'!E30-1))),'V06 Calend 01'!I30),0))+IF((35='V06 Calend 01'!D30),'V06 Calend 01'!J30,0))</f>
        <v>0</v>
      </c>
      <c r="AV30" s="2">
        <f>((IF((36='V06 Calend 01'!C30),('V06 Calend 01'!F30+'V06 Calend 01'!G30),0)+IF(AND(('V06 Calend 01'!E30&gt;0),(36&gt;'V06 Calend 01'!C30),(36&lt;'V06 Calend 01'!D30),(MOD((36-'V06 Calend 01'!C30),6)=0),(((36-'V06 Calend 01'!C30)/6)&lt;='V06 Calend 01'!E30)),IF((36=('V06 Calend 01'!C30+(6*'V06 Calend 01'!E30))),('V06 Calend 01'!H30-('V06 Calend 01'!I30*('V06 Calend 01'!E30-1))),'V06 Calend 01'!I30),0))+IF((36='V06 Calend 01'!D30),'V06 Calend 01'!J30,0))</f>
        <v>0</v>
      </c>
      <c r="AW30" s="2">
        <f>((IF((37='V06 Calend 01'!C30),('V06 Calend 01'!F30+'V06 Calend 01'!G30),0)+IF(AND(('V06 Calend 01'!E30&gt;0),(37&gt;'V06 Calend 01'!C30),(37&lt;'V06 Calend 01'!D30),(MOD((37-'V06 Calend 01'!C30),6)=0),(((37-'V06 Calend 01'!C30)/6)&lt;='V06 Calend 01'!E30)),IF((37=('V06 Calend 01'!C30+(6*'V06 Calend 01'!E30))),('V06 Calend 01'!H30-('V06 Calend 01'!I30*('V06 Calend 01'!E30-1))),'V06 Calend 01'!I30),0))+IF((37='V06 Calend 01'!D30),'V06 Calend 01'!J30,0))</f>
        <v>0</v>
      </c>
      <c r="AX30" s="2">
        <f>((IF((38='V06 Calend 01'!C30),('V06 Calend 01'!F30+'V06 Calend 01'!G30),0)+IF(AND(('V06 Calend 01'!E30&gt;0),(38&gt;'V06 Calend 01'!C30),(38&lt;'V06 Calend 01'!D30),(MOD((38-'V06 Calend 01'!C30),6)=0),(((38-'V06 Calend 01'!C30)/6)&lt;='V06 Calend 01'!E30)),IF((38=('V06 Calend 01'!C30+(6*'V06 Calend 01'!E30))),('V06 Calend 01'!H30-('V06 Calend 01'!I30*('V06 Calend 01'!E30-1))),'V06 Calend 01'!I30),0))+IF((38='V06 Calend 01'!D30),'V06 Calend 01'!J30,0))</f>
        <v>0</v>
      </c>
      <c r="AY30" s="2">
        <f>((IF((39='V06 Calend 01'!C30),('V06 Calend 01'!F30+'V06 Calend 01'!G30),0)+IF(AND(('V06 Calend 01'!E30&gt;0),(39&gt;'V06 Calend 01'!C30),(39&lt;'V06 Calend 01'!D30),(MOD((39-'V06 Calend 01'!C30),6)=0),(((39-'V06 Calend 01'!C30)/6)&lt;='V06 Calend 01'!E30)),IF((39=('V06 Calend 01'!C30+(6*'V06 Calend 01'!E30))),('V06 Calend 01'!H30-('V06 Calend 01'!I30*('V06 Calend 01'!E30-1))),'V06 Calend 01'!I30),0))+IF((39='V06 Calend 01'!D30),'V06 Calend 01'!J30,0))</f>
        <v>0</v>
      </c>
      <c r="AZ30" s="2">
        <f>((IF((40='V06 Calend 01'!C30),('V06 Calend 01'!F30+'V06 Calend 01'!G30),0)+IF(AND(('V06 Calend 01'!E30&gt;0),(40&gt;'V06 Calend 01'!C30),(40&lt;'V06 Calend 01'!D30),(MOD((40-'V06 Calend 01'!C30),6)=0),(((40-'V06 Calend 01'!C30)/6)&lt;='V06 Calend 01'!E30)),IF((40=('V06 Calend 01'!C30+(6*'V06 Calend 01'!E30))),('V06 Calend 01'!H30-('V06 Calend 01'!I30*('V06 Calend 01'!E30-1))),'V06 Calend 01'!I30),0))+IF((40='V06 Calend 01'!D30),'V06 Calend 01'!J30,0))</f>
        <v>0</v>
      </c>
      <c r="BA30" s="2">
        <f>((IF((41='V06 Calend 01'!C30),('V06 Calend 01'!F30+'V06 Calend 01'!G30),0)+IF(AND(('V06 Calend 01'!E30&gt;0),(41&gt;'V06 Calend 01'!C30),(41&lt;'V06 Calend 01'!D30),(MOD((41-'V06 Calend 01'!C30),6)=0),(((41-'V06 Calend 01'!C30)/6)&lt;='V06 Calend 01'!E30)),IF((41=('V06 Calend 01'!C30+(6*'V06 Calend 01'!E30))),('V06 Calend 01'!H30-('V06 Calend 01'!I30*('V06 Calend 01'!E30-1))),'V06 Calend 01'!I30),0))+IF((41='V06 Calend 01'!D30),'V06 Calend 01'!J30,0))</f>
        <v>0</v>
      </c>
      <c r="BB30" s="2">
        <f>((IF((42='V06 Calend 01'!C30),('V06 Calend 01'!F30+'V06 Calend 01'!G30),0)+IF(AND(('V06 Calend 01'!E30&gt;0),(42&gt;'V06 Calend 01'!C30),(42&lt;'V06 Calend 01'!D30),(MOD((42-'V06 Calend 01'!C30),6)=0),(((42-'V06 Calend 01'!C30)/6)&lt;='V06 Calend 01'!E30)),IF((42=('V06 Calend 01'!C30+(6*'V06 Calend 01'!E30))),('V06 Calend 01'!H30-('V06 Calend 01'!I30*('V06 Calend 01'!E30-1))),'V06 Calend 01'!I30),0))+IF((42='V06 Calend 01'!D30),'V06 Calend 01'!J30,0))</f>
        <v>0</v>
      </c>
      <c r="BC30" s="2">
        <f>((IF((43='V06 Calend 01'!C30),('V06 Calend 01'!F30+'V06 Calend 01'!G30),0)+IF(AND(('V06 Calend 01'!E30&gt;0),(43&gt;'V06 Calend 01'!C30),(43&lt;'V06 Calend 01'!D30),(MOD((43-'V06 Calend 01'!C30),6)=0),(((43-'V06 Calend 01'!C30)/6)&lt;='V06 Calend 01'!E30)),IF((43=('V06 Calend 01'!C30+(6*'V06 Calend 01'!E30))),('V06 Calend 01'!H30-('V06 Calend 01'!I30*('V06 Calend 01'!E30-1))),'V06 Calend 01'!I30),0))+IF((43='V06 Calend 01'!D30),'V06 Calend 01'!J30,0))</f>
        <v>0</v>
      </c>
      <c r="BD30" s="2">
        <f>((IF((44='V06 Calend 01'!C30),('V06 Calend 01'!F30+'V06 Calend 01'!G30),0)+IF(AND(('V06 Calend 01'!E30&gt;0),(44&gt;'V06 Calend 01'!C30),(44&lt;'V06 Calend 01'!D30),(MOD((44-'V06 Calend 01'!C30),6)=0),(((44-'V06 Calend 01'!C30)/6)&lt;='V06 Calend 01'!E30)),IF((44=('V06 Calend 01'!C30+(6*'V06 Calend 01'!E30))),('V06 Calend 01'!H30-('V06 Calend 01'!I30*('V06 Calend 01'!E30-1))),'V06 Calend 01'!I30),0))+IF((44='V06 Calend 01'!D30),'V06 Calend 01'!J30,0))</f>
        <v>0</v>
      </c>
      <c r="BE30" s="2">
        <f>((IF((45='V06 Calend 01'!C30),('V06 Calend 01'!F30+'V06 Calend 01'!G30),0)+IF(AND(('V06 Calend 01'!E30&gt;0),(45&gt;'V06 Calend 01'!C30),(45&lt;'V06 Calend 01'!D30),(MOD((45-'V06 Calend 01'!C30),6)=0),(((45-'V06 Calend 01'!C30)/6)&lt;='V06 Calend 01'!E30)),IF((45=('V06 Calend 01'!C30+(6*'V06 Calend 01'!E30))),('V06 Calend 01'!H30-('V06 Calend 01'!I30*('V06 Calend 01'!E30-1))),'V06 Calend 01'!I30),0))+IF((45='V06 Calend 01'!D30),'V06 Calend 01'!J30,0))</f>
        <v>0</v>
      </c>
      <c r="BF30" s="2">
        <f>((IF((46='V06 Calend 01'!C30),('V06 Calend 01'!F30+'V06 Calend 01'!G30),0)+IF(AND(('V06 Calend 01'!E30&gt;0),(46&gt;'V06 Calend 01'!C30),(46&lt;'V06 Calend 01'!D30),(MOD((46-'V06 Calend 01'!C30),6)=0),(((46-'V06 Calend 01'!C30)/6)&lt;='V06 Calend 01'!E30)),IF((46=('V06 Calend 01'!C30+(6*'V06 Calend 01'!E30))),('V06 Calend 01'!H30-('V06 Calend 01'!I30*('V06 Calend 01'!E30-1))),'V06 Calend 01'!I30),0))+IF((46='V06 Calend 01'!D30),'V06 Calend 01'!J30,0))</f>
        <v>0</v>
      </c>
      <c r="BG30" s="2">
        <f>((IF((47='V06 Calend 01'!C30),('V06 Calend 01'!F30+'V06 Calend 01'!G30),0)+IF(AND(('V06 Calend 01'!E30&gt;0),(47&gt;'V06 Calend 01'!C30),(47&lt;'V06 Calend 01'!D30),(MOD((47-'V06 Calend 01'!C30),6)=0),(((47-'V06 Calend 01'!C30)/6)&lt;='V06 Calend 01'!E30)),IF((47=('V06 Calend 01'!C30+(6*'V06 Calend 01'!E30))),('V06 Calend 01'!H30-('V06 Calend 01'!I30*('V06 Calend 01'!E30-1))),'V06 Calend 01'!I30),0))+IF((47='V06 Calend 01'!D30),'V06 Calend 01'!J30,0))</f>
        <v>0</v>
      </c>
      <c r="BH30" s="2">
        <f>((IF((48='V06 Calend 01'!C30),('V06 Calend 01'!F30+'V06 Calend 01'!G30),0)+IF(AND(('V06 Calend 01'!E30&gt;0),(48&gt;'V06 Calend 01'!C30),(48&lt;'V06 Calend 01'!D30),(MOD((48-'V06 Calend 01'!C30),6)=0),(((48-'V06 Calend 01'!C30)/6)&lt;='V06 Calend 01'!E30)),IF((48=('V06 Calend 01'!C30+(6*'V06 Calend 01'!E30))),('V06 Calend 01'!H30-('V06 Calend 01'!I30*('V06 Calend 01'!E30-1))),'V06 Calend 01'!I30),0))+IF((48='V06 Calend 01'!D30),'V06 Calend 01'!J30,0))</f>
        <v>0</v>
      </c>
      <c r="BI30" s="2">
        <f>((IF((49='V06 Calend 01'!C30),('V06 Calend 01'!F30+'V06 Calend 01'!G30),0)+IF(AND(('V06 Calend 01'!E30&gt;0),(49&gt;'V06 Calend 01'!C30),(49&lt;'V06 Calend 01'!D30),(MOD((49-'V06 Calend 01'!C30),6)=0),(((49-'V06 Calend 01'!C30)/6)&lt;='V06 Calend 01'!E30)),IF((49=('V06 Calend 01'!C30+(6*'V06 Calend 01'!E30))),('V06 Calend 01'!H30-('V06 Calend 01'!I30*('V06 Calend 01'!E30-1))),'V06 Calend 01'!I30),0))+IF((49='V06 Calend 01'!D30),'V06 Calend 01'!J30,0))</f>
        <v>0</v>
      </c>
      <c r="BJ30" s="2">
        <f>((IF((50='V06 Calend 01'!C30),('V06 Calend 01'!F30+'V06 Calend 01'!G30),0)+IF(AND(('V06 Calend 01'!E30&gt;0),(50&gt;'V06 Calend 01'!C30),(50&lt;'V06 Calend 01'!D30),(MOD((50-'V06 Calend 01'!C30),6)=0),(((50-'V06 Calend 01'!C30)/6)&lt;='V06 Calend 01'!E30)),IF((50=('V06 Calend 01'!C30+(6*'V06 Calend 01'!E30))),('V06 Calend 01'!H30-('V06 Calend 01'!I30*('V06 Calend 01'!E30-1))),'V06 Calend 01'!I30),0))+IF((50='V06 Calend 01'!D30),'V06 Calend 01'!J30,0))</f>
        <v>0</v>
      </c>
      <c r="BK30" s="2">
        <f>((IF((51='V06 Calend 01'!C30),('V06 Calend 01'!F30+'V06 Calend 01'!G30),0)+IF(AND(('V06 Calend 01'!E30&gt;0),(51&gt;'V06 Calend 01'!C30),(51&lt;'V06 Calend 01'!D30),(MOD((51-'V06 Calend 01'!C30),6)=0),(((51-'V06 Calend 01'!C30)/6)&lt;='V06 Calend 01'!E30)),IF((51=('V06 Calend 01'!C30+(6*'V06 Calend 01'!E30))),('V06 Calend 01'!H30-('V06 Calend 01'!I30*('V06 Calend 01'!E30-1))),'V06 Calend 01'!I30),0))+IF((51='V06 Calend 01'!D30),'V06 Calend 01'!J30,0))</f>
        <v>0</v>
      </c>
      <c r="BL30" s="2">
        <f>((IF((52='V06 Calend 01'!C30),('V06 Calend 01'!F30+'V06 Calend 01'!G30),0)+IF(AND(('V06 Calend 01'!E30&gt;0),(52&gt;'V06 Calend 01'!C30),(52&lt;'V06 Calend 01'!D30),(MOD((52-'V06 Calend 01'!C30),6)=0),(((52-'V06 Calend 01'!C30)/6)&lt;='V06 Calend 01'!E30)),IF((52=('V06 Calend 01'!C30+(6*'V06 Calend 01'!E30))),('V06 Calend 01'!H30-('V06 Calend 01'!I30*('V06 Calend 01'!E30-1))),'V06 Calend 01'!I30),0))+IF((52='V06 Calend 01'!D30),'V06 Calend 01'!J30,0))</f>
        <v>0</v>
      </c>
      <c r="BM30" s="2">
        <f>((IF((53='V06 Calend 01'!C30),('V06 Calend 01'!F30+'V06 Calend 01'!G30),0)+IF(AND(('V06 Calend 01'!E30&gt;0),(53&gt;'V06 Calend 01'!C30),(53&lt;'V06 Calend 01'!D30),(MOD((53-'V06 Calend 01'!C30),6)=0),(((53-'V06 Calend 01'!C30)/6)&lt;='V06 Calend 01'!E30)),IF((53=('V06 Calend 01'!C30+(6*'V06 Calend 01'!E30))),('V06 Calend 01'!H30-('V06 Calend 01'!I30*('V06 Calend 01'!E30-1))),'V06 Calend 01'!I30),0))+IF((53='V06 Calend 01'!D30),'V06 Calend 01'!J30,0))</f>
        <v>0</v>
      </c>
      <c r="BN30" s="2">
        <f>((IF((54='V06 Calend 01'!C30),('V06 Calend 01'!F30+'V06 Calend 01'!G30),0)+IF(AND(('V06 Calend 01'!E30&gt;0),(54&gt;'V06 Calend 01'!C30),(54&lt;'V06 Calend 01'!D30),(MOD((54-'V06 Calend 01'!C30),6)=0),(((54-'V06 Calend 01'!C30)/6)&lt;='V06 Calend 01'!E30)),IF((54=('V06 Calend 01'!C30+(6*'V06 Calend 01'!E30))),('V06 Calend 01'!H30-('V06 Calend 01'!I30*('V06 Calend 01'!E30-1))),'V06 Calend 01'!I30),0))+IF((54='V06 Calend 01'!D30),'V06 Calend 01'!J30,0))</f>
        <v>0</v>
      </c>
      <c r="BO30" s="2">
        <f>((IF((55='V06 Calend 01'!C30),('V06 Calend 01'!F30+'V06 Calend 01'!G30),0)+IF(AND(('V06 Calend 01'!E30&gt;0),(55&gt;'V06 Calend 01'!C30),(55&lt;'V06 Calend 01'!D30),(MOD((55-'V06 Calend 01'!C30),6)=0),(((55-'V06 Calend 01'!C30)/6)&lt;='V06 Calend 01'!E30)),IF((55=('V06 Calend 01'!C30+(6*'V06 Calend 01'!E30))),('V06 Calend 01'!H30-('V06 Calend 01'!I30*('V06 Calend 01'!E30-1))),'V06 Calend 01'!I30),0))+IF((55='V06 Calend 01'!D30),'V06 Calend 01'!J30,0))</f>
        <v>0</v>
      </c>
      <c r="BP30" s="2">
        <f>((IF((56='V06 Calend 01'!C30),('V06 Calend 01'!F30+'V06 Calend 01'!G30),0)+IF(AND(('V06 Calend 01'!E30&gt;0),(56&gt;'V06 Calend 01'!C30),(56&lt;'V06 Calend 01'!D30),(MOD((56-'V06 Calend 01'!C30),6)=0),(((56-'V06 Calend 01'!C30)/6)&lt;='V06 Calend 01'!E30)),IF((56=('V06 Calend 01'!C30+(6*'V06 Calend 01'!E30))),('V06 Calend 01'!H30-('V06 Calend 01'!I30*('V06 Calend 01'!E30-1))),'V06 Calend 01'!I30),0))+IF((56='V06 Calend 01'!D30),'V06 Calend 01'!J30,0))</f>
        <v>0</v>
      </c>
      <c r="BQ30" s="2">
        <f>((IF((57='V06 Calend 01'!C30),('V06 Calend 01'!F30+'V06 Calend 01'!G30),0)+IF(AND(('V06 Calend 01'!E30&gt;0),(57&gt;'V06 Calend 01'!C30),(57&lt;'V06 Calend 01'!D30),(MOD((57-'V06 Calend 01'!C30),6)=0),(((57-'V06 Calend 01'!C30)/6)&lt;='V06 Calend 01'!E30)),IF((57=('V06 Calend 01'!C30+(6*'V06 Calend 01'!E30))),('V06 Calend 01'!H30-('V06 Calend 01'!I30*('V06 Calend 01'!E30-1))),'V06 Calend 01'!I30),0))+IF((57='V06 Calend 01'!D30),'V06 Calend 01'!J30,0))</f>
        <v>0</v>
      </c>
      <c r="BR30" s="2">
        <f>((IF((58='V06 Calend 01'!C30),('V06 Calend 01'!F30+'V06 Calend 01'!G30),0)+IF(AND(('V06 Calend 01'!E30&gt;0),(58&gt;'V06 Calend 01'!C30),(58&lt;'V06 Calend 01'!D30),(MOD((58-'V06 Calend 01'!C30),6)=0),(((58-'V06 Calend 01'!C30)/6)&lt;='V06 Calend 01'!E30)),IF((58=('V06 Calend 01'!C30+(6*'V06 Calend 01'!E30))),('V06 Calend 01'!H30-('V06 Calend 01'!I30*('V06 Calend 01'!E30-1))),'V06 Calend 01'!I30),0))+IF((58='V06 Calend 01'!D30),'V06 Calend 01'!J30,0))</f>
        <v>0</v>
      </c>
      <c r="BS30" s="2">
        <f>((IF((59='V06 Calend 01'!C30),('V06 Calend 01'!F30+'V06 Calend 01'!G30),0)+IF(AND(('V06 Calend 01'!E30&gt;0),(59&gt;'V06 Calend 01'!C30),(59&lt;'V06 Calend 01'!D30),(MOD((59-'V06 Calend 01'!C30),6)=0),(((59-'V06 Calend 01'!C30)/6)&lt;='V06 Calend 01'!E30)),IF((59=('V06 Calend 01'!C30+(6*'V06 Calend 01'!E30))),('V06 Calend 01'!H30-('V06 Calend 01'!I30*('V06 Calend 01'!E30-1))),'V06 Calend 01'!I30),0))+IF((59='V06 Calend 01'!D30),'V06 Calend 01'!J30,0))</f>
        <v>0</v>
      </c>
      <c r="BT30" s="2">
        <f>((IF((60='V06 Calend 01'!C30),('V06 Calend 01'!F30+'V06 Calend 01'!G30),0)+IF(AND(('V06 Calend 01'!E30&gt;0),(60&gt;'V06 Calend 01'!C30),(60&lt;'V06 Calend 01'!D30),(MOD((60-'V06 Calend 01'!C30),6)=0),(((60-'V06 Calend 01'!C30)/6)&lt;='V06 Calend 01'!E30)),IF((60=('V06 Calend 01'!C30+(6*'V06 Calend 01'!E30))),('V06 Calend 01'!H30-('V06 Calend 01'!I30*('V06 Calend 01'!E30-1))),'V06 Calend 01'!I30),0))+IF((60='V06 Calend 01'!D30),'V06 Calend 01'!J30,0))</f>
        <v>0</v>
      </c>
      <c r="BU30" s="2">
        <f>((IF((61='V06 Calend 01'!C30),('V06 Calend 01'!F30+'V06 Calend 01'!G30),0)+IF(AND(('V06 Calend 01'!E30&gt;0),(61&gt;'V06 Calend 01'!C30),(61&lt;'V06 Calend 01'!D30),(MOD((61-'V06 Calend 01'!C30),6)=0),(((61-'V06 Calend 01'!C30)/6)&lt;='V06 Calend 01'!E30)),IF((61=('V06 Calend 01'!C30+(6*'V06 Calend 01'!E30))),('V06 Calend 01'!H30-('V06 Calend 01'!I30*('V06 Calend 01'!E30-1))),'V06 Calend 01'!I30),0))+IF((61='V06 Calend 01'!D30),'V06 Calend 01'!J30,0))</f>
        <v>0</v>
      </c>
      <c r="BV30" s="2">
        <f>((IF((62='V06 Calend 01'!C30),('V06 Calend 01'!F30+'V06 Calend 01'!G30),0)+IF(AND(('V06 Calend 01'!E30&gt;0),(62&gt;'V06 Calend 01'!C30),(62&lt;'V06 Calend 01'!D30),(MOD((62-'V06 Calend 01'!C30),6)=0),(((62-'V06 Calend 01'!C30)/6)&lt;='V06 Calend 01'!E30)),IF((62=('V06 Calend 01'!C30+(6*'V06 Calend 01'!E30))),('V06 Calend 01'!H30-('V06 Calend 01'!I30*('V06 Calend 01'!E30-1))),'V06 Calend 01'!I30),0))+IF((62='V06 Calend 01'!D30),'V06 Calend 01'!J30,0))</f>
        <v>0</v>
      </c>
      <c r="BW30" s="2">
        <f>((IF((63='V06 Calend 01'!C30),('V06 Calend 01'!F30+'V06 Calend 01'!G30),0)+IF(AND(('V06 Calend 01'!E30&gt;0),(63&gt;'V06 Calend 01'!C30),(63&lt;'V06 Calend 01'!D30),(MOD((63-'V06 Calend 01'!C30),6)=0),(((63-'V06 Calend 01'!C30)/6)&lt;='V06 Calend 01'!E30)),IF((63=('V06 Calend 01'!C30+(6*'V06 Calend 01'!E30))),('V06 Calend 01'!H30-('V06 Calend 01'!I30*('V06 Calend 01'!E30-1))),'V06 Calend 01'!I30),0))+IF((63='V06 Calend 01'!D30),'V06 Calend 01'!J30,0))</f>
        <v>0</v>
      </c>
      <c r="BX30" s="2">
        <f>((IF((64='V06 Calend 01'!C30),('V06 Calend 01'!F30+'V06 Calend 01'!G30),0)+IF(AND(('V06 Calend 01'!E30&gt;0),(64&gt;'V06 Calend 01'!C30),(64&lt;'V06 Calend 01'!D30),(MOD((64-'V06 Calend 01'!C30),6)=0),(((64-'V06 Calend 01'!C30)/6)&lt;='V06 Calend 01'!E30)),IF((64=('V06 Calend 01'!C30+(6*'V06 Calend 01'!E30))),('V06 Calend 01'!H30-('V06 Calend 01'!I30*('V06 Calend 01'!E30-1))),'V06 Calend 01'!I30),0))+IF((64='V06 Calend 01'!D30),'V06 Calend 01'!J30,0))</f>
        <v>0</v>
      </c>
      <c r="BY30" s="2">
        <f>((IF((65='V06 Calend 01'!C30),('V06 Calend 01'!F30+'V06 Calend 01'!G30),0)+IF(AND(('V06 Calend 01'!E30&gt;0),(65&gt;'V06 Calend 01'!C30),(65&lt;'V06 Calend 01'!D30),(MOD((65-'V06 Calend 01'!C30),6)=0),(((65-'V06 Calend 01'!C30)/6)&lt;='V06 Calend 01'!E30)),IF((65=('V06 Calend 01'!C30+(6*'V06 Calend 01'!E30))),('V06 Calend 01'!H30-('V06 Calend 01'!I30*('V06 Calend 01'!E30-1))),'V06 Calend 01'!I30),0))+IF((65='V06 Calend 01'!D30),'V06 Calend 01'!J30,0))</f>
        <v>0</v>
      </c>
      <c r="BZ30" s="2">
        <f>((IF((66='V06 Calend 01'!C30),('V06 Calend 01'!F30+'V06 Calend 01'!G30),0)+IF(AND(('V06 Calend 01'!E30&gt;0),(66&gt;'V06 Calend 01'!C30),(66&lt;'V06 Calend 01'!D30),(MOD((66-'V06 Calend 01'!C30),6)=0),(((66-'V06 Calend 01'!C30)/6)&lt;='V06 Calend 01'!E30)),IF((66=('V06 Calend 01'!C30+(6*'V06 Calend 01'!E30))),('V06 Calend 01'!H30-('V06 Calend 01'!I30*('V06 Calend 01'!E30-1))),'V06 Calend 01'!I30),0))+IF((66='V06 Calend 01'!D30),'V06 Calend 01'!J30,0))</f>
        <v>0</v>
      </c>
      <c r="CA30" s="2">
        <f>((IF((67='V06 Calend 01'!C30),('V06 Calend 01'!F30+'V06 Calend 01'!G30),0)+IF(AND(('V06 Calend 01'!E30&gt;0),(67&gt;'V06 Calend 01'!C30),(67&lt;'V06 Calend 01'!D30),(MOD((67-'V06 Calend 01'!C30),6)=0),(((67-'V06 Calend 01'!C30)/6)&lt;='V06 Calend 01'!E30)),IF((67=('V06 Calend 01'!C30+(6*'V06 Calend 01'!E30))),('V06 Calend 01'!H30-('V06 Calend 01'!I30*('V06 Calend 01'!E30-1))),'V06 Calend 01'!I30),0))+IF((67='V06 Calend 01'!D30),'V06 Calend 01'!J30,0))</f>
        <v>0</v>
      </c>
      <c r="CB30" s="2">
        <f>((IF((68='V06 Calend 01'!C30),('V06 Calend 01'!F30+'V06 Calend 01'!G30),0)+IF(AND(('V06 Calend 01'!E30&gt;0),(68&gt;'V06 Calend 01'!C30),(68&lt;'V06 Calend 01'!D30),(MOD((68-'V06 Calend 01'!C30),6)=0),(((68-'V06 Calend 01'!C30)/6)&lt;='V06 Calend 01'!E30)),IF((68=('V06 Calend 01'!C30+(6*'V06 Calend 01'!E30))),('V06 Calend 01'!H30-('V06 Calend 01'!I30*('V06 Calend 01'!E30-1))),'V06 Calend 01'!I30),0))+IF((68='V06 Calend 01'!D30),'V06 Calend 01'!J30,0))</f>
        <v>0</v>
      </c>
      <c r="CC30" s="2">
        <f>((IF((69='V06 Calend 01'!C30),('V06 Calend 01'!F30+'V06 Calend 01'!G30),0)+IF(AND(('V06 Calend 01'!E30&gt;0),(69&gt;'V06 Calend 01'!C30),(69&lt;'V06 Calend 01'!D30),(MOD((69-'V06 Calend 01'!C30),6)=0),(((69-'V06 Calend 01'!C30)/6)&lt;='V06 Calend 01'!E30)),IF((69=('V06 Calend 01'!C30+(6*'V06 Calend 01'!E30))),('V06 Calend 01'!H30-('V06 Calend 01'!I30*('V06 Calend 01'!E30-1))),'V06 Calend 01'!I30),0))+IF((69='V06 Calend 01'!D30),'V06 Calend 01'!J30,0))</f>
        <v>0</v>
      </c>
      <c r="CD30" s="2">
        <f>((IF((70='V06 Calend 01'!C30),('V06 Calend 01'!F30+'V06 Calend 01'!G30),0)+IF(AND(('V06 Calend 01'!E30&gt;0),(70&gt;'V06 Calend 01'!C30),(70&lt;'V06 Calend 01'!D30),(MOD((70-'V06 Calend 01'!C30),6)=0),(((70-'V06 Calend 01'!C30)/6)&lt;='V06 Calend 01'!E30)),IF((70=('V06 Calend 01'!C30+(6*'V06 Calend 01'!E30))),('V06 Calend 01'!H30-('V06 Calend 01'!I30*('V06 Calend 01'!E30-1))),'V06 Calend 01'!I30),0))+IF((70='V06 Calend 01'!D30),'V06 Calend 01'!J30,0))</f>
        <v>0</v>
      </c>
      <c r="CE30" s="2">
        <f>((IF((71='V06 Calend 01'!C30),('V06 Calend 01'!F30+'V06 Calend 01'!G30),0)+IF(AND(('V06 Calend 01'!E30&gt;0),(71&gt;'V06 Calend 01'!C30),(71&lt;'V06 Calend 01'!D30),(MOD((71-'V06 Calend 01'!C30),6)=0),(((71-'V06 Calend 01'!C30)/6)&lt;='V06 Calend 01'!E30)),IF((71=('V06 Calend 01'!C30+(6*'V06 Calend 01'!E30))),('V06 Calend 01'!H30-('V06 Calend 01'!I30*('V06 Calend 01'!E30-1))),'V06 Calend 01'!I30),0))+IF((71='V06 Calend 01'!D30),'V06 Calend 01'!J30,0))</f>
        <v>0</v>
      </c>
      <c r="CF30" s="2">
        <f>((IF((72='V06 Calend 01'!C30),('V06 Calend 01'!F30+'V06 Calend 01'!G30),0)+IF(AND(('V06 Calend 01'!E30&gt;0),(72&gt;'V06 Calend 01'!C30),(72&lt;'V06 Calend 01'!D30),(MOD((72-'V06 Calend 01'!C30),6)=0),(((72-'V06 Calend 01'!C30)/6)&lt;='V06 Calend 01'!E30)),IF((72=('V06 Calend 01'!C30+(6*'V06 Calend 01'!E30))),('V06 Calend 01'!H30-('V06 Calend 01'!I30*('V06 Calend 01'!E30-1))),'V06 Calend 01'!I30),0))+IF((72='V06 Calend 01'!D30),'V06 Calend 01'!J30,0))</f>
        <v>0</v>
      </c>
      <c r="CG30" s="2">
        <f>((IF((73='V06 Calend 01'!C30),('V06 Calend 01'!F30+'V06 Calend 01'!G30),0)+IF(AND(('V06 Calend 01'!E30&gt;0),(73&gt;'V06 Calend 01'!C30),(73&lt;'V06 Calend 01'!D30),(MOD((73-'V06 Calend 01'!C30),6)=0),(((73-'V06 Calend 01'!C30)/6)&lt;='V06 Calend 01'!E30)),IF((73=('V06 Calend 01'!C30+(6*'V06 Calend 01'!E30))),('V06 Calend 01'!H30-('V06 Calend 01'!I30*('V06 Calend 01'!E30-1))),'V06 Calend 01'!I30),0))+IF((73='V06 Calend 01'!D30),'V06 Calend 01'!J30,0))</f>
        <v>0</v>
      </c>
      <c r="CH30" s="2">
        <f>((IF((74='V06 Calend 01'!C30),('V06 Calend 01'!F30+'V06 Calend 01'!G30),0)+IF(AND(('V06 Calend 01'!E30&gt;0),(74&gt;'V06 Calend 01'!C30),(74&lt;'V06 Calend 01'!D30),(MOD((74-'V06 Calend 01'!C30),6)=0),(((74-'V06 Calend 01'!C30)/6)&lt;='V06 Calend 01'!E30)),IF((74=('V06 Calend 01'!C30+(6*'V06 Calend 01'!E30))),('V06 Calend 01'!H30-('V06 Calend 01'!I30*('V06 Calend 01'!E30-1))),'V06 Calend 01'!I30),0))+IF((74='V06 Calend 01'!D30),'V06 Calend 01'!J30,0))</f>
        <v>0</v>
      </c>
      <c r="CI30" s="2">
        <f>((IF((75='V06 Calend 01'!C30),('V06 Calend 01'!F30+'V06 Calend 01'!G30),0)+IF(AND(('V06 Calend 01'!E30&gt;0),(75&gt;'V06 Calend 01'!C30),(75&lt;'V06 Calend 01'!D30),(MOD((75-'V06 Calend 01'!C30),6)=0),(((75-'V06 Calend 01'!C30)/6)&lt;='V06 Calend 01'!E30)),IF((75=('V06 Calend 01'!C30+(6*'V06 Calend 01'!E30))),('V06 Calend 01'!H30-('V06 Calend 01'!I30*('V06 Calend 01'!E30-1))),'V06 Calend 01'!I30),0))+IF((75='V06 Calend 01'!D30),'V06 Calend 01'!J30,0))</f>
        <v>0</v>
      </c>
      <c r="CJ30" s="2">
        <f>((IF((76='V06 Calend 01'!C30),('V06 Calend 01'!F30+'V06 Calend 01'!G30),0)+IF(AND(('V06 Calend 01'!E30&gt;0),(76&gt;'V06 Calend 01'!C30),(76&lt;'V06 Calend 01'!D30),(MOD((76-'V06 Calend 01'!C30),6)=0),(((76-'V06 Calend 01'!C30)/6)&lt;='V06 Calend 01'!E30)),IF((76=('V06 Calend 01'!C30+(6*'V06 Calend 01'!E30))),('V06 Calend 01'!H30-('V06 Calend 01'!I30*('V06 Calend 01'!E30-1))),'V06 Calend 01'!I30),0))+IF((76='V06 Calend 01'!D30),'V06 Calend 01'!J30,0))</f>
        <v>0</v>
      </c>
      <c r="CK30" s="2">
        <f>((IF((77='V06 Calend 01'!C30),('V06 Calend 01'!F30+'V06 Calend 01'!G30),0)+IF(AND(('V06 Calend 01'!E30&gt;0),(77&gt;'V06 Calend 01'!C30),(77&lt;'V06 Calend 01'!D30),(MOD((77-'V06 Calend 01'!C30),6)=0),(((77-'V06 Calend 01'!C30)/6)&lt;='V06 Calend 01'!E30)),IF((77=('V06 Calend 01'!C30+(6*'V06 Calend 01'!E30))),('V06 Calend 01'!H30-('V06 Calend 01'!I30*('V06 Calend 01'!E30-1))),'V06 Calend 01'!I30),0))+IF((77='V06 Calend 01'!D30),'V06 Calend 01'!J30,0))</f>
        <v>0</v>
      </c>
      <c r="CL30" s="2">
        <f>((IF((78='V06 Calend 01'!C30),('V06 Calend 01'!F30+'V06 Calend 01'!G30),0)+IF(AND(('V06 Calend 01'!E30&gt;0),(78&gt;'V06 Calend 01'!C30),(78&lt;'V06 Calend 01'!D30),(MOD((78-'V06 Calend 01'!C30),6)=0),(((78-'V06 Calend 01'!C30)/6)&lt;='V06 Calend 01'!E30)),IF((78=('V06 Calend 01'!C30+(6*'V06 Calend 01'!E30))),('V06 Calend 01'!H30-('V06 Calend 01'!I30*('V06 Calend 01'!E30-1))),'V06 Calend 01'!I30),0))+IF((78='V06 Calend 01'!D30),'V06 Calend 01'!J30,0))</f>
        <v>0</v>
      </c>
      <c r="CM30" s="2">
        <f>((IF((79='V06 Calend 01'!C30),('V06 Calend 01'!F30+'V06 Calend 01'!G30),0)+IF(AND(('V06 Calend 01'!E30&gt;0),(79&gt;'V06 Calend 01'!C30),(79&lt;'V06 Calend 01'!D30),(MOD((79-'V06 Calend 01'!C30),6)=0),(((79-'V06 Calend 01'!C30)/6)&lt;='V06 Calend 01'!E30)),IF((79=('V06 Calend 01'!C30+(6*'V06 Calend 01'!E30))),('V06 Calend 01'!H30-('V06 Calend 01'!I30*('V06 Calend 01'!E30-1))),'V06 Calend 01'!I30),0))+IF((79='V06 Calend 01'!D30),'V06 Calend 01'!J30,0))</f>
        <v>0</v>
      </c>
      <c r="CN30" s="2">
        <f>((IF((80='V06 Calend 01'!C30),('V06 Calend 01'!F30+'V06 Calend 01'!G30),0)+IF(AND(('V06 Calend 01'!E30&gt;0),(80&gt;'V06 Calend 01'!C30),(80&lt;'V06 Calend 01'!D30),(MOD((80-'V06 Calend 01'!C30),6)=0),(((80-'V06 Calend 01'!C30)/6)&lt;='V06 Calend 01'!E30)),IF((80=('V06 Calend 01'!C30+(6*'V06 Calend 01'!E30))),('V06 Calend 01'!H30-('V06 Calend 01'!I30*('V06 Calend 01'!E30-1))),'V06 Calend 01'!I30),0))+IF((80='V06 Calend 01'!D30),'V06 Calend 01'!J30,0))</f>
        <v>0</v>
      </c>
      <c r="CO30" s="2">
        <f>((IF((81='V06 Calend 01'!C30),('V06 Calend 01'!F30+'V06 Calend 01'!G30),0)+IF(AND(('V06 Calend 01'!E30&gt;0),(81&gt;'V06 Calend 01'!C30),(81&lt;'V06 Calend 01'!D30),(MOD((81-'V06 Calend 01'!C30),6)=0),(((81-'V06 Calend 01'!C30)/6)&lt;='V06 Calend 01'!E30)),IF((81=('V06 Calend 01'!C30+(6*'V06 Calend 01'!E30))),('V06 Calend 01'!H30-('V06 Calend 01'!I30*('V06 Calend 01'!E30-1))),'V06 Calend 01'!I30),0))+IF((81='V06 Calend 01'!D30),'V06 Calend 01'!J30,0))</f>
        <v>0</v>
      </c>
      <c r="CP30" s="2">
        <f>((IF((82='V06 Calend 01'!C30),('V06 Calend 01'!F30+'V06 Calend 01'!G30),0)+IF(AND(('V06 Calend 01'!E30&gt;0),(82&gt;'V06 Calend 01'!C30),(82&lt;'V06 Calend 01'!D30),(MOD((82-'V06 Calend 01'!C30),6)=0),(((82-'V06 Calend 01'!C30)/6)&lt;='V06 Calend 01'!E30)),IF((82=('V06 Calend 01'!C30+(6*'V06 Calend 01'!E30))),('V06 Calend 01'!H30-('V06 Calend 01'!I30*('V06 Calend 01'!E30-1))),'V06 Calend 01'!I30),0))+IF((82='V06 Calend 01'!D30),'V06 Calend 01'!J30,0))</f>
        <v>0</v>
      </c>
      <c r="CQ30" s="2">
        <f>((IF((83='V06 Calend 01'!C30),('V06 Calend 01'!F30+'V06 Calend 01'!G30),0)+IF(AND(('V06 Calend 01'!E30&gt;0),(83&gt;'V06 Calend 01'!C30),(83&lt;'V06 Calend 01'!D30),(MOD((83-'V06 Calend 01'!C30),6)=0),(((83-'V06 Calend 01'!C30)/6)&lt;='V06 Calend 01'!E30)),IF((83=('V06 Calend 01'!C30+(6*'V06 Calend 01'!E30))),('V06 Calend 01'!H30-('V06 Calend 01'!I30*('V06 Calend 01'!E30-1))),'V06 Calend 01'!I30),0))+IF((83='V06 Calend 01'!D30),'V06 Calend 01'!J30,0))</f>
        <v>0</v>
      </c>
      <c r="CR30" s="2">
        <f>((IF((84='V06 Calend 01'!C30),('V06 Calend 01'!F30+'V06 Calend 01'!G30),0)+IF(AND(('V06 Calend 01'!E30&gt;0),(84&gt;'V06 Calend 01'!C30),(84&lt;'V06 Calend 01'!D30),(MOD((84-'V06 Calend 01'!C30),6)=0),(((84-'V06 Calend 01'!C30)/6)&lt;='V06 Calend 01'!E30)),IF((84=('V06 Calend 01'!C30+(6*'V06 Calend 01'!E30))),('V06 Calend 01'!H30-('V06 Calend 01'!I30*('V06 Calend 01'!E30-1))),'V06 Calend 01'!I30),0))+IF((84='V06 Calend 01'!D30),'V06 Calend 01'!J30,0))</f>
        <v>0</v>
      </c>
      <c r="CS30" s="2">
        <f>((IF((85='V06 Calend 01'!C30),('V06 Calend 01'!F30+'V06 Calend 01'!G30),0)+IF(AND(('V06 Calend 01'!E30&gt;0),(85&gt;'V06 Calend 01'!C30),(85&lt;'V06 Calend 01'!D30),(MOD((85-'V06 Calend 01'!C30),6)=0),(((85-'V06 Calend 01'!C30)/6)&lt;='V06 Calend 01'!E30)),IF((85=('V06 Calend 01'!C30+(6*'V06 Calend 01'!E30))),('V06 Calend 01'!H30-('V06 Calend 01'!I30*('V06 Calend 01'!E30-1))),'V06 Calend 01'!I30),0))+IF((85='V06 Calend 01'!D30),'V06 Calend 01'!J30,0))</f>
        <v>0</v>
      </c>
      <c r="CT30" s="2">
        <f>((IF((86='V06 Calend 01'!C30),('V06 Calend 01'!F30+'V06 Calend 01'!G30),0)+IF(AND(('V06 Calend 01'!E30&gt;0),(86&gt;'V06 Calend 01'!C30),(86&lt;'V06 Calend 01'!D30),(MOD((86-'V06 Calend 01'!C30),6)=0),(((86-'V06 Calend 01'!C30)/6)&lt;='V06 Calend 01'!E30)),IF((86=('V06 Calend 01'!C30+(6*'V06 Calend 01'!E30))),('V06 Calend 01'!H30-('V06 Calend 01'!I30*('V06 Calend 01'!E30-1))),'V06 Calend 01'!I30),0))+IF((86='V06 Calend 01'!D30),'V06 Calend 01'!J30,0))</f>
        <v>0</v>
      </c>
      <c r="CU30" s="2">
        <f>((IF((87='V06 Calend 01'!C30),('V06 Calend 01'!F30+'V06 Calend 01'!G30),0)+IF(AND(('V06 Calend 01'!E30&gt;0),(87&gt;'V06 Calend 01'!C30),(87&lt;'V06 Calend 01'!D30),(MOD((87-'V06 Calend 01'!C30),6)=0),(((87-'V06 Calend 01'!C30)/6)&lt;='V06 Calend 01'!E30)),IF((87=('V06 Calend 01'!C30+(6*'V06 Calend 01'!E30))),('V06 Calend 01'!H30-('V06 Calend 01'!I30*('V06 Calend 01'!E30-1))),'V06 Calend 01'!I30),0))+IF((87='V06 Calend 01'!D30),'V06 Calend 01'!J30,0))</f>
        <v>0</v>
      </c>
      <c r="CV30" s="2">
        <f>((IF((88='V06 Calend 01'!C30),('V06 Calend 01'!F30+'V06 Calend 01'!G30),0)+IF(AND(('V06 Calend 01'!E30&gt;0),(88&gt;'V06 Calend 01'!C30),(88&lt;'V06 Calend 01'!D30),(MOD((88-'V06 Calend 01'!C30),6)=0),(((88-'V06 Calend 01'!C30)/6)&lt;='V06 Calend 01'!E30)),IF((88=('V06 Calend 01'!C30+(6*'V06 Calend 01'!E30))),('V06 Calend 01'!H30-('V06 Calend 01'!I30*('V06 Calend 01'!E30-1))),'V06 Calend 01'!I30),0))+IF((88='V06 Calend 01'!D30),'V06 Calend 01'!J30,0))</f>
        <v>0</v>
      </c>
      <c r="CW30" s="2">
        <f>((IF((89='V06 Calend 01'!C30),('V06 Calend 01'!F30+'V06 Calend 01'!G30),0)+IF(AND(('V06 Calend 01'!E30&gt;0),(89&gt;'V06 Calend 01'!C30),(89&lt;'V06 Calend 01'!D30),(MOD((89-'V06 Calend 01'!C30),6)=0),(((89-'V06 Calend 01'!C30)/6)&lt;='V06 Calend 01'!E30)),IF((89=('V06 Calend 01'!C30+(6*'V06 Calend 01'!E30))),('V06 Calend 01'!H30-('V06 Calend 01'!I30*('V06 Calend 01'!E30-1))),'V06 Calend 01'!I30),0))+IF((89='V06 Calend 01'!D30),'V06 Calend 01'!J30,0))</f>
        <v>0</v>
      </c>
      <c r="CX30" s="2">
        <f>((IF((90='V06 Calend 01'!C30),('V06 Calend 01'!F30+'V06 Calend 01'!G30),0)+IF(AND(('V06 Calend 01'!E30&gt;0),(90&gt;'V06 Calend 01'!C30),(90&lt;'V06 Calend 01'!D30),(MOD((90-'V06 Calend 01'!C30),6)=0),(((90-'V06 Calend 01'!C30)/6)&lt;='V06 Calend 01'!E30)),IF((90=('V06 Calend 01'!C30+(6*'V06 Calend 01'!E30))),('V06 Calend 01'!H30-('V06 Calend 01'!I30*('V06 Calend 01'!E30-1))),'V06 Calend 01'!I30),0))+IF((90='V06 Calend 01'!D30),'V06 Calend 01'!J30,0))</f>
        <v>0</v>
      </c>
      <c r="CY30" s="2">
        <f>((IF((91='V06 Calend 01'!C30),('V06 Calend 01'!F30+'V06 Calend 01'!G30),0)+IF(AND(('V06 Calend 01'!E30&gt;0),(91&gt;'V06 Calend 01'!C30),(91&lt;'V06 Calend 01'!D30),(MOD((91-'V06 Calend 01'!C30),6)=0),(((91-'V06 Calend 01'!C30)/6)&lt;='V06 Calend 01'!E30)),IF((91=('V06 Calend 01'!C30+(6*'V06 Calend 01'!E30))),('V06 Calend 01'!H30-('V06 Calend 01'!I30*('V06 Calend 01'!E30-1))),'V06 Calend 01'!I30),0))+IF((91='V06 Calend 01'!D30),'V06 Calend 01'!J30,0))</f>
        <v>0</v>
      </c>
      <c r="CZ30" s="2">
        <f>((IF((92='V06 Calend 01'!C30),('V06 Calend 01'!F30+'V06 Calend 01'!G30),0)+IF(AND(('V06 Calend 01'!E30&gt;0),(92&gt;'V06 Calend 01'!C30),(92&lt;'V06 Calend 01'!D30),(MOD((92-'V06 Calend 01'!C30),6)=0),(((92-'V06 Calend 01'!C30)/6)&lt;='V06 Calend 01'!E30)),IF((92=('V06 Calend 01'!C30+(6*'V06 Calend 01'!E30))),('V06 Calend 01'!H30-('V06 Calend 01'!I30*('V06 Calend 01'!E30-1))),'V06 Calend 01'!I30),0))+IF((92='V06 Calend 01'!D30),'V06 Calend 01'!J30,0))</f>
        <v>0</v>
      </c>
      <c r="DA30" s="2">
        <f>((IF((93='V06 Calend 01'!C30),('V06 Calend 01'!F30+'V06 Calend 01'!G30),0)+IF(AND(('V06 Calend 01'!E30&gt;0),(93&gt;'V06 Calend 01'!C30),(93&lt;'V06 Calend 01'!D30),(MOD((93-'V06 Calend 01'!C30),6)=0),(((93-'V06 Calend 01'!C30)/6)&lt;='V06 Calend 01'!E30)),IF((93=('V06 Calend 01'!C30+(6*'V06 Calend 01'!E30))),('V06 Calend 01'!H30-('V06 Calend 01'!I30*('V06 Calend 01'!E30-1))),'V06 Calend 01'!I30),0))+IF((93='V06 Calend 01'!D30),'V06 Calend 01'!J30,0))</f>
        <v>0</v>
      </c>
      <c r="DB30" s="2">
        <f>((IF((94='V06 Calend 01'!C30),('V06 Calend 01'!F30+'V06 Calend 01'!G30),0)+IF(AND(('V06 Calend 01'!E30&gt;0),(94&gt;'V06 Calend 01'!C30),(94&lt;'V06 Calend 01'!D30),(MOD((94-'V06 Calend 01'!C30),6)=0),(((94-'V06 Calend 01'!C30)/6)&lt;='V06 Calend 01'!E30)),IF((94=('V06 Calend 01'!C30+(6*'V06 Calend 01'!E30))),('V06 Calend 01'!H30-('V06 Calend 01'!I30*('V06 Calend 01'!E30-1))),'V06 Calend 01'!I30),0))+IF((94='V06 Calend 01'!D30),'V06 Calend 01'!J30,0))</f>
        <v>0</v>
      </c>
      <c r="DC30" s="2">
        <f>((IF((95='V06 Calend 01'!C30),('V06 Calend 01'!F30+'V06 Calend 01'!G30),0)+IF(AND(('V06 Calend 01'!E30&gt;0),(95&gt;'V06 Calend 01'!C30),(95&lt;'V06 Calend 01'!D30),(MOD((95-'V06 Calend 01'!C30),6)=0),(((95-'V06 Calend 01'!C30)/6)&lt;='V06 Calend 01'!E30)),IF((95=('V06 Calend 01'!C30+(6*'V06 Calend 01'!E30))),('V06 Calend 01'!H30-('V06 Calend 01'!I30*('V06 Calend 01'!E30-1))),'V06 Calend 01'!I30),0))+IF((95='V06 Calend 01'!D30),'V06 Calend 01'!J30,0))</f>
        <v>0</v>
      </c>
      <c r="DD30" s="2">
        <f>((IF((96='V06 Calend 01'!C30),('V06 Calend 01'!F30+'V06 Calend 01'!G30),0)+IF(AND(('V06 Calend 01'!E30&gt;0),(96&gt;'V06 Calend 01'!C30),(96&lt;'V06 Calend 01'!D30),(MOD((96-'V06 Calend 01'!C30),6)=0),(((96-'V06 Calend 01'!C30)/6)&lt;='V06 Calend 01'!E30)),IF((96=('V06 Calend 01'!C30+(6*'V06 Calend 01'!E30))),('V06 Calend 01'!H30-('V06 Calend 01'!I30*('V06 Calend 01'!E30-1))),'V06 Calend 01'!I30),0))+IF((96='V06 Calend 01'!D30),'V06 Calend 01'!J30,0))</f>
        <v>0</v>
      </c>
      <c r="DE30" s="2">
        <f>((IF((97='V06 Calend 01'!C30),('V06 Calend 01'!F30+'V06 Calend 01'!G30),0)+IF(AND(('V06 Calend 01'!E30&gt;0),(97&gt;'V06 Calend 01'!C30),(97&lt;'V06 Calend 01'!D30),(MOD((97-'V06 Calend 01'!C30),6)=0),(((97-'V06 Calend 01'!C30)/6)&lt;='V06 Calend 01'!E30)),IF((97=('V06 Calend 01'!C30+(6*'V06 Calend 01'!E30))),('V06 Calend 01'!H30-('V06 Calend 01'!I30*('V06 Calend 01'!E30-1))),'V06 Calend 01'!I30),0))+IF((97='V06 Calend 01'!D30),'V06 Calend 01'!J30,0))</f>
        <v>0</v>
      </c>
      <c r="DF30" s="2">
        <f>((IF((98='V06 Calend 01'!C30),('V06 Calend 01'!F30+'V06 Calend 01'!G30),0)+IF(AND(('V06 Calend 01'!E30&gt;0),(98&gt;'V06 Calend 01'!C30),(98&lt;'V06 Calend 01'!D30),(MOD((98-'V06 Calend 01'!C30),6)=0),(((98-'V06 Calend 01'!C30)/6)&lt;='V06 Calend 01'!E30)),IF((98=('V06 Calend 01'!C30+(6*'V06 Calend 01'!E30))),('V06 Calend 01'!H30-('V06 Calend 01'!I30*('V06 Calend 01'!E30-1))),'V06 Calend 01'!I30),0))+IF((98='V06 Calend 01'!D30),'V06 Calend 01'!J30,0))</f>
        <v>0</v>
      </c>
      <c r="DG30" s="2">
        <f>((IF((99='V06 Calend 01'!C30),('V06 Calend 01'!F30+'V06 Calend 01'!G30),0)+IF(AND(('V06 Calend 01'!E30&gt;0),(99&gt;'V06 Calend 01'!C30),(99&lt;'V06 Calend 01'!D30),(MOD((99-'V06 Calend 01'!C30),6)=0),(((99-'V06 Calend 01'!C30)/6)&lt;='V06 Calend 01'!E30)),IF((99=('V06 Calend 01'!C30+(6*'V06 Calend 01'!E30))),('V06 Calend 01'!H30-('V06 Calend 01'!I30*('V06 Calend 01'!E30-1))),'V06 Calend 01'!I30),0))+IF((99='V06 Calend 01'!D30),'V06 Calend 01'!J30,0))</f>
        <v>0</v>
      </c>
      <c r="DH30" s="2">
        <f>((IF((100='V06 Calend 01'!C30),('V06 Calend 01'!F30+'V06 Calend 01'!G30),0)+IF(AND(('V06 Calend 01'!E30&gt;0),(100&gt;'V06 Calend 01'!C30),(100&lt;'V06 Calend 01'!D30),(MOD((100-'V06 Calend 01'!C30),6)=0),(((100-'V06 Calend 01'!C30)/6)&lt;='V06 Calend 01'!E30)),IF((100=('V06 Calend 01'!C30+(6*'V06 Calend 01'!E30))),('V06 Calend 01'!H30-('V06 Calend 01'!I30*('V06 Calend 01'!E30-1))),'V06 Calend 01'!I30),0))+IF((100='V06 Calend 01'!D30),'V06 Calend 01'!J30,0))</f>
        <v>0</v>
      </c>
      <c r="DI30" s="2">
        <f>((IF((101='V06 Calend 01'!C30),('V06 Calend 01'!F30+'V06 Calend 01'!G30),0)+IF(AND(('V06 Calend 01'!E30&gt;0),(101&gt;'V06 Calend 01'!C30),(101&lt;'V06 Calend 01'!D30),(MOD((101-'V06 Calend 01'!C30),6)=0),(((101-'V06 Calend 01'!C30)/6)&lt;='V06 Calend 01'!E30)),IF((101=('V06 Calend 01'!C30+(6*'V06 Calend 01'!E30))),('V06 Calend 01'!H30-('V06 Calend 01'!I30*('V06 Calend 01'!E30-1))),'V06 Calend 01'!I30),0))+IF((101='V06 Calend 01'!D30),'V06 Calend 01'!J30,0))</f>
        <v>0</v>
      </c>
      <c r="DJ30" s="2">
        <f>((IF((102='V06 Calend 01'!C30),('V06 Calend 01'!F30+'V06 Calend 01'!G30),0)+IF(AND(('V06 Calend 01'!E30&gt;0),(102&gt;'V06 Calend 01'!C30),(102&lt;'V06 Calend 01'!D30),(MOD((102-'V06 Calend 01'!C30),6)=0),(((102-'V06 Calend 01'!C30)/6)&lt;='V06 Calend 01'!E30)),IF((102=('V06 Calend 01'!C30+(6*'V06 Calend 01'!E30))),('V06 Calend 01'!H30-('V06 Calend 01'!I30*('V06 Calend 01'!E30-1))),'V06 Calend 01'!I30),0))+IF((102='V06 Calend 01'!D30),'V06 Calend 01'!J30,0))</f>
        <v>0</v>
      </c>
      <c r="DK30" s="2">
        <f>((IF((103='V06 Calend 01'!C30),('V06 Calend 01'!F30+'V06 Calend 01'!G30),0)+IF(AND(('V06 Calend 01'!E30&gt;0),(103&gt;'V06 Calend 01'!C30),(103&lt;'V06 Calend 01'!D30),(MOD((103-'V06 Calend 01'!C30),6)=0),(((103-'V06 Calend 01'!C30)/6)&lt;='V06 Calend 01'!E30)),IF((103=('V06 Calend 01'!C30+(6*'V06 Calend 01'!E30))),('V06 Calend 01'!H30-('V06 Calend 01'!I30*('V06 Calend 01'!E30-1))),'V06 Calend 01'!I30),0))+IF((103='V06 Calend 01'!D30),'V06 Calend 01'!J30,0))</f>
        <v>0</v>
      </c>
      <c r="DL30" s="2">
        <f>((IF((104='V06 Calend 01'!C30),('V06 Calend 01'!F30+'V06 Calend 01'!G30),0)+IF(AND(('V06 Calend 01'!E30&gt;0),(104&gt;'V06 Calend 01'!C30),(104&lt;'V06 Calend 01'!D30),(MOD((104-'V06 Calend 01'!C30),6)=0),(((104-'V06 Calend 01'!C30)/6)&lt;='V06 Calend 01'!E30)),IF((104=('V06 Calend 01'!C30+(6*'V06 Calend 01'!E30))),('V06 Calend 01'!H30-('V06 Calend 01'!I30*('V06 Calend 01'!E30-1))),'V06 Calend 01'!I30),0))+IF((104='V06 Calend 01'!D30),'V06 Calend 01'!J30,0))</f>
        <v>0</v>
      </c>
      <c r="DM30" s="2">
        <f>((IF((105='V06 Calend 01'!C30),('V06 Calend 01'!F30+'V06 Calend 01'!G30),0)+IF(AND(('V06 Calend 01'!E30&gt;0),(105&gt;'V06 Calend 01'!C30),(105&lt;'V06 Calend 01'!D30),(MOD((105-'V06 Calend 01'!C30),6)=0),(((105-'V06 Calend 01'!C30)/6)&lt;='V06 Calend 01'!E30)),IF((105=('V06 Calend 01'!C30+(6*'V06 Calend 01'!E30))),('V06 Calend 01'!H30-('V06 Calend 01'!I30*('V06 Calend 01'!E30-1))),'V06 Calend 01'!I30),0))+IF((105='V06 Calend 01'!D30),'V06 Calend 01'!J30,0))</f>
        <v>0</v>
      </c>
      <c r="DN30" s="2">
        <f>((IF((106='V06 Calend 01'!C30),('V06 Calend 01'!F30+'V06 Calend 01'!G30),0)+IF(AND(('V06 Calend 01'!E30&gt;0),(106&gt;'V06 Calend 01'!C30),(106&lt;'V06 Calend 01'!D30),(MOD((106-'V06 Calend 01'!C30),6)=0),(((106-'V06 Calend 01'!C30)/6)&lt;='V06 Calend 01'!E30)),IF((106=('V06 Calend 01'!C30+(6*'V06 Calend 01'!E30))),('V06 Calend 01'!H30-('V06 Calend 01'!I30*('V06 Calend 01'!E30-1))),'V06 Calend 01'!I30),0))+IF((106='V06 Calend 01'!D30),'V06 Calend 01'!J30,0))</f>
        <v>0</v>
      </c>
      <c r="DO30" s="2">
        <f>((IF((107='V06 Calend 01'!C30),('V06 Calend 01'!F30+'V06 Calend 01'!G30),0)+IF(AND(('V06 Calend 01'!E30&gt;0),(107&gt;'V06 Calend 01'!C30),(107&lt;'V06 Calend 01'!D30),(MOD((107-'V06 Calend 01'!C30),6)=0),(((107-'V06 Calend 01'!C30)/6)&lt;='V06 Calend 01'!E30)),IF((107=('V06 Calend 01'!C30+(6*'V06 Calend 01'!E30))),('V06 Calend 01'!H30-('V06 Calend 01'!I30*('V06 Calend 01'!E30-1))),'V06 Calend 01'!I30),0))+IF((107='V06 Calend 01'!D30),'V06 Calend 01'!J30,0))</f>
        <v>0</v>
      </c>
      <c r="DP30" s="2">
        <f>((IF((108='V06 Calend 01'!C30),('V06 Calend 01'!F30+'V06 Calend 01'!G30),0)+IF(AND(('V06 Calend 01'!E30&gt;0),(108&gt;'V06 Calend 01'!C30),(108&lt;'V06 Calend 01'!D30),(MOD((108-'V06 Calend 01'!C30),6)=0),(((108-'V06 Calend 01'!C30)/6)&lt;='V06 Calend 01'!E30)),IF((108=('V06 Calend 01'!C30+(6*'V06 Calend 01'!E30))),('V06 Calend 01'!H30-('V06 Calend 01'!I30*('V06 Calend 01'!E30-1))),'V06 Calend 01'!I30),0))+IF((108='V06 Calend 01'!D30),'V06 Calend 01'!J30,0))</f>
        <v>0</v>
      </c>
      <c r="DQ30" s="2">
        <f>((IF((109='V06 Calend 01'!C30),('V06 Calend 01'!F30+'V06 Calend 01'!G30),0)+IF(AND(('V06 Calend 01'!E30&gt;0),(109&gt;'V06 Calend 01'!C30),(109&lt;'V06 Calend 01'!D30),(MOD((109-'V06 Calend 01'!C30),6)=0),(((109-'V06 Calend 01'!C30)/6)&lt;='V06 Calend 01'!E30)),IF((109=('V06 Calend 01'!C30+(6*'V06 Calend 01'!E30))),('V06 Calend 01'!H30-('V06 Calend 01'!I30*('V06 Calend 01'!E30-1))),'V06 Calend 01'!I30),0))+IF((109='V06 Calend 01'!D30),'V06 Calend 01'!J30,0))</f>
        <v>0</v>
      </c>
      <c r="DR30" s="2">
        <f>((IF((110='V06 Calend 01'!C30),('V06 Calend 01'!F30+'V06 Calend 01'!G30),0)+IF(AND(('V06 Calend 01'!E30&gt;0),(110&gt;'V06 Calend 01'!C30),(110&lt;'V06 Calend 01'!D30),(MOD((110-'V06 Calend 01'!C30),6)=0),(((110-'V06 Calend 01'!C30)/6)&lt;='V06 Calend 01'!E30)),IF((110=('V06 Calend 01'!C30+(6*'V06 Calend 01'!E30))),('V06 Calend 01'!H30-('V06 Calend 01'!I30*('V06 Calend 01'!E30-1))),'V06 Calend 01'!I30),0))+IF((110='V06 Calend 01'!D30),'V06 Calend 01'!J30,0))</f>
        <v>0</v>
      </c>
      <c r="DS30" s="2">
        <f>((IF((111='V06 Calend 01'!C30),('V06 Calend 01'!F30+'V06 Calend 01'!G30),0)+IF(AND(('V06 Calend 01'!E30&gt;0),(111&gt;'V06 Calend 01'!C30),(111&lt;'V06 Calend 01'!D30),(MOD((111-'V06 Calend 01'!C30),6)=0),(((111-'V06 Calend 01'!C30)/6)&lt;='V06 Calend 01'!E30)),IF((111=('V06 Calend 01'!C30+(6*'V06 Calend 01'!E30))),('V06 Calend 01'!H30-('V06 Calend 01'!I30*('V06 Calend 01'!E30-1))),'V06 Calend 01'!I30),0))+IF((111='V06 Calend 01'!D30),'V06 Calend 01'!J30,0))</f>
        <v>0</v>
      </c>
      <c r="DT30" s="2">
        <f>((IF((112='V06 Calend 01'!C30),('V06 Calend 01'!F30+'V06 Calend 01'!G30),0)+IF(AND(('V06 Calend 01'!E30&gt;0),(112&gt;'V06 Calend 01'!C30),(112&lt;'V06 Calend 01'!D30),(MOD((112-'V06 Calend 01'!C30),6)=0),(((112-'V06 Calend 01'!C30)/6)&lt;='V06 Calend 01'!E30)),IF((112=('V06 Calend 01'!C30+(6*'V06 Calend 01'!E30))),('V06 Calend 01'!H30-('V06 Calend 01'!I30*('V06 Calend 01'!E30-1))),'V06 Calend 01'!I30),0))+IF((112='V06 Calend 01'!D30),'V06 Calend 01'!J30,0))</f>
        <v>0</v>
      </c>
      <c r="DU30" s="2">
        <f>((IF((113='V06 Calend 01'!C30),('V06 Calend 01'!F30+'V06 Calend 01'!G30),0)+IF(AND(('V06 Calend 01'!E30&gt;0),(113&gt;'V06 Calend 01'!C30),(113&lt;'V06 Calend 01'!D30),(MOD((113-'V06 Calend 01'!C30),6)=0),(((113-'V06 Calend 01'!C30)/6)&lt;='V06 Calend 01'!E30)),IF((113=('V06 Calend 01'!C30+(6*'V06 Calend 01'!E30))),('V06 Calend 01'!H30-('V06 Calend 01'!I30*('V06 Calend 01'!E30-1))),'V06 Calend 01'!I30),0))+IF((113='V06 Calend 01'!D30),'V06 Calend 01'!J30,0))</f>
        <v>0</v>
      </c>
      <c r="DV30" s="2">
        <f>((IF((114='V06 Calend 01'!C30),('V06 Calend 01'!F30+'V06 Calend 01'!G30),0)+IF(AND(('V06 Calend 01'!E30&gt;0),(114&gt;'V06 Calend 01'!C30),(114&lt;'V06 Calend 01'!D30),(MOD((114-'V06 Calend 01'!C30),6)=0),(((114-'V06 Calend 01'!C30)/6)&lt;='V06 Calend 01'!E30)),IF((114=('V06 Calend 01'!C30+(6*'V06 Calend 01'!E30))),('V06 Calend 01'!H30-('V06 Calend 01'!I30*('V06 Calend 01'!E30-1))),'V06 Calend 01'!I30),0))+IF((114='V06 Calend 01'!D30),'V06 Calend 01'!J30,0))</f>
        <v>0</v>
      </c>
      <c r="DW30" s="2">
        <f>((IF((115='V06 Calend 01'!C30),('V06 Calend 01'!F30+'V06 Calend 01'!G30),0)+IF(AND(('V06 Calend 01'!E30&gt;0),(115&gt;'V06 Calend 01'!C30),(115&lt;'V06 Calend 01'!D30),(MOD((115-'V06 Calend 01'!C30),6)=0),(((115-'V06 Calend 01'!C30)/6)&lt;='V06 Calend 01'!E30)),IF((115=('V06 Calend 01'!C30+(6*'V06 Calend 01'!E30))),('V06 Calend 01'!H30-('V06 Calend 01'!I30*('V06 Calend 01'!E30-1))),'V06 Calend 01'!I30),0))+IF((115='V06 Calend 01'!D30),'V06 Calend 01'!J30,0))</f>
        <v>0</v>
      </c>
      <c r="DX30" s="2">
        <f>((IF((116='V06 Calend 01'!C30),('V06 Calend 01'!F30+'V06 Calend 01'!G30),0)+IF(AND(('V06 Calend 01'!E30&gt;0),(116&gt;'V06 Calend 01'!C30),(116&lt;'V06 Calend 01'!D30),(MOD((116-'V06 Calend 01'!C30),6)=0),(((116-'V06 Calend 01'!C30)/6)&lt;='V06 Calend 01'!E30)),IF((116=('V06 Calend 01'!C30+(6*'V06 Calend 01'!E30))),('V06 Calend 01'!H30-('V06 Calend 01'!I30*('V06 Calend 01'!E30-1))),'V06 Calend 01'!I30),0))+IF((116='V06 Calend 01'!D30),'V06 Calend 01'!J30,0))</f>
        <v>0</v>
      </c>
      <c r="DY30" s="2">
        <f>((IF((117='V06 Calend 01'!C30),('V06 Calend 01'!F30+'V06 Calend 01'!G30),0)+IF(AND(('V06 Calend 01'!E30&gt;0),(117&gt;'V06 Calend 01'!C30),(117&lt;'V06 Calend 01'!D30),(MOD((117-'V06 Calend 01'!C30),6)=0),(((117-'V06 Calend 01'!C30)/6)&lt;='V06 Calend 01'!E30)),IF((117=('V06 Calend 01'!C30+(6*'V06 Calend 01'!E30))),('V06 Calend 01'!H30-('V06 Calend 01'!I30*('V06 Calend 01'!E30-1))),'V06 Calend 01'!I30),0))+IF((117='V06 Calend 01'!D30),'V06 Calend 01'!J30,0))</f>
        <v>0</v>
      </c>
      <c r="DZ30" s="2">
        <f>((IF((118='V06 Calend 01'!C30),('V06 Calend 01'!F30+'V06 Calend 01'!G30),0)+IF(AND(('V06 Calend 01'!E30&gt;0),(118&gt;'V06 Calend 01'!C30),(118&lt;'V06 Calend 01'!D30),(MOD((118-'V06 Calend 01'!C30),6)=0),(((118-'V06 Calend 01'!C30)/6)&lt;='V06 Calend 01'!E30)),IF((118=('V06 Calend 01'!C30+(6*'V06 Calend 01'!E30))),('V06 Calend 01'!H30-('V06 Calend 01'!I30*('V06 Calend 01'!E30-1))),'V06 Calend 01'!I30),0))+IF((118='V06 Calend 01'!D30),'V06 Calend 01'!J30,0))</f>
        <v>0</v>
      </c>
      <c r="EA30" s="2">
        <f>((IF((119='V06 Calend 01'!C30),('V06 Calend 01'!F30+'V06 Calend 01'!G30),0)+IF(AND(('V06 Calend 01'!E30&gt;0),(119&gt;'V06 Calend 01'!C30),(119&lt;'V06 Calend 01'!D30),(MOD((119-'V06 Calend 01'!C30),6)=0),(((119-'V06 Calend 01'!C30)/6)&lt;='V06 Calend 01'!E30)),IF((119=('V06 Calend 01'!C30+(6*'V06 Calend 01'!E30))),('V06 Calend 01'!H30-('V06 Calend 01'!I30*('V06 Calend 01'!E30-1))),'V06 Calend 01'!I30),0))+IF((119='V06 Calend 01'!D30),'V06 Calend 01'!J30,0))</f>
        <v>0</v>
      </c>
      <c r="EB30" s="2">
        <f>((IF((120='V06 Calend 01'!C30),('V06 Calend 01'!F30+'V06 Calend 01'!G30),0)+IF(AND(('V06 Calend 01'!E30&gt;0),(120&gt;'V06 Calend 01'!C30),(120&lt;'V06 Calend 01'!D30),(MOD((120-'V06 Calend 01'!C30),6)=0),(((120-'V06 Calend 01'!C30)/6)&lt;='V06 Calend 01'!E30)),IF((120=('V06 Calend 01'!C30+(6*'V06 Calend 01'!E30))),('V06 Calend 01'!H30-('V06 Calend 01'!I30*('V06 Calend 01'!E30-1))),'V06 Calend 01'!I30),0))+IF((120='V06 Calend 01'!D30),'V06 Calend 01'!J30,0))</f>
        <v>0</v>
      </c>
      <c r="EC30" s="2">
        <f>((IF((121='V06 Calend 01'!C30),('V06 Calend 01'!F30+'V06 Calend 01'!G30),0)+IF(AND(('V06 Calend 01'!E30&gt;0),(121&gt;'V06 Calend 01'!C30),(121&lt;'V06 Calend 01'!D30),(MOD((121-'V06 Calend 01'!C30),6)=0),(((121-'V06 Calend 01'!C30)/6)&lt;='V06 Calend 01'!E30)),IF((121=('V06 Calend 01'!C30+(6*'V06 Calend 01'!E30))),('V06 Calend 01'!H30-('V06 Calend 01'!I30*('V06 Calend 01'!E30-1))),'V06 Calend 01'!I30),0))+IF((121='V06 Calend 01'!D30),'V06 Calend 01'!J30,0))</f>
        <v>0</v>
      </c>
      <c r="ED30" s="2">
        <f>((IF((122='V06 Calend 01'!C30),('V06 Calend 01'!F30+'V06 Calend 01'!G30),0)+IF(AND(('V06 Calend 01'!E30&gt;0),(122&gt;'V06 Calend 01'!C30),(122&lt;'V06 Calend 01'!D30),(MOD((122-'V06 Calend 01'!C30),6)=0),(((122-'V06 Calend 01'!C30)/6)&lt;='V06 Calend 01'!E30)),IF((122=('V06 Calend 01'!C30+(6*'V06 Calend 01'!E30))),('V06 Calend 01'!H30-('V06 Calend 01'!I30*('V06 Calend 01'!E30-1))),'V06 Calend 01'!I30),0))+IF((122='V06 Calend 01'!D30),'V06 Calend 01'!J30,0))</f>
        <v>0</v>
      </c>
      <c r="EE30" s="2">
        <f>((IF((123='V06 Calend 01'!C30),('V06 Calend 01'!F30+'V06 Calend 01'!G30),0)+IF(AND(('V06 Calend 01'!E30&gt;0),(123&gt;'V06 Calend 01'!C30),(123&lt;'V06 Calend 01'!D30),(MOD((123-'V06 Calend 01'!C30),6)=0),(((123-'V06 Calend 01'!C30)/6)&lt;='V06 Calend 01'!E30)),IF((123=('V06 Calend 01'!C30+(6*'V06 Calend 01'!E30))),('V06 Calend 01'!H30-('V06 Calend 01'!I30*('V06 Calend 01'!E30-1))),'V06 Calend 01'!I30),0))+IF((123='V06 Calend 01'!D30),'V06 Calend 01'!J30,0))</f>
        <v>0</v>
      </c>
      <c r="EF30" s="2">
        <f>((IF((124='V06 Calend 01'!C30),('V06 Calend 01'!F30+'V06 Calend 01'!G30),0)+IF(AND(('V06 Calend 01'!E30&gt;0),(124&gt;'V06 Calend 01'!C30),(124&lt;'V06 Calend 01'!D30),(MOD((124-'V06 Calend 01'!C30),6)=0),(((124-'V06 Calend 01'!C30)/6)&lt;='V06 Calend 01'!E30)),IF((124=('V06 Calend 01'!C30+(6*'V06 Calend 01'!E30))),('V06 Calend 01'!H30-('V06 Calend 01'!I30*('V06 Calend 01'!E30-1))),'V06 Calend 01'!I30),0))+IF((124='V06 Calend 01'!D30),'V06 Calend 01'!J30,0))</f>
        <v>0</v>
      </c>
      <c r="EG30" s="2">
        <f>((IF((125='V06 Calend 01'!C30),('V06 Calend 01'!F30+'V06 Calend 01'!G30),0)+IF(AND(('V06 Calend 01'!E30&gt;0),(125&gt;'V06 Calend 01'!C30),(125&lt;'V06 Calend 01'!D30),(MOD((125-'V06 Calend 01'!C30),6)=0),(((125-'V06 Calend 01'!C30)/6)&lt;='V06 Calend 01'!E30)),IF((125=('V06 Calend 01'!C30+(6*'V06 Calend 01'!E30))),('V06 Calend 01'!H30-('V06 Calend 01'!I30*('V06 Calend 01'!E30-1))),'V06 Calend 01'!I30),0))+IF((125='V06 Calend 01'!D30),'V06 Calend 01'!J30,0))</f>
        <v>0</v>
      </c>
      <c r="EH30" s="2">
        <f>((IF((126='V06 Calend 01'!C30),('V06 Calend 01'!F30+'V06 Calend 01'!G30),0)+IF(AND(('V06 Calend 01'!E30&gt;0),(126&gt;'V06 Calend 01'!C30),(126&lt;'V06 Calend 01'!D30),(MOD((126-'V06 Calend 01'!C30),6)=0),(((126-'V06 Calend 01'!C30)/6)&lt;='V06 Calend 01'!E30)),IF((126=('V06 Calend 01'!C30+(6*'V06 Calend 01'!E30))),('V06 Calend 01'!H30-('V06 Calend 01'!I30*('V06 Calend 01'!E30-1))),'V06 Calend 01'!I30),0))+IF((126='V06 Calend 01'!D30),'V06 Calend 01'!J30,0))</f>
        <v>0</v>
      </c>
      <c r="EI30" s="2">
        <f>((IF((127='V06 Calend 01'!C30),('V06 Calend 01'!F30+'V06 Calend 01'!G30),0)+IF(AND(('V06 Calend 01'!E30&gt;0),(127&gt;'V06 Calend 01'!C30),(127&lt;'V06 Calend 01'!D30),(MOD((127-'V06 Calend 01'!C30),6)=0),(((127-'V06 Calend 01'!C30)/6)&lt;='V06 Calend 01'!E30)),IF((127=('V06 Calend 01'!C30+(6*'V06 Calend 01'!E30))),('V06 Calend 01'!H30-('V06 Calend 01'!I30*('V06 Calend 01'!E30-1))),'V06 Calend 01'!I30),0))+IF((127='V06 Calend 01'!D30),'V06 Calend 01'!J30,0))</f>
        <v>0</v>
      </c>
      <c r="EJ30" s="2">
        <f>((IF((128='V06 Calend 01'!C30),('V06 Calend 01'!F30+'V06 Calend 01'!G30),0)+IF(AND(('V06 Calend 01'!E30&gt;0),(128&gt;'V06 Calend 01'!C30),(128&lt;'V06 Calend 01'!D30),(MOD((128-'V06 Calend 01'!C30),6)=0),(((128-'V06 Calend 01'!C30)/6)&lt;='V06 Calend 01'!E30)),IF((128=('V06 Calend 01'!C30+(6*'V06 Calend 01'!E30))),('V06 Calend 01'!H30-('V06 Calend 01'!I30*('V06 Calend 01'!E30-1))),'V06 Calend 01'!I30),0))+IF((128='V06 Calend 01'!D30),'V06 Calend 01'!J30,0))</f>
        <v>0</v>
      </c>
      <c r="EK30" s="2">
        <f>((IF((129='V06 Calend 01'!C30),('V06 Calend 01'!F30+'V06 Calend 01'!G30),0)+IF(AND(('V06 Calend 01'!E30&gt;0),(129&gt;'V06 Calend 01'!C30),(129&lt;'V06 Calend 01'!D30),(MOD((129-'V06 Calend 01'!C30),6)=0),(((129-'V06 Calend 01'!C30)/6)&lt;='V06 Calend 01'!E30)),IF((129=('V06 Calend 01'!C30+(6*'V06 Calend 01'!E30))),('V06 Calend 01'!H30-('V06 Calend 01'!I30*('V06 Calend 01'!E30-1))),'V06 Calend 01'!I30),0))+IF((129='V06 Calend 01'!D30),'V06 Calend 01'!J30,0))</f>
        <v>0</v>
      </c>
      <c r="EL30" s="2">
        <f>((IF((130='V06 Calend 01'!C30),('V06 Calend 01'!F30+'V06 Calend 01'!G30),0)+IF(AND(('V06 Calend 01'!E30&gt;0),(130&gt;'V06 Calend 01'!C30),(130&lt;'V06 Calend 01'!D30),(MOD((130-'V06 Calend 01'!C30),6)=0),(((130-'V06 Calend 01'!C30)/6)&lt;='V06 Calend 01'!E30)),IF((130=('V06 Calend 01'!C30+(6*'V06 Calend 01'!E30))),('V06 Calend 01'!H30-('V06 Calend 01'!I30*('V06 Calend 01'!E30-1))),'V06 Calend 01'!I30),0))+IF((130='V06 Calend 01'!D30),'V06 Calend 01'!J30,0))</f>
        <v>0</v>
      </c>
      <c r="EM30" s="2">
        <f>((IF((131='V06 Calend 01'!C30),('V06 Calend 01'!F30+'V06 Calend 01'!G30),0)+IF(AND(('V06 Calend 01'!E30&gt;0),(131&gt;'V06 Calend 01'!C30),(131&lt;'V06 Calend 01'!D30),(MOD((131-'V06 Calend 01'!C30),6)=0),(((131-'V06 Calend 01'!C30)/6)&lt;='V06 Calend 01'!E30)),IF((131=('V06 Calend 01'!C30+(6*'V06 Calend 01'!E30))),('V06 Calend 01'!H30-('V06 Calend 01'!I30*('V06 Calend 01'!E30-1))),'V06 Calend 01'!I30),0))+IF((131='V06 Calend 01'!D30),'V06 Calend 01'!J30,0))</f>
        <v>0</v>
      </c>
      <c r="EN30" s="2">
        <f>((IF((132='V06 Calend 01'!C30),('V06 Calend 01'!F30+'V06 Calend 01'!G30),0)+IF(AND(('V06 Calend 01'!E30&gt;0),(132&gt;'V06 Calend 01'!C30),(132&lt;'V06 Calend 01'!D30),(MOD((132-'V06 Calend 01'!C30),6)=0),(((132-'V06 Calend 01'!C30)/6)&lt;='V06 Calend 01'!E30)),IF((132=('V06 Calend 01'!C30+(6*'V06 Calend 01'!E30))),('V06 Calend 01'!H30-('V06 Calend 01'!I30*('V06 Calend 01'!E30-1))),'V06 Calend 01'!I30),0))+IF((132='V06 Calend 01'!D30),'V06 Calend 01'!J30,0))</f>
        <v>0</v>
      </c>
      <c r="EO30" s="2">
        <f>((IF((133='V06 Calend 01'!C30),('V06 Calend 01'!F30+'V06 Calend 01'!G30),0)+IF(AND(('V06 Calend 01'!E30&gt;0),(133&gt;'V06 Calend 01'!C30),(133&lt;'V06 Calend 01'!D30),(MOD((133-'V06 Calend 01'!C30),6)=0),(((133-'V06 Calend 01'!C30)/6)&lt;='V06 Calend 01'!E30)),IF((133=('V06 Calend 01'!C30+(6*'V06 Calend 01'!E30))),('V06 Calend 01'!H30-('V06 Calend 01'!I30*('V06 Calend 01'!E30-1))),'V06 Calend 01'!I30),0))+IF((133='V06 Calend 01'!D30),'V06 Calend 01'!J30,0))</f>
        <v>0</v>
      </c>
      <c r="EP30" s="2">
        <f>((IF((134='V06 Calend 01'!C30),('V06 Calend 01'!F30+'V06 Calend 01'!G30),0)+IF(AND(('V06 Calend 01'!E30&gt;0),(134&gt;'V06 Calend 01'!C30),(134&lt;'V06 Calend 01'!D30),(MOD((134-'V06 Calend 01'!C30),6)=0),(((134-'V06 Calend 01'!C30)/6)&lt;='V06 Calend 01'!E30)),IF((134=('V06 Calend 01'!C30+(6*'V06 Calend 01'!E30))),('V06 Calend 01'!H30-('V06 Calend 01'!I30*('V06 Calend 01'!E30-1))),'V06 Calend 01'!I30),0))+IF((134='V06 Calend 01'!D30),'V06 Calend 01'!J30,0))</f>
        <v>0</v>
      </c>
      <c r="EQ30" s="2">
        <f>((IF((135='V06 Calend 01'!C30),('V06 Calend 01'!F30+'V06 Calend 01'!G30),0)+IF(AND(('V06 Calend 01'!E30&gt;0),(135&gt;'V06 Calend 01'!C30),(135&lt;'V06 Calend 01'!D30),(MOD((135-'V06 Calend 01'!C30),6)=0),(((135-'V06 Calend 01'!C30)/6)&lt;='V06 Calend 01'!E30)),IF((135=('V06 Calend 01'!C30+(6*'V06 Calend 01'!E30))),('V06 Calend 01'!H30-('V06 Calend 01'!I30*('V06 Calend 01'!E30-1))),'V06 Calend 01'!I30),0))+IF((135='V06 Calend 01'!D30),'V06 Calend 01'!J30,0))</f>
        <v>0</v>
      </c>
      <c r="ER30" s="2">
        <f>((IF((136='V06 Calend 01'!C30),('V06 Calend 01'!F30+'V06 Calend 01'!G30),0)+IF(AND(('V06 Calend 01'!E30&gt;0),(136&gt;'V06 Calend 01'!C30),(136&lt;'V06 Calend 01'!D30),(MOD((136-'V06 Calend 01'!C30),6)=0),(((136-'V06 Calend 01'!C30)/6)&lt;='V06 Calend 01'!E30)),IF((136=('V06 Calend 01'!C30+(6*'V06 Calend 01'!E30))),('V06 Calend 01'!H30-('V06 Calend 01'!I30*('V06 Calend 01'!E30-1))),'V06 Calend 01'!I30),0))+IF((136='V06 Calend 01'!D30),'V06 Calend 01'!J30,0))</f>
        <v>0</v>
      </c>
      <c r="ES30" s="2">
        <f>((IF((137='V06 Calend 01'!C30),('V06 Calend 01'!F30+'V06 Calend 01'!G30),0)+IF(AND(('V06 Calend 01'!E30&gt;0),(137&gt;'V06 Calend 01'!C30),(137&lt;'V06 Calend 01'!D30),(MOD((137-'V06 Calend 01'!C30),6)=0),(((137-'V06 Calend 01'!C30)/6)&lt;='V06 Calend 01'!E30)),IF((137=('V06 Calend 01'!C30+(6*'V06 Calend 01'!E30))),('V06 Calend 01'!H30-('V06 Calend 01'!I30*('V06 Calend 01'!E30-1))),'V06 Calend 01'!I30),0))+IF((137='V06 Calend 01'!D30),'V06 Calend 01'!J30,0))</f>
        <v>0</v>
      </c>
      <c r="ET30" s="2">
        <f>((IF((138='V06 Calend 01'!C30),('V06 Calend 01'!F30+'V06 Calend 01'!G30),0)+IF(AND(('V06 Calend 01'!E30&gt;0),(138&gt;'V06 Calend 01'!C30),(138&lt;'V06 Calend 01'!D30),(MOD((138-'V06 Calend 01'!C30),6)=0),(((138-'V06 Calend 01'!C30)/6)&lt;='V06 Calend 01'!E30)),IF((138=('V06 Calend 01'!C30+(6*'V06 Calend 01'!E30))),('V06 Calend 01'!H30-('V06 Calend 01'!I30*('V06 Calend 01'!E30-1))),'V06 Calend 01'!I30),0))+IF((138='V06 Calend 01'!D30),'V06 Calend 01'!J30,0))</f>
        <v>0</v>
      </c>
      <c r="EU30" s="2">
        <f>((IF((139='V06 Calend 01'!C30),('V06 Calend 01'!F30+'V06 Calend 01'!G30),0)+IF(AND(('V06 Calend 01'!E30&gt;0),(139&gt;'V06 Calend 01'!C30),(139&lt;'V06 Calend 01'!D30),(MOD((139-'V06 Calend 01'!C30),6)=0),(((139-'V06 Calend 01'!C30)/6)&lt;='V06 Calend 01'!E30)),IF((139=('V06 Calend 01'!C30+(6*'V06 Calend 01'!E30))),('V06 Calend 01'!H30-('V06 Calend 01'!I30*('V06 Calend 01'!E30-1))),'V06 Calend 01'!I30),0))+IF((139='V06 Calend 01'!D30),'V06 Calend 01'!J30,0))</f>
        <v>0</v>
      </c>
      <c r="EV30" s="2">
        <f>((IF((140='V06 Calend 01'!C30),('V06 Calend 01'!F30+'V06 Calend 01'!G30),0)+IF(AND(('V06 Calend 01'!E30&gt;0),(140&gt;'V06 Calend 01'!C30),(140&lt;'V06 Calend 01'!D30),(MOD((140-'V06 Calend 01'!C30),6)=0),(((140-'V06 Calend 01'!C30)/6)&lt;='V06 Calend 01'!E30)),IF((140=('V06 Calend 01'!C30+(6*'V06 Calend 01'!E30))),('V06 Calend 01'!H30-('V06 Calend 01'!I30*('V06 Calend 01'!E30-1))),'V06 Calend 01'!I30),0))+IF((140='V06 Calend 01'!D30),'V06 Calend 01'!J30,0))</f>
        <v>0</v>
      </c>
      <c r="EW30" s="2">
        <f>((IF((141='V06 Calend 01'!C30),('V06 Calend 01'!F30+'V06 Calend 01'!G30),0)+IF(AND(('V06 Calend 01'!E30&gt;0),(141&gt;'V06 Calend 01'!C30),(141&lt;'V06 Calend 01'!D30),(MOD((141-'V06 Calend 01'!C30),6)=0),(((141-'V06 Calend 01'!C30)/6)&lt;='V06 Calend 01'!E30)),IF((141=('V06 Calend 01'!C30+(6*'V06 Calend 01'!E30))),('V06 Calend 01'!H30-('V06 Calend 01'!I30*('V06 Calend 01'!E30-1))),'V06 Calend 01'!I30),0))+IF((141='V06 Calend 01'!D30),'V06 Calend 01'!J30,0))</f>
        <v>0</v>
      </c>
      <c r="EX30" s="2">
        <f>((IF((142='V06 Calend 01'!C30),('V06 Calend 01'!F30+'V06 Calend 01'!G30),0)+IF(AND(('V06 Calend 01'!E30&gt;0),(142&gt;'V06 Calend 01'!C30),(142&lt;'V06 Calend 01'!D30),(MOD((142-'V06 Calend 01'!C30),6)=0),(((142-'V06 Calend 01'!C30)/6)&lt;='V06 Calend 01'!E30)),IF((142=('V06 Calend 01'!C30+(6*'V06 Calend 01'!E30))),('V06 Calend 01'!H30-('V06 Calend 01'!I30*('V06 Calend 01'!E30-1))),'V06 Calend 01'!I30),0))+IF((142='V06 Calend 01'!D30),'V06 Calend 01'!J30,0))</f>
        <v>0</v>
      </c>
      <c r="EY30" s="2">
        <f>((IF((143='V06 Calend 01'!C30),('V06 Calend 01'!F30+'V06 Calend 01'!G30),0)+IF(AND(('V06 Calend 01'!E30&gt;0),(143&gt;'V06 Calend 01'!C30),(143&lt;'V06 Calend 01'!D30),(MOD((143-'V06 Calend 01'!C30),6)=0),(((143-'V06 Calend 01'!C30)/6)&lt;='V06 Calend 01'!E30)),IF((143=('V06 Calend 01'!C30+(6*'V06 Calend 01'!E30))),('V06 Calend 01'!H30-('V06 Calend 01'!I30*('V06 Calend 01'!E30-1))),'V06 Calend 01'!I30),0))+IF((143='V06 Calend 01'!D30),'V06 Calend 01'!J30,0))</f>
        <v>0</v>
      </c>
      <c r="EZ30" s="2">
        <f>((IF((144='V06 Calend 01'!C30),('V06 Calend 01'!F30+'V06 Calend 01'!G30),0)+IF(AND(('V06 Calend 01'!E30&gt;0),(144&gt;'V06 Calend 01'!C30),(144&lt;'V06 Calend 01'!D30),(MOD((144-'V06 Calend 01'!C30),6)=0),(((144-'V06 Calend 01'!C30)/6)&lt;='V06 Calend 01'!E30)),IF((144=('V06 Calend 01'!C30+(6*'V06 Calend 01'!E30))),('V06 Calend 01'!H30-('V06 Calend 01'!I30*('V06 Calend 01'!E30-1))),'V06 Calend 01'!I30),0))+IF((144='V06 Calend 01'!D30),'V06 Calend 01'!J30,0))</f>
        <v>0</v>
      </c>
      <c r="FA30" s="2">
        <f>((IF((145='V06 Calend 01'!C30),('V06 Calend 01'!F30+'V06 Calend 01'!G30),0)+IF(AND(('V06 Calend 01'!E30&gt;0),(145&gt;'V06 Calend 01'!C30),(145&lt;'V06 Calend 01'!D30),(MOD((145-'V06 Calend 01'!C30),6)=0),(((145-'V06 Calend 01'!C30)/6)&lt;='V06 Calend 01'!E30)),IF((145=('V06 Calend 01'!C30+(6*'V06 Calend 01'!E30))),('V06 Calend 01'!H30-('V06 Calend 01'!I30*('V06 Calend 01'!E30-1))),'V06 Calend 01'!I30),0))+IF((145='V06 Calend 01'!D30),'V06 Calend 01'!J30,0))</f>
        <v>0</v>
      </c>
      <c r="FB30" s="2">
        <f>((IF((146='V06 Calend 01'!C30),('V06 Calend 01'!F30+'V06 Calend 01'!G30),0)+IF(AND(('V06 Calend 01'!E30&gt;0),(146&gt;'V06 Calend 01'!C30),(146&lt;'V06 Calend 01'!D30),(MOD((146-'V06 Calend 01'!C30),6)=0),(((146-'V06 Calend 01'!C30)/6)&lt;='V06 Calend 01'!E30)),IF((146=('V06 Calend 01'!C30+(6*'V06 Calend 01'!E30))),('V06 Calend 01'!H30-('V06 Calend 01'!I30*('V06 Calend 01'!E30-1))),'V06 Calend 01'!I30),0))+IF((146='V06 Calend 01'!D30),'V06 Calend 01'!J30,0))</f>
        <v>0</v>
      </c>
      <c r="FC30" s="2">
        <f>((IF((147='V06 Calend 01'!C30),('V06 Calend 01'!F30+'V06 Calend 01'!G30),0)+IF(AND(('V06 Calend 01'!E30&gt;0),(147&gt;'V06 Calend 01'!C30),(147&lt;'V06 Calend 01'!D30),(MOD((147-'V06 Calend 01'!C30),6)=0),(((147-'V06 Calend 01'!C30)/6)&lt;='V06 Calend 01'!E30)),IF((147=('V06 Calend 01'!C30+(6*'V06 Calend 01'!E30))),('V06 Calend 01'!H30-('V06 Calend 01'!I30*('V06 Calend 01'!E30-1))),'V06 Calend 01'!I30),0))+IF((147='V06 Calend 01'!D30),'V06 Calend 01'!J30,0))</f>
        <v>0</v>
      </c>
      <c r="FD30" s="2">
        <f>((IF((148='V06 Calend 01'!C30),('V06 Calend 01'!F30+'V06 Calend 01'!G30),0)+IF(AND(('V06 Calend 01'!E30&gt;0),(148&gt;'V06 Calend 01'!C30),(148&lt;'V06 Calend 01'!D30),(MOD((148-'V06 Calend 01'!C30),6)=0),(((148-'V06 Calend 01'!C30)/6)&lt;='V06 Calend 01'!E30)),IF((148=('V06 Calend 01'!C30+(6*'V06 Calend 01'!E30))),('V06 Calend 01'!H30-('V06 Calend 01'!I30*('V06 Calend 01'!E30-1))),'V06 Calend 01'!I30),0))+IF((148='V06 Calend 01'!D30),'V06 Calend 01'!J30,0))</f>
        <v>0</v>
      </c>
      <c r="FE30" s="2">
        <f>((IF((149='V06 Calend 01'!C30),('V06 Calend 01'!F30+'V06 Calend 01'!G30),0)+IF(AND(('V06 Calend 01'!E30&gt;0),(149&gt;'V06 Calend 01'!C30),(149&lt;'V06 Calend 01'!D30),(MOD((149-'V06 Calend 01'!C30),6)=0),(((149-'V06 Calend 01'!C30)/6)&lt;='V06 Calend 01'!E30)),IF((149=('V06 Calend 01'!C30+(6*'V06 Calend 01'!E30))),('V06 Calend 01'!H30-('V06 Calend 01'!I30*('V06 Calend 01'!E30-1))),'V06 Calend 01'!I30),0))+IF((149='V06 Calend 01'!D30),'V06 Calend 01'!J30,0))</f>
        <v>0</v>
      </c>
      <c r="FF30" s="2">
        <f>((IF((150='V06 Calend 01'!C30),('V06 Calend 01'!F30+'V06 Calend 01'!G30),0)+IF(AND(('V06 Calend 01'!E30&gt;0),(150&gt;'V06 Calend 01'!C30),(150&lt;'V06 Calend 01'!D30),(MOD((150-'V06 Calend 01'!C30),6)=0),(((150-'V06 Calend 01'!C30)/6)&lt;='V06 Calend 01'!E30)),IF((150=('V06 Calend 01'!C30+(6*'V06 Calend 01'!E30))),('V06 Calend 01'!H30-('V06 Calend 01'!I30*('V06 Calend 01'!E30-1))),'V06 Calend 01'!I30),0))+IF((150='V06 Calend 01'!D30),'V06 Calend 01'!J30,0))</f>
        <v>0</v>
      </c>
      <c r="FG30" s="2">
        <f>((IF((151='V06 Calend 01'!C30),('V06 Calend 01'!F30+'V06 Calend 01'!G30),0)+IF(AND(('V06 Calend 01'!E30&gt;0),(151&gt;'V06 Calend 01'!C30),(151&lt;'V06 Calend 01'!D30),(MOD((151-'V06 Calend 01'!C30),6)=0),(((151-'V06 Calend 01'!C30)/6)&lt;='V06 Calend 01'!E30)),IF((151=('V06 Calend 01'!C30+(6*'V06 Calend 01'!E30))),('V06 Calend 01'!H30-('V06 Calend 01'!I30*('V06 Calend 01'!E30-1))),'V06 Calend 01'!I30),0))+IF((151='V06 Calend 01'!D30),'V06 Calend 01'!J30,0))</f>
        <v>0</v>
      </c>
      <c r="FH30" s="2">
        <f>((IF((152='V06 Calend 01'!C30),('V06 Calend 01'!F30+'V06 Calend 01'!G30),0)+IF(AND(('V06 Calend 01'!E30&gt;0),(152&gt;'V06 Calend 01'!C30),(152&lt;'V06 Calend 01'!D30),(MOD((152-'V06 Calend 01'!C30),6)=0),(((152-'V06 Calend 01'!C30)/6)&lt;='V06 Calend 01'!E30)),IF((152=('V06 Calend 01'!C30+(6*'V06 Calend 01'!E30))),('V06 Calend 01'!H30-('V06 Calend 01'!I30*('V06 Calend 01'!E30-1))),'V06 Calend 01'!I30),0))+IF((152='V06 Calend 01'!D30),'V06 Calend 01'!J30,0))</f>
        <v>0</v>
      </c>
      <c r="FI30" s="2">
        <f>((IF((153='V06 Calend 01'!C30),('V06 Calend 01'!F30+'V06 Calend 01'!G30),0)+IF(AND(('V06 Calend 01'!E30&gt;0),(153&gt;'V06 Calend 01'!C30),(153&lt;'V06 Calend 01'!D30),(MOD((153-'V06 Calend 01'!C30),6)=0),(((153-'V06 Calend 01'!C30)/6)&lt;='V06 Calend 01'!E30)),IF((153=('V06 Calend 01'!C30+(6*'V06 Calend 01'!E30))),('V06 Calend 01'!H30-('V06 Calend 01'!I30*('V06 Calend 01'!E30-1))),'V06 Calend 01'!I30),0))+IF((153='V06 Calend 01'!D30),'V06 Calend 01'!J30,0))</f>
        <v>0</v>
      </c>
      <c r="FJ30" s="2">
        <f>((IF((154='V06 Calend 01'!C30),('V06 Calend 01'!F30+'V06 Calend 01'!G30),0)+IF(AND(('V06 Calend 01'!E30&gt;0),(154&gt;'V06 Calend 01'!C30),(154&lt;'V06 Calend 01'!D30),(MOD((154-'V06 Calend 01'!C30),6)=0),(((154-'V06 Calend 01'!C30)/6)&lt;='V06 Calend 01'!E30)),IF((154=('V06 Calend 01'!C30+(6*'V06 Calend 01'!E30))),('V06 Calend 01'!H30-('V06 Calend 01'!I30*('V06 Calend 01'!E30-1))),'V06 Calend 01'!I30),0))+IF((154='V06 Calend 01'!D30),'V06 Calend 01'!J30,0))</f>
        <v>0</v>
      </c>
      <c r="FK30" s="2">
        <f>((IF((155='V06 Calend 01'!C30),('V06 Calend 01'!F30+'V06 Calend 01'!G30),0)+IF(AND(('V06 Calend 01'!E30&gt;0),(155&gt;'V06 Calend 01'!C30),(155&lt;'V06 Calend 01'!D30),(MOD((155-'V06 Calend 01'!C30),6)=0),(((155-'V06 Calend 01'!C30)/6)&lt;='V06 Calend 01'!E30)),IF((155=('V06 Calend 01'!C30+(6*'V06 Calend 01'!E30))),('V06 Calend 01'!H30-('V06 Calend 01'!I30*('V06 Calend 01'!E30-1))),'V06 Calend 01'!I30),0))+IF((155='V06 Calend 01'!D30),'V06 Calend 01'!J30,0))</f>
        <v>0</v>
      </c>
      <c r="FL30" s="2">
        <f>((IF((156='V06 Calend 01'!C30),('V06 Calend 01'!F30+'V06 Calend 01'!G30),0)+IF(AND(('V06 Calend 01'!E30&gt;0),(156&gt;'V06 Calend 01'!C30),(156&lt;'V06 Calend 01'!D30),(MOD((156-'V06 Calend 01'!C30),6)=0),(((156-'V06 Calend 01'!C30)/6)&lt;='V06 Calend 01'!E30)),IF((156=('V06 Calend 01'!C30+(6*'V06 Calend 01'!E30))),('V06 Calend 01'!H30-('V06 Calend 01'!I30*('V06 Calend 01'!E30-1))),'V06 Calend 01'!I30),0))+IF((156='V06 Calend 01'!D30),'V06 Calend 01'!J30,0))</f>
        <v>0</v>
      </c>
      <c r="FM30" s="2">
        <f>((IF((157='V06 Calend 01'!C30),('V06 Calend 01'!F30+'V06 Calend 01'!G30),0)+IF(AND(('V06 Calend 01'!E30&gt;0),(157&gt;'V06 Calend 01'!C30),(157&lt;'V06 Calend 01'!D30),(MOD((157-'V06 Calend 01'!C30),6)=0),(((157-'V06 Calend 01'!C30)/6)&lt;='V06 Calend 01'!E30)),IF((157=('V06 Calend 01'!C30+(6*'V06 Calend 01'!E30))),('V06 Calend 01'!H30-('V06 Calend 01'!I30*('V06 Calend 01'!E30-1))),'V06 Calend 01'!I30),0))+IF((157='V06 Calend 01'!D30),'V06 Calend 01'!J30,0))</f>
        <v>0</v>
      </c>
      <c r="FN30" s="2">
        <f>((IF((158='V06 Calend 01'!C30),('V06 Calend 01'!F30+'V06 Calend 01'!G30),0)+IF(AND(('V06 Calend 01'!E30&gt;0),(158&gt;'V06 Calend 01'!C30),(158&lt;'V06 Calend 01'!D30),(MOD((158-'V06 Calend 01'!C30),6)=0),(((158-'V06 Calend 01'!C30)/6)&lt;='V06 Calend 01'!E30)),IF((158=('V06 Calend 01'!C30+(6*'V06 Calend 01'!E30))),('V06 Calend 01'!H30-('V06 Calend 01'!I30*('V06 Calend 01'!E30-1))),'V06 Calend 01'!I30),0))+IF((158='V06 Calend 01'!D30),'V06 Calend 01'!J30,0))</f>
        <v>0</v>
      </c>
      <c r="FO30" s="2">
        <f>((IF((159='V06 Calend 01'!C30),('V06 Calend 01'!F30+'V06 Calend 01'!G30),0)+IF(AND(('V06 Calend 01'!E30&gt;0),(159&gt;'V06 Calend 01'!C30),(159&lt;'V06 Calend 01'!D30),(MOD((159-'V06 Calend 01'!C30),6)=0),(((159-'V06 Calend 01'!C30)/6)&lt;='V06 Calend 01'!E30)),IF((159=('V06 Calend 01'!C30+(6*'V06 Calend 01'!E30))),('V06 Calend 01'!H30-('V06 Calend 01'!I30*('V06 Calend 01'!E30-1))),'V06 Calend 01'!I30),0))+IF((159='V06 Calend 01'!D30),'V06 Calend 01'!J30,0))</f>
        <v>0</v>
      </c>
      <c r="FP30" s="2">
        <f>((IF((160='V06 Calend 01'!C30),('V06 Calend 01'!F30+'V06 Calend 01'!G30),0)+IF(AND(('V06 Calend 01'!E30&gt;0),(160&gt;'V06 Calend 01'!C30),(160&lt;'V06 Calend 01'!D30),(MOD((160-'V06 Calend 01'!C30),6)=0),(((160-'V06 Calend 01'!C30)/6)&lt;='V06 Calend 01'!E30)),IF((160=('V06 Calend 01'!C30+(6*'V06 Calend 01'!E30))),('V06 Calend 01'!H30-('V06 Calend 01'!I30*('V06 Calend 01'!E30-1))),'V06 Calend 01'!I30),0))+IF((160='V06 Calend 01'!D30),'V06 Calend 01'!J30,0))</f>
        <v>0</v>
      </c>
      <c r="FQ30" s="2">
        <f>((IF((161='V06 Calend 01'!C30),('V06 Calend 01'!F30+'V06 Calend 01'!G30),0)+IF(AND(('V06 Calend 01'!E30&gt;0),(161&gt;'V06 Calend 01'!C30),(161&lt;'V06 Calend 01'!D30),(MOD((161-'V06 Calend 01'!C30),6)=0),(((161-'V06 Calend 01'!C30)/6)&lt;='V06 Calend 01'!E30)),IF((161=('V06 Calend 01'!C30+(6*'V06 Calend 01'!E30))),('V06 Calend 01'!H30-('V06 Calend 01'!I30*('V06 Calend 01'!E30-1))),'V06 Calend 01'!I30),0))+IF((161='V06 Calend 01'!D30),'V06 Calend 01'!J30,0))</f>
        <v>0</v>
      </c>
      <c r="FR30" s="2">
        <f>((IF((162='V06 Calend 01'!C30),('V06 Calend 01'!F30+'V06 Calend 01'!G30),0)+IF(AND(('V06 Calend 01'!E30&gt;0),(162&gt;'V06 Calend 01'!C30),(162&lt;'V06 Calend 01'!D30),(MOD((162-'V06 Calend 01'!C30),6)=0),(((162-'V06 Calend 01'!C30)/6)&lt;='V06 Calend 01'!E30)),IF((162=('V06 Calend 01'!C30+(6*'V06 Calend 01'!E30))),('V06 Calend 01'!H30-('V06 Calend 01'!I30*('V06 Calend 01'!E30-1))),'V06 Calend 01'!I30),0))+IF((162='V06 Calend 01'!D30),'V06 Calend 01'!J30,0))</f>
        <v>0</v>
      </c>
      <c r="FS30" s="2">
        <f>((IF((163='V06 Calend 01'!C30),('V06 Calend 01'!F30+'V06 Calend 01'!G30),0)+IF(AND(('V06 Calend 01'!E30&gt;0),(163&gt;'V06 Calend 01'!C30),(163&lt;'V06 Calend 01'!D30),(MOD((163-'V06 Calend 01'!C30),6)=0),(((163-'V06 Calend 01'!C30)/6)&lt;='V06 Calend 01'!E30)),IF((163=('V06 Calend 01'!C30+(6*'V06 Calend 01'!E30))),('V06 Calend 01'!H30-('V06 Calend 01'!I30*('V06 Calend 01'!E30-1))),'V06 Calend 01'!I30),0))+IF((163='V06 Calend 01'!D30),'V06 Calend 01'!J30,0))</f>
        <v>0</v>
      </c>
      <c r="FT30" s="2">
        <f>((IF((164='V06 Calend 01'!C30),('V06 Calend 01'!F30+'V06 Calend 01'!G30),0)+IF(AND(('V06 Calend 01'!E30&gt;0),(164&gt;'V06 Calend 01'!C30),(164&lt;'V06 Calend 01'!D30),(MOD((164-'V06 Calend 01'!C30),6)=0),(((164-'V06 Calend 01'!C30)/6)&lt;='V06 Calend 01'!E30)),IF((164=('V06 Calend 01'!C30+(6*'V06 Calend 01'!E30))),('V06 Calend 01'!H30-('V06 Calend 01'!I30*('V06 Calend 01'!E30-1))),'V06 Calend 01'!I30),0))+IF((164='V06 Calend 01'!D30),'V06 Calend 01'!J30,0))</f>
        <v>0</v>
      </c>
      <c r="FU30" s="2">
        <f>((IF((165='V06 Calend 01'!C30),('V06 Calend 01'!F30+'V06 Calend 01'!G30),0)+IF(AND(('V06 Calend 01'!E30&gt;0),(165&gt;'V06 Calend 01'!C30),(165&lt;'V06 Calend 01'!D30),(MOD((165-'V06 Calend 01'!C30),6)=0),(((165-'V06 Calend 01'!C30)/6)&lt;='V06 Calend 01'!E30)),IF((165=('V06 Calend 01'!C30+(6*'V06 Calend 01'!E30))),('V06 Calend 01'!H30-('V06 Calend 01'!I30*('V06 Calend 01'!E30-1))),'V06 Calend 01'!I30),0))+IF((165='V06 Calend 01'!D30),'V06 Calend 01'!J30,0))</f>
        <v>0</v>
      </c>
      <c r="FV30" s="2">
        <f>((IF((166='V06 Calend 01'!C30),('V06 Calend 01'!F30+'V06 Calend 01'!G30),0)+IF(AND(('V06 Calend 01'!E30&gt;0),(166&gt;'V06 Calend 01'!C30),(166&lt;'V06 Calend 01'!D30),(MOD((166-'V06 Calend 01'!C30),6)=0),(((166-'V06 Calend 01'!C30)/6)&lt;='V06 Calend 01'!E30)),IF((166=('V06 Calend 01'!C30+(6*'V06 Calend 01'!E30))),('V06 Calend 01'!H30-('V06 Calend 01'!I30*('V06 Calend 01'!E30-1))),'V06 Calend 01'!I30),0))+IF((166='V06 Calend 01'!D30),'V06 Calend 01'!J30,0))</f>
        <v>0</v>
      </c>
      <c r="FW30" s="2">
        <f>((IF((167='V06 Calend 01'!C30),('V06 Calend 01'!F30+'V06 Calend 01'!G30),0)+IF(AND(('V06 Calend 01'!E30&gt;0),(167&gt;'V06 Calend 01'!C30),(167&lt;'V06 Calend 01'!D30),(MOD((167-'V06 Calend 01'!C30),6)=0),(((167-'V06 Calend 01'!C30)/6)&lt;='V06 Calend 01'!E30)),IF((167=('V06 Calend 01'!C30+(6*'V06 Calend 01'!E30))),('V06 Calend 01'!H30-('V06 Calend 01'!I30*('V06 Calend 01'!E30-1))),'V06 Calend 01'!I30),0))+IF((167='V06 Calend 01'!D30),'V06 Calend 01'!J30,0))</f>
        <v>0</v>
      </c>
      <c r="FX30" s="2">
        <f>((IF((168='V06 Calend 01'!C30),('V06 Calend 01'!F30+'V06 Calend 01'!G30),0)+IF(AND(('V06 Calend 01'!E30&gt;0),(168&gt;'V06 Calend 01'!C30),(168&lt;'V06 Calend 01'!D30),(MOD((168-'V06 Calend 01'!C30),6)=0),(((168-'V06 Calend 01'!C30)/6)&lt;='V06 Calend 01'!E30)),IF((168=('V06 Calend 01'!C30+(6*'V06 Calend 01'!E30))),('V06 Calend 01'!H30-('V06 Calend 01'!I30*('V06 Calend 01'!E30-1))),'V06 Calend 01'!I30),0))+IF((168='V06 Calend 01'!D30),'V06 Calend 01'!J30,0))</f>
        <v>0</v>
      </c>
      <c r="FY30" s="2">
        <f>((IF((169='V06 Calend 01'!C30),('V06 Calend 01'!F30+'V06 Calend 01'!G30),0)+IF(AND(('V06 Calend 01'!E30&gt;0),(169&gt;'V06 Calend 01'!C30),(169&lt;'V06 Calend 01'!D30),(MOD((169-'V06 Calend 01'!C30),6)=0),(((169-'V06 Calend 01'!C30)/6)&lt;='V06 Calend 01'!E30)),IF((169=('V06 Calend 01'!C30+(6*'V06 Calend 01'!E30))),('V06 Calend 01'!H30-('V06 Calend 01'!I30*('V06 Calend 01'!E30-1))),'V06 Calend 01'!I30),0))+IF((169='V06 Calend 01'!D30),'V06 Calend 01'!J30,0))</f>
        <v>0</v>
      </c>
      <c r="FZ30" s="2">
        <f>((IF((170='V06 Calend 01'!C30),('V06 Calend 01'!F30+'V06 Calend 01'!G30),0)+IF(AND(('V06 Calend 01'!E30&gt;0),(170&gt;'V06 Calend 01'!C30),(170&lt;'V06 Calend 01'!D30),(MOD((170-'V06 Calend 01'!C30),6)=0),(((170-'V06 Calend 01'!C30)/6)&lt;='V06 Calend 01'!E30)),IF((170=('V06 Calend 01'!C30+(6*'V06 Calend 01'!E30))),('V06 Calend 01'!H30-('V06 Calend 01'!I30*('V06 Calend 01'!E30-1))),'V06 Calend 01'!I30),0))+IF((170='V06 Calend 01'!D30),'V06 Calend 01'!J30,0))</f>
        <v>0</v>
      </c>
      <c r="GA30" s="2">
        <f>((IF((171='V06 Calend 01'!C30),('V06 Calend 01'!F30+'V06 Calend 01'!G30),0)+IF(AND(('V06 Calend 01'!E30&gt;0),(171&gt;'V06 Calend 01'!C30),(171&lt;'V06 Calend 01'!D30),(MOD((171-'V06 Calend 01'!C30),6)=0),(((171-'V06 Calend 01'!C30)/6)&lt;='V06 Calend 01'!E30)),IF((171=('V06 Calend 01'!C30+(6*'V06 Calend 01'!E30))),('V06 Calend 01'!H30-('V06 Calend 01'!I30*('V06 Calend 01'!E30-1))),'V06 Calend 01'!I30),0))+IF((171='V06 Calend 01'!D30),'V06 Calend 01'!J30,0))</f>
        <v>0</v>
      </c>
      <c r="GB30" s="2">
        <f>((IF((172='V06 Calend 01'!C30),('V06 Calend 01'!F30+'V06 Calend 01'!G30),0)+IF(AND(('V06 Calend 01'!E30&gt;0),(172&gt;'V06 Calend 01'!C30),(172&lt;'V06 Calend 01'!D30),(MOD((172-'V06 Calend 01'!C30),6)=0),(((172-'V06 Calend 01'!C30)/6)&lt;='V06 Calend 01'!E30)),IF((172=('V06 Calend 01'!C30+(6*'V06 Calend 01'!E30))),('V06 Calend 01'!H30-('V06 Calend 01'!I30*('V06 Calend 01'!E30-1))),'V06 Calend 01'!I30),0))+IF((172='V06 Calend 01'!D30),'V06 Calend 01'!J30,0))</f>
        <v>0</v>
      </c>
      <c r="GC30" s="2">
        <f>((IF((173='V06 Calend 01'!C30),('V06 Calend 01'!F30+'V06 Calend 01'!G30),0)+IF(AND(('V06 Calend 01'!E30&gt;0),(173&gt;'V06 Calend 01'!C30),(173&lt;'V06 Calend 01'!D30),(MOD((173-'V06 Calend 01'!C30),6)=0),(((173-'V06 Calend 01'!C30)/6)&lt;='V06 Calend 01'!E30)),IF((173=('V06 Calend 01'!C30+(6*'V06 Calend 01'!E30))),('V06 Calend 01'!H30-('V06 Calend 01'!I30*('V06 Calend 01'!E30-1))),'V06 Calend 01'!I30),0))+IF((173='V06 Calend 01'!D30),'V06 Calend 01'!J30,0))</f>
        <v>0</v>
      </c>
      <c r="GD30" s="2">
        <f>((IF((174='V06 Calend 01'!C30),('V06 Calend 01'!F30+'V06 Calend 01'!G30),0)+IF(AND(('V06 Calend 01'!E30&gt;0),(174&gt;'V06 Calend 01'!C30),(174&lt;'V06 Calend 01'!D30),(MOD((174-'V06 Calend 01'!C30),6)=0),(((174-'V06 Calend 01'!C30)/6)&lt;='V06 Calend 01'!E30)),IF((174=('V06 Calend 01'!C30+(6*'V06 Calend 01'!E30))),('V06 Calend 01'!H30-('V06 Calend 01'!I30*('V06 Calend 01'!E30-1))),'V06 Calend 01'!I30),0))+IF((174='V06 Calend 01'!D30),'V06 Calend 01'!J30,0))</f>
        <v>0</v>
      </c>
      <c r="GE30" s="2">
        <f>((IF((175='V06 Calend 01'!C30),('V06 Calend 01'!F30+'V06 Calend 01'!G30),0)+IF(AND(('V06 Calend 01'!E30&gt;0),(175&gt;'V06 Calend 01'!C30),(175&lt;'V06 Calend 01'!D30),(MOD((175-'V06 Calend 01'!C30),6)=0),(((175-'V06 Calend 01'!C30)/6)&lt;='V06 Calend 01'!E30)),IF((175=('V06 Calend 01'!C30+(6*'V06 Calend 01'!E30))),('V06 Calend 01'!H30-('V06 Calend 01'!I30*('V06 Calend 01'!E30-1))),'V06 Calend 01'!I30),0))+IF((175='V06 Calend 01'!D30),'V06 Calend 01'!J30,0))</f>
        <v>0</v>
      </c>
      <c r="GF30" s="2">
        <f>((IF((176='V06 Calend 01'!C30),('V06 Calend 01'!F30+'V06 Calend 01'!G30),0)+IF(AND(('V06 Calend 01'!E30&gt;0),(176&gt;'V06 Calend 01'!C30),(176&lt;'V06 Calend 01'!D30),(MOD((176-'V06 Calend 01'!C30),6)=0),(((176-'V06 Calend 01'!C30)/6)&lt;='V06 Calend 01'!E30)),IF((176=('V06 Calend 01'!C30+(6*'V06 Calend 01'!E30))),('V06 Calend 01'!H30-('V06 Calend 01'!I30*('V06 Calend 01'!E30-1))),'V06 Calend 01'!I30),0))+IF((176='V06 Calend 01'!D30),'V06 Calend 01'!J30,0))</f>
        <v>0</v>
      </c>
      <c r="GG30" s="2">
        <f>((IF((177='V06 Calend 01'!C30),('V06 Calend 01'!F30+'V06 Calend 01'!G30),0)+IF(AND(('V06 Calend 01'!E30&gt;0),(177&gt;'V06 Calend 01'!C30),(177&lt;'V06 Calend 01'!D30),(MOD((177-'V06 Calend 01'!C30),6)=0),(((177-'V06 Calend 01'!C30)/6)&lt;='V06 Calend 01'!E30)),IF((177=('V06 Calend 01'!C30+(6*'V06 Calend 01'!E30))),('V06 Calend 01'!H30-('V06 Calend 01'!I30*('V06 Calend 01'!E30-1))),'V06 Calend 01'!I30),0))+IF((177='V06 Calend 01'!D30),'V06 Calend 01'!J30,0))</f>
        <v>0</v>
      </c>
      <c r="GH30" s="2">
        <f>((IF((178='V06 Calend 01'!C30),('V06 Calend 01'!F30+'V06 Calend 01'!G30),0)+IF(AND(('V06 Calend 01'!E30&gt;0),(178&gt;'V06 Calend 01'!C30),(178&lt;'V06 Calend 01'!D30),(MOD((178-'V06 Calend 01'!C30),6)=0),(((178-'V06 Calend 01'!C30)/6)&lt;='V06 Calend 01'!E30)),IF((178=('V06 Calend 01'!C30+(6*'V06 Calend 01'!E30))),('V06 Calend 01'!H30-('V06 Calend 01'!I30*('V06 Calend 01'!E30-1))),'V06 Calend 01'!I30),0))+IF((178='V06 Calend 01'!D30),'V06 Calend 01'!J30,0))</f>
        <v>0</v>
      </c>
      <c r="GI30" s="2">
        <f>((IF((179='V06 Calend 01'!C30),('V06 Calend 01'!F30+'V06 Calend 01'!G30),0)+IF(AND(('V06 Calend 01'!E30&gt;0),(179&gt;'V06 Calend 01'!C30),(179&lt;'V06 Calend 01'!D30),(MOD((179-'V06 Calend 01'!C30),6)=0),(((179-'V06 Calend 01'!C30)/6)&lt;='V06 Calend 01'!E30)),IF((179=('V06 Calend 01'!C30+(6*'V06 Calend 01'!E30))),('V06 Calend 01'!H30-('V06 Calend 01'!I30*('V06 Calend 01'!E30-1))),'V06 Calend 01'!I30),0))+IF((179='V06 Calend 01'!D30),'V06 Calend 01'!J30,0))</f>
        <v>0</v>
      </c>
      <c r="GJ30" s="2">
        <f>((IF((180='V06 Calend 01'!C30),('V06 Calend 01'!F30+'V06 Calend 01'!G30),0)+IF(AND(('V06 Calend 01'!E30&gt;0),(180&gt;'V06 Calend 01'!C30),(180&lt;'V06 Calend 01'!D30),(MOD((180-'V06 Calend 01'!C30),6)=0),(((180-'V06 Calend 01'!C30)/6)&lt;='V06 Calend 01'!E30)),IF((180=('V06 Calend 01'!C30+(6*'V06 Calend 01'!E30))),('V06 Calend 01'!H30-('V06 Calend 01'!I30*('V06 Calend 01'!E30-1))),'V06 Calend 01'!I30),0))+IF((180='V06 Calend 01'!D30),'V06 Calend 01'!J30,0))</f>
        <v>0</v>
      </c>
    </row>
    <row r="31" spans="1:192">
      <c r="A31" s="3" t="str">
        <f>'V06 Unidades'!$A$31</f>
        <v>407</v>
      </c>
      <c r="B31" s="2">
        <f>'V06 Unidades'!$H$31</f>
        <v>268382.4</v>
      </c>
      <c r="C31" s="4">
        <f>('V06 Unidades'!$I$31+'V06 Controlos'!$B$37)</f>
        <v>16</v>
      </c>
      <c r="D31" s="4">
        <f>IF(('V06 Controlos'!$B$38&gt;0),MAX(('V06 Unidades'!$L$31+'V06 Controlos'!$B$37),(30+'V06 Controlos'!$B$38)),('V06 Unidades'!$L$31+'V06 Controlos'!$B$37))</f>
        <v>30</v>
      </c>
      <c r="E31" s="4">
        <f>MAX(0,INT(((('V06 Calend 01'!D31-'V06 Calend 01'!C31)-1)/6)))</f>
        <v>2</v>
      </c>
      <c r="F31" s="2">
        <f>ROUND(('V06 Calend 01'!B31*0.05),2)</f>
        <v>13419.12</v>
      </c>
      <c r="G31" s="2">
        <f>ROUND(('V06 Calend 01'!B31*0.2),2)</f>
        <v>53676.48</v>
      </c>
      <c r="H31" s="2">
        <f>ROUND(('V06 Calend 01'!B31*0.55),2)</f>
        <v>147610.32</v>
      </c>
      <c r="I31" s="2">
        <f>ROUND(('V06 Calend 01'!H31/MAX(1,'V06 Calend 01'!E31)),2)</f>
        <v>73805.16</v>
      </c>
      <c r="J31" s="2">
        <f>((('V06 Calend 01'!B31-'V06 Calend 01'!F31)-'V06 Calend 01'!G31)-'V06 Calend 01'!H31)</f>
        <v>53676.48000000001</v>
      </c>
      <c r="K31" s="2">
        <f>('V06 Calend 01'!B31*0.025)</f>
        <v>6709.560000000001</v>
      </c>
      <c r="L31" t="s">
        <v>378</v>
      </c>
      <c r="M31" s="2">
        <f>((IF((1='V06 Calend 01'!C31),('V06 Calend 01'!F31+'V06 Calend 01'!G31),0)+IF(AND(('V06 Calend 01'!E31&gt;0),(1&gt;'V06 Calend 01'!C31),(1&lt;'V06 Calend 01'!D31),(MOD((1-'V06 Calend 01'!C31),6)=0),(((1-'V06 Calend 01'!C31)/6)&lt;='V06 Calend 01'!E31)),IF((1=('V06 Calend 01'!C31+(6*'V06 Calend 01'!E31))),('V06 Calend 01'!H31-('V06 Calend 01'!I31*('V06 Calend 01'!E31-1))),'V06 Calend 01'!I31),0))+IF((1='V06 Calend 01'!D31),'V06 Calend 01'!J31,0))</f>
        <v>0</v>
      </c>
      <c r="N31" s="2">
        <f>((IF((2='V06 Calend 01'!C31),('V06 Calend 01'!F31+'V06 Calend 01'!G31),0)+IF(AND(('V06 Calend 01'!E31&gt;0),(2&gt;'V06 Calend 01'!C31),(2&lt;'V06 Calend 01'!D31),(MOD((2-'V06 Calend 01'!C31),6)=0),(((2-'V06 Calend 01'!C31)/6)&lt;='V06 Calend 01'!E31)),IF((2=('V06 Calend 01'!C31+(6*'V06 Calend 01'!E31))),('V06 Calend 01'!H31-('V06 Calend 01'!I31*('V06 Calend 01'!E31-1))),'V06 Calend 01'!I31),0))+IF((2='V06 Calend 01'!D31),'V06 Calend 01'!J31,0))</f>
        <v>0</v>
      </c>
      <c r="O31" s="2">
        <f>((IF((3='V06 Calend 01'!C31),('V06 Calend 01'!F31+'V06 Calend 01'!G31),0)+IF(AND(('V06 Calend 01'!E31&gt;0),(3&gt;'V06 Calend 01'!C31),(3&lt;'V06 Calend 01'!D31),(MOD((3-'V06 Calend 01'!C31),6)=0),(((3-'V06 Calend 01'!C31)/6)&lt;='V06 Calend 01'!E31)),IF((3=('V06 Calend 01'!C31+(6*'V06 Calend 01'!E31))),('V06 Calend 01'!H31-('V06 Calend 01'!I31*('V06 Calend 01'!E31-1))),'V06 Calend 01'!I31),0))+IF((3='V06 Calend 01'!D31),'V06 Calend 01'!J31,0))</f>
        <v>0</v>
      </c>
      <c r="P31" s="2">
        <f>((IF((4='V06 Calend 01'!C31),('V06 Calend 01'!F31+'V06 Calend 01'!G31),0)+IF(AND(('V06 Calend 01'!E31&gt;0),(4&gt;'V06 Calend 01'!C31),(4&lt;'V06 Calend 01'!D31),(MOD((4-'V06 Calend 01'!C31),6)=0),(((4-'V06 Calend 01'!C31)/6)&lt;='V06 Calend 01'!E31)),IF((4=('V06 Calend 01'!C31+(6*'V06 Calend 01'!E31))),('V06 Calend 01'!H31-('V06 Calend 01'!I31*('V06 Calend 01'!E31-1))),'V06 Calend 01'!I31),0))+IF((4='V06 Calend 01'!D31),'V06 Calend 01'!J31,0))</f>
        <v>0</v>
      </c>
      <c r="Q31" s="2">
        <f>((IF((5='V06 Calend 01'!C31),('V06 Calend 01'!F31+'V06 Calend 01'!G31),0)+IF(AND(('V06 Calend 01'!E31&gt;0),(5&gt;'V06 Calend 01'!C31),(5&lt;'V06 Calend 01'!D31),(MOD((5-'V06 Calend 01'!C31),6)=0),(((5-'V06 Calend 01'!C31)/6)&lt;='V06 Calend 01'!E31)),IF((5=('V06 Calend 01'!C31+(6*'V06 Calend 01'!E31))),('V06 Calend 01'!H31-('V06 Calend 01'!I31*('V06 Calend 01'!E31-1))),'V06 Calend 01'!I31),0))+IF((5='V06 Calend 01'!D31),'V06 Calend 01'!J31,0))</f>
        <v>0</v>
      </c>
      <c r="R31" s="2">
        <f>((IF((6='V06 Calend 01'!C31),('V06 Calend 01'!F31+'V06 Calend 01'!G31),0)+IF(AND(('V06 Calend 01'!E31&gt;0),(6&gt;'V06 Calend 01'!C31),(6&lt;'V06 Calend 01'!D31),(MOD((6-'V06 Calend 01'!C31),6)=0),(((6-'V06 Calend 01'!C31)/6)&lt;='V06 Calend 01'!E31)),IF((6=('V06 Calend 01'!C31+(6*'V06 Calend 01'!E31))),('V06 Calend 01'!H31-('V06 Calend 01'!I31*('V06 Calend 01'!E31-1))),'V06 Calend 01'!I31),0))+IF((6='V06 Calend 01'!D31),'V06 Calend 01'!J31,0))</f>
        <v>0</v>
      </c>
      <c r="S31" s="2">
        <f>((IF((7='V06 Calend 01'!C31),('V06 Calend 01'!F31+'V06 Calend 01'!G31),0)+IF(AND(('V06 Calend 01'!E31&gt;0),(7&gt;'V06 Calend 01'!C31),(7&lt;'V06 Calend 01'!D31),(MOD((7-'V06 Calend 01'!C31),6)=0),(((7-'V06 Calend 01'!C31)/6)&lt;='V06 Calend 01'!E31)),IF((7=('V06 Calend 01'!C31+(6*'V06 Calend 01'!E31))),('V06 Calend 01'!H31-('V06 Calend 01'!I31*('V06 Calend 01'!E31-1))),'V06 Calend 01'!I31),0))+IF((7='V06 Calend 01'!D31),'V06 Calend 01'!J31,0))</f>
        <v>0</v>
      </c>
      <c r="T31" s="2">
        <f>((IF((8='V06 Calend 01'!C31),('V06 Calend 01'!F31+'V06 Calend 01'!G31),0)+IF(AND(('V06 Calend 01'!E31&gt;0),(8&gt;'V06 Calend 01'!C31),(8&lt;'V06 Calend 01'!D31),(MOD((8-'V06 Calend 01'!C31),6)=0),(((8-'V06 Calend 01'!C31)/6)&lt;='V06 Calend 01'!E31)),IF((8=('V06 Calend 01'!C31+(6*'V06 Calend 01'!E31))),('V06 Calend 01'!H31-('V06 Calend 01'!I31*('V06 Calend 01'!E31-1))),'V06 Calend 01'!I31),0))+IF((8='V06 Calend 01'!D31),'V06 Calend 01'!J31,0))</f>
        <v>0</v>
      </c>
      <c r="U31" s="2">
        <f>((IF((9='V06 Calend 01'!C31),('V06 Calend 01'!F31+'V06 Calend 01'!G31),0)+IF(AND(('V06 Calend 01'!E31&gt;0),(9&gt;'V06 Calend 01'!C31),(9&lt;'V06 Calend 01'!D31),(MOD((9-'V06 Calend 01'!C31),6)=0),(((9-'V06 Calend 01'!C31)/6)&lt;='V06 Calend 01'!E31)),IF((9=('V06 Calend 01'!C31+(6*'V06 Calend 01'!E31))),('V06 Calend 01'!H31-('V06 Calend 01'!I31*('V06 Calend 01'!E31-1))),'V06 Calend 01'!I31),0))+IF((9='V06 Calend 01'!D31),'V06 Calend 01'!J31,0))</f>
        <v>0</v>
      </c>
      <c r="V31" s="2">
        <f>((IF((10='V06 Calend 01'!C31),('V06 Calend 01'!F31+'V06 Calend 01'!G31),0)+IF(AND(('V06 Calend 01'!E31&gt;0),(10&gt;'V06 Calend 01'!C31),(10&lt;'V06 Calend 01'!D31),(MOD((10-'V06 Calend 01'!C31),6)=0),(((10-'V06 Calend 01'!C31)/6)&lt;='V06 Calend 01'!E31)),IF((10=('V06 Calend 01'!C31+(6*'V06 Calend 01'!E31))),('V06 Calend 01'!H31-('V06 Calend 01'!I31*('V06 Calend 01'!E31-1))),'V06 Calend 01'!I31),0))+IF((10='V06 Calend 01'!D31),'V06 Calend 01'!J31,0))</f>
        <v>0</v>
      </c>
      <c r="W31" s="2">
        <f>((IF((11='V06 Calend 01'!C31),('V06 Calend 01'!F31+'V06 Calend 01'!G31),0)+IF(AND(('V06 Calend 01'!E31&gt;0),(11&gt;'V06 Calend 01'!C31),(11&lt;'V06 Calend 01'!D31),(MOD((11-'V06 Calend 01'!C31),6)=0),(((11-'V06 Calend 01'!C31)/6)&lt;='V06 Calend 01'!E31)),IF((11=('V06 Calend 01'!C31+(6*'V06 Calend 01'!E31))),('V06 Calend 01'!H31-('V06 Calend 01'!I31*('V06 Calend 01'!E31-1))),'V06 Calend 01'!I31),0))+IF((11='V06 Calend 01'!D31),'V06 Calend 01'!J31,0))</f>
        <v>0</v>
      </c>
      <c r="X31" s="2">
        <f>((IF((12='V06 Calend 01'!C31),('V06 Calend 01'!F31+'V06 Calend 01'!G31),0)+IF(AND(('V06 Calend 01'!E31&gt;0),(12&gt;'V06 Calend 01'!C31),(12&lt;'V06 Calend 01'!D31),(MOD((12-'V06 Calend 01'!C31),6)=0),(((12-'V06 Calend 01'!C31)/6)&lt;='V06 Calend 01'!E31)),IF((12=('V06 Calend 01'!C31+(6*'V06 Calend 01'!E31))),('V06 Calend 01'!H31-('V06 Calend 01'!I31*('V06 Calend 01'!E31-1))),'V06 Calend 01'!I31),0))+IF((12='V06 Calend 01'!D31),'V06 Calend 01'!J31,0))</f>
        <v>0</v>
      </c>
      <c r="Y31" s="2">
        <f>((IF((13='V06 Calend 01'!C31),('V06 Calend 01'!F31+'V06 Calend 01'!G31),0)+IF(AND(('V06 Calend 01'!E31&gt;0),(13&gt;'V06 Calend 01'!C31),(13&lt;'V06 Calend 01'!D31),(MOD((13-'V06 Calend 01'!C31),6)=0),(((13-'V06 Calend 01'!C31)/6)&lt;='V06 Calend 01'!E31)),IF((13=('V06 Calend 01'!C31+(6*'V06 Calend 01'!E31))),('V06 Calend 01'!H31-('V06 Calend 01'!I31*('V06 Calend 01'!E31-1))),'V06 Calend 01'!I31),0))+IF((13='V06 Calend 01'!D31),'V06 Calend 01'!J31,0))</f>
        <v>0</v>
      </c>
      <c r="Z31" s="2">
        <f>((IF((14='V06 Calend 01'!C31),('V06 Calend 01'!F31+'V06 Calend 01'!G31),0)+IF(AND(('V06 Calend 01'!E31&gt;0),(14&gt;'V06 Calend 01'!C31),(14&lt;'V06 Calend 01'!D31),(MOD((14-'V06 Calend 01'!C31),6)=0),(((14-'V06 Calend 01'!C31)/6)&lt;='V06 Calend 01'!E31)),IF((14=('V06 Calend 01'!C31+(6*'V06 Calend 01'!E31))),('V06 Calend 01'!H31-('V06 Calend 01'!I31*('V06 Calend 01'!E31-1))),'V06 Calend 01'!I31),0))+IF((14='V06 Calend 01'!D31),'V06 Calend 01'!J31,0))</f>
        <v>0</v>
      </c>
      <c r="AA31" s="2">
        <f>((IF((15='V06 Calend 01'!C31),('V06 Calend 01'!F31+'V06 Calend 01'!G31),0)+IF(AND(('V06 Calend 01'!E31&gt;0),(15&gt;'V06 Calend 01'!C31),(15&lt;'V06 Calend 01'!D31),(MOD((15-'V06 Calend 01'!C31),6)=0),(((15-'V06 Calend 01'!C31)/6)&lt;='V06 Calend 01'!E31)),IF((15=('V06 Calend 01'!C31+(6*'V06 Calend 01'!E31))),('V06 Calend 01'!H31-('V06 Calend 01'!I31*('V06 Calend 01'!E31-1))),'V06 Calend 01'!I31),0))+IF((15='V06 Calend 01'!D31),'V06 Calend 01'!J31,0))</f>
        <v>0</v>
      </c>
      <c r="AB31" s="2">
        <f>((IF((16='V06 Calend 01'!C31),('V06 Calend 01'!F31+'V06 Calend 01'!G31),0)+IF(AND(('V06 Calend 01'!E31&gt;0),(16&gt;'V06 Calend 01'!C31),(16&lt;'V06 Calend 01'!D31),(MOD((16-'V06 Calend 01'!C31),6)=0),(((16-'V06 Calend 01'!C31)/6)&lt;='V06 Calend 01'!E31)),IF((16=('V06 Calend 01'!C31+(6*'V06 Calend 01'!E31))),('V06 Calend 01'!H31-('V06 Calend 01'!I31*('V06 Calend 01'!E31-1))),'V06 Calend 01'!I31),0))+IF((16='V06 Calend 01'!D31),'V06 Calend 01'!J31,0))</f>
        <v>67095.6</v>
      </c>
      <c r="AC31" s="2">
        <f>((IF((17='V06 Calend 01'!C31),('V06 Calend 01'!F31+'V06 Calend 01'!G31),0)+IF(AND(('V06 Calend 01'!E31&gt;0),(17&gt;'V06 Calend 01'!C31),(17&lt;'V06 Calend 01'!D31),(MOD((17-'V06 Calend 01'!C31),6)=0),(((17-'V06 Calend 01'!C31)/6)&lt;='V06 Calend 01'!E31)),IF((17=('V06 Calend 01'!C31+(6*'V06 Calend 01'!E31))),('V06 Calend 01'!H31-('V06 Calend 01'!I31*('V06 Calend 01'!E31-1))),'V06 Calend 01'!I31),0))+IF((17='V06 Calend 01'!D31),'V06 Calend 01'!J31,0))</f>
        <v>0</v>
      </c>
      <c r="AD31" s="2">
        <f>((IF((18='V06 Calend 01'!C31),('V06 Calend 01'!F31+'V06 Calend 01'!G31),0)+IF(AND(('V06 Calend 01'!E31&gt;0),(18&gt;'V06 Calend 01'!C31),(18&lt;'V06 Calend 01'!D31),(MOD((18-'V06 Calend 01'!C31),6)=0),(((18-'V06 Calend 01'!C31)/6)&lt;='V06 Calend 01'!E31)),IF((18=('V06 Calend 01'!C31+(6*'V06 Calend 01'!E31))),('V06 Calend 01'!H31-('V06 Calend 01'!I31*('V06 Calend 01'!E31-1))),'V06 Calend 01'!I31),0))+IF((18='V06 Calend 01'!D31),'V06 Calend 01'!J31,0))</f>
        <v>0</v>
      </c>
      <c r="AE31" s="2">
        <f>((IF((19='V06 Calend 01'!C31),('V06 Calend 01'!F31+'V06 Calend 01'!G31),0)+IF(AND(('V06 Calend 01'!E31&gt;0),(19&gt;'V06 Calend 01'!C31),(19&lt;'V06 Calend 01'!D31),(MOD((19-'V06 Calend 01'!C31),6)=0),(((19-'V06 Calend 01'!C31)/6)&lt;='V06 Calend 01'!E31)),IF((19=('V06 Calend 01'!C31+(6*'V06 Calend 01'!E31))),('V06 Calend 01'!H31-('V06 Calend 01'!I31*('V06 Calend 01'!E31-1))),'V06 Calend 01'!I31),0))+IF((19='V06 Calend 01'!D31),'V06 Calend 01'!J31,0))</f>
        <v>0</v>
      </c>
      <c r="AF31" s="2">
        <f>((IF((20='V06 Calend 01'!C31),('V06 Calend 01'!F31+'V06 Calend 01'!G31),0)+IF(AND(('V06 Calend 01'!E31&gt;0),(20&gt;'V06 Calend 01'!C31),(20&lt;'V06 Calend 01'!D31),(MOD((20-'V06 Calend 01'!C31),6)=0),(((20-'V06 Calend 01'!C31)/6)&lt;='V06 Calend 01'!E31)),IF((20=('V06 Calend 01'!C31+(6*'V06 Calend 01'!E31))),('V06 Calend 01'!H31-('V06 Calend 01'!I31*('V06 Calend 01'!E31-1))),'V06 Calend 01'!I31),0))+IF((20='V06 Calend 01'!D31),'V06 Calend 01'!J31,0))</f>
        <v>0</v>
      </c>
      <c r="AG31" s="2">
        <f>((IF((21='V06 Calend 01'!C31),('V06 Calend 01'!F31+'V06 Calend 01'!G31),0)+IF(AND(('V06 Calend 01'!E31&gt;0),(21&gt;'V06 Calend 01'!C31),(21&lt;'V06 Calend 01'!D31),(MOD((21-'V06 Calend 01'!C31),6)=0),(((21-'V06 Calend 01'!C31)/6)&lt;='V06 Calend 01'!E31)),IF((21=('V06 Calend 01'!C31+(6*'V06 Calend 01'!E31))),('V06 Calend 01'!H31-('V06 Calend 01'!I31*('V06 Calend 01'!E31-1))),'V06 Calend 01'!I31),0))+IF((21='V06 Calend 01'!D31),'V06 Calend 01'!J31,0))</f>
        <v>0</v>
      </c>
      <c r="AH31" s="2">
        <f>((IF((22='V06 Calend 01'!C31),('V06 Calend 01'!F31+'V06 Calend 01'!G31),0)+IF(AND(('V06 Calend 01'!E31&gt;0),(22&gt;'V06 Calend 01'!C31),(22&lt;'V06 Calend 01'!D31),(MOD((22-'V06 Calend 01'!C31),6)=0),(((22-'V06 Calend 01'!C31)/6)&lt;='V06 Calend 01'!E31)),IF((22=('V06 Calend 01'!C31+(6*'V06 Calend 01'!E31))),('V06 Calend 01'!H31-('V06 Calend 01'!I31*('V06 Calend 01'!E31-1))),'V06 Calend 01'!I31),0))+IF((22='V06 Calend 01'!D31),'V06 Calend 01'!J31,0))</f>
        <v>73805.16</v>
      </c>
      <c r="AI31" s="2">
        <f>((IF((23='V06 Calend 01'!C31),('V06 Calend 01'!F31+'V06 Calend 01'!G31),0)+IF(AND(('V06 Calend 01'!E31&gt;0),(23&gt;'V06 Calend 01'!C31),(23&lt;'V06 Calend 01'!D31),(MOD((23-'V06 Calend 01'!C31),6)=0),(((23-'V06 Calend 01'!C31)/6)&lt;='V06 Calend 01'!E31)),IF((23=('V06 Calend 01'!C31+(6*'V06 Calend 01'!E31))),('V06 Calend 01'!H31-('V06 Calend 01'!I31*('V06 Calend 01'!E31-1))),'V06 Calend 01'!I31),0))+IF((23='V06 Calend 01'!D31),'V06 Calend 01'!J31,0))</f>
        <v>0</v>
      </c>
      <c r="AJ31" s="2">
        <f>((IF((24='V06 Calend 01'!C31),('V06 Calend 01'!F31+'V06 Calend 01'!G31),0)+IF(AND(('V06 Calend 01'!E31&gt;0),(24&gt;'V06 Calend 01'!C31),(24&lt;'V06 Calend 01'!D31),(MOD((24-'V06 Calend 01'!C31),6)=0),(((24-'V06 Calend 01'!C31)/6)&lt;='V06 Calend 01'!E31)),IF((24=('V06 Calend 01'!C31+(6*'V06 Calend 01'!E31))),('V06 Calend 01'!H31-('V06 Calend 01'!I31*('V06 Calend 01'!E31-1))),'V06 Calend 01'!I31),0))+IF((24='V06 Calend 01'!D31),'V06 Calend 01'!J31,0))</f>
        <v>0</v>
      </c>
      <c r="AK31" s="2">
        <f>((IF((25='V06 Calend 01'!C31),('V06 Calend 01'!F31+'V06 Calend 01'!G31),0)+IF(AND(('V06 Calend 01'!E31&gt;0),(25&gt;'V06 Calend 01'!C31),(25&lt;'V06 Calend 01'!D31),(MOD((25-'V06 Calend 01'!C31),6)=0),(((25-'V06 Calend 01'!C31)/6)&lt;='V06 Calend 01'!E31)),IF((25=('V06 Calend 01'!C31+(6*'V06 Calend 01'!E31))),('V06 Calend 01'!H31-('V06 Calend 01'!I31*('V06 Calend 01'!E31-1))),'V06 Calend 01'!I31),0))+IF((25='V06 Calend 01'!D31),'V06 Calend 01'!J31,0))</f>
        <v>0</v>
      </c>
      <c r="AL31" s="2">
        <f>((IF((26='V06 Calend 01'!C31),('V06 Calend 01'!F31+'V06 Calend 01'!G31),0)+IF(AND(('V06 Calend 01'!E31&gt;0),(26&gt;'V06 Calend 01'!C31),(26&lt;'V06 Calend 01'!D31),(MOD((26-'V06 Calend 01'!C31),6)=0),(((26-'V06 Calend 01'!C31)/6)&lt;='V06 Calend 01'!E31)),IF((26=('V06 Calend 01'!C31+(6*'V06 Calend 01'!E31))),('V06 Calend 01'!H31-('V06 Calend 01'!I31*('V06 Calend 01'!E31-1))),'V06 Calend 01'!I31),0))+IF((26='V06 Calend 01'!D31),'V06 Calend 01'!J31,0))</f>
        <v>0</v>
      </c>
      <c r="AM31" s="2">
        <f>((IF((27='V06 Calend 01'!C31),('V06 Calend 01'!F31+'V06 Calend 01'!G31),0)+IF(AND(('V06 Calend 01'!E31&gt;0),(27&gt;'V06 Calend 01'!C31),(27&lt;'V06 Calend 01'!D31),(MOD((27-'V06 Calend 01'!C31),6)=0),(((27-'V06 Calend 01'!C31)/6)&lt;='V06 Calend 01'!E31)),IF((27=('V06 Calend 01'!C31+(6*'V06 Calend 01'!E31))),('V06 Calend 01'!H31-('V06 Calend 01'!I31*('V06 Calend 01'!E31-1))),'V06 Calend 01'!I31),0))+IF((27='V06 Calend 01'!D31),'V06 Calend 01'!J31,0))</f>
        <v>0</v>
      </c>
      <c r="AN31" s="2">
        <f>((IF((28='V06 Calend 01'!C31),('V06 Calend 01'!F31+'V06 Calend 01'!G31),0)+IF(AND(('V06 Calend 01'!E31&gt;0),(28&gt;'V06 Calend 01'!C31),(28&lt;'V06 Calend 01'!D31),(MOD((28-'V06 Calend 01'!C31),6)=0),(((28-'V06 Calend 01'!C31)/6)&lt;='V06 Calend 01'!E31)),IF((28=('V06 Calend 01'!C31+(6*'V06 Calend 01'!E31))),('V06 Calend 01'!H31-('V06 Calend 01'!I31*('V06 Calend 01'!E31-1))),'V06 Calend 01'!I31),0))+IF((28='V06 Calend 01'!D31),'V06 Calend 01'!J31,0))</f>
        <v>73805.16</v>
      </c>
      <c r="AO31" s="2">
        <f>((IF((29='V06 Calend 01'!C31),('V06 Calend 01'!F31+'V06 Calend 01'!G31),0)+IF(AND(('V06 Calend 01'!E31&gt;0),(29&gt;'V06 Calend 01'!C31),(29&lt;'V06 Calend 01'!D31),(MOD((29-'V06 Calend 01'!C31),6)=0),(((29-'V06 Calend 01'!C31)/6)&lt;='V06 Calend 01'!E31)),IF((29=('V06 Calend 01'!C31+(6*'V06 Calend 01'!E31))),('V06 Calend 01'!H31-('V06 Calend 01'!I31*('V06 Calend 01'!E31-1))),'V06 Calend 01'!I31),0))+IF((29='V06 Calend 01'!D31),'V06 Calend 01'!J31,0))</f>
        <v>0</v>
      </c>
      <c r="AP31" s="2">
        <f>((IF((30='V06 Calend 01'!C31),('V06 Calend 01'!F31+'V06 Calend 01'!G31),0)+IF(AND(('V06 Calend 01'!E31&gt;0),(30&gt;'V06 Calend 01'!C31),(30&lt;'V06 Calend 01'!D31),(MOD((30-'V06 Calend 01'!C31),6)=0),(((30-'V06 Calend 01'!C31)/6)&lt;='V06 Calend 01'!E31)),IF((30=('V06 Calend 01'!C31+(6*'V06 Calend 01'!E31))),('V06 Calend 01'!H31-('V06 Calend 01'!I31*('V06 Calend 01'!E31-1))),'V06 Calend 01'!I31),0))+IF((30='V06 Calend 01'!D31),'V06 Calend 01'!J31,0))</f>
        <v>53676.48000000001</v>
      </c>
      <c r="AQ31" s="2">
        <f>((IF((31='V06 Calend 01'!C31),('V06 Calend 01'!F31+'V06 Calend 01'!G31),0)+IF(AND(('V06 Calend 01'!E31&gt;0),(31&gt;'V06 Calend 01'!C31),(31&lt;'V06 Calend 01'!D31),(MOD((31-'V06 Calend 01'!C31),6)=0),(((31-'V06 Calend 01'!C31)/6)&lt;='V06 Calend 01'!E31)),IF((31=('V06 Calend 01'!C31+(6*'V06 Calend 01'!E31))),('V06 Calend 01'!H31-('V06 Calend 01'!I31*('V06 Calend 01'!E31-1))),'V06 Calend 01'!I31),0))+IF((31='V06 Calend 01'!D31),'V06 Calend 01'!J31,0))</f>
        <v>0</v>
      </c>
      <c r="AR31" s="2">
        <f>((IF((32='V06 Calend 01'!C31),('V06 Calend 01'!F31+'V06 Calend 01'!G31),0)+IF(AND(('V06 Calend 01'!E31&gt;0),(32&gt;'V06 Calend 01'!C31),(32&lt;'V06 Calend 01'!D31),(MOD((32-'V06 Calend 01'!C31),6)=0),(((32-'V06 Calend 01'!C31)/6)&lt;='V06 Calend 01'!E31)),IF((32=('V06 Calend 01'!C31+(6*'V06 Calend 01'!E31))),('V06 Calend 01'!H31-('V06 Calend 01'!I31*('V06 Calend 01'!E31-1))),'V06 Calend 01'!I31),0))+IF((32='V06 Calend 01'!D31),'V06 Calend 01'!J31,0))</f>
        <v>0</v>
      </c>
      <c r="AS31" s="2">
        <f>((IF((33='V06 Calend 01'!C31),('V06 Calend 01'!F31+'V06 Calend 01'!G31),0)+IF(AND(('V06 Calend 01'!E31&gt;0),(33&gt;'V06 Calend 01'!C31),(33&lt;'V06 Calend 01'!D31),(MOD((33-'V06 Calend 01'!C31),6)=0),(((33-'V06 Calend 01'!C31)/6)&lt;='V06 Calend 01'!E31)),IF((33=('V06 Calend 01'!C31+(6*'V06 Calend 01'!E31))),('V06 Calend 01'!H31-('V06 Calend 01'!I31*('V06 Calend 01'!E31-1))),'V06 Calend 01'!I31),0))+IF((33='V06 Calend 01'!D31),'V06 Calend 01'!J31,0))</f>
        <v>0</v>
      </c>
      <c r="AT31" s="2">
        <f>((IF((34='V06 Calend 01'!C31),('V06 Calend 01'!F31+'V06 Calend 01'!G31),0)+IF(AND(('V06 Calend 01'!E31&gt;0),(34&gt;'V06 Calend 01'!C31),(34&lt;'V06 Calend 01'!D31),(MOD((34-'V06 Calend 01'!C31),6)=0),(((34-'V06 Calend 01'!C31)/6)&lt;='V06 Calend 01'!E31)),IF((34=('V06 Calend 01'!C31+(6*'V06 Calend 01'!E31))),('V06 Calend 01'!H31-('V06 Calend 01'!I31*('V06 Calend 01'!E31-1))),'V06 Calend 01'!I31),0))+IF((34='V06 Calend 01'!D31),'V06 Calend 01'!J31,0))</f>
        <v>0</v>
      </c>
      <c r="AU31" s="2">
        <f>((IF((35='V06 Calend 01'!C31),('V06 Calend 01'!F31+'V06 Calend 01'!G31),0)+IF(AND(('V06 Calend 01'!E31&gt;0),(35&gt;'V06 Calend 01'!C31),(35&lt;'V06 Calend 01'!D31),(MOD((35-'V06 Calend 01'!C31),6)=0),(((35-'V06 Calend 01'!C31)/6)&lt;='V06 Calend 01'!E31)),IF((35=('V06 Calend 01'!C31+(6*'V06 Calend 01'!E31))),('V06 Calend 01'!H31-('V06 Calend 01'!I31*('V06 Calend 01'!E31-1))),'V06 Calend 01'!I31),0))+IF((35='V06 Calend 01'!D31),'V06 Calend 01'!J31,0))</f>
        <v>0</v>
      </c>
      <c r="AV31" s="2">
        <f>((IF((36='V06 Calend 01'!C31),('V06 Calend 01'!F31+'V06 Calend 01'!G31),0)+IF(AND(('V06 Calend 01'!E31&gt;0),(36&gt;'V06 Calend 01'!C31),(36&lt;'V06 Calend 01'!D31),(MOD((36-'V06 Calend 01'!C31),6)=0),(((36-'V06 Calend 01'!C31)/6)&lt;='V06 Calend 01'!E31)),IF((36=('V06 Calend 01'!C31+(6*'V06 Calend 01'!E31))),('V06 Calend 01'!H31-('V06 Calend 01'!I31*('V06 Calend 01'!E31-1))),'V06 Calend 01'!I31),0))+IF((36='V06 Calend 01'!D31),'V06 Calend 01'!J31,0))</f>
        <v>0</v>
      </c>
      <c r="AW31" s="2">
        <f>((IF((37='V06 Calend 01'!C31),('V06 Calend 01'!F31+'V06 Calend 01'!G31),0)+IF(AND(('V06 Calend 01'!E31&gt;0),(37&gt;'V06 Calend 01'!C31),(37&lt;'V06 Calend 01'!D31),(MOD((37-'V06 Calend 01'!C31),6)=0),(((37-'V06 Calend 01'!C31)/6)&lt;='V06 Calend 01'!E31)),IF((37=('V06 Calend 01'!C31+(6*'V06 Calend 01'!E31))),('V06 Calend 01'!H31-('V06 Calend 01'!I31*('V06 Calend 01'!E31-1))),'V06 Calend 01'!I31),0))+IF((37='V06 Calend 01'!D31),'V06 Calend 01'!J31,0))</f>
        <v>0</v>
      </c>
      <c r="AX31" s="2">
        <f>((IF((38='V06 Calend 01'!C31),('V06 Calend 01'!F31+'V06 Calend 01'!G31),0)+IF(AND(('V06 Calend 01'!E31&gt;0),(38&gt;'V06 Calend 01'!C31),(38&lt;'V06 Calend 01'!D31),(MOD((38-'V06 Calend 01'!C31),6)=0),(((38-'V06 Calend 01'!C31)/6)&lt;='V06 Calend 01'!E31)),IF((38=('V06 Calend 01'!C31+(6*'V06 Calend 01'!E31))),('V06 Calend 01'!H31-('V06 Calend 01'!I31*('V06 Calend 01'!E31-1))),'V06 Calend 01'!I31),0))+IF((38='V06 Calend 01'!D31),'V06 Calend 01'!J31,0))</f>
        <v>0</v>
      </c>
      <c r="AY31" s="2">
        <f>((IF((39='V06 Calend 01'!C31),('V06 Calend 01'!F31+'V06 Calend 01'!G31),0)+IF(AND(('V06 Calend 01'!E31&gt;0),(39&gt;'V06 Calend 01'!C31),(39&lt;'V06 Calend 01'!D31),(MOD((39-'V06 Calend 01'!C31),6)=0),(((39-'V06 Calend 01'!C31)/6)&lt;='V06 Calend 01'!E31)),IF((39=('V06 Calend 01'!C31+(6*'V06 Calend 01'!E31))),('V06 Calend 01'!H31-('V06 Calend 01'!I31*('V06 Calend 01'!E31-1))),'V06 Calend 01'!I31),0))+IF((39='V06 Calend 01'!D31),'V06 Calend 01'!J31,0))</f>
        <v>0</v>
      </c>
      <c r="AZ31" s="2">
        <f>((IF((40='V06 Calend 01'!C31),('V06 Calend 01'!F31+'V06 Calend 01'!G31),0)+IF(AND(('V06 Calend 01'!E31&gt;0),(40&gt;'V06 Calend 01'!C31),(40&lt;'V06 Calend 01'!D31),(MOD((40-'V06 Calend 01'!C31),6)=0),(((40-'V06 Calend 01'!C31)/6)&lt;='V06 Calend 01'!E31)),IF((40=('V06 Calend 01'!C31+(6*'V06 Calend 01'!E31))),('V06 Calend 01'!H31-('V06 Calend 01'!I31*('V06 Calend 01'!E31-1))),'V06 Calend 01'!I31),0))+IF((40='V06 Calend 01'!D31),'V06 Calend 01'!J31,0))</f>
        <v>0</v>
      </c>
      <c r="BA31" s="2">
        <f>((IF((41='V06 Calend 01'!C31),('V06 Calend 01'!F31+'V06 Calend 01'!G31),0)+IF(AND(('V06 Calend 01'!E31&gt;0),(41&gt;'V06 Calend 01'!C31),(41&lt;'V06 Calend 01'!D31),(MOD((41-'V06 Calend 01'!C31),6)=0),(((41-'V06 Calend 01'!C31)/6)&lt;='V06 Calend 01'!E31)),IF((41=('V06 Calend 01'!C31+(6*'V06 Calend 01'!E31))),('V06 Calend 01'!H31-('V06 Calend 01'!I31*('V06 Calend 01'!E31-1))),'V06 Calend 01'!I31),0))+IF((41='V06 Calend 01'!D31),'V06 Calend 01'!J31,0))</f>
        <v>0</v>
      </c>
      <c r="BB31" s="2">
        <f>((IF((42='V06 Calend 01'!C31),('V06 Calend 01'!F31+'V06 Calend 01'!G31),0)+IF(AND(('V06 Calend 01'!E31&gt;0),(42&gt;'V06 Calend 01'!C31),(42&lt;'V06 Calend 01'!D31),(MOD((42-'V06 Calend 01'!C31),6)=0),(((42-'V06 Calend 01'!C31)/6)&lt;='V06 Calend 01'!E31)),IF((42=('V06 Calend 01'!C31+(6*'V06 Calend 01'!E31))),('V06 Calend 01'!H31-('V06 Calend 01'!I31*('V06 Calend 01'!E31-1))),'V06 Calend 01'!I31),0))+IF((42='V06 Calend 01'!D31),'V06 Calend 01'!J31,0))</f>
        <v>0</v>
      </c>
      <c r="BC31" s="2">
        <f>((IF((43='V06 Calend 01'!C31),('V06 Calend 01'!F31+'V06 Calend 01'!G31),0)+IF(AND(('V06 Calend 01'!E31&gt;0),(43&gt;'V06 Calend 01'!C31),(43&lt;'V06 Calend 01'!D31),(MOD((43-'V06 Calend 01'!C31),6)=0),(((43-'V06 Calend 01'!C31)/6)&lt;='V06 Calend 01'!E31)),IF((43=('V06 Calend 01'!C31+(6*'V06 Calend 01'!E31))),('V06 Calend 01'!H31-('V06 Calend 01'!I31*('V06 Calend 01'!E31-1))),'V06 Calend 01'!I31),0))+IF((43='V06 Calend 01'!D31),'V06 Calend 01'!J31,0))</f>
        <v>0</v>
      </c>
      <c r="BD31" s="2">
        <f>((IF((44='V06 Calend 01'!C31),('V06 Calend 01'!F31+'V06 Calend 01'!G31),0)+IF(AND(('V06 Calend 01'!E31&gt;0),(44&gt;'V06 Calend 01'!C31),(44&lt;'V06 Calend 01'!D31),(MOD((44-'V06 Calend 01'!C31),6)=0),(((44-'V06 Calend 01'!C31)/6)&lt;='V06 Calend 01'!E31)),IF((44=('V06 Calend 01'!C31+(6*'V06 Calend 01'!E31))),('V06 Calend 01'!H31-('V06 Calend 01'!I31*('V06 Calend 01'!E31-1))),'V06 Calend 01'!I31),0))+IF((44='V06 Calend 01'!D31),'V06 Calend 01'!J31,0))</f>
        <v>0</v>
      </c>
      <c r="BE31" s="2">
        <f>((IF((45='V06 Calend 01'!C31),('V06 Calend 01'!F31+'V06 Calend 01'!G31),0)+IF(AND(('V06 Calend 01'!E31&gt;0),(45&gt;'V06 Calend 01'!C31),(45&lt;'V06 Calend 01'!D31),(MOD((45-'V06 Calend 01'!C31),6)=0),(((45-'V06 Calend 01'!C31)/6)&lt;='V06 Calend 01'!E31)),IF((45=('V06 Calend 01'!C31+(6*'V06 Calend 01'!E31))),('V06 Calend 01'!H31-('V06 Calend 01'!I31*('V06 Calend 01'!E31-1))),'V06 Calend 01'!I31),0))+IF((45='V06 Calend 01'!D31),'V06 Calend 01'!J31,0))</f>
        <v>0</v>
      </c>
      <c r="BF31" s="2">
        <f>((IF((46='V06 Calend 01'!C31),('V06 Calend 01'!F31+'V06 Calend 01'!G31),0)+IF(AND(('V06 Calend 01'!E31&gt;0),(46&gt;'V06 Calend 01'!C31),(46&lt;'V06 Calend 01'!D31),(MOD((46-'V06 Calend 01'!C31),6)=0),(((46-'V06 Calend 01'!C31)/6)&lt;='V06 Calend 01'!E31)),IF((46=('V06 Calend 01'!C31+(6*'V06 Calend 01'!E31))),('V06 Calend 01'!H31-('V06 Calend 01'!I31*('V06 Calend 01'!E31-1))),'V06 Calend 01'!I31),0))+IF((46='V06 Calend 01'!D31),'V06 Calend 01'!J31,0))</f>
        <v>0</v>
      </c>
      <c r="BG31" s="2">
        <f>((IF((47='V06 Calend 01'!C31),('V06 Calend 01'!F31+'V06 Calend 01'!G31),0)+IF(AND(('V06 Calend 01'!E31&gt;0),(47&gt;'V06 Calend 01'!C31),(47&lt;'V06 Calend 01'!D31),(MOD((47-'V06 Calend 01'!C31),6)=0),(((47-'V06 Calend 01'!C31)/6)&lt;='V06 Calend 01'!E31)),IF((47=('V06 Calend 01'!C31+(6*'V06 Calend 01'!E31))),('V06 Calend 01'!H31-('V06 Calend 01'!I31*('V06 Calend 01'!E31-1))),'V06 Calend 01'!I31),0))+IF((47='V06 Calend 01'!D31),'V06 Calend 01'!J31,0))</f>
        <v>0</v>
      </c>
      <c r="BH31" s="2">
        <f>((IF((48='V06 Calend 01'!C31),('V06 Calend 01'!F31+'V06 Calend 01'!G31),0)+IF(AND(('V06 Calend 01'!E31&gt;0),(48&gt;'V06 Calend 01'!C31),(48&lt;'V06 Calend 01'!D31),(MOD((48-'V06 Calend 01'!C31),6)=0),(((48-'V06 Calend 01'!C31)/6)&lt;='V06 Calend 01'!E31)),IF((48=('V06 Calend 01'!C31+(6*'V06 Calend 01'!E31))),('V06 Calend 01'!H31-('V06 Calend 01'!I31*('V06 Calend 01'!E31-1))),'V06 Calend 01'!I31),0))+IF((48='V06 Calend 01'!D31),'V06 Calend 01'!J31,0))</f>
        <v>0</v>
      </c>
      <c r="BI31" s="2">
        <f>((IF((49='V06 Calend 01'!C31),('V06 Calend 01'!F31+'V06 Calend 01'!G31),0)+IF(AND(('V06 Calend 01'!E31&gt;0),(49&gt;'V06 Calend 01'!C31),(49&lt;'V06 Calend 01'!D31),(MOD((49-'V06 Calend 01'!C31),6)=0),(((49-'V06 Calend 01'!C31)/6)&lt;='V06 Calend 01'!E31)),IF((49=('V06 Calend 01'!C31+(6*'V06 Calend 01'!E31))),('V06 Calend 01'!H31-('V06 Calend 01'!I31*('V06 Calend 01'!E31-1))),'V06 Calend 01'!I31),0))+IF((49='V06 Calend 01'!D31),'V06 Calend 01'!J31,0))</f>
        <v>0</v>
      </c>
      <c r="BJ31" s="2">
        <f>((IF((50='V06 Calend 01'!C31),('V06 Calend 01'!F31+'V06 Calend 01'!G31),0)+IF(AND(('V06 Calend 01'!E31&gt;0),(50&gt;'V06 Calend 01'!C31),(50&lt;'V06 Calend 01'!D31),(MOD((50-'V06 Calend 01'!C31),6)=0),(((50-'V06 Calend 01'!C31)/6)&lt;='V06 Calend 01'!E31)),IF((50=('V06 Calend 01'!C31+(6*'V06 Calend 01'!E31))),('V06 Calend 01'!H31-('V06 Calend 01'!I31*('V06 Calend 01'!E31-1))),'V06 Calend 01'!I31),0))+IF((50='V06 Calend 01'!D31),'V06 Calend 01'!J31,0))</f>
        <v>0</v>
      </c>
      <c r="BK31" s="2">
        <f>((IF((51='V06 Calend 01'!C31),('V06 Calend 01'!F31+'V06 Calend 01'!G31),0)+IF(AND(('V06 Calend 01'!E31&gt;0),(51&gt;'V06 Calend 01'!C31),(51&lt;'V06 Calend 01'!D31),(MOD((51-'V06 Calend 01'!C31),6)=0),(((51-'V06 Calend 01'!C31)/6)&lt;='V06 Calend 01'!E31)),IF((51=('V06 Calend 01'!C31+(6*'V06 Calend 01'!E31))),('V06 Calend 01'!H31-('V06 Calend 01'!I31*('V06 Calend 01'!E31-1))),'V06 Calend 01'!I31),0))+IF((51='V06 Calend 01'!D31),'V06 Calend 01'!J31,0))</f>
        <v>0</v>
      </c>
      <c r="BL31" s="2">
        <f>((IF((52='V06 Calend 01'!C31),('V06 Calend 01'!F31+'V06 Calend 01'!G31),0)+IF(AND(('V06 Calend 01'!E31&gt;0),(52&gt;'V06 Calend 01'!C31),(52&lt;'V06 Calend 01'!D31),(MOD((52-'V06 Calend 01'!C31),6)=0),(((52-'V06 Calend 01'!C31)/6)&lt;='V06 Calend 01'!E31)),IF((52=('V06 Calend 01'!C31+(6*'V06 Calend 01'!E31))),('V06 Calend 01'!H31-('V06 Calend 01'!I31*('V06 Calend 01'!E31-1))),'V06 Calend 01'!I31),0))+IF((52='V06 Calend 01'!D31),'V06 Calend 01'!J31,0))</f>
        <v>0</v>
      </c>
      <c r="BM31" s="2">
        <f>((IF((53='V06 Calend 01'!C31),('V06 Calend 01'!F31+'V06 Calend 01'!G31),0)+IF(AND(('V06 Calend 01'!E31&gt;0),(53&gt;'V06 Calend 01'!C31),(53&lt;'V06 Calend 01'!D31),(MOD((53-'V06 Calend 01'!C31),6)=0),(((53-'V06 Calend 01'!C31)/6)&lt;='V06 Calend 01'!E31)),IF((53=('V06 Calend 01'!C31+(6*'V06 Calend 01'!E31))),('V06 Calend 01'!H31-('V06 Calend 01'!I31*('V06 Calend 01'!E31-1))),'V06 Calend 01'!I31),0))+IF((53='V06 Calend 01'!D31),'V06 Calend 01'!J31,0))</f>
        <v>0</v>
      </c>
      <c r="BN31" s="2">
        <f>((IF((54='V06 Calend 01'!C31),('V06 Calend 01'!F31+'V06 Calend 01'!G31),0)+IF(AND(('V06 Calend 01'!E31&gt;0),(54&gt;'V06 Calend 01'!C31),(54&lt;'V06 Calend 01'!D31),(MOD((54-'V06 Calend 01'!C31),6)=0),(((54-'V06 Calend 01'!C31)/6)&lt;='V06 Calend 01'!E31)),IF((54=('V06 Calend 01'!C31+(6*'V06 Calend 01'!E31))),('V06 Calend 01'!H31-('V06 Calend 01'!I31*('V06 Calend 01'!E31-1))),'V06 Calend 01'!I31),0))+IF((54='V06 Calend 01'!D31),'V06 Calend 01'!J31,0))</f>
        <v>0</v>
      </c>
      <c r="BO31" s="2">
        <f>((IF((55='V06 Calend 01'!C31),('V06 Calend 01'!F31+'V06 Calend 01'!G31),0)+IF(AND(('V06 Calend 01'!E31&gt;0),(55&gt;'V06 Calend 01'!C31),(55&lt;'V06 Calend 01'!D31),(MOD((55-'V06 Calend 01'!C31),6)=0),(((55-'V06 Calend 01'!C31)/6)&lt;='V06 Calend 01'!E31)),IF((55=('V06 Calend 01'!C31+(6*'V06 Calend 01'!E31))),('V06 Calend 01'!H31-('V06 Calend 01'!I31*('V06 Calend 01'!E31-1))),'V06 Calend 01'!I31),0))+IF((55='V06 Calend 01'!D31),'V06 Calend 01'!J31,0))</f>
        <v>0</v>
      </c>
      <c r="BP31" s="2">
        <f>((IF((56='V06 Calend 01'!C31),('V06 Calend 01'!F31+'V06 Calend 01'!G31),0)+IF(AND(('V06 Calend 01'!E31&gt;0),(56&gt;'V06 Calend 01'!C31),(56&lt;'V06 Calend 01'!D31),(MOD((56-'V06 Calend 01'!C31),6)=0),(((56-'V06 Calend 01'!C31)/6)&lt;='V06 Calend 01'!E31)),IF((56=('V06 Calend 01'!C31+(6*'V06 Calend 01'!E31))),('V06 Calend 01'!H31-('V06 Calend 01'!I31*('V06 Calend 01'!E31-1))),'V06 Calend 01'!I31),0))+IF((56='V06 Calend 01'!D31),'V06 Calend 01'!J31,0))</f>
        <v>0</v>
      </c>
      <c r="BQ31" s="2">
        <f>((IF((57='V06 Calend 01'!C31),('V06 Calend 01'!F31+'V06 Calend 01'!G31),0)+IF(AND(('V06 Calend 01'!E31&gt;0),(57&gt;'V06 Calend 01'!C31),(57&lt;'V06 Calend 01'!D31),(MOD((57-'V06 Calend 01'!C31),6)=0),(((57-'V06 Calend 01'!C31)/6)&lt;='V06 Calend 01'!E31)),IF((57=('V06 Calend 01'!C31+(6*'V06 Calend 01'!E31))),('V06 Calend 01'!H31-('V06 Calend 01'!I31*('V06 Calend 01'!E31-1))),'V06 Calend 01'!I31),0))+IF((57='V06 Calend 01'!D31),'V06 Calend 01'!J31,0))</f>
        <v>0</v>
      </c>
      <c r="BR31" s="2">
        <f>((IF((58='V06 Calend 01'!C31),('V06 Calend 01'!F31+'V06 Calend 01'!G31),0)+IF(AND(('V06 Calend 01'!E31&gt;0),(58&gt;'V06 Calend 01'!C31),(58&lt;'V06 Calend 01'!D31),(MOD((58-'V06 Calend 01'!C31),6)=0),(((58-'V06 Calend 01'!C31)/6)&lt;='V06 Calend 01'!E31)),IF((58=('V06 Calend 01'!C31+(6*'V06 Calend 01'!E31))),('V06 Calend 01'!H31-('V06 Calend 01'!I31*('V06 Calend 01'!E31-1))),'V06 Calend 01'!I31),0))+IF((58='V06 Calend 01'!D31),'V06 Calend 01'!J31,0))</f>
        <v>0</v>
      </c>
      <c r="BS31" s="2">
        <f>((IF((59='V06 Calend 01'!C31),('V06 Calend 01'!F31+'V06 Calend 01'!G31),0)+IF(AND(('V06 Calend 01'!E31&gt;0),(59&gt;'V06 Calend 01'!C31),(59&lt;'V06 Calend 01'!D31),(MOD((59-'V06 Calend 01'!C31),6)=0),(((59-'V06 Calend 01'!C31)/6)&lt;='V06 Calend 01'!E31)),IF((59=('V06 Calend 01'!C31+(6*'V06 Calend 01'!E31))),('V06 Calend 01'!H31-('V06 Calend 01'!I31*('V06 Calend 01'!E31-1))),'V06 Calend 01'!I31),0))+IF((59='V06 Calend 01'!D31),'V06 Calend 01'!J31,0))</f>
        <v>0</v>
      </c>
      <c r="BT31" s="2">
        <f>((IF((60='V06 Calend 01'!C31),('V06 Calend 01'!F31+'V06 Calend 01'!G31),0)+IF(AND(('V06 Calend 01'!E31&gt;0),(60&gt;'V06 Calend 01'!C31),(60&lt;'V06 Calend 01'!D31),(MOD((60-'V06 Calend 01'!C31),6)=0),(((60-'V06 Calend 01'!C31)/6)&lt;='V06 Calend 01'!E31)),IF((60=('V06 Calend 01'!C31+(6*'V06 Calend 01'!E31))),('V06 Calend 01'!H31-('V06 Calend 01'!I31*('V06 Calend 01'!E31-1))),'V06 Calend 01'!I31),0))+IF((60='V06 Calend 01'!D31),'V06 Calend 01'!J31,0))</f>
        <v>0</v>
      </c>
      <c r="BU31" s="2">
        <f>((IF((61='V06 Calend 01'!C31),('V06 Calend 01'!F31+'V06 Calend 01'!G31),0)+IF(AND(('V06 Calend 01'!E31&gt;0),(61&gt;'V06 Calend 01'!C31),(61&lt;'V06 Calend 01'!D31),(MOD((61-'V06 Calend 01'!C31),6)=0),(((61-'V06 Calend 01'!C31)/6)&lt;='V06 Calend 01'!E31)),IF((61=('V06 Calend 01'!C31+(6*'V06 Calend 01'!E31))),('V06 Calend 01'!H31-('V06 Calend 01'!I31*('V06 Calend 01'!E31-1))),'V06 Calend 01'!I31),0))+IF((61='V06 Calend 01'!D31),'V06 Calend 01'!J31,0))</f>
        <v>0</v>
      </c>
      <c r="BV31" s="2">
        <f>((IF((62='V06 Calend 01'!C31),('V06 Calend 01'!F31+'V06 Calend 01'!G31),0)+IF(AND(('V06 Calend 01'!E31&gt;0),(62&gt;'V06 Calend 01'!C31),(62&lt;'V06 Calend 01'!D31),(MOD((62-'V06 Calend 01'!C31),6)=0),(((62-'V06 Calend 01'!C31)/6)&lt;='V06 Calend 01'!E31)),IF((62=('V06 Calend 01'!C31+(6*'V06 Calend 01'!E31))),('V06 Calend 01'!H31-('V06 Calend 01'!I31*('V06 Calend 01'!E31-1))),'V06 Calend 01'!I31),0))+IF((62='V06 Calend 01'!D31),'V06 Calend 01'!J31,0))</f>
        <v>0</v>
      </c>
      <c r="BW31" s="2">
        <f>((IF((63='V06 Calend 01'!C31),('V06 Calend 01'!F31+'V06 Calend 01'!G31),0)+IF(AND(('V06 Calend 01'!E31&gt;0),(63&gt;'V06 Calend 01'!C31),(63&lt;'V06 Calend 01'!D31),(MOD((63-'V06 Calend 01'!C31),6)=0),(((63-'V06 Calend 01'!C31)/6)&lt;='V06 Calend 01'!E31)),IF((63=('V06 Calend 01'!C31+(6*'V06 Calend 01'!E31))),('V06 Calend 01'!H31-('V06 Calend 01'!I31*('V06 Calend 01'!E31-1))),'V06 Calend 01'!I31),0))+IF((63='V06 Calend 01'!D31),'V06 Calend 01'!J31,0))</f>
        <v>0</v>
      </c>
      <c r="BX31" s="2">
        <f>((IF((64='V06 Calend 01'!C31),('V06 Calend 01'!F31+'V06 Calend 01'!G31),0)+IF(AND(('V06 Calend 01'!E31&gt;0),(64&gt;'V06 Calend 01'!C31),(64&lt;'V06 Calend 01'!D31),(MOD((64-'V06 Calend 01'!C31),6)=0),(((64-'V06 Calend 01'!C31)/6)&lt;='V06 Calend 01'!E31)),IF((64=('V06 Calend 01'!C31+(6*'V06 Calend 01'!E31))),('V06 Calend 01'!H31-('V06 Calend 01'!I31*('V06 Calend 01'!E31-1))),'V06 Calend 01'!I31),0))+IF((64='V06 Calend 01'!D31),'V06 Calend 01'!J31,0))</f>
        <v>0</v>
      </c>
      <c r="BY31" s="2">
        <f>((IF((65='V06 Calend 01'!C31),('V06 Calend 01'!F31+'V06 Calend 01'!G31),0)+IF(AND(('V06 Calend 01'!E31&gt;0),(65&gt;'V06 Calend 01'!C31),(65&lt;'V06 Calend 01'!D31),(MOD((65-'V06 Calend 01'!C31),6)=0),(((65-'V06 Calend 01'!C31)/6)&lt;='V06 Calend 01'!E31)),IF((65=('V06 Calend 01'!C31+(6*'V06 Calend 01'!E31))),('V06 Calend 01'!H31-('V06 Calend 01'!I31*('V06 Calend 01'!E31-1))),'V06 Calend 01'!I31),0))+IF((65='V06 Calend 01'!D31),'V06 Calend 01'!J31,0))</f>
        <v>0</v>
      </c>
      <c r="BZ31" s="2">
        <f>((IF((66='V06 Calend 01'!C31),('V06 Calend 01'!F31+'V06 Calend 01'!G31),0)+IF(AND(('V06 Calend 01'!E31&gt;0),(66&gt;'V06 Calend 01'!C31),(66&lt;'V06 Calend 01'!D31),(MOD((66-'V06 Calend 01'!C31),6)=0),(((66-'V06 Calend 01'!C31)/6)&lt;='V06 Calend 01'!E31)),IF((66=('V06 Calend 01'!C31+(6*'V06 Calend 01'!E31))),('V06 Calend 01'!H31-('V06 Calend 01'!I31*('V06 Calend 01'!E31-1))),'V06 Calend 01'!I31),0))+IF((66='V06 Calend 01'!D31),'V06 Calend 01'!J31,0))</f>
        <v>0</v>
      </c>
      <c r="CA31" s="2">
        <f>((IF((67='V06 Calend 01'!C31),('V06 Calend 01'!F31+'V06 Calend 01'!G31),0)+IF(AND(('V06 Calend 01'!E31&gt;0),(67&gt;'V06 Calend 01'!C31),(67&lt;'V06 Calend 01'!D31),(MOD((67-'V06 Calend 01'!C31),6)=0),(((67-'V06 Calend 01'!C31)/6)&lt;='V06 Calend 01'!E31)),IF((67=('V06 Calend 01'!C31+(6*'V06 Calend 01'!E31))),('V06 Calend 01'!H31-('V06 Calend 01'!I31*('V06 Calend 01'!E31-1))),'V06 Calend 01'!I31),0))+IF((67='V06 Calend 01'!D31),'V06 Calend 01'!J31,0))</f>
        <v>0</v>
      </c>
      <c r="CB31" s="2">
        <f>((IF((68='V06 Calend 01'!C31),('V06 Calend 01'!F31+'V06 Calend 01'!G31),0)+IF(AND(('V06 Calend 01'!E31&gt;0),(68&gt;'V06 Calend 01'!C31),(68&lt;'V06 Calend 01'!D31),(MOD((68-'V06 Calend 01'!C31),6)=0),(((68-'V06 Calend 01'!C31)/6)&lt;='V06 Calend 01'!E31)),IF((68=('V06 Calend 01'!C31+(6*'V06 Calend 01'!E31))),('V06 Calend 01'!H31-('V06 Calend 01'!I31*('V06 Calend 01'!E31-1))),'V06 Calend 01'!I31),0))+IF((68='V06 Calend 01'!D31),'V06 Calend 01'!J31,0))</f>
        <v>0</v>
      </c>
      <c r="CC31" s="2">
        <f>((IF((69='V06 Calend 01'!C31),('V06 Calend 01'!F31+'V06 Calend 01'!G31),0)+IF(AND(('V06 Calend 01'!E31&gt;0),(69&gt;'V06 Calend 01'!C31),(69&lt;'V06 Calend 01'!D31),(MOD((69-'V06 Calend 01'!C31),6)=0),(((69-'V06 Calend 01'!C31)/6)&lt;='V06 Calend 01'!E31)),IF((69=('V06 Calend 01'!C31+(6*'V06 Calend 01'!E31))),('V06 Calend 01'!H31-('V06 Calend 01'!I31*('V06 Calend 01'!E31-1))),'V06 Calend 01'!I31),0))+IF((69='V06 Calend 01'!D31),'V06 Calend 01'!J31,0))</f>
        <v>0</v>
      </c>
      <c r="CD31" s="2">
        <f>((IF((70='V06 Calend 01'!C31),('V06 Calend 01'!F31+'V06 Calend 01'!G31),0)+IF(AND(('V06 Calend 01'!E31&gt;0),(70&gt;'V06 Calend 01'!C31),(70&lt;'V06 Calend 01'!D31),(MOD((70-'V06 Calend 01'!C31),6)=0),(((70-'V06 Calend 01'!C31)/6)&lt;='V06 Calend 01'!E31)),IF((70=('V06 Calend 01'!C31+(6*'V06 Calend 01'!E31))),('V06 Calend 01'!H31-('V06 Calend 01'!I31*('V06 Calend 01'!E31-1))),'V06 Calend 01'!I31),0))+IF((70='V06 Calend 01'!D31),'V06 Calend 01'!J31,0))</f>
        <v>0</v>
      </c>
      <c r="CE31" s="2">
        <f>((IF((71='V06 Calend 01'!C31),('V06 Calend 01'!F31+'V06 Calend 01'!G31),0)+IF(AND(('V06 Calend 01'!E31&gt;0),(71&gt;'V06 Calend 01'!C31),(71&lt;'V06 Calend 01'!D31),(MOD((71-'V06 Calend 01'!C31),6)=0),(((71-'V06 Calend 01'!C31)/6)&lt;='V06 Calend 01'!E31)),IF((71=('V06 Calend 01'!C31+(6*'V06 Calend 01'!E31))),('V06 Calend 01'!H31-('V06 Calend 01'!I31*('V06 Calend 01'!E31-1))),'V06 Calend 01'!I31),0))+IF((71='V06 Calend 01'!D31),'V06 Calend 01'!J31,0))</f>
        <v>0</v>
      </c>
      <c r="CF31" s="2">
        <f>((IF((72='V06 Calend 01'!C31),('V06 Calend 01'!F31+'V06 Calend 01'!G31),0)+IF(AND(('V06 Calend 01'!E31&gt;0),(72&gt;'V06 Calend 01'!C31),(72&lt;'V06 Calend 01'!D31),(MOD((72-'V06 Calend 01'!C31),6)=0),(((72-'V06 Calend 01'!C31)/6)&lt;='V06 Calend 01'!E31)),IF((72=('V06 Calend 01'!C31+(6*'V06 Calend 01'!E31))),('V06 Calend 01'!H31-('V06 Calend 01'!I31*('V06 Calend 01'!E31-1))),'V06 Calend 01'!I31),0))+IF((72='V06 Calend 01'!D31),'V06 Calend 01'!J31,0))</f>
        <v>0</v>
      </c>
      <c r="CG31" s="2">
        <f>((IF((73='V06 Calend 01'!C31),('V06 Calend 01'!F31+'V06 Calend 01'!G31),0)+IF(AND(('V06 Calend 01'!E31&gt;0),(73&gt;'V06 Calend 01'!C31),(73&lt;'V06 Calend 01'!D31),(MOD((73-'V06 Calend 01'!C31),6)=0),(((73-'V06 Calend 01'!C31)/6)&lt;='V06 Calend 01'!E31)),IF((73=('V06 Calend 01'!C31+(6*'V06 Calend 01'!E31))),('V06 Calend 01'!H31-('V06 Calend 01'!I31*('V06 Calend 01'!E31-1))),'V06 Calend 01'!I31),0))+IF((73='V06 Calend 01'!D31),'V06 Calend 01'!J31,0))</f>
        <v>0</v>
      </c>
      <c r="CH31" s="2">
        <f>((IF((74='V06 Calend 01'!C31),('V06 Calend 01'!F31+'V06 Calend 01'!G31),0)+IF(AND(('V06 Calend 01'!E31&gt;0),(74&gt;'V06 Calend 01'!C31),(74&lt;'V06 Calend 01'!D31),(MOD((74-'V06 Calend 01'!C31),6)=0),(((74-'V06 Calend 01'!C31)/6)&lt;='V06 Calend 01'!E31)),IF((74=('V06 Calend 01'!C31+(6*'V06 Calend 01'!E31))),('V06 Calend 01'!H31-('V06 Calend 01'!I31*('V06 Calend 01'!E31-1))),'V06 Calend 01'!I31),0))+IF((74='V06 Calend 01'!D31),'V06 Calend 01'!J31,0))</f>
        <v>0</v>
      </c>
      <c r="CI31" s="2">
        <f>((IF((75='V06 Calend 01'!C31),('V06 Calend 01'!F31+'V06 Calend 01'!G31),0)+IF(AND(('V06 Calend 01'!E31&gt;0),(75&gt;'V06 Calend 01'!C31),(75&lt;'V06 Calend 01'!D31),(MOD((75-'V06 Calend 01'!C31),6)=0),(((75-'V06 Calend 01'!C31)/6)&lt;='V06 Calend 01'!E31)),IF((75=('V06 Calend 01'!C31+(6*'V06 Calend 01'!E31))),('V06 Calend 01'!H31-('V06 Calend 01'!I31*('V06 Calend 01'!E31-1))),'V06 Calend 01'!I31),0))+IF((75='V06 Calend 01'!D31),'V06 Calend 01'!J31,0))</f>
        <v>0</v>
      </c>
      <c r="CJ31" s="2">
        <f>((IF((76='V06 Calend 01'!C31),('V06 Calend 01'!F31+'V06 Calend 01'!G31),0)+IF(AND(('V06 Calend 01'!E31&gt;0),(76&gt;'V06 Calend 01'!C31),(76&lt;'V06 Calend 01'!D31),(MOD((76-'V06 Calend 01'!C31),6)=0),(((76-'V06 Calend 01'!C31)/6)&lt;='V06 Calend 01'!E31)),IF((76=('V06 Calend 01'!C31+(6*'V06 Calend 01'!E31))),('V06 Calend 01'!H31-('V06 Calend 01'!I31*('V06 Calend 01'!E31-1))),'V06 Calend 01'!I31),0))+IF((76='V06 Calend 01'!D31),'V06 Calend 01'!J31,0))</f>
        <v>0</v>
      </c>
      <c r="CK31" s="2">
        <f>((IF((77='V06 Calend 01'!C31),('V06 Calend 01'!F31+'V06 Calend 01'!G31),0)+IF(AND(('V06 Calend 01'!E31&gt;0),(77&gt;'V06 Calend 01'!C31),(77&lt;'V06 Calend 01'!D31),(MOD((77-'V06 Calend 01'!C31),6)=0),(((77-'V06 Calend 01'!C31)/6)&lt;='V06 Calend 01'!E31)),IF((77=('V06 Calend 01'!C31+(6*'V06 Calend 01'!E31))),('V06 Calend 01'!H31-('V06 Calend 01'!I31*('V06 Calend 01'!E31-1))),'V06 Calend 01'!I31),0))+IF((77='V06 Calend 01'!D31),'V06 Calend 01'!J31,0))</f>
        <v>0</v>
      </c>
      <c r="CL31" s="2">
        <f>((IF((78='V06 Calend 01'!C31),('V06 Calend 01'!F31+'V06 Calend 01'!G31),0)+IF(AND(('V06 Calend 01'!E31&gt;0),(78&gt;'V06 Calend 01'!C31),(78&lt;'V06 Calend 01'!D31),(MOD((78-'V06 Calend 01'!C31),6)=0),(((78-'V06 Calend 01'!C31)/6)&lt;='V06 Calend 01'!E31)),IF((78=('V06 Calend 01'!C31+(6*'V06 Calend 01'!E31))),('V06 Calend 01'!H31-('V06 Calend 01'!I31*('V06 Calend 01'!E31-1))),'V06 Calend 01'!I31),0))+IF((78='V06 Calend 01'!D31),'V06 Calend 01'!J31,0))</f>
        <v>0</v>
      </c>
      <c r="CM31" s="2">
        <f>((IF((79='V06 Calend 01'!C31),('V06 Calend 01'!F31+'V06 Calend 01'!G31),0)+IF(AND(('V06 Calend 01'!E31&gt;0),(79&gt;'V06 Calend 01'!C31),(79&lt;'V06 Calend 01'!D31),(MOD((79-'V06 Calend 01'!C31),6)=0),(((79-'V06 Calend 01'!C31)/6)&lt;='V06 Calend 01'!E31)),IF((79=('V06 Calend 01'!C31+(6*'V06 Calend 01'!E31))),('V06 Calend 01'!H31-('V06 Calend 01'!I31*('V06 Calend 01'!E31-1))),'V06 Calend 01'!I31),0))+IF((79='V06 Calend 01'!D31),'V06 Calend 01'!J31,0))</f>
        <v>0</v>
      </c>
      <c r="CN31" s="2">
        <f>((IF((80='V06 Calend 01'!C31),('V06 Calend 01'!F31+'V06 Calend 01'!G31),0)+IF(AND(('V06 Calend 01'!E31&gt;0),(80&gt;'V06 Calend 01'!C31),(80&lt;'V06 Calend 01'!D31),(MOD((80-'V06 Calend 01'!C31),6)=0),(((80-'V06 Calend 01'!C31)/6)&lt;='V06 Calend 01'!E31)),IF((80=('V06 Calend 01'!C31+(6*'V06 Calend 01'!E31))),('V06 Calend 01'!H31-('V06 Calend 01'!I31*('V06 Calend 01'!E31-1))),'V06 Calend 01'!I31),0))+IF((80='V06 Calend 01'!D31),'V06 Calend 01'!J31,0))</f>
        <v>0</v>
      </c>
      <c r="CO31" s="2">
        <f>((IF((81='V06 Calend 01'!C31),('V06 Calend 01'!F31+'V06 Calend 01'!G31),0)+IF(AND(('V06 Calend 01'!E31&gt;0),(81&gt;'V06 Calend 01'!C31),(81&lt;'V06 Calend 01'!D31),(MOD((81-'V06 Calend 01'!C31),6)=0),(((81-'V06 Calend 01'!C31)/6)&lt;='V06 Calend 01'!E31)),IF((81=('V06 Calend 01'!C31+(6*'V06 Calend 01'!E31))),('V06 Calend 01'!H31-('V06 Calend 01'!I31*('V06 Calend 01'!E31-1))),'V06 Calend 01'!I31),0))+IF((81='V06 Calend 01'!D31),'V06 Calend 01'!J31,0))</f>
        <v>0</v>
      </c>
      <c r="CP31" s="2">
        <f>((IF((82='V06 Calend 01'!C31),('V06 Calend 01'!F31+'V06 Calend 01'!G31),0)+IF(AND(('V06 Calend 01'!E31&gt;0),(82&gt;'V06 Calend 01'!C31),(82&lt;'V06 Calend 01'!D31),(MOD((82-'V06 Calend 01'!C31),6)=0),(((82-'V06 Calend 01'!C31)/6)&lt;='V06 Calend 01'!E31)),IF((82=('V06 Calend 01'!C31+(6*'V06 Calend 01'!E31))),('V06 Calend 01'!H31-('V06 Calend 01'!I31*('V06 Calend 01'!E31-1))),'V06 Calend 01'!I31),0))+IF((82='V06 Calend 01'!D31),'V06 Calend 01'!J31,0))</f>
        <v>0</v>
      </c>
      <c r="CQ31" s="2">
        <f>((IF((83='V06 Calend 01'!C31),('V06 Calend 01'!F31+'V06 Calend 01'!G31),0)+IF(AND(('V06 Calend 01'!E31&gt;0),(83&gt;'V06 Calend 01'!C31),(83&lt;'V06 Calend 01'!D31),(MOD((83-'V06 Calend 01'!C31),6)=0),(((83-'V06 Calend 01'!C31)/6)&lt;='V06 Calend 01'!E31)),IF((83=('V06 Calend 01'!C31+(6*'V06 Calend 01'!E31))),('V06 Calend 01'!H31-('V06 Calend 01'!I31*('V06 Calend 01'!E31-1))),'V06 Calend 01'!I31),0))+IF((83='V06 Calend 01'!D31),'V06 Calend 01'!J31,0))</f>
        <v>0</v>
      </c>
      <c r="CR31" s="2">
        <f>((IF((84='V06 Calend 01'!C31),('V06 Calend 01'!F31+'V06 Calend 01'!G31),0)+IF(AND(('V06 Calend 01'!E31&gt;0),(84&gt;'V06 Calend 01'!C31),(84&lt;'V06 Calend 01'!D31),(MOD((84-'V06 Calend 01'!C31),6)=0),(((84-'V06 Calend 01'!C31)/6)&lt;='V06 Calend 01'!E31)),IF((84=('V06 Calend 01'!C31+(6*'V06 Calend 01'!E31))),('V06 Calend 01'!H31-('V06 Calend 01'!I31*('V06 Calend 01'!E31-1))),'V06 Calend 01'!I31),0))+IF((84='V06 Calend 01'!D31),'V06 Calend 01'!J31,0))</f>
        <v>0</v>
      </c>
      <c r="CS31" s="2">
        <f>((IF((85='V06 Calend 01'!C31),('V06 Calend 01'!F31+'V06 Calend 01'!G31),0)+IF(AND(('V06 Calend 01'!E31&gt;0),(85&gt;'V06 Calend 01'!C31),(85&lt;'V06 Calend 01'!D31),(MOD((85-'V06 Calend 01'!C31),6)=0),(((85-'V06 Calend 01'!C31)/6)&lt;='V06 Calend 01'!E31)),IF((85=('V06 Calend 01'!C31+(6*'V06 Calend 01'!E31))),('V06 Calend 01'!H31-('V06 Calend 01'!I31*('V06 Calend 01'!E31-1))),'V06 Calend 01'!I31),0))+IF((85='V06 Calend 01'!D31),'V06 Calend 01'!J31,0))</f>
        <v>0</v>
      </c>
      <c r="CT31" s="2">
        <f>((IF((86='V06 Calend 01'!C31),('V06 Calend 01'!F31+'V06 Calend 01'!G31),0)+IF(AND(('V06 Calend 01'!E31&gt;0),(86&gt;'V06 Calend 01'!C31),(86&lt;'V06 Calend 01'!D31),(MOD((86-'V06 Calend 01'!C31),6)=0),(((86-'V06 Calend 01'!C31)/6)&lt;='V06 Calend 01'!E31)),IF((86=('V06 Calend 01'!C31+(6*'V06 Calend 01'!E31))),('V06 Calend 01'!H31-('V06 Calend 01'!I31*('V06 Calend 01'!E31-1))),'V06 Calend 01'!I31),0))+IF((86='V06 Calend 01'!D31),'V06 Calend 01'!J31,0))</f>
        <v>0</v>
      </c>
      <c r="CU31" s="2">
        <f>((IF((87='V06 Calend 01'!C31),('V06 Calend 01'!F31+'V06 Calend 01'!G31),0)+IF(AND(('V06 Calend 01'!E31&gt;0),(87&gt;'V06 Calend 01'!C31),(87&lt;'V06 Calend 01'!D31),(MOD((87-'V06 Calend 01'!C31),6)=0),(((87-'V06 Calend 01'!C31)/6)&lt;='V06 Calend 01'!E31)),IF((87=('V06 Calend 01'!C31+(6*'V06 Calend 01'!E31))),('V06 Calend 01'!H31-('V06 Calend 01'!I31*('V06 Calend 01'!E31-1))),'V06 Calend 01'!I31),0))+IF((87='V06 Calend 01'!D31),'V06 Calend 01'!J31,0))</f>
        <v>0</v>
      </c>
      <c r="CV31" s="2">
        <f>((IF((88='V06 Calend 01'!C31),('V06 Calend 01'!F31+'V06 Calend 01'!G31),0)+IF(AND(('V06 Calend 01'!E31&gt;0),(88&gt;'V06 Calend 01'!C31),(88&lt;'V06 Calend 01'!D31),(MOD((88-'V06 Calend 01'!C31),6)=0),(((88-'V06 Calend 01'!C31)/6)&lt;='V06 Calend 01'!E31)),IF((88=('V06 Calend 01'!C31+(6*'V06 Calend 01'!E31))),('V06 Calend 01'!H31-('V06 Calend 01'!I31*('V06 Calend 01'!E31-1))),'V06 Calend 01'!I31),0))+IF((88='V06 Calend 01'!D31),'V06 Calend 01'!J31,0))</f>
        <v>0</v>
      </c>
      <c r="CW31" s="2">
        <f>((IF((89='V06 Calend 01'!C31),('V06 Calend 01'!F31+'V06 Calend 01'!G31),0)+IF(AND(('V06 Calend 01'!E31&gt;0),(89&gt;'V06 Calend 01'!C31),(89&lt;'V06 Calend 01'!D31),(MOD((89-'V06 Calend 01'!C31),6)=0),(((89-'V06 Calend 01'!C31)/6)&lt;='V06 Calend 01'!E31)),IF((89=('V06 Calend 01'!C31+(6*'V06 Calend 01'!E31))),('V06 Calend 01'!H31-('V06 Calend 01'!I31*('V06 Calend 01'!E31-1))),'V06 Calend 01'!I31),0))+IF((89='V06 Calend 01'!D31),'V06 Calend 01'!J31,0))</f>
        <v>0</v>
      </c>
      <c r="CX31" s="2">
        <f>((IF((90='V06 Calend 01'!C31),('V06 Calend 01'!F31+'V06 Calend 01'!G31),0)+IF(AND(('V06 Calend 01'!E31&gt;0),(90&gt;'V06 Calend 01'!C31),(90&lt;'V06 Calend 01'!D31),(MOD((90-'V06 Calend 01'!C31),6)=0),(((90-'V06 Calend 01'!C31)/6)&lt;='V06 Calend 01'!E31)),IF((90=('V06 Calend 01'!C31+(6*'V06 Calend 01'!E31))),('V06 Calend 01'!H31-('V06 Calend 01'!I31*('V06 Calend 01'!E31-1))),'V06 Calend 01'!I31),0))+IF((90='V06 Calend 01'!D31),'V06 Calend 01'!J31,0))</f>
        <v>0</v>
      </c>
      <c r="CY31" s="2">
        <f>((IF((91='V06 Calend 01'!C31),('V06 Calend 01'!F31+'V06 Calend 01'!G31),0)+IF(AND(('V06 Calend 01'!E31&gt;0),(91&gt;'V06 Calend 01'!C31),(91&lt;'V06 Calend 01'!D31),(MOD((91-'V06 Calend 01'!C31),6)=0),(((91-'V06 Calend 01'!C31)/6)&lt;='V06 Calend 01'!E31)),IF((91=('V06 Calend 01'!C31+(6*'V06 Calend 01'!E31))),('V06 Calend 01'!H31-('V06 Calend 01'!I31*('V06 Calend 01'!E31-1))),'V06 Calend 01'!I31),0))+IF((91='V06 Calend 01'!D31),'V06 Calend 01'!J31,0))</f>
        <v>0</v>
      </c>
      <c r="CZ31" s="2">
        <f>((IF((92='V06 Calend 01'!C31),('V06 Calend 01'!F31+'V06 Calend 01'!G31),0)+IF(AND(('V06 Calend 01'!E31&gt;0),(92&gt;'V06 Calend 01'!C31),(92&lt;'V06 Calend 01'!D31),(MOD((92-'V06 Calend 01'!C31),6)=0),(((92-'V06 Calend 01'!C31)/6)&lt;='V06 Calend 01'!E31)),IF((92=('V06 Calend 01'!C31+(6*'V06 Calend 01'!E31))),('V06 Calend 01'!H31-('V06 Calend 01'!I31*('V06 Calend 01'!E31-1))),'V06 Calend 01'!I31),0))+IF((92='V06 Calend 01'!D31),'V06 Calend 01'!J31,0))</f>
        <v>0</v>
      </c>
      <c r="DA31" s="2">
        <f>((IF((93='V06 Calend 01'!C31),('V06 Calend 01'!F31+'V06 Calend 01'!G31),0)+IF(AND(('V06 Calend 01'!E31&gt;0),(93&gt;'V06 Calend 01'!C31),(93&lt;'V06 Calend 01'!D31),(MOD((93-'V06 Calend 01'!C31),6)=0),(((93-'V06 Calend 01'!C31)/6)&lt;='V06 Calend 01'!E31)),IF((93=('V06 Calend 01'!C31+(6*'V06 Calend 01'!E31))),('V06 Calend 01'!H31-('V06 Calend 01'!I31*('V06 Calend 01'!E31-1))),'V06 Calend 01'!I31),0))+IF((93='V06 Calend 01'!D31),'V06 Calend 01'!J31,0))</f>
        <v>0</v>
      </c>
      <c r="DB31" s="2">
        <f>((IF((94='V06 Calend 01'!C31),('V06 Calend 01'!F31+'V06 Calend 01'!G31),0)+IF(AND(('V06 Calend 01'!E31&gt;0),(94&gt;'V06 Calend 01'!C31),(94&lt;'V06 Calend 01'!D31),(MOD((94-'V06 Calend 01'!C31),6)=0),(((94-'V06 Calend 01'!C31)/6)&lt;='V06 Calend 01'!E31)),IF((94=('V06 Calend 01'!C31+(6*'V06 Calend 01'!E31))),('V06 Calend 01'!H31-('V06 Calend 01'!I31*('V06 Calend 01'!E31-1))),'V06 Calend 01'!I31),0))+IF((94='V06 Calend 01'!D31),'V06 Calend 01'!J31,0))</f>
        <v>0</v>
      </c>
      <c r="DC31" s="2">
        <f>((IF((95='V06 Calend 01'!C31),('V06 Calend 01'!F31+'V06 Calend 01'!G31),0)+IF(AND(('V06 Calend 01'!E31&gt;0),(95&gt;'V06 Calend 01'!C31),(95&lt;'V06 Calend 01'!D31),(MOD((95-'V06 Calend 01'!C31),6)=0),(((95-'V06 Calend 01'!C31)/6)&lt;='V06 Calend 01'!E31)),IF((95=('V06 Calend 01'!C31+(6*'V06 Calend 01'!E31))),('V06 Calend 01'!H31-('V06 Calend 01'!I31*('V06 Calend 01'!E31-1))),'V06 Calend 01'!I31),0))+IF((95='V06 Calend 01'!D31),'V06 Calend 01'!J31,0))</f>
        <v>0</v>
      </c>
      <c r="DD31" s="2">
        <f>((IF((96='V06 Calend 01'!C31),('V06 Calend 01'!F31+'V06 Calend 01'!G31),0)+IF(AND(('V06 Calend 01'!E31&gt;0),(96&gt;'V06 Calend 01'!C31),(96&lt;'V06 Calend 01'!D31),(MOD((96-'V06 Calend 01'!C31),6)=0),(((96-'V06 Calend 01'!C31)/6)&lt;='V06 Calend 01'!E31)),IF((96=('V06 Calend 01'!C31+(6*'V06 Calend 01'!E31))),('V06 Calend 01'!H31-('V06 Calend 01'!I31*('V06 Calend 01'!E31-1))),'V06 Calend 01'!I31),0))+IF((96='V06 Calend 01'!D31),'V06 Calend 01'!J31,0))</f>
        <v>0</v>
      </c>
      <c r="DE31" s="2">
        <f>((IF((97='V06 Calend 01'!C31),('V06 Calend 01'!F31+'V06 Calend 01'!G31),0)+IF(AND(('V06 Calend 01'!E31&gt;0),(97&gt;'V06 Calend 01'!C31),(97&lt;'V06 Calend 01'!D31),(MOD((97-'V06 Calend 01'!C31),6)=0),(((97-'V06 Calend 01'!C31)/6)&lt;='V06 Calend 01'!E31)),IF((97=('V06 Calend 01'!C31+(6*'V06 Calend 01'!E31))),('V06 Calend 01'!H31-('V06 Calend 01'!I31*('V06 Calend 01'!E31-1))),'V06 Calend 01'!I31),0))+IF((97='V06 Calend 01'!D31),'V06 Calend 01'!J31,0))</f>
        <v>0</v>
      </c>
      <c r="DF31" s="2">
        <f>((IF((98='V06 Calend 01'!C31),('V06 Calend 01'!F31+'V06 Calend 01'!G31),0)+IF(AND(('V06 Calend 01'!E31&gt;0),(98&gt;'V06 Calend 01'!C31),(98&lt;'V06 Calend 01'!D31),(MOD((98-'V06 Calend 01'!C31),6)=0),(((98-'V06 Calend 01'!C31)/6)&lt;='V06 Calend 01'!E31)),IF((98=('V06 Calend 01'!C31+(6*'V06 Calend 01'!E31))),('V06 Calend 01'!H31-('V06 Calend 01'!I31*('V06 Calend 01'!E31-1))),'V06 Calend 01'!I31),0))+IF((98='V06 Calend 01'!D31),'V06 Calend 01'!J31,0))</f>
        <v>0</v>
      </c>
      <c r="DG31" s="2">
        <f>((IF((99='V06 Calend 01'!C31),('V06 Calend 01'!F31+'V06 Calend 01'!G31),0)+IF(AND(('V06 Calend 01'!E31&gt;0),(99&gt;'V06 Calend 01'!C31),(99&lt;'V06 Calend 01'!D31),(MOD((99-'V06 Calend 01'!C31),6)=0),(((99-'V06 Calend 01'!C31)/6)&lt;='V06 Calend 01'!E31)),IF((99=('V06 Calend 01'!C31+(6*'V06 Calend 01'!E31))),('V06 Calend 01'!H31-('V06 Calend 01'!I31*('V06 Calend 01'!E31-1))),'V06 Calend 01'!I31),0))+IF((99='V06 Calend 01'!D31),'V06 Calend 01'!J31,0))</f>
        <v>0</v>
      </c>
      <c r="DH31" s="2">
        <f>((IF((100='V06 Calend 01'!C31),('V06 Calend 01'!F31+'V06 Calend 01'!G31),0)+IF(AND(('V06 Calend 01'!E31&gt;0),(100&gt;'V06 Calend 01'!C31),(100&lt;'V06 Calend 01'!D31),(MOD((100-'V06 Calend 01'!C31),6)=0),(((100-'V06 Calend 01'!C31)/6)&lt;='V06 Calend 01'!E31)),IF((100=('V06 Calend 01'!C31+(6*'V06 Calend 01'!E31))),('V06 Calend 01'!H31-('V06 Calend 01'!I31*('V06 Calend 01'!E31-1))),'V06 Calend 01'!I31),0))+IF((100='V06 Calend 01'!D31),'V06 Calend 01'!J31,0))</f>
        <v>0</v>
      </c>
      <c r="DI31" s="2">
        <f>((IF((101='V06 Calend 01'!C31),('V06 Calend 01'!F31+'V06 Calend 01'!G31),0)+IF(AND(('V06 Calend 01'!E31&gt;0),(101&gt;'V06 Calend 01'!C31),(101&lt;'V06 Calend 01'!D31),(MOD((101-'V06 Calend 01'!C31),6)=0),(((101-'V06 Calend 01'!C31)/6)&lt;='V06 Calend 01'!E31)),IF((101=('V06 Calend 01'!C31+(6*'V06 Calend 01'!E31))),('V06 Calend 01'!H31-('V06 Calend 01'!I31*('V06 Calend 01'!E31-1))),'V06 Calend 01'!I31),0))+IF((101='V06 Calend 01'!D31),'V06 Calend 01'!J31,0))</f>
        <v>0</v>
      </c>
      <c r="DJ31" s="2">
        <f>((IF((102='V06 Calend 01'!C31),('V06 Calend 01'!F31+'V06 Calend 01'!G31),0)+IF(AND(('V06 Calend 01'!E31&gt;0),(102&gt;'V06 Calend 01'!C31),(102&lt;'V06 Calend 01'!D31),(MOD((102-'V06 Calend 01'!C31),6)=0),(((102-'V06 Calend 01'!C31)/6)&lt;='V06 Calend 01'!E31)),IF((102=('V06 Calend 01'!C31+(6*'V06 Calend 01'!E31))),('V06 Calend 01'!H31-('V06 Calend 01'!I31*('V06 Calend 01'!E31-1))),'V06 Calend 01'!I31),0))+IF((102='V06 Calend 01'!D31),'V06 Calend 01'!J31,0))</f>
        <v>0</v>
      </c>
      <c r="DK31" s="2">
        <f>((IF((103='V06 Calend 01'!C31),('V06 Calend 01'!F31+'V06 Calend 01'!G31),0)+IF(AND(('V06 Calend 01'!E31&gt;0),(103&gt;'V06 Calend 01'!C31),(103&lt;'V06 Calend 01'!D31),(MOD((103-'V06 Calend 01'!C31),6)=0),(((103-'V06 Calend 01'!C31)/6)&lt;='V06 Calend 01'!E31)),IF((103=('V06 Calend 01'!C31+(6*'V06 Calend 01'!E31))),('V06 Calend 01'!H31-('V06 Calend 01'!I31*('V06 Calend 01'!E31-1))),'V06 Calend 01'!I31),0))+IF((103='V06 Calend 01'!D31),'V06 Calend 01'!J31,0))</f>
        <v>0</v>
      </c>
      <c r="DL31" s="2">
        <f>((IF((104='V06 Calend 01'!C31),('V06 Calend 01'!F31+'V06 Calend 01'!G31),0)+IF(AND(('V06 Calend 01'!E31&gt;0),(104&gt;'V06 Calend 01'!C31),(104&lt;'V06 Calend 01'!D31),(MOD((104-'V06 Calend 01'!C31),6)=0),(((104-'V06 Calend 01'!C31)/6)&lt;='V06 Calend 01'!E31)),IF((104=('V06 Calend 01'!C31+(6*'V06 Calend 01'!E31))),('V06 Calend 01'!H31-('V06 Calend 01'!I31*('V06 Calend 01'!E31-1))),'V06 Calend 01'!I31),0))+IF((104='V06 Calend 01'!D31),'V06 Calend 01'!J31,0))</f>
        <v>0</v>
      </c>
      <c r="DM31" s="2">
        <f>((IF((105='V06 Calend 01'!C31),('V06 Calend 01'!F31+'V06 Calend 01'!G31),0)+IF(AND(('V06 Calend 01'!E31&gt;0),(105&gt;'V06 Calend 01'!C31),(105&lt;'V06 Calend 01'!D31),(MOD((105-'V06 Calend 01'!C31),6)=0),(((105-'V06 Calend 01'!C31)/6)&lt;='V06 Calend 01'!E31)),IF((105=('V06 Calend 01'!C31+(6*'V06 Calend 01'!E31))),('V06 Calend 01'!H31-('V06 Calend 01'!I31*('V06 Calend 01'!E31-1))),'V06 Calend 01'!I31),0))+IF((105='V06 Calend 01'!D31),'V06 Calend 01'!J31,0))</f>
        <v>0</v>
      </c>
      <c r="DN31" s="2">
        <f>((IF((106='V06 Calend 01'!C31),('V06 Calend 01'!F31+'V06 Calend 01'!G31),0)+IF(AND(('V06 Calend 01'!E31&gt;0),(106&gt;'V06 Calend 01'!C31),(106&lt;'V06 Calend 01'!D31),(MOD((106-'V06 Calend 01'!C31),6)=0),(((106-'V06 Calend 01'!C31)/6)&lt;='V06 Calend 01'!E31)),IF((106=('V06 Calend 01'!C31+(6*'V06 Calend 01'!E31))),('V06 Calend 01'!H31-('V06 Calend 01'!I31*('V06 Calend 01'!E31-1))),'V06 Calend 01'!I31),0))+IF((106='V06 Calend 01'!D31),'V06 Calend 01'!J31,0))</f>
        <v>0</v>
      </c>
      <c r="DO31" s="2">
        <f>((IF((107='V06 Calend 01'!C31),('V06 Calend 01'!F31+'V06 Calend 01'!G31),0)+IF(AND(('V06 Calend 01'!E31&gt;0),(107&gt;'V06 Calend 01'!C31),(107&lt;'V06 Calend 01'!D31),(MOD((107-'V06 Calend 01'!C31),6)=0),(((107-'V06 Calend 01'!C31)/6)&lt;='V06 Calend 01'!E31)),IF((107=('V06 Calend 01'!C31+(6*'V06 Calend 01'!E31))),('V06 Calend 01'!H31-('V06 Calend 01'!I31*('V06 Calend 01'!E31-1))),'V06 Calend 01'!I31),0))+IF((107='V06 Calend 01'!D31),'V06 Calend 01'!J31,0))</f>
        <v>0</v>
      </c>
      <c r="DP31" s="2">
        <f>((IF((108='V06 Calend 01'!C31),('V06 Calend 01'!F31+'V06 Calend 01'!G31),0)+IF(AND(('V06 Calend 01'!E31&gt;0),(108&gt;'V06 Calend 01'!C31),(108&lt;'V06 Calend 01'!D31),(MOD((108-'V06 Calend 01'!C31),6)=0),(((108-'V06 Calend 01'!C31)/6)&lt;='V06 Calend 01'!E31)),IF((108=('V06 Calend 01'!C31+(6*'V06 Calend 01'!E31))),('V06 Calend 01'!H31-('V06 Calend 01'!I31*('V06 Calend 01'!E31-1))),'V06 Calend 01'!I31),0))+IF((108='V06 Calend 01'!D31),'V06 Calend 01'!J31,0))</f>
        <v>0</v>
      </c>
      <c r="DQ31" s="2">
        <f>((IF((109='V06 Calend 01'!C31),('V06 Calend 01'!F31+'V06 Calend 01'!G31),0)+IF(AND(('V06 Calend 01'!E31&gt;0),(109&gt;'V06 Calend 01'!C31),(109&lt;'V06 Calend 01'!D31),(MOD((109-'V06 Calend 01'!C31),6)=0),(((109-'V06 Calend 01'!C31)/6)&lt;='V06 Calend 01'!E31)),IF((109=('V06 Calend 01'!C31+(6*'V06 Calend 01'!E31))),('V06 Calend 01'!H31-('V06 Calend 01'!I31*('V06 Calend 01'!E31-1))),'V06 Calend 01'!I31),0))+IF((109='V06 Calend 01'!D31),'V06 Calend 01'!J31,0))</f>
        <v>0</v>
      </c>
      <c r="DR31" s="2">
        <f>((IF((110='V06 Calend 01'!C31),('V06 Calend 01'!F31+'V06 Calend 01'!G31),0)+IF(AND(('V06 Calend 01'!E31&gt;0),(110&gt;'V06 Calend 01'!C31),(110&lt;'V06 Calend 01'!D31),(MOD((110-'V06 Calend 01'!C31),6)=0),(((110-'V06 Calend 01'!C31)/6)&lt;='V06 Calend 01'!E31)),IF((110=('V06 Calend 01'!C31+(6*'V06 Calend 01'!E31))),('V06 Calend 01'!H31-('V06 Calend 01'!I31*('V06 Calend 01'!E31-1))),'V06 Calend 01'!I31),0))+IF((110='V06 Calend 01'!D31),'V06 Calend 01'!J31,0))</f>
        <v>0</v>
      </c>
      <c r="DS31" s="2">
        <f>((IF((111='V06 Calend 01'!C31),('V06 Calend 01'!F31+'V06 Calend 01'!G31),0)+IF(AND(('V06 Calend 01'!E31&gt;0),(111&gt;'V06 Calend 01'!C31),(111&lt;'V06 Calend 01'!D31),(MOD((111-'V06 Calend 01'!C31),6)=0),(((111-'V06 Calend 01'!C31)/6)&lt;='V06 Calend 01'!E31)),IF((111=('V06 Calend 01'!C31+(6*'V06 Calend 01'!E31))),('V06 Calend 01'!H31-('V06 Calend 01'!I31*('V06 Calend 01'!E31-1))),'V06 Calend 01'!I31),0))+IF((111='V06 Calend 01'!D31),'V06 Calend 01'!J31,0))</f>
        <v>0</v>
      </c>
      <c r="DT31" s="2">
        <f>((IF((112='V06 Calend 01'!C31),('V06 Calend 01'!F31+'V06 Calend 01'!G31),0)+IF(AND(('V06 Calend 01'!E31&gt;0),(112&gt;'V06 Calend 01'!C31),(112&lt;'V06 Calend 01'!D31),(MOD((112-'V06 Calend 01'!C31),6)=0),(((112-'V06 Calend 01'!C31)/6)&lt;='V06 Calend 01'!E31)),IF((112=('V06 Calend 01'!C31+(6*'V06 Calend 01'!E31))),('V06 Calend 01'!H31-('V06 Calend 01'!I31*('V06 Calend 01'!E31-1))),'V06 Calend 01'!I31),0))+IF((112='V06 Calend 01'!D31),'V06 Calend 01'!J31,0))</f>
        <v>0</v>
      </c>
      <c r="DU31" s="2">
        <f>((IF((113='V06 Calend 01'!C31),('V06 Calend 01'!F31+'V06 Calend 01'!G31),0)+IF(AND(('V06 Calend 01'!E31&gt;0),(113&gt;'V06 Calend 01'!C31),(113&lt;'V06 Calend 01'!D31),(MOD((113-'V06 Calend 01'!C31),6)=0),(((113-'V06 Calend 01'!C31)/6)&lt;='V06 Calend 01'!E31)),IF((113=('V06 Calend 01'!C31+(6*'V06 Calend 01'!E31))),('V06 Calend 01'!H31-('V06 Calend 01'!I31*('V06 Calend 01'!E31-1))),'V06 Calend 01'!I31),0))+IF((113='V06 Calend 01'!D31),'V06 Calend 01'!J31,0))</f>
        <v>0</v>
      </c>
      <c r="DV31" s="2">
        <f>((IF((114='V06 Calend 01'!C31),('V06 Calend 01'!F31+'V06 Calend 01'!G31),0)+IF(AND(('V06 Calend 01'!E31&gt;0),(114&gt;'V06 Calend 01'!C31),(114&lt;'V06 Calend 01'!D31),(MOD((114-'V06 Calend 01'!C31),6)=0),(((114-'V06 Calend 01'!C31)/6)&lt;='V06 Calend 01'!E31)),IF((114=('V06 Calend 01'!C31+(6*'V06 Calend 01'!E31))),('V06 Calend 01'!H31-('V06 Calend 01'!I31*('V06 Calend 01'!E31-1))),'V06 Calend 01'!I31),0))+IF((114='V06 Calend 01'!D31),'V06 Calend 01'!J31,0))</f>
        <v>0</v>
      </c>
      <c r="DW31" s="2">
        <f>((IF((115='V06 Calend 01'!C31),('V06 Calend 01'!F31+'V06 Calend 01'!G31),0)+IF(AND(('V06 Calend 01'!E31&gt;0),(115&gt;'V06 Calend 01'!C31),(115&lt;'V06 Calend 01'!D31),(MOD((115-'V06 Calend 01'!C31),6)=0),(((115-'V06 Calend 01'!C31)/6)&lt;='V06 Calend 01'!E31)),IF((115=('V06 Calend 01'!C31+(6*'V06 Calend 01'!E31))),('V06 Calend 01'!H31-('V06 Calend 01'!I31*('V06 Calend 01'!E31-1))),'V06 Calend 01'!I31),0))+IF((115='V06 Calend 01'!D31),'V06 Calend 01'!J31,0))</f>
        <v>0</v>
      </c>
      <c r="DX31" s="2">
        <f>((IF((116='V06 Calend 01'!C31),('V06 Calend 01'!F31+'V06 Calend 01'!G31),0)+IF(AND(('V06 Calend 01'!E31&gt;0),(116&gt;'V06 Calend 01'!C31),(116&lt;'V06 Calend 01'!D31),(MOD((116-'V06 Calend 01'!C31),6)=0),(((116-'V06 Calend 01'!C31)/6)&lt;='V06 Calend 01'!E31)),IF((116=('V06 Calend 01'!C31+(6*'V06 Calend 01'!E31))),('V06 Calend 01'!H31-('V06 Calend 01'!I31*('V06 Calend 01'!E31-1))),'V06 Calend 01'!I31),0))+IF((116='V06 Calend 01'!D31),'V06 Calend 01'!J31,0))</f>
        <v>0</v>
      </c>
      <c r="DY31" s="2">
        <f>((IF((117='V06 Calend 01'!C31),('V06 Calend 01'!F31+'V06 Calend 01'!G31),0)+IF(AND(('V06 Calend 01'!E31&gt;0),(117&gt;'V06 Calend 01'!C31),(117&lt;'V06 Calend 01'!D31),(MOD((117-'V06 Calend 01'!C31),6)=0),(((117-'V06 Calend 01'!C31)/6)&lt;='V06 Calend 01'!E31)),IF((117=('V06 Calend 01'!C31+(6*'V06 Calend 01'!E31))),('V06 Calend 01'!H31-('V06 Calend 01'!I31*('V06 Calend 01'!E31-1))),'V06 Calend 01'!I31),0))+IF((117='V06 Calend 01'!D31),'V06 Calend 01'!J31,0))</f>
        <v>0</v>
      </c>
      <c r="DZ31" s="2">
        <f>((IF((118='V06 Calend 01'!C31),('V06 Calend 01'!F31+'V06 Calend 01'!G31),0)+IF(AND(('V06 Calend 01'!E31&gt;0),(118&gt;'V06 Calend 01'!C31),(118&lt;'V06 Calend 01'!D31),(MOD((118-'V06 Calend 01'!C31),6)=0),(((118-'V06 Calend 01'!C31)/6)&lt;='V06 Calend 01'!E31)),IF((118=('V06 Calend 01'!C31+(6*'V06 Calend 01'!E31))),('V06 Calend 01'!H31-('V06 Calend 01'!I31*('V06 Calend 01'!E31-1))),'V06 Calend 01'!I31),0))+IF((118='V06 Calend 01'!D31),'V06 Calend 01'!J31,0))</f>
        <v>0</v>
      </c>
      <c r="EA31" s="2">
        <f>((IF((119='V06 Calend 01'!C31),('V06 Calend 01'!F31+'V06 Calend 01'!G31),0)+IF(AND(('V06 Calend 01'!E31&gt;0),(119&gt;'V06 Calend 01'!C31),(119&lt;'V06 Calend 01'!D31),(MOD((119-'V06 Calend 01'!C31),6)=0),(((119-'V06 Calend 01'!C31)/6)&lt;='V06 Calend 01'!E31)),IF((119=('V06 Calend 01'!C31+(6*'V06 Calend 01'!E31))),('V06 Calend 01'!H31-('V06 Calend 01'!I31*('V06 Calend 01'!E31-1))),'V06 Calend 01'!I31),0))+IF((119='V06 Calend 01'!D31),'V06 Calend 01'!J31,0))</f>
        <v>0</v>
      </c>
      <c r="EB31" s="2">
        <f>((IF((120='V06 Calend 01'!C31),('V06 Calend 01'!F31+'V06 Calend 01'!G31),0)+IF(AND(('V06 Calend 01'!E31&gt;0),(120&gt;'V06 Calend 01'!C31),(120&lt;'V06 Calend 01'!D31),(MOD((120-'V06 Calend 01'!C31),6)=0),(((120-'V06 Calend 01'!C31)/6)&lt;='V06 Calend 01'!E31)),IF((120=('V06 Calend 01'!C31+(6*'V06 Calend 01'!E31))),('V06 Calend 01'!H31-('V06 Calend 01'!I31*('V06 Calend 01'!E31-1))),'V06 Calend 01'!I31),0))+IF((120='V06 Calend 01'!D31),'V06 Calend 01'!J31,0))</f>
        <v>0</v>
      </c>
      <c r="EC31" s="2">
        <f>((IF((121='V06 Calend 01'!C31),('V06 Calend 01'!F31+'V06 Calend 01'!G31),0)+IF(AND(('V06 Calend 01'!E31&gt;0),(121&gt;'V06 Calend 01'!C31),(121&lt;'V06 Calend 01'!D31),(MOD((121-'V06 Calend 01'!C31),6)=0),(((121-'V06 Calend 01'!C31)/6)&lt;='V06 Calend 01'!E31)),IF((121=('V06 Calend 01'!C31+(6*'V06 Calend 01'!E31))),('V06 Calend 01'!H31-('V06 Calend 01'!I31*('V06 Calend 01'!E31-1))),'V06 Calend 01'!I31),0))+IF((121='V06 Calend 01'!D31),'V06 Calend 01'!J31,0))</f>
        <v>0</v>
      </c>
      <c r="ED31" s="2">
        <f>((IF((122='V06 Calend 01'!C31),('V06 Calend 01'!F31+'V06 Calend 01'!G31),0)+IF(AND(('V06 Calend 01'!E31&gt;0),(122&gt;'V06 Calend 01'!C31),(122&lt;'V06 Calend 01'!D31),(MOD((122-'V06 Calend 01'!C31),6)=0),(((122-'V06 Calend 01'!C31)/6)&lt;='V06 Calend 01'!E31)),IF((122=('V06 Calend 01'!C31+(6*'V06 Calend 01'!E31))),('V06 Calend 01'!H31-('V06 Calend 01'!I31*('V06 Calend 01'!E31-1))),'V06 Calend 01'!I31),0))+IF((122='V06 Calend 01'!D31),'V06 Calend 01'!J31,0))</f>
        <v>0</v>
      </c>
      <c r="EE31" s="2">
        <f>((IF((123='V06 Calend 01'!C31),('V06 Calend 01'!F31+'V06 Calend 01'!G31),0)+IF(AND(('V06 Calend 01'!E31&gt;0),(123&gt;'V06 Calend 01'!C31),(123&lt;'V06 Calend 01'!D31),(MOD((123-'V06 Calend 01'!C31),6)=0),(((123-'V06 Calend 01'!C31)/6)&lt;='V06 Calend 01'!E31)),IF((123=('V06 Calend 01'!C31+(6*'V06 Calend 01'!E31))),('V06 Calend 01'!H31-('V06 Calend 01'!I31*('V06 Calend 01'!E31-1))),'V06 Calend 01'!I31),0))+IF((123='V06 Calend 01'!D31),'V06 Calend 01'!J31,0))</f>
        <v>0</v>
      </c>
      <c r="EF31" s="2">
        <f>((IF((124='V06 Calend 01'!C31),('V06 Calend 01'!F31+'V06 Calend 01'!G31),0)+IF(AND(('V06 Calend 01'!E31&gt;0),(124&gt;'V06 Calend 01'!C31),(124&lt;'V06 Calend 01'!D31),(MOD((124-'V06 Calend 01'!C31),6)=0),(((124-'V06 Calend 01'!C31)/6)&lt;='V06 Calend 01'!E31)),IF((124=('V06 Calend 01'!C31+(6*'V06 Calend 01'!E31))),('V06 Calend 01'!H31-('V06 Calend 01'!I31*('V06 Calend 01'!E31-1))),'V06 Calend 01'!I31),0))+IF((124='V06 Calend 01'!D31),'V06 Calend 01'!J31,0))</f>
        <v>0</v>
      </c>
      <c r="EG31" s="2">
        <f>((IF((125='V06 Calend 01'!C31),('V06 Calend 01'!F31+'V06 Calend 01'!G31),0)+IF(AND(('V06 Calend 01'!E31&gt;0),(125&gt;'V06 Calend 01'!C31),(125&lt;'V06 Calend 01'!D31),(MOD((125-'V06 Calend 01'!C31),6)=0),(((125-'V06 Calend 01'!C31)/6)&lt;='V06 Calend 01'!E31)),IF((125=('V06 Calend 01'!C31+(6*'V06 Calend 01'!E31))),('V06 Calend 01'!H31-('V06 Calend 01'!I31*('V06 Calend 01'!E31-1))),'V06 Calend 01'!I31),0))+IF((125='V06 Calend 01'!D31),'V06 Calend 01'!J31,0))</f>
        <v>0</v>
      </c>
      <c r="EH31" s="2">
        <f>((IF((126='V06 Calend 01'!C31),('V06 Calend 01'!F31+'V06 Calend 01'!G31),0)+IF(AND(('V06 Calend 01'!E31&gt;0),(126&gt;'V06 Calend 01'!C31),(126&lt;'V06 Calend 01'!D31),(MOD((126-'V06 Calend 01'!C31),6)=0),(((126-'V06 Calend 01'!C31)/6)&lt;='V06 Calend 01'!E31)),IF((126=('V06 Calend 01'!C31+(6*'V06 Calend 01'!E31))),('V06 Calend 01'!H31-('V06 Calend 01'!I31*('V06 Calend 01'!E31-1))),'V06 Calend 01'!I31),0))+IF((126='V06 Calend 01'!D31),'V06 Calend 01'!J31,0))</f>
        <v>0</v>
      </c>
      <c r="EI31" s="2">
        <f>((IF((127='V06 Calend 01'!C31),('V06 Calend 01'!F31+'V06 Calend 01'!G31),0)+IF(AND(('V06 Calend 01'!E31&gt;0),(127&gt;'V06 Calend 01'!C31),(127&lt;'V06 Calend 01'!D31),(MOD((127-'V06 Calend 01'!C31),6)=0),(((127-'V06 Calend 01'!C31)/6)&lt;='V06 Calend 01'!E31)),IF((127=('V06 Calend 01'!C31+(6*'V06 Calend 01'!E31))),('V06 Calend 01'!H31-('V06 Calend 01'!I31*('V06 Calend 01'!E31-1))),'V06 Calend 01'!I31),0))+IF((127='V06 Calend 01'!D31),'V06 Calend 01'!J31,0))</f>
        <v>0</v>
      </c>
      <c r="EJ31" s="2">
        <f>((IF((128='V06 Calend 01'!C31),('V06 Calend 01'!F31+'V06 Calend 01'!G31),0)+IF(AND(('V06 Calend 01'!E31&gt;0),(128&gt;'V06 Calend 01'!C31),(128&lt;'V06 Calend 01'!D31),(MOD((128-'V06 Calend 01'!C31),6)=0),(((128-'V06 Calend 01'!C31)/6)&lt;='V06 Calend 01'!E31)),IF((128=('V06 Calend 01'!C31+(6*'V06 Calend 01'!E31))),('V06 Calend 01'!H31-('V06 Calend 01'!I31*('V06 Calend 01'!E31-1))),'V06 Calend 01'!I31),0))+IF((128='V06 Calend 01'!D31),'V06 Calend 01'!J31,0))</f>
        <v>0</v>
      </c>
      <c r="EK31" s="2">
        <f>((IF((129='V06 Calend 01'!C31),('V06 Calend 01'!F31+'V06 Calend 01'!G31),0)+IF(AND(('V06 Calend 01'!E31&gt;0),(129&gt;'V06 Calend 01'!C31),(129&lt;'V06 Calend 01'!D31),(MOD((129-'V06 Calend 01'!C31),6)=0),(((129-'V06 Calend 01'!C31)/6)&lt;='V06 Calend 01'!E31)),IF((129=('V06 Calend 01'!C31+(6*'V06 Calend 01'!E31))),('V06 Calend 01'!H31-('V06 Calend 01'!I31*('V06 Calend 01'!E31-1))),'V06 Calend 01'!I31),0))+IF((129='V06 Calend 01'!D31),'V06 Calend 01'!J31,0))</f>
        <v>0</v>
      </c>
      <c r="EL31" s="2">
        <f>((IF((130='V06 Calend 01'!C31),('V06 Calend 01'!F31+'V06 Calend 01'!G31),0)+IF(AND(('V06 Calend 01'!E31&gt;0),(130&gt;'V06 Calend 01'!C31),(130&lt;'V06 Calend 01'!D31),(MOD((130-'V06 Calend 01'!C31),6)=0),(((130-'V06 Calend 01'!C31)/6)&lt;='V06 Calend 01'!E31)),IF((130=('V06 Calend 01'!C31+(6*'V06 Calend 01'!E31))),('V06 Calend 01'!H31-('V06 Calend 01'!I31*('V06 Calend 01'!E31-1))),'V06 Calend 01'!I31),0))+IF((130='V06 Calend 01'!D31),'V06 Calend 01'!J31,0))</f>
        <v>0</v>
      </c>
      <c r="EM31" s="2">
        <f>((IF((131='V06 Calend 01'!C31),('V06 Calend 01'!F31+'V06 Calend 01'!G31),0)+IF(AND(('V06 Calend 01'!E31&gt;0),(131&gt;'V06 Calend 01'!C31),(131&lt;'V06 Calend 01'!D31),(MOD((131-'V06 Calend 01'!C31),6)=0),(((131-'V06 Calend 01'!C31)/6)&lt;='V06 Calend 01'!E31)),IF((131=('V06 Calend 01'!C31+(6*'V06 Calend 01'!E31))),('V06 Calend 01'!H31-('V06 Calend 01'!I31*('V06 Calend 01'!E31-1))),'V06 Calend 01'!I31),0))+IF((131='V06 Calend 01'!D31),'V06 Calend 01'!J31,0))</f>
        <v>0</v>
      </c>
      <c r="EN31" s="2">
        <f>((IF((132='V06 Calend 01'!C31),('V06 Calend 01'!F31+'V06 Calend 01'!G31),0)+IF(AND(('V06 Calend 01'!E31&gt;0),(132&gt;'V06 Calend 01'!C31),(132&lt;'V06 Calend 01'!D31),(MOD((132-'V06 Calend 01'!C31),6)=0),(((132-'V06 Calend 01'!C31)/6)&lt;='V06 Calend 01'!E31)),IF((132=('V06 Calend 01'!C31+(6*'V06 Calend 01'!E31))),('V06 Calend 01'!H31-('V06 Calend 01'!I31*('V06 Calend 01'!E31-1))),'V06 Calend 01'!I31),0))+IF((132='V06 Calend 01'!D31),'V06 Calend 01'!J31,0))</f>
        <v>0</v>
      </c>
      <c r="EO31" s="2">
        <f>((IF((133='V06 Calend 01'!C31),('V06 Calend 01'!F31+'V06 Calend 01'!G31),0)+IF(AND(('V06 Calend 01'!E31&gt;0),(133&gt;'V06 Calend 01'!C31),(133&lt;'V06 Calend 01'!D31),(MOD((133-'V06 Calend 01'!C31),6)=0),(((133-'V06 Calend 01'!C31)/6)&lt;='V06 Calend 01'!E31)),IF((133=('V06 Calend 01'!C31+(6*'V06 Calend 01'!E31))),('V06 Calend 01'!H31-('V06 Calend 01'!I31*('V06 Calend 01'!E31-1))),'V06 Calend 01'!I31),0))+IF((133='V06 Calend 01'!D31),'V06 Calend 01'!J31,0))</f>
        <v>0</v>
      </c>
      <c r="EP31" s="2">
        <f>((IF((134='V06 Calend 01'!C31),('V06 Calend 01'!F31+'V06 Calend 01'!G31),0)+IF(AND(('V06 Calend 01'!E31&gt;0),(134&gt;'V06 Calend 01'!C31),(134&lt;'V06 Calend 01'!D31),(MOD((134-'V06 Calend 01'!C31),6)=0),(((134-'V06 Calend 01'!C31)/6)&lt;='V06 Calend 01'!E31)),IF((134=('V06 Calend 01'!C31+(6*'V06 Calend 01'!E31))),('V06 Calend 01'!H31-('V06 Calend 01'!I31*('V06 Calend 01'!E31-1))),'V06 Calend 01'!I31),0))+IF((134='V06 Calend 01'!D31),'V06 Calend 01'!J31,0))</f>
        <v>0</v>
      </c>
      <c r="EQ31" s="2">
        <f>((IF((135='V06 Calend 01'!C31),('V06 Calend 01'!F31+'V06 Calend 01'!G31),0)+IF(AND(('V06 Calend 01'!E31&gt;0),(135&gt;'V06 Calend 01'!C31),(135&lt;'V06 Calend 01'!D31),(MOD((135-'V06 Calend 01'!C31),6)=0),(((135-'V06 Calend 01'!C31)/6)&lt;='V06 Calend 01'!E31)),IF((135=('V06 Calend 01'!C31+(6*'V06 Calend 01'!E31))),('V06 Calend 01'!H31-('V06 Calend 01'!I31*('V06 Calend 01'!E31-1))),'V06 Calend 01'!I31),0))+IF((135='V06 Calend 01'!D31),'V06 Calend 01'!J31,0))</f>
        <v>0</v>
      </c>
      <c r="ER31" s="2">
        <f>((IF((136='V06 Calend 01'!C31),('V06 Calend 01'!F31+'V06 Calend 01'!G31),0)+IF(AND(('V06 Calend 01'!E31&gt;0),(136&gt;'V06 Calend 01'!C31),(136&lt;'V06 Calend 01'!D31),(MOD((136-'V06 Calend 01'!C31),6)=0),(((136-'V06 Calend 01'!C31)/6)&lt;='V06 Calend 01'!E31)),IF((136=('V06 Calend 01'!C31+(6*'V06 Calend 01'!E31))),('V06 Calend 01'!H31-('V06 Calend 01'!I31*('V06 Calend 01'!E31-1))),'V06 Calend 01'!I31),0))+IF((136='V06 Calend 01'!D31),'V06 Calend 01'!J31,0))</f>
        <v>0</v>
      </c>
      <c r="ES31" s="2">
        <f>((IF((137='V06 Calend 01'!C31),('V06 Calend 01'!F31+'V06 Calend 01'!G31),0)+IF(AND(('V06 Calend 01'!E31&gt;0),(137&gt;'V06 Calend 01'!C31),(137&lt;'V06 Calend 01'!D31),(MOD((137-'V06 Calend 01'!C31),6)=0),(((137-'V06 Calend 01'!C31)/6)&lt;='V06 Calend 01'!E31)),IF((137=('V06 Calend 01'!C31+(6*'V06 Calend 01'!E31))),('V06 Calend 01'!H31-('V06 Calend 01'!I31*('V06 Calend 01'!E31-1))),'V06 Calend 01'!I31),0))+IF((137='V06 Calend 01'!D31),'V06 Calend 01'!J31,0))</f>
        <v>0</v>
      </c>
      <c r="ET31" s="2">
        <f>((IF((138='V06 Calend 01'!C31),('V06 Calend 01'!F31+'V06 Calend 01'!G31),0)+IF(AND(('V06 Calend 01'!E31&gt;0),(138&gt;'V06 Calend 01'!C31),(138&lt;'V06 Calend 01'!D31),(MOD((138-'V06 Calend 01'!C31),6)=0),(((138-'V06 Calend 01'!C31)/6)&lt;='V06 Calend 01'!E31)),IF((138=('V06 Calend 01'!C31+(6*'V06 Calend 01'!E31))),('V06 Calend 01'!H31-('V06 Calend 01'!I31*('V06 Calend 01'!E31-1))),'V06 Calend 01'!I31),0))+IF((138='V06 Calend 01'!D31),'V06 Calend 01'!J31,0))</f>
        <v>0</v>
      </c>
      <c r="EU31" s="2">
        <f>((IF((139='V06 Calend 01'!C31),('V06 Calend 01'!F31+'V06 Calend 01'!G31),0)+IF(AND(('V06 Calend 01'!E31&gt;0),(139&gt;'V06 Calend 01'!C31),(139&lt;'V06 Calend 01'!D31),(MOD((139-'V06 Calend 01'!C31),6)=0),(((139-'V06 Calend 01'!C31)/6)&lt;='V06 Calend 01'!E31)),IF((139=('V06 Calend 01'!C31+(6*'V06 Calend 01'!E31))),('V06 Calend 01'!H31-('V06 Calend 01'!I31*('V06 Calend 01'!E31-1))),'V06 Calend 01'!I31),0))+IF((139='V06 Calend 01'!D31),'V06 Calend 01'!J31,0))</f>
        <v>0</v>
      </c>
      <c r="EV31" s="2">
        <f>((IF((140='V06 Calend 01'!C31),('V06 Calend 01'!F31+'V06 Calend 01'!G31),0)+IF(AND(('V06 Calend 01'!E31&gt;0),(140&gt;'V06 Calend 01'!C31),(140&lt;'V06 Calend 01'!D31),(MOD((140-'V06 Calend 01'!C31),6)=0),(((140-'V06 Calend 01'!C31)/6)&lt;='V06 Calend 01'!E31)),IF((140=('V06 Calend 01'!C31+(6*'V06 Calend 01'!E31))),('V06 Calend 01'!H31-('V06 Calend 01'!I31*('V06 Calend 01'!E31-1))),'V06 Calend 01'!I31),0))+IF((140='V06 Calend 01'!D31),'V06 Calend 01'!J31,0))</f>
        <v>0</v>
      </c>
      <c r="EW31" s="2">
        <f>((IF((141='V06 Calend 01'!C31),('V06 Calend 01'!F31+'V06 Calend 01'!G31),0)+IF(AND(('V06 Calend 01'!E31&gt;0),(141&gt;'V06 Calend 01'!C31),(141&lt;'V06 Calend 01'!D31),(MOD((141-'V06 Calend 01'!C31),6)=0),(((141-'V06 Calend 01'!C31)/6)&lt;='V06 Calend 01'!E31)),IF((141=('V06 Calend 01'!C31+(6*'V06 Calend 01'!E31))),('V06 Calend 01'!H31-('V06 Calend 01'!I31*('V06 Calend 01'!E31-1))),'V06 Calend 01'!I31),0))+IF((141='V06 Calend 01'!D31),'V06 Calend 01'!J31,0))</f>
        <v>0</v>
      </c>
      <c r="EX31" s="2">
        <f>((IF((142='V06 Calend 01'!C31),('V06 Calend 01'!F31+'V06 Calend 01'!G31),0)+IF(AND(('V06 Calend 01'!E31&gt;0),(142&gt;'V06 Calend 01'!C31),(142&lt;'V06 Calend 01'!D31),(MOD((142-'V06 Calend 01'!C31),6)=0),(((142-'V06 Calend 01'!C31)/6)&lt;='V06 Calend 01'!E31)),IF((142=('V06 Calend 01'!C31+(6*'V06 Calend 01'!E31))),('V06 Calend 01'!H31-('V06 Calend 01'!I31*('V06 Calend 01'!E31-1))),'V06 Calend 01'!I31),0))+IF((142='V06 Calend 01'!D31),'V06 Calend 01'!J31,0))</f>
        <v>0</v>
      </c>
      <c r="EY31" s="2">
        <f>((IF((143='V06 Calend 01'!C31),('V06 Calend 01'!F31+'V06 Calend 01'!G31),0)+IF(AND(('V06 Calend 01'!E31&gt;0),(143&gt;'V06 Calend 01'!C31),(143&lt;'V06 Calend 01'!D31),(MOD((143-'V06 Calend 01'!C31),6)=0),(((143-'V06 Calend 01'!C31)/6)&lt;='V06 Calend 01'!E31)),IF((143=('V06 Calend 01'!C31+(6*'V06 Calend 01'!E31))),('V06 Calend 01'!H31-('V06 Calend 01'!I31*('V06 Calend 01'!E31-1))),'V06 Calend 01'!I31),0))+IF((143='V06 Calend 01'!D31),'V06 Calend 01'!J31,0))</f>
        <v>0</v>
      </c>
      <c r="EZ31" s="2">
        <f>((IF((144='V06 Calend 01'!C31),('V06 Calend 01'!F31+'V06 Calend 01'!G31),0)+IF(AND(('V06 Calend 01'!E31&gt;0),(144&gt;'V06 Calend 01'!C31),(144&lt;'V06 Calend 01'!D31),(MOD((144-'V06 Calend 01'!C31),6)=0),(((144-'V06 Calend 01'!C31)/6)&lt;='V06 Calend 01'!E31)),IF((144=('V06 Calend 01'!C31+(6*'V06 Calend 01'!E31))),('V06 Calend 01'!H31-('V06 Calend 01'!I31*('V06 Calend 01'!E31-1))),'V06 Calend 01'!I31),0))+IF((144='V06 Calend 01'!D31),'V06 Calend 01'!J31,0))</f>
        <v>0</v>
      </c>
      <c r="FA31" s="2">
        <f>((IF((145='V06 Calend 01'!C31),('V06 Calend 01'!F31+'V06 Calend 01'!G31),0)+IF(AND(('V06 Calend 01'!E31&gt;0),(145&gt;'V06 Calend 01'!C31),(145&lt;'V06 Calend 01'!D31),(MOD((145-'V06 Calend 01'!C31),6)=0),(((145-'V06 Calend 01'!C31)/6)&lt;='V06 Calend 01'!E31)),IF((145=('V06 Calend 01'!C31+(6*'V06 Calend 01'!E31))),('V06 Calend 01'!H31-('V06 Calend 01'!I31*('V06 Calend 01'!E31-1))),'V06 Calend 01'!I31),0))+IF((145='V06 Calend 01'!D31),'V06 Calend 01'!J31,0))</f>
        <v>0</v>
      </c>
      <c r="FB31" s="2">
        <f>((IF((146='V06 Calend 01'!C31),('V06 Calend 01'!F31+'V06 Calend 01'!G31),0)+IF(AND(('V06 Calend 01'!E31&gt;0),(146&gt;'V06 Calend 01'!C31),(146&lt;'V06 Calend 01'!D31),(MOD((146-'V06 Calend 01'!C31),6)=0),(((146-'V06 Calend 01'!C31)/6)&lt;='V06 Calend 01'!E31)),IF((146=('V06 Calend 01'!C31+(6*'V06 Calend 01'!E31))),('V06 Calend 01'!H31-('V06 Calend 01'!I31*('V06 Calend 01'!E31-1))),'V06 Calend 01'!I31),0))+IF((146='V06 Calend 01'!D31),'V06 Calend 01'!J31,0))</f>
        <v>0</v>
      </c>
      <c r="FC31" s="2">
        <f>((IF((147='V06 Calend 01'!C31),('V06 Calend 01'!F31+'V06 Calend 01'!G31),0)+IF(AND(('V06 Calend 01'!E31&gt;0),(147&gt;'V06 Calend 01'!C31),(147&lt;'V06 Calend 01'!D31),(MOD((147-'V06 Calend 01'!C31),6)=0),(((147-'V06 Calend 01'!C31)/6)&lt;='V06 Calend 01'!E31)),IF((147=('V06 Calend 01'!C31+(6*'V06 Calend 01'!E31))),('V06 Calend 01'!H31-('V06 Calend 01'!I31*('V06 Calend 01'!E31-1))),'V06 Calend 01'!I31),0))+IF((147='V06 Calend 01'!D31),'V06 Calend 01'!J31,0))</f>
        <v>0</v>
      </c>
      <c r="FD31" s="2">
        <f>((IF((148='V06 Calend 01'!C31),('V06 Calend 01'!F31+'V06 Calend 01'!G31),0)+IF(AND(('V06 Calend 01'!E31&gt;0),(148&gt;'V06 Calend 01'!C31),(148&lt;'V06 Calend 01'!D31),(MOD((148-'V06 Calend 01'!C31),6)=0),(((148-'V06 Calend 01'!C31)/6)&lt;='V06 Calend 01'!E31)),IF((148=('V06 Calend 01'!C31+(6*'V06 Calend 01'!E31))),('V06 Calend 01'!H31-('V06 Calend 01'!I31*('V06 Calend 01'!E31-1))),'V06 Calend 01'!I31),0))+IF((148='V06 Calend 01'!D31),'V06 Calend 01'!J31,0))</f>
        <v>0</v>
      </c>
      <c r="FE31" s="2">
        <f>((IF((149='V06 Calend 01'!C31),('V06 Calend 01'!F31+'V06 Calend 01'!G31),0)+IF(AND(('V06 Calend 01'!E31&gt;0),(149&gt;'V06 Calend 01'!C31),(149&lt;'V06 Calend 01'!D31),(MOD((149-'V06 Calend 01'!C31),6)=0),(((149-'V06 Calend 01'!C31)/6)&lt;='V06 Calend 01'!E31)),IF((149=('V06 Calend 01'!C31+(6*'V06 Calend 01'!E31))),('V06 Calend 01'!H31-('V06 Calend 01'!I31*('V06 Calend 01'!E31-1))),'V06 Calend 01'!I31),0))+IF((149='V06 Calend 01'!D31),'V06 Calend 01'!J31,0))</f>
        <v>0</v>
      </c>
      <c r="FF31" s="2">
        <f>((IF((150='V06 Calend 01'!C31),('V06 Calend 01'!F31+'V06 Calend 01'!G31),0)+IF(AND(('V06 Calend 01'!E31&gt;0),(150&gt;'V06 Calend 01'!C31),(150&lt;'V06 Calend 01'!D31),(MOD((150-'V06 Calend 01'!C31),6)=0),(((150-'V06 Calend 01'!C31)/6)&lt;='V06 Calend 01'!E31)),IF((150=('V06 Calend 01'!C31+(6*'V06 Calend 01'!E31))),('V06 Calend 01'!H31-('V06 Calend 01'!I31*('V06 Calend 01'!E31-1))),'V06 Calend 01'!I31),0))+IF((150='V06 Calend 01'!D31),'V06 Calend 01'!J31,0))</f>
        <v>0</v>
      </c>
      <c r="FG31" s="2">
        <f>((IF((151='V06 Calend 01'!C31),('V06 Calend 01'!F31+'V06 Calend 01'!G31),0)+IF(AND(('V06 Calend 01'!E31&gt;0),(151&gt;'V06 Calend 01'!C31),(151&lt;'V06 Calend 01'!D31),(MOD((151-'V06 Calend 01'!C31),6)=0),(((151-'V06 Calend 01'!C31)/6)&lt;='V06 Calend 01'!E31)),IF((151=('V06 Calend 01'!C31+(6*'V06 Calend 01'!E31))),('V06 Calend 01'!H31-('V06 Calend 01'!I31*('V06 Calend 01'!E31-1))),'V06 Calend 01'!I31),0))+IF((151='V06 Calend 01'!D31),'V06 Calend 01'!J31,0))</f>
        <v>0</v>
      </c>
      <c r="FH31" s="2">
        <f>((IF((152='V06 Calend 01'!C31),('V06 Calend 01'!F31+'V06 Calend 01'!G31),0)+IF(AND(('V06 Calend 01'!E31&gt;0),(152&gt;'V06 Calend 01'!C31),(152&lt;'V06 Calend 01'!D31),(MOD((152-'V06 Calend 01'!C31),6)=0),(((152-'V06 Calend 01'!C31)/6)&lt;='V06 Calend 01'!E31)),IF((152=('V06 Calend 01'!C31+(6*'V06 Calend 01'!E31))),('V06 Calend 01'!H31-('V06 Calend 01'!I31*('V06 Calend 01'!E31-1))),'V06 Calend 01'!I31),0))+IF((152='V06 Calend 01'!D31),'V06 Calend 01'!J31,0))</f>
        <v>0</v>
      </c>
      <c r="FI31" s="2">
        <f>((IF((153='V06 Calend 01'!C31),('V06 Calend 01'!F31+'V06 Calend 01'!G31),0)+IF(AND(('V06 Calend 01'!E31&gt;0),(153&gt;'V06 Calend 01'!C31),(153&lt;'V06 Calend 01'!D31),(MOD((153-'V06 Calend 01'!C31),6)=0),(((153-'V06 Calend 01'!C31)/6)&lt;='V06 Calend 01'!E31)),IF((153=('V06 Calend 01'!C31+(6*'V06 Calend 01'!E31))),('V06 Calend 01'!H31-('V06 Calend 01'!I31*('V06 Calend 01'!E31-1))),'V06 Calend 01'!I31),0))+IF((153='V06 Calend 01'!D31),'V06 Calend 01'!J31,0))</f>
        <v>0</v>
      </c>
      <c r="FJ31" s="2">
        <f>((IF((154='V06 Calend 01'!C31),('V06 Calend 01'!F31+'V06 Calend 01'!G31),0)+IF(AND(('V06 Calend 01'!E31&gt;0),(154&gt;'V06 Calend 01'!C31),(154&lt;'V06 Calend 01'!D31),(MOD((154-'V06 Calend 01'!C31),6)=0),(((154-'V06 Calend 01'!C31)/6)&lt;='V06 Calend 01'!E31)),IF((154=('V06 Calend 01'!C31+(6*'V06 Calend 01'!E31))),('V06 Calend 01'!H31-('V06 Calend 01'!I31*('V06 Calend 01'!E31-1))),'V06 Calend 01'!I31),0))+IF((154='V06 Calend 01'!D31),'V06 Calend 01'!J31,0))</f>
        <v>0</v>
      </c>
      <c r="FK31" s="2">
        <f>((IF((155='V06 Calend 01'!C31),('V06 Calend 01'!F31+'V06 Calend 01'!G31),0)+IF(AND(('V06 Calend 01'!E31&gt;0),(155&gt;'V06 Calend 01'!C31),(155&lt;'V06 Calend 01'!D31),(MOD((155-'V06 Calend 01'!C31),6)=0),(((155-'V06 Calend 01'!C31)/6)&lt;='V06 Calend 01'!E31)),IF((155=('V06 Calend 01'!C31+(6*'V06 Calend 01'!E31))),('V06 Calend 01'!H31-('V06 Calend 01'!I31*('V06 Calend 01'!E31-1))),'V06 Calend 01'!I31),0))+IF((155='V06 Calend 01'!D31),'V06 Calend 01'!J31,0))</f>
        <v>0</v>
      </c>
      <c r="FL31" s="2">
        <f>((IF((156='V06 Calend 01'!C31),('V06 Calend 01'!F31+'V06 Calend 01'!G31),0)+IF(AND(('V06 Calend 01'!E31&gt;0),(156&gt;'V06 Calend 01'!C31),(156&lt;'V06 Calend 01'!D31),(MOD((156-'V06 Calend 01'!C31),6)=0),(((156-'V06 Calend 01'!C31)/6)&lt;='V06 Calend 01'!E31)),IF((156=('V06 Calend 01'!C31+(6*'V06 Calend 01'!E31))),('V06 Calend 01'!H31-('V06 Calend 01'!I31*('V06 Calend 01'!E31-1))),'V06 Calend 01'!I31),0))+IF((156='V06 Calend 01'!D31),'V06 Calend 01'!J31,0))</f>
        <v>0</v>
      </c>
      <c r="FM31" s="2">
        <f>((IF((157='V06 Calend 01'!C31),('V06 Calend 01'!F31+'V06 Calend 01'!G31),0)+IF(AND(('V06 Calend 01'!E31&gt;0),(157&gt;'V06 Calend 01'!C31),(157&lt;'V06 Calend 01'!D31),(MOD((157-'V06 Calend 01'!C31),6)=0),(((157-'V06 Calend 01'!C31)/6)&lt;='V06 Calend 01'!E31)),IF((157=('V06 Calend 01'!C31+(6*'V06 Calend 01'!E31))),('V06 Calend 01'!H31-('V06 Calend 01'!I31*('V06 Calend 01'!E31-1))),'V06 Calend 01'!I31),0))+IF((157='V06 Calend 01'!D31),'V06 Calend 01'!J31,0))</f>
        <v>0</v>
      </c>
      <c r="FN31" s="2">
        <f>((IF((158='V06 Calend 01'!C31),('V06 Calend 01'!F31+'V06 Calend 01'!G31),0)+IF(AND(('V06 Calend 01'!E31&gt;0),(158&gt;'V06 Calend 01'!C31),(158&lt;'V06 Calend 01'!D31),(MOD((158-'V06 Calend 01'!C31),6)=0),(((158-'V06 Calend 01'!C31)/6)&lt;='V06 Calend 01'!E31)),IF((158=('V06 Calend 01'!C31+(6*'V06 Calend 01'!E31))),('V06 Calend 01'!H31-('V06 Calend 01'!I31*('V06 Calend 01'!E31-1))),'V06 Calend 01'!I31),0))+IF((158='V06 Calend 01'!D31),'V06 Calend 01'!J31,0))</f>
        <v>0</v>
      </c>
      <c r="FO31" s="2">
        <f>((IF((159='V06 Calend 01'!C31),('V06 Calend 01'!F31+'V06 Calend 01'!G31),0)+IF(AND(('V06 Calend 01'!E31&gt;0),(159&gt;'V06 Calend 01'!C31),(159&lt;'V06 Calend 01'!D31),(MOD((159-'V06 Calend 01'!C31),6)=0),(((159-'V06 Calend 01'!C31)/6)&lt;='V06 Calend 01'!E31)),IF((159=('V06 Calend 01'!C31+(6*'V06 Calend 01'!E31))),('V06 Calend 01'!H31-('V06 Calend 01'!I31*('V06 Calend 01'!E31-1))),'V06 Calend 01'!I31),0))+IF((159='V06 Calend 01'!D31),'V06 Calend 01'!J31,0))</f>
        <v>0</v>
      </c>
      <c r="FP31" s="2">
        <f>((IF((160='V06 Calend 01'!C31),('V06 Calend 01'!F31+'V06 Calend 01'!G31),0)+IF(AND(('V06 Calend 01'!E31&gt;0),(160&gt;'V06 Calend 01'!C31),(160&lt;'V06 Calend 01'!D31),(MOD((160-'V06 Calend 01'!C31),6)=0),(((160-'V06 Calend 01'!C31)/6)&lt;='V06 Calend 01'!E31)),IF((160=('V06 Calend 01'!C31+(6*'V06 Calend 01'!E31))),('V06 Calend 01'!H31-('V06 Calend 01'!I31*('V06 Calend 01'!E31-1))),'V06 Calend 01'!I31),0))+IF((160='V06 Calend 01'!D31),'V06 Calend 01'!J31,0))</f>
        <v>0</v>
      </c>
      <c r="FQ31" s="2">
        <f>((IF((161='V06 Calend 01'!C31),('V06 Calend 01'!F31+'V06 Calend 01'!G31),0)+IF(AND(('V06 Calend 01'!E31&gt;0),(161&gt;'V06 Calend 01'!C31),(161&lt;'V06 Calend 01'!D31),(MOD((161-'V06 Calend 01'!C31),6)=0),(((161-'V06 Calend 01'!C31)/6)&lt;='V06 Calend 01'!E31)),IF((161=('V06 Calend 01'!C31+(6*'V06 Calend 01'!E31))),('V06 Calend 01'!H31-('V06 Calend 01'!I31*('V06 Calend 01'!E31-1))),'V06 Calend 01'!I31),0))+IF((161='V06 Calend 01'!D31),'V06 Calend 01'!J31,0))</f>
        <v>0</v>
      </c>
      <c r="FR31" s="2">
        <f>((IF((162='V06 Calend 01'!C31),('V06 Calend 01'!F31+'V06 Calend 01'!G31),0)+IF(AND(('V06 Calend 01'!E31&gt;0),(162&gt;'V06 Calend 01'!C31),(162&lt;'V06 Calend 01'!D31),(MOD((162-'V06 Calend 01'!C31),6)=0),(((162-'V06 Calend 01'!C31)/6)&lt;='V06 Calend 01'!E31)),IF((162=('V06 Calend 01'!C31+(6*'V06 Calend 01'!E31))),('V06 Calend 01'!H31-('V06 Calend 01'!I31*('V06 Calend 01'!E31-1))),'V06 Calend 01'!I31),0))+IF((162='V06 Calend 01'!D31),'V06 Calend 01'!J31,0))</f>
        <v>0</v>
      </c>
      <c r="FS31" s="2">
        <f>((IF((163='V06 Calend 01'!C31),('V06 Calend 01'!F31+'V06 Calend 01'!G31),0)+IF(AND(('V06 Calend 01'!E31&gt;0),(163&gt;'V06 Calend 01'!C31),(163&lt;'V06 Calend 01'!D31),(MOD((163-'V06 Calend 01'!C31),6)=0),(((163-'V06 Calend 01'!C31)/6)&lt;='V06 Calend 01'!E31)),IF((163=('V06 Calend 01'!C31+(6*'V06 Calend 01'!E31))),('V06 Calend 01'!H31-('V06 Calend 01'!I31*('V06 Calend 01'!E31-1))),'V06 Calend 01'!I31),0))+IF((163='V06 Calend 01'!D31),'V06 Calend 01'!J31,0))</f>
        <v>0</v>
      </c>
      <c r="FT31" s="2">
        <f>((IF((164='V06 Calend 01'!C31),('V06 Calend 01'!F31+'V06 Calend 01'!G31),0)+IF(AND(('V06 Calend 01'!E31&gt;0),(164&gt;'V06 Calend 01'!C31),(164&lt;'V06 Calend 01'!D31),(MOD((164-'V06 Calend 01'!C31),6)=0),(((164-'V06 Calend 01'!C31)/6)&lt;='V06 Calend 01'!E31)),IF((164=('V06 Calend 01'!C31+(6*'V06 Calend 01'!E31))),('V06 Calend 01'!H31-('V06 Calend 01'!I31*('V06 Calend 01'!E31-1))),'V06 Calend 01'!I31),0))+IF((164='V06 Calend 01'!D31),'V06 Calend 01'!J31,0))</f>
        <v>0</v>
      </c>
      <c r="FU31" s="2">
        <f>((IF((165='V06 Calend 01'!C31),('V06 Calend 01'!F31+'V06 Calend 01'!G31),0)+IF(AND(('V06 Calend 01'!E31&gt;0),(165&gt;'V06 Calend 01'!C31),(165&lt;'V06 Calend 01'!D31),(MOD((165-'V06 Calend 01'!C31),6)=0),(((165-'V06 Calend 01'!C31)/6)&lt;='V06 Calend 01'!E31)),IF((165=('V06 Calend 01'!C31+(6*'V06 Calend 01'!E31))),('V06 Calend 01'!H31-('V06 Calend 01'!I31*('V06 Calend 01'!E31-1))),'V06 Calend 01'!I31),0))+IF((165='V06 Calend 01'!D31),'V06 Calend 01'!J31,0))</f>
        <v>0</v>
      </c>
      <c r="FV31" s="2">
        <f>((IF((166='V06 Calend 01'!C31),('V06 Calend 01'!F31+'V06 Calend 01'!G31),0)+IF(AND(('V06 Calend 01'!E31&gt;0),(166&gt;'V06 Calend 01'!C31),(166&lt;'V06 Calend 01'!D31),(MOD((166-'V06 Calend 01'!C31),6)=0),(((166-'V06 Calend 01'!C31)/6)&lt;='V06 Calend 01'!E31)),IF((166=('V06 Calend 01'!C31+(6*'V06 Calend 01'!E31))),('V06 Calend 01'!H31-('V06 Calend 01'!I31*('V06 Calend 01'!E31-1))),'V06 Calend 01'!I31),0))+IF((166='V06 Calend 01'!D31),'V06 Calend 01'!J31,0))</f>
        <v>0</v>
      </c>
      <c r="FW31" s="2">
        <f>((IF((167='V06 Calend 01'!C31),('V06 Calend 01'!F31+'V06 Calend 01'!G31),0)+IF(AND(('V06 Calend 01'!E31&gt;0),(167&gt;'V06 Calend 01'!C31),(167&lt;'V06 Calend 01'!D31),(MOD((167-'V06 Calend 01'!C31),6)=0),(((167-'V06 Calend 01'!C31)/6)&lt;='V06 Calend 01'!E31)),IF((167=('V06 Calend 01'!C31+(6*'V06 Calend 01'!E31))),('V06 Calend 01'!H31-('V06 Calend 01'!I31*('V06 Calend 01'!E31-1))),'V06 Calend 01'!I31),0))+IF((167='V06 Calend 01'!D31),'V06 Calend 01'!J31,0))</f>
        <v>0</v>
      </c>
      <c r="FX31" s="2">
        <f>((IF((168='V06 Calend 01'!C31),('V06 Calend 01'!F31+'V06 Calend 01'!G31),0)+IF(AND(('V06 Calend 01'!E31&gt;0),(168&gt;'V06 Calend 01'!C31),(168&lt;'V06 Calend 01'!D31),(MOD((168-'V06 Calend 01'!C31),6)=0),(((168-'V06 Calend 01'!C31)/6)&lt;='V06 Calend 01'!E31)),IF((168=('V06 Calend 01'!C31+(6*'V06 Calend 01'!E31))),('V06 Calend 01'!H31-('V06 Calend 01'!I31*('V06 Calend 01'!E31-1))),'V06 Calend 01'!I31),0))+IF((168='V06 Calend 01'!D31),'V06 Calend 01'!J31,0))</f>
        <v>0</v>
      </c>
      <c r="FY31" s="2">
        <f>((IF((169='V06 Calend 01'!C31),('V06 Calend 01'!F31+'V06 Calend 01'!G31),0)+IF(AND(('V06 Calend 01'!E31&gt;0),(169&gt;'V06 Calend 01'!C31),(169&lt;'V06 Calend 01'!D31),(MOD((169-'V06 Calend 01'!C31),6)=0),(((169-'V06 Calend 01'!C31)/6)&lt;='V06 Calend 01'!E31)),IF((169=('V06 Calend 01'!C31+(6*'V06 Calend 01'!E31))),('V06 Calend 01'!H31-('V06 Calend 01'!I31*('V06 Calend 01'!E31-1))),'V06 Calend 01'!I31),0))+IF((169='V06 Calend 01'!D31),'V06 Calend 01'!J31,0))</f>
        <v>0</v>
      </c>
      <c r="FZ31" s="2">
        <f>((IF((170='V06 Calend 01'!C31),('V06 Calend 01'!F31+'V06 Calend 01'!G31),0)+IF(AND(('V06 Calend 01'!E31&gt;0),(170&gt;'V06 Calend 01'!C31),(170&lt;'V06 Calend 01'!D31),(MOD((170-'V06 Calend 01'!C31),6)=0),(((170-'V06 Calend 01'!C31)/6)&lt;='V06 Calend 01'!E31)),IF((170=('V06 Calend 01'!C31+(6*'V06 Calend 01'!E31))),('V06 Calend 01'!H31-('V06 Calend 01'!I31*('V06 Calend 01'!E31-1))),'V06 Calend 01'!I31),0))+IF((170='V06 Calend 01'!D31),'V06 Calend 01'!J31,0))</f>
        <v>0</v>
      </c>
      <c r="GA31" s="2">
        <f>((IF((171='V06 Calend 01'!C31),('V06 Calend 01'!F31+'V06 Calend 01'!G31),0)+IF(AND(('V06 Calend 01'!E31&gt;0),(171&gt;'V06 Calend 01'!C31),(171&lt;'V06 Calend 01'!D31),(MOD((171-'V06 Calend 01'!C31),6)=0),(((171-'V06 Calend 01'!C31)/6)&lt;='V06 Calend 01'!E31)),IF((171=('V06 Calend 01'!C31+(6*'V06 Calend 01'!E31))),('V06 Calend 01'!H31-('V06 Calend 01'!I31*('V06 Calend 01'!E31-1))),'V06 Calend 01'!I31),0))+IF((171='V06 Calend 01'!D31),'V06 Calend 01'!J31,0))</f>
        <v>0</v>
      </c>
      <c r="GB31" s="2">
        <f>((IF((172='V06 Calend 01'!C31),('V06 Calend 01'!F31+'V06 Calend 01'!G31),0)+IF(AND(('V06 Calend 01'!E31&gt;0),(172&gt;'V06 Calend 01'!C31),(172&lt;'V06 Calend 01'!D31),(MOD((172-'V06 Calend 01'!C31),6)=0),(((172-'V06 Calend 01'!C31)/6)&lt;='V06 Calend 01'!E31)),IF((172=('V06 Calend 01'!C31+(6*'V06 Calend 01'!E31))),('V06 Calend 01'!H31-('V06 Calend 01'!I31*('V06 Calend 01'!E31-1))),'V06 Calend 01'!I31),0))+IF((172='V06 Calend 01'!D31),'V06 Calend 01'!J31,0))</f>
        <v>0</v>
      </c>
      <c r="GC31" s="2">
        <f>((IF((173='V06 Calend 01'!C31),('V06 Calend 01'!F31+'V06 Calend 01'!G31),0)+IF(AND(('V06 Calend 01'!E31&gt;0),(173&gt;'V06 Calend 01'!C31),(173&lt;'V06 Calend 01'!D31),(MOD((173-'V06 Calend 01'!C31),6)=0),(((173-'V06 Calend 01'!C31)/6)&lt;='V06 Calend 01'!E31)),IF((173=('V06 Calend 01'!C31+(6*'V06 Calend 01'!E31))),('V06 Calend 01'!H31-('V06 Calend 01'!I31*('V06 Calend 01'!E31-1))),'V06 Calend 01'!I31),0))+IF((173='V06 Calend 01'!D31),'V06 Calend 01'!J31,0))</f>
        <v>0</v>
      </c>
      <c r="GD31" s="2">
        <f>((IF((174='V06 Calend 01'!C31),('V06 Calend 01'!F31+'V06 Calend 01'!G31),0)+IF(AND(('V06 Calend 01'!E31&gt;0),(174&gt;'V06 Calend 01'!C31),(174&lt;'V06 Calend 01'!D31),(MOD((174-'V06 Calend 01'!C31),6)=0),(((174-'V06 Calend 01'!C31)/6)&lt;='V06 Calend 01'!E31)),IF((174=('V06 Calend 01'!C31+(6*'V06 Calend 01'!E31))),('V06 Calend 01'!H31-('V06 Calend 01'!I31*('V06 Calend 01'!E31-1))),'V06 Calend 01'!I31),0))+IF((174='V06 Calend 01'!D31),'V06 Calend 01'!J31,0))</f>
        <v>0</v>
      </c>
      <c r="GE31" s="2">
        <f>((IF((175='V06 Calend 01'!C31),('V06 Calend 01'!F31+'V06 Calend 01'!G31),0)+IF(AND(('V06 Calend 01'!E31&gt;0),(175&gt;'V06 Calend 01'!C31),(175&lt;'V06 Calend 01'!D31),(MOD((175-'V06 Calend 01'!C31),6)=0),(((175-'V06 Calend 01'!C31)/6)&lt;='V06 Calend 01'!E31)),IF((175=('V06 Calend 01'!C31+(6*'V06 Calend 01'!E31))),('V06 Calend 01'!H31-('V06 Calend 01'!I31*('V06 Calend 01'!E31-1))),'V06 Calend 01'!I31),0))+IF((175='V06 Calend 01'!D31),'V06 Calend 01'!J31,0))</f>
        <v>0</v>
      </c>
      <c r="GF31" s="2">
        <f>((IF((176='V06 Calend 01'!C31),('V06 Calend 01'!F31+'V06 Calend 01'!G31),0)+IF(AND(('V06 Calend 01'!E31&gt;0),(176&gt;'V06 Calend 01'!C31),(176&lt;'V06 Calend 01'!D31),(MOD((176-'V06 Calend 01'!C31),6)=0),(((176-'V06 Calend 01'!C31)/6)&lt;='V06 Calend 01'!E31)),IF((176=('V06 Calend 01'!C31+(6*'V06 Calend 01'!E31))),('V06 Calend 01'!H31-('V06 Calend 01'!I31*('V06 Calend 01'!E31-1))),'V06 Calend 01'!I31),0))+IF((176='V06 Calend 01'!D31),'V06 Calend 01'!J31,0))</f>
        <v>0</v>
      </c>
      <c r="GG31" s="2">
        <f>((IF((177='V06 Calend 01'!C31),('V06 Calend 01'!F31+'V06 Calend 01'!G31),0)+IF(AND(('V06 Calend 01'!E31&gt;0),(177&gt;'V06 Calend 01'!C31),(177&lt;'V06 Calend 01'!D31),(MOD((177-'V06 Calend 01'!C31),6)=0),(((177-'V06 Calend 01'!C31)/6)&lt;='V06 Calend 01'!E31)),IF((177=('V06 Calend 01'!C31+(6*'V06 Calend 01'!E31))),('V06 Calend 01'!H31-('V06 Calend 01'!I31*('V06 Calend 01'!E31-1))),'V06 Calend 01'!I31),0))+IF((177='V06 Calend 01'!D31),'V06 Calend 01'!J31,0))</f>
        <v>0</v>
      </c>
      <c r="GH31" s="2">
        <f>((IF((178='V06 Calend 01'!C31),('V06 Calend 01'!F31+'V06 Calend 01'!G31),0)+IF(AND(('V06 Calend 01'!E31&gt;0),(178&gt;'V06 Calend 01'!C31),(178&lt;'V06 Calend 01'!D31),(MOD((178-'V06 Calend 01'!C31),6)=0),(((178-'V06 Calend 01'!C31)/6)&lt;='V06 Calend 01'!E31)),IF((178=('V06 Calend 01'!C31+(6*'V06 Calend 01'!E31))),('V06 Calend 01'!H31-('V06 Calend 01'!I31*('V06 Calend 01'!E31-1))),'V06 Calend 01'!I31),0))+IF((178='V06 Calend 01'!D31),'V06 Calend 01'!J31,0))</f>
        <v>0</v>
      </c>
      <c r="GI31" s="2">
        <f>((IF((179='V06 Calend 01'!C31),('V06 Calend 01'!F31+'V06 Calend 01'!G31),0)+IF(AND(('V06 Calend 01'!E31&gt;0),(179&gt;'V06 Calend 01'!C31),(179&lt;'V06 Calend 01'!D31),(MOD((179-'V06 Calend 01'!C31),6)=0),(((179-'V06 Calend 01'!C31)/6)&lt;='V06 Calend 01'!E31)),IF((179=('V06 Calend 01'!C31+(6*'V06 Calend 01'!E31))),('V06 Calend 01'!H31-('V06 Calend 01'!I31*('V06 Calend 01'!E31-1))),'V06 Calend 01'!I31),0))+IF((179='V06 Calend 01'!D31),'V06 Calend 01'!J31,0))</f>
        <v>0</v>
      </c>
      <c r="GJ31" s="2">
        <f>((IF((180='V06 Calend 01'!C31),('V06 Calend 01'!F31+'V06 Calend 01'!G31),0)+IF(AND(('V06 Calend 01'!E31&gt;0),(180&gt;'V06 Calend 01'!C31),(180&lt;'V06 Calend 01'!D31),(MOD((180-'V06 Calend 01'!C31),6)=0),(((180-'V06 Calend 01'!C31)/6)&lt;='V06 Calend 01'!E31)),IF((180=('V06 Calend 01'!C31+(6*'V06 Calend 01'!E31))),('V06 Calend 01'!H31-('V06 Calend 01'!I31*('V06 Calend 01'!E31-1))),'V06 Calend 01'!I31),0))+IF((180='V06 Calend 01'!D31),'V06 Calend 01'!J31,0))</f>
        <v>0</v>
      </c>
    </row>
    <row r="32" spans="1:192">
      <c r="A32" s="3" t="str">
        <f>'V06 Unidades'!$A$32</f>
        <v>408</v>
      </c>
      <c r="B32" s="2">
        <f>'V06 Unidades'!$H$32</f>
        <v>268382.4</v>
      </c>
      <c r="C32" s="4">
        <f>('V06 Unidades'!$I$32+'V06 Controlos'!$B$37)</f>
        <v>16</v>
      </c>
      <c r="D32" s="4">
        <f>IF(('V06 Controlos'!$B$38&gt;0),MAX(('V06 Unidades'!$L$32+'V06 Controlos'!$B$37),(30+'V06 Controlos'!$B$38)),('V06 Unidades'!$L$32+'V06 Controlos'!$B$37))</f>
        <v>28</v>
      </c>
      <c r="E32" s="4">
        <f>MAX(0,INT(((('V06 Calend 01'!D32-'V06 Calend 01'!C32)-1)/6)))</f>
        <v>1</v>
      </c>
      <c r="F32" s="2">
        <f>ROUND(('V06 Calend 01'!B32*0.05),2)</f>
        <v>13419.12</v>
      </c>
      <c r="G32" s="2">
        <f>ROUND(('V06 Calend 01'!B32*0.2),2)</f>
        <v>53676.48</v>
      </c>
      <c r="H32" s="2">
        <f>ROUND(('V06 Calend 01'!B32*0.55),2)</f>
        <v>147610.32</v>
      </c>
      <c r="I32" s="2">
        <f>ROUND(('V06 Calend 01'!H32/MAX(1,'V06 Calend 01'!E32)),2)</f>
        <v>147610.32</v>
      </c>
      <c r="J32" s="2">
        <f>((('V06 Calend 01'!B32-'V06 Calend 01'!F32)-'V06 Calend 01'!G32)-'V06 Calend 01'!H32)</f>
        <v>53676.48000000001</v>
      </c>
      <c r="K32" s="2">
        <f>('V06 Calend 01'!B32*0.025)</f>
        <v>6709.560000000001</v>
      </c>
      <c r="L32" t="s">
        <v>378</v>
      </c>
      <c r="M32" s="2">
        <f>((IF((1='V06 Calend 01'!C32),('V06 Calend 01'!F32+'V06 Calend 01'!G32),0)+IF(AND(('V06 Calend 01'!E32&gt;0),(1&gt;'V06 Calend 01'!C32),(1&lt;'V06 Calend 01'!D32),(MOD((1-'V06 Calend 01'!C32),6)=0),(((1-'V06 Calend 01'!C32)/6)&lt;='V06 Calend 01'!E32)),IF((1=('V06 Calend 01'!C32+(6*'V06 Calend 01'!E32))),('V06 Calend 01'!H32-('V06 Calend 01'!I32*('V06 Calend 01'!E32-1))),'V06 Calend 01'!I32),0))+IF((1='V06 Calend 01'!D32),'V06 Calend 01'!J32,0))</f>
        <v>0</v>
      </c>
      <c r="N32" s="2">
        <f>((IF((2='V06 Calend 01'!C32),('V06 Calend 01'!F32+'V06 Calend 01'!G32),0)+IF(AND(('V06 Calend 01'!E32&gt;0),(2&gt;'V06 Calend 01'!C32),(2&lt;'V06 Calend 01'!D32),(MOD((2-'V06 Calend 01'!C32),6)=0),(((2-'V06 Calend 01'!C32)/6)&lt;='V06 Calend 01'!E32)),IF((2=('V06 Calend 01'!C32+(6*'V06 Calend 01'!E32))),('V06 Calend 01'!H32-('V06 Calend 01'!I32*('V06 Calend 01'!E32-1))),'V06 Calend 01'!I32),0))+IF((2='V06 Calend 01'!D32),'V06 Calend 01'!J32,0))</f>
        <v>0</v>
      </c>
      <c r="O32" s="2">
        <f>((IF((3='V06 Calend 01'!C32),('V06 Calend 01'!F32+'V06 Calend 01'!G32),0)+IF(AND(('V06 Calend 01'!E32&gt;0),(3&gt;'V06 Calend 01'!C32),(3&lt;'V06 Calend 01'!D32),(MOD((3-'V06 Calend 01'!C32),6)=0),(((3-'V06 Calend 01'!C32)/6)&lt;='V06 Calend 01'!E32)),IF((3=('V06 Calend 01'!C32+(6*'V06 Calend 01'!E32))),('V06 Calend 01'!H32-('V06 Calend 01'!I32*('V06 Calend 01'!E32-1))),'V06 Calend 01'!I32),0))+IF((3='V06 Calend 01'!D32),'V06 Calend 01'!J32,0))</f>
        <v>0</v>
      </c>
      <c r="P32" s="2">
        <f>((IF((4='V06 Calend 01'!C32),('V06 Calend 01'!F32+'V06 Calend 01'!G32),0)+IF(AND(('V06 Calend 01'!E32&gt;0),(4&gt;'V06 Calend 01'!C32),(4&lt;'V06 Calend 01'!D32),(MOD((4-'V06 Calend 01'!C32),6)=0),(((4-'V06 Calend 01'!C32)/6)&lt;='V06 Calend 01'!E32)),IF((4=('V06 Calend 01'!C32+(6*'V06 Calend 01'!E32))),('V06 Calend 01'!H32-('V06 Calend 01'!I32*('V06 Calend 01'!E32-1))),'V06 Calend 01'!I32),0))+IF((4='V06 Calend 01'!D32),'V06 Calend 01'!J32,0))</f>
        <v>0</v>
      </c>
      <c r="Q32" s="2">
        <f>((IF((5='V06 Calend 01'!C32),('V06 Calend 01'!F32+'V06 Calend 01'!G32),0)+IF(AND(('V06 Calend 01'!E32&gt;0),(5&gt;'V06 Calend 01'!C32),(5&lt;'V06 Calend 01'!D32),(MOD((5-'V06 Calend 01'!C32),6)=0),(((5-'V06 Calend 01'!C32)/6)&lt;='V06 Calend 01'!E32)),IF((5=('V06 Calend 01'!C32+(6*'V06 Calend 01'!E32))),('V06 Calend 01'!H32-('V06 Calend 01'!I32*('V06 Calend 01'!E32-1))),'V06 Calend 01'!I32),0))+IF((5='V06 Calend 01'!D32),'V06 Calend 01'!J32,0))</f>
        <v>0</v>
      </c>
      <c r="R32" s="2">
        <f>((IF((6='V06 Calend 01'!C32),('V06 Calend 01'!F32+'V06 Calend 01'!G32),0)+IF(AND(('V06 Calend 01'!E32&gt;0),(6&gt;'V06 Calend 01'!C32),(6&lt;'V06 Calend 01'!D32),(MOD((6-'V06 Calend 01'!C32),6)=0),(((6-'V06 Calend 01'!C32)/6)&lt;='V06 Calend 01'!E32)),IF((6=('V06 Calend 01'!C32+(6*'V06 Calend 01'!E32))),('V06 Calend 01'!H32-('V06 Calend 01'!I32*('V06 Calend 01'!E32-1))),'V06 Calend 01'!I32),0))+IF((6='V06 Calend 01'!D32),'V06 Calend 01'!J32,0))</f>
        <v>0</v>
      </c>
      <c r="S32" s="2">
        <f>((IF((7='V06 Calend 01'!C32),('V06 Calend 01'!F32+'V06 Calend 01'!G32),0)+IF(AND(('V06 Calend 01'!E32&gt;0),(7&gt;'V06 Calend 01'!C32),(7&lt;'V06 Calend 01'!D32),(MOD((7-'V06 Calend 01'!C32),6)=0),(((7-'V06 Calend 01'!C32)/6)&lt;='V06 Calend 01'!E32)),IF((7=('V06 Calend 01'!C32+(6*'V06 Calend 01'!E32))),('V06 Calend 01'!H32-('V06 Calend 01'!I32*('V06 Calend 01'!E32-1))),'V06 Calend 01'!I32),0))+IF((7='V06 Calend 01'!D32),'V06 Calend 01'!J32,0))</f>
        <v>0</v>
      </c>
      <c r="T32" s="2">
        <f>((IF((8='V06 Calend 01'!C32),('V06 Calend 01'!F32+'V06 Calend 01'!G32),0)+IF(AND(('V06 Calend 01'!E32&gt;0),(8&gt;'V06 Calend 01'!C32),(8&lt;'V06 Calend 01'!D32),(MOD((8-'V06 Calend 01'!C32),6)=0),(((8-'V06 Calend 01'!C32)/6)&lt;='V06 Calend 01'!E32)),IF((8=('V06 Calend 01'!C32+(6*'V06 Calend 01'!E32))),('V06 Calend 01'!H32-('V06 Calend 01'!I32*('V06 Calend 01'!E32-1))),'V06 Calend 01'!I32),0))+IF((8='V06 Calend 01'!D32),'V06 Calend 01'!J32,0))</f>
        <v>0</v>
      </c>
      <c r="U32" s="2">
        <f>((IF((9='V06 Calend 01'!C32),('V06 Calend 01'!F32+'V06 Calend 01'!G32),0)+IF(AND(('V06 Calend 01'!E32&gt;0),(9&gt;'V06 Calend 01'!C32),(9&lt;'V06 Calend 01'!D32),(MOD((9-'V06 Calend 01'!C32),6)=0),(((9-'V06 Calend 01'!C32)/6)&lt;='V06 Calend 01'!E32)),IF((9=('V06 Calend 01'!C32+(6*'V06 Calend 01'!E32))),('V06 Calend 01'!H32-('V06 Calend 01'!I32*('V06 Calend 01'!E32-1))),'V06 Calend 01'!I32),0))+IF((9='V06 Calend 01'!D32),'V06 Calend 01'!J32,0))</f>
        <v>0</v>
      </c>
      <c r="V32" s="2">
        <f>((IF((10='V06 Calend 01'!C32),('V06 Calend 01'!F32+'V06 Calend 01'!G32),0)+IF(AND(('V06 Calend 01'!E32&gt;0),(10&gt;'V06 Calend 01'!C32),(10&lt;'V06 Calend 01'!D32),(MOD((10-'V06 Calend 01'!C32),6)=0),(((10-'V06 Calend 01'!C32)/6)&lt;='V06 Calend 01'!E32)),IF((10=('V06 Calend 01'!C32+(6*'V06 Calend 01'!E32))),('V06 Calend 01'!H32-('V06 Calend 01'!I32*('V06 Calend 01'!E32-1))),'V06 Calend 01'!I32),0))+IF((10='V06 Calend 01'!D32),'V06 Calend 01'!J32,0))</f>
        <v>0</v>
      </c>
      <c r="W32" s="2">
        <f>((IF((11='V06 Calend 01'!C32),('V06 Calend 01'!F32+'V06 Calend 01'!G32),0)+IF(AND(('V06 Calend 01'!E32&gt;0),(11&gt;'V06 Calend 01'!C32),(11&lt;'V06 Calend 01'!D32),(MOD((11-'V06 Calend 01'!C32),6)=0),(((11-'V06 Calend 01'!C32)/6)&lt;='V06 Calend 01'!E32)),IF((11=('V06 Calend 01'!C32+(6*'V06 Calend 01'!E32))),('V06 Calend 01'!H32-('V06 Calend 01'!I32*('V06 Calend 01'!E32-1))),'V06 Calend 01'!I32),0))+IF((11='V06 Calend 01'!D32),'V06 Calend 01'!J32,0))</f>
        <v>0</v>
      </c>
      <c r="X32" s="2">
        <f>((IF((12='V06 Calend 01'!C32),('V06 Calend 01'!F32+'V06 Calend 01'!G32),0)+IF(AND(('V06 Calend 01'!E32&gt;0),(12&gt;'V06 Calend 01'!C32),(12&lt;'V06 Calend 01'!D32),(MOD((12-'V06 Calend 01'!C32),6)=0),(((12-'V06 Calend 01'!C32)/6)&lt;='V06 Calend 01'!E32)),IF((12=('V06 Calend 01'!C32+(6*'V06 Calend 01'!E32))),('V06 Calend 01'!H32-('V06 Calend 01'!I32*('V06 Calend 01'!E32-1))),'V06 Calend 01'!I32),0))+IF((12='V06 Calend 01'!D32),'V06 Calend 01'!J32,0))</f>
        <v>0</v>
      </c>
      <c r="Y32" s="2">
        <f>((IF((13='V06 Calend 01'!C32),('V06 Calend 01'!F32+'V06 Calend 01'!G32),0)+IF(AND(('V06 Calend 01'!E32&gt;0),(13&gt;'V06 Calend 01'!C32),(13&lt;'V06 Calend 01'!D32),(MOD((13-'V06 Calend 01'!C32),6)=0),(((13-'V06 Calend 01'!C32)/6)&lt;='V06 Calend 01'!E32)),IF((13=('V06 Calend 01'!C32+(6*'V06 Calend 01'!E32))),('V06 Calend 01'!H32-('V06 Calend 01'!I32*('V06 Calend 01'!E32-1))),'V06 Calend 01'!I32),0))+IF((13='V06 Calend 01'!D32),'V06 Calend 01'!J32,0))</f>
        <v>0</v>
      </c>
      <c r="Z32" s="2">
        <f>((IF((14='V06 Calend 01'!C32),('V06 Calend 01'!F32+'V06 Calend 01'!G32),0)+IF(AND(('V06 Calend 01'!E32&gt;0),(14&gt;'V06 Calend 01'!C32),(14&lt;'V06 Calend 01'!D32),(MOD((14-'V06 Calend 01'!C32),6)=0),(((14-'V06 Calend 01'!C32)/6)&lt;='V06 Calend 01'!E32)),IF((14=('V06 Calend 01'!C32+(6*'V06 Calend 01'!E32))),('V06 Calend 01'!H32-('V06 Calend 01'!I32*('V06 Calend 01'!E32-1))),'V06 Calend 01'!I32),0))+IF((14='V06 Calend 01'!D32),'V06 Calend 01'!J32,0))</f>
        <v>0</v>
      </c>
      <c r="AA32" s="2">
        <f>((IF((15='V06 Calend 01'!C32),('V06 Calend 01'!F32+'V06 Calend 01'!G32),0)+IF(AND(('V06 Calend 01'!E32&gt;0),(15&gt;'V06 Calend 01'!C32),(15&lt;'V06 Calend 01'!D32),(MOD((15-'V06 Calend 01'!C32),6)=0),(((15-'V06 Calend 01'!C32)/6)&lt;='V06 Calend 01'!E32)),IF((15=('V06 Calend 01'!C32+(6*'V06 Calend 01'!E32))),('V06 Calend 01'!H32-('V06 Calend 01'!I32*('V06 Calend 01'!E32-1))),'V06 Calend 01'!I32),0))+IF((15='V06 Calend 01'!D32),'V06 Calend 01'!J32,0))</f>
        <v>0</v>
      </c>
      <c r="AB32" s="2">
        <f>((IF((16='V06 Calend 01'!C32),('V06 Calend 01'!F32+'V06 Calend 01'!G32),0)+IF(AND(('V06 Calend 01'!E32&gt;0),(16&gt;'V06 Calend 01'!C32),(16&lt;'V06 Calend 01'!D32),(MOD((16-'V06 Calend 01'!C32),6)=0),(((16-'V06 Calend 01'!C32)/6)&lt;='V06 Calend 01'!E32)),IF((16=('V06 Calend 01'!C32+(6*'V06 Calend 01'!E32))),('V06 Calend 01'!H32-('V06 Calend 01'!I32*('V06 Calend 01'!E32-1))),'V06 Calend 01'!I32),0))+IF((16='V06 Calend 01'!D32),'V06 Calend 01'!J32,0))</f>
        <v>67095.6</v>
      </c>
      <c r="AC32" s="2">
        <f>((IF((17='V06 Calend 01'!C32),('V06 Calend 01'!F32+'V06 Calend 01'!G32),0)+IF(AND(('V06 Calend 01'!E32&gt;0),(17&gt;'V06 Calend 01'!C32),(17&lt;'V06 Calend 01'!D32),(MOD((17-'V06 Calend 01'!C32),6)=0),(((17-'V06 Calend 01'!C32)/6)&lt;='V06 Calend 01'!E32)),IF((17=('V06 Calend 01'!C32+(6*'V06 Calend 01'!E32))),('V06 Calend 01'!H32-('V06 Calend 01'!I32*('V06 Calend 01'!E32-1))),'V06 Calend 01'!I32),0))+IF((17='V06 Calend 01'!D32),'V06 Calend 01'!J32,0))</f>
        <v>0</v>
      </c>
      <c r="AD32" s="2">
        <f>((IF((18='V06 Calend 01'!C32),('V06 Calend 01'!F32+'V06 Calend 01'!G32),0)+IF(AND(('V06 Calend 01'!E32&gt;0),(18&gt;'V06 Calend 01'!C32),(18&lt;'V06 Calend 01'!D32),(MOD((18-'V06 Calend 01'!C32),6)=0),(((18-'V06 Calend 01'!C32)/6)&lt;='V06 Calend 01'!E32)),IF((18=('V06 Calend 01'!C32+(6*'V06 Calend 01'!E32))),('V06 Calend 01'!H32-('V06 Calend 01'!I32*('V06 Calend 01'!E32-1))),'V06 Calend 01'!I32),0))+IF((18='V06 Calend 01'!D32),'V06 Calend 01'!J32,0))</f>
        <v>0</v>
      </c>
      <c r="AE32" s="2">
        <f>((IF((19='V06 Calend 01'!C32),('V06 Calend 01'!F32+'V06 Calend 01'!G32),0)+IF(AND(('V06 Calend 01'!E32&gt;0),(19&gt;'V06 Calend 01'!C32),(19&lt;'V06 Calend 01'!D32),(MOD((19-'V06 Calend 01'!C32),6)=0),(((19-'V06 Calend 01'!C32)/6)&lt;='V06 Calend 01'!E32)),IF((19=('V06 Calend 01'!C32+(6*'V06 Calend 01'!E32))),('V06 Calend 01'!H32-('V06 Calend 01'!I32*('V06 Calend 01'!E32-1))),'V06 Calend 01'!I32),0))+IF((19='V06 Calend 01'!D32),'V06 Calend 01'!J32,0))</f>
        <v>0</v>
      </c>
      <c r="AF32" s="2">
        <f>((IF((20='V06 Calend 01'!C32),('V06 Calend 01'!F32+'V06 Calend 01'!G32),0)+IF(AND(('V06 Calend 01'!E32&gt;0),(20&gt;'V06 Calend 01'!C32),(20&lt;'V06 Calend 01'!D32),(MOD((20-'V06 Calend 01'!C32),6)=0),(((20-'V06 Calend 01'!C32)/6)&lt;='V06 Calend 01'!E32)),IF((20=('V06 Calend 01'!C32+(6*'V06 Calend 01'!E32))),('V06 Calend 01'!H32-('V06 Calend 01'!I32*('V06 Calend 01'!E32-1))),'V06 Calend 01'!I32),0))+IF((20='V06 Calend 01'!D32),'V06 Calend 01'!J32,0))</f>
        <v>0</v>
      </c>
      <c r="AG32" s="2">
        <f>((IF((21='V06 Calend 01'!C32),('V06 Calend 01'!F32+'V06 Calend 01'!G32),0)+IF(AND(('V06 Calend 01'!E32&gt;0),(21&gt;'V06 Calend 01'!C32),(21&lt;'V06 Calend 01'!D32),(MOD((21-'V06 Calend 01'!C32),6)=0),(((21-'V06 Calend 01'!C32)/6)&lt;='V06 Calend 01'!E32)),IF((21=('V06 Calend 01'!C32+(6*'V06 Calend 01'!E32))),('V06 Calend 01'!H32-('V06 Calend 01'!I32*('V06 Calend 01'!E32-1))),'V06 Calend 01'!I32),0))+IF((21='V06 Calend 01'!D32),'V06 Calend 01'!J32,0))</f>
        <v>0</v>
      </c>
      <c r="AH32" s="2">
        <f>((IF((22='V06 Calend 01'!C32),('V06 Calend 01'!F32+'V06 Calend 01'!G32),0)+IF(AND(('V06 Calend 01'!E32&gt;0),(22&gt;'V06 Calend 01'!C32),(22&lt;'V06 Calend 01'!D32),(MOD((22-'V06 Calend 01'!C32),6)=0),(((22-'V06 Calend 01'!C32)/6)&lt;='V06 Calend 01'!E32)),IF((22=('V06 Calend 01'!C32+(6*'V06 Calend 01'!E32))),('V06 Calend 01'!H32-('V06 Calend 01'!I32*('V06 Calend 01'!E32-1))),'V06 Calend 01'!I32),0))+IF((22='V06 Calend 01'!D32),'V06 Calend 01'!J32,0))</f>
        <v>147610.32</v>
      </c>
      <c r="AI32" s="2">
        <f>((IF((23='V06 Calend 01'!C32),('V06 Calend 01'!F32+'V06 Calend 01'!G32),0)+IF(AND(('V06 Calend 01'!E32&gt;0),(23&gt;'V06 Calend 01'!C32),(23&lt;'V06 Calend 01'!D32),(MOD((23-'V06 Calend 01'!C32),6)=0),(((23-'V06 Calend 01'!C32)/6)&lt;='V06 Calend 01'!E32)),IF((23=('V06 Calend 01'!C32+(6*'V06 Calend 01'!E32))),('V06 Calend 01'!H32-('V06 Calend 01'!I32*('V06 Calend 01'!E32-1))),'V06 Calend 01'!I32),0))+IF((23='V06 Calend 01'!D32),'V06 Calend 01'!J32,0))</f>
        <v>0</v>
      </c>
      <c r="AJ32" s="2">
        <f>((IF((24='V06 Calend 01'!C32),('V06 Calend 01'!F32+'V06 Calend 01'!G32),0)+IF(AND(('V06 Calend 01'!E32&gt;0),(24&gt;'V06 Calend 01'!C32),(24&lt;'V06 Calend 01'!D32),(MOD((24-'V06 Calend 01'!C32),6)=0),(((24-'V06 Calend 01'!C32)/6)&lt;='V06 Calend 01'!E32)),IF((24=('V06 Calend 01'!C32+(6*'V06 Calend 01'!E32))),('V06 Calend 01'!H32-('V06 Calend 01'!I32*('V06 Calend 01'!E32-1))),'V06 Calend 01'!I32),0))+IF((24='V06 Calend 01'!D32),'V06 Calend 01'!J32,0))</f>
        <v>0</v>
      </c>
      <c r="AK32" s="2">
        <f>((IF((25='V06 Calend 01'!C32),('V06 Calend 01'!F32+'V06 Calend 01'!G32),0)+IF(AND(('V06 Calend 01'!E32&gt;0),(25&gt;'V06 Calend 01'!C32),(25&lt;'V06 Calend 01'!D32),(MOD((25-'V06 Calend 01'!C32),6)=0),(((25-'V06 Calend 01'!C32)/6)&lt;='V06 Calend 01'!E32)),IF((25=('V06 Calend 01'!C32+(6*'V06 Calend 01'!E32))),('V06 Calend 01'!H32-('V06 Calend 01'!I32*('V06 Calend 01'!E32-1))),'V06 Calend 01'!I32),0))+IF((25='V06 Calend 01'!D32),'V06 Calend 01'!J32,0))</f>
        <v>0</v>
      </c>
      <c r="AL32" s="2">
        <f>((IF((26='V06 Calend 01'!C32),('V06 Calend 01'!F32+'V06 Calend 01'!G32),0)+IF(AND(('V06 Calend 01'!E32&gt;0),(26&gt;'V06 Calend 01'!C32),(26&lt;'V06 Calend 01'!D32),(MOD((26-'V06 Calend 01'!C32),6)=0),(((26-'V06 Calend 01'!C32)/6)&lt;='V06 Calend 01'!E32)),IF((26=('V06 Calend 01'!C32+(6*'V06 Calend 01'!E32))),('V06 Calend 01'!H32-('V06 Calend 01'!I32*('V06 Calend 01'!E32-1))),'V06 Calend 01'!I32),0))+IF((26='V06 Calend 01'!D32),'V06 Calend 01'!J32,0))</f>
        <v>0</v>
      </c>
      <c r="AM32" s="2">
        <f>((IF((27='V06 Calend 01'!C32),('V06 Calend 01'!F32+'V06 Calend 01'!G32),0)+IF(AND(('V06 Calend 01'!E32&gt;0),(27&gt;'V06 Calend 01'!C32),(27&lt;'V06 Calend 01'!D32),(MOD((27-'V06 Calend 01'!C32),6)=0),(((27-'V06 Calend 01'!C32)/6)&lt;='V06 Calend 01'!E32)),IF((27=('V06 Calend 01'!C32+(6*'V06 Calend 01'!E32))),('V06 Calend 01'!H32-('V06 Calend 01'!I32*('V06 Calend 01'!E32-1))),'V06 Calend 01'!I32),0))+IF((27='V06 Calend 01'!D32),'V06 Calend 01'!J32,0))</f>
        <v>0</v>
      </c>
      <c r="AN32" s="2">
        <f>((IF((28='V06 Calend 01'!C32),('V06 Calend 01'!F32+'V06 Calend 01'!G32),0)+IF(AND(('V06 Calend 01'!E32&gt;0),(28&gt;'V06 Calend 01'!C32),(28&lt;'V06 Calend 01'!D32),(MOD((28-'V06 Calend 01'!C32),6)=0),(((28-'V06 Calend 01'!C32)/6)&lt;='V06 Calend 01'!E32)),IF((28=('V06 Calend 01'!C32+(6*'V06 Calend 01'!E32))),('V06 Calend 01'!H32-('V06 Calend 01'!I32*('V06 Calend 01'!E32-1))),'V06 Calend 01'!I32),0))+IF((28='V06 Calend 01'!D32),'V06 Calend 01'!J32,0))</f>
        <v>53676.48000000001</v>
      </c>
      <c r="AO32" s="2">
        <f>((IF((29='V06 Calend 01'!C32),('V06 Calend 01'!F32+'V06 Calend 01'!G32),0)+IF(AND(('V06 Calend 01'!E32&gt;0),(29&gt;'V06 Calend 01'!C32),(29&lt;'V06 Calend 01'!D32),(MOD((29-'V06 Calend 01'!C32),6)=0),(((29-'V06 Calend 01'!C32)/6)&lt;='V06 Calend 01'!E32)),IF((29=('V06 Calend 01'!C32+(6*'V06 Calend 01'!E32))),('V06 Calend 01'!H32-('V06 Calend 01'!I32*('V06 Calend 01'!E32-1))),'V06 Calend 01'!I32),0))+IF((29='V06 Calend 01'!D32),'V06 Calend 01'!J32,0))</f>
        <v>0</v>
      </c>
      <c r="AP32" s="2">
        <f>((IF((30='V06 Calend 01'!C32),('V06 Calend 01'!F32+'V06 Calend 01'!G32),0)+IF(AND(('V06 Calend 01'!E32&gt;0),(30&gt;'V06 Calend 01'!C32),(30&lt;'V06 Calend 01'!D32),(MOD((30-'V06 Calend 01'!C32),6)=0),(((30-'V06 Calend 01'!C32)/6)&lt;='V06 Calend 01'!E32)),IF((30=('V06 Calend 01'!C32+(6*'V06 Calend 01'!E32))),('V06 Calend 01'!H32-('V06 Calend 01'!I32*('V06 Calend 01'!E32-1))),'V06 Calend 01'!I32),0))+IF((30='V06 Calend 01'!D32),'V06 Calend 01'!J32,0))</f>
        <v>0</v>
      </c>
      <c r="AQ32" s="2">
        <f>((IF((31='V06 Calend 01'!C32),('V06 Calend 01'!F32+'V06 Calend 01'!G32),0)+IF(AND(('V06 Calend 01'!E32&gt;0),(31&gt;'V06 Calend 01'!C32),(31&lt;'V06 Calend 01'!D32),(MOD((31-'V06 Calend 01'!C32),6)=0),(((31-'V06 Calend 01'!C32)/6)&lt;='V06 Calend 01'!E32)),IF((31=('V06 Calend 01'!C32+(6*'V06 Calend 01'!E32))),('V06 Calend 01'!H32-('V06 Calend 01'!I32*('V06 Calend 01'!E32-1))),'V06 Calend 01'!I32),0))+IF((31='V06 Calend 01'!D32),'V06 Calend 01'!J32,0))</f>
        <v>0</v>
      </c>
      <c r="AR32" s="2">
        <f>((IF((32='V06 Calend 01'!C32),('V06 Calend 01'!F32+'V06 Calend 01'!G32),0)+IF(AND(('V06 Calend 01'!E32&gt;0),(32&gt;'V06 Calend 01'!C32),(32&lt;'V06 Calend 01'!D32),(MOD((32-'V06 Calend 01'!C32),6)=0),(((32-'V06 Calend 01'!C32)/6)&lt;='V06 Calend 01'!E32)),IF((32=('V06 Calend 01'!C32+(6*'V06 Calend 01'!E32))),('V06 Calend 01'!H32-('V06 Calend 01'!I32*('V06 Calend 01'!E32-1))),'V06 Calend 01'!I32),0))+IF((32='V06 Calend 01'!D32),'V06 Calend 01'!J32,0))</f>
        <v>0</v>
      </c>
      <c r="AS32" s="2">
        <f>((IF((33='V06 Calend 01'!C32),('V06 Calend 01'!F32+'V06 Calend 01'!G32),0)+IF(AND(('V06 Calend 01'!E32&gt;0),(33&gt;'V06 Calend 01'!C32),(33&lt;'V06 Calend 01'!D32),(MOD((33-'V06 Calend 01'!C32),6)=0),(((33-'V06 Calend 01'!C32)/6)&lt;='V06 Calend 01'!E32)),IF((33=('V06 Calend 01'!C32+(6*'V06 Calend 01'!E32))),('V06 Calend 01'!H32-('V06 Calend 01'!I32*('V06 Calend 01'!E32-1))),'V06 Calend 01'!I32),0))+IF((33='V06 Calend 01'!D32),'V06 Calend 01'!J32,0))</f>
        <v>0</v>
      </c>
      <c r="AT32" s="2">
        <f>((IF((34='V06 Calend 01'!C32),('V06 Calend 01'!F32+'V06 Calend 01'!G32),0)+IF(AND(('V06 Calend 01'!E32&gt;0),(34&gt;'V06 Calend 01'!C32),(34&lt;'V06 Calend 01'!D32),(MOD((34-'V06 Calend 01'!C32),6)=0),(((34-'V06 Calend 01'!C32)/6)&lt;='V06 Calend 01'!E32)),IF((34=('V06 Calend 01'!C32+(6*'V06 Calend 01'!E32))),('V06 Calend 01'!H32-('V06 Calend 01'!I32*('V06 Calend 01'!E32-1))),'V06 Calend 01'!I32),0))+IF((34='V06 Calend 01'!D32),'V06 Calend 01'!J32,0))</f>
        <v>0</v>
      </c>
      <c r="AU32" s="2">
        <f>((IF((35='V06 Calend 01'!C32),('V06 Calend 01'!F32+'V06 Calend 01'!G32),0)+IF(AND(('V06 Calend 01'!E32&gt;0),(35&gt;'V06 Calend 01'!C32),(35&lt;'V06 Calend 01'!D32),(MOD((35-'V06 Calend 01'!C32),6)=0),(((35-'V06 Calend 01'!C32)/6)&lt;='V06 Calend 01'!E32)),IF((35=('V06 Calend 01'!C32+(6*'V06 Calend 01'!E32))),('V06 Calend 01'!H32-('V06 Calend 01'!I32*('V06 Calend 01'!E32-1))),'V06 Calend 01'!I32),0))+IF((35='V06 Calend 01'!D32),'V06 Calend 01'!J32,0))</f>
        <v>0</v>
      </c>
      <c r="AV32" s="2">
        <f>((IF((36='V06 Calend 01'!C32),('V06 Calend 01'!F32+'V06 Calend 01'!G32),0)+IF(AND(('V06 Calend 01'!E32&gt;0),(36&gt;'V06 Calend 01'!C32),(36&lt;'V06 Calend 01'!D32),(MOD((36-'V06 Calend 01'!C32),6)=0),(((36-'V06 Calend 01'!C32)/6)&lt;='V06 Calend 01'!E32)),IF((36=('V06 Calend 01'!C32+(6*'V06 Calend 01'!E32))),('V06 Calend 01'!H32-('V06 Calend 01'!I32*('V06 Calend 01'!E32-1))),'V06 Calend 01'!I32),0))+IF((36='V06 Calend 01'!D32),'V06 Calend 01'!J32,0))</f>
        <v>0</v>
      </c>
      <c r="AW32" s="2">
        <f>((IF((37='V06 Calend 01'!C32),('V06 Calend 01'!F32+'V06 Calend 01'!G32),0)+IF(AND(('V06 Calend 01'!E32&gt;0),(37&gt;'V06 Calend 01'!C32),(37&lt;'V06 Calend 01'!D32),(MOD((37-'V06 Calend 01'!C32),6)=0),(((37-'V06 Calend 01'!C32)/6)&lt;='V06 Calend 01'!E32)),IF((37=('V06 Calend 01'!C32+(6*'V06 Calend 01'!E32))),('V06 Calend 01'!H32-('V06 Calend 01'!I32*('V06 Calend 01'!E32-1))),'V06 Calend 01'!I32),0))+IF((37='V06 Calend 01'!D32),'V06 Calend 01'!J32,0))</f>
        <v>0</v>
      </c>
      <c r="AX32" s="2">
        <f>((IF((38='V06 Calend 01'!C32),('V06 Calend 01'!F32+'V06 Calend 01'!G32),0)+IF(AND(('V06 Calend 01'!E32&gt;0),(38&gt;'V06 Calend 01'!C32),(38&lt;'V06 Calend 01'!D32),(MOD((38-'V06 Calend 01'!C32),6)=0),(((38-'V06 Calend 01'!C32)/6)&lt;='V06 Calend 01'!E32)),IF((38=('V06 Calend 01'!C32+(6*'V06 Calend 01'!E32))),('V06 Calend 01'!H32-('V06 Calend 01'!I32*('V06 Calend 01'!E32-1))),'V06 Calend 01'!I32),0))+IF((38='V06 Calend 01'!D32),'V06 Calend 01'!J32,0))</f>
        <v>0</v>
      </c>
      <c r="AY32" s="2">
        <f>((IF((39='V06 Calend 01'!C32),('V06 Calend 01'!F32+'V06 Calend 01'!G32),0)+IF(AND(('V06 Calend 01'!E32&gt;0),(39&gt;'V06 Calend 01'!C32),(39&lt;'V06 Calend 01'!D32),(MOD((39-'V06 Calend 01'!C32),6)=0),(((39-'V06 Calend 01'!C32)/6)&lt;='V06 Calend 01'!E32)),IF((39=('V06 Calend 01'!C32+(6*'V06 Calend 01'!E32))),('V06 Calend 01'!H32-('V06 Calend 01'!I32*('V06 Calend 01'!E32-1))),'V06 Calend 01'!I32),0))+IF((39='V06 Calend 01'!D32),'V06 Calend 01'!J32,0))</f>
        <v>0</v>
      </c>
      <c r="AZ32" s="2">
        <f>((IF((40='V06 Calend 01'!C32),('V06 Calend 01'!F32+'V06 Calend 01'!G32),0)+IF(AND(('V06 Calend 01'!E32&gt;0),(40&gt;'V06 Calend 01'!C32),(40&lt;'V06 Calend 01'!D32),(MOD((40-'V06 Calend 01'!C32),6)=0),(((40-'V06 Calend 01'!C32)/6)&lt;='V06 Calend 01'!E32)),IF((40=('V06 Calend 01'!C32+(6*'V06 Calend 01'!E32))),('V06 Calend 01'!H32-('V06 Calend 01'!I32*('V06 Calend 01'!E32-1))),'V06 Calend 01'!I32),0))+IF((40='V06 Calend 01'!D32),'V06 Calend 01'!J32,0))</f>
        <v>0</v>
      </c>
      <c r="BA32" s="2">
        <f>((IF((41='V06 Calend 01'!C32),('V06 Calend 01'!F32+'V06 Calend 01'!G32),0)+IF(AND(('V06 Calend 01'!E32&gt;0),(41&gt;'V06 Calend 01'!C32),(41&lt;'V06 Calend 01'!D32),(MOD((41-'V06 Calend 01'!C32),6)=0),(((41-'V06 Calend 01'!C32)/6)&lt;='V06 Calend 01'!E32)),IF((41=('V06 Calend 01'!C32+(6*'V06 Calend 01'!E32))),('V06 Calend 01'!H32-('V06 Calend 01'!I32*('V06 Calend 01'!E32-1))),'V06 Calend 01'!I32),0))+IF((41='V06 Calend 01'!D32),'V06 Calend 01'!J32,0))</f>
        <v>0</v>
      </c>
      <c r="BB32" s="2">
        <f>((IF((42='V06 Calend 01'!C32),('V06 Calend 01'!F32+'V06 Calend 01'!G32),0)+IF(AND(('V06 Calend 01'!E32&gt;0),(42&gt;'V06 Calend 01'!C32),(42&lt;'V06 Calend 01'!D32),(MOD((42-'V06 Calend 01'!C32),6)=0),(((42-'V06 Calend 01'!C32)/6)&lt;='V06 Calend 01'!E32)),IF((42=('V06 Calend 01'!C32+(6*'V06 Calend 01'!E32))),('V06 Calend 01'!H32-('V06 Calend 01'!I32*('V06 Calend 01'!E32-1))),'V06 Calend 01'!I32),0))+IF((42='V06 Calend 01'!D32),'V06 Calend 01'!J32,0))</f>
        <v>0</v>
      </c>
      <c r="BC32" s="2">
        <f>((IF((43='V06 Calend 01'!C32),('V06 Calend 01'!F32+'V06 Calend 01'!G32),0)+IF(AND(('V06 Calend 01'!E32&gt;0),(43&gt;'V06 Calend 01'!C32),(43&lt;'V06 Calend 01'!D32),(MOD((43-'V06 Calend 01'!C32),6)=0),(((43-'V06 Calend 01'!C32)/6)&lt;='V06 Calend 01'!E32)),IF((43=('V06 Calend 01'!C32+(6*'V06 Calend 01'!E32))),('V06 Calend 01'!H32-('V06 Calend 01'!I32*('V06 Calend 01'!E32-1))),'V06 Calend 01'!I32),0))+IF((43='V06 Calend 01'!D32),'V06 Calend 01'!J32,0))</f>
        <v>0</v>
      </c>
      <c r="BD32" s="2">
        <f>((IF((44='V06 Calend 01'!C32),('V06 Calend 01'!F32+'V06 Calend 01'!G32),0)+IF(AND(('V06 Calend 01'!E32&gt;0),(44&gt;'V06 Calend 01'!C32),(44&lt;'V06 Calend 01'!D32),(MOD((44-'V06 Calend 01'!C32),6)=0),(((44-'V06 Calend 01'!C32)/6)&lt;='V06 Calend 01'!E32)),IF((44=('V06 Calend 01'!C32+(6*'V06 Calend 01'!E32))),('V06 Calend 01'!H32-('V06 Calend 01'!I32*('V06 Calend 01'!E32-1))),'V06 Calend 01'!I32),0))+IF((44='V06 Calend 01'!D32),'V06 Calend 01'!J32,0))</f>
        <v>0</v>
      </c>
      <c r="BE32" s="2">
        <f>((IF((45='V06 Calend 01'!C32),('V06 Calend 01'!F32+'V06 Calend 01'!G32),0)+IF(AND(('V06 Calend 01'!E32&gt;0),(45&gt;'V06 Calend 01'!C32),(45&lt;'V06 Calend 01'!D32),(MOD((45-'V06 Calend 01'!C32),6)=0),(((45-'V06 Calend 01'!C32)/6)&lt;='V06 Calend 01'!E32)),IF((45=('V06 Calend 01'!C32+(6*'V06 Calend 01'!E32))),('V06 Calend 01'!H32-('V06 Calend 01'!I32*('V06 Calend 01'!E32-1))),'V06 Calend 01'!I32),0))+IF((45='V06 Calend 01'!D32),'V06 Calend 01'!J32,0))</f>
        <v>0</v>
      </c>
      <c r="BF32" s="2">
        <f>((IF((46='V06 Calend 01'!C32),('V06 Calend 01'!F32+'V06 Calend 01'!G32),0)+IF(AND(('V06 Calend 01'!E32&gt;0),(46&gt;'V06 Calend 01'!C32),(46&lt;'V06 Calend 01'!D32),(MOD((46-'V06 Calend 01'!C32),6)=0),(((46-'V06 Calend 01'!C32)/6)&lt;='V06 Calend 01'!E32)),IF((46=('V06 Calend 01'!C32+(6*'V06 Calend 01'!E32))),('V06 Calend 01'!H32-('V06 Calend 01'!I32*('V06 Calend 01'!E32-1))),'V06 Calend 01'!I32),0))+IF((46='V06 Calend 01'!D32),'V06 Calend 01'!J32,0))</f>
        <v>0</v>
      </c>
      <c r="BG32" s="2">
        <f>((IF((47='V06 Calend 01'!C32),('V06 Calend 01'!F32+'V06 Calend 01'!G32),0)+IF(AND(('V06 Calend 01'!E32&gt;0),(47&gt;'V06 Calend 01'!C32),(47&lt;'V06 Calend 01'!D32),(MOD((47-'V06 Calend 01'!C32),6)=0),(((47-'V06 Calend 01'!C32)/6)&lt;='V06 Calend 01'!E32)),IF((47=('V06 Calend 01'!C32+(6*'V06 Calend 01'!E32))),('V06 Calend 01'!H32-('V06 Calend 01'!I32*('V06 Calend 01'!E32-1))),'V06 Calend 01'!I32),0))+IF((47='V06 Calend 01'!D32),'V06 Calend 01'!J32,0))</f>
        <v>0</v>
      </c>
      <c r="BH32" s="2">
        <f>((IF((48='V06 Calend 01'!C32),('V06 Calend 01'!F32+'V06 Calend 01'!G32),0)+IF(AND(('V06 Calend 01'!E32&gt;0),(48&gt;'V06 Calend 01'!C32),(48&lt;'V06 Calend 01'!D32),(MOD((48-'V06 Calend 01'!C32),6)=0),(((48-'V06 Calend 01'!C32)/6)&lt;='V06 Calend 01'!E32)),IF((48=('V06 Calend 01'!C32+(6*'V06 Calend 01'!E32))),('V06 Calend 01'!H32-('V06 Calend 01'!I32*('V06 Calend 01'!E32-1))),'V06 Calend 01'!I32),0))+IF((48='V06 Calend 01'!D32),'V06 Calend 01'!J32,0))</f>
        <v>0</v>
      </c>
      <c r="BI32" s="2">
        <f>((IF((49='V06 Calend 01'!C32),('V06 Calend 01'!F32+'V06 Calend 01'!G32),0)+IF(AND(('V06 Calend 01'!E32&gt;0),(49&gt;'V06 Calend 01'!C32),(49&lt;'V06 Calend 01'!D32),(MOD((49-'V06 Calend 01'!C32),6)=0),(((49-'V06 Calend 01'!C32)/6)&lt;='V06 Calend 01'!E32)),IF((49=('V06 Calend 01'!C32+(6*'V06 Calend 01'!E32))),('V06 Calend 01'!H32-('V06 Calend 01'!I32*('V06 Calend 01'!E32-1))),'V06 Calend 01'!I32),0))+IF((49='V06 Calend 01'!D32),'V06 Calend 01'!J32,0))</f>
        <v>0</v>
      </c>
      <c r="BJ32" s="2">
        <f>((IF((50='V06 Calend 01'!C32),('V06 Calend 01'!F32+'V06 Calend 01'!G32),0)+IF(AND(('V06 Calend 01'!E32&gt;0),(50&gt;'V06 Calend 01'!C32),(50&lt;'V06 Calend 01'!D32),(MOD((50-'V06 Calend 01'!C32),6)=0),(((50-'V06 Calend 01'!C32)/6)&lt;='V06 Calend 01'!E32)),IF((50=('V06 Calend 01'!C32+(6*'V06 Calend 01'!E32))),('V06 Calend 01'!H32-('V06 Calend 01'!I32*('V06 Calend 01'!E32-1))),'V06 Calend 01'!I32),0))+IF((50='V06 Calend 01'!D32),'V06 Calend 01'!J32,0))</f>
        <v>0</v>
      </c>
      <c r="BK32" s="2">
        <f>((IF((51='V06 Calend 01'!C32),('V06 Calend 01'!F32+'V06 Calend 01'!G32),0)+IF(AND(('V06 Calend 01'!E32&gt;0),(51&gt;'V06 Calend 01'!C32),(51&lt;'V06 Calend 01'!D32),(MOD((51-'V06 Calend 01'!C32),6)=0),(((51-'V06 Calend 01'!C32)/6)&lt;='V06 Calend 01'!E32)),IF((51=('V06 Calend 01'!C32+(6*'V06 Calend 01'!E32))),('V06 Calend 01'!H32-('V06 Calend 01'!I32*('V06 Calend 01'!E32-1))),'V06 Calend 01'!I32),0))+IF((51='V06 Calend 01'!D32),'V06 Calend 01'!J32,0))</f>
        <v>0</v>
      </c>
      <c r="BL32" s="2">
        <f>((IF((52='V06 Calend 01'!C32),('V06 Calend 01'!F32+'V06 Calend 01'!G32),0)+IF(AND(('V06 Calend 01'!E32&gt;0),(52&gt;'V06 Calend 01'!C32),(52&lt;'V06 Calend 01'!D32),(MOD((52-'V06 Calend 01'!C32),6)=0),(((52-'V06 Calend 01'!C32)/6)&lt;='V06 Calend 01'!E32)),IF((52=('V06 Calend 01'!C32+(6*'V06 Calend 01'!E32))),('V06 Calend 01'!H32-('V06 Calend 01'!I32*('V06 Calend 01'!E32-1))),'V06 Calend 01'!I32),0))+IF((52='V06 Calend 01'!D32),'V06 Calend 01'!J32,0))</f>
        <v>0</v>
      </c>
      <c r="BM32" s="2">
        <f>((IF((53='V06 Calend 01'!C32),('V06 Calend 01'!F32+'V06 Calend 01'!G32),0)+IF(AND(('V06 Calend 01'!E32&gt;0),(53&gt;'V06 Calend 01'!C32),(53&lt;'V06 Calend 01'!D32),(MOD((53-'V06 Calend 01'!C32),6)=0),(((53-'V06 Calend 01'!C32)/6)&lt;='V06 Calend 01'!E32)),IF((53=('V06 Calend 01'!C32+(6*'V06 Calend 01'!E32))),('V06 Calend 01'!H32-('V06 Calend 01'!I32*('V06 Calend 01'!E32-1))),'V06 Calend 01'!I32),0))+IF((53='V06 Calend 01'!D32),'V06 Calend 01'!J32,0))</f>
        <v>0</v>
      </c>
      <c r="BN32" s="2">
        <f>((IF((54='V06 Calend 01'!C32),('V06 Calend 01'!F32+'V06 Calend 01'!G32),0)+IF(AND(('V06 Calend 01'!E32&gt;0),(54&gt;'V06 Calend 01'!C32),(54&lt;'V06 Calend 01'!D32),(MOD((54-'V06 Calend 01'!C32),6)=0),(((54-'V06 Calend 01'!C32)/6)&lt;='V06 Calend 01'!E32)),IF((54=('V06 Calend 01'!C32+(6*'V06 Calend 01'!E32))),('V06 Calend 01'!H32-('V06 Calend 01'!I32*('V06 Calend 01'!E32-1))),'V06 Calend 01'!I32),0))+IF((54='V06 Calend 01'!D32),'V06 Calend 01'!J32,0))</f>
        <v>0</v>
      </c>
      <c r="BO32" s="2">
        <f>((IF((55='V06 Calend 01'!C32),('V06 Calend 01'!F32+'V06 Calend 01'!G32),0)+IF(AND(('V06 Calend 01'!E32&gt;0),(55&gt;'V06 Calend 01'!C32),(55&lt;'V06 Calend 01'!D32),(MOD((55-'V06 Calend 01'!C32),6)=0),(((55-'V06 Calend 01'!C32)/6)&lt;='V06 Calend 01'!E32)),IF((55=('V06 Calend 01'!C32+(6*'V06 Calend 01'!E32))),('V06 Calend 01'!H32-('V06 Calend 01'!I32*('V06 Calend 01'!E32-1))),'V06 Calend 01'!I32),0))+IF((55='V06 Calend 01'!D32),'V06 Calend 01'!J32,0))</f>
        <v>0</v>
      </c>
      <c r="BP32" s="2">
        <f>((IF((56='V06 Calend 01'!C32),('V06 Calend 01'!F32+'V06 Calend 01'!G32),0)+IF(AND(('V06 Calend 01'!E32&gt;0),(56&gt;'V06 Calend 01'!C32),(56&lt;'V06 Calend 01'!D32),(MOD((56-'V06 Calend 01'!C32),6)=0),(((56-'V06 Calend 01'!C32)/6)&lt;='V06 Calend 01'!E32)),IF((56=('V06 Calend 01'!C32+(6*'V06 Calend 01'!E32))),('V06 Calend 01'!H32-('V06 Calend 01'!I32*('V06 Calend 01'!E32-1))),'V06 Calend 01'!I32),0))+IF((56='V06 Calend 01'!D32),'V06 Calend 01'!J32,0))</f>
        <v>0</v>
      </c>
      <c r="BQ32" s="2">
        <f>((IF((57='V06 Calend 01'!C32),('V06 Calend 01'!F32+'V06 Calend 01'!G32),0)+IF(AND(('V06 Calend 01'!E32&gt;0),(57&gt;'V06 Calend 01'!C32),(57&lt;'V06 Calend 01'!D32),(MOD((57-'V06 Calend 01'!C32),6)=0),(((57-'V06 Calend 01'!C32)/6)&lt;='V06 Calend 01'!E32)),IF((57=('V06 Calend 01'!C32+(6*'V06 Calend 01'!E32))),('V06 Calend 01'!H32-('V06 Calend 01'!I32*('V06 Calend 01'!E32-1))),'V06 Calend 01'!I32),0))+IF((57='V06 Calend 01'!D32),'V06 Calend 01'!J32,0))</f>
        <v>0</v>
      </c>
      <c r="BR32" s="2">
        <f>((IF((58='V06 Calend 01'!C32),('V06 Calend 01'!F32+'V06 Calend 01'!G32),0)+IF(AND(('V06 Calend 01'!E32&gt;0),(58&gt;'V06 Calend 01'!C32),(58&lt;'V06 Calend 01'!D32),(MOD((58-'V06 Calend 01'!C32),6)=0),(((58-'V06 Calend 01'!C32)/6)&lt;='V06 Calend 01'!E32)),IF((58=('V06 Calend 01'!C32+(6*'V06 Calend 01'!E32))),('V06 Calend 01'!H32-('V06 Calend 01'!I32*('V06 Calend 01'!E32-1))),'V06 Calend 01'!I32),0))+IF((58='V06 Calend 01'!D32),'V06 Calend 01'!J32,0))</f>
        <v>0</v>
      </c>
      <c r="BS32" s="2">
        <f>((IF((59='V06 Calend 01'!C32),('V06 Calend 01'!F32+'V06 Calend 01'!G32),0)+IF(AND(('V06 Calend 01'!E32&gt;0),(59&gt;'V06 Calend 01'!C32),(59&lt;'V06 Calend 01'!D32),(MOD((59-'V06 Calend 01'!C32),6)=0),(((59-'V06 Calend 01'!C32)/6)&lt;='V06 Calend 01'!E32)),IF((59=('V06 Calend 01'!C32+(6*'V06 Calend 01'!E32))),('V06 Calend 01'!H32-('V06 Calend 01'!I32*('V06 Calend 01'!E32-1))),'V06 Calend 01'!I32),0))+IF((59='V06 Calend 01'!D32),'V06 Calend 01'!J32,0))</f>
        <v>0</v>
      </c>
      <c r="BT32" s="2">
        <f>((IF((60='V06 Calend 01'!C32),('V06 Calend 01'!F32+'V06 Calend 01'!G32),0)+IF(AND(('V06 Calend 01'!E32&gt;0),(60&gt;'V06 Calend 01'!C32),(60&lt;'V06 Calend 01'!D32),(MOD((60-'V06 Calend 01'!C32),6)=0),(((60-'V06 Calend 01'!C32)/6)&lt;='V06 Calend 01'!E32)),IF((60=('V06 Calend 01'!C32+(6*'V06 Calend 01'!E32))),('V06 Calend 01'!H32-('V06 Calend 01'!I32*('V06 Calend 01'!E32-1))),'V06 Calend 01'!I32),0))+IF((60='V06 Calend 01'!D32),'V06 Calend 01'!J32,0))</f>
        <v>0</v>
      </c>
      <c r="BU32" s="2">
        <f>((IF((61='V06 Calend 01'!C32),('V06 Calend 01'!F32+'V06 Calend 01'!G32),0)+IF(AND(('V06 Calend 01'!E32&gt;0),(61&gt;'V06 Calend 01'!C32),(61&lt;'V06 Calend 01'!D32),(MOD((61-'V06 Calend 01'!C32),6)=0),(((61-'V06 Calend 01'!C32)/6)&lt;='V06 Calend 01'!E32)),IF((61=('V06 Calend 01'!C32+(6*'V06 Calend 01'!E32))),('V06 Calend 01'!H32-('V06 Calend 01'!I32*('V06 Calend 01'!E32-1))),'V06 Calend 01'!I32),0))+IF((61='V06 Calend 01'!D32),'V06 Calend 01'!J32,0))</f>
        <v>0</v>
      </c>
      <c r="BV32" s="2">
        <f>((IF((62='V06 Calend 01'!C32),('V06 Calend 01'!F32+'V06 Calend 01'!G32),0)+IF(AND(('V06 Calend 01'!E32&gt;0),(62&gt;'V06 Calend 01'!C32),(62&lt;'V06 Calend 01'!D32),(MOD((62-'V06 Calend 01'!C32),6)=0),(((62-'V06 Calend 01'!C32)/6)&lt;='V06 Calend 01'!E32)),IF((62=('V06 Calend 01'!C32+(6*'V06 Calend 01'!E32))),('V06 Calend 01'!H32-('V06 Calend 01'!I32*('V06 Calend 01'!E32-1))),'V06 Calend 01'!I32),0))+IF((62='V06 Calend 01'!D32),'V06 Calend 01'!J32,0))</f>
        <v>0</v>
      </c>
      <c r="BW32" s="2">
        <f>((IF((63='V06 Calend 01'!C32),('V06 Calend 01'!F32+'V06 Calend 01'!G32),0)+IF(AND(('V06 Calend 01'!E32&gt;0),(63&gt;'V06 Calend 01'!C32),(63&lt;'V06 Calend 01'!D32),(MOD((63-'V06 Calend 01'!C32),6)=0),(((63-'V06 Calend 01'!C32)/6)&lt;='V06 Calend 01'!E32)),IF((63=('V06 Calend 01'!C32+(6*'V06 Calend 01'!E32))),('V06 Calend 01'!H32-('V06 Calend 01'!I32*('V06 Calend 01'!E32-1))),'V06 Calend 01'!I32),0))+IF((63='V06 Calend 01'!D32),'V06 Calend 01'!J32,0))</f>
        <v>0</v>
      </c>
      <c r="BX32" s="2">
        <f>((IF((64='V06 Calend 01'!C32),('V06 Calend 01'!F32+'V06 Calend 01'!G32),0)+IF(AND(('V06 Calend 01'!E32&gt;0),(64&gt;'V06 Calend 01'!C32),(64&lt;'V06 Calend 01'!D32),(MOD((64-'V06 Calend 01'!C32),6)=0),(((64-'V06 Calend 01'!C32)/6)&lt;='V06 Calend 01'!E32)),IF((64=('V06 Calend 01'!C32+(6*'V06 Calend 01'!E32))),('V06 Calend 01'!H32-('V06 Calend 01'!I32*('V06 Calend 01'!E32-1))),'V06 Calend 01'!I32),0))+IF((64='V06 Calend 01'!D32),'V06 Calend 01'!J32,0))</f>
        <v>0</v>
      </c>
      <c r="BY32" s="2">
        <f>((IF((65='V06 Calend 01'!C32),('V06 Calend 01'!F32+'V06 Calend 01'!G32),0)+IF(AND(('V06 Calend 01'!E32&gt;0),(65&gt;'V06 Calend 01'!C32),(65&lt;'V06 Calend 01'!D32),(MOD((65-'V06 Calend 01'!C32),6)=0),(((65-'V06 Calend 01'!C32)/6)&lt;='V06 Calend 01'!E32)),IF((65=('V06 Calend 01'!C32+(6*'V06 Calend 01'!E32))),('V06 Calend 01'!H32-('V06 Calend 01'!I32*('V06 Calend 01'!E32-1))),'V06 Calend 01'!I32),0))+IF((65='V06 Calend 01'!D32),'V06 Calend 01'!J32,0))</f>
        <v>0</v>
      </c>
      <c r="BZ32" s="2">
        <f>((IF((66='V06 Calend 01'!C32),('V06 Calend 01'!F32+'V06 Calend 01'!G32),0)+IF(AND(('V06 Calend 01'!E32&gt;0),(66&gt;'V06 Calend 01'!C32),(66&lt;'V06 Calend 01'!D32),(MOD((66-'V06 Calend 01'!C32),6)=0),(((66-'V06 Calend 01'!C32)/6)&lt;='V06 Calend 01'!E32)),IF((66=('V06 Calend 01'!C32+(6*'V06 Calend 01'!E32))),('V06 Calend 01'!H32-('V06 Calend 01'!I32*('V06 Calend 01'!E32-1))),'V06 Calend 01'!I32),0))+IF((66='V06 Calend 01'!D32),'V06 Calend 01'!J32,0))</f>
        <v>0</v>
      </c>
      <c r="CA32" s="2">
        <f>((IF((67='V06 Calend 01'!C32),('V06 Calend 01'!F32+'V06 Calend 01'!G32),0)+IF(AND(('V06 Calend 01'!E32&gt;0),(67&gt;'V06 Calend 01'!C32),(67&lt;'V06 Calend 01'!D32),(MOD((67-'V06 Calend 01'!C32),6)=0),(((67-'V06 Calend 01'!C32)/6)&lt;='V06 Calend 01'!E32)),IF((67=('V06 Calend 01'!C32+(6*'V06 Calend 01'!E32))),('V06 Calend 01'!H32-('V06 Calend 01'!I32*('V06 Calend 01'!E32-1))),'V06 Calend 01'!I32),0))+IF((67='V06 Calend 01'!D32),'V06 Calend 01'!J32,0))</f>
        <v>0</v>
      </c>
      <c r="CB32" s="2">
        <f>((IF((68='V06 Calend 01'!C32),('V06 Calend 01'!F32+'V06 Calend 01'!G32),0)+IF(AND(('V06 Calend 01'!E32&gt;0),(68&gt;'V06 Calend 01'!C32),(68&lt;'V06 Calend 01'!D32),(MOD((68-'V06 Calend 01'!C32),6)=0),(((68-'V06 Calend 01'!C32)/6)&lt;='V06 Calend 01'!E32)),IF((68=('V06 Calend 01'!C32+(6*'V06 Calend 01'!E32))),('V06 Calend 01'!H32-('V06 Calend 01'!I32*('V06 Calend 01'!E32-1))),'V06 Calend 01'!I32),0))+IF((68='V06 Calend 01'!D32),'V06 Calend 01'!J32,0))</f>
        <v>0</v>
      </c>
      <c r="CC32" s="2">
        <f>((IF((69='V06 Calend 01'!C32),('V06 Calend 01'!F32+'V06 Calend 01'!G32),0)+IF(AND(('V06 Calend 01'!E32&gt;0),(69&gt;'V06 Calend 01'!C32),(69&lt;'V06 Calend 01'!D32),(MOD((69-'V06 Calend 01'!C32),6)=0),(((69-'V06 Calend 01'!C32)/6)&lt;='V06 Calend 01'!E32)),IF((69=('V06 Calend 01'!C32+(6*'V06 Calend 01'!E32))),('V06 Calend 01'!H32-('V06 Calend 01'!I32*('V06 Calend 01'!E32-1))),'V06 Calend 01'!I32),0))+IF((69='V06 Calend 01'!D32),'V06 Calend 01'!J32,0))</f>
        <v>0</v>
      </c>
      <c r="CD32" s="2">
        <f>((IF((70='V06 Calend 01'!C32),('V06 Calend 01'!F32+'V06 Calend 01'!G32),0)+IF(AND(('V06 Calend 01'!E32&gt;0),(70&gt;'V06 Calend 01'!C32),(70&lt;'V06 Calend 01'!D32),(MOD((70-'V06 Calend 01'!C32),6)=0),(((70-'V06 Calend 01'!C32)/6)&lt;='V06 Calend 01'!E32)),IF((70=('V06 Calend 01'!C32+(6*'V06 Calend 01'!E32))),('V06 Calend 01'!H32-('V06 Calend 01'!I32*('V06 Calend 01'!E32-1))),'V06 Calend 01'!I32),0))+IF((70='V06 Calend 01'!D32),'V06 Calend 01'!J32,0))</f>
        <v>0</v>
      </c>
      <c r="CE32" s="2">
        <f>((IF((71='V06 Calend 01'!C32),('V06 Calend 01'!F32+'V06 Calend 01'!G32),0)+IF(AND(('V06 Calend 01'!E32&gt;0),(71&gt;'V06 Calend 01'!C32),(71&lt;'V06 Calend 01'!D32),(MOD((71-'V06 Calend 01'!C32),6)=0),(((71-'V06 Calend 01'!C32)/6)&lt;='V06 Calend 01'!E32)),IF((71=('V06 Calend 01'!C32+(6*'V06 Calend 01'!E32))),('V06 Calend 01'!H32-('V06 Calend 01'!I32*('V06 Calend 01'!E32-1))),'V06 Calend 01'!I32),0))+IF((71='V06 Calend 01'!D32),'V06 Calend 01'!J32,0))</f>
        <v>0</v>
      </c>
      <c r="CF32" s="2">
        <f>((IF((72='V06 Calend 01'!C32),('V06 Calend 01'!F32+'V06 Calend 01'!G32),0)+IF(AND(('V06 Calend 01'!E32&gt;0),(72&gt;'V06 Calend 01'!C32),(72&lt;'V06 Calend 01'!D32),(MOD((72-'V06 Calend 01'!C32),6)=0),(((72-'V06 Calend 01'!C32)/6)&lt;='V06 Calend 01'!E32)),IF((72=('V06 Calend 01'!C32+(6*'V06 Calend 01'!E32))),('V06 Calend 01'!H32-('V06 Calend 01'!I32*('V06 Calend 01'!E32-1))),'V06 Calend 01'!I32),0))+IF((72='V06 Calend 01'!D32),'V06 Calend 01'!J32,0))</f>
        <v>0</v>
      </c>
      <c r="CG32" s="2">
        <f>((IF((73='V06 Calend 01'!C32),('V06 Calend 01'!F32+'V06 Calend 01'!G32),0)+IF(AND(('V06 Calend 01'!E32&gt;0),(73&gt;'V06 Calend 01'!C32),(73&lt;'V06 Calend 01'!D32),(MOD((73-'V06 Calend 01'!C32),6)=0),(((73-'V06 Calend 01'!C32)/6)&lt;='V06 Calend 01'!E32)),IF((73=('V06 Calend 01'!C32+(6*'V06 Calend 01'!E32))),('V06 Calend 01'!H32-('V06 Calend 01'!I32*('V06 Calend 01'!E32-1))),'V06 Calend 01'!I32),0))+IF((73='V06 Calend 01'!D32),'V06 Calend 01'!J32,0))</f>
        <v>0</v>
      </c>
      <c r="CH32" s="2">
        <f>((IF((74='V06 Calend 01'!C32),('V06 Calend 01'!F32+'V06 Calend 01'!G32),0)+IF(AND(('V06 Calend 01'!E32&gt;0),(74&gt;'V06 Calend 01'!C32),(74&lt;'V06 Calend 01'!D32),(MOD((74-'V06 Calend 01'!C32),6)=0),(((74-'V06 Calend 01'!C32)/6)&lt;='V06 Calend 01'!E32)),IF((74=('V06 Calend 01'!C32+(6*'V06 Calend 01'!E32))),('V06 Calend 01'!H32-('V06 Calend 01'!I32*('V06 Calend 01'!E32-1))),'V06 Calend 01'!I32),0))+IF((74='V06 Calend 01'!D32),'V06 Calend 01'!J32,0))</f>
        <v>0</v>
      </c>
      <c r="CI32" s="2">
        <f>((IF((75='V06 Calend 01'!C32),('V06 Calend 01'!F32+'V06 Calend 01'!G32),0)+IF(AND(('V06 Calend 01'!E32&gt;0),(75&gt;'V06 Calend 01'!C32),(75&lt;'V06 Calend 01'!D32),(MOD((75-'V06 Calend 01'!C32),6)=0),(((75-'V06 Calend 01'!C32)/6)&lt;='V06 Calend 01'!E32)),IF((75=('V06 Calend 01'!C32+(6*'V06 Calend 01'!E32))),('V06 Calend 01'!H32-('V06 Calend 01'!I32*('V06 Calend 01'!E32-1))),'V06 Calend 01'!I32),0))+IF((75='V06 Calend 01'!D32),'V06 Calend 01'!J32,0))</f>
        <v>0</v>
      </c>
      <c r="CJ32" s="2">
        <f>((IF((76='V06 Calend 01'!C32),('V06 Calend 01'!F32+'V06 Calend 01'!G32),0)+IF(AND(('V06 Calend 01'!E32&gt;0),(76&gt;'V06 Calend 01'!C32),(76&lt;'V06 Calend 01'!D32),(MOD((76-'V06 Calend 01'!C32),6)=0),(((76-'V06 Calend 01'!C32)/6)&lt;='V06 Calend 01'!E32)),IF((76=('V06 Calend 01'!C32+(6*'V06 Calend 01'!E32))),('V06 Calend 01'!H32-('V06 Calend 01'!I32*('V06 Calend 01'!E32-1))),'V06 Calend 01'!I32),0))+IF((76='V06 Calend 01'!D32),'V06 Calend 01'!J32,0))</f>
        <v>0</v>
      </c>
      <c r="CK32" s="2">
        <f>((IF((77='V06 Calend 01'!C32),('V06 Calend 01'!F32+'V06 Calend 01'!G32),0)+IF(AND(('V06 Calend 01'!E32&gt;0),(77&gt;'V06 Calend 01'!C32),(77&lt;'V06 Calend 01'!D32),(MOD((77-'V06 Calend 01'!C32),6)=0),(((77-'V06 Calend 01'!C32)/6)&lt;='V06 Calend 01'!E32)),IF((77=('V06 Calend 01'!C32+(6*'V06 Calend 01'!E32))),('V06 Calend 01'!H32-('V06 Calend 01'!I32*('V06 Calend 01'!E32-1))),'V06 Calend 01'!I32),0))+IF((77='V06 Calend 01'!D32),'V06 Calend 01'!J32,0))</f>
        <v>0</v>
      </c>
      <c r="CL32" s="2">
        <f>((IF((78='V06 Calend 01'!C32),('V06 Calend 01'!F32+'V06 Calend 01'!G32),0)+IF(AND(('V06 Calend 01'!E32&gt;0),(78&gt;'V06 Calend 01'!C32),(78&lt;'V06 Calend 01'!D32),(MOD((78-'V06 Calend 01'!C32),6)=0),(((78-'V06 Calend 01'!C32)/6)&lt;='V06 Calend 01'!E32)),IF((78=('V06 Calend 01'!C32+(6*'V06 Calend 01'!E32))),('V06 Calend 01'!H32-('V06 Calend 01'!I32*('V06 Calend 01'!E32-1))),'V06 Calend 01'!I32),0))+IF((78='V06 Calend 01'!D32),'V06 Calend 01'!J32,0))</f>
        <v>0</v>
      </c>
      <c r="CM32" s="2">
        <f>((IF((79='V06 Calend 01'!C32),('V06 Calend 01'!F32+'V06 Calend 01'!G32),0)+IF(AND(('V06 Calend 01'!E32&gt;0),(79&gt;'V06 Calend 01'!C32),(79&lt;'V06 Calend 01'!D32),(MOD((79-'V06 Calend 01'!C32),6)=0),(((79-'V06 Calend 01'!C32)/6)&lt;='V06 Calend 01'!E32)),IF((79=('V06 Calend 01'!C32+(6*'V06 Calend 01'!E32))),('V06 Calend 01'!H32-('V06 Calend 01'!I32*('V06 Calend 01'!E32-1))),'V06 Calend 01'!I32),0))+IF((79='V06 Calend 01'!D32),'V06 Calend 01'!J32,0))</f>
        <v>0</v>
      </c>
      <c r="CN32" s="2">
        <f>((IF((80='V06 Calend 01'!C32),('V06 Calend 01'!F32+'V06 Calend 01'!G32),0)+IF(AND(('V06 Calend 01'!E32&gt;0),(80&gt;'V06 Calend 01'!C32),(80&lt;'V06 Calend 01'!D32),(MOD((80-'V06 Calend 01'!C32),6)=0),(((80-'V06 Calend 01'!C32)/6)&lt;='V06 Calend 01'!E32)),IF((80=('V06 Calend 01'!C32+(6*'V06 Calend 01'!E32))),('V06 Calend 01'!H32-('V06 Calend 01'!I32*('V06 Calend 01'!E32-1))),'V06 Calend 01'!I32),0))+IF((80='V06 Calend 01'!D32),'V06 Calend 01'!J32,0))</f>
        <v>0</v>
      </c>
      <c r="CO32" s="2">
        <f>((IF((81='V06 Calend 01'!C32),('V06 Calend 01'!F32+'V06 Calend 01'!G32),0)+IF(AND(('V06 Calend 01'!E32&gt;0),(81&gt;'V06 Calend 01'!C32),(81&lt;'V06 Calend 01'!D32),(MOD((81-'V06 Calend 01'!C32),6)=0),(((81-'V06 Calend 01'!C32)/6)&lt;='V06 Calend 01'!E32)),IF((81=('V06 Calend 01'!C32+(6*'V06 Calend 01'!E32))),('V06 Calend 01'!H32-('V06 Calend 01'!I32*('V06 Calend 01'!E32-1))),'V06 Calend 01'!I32),0))+IF((81='V06 Calend 01'!D32),'V06 Calend 01'!J32,0))</f>
        <v>0</v>
      </c>
      <c r="CP32" s="2">
        <f>((IF((82='V06 Calend 01'!C32),('V06 Calend 01'!F32+'V06 Calend 01'!G32),0)+IF(AND(('V06 Calend 01'!E32&gt;0),(82&gt;'V06 Calend 01'!C32),(82&lt;'V06 Calend 01'!D32),(MOD((82-'V06 Calend 01'!C32),6)=0),(((82-'V06 Calend 01'!C32)/6)&lt;='V06 Calend 01'!E32)),IF((82=('V06 Calend 01'!C32+(6*'V06 Calend 01'!E32))),('V06 Calend 01'!H32-('V06 Calend 01'!I32*('V06 Calend 01'!E32-1))),'V06 Calend 01'!I32),0))+IF((82='V06 Calend 01'!D32),'V06 Calend 01'!J32,0))</f>
        <v>0</v>
      </c>
      <c r="CQ32" s="2">
        <f>((IF((83='V06 Calend 01'!C32),('V06 Calend 01'!F32+'V06 Calend 01'!G32),0)+IF(AND(('V06 Calend 01'!E32&gt;0),(83&gt;'V06 Calend 01'!C32),(83&lt;'V06 Calend 01'!D32),(MOD((83-'V06 Calend 01'!C32),6)=0),(((83-'V06 Calend 01'!C32)/6)&lt;='V06 Calend 01'!E32)),IF((83=('V06 Calend 01'!C32+(6*'V06 Calend 01'!E32))),('V06 Calend 01'!H32-('V06 Calend 01'!I32*('V06 Calend 01'!E32-1))),'V06 Calend 01'!I32),0))+IF((83='V06 Calend 01'!D32),'V06 Calend 01'!J32,0))</f>
        <v>0</v>
      </c>
      <c r="CR32" s="2">
        <f>((IF((84='V06 Calend 01'!C32),('V06 Calend 01'!F32+'V06 Calend 01'!G32),0)+IF(AND(('V06 Calend 01'!E32&gt;0),(84&gt;'V06 Calend 01'!C32),(84&lt;'V06 Calend 01'!D32),(MOD((84-'V06 Calend 01'!C32),6)=0),(((84-'V06 Calend 01'!C32)/6)&lt;='V06 Calend 01'!E32)),IF((84=('V06 Calend 01'!C32+(6*'V06 Calend 01'!E32))),('V06 Calend 01'!H32-('V06 Calend 01'!I32*('V06 Calend 01'!E32-1))),'V06 Calend 01'!I32),0))+IF((84='V06 Calend 01'!D32),'V06 Calend 01'!J32,0))</f>
        <v>0</v>
      </c>
      <c r="CS32" s="2">
        <f>((IF((85='V06 Calend 01'!C32),('V06 Calend 01'!F32+'V06 Calend 01'!G32),0)+IF(AND(('V06 Calend 01'!E32&gt;0),(85&gt;'V06 Calend 01'!C32),(85&lt;'V06 Calend 01'!D32),(MOD((85-'V06 Calend 01'!C32),6)=0),(((85-'V06 Calend 01'!C32)/6)&lt;='V06 Calend 01'!E32)),IF((85=('V06 Calend 01'!C32+(6*'V06 Calend 01'!E32))),('V06 Calend 01'!H32-('V06 Calend 01'!I32*('V06 Calend 01'!E32-1))),'V06 Calend 01'!I32),0))+IF((85='V06 Calend 01'!D32),'V06 Calend 01'!J32,0))</f>
        <v>0</v>
      </c>
      <c r="CT32" s="2">
        <f>((IF((86='V06 Calend 01'!C32),('V06 Calend 01'!F32+'V06 Calend 01'!G32),0)+IF(AND(('V06 Calend 01'!E32&gt;0),(86&gt;'V06 Calend 01'!C32),(86&lt;'V06 Calend 01'!D32),(MOD((86-'V06 Calend 01'!C32),6)=0),(((86-'V06 Calend 01'!C32)/6)&lt;='V06 Calend 01'!E32)),IF((86=('V06 Calend 01'!C32+(6*'V06 Calend 01'!E32))),('V06 Calend 01'!H32-('V06 Calend 01'!I32*('V06 Calend 01'!E32-1))),'V06 Calend 01'!I32),0))+IF((86='V06 Calend 01'!D32),'V06 Calend 01'!J32,0))</f>
        <v>0</v>
      </c>
      <c r="CU32" s="2">
        <f>((IF((87='V06 Calend 01'!C32),('V06 Calend 01'!F32+'V06 Calend 01'!G32),0)+IF(AND(('V06 Calend 01'!E32&gt;0),(87&gt;'V06 Calend 01'!C32),(87&lt;'V06 Calend 01'!D32),(MOD((87-'V06 Calend 01'!C32),6)=0),(((87-'V06 Calend 01'!C32)/6)&lt;='V06 Calend 01'!E32)),IF((87=('V06 Calend 01'!C32+(6*'V06 Calend 01'!E32))),('V06 Calend 01'!H32-('V06 Calend 01'!I32*('V06 Calend 01'!E32-1))),'V06 Calend 01'!I32),0))+IF((87='V06 Calend 01'!D32),'V06 Calend 01'!J32,0))</f>
        <v>0</v>
      </c>
      <c r="CV32" s="2">
        <f>((IF((88='V06 Calend 01'!C32),('V06 Calend 01'!F32+'V06 Calend 01'!G32),0)+IF(AND(('V06 Calend 01'!E32&gt;0),(88&gt;'V06 Calend 01'!C32),(88&lt;'V06 Calend 01'!D32),(MOD((88-'V06 Calend 01'!C32),6)=0),(((88-'V06 Calend 01'!C32)/6)&lt;='V06 Calend 01'!E32)),IF((88=('V06 Calend 01'!C32+(6*'V06 Calend 01'!E32))),('V06 Calend 01'!H32-('V06 Calend 01'!I32*('V06 Calend 01'!E32-1))),'V06 Calend 01'!I32),0))+IF((88='V06 Calend 01'!D32),'V06 Calend 01'!J32,0))</f>
        <v>0</v>
      </c>
      <c r="CW32" s="2">
        <f>((IF((89='V06 Calend 01'!C32),('V06 Calend 01'!F32+'V06 Calend 01'!G32),0)+IF(AND(('V06 Calend 01'!E32&gt;0),(89&gt;'V06 Calend 01'!C32),(89&lt;'V06 Calend 01'!D32),(MOD((89-'V06 Calend 01'!C32),6)=0),(((89-'V06 Calend 01'!C32)/6)&lt;='V06 Calend 01'!E32)),IF((89=('V06 Calend 01'!C32+(6*'V06 Calend 01'!E32))),('V06 Calend 01'!H32-('V06 Calend 01'!I32*('V06 Calend 01'!E32-1))),'V06 Calend 01'!I32),0))+IF((89='V06 Calend 01'!D32),'V06 Calend 01'!J32,0))</f>
        <v>0</v>
      </c>
      <c r="CX32" s="2">
        <f>((IF((90='V06 Calend 01'!C32),('V06 Calend 01'!F32+'V06 Calend 01'!G32),0)+IF(AND(('V06 Calend 01'!E32&gt;0),(90&gt;'V06 Calend 01'!C32),(90&lt;'V06 Calend 01'!D32),(MOD((90-'V06 Calend 01'!C32),6)=0),(((90-'V06 Calend 01'!C32)/6)&lt;='V06 Calend 01'!E32)),IF((90=('V06 Calend 01'!C32+(6*'V06 Calend 01'!E32))),('V06 Calend 01'!H32-('V06 Calend 01'!I32*('V06 Calend 01'!E32-1))),'V06 Calend 01'!I32),0))+IF((90='V06 Calend 01'!D32),'V06 Calend 01'!J32,0))</f>
        <v>0</v>
      </c>
      <c r="CY32" s="2">
        <f>((IF((91='V06 Calend 01'!C32),('V06 Calend 01'!F32+'V06 Calend 01'!G32),0)+IF(AND(('V06 Calend 01'!E32&gt;0),(91&gt;'V06 Calend 01'!C32),(91&lt;'V06 Calend 01'!D32),(MOD((91-'V06 Calend 01'!C32),6)=0),(((91-'V06 Calend 01'!C32)/6)&lt;='V06 Calend 01'!E32)),IF((91=('V06 Calend 01'!C32+(6*'V06 Calend 01'!E32))),('V06 Calend 01'!H32-('V06 Calend 01'!I32*('V06 Calend 01'!E32-1))),'V06 Calend 01'!I32),0))+IF((91='V06 Calend 01'!D32),'V06 Calend 01'!J32,0))</f>
        <v>0</v>
      </c>
      <c r="CZ32" s="2">
        <f>((IF((92='V06 Calend 01'!C32),('V06 Calend 01'!F32+'V06 Calend 01'!G32),0)+IF(AND(('V06 Calend 01'!E32&gt;0),(92&gt;'V06 Calend 01'!C32),(92&lt;'V06 Calend 01'!D32),(MOD((92-'V06 Calend 01'!C32),6)=0),(((92-'V06 Calend 01'!C32)/6)&lt;='V06 Calend 01'!E32)),IF((92=('V06 Calend 01'!C32+(6*'V06 Calend 01'!E32))),('V06 Calend 01'!H32-('V06 Calend 01'!I32*('V06 Calend 01'!E32-1))),'V06 Calend 01'!I32),0))+IF((92='V06 Calend 01'!D32),'V06 Calend 01'!J32,0))</f>
        <v>0</v>
      </c>
      <c r="DA32" s="2">
        <f>((IF((93='V06 Calend 01'!C32),('V06 Calend 01'!F32+'V06 Calend 01'!G32),0)+IF(AND(('V06 Calend 01'!E32&gt;0),(93&gt;'V06 Calend 01'!C32),(93&lt;'V06 Calend 01'!D32),(MOD((93-'V06 Calend 01'!C32),6)=0),(((93-'V06 Calend 01'!C32)/6)&lt;='V06 Calend 01'!E32)),IF((93=('V06 Calend 01'!C32+(6*'V06 Calend 01'!E32))),('V06 Calend 01'!H32-('V06 Calend 01'!I32*('V06 Calend 01'!E32-1))),'V06 Calend 01'!I32),0))+IF((93='V06 Calend 01'!D32),'V06 Calend 01'!J32,0))</f>
        <v>0</v>
      </c>
      <c r="DB32" s="2">
        <f>((IF((94='V06 Calend 01'!C32),('V06 Calend 01'!F32+'V06 Calend 01'!G32),0)+IF(AND(('V06 Calend 01'!E32&gt;0),(94&gt;'V06 Calend 01'!C32),(94&lt;'V06 Calend 01'!D32),(MOD((94-'V06 Calend 01'!C32),6)=0),(((94-'V06 Calend 01'!C32)/6)&lt;='V06 Calend 01'!E32)),IF((94=('V06 Calend 01'!C32+(6*'V06 Calend 01'!E32))),('V06 Calend 01'!H32-('V06 Calend 01'!I32*('V06 Calend 01'!E32-1))),'V06 Calend 01'!I32),0))+IF((94='V06 Calend 01'!D32),'V06 Calend 01'!J32,0))</f>
        <v>0</v>
      </c>
      <c r="DC32" s="2">
        <f>((IF((95='V06 Calend 01'!C32),('V06 Calend 01'!F32+'V06 Calend 01'!G32),0)+IF(AND(('V06 Calend 01'!E32&gt;0),(95&gt;'V06 Calend 01'!C32),(95&lt;'V06 Calend 01'!D32),(MOD((95-'V06 Calend 01'!C32),6)=0),(((95-'V06 Calend 01'!C32)/6)&lt;='V06 Calend 01'!E32)),IF((95=('V06 Calend 01'!C32+(6*'V06 Calend 01'!E32))),('V06 Calend 01'!H32-('V06 Calend 01'!I32*('V06 Calend 01'!E32-1))),'V06 Calend 01'!I32),0))+IF((95='V06 Calend 01'!D32),'V06 Calend 01'!J32,0))</f>
        <v>0</v>
      </c>
      <c r="DD32" s="2">
        <f>((IF((96='V06 Calend 01'!C32),('V06 Calend 01'!F32+'V06 Calend 01'!G32),0)+IF(AND(('V06 Calend 01'!E32&gt;0),(96&gt;'V06 Calend 01'!C32),(96&lt;'V06 Calend 01'!D32),(MOD((96-'V06 Calend 01'!C32),6)=0),(((96-'V06 Calend 01'!C32)/6)&lt;='V06 Calend 01'!E32)),IF((96=('V06 Calend 01'!C32+(6*'V06 Calend 01'!E32))),('V06 Calend 01'!H32-('V06 Calend 01'!I32*('V06 Calend 01'!E32-1))),'V06 Calend 01'!I32),0))+IF((96='V06 Calend 01'!D32),'V06 Calend 01'!J32,0))</f>
        <v>0</v>
      </c>
      <c r="DE32" s="2">
        <f>((IF((97='V06 Calend 01'!C32),('V06 Calend 01'!F32+'V06 Calend 01'!G32),0)+IF(AND(('V06 Calend 01'!E32&gt;0),(97&gt;'V06 Calend 01'!C32),(97&lt;'V06 Calend 01'!D32),(MOD((97-'V06 Calend 01'!C32),6)=0),(((97-'V06 Calend 01'!C32)/6)&lt;='V06 Calend 01'!E32)),IF((97=('V06 Calend 01'!C32+(6*'V06 Calend 01'!E32))),('V06 Calend 01'!H32-('V06 Calend 01'!I32*('V06 Calend 01'!E32-1))),'V06 Calend 01'!I32),0))+IF((97='V06 Calend 01'!D32),'V06 Calend 01'!J32,0))</f>
        <v>0</v>
      </c>
      <c r="DF32" s="2">
        <f>((IF((98='V06 Calend 01'!C32),('V06 Calend 01'!F32+'V06 Calend 01'!G32),0)+IF(AND(('V06 Calend 01'!E32&gt;0),(98&gt;'V06 Calend 01'!C32),(98&lt;'V06 Calend 01'!D32),(MOD((98-'V06 Calend 01'!C32),6)=0),(((98-'V06 Calend 01'!C32)/6)&lt;='V06 Calend 01'!E32)),IF((98=('V06 Calend 01'!C32+(6*'V06 Calend 01'!E32))),('V06 Calend 01'!H32-('V06 Calend 01'!I32*('V06 Calend 01'!E32-1))),'V06 Calend 01'!I32),0))+IF((98='V06 Calend 01'!D32),'V06 Calend 01'!J32,0))</f>
        <v>0</v>
      </c>
      <c r="DG32" s="2">
        <f>((IF((99='V06 Calend 01'!C32),('V06 Calend 01'!F32+'V06 Calend 01'!G32),0)+IF(AND(('V06 Calend 01'!E32&gt;0),(99&gt;'V06 Calend 01'!C32),(99&lt;'V06 Calend 01'!D32),(MOD((99-'V06 Calend 01'!C32),6)=0),(((99-'V06 Calend 01'!C32)/6)&lt;='V06 Calend 01'!E32)),IF((99=('V06 Calend 01'!C32+(6*'V06 Calend 01'!E32))),('V06 Calend 01'!H32-('V06 Calend 01'!I32*('V06 Calend 01'!E32-1))),'V06 Calend 01'!I32),0))+IF((99='V06 Calend 01'!D32),'V06 Calend 01'!J32,0))</f>
        <v>0</v>
      </c>
      <c r="DH32" s="2">
        <f>((IF((100='V06 Calend 01'!C32),('V06 Calend 01'!F32+'V06 Calend 01'!G32),0)+IF(AND(('V06 Calend 01'!E32&gt;0),(100&gt;'V06 Calend 01'!C32),(100&lt;'V06 Calend 01'!D32),(MOD((100-'V06 Calend 01'!C32),6)=0),(((100-'V06 Calend 01'!C32)/6)&lt;='V06 Calend 01'!E32)),IF((100=('V06 Calend 01'!C32+(6*'V06 Calend 01'!E32))),('V06 Calend 01'!H32-('V06 Calend 01'!I32*('V06 Calend 01'!E32-1))),'V06 Calend 01'!I32),0))+IF((100='V06 Calend 01'!D32),'V06 Calend 01'!J32,0))</f>
        <v>0</v>
      </c>
      <c r="DI32" s="2">
        <f>((IF((101='V06 Calend 01'!C32),('V06 Calend 01'!F32+'V06 Calend 01'!G32),0)+IF(AND(('V06 Calend 01'!E32&gt;0),(101&gt;'V06 Calend 01'!C32),(101&lt;'V06 Calend 01'!D32),(MOD((101-'V06 Calend 01'!C32),6)=0),(((101-'V06 Calend 01'!C32)/6)&lt;='V06 Calend 01'!E32)),IF((101=('V06 Calend 01'!C32+(6*'V06 Calend 01'!E32))),('V06 Calend 01'!H32-('V06 Calend 01'!I32*('V06 Calend 01'!E32-1))),'V06 Calend 01'!I32),0))+IF((101='V06 Calend 01'!D32),'V06 Calend 01'!J32,0))</f>
        <v>0</v>
      </c>
      <c r="DJ32" s="2">
        <f>((IF((102='V06 Calend 01'!C32),('V06 Calend 01'!F32+'V06 Calend 01'!G32),0)+IF(AND(('V06 Calend 01'!E32&gt;0),(102&gt;'V06 Calend 01'!C32),(102&lt;'V06 Calend 01'!D32),(MOD((102-'V06 Calend 01'!C32),6)=0),(((102-'V06 Calend 01'!C32)/6)&lt;='V06 Calend 01'!E32)),IF((102=('V06 Calend 01'!C32+(6*'V06 Calend 01'!E32))),('V06 Calend 01'!H32-('V06 Calend 01'!I32*('V06 Calend 01'!E32-1))),'V06 Calend 01'!I32),0))+IF((102='V06 Calend 01'!D32),'V06 Calend 01'!J32,0))</f>
        <v>0</v>
      </c>
      <c r="DK32" s="2">
        <f>((IF((103='V06 Calend 01'!C32),('V06 Calend 01'!F32+'V06 Calend 01'!G32),0)+IF(AND(('V06 Calend 01'!E32&gt;0),(103&gt;'V06 Calend 01'!C32),(103&lt;'V06 Calend 01'!D32),(MOD((103-'V06 Calend 01'!C32),6)=0),(((103-'V06 Calend 01'!C32)/6)&lt;='V06 Calend 01'!E32)),IF((103=('V06 Calend 01'!C32+(6*'V06 Calend 01'!E32))),('V06 Calend 01'!H32-('V06 Calend 01'!I32*('V06 Calend 01'!E32-1))),'V06 Calend 01'!I32),0))+IF((103='V06 Calend 01'!D32),'V06 Calend 01'!J32,0))</f>
        <v>0</v>
      </c>
      <c r="DL32" s="2">
        <f>((IF((104='V06 Calend 01'!C32),('V06 Calend 01'!F32+'V06 Calend 01'!G32),0)+IF(AND(('V06 Calend 01'!E32&gt;0),(104&gt;'V06 Calend 01'!C32),(104&lt;'V06 Calend 01'!D32),(MOD((104-'V06 Calend 01'!C32),6)=0),(((104-'V06 Calend 01'!C32)/6)&lt;='V06 Calend 01'!E32)),IF((104=('V06 Calend 01'!C32+(6*'V06 Calend 01'!E32))),('V06 Calend 01'!H32-('V06 Calend 01'!I32*('V06 Calend 01'!E32-1))),'V06 Calend 01'!I32),0))+IF((104='V06 Calend 01'!D32),'V06 Calend 01'!J32,0))</f>
        <v>0</v>
      </c>
      <c r="DM32" s="2">
        <f>((IF((105='V06 Calend 01'!C32),('V06 Calend 01'!F32+'V06 Calend 01'!G32),0)+IF(AND(('V06 Calend 01'!E32&gt;0),(105&gt;'V06 Calend 01'!C32),(105&lt;'V06 Calend 01'!D32),(MOD((105-'V06 Calend 01'!C32),6)=0),(((105-'V06 Calend 01'!C32)/6)&lt;='V06 Calend 01'!E32)),IF((105=('V06 Calend 01'!C32+(6*'V06 Calend 01'!E32))),('V06 Calend 01'!H32-('V06 Calend 01'!I32*('V06 Calend 01'!E32-1))),'V06 Calend 01'!I32),0))+IF((105='V06 Calend 01'!D32),'V06 Calend 01'!J32,0))</f>
        <v>0</v>
      </c>
      <c r="DN32" s="2">
        <f>((IF((106='V06 Calend 01'!C32),('V06 Calend 01'!F32+'V06 Calend 01'!G32),0)+IF(AND(('V06 Calend 01'!E32&gt;0),(106&gt;'V06 Calend 01'!C32),(106&lt;'V06 Calend 01'!D32),(MOD((106-'V06 Calend 01'!C32),6)=0),(((106-'V06 Calend 01'!C32)/6)&lt;='V06 Calend 01'!E32)),IF((106=('V06 Calend 01'!C32+(6*'V06 Calend 01'!E32))),('V06 Calend 01'!H32-('V06 Calend 01'!I32*('V06 Calend 01'!E32-1))),'V06 Calend 01'!I32),0))+IF((106='V06 Calend 01'!D32),'V06 Calend 01'!J32,0))</f>
        <v>0</v>
      </c>
      <c r="DO32" s="2">
        <f>((IF((107='V06 Calend 01'!C32),('V06 Calend 01'!F32+'V06 Calend 01'!G32),0)+IF(AND(('V06 Calend 01'!E32&gt;0),(107&gt;'V06 Calend 01'!C32),(107&lt;'V06 Calend 01'!D32),(MOD((107-'V06 Calend 01'!C32),6)=0),(((107-'V06 Calend 01'!C32)/6)&lt;='V06 Calend 01'!E32)),IF((107=('V06 Calend 01'!C32+(6*'V06 Calend 01'!E32))),('V06 Calend 01'!H32-('V06 Calend 01'!I32*('V06 Calend 01'!E32-1))),'V06 Calend 01'!I32),0))+IF((107='V06 Calend 01'!D32),'V06 Calend 01'!J32,0))</f>
        <v>0</v>
      </c>
      <c r="DP32" s="2">
        <f>((IF((108='V06 Calend 01'!C32),('V06 Calend 01'!F32+'V06 Calend 01'!G32),0)+IF(AND(('V06 Calend 01'!E32&gt;0),(108&gt;'V06 Calend 01'!C32),(108&lt;'V06 Calend 01'!D32),(MOD((108-'V06 Calend 01'!C32),6)=0),(((108-'V06 Calend 01'!C32)/6)&lt;='V06 Calend 01'!E32)),IF((108=('V06 Calend 01'!C32+(6*'V06 Calend 01'!E32))),('V06 Calend 01'!H32-('V06 Calend 01'!I32*('V06 Calend 01'!E32-1))),'V06 Calend 01'!I32),0))+IF((108='V06 Calend 01'!D32),'V06 Calend 01'!J32,0))</f>
        <v>0</v>
      </c>
      <c r="DQ32" s="2">
        <f>((IF((109='V06 Calend 01'!C32),('V06 Calend 01'!F32+'V06 Calend 01'!G32),0)+IF(AND(('V06 Calend 01'!E32&gt;0),(109&gt;'V06 Calend 01'!C32),(109&lt;'V06 Calend 01'!D32),(MOD((109-'V06 Calend 01'!C32),6)=0),(((109-'V06 Calend 01'!C32)/6)&lt;='V06 Calend 01'!E32)),IF((109=('V06 Calend 01'!C32+(6*'V06 Calend 01'!E32))),('V06 Calend 01'!H32-('V06 Calend 01'!I32*('V06 Calend 01'!E32-1))),'V06 Calend 01'!I32),0))+IF((109='V06 Calend 01'!D32),'V06 Calend 01'!J32,0))</f>
        <v>0</v>
      </c>
      <c r="DR32" s="2">
        <f>((IF((110='V06 Calend 01'!C32),('V06 Calend 01'!F32+'V06 Calend 01'!G32),0)+IF(AND(('V06 Calend 01'!E32&gt;0),(110&gt;'V06 Calend 01'!C32),(110&lt;'V06 Calend 01'!D32),(MOD((110-'V06 Calend 01'!C32),6)=0),(((110-'V06 Calend 01'!C32)/6)&lt;='V06 Calend 01'!E32)),IF((110=('V06 Calend 01'!C32+(6*'V06 Calend 01'!E32))),('V06 Calend 01'!H32-('V06 Calend 01'!I32*('V06 Calend 01'!E32-1))),'V06 Calend 01'!I32),0))+IF((110='V06 Calend 01'!D32),'V06 Calend 01'!J32,0))</f>
        <v>0</v>
      </c>
      <c r="DS32" s="2">
        <f>((IF((111='V06 Calend 01'!C32),('V06 Calend 01'!F32+'V06 Calend 01'!G32),0)+IF(AND(('V06 Calend 01'!E32&gt;0),(111&gt;'V06 Calend 01'!C32),(111&lt;'V06 Calend 01'!D32),(MOD((111-'V06 Calend 01'!C32),6)=0),(((111-'V06 Calend 01'!C32)/6)&lt;='V06 Calend 01'!E32)),IF((111=('V06 Calend 01'!C32+(6*'V06 Calend 01'!E32))),('V06 Calend 01'!H32-('V06 Calend 01'!I32*('V06 Calend 01'!E32-1))),'V06 Calend 01'!I32),0))+IF((111='V06 Calend 01'!D32),'V06 Calend 01'!J32,0))</f>
        <v>0</v>
      </c>
      <c r="DT32" s="2">
        <f>((IF((112='V06 Calend 01'!C32),('V06 Calend 01'!F32+'V06 Calend 01'!G32),0)+IF(AND(('V06 Calend 01'!E32&gt;0),(112&gt;'V06 Calend 01'!C32),(112&lt;'V06 Calend 01'!D32),(MOD((112-'V06 Calend 01'!C32),6)=0),(((112-'V06 Calend 01'!C32)/6)&lt;='V06 Calend 01'!E32)),IF((112=('V06 Calend 01'!C32+(6*'V06 Calend 01'!E32))),('V06 Calend 01'!H32-('V06 Calend 01'!I32*('V06 Calend 01'!E32-1))),'V06 Calend 01'!I32),0))+IF((112='V06 Calend 01'!D32),'V06 Calend 01'!J32,0))</f>
        <v>0</v>
      </c>
      <c r="DU32" s="2">
        <f>((IF((113='V06 Calend 01'!C32),('V06 Calend 01'!F32+'V06 Calend 01'!G32),0)+IF(AND(('V06 Calend 01'!E32&gt;0),(113&gt;'V06 Calend 01'!C32),(113&lt;'V06 Calend 01'!D32),(MOD((113-'V06 Calend 01'!C32),6)=0),(((113-'V06 Calend 01'!C32)/6)&lt;='V06 Calend 01'!E32)),IF((113=('V06 Calend 01'!C32+(6*'V06 Calend 01'!E32))),('V06 Calend 01'!H32-('V06 Calend 01'!I32*('V06 Calend 01'!E32-1))),'V06 Calend 01'!I32),0))+IF((113='V06 Calend 01'!D32),'V06 Calend 01'!J32,0))</f>
        <v>0</v>
      </c>
      <c r="DV32" s="2">
        <f>((IF((114='V06 Calend 01'!C32),('V06 Calend 01'!F32+'V06 Calend 01'!G32),0)+IF(AND(('V06 Calend 01'!E32&gt;0),(114&gt;'V06 Calend 01'!C32),(114&lt;'V06 Calend 01'!D32),(MOD((114-'V06 Calend 01'!C32),6)=0),(((114-'V06 Calend 01'!C32)/6)&lt;='V06 Calend 01'!E32)),IF((114=('V06 Calend 01'!C32+(6*'V06 Calend 01'!E32))),('V06 Calend 01'!H32-('V06 Calend 01'!I32*('V06 Calend 01'!E32-1))),'V06 Calend 01'!I32),0))+IF((114='V06 Calend 01'!D32),'V06 Calend 01'!J32,0))</f>
        <v>0</v>
      </c>
      <c r="DW32" s="2">
        <f>((IF((115='V06 Calend 01'!C32),('V06 Calend 01'!F32+'V06 Calend 01'!G32),0)+IF(AND(('V06 Calend 01'!E32&gt;0),(115&gt;'V06 Calend 01'!C32),(115&lt;'V06 Calend 01'!D32),(MOD((115-'V06 Calend 01'!C32),6)=0),(((115-'V06 Calend 01'!C32)/6)&lt;='V06 Calend 01'!E32)),IF((115=('V06 Calend 01'!C32+(6*'V06 Calend 01'!E32))),('V06 Calend 01'!H32-('V06 Calend 01'!I32*('V06 Calend 01'!E32-1))),'V06 Calend 01'!I32),0))+IF((115='V06 Calend 01'!D32),'V06 Calend 01'!J32,0))</f>
        <v>0</v>
      </c>
      <c r="DX32" s="2">
        <f>((IF((116='V06 Calend 01'!C32),('V06 Calend 01'!F32+'V06 Calend 01'!G32),0)+IF(AND(('V06 Calend 01'!E32&gt;0),(116&gt;'V06 Calend 01'!C32),(116&lt;'V06 Calend 01'!D32),(MOD((116-'V06 Calend 01'!C32),6)=0),(((116-'V06 Calend 01'!C32)/6)&lt;='V06 Calend 01'!E32)),IF((116=('V06 Calend 01'!C32+(6*'V06 Calend 01'!E32))),('V06 Calend 01'!H32-('V06 Calend 01'!I32*('V06 Calend 01'!E32-1))),'V06 Calend 01'!I32),0))+IF((116='V06 Calend 01'!D32),'V06 Calend 01'!J32,0))</f>
        <v>0</v>
      </c>
      <c r="DY32" s="2">
        <f>((IF((117='V06 Calend 01'!C32),('V06 Calend 01'!F32+'V06 Calend 01'!G32),0)+IF(AND(('V06 Calend 01'!E32&gt;0),(117&gt;'V06 Calend 01'!C32),(117&lt;'V06 Calend 01'!D32),(MOD((117-'V06 Calend 01'!C32),6)=0),(((117-'V06 Calend 01'!C32)/6)&lt;='V06 Calend 01'!E32)),IF((117=('V06 Calend 01'!C32+(6*'V06 Calend 01'!E32))),('V06 Calend 01'!H32-('V06 Calend 01'!I32*('V06 Calend 01'!E32-1))),'V06 Calend 01'!I32),0))+IF((117='V06 Calend 01'!D32),'V06 Calend 01'!J32,0))</f>
        <v>0</v>
      </c>
      <c r="DZ32" s="2">
        <f>((IF((118='V06 Calend 01'!C32),('V06 Calend 01'!F32+'V06 Calend 01'!G32),0)+IF(AND(('V06 Calend 01'!E32&gt;0),(118&gt;'V06 Calend 01'!C32),(118&lt;'V06 Calend 01'!D32),(MOD((118-'V06 Calend 01'!C32),6)=0),(((118-'V06 Calend 01'!C32)/6)&lt;='V06 Calend 01'!E32)),IF((118=('V06 Calend 01'!C32+(6*'V06 Calend 01'!E32))),('V06 Calend 01'!H32-('V06 Calend 01'!I32*('V06 Calend 01'!E32-1))),'V06 Calend 01'!I32),0))+IF((118='V06 Calend 01'!D32),'V06 Calend 01'!J32,0))</f>
        <v>0</v>
      </c>
      <c r="EA32" s="2">
        <f>((IF((119='V06 Calend 01'!C32),('V06 Calend 01'!F32+'V06 Calend 01'!G32),0)+IF(AND(('V06 Calend 01'!E32&gt;0),(119&gt;'V06 Calend 01'!C32),(119&lt;'V06 Calend 01'!D32),(MOD((119-'V06 Calend 01'!C32),6)=0),(((119-'V06 Calend 01'!C32)/6)&lt;='V06 Calend 01'!E32)),IF((119=('V06 Calend 01'!C32+(6*'V06 Calend 01'!E32))),('V06 Calend 01'!H32-('V06 Calend 01'!I32*('V06 Calend 01'!E32-1))),'V06 Calend 01'!I32),0))+IF((119='V06 Calend 01'!D32),'V06 Calend 01'!J32,0))</f>
        <v>0</v>
      </c>
      <c r="EB32" s="2">
        <f>((IF((120='V06 Calend 01'!C32),('V06 Calend 01'!F32+'V06 Calend 01'!G32),0)+IF(AND(('V06 Calend 01'!E32&gt;0),(120&gt;'V06 Calend 01'!C32),(120&lt;'V06 Calend 01'!D32),(MOD((120-'V06 Calend 01'!C32),6)=0),(((120-'V06 Calend 01'!C32)/6)&lt;='V06 Calend 01'!E32)),IF((120=('V06 Calend 01'!C32+(6*'V06 Calend 01'!E32))),('V06 Calend 01'!H32-('V06 Calend 01'!I32*('V06 Calend 01'!E32-1))),'V06 Calend 01'!I32),0))+IF((120='V06 Calend 01'!D32),'V06 Calend 01'!J32,0))</f>
        <v>0</v>
      </c>
      <c r="EC32" s="2">
        <f>((IF((121='V06 Calend 01'!C32),('V06 Calend 01'!F32+'V06 Calend 01'!G32),0)+IF(AND(('V06 Calend 01'!E32&gt;0),(121&gt;'V06 Calend 01'!C32),(121&lt;'V06 Calend 01'!D32),(MOD((121-'V06 Calend 01'!C32),6)=0),(((121-'V06 Calend 01'!C32)/6)&lt;='V06 Calend 01'!E32)),IF((121=('V06 Calend 01'!C32+(6*'V06 Calend 01'!E32))),('V06 Calend 01'!H32-('V06 Calend 01'!I32*('V06 Calend 01'!E32-1))),'V06 Calend 01'!I32),0))+IF((121='V06 Calend 01'!D32),'V06 Calend 01'!J32,0))</f>
        <v>0</v>
      </c>
      <c r="ED32" s="2">
        <f>((IF((122='V06 Calend 01'!C32),('V06 Calend 01'!F32+'V06 Calend 01'!G32),0)+IF(AND(('V06 Calend 01'!E32&gt;0),(122&gt;'V06 Calend 01'!C32),(122&lt;'V06 Calend 01'!D32),(MOD((122-'V06 Calend 01'!C32),6)=0),(((122-'V06 Calend 01'!C32)/6)&lt;='V06 Calend 01'!E32)),IF((122=('V06 Calend 01'!C32+(6*'V06 Calend 01'!E32))),('V06 Calend 01'!H32-('V06 Calend 01'!I32*('V06 Calend 01'!E32-1))),'V06 Calend 01'!I32),0))+IF((122='V06 Calend 01'!D32),'V06 Calend 01'!J32,0))</f>
        <v>0</v>
      </c>
      <c r="EE32" s="2">
        <f>((IF((123='V06 Calend 01'!C32),('V06 Calend 01'!F32+'V06 Calend 01'!G32),0)+IF(AND(('V06 Calend 01'!E32&gt;0),(123&gt;'V06 Calend 01'!C32),(123&lt;'V06 Calend 01'!D32),(MOD((123-'V06 Calend 01'!C32),6)=0),(((123-'V06 Calend 01'!C32)/6)&lt;='V06 Calend 01'!E32)),IF((123=('V06 Calend 01'!C32+(6*'V06 Calend 01'!E32))),('V06 Calend 01'!H32-('V06 Calend 01'!I32*('V06 Calend 01'!E32-1))),'V06 Calend 01'!I32),0))+IF((123='V06 Calend 01'!D32),'V06 Calend 01'!J32,0))</f>
        <v>0</v>
      </c>
      <c r="EF32" s="2">
        <f>((IF((124='V06 Calend 01'!C32),('V06 Calend 01'!F32+'V06 Calend 01'!G32),0)+IF(AND(('V06 Calend 01'!E32&gt;0),(124&gt;'V06 Calend 01'!C32),(124&lt;'V06 Calend 01'!D32),(MOD((124-'V06 Calend 01'!C32),6)=0),(((124-'V06 Calend 01'!C32)/6)&lt;='V06 Calend 01'!E32)),IF((124=('V06 Calend 01'!C32+(6*'V06 Calend 01'!E32))),('V06 Calend 01'!H32-('V06 Calend 01'!I32*('V06 Calend 01'!E32-1))),'V06 Calend 01'!I32),0))+IF((124='V06 Calend 01'!D32),'V06 Calend 01'!J32,0))</f>
        <v>0</v>
      </c>
      <c r="EG32" s="2">
        <f>((IF((125='V06 Calend 01'!C32),('V06 Calend 01'!F32+'V06 Calend 01'!G32),0)+IF(AND(('V06 Calend 01'!E32&gt;0),(125&gt;'V06 Calend 01'!C32),(125&lt;'V06 Calend 01'!D32),(MOD((125-'V06 Calend 01'!C32),6)=0),(((125-'V06 Calend 01'!C32)/6)&lt;='V06 Calend 01'!E32)),IF((125=('V06 Calend 01'!C32+(6*'V06 Calend 01'!E32))),('V06 Calend 01'!H32-('V06 Calend 01'!I32*('V06 Calend 01'!E32-1))),'V06 Calend 01'!I32),0))+IF((125='V06 Calend 01'!D32),'V06 Calend 01'!J32,0))</f>
        <v>0</v>
      </c>
      <c r="EH32" s="2">
        <f>((IF((126='V06 Calend 01'!C32),('V06 Calend 01'!F32+'V06 Calend 01'!G32),0)+IF(AND(('V06 Calend 01'!E32&gt;0),(126&gt;'V06 Calend 01'!C32),(126&lt;'V06 Calend 01'!D32),(MOD((126-'V06 Calend 01'!C32),6)=0),(((126-'V06 Calend 01'!C32)/6)&lt;='V06 Calend 01'!E32)),IF((126=('V06 Calend 01'!C32+(6*'V06 Calend 01'!E32))),('V06 Calend 01'!H32-('V06 Calend 01'!I32*('V06 Calend 01'!E32-1))),'V06 Calend 01'!I32),0))+IF((126='V06 Calend 01'!D32),'V06 Calend 01'!J32,0))</f>
        <v>0</v>
      </c>
      <c r="EI32" s="2">
        <f>((IF((127='V06 Calend 01'!C32),('V06 Calend 01'!F32+'V06 Calend 01'!G32),0)+IF(AND(('V06 Calend 01'!E32&gt;0),(127&gt;'V06 Calend 01'!C32),(127&lt;'V06 Calend 01'!D32),(MOD((127-'V06 Calend 01'!C32),6)=0),(((127-'V06 Calend 01'!C32)/6)&lt;='V06 Calend 01'!E32)),IF((127=('V06 Calend 01'!C32+(6*'V06 Calend 01'!E32))),('V06 Calend 01'!H32-('V06 Calend 01'!I32*('V06 Calend 01'!E32-1))),'V06 Calend 01'!I32),0))+IF((127='V06 Calend 01'!D32),'V06 Calend 01'!J32,0))</f>
        <v>0</v>
      </c>
      <c r="EJ32" s="2">
        <f>((IF((128='V06 Calend 01'!C32),('V06 Calend 01'!F32+'V06 Calend 01'!G32),0)+IF(AND(('V06 Calend 01'!E32&gt;0),(128&gt;'V06 Calend 01'!C32),(128&lt;'V06 Calend 01'!D32),(MOD((128-'V06 Calend 01'!C32),6)=0),(((128-'V06 Calend 01'!C32)/6)&lt;='V06 Calend 01'!E32)),IF((128=('V06 Calend 01'!C32+(6*'V06 Calend 01'!E32))),('V06 Calend 01'!H32-('V06 Calend 01'!I32*('V06 Calend 01'!E32-1))),'V06 Calend 01'!I32),0))+IF((128='V06 Calend 01'!D32),'V06 Calend 01'!J32,0))</f>
        <v>0</v>
      </c>
      <c r="EK32" s="2">
        <f>((IF((129='V06 Calend 01'!C32),('V06 Calend 01'!F32+'V06 Calend 01'!G32),0)+IF(AND(('V06 Calend 01'!E32&gt;0),(129&gt;'V06 Calend 01'!C32),(129&lt;'V06 Calend 01'!D32),(MOD((129-'V06 Calend 01'!C32),6)=0),(((129-'V06 Calend 01'!C32)/6)&lt;='V06 Calend 01'!E32)),IF((129=('V06 Calend 01'!C32+(6*'V06 Calend 01'!E32))),('V06 Calend 01'!H32-('V06 Calend 01'!I32*('V06 Calend 01'!E32-1))),'V06 Calend 01'!I32),0))+IF((129='V06 Calend 01'!D32),'V06 Calend 01'!J32,0))</f>
        <v>0</v>
      </c>
      <c r="EL32" s="2">
        <f>((IF((130='V06 Calend 01'!C32),('V06 Calend 01'!F32+'V06 Calend 01'!G32),0)+IF(AND(('V06 Calend 01'!E32&gt;0),(130&gt;'V06 Calend 01'!C32),(130&lt;'V06 Calend 01'!D32),(MOD((130-'V06 Calend 01'!C32),6)=0),(((130-'V06 Calend 01'!C32)/6)&lt;='V06 Calend 01'!E32)),IF((130=('V06 Calend 01'!C32+(6*'V06 Calend 01'!E32))),('V06 Calend 01'!H32-('V06 Calend 01'!I32*('V06 Calend 01'!E32-1))),'V06 Calend 01'!I32),0))+IF((130='V06 Calend 01'!D32),'V06 Calend 01'!J32,0))</f>
        <v>0</v>
      </c>
      <c r="EM32" s="2">
        <f>((IF((131='V06 Calend 01'!C32),('V06 Calend 01'!F32+'V06 Calend 01'!G32),0)+IF(AND(('V06 Calend 01'!E32&gt;0),(131&gt;'V06 Calend 01'!C32),(131&lt;'V06 Calend 01'!D32),(MOD((131-'V06 Calend 01'!C32),6)=0),(((131-'V06 Calend 01'!C32)/6)&lt;='V06 Calend 01'!E32)),IF((131=('V06 Calend 01'!C32+(6*'V06 Calend 01'!E32))),('V06 Calend 01'!H32-('V06 Calend 01'!I32*('V06 Calend 01'!E32-1))),'V06 Calend 01'!I32),0))+IF((131='V06 Calend 01'!D32),'V06 Calend 01'!J32,0))</f>
        <v>0</v>
      </c>
      <c r="EN32" s="2">
        <f>((IF((132='V06 Calend 01'!C32),('V06 Calend 01'!F32+'V06 Calend 01'!G32),0)+IF(AND(('V06 Calend 01'!E32&gt;0),(132&gt;'V06 Calend 01'!C32),(132&lt;'V06 Calend 01'!D32),(MOD((132-'V06 Calend 01'!C32),6)=0),(((132-'V06 Calend 01'!C32)/6)&lt;='V06 Calend 01'!E32)),IF((132=('V06 Calend 01'!C32+(6*'V06 Calend 01'!E32))),('V06 Calend 01'!H32-('V06 Calend 01'!I32*('V06 Calend 01'!E32-1))),'V06 Calend 01'!I32),0))+IF((132='V06 Calend 01'!D32),'V06 Calend 01'!J32,0))</f>
        <v>0</v>
      </c>
      <c r="EO32" s="2">
        <f>((IF((133='V06 Calend 01'!C32),('V06 Calend 01'!F32+'V06 Calend 01'!G32),0)+IF(AND(('V06 Calend 01'!E32&gt;0),(133&gt;'V06 Calend 01'!C32),(133&lt;'V06 Calend 01'!D32),(MOD((133-'V06 Calend 01'!C32),6)=0),(((133-'V06 Calend 01'!C32)/6)&lt;='V06 Calend 01'!E32)),IF((133=('V06 Calend 01'!C32+(6*'V06 Calend 01'!E32))),('V06 Calend 01'!H32-('V06 Calend 01'!I32*('V06 Calend 01'!E32-1))),'V06 Calend 01'!I32),0))+IF((133='V06 Calend 01'!D32),'V06 Calend 01'!J32,0))</f>
        <v>0</v>
      </c>
      <c r="EP32" s="2">
        <f>((IF((134='V06 Calend 01'!C32),('V06 Calend 01'!F32+'V06 Calend 01'!G32),0)+IF(AND(('V06 Calend 01'!E32&gt;0),(134&gt;'V06 Calend 01'!C32),(134&lt;'V06 Calend 01'!D32),(MOD((134-'V06 Calend 01'!C32),6)=0),(((134-'V06 Calend 01'!C32)/6)&lt;='V06 Calend 01'!E32)),IF((134=('V06 Calend 01'!C32+(6*'V06 Calend 01'!E32))),('V06 Calend 01'!H32-('V06 Calend 01'!I32*('V06 Calend 01'!E32-1))),'V06 Calend 01'!I32),0))+IF((134='V06 Calend 01'!D32),'V06 Calend 01'!J32,0))</f>
        <v>0</v>
      </c>
      <c r="EQ32" s="2">
        <f>((IF((135='V06 Calend 01'!C32),('V06 Calend 01'!F32+'V06 Calend 01'!G32),0)+IF(AND(('V06 Calend 01'!E32&gt;0),(135&gt;'V06 Calend 01'!C32),(135&lt;'V06 Calend 01'!D32),(MOD((135-'V06 Calend 01'!C32),6)=0),(((135-'V06 Calend 01'!C32)/6)&lt;='V06 Calend 01'!E32)),IF((135=('V06 Calend 01'!C32+(6*'V06 Calend 01'!E32))),('V06 Calend 01'!H32-('V06 Calend 01'!I32*('V06 Calend 01'!E32-1))),'V06 Calend 01'!I32),0))+IF((135='V06 Calend 01'!D32),'V06 Calend 01'!J32,0))</f>
        <v>0</v>
      </c>
      <c r="ER32" s="2">
        <f>((IF((136='V06 Calend 01'!C32),('V06 Calend 01'!F32+'V06 Calend 01'!G32),0)+IF(AND(('V06 Calend 01'!E32&gt;0),(136&gt;'V06 Calend 01'!C32),(136&lt;'V06 Calend 01'!D32),(MOD((136-'V06 Calend 01'!C32),6)=0),(((136-'V06 Calend 01'!C32)/6)&lt;='V06 Calend 01'!E32)),IF((136=('V06 Calend 01'!C32+(6*'V06 Calend 01'!E32))),('V06 Calend 01'!H32-('V06 Calend 01'!I32*('V06 Calend 01'!E32-1))),'V06 Calend 01'!I32),0))+IF((136='V06 Calend 01'!D32),'V06 Calend 01'!J32,0))</f>
        <v>0</v>
      </c>
      <c r="ES32" s="2">
        <f>((IF((137='V06 Calend 01'!C32),('V06 Calend 01'!F32+'V06 Calend 01'!G32),0)+IF(AND(('V06 Calend 01'!E32&gt;0),(137&gt;'V06 Calend 01'!C32),(137&lt;'V06 Calend 01'!D32),(MOD((137-'V06 Calend 01'!C32),6)=0),(((137-'V06 Calend 01'!C32)/6)&lt;='V06 Calend 01'!E32)),IF((137=('V06 Calend 01'!C32+(6*'V06 Calend 01'!E32))),('V06 Calend 01'!H32-('V06 Calend 01'!I32*('V06 Calend 01'!E32-1))),'V06 Calend 01'!I32),0))+IF((137='V06 Calend 01'!D32),'V06 Calend 01'!J32,0))</f>
        <v>0</v>
      </c>
      <c r="ET32" s="2">
        <f>((IF((138='V06 Calend 01'!C32),('V06 Calend 01'!F32+'V06 Calend 01'!G32),0)+IF(AND(('V06 Calend 01'!E32&gt;0),(138&gt;'V06 Calend 01'!C32),(138&lt;'V06 Calend 01'!D32),(MOD((138-'V06 Calend 01'!C32),6)=0),(((138-'V06 Calend 01'!C32)/6)&lt;='V06 Calend 01'!E32)),IF((138=('V06 Calend 01'!C32+(6*'V06 Calend 01'!E32))),('V06 Calend 01'!H32-('V06 Calend 01'!I32*('V06 Calend 01'!E32-1))),'V06 Calend 01'!I32),0))+IF((138='V06 Calend 01'!D32),'V06 Calend 01'!J32,0))</f>
        <v>0</v>
      </c>
      <c r="EU32" s="2">
        <f>((IF((139='V06 Calend 01'!C32),('V06 Calend 01'!F32+'V06 Calend 01'!G32),0)+IF(AND(('V06 Calend 01'!E32&gt;0),(139&gt;'V06 Calend 01'!C32),(139&lt;'V06 Calend 01'!D32),(MOD((139-'V06 Calend 01'!C32),6)=0),(((139-'V06 Calend 01'!C32)/6)&lt;='V06 Calend 01'!E32)),IF((139=('V06 Calend 01'!C32+(6*'V06 Calend 01'!E32))),('V06 Calend 01'!H32-('V06 Calend 01'!I32*('V06 Calend 01'!E32-1))),'V06 Calend 01'!I32),0))+IF((139='V06 Calend 01'!D32),'V06 Calend 01'!J32,0))</f>
        <v>0</v>
      </c>
      <c r="EV32" s="2">
        <f>((IF((140='V06 Calend 01'!C32),('V06 Calend 01'!F32+'V06 Calend 01'!G32),0)+IF(AND(('V06 Calend 01'!E32&gt;0),(140&gt;'V06 Calend 01'!C32),(140&lt;'V06 Calend 01'!D32),(MOD((140-'V06 Calend 01'!C32),6)=0),(((140-'V06 Calend 01'!C32)/6)&lt;='V06 Calend 01'!E32)),IF((140=('V06 Calend 01'!C32+(6*'V06 Calend 01'!E32))),('V06 Calend 01'!H32-('V06 Calend 01'!I32*('V06 Calend 01'!E32-1))),'V06 Calend 01'!I32),0))+IF((140='V06 Calend 01'!D32),'V06 Calend 01'!J32,0))</f>
        <v>0</v>
      </c>
      <c r="EW32" s="2">
        <f>((IF((141='V06 Calend 01'!C32),('V06 Calend 01'!F32+'V06 Calend 01'!G32),0)+IF(AND(('V06 Calend 01'!E32&gt;0),(141&gt;'V06 Calend 01'!C32),(141&lt;'V06 Calend 01'!D32),(MOD((141-'V06 Calend 01'!C32),6)=0),(((141-'V06 Calend 01'!C32)/6)&lt;='V06 Calend 01'!E32)),IF((141=('V06 Calend 01'!C32+(6*'V06 Calend 01'!E32))),('V06 Calend 01'!H32-('V06 Calend 01'!I32*('V06 Calend 01'!E32-1))),'V06 Calend 01'!I32),0))+IF((141='V06 Calend 01'!D32),'V06 Calend 01'!J32,0))</f>
        <v>0</v>
      </c>
      <c r="EX32" s="2">
        <f>((IF((142='V06 Calend 01'!C32),('V06 Calend 01'!F32+'V06 Calend 01'!G32),0)+IF(AND(('V06 Calend 01'!E32&gt;0),(142&gt;'V06 Calend 01'!C32),(142&lt;'V06 Calend 01'!D32),(MOD((142-'V06 Calend 01'!C32),6)=0),(((142-'V06 Calend 01'!C32)/6)&lt;='V06 Calend 01'!E32)),IF((142=('V06 Calend 01'!C32+(6*'V06 Calend 01'!E32))),('V06 Calend 01'!H32-('V06 Calend 01'!I32*('V06 Calend 01'!E32-1))),'V06 Calend 01'!I32),0))+IF((142='V06 Calend 01'!D32),'V06 Calend 01'!J32,0))</f>
        <v>0</v>
      </c>
      <c r="EY32" s="2">
        <f>((IF((143='V06 Calend 01'!C32),('V06 Calend 01'!F32+'V06 Calend 01'!G32),0)+IF(AND(('V06 Calend 01'!E32&gt;0),(143&gt;'V06 Calend 01'!C32),(143&lt;'V06 Calend 01'!D32),(MOD((143-'V06 Calend 01'!C32),6)=0),(((143-'V06 Calend 01'!C32)/6)&lt;='V06 Calend 01'!E32)),IF((143=('V06 Calend 01'!C32+(6*'V06 Calend 01'!E32))),('V06 Calend 01'!H32-('V06 Calend 01'!I32*('V06 Calend 01'!E32-1))),'V06 Calend 01'!I32),0))+IF((143='V06 Calend 01'!D32),'V06 Calend 01'!J32,0))</f>
        <v>0</v>
      </c>
      <c r="EZ32" s="2">
        <f>((IF((144='V06 Calend 01'!C32),('V06 Calend 01'!F32+'V06 Calend 01'!G32),0)+IF(AND(('V06 Calend 01'!E32&gt;0),(144&gt;'V06 Calend 01'!C32),(144&lt;'V06 Calend 01'!D32),(MOD((144-'V06 Calend 01'!C32),6)=0),(((144-'V06 Calend 01'!C32)/6)&lt;='V06 Calend 01'!E32)),IF((144=('V06 Calend 01'!C32+(6*'V06 Calend 01'!E32))),('V06 Calend 01'!H32-('V06 Calend 01'!I32*('V06 Calend 01'!E32-1))),'V06 Calend 01'!I32),0))+IF((144='V06 Calend 01'!D32),'V06 Calend 01'!J32,0))</f>
        <v>0</v>
      </c>
      <c r="FA32" s="2">
        <f>((IF((145='V06 Calend 01'!C32),('V06 Calend 01'!F32+'V06 Calend 01'!G32),0)+IF(AND(('V06 Calend 01'!E32&gt;0),(145&gt;'V06 Calend 01'!C32),(145&lt;'V06 Calend 01'!D32),(MOD((145-'V06 Calend 01'!C32),6)=0),(((145-'V06 Calend 01'!C32)/6)&lt;='V06 Calend 01'!E32)),IF((145=('V06 Calend 01'!C32+(6*'V06 Calend 01'!E32))),('V06 Calend 01'!H32-('V06 Calend 01'!I32*('V06 Calend 01'!E32-1))),'V06 Calend 01'!I32),0))+IF((145='V06 Calend 01'!D32),'V06 Calend 01'!J32,0))</f>
        <v>0</v>
      </c>
      <c r="FB32" s="2">
        <f>((IF((146='V06 Calend 01'!C32),('V06 Calend 01'!F32+'V06 Calend 01'!G32),0)+IF(AND(('V06 Calend 01'!E32&gt;0),(146&gt;'V06 Calend 01'!C32),(146&lt;'V06 Calend 01'!D32),(MOD((146-'V06 Calend 01'!C32),6)=0),(((146-'V06 Calend 01'!C32)/6)&lt;='V06 Calend 01'!E32)),IF((146=('V06 Calend 01'!C32+(6*'V06 Calend 01'!E32))),('V06 Calend 01'!H32-('V06 Calend 01'!I32*('V06 Calend 01'!E32-1))),'V06 Calend 01'!I32),0))+IF((146='V06 Calend 01'!D32),'V06 Calend 01'!J32,0))</f>
        <v>0</v>
      </c>
      <c r="FC32" s="2">
        <f>((IF((147='V06 Calend 01'!C32),('V06 Calend 01'!F32+'V06 Calend 01'!G32),0)+IF(AND(('V06 Calend 01'!E32&gt;0),(147&gt;'V06 Calend 01'!C32),(147&lt;'V06 Calend 01'!D32),(MOD((147-'V06 Calend 01'!C32),6)=0),(((147-'V06 Calend 01'!C32)/6)&lt;='V06 Calend 01'!E32)),IF((147=('V06 Calend 01'!C32+(6*'V06 Calend 01'!E32))),('V06 Calend 01'!H32-('V06 Calend 01'!I32*('V06 Calend 01'!E32-1))),'V06 Calend 01'!I32),0))+IF((147='V06 Calend 01'!D32),'V06 Calend 01'!J32,0))</f>
        <v>0</v>
      </c>
      <c r="FD32" s="2">
        <f>((IF((148='V06 Calend 01'!C32),('V06 Calend 01'!F32+'V06 Calend 01'!G32),0)+IF(AND(('V06 Calend 01'!E32&gt;0),(148&gt;'V06 Calend 01'!C32),(148&lt;'V06 Calend 01'!D32),(MOD((148-'V06 Calend 01'!C32),6)=0),(((148-'V06 Calend 01'!C32)/6)&lt;='V06 Calend 01'!E32)),IF((148=('V06 Calend 01'!C32+(6*'V06 Calend 01'!E32))),('V06 Calend 01'!H32-('V06 Calend 01'!I32*('V06 Calend 01'!E32-1))),'V06 Calend 01'!I32),0))+IF((148='V06 Calend 01'!D32),'V06 Calend 01'!J32,0))</f>
        <v>0</v>
      </c>
      <c r="FE32" s="2">
        <f>((IF((149='V06 Calend 01'!C32),('V06 Calend 01'!F32+'V06 Calend 01'!G32),0)+IF(AND(('V06 Calend 01'!E32&gt;0),(149&gt;'V06 Calend 01'!C32),(149&lt;'V06 Calend 01'!D32),(MOD((149-'V06 Calend 01'!C32),6)=0),(((149-'V06 Calend 01'!C32)/6)&lt;='V06 Calend 01'!E32)),IF((149=('V06 Calend 01'!C32+(6*'V06 Calend 01'!E32))),('V06 Calend 01'!H32-('V06 Calend 01'!I32*('V06 Calend 01'!E32-1))),'V06 Calend 01'!I32),0))+IF((149='V06 Calend 01'!D32),'V06 Calend 01'!J32,0))</f>
        <v>0</v>
      </c>
      <c r="FF32" s="2">
        <f>((IF((150='V06 Calend 01'!C32),('V06 Calend 01'!F32+'V06 Calend 01'!G32),0)+IF(AND(('V06 Calend 01'!E32&gt;0),(150&gt;'V06 Calend 01'!C32),(150&lt;'V06 Calend 01'!D32),(MOD((150-'V06 Calend 01'!C32),6)=0),(((150-'V06 Calend 01'!C32)/6)&lt;='V06 Calend 01'!E32)),IF((150=('V06 Calend 01'!C32+(6*'V06 Calend 01'!E32))),('V06 Calend 01'!H32-('V06 Calend 01'!I32*('V06 Calend 01'!E32-1))),'V06 Calend 01'!I32),0))+IF((150='V06 Calend 01'!D32),'V06 Calend 01'!J32,0))</f>
        <v>0</v>
      </c>
      <c r="FG32" s="2">
        <f>((IF((151='V06 Calend 01'!C32),('V06 Calend 01'!F32+'V06 Calend 01'!G32),0)+IF(AND(('V06 Calend 01'!E32&gt;0),(151&gt;'V06 Calend 01'!C32),(151&lt;'V06 Calend 01'!D32),(MOD((151-'V06 Calend 01'!C32),6)=0),(((151-'V06 Calend 01'!C32)/6)&lt;='V06 Calend 01'!E32)),IF((151=('V06 Calend 01'!C32+(6*'V06 Calend 01'!E32))),('V06 Calend 01'!H32-('V06 Calend 01'!I32*('V06 Calend 01'!E32-1))),'V06 Calend 01'!I32),0))+IF((151='V06 Calend 01'!D32),'V06 Calend 01'!J32,0))</f>
        <v>0</v>
      </c>
      <c r="FH32" s="2">
        <f>((IF((152='V06 Calend 01'!C32),('V06 Calend 01'!F32+'V06 Calend 01'!G32),0)+IF(AND(('V06 Calend 01'!E32&gt;0),(152&gt;'V06 Calend 01'!C32),(152&lt;'V06 Calend 01'!D32),(MOD((152-'V06 Calend 01'!C32),6)=0),(((152-'V06 Calend 01'!C32)/6)&lt;='V06 Calend 01'!E32)),IF((152=('V06 Calend 01'!C32+(6*'V06 Calend 01'!E32))),('V06 Calend 01'!H32-('V06 Calend 01'!I32*('V06 Calend 01'!E32-1))),'V06 Calend 01'!I32),0))+IF((152='V06 Calend 01'!D32),'V06 Calend 01'!J32,0))</f>
        <v>0</v>
      </c>
      <c r="FI32" s="2">
        <f>((IF((153='V06 Calend 01'!C32),('V06 Calend 01'!F32+'V06 Calend 01'!G32),0)+IF(AND(('V06 Calend 01'!E32&gt;0),(153&gt;'V06 Calend 01'!C32),(153&lt;'V06 Calend 01'!D32),(MOD((153-'V06 Calend 01'!C32),6)=0),(((153-'V06 Calend 01'!C32)/6)&lt;='V06 Calend 01'!E32)),IF((153=('V06 Calend 01'!C32+(6*'V06 Calend 01'!E32))),('V06 Calend 01'!H32-('V06 Calend 01'!I32*('V06 Calend 01'!E32-1))),'V06 Calend 01'!I32),0))+IF((153='V06 Calend 01'!D32),'V06 Calend 01'!J32,0))</f>
        <v>0</v>
      </c>
      <c r="FJ32" s="2">
        <f>((IF((154='V06 Calend 01'!C32),('V06 Calend 01'!F32+'V06 Calend 01'!G32),0)+IF(AND(('V06 Calend 01'!E32&gt;0),(154&gt;'V06 Calend 01'!C32),(154&lt;'V06 Calend 01'!D32),(MOD((154-'V06 Calend 01'!C32),6)=0),(((154-'V06 Calend 01'!C32)/6)&lt;='V06 Calend 01'!E32)),IF((154=('V06 Calend 01'!C32+(6*'V06 Calend 01'!E32))),('V06 Calend 01'!H32-('V06 Calend 01'!I32*('V06 Calend 01'!E32-1))),'V06 Calend 01'!I32),0))+IF((154='V06 Calend 01'!D32),'V06 Calend 01'!J32,0))</f>
        <v>0</v>
      </c>
      <c r="FK32" s="2">
        <f>((IF((155='V06 Calend 01'!C32),('V06 Calend 01'!F32+'V06 Calend 01'!G32),0)+IF(AND(('V06 Calend 01'!E32&gt;0),(155&gt;'V06 Calend 01'!C32),(155&lt;'V06 Calend 01'!D32),(MOD((155-'V06 Calend 01'!C32),6)=0),(((155-'V06 Calend 01'!C32)/6)&lt;='V06 Calend 01'!E32)),IF((155=('V06 Calend 01'!C32+(6*'V06 Calend 01'!E32))),('V06 Calend 01'!H32-('V06 Calend 01'!I32*('V06 Calend 01'!E32-1))),'V06 Calend 01'!I32),0))+IF((155='V06 Calend 01'!D32),'V06 Calend 01'!J32,0))</f>
        <v>0</v>
      </c>
      <c r="FL32" s="2">
        <f>((IF((156='V06 Calend 01'!C32),('V06 Calend 01'!F32+'V06 Calend 01'!G32),0)+IF(AND(('V06 Calend 01'!E32&gt;0),(156&gt;'V06 Calend 01'!C32),(156&lt;'V06 Calend 01'!D32),(MOD((156-'V06 Calend 01'!C32),6)=0),(((156-'V06 Calend 01'!C32)/6)&lt;='V06 Calend 01'!E32)),IF((156=('V06 Calend 01'!C32+(6*'V06 Calend 01'!E32))),('V06 Calend 01'!H32-('V06 Calend 01'!I32*('V06 Calend 01'!E32-1))),'V06 Calend 01'!I32),0))+IF((156='V06 Calend 01'!D32),'V06 Calend 01'!J32,0))</f>
        <v>0</v>
      </c>
      <c r="FM32" s="2">
        <f>((IF((157='V06 Calend 01'!C32),('V06 Calend 01'!F32+'V06 Calend 01'!G32),0)+IF(AND(('V06 Calend 01'!E32&gt;0),(157&gt;'V06 Calend 01'!C32),(157&lt;'V06 Calend 01'!D32),(MOD((157-'V06 Calend 01'!C32),6)=0),(((157-'V06 Calend 01'!C32)/6)&lt;='V06 Calend 01'!E32)),IF((157=('V06 Calend 01'!C32+(6*'V06 Calend 01'!E32))),('V06 Calend 01'!H32-('V06 Calend 01'!I32*('V06 Calend 01'!E32-1))),'V06 Calend 01'!I32),0))+IF((157='V06 Calend 01'!D32),'V06 Calend 01'!J32,0))</f>
        <v>0</v>
      </c>
      <c r="FN32" s="2">
        <f>((IF((158='V06 Calend 01'!C32),('V06 Calend 01'!F32+'V06 Calend 01'!G32),0)+IF(AND(('V06 Calend 01'!E32&gt;0),(158&gt;'V06 Calend 01'!C32),(158&lt;'V06 Calend 01'!D32),(MOD((158-'V06 Calend 01'!C32),6)=0),(((158-'V06 Calend 01'!C32)/6)&lt;='V06 Calend 01'!E32)),IF((158=('V06 Calend 01'!C32+(6*'V06 Calend 01'!E32))),('V06 Calend 01'!H32-('V06 Calend 01'!I32*('V06 Calend 01'!E32-1))),'V06 Calend 01'!I32),0))+IF((158='V06 Calend 01'!D32),'V06 Calend 01'!J32,0))</f>
        <v>0</v>
      </c>
      <c r="FO32" s="2">
        <f>((IF((159='V06 Calend 01'!C32),('V06 Calend 01'!F32+'V06 Calend 01'!G32),0)+IF(AND(('V06 Calend 01'!E32&gt;0),(159&gt;'V06 Calend 01'!C32),(159&lt;'V06 Calend 01'!D32),(MOD((159-'V06 Calend 01'!C32),6)=0),(((159-'V06 Calend 01'!C32)/6)&lt;='V06 Calend 01'!E32)),IF((159=('V06 Calend 01'!C32+(6*'V06 Calend 01'!E32))),('V06 Calend 01'!H32-('V06 Calend 01'!I32*('V06 Calend 01'!E32-1))),'V06 Calend 01'!I32),0))+IF((159='V06 Calend 01'!D32),'V06 Calend 01'!J32,0))</f>
        <v>0</v>
      </c>
      <c r="FP32" s="2">
        <f>((IF((160='V06 Calend 01'!C32),('V06 Calend 01'!F32+'V06 Calend 01'!G32),0)+IF(AND(('V06 Calend 01'!E32&gt;0),(160&gt;'V06 Calend 01'!C32),(160&lt;'V06 Calend 01'!D32),(MOD((160-'V06 Calend 01'!C32),6)=0),(((160-'V06 Calend 01'!C32)/6)&lt;='V06 Calend 01'!E32)),IF((160=('V06 Calend 01'!C32+(6*'V06 Calend 01'!E32))),('V06 Calend 01'!H32-('V06 Calend 01'!I32*('V06 Calend 01'!E32-1))),'V06 Calend 01'!I32),0))+IF((160='V06 Calend 01'!D32),'V06 Calend 01'!J32,0))</f>
        <v>0</v>
      </c>
      <c r="FQ32" s="2">
        <f>((IF((161='V06 Calend 01'!C32),('V06 Calend 01'!F32+'V06 Calend 01'!G32),0)+IF(AND(('V06 Calend 01'!E32&gt;0),(161&gt;'V06 Calend 01'!C32),(161&lt;'V06 Calend 01'!D32),(MOD((161-'V06 Calend 01'!C32),6)=0),(((161-'V06 Calend 01'!C32)/6)&lt;='V06 Calend 01'!E32)),IF((161=('V06 Calend 01'!C32+(6*'V06 Calend 01'!E32))),('V06 Calend 01'!H32-('V06 Calend 01'!I32*('V06 Calend 01'!E32-1))),'V06 Calend 01'!I32),0))+IF((161='V06 Calend 01'!D32),'V06 Calend 01'!J32,0))</f>
        <v>0</v>
      </c>
      <c r="FR32" s="2">
        <f>((IF((162='V06 Calend 01'!C32),('V06 Calend 01'!F32+'V06 Calend 01'!G32),0)+IF(AND(('V06 Calend 01'!E32&gt;0),(162&gt;'V06 Calend 01'!C32),(162&lt;'V06 Calend 01'!D32),(MOD((162-'V06 Calend 01'!C32),6)=0),(((162-'V06 Calend 01'!C32)/6)&lt;='V06 Calend 01'!E32)),IF((162=('V06 Calend 01'!C32+(6*'V06 Calend 01'!E32))),('V06 Calend 01'!H32-('V06 Calend 01'!I32*('V06 Calend 01'!E32-1))),'V06 Calend 01'!I32),0))+IF((162='V06 Calend 01'!D32),'V06 Calend 01'!J32,0))</f>
        <v>0</v>
      </c>
      <c r="FS32" s="2">
        <f>((IF((163='V06 Calend 01'!C32),('V06 Calend 01'!F32+'V06 Calend 01'!G32),0)+IF(AND(('V06 Calend 01'!E32&gt;0),(163&gt;'V06 Calend 01'!C32),(163&lt;'V06 Calend 01'!D32),(MOD((163-'V06 Calend 01'!C32),6)=0),(((163-'V06 Calend 01'!C32)/6)&lt;='V06 Calend 01'!E32)),IF((163=('V06 Calend 01'!C32+(6*'V06 Calend 01'!E32))),('V06 Calend 01'!H32-('V06 Calend 01'!I32*('V06 Calend 01'!E32-1))),'V06 Calend 01'!I32),0))+IF((163='V06 Calend 01'!D32),'V06 Calend 01'!J32,0))</f>
        <v>0</v>
      </c>
      <c r="FT32" s="2">
        <f>((IF((164='V06 Calend 01'!C32),('V06 Calend 01'!F32+'V06 Calend 01'!G32),0)+IF(AND(('V06 Calend 01'!E32&gt;0),(164&gt;'V06 Calend 01'!C32),(164&lt;'V06 Calend 01'!D32),(MOD((164-'V06 Calend 01'!C32),6)=0),(((164-'V06 Calend 01'!C32)/6)&lt;='V06 Calend 01'!E32)),IF((164=('V06 Calend 01'!C32+(6*'V06 Calend 01'!E32))),('V06 Calend 01'!H32-('V06 Calend 01'!I32*('V06 Calend 01'!E32-1))),'V06 Calend 01'!I32),0))+IF((164='V06 Calend 01'!D32),'V06 Calend 01'!J32,0))</f>
        <v>0</v>
      </c>
      <c r="FU32" s="2">
        <f>((IF((165='V06 Calend 01'!C32),('V06 Calend 01'!F32+'V06 Calend 01'!G32),0)+IF(AND(('V06 Calend 01'!E32&gt;0),(165&gt;'V06 Calend 01'!C32),(165&lt;'V06 Calend 01'!D32),(MOD((165-'V06 Calend 01'!C32),6)=0),(((165-'V06 Calend 01'!C32)/6)&lt;='V06 Calend 01'!E32)),IF((165=('V06 Calend 01'!C32+(6*'V06 Calend 01'!E32))),('V06 Calend 01'!H32-('V06 Calend 01'!I32*('V06 Calend 01'!E32-1))),'V06 Calend 01'!I32),0))+IF((165='V06 Calend 01'!D32),'V06 Calend 01'!J32,0))</f>
        <v>0</v>
      </c>
      <c r="FV32" s="2">
        <f>((IF((166='V06 Calend 01'!C32),('V06 Calend 01'!F32+'V06 Calend 01'!G32),0)+IF(AND(('V06 Calend 01'!E32&gt;0),(166&gt;'V06 Calend 01'!C32),(166&lt;'V06 Calend 01'!D32),(MOD((166-'V06 Calend 01'!C32),6)=0),(((166-'V06 Calend 01'!C32)/6)&lt;='V06 Calend 01'!E32)),IF((166=('V06 Calend 01'!C32+(6*'V06 Calend 01'!E32))),('V06 Calend 01'!H32-('V06 Calend 01'!I32*('V06 Calend 01'!E32-1))),'V06 Calend 01'!I32),0))+IF((166='V06 Calend 01'!D32),'V06 Calend 01'!J32,0))</f>
        <v>0</v>
      </c>
      <c r="FW32" s="2">
        <f>((IF((167='V06 Calend 01'!C32),('V06 Calend 01'!F32+'V06 Calend 01'!G32),0)+IF(AND(('V06 Calend 01'!E32&gt;0),(167&gt;'V06 Calend 01'!C32),(167&lt;'V06 Calend 01'!D32),(MOD((167-'V06 Calend 01'!C32),6)=0),(((167-'V06 Calend 01'!C32)/6)&lt;='V06 Calend 01'!E32)),IF((167=('V06 Calend 01'!C32+(6*'V06 Calend 01'!E32))),('V06 Calend 01'!H32-('V06 Calend 01'!I32*('V06 Calend 01'!E32-1))),'V06 Calend 01'!I32),0))+IF((167='V06 Calend 01'!D32),'V06 Calend 01'!J32,0))</f>
        <v>0</v>
      </c>
      <c r="FX32" s="2">
        <f>((IF((168='V06 Calend 01'!C32),('V06 Calend 01'!F32+'V06 Calend 01'!G32),0)+IF(AND(('V06 Calend 01'!E32&gt;0),(168&gt;'V06 Calend 01'!C32),(168&lt;'V06 Calend 01'!D32),(MOD((168-'V06 Calend 01'!C32),6)=0),(((168-'V06 Calend 01'!C32)/6)&lt;='V06 Calend 01'!E32)),IF((168=('V06 Calend 01'!C32+(6*'V06 Calend 01'!E32))),('V06 Calend 01'!H32-('V06 Calend 01'!I32*('V06 Calend 01'!E32-1))),'V06 Calend 01'!I32),0))+IF((168='V06 Calend 01'!D32),'V06 Calend 01'!J32,0))</f>
        <v>0</v>
      </c>
      <c r="FY32" s="2">
        <f>((IF((169='V06 Calend 01'!C32),('V06 Calend 01'!F32+'V06 Calend 01'!G32),0)+IF(AND(('V06 Calend 01'!E32&gt;0),(169&gt;'V06 Calend 01'!C32),(169&lt;'V06 Calend 01'!D32),(MOD((169-'V06 Calend 01'!C32),6)=0),(((169-'V06 Calend 01'!C32)/6)&lt;='V06 Calend 01'!E32)),IF((169=('V06 Calend 01'!C32+(6*'V06 Calend 01'!E32))),('V06 Calend 01'!H32-('V06 Calend 01'!I32*('V06 Calend 01'!E32-1))),'V06 Calend 01'!I32),0))+IF((169='V06 Calend 01'!D32),'V06 Calend 01'!J32,0))</f>
        <v>0</v>
      </c>
      <c r="FZ32" s="2">
        <f>((IF((170='V06 Calend 01'!C32),('V06 Calend 01'!F32+'V06 Calend 01'!G32),0)+IF(AND(('V06 Calend 01'!E32&gt;0),(170&gt;'V06 Calend 01'!C32),(170&lt;'V06 Calend 01'!D32),(MOD((170-'V06 Calend 01'!C32),6)=0),(((170-'V06 Calend 01'!C32)/6)&lt;='V06 Calend 01'!E32)),IF((170=('V06 Calend 01'!C32+(6*'V06 Calend 01'!E32))),('V06 Calend 01'!H32-('V06 Calend 01'!I32*('V06 Calend 01'!E32-1))),'V06 Calend 01'!I32),0))+IF((170='V06 Calend 01'!D32),'V06 Calend 01'!J32,0))</f>
        <v>0</v>
      </c>
      <c r="GA32" s="2">
        <f>((IF((171='V06 Calend 01'!C32),('V06 Calend 01'!F32+'V06 Calend 01'!G32),0)+IF(AND(('V06 Calend 01'!E32&gt;0),(171&gt;'V06 Calend 01'!C32),(171&lt;'V06 Calend 01'!D32),(MOD((171-'V06 Calend 01'!C32),6)=0),(((171-'V06 Calend 01'!C32)/6)&lt;='V06 Calend 01'!E32)),IF((171=('V06 Calend 01'!C32+(6*'V06 Calend 01'!E32))),('V06 Calend 01'!H32-('V06 Calend 01'!I32*('V06 Calend 01'!E32-1))),'V06 Calend 01'!I32),0))+IF((171='V06 Calend 01'!D32),'V06 Calend 01'!J32,0))</f>
        <v>0</v>
      </c>
      <c r="GB32" s="2">
        <f>((IF((172='V06 Calend 01'!C32),('V06 Calend 01'!F32+'V06 Calend 01'!G32),0)+IF(AND(('V06 Calend 01'!E32&gt;0),(172&gt;'V06 Calend 01'!C32),(172&lt;'V06 Calend 01'!D32),(MOD((172-'V06 Calend 01'!C32),6)=0),(((172-'V06 Calend 01'!C32)/6)&lt;='V06 Calend 01'!E32)),IF((172=('V06 Calend 01'!C32+(6*'V06 Calend 01'!E32))),('V06 Calend 01'!H32-('V06 Calend 01'!I32*('V06 Calend 01'!E32-1))),'V06 Calend 01'!I32),0))+IF((172='V06 Calend 01'!D32),'V06 Calend 01'!J32,0))</f>
        <v>0</v>
      </c>
      <c r="GC32" s="2">
        <f>((IF((173='V06 Calend 01'!C32),('V06 Calend 01'!F32+'V06 Calend 01'!G32),0)+IF(AND(('V06 Calend 01'!E32&gt;0),(173&gt;'V06 Calend 01'!C32),(173&lt;'V06 Calend 01'!D32),(MOD((173-'V06 Calend 01'!C32),6)=0),(((173-'V06 Calend 01'!C32)/6)&lt;='V06 Calend 01'!E32)),IF((173=('V06 Calend 01'!C32+(6*'V06 Calend 01'!E32))),('V06 Calend 01'!H32-('V06 Calend 01'!I32*('V06 Calend 01'!E32-1))),'V06 Calend 01'!I32),0))+IF((173='V06 Calend 01'!D32),'V06 Calend 01'!J32,0))</f>
        <v>0</v>
      </c>
      <c r="GD32" s="2">
        <f>((IF((174='V06 Calend 01'!C32),('V06 Calend 01'!F32+'V06 Calend 01'!G32),0)+IF(AND(('V06 Calend 01'!E32&gt;0),(174&gt;'V06 Calend 01'!C32),(174&lt;'V06 Calend 01'!D32),(MOD((174-'V06 Calend 01'!C32),6)=0),(((174-'V06 Calend 01'!C32)/6)&lt;='V06 Calend 01'!E32)),IF((174=('V06 Calend 01'!C32+(6*'V06 Calend 01'!E32))),('V06 Calend 01'!H32-('V06 Calend 01'!I32*('V06 Calend 01'!E32-1))),'V06 Calend 01'!I32),0))+IF((174='V06 Calend 01'!D32),'V06 Calend 01'!J32,0))</f>
        <v>0</v>
      </c>
      <c r="GE32" s="2">
        <f>((IF((175='V06 Calend 01'!C32),('V06 Calend 01'!F32+'V06 Calend 01'!G32),0)+IF(AND(('V06 Calend 01'!E32&gt;0),(175&gt;'V06 Calend 01'!C32),(175&lt;'V06 Calend 01'!D32),(MOD((175-'V06 Calend 01'!C32),6)=0),(((175-'V06 Calend 01'!C32)/6)&lt;='V06 Calend 01'!E32)),IF((175=('V06 Calend 01'!C32+(6*'V06 Calend 01'!E32))),('V06 Calend 01'!H32-('V06 Calend 01'!I32*('V06 Calend 01'!E32-1))),'V06 Calend 01'!I32),0))+IF((175='V06 Calend 01'!D32),'V06 Calend 01'!J32,0))</f>
        <v>0</v>
      </c>
      <c r="GF32" s="2">
        <f>((IF((176='V06 Calend 01'!C32),('V06 Calend 01'!F32+'V06 Calend 01'!G32),0)+IF(AND(('V06 Calend 01'!E32&gt;0),(176&gt;'V06 Calend 01'!C32),(176&lt;'V06 Calend 01'!D32),(MOD((176-'V06 Calend 01'!C32),6)=0),(((176-'V06 Calend 01'!C32)/6)&lt;='V06 Calend 01'!E32)),IF((176=('V06 Calend 01'!C32+(6*'V06 Calend 01'!E32))),('V06 Calend 01'!H32-('V06 Calend 01'!I32*('V06 Calend 01'!E32-1))),'V06 Calend 01'!I32),0))+IF((176='V06 Calend 01'!D32),'V06 Calend 01'!J32,0))</f>
        <v>0</v>
      </c>
      <c r="GG32" s="2">
        <f>((IF((177='V06 Calend 01'!C32),('V06 Calend 01'!F32+'V06 Calend 01'!G32),0)+IF(AND(('V06 Calend 01'!E32&gt;0),(177&gt;'V06 Calend 01'!C32),(177&lt;'V06 Calend 01'!D32),(MOD((177-'V06 Calend 01'!C32),6)=0),(((177-'V06 Calend 01'!C32)/6)&lt;='V06 Calend 01'!E32)),IF((177=('V06 Calend 01'!C32+(6*'V06 Calend 01'!E32))),('V06 Calend 01'!H32-('V06 Calend 01'!I32*('V06 Calend 01'!E32-1))),'V06 Calend 01'!I32),0))+IF((177='V06 Calend 01'!D32),'V06 Calend 01'!J32,0))</f>
        <v>0</v>
      </c>
      <c r="GH32" s="2">
        <f>((IF((178='V06 Calend 01'!C32),('V06 Calend 01'!F32+'V06 Calend 01'!G32),0)+IF(AND(('V06 Calend 01'!E32&gt;0),(178&gt;'V06 Calend 01'!C32),(178&lt;'V06 Calend 01'!D32),(MOD((178-'V06 Calend 01'!C32),6)=0),(((178-'V06 Calend 01'!C32)/6)&lt;='V06 Calend 01'!E32)),IF((178=('V06 Calend 01'!C32+(6*'V06 Calend 01'!E32))),('V06 Calend 01'!H32-('V06 Calend 01'!I32*('V06 Calend 01'!E32-1))),'V06 Calend 01'!I32),0))+IF((178='V06 Calend 01'!D32),'V06 Calend 01'!J32,0))</f>
        <v>0</v>
      </c>
      <c r="GI32" s="2">
        <f>((IF((179='V06 Calend 01'!C32),('V06 Calend 01'!F32+'V06 Calend 01'!G32),0)+IF(AND(('V06 Calend 01'!E32&gt;0),(179&gt;'V06 Calend 01'!C32),(179&lt;'V06 Calend 01'!D32),(MOD((179-'V06 Calend 01'!C32),6)=0),(((179-'V06 Calend 01'!C32)/6)&lt;='V06 Calend 01'!E32)),IF((179=('V06 Calend 01'!C32+(6*'V06 Calend 01'!E32))),('V06 Calend 01'!H32-('V06 Calend 01'!I32*('V06 Calend 01'!E32-1))),'V06 Calend 01'!I32),0))+IF((179='V06 Calend 01'!D32),'V06 Calend 01'!J32,0))</f>
        <v>0</v>
      </c>
      <c r="GJ32" s="2">
        <f>((IF((180='V06 Calend 01'!C32),('V06 Calend 01'!F32+'V06 Calend 01'!G32),0)+IF(AND(('V06 Calend 01'!E32&gt;0),(180&gt;'V06 Calend 01'!C32),(180&lt;'V06 Calend 01'!D32),(MOD((180-'V06 Calend 01'!C32),6)=0),(((180-'V06 Calend 01'!C32)/6)&lt;='V06 Calend 01'!E32)),IF((180=('V06 Calend 01'!C32+(6*'V06 Calend 01'!E32))),('V06 Calend 01'!H32-('V06 Calend 01'!I32*('V06 Calend 01'!E32-1))),'V06 Calend 01'!I32),0))+IF((180='V06 Calend 01'!D32),'V06 Calend 01'!J32,0))</f>
        <v>0</v>
      </c>
    </row>
    <row r="33" spans="1:192">
      <c r="A33" s="3" t="str">
        <f>'V06 Unidades'!$A$33</f>
        <v>409</v>
      </c>
      <c r="B33" s="2">
        <f>'V06 Unidades'!$H$33</f>
        <v>426972</v>
      </c>
      <c r="C33" s="4">
        <f>('V06 Unidades'!$I$33+'V06 Controlos'!$B$37)</f>
        <v>19</v>
      </c>
      <c r="D33" s="4">
        <f>IF(('V06 Controlos'!$B$38&gt;0),MAX(('V06 Unidades'!$L$33+'V06 Controlos'!$B$37),(30+'V06 Controlos'!$B$38)),('V06 Unidades'!$L$33+'V06 Controlos'!$B$37))</f>
        <v>29</v>
      </c>
      <c r="E33" s="4">
        <f>MAX(0,INT(((('V06 Calend 01'!D33-'V06 Calend 01'!C33)-1)/6)))</f>
        <v>1</v>
      </c>
      <c r="F33" s="2">
        <f>ROUND(('V06 Calend 01'!B33*0.05),2)</f>
        <v>21348.6</v>
      </c>
      <c r="G33" s="2">
        <f>ROUND(('V06 Calend 01'!B33*0.2),2)</f>
        <v>85394.4</v>
      </c>
      <c r="H33" s="2">
        <f>ROUND(('V06 Calend 01'!B33*0.55),2)</f>
        <v>234834.6</v>
      </c>
      <c r="I33" s="2">
        <f>ROUND(('V06 Calend 01'!H33/MAX(1,'V06 Calend 01'!E33)),2)</f>
        <v>234834.6</v>
      </c>
      <c r="J33" s="2">
        <f>((('V06 Calend 01'!B33-'V06 Calend 01'!F33)-'V06 Calend 01'!G33)-'V06 Calend 01'!H33)</f>
        <v>85394.4</v>
      </c>
      <c r="K33" s="2">
        <f>('V06 Calend 01'!B33*0.025)</f>
        <v>10674.300000000001</v>
      </c>
      <c r="L33" t="s">
        <v>378</v>
      </c>
      <c r="M33" s="2">
        <f>((IF((1='V06 Calend 01'!C33),('V06 Calend 01'!F33+'V06 Calend 01'!G33),0)+IF(AND(('V06 Calend 01'!E33&gt;0),(1&gt;'V06 Calend 01'!C33),(1&lt;'V06 Calend 01'!D33),(MOD((1-'V06 Calend 01'!C33),6)=0),(((1-'V06 Calend 01'!C33)/6)&lt;='V06 Calend 01'!E33)),IF((1=('V06 Calend 01'!C33+(6*'V06 Calend 01'!E33))),('V06 Calend 01'!H33-('V06 Calend 01'!I33*('V06 Calend 01'!E33-1))),'V06 Calend 01'!I33),0))+IF((1='V06 Calend 01'!D33),'V06 Calend 01'!J33,0))</f>
        <v>0</v>
      </c>
      <c r="N33" s="2">
        <f>((IF((2='V06 Calend 01'!C33),('V06 Calend 01'!F33+'V06 Calend 01'!G33),0)+IF(AND(('V06 Calend 01'!E33&gt;0),(2&gt;'V06 Calend 01'!C33),(2&lt;'V06 Calend 01'!D33),(MOD((2-'V06 Calend 01'!C33),6)=0),(((2-'V06 Calend 01'!C33)/6)&lt;='V06 Calend 01'!E33)),IF((2=('V06 Calend 01'!C33+(6*'V06 Calend 01'!E33))),('V06 Calend 01'!H33-('V06 Calend 01'!I33*('V06 Calend 01'!E33-1))),'V06 Calend 01'!I33),0))+IF((2='V06 Calend 01'!D33),'V06 Calend 01'!J33,0))</f>
        <v>0</v>
      </c>
      <c r="O33" s="2">
        <f>((IF((3='V06 Calend 01'!C33),('V06 Calend 01'!F33+'V06 Calend 01'!G33),0)+IF(AND(('V06 Calend 01'!E33&gt;0),(3&gt;'V06 Calend 01'!C33),(3&lt;'V06 Calend 01'!D33),(MOD((3-'V06 Calend 01'!C33),6)=0),(((3-'V06 Calend 01'!C33)/6)&lt;='V06 Calend 01'!E33)),IF((3=('V06 Calend 01'!C33+(6*'V06 Calend 01'!E33))),('V06 Calend 01'!H33-('V06 Calend 01'!I33*('V06 Calend 01'!E33-1))),'V06 Calend 01'!I33),0))+IF((3='V06 Calend 01'!D33),'V06 Calend 01'!J33,0))</f>
        <v>0</v>
      </c>
      <c r="P33" s="2">
        <f>((IF((4='V06 Calend 01'!C33),('V06 Calend 01'!F33+'V06 Calend 01'!G33),0)+IF(AND(('V06 Calend 01'!E33&gt;0),(4&gt;'V06 Calend 01'!C33),(4&lt;'V06 Calend 01'!D33),(MOD((4-'V06 Calend 01'!C33),6)=0),(((4-'V06 Calend 01'!C33)/6)&lt;='V06 Calend 01'!E33)),IF((4=('V06 Calend 01'!C33+(6*'V06 Calend 01'!E33))),('V06 Calend 01'!H33-('V06 Calend 01'!I33*('V06 Calend 01'!E33-1))),'V06 Calend 01'!I33),0))+IF((4='V06 Calend 01'!D33),'V06 Calend 01'!J33,0))</f>
        <v>0</v>
      </c>
      <c r="Q33" s="2">
        <f>((IF((5='V06 Calend 01'!C33),('V06 Calend 01'!F33+'V06 Calend 01'!G33),0)+IF(AND(('V06 Calend 01'!E33&gt;0),(5&gt;'V06 Calend 01'!C33),(5&lt;'V06 Calend 01'!D33),(MOD((5-'V06 Calend 01'!C33),6)=0),(((5-'V06 Calend 01'!C33)/6)&lt;='V06 Calend 01'!E33)),IF((5=('V06 Calend 01'!C33+(6*'V06 Calend 01'!E33))),('V06 Calend 01'!H33-('V06 Calend 01'!I33*('V06 Calend 01'!E33-1))),'V06 Calend 01'!I33),0))+IF((5='V06 Calend 01'!D33),'V06 Calend 01'!J33,0))</f>
        <v>0</v>
      </c>
      <c r="R33" s="2">
        <f>((IF((6='V06 Calend 01'!C33),('V06 Calend 01'!F33+'V06 Calend 01'!G33),0)+IF(AND(('V06 Calend 01'!E33&gt;0),(6&gt;'V06 Calend 01'!C33),(6&lt;'V06 Calend 01'!D33),(MOD((6-'V06 Calend 01'!C33),6)=0),(((6-'V06 Calend 01'!C33)/6)&lt;='V06 Calend 01'!E33)),IF((6=('V06 Calend 01'!C33+(6*'V06 Calend 01'!E33))),('V06 Calend 01'!H33-('V06 Calend 01'!I33*('V06 Calend 01'!E33-1))),'V06 Calend 01'!I33),0))+IF((6='V06 Calend 01'!D33),'V06 Calend 01'!J33,0))</f>
        <v>0</v>
      </c>
      <c r="S33" s="2">
        <f>((IF((7='V06 Calend 01'!C33),('V06 Calend 01'!F33+'V06 Calend 01'!G33),0)+IF(AND(('V06 Calend 01'!E33&gt;0),(7&gt;'V06 Calend 01'!C33),(7&lt;'V06 Calend 01'!D33),(MOD((7-'V06 Calend 01'!C33),6)=0),(((7-'V06 Calend 01'!C33)/6)&lt;='V06 Calend 01'!E33)),IF((7=('V06 Calend 01'!C33+(6*'V06 Calend 01'!E33))),('V06 Calend 01'!H33-('V06 Calend 01'!I33*('V06 Calend 01'!E33-1))),'V06 Calend 01'!I33),0))+IF((7='V06 Calend 01'!D33),'V06 Calend 01'!J33,0))</f>
        <v>0</v>
      </c>
      <c r="T33" s="2">
        <f>((IF((8='V06 Calend 01'!C33),('V06 Calend 01'!F33+'V06 Calend 01'!G33),0)+IF(AND(('V06 Calend 01'!E33&gt;0),(8&gt;'V06 Calend 01'!C33),(8&lt;'V06 Calend 01'!D33),(MOD((8-'V06 Calend 01'!C33),6)=0),(((8-'V06 Calend 01'!C33)/6)&lt;='V06 Calend 01'!E33)),IF((8=('V06 Calend 01'!C33+(6*'V06 Calend 01'!E33))),('V06 Calend 01'!H33-('V06 Calend 01'!I33*('V06 Calend 01'!E33-1))),'V06 Calend 01'!I33),0))+IF((8='V06 Calend 01'!D33),'V06 Calend 01'!J33,0))</f>
        <v>0</v>
      </c>
      <c r="U33" s="2">
        <f>((IF((9='V06 Calend 01'!C33),('V06 Calend 01'!F33+'V06 Calend 01'!G33),0)+IF(AND(('V06 Calend 01'!E33&gt;0),(9&gt;'V06 Calend 01'!C33),(9&lt;'V06 Calend 01'!D33),(MOD((9-'V06 Calend 01'!C33),6)=0),(((9-'V06 Calend 01'!C33)/6)&lt;='V06 Calend 01'!E33)),IF((9=('V06 Calend 01'!C33+(6*'V06 Calend 01'!E33))),('V06 Calend 01'!H33-('V06 Calend 01'!I33*('V06 Calend 01'!E33-1))),'V06 Calend 01'!I33),0))+IF((9='V06 Calend 01'!D33),'V06 Calend 01'!J33,0))</f>
        <v>0</v>
      </c>
      <c r="V33" s="2">
        <f>((IF((10='V06 Calend 01'!C33),('V06 Calend 01'!F33+'V06 Calend 01'!G33),0)+IF(AND(('V06 Calend 01'!E33&gt;0),(10&gt;'V06 Calend 01'!C33),(10&lt;'V06 Calend 01'!D33),(MOD((10-'V06 Calend 01'!C33),6)=0),(((10-'V06 Calend 01'!C33)/6)&lt;='V06 Calend 01'!E33)),IF((10=('V06 Calend 01'!C33+(6*'V06 Calend 01'!E33))),('V06 Calend 01'!H33-('V06 Calend 01'!I33*('V06 Calend 01'!E33-1))),'V06 Calend 01'!I33),0))+IF((10='V06 Calend 01'!D33),'V06 Calend 01'!J33,0))</f>
        <v>0</v>
      </c>
      <c r="W33" s="2">
        <f>((IF((11='V06 Calend 01'!C33),('V06 Calend 01'!F33+'V06 Calend 01'!G33),0)+IF(AND(('V06 Calend 01'!E33&gt;0),(11&gt;'V06 Calend 01'!C33),(11&lt;'V06 Calend 01'!D33),(MOD((11-'V06 Calend 01'!C33),6)=0),(((11-'V06 Calend 01'!C33)/6)&lt;='V06 Calend 01'!E33)),IF((11=('V06 Calend 01'!C33+(6*'V06 Calend 01'!E33))),('V06 Calend 01'!H33-('V06 Calend 01'!I33*('V06 Calend 01'!E33-1))),'V06 Calend 01'!I33),0))+IF((11='V06 Calend 01'!D33),'V06 Calend 01'!J33,0))</f>
        <v>0</v>
      </c>
      <c r="X33" s="2">
        <f>((IF((12='V06 Calend 01'!C33),('V06 Calend 01'!F33+'V06 Calend 01'!G33),0)+IF(AND(('V06 Calend 01'!E33&gt;0),(12&gt;'V06 Calend 01'!C33),(12&lt;'V06 Calend 01'!D33),(MOD((12-'V06 Calend 01'!C33),6)=0),(((12-'V06 Calend 01'!C33)/6)&lt;='V06 Calend 01'!E33)),IF((12=('V06 Calend 01'!C33+(6*'V06 Calend 01'!E33))),('V06 Calend 01'!H33-('V06 Calend 01'!I33*('V06 Calend 01'!E33-1))),'V06 Calend 01'!I33),0))+IF((12='V06 Calend 01'!D33),'V06 Calend 01'!J33,0))</f>
        <v>0</v>
      </c>
      <c r="Y33" s="2">
        <f>((IF((13='V06 Calend 01'!C33),('V06 Calend 01'!F33+'V06 Calend 01'!G33),0)+IF(AND(('V06 Calend 01'!E33&gt;0),(13&gt;'V06 Calend 01'!C33),(13&lt;'V06 Calend 01'!D33),(MOD((13-'V06 Calend 01'!C33),6)=0),(((13-'V06 Calend 01'!C33)/6)&lt;='V06 Calend 01'!E33)),IF((13=('V06 Calend 01'!C33+(6*'V06 Calend 01'!E33))),('V06 Calend 01'!H33-('V06 Calend 01'!I33*('V06 Calend 01'!E33-1))),'V06 Calend 01'!I33),0))+IF((13='V06 Calend 01'!D33),'V06 Calend 01'!J33,0))</f>
        <v>0</v>
      </c>
      <c r="Z33" s="2">
        <f>((IF((14='V06 Calend 01'!C33),('V06 Calend 01'!F33+'V06 Calend 01'!G33),0)+IF(AND(('V06 Calend 01'!E33&gt;0),(14&gt;'V06 Calend 01'!C33),(14&lt;'V06 Calend 01'!D33),(MOD((14-'V06 Calend 01'!C33),6)=0),(((14-'V06 Calend 01'!C33)/6)&lt;='V06 Calend 01'!E33)),IF((14=('V06 Calend 01'!C33+(6*'V06 Calend 01'!E33))),('V06 Calend 01'!H33-('V06 Calend 01'!I33*('V06 Calend 01'!E33-1))),'V06 Calend 01'!I33),0))+IF((14='V06 Calend 01'!D33),'V06 Calend 01'!J33,0))</f>
        <v>0</v>
      </c>
      <c r="AA33" s="2">
        <f>((IF((15='V06 Calend 01'!C33),('V06 Calend 01'!F33+'V06 Calend 01'!G33),0)+IF(AND(('V06 Calend 01'!E33&gt;0),(15&gt;'V06 Calend 01'!C33),(15&lt;'V06 Calend 01'!D33),(MOD((15-'V06 Calend 01'!C33),6)=0),(((15-'V06 Calend 01'!C33)/6)&lt;='V06 Calend 01'!E33)),IF((15=('V06 Calend 01'!C33+(6*'V06 Calend 01'!E33))),('V06 Calend 01'!H33-('V06 Calend 01'!I33*('V06 Calend 01'!E33-1))),'V06 Calend 01'!I33),0))+IF((15='V06 Calend 01'!D33),'V06 Calend 01'!J33,0))</f>
        <v>0</v>
      </c>
      <c r="AB33" s="2">
        <f>((IF((16='V06 Calend 01'!C33),('V06 Calend 01'!F33+'V06 Calend 01'!G33),0)+IF(AND(('V06 Calend 01'!E33&gt;0),(16&gt;'V06 Calend 01'!C33),(16&lt;'V06 Calend 01'!D33),(MOD((16-'V06 Calend 01'!C33),6)=0),(((16-'V06 Calend 01'!C33)/6)&lt;='V06 Calend 01'!E33)),IF((16=('V06 Calend 01'!C33+(6*'V06 Calend 01'!E33))),('V06 Calend 01'!H33-('V06 Calend 01'!I33*('V06 Calend 01'!E33-1))),'V06 Calend 01'!I33),0))+IF((16='V06 Calend 01'!D33),'V06 Calend 01'!J33,0))</f>
        <v>0</v>
      </c>
      <c r="AC33" s="2">
        <f>((IF((17='V06 Calend 01'!C33),('V06 Calend 01'!F33+'V06 Calend 01'!G33),0)+IF(AND(('V06 Calend 01'!E33&gt;0),(17&gt;'V06 Calend 01'!C33),(17&lt;'V06 Calend 01'!D33),(MOD((17-'V06 Calend 01'!C33),6)=0),(((17-'V06 Calend 01'!C33)/6)&lt;='V06 Calend 01'!E33)),IF((17=('V06 Calend 01'!C33+(6*'V06 Calend 01'!E33))),('V06 Calend 01'!H33-('V06 Calend 01'!I33*('V06 Calend 01'!E33-1))),'V06 Calend 01'!I33),0))+IF((17='V06 Calend 01'!D33),'V06 Calend 01'!J33,0))</f>
        <v>0</v>
      </c>
      <c r="AD33" s="2">
        <f>((IF((18='V06 Calend 01'!C33),('V06 Calend 01'!F33+'V06 Calend 01'!G33),0)+IF(AND(('V06 Calend 01'!E33&gt;0),(18&gt;'V06 Calend 01'!C33),(18&lt;'V06 Calend 01'!D33),(MOD((18-'V06 Calend 01'!C33),6)=0),(((18-'V06 Calend 01'!C33)/6)&lt;='V06 Calend 01'!E33)),IF((18=('V06 Calend 01'!C33+(6*'V06 Calend 01'!E33))),('V06 Calend 01'!H33-('V06 Calend 01'!I33*('V06 Calend 01'!E33-1))),'V06 Calend 01'!I33),0))+IF((18='V06 Calend 01'!D33),'V06 Calend 01'!J33,0))</f>
        <v>0</v>
      </c>
      <c r="AE33" s="2">
        <f>((IF((19='V06 Calend 01'!C33),('V06 Calend 01'!F33+'V06 Calend 01'!G33),0)+IF(AND(('V06 Calend 01'!E33&gt;0),(19&gt;'V06 Calend 01'!C33),(19&lt;'V06 Calend 01'!D33),(MOD((19-'V06 Calend 01'!C33),6)=0),(((19-'V06 Calend 01'!C33)/6)&lt;='V06 Calend 01'!E33)),IF((19=('V06 Calend 01'!C33+(6*'V06 Calend 01'!E33))),('V06 Calend 01'!H33-('V06 Calend 01'!I33*('V06 Calend 01'!E33-1))),'V06 Calend 01'!I33),0))+IF((19='V06 Calend 01'!D33),'V06 Calend 01'!J33,0))</f>
        <v>106743.0</v>
      </c>
      <c r="AF33" s="2">
        <f>((IF((20='V06 Calend 01'!C33),('V06 Calend 01'!F33+'V06 Calend 01'!G33),0)+IF(AND(('V06 Calend 01'!E33&gt;0),(20&gt;'V06 Calend 01'!C33),(20&lt;'V06 Calend 01'!D33),(MOD((20-'V06 Calend 01'!C33),6)=0),(((20-'V06 Calend 01'!C33)/6)&lt;='V06 Calend 01'!E33)),IF((20=('V06 Calend 01'!C33+(6*'V06 Calend 01'!E33))),('V06 Calend 01'!H33-('V06 Calend 01'!I33*('V06 Calend 01'!E33-1))),'V06 Calend 01'!I33),0))+IF((20='V06 Calend 01'!D33),'V06 Calend 01'!J33,0))</f>
        <v>0</v>
      </c>
      <c r="AG33" s="2">
        <f>((IF((21='V06 Calend 01'!C33),('V06 Calend 01'!F33+'V06 Calend 01'!G33),0)+IF(AND(('V06 Calend 01'!E33&gt;0),(21&gt;'V06 Calend 01'!C33),(21&lt;'V06 Calend 01'!D33),(MOD((21-'V06 Calend 01'!C33),6)=0),(((21-'V06 Calend 01'!C33)/6)&lt;='V06 Calend 01'!E33)),IF((21=('V06 Calend 01'!C33+(6*'V06 Calend 01'!E33))),('V06 Calend 01'!H33-('V06 Calend 01'!I33*('V06 Calend 01'!E33-1))),'V06 Calend 01'!I33),0))+IF((21='V06 Calend 01'!D33),'V06 Calend 01'!J33,0))</f>
        <v>0</v>
      </c>
      <c r="AH33" s="2">
        <f>((IF((22='V06 Calend 01'!C33),('V06 Calend 01'!F33+'V06 Calend 01'!G33),0)+IF(AND(('V06 Calend 01'!E33&gt;0),(22&gt;'V06 Calend 01'!C33),(22&lt;'V06 Calend 01'!D33),(MOD((22-'V06 Calend 01'!C33),6)=0),(((22-'V06 Calend 01'!C33)/6)&lt;='V06 Calend 01'!E33)),IF((22=('V06 Calend 01'!C33+(6*'V06 Calend 01'!E33))),('V06 Calend 01'!H33-('V06 Calend 01'!I33*('V06 Calend 01'!E33-1))),'V06 Calend 01'!I33),0))+IF((22='V06 Calend 01'!D33),'V06 Calend 01'!J33,0))</f>
        <v>0</v>
      </c>
      <c r="AI33" s="2">
        <f>((IF((23='V06 Calend 01'!C33),('V06 Calend 01'!F33+'V06 Calend 01'!G33),0)+IF(AND(('V06 Calend 01'!E33&gt;0),(23&gt;'V06 Calend 01'!C33),(23&lt;'V06 Calend 01'!D33),(MOD((23-'V06 Calend 01'!C33),6)=0),(((23-'V06 Calend 01'!C33)/6)&lt;='V06 Calend 01'!E33)),IF((23=('V06 Calend 01'!C33+(6*'V06 Calend 01'!E33))),('V06 Calend 01'!H33-('V06 Calend 01'!I33*('V06 Calend 01'!E33-1))),'V06 Calend 01'!I33),0))+IF((23='V06 Calend 01'!D33),'V06 Calend 01'!J33,0))</f>
        <v>0</v>
      </c>
      <c r="AJ33" s="2">
        <f>((IF((24='V06 Calend 01'!C33),('V06 Calend 01'!F33+'V06 Calend 01'!G33),0)+IF(AND(('V06 Calend 01'!E33&gt;0),(24&gt;'V06 Calend 01'!C33),(24&lt;'V06 Calend 01'!D33),(MOD((24-'V06 Calend 01'!C33),6)=0),(((24-'V06 Calend 01'!C33)/6)&lt;='V06 Calend 01'!E33)),IF((24=('V06 Calend 01'!C33+(6*'V06 Calend 01'!E33))),('V06 Calend 01'!H33-('V06 Calend 01'!I33*('V06 Calend 01'!E33-1))),'V06 Calend 01'!I33),0))+IF((24='V06 Calend 01'!D33),'V06 Calend 01'!J33,0))</f>
        <v>0</v>
      </c>
      <c r="AK33" s="2">
        <f>((IF((25='V06 Calend 01'!C33),('V06 Calend 01'!F33+'V06 Calend 01'!G33),0)+IF(AND(('V06 Calend 01'!E33&gt;0),(25&gt;'V06 Calend 01'!C33),(25&lt;'V06 Calend 01'!D33),(MOD((25-'V06 Calend 01'!C33),6)=0),(((25-'V06 Calend 01'!C33)/6)&lt;='V06 Calend 01'!E33)),IF((25=('V06 Calend 01'!C33+(6*'V06 Calend 01'!E33))),('V06 Calend 01'!H33-('V06 Calend 01'!I33*('V06 Calend 01'!E33-1))),'V06 Calend 01'!I33),0))+IF((25='V06 Calend 01'!D33),'V06 Calend 01'!J33,0))</f>
        <v>234834.6</v>
      </c>
      <c r="AL33" s="2">
        <f>((IF((26='V06 Calend 01'!C33),('V06 Calend 01'!F33+'V06 Calend 01'!G33),0)+IF(AND(('V06 Calend 01'!E33&gt;0),(26&gt;'V06 Calend 01'!C33),(26&lt;'V06 Calend 01'!D33),(MOD((26-'V06 Calend 01'!C33),6)=0),(((26-'V06 Calend 01'!C33)/6)&lt;='V06 Calend 01'!E33)),IF((26=('V06 Calend 01'!C33+(6*'V06 Calend 01'!E33))),('V06 Calend 01'!H33-('V06 Calend 01'!I33*('V06 Calend 01'!E33-1))),'V06 Calend 01'!I33),0))+IF((26='V06 Calend 01'!D33),'V06 Calend 01'!J33,0))</f>
        <v>0</v>
      </c>
      <c r="AM33" s="2">
        <f>((IF((27='V06 Calend 01'!C33),('V06 Calend 01'!F33+'V06 Calend 01'!G33),0)+IF(AND(('V06 Calend 01'!E33&gt;0),(27&gt;'V06 Calend 01'!C33),(27&lt;'V06 Calend 01'!D33),(MOD((27-'V06 Calend 01'!C33),6)=0),(((27-'V06 Calend 01'!C33)/6)&lt;='V06 Calend 01'!E33)),IF((27=('V06 Calend 01'!C33+(6*'V06 Calend 01'!E33))),('V06 Calend 01'!H33-('V06 Calend 01'!I33*('V06 Calend 01'!E33-1))),'V06 Calend 01'!I33),0))+IF((27='V06 Calend 01'!D33),'V06 Calend 01'!J33,0))</f>
        <v>0</v>
      </c>
      <c r="AN33" s="2">
        <f>((IF((28='V06 Calend 01'!C33),('V06 Calend 01'!F33+'V06 Calend 01'!G33),0)+IF(AND(('V06 Calend 01'!E33&gt;0),(28&gt;'V06 Calend 01'!C33),(28&lt;'V06 Calend 01'!D33),(MOD((28-'V06 Calend 01'!C33),6)=0),(((28-'V06 Calend 01'!C33)/6)&lt;='V06 Calend 01'!E33)),IF((28=('V06 Calend 01'!C33+(6*'V06 Calend 01'!E33))),('V06 Calend 01'!H33-('V06 Calend 01'!I33*('V06 Calend 01'!E33-1))),'V06 Calend 01'!I33),0))+IF((28='V06 Calend 01'!D33),'V06 Calend 01'!J33,0))</f>
        <v>0</v>
      </c>
      <c r="AO33" s="2">
        <f>((IF((29='V06 Calend 01'!C33),('V06 Calend 01'!F33+'V06 Calend 01'!G33),0)+IF(AND(('V06 Calend 01'!E33&gt;0),(29&gt;'V06 Calend 01'!C33),(29&lt;'V06 Calend 01'!D33),(MOD((29-'V06 Calend 01'!C33),6)=0),(((29-'V06 Calend 01'!C33)/6)&lt;='V06 Calend 01'!E33)),IF((29=('V06 Calend 01'!C33+(6*'V06 Calend 01'!E33))),('V06 Calend 01'!H33-('V06 Calend 01'!I33*('V06 Calend 01'!E33-1))),'V06 Calend 01'!I33),0))+IF((29='V06 Calend 01'!D33),'V06 Calend 01'!J33,0))</f>
        <v>85394.4</v>
      </c>
      <c r="AP33" s="2">
        <f>((IF((30='V06 Calend 01'!C33),('V06 Calend 01'!F33+'V06 Calend 01'!G33),0)+IF(AND(('V06 Calend 01'!E33&gt;0),(30&gt;'V06 Calend 01'!C33),(30&lt;'V06 Calend 01'!D33),(MOD((30-'V06 Calend 01'!C33),6)=0),(((30-'V06 Calend 01'!C33)/6)&lt;='V06 Calend 01'!E33)),IF((30=('V06 Calend 01'!C33+(6*'V06 Calend 01'!E33))),('V06 Calend 01'!H33-('V06 Calend 01'!I33*('V06 Calend 01'!E33-1))),'V06 Calend 01'!I33),0))+IF((30='V06 Calend 01'!D33),'V06 Calend 01'!J33,0))</f>
        <v>0</v>
      </c>
      <c r="AQ33" s="2">
        <f>((IF((31='V06 Calend 01'!C33),('V06 Calend 01'!F33+'V06 Calend 01'!G33),0)+IF(AND(('V06 Calend 01'!E33&gt;0),(31&gt;'V06 Calend 01'!C33),(31&lt;'V06 Calend 01'!D33),(MOD((31-'V06 Calend 01'!C33),6)=0),(((31-'V06 Calend 01'!C33)/6)&lt;='V06 Calend 01'!E33)),IF((31=('V06 Calend 01'!C33+(6*'V06 Calend 01'!E33))),('V06 Calend 01'!H33-('V06 Calend 01'!I33*('V06 Calend 01'!E33-1))),'V06 Calend 01'!I33),0))+IF((31='V06 Calend 01'!D33),'V06 Calend 01'!J33,0))</f>
        <v>0</v>
      </c>
      <c r="AR33" s="2">
        <f>((IF((32='V06 Calend 01'!C33),('V06 Calend 01'!F33+'V06 Calend 01'!G33),0)+IF(AND(('V06 Calend 01'!E33&gt;0),(32&gt;'V06 Calend 01'!C33),(32&lt;'V06 Calend 01'!D33),(MOD((32-'V06 Calend 01'!C33),6)=0),(((32-'V06 Calend 01'!C33)/6)&lt;='V06 Calend 01'!E33)),IF((32=('V06 Calend 01'!C33+(6*'V06 Calend 01'!E33))),('V06 Calend 01'!H33-('V06 Calend 01'!I33*('V06 Calend 01'!E33-1))),'V06 Calend 01'!I33),0))+IF((32='V06 Calend 01'!D33),'V06 Calend 01'!J33,0))</f>
        <v>0</v>
      </c>
      <c r="AS33" s="2">
        <f>((IF((33='V06 Calend 01'!C33),('V06 Calend 01'!F33+'V06 Calend 01'!G33),0)+IF(AND(('V06 Calend 01'!E33&gt;0),(33&gt;'V06 Calend 01'!C33),(33&lt;'V06 Calend 01'!D33),(MOD((33-'V06 Calend 01'!C33),6)=0),(((33-'V06 Calend 01'!C33)/6)&lt;='V06 Calend 01'!E33)),IF((33=('V06 Calend 01'!C33+(6*'V06 Calend 01'!E33))),('V06 Calend 01'!H33-('V06 Calend 01'!I33*('V06 Calend 01'!E33-1))),'V06 Calend 01'!I33),0))+IF((33='V06 Calend 01'!D33),'V06 Calend 01'!J33,0))</f>
        <v>0</v>
      </c>
      <c r="AT33" s="2">
        <f>((IF((34='V06 Calend 01'!C33),('V06 Calend 01'!F33+'V06 Calend 01'!G33),0)+IF(AND(('V06 Calend 01'!E33&gt;0),(34&gt;'V06 Calend 01'!C33),(34&lt;'V06 Calend 01'!D33),(MOD((34-'V06 Calend 01'!C33),6)=0),(((34-'V06 Calend 01'!C33)/6)&lt;='V06 Calend 01'!E33)),IF((34=('V06 Calend 01'!C33+(6*'V06 Calend 01'!E33))),('V06 Calend 01'!H33-('V06 Calend 01'!I33*('V06 Calend 01'!E33-1))),'V06 Calend 01'!I33),0))+IF((34='V06 Calend 01'!D33),'V06 Calend 01'!J33,0))</f>
        <v>0</v>
      </c>
      <c r="AU33" s="2">
        <f>((IF((35='V06 Calend 01'!C33),('V06 Calend 01'!F33+'V06 Calend 01'!G33),0)+IF(AND(('V06 Calend 01'!E33&gt;0),(35&gt;'V06 Calend 01'!C33),(35&lt;'V06 Calend 01'!D33),(MOD((35-'V06 Calend 01'!C33),6)=0),(((35-'V06 Calend 01'!C33)/6)&lt;='V06 Calend 01'!E33)),IF((35=('V06 Calend 01'!C33+(6*'V06 Calend 01'!E33))),('V06 Calend 01'!H33-('V06 Calend 01'!I33*('V06 Calend 01'!E33-1))),'V06 Calend 01'!I33),0))+IF((35='V06 Calend 01'!D33),'V06 Calend 01'!J33,0))</f>
        <v>0</v>
      </c>
      <c r="AV33" s="2">
        <f>((IF((36='V06 Calend 01'!C33),('V06 Calend 01'!F33+'V06 Calend 01'!G33),0)+IF(AND(('V06 Calend 01'!E33&gt;0),(36&gt;'V06 Calend 01'!C33),(36&lt;'V06 Calend 01'!D33),(MOD((36-'V06 Calend 01'!C33),6)=0),(((36-'V06 Calend 01'!C33)/6)&lt;='V06 Calend 01'!E33)),IF((36=('V06 Calend 01'!C33+(6*'V06 Calend 01'!E33))),('V06 Calend 01'!H33-('V06 Calend 01'!I33*('V06 Calend 01'!E33-1))),'V06 Calend 01'!I33),0))+IF((36='V06 Calend 01'!D33),'V06 Calend 01'!J33,0))</f>
        <v>0</v>
      </c>
      <c r="AW33" s="2">
        <f>((IF((37='V06 Calend 01'!C33),('V06 Calend 01'!F33+'V06 Calend 01'!G33),0)+IF(AND(('V06 Calend 01'!E33&gt;0),(37&gt;'V06 Calend 01'!C33),(37&lt;'V06 Calend 01'!D33),(MOD((37-'V06 Calend 01'!C33),6)=0),(((37-'V06 Calend 01'!C33)/6)&lt;='V06 Calend 01'!E33)),IF((37=('V06 Calend 01'!C33+(6*'V06 Calend 01'!E33))),('V06 Calend 01'!H33-('V06 Calend 01'!I33*('V06 Calend 01'!E33-1))),'V06 Calend 01'!I33),0))+IF((37='V06 Calend 01'!D33),'V06 Calend 01'!J33,0))</f>
        <v>0</v>
      </c>
      <c r="AX33" s="2">
        <f>((IF((38='V06 Calend 01'!C33),('V06 Calend 01'!F33+'V06 Calend 01'!G33),0)+IF(AND(('V06 Calend 01'!E33&gt;0),(38&gt;'V06 Calend 01'!C33),(38&lt;'V06 Calend 01'!D33),(MOD((38-'V06 Calend 01'!C33),6)=0),(((38-'V06 Calend 01'!C33)/6)&lt;='V06 Calend 01'!E33)),IF((38=('V06 Calend 01'!C33+(6*'V06 Calend 01'!E33))),('V06 Calend 01'!H33-('V06 Calend 01'!I33*('V06 Calend 01'!E33-1))),'V06 Calend 01'!I33),0))+IF((38='V06 Calend 01'!D33),'V06 Calend 01'!J33,0))</f>
        <v>0</v>
      </c>
      <c r="AY33" s="2">
        <f>((IF((39='V06 Calend 01'!C33),('V06 Calend 01'!F33+'V06 Calend 01'!G33),0)+IF(AND(('V06 Calend 01'!E33&gt;0),(39&gt;'V06 Calend 01'!C33),(39&lt;'V06 Calend 01'!D33),(MOD((39-'V06 Calend 01'!C33),6)=0),(((39-'V06 Calend 01'!C33)/6)&lt;='V06 Calend 01'!E33)),IF((39=('V06 Calend 01'!C33+(6*'V06 Calend 01'!E33))),('V06 Calend 01'!H33-('V06 Calend 01'!I33*('V06 Calend 01'!E33-1))),'V06 Calend 01'!I33),0))+IF((39='V06 Calend 01'!D33),'V06 Calend 01'!J33,0))</f>
        <v>0</v>
      </c>
      <c r="AZ33" s="2">
        <f>((IF((40='V06 Calend 01'!C33),('V06 Calend 01'!F33+'V06 Calend 01'!G33),0)+IF(AND(('V06 Calend 01'!E33&gt;0),(40&gt;'V06 Calend 01'!C33),(40&lt;'V06 Calend 01'!D33),(MOD((40-'V06 Calend 01'!C33),6)=0),(((40-'V06 Calend 01'!C33)/6)&lt;='V06 Calend 01'!E33)),IF((40=('V06 Calend 01'!C33+(6*'V06 Calend 01'!E33))),('V06 Calend 01'!H33-('V06 Calend 01'!I33*('V06 Calend 01'!E33-1))),'V06 Calend 01'!I33),0))+IF((40='V06 Calend 01'!D33),'V06 Calend 01'!J33,0))</f>
        <v>0</v>
      </c>
      <c r="BA33" s="2">
        <f>((IF((41='V06 Calend 01'!C33),('V06 Calend 01'!F33+'V06 Calend 01'!G33),0)+IF(AND(('V06 Calend 01'!E33&gt;0),(41&gt;'V06 Calend 01'!C33),(41&lt;'V06 Calend 01'!D33),(MOD((41-'V06 Calend 01'!C33),6)=0),(((41-'V06 Calend 01'!C33)/6)&lt;='V06 Calend 01'!E33)),IF((41=('V06 Calend 01'!C33+(6*'V06 Calend 01'!E33))),('V06 Calend 01'!H33-('V06 Calend 01'!I33*('V06 Calend 01'!E33-1))),'V06 Calend 01'!I33),0))+IF((41='V06 Calend 01'!D33),'V06 Calend 01'!J33,0))</f>
        <v>0</v>
      </c>
      <c r="BB33" s="2">
        <f>((IF((42='V06 Calend 01'!C33),('V06 Calend 01'!F33+'V06 Calend 01'!G33),0)+IF(AND(('V06 Calend 01'!E33&gt;0),(42&gt;'V06 Calend 01'!C33),(42&lt;'V06 Calend 01'!D33),(MOD((42-'V06 Calend 01'!C33),6)=0),(((42-'V06 Calend 01'!C33)/6)&lt;='V06 Calend 01'!E33)),IF((42=('V06 Calend 01'!C33+(6*'V06 Calend 01'!E33))),('V06 Calend 01'!H33-('V06 Calend 01'!I33*('V06 Calend 01'!E33-1))),'V06 Calend 01'!I33),0))+IF((42='V06 Calend 01'!D33),'V06 Calend 01'!J33,0))</f>
        <v>0</v>
      </c>
      <c r="BC33" s="2">
        <f>((IF((43='V06 Calend 01'!C33),('V06 Calend 01'!F33+'V06 Calend 01'!G33),0)+IF(AND(('V06 Calend 01'!E33&gt;0),(43&gt;'V06 Calend 01'!C33),(43&lt;'V06 Calend 01'!D33),(MOD((43-'V06 Calend 01'!C33),6)=0),(((43-'V06 Calend 01'!C33)/6)&lt;='V06 Calend 01'!E33)),IF((43=('V06 Calend 01'!C33+(6*'V06 Calend 01'!E33))),('V06 Calend 01'!H33-('V06 Calend 01'!I33*('V06 Calend 01'!E33-1))),'V06 Calend 01'!I33),0))+IF((43='V06 Calend 01'!D33),'V06 Calend 01'!J33,0))</f>
        <v>0</v>
      </c>
      <c r="BD33" s="2">
        <f>((IF((44='V06 Calend 01'!C33),('V06 Calend 01'!F33+'V06 Calend 01'!G33),0)+IF(AND(('V06 Calend 01'!E33&gt;0),(44&gt;'V06 Calend 01'!C33),(44&lt;'V06 Calend 01'!D33),(MOD((44-'V06 Calend 01'!C33),6)=0),(((44-'V06 Calend 01'!C33)/6)&lt;='V06 Calend 01'!E33)),IF((44=('V06 Calend 01'!C33+(6*'V06 Calend 01'!E33))),('V06 Calend 01'!H33-('V06 Calend 01'!I33*('V06 Calend 01'!E33-1))),'V06 Calend 01'!I33),0))+IF((44='V06 Calend 01'!D33),'V06 Calend 01'!J33,0))</f>
        <v>0</v>
      </c>
      <c r="BE33" s="2">
        <f>((IF((45='V06 Calend 01'!C33),('V06 Calend 01'!F33+'V06 Calend 01'!G33),0)+IF(AND(('V06 Calend 01'!E33&gt;0),(45&gt;'V06 Calend 01'!C33),(45&lt;'V06 Calend 01'!D33),(MOD((45-'V06 Calend 01'!C33),6)=0),(((45-'V06 Calend 01'!C33)/6)&lt;='V06 Calend 01'!E33)),IF((45=('V06 Calend 01'!C33+(6*'V06 Calend 01'!E33))),('V06 Calend 01'!H33-('V06 Calend 01'!I33*('V06 Calend 01'!E33-1))),'V06 Calend 01'!I33),0))+IF((45='V06 Calend 01'!D33),'V06 Calend 01'!J33,0))</f>
        <v>0</v>
      </c>
      <c r="BF33" s="2">
        <f>((IF((46='V06 Calend 01'!C33),('V06 Calend 01'!F33+'V06 Calend 01'!G33),0)+IF(AND(('V06 Calend 01'!E33&gt;0),(46&gt;'V06 Calend 01'!C33),(46&lt;'V06 Calend 01'!D33),(MOD((46-'V06 Calend 01'!C33),6)=0),(((46-'V06 Calend 01'!C33)/6)&lt;='V06 Calend 01'!E33)),IF((46=('V06 Calend 01'!C33+(6*'V06 Calend 01'!E33))),('V06 Calend 01'!H33-('V06 Calend 01'!I33*('V06 Calend 01'!E33-1))),'V06 Calend 01'!I33),0))+IF((46='V06 Calend 01'!D33),'V06 Calend 01'!J33,0))</f>
        <v>0</v>
      </c>
      <c r="BG33" s="2">
        <f>((IF((47='V06 Calend 01'!C33),('V06 Calend 01'!F33+'V06 Calend 01'!G33),0)+IF(AND(('V06 Calend 01'!E33&gt;0),(47&gt;'V06 Calend 01'!C33),(47&lt;'V06 Calend 01'!D33),(MOD((47-'V06 Calend 01'!C33),6)=0),(((47-'V06 Calend 01'!C33)/6)&lt;='V06 Calend 01'!E33)),IF((47=('V06 Calend 01'!C33+(6*'V06 Calend 01'!E33))),('V06 Calend 01'!H33-('V06 Calend 01'!I33*('V06 Calend 01'!E33-1))),'V06 Calend 01'!I33),0))+IF((47='V06 Calend 01'!D33),'V06 Calend 01'!J33,0))</f>
        <v>0</v>
      </c>
      <c r="BH33" s="2">
        <f>((IF((48='V06 Calend 01'!C33),('V06 Calend 01'!F33+'V06 Calend 01'!G33),0)+IF(AND(('V06 Calend 01'!E33&gt;0),(48&gt;'V06 Calend 01'!C33),(48&lt;'V06 Calend 01'!D33),(MOD((48-'V06 Calend 01'!C33),6)=0),(((48-'V06 Calend 01'!C33)/6)&lt;='V06 Calend 01'!E33)),IF((48=('V06 Calend 01'!C33+(6*'V06 Calend 01'!E33))),('V06 Calend 01'!H33-('V06 Calend 01'!I33*('V06 Calend 01'!E33-1))),'V06 Calend 01'!I33),0))+IF((48='V06 Calend 01'!D33),'V06 Calend 01'!J33,0))</f>
        <v>0</v>
      </c>
      <c r="BI33" s="2">
        <f>((IF((49='V06 Calend 01'!C33),('V06 Calend 01'!F33+'V06 Calend 01'!G33),0)+IF(AND(('V06 Calend 01'!E33&gt;0),(49&gt;'V06 Calend 01'!C33),(49&lt;'V06 Calend 01'!D33),(MOD((49-'V06 Calend 01'!C33),6)=0),(((49-'V06 Calend 01'!C33)/6)&lt;='V06 Calend 01'!E33)),IF((49=('V06 Calend 01'!C33+(6*'V06 Calend 01'!E33))),('V06 Calend 01'!H33-('V06 Calend 01'!I33*('V06 Calend 01'!E33-1))),'V06 Calend 01'!I33),0))+IF((49='V06 Calend 01'!D33),'V06 Calend 01'!J33,0))</f>
        <v>0</v>
      </c>
      <c r="BJ33" s="2">
        <f>((IF((50='V06 Calend 01'!C33),('V06 Calend 01'!F33+'V06 Calend 01'!G33),0)+IF(AND(('V06 Calend 01'!E33&gt;0),(50&gt;'V06 Calend 01'!C33),(50&lt;'V06 Calend 01'!D33),(MOD((50-'V06 Calend 01'!C33),6)=0),(((50-'V06 Calend 01'!C33)/6)&lt;='V06 Calend 01'!E33)),IF((50=('V06 Calend 01'!C33+(6*'V06 Calend 01'!E33))),('V06 Calend 01'!H33-('V06 Calend 01'!I33*('V06 Calend 01'!E33-1))),'V06 Calend 01'!I33),0))+IF((50='V06 Calend 01'!D33),'V06 Calend 01'!J33,0))</f>
        <v>0</v>
      </c>
      <c r="BK33" s="2">
        <f>((IF((51='V06 Calend 01'!C33),('V06 Calend 01'!F33+'V06 Calend 01'!G33),0)+IF(AND(('V06 Calend 01'!E33&gt;0),(51&gt;'V06 Calend 01'!C33),(51&lt;'V06 Calend 01'!D33),(MOD((51-'V06 Calend 01'!C33),6)=0),(((51-'V06 Calend 01'!C33)/6)&lt;='V06 Calend 01'!E33)),IF((51=('V06 Calend 01'!C33+(6*'V06 Calend 01'!E33))),('V06 Calend 01'!H33-('V06 Calend 01'!I33*('V06 Calend 01'!E33-1))),'V06 Calend 01'!I33),0))+IF((51='V06 Calend 01'!D33),'V06 Calend 01'!J33,0))</f>
        <v>0</v>
      </c>
      <c r="BL33" s="2">
        <f>((IF((52='V06 Calend 01'!C33),('V06 Calend 01'!F33+'V06 Calend 01'!G33),0)+IF(AND(('V06 Calend 01'!E33&gt;0),(52&gt;'V06 Calend 01'!C33),(52&lt;'V06 Calend 01'!D33),(MOD((52-'V06 Calend 01'!C33),6)=0),(((52-'V06 Calend 01'!C33)/6)&lt;='V06 Calend 01'!E33)),IF((52=('V06 Calend 01'!C33+(6*'V06 Calend 01'!E33))),('V06 Calend 01'!H33-('V06 Calend 01'!I33*('V06 Calend 01'!E33-1))),'V06 Calend 01'!I33),0))+IF((52='V06 Calend 01'!D33),'V06 Calend 01'!J33,0))</f>
        <v>0</v>
      </c>
      <c r="BM33" s="2">
        <f>((IF((53='V06 Calend 01'!C33),('V06 Calend 01'!F33+'V06 Calend 01'!G33),0)+IF(AND(('V06 Calend 01'!E33&gt;0),(53&gt;'V06 Calend 01'!C33),(53&lt;'V06 Calend 01'!D33),(MOD((53-'V06 Calend 01'!C33),6)=0),(((53-'V06 Calend 01'!C33)/6)&lt;='V06 Calend 01'!E33)),IF((53=('V06 Calend 01'!C33+(6*'V06 Calend 01'!E33))),('V06 Calend 01'!H33-('V06 Calend 01'!I33*('V06 Calend 01'!E33-1))),'V06 Calend 01'!I33),0))+IF((53='V06 Calend 01'!D33),'V06 Calend 01'!J33,0))</f>
        <v>0</v>
      </c>
      <c r="BN33" s="2">
        <f>((IF((54='V06 Calend 01'!C33),('V06 Calend 01'!F33+'V06 Calend 01'!G33),0)+IF(AND(('V06 Calend 01'!E33&gt;0),(54&gt;'V06 Calend 01'!C33),(54&lt;'V06 Calend 01'!D33),(MOD((54-'V06 Calend 01'!C33),6)=0),(((54-'V06 Calend 01'!C33)/6)&lt;='V06 Calend 01'!E33)),IF((54=('V06 Calend 01'!C33+(6*'V06 Calend 01'!E33))),('V06 Calend 01'!H33-('V06 Calend 01'!I33*('V06 Calend 01'!E33-1))),'V06 Calend 01'!I33),0))+IF((54='V06 Calend 01'!D33),'V06 Calend 01'!J33,0))</f>
        <v>0</v>
      </c>
      <c r="BO33" s="2">
        <f>((IF((55='V06 Calend 01'!C33),('V06 Calend 01'!F33+'V06 Calend 01'!G33),0)+IF(AND(('V06 Calend 01'!E33&gt;0),(55&gt;'V06 Calend 01'!C33),(55&lt;'V06 Calend 01'!D33),(MOD((55-'V06 Calend 01'!C33),6)=0),(((55-'V06 Calend 01'!C33)/6)&lt;='V06 Calend 01'!E33)),IF((55=('V06 Calend 01'!C33+(6*'V06 Calend 01'!E33))),('V06 Calend 01'!H33-('V06 Calend 01'!I33*('V06 Calend 01'!E33-1))),'V06 Calend 01'!I33),0))+IF((55='V06 Calend 01'!D33),'V06 Calend 01'!J33,0))</f>
        <v>0</v>
      </c>
      <c r="BP33" s="2">
        <f>((IF((56='V06 Calend 01'!C33),('V06 Calend 01'!F33+'V06 Calend 01'!G33),0)+IF(AND(('V06 Calend 01'!E33&gt;0),(56&gt;'V06 Calend 01'!C33),(56&lt;'V06 Calend 01'!D33),(MOD((56-'V06 Calend 01'!C33),6)=0),(((56-'V06 Calend 01'!C33)/6)&lt;='V06 Calend 01'!E33)),IF((56=('V06 Calend 01'!C33+(6*'V06 Calend 01'!E33))),('V06 Calend 01'!H33-('V06 Calend 01'!I33*('V06 Calend 01'!E33-1))),'V06 Calend 01'!I33),0))+IF((56='V06 Calend 01'!D33),'V06 Calend 01'!J33,0))</f>
        <v>0</v>
      </c>
      <c r="BQ33" s="2">
        <f>((IF((57='V06 Calend 01'!C33),('V06 Calend 01'!F33+'V06 Calend 01'!G33),0)+IF(AND(('V06 Calend 01'!E33&gt;0),(57&gt;'V06 Calend 01'!C33),(57&lt;'V06 Calend 01'!D33),(MOD((57-'V06 Calend 01'!C33),6)=0),(((57-'V06 Calend 01'!C33)/6)&lt;='V06 Calend 01'!E33)),IF((57=('V06 Calend 01'!C33+(6*'V06 Calend 01'!E33))),('V06 Calend 01'!H33-('V06 Calend 01'!I33*('V06 Calend 01'!E33-1))),'V06 Calend 01'!I33),0))+IF((57='V06 Calend 01'!D33),'V06 Calend 01'!J33,0))</f>
        <v>0</v>
      </c>
      <c r="BR33" s="2">
        <f>((IF((58='V06 Calend 01'!C33),('V06 Calend 01'!F33+'V06 Calend 01'!G33),0)+IF(AND(('V06 Calend 01'!E33&gt;0),(58&gt;'V06 Calend 01'!C33),(58&lt;'V06 Calend 01'!D33),(MOD((58-'V06 Calend 01'!C33),6)=0),(((58-'V06 Calend 01'!C33)/6)&lt;='V06 Calend 01'!E33)),IF((58=('V06 Calend 01'!C33+(6*'V06 Calend 01'!E33))),('V06 Calend 01'!H33-('V06 Calend 01'!I33*('V06 Calend 01'!E33-1))),'V06 Calend 01'!I33),0))+IF((58='V06 Calend 01'!D33),'V06 Calend 01'!J33,0))</f>
        <v>0</v>
      </c>
      <c r="BS33" s="2">
        <f>((IF((59='V06 Calend 01'!C33),('V06 Calend 01'!F33+'V06 Calend 01'!G33),0)+IF(AND(('V06 Calend 01'!E33&gt;0),(59&gt;'V06 Calend 01'!C33),(59&lt;'V06 Calend 01'!D33),(MOD((59-'V06 Calend 01'!C33),6)=0),(((59-'V06 Calend 01'!C33)/6)&lt;='V06 Calend 01'!E33)),IF((59=('V06 Calend 01'!C33+(6*'V06 Calend 01'!E33))),('V06 Calend 01'!H33-('V06 Calend 01'!I33*('V06 Calend 01'!E33-1))),'V06 Calend 01'!I33),0))+IF((59='V06 Calend 01'!D33),'V06 Calend 01'!J33,0))</f>
        <v>0</v>
      </c>
      <c r="BT33" s="2">
        <f>((IF((60='V06 Calend 01'!C33),('V06 Calend 01'!F33+'V06 Calend 01'!G33),0)+IF(AND(('V06 Calend 01'!E33&gt;0),(60&gt;'V06 Calend 01'!C33),(60&lt;'V06 Calend 01'!D33),(MOD((60-'V06 Calend 01'!C33),6)=0),(((60-'V06 Calend 01'!C33)/6)&lt;='V06 Calend 01'!E33)),IF((60=('V06 Calend 01'!C33+(6*'V06 Calend 01'!E33))),('V06 Calend 01'!H33-('V06 Calend 01'!I33*('V06 Calend 01'!E33-1))),'V06 Calend 01'!I33),0))+IF((60='V06 Calend 01'!D33),'V06 Calend 01'!J33,0))</f>
        <v>0</v>
      </c>
      <c r="BU33" s="2">
        <f>((IF((61='V06 Calend 01'!C33),('V06 Calend 01'!F33+'V06 Calend 01'!G33),0)+IF(AND(('V06 Calend 01'!E33&gt;0),(61&gt;'V06 Calend 01'!C33),(61&lt;'V06 Calend 01'!D33),(MOD((61-'V06 Calend 01'!C33),6)=0),(((61-'V06 Calend 01'!C33)/6)&lt;='V06 Calend 01'!E33)),IF((61=('V06 Calend 01'!C33+(6*'V06 Calend 01'!E33))),('V06 Calend 01'!H33-('V06 Calend 01'!I33*('V06 Calend 01'!E33-1))),'V06 Calend 01'!I33),0))+IF((61='V06 Calend 01'!D33),'V06 Calend 01'!J33,0))</f>
        <v>0</v>
      </c>
      <c r="BV33" s="2">
        <f>((IF((62='V06 Calend 01'!C33),('V06 Calend 01'!F33+'V06 Calend 01'!G33),0)+IF(AND(('V06 Calend 01'!E33&gt;0),(62&gt;'V06 Calend 01'!C33),(62&lt;'V06 Calend 01'!D33),(MOD((62-'V06 Calend 01'!C33),6)=0),(((62-'V06 Calend 01'!C33)/6)&lt;='V06 Calend 01'!E33)),IF((62=('V06 Calend 01'!C33+(6*'V06 Calend 01'!E33))),('V06 Calend 01'!H33-('V06 Calend 01'!I33*('V06 Calend 01'!E33-1))),'V06 Calend 01'!I33),0))+IF((62='V06 Calend 01'!D33),'V06 Calend 01'!J33,0))</f>
        <v>0</v>
      </c>
      <c r="BW33" s="2">
        <f>((IF((63='V06 Calend 01'!C33),('V06 Calend 01'!F33+'V06 Calend 01'!G33),0)+IF(AND(('V06 Calend 01'!E33&gt;0),(63&gt;'V06 Calend 01'!C33),(63&lt;'V06 Calend 01'!D33),(MOD((63-'V06 Calend 01'!C33),6)=0),(((63-'V06 Calend 01'!C33)/6)&lt;='V06 Calend 01'!E33)),IF((63=('V06 Calend 01'!C33+(6*'V06 Calend 01'!E33))),('V06 Calend 01'!H33-('V06 Calend 01'!I33*('V06 Calend 01'!E33-1))),'V06 Calend 01'!I33),0))+IF((63='V06 Calend 01'!D33),'V06 Calend 01'!J33,0))</f>
        <v>0</v>
      </c>
      <c r="BX33" s="2">
        <f>((IF((64='V06 Calend 01'!C33),('V06 Calend 01'!F33+'V06 Calend 01'!G33),0)+IF(AND(('V06 Calend 01'!E33&gt;0),(64&gt;'V06 Calend 01'!C33),(64&lt;'V06 Calend 01'!D33),(MOD((64-'V06 Calend 01'!C33),6)=0),(((64-'V06 Calend 01'!C33)/6)&lt;='V06 Calend 01'!E33)),IF((64=('V06 Calend 01'!C33+(6*'V06 Calend 01'!E33))),('V06 Calend 01'!H33-('V06 Calend 01'!I33*('V06 Calend 01'!E33-1))),'V06 Calend 01'!I33),0))+IF((64='V06 Calend 01'!D33),'V06 Calend 01'!J33,0))</f>
        <v>0</v>
      </c>
      <c r="BY33" s="2">
        <f>((IF((65='V06 Calend 01'!C33),('V06 Calend 01'!F33+'V06 Calend 01'!G33),0)+IF(AND(('V06 Calend 01'!E33&gt;0),(65&gt;'V06 Calend 01'!C33),(65&lt;'V06 Calend 01'!D33),(MOD((65-'V06 Calend 01'!C33),6)=0),(((65-'V06 Calend 01'!C33)/6)&lt;='V06 Calend 01'!E33)),IF((65=('V06 Calend 01'!C33+(6*'V06 Calend 01'!E33))),('V06 Calend 01'!H33-('V06 Calend 01'!I33*('V06 Calend 01'!E33-1))),'V06 Calend 01'!I33),0))+IF((65='V06 Calend 01'!D33),'V06 Calend 01'!J33,0))</f>
        <v>0</v>
      </c>
      <c r="BZ33" s="2">
        <f>((IF((66='V06 Calend 01'!C33),('V06 Calend 01'!F33+'V06 Calend 01'!G33),0)+IF(AND(('V06 Calend 01'!E33&gt;0),(66&gt;'V06 Calend 01'!C33),(66&lt;'V06 Calend 01'!D33),(MOD((66-'V06 Calend 01'!C33),6)=0),(((66-'V06 Calend 01'!C33)/6)&lt;='V06 Calend 01'!E33)),IF((66=('V06 Calend 01'!C33+(6*'V06 Calend 01'!E33))),('V06 Calend 01'!H33-('V06 Calend 01'!I33*('V06 Calend 01'!E33-1))),'V06 Calend 01'!I33),0))+IF((66='V06 Calend 01'!D33),'V06 Calend 01'!J33,0))</f>
        <v>0</v>
      </c>
      <c r="CA33" s="2">
        <f>((IF((67='V06 Calend 01'!C33),('V06 Calend 01'!F33+'V06 Calend 01'!G33),0)+IF(AND(('V06 Calend 01'!E33&gt;0),(67&gt;'V06 Calend 01'!C33),(67&lt;'V06 Calend 01'!D33),(MOD((67-'V06 Calend 01'!C33),6)=0),(((67-'V06 Calend 01'!C33)/6)&lt;='V06 Calend 01'!E33)),IF((67=('V06 Calend 01'!C33+(6*'V06 Calend 01'!E33))),('V06 Calend 01'!H33-('V06 Calend 01'!I33*('V06 Calend 01'!E33-1))),'V06 Calend 01'!I33),0))+IF((67='V06 Calend 01'!D33),'V06 Calend 01'!J33,0))</f>
        <v>0</v>
      </c>
      <c r="CB33" s="2">
        <f>((IF((68='V06 Calend 01'!C33),('V06 Calend 01'!F33+'V06 Calend 01'!G33),0)+IF(AND(('V06 Calend 01'!E33&gt;0),(68&gt;'V06 Calend 01'!C33),(68&lt;'V06 Calend 01'!D33),(MOD((68-'V06 Calend 01'!C33),6)=0),(((68-'V06 Calend 01'!C33)/6)&lt;='V06 Calend 01'!E33)),IF((68=('V06 Calend 01'!C33+(6*'V06 Calend 01'!E33))),('V06 Calend 01'!H33-('V06 Calend 01'!I33*('V06 Calend 01'!E33-1))),'V06 Calend 01'!I33),0))+IF((68='V06 Calend 01'!D33),'V06 Calend 01'!J33,0))</f>
        <v>0</v>
      </c>
      <c r="CC33" s="2">
        <f>((IF((69='V06 Calend 01'!C33),('V06 Calend 01'!F33+'V06 Calend 01'!G33),0)+IF(AND(('V06 Calend 01'!E33&gt;0),(69&gt;'V06 Calend 01'!C33),(69&lt;'V06 Calend 01'!D33),(MOD((69-'V06 Calend 01'!C33),6)=0),(((69-'V06 Calend 01'!C33)/6)&lt;='V06 Calend 01'!E33)),IF((69=('V06 Calend 01'!C33+(6*'V06 Calend 01'!E33))),('V06 Calend 01'!H33-('V06 Calend 01'!I33*('V06 Calend 01'!E33-1))),'V06 Calend 01'!I33),0))+IF((69='V06 Calend 01'!D33),'V06 Calend 01'!J33,0))</f>
        <v>0</v>
      </c>
      <c r="CD33" s="2">
        <f>((IF((70='V06 Calend 01'!C33),('V06 Calend 01'!F33+'V06 Calend 01'!G33),0)+IF(AND(('V06 Calend 01'!E33&gt;0),(70&gt;'V06 Calend 01'!C33),(70&lt;'V06 Calend 01'!D33),(MOD((70-'V06 Calend 01'!C33),6)=0),(((70-'V06 Calend 01'!C33)/6)&lt;='V06 Calend 01'!E33)),IF((70=('V06 Calend 01'!C33+(6*'V06 Calend 01'!E33))),('V06 Calend 01'!H33-('V06 Calend 01'!I33*('V06 Calend 01'!E33-1))),'V06 Calend 01'!I33),0))+IF((70='V06 Calend 01'!D33),'V06 Calend 01'!J33,0))</f>
        <v>0</v>
      </c>
      <c r="CE33" s="2">
        <f>((IF((71='V06 Calend 01'!C33),('V06 Calend 01'!F33+'V06 Calend 01'!G33),0)+IF(AND(('V06 Calend 01'!E33&gt;0),(71&gt;'V06 Calend 01'!C33),(71&lt;'V06 Calend 01'!D33),(MOD((71-'V06 Calend 01'!C33),6)=0),(((71-'V06 Calend 01'!C33)/6)&lt;='V06 Calend 01'!E33)),IF((71=('V06 Calend 01'!C33+(6*'V06 Calend 01'!E33))),('V06 Calend 01'!H33-('V06 Calend 01'!I33*('V06 Calend 01'!E33-1))),'V06 Calend 01'!I33),0))+IF((71='V06 Calend 01'!D33),'V06 Calend 01'!J33,0))</f>
        <v>0</v>
      </c>
      <c r="CF33" s="2">
        <f>((IF((72='V06 Calend 01'!C33),('V06 Calend 01'!F33+'V06 Calend 01'!G33),0)+IF(AND(('V06 Calend 01'!E33&gt;0),(72&gt;'V06 Calend 01'!C33),(72&lt;'V06 Calend 01'!D33),(MOD((72-'V06 Calend 01'!C33),6)=0),(((72-'V06 Calend 01'!C33)/6)&lt;='V06 Calend 01'!E33)),IF((72=('V06 Calend 01'!C33+(6*'V06 Calend 01'!E33))),('V06 Calend 01'!H33-('V06 Calend 01'!I33*('V06 Calend 01'!E33-1))),'V06 Calend 01'!I33),0))+IF((72='V06 Calend 01'!D33),'V06 Calend 01'!J33,0))</f>
        <v>0</v>
      </c>
      <c r="CG33" s="2">
        <f>((IF((73='V06 Calend 01'!C33),('V06 Calend 01'!F33+'V06 Calend 01'!G33),0)+IF(AND(('V06 Calend 01'!E33&gt;0),(73&gt;'V06 Calend 01'!C33),(73&lt;'V06 Calend 01'!D33),(MOD((73-'V06 Calend 01'!C33),6)=0),(((73-'V06 Calend 01'!C33)/6)&lt;='V06 Calend 01'!E33)),IF((73=('V06 Calend 01'!C33+(6*'V06 Calend 01'!E33))),('V06 Calend 01'!H33-('V06 Calend 01'!I33*('V06 Calend 01'!E33-1))),'V06 Calend 01'!I33),0))+IF((73='V06 Calend 01'!D33),'V06 Calend 01'!J33,0))</f>
        <v>0</v>
      </c>
      <c r="CH33" s="2">
        <f>((IF((74='V06 Calend 01'!C33),('V06 Calend 01'!F33+'V06 Calend 01'!G33),0)+IF(AND(('V06 Calend 01'!E33&gt;0),(74&gt;'V06 Calend 01'!C33),(74&lt;'V06 Calend 01'!D33),(MOD((74-'V06 Calend 01'!C33),6)=0),(((74-'V06 Calend 01'!C33)/6)&lt;='V06 Calend 01'!E33)),IF((74=('V06 Calend 01'!C33+(6*'V06 Calend 01'!E33))),('V06 Calend 01'!H33-('V06 Calend 01'!I33*('V06 Calend 01'!E33-1))),'V06 Calend 01'!I33),0))+IF((74='V06 Calend 01'!D33),'V06 Calend 01'!J33,0))</f>
        <v>0</v>
      </c>
      <c r="CI33" s="2">
        <f>((IF((75='V06 Calend 01'!C33),('V06 Calend 01'!F33+'V06 Calend 01'!G33),0)+IF(AND(('V06 Calend 01'!E33&gt;0),(75&gt;'V06 Calend 01'!C33),(75&lt;'V06 Calend 01'!D33),(MOD((75-'V06 Calend 01'!C33),6)=0),(((75-'V06 Calend 01'!C33)/6)&lt;='V06 Calend 01'!E33)),IF((75=('V06 Calend 01'!C33+(6*'V06 Calend 01'!E33))),('V06 Calend 01'!H33-('V06 Calend 01'!I33*('V06 Calend 01'!E33-1))),'V06 Calend 01'!I33),0))+IF((75='V06 Calend 01'!D33),'V06 Calend 01'!J33,0))</f>
        <v>0</v>
      </c>
      <c r="CJ33" s="2">
        <f>((IF((76='V06 Calend 01'!C33),('V06 Calend 01'!F33+'V06 Calend 01'!G33),0)+IF(AND(('V06 Calend 01'!E33&gt;0),(76&gt;'V06 Calend 01'!C33),(76&lt;'V06 Calend 01'!D33),(MOD((76-'V06 Calend 01'!C33),6)=0),(((76-'V06 Calend 01'!C33)/6)&lt;='V06 Calend 01'!E33)),IF((76=('V06 Calend 01'!C33+(6*'V06 Calend 01'!E33))),('V06 Calend 01'!H33-('V06 Calend 01'!I33*('V06 Calend 01'!E33-1))),'V06 Calend 01'!I33),0))+IF((76='V06 Calend 01'!D33),'V06 Calend 01'!J33,0))</f>
        <v>0</v>
      </c>
      <c r="CK33" s="2">
        <f>((IF((77='V06 Calend 01'!C33),('V06 Calend 01'!F33+'V06 Calend 01'!G33),0)+IF(AND(('V06 Calend 01'!E33&gt;0),(77&gt;'V06 Calend 01'!C33),(77&lt;'V06 Calend 01'!D33),(MOD((77-'V06 Calend 01'!C33),6)=0),(((77-'V06 Calend 01'!C33)/6)&lt;='V06 Calend 01'!E33)),IF((77=('V06 Calend 01'!C33+(6*'V06 Calend 01'!E33))),('V06 Calend 01'!H33-('V06 Calend 01'!I33*('V06 Calend 01'!E33-1))),'V06 Calend 01'!I33),0))+IF((77='V06 Calend 01'!D33),'V06 Calend 01'!J33,0))</f>
        <v>0</v>
      </c>
      <c r="CL33" s="2">
        <f>((IF((78='V06 Calend 01'!C33),('V06 Calend 01'!F33+'V06 Calend 01'!G33),0)+IF(AND(('V06 Calend 01'!E33&gt;0),(78&gt;'V06 Calend 01'!C33),(78&lt;'V06 Calend 01'!D33),(MOD((78-'V06 Calend 01'!C33),6)=0),(((78-'V06 Calend 01'!C33)/6)&lt;='V06 Calend 01'!E33)),IF((78=('V06 Calend 01'!C33+(6*'V06 Calend 01'!E33))),('V06 Calend 01'!H33-('V06 Calend 01'!I33*('V06 Calend 01'!E33-1))),'V06 Calend 01'!I33),0))+IF((78='V06 Calend 01'!D33),'V06 Calend 01'!J33,0))</f>
        <v>0</v>
      </c>
      <c r="CM33" s="2">
        <f>((IF((79='V06 Calend 01'!C33),('V06 Calend 01'!F33+'V06 Calend 01'!G33),0)+IF(AND(('V06 Calend 01'!E33&gt;0),(79&gt;'V06 Calend 01'!C33),(79&lt;'V06 Calend 01'!D33),(MOD((79-'V06 Calend 01'!C33),6)=0),(((79-'V06 Calend 01'!C33)/6)&lt;='V06 Calend 01'!E33)),IF((79=('V06 Calend 01'!C33+(6*'V06 Calend 01'!E33))),('V06 Calend 01'!H33-('V06 Calend 01'!I33*('V06 Calend 01'!E33-1))),'V06 Calend 01'!I33),0))+IF((79='V06 Calend 01'!D33),'V06 Calend 01'!J33,0))</f>
        <v>0</v>
      </c>
      <c r="CN33" s="2">
        <f>((IF((80='V06 Calend 01'!C33),('V06 Calend 01'!F33+'V06 Calend 01'!G33),0)+IF(AND(('V06 Calend 01'!E33&gt;0),(80&gt;'V06 Calend 01'!C33),(80&lt;'V06 Calend 01'!D33),(MOD((80-'V06 Calend 01'!C33),6)=0),(((80-'V06 Calend 01'!C33)/6)&lt;='V06 Calend 01'!E33)),IF((80=('V06 Calend 01'!C33+(6*'V06 Calend 01'!E33))),('V06 Calend 01'!H33-('V06 Calend 01'!I33*('V06 Calend 01'!E33-1))),'V06 Calend 01'!I33),0))+IF((80='V06 Calend 01'!D33),'V06 Calend 01'!J33,0))</f>
        <v>0</v>
      </c>
      <c r="CO33" s="2">
        <f>((IF((81='V06 Calend 01'!C33),('V06 Calend 01'!F33+'V06 Calend 01'!G33),0)+IF(AND(('V06 Calend 01'!E33&gt;0),(81&gt;'V06 Calend 01'!C33),(81&lt;'V06 Calend 01'!D33),(MOD((81-'V06 Calend 01'!C33),6)=0),(((81-'V06 Calend 01'!C33)/6)&lt;='V06 Calend 01'!E33)),IF((81=('V06 Calend 01'!C33+(6*'V06 Calend 01'!E33))),('V06 Calend 01'!H33-('V06 Calend 01'!I33*('V06 Calend 01'!E33-1))),'V06 Calend 01'!I33),0))+IF((81='V06 Calend 01'!D33),'V06 Calend 01'!J33,0))</f>
        <v>0</v>
      </c>
      <c r="CP33" s="2">
        <f>((IF((82='V06 Calend 01'!C33),('V06 Calend 01'!F33+'V06 Calend 01'!G33),0)+IF(AND(('V06 Calend 01'!E33&gt;0),(82&gt;'V06 Calend 01'!C33),(82&lt;'V06 Calend 01'!D33),(MOD((82-'V06 Calend 01'!C33),6)=0),(((82-'V06 Calend 01'!C33)/6)&lt;='V06 Calend 01'!E33)),IF((82=('V06 Calend 01'!C33+(6*'V06 Calend 01'!E33))),('V06 Calend 01'!H33-('V06 Calend 01'!I33*('V06 Calend 01'!E33-1))),'V06 Calend 01'!I33),0))+IF((82='V06 Calend 01'!D33),'V06 Calend 01'!J33,0))</f>
        <v>0</v>
      </c>
      <c r="CQ33" s="2">
        <f>((IF((83='V06 Calend 01'!C33),('V06 Calend 01'!F33+'V06 Calend 01'!G33),0)+IF(AND(('V06 Calend 01'!E33&gt;0),(83&gt;'V06 Calend 01'!C33),(83&lt;'V06 Calend 01'!D33),(MOD((83-'V06 Calend 01'!C33),6)=0),(((83-'V06 Calend 01'!C33)/6)&lt;='V06 Calend 01'!E33)),IF((83=('V06 Calend 01'!C33+(6*'V06 Calend 01'!E33))),('V06 Calend 01'!H33-('V06 Calend 01'!I33*('V06 Calend 01'!E33-1))),'V06 Calend 01'!I33),0))+IF((83='V06 Calend 01'!D33),'V06 Calend 01'!J33,0))</f>
        <v>0</v>
      </c>
      <c r="CR33" s="2">
        <f>((IF((84='V06 Calend 01'!C33),('V06 Calend 01'!F33+'V06 Calend 01'!G33),0)+IF(AND(('V06 Calend 01'!E33&gt;0),(84&gt;'V06 Calend 01'!C33),(84&lt;'V06 Calend 01'!D33),(MOD((84-'V06 Calend 01'!C33),6)=0),(((84-'V06 Calend 01'!C33)/6)&lt;='V06 Calend 01'!E33)),IF((84=('V06 Calend 01'!C33+(6*'V06 Calend 01'!E33))),('V06 Calend 01'!H33-('V06 Calend 01'!I33*('V06 Calend 01'!E33-1))),'V06 Calend 01'!I33),0))+IF((84='V06 Calend 01'!D33),'V06 Calend 01'!J33,0))</f>
        <v>0</v>
      </c>
      <c r="CS33" s="2">
        <f>((IF((85='V06 Calend 01'!C33),('V06 Calend 01'!F33+'V06 Calend 01'!G33),0)+IF(AND(('V06 Calend 01'!E33&gt;0),(85&gt;'V06 Calend 01'!C33),(85&lt;'V06 Calend 01'!D33),(MOD((85-'V06 Calend 01'!C33),6)=0),(((85-'V06 Calend 01'!C33)/6)&lt;='V06 Calend 01'!E33)),IF((85=('V06 Calend 01'!C33+(6*'V06 Calend 01'!E33))),('V06 Calend 01'!H33-('V06 Calend 01'!I33*('V06 Calend 01'!E33-1))),'V06 Calend 01'!I33),0))+IF((85='V06 Calend 01'!D33),'V06 Calend 01'!J33,0))</f>
        <v>0</v>
      </c>
      <c r="CT33" s="2">
        <f>((IF((86='V06 Calend 01'!C33),('V06 Calend 01'!F33+'V06 Calend 01'!G33),0)+IF(AND(('V06 Calend 01'!E33&gt;0),(86&gt;'V06 Calend 01'!C33),(86&lt;'V06 Calend 01'!D33),(MOD((86-'V06 Calend 01'!C33),6)=0),(((86-'V06 Calend 01'!C33)/6)&lt;='V06 Calend 01'!E33)),IF((86=('V06 Calend 01'!C33+(6*'V06 Calend 01'!E33))),('V06 Calend 01'!H33-('V06 Calend 01'!I33*('V06 Calend 01'!E33-1))),'V06 Calend 01'!I33),0))+IF((86='V06 Calend 01'!D33),'V06 Calend 01'!J33,0))</f>
        <v>0</v>
      </c>
      <c r="CU33" s="2">
        <f>((IF((87='V06 Calend 01'!C33),('V06 Calend 01'!F33+'V06 Calend 01'!G33),0)+IF(AND(('V06 Calend 01'!E33&gt;0),(87&gt;'V06 Calend 01'!C33),(87&lt;'V06 Calend 01'!D33),(MOD((87-'V06 Calend 01'!C33),6)=0),(((87-'V06 Calend 01'!C33)/6)&lt;='V06 Calend 01'!E33)),IF((87=('V06 Calend 01'!C33+(6*'V06 Calend 01'!E33))),('V06 Calend 01'!H33-('V06 Calend 01'!I33*('V06 Calend 01'!E33-1))),'V06 Calend 01'!I33),0))+IF((87='V06 Calend 01'!D33),'V06 Calend 01'!J33,0))</f>
        <v>0</v>
      </c>
      <c r="CV33" s="2">
        <f>((IF((88='V06 Calend 01'!C33),('V06 Calend 01'!F33+'V06 Calend 01'!G33),0)+IF(AND(('V06 Calend 01'!E33&gt;0),(88&gt;'V06 Calend 01'!C33),(88&lt;'V06 Calend 01'!D33),(MOD((88-'V06 Calend 01'!C33),6)=0),(((88-'V06 Calend 01'!C33)/6)&lt;='V06 Calend 01'!E33)),IF((88=('V06 Calend 01'!C33+(6*'V06 Calend 01'!E33))),('V06 Calend 01'!H33-('V06 Calend 01'!I33*('V06 Calend 01'!E33-1))),'V06 Calend 01'!I33),0))+IF((88='V06 Calend 01'!D33),'V06 Calend 01'!J33,0))</f>
        <v>0</v>
      </c>
      <c r="CW33" s="2">
        <f>((IF((89='V06 Calend 01'!C33),('V06 Calend 01'!F33+'V06 Calend 01'!G33),0)+IF(AND(('V06 Calend 01'!E33&gt;0),(89&gt;'V06 Calend 01'!C33),(89&lt;'V06 Calend 01'!D33),(MOD((89-'V06 Calend 01'!C33),6)=0),(((89-'V06 Calend 01'!C33)/6)&lt;='V06 Calend 01'!E33)),IF((89=('V06 Calend 01'!C33+(6*'V06 Calend 01'!E33))),('V06 Calend 01'!H33-('V06 Calend 01'!I33*('V06 Calend 01'!E33-1))),'V06 Calend 01'!I33),0))+IF((89='V06 Calend 01'!D33),'V06 Calend 01'!J33,0))</f>
        <v>0</v>
      </c>
      <c r="CX33" s="2">
        <f>((IF((90='V06 Calend 01'!C33),('V06 Calend 01'!F33+'V06 Calend 01'!G33),0)+IF(AND(('V06 Calend 01'!E33&gt;0),(90&gt;'V06 Calend 01'!C33),(90&lt;'V06 Calend 01'!D33),(MOD((90-'V06 Calend 01'!C33),6)=0),(((90-'V06 Calend 01'!C33)/6)&lt;='V06 Calend 01'!E33)),IF((90=('V06 Calend 01'!C33+(6*'V06 Calend 01'!E33))),('V06 Calend 01'!H33-('V06 Calend 01'!I33*('V06 Calend 01'!E33-1))),'V06 Calend 01'!I33),0))+IF((90='V06 Calend 01'!D33),'V06 Calend 01'!J33,0))</f>
        <v>0</v>
      </c>
      <c r="CY33" s="2">
        <f>((IF((91='V06 Calend 01'!C33),('V06 Calend 01'!F33+'V06 Calend 01'!G33),0)+IF(AND(('V06 Calend 01'!E33&gt;0),(91&gt;'V06 Calend 01'!C33),(91&lt;'V06 Calend 01'!D33),(MOD((91-'V06 Calend 01'!C33),6)=0),(((91-'V06 Calend 01'!C33)/6)&lt;='V06 Calend 01'!E33)),IF((91=('V06 Calend 01'!C33+(6*'V06 Calend 01'!E33))),('V06 Calend 01'!H33-('V06 Calend 01'!I33*('V06 Calend 01'!E33-1))),'V06 Calend 01'!I33),0))+IF((91='V06 Calend 01'!D33),'V06 Calend 01'!J33,0))</f>
        <v>0</v>
      </c>
      <c r="CZ33" s="2">
        <f>((IF((92='V06 Calend 01'!C33),('V06 Calend 01'!F33+'V06 Calend 01'!G33),0)+IF(AND(('V06 Calend 01'!E33&gt;0),(92&gt;'V06 Calend 01'!C33),(92&lt;'V06 Calend 01'!D33),(MOD((92-'V06 Calend 01'!C33),6)=0),(((92-'V06 Calend 01'!C33)/6)&lt;='V06 Calend 01'!E33)),IF((92=('V06 Calend 01'!C33+(6*'V06 Calend 01'!E33))),('V06 Calend 01'!H33-('V06 Calend 01'!I33*('V06 Calend 01'!E33-1))),'V06 Calend 01'!I33),0))+IF((92='V06 Calend 01'!D33),'V06 Calend 01'!J33,0))</f>
        <v>0</v>
      </c>
      <c r="DA33" s="2">
        <f>((IF((93='V06 Calend 01'!C33),('V06 Calend 01'!F33+'V06 Calend 01'!G33),0)+IF(AND(('V06 Calend 01'!E33&gt;0),(93&gt;'V06 Calend 01'!C33),(93&lt;'V06 Calend 01'!D33),(MOD((93-'V06 Calend 01'!C33),6)=0),(((93-'V06 Calend 01'!C33)/6)&lt;='V06 Calend 01'!E33)),IF((93=('V06 Calend 01'!C33+(6*'V06 Calend 01'!E33))),('V06 Calend 01'!H33-('V06 Calend 01'!I33*('V06 Calend 01'!E33-1))),'V06 Calend 01'!I33),0))+IF((93='V06 Calend 01'!D33),'V06 Calend 01'!J33,0))</f>
        <v>0</v>
      </c>
      <c r="DB33" s="2">
        <f>((IF((94='V06 Calend 01'!C33),('V06 Calend 01'!F33+'V06 Calend 01'!G33),0)+IF(AND(('V06 Calend 01'!E33&gt;0),(94&gt;'V06 Calend 01'!C33),(94&lt;'V06 Calend 01'!D33),(MOD((94-'V06 Calend 01'!C33),6)=0),(((94-'V06 Calend 01'!C33)/6)&lt;='V06 Calend 01'!E33)),IF((94=('V06 Calend 01'!C33+(6*'V06 Calend 01'!E33))),('V06 Calend 01'!H33-('V06 Calend 01'!I33*('V06 Calend 01'!E33-1))),'V06 Calend 01'!I33),0))+IF((94='V06 Calend 01'!D33),'V06 Calend 01'!J33,0))</f>
        <v>0</v>
      </c>
      <c r="DC33" s="2">
        <f>((IF((95='V06 Calend 01'!C33),('V06 Calend 01'!F33+'V06 Calend 01'!G33),0)+IF(AND(('V06 Calend 01'!E33&gt;0),(95&gt;'V06 Calend 01'!C33),(95&lt;'V06 Calend 01'!D33),(MOD((95-'V06 Calend 01'!C33),6)=0),(((95-'V06 Calend 01'!C33)/6)&lt;='V06 Calend 01'!E33)),IF((95=('V06 Calend 01'!C33+(6*'V06 Calend 01'!E33))),('V06 Calend 01'!H33-('V06 Calend 01'!I33*('V06 Calend 01'!E33-1))),'V06 Calend 01'!I33),0))+IF((95='V06 Calend 01'!D33),'V06 Calend 01'!J33,0))</f>
        <v>0</v>
      </c>
      <c r="DD33" s="2">
        <f>((IF((96='V06 Calend 01'!C33),('V06 Calend 01'!F33+'V06 Calend 01'!G33),0)+IF(AND(('V06 Calend 01'!E33&gt;0),(96&gt;'V06 Calend 01'!C33),(96&lt;'V06 Calend 01'!D33),(MOD((96-'V06 Calend 01'!C33),6)=0),(((96-'V06 Calend 01'!C33)/6)&lt;='V06 Calend 01'!E33)),IF((96=('V06 Calend 01'!C33+(6*'V06 Calend 01'!E33))),('V06 Calend 01'!H33-('V06 Calend 01'!I33*('V06 Calend 01'!E33-1))),'V06 Calend 01'!I33),0))+IF((96='V06 Calend 01'!D33),'V06 Calend 01'!J33,0))</f>
        <v>0</v>
      </c>
      <c r="DE33" s="2">
        <f>((IF((97='V06 Calend 01'!C33),('V06 Calend 01'!F33+'V06 Calend 01'!G33),0)+IF(AND(('V06 Calend 01'!E33&gt;0),(97&gt;'V06 Calend 01'!C33),(97&lt;'V06 Calend 01'!D33),(MOD((97-'V06 Calend 01'!C33),6)=0),(((97-'V06 Calend 01'!C33)/6)&lt;='V06 Calend 01'!E33)),IF((97=('V06 Calend 01'!C33+(6*'V06 Calend 01'!E33))),('V06 Calend 01'!H33-('V06 Calend 01'!I33*('V06 Calend 01'!E33-1))),'V06 Calend 01'!I33),0))+IF((97='V06 Calend 01'!D33),'V06 Calend 01'!J33,0))</f>
        <v>0</v>
      </c>
      <c r="DF33" s="2">
        <f>((IF((98='V06 Calend 01'!C33),('V06 Calend 01'!F33+'V06 Calend 01'!G33),0)+IF(AND(('V06 Calend 01'!E33&gt;0),(98&gt;'V06 Calend 01'!C33),(98&lt;'V06 Calend 01'!D33),(MOD((98-'V06 Calend 01'!C33),6)=0),(((98-'V06 Calend 01'!C33)/6)&lt;='V06 Calend 01'!E33)),IF((98=('V06 Calend 01'!C33+(6*'V06 Calend 01'!E33))),('V06 Calend 01'!H33-('V06 Calend 01'!I33*('V06 Calend 01'!E33-1))),'V06 Calend 01'!I33),0))+IF((98='V06 Calend 01'!D33),'V06 Calend 01'!J33,0))</f>
        <v>0</v>
      </c>
      <c r="DG33" s="2">
        <f>((IF((99='V06 Calend 01'!C33),('V06 Calend 01'!F33+'V06 Calend 01'!G33),0)+IF(AND(('V06 Calend 01'!E33&gt;0),(99&gt;'V06 Calend 01'!C33),(99&lt;'V06 Calend 01'!D33),(MOD((99-'V06 Calend 01'!C33),6)=0),(((99-'V06 Calend 01'!C33)/6)&lt;='V06 Calend 01'!E33)),IF((99=('V06 Calend 01'!C33+(6*'V06 Calend 01'!E33))),('V06 Calend 01'!H33-('V06 Calend 01'!I33*('V06 Calend 01'!E33-1))),'V06 Calend 01'!I33),0))+IF((99='V06 Calend 01'!D33),'V06 Calend 01'!J33,0))</f>
        <v>0</v>
      </c>
      <c r="DH33" s="2">
        <f>((IF((100='V06 Calend 01'!C33),('V06 Calend 01'!F33+'V06 Calend 01'!G33),0)+IF(AND(('V06 Calend 01'!E33&gt;0),(100&gt;'V06 Calend 01'!C33),(100&lt;'V06 Calend 01'!D33),(MOD((100-'V06 Calend 01'!C33),6)=0),(((100-'V06 Calend 01'!C33)/6)&lt;='V06 Calend 01'!E33)),IF((100=('V06 Calend 01'!C33+(6*'V06 Calend 01'!E33))),('V06 Calend 01'!H33-('V06 Calend 01'!I33*('V06 Calend 01'!E33-1))),'V06 Calend 01'!I33),0))+IF((100='V06 Calend 01'!D33),'V06 Calend 01'!J33,0))</f>
        <v>0</v>
      </c>
      <c r="DI33" s="2">
        <f>((IF((101='V06 Calend 01'!C33),('V06 Calend 01'!F33+'V06 Calend 01'!G33),0)+IF(AND(('V06 Calend 01'!E33&gt;0),(101&gt;'V06 Calend 01'!C33),(101&lt;'V06 Calend 01'!D33),(MOD((101-'V06 Calend 01'!C33),6)=0),(((101-'V06 Calend 01'!C33)/6)&lt;='V06 Calend 01'!E33)),IF((101=('V06 Calend 01'!C33+(6*'V06 Calend 01'!E33))),('V06 Calend 01'!H33-('V06 Calend 01'!I33*('V06 Calend 01'!E33-1))),'V06 Calend 01'!I33),0))+IF((101='V06 Calend 01'!D33),'V06 Calend 01'!J33,0))</f>
        <v>0</v>
      </c>
      <c r="DJ33" s="2">
        <f>((IF((102='V06 Calend 01'!C33),('V06 Calend 01'!F33+'V06 Calend 01'!G33),0)+IF(AND(('V06 Calend 01'!E33&gt;0),(102&gt;'V06 Calend 01'!C33),(102&lt;'V06 Calend 01'!D33),(MOD((102-'V06 Calend 01'!C33),6)=0),(((102-'V06 Calend 01'!C33)/6)&lt;='V06 Calend 01'!E33)),IF((102=('V06 Calend 01'!C33+(6*'V06 Calend 01'!E33))),('V06 Calend 01'!H33-('V06 Calend 01'!I33*('V06 Calend 01'!E33-1))),'V06 Calend 01'!I33),0))+IF((102='V06 Calend 01'!D33),'V06 Calend 01'!J33,0))</f>
        <v>0</v>
      </c>
      <c r="DK33" s="2">
        <f>((IF((103='V06 Calend 01'!C33),('V06 Calend 01'!F33+'V06 Calend 01'!G33),0)+IF(AND(('V06 Calend 01'!E33&gt;0),(103&gt;'V06 Calend 01'!C33),(103&lt;'V06 Calend 01'!D33),(MOD((103-'V06 Calend 01'!C33),6)=0),(((103-'V06 Calend 01'!C33)/6)&lt;='V06 Calend 01'!E33)),IF((103=('V06 Calend 01'!C33+(6*'V06 Calend 01'!E33))),('V06 Calend 01'!H33-('V06 Calend 01'!I33*('V06 Calend 01'!E33-1))),'V06 Calend 01'!I33),0))+IF((103='V06 Calend 01'!D33),'V06 Calend 01'!J33,0))</f>
        <v>0</v>
      </c>
      <c r="DL33" s="2">
        <f>((IF((104='V06 Calend 01'!C33),('V06 Calend 01'!F33+'V06 Calend 01'!G33),0)+IF(AND(('V06 Calend 01'!E33&gt;0),(104&gt;'V06 Calend 01'!C33),(104&lt;'V06 Calend 01'!D33),(MOD((104-'V06 Calend 01'!C33),6)=0),(((104-'V06 Calend 01'!C33)/6)&lt;='V06 Calend 01'!E33)),IF((104=('V06 Calend 01'!C33+(6*'V06 Calend 01'!E33))),('V06 Calend 01'!H33-('V06 Calend 01'!I33*('V06 Calend 01'!E33-1))),'V06 Calend 01'!I33),0))+IF((104='V06 Calend 01'!D33),'V06 Calend 01'!J33,0))</f>
        <v>0</v>
      </c>
      <c r="DM33" s="2">
        <f>((IF((105='V06 Calend 01'!C33),('V06 Calend 01'!F33+'V06 Calend 01'!G33),0)+IF(AND(('V06 Calend 01'!E33&gt;0),(105&gt;'V06 Calend 01'!C33),(105&lt;'V06 Calend 01'!D33),(MOD((105-'V06 Calend 01'!C33),6)=0),(((105-'V06 Calend 01'!C33)/6)&lt;='V06 Calend 01'!E33)),IF((105=('V06 Calend 01'!C33+(6*'V06 Calend 01'!E33))),('V06 Calend 01'!H33-('V06 Calend 01'!I33*('V06 Calend 01'!E33-1))),'V06 Calend 01'!I33),0))+IF((105='V06 Calend 01'!D33),'V06 Calend 01'!J33,0))</f>
        <v>0</v>
      </c>
      <c r="DN33" s="2">
        <f>((IF((106='V06 Calend 01'!C33),('V06 Calend 01'!F33+'V06 Calend 01'!G33),0)+IF(AND(('V06 Calend 01'!E33&gt;0),(106&gt;'V06 Calend 01'!C33),(106&lt;'V06 Calend 01'!D33),(MOD((106-'V06 Calend 01'!C33),6)=0),(((106-'V06 Calend 01'!C33)/6)&lt;='V06 Calend 01'!E33)),IF((106=('V06 Calend 01'!C33+(6*'V06 Calend 01'!E33))),('V06 Calend 01'!H33-('V06 Calend 01'!I33*('V06 Calend 01'!E33-1))),'V06 Calend 01'!I33),0))+IF((106='V06 Calend 01'!D33),'V06 Calend 01'!J33,0))</f>
        <v>0</v>
      </c>
      <c r="DO33" s="2">
        <f>((IF((107='V06 Calend 01'!C33),('V06 Calend 01'!F33+'V06 Calend 01'!G33),0)+IF(AND(('V06 Calend 01'!E33&gt;0),(107&gt;'V06 Calend 01'!C33),(107&lt;'V06 Calend 01'!D33),(MOD((107-'V06 Calend 01'!C33),6)=0),(((107-'V06 Calend 01'!C33)/6)&lt;='V06 Calend 01'!E33)),IF((107=('V06 Calend 01'!C33+(6*'V06 Calend 01'!E33))),('V06 Calend 01'!H33-('V06 Calend 01'!I33*('V06 Calend 01'!E33-1))),'V06 Calend 01'!I33),0))+IF((107='V06 Calend 01'!D33),'V06 Calend 01'!J33,0))</f>
        <v>0</v>
      </c>
      <c r="DP33" s="2">
        <f>((IF((108='V06 Calend 01'!C33),('V06 Calend 01'!F33+'V06 Calend 01'!G33),0)+IF(AND(('V06 Calend 01'!E33&gt;0),(108&gt;'V06 Calend 01'!C33),(108&lt;'V06 Calend 01'!D33),(MOD((108-'V06 Calend 01'!C33),6)=0),(((108-'V06 Calend 01'!C33)/6)&lt;='V06 Calend 01'!E33)),IF((108=('V06 Calend 01'!C33+(6*'V06 Calend 01'!E33))),('V06 Calend 01'!H33-('V06 Calend 01'!I33*('V06 Calend 01'!E33-1))),'V06 Calend 01'!I33),0))+IF((108='V06 Calend 01'!D33),'V06 Calend 01'!J33,0))</f>
        <v>0</v>
      </c>
      <c r="DQ33" s="2">
        <f>((IF((109='V06 Calend 01'!C33),('V06 Calend 01'!F33+'V06 Calend 01'!G33),0)+IF(AND(('V06 Calend 01'!E33&gt;0),(109&gt;'V06 Calend 01'!C33),(109&lt;'V06 Calend 01'!D33),(MOD((109-'V06 Calend 01'!C33),6)=0),(((109-'V06 Calend 01'!C33)/6)&lt;='V06 Calend 01'!E33)),IF((109=('V06 Calend 01'!C33+(6*'V06 Calend 01'!E33))),('V06 Calend 01'!H33-('V06 Calend 01'!I33*('V06 Calend 01'!E33-1))),'V06 Calend 01'!I33),0))+IF((109='V06 Calend 01'!D33),'V06 Calend 01'!J33,0))</f>
        <v>0</v>
      </c>
      <c r="DR33" s="2">
        <f>((IF((110='V06 Calend 01'!C33),('V06 Calend 01'!F33+'V06 Calend 01'!G33),0)+IF(AND(('V06 Calend 01'!E33&gt;0),(110&gt;'V06 Calend 01'!C33),(110&lt;'V06 Calend 01'!D33),(MOD((110-'V06 Calend 01'!C33),6)=0),(((110-'V06 Calend 01'!C33)/6)&lt;='V06 Calend 01'!E33)),IF((110=('V06 Calend 01'!C33+(6*'V06 Calend 01'!E33))),('V06 Calend 01'!H33-('V06 Calend 01'!I33*('V06 Calend 01'!E33-1))),'V06 Calend 01'!I33),0))+IF((110='V06 Calend 01'!D33),'V06 Calend 01'!J33,0))</f>
        <v>0</v>
      </c>
      <c r="DS33" s="2">
        <f>((IF((111='V06 Calend 01'!C33),('V06 Calend 01'!F33+'V06 Calend 01'!G33),0)+IF(AND(('V06 Calend 01'!E33&gt;0),(111&gt;'V06 Calend 01'!C33),(111&lt;'V06 Calend 01'!D33),(MOD((111-'V06 Calend 01'!C33),6)=0),(((111-'V06 Calend 01'!C33)/6)&lt;='V06 Calend 01'!E33)),IF((111=('V06 Calend 01'!C33+(6*'V06 Calend 01'!E33))),('V06 Calend 01'!H33-('V06 Calend 01'!I33*('V06 Calend 01'!E33-1))),'V06 Calend 01'!I33),0))+IF((111='V06 Calend 01'!D33),'V06 Calend 01'!J33,0))</f>
        <v>0</v>
      </c>
      <c r="DT33" s="2">
        <f>((IF((112='V06 Calend 01'!C33),('V06 Calend 01'!F33+'V06 Calend 01'!G33),0)+IF(AND(('V06 Calend 01'!E33&gt;0),(112&gt;'V06 Calend 01'!C33),(112&lt;'V06 Calend 01'!D33),(MOD((112-'V06 Calend 01'!C33),6)=0),(((112-'V06 Calend 01'!C33)/6)&lt;='V06 Calend 01'!E33)),IF((112=('V06 Calend 01'!C33+(6*'V06 Calend 01'!E33))),('V06 Calend 01'!H33-('V06 Calend 01'!I33*('V06 Calend 01'!E33-1))),'V06 Calend 01'!I33),0))+IF((112='V06 Calend 01'!D33),'V06 Calend 01'!J33,0))</f>
        <v>0</v>
      </c>
      <c r="DU33" s="2">
        <f>((IF((113='V06 Calend 01'!C33),('V06 Calend 01'!F33+'V06 Calend 01'!G33),0)+IF(AND(('V06 Calend 01'!E33&gt;0),(113&gt;'V06 Calend 01'!C33),(113&lt;'V06 Calend 01'!D33),(MOD((113-'V06 Calend 01'!C33),6)=0),(((113-'V06 Calend 01'!C33)/6)&lt;='V06 Calend 01'!E33)),IF((113=('V06 Calend 01'!C33+(6*'V06 Calend 01'!E33))),('V06 Calend 01'!H33-('V06 Calend 01'!I33*('V06 Calend 01'!E33-1))),'V06 Calend 01'!I33),0))+IF((113='V06 Calend 01'!D33),'V06 Calend 01'!J33,0))</f>
        <v>0</v>
      </c>
      <c r="DV33" s="2">
        <f>((IF((114='V06 Calend 01'!C33),('V06 Calend 01'!F33+'V06 Calend 01'!G33),0)+IF(AND(('V06 Calend 01'!E33&gt;0),(114&gt;'V06 Calend 01'!C33),(114&lt;'V06 Calend 01'!D33),(MOD((114-'V06 Calend 01'!C33),6)=0),(((114-'V06 Calend 01'!C33)/6)&lt;='V06 Calend 01'!E33)),IF((114=('V06 Calend 01'!C33+(6*'V06 Calend 01'!E33))),('V06 Calend 01'!H33-('V06 Calend 01'!I33*('V06 Calend 01'!E33-1))),'V06 Calend 01'!I33),0))+IF((114='V06 Calend 01'!D33),'V06 Calend 01'!J33,0))</f>
        <v>0</v>
      </c>
      <c r="DW33" s="2">
        <f>((IF((115='V06 Calend 01'!C33),('V06 Calend 01'!F33+'V06 Calend 01'!G33),0)+IF(AND(('V06 Calend 01'!E33&gt;0),(115&gt;'V06 Calend 01'!C33),(115&lt;'V06 Calend 01'!D33),(MOD((115-'V06 Calend 01'!C33),6)=0),(((115-'V06 Calend 01'!C33)/6)&lt;='V06 Calend 01'!E33)),IF((115=('V06 Calend 01'!C33+(6*'V06 Calend 01'!E33))),('V06 Calend 01'!H33-('V06 Calend 01'!I33*('V06 Calend 01'!E33-1))),'V06 Calend 01'!I33),0))+IF((115='V06 Calend 01'!D33),'V06 Calend 01'!J33,0))</f>
        <v>0</v>
      </c>
      <c r="DX33" s="2">
        <f>((IF((116='V06 Calend 01'!C33),('V06 Calend 01'!F33+'V06 Calend 01'!G33),0)+IF(AND(('V06 Calend 01'!E33&gt;0),(116&gt;'V06 Calend 01'!C33),(116&lt;'V06 Calend 01'!D33),(MOD((116-'V06 Calend 01'!C33),6)=0),(((116-'V06 Calend 01'!C33)/6)&lt;='V06 Calend 01'!E33)),IF((116=('V06 Calend 01'!C33+(6*'V06 Calend 01'!E33))),('V06 Calend 01'!H33-('V06 Calend 01'!I33*('V06 Calend 01'!E33-1))),'V06 Calend 01'!I33),0))+IF((116='V06 Calend 01'!D33),'V06 Calend 01'!J33,0))</f>
        <v>0</v>
      </c>
      <c r="DY33" s="2">
        <f>((IF((117='V06 Calend 01'!C33),('V06 Calend 01'!F33+'V06 Calend 01'!G33),0)+IF(AND(('V06 Calend 01'!E33&gt;0),(117&gt;'V06 Calend 01'!C33),(117&lt;'V06 Calend 01'!D33),(MOD((117-'V06 Calend 01'!C33),6)=0),(((117-'V06 Calend 01'!C33)/6)&lt;='V06 Calend 01'!E33)),IF((117=('V06 Calend 01'!C33+(6*'V06 Calend 01'!E33))),('V06 Calend 01'!H33-('V06 Calend 01'!I33*('V06 Calend 01'!E33-1))),'V06 Calend 01'!I33),0))+IF((117='V06 Calend 01'!D33),'V06 Calend 01'!J33,0))</f>
        <v>0</v>
      </c>
      <c r="DZ33" s="2">
        <f>((IF((118='V06 Calend 01'!C33),('V06 Calend 01'!F33+'V06 Calend 01'!G33),0)+IF(AND(('V06 Calend 01'!E33&gt;0),(118&gt;'V06 Calend 01'!C33),(118&lt;'V06 Calend 01'!D33),(MOD((118-'V06 Calend 01'!C33),6)=0),(((118-'V06 Calend 01'!C33)/6)&lt;='V06 Calend 01'!E33)),IF((118=('V06 Calend 01'!C33+(6*'V06 Calend 01'!E33))),('V06 Calend 01'!H33-('V06 Calend 01'!I33*('V06 Calend 01'!E33-1))),'V06 Calend 01'!I33),0))+IF((118='V06 Calend 01'!D33),'V06 Calend 01'!J33,0))</f>
        <v>0</v>
      </c>
      <c r="EA33" s="2">
        <f>((IF((119='V06 Calend 01'!C33),('V06 Calend 01'!F33+'V06 Calend 01'!G33),0)+IF(AND(('V06 Calend 01'!E33&gt;0),(119&gt;'V06 Calend 01'!C33),(119&lt;'V06 Calend 01'!D33),(MOD((119-'V06 Calend 01'!C33),6)=0),(((119-'V06 Calend 01'!C33)/6)&lt;='V06 Calend 01'!E33)),IF((119=('V06 Calend 01'!C33+(6*'V06 Calend 01'!E33))),('V06 Calend 01'!H33-('V06 Calend 01'!I33*('V06 Calend 01'!E33-1))),'V06 Calend 01'!I33),0))+IF((119='V06 Calend 01'!D33),'V06 Calend 01'!J33,0))</f>
        <v>0</v>
      </c>
      <c r="EB33" s="2">
        <f>((IF((120='V06 Calend 01'!C33),('V06 Calend 01'!F33+'V06 Calend 01'!G33),0)+IF(AND(('V06 Calend 01'!E33&gt;0),(120&gt;'V06 Calend 01'!C33),(120&lt;'V06 Calend 01'!D33),(MOD((120-'V06 Calend 01'!C33),6)=0),(((120-'V06 Calend 01'!C33)/6)&lt;='V06 Calend 01'!E33)),IF((120=('V06 Calend 01'!C33+(6*'V06 Calend 01'!E33))),('V06 Calend 01'!H33-('V06 Calend 01'!I33*('V06 Calend 01'!E33-1))),'V06 Calend 01'!I33),0))+IF((120='V06 Calend 01'!D33),'V06 Calend 01'!J33,0))</f>
        <v>0</v>
      </c>
      <c r="EC33" s="2">
        <f>((IF((121='V06 Calend 01'!C33),('V06 Calend 01'!F33+'V06 Calend 01'!G33),0)+IF(AND(('V06 Calend 01'!E33&gt;0),(121&gt;'V06 Calend 01'!C33),(121&lt;'V06 Calend 01'!D33),(MOD((121-'V06 Calend 01'!C33),6)=0),(((121-'V06 Calend 01'!C33)/6)&lt;='V06 Calend 01'!E33)),IF((121=('V06 Calend 01'!C33+(6*'V06 Calend 01'!E33))),('V06 Calend 01'!H33-('V06 Calend 01'!I33*('V06 Calend 01'!E33-1))),'V06 Calend 01'!I33),0))+IF((121='V06 Calend 01'!D33),'V06 Calend 01'!J33,0))</f>
        <v>0</v>
      </c>
      <c r="ED33" s="2">
        <f>((IF((122='V06 Calend 01'!C33),('V06 Calend 01'!F33+'V06 Calend 01'!G33),0)+IF(AND(('V06 Calend 01'!E33&gt;0),(122&gt;'V06 Calend 01'!C33),(122&lt;'V06 Calend 01'!D33),(MOD((122-'V06 Calend 01'!C33),6)=0),(((122-'V06 Calend 01'!C33)/6)&lt;='V06 Calend 01'!E33)),IF((122=('V06 Calend 01'!C33+(6*'V06 Calend 01'!E33))),('V06 Calend 01'!H33-('V06 Calend 01'!I33*('V06 Calend 01'!E33-1))),'V06 Calend 01'!I33),0))+IF((122='V06 Calend 01'!D33),'V06 Calend 01'!J33,0))</f>
        <v>0</v>
      </c>
      <c r="EE33" s="2">
        <f>((IF((123='V06 Calend 01'!C33),('V06 Calend 01'!F33+'V06 Calend 01'!G33),0)+IF(AND(('V06 Calend 01'!E33&gt;0),(123&gt;'V06 Calend 01'!C33),(123&lt;'V06 Calend 01'!D33),(MOD((123-'V06 Calend 01'!C33),6)=0),(((123-'V06 Calend 01'!C33)/6)&lt;='V06 Calend 01'!E33)),IF((123=('V06 Calend 01'!C33+(6*'V06 Calend 01'!E33))),('V06 Calend 01'!H33-('V06 Calend 01'!I33*('V06 Calend 01'!E33-1))),'V06 Calend 01'!I33),0))+IF((123='V06 Calend 01'!D33),'V06 Calend 01'!J33,0))</f>
        <v>0</v>
      </c>
      <c r="EF33" s="2">
        <f>((IF((124='V06 Calend 01'!C33),('V06 Calend 01'!F33+'V06 Calend 01'!G33),0)+IF(AND(('V06 Calend 01'!E33&gt;0),(124&gt;'V06 Calend 01'!C33),(124&lt;'V06 Calend 01'!D33),(MOD((124-'V06 Calend 01'!C33),6)=0),(((124-'V06 Calend 01'!C33)/6)&lt;='V06 Calend 01'!E33)),IF((124=('V06 Calend 01'!C33+(6*'V06 Calend 01'!E33))),('V06 Calend 01'!H33-('V06 Calend 01'!I33*('V06 Calend 01'!E33-1))),'V06 Calend 01'!I33),0))+IF((124='V06 Calend 01'!D33),'V06 Calend 01'!J33,0))</f>
        <v>0</v>
      </c>
      <c r="EG33" s="2">
        <f>((IF((125='V06 Calend 01'!C33),('V06 Calend 01'!F33+'V06 Calend 01'!G33),0)+IF(AND(('V06 Calend 01'!E33&gt;0),(125&gt;'V06 Calend 01'!C33),(125&lt;'V06 Calend 01'!D33),(MOD((125-'V06 Calend 01'!C33),6)=0),(((125-'V06 Calend 01'!C33)/6)&lt;='V06 Calend 01'!E33)),IF((125=('V06 Calend 01'!C33+(6*'V06 Calend 01'!E33))),('V06 Calend 01'!H33-('V06 Calend 01'!I33*('V06 Calend 01'!E33-1))),'V06 Calend 01'!I33),0))+IF((125='V06 Calend 01'!D33),'V06 Calend 01'!J33,0))</f>
        <v>0</v>
      </c>
      <c r="EH33" s="2">
        <f>((IF((126='V06 Calend 01'!C33),('V06 Calend 01'!F33+'V06 Calend 01'!G33),0)+IF(AND(('V06 Calend 01'!E33&gt;0),(126&gt;'V06 Calend 01'!C33),(126&lt;'V06 Calend 01'!D33),(MOD((126-'V06 Calend 01'!C33),6)=0),(((126-'V06 Calend 01'!C33)/6)&lt;='V06 Calend 01'!E33)),IF((126=('V06 Calend 01'!C33+(6*'V06 Calend 01'!E33))),('V06 Calend 01'!H33-('V06 Calend 01'!I33*('V06 Calend 01'!E33-1))),'V06 Calend 01'!I33),0))+IF((126='V06 Calend 01'!D33),'V06 Calend 01'!J33,0))</f>
        <v>0</v>
      </c>
      <c r="EI33" s="2">
        <f>((IF((127='V06 Calend 01'!C33),('V06 Calend 01'!F33+'V06 Calend 01'!G33),0)+IF(AND(('V06 Calend 01'!E33&gt;0),(127&gt;'V06 Calend 01'!C33),(127&lt;'V06 Calend 01'!D33),(MOD((127-'V06 Calend 01'!C33),6)=0),(((127-'V06 Calend 01'!C33)/6)&lt;='V06 Calend 01'!E33)),IF((127=('V06 Calend 01'!C33+(6*'V06 Calend 01'!E33))),('V06 Calend 01'!H33-('V06 Calend 01'!I33*('V06 Calend 01'!E33-1))),'V06 Calend 01'!I33),0))+IF((127='V06 Calend 01'!D33),'V06 Calend 01'!J33,0))</f>
        <v>0</v>
      </c>
      <c r="EJ33" s="2">
        <f>((IF((128='V06 Calend 01'!C33),('V06 Calend 01'!F33+'V06 Calend 01'!G33),0)+IF(AND(('V06 Calend 01'!E33&gt;0),(128&gt;'V06 Calend 01'!C33),(128&lt;'V06 Calend 01'!D33),(MOD((128-'V06 Calend 01'!C33),6)=0),(((128-'V06 Calend 01'!C33)/6)&lt;='V06 Calend 01'!E33)),IF((128=('V06 Calend 01'!C33+(6*'V06 Calend 01'!E33))),('V06 Calend 01'!H33-('V06 Calend 01'!I33*('V06 Calend 01'!E33-1))),'V06 Calend 01'!I33),0))+IF((128='V06 Calend 01'!D33),'V06 Calend 01'!J33,0))</f>
        <v>0</v>
      </c>
      <c r="EK33" s="2">
        <f>((IF((129='V06 Calend 01'!C33),('V06 Calend 01'!F33+'V06 Calend 01'!G33),0)+IF(AND(('V06 Calend 01'!E33&gt;0),(129&gt;'V06 Calend 01'!C33),(129&lt;'V06 Calend 01'!D33),(MOD((129-'V06 Calend 01'!C33),6)=0),(((129-'V06 Calend 01'!C33)/6)&lt;='V06 Calend 01'!E33)),IF((129=('V06 Calend 01'!C33+(6*'V06 Calend 01'!E33))),('V06 Calend 01'!H33-('V06 Calend 01'!I33*('V06 Calend 01'!E33-1))),'V06 Calend 01'!I33),0))+IF((129='V06 Calend 01'!D33),'V06 Calend 01'!J33,0))</f>
        <v>0</v>
      </c>
      <c r="EL33" s="2">
        <f>((IF((130='V06 Calend 01'!C33),('V06 Calend 01'!F33+'V06 Calend 01'!G33),0)+IF(AND(('V06 Calend 01'!E33&gt;0),(130&gt;'V06 Calend 01'!C33),(130&lt;'V06 Calend 01'!D33),(MOD((130-'V06 Calend 01'!C33),6)=0),(((130-'V06 Calend 01'!C33)/6)&lt;='V06 Calend 01'!E33)),IF((130=('V06 Calend 01'!C33+(6*'V06 Calend 01'!E33))),('V06 Calend 01'!H33-('V06 Calend 01'!I33*('V06 Calend 01'!E33-1))),'V06 Calend 01'!I33),0))+IF((130='V06 Calend 01'!D33),'V06 Calend 01'!J33,0))</f>
        <v>0</v>
      </c>
      <c r="EM33" s="2">
        <f>((IF((131='V06 Calend 01'!C33),('V06 Calend 01'!F33+'V06 Calend 01'!G33),0)+IF(AND(('V06 Calend 01'!E33&gt;0),(131&gt;'V06 Calend 01'!C33),(131&lt;'V06 Calend 01'!D33),(MOD((131-'V06 Calend 01'!C33),6)=0),(((131-'V06 Calend 01'!C33)/6)&lt;='V06 Calend 01'!E33)),IF((131=('V06 Calend 01'!C33+(6*'V06 Calend 01'!E33))),('V06 Calend 01'!H33-('V06 Calend 01'!I33*('V06 Calend 01'!E33-1))),'V06 Calend 01'!I33),0))+IF((131='V06 Calend 01'!D33),'V06 Calend 01'!J33,0))</f>
        <v>0</v>
      </c>
      <c r="EN33" s="2">
        <f>((IF((132='V06 Calend 01'!C33),('V06 Calend 01'!F33+'V06 Calend 01'!G33),0)+IF(AND(('V06 Calend 01'!E33&gt;0),(132&gt;'V06 Calend 01'!C33),(132&lt;'V06 Calend 01'!D33),(MOD((132-'V06 Calend 01'!C33),6)=0),(((132-'V06 Calend 01'!C33)/6)&lt;='V06 Calend 01'!E33)),IF((132=('V06 Calend 01'!C33+(6*'V06 Calend 01'!E33))),('V06 Calend 01'!H33-('V06 Calend 01'!I33*('V06 Calend 01'!E33-1))),'V06 Calend 01'!I33),0))+IF((132='V06 Calend 01'!D33),'V06 Calend 01'!J33,0))</f>
        <v>0</v>
      </c>
      <c r="EO33" s="2">
        <f>((IF((133='V06 Calend 01'!C33),('V06 Calend 01'!F33+'V06 Calend 01'!G33),0)+IF(AND(('V06 Calend 01'!E33&gt;0),(133&gt;'V06 Calend 01'!C33),(133&lt;'V06 Calend 01'!D33),(MOD((133-'V06 Calend 01'!C33),6)=0),(((133-'V06 Calend 01'!C33)/6)&lt;='V06 Calend 01'!E33)),IF((133=('V06 Calend 01'!C33+(6*'V06 Calend 01'!E33))),('V06 Calend 01'!H33-('V06 Calend 01'!I33*('V06 Calend 01'!E33-1))),'V06 Calend 01'!I33),0))+IF((133='V06 Calend 01'!D33),'V06 Calend 01'!J33,0))</f>
        <v>0</v>
      </c>
      <c r="EP33" s="2">
        <f>((IF((134='V06 Calend 01'!C33),('V06 Calend 01'!F33+'V06 Calend 01'!G33),0)+IF(AND(('V06 Calend 01'!E33&gt;0),(134&gt;'V06 Calend 01'!C33),(134&lt;'V06 Calend 01'!D33),(MOD((134-'V06 Calend 01'!C33),6)=0),(((134-'V06 Calend 01'!C33)/6)&lt;='V06 Calend 01'!E33)),IF((134=('V06 Calend 01'!C33+(6*'V06 Calend 01'!E33))),('V06 Calend 01'!H33-('V06 Calend 01'!I33*('V06 Calend 01'!E33-1))),'V06 Calend 01'!I33),0))+IF((134='V06 Calend 01'!D33),'V06 Calend 01'!J33,0))</f>
        <v>0</v>
      </c>
      <c r="EQ33" s="2">
        <f>((IF((135='V06 Calend 01'!C33),('V06 Calend 01'!F33+'V06 Calend 01'!G33),0)+IF(AND(('V06 Calend 01'!E33&gt;0),(135&gt;'V06 Calend 01'!C33),(135&lt;'V06 Calend 01'!D33),(MOD((135-'V06 Calend 01'!C33),6)=0),(((135-'V06 Calend 01'!C33)/6)&lt;='V06 Calend 01'!E33)),IF((135=('V06 Calend 01'!C33+(6*'V06 Calend 01'!E33))),('V06 Calend 01'!H33-('V06 Calend 01'!I33*('V06 Calend 01'!E33-1))),'V06 Calend 01'!I33),0))+IF((135='V06 Calend 01'!D33),'V06 Calend 01'!J33,0))</f>
        <v>0</v>
      </c>
      <c r="ER33" s="2">
        <f>((IF((136='V06 Calend 01'!C33),('V06 Calend 01'!F33+'V06 Calend 01'!G33),0)+IF(AND(('V06 Calend 01'!E33&gt;0),(136&gt;'V06 Calend 01'!C33),(136&lt;'V06 Calend 01'!D33),(MOD((136-'V06 Calend 01'!C33),6)=0),(((136-'V06 Calend 01'!C33)/6)&lt;='V06 Calend 01'!E33)),IF((136=('V06 Calend 01'!C33+(6*'V06 Calend 01'!E33))),('V06 Calend 01'!H33-('V06 Calend 01'!I33*('V06 Calend 01'!E33-1))),'V06 Calend 01'!I33),0))+IF((136='V06 Calend 01'!D33),'V06 Calend 01'!J33,0))</f>
        <v>0</v>
      </c>
      <c r="ES33" s="2">
        <f>((IF((137='V06 Calend 01'!C33),('V06 Calend 01'!F33+'V06 Calend 01'!G33),0)+IF(AND(('V06 Calend 01'!E33&gt;0),(137&gt;'V06 Calend 01'!C33),(137&lt;'V06 Calend 01'!D33),(MOD((137-'V06 Calend 01'!C33),6)=0),(((137-'V06 Calend 01'!C33)/6)&lt;='V06 Calend 01'!E33)),IF((137=('V06 Calend 01'!C33+(6*'V06 Calend 01'!E33))),('V06 Calend 01'!H33-('V06 Calend 01'!I33*('V06 Calend 01'!E33-1))),'V06 Calend 01'!I33),0))+IF((137='V06 Calend 01'!D33),'V06 Calend 01'!J33,0))</f>
        <v>0</v>
      </c>
      <c r="ET33" s="2">
        <f>((IF((138='V06 Calend 01'!C33),('V06 Calend 01'!F33+'V06 Calend 01'!G33),0)+IF(AND(('V06 Calend 01'!E33&gt;0),(138&gt;'V06 Calend 01'!C33),(138&lt;'V06 Calend 01'!D33),(MOD((138-'V06 Calend 01'!C33),6)=0),(((138-'V06 Calend 01'!C33)/6)&lt;='V06 Calend 01'!E33)),IF((138=('V06 Calend 01'!C33+(6*'V06 Calend 01'!E33))),('V06 Calend 01'!H33-('V06 Calend 01'!I33*('V06 Calend 01'!E33-1))),'V06 Calend 01'!I33),0))+IF((138='V06 Calend 01'!D33),'V06 Calend 01'!J33,0))</f>
        <v>0</v>
      </c>
      <c r="EU33" s="2">
        <f>((IF((139='V06 Calend 01'!C33),('V06 Calend 01'!F33+'V06 Calend 01'!G33),0)+IF(AND(('V06 Calend 01'!E33&gt;0),(139&gt;'V06 Calend 01'!C33),(139&lt;'V06 Calend 01'!D33),(MOD((139-'V06 Calend 01'!C33),6)=0),(((139-'V06 Calend 01'!C33)/6)&lt;='V06 Calend 01'!E33)),IF((139=('V06 Calend 01'!C33+(6*'V06 Calend 01'!E33))),('V06 Calend 01'!H33-('V06 Calend 01'!I33*('V06 Calend 01'!E33-1))),'V06 Calend 01'!I33),0))+IF((139='V06 Calend 01'!D33),'V06 Calend 01'!J33,0))</f>
        <v>0</v>
      </c>
      <c r="EV33" s="2">
        <f>((IF((140='V06 Calend 01'!C33),('V06 Calend 01'!F33+'V06 Calend 01'!G33),0)+IF(AND(('V06 Calend 01'!E33&gt;0),(140&gt;'V06 Calend 01'!C33),(140&lt;'V06 Calend 01'!D33),(MOD((140-'V06 Calend 01'!C33),6)=0),(((140-'V06 Calend 01'!C33)/6)&lt;='V06 Calend 01'!E33)),IF((140=('V06 Calend 01'!C33+(6*'V06 Calend 01'!E33))),('V06 Calend 01'!H33-('V06 Calend 01'!I33*('V06 Calend 01'!E33-1))),'V06 Calend 01'!I33),0))+IF((140='V06 Calend 01'!D33),'V06 Calend 01'!J33,0))</f>
        <v>0</v>
      </c>
      <c r="EW33" s="2">
        <f>((IF((141='V06 Calend 01'!C33),('V06 Calend 01'!F33+'V06 Calend 01'!G33),0)+IF(AND(('V06 Calend 01'!E33&gt;0),(141&gt;'V06 Calend 01'!C33),(141&lt;'V06 Calend 01'!D33),(MOD((141-'V06 Calend 01'!C33),6)=0),(((141-'V06 Calend 01'!C33)/6)&lt;='V06 Calend 01'!E33)),IF((141=('V06 Calend 01'!C33+(6*'V06 Calend 01'!E33))),('V06 Calend 01'!H33-('V06 Calend 01'!I33*('V06 Calend 01'!E33-1))),'V06 Calend 01'!I33),0))+IF((141='V06 Calend 01'!D33),'V06 Calend 01'!J33,0))</f>
        <v>0</v>
      </c>
      <c r="EX33" s="2">
        <f>((IF((142='V06 Calend 01'!C33),('V06 Calend 01'!F33+'V06 Calend 01'!G33),0)+IF(AND(('V06 Calend 01'!E33&gt;0),(142&gt;'V06 Calend 01'!C33),(142&lt;'V06 Calend 01'!D33),(MOD((142-'V06 Calend 01'!C33),6)=0),(((142-'V06 Calend 01'!C33)/6)&lt;='V06 Calend 01'!E33)),IF((142=('V06 Calend 01'!C33+(6*'V06 Calend 01'!E33))),('V06 Calend 01'!H33-('V06 Calend 01'!I33*('V06 Calend 01'!E33-1))),'V06 Calend 01'!I33),0))+IF((142='V06 Calend 01'!D33),'V06 Calend 01'!J33,0))</f>
        <v>0</v>
      </c>
      <c r="EY33" s="2">
        <f>((IF((143='V06 Calend 01'!C33),('V06 Calend 01'!F33+'V06 Calend 01'!G33),0)+IF(AND(('V06 Calend 01'!E33&gt;0),(143&gt;'V06 Calend 01'!C33),(143&lt;'V06 Calend 01'!D33),(MOD((143-'V06 Calend 01'!C33),6)=0),(((143-'V06 Calend 01'!C33)/6)&lt;='V06 Calend 01'!E33)),IF((143=('V06 Calend 01'!C33+(6*'V06 Calend 01'!E33))),('V06 Calend 01'!H33-('V06 Calend 01'!I33*('V06 Calend 01'!E33-1))),'V06 Calend 01'!I33),0))+IF((143='V06 Calend 01'!D33),'V06 Calend 01'!J33,0))</f>
        <v>0</v>
      </c>
      <c r="EZ33" s="2">
        <f>((IF((144='V06 Calend 01'!C33),('V06 Calend 01'!F33+'V06 Calend 01'!G33),0)+IF(AND(('V06 Calend 01'!E33&gt;0),(144&gt;'V06 Calend 01'!C33),(144&lt;'V06 Calend 01'!D33),(MOD((144-'V06 Calend 01'!C33),6)=0),(((144-'V06 Calend 01'!C33)/6)&lt;='V06 Calend 01'!E33)),IF((144=('V06 Calend 01'!C33+(6*'V06 Calend 01'!E33))),('V06 Calend 01'!H33-('V06 Calend 01'!I33*('V06 Calend 01'!E33-1))),'V06 Calend 01'!I33),0))+IF((144='V06 Calend 01'!D33),'V06 Calend 01'!J33,0))</f>
        <v>0</v>
      </c>
      <c r="FA33" s="2">
        <f>((IF((145='V06 Calend 01'!C33),('V06 Calend 01'!F33+'V06 Calend 01'!G33),0)+IF(AND(('V06 Calend 01'!E33&gt;0),(145&gt;'V06 Calend 01'!C33),(145&lt;'V06 Calend 01'!D33),(MOD((145-'V06 Calend 01'!C33),6)=0),(((145-'V06 Calend 01'!C33)/6)&lt;='V06 Calend 01'!E33)),IF((145=('V06 Calend 01'!C33+(6*'V06 Calend 01'!E33))),('V06 Calend 01'!H33-('V06 Calend 01'!I33*('V06 Calend 01'!E33-1))),'V06 Calend 01'!I33),0))+IF((145='V06 Calend 01'!D33),'V06 Calend 01'!J33,0))</f>
        <v>0</v>
      </c>
      <c r="FB33" s="2">
        <f>((IF((146='V06 Calend 01'!C33),('V06 Calend 01'!F33+'V06 Calend 01'!G33),0)+IF(AND(('V06 Calend 01'!E33&gt;0),(146&gt;'V06 Calend 01'!C33),(146&lt;'V06 Calend 01'!D33),(MOD((146-'V06 Calend 01'!C33),6)=0),(((146-'V06 Calend 01'!C33)/6)&lt;='V06 Calend 01'!E33)),IF((146=('V06 Calend 01'!C33+(6*'V06 Calend 01'!E33))),('V06 Calend 01'!H33-('V06 Calend 01'!I33*('V06 Calend 01'!E33-1))),'V06 Calend 01'!I33),0))+IF((146='V06 Calend 01'!D33),'V06 Calend 01'!J33,0))</f>
        <v>0</v>
      </c>
      <c r="FC33" s="2">
        <f>((IF((147='V06 Calend 01'!C33),('V06 Calend 01'!F33+'V06 Calend 01'!G33),0)+IF(AND(('V06 Calend 01'!E33&gt;0),(147&gt;'V06 Calend 01'!C33),(147&lt;'V06 Calend 01'!D33),(MOD((147-'V06 Calend 01'!C33),6)=0),(((147-'V06 Calend 01'!C33)/6)&lt;='V06 Calend 01'!E33)),IF((147=('V06 Calend 01'!C33+(6*'V06 Calend 01'!E33))),('V06 Calend 01'!H33-('V06 Calend 01'!I33*('V06 Calend 01'!E33-1))),'V06 Calend 01'!I33),0))+IF((147='V06 Calend 01'!D33),'V06 Calend 01'!J33,0))</f>
        <v>0</v>
      </c>
      <c r="FD33" s="2">
        <f>((IF((148='V06 Calend 01'!C33),('V06 Calend 01'!F33+'V06 Calend 01'!G33),0)+IF(AND(('V06 Calend 01'!E33&gt;0),(148&gt;'V06 Calend 01'!C33),(148&lt;'V06 Calend 01'!D33),(MOD((148-'V06 Calend 01'!C33),6)=0),(((148-'V06 Calend 01'!C33)/6)&lt;='V06 Calend 01'!E33)),IF((148=('V06 Calend 01'!C33+(6*'V06 Calend 01'!E33))),('V06 Calend 01'!H33-('V06 Calend 01'!I33*('V06 Calend 01'!E33-1))),'V06 Calend 01'!I33),0))+IF((148='V06 Calend 01'!D33),'V06 Calend 01'!J33,0))</f>
        <v>0</v>
      </c>
      <c r="FE33" s="2">
        <f>((IF((149='V06 Calend 01'!C33),('V06 Calend 01'!F33+'V06 Calend 01'!G33),0)+IF(AND(('V06 Calend 01'!E33&gt;0),(149&gt;'V06 Calend 01'!C33),(149&lt;'V06 Calend 01'!D33),(MOD((149-'V06 Calend 01'!C33),6)=0),(((149-'V06 Calend 01'!C33)/6)&lt;='V06 Calend 01'!E33)),IF((149=('V06 Calend 01'!C33+(6*'V06 Calend 01'!E33))),('V06 Calend 01'!H33-('V06 Calend 01'!I33*('V06 Calend 01'!E33-1))),'V06 Calend 01'!I33),0))+IF((149='V06 Calend 01'!D33),'V06 Calend 01'!J33,0))</f>
        <v>0</v>
      </c>
      <c r="FF33" s="2">
        <f>((IF((150='V06 Calend 01'!C33),('V06 Calend 01'!F33+'V06 Calend 01'!G33),0)+IF(AND(('V06 Calend 01'!E33&gt;0),(150&gt;'V06 Calend 01'!C33),(150&lt;'V06 Calend 01'!D33),(MOD((150-'V06 Calend 01'!C33),6)=0),(((150-'V06 Calend 01'!C33)/6)&lt;='V06 Calend 01'!E33)),IF((150=('V06 Calend 01'!C33+(6*'V06 Calend 01'!E33))),('V06 Calend 01'!H33-('V06 Calend 01'!I33*('V06 Calend 01'!E33-1))),'V06 Calend 01'!I33),0))+IF((150='V06 Calend 01'!D33),'V06 Calend 01'!J33,0))</f>
        <v>0</v>
      </c>
      <c r="FG33" s="2">
        <f>((IF((151='V06 Calend 01'!C33),('V06 Calend 01'!F33+'V06 Calend 01'!G33),0)+IF(AND(('V06 Calend 01'!E33&gt;0),(151&gt;'V06 Calend 01'!C33),(151&lt;'V06 Calend 01'!D33),(MOD((151-'V06 Calend 01'!C33),6)=0),(((151-'V06 Calend 01'!C33)/6)&lt;='V06 Calend 01'!E33)),IF((151=('V06 Calend 01'!C33+(6*'V06 Calend 01'!E33))),('V06 Calend 01'!H33-('V06 Calend 01'!I33*('V06 Calend 01'!E33-1))),'V06 Calend 01'!I33),0))+IF((151='V06 Calend 01'!D33),'V06 Calend 01'!J33,0))</f>
        <v>0</v>
      </c>
      <c r="FH33" s="2">
        <f>((IF((152='V06 Calend 01'!C33),('V06 Calend 01'!F33+'V06 Calend 01'!G33),0)+IF(AND(('V06 Calend 01'!E33&gt;0),(152&gt;'V06 Calend 01'!C33),(152&lt;'V06 Calend 01'!D33),(MOD((152-'V06 Calend 01'!C33),6)=0),(((152-'V06 Calend 01'!C33)/6)&lt;='V06 Calend 01'!E33)),IF((152=('V06 Calend 01'!C33+(6*'V06 Calend 01'!E33))),('V06 Calend 01'!H33-('V06 Calend 01'!I33*('V06 Calend 01'!E33-1))),'V06 Calend 01'!I33),0))+IF((152='V06 Calend 01'!D33),'V06 Calend 01'!J33,0))</f>
        <v>0</v>
      </c>
      <c r="FI33" s="2">
        <f>((IF((153='V06 Calend 01'!C33),('V06 Calend 01'!F33+'V06 Calend 01'!G33),0)+IF(AND(('V06 Calend 01'!E33&gt;0),(153&gt;'V06 Calend 01'!C33),(153&lt;'V06 Calend 01'!D33),(MOD((153-'V06 Calend 01'!C33),6)=0),(((153-'V06 Calend 01'!C33)/6)&lt;='V06 Calend 01'!E33)),IF((153=('V06 Calend 01'!C33+(6*'V06 Calend 01'!E33))),('V06 Calend 01'!H33-('V06 Calend 01'!I33*('V06 Calend 01'!E33-1))),'V06 Calend 01'!I33),0))+IF((153='V06 Calend 01'!D33),'V06 Calend 01'!J33,0))</f>
        <v>0</v>
      </c>
      <c r="FJ33" s="2">
        <f>((IF((154='V06 Calend 01'!C33),('V06 Calend 01'!F33+'V06 Calend 01'!G33),0)+IF(AND(('V06 Calend 01'!E33&gt;0),(154&gt;'V06 Calend 01'!C33),(154&lt;'V06 Calend 01'!D33),(MOD((154-'V06 Calend 01'!C33),6)=0),(((154-'V06 Calend 01'!C33)/6)&lt;='V06 Calend 01'!E33)),IF((154=('V06 Calend 01'!C33+(6*'V06 Calend 01'!E33))),('V06 Calend 01'!H33-('V06 Calend 01'!I33*('V06 Calend 01'!E33-1))),'V06 Calend 01'!I33),0))+IF((154='V06 Calend 01'!D33),'V06 Calend 01'!J33,0))</f>
        <v>0</v>
      </c>
      <c r="FK33" s="2">
        <f>((IF((155='V06 Calend 01'!C33),('V06 Calend 01'!F33+'V06 Calend 01'!G33),0)+IF(AND(('V06 Calend 01'!E33&gt;0),(155&gt;'V06 Calend 01'!C33),(155&lt;'V06 Calend 01'!D33),(MOD((155-'V06 Calend 01'!C33),6)=0),(((155-'V06 Calend 01'!C33)/6)&lt;='V06 Calend 01'!E33)),IF((155=('V06 Calend 01'!C33+(6*'V06 Calend 01'!E33))),('V06 Calend 01'!H33-('V06 Calend 01'!I33*('V06 Calend 01'!E33-1))),'V06 Calend 01'!I33),0))+IF((155='V06 Calend 01'!D33),'V06 Calend 01'!J33,0))</f>
        <v>0</v>
      </c>
      <c r="FL33" s="2">
        <f>((IF((156='V06 Calend 01'!C33),('V06 Calend 01'!F33+'V06 Calend 01'!G33),0)+IF(AND(('V06 Calend 01'!E33&gt;0),(156&gt;'V06 Calend 01'!C33),(156&lt;'V06 Calend 01'!D33),(MOD((156-'V06 Calend 01'!C33),6)=0),(((156-'V06 Calend 01'!C33)/6)&lt;='V06 Calend 01'!E33)),IF((156=('V06 Calend 01'!C33+(6*'V06 Calend 01'!E33))),('V06 Calend 01'!H33-('V06 Calend 01'!I33*('V06 Calend 01'!E33-1))),'V06 Calend 01'!I33),0))+IF((156='V06 Calend 01'!D33),'V06 Calend 01'!J33,0))</f>
        <v>0</v>
      </c>
      <c r="FM33" s="2">
        <f>((IF((157='V06 Calend 01'!C33),('V06 Calend 01'!F33+'V06 Calend 01'!G33),0)+IF(AND(('V06 Calend 01'!E33&gt;0),(157&gt;'V06 Calend 01'!C33),(157&lt;'V06 Calend 01'!D33),(MOD((157-'V06 Calend 01'!C33),6)=0),(((157-'V06 Calend 01'!C33)/6)&lt;='V06 Calend 01'!E33)),IF((157=('V06 Calend 01'!C33+(6*'V06 Calend 01'!E33))),('V06 Calend 01'!H33-('V06 Calend 01'!I33*('V06 Calend 01'!E33-1))),'V06 Calend 01'!I33),0))+IF((157='V06 Calend 01'!D33),'V06 Calend 01'!J33,0))</f>
        <v>0</v>
      </c>
      <c r="FN33" s="2">
        <f>((IF((158='V06 Calend 01'!C33),('V06 Calend 01'!F33+'V06 Calend 01'!G33),0)+IF(AND(('V06 Calend 01'!E33&gt;0),(158&gt;'V06 Calend 01'!C33),(158&lt;'V06 Calend 01'!D33),(MOD((158-'V06 Calend 01'!C33),6)=0),(((158-'V06 Calend 01'!C33)/6)&lt;='V06 Calend 01'!E33)),IF((158=('V06 Calend 01'!C33+(6*'V06 Calend 01'!E33))),('V06 Calend 01'!H33-('V06 Calend 01'!I33*('V06 Calend 01'!E33-1))),'V06 Calend 01'!I33),0))+IF((158='V06 Calend 01'!D33),'V06 Calend 01'!J33,0))</f>
        <v>0</v>
      </c>
      <c r="FO33" s="2">
        <f>((IF((159='V06 Calend 01'!C33),('V06 Calend 01'!F33+'V06 Calend 01'!G33),0)+IF(AND(('V06 Calend 01'!E33&gt;0),(159&gt;'V06 Calend 01'!C33),(159&lt;'V06 Calend 01'!D33),(MOD((159-'V06 Calend 01'!C33),6)=0),(((159-'V06 Calend 01'!C33)/6)&lt;='V06 Calend 01'!E33)),IF((159=('V06 Calend 01'!C33+(6*'V06 Calend 01'!E33))),('V06 Calend 01'!H33-('V06 Calend 01'!I33*('V06 Calend 01'!E33-1))),'V06 Calend 01'!I33),0))+IF((159='V06 Calend 01'!D33),'V06 Calend 01'!J33,0))</f>
        <v>0</v>
      </c>
      <c r="FP33" s="2">
        <f>((IF((160='V06 Calend 01'!C33),('V06 Calend 01'!F33+'V06 Calend 01'!G33),0)+IF(AND(('V06 Calend 01'!E33&gt;0),(160&gt;'V06 Calend 01'!C33),(160&lt;'V06 Calend 01'!D33),(MOD((160-'V06 Calend 01'!C33),6)=0),(((160-'V06 Calend 01'!C33)/6)&lt;='V06 Calend 01'!E33)),IF((160=('V06 Calend 01'!C33+(6*'V06 Calend 01'!E33))),('V06 Calend 01'!H33-('V06 Calend 01'!I33*('V06 Calend 01'!E33-1))),'V06 Calend 01'!I33),0))+IF((160='V06 Calend 01'!D33),'V06 Calend 01'!J33,0))</f>
        <v>0</v>
      </c>
      <c r="FQ33" s="2">
        <f>((IF((161='V06 Calend 01'!C33),('V06 Calend 01'!F33+'V06 Calend 01'!G33),0)+IF(AND(('V06 Calend 01'!E33&gt;0),(161&gt;'V06 Calend 01'!C33),(161&lt;'V06 Calend 01'!D33),(MOD((161-'V06 Calend 01'!C33),6)=0),(((161-'V06 Calend 01'!C33)/6)&lt;='V06 Calend 01'!E33)),IF((161=('V06 Calend 01'!C33+(6*'V06 Calend 01'!E33))),('V06 Calend 01'!H33-('V06 Calend 01'!I33*('V06 Calend 01'!E33-1))),'V06 Calend 01'!I33),0))+IF((161='V06 Calend 01'!D33),'V06 Calend 01'!J33,0))</f>
        <v>0</v>
      </c>
      <c r="FR33" s="2">
        <f>((IF((162='V06 Calend 01'!C33),('V06 Calend 01'!F33+'V06 Calend 01'!G33),0)+IF(AND(('V06 Calend 01'!E33&gt;0),(162&gt;'V06 Calend 01'!C33),(162&lt;'V06 Calend 01'!D33),(MOD((162-'V06 Calend 01'!C33),6)=0),(((162-'V06 Calend 01'!C33)/6)&lt;='V06 Calend 01'!E33)),IF((162=('V06 Calend 01'!C33+(6*'V06 Calend 01'!E33))),('V06 Calend 01'!H33-('V06 Calend 01'!I33*('V06 Calend 01'!E33-1))),'V06 Calend 01'!I33),0))+IF((162='V06 Calend 01'!D33),'V06 Calend 01'!J33,0))</f>
        <v>0</v>
      </c>
      <c r="FS33" s="2">
        <f>((IF((163='V06 Calend 01'!C33),('V06 Calend 01'!F33+'V06 Calend 01'!G33),0)+IF(AND(('V06 Calend 01'!E33&gt;0),(163&gt;'V06 Calend 01'!C33),(163&lt;'V06 Calend 01'!D33),(MOD((163-'V06 Calend 01'!C33),6)=0),(((163-'V06 Calend 01'!C33)/6)&lt;='V06 Calend 01'!E33)),IF((163=('V06 Calend 01'!C33+(6*'V06 Calend 01'!E33))),('V06 Calend 01'!H33-('V06 Calend 01'!I33*('V06 Calend 01'!E33-1))),'V06 Calend 01'!I33),0))+IF((163='V06 Calend 01'!D33),'V06 Calend 01'!J33,0))</f>
        <v>0</v>
      </c>
      <c r="FT33" s="2">
        <f>((IF((164='V06 Calend 01'!C33),('V06 Calend 01'!F33+'V06 Calend 01'!G33),0)+IF(AND(('V06 Calend 01'!E33&gt;0),(164&gt;'V06 Calend 01'!C33),(164&lt;'V06 Calend 01'!D33),(MOD((164-'V06 Calend 01'!C33),6)=0),(((164-'V06 Calend 01'!C33)/6)&lt;='V06 Calend 01'!E33)),IF((164=('V06 Calend 01'!C33+(6*'V06 Calend 01'!E33))),('V06 Calend 01'!H33-('V06 Calend 01'!I33*('V06 Calend 01'!E33-1))),'V06 Calend 01'!I33),0))+IF((164='V06 Calend 01'!D33),'V06 Calend 01'!J33,0))</f>
        <v>0</v>
      </c>
      <c r="FU33" s="2">
        <f>((IF((165='V06 Calend 01'!C33),('V06 Calend 01'!F33+'V06 Calend 01'!G33),0)+IF(AND(('V06 Calend 01'!E33&gt;0),(165&gt;'V06 Calend 01'!C33),(165&lt;'V06 Calend 01'!D33),(MOD((165-'V06 Calend 01'!C33),6)=0),(((165-'V06 Calend 01'!C33)/6)&lt;='V06 Calend 01'!E33)),IF((165=('V06 Calend 01'!C33+(6*'V06 Calend 01'!E33))),('V06 Calend 01'!H33-('V06 Calend 01'!I33*('V06 Calend 01'!E33-1))),'V06 Calend 01'!I33),0))+IF((165='V06 Calend 01'!D33),'V06 Calend 01'!J33,0))</f>
        <v>0</v>
      </c>
      <c r="FV33" s="2">
        <f>((IF((166='V06 Calend 01'!C33),('V06 Calend 01'!F33+'V06 Calend 01'!G33),0)+IF(AND(('V06 Calend 01'!E33&gt;0),(166&gt;'V06 Calend 01'!C33),(166&lt;'V06 Calend 01'!D33),(MOD((166-'V06 Calend 01'!C33),6)=0),(((166-'V06 Calend 01'!C33)/6)&lt;='V06 Calend 01'!E33)),IF((166=('V06 Calend 01'!C33+(6*'V06 Calend 01'!E33))),('V06 Calend 01'!H33-('V06 Calend 01'!I33*('V06 Calend 01'!E33-1))),'V06 Calend 01'!I33),0))+IF((166='V06 Calend 01'!D33),'V06 Calend 01'!J33,0))</f>
        <v>0</v>
      </c>
      <c r="FW33" s="2">
        <f>((IF((167='V06 Calend 01'!C33),('V06 Calend 01'!F33+'V06 Calend 01'!G33),0)+IF(AND(('V06 Calend 01'!E33&gt;0),(167&gt;'V06 Calend 01'!C33),(167&lt;'V06 Calend 01'!D33),(MOD((167-'V06 Calend 01'!C33),6)=0),(((167-'V06 Calend 01'!C33)/6)&lt;='V06 Calend 01'!E33)),IF((167=('V06 Calend 01'!C33+(6*'V06 Calend 01'!E33))),('V06 Calend 01'!H33-('V06 Calend 01'!I33*('V06 Calend 01'!E33-1))),'V06 Calend 01'!I33),0))+IF((167='V06 Calend 01'!D33),'V06 Calend 01'!J33,0))</f>
        <v>0</v>
      </c>
      <c r="FX33" s="2">
        <f>((IF((168='V06 Calend 01'!C33),('V06 Calend 01'!F33+'V06 Calend 01'!G33),0)+IF(AND(('V06 Calend 01'!E33&gt;0),(168&gt;'V06 Calend 01'!C33),(168&lt;'V06 Calend 01'!D33),(MOD((168-'V06 Calend 01'!C33),6)=0),(((168-'V06 Calend 01'!C33)/6)&lt;='V06 Calend 01'!E33)),IF((168=('V06 Calend 01'!C33+(6*'V06 Calend 01'!E33))),('V06 Calend 01'!H33-('V06 Calend 01'!I33*('V06 Calend 01'!E33-1))),'V06 Calend 01'!I33),0))+IF((168='V06 Calend 01'!D33),'V06 Calend 01'!J33,0))</f>
        <v>0</v>
      </c>
      <c r="FY33" s="2">
        <f>((IF((169='V06 Calend 01'!C33),('V06 Calend 01'!F33+'V06 Calend 01'!G33),0)+IF(AND(('V06 Calend 01'!E33&gt;0),(169&gt;'V06 Calend 01'!C33),(169&lt;'V06 Calend 01'!D33),(MOD((169-'V06 Calend 01'!C33),6)=0),(((169-'V06 Calend 01'!C33)/6)&lt;='V06 Calend 01'!E33)),IF((169=('V06 Calend 01'!C33+(6*'V06 Calend 01'!E33))),('V06 Calend 01'!H33-('V06 Calend 01'!I33*('V06 Calend 01'!E33-1))),'V06 Calend 01'!I33),0))+IF((169='V06 Calend 01'!D33),'V06 Calend 01'!J33,0))</f>
        <v>0</v>
      </c>
      <c r="FZ33" s="2">
        <f>((IF((170='V06 Calend 01'!C33),('V06 Calend 01'!F33+'V06 Calend 01'!G33),0)+IF(AND(('V06 Calend 01'!E33&gt;0),(170&gt;'V06 Calend 01'!C33),(170&lt;'V06 Calend 01'!D33),(MOD((170-'V06 Calend 01'!C33),6)=0),(((170-'V06 Calend 01'!C33)/6)&lt;='V06 Calend 01'!E33)),IF((170=('V06 Calend 01'!C33+(6*'V06 Calend 01'!E33))),('V06 Calend 01'!H33-('V06 Calend 01'!I33*('V06 Calend 01'!E33-1))),'V06 Calend 01'!I33),0))+IF((170='V06 Calend 01'!D33),'V06 Calend 01'!J33,0))</f>
        <v>0</v>
      </c>
      <c r="GA33" s="2">
        <f>((IF((171='V06 Calend 01'!C33),('V06 Calend 01'!F33+'V06 Calend 01'!G33),0)+IF(AND(('V06 Calend 01'!E33&gt;0),(171&gt;'V06 Calend 01'!C33),(171&lt;'V06 Calend 01'!D33),(MOD((171-'V06 Calend 01'!C33),6)=0),(((171-'V06 Calend 01'!C33)/6)&lt;='V06 Calend 01'!E33)),IF((171=('V06 Calend 01'!C33+(6*'V06 Calend 01'!E33))),('V06 Calend 01'!H33-('V06 Calend 01'!I33*('V06 Calend 01'!E33-1))),'V06 Calend 01'!I33),0))+IF((171='V06 Calend 01'!D33),'V06 Calend 01'!J33,0))</f>
        <v>0</v>
      </c>
      <c r="GB33" s="2">
        <f>((IF((172='V06 Calend 01'!C33),('V06 Calend 01'!F33+'V06 Calend 01'!G33),0)+IF(AND(('V06 Calend 01'!E33&gt;0),(172&gt;'V06 Calend 01'!C33),(172&lt;'V06 Calend 01'!D33),(MOD((172-'V06 Calend 01'!C33),6)=0),(((172-'V06 Calend 01'!C33)/6)&lt;='V06 Calend 01'!E33)),IF((172=('V06 Calend 01'!C33+(6*'V06 Calend 01'!E33))),('V06 Calend 01'!H33-('V06 Calend 01'!I33*('V06 Calend 01'!E33-1))),'V06 Calend 01'!I33),0))+IF((172='V06 Calend 01'!D33),'V06 Calend 01'!J33,0))</f>
        <v>0</v>
      </c>
      <c r="GC33" s="2">
        <f>((IF((173='V06 Calend 01'!C33),('V06 Calend 01'!F33+'V06 Calend 01'!G33),0)+IF(AND(('V06 Calend 01'!E33&gt;0),(173&gt;'V06 Calend 01'!C33),(173&lt;'V06 Calend 01'!D33),(MOD((173-'V06 Calend 01'!C33),6)=0),(((173-'V06 Calend 01'!C33)/6)&lt;='V06 Calend 01'!E33)),IF((173=('V06 Calend 01'!C33+(6*'V06 Calend 01'!E33))),('V06 Calend 01'!H33-('V06 Calend 01'!I33*('V06 Calend 01'!E33-1))),'V06 Calend 01'!I33),0))+IF((173='V06 Calend 01'!D33),'V06 Calend 01'!J33,0))</f>
        <v>0</v>
      </c>
      <c r="GD33" s="2">
        <f>((IF((174='V06 Calend 01'!C33),('V06 Calend 01'!F33+'V06 Calend 01'!G33),0)+IF(AND(('V06 Calend 01'!E33&gt;0),(174&gt;'V06 Calend 01'!C33),(174&lt;'V06 Calend 01'!D33),(MOD((174-'V06 Calend 01'!C33),6)=0),(((174-'V06 Calend 01'!C33)/6)&lt;='V06 Calend 01'!E33)),IF((174=('V06 Calend 01'!C33+(6*'V06 Calend 01'!E33))),('V06 Calend 01'!H33-('V06 Calend 01'!I33*('V06 Calend 01'!E33-1))),'V06 Calend 01'!I33),0))+IF((174='V06 Calend 01'!D33),'V06 Calend 01'!J33,0))</f>
        <v>0</v>
      </c>
      <c r="GE33" s="2">
        <f>((IF((175='V06 Calend 01'!C33),('V06 Calend 01'!F33+'V06 Calend 01'!G33),0)+IF(AND(('V06 Calend 01'!E33&gt;0),(175&gt;'V06 Calend 01'!C33),(175&lt;'V06 Calend 01'!D33),(MOD((175-'V06 Calend 01'!C33),6)=0),(((175-'V06 Calend 01'!C33)/6)&lt;='V06 Calend 01'!E33)),IF((175=('V06 Calend 01'!C33+(6*'V06 Calend 01'!E33))),('V06 Calend 01'!H33-('V06 Calend 01'!I33*('V06 Calend 01'!E33-1))),'V06 Calend 01'!I33),0))+IF((175='V06 Calend 01'!D33),'V06 Calend 01'!J33,0))</f>
        <v>0</v>
      </c>
      <c r="GF33" s="2">
        <f>((IF((176='V06 Calend 01'!C33),('V06 Calend 01'!F33+'V06 Calend 01'!G33),0)+IF(AND(('V06 Calend 01'!E33&gt;0),(176&gt;'V06 Calend 01'!C33),(176&lt;'V06 Calend 01'!D33),(MOD((176-'V06 Calend 01'!C33),6)=0),(((176-'V06 Calend 01'!C33)/6)&lt;='V06 Calend 01'!E33)),IF((176=('V06 Calend 01'!C33+(6*'V06 Calend 01'!E33))),('V06 Calend 01'!H33-('V06 Calend 01'!I33*('V06 Calend 01'!E33-1))),'V06 Calend 01'!I33),0))+IF((176='V06 Calend 01'!D33),'V06 Calend 01'!J33,0))</f>
        <v>0</v>
      </c>
      <c r="GG33" s="2">
        <f>((IF((177='V06 Calend 01'!C33),('V06 Calend 01'!F33+'V06 Calend 01'!G33),0)+IF(AND(('V06 Calend 01'!E33&gt;0),(177&gt;'V06 Calend 01'!C33),(177&lt;'V06 Calend 01'!D33),(MOD((177-'V06 Calend 01'!C33),6)=0),(((177-'V06 Calend 01'!C33)/6)&lt;='V06 Calend 01'!E33)),IF((177=('V06 Calend 01'!C33+(6*'V06 Calend 01'!E33))),('V06 Calend 01'!H33-('V06 Calend 01'!I33*('V06 Calend 01'!E33-1))),'V06 Calend 01'!I33),0))+IF((177='V06 Calend 01'!D33),'V06 Calend 01'!J33,0))</f>
        <v>0</v>
      </c>
      <c r="GH33" s="2">
        <f>((IF((178='V06 Calend 01'!C33),('V06 Calend 01'!F33+'V06 Calend 01'!G33),0)+IF(AND(('V06 Calend 01'!E33&gt;0),(178&gt;'V06 Calend 01'!C33),(178&lt;'V06 Calend 01'!D33),(MOD((178-'V06 Calend 01'!C33),6)=0),(((178-'V06 Calend 01'!C33)/6)&lt;='V06 Calend 01'!E33)),IF((178=('V06 Calend 01'!C33+(6*'V06 Calend 01'!E33))),('V06 Calend 01'!H33-('V06 Calend 01'!I33*('V06 Calend 01'!E33-1))),'V06 Calend 01'!I33),0))+IF((178='V06 Calend 01'!D33),'V06 Calend 01'!J33,0))</f>
        <v>0</v>
      </c>
      <c r="GI33" s="2">
        <f>((IF((179='V06 Calend 01'!C33),('V06 Calend 01'!F33+'V06 Calend 01'!G33),0)+IF(AND(('V06 Calend 01'!E33&gt;0),(179&gt;'V06 Calend 01'!C33),(179&lt;'V06 Calend 01'!D33),(MOD((179-'V06 Calend 01'!C33),6)=0),(((179-'V06 Calend 01'!C33)/6)&lt;='V06 Calend 01'!E33)),IF((179=('V06 Calend 01'!C33+(6*'V06 Calend 01'!E33))),('V06 Calend 01'!H33-('V06 Calend 01'!I33*('V06 Calend 01'!E33-1))),'V06 Calend 01'!I33),0))+IF((179='V06 Calend 01'!D33),'V06 Calend 01'!J33,0))</f>
        <v>0</v>
      </c>
      <c r="GJ33" s="2">
        <f>((IF((180='V06 Calend 01'!C33),('V06 Calend 01'!F33+'V06 Calend 01'!G33),0)+IF(AND(('V06 Calend 01'!E33&gt;0),(180&gt;'V06 Calend 01'!C33),(180&lt;'V06 Calend 01'!D33),(MOD((180-'V06 Calend 01'!C33),6)=0),(((180-'V06 Calend 01'!C33)/6)&lt;='V06 Calend 01'!E33)),IF((180=('V06 Calend 01'!C33+(6*'V06 Calend 01'!E33))),('V06 Calend 01'!H33-('V06 Calend 01'!I33*('V06 Calend 01'!E33-1))),'V06 Calend 01'!I33),0))+IF((180='V06 Calend 01'!D33),'V06 Calend 01'!J33,0))</f>
        <v>0</v>
      </c>
    </row>
    <row r="34" spans="1:192">
      <c r="A34" s="3" t="str">
        <f>'V06 Unidades'!$A$34</f>
        <v>410</v>
      </c>
      <c r="B34" s="2">
        <f>'V06 Unidades'!$H$34</f>
        <v>585561.6</v>
      </c>
      <c r="C34" s="4">
        <f>('V06 Unidades'!$I$34+'V06 Controlos'!$B$37)</f>
        <v>19</v>
      </c>
      <c r="D34" s="4">
        <f>IF(('V06 Controlos'!$B$38&gt;0),MAX(('V06 Unidades'!$L$34+'V06 Controlos'!$B$37),(30+'V06 Controlos'!$B$38)),('V06 Unidades'!$L$34+'V06 Controlos'!$B$37))</f>
        <v>30</v>
      </c>
      <c r="E34" s="4">
        <f>MAX(0,INT(((('V06 Calend 01'!D34-'V06 Calend 01'!C34)-1)/6)))</f>
        <v>1</v>
      </c>
      <c r="F34" s="2">
        <f>ROUND(('V06 Calend 01'!B34*0.05),2)</f>
        <v>29278.08</v>
      </c>
      <c r="G34" s="2">
        <f>ROUND(('V06 Calend 01'!B34*0.2),2)</f>
        <v>117112.32</v>
      </c>
      <c r="H34" s="2">
        <f>ROUND(('V06 Calend 01'!B34*0.55),2)</f>
        <v>322058.88</v>
      </c>
      <c r="I34" s="2">
        <f>ROUND(('V06 Calend 01'!H34/MAX(1,'V06 Calend 01'!E34)),2)</f>
        <v>322058.88</v>
      </c>
      <c r="J34" s="2">
        <f>((('V06 Calend 01'!B34-'V06 Calend 01'!F34)-'V06 Calend 01'!G34)-'V06 Calend 01'!H34)</f>
        <v>117112.32</v>
      </c>
      <c r="K34" s="2">
        <f>('V06 Calend 01'!B34*0.025)</f>
        <v>14639.04</v>
      </c>
      <c r="L34" t="s">
        <v>378</v>
      </c>
      <c r="M34" s="2">
        <f>((IF((1='V06 Calend 01'!C34),('V06 Calend 01'!F34+'V06 Calend 01'!G34),0)+IF(AND(('V06 Calend 01'!E34&gt;0),(1&gt;'V06 Calend 01'!C34),(1&lt;'V06 Calend 01'!D34),(MOD((1-'V06 Calend 01'!C34),6)=0),(((1-'V06 Calend 01'!C34)/6)&lt;='V06 Calend 01'!E34)),IF((1=('V06 Calend 01'!C34+(6*'V06 Calend 01'!E34))),('V06 Calend 01'!H34-('V06 Calend 01'!I34*('V06 Calend 01'!E34-1))),'V06 Calend 01'!I34),0))+IF((1='V06 Calend 01'!D34),'V06 Calend 01'!J34,0))</f>
        <v>0</v>
      </c>
      <c r="N34" s="2">
        <f>((IF((2='V06 Calend 01'!C34),('V06 Calend 01'!F34+'V06 Calend 01'!G34),0)+IF(AND(('V06 Calend 01'!E34&gt;0),(2&gt;'V06 Calend 01'!C34),(2&lt;'V06 Calend 01'!D34),(MOD((2-'V06 Calend 01'!C34),6)=0),(((2-'V06 Calend 01'!C34)/6)&lt;='V06 Calend 01'!E34)),IF((2=('V06 Calend 01'!C34+(6*'V06 Calend 01'!E34))),('V06 Calend 01'!H34-('V06 Calend 01'!I34*('V06 Calend 01'!E34-1))),'V06 Calend 01'!I34),0))+IF((2='V06 Calend 01'!D34),'V06 Calend 01'!J34,0))</f>
        <v>0</v>
      </c>
      <c r="O34" s="2">
        <f>((IF((3='V06 Calend 01'!C34),('V06 Calend 01'!F34+'V06 Calend 01'!G34),0)+IF(AND(('V06 Calend 01'!E34&gt;0),(3&gt;'V06 Calend 01'!C34),(3&lt;'V06 Calend 01'!D34),(MOD((3-'V06 Calend 01'!C34),6)=0),(((3-'V06 Calend 01'!C34)/6)&lt;='V06 Calend 01'!E34)),IF((3=('V06 Calend 01'!C34+(6*'V06 Calend 01'!E34))),('V06 Calend 01'!H34-('V06 Calend 01'!I34*('V06 Calend 01'!E34-1))),'V06 Calend 01'!I34),0))+IF((3='V06 Calend 01'!D34),'V06 Calend 01'!J34,0))</f>
        <v>0</v>
      </c>
      <c r="P34" s="2">
        <f>((IF((4='V06 Calend 01'!C34),('V06 Calend 01'!F34+'V06 Calend 01'!G34),0)+IF(AND(('V06 Calend 01'!E34&gt;0),(4&gt;'V06 Calend 01'!C34),(4&lt;'V06 Calend 01'!D34),(MOD((4-'V06 Calend 01'!C34),6)=0),(((4-'V06 Calend 01'!C34)/6)&lt;='V06 Calend 01'!E34)),IF((4=('V06 Calend 01'!C34+(6*'V06 Calend 01'!E34))),('V06 Calend 01'!H34-('V06 Calend 01'!I34*('V06 Calend 01'!E34-1))),'V06 Calend 01'!I34),0))+IF((4='V06 Calend 01'!D34),'V06 Calend 01'!J34,0))</f>
        <v>0</v>
      </c>
      <c r="Q34" s="2">
        <f>((IF((5='V06 Calend 01'!C34),('V06 Calend 01'!F34+'V06 Calend 01'!G34),0)+IF(AND(('V06 Calend 01'!E34&gt;0),(5&gt;'V06 Calend 01'!C34),(5&lt;'V06 Calend 01'!D34),(MOD((5-'V06 Calend 01'!C34),6)=0),(((5-'V06 Calend 01'!C34)/6)&lt;='V06 Calend 01'!E34)),IF((5=('V06 Calend 01'!C34+(6*'V06 Calend 01'!E34))),('V06 Calend 01'!H34-('V06 Calend 01'!I34*('V06 Calend 01'!E34-1))),'V06 Calend 01'!I34),0))+IF((5='V06 Calend 01'!D34),'V06 Calend 01'!J34,0))</f>
        <v>0</v>
      </c>
      <c r="R34" s="2">
        <f>((IF((6='V06 Calend 01'!C34),('V06 Calend 01'!F34+'V06 Calend 01'!G34),0)+IF(AND(('V06 Calend 01'!E34&gt;0),(6&gt;'V06 Calend 01'!C34),(6&lt;'V06 Calend 01'!D34),(MOD((6-'V06 Calend 01'!C34),6)=0),(((6-'V06 Calend 01'!C34)/6)&lt;='V06 Calend 01'!E34)),IF((6=('V06 Calend 01'!C34+(6*'V06 Calend 01'!E34))),('V06 Calend 01'!H34-('V06 Calend 01'!I34*('V06 Calend 01'!E34-1))),'V06 Calend 01'!I34),0))+IF((6='V06 Calend 01'!D34),'V06 Calend 01'!J34,0))</f>
        <v>0</v>
      </c>
      <c r="S34" s="2">
        <f>((IF((7='V06 Calend 01'!C34),('V06 Calend 01'!F34+'V06 Calend 01'!G34),0)+IF(AND(('V06 Calend 01'!E34&gt;0),(7&gt;'V06 Calend 01'!C34),(7&lt;'V06 Calend 01'!D34),(MOD((7-'V06 Calend 01'!C34),6)=0),(((7-'V06 Calend 01'!C34)/6)&lt;='V06 Calend 01'!E34)),IF((7=('V06 Calend 01'!C34+(6*'V06 Calend 01'!E34))),('V06 Calend 01'!H34-('V06 Calend 01'!I34*('V06 Calend 01'!E34-1))),'V06 Calend 01'!I34),0))+IF((7='V06 Calend 01'!D34),'V06 Calend 01'!J34,0))</f>
        <v>0</v>
      </c>
      <c r="T34" s="2">
        <f>((IF((8='V06 Calend 01'!C34),('V06 Calend 01'!F34+'V06 Calend 01'!G34),0)+IF(AND(('V06 Calend 01'!E34&gt;0),(8&gt;'V06 Calend 01'!C34),(8&lt;'V06 Calend 01'!D34),(MOD((8-'V06 Calend 01'!C34),6)=0),(((8-'V06 Calend 01'!C34)/6)&lt;='V06 Calend 01'!E34)),IF((8=('V06 Calend 01'!C34+(6*'V06 Calend 01'!E34))),('V06 Calend 01'!H34-('V06 Calend 01'!I34*('V06 Calend 01'!E34-1))),'V06 Calend 01'!I34),0))+IF((8='V06 Calend 01'!D34),'V06 Calend 01'!J34,0))</f>
        <v>0</v>
      </c>
      <c r="U34" s="2">
        <f>((IF((9='V06 Calend 01'!C34),('V06 Calend 01'!F34+'V06 Calend 01'!G34),0)+IF(AND(('V06 Calend 01'!E34&gt;0),(9&gt;'V06 Calend 01'!C34),(9&lt;'V06 Calend 01'!D34),(MOD((9-'V06 Calend 01'!C34),6)=0),(((9-'V06 Calend 01'!C34)/6)&lt;='V06 Calend 01'!E34)),IF((9=('V06 Calend 01'!C34+(6*'V06 Calend 01'!E34))),('V06 Calend 01'!H34-('V06 Calend 01'!I34*('V06 Calend 01'!E34-1))),'V06 Calend 01'!I34),0))+IF((9='V06 Calend 01'!D34),'V06 Calend 01'!J34,0))</f>
        <v>0</v>
      </c>
      <c r="V34" s="2">
        <f>((IF((10='V06 Calend 01'!C34),('V06 Calend 01'!F34+'V06 Calend 01'!G34),0)+IF(AND(('V06 Calend 01'!E34&gt;0),(10&gt;'V06 Calend 01'!C34),(10&lt;'V06 Calend 01'!D34),(MOD((10-'V06 Calend 01'!C34),6)=0),(((10-'V06 Calend 01'!C34)/6)&lt;='V06 Calend 01'!E34)),IF((10=('V06 Calend 01'!C34+(6*'V06 Calend 01'!E34))),('V06 Calend 01'!H34-('V06 Calend 01'!I34*('V06 Calend 01'!E34-1))),'V06 Calend 01'!I34),0))+IF((10='V06 Calend 01'!D34),'V06 Calend 01'!J34,0))</f>
        <v>0</v>
      </c>
      <c r="W34" s="2">
        <f>((IF((11='V06 Calend 01'!C34),('V06 Calend 01'!F34+'V06 Calend 01'!G34),0)+IF(AND(('V06 Calend 01'!E34&gt;0),(11&gt;'V06 Calend 01'!C34),(11&lt;'V06 Calend 01'!D34),(MOD((11-'V06 Calend 01'!C34),6)=0),(((11-'V06 Calend 01'!C34)/6)&lt;='V06 Calend 01'!E34)),IF((11=('V06 Calend 01'!C34+(6*'V06 Calend 01'!E34))),('V06 Calend 01'!H34-('V06 Calend 01'!I34*('V06 Calend 01'!E34-1))),'V06 Calend 01'!I34),0))+IF((11='V06 Calend 01'!D34),'V06 Calend 01'!J34,0))</f>
        <v>0</v>
      </c>
      <c r="X34" s="2">
        <f>((IF((12='V06 Calend 01'!C34),('V06 Calend 01'!F34+'V06 Calend 01'!G34),0)+IF(AND(('V06 Calend 01'!E34&gt;0),(12&gt;'V06 Calend 01'!C34),(12&lt;'V06 Calend 01'!D34),(MOD((12-'V06 Calend 01'!C34),6)=0),(((12-'V06 Calend 01'!C34)/6)&lt;='V06 Calend 01'!E34)),IF((12=('V06 Calend 01'!C34+(6*'V06 Calend 01'!E34))),('V06 Calend 01'!H34-('V06 Calend 01'!I34*('V06 Calend 01'!E34-1))),'V06 Calend 01'!I34),0))+IF((12='V06 Calend 01'!D34),'V06 Calend 01'!J34,0))</f>
        <v>0</v>
      </c>
      <c r="Y34" s="2">
        <f>((IF((13='V06 Calend 01'!C34),('V06 Calend 01'!F34+'V06 Calend 01'!G34),0)+IF(AND(('V06 Calend 01'!E34&gt;0),(13&gt;'V06 Calend 01'!C34),(13&lt;'V06 Calend 01'!D34),(MOD((13-'V06 Calend 01'!C34),6)=0),(((13-'V06 Calend 01'!C34)/6)&lt;='V06 Calend 01'!E34)),IF((13=('V06 Calend 01'!C34+(6*'V06 Calend 01'!E34))),('V06 Calend 01'!H34-('V06 Calend 01'!I34*('V06 Calend 01'!E34-1))),'V06 Calend 01'!I34),0))+IF((13='V06 Calend 01'!D34),'V06 Calend 01'!J34,0))</f>
        <v>0</v>
      </c>
      <c r="Z34" s="2">
        <f>((IF((14='V06 Calend 01'!C34),('V06 Calend 01'!F34+'V06 Calend 01'!G34),0)+IF(AND(('V06 Calend 01'!E34&gt;0),(14&gt;'V06 Calend 01'!C34),(14&lt;'V06 Calend 01'!D34),(MOD((14-'V06 Calend 01'!C34),6)=0),(((14-'V06 Calend 01'!C34)/6)&lt;='V06 Calend 01'!E34)),IF((14=('V06 Calend 01'!C34+(6*'V06 Calend 01'!E34))),('V06 Calend 01'!H34-('V06 Calend 01'!I34*('V06 Calend 01'!E34-1))),'V06 Calend 01'!I34),0))+IF((14='V06 Calend 01'!D34),'V06 Calend 01'!J34,0))</f>
        <v>0</v>
      </c>
      <c r="AA34" s="2">
        <f>((IF((15='V06 Calend 01'!C34),('V06 Calend 01'!F34+'V06 Calend 01'!G34),0)+IF(AND(('V06 Calend 01'!E34&gt;0),(15&gt;'V06 Calend 01'!C34),(15&lt;'V06 Calend 01'!D34),(MOD((15-'V06 Calend 01'!C34),6)=0),(((15-'V06 Calend 01'!C34)/6)&lt;='V06 Calend 01'!E34)),IF((15=('V06 Calend 01'!C34+(6*'V06 Calend 01'!E34))),('V06 Calend 01'!H34-('V06 Calend 01'!I34*('V06 Calend 01'!E34-1))),'V06 Calend 01'!I34),0))+IF((15='V06 Calend 01'!D34),'V06 Calend 01'!J34,0))</f>
        <v>0</v>
      </c>
      <c r="AB34" s="2">
        <f>((IF((16='V06 Calend 01'!C34),('V06 Calend 01'!F34+'V06 Calend 01'!G34),0)+IF(AND(('V06 Calend 01'!E34&gt;0),(16&gt;'V06 Calend 01'!C34),(16&lt;'V06 Calend 01'!D34),(MOD((16-'V06 Calend 01'!C34),6)=0),(((16-'V06 Calend 01'!C34)/6)&lt;='V06 Calend 01'!E34)),IF((16=('V06 Calend 01'!C34+(6*'V06 Calend 01'!E34))),('V06 Calend 01'!H34-('V06 Calend 01'!I34*('V06 Calend 01'!E34-1))),'V06 Calend 01'!I34),0))+IF((16='V06 Calend 01'!D34),'V06 Calend 01'!J34,0))</f>
        <v>0</v>
      </c>
      <c r="AC34" s="2">
        <f>((IF((17='V06 Calend 01'!C34),('V06 Calend 01'!F34+'V06 Calend 01'!G34),0)+IF(AND(('V06 Calend 01'!E34&gt;0),(17&gt;'V06 Calend 01'!C34),(17&lt;'V06 Calend 01'!D34),(MOD((17-'V06 Calend 01'!C34),6)=0),(((17-'V06 Calend 01'!C34)/6)&lt;='V06 Calend 01'!E34)),IF((17=('V06 Calend 01'!C34+(6*'V06 Calend 01'!E34))),('V06 Calend 01'!H34-('V06 Calend 01'!I34*('V06 Calend 01'!E34-1))),'V06 Calend 01'!I34),0))+IF((17='V06 Calend 01'!D34),'V06 Calend 01'!J34,0))</f>
        <v>0</v>
      </c>
      <c r="AD34" s="2">
        <f>((IF((18='V06 Calend 01'!C34),('V06 Calend 01'!F34+'V06 Calend 01'!G34),0)+IF(AND(('V06 Calend 01'!E34&gt;0),(18&gt;'V06 Calend 01'!C34),(18&lt;'V06 Calend 01'!D34),(MOD((18-'V06 Calend 01'!C34),6)=0),(((18-'V06 Calend 01'!C34)/6)&lt;='V06 Calend 01'!E34)),IF((18=('V06 Calend 01'!C34+(6*'V06 Calend 01'!E34))),('V06 Calend 01'!H34-('V06 Calend 01'!I34*('V06 Calend 01'!E34-1))),'V06 Calend 01'!I34),0))+IF((18='V06 Calend 01'!D34),'V06 Calend 01'!J34,0))</f>
        <v>0</v>
      </c>
      <c r="AE34" s="2">
        <f>((IF((19='V06 Calend 01'!C34),('V06 Calend 01'!F34+'V06 Calend 01'!G34),0)+IF(AND(('V06 Calend 01'!E34&gt;0),(19&gt;'V06 Calend 01'!C34),(19&lt;'V06 Calend 01'!D34),(MOD((19-'V06 Calend 01'!C34),6)=0),(((19-'V06 Calend 01'!C34)/6)&lt;='V06 Calend 01'!E34)),IF((19=('V06 Calend 01'!C34+(6*'V06 Calend 01'!E34))),('V06 Calend 01'!H34-('V06 Calend 01'!I34*('V06 Calend 01'!E34-1))),'V06 Calend 01'!I34),0))+IF((19='V06 Calend 01'!D34),'V06 Calend 01'!J34,0))</f>
        <v>146390.40000000002</v>
      </c>
      <c r="AF34" s="2">
        <f>((IF((20='V06 Calend 01'!C34),('V06 Calend 01'!F34+'V06 Calend 01'!G34),0)+IF(AND(('V06 Calend 01'!E34&gt;0),(20&gt;'V06 Calend 01'!C34),(20&lt;'V06 Calend 01'!D34),(MOD((20-'V06 Calend 01'!C34),6)=0),(((20-'V06 Calend 01'!C34)/6)&lt;='V06 Calend 01'!E34)),IF((20=('V06 Calend 01'!C34+(6*'V06 Calend 01'!E34))),('V06 Calend 01'!H34-('V06 Calend 01'!I34*('V06 Calend 01'!E34-1))),'V06 Calend 01'!I34),0))+IF((20='V06 Calend 01'!D34),'V06 Calend 01'!J34,0))</f>
        <v>0</v>
      </c>
      <c r="AG34" s="2">
        <f>((IF((21='V06 Calend 01'!C34),('V06 Calend 01'!F34+'V06 Calend 01'!G34),0)+IF(AND(('V06 Calend 01'!E34&gt;0),(21&gt;'V06 Calend 01'!C34),(21&lt;'V06 Calend 01'!D34),(MOD((21-'V06 Calend 01'!C34),6)=0),(((21-'V06 Calend 01'!C34)/6)&lt;='V06 Calend 01'!E34)),IF((21=('V06 Calend 01'!C34+(6*'V06 Calend 01'!E34))),('V06 Calend 01'!H34-('V06 Calend 01'!I34*('V06 Calend 01'!E34-1))),'V06 Calend 01'!I34),0))+IF((21='V06 Calend 01'!D34),'V06 Calend 01'!J34,0))</f>
        <v>0</v>
      </c>
      <c r="AH34" s="2">
        <f>((IF((22='V06 Calend 01'!C34),('V06 Calend 01'!F34+'V06 Calend 01'!G34),0)+IF(AND(('V06 Calend 01'!E34&gt;0),(22&gt;'V06 Calend 01'!C34),(22&lt;'V06 Calend 01'!D34),(MOD((22-'V06 Calend 01'!C34),6)=0),(((22-'V06 Calend 01'!C34)/6)&lt;='V06 Calend 01'!E34)),IF((22=('V06 Calend 01'!C34+(6*'V06 Calend 01'!E34))),('V06 Calend 01'!H34-('V06 Calend 01'!I34*('V06 Calend 01'!E34-1))),'V06 Calend 01'!I34),0))+IF((22='V06 Calend 01'!D34),'V06 Calend 01'!J34,0))</f>
        <v>0</v>
      </c>
      <c r="AI34" s="2">
        <f>((IF((23='V06 Calend 01'!C34),('V06 Calend 01'!F34+'V06 Calend 01'!G34),0)+IF(AND(('V06 Calend 01'!E34&gt;0),(23&gt;'V06 Calend 01'!C34),(23&lt;'V06 Calend 01'!D34),(MOD((23-'V06 Calend 01'!C34),6)=0),(((23-'V06 Calend 01'!C34)/6)&lt;='V06 Calend 01'!E34)),IF((23=('V06 Calend 01'!C34+(6*'V06 Calend 01'!E34))),('V06 Calend 01'!H34-('V06 Calend 01'!I34*('V06 Calend 01'!E34-1))),'V06 Calend 01'!I34),0))+IF((23='V06 Calend 01'!D34),'V06 Calend 01'!J34,0))</f>
        <v>0</v>
      </c>
      <c r="AJ34" s="2">
        <f>((IF((24='V06 Calend 01'!C34),('V06 Calend 01'!F34+'V06 Calend 01'!G34),0)+IF(AND(('V06 Calend 01'!E34&gt;0),(24&gt;'V06 Calend 01'!C34),(24&lt;'V06 Calend 01'!D34),(MOD((24-'V06 Calend 01'!C34),6)=0),(((24-'V06 Calend 01'!C34)/6)&lt;='V06 Calend 01'!E34)),IF((24=('V06 Calend 01'!C34+(6*'V06 Calend 01'!E34))),('V06 Calend 01'!H34-('V06 Calend 01'!I34*('V06 Calend 01'!E34-1))),'V06 Calend 01'!I34),0))+IF((24='V06 Calend 01'!D34),'V06 Calend 01'!J34,0))</f>
        <v>0</v>
      </c>
      <c r="AK34" s="2">
        <f>((IF((25='V06 Calend 01'!C34),('V06 Calend 01'!F34+'V06 Calend 01'!G34),0)+IF(AND(('V06 Calend 01'!E34&gt;0),(25&gt;'V06 Calend 01'!C34),(25&lt;'V06 Calend 01'!D34),(MOD((25-'V06 Calend 01'!C34),6)=0),(((25-'V06 Calend 01'!C34)/6)&lt;='V06 Calend 01'!E34)),IF((25=('V06 Calend 01'!C34+(6*'V06 Calend 01'!E34))),('V06 Calend 01'!H34-('V06 Calend 01'!I34*('V06 Calend 01'!E34-1))),'V06 Calend 01'!I34),0))+IF((25='V06 Calend 01'!D34),'V06 Calend 01'!J34,0))</f>
        <v>322058.88</v>
      </c>
      <c r="AL34" s="2">
        <f>((IF((26='V06 Calend 01'!C34),('V06 Calend 01'!F34+'V06 Calend 01'!G34),0)+IF(AND(('V06 Calend 01'!E34&gt;0),(26&gt;'V06 Calend 01'!C34),(26&lt;'V06 Calend 01'!D34),(MOD((26-'V06 Calend 01'!C34),6)=0),(((26-'V06 Calend 01'!C34)/6)&lt;='V06 Calend 01'!E34)),IF((26=('V06 Calend 01'!C34+(6*'V06 Calend 01'!E34))),('V06 Calend 01'!H34-('V06 Calend 01'!I34*('V06 Calend 01'!E34-1))),'V06 Calend 01'!I34),0))+IF((26='V06 Calend 01'!D34),'V06 Calend 01'!J34,0))</f>
        <v>0</v>
      </c>
      <c r="AM34" s="2">
        <f>((IF((27='V06 Calend 01'!C34),('V06 Calend 01'!F34+'V06 Calend 01'!G34),0)+IF(AND(('V06 Calend 01'!E34&gt;0),(27&gt;'V06 Calend 01'!C34),(27&lt;'V06 Calend 01'!D34),(MOD((27-'V06 Calend 01'!C34),6)=0),(((27-'V06 Calend 01'!C34)/6)&lt;='V06 Calend 01'!E34)),IF((27=('V06 Calend 01'!C34+(6*'V06 Calend 01'!E34))),('V06 Calend 01'!H34-('V06 Calend 01'!I34*('V06 Calend 01'!E34-1))),'V06 Calend 01'!I34),0))+IF((27='V06 Calend 01'!D34),'V06 Calend 01'!J34,0))</f>
        <v>0</v>
      </c>
      <c r="AN34" s="2">
        <f>((IF((28='V06 Calend 01'!C34),('V06 Calend 01'!F34+'V06 Calend 01'!G34),0)+IF(AND(('V06 Calend 01'!E34&gt;0),(28&gt;'V06 Calend 01'!C34),(28&lt;'V06 Calend 01'!D34),(MOD((28-'V06 Calend 01'!C34),6)=0),(((28-'V06 Calend 01'!C34)/6)&lt;='V06 Calend 01'!E34)),IF((28=('V06 Calend 01'!C34+(6*'V06 Calend 01'!E34))),('V06 Calend 01'!H34-('V06 Calend 01'!I34*('V06 Calend 01'!E34-1))),'V06 Calend 01'!I34),0))+IF((28='V06 Calend 01'!D34),'V06 Calend 01'!J34,0))</f>
        <v>0</v>
      </c>
      <c r="AO34" s="2">
        <f>((IF((29='V06 Calend 01'!C34),('V06 Calend 01'!F34+'V06 Calend 01'!G34),0)+IF(AND(('V06 Calend 01'!E34&gt;0),(29&gt;'V06 Calend 01'!C34),(29&lt;'V06 Calend 01'!D34),(MOD((29-'V06 Calend 01'!C34),6)=0),(((29-'V06 Calend 01'!C34)/6)&lt;='V06 Calend 01'!E34)),IF((29=('V06 Calend 01'!C34+(6*'V06 Calend 01'!E34))),('V06 Calend 01'!H34-('V06 Calend 01'!I34*('V06 Calend 01'!E34-1))),'V06 Calend 01'!I34),0))+IF((29='V06 Calend 01'!D34),'V06 Calend 01'!J34,0))</f>
        <v>0</v>
      </c>
      <c r="AP34" s="2">
        <f>((IF((30='V06 Calend 01'!C34),('V06 Calend 01'!F34+'V06 Calend 01'!G34),0)+IF(AND(('V06 Calend 01'!E34&gt;0),(30&gt;'V06 Calend 01'!C34),(30&lt;'V06 Calend 01'!D34),(MOD((30-'V06 Calend 01'!C34),6)=0),(((30-'V06 Calend 01'!C34)/6)&lt;='V06 Calend 01'!E34)),IF((30=('V06 Calend 01'!C34+(6*'V06 Calend 01'!E34))),('V06 Calend 01'!H34-('V06 Calend 01'!I34*('V06 Calend 01'!E34-1))),'V06 Calend 01'!I34),0))+IF((30='V06 Calend 01'!D34),'V06 Calend 01'!J34,0))</f>
        <v>117112.32</v>
      </c>
      <c r="AQ34" s="2">
        <f>((IF((31='V06 Calend 01'!C34),('V06 Calend 01'!F34+'V06 Calend 01'!G34),0)+IF(AND(('V06 Calend 01'!E34&gt;0),(31&gt;'V06 Calend 01'!C34),(31&lt;'V06 Calend 01'!D34),(MOD((31-'V06 Calend 01'!C34),6)=0),(((31-'V06 Calend 01'!C34)/6)&lt;='V06 Calend 01'!E34)),IF((31=('V06 Calend 01'!C34+(6*'V06 Calend 01'!E34))),('V06 Calend 01'!H34-('V06 Calend 01'!I34*('V06 Calend 01'!E34-1))),'V06 Calend 01'!I34),0))+IF((31='V06 Calend 01'!D34),'V06 Calend 01'!J34,0))</f>
        <v>0</v>
      </c>
      <c r="AR34" s="2">
        <f>((IF((32='V06 Calend 01'!C34),('V06 Calend 01'!F34+'V06 Calend 01'!G34),0)+IF(AND(('V06 Calend 01'!E34&gt;0),(32&gt;'V06 Calend 01'!C34),(32&lt;'V06 Calend 01'!D34),(MOD((32-'V06 Calend 01'!C34),6)=0),(((32-'V06 Calend 01'!C34)/6)&lt;='V06 Calend 01'!E34)),IF((32=('V06 Calend 01'!C34+(6*'V06 Calend 01'!E34))),('V06 Calend 01'!H34-('V06 Calend 01'!I34*('V06 Calend 01'!E34-1))),'V06 Calend 01'!I34),0))+IF((32='V06 Calend 01'!D34),'V06 Calend 01'!J34,0))</f>
        <v>0</v>
      </c>
      <c r="AS34" s="2">
        <f>((IF((33='V06 Calend 01'!C34),('V06 Calend 01'!F34+'V06 Calend 01'!G34),0)+IF(AND(('V06 Calend 01'!E34&gt;0),(33&gt;'V06 Calend 01'!C34),(33&lt;'V06 Calend 01'!D34),(MOD((33-'V06 Calend 01'!C34),6)=0),(((33-'V06 Calend 01'!C34)/6)&lt;='V06 Calend 01'!E34)),IF((33=('V06 Calend 01'!C34+(6*'V06 Calend 01'!E34))),('V06 Calend 01'!H34-('V06 Calend 01'!I34*('V06 Calend 01'!E34-1))),'V06 Calend 01'!I34),0))+IF((33='V06 Calend 01'!D34),'V06 Calend 01'!J34,0))</f>
        <v>0</v>
      </c>
      <c r="AT34" s="2">
        <f>((IF((34='V06 Calend 01'!C34),('V06 Calend 01'!F34+'V06 Calend 01'!G34),0)+IF(AND(('V06 Calend 01'!E34&gt;0),(34&gt;'V06 Calend 01'!C34),(34&lt;'V06 Calend 01'!D34),(MOD((34-'V06 Calend 01'!C34),6)=0),(((34-'V06 Calend 01'!C34)/6)&lt;='V06 Calend 01'!E34)),IF((34=('V06 Calend 01'!C34+(6*'V06 Calend 01'!E34))),('V06 Calend 01'!H34-('V06 Calend 01'!I34*('V06 Calend 01'!E34-1))),'V06 Calend 01'!I34),0))+IF((34='V06 Calend 01'!D34),'V06 Calend 01'!J34,0))</f>
        <v>0</v>
      </c>
      <c r="AU34" s="2">
        <f>((IF((35='V06 Calend 01'!C34),('V06 Calend 01'!F34+'V06 Calend 01'!G34),0)+IF(AND(('V06 Calend 01'!E34&gt;0),(35&gt;'V06 Calend 01'!C34),(35&lt;'V06 Calend 01'!D34),(MOD((35-'V06 Calend 01'!C34),6)=0),(((35-'V06 Calend 01'!C34)/6)&lt;='V06 Calend 01'!E34)),IF((35=('V06 Calend 01'!C34+(6*'V06 Calend 01'!E34))),('V06 Calend 01'!H34-('V06 Calend 01'!I34*('V06 Calend 01'!E34-1))),'V06 Calend 01'!I34),0))+IF((35='V06 Calend 01'!D34),'V06 Calend 01'!J34,0))</f>
        <v>0</v>
      </c>
      <c r="AV34" s="2">
        <f>((IF((36='V06 Calend 01'!C34),('V06 Calend 01'!F34+'V06 Calend 01'!G34),0)+IF(AND(('V06 Calend 01'!E34&gt;0),(36&gt;'V06 Calend 01'!C34),(36&lt;'V06 Calend 01'!D34),(MOD((36-'V06 Calend 01'!C34),6)=0),(((36-'V06 Calend 01'!C34)/6)&lt;='V06 Calend 01'!E34)),IF((36=('V06 Calend 01'!C34+(6*'V06 Calend 01'!E34))),('V06 Calend 01'!H34-('V06 Calend 01'!I34*('V06 Calend 01'!E34-1))),'V06 Calend 01'!I34),0))+IF((36='V06 Calend 01'!D34),'V06 Calend 01'!J34,0))</f>
        <v>0</v>
      </c>
      <c r="AW34" s="2">
        <f>((IF((37='V06 Calend 01'!C34),('V06 Calend 01'!F34+'V06 Calend 01'!G34),0)+IF(AND(('V06 Calend 01'!E34&gt;0),(37&gt;'V06 Calend 01'!C34),(37&lt;'V06 Calend 01'!D34),(MOD((37-'V06 Calend 01'!C34),6)=0),(((37-'V06 Calend 01'!C34)/6)&lt;='V06 Calend 01'!E34)),IF((37=('V06 Calend 01'!C34+(6*'V06 Calend 01'!E34))),('V06 Calend 01'!H34-('V06 Calend 01'!I34*('V06 Calend 01'!E34-1))),'V06 Calend 01'!I34),0))+IF((37='V06 Calend 01'!D34),'V06 Calend 01'!J34,0))</f>
        <v>0</v>
      </c>
      <c r="AX34" s="2">
        <f>((IF((38='V06 Calend 01'!C34),('V06 Calend 01'!F34+'V06 Calend 01'!G34),0)+IF(AND(('V06 Calend 01'!E34&gt;0),(38&gt;'V06 Calend 01'!C34),(38&lt;'V06 Calend 01'!D34),(MOD((38-'V06 Calend 01'!C34),6)=0),(((38-'V06 Calend 01'!C34)/6)&lt;='V06 Calend 01'!E34)),IF((38=('V06 Calend 01'!C34+(6*'V06 Calend 01'!E34))),('V06 Calend 01'!H34-('V06 Calend 01'!I34*('V06 Calend 01'!E34-1))),'V06 Calend 01'!I34),0))+IF((38='V06 Calend 01'!D34),'V06 Calend 01'!J34,0))</f>
        <v>0</v>
      </c>
      <c r="AY34" s="2">
        <f>((IF((39='V06 Calend 01'!C34),('V06 Calend 01'!F34+'V06 Calend 01'!G34),0)+IF(AND(('V06 Calend 01'!E34&gt;0),(39&gt;'V06 Calend 01'!C34),(39&lt;'V06 Calend 01'!D34),(MOD((39-'V06 Calend 01'!C34),6)=0),(((39-'V06 Calend 01'!C34)/6)&lt;='V06 Calend 01'!E34)),IF((39=('V06 Calend 01'!C34+(6*'V06 Calend 01'!E34))),('V06 Calend 01'!H34-('V06 Calend 01'!I34*('V06 Calend 01'!E34-1))),'V06 Calend 01'!I34),0))+IF((39='V06 Calend 01'!D34),'V06 Calend 01'!J34,0))</f>
        <v>0</v>
      </c>
      <c r="AZ34" s="2">
        <f>((IF((40='V06 Calend 01'!C34),('V06 Calend 01'!F34+'V06 Calend 01'!G34),0)+IF(AND(('V06 Calend 01'!E34&gt;0),(40&gt;'V06 Calend 01'!C34),(40&lt;'V06 Calend 01'!D34),(MOD((40-'V06 Calend 01'!C34),6)=0),(((40-'V06 Calend 01'!C34)/6)&lt;='V06 Calend 01'!E34)),IF((40=('V06 Calend 01'!C34+(6*'V06 Calend 01'!E34))),('V06 Calend 01'!H34-('V06 Calend 01'!I34*('V06 Calend 01'!E34-1))),'V06 Calend 01'!I34),0))+IF((40='V06 Calend 01'!D34),'V06 Calend 01'!J34,0))</f>
        <v>0</v>
      </c>
      <c r="BA34" s="2">
        <f>((IF((41='V06 Calend 01'!C34),('V06 Calend 01'!F34+'V06 Calend 01'!G34),0)+IF(AND(('V06 Calend 01'!E34&gt;0),(41&gt;'V06 Calend 01'!C34),(41&lt;'V06 Calend 01'!D34),(MOD((41-'V06 Calend 01'!C34),6)=0),(((41-'V06 Calend 01'!C34)/6)&lt;='V06 Calend 01'!E34)),IF((41=('V06 Calend 01'!C34+(6*'V06 Calend 01'!E34))),('V06 Calend 01'!H34-('V06 Calend 01'!I34*('V06 Calend 01'!E34-1))),'V06 Calend 01'!I34),0))+IF((41='V06 Calend 01'!D34),'V06 Calend 01'!J34,0))</f>
        <v>0</v>
      </c>
      <c r="BB34" s="2">
        <f>((IF((42='V06 Calend 01'!C34),('V06 Calend 01'!F34+'V06 Calend 01'!G34),0)+IF(AND(('V06 Calend 01'!E34&gt;0),(42&gt;'V06 Calend 01'!C34),(42&lt;'V06 Calend 01'!D34),(MOD((42-'V06 Calend 01'!C34),6)=0),(((42-'V06 Calend 01'!C34)/6)&lt;='V06 Calend 01'!E34)),IF((42=('V06 Calend 01'!C34+(6*'V06 Calend 01'!E34))),('V06 Calend 01'!H34-('V06 Calend 01'!I34*('V06 Calend 01'!E34-1))),'V06 Calend 01'!I34),0))+IF((42='V06 Calend 01'!D34),'V06 Calend 01'!J34,0))</f>
        <v>0</v>
      </c>
      <c r="BC34" s="2">
        <f>((IF((43='V06 Calend 01'!C34),('V06 Calend 01'!F34+'V06 Calend 01'!G34),0)+IF(AND(('V06 Calend 01'!E34&gt;0),(43&gt;'V06 Calend 01'!C34),(43&lt;'V06 Calend 01'!D34),(MOD((43-'V06 Calend 01'!C34),6)=0),(((43-'V06 Calend 01'!C34)/6)&lt;='V06 Calend 01'!E34)),IF((43=('V06 Calend 01'!C34+(6*'V06 Calend 01'!E34))),('V06 Calend 01'!H34-('V06 Calend 01'!I34*('V06 Calend 01'!E34-1))),'V06 Calend 01'!I34),0))+IF((43='V06 Calend 01'!D34),'V06 Calend 01'!J34,0))</f>
        <v>0</v>
      </c>
      <c r="BD34" s="2">
        <f>((IF((44='V06 Calend 01'!C34),('V06 Calend 01'!F34+'V06 Calend 01'!G34),0)+IF(AND(('V06 Calend 01'!E34&gt;0),(44&gt;'V06 Calend 01'!C34),(44&lt;'V06 Calend 01'!D34),(MOD((44-'V06 Calend 01'!C34),6)=0),(((44-'V06 Calend 01'!C34)/6)&lt;='V06 Calend 01'!E34)),IF((44=('V06 Calend 01'!C34+(6*'V06 Calend 01'!E34))),('V06 Calend 01'!H34-('V06 Calend 01'!I34*('V06 Calend 01'!E34-1))),'V06 Calend 01'!I34),0))+IF((44='V06 Calend 01'!D34),'V06 Calend 01'!J34,0))</f>
        <v>0</v>
      </c>
      <c r="BE34" s="2">
        <f>((IF((45='V06 Calend 01'!C34),('V06 Calend 01'!F34+'V06 Calend 01'!G34),0)+IF(AND(('V06 Calend 01'!E34&gt;0),(45&gt;'V06 Calend 01'!C34),(45&lt;'V06 Calend 01'!D34),(MOD((45-'V06 Calend 01'!C34),6)=0),(((45-'V06 Calend 01'!C34)/6)&lt;='V06 Calend 01'!E34)),IF((45=('V06 Calend 01'!C34+(6*'V06 Calend 01'!E34))),('V06 Calend 01'!H34-('V06 Calend 01'!I34*('V06 Calend 01'!E34-1))),'V06 Calend 01'!I34),0))+IF((45='V06 Calend 01'!D34),'V06 Calend 01'!J34,0))</f>
        <v>0</v>
      </c>
      <c r="BF34" s="2">
        <f>((IF((46='V06 Calend 01'!C34),('V06 Calend 01'!F34+'V06 Calend 01'!G34),0)+IF(AND(('V06 Calend 01'!E34&gt;0),(46&gt;'V06 Calend 01'!C34),(46&lt;'V06 Calend 01'!D34),(MOD((46-'V06 Calend 01'!C34),6)=0),(((46-'V06 Calend 01'!C34)/6)&lt;='V06 Calend 01'!E34)),IF((46=('V06 Calend 01'!C34+(6*'V06 Calend 01'!E34))),('V06 Calend 01'!H34-('V06 Calend 01'!I34*('V06 Calend 01'!E34-1))),'V06 Calend 01'!I34),0))+IF((46='V06 Calend 01'!D34),'V06 Calend 01'!J34,0))</f>
        <v>0</v>
      </c>
      <c r="BG34" s="2">
        <f>((IF((47='V06 Calend 01'!C34),('V06 Calend 01'!F34+'V06 Calend 01'!G34),0)+IF(AND(('V06 Calend 01'!E34&gt;0),(47&gt;'V06 Calend 01'!C34),(47&lt;'V06 Calend 01'!D34),(MOD((47-'V06 Calend 01'!C34),6)=0),(((47-'V06 Calend 01'!C34)/6)&lt;='V06 Calend 01'!E34)),IF((47=('V06 Calend 01'!C34+(6*'V06 Calend 01'!E34))),('V06 Calend 01'!H34-('V06 Calend 01'!I34*('V06 Calend 01'!E34-1))),'V06 Calend 01'!I34),0))+IF((47='V06 Calend 01'!D34),'V06 Calend 01'!J34,0))</f>
        <v>0</v>
      </c>
      <c r="BH34" s="2">
        <f>((IF((48='V06 Calend 01'!C34),('V06 Calend 01'!F34+'V06 Calend 01'!G34),0)+IF(AND(('V06 Calend 01'!E34&gt;0),(48&gt;'V06 Calend 01'!C34),(48&lt;'V06 Calend 01'!D34),(MOD((48-'V06 Calend 01'!C34),6)=0),(((48-'V06 Calend 01'!C34)/6)&lt;='V06 Calend 01'!E34)),IF((48=('V06 Calend 01'!C34+(6*'V06 Calend 01'!E34))),('V06 Calend 01'!H34-('V06 Calend 01'!I34*('V06 Calend 01'!E34-1))),'V06 Calend 01'!I34),0))+IF((48='V06 Calend 01'!D34),'V06 Calend 01'!J34,0))</f>
        <v>0</v>
      </c>
      <c r="BI34" s="2">
        <f>((IF((49='V06 Calend 01'!C34),('V06 Calend 01'!F34+'V06 Calend 01'!G34),0)+IF(AND(('V06 Calend 01'!E34&gt;0),(49&gt;'V06 Calend 01'!C34),(49&lt;'V06 Calend 01'!D34),(MOD((49-'V06 Calend 01'!C34),6)=0),(((49-'V06 Calend 01'!C34)/6)&lt;='V06 Calend 01'!E34)),IF((49=('V06 Calend 01'!C34+(6*'V06 Calend 01'!E34))),('V06 Calend 01'!H34-('V06 Calend 01'!I34*('V06 Calend 01'!E34-1))),'V06 Calend 01'!I34),0))+IF((49='V06 Calend 01'!D34),'V06 Calend 01'!J34,0))</f>
        <v>0</v>
      </c>
      <c r="BJ34" s="2">
        <f>((IF((50='V06 Calend 01'!C34),('V06 Calend 01'!F34+'V06 Calend 01'!G34),0)+IF(AND(('V06 Calend 01'!E34&gt;0),(50&gt;'V06 Calend 01'!C34),(50&lt;'V06 Calend 01'!D34),(MOD((50-'V06 Calend 01'!C34),6)=0),(((50-'V06 Calend 01'!C34)/6)&lt;='V06 Calend 01'!E34)),IF((50=('V06 Calend 01'!C34+(6*'V06 Calend 01'!E34))),('V06 Calend 01'!H34-('V06 Calend 01'!I34*('V06 Calend 01'!E34-1))),'V06 Calend 01'!I34),0))+IF((50='V06 Calend 01'!D34),'V06 Calend 01'!J34,0))</f>
        <v>0</v>
      </c>
      <c r="BK34" s="2">
        <f>((IF((51='V06 Calend 01'!C34),('V06 Calend 01'!F34+'V06 Calend 01'!G34),0)+IF(AND(('V06 Calend 01'!E34&gt;0),(51&gt;'V06 Calend 01'!C34),(51&lt;'V06 Calend 01'!D34),(MOD((51-'V06 Calend 01'!C34),6)=0),(((51-'V06 Calend 01'!C34)/6)&lt;='V06 Calend 01'!E34)),IF((51=('V06 Calend 01'!C34+(6*'V06 Calend 01'!E34))),('V06 Calend 01'!H34-('V06 Calend 01'!I34*('V06 Calend 01'!E34-1))),'V06 Calend 01'!I34),0))+IF((51='V06 Calend 01'!D34),'V06 Calend 01'!J34,0))</f>
        <v>0</v>
      </c>
      <c r="BL34" s="2">
        <f>((IF((52='V06 Calend 01'!C34),('V06 Calend 01'!F34+'V06 Calend 01'!G34),0)+IF(AND(('V06 Calend 01'!E34&gt;0),(52&gt;'V06 Calend 01'!C34),(52&lt;'V06 Calend 01'!D34),(MOD((52-'V06 Calend 01'!C34),6)=0),(((52-'V06 Calend 01'!C34)/6)&lt;='V06 Calend 01'!E34)),IF((52=('V06 Calend 01'!C34+(6*'V06 Calend 01'!E34))),('V06 Calend 01'!H34-('V06 Calend 01'!I34*('V06 Calend 01'!E34-1))),'V06 Calend 01'!I34),0))+IF((52='V06 Calend 01'!D34),'V06 Calend 01'!J34,0))</f>
        <v>0</v>
      </c>
      <c r="BM34" s="2">
        <f>((IF((53='V06 Calend 01'!C34),('V06 Calend 01'!F34+'V06 Calend 01'!G34),0)+IF(AND(('V06 Calend 01'!E34&gt;0),(53&gt;'V06 Calend 01'!C34),(53&lt;'V06 Calend 01'!D34),(MOD((53-'V06 Calend 01'!C34),6)=0),(((53-'V06 Calend 01'!C34)/6)&lt;='V06 Calend 01'!E34)),IF((53=('V06 Calend 01'!C34+(6*'V06 Calend 01'!E34))),('V06 Calend 01'!H34-('V06 Calend 01'!I34*('V06 Calend 01'!E34-1))),'V06 Calend 01'!I34),0))+IF((53='V06 Calend 01'!D34),'V06 Calend 01'!J34,0))</f>
        <v>0</v>
      </c>
      <c r="BN34" s="2">
        <f>((IF((54='V06 Calend 01'!C34),('V06 Calend 01'!F34+'V06 Calend 01'!G34),0)+IF(AND(('V06 Calend 01'!E34&gt;0),(54&gt;'V06 Calend 01'!C34),(54&lt;'V06 Calend 01'!D34),(MOD((54-'V06 Calend 01'!C34),6)=0),(((54-'V06 Calend 01'!C34)/6)&lt;='V06 Calend 01'!E34)),IF((54=('V06 Calend 01'!C34+(6*'V06 Calend 01'!E34))),('V06 Calend 01'!H34-('V06 Calend 01'!I34*('V06 Calend 01'!E34-1))),'V06 Calend 01'!I34),0))+IF((54='V06 Calend 01'!D34),'V06 Calend 01'!J34,0))</f>
        <v>0</v>
      </c>
      <c r="BO34" s="2">
        <f>((IF((55='V06 Calend 01'!C34),('V06 Calend 01'!F34+'V06 Calend 01'!G34),0)+IF(AND(('V06 Calend 01'!E34&gt;0),(55&gt;'V06 Calend 01'!C34),(55&lt;'V06 Calend 01'!D34),(MOD((55-'V06 Calend 01'!C34),6)=0),(((55-'V06 Calend 01'!C34)/6)&lt;='V06 Calend 01'!E34)),IF((55=('V06 Calend 01'!C34+(6*'V06 Calend 01'!E34))),('V06 Calend 01'!H34-('V06 Calend 01'!I34*('V06 Calend 01'!E34-1))),'V06 Calend 01'!I34),0))+IF((55='V06 Calend 01'!D34),'V06 Calend 01'!J34,0))</f>
        <v>0</v>
      </c>
      <c r="BP34" s="2">
        <f>((IF((56='V06 Calend 01'!C34),('V06 Calend 01'!F34+'V06 Calend 01'!G34),0)+IF(AND(('V06 Calend 01'!E34&gt;0),(56&gt;'V06 Calend 01'!C34),(56&lt;'V06 Calend 01'!D34),(MOD((56-'V06 Calend 01'!C34),6)=0),(((56-'V06 Calend 01'!C34)/6)&lt;='V06 Calend 01'!E34)),IF((56=('V06 Calend 01'!C34+(6*'V06 Calend 01'!E34))),('V06 Calend 01'!H34-('V06 Calend 01'!I34*('V06 Calend 01'!E34-1))),'V06 Calend 01'!I34),0))+IF((56='V06 Calend 01'!D34),'V06 Calend 01'!J34,0))</f>
        <v>0</v>
      </c>
      <c r="BQ34" s="2">
        <f>((IF((57='V06 Calend 01'!C34),('V06 Calend 01'!F34+'V06 Calend 01'!G34),0)+IF(AND(('V06 Calend 01'!E34&gt;0),(57&gt;'V06 Calend 01'!C34),(57&lt;'V06 Calend 01'!D34),(MOD((57-'V06 Calend 01'!C34),6)=0),(((57-'V06 Calend 01'!C34)/6)&lt;='V06 Calend 01'!E34)),IF((57=('V06 Calend 01'!C34+(6*'V06 Calend 01'!E34))),('V06 Calend 01'!H34-('V06 Calend 01'!I34*('V06 Calend 01'!E34-1))),'V06 Calend 01'!I34),0))+IF((57='V06 Calend 01'!D34),'V06 Calend 01'!J34,0))</f>
        <v>0</v>
      </c>
      <c r="BR34" s="2">
        <f>((IF((58='V06 Calend 01'!C34),('V06 Calend 01'!F34+'V06 Calend 01'!G34),0)+IF(AND(('V06 Calend 01'!E34&gt;0),(58&gt;'V06 Calend 01'!C34),(58&lt;'V06 Calend 01'!D34),(MOD((58-'V06 Calend 01'!C34),6)=0),(((58-'V06 Calend 01'!C34)/6)&lt;='V06 Calend 01'!E34)),IF((58=('V06 Calend 01'!C34+(6*'V06 Calend 01'!E34))),('V06 Calend 01'!H34-('V06 Calend 01'!I34*('V06 Calend 01'!E34-1))),'V06 Calend 01'!I34),0))+IF((58='V06 Calend 01'!D34),'V06 Calend 01'!J34,0))</f>
        <v>0</v>
      </c>
      <c r="BS34" s="2">
        <f>((IF((59='V06 Calend 01'!C34),('V06 Calend 01'!F34+'V06 Calend 01'!G34),0)+IF(AND(('V06 Calend 01'!E34&gt;0),(59&gt;'V06 Calend 01'!C34),(59&lt;'V06 Calend 01'!D34),(MOD((59-'V06 Calend 01'!C34),6)=0),(((59-'V06 Calend 01'!C34)/6)&lt;='V06 Calend 01'!E34)),IF((59=('V06 Calend 01'!C34+(6*'V06 Calend 01'!E34))),('V06 Calend 01'!H34-('V06 Calend 01'!I34*('V06 Calend 01'!E34-1))),'V06 Calend 01'!I34),0))+IF((59='V06 Calend 01'!D34),'V06 Calend 01'!J34,0))</f>
        <v>0</v>
      </c>
      <c r="BT34" s="2">
        <f>((IF((60='V06 Calend 01'!C34),('V06 Calend 01'!F34+'V06 Calend 01'!G34),0)+IF(AND(('V06 Calend 01'!E34&gt;0),(60&gt;'V06 Calend 01'!C34),(60&lt;'V06 Calend 01'!D34),(MOD((60-'V06 Calend 01'!C34),6)=0),(((60-'V06 Calend 01'!C34)/6)&lt;='V06 Calend 01'!E34)),IF((60=('V06 Calend 01'!C34+(6*'V06 Calend 01'!E34))),('V06 Calend 01'!H34-('V06 Calend 01'!I34*('V06 Calend 01'!E34-1))),'V06 Calend 01'!I34),0))+IF((60='V06 Calend 01'!D34),'V06 Calend 01'!J34,0))</f>
        <v>0</v>
      </c>
      <c r="BU34" s="2">
        <f>((IF((61='V06 Calend 01'!C34),('V06 Calend 01'!F34+'V06 Calend 01'!G34),0)+IF(AND(('V06 Calend 01'!E34&gt;0),(61&gt;'V06 Calend 01'!C34),(61&lt;'V06 Calend 01'!D34),(MOD((61-'V06 Calend 01'!C34),6)=0),(((61-'V06 Calend 01'!C34)/6)&lt;='V06 Calend 01'!E34)),IF((61=('V06 Calend 01'!C34+(6*'V06 Calend 01'!E34))),('V06 Calend 01'!H34-('V06 Calend 01'!I34*('V06 Calend 01'!E34-1))),'V06 Calend 01'!I34),0))+IF((61='V06 Calend 01'!D34),'V06 Calend 01'!J34,0))</f>
        <v>0</v>
      </c>
      <c r="BV34" s="2">
        <f>((IF((62='V06 Calend 01'!C34),('V06 Calend 01'!F34+'V06 Calend 01'!G34),0)+IF(AND(('V06 Calend 01'!E34&gt;0),(62&gt;'V06 Calend 01'!C34),(62&lt;'V06 Calend 01'!D34),(MOD((62-'V06 Calend 01'!C34),6)=0),(((62-'V06 Calend 01'!C34)/6)&lt;='V06 Calend 01'!E34)),IF((62=('V06 Calend 01'!C34+(6*'V06 Calend 01'!E34))),('V06 Calend 01'!H34-('V06 Calend 01'!I34*('V06 Calend 01'!E34-1))),'V06 Calend 01'!I34),0))+IF((62='V06 Calend 01'!D34),'V06 Calend 01'!J34,0))</f>
        <v>0</v>
      </c>
      <c r="BW34" s="2">
        <f>((IF((63='V06 Calend 01'!C34),('V06 Calend 01'!F34+'V06 Calend 01'!G34),0)+IF(AND(('V06 Calend 01'!E34&gt;0),(63&gt;'V06 Calend 01'!C34),(63&lt;'V06 Calend 01'!D34),(MOD((63-'V06 Calend 01'!C34),6)=0),(((63-'V06 Calend 01'!C34)/6)&lt;='V06 Calend 01'!E34)),IF((63=('V06 Calend 01'!C34+(6*'V06 Calend 01'!E34))),('V06 Calend 01'!H34-('V06 Calend 01'!I34*('V06 Calend 01'!E34-1))),'V06 Calend 01'!I34),0))+IF((63='V06 Calend 01'!D34),'V06 Calend 01'!J34,0))</f>
        <v>0</v>
      </c>
      <c r="BX34" s="2">
        <f>((IF((64='V06 Calend 01'!C34),('V06 Calend 01'!F34+'V06 Calend 01'!G34),0)+IF(AND(('V06 Calend 01'!E34&gt;0),(64&gt;'V06 Calend 01'!C34),(64&lt;'V06 Calend 01'!D34),(MOD((64-'V06 Calend 01'!C34),6)=0),(((64-'V06 Calend 01'!C34)/6)&lt;='V06 Calend 01'!E34)),IF((64=('V06 Calend 01'!C34+(6*'V06 Calend 01'!E34))),('V06 Calend 01'!H34-('V06 Calend 01'!I34*('V06 Calend 01'!E34-1))),'V06 Calend 01'!I34),0))+IF((64='V06 Calend 01'!D34),'V06 Calend 01'!J34,0))</f>
        <v>0</v>
      </c>
      <c r="BY34" s="2">
        <f>((IF((65='V06 Calend 01'!C34),('V06 Calend 01'!F34+'V06 Calend 01'!G34),0)+IF(AND(('V06 Calend 01'!E34&gt;0),(65&gt;'V06 Calend 01'!C34),(65&lt;'V06 Calend 01'!D34),(MOD((65-'V06 Calend 01'!C34),6)=0),(((65-'V06 Calend 01'!C34)/6)&lt;='V06 Calend 01'!E34)),IF((65=('V06 Calend 01'!C34+(6*'V06 Calend 01'!E34))),('V06 Calend 01'!H34-('V06 Calend 01'!I34*('V06 Calend 01'!E34-1))),'V06 Calend 01'!I34),0))+IF((65='V06 Calend 01'!D34),'V06 Calend 01'!J34,0))</f>
        <v>0</v>
      </c>
      <c r="BZ34" s="2">
        <f>((IF((66='V06 Calend 01'!C34),('V06 Calend 01'!F34+'V06 Calend 01'!G34),0)+IF(AND(('V06 Calend 01'!E34&gt;0),(66&gt;'V06 Calend 01'!C34),(66&lt;'V06 Calend 01'!D34),(MOD((66-'V06 Calend 01'!C34),6)=0),(((66-'V06 Calend 01'!C34)/6)&lt;='V06 Calend 01'!E34)),IF((66=('V06 Calend 01'!C34+(6*'V06 Calend 01'!E34))),('V06 Calend 01'!H34-('V06 Calend 01'!I34*('V06 Calend 01'!E34-1))),'V06 Calend 01'!I34),0))+IF((66='V06 Calend 01'!D34),'V06 Calend 01'!J34,0))</f>
        <v>0</v>
      </c>
      <c r="CA34" s="2">
        <f>((IF((67='V06 Calend 01'!C34),('V06 Calend 01'!F34+'V06 Calend 01'!G34),0)+IF(AND(('V06 Calend 01'!E34&gt;0),(67&gt;'V06 Calend 01'!C34),(67&lt;'V06 Calend 01'!D34),(MOD((67-'V06 Calend 01'!C34),6)=0),(((67-'V06 Calend 01'!C34)/6)&lt;='V06 Calend 01'!E34)),IF((67=('V06 Calend 01'!C34+(6*'V06 Calend 01'!E34))),('V06 Calend 01'!H34-('V06 Calend 01'!I34*('V06 Calend 01'!E34-1))),'V06 Calend 01'!I34),0))+IF((67='V06 Calend 01'!D34),'V06 Calend 01'!J34,0))</f>
        <v>0</v>
      </c>
      <c r="CB34" s="2">
        <f>((IF((68='V06 Calend 01'!C34),('V06 Calend 01'!F34+'V06 Calend 01'!G34),0)+IF(AND(('V06 Calend 01'!E34&gt;0),(68&gt;'V06 Calend 01'!C34),(68&lt;'V06 Calend 01'!D34),(MOD((68-'V06 Calend 01'!C34),6)=0),(((68-'V06 Calend 01'!C34)/6)&lt;='V06 Calend 01'!E34)),IF((68=('V06 Calend 01'!C34+(6*'V06 Calend 01'!E34))),('V06 Calend 01'!H34-('V06 Calend 01'!I34*('V06 Calend 01'!E34-1))),'V06 Calend 01'!I34),0))+IF((68='V06 Calend 01'!D34),'V06 Calend 01'!J34,0))</f>
        <v>0</v>
      </c>
      <c r="CC34" s="2">
        <f>((IF((69='V06 Calend 01'!C34),('V06 Calend 01'!F34+'V06 Calend 01'!G34),0)+IF(AND(('V06 Calend 01'!E34&gt;0),(69&gt;'V06 Calend 01'!C34),(69&lt;'V06 Calend 01'!D34),(MOD((69-'V06 Calend 01'!C34),6)=0),(((69-'V06 Calend 01'!C34)/6)&lt;='V06 Calend 01'!E34)),IF((69=('V06 Calend 01'!C34+(6*'V06 Calend 01'!E34))),('V06 Calend 01'!H34-('V06 Calend 01'!I34*('V06 Calend 01'!E34-1))),'V06 Calend 01'!I34),0))+IF((69='V06 Calend 01'!D34),'V06 Calend 01'!J34,0))</f>
        <v>0</v>
      </c>
      <c r="CD34" s="2">
        <f>((IF((70='V06 Calend 01'!C34),('V06 Calend 01'!F34+'V06 Calend 01'!G34),0)+IF(AND(('V06 Calend 01'!E34&gt;0),(70&gt;'V06 Calend 01'!C34),(70&lt;'V06 Calend 01'!D34),(MOD((70-'V06 Calend 01'!C34),6)=0),(((70-'V06 Calend 01'!C34)/6)&lt;='V06 Calend 01'!E34)),IF((70=('V06 Calend 01'!C34+(6*'V06 Calend 01'!E34))),('V06 Calend 01'!H34-('V06 Calend 01'!I34*('V06 Calend 01'!E34-1))),'V06 Calend 01'!I34),0))+IF((70='V06 Calend 01'!D34),'V06 Calend 01'!J34,0))</f>
        <v>0</v>
      </c>
      <c r="CE34" s="2">
        <f>((IF((71='V06 Calend 01'!C34),('V06 Calend 01'!F34+'V06 Calend 01'!G34),0)+IF(AND(('V06 Calend 01'!E34&gt;0),(71&gt;'V06 Calend 01'!C34),(71&lt;'V06 Calend 01'!D34),(MOD((71-'V06 Calend 01'!C34),6)=0),(((71-'V06 Calend 01'!C34)/6)&lt;='V06 Calend 01'!E34)),IF((71=('V06 Calend 01'!C34+(6*'V06 Calend 01'!E34))),('V06 Calend 01'!H34-('V06 Calend 01'!I34*('V06 Calend 01'!E34-1))),'V06 Calend 01'!I34),0))+IF((71='V06 Calend 01'!D34),'V06 Calend 01'!J34,0))</f>
        <v>0</v>
      </c>
      <c r="CF34" s="2">
        <f>((IF((72='V06 Calend 01'!C34),('V06 Calend 01'!F34+'V06 Calend 01'!G34),0)+IF(AND(('V06 Calend 01'!E34&gt;0),(72&gt;'V06 Calend 01'!C34),(72&lt;'V06 Calend 01'!D34),(MOD((72-'V06 Calend 01'!C34),6)=0),(((72-'V06 Calend 01'!C34)/6)&lt;='V06 Calend 01'!E34)),IF((72=('V06 Calend 01'!C34+(6*'V06 Calend 01'!E34))),('V06 Calend 01'!H34-('V06 Calend 01'!I34*('V06 Calend 01'!E34-1))),'V06 Calend 01'!I34),0))+IF((72='V06 Calend 01'!D34),'V06 Calend 01'!J34,0))</f>
        <v>0</v>
      </c>
      <c r="CG34" s="2">
        <f>((IF((73='V06 Calend 01'!C34),('V06 Calend 01'!F34+'V06 Calend 01'!G34),0)+IF(AND(('V06 Calend 01'!E34&gt;0),(73&gt;'V06 Calend 01'!C34),(73&lt;'V06 Calend 01'!D34),(MOD((73-'V06 Calend 01'!C34),6)=0),(((73-'V06 Calend 01'!C34)/6)&lt;='V06 Calend 01'!E34)),IF((73=('V06 Calend 01'!C34+(6*'V06 Calend 01'!E34))),('V06 Calend 01'!H34-('V06 Calend 01'!I34*('V06 Calend 01'!E34-1))),'V06 Calend 01'!I34),0))+IF((73='V06 Calend 01'!D34),'V06 Calend 01'!J34,0))</f>
        <v>0</v>
      </c>
      <c r="CH34" s="2">
        <f>((IF((74='V06 Calend 01'!C34),('V06 Calend 01'!F34+'V06 Calend 01'!G34),0)+IF(AND(('V06 Calend 01'!E34&gt;0),(74&gt;'V06 Calend 01'!C34),(74&lt;'V06 Calend 01'!D34),(MOD((74-'V06 Calend 01'!C34),6)=0),(((74-'V06 Calend 01'!C34)/6)&lt;='V06 Calend 01'!E34)),IF((74=('V06 Calend 01'!C34+(6*'V06 Calend 01'!E34))),('V06 Calend 01'!H34-('V06 Calend 01'!I34*('V06 Calend 01'!E34-1))),'V06 Calend 01'!I34),0))+IF((74='V06 Calend 01'!D34),'V06 Calend 01'!J34,0))</f>
        <v>0</v>
      </c>
      <c r="CI34" s="2">
        <f>((IF((75='V06 Calend 01'!C34),('V06 Calend 01'!F34+'V06 Calend 01'!G34),0)+IF(AND(('V06 Calend 01'!E34&gt;0),(75&gt;'V06 Calend 01'!C34),(75&lt;'V06 Calend 01'!D34),(MOD((75-'V06 Calend 01'!C34),6)=0),(((75-'V06 Calend 01'!C34)/6)&lt;='V06 Calend 01'!E34)),IF((75=('V06 Calend 01'!C34+(6*'V06 Calend 01'!E34))),('V06 Calend 01'!H34-('V06 Calend 01'!I34*('V06 Calend 01'!E34-1))),'V06 Calend 01'!I34),0))+IF((75='V06 Calend 01'!D34),'V06 Calend 01'!J34,0))</f>
        <v>0</v>
      </c>
      <c r="CJ34" s="2">
        <f>((IF((76='V06 Calend 01'!C34),('V06 Calend 01'!F34+'V06 Calend 01'!G34),0)+IF(AND(('V06 Calend 01'!E34&gt;0),(76&gt;'V06 Calend 01'!C34),(76&lt;'V06 Calend 01'!D34),(MOD((76-'V06 Calend 01'!C34),6)=0),(((76-'V06 Calend 01'!C34)/6)&lt;='V06 Calend 01'!E34)),IF((76=('V06 Calend 01'!C34+(6*'V06 Calend 01'!E34))),('V06 Calend 01'!H34-('V06 Calend 01'!I34*('V06 Calend 01'!E34-1))),'V06 Calend 01'!I34),0))+IF((76='V06 Calend 01'!D34),'V06 Calend 01'!J34,0))</f>
        <v>0</v>
      </c>
      <c r="CK34" s="2">
        <f>((IF((77='V06 Calend 01'!C34),('V06 Calend 01'!F34+'V06 Calend 01'!G34),0)+IF(AND(('V06 Calend 01'!E34&gt;0),(77&gt;'V06 Calend 01'!C34),(77&lt;'V06 Calend 01'!D34),(MOD((77-'V06 Calend 01'!C34),6)=0),(((77-'V06 Calend 01'!C34)/6)&lt;='V06 Calend 01'!E34)),IF((77=('V06 Calend 01'!C34+(6*'V06 Calend 01'!E34))),('V06 Calend 01'!H34-('V06 Calend 01'!I34*('V06 Calend 01'!E34-1))),'V06 Calend 01'!I34),0))+IF((77='V06 Calend 01'!D34),'V06 Calend 01'!J34,0))</f>
        <v>0</v>
      </c>
      <c r="CL34" s="2">
        <f>((IF((78='V06 Calend 01'!C34),('V06 Calend 01'!F34+'V06 Calend 01'!G34),0)+IF(AND(('V06 Calend 01'!E34&gt;0),(78&gt;'V06 Calend 01'!C34),(78&lt;'V06 Calend 01'!D34),(MOD((78-'V06 Calend 01'!C34),6)=0),(((78-'V06 Calend 01'!C34)/6)&lt;='V06 Calend 01'!E34)),IF((78=('V06 Calend 01'!C34+(6*'V06 Calend 01'!E34))),('V06 Calend 01'!H34-('V06 Calend 01'!I34*('V06 Calend 01'!E34-1))),'V06 Calend 01'!I34),0))+IF((78='V06 Calend 01'!D34),'V06 Calend 01'!J34,0))</f>
        <v>0</v>
      </c>
      <c r="CM34" s="2">
        <f>((IF((79='V06 Calend 01'!C34),('V06 Calend 01'!F34+'V06 Calend 01'!G34),0)+IF(AND(('V06 Calend 01'!E34&gt;0),(79&gt;'V06 Calend 01'!C34),(79&lt;'V06 Calend 01'!D34),(MOD((79-'V06 Calend 01'!C34),6)=0),(((79-'V06 Calend 01'!C34)/6)&lt;='V06 Calend 01'!E34)),IF((79=('V06 Calend 01'!C34+(6*'V06 Calend 01'!E34))),('V06 Calend 01'!H34-('V06 Calend 01'!I34*('V06 Calend 01'!E34-1))),'V06 Calend 01'!I34),0))+IF((79='V06 Calend 01'!D34),'V06 Calend 01'!J34,0))</f>
        <v>0</v>
      </c>
      <c r="CN34" s="2">
        <f>((IF((80='V06 Calend 01'!C34),('V06 Calend 01'!F34+'V06 Calend 01'!G34),0)+IF(AND(('V06 Calend 01'!E34&gt;0),(80&gt;'V06 Calend 01'!C34),(80&lt;'V06 Calend 01'!D34),(MOD((80-'V06 Calend 01'!C34),6)=0),(((80-'V06 Calend 01'!C34)/6)&lt;='V06 Calend 01'!E34)),IF((80=('V06 Calend 01'!C34+(6*'V06 Calend 01'!E34))),('V06 Calend 01'!H34-('V06 Calend 01'!I34*('V06 Calend 01'!E34-1))),'V06 Calend 01'!I34),0))+IF((80='V06 Calend 01'!D34),'V06 Calend 01'!J34,0))</f>
        <v>0</v>
      </c>
      <c r="CO34" s="2">
        <f>((IF((81='V06 Calend 01'!C34),('V06 Calend 01'!F34+'V06 Calend 01'!G34),0)+IF(AND(('V06 Calend 01'!E34&gt;0),(81&gt;'V06 Calend 01'!C34),(81&lt;'V06 Calend 01'!D34),(MOD((81-'V06 Calend 01'!C34),6)=0),(((81-'V06 Calend 01'!C34)/6)&lt;='V06 Calend 01'!E34)),IF((81=('V06 Calend 01'!C34+(6*'V06 Calend 01'!E34))),('V06 Calend 01'!H34-('V06 Calend 01'!I34*('V06 Calend 01'!E34-1))),'V06 Calend 01'!I34),0))+IF((81='V06 Calend 01'!D34),'V06 Calend 01'!J34,0))</f>
        <v>0</v>
      </c>
      <c r="CP34" s="2">
        <f>((IF((82='V06 Calend 01'!C34),('V06 Calend 01'!F34+'V06 Calend 01'!G34),0)+IF(AND(('V06 Calend 01'!E34&gt;0),(82&gt;'V06 Calend 01'!C34),(82&lt;'V06 Calend 01'!D34),(MOD((82-'V06 Calend 01'!C34),6)=0),(((82-'V06 Calend 01'!C34)/6)&lt;='V06 Calend 01'!E34)),IF((82=('V06 Calend 01'!C34+(6*'V06 Calend 01'!E34))),('V06 Calend 01'!H34-('V06 Calend 01'!I34*('V06 Calend 01'!E34-1))),'V06 Calend 01'!I34),0))+IF((82='V06 Calend 01'!D34),'V06 Calend 01'!J34,0))</f>
        <v>0</v>
      </c>
      <c r="CQ34" s="2">
        <f>((IF((83='V06 Calend 01'!C34),('V06 Calend 01'!F34+'V06 Calend 01'!G34),0)+IF(AND(('V06 Calend 01'!E34&gt;0),(83&gt;'V06 Calend 01'!C34),(83&lt;'V06 Calend 01'!D34),(MOD((83-'V06 Calend 01'!C34),6)=0),(((83-'V06 Calend 01'!C34)/6)&lt;='V06 Calend 01'!E34)),IF((83=('V06 Calend 01'!C34+(6*'V06 Calend 01'!E34))),('V06 Calend 01'!H34-('V06 Calend 01'!I34*('V06 Calend 01'!E34-1))),'V06 Calend 01'!I34),0))+IF((83='V06 Calend 01'!D34),'V06 Calend 01'!J34,0))</f>
        <v>0</v>
      </c>
      <c r="CR34" s="2">
        <f>((IF((84='V06 Calend 01'!C34),('V06 Calend 01'!F34+'V06 Calend 01'!G34),0)+IF(AND(('V06 Calend 01'!E34&gt;0),(84&gt;'V06 Calend 01'!C34),(84&lt;'V06 Calend 01'!D34),(MOD((84-'V06 Calend 01'!C34),6)=0),(((84-'V06 Calend 01'!C34)/6)&lt;='V06 Calend 01'!E34)),IF((84=('V06 Calend 01'!C34+(6*'V06 Calend 01'!E34))),('V06 Calend 01'!H34-('V06 Calend 01'!I34*('V06 Calend 01'!E34-1))),'V06 Calend 01'!I34),0))+IF((84='V06 Calend 01'!D34),'V06 Calend 01'!J34,0))</f>
        <v>0</v>
      </c>
      <c r="CS34" s="2">
        <f>((IF((85='V06 Calend 01'!C34),('V06 Calend 01'!F34+'V06 Calend 01'!G34),0)+IF(AND(('V06 Calend 01'!E34&gt;0),(85&gt;'V06 Calend 01'!C34),(85&lt;'V06 Calend 01'!D34),(MOD((85-'V06 Calend 01'!C34),6)=0),(((85-'V06 Calend 01'!C34)/6)&lt;='V06 Calend 01'!E34)),IF((85=('V06 Calend 01'!C34+(6*'V06 Calend 01'!E34))),('V06 Calend 01'!H34-('V06 Calend 01'!I34*('V06 Calend 01'!E34-1))),'V06 Calend 01'!I34),0))+IF((85='V06 Calend 01'!D34),'V06 Calend 01'!J34,0))</f>
        <v>0</v>
      </c>
      <c r="CT34" s="2">
        <f>((IF((86='V06 Calend 01'!C34),('V06 Calend 01'!F34+'V06 Calend 01'!G34),0)+IF(AND(('V06 Calend 01'!E34&gt;0),(86&gt;'V06 Calend 01'!C34),(86&lt;'V06 Calend 01'!D34),(MOD((86-'V06 Calend 01'!C34),6)=0),(((86-'V06 Calend 01'!C34)/6)&lt;='V06 Calend 01'!E34)),IF((86=('V06 Calend 01'!C34+(6*'V06 Calend 01'!E34))),('V06 Calend 01'!H34-('V06 Calend 01'!I34*('V06 Calend 01'!E34-1))),'V06 Calend 01'!I34),0))+IF((86='V06 Calend 01'!D34),'V06 Calend 01'!J34,0))</f>
        <v>0</v>
      </c>
      <c r="CU34" s="2">
        <f>((IF((87='V06 Calend 01'!C34),('V06 Calend 01'!F34+'V06 Calend 01'!G34),0)+IF(AND(('V06 Calend 01'!E34&gt;0),(87&gt;'V06 Calend 01'!C34),(87&lt;'V06 Calend 01'!D34),(MOD((87-'V06 Calend 01'!C34),6)=0),(((87-'V06 Calend 01'!C34)/6)&lt;='V06 Calend 01'!E34)),IF((87=('V06 Calend 01'!C34+(6*'V06 Calend 01'!E34))),('V06 Calend 01'!H34-('V06 Calend 01'!I34*('V06 Calend 01'!E34-1))),'V06 Calend 01'!I34),0))+IF((87='V06 Calend 01'!D34),'V06 Calend 01'!J34,0))</f>
        <v>0</v>
      </c>
      <c r="CV34" s="2">
        <f>((IF((88='V06 Calend 01'!C34),('V06 Calend 01'!F34+'V06 Calend 01'!G34),0)+IF(AND(('V06 Calend 01'!E34&gt;0),(88&gt;'V06 Calend 01'!C34),(88&lt;'V06 Calend 01'!D34),(MOD((88-'V06 Calend 01'!C34),6)=0),(((88-'V06 Calend 01'!C34)/6)&lt;='V06 Calend 01'!E34)),IF((88=('V06 Calend 01'!C34+(6*'V06 Calend 01'!E34))),('V06 Calend 01'!H34-('V06 Calend 01'!I34*('V06 Calend 01'!E34-1))),'V06 Calend 01'!I34),0))+IF((88='V06 Calend 01'!D34),'V06 Calend 01'!J34,0))</f>
        <v>0</v>
      </c>
      <c r="CW34" s="2">
        <f>((IF((89='V06 Calend 01'!C34),('V06 Calend 01'!F34+'V06 Calend 01'!G34),0)+IF(AND(('V06 Calend 01'!E34&gt;0),(89&gt;'V06 Calend 01'!C34),(89&lt;'V06 Calend 01'!D34),(MOD((89-'V06 Calend 01'!C34),6)=0),(((89-'V06 Calend 01'!C34)/6)&lt;='V06 Calend 01'!E34)),IF((89=('V06 Calend 01'!C34+(6*'V06 Calend 01'!E34))),('V06 Calend 01'!H34-('V06 Calend 01'!I34*('V06 Calend 01'!E34-1))),'V06 Calend 01'!I34),0))+IF((89='V06 Calend 01'!D34),'V06 Calend 01'!J34,0))</f>
        <v>0</v>
      </c>
      <c r="CX34" s="2">
        <f>((IF((90='V06 Calend 01'!C34),('V06 Calend 01'!F34+'V06 Calend 01'!G34),0)+IF(AND(('V06 Calend 01'!E34&gt;0),(90&gt;'V06 Calend 01'!C34),(90&lt;'V06 Calend 01'!D34),(MOD((90-'V06 Calend 01'!C34),6)=0),(((90-'V06 Calend 01'!C34)/6)&lt;='V06 Calend 01'!E34)),IF((90=('V06 Calend 01'!C34+(6*'V06 Calend 01'!E34))),('V06 Calend 01'!H34-('V06 Calend 01'!I34*('V06 Calend 01'!E34-1))),'V06 Calend 01'!I34),0))+IF((90='V06 Calend 01'!D34),'V06 Calend 01'!J34,0))</f>
        <v>0</v>
      </c>
      <c r="CY34" s="2">
        <f>((IF((91='V06 Calend 01'!C34),('V06 Calend 01'!F34+'V06 Calend 01'!G34),0)+IF(AND(('V06 Calend 01'!E34&gt;0),(91&gt;'V06 Calend 01'!C34),(91&lt;'V06 Calend 01'!D34),(MOD((91-'V06 Calend 01'!C34),6)=0),(((91-'V06 Calend 01'!C34)/6)&lt;='V06 Calend 01'!E34)),IF((91=('V06 Calend 01'!C34+(6*'V06 Calend 01'!E34))),('V06 Calend 01'!H34-('V06 Calend 01'!I34*('V06 Calend 01'!E34-1))),'V06 Calend 01'!I34),0))+IF((91='V06 Calend 01'!D34),'V06 Calend 01'!J34,0))</f>
        <v>0</v>
      </c>
      <c r="CZ34" s="2">
        <f>((IF((92='V06 Calend 01'!C34),('V06 Calend 01'!F34+'V06 Calend 01'!G34),0)+IF(AND(('V06 Calend 01'!E34&gt;0),(92&gt;'V06 Calend 01'!C34),(92&lt;'V06 Calend 01'!D34),(MOD((92-'V06 Calend 01'!C34),6)=0),(((92-'V06 Calend 01'!C34)/6)&lt;='V06 Calend 01'!E34)),IF((92=('V06 Calend 01'!C34+(6*'V06 Calend 01'!E34))),('V06 Calend 01'!H34-('V06 Calend 01'!I34*('V06 Calend 01'!E34-1))),'V06 Calend 01'!I34),0))+IF((92='V06 Calend 01'!D34),'V06 Calend 01'!J34,0))</f>
        <v>0</v>
      </c>
      <c r="DA34" s="2">
        <f>((IF((93='V06 Calend 01'!C34),('V06 Calend 01'!F34+'V06 Calend 01'!G34),0)+IF(AND(('V06 Calend 01'!E34&gt;0),(93&gt;'V06 Calend 01'!C34),(93&lt;'V06 Calend 01'!D34),(MOD((93-'V06 Calend 01'!C34),6)=0),(((93-'V06 Calend 01'!C34)/6)&lt;='V06 Calend 01'!E34)),IF((93=('V06 Calend 01'!C34+(6*'V06 Calend 01'!E34))),('V06 Calend 01'!H34-('V06 Calend 01'!I34*('V06 Calend 01'!E34-1))),'V06 Calend 01'!I34),0))+IF((93='V06 Calend 01'!D34),'V06 Calend 01'!J34,0))</f>
        <v>0</v>
      </c>
      <c r="DB34" s="2">
        <f>((IF((94='V06 Calend 01'!C34),('V06 Calend 01'!F34+'V06 Calend 01'!G34),0)+IF(AND(('V06 Calend 01'!E34&gt;0),(94&gt;'V06 Calend 01'!C34),(94&lt;'V06 Calend 01'!D34),(MOD((94-'V06 Calend 01'!C34),6)=0),(((94-'V06 Calend 01'!C34)/6)&lt;='V06 Calend 01'!E34)),IF((94=('V06 Calend 01'!C34+(6*'V06 Calend 01'!E34))),('V06 Calend 01'!H34-('V06 Calend 01'!I34*('V06 Calend 01'!E34-1))),'V06 Calend 01'!I34),0))+IF((94='V06 Calend 01'!D34),'V06 Calend 01'!J34,0))</f>
        <v>0</v>
      </c>
      <c r="DC34" s="2">
        <f>((IF((95='V06 Calend 01'!C34),('V06 Calend 01'!F34+'V06 Calend 01'!G34),0)+IF(AND(('V06 Calend 01'!E34&gt;0),(95&gt;'V06 Calend 01'!C34),(95&lt;'V06 Calend 01'!D34),(MOD((95-'V06 Calend 01'!C34),6)=0),(((95-'V06 Calend 01'!C34)/6)&lt;='V06 Calend 01'!E34)),IF((95=('V06 Calend 01'!C34+(6*'V06 Calend 01'!E34))),('V06 Calend 01'!H34-('V06 Calend 01'!I34*('V06 Calend 01'!E34-1))),'V06 Calend 01'!I34),0))+IF((95='V06 Calend 01'!D34),'V06 Calend 01'!J34,0))</f>
        <v>0</v>
      </c>
      <c r="DD34" s="2">
        <f>((IF((96='V06 Calend 01'!C34),('V06 Calend 01'!F34+'V06 Calend 01'!G34),0)+IF(AND(('V06 Calend 01'!E34&gt;0),(96&gt;'V06 Calend 01'!C34),(96&lt;'V06 Calend 01'!D34),(MOD((96-'V06 Calend 01'!C34),6)=0),(((96-'V06 Calend 01'!C34)/6)&lt;='V06 Calend 01'!E34)),IF((96=('V06 Calend 01'!C34+(6*'V06 Calend 01'!E34))),('V06 Calend 01'!H34-('V06 Calend 01'!I34*('V06 Calend 01'!E34-1))),'V06 Calend 01'!I34),0))+IF((96='V06 Calend 01'!D34),'V06 Calend 01'!J34,0))</f>
        <v>0</v>
      </c>
      <c r="DE34" s="2">
        <f>((IF((97='V06 Calend 01'!C34),('V06 Calend 01'!F34+'V06 Calend 01'!G34),0)+IF(AND(('V06 Calend 01'!E34&gt;0),(97&gt;'V06 Calend 01'!C34),(97&lt;'V06 Calend 01'!D34),(MOD((97-'V06 Calend 01'!C34),6)=0),(((97-'V06 Calend 01'!C34)/6)&lt;='V06 Calend 01'!E34)),IF((97=('V06 Calend 01'!C34+(6*'V06 Calend 01'!E34))),('V06 Calend 01'!H34-('V06 Calend 01'!I34*('V06 Calend 01'!E34-1))),'V06 Calend 01'!I34),0))+IF((97='V06 Calend 01'!D34),'V06 Calend 01'!J34,0))</f>
        <v>0</v>
      </c>
      <c r="DF34" s="2">
        <f>((IF((98='V06 Calend 01'!C34),('V06 Calend 01'!F34+'V06 Calend 01'!G34),0)+IF(AND(('V06 Calend 01'!E34&gt;0),(98&gt;'V06 Calend 01'!C34),(98&lt;'V06 Calend 01'!D34),(MOD((98-'V06 Calend 01'!C34),6)=0),(((98-'V06 Calend 01'!C34)/6)&lt;='V06 Calend 01'!E34)),IF((98=('V06 Calend 01'!C34+(6*'V06 Calend 01'!E34))),('V06 Calend 01'!H34-('V06 Calend 01'!I34*('V06 Calend 01'!E34-1))),'V06 Calend 01'!I34),0))+IF((98='V06 Calend 01'!D34),'V06 Calend 01'!J34,0))</f>
        <v>0</v>
      </c>
      <c r="DG34" s="2">
        <f>((IF((99='V06 Calend 01'!C34),('V06 Calend 01'!F34+'V06 Calend 01'!G34),0)+IF(AND(('V06 Calend 01'!E34&gt;0),(99&gt;'V06 Calend 01'!C34),(99&lt;'V06 Calend 01'!D34),(MOD((99-'V06 Calend 01'!C34),6)=0),(((99-'V06 Calend 01'!C34)/6)&lt;='V06 Calend 01'!E34)),IF((99=('V06 Calend 01'!C34+(6*'V06 Calend 01'!E34))),('V06 Calend 01'!H34-('V06 Calend 01'!I34*('V06 Calend 01'!E34-1))),'V06 Calend 01'!I34),0))+IF((99='V06 Calend 01'!D34),'V06 Calend 01'!J34,0))</f>
        <v>0</v>
      </c>
      <c r="DH34" s="2">
        <f>((IF((100='V06 Calend 01'!C34),('V06 Calend 01'!F34+'V06 Calend 01'!G34),0)+IF(AND(('V06 Calend 01'!E34&gt;0),(100&gt;'V06 Calend 01'!C34),(100&lt;'V06 Calend 01'!D34),(MOD((100-'V06 Calend 01'!C34),6)=0),(((100-'V06 Calend 01'!C34)/6)&lt;='V06 Calend 01'!E34)),IF((100=('V06 Calend 01'!C34+(6*'V06 Calend 01'!E34))),('V06 Calend 01'!H34-('V06 Calend 01'!I34*('V06 Calend 01'!E34-1))),'V06 Calend 01'!I34),0))+IF((100='V06 Calend 01'!D34),'V06 Calend 01'!J34,0))</f>
        <v>0</v>
      </c>
      <c r="DI34" s="2">
        <f>((IF((101='V06 Calend 01'!C34),('V06 Calend 01'!F34+'V06 Calend 01'!G34),0)+IF(AND(('V06 Calend 01'!E34&gt;0),(101&gt;'V06 Calend 01'!C34),(101&lt;'V06 Calend 01'!D34),(MOD((101-'V06 Calend 01'!C34),6)=0),(((101-'V06 Calend 01'!C34)/6)&lt;='V06 Calend 01'!E34)),IF((101=('V06 Calend 01'!C34+(6*'V06 Calend 01'!E34))),('V06 Calend 01'!H34-('V06 Calend 01'!I34*('V06 Calend 01'!E34-1))),'V06 Calend 01'!I34),0))+IF((101='V06 Calend 01'!D34),'V06 Calend 01'!J34,0))</f>
        <v>0</v>
      </c>
      <c r="DJ34" s="2">
        <f>((IF((102='V06 Calend 01'!C34),('V06 Calend 01'!F34+'V06 Calend 01'!G34),0)+IF(AND(('V06 Calend 01'!E34&gt;0),(102&gt;'V06 Calend 01'!C34),(102&lt;'V06 Calend 01'!D34),(MOD((102-'V06 Calend 01'!C34),6)=0),(((102-'V06 Calend 01'!C34)/6)&lt;='V06 Calend 01'!E34)),IF((102=('V06 Calend 01'!C34+(6*'V06 Calend 01'!E34))),('V06 Calend 01'!H34-('V06 Calend 01'!I34*('V06 Calend 01'!E34-1))),'V06 Calend 01'!I34),0))+IF((102='V06 Calend 01'!D34),'V06 Calend 01'!J34,0))</f>
        <v>0</v>
      </c>
      <c r="DK34" s="2">
        <f>((IF((103='V06 Calend 01'!C34),('V06 Calend 01'!F34+'V06 Calend 01'!G34),0)+IF(AND(('V06 Calend 01'!E34&gt;0),(103&gt;'V06 Calend 01'!C34),(103&lt;'V06 Calend 01'!D34),(MOD((103-'V06 Calend 01'!C34),6)=0),(((103-'V06 Calend 01'!C34)/6)&lt;='V06 Calend 01'!E34)),IF((103=('V06 Calend 01'!C34+(6*'V06 Calend 01'!E34))),('V06 Calend 01'!H34-('V06 Calend 01'!I34*('V06 Calend 01'!E34-1))),'V06 Calend 01'!I34),0))+IF((103='V06 Calend 01'!D34),'V06 Calend 01'!J34,0))</f>
        <v>0</v>
      </c>
      <c r="DL34" s="2">
        <f>((IF((104='V06 Calend 01'!C34),('V06 Calend 01'!F34+'V06 Calend 01'!G34),0)+IF(AND(('V06 Calend 01'!E34&gt;0),(104&gt;'V06 Calend 01'!C34),(104&lt;'V06 Calend 01'!D34),(MOD((104-'V06 Calend 01'!C34),6)=0),(((104-'V06 Calend 01'!C34)/6)&lt;='V06 Calend 01'!E34)),IF((104=('V06 Calend 01'!C34+(6*'V06 Calend 01'!E34))),('V06 Calend 01'!H34-('V06 Calend 01'!I34*('V06 Calend 01'!E34-1))),'V06 Calend 01'!I34),0))+IF((104='V06 Calend 01'!D34),'V06 Calend 01'!J34,0))</f>
        <v>0</v>
      </c>
      <c r="DM34" s="2">
        <f>((IF((105='V06 Calend 01'!C34),('V06 Calend 01'!F34+'V06 Calend 01'!G34),0)+IF(AND(('V06 Calend 01'!E34&gt;0),(105&gt;'V06 Calend 01'!C34),(105&lt;'V06 Calend 01'!D34),(MOD((105-'V06 Calend 01'!C34),6)=0),(((105-'V06 Calend 01'!C34)/6)&lt;='V06 Calend 01'!E34)),IF((105=('V06 Calend 01'!C34+(6*'V06 Calend 01'!E34))),('V06 Calend 01'!H34-('V06 Calend 01'!I34*('V06 Calend 01'!E34-1))),'V06 Calend 01'!I34),0))+IF((105='V06 Calend 01'!D34),'V06 Calend 01'!J34,0))</f>
        <v>0</v>
      </c>
      <c r="DN34" s="2">
        <f>((IF((106='V06 Calend 01'!C34),('V06 Calend 01'!F34+'V06 Calend 01'!G34),0)+IF(AND(('V06 Calend 01'!E34&gt;0),(106&gt;'V06 Calend 01'!C34),(106&lt;'V06 Calend 01'!D34),(MOD((106-'V06 Calend 01'!C34),6)=0),(((106-'V06 Calend 01'!C34)/6)&lt;='V06 Calend 01'!E34)),IF((106=('V06 Calend 01'!C34+(6*'V06 Calend 01'!E34))),('V06 Calend 01'!H34-('V06 Calend 01'!I34*('V06 Calend 01'!E34-1))),'V06 Calend 01'!I34),0))+IF((106='V06 Calend 01'!D34),'V06 Calend 01'!J34,0))</f>
        <v>0</v>
      </c>
      <c r="DO34" s="2">
        <f>((IF((107='V06 Calend 01'!C34),('V06 Calend 01'!F34+'V06 Calend 01'!G34),0)+IF(AND(('V06 Calend 01'!E34&gt;0),(107&gt;'V06 Calend 01'!C34),(107&lt;'V06 Calend 01'!D34),(MOD((107-'V06 Calend 01'!C34),6)=0),(((107-'V06 Calend 01'!C34)/6)&lt;='V06 Calend 01'!E34)),IF((107=('V06 Calend 01'!C34+(6*'V06 Calend 01'!E34))),('V06 Calend 01'!H34-('V06 Calend 01'!I34*('V06 Calend 01'!E34-1))),'V06 Calend 01'!I34),0))+IF((107='V06 Calend 01'!D34),'V06 Calend 01'!J34,0))</f>
        <v>0</v>
      </c>
      <c r="DP34" s="2">
        <f>((IF((108='V06 Calend 01'!C34),('V06 Calend 01'!F34+'V06 Calend 01'!G34),0)+IF(AND(('V06 Calend 01'!E34&gt;0),(108&gt;'V06 Calend 01'!C34),(108&lt;'V06 Calend 01'!D34),(MOD((108-'V06 Calend 01'!C34),6)=0),(((108-'V06 Calend 01'!C34)/6)&lt;='V06 Calend 01'!E34)),IF((108=('V06 Calend 01'!C34+(6*'V06 Calend 01'!E34))),('V06 Calend 01'!H34-('V06 Calend 01'!I34*('V06 Calend 01'!E34-1))),'V06 Calend 01'!I34),0))+IF((108='V06 Calend 01'!D34),'V06 Calend 01'!J34,0))</f>
        <v>0</v>
      </c>
      <c r="DQ34" s="2">
        <f>((IF((109='V06 Calend 01'!C34),('V06 Calend 01'!F34+'V06 Calend 01'!G34),0)+IF(AND(('V06 Calend 01'!E34&gt;0),(109&gt;'V06 Calend 01'!C34),(109&lt;'V06 Calend 01'!D34),(MOD((109-'V06 Calend 01'!C34),6)=0),(((109-'V06 Calend 01'!C34)/6)&lt;='V06 Calend 01'!E34)),IF((109=('V06 Calend 01'!C34+(6*'V06 Calend 01'!E34))),('V06 Calend 01'!H34-('V06 Calend 01'!I34*('V06 Calend 01'!E34-1))),'V06 Calend 01'!I34),0))+IF((109='V06 Calend 01'!D34),'V06 Calend 01'!J34,0))</f>
        <v>0</v>
      </c>
      <c r="DR34" s="2">
        <f>((IF((110='V06 Calend 01'!C34),('V06 Calend 01'!F34+'V06 Calend 01'!G34),0)+IF(AND(('V06 Calend 01'!E34&gt;0),(110&gt;'V06 Calend 01'!C34),(110&lt;'V06 Calend 01'!D34),(MOD((110-'V06 Calend 01'!C34),6)=0),(((110-'V06 Calend 01'!C34)/6)&lt;='V06 Calend 01'!E34)),IF((110=('V06 Calend 01'!C34+(6*'V06 Calend 01'!E34))),('V06 Calend 01'!H34-('V06 Calend 01'!I34*('V06 Calend 01'!E34-1))),'V06 Calend 01'!I34),0))+IF((110='V06 Calend 01'!D34),'V06 Calend 01'!J34,0))</f>
        <v>0</v>
      </c>
      <c r="DS34" s="2">
        <f>((IF((111='V06 Calend 01'!C34),('V06 Calend 01'!F34+'V06 Calend 01'!G34),0)+IF(AND(('V06 Calend 01'!E34&gt;0),(111&gt;'V06 Calend 01'!C34),(111&lt;'V06 Calend 01'!D34),(MOD((111-'V06 Calend 01'!C34),6)=0),(((111-'V06 Calend 01'!C34)/6)&lt;='V06 Calend 01'!E34)),IF((111=('V06 Calend 01'!C34+(6*'V06 Calend 01'!E34))),('V06 Calend 01'!H34-('V06 Calend 01'!I34*('V06 Calend 01'!E34-1))),'V06 Calend 01'!I34),0))+IF((111='V06 Calend 01'!D34),'V06 Calend 01'!J34,0))</f>
        <v>0</v>
      </c>
      <c r="DT34" s="2">
        <f>((IF((112='V06 Calend 01'!C34),('V06 Calend 01'!F34+'V06 Calend 01'!G34),0)+IF(AND(('V06 Calend 01'!E34&gt;0),(112&gt;'V06 Calend 01'!C34),(112&lt;'V06 Calend 01'!D34),(MOD((112-'V06 Calend 01'!C34),6)=0),(((112-'V06 Calend 01'!C34)/6)&lt;='V06 Calend 01'!E34)),IF((112=('V06 Calend 01'!C34+(6*'V06 Calend 01'!E34))),('V06 Calend 01'!H34-('V06 Calend 01'!I34*('V06 Calend 01'!E34-1))),'V06 Calend 01'!I34),0))+IF((112='V06 Calend 01'!D34),'V06 Calend 01'!J34,0))</f>
        <v>0</v>
      </c>
      <c r="DU34" s="2">
        <f>((IF((113='V06 Calend 01'!C34),('V06 Calend 01'!F34+'V06 Calend 01'!G34),0)+IF(AND(('V06 Calend 01'!E34&gt;0),(113&gt;'V06 Calend 01'!C34),(113&lt;'V06 Calend 01'!D34),(MOD((113-'V06 Calend 01'!C34),6)=0),(((113-'V06 Calend 01'!C34)/6)&lt;='V06 Calend 01'!E34)),IF((113=('V06 Calend 01'!C34+(6*'V06 Calend 01'!E34))),('V06 Calend 01'!H34-('V06 Calend 01'!I34*('V06 Calend 01'!E34-1))),'V06 Calend 01'!I34),0))+IF((113='V06 Calend 01'!D34),'V06 Calend 01'!J34,0))</f>
        <v>0</v>
      </c>
      <c r="DV34" s="2">
        <f>((IF((114='V06 Calend 01'!C34),('V06 Calend 01'!F34+'V06 Calend 01'!G34),0)+IF(AND(('V06 Calend 01'!E34&gt;0),(114&gt;'V06 Calend 01'!C34),(114&lt;'V06 Calend 01'!D34),(MOD((114-'V06 Calend 01'!C34),6)=0),(((114-'V06 Calend 01'!C34)/6)&lt;='V06 Calend 01'!E34)),IF((114=('V06 Calend 01'!C34+(6*'V06 Calend 01'!E34))),('V06 Calend 01'!H34-('V06 Calend 01'!I34*('V06 Calend 01'!E34-1))),'V06 Calend 01'!I34),0))+IF((114='V06 Calend 01'!D34),'V06 Calend 01'!J34,0))</f>
        <v>0</v>
      </c>
      <c r="DW34" s="2">
        <f>((IF((115='V06 Calend 01'!C34),('V06 Calend 01'!F34+'V06 Calend 01'!G34),0)+IF(AND(('V06 Calend 01'!E34&gt;0),(115&gt;'V06 Calend 01'!C34),(115&lt;'V06 Calend 01'!D34),(MOD((115-'V06 Calend 01'!C34),6)=0),(((115-'V06 Calend 01'!C34)/6)&lt;='V06 Calend 01'!E34)),IF((115=('V06 Calend 01'!C34+(6*'V06 Calend 01'!E34))),('V06 Calend 01'!H34-('V06 Calend 01'!I34*('V06 Calend 01'!E34-1))),'V06 Calend 01'!I34),0))+IF((115='V06 Calend 01'!D34),'V06 Calend 01'!J34,0))</f>
        <v>0</v>
      </c>
      <c r="DX34" s="2">
        <f>((IF((116='V06 Calend 01'!C34),('V06 Calend 01'!F34+'V06 Calend 01'!G34),0)+IF(AND(('V06 Calend 01'!E34&gt;0),(116&gt;'V06 Calend 01'!C34),(116&lt;'V06 Calend 01'!D34),(MOD((116-'V06 Calend 01'!C34),6)=0),(((116-'V06 Calend 01'!C34)/6)&lt;='V06 Calend 01'!E34)),IF((116=('V06 Calend 01'!C34+(6*'V06 Calend 01'!E34))),('V06 Calend 01'!H34-('V06 Calend 01'!I34*('V06 Calend 01'!E34-1))),'V06 Calend 01'!I34),0))+IF((116='V06 Calend 01'!D34),'V06 Calend 01'!J34,0))</f>
        <v>0</v>
      </c>
      <c r="DY34" s="2">
        <f>((IF((117='V06 Calend 01'!C34),('V06 Calend 01'!F34+'V06 Calend 01'!G34),0)+IF(AND(('V06 Calend 01'!E34&gt;0),(117&gt;'V06 Calend 01'!C34),(117&lt;'V06 Calend 01'!D34),(MOD((117-'V06 Calend 01'!C34),6)=0),(((117-'V06 Calend 01'!C34)/6)&lt;='V06 Calend 01'!E34)),IF((117=('V06 Calend 01'!C34+(6*'V06 Calend 01'!E34))),('V06 Calend 01'!H34-('V06 Calend 01'!I34*('V06 Calend 01'!E34-1))),'V06 Calend 01'!I34),0))+IF((117='V06 Calend 01'!D34),'V06 Calend 01'!J34,0))</f>
        <v>0</v>
      </c>
      <c r="DZ34" s="2">
        <f>((IF((118='V06 Calend 01'!C34),('V06 Calend 01'!F34+'V06 Calend 01'!G34),0)+IF(AND(('V06 Calend 01'!E34&gt;0),(118&gt;'V06 Calend 01'!C34),(118&lt;'V06 Calend 01'!D34),(MOD((118-'V06 Calend 01'!C34),6)=0),(((118-'V06 Calend 01'!C34)/6)&lt;='V06 Calend 01'!E34)),IF((118=('V06 Calend 01'!C34+(6*'V06 Calend 01'!E34))),('V06 Calend 01'!H34-('V06 Calend 01'!I34*('V06 Calend 01'!E34-1))),'V06 Calend 01'!I34),0))+IF((118='V06 Calend 01'!D34),'V06 Calend 01'!J34,0))</f>
        <v>0</v>
      </c>
      <c r="EA34" s="2">
        <f>((IF((119='V06 Calend 01'!C34),('V06 Calend 01'!F34+'V06 Calend 01'!G34),0)+IF(AND(('V06 Calend 01'!E34&gt;0),(119&gt;'V06 Calend 01'!C34),(119&lt;'V06 Calend 01'!D34),(MOD((119-'V06 Calend 01'!C34),6)=0),(((119-'V06 Calend 01'!C34)/6)&lt;='V06 Calend 01'!E34)),IF((119=('V06 Calend 01'!C34+(6*'V06 Calend 01'!E34))),('V06 Calend 01'!H34-('V06 Calend 01'!I34*('V06 Calend 01'!E34-1))),'V06 Calend 01'!I34),0))+IF((119='V06 Calend 01'!D34),'V06 Calend 01'!J34,0))</f>
        <v>0</v>
      </c>
      <c r="EB34" s="2">
        <f>((IF((120='V06 Calend 01'!C34),('V06 Calend 01'!F34+'V06 Calend 01'!G34),0)+IF(AND(('V06 Calend 01'!E34&gt;0),(120&gt;'V06 Calend 01'!C34),(120&lt;'V06 Calend 01'!D34),(MOD((120-'V06 Calend 01'!C34),6)=0),(((120-'V06 Calend 01'!C34)/6)&lt;='V06 Calend 01'!E34)),IF((120=('V06 Calend 01'!C34+(6*'V06 Calend 01'!E34))),('V06 Calend 01'!H34-('V06 Calend 01'!I34*('V06 Calend 01'!E34-1))),'V06 Calend 01'!I34),0))+IF((120='V06 Calend 01'!D34),'V06 Calend 01'!J34,0))</f>
        <v>0</v>
      </c>
      <c r="EC34" s="2">
        <f>((IF((121='V06 Calend 01'!C34),('V06 Calend 01'!F34+'V06 Calend 01'!G34),0)+IF(AND(('V06 Calend 01'!E34&gt;0),(121&gt;'V06 Calend 01'!C34),(121&lt;'V06 Calend 01'!D34),(MOD((121-'V06 Calend 01'!C34),6)=0),(((121-'V06 Calend 01'!C34)/6)&lt;='V06 Calend 01'!E34)),IF((121=('V06 Calend 01'!C34+(6*'V06 Calend 01'!E34))),('V06 Calend 01'!H34-('V06 Calend 01'!I34*('V06 Calend 01'!E34-1))),'V06 Calend 01'!I34),0))+IF((121='V06 Calend 01'!D34),'V06 Calend 01'!J34,0))</f>
        <v>0</v>
      </c>
      <c r="ED34" s="2">
        <f>((IF((122='V06 Calend 01'!C34),('V06 Calend 01'!F34+'V06 Calend 01'!G34),0)+IF(AND(('V06 Calend 01'!E34&gt;0),(122&gt;'V06 Calend 01'!C34),(122&lt;'V06 Calend 01'!D34),(MOD((122-'V06 Calend 01'!C34),6)=0),(((122-'V06 Calend 01'!C34)/6)&lt;='V06 Calend 01'!E34)),IF((122=('V06 Calend 01'!C34+(6*'V06 Calend 01'!E34))),('V06 Calend 01'!H34-('V06 Calend 01'!I34*('V06 Calend 01'!E34-1))),'V06 Calend 01'!I34),0))+IF((122='V06 Calend 01'!D34),'V06 Calend 01'!J34,0))</f>
        <v>0</v>
      </c>
      <c r="EE34" s="2">
        <f>((IF((123='V06 Calend 01'!C34),('V06 Calend 01'!F34+'V06 Calend 01'!G34),0)+IF(AND(('V06 Calend 01'!E34&gt;0),(123&gt;'V06 Calend 01'!C34),(123&lt;'V06 Calend 01'!D34),(MOD((123-'V06 Calend 01'!C34),6)=0),(((123-'V06 Calend 01'!C34)/6)&lt;='V06 Calend 01'!E34)),IF((123=('V06 Calend 01'!C34+(6*'V06 Calend 01'!E34))),('V06 Calend 01'!H34-('V06 Calend 01'!I34*('V06 Calend 01'!E34-1))),'V06 Calend 01'!I34),0))+IF((123='V06 Calend 01'!D34),'V06 Calend 01'!J34,0))</f>
        <v>0</v>
      </c>
      <c r="EF34" s="2">
        <f>((IF((124='V06 Calend 01'!C34),('V06 Calend 01'!F34+'V06 Calend 01'!G34),0)+IF(AND(('V06 Calend 01'!E34&gt;0),(124&gt;'V06 Calend 01'!C34),(124&lt;'V06 Calend 01'!D34),(MOD((124-'V06 Calend 01'!C34),6)=0),(((124-'V06 Calend 01'!C34)/6)&lt;='V06 Calend 01'!E34)),IF((124=('V06 Calend 01'!C34+(6*'V06 Calend 01'!E34))),('V06 Calend 01'!H34-('V06 Calend 01'!I34*('V06 Calend 01'!E34-1))),'V06 Calend 01'!I34),0))+IF((124='V06 Calend 01'!D34),'V06 Calend 01'!J34,0))</f>
        <v>0</v>
      </c>
      <c r="EG34" s="2">
        <f>((IF((125='V06 Calend 01'!C34),('V06 Calend 01'!F34+'V06 Calend 01'!G34),0)+IF(AND(('V06 Calend 01'!E34&gt;0),(125&gt;'V06 Calend 01'!C34),(125&lt;'V06 Calend 01'!D34),(MOD((125-'V06 Calend 01'!C34),6)=0),(((125-'V06 Calend 01'!C34)/6)&lt;='V06 Calend 01'!E34)),IF((125=('V06 Calend 01'!C34+(6*'V06 Calend 01'!E34))),('V06 Calend 01'!H34-('V06 Calend 01'!I34*('V06 Calend 01'!E34-1))),'V06 Calend 01'!I34),0))+IF((125='V06 Calend 01'!D34),'V06 Calend 01'!J34,0))</f>
        <v>0</v>
      </c>
      <c r="EH34" s="2">
        <f>((IF((126='V06 Calend 01'!C34),('V06 Calend 01'!F34+'V06 Calend 01'!G34),0)+IF(AND(('V06 Calend 01'!E34&gt;0),(126&gt;'V06 Calend 01'!C34),(126&lt;'V06 Calend 01'!D34),(MOD((126-'V06 Calend 01'!C34),6)=0),(((126-'V06 Calend 01'!C34)/6)&lt;='V06 Calend 01'!E34)),IF((126=('V06 Calend 01'!C34+(6*'V06 Calend 01'!E34))),('V06 Calend 01'!H34-('V06 Calend 01'!I34*('V06 Calend 01'!E34-1))),'V06 Calend 01'!I34),0))+IF((126='V06 Calend 01'!D34),'V06 Calend 01'!J34,0))</f>
        <v>0</v>
      </c>
      <c r="EI34" s="2">
        <f>((IF((127='V06 Calend 01'!C34),('V06 Calend 01'!F34+'V06 Calend 01'!G34),0)+IF(AND(('V06 Calend 01'!E34&gt;0),(127&gt;'V06 Calend 01'!C34),(127&lt;'V06 Calend 01'!D34),(MOD((127-'V06 Calend 01'!C34),6)=0),(((127-'V06 Calend 01'!C34)/6)&lt;='V06 Calend 01'!E34)),IF((127=('V06 Calend 01'!C34+(6*'V06 Calend 01'!E34))),('V06 Calend 01'!H34-('V06 Calend 01'!I34*('V06 Calend 01'!E34-1))),'V06 Calend 01'!I34),0))+IF((127='V06 Calend 01'!D34),'V06 Calend 01'!J34,0))</f>
        <v>0</v>
      </c>
      <c r="EJ34" s="2">
        <f>((IF((128='V06 Calend 01'!C34),('V06 Calend 01'!F34+'V06 Calend 01'!G34),0)+IF(AND(('V06 Calend 01'!E34&gt;0),(128&gt;'V06 Calend 01'!C34),(128&lt;'V06 Calend 01'!D34),(MOD((128-'V06 Calend 01'!C34),6)=0),(((128-'V06 Calend 01'!C34)/6)&lt;='V06 Calend 01'!E34)),IF((128=('V06 Calend 01'!C34+(6*'V06 Calend 01'!E34))),('V06 Calend 01'!H34-('V06 Calend 01'!I34*('V06 Calend 01'!E34-1))),'V06 Calend 01'!I34),0))+IF((128='V06 Calend 01'!D34),'V06 Calend 01'!J34,0))</f>
        <v>0</v>
      </c>
      <c r="EK34" s="2">
        <f>((IF((129='V06 Calend 01'!C34),('V06 Calend 01'!F34+'V06 Calend 01'!G34),0)+IF(AND(('V06 Calend 01'!E34&gt;0),(129&gt;'V06 Calend 01'!C34),(129&lt;'V06 Calend 01'!D34),(MOD((129-'V06 Calend 01'!C34),6)=0),(((129-'V06 Calend 01'!C34)/6)&lt;='V06 Calend 01'!E34)),IF((129=('V06 Calend 01'!C34+(6*'V06 Calend 01'!E34))),('V06 Calend 01'!H34-('V06 Calend 01'!I34*('V06 Calend 01'!E34-1))),'V06 Calend 01'!I34),0))+IF((129='V06 Calend 01'!D34),'V06 Calend 01'!J34,0))</f>
        <v>0</v>
      </c>
      <c r="EL34" s="2">
        <f>((IF((130='V06 Calend 01'!C34),('V06 Calend 01'!F34+'V06 Calend 01'!G34),0)+IF(AND(('V06 Calend 01'!E34&gt;0),(130&gt;'V06 Calend 01'!C34),(130&lt;'V06 Calend 01'!D34),(MOD((130-'V06 Calend 01'!C34),6)=0),(((130-'V06 Calend 01'!C34)/6)&lt;='V06 Calend 01'!E34)),IF((130=('V06 Calend 01'!C34+(6*'V06 Calend 01'!E34))),('V06 Calend 01'!H34-('V06 Calend 01'!I34*('V06 Calend 01'!E34-1))),'V06 Calend 01'!I34),0))+IF((130='V06 Calend 01'!D34),'V06 Calend 01'!J34,0))</f>
        <v>0</v>
      </c>
      <c r="EM34" s="2">
        <f>((IF((131='V06 Calend 01'!C34),('V06 Calend 01'!F34+'V06 Calend 01'!G34),0)+IF(AND(('V06 Calend 01'!E34&gt;0),(131&gt;'V06 Calend 01'!C34),(131&lt;'V06 Calend 01'!D34),(MOD((131-'V06 Calend 01'!C34),6)=0),(((131-'V06 Calend 01'!C34)/6)&lt;='V06 Calend 01'!E34)),IF((131=('V06 Calend 01'!C34+(6*'V06 Calend 01'!E34))),('V06 Calend 01'!H34-('V06 Calend 01'!I34*('V06 Calend 01'!E34-1))),'V06 Calend 01'!I34),0))+IF((131='V06 Calend 01'!D34),'V06 Calend 01'!J34,0))</f>
        <v>0</v>
      </c>
      <c r="EN34" s="2">
        <f>((IF((132='V06 Calend 01'!C34),('V06 Calend 01'!F34+'V06 Calend 01'!G34),0)+IF(AND(('V06 Calend 01'!E34&gt;0),(132&gt;'V06 Calend 01'!C34),(132&lt;'V06 Calend 01'!D34),(MOD((132-'V06 Calend 01'!C34),6)=0),(((132-'V06 Calend 01'!C34)/6)&lt;='V06 Calend 01'!E34)),IF((132=('V06 Calend 01'!C34+(6*'V06 Calend 01'!E34))),('V06 Calend 01'!H34-('V06 Calend 01'!I34*('V06 Calend 01'!E34-1))),'V06 Calend 01'!I34),0))+IF((132='V06 Calend 01'!D34),'V06 Calend 01'!J34,0))</f>
        <v>0</v>
      </c>
      <c r="EO34" s="2">
        <f>((IF((133='V06 Calend 01'!C34),('V06 Calend 01'!F34+'V06 Calend 01'!G34),0)+IF(AND(('V06 Calend 01'!E34&gt;0),(133&gt;'V06 Calend 01'!C34),(133&lt;'V06 Calend 01'!D34),(MOD((133-'V06 Calend 01'!C34),6)=0),(((133-'V06 Calend 01'!C34)/6)&lt;='V06 Calend 01'!E34)),IF((133=('V06 Calend 01'!C34+(6*'V06 Calend 01'!E34))),('V06 Calend 01'!H34-('V06 Calend 01'!I34*('V06 Calend 01'!E34-1))),'V06 Calend 01'!I34),0))+IF((133='V06 Calend 01'!D34),'V06 Calend 01'!J34,0))</f>
        <v>0</v>
      </c>
      <c r="EP34" s="2">
        <f>((IF((134='V06 Calend 01'!C34),('V06 Calend 01'!F34+'V06 Calend 01'!G34),0)+IF(AND(('V06 Calend 01'!E34&gt;0),(134&gt;'V06 Calend 01'!C34),(134&lt;'V06 Calend 01'!D34),(MOD((134-'V06 Calend 01'!C34),6)=0),(((134-'V06 Calend 01'!C34)/6)&lt;='V06 Calend 01'!E34)),IF((134=('V06 Calend 01'!C34+(6*'V06 Calend 01'!E34))),('V06 Calend 01'!H34-('V06 Calend 01'!I34*('V06 Calend 01'!E34-1))),'V06 Calend 01'!I34),0))+IF((134='V06 Calend 01'!D34),'V06 Calend 01'!J34,0))</f>
        <v>0</v>
      </c>
      <c r="EQ34" s="2">
        <f>((IF((135='V06 Calend 01'!C34),('V06 Calend 01'!F34+'V06 Calend 01'!G34),0)+IF(AND(('V06 Calend 01'!E34&gt;0),(135&gt;'V06 Calend 01'!C34),(135&lt;'V06 Calend 01'!D34),(MOD((135-'V06 Calend 01'!C34),6)=0),(((135-'V06 Calend 01'!C34)/6)&lt;='V06 Calend 01'!E34)),IF((135=('V06 Calend 01'!C34+(6*'V06 Calend 01'!E34))),('V06 Calend 01'!H34-('V06 Calend 01'!I34*('V06 Calend 01'!E34-1))),'V06 Calend 01'!I34),0))+IF((135='V06 Calend 01'!D34),'V06 Calend 01'!J34,0))</f>
        <v>0</v>
      </c>
      <c r="ER34" s="2">
        <f>((IF((136='V06 Calend 01'!C34),('V06 Calend 01'!F34+'V06 Calend 01'!G34),0)+IF(AND(('V06 Calend 01'!E34&gt;0),(136&gt;'V06 Calend 01'!C34),(136&lt;'V06 Calend 01'!D34),(MOD((136-'V06 Calend 01'!C34),6)=0),(((136-'V06 Calend 01'!C34)/6)&lt;='V06 Calend 01'!E34)),IF((136=('V06 Calend 01'!C34+(6*'V06 Calend 01'!E34))),('V06 Calend 01'!H34-('V06 Calend 01'!I34*('V06 Calend 01'!E34-1))),'V06 Calend 01'!I34),0))+IF((136='V06 Calend 01'!D34),'V06 Calend 01'!J34,0))</f>
        <v>0</v>
      </c>
      <c r="ES34" s="2">
        <f>((IF((137='V06 Calend 01'!C34),('V06 Calend 01'!F34+'V06 Calend 01'!G34),0)+IF(AND(('V06 Calend 01'!E34&gt;0),(137&gt;'V06 Calend 01'!C34),(137&lt;'V06 Calend 01'!D34),(MOD((137-'V06 Calend 01'!C34),6)=0),(((137-'V06 Calend 01'!C34)/6)&lt;='V06 Calend 01'!E34)),IF((137=('V06 Calend 01'!C34+(6*'V06 Calend 01'!E34))),('V06 Calend 01'!H34-('V06 Calend 01'!I34*('V06 Calend 01'!E34-1))),'V06 Calend 01'!I34),0))+IF((137='V06 Calend 01'!D34),'V06 Calend 01'!J34,0))</f>
        <v>0</v>
      </c>
      <c r="ET34" s="2">
        <f>((IF((138='V06 Calend 01'!C34),('V06 Calend 01'!F34+'V06 Calend 01'!G34),0)+IF(AND(('V06 Calend 01'!E34&gt;0),(138&gt;'V06 Calend 01'!C34),(138&lt;'V06 Calend 01'!D34),(MOD((138-'V06 Calend 01'!C34),6)=0),(((138-'V06 Calend 01'!C34)/6)&lt;='V06 Calend 01'!E34)),IF((138=('V06 Calend 01'!C34+(6*'V06 Calend 01'!E34))),('V06 Calend 01'!H34-('V06 Calend 01'!I34*('V06 Calend 01'!E34-1))),'V06 Calend 01'!I34),0))+IF((138='V06 Calend 01'!D34),'V06 Calend 01'!J34,0))</f>
        <v>0</v>
      </c>
      <c r="EU34" s="2">
        <f>((IF((139='V06 Calend 01'!C34),('V06 Calend 01'!F34+'V06 Calend 01'!G34),0)+IF(AND(('V06 Calend 01'!E34&gt;0),(139&gt;'V06 Calend 01'!C34),(139&lt;'V06 Calend 01'!D34),(MOD((139-'V06 Calend 01'!C34),6)=0),(((139-'V06 Calend 01'!C34)/6)&lt;='V06 Calend 01'!E34)),IF((139=('V06 Calend 01'!C34+(6*'V06 Calend 01'!E34))),('V06 Calend 01'!H34-('V06 Calend 01'!I34*('V06 Calend 01'!E34-1))),'V06 Calend 01'!I34),0))+IF((139='V06 Calend 01'!D34),'V06 Calend 01'!J34,0))</f>
        <v>0</v>
      </c>
      <c r="EV34" s="2">
        <f>((IF((140='V06 Calend 01'!C34),('V06 Calend 01'!F34+'V06 Calend 01'!G34),0)+IF(AND(('V06 Calend 01'!E34&gt;0),(140&gt;'V06 Calend 01'!C34),(140&lt;'V06 Calend 01'!D34),(MOD((140-'V06 Calend 01'!C34),6)=0),(((140-'V06 Calend 01'!C34)/6)&lt;='V06 Calend 01'!E34)),IF((140=('V06 Calend 01'!C34+(6*'V06 Calend 01'!E34))),('V06 Calend 01'!H34-('V06 Calend 01'!I34*('V06 Calend 01'!E34-1))),'V06 Calend 01'!I34),0))+IF((140='V06 Calend 01'!D34),'V06 Calend 01'!J34,0))</f>
        <v>0</v>
      </c>
      <c r="EW34" s="2">
        <f>((IF((141='V06 Calend 01'!C34),('V06 Calend 01'!F34+'V06 Calend 01'!G34),0)+IF(AND(('V06 Calend 01'!E34&gt;0),(141&gt;'V06 Calend 01'!C34),(141&lt;'V06 Calend 01'!D34),(MOD((141-'V06 Calend 01'!C34),6)=0),(((141-'V06 Calend 01'!C34)/6)&lt;='V06 Calend 01'!E34)),IF((141=('V06 Calend 01'!C34+(6*'V06 Calend 01'!E34))),('V06 Calend 01'!H34-('V06 Calend 01'!I34*('V06 Calend 01'!E34-1))),'V06 Calend 01'!I34),0))+IF((141='V06 Calend 01'!D34),'V06 Calend 01'!J34,0))</f>
        <v>0</v>
      </c>
      <c r="EX34" s="2">
        <f>((IF((142='V06 Calend 01'!C34),('V06 Calend 01'!F34+'V06 Calend 01'!G34),0)+IF(AND(('V06 Calend 01'!E34&gt;0),(142&gt;'V06 Calend 01'!C34),(142&lt;'V06 Calend 01'!D34),(MOD((142-'V06 Calend 01'!C34),6)=0),(((142-'V06 Calend 01'!C34)/6)&lt;='V06 Calend 01'!E34)),IF((142=('V06 Calend 01'!C34+(6*'V06 Calend 01'!E34))),('V06 Calend 01'!H34-('V06 Calend 01'!I34*('V06 Calend 01'!E34-1))),'V06 Calend 01'!I34),0))+IF((142='V06 Calend 01'!D34),'V06 Calend 01'!J34,0))</f>
        <v>0</v>
      </c>
      <c r="EY34" s="2">
        <f>((IF((143='V06 Calend 01'!C34),('V06 Calend 01'!F34+'V06 Calend 01'!G34),0)+IF(AND(('V06 Calend 01'!E34&gt;0),(143&gt;'V06 Calend 01'!C34),(143&lt;'V06 Calend 01'!D34),(MOD((143-'V06 Calend 01'!C34),6)=0),(((143-'V06 Calend 01'!C34)/6)&lt;='V06 Calend 01'!E34)),IF((143=('V06 Calend 01'!C34+(6*'V06 Calend 01'!E34))),('V06 Calend 01'!H34-('V06 Calend 01'!I34*('V06 Calend 01'!E34-1))),'V06 Calend 01'!I34),0))+IF((143='V06 Calend 01'!D34),'V06 Calend 01'!J34,0))</f>
        <v>0</v>
      </c>
      <c r="EZ34" s="2">
        <f>((IF((144='V06 Calend 01'!C34),('V06 Calend 01'!F34+'V06 Calend 01'!G34),0)+IF(AND(('V06 Calend 01'!E34&gt;0),(144&gt;'V06 Calend 01'!C34),(144&lt;'V06 Calend 01'!D34),(MOD((144-'V06 Calend 01'!C34),6)=0),(((144-'V06 Calend 01'!C34)/6)&lt;='V06 Calend 01'!E34)),IF((144=('V06 Calend 01'!C34+(6*'V06 Calend 01'!E34))),('V06 Calend 01'!H34-('V06 Calend 01'!I34*('V06 Calend 01'!E34-1))),'V06 Calend 01'!I34),0))+IF((144='V06 Calend 01'!D34),'V06 Calend 01'!J34,0))</f>
        <v>0</v>
      </c>
      <c r="FA34" s="2">
        <f>((IF((145='V06 Calend 01'!C34),('V06 Calend 01'!F34+'V06 Calend 01'!G34),0)+IF(AND(('V06 Calend 01'!E34&gt;0),(145&gt;'V06 Calend 01'!C34),(145&lt;'V06 Calend 01'!D34),(MOD((145-'V06 Calend 01'!C34),6)=0),(((145-'V06 Calend 01'!C34)/6)&lt;='V06 Calend 01'!E34)),IF((145=('V06 Calend 01'!C34+(6*'V06 Calend 01'!E34))),('V06 Calend 01'!H34-('V06 Calend 01'!I34*('V06 Calend 01'!E34-1))),'V06 Calend 01'!I34),0))+IF((145='V06 Calend 01'!D34),'V06 Calend 01'!J34,0))</f>
        <v>0</v>
      </c>
      <c r="FB34" s="2">
        <f>((IF((146='V06 Calend 01'!C34),('V06 Calend 01'!F34+'V06 Calend 01'!G34),0)+IF(AND(('V06 Calend 01'!E34&gt;0),(146&gt;'V06 Calend 01'!C34),(146&lt;'V06 Calend 01'!D34),(MOD((146-'V06 Calend 01'!C34),6)=0),(((146-'V06 Calend 01'!C34)/6)&lt;='V06 Calend 01'!E34)),IF((146=('V06 Calend 01'!C34+(6*'V06 Calend 01'!E34))),('V06 Calend 01'!H34-('V06 Calend 01'!I34*('V06 Calend 01'!E34-1))),'V06 Calend 01'!I34),0))+IF((146='V06 Calend 01'!D34),'V06 Calend 01'!J34,0))</f>
        <v>0</v>
      </c>
      <c r="FC34" s="2">
        <f>((IF((147='V06 Calend 01'!C34),('V06 Calend 01'!F34+'V06 Calend 01'!G34),0)+IF(AND(('V06 Calend 01'!E34&gt;0),(147&gt;'V06 Calend 01'!C34),(147&lt;'V06 Calend 01'!D34),(MOD((147-'V06 Calend 01'!C34),6)=0),(((147-'V06 Calend 01'!C34)/6)&lt;='V06 Calend 01'!E34)),IF((147=('V06 Calend 01'!C34+(6*'V06 Calend 01'!E34))),('V06 Calend 01'!H34-('V06 Calend 01'!I34*('V06 Calend 01'!E34-1))),'V06 Calend 01'!I34),0))+IF((147='V06 Calend 01'!D34),'V06 Calend 01'!J34,0))</f>
        <v>0</v>
      </c>
      <c r="FD34" s="2">
        <f>((IF((148='V06 Calend 01'!C34),('V06 Calend 01'!F34+'V06 Calend 01'!G34),0)+IF(AND(('V06 Calend 01'!E34&gt;0),(148&gt;'V06 Calend 01'!C34),(148&lt;'V06 Calend 01'!D34),(MOD((148-'V06 Calend 01'!C34),6)=0),(((148-'V06 Calend 01'!C34)/6)&lt;='V06 Calend 01'!E34)),IF((148=('V06 Calend 01'!C34+(6*'V06 Calend 01'!E34))),('V06 Calend 01'!H34-('V06 Calend 01'!I34*('V06 Calend 01'!E34-1))),'V06 Calend 01'!I34),0))+IF((148='V06 Calend 01'!D34),'V06 Calend 01'!J34,0))</f>
        <v>0</v>
      </c>
      <c r="FE34" s="2">
        <f>((IF((149='V06 Calend 01'!C34),('V06 Calend 01'!F34+'V06 Calend 01'!G34),0)+IF(AND(('V06 Calend 01'!E34&gt;0),(149&gt;'V06 Calend 01'!C34),(149&lt;'V06 Calend 01'!D34),(MOD((149-'V06 Calend 01'!C34),6)=0),(((149-'V06 Calend 01'!C34)/6)&lt;='V06 Calend 01'!E34)),IF((149=('V06 Calend 01'!C34+(6*'V06 Calend 01'!E34))),('V06 Calend 01'!H34-('V06 Calend 01'!I34*('V06 Calend 01'!E34-1))),'V06 Calend 01'!I34),0))+IF((149='V06 Calend 01'!D34),'V06 Calend 01'!J34,0))</f>
        <v>0</v>
      </c>
      <c r="FF34" s="2">
        <f>((IF((150='V06 Calend 01'!C34),('V06 Calend 01'!F34+'V06 Calend 01'!G34),0)+IF(AND(('V06 Calend 01'!E34&gt;0),(150&gt;'V06 Calend 01'!C34),(150&lt;'V06 Calend 01'!D34),(MOD((150-'V06 Calend 01'!C34),6)=0),(((150-'V06 Calend 01'!C34)/6)&lt;='V06 Calend 01'!E34)),IF((150=('V06 Calend 01'!C34+(6*'V06 Calend 01'!E34))),('V06 Calend 01'!H34-('V06 Calend 01'!I34*('V06 Calend 01'!E34-1))),'V06 Calend 01'!I34),0))+IF((150='V06 Calend 01'!D34),'V06 Calend 01'!J34,0))</f>
        <v>0</v>
      </c>
      <c r="FG34" s="2">
        <f>((IF((151='V06 Calend 01'!C34),('V06 Calend 01'!F34+'V06 Calend 01'!G34),0)+IF(AND(('V06 Calend 01'!E34&gt;0),(151&gt;'V06 Calend 01'!C34),(151&lt;'V06 Calend 01'!D34),(MOD((151-'V06 Calend 01'!C34),6)=0),(((151-'V06 Calend 01'!C34)/6)&lt;='V06 Calend 01'!E34)),IF((151=('V06 Calend 01'!C34+(6*'V06 Calend 01'!E34))),('V06 Calend 01'!H34-('V06 Calend 01'!I34*('V06 Calend 01'!E34-1))),'V06 Calend 01'!I34),0))+IF((151='V06 Calend 01'!D34),'V06 Calend 01'!J34,0))</f>
        <v>0</v>
      </c>
      <c r="FH34" s="2">
        <f>((IF((152='V06 Calend 01'!C34),('V06 Calend 01'!F34+'V06 Calend 01'!G34),0)+IF(AND(('V06 Calend 01'!E34&gt;0),(152&gt;'V06 Calend 01'!C34),(152&lt;'V06 Calend 01'!D34),(MOD((152-'V06 Calend 01'!C34),6)=0),(((152-'V06 Calend 01'!C34)/6)&lt;='V06 Calend 01'!E34)),IF((152=('V06 Calend 01'!C34+(6*'V06 Calend 01'!E34))),('V06 Calend 01'!H34-('V06 Calend 01'!I34*('V06 Calend 01'!E34-1))),'V06 Calend 01'!I34),0))+IF((152='V06 Calend 01'!D34),'V06 Calend 01'!J34,0))</f>
        <v>0</v>
      </c>
      <c r="FI34" s="2">
        <f>((IF((153='V06 Calend 01'!C34),('V06 Calend 01'!F34+'V06 Calend 01'!G34),0)+IF(AND(('V06 Calend 01'!E34&gt;0),(153&gt;'V06 Calend 01'!C34),(153&lt;'V06 Calend 01'!D34),(MOD((153-'V06 Calend 01'!C34),6)=0),(((153-'V06 Calend 01'!C34)/6)&lt;='V06 Calend 01'!E34)),IF((153=('V06 Calend 01'!C34+(6*'V06 Calend 01'!E34))),('V06 Calend 01'!H34-('V06 Calend 01'!I34*('V06 Calend 01'!E34-1))),'V06 Calend 01'!I34),0))+IF((153='V06 Calend 01'!D34),'V06 Calend 01'!J34,0))</f>
        <v>0</v>
      </c>
      <c r="FJ34" s="2">
        <f>((IF((154='V06 Calend 01'!C34),('V06 Calend 01'!F34+'V06 Calend 01'!G34),0)+IF(AND(('V06 Calend 01'!E34&gt;0),(154&gt;'V06 Calend 01'!C34),(154&lt;'V06 Calend 01'!D34),(MOD((154-'V06 Calend 01'!C34),6)=0),(((154-'V06 Calend 01'!C34)/6)&lt;='V06 Calend 01'!E34)),IF((154=('V06 Calend 01'!C34+(6*'V06 Calend 01'!E34))),('V06 Calend 01'!H34-('V06 Calend 01'!I34*('V06 Calend 01'!E34-1))),'V06 Calend 01'!I34),0))+IF((154='V06 Calend 01'!D34),'V06 Calend 01'!J34,0))</f>
        <v>0</v>
      </c>
      <c r="FK34" s="2">
        <f>((IF((155='V06 Calend 01'!C34),('V06 Calend 01'!F34+'V06 Calend 01'!G34),0)+IF(AND(('V06 Calend 01'!E34&gt;0),(155&gt;'V06 Calend 01'!C34),(155&lt;'V06 Calend 01'!D34),(MOD((155-'V06 Calend 01'!C34),6)=0),(((155-'V06 Calend 01'!C34)/6)&lt;='V06 Calend 01'!E34)),IF((155=('V06 Calend 01'!C34+(6*'V06 Calend 01'!E34))),('V06 Calend 01'!H34-('V06 Calend 01'!I34*('V06 Calend 01'!E34-1))),'V06 Calend 01'!I34),0))+IF((155='V06 Calend 01'!D34),'V06 Calend 01'!J34,0))</f>
        <v>0</v>
      </c>
      <c r="FL34" s="2">
        <f>((IF((156='V06 Calend 01'!C34),('V06 Calend 01'!F34+'V06 Calend 01'!G34),0)+IF(AND(('V06 Calend 01'!E34&gt;0),(156&gt;'V06 Calend 01'!C34),(156&lt;'V06 Calend 01'!D34),(MOD((156-'V06 Calend 01'!C34),6)=0),(((156-'V06 Calend 01'!C34)/6)&lt;='V06 Calend 01'!E34)),IF((156=('V06 Calend 01'!C34+(6*'V06 Calend 01'!E34))),('V06 Calend 01'!H34-('V06 Calend 01'!I34*('V06 Calend 01'!E34-1))),'V06 Calend 01'!I34),0))+IF((156='V06 Calend 01'!D34),'V06 Calend 01'!J34,0))</f>
        <v>0</v>
      </c>
      <c r="FM34" s="2">
        <f>((IF((157='V06 Calend 01'!C34),('V06 Calend 01'!F34+'V06 Calend 01'!G34),0)+IF(AND(('V06 Calend 01'!E34&gt;0),(157&gt;'V06 Calend 01'!C34),(157&lt;'V06 Calend 01'!D34),(MOD((157-'V06 Calend 01'!C34),6)=0),(((157-'V06 Calend 01'!C34)/6)&lt;='V06 Calend 01'!E34)),IF((157=('V06 Calend 01'!C34+(6*'V06 Calend 01'!E34))),('V06 Calend 01'!H34-('V06 Calend 01'!I34*('V06 Calend 01'!E34-1))),'V06 Calend 01'!I34),0))+IF((157='V06 Calend 01'!D34),'V06 Calend 01'!J34,0))</f>
        <v>0</v>
      </c>
      <c r="FN34" s="2">
        <f>((IF((158='V06 Calend 01'!C34),('V06 Calend 01'!F34+'V06 Calend 01'!G34),0)+IF(AND(('V06 Calend 01'!E34&gt;0),(158&gt;'V06 Calend 01'!C34),(158&lt;'V06 Calend 01'!D34),(MOD((158-'V06 Calend 01'!C34),6)=0),(((158-'V06 Calend 01'!C34)/6)&lt;='V06 Calend 01'!E34)),IF((158=('V06 Calend 01'!C34+(6*'V06 Calend 01'!E34))),('V06 Calend 01'!H34-('V06 Calend 01'!I34*('V06 Calend 01'!E34-1))),'V06 Calend 01'!I34),0))+IF((158='V06 Calend 01'!D34),'V06 Calend 01'!J34,0))</f>
        <v>0</v>
      </c>
      <c r="FO34" s="2">
        <f>((IF((159='V06 Calend 01'!C34),('V06 Calend 01'!F34+'V06 Calend 01'!G34),0)+IF(AND(('V06 Calend 01'!E34&gt;0),(159&gt;'V06 Calend 01'!C34),(159&lt;'V06 Calend 01'!D34),(MOD((159-'V06 Calend 01'!C34),6)=0),(((159-'V06 Calend 01'!C34)/6)&lt;='V06 Calend 01'!E34)),IF((159=('V06 Calend 01'!C34+(6*'V06 Calend 01'!E34))),('V06 Calend 01'!H34-('V06 Calend 01'!I34*('V06 Calend 01'!E34-1))),'V06 Calend 01'!I34),0))+IF((159='V06 Calend 01'!D34),'V06 Calend 01'!J34,0))</f>
        <v>0</v>
      </c>
      <c r="FP34" s="2">
        <f>((IF((160='V06 Calend 01'!C34),('V06 Calend 01'!F34+'V06 Calend 01'!G34),0)+IF(AND(('V06 Calend 01'!E34&gt;0),(160&gt;'V06 Calend 01'!C34),(160&lt;'V06 Calend 01'!D34),(MOD((160-'V06 Calend 01'!C34),6)=0),(((160-'V06 Calend 01'!C34)/6)&lt;='V06 Calend 01'!E34)),IF((160=('V06 Calend 01'!C34+(6*'V06 Calend 01'!E34))),('V06 Calend 01'!H34-('V06 Calend 01'!I34*('V06 Calend 01'!E34-1))),'V06 Calend 01'!I34),0))+IF((160='V06 Calend 01'!D34),'V06 Calend 01'!J34,0))</f>
        <v>0</v>
      </c>
      <c r="FQ34" s="2">
        <f>((IF((161='V06 Calend 01'!C34),('V06 Calend 01'!F34+'V06 Calend 01'!G34),0)+IF(AND(('V06 Calend 01'!E34&gt;0),(161&gt;'V06 Calend 01'!C34),(161&lt;'V06 Calend 01'!D34),(MOD((161-'V06 Calend 01'!C34),6)=0),(((161-'V06 Calend 01'!C34)/6)&lt;='V06 Calend 01'!E34)),IF((161=('V06 Calend 01'!C34+(6*'V06 Calend 01'!E34))),('V06 Calend 01'!H34-('V06 Calend 01'!I34*('V06 Calend 01'!E34-1))),'V06 Calend 01'!I34),0))+IF((161='V06 Calend 01'!D34),'V06 Calend 01'!J34,0))</f>
        <v>0</v>
      </c>
      <c r="FR34" s="2">
        <f>((IF((162='V06 Calend 01'!C34),('V06 Calend 01'!F34+'V06 Calend 01'!G34),0)+IF(AND(('V06 Calend 01'!E34&gt;0),(162&gt;'V06 Calend 01'!C34),(162&lt;'V06 Calend 01'!D34),(MOD((162-'V06 Calend 01'!C34),6)=0),(((162-'V06 Calend 01'!C34)/6)&lt;='V06 Calend 01'!E34)),IF((162=('V06 Calend 01'!C34+(6*'V06 Calend 01'!E34))),('V06 Calend 01'!H34-('V06 Calend 01'!I34*('V06 Calend 01'!E34-1))),'V06 Calend 01'!I34),0))+IF((162='V06 Calend 01'!D34),'V06 Calend 01'!J34,0))</f>
        <v>0</v>
      </c>
      <c r="FS34" s="2">
        <f>((IF((163='V06 Calend 01'!C34),('V06 Calend 01'!F34+'V06 Calend 01'!G34),0)+IF(AND(('V06 Calend 01'!E34&gt;0),(163&gt;'V06 Calend 01'!C34),(163&lt;'V06 Calend 01'!D34),(MOD((163-'V06 Calend 01'!C34),6)=0),(((163-'V06 Calend 01'!C34)/6)&lt;='V06 Calend 01'!E34)),IF((163=('V06 Calend 01'!C34+(6*'V06 Calend 01'!E34))),('V06 Calend 01'!H34-('V06 Calend 01'!I34*('V06 Calend 01'!E34-1))),'V06 Calend 01'!I34),0))+IF((163='V06 Calend 01'!D34),'V06 Calend 01'!J34,0))</f>
        <v>0</v>
      </c>
      <c r="FT34" s="2">
        <f>((IF((164='V06 Calend 01'!C34),('V06 Calend 01'!F34+'V06 Calend 01'!G34),0)+IF(AND(('V06 Calend 01'!E34&gt;0),(164&gt;'V06 Calend 01'!C34),(164&lt;'V06 Calend 01'!D34),(MOD((164-'V06 Calend 01'!C34),6)=0),(((164-'V06 Calend 01'!C34)/6)&lt;='V06 Calend 01'!E34)),IF((164=('V06 Calend 01'!C34+(6*'V06 Calend 01'!E34))),('V06 Calend 01'!H34-('V06 Calend 01'!I34*('V06 Calend 01'!E34-1))),'V06 Calend 01'!I34),0))+IF((164='V06 Calend 01'!D34),'V06 Calend 01'!J34,0))</f>
        <v>0</v>
      </c>
      <c r="FU34" s="2">
        <f>((IF((165='V06 Calend 01'!C34),('V06 Calend 01'!F34+'V06 Calend 01'!G34),0)+IF(AND(('V06 Calend 01'!E34&gt;0),(165&gt;'V06 Calend 01'!C34),(165&lt;'V06 Calend 01'!D34),(MOD((165-'V06 Calend 01'!C34),6)=0),(((165-'V06 Calend 01'!C34)/6)&lt;='V06 Calend 01'!E34)),IF((165=('V06 Calend 01'!C34+(6*'V06 Calend 01'!E34))),('V06 Calend 01'!H34-('V06 Calend 01'!I34*('V06 Calend 01'!E34-1))),'V06 Calend 01'!I34),0))+IF((165='V06 Calend 01'!D34),'V06 Calend 01'!J34,0))</f>
        <v>0</v>
      </c>
      <c r="FV34" s="2">
        <f>((IF((166='V06 Calend 01'!C34),('V06 Calend 01'!F34+'V06 Calend 01'!G34),0)+IF(AND(('V06 Calend 01'!E34&gt;0),(166&gt;'V06 Calend 01'!C34),(166&lt;'V06 Calend 01'!D34),(MOD((166-'V06 Calend 01'!C34),6)=0),(((166-'V06 Calend 01'!C34)/6)&lt;='V06 Calend 01'!E34)),IF((166=('V06 Calend 01'!C34+(6*'V06 Calend 01'!E34))),('V06 Calend 01'!H34-('V06 Calend 01'!I34*('V06 Calend 01'!E34-1))),'V06 Calend 01'!I34),0))+IF((166='V06 Calend 01'!D34),'V06 Calend 01'!J34,0))</f>
        <v>0</v>
      </c>
      <c r="FW34" s="2">
        <f>((IF((167='V06 Calend 01'!C34),('V06 Calend 01'!F34+'V06 Calend 01'!G34),0)+IF(AND(('V06 Calend 01'!E34&gt;0),(167&gt;'V06 Calend 01'!C34),(167&lt;'V06 Calend 01'!D34),(MOD((167-'V06 Calend 01'!C34),6)=0),(((167-'V06 Calend 01'!C34)/6)&lt;='V06 Calend 01'!E34)),IF((167=('V06 Calend 01'!C34+(6*'V06 Calend 01'!E34))),('V06 Calend 01'!H34-('V06 Calend 01'!I34*('V06 Calend 01'!E34-1))),'V06 Calend 01'!I34),0))+IF((167='V06 Calend 01'!D34),'V06 Calend 01'!J34,0))</f>
        <v>0</v>
      </c>
      <c r="FX34" s="2">
        <f>((IF((168='V06 Calend 01'!C34),('V06 Calend 01'!F34+'V06 Calend 01'!G34),0)+IF(AND(('V06 Calend 01'!E34&gt;0),(168&gt;'V06 Calend 01'!C34),(168&lt;'V06 Calend 01'!D34),(MOD((168-'V06 Calend 01'!C34),6)=0),(((168-'V06 Calend 01'!C34)/6)&lt;='V06 Calend 01'!E34)),IF((168=('V06 Calend 01'!C34+(6*'V06 Calend 01'!E34))),('V06 Calend 01'!H34-('V06 Calend 01'!I34*('V06 Calend 01'!E34-1))),'V06 Calend 01'!I34),0))+IF((168='V06 Calend 01'!D34),'V06 Calend 01'!J34,0))</f>
        <v>0</v>
      </c>
      <c r="FY34" s="2">
        <f>((IF((169='V06 Calend 01'!C34),('V06 Calend 01'!F34+'V06 Calend 01'!G34),0)+IF(AND(('V06 Calend 01'!E34&gt;0),(169&gt;'V06 Calend 01'!C34),(169&lt;'V06 Calend 01'!D34),(MOD((169-'V06 Calend 01'!C34),6)=0),(((169-'V06 Calend 01'!C34)/6)&lt;='V06 Calend 01'!E34)),IF((169=('V06 Calend 01'!C34+(6*'V06 Calend 01'!E34))),('V06 Calend 01'!H34-('V06 Calend 01'!I34*('V06 Calend 01'!E34-1))),'V06 Calend 01'!I34),0))+IF((169='V06 Calend 01'!D34),'V06 Calend 01'!J34,0))</f>
        <v>0</v>
      </c>
      <c r="FZ34" s="2">
        <f>((IF((170='V06 Calend 01'!C34),('V06 Calend 01'!F34+'V06 Calend 01'!G34),0)+IF(AND(('V06 Calend 01'!E34&gt;0),(170&gt;'V06 Calend 01'!C34),(170&lt;'V06 Calend 01'!D34),(MOD((170-'V06 Calend 01'!C34),6)=0),(((170-'V06 Calend 01'!C34)/6)&lt;='V06 Calend 01'!E34)),IF((170=('V06 Calend 01'!C34+(6*'V06 Calend 01'!E34))),('V06 Calend 01'!H34-('V06 Calend 01'!I34*('V06 Calend 01'!E34-1))),'V06 Calend 01'!I34),0))+IF((170='V06 Calend 01'!D34),'V06 Calend 01'!J34,0))</f>
        <v>0</v>
      </c>
      <c r="GA34" s="2">
        <f>((IF((171='V06 Calend 01'!C34),('V06 Calend 01'!F34+'V06 Calend 01'!G34),0)+IF(AND(('V06 Calend 01'!E34&gt;0),(171&gt;'V06 Calend 01'!C34),(171&lt;'V06 Calend 01'!D34),(MOD((171-'V06 Calend 01'!C34),6)=0),(((171-'V06 Calend 01'!C34)/6)&lt;='V06 Calend 01'!E34)),IF((171=('V06 Calend 01'!C34+(6*'V06 Calend 01'!E34))),('V06 Calend 01'!H34-('V06 Calend 01'!I34*('V06 Calend 01'!E34-1))),'V06 Calend 01'!I34),0))+IF((171='V06 Calend 01'!D34),'V06 Calend 01'!J34,0))</f>
        <v>0</v>
      </c>
      <c r="GB34" s="2">
        <f>((IF((172='V06 Calend 01'!C34),('V06 Calend 01'!F34+'V06 Calend 01'!G34),0)+IF(AND(('V06 Calend 01'!E34&gt;0),(172&gt;'V06 Calend 01'!C34),(172&lt;'V06 Calend 01'!D34),(MOD((172-'V06 Calend 01'!C34),6)=0),(((172-'V06 Calend 01'!C34)/6)&lt;='V06 Calend 01'!E34)),IF((172=('V06 Calend 01'!C34+(6*'V06 Calend 01'!E34))),('V06 Calend 01'!H34-('V06 Calend 01'!I34*('V06 Calend 01'!E34-1))),'V06 Calend 01'!I34),0))+IF((172='V06 Calend 01'!D34),'V06 Calend 01'!J34,0))</f>
        <v>0</v>
      </c>
      <c r="GC34" s="2">
        <f>((IF((173='V06 Calend 01'!C34),('V06 Calend 01'!F34+'V06 Calend 01'!G34),0)+IF(AND(('V06 Calend 01'!E34&gt;0),(173&gt;'V06 Calend 01'!C34),(173&lt;'V06 Calend 01'!D34),(MOD((173-'V06 Calend 01'!C34),6)=0),(((173-'V06 Calend 01'!C34)/6)&lt;='V06 Calend 01'!E34)),IF((173=('V06 Calend 01'!C34+(6*'V06 Calend 01'!E34))),('V06 Calend 01'!H34-('V06 Calend 01'!I34*('V06 Calend 01'!E34-1))),'V06 Calend 01'!I34),0))+IF((173='V06 Calend 01'!D34),'V06 Calend 01'!J34,0))</f>
        <v>0</v>
      </c>
      <c r="GD34" s="2">
        <f>((IF((174='V06 Calend 01'!C34),('V06 Calend 01'!F34+'V06 Calend 01'!G34),0)+IF(AND(('V06 Calend 01'!E34&gt;0),(174&gt;'V06 Calend 01'!C34),(174&lt;'V06 Calend 01'!D34),(MOD((174-'V06 Calend 01'!C34),6)=0),(((174-'V06 Calend 01'!C34)/6)&lt;='V06 Calend 01'!E34)),IF((174=('V06 Calend 01'!C34+(6*'V06 Calend 01'!E34))),('V06 Calend 01'!H34-('V06 Calend 01'!I34*('V06 Calend 01'!E34-1))),'V06 Calend 01'!I34),0))+IF((174='V06 Calend 01'!D34),'V06 Calend 01'!J34,0))</f>
        <v>0</v>
      </c>
      <c r="GE34" s="2">
        <f>((IF((175='V06 Calend 01'!C34),('V06 Calend 01'!F34+'V06 Calend 01'!G34),0)+IF(AND(('V06 Calend 01'!E34&gt;0),(175&gt;'V06 Calend 01'!C34),(175&lt;'V06 Calend 01'!D34),(MOD((175-'V06 Calend 01'!C34),6)=0),(((175-'V06 Calend 01'!C34)/6)&lt;='V06 Calend 01'!E34)),IF((175=('V06 Calend 01'!C34+(6*'V06 Calend 01'!E34))),('V06 Calend 01'!H34-('V06 Calend 01'!I34*('V06 Calend 01'!E34-1))),'V06 Calend 01'!I34),0))+IF((175='V06 Calend 01'!D34),'V06 Calend 01'!J34,0))</f>
        <v>0</v>
      </c>
      <c r="GF34" s="2">
        <f>((IF((176='V06 Calend 01'!C34),('V06 Calend 01'!F34+'V06 Calend 01'!G34),0)+IF(AND(('V06 Calend 01'!E34&gt;0),(176&gt;'V06 Calend 01'!C34),(176&lt;'V06 Calend 01'!D34),(MOD((176-'V06 Calend 01'!C34),6)=0),(((176-'V06 Calend 01'!C34)/6)&lt;='V06 Calend 01'!E34)),IF((176=('V06 Calend 01'!C34+(6*'V06 Calend 01'!E34))),('V06 Calend 01'!H34-('V06 Calend 01'!I34*('V06 Calend 01'!E34-1))),'V06 Calend 01'!I34),0))+IF((176='V06 Calend 01'!D34),'V06 Calend 01'!J34,0))</f>
        <v>0</v>
      </c>
      <c r="GG34" s="2">
        <f>((IF((177='V06 Calend 01'!C34),('V06 Calend 01'!F34+'V06 Calend 01'!G34),0)+IF(AND(('V06 Calend 01'!E34&gt;0),(177&gt;'V06 Calend 01'!C34),(177&lt;'V06 Calend 01'!D34),(MOD((177-'V06 Calend 01'!C34),6)=0),(((177-'V06 Calend 01'!C34)/6)&lt;='V06 Calend 01'!E34)),IF((177=('V06 Calend 01'!C34+(6*'V06 Calend 01'!E34))),('V06 Calend 01'!H34-('V06 Calend 01'!I34*('V06 Calend 01'!E34-1))),'V06 Calend 01'!I34),0))+IF((177='V06 Calend 01'!D34),'V06 Calend 01'!J34,0))</f>
        <v>0</v>
      </c>
      <c r="GH34" s="2">
        <f>((IF((178='V06 Calend 01'!C34),('V06 Calend 01'!F34+'V06 Calend 01'!G34),0)+IF(AND(('V06 Calend 01'!E34&gt;0),(178&gt;'V06 Calend 01'!C34),(178&lt;'V06 Calend 01'!D34),(MOD((178-'V06 Calend 01'!C34),6)=0),(((178-'V06 Calend 01'!C34)/6)&lt;='V06 Calend 01'!E34)),IF((178=('V06 Calend 01'!C34+(6*'V06 Calend 01'!E34))),('V06 Calend 01'!H34-('V06 Calend 01'!I34*('V06 Calend 01'!E34-1))),'V06 Calend 01'!I34),0))+IF((178='V06 Calend 01'!D34),'V06 Calend 01'!J34,0))</f>
        <v>0</v>
      </c>
      <c r="GI34" s="2">
        <f>((IF((179='V06 Calend 01'!C34),('V06 Calend 01'!F34+'V06 Calend 01'!G34),0)+IF(AND(('V06 Calend 01'!E34&gt;0),(179&gt;'V06 Calend 01'!C34),(179&lt;'V06 Calend 01'!D34),(MOD((179-'V06 Calend 01'!C34),6)=0),(((179-'V06 Calend 01'!C34)/6)&lt;='V06 Calend 01'!E34)),IF((179=('V06 Calend 01'!C34+(6*'V06 Calend 01'!E34))),('V06 Calend 01'!H34-('V06 Calend 01'!I34*('V06 Calend 01'!E34-1))),'V06 Calend 01'!I34),0))+IF((179='V06 Calend 01'!D34),'V06 Calend 01'!J34,0))</f>
        <v>0</v>
      </c>
      <c r="GJ34" s="2">
        <f>((IF((180='V06 Calend 01'!C34),('V06 Calend 01'!F34+'V06 Calend 01'!G34),0)+IF(AND(('V06 Calend 01'!E34&gt;0),(180&gt;'V06 Calend 01'!C34),(180&lt;'V06 Calend 01'!D34),(MOD((180-'V06 Calend 01'!C34),6)=0),(((180-'V06 Calend 01'!C34)/6)&lt;='V06 Calend 01'!E34)),IF((180=('V06 Calend 01'!C34+(6*'V06 Calend 01'!E34))),('V06 Calend 01'!H34-('V06 Calend 01'!I34*('V06 Calend 01'!E34-1))),'V06 Calend 01'!I34),0))+IF((180='V06 Calend 01'!D34),'V06 Calend 01'!J34,0))</f>
        <v>0</v>
      </c>
    </row>
    <row r="35" spans="1:192">
      <c r="A35" s="3" t="str">
        <f>'V06 Unidades'!$A$35</f>
        <v>501</v>
      </c>
      <c r="B35" s="2">
        <f>'V06 Unidades'!$H$35</f>
        <v>620695.3</v>
      </c>
      <c r="C35" s="4">
        <f>('V06 Unidades'!$I$35+'V06 Controlos'!$B$37)</f>
        <v>19</v>
      </c>
      <c r="D35" s="4">
        <f>IF(('V06 Controlos'!$B$38&gt;0),MAX(('V06 Unidades'!$L$35+'V06 Controlos'!$B$37),(30+'V06 Controlos'!$B$38)),('V06 Unidades'!$L$35+'V06 Controlos'!$B$37))</f>
        <v>28</v>
      </c>
      <c r="E35" s="4">
        <f>MAX(0,INT(((('V06 Calend 01'!D35-'V06 Calend 01'!C35)-1)/6)))</f>
        <v>1</v>
      </c>
      <c r="F35" s="2">
        <f>ROUND(('V06 Calend 01'!B35*0.05),2)</f>
        <v>31034.77</v>
      </c>
      <c r="G35" s="2">
        <f>ROUND(('V06 Calend 01'!B35*0.2),2)</f>
        <v>124139.06</v>
      </c>
      <c r="H35" s="2">
        <f>ROUND(('V06 Calend 01'!B35*0.55),2)</f>
        <v>341382.42</v>
      </c>
      <c r="I35" s="2">
        <f>ROUND(('V06 Calend 01'!H35/MAX(1,'V06 Calend 01'!E35)),2)</f>
        <v>341382.42</v>
      </c>
      <c r="J35" s="2">
        <f>((('V06 Calend 01'!B35-'V06 Calend 01'!F35)-'V06 Calend 01'!G35)-'V06 Calend 01'!H35)</f>
        <v>124139.05000000005</v>
      </c>
      <c r="K35" s="2">
        <f>('V06 Calend 01'!B35*0.025)</f>
        <v>15517.382500000002</v>
      </c>
      <c r="L35" t="s">
        <v>378</v>
      </c>
      <c r="M35" s="2">
        <f>((IF((1='V06 Calend 01'!C35),('V06 Calend 01'!F35+'V06 Calend 01'!G35),0)+IF(AND(('V06 Calend 01'!E35&gt;0),(1&gt;'V06 Calend 01'!C35),(1&lt;'V06 Calend 01'!D35),(MOD((1-'V06 Calend 01'!C35),6)=0),(((1-'V06 Calend 01'!C35)/6)&lt;='V06 Calend 01'!E35)),IF((1=('V06 Calend 01'!C35+(6*'V06 Calend 01'!E35))),('V06 Calend 01'!H35-('V06 Calend 01'!I35*('V06 Calend 01'!E35-1))),'V06 Calend 01'!I35),0))+IF((1='V06 Calend 01'!D35),'V06 Calend 01'!J35,0))</f>
        <v>0</v>
      </c>
      <c r="N35" s="2">
        <f>((IF((2='V06 Calend 01'!C35),('V06 Calend 01'!F35+'V06 Calend 01'!G35),0)+IF(AND(('V06 Calend 01'!E35&gt;0),(2&gt;'V06 Calend 01'!C35),(2&lt;'V06 Calend 01'!D35),(MOD((2-'V06 Calend 01'!C35),6)=0),(((2-'V06 Calend 01'!C35)/6)&lt;='V06 Calend 01'!E35)),IF((2=('V06 Calend 01'!C35+(6*'V06 Calend 01'!E35))),('V06 Calend 01'!H35-('V06 Calend 01'!I35*('V06 Calend 01'!E35-1))),'V06 Calend 01'!I35),0))+IF((2='V06 Calend 01'!D35),'V06 Calend 01'!J35,0))</f>
        <v>0</v>
      </c>
      <c r="O35" s="2">
        <f>((IF((3='V06 Calend 01'!C35),('V06 Calend 01'!F35+'V06 Calend 01'!G35),0)+IF(AND(('V06 Calend 01'!E35&gt;0),(3&gt;'V06 Calend 01'!C35),(3&lt;'V06 Calend 01'!D35),(MOD((3-'V06 Calend 01'!C35),6)=0),(((3-'V06 Calend 01'!C35)/6)&lt;='V06 Calend 01'!E35)),IF((3=('V06 Calend 01'!C35+(6*'V06 Calend 01'!E35))),('V06 Calend 01'!H35-('V06 Calend 01'!I35*('V06 Calend 01'!E35-1))),'V06 Calend 01'!I35),0))+IF((3='V06 Calend 01'!D35),'V06 Calend 01'!J35,0))</f>
        <v>0</v>
      </c>
      <c r="P35" s="2">
        <f>((IF((4='V06 Calend 01'!C35),('V06 Calend 01'!F35+'V06 Calend 01'!G35),0)+IF(AND(('V06 Calend 01'!E35&gt;0),(4&gt;'V06 Calend 01'!C35),(4&lt;'V06 Calend 01'!D35),(MOD((4-'V06 Calend 01'!C35),6)=0),(((4-'V06 Calend 01'!C35)/6)&lt;='V06 Calend 01'!E35)),IF((4=('V06 Calend 01'!C35+(6*'V06 Calend 01'!E35))),('V06 Calend 01'!H35-('V06 Calend 01'!I35*('V06 Calend 01'!E35-1))),'V06 Calend 01'!I35),0))+IF((4='V06 Calend 01'!D35),'V06 Calend 01'!J35,0))</f>
        <v>0</v>
      </c>
      <c r="Q35" s="2">
        <f>((IF((5='V06 Calend 01'!C35),('V06 Calend 01'!F35+'V06 Calend 01'!G35),0)+IF(AND(('V06 Calend 01'!E35&gt;0),(5&gt;'V06 Calend 01'!C35),(5&lt;'V06 Calend 01'!D35),(MOD((5-'V06 Calend 01'!C35),6)=0),(((5-'V06 Calend 01'!C35)/6)&lt;='V06 Calend 01'!E35)),IF((5=('V06 Calend 01'!C35+(6*'V06 Calend 01'!E35))),('V06 Calend 01'!H35-('V06 Calend 01'!I35*('V06 Calend 01'!E35-1))),'V06 Calend 01'!I35),0))+IF((5='V06 Calend 01'!D35),'V06 Calend 01'!J35,0))</f>
        <v>0</v>
      </c>
      <c r="R35" s="2">
        <f>((IF((6='V06 Calend 01'!C35),('V06 Calend 01'!F35+'V06 Calend 01'!G35),0)+IF(AND(('V06 Calend 01'!E35&gt;0),(6&gt;'V06 Calend 01'!C35),(6&lt;'V06 Calend 01'!D35),(MOD((6-'V06 Calend 01'!C35),6)=0),(((6-'V06 Calend 01'!C35)/6)&lt;='V06 Calend 01'!E35)),IF((6=('V06 Calend 01'!C35+(6*'V06 Calend 01'!E35))),('V06 Calend 01'!H35-('V06 Calend 01'!I35*('V06 Calend 01'!E35-1))),'V06 Calend 01'!I35),0))+IF((6='V06 Calend 01'!D35),'V06 Calend 01'!J35,0))</f>
        <v>0</v>
      </c>
      <c r="S35" s="2">
        <f>((IF((7='V06 Calend 01'!C35),('V06 Calend 01'!F35+'V06 Calend 01'!G35),0)+IF(AND(('V06 Calend 01'!E35&gt;0),(7&gt;'V06 Calend 01'!C35),(7&lt;'V06 Calend 01'!D35),(MOD((7-'V06 Calend 01'!C35),6)=0),(((7-'V06 Calend 01'!C35)/6)&lt;='V06 Calend 01'!E35)),IF((7=('V06 Calend 01'!C35+(6*'V06 Calend 01'!E35))),('V06 Calend 01'!H35-('V06 Calend 01'!I35*('V06 Calend 01'!E35-1))),'V06 Calend 01'!I35),0))+IF((7='V06 Calend 01'!D35),'V06 Calend 01'!J35,0))</f>
        <v>0</v>
      </c>
      <c r="T35" s="2">
        <f>((IF((8='V06 Calend 01'!C35),('V06 Calend 01'!F35+'V06 Calend 01'!G35),0)+IF(AND(('V06 Calend 01'!E35&gt;0),(8&gt;'V06 Calend 01'!C35),(8&lt;'V06 Calend 01'!D35),(MOD((8-'V06 Calend 01'!C35),6)=0),(((8-'V06 Calend 01'!C35)/6)&lt;='V06 Calend 01'!E35)),IF((8=('V06 Calend 01'!C35+(6*'V06 Calend 01'!E35))),('V06 Calend 01'!H35-('V06 Calend 01'!I35*('V06 Calend 01'!E35-1))),'V06 Calend 01'!I35),0))+IF((8='V06 Calend 01'!D35),'V06 Calend 01'!J35,0))</f>
        <v>0</v>
      </c>
      <c r="U35" s="2">
        <f>((IF((9='V06 Calend 01'!C35),('V06 Calend 01'!F35+'V06 Calend 01'!G35),0)+IF(AND(('V06 Calend 01'!E35&gt;0),(9&gt;'V06 Calend 01'!C35),(9&lt;'V06 Calend 01'!D35),(MOD((9-'V06 Calend 01'!C35),6)=0),(((9-'V06 Calend 01'!C35)/6)&lt;='V06 Calend 01'!E35)),IF((9=('V06 Calend 01'!C35+(6*'V06 Calend 01'!E35))),('V06 Calend 01'!H35-('V06 Calend 01'!I35*('V06 Calend 01'!E35-1))),'V06 Calend 01'!I35),0))+IF((9='V06 Calend 01'!D35),'V06 Calend 01'!J35,0))</f>
        <v>0</v>
      </c>
      <c r="V35" s="2">
        <f>((IF((10='V06 Calend 01'!C35),('V06 Calend 01'!F35+'V06 Calend 01'!G35),0)+IF(AND(('V06 Calend 01'!E35&gt;0),(10&gt;'V06 Calend 01'!C35),(10&lt;'V06 Calend 01'!D35),(MOD((10-'V06 Calend 01'!C35),6)=0),(((10-'V06 Calend 01'!C35)/6)&lt;='V06 Calend 01'!E35)),IF((10=('V06 Calend 01'!C35+(6*'V06 Calend 01'!E35))),('V06 Calend 01'!H35-('V06 Calend 01'!I35*('V06 Calend 01'!E35-1))),'V06 Calend 01'!I35),0))+IF((10='V06 Calend 01'!D35),'V06 Calend 01'!J35,0))</f>
        <v>0</v>
      </c>
      <c r="W35" s="2">
        <f>((IF((11='V06 Calend 01'!C35),('V06 Calend 01'!F35+'V06 Calend 01'!G35),0)+IF(AND(('V06 Calend 01'!E35&gt;0),(11&gt;'V06 Calend 01'!C35),(11&lt;'V06 Calend 01'!D35),(MOD((11-'V06 Calend 01'!C35),6)=0),(((11-'V06 Calend 01'!C35)/6)&lt;='V06 Calend 01'!E35)),IF((11=('V06 Calend 01'!C35+(6*'V06 Calend 01'!E35))),('V06 Calend 01'!H35-('V06 Calend 01'!I35*('V06 Calend 01'!E35-1))),'V06 Calend 01'!I35),0))+IF((11='V06 Calend 01'!D35),'V06 Calend 01'!J35,0))</f>
        <v>0</v>
      </c>
      <c r="X35" s="2">
        <f>((IF((12='V06 Calend 01'!C35),('V06 Calend 01'!F35+'V06 Calend 01'!G35),0)+IF(AND(('V06 Calend 01'!E35&gt;0),(12&gt;'V06 Calend 01'!C35),(12&lt;'V06 Calend 01'!D35),(MOD((12-'V06 Calend 01'!C35),6)=0),(((12-'V06 Calend 01'!C35)/6)&lt;='V06 Calend 01'!E35)),IF((12=('V06 Calend 01'!C35+(6*'V06 Calend 01'!E35))),('V06 Calend 01'!H35-('V06 Calend 01'!I35*('V06 Calend 01'!E35-1))),'V06 Calend 01'!I35),0))+IF((12='V06 Calend 01'!D35),'V06 Calend 01'!J35,0))</f>
        <v>0</v>
      </c>
      <c r="Y35" s="2">
        <f>((IF((13='V06 Calend 01'!C35),('V06 Calend 01'!F35+'V06 Calend 01'!G35),0)+IF(AND(('V06 Calend 01'!E35&gt;0),(13&gt;'V06 Calend 01'!C35),(13&lt;'V06 Calend 01'!D35),(MOD((13-'V06 Calend 01'!C35),6)=0),(((13-'V06 Calend 01'!C35)/6)&lt;='V06 Calend 01'!E35)),IF((13=('V06 Calend 01'!C35+(6*'V06 Calend 01'!E35))),('V06 Calend 01'!H35-('V06 Calend 01'!I35*('V06 Calend 01'!E35-1))),'V06 Calend 01'!I35),0))+IF((13='V06 Calend 01'!D35),'V06 Calend 01'!J35,0))</f>
        <v>0</v>
      </c>
      <c r="Z35" s="2">
        <f>((IF((14='V06 Calend 01'!C35),('V06 Calend 01'!F35+'V06 Calend 01'!G35),0)+IF(AND(('V06 Calend 01'!E35&gt;0),(14&gt;'V06 Calend 01'!C35),(14&lt;'V06 Calend 01'!D35),(MOD((14-'V06 Calend 01'!C35),6)=0),(((14-'V06 Calend 01'!C35)/6)&lt;='V06 Calend 01'!E35)),IF((14=('V06 Calend 01'!C35+(6*'V06 Calend 01'!E35))),('V06 Calend 01'!H35-('V06 Calend 01'!I35*('V06 Calend 01'!E35-1))),'V06 Calend 01'!I35),0))+IF((14='V06 Calend 01'!D35),'V06 Calend 01'!J35,0))</f>
        <v>0</v>
      </c>
      <c r="AA35" s="2">
        <f>((IF((15='V06 Calend 01'!C35),('V06 Calend 01'!F35+'V06 Calend 01'!G35),0)+IF(AND(('V06 Calend 01'!E35&gt;0),(15&gt;'V06 Calend 01'!C35),(15&lt;'V06 Calend 01'!D35),(MOD((15-'V06 Calend 01'!C35),6)=0),(((15-'V06 Calend 01'!C35)/6)&lt;='V06 Calend 01'!E35)),IF((15=('V06 Calend 01'!C35+(6*'V06 Calend 01'!E35))),('V06 Calend 01'!H35-('V06 Calend 01'!I35*('V06 Calend 01'!E35-1))),'V06 Calend 01'!I35),0))+IF((15='V06 Calend 01'!D35),'V06 Calend 01'!J35,0))</f>
        <v>0</v>
      </c>
      <c r="AB35" s="2">
        <f>((IF((16='V06 Calend 01'!C35),('V06 Calend 01'!F35+'V06 Calend 01'!G35),0)+IF(AND(('V06 Calend 01'!E35&gt;0),(16&gt;'V06 Calend 01'!C35),(16&lt;'V06 Calend 01'!D35),(MOD((16-'V06 Calend 01'!C35),6)=0),(((16-'V06 Calend 01'!C35)/6)&lt;='V06 Calend 01'!E35)),IF((16=('V06 Calend 01'!C35+(6*'V06 Calend 01'!E35))),('V06 Calend 01'!H35-('V06 Calend 01'!I35*('V06 Calend 01'!E35-1))),'V06 Calend 01'!I35),0))+IF((16='V06 Calend 01'!D35),'V06 Calend 01'!J35,0))</f>
        <v>0</v>
      </c>
      <c r="AC35" s="2">
        <f>((IF((17='V06 Calend 01'!C35),('V06 Calend 01'!F35+'V06 Calend 01'!G35),0)+IF(AND(('V06 Calend 01'!E35&gt;0),(17&gt;'V06 Calend 01'!C35),(17&lt;'V06 Calend 01'!D35),(MOD((17-'V06 Calend 01'!C35),6)=0),(((17-'V06 Calend 01'!C35)/6)&lt;='V06 Calend 01'!E35)),IF((17=('V06 Calend 01'!C35+(6*'V06 Calend 01'!E35))),('V06 Calend 01'!H35-('V06 Calend 01'!I35*('V06 Calend 01'!E35-1))),'V06 Calend 01'!I35),0))+IF((17='V06 Calend 01'!D35),'V06 Calend 01'!J35,0))</f>
        <v>0</v>
      </c>
      <c r="AD35" s="2">
        <f>((IF((18='V06 Calend 01'!C35),('V06 Calend 01'!F35+'V06 Calend 01'!G35),0)+IF(AND(('V06 Calend 01'!E35&gt;0),(18&gt;'V06 Calend 01'!C35),(18&lt;'V06 Calend 01'!D35),(MOD((18-'V06 Calend 01'!C35),6)=0),(((18-'V06 Calend 01'!C35)/6)&lt;='V06 Calend 01'!E35)),IF((18=('V06 Calend 01'!C35+(6*'V06 Calend 01'!E35))),('V06 Calend 01'!H35-('V06 Calend 01'!I35*('V06 Calend 01'!E35-1))),'V06 Calend 01'!I35),0))+IF((18='V06 Calend 01'!D35),'V06 Calend 01'!J35,0))</f>
        <v>0</v>
      </c>
      <c r="AE35" s="2">
        <f>((IF((19='V06 Calend 01'!C35),('V06 Calend 01'!F35+'V06 Calend 01'!G35),0)+IF(AND(('V06 Calend 01'!E35&gt;0),(19&gt;'V06 Calend 01'!C35),(19&lt;'V06 Calend 01'!D35),(MOD((19-'V06 Calend 01'!C35),6)=0),(((19-'V06 Calend 01'!C35)/6)&lt;='V06 Calend 01'!E35)),IF((19=('V06 Calend 01'!C35+(6*'V06 Calend 01'!E35))),('V06 Calend 01'!H35-('V06 Calend 01'!I35*('V06 Calend 01'!E35-1))),'V06 Calend 01'!I35),0))+IF((19='V06 Calend 01'!D35),'V06 Calend 01'!J35,0))</f>
        <v>155173.83</v>
      </c>
      <c r="AF35" s="2">
        <f>((IF((20='V06 Calend 01'!C35),('V06 Calend 01'!F35+'V06 Calend 01'!G35),0)+IF(AND(('V06 Calend 01'!E35&gt;0),(20&gt;'V06 Calend 01'!C35),(20&lt;'V06 Calend 01'!D35),(MOD((20-'V06 Calend 01'!C35),6)=0),(((20-'V06 Calend 01'!C35)/6)&lt;='V06 Calend 01'!E35)),IF((20=('V06 Calend 01'!C35+(6*'V06 Calend 01'!E35))),('V06 Calend 01'!H35-('V06 Calend 01'!I35*('V06 Calend 01'!E35-1))),'V06 Calend 01'!I35),0))+IF((20='V06 Calend 01'!D35),'V06 Calend 01'!J35,0))</f>
        <v>0</v>
      </c>
      <c r="AG35" s="2">
        <f>((IF((21='V06 Calend 01'!C35),('V06 Calend 01'!F35+'V06 Calend 01'!G35),0)+IF(AND(('V06 Calend 01'!E35&gt;0),(21&gt;'V06 Calend 01'!C35),(21&lt;'V06 Calend 01'!D35),(MOD((21-'V06 Calend 01'!C35),6)=0),(((21-'V06 Calend 01'!C35)/6)&lt;='V06 Calend 01'!E35)),IF((21=('V06 Calend 01'!C35+(6*'V06 Calend 01'!E35))),('V06 Calend 01'!H35-('V06 Calend 01'!I35*('V06 Calend 01'!E35-1))),'V06 Calend 01'!I35),0))+IF((21='V06 Calend 01'!D35),'V06 Calend 01'!J35,0))</f>
        <v>0</v>
      </c>
      <c r="AH35" s="2">
        <f>((IF((22='V06 Calend 01'!C35),('V06 Calend 01'!F35+'V06 Calend 01'!G35),0)+IF(AND(('V06 Calend 01'!E35&gt;0),(22&gt;'V06 Calend 01'!C35),(22&lt;'V06 Calend 01'!D35),(MOD((22-'V06 Calend 01'!C35),6)=0),(((22-'V06 Calend 01'!C35)/6)&lt;='V06 Calend 01'!E35)),IF((22=('V06 Calend 01'!C35+(6*'V06 Calend 01'!E35))),('V06 Calend 01'!H35-('V06 Calend 01'!I35*('V06 Calend 01'!E35-1))),'V06 Calend 01'!I35),0))+IF((22='V06 Calend 01'!D35),'V06 Calend 01'!J35,0))</f>
        <v>0</v>
      </c>
      <c r="AI35" s="2">
        <f>((IF((23='V06 Calend 01'!C35),('V06 Calend 01'!F35+'V06 Calend 01'!G35),0)+IF(AND(('V06 Calend 01'!E35&gt;0),(23&gt;'V06 Calend 01'!C35),(23&lt;'V06 Calend 01'!D35),(MOD((23-'V06 Calend 01'!C35),6)=0),(((23-'V06 Calend 01'!C35)/6)&lt;='V06 Calend 01'!E35)),IF((23=('V06 Calend 01'!C35+(6*'V06 Calend 01'!E35))),('V06 Calend 01'!H35-('V06 Calend 01'!I35*('V06 Calend 01'!E35-1))),'V06 Calend 01'!I35),0))+IF((23='V06 Calend 01'!D35),'V06 Calend 01'!J35,0))</f>
        <v>0</v>
      </c>
      <c r="AJ35" s="2">
        <f>((IF((24='V06 Calend 01'!C35),('V06 Calend 01'!F35+'V06 Calend 01'!G35),0)+IF(AND(('V06 Calend 01'!E35&gt;0),(24&gt;'V06 Calend 01'!C35),(24&lt;'V06 Calend 01'!D35),(MOD((24-'V06 Calend 01'!C35),6)=0),(((24-'V06 Calend 01'!C35)/6)&lt;='V06 Calend 01'!E35)),IF((24=('V06 Calend 01'!C35+(6*'V06 Calend 01'!E35))),('V06 Calend 01'!H35-('V06 Calend 01'!I35*('V06 Calend 01'!E35-1))),'V06 Calend 01'!I35),0))+IF((24='V06 Calend 01'!D35),'V06 Calend 01'!J35,0))</f>
        <v>0</v>
      </c>
      <c r="AK35" s="2">
        <f>((IF((25='V06 Calend 01'!C35),('V06 Calend 01'!F35+'V06 Calend 01'!G35),0)+IF(AND(('V06 Calend 01'!E35&gt;0),(25&gt;'V06 Calend 01'!C35),(25&lt;'V06 Calend 01'!D35),(MOD((25-'V06 Calend 01'!C35),6)=0),(((25-'V06 Calend 01'!C35)/6)&lt;='V06 Calend 01'!E35)),IF((25=('V06 Calend 01'!C35+(6*'V06 Calend 01'!E35))),('V06 Calend 01'!H35-('V06 Calend 01'!I35*('V06 Calend 01'!E35-1))),'V06 Calend 01'!I35),0))+IF((25='V06 Calend 01'!D35),'V06 Calend 01'!J35,0))</f>
        <v>341382.42</v>
      </c>
      <c r="AL35" s="2">
        <f>((IF((26='V06 Calend 01'!C35),('V06 Calend 01'!F35+'V06 Calend 01'!G35),0)+IF(AND(('V06 Calend 01'!E35&gt;0),(26&gt;'V06 Calend 01'!C35),(26&lt;'V06 Calend 01'!D35),(MOD((26-'V06 Calend 01'!C35),6)=0),(((26-'V06 Calend 01'!C35)/6)&lt;='V06 Calend 01'!E35)),IF((26=('V06 Calend 01'!C35+(6*'V06 Calend 01'!E35))),('V06 Calend 01'!H35-('V06 Calend 01'!I35*('V06 Calend 01'!E35-1))),'V06 Calend 01'!I35),0))+IF((26='V06 Calend 01'!D35),'V06 Calend 01'!J35,0))</f>
        <v>0</v>
      </c>
      <c r="AM35" s="2">
        <f>((IF((27='V06 Calend 01'!C35),('V06 Calend 01'!F35+'V06 Calend 01'!G35),0)+IF(AND(('V06 Calend 01'!E35&gt;0),(27&gt;'V06 Calend 01'!C35),(27&lt;'V06 Calend 01'!D35),(MOD((27-'V06 Calend 01'!C35),6)=0),(((27-'V06 Calend 01'!C35)/6)&lt;='V06 Calend 01'!E35)),IF((27=('V06 Calend 01'!C35+(6*'V06 Calend 01'!E35))),('V06 Calend 01'!H35-('V06 Calend 01'!I35*('V06 Calend 01'!E35-1))),'V06 Calend 01'!I35),0))+IF((27='V06 Calend 01'!D35),'V06 Calend 01'!J35,0))</f>
        <v>0</v>
      </c>
      <c r="AN35" s="2">
        <f>((IF((28='V06 Calend 01'!C35),('V06 Calend 01'!F35+'V06 Calend 01'!G35),0)+IF(AND(('V06 Calend 01'!E35&gt;0),(28&gt;'V06 Calend 01'!C35),(28&lt;'V06 Calend 01'!D35),(MOD((28-'V06 Calend 01'!C35),6)=0),(((28-'V06 Calend 01'!C35)/6)&lt;='V06 Calend 01'!E35)),IF((28=('V06 Calend 01'!C35+(6*'V06 Calend 01'!E35))),('V06 Calend 01'!H35-('V06 Calend 01'!I35*('V06 Calend 01'!E35-1))),'V06 Calend 01'!I35),0))+IF((28='V06 Calend 01'!D35),'V06 Calend 01'!J35,0))</f>
        <v>124139.05000000005</v>
      </c>
      <c r="AO35" s="2">
        <f>((IF((29='V06 Calend 01'!C35),('V06 Calend 01'!F35+'V06 Calend 01'!G35),0)+IF(AND(('V06 Calend 01'!E35&gt;0),(29&gt;'V06 Calend 01'!C35),(29&lt;'V06 Calend 01'!D35),(MOD((29-'V06 Calend 01'!C35),6)=0),(((29-'V06 Calend 01'!C35)/6)&lt;='V06 Calend 01'!E35)),IF((29=('V06 Calend 01'!C35+(6*'V06 Calend 01'!E35))),('V06 Calend 01'!H35-('V06 Calend 01'!I35*('V06 Calend 01'!E35-1))),'V06 Calend 01'!I35),0))+IF((29='V06 Calend 01'!D35),'V06 Calend 01'!J35,0))</f>
        <v>0</v>
      </c>
      <c r="AP35" s="2">
        <f>((IF((30='V06 Calend 01'!C35),('V06 Calend 01'!F35+'V06 Calend 01'!G35),0)+IF(AND(('V06 Calend 01'!E35&gt;0),(30&gt;'V06 Calend 01'!C35),(30&lt;'V06 Calend 01'!D35),(MOD((30-'V06 Calend 01'!C35),6)=0),(((30-'V06 Calend 01'!C35)/6)&lt;='V06 Calend 01'!E35)),IF((30=('V06 Calend 01'!C35+(6*'V06 Calend 01'!E35))),('V06 Calend 01'!H35-('V06 Calend 01'!I35*('V06 Calend 01'!E35-1))),'V06 Calend 01'!I35),0))+IF((30='V06 Calend 01'!D35),'V06 Calend 01'!J35,0))</f>
        <v>0</v>
      </c>
      <c r="AQ35" s="2">
        <f>((IF((31='V06 Calend 01'!C35),('V06 Calend 01'!F35+'V06 Calend 01'!G35),0)+IF(AND(('V06 Calend 01'!E35&gt;0),(31&gt;'V06 Calend 01'!C35),(31&lt;'V06 Calend 01'!D35),(MOD((31-'V06 Calend 01'!C35),6)=0),(((31-'V06 Calend 01'!C35)/6)&lt;='V06 Calend 01'!E35)),IF((31=('V06 Calend 01'!C35+(6*'V06 Calend 01'!E35))),('V06 Calend 01'!H35-('V06 Calend 01'!I35*('V06 Calend 01'!E35-1))),'V06 Calend 01'!I35),0))+IF((31='V06 Calend 01'!D35),'V06 Calend 01'!J35,0))</f>
        <v>0</v>
      </c>
      <c r="AR35" s="2">
        <f>((IF((32='V06 Calend 01'!C35),('V06 Calend 01'!F35+'V06 Calend 01'!G35),0)+IF(AND(('V06 Calend 01'!E35&gt;0),(32&gt;'V06 Calend 01'!C35),(32&lt;'V06 Calend 01'!D35),(MOD((32-'V06 Calend 01'!C35),6)=0),(((32-'V06 Calend 01'!C35)/6)&lt;='V06 Calend 01'!E35)),IF((32=('V06 Calend 01'!C35+(6*'V06 Calend 01'!E35))),('V06 Calend 01'!H35-('V06 Calend 01'!I35*('V06 Calend 01'!E35-1))),'V06 Calend 01'!I35),0))+IF((32='V06 Calend 01'!D35),'V06 Calend 01'!J35,0))</f>
        <v>0</v>
      </c>
      <c r="AS35" s="2">
        <f>((IF((33='V06 Calend 01'!C35),('V06 Calend 01'!F35+'V06 Calend 01'!G35),0)+IF(AND(('V06 Calend 01'!E35&gt;0),(33&gt;'V06 Calend 01'!C35),(33&lt;'V06 Calend 01'!D35),(MOD((33-'V06 Calend 01'!C35),6)=0),(((33-'V06 Calend 01'!C35)/6)&lt;='V06 Calend 01'!E35)),IF((33=('V06 Calend 01'!C35+(6*'V06 Calend 01'!E35))),('V06 Calend 01'!H35-('V06 Calend 01'!I35*('V06 Calend 01'!E35-1))),'V06 Calend 01'!I35),0))+IF((33='V06 Calend 01'!D35),'V06 Calend 01'!J35,0))</f>
        <v>0</v>
      </c>
      <c r="AT35" s="2">
        <f>((IF((34='V06 Calend 01'!C35),('V06 Calend 01'!F35+'V06 Calend 01'!G35),0)+IF(AND(('V06 Calend 01'!E35&gt;0),(34&gt;'V06 Calend 01'!C35),(34&lt;'V06 Calend 01'!D35),(MOD((34-'V06 Calend 01'!C35),6)=0),(((34-'V06 Calend 01'!C35)/6)&lt;='V06 Calend 01'!E35)),IF((34=('V06 Calend 01'!C35+(6*'V06 Calend 01'!E35))),('V06 Calend 01'!H35-('V06 Calend 01'!I35*('V06 Calend 01'!E35-1))),'V06 Calend 01'!I35),0))+IF((34='V06 Calend 01'!D35),'V06 Calend 01'!J35,0))</f>
        <v>0</v>
      </c>
      <c r="AU35" s="2">
        <f>((IF((35='V06 Calend 01'!C35),('V06 Calend 01'!F35+'V06 Calend 01'!G35),0)+IF(AND(('V06 Calend 01'!E35&gt;0),(35&gt;'V06 Calend 01'!C35),(35&lt;'V06 Calend 01'!D35),(MOD((35-'V06 Calend 01'!C35),6)=0),(((35-'V06 Calend 01'!C35)/6)&lt;='V06 Calend 01'!E35)),IF((35=('V06 Calend 01'!C35+(6*'V06 Calend 01'!E35))),('V06 Calend 01'!H35-('V06 Calend 01'!I35*('V06 Calend 01'!E35-1))),'V06 Calend 01'!I35),0))+IF((35='V06 Calend 01'!D35),'V06 Calend 01'!J35,0))</f>
        <v>0</v>
      </c>
      <c r="AV35" s="2">
        <f>((IF((36='V06 Calend 01'!C35),('V06 Calend 01'!F35+'V06 Calend 01'!G35),0)+IF(AND(('V06 Calend 01'!E35&gt;0),(36&gt;'V06 Calend 01'!C35),(36&lt;'V06 Calend 01'!D35),(MOD((36-'V06 Calend 01'!C35),6)=0),(((36-'V06 Calend 01'!C35)/6)&lt;='V06 Calend 01'!E35)),IF((36=('V06 Calend 01'!C35+(6*'V06 Calend 01'!E35))),('V06 Calend 01'!H35-('V06 Calend 01'!I35*('V06 Calend 01'!E35-1))),'V06 Calend 01'!I35),0))+IF((36='V06 Calend 01'!D35),'V06 Calend 01'!J35,0))</f>
        <v>0</v>
      </c>
      <c r="AW35" s="2">
        <f>((IF((37='V06 Calend 01'!C35),('V06 Calend 01'!F35+'V06 Calend 01'!G35),0)+IF(AND(('V06 Calend 01'!E35&gt;0),(37&gt;'V06 Calend 01'!C35),(37&lt;'V06 Calend 01'!D35),(MOD((37-'V06 Calend 01'!C35),6)=0),(((37-'V06 Calend 01'!C35)/6)&lt;='V06 Calend 01'!E35)),IF((37=('V06 Calend 01'!C35+(6*'V06 Calend 01'!E35))),('V06 Calend 01'!H35-('V06 Calend 01'!I35*('V06 Calend 01'!E35-1))),'V06 Calend 01'!I35),0))+IF((37='V06 Calend 01'!D35),'V06 Calend 01'!J35,0))</f>
        <v>0</v>
      </c>
      <c r="AX35" s="2">
        <f>((IF((38='V06 Calend 01'!C35),('V06 Calend 01'!F35+'V06 Calend 01'!G35),0)+IF(AND(('V06 Calend 01'!E35&gt;0),(38&gt;'V06 Calend 01'!C35),(38&lt;'V06 Calend 01'!D35),(MOD((38-'V06 Calend 01'!C35),6)=0),(((38-'V06 Calend 01'!C35)/6)&lt;='V06 Calend 01'!E35)),IF((38=('V06 Calend 01'!C35+(6*'V06 Calend 01'!E35))),('V06 Calend 01'!H35-('V06 Calend 01'!I35*('V06 Calend 01'!E35-1))),'V06 Calend 01'!I35),0))+IF((38='V06 Calend 01'!D35),'V06 Calend 01'!J35,0))</f>
        <v>0</v>
      </c>
      <c r="AY35" s="2">
        <f>((IF((39='V06 Calend 01'!C35),('V06 Calend 01'!F35+'V06 Calend 01'!G35),0)+IF(AND(('V06 Calend 01'!E35&gt;0),(39&gt;'V06 Calend 01'!C35),(39&lt;'V06 Calend 01'!D35),(MOD((39-'V06 Calend 01'!C35),6)=0),(((39-'V06 Calend 01'!C35)/6)&lt;='V06 Calend 01'!E35)),IF((39=('V06 Calend 01'!C35+(6*'V06 Calend 01'!E35))),('V06 Calend 01'!H35-('V06 Calend 01'!I35*('V06 Calend 01'!E35-1))),'V06 Calend 01'!I35),0))+IF((39='V06 Calend 01'!D35),'V06 Calend 01'!J35,0))</f>
        <v>0</v>
      </c>
      <c r="AZ35" s="2">
        <f>((IF((40='V06 Calend 01'!C35),('V06 Calend 01'!F35+'V06 Calend 01'!G35),0)+IF(AND(('V06 Calend 01'!E35&gt;0),(40&gt;'V06 Calend 01'!C35),(40&lt;'V06 Calend 01'!D35),(MOD((40-'V06 Calend 01'!C35),6)=0),(((40-'V06 Calend 01'!C35)/6)&lt;='V06 Calend 01'!E35)),IF((40=('V06 Calend 01'!C35+(6*'V06 Calend 01'!E35))),('V06 Calend 01'!H35-('V06 Calend 01'!I35*('V06 Calend 01'!E35-1))),'V06 Calend 01'!I35),0))+IF((40='V06 Calend 01'!D35),'V06 Calend 01'!J35,0))</f>
        <v>0</v>
      </c>
      <c r="BA35" s="2">
        <f>((IF((41='V06 Calend 01'!C35),('V06 Calend 01'!F35+'V06 Calend 01'!G35),0)+IF(AND(('V06 Calend 01'!E35&gt;0),(41&gt;'V06 Calend 01'!C35),(41&lt;'V06 Calend 01'!D35),(MOD((41-'V06 Calend 01'!C35),6)=0),(((41-'V06 Calend 01'!C35)/6)&lt;='V06 Calend 01'!E35)),IF((41=('V06 Calend 01'!C35+(6*'V06 Calend 01'!E35))),('V06 Calend 01'!H35-('V06 Calend 01'!I35*('V06 Calend 01'!E35-1))),'V06 Calend 01'!I35),0))+IF((41='V06 Calend 01'!D35),'V06 Calend 01'!J35,0))</f>
        <v>0</v>
      </c>
      <c r="BB35" s="2">
        <f>((IF((42='V06 Calend 01'!C35),('V06 Calend 01'!F35+'V06 Calend 01'!G35),0)+IF(AND(('V06 Calend 01'!E35&gt;0),(42&gt;'V06 Calend 01'!C35),(42&lt;'V06 Calend 01'!D35),(MOD((42-'V06 Calend 01'!C35),6)=0),(((42-'V06 Calend 01'!C35)/6)&lt;='V06 Calend 01'!E35)),IF((42=('V06 Calend 01'!C35+(6*'V06 Calend 01'!E35))),('V06 Calend 01'!H35-('V06 Calend 01'!I35*('V06 Calend 01'!E35-1))),'V06 Calend 01'!I35),0))+IF((42='V06 Calend 01'!D35),'V06 Calend 01'!J35,0))</f>
        <v>0</v>
      </c>
      <c r="BC35" s="2">
        <f>((IF((43='V06 Calend 01'!C35),('V06 Calend 01'!F35+'V06 Calend 01'!G35),0)+IF(AND(('V06 Calend 01'!E35&gt;0),(43&gt;'V06 Calend 01'!C35),(43&lt;'V06 Calend 01'!D35),(MOD((43-'V06 Calend 01'!C35),6)=0),(((43-'V06 Calend 01'!C35)/6)&lt;='V06 Calend 01'!E35)),IF((43=('V06 Calend 01'!C35+(6*'V06 Calend 01'!E35))),('V06 Calend 01'!H35-('V06 Calend 01'!I35*('V06 Calend 01'!E35-1))),'V06 Calend 01'!I35),0))+IF((43='V06 Calend 01'!D35),'V06 Calend 01'!J35,0))</f>
        <v>0</v>
      </c>
      <c r="BD35" s="2">
        <f>((IF((44='V06 Calend 01'!C35),('V06 Calend 01'!F35+'V06 Calend 01'!G35),0)+IF(AND(('V06 Calend 01'!E35&gt;0),(44&gt;'V06 Calend 01'!C35),(44&lt;'V06 Calend 01'!D35),(MOD((44-'V06 Calend 01'!C35),6)=0),(((44-'V06 Calend 01'!C35)/6)&lt;='V06 Calend 01'!E35)),IF((44=('V06 Calend 01'!C35+(6*'V06 Calend 01'!E35))),('V06 Calend 01'!H35-('V06 Calend 01'!I35*('V06 Calend 01'!E35-1))),'V06 Calend 01'!I35),0))+IF((44='V06 Calend 01'!D35),'V06 Calend 01'!J35,0))</f>
        <v>0</v>
      </c>
      <c r="BE35" s="2">
        <f>((IF((45='V06 Calend 01'!C35),('V06 Calend 01'!F35+'V06 Calend 01'!G35),0)+IF(AND(('V06 Calend 01'!E35&gt;0),(45&gt;'V06 Calend 01'!C35),(45&lt;'V06 Calend 01'!D35),(MOD((45-'V06 Calend 01'!C35),6)=0),(((45-'V06 Calend 01'!C35)/6)&lt;='V06 Calend 01'!E35)),IF((45=('V06 Calend 01'!C35+(6*'V06 Calend 01'!E35))),('V06 Calend 01'!H35-('V06 Calend 01'!I35*('V06 Calend 01'!E35-1))),'V06 Calend 01'!I35),0))+IF((45='V06 Calend 01'!D35),'V06 Calend 01'!J35,0))</f>
        <v>0</v>
      </c>
      <c r="BF35" s="2">
        <f>((IF((46='V06 Calend 01'!C35),('V06 Calend 01'!F35+'V06 Calend 01'!G35),0)+IF(AND(('V06 Calend 01'!E35&gt;0),(46&gt;'V06 Calend 01'!C35),(46&lt;'V06 Calend 01'!D35),(MOD((46-'V06 Calend 01'!C35),6)=0),(((46-'V06 Calend 01'!C35)/6)&lt;='V06 Calend 01'!E35)),IF((46=('V06 Calend 01'!C35+(6*'V06 Calend 01'!E35))),('V06 Calend 01'!H35-('V06 Calend 01'!I35*('V06 Calend 01'!E35-1))),'V06 Calend 01'!I35),0))+IF((46='V06 Calend 01'!D35),'V06 Calend 01'!J35,0))</f>
        <v>0</v>
      </c>
      <c r="BG35" s="2">
        <f>((IF((47='V06 Calend 01'!C35),('V06 Calend 01'!F35+'V06 Calend 01'!G35),0)+IF(AND(('V06 Calend 01'!E35&gt;0),(47&gt;'V06 Calend 01'!C35),(47&lt;'V06 Calend 01'!D35),(MOD((47-'V06 Calend 01'!C35),6)=0),(((47-'V06 Calend 01'!C35)/6)&lt;='V06 Calend 01'!E35)),IF((47=('V06 Calend 01'!C35+(6*'V06 Calend 01'!E35))),('V06 Calend 01'!H35-('V06 Calend 01'!I35*('V06 Calend 01'!E35-1))),'V06 Calend 01'!I35),0))+IF((47='V06 Calend 01'!D35),'V06 Calend 01'!J35,0))</f>
        <v>0</v>
      </c>
      <c r="BH35" s="2">
        <f>((IF((48='V06 Calend 01'!C35),('V06 Calend 01'!F35+'V06 Calend 01'!G35),0)+IF(AND(('V06 Calend 01'!E35&gt;0),(48&gt;'V06 Calend 01'!C35),(48&lt;'V06 Calend 01'!D35),(MOD((48-'V06 Calend 01'!C35),6)=0),(((48-'V06 Calend 01'!C35)/6)&lt;='V06 Calend 01'!E35)),IF((48=('V06 Calend 01'!C35+(6*'V06 Calend 01'!E35))),('V06 Calend 01'!H35-('V06 Calend 01'!I35*('V06 Calend 01'!E35-1))),'V06 Calend 01'!I35),0))+IF((48='V06 Calend 01'!D35),'V06 Calend 01'!J35,0))</f>
        <v>0</v>
      </c>
      <c r="BI35" s="2">
        <f>((IF((49='V06 Calend 01'!C35),('V06 Calend 01'!F35+'V06 Calend 01'!G35),0)+IF(AND(('V06 Calend 01'!E35&gt;0),(49&gt;'V06 Calend 01'!C35),(49&lt;'V06 Calend 01'!D35),(MOD((49-'V06 Calend 01'!C35),6)=0),(((49-'V06 Calend 01'!C35)/6)&lt;='V06 Calend 01'!E35)),IF((49=('V06 Calend 01'!C35+(6*'V06 Calend 01'!E35))),('V06 Calend 01'!H35-('V06 Calend 01'!I35*('V06 Calend 01'!E35-1))),'V06 Calend 01'!I35),0))+IF((49='V06 Calend 01'!D35),'V06 Calend 01'!J35,0))</f>
        <v>0</v>
      </c>
      <c r="BJ35" s="2">
        <f>((IF((50='V06 Calend 01'!C35),('V06 Calend 01'!F35+'V06 Calend 01'!G35),0)+IF(AND(('V06 Calend 01'!E35&gt;0),(50&gt;'V06 Calend 01'!C35),(50&lt;'V06 Calend 01'!D35),(MOD((50-'V06 Calend 01'!C35),6)=0),(((50-'V06 Calend 01'!C35)/6)&lt;='V06 Calend 01'!E35)),IF((50=('V06 Calend 01'!C35+(6*'V06 Calend 01'!E35))),('V06 Calend 01'!H35-('V06 Calend 01'!I35*('V06 Calend 01'!E35-1))),'V06 Calend 01'!I35),0))+IF((50='V06 Calend 01'!D35),'V06 Calend 01'!J35,0))</f>
        <v>0</v>
      </c>
      <c r="BK35" s="2">
        <f>((IF((51='V06 Calend 01'!C35),('V06 Calend 01'!F35+'V06 Calend 01'!G35),0)+IF(AND(('V06 Calend 01'!E35&gt;0),(51&gt;'V06 Calend 01'!C35),(51&lt;'V06 Calend 01'!D35),(MOD((51-'V06 Calend 01'!C35),6)=0),(((51-'V06 Calend 01'!C35)/6)&lt;='V06 Calend 01'!E35)),IF((51=('V06 Calend 01'!C35+(6*'V06 Calend 01'!E35))),('V06 Calend 01'!H35-('V06 Calend 01'!I35*('V06 Calend 01'!E35-1))),'V06 Calend 01'!I35),0))+IF((51='V06 Calend 01'!D35),'V06 Calend 01'!J35,0))</f>
        <v>0</v>
      </c>
      <c r="BL35" s="2">
        <f>((IF((52='V06 Calend 01'!C35),('V06 Calend 01'!F35+'V06 Calend 01'!G35),0)+IF(AND(('V06 Calend 01'!E35&gt;0),(52&gt;'V06 Calend 01'!C35),(52&lt;'V06 Calend 01'!D35),(MOD((52-'V06 Calend 01'!C35),6)=0),(((52-'V06 Calend 01'!C35)/6)&lt;='V06 Calend 01'!E35)),IF((52=('V06 Calend 01'!C35+(6*'V06 Calend 01'!E35))),('V06 Calend 01'!H35-('V06 Calend 01'!I35*('V06 Calend 01'!E35-1))),'V06 Calend 01'!I35),0))+IF((52='V06 Calend 01'!D35),'V06 Calend 01'!J35,0))</f>
        <v>0</v>
      </c>
      <c r="BM35" s="2">
        <f>((IF((53='V06 Calend 01'!C35),('V06 Calend 01'!F35+'V06 Calend 01'!G35),0)+IF(AND(('V06 Calend 01'!E35&gt;0),(53&gt;'V06 Calend 01'!C35),(53&lt;'V06 Calend 01'!D35),(MOD((53-'V06 Calend 01'!C35),6)=0),(((53-'V06 Calend 01'!C35)/6)&lt;='V06 Calend 01'!E35)),IF((53=('V06 Calend 01'!C35+(6*'V06 Calend 01'!E35))),('V06 Calend 01'!H35-('V06 Calend 01'!I35*('V06 Calend 01'!E35-1))),'V06 Calend 01'!I35),0))+IF((53='V06 Calend 01'!D35),'V06 Calend 01'!J35,0))</f>
        <v>0</v>
      </c>
      <c r="BN35" s="2">
        <f>((IF((54='V06 Calend 01'!C35),('V06 Calend 01'!F35+'V06 Calend 01'!G35),0)+IF(AND(('V06 Calend 01'!E35&gt;0),(54&gt;'V06 Calend 01'!C35),(54&lt;'V06 Calend 01'!D35),(MOD((54-'V06 Calend 01'!C35),6)=0),(((54-'V06 Calend 01'!C35)/6)&lt;='V06 Calend 01'!E35)),IF((54=('V06 Calend 01'!C35+(6*'V06 Calend 01'!E35))),('V06 Calend 01'!H35-('V06 Calend 01'!I35*('V06 Calend 01'!E35-1))),'V06 Calend 01'!I35),0))+IF((54='V06 Calend 01'!D35),'V06 Calend 01'!J35,0))</f>
        <v>0</v>
      </c>
      <c r="BO35" s="2">
        <f>((IF((55='V06 Calend 01'!C35),('V06 Calend 01'!F35+'V06 Calend 01'!G35),0)+IF(AND(('V06 Calend 01'!E35&gt;0),(55&gt;'V06 Calend 01'!C35),(55&lt;'V06 Calend 01'!D35),(MOD((55-'V06 Calend 01'!C35),6)=0),(((55-'V06 Calend 01'!C35)/6)&lt;='V06 Calend 01'!E35)),IF((55=('V06 Calend 01'!C35+(6*'V06 Calend 01'!E35))),('V06 Calend 01'!H35-('V06 Calend 01'!I35*('V06 Calend 01'!E35-1))),'V06 Calend 01'!I35),0))+IF((55='V06 Calend 01'!D35),'V06 Calend 01'!J35,0))</f>
        <v>0</v>
      </c>
      <c r="BP35" s="2">
        <f>((IF((56='V06 Calend 01'!C35),('V06 Calend 01'!F35+'V06 Calend 01'!G35),0)+IF(AND(('V06 Calend 01'!E35&gt;0),(56&gt;'V06 Calend 01'!C35),(56&lt;'V06 Calend 01'!D35),(MOD((56-'V06 Calend 01'!C35),6)=0),(((56-'V06 Calend 01'!C35)/6)&lt;='V06 Calend 01'!E35)),IF((56=('V06 Calend 01'!C35+(6*'V06 Calend 01'!E35))),('V06 Calend 01'!H35-('V06 Calend 01'!I35*('V06 Calend 01'!E35-1))),'V06 Calend 01'!I35),0))+IF((56='V06 Calend 01'!D35),'V06 Calend 01'!J35,0))</f>
        <v>0</v>
      </c>
      <c r="BQ35" s="2">
        <f>((IF((57='V06 Calend 01'!C35),('V06 Calend 01'!F35+'V06 Calend 01'!G35),0)+IF(AND(('V06 Calend 01'!E35&gt;0),(57&gt;'V06 Calend 01'!C35),(57&lt;'V06 Calend 01'!D35),(MOD((57-'V06 Calend 01'!C35),6)=0),(((57-'V06 Calend 01'!C35)/6)&lt;='V06 Calend 01'!E35)),IF((57=('V06 Calend 01'!C35+(6*'V06 Calend 01'!E35))),('V06 Calend 01'!H35-('V06 Calend 01'!I35*('V06 Calend 01'!E35-1))),'V06 Calend 01'!I35),0))+IF((57='V06 Calend 01'!D35),'V06 Calend 01'!J35,0))</f>
        <v>0</v>
      </c>
      <c r="BR35" s="2">
        <f>((IF((58='V06 Calend 01'!C35),('V06 Calend 01'!F35+'V06 Calend 01'!G35),0)+IF(AND(('V06 Calend 01'!E35&gt;0),(58&gt;'V06 Calend 01'!C35),(58&lt;'V06 Calend 01'!D35),(MOD((58-'V06 Calend 01'!C35),6)=0),(((58-'V06 Calend 01'!C35)/6)&lt;='V06 Calend 01'!E35)),IF((58=('V06 Calend 01'!C35+(6*'V06 Calend 01'!E35))),('V06 Calend 01'!H35-('V06 Calend 01'!I35*('V06 Calend 01'!E35-1))),'V06 Calend 01'!I35),0))+IF((58='V06 Calend 01'!D35),'V06 Calend 01'!J35,0))</f>
        <v>0</v>
      </c>
      <c r="BS35" s="2">
        <f>((IF((59='V06 Calend 01'!C35),('V06 Calend 01'!F35+'V06 Calend 01'!G35),0)+IF(AND(('V06 Calend 01'!E35&gt;0),(59&gt;'V06 Calend 01'!C35),(59&lt;'V06 Calend 01'!D35),(MOD((59-'V06 Calend 01'!C35),6)=0),(((59-'V06 Calend 01'!C35)/6)&lt;='V06 Calend 01'!E35)),IF((59=('V06 Calend 01'!C35+(6*'V06 Calend 01'!E35))),('V06 Calend 01'!H35-('V06 Calend 01'!I35*('V06 Calend 01'!E35-1))),'V06 Calend 01'!I35),0))+IF((59='V06 Calend 01'!D35),'V06 Calend 01'!J35,0))</f>
        <v>0</v>
      </c>
      <c r="BT35" s="2">
        <f>((IF((60='V06 Calend 01'!C35),('V06 Calend 01'!F35+'V06 Calend 01'!G35),0)+IF(AND(('V06 Calend 01'!E35&gt;0),(60&gt;'V06 Calend 01'!C35),(60&lt;'V06 Calend 01'!D35),(MOD((60-'V06 Calend 01'!C35),6)=0),(((60-'V06 Calend 01'!C35)/6)&lt;='V06 Calend 01'!E35)),IF((60=('V06 Calend 01'!C35+(6*'V06 Calend 01'!E35))),('V06 Calend 01'!H35-('V06 Calend 01'!I35*('V06 Calend 01'!E35-1))),'V06 Calend 01'!I35),0))+IF((60='V06 Calend 01'!D35),'V06 Calend 01'!J35,0))</f>
        <v>0</v>
      </c>
      <c r="BU35" s="2">
        <f>((IF((61='V06 Calend 01'!C35),('V06 Calend 01'!F35+'V06 Calend 01'!G35),0)+IF(AND(('V06 Calend 01'!E35&gt;0),(61&gt;'V06 Calend 01'!C35),(61&lt;'V06 Calend 01'!D35),(MOD((61-'V06 Calend 01'!C35),6)=0),(((61-'V06 Calend 01'!C35)/6)&lt;='V06 Calend 01'!E35)),IF((61=('V06 Calend 01'!C35+(6*'V06 Calend 01'!E35))),('V06 Calend 01'!H35-('V06 Calend 01'!I35*('V06 Calend 01'!E35-1))),'V06 Calend 01'!I35),0))+IF((61='V06 Calend 01'!D35),'V06 Calend 01'!J35,0))</f>
        <v>0</v>
      </c>
      <c r="BV35" s="2">
        <f>((IF((62='V06 Calend 01'!C35),('V06 Calend 01'!F35+'V06 Calend 01'!G35),0)+IF(AND(('V06 Calend 01'!E35&gt;0),(62&gt;'V06 Calend 01'!C35),(62&lt;'V06 Calend 01'!D35),(MOD((62-'V06 Calend 01'!C35),6)=0),(((62-'V06 Calend 01'!C35)/6)&lt;='V06 Calend 01'!E35)),IF((62=('V06 Calend 01'!C35+(6*'V06 Calend 01'!E35))),('V06 Calend 01'!H35-('V06 Calend 01'!I35*('V06 Calend 01'!E35-1))),'V06 Calend 01'!I35),0))+IF((62='V06 Calend 01'!D35),'V06 Calend 01'!J35,0))</f>
        <v>0</v>
      </c>
      <c r="BW35" s="2">
        <f>((IF((63='V06 Calend 01'!C35),('V06 Calend 01'!F35+'V06 Calend 01'!G35),0)+IF(AND(('V06 Calend 01'!E35&gt;0),(63&gt;'V06 Calend 01'!C35),(63&lt;'V06 Calend 01'!D35),(MOD((63-'V06 Calend 01'!C35),6)=0),(((63-'V06 Calend 01'!C35)/6)&lt;='V06 Calend 01'!E35)),IF((63=('V06 Calend 01'!C35+(6*'V06 Calend 01'!E35))),('V06 Calend 01'!H35-('V06 Calend 01'!I35*('V06 Calend 01'!E35-1))),'V06 Calend 01'!I35),0))+IF((63='V06 Calend 01'!D35),'V06 Calend 01'!J35,0))</f>
        <v>0</v>
      </c>
      <c r="BX35" s="2">
        <f>((IF((64='V06 Calend 01'!C35),('V06 Calend 01'!F35+'V06 Calend 01'!G35),0)+IF(AND(('V06 Calend 01'!E35&gt;0),(64&gt;'V06 Calend 01'!C35),(64&lt;'V06 Calend 01'!D35),(MOD((64-'V06 Calend 01'!C35),6)=0),(((64-'V06 Calend 01'!C35)/6)&lt;='V06 Calend 01'!E35)),IF((64=('V06 Calend 01'!C35+(6*'V06 Calend 01'!E35))),('V06 Calend 01'!H35-('V06 Calend 01'!I35*('V06 Calend 01'!E35-1))),'V06 Calend 01'!I35),0))+IF((64='V06 Calend 01'!D35),'V06 Calend 01'!J35,0))</f>
        <v>0</v>
      </c>
      <c r="BY35" s="2">
        <f>((IF((65='V06 Calend 01'!C35),('V06 Calend 01'!F35+'V06 Calend 01'!G35),0)+IF(AND(('V06 Calend 01'!E35&gt;0),(65&gt;'V06 Calend 01'!C35),(65&lt;'V06 Calend 01'!D35),(MOD((65-'V06 Calend 01'!C35),6)=0),(((65-'V06 Calend 01'!C35)/6)&lt;='V06 Calend 01'!E35)),IF((65=('V06 Calend 01'!C35+(6*'V06 Calend 01'!E35))),('V06 Calend 01'!H35-('V06 Calend 01'!I35*('V06 Calend 01'!E35-1))),'V06 Calend 01'!I35),0))+IF((65='V06 Calend 01'!D35),'V06 Calend 01'!J35,0))</f>
        <v>0</v>
      </c>
      <c r="BZ35" s="2">
        <f>((IF((66='V06 Calend 01'!C35),('V06 Calend 01'!F35+'V06 Calend 01'!G35),0)+IF(AND(('V06 Calend 01'!E35&gt;0),(66&gt;'V06 Calend 01'!C35),(66&lt;'V06 Calend 01'!D35),(MOD((66-'V06 Calend 01'!C35),6)=0),(((66-'V06 Calend 01'!C35)/6)&lt;='V06 Calend 01'!E35)),IF((66=('V06 Calend 01'!C35+(6*'V06 Calend 01'!E35))),('V06 Calend 01'!H35-('V06 Calend 01'!I35*('V06 Calend 01'!E35-1))),'V06 Calend 01'!I35),0))+IF((66='V06 Calend 01'!D35),'V06 Calend 01'!J35,0))</f>
        <v>0</v>
      </c>
      <c r="CA35" s="2">
        <f>((IF((67='V06 Calend 01'!C35),('V06 Calend 01'!F35+'V06 Calend 01'!G35),0)+IF(AND(('V06 Calend 01'!E35&gt;0),(67&gt;'V06 Calend 01'!C35),(67&lt;'V06 Calend 01'!D35),(MOD((67-'V06 Calend 01'!C35),6)=0),(((67-'V06 Calend 01'!C35)/6)&lt;='V06 Calend 01'!E35)),IF((67=('V06 Calend 01'!C35+(6*'V06 Calend 01'!E35))),('V06 Calend 01'!H35-('V06 Calend 01'!I35*('V06 Calend 01'!E35-1))),'V06 Calend 01'!I35),0))+IF((67='V06 Calend 01'!D35),'V06 Calend 01'!J35,0))</f>
        <v>0</v>
      </c>
      <c r="CB35" s="2">
        <f>((IF((68='V06 Calend 01'!C35),('V06 Calend 01'!F35+'V06 Calend 01'!G35),0)+IF(AND(('V06 Calend 01'!E35&gt;0),(68&gt;'V06 Calend 01'!C35),(68&lt;'V06 Calend 01'!D35),(MOD((68-'V06 Calend 01'!C35),6)=0),(((68-'V06 Calend 01'!C35)/6)&lt;='V06 Calend 01'!E35)),IF((68=('V06 Calend 01'!C35+(6*'V06 Calend 01'!E35))),('V06 Calend 01'!H35-('V06 Calend 01'!I35*('V06 Calend 01'!E35-1))),'V06 Calend 01'!I35),0))+IF((68='V06 Calend 01'!D35),'V06 Calend 01'!J35,0))</f>
        <v>0</v>
      </c>
      <c r="CC35" s="2">
        <f>((IF((69='V06 Calend 01'!C35),('V06 Calend 01'!F35+'V06 Calend 01'!G35),0)+IF(AND(('V06 Calend 01'!E35&gt;0),(69&gt;'V06 Calend 01'!C35),(69&lt;'V06 Calend 01'!D35),(MOD((69-'V06 Calend 01'!C35),6)=0),(((69-'V06 Calend 01'!C35)/6)&lt;='V06 Calend 01'!E35)),IF((69=('V06 Calend 01'!C35+(6*'V06 Calend 01'!E35))),('V06 Calend 01'!H35-('V06 Calend 01'!I35*('V06 Calend 01'!E35-1))),'V06 Calend 01'!I35),0))+IF((69='V06 Calend 01'!D35),'V06 Calend 01'!J35,0))</f>
        <v>0</v>
      </c>
      <c r="CD35" s="2">
        <f>((IF((70='V06 Calend 01'!C35),('V06 Calend 01'!F35+'V06 Calend 01'!G35),0)+IF(AND(('V06 Calend 01'!E35&gt;0),(70&gt;'V06 Calend 01'!C35),(70&lt;'V06 Calend 01'!D35),(MOD((70-'V06 Calend 01'!C35),6)=0),(((70-'V06 Calend 01'!C35)/6)&lt;='V06 Calend 01'!E35)),IF((70=('V06 Calend 01'!C35+(6*'V06 Calend 01'!E35))),('V06 Calend 01'!H35-('V06 Calend 01'!I35*('V06 Calend 01'!E35-1))),'V06 Calend 01'!I35),0))+IF((70='V06 Calend 01'!D35),'V06 Calend 01'!J35,0))</f>
        <v>0</v>
      </c>
      <c r="CE35" s="2">
        <f>((IF((71='V06 Calend 01'!C35),('V06 Calend 01'!F35+'V06 Calend 01'!G35),0)+IF(AND(('V06 Calend 01'!E35&gt;0),(71&gt;'V06 Calend 01'!C35),(71&lt;'V06 Calend 01'!D35),(MOD((71-'V06 Calend 01'!C35),6)=0),(((71-'V06 Calend 01'!C35)/6)&lt;='V06 Calend 01'!E35)),IF((71=('V06 Calend 01'!C35+(6*'V06 Calend 01'!E35))),('V06 Calend 01'!H35-('V06 Calend 01'!I35*('V06 Calend 01'!E35-1))),'V06 Calend 01'!I35),0))+IF((71='V06 Calend 01'!D35),'V06 Calend 01'!J35,0))</f>
        <v>0</v>
      </c>
      <c r="CF35" s="2">
        <f>((IF((72='V06 Calend 01'!C35),('V06 Calend 01'!F35+'V06 Calend 01'!G35),0)+IF(AND(('V06 Calend 01'!E35&gt;0),(72&gt;'V06 Calend 01'!C35),(72&lt;'V06 Calend 01'!D35),(MOD((72-'V06 Calend 01'!C35),6)=0),(((72-'V06 Calend 01'!C35)/6)&lt;='V06 Calend 01'!E35)),IF((72=('V06 Calend 01'!C35+(6*'V06 Calend 01'!E35))),('V06 Calend 01'!H35-('V06 Calend 01'!I35*('V06 Calend 01'!E35-1))),'V06 Calend 01'!I35),0))+IF((72='V06 Calend 01'!D35),'V06 Calend 01'!J35,0))</f>
        <v>0</v>
      </c>
      <c r="CG35" s="2">
        <f>((IF((73='V06 Calend 01'!C35),('V06 Calend 01'!F35+'V06 Calend 01'!G35),0)+IF(AND(('V06 Calend 01'!E35&gt;0),(73&gt;'V06 Calend 01'!C35),(73&lt;'V06 Calend 01'!D35),(MOD((73-'V06 Calend 01'!C35),6)=0),(((73-'V06 Calend 01'!C35)/6)&lt;='V06 Calend 01'!E35)),IF((73=('V06 Calend 01'!C35+(6*'V06 Calend 01'!E35))),('V06 Calend 01'!H35-('V06 Calend 01'!I35*('V06 Calend 01'!E35-1))),'V06 Calend 01'!I35),0))+IF((73='V06 Calend 01'!D35),'V06 Calend 01'!J35,0))</f>
        <v>0</v>
      </c>
      <c r="CH35" s="2">
        <f>((IF((74='V06 Calend 01'!C35),('V06 Calend 01'!F35+'V06 Calend 01'!G35),0)+IF(AND(('V06 Calend 01'!E35&gt;0),(74&gt;'V06 Calend 01'!C35),(74&lt;'V06 Calend 01'!D35),(MOD((74-'V06 Calend 01'!C35),6)=0),(((74-'V06 Calend 01'!C35)/6)&lt;='V06 Calend 01'!E35)),IF((74=('V06 Calend 01'!C35+(6*'V06 Calend 01'!E35))),('V06 Calend 01'!H35-('V06 Calend 01'!I35*('V06 Calend 01'!E35-1))),'V06 Calend 01'!I35),0))+IF((74='V06 Calend 01'!D35),'V06 Calend 01'!J35,0))</f>
        <v>0</v>
      </c>
      <c r="CI35" s="2">
        <f>((IF((75='V06 Calend 01'!C35),('V06 Calend 01'!F35+'V06 Calend 01'!G35),0)+IF(AND(('V06 Calend 01'!E35&gt;0),(75&gt;'V06 Calend 01'!C35),(75&lt;'V06 Calend 01'!D35),(MOD((75-'V06 Calend 01'!C35),6)=0),(((75-'V06 Calend 01'!C35)/6)&lt;='V06 Calend 01'!E35)),IF((75=('V06 Calend 01'!C35+(6*'V06 Calend 01'!E35))),('V06 Calend 01'!H35-('V06 Calend 01'!I35*('V06 Calend 01'!E35-1))),'V06 Calend 01'!I35),0))+IF((75='V06 Calend 01'!D35),'V06 Calend 01'!J35,0))</f>
        <v>0</v>
      </c>
      <c r="CJ35" s="2">
        <f>((IF((76='V06 Calend 01'!C35),('V06 Calend 01'!F35+'V06 Calend 01'!G35),0)+IF(AND(('V06 Calend 01'!E35&gt;0),(76&gt;'V06 Calend 01'!C35),(76&lt;'V06 Calend 01'!D35),(MOD((76-'V06 Calend 01'!C35),6)=0),(((76-'V06 Calend 01'!C35)/6)&lt;='V06 Calend 01'!E35)),IF((76=('V06 Calend 01'!C35+(6*'V06 Calend 01'!E35))),('V06 Calend 01'!H35-('V06 Calend 01'!I35*('V06 Calend 01'!E35-1))),'V06 Calend 01'!I35),0))+IF((76='V06 Calend 01'!D35),'V06 Calend 01'!J35,0))</f>
        <v>0</v>
      </c>
      <c r="CK35" s="2">
        <f>((IF((77='V06 Calend 01'!C35),('V06 Calend 01'!F35+'V06 Calend 01'!G35),0)+IF(AND(('V06 Calend 01'!E35&gt;0),(77&gt;'V06 Calend 01'!C35),(77&lt;'V06 Calend 01'!D35),(MOD((77-'V06 Calend 01'!C35),6)=0),(((77-'V06 Calend 01'!C35)/6)&lt;='V06 Calend 01'!E35)),IF((77=('V06 Calend 01'!C35+(6*'V06 Calend 01'!E35))),('V06 Calend 01'!H35-('V06 Calend 01'!I35*('V06 Calend 01'!E35-1))),'V06 Calend 01'!I35),0))+IF((77='V06 Calend 01'!D35),'V06 Calend 01'!J35,0))</f>
        <v>0</v>
      </c>
      <c r="CL35" s="2">
        <f>((IF((78='V06 Calend 01'!C35),('V06 Calend 01'!F35+'V06 Calend 01'!G35),0)+IF(AND(('V06 Calend 01'!E35&gt;0),(78&gt;'V06 Calend 01'!C35),(78&lt;'V06 Calend 01'!D35),(MOD((78-'V06 Calend 01'!C35),6)=0),(((78-'V06 Calend 01'!C35)/6)&lt;='V06 Calend 01'!E35)),IF((78=('V06 Calend 01'!C35+(6*'V06 Calend 01'!E35))),('V06 Calend 01'!H35-('V06 Calend 01'!I35*('V06 Calend 01'!E35-1))),'V06 Calend 01'!I35),0))+IF((78='V06 Calend 01'!D35),'V06 Calend 01'!J35,0))</f>
        <v>0</v>
      </c>
      <c r="CM35" s="2">
        <f>((IF((79='V06 Calend 01'!C35),('V06 Calend 01'!F35+'V06 Calend 01'!G35),0)+IF(AND(('V06 Calend 01'!E35&gt;0),(79&gt;'V06 Calend 01'!C35),(79&lt;'V06 Calend 01'!D35),(MOD((79-'V06 Calend 01'!C35),6)=0),(((79-'V06 Calend 01'!C35)/6)&lt;='V06 Calend 01'!E35)),IF((79=('V06 Calend 01'!C35+(6*'V06 Calend 01'!E35))),('V06 Calend 01'!H35-('V06 Calend 01'!I35*('V06 Calend 01'!E35-1))),'V06 Calend 01'!I35),0))+IF((79='V06 Calend 01'!D35),'V06 Calend 01'!J35,0))</f>
        <v>0</v>
      </c>
      <c r="CN35" s="2">
        <f>((IF((80='V06 Calend 01'!C35),('V06 Calend 01'!F35+'V06 Calend 01'!G35),0)+IF(AND(('V06 Calend 01'!E35&gt;0),(80&gt;'V06 Calend 01'!C35),(80&lt;'V06 Calend 01'!D35),(MOD((80-'V06 Calend 01'!C35),6)=0),(((80-'V06 Calend 01'!C35)/6)&lt;='V06 Calend 01'!E35)),IF((80=('V06 Calend 01'!C35+(6*'V06 Calend 01'!E35))),('V06 Calend 01'!H35-('V06 Calend 01'!I35*('V06 Calend 01'!E35-1))),'V06 Calend 01'!I35),0))+IF((80='V06 Calend 01'!D35),'V06 Calend 01'!J35,0))</f>
        <v>0</v>
      </c>
      <c r="CO35" s="2">
        <f>((IF((81='V06 Calend 01'!C35),('V06 Calend 01'!F35+'V06 Calend 01'!G35),0)+IF(AND(('V06 Calend 01'!E35&gt;0),(81&gt;'V06 Calend 01'!C35),(81&lt;'V06 Calend 01'!D35),(MOD((81-'V06 Calend 01'!C35),6)=0),(((81-'V06 Calend 01'!C35)/6)&lt;='V06 Calend 01'!E35)),IF((81=('V06 Calend 01'!C35+(6*'V06 Calend 01'!E35))),('V06 Calend 01'!H35-('V06 Calend 01'!I35*('V06 Calend 01'!E35-1))),'V06 Calend 01'!I35),0))+IF((81='V06 Calend 01'!D35),'V06 Calend 01'!J35,0))</f>
        <v>0</v>
      </c>
      <c r="CP35" s="2">
        <f>((IF((82='V06 Calend 01'!C35),('V06 Calend 01'!F35+'V06 Calend 01'!G35),0)+IF(AND(('V06 Calend 01'!E35&gt;0),(82&gt;'V06 Calend 01'!C35),(82&lt;'V06 Calend 01'!D35),(MOD((82-'V06 Calend 01'!C35),6)=0),(((82-'V06 Calend 01'!C35)/6)&lt;='V06 Calend 01'!E35)),IF((82=('V06 Calend 01'!C35+(6*'V06 Calend 01'!E35))),('V06 Calend 01'!H35-('V06 Calend 01'!I35*('V06 Calend 01'!E35-1))),'V06 Calend 01'!I35),0))+IF((82='V06 Calend 01'!D35),'V06 Calend 01'!J35,0))</f>
        <v>0</v>
      </c>
      <c r="CQ35" s="2">
        <f>((IF((83='V06 Calend 01'!C35),('V06 Calend 01'!F35+'V06 Calend 01'!G35),0)+IF(AND(('V06 Calend 01'!E35&gt;0),(83&gt;'V06 Calend 01'!C35),(83&lt;'V06 Calend 01'!D35),(MOD((83-'V06 Calend 01'!C35),6)=0),(((83-'V06 Calend 01'!C35)/6)&lt;='V06 Calend 01'!E35)),IF((83=('V06 Calend 01'!C35+(6*'V06 Calend 01'!E35))),('V06 Calend 01'!H35-('V06 Calend 01'!I35*('V06 Calend 01'!E35-1))),'V06 Calend 01'!I35),0))+IF((83='V06 Calend 01'!D35),'V06 Calend 01'!J35,0))</f>
        <v>0</v>
      </c>
      <c r="CR35" s="2">
        <f>((IF((84='V06 Calend 01'!C35),('V06 Calend 01'!F35+'V06 Calend 01'!G35),0)+IF(AND(('V06 Calend 01'!E35&gt;0),(84&gt;'V06 Calend 01'!C35),(84&lt;'V06 Calend 01'!D35),(MOD((84-'V06 Calend 01'!C35),6)=0),(((84-'V06 Calend 01'!C35)/6)&lt;='V06 Calend 01'!E35)),IF((84=('V06 Calend 01'!C35+(6*'V06 Calend 01'!E35))),('V06 Calend 01'!H35-('V06 Calend 01'!I35*('V06 Calend 01'!E35-1))),'V06 Calend 01'!I35),0))+IF((84='V06 Calend 01'!D35),'V06 Calend 01'!J35,0))</f>
        <v>0</v>
      </c>
      <c r="CS35" s="2">
        <f>((IF((85='V06 Calend 01'!C35),('V06 Calend 01'!F35+'V06 Calend 01'!G35),0)+IF(AND(('V06 Calend 01'!E35&gt;0),(85&gt;'V06 Calend 01'!C35),(85&lt;'V06 Calend 01'!D35),(MOD((85-'V06 Calend 01'!C35),6)=0),(((85-'V06 Calend 01'!C35)/6)&lt;='V06 Calend 01'!E35)),IF((85=('V06 Calend 01'!C35+(6*'V06 Calend 01'!E35))),('V06 Calend 01'!H35-('V06 Calend 01'!I35*('V06 Calend 01'!E35-1))),'V06 Calend 01'!I35),0))+IF((85='V06 Calend 01'!D35),'V06 Calend 01'!J35,0))</f>
        <v>0</v>
      </c>
      <c r="CT35" s="2">
        <f>((IF((86='V06 Calend 01'!C35),('V06 Calend 01'!F35+'V06 Calend 01'!G35),0)+IF(AND(('V06 Calend 01'!E35&gt;0),(86&gt;'V06 Calend 01'!C35),(86&lt;'V06 Calend 01'!D35),(MOD((86-'V06 Calend 01'!C35),6)=0),(((86-'V06 Calend 01'!C35)/6)&lt;='V06 Calend 01'!E35)),IF((86=('V06 Calend 01'!C35+(6*'V06 Calend 01'!E35))),('V06 Calend 01'!H35-('V06 Calend 01'!I35*('V06 Calend 01'!E35-1))),'V06 Calend 01'!I35),0))+IF((86='V06 Calend 01'!D35),'V06 Calend 01'!J35,0))</f>
        <v>0</v>
      </c>
      <c r="CU35" s="2">
        <f>((IF((87='V06 Calend 01'!C35),('V06 Calend 01'!F35+'V06 Calend 01'!G35),0)+IF(AND(('V06 Calend 01'!E35&gt;0),(87&gt;'V06 Calend 01'!C35),(87&lt;'V06 Calend 01'!D35),(MOD((87-'V06 Calend 01'!C35),6)=0),(((87-'V06 Calend 01'!C35)/6)&lt;='V06 Calend 01'!E35)),IF((87=('V06 Calend 01'!C35+(6*'V06 Calend 01'!E35))),('V06 Calend 01'!H35-('V06 Calend 01'!I35*('V06 Calend 01'!E35-1))),'V06 Calend 01'!I35),0))+IF((87='V06 Calend 01'!D35),'V06 Calend 01'!J35,0))</f>
        <v>0</v>
      </c>
      <c r="CV35" s="2">
        <f>((IF((88='V06 Calend 01'!C35),('V06 Calend 01'!F35+'V06 Calend 01'!G35),0)+IF(AND(('V06 Calend 01'!E35&gt;0),(88&gt;'V06 Calend 01'!C35),(88&lt;'V06 Calend 01'!D35),(MOD((88-'V06 Calend 01'!C35),6)=0),(((88-'V06 Calend 01'!C35)/6)&lt;='V06 Calend 01'!E35)),IF((88=('V06 Calend 01'!C35+(6*'V06 Calend 01'!E35))),('V06 Calend 01'!H35-('V06 Calend 01'!I35*('V06 Calend 01'!E35-1))),'V06 Calend 01'!I35),0))+IF((88='V06 Calend 01'!D35),'V06 Calend 01'!J35,0))</f>
        <v>0</v>
      </c>
      <c r="CW35" s="2">
        <f>((IF((89='V06 Calend 01'!C35),('V06 Calend 01'!F35+'V06 Calend 01'!G35),0)+IF(AND(('V06 Calend 01'!E35&gt;0),(89&gt;'V06 Calend 01'!C35),(89&lt;'V06 Calend 01'!D35),(MOD((89-'V06 Calend 01'!C35),6)=0),(((89-'V06 Calend 01'!C35)/6)&lt;='V06 Calend 01'!E35)),IF((89=('V06 Calend 01'!C35+(6*'V06 Calend 01'!E35))),('V06 Calend 01'!H35-('V06 Calend 01'!I35*('V06 Calend 01'!E35-1))),'V06 Calend 01'!I35),0))+IF((89='V06 Calend 01'!D35),'V06 Calend 01'!J35,0))</f>
        <v>0</v>
      </c>
      <c r="CX35" s="2">
        <f>((IF((90='V06 Calend 01'!C35),('V06 Calend 01'!F35+'V06 Calend 01'!G35),0)+IF(AND(('V06 Calend 01'!E35&gt;0),(90&gt;'V06 Calend 01'!C35),(90&lt;'V06 Calend 01'!D35),(MOD((90-'V06 Calend 01'!C35),6)=0),(((90-'V06 Calend 01'!C35)/6)&lt;='V06 Calend 01'!E35)),IF((90=('V06 Calend 01'!C35+(6*'V06 Calend 01'!E35))),('V06 Calend 01'!H35-('V06 Calend 01'!I35*('V06 Calend 01'!E35-1))),'V06 Calend 01'!I35),0))+IF((90='V06 Calend 01'!D35),'V06 Calend 01'!J35,0))</f>
        <v>0</v>
      </c>
      <c r="CY35" s="2">
        <f>((IF((91='V06 Calend 01'!C35),('V06 Calend 01'!F35+'V06 Calend 01'!G35),0)+IF(AND(('V06 Calend 01'!E35&gt;0),(91&gt;'V06 Calend 01'!C35),(91&lt;'V06 Calend 01'!D35),(MOD((91-'V06 Calend 01'!C35),6)=0),(((91-'V06 Calend 01'!C35)/6)&lt;='V06 Calend 01'!E35)),IF((91=('V06 Calend 01'!C35+(6*'V06 Calend 01'!E35))),('V06 Calend 01'!H35-('V06 Calend 01'!I35*('V06 Calend 01'!E35-1))),'V06 Calend 01'!I35),0))+IF((91='V06 Calend 01'!D35),'V06 Calend 01'!J35,0))</f>
        <v>0</v>
      </c>
      <c r="CZ35" s="2">
        <f>((IF((92='V06 Calend 01'!C35),('V06 Calend 01'!F35+'V06 Calend 01'!G35),0)+IF(AND(('V06 Calend 01'!E35&gt;0),(92&gt;'V06 Calend 01'!C35),(92&lt;'V06 Calend 01'!D35),(MOD((92-'V06 Calend 01'!C35),6)=0),(((92-'V06 Calend 01'!C35)/6)&lt;='V06 Calend 01'!E35)),IF((92=('V06 Calend 01'!C35+(6*'V06 Calend 01'!E35))),('V06 Calend 01'!H35-('V06 Calend 01'!I35*('V06 Calend 01'!E35-1))),'V06 Calend 01'!I35),0))+IF((92='V06 Calend 01'!D35),'V06 Calend 01'!J35,0))</f>
        <v>0</v>
      </c>
      <c r="DA35" s="2">
        <f>((IF((93='V06 Calend 01'!C35),('V06 Calend 01'!F35+'V06 Calend 01'!G35),0)+IF(AND(('V06 Calend 01'!E35&gt;0),(93&gt;'V06 Calend 01'!C35),(93&lt;'V06 Calend 01'!D35),(MOD((93-'V06 Calend 01'!C35),6)=0),(((93-'V06 Calend 01'!C35)/6)&lt;='V06 Calend 01'!E35)),IF((93=('V06 Calend 01'!C35+(6*'V06 Calend 01'!E35))),('V06 Calend 01'!H35-('V06 Calend 01'!I35*('V06 Calend 01'!E35-1))),'V06 Calend 01'!I35),0))+IF((93='V06 Calend 01'!D35),'V06 Calend 01'!J35,0))</f>
        <v>0</v>
      </c>
      <c r="DB35" s="2">
        <f>((IF((94='V06 Calend 01'!C35),('V06 Calend 01'!F35+'V06 Calend 01'!G35),0)+IF(AND(('V06 Calend 01'!E35&gt;0),(94&gt;'V06 Calend 01'!C35),(94&lt;'V06 Calend 01'!D35),(MOD((94-'V06 Calend 01'!C35),6)=0),(((94-'V06 Calend 01'!C35)/6)&lt;='V06 Calend 01'!E35)),IF((94=('V06 Calend 01'!C35+(6*'V06 Calend 01'!E35))),('V06 Calend 01'!H35-('V06 Calend 01'!I35*('V06 Calend 01'!E35-1))),'V06 Calend 01'!I35),0))+IF((94='V06 Calend 01'!D35),'V06 Calend 01'!J35,0))</f>
        <v>0</v>
      </c>
      <c r="DC35" s="2">
        <f>((IF((95='V06 Calend 01'!C35),('V06 Calend 01'!F35+'V06 Calend 01'!G35),0)+IF(AND(('V06 Calend 01'!E35&gt;0),(95&gt;'V06 Calend 01'!C35),(95&lt;'V06 Calend 01'!D35),(MOD((95-'V06 Calend 01'!C35),6)=0),(((95-'V06 Calend 01'!C35)/6)&lt;='V06 Calend 01'!E35)),IF((95=('V06 Calend 01'!C35+(6*'V06 Calend 01'!E35))),('V06 Calend 01'!H35-('V06 Calend 01'!I35*('V06 Calend 01'!E35-1))),'V06 Calend 01'!I35),0))+IF((95='V06 Calend 01'!D35),'V06 Calend 01'!J35,0))</f>
        <v>0</v>
      </c>
      <c r="DD35" s="2">
        <f>((IF((96='V06 Calend 01'!C35),('V06 Calend 01'!F35+'V06 Calend 01'!G35),0)+IF(AND(('V06 Calend 01'!E35&gt;0),(96&gt;'V06 Calend 01'!C35),(96&lt;'V06 Calend 01'!D35),(MOD((96-'V06 Calend 01'!C35),6)=0),(((96-'V06 Calend 01'!C35)/6)&lt;='V06 Calend 01'!E35)),IF((96=('V06 Calend 01'!C35+(6*'V06 Calend 01'!E35))),('V06 Calend 01'!H35-('V06 Calend 01'!I35*('V06 Calend 01'!E35-1))),'V06 Calend 01'!I35),0))+IF((96='V06 Calend 01'!D35),'V06 Calend 01'!J35,0))</f>
        <v>0</v>
      </c>
      <c r="DE35" s="2">
        <f>((IF((97='V06 Calend 01'!C35),('V06 Calend 01'!F35+'V06 Calend 01'!G35),0)+IF(AND(('V06 Calend 01'!E35&gt;0),(97&gt;'V06 Calend 01'!C35),(97&lt;'V06 Calend 01'!D35),(MOD((97-'V06 Calend 01'!C35),6)=0),(((97-'V06 Calend 01'!C35)/6)&lt;='V06 Calend 01'!E35)),IF((97=('V06 Calend 01'!C35+(6*'V06 Calend 01'!E35))),('V06 Calend 01'!H35-('V06 Calend 01'!I35*('V06 Calend 01'!E35-1))),'V06 Calend 01'!I35),0))+IF((97='V06 Calend 01'!D35),'V06 Calend 01'!J35,0))</f>
        <v>0</v>
      </c>
      <c r="DF35" s="2">
        <f>((IF((98='V06 Calend 01'!C35),('V06 Calend 01'!F35+'V06 Calend 01'!G35),0)+IF(AND(('V06 Calend 01'!E35&gt;0),(98&gt;'V06 Calend 01'!C35),(98&lt;'V06 Calend 01'!D35),(MOD((98-'V06 Calend 01'!C35),6)=0),(((98-'V06 Calend 01'!C35)/6)&lt;='V06 Calend 01'!E35)),IF((98=('V06 Calend 01'!C35+(6*'V06 Calend 01'!E35))),('V06 Calend 01'!H35-('V06 Calend 01'!I35*('V06 Calend 01'!E35-1))),'V06 Calend 01'!I35),0))+IF((98='V06 Calend 01'!D35),'V06 Calend 01'!J35,0))</f>
        <v>0</v>
      </c>
      <c r="DG35" s="2">
        <f>((IF((99='V06 Calend 01'!C35),('V06 Calend 01'!F35+'V06 Calend 01'!G35),0)+IF(AND(('V06 Calend 01'!E35&gt;0),(99&gt;'V06 Calend 01'!C35),(99&lt;'V06 Calend 01'!D35),(MOD((99-'V06 Calend 01'!C35),6)=0),(((99-'V06 Calend 01'!C35)/6)&lt;='V06 Calend 01'!E35)),IF((99=('V06 Calend 01'!C35+(6*'V06 Calend 01'!E35))),('V06 Calend 01'!H35-('V06 Calend 01'!I35*('V06 Calend 01'!E35-1))),'V06 Calend 01'!I35),0))+IF((99='V06 Calend 01'!D35),'V06 Calend 01'!J35,0))</f>
        <v>0</v>
      </c>
      <c r="DH35" s="2">
        <f>((IF((100='V06 Calend 01'!C35),('V06 Calend 01'!F35+'V06 Calend 01'!G35),0)+IF(AND(('V06 Calend 01'!E35&gt;0),(100&gt;'V06 Calend 01'!C35),(100&lt;'V06 Calend 01'!D35),(MOD((100-'V06 Calend 01'!C35),6)=0),(((100-'V06 Calend 01'!C35)/6)&lt;='V06 Calend 01'!E35)),IF((100=('V06 Calend 01'!C35+(6*'V06 Calend 01'!E35))),('V06 Calend 01'!H35-('V06 Calend 01'!I35*('V06 Calend 01'!E35-1))),'V06 Calend 01'!I35),0))+IF((100='V06 Calend 01'!D35),'V06 Calend 01'!J35,0))</f>
        <v>0</v>
      </c>
      <c r="DI35" s="2">
        <f>((IF((101='V06 Calend 01'!C35),('V06 Calend 01'!F35+'V06 Calend 01'!G35),0)+IF(AND(('V06 Calend 01'!E35&gt;0),(101&gt;'V06 Calend 01'!C35),(101&lt;'V06 Calend 01'!D35),(MOD((101-'V06 Calend 01'!C35),6)=0),(((101-'V06 Calend 01'!C35)/6)&lt;='V06 Calend 01'!E35)),IF((101=('V06 Calend 01'!C35+(6*'V06 Calend 01'!E35))),('V06 Calend 01'!H35-('V06 Calend 01'!I35*('V06 Calend 01'!E35-1))),'V06 Calend 01'!I35),0))+IF((101='V06 Calend 01'!D35),'V06 Calend 01'!J35,0))</f>
        <v>0</v>
      </c>
      <c r="DJ35" s="2">
        <f>((IF((102='V06 Calend 01'!C35),('V06 Calend 01'!F35+'V06 Calend 01'!G35),0)+IF(AND(('V06 Calend 01'!E35&gt;0),(102&gt;'V06 Calend 01'!C35),(102&lt;'V06 Calend 01'!D35),(MOD((102-'V06 Calend 01'!C35),6)=0),(((102-'V06 Calend 01'!C35)/6)&lt;='V06 Calend 01'!E35)),IF((102=('V06 Calend 01'!C35+(6*'V06 Calend 01'!E35))),('V06 Calend 01'!H35-('V06 Calend 01'!I35*('V06 Calend 01'!E35-1))),'V06 Calend 01'!I35),0))+IF((102='V06 Calend 01'!D35),'V06 Calend 01'!J35,0))</f>
        <v>0</v>
      </c>
      <c r="DK35" s="2">
        <f>((IF((103='V06 Calend 01'!C35),('V06 Calend 01'!F35+'V06 Calend 01'!G35),0)+IF(AND(('V06 Calend 01'!E35&gt;0),(103&gt;'V06 Calend 01'!C35),(103&lt;'V06 Calend 01'!D35),(MOD((103-'V06 Calend 01'!C35),6)=0),(((103-'V06 Calend 01'!C35)/6)&lt;='V06 Calend 01'!E35)),IF((103=('V06 Calend 01'!C35+(6*'V06 Calend 01'!E35))),('V06 Calend 01'!H35-('V06 Calend 01'!I35*('V06 Calend 01'!E35-1))),'V06 Calend 01'!I35),0))+IF((103='V06 Calend 01'!D35),'V06 Calend 01'!J35,0))</f>
        <v>0</v>
      </c>
      <c r="DL35" s="2">
        <f>((IF((104='V06 Calend 01'!C35),('V06 Calend 01'!F35+'V06 Calend 01'!G35),0)+IF(AND(('V06 Calend 01'!E35&gt;0),(104&gt;'V06 Calend 01'!C35),(104&lt;'V06 Calend 01'!D35),(MOD((104-'V06 Calend 01'!C35),6)=0),(((104-'V06 Calend 01'!C35)/6)&lt;='V06 Calend 01'!E35)),IF((104=('V06 Calend 01'!C35+(6*'V06 Calend 01'!E35))),('V06 Calend 01'!H35-('V06 Calend 01'!I35*('V06 Calend 01'!E35-1))),'V06 Calend 01'!I35),0))+IF((104='V06 Calend 01'!D35),'V06 Calend 01'!J35,0))</f>
        <v>0</v>
      </c>
      <c r="DM35" s="2">
        <f>((IF((105='V06 Calend 01'!C35),('V06 Calend 01'!F35+'V06 Calend 01'!G35),0)+IF(AND(('V06 Calend 01'!E35&gt;0),(105&gt;'V06 Calend 01'!C35),(105&lt;'V06 Calend 01'!D35),(MOD((105-'V06 Calend 01'!C35),6)=0),(((105-'V06 Calend 01'!C35)/6)&lt;='V06 Calend 01'!E35)),IF((105=('V06 Calend 01'!C35+(6*'V06 Calend 01'!E35))),('V06 Calend 01'!H35-('V06 Calend 01'!I35*('V06 Calend 01'!E35-1))),'V06 Calend 01'!I35),0))+IF((105='V06 Calend 01'!D35),'V06 Calend 01'!J35,0))</f>
        <v>0</v>
      </c>
      <c r="DN35" s="2">
        <f>((IF((106='V06 Calend 01'!C35),('V06 Calend 01'!F35+'V06 Calend 01'!G35),0)+IF(AND(('V06 Calend 01'!E35&gt;0),(106&gt;'V06 Calend 01'!C35),(106&lt;'V06 Calend 01'!D35),(MOD((106-'V06 Calend 01'!C35),6)=0),(((106-'V06 Calend 01'!C35)/6)&lt;='V06 Calend 01'!E35)),IF((106=('V06 Calend 01'!C35+(6*'V06 Calend 01'!E35))),('V06 Calend 01'!H35-('V06 Calend 01'!I35*('V06 Calend 01'!E35-1))),'V06 Calend 01'!I35),0))+IF((106='V06 Calend 01'!D35),'V06 Calend 01'!J35,0))</f>
        <v>0</v>
      </c>
      <c r="DO35" s="2">
        <f>((IF((107='V06 Calend 01'!C35),('V06 Calend 01'!F35+'V06 Calend 01'!G35),0)+IF(AND(('V06 Calend 01'!E35&gt;0),(107&gt;'V06 Calend 01'!C35),(107&lt;'V06 Calend 01'!D35),(MOD((107-'V06 Calend 01'!C35),6)=0),(((107-'V06 Calend 01'!C35)/6)&lt;='V06 Calend 01'!E35)),IF((107=('V06 Calend 01'!C35+(6*'V06 Calend 01'!E35))),('V06 Calend 01'!H35-('V06 Calend 01'!I35*('V06 Calend 01'!E35-1))),'V06 Calend 01'!I35),0))+IF((107='V06 Calend 01'!D35),'V06 Calend 01'!J35,0))</f>
        <v>0</v>
      </c>
      <c r="DP35" s="2">
        <f>((IF((108='V06 Calend 01'!C35),('V06 Calend 01'!F35+'V06 Calend 01'!G35),0)+IF(AND(('V06 Calend 01'!E35&gt;0),(108&gt;'V06 Calend 01'!C35),(108&lt;'V06 Calend 01'!D35),(MOD((108-'V06 Calend 01'!C35),6)=0),(((108-'V06 Calend 01'!C35)/6)&lt;='V06 Calend 01'!E35)),IF((108=('V06 Calend 01'!C35+(6*'V06 Calend 01'!E35))),('V06 Calend 01'!H35-('V06 Calend 01'!I35*('V06 Calend 01'!E35-1))),'V06 Calend 01'!I35),0))+IF((108='V06 Calend 01'!D35),'V06 Calend 01'!J35,0))</f>
        <v>0</v>
      </c>
      <c r="DQ35" s="2">
        <f>((IF((109='V06 Calend 01'!C35),('V06 Calend 01'!F35+'V06 Calend 01'!G35),0)+IF(AND(('V06 Calend 01'!E35&gt;0),(109&gt;'V06 Calend 01'!C35),(109&lt;'V06 Calend 01'!D35),(MOD((109-'V06 Calend 01'!C35),6)=0),(((109-'V06 Calend 01'!C35)/6)&lt;='V06 Calend 01'!E35)),IF((109=('V06 Calend 01'!C35+(6*'V06 Calend 01'!E35))),('V06 Calend 01'!H35-('V06 Calend 01'!I35*('V06 Calend 01'!E35-1))),'V06 Calend 01'!I35),0))+IF((109='V06 Calend 01'!D35),'V06 Calend 01'!J35,0))</f>
        <v>0</v>
      </c>
      <c r="DR35" s="2">
        <f>((IF((110='V06 Calend 01'!C35),('V06 Calend 01'!F35+'V06 Calend 01'!G35),0)+IF(AND(('V06 Calend 01'!E35&gt;0),(110&gt;'V06 Calend 01'!C35),(110&lt;'V06 Calend 01'!D35),(MOD((110-'V06 Calend 01'!C35),6)=0),(((110-'V06 Calend 01'!C35)/6)&lt;='V06 Calend 01'!E35)),IF((110=('V06 Calend 01'!C35+(6*'V06 Calend 01'!E35))),('V06 Calend 01'!H35-('V06 Calend 01'!I35*('V06 Calend 01'!E35-1))),'V06 Calend 01'!I35),0))+IF((110='V06 Calend 01'!D35),'V06 Calend 01'!J35,0))</f>
        <v>0</v>
      </c>
      <c r="DS35" s="2">
        <f>((IF((111='V06 Calend 01'!C35),('V06 Calend 01'!F35+'V06 Calend 01'!G35),0)+IF(AND(('V06 Calend 01'!E35&gt;0),(111&gt;'V06 Calend 01'!C35),(111&lt;'V06 Calend 01'!D35),(MOD((111-'V06 Calend 01'!C35),6)=0),(((111-'V06 Calend 01'!C35)/6)&lt;='V06 Calend 01'!E35)),IF((111=('V06 Calend 01'!C35+(6*'V06 Calend 01'!E35))),('V06 Calend 01'!H35-('V06 Calend 01'!I35*('V06 Calend 01'!E35-1))),'V06 Calend 01'!I35),0))+IF((111='V06 Calend 01'!D35),'V06 Calend 01'!J35,0))</f>
        <v>0</v>
      </c>
      <c r="DT35" s="2">
        <f>((IF((112='V06 Calend 01'!C35),('V06 Calend 01'!F35+'V06 Calend 01'!G35),0)+IF(AND(('V06 Calend 01'!E35&gt;0),(112&gt;'V06 Calend 01'!C35),(112&lt;'V06 Calend 01'!D35),(MOD((112-'V06 Calend 01'!C35),6)=0),(((112-'V06 Calend 01'!C35)/6)&lt;='V06 Calend 01'!E35)),IF((112=('V06 Calend 01'!C35+(6*'V06 Calend 01'!E35))),('V06 Calend 01'!H35-('V06 Calend 01'!I35*('V06 Calend 01'!E35-1))),'V06 Calend 01'!I35),0))+IF((112='V06 Calend 01'!D35),'V06 Calend 01'!J35,0))</f>
        <v>0</v>
      </c>
      <c r="DU35" s="2">
        <f>((IF((113='V06 Calend 01'!C35),('V06 Calend 01'!F35+'V06 Calend 01'!G35),0)+IF(AND(('V06 Calend 01'!E35&gt;0),(113&gt;'V06 Calend 01'!C35),(113&lt;'V06 Calend 01'!D35),(MOD((113-'V06 Calend 01'!C35),6)=0),(((113-'V06 Calend 01'!C35)/6)&lt;='V06 Calend 01'!E35)),IF((113=('V06 Calend 01'!C35+(6*'V06 Calend 01'!E35))),('V06 Calend 01'!H35-('V06 Calend 01'!I35*('V06 Calend 01'!E35-1))),'V06 Calend 01'!I35),0))+IF((113='V06 Calend 01'!D35),'V06 Calend 01'!J35,0))</f>
        <v>0</v>
      </c>
      <c r="DV35" s="2">
        <f>((IF((114='V06 Calend 01'!C35),('V06 Calend 01'!F35+'V06 Calend 01'!G35),0)+IF(AND(('V06 Calend 01'!E35&gt;0),(114&gt;'V06 Calend 01'!C35),(114&lt;'V06 Calend 01'!D35),(MOD((114-'V06 Calend 01'!C35),6)=0),(((114-'V06 Calend 01'!C35)/6)&lt;='V06 Calend 01'!E35)),IF((114=('V06 Calend 01'!C35+(6*'V06 Calend 01'!E35))),('V06 Calend 01'!H35-('V06 Calend 01'!I35*('V06 Calend 01'!E35-1))),'V06 Calend 01'!I35),0))+IF((114='V06 Calend 01'!D35),'V06 Calend 01'!J35,0))</f>
        <v>0</v>
      </c>
      <c r="DW35" s="2">
        <f>((IF((115='V06 Calend 01'!C35),('V06 Calend 01'!F35+'V06 Calend 01'!G35),0)+IF(AND(('V06 Calend 01'!E35&gt;0),(115&gt;'V06 Calend 01'!C35),(115&lt;'V06 Calend 01'!D35),(MOD((115-'V06 Calend 01'!C35),6)=0),(((115-'V06 Calend 01'!C35)/6)&lt;='V06 Calend 01'!E35)),IF((115=('V06 Calend 01'!C35+(6*'V06 Calend 01'!E35))),('V06 Calend 01'!H35-('V06 Calend 01'!I35*('V06 Calend 01'!E35-1))),'V06 Calend 01'!I35),0))+IF((115='V06 Calend 01'!D35),'V06 Calend 01'!J35,0))</f>
        <v>0</v>
      </c>
      <c r="DX35" s="2">
        <f>((IF((116='V06 Calend 01'!C35),('V06 Calend 01'!F35+'V06 Calend 01'!G35),0)+IF(AND(('V06 Calend 01'!E35&gt;0),(116&gt;'V06 Calend 01'!C35),(116&lt;'V06 Calend 01'!D35),(MOD((116-'V06 Calend 01'!C35),6)=0),(((116-'V06 Calend 01'!C35)/6)&lt;='V06 Calend 01'!E35)),IF((116=('V06 Calend 01'!C35+(6*'V06 Calend 01'!E35))),('V06 Calend 01'!H35-('V06 Calend 01'!I35*('V06 Calend 01'!E35-1))),'V06 Calend 01'!I35),0))+IF((116='V06 Calend 01'!D35),'V06 Calend 01'!J35,0))</f>
        <v>0</v>
      </c>
      <c r="DY35" s="2">
        <f>((IF((117='V06 Calend 01'!C35),('V06 Calend 01'!F35+'V06 Calend 01'!G35),0)+IF(AND(('V06 Calend 01'!E35&gt;0),(117&gt;'V06 Calend 01'!C35),(117&lt;'V06 Calend 01'!D35),(MOD((117-'V06 Calend 01'!C35),6)=0),(((117-'V06 Calend 01'!C35)/6)&lt;='V06 Calend 01'!E35)),IF((117=('V06 Calend 01'!C35+(6*'V06 Calend 01'!E35))),('V06 Calend 01'!H35-('V06 Calend 01'!I35*('V06 Calend 01'!E35-1))),'V06 Calend 01'!I35),0))+IF((117='V06 Calend 01'!D35),'V06 Calend 01'!J35,0))</f>
        <v>0</v>
      </c>
      <c r="DZ35" s="2">
        <f>((IF((118='V06 Calend 01'!C35),('V06 Calend 01'!F35+'V06 Calend 01'!G35),0)+IF(AND(('V06 Calend 01'!E35&gt;0),(118&gt;'V06 Calend 01'!C35),(118&lt;'V06 Calend 01'!D35),(MOD((118-'V06 Calend 01'!C35),6)=0),(((118-'V06 Calend 01'!C35)/6)&lt;='V06 Calend 01'!E35)),IF((118=('V06 Calend 01'!C35+(6*'V06 Calend 01'!E35))),('V06 Calend 01'!H35-('V06 Calend 01'!I35*('V06 Calend 01'!E35-1))),'V06 Calend 01'!I35),0))+IF((118='V06 Calend 01'!D35),'V06 Calend 01'!J35,0))</f>
        <v>0</v>
      </c>
      <c r="EA35" s="2">
        <f>((IF((119='V06 Calend 01'!C35),('V06 Calend 01'!F35+'V06 Calend 01'!G35),0)+IF(AND(('V06 Calend 01'!E35&gt;0),(119&gt;'V06 Calend 01'!C35),(119&lt;'V06 Calend 01'!D35),(MOD((119-'V06 Calend 01'!C35),6)=0),(((119-'V06 Calend 01'!C35)/6)&lt;='V06 Calend 01'!E35)),IF((119=('V06 Calend 01'!C35+(6*'V06 Calend 01'!E35))),('V06 Calend 01'!H35-('V06 Calend 01'!I35*('V06 Calend 01'!E35-1))),'V06 Calend 01'!I35),0))+IF((119='V06 Calend 01'!D35),'V06 Calend 01'!J35,0))</f>
        <v>0</v>
      </c>
      <c r="EB35" s="2">
        <f>((IF((120='V06 Calend 01'!C35),('V06 Calend 01'!F35+'V06 Calend 01'!G35),0)+IF(AND(('V06 Calend 01'!E35&gt;0),(120&gt;'V06 Calend 01'!C35),(120&lt;'V06 Calend 01'!D35),(MOD((120-'V06 Calend 01'!C35),6)=0),(((120-'V06 Calend 01'!C35)/6)&lt;='V06 Calend 01'!E35)),IF((120=('V06 Calend 01'!C35+(6*'V06 Calend 01'!E35))),('V06 Calend 01'!H35-('V06 Calend 01'!I35*('V06 Calend 01'!E35-1))),'V06 Calend 01'!I35),0))+IF((120='V06 Calend 01'!D35),'V06 Calend 01'!J35,0))</f>
        <v>0</v>
      </c>
      <c r="EC35" s="2">
        <f>((IF((121='V06 Calend 01'!C35),('V06 Calend 01'!F35+'V06 Calend 01'!G35),0)+IF(AND(('V06 Calend 01'!E35&gt;0),(121&gt;'V06 Calend 01'!C35),(121&lt;'V06 Calend 01'!D35),(MOD((121-'V06 Calend 01'!C35),6)=0),(((121-'V06 Calend 01'!C35)/6)&lt;='V06 Calend 01'!E35)),IF((121=('V06 Calend 01'!C35+(6*'V06 Calend 01'!E35))),('V06 Calend 01'!H35-('V06 Calend 01'!I35*('V06 Calend 01'!E35-1))),'V06 Calend 01'!I35),0))+IF((121='V06 Calend 01'!D35),'V06 Calend 01'!J35,0))</f>
        <v>0</v>
      </c>
      <c r="ED35" s="2">
        <f>((IF((122='V06 Calend 01'!C35),('V06 Calend 01'!F35+'V06 Calend 01'!G35),0)+IF(AND(('V06 Calend 01'!E35&gt;0),(122&gt;'V06 Calend 01'!C35),(122&lt;'V06 Calend 01'!D35),(MOD((122-'V06 Calend 01'!C35),6)=0),(((122-'V06 Calend 01'!C35)/6)&lt;='V06 Calend 01'!E35)),IF((122=('V06 Calend 01'!C35+(6*'V06 Calend 01'!E35))),('V06 Calend 01'!H35-('V06 Calend 01'!I35*('V06 Calend 01'!E35-1))),'V06 Calend 01'!I35),0))+IF((122='V06 Calend 01'!D35),'V06 Calend 01'!J35,0))</f>
        <v>0</v>
      </c>
      <c r="EE35" s="2">
        <f>((IF((123='V06 Calend 01'!C35),('V06 Calend 01'!F35+'V06 Calend 01'!G35),0)+IF(AND(('V06 Calend 01'!E35&gt;0),(123&gt;'V06 Calend 01'!C35),(123&lt;'V06 Calend 01'!D35),(MOD((123-'V06 Calend 01'!C35),6)=0),(((123-'V06 Calend 01'!C35)/6)&lt;='V06 Calend 01'!E35)),IF((123=('V06 Calend 01'!C35+(6*'V06 Calend 01'!E35))),('V06 Calend 01'!H35-('V06 Calend 01'!I35*('V06 Calend 01'!E35-1))),'V06 Calend 01'!I35),0))+IF((123='V06 Calend 01'!D35),'V06 Calend 01'!J35,0))</f>
        <v>0</v>
      </c>
      <c r="EF35" s="2">
        <f>((IF((124='V06 Calend 01'!C35),('V06 Calend 01'!F35+'V06 Calend 01'!G35),0)+IF(AND(('V06 Calend 01'!E35&gt;0),(124&gt;'V06 Calend 01'!C35),(124&lt;'V06 Calend 01'!D35),(MOD((124-'V06 Calend 01'!C35),6)=0),(((124-'V06 Calend 01'!C35)/6)&lt;='V06 Calend 01'!E35)),IF((124=('V06 Calend 01'!C35+(6*'V06 Calend 01'!E35))),('V06 Calend 01'!H35-('V06 Calend 01'!I35*('V06 Calend 01'!E35-1))),'V06 Calend 01'!I35),0))+IF((124='V06 Calend 01'!D35),'V06 Calend 01'!J35,0))</f>
        <v>0</v>
      </c>
      <c r="EG35" s="2">
        <f>((IF((125='V06 Calend 01'!C35),('V06 Calend 01'!F35+'V06 Calend 01'!G35),0)+IF(AND(('V06 Calend 01'!E35&gt;0),(125&gt;'V06 Calend 01'!C35),(125&lt;'V06 Calend 01'!D35),(MOD((125-'V06 Calend 01'!C35),6)=0),(((125-'V06 Calend 01'!C35)/6)&lt;='V06 Calend 01'!E35)),IF((125=('V06 Calend 01'!C35+(6*'V06 Calend 01'!E35))),('V06 Calend 01'!H35-('V06 Calend 01'!I35*('V06 Calend 01'!E35-1))),'V06 Calend 01'!I35),0))+IF((125='V06 Calend 01'!D35),'V06 Calend 01'!J35,0))</f>
        <v>0</v>
      </c>
      <c r="EH35" s="2">
        <f>((IF((126='V06 Calend 01'!C35),('V06 Calend 01'!F35+'V06 Calend 01'!G35),0)+IF(AND(('V06 Calend 01'!E35&gt;0),(126&gt;'V06 Calend 01'!C35),(126&lt;'V06 Calend 01'!D35),(MOD((126-'V06 Calend 01'!C35),6)=0),(((126-'V06 Calend 01'!C35)/6)&lt;='V06 Calend 01'!E35)),IF((126=('V06 Calend 01'!C35+(6*'V06 Calend 01'!E35))),('V06 Calend 01'!H35-('V06 Calend 01'!I35*('V06 Calend 01'!E35-1))),'V06 Calend 01'!I35),0))+IF((126='V06 Calend 01'!D35),'V06 Calend 01'!J35,0))</f>
        <v>0</v>
      </c>
      <c r="EI35" s="2">
        <f>((IF((127='V06 Calend 01'!C35),('V06 Calend 01'!F35+'V06 Calend 01'!G35),0)+IF(AND(('V06 Calend 01'!E35&gt;0),(127&gt;'V06 Calend 01'!C35),(127&lt;'V06 Calend 01'!D35),(MOD((127-'V06 Calend 01'!C35),6)=0),(((127-'V06 Calend 01'!C35)/6)&lt;='V06 Calend 01'!E35)),IF((127=('V06 Calend 01'!C35+(6*'V06 Calend 01'!E35))),('V06 Calend 01'!H35-('V06 Calend 01'!I35*('V06 Calend 01'!E35-1))),'V06 Calend 01'!I35),0))+IF((127='V06 Calend 01'!D35),'V06 Calend 01'!J35,0))</f>
        <v>0</v>
      </c>
      <c r="EJ35" s="2">
        <f>((IF((128='V06 Calend 01'!C35),('V06 Calend 01'!F35+'V06 Calend 01'!G35),0)+IF(AND(('V06 Calend 01'!E35&gt;0),(128&gt;'V06 Calend 01'!C35),(128&lt;'V06 Calend 01'!D35),(MOD((128-'V06 Calend 01'!C35),6)=0),(((128-'V06 Calend 01'!C35)/6)&lt;='V06 Calend 01'!E35)),IF((128=('V06 Calend 01'!C35+(6*'V06 Calend 01'!E35))),('V06 Calend 01'!H35-('V06 Calend 01'!I35*('V06 Calend 01'!E35-1))),'V06 Calend 01'!I35),0))+IF((128='V06 Calend 01'!D35),'V06 Calend 01'!J35,0))</f>
        <v>0</v>
      </c>
      <c r="EK35" s="2">
        <f>((IF((129='V06 Calend 01'!C35),('V06 Calend 01'!F35+'V06 Calend 01'!G35),0)+IF(AND(('V06 Calend 01'!E35&gt;0),(129&gt;'V06 Calend 01'!C35),(129&lt;'V06 Calend 01'!D35),(MOD((129-'V06 Calend 01'!C35),6)=0),(((129-'V06 Calend 01'!C35)/6)&lt;='V06 Calend 01'!E35)),IF((129=('V06 Calend 01'!C35+(6*'V06 Calend 01'!E35))),('V06 Calend 01'!H35-('V06 Calend 01'!I35*('V06 Calend 01'!E35-1))),'V06 Calend 01'!I35),0))+IF((129='V06 Calend 01'!D35),'V06 Calend 01'!J35,0))</f>
        <v>0</v>
      </c>
      <c r="EL35" s="2">
        <f>((IF((130='V06 Calend 01'!C35),('V06 Calend 01'!F35+'V06 Calend 01'!G35),0)+IF(AND(('V06 Calend 01'!E35&gt;0),(130&gt;'V06 Calend 01'!C35),(130&lt;'V06 Calend 01'!D35),(MOD((130-'V06 Calend 01'!C35),6)=0),(((130-'V06 Calend 01'!C35)/6)&lt;='V06 Calend 01'!E35)),IF((130=('V06 Calend 01'!C35+(6*'V06 Calend 01'!E35))),('V06 Calend 01'!H35-('V06 Calend 01'!I35*('V06 Calend 01'!E35-1))),'V06 Calend 01'!I35),0))+IF((130='V06 Calend 01'!D35),'V06 Calend 01'!J35,0))</f>
        <v>0</v>
      </c>
      <c r="EM35" s="2">
        <f>((IF((131='V06 Calend 01'!C35),('V06 Calend 01'!F35+'V06 Calend 01'!G35),0)+IF(AND(('V06 Calend 01'!E35&gt;0),(131&gt;'V06 Calend 01'!C35),(131&lt;'V06 Calend 01'!D35),(MOD((131-'V06 Calend 01'!C35),6)=0),(((131-'V06 Calend 01'!C35)/6)&lt;='V06 Calend 01'!E35)),IF((131=('V06 Calend 01'!C35+(6*'V06 Calend 01'!E35))),('V06 Calend 01'!H35-('V06 Calend 01'!I35*('V06 Calend 01'!E35-1))),'V06 Calend 01'!I35),0))+IF((131='V06 Calend 01'!D35),'V06 Calend 01'!J35,0))</f>
        <v>0</v>
      </c>
      <c r="EN35" s="2">
        <f>((IF((132='V06 Calend 01'!C35),('V06 Calend 01'!F35+'V06 Calend 01'!G35),0)+IF(AND(('V06 Calend 01'!E35&gt;0),(132&gt;'V06 Calend 01'!C35),(132&lt;'V06 Calend 01'!D35),(MOD((132-'V06 Calend 01'!C35),6)=0),(((132-'V06 Calend 01'!C35)/6)&lt;='V06 Calend 01'!E35)),IF((132=('V06 Calend 01'!C35+(6*'V06 Calend 01'!E35))),('V06 Calend 01'!H35-('V06 Calend 01'!I35*('V06 Calend 01'!E35-1))),'V06 Calend 01'!I35),0))+IF((132='V06 Calend 01'!D35),'V06 Calend 01'!J35,0))</f>
        <v>0</v>
      </c>
      <c r="EO35" s="2">
        <f>((IF((133='V06 Calend 01'!C35),('V06 Calend 01'!F35+'V06 Calend 01'!G35),0)+IF(AND(('V06 Calend 01'!E35&gt;0),(133&gt;'V06 Calend 01'!C35),(133&lt;'V06 Calend 01'!D35),(MOD((133-'V06 Calend 01'!C35),6)=0),(((133-'V06 Calend 01'!C35)/6)&lt;='V06 Calend 01'!E35)),IF((133=('V06 Calend 01'!C35+(6*'V06 Calend 01'!E35))),('V06 Calend 01'!H35-('V06 Calend 01'!I35*('V06 Calend 01'!E35-1))),'V06 Calend 01'!I35),0))+IF((133='V06 Calend 01'!D35),'V06 Calend 01'!J35,0))</f>
        <v>0</v>
      </c>
      <c r="EP35" s="2">
        <f>((IF((134='V06 Calend 01'!C35),('V06 Calend 01'!F35+'V06 Calend 01'!G35),0)+IF(AND(('V06 Calend 01'!E35&gt;0),(134&gt;'V06 Calend 01'!C35),(134&lt;'V06 Calend 01'!D35),(MOD((134-'V06 Calend 01'!C35),6)=0),(((134-'V06 Calend 01'!C35)/6)&lt;='V06 Calend 01'!E35)),IF((134=('V06 Calend 01'!C35+(6*'V06 Calend 01'!E35))),('V06 Calend 01'!H35-('V06 Calend 01'!I35*('V06 Calend 01'!E35-1))),'V06 Calend 01'!I35),0))+IF((134='V06 Calend 01'!D35),'V06 Calend 01'!J35,0))</f>
        <v>0</v>
      </c>
      <c r="EQ35" s="2">
        <f>((IF((135='V06 Calend 01'!C35),('V06 Calend 01'!F35+'V06 Calend 01'!G35),0)+IF(AND(('V06 Calend 01'!E35&gt;0),(135&gt;'V06 Calend 01'!C35),(135&lt;'V06 Calend 01'!D35),(MOD((135-'V06 Calend 01'!C35),6)=0),(((135-'V06 Calend 01'!C35)/6)&lt;='V06 Calend 01'!E35)),IF((135=('V06 Calend 01'!C35+(6*'V06 Calend 01'!E35))),('V06 Calend 01'!H35-('V06 Calend 01'!I35*('V06 Calend 01'!E35-1))),'V06 Calend 01'!I35),0))+IF((135='V06 Calend 01'!D35),'V06 Calend 01'!J35,0))</f>
        <v>0</v>
      </c>
      <c r="ER35" s="2">
        <f>((IF((136='V06 Calend 01'!C35),('V06 Calend 01'!F35+'V06 Calend 01'!G35),0)+IF(AND(('V06 Calend 01'!E35&gt;0),(136&gt;'V06 Calend 01'!C35),(136&lt;'V06 Calend 01'!D35),(MOD((136-'V06 Calend 01'!C35),6)=0),(((136-'V06 Calend 01'!C35)/6)&lt;='V06 Calend 01'!E35)),IF((136=('V06 Calend 01'!C35+(6*'V06 Calend 01'!E35))),('V06 Calend 01'!H35-('V06 Calend 01'!I35*('V06 Calend 01'!E35-1))),'V06 Calend 01'!I35),0))+IF((136='V06 Calend 01'!D35),'V06 Calend 01'!J35,0))</f>
        <v>0</v>
      </c>
      <c r="ES35" s="2">
        <f>((IF((137='V06 Calend 01'!C35),('V06 Calend 01'!F35+'V06 Calend 01'!G35),0)+IF(AND(('V06 Calend 01'!E35&gt;0),(137&gt;'V06 Calend 01'!C35),(137&lt;'V06 Calend 01'!D35),(MOD((137-'V06 Calend 01'!C35),6)=0),(((137-'V06 Calend 01'!C35)/6)&lt;='V06 Calend 01'!E35)),IF((137=('V06 Calend 01'!C35+(6*'V06 Calend 01'!E35))),('V06 Calend 01'!H35-('V06 Calend 01'!I35*('V06 Calend 01'!E35-1))),'V06 Calend 01'!I35),0))+IF((137='V06 Calend 01'!D35),'V06 Calend 01'!J35,0))</f>
        <v>0</v>
      </c>
      <c r="ET35" s="2">
        <f>((IF((138='V06 Calend 01'!C35),('V06 Calend 01'!F35+'V06 Calend 01'!G35),0)+IF(AND(('V06 Calend 01'!E35&gt;0),(138&gt;'V06 Calend 01'!C35),(138&lt;'V06 Calend 01'!D35),(MOD((138-'V06 Calend 01'!C35),6)=0),(((138-'V06 Calend 01'!C35)/6)&lt;='V06 Calend 01'!E35)),IF((138=('V06 Calend 01'!C35+(6*'V06 Calend 01'!E35))),('V06 Calend 01'!H35-('V06 Calend 01'!I35*('V06 Calend 01'!E35-1))),'V06 Calend 01'!I35),0))+IF((138='V06 Calend 01'!D35),'V06 Calend 01'!J35,0))</f>
        <v>0</v>
      </c>
      <c r="EU35" s="2">
        <f>((IF((139='V06 Calend 01'!C35),('V06 Calend 01'!F35+'V06 Calend 01'!G35),0)+IF(AND(('V06 Calend 01'!E35&gt;0),(139&gt;'V06 Calend 01'!C35),(139&lt;'V06 Calend 01'!D35),(MOD((139-'V06 Calend 01'!C35),6)=0),(((139-'V06 Calend 01'!C35)/6)&lt;='V06 Calend 01'!E35)),IF((139=('V06 Calend 01'!C35+(6*'V06 Calend 01'!E35))),('V06 Calend 01'!H35-('V06 Calend 01'!I35*('V06 Calend 01'!E35-1))),'V06 Calend 01'!I35),0))+IF((139='V06 Calend 01'!D35),'V06 Calend 01'!J35,0))</f>
        <v>0</v>
      </c>
      <c r="EV35" s="2">
        <f>((IF((140='V06 Calend 01'!C35),('V06 Calend 01'!F35+'V06 Calend 01'!G35),0)+IF(AND(('V06 Calend 01'!E35&gt;0),(140&gt;'V06 Calend 01'!C35),(140&lt;'V06 Calend 01'!D35),(MOD((140-'V06 Calend 01'!C35),6)=0),(((140-'V06 Calend 01'!C35)/6)&lt;='V06 Calend 01'!E35)),IF((140=('V06 Calend 01'!C35+(6*'V06 Calend 01'!E35))),('V06 Calend 01'!H35-('V06 Calend 01'!I35*('V06 Calend 01'!E35-1))),'V06 Calend 01'!I35),0))+IF((140='V06 Calend 01'!D35),'V06 Calend 01'!J35,0))</f>
        <v>0</v>
      </c>
      <c r="EW35" s="2">
        <f>((IF((141='V06 Calend 01'!C35),('V06 Calend 01'!F35+'V06 Calend 01'!G35),0)+IF(AND(('V06 Calend 01'!E35&gt;0),(141&gt;'V06 Calend 01'!C35),(141&lt;'V06 Calend 01'!D35),(MOD((141-'V06 Calend 01'!C35),6)=0),(((141-'V06 Calend 01'!C35)/6)&lt;='V06 Calend 01'!E35)),IF((141=('V06 Calend 01'!C35+(6*'V06 Calend 01'!E35))),('V06 Calend 01'!H35-('V06 Calend 01'!I35*('V06 Calend 01'!E35-1))),'V06 Calend 01'!I35),0))+IF((141='V06 Calend 01'!D35),'V06 Calend 01'!J35,0))</f>
        <v>0</v>
      </c>
      <c r="EX35" s="2">
        <f>((IF((142='V06 Calend 01'!C35),('V06 Calend 01'!F35+'V06 Calend 01'!G35),0)+IF(AND(('V06 Calend 01'!E35&gt;0),(142&gt;'V06 Calend 01'!C35),(142&lt;'V06 Calend 01'!D35),(MOD((142-'V06 Calend 01'!C35),6)=0),(((142-'V06 Calend 01'!C35)/6)&lt;='V06 Calend 01'!E35)),IF((142=('V06 Calend 01'!C35+(6*'V06 Calend 01'!E35))),('V06 Calend 01'!H35-('V06 Calend 01'!I35*('V06 Calend 01'!E35-1))),'V06 Calend 01'!I35),0))+IF((142='V06 Calend 01'!D35),'V06 Calend 01'!J35,0))</f>
        <v>0</v>
      </c>
      <c r="EY35" s="2">
        <f>((IF((143='V06 Calend 01'!C35),('V06 Calend 01'!F35+'V06 Calend 01'!G35),0)+IF(AND(('V06 Calend 01'!E35&gt;0),(143&gt;'V06 Calend 01'!C35),(143&lt;'V06 Calend 01'!D35),(MOD((143-'V06 Calend 01'!C35),6)=0),(((143-'V06 Calend 01'!C35)/6)&lt;='V06 Calend 01'!E35)),IF((143=('V06 Calend 01'!C35+(6*'V06 Calend 01'!E35))),('V06 Calend 01'!H35-('V06 Calend 01'!I35*('V06 Calend 01'!E35-1))),'V06 Calend 01'!I35),0))+IF((143='V06 Calend 01'!D35),'V06 Calend 01'!J35,0))</f>
        <v>0</v>
      </c>
      <c r="EZ35" s="2">
        <f>((IF((144='V06 Calend 01'!C35),('V06 Calend 01'!F35+'V06 Calend 01'!G35),0)+IF(AND(('V06 Calend 01'!E35&gt;0),(144&gt;'V06 Calend 01'!C35),(144&lt;'V06 Calend 01'!D35),(MOD((144-'V06 Calend 01'!C35),6)=0),(((144-'V06 Calend 01'!C35)/6)&lt;='V06 Calend 01'!E35)),IF((144=('V06 Calend 01'!C35+(6*'V06 Calend 01'!E35))),('V06 Calend 01'!H35-('V06 Calend 01'!I35*('V06 Calend 01'!E35-1))),'V06 Calend 01'!I35),0))+IF((144='V06 Calend 01'!D35),'V06 Calend 01'!J35,0))</f>
        <v>0</v>
      </c>
      <c r="FA35" s="2">
        <f>((IF((145='V06 Calend 01'!C35),('V06 Calend 01'!F35+'V06 Calend 01'!G35),0)+IF(AND(('V06 Calend 01'!E35&gt;0),(145&gt;'V06 Calend 01'!C35),(145&lt;'V06 Calend 01'!D35),(MOD((145-'V06 Calend 01'!C35),6)=0),(((145-'V06 Calend 01'!C35)/6)&lt;='V06 Calend 01'!E35)),IF((145=('V06 Calend 01'!C35+(6*'V06 Calend 01'!E35))),('V06 Calend 01'!H35-('V06 Calend 01'!I35*('V06 Calend 01'!E35-1))),'V06 Calend 01'!I35),0))+IF((145='V06 Calend 01'!D35),'V06 Calend 01'!J35,0))</f>
        <v>0</v>
      </c>
      <c r="FB35" s="2">
        <f>((IF((146='V06 Calend 01'!C35),('V06 Calend 01'!F35+'V06 Calend 01'!G35),0)+IF(AND(('V06 Calend 01'!E35&gt;0),(146&gt;'V06 Calend 01'!C35),(146&lt;'V06 Calend 01'!D35),(MOD((146-'V06 Calend 01'!C35),6)=0),(((146-'V06 Calend 01'!C35)/6)&lt;='V06 Calend 01'!E35)),IF((146=('V06 Calend 01'!C35+(6*'V06 Calend 01'!E35))),('V06 Calend 01'!H35-('V06 Calend 01'!I35*('V06 Calend 01'!E35-1))),'V06 Calend 01'!I35),0))+IF((146='V06 Calend 01'!D35),'V06 Calend 01'!J35,0))</f>
        <v>0</v>
      </c>
      <c r="FC35" s="2">
        <f>((IF((147='V06 Calend 01'!C35),('V06 Calend 01'!F35+'V06 Calend 01'!G35),0)+IF(AND(('V06 Calend 01'!E35&gt;0),(147&gt;'V06 Calend 01'!C35),(147&lt;'V06 Calend 01'!D35),(MOD((147-'V06 Calend 01'!C35),6)=0),(((147-'V06 Calend 01'!C35)/6)&lt;='V06 Calend 01'!E35)),IF((147=('V06 Calend 01'!C35+(6*'V06 Calend 01'!E35))),('V06 Calend 01'!H35-('V06 Calend 01'!I35*('V06 Calend 01'!E35-1))),'V06 Calend 01'!I35),0))+IF((147='V06 Calend 01'!D35),'V06 Calend 01'!J35,0))</f>
        <v>0</v>
      </c>
      <c r="FD35" s="2">
        <f>((IF((148='V06 Calend 01'!C35),('V06 Calend 01'!F35+'V06 Calend 01'!G35),0)+IF(AND(('V06 Calend 01'!E35&gt;0),(148&gt;'V06 Calend 01'!C35),(148&lt;'V06 Calend 01'!D35),(MOD((148-'V06 Calend 01'!C35),6)=0),(((148-'V06 Calend 01'!C35)/6)&lt;='V06 Calend 01'!E35)),IF((148=('V06 Calend 01'!C35+(6*'V06 Calend 01'!E35))),('V06 Calend 01'!H35-('V06 Calend 01'!I35*('V06 Calend 01'!E35-1))),'V06 Calend 01'!I35),0))+IF((148='V06 Calend 01'!D35),'V06 Calend 01'!J35,0))</f>
        <v>0</v>
      </c>
      <c r="FE35" s="2">
        <f>((IF((149='V06 Calend 01'!C35),('V06 Calend 01'!F35+'V06 Calend 01'!G35),0)+IF(AND(('V06 Calend 01'!E35&gt;0),(149&gt;'V06 Calend 01'!C35),(149&lt;'V06 Calend 01'!D35),(MOD((149-'V06 Calend 01'!C35),6)=0),(((149-'V06 Calend 01'!C35)/6)&lt;='V06 Calend 01'!E35)),IF((149=('V06 Calend 01'!C35+(6*'V06 Calend 01'!E35))),('V06 Calend 01'!H35-('V06 Calend 01'!I35*('V06 Calend 01'!E35-1))),'V06 Calend 01'!I35),0))+IF((149='V06 Calend 01'!D35),'V06 Calend 01'!J35,0))</f>
        <v>0</v>
      </c>
      <c r="FF35" s="2">
        <f>((IF((150='V06 Calend 01'!C35),('V06 Calend 01'!F35+'V06 Calend 01'!G35),0)+IF(AND(('V06 Calend 01'!E35&gt;0),(150&gt;'V06 Calend 01'!C35),(150&lt;'V06 Calend 01'!D35),(MOD((150-'V06 Calend 01'!C35),6)=0),(((150-'V06 Calend 01'!C35)/6)&lt;='V06 Calend 01'!E35)),IF((150=('V06 Calend 01'!C35+(6*'V06 Calend 01'!E35))),('V06 Calend 01'!H35-('V06 Calend 01'!I35*('V06 Calend 01'!E35-1))),'V06 Calend 01'!I35),0))+IF((150='V06 Calend 01'!D35),'V06 Calend 01'!J35,0))</f>
        <v>0</v>
      </c>
      <c r="FG35" s="2">
        <f>((IF((151='V06 Calend 01'!C35),('V06 Calend 01'!F35+'V06 Calend 01'!G35),0)+IF(AND(('V06 Calend 01'!E35&gt;0),(151&gt;'V06 Calend 01'!C35),(151&lt;'V06 Calend 01'!D35),(MOD((151-'V06 Calend 01'!C35),6)=0),(((151-'V06 Calend 01'!C35)/6)&lt;='V06 Calend 01'!E35)),IF((151=('V06 Calend 01'!C35+(6*'V06 Calend 01'!E35))),('V06 Calend 01'!H35-('V06 Calend 01'!I35*('V06 Calend 01'!E35-1))),'V06 Calend 01'!I35),0))+IF((151='V06 Calend 01'!D35),'V06 Calend 01'!J35,0))</f>
        <v>0</v>
      </c>
      <c r="FH35" s="2">
        <f>((IF((152='V06 Calend 01'!C35),('V06 Calend 01'!F35+'V06 Calend 01'!G35),0)+IF(AND(('V06 Calend 01'!E35&gt;0),(152&gt;'V06 Calend 01'!C35),(152&lt;'V06 Calend 01'!D35),(MOD((152-'V06 Calend 01'!C35),6)=0),(((152-'V06 Calend 01'!C35)/6)&lt;='V06 Calend 01'!E35)),IF((152=('V06 Calend 01'!C35+(6*'V06 Calend 01'!E35))),('V06 Calend 01'!H35-('V06 Calend 01'!I35*('V06 Calend 01'!E35-1))),'V06 Calend 01'!I35),0))+IF((152='V06 Calend 01'!D35),'V06 Calend 01'!J35,0))</f>
        <v>0</v>
      </c>
      <c r="FI35" s="2">
        <f>((IF((153='V06 Calend 01'!C35),('V06 Calend 01'!F35+'V06 Calend 01'!G35),0)+IF(AND(('V06 Calend 01'!E35&gt;0),(153&gt;'V06 Calend 01'!C35),(153&lt;'V06 Calend 01'!D35),(MOD((153-'V06 Calend 01'!C35),6)=0),(((153-'V06 Calend 01'!C35)/6)&lt;='V06 Calend 01'!E35)),IF((153=('V06 Calend 01'!C35+(6*'V06 Calend 01'!E35))),('V06 Calend 01'!H35-('V06 Calend 01'!I35*('V06 Calend 01'!E35-1))),'V06 Calend 01'!I35),0))+IF((153='V06 Calend 01'!D35),'V06 Calend 01'!J35,0))</f>
        <v>0</v>
      </c>
      <c r="FJ35" s="2">
        <f>((IF((154='V06 Calend 01'!C35),('V06 Calend 01'!F35+'V06 Calend 01'!G35),0)+IF(AND(('V06 Calend 01'!E35&gt;0),(154&gt;'V06 Calend 01'!C35),(154&lt;'V06 Calend 01'!D35),(MOD((154-'V06 Calend 01'!C35),6)=0),(((154-'V06 Calend 01'!C35)/6)&lt;='V06 Calend 01'!E35)),IF((154=('V06 Calend 01'!C35+(6*'V06 Calend 01'!E35))),('V06 Calend 01'!H35-('V06 Calend 01'!I35*('V06 Calend 01'!E35-1))),'V06 Calend 01'!I35),0))+IF((154='V06 Calend 01'!D35),'V06 Calend 01'!J35,0))</f>
        <v>0</v>
      </c>
      <c r="FK35" s="2">
        <f>((IF((155='V06 Calend 01'!C35),('V06 Calend 01'!F35+'V06 Calend 01'!G35),0)+IF(AND(('V06 Calend 01'!E35&gt;0),(155&gt;'V06 Calend 01'!C35),(155&lt;'V06 Calend 01'!D35),(MOD((155-'V06 Calend 01'!C35),6)=0),(((155-'V06 Calend 01'!C35)/6)&lt;='V06 Calend 01'!E35)),IF((155=('V06 Calend 01'!C35+(6*'V06 Calend 01'!E35))),('V06 Calend 01'!H35-('V06 Calend 01'!I35*('V06 Calend 01'!E35-1))),'V06 Calend 01'!I35),0))+IF((155='V06 Calend 01'!D35),'V06 Calend 01'!J35,0))</f>
        <v>0</v>
      </c>
      <c r="FL35" s="2">
        <f>((IF((156='V06 Calend 01'!C35),('V06 Calend 01'!F35+'V06 Calend 01'!G35),0)+IF(AND(('V06 Calend 01'!E35&gt;0),(156&gt;'V06 Calend 01'!C35),(156&lt;'V06 Calend 01'!D35),(MOD((156-'V06 Calend 01'!C35),6)=0),(((156-'V06 Calend 01'!C35)/6)&lt;='V06 Calend 01'!E35)),IF((156=('V06 Calend 01'!C35+(6*'V06 Calend 01'!E35))),('V06 Calend 01'!H35-('V06 Calend 01'!I35*('V06 Calend 01'!E35-1))),'V06 Calend 01'!I35),0))+IF((156='V06 Calend 01'!D35),'V06 Calend 01'!J35,0))</f>
        <v>0</v>
      </c>
      <c r="FM35" s="2">
        <f>((IF((157='V06 Calend 01'!C35),('V06 Calend 01'!F35+'V06 Calend 01'!G35),0)+IF(AND(('V06 Calend 01'!E35&gt;0),(157&gt;'V06 Calend 01'!C35),(157&lt;'V06 Calend 01'!D35),(MOD((157-'V06 Calend 01'!C35),6)=0),(((157-'V06 Calend 01'!C35)/6)&lt;='V06 Calend 01'!E35)),IF((157=('V06 Calend 01'!C35+(6*'V06 Calend 01'!E35))),('V06 Calend 01'!H35-('V06 Calend 01'!I35*('V06 Calend 01'!E35-1))),'V06 Calend 01'!I35),0))+IF((157='V06 Calend 01'!D35),'V06 Calend 01'!J35,0))</f>
        <v>0</v>
      </c>
      <c r="FN35" s="2">
        <f>((IF((158='V06 Calend 01'!C35),('V06 Calend 01'!F35+'V06 Calend 01'!G35),0)+IF(AND(('V06 Calend 01'!E35&gt;0),(158&gt;'V06 Calend 01'!C35),(158&lt;'V06 Calend 01'!D35),(MOD((158-'V06 Calend 01'!C35),6)=0),(((158-'V06 Calend 01'!C35)/6)&lt;='V06 Calend 01'!E35)),IF((158=('V06 Calend 01'!C35+(6*'V06 Calend 01'!E35))),('V06 Calend 01'!H35-('V06 Calend 01'!I35*('V06 Calend 01'!E35-1))),'V06 Calend 01'!I35),0))+IF((158='V06 Calend 01'!D35),'V06 Calend 01'!J35,0))</f>
        <v>0</v>
      </c>
      <c r="FO35" s="2">
        <f>((IF((159='V06 Calend 01'!C35),('V06 Calend 01'!F35+'V06 Calend 01'!G35),0)+IF(AND(('V06 Calend 01'!E35&gt;0),(159&gt;'V06 Calend 01'!C35),(159&lt;'V06 Calend 01'!D35),(MOD((159-'V06 Calend 01'!C35),6)=0),(((159-'V06 Calend 01'!C35)/6)&lt;='V06 Calend 01'!E35)),IF((159=('V06 Calend 01'!C35+(6*'V06 Calend 01'!E35))),('V06 Calend 01'!H35-('V06 Calend 01'!I35*('V06 Calend 01'!E35-1))),'V06 Calend 01'!I35),0))+IF((159='V06 Calend 01'!D35),'V06 Calend 01'!J35,0))</f>
        <v>0</v>
      </c>
      <c r="FP35" s="2">
        <f>((IF((160='V06 Calend 01'!C35),('V06 Calend 01'!F35+'V06 Calend 01'!G35),0)+IF(AND(('V06 Calend 01'!E35&gt;0),(160&gt;'V06 Calend 01'!C35),(160&lt;'V06 Calend 01'!D35),(MOD((160-'V06 Calend 01'!C35),6)=0),(((160-'V06 Calend 01'!C35)/6)&lt;='V06 Calend 01'!E35)),IF((160=('V06 Calend 01'!C35+(6*'V06 Calend 01'!E35))),('V06 Calend 01'!H35-('V06 Calend 01'!I35*('V06 Calend 01'!E35-1))),'V06 Calend 01'!I35),0))+IF((160='V06 Calend 01'!D35),'V06 Calend 01'!J35,0))</f>
        <v>0</v>
      </c>
      <c r="FQ35" s="2">
        <f>((IF((161='V06 Calend 01'!C35),('V06 Calend 01'!F35+'V06 Calend 01'!G35),0)+IF(AND(('V06 Calend 01'!E35&gt;0),(161&gt;'V06 Calend 01'!C35),(161&lt;'V06 Calend 01'!D35),(MOD((161-'V06 Calend 01'!C35),6)=0),(((161-'V06 Calend 01'!C35)/6)&lt;='V06 Calend 01'!E35)),IF((161=('V06 Calend 01'!C35+(6*'V06 Calend 01'!E35))),('V06 Calend 01'!H35-('V06 Calend 01'!I35*('V06 Calend 01'!E35-1))),'V06 Calend 01'!I35),0))+IF((161='V06 Calend 01'!D35),'V06 Calend 01'!J35,0))</f>
        <v>0</v>
      </c>
      <c r="FR35" s="2">
        <f>((IF((162='V06 Calend 01'!C35),('V06 Calend 01'!F35+'V06 Calend 01'!G35),0)+IF(AND(('V06 Calend 01'!E35&gt;0),(162&gt;'V06 Calend 01'!C35),(162&lt;'V06 Calend 01'!D35),(MOD((162-'V06 Calend 01'!C35),6)=0),(((162-'V06 Calend 01'!C35)/6)&lt;='V06 Calend 01'!E35)),IF((162=('V06 Calend 01'!C35+(6*'V06 Calend 01'!E35))),('V06 Calend 01'!H35-('V06 Calend 01'!I35*('V06 Calend 01'!E35-1))),'V06 Calend 01'!I35),0))+IF((162='V06 Calend 01'!D35),'V06 Calend 01'!J35,0))</f>
        <v>0</v>
      </c>
      <c r="FS35" s="2">
        <f>((IF((163='V06 Calend 01'!C35),('V06 Calend 01'!F35+'V06 Calend 01'!G35),0)+IF(AND(('V06 Calend 01'!E35&gt;0),(163&gt;'V06 Calend 01'!C35),(163&lt;'V06 Calend 01'!D35),(MOD((163-'V06 Calend 01'!C35),6)=0),(((163-'V06 Calend 01'!C35)/6)&lt;='V06 Calend 01'!E35)),IF((163=('V06 Calend 01'!C35+(6*'V06 Calend 01'!E35))),('V06 Calend 01'!H35-('V06 Calend 01'!I35*('V06 Calend 01'!E35-1))),'V06 Calend 01'!I35),0))+IF((163='V06 Calend 01'!D35),'V06 Calend 01'!J35,0))</f>
        <v>0</v>
      </c>
      <c r="FT35" s="2">
        <f>((IF((164='V06 Calend 01'!C35),('V06 Calend 01'!F35+'V06 Calend 01'!G35),0)+IF(AND(('V06 Calend 01'!E35&gt;0),(164&gt;'V06 Calend 01'!C35),(164&lt;'V06 Calend 01'!D35),(MOD((164-'V06 Calend 01'!C35),6)=0),(((164-'V06 Calend 01'!C35)/6)&lt;='V06 Calend 01'!E35)),IF((164=('V06 Calend 01'!C35+(6*'V06 Calend 01'!E35))),('V06 Calend 01'!H35-('V06 Calend 01'!I35*('V06 Calend 01'!E35-1))),'V06 Calend 01'!I35),0))+IF((164='V06 Calend 01'!D35),'V06 Calend 01'!J35,0))</f>
        <v>0</v>
      </c>
      <c r="FU35" s="2">
        <f>((IF((165='V06 Calend 01'!C35),('V06 Calend 01'!F35+'V06 Calend 01'!G35),0)+IF(AND(('V06 Calend 01'!E35&gt;0),(165&gt;'V06 Calend 01'!C35),(165&lt;'V06 Calend 01'!D35),(MOD((165-'V06 Calend 01'!C35),6)=0),(((165-'V06 Calend 01'!C35)/6)&lt;='V06 Calend 01'!E35)),IF((165=('V06 Calend 01'!C35+(6*'V06 Calend 01'!E35))),('V06 Calend 01'!H35-('V06 Calend 01'!I35*('V06 Calend 01'!E35-1))),'V06 Calend 01'!I35),0))+IF((165='V06 Calend 01'!D35),'V06 Calend 01'!J35,0))</f>
        <v>0</v>
      </c>
      <c r="FV35" s="2">
        <f>((IF((166='V06 Calend 01'!C35),('V06 Calend 01'!F35+'V06 Calend 01'!G35),0)+IF(AND(('V06 Calend 01'!E35&gt;0),(166&gt;'V06 Calend 01'!C35),(166&lt;'V06 Calend 01'!D35),(MOD((166-'V06 Calend 01'!C35),6)=0),(((166-'V06 Calend 01'!C35)/6)&lt;='V06 Calend 01'!E35)),IF((166=('V06 Calend 01'!C35+(6*'V06 Calend 01'!E35))),('V06 Calend 01'!H35-('V06 Calend 01'!I35*('V06 Calend 01'!E35-1))),'V06 Calend 01'!I35),0))+IF((166='V06 Calend 01'!D35),'V06 Calend 01'!J35,0))</f>
        <v>0</v>
      </c>
      <c r="FW35" s="2">
        <f>((IF((167='V06 Calend 01'!C35),('V06 Calend 01'!F35+'V06 Calend 01'!G35),0)+IF(AND(('V06 Calend 01'!E35&gt;0),(167&gt;'V06 Calend 01'!C35),(167&lt;'V06 Calend 01'!D35),(MOD((167-'V06 Calend 01'!C35),6)=0),(((167-'V06 Calend 01'!C35)/6)&lt;='V06 Calend 01'!E35)),IF((167=('V06 Calend 01'!C35+(6*'V06 Calend 01'!E35))),('V06 Calend 01'!H35-('V06 Calend 01'!I35*('V06 Calend 01'!E35-1))),'V06 Calend 01'!I35),0))+IF((167='V06 Calend 01'!D35),'V06 Calend 01'!J35,0))</f>
        <v>0</v>
      </c>
      <c r="FX35" s="2">
        <f>((IF((168='V06 Calend 01'!C35),('V06 Calend 01'!F35+'V06 Calend 01'!G35),0)+IF(AND(('V06 Calend 01'!E35&gt;0),(168&gt;'V06 Calend 01'!C35),(168&lt;'V06 Calend 01'!D35),(MOD((168-'V06 Calend 01'!C35),6)=0),(((168-'V06 Calend 01'!C35)/6)&lt;='V06 Calend 01'!E35)),IF((168=('V06 Calend 01'!C35+(6*'V06 Calend 01'!E35))),('V06 Calend 01'!H35-('V06 Calend 01'!I35*('V06 Calend 01'!E35-1))),'V06 Calend 01'!I35),0))+IF((168='V06 Calend 01'!D35),'V06 Calend 01'!J35,0))</f>
        <v>0</v>
      </c>
      <c r="FY35" s="2">
        <f>((IF((169='V06 Calend 01'!C35),('V06 Calend 01'!F35+'V06 Calend 01'!G35),0)+IF(AND(('V06 Calend 01'!E35&gt;0),(169&gt;'V06 Calend 01'!C35),(169&lt;'V06 Calend 01'!D35),(MOD((169-'V06 Calend 01'!C35),6)=0),(((169-'V06 Calend 01'!C35)/6)&lt;='V06 Calend 01'!E35)),IF((169=('V06 Calend 01'!C35+(6*'V06 Calend 01'!E35))),('V06 Calend 01'!H35-('V06 Calend 01'!I35*('V06 Calend 01'!E35-1))),'V06 Calend 01'!I35),0))+IF((169='V06 Calend 01'!D35),'V06 Calend 01'!J35,0))</f>
        <v>0</v>
      </c>
      <c r="FZ35" s="2">
        <f>((IF((170='V06 Calend 01'!C35),('V06 Calend 01'!F35+'V06 Calend 01'!G35),0)+IF(AND(('V06 Calend 01'!E35&gt;0),(170&gt;'V06 Calend 01'!C35),(170&lt;'V06 Calend 01'!D35),(MOD((170-'V06 Calend 01'!C35),6)=0),(((170-'V06 Calend 01'!C35)/6)&lt;='V06 Calend 01'!E35)),IF((170=('V06 Calend 01'!C35+(6*'V06 Calend 01'!E35))),('V06 Calend 01'!H35-('V06 Calend 01'!I35*('V06 Calend 01'!E35-1))),'V06 Calend 01'!I35),0))+IF((170='V06 Calend 01'!D35),'V06 Calend 01'!J35,0))</f>
        <v>0</v>
      </c>
      <c r="GA35" s="2">
        <f>((IF((171='V06 Calend 01'!C35),('V06 Calend 01'!F35+'V06 Calend 01'!G35),0)+IF(AND(('V06 Calend 01'!E35&gt;0),(171&gt;'V06 Calend 01'!C35),(171&lt;'V06 Calend 01'!D35),(MOD((171-'V06 Calend 01'!C35),6)=0),(((171-'V06 Calend 01'!C35)/6)&lt;='V06 Calend 01'!E35)),IF((171=('V06 Calend 01'!C35+(6*'V06 Calend 01'!E35))),('V06 Calend 01'!H35-('V06 Calend 01'!I35*('V06 Calend 01'!E35-1))),'V06 Calend 01'!I35),0))+IF((171='V06 Calend 01'!D35),'V06 Calend 01'!J35,0))</f>
        <v>0</v>
      </c>
      <c r="GB35" s="2">
        <f>((IF((172='V06 Calend 01'!C35),('V06 Calend 01'!F35+'V06 Calend 01'!G35),0)+IF(AND(('V06 Calend 01'!E35&gt;0),(172&gt;'V06 Calend 01'!C35),(172&lt;'V06 Calend 01'!D35),(MOD((172-'V06 Calend 01'!C35),6)=0),(((172-'V06 Calend 01'!C35)/6)&lt;='V06 Calend 01'!E35)),IF((172=('V06 Calend 01'!C35+(6*'V06 Calend 01'!E35))),('V06 Calend 01'!H35-('V06 Calend 01'!I35*('V06 Calend 01'!E35-1))),'V06 Calend 01'!I35),0))+IF((172='V06 Calend 01'!D35),'V06 Calend 01'!J35,0))</f>
        <v>0</v>
      </c>
      <c r="GC35" s="2">
        <f>((IF((173='V06 Calend 01'!C35),('V06 Calend 01'!F35+'V06 Calend 01'!G35),0)+IF(AND(('V06 Calend 01'!E35&gt;0),(173&gt;'V06 Calend 01'!C35),(173&lt;'V06 Calend 01'!D35),(MOD((173-'V06 Calend 01'!C35),6)=0),(((173-'V06 Calend 01'!C35)/6)&lt;='V06 Calend 01'!E35)),IF((173=('V06 Calend 01'!C35+(6*'V06 Calend 01'!E35))),('V06 Calend 01'!H35-('V06 Calend 01'!I35*('V06 Calend 01'!E35-1))),'V06 Calend 01'!I35),0))+IF((173='V06 Calend 01'!D35),'V06 Calend 01'!J35,0))</f>
        <v>0</v>
      </c>
      <c r="GD35" s="2">
        <f>((IF((174='V06 Calend 01'!C35),('V06 Calend 01'!F35+'V06 Calend 01'!G35),0)+IF(AND(('V06 Calend 01'!E35&gt;0),(174&gt;'V06 Calend 01'!C35),(174&lt;'V06 Calend 01'!D35),(MOD((174-'V06 Calend 01'!C35),6)=0),(((174-'V06 Calend 01'!C35)/6)&lt;='V06 Calend 01'!E35)),IF((174=('V06 Calend 01'!C35+(6*'V06 Calend 01'!E35))),('V06 Calend 01'!H35-('V06 Calend 01'!I35*('V06 Calend 01'!E35-1))),'V06 Calend 01'!I35),0))+IF((174='V06 Calend 01'!D35),'V06 Calend 01'!J35,0))</f>
        <v>0</v>
      </c>
      <c r="GE35" s="2">
        <f>((IF((175='V06 Calend 01'!C35),('V06 Calend 01'!F35+'V06 Calend 01'!G35),0)+IF(AND(('V06 Calend 01'!E35&gt;0),(175&gt;'V06 Calend 01'!C35),(175&lt;'V06 Calend 01'!D35),(MOD((175-'V06 Calend 01'!C35),6)=0),(((175-'V06 Calend 01'!C35)/6)&lt;='V06 Calend 01'!E35)),IF((175=('V06 Calend 01'!C35+(6*'V06 Calend 01'!E35))),('V06 Calend 01'!H35-('V06 Calend 01'!I35*('V06 Calend 01'!E35-1))),'V06 Calend 01'!I35),0))+IF((175='V06 Calend 01'!D35),'V06 Calend 01'!J35,0))</f>
        <v>0</v>
      </c>
      <c r="GF35" s="2">
        <f>((IF((176='V06 Calend 01'!C35),('V06 Calend 01'!F35+'V06 Calend 01'!G35),0)+IF(AND(('V06 Calend 01'!E35&gt;0),(176&gt;'V06 Calend 01'!C35),(176&lt;'V06 Calend 01'!D35),(MOD((176-'V06 Calend 01'!C35),6)=0),(((176-'V06 Calend 01'!C35)/6)&lt;='V06 Calend 01'!E35)),IF((176=('V06 Calend 01'!C35+(6*'V06 Calend 01'!E35))),('V06 Calend 01'!H35-('V06 Calend 01'!I35*('V06 Calend 01'!E35-1))),'V06 Calend 01'!I35),0))+IF((176='V06 Calend 01'!D35),'V06 Calend 01'!J35,0))</f>
        <v>0</v>
      </c>
      <c r="GG35" s="2">
        <f>((IF((177='V06 Calend 01'!C35),('V06 Calend 01'!F35+'V06 Calend 01'!G35),0)+IF(AND(('V06 Calend 01'!E35&gt;0),(177&gt;'V06 Calend 01'!C35),(177&lt;'V06 Calend 01'!D35),(MOD((177-'V06 Calend 01'!C35),6)=0),(((177-'V06 Calend 01'!C35)/6)&lt;='V06 Calend 01'!E35)),IF((177=('V06 Calend 01'!C35+(6*'V06 Calend 01'!E35))),('V06 Calend 01'!H35-('V06 Calend 01'!I35*('V06 Calend 01'!E35-1))),'V06 Calend 01'!I35),0))+IF((177='V06 Calend 01'!D35),'V06 Calend 01'!J35,0))</f>
        <v>0</v>
      </c>
      <c r="GH35" s="2">
        <f>((IF((178='V06 Calend 01'!C35),('V06 Calend 01'!F35+'V06 Calend 01'!G35),0)+IF(AND(('V06 Calend 01'!E35&gt;0),(178&gt;'V06 Calend 01'!C35),(178&lt;'V06 Calend 01'!D35),(MOD((178-'V06 Calend 01'!C35),6)=0),(((178-'V06 Calend 01'!C35)/6)&lt;='V06 Calend 01'!E35)),IF((178=('V06 Calend 01'!C35+(6*'V06 Calend 01'!E35))),('V06 Calend 01'!H35-('V06 Calend 01'!I35*('V06 Calend 01'!E35-1))),'V06 Calend 01'!I35),0))+IF((178='V06 Calend 01'!D35),'V06 Calend 01'!J35,0))</f>
        <v>0</v>
      </c>
      <c r="GI35" s="2">
        <f>((IF((179='V06 Calend 01'!C35),('V06 Calend 01'!F35+'V06 Calend 01'!G35),0)+IF(AND(('V06 Calend 01'!E35&gt;0),(179&gt;'V06 Calend 01'!C35),(179&lt;'V06 Calend 01'!D35),(MOD((179-'V06 Calend 01'!C35),6)=0),(((179-'V06 Calend 01'!C35)/6)&lt;='V06 Calend 01'!E35)),IF((179=('V06 Calend 01'!C35+(6*'V06 Calend 01'!E35))),('V06 Calend 01'!H35-('V06 Calend 01'!I35*('V06 Calend 01'!E35-1))),'V06 Calend 01'!I35),0))+IF((179='V06 Calend 01'!D35),'V06 Calend 01'!J35,0))</f>
        <v>0</v>
      </c>
      <c r="GJ35" s="2">
        <f>((IF((180='V06 Calend 01'!C35),('V06 Calend 01'!F35+'V06 Calend 01'!G35),0)+IF(AND(('V06 Calend 01'!E35&gt;0),(180&gt;'V06 Calend 01'!C35),(180&lt;'V06 Calend 01'!D35),(MOD((180-'V06 Calend 01'!C35),6)=0),(((180-'V06 Calend 01'!C35)/6)&lt;='V06 Calend 01'!E35)),IF((180=('V06 Calend 01'!C35+(6*'V06 Calend 01'!E35))),('V06 Calend 01'!H35-('V06 Calend 01'!I35*('V06 Calend 01'!E35-1))),'V06 Calend 01'!I35),0))+IF((180='V06 Calend 01'!D35),'V06 Calend 01'!J35,0))</f>
        <v>0</v>
      </c>
    </row>
    <row r="36" spans="1:192">
      <c r="A36" s="3" t="str">
        <f>'V06 Unidades'!$A$36</f>
        <v>502</v>
      </c>
      <c r="B36" s="2">
        <f>'V06 Unidades'!$H$36</f>
        <v>452590.32</v>
      </c>
      <c r="C36" s="4">
        <f>('V06 Unidades'!$I$36+'V06 Controlos'!$B$37)</f>
        <v>19</v>
      </c>
      <c r="D36" s="4">
        <f>IF(('V06 Controlos'!$B$38&gt;0),MAX(('V06 Unidades'!$L$36+'V06 Controlos'!$B$37),(30+'V06 Controlos'!$B$38)),('V06 Unidades'!$L$36+'V06 Controlos'!$B$37))</f>
        <v>29</v>
      </c>
      <c r="E36" s="4">
        <f>MAX(0,INT(((('V06 Calend 01'!D36-'V06 Calend 01'!C36)-1)/6)))</f>
        <v>1</v>
      </c>
      <c r="F36" s="2">
        <f>ROUND(('V06 Calend 01'!B36*0.05),2)</f>
        <v>22629.52</v>
      </c>
      <c r="G36" s="2">
        <f>ROUND(('V06 Calend 01'!B36*0.2),2)</f>
        <v>90518.06</v>
      </c>
      <c r="H36" s="2">
        <f>ROUND(('V06 Calend 01'!B36*0.55),2)</f>
        <v>248924.68</v>
      </c>
      <c r="I36" s="2">
        <f>ROUND(('V06 Calend 01'!H36/MAX(1,'V06 Calend 01'!E36)),2)</f>
        <v>248924.68</v>
      </c>
      <c r="J36" s="2">
        <f>((('V06 Calend 01'!B36-'V06 Calend 01'!F36)-'V06 Calend 01'!G36)-'V06 Calend 01'!H36)</f>
        <v>90518.06</v>
      </c>
      <c r="K36" s="2">
        <f>('V06 Calend 01'!B36*0.025)</f>
        <v>11314.758000000002</v>
      </c>
      <c r="L36" t="s">
        <v>378</v>
      </c>
      <c r="M36" s="2">
        <f>((IF((1='V06 Calend 01'!C36),('V06 Calend 01'!F36+'V06 Calend 01'!G36),0)+IF(AND(('V06 Calend 01'!E36&gt;0),(1&gt;'V06 Calend 01'!C36),(1&lt;'V06 Calend 01'!D36),(MOD((1-'V06 Calend 01'!C36),6)=0),(((1-'V06 Calend 01'!C36)/6)&lt;='V06 Calend 01'!E36)),IF((1=('V06 Calend 01'!C36+(6*'V06 Calend 01'!E36))),('V06 Calend 01'!H36-('V06 Calend 01'!I36*('V06 Calend 01'!E36-1))),'V06 Calend 01'!I36),0))+IF((1='V06 Calend 01'!D36),'V06 Calend 01'!J36,0))</f>
        <v>0</v>
      </c>
      <c r="N36" s="2">
        <f>((IF((2='V06 Calend 01'!C36),('V06 Calend 01'!F36+'V06 Calend 01'!G36),0)+IF(AND(('V06 Calend 01'!E36&gt;0),(2&gt;'V06 Calend 01'!C36),(2&lt;'V06 Calend 01'!D36),(MOD((2-'V06 Calend 01'!C36),6)=0),(((2-'V06 Calend 01'!C36)/6)&lt;='V06 Calend 01'!E36)),IF((2=('V06 Calend 01'!C36+(6*'V06 Calend 01'!E36))),('V06 Calend 01'!H36-('V06 Calend 01'!I36*('V06 Calend 01'!E36-1))),'V06 Calend 01'!I36),0))+IF((2='V06 Calend 01'!D36),'V06 Calend 01'!J36,0))</f>
        <v>0</v>
      </c>
      <c r="O36" s="2">
        <f>((IF((3='V06 Calend 01'!C36),('V06 Calend 01'!F36+'V06 Calend 01'!G36),0)+IF(AND(('V06 Calend 01'!E36&gt;0),(3&gt;'V06 Calend 01'!C36),(3&lt;'V06 Calend 01'!D36),(MOD((3-'V06 Calend 01'!C36),6)=0),(((3-'V06 Calend 01'!C36)/6)&lt;='V06 Calend 01'!E36)),IF((3=('V06 Calend 01'!C36+(6*'V06 Calend 01'!E36))),('V06 Calend 01'!H36-('V06 Calend 01'!I36*('V06 Calend 01'!E36-1))),'V06 Calend 01'!I36),0))+IF((3='V06 Calend 01'!D36),'V06 Calend 01'!J36,0))</f>
        <v>0</v>
      </c>
      <c r="P36" s="2">
        <f>((IF((4='V06 Calend 01'!C36),('V06 Calend 01'!F36+'V06 Calend 01'!G36),0)+IF(AND(('V06 Calend 01'!E36&gt;0),(4&gt;'V06 Calend 01'!C36),(4&lt;'V06 Calend 01'!D36),(MOD((4-'V06 Calend 01'!C36),6)=0),(((4-'V06 Calend 01'!C36)/6)&lt;='V06 Calend 01'!E36)),IF((4=('V06 Calend 01'!C36+(6*'V06 Calend 01'!E36))),('V06 Calend 01'!H36-('V06 Calend 01'!I36*('V06 Calend 01'!E36-1))),'V06 Calend 01'!I36),0))+IF((4='V06 Calend 01'!D36),'V06 Calend 01'!J36,0))</f>
        <v>0</v>
      </c>
      <c r="Q36" s="2">
        <f>((IF((5='V06 Calend 01'!C36),('V06 Calend 01'!F36+'V06 Calend 01'!G36),0)+IF(AND(('V06 Calend 01'!E36&gt;0),(5&gt;'V06 Calend 01'!C36),(5&lt;'V06 Calend 01'!D36),(MOD((5-'V06 Calend 01'!C36),6)=0),(((5-'V06 Calend 01'!C36)/6)&lt;='V06 Calend 01'!E36)),IF((5=('V06 Calend 01'!C36+(6*'V06 Calend 01'!E36))),('V06 Calend 01'!H36-('V06 Calend 01'!I36*('V06 Calend 01'!E36-1))),'V06 Calend 01'!I36),0))+IF((5='V06 Calend 01'!D36),'V06 Calend 01'!J36,0))</f>
        <v>0</v>
      </c>
      <c r="R36" s="2">
        <f>((IF((6='V06 Calend 01'!C36),('V06 Calend 01'!F36+'V06 Calend 01'!G36),0)+IF(AND(('V06 Calend 01'!E36&gt;0),(6&gt;'V06 Calend 01'!C36),(6&lt;'V06 Calend 01'!D36),(MOD((6-'V06 Calend 01'!C36),6)=0),(((6-'V06 Calend 01'!C36)/6)&lt;='V06 Calend 01'!E36)),IF((6=('V06 Calend 01'!C36+(6*'V06 Calend 01'!E36))),('V06 Calend 01'!H36-('V06 Calend 01'!I36*('V06 Calend 01'!E36-1))),'V06 Calend 01'!I36),0))+IF((6='V06 Calend 01'!D36),'V06 Calend 01'!J36,0))</f>
        <v>0</v>
      </c>
      <c r="S36" s="2">
        <f>((IF((7='V06 Calend 01'!C36),('V06 Calend 01'!F36+'V06 Calend 01'!G36),0)+IF(AND(('V06 Calend 01'!E36&gt;0),(7&gt;'V06 Calend 01'!C36),(7&lt;'V06 Calend 01'!D36),(MOD((7-'V06 Calend 01'!C36),6)=0),(((7-'V06 Calend 01'!C36)/6)&lt;='V06 Calend 01'!E36)),IF((7=('V06 Calend 01'!C36+(6*'V06 Calend 01'!E36))),('V06 Calend 01'!H36-('V06 Calend 01'!I36*('V06 Calend 01'!E36-1))),'V06 Calend 01'!I36),0))+IF((7='V06 Calend 01'!D36),'V06 Calend 01'!J36,0))</f>
        <v>0</v>
      </c>
      <c r="T36" s="2">
        <f>((IF((8='V06 Calend 01'!C36),('V06 Calend 01'!F36+'V06 Calend 01'!G36),0)+IF(AND(('V06 Calend 01'!E36&gt;0),(8&gt;'V06 Calend 01'!C36),(8&lt;'V06 Calend 01'!D36),(MOD((8-'V06 Calend 01'!C36),6)=0),(((8-'V06 Calend 01'!C36)/6)&lt;='V06 Calend 01'!E36)),IF((8=('V06 Calend 01'!C36+(6*'V06 Calend 01'!E36))),('V06 Calend 01'!H36-('V06 Calend 01'!I36*('V06 Calend 01'!E36-1))),'V06 Calend 01'!I36),0))+IF((8='V06 Calend 01'!D36),'V06 Calend 01'!J36,0))</f>
        <v>0</v>
      </c>
      <c r="U36" s="2">
        <f>((IF((9='V06 Calend 01'!C36),('V06 Calend 01'!F36+'V06 Calend 01'!G36),0)+IF(AND(('V06 Calend 01'!E36&gt;0),(9&gt;'V06 Calend 01'!C36),(9&lt;'V06 Calend 01'!D36),(MOD((9-'V06 Calend 01'!C36),6)=0),(((9-'V06 Calend 01'!C36)/6)&lt;='V06 Calend 01'!E36)),IF((9=('V06 Calend 01'!C36+(6*'V06 Calend 01'!E36))),('V06 Calend 01'!H36-('V06 Calend 01'!I36*('V06 Calend 01'!E36-1))),'V06 Calend 01'!I36),0))+IF((9='V06 Calend 01'!D36),'V06 Calend 01'!J36,0))</f>
        <v>0</v>
      </c>
      <c r="V36" s="2">
        <f>((IF((10='V06 Calend 01'!C36),('V06 Calend 01'!F36+'V06 Calend 01'!G36),0)+IF(AND(('V06 Calend 01'!E36&gt;0),(10&gt;'V06 Calend 01'!C36),(10&lt;'V06 Calend 01'!D36),(MOD((10-'V06 Calend 01'!C36),6)=0),(((10-'V06 Calend 01'!C36)/6)&lt;='V06 Calend 01'!E36)),IF((10=('V06 Calend 01'!C36+(6*'V06 Calend 01'!E36))),('V06 Calend 01'!H36-('V06 Calend 01'!I36*('V06 Calend 01'!E36-1))),'V06 Calend 01'!I36),0))+IF((10='V06 Calend 01'!D36),'V06 Calend 01'!J36,0))</f>
        <v>0</v>
      </c>
      <c r="W36" s="2">
        <f>((IF((11='V06 Calend 01'!C36),('V06 Calend 01'!F36+'V06 Calend 01'!G36),0)+IF(AND(('V06 Calend 01'!E36&gt;0),(11&gt;'V06 Calend 01'!C36),(11&lt;'V06 Calend 01'!D36),(MOD((11-'V06 Calend 01'!C36),6)=0),(((11-'V06 Calend 01'!C36)/6)&lt;='V06 Calend 01'!E36)),IF((11=('V06 Calend 01'!C36+(6*'V06 Calend 01'!E36))),('V06 Calend 01'!H36-('V06 Calend 01'!I36*('V06 Calend 01'!E36-1))),'V06 Calend 01'!I36),0))+IF((11='V06 Calend 01'!D36),'V06 Calend 01'!J36,0))</f>
        <v>0</v>
      </c>
      <c r="X36" s="2">
        <f>((IF((12='V06 Calend 01'!C36),('V06 Calend 01'!F36+'V06 Calend 01'!G36),0)+IF(AND(('V06 Calend 01'!E36&gt;0),(12&gt;'V06 Calend 01'!C36),(12&lt;'V06 Calend 01'!D36),(MOD((12-'V06 Calend 01'!C36),6)=0),(((12-'V06 Calend 01'!C36)/6)&lt;='V06 Calend 01'!E36)),IF((12=('V06 Calend 01'!C36+(6*'V06 Calend 01'!E36))),('V06 Calend 01'!H36-('V06 Calend 01'!I36*('V06 Calend 01'!E36-1))),'V06 Calend 01'!I36),0))+IF((12='V06 Calend 01'!D36),'V06 Calend 01'!J36,0))</f>
        <v>0</v>
      </c>
      <c r="Y36" s="2">
        <f>((IF((13='V06 Calend 01'!C36),('V06 Calend 01'!F36+'V06 Calend 01'!G36),0)+IF(AND(('V06 Calend 01'!E36&gt;0),(13&gt;'V06 Calend 01'!C36),(13&lt;'V06 Calend 01'!D36),(MOD((13-'V06 Calend 01'!C36),6)=0),(((13-'V06 Calend 01'!C36)/6)&lt;='V06 Calend 01'!E36)),IF((13=('V06 Calend 01'!C36+(6*'V06 Calend 01'!E36))),('V06 Calend 01'!H36-('V06 Calend 01'!I36*('V06 Calend 01'!E36-1))),'V06 Calend 01'!I36),0))+IF((13='V06 Calend 01'!D36),'V06 Calend 01'!J36,0))</f>
        <v>0</v>
      </c>
      <c r="Z36" s="2">
        <f>((IF((14='V06 Calend 01'!C36),('V06 Calend 01'!F36+'V06 Calend 01'!G36),0)+IF(AND(('V06 Calend 01'!E36&gt;0),(14&gt;'V06 Calend 01'!C36),(14&lt;'V06 Calend 01'!D36),(MOD((14-'V06 Calend 01'!C36),6)=0),(((14-'V06 Calend 01'!C36)/6)&lt;='V06 Calend 01'!E36)),IF((14=('V06 Calend 01'!C36+(6*'V06 Calend 01'!E36))),('V06 Calend 01'!H36-('V06 Calend 01'!I36*('V06 Calend 01'!E36-1))),'V06 Calend 01'!I36),0))+IF((14='V06 Calend 01'!D36),'V06 Calend 01'!J36,0))</f>
        <v>0</v>
      </c>
      <c r="AA36" s="2">
        <f>((IF((15='V06 Calend 01'!C36),('V06 Calend 01'!F36+'V06 Calend 01'!G36),0)+IF(AND(('V06 Calend 01'!E36&gt;0),(15&gt;'V06 Calend 01'!C36),(15&lt;'V06 Calend 01'!D36),(MOD((15-'V06 Calend 01'!C36),6)=0),(((15-'V06 Calend 01'!C36)/6)&lt;='V06 Calend 01'!E36)),IF((15=('V06 Calend 01'!C36+(6*'V06 Calend 01'!E36))),('V06 Calend 01'!H36-('V06 Calend 01'!I36*('V06 Calend 01'!E36-1))),'V06 Calend 01'!I36),0))+IF((15='V06 Calend 01'!D36),'V06 Calend 01'!J36,0))</f>
        <v>0</v>
      </c>
      <c r="AB36" s="2">
        <f>((IF((16='V06 Calend 01'!C36),('V06 Calend 01'!F36+'V06 Calend 01'!G36),0)+IF(AND(('V06 Calend 01'!E36&gt;0),(16&gt;'V06 Calend 01'!C36),(16&lt;'V06 Calend 01'!D36),(MOD((16-'V06 Calend 01'!C36),6)=0),(((16-'V06 Calend 01'!C36)/6)&lt;='V06 Calend 01'!E36)),IF((16=('V06 Calend 01'!C36+(6*'V06 Calend 01'!E36))),('V06 Calend 01'!H36-('V06 Calend 01'!I36*('V06 Calend 01'!E36-1))),'V06 Calend 01'!I36),0))+IF((16='V06 Calend 01'!D36),'V06 Calend 01'!J36,0))</f>
        <v>0</v>
      </c>
      <c r="AC36" s="2">
        <f>((IF((17='V06 Calend 01'!C36),('V06 Calend 01'!F36+'V06 Calend 01'!G36),0)+IF(AND(('V06 Calend 01'!E36&gt;0),(17&gt;'V06 Calend 01'!C36),(17&lt;'V06 Calend 01'!D36),(MOD((17-'V06 Calend 01'!C36),6)=0),(((17-'V06 Calend 01'!C36)/6)&lt;='V06 Calend 01'!E36)),IF((17=('V06 Calend 01'!C36+(6*'V06 Calend 01'!E36))),('V06 Calend 01'!H36-('V06 Calend 01'!I36*('V06 Calend 01'!E36-1))),'V06 Calend 01'!I36),0))+IF((17='V06 Calend 01'!D36),'V06 Calend 01'!J36,0))</f>
        <v>0</v>
      </c>
      <c r="AD36" s="2">
        <f>((IF((18='V06 Calend 01'!C36),('V06 Calend 01'!F36+'V06 Calend 01'!G36),0)+IF(AND(('V06 Calend 01'!E36&gt;0),(18&gt;'V06 Calend 01'!C36),(18&lt;'V06 Calend 01'!D36),(MOD((18-'V06 Calend 01'!C36),6)=0),(((18-'V06 Calend 01'!C36)/6)&lt;='V06 Calend 01'!E36)),IF((18=('V06 Calend 01'!C36+(6*'V06 Calend 01'!E36))),('V06 Calend 01'!H36-('V06 Calend 01'!I36*('V06 Calend 01'!E36-1))),'V06 Calend 01'!I36),0))+IF((18='V06 Calend 01'!D36),'V06 Calend 01'!J36,0))</f>
        <v>0</v>
      </c>
      <c r="AE36" s="2">
        <f>((IF((19='V06 Calend 01'!C36),('V06 Calend 01'!F36+'V06 Calend 01'!G36),0)+IF(AND(('V06 Calend 01'!E36&gt;0),(19&gt;'V06 Calend 01'!C36),(19&lt;'V06 Calend 01'!D36),(MOD((19-'V06 Calend 01'!C36),6)=0),(((19-'V06 Calend 01'!C36)/6)&lt;='V06 Calend 01'!E36)),IF((19=('V06 Calend 01'!C36+(6*'V06 Calend 01'!E36))),('V06 Calend 01'!H36-('V06 Calend 01'!I36*('V06 Calend 01'!E36-1))),'V06 Calend 01'!I36),0))+IF((19='V06 Calend 01'!D36),'V06 Calend 01'!J36,0))</f>
        <v>113147.58</v>
      </c>
      <c r="AF36" s="2">
        <f>((IF((20='V06 Calend 01'!C36),('V06 Calend 01'!F36+'V06 Calend 01'!G36),0)+IF(AND(('V06 Calend 01'!E36&gt;0),(20&gt;'V06 Calend 01'!C36),(20&lt;'V06 Calend 01'!D36),(MOD((20-'V06 Calend 01'!C36),6)=0),(((20-'V06 Calend 01'!C36)/6)&lt;='V06 Calend 01'!E36)),IF((20=('V06 Calend 01'!C36+(6*'V06 Calend 01'!E36))),('V06 Calend 01'!H36-('V06 Calend 01'!I36*('V06 Calend 01'!E36-1))),'V06 Calend 01'!I36),0))+IF((20='V06 Calend 01'!D36),'V06 Calend 01'!J36,0))</f>
        <v>0</v>
      </c>
      <c r="AG36" s="2">
        <f>((IF((21='V06 Calend 01'!C36),('V06 Calend 01'!F36+'V06 Calend 01'!G36),0)+IF(AND(('V06 Calend 01'!E36&gt;0),(21&gt;'V06 Calend 01'!C36),(21&lt;'V06 Calend 01'!D36),(MOD((21-'V06 Calend 01'!C36),6)=0),(((21-'V06 Calend 01'!C36)/6)&lt;='V06 Calend 01'!E36)),IF((21=('V06 Calend 01'!C36+(6*'V06 Calend 01'!E36))),('V06 Calend 01'!H36-('V06 Calend 01'!I36*('V06 Calend 01'!E36-1))),'V06 Calend 01'!I36),0))+IF((21='V06 Calend 01'!D36),'V06 Calend 01'!J36,0))</f>
        <v>0</v>
      </c>
      <c r="AH36" s="2">
        <f>((IF((22='V06 Calend 01'!C36),('V06 Calend 01'!F36+'V06 Calend 01'!G36),0)+IF(AND(('V06 Calend 01'!E36&gt;0),(22&gt;'V06 Calend 01'!C36),(22&lt;'V06 Calend 01'!D36),(MOD((22-'V06 Calend 01'!C36),6)=0),(((22-'V06 Calend 01'!C36)/6)&lt;='V06 Calend 01'!E36)),IF((22=('V06 Calend 01'!C36+(6*'V06 Calend 01'!E36))),('V06 Calend 01'!H36-('V06 Calend 01'!I36*('V06 Calend 01'!E36-1))),'V06 Calend 01'!I36),0))+IF((22='V06 Calend 01'!D36),'V06 Calend 01'!J36,0))</f>
        <v>0</v>
      </c>
      <c r="AI36" s="2">
        <f>((IF((23='V06 Calend 01'!C36),('V06 Calend 01'!F36+'V06 Calend 01'!G36),0)+IF(AND(('V06 Calend 01'!E36&gt;0),(23&gt;'V06 Calend 01'!C36),(23&lt;'V06 Calend 01'!D36),(MOD((23-'V06 Calend 01'!C36),6)=0),(((23-'V06 Calend 01'!C36)/6)&lt;='V06 Calend 01'!E36)),IF((23=('V06 Calend 01'!C36+(6*'V06 Calend 01'!E36))),('V06 Calend 01'!H36-('V06 Calend 01'!I36*('V06 Calend 01'!E36-1))),'V06 Calend 01'!I36),0))+IF((23='V06 Calend 01'!D36),'V06 Calend 01'!J36,0))</f>
        <v>0</v>
      </c>
      <c r="AJ36" s="2">
        <f>((IF((24='V06 Calend 01'!C36),('V06 Calend 01'!F36+'V06 Calend 01'!G36),0)+IF(AND(('V06 Calend 01'!E36&gt;0),(24&gt;'V06 Calend 01'!C36),(24&lt;'V06 Calend 01'!D36),(MOD((24-'V06 Calend 01'!C36),6)=0),(((24-'V06 Calend 01'!C36)/6)&lt;='V06 Calend 01'!E36)),IF((24=('V06 Calend 01'!C36+(6*'V06 Calend 01'!E36))),('V06 Calend 01'!H36-('V06 Calend 01'!I36*('V06 Calend 01'!E36-1))),'V06 Calend 01'!I36),0))+IF((24='V06 Calend 01'!D36),'V06 Calend 01'!J36,0))</f>
        <v>0</v>
      </c>
      <c r="AK36" s="2">
        <f>((IF((25='V06 Calend 01'!C36),('V06 Calend 01'!F36+'V06 Calend 01'!G36),0)+IF(AND(('V06 Calend 01'!E36&gt;0),(25&gt;'V06 Calend 01'!C36),(25&lt;'V06 Calend 01'!D36),(MOD((25-'V06 Calend 01'!C36),6)=0),(((25-'V06 Calend 01'!C36)/6)&lt;='V06 Calend 01'!E36)),IF((25=('V06 Calend 01'!C36+(6*'V06 Calend 01'!E36))),('V06 Calend 01'!H36-('V06 Calend 01'!I36*('V06 Calend 01'!E36-1))),'V06 Calend 01'!I36),0))+IF((25='V06 Calend 01'!D36),'V06 Calend 01'!J36,0))</f>
        <v>248924.68</v>
      </c>
      <c r="AL36" s="2">
        <f>((IF((26='V06 Calend 01'!C36),('V06 Calend 01'!F36+'V06 Calend 01'!G36),0)+IF(AND(('V06 Calend 01'!E36&gt;0),(26&gt;'V06 Calend 01'!C36),(26&lt;'V06 Calend 01'!D36),(MOD((26-'V06 Calend 01'!C36),6)=0),(((26-'V06 Calend 01'!C36)/6)&lt;='V06 Calend 01'!E36)),IF((26=('V06 Calend 01'!C36+(6*'V06 Calend 01'!E36))),('V06 Calend 01'!H36-('V06 Calend 01'!I36*('V06 Calend 01'!E36-1))),'V06 Calend 01'!I36),0))+IF((26='V06 Calend 01'!D36),'V06 Calend 01'!J36,0))</f>
        <v>0</v>
      </c>
      <c r="AM36" s="2">
        <f>((IF((27='V06 Calend 01'!C36),('V06 Calend 01'!F36+'V06 Calend 01'!G36),0)+IF(AND(('V06 Calend 01'!E36&gt;0),(27&gt;'V06 Calend 01'!C36),(27&lt;'V06 Calend 01'!D36),(MOD((27-'V06 Calend 01'!C36),6)=0),(((27-'V06 Calend 01'!C36)/6)&lt;='V06 Calend 01'!E36)),IF((27=('V06 Calend 01'!C36+(6*'V06 Calend 01'!E36))),('V06 Calend 01'!H36-('V06 Calend 01'!I36*('V06 Calend 01'!E36-1))),'V06 Calend 01'!I36),0))+IF((27='V06 Calend 01'!D36),'V06 Calend 01'!J36,0))</f>
        <v>0</v>
      </c>
      <c r="AN36" s="2">
        <f>((IF((28='V06 Calend 01'!C36),('V06 Calend 01'!F36+'V06 Calend 01'!G36),0)+IF(AND(('V06 Calend 01'!E36&gt;0),(28&gt;'V06 Calend 01'!C36),(28&lt;'V06 Calend 01'!D36),(MOD((28-'V06 Calend 01'!C36),6)=0),(((28-'V06 Calend 01'!C36)/6)&lt;='V06 Calend 01'!E36)),IF((28=('V06 Calend 01'!C36+(6*'V06 Calend 01'!E36))),('V06 Calend 01'!H36-('V06 Calend 01'!I36*('V06 Calend 01'!E36-1))),'V06 Calend 01'!I36),0))+IF((28='V06 Calend 01'!D36),'V06 Calend 01'!J36,0))</f>
        <v>0</v>
      </c>
      <c r="AO36" s="2">
        <f>((IF((29='V06 Calend 01'!C36),('V06 Calend 01'!F36+'V06 Calend 01'!G36),0)+IF(AND(('V06 Calend 01'!E36&gt;0),(29&gt;'V06 Calend 01'!C36),(29&lt;'V06 Calend 01'!D36),(MOD((29-'V06 Calend 01'!C36),6)=0),(((29-'V06 Calend 01'!C36)/6)&lt;='V06 Calend 01'!E36)),IF((29=('V06 Calend 01'!C36+(6*'V06 Calend 01'!E36))),('V06 Calend 01'!H36-('V06 Calend 01'!I36*('V06 Calend 01'!E36-1))),'V06 Calend 01'!I36),0))+IF((29='V06 Calend 01'!D36),'V06 Calend 01'!J36,0))</f>
        <v>90518.06</v>
      </c>
      <c r="AP36" s="2">
        <f>((IF((30='V06 Calend 01'!C36),('V06 Calend 01'!F36+'V06 Calend 01'!G36),0)+IF(AND(('V06 Calend 01'!E36&gt;0),(30&gt;'V06 Calend 01'!C36),(30&lt;'V06 Calend 01'!D36),(MOD((30-'V06 Calend 01'!C36),6)=0),(((30-'V06 Calend 01'!C36)/6)&lt;='V06 Calend 01'!E36)),IF((30=('V06 Calend 01'!C36+(6*'V06 Calend 01'!E36))),('V06 Calend 01'!H36-('V06 Calend 01'!I36*('V06 Calend 01'!E36-1))),'V06 Calend 01'!I36),0))+IF((30='V06 Calend 01'!D36),'V06 Calend 01'!J36,0))</f>
        <v>0</v>
      </c>
      <c r="AQ36" s="2">
        <f>((IF((31='V06 Calend 01'!C36),('V06 Calend 01'!F36+'V06 Calend 01'!G36),0)+IF(AND(('V06 Calend 01'!E36&gt;0),(31&gt;'V06 Calend 01'!C36),(31&lt;'V06 Calend 01'!D36),(MOD((31-'V06 Calend 01'!C36),6)=0),(((31-'V06 Calend 01'!C36)/6)&lt;='V06 Calend 01'!E36)),IF((31=('V06 Calend 01'!C36+(6*'V06 Calend 01'!E36))),('V06 Calend 01'!H36-('V06 Calend 01'!I36*('V06 Calend 01'!E36-1))),'V06 Calend 01'!I36),0))+IF((31='V06 Calend 01'!D36),'V06 Calend 01'!J36,0))</f>
        <v>0</v>
      </c>
      <c r="AR36" s="2">
        <f>((IF((32='V06 Calend 01'!C36),('V06 Calend 01'!F36+'V06 Calend 01'!G36),0)+IF(AND(('V06 Calend 01'!E36&gt;0),(32&gt;'V06 Calend 01'!C36),(32&lt;'V06 Calend 01'!D36),(MOD((32-'V06 Calend 01'!C36),6)=0),(((32-'V06 Calend 01'!C36)/6)&lt;='V06 Calend 01'!E36)),IF((32=('V06 Calend 01'!C36+(6*'V06 Calend 01'!E36))),('V06 Calend 01'!H36-('V06 Calend 01'!I36*('V06 Calend 01'!E36-1))),'V06 Calend 01'!I36),0))+IF((32='V06 Calend 01'!D36),'V06 Calend 01'!J36,0))</f>
        <v>0</v>
      </c>
      <c r="AS36" s="2">
        <f>((IF((33='V06 Calend 01'!C36),('V06 Calend 01'!F36+'V06 Calend 01'!G36),0)+IF(AND(('V06 Calend 01'!E36&gt;0),(33&gt;'V06 Calend 01'!C36),(33&lt;'V06 Calend 01'!D36),(MOD((33-'V06 Calend 01'!C36),6)=0),(((33-'V06 Calend 01'!C36)/6)&lt;='V06 Calend 01'!E36)),IF((33=('V06 Calend 01'!C36+(6*'V06 Calend 01'!E36))),('V06 Calend 01'!H36-('V06 Calend 01'!I36*('V06 Calend 01'!E36-1))),'V06 Calend 01'!I36),0))+IF((33='V06 Calend 01'!D36),'V06 Calend 01'!J36,0))</f>
        <v>0</v>
      </c>
      <c r="AT36" s="2">
        <f>((IF((34='V06 Calend 01'!C36),('V06 Calend 01'!F36+'V06 Calend 01'!G36),0)+IF(AND(('V06 Calend 01'!E36&gt;0),(34&gt;'V06 Calend 01'!C36),(34&lt;'V06 Calend 01'!D36),(MOD((34-'V06 Calend 01'!C36),6)=0),(((34-'V06 Calend 01'!C36)/6)&lt;='V06 Calend 01'!E36)),IF((34=('V06 Calend 01'!C36+(6*'V06 Calend 01'!E36))),('V06 Calend 01'!H36-('V06 Calend 01'!I36*('V06 Calend 01'!E36-1))),'V06 Calend 01'!I36),0))+IF((34='V06 Calend 01'!D36),'V06 Calend 01'!J36,0))</f>
        <v>0</v>
      </c>
      <c r="AU36" s="2">
        <f>((IF((35='V06 Calend 01'!C36),('V06 Calend 01'!F36+'V06 Calend 01'!G36),0)+IF(AND(('V06 Calend 01'!E36&gt;0),(35&gt;'V06 Calend 01'!C36),(35&lt;'V06 Calend 01'!D36),(MOD((35-'V06 Calend 01'!C36),6)=0),(((35-'V06 Calend 01'!C36)/6)&lt;='V06 Calend 01'!E36)),IF((35=('V06 Calend 01'!C36+(6*'V06 Calend 01'!E36))),('V06 Calend 01'!H36-('V06 Calend 01'!I36*('V06 Calend 01'!E36-1))),'V06 Calend 01'!I36),0))+IF((35='V06 Calend 01'!D36),'V06 Calend 01'!J36,0))</f>
        <v>0</v>
      </c>
      <c r="AV36" s="2">
        <f>((IF((36='V06 Calend 01'!C36),('V06 Calend 01'!F36+'V06 Calend 01'!G36),0)+IF(AND(('V06 Calend 01'!E36&gt;0),(36&gt;'V06 Calend 01'!C36),(36&lt;'V06 Calend 01'!D36),(MOD((36-'V06 Calend 01'!C36),6)=0),(((36-'V06 Calend 01'!C36)/6)&lt;='V06 Calend 01'!E36)),IF((36=('V06 Calend 01'!C36+(6*'V06 Calend 01'!E36))),('V06 Calend 01'!H36-('V06 Calend 01'!I36*('V06 Calend 01'!E36-1))),'V06 Calend 01'!I36),0))+IF((36='V06 Calend 01'!D36),'V06 Calend 01'!J36,0))</f>
        <v>0</v>
      </c>
      <c r="AW36" s="2">
        <f>((IF((37='V06 Calend 01'!C36),('V06 Calend 01'!F36+'V06 Calend 01'!G36),0)+IF(AND(('V06 Calend 01'!E36&gt;0),(37&gt;'V06 Calend 01'!C36),(37&lt;'V06 Calend 01'!D36),(MOD((37-'V06 Calend 01'!C36),6)=0),(((37-'V06 Calend 01'!C36)/6)&lt;='V06 Calend 01'!E36)),IF((37=('V06 Calend 01'!C36+(6*'V06 Calend 01'!E36))),('V06 Calend 01'!H36-('V06 Calend 01'!I36*('V06 Calend 01'!E36-1))),'V06 Calend 01'!I36),0))+IF((37='V06 Calend 01'!D36),'V06 Calend 01'!J36,0))</f>
        <v>0</v>
      </c>
      <c r="AX36" s="2">
        <f>((IF((38='V06 Calend 01'!C36),('V06 Calend 01'!F36+'V06 Calend 01'!G36),0)+IF(AND(('V06 Calend 01'!E36&gt;0),(38&gt;'V06 Calend 01'!C36),(38&lt;'V06 Calend 01'!D36),(MOD((38-'V06 Calend 01'!C36),6)=0),(((38-'V06 Calend 01'!C36)/6)&lt;='V06 Calend 01'!E36)),IF((38=('V06 Calend 01'!C36+(6*'V06 Calend 01'!E36))),('V06 Calend 01'!H36-('V06 Calend 01'!I36*('V06 Calend 01'!E36-1))),'V06 Calend 01'!I36),0))+IF((38='V06 Calend 01'!D36),'V06 Calend 01'!J36,0))</f>
        <v>0</v>
      </c>
      <c r="AY36" s="2">
        <f>((IF((39='V06 Calend 01'!C36),('V06 Calend 01'!F36+'V06 Calend 01'!G36),0)+IF(AND(('V06 Calend 01'!E36&gt;0),(39&gt;'V06 Calend 01'!C36),(39&lt;'V06 Calend 01'!D36),(MOD((39-'V06 Calend 01'!C36),6)=0),(((39-'V06 Calend 01'!C36)/6)&lt;='V06 Calend 01'!E36)),IF((39=('V06 Calend 01'!C36+(6*'V06 Calend 01'!E36))),('V06 Calend 01'!H36-('V06 Calend 01'!I36*('V06 Calend 01'!E36-1))),'V06 Calend 01'!I36),0))+IF((39='V06 Calend 01'!D36),'V06 Calend 01'!J36,0))</f>
        <v>0</v>
      </c>
      <c r="AZ36" s="2">
        <f>((IF((40='V06 Calend 01'!C36),('V06 Calend 01'!F36+'V06 Calend 01'!G36),0)+IF(AND(('V06 Calend 01'!E36&gt;0),(40&gt;'V06 Calend 01'!C36),(40&lt;'V06 Calend 01'!D36),(MOD((40-'V06 Calend 01'!C36),6)=0),(((40-'V06 Calend 01'!C36)/6)&lt;='V06 Calend 01'!E36)),IF((40=('V06 Calend 01'!C36+(6*'V06 Calend 01'!E36))),('V06 Calend 01'!H36-('V06 Calend 01'!I36*('V06 Calend 01'!E36-1))),'V06 Calend 01'!I36),0))+IF((40='V06 Calend 01'!D36),'V06 Calend 01'!J36,0))</f>
        <v>0</v>
      </c>
      <c r="BA36" s="2">
        <f>((IF((41='V06 Calend 01'!C36),('V06 Calend 01'!F36+'V06 Calend 01'!G36),0)+IF(AND(('V06 Calend 01'!E36&gt;0),(41&gt;'V06 Calend 01'!C36),(41&lt;'V06 Calend 01'!D36),(MOD((41-'V06 Calend 01'!C36),6)=0),(((41-'V06 Calend 01'!C36)/6)&lt;='V06 Calend 01'!E36)),IF((41=('V06 Calend 01'!C36+(6*'V06 Calend 01'!E36))),('V06 Calend 01'!H36-('V06 Calend 01'!I36*('V06 Calend 01'!E36-1))),'V06 Calend 01'!I36),0))+IF((41='V06 Calend 01'!D36),'V06 Calend 01'!J36,0))</f>
        <v>0</v>
      </c>
      <c r="BB36" s="2">
        <f>((IF((42='V06 Calend 01'!C36),('V06 Calend 01'!F36+'V06 Calend 01'!G36),0)+IF(AND(('V06 Calend 01'!E36&gt;0),(42&gt;'V06 Calend 01'!C36),(42&lt;'V06 Calend 01'!D36),(MOD((42-'V06 Calend 01'!C36),6)=0),(((42-'V06 Calend 01'!C36)/6)&lt;='V06 Calend 01'!E36)),IF((42=('V06 Calend 01'!C36+(6*'V06 Calend 01'!E36))),('V06 Calend 01'!H36-('V06 Calend 01'!I36*('V06 Calend 01'!E36-1))),'V06 Calend 01'!I36),0))+IF((42='V06 Calend 01'!D36),'V06 Calend 01'!J36,0))</f>
        <v>0</v>
      </c>
      <c r="BC36" s="2">
        <f>((IF((43='V06 Calend 01'!C36),('V06 Calend 01'!F36+'V06 Calend 01'!G36),0)+IF(AND(('V06 Calend 01'!E36&gt;0),(43&gt;'V06 Calend 01'!C36),(43&lt;'V06 Calend 01'!D36),(MOD((43-'V06 Calend 01'!C36),6)=0),(((43-'V06 Calend 01'!C36)/6)&lt;='V06 Calend 01'!E36)),IF((43=('V06 Calend 01'!C36+(6*'V06 Calend 01'!E36))),('V06 Calend 01'!H36-('V06 Calend 01'!I36*('V06 Calend 01'!E36-1))),'V06 Calend 01'!I36),0))+IF((43='V06 Calend 01'!D36),'V06 Calend 01'!J36,0))</f>
        <v>0</v>
      </c>
      <c r="BD36" s="2">
        <f>((IF((44='V06 Calend 01'!C36),('V06 Calend 01'!F36+'V06 Calend 01'!G36),0)+IF(AND(('V06 Calend 01'!E36&gt;0),(44&gt;'V06 Calend 01'!C36),(44&lt;'V06 Calend 01'!D36),(MOD((44-'V06 Calend 01'!C36),6)=0),(((44-'V06 Calend 01'!C36)/6)&lt;='V06 Calend 01'!E36)),IF((44=('V06 Calend 01'!C36+(6*'V06 Calend 01'!E36))),('V06 Calend 01'!H36-('V06 Calend 01'!I36*('V06 Calend 01'!E36-1))),'V06 Calend 01'!I36),0))+IF((44='V06 Calend 01'!D36),'V06 Calend 01'!J36,0))</f>
        <v>0</v>
      </c>
      <c r="BE36" s="2">
        <f>((IF((45='V06 Calend 01'!C36),('V06 Calend 01'!F36+'V06 Calend 01'!G36),0)+IF(AND(('V06 Calend 01'!E36&gt;0),(45&gt;'V06 Calend 01'!C36),(45&lt;'V06 Calend 01'!D36),(MOD((45-'V06 Calend 01'!C36),6)=0),(((45-'V06 Calend 01'!C36)/6)&lt;='V06 Calend 01'!E36)),IF((45=('V06 Calend 01'!C36+(6*'V06 Calend 01'!E36))),('V06 Calend 01'!H36-('V06 Calend 01'!I36*('V06 Calend 01'!E36-1))),'V06 Calend 01'!I36),0))+IF((45='V06 Calend 01'!D36),'V06 Calend 01'!J36,0))</f>
        <v>0</v>
      </c>
      <c r="BF36" s="2">
        <f>((IF((46='V06 Calend 01'!C36),('V06 Calend 01'!F36+'V06 Calend 01'!G36),0)+IF(AND(('V06 Calend 01'!E36&gt;0),(46&gt;'V06 Calend 01'!C36),(46&lt;'V06 Calend 01'!D36),(MOD((46-'V06 Calend 01'!C36),6)=0),(((46-'V06 Calend 01'!C36)/6)&lt;='V06 Calend 01'!E36)),IF((46=('V06 Calend 01'!C36+(6*'V06 Calend 01'!E36))),('V06 Calend 01'!H36-('V06 Calend 01'!I36*('V06 Calend 01'!E36-1))),'V06 Calend 01'!I36),0))+IF((46='V06 Calend 01'!D36),'V06 Calend 01'!J36,0))</f>
        <v>0</v>
      </c>
      <c r="BG36" s="2">
        <f>((IF((47='V06 Calend 01'!C36),('V06 Calend 01'!F36+'V06 Calend 01'!G36),0)+IF(AND(('V06 Calend 01'!E36&gt;0),(47&gt;'V06 Calend 01'!C36),(47&lt;'V06 Calend 01'!D36),(MOD((47-'V06 Calend 01'!C36),6)=0),(((47-'V06 Calend 01'!C36)/6)&lt;='V06 Calend 01'!E36)),IF((47=('V06 Calend 01'!C36+(6*'V06 Calend 01'!E36))),('V06 Calend 01'!H36-('V06 Calend 01'!I36*('V06 Calend 01'!E36-1))),'V06 Calend 01'!I36),0))+IF((47='V06 Calend 01'!D36),'V06 Calend 01'!J36,0))</f>
        <v>0</v>
      </c>
      <c r="BH36" s="2">
        <f>((IF((48='V06 Calend 01'!C36),('V06 Calend 01'!F36+'V06 Calend 01'!G36),0)+IF(AND(('V06 Calend 01'!E36&gt;0),(48&gt;'V06 Calend 01'!C36),(48&lt;'V06 Calend 01'!D36),(MOD((48-'V06 Calend 01'!C36),6)=0),(((48-'V06 Calend 01'!C36)/6)&lt;='V06 Calend 01'!E36)),IF((48=('V06 Calend 01'!C36+(6*'V06 Calend 01'!E36))),('V06 Calend 01'!H36-('V06 Calend 01'!I36*('V06 Calend 01'!E36-1))),'V06 Calend 01'!I36),0))+IF((48='V06 Calend 01'!D36),'V06 Calend 01'!J36,0))</f>
        <v>0</v>
      </c>
      <c r="BI36" s="2">
        <f>((IF((49='V06 Calend 01'!C36),('V06 Calend 01'!F36+'V06 Calend 01'!G36),0)+IF(AND(('V06 Calend 01'!E36&gt;0),(49&gt;'V06 Calend 01'!C36),(49&lt;'V06 Calend 01'!D36),(MOD((49-'V06 Calend 01'!C36),6)=0),(((49-'V06 Calend 01'!C36)/6)&lt;='V06 Calend 01'!E36)),IF((49=('V06 Calend 01'!C36+(6*'V06 Calend 01'!E36))),('V06 Calend 01'!H36-('V06 Calend 01'!I36*('V06 Calend 01'!E36-1))),'V06 Calend 01'!I36),0))+IF((49='V06 Calend 01'!D36),'V06 Calend 01'!J36,0))</f>
        <v>0</v>
      </c>
      <c r="BJ36" s="2">
        <f>((IF((50='V06 Calend 01'!C36),('V06 Calend 01'!F36+'V06 Calend 01'!G36),0)+IF(AND(('V06 Calend 01'!E36&gt;0),(50&gt;'V06 Calend 01'!C36),(50&lt;'V06 Calend 01'!D36),(MOD((50-'V06 Calend 01'!C36),6)=0),(((50-'V06 Calend 01'!C36)/6)&lt;='V06 Calend 01'!E36)),IF((50=('V06 Calend 01'!C36+(6*'V06 Calend 01'!E36))),('V06 Calend 01'!H36-('V06 Calend 01'!I36*('V06 Calend 01'!E36-1))),'V06 Calend 01'!I36),0))+IF((50='V06 Calend 01'!D36),'V06 Calend 01'!J36,0))</f>
        <v>0</v>
      </c>
      <c r="BK36" s="2">
        <f>((IF((51='V06 Calend 01'!C36),('V06 Calend 01'!F36+'V06 Calend 01'!G36),0)+IF(AND(('V06 Calend 01'!E36&gt;0),(51&gt;'V06 Calend 01'!C36),(51&lt;'V06 Calend 01'!D36),(MOD((51-'V06 Calend 01'!C36),6)=0),(((51-'V06 Calend 01'!C36)/6)&lt;='V06 Calend 01'!E36)),IF((51=('V06 Calend 01'!C36+(6*'V06 Calend 01'!E36))),('V06 Calend 01'!H36-('V06 Calend 01'!I36*('V06 Calend 01'!E36-1))),'V06 Calend 01'!I36),0))+IF((51='V06 Calend 01'!D36),'V06 Calend 01'!J36,0))</f>
        <v>0</v>
      </c>
      <c r="BL36" s="2">
        <f>((IF((52='V06 Calend 01'!C36),('V06 Calend 01'!F36+'V06 Calend 01'!G36),0)+IF(AND(('V06 Calend 01'!E36&gt;0),(52&gt;'V06 Calend 01'!C36),(52&lt;'V06 Calend 01'!D36),(MOD((52-'V06 Calend 01'!C36),6)=0),(((52-'V06 Calend 01'!C36)/6)&lt;='V06 Calend 01'!E36)),IF((52=('V06 Calend 01'!C36+(6*'V06 Calend 01'!E36))),('V06 Calend 01'!H36-('V06 Calend 01'!I36*('V06 Calend 01'!E36-1))),'V06 Calend 01'!I36),0))+IF((52='V06 Calend 01'!D36),'V06 Calend 01'!J36,0))</f>
        <v>0</v>
      </c>
      <c r="BM36" s="2">
        <f>((IF((53='V06 Calend 01'!C36),('V06 Calend 01'!F36+'V06 Calend 01'!G36),0)+IF(AND(('V06 Calend 01'!E36&gt;0),(53&gt;'V06 Calend 01'!C36),(53&lt;'V06 Calend 01'!D36),(MOD((53-'V06 Calend 01'!C36),6)=0),(((53-'V06 Calend 01'!C36)/6)&lt;='V06 Calend 01'!E36)),IF((53=('V06 Calend 01'!C36+(6*'V06 Calend 01'!E36))),('V06 Calend 01'!H36-('V06 Calend 01'!I36*('V06 Calend 01'!E36-1))),'V06 Calend 01'!I36),0))+IF((53='V06 Calend 01'!D36),'V06 Calend 01'!J36,0))</f>
        <v>0</v>
      </c>
      <c r="BN36" s="2">
        <f>((IF((54='V06 Calend 01'!C36),('V06 Calend 01'!F36+'V06 Calend 01'!G36),0)+IF(AND(('V06 Calend 01'!E36&gt;0),(54&gt;'V06 Calend 01'!C36),(54&lt;'V06 Calend 01'!D36),(MOD((54-'V06 Calend 01'!C36),6)=0),(((54-'V06 Calend 01'!C36)/6)&lt;='V06 Calend 01'!E36)),IF((54=('V06 Calend 01'!C36+(6*'V06 Calend 01'!E36))),('V06 Calend 01'!H36-('V06 Calend 01'!I36*('V06 Calend 01'!E36-1))),'V06 Calend 01'!I36),0))+IF((54='V06 Calend 01'!D36),'V06 Calend 01'!J36,0))</f>
        <v>0</v>
      </c>
      <c r="BO36" s="2">
        <f>((IF((55='V06 Calend 01'!C36),('V06 Calend 01'!F36+'V06 Calend 01'!G36),0)+IF(AND(('V06 Calend 01'!E36&gt;0),(55&gt;'V06 Calend 01'!C36),(55&lt;'V06 Calend 01'!D36),(MOD((55-'V06 Calend 01'!C36),6)=0),(((55-'V06 Calend 01'!C36)/6)&lt;='V06 Calend 01'!E36)),IF((55=('V06 Calend 01'!C36+(6*'V06 Calend 01'!E36))),('V06 Calend 01'!H36-('V06 Calend 01'!I36*('V06 Calend 01'!E36-1))),'V06 Calend 01'!I36),0))+IF((55='V06 Calend 01'!D36),'V06 Calend 01'!J36,0))</f>
        <v>0</v>
      </c>
      <c r="BP36" s="2">
        <f>((IF((56='V06 Calend 01'!C36),('V06 Calend 01'!F36+'V06 Calend 01'!G36),0)+IF(AND(('V06 Calend 01'!E36&gt;0),(56&gt;'V06 Calend 01'!C36),(56&lt;'V06 Calend 01'!D36),(MOD((56-'V06 Calend 01'!C36),6)=0),(((56-'V06 Calend 01'!C36)/6)&lt;='V06 Calend 01'!E36)),IF((56=('V06 Calend 01'!C36+(6*'V06 Calend 01'!E36))),('V06 Calend 01'!H36-('V06 Calend 01'!I36*('V06 Calend 01'!E36-1))),'V06 Calend 01'!I36),0))+IF((56='V06 Calend 01'!D36),'V06 Calend 01'!J36,0))</f>
        <v>0</v>
      </c>
      <c r="BQ36" s="2">
        <f>((IF((57='V06 Calend 01'!C36),('V06 Calend 01'!F36+'V06 Calend 01'!G36),0)+IF(AND(('V06 Calend 01'!E36&gt;0),(57&gt;'V06 Calend 01'!C36),(57&lt;'V06 Calend 01'!D36),(MOD((57-'V06 Calend 01'!C36),6)=0),(((57-'V06 Calend 01'!C36)/6)&lt;='V06 Calend 01'!E36)),IF((57=('V06 Calend 01'!C36+(6*'V06 Calend 01'!E36))),('V06 Calend 01'!H36-('V06 Calend 01'!I36*('V06 Calend 01'!E36-1))),'V06 Calend 01'!I36),0))+IF((57='V06 Calend 01'!D36),'V06 Calend 01'!J36,0))</f>
        <v>0</v>
      </c>
      <c r="BR36" s="2">
        <f>((IF((58='V06 Calend 01'!C36),('V06 Calend 01'!F36+'V06 Calend 01'!G36),0)+IF(AND(('V06 Calend 01'!E36&gt;0),(58&gt;'V06 Calend 01'!C36),(58&lt;'V06 Calend 01'!D36),(MOD((58-'V06 Calend 01'!C36),6)=0),(((58-'V06 Calend 01'!C36)/6)&lt;='V06 Calend 01'!E36)),IF((58=('V06 Calend 01'!C36+(6*'V06 Calend 01'!E36))),('V06 Calend 01'!H36-('V06 Calend 01'!I36*('V06 Calend 01'!E36-1))),'V06 Calend 01'!I36),0))+IF((58='V06 Calend 01'!D36),'V06 Calend 01'!J36,0))</f>
        <v>0</v>
      </c>
      <c r="BS36" s="2">
        <f>((IF((59='V06 Calend 01'!C36),('V06 Calend 01'!F36+'V06 Calend 01'!G36),0)+IF(AND(('V06 Calend 01'!E36&gt;0),(59&gt;'V06 Calend 01'!C36),(59&lt;'V06 Calend 01'!D36),(MOD((59-'V06 Calend 01'!C36),6)=0),(((59-'V06 Calend 01'!C36)/6)&lt;='V06 Calend 01'!E36)),IF((59=('V06 Calend 01'!C36+(6*'V06 Calend 01'!E36))),('V06 Calend 01'!H36-('V06 Calend 01'!I36*('V06 Calend 01'!E36-1))),'V06 Calend 01'!I36),0))+IF((59='V06 Calend 01'!D36),'V06 Calend 01'!J36,0))</f>
        <v>0</v>
      </c>
      <c r="BT36" s="2">
        <f>((IF((60='V06 Calend 01'!C36),('V06 Calend 01'!F36+'V06 Calend 01'!G36),0)+IF(AND(('V06 Calend 01'!E36&gt;0),(60&gt;'V06 Calend 01'!C36),(60&lt;'V06 Calend 01'!D36),(MOD((60-'V06 Calend 01'!C36),6)=0),(((60-'V06 Calend 01'!C36)/6)&lt;='V06 Calend 01'!E36)),IF((60=('V06 Calend 01'!C36+(6*'V06 Calend 01'!E36))),('V06 Calend 01'!H36-('V06 Calend 01'!I36*('V06 Calend 01'!E36-1))),'V06 Calend 01'!I36),0))+IF((60='V06 Calend 01'!D36),'V06 Calend 01'!J36,0))</f>
        <v>0</v>
      </c>
      <c r="BU36" s="2">
        <f>((IF((61='V06 Calend 01'!C36),('V06 Calend 01'!F36+'V06 Calend 01'!G36),0)+IF(AND(('V06 Calend 01'!E36&gt;0),(61&gt;'V06 Calend 01'!C36),(61&lt;'V06 Calend 01'!D36),(MOD((61-'V06 Calend 01'!C36),6)=0),(((61-'V06 Calend 01'!C36)/6)&lt;='V06 Calend 01'!E36)),IF((61=('V06 Calend 01'!C36+(6*'V06 Calend 01'!E36))),('V06 Calend 01'!H36-('V06 Calend 01'!I36*('V06 Calend 01'!E36-1))),'V06 Calend 01'!I36),0))+IF((61='V06 Calend 01'!D36),'V06 Calend 01'!J36,0))</f>
        <v>0</v>
      </c>
      <c r="BV36" s="2">
        <f>((IF((62='V06 Calend 01'!C36),('V06 Calend 01'!F36+'V06 Calend 01'!G36),0)+IF(AND(('V06 Calend 01'!E36&gt;0),(62&gt;'V06 Calend 01'!C36),(62&lt;'V06 Calend 01'!D36),(MOD((62-'V06 Calend 01'!C36),6)=0),(((62-'V06 Calend 01'!C36)/6)&lt;='V06 Calend 01'!E36)),IF((62=('V06 Calend 01'!C36+(6*'V06 Calend 01'!E36))),('V06 Calend 01'!H36-('V06 Calend 01'!I36*('V06 Calend 01'!E36-1))),'V06 Calend 01'!I36),0))+IF((62='V06 Calend 01'!D36),'V06 Calend 01'!J36,0))</f>
        <v>0</v>
      </c>
      <c r="BW36" s="2">
        <f>((IF((63='V06 Calend 01'!C36),('V06 Calend 01'!F36+'V06 Calend 01'!G36),0)+IF(AND(('V06 Calend 01'!E36&gt;0),(63&gt;'V06 Calend 01'!C36),(63&lt;'V06 Calend 01'!D36),(MOD((63-'V06 Calend 01'!C36),6)=0),(((63-'V06 Calend 01'!C36)/6)&lt;='V06 Calend 01'!E36)),IF((63=('V06 Calend 01'!C36+(6*'V06 Calend 01'!E36))),('V06 Calend 01'!H36-('V06 Calend 01'!I36*('V06 Calend 01'!E36-1))),'V06 Calend 01'!I36),0))+IF((63='V06 Calend 01'!D36),'V06 Calend 01'!J36,0))</f>
        <v>0</v>
      </c>
      <c r="BX36" s="2">
        <f>((IF((64='V06 Calend 01'!C36),('V06 Calend 01'!F36+'V06 Calend 01'!G36),0)+IF(AND(('V06 Calend 01'!E36&gt;0),(64&gt;'V06 Calend 01'!C36),(64&lt;'V06 Calend 01'!D36),(MOD((64-'V06 Calend 01'!C36),6)=0),(((64-'V06 Calend 01'!C36)/6)&lt;='V06 Calend 01'!E36)),IF((64=('V06 Calend 01'!C36+(6*'V06 Calend 01'!E36))),('V06 Calend 01'!H36-('V06 Calend 01'!I36*('V06 Calend 01'!E36-1))),'V06 Calend 01'!I36),0))+IF((64='V06 Calend 01'!D36),'V06 Calend 01'!J36,0))</f>
        <v>0</v>
      </c>
      <c r="BY36" s="2">
        <f>((IF((65='V06 Calend 01'!C36),('V06 Calend 01'!F36+'V06 Calend 01'!G36),0)+IF(AND(('V06 Calend 01'!E36&gt;0),(65&gt;'V06 Calend 01'!C36),(65&lt;'V06 Calend 01'!D36),(MOD((65-'V06 Calend 01'!C36),6)=0),(((65-'V06 Calend 01'!C36)/6)&lt;='V06 Calend 01'!E36)),IF((65=('V06 Calend 01'!C36+(6*'V06 Calend 01'!E36))),('V06 Calend 01'!H36-('V06 Calend 01'!I36*('V06 Calend 01'!E36-1))),'V06 Calend 01'!I36),0))+IF((65='V06 Calend 01'!D36),'V06 Calend 01'!J36,0))</f>
        <v>0</v>
      </c>
      <c r="BZ36" s="2">
        <f>((IF((66='V06 Calend 01'!C36),('V06 Calend 01'!F36+'V06 Calend 01'!G36),0)+IF(AND(('V06 Calend 01'!E36&gt;0),(66&gt;'V06 Calend 01'!C36),(66&lt;'V06 Calend 01'!D36),(MOD((66-'V06 Calend 01'!C36),6)=0),(((66-'V06 Calend 01'!C36)/6)&lt;='V06 Calend 01'!E36)),IF((66=('V06 Calend 01'!C36+(6*'V06 Calend 01'!E36))),('V06 Calend 01'!H36-('V06 Calend 01'!I36*('V06 Calend 01'!E36-1))),'V06 Calend 01'!I36),0))+IF((66='V06 Calend 01'!D36),'V06 Calend 01'!J36,0))</f>
        <v>0</v>
      </c>
      <c r="CA36" s="2">
        <f>((IF((67='V06 Calend 01'!C36),('V06 Calend 01'!F36+'V06 Calend 01'!G36),0)+IF(AND(('V06 Calend 01'!E36&gt;0),(67&gt;'V06 Calend 01'!C36),(67&lt;'V06 Calend 01'!D36),(MOD((67-'V06 Calend 01'!C36),6)=0),(((67-'V06 Calend 01'!C36)/6)&lt;='V06 Calend 01'!E36)),IF((67=('V06 Calend 01'!C36+(6*'V06 Calend 01'!E36))),('V06 Calend 01'!H36-('V06 Calend 01'!I36*('V06 Calend 01'!E36-1))),'V06 Calend 01'!I36),0))+IF((67='V06 Calend 01'!D36),'V06 Calend 01'!J36,0))</f>
        <v>0</v>
      </c>
      <c r="CB36" s="2">
        <f>((IF((68='V06 Calend 01'!C36),('V06 Calend 01'!F36+'V06 Calend 01'!G36),0)+IF(AND(('V06 Calend 01'!E36&gt;0),(68&gt;'V06 Calend 01'!C36),(68&lt;'V06 Calend 01'!D36),(MOD((68-'V06 Calend 01'!C36),6)=0),(((68-'V06 Calend 01'!C36)/6)&lt;='V06 Calend 01'!E36)),IF((68=('V06 Calend 01'!C36+(6*'V06 Calend 01'!E36))),('V06 Calend 01'!H36-('V06 Calend 01'!I36*('V06 Calend 01'!E36-1))),'V06 Calend 01'!I36),0))+IF((68='V06 Calend 01'!D36),'V06 Calend 01'!J36,0))</f>
        <v>0</v>
      </c>
      <c r="CC36" s="2">
        <f>((IF((69='V06 Calend 01'!C36),('V06 Calend 01'!F36+'V06 Calend 01'!G36),0)+IF(AND(('V06 Calend 01'!E36&gt;0),(69&gt;'V06 Calend 01'!C36),(69&lt;'V06 Calend 01'!D36),(MOD((69-'V06 Calend 01'!C36),6)=0),(((69-'V06 Calend 01'!C36)/6)&lt;='V06 Calend 01'!E36)),IF((69=('V06 Calend 01'!C36+(6*'V06 Calend 01'!E36))),('V06 Calend 01'!H36-('V06 Calend 01'!I36*('V06 Calend 01'!E36-1))),'V06 Calend 01'!I36),0))+IF((69='V06 Calend 01'!D36),'V06 Calend 01'!J36,0))</f>
        <v>0</v>
      </c>
      <c r="CD36" s="2">
        <f>((IF((70='V06 Calend 01'!C36),('V06 Calend 01'!F36+'V06 Calend 01'!G36),0)+IF(AND(('V06 Calend 01'!E36&gt;0),(70&gt;'V06 Calend 01'!C36),(70&lt;'V06 Calend 01'!D36),(MOD((70-'V06 Calend 01'!C36),6)=0),(((70-'V06 Calend 01'!C36)/6)&lt;='V06 Calend 01'!E36)),IF((70=('V06 Calend 01'!C36+(6*'V06 Calend 01'!E36))),('V06 Calend 01'!H36-('V06 Calend 01'!I36*('V06 Calend 01'!E36-1))),'V06 Calend 01'!I36),0))+IF((70='V06 Calend 01'!D36),'V06 Calend 01'!J36,0))</f>
        <v>0</v>
      </c>
      <c r="CE36" s="2">
        <f>((IF((71='V06 Calend 01'!C36),('V06 Calend 01'!F36+'V06 Calend 01'!G36),0)+IF(AND(('V06 Calend 01'!E36&gt;0),(71&gt;'V06 Calend 01'!C36),(71&lt;'V06 Calend 01'!D36),(MOD((71-'V06 Calend 01'!C36),6)=0),(((71-'V06 Calend 01'!C36)/6)&lt;='V06 Calend 01'!E36)),IF((71=('V06 Calend 01'!C36+(6*'V06 Calend 01'!E36))),('V06 Calend 01'!H36-('V06 Calend 01'!I36*('V06 Calend 01'!E36-1))),'V06 Calend 01'!I36),0))+IF((71='V06 Calend 01'!D36),'V06 Calend 01'!J36,0))</f>
        <v>0</v>
      </c>
      <c r="CF36" s="2">
        <f>((IF((72='V06 Calend 01'!C36),('V06 Calend 01'!F36+'V06 Calend 01'!G36),0)+IF(AND(('V06 Calend 01'!E36&gt;0),(72&gt;'V06 Calend 01'!C36),(72&lt;'V06 Calend 01'!D36),(MOD((72-'V06 Calend 01'!C36),6)=0),(((72-'V06 Calend 01'!C36)/6)&lt;='V06 Calend 01'!E36)),IF((72=('V06 Calend 01'!C36+(6*'V06 Calend 01'!E36))),('V06 Calend 01'!H36-('V06 Calend 01'!I36*('V06 Calend 01'!E36-1))),'V06 Calend 01'!I36),0))+IF((72='V06 Calend 01'!D36),'V06 Calend 01'!J36,0))</f>
        <v>0</v>
      </c>
      <c r="CG36" s="2">
        <f>((IF((73='V06 Calend 01'!C36),('V06 Calend 01'!F36+'V06 Calend 01'!G36),0)+IF(AND(('V06 Calend 01'!E36&gt;0),(73&gt;'V06 Calend 01'!C36),(73&lt;'V06 Calend 01'!D36),(MOD((73-'V06 Calend 01'!C36),6)=0),(((73-'V06 Calend 01'!C36)/6)&lt;='V06 Calend 01'!E36)),IF((73=('V06 Calend 01'!C36+(6*'V06 Calend 01'!E36))),('V06 Calend 01'!H36-('V06 Calend 01'!I36*('V06 Calend 01'!E36-1))),'V06 Calend 01'!I36),0))+IF((73='V06 Calend 01'!D36),'V06 Calend 01'!J36,0))</f>
        <v>0</v>
      </c>
      <c r="CH36" s="2">
        <f>((IF((74='V06 Calend 01'!C36),('V06 Calend 01'!F36+'V06 Calend 01'!G36),0)+IF(AND(('V06 Calend 01'!E36&gt;0),(74&gt;'V06 Calend 01'!C36),(74&lt;'V06 Calend 01'!D36),(MOD((74-'V06 Calend 01'!C36),6)=0),(((74-'V06 Calend 01'!C36)/6)&lt;='V06 Calend 01'!E36)),IF((74=('V06 Calend 01'!C36+(6*'V06 Calend 01'!E36))),('V06 Calend 01'!H36-('V06 Calend 01'!I36*('V06 Calend 01'!E36-1))),'V06 Calend 01'!I36),0))+IF((74='V06 Calend 01'!D36),'V06 Calend 01'!J36,0))</f>
        <v>0</v>
      </c>
      <c r="CI36" s="2">
        <f>((IF((75='V06 Calend 01'!C36),('V06 Calend 01'!F36+'V06 Calend 01'!G36),0)+IF(AND(('V06 Calend 01'!E36&gt;0),(75&gt;'V06 Calend 01'!C36),(75&lt;'V06 Calend 01'!D36),(MOD((75-'V06 Calend 01'!C36),6)=0),(((75-'V06 Calend 01'!C36)/6)&lt;='V06 Calend 01'!E36)),IF((75=('V06 Calend 01'!C36+(6*'V06 Calend 01'!E36))),('V06 Calend 01'!H36-('V06 Calend 01'!I36*('V06 Calend 01'!E36-1))),'V06 Calend 01'!I36),0))+IF((75='V06 Calend 01'!D36),'V06 Calend 01'!J36,0))</f>
        <v>0</v>
      </c>
      <c r="CJ36" s="2">
        <f>((IF((76='V06 Calend 01'!C36),('V06 Calend 01'!F36+'V06 Calend 01'!G36),0)+IF(AND(('V06 Calend 01'!E36&gt;0),(76&gt;'V06 Calend 01'!C36),(76&lt;'V06 Calend 01'!D36),(MOD((76-'V06 Calend 01'!C36),6)=0),(((76-'V06 Calend 01'!C36)/6)&lt;='V06 Calend 01'!E36)),IF((76=('V06 Calend 01'!C36+(6*'V06 Calend 01'!E36))),('V06 Calend 01'!H36-('V06 Calend 01'!I36*('V06 Calend 01'!E36-1))),'V06 Calend 01'!I36),0))+IF((76='V06 Calend 01'!D36),'V06 Calend 01'!J36,0))</f>
        <v>0</v>
      </c>
      <c r="CK36" s="2">
        <f>((IF((77='V06 Calend 01'!C36),('V06 Calend 01'!F36+'V06 Calend 01'!G36),0)+IF(AND(('V06 Calend 01'!E36&gt;0),(77&gt;'V06 Calend 01'!C36),(77&lt;'V06 Calend 01'!D36),(MOD((77-'V06 Calend 01'!C36),6)=0),(((77-'V06 Calend 01'!C36)/6)&lt;='V06 Calend 01'!E36)),IF((77=('V06 Calend 01'!C36+(6*'V06 Calend 01'!E36))),('V06 Calend 01'!H36-('V06 Calend 01'!I36*('V06 Calend 01'!E36-1))),'V06 Calend 01'!I36),0))+IF((77='V06 Calend 01'!D36),'V06 Calend 01'!J36,0))</f>
        <v>0</v>
      </c>
      <c r="CL36" s="2">
        <f>((IF((78='V06 Calend 01'!C36),('V06 Calend 01'!F36+'V06 Calend 01'!G36),0)+IF(AND(('V06 Calend 01'!E36&gt;0),(78&gt;'V06 Calend 01'!C36),(78&lt;'V06 Calend 01'!D36),(MOD((78-'V06 Calend 01'!C36),6)=0),(((78-'V06 Calend 01'!C36)/6)&lt;='V06 Calend 01'!E36)),IF((78=('V06 Calend 01'!C36+(6*'V06 Calend 01'!E36))),('V06 Calend 01'!H36-('V06 Calend 01'!I36*('V06 Calend 01'!E36-1))),'V06 Calend 01'!I36),0))+IF((78='V06 Calend 01'!D36),'V06 Calend 01'!J36,0))</f>
        <v>0</v>
      </c>
      <c r="CM36" s="2">
        <f>((IF((79='V06 Calend 01'!C36),('V06 Calend 01'!F36+'V06 Calend 01'!G36),0)+IF(AND(('V06 Calend 01'!E36&gt;0),(79&gt;'V06 Calend 01'!C36),(79&lt;'V06 Calend 01'!D36),(MOD((79-'V06 Calend 01'!C36),6)=0),(((79-'V06 Calend 01'!C36)/6)&lt;='V06 Calend 01'!E36)),IF((79=('V06 Calend 01'!C36+(6*'V06 Calend 01'!E36))),('V06 Calend 01'!H36-('V06 Calend 01'!I36*('V06 Calend 01'!E36-1))),'V06 Calend 01'!I36),0))+IF((79='V06 Calend 01'!D36),'V06 Calend 01'!J36,0))</f>
        <v>0</v>
      </c>
      <c r="CN36" s="2">
        <f>((IF((80='V06 Calend 01'!C36),('V06 Calend 01'!F36+'V06 Calend 01'!G36),0)+IF(AND(('V06 Calend 01'!E36&gt;0),(80&gt;'V06 Calend 01'!C36),(80&lt;'V06 Calend 01'!D36),(MOD((80-'V06 Calend 01'!C36),6)=0),(((80-'V06 Calend 01'!C36)/6)&lt;='V06 Calend 01'!E36)),IF((80=('V06 Calend 01'!C36+(6*'V06 Calend 01'!E36))),('V06 Calend 01'!H36-('V06 Calend 01'!I36*('V06 Calend 01'!E36-1))),'V06 Calend 01'!I36),0))+IF((80='V06 Calend 01'!D36),'V06 Calend 01'!J36,0))</f>
        <v>0</v>
      </c>
      <c r="CO36" s="2">
        <f>((IF((81='V06 Calend 01'!C36),('V06 Calend 01'!F36+'V06 Calend 01'!G36),0)+IF(AND(('V06 Calend 01'!E36&gt;0),(81&gt;'V06 Calend 01'!C36),(81&lt;'V06 Calend 01'!D36),(MOD((81-'V06 Calend 01'!C36),6)=0),(((81-'V06 Calend 01'!C36)/6)&lt;='V06 Calend 01'!E36)),IF((81=('V06 Calend 01'!C36+(6*'V06 Calend 01'!E36))),('V06 Calend 01'!H36-('V06 Calend 01'!I36*('V06 Calend 01'!E36-1))),'V06 Calend 01'!I36),0))+IF((81='V06 Calend 01'!D36),'V06 Calend 01'!J36,0))</f>
        <v>0</v>
      </c>
      <c r="CP36" s="2">
        <f>((IF((82='V06 Calend 01'!C36),('V06 Calend 01'!F36+'V06 Calend 01'!G36),0)+IF(AND(('V06 Calend 01'!E36&gt;0),(82&gt;'V06 Calend 01'!C36),(82&lt;'V06 Calend 01'!D36),(MOD((82-'V06 Calend 01'!C36),6)=0),(((82-'V06 Calend 01'!C36)/6)&lt;='V06 Calend 01'!E36)),IF((82=('V06 Calend 01'!C36+(6*'V06 Calend 01'!E36))),('V06 Calend 01'!H36-('V06 Calend 01'!I36*('V06 Calend 01'!E36-1))),'V06 Calend 01'!I36),0))+IF((82='V06 Calend 01'!D36),'V06 Calend 01'!J36,0))</f>
        <v>0</v>
      </c>
      <c r="CQ36" s="2">
        <f>((IF((83='V06 Calend 01'!C36),('V06 Calend 01'!F36+'V06 Calend 01'!G36),0)+IF(AND(('V06 Calend 01'!E36&gt;0),(83&gt;'V06 Calend 01'!C36),(83&lt;'V06 Calend 01'!D36),(MOD((83-'V06 Calend 01'!C36),6)=0),(((83-'V06 Calend 01'!C36)/6)&lt;='V06 Calend 01'!E36)),IF((83=('V06 Calend 01'!C36+(6*'V06 Calend 01'!E36))),('V06 Calend 01'!H36-('V06 Calend 01'!I36*('V06 Calend 01'!E36-1))),'V06 Calend 01'!I36),0))+IF((83='V06 Calend 01'!D36),'V06 Calend 01'!J36,0))</f>
        <v>0</v>
      </c>
      <c r="CR36" s="2">
        <f>((IF((84='V06 Calend 01'!C36),('V06 Calend 01'!F36+'V06 Calend 01'!G36),0)+IF(AND(('V06 Calend 01'!E36&gt;0),(84&gt;'V06 Calend 01'!C36),(84&lt;'V06 Calend 01'!D36),(MOD((84-'V06 Calend 01'!C36),6)=0),(((84-'V06 Calend 01'!C36)/6)&lt;='V06 Calend 01'!E36)),IF((84=('V06 Calend 01'!C36+(6*'V06 Calend 01'!E36))),('V06 Calend 01'!H36-('V06 Calend 01'!I36*('V06 Calend 01'!E36-1))),'V06 Calend 01'!I36),0))+IF((84='V06 Calend 01'!D36),'V06 Calend 01'!J36,0))</f>
        <v>0</v>
      </c>
      <c r="CS36" s="2">
        <f>((IF((85='V06 Calend 01'!C36),('V06 Calend 01'!F36+'V06 Calend 01'!G36),0)+IF(AND(('V06 Calend 01'!E36&gt;0),(85&gt;'V06 Calend 01'!C36),(85&lt;'V06 Calend 01'!D36),(MOD((85-'V06 Calend 01'!C36),6)=0),(((85-'V06 Calend 01'!C36)/6)&lt;='V06 Calend 01'!E36)),IF((85=('V06 Calend 01'!C36+(6*'V06 Calend 01'!E36))),('V06 Calend 01'!H36-('V06 Calend 01'!I36*('V06 Calend 01'!E36-1))),'V06 Calend 01'!I36),0))+IF((85='V06 Calend 01'!D36),'V06 Calend 01'!J36,0))</f>
        <v>0</v>
      </c>
      <c r="CT36" s="2">
        <f>((IF((86='V06 Calend 01'!C36),('V06 Calend 01'!F36+'V06 Calend 01'!G36),0)+IF(AND(('V06 Calend 01'!E36&gt;0),(86&gt;'V06 Calend 01'!C36),(86&lt;'V06 Calend 01'!D36),(MOD((86-'V06 Calend 01'!C36),6)=0),(((86-'V06 Calend 01'!C36)/6)&lt;='V06 Calend 01'!E36)),IF((86=('V06 Calend 01'!C36+(6*'V06 Calend 01'!E36))),('V06 Calend 01'!H36-('V06 Calend 01'!I36*('V06 Calend 01'!E36-1))),'V06 Calend 01'!I36),0))+IF((86='V06 Calend 01'!D36),'V06 Calend 01'!J36,0))</f>
        <v>0</v>
      </c>
      <c r="CU36" s="2">
        <f>((IF((87='V06 Calend 01'!C36),('V06 Calend 01'!F36+'V06 Calend 01'!G36),0)+IF(AND(('V06 Calend 01'!E36&gt;0),(87&gt;'V06 Calend 01'!C36),(87&lt;'V06 Calend 01'!D36),(MOD((87-'V06 Calend 01'!C36),6)=0),(((87-'V06 Calend 01'!C36)/6)&lt;='V06 Calend 01'!E36)),IF((87=('V06 Calend 01'!C36+(6*'V06 Calend 01'!E36))),('V06 Calend 01'!H36-('V06 Calend 01'!I36*('V06 Calend 01'!E36-1))),'V06 Calend 01'!I36),0))+IF((87='V06 Calend 01'!D36),'V06 Calend 01'!J36,0))</f>
        <v>0</v>
      </c>
      <c r="CV36" s="2">
        <f>((IF((88='V06 Calend 01'!C36),('V06 Calend 01'!F36+'V06 Calend 01'!G36),0)+IF(AND(('V06 Calend 01'!E36&gt;0),(88&gt;'V06 Calend 01'!C36),(88&lt;'V06 Calend 01'!D36),(MOD((88-'V06 Calend 01'!C36),6)=0),(((88-'V06 Calend 01'!C36)/6)&lt;='V06 Calend 01'!E36)),IF((88=('V06 Calend 01'!C36+(6*'V06 Calend 01'!E36))),('V06 Calend 01'!H36-('V06 Calend 01'!I36*('V06 Calend 01'!E36-1))),'V06 Calend 01'!I36),0))+IF((88='V06 Calend 01'!D36),'V06 Calend 01'!J36,0))</f>
        <v>0</v>
      </c>
      <c r="CW36" s="2">
        <f>((IF((89='V06 Calend 01'!C36),('V06 Calend 01'!F36+'V06 Calend 01'!G36),0)+IF(AND(('V06 Calend 01'!E36&gt;0),(89&gt;'V06 Calend 01'!C36),(89&lt;'V06 Calend 01'!D36),(MOD((89-'V06 Calend 01'!C36),6)=0),(((89-'V06 Calend 01'!C36)/6)&lt;='V06 Calend 01'!E36)),IF((89=('V06 Calend 01'!C36+(6*'V06 Calend 01'!E36))),('V06 Calend 01'!H36-('V06 Calend 01'!I36*('V06 Calend 01'!E36-1))),'V06 Calend 01'!I36),0))+IF((89='V06 Calend 01'!D36),'V06 Calend 01'!J36,0))</f>
        <v>0</v>
      </c>
      <c r="CX36" s="2">
        <f>((IF((90='V06 Calend 01'!C36),('V06 Calend 01'!F36+'V06 Calend 01'!G36),0)+IF(AND(('V06 Calend 01'!E36&gt;0),(90&gt;'V06 Calend 01'!C36),(90&lt;'V06 Calend 01'!D36),(MOD((90-'V06 Calend 01'!C36),6)=0),(((90-'V06 Calend 01'!C36)/6)&lt;='V06 Calend 01'!E36)),IF((90=('V06 Calend 01'!C36+(6*'V06 Calend 01'!E36))),('V06 Calend 01'!H36-('V06 Calend 01'!I36*('V06 Calend 01'!E36-1))),'V06 Calend 01'!I36),0))+IF((90='V06 Calend 01'!D36),'V06 Calend 01'!J36,0))</f>
        <v>0</v>
      </c>
      <c r="CY36" s="2">
        <f>((IF((91='V06 Calend 01'!C36),('V06 Calend 01'!F36+'V06 Calend 01'!G36),0)+IF(AND(('V06 Calend 01'!E36&gt;0),(91&gt;'V06 Calend 01'!C36),(91&lt;'V06 Calend 01'!D36),(MOD((91-'V06 Calend 01'!C36),6)=0),(((91-'V06 Calend 01'!C36)/6)&lt;='V06 Calend 01'!E36)),IF((91=('V06 Calend 01'!C36+(6*'V06 Calend 01'!E36))),('V06 Calend 01'!H36-('V06 Calend 01'!I36*('V06 Calend 01'!E36-1))),'V06 Calend 01'!I36),0))+IF((91='V06 Calend 01'!D36),'V06 Calend 01'!J36,0))</f>
        <v>0</v>
      </c>
      <c r="CZ36" s="2">
        <f>((IF((92='V06 Calend 01'!C36),('V06 Calend 01'!F36+'V06 Calend 01'!G36),0)+IF(AND(('V06 Calend 01'!E36&gt;0),(92&gt;'V06 Calend 01'!C36),(92&lt;'V06 Calend 01'!D36),(MOD((92-'V06 Calend 01'!C36),6)=0),(((92-'V06 Calend 01'!C36)/6)&lt;='V06 Calend 01'!E36)),IF((92=('V06 Calend 01'!C36+(6*'V06 Calend 01'!E36))),('V06 Calend 01'!H36-('V06 Calend 01'!I36*('V06 Calend 01'!E36-1))),'V06 Calend 01'!I36),0))+IF((92='V06 Calend 01'!D36),'V06 Calend 01'!J36,0))</f>
        <v>0</v>
      </c>
      <c r="DA36" s="2">
        <f>((IF((93='V06 Calend 01'!C36),('V06 Calend 01'!F36+'V06 Calend 01'!G36),0)+IF(AND(('V06 Calend 01'!E36&gt;0),(93&gt;'V06 Calend 01'!C36),(93&lt;'V06 Calend 01'!D36),(MOD((93-'V06 Calend 01'!C36),6)=0),(((93-'V06 Calend 01'!C36)/6)&lt;='V06 Calend 01'!E36)),IF((93=('V06 Calend 01'!C36+(6*'V06 Calend 01'!E36))),('V06 Calend 01'!H36-('V06 Calend 01'!I36*('V06 Calend 01'!E36-1))),'V06 Calend 01'!I36),0))+IF((93='V06 Calend 01'!D36),'V06 Calend 01'!J36,0))</f>
        <v>0</v>
      </c>
      <c r="DB36" s="2">
        <f>((IF((94='V06 Calend 01'!C36),('V06 Calend 01'!F36+'V06 Calend 01'!G36),0)+IF(AND(('V06 Calend 01'!E36&gt;0),(94&gt;'V06 Calend 01'!C36),(94&lt;'V06 Calend 01'!D36),(MOD((94-'V06 Calend 01'!C36),6)=0),(((94-'V06 Calend 01'!C36)/6)&lt;='V06 Calend 01'!E36)),IF((94=('V06 Calend 01'!C36+(6*'V06 Calend 01'!E36))),('V06 Calend 01'!H36-('V06 Calend 01'!I36*('V06 Calend 01'!E36-1))),'V06 Calend 01'!I36),0))+IF((94='V06 Calend 01'!D36),'V06 Calend 01'!J36,0))</f>
        <v>0</v>
      </c>
      <c r="DC36" s="2">
        <f>((IF((95='V06 Calend 01'!C36),('V06 Calend 01'!F36+'V06 Calend 01'!G36),0)+IF(AND(('V06 Calend 01'!E36&gt;0),(95&gt;'V06 Calend 01'!C36),(95&lt;'V06 Calend 01'!D36),(MOD((95-'V06 Calend 01'!C36),6)=0),(((95-'V06 Calend 01'!C36)/6)&lt;='V06 Calend 01'!E36)),IF((95=('V06 Calend 01'!C36+(6*'V06 Calend 01'!E36))),('V06 Calend 01'!H36-('V06 Calend 01'!I36*('V06 Calend 01'!E36-1))),'V06 Calend 01'!I36),0))+IF((95='V06 Calend 01'!D36),'V06 Calend 01'!J36,0))</f>
        <v>0</v>
      </c>
      <c r="DD36" s="2">
        <f>((IF((96='V06 Calend 01'!C36),('V06 Calend 01'!F36+'V06 Calend 01'!G36),0)+IF(AND(('V06 Calend 01'!E36&gt;0),(96&gt;'V06 Calend 01'!C36),(96&lt;'V06 Calend 01'!D36),(MOD((96-'V06 Calend 01'!C36),6)=0),(((96-'V06 Calend 01'!C36)/6)&lt;='V06 Calend 01'!E36)),IF((96=('V06 Calend 01'!C36+(6*'V06 Calend 01'!E36))),('V06 Calend 01'!H36-('V06 Calend 01'!I36*('V06 Calend 01'!E36-1))),'V06 Calend 01'!I36),0))+IF((96='V06 Calend 01'!D36),'V06 Calend 01'!J36,0))</f>
        <v>0</v>
      </c>
      <c r="DE36" s="2">
        <f>((IF((97='V06 Calend 01'!C36),('V06 Calend 01'!F36+'V06 Calend 01'!G36),0)+IF(AND(('V06 Calend 01'!E36&gt;0),(97&gt;'V06 Calend 01'!C36),(97&lt;'V06 Calend 01'!D36),(MOD((97-'V06 Calend 01'!C36),6)=0),(((97-'V06 Calend 01'!C36)/6)&lt;='V06 Calend 01'!E36)),IF((97=('V06 Calend 01'!C36+(6*'V06 Calend 01'!E36))),('V06 Calend 01'!H36-('V06 Calend 01'!I36*('V06 Calend 01'!E36-1))),'V06 Calend 01'!I36),0))+IF((97='V06 Calend 01'!D36),'V06 Calend 01'!J36,0))</f>
        <v>0</v>
      </c>
      <c r="DF36" s="2">
        <f>((IF((98='V06 Calend 01'!C36),('V06 Calend 01'!F36+'V06 Calend 01'!G36),0)+IF(AND(('V06 Calend 01'!E36&gt;0),(98&gt;'V06 Calend 01'!C36),(98&lt;'V06 Calend 01'!D36),(MOD((98-'V06 Calend 01'!C36),6)=0),(((98-'V06 Calend 01'!C36)/6)&lt;='V06 Calend 01'!E36)),IF((98=('V06 Calend 01'!C36+(6*'V06 Calend 01'!E36))),('V06 Calend 01'!H36-('V06 Calend 01'!I36*('V06 Calend 01'!E36-1))),'V06 Calend 01'!I36),0))+IF((98='V06 Calend 01'!D36),'V06 Calend 01'!J36,0))</f>
        <v>0</v>
      </c>
      <c r="DG36" s="2">
        <f>((IF((99='V06 Calend 01'!C36),('V06 Calend 01'!F36+'V06 Calend 01'!G36),0)+IF(AND(('V06 Calend 01'!E36&gt;0),(99&gt;'V06 Calend 01'!C36),(99&lt;'V06 Calend 01'!D36),(MOD((99-'V06 Calend 01'!C36),6)=0),(((99-'V06 Calend 01'!C36)/6)&lt;='V06 Calend 01'!E36)),IF((99=('V06 Calend 01'!C36+(6*'V06 Calend 01'!E36))),('V06 Calend 01'!H36-('V06 Calend 01'!I36*('V06 Calend 01'!E36-1))),'V06 Calend 01'!I36),0))+IF((99='V06 Calend 01'!D36),'V06 Calend 01'!J36,0))</f>
        <v>0</v>
      </c>
      <c r="DH36" s="2">
        <f>((IF((100='V06 Calend 01'!C36),('V06 Calend 01'!F36+'V06 Calend 01'!G36),0)+IF(AND(('V06 Calend 01'!E36&gt;0),(100&gt;'V06 Calend 01'!C36),(100&lt;'V06 Calend 01'!D36),(MOD((100-'V06 Calend 01'!C36),6)=0),(((100-'V06 Calend 01'!C36)/6)&lt;='V06 Calend 01'!E36)),IF((100=('V06 Calend 01'!C36+(6*'V06 Calend 01'!E36))),('V06 Calend 01'!H36-('V06 Calend 01'!I36*('V06 Calend 01'!E36-1))),'V06 Calend 01'!I36),0))+IF((100='V06 Calend 01'!D36),'V06 Calend 01'!J36,0))</f>
        <v>0</v>
      </c>
      <c r="DI36" s="2">
        <f>((IF((101='V06 Calend 01'!C36),('V06 Calend 01'!F36+'V06 Calend 01'!G36),0)+IF(AND(('V06 Calend 01'!E36&gt;0),(101&gt;'V06 Calend 01'!C36),(101&lt;'V06 Calend 01'!D36),(MOD((101-'V06 Calend 01'!C36),6)=0),(((101-'V06 Calend 01'!C36)/6)&lt;='V06 Calend 01'!E36)),IF((101=('V06 Calend 01'!C36+(6*'V06 Calend 01'!E36))),('V06 Calend 01'!H36-('V06 Calend 01'!I36*('V06 Calend 01'!E36-1))),'V06 Calend 01'!I36),0))+IF((101='V06 Calend 01'!D36),'V06 Calend 01'!J36,0))</f>
        <v>0</v>
      </c>
      <c r="DJ36" s="2">
        <f>((IF((102='V06 Calend 01'!C36),('V06 Calend 01'!F36+'V06 Calend 01'!G36),0)+IF(AND(('V06 Calend 01'!E36&gt;0),(102&gt;'V06 Calend 01'!C36),(102&lt;'V06 Calend 01'!D36),(MOD((102-'V06 Calend 01'!C36),6)=0),(((102-'V06 Calend 01'!C36)/6)&lt;='V06 Calend 01'!E36)),IF((102=('V06 Calend 01'!C36+(6*'V06 Calend 01'!E36))),('V06 Calend 01'!H36-('V06 Calend 01'!I36*('V06 Calend 01'!E36-1))),'V06 Calend 01'!I36),0))+IF((102='V06 Calend 01'!D36),'V06 Calend 01'!J36,0))</f>
        <v>0</v>
      </c>
      <c r="DK36" s="2">
        <f>((IF((103='V06 Calend 01'!C36),('V06 Calend 01'!F36+'V06 Calend 01'!G36),0)+IF(AND(('V06 Calend 01'!E36&gt;0),(103&gt;'V06 Calend 01'!C36),(103&lt;'V06 Calend 01'!D36),(MOD((103-'V06 Calend 01'!C36),6)=0),(((103-'V06 Calend 01'!C36)/6)&lt;='V06 Calend 01'!E36)),IF((103=('V06 Calend 01'!C36+(6*'V06 Calend 01'!E36))),('V06 Calend 01'!H36-('V06 Calend 01'!I36*('V06 Calend 01'!E36-1))),'V06 Calend 01'!I36),0))+IF((103='V06 Calend 01'!D36),'V06 Calend 01'!J36,0))</f>
        <v>0</v>
      </c>
      <c r="DL36" s="2">
        <f>((IF((104='V06 Calend 01'!C36),('V06 Calend 01'!F36+'V06 Calend 01'!G36),0)+IF(AND(('V06 Calend 01'!E36&gt;0),(104&gt;'V06 Calend 01'!C36),(104&lt;'V06 Calend 01'!D36),(MOD((104-'V06 Calend 01'!C36),6)=0),(((104-'V06 Calend 01'!C36)/6)&lt;='V06 Calend 01'!E36)),IF((104=('V06 Calend 01'!C36+(6*'V06 Calend 01'!E36))),('V06 Calend 01'!H36-('V06 Calend 01'!I36*('V06 Calend 01'!E36-1))),'V06 Calend 01'!I36),0))+IF((104='V06 Calend 01'!D36),'V06 Calend 01'!J36,0))</f>
        <v>0</v>
      </c>
      <c r="DM36" s="2">
        <f>((IF((105='V06 Calend 01'!C36),('V06 Calend 01'!F36+'V06 Calend 01'!G36),0)+IF(AND(('V06 Calend 01'!E36&gt;0),(105&gt;'V06 Calend 01'!C36),(105&lt;'V06 Calend 01'!D36),(MOD((105-'V06 Calend 01'!C36),6)=0),(((105-'V06 Calend 01'!C36)/6)&lt;='V06 Calend 01'!E36)),IF((105=('V06 Calend 01'!C36+(6*'V06 Calend 01'!E36))),('V06 Calend 01'!H36-('V06 Calend 01'!I36*('V06 Calend 01'!E36-1))),'V06 Calend 01'!I36),0))+IF((105='V06 Calend 01'!D36),'V06 Calend 01'!J36,0))</f>
        <v>0</v>
      </c>
      <c r="DN36" s="2">
        <f>((IF((106='V06 Calend 01'!C36),('V06 Calend 01'!F36+'V06 Calend 01'!G36),0)+IF(AND(('V06 Calend 01'!E36&gt;0),(106&gt;'V06 Calend 01'!C36),(106&lt;'V06 Calend 01'!D36),(MOD((106-'V06 Calend 01'!C36),6)=0),(((106-'V06 Calend 01'!C36)/6)&lt;='V06 Calend 01'!E36)),IF((106=('V06 Calend 01'!C36+(6*'V06 Calend 01'!E36))),('V06 Calend 01'!H36-('V06 Calend 01'!I36*('V06 Calend 01'!E36-1))),'V06 Calend 01'!I36),0))+IF((106='V06 Calend 01'!D36),'V06 Calend 01'!J36,0))</f>
        <v>0</v>
      </c>
      <c r="DO36" s="2">
        <f>((IF((107='V06 Calend 01'!C36),('V06 Calend 01'!F36+'V06 Calend 01'!G36),0)+IF(AND(('V06 Calend 01'!E36&gt;0),(107&gt;'V06 Calend 01'!C36),(107&lt;'V06 Calend 01'!D36),(MOD((107-'V06 Calend 01'!C36),6)=0),(((107-'V06 Calend 01'!C36)/6)&lt;='V06 Calend 01'!E36)),IF((107=('V06 Calend 01'!C36+(6*'V06 Calend 01'!E36))),('V06 Calend 01'!H36-('V06 Calend 01'!I36*('V06 Calend 01'!E36-1))),'V06 Calend 01'!I36),0))+IF((107='V06 Calend 01'!D36),'V06 Calend 01'!J36,0))</f>
        <v>0</v>
      </c>
      <c r="DP36" s="2">
        <f>((IF((108='V06 Calend 01'!C36),('V06 Calend 01'!F36+'V06 Calend 01'!G36),0)+IF(AND(('V06 Calend 01'!E36&gt;0),(108&gt;'V06 Calend 01'!C36),(108&lt;'V06 Calend 01'!D36),(MOD((108-'V06 Calend 01'!C36),6)=0),(((108-'V06 Calend 01'!C36)/6)&lt;='V06 Calend 01'!E36)),IF((108=('V06 Calend 01'!C36+(6*'V06 Calend 01'!E36))),('V06 Calend 01'!H36-('V06 Calend 01'!I36*('V06 Calend 01'!E36-1))),'V06 Calend 01'!I36),0))+IF((108='V06 Calend 01'!D36),'V06 Calend 01'!J36,0))</f>
        <v>0</v>
      </c>
      <c r="DQ36" s="2">
        <f>((IF((109='V06 Calend 01'!C36),('V06 Calend 01'!F36+'V06 Calend 01'!G36),0)+IF(AND(('V06 Calend 01'!E36&gt;0),(109&gt;'V06 Calend 01'!C36),(109&lt;'V06 Calend 01'!D36),(MOD((109-'V06 Calend 01'!C36),6)=0),(((109-'V06 Calend 01'!C36)/6)&lt;='V06 Calend 01'!E36)),IF((109=('V06 Calend 01'!C36+(6*'V06 Calend 01'!E36))),('V06 Calend 01'!H36-('V06 Calend 01'!I36*('V06 Calend 01'!E36-1))),'V06 Calend 01'!I36),0))+IF((109='V06 Calend 01'!D36),'V06 Calend 01'!J36,0))</f>
        <v>0</v>
      </c>
      <c r="DR36" s="2">
        <f>((IF((110='V06 Calend 01'!C36),('V06 Calend 01'!F36+'V06 Calend 01'!G36),0)+IF(AND(('V06 Calend 01'!E36&gt;0),(110&gt;'V06 Calend 01'!C36),(110&lt;'V06 Calend 01'!D36),(MOD((110-'V06 Calend 01'!C36),6)=0),(((110-'V06 Calend 01'!C36)/6)&lt;='V06 Calend 01'!E36)),IF((110=('V06 Calend 01'!C36+(6*'V06 Calend 01'!E36))),('V06 Calend 01'!H36-('V06 Calend 01'!I36*('V06 Calend 01'!E36-1))),'V06 Calend 01'!I36),0))+IF((110='V06 Calend 01'!D36),'V06 Calend 01'!J36,0))</f>
        <v>0</v>
      </c>
      <c r="DS36" s="2">
        <f>((IF((111='V06 Calend 01'!C36),('V06 Calend 01'!F36+'V06 Calend 01'!G36),0)+IF(AND(('V06 Calend 01'!E36&gt;0),(111&gt;'V06 Calend 01'!C36),(111&lt;'V06 Calend 01'!D36),(MOD((111-'V06 Calend 01'!C36),6)=0),(((111-'V06 Calend 01'!C36)/6)&lt;='V06 Calend 01'!E36)),IF((111=('V06 Calend 01'!C36+(6*'V06 Calend 01'!E36))),('V06 Calend 01'!H36-('V06 Calend 01'!I36*('V06 Calend 01'!E36-1))),'V06 Calend 01'!I36),0))+IF((111='V06 Calend 01'!D36),'V06 Calend 01'!J36,0))</f>
        <v>0</v>
      </c>
      <c r="DT36" s="2">
        <f>((IF((112='V06 Calend 01'!C36),('V06 Calend 01'!F36+'V06 Calend 01'!G36),0)+IF(AND(('V06 Calend 01'!E36&gt;0),(112&gt;'V06 Calend 01'!C36),(112&lt;'V06 Calend 01'!D36),(MOD((112-'V06 Calend 01'!C36),6)=0),(((112-'V06 Calend 01'!C36)/6)&lt;='V06 Calend 01'!E36)),IF((112=('V06 Calend 01'!C36+(6*'V06 Calend 01'!E36))),('V06 Calend 01'!H36-('V06 Calend 01'!I36*('V06 Calend 01'!E36-1))),'V06 Calend 01'!I36),0))+IF((112='V06 Calend 01'!D36),'V06 Calend 01'!J36,0))</f>
        <v>0</v>
      </c>
      <c r="DU36" s="2">
        <f>((IF((113='V06 Calend 01'!C36),('V06 Calend 01'!F36+'V06 Calend 01'!G36),0)+IF(AND(('V06 Calend 01'!E36&gt;0),(113&gt;'V06 Calend 01'!C36),(113&lt;'V06 Calend 01'!D36),(MOD((113-'V06 Calend 01'!C36),6)=0),(((113-'V06 Calend 01'!C36)/6)&lt;='V06 Calend 01'!E36)),IF((113=('V06 Calend 01'!C36+(6*'V06 Calend 01'!E36))),('V06 Calend 01'!H36-('V06 Calend 01'!I36*('V06 Calend 01'!E36-1))),'V06 Calend 01'!I36),0))+IF((113='V06 Calend 01'!D36),'V06 Calend 01'!J36,0))</f>
        <v>0</v>
      </c>
      <c r="DV36" s="2">
        <f>((IF((114='V06 Calend 01'!C36),('V06 Calend 01'!F36+'V06 Calend 01'!G36),0)+IF(AND(('V06 Calend 01'!E36&gt;0),(114&gt;'V06 Calend 01'!C36),(114&lt;'V06 Calend 01'!D36),(MOD((114-'V06 Calend 01'!C36),6)=0),(((114-'V06 Calend 01'!C36)/6)&lt;='V06 Calend 01'!E36)),IF((114=('V06 Calend 01'!C36+(6*'V06 Calend 01'!E36))),('V06 Calend 01'!H36-('V06 Calend 01'!I36*('V06 Calend 01'!E36-1))),'V06 Calend 01'!I36),0))+IF((114='V06 Calend 01'!D36),'V06 Calend 01'!J36,0))</f>
        <v>0</v>
      </c>
      <c r="DW36" s="2">
        <f>((IF((115='V06 Calend 01'!C36),('V06 Calend 01'!F36+'V06 Calend 01'!G36),0)+IF(AND(('V06 Calend 01'!E36&gt;0),(115&gt;'V06 Calend 01'!C36),(115&lt;'V06 Calend 01'!D36),(MOD((115-'V06 Calend 01'!C36),6)=0),(((115-'V06 Calend 01'!C36)/6)&lt;='V06 Calend 01'!E36)),IF((115=('V06 Calend 01'!C36+(6*'V06 Calend 01'!E36))),('V06 Calend 01'!H36-('V06 Calend 01'!I36*('V06 Calend 01'!E36-1))),'V06 Calend 01'!I36),0))+IF((115='V06 Calend 01'!D36),'V06 Calend 01'!J36,0))</f>
        <v>0</v>
      </c>
      <c r="DX36" s="2">
        <f>((IF((116='V06 Calend 01'!C36),('V06 Calend 01'!F36+'V06 Calend 01'!G36),0)+IF(AND(('V06 Calend 01'!E36&gt;0),(116&gt;'V06 Calend 01'!C36),(116&lt;'V06 Calend 01'!D36),(MOD((116-'V06 Calend 01'!C36),6)=0),(((116-'V06 Calend 01'!C36)/6)&lt;='V06 Calend 01'!E36)),IF((116=('V06 Calend 01'!C36+(6*'V06 Calend 01'!E36))),('V06 Calend 01'!H36-('V06 Calend 01'!I36*('V06 Calend 01'!E36-1))),'V06 Calend 01'!I36),0))+IF((116='V06 Calend 01'!D36),'V06 Calend 01'!J36,0))</f>
        <v>0</v>
      </c>
      <c r="DY36" s="2">
        <f>((IF((117='V06 Calend 01'!C36),('V06 Calend 01'!F36+'V06 Calend 01'!G36),0)+IF(AND(('V06 Calend 01'!E36&gt;0),(117&gt;'V06 Calend 01'!C36),(117&lt;'V06 Calend 01'!D36),(MOD((117-'V06 Calend 01'!C36),6)=0),(((117-'V06 Calend 01'!C36)/6)&lt;='V06 Calend 01'!E36)),IF((117=('V06 Calend 01'!C36+(6*'V06 Calend 01'!E36))),('V06 Calend 01'!H36-('V06 Calend 01'!I36*('V06 Calend 01'!E36-1))),'V06 Calend 01'!I36),0))+IF((117='V06 Calend 01'!D36),'V06 Calend 01'!J36,0))</f>
        <v>0</v>
      </c>
      <c r="DZ36" s="2">
        <f>((IF((118='V06 Calend 01'!C36),('V06 Calend 01'!F36+'V06 Calend 01'!G36),0)+IF(AND(('V06 Calend 01'!E36&gt;0),(118&gt;'V06 Calend 01'!C36),(118&lt;'V06 Calend 01'!D36),(MOD((118-'V06 Calend 01'!C36),6)=0),(((118-'V06 Calend 01'!C36)/6)&lt;='V06 Calend 01'!E36)),IF((118=('V06 Calend 01'!C36+(6*'V06 Calend 01'!E36))),('V06 Calend 01'!H36-('V06 Calend 01'!I36*('V06 Calend 01'!E36-1))),'V06 Calend 01'!I36),0))+IF((118='V06 Calend 01'!D36),'V06 Calend 01'!J36,0))</f>
        <v>0</v>
      </c>
      <c r="EA36" s="2">
        <f>((IF((119='V06 Calend 01'!C36),('V06 Calend 01'!F36+'V06 Calend 01'!G36),0)+IF(AND(('V06 Calend 01'!E36&gt;0),(119&gt;'V06 Calend 01'!C36),(119&lt;'V06 Calend 01'!D36),(MOD((119-'V06 Calend 01'!C36),6)=0),(((119-'V06 Calend 01'!C36)/6)&lt;='V06 Calend 01'!E36)),IF((119=('V06 Calend 01'!C36+(6*'V06 Calend 01'!E36))),('V06 Calend 01'!H36-('V06 Calend 01'!I36*('V06 Calend 01'!E36-1))),'V06 Calend 01'!I36),0))+IF((119='V06 Calend 01'!D36),'V06 Calend 01'!J36,0))</f>
        <v>0</v>
      </c>
      <c r="EB36" s="2">
        <f>((IF((120='V06 Calend 01'!C36),('V06 Calend 01'!F36+'V06 Calend 01'!G36),0)+IF(AND(('V06 Calend 01'!E36&gt;0),(120&gt;'V06 Calend 01'!C36),(120&lt;'V06 Calend 01'!D36),(MOD((120-'V06 Calend 01'!C36),6)=0),(((120-'V06 Calend 01'!C36)/6)&lt;='V06 Calend 01'!E36)),IF((120=('V06 Calend 01'!C36+(6*'V06 Calend 01'!E36))),('V06 Calend 01'!H36-('V06 Calend 01'!I36*('V06 Calend 01'!E36-1))),'V06 Calend 01'!I36),0))+IF((120='V06 Calend 01'!D36),'V06 Calend 01'!J36,0))</f>
        <v>0</v>
      </c>
      <c r="EC36" s="2">
        <f>((IF((121='V06 Calend 01'!C36),('V06 Calend 01'!F36+'V06 Calend 01'!G36),0)+IF(AND(('V06 Calend 01'!E36&gt;0),(121&gt;'V06 Calend 01'!C36),(121&lt;'V06 Calend 01'!D36),(MOD((121-'V06 Calend 01'!C36),6)=0),(((121-'V06 Calend 01'!C36)/6)&lt;='V06 Calend 01'!E36)),IF((121=('V06 Calend 01'!C36+(6*'V06 Calend 01'!E36))),('V06 Calend 01'!H36-('V06 Calend 01'!I36*('V06 Calend 01'!E36-1))),'V06 Calend 01'!I36),0))+IF((121='V06 Calend 01'!D36),'V06 Calend 01'!J36,0))</f>
        <v>0</v>
      </c>
      <c r="ED36" s="2">
        <f>((IF((122='V06 Calend 01'!C36),('V06 Calend 01'!F36+'V06 Calend 01'!G36),0)+IF(AND(('V06 Calend 01'!E36&gt;0),(122&gt;'V06 Calend 01'!C36),(122&lt;'V06 Calend 01'!D36),(MOD((122-'V06 Calend 01'!C36),6)=0),(((122-'V06 Calend 01'!C36)/6)&lt;='V06 Calend 01'!E36)),IF((122=('V06 Calend 01'!C36+(6*'V06 Calend 01'!E36))),('V06 Calend 01'!H36-('V06 Calend 01'!I36*('V06 Calend 01'!E36-1))),'V06 Calend 01'!I36),0))+IF((122='V06 Calend 01'!D36),'V06 Calend 01'!J36,0))</f>
        <v>0</v>
      </c>
      <c r="EE36" s="2">
        <f>((IF((123='V06 Calend 01'!C36),('V06 Calend 01'!F36+'V06 Calend 01'!G36),0)+IF(AND(('V06 Calend 01'!E36&gt;0),(123&gt;'V06 Calend 01'!C36),(123&lt;'V06 Calend 01'!D36),(MOD((123-'V06 Calend 01'!C36),6)=0),(((123-'V06 Calend 01'!C36)/6)&lt;='V06 Calend 01'!E36)),IF((123=('V06 Calend 01'!C36+(6*'V06 Calend 01'!E36))),('V06 Calend 01'!H36-('V06 Calend 01'!I36*('V06 Calend 01'!E36-1))),'V06 Calend 01'!I36),0))+IF((123='V06 Calend 01'!D36),'V06 Calend 01'!J36,0))</f>
        <v>0</v>
      </c>
      <c r="EF36" s="2">
        <f>((IF((124='V06 Calend 01'!C36),('V06 Calend 01'!F36+'V06 Calend 01'!G36),0)+IF(AND(('V06 Calend 01'!E36&gt;0),(124&gt;'V06 Calend 01'!C36),(124&lt;'V06 Calend 01'!D36),(MOD((124-'V06 Calend 01'!C36),6)=0),(((124-'V06 Calend 01'!C36)/6)&lt;='V06 Calend 01'!E36)),IF((124=('V06 Calend 01'!C36+(6*'V06 Calend 01'!E36))),('V06 Calend 01'!H36-('V06 Calend 01'!I36*('V06 Calend 01'!E36-1))),'V06 Calend 01'!I36),0))+IF((124='V06 Calend 01'!D36),'V06 Calend 01'!J36,0))</f>
        <v>0</v>
      </c>
      <c r="EG36" s="2">
        <f>((IF((125='V06 Calend 01'!C36),('V06 Calend 01'!F36+'V06 Calend 01'!G36),0)+IF(AND(('V06 Calend 01'!E36&gt;0),(125&gt;'V06 Calend 01'!C36),(125&lt;'V06 Calend 01'!D36),(MOD((125-'V06 Calend 01'!C36),6)=0),(((125-'V06 Calend 01'!C36)/6)&lt;='V06 Calend 01'!E36)),IF((125=('V06 Calend 01'!C36+(6*'V06 Calend 01'!E36))),('V06 Calend 01'!H36-('V06 Calend 01'!I36*('V06 Calend 01'!E36-1))),'V06 Calend 01'!I36),0))+IF((125='V06 Calend 01'!D36),'V06 Calend 01'!J36,0))</f>
        <v>0</v>
      </c>
      <c r="EH36" s="2">
        <f>((IF((126='V06 Calend 01'!C36),('V06 Calend 01'!F36+'V06 Calend 01'!G36),0)+IF(AND(('V06 Calend 01'!E36&gt;0),(126&gt;'V06 Calend 01'!C36),(126&lt;'V06 Calend 01'!D36),(MOD((126-'V06 Calend 01'!C36),6)=0),(((126-'V06 Calend 01'!C36)/6)&lt;='V06 Calend 01'!E36)),IF((126=('V06 Calend 01'!C36+(6*'V06 Calend 01'!E36))),('V06 Calend 01'!H36-('V06 Calend 01'!I36*('V06 Calend 01'!E36-1))),'V06 Calend 01'!I36),0))+IF((126='V06 Calend 01'!D36),'V06 Calend 01'!J36,0))</f>
        <v>0</v>
      </c>
      <c r="EI36" s="2">
        <f>((IF((127='V06 Calend 01'!C36),('V06 Calend 01'!F36+'V06 Calend 01'!G36),0)+IF(AND(('V06 Calend 01'!E36&gt;0),(127&gt;'V06 Calend 01'!C36),(127&lt;'V06 Calend 01'!D36),(MOD((127-'V06 Calend 01'!C36),6)=0),(((127-'V06 Calend 01'!C36)/6)&lt;='V06 Calend 01'!E36)),IF((127=('V06 Calend 01'!C36+(6*'V06 Calend 01'!E36))),('V06 Calend 01'!H36-('V06 Calend 01'!I36*('V06 Calend 01'!E36-1))),'V06 Calend 01'!I36),0))+IF((127='V06 Calend 01'!D36),'V06 Calend 01'!J36,0))</f>
        <v>0</v>
      </c>
      <c r="EJ36" s="2">
        <f>((IF((128='V06 Calend 01'!C36),('V06 Calend 01'!F36+'V06 Calend 01'!G36),0)+IF(AND(('V06 Calend 01'!E36&gt;0),(128&gt;'V06 Calend 01'!C36),(128&lt;'V06 Calend 01'!D36),(MOD((128-'V06 Calend 01'!C36),6)=0),(((128-'V06 Calend 01'!C36)/6)&lt;='V06 Calend 01'!E36)),IF((128=('V06 Calend 01'!C36+(6*'V06 Calend 01'!E36))),('V06 Calend 01'!H36-('V06 Calend 01'!I36*('V06 Calend 01'!E36-1))),'V06 Calend 01'!I36),0))+IF((128='V06 Calend 01'!D36),'V06 Calend 01'!J36,0))</f>
        <v>0</v>
      </c>
      <c r="EK36" s="2">
        <f>((IF((129='V06 Calend 01'!C36),('V06 Calend 01'!F36+'V06 Calend 01'!G36),0)+IF(AND(('V06 Calend 01'!E36&gt;0),(129&gt;'V06 Calend 01'!C36),(129&lt;'V06 Calend 01'!D36),(MOD((129-'V06 Calend 01'!C36),6)=0),(((129-'V06 Calend 01'!C36)/6)&lt;='V06 Calend 01'!E36)),IF((129=('V06 Calend 01'!C36+(6*'V06 Calend 01'!E36))),('V06 Calend 01'!H36-('V06 Calend 01'!I36*('V06 Calend 01'!E36-1))),'V06 Calend 01'!I36),0))+IF((129='V06 Calend 01'!D36),'V06 Calend 01'!J36,0))</f>
        <v>0</v>
      </c>
      <c r="EL36" s="2">
        <f>((IF((130='V06 Calend 01'!C36),('V06 Calend 01'!F36+'V06 Calend 01'!G36),0)+IF(AND(('V06 Calend 01'!E36&gt;0),(130&gt;'V06 Calend 01'!C36),(130&lt;'V06 Calend 01'!D36),(MOD((130-'V06 Calend 01'!C36),6)=0),(((130-'V06 Calend 01'!C36)/6)&lt;='V06 Calend 01'!E36)),IF((130=('V06 Calend 01'!C36+(6*'V06 Calend 01'!E36))),('V06 Calend 01'!H36-('V06 Calend 01'!I36*('V06 Calend 01'!E36-1))),'V06 Calend 01'!I36),0))+IF((130='V06 Calend 01'!D36),'V06 Calend 01'!J36,0))</f>
        <v>0</v>
      </c>
      <c r="EM36" s="2">
        <f>((IF((131='V06 Calend 01'!C36),('V06 Calend 01'!F36+'V06 Calend 01'!G36),0)+IF(AND(('V06 Calend 01'!E36&gt;0),(131&gt;'V06 Calend 01'!C36),(131&lt;'V06 Calend 01'!D36),(MOD((131-'V06 Calend 01'!C36),6)=0),(((131-'V06 Calend 01'!C36)/6)&lt;='V06 Calend 01'!E36)),IF((131=('V06 Calend 01'!C36+(6*'V06 Calend 01'!E36))),('V06 Calend 01'!H36-('V06 Calend 01'!I36*('V06 Calend 01'!E36-1))),'V06 Calend 01'!I36),0))+IF((131='V06 Calend 01'!D36),'V06 Calend 01'!J36,0))</f>
        <v>0</v>
      </c>
      <c r="EN36" s="2">
        <f>((IF((132='V06 Calend 01'!C36),('V06 Calend 01'!F36+'V06 Calend 01'!G36),0)+IF(AND(('V06 Calend 01'!E36&gt;0),(132&gt;'V06 Calend 01'!C36),(132&lt;'V06 Calend 01'!D36),(MOD((132-'V06 Calend 01'!C36),6)=0),(((132-'V06 Calend 01'!C36)/6)&lt;='V06 Calend 01'!E36)),IF((132=('V06 Calend 01'!C36+(6*'V06 Calend 01'!E36))),('V06 Calend 01'!H36-('V06 Calend 01'!I36*('V06 Calend 01'!E36-1))),'V06 Calend 01'!I36),0))+IF((132='V06 Calend 01'!D36),'V06 Calend 01'!J36,0))</f>
        <v>0</v>
      </c>
      <c r="EO36" s="2">
        <f>((IF((133='V06 Calend 01'!C36),('V06 Calend 01'!F36+'V06 Calend 01'!G36),0)+IF(AND(('V06 Calend 01'!E36&gt;0),(133&gt;'V06 Calend 01'!C36),(133&lt;'V06 Calend 01'!D36),(MOD((133-'V06 Calend 01'!C36),6)=0),(((133-'V06 Calend 01'!C36)/6)&lt;='V06 Calend 01'!E36)),IF((133=('V06 Calend 01'!C36+(6*'V06 Calend 01'!E36))),('V06 Calend 01'!H36-('V06 Calend 01'!I36*('V06 Calend 01'!E36-1))),'V06 Calend 01'!I36),0))+IF((133='V06 Calend 01'!D36),'V06 Calend 01'!J36,0))</f>
        <v>0</v>
      </c>
      <c r="EP36" s="2">
        <f>((IF((134='V06 Calend 01'!C36),('V06 Calend 01'!F36+'V06 Calend 01'!G36),0)+IF(AND(('V06 Calend 01'!E36&gt;0),(134&gt;'V06 Calend 01'!C36),(134&lt;'V06 Calend 01'!D36),(MOD((134-'V06 Calend 01'!C36),6)=0),(((134-'V06 Calend 01'!C36)/6)&lt;='V06 Calend 01'!E36)),IF((134=('V06 Calend 01'!C36+(6*'V06 Calend 01'!E36))),('V06 Calend 01'!H36-('V06 Calend 01'!I36*('V06 Calend 01'!E36-1))),'V06 Calend 01'!I36),0))+IF((134='V06 Calend 01'!D36),'V06 Calend 01'!J36,0))</f>
        <v>0</v>
      </c>
      <c r="EQ36" s="2">
        <f>((IF((135='V06 Calend 01'!C36),('V06 Calend 01'!F36+'V06 Calend 01'!G36),0)+IF(AND(('V06 Calend 01'!E36&gt;0),(135&gt;'V06 Calend 01'!C36),(135&lt;'V06 Calend 01'!D36),(MOD((135-'V06 Calend 01'!C36),6)=0),(((135-'V06 Calend 01'!C36)/6)&lt;='V06 Calend 01'!E36)),IF((135=('V06 Calend 01'!C36+(6*'V06 Calend 01'!E36))),('V06 Calend 01'!H36-('V06 Calend 01'!I36*('V06 Calend 01'!E36-1))),'V06 Calend 01'!I36),0))+IF((135='V06 Calend 01'!D36),'V06 Calend 01'!J36,0))</f>
        <v>0</v>
      </c>
      <c r="ER36" s="2">
        <f>((IF((136='V06 Calend 01'!C36),('V06 Calend 01'!F36+'V06 Calend 01'!G36),0)+IF(AND(('V06 Calend 01'!E36&gt;0),(136&gt;'V06 Calend 01'!C36),(136&lt;'V06 Calend 01'!D36),(MOD((136-'V06 Calend 01'!C36),6)=0),(((136-'V06 Calend 01'!C36)/6)&lt;='V06 Calend 01'!E36)),IF((136=('V06 Calend 01'!C36+(6*'V06 Calend 01'!E36))),('V06 Calend 01'!H36-('V06 Calend 01'!I36*('V06 Calend 01'!E36-1))),'V06 Calend 01'!I36),0))+IF((136='V06 Calend 01'!D36),'V06 Calend 01'!J36,0))</f>
        <v>0</v>
      </c>
      <c r="ES36" s="2">
        <f>((IF((137='V06 Calend 01'!C36),('V06 Calend 01'!F36+'V06 Calend 01'!G36),0)+IF(AND(('V06 Calend 01'!E36&gt;0),(137&gt;'V06 Calend 01'!C36),(137&lt;'V06 Calend 01'!D36),(MOD((137-'V06 Calend 01'!C36),6)=0),(((137-'V06 Calend 01'!C36)/6)&lt;='V06 Calend 01'!E36)),IF((137=('V06 Calend 01'!C36+(6*'V06 Calend 01'!E36))),('V06 Calend 01'!H36-('V06 Calend 01'!I36*('V06 Calend 01'!E36-1))),'V06 Calend 01'!I36),0))+IF((137='V06 Calend 01'!D36),'V06 Calend 01'!J36,0))</f>
        <v>0</v>
      </c>
      <c r="ET36" s="2">
        <f>((IF((138='V06 Calend 01'!C36),('V06 Calend 01'!F36+'V06 Calend 01'!G36),0)+IF(AND(('V06 Calend 01'!E36&gt;0),(138&gt;'V06 Calend 01'!C36),(138&lt;'V06 Calend 01'!D36),(MOD((138-'V06 Calend 01'!C36),6)=0),(((138-'V06 Calend 01'!C36)/6)&lt;='V06 Calend 01'!E36)),IF((138=('V06 Calend 01'!C36+(6*'V06 Calend 01'!E36))),('V06 Calend 01'!H36-('V06 Calend 01'!I36*('V06 Calend 01'!E36-1))),'V06 Calend 01'!I36),0))+IF((138='V06 Calend 01'!D36),'V06 Calend 01'!J36,0))</f>
        <v>0</v>
      </c>
      <c r="EU36" s="2">
        <f>((IF((139='V06 Calend 01'!C36),('V06 Calend 01'!F36+'V06 Calend 01'!G36),0)+IF(AND(('V06 Calend 01'!E36&gt;0),(139&gt;'V06 Calend 01'!C36),(139&lt;'V06 Calend 01'!D36),(MOD((139-'V06 Calend 01'!C36),6)=0),(((139-'V06 Calend 01'!C36)/6)&lt;='V06 Calend 01'!E36)),IF((139=('V06 Calend 01'!C36+(6*'V06 Calend 01'!E36))),('V06 Calend 01'!H36-('V06 Calend 01'!I36*('V06 Calend 01'!E36-1))),'V06 Calend 01'!I36),0))+IF((139='V06 Calend 01'!D36),'V06 Calend 01'!J36,0))</f>
        <v>0</v>
      </c>
      <c r="EV36" s="2">
        <f>((IF((140='V06 Calend 01'!C36),('V06 Calend 01'!F36+'V06 Calend 01'!G36),0)+IF(AND(('V06 Calend 01'!E36&gt;0),(140&gt;'V06 Calend 01'!C36),(140&lt;'V06 Calend 01'!D36),(MOD((140-'V06 Calend 01'!C36),6)=0),(((140-'V06 Calend 01'!C36)/6)&lt;='V06 Calend 01'!E36)),IF((140=('V06 Calend 01'!C36+(6*'V06 Calend 01'!E36))),('V06 Calend 01'!H36-('V06 Calend 01'!I36*('V06 Calend 01'!E36-1))),'V06 Calend 01'!I36),0))+IF((140='V06 Calend 01'!D36),'V06 Calend 01'!J36,0))</f>
        <v>0</v>
      </c>
      <c r="EW36" s="2">
        <f>((IF((141='V06 Calend 01'!C36),('V06 Calend 01'!F36+'V06 Calend 01'!G36),0)+IF(AND(('V06 Calend 01'!E36&gt;0),(141&gt;'V06 Calend 01'!C36),(141&lt;'V06 Calend 01'!D36),(MOD((141-'V06 Calend 01'!C36),6)=0),(((141-'V06 Calend 01'!C36)/6)&lt;='V06 Calend 01'!E36)),IF((141=('V06 Calend 01'!C36+(6*'V06 Calend 01'!E36))),('V06 Calend 01'!H36-('V06 Calend 01'!I36*('V06 Calend 01'!E36-1))),'V06 Calend 01'!I36),0))+IF((141='V06 Calend 01'!D36),'V06 Calend 01'!J36,0))</f>
        <v>0</v>
      </c>
      <c r="EX36" s="2">
        <f>((IF((142='V06 Calend 01'!C36),('V06 Calend 01'!F36+'V06 Calend 01'!G36),0)+IF(AND(('V06 Calend 01'!E36&gt;0),(142&gt;'V06 Calend 01'!C36),(142&lt;'V06 Calend 01'!D36),(MOD((142-'V06 Calend 01'!C36),6)=0),(((142-'V06 Calend 01'!C36)/6)&lt;='V06 Calend 01'!E36)),IF((142=('V06 Calend 01'!C36+(6*'V06 Calend 01'!E36))),('V06 Calend 01'!H36-('V06 Calend 01'!I36*('V06 Calend 01'!E36-1))),'V06 Calend 01'!I36),0))+IF((142='V06 Calend 01'!D36),'V06 Calend 01'!J36,0))</f>
        <v>0</v>
      </c>
      <c r="EY36" s="2">
        <f>((IF((143='V06 Calend 01'!C36),('V06 Calend 01'!F36+'V06 Calend 01'!G36),0)+IF(AND(('V06 Calend 01'!E36&gt;0),(143&gt;'V06 Calend 01'!C36),(143&lt;'V06 Calend 01'!D36),(MOD((143-'V06 Calend 01'!C36),6)=0),(((143-'V06 Calend 01'!C36)/6)&lt;='V06 Calend 01'!E36)),IF((143=('V06 Calend 01'!C36+(6*'V06 Calend 01'!E36))),('V06 Calend 01'!H36-('V06 Calend 01'!I36*('V06 Calend 01'!E36-1))),'V06 Calend 01'!I36),0))+IF((143='V06 Calend 01'!D36),'V06 Calend 01'!J36,0))</f>
        <v>0</v>
      </c>
      <c r="EZ36" s="2">
        <f>((IF((144='V06 Calend 01'!C36),('V06 Calend 01'!F36+'V06 Calend 01'!G36),0)+IF(AND(('V06 Calend 01'!E36&gt;0),(144&gt;'V06 Calend 01'!C36),(144&lt;'V06 Calend 01'!D36),(MOD((144-'V06 Calend 01'!C36),6)=0),(((144-'V06 Calend 01'!C36)/6)&lt;='V06 Calend 01'!E36)),IF((144=('V06 Calend 01'!C36+(6*'V06 Calend 01'!E36))),('V06 Calend 01'!H36-('V06 Calend 01'!I36*('V06 Calend 01'!E36-1))),'V06 Calend 01'!I36),0))+IF((144='V06 Calend 01'!D36),'V06 Calend 01'!J36,0))</f>
        <v>0</v>
      </c>
      <c r="FA36" s="2">
        <f>((IF((145='V06 Calend 01'!C36),('V06 Calend 01'!F36+'V06 Calend 01'!G36),0)+IF(AND(('V06 Calend 01'!E36&gt;0),(145&gt;'V06 Calend 01'!C36),(145&lt;'V06 Calend 01'!D36),(MOD((145-'V06 Calend 01'!C36),6)=0),(((145-'V06 Calend 01'!C36)/6)&lt;='V06 Calend 01'!E36)),IF((145=('V06 Calend 01'!C36+(6*'V06 Calend 01'!E36))),('V06 Calend 01'!H36-('V06 Calend 01'!I36*('V06 Calend 01'!E36-1))),'V06 Calend 01'!I36),0))+IF((145='V06 Calend 01'!D36),'V06 Calend 01'!J36,0))</f>
        <v>0</v>
      </c>
      <c r="FB36" s="2">
        <f>((IF((146='V06 Calend 01'!C36),('V06 Calend 01'!F36+'V06 Calend 01'!G36),0)+IF(AND(('V06 Calend 01'!E36&gt;0),(146&gt;'V06 Calend 01'!C36),(146&lt;'V06 Calend 01'!D36),(MOD((146-'V06 Calend 01'!C36),6)=0),(((146-'V06 Calend 01'!C36)/6)&lt;='V06 Calend 01'!E36)),IF((146=('V06 Calend 01'!C36+(6*'V06 Calend 01'!E36))),('V06 Calend 01'!H36-('V06 Calend 01'!I36*('V06 Calend 01'!E36-1))),'V06 Calend 01'!I36),0))+IF((146='V06 Calend 01'!D36),'V06 Calend 01'!J36,0))</f>
        <v>0</v>
      </c>
      <c r="FC36" s="2">
        <f>((IF((147='V06 Calend 01'!C36),('V06 Calend 01'!F36+'V06 Calend 01'!G36),0)+IF(AND(('V06 Calend 01'!E36&gt;0),(147&gt;'V06 Calend 01'!C36),(147&lt;'V06 Calend 01'!D36),(MOD((147-'V06 Calend 01'!C36),6)=0),(((147-'V06 Calend 01'!C36)/6)&lt;='V06 Calend 01'!E36)),IF((147=('V06 Calend 01'!C36+(6*'V06 Calend 01'!E36))),('V06 Calend 01'!H36-('V06 Calend 01'!I36*('V06 Calend 01'!E36-1))),'V06 Calend 01'!I36),0))+IF((147='V06 Calend 01'!D36),'V06 Calend 01'!J36,0))</f>
        <v>0</v>
      </c>
      <c r="FD36" s="2">
        <f>((IF((148='V06 Calend 01'!C36),('V06 Calend 01'!F36+'V06 Calend 01'!G36),0)+IF(AND(('V06 Calend 01'!E36&gt;0),(148&gt;'V06 Calend 01'!C36),(148&lt;'V06 Calend 01'!D36),(MOD((148-'V06 Calend 01'!C36),6)=0),(((148-'V06 Calend 01'!C36)/6)&lt;='V06 Calend 01'!E36)),IF((148=('V06 Calend 01'!C36+(6*'V06 Calend 01'!E36))),('V06 Calend 01'!H36-('V06 Calend 01'!I36*('V06 Calend 01'!E36-1))),'V06 Calend 01'!I36),0))+IF((148='V06 Calend 01'!D36),'V06 Calend 01'!J36,0))</f>
        <v>0</v>
      </c>
      <c r="FE36" s="2">
        <f>((IF((149='V06 Calend 01'!C36),('V06 Calend 01'!F36+'V06 Calend 01'!G36),0)+IF(AND(('V06 Calend 01'!E36&gt;0),(149&gt;'V06 Calend 01'!C36),(149&lt;'V06 Calend 01'!D36),(MOD((149-'V06 Calend 01'!C36),6)=0),(((149-'V06 Calend 01'!C36)/6)&lt;='V06 Calend 01'!E36)),IF((149=('V06 Calend 01'!C36+(6*'V06 Calend 01'!E36))),('V06 Calend 01'!H36-('V06 Calend 01'!I36*('V06 Calend 01'!E36-1))),'V06 Calend 01'!I36),0))+IF((149='V06 Calend 01'!D36),'V06 Calend 01'!J36,0))</f>
        <v>0</v>
      </c>
      <c r="FF36" s="2">
        <f>((IF((150='V06 Calend 01'!C36),('V06 Calend 01'!F36+'V06 Calend 01'!G36),0)+IF(AND(('V06 Calend 01'!E36&gt;0),(150&gt;'V06 Calend 01'!C36),(150&lt;'V06 Calend 01'!D36),(MOD((150-'V06 Calend 01'!C36),6)=0),(((150-'V06 Calend 01'!C36)/6)&lt;='V06 Calend 01'!E36)),IF((150=('V06 Calend 01'!C36+(6*'V06 Calend 01'!E36))),('V06 Calend 01'!H36-('V06 Calend 01'!I36*('V06 Calend 01'!E36-1))),'V06 Calend 01'!I36),0))+IF((150='V06 Calend 01'!D36),'V06 Calend 01'!J36,0))</f>
        <v>0</v>
      </c>
      <c r="FG36" s="2">
        <f>((IF((151='V06 Calend 01'!C36),('V06 Calend 01'!F36+'V06 Calend 01'!G36),0)+IF(AND(('V06 Calend 01'!E36&gt;0),(151&gt;'V06 Calend 01'!C36),(151&lt;'V06 Calend 01'!D36),(MOD((151-'V06 Calend 01'!C36),6)=0),(((151-'V06 Calend 01'!C36)/6)&lt;='V06 Calend 01'!E36)),IF((151=('V06 Calend 01'!C36+(6*'V06 Calend 01'!E36))),('V06 Calend 01'!H36-('V06 Calend 01'!I36*('V06 Calend 01'!E36-1))),'V06 Calend 01'!I36),0))+IF((151='V06 Calend 01'!D36),'V06 Calend 01'!J36,0))</f>
        <v>0</v>
      </c>
      <c r="FH36" s="2">
        <f>((IF((152='V06 Calend 01'!C36),('V06 Calend 01'!F36+'V06 Calend 01'!G36),0)+IF(AND(('V06 Calend 01'!E36&gt;0),(152&gt;'V06 Calend 01'!C36),(152&lt;'V06 Calend 01'!D36),(MOD((152-'V06 Calend 01'!C36),6)=0),(((152-'V06 Calend 01'!C36)/6)&lt;='V06 Calend 01'!E36)),IF((152=('V06 Calend 01'!C36+(6*'V06 Calend 01'!E36))),('V06 Calend 01'!H36-('V06 Calend 01'!I36*('V06 Calend 01'!E36-1))),'V06 Calend 01'!I36),0))+IF((152='V06 Calend 01'!D36),'V06 Calend 01'!J36,0))</f>
        <v>0</v>
      </c>
      <c r="FI36" s="2">
        <f>((IF((153='V06 Calend 01'!C36),('V06 Calend 01'!F36+'V06 Calend 01'!G36),0)+IF(AND(('V06 Calend 01'!E36&gt;0),(153&gt;'V06 Calend 01'!C36),(153&lt;'V06 Calend 01'!D36),(MOD((153-'V06 Calend 01'!C36),6)=0),(((153-'V06 Calend 01'!C36)/6)&lt;='V06 Calend 01'!E36)),IF((153=('V06 Calend 01'!C36+(6*'V06 Calend 01'!E36))),('V06 Calend 01'!H36-('V06 Calend 01'!I36*('V06 Calend 01'!E36-1))),'V06 Calend 01'!I36),0))+IF((153='V06 Calend 01'!D36),'V06 Calend 01'!J36,0))</f>
        <v>0</v>
      </c>
      <c r="FJ36" s="2">
        <f>((IF((154='V06 Calend 01'!C36),('V06 Calend 01'!F36+'V06 Calend 01'!G36),0)+IF(AND(('V06 Calend 01'!E36&gt;0),(154&gt;'V06 Calend 01'!C36),(154&lt;'V06 Calend 01'!D36),(MOD((154-'V06 Calend 01'!C36),6)=0),(((154-'V06 Calend 01'!C36)/6)&lt;='V06 Calend 01'!E36)),IF((154=('V06 Calend 01'!C36+(6*'V06 Calend 01'!E36))),('V06 Calend 01'!H36-('V06 Calend 01'!I36*('V06 Calend 01'!E36-1))),'V06 Calend 01'!I36),0))+IF((154='V06 Calend 01'!D36),'V06 Calend 01'!J36,0))</f>
        <v>0</v>
      </c>
      <c r="FK36" s="2">
        <f>((IF((155='V06 Calend 01'!C36),('V06 Calend 01'!F36+'V06 Calend 01'!G36),0)+IF(AND(('V06 Calend 01'!E36&gt;0),(155&gt;'V06 Calend 01'!C36),(155&lt;'V06 Calend 01'!D36),(MOD((155-'V06 Calend 01'!C36),6)=0),(((155-'V06 Calend 01'!C36)/6)&lt;='V06 Calend 01'!E36)),IF((155=('V06 Calend 01'!C36+(6*'V06 Calend 01'!E36))),('V06 Calend 01'!H36-('V06 Calend 01'!I36*('V06 Calend 01'!E36-1))),'V06 Calend 01'!I36),0))+IF((155='V06 Calend 01'!D36),'V06 Calend 01'!J36,0))</f>
        <v>0</v>
      </c>
      <c r="FL36" s="2">
        <f>((IF((156='V06 Calend 01'!C36),('V06 Calend 01'!F36+'V06 Calend 01'!G36),0)+IF(AND(('V06 Calend 01'!E36&gt;0),(156&gt;'V06 Calend 01'!C36),(156&lt;'V06 Calend 01'!D36),(MOD((156-'V06 Calend 01'!C36),6)=0),(((156-'V06 Calend 01'!C36)/6)&lt;='V06 Calend 01'!E36)),IF((156=('V06 Calend 01'!C36+(6*'V06 Calend 01'!E36))),('V06 Calend 01'!H36-('V06 Calend 01'!I36*('V06 Calend 01'!E36-1))),'V06 Calend 01'!I36),0))+IF((156='V06 Calend 01'!D36),'V06 Calend 01'!J36,0))</f>
        <v>0</v>
      </c>
      <c r="FM36" s="2">
        <f>((IF((157='V06 Calend 01'!C36),('V06 Calend 01'!F36+'V06 Calend 01'!G36),0)+IF(AND(('V06 Calend 01'!E36&gt;0),(157&gt;'V06 Calend 01'!C36),(157&lt;'V06 Calend 01'!D36),(MOD((157-'V06 Calend 01'!C36),6)=0),(((157-'V06 Calend 01'!C36)/6)&lt;='V06 Calend 01'!E36)),IF((157=('V06 Calend 01'!C36+(6*'V06 Calend 01'!E36))),('V06 Calend 01'!H36-('V06 Calend 01'!I36*('V06 Calend 01'!E36-1))),'V06 Calend 01'!I36),0))+IF((157='V06 Calend 01'!D36),'V06 Calend 01'!J36,0))</f>
        <v>0</v>
      </c>
      <c r="FN36" s="2">
        <f>((IF((158='V06 Calend 01'!C36),('V06 Calend 01'!F36+'V06 Calend 01'!G36),0)+IF(AND(('V06 Calend 01'!E36&gt;0),(158&gt;'V06 Calend 01'!C36),(158&lt;'V06 Calend 01'!D36),(MOD((158-'V06 Calend 01'!C36),6)=0),(((158-'V06 Calend 01'!C36)/6)&lt;='V06 Calend 01'!E36)),IF((158=('V06 Calend 01'!C36+(6*'V06 Calend 01'!E36))),('V06 Calend 01'!H36-('V06 Calend 01'!I36*('V06 Calend 01'!E36-1))),'V06 Calend 01'!I36),0))+IF((158='V06 Calend 01'!D36),'V06 Calend 01'!J36,0))</f>
        <v>0</v>
      </c>
      <c r="FO36" s="2">
        <f>((IF((159='V06 Calend 01'!C36),('V06 Calend 01'!F36+'V06 Calend 01'!G36),0)+IF(AND(('V06 Calend 01'!E36&gt;0),(159&gt;'V06 Calend 01'!C36),(159&lt;'V06 Calend 01'!D36),(MOD((159-'V06 Calend 01'!C36),6)=0),(((159-'V06 Calend 01'!C36)/6)&lt;='V06 Calend 01'!E36)),IF((159=('V06 Calend 01'!C36+(6*'V06 Calend 01'!E36))),('V06 Calend 01'!H36-('V06 Calend 01'!I36*('V06 Calend 01'!E36-1))),'V06 Calend 01'!I36),0))+IF((159='V06 Calend 01'!D36),'V06 Calend 01'!J36,0))</f>
        <v>0</v>
      </c>
      <c r="FP36" s="2">
        <f>((IF((160='V06 Calend 01'!C36),('V06 Calend 01'!F36+'V06 Calend 01'!G36),0)+IF(AND(('V06 Calend 01'!E36&gt;0),(160&gt;'V06 Calend 01'!C36),(160&lt;'V06 Calend 01'!D36),(MOD((160-'V06 Calend 01'!C36),6)=0),(((160-'V06 Calend 01'!C36)/6)&lt;='V06 Calend 01'!E36)),IF((160=('V06 Calend 01'!C36+(6*'V06 Calend 01'!E36))),('V06 Calend 01'!H36-('V06 Calend 01'!I36*('V06 Calend 01'!E36-1))),'V06 Calend 01'!I36),0))+IF((160='V06 Calend 01'!D36),'V06 Calend 01'!J36,0))</f>
        <v>0</v>
      </c>
      <c r="FQ36" s="2">
        <f>((IF((161='V06 Calend 01'!C36),('V06 Calend 01'!F36+'V06 Calend 01'!G36),0)+IF(AND(('V06 Calend 01'!E36&gt;0),(161&gt;'V06 Calend 01'!C36),(161&lt;'V06 Calend 01'!D36),(MOD((161-'V06 Calend 01'!C36),6)=0),(((161-'V06 Calend 01'!C36)/6)&lt;='V06 Calend 01'!E36)),IF((161=('V06 Calend 01'!C36+(6*'V06 Calend 01'!E36))),('V06 Calend 01'!H36-('V06 Calend 01'!I36*('V06 Calend 01'!E36-1))),'V06 Calend 01'!I36),0))+IF((161='V06 Calend 01'!D36),'V06 Calend 01'!J36,0))</f>
        <v>0</v>
      </c>
      <c r="FR36" s="2">
        <f>((IF((162='V06 Calend 01'!C36),('V06 Calend 01'!F36+'V06 Calend 01'!G36),0)+IF(AND(('V06 Calend 01'!E36&gt;0),(162&gt;'V06 Calend 01'!C36),(162&lt;'V06 Calend 01'!D36),(MOD((162-'V06 Calend 01'!C36),6)=0),(((162-'V06 Calend 01'!C36)/6)&lt;='V06 Calend 01'!E36)),IF((162=('V06 Calend 01'!C36+(6*'V06 Calend 01'!E36))),('V06 Calend 01'!H36-('V06 Calend 01'!I36*('V06 Calend 01'!E36-1))),'V06 Calend 01'!I36),0))+IF((162='V06 Calend 01'!D36),'V06 Calend 01'!J36,0))</f>
        <v>0</v>
      </c>
      <c r="FS36" s="2">
        <f>((IF((163='V06 Calend 01'!C36),('V06 Calend 01'!F36+'V06 Calend 01'!G36),0)+IF(AND(('V06 Calend 01'!E36&gt;0),(163&gt;'V06 Calend 01'!C36),(163&lt;'V06 Calend 01'!D36),(MOD((163-'V06 Calend 01'!C36),6)=0),(((163-'V06 Calend 01'!C36)/6)&lt;='V06 Calend 01'!E36)),IF((163=('V06 Calend 01'!C36+(6*'V06 Calend 01'!E36))),('V06 Calend 01'!H36-('V06 Calend 01'!I36*('V06 Calend 01'!E36-1))),'V06 Calend 01'!I36),0))+IF((163='V06 Calend 01'!D36),'V06 Calend 01'!J36,0))</f>
        <v>0</v>
      </c>
      <c r="FT36" s="2">
        <f>((IF((164='V06 Calend 01'!C36),('V06 Calend 01'!F36+'V06 Calend 01'!G36),0)+IF(AND(('V06 Calend 01'!E36&gt;0),(164&gt;'V06 Calend 01'!C36),(164&lt;'V06 Calend 01'!D36),(MOD((164-'V06 Calend 01'!C36),6)=0),(((164-'V06 Calend 01'!C36)/6)&lt;='V06 Calend 01'!E36)),IF((164=('V06 Calend 01'!C36+(6*'V06 Calend 01'!E36))),('V06 Calend 01'!H36-('V06 Calend 01'!I36*('V06 Calend 01'!E36-1))),'V06 Calend 01'!I36),0))+IF((164='V06 Calend 01'!D36),'V06 Calend 01'!J36,0))</f>
        <v>0</v>
      </c>
      <c r="FU36" s="2">
        <f>((IF((165='V06 Calend 01'!C36),('V06 Calend 01'!F36+'V06 Calend 01'!G36),0)+IF(AND(('V06 Calend 01'!E36&gt;0),(165&gt;'V06 Calend 01'!C36),(165&lt;'V06 Calend 01'!D36),(MOD((165-'V06 Calend 01'!C36),6)=0),(((165-'V06 Calend 01'!C36)/6)&lt;='V06 Calend 01'!E36)),IF((165=('V06 Calend 01'!C36+(6*'V06 Calend 01'!E36))),('V06 Calend 01'!H36-('V06 Calend 01'!I36*('V06 Calend 01'!E36-1))),'V06 Calend 01'!I36),0))+IF((165='V06 Calend 01'!D36),'V06 Calend 01'!J36,0))</f>
        <v>0</v>
      </c>
      <c r="FV36" s="2">
        <f>((IF((166='V06 Calend 01'!C36),('V06 Calend 01'!F36+'V06 Calend 01'!G36),0)+IF(AND(('V06 Calend 01'!E36&gt;0),(166&gt;'V06 Calend 01'!C36),(166&lt;'V06 Calend 01'!D36),(MOD((166-'V06 Calend 01'!C36),6)=0),(((166-'V06 Calend 01'!C36)/6)&lt;='V06 Calend 01'!E36)),IF((166=('V06 Calend 01'!C36+(6*'V06 Calend 01'!E36))),('V06 Calend 01'!H36-('V06 Calend 01'!I36*('V06 Calend 01'!E36-1))),'V06 Calend 01'!I36),0))+IF((166='V06 Calend 01'!D36),'V06 Calend 01'!J36,0))</f>
        <v>0</v>
      </c>
      <c r="FW36" s="2">
        <f>((IF((167='V06 Calend 01'!C36),('V06 Calend 01'!F36+'V06 Calend 01'!G36),0)+IF(AND(('V06 Calend 01'!E36&gt;0),(167&gt;'V06 Calend 01'!C36),(167&lt;'V06 Calend 01'!D36),(MOD((167-'V06 Calend 01'!C36),6)=0),(((167-'V06 Calend 01'!C36)/6)&lt;='V06 Calend 01'!E36)),IF((167=('V06 Calend 01'!C36+(6*'V06 Calend 01'!E36))),('V06 Calend 01'!H36-('V06 Calend 01'!I36*('V06 Calend 01'!E36-1))),'V06 Calend 01'!I36),0))+IF((167='V06 Calend 01'!D36),'V06 Calend 01'!J36,0))</f>
        <v>0</v>
      </c>
      <c r="FX36" s="2">
        <f>((IF((168='V06 Calend 01'!C36),('V06 Calend 01'!F36+'V06 Calend 01'!G36),0)+IF(AND(('V06 Calend 01'!E36&gt;0),(168&gt;'V06 Calend 01'!C36),(168&lt;'V06 Calend 01'!D36),(MOD((168-'V06 Calend 01'!C36),6)=0),(((168-'V06 Calend 01'!C36)/6)&lt;='V06 Calend 01'!E36)),IF((168=('V06 Calend 01'!C36+(6*'V06 Calend 01'!E36))),('V06 Calend 01'!H36-('V06 Calend 01'!I36*('V06 Calend 01'!E36-1))),'V06 Calend 01'!I36),0))+IF((168='V06 Calend 01'!D36),'V06 Calend 01'!J36,0))</f>
        <v>0</v>
      </c>
      <c r="FY36" s="2">
        <f>((IF((169='V06 Calend 01'!C36),('V06 Calend 01'!F36+'V06 Calend 01'!G36),0)+IF(AND(('V06 Calend 01'!E36&gt;0),(169&gt;'V06 Calend 01'!C36),(169&lt;'V06 Calend 01'!D36),(MOD((169-'V06 Calend 01'!C36),6)=0),(((169-'V06 Calend 01'!C36)/6)&lt;='V06 Calend 01'!E36)),IF((169=('V06 Calend 01'!C36+(6*'V06 Calend 01'!E36))),('V06 Calend 01'!H36-('V06 Calend 01'!I36*('V06 Calend 01'!E36-1))),'V06 Calend 01'!I36),0))+IF((169='V06 Calend 01'!D36),'V06 Calend 01'!J36,0))</f>
        <v>0</v>
      </c>
      <c r="FZ36" s="2">
        <f>((IF((170='V06 Calend 01'!C36),('V06 Calend 01'!F36+'V06 Calend 01'!G36),0)+IF(AND(('V06 Calend 01'!E36&gt;0),(170&gt;'V06 Calend 01'!C36),(170&lt;'V06 Calend 01'!D36),(MOD((170-'V06 Calend 01'!C36),6)=0),(((170-'V06 Calend 01'!C36)/6)&lt;='V06 Calend 01'!E36)),IF((170=('V06 Calend 01'!C36+(6*'V06 Calend 01'!E36))),('V06 Calend 01'!H36-('V06 Calend 01'!I36*('V06 Calend 01'!E36-1))),'V06 Calend 01'!I36),0))+IF((170='V06 Calend 01'!D36),'V06 Calend 01'!J36,0))</f>
        <v>0</v>
      </c>
      <c r="GA36" s="2">
        <f>((IF((171='V06 Calend 01'!C36),('V06 Calend 01'!F36+'V06 Calend 01'!G36),0)+IF(AND(('V06 Calend 01'!E36&gt;0),(171&gt;'V06 Calend 01'!C36),(171&lt;'V06 Calend 01'!D36),(MOD((171-'V06 Calend 01'!C36),6)=0),(((171-'V06 Calend 01'!C36)/6)&lt;='V06 Calend 01'!E36)),IF((171=('V06 Calend 01'!C36+(6*'V06 Calend 01'!E36))),('V06 Calend 01'!H36-('V06 Calend 01'!I36*('V06 Calend 01'!E36-1))),'V06 Calend 01'!I36),0))+IF((171='V06 Calend 01'!D36),'V06 Calend 01'!J36,0))</f>
        <v>0</v>
      </c>
      <c r="GB36" s="2">
        <f>((IF((172='V06 Calend 01'!C36),('V06 Calend 01'!F36+'V06 Calend 01'!G36),0)+IF(AND(('V06 Calend 01'!E36&gt;0),(172&gt;'V06 Calend 01'!C36),(172&lt;'V06 Calend 01'!D36),(MOD((172-'V06 Calend 01'!C36),6)=0),(((172-'V06 Calend 01'!C36)/6)&lt;='V06 Calend 01'!E36)),IF((172=('V06 Calend 01'!C36+(6*'V06 Calend 01'!E36))),('V06 Calend 01'!H36-('V06 Calend 01'!I36*('V06 Calend 01'!E36-1))),'V06 Calend 01'!I36),0))+IF((172='V06 Calend 01'!D36),'V06 Calend 01'!J36,0))</f>
        <v>0</v>
      </c>
      <c r="GC36" s="2">
        <f>((IF((173='V06 Calend 01'!C36),('V06 Calend 01'!F36+'V06 Calend 01'!G36),0)+IF(AND(('V06 Calend 01'!E36&gt;0),(173&gt;'V06 Calend 01'!C36),(173&lt;'V06 Calend 01'!D36),(MOD((173-'V06 Calend 01'!C36),6)=0),(((173-'V06 Calend 01'!C36)/6)&lt;='V06 Calend 01'!E36)),IF((173=('V06 Calend 01'!C36+(6*'V06 Calend 01'!E36))),('V06 Calend 01'!H36-('V06 Calend 01'!I36*('V06 Calend 01'!E36-1))),'V06 Calend 01'!I36),0))+IF((173='V06 Calend 01'!D36),'V06 Calend 01'!J36,0))</f>
        <v>0</v>
      </c>
      <c r="GD36" s="2">
        <f>((IF((174='V06 Calend 01'!C36),('V06 Calend 01'!F36+'V06 Calend 01'!G36),0)+IF(AND(('V06 Calend 01'!E36&gt;0),(174&gt;'V06 Calend 01'!C36),(174&lt;'V06 Calend 01'!D36),(MOD((174-'V06 Calend 01'!C36),6)=0),(((174-'V06 Calend 01'!C36)/6)&lt;='V06 Calend 01'!E36)),IF((174=('V06 Calend 01'!C36+(6*'V06 Calend 01'!E36))),('V06 Calend 01'!H36-('V06 Calend 01'!I36*('V06 Calend 01'!E36-1))),'V06 Calend 01'!I36),0))+IF((174='V06 Calend 01'!D36),'V06 Calend 01'!J36,0))</f>
        <v>0</v>
      </c>
      <c r="GE36" s="2">
        <f>((IF((175='V06 Calend 01'!C36),('V06 Calend 01'!F36+'V06 Calend 01'!G36),0)+IF(AND(('V06 Calend 01'!E36&gt;0),(175&gt;'V06 Calend 01'!C36),(175&lt;'V06 Calend 01'!D36),(MOD((175-'V06 Calend 01'!C36),6)=0),(((175-'V06 Calend 01'!C36)/6)&lt;='V06 Calend 01'!E36)),IF((175=('V06 Calend 01'!C36+(6*'V06 Calend 01'!E36))),('V06 Calend 01'!H36-('V06 Calend 01'!I36*('V06 Calend 01'!E36-1))),'V06 Calend 01'!I36),0))+IF((175='V06 Calend 01'!D36),'V06 Calend 01'!J36,0))</f>
        <v>0</v>
      </c>
      <c r="GF36" s="2">
        <f>((IF((176='V06 Calend 01'!C36),('V06 Calend 01'!F36+'V06 Calend 01'!G36),0)+IF(AND(('V06 Calend 01'!E36&gt;0),(176&gt;'V06 Calend 01'!C36),(176&lt;'V06 Calend 01'!D36),(MOD((176-'V06 Calend 01'!C36),6)=0),(((176-'V06 Calend 01'!C36)/6)&lt;='V06 Calend 01'!E36)),IF((176=('V06 Calend 01'!C36+(6*'V06 Calend 01'!E36))),('V06 Calend 01'!H36-('V06 Calend 01'!I36*('V06 Calend 01'!E36-1))),'V06 Calend 01'!I36),0))+IF((176='V06 Calend 01'!D36),'V06 Calend 01'!J36,0))</f>
        <v>0</v>
      </c>
      <c r="GG36" s="2">
        <f>((IF((177='V06 Calend 01'!C36),('V06 Calend 01'!F36+'V06 Calend 01'!G36),0)+IF(AND(('V06 Calend 01'!E36&gt;0),(177&gt;'V06 Calend 01'!C36),(177&lt;'V06 Calend 01'!D36),(MOD((177-'V06 Calend 01'!C36),6)=0),(((177-'V06 Calend 01'!C36)/6)&lt;='V06 Calend 01'!E36)),IF((177=('V06 Calend 01'!C36+(6*'V06 Calend 01'!E36))),('V06 Calend 01'!H36-('V06 Calend 01'!I36*('V06 Calend 01'!E36-1))),'V06 Calend 01'!I36),0))+IF((177='V06 Calend 01'!D36),'V06 Calend 01'!J36,0))</f>
        <v>0</v>
      </c>
      <c r="GH36" s="2">
        <f>((IF((178='V06 Calend 01'!C36),('V06 Calend 01'!F36+'V06 Calend 01'!G36),0)+IF(AND(('V06 Calend 01'!E36&gt;0),(178&gt;'V06 Calend 01'!C36),(178&lt;'V06 Calend 01'!D36),(MOD((178-'V06 Calend 01'!C36),6)=0),(((178-'V06 Calend 01'!C36)/6)&lt;='V06 Calend 01'!E36)),IF((178=('V06 Calend 01'!C36+(6*'V06 Calend 01'!E36))),('V06 Calend 01'!H36-('V06 Calend 01'!I36*('V06 Calend 01'!E36-1))),'V06 Calend 01'!I36),0))+IF((178='V06 Calend 01'!D36),'V06 Calend 01'!J36,0))</f>
        <v>0</v>
      </c>
      <c r="GI36" s="2">
        <f>((IF((179='V06 Calend 01'!C36),('V06 Calend 01'!F36+'V06 Calend 01'!G36),0)+IF(AND(('V06 Calend 01'!E36&gt;0),(179&gt;'V06 Calend 01'!C36),(179&lt;'V06 Calend 01'!D36),(MOD((179-'V06 Calend 01'!C36),6)=0),(((179-'V06 Calend 01'!C36)/6)&lt;='V06 Calend 01'!E36)),IF((179=('V06 Calend 01'!C36+(6*'V06 Calend 01'!E36))),('V06 Calend 01'!H36-('V06 Calend 01'!I36*('V06 Calend 01'!E36-1))),'V06 Calend 01'!I36),0))+IF((179='V06 Calend 01'!D36),'V06 Calend 01'!J36,0))</f>
        <v>0</v>
      </c>
      <c r="GJ36" s="2">
        <f>((IF((180='V06 Calend 01'!C36),('V06 Calend 01'!F36+'V06 Calend 01'!G36),0)+IF(AND(('V06 Calend 01'!E36&gt;0),(180&gt;'V06 Calend 01'!C36),(180&lt;'V06 Calend 01'!D36),(MOD((180-'V06 Calend 01'!C36),6)=0),(((180-'V06 Calend 01'!C36)/6)&lt;='V06 Calend 01'!E36)),IF((180=('V06 Calend 01'!C36+(6*'V06 Calend 01'!E36))),('V06 Calend 01'!H36-('V06 Calend 01'!I36*('V06 Calend 01'!E36-1))),'V06 Calend 01'!I36),0))+IF((180='V06 Calend 01'!D36),'V06 Calend 01'!J36,0))</f>
        <v>0</v>
      </c>
    </row>
    <row r="37" spans="1:192">
      <c r="A37" s="3" t="str">
        <f>'V06 Unidades'!$A$37</f>
        <v>503</v>
      </c>
      <c r="B37" s="2">
        <f>'V06 Unidades'!$H$37</f>
        <v>284485.34</v>
      </c>
      <c r="C37" s="4">
        <f>('V06 Unidades'!$I$37+'V06 Controlos'!$B$37)</f>
        <v>22</v>
      </c>
      <c r="D37" s="4">
        <f>IF(('V06 Controlos'!$B$38&gt;0),MAX(('V06 Unidades'!$L$37+'V06 Controlos'!$B$37),(30+'V06 Controlos'!$B$38)),('V06 Unidades'!$L$37+'V06 Controlos'!$B$37))</f>
        <v>30</v>
      </c>
      <c r="E37" s="4">
        <f>MAX(0,INT(((('V06 Calend 01'!D37-'V06 Calend 01'!C37)-1)/6)))</f>
        <v>1</v>
      </c>
      <c r="F37" s="2">
        <f>ROUND(('V06 Calend 01'!B37*0.05),2)</f>
        <v>14224.27</v>
      </c>
      <c r="G37" s="2">
        <f>ROUND(('V06 Calend 01'!B37*0.2),2)</f>
        <v>56897.07</v>
      </c>
      <c r="H37" s="2">
        <f>ROUND(('V06 Calend 01'!B37*0.55),2)</f>
        <v>156466.94</v>
      </c>
      <c r="I37" s="2">
        <f>ROUND(('V06 Calend 01'!H37/MAX(1,'V06 Calend 01'!E37)),2)</f>
        <v>156466.94</v>
      </c>
      <c r="J37" s="2">
        <f>((('V06 Calend 01'!B37-'V06 Calend 01'!F37)-'V06 Calend 01'!G37)-'V06 Calend 01'!H37)</f>
        <v>56897.06</v>
      </c>
      <c r="K37" s="2">
        <f>('V06 Calend 01'!B37*0.025)</f>
        <v>7112.133500000001</v>
      </c>
      <c r="L37" t="s">
        <v>378</v>
      </c>
      <c r="M37" s="2">
        <f>((IF((1='V06 Calend 01'!C37),('V06 Calend 01'!F37+'V06 Calend 01'!G37),0)+IF(AND(('V06 Calend 01'!E37&gt;0),(1&gt;'V06 Calend 01'!C37),(1&lt;'V06 Calend 01'!D37),(MOD((1-'V06 Calend 01'!C37),6)=0),(((1-'V06 Calend 01'!C37)/6)&lt;='V06 Calend 01'!E37)),IF((1=('V06 Calend 01'!C37+(6*'V06 Calend 01'!E37))),('V06 Calend 01'!H37-('V06 Calend 01'!I37*('V06 Calend 01'!E37-1))),'V06 Calend 01'!I37),0))+IF((1='V06 Calend 01'!D37),'V06 Calend 01'!J37,0))</f>
        <v>0</v>
      </c>
      <c r="N37" s="2">
        <f>((IF((2='V06 Calend 01'!C37),('V06 Calend 01'!F37+'V06 Calend 01'!G37),0)+IF(AND(('V06 Calend 01'!E37&gt;0),(2&gt;'V06 Calend 01'!C37),(2&lt;'V06 Calend 01'!D37),(MOD((2-'V06 Calend 01'!C37),6)=0),(((2-'V06 Calend 01'!C37)/6)&lt;='V06 Calend 01'!E37)),IF((2=('V06 Calend 01'!C37+(6*'V06 Calend 01'!E37))),('V06 Calend 01'!H37-('V06 Calend 01'!I37*('V06 Calend 01'!E37-1))),'V06 Calend 01'!I37),0))+IF((2='V06 Calend 01'!D37),'V06 Calend 01'!J37,0))</f>
        <v>0</v>
      </c>
      <c r="O37" s="2">
        <f>((IF((3='V06 Calend 01'!C37),('V06 Calend 01'!F37+'V06 Calend 01'!G37),0)+IF(AND(('V06 Calend 01'!E37&gt;0),(3&gt;'V06 Calend 01'!C37),(3&lt;'V06 Calend 01'!D37),(MOD((3-'V06 Calend 01'!C37),6)=0),(((3-'V06 Calend 01'!C37)/6)&lt;='V06 Calend 01'!E37)),IF((3=('V06 Calend 01'!C37+(6*'V06 Calend 01'!E37))),('V06 Calend 01'!H37-('V06 Calend 01'!I37*('V06 Calend 01'!E37-1))),'V06 Calend 01'!I37),0))+IF((3='V06 Calend 01'!D37),'V06 Calend 01'!J37,0))</f>
        <v>0</v>
      </c>
      <c r="P37" s="2">
        <f>((IF((4='V06 Calend 01'!C37),('V06 Calend 01'!F37+'V06 Calend 01'!G37),0)+IF(AND(('V06 Calend 01'!E37&gt;0),(4&gt;'V06 Calend 01'!C37),(4&lt;'V06 Calend 01'!D37),(MOD((4-'V06 Calend 01'!C37),6)=0),(((4-'V06 Calend 01'!C37)/6)&lt;='V06 Calend 01'!E37)),IF((4=('V06 Calend 01'!C37+(6*'V06 Calend 01'!E37))),('V06 Calend 01'!H37-('V06 Calend 01'!I37*('V06 Calend 01'!E37-1))),'V06 Calend 01'!I37),0))+IF((4='V06 Calend 01'!D37),'V06 Calend 01'!J37,0))</f>
        <v>0</v>
      </c>
      <c r="Q37" s="2">
        <f>((IF((5='V06 Calend 01'!C37),('V06 Calend 01'!F37+'V06 Calend 01'!G37),0)+IF(AND(('V06 Calend 01'!E37&gt;0),(5&gt;'V06 Calend 01'!C37),(5&lt;'V06 Calend 01'!D37),(MOD((5-'V06 Calend 01'!C37),6)=0),(((5-'V06 Calend 01'!C37)/6)&lt;='V06 Calend 01'!E37)),IF((5=('V06 Calend 01'!C37+(6*'V06 Calend 01'!E37))),('V06 Calend 01'!H37-('V06 Calend 01'!I37*('V06 Calend 01'!E37-1))),'V06 Calend 01'!I37),0))+IF((5='V06 Calend 01'!D37),'V06 Calend 01'!J37,0))</f>
        <v>0</v>
      </c>
      <c r="R37" s="2">
        <f>((IF((6='V06 Calend 01'!C37),('V06 Calend 01'!F37+'V06 Calend 01'!G37),0)+IF(AND(('V06 Calend 01'!E37&gt;0),(6&gt;'V06 Calend 01'!C37),(6&lt;'V06 Calend 01'!D37),(MOD((6-'V06 Calend 01'!C37),6)=0),(((6-'V06 Calend 01'!C37)/6)&lt;='V06 Calend 01'!E37)),IF((6=('V06 Calend 01'!C37+(6*'V06 Calend 01'!E37))),('V06 Calend 01'!H37-('V06 Calend 01'!I37*('V06 Calend 01'!E37-1))),'V06 Calend 01'!I37),0))+IF((6='V06 Calend 01'!D37),'V06 Calend 01'!J37,0))</f>
        <v>0</v>
      </c>
      <c r="S37" s="2">
        <f>((IF((7='V06 Calend 01'!C37),('V06 Calend 01'!F37+'V06 Calend 01'!G37),0)+IF(AND(('V06 Calend 01'!E37&gt;0),(7&gt;'V06 Calend 01'!C37),(7&lt;'V06 Calend 01'!D37),(MOD((7-'V06 Calend 01'!C37),6)=0),(((7-'V06 Calend 01'!C37)/6)&lt;='V06 Calend 01'!E37)),IF((7=('V06 Calend 01'!C37+(6*'V06 Calend 01'!E37))),('V06 Calend 01'!H37-('V06 Calend 01'!I37*('V06 Calend 01'!E37-1))),'V06 Calend 01'!I37),0))+IF((7='V06 Calend 01'!D37),'V06 Calend 01'!J37,0))</f>
        <v>0</v>
      </c>
      <c r="T37" s="2">
        <f>((IF((8='V06 Calend 01'!C37),('V06 Calend 01'!F37+'V06 Calend 01'!G37),0)+IF(AND(('V06 Calend 01'!E37&gt;0),(8&gt;'V06 Calend 01'!C37),(8&lt;'V06 Calend 01'!D37),(MOD((8-'V06 Calend 01'!C37),6)=0),(((8-'V06 Calend 01'!C37)/6)&lt;='V06 Calend 01'!E37)),IF((8=('V06 Calend 01'!C37+(6*'V06 Calend 01'!E37))),('V06 Calend 01'!H37-('V06 Calend 01'!I37*('V06 Calend 01'!E37-1))),'V06 Calend 01'!I37),0))+IF((8='V06 Calend 01'!D37),'V06 Calend 01'!J37,0))</f>
        <v>0</v>
      </c>
      <c r="U37" s="2">
        <f>((IF((9='V06 Calend 01'!C37),('V06 Calend 01'!F37+'V06 Calend 01'!G37),0)+IF(AND(('V06 Calend 01'!E37&gt;0),(9&gt;'V06 Calend 01'!C37),(9&lt;'V06 Calend 01'!D37),(MOD((9-'V06 Calend 01'!C37),6)=0),(((9-'V06 Calend 01'!C37)/6)&lt;='V06 Calend 01'!E37)),IF((9=('V06 Calend 01'!C37+(6*'V06 Calend 01'!E37))),('V06 Calend 01'!H37-('V06 Calend 01'!I37*('V06 Calend 01'!E37-1))),'V06 Calend 01'!I37),0))+IF((9='V06 Calend 01'!D37),'V06 Calend 01'!J37,0))</f>
        <v>0</v>
      </c>
      <c r="V37" s="2">
        <f>((IF((10='V06 Calend 01'!C37),('V06 Calend 01'!F37+'V06 Calend 01'!G37),0)+IF(AND(('V06 Calend 01'!E37&gt;0),(10&gt;'V06 Calend 01'!C37),(10&lt;'V06 Calend 01'!D37),(MOD((10-'V06 Calend 01'!C37),6)=0),(((10-'V06 Calend 01'!C37)/6)&lt;='V06 Calend 01'!E37)),IF((10=('V06 Calend 01'!C37+(6*'V06 Calend 01'!E37))),('V06 Calend 01'!H37-('V06 Calend 01'!I37*('V06 Calend 01'!E37-1))),'V06 Calend 01'!I37),0))+IF((10='V06 Calend 01'!D37),'V06 Calend 01'!J37,0))</f>
        <v>0</v>
      </c>
      <c r="W37" s="2">
        <f>((IF((11='V06 Calend 01'!C37),('V06 Calend 01'!F37+'V06 Calend 01'!G37),0)+IF(AND(('V06 Calend 01'!E37&gt;0),(11&gt;'V06 Calend 01'!C37),(11&lt;'V06 Calend 01'!D37),(MOD((11-'V06 Calend 01'!C37),6)=0),(((11-'V06 Calend 01'!C37)/6)&lt;='V06 Calend 01'!E37)),IF((11=('V06 Calend 01'!C37+(6*'V06 Calend 01'!E37))),('V06 Calend 01'!H37-('V06 Calend 01'!I37*('V06 Calend 01'!E37-1))),'V06 Calend 01'!I37),0))+IF((11='V06 Calend 01'!D37),'V06 Calend 01'!J37,0))</f>
        <v>0</v>
      </c>
      <c r="X37" s="2">
        <f>((IF((12='V06 Calend 01'!C37),('V06 Calend 01'!F37+'V06 Calend 01'!G37),0)+IF(AND(('V06 Calend 01'!E37&gt;0),(12&gt;'V06 Calend 01'!C37),(12&lt;'V06 Calend 01'!D37),(MOD((12-'V06 Calend 01'!C37),6)=0),(((12-'V06 Calend 01'!C37)/6)&lt;='V06 Calend 01'!E37)),IF((12=('V06 Calend 01'!C37+(6*'V06 Calend 01'!E37))),('V06 Calend 01'!H37-('V06 Calend 01'!I37*('V06 Calend 01'!E37-1))),'V06 Calend 01'!I37),0))+IF((12='V06 Calend 01'!D37),'V06 Calend 01'!J37,0))</f>
        <v>0</v>
      </c>
      <c r="Y37" s="2">
        <f>((IF((13='V06 Calend 01'!C37),('V06 Calend 01'!F37+'V06 Calend 01'!G37),0)+IF(AND(('V06 Calend 01'!E37&gt;0),(13&gt;'V06 Calend 01'!C37),(13&lt;'V06 Calend 01'!D37),(MOD((13-'V06 Calend 01'!C37),6)=0),(((13-'V06 Calend 01'!C37)/6)&lt;='V06 Calend 01'!E37)),IF((13=('V06 Calend 01'!C37+(6*'V06 Calend 01'!E37))),('V06 Calend 01'!H37-('V06 Calend 01'!I37*('V06 Calend 01'!E37-1))),'V06 Calend 01'!I37),0))+IF((13='V06 Calend 01'!D37),'V06 Calend 01'!J37,0))</f>
        <v>0</v>
      </c>
      <c r="Z37" s="2">
        <f>((IF((14='V06 Calend 01'!C37),('V06 Calend 01'!F37+'V06 Calend 01'!G37),0)+IF(AND(('V06 Calend 01'!E37&gt;0),(14&gt;'V06 Calend 01'!C37),(14&lt;'V06 Calend 01'!D37),(MOD((14-'V06 Calend 01'!C37),6)=0),(((14-'V06 Calend 01'!C37)/6)&lt;='V06 Calend 01'!E37)),IF((14=('V06 Calend 01'!C37+(6*'V06 Calend 01'!E37))),('V06 Calend 01'!H37-('V06 Calend 01'!I37*('V06 Calend 01'!E37-1))),'V06 Calend 01'!I37),0))+IF((14='V06 Calend 01'!D37),'V06 Calend 01'!J37,0))</f>
        <v>0</v>
      </c>
      <c r="AA37" s="2">
        <f>((IF((15='V06 Calend 01'!C37),('V06 Calend 01'!F37+'V06 Calend 01'!G37),0)+IF(AND(('V06 Calend 01'!E37&gt;0),(15&gt;'V06 Calend 01'!C37),(15&lt;'V06 Calend 01'!D37),(MOD((15-'V06 Calend 01'!C37),6)=0),(((15-'V06 Calend 01'!C37)/6)&lt;='V06 Calend 01'!E37)),IF((15=('V06 Calend 01'!C37+(6*'V06 Calend 01'!E37))),('V06 Calend 01'!H37-('V06 Calend 01'!I37*('V06 Calend 01'!E37-1))),'V06 Calend 01'!I37),0))+IF((15='V06 Calend 01'!D37),'V06 Calend 01'!J37,0))</f>
        <v>0</v>
      </c>
      <c r="AB37" s="2">
        <f>((IF((16='V06 Calend 01'!C37),('V06 Calend 01'!F37+'V06 Calend 01'!G37),0)+IF(AND(('V06 Calend 01'!E37&gt;0),(16&gt;'V06 Calend 01'!C37),(16&lt;'V06 Calend 01'!D37),(MOD((16-'V06 Calend 01'!C37),6)=0),(((16-'V06 Calend 01'!C37)/6)&lt;='V06 Calend 01'!E37)),IF((16=('V06 Calend 01'!C37+(6*'V06 Calend 01'!E37))),('V06 Calend 01'!H37-('V06 Calend 01'!I37*('V06 Calend 01'!E37-1))),'V06 Calend 01'!I37),0))+IF((16='V06 Calend 01'!D37),'V06 Calend 01'!J37,0))</f>
        <v>0</v>
      </c>
      <c r="AC37" s="2">
        <f>((IF((17='V06 Calend 01'!C37),('V06 Calend 01'!F37+'V06 Calend 01'!G37),0)+IF(AND(('V06 Calend 01'!E37&gt;0),(17&gt;'V06 Calend 01'!C37),(17&lt;'V06 Calend 01'!D37),(MOD((17-'V06 Calend 01'!C37),6)=0),(((17-'V06 Calend 01'!C37)/6)&lt;='V06 Calend 01'!E37)),IF((17=('V06 Calend 01'!C37+(6*'V06 Calend 01'!E37))),('V06 Calend 01'!H37-('V06 Calend 01'!I37*('V06 Calend 01'!E37-1))),'V06 Calend 01'!I37),0))+IF((17='V06 Calend 01'!D37),'V06 Calend 01'!J37,0))</f>
        <v>0</v>
      </c>
      <c r="AD37" s="2">
        <f>((IF((18='V06 Calend 01'!C37),('V06 Calend 01'!F37+'V06 Calend 01'!G37),0)+IF(AND(('V06 Calend 01'!E37&gt;0),(18&gt;'V06 Calend 01'!C37),(18&lt;'V06 Calend 01'!D37),(MOD((18-'V06 Calend 01'!C37),6)=0),(((18-'V06 Calend 01'!C37)/6)&lt;='V06 Calend 01'!E37)),IF((18=('V06 Calend 01'!C37+(6*'V06 Calend 01'!E37))),('V06 Calend 01'!H37-('V06 Calend 01'!I37*('V06 Calend 01'!E37-1))),'V06 Calend 01'!I37),0))+IF((18='V06 Calend 01'!D37),'V06 Calend 01'!J37,0))</f>
        <v>0</v>
      </c>
      <c r="AE37" s="2">
        <f>((IF((19='V06 Calend 01'!C37),('V06 Calend 01'!F37+'V06 Calend 01'!G37),0)+IF(AND(('V06 Calend 01'!E37&gt;0),(19&gt;'V06 Calend 01'!C37),(19&lt;'V06 Calend 01'!D37),(MOD((19-'V06 Calend 01'!C37),6)=0),(((19-'V06 Calend 01'!C37)/6)&lt;='V06 Calend 01'!E37)),IF((19=('V06 Calend 01'!C37+(6*'V06 Calend 01'!E37))),('V06 Calend 01'!H37-('V06 Calend 01'!I37*('V06 Calend 01'!E37-1))),'V06 Calend 01'!I37),0))+IF((19='V06 Calend 01'!D37),'V06 Calend 01'!J37,0))</f>
        <v>0</v>
      </c>
      <c r="AF37" s="2">
        <f>((IF((20='V06 Calend 01'!C37),('V06 Calend 01'!F37+'V06 Calend 01'!G37),0)+IF(AND(('V06 Calend 01'!E37&gt;0),(20&gt;'V06 Calend 01'!C37),(20&lt;'V06 Calend 01'!D37),(MOD((20-'V06 Calend 01'!C37),6)=0),(((20-'V06 Calend 01'!C37)/6)&lt;='V06 Calend 01'!E37)),IF((20=('V06 Calend 01'!C37+(6*'V06 Calend 01'!E37))),('V06 Calend 01'!H37-('V06 Calend 01'!I37*('V06 Calend 01'!E37-1))),'V06 Calend 01'!I37),0))+IF((20='V06 Calend 01'!D37),'V06 Calend 01'!J37,0))</f>
        <v>0</v>
      </c>
      <c r="AG37" s="2">
        <f>((IF((21='V06 Calend 01'!C37),('V06 Calend 01'!F37+'V06 Calend 01'!G37),0)+IF(AND(('V06 Calend 01'!E37&gt;0),(21&gt;'V06 Calend 01'!C37),(21&lt;'V06 Calend 01'!D37),(MOD((21-'V06 Calend 01'!C37),6)=0),(((21-'V06 Calend 01'!C37)/6)&lt;='V06 Calend 01'!E37)),IF((21=('V06 Calend 01'!C37+(6*'V06 Calend 01'!E37))),('V06 Calend 01'!H37-('V06 Calend 01'!I37*('V06 Calend 01'!E37-1))),'V06 Calend 01'!I37),0))+IF((21='V06 Calend 01'!D37),'V06 Calend 01'!J37,0))</f>
        <v>0</v>
      </c>
      <c r="AH37" s="2">
        <f>((IF((22='V06 Calend 01'!C37),('V06 Calend 01'!F37+'V06 Calend 01'!G37),0)+IF(AND(('V06 Calend 01'!E37&gt;0),(22&gt;'V06 Calend 01'!C37),(22&lt;'V06 Calend 01'!D37),(MOD((22-'V06 Calend 01'!C37),6)=0),(((22-'V06 Calend 01'!C37)/6)&lt;='V06 Calend 01'!E37)),IF((22=('V06 Calend 01'!C37+(6*'V06 Calend 01'!E37))),('V06 Calend 01'!H37-('V06 Calend 01'!I37*('V06 Calend 01'!E37-1))),'V06 Calend 01'!I37),0))+IF((22='V06 Calend 01'!D37),'V06 Calend 01'!J37,0))</f>
        <v>71121.34</v>
      </c>
      <c r="AI37" s="2">
        <f>((IF((23='V06 Calend 01'!C37),('V06 Calend 01'!F37+'V06 Calend 01'!G37),0)+IF(AND(('V06 Calend 01'!E37&gt;0),(23&gt;'V06 Calend 01'!C37),(23&lt;'V06 Calend 01'!D37),(MOD((23-'V06 Calend 01'!C37),6)=0),(((23-'V06 Calend 01'!C37)/6)&lt;='V06 Calend 01'!E37)),IF((23=('V06 Calend 01'!C37+(6*'V06 Calend 01'!E37))),('V06 Calend 01'!H37-('V06 Calend 01'!I37*('V06 Calend 01'!E37-1))),'V06 Calend 01'!I37),0))+IF((23='V06 Calend 01'!D37),'V06 Calend 01'!J37,0))</f>
        <v>0</v>
      </c>
      <c r="AJ37" s="2">
        <f>((IF((24='V06 Calend 01'!C37),('V06 Calend 01'!F37+'V06 Calend 01'!G37),0)+IF(AND(('V06 Calend 01'!E37&gt;0),(24&gt;'V06 Calend 01'!C37),(24&lt;'V06 Calend 01'!D37),(MOD((24-'V06 Calend 01'!C37),6)=0),(((24-'V06 Calend 01'!C37)/6)&lt;='V06 Calend 01'!E37)),IF((24=('V06 Calend 01'!C37+(6*'V06 Calend 01'!E37))),('V06 Calend 01'!H37-('V06 Calend 01'!I37*('V06 Calend 01'!E37-1))),'V06 Calend 01'!I37),0))+IF((24='V06 Calend 01'!D37),'V06 Calend 01'!J37,0))</f>
        <v>0</v>
      </c>
      <c r="AK37" s="2">
        <f>((IF((25='V06 Calend 01'!C37),('V06 Calend 01'!F37+'V06 Calend 01'!G37),0)+IF(AND(('V06 Calend 01'!E37&gt;0),(25&gt;'V06 Calend 01'!C37),(25&lt;'V06 Calend 01'!D37),(MOD((25-'V06 Calend 01'!C37),6)=0),(((25-'V06 Calend 01'!C37)/6)&lt;='V06 Calend 01'!E37)),IF((25=('V06 Calend 01'!C37+(6*'V06 Calend 01'!E37))),('V06 Calend 01'!H37-('V06 Calend 01'!I37*('V06 Calend 01'!E37-1))),'V06 Calend 01'!I37),0))+IF((25='V06 Calend 01'!D37),'V06 Calend 01'!J37,0))</f>
        <v>0</v>
      </c>
      <c r="AL37" s="2">
        <f>((IF((26='V06 Calend 01'!C37),('V06 Calend 01'!F37+'V06 Calend 01'!G37),0)+IF(AND(('V06 Calend 01'!E37&gt;0),(26&gt;'V06 Calend 01'!C37),(26&lt;'V06 Calend 01'!D37),(MOD((26-'V06 Calend 01'!C37),6)=0),(((26-'V06 Calend 01'!C37)/6)&lt;='V06 Calend 01'!E37)),IF((26=('V06 Calend 01'!C37+(6*'V06 Calend 01'!E37))),('V06 Calend 01'!H37-('V06 Calend 01'!I37*('V06 Calend 01'!E37-1))),'V06 Calend 01'!I37),0))+IF((26='V06 Calend 01'!D37),'V06 Calend 01'!J37,0))</f>
        <v>0</v>
      </c>
      <c r="AM37" s="2">
        <f>((IF((27='V06 Calend 01'!C37),('V06 Calend 01'!F37+'V06 Calend 01'!G37),0)+IF(AND(('V06 Calend 01'!E37&gt;0),(27&gt;'V06 Calend 01'!C37),(27&lt;'V06 Calend 01'!D37),(MOD((27-'V06 Calend 01'!C37),6)=0),(((27-'V06 Calend 01'!C37)/6)&lt;='V06 Calend 01'!E37)),IF((27=('V06 Calend 01'!C37+(6*'V06 Calend 01'!E37))),('V06 Calend 01'!H37-('V06 Calend 01'!I37*('V06 Calend 01'!E37-1))),'V06 Calend 01'!I37),0))+IF((27='V06 Calend 01'!D37),'V06 Calend 01'!J37,0))</f>
        <v>0</v>
      </c>
      <c r="AN37" s="2">
        <f>((IF((28='V06 Calend 01'!C37),('V06 Calend 01'!F37+'V06 Calend 01'!G37),0)+IF(AND(('V06 Calend 01'!E37&gt;0),(28&gt;'V06 Calend 01'!C37),(28&lt;'V06 Calend 01'!D37),(MOD((28-'V06 Calend 01'!C37),6)=0),(((28-'V06 Calend 01'!C37)/6)&lt;='V06 Calend 01'!E37)),IF((28=('V06 Calend 01'!C37+(6*'V06 Calend 01'!E37))),('V06 Calend 01'!H37-('V06 Calend 01'!I37*('V06 Calend 01'!E37-1))),'V06 Calend 01'!I37),0))+IF((28='V06 Calend 01'!D37),'V06 Calend 01'!J37,0))</f>
        <v>156466.94</v>
      </c>
      <c r="AO37" s="2">
        <f>((IF((29='V06 Calend 01'!C37),('V06 Calend 01'!F37+'V06 Calend 01'!G37),0)+IF(AND(('V06 Calend 01'!E37&gt;0),(29&gt;'V06 Calend 01'!C37),(29&lt;'V06 Calend 01'!D37),(MOD((29-'V06 Calend 01'!C37),6)=0),(((29-'V06 Calend 01'!C37)/6)&lt;='V06 Calend 01'!E37)),IF((29=('V06 Calend 01'!C37+(6*'V06 Calend 01'!E37))),('V06 Calend 01'!H37-('V06 Calend 01'!I37*('V06 Calend 01'!E37-1))),'V06 Calend 01'!I37),0))+IF((29='V06 Calend 01'!D37),'V06 Calend 01'!J37,0))</f>
        <v>0</v>
      </c>
      <c r="AP37" s="2">
        <f>((IF((30='V06 Calend 01'!C37),('V06 Calend 01'!F37+'V06 Calend 01'!G37),0)+IF(AND(('V06 Calend 01'!E37&gt;0),(30&gt;'V06 Calend 01'!C37),(30&lt;'V06 Calend 01'!D37),(MOD((30-'V06 Calend 01'!C37),6)=0),(((30-'V06 Calend 01'!C37)/6)&lt;='V06 Calend 01'!E37)),IF((30=('V06 Calend 01'!C37+(6*'V06 Calend 01'!E37))),('V06 Calend 01'!H37-('V06 Calend 01'!I37*('V06 Calend 01'!E37-1))),'V06 Calend 01'!I37),0))+IF((30='V06 Calend 01'!D37),'V06 Calend 01'!J37,0))</f>
        <v>56897.06</v>
      </c>
      <c r="AQ37" s="2">
        <f>((IF((31='V06 Calend 01'!C37),('V06 Calend 01'!F37+'V06 Calend 01'!G37),0)+IF(AND(('V06 Calend 01'!E37&gt;0),(31&gt;'V06 Calend 01'!C37),(31&lt;'V06 Calend 01'!D37),(MOD((31-'V06 Calend 01'!C37),6)=0),(((31-'V06 Calend 01'!C37)/6)&lt;='V06 Calend 01'!E37)),IF((31=('V06 Calend 01'!C37+(6*'V06 Calend 01'!E37))),('V06 Calend 01'!H37-('V06 Calend 01'!I37*('V06 Calend 01'!E37-1))),'V06 Calend 01'!I37),0))+IF((31='V06 Calend 01'!D37),'V06 Calend 01'!J37,0))</f>
        <v>0</v>
      </c>
      <c r="AR37" s="2">
        <f>((IF((32='V06 Calend 01'!C37),('V06 Calend 01'!F37+'V06 Calend 01'!G37),0)+IF(AND(('V06 Calend 01'!E37&gt;0),(32&gt;'V06 Calend 01'!C37),(32&lt;'V06 Calend 01'!D37),(MOD((32-'V06 Calend 01'!C37),6)=0),(((32-'V06 Calend 01'!C37)/6)&lt;='V06 Calend 01'!E37)),IF((32=('V06 Calend 01'!C37+(6*'V06 Calend 01'!E37))),('V06 Calend 01'!H37-('V06 Calend 01'!I37*('V06 Calend 01'!E37-1))),'V06 Calend 01'!I37),0))+IF((32='V06 Calend 01'!D37),'V06 Calend 01'!J37,0))</f>
        <v>0</v>
      </c>
      <c r="AS37" s="2">
        <f>((IF((33='V06 Calend 01'!C37),('V06 Calend 01'!F37+'V06 Calend 01'!G37),0)+IF(AND(('V06 Calend 01'!E37&gt;0),(33&gt;'V06 Calend 01'!C37),(33&lt;'V06 Calend 01'!D37),(MOD((33-'V06 Calend 01'!C37),6)=0),(((33-'V06 Calend 01'!C37)/6)&lt;='V06 Calend 01'!E37)),IF((33=('V06 Calend 01'!C37+(6*'V06 Calend 01'!E37))),('V06 Calend 01'!H37-('V06 Calend 01'!I37*('V06 Calend 01'!E37-1))),'V06 Calend 01'!I37),0))+IF((33='V06 Calend 01'!D37),'V06 Calend 01'!J37,0))</f>
        <v>0</v>
      </c>
      <c r="AT37" s="2">
        <f>((IF((34='V06 Calend 01'!C37),('V06 Calend 01'!F37+'V06 Calend 01'!G37),0)+IF(AND(('V06 Calend 01'!E37&gt;0),(34&gt;'V06 Calend 01'!C37),(34&lt;'V06 Calend 01'!D37),(MOD((34-'V06 Calend 01'!C37),6)=0),(((34-'V06 Calend 01'!C37)/6)&lt;='V06 Calend 01'!E37)),IF((34=('V06 Calend 01'!C37+(6*'V06 Calend 01'!E37))),('V06 Calend 01'!H37-('V06 Calend 01'!I37*('V06 Calend 01'!E37-1))),'V06 Calend 01'!I37),0))+IF((34='V06 Calend 01'!D37),'V06 Calend 01'!J37,0))</f>
        <v>0</v>
      </c>
      <c r="AU37" s="2">
        <f>((IF((35='V06 Calend 01'!C37),('V06 Calend 01'!F37+'V06 Calend 01'!G37),0)+IF(AND(('V06 Calend 01'!E37&gt;0),(35&gt;'V06 Calend 01'!C37),(35&lt;'V06 Calend 01'!D37),(MOD((35-'V06 Calend 01'!C37),6)=0),(((35-'V06 Calend 01'!C37)/6)&lt;='V06 Calend 01'!E37)),IF((35=('V06 Calend 01'!C37+(6*'V06 Calend 01'!E37))),('V06 Calend 01'!H37-('V06 Calend 01'!I37*('V06 Calend 01'!E37-1))),'V06 Calend 01'!I37),0))+IF((35='V06 Calend 01'!D37),'V06 Calend 01'!J37,0))</f>
        <v>0</v>
      </c>
      <c r="AV37" s="2">
        <f>((IF((36='V06 Calend 01'!C37),('V06 Calend 01'!F37+'V06 Calend 01'!G37),0)+IF(AND(('V06 Calend 01'!E37&gt;0),(36&gt;'V06 Calend 01'!C37),(36&lt;'V06 Calend 01'!D37),(MOD((36-'V06 Calend 01'!C37),6)=0),(((36-'V06 Calend 01'!C37)/6)&lt;='V06 Calend 01'!E37)),IF((36=('V06 Calend 01'!C37+(6*'V06 Calend 01'!E37))),('V06 Calend 01'!H37-('V06 Calend 01'!I37*('V06 Calend 01'!E37-1))),'V06 Calend 01'!I37),0))+IF((36='V06 Calend 01'!D37),'V06 Calend 01'!J37,0))</f>
        <v>0</v>
      </c>
      <c r="AW37" s="2">
        <f>((IF((37='V06 Calend 01'!C37),('V06 Calend 01'!F37+'V06 Calend 01'!G37),0)+IF(AND(('V06 Calend 01'!E37&gt;0),(37&gt;'V06 Calend 01'!C37),(37&lt;'V06 Calend 01'!D37),(MOD((37-'V06 Calend 01'!C37),6)=0),(((37-'V06 Calend 01'!C37)/6)&lt;='V06 Calend 01'!E37)),IF((37=('V06 Calend 01'!C37+(6*'V06 Calend 01'!E37))),('V06 Calend 01'!H37-('V06 Calend 01'!I37*('V06 Calend 01'!E37-1))),'V06 Calend 01'!I37),0))+IF((37='V06 Calend 01'!D37),'V06 Calend 01'!J37,0))</f>
        <v>0</v>
      </c>
      <c r="AX37" s="2">
        <f>((IF((38='V06 Calend 01'!C37),('V06 Calend 01'!F37+'V06 Calend 01'!G37),0)+IF(AND(('V06 Calend 01'!E37&gt;0),(38&gt;'V06 Calend 01'!C37),(38&lt;'V06 Calend 01'!D37),(MOD((38-'V06 Calend 01'!C37),6)=0),(((38-'V06 Calend 01'!C37)/6)&lt;='V06 Calend 01'!E37)),IF((38=('V06 Calend 01'!C37+(6*'V06 Calend 01'!E37))),('V06 Calend 01'!H37-('V06 Calend 01'!I37*('V06 Calend 01'!E37-1))),'V06 Calend 01'!I37),0))+IF((38='V06 Calend 01'!D37),'V06 Calend 01'!J37,0))</f>
        <v>0</v>
      </c>
      <c r="AY37" s="2">
        <f>((IF((39='V06 Calend 01'!C37),('V06 Calend 01'!F37+'V06 Calend 01'!G37),0)+IF(AND(('V06 Calend 01'!E37&gt;0),(39&gt;'V06 Calend 01'!C37),(39&lt;'V06 Calend 01'!D37),(MOD((39-'V06 Calend 01'!C37),6)=0),(((39-'V06 Calend 01'!C37)/6)&lt;='V06 Calend 01'!E37)),IF((39=('V06 Calend 01'!C37+(6*'V06 Calend 01'!E37))),('V06 Calend 01'!H37-('V06 Calend 01'!I37*('V06 Calend 01'!E37-1))),'V06 Calend 01'!I37),0))+IF((39='V06 Calend 01'!D37),'V06 Calend 01'!J37,0))</f>
        <v>0</v>
      </c>
      <c r="AZ37" s="2">
        <f>((IF((40='V06 Calend 01'!C37),('V06 Calend 01'!F37+'V06 Calend 01'!G37),0)+IF(AND(('V06 Calend 01'!E37&gt;0),(40&gt;'V06 Calend 01'!C37),(40&lt;'V06 Calend 01'!D37),(MOD((40-'V06 Calend 01'!C37),6)=0),(((40-'V06 Calend 01'!C37)/6)&lt;='V06 Calend 01'!E37)),IF((40=('V06 Calend 01'!C37+(6*'V06 Calend 01'!E37))),('V06 Calend 01'!H37-('V06 Calend 01'!I37*('V06 Calend 01'!E37-1))),'V06 Calend 01'!I37),0))+IF((40='V06 Calend 01'!D37),'V06 Calend 01'!J37,0))</f>
        <v>0</v>
      </c>
      <c r="BA37" s="2">
        <f>((IF((41='V06 Calend 01'!C37),('V06 Calend 01'!F37+'V06 Calend 01'!G37),0)+IF(AND(('V06 Calend 01'!E37&gt;0),(41&gt;'V06 Calend 01'!C37),(41&lt;'V06 Calend 01'!D37),(MOD((41-'V06 Calend 01'!C37),6)=0),(((41-'V06 Calend 01'!C37)/6)&lt;='V06 Calend 01'!E37)),IF((41=('V06 Calend 01'!C37+(6*'V06 Calend 01'!E37))),('V06 Calend 01'!H37-('V06 Calend 01'!I37*('V06 Calend 01'!E37-1))),'V06 Calend 01'!I37),0))+IF((41='V06 Calend 01'!D37),'V06 Calend 01'!J37,0))</f>
        <v>0</v>
      </c>
      <c r="BB37" s="2">
        <f>((IF((42='V06 Calend 01'!C37),('V06 Calend 01'!F37+'V06 Calend 01'!G37),0)+IF(AND(('V06 Calend 01'!E37&gt;0),(42&gt;'V06 Calend 01'!C37),(42&lt;'V06 Calend 01'!D37),(MOD((42-'V06 Calend 01'!C37),6)=0),(((42-'V06 Calend 01'!C37)/6)&lt;='V06 Calend 01'!E37)),IF((42=('V06 Calend 01'!C37+(6*'V06 Calend 01'!E37))),('V06 Calend 01'!H37-('V06 Calend 01'!I37*('V06 Calend 01'!E37-1))),'V06 Calend 01'!I37),0))+IF((42='V06 Calend 01'!D37),'V06 Calend 01'!J37,0))</f>
        <v>0</v>
      </c>
      <c r="BC37" s="2">
        <f>((IF((43='V06 Calend 01'!C37),('V06 Calend 01'!F37+'V06 Calend 01'!G37),0)+IF(AND(('V06 Calend 01'!E37&gt;0),(43&gt;'V06 Calend 01'!C37),(43&lt;'V06 Calend 01'!D37),(MOD((43-'V06 Calend 01'!C37),6)=0),(((43-'V06 Calend 01'!C37)/6)&lt;='V06 Calend 01'!E37)),IF((43=('V06 Calend 01'!C37+(6*'V06 Calend 01'!E37))),('V06 Calend 01'!H37-('V06 Calend 01'!I37*('V06 Calend 01'!E37-1))),'V06 Calend 01'!I37),0))+IF((43='V06 Calend 01'!D37),'V06 Calend 01'!J37,0))</f>
        <v>0</v>
      </c>
      <c r="BD37" s="2">
        <f>((IF((44='V06 Calend 01'!C37),('V06 Calend 01'!F37+'V06 Calend 01'!G37),0)+IF(AND(('V06 Calend 01'!E37&gt;0),(44&gt;'V06 Calend 01'!C37),(44&lt;'V06 Calend 01'!D37),(MOD((44-'V06 Calend 01'!C37),6)=0),(((44-'V06 Calend 01'!C37)/6)&lt;='V06 Calend 01'!E37)),IF((44=('V06 Calend 01'!C37+(6*'V06 Calend 01'!E37))),('V06 Calend 01'!H37-('V06 Calend 01'!I37*('V06 Calend 01'!E37-1))),'V06 Calend 01'!I37),0))+IF((44='V06 Calend 01'!D37),'V06 Calend 01'!J37,0))</f>
        <v>0</v>
      </c>
      <c r="BE37" s="2">
        <f>((IF((45='V06 Calend 01'!C37),('V06 Calend 01'!F37+'V06 Calend 01'!G37),0)+IF(AND(('V06 Calend 01'!E37&gt;0),(45&gt;'V06 Calend 01'!C37),(45&lt;'V06 Calend 01'!D37),(MOD((45-'V06 Calend 01'!C37),6)=0),(((45-'V06 Calend 01'!C37)/6)&lt;='V06 Calend 01'!E37)),IF((45=('V06 Calend 01'!C37+(6*'V06 Calend 01'!E37))),('V06 Calend 01'!H37-('V06 Calend 01'!I37*('V06 Calend 01'!E37-1))),'V06 Calend 01'!I37),0))+IF((45='V06 Calend 01'!D37),'V06 Calend 01'!J37,0))</f>
        <v>0</v>
      </c>
      <c r="BF37" s="2">
        <f>((IF((46='V06 Calend 01'!C37),('V06 Calend 01'!F37+'V06 Calend 01'!G37),0)+IF(AND(('V06 Calend 01'!E37&gt;0),(46&gt;'V06 Calend 01'!C37),(46&lt;'V06 Calend 01'!D37),(MOD((46-'V06 Calend 01'!C37),6)=0),(((46-'V06 Calend 01'!C37)/6)&lt;='V06 Calend 01'!E37)),IF((46=('V06 Calend 01'!C37+(6*'V06 Calend 01'!E37))),('V06 Calend 01'!H37-('V06 Calend 01'!I37*('V06 Calend 01'!E37-1))),'V06 Calend 01'!I37),0))+IF((46='V06 Calend 01'!D37),'V06 Calend 01'!J37,0))</f>
        <v>0</v>
      </c>
      <c r="BG37" s="2">
        <f>((IF((47='V06 Calend 01'!C37),('V06 Calend 01'!F37+'V06 Calend 01'!G37),0)+IF(AND(('V06 Calend 01'!E37&gt;0),(47&gt;'V06 Calend 01'!C37),(47&lt;'V06 Calend 01'!D37),(MOD((47-'V06 Calend 01'!C37),6)=0),(((47-'V06 Calend 01'!C37)/6)&lt;='V06 Calend 01'!E37)),IF((47=('V06 Calend 01'!C37+(6*'V06 Calend 01'!E37))),('V06 Calend 01'!H37-('V06 Calend 01'!I37*('V06 Calend 01'!E37-1))),'V06 Calend 01'!I37),0))+IF((47='V06 Calend 01'!D37),'V06 Calend 01'!J37,0))</f>
        <v>0</v>
      </c>
      <c r="BH37" s="2">
        <f>((IF((48='V06 Calend 01'!C37),('V06 Calend 01'!F37+'V06 Calend 01'!G37),0)+IF(AND(('V06 Calend 01'!E37&gt;0),(48&gt;'V06 Calend 01'!C37),(48&lt;'V06 Calend 01'!D37),(MOD((48-'V06 Calend 01'!C37),6)=0),(((48-'V06 Calend 01'!C37)/6)&lt;='V06 Calend 01'!E37)),IF((48=('V06 Calend 01'!C37+(6*'V06 Calend 01'!E37))),('V06 Calend 01'!H37-('V06 Calend 01'!I37*('V06 Calend 01'!E37-1))),'V06 Calend 01'!I37),0))+IF((48='V06 Calend 01'!D37),'V06 Calend 01'!J37,0))</f>
        <v>0</v>
      </c>
      <c r="BI37" s="2">
        <f>((IF((49='V06 Calend 01'!C37),('V06 Calend 01'!F37+'V06 Calend 01'!G37),0)+IF(AND(('V06 Calend 01'!E37&gt;0),(49&gt;'V06 Calend 01'!C37),(49&lt;'V06 Calend 01'!D37),(MOD((49-'V06 Calend 01'!C37),6)=0),(((49-'V06 Calend 01'!C37)/6)&lt;='V06 Calend 01'!E37)),IF((49=('V06 Calend 01'!C37+(6*'V06 Calend 01'!E37))),('V06 Calend 01'!H37-('V06 Calend 01'!I37*('V06 Calend 01'!E37-1))),'V06 Calend 01'!I37),0))+IF((49='V06 Calend 01'!D37),'V06 Calend 01'!J37,0))</f>
        <v>0</v>
      </c>
      <c r="BJ37" s="2">
        <f>((IF((50='V06 Calend 01'!C37),('V06 Calend 01'!F37+'V06 Calend 01'!G37),0)+IF(AND(('V06 Calend 01'!E37&gt;0),(50&gt;'V06 Calend 01'!C37),(50&lt;'V06 Calend 01'!D37),(MOD((50-'V06 Calend 01'!C37),6)=0),(((50-'V06 Calend 01'!C37)/6)&lt;='V06 Calend 01'!E37)),IF((50=('V06 Calend 01'!C37+(6*'V06 Calend 01'!E37))),('V06 Calend 01'!H37-('V06 Calend 01'!I37*('V06 Calend 01'!E37-1))),'V06 Calend 01'!I37),0))+IF((50='V06 Calend 01'!D37),'V06 Calend 01'!J37,0))</f>
        <v>0</v>
      </c>
      <c r="BK37" s="2">
        <f>((IF((51='V06 Calend 01'!C37),('V06 Calend 01'!F37+'V06 Calend 01'!G37),0)+IF(AND(('V06 Calend 01'!E37&gt;0),(51&gt;'V06 Calend 01'!C37),(51&lt;'V06 Calend 01'!D37),(MOD((51-'V06 Calend 01'!C37),6)=0),(((51-'V06 Calend 01'!C37)/6)&lt;='V06 Calend 01'!E37)),IF((51=('V06 Calend 01'!C37+(6*'V06 Calend 01'!E37))),('V06 Calend 01'!H37-('V06 Calend 01'!I37*('V06 Calend 01'!E37-1))),'V06 Calend 01'!I37),0))+IF((51='V06 Calend 01'!D37),'V06 Calend 01'!J37,0))</f>
        <v>0</v>
      </c>
      <c r="BL37" s="2">
        <f>((IF((52='V06 Calend 01'!C37),('V06 Calend 01'!F37+'V06 Calend 01'!G37),0)+IF(AND(('V06 Calend 01'!E37&gt;0),(52&gt;'V06 Calend 01'!C37),(52&lt;'V06 Calend 01'!D37),(MOD((52-'V06 Calend 01'!C37),6)=0),(((52-'V06 Calend 01'!C37)/6)&lt;='V06 Calend 01'!E37)),IF((52=('V06 Calend 01'!C37+(6*'V06 Calend 01'!E37))),('V06 Calend 01'!H37-('V06 Calend 01'!I37*('V06 Calend 01'!E37-1))),'V06 Calend 01'!I37),0))+IF((52='V06 Calend 01'!D37),'V06 Calend 01'!J37,0))</f>
        <v>0</v>
      </c>
      <c r="BM37" s="2">
        <f>((IF((53='V06 Calend 01'!C37),('V06 Calend 01'!F37+'V06 Calend 01'!G37),0)+IF(AND(('V06 Calend 01'!E37&gt;0),(53&gt;'V06 Calend 01'!C37),(53&lt;'V06 Calend 01'!D37),(MOD((53-'V06 Calend 01'!C37),6)=0),(((53-'V06 Calend 01'!C37)/6)&lt;='V06 Calend 01'!E37)),IF((53=('V06 Calend 01'!C37+(6*'V06 Calend 01'!E37))),('V06 Calend 01'!H37-('V06 Calend 01'!I37*('V06 Calend 01'!E37-1))),'V06 Calend 01'!I37),0))+IF((53='V06 Calend 01'!D37),'V06 Calend 01'!J37,0))</f>
        <v>0</v>
      </c>
      <c r="BN37" s="2">
        <f>((IF((54='V06 Calend 01'!C37),('V06 Calend 01'!F37+'V06 Calend 01'!G37),0)+IF(AND(('V06 Calend 01'!E37&gt;0),(54&gt;'V06 Calend 01'!C37),(54&lt;'V06 Calend 01'!D37),(MOD((54-'V06 Calend 01'!C37),6)=0),(((54-'V06 Calend 01'!C37)/6)&lt;='V06 Calend 01'!E37)),IF((54=('V06 Calend 01'!C37+(6*'V06 Calend 01'!E37))),('V06 Calend 01'!H37-('V06 Calend 01'!I37*('V06 Calend 01'!E37-1))),'V06 Calend 01'!I37),0))+IF((54='V06 Calend 01'!D37),'V06 Calend 01'!J37,0))</f>
        <v>0</v>
      </c>
      <c r="BO37" s="2">
        <f>((IF((55='V06 Calend 01'!C37),('V06 Calend 01'!F37+'V06 Calend 01'!G37),0)+IF(AND(('V06 Calend 01'!E37&gt;0),(55&gt;'V06 Calend 01'!C37),(55&lt;'V06 Calend 01'!D37),(MOD((55-'V06 Calend 01'!C37),6)=0),(((55-'V06 Calend 01'!C37)/6)&lt;='V06 Calend 01'!E37)),IF((55=('V06 Calend 01'!C37+(6*'V06 Calend 01'!E37))),('V06 Calend 01'!H37-('V06 Calend 01'!I37*('V06 Calend 01'!E37-1))),'V06 Calend 01'!I37),0))+IF((55='V06 Calend 01'!D37),'V06 Calend 01'!J37,0))</f>
        <v>0</v>
      </c>
      <c r="BP37" s="2">
        <f>((IF((56='V06 Calend 01'!C37),('V06 Calend 01'!F37+'V06 Calend 01'!G37),0)+IF(AND(('V06 Calend 01'!E37&gt;0),(56&gt;'V06 Calend 01'!C37),(56&lt;'V06 Calend 01'!D37),(MOD((56-'V06 Calend 01'!C37),6)=0),(((56-'V06 Calend 01'!C37)/6)&lt;='V06 Calend 01'!E37)),IF((56=('V06 Calend 01'!C37+(6*'V06 Calend 01'!E37))),('V06 Calend 01'!H37-('V06 Calend 01'!I37*('V06 Calend 01'!E37-1))),'V06 Calend 01'!I37),0))+IF((56='V06 Calend 01'!D37),'V06 Calend 01'!J37,0))</f>
        <v>0</v>
      </c>
      <c r="BQ37" s="2">
        <f>((IF((57='V06 Calend 01'!C37),('V06 Calend 01'!F37+'V06 Calend 01'!G37),0)+IF(AND(('V06 Calend 01'!E37&gt;0),(57&gt;'V06 Calend 01'!C37),(57&lt;'V06 Calend 01'!D37),(MOD((57-'V06 Calend 01'!C37),6)=0),(((57-'V06 Calend 01'!C37)/6)&lt;='V06 Calend 01'!E37)),IF((57=('V06 Calend 01'!C37+(6*'V06 Calend 01'!E37))),('V06 Calend 01'!H37-('V06 Calend 01'!I37*('V06 Calend 01'!E37-1))),'V06 Calend 01'!I37),0))+IF((57='V06 Calend 01'!D37),'V06 Calend 01'!J37,0))</f>
        <v>0</v>
      </c>
      <c r="BR37" s="2">
        <f>((IF((58='V06 Calend 01'!C37),('V06 Calend 01'!F37+'V06 Calend 01'!G37),0)+IF(AND(('V06 Calend 01'!E37&gt;0),(58&gt;'V06 Calend 01'!C37),(58&lt;'V06 Calend 01'!D37),(MOD((58-'V06 Calend 01'!C37),6)=0),(((58-'V06 Calend 01'!C37)/6)&lt;='V06 Calend 01'!E37)),IF((58=('V06 Calend 01'!C37+(6*'V06 Calend 01'!E37))),('V06 Calend 01'!H37-('V06 Calend 01'!I37*('V06 Calend 01'!E37-1))),'V06 Calend 01'!I37),0))+IF((58='V06 Calend 01'!D37),'V06 Calend 01'!J37,0))</f>
        <v>0</v>
      </c>
      <c r="BS37" s="2">
        <f>((IF((59='V06 Calend 01'!C37),('V06 Calend 01'!F37+'V06 Calend 01'!G37),0)+IF(AND(('V06 Calend 01'!E37&gt;0),(59&gt;'V06 Calend 01'!C37),(59&lt;'V06 Calend 01'!D37),(MOD((59-'V06 Calend 01'!C37),6)=0),(((59-'V06 Calend 01'!C37)/6)&lt;='V06 Calend 01'!E37)),IF((59=('V06 Calend 01'!C37+(6*'V06 Calend 01'!E37))),('V06 Calend 01'!H37-('V06 Calend 01'!I37*('V06 Calend 01'!E37-1))),'V06 Calend 01'!I37),0))+IF((59='V06 Calend 01'!D37),'V06 Calend 01'!J37,0))</f>
        <v>0</v>
      </c>
      <c r="BT37" s="2">
        <f>((IF((60='V06 Calend 01'!C37),('V06 Calend 01'!F37+'V06 Calend 01'!G37),0)+IF(AND(('V06 Calend 01'!E37&gt;0),(60&gt;'V06 Calend 01'!C37),(60&lt;'V06 Calend 01'!D37),(MOD((60-'V06 Calend 01'!C37),6)=0),(((60-'V06 Calend 01'!C37)/6)&lt;='V06 Calend 01'!E37)),IF((60=('V06 Calend 01'!C37+(6*'V06 Calend 01'!E37))),('V06 Calend 01'!H37-('V06 Calend 01'!I37*('V06 Calend 01'!E37-1))),'V06 Calend 01'!I37),0))+IF((60='V06 Calend 01'!D37),'V06 Calend 01'!J37,0))</f>
        <v>0</v>
      </c>
      <c r="BU37" s="2">
        <f>((IF((61='V06 Calend 01'!C37),('V06 Calend 01'!F37+'V06 Calend 01'!G37),0)+IF(AND(('V06 Calend 01'!E37&gt;0),(61&gt;'V06 Calend 01'!C37),(61&lt;'V06 Calend 01'!D37),(MOD((61-'V06 Calend 01'!C37),6)=0),(((61-'V06 Calend 01'!C37)/6)&lt;='V06 Calend 01'!E37)),IF((61=('V06 Calend 01'!C37+(6*'V06 Calend 01'!E37))),('V06 Calend 01'!H37-('V06 Calend 01'!I37*('V06 Calend 01'!E37-1))),'V06 Calend 01'!I37),0))+IF((61='V06 Calend 01'!D37),'V06 Calend 01'!J37,0))</f>
        <v>0</v>
      </c>
      <c r="BV37" s="2">
        <f>((IF((62='V06 Calend 01'!C37),('V06 Calend 01'!F37+'V06 Calend 01'!G37),0)+IF(AND(('V06 Calend 01'!E37&gt;0),(62&gt;'V06 Calend 01'!C37),(62&lt;'V06 Calend 01'!D37),(MOD((62-'V06 Calend 01'!C37),6)=0),(((62-'V06 Calend 01'!C37)/6)&lt;='V06 Calend 01'!E37)),IF((62=('V06 Calend 01'!C37+(6*'V06 Calend 01'!E37))),('V06 Calend 01'!H37-('V06 Calend 01'!I37*('V06 Calend 01'!E37-1))),'V06 Calend 01'!I37),0))+IF((62='V06 Calend 01'!D37),'V06 Calend 01'!J37,0))</f>
        <v>0</v>
      </c>
      <c r="BW37" s="2">
        <f>((IF((63='V06 Calend 01'!C37),('V06 Calend 01'!F37+'V06 Calend 01'!G37),0)+IF(AND(('V06 Calend 01'!E37&gt;0),(63&gt;'V06 Calend 01'!C37),(63&lt;'V06 Calend 01'!D37),(MOD((63-'V06 Calend 01'!C37),6)=0),(((63-'V06 Calend 01'!C37)/6)&lt;='V06 Calend 01'!E37)),IF((63=('V06 Calend 01'!C37+(6*'V06 Calend 01'!E37))),('V06 Calend 01'!H37-('V06 Calend 01'!I37*('V06 Calend 01'!E37-1))),'V06 Calend 01'!I37),0))+IF((63='V06 Calend 01'!D37),'V06 Calend 01'!J37,0))</f>
        <v>0</v>
      </c>
      <c r="BX37" s="2">
        <f>((IF((64='V06 Calend 01'!C37),('V06 Calend 01'!F37+'V06 Calend 01'!G37),0)+IF(AND(('V06 Calend 01'!E37&gt;0),(64&gt;'V06 Calend 01'!C37),(64&lt;'V06 Calend 01'!D37),(MOD((64-'V06 Calend 01'!C37),6)=0),(((64-'V06 Calend 01'!C37)/6)&lt;='V06 Calend 01'!E37)),IF((64=('V06 Calend 01'!C37+(6*'V06 Calend 01'!E37))),('V06 Calend 01'!H37-('V06 Calend 01'!I37*('V06 Calend 01'!E37-1))),'V06 Calend 01'!I37),0))+IF((64='V06 Calend 01'!D37),'V06 Calend 01'!J37,0))</f>
        <v>0</v>
      </c>
      <c r="BY37" s="2">
        <f>((IF((65='V06 Calend 01'!C37),('V06 Calend 01'!F37+'V06 Calend 01'!G37),0)+IF(AND(('V06 Calend 01'!E37&gt;0),(65&gt;'V06 Calend 01'!C37),(65&lt;'V06 Calend 01'!D37),(MOD((65-'V06 Calend 01'!C37),6)=0),(((65-'V06 Calend 01'!C37)/6)&lt;='V06 Calend 01'!E37)),IF((65=('V06 Calend 01'!C37+(6*'V06 Calend 01'!E37))),('V06 Calend 01'!H37-('V06 Calend 01'!I37*('V06 Calend 01'!E37-1))),'V06 Calend 01'!I37),0))+IF((65='V06 Calend 01'!D37),'V06 Calend 01'!J37,0))</f>
        <v>0</v>
      </c>
      <c r="BZ37" s="2">
        <f>((IF((66='V06 Calend 01'!C37),('V06 Calend 01'!F37+'V06 Calend 01'!G37),0)+IF(AND(('V06 Calend 01'!E37&gt;0),(66&gt;'V06 Calend 01'!C37),(66&lt;'V06 Calend 01'!D37),(MOD((66-'V06 Calend 01'!C37),6)=0),(((66-'V06 Calend 01'!C37)/6)&lt;='V06 Calend 01'!E37)),IF((66=('V06 Calend 01'!C37+(6*'V06 Calend 01'!E37))),('V06 Calend 01'!H37-('V06 Calend 01'!I37*('V06 Calend 01'!E37-1))),'V06 Calend 01'!I37),0))+IF((66='V06 Calend 01'!D37),'V06 Calend 01'!J37,0))</f>
        <v>0</v>
      </c>
      <c r="CA37" s="2">
        <f>((IF((67='V06 Calend 01'!C37),('V06 Calend 01'!F37+'V06 Calend 01'!G37),0)+IF(AND(('V06 Calend 01'!E37&gt;0),(67&gt;'V06 Calend 01'!C37),(67&lt;'V06 Calend 01'!D37),(MOD((67-'V06 Calend 01'!C37),6)=0),(((67-'V06 Calend 01'!C37)/6)&lt;='V06 Calend 01'!E37)),IF((67=('V06 Calend 01'!C37+(6*'V06 Calend 01'!E37))),('V06 Calend 01'!H37-('V06 Calend 01'!I37*('V06 Calend 01'!E37-1))),'V06 Calend 01'!I37),0))+IF((67='V06 Calend 01'!D37),'V06 Calend 01'!J37,0))</f>
        <v>0</v>
      </c>
      <c r="CB37" s="2">
        <f>((IF((68='V06 Calend 01'!C37),('V06 Calend 01'!F37+'V06 Calend 01'!G37),0)+IF(AND(('V06 Calend 01'!E37&gt;0),(68&gt;'V06 Calend 01'!C37),(68&lt;'V06 Calend 01'!D37),(MOD((68-'V06 Calend 01'!C37),6)=0),(((68-'V06 Calend 01'!C37)/6)&lt;='V06 Calend 01'!E37)),IF((68=('V06 Calend 01'!C37+(6*'V06 Calend 01'!E37))),('V06 Calend 01'!H37-('V06 Calend 01'!I37*('V06 Calend 01'!E37-1))),'V06 Calend 01'!I37),0))+IF((68='V06 Calend 01'!D37),'V06 Calend 01'!J37,0))</f>
        <v>0</v>
      </c>
      <c r="CC37" s="2">
        <f>((IF((69='V06 Calend 01'!C37),('V06 Calend 01'!F37+'V06 Calend 01'!G37),0)+IF(AND(('V06 Calend 01'!E37&gt;0),(69&gt;'V06 Calend 01'!C37),(69&lt;'V06 Calend 01'!D37),(MOD((69-'V06 Calend 01'!C37),6)=0),(((69-'V06 Calend 01'!C37)/6)&lt;='V06 Calend 01'!E37)),IF((69=('V06 Calend 01'!C37+(6*'V06 Calend 01'!E37))),('V06 Calend 01'!H37-('V06 Calend 01'!I37*('V06 Calend 01'!E37-1))),'V06 Calend 01'!I37),0))+IF((69='V06 Calend 01'!D37),'V06 Calend 01'!J37,0))</f>
        <v>0</v>
      </c>
      <c r="CD37" s="2">
        <f>((IF((70='V06 Calend 01'!C37),('V06 Calend 01'!F37+'V06 Calend 01'!G37),0)+IF(AND(('V06 Calend 01'!E37&gt;0),(70&gt;'V06 Calend 01'!C37),(70&lt;'V06 Calend 01'!D37),(MOD((70-'V06 Calend 01'!C37),6)=0),(((70-'V06 Calend 01'!C37)/6)&lt;='V06 Calend 01'!E37)),IF((70=('V06 Calend 01'!C37+(6*'V06 Calend 01'!E37))),('V06 Calend 01'!H37-('V06 Calend 01'!I37*('V06 Calend 01'!E37-1))),'V06 Calend 01'!I37),0))+IF((70='V06 Calend 01'!D37),'V06 Calend 01'!J37,0))</f>
        <v>0</v>
      </c>
      <c r="CE37" s="2">
        <f>((IF((71='V06 Calend 01'!C37),('V06 Calend 01'!F37+'V06 Calend 01'!G37),0)+IF(AND(('V06 Calend 01'!E37&gt;0),(71&gt;'V06 Calend 01'!C37),(71&lt;'V06 Calend 01'!D37),(MOD((71-'V06 Calend 01'!C37),6)=0),(((71-'V06 Calend 01'!C37)/6)&lt;='V06 Calend 01'!E37)),IF((71=('V06 Calend 01'!C37+(6*'V06 Calend 01'!E37))),('V06 Calend 01'!H37-('V06 Calend 01'!I37*('V06 Calend 01'!E37-1))),'V06 Calend 01'!I37),0))+IF((71='V06 Calend 01'!D37),'V06 Calend 01'!J37,0))</f>
        <v>0</v>
      </c>
      <c r="CF37" s="2">
        <f>((IF((72='V06 Calend 01'!C37),('V06 Calend 01'!F37+'V06 Calend 01'!G37),0)+IF(AND(('V06 Calend 01'!E37&gt;0),(72&gt;'V06 Calend 01'!C37),(72&lt;'V06 Calend 01'!D37),(MOD((72-'V06 Calend 01'!C37),6)=0),(((72-'V06 Calend 01'!C37)/6)&lt;='V06 Calend 01'!E37)),IF((72=('V06 Calend 01'!C37+(6*'V06 Calend 01'!E37))),('V06 Calend 01'!H37-('V06 Calend 01'!I37*('V06 Calend 01'!E37-1))),'V06 Calend 01'!I37),0))+IF((72='V06 Calend 01'!D37),'V06 Calend 01'!J37,0))</f>
        <v>0</v>
      </c>
      <c r="CG37" s="2">
        <f>((IF((73='V06 Calend 01'!C37),('V06 Calend 01'!F37+'V06 Calend 01'!G37),0)+IF(AND(('V06 Calend 01'!E37&gt;0),(73&gt;'V06 Calend 01'!C37),(73&lt;'V06 Calend 01'!D37),(MOD((73-'V06 Calend 01'!C37),6)=0),(((73-'V06 Calend 01'!C37)/6)&lt;='V06 Calend 01'!E37)),IF((73=('V06 Calend 01'!C37+(6*'V06 Calend 01'!E37))),('V06 Calend 01'!H37-('V06 Calend 01'!I37*('V06 Calend 01'!E37-1))),'V06 Calend 01'!I37),0))+IF((73='V06 Calend 01'!D37),'V06 Calend 01'!J37,0))</f>
        <v>0</v>
      </c>
      <c r="CH37" s="2">
        <f>((IF((74='V06 Calend 01'!C37),('V06 Calend 01'!F37+'V06 Calend 01'!G37),0)+IF(AND(('V06 Calend 01'!E37&gt;0),(74&gt;'V06 Calend 01'!C37),(74&lt;'V06 Calend 01'!D37),(MOD((74-'V06 Calend 01'!C37),6)=0),(((74-'V06 Calend 01'!C37)/6)&lt;='V06 Calend 01'!E37)),IF((74=('V06 Calend 01'!C37+(6*'V06 Calend 01'!E37))),('V06 Calend 01'!H37-('V06 Calend 01'!I37*('V06 Calend 01'!E37-1))),'V06 Calend 01'!I37),0))+IF((74='V06 Calend 01'!D37),'V06 Calend 01'!J37,0))</f>
        <v>0</v>
      </c>
      <c r="CI37" s="2">
        <f>((IF((75='V06 Calend 01'!C37),('V06 Calend 01'!F37+'V06 Calend 01'!G37),0)+IF(AND(('V06 Calend 01'!E37&gt;0),(75&gt;'V06 Calend 01'!C37),(75&lt;'V06 Calend 01'!D37),(MOD((75-'V06 Calend 01'!C37),6)=0),(((75-'V06 Calend 01'!C37)/6)&lt;='V06 Calend 01'!E37)),IF((75=('V06 Calend 01'!C37+(6*'V06 Calend 01'!E37))),('V06 Calend 01'!H37-('V06 Calend 01'!I37*('V06 Calend 01'!E37-1))),'V06 Calend 01'!I37),0))+IF((75='V06 Calend 01'!D37),'V06 Calend 01'!J37,0))</f>
        <v>0</v>
      </c>
      <c r="CJ37" s="2">
        <f>((IF((76='V06 Calend 01'!C37),('V06 Calend 01'!F37+'V06 Calend 01'!G37),0)+IF(AND(('V06 Calend 01'!E37&gt;0),(76&gt;'V06 Calend 01'!C37),(76&lt;'V06 Calend 01'!D37),(MOD((76-'V06 Calend 01'!C37),6)=0),(((76-'V06 Calend 01'!C37)/6)&lt;='V06 Calend 01'!E37)),IF((76=('V06 Calend 01'!C37+(6*'V06 Calend 01'!E37))),('V06 Calend 01'!H37-('V06 Calend 01'!I37*('V06 Calend 01'!E37-1))),'V06 Calend 01'!I37),0))+IF((76='V06 Calend 01'!D37),'V06 Calend 01'!J37,0))</f>
        <v>0</v>
      </c>
      <c r="CK37" s="2">
        <f>((IF((77='V06 Calend 01'!C37),('V06 Calend 01'!F37+'V06 Calend 01'!G37),0)+IF(AND(('V06 Calend 01'!E37&gt;0),(77&gt;'V06 Calend 01'!C37),(77&lt;'V06 Calend 01'!D37),(MOD((77-'V06 Calend 01'!C37),6)=0),(((77-'V06 Calend 01'!C37)/6)&lt;='V06 Calend 01'!E37)),IF((77=('V06 Calend 01'!C37+(6*'V06 Calend 01'!E37))),('V06 Calend 01'!H37-('V06 Calend 01'!I37*('V06 Calend 01'!E37-1))),'V06 Calend 01'!I37),0))+IF((77='V06 Calend 01'!D37),'V06 Calend 01'!J37,0))</f>
        <v>0</v>
      </c>
      <c r="CL37" s="2">
        <f>((IF((78='V06 Calend 01'!C37),('V06 Calend 01'!F37+'V06 Calend 01'!G37),0)+IF(AND(('V06 Calend 01'!E37&gt;0),(78&gt;'V06 Calend 01'!C37),(78&lt;'V06 Calend 01'!D37),(MOD((78-'V06 Calend 01'!C37),6)=0),(((78-'V06 Calend 01'!C37)/6)&lt;='V06 Calend 01'!E37)),IF((78=('V06 Calend 01'!C37+(6*'V06 Calend 01'!E37))),('V06 Calend 01'!H37-('V06 Calend 01'!I37*('V06 Calend 01'!E37-1))),'V06 Calend 01'!I37),0))+IF((78='V06 Calend 01'!D37),'V06 Calend 01'!J37,0))</f>
        <v>0</v>
      </c>
      <c r="CM37" s="2">
        <f>((IF((79='V06 Calend 01'!C37),('V06 Calend 01'!F37+'V06 Calend 01'!G37),0)+IF(AND(('V06 Calend 01'!E37&gt;0),(79&gt;'V06 Calend 01'!C37),(79&lt;'V06 Calend 01'!D37),(MOD((79-'V06 Calend 01'!C37),6)=0),(((79-'V06 Calend 01'!C37)/6)&lt;='V06 Calend 01'!E37)),IF((79=('V06 Calend 01'!C37+(6*'V06 Calend 01'!E37))),('V06 Calend 01'!H37-('V06 Calend 01'!I37*('V06 Calend 01'!E37-1))),'V06 Calend 01'!I37),0))+IF((79='V06 Calend 01'!D37),'V06 Calend 01'!J37,0))</f>
        <v>0</v>
      </c>
      <c r="CN37" s="2">
        <f>((IF((80='V06 Calend 01'!C37),('V06 Calend 01'!F37+'V06 Calend 01'!G37),0)+IF(AND(('V06 Calend 01'!E37&gt;0),(80&gt;'V06 Calend 01'!C37),(80&lt;'V06 Calend 01'!D37),(MOD((80-'V06 Calend 01'!C37),6)=0),(((80-'V06 Calend 01'!C37)/6)&lt;='V06 Calend 01'!E37)),IF((80=('V06 Calend 01'!C37+(6*'V06 Calend 01'!E37))),('V06 Calend 01'!H37-('V06 Calend 01'!I37*('V06 Calend 01'!E37-1))),'V06 Calend 01'!I37),0))+IF((80='V06 Calend 01'!D37),'V06 Calend 01'!J37,0))</f>
        <v>0</v>
      </c>
      <c r="CO37" s="2">
        <f>((IF((81='V06 Calend 01'!C37),('V06 Calend 01'!F37+'V06 Calend 01'!G37),0)+IF(AND(('V06 Calend 01'!E37&gt;0),(81&gt;'V06 Calend 01'!C37),(81&lt;'V06 Calend 01'!D37),(MOD((81-'V06 Calend 01'!C37),6)=0),(((81-'V06 Calend 01'!C37)/6)&lt;='V06 Calend 01'!E37)),IF((81=('V06 Calend 01'!C37+(6*'V06 Calend 01'!E37))),('V06 Calend 01'!H37-('V06 Calend 01'!I37*('V06 Calend 01'!E37-1))),'V06 Calend 01'!I37),0))+IF((81='V06 Calend 01'!D37),'V06 Calend 01'!J37,0))</f>
        <v>0</v>
      </c>
      <c r="CP37" s="2">
        <f>((IF((82='V06 Calend 01'!C37),('V06 Calend 01'!F37+'V06 Calend 01'!G37),0)+IF(AND(('V06 Calend 01'!E37&gt;0),(82&gt;'V06 Calend 01'!C37),(82&lt;'V06 Calend 01'!D37),(MOD((82-'V06 Calend 01'!C37),6)=0),(((82-'V06 Calend 01'!C37)/6)&lt;='V06 Calend 01'!E37)),IF((82=('V06 Calend 01'!C37+(6*'V06 Calend 01'!E37))),('V06 Calend 01'!H37-('V06 Calend 01'!I37*('V06 Calend 01'!E37-1))),'V06 Calend 01'!I37),0))+IF((82='V06 Calend 01'!D37),'V06 Calend 01'!J37,0))</f>
        <v>0</v>
      </c>
      <c r="CQ37" s="2">
        <f>((IF((83='V06 Calend 01'!C37),('V06 Calend 01'!F37+'V06 Calend 01'!G37),0)+IF(AND(('V06 Calend 01'!E37&gt;0),(83&gt;'V06 Calend 01'!C37),(83&lt;'V06 Calend 01'!D37),(MOD((83-'V06 Calend 01'!C37),6)=0),(((83-'V06 Calend 01'!C37)/6)&lt;='V06 Calend 01'!E37)),IF((83=('V06 Calend 01'!C37+(6*'V06 Calend 01'!E37))),('V06 Calend 01'!H37-('V06 Calend 01'!I37*('V06 Calend 01'!E37-1))),'V06 Calend 01'!I37),0))+IF((83='V06 Calend 01'!D37),'V06 Calend 01'!J37,0))</f>
        <v>0</v>
      </c>
      <c r="CR37" s="2">
        <f>((IF((84='V06 Calend 01'!C37),('V06 Calend 01'!F37+'V06 Calend 01'!G37),0)+IF(AND(('V06 Calend 01'!E37&gt;0),(84&gt;'V06 Calend 01'!C37),(84&lt;'V06 Calend 01'!D37),(MOD((84-'V06 Calend 01'!C37),6)=0),(((84-'V06 Calend 01'!C37)/6)&lt;='V06 Calend 01'!E37)),IF((84=('V06 Calend 01'!C37+(6*'V06 Calend 01'!E37))),('V06 Calend 01'!H37-('V06 Calend 01'!I37*('V06 Calend 01'!E37-1))),'V06 Calend 01'!I37),0))+IF((84='V06 Calend 01'!D37),'V06 Calend 01'!J37,0))</f>
        <v>0</v>
      </c>
      <c r="CS37" s="2">
        <f>((IF((85='V06 Calend 01'!C37),('V06 Calend 01'!F37+'V06 Calend 01'!G37),0)+IF(AND(('V06 Calend 01'!E37&gt;0),(85&gt;'V06 Calend 01'!C37),(85&lt;'V06 Calend 01'!D37),(MOD((85-'V06 Calend 01'!C37),6)=0),(((85-'V06 Calend 01'!C37)/6)&lt;='V06 Calend 01'!E37)),IF((85=('V06 Calend 01'!C37+(6*'V06 Calend 01'!E37))),('V06 Calend 01'!H37-('V06 Calend 01'!I37*('V06 Calend 01'!E37-1))),'V06 Calend 01'!I37),0))+IF((85='V06 Calend 01'!D37),'V06 Calend 01'!J37,0))</f>
        <v>0</v>
      </c>
      <c r="CT37" s="2">
        <f>((IF((86='V06 Calend 01'!C37),('V06 Calend 01'!F37+'V06 Calend 01'!G37),0)+IF(AND(('V06 Calend 01'!E37&gt;0),(86&gt;'V06 Calend 01'!C37),(86&lt;'V06 Calend 01'!D37),(MOD((86-'V06 Calend 01'!C37),6)=0),(((86-'V06 Calend 01'!C37)/6)&lt;='V06 Calend 01'!E37)),IF((86=('V06 Calend 01'!C37+(6*'V06 Calend 01'!E37))),('V06 Calend 01'!H37-('V06 Calend 01'!I37*('V06 Calend 01'!E37-1))),'V06 Calend 01'!I37),0))+IF((86='V06 Calend 01'!D37),'V06 Calend 01'!J37,0))</f>
        <v>0</v>
      </c>
      <c r="CU37" s="2">
        <f>((IF((87='V06 Calend 01'!C37),('V06 Calend 01'!F37+'V06 Calend 01'!G37),0)+IF(AND(('V06 Calend 01'!E37&gt;0),(87&gt;'V06 Calend 01'!C37),(87&lt;'V06 Calend 01'!D37),(MOD((87-'V06 Calend 01'!C37),6)=0),(((87-'V06 Calend 01'!C37)/6)&lt;='V06 Calend 01'!E37)),IF((87=('V06 Calend 01'!C37+(6*'V06 Calend 01'!E37))),('V06 Calend 01'!H37-('V06 Calend 01'!I37*('V06 Calend 01'!E37-1))),'V06 Calend 01'!I37),0))+IF((87='V06 Calend 01'!D37),'V06 Calend 01'!J37,0))</f>
        <v>0</v>
      </c>
      <c r="CV37" s="2">
        <f>((IF((88='V06 Calend 01'!C37),('V06 Calend 01'!F37+'V06 Calend 01'!G37),0)+IF(AND(('V06 Calend 01'!E37&gt;0),(88&gt;'V06 Calend 01'!C37),(88&lt;'V06 Calend 01'!D37),(MOD((88-'V06 Calend 01'!C37),6)=0),(((88-'V06 Calend 01'!C37)/6)&lt;='V06 Calend 01'!E37)),IF((88=('V06 Calend 01'!C37+(6*'V06 Calend 01'!E37))),('V06 Calend 01'!H37-('V06 Calend 01'!I37*('V06 Calend 01'!E37-1))),'V06 Calend 01'!I37),0))+IF((88='V06 Calend 01'!D37),'V06 Calend 01'!J37,0))</f>
        <v>0</v>
      </c>
      <c r="CW37" s="2">
        <f>((IF((89='V06 Calend 01'!C37),('V06 Calend 01'!F37+'V06 Calend 01'!G37),0)+IF(AND(('V06 Calend 01'!E37&gt;0),(89&gt;'V06 Calend 01'!C37),(89&lt;'V06 Calend 01'!D37),(MOD((89-'V06 Calend 01'!C37),6)=0),(((89-'V06 Calend 01'!C37)/6)&lt;='V06 Calend 01'!E37)),IF((89=('V06 Calend 01'!C37+(6*'V06 Calend 01'!E37))),('V06 Calend 01'!H37-('V06 Calend 01'!I37*('V06 Calend 01'!E37-1))),'V06 Calend 01'!I37),0))+IF((89='V06 Calend 01'!D37),'V06 Calend 01'!J37,0))</f>
        <v>0</v>
      </c>
      <c r="CX37" s="2">
        <f>((IF((90='V06 Calend 01'!C37),('V06 Calend 01'!F37+'V06 Calend 01'!G37),0)+IF(AND(('V06 Calend 01'!E37&gt;0),(90&gt;'V06 Calend 01'!C37),(90&lt;'V06 Calend 01'!D37),(MOD((90-'V06 Calend 01'!C37),6)=0),(((90-'V06 Calend 01'!C37)/6)&lt;='V06 Calend 01'!E37)),IF((90=('V06 Calend 01'!C37+(6*'V06 Calend 01'!E37))),('V06 Calend 01'!H37-('V06 Calend 01'!I37*('V06 Calend 01'!E37-1))),'V06 Calend 01'!I37),0))+IF((90='V06 Calend 01'!D37),'V06 Calend 01'!J37,0))</f>
        <v>0</v>
      </c>
      <c r="CY37" s="2">
        <f>((IF((91='V06 Calend 01'!C37),('V06 Calend 01'!F37+'V06 Calend 01'!G37),0)+IF(AND(('V06 Calend 01'!E37&gt;0),(91&gt;'V06 Calend 01'!C37),(91&lt;'V06 Calend 01'!D37),(MOD((91-'V06 Calend 01'!C37),6)=0),(((91-'V06 Calend 01'!C37)/6)&lt;='V06 Calend 01'!E37)),IF((91=('V06 Calend 01'!C37+(6*'V06 Calend 01'!E37))),('V06 Calend 01'!H37-('V06 Calend 01'!I37*('V06 Calend 01'!E37-1))),'V06 Calend 01'!I37),0))+IF((91='V06 Calend 01'!D37),'V06 Calend 01'!J37,0))</f>
        <v>0</v>
      </c>
      <c r="CZ37" s="2">
        <f>((IF((92='V06 Calend 01'!C37),('V06 Calend 01'!F37+'V06 Calend 01'!G37),0)+IF(AND(('V06 Calend 01'!E37&gt;0),(92&gt;'V06 Calend 01'!C37),(92&lt;'V06 Calend 01'!D37),(MOD((92-'V06 Calend 01'!C37),6)=0),(((92-'V06 Calend 01'!C37)/6)&lt;='V06 Calend 01'!E37)),IF((92=('V06 Calend 01'!C37+(6*'V06 Calend 01'!E37))),('V06 Calend 01'!H37-('V06 Calend 01'!I37*('V06 Calend 01'!E37-1))),'V06 Calend 01'!I37),0))+IF((92='V06 Calend 01'!D37),'V06 Calend 01'!J37,0))</f>
        <v>0</v>
      </c>
      <c r="DA37" s="2">
        <f>((IF((93='V06 Calend 01'!C37),('V06 Calend 01'!F37+'V06 Calend 01'!G37),0)+IF(AND(('V06 Calend 01'!E37&gt;0),(93&gt;'V06 Calend 01'!C37),(93&lt;'V06 Calend 01'!D37),(MOD((93-'V06 Calend 01'!C37),6)=0),(((93-'V06 Calend 01'!C37)/6)&lt;='V06 Calend 01'!E37)),IF((93=('V06 Calend 01'!C37+(6*'V06 Calend 01'!E37))),('V06 Calend 01'!H37-('V06 Calend 01'!I37*('V06 Calend 01'!E37-1))),'V06 Calend 01'!I37),0))+IF((93='V06 Calend 01'!D37),'V06 Calend 01'!J37,0))</f>
        <v>0</v>
      </c>
      <c r="DB37" s="2">
        <f>((IF((94='V06 Calend 01'!C37),('V06 Calend 01'!F37+'V06 Calend 01'!G37),0)+IF(AND(('V06 Calend 01'!E37&gt;0),(94&gt;'V06 Calend 01'!C37),(94&lt;'V06 Calend 01'!D37),(MOD((94-'V06 Calend 01'!C37),6)=0),(((94-'V06 Calend 01'!C37)/6)&lt;='V06 Calend 01'!E37)),IF((94=('V06 Calend 01'!C37+(6*'V06 Calend 01'!E37))),('V06 Calend 01'!H37-('V06 Calend 01'!I37*('V06 Calend 01'!E37-1))),'V06 Calend 01'!I37),0))+IF((94='V06 Calend 01'!D37),'V06 Calend 01'!J37,0))</f>
        <v>0</v>
      </c>
      <c r="DC37" s="2">
        <f>((IF((95='V06 Calend 01'!C37),('V06 Calend 01'!F37+'V06 Calend 01'!G37),0)+IF(AND(('V06 Calend 01'!E37&gt;0),(95&gt;'V06 Calend 01'!C37),(95&lt;'V06 Calend 01'!D37),(MOD((95-'V06 Calend 01'!C37),6)=0),(((95-'V06 Calend 01'!C37)/6)&lt;='V06 Calend 01'!E37)),IF((95=('V06 Calend 01'!C37+(6*'V06 Calend 01'!E37))),('V06 Calend 01'!H37-('V06 Calend 01'!I37*('V06 Calend 01'!E37-1))),'V06 Calend 01'!I37),0))+IF((95='V06 Calend 01'!D37),'V06 Calend 01'!J37,0))</f>
        <v>0</v>
      </c>
      <c r="DD37" s="2">
        <f>((IF((96='V06 Calend 01'!C37),('V06 Calend 01'!F37+'V06 Calend 01'!G37),0)+IF(AND(('V06 Calend 01'!E37&gt;0),(96&gt;'V06 Calend 01'!C37),(96&lt;'V06 Calend 01'!D37),(MOD((96-'V06 Calend 01'!C37),6)=0),(((96-'V06 Calend 01'!C37)/6)&lt;='V06 Calend 01'!E37)),IF((96=('V06 Calend 01'!C37+(6*'V06 Calend 01'!E37))),('V06 Calend 01'!H37-('V06 Calend 01'!I37*('V06 Calend 01'!E37-1))),'V06 Calend 01'!I37),0))+IF((96='V06 Calend 01'!D37),'V06 Calend 01'!J37,0))</f>
        <v>0</v>
      </c>
      <c r="DE37" s="2">
        <f>((IF((97='V06 Calend 01'!C37),('V06 Calend 01'!F37+'V06 Calend 01'!G37),0)+IF(AND(('V06 Calend 01'!E37&gt;0),(97&gt;'V06 Calend 01'!C37),(97&lt;'V06 Calend 01'!D37),(MOD((97-'V06 Calend 01'!C37),6)=0),(((97-'V06 Calend 01'!C37)/6)&lt;='V06 Calend 01'!E37)),IF((97=('V06 Calend 01'!C37+(6*'V06 Calend 01'!E37))),('V06 Calend 01'!H37-('V06 Calend 01'!I37*('V06 Calend 01'!E37-1))),'V06 Calend 01'!I37),0))+IF((97='V06 Calend 01'!D37),'V06 Calend 01'!J37,0))</f>
        <v>0</v>
      </c>
      <c r="DF37" s="2">
        <f>((IF((98='V06 Calend 01'!C37),('V06 Calend 01'!F37+'V06 Calend 01'!G37),0)+IF(AND(('V06 Calend 01'!E37&gt;0),(98&gt;'V06 Calend 01'!C37),(98&lt;'V06 Calend 01'!D37),(MOD((98-'V06 Calend 01'!C37),6)=0),(((98-'V06 Calend 01'!C37)/6)&lt;='V06 Calend 01'!E37)),IF((98=('V06 Calend 01'!C37+(6*'V06 Calend 01'!E37))),('V06 Calend 01'!H37-('V06 Calend 01'!I37*('V06 Calend 01'!E37-1))),'V06 Calend 01'!I37),0))+IF((98='V06 Calend 01'!D37),'V06 Calend 01'!J37,0))</f>
        <v>0</v>
      </c>
      <c r="DG37" s="2">
        <f>((IF((99='V06 Calend 01'!C37),('V06 Calend 01'!F37+'V06 Calend 01'!G37),0)+IF(AND(('V06 Calend 01'!E37&gt;0),(99&gt;'V06 Calend 01'!C37),(99&lt;'V06 Calend 01'!D37),(MOD((99-'V06 Calend 01'!C37),6)=0),(((99-'V06 Calend 01'!C37)/6)&lt;='V06 Calend 01'!E37)),IF((99=('V06 Calend 01'!C37+(6*'V06 Calend 01'!E37))),('V06 Calend 01'!H37-('V06 Calend 01'!I37*('V06 Calend 01'!E37-1))),'V06 Calend 01'!I37),0))+IF((99='V06 Calend 01'!D37),'V06 Calend 01'!J37,0))</f>
        <v>0</v>
      </c>
      <c r="DH37" s="2">
        <f>((IF((100='V06 Calend 01'!C37),('V06 Calend 01'!F37+'V06 Calend 01'!G37),0)+IF(AND(('V06 Calend 01'!E37&gt;0),(100&gt;'V06 Calend 01'!C37),(100&lt;'V06 Calend 01'!D37),(MOD((100-'V06 Calend 01'!C37),6)=0),(((100-'V06 Calend 01'!C37)/6)&lt;='V06 Calend 01'!E37)),IF((100=('V06 Calend 01'!C37+(6*'V06 Calend 01'!E37))),('V06 Calend 01'!H37-('V06 Calend 01'!I37*('V06 Calend 01'!E37-1))),'V06 Calend 01'!I37),0))+IF((100='V06 Calend 01'!D37),'V06 Calend 01'!J37,0))</f>
        <v>0</v>
      </c>
      <c r="DI37" s="2">
        <f>((IF((101='V06 Calend 01'!C37),('V06 Calend 01'!F37+'V06 Calend 01'!G37),0)+IF(AND(('V06 Calend 01'!E37&gt;0),(101&gt;'V06 Calend 01'!C37),(101&lt;'V06 Calend 01'!D37),(MOD((101-'V06 Calend 01'!C37),6)=0),(((101-'V06 Calend 01'!C37)/6)&lt;='V06 Calend 01'!E37)),IF((101=('V06 Calend 01'!C37+(6*'V06 Calend 01'!E37))),('V06 Calend 01'!H37-('V06 Calend 01'!I37*('V06 Calend 01'!E37-1))),'V06 Calend 01'!I37),0))+IF((101='V06 Calend 01'!D37),'V06 Calend 01'!J37,0))</f>
        <v>0</v>
      </c>
      <c r="DJ37" s="2">
        <f>((IF((102='V06 Calend 01'!C37),('V06 Calend 01'!F37+'V06 Calend 01'!G37),0)+IF(AND(('V06 Calend 01'!E37&gt;0),(102&gt;'V06 Calend 01'!C37),(102&lt;'V06 Calend 01'!D37),(MOD((102-'V06 Calend 01'!C37),6)=0),(((102-'V06 Calend 01'!C37)/6)&lt;='V06 Calend 01'!E37)),IF((102=('V06 Calend 01'!C37+(6*'V06 Calend 01'!E37))),('V06 Calend 01'!H37-('V06 Calend 01'!I37*('V06 Calend 01'!E37-1))),'V06 Calend 01'!I37),0))+IF((102='V06 Calend 01'!D37),'V06 Calend 01'!J37,0))</f>
        <v>0</v>
      </c>
      <c r="DK37" s="2">
        <f>((IF((103='V06 Calend 01'!C37),('V06 Calend 01'!F37+'V06 Calend 01'!G37),0)+IF(AND(('V06 Calend 01'!E37&gt;0),(103&gt;'V06 Calend 01'!C37),(103&lt;'V06 Calend 01'!D37),(MOD((103-'V06 Calend 01'!C37),6)=0),(((103-'V06 Calend 01'!C37)/6)&lt;='V06 Calend 01'!E37)),IF((103=('V06 Calend 01'!C37+(6*'V06 Calend 01'!E37))),('V06 Calend 01'!H37-('V06 Calend 01'!I37*('V06 Calend 01'!E37-1))),'V06 Calend 01'!I37),0))+IF((103='V06 Calend 01'!D37),'V06 Calend 01'!J37,0))</f>
        <v>0</v>
      </c>
      <c r="DL37" s="2">
        <f>((IF((104='V06 Calend 01'!C37),('V06 Calend 01'!F37+'V06 Calend 01'!G37),0)+IF(AND(('V06 Calend 01'!E37&gt;0),(104&gt;'V06 Calend 01'!C37),(104&lt;'V06 Calend 01'!D37),(MOD((104-'V06 Calend 01'!C37),6)=0),(((104-'V06 Calend 01'!C37)/6)&lt;='V06 Calend 01'!E37)),IF((104=('V06 Calend 01'!C37+(6*'V06 Calend 01'!E37))),('V06 Calend 01'!H37-('V06 Calend 01'!I37*('V06 Calend 01'!E37-1))),'V06 Calend 01'!I37),0))+IF((104='V06 Calend 01'!D37),'V06 Calend 01'!J37,0))</f>
        <v>0</v>
      </c>
      <c r="DM37" s="2">
        <f>((IF((105='V06 Calend 01'!C37),('V06 Calend 01'!F37+'V06 Calend 01'!G37),0)+IF(AND(('V06 Calend 01'!E37&gt;0),(105&gt;'V06 Calend 01'!C37),(105&lt;'V06 Calend 01'!D37),(MOD((105-'V06 Calend 01'!C37),6)=0),(((105-'V06 Calend 01'!C37)/6)&lt;='V06 Calend 01'!E37)),IF((105=('V06 Calend 01'!C37+(6*'V06 Calend 01'!E37))),('V06 Calend 01'!H37-('V06 Calend 01'!I37*('V06 Calend 01'!E37-1))),'V06 Calend 01'!I37),0))+IF((105='V06 Calend 01'!D37),'V06 Calend 01'!J37,0))</f>
        <v>0</v>
      </c>
      <c r="DN37" s="2">
        <f>((IF((106='V06 Calend 01'!C37),('V06 Calend 01'!F37+'V06 Calend 01'!G37),0)+IF(AND(('V06 Calend 01'!E37&gt;0),(106&gt;'V06 Calend 01'!C37),(106&lt;'V06 Calend 01'!D37),(MOD((106-'V06 Calend 01'!C37),6)=0),(((106-'V06 Calend 01'!C37)/6)&lt;='V06 Calend 01'!E37)),IF((106=('V06 Calend 01'!C37+(6*'V06 Calend 01'!E37))),('V06 Calend 01'!H37-('V06 Calend 01'!I37*('V06 Calend 01'!E37-1))),'V06 Calend 01'!I37),0))+IF((106='V06 Calend 01'!D37),'V06 Calend 01'!J37,0))</f>
        <v>0</v>
      </c>
      <c r="DO37" s="2">
        <f>((IF((107='V06 Calend 01'!C37),('V06 Calend 01'!F37+'V06 Calend 01'!G37),0)+IF(AND(('V06 Calend 01'!E37&gt;0),(107&gt;'V06 Calend 01'!C37),(107&lt;'V06 Calend 01'!D37),(MOD((107-'V06 Calend 01'!C37),6)=0),(((107-'V06 Calend 01'!C37)/6)&lt;='V06 Calend 01'!E37)),IF((107=('V06 Calend 01'!C37+(6*'V06 Calend 01'!E37))),('V06 Calend 01'!H37-('V06 Calend 01'!I37*('V06 Calend 01'!E37-1))),'V06 Calend 01'!I37),0))+IF((107='V06 Calend 01'!D37),'V06 Calend 01'!J37,0))</f>
        <v>0</v>
      </c>
      <c r="DP37" s="2">
        <f>((IF((108='V06 Calend 01'!C37),('V06 Calend 01'!F37+'V06 Calend 01'!G37),0)+IF(AND(('V06 Calend 01'!E37&gt;0),(108&gt;'V06 Calend 01'!C37),(108&lt;'V06 Calend 01'!D37),(MOD((108-'V06 Calend 01'!C37),6)=0),(((108-'V06 Calend 01'!C37)/6)&lt;='V06 Calend 01'!E37)),IF((108=('V06 Calend 01'!C37+(6*'V06 Calend 01'!E37))),('V06 Calend 01'!H37-('V06 Calend 01'!I37*('V06 Calend 01'!E37-1))),'V06 Calend 01'!I37),0))+IF((108='V06 Calend 01'!D37),'V06 Calend 01'!J37,0))</f>
        <v>0</v>
      </c>
      <c r="DQ37" s="2">
        <f>((IF((109='V06 Calend 01'!C37),('V06 Calend 01'!F37+'V06 Calend 01'!G37),0)+IF(AND(('V06 Calend 01'!E37&gt;0),(109&gt;'V06 Calend 01'!C37),(109&lt;'V06 Calend 01'!D37),(MOD((109-'V06 Calend 01'!C37),6)=0),(((109-'V06 Calend 01'!C37)/6)&lt;='V06 Calend 01'!E37)),IF((109=('V06 Calend 01'!C37+(6*'V06 Calend 01'!E37))),('V06 Calend 01'!H37-('V06 Calend 01'!I37*('V06 Calend 01'!E37-1))),'V06 Calend 01'!I37),0))+IF((109='V06 Calend 01'!D37),'V06 Calend 01'!J37,0))</f>
        <v>0</v>
      </c>
      <c r="DR37" s="2">
        <f>((IF((110='V06 Calend 01'!C37),('V06 Calend 01'!F37+'V06 Calend 01'!G37),0)+IF(AND(('V06 Calend 01'!E37&gt;0),(110&gt;'V06 Calend 01'!C37),(110&lt;'V06 Calend 01'!D37),(MOD((110-'V06 Calend 01'!C37),6)=0),(((110-'V06 Calend 01'!C37)/6)&lt;='V06 Calend 01'!E37)),IF((110=('V06 Calend 01'!C37+(6*'V06 Calend 01'!E37))),('V06 Calend 01'!H37-('V06 Calend 01'!I37*('V06 Calend 01'!E37-1))),'V06 Calend 01'!I37),0))+IF((110='V06 Calend 01'!D37),'V06 Calend 01'!J37,0))</f>
        <v>0</v>
      </c>
      <c r="DS37" s="2">
        <f>((IF((111='V06 Calend 01'!C37),('V06 Calend 01'!F37+'V06 Calend 01'!G37),0)+IF(AND(('V06 Calend 01'!E37&gt;0),(111&gt;'V06 Calend 01'!C37),(111&lt;'V06 Calend 01'!D37),(MOD((111-'V06 Calend 01'!C37),6)=0),(((111-'V06 Calend 01'!C37)/6)&lt;='V06 Calend 01'!E37)),IF((111=('V06 Calend 01'!C37+(6*'V06 Calend 01'!E37))),('V06 Calend 01'!H37-('V06 Calend 01'!I37*('V06 Calend 01'!E37-1))),'V06 Calend 01'!I37),0))+IF((111='V06 Calend 01'!D37),'V06 Calend 01'!J37,0))</f>
        <v>0</v>
      </c>
      <c r="DT37" s="2">
        <f>((IF((112='V06 Calend 01'!C37),('V06 Calend 01'!F37+'V06 Calend 01'!G37),0)+IF(AND(('V06 Calend 01'!E37&gt;0),(112&gt;'V06 Calend 01'!C37),(112&lt;'V06 Calend 01'!D37),(MOD((112-'V06 Calend 01'!C37),6)=0),(((112-'V06 Calend 01'!C37)/6)&lt;='V06 Calend 01'!E37)),IF((112=('V06 Calend 01'!C37+(6*'V06 Calend 01'!E37))),('V06 Calend 01'!H37-('V06 Calend 01'!I37*('V06 Calend 01'!E37-1))),'V06 Calend 01'!I37),0))+IF((112='V06 Calend 01'!D37),'V06 Calend 01'!J37,0))</f>
        <v>0</v>
      </c>
      <c r="DU37" s="2">
        <f>((IF((113='V06 Calend 01'!C37),('V06 Calend 01'!F37+'V06 Calend 01'!G37),0)+IF(AND(('V06 Calend 01'!E37&gt;0),(113&gt;'V06 Calend 01'!C37),(113&lt;'V06 Calend 01'!D37),(MOD((113-'V06 Calend 01'!C37),6)=0),(((113-'V06 Calend 01'!C37)/6)&lt;='V06 Calend 01'!E37)),IF((113=('V06 Calend 01'!C37+(6*'V06 Calend 01'!E37))),('V06 Calend 01'!H37-('V06 Calend 01'!I37*('V06 Calend 01'!E37-1))),'V06 Calend 01'!I37),0))+IF((113='V06 Calend 01'!D37),'V06 Calend 01'!J37,0))</f>
        <v>0</v>
      </c>
      <c r="DV37" s="2">
        <f>((IF((114='V06 Calend 01'!C37),('V06 Calend 01'!F37+'V06 Calend 01'!G37),0)+IF(AND(('V06 Calend 01'!E37&gt;0),(114&gt;'V06 Calend 01'!C37),(114&lt;'V06 Calend 01'!D37),(MOD((114-'V06 Calend 01'!C37),6)=0),(((114-'V06 Calend 01'!C37)/6)&lt;='V06 Calend 01'!E37)),IF((114=('V06 Calend 01'!C37+(6*'V06 Calend 01'!E37))),('V06 Calend 01'!H37-('V06 Calend 01'!I37*('V06 Calend 01'!E37-1))),'V06 Calend 01'!I37),0))+IF((114='V06 Calend 01'!D37),'V06 Calend 01'!J37,0))</f>
        <v>0</v>
      </c>
      <c r="DW37" s="2">
        <f>((IF((115='V06 Calend 01'!C37),('V06 Calend 01'!F37+'V06 Calend 01'!G37),0)+IF(AND(('V06 Calend 01'!E37&gt;0),(115&gt;'V06 Calend 01'!C37),(115&lt;'V06 Calend 01'!D37),(MOD((115-'V06 Calend 01'!C37),6)=0),(((115-'V06 Calend 01'!C37)/6)&lt;='V06 Calend 01'!E37)),IF((115=('V06 Calend 01'!C37+(6*'V06 Calend 01'!E37))),('V06 Calend 01'!H37-('V06 Calend 01'!I37*('V06 Calend 01'!E37-1))),'V06 Calend 01'!I37),0))+IF((115='V06 Calend 01'!D37),'V06 Calend 01'!J37,0))</f>
        <v>0</v>
      </c>
      <c r="DX37" s="2">
        <f>((IF((116='V06 Calend 01'!C37),('V06 Calend 01'!F37+'V06 Calend 01'!G37),0)+IF(AND(('V06 Calend 01'!E37&gt;0),(116&gt;'V06 Calend 01'!C37),(116&lt;'V06 Calend 01'!D37),(MOD((116-'V06 Calend 01'!C37),6)=0),(((116-'V06 Calend 01'!C37)/6)&lt;='V06 Calend 01'!E37)),IF((116=('V06 Calend 01'!C37+(6*'V06 Calend 01'!E37))),('V06 Calend 01'!H37-('V06 Calend 01'!I37*('V06 Calend 01'!E37-1))),'V06 Calend 01'!I37),0))+IF((116='V06 Calend 01'!D37),'V06 Calend 01'!J37,0))</f>
        <v>0</v>
      </c>
      <c r="DY37" s="2">
        <f>((IF((117='V06 Calend 01'!C37),('V06 Calend 01'!F37+'V06 Calend 01'!G37),0)+IF(AND(('V06 Calend 01'!E37&gt;0),(117&gt;'V06 Calend 01'!C37),(117&lt;'V06 Calend 01'!D37),(MOD((117-'V06 Calend 01'!C37),6)=0),(((117-'V06 Calend 01'!C37)/6)&lt;='V06 Calend 01'!E37)),IF((117=('V06 Calend 01'!C37+(6*'V06 Calend 01'!E37))),('V06 Calend 01'!H37-('V06 Calend 01'!I37*('V06 Calend 01'!E37-1))),'V06 Calend 01'!I37),0))+IF((117='V06 Calend 01'!D37),'V06 Calend 01'!J37,0))</f>
        <v>0</v>
      </c>
      <c r="DZ37" s="2">
        <f>((IF((118='V06 Calend 01'!C37),('V06 Calend 01'!F37+'V06 Calend 01'!G37),0)+IF(AND(('V06 Calend 01'!E37&gt;0),(118&gt;'V06 Calend 01'!C37),(118&lt;'V06 Calend 01'!D37),(MOD((118-'V06 Calend 01'!C37),6)=0),(((118-'V06 Calend 01'!C37)/6)&lt;='V06 Calend 01'!E37)),IF((118=('V06 Calend 01'!C37+(6*'V06 Calend 01'!E37))),('V06 Calend 01'!H37-('V06 Calend 01'!I37*('V06 Calend 01'!E37-1))),'V06 Calend 01'!I37),0))+IF((118='V06 Calend 01'!D37),'V06 Calend 01'!J37,0))</f>
        <v>0</v>
      </c>
      <c r="EA37" s="2">
        <f>((IF((119='V06 Calend 01'!C37),('V06 Calend 01'!F37+'V06 Calend 01'!G37),0)+IF(AND(('V06 Calend 01'!E37&gt;0),(119&gt;'V06 Calend 01'!C37),(119&lt;'V06 Calend 01'!D37),(MOD((119-'V06 Calend 01'!C37),6)=0),(((119-'V06 Calend 01'!C37)/6)&lt;='V06 Calend 01'!E37)),IF((119=('V06 Calend 01'!C37+(6*'V06 Calend 01'!E37))),('V06 Calend 01'!H37-('V06 Calend 01'!I37*('V06 Calend 01'!E37-1))),'V06 Calend 01'!I37),0))+IF((119='V06 Calend 01'!D37),'V06 Calend 01'!J37,0))</f>
        <v>0</v>
      </c>
      <c r="EB37" s="2">
        <f>((IF((120='V06 Calend 01'!C37),('V06 Calend 01'!F37+'V06 Calend 01'!G37),0)+IF(AND(('V06 Calend 01'!E37&gt;0),(120&gt;'V06 Calend 01'!C37),(120&lt;'V06 Calend 01'!D37),(MOD((120-'V06 Calend 01'!C37),6)=0),(((120-'V06 Calend 01'!C37)/6)&lt;='V06 Calend 01'!E37)),IF((120=('V06 Calend 01'!C37+(6*'V06 Calend 01'!E37))),('V06 Calend 01'!H37-('V06 Calend 01'!I37*('V06 Calend 01'!E37-1))),'V06 Calend 01'!I37),0))+IF((120='V06 Calend 01'!D37),'V06 Calend 01'!J37,0))</f>
        <v>0</v>
      </c>
      <c r="EC37" s="2">
        <f>((IF((121='V06 Calend 01'!C37),('V06 Calend 01'!F37+'V06 Calend 01'!G37),0)+IF(AND(('V06 Calend 01'!E37&gt;0),(121&gt;'V06 Calend 01'!C37),(121&lt;'V06 Calend 01'!D37),(MOD((121-'V06 Calend 01'!C37),6)=0),(((121-'V06 Calend 01'!C37)/6)&lt;='V06 Calend 01'!E37)),IF((121=('V06 Calend 01'!C37+(6*'V06 Calend 01'!E37))),('V06 Calend 01'!H37-('V06 Calend 01'!I37*('V06 Calend 01'!E37-1))),'V06 Calend 01'!I37),0))+IF((121='V06 Calend 01'!D37),'V06 Calend 01'!J37,0))</f>
        <v>0</v>
      </c>
      <c r="ED37" s="2">
        <f>((IF((122='V06 Calend 01'!C37),('V06 Calend 01'!F37+'V06 Calend 01'!G37),0)+IF(AND(('V06 Calend 01'!E37&gt;0),(122&gt;'V06 Calend 01'!C37),(122&lt;'V06 Calend 01'!D37),(MOD((122-'V06 Calend 01'!C37),6)=0),(((122-'V06 Calend 01'!C37)/6)&lt;='V06 Calend 01'!E37)),IF((122=('V06 Calend 01'!C37+(6*'V06 Calend 01'!E37))),('V06 Calend 01'!H37-('V06 Calend 01'!I37*('V06 Calend 01'!E37-1))),'V06 Calend 01'!I37),0))+IF((122='V06 Calend 01'!D37),'V06 Calend 01'!J37,0))</f>
        <v>0</v>
      </c>
      <c r="EE37" s="2">
        <f>((IF((123='V06 Calend 01'!C37),('V06 Calend 01'!F37+'V06 Calend 01'!G37),0)+IF(AND(('V06 Calend 01'!E37&gt;0),(123&gt;'V06 Calend 01'!C37),(123&lt;'V06 Calend 01'!D37),(MOD((123-'V06 Calend 01'!C37),6)=0),(((123-'V06 Calend 01'!C37)/6)&lt;='V06 Calend 01'!E37)),IF((123=('V06 Calend 01'!C37+(6*'V06 Calend 01'!E37))),('V06 Calend 01'!H37-('V06 Calend 01'!I37*('V06 Calend 01'!E37-1))),'V06 Calend 01'!I37),0))+IF((123='V06 Calend 01'!D37),'V06 Calend 01'!J37,0))</f>
        <v>0</v>
      </c>
      <c r="EF37" s="2">
        <f>((IF((124='V06 Calend 01'!C37),('V06 Calend 01'!F37+'V06 Calend 01'!G37),0)+IF(AND(('V06 Calend 01'!E37&gt;0),(124&gt;'V06 Calend 01'!C37),(124&lt;'V06 Calend 01'!D37),(MOD((124-'V06 Calend 01'!C37),6)=0),(((124-'V06 Calend 01'!C37)/6)&lt;='V06 Calend 01'!E37)),IF((124=('V06 Calend 01'!C37+(6*'V06 Calend 01'!E37))),('V06 Calend 01'!H37-('V06 Calend 01'!I37*('V06 Calend 01'!E37-1))),'V06 Calend 01'!I37),0))+IF((124='V06 Calend 01'!D37),'V06 Calend 01'!J37,0))</f>
        <v>0</v>
      </c>
      <c r="EG37" s="2">
        <f>((IF((125='V06 Calend 01'!C37),('V06 Calend 01'!F37+'V06 Calend 01'!G37),0)+IF(AND(('V06 Calend 01'!E37&gt;0),(125&gt;'V06 Calend 01'!C37),(125&lt;'V06 Calend 01'!D37),(MOD((125-'V06 Calend 01'!C37),6)=0),(((125-'V06 Calend 01'!C37)/6)&lt;='V06 Calend 01'!E37)),IF((125=('V06 Calend 01'!C37+(6*'V06 Calend 01'!E37))),('V06 Calend 01'!H37-('V06 Calend 01'!I37*('V06 Calend 01'!E37-1))),'V06 Calend 01'!I37),0))+IF((125='V06 Calend 01'!D37),'V06 Calend 01'!J37,0))</f>
        <v>0</v>
      </c>
      <c r="EH37" s="2">
        <f>((IF((126='V06 Calend 01'!C37),('V06 Calend 01'!F37+'V06 Calend 01'!G37),0)+IF(AND(('V06 Calend 01'!E37&gt;0),(126&gt;'V06 Calend 01'!C37),(126&lt;'V06 Calend 01'!D37),(MOD((126-'V06 Calend 01'!C37),6)=0),(((126-'V06 Calend 01'!C37)/6)&lt;='V06 Calend 01'!E37)),IF((126=('V06 Calend 01'!C37+(6*'V06 Calend 01'!E37))),('V06 Calend 01'!H37-('V06 Calend 01'!I37*('V06 Calend 01'!E37-1))),'V06 Calend 01'!I37),0))+IF((126='V06 Calend 01'!D37),'V06 Calend 01'!J37,0))</f>
        <v>0</v>
      </c>
      <c r="EI37" s="2">
        <f>((IF((127='V06 Calend 01'!C37),('V06 Calend 01'!F37+'V06 Calend 01'!G37),0)+IF(AND(('V06 Calend 01'!E37&gt;0),(127&gt;'V06 Calend 01'!C37),(127&lt;'V06 Calend 01'!D37),(MOD((127-'V06 Calend 01'!C37),6)=0),(((127-'V06 Calend 01'!C37)/6)&lt;='V06 Calend 01'!E37)),IF((127=('V06 Calend 01'!C37+(6*'V06 Calend 01'!E37))),('V06 Calend 01'!H37-('V06 Calend 01'!I37*('V06 Calend 01'!E37-1))),'V06 Calend 01'!I37),0))+IF((127='V06 Calend 01'!D37),'V06 Calend 01'!J37,0))</f>
        <v>0</v>
      </c>
      <c r="EJ37" s="2">
        <f>((IF((128='V06 Calend 01'!C37),('V06 Calend 01'!F37+'V06 Calend 01'!G37),0)+IF(AND(('V06 Calend 01'!E37&gt;0),(128&gt;'V06 Calend 01'!C37),(128&lt;'V06 Calend 01'!D37),(MOD((128-'V06 Calend 01'!C37),6)=0),(((128-'V06 Calend 01'!C37)/6)&lt;='V06 Calend 01'!E37)),IF((128=('V06 Calend 01'!C37+(6*'V06 Calend 01'!E37))),('V06 Calend 01'!H37-('V06 Calend 01'!I37*('V06 Calend 01'!E37-1))),'V06 Calend 01'!I37),0))+IF((128='V06 Calend 01'!D37),'V06 Calend 01'!J37,0))</f>
        <v>0</v>
      </c>
      <c r="EK37" s="2">
        <f>((IF((129='V06 Calend 01'!C37),('V06 Calend 01'!F37+'V06 Calend 01'!G37),0)+IF(AND(('V06 Calend 01'!E37&gt;0),(129&gt;'V06 Calend 01'!C37),(129&lt;'V06 Calend 01'!D37),(MOD((129-'V06 Calend 01'!C37),6)=0),(((129-'V06 Calend 01'!C37)/6)&lt;='V06 Calend 01'!E37)),IF((129=('V06 Calend 01'!C37+(6*'V06 Calend 01'!E37))),('V06 Calend 01'!H37-('V06 Calend 01'!I37*('V06 Calend 01'!E37-1))),'V06 Calend 01'!I37),0))+IF((129='V06 Calend 01'!D37),'V06 Calend 01'!J37,0))</f>
        <v>0</v>
      </c>
      <c r="EL37" s="2">
        <f>((IF((130='V06 Calend 01'!C37),('V06 Calend 01'!F37+'V06 Calend 01'!G37),0)+IF(AND(('V06 Calend 01'!E37&gt;0),(130&gt;'V06 Calend 01'!C37),(130&lt;'V06 Calend 01'!D37),(MOD((130-'V06 Calend 01'!C37),6)=0),(((130-'V06 Calend 01'!C37)/6)&lt;='V06 Calend 01'!E37)),IF((130=('V06 Calend 01'!C37+(6*'V06 Calend 01'!E37))),('V06 Calend 01'!H37-('V06 Calend 01'!I37*('V06 Calend 01'!E37-1))),'V06 Calend 01'!I37),0))+IF((130='V06 Calend 01'!D37),'V06 Calend 01'!J37,0))</f>
        <v>0</v>
      </c>
      <c r="EM37" s="2">
        <f>((IF((131='V06 Calend 01'!C37),('V06 Calend 01'!F37+'V06 Calend 01'!G37),0)+IF(AND(('V06 Calend 01'!E37&gt;0),(131&gt;'V06 Calend 01'!C37),(131&lt;'V06 Calend 01'!D37),(MOD((131-'V06 Calend 01'!C37),6)=0),(((131-'V06 Calend 01'!C37)/6)&lt;='V06 Calend 01'!E37)),IF((131=('V06 Calend 01'!C37+(6*'V06 Calend 01'!E37))),('V06 Calend 01'!H37-('V06 Calend 01'!I37*('V06 Calend 01'!E37-1))),'V06 Calend 01'!I37),0))+IF((131='V06 Calend 01'!D37),'V06 Calend 01'!J37,0))</f>
        <v>0</v>
      </c>
      <c r="EN37" s="2">
        <f>((IF((132='V06 Calend 01'!C37),('V06 Calend 01'!F37+'V06 Calend 01'!G37),0)+IF(AND(('V06 Calend 01'!E37&gt;0),(132&gt;'V06 Calend 01'!C37),(132&lt;'V06 Calend 01'!D37),(MOD((132-'V06 Calend 01'!C37),6)=0),(((132-'V06 Calend 01'!C37)/6)&lt;='V06 Calend 01'!E37)),IF((132=('V06 Calend 01'!C37+(6*'V06 Calend 01'!E37))),('V06 Calend 01'!H37-('V06 Calend 01'!I37*('V06 Calend 01'!E37-1))),'V06 Calend 01'!I37),0))+IF((132='V06 Calend 01'!D37),'V06 Calend 01'!J37,0))</f>
        <v>0</v>
      </c>
      <c r="EO37" s="2">
        <f>((IF((133='V06 Calend 01'!C37),('V06 Calend 01'!F37+'V06 Calend 01'!G37),0)+IF(AND(('V06 Calend 01'!E37&gt;0),(133&gt;'V06 Calend 01'!C37),(133&lt;'V06 Calend 01'!D37),(MOD((133-'V06 Calend 01'!C37),6)=0),(((133-'V06 Calend 01'!C37)/6)&lt;='V06 Calend 01'!E37)),IF((133=('V06 Calend 01'!C37+(6*'V06 Calend 01'!E37))),('V06 Calend 01'!H37-('V06 Calend 01'!I37*('V06 Calend 01'!E37-1))),'V06 Calend 01'!I37),0))+IF((133='V06 Calend 01'!D37),'V06 Calend 01'!J37,0))</f>
        <v>0</v>
      </c>
      <c r="EP37" s="2">
        <f>((IF((134='V06 Calend 01'!C37),('V06 Calend 01'!F37+'V06 Calend 01'!G37),0)+IF(AND(('V06 Calend 01'!E37&gt;0),(134&gt;'V06 Calend 01'!C37),(134&lt;'V06 Calend 01'!D37),(MOD((134-'V06 Calend 01'!C37),6)=0),(((134-'V06 Calend 01'!C37)/6)&lt;='V06 Calend 01'!E37)),IF((134=('V06 Calend 01'!C37+(6*'V06 Calend 01'!E37))),('V06 Calend 01'!H37-('V06 Calend 01'!I37*('V06 Calend 01'!E37-1))),'V06 Calend 01'!I37),0))+IF((134='V06 Calend 01'!D37),'V06 Calend 01'!J37,0))</f>
        <v>0</v>
      </c>
      <c r="EQ37" s="2">
        <f>((IF((135='V06 Calend 01'!C37),('V06 Calend 01'!F37+'V06 Calend 01'!G37),0)+IF(AND(('V06 Calend 01'!E37&gt;0),(135&gt;'V06 Calend 01'!C37),(135&lt;'V06 Calend 01'!D37),(MOD((135-'V06 Calend 01'!C37),6)=0),(((135-'V06 Calend 01'!C37)/6)&lt;='V06 Calend 01'!E37)),IF((135=('V06 Calend 01'!C37+(6*'V06 Calend 01'!E37))),('V06 Calend 01'!H37-('V06 Calend 01'!I37*('V06 Calend 01'!E37-1))),'V06 Calend 01'!I37),0))+IF((135='V06 Calend 01'!D37),'V06 Calend 01'!J37,0))</f>
        <v>0</v>
      </c>
      <c r="ER37" s="2">
        <f>((IF((136='V06 Calend 01'!C37),('V06 Calend 01'!F37+'V06 Calend 01'!G37),0)+IF(AND(('V06 Calend 01'!E37&gt;0),(136&gt;'V06 Calend 01'!C37),(136&lt;'V06 Calend 01'!D37),(MOD((136-'V06 Calend 01'!C37),6)=0),(((136-'V06 Calend 01'!C37)/6)&lt;='V06 Calend 01'!E37)),IF((136=('V06 Calend 01'!C37+(6*'V06 Calend 01'!E37))),('V06 Calend 01'!H37-('V06 Calend 01'!I37*('V06 Calend 01'!E37-1))),'V06 Calend 01'!I37),0))+IF((136='V06 Calend 01'!D37),'V06 Calend 01'!J37,0))</f>
        <v>0</v>
      </c>
      <c r="ES37" s="2">
        <f>((IF((137='V06 Calend 01'!C37),('V06 Calend 01'!F37+'V06 Calend 01'!G37),0)+IF(AND(('V06 Calend 01'!E37&gt;0),(137&gt;'V06 Calend 01'!C37),(137&lt;'V06 Calend 01'!D37),(MOD((137-'V06 Calend 01'!C37),6)=0),(((137-'V06 Calend 01'!C37)/6)&lt;='V06 Calend 01'!E37)),IF((137=('V06 Calend 01'!C37+(6*'V06 Calend 01'!E37))),('V06 Calend 01'!H37-('V06 Calend 01'!I37*('V06 Calend 01'!E37-1))),'V06 Calend 01'!I37),0))+IF((137='V06 Calend 01'!D37),'V06 Calend 01'!J37,0))</f>
        <v>0</v>
      </c>
      <c r="ET37" s="2">
        <f>((IF((138='V06 Calend 01'!C37),('V06 Calend 01'!F37+'V06 Calend 01'!G37),0)+IF(AND(('V06 Calend 01'!E37&gt;0),(138&gt;'V06 Calend 01'!C37),(138&lt;'V06 Calend 01'!D37),(MOD((138-'V06 Calend 01'!C37),6)=0),(((138-'V06 Calend 01'!C37)/6)&lt;='V06 Calend 01'!E37)),IF((138=('V06 Calend 01'!C37+(6*'V06 Calend 01'!E37))),('V06 Calend 01'!H37-('V06 Calend 01'!I37*('V06 Calend 01'!E37-1))),'V06 Calend 01'!I37),0))+IF((138='V06 Calend 01'!D37),'V06 Calend 01'!J37,0))</f>
        <v>0</v>
      </c>
      <c r="EU37" s="2">
        <f>((IF((139='V06 Calend 01'!C37),('V06 Calend 01'!F37+'V06 Calend 01'!G37),0)+IF(AND(('V06 Calend 01'!E37&gt;0),(139&gt;'V06 Calend 01'!C37),(139&lt;'V06 Calend 01'!D37),(MOD((139-'V06 Calend 01'!C37),6)=0),(((139-'V06 Calend 01'!C37)/6)&lt;='V06 Calend 01'!E37)),IF((139=('V06 Calend 01'!C37+(6*'V06 Calend 01'!E37))),('V06 Calend 01'!H37-('V06 Calend 01'!I37*('V06 Calend 01'!E37-1))),'V06 Calend 01'!I37),0))+IF((139='V06 Calend 01'!D37),'V06 Calend 01'!J37,0))</f>
        <v>0</v>
      </c>
      <c r="EV37" s="2">
        <f>((IF((140='V06 Calend 01'!C37),('V06 Calend 01'!F37+'V06 Calend 01'!G37),0)+IF(AND(('V06 Calend 01'!E37&gt;0),(140&gt;'V06 Calend 01'!C37),(140&lt;'V06 Calend 01'!D37),(MOD((140-'V06 Calend 01'!C37),6)=0),(((140-'V06 Calend 01'!C37)/6)&lt;='V06 Calend 01'!E37)),IF((140=('V06 Calend 01'!C37+(6*'V06 Calend 01'!E37))),('V06 Calend 01'!H37-('V06 Calend 01'!I37*('V06 Calend 01'!E37-1))),'V06 Calend 01'!I37),0))+IF((140='V06 Calend 01'!D37),'V06 Calend 01'!J37,0))</f>
        <v>0</v>
      </c>
      <c r="EW37" s="2">
        <f>((IF((141='V06 Calend 01'!C37),('V06 Calend 01'!F37+'V06 Calend 01'!G37),0)+IF(AND(('V06 Calend 01'!E37&gt;0),(141&gt;'V06 Calend 01'!C37),(141&lt;'V06 Calend 01'!D37),(MOD((141-'V06 Calend 01'!C37),6)=0),(((141-'V06 Calend 01'!C37)/6)&lt;='V06 Calend 01'!E37)),IF((141=('V06 Calend 01'!C37+(6*'V06 Calend 01'!E37))),('V06 Calend 01'!H37-('V06 Calend 01'!I37*('V06 Calend 01'!E37-1))),'V06 Calend 01'!I37),0))+IF((141='V06 Calend 01'!D37),'V06 Calend 01'!J37,0))</f>
        <v>0</v>
      </c>
      <c r="EX37" s="2">
        <f>((IF((142='V06 Calend 01'!C37),('V06 Calend 01'!F37+'V06 Calend 01'!G37),0)+IF(AND(('V06 Calend 01'!E37&gt;0),(142&gt;'V06 Calend 01'!C37),(142&lt;'V06 Calend 01'!D37),(MOD((142-'V06 Calend 01'!C37),6)=0),(((142-'V06 Calend 01'!C37)/6)&lt;='V06 Calend 01'!E37)),IF((142=('V06 Calend 01'!C37+(6*'V06 Calend 01'!E37))),('V06 Calend 01'!H37-('V06 Calend 01'!I37*('V06 Calend 01'!E37-1))),'V06 Calend 01'!I37),0))+IF((142='V06 Calend 01'!D37),'V06 Calend 01'!J37,0))</f>
        <v>0</v>
      </c>
      <c r="EY37" s="2">
        <f>((IF((143='V06 Calend 01'!C37),('V06 Calend 01'!F37+'V06 Calend 01'!G37),0)+IF(AND(('V06 Calend 01'!E37&gt;0),(143&gt;'V06 Calend 01'!C37),(143&lt;'V06 Calend 01'!D37),(MOD((143-'V06 Calend 01'!C37),6)=0),(((143-'V06 Calend 01'!C37)/6)&lt;='V06 Calend 01'!E37)),IF((143=('V06 Calend 01'!C37+(6*'V06 Calend 01'!E37))),('V06 Calend 01'!H37-('V06 Calend 01'!I37*('V06 Calend 01'!E37-1))),'V06 Calend 01'!I37),0))+IF((143='V06 Calend 01'!D37),'V06 Calend 01'!J37,0))</f>
        <v>0</v>
      </c>
      <c r="EZ37" s="2">
        <f>((IF((144='V06 Calend 01'!C37),('V06 Calend 01'!F37+'V06 Calend 01'!G37),0)+IF(AND(('V06 Calend 01'!E37&gt;0),(144&gt;'V06 Calend 01'!C37),(144&lt;'V06 Calend 01'!D37),(MOD((144-'V06 Calend 01'!C37),6)=0),(((144-'V06 Calend 01'!C37)/6)&lt;='V06 Calend 01'!E37)),IF((144=('V06 Calend 01'!C37+(6*'V06 Calend 01'!E37))),('V06 Calend 01'!H37-('V06 Calend 01'!I37*('V06 Calend 01'!E37-1))),'V06 Calend 01'!I37),0))+IF((144='V06 Calend 01'!D37),'V06 Calend 01'!J37,0))</f>
        <v>0</v>
      </c>
      <c r="FA37" s="2">
        <f>((IF((145='V06 Calend 01'!C37),('V06 Calend 01'!F37+'V06 Calend 01'!G37),0)+IF(AND(('V06 Calend 01'!E37&gt;0),(145&gt;'V06 Calend 01'!C37),(145&lt;'V06 Calend 01'!D37),(MOD((145-'V06 Calend 01'!C37),6)=0),(((145-'V06 Calend 01'!C37)/6)&lt;='V06 Calend 01'!E37)),IF((145=('V06 Calend 01'!C37+(6*'V06 Calend 01'!E37))),('V06 Calend 01'!H37-('V06 Calend 01'!I37*('V06 Calend 01'!E37-1))),'V06 Calend 01'!I37),0))+IF((145='V06 Calend 01'!D37),'V06 Calend 01'!J37,0))</f>
        <v>0</v>
      </c>
      <c r="FB37" s="2">
        <f>((IF((146='V06 Calend 01'!C37),('V06 Calend 01'!F37+'V06 Calend 01'!G37),0)+IF(AND(('V06 Calend 01'!E37&gt;0),(146&gt;'V06 Calend 01'!C37),(146&lt;'V06 Calend 01'!D37),(MOD((146-'V06 Calend 01'!C37),6)=0),(((146-'V06 Calend 01'!C37)/6)&lt;='V06 Calend 01'!E37)),IF((146=('V06 Calend 01'!C37+(6*'V06 Calend 01'!E37))),('V06 Calend 01'!H37-('V06 Calend 01'!I37*('V06 Calend 01'!E37-1))),'V06 Calend 01'!I37),0))+IF((146='V06 Calend 01'!D37),'V06 Calend 01'!J37,0))</f>
        <v>0</v>
      </c>
      <c r="FC37" s="2">
        <f>((IF((147='V06 Calend 01'!C37),('V06 Calend 01'!F37+'V06 Calend 01'!G37),0)+IF(AND(('V06 Calend 01'!E37&gt;0),(147&gt;'V06 Calend 01'!C37),(147&lt;'V06 Calend 01'!D37),(MOD((147-'V06 Calend 01'!C37),6)=0),(((147-'V06 Calend 01'!C37)/6)&lt;='V06 Calend 01'!E37)),IF((147=('V06 Calend 01'!C37+(6*'V06 Calend 01'!E37))),('V06 Calend 01'!H37-('V06 Calend 01'!I37*('V06 Calend 01'!E37-1))),'V06 Calend 01'!I37),0))+IF((147='V06 Calend 01'!D37),'V06 Calend 01'!J37,0))</f>
        <v>0</v>
      </c>
      <c r="FD37" s="2">
        <f>((IF((148='V06 Calend 01'!C37),('V06 Calend 01'!F37+'V06 Calend 01'!G37),0)+IF(AND(('V06 Calend 01'!E37&gt;0),(148&gt;'V06 Calend 01'!C37),(148&lt;'V06 Calend 01'!D37),(MOD((148-'V06 Calend 01'!C37),6)=0),(((148-'V06 Calend 01'!C37)/6)&lt;='V06 Calend 01'!E37)),IF((148=('V06 Calend 01'!C37+(6*'V06 Calend 01'!E37))),('V06 Calend 01'!H37-('V06 Calend 01'!I37*('V06 Calend 01'!E37-1))),'V06 Calend 01'!I37),0))+IF((148='V06 Calend 01'!D37),'V06 Calend 01'!J37,0))</f>
        <v>0</v>
      </c>
      <c r="FE37" s="2">
        <f>((IF((149='V06 Calend 01'!C37),('V06 Calend 01'!F37+'V06 Calend 01'!G37),0)+IF(AND(('V06 Calend 01'!E37&gt;0),(149&gt;'V06 Calend 01'!C37),(149&lt;'V06 Calend 01'!D37),(MOD((149-'V06 Calend 01'!C37),6)=0),(((149-'V06 Calend 01'!C37)/6)&lt;='V06 Calend 01'!E37)),IF((149=('V06 Calend 01'!C37+(6*'V06 Calend 01'!E37))),('V06 Calend 01'!H37-('V06 Calend 01'!I37*('V06 Calend 01'!E37-1))),'V06 Calend 01'!I37),0))+IF((149='V06 Calend 01'!D37),'V06 Calend 01'!J37,0))</f>
        <v>0</v>
      </c>
      <c r="FF37" s="2">
        <f>((IF((150='V06 Calend 01'!C37),('V06 Calend 01'!F37+'V06 Calend 01'!G37),0)+IF(AND(('V06 Calend 01'!E37&gt;0),(150&gt;'V06 Calend 01'!C37),(150&lt;'V06 Calend 01'!D37),(MOD((150-'V06 Calend 01'!C37),6)=0),(((150-'V06 Calend 01'!C37)/6)&lt;='V06 Calend 01'!E37)),IF((150=('V06 Calend 01'!C37+(6*'V06 Calend 01'!E37))),('V06 Calend 01'!H37-('V06 Calend 01'!I37*('V06 Calend 01'!E37-1))),'V06 Calend 01'!I37),0))+IF((150='V06 Calend 01'!D37),'V06 Calend 01'!J37,0))</f>
        <v>0</v>
      </c>
      <c r="FG37" s="2">
        <f>((IF((151='V06 Calend 01'!C37),('V06 Calend 01'!F37+'V06 Calend 01'!G37),0)+IF(AND(('V06 Calend 01'!E37&gt;0),(151&gt;'V06 Calend 01'!C37),(151&lt;'V06 Calend 01'!D37),(MOD((151-'V06 Calend 01'!C37),6)=0),(((151-'V06 Calend 01'!C37)/6)&lt;='V06 Calend 01'!E37)),IF((151=('V06 Calend 01'!C37+(6*'V06 Calend 01'!E37))),('V06 Calend 01'!H37-('V06 Calend 01'!I37*('V06 Calend 01'!E37-1))),'V06 Calend 01'!I37),0))+IF((151='V06 Calend 01'!D37),'V06 Calend 01'!J37,0))</f>
        <v>0</v>
      </c>
      <c r="FH37" s="2">
        <f>((IF((152='V06 Calend 01'!C37),('V06 Calend 01'!F37+'V06 Calend 01'!G37),0)+IF(AND(('V06 Calend 01'!E37&gt;0),(152&gt;'V06 Calend 01'!C37),(152&lt;'V06 Calend 01'!D37),(MOD((152-'V06 Calend 01'!C37),6)=0),(((152-'V06 Calend 01'!C37)/6)&lt;='V06 Calend 01'!E37)),IF((152=('V06 Calend 01'!C37+(6*'V06 Calend 01'!E37))),('V06 Calend 01'!H37-('V06 Calend 01'!I37*('V06 Calend 01'!E37-1))),'V06 Calend 01'!I37),0))+IF((152='V06 Calend 01'!D37),'V06 Calend 01'!J37,0))</f>
        <v>0</v>
      </c>
      <c r="FI37" s="2">
        <f>((IF((153='V06 Calend 01'!C37),('V06 Calend 01'!F37+'V06 Calend 01'!G37),0)+IF(AND(('V06 Calend 01'!E37&gt;0),(153&gt;'V06 Calend 01'!C37),(153&lt;'V06 Calend 01'!D37),(MOD((153-'V06 Calend 01'!C37),6)=0),(((153-'V06 Calend 01'!C37)/6)&lt;='V06 Calend 01'!E37)),IF((153=('V06 Calend 01'!C37+(6*'V06 Calend 01'!E37))),('V06 Calend 01'!H37-('V06 Calend 01'!I37*('V06 Calend 01'!E37-1))),'V06 Calend 01'!I37),0))+IF((153='V06 Calend 01'!D37),'V06 Calend 01'!J37,0))</f>
        <v>0</v>
      </c>
      <c r="FJ37" s="2">
        <f>((IF((154='V06 Calend 01'!C37),('V06 Calend 01'!F37+'V06 Calend 01'!G37),0)+IF(AND(('V06 Calend 01'!E37&gt;0),(154&gt;'V06 Calend 01'!C37),(154&lt;'V06 Calend 01'!D37),(MOD((154-'V06 Calend 01'!C37),6)=0),(((154-'V06 Calend 01'!C37)/6)&lt;='V06 Calend 01'!E37)),IF((154=('V06 Calend 01'!C37+(6*'V06 Calend 01'!E37))),('V06 Calend 01'!H37-('V06 Calend 01'!I37*('V06 Calend 01'!E37-1))),'V06 Calend 01'!I37),0))+IF((154='V06 Calend 01'!D37),'V06 Calend 01'!J37,0))</f>
        <v>0</v>
      </c>
      <c r="FK37" s="2">
        <f>((IF((155='V06 Calend 01'!C37),('V06 Calend 01'!F37+'V06 Calend 01'!G37),0)+IF(AND(('V06 Calend 01'!E37&gt;0),(155&gt;'V06 Calend 01'!C37),(155&lt;'V06 Calend 01'!D37),(MOD((155-'V06 Calend 01'!C37),6)=0),(((155-'V06 Calend 01'!C37)/6)&lt;='V06 Calend 01'!E37)),IF((155=('V06 Calend 01'!C37+(6*'V06 Calend 01'!E37))),('V06 Calend 01'!H37-('V06 Calend 01'!I37*('V06 Calend 01'!E37-1))),'V06 Calend 01'!I37),0))+IF((155='V06 Calend 01'!D37),'V06 Calend 01'!J37,0))</f>
        <v>0</v>
      </c>
      <c r="FL37" s="2">
        <f>((IF((156='V06 Calend 01'!C37),('V06 Calend 01'!F37+'V06 Calend 01'!G37),0)+IF(AND(('V06 Calend 01'!E37&gt;0),(156&gt;'V06 Calend 01'!C37),(156&lt;'V06 Calend 01'!D37),(MOD((156-'V06 Calend 01'!C37),6)=0),(((156-'V06 Calend 01'!C37)/6)&lt;='V06 Calend 01'!E37)),IF((156=('V06 Calend 01'!C37+(6*'V06 Calend 01'!E37))),('V06 Calend 01'!H37-('V06 Calend 01'!I37*('V06 Calend 01'!E37-1))),'V06 Calend 01'!I37),0))+IF((156='V06 Calend 01'!D37),'V06 Calend 01'!J37,0))</f>
        <v>0</v>
      </c>
      <c r="FM37" s="2">
        <f>((IF((157='V06 Calend 01'!C37),('V06 Calend 01'!F37+'V06 Calend 01'!G37),0)+IF(AND(('V06 Calend 01'!E37&gt;0),(157&gt;'V06 Calend 01'!C37),(157&lt;'V06 Calend 01'!D37),(MOD((157-'V06 Calend 01'!C37),6)=0),(((157-'V06 Calend 01'!C37)/6)&lt;='V06 Calend 01'!E37)),IF((157=('V06 Calend 01'!C37+(6*'V06 Calend 01'!E37))),('V06 Calend 01'!H37-('V06 Calend 01'!I37*('V06 Calend 01'!E37-1))),'V06 Calend 01'!I37),0))+IF((157='V06 Calend 01'!D37),'V06 Calend 01'!J37,0))</f>
        <v>0</v>
      </c>
      <c r="FN37" s="2">
        <f>((IF((158='V06 Calend 01'!C37),('V06 Calend 01'!F37+'V06 Calend 01'!G37),0)+IF(AND(('V06 Calend 01'!E37&gt;0),(158&gt;'V06 Calend 01'!C37),(158&lt;'V06 Calend 01'!D37),(MOD((158-'V06 Calend 01'!C37),6)=0),(((158-'V06 Calend 01'!C37)/6)&lt;='V06 Calend 01'!E37)),IF((158=('V06 Calend 01'!C37+(6*'V06 Calend 01'!E37))),('V06 Calend 01'!H37-('V06 Calend 01'!I37*('V06 Calend 01'!E37-1))),'V06 Calend 01'!I37),0))+IF((158='V06 Calend 01'!D37),'V06 Calend 01'!J37,0))</f>
        <v>0</v>
      </c>
      <c r="FO37" s="2">
        <f>((IF((159='V06 Calend 01'!C37),('V06 Calend 01'!F37+'V06 Calend 01'!G37),0)+IF(AND(('V06 Calend 01'!E37&gt;0),(159&gt;'V06 Calend 01'!C37),(159&lt;'V06 Calend 01'!D37),(MOD((159-'V06 Calend 01'!C37),6)=0),(((159-'V06 Calend 01'!C37)/6)&lt;='V06 Calend 01'!E37)),IF((159=('V06 Calend 01'!C37+(6*'V06 Calend 01'!E37))),('V06 Calend 01'!H37-('V06 Calend 01'!I37*('V06 Calend 01'!E37-1))),'V06 Calend 01'!I37),0))+IF((159='V06 Calend 01'!D37),'V06 Calend 01'!J37,0))</f>
        <v>0</v>
      </c>
      <c r="FP37" s="2">
        <f>((IF((160='V06 Calend 01'!C37),('V06 Calend 01'!F37+'V06 Calend 01'!G37),0)+IF(AND(('V06 Calend 01'!E37&gt;0),(160&gt;'V06 Calend 01'!C37),(160&lt;'V06 Calend 01'!D37),(MOD((160-'V06 Calend 01'!C37),6)=0),(((160-'V06 Calend 01'!C37)/6)&lt;='V06 Calend 01'!E37)),IF((160=('V06 Calend 01'!C37+(6*'V06 Calend 01'!E37))),('V06 Calend 01'!H37-('V06 Calend 01'!I37*('V06 Calend 01'!E37-1))),'V06 Calend 01'!I37),0))+IF((160='V06 Calend 01'!D37),'V06 Calend 01'!J37,0))</f>
        <v>0</v>
      </c>
      <c r="FQ37" s="2">
        <f>((IF((161='V06 Calend 01'!C37),('V06 Calend 01'!F37+'V06 Calend 01'!G37),0)+IF(AND(('V06 Calend 01'!E37&gt;0),(161&gt;'V06 Calend 01'!C37),(161&lt;'V06 Calend 01'!D37),(MOD((161-'V06 Calend 01'!C37),6)=0),(((161-'V06 Calend 01'!C37)/6)&lt;='V06 Calend 01'!E37)),IF((161=('V06 Calend 01'!C37+(6*'V06 Calend 01'!E37))),('V06 Calend 01'!H37-('V06 Calend 01'!I37*('V06 Calend 01'!E37-1))),'V06 Calend 01'!I37),0))+IF((161='V06 Calend 01'!D37),'V06 Calend 01'!J37,0))</f>
        <v>0</v>
      </c>
      <c r="FR37" s="2">
        <f>((IF((162='V06 Calend 01'!C37),('V06 Calend 01'!F37+'V06 Calend 01'!G37),0)+IF(AND(('V06 Calend 01'!E37&gt;0),(162&gt;'V06 Calend 01'!C37),(162&lt;'V06 Calend 01'!D37),(MOD((162-'V06 Calend 01'!C37),6)=0),(((162-'V06 Calend 01'!C37)/6)&lt;='V06 Calend 01'!E37)),IF((162=('V06 Calend 01'!C37+(6*'V06 Calend 01'!E37))),('V06 Calend 01'!H37-('V06 Calend 01'!I37*('V06 Calend 01'!E37-1))),'V06 Calend 01'!I37),0))+IF((162='V06 Calend 01'!D37),'V06 Calend 01'!J37,0))</f>
        <v>0</v>
      </c>
      <c r="FS37" s="2">
        <f>((IF((163='V06 Calend 01'!C37),('V06 Calend 01'!F37+'V06 Calend 01'!G37),0)+IF(AND(('V06 Calend 01'!E37&gt;0),(163&gt;'V06 Calend 01'!C37),(163&lt;'V06 Calend 01'!D37),(MOD((163-'V06 Calend 01'!C37),6)=0),(((163-'V06 Calend 01'!C37)/6)&lt;='V06 Calend 01'!E37)),IF((163=('V06 Calend 01'!C37+(6*'V06 Calend 01'!E37))),('V06 Calend 01'!H37-('V06 Calend 01'!I37*('V06 Calend 01'!E37-1))),'V06 Calend 01'!I37),0))+IF((163='V06 Calend 01'!D37),'V06 Calend 01'!J37,0))</f>
        <v>0</v>
      </c>
      <c r="FT37" s="2">
        <f>((IF((164='V06 Calend 01'!C37),('V06 Calend 01'!F37+'V06 Calend 01'!G37),0)+IF(AND(('V06 Calend 01'!E37&gt;0),(164&gt;'V06 Calend 01'!C37),(164&lt;'V06 Calend 01'!D37),(MOD((164-'V06 Calend 01'!C37),6)=0),(((164-'V06 Calend 01'!C37)/6)&lt;='V06 Calend 01'!E37)),IF((164=('V06 Calend 01'!C37+(6*'V06 Calend 01'!E37))),('V06 Calend 01'!H37-('V06 Calend 01'!I37*('V06 Calend 01'!E37-1))),'V06 Calend 01'!I37),0))+IF((164='V06 Calend 01'!D37),'V06 Calend 01'!J37,0))</f>
        <v>0</v>
      </c>
      <c r="FU37" s="2">
        <f>((IF((165='V06 Calend 01'!C37),('V06 Calend 01'!F37+'V06 Calend 01'!G37),0)+IF(AND(('V06 Calend 01'!E37&gt;0),(165&gt;'V06 Calend 01'!C37),(165&lt;'V06 Calend 01'!D37),(MOD((165-'V06 Calend 01'!C37),6)=0),(((165-'V06 Calend 01'!C37)/6)&lt;='V06 Calend 01'!E37)),IF((165=('V06 Calend 01'!C37+(6*'V06 Calend 01'!E37))),('V06 Calend 01'!H37-('V06 Calend 01'!I37*('V06 Calend 01'!E37-1))),'V06 Calend 01'!I37),0))+IF((165='V06 Calend 01'!D37),'V06 Calend 01'!J37,0))</f>
        <v>0</v>
      </c>
      <c r="FV37" s="2">
        <f>((IF((166='V06 Calend 01'!C37),('V06 Calend 01'!F37+'V06 Calend 01'!G37),0)+IF(AND(('V06 Calend 01'!E37&gt;0),(166&gt;'V06 Calend 01'!C37),(166&lt;'V06 Calend 01'!D37),(MOD((166-'V06 Calend 01'!C37),6)=0),(((166-'V06 Calend 01'!C37)/6)&lt;='V06 Calend 01'!E37)),IF((166=('V06 Calend 01'!C37+(6*'V06 Calend 01'!E37))),('V06 Calend 01'!H37-('V06 Calend 01'!I37*('V06 Calend 01'!E37-1))),'V06 Calend 01'!I37),0))+IF((166='V06 Calend 01'!D37),'V06 Calend 01'!J37,0))</f>
        <v>0</v>
      </c>
      <c r="FW37" s="2">
        <f>((IF((167='V06 Calend 01'!C37),('V06 Calend 01'!F37+'V06 Calend 01'!G37),0)+IF(AND(('V06 Calend 01'!E37&gt;0),(167&gt;'V06 Calend 01'!C37),(167&lt;'V06 Calend 01'!D37),(MOD((167-'V06 Calend 01'!C37),6)=0),(((167-'V06 Calend 01'!C37)/6)&lt;='V06 Calend 01'!E37)),IF((167=('V06 Calend 01'!C37+(6*'V06 Calend 01'!E37))),('V06 Calend 01'!H37-('V06 Calend 01'!I37*('V06 Calend 01'!E37-1))),'V06 Calend 01'!I37),0))+IF((167='V06 Calend 01'!D37),'V06 Calend 01'!J37,0))</f>
        <v>0</v>
      </c>
      <c r="FX37" s="2">
        <f>((IF((168='V06 Calend 01'!C37),('V06 Calend 01'!F37+'V06 Calend 01'!G37),0)+IF(AND(('V06 Calend 01'!E37&gt;0),(168&gt;'V06 Calend 01'!C37),(168&lt;'V06 Calend 01'!D37),(MOD((168-'V06 Calend 01'!C37),6)=0),(((168-'V06 Calend 01'!C37)/6)&lt;='V06 Calend 01'!E37)),IF((168=('V06 Calend 01'!C37+(6*'V06 Calend 01'!E37))),('V06 Calend 01'!H37-('V06 Calend 01'!I37*('V06 Calend 01'!E37-1))),'V06 Calend 01'!I37),0))+IF((168='V06 Calend 01'!D37),'V06 Calend 01'!J37,0))</f>
        <v>0</v>
      </c>
      <c r="FY37" s="2">
        <f>((IF((169='V06 Calend 01'!C37),('V06 Calend 01'!F37+'V06 Calend 01'!G37),0)+IF(AND(('V06 Calend 01'!E37&gt;0),(169&gt;'V06 Calend 01'!C37),(169&lt;'V06 Calend 01'!D37),(MOD((169-'V06 Calend 01'!C37),6)=0),(((169-'V06 Calend 01'!C37)/6)&lt;='V06 Calend 01'!E37)),IF((169=('V06 Calend 01'!C37+(6*'V06 Calend 01'!E37))),('V06 Calend 01'!H37-('V06 Calend 01'!I37*('V06 Calend 01'!E37-1))),'V06 Calend 01'!I37),0))+IF((169='V06 Calend 01'!D37),'V06 Calend 01'!J37,0))</f>
        <v>0</v>
      </c>
      <c r="FZ37" s="2">
        <f>((IF((170='V06 Calend 01'!C37),('V06 Calend 01'!F37+'V06 Calend 01'!G37),0)+IF(AND(('V06 Calend 01'!E37&gt;0),(170&gt;'V06 Calend 01'!C37),(170&lt;'V06 Calend 01'!D37),(MOD((170-'V06 Calend 01'!C37),6)=0),(((170-'V06 Calend 01'!C37)/6)&lt;='V06 Calend 01'!E37)),IF((170=('V06 Calend 01'!C37+(6*'V06 Calend 01'!E37))),('V06 Calend 01'!H37-('V06 Calend 01'!I37*('V06 Calend 01'!E37-1))),'V06 Calend 01'!I37),0))+IF((170='V06 Calend 01'!D37),'V06 Calend 01'!J37,0))</f>
        <v>0</v>
      </c>
      <c r="GA37" s="2">
        <f>((IF((171='V06 Calend 01'!C37),('V06 Calend 01'!F37+'V06 Calend 01'!G37),0)+IF(AND(('V06 Calend 01'!E37&gt;0),(171&gt;'V06 Calend 01'!C37),(171&lt;'V06 Calend 01'!D37),(MOD((171-'V06 Calend 01'!C37),6)=0),(((171-'V06 Calend 01'!C37)/6)&lt;='V06 Calend 01'!E37)),IF((171=('V06 Calend 01'!C37+(6*'V06 Calend 01'!E37))),('V06 Calend 01'!H37-('V06 Calend 01'!I37*('V06 Calend 01'!E37-1))),'V06 Calend 01'!I37),0))+IF((171='V06 Calend 01'!D37),'V06 Calend 01'!J37,0))</f>
        <v>0</v>
      </c>
      <c r="GB37" s="2">
        <f>((IF((172='V06 Calend 01'!C37),('V06 Calend 01'!F37+'V06 Calend 01'!G37),0)+IF(AND(('V06 Calend 01'!E37&gt;0),(172&gt;'V06 Calend 01'!C37),(172&lt;'V06 Calend 01'!D37),(MOD((172-'V06 Calend 01'!C37),6)=0),(((172-'V06 Calend 01'!C37)/6)&lt;='V06 Calend 01'!E37)),IF((172=('V06 Calend 01'!C37+(6*'V06 Calend 01'!E37))),('V06 Calend 01'!H37-('V06 Calend 01'!I37*('V06 Calend 01'!E37-1))),'V06 Calend 01'!I37),0))+IF((172='V06 Calend 01'!D37),'V06 Calend 01'!J37,0))</f>
        <v>0</v>
      </c>
      <c r="GC37" s="2">
        <f>((IF((173='V06 Calend 01'!C37),('V06 Calend 01'!F37+'V06 Calend 01'!G37),0)+IF(AND(('V06 Calend 01'!E37&gt;0),(173&gt;'V06 Calend 01'!C37),(173&lt;'V06 Calend 01'!D37),(MOD((173-'V06 Calend 01'!C37),6)=0),(((173-'V06 Calend 01'!C37)/6)&lt;='V06 Calend 01'!E37)),IF((173=('V06 Calend 01'!C37+(6*'V06 Calend 01'!E37))),('V06 Calend 01'!H37-('V06 Calend 01'!I37*('V06 Calend 01'!E37-1))),'V06 Calend 01'!I37),0))+IF((173='V06 Calend 01'!D37),'V06 Calend 01'!J37,0))</f>
        <v>0</v>
      </c>
      <c r="GD37" s="2">
        <f>((IF((174='V06 Calend 01'!C37),('V06 Calend 01'!F37+'V06 Calend 01'!G37),0)+IF(AND(('V06 Calend 01'!E37&gt;0),(174&gt;'V06 Calend 01'!C37),(174&lt;'V06 Calend 01'!D37),(MOD((174-'V06 Calend 01'!C37),6)=0),(((174-'V06 Calend 01'!C37)/6)&lt;='V06 Calend 01'!E37)),IF((174=('V06 Calend 01'!C37+(6*'V06 Calend 01'!E37))),('V06 Calend 01'!H37-('V06 Calend 01'!I37*('V06 Calend 01'!E37-1))),'V06 Calend 01'!I37),0))+IF((174='V06 Calend 01'!D37),'V06 Calend 01'!J37,0))</f>
        <v>0</v>
      </c>
      <c r="GE37" s="2">
        <f>((IF((175='V06 Calend 01'!C37),('V06 Calend 01'!F37+'V06 Calend 01'!G37),0)+IF(AND(('V06 Calend 01'!E37&gt;0),(175&gt;'V06 Calend 01'!C37),(175&lt;'V06 Calend 01'!D37),(MOD((175-'V06 Calend 01'!C37),6)=0),(((175-'V06 Calend 01'!C37)/6)&lt;='V06 Calend 01'!E37)),IF((175=('V06 Calend 01'!C37+(6*'V06 Calend 01'!E37))),('V06 Calend 01'!H37-('V06 Calend 01'!I37*('V06 Calend 01'!E37-1))),'V06 Calend 01'!I37),0))+IF((175='V06 Calend 01'!D37),'V06 Calend 01'!J37,0))</f>
        <v>0</v>
      </c>
      <c r="GF37" s="2">
        <f>((IF((176='V06 Calend 01'!C37),('V06 Calend 01'!F37+'V06 Calend 01'!G37),0)+IF(AND(('V06 Calend 01'!E37&gt;0),(176&gt;'V06 Calend 01'!C37),(176&lt;'V06 Calend 01'!D37),(MOD((176-'V06 Calend 01'!C37),6)=0),(((176-'V06 Calend 01'!C37)/6)&lt;='V06 Calend 01'!E37)),IF((176=('V06 Calend 01'!C37+(6*'V06 Calend 01'!E37))),('V06 Calend 01'!H37-('V06 Calend 01'!I37*('V06 Calend 01'!E37-1))),'V06 Calend 01'!I37),0))+IF((176='V06 Calend 01'!D37),'V06 Calend 01'!J37,0))</f>
        <v>0</v>
      </c>
      <c r="GG37" s="2">
        <f>((IF((177='V06 Calend 01'!C37),('V06 Calend 01'!F37+'V06 Calend 01'!G37),0)+IF(AND(('V06 Calend 01'!E37&gt;0),(177&gt;'V06 Calend 01'!C37),(177&lt;'V06 Calend 01'!D37),(MOD((177-'V06 Calend 01'!C37),6)=0),(((177-'V06 Calend 01'!C37)/6)&lt;='V06 Calend 01'!E37)),IF((177=('V06 Calend 01'!C37+(6*'V06 Calend 01'!E37))),('V06 Calend 01'!H37-('V06 Calend 01'!I37*('V06 Calend 01'!E37-1))),'V06 Calend 01'!I37),0))+IF((177='V06 Calend 01'!D37),'V06 Calend 01'!J37,0))</f>
        <v>0</v>
      </c>
      <c r="GH37" s="2">
        <f>((IF((178='V06 Calend 01'!C37),('V06 Calend 01'!F37+'V06 Calend 01'!G37),0)+IF(AND(('V06 Calend 01'!E37&gt;0),(178&gt;'V06 Calend 01'!C37),(178&lt;'V06 Calend 01'!D37),(MOD((178-'V06 Calend 01'!C37),6)=0),(((178-'V06 Calend 01'!C37)/6)&lt;='V06 Calend 01'!E37)),IF((178=('V06 Calend 01'!C37+(6*'V06 Calend 01'!E37))),('V06 Calend 01'!H37-('V06 Calend 01'!I37*('V06 Calend 01'!E37-1))),'V06 Calend 01'!I37),0))+IF((178='V06 Calend 01'!D37),'V06 Calend 01'!J37,0))</f>
        <v>0</v>
      </c>
      <c r="GI37" s="2">
        <f>((IF((179='V06 Calend 01'!C37),('V06 Calend 01'!F37+'V06 Calend 01'!G37),0)+IF(AND(('V06 Calend 01'!E37&gt;0),(179&gt;'V06 Calend 01'!C37),(179&lt;'V06 Calend 01'!D37),(MOD((179-'V06 Calend 01'!C37),6)=0),(((179-'V06 Calend 01'!C37)/6)&lt;='V06 Calend 01'!E37)),IF((179=('V06 Calend 01'!C37+(6*'V06 Calend 01'!E37))),('V06 Calend 01'!H37-('V06 Calend 01'!I37*('V06 Calend 01'!E37-1))),'V06 Calend 01'!I37),0))+IF((179='V06 Calend 01'!D37),'V06 Calend 01'!J37,0))</f>
        <v>0</v>
      </c>
      <c r="GJ37" s="2">
        <f>((IF((180='V06 Calend 01'!C37),('V06 Calend 01'!F37+'V06 Calend 01'!G37),0)+IF(AND(('V06 Calend 01'!E37&gt;0),(180&gt;'V06 Calend 01'!C37),(180&lt;'V06 Calend 01'!D37),(MOD((180-'V06 Calend 01'!C37),6)=0),(((180-'V06 Calend 01'!C37)/6)&lt;='V06 Calend 01'!E37)),IF((180=('V06 Calend 01'!C37+(6*'V06 Calend 01'!E37))),('V06 Calend 01'!H37-('V06 Calend 01'!I37*('V06 Calend 01'!E37-1))),'V06 Calend 01'!I37),0))+IF((180='V06 Calend 01'!D37),'V06 Calend 01'!J37,0))</f>
        <v>0</v>
      </c>
    </row>
    <row r="38" spans="1:192">
      <c r="A38" s="3" t="str">
        <f>'V06 Unidades'!$A$38</f>
        <v>504</v>
      </c>
      <c r="B38" s="2">
        <f>'V06 Unidades'!$H$38</f>
        <v>284485.34</v>
      </c>
      <c r="C38" s="4">
        <f>('V06 Unidades'!$I$38+'V06 Controlos'!$B$37)</f>
        <v>22</v>
      </c>
      <c r="D38" s="4">
        <f>IF(('V06 Controlos'!$B$38&gt;0),MAX(('V06 Unidades'!$L$38+'V06 Controlos'!$B$37),(30+'V06 Controlos'!$B$38)),('V06 Unidades'!$L$38+'V06 Controlos'!$B$37))</f>
        <v>29</v>
      </c>
      <c r="E38" s="4">
        <f>MAX(0,INT(((('V06 Calend 01'!D38-'V06 Calend 01'!C38)-1)/6)))</f>
        <v>1</v>
      </c>
      <c r="F38" s="2">
        <f>ROUND(('V06 Calend 01'!B38*0.05),2)</f>
        <v>14224.27</v>
      </c>
      <c r="G38" s="2">
        <f>ROUND(('V06 Calend 01'!B38*0.2),2)</f>
        <v>56897.07</v>
      </c>
      <c r="H38" s="2">
        <f>ROUND(('V06 Calend 01'!B38*0.55),2)</f>
        <v>156466.94</v>
      </c>
      <c r="I38" s="2">
        <f>ROUND(('V06 Calend 01'!H38/MAX(1,'V06 Calend 01'!E38)),2)</f>
        <v>156466.94</v>
      </c>
      <c r="J38" s="2">
        <f>((('V06 Calend 01'!B38-'V06 Calend 01'!F38)-'V06 Calend 01'!G38)-'V06 Calend 01'!H38)</f>
        <v>56897.06</v>
      </c>
      <c r="K38" s="2">
        <f>('V06 Calend 01'!B38*0.025)</f>
        <v>7112.133500000001</v>
      </c>
      <c r="L38" t="s">
        <v>378</v>
      </c>
      <c r="M38" s="2">
        <f>((IF((1='V06 Calend 01'!C38),('V06 Calend 01'!F38+'V06 Calend 01'!G38),0)+IF(AND(('V06 Calend 01'!E38&gt;0),(1&gt;'V06 Calend 01'!C38),(1&lt;'V06 Calend 01'!D38),(MOD((1-'V06 Calend 01'!C38),6)=0),(((1-'V06 Calend 01'!C38)/6)&lt;='V06 Calend 01'!E38)),IF((1=('V06 Calend 01'!C38+(6*'V06 Calend 01'!E38))),('V06 Calend 01'!H38-('V06 Calend 01'!I38*('V06 Calend 01'!E38-1))),'V06 Calend 01'!I38),0))+IF((1='V06 Calend 01'!D38),'V06 Calend 01'!J38,0))</f>
        <v>0</v>
      </c>
      <c r="N38" s="2">
        <f>((IF((2='V06 Calend 01'!C38),('V06 Calend 01'!F38+'V06 Calend 01'!G38),0)+IF(AND(('V06 Calend 01'!E38&gt;0),(2&gt;'V06 Calend 01'!C38),(2&lt;'V06 Calend 01'!D38),(MOD((2-'V06 Calend 01'!C38),6)=0),(((2-'V06 Calend 01'!C38)/6)&lt;='V06 Calend 01'!E38)),IF((2=('V06 Calend 01'!C38+(6*'V06 Calend 01'!E38))),('V06 Calend 01'!H38-('V06 Calend 01'!I38*('V06 Calend 01'!E38-1))),'V06 Calend 01'!I38),0))+IF((2='V06 Calend 01'!D38),'V06 Calend 01'!J38,0))</f>
        <v>0</v>
      </c>
      <c r="O38" s="2">
        <f>((IF((3='V06 Calend 01'!C38),('V06 Calend 01'!F38+'V06 Calend 01'!G38),0)+IF(AND(('V06 Calend 01'!E38&gt;0),(3&gt;'V06 Calend 01'!C38),(3&lt;'V06 Calend 01'!D38),(MOD((3-'V06 Calend 01'!C38),6)=0),(((3-'V06 Calend 01'!C38)/6)&lt;='V06 Calend 01'!E38)),IF((3=('V06 Calend 01'!C38+(6*'V06 Calend 01'!E38))),('V06 Calend 01'!H38-('V06 Calend 01'!I38*('V06 Calend 01'!E38-1))),'V06 Calend 01'!I38),0))+IF((3='V06 Calend 01'!D38),'V06 Calend 01'!J38,0))</f>
        <v>0</v>
      </c>
      <c r="P38" s="2">
        <f>((IF((4='V06 Calend 01'!C38),('V06 Calend 01'!F38+'V06 Calend 01'!G38),0)+IF(AND(('V06 Calend 01'!E38&gt;0),(4&gt;'V06 Calend 01'!C38),(4&lt;'V06 Calend 01'!D38),(MOD((4-'V06 Calend 01'!C38),6)=0),(((4-'V06 Calend 01'!C38)/6)&lt;='V06 Calend 01'!E38)),IF((4=('V06 Calend 01'!C38+(6*'V06 Calend 01'!E38))),('V06 Calend 01'!H38-('V06 Calend 01'!I38*('V06 Calend 01'!E38-1))),'V06 Calend 01'!I38),0))+IF((4='V06 Calend 01'!D38),'V06 Calend 01'!J38,0))</f>
        <v>0</v>
      </c>
      <c r="Q38" s="2">
        <f>((IF((5='V06 Calend 01'!C38),('V06 Calend 01'!F38+'V06 Calend 01'!G38),0)+IF(AND(('V06 Calend 01'!E38&gt;0),(5&gt;'V06 Calend 01'!C38),(5&lt;'V06 Calend 01'!D38),(MOD((5-'V06 Calend 01'!C38),6)=0),(((5-'V06 Calend 01'!C38)/6)&lt;='V06 Calend 01'!E38)),IF((5=('V06 Calend 01'!C38+(6*'V06 Calend 01'!E38))),('V06 Calend 01'!H38-('V06 Calend 01'!I38*('V06 Calend 01'!E38-1))),'V06 Calend 01'!I38),0))+IF((5='V06 Calend 01'!D38),'V06 Calend 01'!J38,0))</f>
        <v>0</v>
      </c>
      <c r="R38" s="2">
        <f>((IF((6='V06 Calend 01'!C38),('V06 Calend 01'!F38+'V06 Calend 01'!G38),0)+IF(AND(('V06 Calend 01'!E38&gt;0),(6&gt;'V06 Calend 01'!C38),(6&lt;'V06 Calend 01'!D38),(MOD((6-'V06 Calend 01'!C38),6)=0),(((6-'V06 Calend 01'!C38)/6)&lt;='V06 Calend 01'!E38)),IF((6=('V06 Calend 01'!C38+(6*'V06 Calend 01'!E38))),('V06 Calend 01'!H38-('V06 Calend 01'!I38*('V06 Calend 01'!E38-1))),'V06 Calend 01'!I38),0))+IF((6='V06 Calend 01'!D38),'V06 Calend 01'!J38,0))</f>
        <v>0</v>
      </c>
      <c r="S38" s="2">
        <f>((IF((7='V06 Calend 01'!C38),('V06 Calend 01'!F38+'V06 Calend 01'!G38),0)+IF(AND(('V06 Calend 01'!E38&gt;0),(7&gt;'V06 Calend 01'!C38),(7&lt;'V06 Calend 01'!D38),(MOD((7-'V06 Calend 01'!C38),6)=0),(((7-'V06 Calend 01'!C38)/6)&lt;='V06 Calend 01'!E38)),IF((7=('V06 Calend 01'!C38+(6*'V06 Calend 01'!E38))),('V06 Calend 01'!H38-('V06 Calend 01'!I38*('V06 Calend 01'!E38-1))),'V06 Calend 01'!I38),0))+IF((7='V06 Calend 01'!D38),'V06 Calend 01'!J38,0))</f>
        <v>0</v>
      </c>
      <c r="T38" s="2">
        <f>((IF((8='V06 Calend 01'!C38),('V06 Calend 01'!F38+'V06 Calend 01'!G38),0)+IF(AND(('V06 Calend 01'!E38&gt;0),(8&gt;'V06 Calend 01'!C38),(8&lt;'V06 Calend 01'!D38),(MOD((8-'V06 Calend 01'!C38),6)=0),(((8-'V06 Calend 01'!C38)/6)&lt;='V06 Calend 01'!E38)),IF((8=('V06 Calend 01'!C38+(6*'V06 Calend 01'!E38))),('V06 Calend 01'!H38-('V06 Calend 01'!I38*('V06 Calend 01'!E38-1))),'V06 Calend 01'!I38),0))+IF((8='V06 Calend 01'!D38),'V06 Calend 01'!J38,0))</f>
        <v>0</v>
      </c>
      <c r="U38" s="2">
        <f>((IF((9='V06 Calend 01'!C38),('V06 Calend 01'!F38+'V06 Calend 01'!G38),0)+IF(AND(('V06 Calend 01'!E38&gt;0),(9&gt;'V06 Calend 01'!C38),(9&lt;'V06 Calend 01'!D38),(MOD((9-'V06 Calend 01'!C38),6)=0),(((9-'V06 Calend 01'!C38)/6)&lt;='V06 Calend 01'!E38)),IF((9=('V06 Calend 01'!C38+(6*'V06 Calend 01'!E38))),('V06 Calend 01'!H38-('V06 Calend 01'!I38*('V06 Calend 01'!E38-1))),'V06 Calend 01'!I38),0))+IF((9='V06 Calend 01'!D38),'V06 Calend 01'!J38,0))</f>
        <v>0</v>
      </c>
      <c r="V38" s="2">
        <f>((IF((10='V06 Calend 01'!C38),('V06 Calend 01'!F38+'V06 Calend 01'!G38),0)+IF(AND(('V06 Calend 01'!E38&gt;0),(10&gt;'V06 Calend 01'!C38),(10&lt;'V06 Calend 01'!D38),(MOD((10-'V06 Calend 01'!C38),6)=0),(((10-'V06 Calend 01'!C38)/6)&lt;='V06 Calend 01'!E38)),IF((10=('V06 Calend 01'!C38+(6*'V06 Calend 01'!E38))),('V06 Calend 01'!H38-('V06 Calend 01'!I38*('V06 Calend 01'!E38-1))),'V06 Calend 01'!I38),0))+IF((10='V06 Calend 01'!D38),'V06 Calend 01'!J38,0))</f>
        <v>0</v>
      </c>
      <c r="W38" s="2">
        <f>((IF((11='V06 Calend 01'!C38),('V06 Calend 01'!F38+'V06 Calend 01'!G38),0)+IF(AND(('V06 Calend 01'!E38&gt;0),(11&gt;'V06 Calend 01'!C38),(11&lt;'V06 Calend 01'!D38),(MOD((11-'V06 Calend 01'!C38),6)=0),(((11-'V06 Calend 01'!C38)/6)&lt;='V06 Calend 01'!E38)),IF((11=('V06 Calend 01'!C38+(6*'V06 Calend 01'!E38))),('V06 Calend 01'!H38-('V06 Calend 01'!I38*('V06 Calend 01'!E38-1))),'V06 Calend 01'!I38),0))+IF((11='V06 Calend 01'!D38),'V06 Calend 01'!J38,0))</f>
        <v>0</v>
      </c>
      <c r="X38" s="2">
        <f>((IF((12='V06 Calend 01'!C38),('V06 Calend 01'!F38+'V06 Calend 01'!G38),0)+IF(AND(('V06 Calend 01'!E38&gt;0),(12&gt;'V06 Calend 01'!C38),(12&lt;'V06 Calend 01'!D38),(MOD((12-'V06 Calend 01'!C38),6)=0),(((12-'V06 Calend 01'!C38)/6)&lt;='V06 Calend 01'!E38)),IF((12=('V06 Calend 01'!C38+(6*'V06 Calend 01'!E38))),('V06 Calend 01'!H38-('V06 Calend 01'!I38*('V06 Calend 01'!E38-1))),'V06 Calend 01'!I38),0))+IF((12='V06 Calend 01'!D38),'V06 Calend 01'!J38,0))</f>
        <v>0</v>
      </c>
      <c r="Y38" s="2">
        <f>((IF((13='V06 Calend 01'!C38),('V06 Calend 01'!F38+'V06 Calend 01'!G38),0)+IF(AND(('V06 Calend 01'!E38&gt;0),(13&gt;'V06 Calend 01'!C38),(13&lt;'V06 Calend 01'!D38),(MOD((13-'V06 Calend 01'!C38),6)=0),(((13-'V06 Calend 01'!C38)/6)&lt;='V06 Calend 01'!E38)),IF((13=('V06 Calend 01'!C38+(6*'V06 Calend 01'!E38))),('V06 Calend 01'!H38-('V06 Calend 01'!I38*('V06 Calend 01'!E38-1))),'V06 Calend 01'!I38),0))+IF((13='V06 Calend 01'!D38),'V06 Calend 01'!J38,0))</f>
        <v>0</v>
      </c>
      <c r="Z38" s="2">
        <f>((IF((14='V06 Calend 01'!C38),('V06 Calend 01'!F38+'V06 Calend 01'!G38),0)+IF(AND(('V06 Calend 01'!E38&gt;0),(14&gt;'V06 Calend 01'!C38),(14&lt;'V06 Calend 01'!D38),(MOD((14-'V06 Calend 01'!C38),6)=0),(((14-'V06 Calend 01'!C38)/6)&lt;='V06 Calend 01'!E38)),IF((14=('V06 Calend 01'!C38+(6*'V06 Calend 01'!E38))),('V06 Calend 01'!H38-('V06 Calend 01'!I38*('V06 Calend 01'!E38-1))),'V06 Calend 01'!I38),0))+IF((14='V06 Calend 01'!D38),'V06 Calend 01'!J38,0))</f>
        <v>0</v>
      </c>
      <c r="AA38" s="2">
        <f>((IF((15='V06 Calend 01'!C38),('V06 Calend 01'!F38+'V06 Calend 01'!G38),0)+IF(AND(('V06 Calend 01'!E38&gt;0),(15&gt;'V06 Calend 01'!C38),(15&lt;'V06 Calend 01'!D38),(MOD((15-'V06 Calend 01'!C38),6)=0),(((15-'V06 Calend 01'!C38)/6)&lt;='V06 Calend 01'!E38)),IF((15=('V06 Calend 01'!C38+(6*'V06 Calend 01'!E38))),('V06 Calend 01'!H38-('V06 Calend 01'!I38*('V06 Calend 01'!E38-1))),'V06 Calend 01'!I38),0))+IF((15='V06 Calend 01'!D38),'V06 Calend 01'!J38,0))</f>
        <v>0</v>
      </c>
      <c r="AB38" s="2">
        <f>((IF((16='V06 Calend 01'!C38),('V06 Calend 01'!F38+'V06 Calend 01'!G38),0)+IF(AND(('V06 Calend 01'!E38&gt;0),(16&gt;'V06 Calend 01'!C38),(16&lt;'V06 Calend 01'!D38),(MOD((16-'V06 Calend 01'!C38),6)=0),(((16-'V06 Calend 01'!C38)/6)&lt;='V06 Calend 01'!E38)),IF((16=('V06 Calend 01'!C38+(6*'V06 Calend 01'!E38))),('V06 Calend 01'!H38-('V06 Calend 01'!I38*('V06 Calend 01'!E38-1))),'V06 Calend 01'!I38),0))+IF((16='V06 Calend 01'!D38),'V06 Calend 01'!J38,0))</f>
        <v>0</v>
      </c>
      <c r="AC38" s="2">
        <f>((IF((17='V06 Calend 01'!C38),('V06 Calend 01'!F38+'V06 Calend 01'!G38),0)+IF(AND(('V06 Calend 01'!E38&gt;0),(17&gt;'V06 Calend 01'!C38),(17&lt;'V06 Calend 01'!D38),(MOD((17-'V06 Calend 01'!C38),6)=0),(((17-'V06 Calend 01'!C38)/6)&lt;='V06 Calend 01'!E38)),IF((17=('V06 Calend 01'!C38+(6*'V06 Calend 01'!E38))),('V06 Calend 01'!H38-('V06 Calend 01'!I38*('V06 Calend 01'!E38-1))),'V06 Calend 01'!I38),0))+IF((17='V06 Calend 01'!D38),'V06 Calend 01'!J38,0))</f>
        <v>0</v>
      </c>
      <c r="AD38" s="2">
        <f>((IF((18='V06 Calend 01'!C38),('V06 Calend 01'!F38+'V06 Calend 01'!G38),0)+IF(AND(('V06 Calend 01'!E38&gt;0),(18&gt;'V06 Calend 01'!C38),(18&lt;'V06 Calend 01'!D38),(MOD((18-'V06 Calend 01'!C38),6)=0),(((18-'V06 Calend 01'!C38)/6)&lt;='V06 Calend 01'!E38)),IF((18=('V06 Calend 01'!C38+(6*'V06 Calend 01'!E38))),('V06 Calend 01'!H38-('V06 Calend 01'!I38*('V06 Calend 01'!E38-1))),'V06 Calend 01'!I38),0))+IF((18='V06 Calend 01'!D38),'V06 Calend 01'!J38,0))</f>
        <v>0</v>
      </c>
      <c r="AE38" s="2">
        <f>((IF((19='V06 Calend 01'!C38),('V06 Calend 01'!F38+'V06 Calend 01'!G38),0)+IF(AND(('V06 Calend 01'!E38&gt;0),(19&gt;'V06 Calend 01'!C38),(19&lt;'V06 Calend 01'!D38),(MOD((19-'V06 Calend 01'!C38),6)=0),(((19-'V06 Calend 01'!C38)/6)&lt;='V06 Calend 01'!E38)),IF((19=('V06 Calend 01'!C38+(6*'V06 Calend 01'!E38))),('V06 Calend 01'!H38-('V06 Calend 01'!I38*('V06 Calend 01'!E38-1))),'V06 Calend 01'!I38),0))+IF((19='V06 Calend 01'!D38),'V06 Calend 01'!J38,0))</f>
        <v>0</v>
      </c>
      <c r="AF38" s="2">
        <f>((IF((20='V06 Calend 01'!C38),('V06 Calend 01'!F38+'V06 Calend 01'!G38),0)+IF(AND(('V06 Calend 01'!E38&gt;0),(20&gt;'V06 Calend 01'!C38),(20&lt;'V06 Calend 01'!D38),(MOD((20-'V06 Calend 01'!C38),6)=0),(((20-'V06 Calend 01'!C38)/6)&lt;='V06 Calend 01'!E38)),IF((20=('V06 Calend 01'!C38+(6*'V06 Calend 01'!E38))),('V06 Calend 01'!H38-('V06 Calend 01'!I38*('V06 Calend 01'!E38-1))),'V06 Calend 01'!I38),0))+IF((20='V06 Calend 01'!D38),'V06 Calend 01'!J38,0))</f>
        <v>0</v>
      </c>
      <c r="AG38" s="2">
        <f>((IF((21='V06 Calend 01'!C38),('V06 Calend 01'!F38+'V06 Calend 01'!G38),0)+IF(AND(('V06 Calend 01'!E38&gt;0),(21&gt;'V06 Calend 01'!C38),(21&lt;'V06 Calend 01'!D38),(MOD((21-'V06 Calend 01'!C38),6)=0),(((21-'V06 Calend 01'!C38)/6)&lt;='V06 Calend 01'!E38)),IF((21=('V06 Calend 01'!C38+(6*'V06 Calend 01'!E38))),('V06 Calend 01'!H38-('V06 Calend 01'!I38*('V06 Calend 01'!E38-1))),'V06 Calend 01'!I38),0))+IF((21='V06 Calend 01'!D38),'V06 Calend 01'!J38,0))</f>
        <v>0</v>
      </c>
      <c r="AH38" s="2">
        <f>((IF((22='V06 Calend 01'!C38),('V06 Calend 01'!F38+'V06 Calend 01'!G38),0)+IF(AND(('V06 Calend 01'!E38&gt;0),(22&gt;'V06 Calend 01'!C38),(22&lt;'V06 Calend 01'!D38),(MOD((22-'V06 Calend 01'!C38),6)=0),(((22-'V06 Calend 01'!C38)/6)&lt;='V06 Calend 01'!E38)),IF((22=('V06 Calend 01'!C38+(6*'V06 Calend 01'!E38))),('V06 Calend 01'!H38-('V06 Calend 01'!I38*('V06 Calend 01'!E38-1))),'V06 Calend 01'!I38),0))+IF((22='V06 Calend 01'!D38),'V06 Calend 01'!J38,0))</f>
        <v>71121.34</v>
      </c>
      <c r="AI38" s="2">
        <f>((IF((23='V06 Calend 01'!C38),('V06 Calend 01'!F38+'V06 Calend 01'!G38),0)+IF(AND(('V06 Calend 01'!E38&gt;0),(23&gt;'V06 Calend 01'!C38),(23&lt;'V06 Calend 01'!D38),(MOD((23-'V06 Calend 01'!C38),6)=0),(((23-'V06 Calend 01'!C38)/6)&lt;='V06 Calend 01'!E38)),IF((23=('V06 Calend 01'!C38+(6*'V06 Calend 01'!E38))),('V06 Calend 01'!H38-('V06 Calend 01'!I38*('V06 Calend 01'!E38-1))),'V06 Calend 01'!I38),0))+IF((23='V06 Calend 01'!D38),'V06 Calend 01'!J38,0))</f>
        <v>0</v>
      </c>
      <c r="AJ38" s="2">
        <f>((IF((24='V06 Calend 01'!C38),('V06 Calend 01'!F38+'V06 Calend 01'!G38),0)+IF(AND(('V06 Calend 01'!E38&gt;0),(24&gt;'V06 Calend 01'!C38),(24&lt;'V06 Calend 01'!D38),(MOD((24-'V06 Calend 01'!C38),6)=0),(((24-'V06 Calend 01'!C38)/6)&lt;='V06 Calend 01'!E38)),IF((24=('V06 Calend 01'!C38+(6*'V06 Calend 01'!E38))),('V06 Calend 01'!H38-('V06 Calend 01'!I38*('V06 Calend 01'!E38-1))),'V06 Calend 01'!I38),0))+IF((24='V06 Calend 01'!D38),'V06 Calend 01'!J38,0))</f>
        <v>0</v>
      </c>
      <c r="AK38" s="2">
        <f>((IF((25='V06 Calend 01'!C38),('V06 Calend 01'!F38+'V06 Calend 01'!G38),0)+IF(AND(('V06 Calend 01'!E38&gt;0),(25&gt;'V06 Calend 01'!C38),(25&lt;'V06 Calend 01'!D38),(MOD((25-'V06 Calend 01'!C38),6)=0),(((25-'V06 Calend 01'!C38)/6)&lt;='V06 Calend 01'!E38)),IF((25=('V06 Calend 01'!C38+(6*'V06 Calend 01'!E38))),('V06 Calend 01'!H38-('V06 Calend 01'!I38*('V06 Calend 01'!E38-1))),'V06 Calend 01'!I38),0))+IF((25='V06 Calend 01'!D38),'V06 Calend 01'!J38,0))</f>
        <v>0</v>
      </c>
      <c r="AL38" s="2">
        <f>((IF((26='V06 Calend 01'!C38),('V06 Calend 01'!F38+'V06 Calend 01'!G38),0)+IF(AND(('V06 Calend 01'!E38&gt;0),(26&gt;'V06 Calend 01'!C38),(26&lt;'V06 Calend 01'!D38),(MOD((26-'V06 Calend 01'!C38),6)=0),(((26-'V06 Calend 01'!C38)/6)&lt;='V06 Calend 01'!E38)),IF((26=('V06 Calend 01'!C38+(6*'V06 Calend 01'!E38))),('V06 Calend 01'!H38-('V06 Calend 01'!I38*('V06 Calend 01'!E38-1))),'V06 Calend 01'!I38),0))+IF((26='V06 Calend 01'!D38),'V06 Calend 01'!J38,0))</f>
        <v>0</v>
      </c>
      <c r="AM38" s="2">
        <f>((IF((27='V06 Calend 01'!C38),('V06 Calend 01'!F38+'V06 Calend 01'!G38),0)+IF(AND(('V06 Calend 01'!E38&gt;0),(27&gt;'V06 Calend 01'!C38),(27&lt;'V06 Calend 01'!D38),(MOD((27-'V06 Calend 01'!C38),6)=0),(((27-'V06 Calend 01'!C38)/6)&lt;='V06 Calend 01'!E38)),IF((27=('V06 Calend 01'!C38+(6*'V06 Calend 01'!E38))),('V06 Calend 01'!H38-('V06 Calend 01'!I38*('V06 Calend 01'!E38-1))),'V06 Calend 01'!I38),0))+IF((27='V06 Calend 01'!D38),'V06 Calend 01'!J38,0))</f>
        <v>0</v>
      </c>
      <c r="AN38" s="2">
        <f>((IF((28='V06 Calend 01'!C38),('V06 Calend 01'!F38+'V06 Calend 01'!G38),0)+IF(AND(('V06 Calend 01'!E38&gt;0),(28&gt;'V06 Calend 01'!C38),(28&lt;'V06 Calend 01'!D38),(MOD((28-'V06 Calend 01'!C38),6)=0),(((28-'V06 Calend 01'!C38)/6)&lt;='V06 Calend 01'!E38)),IF((28=('V06 Calend 01'!C38+(6*'V06 Calend 01'!E38))),('V06 Calend 01'!H38-('V06 Calend 01'!I38*('V06 Calend 01'!E38-1))),'V06 Calend 01'!I38),0))+IF((28='V06 Calend 01'!D38),'V06 Calend 01'!J38,0))</f>
        <v>156466.94</v>
      </c>
      <c r="AO38" s="2">
        <f>((IF((29='V06 Calend 01'!C38),('V06 Calend 01'!F38+'V06 Calend 01'!G38),0)+IF(AND(('V06 Calend 01'!E38&gt;0),(29&gt;'V06 Calend 01'!C38),(29&lt;'V06 Calend 01'!D38),(MOD((29-'V06 Calend 01'!C38),6)=0),(((29-'V06 Calend 01'!C38)/6)&lt;='V06 Calend 01'!E38)),IF((29=('V06 Calend 01'!C38+(6*'V06 Calend 01'!E38))),('V06 Calend 01'!H38-('V06 Calend 01'!I38*('V06 Calend 01'!E38-1))),'V06 Calend 01'!I38),0))+IF((29='V06 Calend 01'!D38),'V06 Calend 01'!J38,0))</f>
        <v>56897.06</v>
      </c>
      <c r="AP38" s="2">
        <f>((IF((30='V06 Calend 01'!C38),('V06 Calend 01'!F38+'V06 Calend 01'!G38),0)+IF(AND(('V06 Calend 01'!E38&gt;0),(30&gt;'V06 Calend 01'!C38),(30&lt;'V06 Calend 01'!D38),(MOD((30-'V06 Calend 01'!C38),6)=0),(((30-'V06 Calend 01'!C38)/6)&lt;='V06 Calend 01'!E38)),IF((30=('V06 Calend 01'!C38+(6*'V06 Calend 01'!E38))),('V06 Calend 01'!H38-('V06 Calend 01'!I38*('V06 Calend 01'!E38-1))),'V06 Calend 01'!I38),0))+IF((30='V06 Calend 01'!D38),'V06 Calend 01'!J38,0))</f>
        <v>0</v>
      </c>
      <c r="AQ38" s="2">
        <f>((IF((31='V06 Calend 01'!C38),('V06 Calend 01'!F38+'V06 Calend 01'!G38),0)+IF(AND(('V06 Calend 01'!E38&gt;0),(31&gt;'V06 Calend 01'!C38),(31&lt;'V06 Calend 01'!D38),(MOD((31-'V06 Calend 01'!C38),6)=0),(((31-'V06 Calend 01'!C38)/6)&lt;='V06 Calend 01'!E38)),IF((31=('V06 Calend 01'!C38+(6*'V06 Calend 01'!E38))),('V06 Calend 01'!H38-('V06 Calend 01'!I38*('V06 Calend 01'!E38-1))),'V06 Calend 01'!I38),0))+IF((31='V06 Calend 01'!D38),'V06 Calend 01'!J38,0))</f>
        <v>0</v>
      </c>
      <c r="AR38" s="2">
        <f>((IF((32='V06 Calend 01'!C38),('V06 Calend 01'!F38+'V06 Calend 01'!G38),0)+IF(AND(('V06 Calend 01'!E38&gt;0),(32&gt;'V06 Calend 01'!C38),(32&lt;'V06 Calend 01'!D38),(MOD((32-'V06 Calend 01'!C38),6)=0),(((32-'V06 Calend 01'!C38)/6)&lt;='V06 Calend 01'!E38)),IF((32=('V06 Calend 01'!C38+(6*'V06 Calend 01'!E38))),('V06 Calend 01'!H38-('V06 Calend 01'!I38*('V06 Calend 01'!E38-1))),'V06 Calend 01'!I38),0))+IF((32='V06 Calend 01'!D38),'V06 Calend 01'!J38,0))</f>
        <v>0</v>
      </c>
      <c r="AS38" s="2">
        <f>((IF((33='V06 Calend 01'!C38),('V06 Calend 01'!F38+'V06 Calend 01'!G38),0)+IF(AND(('V06 Calend 01'!E38&gt;0),(33&gt;'V06 Calend 01'!C38),(33&lt;'V06 Calend 01'!D38),(MOD((33-'V06 Calend 01'!C38),6)=0),(((33-'V06 Calend 01'!C38)/6)&lt;='V06 Calend 01'!E38)),IF((33=('V06 Calend 01'!C38+(6*'V06 Calend 01'!E38))),('V06 Calend 01'!H38-('V06 Calend 01'!I38*('V06 Calend 01'!E38-1))),'V06 Calend 01'!I38),0))+IF((33='V06 Calend 01'!D38),'V06 Calend 01'!J38,0))</f>
        <v>0</v>
      </c>
      <c r="AT38" s="2">
        <f>((IF((34='V06 Calend 01'!C38),('V06 Calend 01'!F38+'V06 Calend 01'!G38),0)+IF(AND(('V06 Calend 01'!E38&gt;0),(34&gt;'V06 Calend 01'!C38),(34&lt;'V06 Calend 01'!D38),(MOD((34-'V06 Calend 01'!C38),6)=0),(((34-'V06 Calend 01'!C38)/6)&lt;='V06 Calend 01'!E38)),IF((34=('V06 Calend 01'!C38+(6*'V06 Calend 01'!E38))),('V06 Calend 01'!H38-('V06 Calend 01'!I38*('V06 Calend 01'!E38-1))),'V06 Calend 01'!I38),0))+IF((34='V06 Calend 01'!D38),'V06 Calend 01'!J38,0))</f>
        <v>0</v>
      </c>
      <c r="AU38" s="2">
        <f>((IF((35='V06 Calend 01'!C38),('V06 Calend 01'!F38+'V06 Calend 01'!G38),0)+IF(AND(('V06 Calend 01'!E38&gt;0),(35&gt;'V06 Calend 01'!C38),(35&lt;'V06 Calend 01'!D38),(MOD((35-'V06 Calend 01'!C38),6)=0),(((35-'V06 Calend 01'!C38)/6)&lt;='V06 Calend 01'!E38)),IF((35=('V06 Calend 01'!C38+(6*'V06 Calend 01'!E38))),('V06 Calend 01'!H38-('V06 Calend 01'!I38*('V06 Calend 01'!E38-1))),'V06 Calend 01'!I38),0))+IF((35='V06 Calend 01'!D38),'V06 Calend 01'!J38,0))</f>
        <v>0</v>
      </c>
      <c r="AV38" s="2">
        <f>((IF((36='V06 Calend 01'!C38),('V06 Calend 01'!F38+'V06 Calend 01'!G38),0)+IF(AND(('V06 Calend 01'!E38&gt;0),(36&gt;'V06 Calend 01'!C38),(36&lt;'V06 Calend 01'!D38),(MOD((36-'V06 Calend 01'!C38),6)=0),(((36-'V06 Calend 01'!C38)/6)&lt;='V06 Calend 01'!E38)),IF((36=('V06 Calend 01'!C38+(6*'V06 Calend 01'!E38))),('V06 Calend 01'!H38-('V06 Calend 01'!I38*('V06 Calend 01'!E38-1))),'V06 Calend 01'!I38),0))+IF((36='V06 Calend 01'!D38),'V06 Calend 01'!J38,0))</f>
        <v>0</v>
      </c>
      <c r="AW38" s="2">
        <f>((IF((37='V06 Calend 01'!C38),('V06 Calend 01'!F38+'V06 Calend 01'!G38),0)+IF(AND(('V06 Calend 01'!E38&gt;0),(37&gt;'V06 Calend 01'!C38),(37&lt;'V06 Calend 01'!D38),(MOD((37-'V06 Calend 01'!C38),6)=0),(((37-'V06 Calend 01'!C38)/6)&lt;='V06 Calend 01'!E38)),IF((37=('V06 Calend 01'!C38+(6*'V06 Calend 01'!E38))),('V06 Calend 01'!H38-('V06 Calend 01'!I38*('V06 Calend 01'!E38-1))),'V06 Calend 01'!I38),0))+IF((37='V06 Calend 01'!D38),'V06 Calend 01'!J38,0))</f>
        <v>0</v>
      </c>
      <c r="AX38" s="2">
        <f>((IF((38='V06 Calend 01'!C38),('V06 Calend 01'!F38+'V06 Calend 01'!G38),0)+IF(AND(('V06 Calend 01'!E38&gt;0),(38&gt;'V06 Calend 01'!C38),(38&lt;'V06 Calend 01'!D38),(MOD((38-'V06 Calend 01'!C38),6)=0),(((38-'V06 Calend 01'!C38)/6)&lt;='V06 Calend 01'!E38)),IF((38=('V06 Calend 01'!C38+(6*'V06 Calend 01'!E38))),('V06 Calend 01'!H38-('V06 Calend 01'!I38*('V06 Calend 01'!E38-1))),'V06 Calend 01'!I38),0))+IF((38='V06 Calend 01'!D38),'V06 Calend 01'!J38,0))</f>
        <v>0</v>
      </c>
      <c r="AY38" s="2">
        <f>((IF((39='V06 Calend 01'!C38),('V06 Calend 01'!F38+'V06 Calend 01'!G38),0)+IF(AND(('V06 Calend 01'!E38&gt;0),(39&gt;'V06 Calend 01'!C38),(39&lt;'V06 Calend 01'!D38),(MOD((39-'V06 Calend 01'!C38),6)=0),(((39-'V06 Calend 01'!C38)/6)&lt;='V06 Calend 01'!E38)),IF((39=('V06 Calend 01'!C38+(6*'V06 Calend 01'!E38))),('V06 Calend 01'!H38-('V06 Calend 01'!I38*('V06 Calend 01'!E38-1))),'V06 Calend 01'!I38),0))+IF((39='V06 Calend 01'!D38),'V06 Calend 01'!J38,0))</f>
        <v>0</v>
      </c>
      <c r="AZ38" s="2">
        <f>((IF((40='V06 Calend 01'!C38),('V06 Calend 01'!F38+'V06 Calend 01'!G38),0)+IF(AND(('V06 Calend 01'!E38&gt;0),(40&gt;'V06 Calend 01'!C38),(40&lt;'V06 Calend 01'!D38),(MOD((40-'V06 Calend 01'!C38),6)=0),(((40-'V06 Calend 01'!C38)/6)&lt;='V06 Calend 01'!E38)),IF((40=('V06 Calend 01'!C38+(6*'V06 Calend 01'!E38))),('V06 Calend 01'!H38-('V06 Calend 01'!I38*('V06 Calend 01'!E38-1))),'V06 Calend 01'!I38),0))+IF((40='V06 Calend 01'!D38),'V06 Calend 01'!J38,0))</f>
        <v>0</v>
      </c>
      <c r="BA38" s="2">
        <f>((IF((41='V06 Calend 01'!C38),('V06 Calend 01'!F38+'V06 Calend 01'!G38),0)+IF(AND(('V06 Calend 01'!E38&gt;0),(41&gt;'V06 Calend 01'!C38),(41&lt;'V06 Calend 01'!D38),(MOD((41-'V06 Calend 01'!C38),6)=0),(((41-'V06 Calend 01'!C38)/6)&lt;='V06 Calend 01'!E38)),IF((41=('V06 Calend 01'!C38+(6*'V06 Calend 01'!E38))),('V06 Calend 01'!H38-('V06 Calend 01'!I38*('V06 Calend 01'!E38-1))),'V06 Calend 01'!I38),0))+IF((41='V06 Calend 01'!D38),'V06 Calend 01'!J38,0))</f>
        <v>0</v>
      </c>
      <c r="BB38" s="2">
        <f>((IF((42='V06 Calend 01'!C38),('V06 Calend 01'!F38+'V06 Calend 01'!G38),0)+IF(AND(('V06 Calend 01'!E38&gt;0),(42&gt;'V06 Calend 01'!C38),(42&lt;'V06 Calend 01'!D38),(MOD((42-'V06 Calend 01'!C38),6)=0),(((42-'V06 Calend 01'!C38)/6)&lt;='V06 Calend 01'!E38)),IF((42=('V06 Calend 01'!C38+(6*'V06 Calend 01'!E38))),('V06 Calend 01'!H38-('V06 Calend 01'!I38*('V06 Calend 01'!E38-1))),'V06 Calend 01'!I38),0))+IF((42='V06 Calend 01'!D38),'V06 Calend 01'!J38,0))</f>
        <v>0</v>
      </c>
      <c r="BC38" s="2">
        <f>((IF((43='V06 Calend 01'!C38),('V06 Calend 01'!F38+'V06 Calend 01'!G38),0)+IF(AND(('V06 Calend 01'!E38&gt;0),(43&gt;'V06 Calend 01'!C38),(43&lt;'V06 Calend 01'!D38),(MOD((43-'V06 Calend 01'!C38),6)=0),(((43-'V06 Calend 01'!C38)/6)&lt;='V06 Calend 01'!E38)),IF((43=('V06 Calend 01'!C38+(6*'V06 Calend 01'!E38))),('V06 Calend 01'!H38-('V06 Calend 01'!I38*('V06 Calend 01'!E38-1))),'V06 Calend 01'!I38),0))+IF((43='V06 Calend 01'!D38),'V06 Calend 01'!J38,0))</f>
        <v>0</v>
      </c>
      <c r="BD38" s="2">
        <f>((IF((44='V06 Calend 01'!C38),('V06 Calend 01'!F38+'V06 Calend 01'!G38),0)+IF(AND(('V06 Calend 01'!E38&gt;0),(44&gt;'V06 Calend 01'!C38),(44&lt;'V06 Calend 01'!D38),(MOD((44-'V06 Calend 01'!C38),6)=0),(((44-'V06 Calend 01'!C38)/6)&lt;='V06 Calend 01'!E38)),IF((44=('V06 Calend 01'!C38+(6*'V06 Calend 01'!E38))),('V06 Calend 01'!H38-('V06 Calend 01'!I38*('V06 Calend 01'!E38-1))),'V06 Calend 01'!I38),0))+IF((44='V06 Calend 01'!D38),'V06 Calend 01'!J38,0))</f>
        <v>0</v>
      </c>
      <c r="BE38" s="2">
        <f>((IF((45='V06 Calend 01'!C38),('V06 Calend 01'!F38+'V06 Calend 01'!G38),0)+IF(AND(('V06 Calend 01'!E38&gt;0),(45&gt;'V06 Calend 01'!C38),(45&lt;'V06 Calend 01'!D38),(MOD((45-'V06 Calend 01'!C38),6)=0),(((45-'V06 Calend 01'!C38)/6)&lt;='V06 Calend 01'!E38)),IF((45=('V06 Calend 01'!C38+(6*'V06 Calend 01'!E38))),('V06 Calend 01'!H38-('V06 Calend 01'!I38*('V06 Calend 01'!E38-1))),'V06 Calend 01'!I38),0))+IF((45='V06 Calend 01'!D38),'V06 Calend 01'!J38,0))</f>
        <v>0</v>
      </c>
      <c r="BF38" s="2">
        <f>((IF((46='V06 Calend 01'!C38),('V06 Calend 01'!F38+'V06 Calend 01'!G38),0)+IF(AND(('V06 Calend 01'!E38&gt;0),(46&gt;'V06 Calend 01'!C38),(46&lt;'V06 Calend 01'!D38),(MOD((46-'V06 Calend 01'!C38),6)=0),(((46-'V06 Calend 01'!C38)/6)&lt;='V06 Calend 01'!E38)),IF((46=('V06 Calend 01'!C38+(6*'V06 Calend 01'!E38))),('V06 Calend 01'!H38-('V06 Calend 01'!I38*('V06 Calend 01'!E38-1))),'V06 Calend 01'!I38),0))+IF((46='V06 Calend 01'!D38),'V06 Calend 01'!J38,0))</f>
        <v>0</v>
      </c>
      <c r="BG38" s="2">
        <f>((IF((47='V06 Calend 01'!C38),('V06 Calend 01'!F38+'V06 Calend 01'!G38),0)+IF(AND(('V06 Calend 01'!E38&gt;0),(47&gt;'V06 Calend 01'!C38),(47&lt;'V06 Calend 01'!D38),(MOD((47-'V06 Calend 01'!C38),6)=0),(((47-'V06 Calend 01'!C38)/6)&lt;='V06 Calend 01'!E38)),IF((47=('V06 Calend 01'!C38+(6*'V06 Calend 01'!E38))),('V06 Calend 01'!H38-('V06 Calend 01'!I38*('V06 Calend 01'!E38-1))),'V06 Calend 01'!I38),0))+IF((47='V06 Calend 01'!D38),'V06 Calend 01'!J38,0))</f>
        <v>0</v>
      </c>
      <c r="BH38" s="2">
        <f>((IF((48='V06 Calend 01'!C38),('V06 Calend 01'!F38+'V06 Calend 01'!G38),0)+IF(AND(('V06 Calend 01'!E38&gt;0),(48&gt;'V06 Calend 01'!C38),(48&lt;'V06 Calend 01'!D38),(MOD((48-'V06 Calend 01'!C38),6)=0),(((48-'V06 Calend 01'!C38)/6)&lt;='V06 Calend 01'!E38)),IF((48=('V06 Calend 01'!C38+(6*'V06 Calend 01'!E38))),('V06 Calend 01'!H38-('V06 Calend 01'!I38*('V06 Calend 01'!E38-1))),'V06 Calend 01'!I38),0))+IF((48='V06 Calend 01'!D38),'V06 Calend 01'!J38,0))</f>
        <v>0</v>
      </c>
      <c r="BI38" s="2">
        <f>((IF((49='V06 Calend 01'!C38),('V06 Calend 01'!F38+'V06 Calend 01'!G38),0)+IF(AND(('V06 Calend 01'!E38&gt;0),(49&gt;'V06 Calend 01'!C38),(49&lt;'V06 Calend 01'!D38),(MOD((49-'V06 Calend 01'!C38),6)=0),(((49-'V06 Calend 01'!C38)/6)&lt;='V06 Calend 01'!E38)),IF((49=('V06 Calend 01'!C38+(6*'V06 Calend 01'!E38))),('V06 Calend 01'!H38-('V06 Calend 01'!I38*('V06 Calend 01'!E38-1))),'V06 Calend 01'!I38),0))+IF((49='V06 Calend 01'!D38),'V06 Calend 01'!J38,0))</f>
        <v>0</v>
      </c>
      <c r="BJ38" s="2">
        <f>((IF((50='V06 Calend 01'!C38),('V06 Calend 01'!F38+'V06 Calend 01'!G38),0)+IF(AND(('V06 Calend 01'!E38&gt;0),(50&gt;'V06 Calend 01'!C38),(50&lt;'V06 Calend 01'!D38),(MOD((50-'V06 Calend 01'!C38),6)=0),(((50-'V06 Calend 01'!C38)/6)&lt;='V06 Calend 01'!E38)),IF((50=('V06 Calend 01'!C38+(6*'V06 Calend 01'!E38))),('V06 Calend 01'!H38-('V06 Calend 01'!I38*('V06 Calend 01'!E38-1))),'V06 Calend 01'!I38),0))+IF((50='V06 Calend 01'!D38),'V06 Calend 01'!J38,0))</f>
        <v>0</v>
      </c>
      <c r="BK38" s="2">
        <f>((IF((51='V06 Calend 01'!C38),('V06 Calend 01'!F38+'V06 Calend 01'!G38),0)+IF(AND(('V06 Calend 01'!E38&gt;0),(51&gt;'V06 Calend 01'!C38),(51&lt;'V06 Calend 01'!D38),(MOD((51-'V06 Calend 01'!C38),6)=0),(((51-'V06 Calend 01'!C38)/6)&lt;='V06 Calend 01'!E38)),IF((51=('V06 Calend 01'!C38+(6*'V06 Calend 01'!E38))),('V06 Calend 01'!H38-('V06 Calend 01'!I38*('V06 Calend 01'!E38-1))),'V06 Calend 01'!I38),0))+IF((51='V06 Calend 01'!D38),'V06 Calend 01'!J38,0))</f>
        <v>0</v>
      </c>
      <c r="BL38" s="2">
        <f>((IF((52='V06 Calend 01'!C38),('V06 Calend 01'!F38+'V06 Calend 01'!G38),0)+IF(AND(('V06 Calend 01'!E38&gt;0),(52&gt;'V06 Calend 01'!C38),(52&lt;'V06 Calend 01'!D38),(MOD((52-'V06 Calend 01'!C38),6)=0),(((52-'V06 Calend 01'!C38)/6)&lt;='V06 Calend 01'!E38)),IF((52=('V06 Calend 01'!C38+(6*'V06 Calend 01'!E38))),('V06 Calend 01'!H38-('V06 Calend 01'!I38*('V06 Calend 01'!E38-1))),'V06 Calend 01'!I38),0))+IF((52='V06 Calend 01'!D38),'V06 Calend 01'!J38,0))</f>
        <v>0</v>
      </c>
      <c r="BM38" s="2">
        <f>((IF((53='V06 Calend 01'!C38),('V06 Calend 01'!F38+'V06 Calend 01'!G38),0)+IF(AND(('V06 Calend 01'!E38&gt;0),(53&gt;'V06 Calend 01'!C38),(53&lt;'V06 Calend 01'!D38),(MOD((53-'V06 Calend 01'!C38),6)=0),(((53-'V06 Calend 01'!C38)/6)&lt;='V06 Calend 01'!E38)),IF((53=('V06 Calend 01'!C38+(6*'V06 Calend 01'!E38))),('V06 Calend 01'!H38-('V06 Calend 01'!I38*('V06 Calend 01'!E38-1))),'V06 Calend 01'!I38),0))+IF((53='V06 Calend 01'!D38),'V06 Calend 01'!J38,0))</f>
        <v>0</v>
      </c>
      <c r="BN38" s="2">
        <f>((IF((54='V06 Calend 01'!C38),('V06 Calend 01'!F38+'V06 Calend 01'!G38),0)+IF(AND(('V06 Calend 01'!E38&gt;0),(54&gt;'V06 Calend 01'!C38),(54&lt;'V06 Calend 01'!D38),(MOD((54-'V06 Calend 01'!C38),6)=0),(((54-'V06 Calend 01'!C38)/6)&lt;='V06 Calend 01'!E38)),IF((54=('V06 Calend 01'!C38+(6*'V06 Calend 01'!E38))),('V06 Calend 01'!H38-('V06 Calend 01'!I38*('V06 Calend 01'!E38-1))),'V06 Calend 01'!I38),0))+IF((54='V06 Calend 01'!D38),'V06 Calend 01'!J38,0))</f>
        <v>0</v>
      </c>
      <c r="BO38" s="2">
        <f>((IF((55='V06 Calend 01'!C38),('V06 Calend 01'!F38+'V06 Calend 01'!G38),0)+IF(AND(('V06 Calend 01'!E38&gt;0),(55&gt;'V06 Calend 01'!C38),(55&lt;'V06 Calend 01'!D38),(MOD((55-'V06 Calend 01'!C38),6)=0),(((55-'V06 Calend 01'!C38)/6)&lt;='V06 Calend 01'!E38)),IF((55=('V06 Calend 01'!C38+(6*'V06 Calend 01'!E38))),('V06 Calend 01'!H38-('V06 Calend 01'!I38*('V06 Calend 01'!E38-1))),'V06 Calend 01'!I38),0))+IF((55='V06 Calend 01'!D38),'V06 Calend 01'!J38,0))</f>
        <v>0</v>
      </c>
      <c r="BP38" s="2">
        <f>((IF((56='V06 Calend 01'!C38),('V06 Calend 01'!F38+'V06 Calend 01'!G38),0)+IF(AND(('V06 Calend 01'!E38&gt;0),(56&gt;'V06 Calend 01'!C38),(56&lt;'V06 Calend 01'!D38),(MOD((56-'V06 Calend 01'!C38),6)=0),(((56-'V06 Calend 01'!C38)/6)&lt;='V06 Calend 01'!E38)),IF((56=('V06 Calend 01'!C38+(6*'V06 Calend 01'!E38))),('V06 Calend 01'!H38-('V06 Calend 01'!I38*('V06 Calend 01'!E38-1))),'V06 Calend 01'!I38),0))+IF((56='V06 Calend 01'!D38),'V06 Calend 01'!J38,0))</f>
        <v>0</v>
      </c>
      <c r="BQ38" s="2">
        <f>((IF((57='V06 Calend 01'!C38),('V06 Calend 01'!F38+'V06 Calend 01'!G38),0)+IF(AND(('V06 Calend 01'!E38&gt;0),(57&gt;'V06 Calend 01'!C38),(57&lt;'V06 Calend 01'!D38),(MOD((57-'V06 Calend 01'!C38),6)=0),(((57-'V06 Calend 01'!C38)/6)&lt;='V06 Calend 01'!E38)),IF((57=('V06 Calend 01'!C38+(6*'V06 Calend 01'!E38))),('V06 Calend 01'!H38-('V06 Calend 01'!I38*('V06 Calend 01'!E38-1))),'V06 Calend 01'!I38),0))+IF((57='V06 Calend 01'!D38),'V06 Calend 01'!J38,0))</f>
        <v>0</v>
      </c>
      <c r="BR38" s="2">
        <f>((IF((58='V06 Calend 01'!C38),('V06 Calend 01'!F38+'V06 Calend 01'!G38),0)+IF(AND(('V06 Calend 01'!E38&gt;0),(58&gt;'V06 Calend 01'!C38),(58&lt;'V06 Calend 01'!D38),(MOD((58-'V06 Calend 01'!C38),6)=0),(((58-'V06 Calend 01'!C38)/6)&lt;='V06 Calend 01'!E38)),IF((58=('V06 Calend 01'!C38+(6*'V06 Calend 01'!E38))),('V06 Calend 01'!H38-('V06 Calend 01'!I38*('V06 Calend 01'!E38-1))),'V06 Calend 01'!I38),0))+IF((58='V06 Calend 01'!D38),'V06 Calend 01'!J38,0))</f>
        <v>0</v>
      </c>
      <c r="BS38" s="2">
        <f>((IF((59='V06 Calend 01'!C38),('V06 Calend 01'!F38+'V06 Calend 01'!G38),0)+IF(AND(('V06 Calend 01'!E38&gt;0),(59&gt;'V06 Calend 01'!C38),(59&lt;'V06 Calend 01'!D38),(MOD((59-'V06 Calend 01'!C38),6)=0),(((59-'V06 Calend 01'!C38)/6)&lt;='V06 Calend 01'!E38)),IF((59=('V06 Calend 01'!C38+(6*'V06 Calend 01'!E38))),('V06 Calend 01'!H38-('V06 Calend 01'!I38*('V06 Calend 01'!E38-1))),'V06 Calend 01'!I38),0))+IF((59='V06 Calend 01'!D38),'V06 Calend 01'!J38,0))</f>
        <v>0</v>
      </c>
      <c r="BT38" s="2">
        <f>((IF((60='V06 Calend 01'!C38),('V06 Calend 01'!F38+'V06 Calend 01'!G38),0)+IF(AND(('V06 Calend 01'!E38&gt;0),(60&gt;'V06 Calend 01'!C38),(60&lt;'V06 Calend 01'!D38),(MOD((60-'V06 Calend 01'!C38),6)=0),(((60-'V06 Calend 01'!C38)/6)&lt;='V06 Calend 01'!E38)),IF((60=('V06 Calend 01'!C38+(6*'V06 Calend 01'!E38))),('V06 Calend 01'!H38-('V06 Calend 01'!I38*('V06 Calend 01'!E38-1))),'V06 Calend 01'!I38),0))+IF((60='V06 Calend 01'!D38),'V06 Calend 01'!J38,0))</f>
        <v>0</v>
      </c>
      <c r="BU38" s="2">
        <f>((IF((61='V06 Calend 01'!C38),('V06 Calend 01'!F38+'V06 Calend 01'!G38),0)+IF(AND(('V06 Calend 01'!E38&gt;0),(61&gt;'V06 Calend 01'!C38),(61&lt;'V06 Calend 01'!D38),(MOD((61-'V06 Calend 01'!C38),6)=0),(((61-'V06 Calend 01'!C38)/6)&lt;='V06 Calend 01'!E38)),IF((61=('V06 Calend 01'!C38+(6*'V06 Calend 01'!E38))),('V06 Calend 01'!H38-('V06 Calend 01'!I38*('V06 Calend 01'!E38-1))),'V06 Calend 01'!I38),0))+IF((61='V06 Calend 01'!D38),'V06 Calend 01'!J38,0))</f>
        <v>0</v>
      </c>
      <c r="BV38" s="2">
        <f>((IF((62='V06 Calend 01'!C38),('V06 Calend 01'!F38+'V06 Calend 01'!G38),0)+IF(AND(('V06 Calend 01'!E38&gt;0),(62&gt;'V06 Calend 01'!C38),(62&lt;'V06 Calend 01'!D38),(MOD((62-'V06 Calend 01'!C38),6)=0),(((62-'V06 Calend 01'!C38)/6)&lt;='V06 Calend 01'!E38)),IF((62=('V06 Calend 01'!C38+(6*'V06 Calend 01'!E38))),('V06 Calend 01'!H38-('V06 Calend 01'!I38*('V06 Calend 01'!E38-1))),'V06 Calend 01'!I38),0))+IF((62='V06 Calend 01'!D38),'V06 Calend 01'!J38,0))</f>
        <v>0</v>
      </c>
      <c r="BW38" s="2">
        <f>((IF((63='V06 Calend 01'!C38),('V06 Calend 01'!F38+'V06 Calend 01'!G38),0)+IF(AND(('V06 Calend 01'!E38&gt;0),(63&gt;'V06 Calend 01'!C38),(63&lt;'V06 Calend 01'!D38),(MOD((63-'V06 Calend 01'!C38),6)=0),(((63-'V06 Calend 01'!C38)/6)&lt;='V06 Calend 01'!E38)),IF((63=('V06 Calend 01'!C38+(6*'V06 Calend 01'!E38))),('V06 Calend 01'!H38-('V06 Calend 01'!I38*('V06 Calend 01'!E38-1))),'V06 Calend 01'!I38),0))+IF((63='V06 Calend 01'!D38),'V06 Calend 01'!J38,0))</f>
        <v>0</v>
      </c>
      <c r="BX38" s="2">
        <f>((IF((64='V06 Calend 01'!C38),('V06 Calend 01'!F38+'V06 Calend 01'!G38),0)+IF(AND(('V06 Calend 01'!E38&gt;0),(64&gt;'V06 Calend 01'!C38),(64&lt;'V06 Calend 01'!D38),(MOD((64-'V06 Calend 01'!C38),6)=0),(((64-'V06 Calend 01'!C38)/6)&lt;='V06 Calend 01'!E38)),IF((64=('V06 Calend 01'!C38+(6*'V06 Calend 01'!E38))),('V06 Calend 01'!H38-('V06 Calend 01'!I38*('V06 Calend 01'!E38-1))),'V06 Calend 01'!I38),0))+IF((64='V06 Calend 01'!D38),'V06 Calend 01'!J38,0))</f>
        <v>0</v>
      </c>
      <c r="BY38" s="2">
        <f>((IF((65='V06 Calend 01'!C38),('V06 Calend 01'!F38+'V06 Calend 01'!G38),0)+IF(AND(('V06 Calend 01'!E38&gt;0),(65&gt;'V06 Calend 01'!C38),(65&lt;'V06 Calend 01'!D38),(MOD((65-'V06 Calend 01'!C38),6)=0),(((65-'V06 Calend 01'!C38)/6)&lt;='V06 Calend 01'!E38)),IF((65=('V06 Calend 01'!C38+(6*'V06 Calend 01'!E38))),('V06 Calend 01'!H38-('V06 Calend 01'!I38*('V06 Calend 01'!E38-1))),'V06 Calend 01'!I38),0))+IF((65='V06 Calend 01'!D38),'V06 Calend 01'!J38,0))</f>
        <v>0</v>
      </c>
      <c r="BZ38" s="2">
        <f>((IF((66='V06 Calend 01'!C38),('V06 Calend 01'!F38+'V06 Calend 01'!G38),0)+IF(AND(('V06 Calend 01'!E38&gt;0),(66&gt;'V06 Calend 01'!C38),(66&lt;'V06 Calend 01'!D38),(MOD((66-'V06 Calend 01'!C38),6)=0),(((66-'V06 Calend 01'!C38)/6)&lt;='V06 Calend 01'!E38)),IF((66=('V06 Calend 01'!C38+(6*'V06 Calend 01'!E38))),('V06 Calend 01'!H38-('V06 Calend 01'!I38*('V06 Calend 01'!E38-1))),'V06 Calend 01'!I38),0))+IF((66='V06 Calend 01'!D38),'V06 Calend 01'!J38,0))</f>
        <v>0</v>
      </c>
      <c r="CA38" s="2">
        <f>((IF((67='V06 Calend 01'!C38),('V06 Calend 01'!F38+'V06 Calend 01'!G38),0)+IF(AND(('V06 Calend 01'!E38&gt;0),(67&gt;'V06 Calend 01'!C38),(67&lt;'V06 Calend 01'!D38),(MOD((67-'V06 Calend 01'!C38),6)=0),(((67-'V06 Calend 01'!C38)/6)&lt;='V06 Calend 01'!E38)),IF((67=('V06 Calend 01'!C38+(6*'V06 Calend 01'!E38))),('V06 Calend 01'!H38-('V06 Calend 01'!I38*('V06 Calend 01'!E38-1))),'V06 Calend 01'!I38),0))+IF((67='V06 Calend 01'!D38),'V06 Calend 01'!J38,0))</f>
        <v>0</v>
      </c>
      <c r="CB38" s="2">
        <f>((IF((68='V06 Calend 01'!C38),('V06 Calend 01'!F38+'V06 Calend 01'!G38),0)+IF(AND(('V06 Calend 01'!E38&gt;0),(68&gt;'V06 Calend 01'!C38),(68&lt;'V06 Calend 01'!D38),(MOD((68-'V06 Calend 01'!C38),6)=0),(((68-'V06 Calend 01'!C38)/6)&lt;='V06 Calend 01'!E38)),IF((68=('V06 Calend 01'!C38+(6*'V06 Calend 01'!E38))),('V06 Calend 01'!H38-('V06 Calend 01'!I38*('V06 Calend 01'!E38-1))),'V06 Calend 01'!I38),0))+IF((68='V06 Calend 01'!D38),'V06 Calend 01'!J38,0))</f>
        <v>0</v>
      </c>
      <c r="CC38" s="2">
        <f>((IF((69='V06 Calend 01'!C38),('V06 Calend 01'!F38+'V06 Calend 01'!G38),0)+IF(AND(('V06 Calend 01'!E38&gt;0),(69&gt;'V06 Calend 01'!C38),(69&lt;'V06 Calend 01'!D38),(MOD((69-'V06 Calend 01'!C38),6)=0),(((69-'V06 Calend 01'!C38)/6)&lt;='V06 Calend 01'!E38)),IF((69=('V06 Calend 01'!C38+(6*'V06 Calend 01'!E38))),('V06 Calend 01'!H38-('V06 Calend 01'!I38*('V06 Calend 01'!E38-1))),'V06 Calend 01'!I38),0))+IF((69='V06 Calend 01'!D38),'V06 Calend 01'!J38,0))</f>
        <v>0</v>
      </c>
      <c r="CD38" s="2">
        <f>((IF((70='V06 Calend 01'!C38),('V06 Calend 01'!F38+'V06 Calend 01'!G38),0)+IF(AND(('V06 Calend 01'!E38&gt;0),(70&gt;'V06 Calend 01'!C38),(70&lt;'V06 Calend 01'!D38),(MOD((70-'V06 Calend 01'!C38),6)=0),(((70-'V06 Calend 01'!C38)/6)&lt;='V06 Calend 01'!E38)),IF((70=('V06 Calend 01'!C38+(6*'V06 Calend 01'!E38))),('V06 Calend 01'!H38-('V06 Calend 01'!I38*('V06 Calend 01'!E38-1))),'V06 Calend 01'!I38),0))+IF((70='V06 Calend 01'!D38),'V06 Calend 01'!J38,0))</f>
        <v>0</v>
      </c>
      <c r="CE38" s="2">
        <f>((IF((71='V06 Calend 01'!C38),('V06 Calend 01'!F38+'V06 Calend 01'!G38),0)+IF(AND(('V06 Calend 01'!E38&gt;0),(71&gt;'V06 Calend 01'!C38),(71&lt;'V06 Calend 01'!D38),(MOD((71-'V06 Calend 01'!C38),6)=0),(((71-'V06 Calend 01'!C38)/6)&lt;='V06 Calend 01'!E38)),IF((71=('V06 Calend 01'!C38+(6*'V06 Calend 01'!E38))),('V06 Calend 01'!H38-('V06 Calend 01'!I38*('V06 Calend 01'!E38-1))),'V06 Calend 01'!I38),0))+IF((71='V06 Calend 01'!D38),'V06 Calend 01'!J38,0))</f>
        <v>0</v>
      </c>
      <c r="CF38" s="2">
        <f>((IF((72='V06 Calend 01'!C38),('V06 Calend 01'!F38+'V06 Calend 01'!G38),0)+IF(AND(('V06 Calend 01'!E38&gt;0),(72&gt;'V06 Calend 01'!C38),(72&lt;'V06 Calend 01'!D38),(MOD((72-'V06 Calend 01'!C38),6)=0),(((72-'V06 Calend 01'!C38)/6)&lt;='V06 Calend 01'!E38)),IF((72=('V06 Calend 01'!C38+(6*'V06 Calend 01'!E38))),('V06 Calend 01'!H38-('V06 Calend 01'!I38*('V06 Calend 01'!E38-1))),'V06 Calend 01'!I38),0))+IF((72='V06 Calend 01'!D38),'V06 Calend 01'!J38,0))</f>
        <v>0</v>
      </c>
      <c r="CG38" s="2">
        <f>((IF((73='V06 Calend 01'!C38),('V06 Calend 01'!F38+'V06 Calend 01'!G38),0)+IF(AND(('V06 Calend 01'!E38&gt;0),(73&gt;'V06 Calend 01'!C38),(73&lt;'V06 Calend 01'!D38),(MOD((73-'V06 Calend 01'!C38),6)=0),(((73-'V06 Calend 01'!C38)/6)&lt;='V06 Calend 01'!E38)),IF((73=('V06 Calend 01'!C38+(6*'V06 Calend 01'!E38))),('V06 Calend 01'!H38-('V06 Calend 01'!I38*('V06 Calend 01'!E38-1))),'V06 Calend 01'!I38),0))+IF((73='V06 Calend 01'!D38),'V06 Calend 01'!J38,0))</f>
        <v>0</v>
      </c>
      <c r="CH38" s="2">
        <f>((IF((74='V06 Calend 01'!C38),('V06 Calend 01'!F38+'V06 Calend 01'!G38),0)+IF(AND(('V06 Calend 01'!E38&gt;0),(74&gt;'V06 Calend 01'!C38),(74&lt;'V06 Calend 01'!D38),(MOD((74-'V06 Calend 01'!C38),6)=0),(((74-'V06 Calend 01'!C38)/6)&lt;='V06 Calend 01'!E38)),IF((74=('V06 Calend 01'!C38+(6*'V06 Calend 01'!E38))),('V06 Calend 01'!H38-('V06 Calend 01'!I38*('V06 Calend 01'!E38-1))),'V06 Calend 01'!I38),0))+IF((74='V06 Calend 01'!D38),'V06 Calend 01'!J38,0))</f>
        <v>0</v>
      </c>
      <c r="CI38" s="2">
        <f>((IF((75='V06 Calend 01'!C38),('V06 Calend 01'!F38+'V06 Calend 01'!G38),0)+IF(AND(('V06 Calend 01'!E38&gt;0),(75&gt;'V06 Calend 01'!C38),(75&lt;'V06 Calend 01'!D38),(MOD((75-'V06 Calend 01'!C38),6)=0),(((75-'V06 Calend 01'!C38)/6)&lt;='V06 Calend 01'!E38)),IF((75=('V06 Calend 01'!C38+(6*'V06 Calend 01'!E38))),('V06 Calend 01'!H38-('V06 Calend 01'!I38*('V06 Calend 01'!E38-1))),'V06 Calend 01'!I38),0))+IF((75='V06 Calend 01'!D38),'V06 Calend 01'!J38,0))</f>
        <v>0</v>
      </c>
      <c r="CJ38" s="2">
        <f>((IF((76='V06 Calend 01'!C38),('V06 Calend 01'!F38+'V06 Calend 01'!G38),0)+IF(AND(('V06 Calend 01'!E38&gt;0),(76&gt;'V06 Calend 01'!C38),(76&lt;'V06 Calend 01'!D38),(MOD((76-'V06 Calend 01'!C38),6)=0),(((76-'V06 Calend 01'!C38)/6)&lt;='V06 Calend 01'!E38)),IF((76=('V06 Calend 01'!C38+(6*'V06 Calend 01'!E38))),('V06 Calend 01'!H38-('V06 Calend 01'!I38*('V06 Calend 01'!E38-1))),'V06 Calend 01'!I38),0))+IF((76='V06 Calend 01'!D38),'V06 Calend 01'!J38,0))</f>
        <v>0</v>
      </c>
      <c r="CK38" s="2">
        <f>((IF((77='V06 Calend 01'!C38),('V06 Calend 01'!F38+'V06 Calend 01'!G38),0)+IF(AND(('V06 Calend 01'!E38&gt;0),(77&gt;'V06 Calend 01'!C38),(77&lt;'V06 Calend 01'!D38),(MOD((77-'V06 Calend 01'!C38),6)=0),(((77-'V06 Calend 01'!C38)/6)&lt;='V06 Calend 01'!E38)),IF((77=('V06 Calend 01'!C38+(6*'V06 Calend 01'!E38))),('V06 Calend 01'!H38-('V06 Calend 01'!I38*('V06 Calend 01'!E38-1))),'V06 Calend 01'!I38),0))+IF((77='V06 Calend 01'!D38),'V06 Calend 01'!J38,0))</f>
        <v>0</v>
      </c>
      <c r="CL38" s="2">
        <f>((IF((78='V06 Calend 01'!C38),('V06 Calend 01'!F38+'V06 Calend 01'!G38),0)+IF(AND(('V06 Calend 01'!E38&gt;0),(78&gt;'V06 Calend 01'!C38),(78&lt;'V06 Calend 01'!D38),(MOD((78-'V06 Calend 01'!C38),6)=0),(((78-'V06 Calend 01'!C38)/6)&lt;='V06 Calend 01'!E38)),IF((78=('V06 Calend 01'!C38+(6*'V06 Calend 01'!E38))),('V06 Calend 01'!H38-('V06 Calend 01'!I38*('V06 Calend 01'!E38-1))),'V06 Calend 01'!I38),0))+IF((78='V06 Calend 01'!D38),'V06 Calend 01'!J38,0))</f>
        <v>0</v>
      </c>
      <c r="CM38" s="2">
        <f>((IF((79='V06 Calend 01'!C38),('V06 Calend 01'!F38+'V06 Calend 01'!G38),0)+IF(AND(('V06 Calend 01'!E38&gt;0),(79&gt;'V06 Calend 01'!C38),(79&lt;'V06 Calend 01'!D38),(MOD((79-'V06 Calend 01'!C38),6)=0),(((79-'V06 Calend 01'!C38)/6)&lt;='V06 Calend 01'!E38)),IF((79=('V06 Calend 01'!C38+(6*'V06 Calend 01'!E38))),('V06 Calend 01'!H38-('V06 Calend 01'!I38*('V06 Calend 01'!E38-1))),'V06 Calend 01'!I38),0))+IF((79='V06 Calend 01'!D38),'V06 Calend 01'!J38,0))</f>
        <v>0</v>
      </c>
      <c r="CN38" s="2">
        <f>((IF((80='V06 Calend 01'!C38),('V06 Calend 01'!F38+'V06 Calend 01'!G38),0)+IF(AND(('V06 Calend 01'!E38&gt;0),(80&gt;'V06 Calend 01'!C38),(80&lt;'V06 Calend 01'!D38),(MOD((80-'V06 Calend 01'!C38),6)=0),(((80-'V06 Calend 01'!C38)/6)&lt;='V06 Calend 01'!E38)),IF((80=('V06 Calend 01'!C38+(6*'V06 Calend 01'!E38))),('V06 Calend 01'!H38-('V06 Calend 01'!I38*('V06 Calend 01'!E38-1))),'V06 Calend 01'!I38),0))+IF((80='V06 Calend 01'!D38),'V06 Calend 01'!J38,0))</f>
        <v>0</v>
      </c>
      <c r="CO38" s="2">
        <f>((IF((81='V06 Calend 01'!C38),('V06 Calend 01'!F38+'V06 Calend 01'!G38),0)+IF(AND(('V06 Calend 01'!E38&gt;0),(81&gt;'V06 Calend 01'!C38),(81&lt;'V06 Calend 01'!D38),(MOD((81-'V06 Calend 01'!C38),6)=0),(((81-'V06 Calend 01'!C38)/6)&lt;='V06 Calend 01'!E38)),IF((81=('V06 Calend 01'!C38+(6*'V06 Calend 01'!E38))),('V06 Calend 01'!H38-('V06 Calend 01'!I38*('V06 Calend 01'!E38-1))),'V06 Calend 01'!I38),0))+IF((81='V06 Calend 01'!D38),'V06 Calend 01'!J38,0))</f>
        <v>0</v>
      </c>
      <c r="CP38" s="2">
        <f>((IF((82='V06 Calend 01'!C38),('V06 Calend 01'!F38+'V06 Calend 01'!G38),0)+IF(AND(('V06 Calend 01'!E38&gt;0),(82&gt;'V06 Calend 01'!C38),(82&lt;'V06 Calend 01'!D38),(MOD((82-'V06 Calend 01'!C38),6)=0),(((82-'V06 Calend 01'!C38)/6)&lt;='V06 Calend 01'!E38)),IF((82=('V06 Calend 01'!C38+(6*'V06 Calend 01'!E38))),('V06 Calend 01'!H38-('V06 Calend 01'!I38*('V06 Calend 01'!E38-1))),'V06 Calend 01'!I38),0))+IF((82='V06 Calend 01'!D38),'V06 Calend 01'!J38,0))</f>
        <v>0</v>
      </c>
      <c r="CQ38" s="2">
        <f>((IF((83='V06 Calend 01'!C38),('V06 Calend 01'!F38+'V06 Calend 01'!G38),0)+IF(AND(('V06 Calend 01'!E38&gt;0),(83&gt;'V06 Calend 01'!C38),(83&lt;'V06 Calend 01'!D38),(MOD((83-'V06 Calend 01'!C38),6)=0),(((83-'V06 Calend 01'!C38)/6)&lt;='V06 Calend 01'!E38)),IF((83=('V06 Calend 01'!C38+(6*'V06 Calend 01'!E38))),('V06 Calend 01'!H38-('V06 Calend 01'!I38*('V06 Calend 01'!E38-1))),'V06 Calend 01'!I38),0))+IF((83='V06 Calend 01'!D38),'V06 Calend 01'!J38,0))</f>
        <v>0</v>
      </c>
      <c r="CR38" s="2">
        <f>((IF((84='V06 Calend 01'!C38),('V06 Calend 01'!F38+'V06 Calend 01'!G38),0)+IF(AND(('V06 Calend 01'!E38&gt;0),(84&gt;'V06 Calend 01'!C38),(84&lt;'V06 Calend 01'!D38),(MOD((84-'V06 Calend 01'!C38),6)=0),(((84-'V06 Calend 01'!C38)/6)&lt;='V06 Calend 01'!E38)),IF((84=('V06 Calend 01'!C38+(6*'V06 Calend 01'!E38))),('V06 Calend 01'!H38-('V06 Calend 01'!I38*('V06 Calend 01'!E38-1))),'V06 Calend 01'!I38),0))+IF((84='V06 Calend 01'!D38),'V06 Calend 01'!J38,0))</f>
        <v>0</v>
      </c>
      <c r="CS38" s="2">
        <f>((IF((85='V06 Calend 01'!C38),('V06 Calend 01'!F38+'V06 Calend 01'!G38),0)+IF(AND(('V06 Calend 01'!E38&gt;0),(85&gt;'V06 Calend 01'!C38),(85&lt;'V06 Calend 01'!D38),(MOD((85-'V06 Calend 01'!C38),6)=0),(((85-'V06 Calend 01'!C38)/6)&lt;='V06 Calend 01'!E38)),IF((85=('V06 Calend 01'!C38+(6*'V06 Calend 01'!E38))),('V06 Calend 01'!H38-('V06 Calend 01'!I38*('V06 Calend 01'!E38-1))),'V06 Calend 01'!I38),0))+IF((85='V06 Calend 01'!D38),'V06 Calend 01'!J38,0))</f>
        <v>0</v>
      </c>
      <c r="CT38" s="2">
        <f>((IF((86='V06 Calend 01'!C38),('V06 Calend 01'!F38+'V06 Calend 01'!G38),0)+IF(AND(('V06 Calend 01'!E38&gt;0),(86&gt;'V06 Calend 01'!C38),(86&lt;'V06 Calend 01'!D38),(MOD((86-'V06 Calend 01'!C38),6)=0),(((86-'V06 Calend 01'!C38)/6)&lt;='V06 Calend 01'!E38)),IF((86=('V06 Calend 01'!C38+(6*'V06 Calend 01'!E38))),('V06 Calend 01'!H38-('V06 Calend 01'!I38*('V06 Calend 01'!E38-1))),'V06 Calend 01'!I38),0))+IF((86='V06 Calend 01'!D38),'V06 Calend 01'!J38,0))</f>
        <v>0</v>
      </c>
      <c r="CU38" s="2">
        <f>((IF((87='V06 Calend 01'!C38),('V06 Calend 01'!F38+'V06 Calend 01'!G38),0)+IF(AND(('V06 Calend 01'!E38&gt;0),(87&gt;'V06 Calend 01'!C38),(87&lt;'V06 Calend 01'!D38),(MOD((87-'V06 Calend 01'!C38),6)=0),(((87-'V06 Calend 01'!C38)/6)&lt;='V06 Calend 01'!E38)),IF((87=('V06 Calend 01'!C38+(6*'V06 Calend 01'!E38))),('V06 Calend 01'!H38-('V06 Calend 01'!I38*('V06 Calend 01'!E38-1))),'V06 Calend 01'!I38),0))+IF((87='V06 Calend 01'!D38),'V06 Calend 01'!J38,0))</f>
        <v>0</v>
      </c>
      <c r="CV38" s="2">
        <f>((IF((88='V06 Calend 01'!C38),('V06 Calend 01'!F38+'V06 Calend 01'!G38),0)+IF(AND(('V06 Calend 01'!E38&gt;0),(88&gt;'V06 Calend 01'!C38),(88&lt;'V06 Calend 01'!D38),(MOD((88-'V06 Calend 01'!C38),6)=0),(((88-'V06 Calend 01'!C38)/6)&lt;='V06 Calend 01'!E38)),IF((88=('V06 Calend 01'!C38+(6*'V06 Calend 01'!E38))),('V06 Calend 01'!H38-('V06 Calend 01'!I38*('V06 Calend 01'!E38-1))),'V06 Calend 01'!I38),0))+IF((88='V06 Calend 01'!D38),'V06 Calend 01'!J38,0))</f>
        <v>0</v>
      </c>
      <c r="CW38" s="2">
        <f>((IF((89='V06 Calend 01'!C38),('V06 Calend 01'!F38+'V06 Calend 01'!G38),0)+IF(AND(('V06 Calend 01'!E38&gt;0),(89&gt;'V06 Calend 01'!C38),(89&lt;'V06 Calend 01'!D38),(MOD((89-'V06 Calend 01'!C38),6)=0),(((89-'V06 Calend 01'!C38)/6)&lt;='V06 Calend 01'!E38)),IF((89=('V06 Calend 01'!C38+(6*'V06 Calend 01'!E38))),('V06 Calend 01'!H38-('V06 Calend 01'!I38*('V06 Calend 01'!E38-1))),'V06 Calend 01'!I38),0))+IF((89='V06 Calend 01'!D38),'V06 Calend 01'!J38,0))</f>
        <v>0</v>
      </c>
      <c r="CX38" s="2">
        <f>((IF((90='V06 Calend 01'!C38),('V06 Calend 01'!F38+'V06 Calend 01'!G38),0)+IF(AND(('V06 Calend 01'!E38&gt;0),(90&gt;'V06 Calend 01'!C38),(90&lt;'V06 Calend 01'!D38),(MOD((90-'V06 Calend 01'!C38),6)=0),(((90-'V06 Calend 01'!C38)/6)&lt;='V06 Calend 01'!E38)),IF((90=('V06 Calend 01'!C38+(6*'V06 Calend 01'!E38))),('V06 Calend 01'!H38-('V06 Calend 01'!I38*('V06 Calend 01'!E38-1))),'V06 Calend 01'!I38),0))+IF((90='V06 Calend 01'!D38),'V06 Calend 01'!J38,0))</f>
        <v>0</v>
      </c>
      <c r="CY38" s="2">
        <f>((IF((91='V06 Calend 01'!C38),('V06 Calend 01'!F38+'V06 Calend 01'!G38),0)+IF(AND(('V06 Calend 01'!E38&gt;0),(91&gt;'V06 Calend 01'!C38),(91&lt;'V06 Calend 01'!D38),(MOD((91-'V06 Calend 01'!C38),6)=0),(((91-'V06 Calend 01'!C38)/6)&lt;='V06 Calend 01'!E38)),IF((91=('V06 Calend 01'!C38+(6*'V06 Calend 01'!E38))),('V06 Calend 01'!H38-('V06 Calend 01'!I38*('V06 Calend 01'!E38-1))),'V06 Calend 01'!I38),0))+IF((91='V06 Calend 01'!D38),'V06 Calend 01'!J38,0))</f>
        <v>0</v>
      </c>
      <c r="CZ38" s="2">
        <f>((IF((92='V06 Calend 01'!C38),('V06 Calend 01'!F38+'V06 Calend 01'!G38),0)+IF(AND(('V06 Calend 01'!E38&gt;0),(92&gt;'V06 Calend 01'!C38),(92&lt;'V06 Calend 01'!D38),(MOD((92-'V06 Calend 01'!C38),6)=0),(((92-'V06 Calend 01'!C38)/6)&lt;='V06 Calend 01'!E38)),IF((92=('V06 Calend 01'!C38+(6*'V06 Calend 01'!E38))),('V06 Calend 01'!H38-('V06 Calend 01'!I38*('V06 Calend 01'!E38-1))),'V06 Calend 01'!I38),0))+IF((92='V06 Calend 01'!D38),'V06 Calend 01'!J38,0))</f>
        <v>0</v>
      </c>
      <c r="DA38" s="2">
        <f>((IF((93='V06 Calend 01'!C38),('V06 Calend 01'!F38+'V06 Calend 01'!G38),0)+IF(AND(('V06 Calend 01'!E38&gt;0),(93&gt;'V06 Calend 01'!C38),(93&lt;'V06 Calend 01'!D38),(MOD((93-'V06 Calend 01'!C38),6)=0),(((93-'V06 Calend 01'!C38)/6)&lt;='V06 Calend 01'!E38)),IF((93=('V06 Calend 01'!C38+(6*'V06 Calend 01'!E38))),('V06 Calend 01'!H38-('V06 Calend 01'!I38*('V06 Calend 01'!E38-1))),'V06 Calend 01'!I38),0))+IF((93='V06 Calend 01'!D38),'V06 Calend 01'!J38,0))</f>
        <v>0</v>
      </c>
      <c r="DB38" s="2">
        <f>((IF((94='V06 Calend 01'!C38),('V06 Calend 01'!F38+'V06 Calend 01'!G38),0)+IF(AND(('V06 Calend 01'!E38&gt;0),(94&gt;'V06 Calend 01'!C38),(94&lt;'V06 Calend 01'!D38),(MOD((94-'V06 Calend 01'!C38),6)=0),(((94-'V06 Calend 01'!C38)/6)&lt;='V06 Calend 01'!E38)),IF((94=('V06 Calend 01'!C38+(6*'V06 Calend 01'!E38))),('V06 Calend 01'!H38-('V06 Calend 01'!I38*('V06 Calend 01'!E38-1))),'V06 Calend 01'!I38),0))+IF((94='V06 Calend 01'!D38),'V06 Calend 01'!J38,0))</f>
        <v>0</v>
      </c>
      <c r="DC38" s="2">
        <f>((IF((95='V06 Calend 01'!C38),('V06 Calend 01'!F38+'V06 Calend 01'!G38),0)+IF(AND(('V06 Calend 01'!E38&gt;0),(95&gt;'V06 Calend 01'!C38),(95&lt;'V06 Calend 01'!D38),(MOD((95-'V06 Calend 01'!C38),6)=0),(((95-'V06 Calend 01'!C38)/6)&lt;='V06 Calend 01'!E38)),IF((95=('V06 Calend 01'!C38+(6*'V06 Calend 01'!E38))),('V06 Calend 01'!H38-('V06 Calend 01'!I38*('V06 Calend 01'!E38-1))),'V06 Calend 01'!I38),0))+IF((95='V06 Calend 01'!D38),'V06 Calend 01'!J38,0))</f>
        <v>0</v>
      </c>
      <c r="DD38" s="2">
        <f>((IF((96='V06 Calend 01'!C38),('V06 Calend 01'!F38+'V06 Calend 01'!G38),0)+IF(AND(('V06 Calend 01'!E38&gt;0),(96&gt;'V06 Calend 01'!C38),(96&lt;'V06 Calend 01'!D38),(MOD((96-'V06 Calend 01'!C38),6)=0),(((96-'V06 Calend 01'!C38)/6)&lt;='V06 Calend 01'!E38)),IF((96=('V06 Calend 01'!C38+(6*'V06 Calend 01'!E38))),('V06 Calend 01'!H38-('V06 Calend 01'!I38*('V06 Calend 01'!E38-1))),'V06 Calend 01'!I38),0))+IF((96='V06 Calend 01'!D38),'V06 Calend 01'!J38,0))</f>
        <v>0</v>
      </c>
      <c r="DE38" s="2">
        <f>((IF((97='V06 Calend 01'!C38),('V06 Calend 01'!F38+'V06 Calend 01'!G38),0)+IF(AND(('V06 Calend 01'!E38&gt;0),(97&gt;'V06 Calend 01'!C38),(97&lt;'V06 Calend 01'!D38),(MOD((97-'V06 Calend 01'!C38),6)=0),(((97-'V06 Calend 01'!C38)/6)&lt;='V06 Calend 01'!E38)),IF((97=('V06 Calend 01'!C38+(6*'V06 Calend 01'!E38))),('V06 Calend 01'!H38-('V06 Calend 01'!I38*('V06 Calend 01'!E38-1))),'V06 Calend 01'!I38),0))+IF((97='V06 Calend 01'!D38),'V06 Calend 01'!J38,0))</f>
        <v>0</v>
      </c>
      <c r="DF38" s="2">
        <f>((IF((98='V06 Calend 01'!C38),('V06 Calend 01'!F38+'V06 Calend 01'!G38),0)+IF(AND(('V06 Calend 01'!E38&gt;0),(98&gt;'V06 Calend 01'!C38),(98&lt;'V06 Calend 01'!D38),(MOD((98-'V06 Calend 01'!C38),6)=0),(((98-'V06 Calend 01'!C38)/6)&lt;='V06 Calend 01'!E38)),IF((98=('V06 Calend 01'!C38+(6*'V06 Calend 01'!E38))),('V06 Calend 01'!H38-('V06 Calend 01'!I38*('V06 Calend 01'!E38-1))),'V06 Calend 01'!I38),0))+IF((98='V06 Calend 01'!D38),'V06 Calend 01'!J38,0))</f>
        <v>0</v>
      </c>
      <c r="DG38" s="2">
        <f>((IF((99='V06 Calend 01'!C38),('V06 Calend 01'!F38+'V06 Calend 01'!G38),0)+IF(AND(('V06 Calend 01'!E38&gt;0),(99&gt;'V06 Calend 01'!C38),(99&lt;'V06 Calend 01'!D38),(MOD((99-'V06 Calend 01'!C38),6)=0),(((99-'V06 Calend 01'!C38)/6)&lt;='V06 Calend 01'!E38)),IF((99=('V06 Calend 01'!C38+(6*'V06 Calend 01'!E38))),('V06 Calend 01'!H38-('V06 Calend 01'!I38*('V06 Calend 01'!E38-1))),'V06 Calend 01'!I38),0))+IF((99='V06 Calend 01'!D38),'V06 Calend 01'!J38,0))</f>
        <v>0</v>
      </c>
      <c r="DH38" s="2">
        <f>((IF((100='V06 Calend 01'!C38),('V06 Calend 01'!F38+'V06 Calend 01'!G38),0)+IF(AND(('V06 Calend 01'!E38&gt;0),(100&gt;'V06 Calend 01'!C38),(100&lt;'V06 Calend 01'!D38),(MOD((100-'V06 Calend 01'!C38),6)=0),(((100-'V06 Calend 01'!C38)/6)&lt;='V06 Calend 01'!E38)),IF((100=('V06 Calend 01'!C38+(6*'V06 Calend 01'!E38))),('V06 Calend 01'!H38-('V06 Calend 01'!I38*('V06 Calend 01'!E38-1))),'V06 Calend 01'!I38),0))+IF((100='V06 Calend 01'!D38),'V06 Calend 01'!J38,0))</f>
        <v>0</v>
      </c>
      <c r="DI38" s="2">
        <f>((IF((101='V06 Calend 01'!C38),('V06 Calend 01'!F38+'V06 Calend 01'!G38),0)+IF(AND(('V06 Calend 01'!E38&gt;0),(101&gt;'V06 Calend 01'!C38),(101&lt;'V06 Calend 01'!D38),(MOD((101-'V06 Calend 01'!C38),6)=0),(((101-'V06 Calend 01'!C38)/6)&lt;='V06 Calend 01'!E38)),IF((101=('V06 Calend 01'!C38+(6*'V06 Calend 01'!E38))),('V06 Calend 01'!H38-('V06 Calend 01'!I38*('V06 Calend 01'!E38-1))),'V06 Calend 01'!I38),0))+IF((101='V06 Calend 01'!D38),'V06 Calend 01'!J38,0))</f>
        <v>0</v>
      </c>
      <c r="DJ38" s="2">
        <f>((IF((102='V06 Calend 01'!C38),('V06 Calend 01'!F38+'V06 Calend 01'!G38),0)+IF(AND(('V06 Calend 01'!E38&gt;0),(102&gt;'V06 Calend 01'!C38),(102&lt;'V06 Calend 01'!D38),(MOD((102-'V06 Calend 01'!C38),6)=0),(((102-'V06 Calend 01'!C38)/6)&lt;='V06 Calend 01'!E38)),IF((102=('V06 Calend 01'!C38+(6*'V06 Calend 01'!E38))),('V06 Calend 01'!H38-('V06 Calend 01'!I38*('V06 Calend 01'!E38-1))),'V06 Calend 01'!I38),0))+IF((102='V06 Calend 01'!D38),'V06 Calend 01'!J38,0))</f>
        <v>0</v>
      </c>
      <c r="DK38" s="2">
        <f>((IF((103='V06 Calend 01'!C38),('V06 Calend 01'!F38+'V06 Calend 01'!G38),0)+IF(AND(('V06 Calend 01'!E38&gt;0),(103&gt;'V06 Calend 01'!C38),(103&lt;'V06 Calend 01'!D38),(MOD((103-'V06 Calend 01'!C38),6)=0),(((103-'V06 Calend 01'!C38)/6)&lt;='V06 Calend 01'!E38)),IF((103=('V06 Calend 01'!C38+(6*'V06 Calend 01'!E38))),('V06 Calend 01'!H38-('V06 Calend 01'!I38*('V06 Calend 01'!E38-1))),'V06 Calend 01'!I38),0))+IF((103='V06 Calend 01'!D38),'V06 Calend 01'!J38,0))</f>
        <v>0</v>
      </c>
      <c r="DL38" s="2">
        <f>((IF((104='V06 Calend 01'!C38),('V06 Calend 01'!F38+'V06 Calend 01'!G38),0)+IF(AND(('V06 Calend 01'!E38&gt;0),(104&gt;'V06 Calend 01'!C38),(104&lt;'V06 Calend 01'!D38),(MOD((104-'V06 Calend 01'!C38),6)=0),(((104-'V06 Calend 01'!C38)/6)&lt;='V06 Calend 01'!E38)),IF((104=('V06 Calend 01'!C38+(6*'V06 Calend 01'!E38))),('V06 Calend 01'!H38-('V06 Calend 01'!I38*('V06 Calend 01'!E38-1))),'V06 Calend 01'!I38),0))+IF((104='V06 Calend 01'!D38),'V06 Calend 01'!J38,0))</f>
        <v>0</v>
      </c>
      <c r="DM38" s="2">
        <f>((IF((105='V06 Calend 01'!C38),('V06 Calend 01'!F38+'V06 Calend 01'!G38),0)+IF(AND(('V06 Calend 01'!E38&gt;0),(105&gt;'V06 Calend 01'!C38),(105&lt;'V06 Calend 01'!D38),(MOD((105-'V06 Calend 01'!C38),6)=0),(((105-'V06 Calend 01'!C38)/6)&lt;='V06 Calend 01'!E38)),IF((105=('V06 Calend 01'!C38+(6*'V06 Calend 01'!E38))),('V06 Calend 01'!H38-('V06 Calend 01'!I38*('V06 Calend 01'!E38-1))),'V06 Calend 01'!I38),0))+IF((105='V06 Calend 01'!D38),'V06 Calend 01'!J38,0))</f>
        <v>0</v>
      </c>
      <c r="DN38" s="2">
        <f>((IF((106='V06 Calend 01'!C38),('V06 Calend 01'!F38+'V06 Calend 01'!G38),0)+IF(AND(('V06 Calend 01'!E38&gt;0),(106&gt;'V06 Calend 01'!C38),(106&lt;'V06 Calend 01'!D38),(MOD((106-'V06 Calend 01'!C38),6)=0),(((106-'V06 Calend 01'!C38)/6)&lt;='V06 Calend 01'!E38)),IF((106=('V06 Calend 01'!C38+(6*'V06 Calend 01'!E38))),('V06 Calend 01'!H38-('V06 Calend 01'!I38*('V06 Calend 01'!E38-1))),'V06 Calend 01'!I38),0))+IF((106='V06 Calend 01'!D38),'V06 Calend 01'!J38,0))</f>
        <v>0</v>
      </c>
      <c r="DO38" s="2">
        <f>((IF((107='V06 Calend 01'!C38),('V06 Calend 01'!F38+'V06 Calend 01'!G38),0)+IF(AND(('V06 Calend 01'!E38&gt;0),(107&gt;'V06 Calend 01'!C38),(107&lt;'V06 Calend 01'!D38),(MOD((107-'V06 Calend 01'!C38),6)=0),(((107-'V06 Calend 01'!C38)/6)&lt;='V06 Calend 01'!E38)),IF((107=('V06 Calend 01'!C38+(6*'V06 Calend 01'!E38))),('V06 Calend 01'!H38-('V06 Calend 01'!I38*('V06 Calend 01'!E38-1))),'V06 Calend 01'!I38),0))+IF((107='V06 Calend 01'!D38),'V06 Calend 01'!J38,0))</f>
        <v>0</v>
      </c>
      <c r="DP38" s="2">
        <f>((IF((108='V06 Calend 01'!C38),('V06 Calend 01'!F38+'V06 Calend 01'!G38),0)+IF(AND(('V06 Calend 01'!E38&gt;0),(108&gt;'V06 Calend 01'!C38),(108&lt;'V06 Calend 01'!D38),(MOD((108-'V06 Calend 01'!C38),6)=0),(((108-'V06 Calend 01'!C38)/6)&lt;='V06 Calend 01'!E38)),IF((108=('V06 Calend 01'!C38+(6*'V06 Calend 01'!E38))),('V06 Calend 01'!H38-('V06 Calend 01'!I38*('V06 Calend 01'!E38-1))),'V06 Calend 01'!I38),0))+IF((108='V06 Calend 01'!D38),'V06 Calend 01'!J38,0))</f>
        <v>0</v>
      </c>
      <c r="DQ38" s="2">
        <f>((IF((109='V06 Calend 01'!C38),('V06 Calend 01'!F38+'V06 Calend 01'!G38),0)+IF(AND(('V06 Calend 01'!E38&gt;0),(109&gt;'V06 Calend 01'!C38),(109&lt;'V06 Calend 01'!D38),(MOD((109-'V06 Calend 01'!C38),6)=0),(((109-'V06 Calend 01'!C38)/6)&lt;='V06 Calend 01'!E38)),IF((109=('V06 Calend 01'!C38+(6*'V06 Calend 01'!E38))),('V06 Calend 01'!H38-('V06 Calend 01'!I38*('V06 Calend 01'!E38-1))),'V06 Calend 01'!I38),0))+IF((109='V06 Calend 01'!D38),'V06 Calend 01'!J38,0))</f>
        <v>0</v>
      </c>
      <c r="DR38" s="2">
        <f>((IF((110='V06 Calend 01'!C38),('V06 Calend 01'!F38+'V06 Calend 01'!G38),0)+IF(AND(('V06 Calend 01'!E38&gt;0),(110&gt;'V06 Calend 01'!C38),(110&lt;'V06 Calend 01'!D38),(MOD((110-'V06 Calend 01'!C38),6)=0),(((110-'V06 Calend 01'!C38)/6)&lt;='V06 Calend 01'!E38)),IF((110=('V06 Calend 01'!C38+(6*'V06 Calend 01'!E38))),('V06 Calend 01'!H38-('V06 Calend 01'!I38*('V06 Calend 01'!E38-1))),'V06 Calend 01'!I38),0))+IF((110='V06 Calend 01'!D38),'V06 Calend 01'!J38,0))</f>
        <v>0</v>
      </c>
      <c r="DS38" s="2">
        <f>((IF((111='V06 Calend 01'!C38),('V06 Calend 01'!F38+'V06 Calend 01'!G38),0)+IF(AND(('V06 Calend 01'!E38&gt;0),(111&gt;'V06 Calend 01'!C38),(111&lt;'V06 Calend 01'!D38),(MOD((111-'V06 Calend 01'!C38),6)=0),(((111-'V06 Calend 01'!C38)/6)&lt;='V06 Calend 01'!E38)),IF((111=('V06 Calend 01'!C38+(6*'V06 Calend 01'!E38))),('V06 Calend 01'!H38-('V06 Calend 01'!I38*('V06 Calend 01'!E38-1))),'V06 Calend 01'!I38),0))+IF((111='V06 Calend 01'!D38),'V06 Calend 01'!J38,0))</f>
        <v>0</v>
      </c>
      <c r="DT38" s="2">
        <f>((IF((112='V06 Calend 01'!C38),('V06 Calend 01'!F38+'V06 Calend 01'!G38),0)+IF(AND(('V06 Calend 01'!E38&gt;0),(112&gt;'V06 Calend 01'!C38),(112&lt;'V06 Calend 01'!D38),(MOD((112-'V06 Calend 01'!C38),6)=0),(((112-'V06 Calend 01'!C38)/6)&lt;='V06 Calend 01'!E38)),IF((112=('V06 Calend 01'!C38+(6*'V06 Calend 01'!E38))),('V06 Calend 01'!H38-('V06 Calend 01'!I38*('V06 Calend 01'!E38-1))),'V06 Calend 01'!I38),0))+IF((112='V06 Calend 01'!D38),'V06 Calend 01'!J38,0))</f>
        <v>0</v>
      </c>
      <c r="DU38" s="2">
        <f>((IF((113='V06 Calend 01'!C38),('V06 Calend 01'!F38+'V06 Calend 01'!G38),0)+IF(AND(('V06 Calend 01'!E38&gt;0),(113&gt;'V06 Calend 01'!C38),(113&lt;'V06 Calend 01'!D38),(MOD((113-'V06 Calend 01'!C38),6)=0),(((113-'V06 Calend 01'!C38)/6)&lt;='V06 Calend 01'!E38)),IF((113=('V06 Calend 01'!C38+(6*'V06 Calend 01'!E38))),('V06 Calend 01'!H38-('V06 Calend 01'!I38*('V06 Calend 01'!E38-1))),'V06 Calend 01'!I38),0))+IF((113='V06 Calend 01'!D38),'V06 Calend 01'!J38,0))</f>
        <v>0</v>
      </c>
      <c r="DV38" s="2">
        <f>((IF((114='V06 Calend 01'!C38),('V06 Calend 01'!F38+'V06 Calend 01'!G38),0)+IF(AND(('V06 Calend 01'!E38&gt;0),(114&gt;'V06 Calend 01'!C38),(114&lt;'V06 Calend 01'!D38),(MOD((114-'V06 Calend 01'!C38),6)=0),(((114-'V06 Calend 01'!C38)/6)&lt;='V06 Calend 01'!E38)),IF((114=('V06 Calend 01'!C38+(6*'V06 Calend 01'!E38))),('V06 Calend 01'!H38-('V06 Calend 01'!I38*('V06 Calend 01'!E38-1))),'V06 Calend 01'!I38),0))+IF((114='V06 Calend 01'!D38),'V06 Calend 01'!J38,0))</f>
        <v>0</v>
      </c>
      <c r="DW38" s="2">
        <f>((IF((115='V06 Calend 01'!C38),('V06 Calend 01'!F38+'V06 Calend 01'!G38),0)+IF(AND(('V06 Calend 01'!E38&gt;0),(115&gt;'V06 Calend 01'!C38),(115&lt;'V06 Calend 01'!D38),(MOD((115-'V06 Calend 01'!C38),6)=0),(((115-'V06 Calend 01'!C38)/6)&lt;='V06 Calend 01'!E38)),IF((115=('V06 Calend 01'!C38+(6*'V06 Calend 01'!E38))),('V06 Calend 01'!H38-('V06 Calend 01'!I38*('V06 Calend 01'!E38-1))),'V06 Calend 01'!I38),0))+IF((115='V06 Calend 01'!D38),'V06 Calend 01'!J38,0))</f>
        <v>0</v>
      </c>
      <c r="DX38" s="2">
        <f>((IF((116='V06 Calend 01'!C38),('V06 Calend 01'!F38+'V06 Calend 01'!G38),0)+IF(AND(('V06 Calend 01'!E38&gt;0),(116&gt;'V06 Calend 01'!C38),(116&lt;'V06 Calend 01'!D38),(MOD((116-'V06 Calend 01'!C38),6)=0),(((116-'V06 Calend 01'!C38)/6)&lt;='V06 Calend 01'!E38)),IF((116=('V06 Calend 01'!C38+(6*'V06 Calend 01'!E38))),('V06 Calend 01'!H38-('V06 Calend 01'!I38*('V06 Calend 01'!E38-1))),'V06 Calend 01'!I38),0))+IF((116='V06 Calend 01'!D38),'V06 Calend 01'!J38,0))</f>
        <v>0</v>
      </c>
      <c r="DY38" s="2">
        <f>((IF((117='V06 Calend 01'!C38),('V06 Calend 01'!F38+'V06 Calend 01'!G38),0)+IF(AND(('V06 Calend 01'!E38&gt;0),(117&gt;'V06 Calend 01'!C38),(117&lt;'V06 Calend 01'!D38),(MOD((117-'V06 Calend 01'!C38),6)=0),(((117-'V06 Calend 01'!C38)/6)&lt;='V06 Calend 01'!E38)),IF((117=('V06 Calend 01'!C38+(6*'V06 Calend 01'!E38))),('V06 Calend 01'!H38-('V06 Calend 01'!I38*('V06 Calend 01'!E38-1))),'V06 Calend 01'!I38),0))+IF((117='V06 Calend 01'!D38),'V06 Calend 01'!J38,0))</f>
        <v>0</v>
      </c>
      <c r="DZ38" s="2">
        <f>((IF((118='V06 Calend 01'!C38),('V06 Calend 01'!F38+'V06 Calend 01'!G38),0)+IF(AND(('V06 Calend 01'!E38&gt;0),(118&gt;'V06 Calend 01'!C38),(118&lt;'V06 Calend 01'!D38),(MOD((118-'V06 Calend 01'!C38),6)=0),(((118-'V06 Calend 01'!C38)/6)&lt;='V06 Calend 01'!E38)),IF((118=('V06 Calend 01'!C38+(6*'V06 Calend 01'!E38))),('V06 Calend 01'!H38-('V06 Calend 01'!I38*('V06 Calend 01'!E38-1))),'V06 Calend 01'!I38),0))+IF((118='V06 Calend 01'!D38),'V06 Calend 01'!J38,0))</f>
        <v>0</v>
      </c>
      <c r="EA38" s="2">
        <f>((IF((119='V06 Calend 01'!C38),('V06 Calend 01'!F38+'V06 Calend 01'!G38),0)+IF(AND(('V06 Calend 01'!E38&gt;0),(119&gt;'V06 Calend 01'!C38),(119&lt;'V06 Calend 01'!D38),(MOD((119-'V06 Calend 01'!C38),6)=0),(((119-'V06 Calend 01'!C38)/6)&lt;='V06 Calend 01'!E38)),IF((119=('V06 Calend 01'!C38+(6*'V06 Calend 01'!E38))),('V06 Calend 01'!H38-('V06 Calend 01'!I38*('V06 Calend 01'!E38-1))),'V06 Calend 01'!I38),0))+IF((119='V06 Calend 01'!D38),'V06 Calend 01'!J38,0))</f>
        <v>0</v>
      </c>
      <c r="EB38" s="2">
        <f>((IF((120='V06 Calend 01'!C38),('V06 Calend 01'!F38+'V06 Calend 01'!G38),0)+IF(AND(('V06 Calend 01'!E38&gt;0),(120&gt;'V06 Calend 01'!C38),(120&lt;'V06 Calend 01'!D38),(MOD((120-'V06 Calend 01'!C38),6)=0),(((120-'V06 Calend 01'!C38)/6)&lt;='V06 Calend 01'!E38)),IF((120=('V06 Calend 01'!C38+(6*'V06 Calend 01'!E38))),('V06 Calend 01'!H38-('V06 Calend 01'!I38*('V06 Calend 01'!E38-1))),'V06 Calend 01'!I38),0))+IF((120='V06 Calend 01'!D38),'V06 Calend 01'!J38,0))</f>
        <v>0</v>
      </c>
      <c r="EC38" s="2">
        <f>((IF((121='V06 Calend 01'!C38),('V06 Calend 01'!F38+'V06 Calend 01'!G38),0)+IF(AND(('V06 Calend 01'!E38&gt;0),(121&gt;'V06 Calend 01'!C38),(121&lt;'V06 Calend 01'!D38),(MOD((121-'V06 Calend 01'!C38),6)=0),(((121-'V06 Calend 01'!C38)/6)&lt;='V06 Calend 01'!E38)),IF((121=('V06 Calend 01'!C38+(6*'V06 Calend 01'!E38))),('V06 Calend 01'!H38-('V06 Calend 01'!I38*('V06 Calend 01'!E38-1))),'V06 Calend 01'!I38),0))+IF((121='V06 Calend 01'!D38),'V06 Calend 01'!J38,0))</f>
        <v>0</v>
      </c>
      <c r="ED38" s="2">
        <f>((IF((122='V06 Calend 01'!C38),('V06 Calend 01'!F38+'V06 Calend 01'!G38),0)+IF(AND(('V06 Calend 01'!E38&gt;0),(122&gt;'V06 Calend 01'!C38),(122&lt;'V06 Calend 01'!D38),(MOD((122-'V06 Calend 01'!C38),6)=0),(((122-'V06 Calend 01'!C38)/6)&lt;='V06 Calend 01'!E38)),IF((122=('V06 Calend 01'!C38+(6*'V06 Calend 01'!E38))),('V06 Calend 01'!H38-('V06 Calend 01'!I38*('V06 Calend 01'!E38-1))),'V06 Calend 01'!I38),0))+IF((122='V06 Calend 01'!D38),'V06 Calend 01'!J38,0))</f>
        <v>0</v>
      </c>
      <c r="EE38" s="2">
        <f>((IF((123='V06 Calend 01'!C38),('V06 Calend 01'!F38+'V06 Calend 01'!G38),0)+IF(AND(('V06 Calend 01'!E38&gt;0),(123&gt;'V06 Calend 01'!C38),(123&lt;'V06 Calend 01'!D38),(MOD((123-'V06 Calend 01'!C38),6)=0),(((123-'V06 Calend 01'!C38)/6)&lt;='V06 Calend 01'!E38)),IF((123=('V06 Calend 01'!C38+(6*'V06 Calend 01'!E38))),('V06 Calend 01'!H38-('V06 Calend 01'!I38*('V06 Calend 01'!E38-1))),'V06 Calend 01'!I38),0))+IF((123='V06 Calend 01'!D38),'V06 Calend 01'!J38,0))</f>
        <v>0</v>
      </c>
      <c r="EF38" s="2">
        <f>((IF((124='V06 Calend 01'!C38),('V06 Calend 01'!F38+'V06 Calend 01'!G38),0)+IF(AND(('V06 Calend 01'!E38&gt;0),(124&gt;'V06 Calend 01'!C38),(124&lt;'V06 Calend 01'!D38),(MOD((124-'V06 Calend 01'!C38),6)=0),(((124-'V06 Calend 01'!C38)/6)&lt;='V06 Calend 01'!E38)),IF((124=('V06 Calend 01'!C38+(6*'V06 Calend 01'!E38))),('V06 Calend 01'!H38-('V06 Calend 01'!I38*('V06 Calend 01'!E38-1))),'V06 Calend 01'!I38),0))+IF((124='V06 Calend 01'!D38),'V06 Calend 01'!J38,0))</f>
        <v>0</v>
      </c>
      <c r="EG38" s="2">
        <f>((IF((125='V06 Calend 01'!C38),('V06 Calend 01'!F38+'V06 Calend 01'!G38),0)+IF(AND(('V06 Calend 01'!E38&gt;0),(125&gt;'V06 Calend 01'!C38),(125&lt;'V06 Calend 01'!D38),(MOD((125-'V06 Calend 01'!C38),6)=0),(((125-'V06 Calend 01'!C38)/6)&lt;='V06 Calend 01'!E38)),IF((125=('V06 Calend 01'!C38+(6*'V06 Calend 01'!E38))),('V06 Calend 01'!H38-('V06 Calend 01'!I38*('V06 Calend 01'!E38-1))),'V06 Calend 01'!I38),0))+IF((125='V06 Calend 01'!D38),'V06 Calend 01'!J38,0))</f>
        <v>0</v>
      </c>
      <c r="EH38" s="2">
        <f>((IF((126='V06 Calend 01'!C38),('V06 Calend 01'!F38+'V06 Calend 01'!G38),0)+IF(AND(('V06 Calend 01'!E38&gt;0),(126&gt;'V06 Calend 01'!C38),(126&lt;'V06 Calend 01'!D38),(MOD((126-'V06 Calend 01'!C38),6)=0),(((126-'V06 Calend 01'!C38)/6)&lt;='V06 Calend 01'!E38)),IF((126=('V06 Calend 01'!C38+(6*'V06 Calend 01'!E38))),('V06 Calend 01'!H38-('V06 Calend 01'!I38*('V06 Calend 01'!E38-1))),'V06 Calend 01'!I38),0))+IF((126='V06 Calend 01'!D38),'V06 Calend 01'!J38,0))</f>
        <v>0</v>
      </c>
      <c r="EI38" s="2">
        <f>((IF((127='V06 Calend 01'!C38),('V06 Calend 01'!F38+'V06 Calend 01'!G38),0)+IF(AND(('V06 Calend 01'!E38&gt;0),(127&gt;'V06 Calend 01'!C38),(127&lt;'V06 Calend 01'!D38),(MOD((127-'V06 Calend 01'!C38),6)=0),(((127-'V06 Calend 01'!C38)/6)&lt;='V06 Calend 01'!E38)),IF((127=('V06 Calend 01'!C38+(6*'V06 Calend 01'!E38))),('V06 Calend 01'!H38-('V06 Calend 01'!I38*('V06 Calend 01'!E38-1))),'V06 Calend 01'!I38),0))+IF((127='V06 Calend 01'!D38),'V06 Calend 01'!J38,0))</f>
        <v>0</v>
      </c>
      <c r="EJ38" s="2">
        <f>((IF((128='V06 Calend 01'!C38),('V06 Calend 01'!F38+'V06 Calend 01'!G38),0)+IF(AND(('V06 Calend 01'!E38&gt;0),(128&gt;'V06 Calend 01'!C38),(128&lt;'V06 Calend 01'!D38),(MOD((128-'V06 Calend 01'!C38),6)=0),(((128-'V06 Calend 01'!C38)/6)&lt;='V06 Calend 01'!E38)),IF((128=('V06 Calend 01'!C38+(6*'V06 Calend 01'!E38))),('V06 Calend 01'!H38-('V06 Calend 01'!I38*('V06 Calend 01'!E38-1))),'V06 Calend 01'!I38),0))+IF((128='V06 Calend 01'!D38),'V06 Calend 01'!J38,0))</f>
        <v>0</v>
      </c>
      <c r="EK38" s="2">
        <f>((IF((129='V06 Calend 01'!C38),('V06 Calend 01'!F38+'V06 Calend 01'!G38),0)+IF(AND(('V06 Calend 01'!E38&gt;0),(129&gt;'V06 Calend 01'!C38),(129&lt;'V06 Calend 01'!D38),(MOD((129-'V06 Calend 01'!C38),6)=0),(((129-'V06 Calend 01'!C38)/6)&lt;='V06 Calend 01'!E38)),IF((129=('V06 Calend 01'!C38+(6*'V06 Calend 01'!E38))),('V06 Calend 01'!H38-('V06 Calend 01'!I38*('V06 Calend 01'!E38-1))),'V06 Calend 01'!I38),0))+IF((129='V06 Calend 01'!D38),'V06 Calend 01'!J38,0))</f>
        <v>0</v>
      </c>
      <c r="EL38" s="2">
        <f>((IF((130='V06 Calend 01'!C38),('V06 Calend 01'!F38+'V06 Calend 01'!G38),0)+IF(AND(('V06 Calend 01'!E38&gt;0),(130&gt;'V06 Calend 01'!C38),(130&lt;'V06 Calend 01'!D38),(MOD((130-'V06 Calend 01'!C38),6)=0),(((130-'V06 Calend 01'!C38)/6)&lt;='V06 Calend 01'!E38)),IF((130=('V06 Calend 01'!C38+(6*'V06 Calend 01'!E38))),('V06 Calend 01'!H38-('V06 Calend 01'!I38*('V06 Calend 01'!E38-1))),'V06 Calend 01'!I38),0))+IF((130='V06 Calend 01'!D38),'V06 Calend 01'!J38,0))</f>
        <v>0</v>
      </c>
      <c r="EM38" s="2">
        <f>((IF((131='V06 Calend 01'!C38),('V06 Calend 01'!F38+'V06 Calend 01'!G38),0)+IF(AND(('V06 Calend 01'!E38&gt;0),(131&gt;'V06 Calend 01'!C38),(131&lt;'V06 Calend 01'!D38),(MOD((131-'V06 Calend 01'!C38),6)=0),(((131-'V06 Calend 01'!C38)/6)&lt;='V06 Calend 01'!E38)),IF((131=('V06 Calend 01'!C38+(6*'V06 Calend 01'!E38))),('V06 Calend 01'!H38-('V06 Calend 01'!I38*('V06 Calend 01'!E38-1))),'V06 Calend 01'!I38),0))+IF((131='V06 Calend 01'!D38),'V06 Calend 01'!J38,0))</f>
        <v>0</v>
      </c>
      <c r="EN38" s="2">
        <f>((IF((132='V06 Calend 01'!C38),('V06 Calend 01'!F38+'V06 Calend 01'!G38),0)+IF(AND(('V06 Calend 01'!E38&gt;0),(132&gt;'V06 Calend 01'!C38),(132&lt;'V06 Calend 01'!D38),(MOD((132-'V06 Calend 01'!C38),6)=0),(((132-'V06 Calend 01'!C38)/6)&lt;='V06 Calend 01'!E38)),IF((132=('V06 Calend 01'!C38+(6*'V06 Calend 01'!E38))),('V06 Calend 01'!H38-('V06 Calend 01'!I38*('V06 Calend 01'!E38-1))),'V06 Calend 01'!I38),0))+IF((132='V06 Calend 01'!D38),'V06 Calend 01'!J38,0))</f>
        <v>0</v>
      </c>
      <c r="EO38" s="2">
        <f>((IF((133='V06 Calend 01'!C38),('V06 Calend 01'!F38+'V06 Calend 01'!G38),0)+IF(AND(('V06 Calend 01'!E38&gt;0),(133&gt;'V06 Calend 01'!C38),(133&lt;'V06 Calend 01'!D38),(MOD((133-'V06 Calend 01'!C38),6)=0),(((133-'V06 Calend 01'!C38)/6)&lt;='V06 Calend 01'!E38)),IF((133=('V06 Calend 01'!C38+(6*'V06 Calend 01'!E38))),('V06 Calend 01'!H38-('V06 Calend 01'!I38*('V06 Calend 01'!E38-1))),'V06 Calend 01'!I38),0))+IF((133='V06 Calend 01'!D38),'V06 Calend 01'!J38,0))</f>
        <v>0</v>
      </c>
      <c r="EP38" s="2">
        <f>((IF((134='V06 Calend 01'!C38),('V06 Calend 01'!F38+'V06 Calend 01'!G38),0)+IF(AND(('V06 Calend 01'!E38&gt;0),(134&gt;'V06 Calend 01'!C38),(134&lt;'V06 Calend 01'!D38),(MOD((134-'V06 Calend 01'!C38),6)=0),(((134-'V06 Calend 01'!C38)/6)&lt;='V06 Calend 01'!E38)),IF((134=('V06 Calend 01'!C38+(6*'V06 Calend 01'!E38))),('V06 Calend 01'!H38-('V06 Calend 01'!I38*('V06 Calend 01'!E38-1))),'V06 Calend 01'!I38),0))+IF((134='V06 Calend 01'!D38),'V06 Calend 01'!J38,0))</f>
        <v>0</v>
      </c>
      <c r="EQ38" s="2">
        <f>((IF((135='V06 Calend 01'!C38),('V06 Calend 01'!F38+'V06 Calend 01'!G38),0)+IF(AND(('V06 Calend 01'!E38&gt;0),(135&gt;'V06 Calend 01'!C38),(135&lt;'V06 Calend 01'!D38),(MOD((135-'V06 Calend 01'!C38),6)=0),(((135-'V06 Calend 01'!C38)/6)&lt;='V06 Calend 01'!E38)),IF((135=('V06 Calend 01'!C38+(6*'V06 Calend 01'!E38))),('V06 Calend 01'!H38-('V06 Calend 01'!I38*('V06 Calend 01'!E38-1))),'V06 Calend 01'!I38),0))+IF((135='V06 Calend 01'!D38),'V06 Calend 01'!J38,0))</f>
        <v>0</v>
      </c>
      <c r="ER38" s="2">
        <f>((IF((136='V06 Calend 01'!C38),('V06 Calend 01'!F38+'V06 Calend 01'!G38),0)+IF(AND(('V06 Calend 01'!E38&gt;0),(136&gt;'V06 Calend 01'!C38),(136&lt;'V06 Calend 01'!D38),(MOD((136-'V06 Calend 01'!C38),6)=0),(((136-'V06 Calend 01'!C38)/6)&lt;='V06 Calend 01'!E38)),IF((136=('V06 Calend 01'!C38+(6*'V06 Calend 01'!E38))),('V06 Calend 01'!H38-('V06 Calend 01'!I38*('V06 Calend 01'!E38-1))),'V06 Calend 01'!I38),0))+IF((136='V06 Calend 01'!D38),'V06 Calend 01'!J38,0))</f>
        <v>0</v>
      </c>
      <c r="ES38" s="2">
        <f>((IF((137='V06 Calend 01'!C38),('V06 Calend 01'!F38+'V06 Calend 01'!G38),0)+IF(AND(('V06 Calend 01'!E38&gt;0),(137&gt;'V06 Calend 01'!C38),(137&lt;'V06 Calend 01'!D38),(MOD((137-'V06 Calend 01'!C38),6)=0),(((137-'V06 Calend 01'!C38)/6)&lt;='V06 Calend 01'!E38)),IF((137=('V06 Calend 01'!C38+(6*'V06 Calend 01'!E38))),('V06 Calend 01'!H38-('V06 Calend 01'!I38*('V06 Calend 01'!E38-1))),'V06 Calend 01'!I38),0))+IF((137='V06 Calend 01'!D38),'V06 Calend 01'!J38,0))</f>
        <v>0</v>
      </c>
      <c r="ET38" s="2">
        <f>((IF((138='V06 Calend 01'!C38),('V06 Calend 01'!F38+'V06 Calend 01'!G38),0)+IF(AND(('V06 Calend 01'!E38&gt;0),(138&gt;'V06 Calend 01'!C38),(138&lt;'V06 Calend 01'!D38),(MOD((138-'V06 Calend 01'!C38),6)=0),(((138-'V06 Calend 01'!C38)/6)&lt;='V06 Calend 01'!E38)),IF((138=('V06 Calend 01'!C38+(6*'V06 Calend 01'!E38))),('V06 Calend 01'!H38-('V06 Calend 01'!I38*('V06 Calend 01'!E38-1))),'V06 Calend 01'!I38),0))+IF((138='V06 Calend 01'!D38),'V06 Calend 01'!J38,0))</f>
        <v>0</v>
      </c>
      <c r="EU38" s="2">
        <f>((IF((139='V06 Calend 01'!C38),('V06 Calend 01'!F38+'V06 Calend 01'!G38),0)+IF(AND(('V06 Calend 01'!E38&gt;0),(139&gt;'V06 Calend 01'!C38),(139&lt;'V06 Calend 01'!D38),(MOD((139-'V06 Calend 01'!C38),6)=0),(((139-'V06 Calend 01'!C38)/6)&lt;='V06 Calend 01'!E38)),IF((139=('V06 Calend 01'!C38+(6*'V06 Calend 01'!E38))),('V06 Calend 01'!H38-('V06 Calend 01'!I38*('V06 Calend 01'!E38-1))),'V06 Calend 01'!I38),0))+IF((139='V06 Calend 01'!D38),'V06 Calend 01'!J38,0))</f>
        <v>0</v>
      </c>
      <c r="EV38" s="2">
        <f>((IF((140='V06 Calend 01'!C38),('V06 Calend 01'!F38+'V06 Calend 01'!G38),0)+IF(AND(('V06 Calend 01'!E38&gt;0),(140&gt;'V06 Calend 01'!C38),(140&lt;'V06 Calend 01'!D38),(MOD((140-'V06 Calend 01'!C38),6)=0),(((140-'V06 Calend 01'!C38)/6)&lt;='V06 Calend 01'!E38)),IF((140=('V06 Calend 01'!C38+(6*'V06 Calend 01'!E38))),('V06 Calend 01'!H38-('V06 Calend 01'!I38*('V06 Calend 01'!E38-1))),'V06 Calend 01'!I38),0))+IF((140='V06 Calend 01'!D38),'V06 Calend 01'!J38,0))</f>
        <v>0</v>
      </c>
      <c r="EW38" s="2">
        <f>((IF((141='V06 Calend 01'!C38),('V06 Calend 01'!F38+'V06 Calend 01'!G38),0)+IF(AND(('V06 Calend 01'!E38&gt;0),(141&gt;'V06 Calend 01'!C38),(141&lt;'V06 Calend 01'!D38),(MOD((141-'V06 Calend 01'!C38),6)=0),(((141-'V06 Calend 01'!C38)/6)&lt;='V06 Calend 01'!E38)),IF((141=('V06 Calend 01'!C38+(6*'V06 Calend 01'!E38))),('V06 Calend 01'!H38-('V06 Calend 01'!I38*('V06 Calend 01'!E38-1))),'V06 Calend 01'!I38),0))+IF((141='V06 Calend 01'!D38),'V06 Calend 01'!J38,0))</f>
        <v>0</v>
      </c>
      <c r="EX38" s="2">
        <f>((IF((142='V06 Calend 01'!C38),('V06 Calend 01'!F38+'V06 Calend 01'!G38),0)+IF(AND(('V06 Calend 01'!E38&gt;0),(142&gt;'V06 Calend 01'!C38),(142&lt;'V06 Calend 01'!D38),(MOD((142-'V06 Calend 01'!C38),6)=0),(((142-'V06 Calend 01'!C38)/6)&lt;='V06 Calend 01'!E38)),IF((142=('V06 Calend 01'!C38+(6*'V06 Calend 01'!E38))),('V06 Calend 01'!H38-('V06 Calend 01'!I38*('V06 Calend 01'!E38-1))),'V06 Calend 01'!I38),0))+IF((142='V06 Calend 01'!D38),'V06 Calend 01'!J38,0))</f>
        <v>0</v>
      </c>
      <c r="EY38" s="2">
        <f>((IF((143='V06 Calend 01'!C38),('V06 Calend 01'!F38+'V06 Calend 01'!G38),0)+IF(AND(('V06 Calend 01'!E38&gt;0),(143&gt;'V06 Calend 01'!C38),(143&lt;'V06 Calend 01'!D38),(MOD((143-'V06 Calend 01'!C38),6)=0),(((143-'V06 Calend 01'!C38)/6)&lt;='V06 Calend 01'!E38)),IF((143=('V06 Calend 01'!C38+(6*'V06 Calend 01'!E38))),('V06 Calend 01'!H38-('V06 Calend 01'!I38*('V06 Calend 01'!E38-1))),'V06 Calend 01'!I38),0))+IF((143='V06 Calend 01'!D38),'V06 Calend 01'!J38,0))</f>
        <v>0</v>
      </c>
      <c r="EZ38" s="2">
        <f>((IF((144='V06 Calend 01'!C38),('V06 Calend 01'!F38+'V06 Calend 01'!G38),0)+IF(AND(('V06 Calend 01'!E38&gt;0),(144&gt;'V06 Calend 01'!C38),(144&lt;'V06 Calend 01'!D38),(MOD((144-'V06 Calend 01'!C38),6)=0),(((144-'V06 Calend 01'!C38)/6)&lt;='V06 Calend 01'!E38)),IF((144=('V06 Calend 01'!C38+(6*'V06 Calend 01'!E38))),('V06 Calend 01'!H38-('V06 Calend 01'!I38*('V06 Calend 01'!E38-1))),'V06 Calend 01'!I38),0))+IF((144='V06 Calend 01'!D38),'V06 Calend 01'!J38,0))</f>
        <v>0</v>
      </c>
      <c r="FA38" s="2">
        <f>((IF((145='V06 Calend 01'!C38),('V06 Calend 01'!F38+'V06 Calend 01'!G38),0)+IF(AND(('V06 Calend 01'!E38&gt;0),(145&gt;'V06 Calend 01'!C38),(145&lt;'V06 Calend 01'!D38),(MOD((145-'V06 Calend 01'!C38),6)=0),(((145-'V06 Calend 01'!C38)/6)&lt;='V06 Calend 01'!E38)),IF((145=('V06 Calend 01'!C38+(6*'V06 Calend 01'!E38))),('V06 Calend 01'!H38-('V06 Calend 01'!I38*('V06 Calend 01'!E38-1))),'V06 Calend 01'!I38),0))+IF((145='V06 Calend 01'!D38),'V06 Calend 01'!J38,0))</f>
        <v>0</v>
      </c>
      <c r="FB38" s="2">
        <f>((IF((146='V06 Calend 01'!C38),('V06 Calend 01'!F38+'V06 Calend 01'!G38),0)+IF(AND(('V06 Calend 01'!E38&gt;0),(146&gt;'V06 Calend 01'!C38),(146&lt;'V06 Calend 01'!D38),(MOD((146-'V06 Calend 01'!C38),6)=0),(((146-'V06 Calend 01'!C38)/6)&lt;='V06 Calend 01'!E38)),IF((146=('V06 Calend 01'!C38+(6*'V06 Calend 01'!E38))),('V06 Calend 01'!H38-('V06 Calend 01'!I38*('V06 Calend 01'!E38-1))),'V06 Calend 01'!I38),0))+IF((146='V06 Calend 01'!D38),'V06 Calend 01'!J38,0))</f>
        <v>0</v>
      </c>
      <c r="FC38" s="2">
        <f>((IF((147='V06 Calend 01'!C38),('V06 Calend 01'!F38+'V06 Calend 01'!G38),0)+IF(AND(('V06 Calend 01'!E38&gt;0),(147&gt;'V06 Calend 01'!C38),(147&lt;'V06 Calend 01'!D38),(MOD((147-'V06 Calend 01'!C38),6)=0),(((147-'V06 Calend 01'!C38)/6)&lt;='V06 Calend 01'!E38)),IF((147=('V06 Calend 01'!C38+(6*'V06 Calend 01'!E38))),('V06 Calend 01'!H38-('V06 Calend 01'!I38*('V06 Calend 01'!E38-1))),'V06 Calend 01'!I38),0))+IF((147='V06 Calend 01'!D38),'V06 Calend 01'!J38,0))</f>
        <v>0</v>
      </c>
      <c r="FD38" s="2">
        <f>((IF((148='V06 Calend 01'!C38),('V06 Calend 01'!F38+'V06 Calend 01'!G38),0)+IF(AND(('V06 Calend 01'!E38&gt;0),(148&gt;'V06 Calend 01'!C38),(148&lt;'V06 Calend 01'!D38),(MOD((148-'V06 Calend 01'!C38),6)=0),(((148-'V06 Calend 01'!C38)/6)&lt;='V06 Calend 01'!E38)),IF((148=('V06 Calend 01'!C38+(6*'V06 Calend 01'!E38))),('V06 Calend 01'!H38-('V06 Calend 01'!I38*('V06 Calend 01'!E38-1))),'V06 Calend 01'!I38),0))+IF((148='V06 Calend 01'!D38),'V06 Calend 01'!J38,0))</f>
        <v>0</v>
      </c>
      <c r="FE38" s="2">
        <f>((IF((149='V06 Calend 01'!C38),('V06 Calend 01'!F38+'V06 Calend 01'!G38),0)+IF(AND(('V06 Calend 01'!E38&gt;0),(149&gt;'V06 Calend 01'!C38),(149&lt;'V06 Calend 01'!D38),(MOD((149-'V06 Calend 01'!C38),6)=0),(((149-'V06 Calend 01'!C38)/6)&lt;='V06 Calend 01'!E38)),IF((149=('V06 Calend 01'!C38+(6*'V06 Calend 01'!E38))),('V06 Calend 01'!H38-('V06 Calend 01'!I38*('V06 Calend 01'!E38-1))),'V06 Calend 01'!I38),0))+IF((149='V06 Calend 01'!D38),'V06 Calend 01'!J38,0))</f>
        <v>0</v>
      </c>
      <c r="FF38" s="2">
        <f>((IF((150='V06 Calend 01'!C38),('V06 Calend 01'!F38+'V06 Calend 01'!G38),0)+IF(AND(('V06 Calend 01'!E38&gt;0),(150&gt;'V06 Calend 01'!C38),(150&lt;'V06 Calend 01'!D38),(MOD((150-'V06 Calend 01'!C38),6)=0),(((150-'V06 Calend 01'!C38)/6)&lt;='V06 Calend 01'!E38)),IF((150=('V06 Calend 01'!C38+(6*'V06 Calend 01'!E38))),('V06 Calend 01'!H38-('V06 Calend 01'!I38*('V06 Calend 01'!E38-1))),'V06 Calend 01'!I38),0))+IF((150='V06 Calend 01'!D38),'V06 Calend 01'!J38,0))</f>
        <v>0</v>
      </c>
      <c r="FG38" s="2">
        <f>((IF((151='V06 Calend 01'!C38),('V06 Calend 01'!F38+'V06 Calend 01'!G38),0)+IF(AND(('V06 Calend 01'!E38&gt;0),(151&gt;'V06 Calend 01'!C38),(151&lt;'V06 Calend 01'!D38),(MOD((151-'V06 Calend 01'!C38),6)=0),(((151-'V06 Calend 01'!C38)/6)&lt;='V06 Calend 01'!E38)),IF((151=('V06 Calend 01'!C38+(6*'V06 Calend 01'!E38))),('V06 Calend 01'!H38-('V06 Calend 01'!I38*('V06 Calend 01'!E38-1))),'V06 Calend 01'!I38),0))+IF((151='V06 Calend 01'!D38),'V06 Calend 01'!J38,0))</f>
        <v>0</v>
      </c>
      <c r="FH38" s="2">
        <f>((IF((152='V06 Calend 01'!C38),('V06 Calend 01'!F38+'V06 Calend 01'!G38),0)+IF(AND(('V06 Calend 01'!E38&gt;0),(152&gt;'V06 Calend 01'!C38),(152&lt;'V06 Calend 01'!D38),(MOD((152-'V06 Calend 01'!C38),6)=0),(((152-'V06 Calend 01'!C38)/6)&lt;='V06 Calend 01'!E38)),IF((152=('V06 Calend 01'!C38+(6*'V06 Calend 01'!E38))),('V06 Calend 01'!H38-('V06 Calend 01'!I38*('V06 Calend 01'!E38-1))),'V06 Calend 01'!I38),0))+IF((152='V06 Calend 01'!D38),'V06 Calend 01'!J38,0))</f>
        <v>0</v>
      </c>
      <c r="FI38" s="2">
        <f>((IF((153='V06 Calend 01'!C38),('V06 Calend 01'!F38+'V06 Calend 01'!G38),0)+IF(AND(('V06 Calend 01'!E38&gt;0),(153&gt;'V06 Calend 01'!C38),(153&lt;'V06 Calend 01'!D38),(MOD((153-'V06 Calend 01'!C38),6)=0),(((153-'V06 Calend 01'!C38)/6)&lt;='V06 Calend 01'!E38)),IF((153=('V06 Calend 01'!C38+(6*'V06 Calend 01'!E38))),('V06 Calend 01'!H38-('V06 Calend 01'!I38*('V06 Calend 01'!E38-1))),'V06 Calend 01'!I38),0))+IF((153='V06 Calend 01'!D38),'V06 Calend 01'!J38,0))</f>
        <v>0</v>
      </c>
      <c r="FJ38" s="2">
        <f>((IF((154='V06 Calend 01'!C38),('V06 Calend 01'!F38+'V06 Calend 01'!G38),0)+IF(AND(('V06 Calend 01'!E38&gt;0),(154&gt;'V06 Calend 01'!C38),(154&lt;'V06 Calend 01'!D38),(MOD((154-'V06 Calend 01'!C38),6)=0),(((154-'V06 Calend 01'!C38)/6)&lt;='V06 Calend 01'!E38)),IF((154=('V06 Calend 01'!C38+(6*'V06 Calend 01'!E38))),('V06 Calend 01'!H38-('V06 Calend 01'!I38*('V06 Calend 01'!E38-1))),'V06 Calend 01'!I38),0))+IF((154='V06 Calend 01'!D38),'V06 Calend 01'!J38,0))</f>
        <v>0</v>
      </c>
      <c r="FK38" s="2">
        <f>((IF((155='V06 Calend 01'!C38),('V06 Calend 01'!F38+'V06 Calend 01'!G38),0)+IF(AND(('V06 Calend 01'!E38&gt;0),(155&gt;'V06 Calend 01'!C38),(155&lt;'V06 Calend 01'!D38),(MOD((155-'V06 Calend 01'!C38),6)=0),(((155-'V06 Calend 01'!C38)/6)&lt;='V06 Calend 01'!E38)),IF((155=('V06 Calend 01'!C38+(6*'V06 Calend 01'!E38))),('V06 Calend 01'!H38-('V06 Calend 01'!I38*('V06 Calend 01'!E38-1))),'V06 Calend 01'!I38),0))+IF((155='V06 Calend 01'!D38),'V06 Calend 01'!J38,0))</f>
        <v>0</v>
      </c>
      <c r="FL38" s="2">
        <f>((IF((156='V06 Calend 01'!C38),('V06 Calend 01'!F38+'V06 Calend 01'!G38),0)+IF(AND(('V06 Calend 01'!E38&gt;0),(156&gt;'V06 Calend 01'!C38),(156&lt;'V06 Calend 01'!D38),(MOD((156-'V06 Calend 01'!C38),6)=0),(((156-'V06 Calend 01'!C38)/6)&lt;='V06 Calend 01'!E38)),IF((156=('V06 Calend 01'!C38+(6*'V06 Calend 01'!E38))),('V06 Calend 01'!H38-('V06 Calend 01'!I38*('V06 Calend 01'!E38-1))),'V06 Calend 01'!I38),0))+IF((156='V06 Calend 01'!D38),'V06 Calend 01'!J38,0))</f>
        <v>0</v>
      </c>
      <c r="FM38" s="2">
        <f>((IF((157='V06 Calend 01'!C38),('V06 Calend 01'!F38+'V06 Calend 01'!G38),0)+IF(AND(('V06 Calend 01'!E38&gt;0),(157&gt;'V06 Calend 01'!C38),(157&lt;'V06 Calend 01'!D38),(MOD((157-'V06 Calend 01'!C38),6)=0),(((157-'V06 Calend 01'!C38)/6)&lt;='V06 Calend 01'!E38)),IF((157=('V06 Calend 01'!C38+(6*'V06 Calend 01'!E38))),('V06 Calend 01'!H38-('V06 Calend 01'!I38*('V06 Calend 01'!E38-1))),'V06 Calend 01'!I38),0))+IF((157='V06 Calend 01'!D38),'V06 Calend 01'!J38,0))</f>
        <v>0</v>
      </c>
      <c r="FN38" s="2">
        <f>((IF((158='V06 Calend 01'!C38),('V06 Calend 01'!F38+'V06 Calend 01'!G38),0)+IF(AND(('V06 Calend 01'!E38&gt;0),(158&gt;'V06 Calend 01'!C38),(158&lt;'V06 Calend 01'!D38),(MOD((158-'V06 Calend 01'!C38),6)=0),(((158-'V06 Calend 01'!C38)/6)&lt;='V06 Calend 01'!E38)),IF((158=('V06 Calend 01'!C38+(6*'V06 Calend 01'!E38))),('V06 Calend 01'!H38-('V06 Calend 01'!I38*('V06 Calend 01'!E38-1))),'V06 Calend 01'!I38),0))+IF((158='V06 Calend 01'!D38),'V06 Calend 01'!J38,0))</f>
        <v>0</v>
      </c>
      <c r="FO38" s="2">
        <f>((IF((159='V06 Calend 01'!C38),('V06 Calend 01'!F38+'V06 Calend 01'!G38),0)+IF(AND(('V06 Calend 01'!E38&gt;0),(159&gt;'V06 Calend 01'!C38),(159&lt;'V06 Calend 01'!D38),(MOD((159-'V06 Calend 01'!C38),6)=0),(((159-'V06 Calend 01'!C38)/6)&lt;='V06 Calend 01'!E38)),IF((159=('V06 Calend 01'!C38+(6*'V06 Calend 01'!E38))),('V06 Calend 01'!H38-('V06 Calend 01'!I38*('V06 Calend 01'!E38-1))),'V06 Calend 01'!I38),0))+IF((159='V06 Calend 01'!D38),'V06 Calend 01'!J38,0))</f>
        <v>0</v>
      </c>
      <c r="FP38" s="2">
        <f>((IF((160='V06 Calend 01'!C38),('V06 Calend 01'!F38+'V06 Calend 01'!G38),0)+IF(AND(('V06 Calend 01'!E38&gt;0),(160&gt;'V06 Calend 01'!C38),(160&lt;'V06 Calend 01'!D38),(MOD((160-'V06 Calend 01'!C38),6)=0),(((160-'V06 Calend 01'!C38)/6)&lt;='V06 Calend 01'!E38)),IF((160=('V06 Calend 01'!C38+(6*'V06 Calend 01'!E38))),('V06 Calend 01'!H38-('V06 Calend 01'!I38*('V06 Calend 01'!E38-1))),'V06 Calend 01'!I38),0))+IF((160='V06 Calend 01'!D38),'V06 Calend 01'!J38,0))</f>
        <v>0</v>
      </c>
      <c r="FQ38" s="2">
        <f>((IF((161='V06 Calend 01'!C38),('V06 Calend 01'!F38+'V06 Calend 01'!G38),0)+IF(AND(('V06 Calend 01'!E38&gt;0),(161&gt;'V06 Calend 01'!C38),(161&lt;'V06 Calend 01'!D38),(MOD((161-'V06 Calend 01'!C38),6)=0),(((161-'V06 Calend 01'!C38)/6)&lt;='V06 Calend 01'!E38)),IF((161=('V06 Calend 01'!C38+(6*'V06 Calend 01'!E38))),('V06 Calend 01'!H38-('V06 Calend 01'!I38*('V06 Calend 01'!E38-1))),'V06 Calend 01'!I38),0))+IF((161='V06 Calend 01'!D38),'V06 Calend 01'!J38,0))</f>
        <v>0</v>
      </c>
      <c r="FR38" s="2">
        <f>((IF((162='V06 Calend 01'!C38),('V06 Calend 01'!F38+'V06 Calend 01'!G38),0)+IF(AND(('V06 Calend 01'!E38&gt;0),(162&gt;'V06 Calend 01'!C38),(162&lt;'V06 Calend 01'!D38),(MOD((162-'V06 Calend 01'!C38),6)=0),(((162-'V06 Calend 01'!C38)/6)&lt;='V06 Calend 01'!E38)),IF((162=('V06 Calend 01'!C38+(6*'V06 Calend 01'!E38))),('V06 Calend 01'!H38-('V06 Calend 01'!I38*('V06 Calend 01'!E38-1))),'V06 Calend 01'!I38),0))+IF((162='V06 Calend 01'!D38),'V06 Calend 01'!J38,0))</f>
        <v>0</v>
      </c>
      <c r="FS38" s="2">
        <f>((IF((163='V06 Calend 01'!C38),('V06 Calend 01'!F38+'V06 Calend 01'!G38),0)+IF(AND(('V06 Calend 01'!E38&gt;0),(163&gt;'V06 Calend 01'!C38),(163&lt;'V06 Calend 01'!D38),(MOD((163-'V06 Calend 01'!C38),6)=0),(((163-'V06 Calend 01'!C38)/6)&lt;='V06 Calend 01'!E38)),IF((163=('V06 Calend 01'!C38+(6*'V06 Calend 01'!E38))),('V06 Calend 01'!H38-('V06 Calend 01'!I38*('V06 Calend 01'!E38-1))),'V06 Calend 01'!I38),0))+IF((163='V06 Calend 01'!D38),'V06 Calend 01'!J38,0))</f>
        <v>0</v>
      </c>
      <c r="FT38" s="2">
        <f>((IF((164='V06 Calend 01'!C38),('V06 Calend 01'!F38+'V06 Calend 01'!G38),0)+IF(AND(('V06 Calend 01'!E38&gt;0),(164&gt;'V06 Calend 01'!C38),(164&lt;'V06 Calend 01'!D38),(MOD((164-'V06 Calend 01'!C38),6)=0),(((164-'V06 Calend 01'!C38)/6)&lt;='V06 Calend 01'!E38)),IF((164=('V06 Calend 01'!C38+(6*'V06 Calend 01'!E38))),('V06 Calend 01'!H38-('V06 Calend 01'!I38*('V06 Calend 01'!E38-1))),'V06 Calend 01'!I38),0))+IF((164='V06 Calend 01'!D38),'V06 Calend 01'!J38,0))</f>
        <v>0</v>
      </c>
      <c r="FU38" s="2">
        <f>((IF((165='V06 Calend 01'!C38),('V06 Calend 01'!F38+'V06 Calend 01'!G38),0)+IF(AND(('V06 Calend 01'!E38&gt;0),(165&gt;'V06 Calend 01'!C38),(165&lt;'V06 Calend 01'!D38),(MOD((165-'V06 Calend 01'!C38),6)=0),(((165-'V06 Calend 01'!C38)/6)&lt;='V06 Calend 01'!E38)),IF((165=('V06 Calend 01'!C38+(6*'V06 Calend 01'!E38))),('V06 Calend 01'!H38-('V06 Calend 01'!I38*('V06 Calend 01'!E38-1))),'V06 Calend 01'!I38),0))+IF((165='V06 Calend 01'!D38),'V06 Calend 01'!J38,0))</f>
        <v>0</v>
      </c>
      <c r="FV38" s="2">
        <f>((IF((166='V06 Calend 01'!C38),('V06 Calend 01'!F38+'V06 Calend 01'!G38),0)+IF(AND(('V06 Calend 01'!E38&gt;0),(166&gt;'V06 Calend 01'!C38),(166&lt;'V06 Calend 01'!D38),(MOD((166-'V06 Calend 01'!C38),6)=0),(((166-'V06 Calend 01'!C38)/6)&lt;='V06 Calend 01'!E38)),IF((166=('V06 Calend 01'!C38+(6*'V06 Calend 01'!E38))),('V06 Calend 01'!H38-('V06 Calend 01'!I38*('V06 Calend 01'!E38-1))),'V06 Calend 01'!I38),0))+IF((166='V06 Calend 01'!D38),'V06 Calend 01'!J38,0))</f>
        <v>0</v>
      </c>
      <c r="FW38" s="2">
        <f>((IF((167='V06 Calend 01'!C38),('V06 Calend 01'!F38+'V06 Calend 01'!G38),0)+IF(AND(('V06 Calend 01'!E38&gt;0),(167&gt;'V06 Calend 01'!C38),(167&lt;'V06 Calend 01'!D38),(MOD((167-'V06 Calend 01'!C38),6)=0),(((167-'V06 Calend 01'!C38)/6)&lt;='V06 Calend 01'!E38)),IF((167=('V06 Calend 01'!C38+(6*'V06 Calend 01'!E38))),('V06 Calend 01'!H38-('V06 Calend 01'!I38*('V06 Calend 01'!E38-1))),'V06 Calend 01'!I38),0))+IF((167='V06 Calend 01'!D38),'V06 Calend 01'!J38,0))</f>
        <v>0</v>
      </c>
      <c r="FX38" s="2">
        <f>((IF((168='V06 Calend 01'!C38),('V06 Calend 01'!F38+'V06 Calend 01'!G38),0)+IF(AND(('V06 Calend 01'!E38&gt;0),(168&gt;'V06 Calend 01'!C38),(168&lt;'V06 Calend 01'!D38),(MOD((168-'V06 Calend 01'!C38),6)=0),(((168-'V06 Calend 01'!C38)/6)&lt;='V06 Calend 01'!E38)),IF((168=('V06 Calend 01'!C38+(6*'V06 Calend 01'!E38))),('V06 Calend 01'!H38-('V06 Calend 01'!I38*('V06 Calend 01'!E38-1))),'V06 Calend 01'!I38),0))+IF((168='V06 Calend 01'!D38),'V06 Calend 01'!J38,0))</f>
        <v>0</v>
      </c>
      <c r="FY38" s="2">
        <f>((IF((169='V06 Calend 01'!C38),('V06 Calend 01'!F38+'V06 Calend 01'!G38),0)+IF(AND(('V06 Calend 01'!E38&gt;0),(169&gt;'V06 Calend 01'!C38),(169&lt;'V06 Calend 01'!D38),(MOD((169-'V06 Calend 01'!C38),6)=0),(((169-'V06 Calend 01'!C38)/6)&lt;='V06 Calend 01'!E38)),IF((169=('V06 Calend 01'!C38+(6*'V06 Calend 01'!E38))),('V06 Calend 01'!H38-('V06 Calend 01'!I38*('V06 Calend 01'!E38-1))),'V06 Calend 01'!I38),0))+IF((169='V06 Calend 01'!D38),'V06 Calend 01'!J38,0))</f>
        <v>0</v>
      </c>
      <c r="FZ38" s="2">
        <f>((IF((170='V06 Calend 01'!C38),('V06 Calend 01'!F38+'V06 Calend 01'!G38),0)+IF(AND(('V06 Calend 01'!E38&gt;0),(170&gt;'V06 Calend 01'!C38),(170&lt;'V06 Calend 01'!D38),(MOD((170-'V06 Calend 01'!C38),6)=0),(((170-'V06 Calend 01'!C38)/6)&lt;='V06 Calend 01'!E38)),IF((170=('V06 Calend 01'!C38+(6*'V06 Calend 01'!E38))),('V06 Calend 01'!H38-('V06 Calend 01'!I38*('V06 Calend 01'!E38-1))),'V06 Calend 01'!I38),0))+IF((170='V06 Calend 01'!D38),'V06 Calend 01'!J38,0))</f>
        <v>0</v>
      </c>
      <c r="GA38" s="2">
        <f>((IF((171='V06 Calend 01'!C38),('V06 Calend 01'!F38+'V06 Calend 01'!G38),0)+IF(AND(('V06 Calend 01'!E38&gt;0),(171&gt;'V06 Calend 01'!C38),(171&lt;'V06 Calend 01'!D38),(MOD((171-'V06 Calend 01'!C38),6)=0),(((171-'V06 Calend 01'!C38)/6)&lt;='V06 Calend 01'!E38)),IF((171=('V06 Calend 01'!C38+(6*'V06 Calend 01'!E38))),('V06 Calend 01'!H38-('V06 Calend 01'!I38*('V06 Calend 01'!E38-1))),'V06 Calend 01'!I38),0))+IF((171='V06 Calend 01'!D38),'V06 Calend 01'!J38,0))</f>
        <v>0</v>
      </c>
      <c r="GB38" s="2">
        <f>((IF((172='V06 Calend 01'!C38),('V06 Calend 01'!F38+'V06 Calend 01'!G38),0)+IF(AND(('V06 Calend 01'!E38&gt;0),(172&gt;'V06 Calend 01'!C38),(172&lt;'V06 Calend 01'!D38),(MOD((172-'V06 Calend 01'!C38),6)=0),(((172-'V06 Calend 01'!C38)/6)&lt;='V06 Calend 01'!E38)),IF((172=('V06 Calend 01'!C38+(6*'V06 Calend 01'!E38))),('V06 Calend 01'!H38-('V06 Calend 01'!I38*('V06 Calend 01'!E38-1))),'V06 Calend 01'!I38),0))+IF((172='V06 Calend 01'!D38),'V06 Calend 01'!J38,0))</f>
        <v>0</v>
      </c>
      <c r="GC38" s="2">
        <f>((IF((173='V06 Calend 01'!C38),('V06 Calend 01'!F38+'V06 Calend 01'!G38),0)+IF(AND(('V06 Calend 01'!E38&gt;0),(173&gt;'V06 Calend 01'!C38),(173&lt;'V06 Calend 01'!D38),(MOD((173-'V06 Calend 01'!C38),6)=0),(((173-'V06 Calend 01'!C38)/6)&lt;='V06 Calend 01'!E38)),IF((173=('V06 Calend 01'!C38+(6*'V06 Calend 01'!E38))),('V06 Calend 01'!H38-('V06 Calend 01'!I38*('V06 Calend 01'!E38-1))),'V06 Calend 01'!I38),0))+IF((173='V06 Calend 01'!D38),'V06 Calend 01'!J38,0))</f>
        <v>0</v>
      </c>
      <c r="GD38" s="2">
        <f>((IF((174='V06 Calend 01'!C38),('V06 Calend 01'!F38+'V06 Calend 01'!G38),0)+IF(AND(('V06 Calend 01'!E38&gt;0),(174&gt;'V06 Calend 01'!C38),(174&lt;'V06 Calend 01'!D38),(MOD((174-'V06 Calend 01'!C38),6)=0),(((174-'V06 Calend 01'!C38)/6)&lt;='V06 Calend 01'!E38)),IF((174=('V06 Calend 01'!C38+(6*'V06 Calend 01'!E38))),('V06 Calend 01'!H38-('V06 Calend 01'!I38*('V06 Calend 01'!E38-1))),'V06 Calend 01'!I38),0))+IF((174='V06 Calend 01'!D38),'V06 Calend 01'!J38,0))</f>
        <v>0</v>
      </c>
      <c r="GE38" s="2">
        <f>((IF((175='V06 Calend 01'!C38),('V06 Calend 01'!F38+'V06 Calend 01'!G38),0)+IF(AND(('V06 Calend 01'!E38&gt;0),(175&gt;'V06 Calend 01'!C38),(175&lt;'V06 Calend 01'!D38),(MOD((175-'V06 Calend 01'!C38),6)=0),(((175-'V06 Calend 01'!C38)/6)&lt;='V06 Calend 01'!E38)),IF((175=('V06 Calend 01'!C38+(6*'V06 Calend 01'!E38))),('V06 Calend 01'!H38-('V06 Calend 01'!I38*('V06 Calend 01'!E38-1))),'V06 Calend 01'!I38),0))+IF((175='V06 Calend 01'!D38),'V06 Calend 01'!J38,0))</f>
        <v>0</v>
      </c>
      <c r="GF38" s="2">
        <f>((IF((176='V06 Calend 01'!C38),('V06 Calend 01'!F38+'V06 Calend 01'!G38),0)+IF(AND(('V06 Calend 01'!E38&gt;0),(176&gt;'V06 Calend 01'!C38),(176&lt;'V06 Calend 01'!D38),(MOD((176-'V06 Calend 01'!C38),6)=0),(((176-'V06 Calend 01'!C38)/6)&lt;='V06 Calend 01'!E38)),IF((176=('V06 Calend 01'!C38+(6*'V06 Calend 01'!E38))),('V06 Calend 01'!H38-('V06 Calend 01'!I38*('V06 Calend 01'!E38-1))),'V06 Calend 01'!I38),0))+IF((176='V06 Calend 01'!D38),'V06 Calend 01'!J38,0))</f>
        <v>0</v>
      </c>
      <c r="GG38" s="2">
        <f>((IF((177='V06 Calend 01'!C38),('V06 Calend 01'!F38+'V06 Calend 01'!G38),0)+IF(AND(('V06 Calend 01'!E38&gt;0),(177&gt;'V06 Calend 01'!C38),(177&lt;'V06 Calend 01'!D38),(MOD((177-'V06 Calend 01'!C38),6)=0),(((177-'V06 Calend 01'!C38)/6)&lt;='V06 Calend 01'!E38)),IF((177=('V06 Calend 01'!C38+(6*'V06 Calend 01'!E38))),('V06 Calend 01'!H38-('V06 Calend 01'!I38*('V06 Calend 01'!E38-1))),'V06 Calend 01'!I38),0))+IF((177='V06 Calend 01'!D38),'V06 Calend 01'!J38,0))</f>
        <v>0</v>
      </c>
      <c r="GH38" s="2">
        <f>((IF((178='V06 Calend 01'!C38),('V06 Calend 01'!F38+'V06 Calend 01'!G38),0)+IF(AND(('V06 Calend 01'!E38&gt;0),(178&gt;'V06 Calend 01'!C38),(178&lt;'V06 Calend 01'!D38),(MOD((178-'V06 Calend 01'!C38),6)=0),(((178-'V06 Calend 01'!C38)/6)&lt;='V06 Calend 01'!E38)),IF((178=('V06 Calend 01'!C38+(6*'V06 Calend 01'!E38))),('V06 Calend 01'!H38-('V06 Calend 01'!I38*('V06 Calend 01'!E38-1))),'V06 Calend 01'!I38),0))+IF((178='V06 Calend 01'!D38),'V06 Calend 01'!J38,0))</f>
        <v>0</v>
      </c>
      <c r="GI38" s="2">
        <f>((IF((179='V06 Calend 01'!C38),('V06 Calend 01'!F38+'V06 Calend 01'!G38),0)+IF(AND(('V06 Calend 01'!E38&gt;0),(179&gt;'V06 Calend 01'!C38),(179&lt;'V06 Calend 01'!D38),(MOD((179-'V06 Calend 01'!C38),6)=0),(((179-'V06 Calend 01'!C38)/6)&lt;='V06 Calend 01'!E38)),IF((179=('V06 Calend 01'!C38+(6*'V06 Calend 01'!E38))),('V06 Calend 01'!H38-('V06 Calend 01'!I38*('V06 Calend 01'!E38-1))),'V06 Calend 01'!I38),0))+IF((179='V06 Calend 01'!D38),'V06 Calend 01'!J38,0))</f>
        <v>0</v>
      </c>
      <c r="GJ38" s="2">
        <f>((IF((180='V06 Calend 01'!C38),('V06 Calend 01'!F38+'V06 Calend 01'!G38),0)+IF(AND(('V06 Calend 01'!E38&gt;0),(180&gt;'V06 Calend 01'!C38),(180&lt;'V06 Calend 01'!D38),(MOD((180-'V06 Calend 01'!C38),6)=0),(((180-'V06 Calend 01'!C38)/6)&lt;='V06 Calend 01'!E38)),IF((180=('V06 Calend 01'!C38+(6*'V06 Calend 01'!E38))),('V06 Calend 01'!H38-('V06 Calend 01'!I38*('V06 Calend 01'!E38-1))),'V06 Calend 01'!I38),0))+IF((180='V06 Calend 01'!D38),'V06 Calend 01'!J38,0))</f>
        <v>0</v>
      </c>
    </row>
    <row r="39" spans="1:192">
      <c r="A39" s="3" t="str">
        <f>'V06 Unidades'!$A$39</f>
        <v>505</v>
      </c>
      <c r="B39" s="2">
        <f>'V06 Unidades'!$H$39</f>
        <v>452590.32</v>
      </c>
      <c r="C39" s="4">
        <f>('V06 Unidades'!$I$39+'V06 Controlos'!$B$37)</f>
        <v>22</v>
      </c>
      <c r="D39" s="4">
        <f>IF(('V06 Controlos'!$B$38&gt;0),MAX(('V06 Unidades'!$L$39+'V06 Controlos'!$B$37),(30+'V06 Controlos'!$B$38)),('V06 Unidades'!$L$39+'V06 Controlos'!$B$37))</f>
        <v>29</v>
      </c>
      <c r="E39" s="4">
        <f>MAX(0,INT(((('V06 Calend 01'!D39-'V06 Calend 01'!C39)-1)/6)))</f>
        <v>1</v>
      </c>
      <c r="F39" s="2">
        <f>ROUND(('V06 Calend 01'!B39*0.05),2)</f>
        <v>22629.52</v>
      </c>
      <c r="G39" s="2">
        <f>ROUND(('V06 Calend 01'!B39*0.2),2)</f>
        <v>90518.06</v>
      </c>
      <c r="H39" s="2">
        <f>ROUND(('V06 Calend 01'!B39*0.55),2)</f>
        <v>248924.68</v>
      </c>
      <c r="I39" s="2">
        <f>ROUND(('V06 Calend 01'!H39/MAX(1,'V06 Calend 01'!E39)),2)</f>
        <v>248924.68</v>
      </c>
      <c r="J39" s="2">
        <f>((('V06 Calend 01'!B39-'V06 Calend 01'!F39)-'V06 Calend 01'!G39)-'V06 Calend 01'!H39)</f>
        <v>90518.06</v>
      </c>
      <c r="K39" s="2">
        <f>('V06 Calend 01'!B39*0.025)</f>
        <v>11314.758000000002</v>
      </c>
      <c r="L39" t="s">
        <v>378</v>
      </c>
      <c r="M39" s="2">
        <f>((IF((1='V06 Calend 01'!C39),('V06 Calend 01'!F39+'V06 Calend 01'!G39),0)+IF(AND(('V06 Calend 01'!E39&gt;0),(1&gt;'V06 Calend 01'!C39),(1&lt;'V06 Calend 01'!D39),(MOD((1-'V06 Calend 01'!C39),6)=0),(((1-'V06 Calend 01'!C39)/6)&lt;='V06 Calend 01'!E39)),IF((1=('V06 Calend 01'!C39+(6*'V06 Calend 01'!E39))),('V06 Calend 01'!H39-('V06 Calend 01'!I39*('V06 Calend 01'!E39-1))),'V06 Calend 01'!I39),0))+IF((1='V06 Calend 01'!D39),'V06 Calend 01'!J39,0))</f>
        <v>0</v>
      </c>
      <c r="N39" s="2">
        <f>((IF((2='V06 Calend 01'!C39),('V06 Calend 01'!F39+'V06 Calend 01'!G39),0)+IF(AND(('V06 Calend 01'!E39&gt;0),(2&gt;'V06 Calend 01'!C39),(2&lt;'V06 Calend 01'!D39),(MOD((2-'V06 Calend 01'!C39),6)=0),(((2-'V06 Calend 01'!C39)/6)&lt;='V06 Calend 01'!E39)),IF((2=('V06 Calend 01'!C39+(6*'V06 Calend 01'!E39))),('V06 Calend 01'!H39-('V06 Calend 01'!I39*('V06 Calend 01'!E39-1))),'V06 Calend 01'!I39),0))+IF((2='V06 Calend 01'!D39),'V06 Calend 01'!J39,0))</f>
        <v>0</v>
      </c>
      <c r="O39" s="2">
        <f>((IF((3='V06 Calend 01'!C39),('V06 Calend 01'!F39+'V06 Calend 01'!G39),0)+IF(AND(('V06 Calend 01'!E39&gt;0),(3&gt;'V06 Calend 01'!C39),(3&lt;'V06 Calend 01'!D39),(MOD((3-'V06 Calend 01'!C39),6)=0),(((3-'V06 Calend 01'!C39)/6)&lt;='V06 Calend 01'!E39)),IF((3=('V06 Calend 01'!C39+(6*'V06 Calend 01'!E39))),('V06 Calend 01'!H39-('V06 Calend 01'!I39*('V06 Calend 01'!E39-1))),'V06 Calend 01'!I39),0))+IF((3='V06 Calend 01'!D39),'V06 Calend 01'!J39,0))</f>
        <v>0</v>
      </c>
      <c r="P39" s="2">
        <f>((IF((4='V06 Calend 01'!C39),('V06 Calend 01'!F39+'V06 Calend 01'!G39),0)+IF(AND(('V06 Calend 01'!E39&gt;0),(4&gt;'V06 Calend 01'!C39),(4&lt;'V06 Calend 01'!D39),(MOD((4-'V06 Calend 01'!C39),6)=0),(((4-'V06 Calend 01'!C39)/6)&lt;='V06 Calend 01'!E39)),IF((4=('V06 Calend 01'!C39+(6*'V06 Calend 01'!E39))),('V06 Calend 01'!H39-('V06 Calend 01'!I39*('V06 Calend 01'!E39-1))),'V06 Calend 01'!I39),0))+IF((4='V06 Calend 01'!D39),'V06 Calend 01'!J39,0))</f>
        <v>0</v>
      </c>
      <c r="Q39" s="2">
        <f>((IF((5='V06 Calend 01'!C39),('V06 Calend 01'!F39+'V06 Calend 01'!G39),0)+IF(AND(('V06 Calend 01'!E39&gt;0),(5&gt;'V06 Calend 01'!C39),(5&lt;'V06 Calend 01'!D39),(MOD((5-'V06 Calend 01'!C39),6)=0),(((5-'V06 Calend 01'!C39)/6)&lt;='V06 Calend 01'!E39)),IF((5=('V06 Calend 01'!C39+(6*'V06 Calend 01'!E39))),('V06 Calend 01'!H39-('V06 Calend 01'!I39*('V06 Calend 01'!E39-1))),'V06 Calend 01'!I39),0))+IF((5='V06 Calend 01'!D39),'V06 Calend 01'!J39,0))</f>
        <v>0</v>
      </c>
      <c r="R39" s="2">
        <f>((IF((6='V06 Calend 01'!C39),('V06 Calend 01'!F39+'V06 Calend 01'!G39),0)+IF(AND(('V06 Calend 01'!E39&gt;0),(6&gt;'V06 Calend 01'!C39),(6&lt;'V06 Calend 01'!D39),(MOD((6-'V06 Calend 01'!C39),6)=0),(((6-'V06 Calend 01'!C39)/6)&lt;='V06 Calend 01'!E39)),IF((6=('V06 Calend 01'!C39+(6*'V06 Calend 01'!E39))),('V06 Calend 01'!H39-('V06 Calend 01'!I39*('V06 Calend 01'!E39-1))),'V06 Calend 01'!I39),0))+IF((6='V06 Calend 01'!D39),'V06 Calend 01'!J39,0))</f>
        <v>0</v>
      </c>
      <c r="S39" s="2">
        <f>((IF((7='V06 Calend 01'!C39),('V06 Calend 01'!F39+'V06 Calend 01'!G39),0)+IF(AND(('V06 Calend 01'!E39&gt;0),(7&gt;'V06 Calend 01'!C39),(7&lt;'V06 Calend 01'!D39),(MOD((7-'V06 Calend 01'!C39),6)=0),(((7-'V06 Calend 01'!C39)/6)&lt;='V06 Calend 01'!E39)),IF((7=('V06 Calend 01'!C39+(6*'V06 Calend 01'!E39))),('V06 Calend 01'!H39-('V06 Calend 01'!I39*('V06 Calend 01'!E39-1))),'V06 Calend 01'!I39),0))+IF((7='V06 Calend 01'!D39),'V06 Calend 01'!J39,0))</f>
        <v>0</v>
      </c>
      <c r="T39" s="2">
        <f>((IF((8='V06 Calend 01'!C39),('V06 Calend 01'!F39+'V06 Calend 01'!G39),0)+IF(AND(('V06 Calend 01'!E39&gt;0),(8&gt;'V06 Calend 01'!C39),(8&lt;'V06 Calend 01'!D39),(MOD((8-'V06 Calend 01'!C39),6)=0),(((8-'V06 Calend 01'!C39)/6)&lt;='V06 Calend 01'!E39)),IF((8=('V06 Calend 01'!C39+(6*'V06 Calend 01'!E39))),('V06 Calend 01'!H39-('V06 Calend 01'!I39*('V06 Calend 01'!E39-1))),'V06 Calend 01'!I39),0))+IF((8='V06 Calend 01'!D39),'V06 Calend 01'!J39,0))</f>
        <v>0</v>
      </c>
      <c r="U39" s="2">
        <f>((IF((9='V06 Calend 01'!C39),('V06 Calend 01'!F39+'V06 Calend 01'!G39),0)+IF(AND(('V06 Calend 01'!E39&gt;0),(9&gt;'V06 Calend 01'!C39),(9&lt;'V06 Calend 01'!D39),(MOD((9-'V06 Calend 01'!C39),6)=0),(((9-'V06 Calend 01'!C39)/6)&lt;='V06 Calend 01'!E39)),IF((9=('V06 Calend 01'!C39+(6*'V06 Calend 01'!E39))),('V06 Calend 01'!H39-('V06 Calend 01'!I39*('V06 Calend 01'!E39-1))),'V06 Calend 01'!I39),0))+IF((9='V06 Calend 01'!D39),'V06 Calend 01'!J39,0))</f>
        <v>0</v>
      </c>
      <c r="V39" s="2">
        <f>((IF((10='V06 Calend 01'!C39),('V06 Calend 01'!F39+'V06 Calend 01'!G39),0)+IF(AND(('V06 Calend 01'!E39&gt;0),(10&gt;'V06 Calend 01'!C39),(10&lt;'V06 Calend 01'!D39),(MOD((10-'V06 Calend 01'!C39),6)=0),(((10-'V06 Calend 01'!C39)/6)&lt;='V06 Calend 01'!E39)),IF((10=('V06 Calend 01'!C39+(6*'V06 Calend 01'!E39))),('V06 Calend 01'!H39-('V06 Calend 01'!I39*('V06 Calend 01'!E39-1))),'V06 Calend 01'!I39),0))+IF((10='V06 Calend 01'!D39),'V06 Calend 01'!J39,0))</f>
        <v>0</v>
      </c>
      <c r="W39" s="2">
        <f>((IF((11='V06 Calend 01'!C39),('V06 Calend 01'!F39+'V06 Calend 01'!G39),0)+IF(AND(('V06 Calend 01'!E39&gt;0),(11&gt;'V06 Calend 01'!C39),(11&lt;'V06 Calend 01'!D39),(MOD((11-'V06 Calend 01'!C39),6)=0),(((11-'V06 Calend 01'!C39)/6)&lt;='V06 Calend 01'!E39)),IF((11=('V06 Calend 01'!C39+(6*'V06 Calend 01'!E39))),('V06 Calend 01'!H39-('V06 Calend 01'!I39*('V06 Calend 01'!E39-1))),'V06 Calend 01'!I39),0))+IF((11='V06 Calend 01'!D39),'V06 Calend 01'!J39,0))</f>
        <v>0</v>
      </c>
      <c r="X39" s="2">
        <f>((IF((12='V06 Calend 01'!C39),('V06 Calend 01'!F39+'V06 Calend 01'!G39),0)+IF(AND(('V06 Calend 01'!E39&gt;0),(12&gt;'V06 Calend 01'!C39),(12&lt;'V06 Calend 01'!D39),(MOD((12-'V06 Calend 01'!C39),6)=0),(((12-'V06 Calend 01'!C39)/6)&lt;='V06 Calend 01'!E39)),IF((12=('V06 Calend 01'!C39+(6*'V06 Calend 01'!E39))),('V06 Calend 01'!H39-('V06 Calend 01'!I39*('V06 Calend 01'!E39-1))),'V06 Calend 01'!I39),0))+IF((12='V06 Calend 01'!D39),'V06 Calend 01'!J39,0))</f>
        <v>0</v>
      </c>
      <c r="Y39" s="2">
        <f>((IF((13='V06 Calend 01'!C39),('V06 Calend 01'!F39+'V06 Calend 01'!G39),0)+IF(AND(('V06 Calend 01'!E39&gt;0),(13&gt;'V06 Calend 01'!C39),(13&lt;'V06 Calend 01'!D39),(MOD((13-'V06 Calend 01'!C39),6)=0),(((13-'V06 Calend 01'!C39)/6)&lt;='V06 Calend 01'!E39)),IF((13=('V06 Calend 01'!C39+(6*'V06 Calend 01'!E39))),('V06 Calend 01'!H39-('V06 Calend 01'!I39*('V06 Calend 01'!E39-1))),'V06 Calend 01'!I39),0))+IF((13='V06 Calend 01'!D39),'V06 Calend 01'!J39,0))</f>
        <v>0</v>
      </c>
      <c r="Z39" s="2">
        <f>((IF((14='V06 Calend 01'!C39),('V06 Calend 01'!F39+'V06 Calend 01'!G39),0)+IF(AND(('V06 Calend 01'!E39&gt;0),(14&gt;'V06 Calend 01'!C39),(14&lt;'V06 Calend 01'!D39),(MOD((14-'V06 Calend 01'!C39),6)=0),(((14-'V06 Calend 01'!C39)/6)&lt;='V06 Calend 01'!E39)),IF((14=('V06 Calend 01'!C39+(6*'V06 Calend 01'!E39))),('V06 Calend 01'!H39-('V06 Calend 01'!I39*('V06 Calend 01'!E39-1))),'V06 Calend 01'!I39),0))+IF((14='V06 Calend 01'!D39),'V06 Calend 01'!J39,0))</f>
        <v>0</v>
      </c>
      <c r="AA39" s="2">
        <f>((IF((15='V06 Calend 01'!C39),('V06 Calend 01'!F39+'V06 Calend 01'!G39),0)+IF(AND(('V06 Calend 01'!E39&gt;0),(15&gt;'V06 Calend 01'!C39),(15&lt;'V06 Calend 01'!D39),(MOD((15-'V06 Calend 01'!C39),6)=0),(((15-'V06 Calend 01'!C39)/6)&lt;='V06 Calend 01'!E39)),IF((15=('V06 Calend 01'!C39+(6*'V06 Calend 01'!E39))),('V06 Calend 01'!H39-('V06 Calend 01'!I39*('V06 Calend 01'!E39-1))),'V06 Calend 01'!I39),0))+IF((15='V06 Calend 01'!D39),'V06 Calend 01'!J39,0))</f>
        <v>0</v>
      </c>
      <c r="AB39" s="2">
        <f>((IF((16='V06 Calend 01'!C39),('V06 Calend 01'!F39+'V06 Calend 01'!G39),0)+IF(AND(('V06 Calend 01'!E39&gt;0),(16&gt;'V06 Calend 01'!C39),(16&lt;'V06 Calend 01'!D39),(MOD((16-'V06 Calend 01'!C39),6)=0),(((16-'V06 Calend 01'!C39)/6)&lt;='V06 Calend 01'!E39)),IF((16=('V06 Calend 01'!C39+(6*'V06 Calend 01'!E39))),('V06 Calend 01'!H39-('V06 Calend 01'!I39*('V06 Calend 01'!E39-1))),'V06 Calend 01'!I39),0))+IF((16='V06 Calend 01'!D39),'V06 Calend 01'!J39,0))</f>
        <v>0</v>
      </c>
      <c r="AC39" s="2">
        <f>((IF((17='V06 Calend 01'!C39),('V06 Calend 01'!F39+'V06 Calend 01'!G39),0)+IF(AND(('V06 Calend 01'!E39&gt;0),(17&gt;'V06 Calend 01'!C39),(17&lt;'V06 Calend 01'!D39),(MOD((17-'V06 Calend 01'!C39),6)=0),(((17-'V06 Calend 01'!C39)/6)&lt;='V06 Calend 01'!E39)),IF((17=('V06 Calend 01'!C39+(6*'V06 Calend 01'!E39))),('V06 Calend 01'!H39-('V06 Calend 01'!I39*('V06 Calend 01'!E39-1))),'V06 Calend 01'!I39),0))+IF((17='V06 Calend 01'!D39),'V06 Calend 01'!J39,0))</f>
        <v>0</v>
      </c>
      <c r="AD39" s="2">
        <f>((IF((18='V06 Calend 01'!C39),('V06 Calend 01'!F39+'V06 Calend 01'!G39),0)+IF(AND(('V06 Calend 01'!E39&gt;0),(18&gt;'V06 Calend 01'!C39),(18&lt;'V06 Calend 01'!D39),(MOD((18-'V06 Calend 01'!C39),6)=0),(((18-'V06 Calend 01'!C39)/6)&lt;='V06 Calend 01'!E39)),IF((18=('V06 Calend 01'!C39+(6*'V06 Calend 01'!E39))),('V06 Calend 01'!H39-('V06 Calend 01'!I39*('V06 Calend 01'!E39-1))),'V06 Calend 01'!I39),0))+IF((18='V06 Calend 01'!D39),'V06 Calend 01'!J39,0))</f>
        <v>0</v>
      </c>
      <c r="AE39" s="2">
        <f>((IF((19='V06 Calend 01'!C39),('V06 Calend 01'!F39+'V06 Calend 01'!G39),0)+IF(AND(('V06 Calend 01'!E39&gt;0),(19&gt;'V06 Calend 01'!C39),(19&lt;'V06 Calend 01'!D39),(MOD((19-'V06 Calend 01'!C39),6)=0),(((19-'V06 Calend 01'!C39)/6)&lt;='V06 Calend 01'!E39)),IF((19=('V06 Calend 01'!C39+(6*'V06 Calend 01'!E39))),('V06 Calend 01'!H39-('V06 Calend 01'!I39*('V06 Calend 01'!E39-1))),'V06 Calend 01'!I39),0))+IF((19='V06 Calend 01'!D39),'V06 Calend 01'!J39,0))</f>
        <v>0</v>
      </c>
      <c r="AF39" s="2">
        <f>((IF((20='V06 Calend 01'!C39),('V06 Calend 01'!F39+'V06 Calend 01'!G39),0)+IF(AND(('V06 Calend 01'!E39&gt;0),(20&gt;'V06 Calend 01'!C39),(20&lt;'V06 Calend 01'!D39),(MOD((20-'V06 Calend 01'!C39),6)=0),(((20-'V06 Calend 01'!C39)/6)&lt;='V06 Calend 01'!E39)),IF((20=('V06 Calend 01'!C39+(6*'V06 Calend 01'!E39))),('V06 Calend 01'!H39-('V06 Calend 01'!I39*('V06 Calend 01'!E39-1))),'V06 Calend 01'!I39),0))+IF((20='V06 Calend 01'!D39),'V06 Calend 01'!J39,0))</f>
        <v>0</v>
      </c>
      <c r="AG39" s="2">
        <f>((IF((21='V06 Calend 01'!C39),('V06 Calend 01'!F39+'V06 Calend 01'!G39),0)+IF(AND(('V06 Calend 01'!E39&gt;0),(21&gt;'V06 Calend 01'!C39),(21&lt;'V06 Calend 01'!D39),(MOD((21-'V06 Calend 01'!C39),6)=0),(((21-'V06 Calend 01'!C39)/6)&lt;='V06 Calend 01'!E39)),IF((21=('V06 Calend 01'!C39+(6*'V06 Calend 01'!E39))),('V06 Calend 01'!H39-('V06 Calend 01'!I39*('V06 Calend 01'!E39-1))),'V06 Calend 01'!I39),0))+IF((21='V06 Calend 01'!D39),'V06 Calend 01'!J39,0))</f>
        <v>0</v>
      </c>
      <c r="AH39" s="2">
        <f>((IF((22='V06 Calend 01'!C39),('V06 Calend 01'!F39+'V06 Calend 01'!G39),0)+IF(AND(('V06 Calend 01'!E39&gt;0),(22&gt;'V06 Calend 01'!C39),(22&lt;'V06 Calend 01'!D39),(MOD((22-'V06 Calend 01'!C39),6)=0),(((22-'V06 Calend 01'!C39)/6)&lt;='V06 Calend 01'!E39)),IF((22=('V06 Calend 01'!C39+(6*'V06 Calend 01'!E39))),('V06 Calend 01'!H39-('V06 Calend 01'!I39*('V06 Calend 01'!E39-1))),'V06 Calend 01'!I39),0))+IF((22='V06 Calend 01'!D39),'V06 Calend 01'!J39,0))</f>
        <v>113147.58</v>
      </c>
      <c r="AI39" s="2">
        <f>((IF((23='V06 Calend 01'!C39),('V06 Calend 01'!F39+'V06 Calend 01'!G39),0)+IF(AND(('V06 Calend 01'!E39&gt;0),(23&gt;'V06 Calend 01'!C39),(23&lt;'V06 Calend 01'!D39),(MOD((23-'V06 Calend 01'!C39),6)=0),(((23-'V06 Calend 01'!C39)/6)&lt;='V06 Calend 01'!E39)),IF((23=('V06 Calend 01'!C39+(6*'V06 Calend 01'!E39))),('V06 Calend 01'!H39-('V06 Calend 01'!I39*('V06 Calend 01'!E39-1))),'V06 Calend 01'!I39),0))+IF((23='V06 Calend 01'!D39),'V06 Calend 01'!J39,0))</f>
        <v>0</v>
      </c>
      <c r="AJ39" s="2">
        <f>((IF((24='V06 Calend 01'!C39),('V06 Calend 01'!F39+'V06 Calend 01'!G39),0)+IF(AND(('V06 Calend 01'!E39&gt;0),(24&gt;'V06 Calend 01'!C39),(24&lt;'V06 Calend 01'!D39),(MOD((24-'V06 Calend 01'!C39),6)=0),(((24-'V06 Calend 01'!C39)/6)&lt;='V06 Calend 01'!E39)),IF((24=('V06 Calend 01'!C39+(6*'V06 Calend 01'!E39))),('V06 Calend 01'!H39-('V06 Calend 01'!I39*('V06 Calend 01'!E39-1))),'V06 Calend 01'!I39),0))+IF((24='V06 Calend 01'!D39),'V06 Calend 01'!J39,0))</f>
        <v>0</v>
      </c>
      <c r="AK39" s="2">
        <f>((IF((25='V06 Calend 01'!C39),('V06 Calend 01'!F39+'V06 Calend 01'!G39),0)+IF(AND(('V06 Calend 01'!E39&gt;0),(25&gt;'V06 Calend 01'!C39),(25&lt;'V06 Calend 01'!D39),(MOD((25-'V06 Calend 01'!C39),6)=0),(((25-'V06 Calend 01'!C39)/6)&lt;='V06 Calend 01'!E39)),IF((25=('V06 Calend 01'!C39+(6*'V06 Calend 01'!E39))),('V06 Calend 01'!H39-('V06 Calend 01'!I39*('V06 Calend 01'!E39-1))),'V06 Calend 01'!I39),0))+IF((25='V06 Calend 01'!D39),'V06 Calend 01'!J39,0))</f>
        <v>0</v>
      </c>
      <c r="AL39" s="2">
        <f>((IF((26='V06 Calend 01'!C39),('V06 Calend 01'!F39+'V06 Calend 01'!G39),0)+IF(AND(('V06 Calend 01'!E39&gt;0),(26&gt;'V06 Calend 01'!C39),(26&lt;'V06 Calend 01'!D39),(MOD((26-'V06 Calend 01'!C39),6)=0),(((26-'V06 Calend 01'!C39)/6)&lt;='V06 Calend 01'!E39)),IF((26=('V06 Calend 01'!C39+(6*'V06 Calend 01'!E39))),('V06 Calend 01'!H39-('V06 Calend 01'!I39*('V06 Calend 01'!E39-1))),'V06 Calend 01'!I39),0))+IF((26='V06 Calend 01'!D39),'V06 Calend 01'!J39,0))</f>
        <v>0</v>
      </c>
      <c r="AM39" s="2">
        <f>((IF((27='V06 Calend 01'!C39),('V06 Calend 01'!F39+'V06 Calend 01'!G39),0)+IF(AND(('V06 Calend 01'!E39&gt;0),(27&gt;'V06 Calend 01'!C39),(27&lt;'V06 Calend 01'!D39),(MOD((27-'V06 Calend 01'!C39),6)=0),(((27-'V06 Calend 01'!C39)/6)&lt;='V06 Calend 01'!E39)),IF((27=('V06 Calend 01'!C39+(6*'V06 Calend 01'!E39))),('V06 Calend 01'!H39-('V06 Calend 01'!I39*('V06 Calend 01'!E39-1))),'V06 Calend 01'!I39),0))+IF((27='V06 Calend 01'!D39),'V06 Calend 01'!J39,0))</f>
        <v>0</v>
      </c>
      <c r="AN39" s="2">
        <f>((IF((28='V06 Calend 01'!C39),('V06 Calend 01'!F39+'V06 Calend 01'!G39),0)+IF(AND(('V06 Calend 01'!E39&gt;0),(28&gt;'V06 Calend 01'!C39),(28&lt;'V06 Calend 01'!D39),(MOD((28-'V06 Calend 01'!C39),6)=0),(((28-'V06 Calend 01'!C39)/6)&lt;='V06 Calend 01'!E39)),IF((28=('V06 Calend 01'!C39+(6*'V06 Calend 01'!E39))),('V06 Calend 01'!H39-('V06 Calend 01'!I39*('V06 Calend 01'!E39-1))),'V06 Calend 01'!I39),0))+IF((28='V06 Calend 01'!D39),'V06 Calend 01'!J39,0))</f>
        <v>248924.68</v>
      </c>
      <c r="AO39" s="2">
        <f>((IF((29='V06 Calend 01'!C39),('V06 Calend 01'!F39+'V06 Calend 01'!G39),0)+IF(AND(('V06 Calend 01'!E39&gt;0),(29&gt;'V06 Calend 01'!C39),(29&lt;'V06 Calend 01'!D39),(MOD((29-'V06 Calend 01'!C39),6)=0),(((29-'V06 Calend 01'!C39)/6)&lt;='V06 Calend 01'!E39)),IF((29=('V06 Calend 01'!C39+(6*'V06 Calend 01'!E39))),('V06 Calend 01'!H39-('V06 Calend 01'!I39*('V06 Calend 01'!E39-1))),'V06 Calend 01'!I39),0))+IF((29='V06 Calend 01'!D39),'V06 Calend 01'!J39,0))</f>
        <v>90518.06</v>
      </c>
      <c r="AP39" s="2">
        <f>((IF((30='V06 Calend 01'!C39),('V06 Calend 01'!F39+'V06 Calend 01'!G39),0)+IF(AND(('V06 Calend 01'!E39&gt;0),(30&gt;'V06 Calend 01'!C39),(30&lt;'V06 Calend 01'!D39),(MOD((30-'V06 Calend 01'!C39),6)=0),(((30-'V06 Calend 01'!C39)/6)&lt;='V06 Calend 01'!E39)),IF((30=('V06 Calend 01'!C39+(6*'V06 Calend 01'!E39))),('V06 Calend 01'!H39-('V06 Calend 01'!I39*('V06 Calend 01'!E39-1))),'V06 Calend 01'!I39),0))+IF((30='V06 Calend 01'!D39),'V06 Calend 01'!J39,0))</f>
        <v>0</v>
      </c>
      <c r="AQ39" s="2">
        <f>((IF((31='V06 Calend 01'!C39),('V06 Calend 01'!F39+'V06 Calend 01'!G39),0)+IF(AND(('V06 Calend 01'!E39&gt;0),(31&gt;'V06 Calend 01'!C39),(31&lt;'V06 Calend 01'!D39),(MOD((31-'V06 Calend 01'!C39),6)=0),(((31-'V06 Calend 01'!C39)/6)&lt;='V06 Calend 01'!E39)),IF((31=('V06 Calend 01'!C39+(6*'V06 Calend 01'!E39))),('V06 Calend 01'!H39-('V06 Calend 01'!I39*('V06 Calend 01'!E39-1))),'V06 Calend 01'!I39),0))+IF((31='V06 Calend 01'!D39),'V06 Calend 01'!J39,0))</f>
        <v>0</v>
      </c>
      <c r="AR39" s="2">
        <f>((IF((32='V06 Calend 01'!C39),('V06 Calend 01'!F39+'V06 Calend 01'!G39),0)+IF(AND(('V06 Calend 01'!E39&gt;0),(32&gt;'V06 Calend 01'!C39),(32&lt;'V06 Calend 01'!D39),(MOD((32-'V06 Calend 01'!C39),6)=0),(((32-'V06 Calend 01'!C39)/6)&lt;='V06 Calend 01'!E39)),IF((32=('V06 Calend 01'!C39+(6*'V06 Calend 01'!E39))),('V06 Calend 01'!H39-('V06 Calend 01'!I39*('V06 Calend 01'!E39-1))),'V06 Calend 01'!I39),0))+IF((32='V06 Calend 01'!D39),'V06 Calend 01'!J39,0))</f>
        <v>0</v>
      </c>
      <c r="AS39" s="2">
        <f>((IF((33='V06 Calend 01'!C39),('V06 Calend 01'!F39+'V06 Calend 01'!G39),0)+IF(AND(('V06 Calend 01'!E39&gt;0),(33&gt;'V06 Calend 01'!C39),(33&lt;'V06 Calend 01'!D39),(MOD((33-'V06 Calend 01'!C39),6)=0),(((33-'V06 Calend 01'!C39)/6)&lt;='V06 Calend 01'!E39)),IF((33=('V06 Calend 01'!C39+(6*'V06 Calend 01'!E39))),('V06 Calend 01'!H39-('V06 Calend 01'!I39*('V06 Calend 01'!E39-1))),'V06 Calend 01'!I39),0))+IF((33='V06 Calend 01'!D39),'V06 Calend 01'!J39,0))</f>
        <v>0</v>
      </c>
      <c r="AT39" s="2">
        <f>((IF((34='V06 Calend 01'!C39),('V06 Calend 01'!F39+'V06 Calend 01'!G39),0)+IF(AND(('V06 Calend 01'!E39&gt;0),(34&gt;'V06 Calend 01'!C39),(34&lt;'V06 Calend 01'!D39),(MOD((34-'V06 Calend 01'!C39),6)=0),(((34-'V06 Calend 01'!C39)/6)&lt;='V06 Calend 01'!E39)),IF((34=('V06 Calend 01'!C39+(6*'V06 Calend 01'!E39))),('V06 Calend 01'!H39-('V06 Calend 01'!I39*('V06 Calend 01'!E39-1))),'V06 Calend 01'!I39),0))+IF((34='V06 Calend 01'!D39),'V06 Calend 01'!J39,0))</f>
        <v>0</v>
      </c>
      <c r="AU39" s="2">
        <f>((IF((35='V06 Calend 01'!C39),('V06 Calend 01'!F39+'V06 Calend 01'!G39),0)+IF(AND(('V06 Calend 01'!E39&gt;0),(35&gt;'V06 Calend 01'!C39),(35&lt;'V06 Calend 01'!D39),(MOD((35-'V06 Calend 01'!C39),6)=0),(((35-'V06 Calend 01'!C39)/6)&lt;='V06 Calend 01'!E39)),IF((35=('V06 Calend 01'!C39+(6*'V06 Calend 01'!E39))),('V06 Calend 01'!H39-('V06 Calend 01'!I39*('V06 Calend 01'!E39-1))),'V06 Calend 01'!I39),0))+IF((35='V06 Calend 01'!D39),'V06 Calend 01'!J39,0))</f>
        <v>0</v>
      </c>
      <c r="AV39" s="2">
        <f>((IF((36='V06 Calend 01'!C39),('V06 Calend 01'!F39+'V06 Calend 01'!G39),0)+IF(AND(('V06 Calend 01'!E39&gt;0),(36&gt;'V06 Calend 01'!C39),(36&lt;'V06 Calend 01'!D39),(MOD((36-'V06 Calend 01'!C39),6)=0),(((36-'V06 Calend 01'!C39)/6)&lt;='V06 Calend 01'!E39)),IF((36=('V06 Calend 01'!C39+(6*'V06 Calend 01'!E39))),('V06 Calend 01'!H39-('V06 Calend 01'!I39*('V06 Calend 01'!E39-1))),'V06 Calend 01'!I39),0))+IF((36='V06 Calend 01'!D39),'V06 Calend 01'!J39,0))</f>
        <v>0</v>
      </c>
      <c r="AW39" s="2">
        <f>((IF((37='V06 Calend 01'!C39),('V06 Calend 01'!F39+'V06 Calend 01'!G39),0)+IF(AND(('V06 Calend 01'!E39&gt;0),(37&gt;'V06 Calend 01'!C39),(37&lt;'V06 Calend 01'!D39),(MOD((37-'V06 Calend 01'!C39),6)=0),(((37-'V06 Calend 01'!C39)/6)&lt;='V06 Calend 01'!E39)),IF((37=('V06 Calend 01'!C39+(6*'V06 Calend 01'!E39))),('V06 Calend 01'!H39-('V06 Calend 01'!I39*('V06 Calend 01'!E39-1))),'V06 Calend 01'!I39),0))+IF((37='V06 Calend 01'!D39),'V06 Calend 01'!J39,0))</f>
        <v>0</v>
      </c>
      <c r="AX39" s="2">
        <f>((IF((38='V06 Calend 01'!C39),('V06 Calend 01'!F39+'V06 Calend 01'!G39),0)+IF(AND(('V06 Calend 01'!E39&gt;0),(38&gt;'V06 Calend 01'!C39),(38&lt;'V06 Calend 01'!D39),(MOD((38-'V06 Calend 01'!C39),6)=0),(((38-'V06 Calend 01'!C39)/6)&lt;='V06 Calend 01'!E39)),IF((38=('V06 Calend 01'!C39+(6*'V06 Calend 01'!E39))),('V06 Calend 01'!H39-('V06 Calend 01'!I39*('V06 Calend 01'!E39-1))),'V06 Calend 01'!I39),0))+IF((38='V06 Calend 01'!D39),'V06 Calend 01'!J39,0))</f>
        <v>0</v>
      </c>
      <c r="AY39" s="2">
        <f>((IF((39='V06 Calend 01'!C39),('V06 Calend 01'!F39+'V06 Calend 01'!G39),0)+IF(AND(('V06 Calend 01'!E39&gt;0),(39&gt;'V06 Calend 01'!C39),(39&lt;'V06 Calend 01'!D39),(MOD((39-'V06 Calend 01'!C39),6)=0),(((39-'V06 Calend 01'!C39)/6)&lt;='V06 Calend 01'!E39)),IF((39=('V06 Calend 01'!C39+(6*'V06 Calend 01'!E39))),('V06 Calend 01'!H39-('V06 Calend 01'!I39*('V06 Calend 01'!E39-1))),'V06 Calend 01'!I39),0))+IF((39='V06 Calend 01'!D39),'V06 Calend 01'!J39,0))</f>
        <v>0</v>
      </c>
      <c r="AZ39" s="2">
        <f>((IF((40='V06 Calend 01'!C39),('V06 Calend 01'!F39+'V06 Calend 01'!G39),0)+IF(AND(('V06 Calend 01'!E39&gt;0),(40&gt;'V06 Calend 01'!C39),(40&lt;'V06 Calend 01'!D39),(MOD((40-'V06 Calend 01'!C39),6)=0),(((40-'V06 Calend 01'!C39)/6)&lt;='V06 Calend 01'!E39)),IF((40=('V06 Calend 01'!C39+(6*'V06 Calend 01'!E39))),('V06 Calend 01'!H39-('V06 Calend 01'!I39*('V06 Calend 01'!E39-1))),'V06 Calend 01'!I39),0))+IF((40='V06 Calend 01'!D39),'V06 Calend 01'!J39,0))</f>
        <v>0</v>
      </c>
      <c r="BA39" s="2">
        <f>((IF((41='V06 Calend 01'!C39),('V06 Calend 01'!F39+'V06 Calend 01'!G39),0)+IF(AND(('V06 Calend 01'!E39&gt;0),(41&gt;'V06 Calend 01'!C39),(41&lt;'V06 Calend 01'!D39),(MOD((41-'V06 Calend 01'!C39),6)=0),(((41-'V06 Calend 01'!C39)/6)&lt;='V06 Calend 01'!E39)),IF((41=('V06 Calend 01'!C39+(6*'V06 Calend 01'!E39))),('V06 Calend 01'!H39-('V06 Calend 01'!I39*('V06 Calend 01'!E39-1))),'V06 Calend 01'!I39),0))+IF((41='V06 Calend 01'!D39),'V06 Calend 01'!J39,0))</f>
        <v>0</v>
      </c>
      <c r="BB39" s="2">
        <f>((IF((42='V06 Calend 01'!C39),('V06 Calend 01'!F39+'V06 Calend 01'!G39),0)+IF(AND(('V06 Calend 01'!E39&gt;0),(42&gt;'V06 Calend 01'!C39),(42&lt;'V06 Calend 01'!D39),(MOD((42-'V06 Calend 01'!C39),6)=0),(((42-'V06 Calend 01'!C39)/6)&lt;='V06 Calend 01'!E39)),IF((42=('V06 Calend 01'!C39+(6*'V06 Calend 01'!E39))),('V06 Calend 01'!H39-('V06 Calend 01'!I39*('V06 Calend 01'!E39-1))),'V06 Calend 01'!I39),0))+IF((42='V06 Calend 01'!D39),'V06 Calend 01'!J39,0))</f>
        <v>0</v>
      </c>
      <c r="BC39" s="2">
        <f>((IF((43='V06 Calend 01'!C39),('V06 Calend 01'!F39+'V06 Calend 01'!G39),0)+IF(AND(('V06 Calend 01'!E39&gt;0),(43&gt;'V06 Calend 01'!C39),(43&lt;'V06 Calend 01'!D39),(MOD((43-'V06 Calend 01'!C39),6)=0),(((43-'V06 Calend 01'!C39)/6)&lt;='V06 Calend 01'!E39)),IF((43=('V06 Calend 01'!C39+(6*'V06 Calend 01'!E39))),('V06 Calend 01'!H39-('V06 Calend 01'!I39*('V06 Calend 01'!E39-1))),'V06 Calend 01'!I39),0))+IF((43='V06 Calend 01'!D39),'V06 Calend 01'!J39,0))</f>
        <v>0</v>
      </c>
      <c r="BD39" s="2">
        <f>((IF((44='V06 Calend 01'!C39),('V06 Calend 01'!F39+'V06 Calend 01'!G39),0)+IF(AND(('V06 Calend 01'!E39&gt;0),(44&gt;'V06 Calend 01'!C39),(44&lt;'V06 Calend 01'!D39),(MOD((44-'V06 Calend 01'!C39),6)=0),(((44-'V06 Calend 01'!C39)/6)&lt;='V06 Calend 01'!E39)),IF((44=('V06 Calend 01'!C39+(6*'V06 Calend 01'!E39))),('V06 Calend 01'!H39-('V06 Calend 01'!I39*('V06 Calend 01'!E39-1))),'V06 Calend 01'!I39),0))+IF((44='V06 Calend 01'!D39),'V06 Calend 01'!J39,0))</f>
        <v>0</v>
      </c>
      <c r="BE39" s="2">
        <f>((IF((45='V06 Calend 01'!C39),('V06 Calend 01'!F39+'V06 Calend 01'!G39),0)+IF(AND(('V06 Calend 01'!E39&gt;0),(45&gt;'V06 Calend 01'!C39),(45&lt;'V06 Calend 01'!D39),(MOD((45-'V06 Calend 01'!C39),6)=0),(((45-'V06 Calend 01'!C39)/6)&lt;='V06 Calend 01'!E39)),IF((45=('V06 Calend 01'!C39+(6*'V06 Calend 01'!E39))),('V06 Calend 01'!H39-('V06 Calend 01'!I39*('V06 Calend 01'!E39-1))),'V06 Calend 01'!I39),0))+IF((45='V06 Calend 01'!D39),'V06 Calend 01'!J39,0))</f>
        <v>0</v>
      </c>
      <c r="BF39" s="2">
        <f>((IF((46='V06 Calend 01'!C39),('V06 Calend 01'!F39+'V06 Calend 01'!G39),0)+IF(AND(('V06 Calend 01'!E39&gt;0),(46&gt;'V06 Calend 01'!C39),(46&lt;'V06 Calend 01'!D39),(MOD((46-'V06 Calend 01'!C39),6)=0),(((46-'V06 Calend 01'!C39)/6)&lt;='V06 Calend 01'!E39)),IF((46=('V06 Calend 01'!C39+(6*'V06 Calend 01'!E39))),('V06 Calend 01'!H39-('V06 Calend 01'!I39*('V06 Calend 01'!E39-1))),'V06 Calend 01'!I39),0))+IF((46='V06 Calend 01'!D39),'V06 Calend 01'!J39,0))</f>
        <v>0</v>
      </c>
      <c r="BG39" s="2">
        <f>((IF((47='V06 Calend 01'!C39),('V06 Calend 01'!F39+'V06 Calend 01'!G39),0)+IF(AND(('V06 Calend 01'!E39&gt;0),(47&gt;'V06 Calend 01'!C39),(47&lt;'V06 Calend 01'!D39),(MOD((47-'V06 Calend 01'!C39),6)=0),(((47-'V06 Calend 01'!C39)/6)&lt;='V06 Calend 01'!E39)),IF((47=('V06 Calend 01'!C39+(6*'V06 Calend 01'!E39))),('V06 Calend 01'!H39-('V06 Calend 01'!I39*('V06 Calend 01'!E39-1))),'V06 Calend 01'!I39),0))+IF((47='V06 Calend 01'!D39),'V06 Calend 01'!J39,0))</f>
        <v>0</v>
      </c>
      <c r="BH39" s="2">
        <f>((IF((48='V06 Calend 01'!C39),('V06 Calend 01'!F39+'V06 Calend 01'!G39),0)+IF(AND(('V06 Calend 01'!E39&gt;0),(48&gt;'V06 Calend 01'!C39),(48&lt;'V06 Calend 01'!D39),(MOD((48-'V06 Calend 01'!C39),6)=0),(((48-'V06 Calend 01'!C39)/6)&lt;='V06 Calend 01'!E39)),IF((48=('V06 Calend 01'!C39+(6*'V06 Calend 01'!E39))),('V06 Calend 01'!H39-('V06 Calend 01'!I39*('V06 Calend 01'!E39-1))),'V06 Calend 01'!I39),0))+IF((48='V06 Calend 01'!D39),'V06 Calend 01'!J39,0))</f>
        <v>0</v>
      </c>
      <c r="BI39" s="2">
        <f>((IF((49='V06 Calend 01'!C39),('V06 Calend 01'!F39+'V06 Calend 01'!G39),0)+IF(AND(('V06 Calend 01'!E39&gt;0),(49&gt;'V06 Calend 01'!C39),(49&lt;'V06 Calend 01'!D39),(MOD((49-'V06 Calend 01'!C39),6)=0),(((49-'V06 Calend 01'!C39)/6)&lt;='V06 Calend 01'!E39)),IF((49=('V06 Calend 01'!C39+(6*'V06 Calend 01'!E39))),('V06 Calend 01'!H39-('V06 Calend 01'!I39*('V06 Calend 01'!E39-1))),'V06 Calend 01'!I39),0))+IF((49='V06 Calend 01'!D39),'V06 Calend 01'!J39,0))</f>
        <v>0</v>
      </c>
      <c r="BJ39" s="2">
        <f>((IF((50='V06 Calend 01'!C39),('V06 Calend 01'!F39+'V06 Calend 01'!G39),0)+IF(AND(('V06 Calend 01'!E39&gt;0),(50&gt;'V06 Calend 01'!C39),(50&lt;'V06 Calend 01'!D39),(MOD((50-'V06 Calend 01'!C39),6)=0),(((50-'V06 Calend 01'!C39)/6)&lt;='V06 Calend 01'!E39)),IF((50=('V06 Calend 01'!C39+(6*'V06 Calend 01'!E39))),('V06 Calend 01'!H39-('V06 Calend 01'!I39*('V06 Calend 01'!E39-1))),'V06 Calend 01'!I39),0))+IF((50='V06 Calend 01'!D39),'V06 Calend 01'!J39,0))</f>
        <v>0</v>
      </c>
      <c r="BK39" s="2">
        <f>((IF((51='V06 Calend 01'!C39),('V06 Calend 01'!F39+'V06 Calend 01'!G39),0)+IF(AND(('V06 Calend 01'!E39&gt;0),(51&gt;'V06 Calend 01'!C39),(51&lt;'V06 Calend 01'!D39),(MOD((51-'V06 Calend 01'!C39),6)=0),(((51-'V06 Calend 01'!C39)/6)&lt;='V06 Calend 01'!E39)),IF((51=('V06 Calend 01'!C39+(6*'V06 Calend 01'!E39))),('V06 Calend 01'!H39-('V06 Calend 01'!I39*('V06 Calend 01'!E39-1))),'V06 Calend 01'!I39),0))+IF((51='V06 Calend 01'!D39),'V06 Calend 01'!J39,0))</f>
        <v>0</v>
      </c>
      <c r="BL39" s="2">
        <f>((IF((52='V06 Calend 01'!C39),('V06 Calend 01'!F39+'V06 Calend 01'!G39),0)+IF(AND(('V06 Calend 01'!E39&gt;0),(52&gt;'V06 Calend 01'!C39),(52&lt;'V06 Calend 01'!D39),(MOD((52-'V06 Calend 01'!C39),6)=0),(((52-'V06 Calend 01'!C39)/6)&lt;='V06 Calend 01'!E39)),IF((52=('V06 Calend 01'!C39+(6*'V06 Calend 01'!E39))),('V06 Calend 01'!H39-('V06 Calend 01'!I39*('V06 Calend 01'!E39-1))),'V06 Calend 01'!I39),0))+IF((52='V06 Calend 01'!D39),'V06 Calend 01'!J39,0))</f>
        <v>0</v>
      </c>
      <c r="BM39" s="2">
        <f>((IF((53='V06 Calend 01'!C39),('V06 Calend 01'!F39+'V06 Calend 01'!G39),0)+IF(AND(('V06 Calend 01'!E39&gt;0),(53&gt;'V06 Calend 01'!C39),(53&lt;'V06 Calend 01'!D39),(MOD((53-'V06 Calend 01'!C39),6)=0),(((53-'V06 Calend 01'!C39)/6)&lt;='V06 Calend 01'!E39)),IF((53=('V06 Calend 01'!C39+(6*'V06 Calend 01'!E39))),('V06 Calend 01'!H39-('V06 Calend 01'!I39*('V06 Calend 01'!E39-1))),'V06 Calend 01'!I39),0))+IF((53='V06 Calend 01'!D39),'V06 Calend 01'!J39,0))</f>
        <v>0</v>
      </c>
      <c r="BN39" s="2">
        <f>((IF((54='V06 Calend 01'!C39),('V06 Calend 01'!F39+'V06 Calend 01'!G39),0)+IF(AND(('V06 Calend 01'!E39&gt;0),(54&gt;'V06 Calend 01'!C39),(54&lt;'V06 Calend 01'!D39),(MOD((54-'V06 Calend 01'!C39),6)=0),(((54-'V06 Calend 01'!C39)/6)&lt;='V06 Calend 01'!E39)),IF((54=('V06 Calend 01'!C39+(6*'V06 Calend 01'!E39))),('V06 Calend 01'!H39-('V06 Calend 01'!I39*('V06 Calend 01'!E39-1))),'V06 Calend 01'!I39),0))+IF((54='V06 Calend 01'!D39),'V06 Calend 01'!J39,0))</f>
        <v>0</v>
      </c>
      <c r="BO39" s="2">
        <f>((IF((55='V06 Calend 01'!C39),('V06 Calend 01'!F39+'V06 Calend 01'!G39),0)+IF(AND(('V06 Calend 01'!E39&gt;0),(55&gt;'V06 Calend 01'!C39),(55&lt;'V06 Calend 01'!D39),(MOD((55-'V06 Calend 01'!C39),6)=0),(((55-'V06 Calend 01'!C39)/6)&lt;='V06 Calend 01'!E39)),IF((55=('V06 Calend 01'!C39+(6*'V06 Calend 01'!E39))),('V06 Calend 01'!H39-('V06 Calend 01'!I39*('V06 Calend 01'!E39-1))),'V06 Calend 01'!I39),0))+IF((55='V06 Calend 01'!D39),'V06 Calend 01'!J39,0))</f>
        <v>0</v>
      </c>
      <c r="BP39" s="2">
        <f>((IF((56='V06 Calend 01'!C39),('V06 Calend 01'!F39+'V06 Calend 01'!G39),0)+IF(AND(('V06 Calend 01'!E39&gt;0),(56&gt;'V06 Calend 01'!C39),(56&lt;'V06 Calend 01'!D39),(MOD((56-'V06 Calend 01'!C39),6)=0),(((56-'V06 Calend 01'!C39)/6)&lt;='V06 Calend 01'!E39)),IF((56=('V06 Calend 01'!C39+(6*'V06 Calend 01'!E39))),('V06 Calend 01'!H39-('V06 Calend 01'!I39*('V06 Calend 01'!E39-1))),'V06 Calend 01'!I39),0))+IF((56='V06 Calend 01'!D39),'V06 Calend 01'!J39,0))</f>
        <v>0</v>
      </c>
      <c r="BQ39" s="2">
        <f>((IF((57='V06 Calend 01'!C39),('V06 Calend 01'!F39+'V06 Calend 01'!G39),0)+IF(AND(('V06 Calend 01'!E39&gt;0),(57&gt;'V06 Calend 01'!C39),(57&lt;'V06 Calend 01'!D39),(MOD((57-'V06 Calend 01'!C39),6)=0),(((57-'V06 Calend 01'!C39)/6)&lt;='V06 Calend 01'!E39)),IF((57=('V06 Calend 01'!C39+(6*'V06 Calend 01'!E39))),('V06 Calend 01'!H39-('V06 Calend 01'!I39*('V06 Calend 01'!E39-1))),'V06 Calend 01'!I39),0))+IF((57='V06 Calend 01'!D39),'V06 Calend 01'!J39,0))</f>
        <v>0</v>
      </c>
      <c r="BR39" s="2">
        <f>((IF((58='V06 Calend 01'!C39),('V06 Calend 01'!F39+'V06 Calend 01'!G39),0)+IF(AND(('V06 Calend 01'!E39&gt;0),(58&gt;'V06 Calend 01'!C39),(58&lt;'V06 Calend 01'!D39),(MOD((58-'V06 Calend 01'!C39),6)=0),(((58-'V06 Calend 01'!C39)/6)&lt;='V06 Calend 01'!E39)),IF((58=('V06 Calend 01'!C39+(6*'V06 Calend 01'!E39))),('V06 Calend 01'!H39-('V06 Calend 01'!I39*('V06 Calend 01'!E39-1))),'V06 Calend 01'!I39),0))+IF((58='V06 Calend 01'!D39),'V06 Calend 01'!J39,0))</f>
        <v>0</v>
      </c>
      <c r="BS39" s="2">
        <f>((IF((59='V06 Calend 01'!C39),('V06 Calend 01'!F39+'V06 Calend 01'!G39),0)+IF(AND(('V06 Calend 01'!E39&gt;0),(59&gt;'V06 Calend 01'!C39),(59&lt;'V06 Calend 01'!D39),(MOD((59-'V06 Calend 01'!C39),6)=0),(((59-'V06 Calend 01'!C39)/6)&lt;='V06 Calend 01'!E39)),IF((59=('V06 Calend 01'!C39+(6*'V06 Calend 01'!E39))),('V06 Calend 01'!H39-('V06 Calend 01'!I39*('V06 Calend 01'!E39-1))),'V06 Calend 01'!I39),0))+IF((59='V06 Calend 01'!D39),'V06 Calend 01'!J39,0))</f>
        <v>0</v>
      </c>
      <c r="BT39" s="2">
        <f>((IF((60='V06 Calend 01'!C39),('V06 Calend 01'!F39+'V06 Calend 01'!G39),0)+IF(AND(('V06 Calend 01'!E39&gt;0),(60&gt;'V06 Calend 01'!C39),(60&lt;'V06 Calend 01'!D39),(MOD((60-'V06 Calend 01'!C39),6)=0),(((60-'V06 Calend 01'!C39)/6)&lt;='V06 Calend 01'!E39)),IF((60=('V06 Calend 01'!C39+(6*'V06 Calend 01'!E39))),('V06 Calend 01'!H39-('V06 Calend 01'!I39*('V06 Calend 01'!E39-1))),'V06 Calend 01'!I39),0))+IF((60='V06 Calend 01'!D39),'V06 Calend 01'!J39,0))</f>
        <v>0</v>
      </c>
      <c r="BU39" s="2">
        <f>((IF((61='V06 Calend 01'!C39),('V06 Calend 01'!F39+'V06 Calend 01'!G39),0)+IF(AND(('V06 Calend 01'!E39&gt;0),(61&gt;'V06 Calend 01'!C39),(61&lt;'V06 Calend 01'!D39),(MOD((61-'V06 Calend 01'!C39),6)=0),(((61-'V06 Calend 01'!C39)/6)&lt;='V06 Calend 01'!E39)),IF((61=('V06 Calend 01'!C39+(6*'V06 Calend 01'!E39))),('V06 Calend 01'!H39-('V06 Calend 01'!I39*('V06 Calend 01'!E39-1))),'V06 Calend 01'!I39),0))+IF((61='V06 Calend 01'!D39),'V06 Calend 01'!J39,0))</f>
        <v>0</v>
      </c>
      <c r="BV39" s="2">
        <f>((IF((62='V06 Calend 01'!C39),('V06 Calend 01'!F39+'V06 Calend 01'!G39),0)+IF(AND(('V06 Calend 01'!E39&gt;0),(62&gt;'V06 Calend 01'!C39),(62&lt;'V06 Calend 01'!D39),(MOD((62-'V06 Calend 01'!C39),6)=0),(((62-'V06 Calend 01'!C39)/6)&lt;='V06 Calend 01'!E39)),IF((62=('V06 Calend 01'!C39+(6*'V06 Calend 01'!E39))),('V06 Calend 01'!H39-('V06 Calend 01'!I39*('V06 Calend 01'!E39-1))),'V06 Calend 01'!I39),0))+IF((62='V06 Calend 01'!D39),'V06 Calend 01'!J39,0))</f>
        <v>0</v>
      </c>
      <c r="BW39" s="2">
        <f>((IF((63='V06 Calend 01'!C39),('V06 Calend 01'!F39+'V06 Calend 01'!G39),0)+IF(AND(('V06 Calend 01'!E39&gt;0),(63&gt;'V06 Calend 01'!C39),(63&lt;'V06 Calend 01'!D39),(MOD((63-'V06 Calend 01'!C39),6)=0),(((63-'V06 Calend 01'!C39)/6)&lt;='V06 Calend 01'!E39)),IF((63=('V06 Calend 01'!C39+(6*'V06 Calend 01'!E39))),('V06 Calend 01'!H39-('V06 Calend 01'!I39*('V06 Calend 01'!E39-1))),'V06 Calend 01'!I39),0))+IF((63='V06 Calend 01'!D39),'V06 Calend 01'!J39,0))</f>
        <v>0</v>
      </c>
      <c r="BX39" s="2">
        <f>((IF((64='V06 Calend 01'!C39),('V06 Calend 01'!F39+'V06 Calend 01'!G39),0)+IF(AND(('V06 Calend 01'!E39&gt;0),(64&gt;'V06 Calend 01'!C39),(64&lt;'V06 Calend 01'!D39),(MOD((64-'V06 Calend 01'!C39),6)=0),(((64-'V06 Calend 01'!C39)/6)&lt;='V06 Calend 01'!E39)),IF((64=('V06 Calend 01'!C39+(6*'V06 Calend 01'!E39))),('V06 Calend 01'!H39-('V06 Calend 01'!I39*('V06 Calend 01'!E39-1))),'V06 Calend 01'!I39),0))+IF((64='V06 Calend 01'!D39),'V06 Calend 01'!J39,0))</f>
        <v>0</v>
      </c>
      <c r="BY39" s="2">
        <f>((IF((65='V06 Calend 01'!C39),('V06 Calend 01'!F39+'V06 Calend 01'!G39),0)+IF(AND(('V06 Calend 01'!E39&gt;0),(65&gt;'V06 Calend 01'!C39),(65&lt;'V06 Calend 01'!D39),(MOD((65-'V06 Calend 01'!C39),6)=0),(((65-'V06 Calend 01'!C39)/6)&lt;='V06 Calend 01'!E39)),IF((65=('V06 Calend 01'!C39+(6*'V06 Calend 01'!E39))),('V06 Calend 01'!H39-('V06 Calend 01'!I39*('V06 Calend 01'!E39-1))),'V06 Calend 01'!I39),0))+IF((65='V06 Calend 01'!D39),'V06 Calend 01'!J39,0))</f>
        <v>0</v>
      </c>
      <c r="BZ39" s="2">
        <f>((IF((66='V06 Calend 01'!C39),('V06 Calend 01'!F39+'V06 Calend 01'!G39),0)+IF(AND(('V06 Calend 01'!E39&gt;0),(66&gt;'V06 Calend 01'!C39),(66&lt;'V06 Calend 01'!D39),(MOD((66-'V06 Calend 01'!C39),6)=0),(((66-'V06 Calend 01'!C39)/6)&lt;='V06 Calend 01'!E39)),IF((66=('V06 Calend 01'!C39+(6*'V06 Calend 01'!E39))),('V06 Calend 01'!H39-('V06 Calend 01'!I39*('V06 Calend 01'!E39-1))),'V06 Calend 01'!I39),0))+IF((66='V06 Calend 01'!D39),'V06 Calend 01'!J39,0))</f>
        <v>0</v>
      </c>
      <c r="CA39" s="2">
        <f>((IF((67='V06 Calend 01'!C39),('V06 Calend 01'!F39+'V06 Calend 01'!G39),0)+IF(AND(('V06 Calend 01'!E39&gt;0),(67&gt;'V06 Calend 01'!C39),(67&lt;'V06 Calend 01'!D39),(MOD((67-'V06 Calend 01'!C39),6)=0),(((67-'V06 Calend 01'!C39)/6)&lt;='V06 Calend 01'!E39)),IF((67=('V06 Calend 01'!C39+(6*'V06 Calend 01'!E39))),('V06 Calend 01'!H39-('V06 Calend 01'!I39*('V06 Calend 01'!E39-1))),'V06 Calend 01'!I39),0))+IF((67='V06 Calend 01'!D39),'V06 Calend 01'!J39,0))</f>
        <v>0</v>
      </c>
      <c r="CB39" s="2">
        <f>((IF((68='V06 Calend 01'!C39),('V06 Calend 01'!F39+'V06 Calend 01'!G39),0)+IF(AND(('V06 Calend 01'!E39&gt;0),(68&gt;'V06 Calend 01'!C39),(68&lt;'V06 Calend 01'!D39),(MOD((68-'V06 Calend 01'!C39),6)=0),(((68-'V06 Calend 01'!C39)/6)&lt;='V06 Calend 01'!E39)),IF((68=('V06 Calend 01'!C39+(6*'V06 Calend 01'!E39))),('V06 Calend 01'!H39-('V06 Calend 01'!I39*('V06 Calend 01'!E39-1))),'V06 Calend 01'!I39),0))+IF((68='V06 Calend 01'!D39),'V06 Calend 01'!J39,0))</f>
        <v>0</v>
      </c>
      <c r="CC39" s="2">
        <f>((IF((69='V06 Calend 01'!C39),('V06 Calend 01'!F39+'V06 Calend 01'!G39),0)+IF(AND(('V06 Calend 01'!E39&gt;0),(69&gt;'V06 Calend 01'!C39),(69&lt;'V06 Calend 01'!D39),(MOD((69-'V06 Calend 01'!C39),6)=0),(((69-'V06 Calend 01'!C39)/6)&lt;='V06 Calend 01'!E39)),IF((69=('V06 Calend 01'!C39+(6*'V06 Calend 01'!E39))),('V06 Calend 01'!H39-('V06 Calend 01'!I39*('V06 Calend 01'!E39-1))),'V06 Calend 01'!I39),0))+IF((69='V06 Calend 01'!D39),'V06 Calend 01'!J39,0))</f>
        <v>0</v>
      </c>
      <c r="CD39" s="2">
        <f>((IF((70='V06 Calend 01'!C39),('V06 Calend 01'!F39+'V06 Calend 01'!G39),0)+IF(AND(('V06 Calend 01'!E39&gt;0),(70&gt;'V06 Calend 01'!C39),(70&lt;'V06 Calend 01'!D39),(MOD((70-'V06 Calend 01'!C39),6)=0),(((70-'V06 Calend 01'!C39)/6)&lt;='V06 Calend 01'!E39)),IF((70=('V06 Calend 01'!C39+(6*'V06 Calend 01'!E39))),('V06 Calend 01'!H39-('V06 Calend 01'!I39*('V06 Calend 01'!E39-1))),'V06 Calend 01'!I39),0))+IF((70='V06 Calend 01'!D39),'V06 Calend 01'!J39,0))</f>
        <v>0</v>
      </c>
      <c r="CE39" s="2">
        <f>((IF((71='V06 Calend 01'!C39),('V06 Calend 01'!F39+'V06 Calend 01'!G39),0)+IF(AND(('V06 Calend 01'!E39&gt;0),(71&gt;'V06 Calend 01'!C39),(71&lt;'V06 Calend 01'!D39),(MOD((71-'V06 Calend 01'!C39),6)=0),(((71-'V06 Calend 01'!C39)/6)&lt;='V06 Calend 01'!E39)),IF((71=('V06 Calend 01'!C39+(6*'V06 Calend 01'!E39))),('V06 Calend 01'!H39-('V06 Calend 01'!I39*('V06 Calend 01'!E39-1))),'V06 Calend 01'!I39),0))+IF((71='V06 Calend 01'!D39),'V06 Calend 01'!J39,0))</f>
        <v>0</v>
      </c>
      <c r="CF39" s="2">
        <f>((IF((72='V06 Calend 01'!C39),('V06 Calend 01'!F39+'V06 Calend 01'!G39),0)+IF(AND(('V06 Calend 01'!E39&gt;0),(72&gt;'V06 Calend 01'!C39),(72&lt;'V06 Calend 01'!D39),(MOD((72-'V06 Calend 01'!C39),6)=0),(((72-'V06 Calend 01'!C39)/6)&lt;='V06 Calend 01'!E39)),IF((72=('V06 Calend 01'!C39+(6*'V06 Calend 01'!E39))),('V06 Calend 01'!H39-('V06 Calend 01'!I39*('V06 Calend 01'!E39-1))),'V06 Calend 01'!I39),0))+IF((72='V06 Calend 01'!D39),'V06 Calend 01'!J39,0))</f>
        <v>0</v>
      </c>
      <c r="CG39" s="2">
        <f>((IF((73='V06 Calend 01'!C39),('V06 Calend 01'!F39+'V06 Calend 01'!G39),0)+IF(AND(('V06 Calend 01'!E39&gt;0),(73&gt;'V06 Calend 01'!C39),(73&lt;'V06 Calend 01'!D39),(MOD((73-'V06 Calend 01'!C39),6)=0),(((73-'V06 Calend 01'!C39)/6)&lt;='V06 Calend 01'!E39)),IF((73=('V06 Calend 01'!C39+(6*'V06 Calend 01'!E39))),('V06 Calend 01'!H39-('V06 Calend 01'!I39*('V06 Calend 01'!E39-1))),'V06 Calend 01'!I39),0))+IF((73='V06 Calend 01'!D39),'V06 Calend 01'!J39,0))</f>
        <v>0</v>
      </c>
      <c r="CH39" s="2">
        <f>((IF((74='V06 Calend 01'!C39),('V06 Calend 01'!F39+'V06 Calend 01'!G39),0)+IF(AND(('V06 Calend 01'!E39&gt;0),(74&gt;'V06 Calend 01'!C39),(74&lt;'V06 Calend 01'!D39),(MOD((74-'V06 Calend 01'!C39),6)=0),(((74-'V06 Calend 01'!C39)/6)&lt;='V06 Calend 01'!E39)),IF((74=('V06 Calend 01'!C39+(6*'V06 Calend 01'!E39))),('V06 Calend 01'!H39-('V06 Calend 01'!I39*('V06 Calend 01'!E39-1))),'V06 Calend 01'!I39),0))+IF((74='V06 Calend 01'!D39),'V06 Calend 01'!J39,0))</f>
        <v>0</v>
      </c>
      <c r="CI39" s="2">
        <f>((IF((75='V06 Calend 01'!C39),('V06 Calend 01'!F39+'V06 Calend 01'!G39),0)+IF(AND(('V06 Calend 01'!E39&gt;0),(75&gt;'V06 Calend 01'!C39),(75&lt;'V06 Calend 01'!D39),(MOD((75-'V06 Calend 01'!C39),6)=0),(((75-'V06 Calend 01'!C39)/6)&lt;='V06 Calend 01'!E39)),IF((75=('V06 Calend 01'!C39+(6*'V06 Calend 01'!E39))),('V06 Calend 01'!H39-('V06 Calend 01'!I39*('V06 Calend 01'!E39-1))),'V06 Calend 01'!I39),0))+IF((75='V06 Calend 01'!D39),'V06 Calend 01'!J39,0))</f>
        <v>0</v>
      </c>
      <c r="CJ39" s="2">
        <f>((IF((76='V06 Calend 01'!C39),('V06 Calend 01'!F39+'V06 Calend 01'!G39),0)+IF(AND(('V06 Calend 01'!E39&gt;0),(76&gt;'V06 Calend 01'!C39),(76&lt;'V06 Calend 01'!D39),(MOD((76-'V06 Calend 01'!C39),6)=0),(((76-'V06 Calend 01'!C39)/6)&lt;='V06 Calend 01'!E39)),IF((76=('V06 Calend 01'!C39+(6*'V06 Calend 01'!E39))),('V06 Calend 01'!H39-('V06 Calend 01'!I39*('V06 Calend 01'!E39-1))),'V06 Calend 01'!I39),0))+IF((76='V06 Calend 01'!D39),'V06 Calend 01'!J39,0))</f>
        <v>0</v>
      </c>
      <c r="CK39" s="2">
        <f>((IF((77='V06 Calend 01'!C39),('V06 Calend 01'!F39+'V06 Calend 01'!G39),0)+IF(AND(('V06 Calend 01'!E39&gt;0),(77&gt;'V06 Calend 01'!C39),(77&lt;'V06 Calend 01'!D39),(MOD((77-'V06 Calend 01'!C39),6)=0),(((77-'V06 Calend 01'!C39)/6)&lt;='V06 Calend 01'!E39)),IF((77=('V06 Calend 01'!C39+(6*'V06 Calend 01'!E39))),('V06 Calend 01'!H39-('V06 Calend 01'!I39*('V06 Calend 01'!E39-1))),'V06 Calend 01'!I39),0))+IF((77='V06 Calend 01'!D39),'V06 Calend 01'!J39,0))</f>
        <v>0</v>
      </c>
      <c r="CL39" s="2">
        <f>((IF((78='V06 Calend 01'!C39),('V06 Calend 01'!F39+'V06 Calend 01'!G39),0)+IF(AND(('V06 Calend 01'!E39&gt;0),(78&gt;'V06 Calend 01'!C39),(78&lt;'V06 Calend 01'!D39),(MOD((78-'V06 Calend 01'!C39),6)=0),(((78-'V06 Calend 01'!C39)/6)&lt;='V06 Calend 01'!E39)),IF((78=('V06 Calend 01'!C39+(6*'V06 Calend 01'!E39))),('V06 Calend 01'!H39-('V06 Calend 01'!I39*('V06 Calend 01'!E39-1))),'V06 Calend 01'!I39),0))+IF((78='V06 Calend 01'!D39),'V06 Calend 01'!J39,0))</f>
        <v>0</v>
      </c>
      <c r="CM39" s="2">
        <f>((IF((79='V06 Calend 01'!C39),('V06 Calend 01'!F39+'V06 Calend 01'!G39),0)+IF(AND(('V06 Calend 01'!E39&gt;0),(79&gt;'V06 Calend 01'!C39),(79&lt;'V06 Calend 01'!D39),(MOD((79-'V06 Calend 01'!C39),6)=0),(((79-'V06 Calend 01'!C39)/6)&lt;='V06 Calend 01'!E39)),IF((79=('V06 Calend 01'!C39+(6*'V06 Calend 01'!E39))),('V06 Calend 01'!H39-('V06 Calend 01'!I39*('V06 Calend 01'!E39-1))),'V06 Calend 01'!I39),0))+IF((79='V06 Calend 01'!D39),'V06 Calend 01'!J39,0))</f>
        <v>0</v>
      </c>
      <c r="CN39" s="2">
        <f>((IF((80='V06 Calend 01'!C39),('V06 Calend 01'!F39+'V06 Calend 01'!G39),0)+IF(AND(('V06 Calend 01'!E39&gt;0),(80&gt;'V06 Calend 01'!C39),(80&lt;'V06 Calend 01'!D39),(MOD((80-'V06 Calend 01'!C39),6)=0),(((80-'V06 Calend 01'!C39)/6)&lt;='V06 Calend 01'!E39)),IF((80=('V06 Calend 01'!C39+(6*'V06 Calend 01'!E39))),('V06 Calend 01'!H39-('V06 Calend 01'!I39*('V06 Calend 01'!E39-1))),'V06 Calend 01'!I39),0))+IF((80='V06 Calend 01'!D39),'V06 Calend 01'!J39,0))</f>
        <v>0</v>
      </c>
      <c r="CO39" s="2">
        <f>((IF((81='V06 Calend 01'!C39),('V06 Calend 01'!F39+'V06 Calend 01'!G39),0)+IF(AND(('V06 Calend 01'!E39&gt;0),(81&gt;'V06 Calend 01'!C39),(81&lt;'V06 Calend 01'!D39),(MOD((81-'V06 Calend 01'!C39),6)=0),(((81-'V06 Calend 01'!C39)/6)&lt;='V06 Calend 01'!E39)),IF((81=('V06 Calend 01'!C39+(6*'V06 Calend 01'!E39))),('V06 Calend 01'!H39-('V06 Calend 01'!I39*('V06 Calend 01'!E39-1))),'V06 Calend 01'!I39),0))+IF((81='V06 Calend 01'!D39),'V06 Calend 01'!J39,0))</f>
        <v>0</v>
      </c>
      <c r="CP39" s="2">
        <f>((IF((82='V06 Calend 01'!C39),('V06 Calend 01'!F39+'V06 Calend 01'!G39),0)+IF(AND(('V06 Calend 01'!E39&gt;0),(82&gt;'V06 Calend 01'!C39),(82&lt;'V06 Calend 01'!D39),(MOD((82-'V06 Calend 01'!C39),6)=0),(((82-'V06 Calend 01'!C39)/6)&lt;='V06 Calend 01'!E39)),IF((82=('V06 Calend 01'!C39+(6*'V06 Calend 01'!E39))),('V06 Calend 01'!H39-('V06 Calend 01'!I39*('V06 Calend 01'!E39-1))),'V06 Calend 01'!I39),0))+IF((82='V06 Calend 01'!D39),'V06 Calend 01'!J39,0))</f>
        <v>0</v>
      </c>
      <c r="CQ39" s="2">
        <f>((IF((83='V06 Calend 01'!C39),('V06 Calend 01'!F39+'V06 Calend 01'!G39),0)+IF(AND(('V06 Calend 01'!E39&gt;0),(83&gt;'V06 Calend 01'!C39),(83&lt;'V06 Calend 01'!D39),(MOD((83-'V06 Calend 01'!C39),6)=0),(((83-'V06 Calend 01'!C39)/6)&lt;='V06 Calend 01'!E39)),IF((83=('V06 Calend 01'!C39+(6*'V06 Calend 01'!E39))),('V06 Calend 01'!H39-('V06 Calend 01'!I39*('V06 Calend 01'!E39-1))),'V06 Calend 01'!I39),0))+IF((83='V06 Calend 01'!D39),'V06 Calend 01'!J39,0))</f>
        <v>0</v>
      </c>
      <c r="CR39" s="2">
        <f>((IF((84='V06 Calend 01'!C39),('V06 Calend 01'!F39+'V06 Calend 01'!G39),0)+IF(AND(('V06 Calend 01'!E39&gt;0),(84&gt;'V06 Calend 01'!C39),(84&lt;'V06 Calend 01'!D39),(MOD((84-'V06 Calend 01'!C39),6)=0),(((84-'V06 Calend 01'!C39)/6)&lt;='V06 Calend 01'!E39)),IF((84=('V06 Calend 01'!C39+(6*'V06 Calend 01'!E39))),('V06 Calend 01'!H39-('V06 Calend 01'!I39*('V06 Calend 01'!E39-1))),'V06 Calend 01'!I39),0))+IF((84='V06 Calend 01'!D39),'V06 Calend 01'!J39,0))</f>
        <v>0</v>
      </c>
      <c r="CS39" s="2">
        <f>((IF((85='V06 Calend 01'!C39),('V06 Calend 01'!F39+'V06 Calend 01'!G39),0)+IF(AND(('V06 Calend 01'!E39&gt;0),(85&gt;'V06 Calend 01'!C39),(85&lt;'V06 Calend 01'!D39),(MOD((85-'V06 Calend 01'!C39),6)=0),(((85-'V06 Calend 01'!C39)/6)&lt;='V06 Calend 01'!E39)),IF((85=('V06 Calend 01'!C39+(6*'V06 Calend 01'!E39))),('V06 Calend 01'!H39-('V06 Calend 01'!I39*('V06 Calend 01'!E39-1))),'V06 Calend 01'!I39),0))+IF((85='V06 Calend 01'!D39),'V06 Calend 01'!J39,0))</f>
        <v>0</v>
      </c>
      <c r="CT39" s="2">
        <f>((IF((86='V06 Calend 01'!C39),('V06 Calend 01'!F39+'V06 Calend 01'!G39),0)+IF(AND(('V06 Calend 01'!E39&gt;0),(86&gt;'V06 Calend 01'!C39),(86&lt;'V06 Calend 01'!D39),(MOD((86-'V06 Calend 01'!C39),6)=0),(((86-'V06 Calend 01'!C39)/6)&lt;='V06 Calend 01'!E39)),IF((86=('V06 Calend 01'!C39+(6*'V06 Calend 01'!E39))),('V06 Calend 01'!H39-('V06 Calend 01'!I39*('V06 Calend 01'!E39-1))),'V06 Calend 01'!I39),0))+IF((86='V06 Calend 01'!D39),'V06 Calend 01'!J39,0))</f>
        <v>0</v>
      </c>
      <c r="CU39" s="2">
        <f>((IF((87='V06 Calend 01'!C39),('V06 Calend 01'!F39+'V06 Calend 01'!G39),0)+IF(AND(('V06 Calend 01'!E39&gt;0),(87&gt;'V06 Calend 01'!C39),(87&lt;'V06 Calend 01'!D39),(MOD((87-'V06 Calend 01'!C39),6)=0),(((87-'V06 Calend 01'!C39)/6)&lt;='V06 Calend 01'!E39)),IF((87=('V06 Calend 01'!C39+(6*'V06 Calend 01'!E39))),('V06 Calend 01'!H39-('V06 Calend 01'!I39*('V06 Calend 01'!E39-1))),'V06 Calend 01'!I39),0))+IF((87='V06 Calend 01'!D39),'V06 Calend 01'!J39,0))</f>
        <v>0</v>
      </c>
      <c r="CV39" s="2">
        <f>((IF((88='V06 Calend 01'!C39),('V06 Calend 01'!F39+'V06 Calend 01'!G39),0)+IF(AND(('V06 Calend 01'!E39&gt;0),(88&gt;'V06 Calend 01'!C39),(88&lt;'V06 Calend 01'!D39),(MOD((88-'V06 Calend 01'!C39),6)=0),(((88-'V06 Calend 01'!C39)/6)&lt;='V06 Calend 01'!E39)),IF((88=('V06 Calend 01'!C39+(6*'V06 Calend 01'!E39))),('V06 Calend 01'!H39-('V06 Calend 01'!I39*('V06 Calend 01'!E39-1))),'V06 Calend 01'!I39),0))+IF((88='V06 Calend 01'!D39),'V06 Calend 01'!J39,0))</f>
        <v>0</v>
      </c>
      <c r="CW39" s="2">
        <f>((IF((89='V06 Calend 01'!C39),('V06 Calend 01'!F39+'V06 Calend 01'!G39),0)+IF(AND(('V06 Calend 01'!E39&gt;0),(89&gt;'V06 Calend 01'!C39),(89&lt;'V06 Calend 01'!D39),(MOD((89-'V06 Calend 01'!C39),6)=0),(((89-'V06 Calend 01'!C39)/6)&lt;='V06 Calend 01'!E39)),IF((89=('V06 Calend 01'!C39+(6*'V06 Calend 01'!E39))),('V06 Calend 01'!H39-('V06 Calend 01'!I39*('V06 Calend 01'!E39-1))),'V06 Calend 01'!I39),0))+IF((89='V06 Calend 01'!D39),'V06 Calend 01'!J39,0))</f>
        <v>0</v>
      </c>
      <c r="CX39" s="2">
        <f>((IF((90='V06 Calend 01'!C39),('V06 Calend 01'!F39+'V06 Calend 01'!G39),0)+IF(AND(('V06 Calend 01'!E39&gt;0),(90&gt;'V06 Calend 01'!C39),(90&lt;'V06 Calend 01'!D39),(MOD((90-'V06 Calend 01'!C39),6)=0),(((90-'V06 Calend 01'!C39)/6)&lt;='V06 Calend 01'!E39)),IF((90=('V06 Calend 01'!C39+(6*'V06 Calend 01'!E39))),('V06 Calend 01'!H39-('V06 Calend 01'!I39*('V06 Calend 01'!E39-1))),'V06 Calend 01'!I39),0))+IF((90='V06 Calend 01'!D39),'V06 Calend 01'!J39,0))</f>
        <v>0</v>
      </c>
      <c r="CY39" s="2">
        <f>((IF((91='V06 Calend 01'!C39),('V06 Calend 01'!F39+'V06 Calend 01'!G39),0)+IF(AND(('V06 Calend 01'!E39&gt;0),(91&gt;'V06 Calend 01'!C39),(91&lt;'V06 Calend 01'!D39),(MOD((91-'V06 Calend 01'!C39),6)=0),(((91-'V06 Calend 01'!C39)/6)&lt;='V06 Calend 01'!E39)),IF((91=('V06 Calend 01'!C39+(6*'V06 Calend 01'!E39))),('V06 Calend 01'!H39-('V06 Calend 01'!I39*('V06 Calend 01'!E39-1))),'V06 Calend 01'!I39),0))+IF((91='V06 Calend 01'!D39),'V06 Calend 01'!J39,0))</f>
        <v>0</v>
      </c>
      <c r="CZ39" s="2">
        <f>((IF((92='V06 Calend 01'!C39),('V06 Calend 01'!F39+'V06 Calend 01'!G39),0)+IF(AND(('V06 Calend 01'!E39&gt;0),(92&gt;'V06 Calend 01'!C39),(92&lt;'V06 Calend 01'!D39),(MOD((92-'V06 Calend 01'!C39),6)=0),(((92-'V06 Calend 01'!C39)/6)&lt;='V06 Calend 01'!E39)),IF((92=('V06 Calend 01'!C39+(6*'V06 Calend 01'!E39))),('V06 Calend 01'!H39-('V06 Calend 01'!I39*('V06 Calend 01'!E39-1))),'V06 Calend 01'!I39),0))+IF((92='V06 Calend 01'!D39),'V06 Calend 01'!J39,0))</f>
        <v>0</v>
      </c>
      <c r="DA39" s="2">
        <f>((IF((93='V06 Calend 01'!C39),('V06 Calend 01'!F39+'V06 Calend 01'!G39),0)+IF(AND(('V06 Calend 01'!E39&gt;0),(93&gt;'V06 Calend 01'!C39),(93&lt;'V06 Calend 01'!D39),(MOD((93-'V06 Calend 01'!C39),6)=0),(((93-'V06 Calend 01'!C39)/6)&lt;='V06 Calend 01'!E39)),IF((93=('V06 Calend 01'!C39+(6*'V06 Calend 01'!E39))),('V06 Calend 01'!H39-('V06 Calend 01'!I39*('V06 Calend 01'!E39-1))),'V06 Calend 01'!I39),0))+IF((93='V06 Calend 01'!D39),'V06 Calend 01'!J39,0))</f>
        <v>0</v>
      </c>
      <c r="DB39" s="2">
        <f>((IF((94='V06 Calend 01'!C39),('V06 Calend 01'!F39+'V06 Calend 01'!G39),0)+IF(AND(('V06 Calend 01'!E39&gt;0),(94&gt;'V06 Calend 01'!C39),(94&lt;'V06 Calend 01'!D39),(MOD((94-'V06 Calend 01'!C39),6)=0),(((94-'V06 Calend 01'!C39)/6)&lt;='V06 Calend 01'!E39)),IF((94=('V06 Calend 01'!C39+(6*'V06 Calend 01'!E39))),('V06 Calend 01'!H39-('V06 Calend 01'!I39*('V06 Calend 01'!E39-1))),'V06 Calend 01'!I39),0))+IF((94='V06 Calend 01'!D39),'V06 Calend 01'!J39,0))</f>
        <v>0</v>
      </c>
      <c r="DC39" s="2">
        <f>((IF((95='V06 Calend 01'!C39),('V06 Calend 01'!F39+'V06 Calend 01'!G39),0)+IF(AND(('V06 Calend 01'!E39&gt;0),(95&gt;'V06 Calend 01'!C39),(95&lt;'V06 Calend 01'!D39),(MOD((95-'V06 Calend 01'!C39),6)=0),(((95-'V06 Calend 01'!C39)/6)&lt;='V06 Calend 01'!E39)),IF((95=('V06 Calend 01'!C39+(6*'V06 Calend 01'!E39))),('V06 Calend 01'!H39-('V06 Calend 01'!I39*('V06 Calend 01'!E39-1))),'V06 Calend 01'!I39),0))+IF((95='V06 Calend 01'!D39),'V06 Calend 01'!J39,0))</f>
        <v>0</v>
      </c>
      <c r="DD39" s="2">
        <f>((IF((96='V06 Calend 01'!C39),('V06 Calend 01'!F39+'V06 Calend 01'!G39),0)+IF(AND(('V06 Calend 01'!E39&gt;0),(96&gt;'V06 Calend 01'!C39),(96&lt;'V06 Calend 01'!D39),(MOD((96-'V06 Calend 01'!C39),6)=0),(((96-'V06 Calend 01'!C39)/6)&lt;='V06 Calend 01'!E39)),IF((96=('V06 Calend 01'!C39+(6*'V06 Calend 01'!E39))),('V06 Calend 01'!H39-('V06 Calend 01'!I39*('V06 Calend 01'!E39-1))),'V06 Calend 01'!I39),0))+IF((96='V06 Calend 01'!D39),'V06 Calend 01'!J39,0))</f>
        <v>0</v>
      </c>
      <c r="DE39" s="2">
        <f>((IF((97='V06 Calend 01'!C39),('V06 Calend 01'!F39+'V06 Calend 01'!G39),0)+IF(AND(('V06 Calend 01'!E39&gt;0),(97&gt;'V06 Calend 01'!C39),(97&lt;'V06 Calend 01'!D39),(MOD((97-'V06 Calend 01'!C39),6)=0),(((97-'V06 Calend 01'!C39)/6)&lt;='V06 Calend 01'!E39)),IF((97=('V06 Calend 01'!C39+(6*'V06 Calend 01'!E39))),('V06 Calend 01'!H39-('V06 Calend 01'!I39*('V06 Calend 01'!E39-1))),'V06 Calend 01'!I39),0))+IF((97='V06 Calend 01'!D39),'V06 Calend 01'!J39,0))</f>
        <v>0</v>
      </c>
      <c r="DF39" s="2">
        <f>((IF((98='V06 Calend 01'!C39),('V06 Calend 01'!F39+'V06 Calend 01'!G39),0)+IF(AND(('V06 Calend 01'!E39&gt;0),(98&gt;'V06 Calend 01'!C39),(98&lt;'V06 Calend 01'!D39),(MOD((98-'V06 Calend 01'!C39),6)=0),(((98-'V06 Calend 01'!C39)/6)&lt;='V06 Calend 01'!E39)),IF((98=('V06 Calend 01'!C39+(6*'V06 Calend 01'!E39))),('V06 Calend 01'!H39-('V06 Calend 01'!I39*('V06 Calend 01'!E39-1))),'V06 Calend 01'!I39),0))+IF((98='V06 Calend 01'!D39),'V06 Calend 01'!J39,0))</f>
        <v>0</v>
      </c>
      <c r="DG39" s="2">
        <f>((IF((99='V06 Calend 01'!C39),('V06 Calend 01'!F39+'V06 Calend 01'!G39),0)+IF(AND(('V06 Calend 01'!E39&gt;0),(99&gt;'V06 Calend 01'!C39),(99&lt;'V06 Calend 01'!D39),(MOD((99-'V06 Calend 01'!C39),6)=0),(((99-'V06 Calend 01'!C39)/6)&lt;='V06 Calend 01'!E39)),IF((99=('V06 Calend 01'!C39+(6*'V06 Calend 01'!E39))),('V06 Calend 01'!H39-('V06 Calend 01'!I39*('V06 Calend 01'!E39-1))),'V06 Calend 01'!I39),0))+IF((99='V06 Calend 01'!D39),'V06 Calend 01'!J39,0))</f>
        <v>0</v>
      </c>
      <c r="DH39" s="2">
        <f>((IF((100='V06 Calend 01'!C39),('V06 Calend 01'!F39+'V06 Calend 01'!G39),0)+IF(AND(('V06 Calend 01'!E39&gt;0),(100&gt;'V06 Calend 01'!C39),(100&lt;'V06 Calend 01'!D39),(MOD((100-'V06 Calend 01'!C39),6)=0),(((100-'V06 Calend 01'!C39)/6)&lt;='V06 Calend 01'!E39)),IF((100=('V06 Calend 01'!C39+(6*'V06 Calend 01'!E39))),('V06 Calend 01'!H39-('V06 Calend 01'!I39*('V06 Calend 01'!E39-1))),'V06 Calend 01'!I39),0))+IF((100='V06 Calend 01'!D39),'V06 Calend 01'!J39,0))</f>
        <v>0</v>
      </c>
      <c r="DI39" s="2">
        <f>((IF((101='V06 Calend 01'!C39),('V06 Calend 01'!F39+'V06 Calend 01'!G39),0)+IF(AND(('V06 Calend 01'!E39&gt;0),(101&gt;'V06 Calend 01'!C39),(101&lt;'V06 Calend 01'!D39),(MOD((101-'V06 Calend 01'!C39),6)=0),(((101-'V06 Calend 01'!C39)/6)&lt;='V06 Calend 01'!E39)),IF((101=('V06 Calend 01'!C39+(6*'V06 Calend 01'!E39))),('V06 Calend 01'!H39-('V06 Calend 01'!I39*('V06 Calend 01'!E39-1))),'V06 Calend 01'!I39),0))+IF((101='V06 Calend 01'!D39),'V06 Calend 01'!J39,0))</f>
        <v>0</v>
      </c>
      <c r="DJ39" s="2">
        <f>((IF((102='V06 Calend 01'!C39),('V06 Calend 01'!F39+'V06 Calend 01'!G39),0)+IF(AND(('V06 Calend 01'!E39&gt;0),(102&gt;'V06 Calend 01'!C39),(102&lt;'V06 Calend 01'!D39),(MOD((102-'V06 Calend 01'!C39),6)=0),(((102-'V06 Calend 01'!C39)/6)&lt;='V06 Calend 01'!E39)),IF((102=('V06 Calend 01'!C39+(6*'V06 Calend 01'!E39))),('V06 Calend 01'!H39-('V06 Calend 01'!I39*('V06 Calend 01'!E39-1))),'V06 Calend 01'!I39),0))+IF((102='V06 Calend 01'!D39),'V06 Calend 01'!J39,0))</f>
        <v>0</v>
      </c>
      <c r="DK39" s="2">
        <f>((IF((103='V06 Calend 01'!C39),('V06 Calend 01'!F39+'V06 Calend 01'!G39),0)+IF(AND(('V06 Calend 01'!E39&gt;0),(103&gt;'V06 Calend 01'!C39),(103&lt;'V06 Calend 01'!D39),(MOD((103-'V06 Calend 01'!C39),6)=0),(((103-'V06 Calend 01'!C39)/6)&lt;='V06 Calend 01'!E39)),IF((103=('V06 Calend 01'!C39+(6*'V06 Calend 01'!E39))),('V06 Calend 01'!H39-('V06 Calend 01'!I39*('V06 Calend 01'!E39-1))),'V06 Calend 01'!I39),0))+IF((103='V06 Calend 01'!D39),'V06 Calend 01'!J39,0))</f>
        <v>0</v>
      </c>
      <c r="DL39" s="2">
        <f>((IF((104='V06 Calend 01'!C39),('V06 Calend 01'!F39+'V06 Calend 01'!G39),0)+IF(AND(('V06 Calend 01'!E39&gt;0),(104&gt;'V06 Calend 01'!C39),(104&lt;'V06 Calend 01'!D39),(MOD((104-'V06 Calend 01'!C39),6)=0),(((104-'V06 Calend 01'!C39)/6)&lt;='V06 Calend 01'!E39)),IF((104=('V06 Calend 01'!C39+(6*'V06 Calend 01'!E39))),('V06 Calend 01'!H39-('V06 Calend 01'!I39*('V06 Calend 01'!E39-1))),'V06 Calend 01'!I39),0))+IF((104='V06 Calend 01'!D39),'V06 Calend 01'!J39,0))</f>
        <v>0</v>
      </c>
      <c r="DM39" s="2">
        <f>((IF((105='V06 Calend 01'!C39),('V06 Calend 01'!F39+'V06 Calend 01'!G39),0)+IF(AND(('V06 Calend 01'!E39&gt;0),(105&gt;'V06 Calend 01'!C39),(105&lt;'V06 Calend 01'!D39),(MOD((105-'V06 Calend 01'!C39),6)=0),(((105-'V06 Calend 01'!C39)/6)&lt;='V06 Calend 01'!E39)),IF((105=('V06 Calend 01'!C39+(6*'V06 Calend 01'!E39))),('V06 Calend 01'!H39-('V06 Calend 01'!I39*('V06 Calend 01'!E39-1))),'V06 Calend 01'!I39),0))+IF((105='V06 Calend 01'!D39),'V06 Calend 01'!J39,0))</f>
        <v>0</v>
      </c>
      <c r="DN39" s="2">
        <f>((IF((106='V06 Calend 01'!C39),('V06 Calend 01'!F39+'V06 Calend 01'!G39),0)+IF(AND(('V06 Calend 01'!E39&gt;0),(106&gt;'V06 Calend 01'!C39),(106&lt;'V06 Calend 01'!D39),(MOD((106-'V06 Calend 01'!C39),6)=0),(((106-'V06 Calend 01'!C39)/6)&lt;='V06 Calend 01'!E39)),IF((106=('V06 Calend 01'!C39+(6*'V06 Calend 01'!E39))),('V06 Calend 01'!H39-('V06 Calend 01'!I39*('V06 Calend 01'!E39-1))),'V06 Calend 01'!I39),0))+IF((106='V06 Calend 01'!D39),'V06 Calend 01'!J39,0))</f>
        <v>0</v>
      </c>
      <c r="DO39" s="2">
        <f>((IF((107='V06 Calend 01'!C39),('V06 Calend 01'!F39+'V06 Calend 01'!G39),0)+IF(AND(('V06 Calend 01'!E39&gt;0),(107&gt;'V06 Calend 01'!C39),(107&lt;'V06 Calend 01'!D39),(MOD((107-'V06 Calend 01'!C39),6)=0),(((107-'V06 Calend 01'!C39)/6)&lt;='V06 Calend 01'!E39)),IF((107=('V06 Calend 01'!C39+(6*'V06 Calend 01'!E39))),('V06 Calend 01'!H39-('V06 Calend 01'!I39*('V06 Calend 01'!E39-1))),'V06 Calend 01'!I39),0))+IF((107='V06 Calend 01'!D39),'V06 Calend 01'!J39,0))</f>
        <v>0</v>
      </c>
      <c r="DP39" s="2">
        <f>((IF((108='V06 Calend 01'!C39),('V06 Calend 01'!F39+'V06 Calend 01'!G39),0)+IF(AND(('V06 Calend 01'!E39&gt;0),(108&gt;'V06 Calend 01'!C39),(108&lt;'V06 Calend 01'!D39),(MOD((108-'V06 Calend 01'!C39),6)=0),(((108-'V06 Calend 01'!C39)/6)&lt;='V06 Calend 01'!E39)),IF((108=('V06 Calend 01'!C39+(6*'V06 Calend 01'!E39))),('V06 Calend 01'!H39-('V06 Calend 01'!I39*('V06 Calend 01'!E39-1))),'V06 Calend 01'!I39),0))+IF((108='V06 Calend 01'!D39),'V06 Calend 01'!J39,0))</f>
        <v>0</v>
      </c>
      <c r="DQ39" s="2">
        <f>((IF((109='V06 Calend 01'!C39),('V06 Calend 01'!F39+'V06 Calend 01'!G39),0)+IF(AND(('V06 Calend 01'!E39&gt;0),(109&gt;'V06 Calend 01'!C39),(109&lt;'V06 Calend 01'!D39),(MOD((109-'V06 Calend 01'!C39),6)=0),(((109-'V06 Calend 01'!C39)/6)&lt;='V06 Calend 01'!E39)),IF((109=('V06 Calend 01'!C39+(6*'V06 Calend 01'!E39))),('V06 Calend 01'!H39-('V06 Calend 01'!I39*('V06 Calend 01'!E39-1))),'V06 Calend 01'!I39),0))+IF((109='V06 Calend 01'!D39),'V06 Calend 01'!J39,0))</f>
        <v>0</v>
      </c>
      <c r="DR39" s="2">
        <f>((IF((110='V06 Calend 01'!C39),('V06 Calend 01'!F39+'V06 Calend 01'!G39),0)+IF(AND(('V06 Calend 01'!E39&gt;0),(110&gt;'V06 Calend 01'!C39),(110&lt;'V06 Calend 01'!D39),(MOD((110-'V06 Calend 01'!C39),6)=0),(((110-'V06 Calend 01'!C39)/6)&lt;='V06 Calend 01'!E39)),IF((110=('V06 Calend 01'!C39+(6*'V06 Calend 01'!E39))),('V06 Calend 01'!H39-('V06 Calend 01'!I39*('V06 Calend 01'!E39-1))),'V06 Calend 01'!I39),0))+IF((110='V06 Calend 01'!D39),'V06 Calend 01'!J39,0))</f>
        <v>0</v>
      </c>
      <c r="DS39" s="2">
        <f>((IF((111='V06 Calend 01'!C39),('V06 Calend 01'!F39+'V06 Calend 01'!G39),0)+IF(AND(('V06 Calend 01'!E39&gt;0),(111&gt;'V06 Calend 01'!C39),(111&lt;'V06 Calend 01'!D39),(MOD((111-'V06 Calend 01'!C39),6)=0),(((111-'V06 Calend 01'!C39)/6)&lt;='V06 Calend 01'!E39)),IF((111=('V06 Calend 01'!C39+(6*'V06 Calend 01'!E39))),('V06 Calend 01'!H39-('V06 Calend 01'!I39*('V06 Calend 01'!E39-1))),'V06 Calend 01'!I39),0))+IF((111='V06 Calend 01'!D39),'V06 Calend 01'!J39,0))</f>
        <v>0</v>
      </c>
      <c r="DT39" s="2">
        <f>((IF((112='V06 Calend 01'!C39),('V06 Calend 01'!F39+'V06 Calend 01'!G39),0)+IF(AND(('V06 Calend 01'!E39&gt;0),(112&gt;'V06 Calend 01'!C39),(112&lt;'V06 Calend 01'!D39),(MOD((112-'V06 Calend 01'!C39),6)=0),(((112-'V06 Calend 01'!C39)/6)&lt;='V06 Calend 01'!E39)),IF((112=('V06 Calend 01'!C39+(6*'V06 Calend 01'!E39))),('V06 Calend 01'!H39-('V06 Calend 01'!I39*('V06 Calend 01'!E39-1))),'V06 Calend 01'!I39),0))+IF((112='V06 Calend 01'!D39),'V06 Calend 01'!J39,0))</f>
        <v>0</v>
      </c>
      <c r="DU39" s="2">
        <f>((IF((113='V06 Calend 01'!C39),('V06 Calend 01'!F39+'V06 Calend 01'!G39),0)+IF(AND(('V06 Calend 01'!E39&gt;0),(113&gt;'V06 Calend 01'!C39),(113&lt;'V06 Calend 01'!D39),(MOD((113-'V06 Calend 01'!C39),6)=0),(((113-'V06 Calend 01'!C39)/6)&lt;='V06 Calend 01'!E39)),IF((113=('V06 Calend 01'!C39+(6*'V06 Calend 01'!E39))),('V06 Calend 01'!H39-('V06 Calend 01'!I39*('V06 Calend 01'!E39-1))),'V06 Calend 01'!I39),0))+IF((113='V06 Calend 01'!D39),'V06 Calend 01'!J39,0))</f>
        <v>0</v>
      </c>
      <c r="DV39" s="2">
        <f>((IF((114='V06 Calend 01'!C39),('V06 Calend 01'!F39+'V06 Calend 01'!G39),0)+IF(AND(('V06 Calend 01'!E39&gt;0),(114&gt;'V06 Calend 01'!C39),(114&lt;'V06 Calend 01'!D39),(MOD((114-'V06 Calend 01'!C39),6)=0),(((114-'V06 Calend 01'!C39)/6)&lt;='V06 Calend 01'!E39)),IF((114=('V06 Calend 01'!C39+(6*'V06 Calend 01'!E39))),('V06 Calend 01'!H39-('V06 Calend 01'!I39*('V06 Calend 01'!E39-1))),'V06 Calend 01'!I39),0))+IF((114='V06 Calend 01'!D39),'V06 Calend 01'!J39,0))</f>
        <v>0</v>
      </c>
      <c r="DW39" s="2">
        <f>((IF((115='V06 Calend 01'!C39),('V06 Calend 01'!F39+'V06 Calend 01'!G39),0)+IF(AND(('V06 Calend 01'!E39&gt;0),(115&gt;'V06 Calend 01'!C39),(115&lt;'V06 Calend 01'!D39),(MOD((115-'V06 Calend 01'!C39),6)=0),(((115-'V06 Calend 01'!C39)/6)&lt;='V06 Calend 01'!E39)),IF((115=('V06 Calend 01'!C39+(6*'V06 Calend 01'!E39))),('V06 Calend 01'!H39-('V06 Calend 01'!I39*('V06 Calend 01'!E39-1))),'V06 Calend 01'!I39),0))+IF((115='V06 Calend 01'!D39),'V06 Calend 01'!J39,0))</f>
        <v>0</v>
      </c>
      <c r="DX39" s="2">
        <f>((IF((116='V06 Calend 01'!C39),('V06 Calend 01'!F39+'V06 Calend 01'!G39),0)+IF(AND(('V06 Calend 01'!E39&gt;0),(116&gt;'V06 Calend 01'!C39),(116&lt;'V06 Calend 01'!D39),(MOD((116-'V06 Calend 01'!C39),6)=0),(((116-'V06 Calend 01'!C39)/6)&lt;='V06 Calend 01'!E39)),IF((116=('V06 Calend 01'!C39+(6*'V06 Calend 01'!E39))),('V06 Calend 01'!H39-('V06 Calend 01'!I39*('V06 Calend 01'!E39-1))),'V06 Calend 01'!I39),0))+IF((116='V06 Calend 01'!D39),'V06 Calend 01'!J39,0))</f>
        <v>0</v>
      </c>
      <c r="DY39" s="2">
        <f>((IF((117='V06 Calend 01'!C39),('V06 Calend 01'!F39+'V06 Calend 01'!G39),0)+IF(AND(('V06 Calend 01'!E39&gt;0),(117&gt;'V06 Calend 01'!C39),(117&lt;'V06 Calend 01'!D39),(MOD((117-'V06 Calend 01'!C39),6)=0),(((117-'V06 Calend 01'!C39)/6)&lt;='V06 Calend 01'!E39)),IF((117=('V06 Calend 01'!C39+(6*'V06 Calend 01'!E39))),('V06 Calend 01'!H39-('V06 Calend 01'!I39*('V06 Calend 01'!E39-1))),'V06 Calend 01'!I39),0))+IF((117='V06 Calend 01'!D39),'V06 Calend 01'!J39,0))</f>
        <v>0</v>
      </c>
      <c r="DZ39" s="2">
        <f>((IF((118='V06 Calend 01'!C39),('V06 Calend 01'!F39+'V06 Calend 01'!G39),0)+IF(AND(('V06 Calend 01'!E39&gt;0),(118&gt;'V06 Calend 01'!C39),(118&lt;'V06 Calend 01'!D39),(MOD((118-'V06 Calend 01'!C39),6)=0),(((118-'V06 Calend 01'!C39)/6)&lt;='V06 Calend 01'!E39)),IF((118=('V06 Calend 01'!C39+(6*'V06 Calend 01'!E39))),('V06 Calend 01'!H39-('V06 Calend 01'!I39*('V06 Calend 01'!E39-1))),'V06 Calend 01'!I39),0))+IF((118='V06 Calend 01'!D39),'V06 Calend 01'!J39,0))</f>
        <v>0</v>
      </c>
      <c r="EA39" s="2">
        <f>((IF((119='V06 Calend 01'!C39),('V06 Calend 01'!F39+'V06 Calend 01'!G39),0)+IF(AND(('V06 Calend 01'!E39&gt;0),(119&gt;'V06 Calend 01'!C39),(119&lt;'V06 Calend 01'!D39),(MOD((119-'V06 Calend 01'!C39),6)=0),(((119-'V06 Calend 01'!C39)/6)&lt;='V06 Calend 01'!E39)),IF((119=('V06 Calend 01'!C39+(6*'V06 Calend 01'!E39))),('V06 Calend 01'!H39-('V06 Calend 01'!I39*('V06 Calend 01'!E39-1))),'V06 Calend 01'!I39),0))+IF((119='V06 Calend 01'!D39),'V06 Calend 01'!J39,0))</f>
        <v>0</v>
      </c>
      <c r="EB39" s="2">
        <f>((IF((120='V06 Calend 01'!C39),('V06 Calend 01'!F39+'V06 Calend 01'!G39),0)+IF(AND(('V06 Calend 01'!E39&gt;0),(120&gt;'V06 Calend 01'!C39),(120&lt;'V06 Calend 01'!D39),(MOD((120-'V06 Calend 01'!C39),6)=0),(((120-'V06 Calend 01'!C39)/6)&lt;='V06 Calend 01'!E39)),IF((120=('V06 Calend 01'!C39+(6*'V06 Calend 01'!E39))),('V06 Calend 01'!H39-('V06 Calend 01'!I39*('V06 Calend 01'!E39-1))),'V06 Calend 01'!I39),0))+IF((120='V06 Calend 01'!D39),'V06 Calend 01'!J39,0))</f>
        <v>0</v>
      </c>
      <c r="EC39" s="2">
        <f>((IF((121='V06 Calend 01'!C39),('V06 Calend 01'!F39+'V06 Calend 01'!G39),0)+IF(AND(('V06 Calend 01'!E39&gt;0),(121&gt;'V06 Calend 01'!C39),(121&lt;'V06 Calend 01'!D39),(MOD((121-'V06 Calend 01'!C39),6)=0),(((121-'V06 Calend 01'!C39)/6)&lt;='V06 Calend 01'!E39)),IF((121=('V06 Calend 01'!C39+(6*'V06 Calend 01'!E39))),('V06 Calend 01'!H39-('V06 Calend 01'!I39*('V06 Calend 01'!E39-1))),'V06 Calend 01'!I39),0))+IF((121='V06 Calend 01'!D39),'V06 Calend 01'!J39,0))</f>
        <v>0</v>
      </c>
      <c r="ED39" s="2">
        <f>((IF((122='V06 Calend 01'!C39),('V06 Calend 01'!F39+'V06 Calend 01'!G39),0)+IF(AND(('V06 Calend 01'!E39&gt;0),(122&gt;'V06 Calend 01'!C39),(122&lt;'V06 Calend 01'!D39),(MOD((122-'V06 Calend 01'!C39),6)=0),(((122-'V06 Calend 01'!C39)/6)&lt;='V06 Calend 01'!E39)),IF((122=('V06 Calend 01'!C39+(6*'V06 Calend 01'!E39))),('V06 Calend 01'!H39-('V06 Calend 01'!I39*('V06 Calend 01'!E39-1))),'V06 Calend 01'!I39),0))+IF((122='V06 Calend 01'!D39),'V06 Calend 01'!J39,0))</f>
        <v>0</v>
      </c>
      <c r="EE39" s="2">
        <f>((IF((123='V06 Calend 01'!C39),('V06 Calend 01'!F39+'V06 Calend 01'!G39),0)+IF(AND(('V06 Calend 01'!E39&gt;0),(123&gt;'V06 Calend 01'!C39),(123&lt;'V06 Calend 01'!D39),(MOD((123-'V06 Calend 01'!C39),6)=0),(((123-'V06 Calend 01'!C39)/6)&lt;='V06 Calend 01'!E39)),IF((123=('V06 Calend 01'!C39+(6*'V06 Calend 01'!E39))),('V06 Calend 01'!H39-('V06 Calend 01'!I39*('V06 Calend 01'!E39-1))),'V06 Calend 01'!I39),0))+IF((123='V06 Calend 01'!D39),'V06 Calend 01'!J39,0))</f>
        <v>0</v>
      </c>
      <c r="EF39" s="2">
        <f>((IF((124='V06 Calend 01'!C39),('V06 Calend 01'!F39+'V06 Calend 01'!G39),0)+IF(AND(('V06 Calend 01'!E39&gt;0),(124&gt;'V06 Calend 01'!C39),(124&lt;'V06 Calend 01'!D39),(MOD((124-'V06 Calend 01'!C39),6)=0),(((124-'V06 Calend 01'!C39)/6)&lt;='V06 Calend 01'!E39)),IF((124=('V06 Calend 01'!C39+(6*'V06 Calend 01'!E39))),('V06 Calend 01'!H39-('V06 Calend 01'!I39*('V06 Calend 01'!E39-1))),'V06 Calend 01'!I39),0))+IF((124='V06 Calend 01'!D39),'V06 Calend 01'!J39,0))</f>
        <v>0</v>
      </c>
      <c r="EG39" s="2">
        <f>((IF((125='V06 Calend 01'!C39),('V06 Calend 01'!F39+'V06 Calend 01'!G39),0)+IF(AND(('V06 Calend 01'!E39&gt;0),(125&gt;'V06 Calend 01'!C39),(125&lt;'V06 Calend 01'!D39),(MOD((125-'V06 Calend 01'!C39),6)=0),(((125-'V06 Calend 01'!C39)/6)&lt;='V06 Calend 01'!E39)),IF((125=('V06 Calend 01'!C39+(6*'V06 Calend 01'!E39))),('V06 Calend 01'!H39-('V06 Calend 01'!I39*('V06 Calend 01'!E39-1))),'V06 Calend 01'!I39),0))+IF((125='V06 Calend 01'!D39),'V06 Calend 01'!J39,0))</f>
        <v>0</v>
      </c>
      <c r="EH39" s="2">
        <f>((IF((126='V06 Calend 01'!C39),('V06 Calend 01'!F39+'V06 Calend 01'!G39),0)+IF(AND(('V06 Calend 01'!E39&gt;0),(126&gt;'V06 Calend 01'!C39),(126&lt;'V06 Calend 01'!D39),(MOD((126-'V06 Calend 01'!C39),6)=0),(((126-'V06 Calend 01'!C39)/6)&lt;='V06 Calend 01'!E39)),IF((126=('V06 Calend 01'!C39+(6*'V06 Calend 01'!E39))),('V06 Calend 01'!H39-('V06 Calend 01'!I39*('V06 Calend 01'!E39-1))),'V06 Calend 01'!I39),0))+IF((126='V06 Calend 01'!D39),'V06 Calend 01'!J39,0))</f>
        <v>0</v>
      </c>
      <c r="EI39" s="2">
        <f>((IF((127='V06 Calend 01'!C39),('V06 Calend 01'!F39+'V06 Calend 01'!G39),0)+IF(AND(('V06 Calend 01'!E39&gt;0),(127&gt;'V06 Calend 01'!C39),(127&lt;'V06 Calend 01'!D39),(MOD((127-'V06 Calend 01'!C39),6)=0),(((127-'V06 Calend 01'!C39)/6)&lt;='V06 Calend 01'!E39)),IF((127=('V06 Calend 01'!C39+(6*'V06 Calend 01'!E39))),('V06 Calend 01'!H39-('V06 Calend 01'!I39*('V06 Calend 01'!E39-1))),'V06 Calend 01'!I39),0))+IF((127='V06 Calend 01'!D39),'V06 Calend 01'!J39,0))</f>
        <v>0</v>
      </c>
      <c r="EJ39" s="2">
        <f>((IF((128='V06 Calend 01'!C39),('V06 Calend 01'!F39+'V06 Calend 01'!G39),0)+IF(AND(('V06 Calend 01'!E39&gt;0),(128&gt;'V06 Calend 01'!C39),(128&lt;'V06 Calend 01'!D39),(MOD((128-'V06 Calend 01'!C39),6)=0),(((128-'V06 Calend 01'!C39)/6)&lt;='V06 Calend 01'!E39)),IF((128=('V06 Calend 01'!C39+(6*'V06 Calend 01'!E39))),('V06 Calend 01'!H39-('V06 Calend 01'!I39*('V06 Calend 01'!E39-1))),'V06 Calend 01'!I39),0))+IF((128='V06 Calend 01'!D39),'V06 Calend 01'!J39,0))</f>
        <v>0</v>
      </c>
      <c r="EK39" s="2">
        <f>((IF((129='V06 Calend 01'!C39),('V06 Calend 01'!F39+'V06 Calend 01'!G39),0)+IF(AND(('V06 Calend 01'!E39&gt;0),(129&gt;'V06 Calend 01'!C39),(129&lt;'V06 Calend 01'!D39),(MOD((129-'V06 Calend 01'!C39),6)=0),(((129-'V06 Calend 01'!C39)/6)&lt;='V06 Calend 01'!E39)),IF((129=('V06 Calend 01'!C39+(6*'V06 Calend 01'!E39))),('V06 Calend 01'!H39-('V06 Calend 01'!I39*('V06 Calend 01'!E39-1))),'V06 Calend 01'!I39),0))+IF((129='V06 Calend 01'!D39),'V06 Calend 01'!J39,0))</f>
        <v>0</v>
      </c>
      <c r="EL39" s="2">
        <f>((IF((130='V06 Calend 01'!C39),('V06 Calend 01'!F39+'V06 Calend 01'!G39),0)+IF(AND(('V06 Calend 01'!E39&gt;0),(130&gt;'V06 Calend 01'!C39),(130&lt;'V06 Calend 01'!D39),(MOD((130-'V06 Calend 01'!C39),6)=0),(((130-'V06 Calend 01'!C39)/6)&lt;='V06 Calend 01'!E39)),IF((130=('V06 Calend 01'!C39+(6*'V06 Calend 01'!E39))),('V06 Calend 01'!H39-('V06 Calend 01'!I39*('V06 Calend 01'!E39-1))),'V06 Calend 01'!I39),0))+IF((130='V06 Calend 01'!D39),'V06 Calend 01'!J39,0))</f>
        <v>0</v>
      </c>
      <c r="EM39" s="2">
        <f>((IF((131='V06 Calend 01'!C39),('V06 Calend 01'!F39+'V06 Calend 01'!G39),0)+IF(AND(('V06 Calend 01'!E39&gt;0),(131&gt;'V06 Calend 01'!C39),(131&lt;'V06 Calend 01'!D39),(MOD((131-'V06 Calend 01'!C39),6)=0),(((131-'V06 Calend 01'!C39)/6)&lt;='V06 Calend 01'!E39)),IF((131=('V06 Calend 01'!C39+(6*'V06 Calend 01'!E39))),('V06 Calend 01'!H39-('V06 Calend 01'!I39*('V06 Calend 01'!E39-1))),'V06 Calend 01'!I39),0))+IF((131='V06 Calend 01'!D39),'V06 Calend 01'!J39,0))</f>
        <v>0</v>
      </c>
      <c r="EN39" s="2">
        <f>((IF((132='V06 Calend 01'!C39),('V06 Calend 01'!F39+'V06 Calend 01'!G39),0)+IF(AND(('V06 Calend 01'!E39&gt;0),(132&gt;'V06 Calend 01'!C39),(132&lt;'V06 Calend 01'!D39),(MOD((132-'V06 Calend 01'!C39),6)=0),(((132-'V06 Calend 01'!C39)/6)&lt;='V06 Calend 01'!E39)),IF((132=('V06 Calend 01'!C39+(6*'V06 Calend 01'!E39))),('V06 Calend 01'!H39-('V06 Calend 01'!I39*('V06 Calend 01'!E39-1))),'V06 Calend 01'!I39),0))+IF((132='V06 Calend 01'!D39),'V06 Calend 01'!J39,0))</f>
        <v>0</v>
      </c>
      <c r="EO39" s="2">
        <f>((IF((133='V06 Calend 01'!C39),('V06 Calend 01'!F39+'V06 Calend 01'!G39),0)+IF(AND(('V06 Calend 01'!E39&gt;0),(133&gt;'V06 Calend 01'!C39),(133&lt;'V06 Calend 01'!D39),(MOD((133-'V06 Calend 01'!C39),6)=0),(((133-'V06 Calend 01'!C39)/6)&lt;='V06 Calend 01'!E39)),IF((133=('V06 Calend 01'!C39+(6*'V06 Calend 01'!E39))),('V06 Calend 01'!H39-('V06 Calend 01'!I39*('V06 Calend 01'!E39-1))),'V06 Calend 01'!I39),0))+IF((133='V06 Calend 01'!D39),'V06 Calend 01'!J39,0))</f>
        <v>0</v>
      </c>
      <c r="EP39" s="2">
        <f>((IF((134='V06 Calend 01'!C39),('V06 Calend 01'!F39+'V06 Calend 01'!G39),0)+IF(AND(('V06 Calend 01'!E39&gt;0),(134&gt;'V06 Calend 01'!C39),(134&lt;'V06 Calend 01'!D39),(MOD((134-'V06 Calend 01'!C39),6)=0),(((134-'V06 Calend 01'!C39)/6)&lt;='V06 Calend 01'!E39)),IF((134=('V06 Calend 01'!C39+(6*'V06 Calend 01'!E39))),('V06 Calend 01'!H39-('V06 Calend 01'!I39*('V06 Calend 01'!E39-1))),'V06 Calend 01'!I39),0))+IF((134='V06 Calend 01'!D39),'V06 Calend 01'!J39,0))</f>
        <v>0</v>
      </c>
      <c r="EQ39" s="2">
        <f>((IF((135='V06 Calend 01'!C39),('V06 Calend 01'!F39+'V06 Calend 01'!G39),0)+IF(AND(('V06 Calend 01'!E39&gt;0),(135&gt;'V06 Calend 01'!C39),(135&lt;'V06 Calend 01'!D39),(MOD((135-'V06 Calend 01'!C39),6)=0),(((135-'V06 Calend 01'!C39)/6)&lt;='V06 Calend 01'!E39)),IF((135=('V06 Calend 01'!C39+(6*'V06 Calend 01'!E39))),('V06 Calend 01'!H39-('V06 Calend 01'!I39*('V06 Calend 01'!E39-1))),'V06 Calend 01'!I39),0))+IF((135='V06 Calend 01'!D39),'V06 Calend 01'!J39,0))</f>
        <v>0</v>
      </c>
      <c r="ER39" s="2">
        <f>((IF((136='V06 Calend 01'!C39),('V06 Calend 01'!F39+'V06 Calend 01'!G39),0)+IF(AND(('V06 Calend 01'!E39&gt;0),(136&gt;'V06 Calend 01'!C39),(136&lt;'V06 Calend 01'!D39),(MOD((136-'V06 Calend 01'!C39),6)=0),(((136-'V06 Calend 01'!C39)/6)&lt;='V06 Calend 01'!E39)),IF((136=('V06 Calend 01'!C39+(6*'V06 Calend 01'!E39))),('V06 Calend 01'!H39-('V06 Calend 01'!I39*('V06 Calend 01'!E39-1))),'V06 Calend 01'!I39),0))+IF((136='V06 Calend 01'!D39),'V06 Calend 01'!J39,0))</f>
        <v>0</v>
      </c>
      <c r="ES39" s="2">
        <f>((IF((137='V06 Calend 01'!C39),('V06 Calend 01'!F39+'V06 Calend 01'!G39),0)+IF(AND(('V06 Calend 01'!E39&gt;0),(137&gt;'V06 Calend 01'!C39),(137&lt;'V06 Calend 01'!D39),(MOD((137-'V06 Calend 01'!C39),6)=0),(((137-'V06 Calend 01'!C39)/6)&lt;='V06 Calend 01'!E39)),IF((137=('V06 Calend 01'!C39+(6*'V06 Calend 01'!E39))),('V06 Calend 01'!H39-('V06 Calend 01'!I39*('V06 Calend 01'!E39-1))),'V06 Calend 01'!I39),0))+IF((137='V06 Calend 01'!D39),'V06 Calend 01'!J39,0))</f>
        <v>0</v>
      </c>
      <c r="ET39" s="2">
        <f>((IF((138='V06 Calend 01'!C39),('V06 Calend 01'!F39+'V06 Calend 01'!G39),0)+IF(AND(('V06 Calend 01'!E39&gt;0),(138&gt;'V06 Calend 01'!C39),(138&lt;'V06 Calend 01'!D39),(MOD((138-'V06 Calend 01'!C39),6)=0),(((138-'V06 Calend 01'!C39)/6)&lt;='V06 Calend 01'!E39)),IF((138=('V06 Calend 01'!C39+(6*'V06 Calend 01'!E39))),('V06 Calend 01'!H39-('V06 Calend 01'!I39*('V06 Calend 01'!E39-1))),'V06 Calend 01'!I39),0))+IF((138='V06 Calend 01'!D39),'V06 Calend 01'!J39,0))</f>
        <v>0</v>
      </c>
      <c r="EU39" s="2">
        <f>((IF((139='V06 Calend 01'!C39),('V06 Calend 01'!F39+'V06 Calend 01'!G39),0)+IF(AND(('V06 Calend 01'!E39&gt;0),(139&gt;'V06 Calend 01'!C39),(139&lt;'V06 Calend 01'!D39),(MOD((139-'V06 Calend 01'!C39),6)=0),(((139-'V06 Calend 01'!C39)/6)&lt;='V06 Calend 01'!E39)),IF((139=('V06 Calend 01'!C39+(6*'V06 Calend 01'!E39))),('V06 Calend 01'!H39-('V06 Calend 01'!I39*('V06 Calend 01'!E39-1))),'V06 Calend 01'!I39),0))+IF((139='V06 Calend 01'!D39),'V06 Calend 01'!J39,0))</f>
        <v>0</v>
      </c>
      <c r="EV39" s="2">
        <f>((IF((140='V06 Calend 01'!C39),('V06 Calend 01'!F39+'V06 Calend 01'!G39),0)+IF(AND(('V06 Calend 01'!E39&gt;0),(140&gt;'V06 Calend 01'!C39),(140&lt;'V06 Calend 01'!D39),(MOD((140-'V06 Calend 01'!C39),6)=0),(((140-'V06 Calend 01'!C39)/6)&lt;='V06 Calend 01'!E39)),IF((140=('V06 Calend 01'!C39+(6*'V06 Calend 01'!E39))),('V06 Calend 01'!H39-('V06 Calend 01'!I39*('V06 Calend 01'!E39-1))),'V06 Calend 01'!I39),0))+IF((140='V06 Calend 01'!D39),'V06 Calend 01'!J39,0))</f>
        <v>0</v>
      </c>
      <c r="EW39" s="2">
        <f>((IF((141='V06 Calend 01'!C39),('V06 Calend 01'!F39+'V06 Calend 01'!G39),0)+IF(AND(('V06 Calend 01'!E39&gt;0),(141&gt;'V06 Calend 01'!C39),(141&lt;'V06 Calend 01'!D39),(MOD((141-'V06 Calend 01'!C39),6)=0),(((141-'V06 Calend 01'!C39)/6)&lt;='V06 Calend 01'!E39)),IF((141=('V06 Calend 01'!C39+(6*'V06 Calend 01'!E39))),('V06 Calend 01'!H39-('V06 Calend 01'!I39*('V06 Calend 01'!E39-1))),'V06 Calend 01'!I39),0))+IF((141='V06 Calend 01'!D39),'V06 Calend 01'!J39,0))</f>
        <v>0</v>
      </c>
      <c r="EX39" s="2">
        <f>((IF((142='V06 Calend 01'!C39),('V06 Calend 01'!F39+'V06 Calend 01'!G39),0)+IF(AND(('V06 Calend 01'!E39&gt;0),(142&gt;'V06 Calend 01'!C39),(142&lt;'V06 Calend 01'!D39),(MOD((142-'V06 Calend 01'!C39),6)=0),(((142-'V06 Calend 01'!C39)/6)&lt;='V06 Calend 01'!E39)),IF((142=('V06 Calend 01'!C39+(6*'V06 Calend 01'!E39))),('V06 Calend 01'!H39-('V06 Calend 01'!I39*('V06 Calend 01'!E39-1))),'V06 Calend 01'!I39),0))+IF((142='V06 Calend 01'!D39),'V06 Calend 01'!J39,0))</f>
        <v>0</v>
      </c>
      <c r="EY39" s="2">
        <f>((IF((143='V06 Calend 01'!C39),('V06 Calend 01'!F39+'V06 Calend 01'!G39),0)+IF(AND(('V06 Calend 01'!E39&gt;0),(143&gt;'V06 Calend 01'!C39),(143&lt;'V06 Calend 01'!D39),(MOD((143-'V06 Calend 01'!C39),6)=0),(((143-'V06 Calend 01'!C39)/6)&lt;='V06 Calend 01'!E39)),IF((143=('V06 Calend 01'!C39+(6*'V06 Calend 01'!E39))),('V06 Calend 01'!H39-('V06 Calend 01'!I39*('V06 Calend 01'!E39-1))),'V06 Calend 01'!I39),0))+IF((143='V06 Calend 01'!D39),'V06 Calend 01'!J39,0))</f>
        <v>0</v>
      </c>
      <c r="EZ39" s="2">
        <f>((IF((144='V06 Calend 01'!C39),('V06 Calend 01'!F39+'V06 Calend 01'!G39),0)+IF(AND(('V06 Calend 01'!E39&gt;0),(144&gt;'V06 Calend 01'!C39),(144&lt;'V06 Calend 01'!D39),(MOD((144-'V06 Calend 01'!C39),6)=0),(((144-'V06 Calend 01'!C39)/6)&lt;='V06 Calend 01'!E39)),IF((144=('V06 Calend 01'!C39+(6*'V06 Calend 01'!E39))),('V06 Calend 01'!H39-('V06 Calend 01'!I39*('V06 Calend 01'!E39-1))),'V06 Calend 01'!I39),0))+IF((144='V06 Calend 01'!D39),'V06 Calend 01'!J39,0))</f>
        <v>0</v>
      </c>
      <c r="FA39" s="2">
        <f>((IF((145='V06 Calend 01'!C39),('V06 Calend 01'!F39+'V06 Calend 01'!G39),0)+IF(AND(('V06 Calend 01'!E39&gt;0),(145&gt;'V06 Calend 01'!C39),(145&lt;'V06 Calend 01'!D39),(MOD((145-'V06 Calend 01'!C39),6)=0),(((145-'V06 Calend 01'!C39)/6)&lt;='V06 Calend 01'!E39)),IF((145=('V06 Calend 01'!C39+(6*'V06 Calend 01'!E39))),('V06 Calend 01'!H39-('V06 Calend 01'!I39*('V06 Calend 01'!E39-1))),'V06 Calend 01'!I39),0))+IF((145='V06 Calend 01'!D39),'V06 Calend 01'!J39,0))</f>
        <v>0</v>
      </c>
      <c r="FB39" s="2">
        <f>((IF((146='V06 Calend 01'!C39),('V06 Calend 01'!F39+'V06 Calend 01'!G39),0)+IF(AND(('V06 Calend 01'!E39&gt;0),(146&gt;'V06 Calend 01'!C39),(146&lt;'V06 Calend 01'!D39),(MOD((146-'V06 Calend 01'!C39),6)=0),(((146-'V06 Calend 01'!C39)/6)&lt;='V06 Calend 01'!E39)),IF((146=('V06 Calend 01'!C39+(6*'V06 Calend 01'!E39))),('V06 Calend 01'!H39-('V06 Calend 01'!I39*('V06 Calend 01'!E39-1))),'V06 Calend 01'!I39),0))+IF((146='V06 Calend 01'!D39),'V06 Calend 01'!J39,0))</f>
        <v>0</v>
      </c>
      <c r="FC39" s="2">
        <f>((IF((147='V06 Calend 01'!C39),('V06 Calend 01'!F39+'V06 Calend 01'!G39),0)+IF(AND(('V06 Calend 01'!E39&gt;0),(147&gt;'V06 Calend 01'!C39),(147&lt;'V06 Calend 01'!D39),(MOD((147-'V06 Calend 01'!C39),6)=0),(((147-'V06 Calend 01'!C39)/6)&lt;='V06 Calend 01'!E39)),IF((147=('V06 Calend 01'!C39+(6*'V06 Calend 01'!E39))),('V06 Calend 01'!H39-('V06 Calend 01'!I39*('V06 Calend 01'!E39-1))),'V06 Calend 01'!I39),0))+IF((147='V06 Calend 01'!D39),'V06 Calend 01'!J39,0))</f>
        <v>0</v>
      </c>
      <c r="FD39" s="2">
        <f>((IF((148='V06 Calend 01'!C39),('V06 Calend 01'!F39+'V06 Calend 01'!G39),0)+IF(AND(('V06 Calend 01'!E39&gt;0),(148&gt;'V06 Calend 01'!C39),(148&lt;'V06 Calend 01'!D39),(MOD((148-'V06 Calend 01'!C39),6)=0),(((148-'V06 Calend 01'!C39)/6)&lt;='V06 Calend 01'!E39)),IF((148=('V06 Calend 01'!C39+(6*'V06 Calend 01'!E39))),('V06 Calend 01'!H39-('V06 Calend 01'!I39*('V06 Calend 01'!E39-1))),'V06 Calend 01'!I39),0))+IF((148='V06 Calend 01'!D39),'V06 Calend 01'!J39,0))</f>
        <v>0</v>
      </c>
      <c r="FE39" s="2">
        <f>((IF((149='V06 Calend 01'!C39),('V06 Calend 01'!F39+'V06 Calend 01'!G39),0)+IF(AND(('V06 Calend 01'!E39&gt;0),(149&gt;'V06 Calend 01'!C39),(149&lt;'V06 Calend 01'!D39),(MOD((149-'V06 Calend 01'!C39),6)=0),(((149-'V06 Calend 01'!C39)/6)&lt;='V06 Calend 01'!E39)),IF((149=('V06 Calend 01'!C39+(6*'V06 Calend 01'!E39))),('V06 Calend 01'!H39-('V06 Calend 01'!I39*('V06 Calend 01'!E39-1))),'V06 Calend 01'!I39),0))+IF((149='V06 Calend 01'!D39),'V06 Calend 01'!J39,0))</f>
        <v>0</v>
      </c>
      <c r="FF39" s="2">
        <f>((IF((150='V06 Calend 01'!C39),('V06 Calend 01'!F39+'V06 Calend 01'!G39),0)+IF(AND(('V06 Calend 01'!E39&gt;0),(150&gt;'V06 Calend 01'!C39),(150&lt;'V06 Calend 01'!D39),(MOD((150-'V06 Calend 01'!C39),6)=0),(((150-'V06 Calend 01'!C39)/6)&lt;='V06 Calend 01'!E39)),IF((150=('V06 Calend 01'!C39+(6*'V06 Calend 01'!E39))),('V06 Calend 01'!H39-('V06 Calend 01'!I39*('V06 Calend 01'!E39-1))),'V06 Calend 01'!I39),0))+IF((150='V06 Calend 01'!D39),'V06 Calend 01'!J39,0))</f>
        <v>0</v>
      </c>
      <c r="FG39" s="2">
        <f>((IF((151='V06 Calend 01'!C39),('V06 Calend 01'!F39+'V06 Calend 01'!G39),0)+IF(AND(('V06 Calend 01'!E39&gt;0),(151&gt;'V06 Calend 01'!C39),(151&lt;'V06 Calend 01'!D39),(MOD((151-'V06 Calend 01'!C39),6)=0),(((151-'V06 Calend 01'!C39)/6)&lt;='V06 Calend 01'!E39)),IF((151=('V06 Calend 01'!C39+(6*'V06 Calend 01'!E39))),('V06 Calend 01'!H39-('V06 Calend 01'!I39*('V06 Calend 01'!E39-1))),'V06 Calend 01'!I39),0))+IF((151='V06 Calend 01'!D39),'V06 Calend 01'!J39,0))</f>
        <v>0</v>
      </c>
      <c r="FH39" s="2">
        <f>((IF((152='V06 Calend 01'!C39),('V06 Calend 01'!F39+'V06 Calend 01'!G39),0)+IF(AND(('V06 Calend 01'!E39&gt;0),(152&gt;'V06 Calend 01'!C39),(152&lt;'V06 Calend 01'!D39),(MOD((152-'V06 Calend 01'!C39),6)=0),(((152-'V06 Calend 01'!C39)/6)&lt;='V06 Calend 01'!E39)),IF((152=('V06 Calend 01'!C39+(6*'V06 Calend 01'!E39))),('V06 Calend 01'!H39-('V06 Calend 01'!I39*('V06 Calend 01'!E39-1))),'V06 Calend 01'!I39),0))+IF((152='V06 Calend 01'!D39),'V06 Calend 01'!J39,0))</f>
        <v>0</v>
      </c>
      <c r="FI39" s="2">
        <f>((IF((153='V06 Calend 01'!C39),('V06 Calend 01'!F39+'V06 Calend 01'!G39),0)+IF(AND(('V06 Calend 01'!E39&gt;0),(153&gt;'V06 Calend 01'!C39),(153&lt;'V06 Calend 01'!D39),(MOD((153-'V06 Calend 01'!C39),6)=0),(((153-'V06 Calend 01'!C39)/6)&lt;='V06 Calend 01'!E39)),IF((153=('V06 Calend 01'!C39+(6*'V06 Calend 01'!E39))),('V06 Calend 01'!H39-('V06 Calend 01'!I39*('V06 Calend 01'!E39-1))),'V06 Calend 01'!I39),0))+IF((153='V06 Calend 01'!D39),'V06 Calend 01'!J39,0))</f>
        <v>0</v>
      </c>
      <c r="FJ39" s="2">
        <f>((IF((154='V06 Calend 01'!C39),('V06 Calend 01'!F39+'V06 Calend 01'!G39),0)+IF(AND(('V06 Calend 01'!E39&gt;0),(154&gt;'V06 Calend 01'!C39),(154&lt;'V06 Calend 01'!D39),(MOD((154-'V06 Calend 01'!C39),6)=0),(((154-'V06 Calend 01'!C39)/6)&lt;='V06 Calend 01'!E39)),IF((154=('V06 Calend 01'!C39+(6*'V06 Calend 01'!E39))),('V06 Calend 01'!H39-('V06 Calend 01'!I39*('V06 Calend 01'!E39-1))),'V06 Calend 01'!I39),0))+IF((154='V06 Calend 01'!D39),'V06 Calend 01'!J39,0))</f>
        <v>0</v>
      </c>
      <c r="FK39" s="2">
        <f>((IF((155='V06 Calend 01'!C39),('V06 Calend 01'!F39+'V06 Calend 01'!G39),0)+IF(AND(('V06 Calend 01'!E39&gt;0),(155&gt;'V06 Calend 01'!C39),(155&lt;'V06 Calend 01'!D39),(MOD((155-'V06 Calend 01'!C39),6)=0),(((155-'V06 Calend 01'!C39)/6)&lt;='V06 Calend 01'!E39)),IF((155=('V06 Calend 01'!C39+(6*'V06 Calend 01'!E39))),('V06 Calend 01'!H39-('V06 Calend 01'!I39*('V06 Calend 01'!E39-1))),'V06 Calend 01'!I39),0))+IF((155='V06 Calend 01'!D39),'V06 Calend 01'!J39,0))</f>
        <v>0</v>
      </c>
      <c r="FL39" s="2">
        <f>((IF((156='V06 Calend 01'!C39),('V06 Calend 01'!F39+'V06 Calend 01'!G39),0)+IF(AND(('V06 Calend 01'!E39&gt;0),(156&gt;'V06 Calend 01'!C39),(156&lt;'V06 Calend 01'!D39),(MOD((156-'V06 Calend 01'!C39),6)=0),(((156-'V06 Calend 01'!C39)/6)&lt;='V06 Calend 01'!E39)),IF((156=('V06 Calend 01'!C39+(6*'V06 Calend 01'!E39))),('V06 Calend 01'!H39-('V06 Calend 01'!I39*('V06 Calend 01'!E39-1))),'V06 Calend 01'!I39),0))+IF((156='V06 Calend 01'!D39),'V06 Calend 01'!J39,0))</f>
        <v>0</v>
      </c>
      <c r="FM39" s="2">
        <f>((IF((157='V06 Calend 01'!C39),('V06 Calend 01'!F39+'V06 Calend 01'!G39),0)+IF(AND(('V06 Calend 01'!E39&gt;0),(157&gt;'V06 Calend 01'!C39),(157&lt;'V06 Calend 01'!D39),(MOD((157-'V06 Calend 01'!C39),6)=0),(((157-'V06 Calend 01'!C39)/6)&lt;='V06 Calend 01'!E39)),IF((157=('V06 Calend 01'!C39+(6*'V06 Calend 01'!E39))),('V06 Calend 01'!H39-('V06 Calend 01'!I39*('V06 Calend 01'!E39-1))),'V06 Calend 01'!I39),0))+IF((157='V06 Calend 01'!D39),'V06 Calend 01'!J39,0))</f>
        <v>0</v>
      </c>
      <c r="FN39" s="2">
        <f>((IF((158='V06 Calend 01'!C39),('V06 Calend 01'!F39+'V06 Calend 01'!G39),0)+IF(AND(('V06 Calend 01'!E39&gt;0),(158&gt;'V06 Calend 01'!C39),(158&lt;'V06 Calend 01'!D39),(MOD((158-'V06 Calend 01'!C39),6)=0),(((158-'V06 Calend 01'!C39)/6)&lt;='V06 Calend 01'!E39)),IF((158=('V06 Calend 01'!C39+(6*'V06 Calend 01'!E39))),('V06 Calend 01'!H39-('V06 Calend 01'!I39*('V06 Calend 01'!E39-1))),'V06 Calend 01'!I39),0))+IF((158='V06 Calend 01'!D39),'V06 Calend 01'!J39,0))</f>
        <v>0</v>
      </c>
      <c r="FO39" s="2">
        <f>((IF((159='V06 Calend 01'!C39),('V06 Calend 01'!F39+'V06 Calend 01'!G39),0)+IF(AND(('V06 Calend 01'!E39&gt;0),(159&gt;'V06 Calend 01'!C39),(159&lt;'V06 Calend 01'!D39),(MOD((159-'V06 Calend 01'!C39),6)=0),(((159-'V06 Calend 01'!C39)/6)&lt;='V06 Calend 01'!E39)),IF((159=('V06 Calend 01'!C39+(6*'V06 Calend 01'!E39))),('V06 Calend 01'!H39-('V06 Calend 01'!I39*('V06 Calend 01'!E39-1))),'V06 Calend 01'!I39),0))+IF((159='V06 Calend 01'!D39),'V06 Calend 01'!J39,0))</f>
        <v>0</v>
      </c>
      <c r="FP39" s="2">
        <f>((IF((160='V06 Calend 01'!C39),('V06 Calend 01'!F39+'V06 Calend 01'!G39),0)+IF(AND(('V06 Calend 01'!E39&gt;0),(160&gt;'V06 Calend 01'!C39),(160&lt;'V06 Calend 01'!D39),(MOD((160-'V06 Calend 01'!C39),6)=0),(((160-'V06 Calend 01'!C39)/6)&lt;='V06 Calend 01'!E39)),IF((160=('V06 Calend 01'!C39+(6*'V06 Calend 01'!E39))),('V06 Calend 01'!H39-('V06 Calend 01'!I39*('V06 Calend 01'!E39-1))),'V06 Calend 01'!I39),0))+IF((160='V06 Calend 01'!D39),'V06 Calend 01'!J39,0))</f>
        <v>0</v>
      </c>
      <c r="FQ39" s="2">
        <f>((IF((161='V06 Calend 01'!C39),('V06 Calend 01'!F39+'V06 Calend 01'!G39),0)+IF(AND(('V06 Calend 01'!E39&gt;0),(161&gt;'V06 Calend 01'!C39),(161&lt;'V06 Calend 01'!D39),(MOD((161-'V06 Calend 01'!C39),6)=0),(((161-'V06 Calend 01'!C39)/6)&lt;='V06 Calend 01'!E39)),IF((161=('V06 Calend 01'!C39+(6*'V06 Calend 01'!E39))),('V06 Calend 01'!H39-('V06 Calend 01'!I39*('V06 Calend 01'!E39-1))),'V06 Calend 01'!I39),0))+IF((161='V06 Calend 01'!D39),'V06 Calend 01'!J39,0))</f>
        <v>0</v>
      </c>
      <c r="FR39" s="2">
        <f>((IF((162='V06 Calend 01'!C39),('V06 Calend 01'!F39+'V06 Calend 01'!G39),0)+IF(AND(('V06 Calend 01'!E39&gt;0),(162&gt;'V06 Calend 01'!C39),(162&lt;'V06 Calend 01'!D39),(MOD((162-'V06 Calend 01'!C39),6)=0),(((162-'V06 Calend 01'!C39)/6)&lt;='V06 Calend 01'!E39)),IF((162=('V06 Calend 01'!C39+(6*'V06 Calend 01'!E39))),('V06 Calend 01'!H39-('V06 Calend 01'!I39*('V06 Calend 01'!E39-1))),'V06 Calend 01'!I39),0))+IF((162='V06 Calend 01'!D39),'V06 Calend 01'!J39,0))</f>
        <v>0</v>
      </c>
      <c r="FS39" s="2">
        <f>((IF((163='V06 Calend 01'!C39),('V06 Calend 01'!F39+'V06 Calend 01'!G39),0)+IF(AND(('V06 Calend 01'!E39&gt;0),(163&gt;'V06 Calend 01'!C39),(163&lt;'V06 Calend 01'!D39),(MOD((163-'V06 Calend 01'!C39),6)=0),(((163-'V06 Calend 01'!C39)/6)&lt;='V06 Calend 01'!E39)),IF((163=('V06 Calend 01'!C39+(6*'V06 Calend 01'!E39))),('V06 Calend 01'!H39-('V06 Calend 01'!I39*('V06 Calend 01'!E39-1))),'V06 Calend 01'!I39),0))+IF((163='V06 Calend 01'!D39),'V06 Calend 01'!J39,0))</f>
        <v>0</v>
      </c>
      <c r="FT39" s="2">
        <f>((IF((164='V06 Calend 01'!C39),('V06 Calend 01'!F39+'V06 Calend 01'!G39),0)+IF(AND(('V06 Calend 01'!E39&gt;0),(164&gt;'V06 Calend 01'!C39),(164&lt;'V06 Calend 01'!D39),(MOD((164-'V06 Calend 01'!C39),6)=0),(((164-'V06 Calend 01'!C39)/6)&lt;='V06 Calend 01'!E39)),IF((164=('V06 Calend 01'!C39+(6*'V06 Calend 01'!E39))),('V06 Calend 01'!H39-('V06 Calend 01'!I39*('V06 Calend 01'!E39-1))),'V06 Calend 01'!I39),0))+IF((164='V06 Calend 01'!D39),'V06 Calend 01'!J39,0))</f>
        <v>0</v>
      </c>
      <c r="FU39" s="2">
        <f>((IF((165='V06 Calend 01'!C39),('V06 Calend 01'!F39+'V06 Calend 01'!G39),0)+IF(AND(('V06 Calend 01'!E39&gt;0),(165&gt;'V06 Calend 01'!C39),(165&lt;'V06 Calend 01'!D39),(MOD((165-'V06 Calend 01'!C39),6)=0),(((165-'V06 Calend 01'!C39)/6)&lt;='V06 Calend 01'!E39)),IF((165=('V06 Calend 01'!C39+(6*'V06 Calend 01'!E39))),('V06 Calend 01'!H39-('V06 Calend 01'!I39*('V06 Calend 01'!E39-1))),'V06 Calend 01'!I39),0))+IF((165='V06 Calend 01'!D39),'V06 Calend 01'!J39,0))</f>
        <v>0</v>
      </c>
      <c r="FV39" s="2">
        <f>((IF((166='V06 Calend 01'!C39),('V06 Calend 01'!F39+'V06 Calend 01'!G39),0)+IF(AND(('V06 Calend 01'!E39&gt;0),(166&gt;'V06 Calend 01'!C39),(166&lt;'V06 Calend 01'!D39),(MOD((166-'V06 Calend 01'!C39),6)=0),(((166-'V06 Calend 01'!C39)/6)&lt;='V06 Calend 01'!E39)),IF((166=('V06 Calend 01'!C39+(6*'V06 Calend 01'!E39))),('V06 Calend 01'!H39-('V06 Calend 01'!I39*('V06 Calend 01'!E39-1))),'V06 Calend 01'!I39),0))+IF((166='V06 Calend 01'!D39),'V06 Calend 01'!J39,0))</f>
        <v>0</v>
      </c>
      <c r="FW39" s="2">
        <f>((IF((167='V06 Calend 01'!C39),('V06 Calend 01'!F39+'V06 Calend 01'!G39),0)+IF(AND(('V06 Calend 01'!E39&gt;0),(167&gt;'V06 Calend 01'!C39),(167&lt;'V06 Calend 01'!D39),(MOD((167-'V06 Calend 01'!C39),6)=0),(((167-'V06 Calend 01'!C39)/6)&lt;='V06 Calend 01'!E39)),IF((167=('V06 Calend 01'!C39+(6*'V06 Calend 01'!E39))),('V06 Calend 01'!H39-('V06 Calend 01'!I39*('V06 Calend 01'!E39-1))),'V06 Calend 01'!I39),0))+IF((167='V06 Calend 01'!D39),'V06 Calend 01'!J39,0))</f>
        <v>0</v>
      </c>
      <c r="FX39" s="2">
        <f>((IF((168='V06 Calend 01'!C39),('V06 Calend 01'!F39+'V06 Calend 01'!G39),0)+IF(AND(('V06 Calend 01'!E39&gt;0),(168&gt;'V06 Calend 01'!C39),(168&lt;'V06 Calend 01'!D39),(MOD((168-'V06 Calend 01'!C39),6)=0),(((168-'V06 Calend 01'!C39)/6)&lt;='V06 Calend 01'!E39)),IF((168=('V06 Calend 01'!C39+(6*'V06 Calend 01'!E39))),('V06 Calend 01'!H39-('V06 Calend 01'!I39*('V06 Calend 01'!E39-1))),'V06 Calend 01'!I39),0))+IF((168='V06 Calend 01'!D39),'V06 Calend 01'!J39,0))</f>
        <v>0</v>
      </c>
      <c r="FY39" s="2">
        <f>((IF((169='V06 Calend 01'!C39),('V06 Calend 01'!F39+'V06 Calend 01'!G39),0)+IF(AND(('V06 Calend 01'!E39&gt;0),(169&gt;'V06 Calend 01'!C39),(169&lt;'V06 Calend 01'!D39),(MOD((169-'V06 Calend 01'!C39),6)=0),(((169-'V06 Calend 01'!C39)/6)&lt;='V06 Calend 01'!E39)),IF((169=('V06 Calend 01'!C39+(6*'V06 Calend 01'!E39))),('V06 Calend 01'!H39-('V06 Calend 01'!I39*('V06 Calend 01'!E39-1))),'V06 Calend 01'!I39),0))+IF((169='V06 Calend 01'!D39),'V06 Calend 01'!J39,0))</f>
        <v>0</v>
      </c>
      <c r="FZ39" s="2">
        <f>((IF((170='V06 Calend 01'!C39),('V06 Calend 01'!F39+'V06 Calend 01'!G39),0)+IF(AND(('V06 Calend 01'!E39&gt;0),(170&gt;'V06 Calend 01'!C39),(170&lt;'V06 Calend 01'!D39),(MOD((170-'V06 Calend 01'!C39),6)=0),(((170-'V06 Calend 01'!C39)/6)&lt;='V06 Calend 01'!E39)),IF((170=('V06 Calend 01'!C39+(6*'V06 Calend 01'!E39))),('V06 Calend 01'!H39-('V06 Calend 01'!I39*('V06 Calend 01'!E39-1))),'V06 Calend 01'!I39),0))+IF((170='V06 Calend 01'!D39),'V06 Calend 01'!J39,0))</f>
        <v>0</v>
      </c>
      <c r="GA39" s="2">
        <f>((IF((171='V06 Calend 01'!C39),('V06 Calend 01'!F39+'V06 Calend 01'!G39),0)+IF(AND(('V06 Calend 01'!E39&gt;0),(171&gt;'V06 Calend 01'!C39),(171&lt;'V06 Calend 01'!D39),(MOD((171-'V06 Calend 01'!C39),6)=0),(((171-'V06 Calend 01'!C39)/6)&lt;='V06 Calend 01'!E39)),IF((171=('V06 Calend 01'!C39+(6*'V06 Calend 01'!E39))),('V06 Calend 01'!H39-('V06 Calend 01'!I39*('V06 Calend 01'!E39-1))),'V06 Calend 01'!I39),0))+IF((171='V06 Calend 01'!D39),'V06 Calend 01'!J39,0))</f>
        <v>0</v>
      </c>
      <c r="GB39" s="2">
        <f>((IF((172='V06 Calend 01'!C39),('V06 Calend 01'!F39+'V06 Calend 01'!G39),0)+IF(AND(('V06 Calend 01'!E39&gt;0),(172&gt;'V06 Calend 01'!C39),(172&lt;'V06 Calend 01'!D39),(MOD((172-'V06 Calend 01'!C39),6)=0),(((172-'V06 Calend 01'!C39)/6)&lt;='V06 Calend 01'!E39)),IF((172=('V06 Calend 01'!C39+(6*'V06 Calend 01'!E39))),('V06 Calend 01'!H39-('V06 Calend 01'!I39*('V06 Calend 01'!E39-1))),'V06 Calend 01'!I39),0))+IF((172='V06 Calend 01'!D39),'V06 Calend 01'!J39,0))</f>
        <v>0</v>
      </c>
      <c r="GC39" s="2">
        <f>((IF((173='V06 Calend 01'!C39),('V06 Calend 01'!F39+'V06 Calend 01'!G39),0)+IF(AND(('V06 Calend 01'!E39&gt;0),(173&gt;'V06 Calend 01'!C39),(173&lt;'V06 Calend 01'!D39),(MOD((173-'V06 Calend 01'!C39),6)=0),(((173-'V06 Calend 01'!C39)/6)&lt;='V06 Calend 01'!E39)),IF((173=('V06 Calend 01'!C39+(6*'V06 Calend 01'!E39))),('V06 Calend 01'!H39-('V06 Calend 01'!I39*('V06 Calend 01'!E39-1))),'V06 Calend 01'!I39),0))+IF((173='V06 Calend 01'!D39),'V06 Calend 01'!J39,0))</f>
        <v>0</v>
      </c>
      <c r="GD39" s="2">
        <f>((IF((174='V06 Calend 01'!C39),('V06 Calend 01'!F39+'V06 Calend 01'!G39),0)+IF(AND(('V06 Calend 01'!E39&gt;0),(174&gt;'V06 Calend 01'!C39),(174&lt;'V06 Calend 01'!D39),(MOD((174-'V06 Calend 01'!C39),6)=0),(((174-'V06 Calend 01'!C39)/6)&lt;='V06 Calend 01'!E39)),IF((174=('V06 Calend 01'!C39+(6*'V06 Calend 01'!E39))),('V06 Calend 01'!H39-('V06 Calend 01'!I39*('V06 Calend 01'!E39-1))),'V06 Calend 01'!I39),0))+IF((174='V06 Calend 01'!D39),'V06 Calend 01'!J39,0))</f>
        <v>0</v>
      </c>
      <c r="GE39" s="2">
        <f>((IF((175='V06 Calend 01'!C39),('V06 Calend 01'!F39+'V06 Calend 01'!G39),0)+IF(AND(('V06 Calend 01'!E39&gt;0),(175&gt;'V06 Calend 01'!C39),(175&lt;'V06 Calend 01'!D39),(MOD((175-'V06 Calend 01'!C39),6)=0),(((175-'V06 Calend 01'!C39)/6)&lt;='V06 Calend 01'!E39)),IF((175=('V06 Calend 01'!C39+(6*'V06 Calend 01'!E39))),('V06 Calend 01'!H39-('V06 Calend 01'!I39*('V06 Calend 01'!E39-1))),'V06 Calend 01'!I39),0))+IF((175='V06 Calend 01'!D39),'V06 Calend 01'!J39,0))</f>
        <v>0</v>
      </c>
      <c r="GF39" s="2">
        <f>((IF((176='V06 Calend 01'!C39),('V06 Calend 01'!F39+'V06 Calend 01'!G39),0)+IF(AND(('V06 Calend 01'!E39&gt;0),(176&gt;'V06 Calend 01'!C39),(176&lt;'V06 Calend 01'!D39),(MOD((176-'V06 Calend 01'!C39),6)=0),(((176-'V06 Calend 01'!C39)/6)&lt;='V06 Calend 01'!E39)),IF((176=('V06 Calend 01'!C39+(6*'V06 Calend 01'!E39))),('V06 Calend 01'!H39-('V06 Calend 01'!I39*('V06 Calend 01'!E39-1))),'V06 Calend 01'!I39),0))+IF((176='V06 Calend 01'!D39),'V06 Calend 01'!J39,0))</f>
        <v>0</v>
      </c>
      <c r="GG39" s="2">
        <f>((IF((177='V06 Calend 01'!C39),('V06 Calend 01'!F39+'V06 Calend 01'!G39),0)+IF(AND(('V06 Calend 01'!E39&gt;0),(177&gt;'V06 Calend 01'!C39),(177&lt;'V06 Calend 01'!D39),(MOD((177-'V06 Calend 01'!C39),6)=0),(((177-'V06 Calend 01'!C39)/6)&lt;='V06 Calend 01'!E39)),IF((177=('V06 Calend 01'!C39+(6*'V06 Calend 01'!E39))),('V06 Calend 01'!H39-('V06 Calend 01'!I39*('V06 Calend 01'!E39-1))),'V06 Calend 01'!I39),0))+IF((177='V06 Calend 01'!D39),'V06 Calend 01'!J39,0))</f>
        <v>0</v>
      </c>
      <c r="GH39" s="2">
        <f>((IF((178='V06 Calend 01'!C39),('V06 Calend 01'!F39+'V06 Calend 01'!G39),0)+IF(AND(('V06 Calend 01'!E39&gt;0),(178&gt;'V06 Calend 01'!C39),(178&lt;'V06 Calend 01'!D39),(MOD((178-'V06 Calend 01'!C39),6)=0),(((178-'V06 Calend 01'!C39)/6)&lt;='V06 Calend 01'!E39)),IF((178=('V06 Calend 01'!C39+(6*'V06 Calend 01'!E39))),('V06 Calend 01'!H39-('V06 Calend 01'!I39*('V06 Calend 01'!E39-1))),'V06 Calend 01'!I39),0))+IF((178='V06 Calend 01'!D39),'V06 Calend 01'!J39,0))</f>
        <v>0</v>
      </c>
      <c r="GI39" s="2">
        <f>((IF((179='V06 Calend 01'!C39),('V06 Calend 01'!F39+'V06 Calend 01'!G39),0)+IF(AND(('V06 Calend 01'!E39&gt;0),(179&gt;'V06 Calend 01'!C39),(179&lt;'V06 Calend 01'!D39),(MOD((179-'V06 Calend 01'!C39),6)=0),(((179-'V06 Calend 01'!C39)/6)&lt;='V06 Calend 01'!E39)),IF((179=('V06 Calend 01'!C39+(6*'V06 Calend 01'!E39))),('V06 Calend 01'!H39-('V06 Calend 01'!I39*('V06 Calend 01'!E39-1))),'V06 Calend 01'!I39),0))+IF((179='V06 Calend 01'!D39),'V06 Calend 01'!J39,0))</f>
        <v>0</v>
      </c>
      <c r="GJ39" s="2">
        <f>((IF((180='V06 Calend 01'!C39),('V06 Calend 01'!F39+'V06 Calend 01'!G39),0)+IF(AND(('V06 Calend 01'!E39&gt;0),(180&gt;'V06 Calend 01'!C39),(180&lt;'V06 Calend 01'!D39),(MOD((180-'V06 Calend 01'!C39),6)=0),(((180-'V06 Calend 01'!C39)/6)&lt;='V06 Calend 01'!E39)),IF((180=('V06 Calend 01'!C39+(6*'V06 Calend 01'!E39))),('V06 Calend 01'!H39-('V06 Calend 01'!I39*('V06 Calend 01'!E39-1))),'V06 Calend 01'!I39),0))+IF((180='V06 Calend 01'!D39),'V06 Calend 01'!J39,0))</f>
        <v>0</v>
      </c>
    </row>
    <row r="40" spans="1:192">
      <c r="A40" s="3" t="str">
        <f>'V06 Unidades'!$A$40</f>
        <v>506</v>
      </c>
      <c r="B40" s="2">
        <f>'V06 Unidades'!$H$40</f>
        <v>459055.9</v>
      </c>
      <c r="C40" s="4">
        <f>('V06 Unidades'!$I$40+'V06 Controlos'!$B$37)</f>
        <v>22</v>
      </c>
      <c r="D40" s="4">
        <f>IF(('V06 Controlos'!$B$38&gt;0),MAX(('V06 Unidades'!$L$40+'V06 Controlos'!$B$37),(30+'V06 Controlos'!$B$38)),('V06 Unidades'!$L$40+'V06 Controlos'!$B$37))</f>
        <v>30</v>
      </c>
      <c r="E40" s="4">
        <f>MAX(0,INT(((('V06 Calend 01'!D40-'V06 Calend 01'!C40)-1)/6)))</f>
        <v>1</v>
      </c>
      <c r="F40" s="2">
        <f>ROUND(('V06 Calend 01'!B40*0.05),2)</f>
        <v>22952.8</v>
      </c>
      <c r="G40" s="2">
        <f>ROUND(('V06 Calend 01'!B40*0.2),2)</f>
        <v>91811.18</v>
      </c>
      <c r="H40" s="2">
        <f>ROUND(('V06 Calend 01'!B40*0.55),2)</f>
        <v>252480.75</v>
      </c>
      <c r="I40" s="2">
        <f>ROUND(('V06 Calend 01'!H40/MAX(1,'V06 Calend 01'!E40)),2)</f>
        <v>252480.75</v>
      </c>
      <c r="J40" s="2">
        <f>((('V06 Calend 01'!B40-'V06 Calend 01'!F40)-'V06 Calend 01'!G40)-'V06 Calend 01'!H40)</f>
        <v>91811.17000000004</v>
      </c>
      <c r="K40" s="2">
        <f>('V06 Calend 01'!B40*0.025)</f>
        <v>11476.397500000001</v>
      </c>
      <c r="L40" t="s">
        <v>378</v>
      </c>
      <c r="M40" s="2">
        <f>((IF((1='V06 Calend 01'!C40),('V06 Calend 01'!F40+'V06 Calend 01'!G40),0)+IF(AND(('V06 Calend 01'!E40&gt;0),(1&gt;'V06 Calend 01'!C40),(1&lt;'V06 Calend 01'!D40),(MOD((1-'V06 Calend 01'!C40),6)=0),(((1-'V06 Calend 01'!C40)/6)&lt;='V06 Calend 01'!E40)),IF((1=('V06 Calend 01'!C40+(6*'V06 Calend 01'!E40))),('V06 Calend 01'!H40-('V06 Calend 01'!I40*('V06 Calend 01'!E40-1))),'V06 Calend 01'!I40),0))+IF((1='V06 Calend 01'!D40),'V06 Calend 01'!J40,0))</f>
        <v>0</v>
      </c>
      <c r="N40" s="2">
        <f>((IF((2='V06 Calend 01'!C40),('V06 Calend 01'!F40+'V06 Calend 01'!G40),0)+IF(AND(('V06 Calend 01'!E40&gt;0),(2&gt;'V06 Calend 01'!C40),(2&lt;'V06 Calend 01'!D40),(MOD((2-'V06 Calend 01'!C40),6)=0),(((2-'V06 Calend 01'!C40)/6)&lt;='V06 Calend 01'!E40)),IF((2=('V06 Calend 01'!C40+(6*'V06 Calend 01'!E40))),('V06 Calend 01'!H40-('V06 Calend 01'!I40*('V06 Calend 01'!E40-1))),'V06 Calend 01'!I40),0))+IF((2='V06 Calend 01'!D40),'V06 Calend 01'!J40,0))</f>
        <v>0</v>
      </c>
      <c r="O40" s="2">
        <f>((IF((3='V06 Calend 01'!C40),('V06 Calend 01'!F40+'V06 Calend 01'!G40),0)+IF(AND(('V06 Calend 01'!E40&gt;0),(3&gt;'V06 Calend 01'!C40),(3&lt;'V06 Calend 01'!D40),(MOD((3-'V06 Calend 01'!C40),6)=0),(((3-'V06 Calend 01'!C40)/6)&lt;='V06 Calend 01'!E40)),IF((3=('V06 Calend 01'!C40+(6*'V06 Calend 01'!E40))),('V06 Calend 01'!H40-('V06 Calend 01'!I40*('V06 Calend 01'!E40-1))),'V06 Calend 01'!I40),0))+IF((3='V06 Calend 01'!D40),'V06 Calend 01'!J40,0))</f>
        <v>0</v>
      </c>
      <c r="P40" s="2">
        <f>((IF((4='V06 Calend 01'!C40),('V06 Calend 01'!F40+'V06 Calend 01'!G40),0)+IF(AND(('V06 Calend 01'!E40&gt;0),(4&gt;'V06 Calend 01'!C40),(4&lt;'V06 Calend 01'!D40),(MOD((4-'V06 Calend 01'!C40),6)=0),(((4-'V06 Calend 01'!C40)/6)&lt;='V06 Calend 01'!E40)),IF((4=('V06 Calend 01'!C40+(6*'V06 Calend 01'!E40))),('V06 Calend 01'!H40-('V06 Calend 01'!I40*('V06 Calend 01'!E40-1))),'V06 Calend 01'!I40),0))+IF((4='V06 Calend 01'!D40),'V06 Calend 01'!J40,0))</f>
        <v>0</v>
      </c>
      <c r="Q40" s="2">
        <f>((IF((5='V06 Calend 01'!C40),('V06 Calend 01'!F40+'V06 Calend 01'!G40),0)+IF(AND(('V06 Calend 01'!E40&gt;0),(5&gt;'V06 Calend 01'!C40),(5&lt;'V06 Calend 01'!D40),(MOD((5-'V06 Calend 01'!C40),6)=0),(((5-'V06 Calend 01'!C40)/6)&lt;='V06 Calend 01'!E40)),IF((5=('V06 Calend 01'!C40+(6*'V06 Calend 01'!E40))),('V06 Calend 01'!H40-('V06 Calend 01'!I40*('V06 Calend 01'!E40-1))),'V06 Calend 01'!I40),0))+IF((5='V06 Calend 01'!D40),'V06 Calend 01'!J40,0))</f>
        <v>0</v>
      </c>
      <c r="R40" s="2">
        <f>((IF((6='V06 Calend 01'!C40),('V06 Calend 01'!F40+'V06 Calend 01'!G40),0)+IF(AND(('V06 Calend 01'!E40&gt;0),(6&gt;'V06 Calend 01'!C40),(6&lt;'V06 Calend 01'!D40),(MOD((6-'V06 Calend 01'!C40),6)=0),(((6-'V06 Calend 01'!C40)/6)&lt;='V06 Calend 01'!E40)),IF((6=('V06 Calend 01'!C40+(6*'V06 Calend 01'!E40))),('V06 Calend 01'!H40-('V06 Calend 01'!I40*('V06 Calend 01'!E40-1))),'V06 Calend 01'!I40),0))+IF((6='V06 Calend 01'!D40),'V06 Calend 01'!J40,0))</f>
        <v>0</v>
      </c>
      <c r="S40" s="2">
        <f>((IF((7='V06 Calend 01'!C40),('V06 Calend 01'!F40+'V06 Calend 01'!G40),0)+IF(AND(('V06 Calend 01'!E40&gt;0),(7&gt;'V06 Calend 01'!C40),(7&lt;'V06 Calend 01'!D40),(MOD((7-'V06 Calend 01'!C40),6)=0),(((7-'V06 Calend 01'!C40)/6)&lt;='V06 Calend 01'!E40)),IF((7=('V06 Calend 01'!C40+(6*'V06 Calend 01'!E40))),('V06 Calend 01'!H40-('V06 Calend 01'!I40*('V06 Calend 01'!E40-1))),'V06 Calend 01'!I40),0))+IF((7='V06 Calend 01'!D40),'V06 Calend 01'!J40,0))</f>
        <v>0</v>
      </c>
      <c r="T40" s="2">
        <f>((IF((8='V06 Calend 01'!C40),('V06 Calend 01'!F40+'V06 Calend 01'!G40),0)+IF(AND(('V06 Calend 01'!E40&gt;0),(8&gt;'V06 Calend 01'!C40),(8&lt;'V06 Calend 01'!D40),(MOD((8-'V06 Calend 01'!C40),6)=0),(((8-'V06 Calend 01'!C40)/6)&lt;='V06 Calend 01'!E40)),IF((8=('V06 Calend 01'!C40+(6*'V06 Calend 01'!E40))),('V06 Calend 01'!H40-('V06 Calend 01'!I40*('V06 Calend 01'!E40-1))),'V06 Calend 01'!I40),0))+IF((8='V06 Calend 01'!D40),'V06 Calend 01'!J40,0))</f>
        <v>0</v>
      </c>
      <c r="U40" s="2">
        <f>((IF((9='V06 Calend 01'!C40),('V06 Calend 01'!F40+'V06 Calend 01'!G40),0)+IF(AND(('V06 Calend 01'!E40&gt;0),(9&gt;'V06 Calend 01'!C40),(9&lt;'V06 Calend 01'!D40),(MOD((9-'V06 Calend 01'!C40),6)=0),(((9-'V06 Calend 01'!C40)/6)&lt;='V06 Calend 01'!E40)),IF((9=('V06 Calend 01'!C40+(6*'V06 Calend 01'!E40))),('V06 Calend 01'!H40-('V06 Calend 01'!I40*('V06 Calend 01'!E40-1))),'V06 Calend 01'!I40),0))+IF((9='V06 Calend 01'!D40),'V06 Calend 01'!J40,0))</f>
        <v>0</v>
      </c>
      <c r="V40" s="2">
        <f>((IF((10='V06 Calend 01'!C40),('V06 Calend 01'!F40+'V06 Calend 01'!G40),0)+IF(AND(('V06 Calend 01'!E40&gt;0),(10&gt;'V06 Calend 01'!C40),(10&lt;'V06 Calend 01'!D40),(MOD((10-'V06 Calend 01'!C40),6)=0),(((10-'V06 Calend 01'!C40)/6)&lt;='V06 Calend 01'!E40)),IF((10=('V06 Calend 01'!C40+(6*'V06 Calend 01'!E40))),('V06 Calend 01'!H40-('V06 Calend 01'!I40*('V06 Calend 01'!E40-1))),'V06 Calend 01'!I40),0))+IF((10='V06 Calend 01'!D40),'V06 Calend 01'!J40,0))</f>
        <v>0</v>
      </c>
      <c r="W40" s="2">
        <f>((IF((11='V06 Calend 01'!C40),('V06 Calend 01'!F40+'V06 Calend 01'!G40),0)+IF(AND(('V06 Calend 01'!E40&gt;0),(11&gt;'V06 Calend 01'!C40),(11&lt;'V06 Calend 01'!D40),(MOD((11-'V06 Calend 01'!C40),6)=0),(((11-'V06 Calend 01'!C40)/6)&lt;='V06 Calend 01'!E40)),IF((11=('V06 Calend 01'!C40+(6*'V06 Calend 01'!E40))),('V06 Calend 01'!H40-('V06 Calend 01'!I40*('V06 Calend 01'!E40-1))),'V06 Calend 01'!I40),0))+IF((11='V06 Calend 01'!D40),'V06 Calend 01'!J40,0))</f>
        <v>0</v>
      </c>
      <c r="X40" s="2">
        <f>((IF((12='V06 Calend 01'!C40),('V06 Calend 01'!F40+'V06 Calend 01'!G40),0)+IF(AND(('V06 Calend 01'!E40&gt;0),(12&gt;'V06 Calend 01'!C40),(12&lt;'V06 Calend 01'!D40),(MOD((12-'V06 Calend 01'!C40),6)=0),(((12-'V06 Calend 01'!C40)/6)&lt;='V06 Calend 01'!E40)),IF((12=('V06 Calend 01'!C40+(6*'V06 Calend 01'!E40))),('V06 Calend 01'!H40-('V06 Calend 01'!I40*('V06 Calend 01'!E40-1))),'V06 Calend 01'!I40),0))+IF((12='V06 Calend 01'!D40),'V06 Calend 01'!J40,0))</f>
        <v>0</v>
      </c>
      <c r="Y40" s="2">
        <f>((IF((13='V06 Calend 01'!C40),('V06 Calend 01'!F40+'V06 Calend 01'!G40),0)+IF(AND(('V06 Calend 01'!E40&gt;0),(13&gt;'V06 Calend 01'!C40),(13&lt;'V06 Calend 01'!D40),(MOD((13-'V06 Calend 01'!C40),6)=0),(((13-'V06 Calend 01'!C40)/6)&lt;='V06 Calend 01'!E40)),IF((13=('V06 Calend 01'!C40+(6*'V06 Calend 01'!E40))),('V06 Calend 01'!H40-('V06 Calend 01'!I40*('V06 Calend 01'!E40-1))),'V06 Calend 01'!I40),0))+IF((13='V06 Calend 01'!D40),'V06 Calend 01'!J40,0))</f>
        <v>0</v>
      </c>
      <c r="Z40" s="2">
        <f>((IF((14='V06 Calend 01'!C40),('V06 Calend 01'!F40+'V06 Calend 01'!G40),0)+IF(AND(('V06 Calend 01'!E40&gt;0),(14&gt;'V06 Calend 01'!C40),(14&lt;'V06 Calend 01'!D40),(MOD((14-'V06 Calend 01'!C40),6)=0),(((14-'V06 Calend 01'!C40)/6)&lt;='V06 Calend 01'!E40)),IF((14=('V06 Calend 01'!C40+(6*'V06 Calend 01'!E40))),('V06 Calend 01'!H40-('V06 Calend 01'!I40*('V06 Calend 01'!E40-1))),'V06 Calend 01'!I40),0))+IF((14='V06 Calend 01'!D40),'V06 Calend 01'!J40,0))</f>
        <v>0</v>
      </c>
      <c r="AA40" s="2">
        <f>((IF((15='V06 Calend 01'!C40),('V06 Calend 01'!F40+'V06 Calend 01'!G40),0)+IF(AND(('V06 Calend 01'!E40&gt;0),(15&gt;'V06 Calend 01'!C40),(15&lt;'V06 Calend 01'!D40),(MOD((15-'V06 Calend 01'!C40),6)=0),(((15-'V06 Calend 01'!C40)/6)&lt;='V06 Calend 01'!E40)),IF((15=('V06 Calend 01'!C40+(6*'V06 Calend 01'!E40))),('V06 Calend 01'!H40-('V06 Calend 01'!I40*('V06 Calend 01'!E40-1))),'V06 Calend 01'!I40),0))+IF((15='V06 Calend 01'!D40),'V06 Calend 01'!J40,0))</f>
        <v>0</v>
      </c>
      <c r="AB40" s="2">
        <f>((IF((16='V06 Calend 01'!C40),('V06 Calend 01'!F40+'V06 Calend 01'!G40),0)+IF(AND(('V06 Calend 01'!E40&gt;0),(16&gt;'V06 Calend 01'!C40),(16&lt;'V06 Calend 01'!D40),(MOD((16-'V06 Calend 01'!C40),6)=0),(((16-'V06 Calend 01'!C40)/6)&lt;='V06 Calend 01'!E40)),IF((16=('V06 Calend 01'!C40+(6*'V06 Calend 01'!E40))),('V06 Calend 01'!H40-('V06 Calend 01'!I40*('V06 Calend 01'!E40-1))),'V06 Calend 01'!I40),0))+IF((16='V06 Calend 01'!D40),'V06 Calend 01'!J40,0))</f>
        <v>0</v>
      </c>
      <c r="AC40" s="2">
        <f>((IF((17='V06 Calend 01'!C40),('V06 Calend 01'!F40+'V06 Calend 01'!G40),0)+IF(AND(('V06 Calend 01'!E40&gt;0),(17&gt;'V06 Calend 01'!C40),(17&lt;'V06 Calend 01'!D40),(MOD((17-'V06 Calend 01'!C40),6)=0),(((17-'V06 Calend 01'!C40)/6)&lt;='V06 Calend 01'!E40)),IF((17=('V06 Calend 01'!C40+(6*'V06 Calend 01'!E40))),('V06 Calend 01'!H40-('V06 Calend 01'!I40*('V06 Calend 01'!E40-1))),'V06 Calend 01'!I40),0))+IF((17='V06 Calend 01'!D40),'V06 Calend 01'!J40,0))</f>
        <v>0</v>
      </c>
      <c r="AD40" s="2">
        <f>((IF((18='V06 Calend 01'!C40),('V06 Calend 01'!F40+'V06 Calend 01'!G40),0)+IF(AND(('V06 Calend 01'!E40&gt;0),(18&gt;'V06 Calend 01'!C40),(18&lt;'V06 Calend 01'!D40),(MOD((18-'V06 Calend 01'!C40),6)=0),(((18-'V06 Calend 01'!C40)/6)&lt;='V06 Calend 01'!E40)),IF((18=('V06 Calend 01'!C40+(6*'V06 Calend 01'!E40))),('V06 Calend 01'!H40-('V06 Calend 01'!I40*('V06 Calend 01'!E40-1))),'V06 Calend 01'!I40),0))+IF((18='V06 Calend 01'!D40),'V06 Calend 01'!J40,0))</f>
        <v>0</v>
      </c>
      <c r="AE40" s="2">
        <f>((IF((19='V06 Calend 01'!C40),('V06 Calend 01'!F40+'V06 Calend 01'!G40),0)+IF(AND(('V06 Calend 01'!E40&gt;0),(19&gt;'V06 Calend 01'!C40),(19&lt;'V06 Calend 01'!D40),(MOD((19-'V06 Calend 01'!C40),6)=0),(((19-'V06 Calend 01'!C40)/6)&lt;='V06 Calend 01'!E40)),IF((19=('V06 Calend 01'!C40+(6*'V06 Calend 01'!E40))),('V06 Calend 01'!H40-('V06 Calend 01'!I40*('V06 Calend 01'!E40-1))),'V06 Calend 01'!I40),0))+IF((19='V06 Calend 01'!D40),'V06 Calend 01'!J40,0))</f>
        <v>0</v>
      </c>
      <c r="AF40" s="2">
        <f>((IF((20='V06 Calend 01'!C40),('V06 Calend 01'!F40+'V06 Calend 01'!G40),0)+IF(AND(('V06 Calend 01'!E40&gt;0),(20&gt;'V06 Calend 01'!C40),(20&lt;'V06 Calend 01'!D40),(MOD((20-'V06 Calend 01'!C40),6)=0),(((20-'V06 Calend 01'!C40)/6)&lt;='V06 Calend 01'!E40)),IF((20=('V06 Calend 01'!C40+(6*'V06 Calend 01'!E40))),('V06 Calend 01'!H40-('V06 Calend 01'!I40*('V06 Calend 01'!E40-1))),'V06 Calend 01'!I40),0))+IF((20='V06 Calend 01'!D40),'V06 Calend 01'!J40,0))</f>
        <v>0</v>
      </c>
      <c r="AG40" s="2">
        <f>((IF((21='V06 Calend 01'!C40),('V06 Calend 01'!F40+'V06 Calend 01'!G40),0)+IF(AND(('V06 Calend 01'!E40&gt;0),(21&gt;'V06 Calend 01'!C40),(21&lt;'V06 Calend 01'!D40),(MOD((21-'V06 Calend 01'!C40),6)=0),(((21-'V06 Calend 01'!C40)/6)&lt;='V06 Calend 01'!E40)),IF((21=('V06 Calend 01'!C40+(6*'V06 Calend 01'!E40))),('V06 Calend 01'!H40-('V06 Calend 01'!I40*('V06 Calend 01'!E40-1))),'V06 Calend 01'!I40),0))+IF((21='V06 Calend 01'!D40),'V06 Calend 01'!J40,0))</f>
        <v>0</v>
      </c>
      <c r="AH40" s="2">
        <f>((IF((22='V06 Calend 01'!C40),('V06 Calend 01'!F40+'V06 Calend 01'!G40),0)+IF(AND(('V06 Calend 01'!E40&gt;0),(22&gt;'V06 Calend 01'!C40),(22&lt;'V06 Calend 01'!D40),(MOD((22-'V06 Calend 01'!C40),6)=0),(((22-'V06 Calend 01'!C40)/6)&lt;='V06 Calend 01'!E40)),IF((22=('V06 Calend 01'!C40+(6*'V06 Calend 01'!E40))),('V06 Calend 01'!H40-('V06 Calend 01'!I40*('V06 Calend 01'!E40-1))),'V06 Calend 01'!I40),0))+IF((22='V06 Calend 01'!D40),'V06 Calend 01'!J40,0))</f>
        <v>114763.98</v>
      </c>
      <c r="AI40" s="2">
        <f>((IF((23='V06 Calend 01'!C40),('V06 Calend 01'!F40+'V06 Calend 01'!G40),0)+IF(AND(('V06 Calend 01'!E40&gt;0),(23&gt;'V06 Calend 01'!C40),(23&lt;'V06 Calend 01'!D40),(MOD((23-'V06 Calend 01'!C40),6)=0),(((23-'V06 Calend 01'!C40)/6)&lt;='V06 Calend 01'!E40)),IF((23=('V06 Calend 01'!C40+(6*'V06 Calend 01'!E40))),('V06 Calend 01'!H40-('V06 Calend 01'!I40*('V06 Calend 01'!E40-1))),'V06 Calend 01'!I40),0))+IF((23='V06 Calend 01'!D40),'V06 Calend 01'!J40,0))</f>
        <v>0</v>
      </c>
      <c r="AJ40" s="2">
        <f>((IF((24='V06 Calend 01'!C40),('V06 Calend 01'!F40+'V06 Calend 01'!G40),0)+IF(AND(('V06 Calend 01'!E40&gt;0),(24&gt;'V06 Calend 01'!C40),(24&lt;'V06 Calend 01'!D40),(MOD((24-'V06 Calend 01'!C40),6)=0),(((24-'V06 Calend 01'!C40)/6)&lt;='V06 Calend 01'!E40)),IF((24=('V06 Calend 01'!C40+(6*'V06 Calend 01'!E40))),('V06 Calend 01'!H40-('V06 Calend 01'!I40*('V06 Calend 01'!E40-1))),'V06 Calend 01'!I40),0))+IF((24='V06 Calend 01'!D40),'V06 Calend 01'!J40,0))</f>
        <v>0</v>
      </c>
      <c r="AK40" s="2">
        <f>((IF((25='V06 Calend 01'!C40),('V06 Calend 01'!F40+'V06 Calend 01'!G40),0)+IF(AND(('V06 Calend 01'!E40&gt;0),(25&gt;'V06 Calend 01'!C40),(25&lt;'V06 Calend 01'!D40),(MOD((25-'V06 Calend 01'!C40),6)=0),(((25-'V06 Calend 01'!C40)/6)&lt;='V06 Calend 01'!E40)),IF((25=('V06 Calend 01'!C40+(6*'V06 Calend 01'!E40))),('V06 Calend 01'!H40-('V06 Calend 01'!I40*('V06 Calend 01'!E40-1))),'V06 Calend 01'!I40),0))+IF((25='V06 Calend 01'!D40),'V06 Calend 01'!J40,0))</f>
        <v>0</v>
      </c>
      <c r="AL40" s="2">
        <f>((IF((26='V06 Calend 01'!C40),('V06 Calend 01'!F40+'V06 Calend 01'!G40),0)+IF(AND(('V06 Calend 01'!E40&gt;0),(26&gt;'V06 Calend 01'!C40),(26&lt;'V06 Calend 01'!D40),(MOD((26-'V06 Calend 01'!C40),6)=0),(((26-'V06 Calend 01'!C40)/6)&lt;='V06 Calend 01'!E40)),IF((26=('V06 Calend 01'!C40+(6*'V06 Calend 01'!E40))),('V06 Calend 01'!H40-('V06 Calend 01'!I40*('V06 Calend 01'!E40-1))),'V06 Calend 01'!I40),0))+IF((26='V06 Calend 01'!D40),'V06 Calend 01'!J40,0))</f>
        <v>0</v>
      </c>
      <c r="AM40" s="2">
        <f>((IF((27='V06 Calend 01'!C40),('V06 Calend 01'!F40+'V06 Calend 01'!G40),0)+IF(AND(('V06 Calend 01'!E40&gt;0),(27&gt;'V06 Calend 01'!C40),(27&lt;'V06 Calend 01'!D40),(MOD((27-'V06 Calend 01'!C40),6)=0),(((27-'V06 Calend 01'!C40)/6)&lt;='V06 Calend 01'!E40)),IF((27=('V06 Calend 01'!C40+(6*'V06 Calend 01'!E40))),('V06 Calend 01'!H40-('V06 Calend 01'!I40*('V06 Calend 01'!E40-1))),'V06 Calend 01'!I40),0))+IF((27='V06 Calend 01'!D40),'V06 Calend 01'!J40,0))</f>
        <v>0</v>
      </c>
      <c r="AN40" s="2">
        <f>((IF((28='V06 Calend 01'!C40),('V06 Calend 01'!F40+'V06 Calend 01'!G40),0)+IF(AND(('V06 Calend 01'!E40&gt;0),(28&gt;'V06 Calend 01'!C40),(28&lt;'V06 Calend 01'!D40),(MOD((28-'V06 Calend 01'!C40),6)=0),(((28-'V06 Calend 01'!C40)/6)&lt;='V06 Calend 01'!E40)),IF((28=('V06 Calend 01'!C40+(6*'V06 Calend 01'!E40))),('V06 Calend 01'!H40-('V06 Calend 01'!I40*('V06 Calend 01'!E40-1))),'V06 Calend 01'!I40),0))+IF((28='V06 Calend 01'!D40),'V06 Calend 01'!J40,0))</f>
        <v>252480.75</v>
      </c>
      <c r="AO40" s="2">
        <f>((IF((29='V06 Calend 01'!C40),('V06 Calend 01'!F40+'V06 Calend 01'!G40),0)+IF(AND(('V06 Calend 01'!E40&gt;0),(29&gt;'V06 Calend 01'!C40),(29&lt;'V06 Calend 01'!D40),(MOD((29-'V06 Calend 01'!C40),6)=0),(((29-'V06 Calend 01'!C40)/6)&lt;='V06 Calend 01'!E40)),IF((29=('V06 Calend 01'!C40+(6*'V06 Calend 01'!E40))),('V06 Calend 01'!H40-('V06 Calend 01'!I40*('V06 Calend 01'!E40-1))),'V06 Calend 01'!I40),0))+IF((29='V06 Calend 01'!D40),'V06 Calend 01'!J40,0))</f>
        <v>0</v>
      </c>
      <c r="AP40" s="2">
        <f>((IF((30='V06 Calend 01'!C40),('V06 Calend 01'!F40+'V06 Calend 01'!G40),0)+IF(AND(('V06 Calend 01'!E40&gt;0),(30&gt;'V06 Calend 01'!C40),(30&lt;'V06 Calend 01'!D40),(MOD((30-'V06 Calend 01'!C40),6)=0),(((30-'V06 Calend 01'!C40)/6)&lt;='V06 Calend 01'!E40)),IF((30=('V06 Calend 01'!C40+(6*'V06 Calend 01'!E40))),('V06 Calend 01'!H40-('V06 Calend 01'!I40*('V06 Calend 01'!E40-1))),'V06 Calend 01'!I40),0))+IF((30='V06 Calend 01'!D40),'V06 Calend 01'!J40,0))</f>
        <v>91811.17000000004</v>
      </c>
      <c r="AQ40" s="2">
        <f>((IF((31='V06 Calend 01'!C40),('V06 Calend 01'!F40+'V06 Calend 01'!G40),0)+IF(AND(('V06 Calend 01'!E40&gt;0),(31&gt;'V06 Calend 01'!C40),(31&lt;'V06 Calend 01'!D40),(MOD((31-'V06 Calend 01'!C40),6)=0),(((31-'V06 Calend 01'!C40)/6)&lt;='V06 Calend 01'!E40)),IF((31=('V06 Calend 01'!C40+(6*'V06 Calend 01'!E40))),('V06 Calend 01'!H40-('V06 Calend 01'!I40*('V06 Calend 01'!E40-1))),'V06 Calend 01'!I40),0))+IF((31='V06 Calend 01'!D40),'V06 Calend 01'!J40,0))</f>
        <v>0</v>
      </c>
      <c r="AR40" s="2">
        <f>((IF((32='V06 Calend 01'!C40),('V06 Calend 01'!F40+'V06 Calend 01'!G40),0)+IF(AND(('V06 Calend 01'!E40&gt;0),(32&gt;'V06 Calend 01'!C40),(32&lt;'V06 Calend 01'!D40),(MOD((32-'V06 Calend 01'!C40),6)=0),(((32-'V06 Calend 01'!C40)/6)&lt;='V06 Calend 01'!E40)),IF((32=('V06 Calend 01'!C40+(6*'V06 Calend 01'!E40))),('V06 Calend 01'!H40-('V06 Calend 01'!I40*('V06 Calend 01'!E40-1))),'V06 Calend 01'!I40),0))+IF((32='V06 Calend 01'!D40),'V06 Calend 01'!J40,0))</f>
        <v>0</v>
      </c>
      <c r="AS40" s="2">
        <f>((IF((33='V06 Calend 01'!C40),('V06 Calend 01'!F40+'V06 Calend 01'!G40),0)+IF(AND(('V06 Calend 01'!E40&gt;0),(33&gt;'V06 Calend 01'!C40),(33&lt;'V06 Calend 01'!D40),(MOD((33-'V06 Calend 01'!C40),6)=0),(((33-'V06 Calend 01'!C40)/6)&lt;='V06 Calend 01'!E40)),IF((33=('V06 Calend 01'!C40+(6*'V06 Calend 01'!E40))),('V06 Calend 01'!H40-('V06 Calend 01'!I40*('V06 Calend 01'!E40-1))),'V06 Calend 01'!I40),0))+IF((33='V06 Calend 01'!D40),'V06 Calend 01'!J40,0))</f>
        <v>0</v>
      </c>
      <c r="AT40" s="2">
        <f>((IF((34='V06 Calend 01'!C40),('V06 Calend 01'!F40+'V06 Calend 01'!G40),0)+IF(AND(('V06 Calend 01'!E40&gt;0),(34&gt;'V06 Calend 01'!C40),(34&lt;'V06 Calend 01'!D40),(MOD((34-'V06 Calend 01'!C40),6)=0),(((34-'V06 Calend 01'!C40)/6)&lt;='V06 Calend 01'!E40)),IF((34=('V06 Calend 01'!C40+(6*'V06 Calend 01'!E40))),('V06 Calend 01'!H40-('V06 Calend 01'!I40*('V06 Calend 01'!E40-1))),'V06 Calend 01'!I40),0))+IF((34='V06 Calend 01'!D40),'V06 Calend 01'!J40,0))</f>
        <v>0</v>
      </c>
      <c r="AU40" s="2">
        <f>((IF((35='V06 Calend 01'!C40),('V06 Calend 01'!F40+'V06 Calend 01'!G40),0)+IF(AND(('V06 Calend 01'!E40&gt;0),(35&gt;'V06 Calend 01'!C40),(35&lt;'V06 Calend 01'!D40),(MOD((35-'V06 Calend 01'!C40),6)=0),(((35-'V06 Calend 01'!C40)/6)&lt;='V06 Calend 01'!E40)),IF((35=('V06 Calend 01'!C40+(6*'V06 Calend 01'!E40))),('V06 Calend 01'!H40-('V06 Calend 01'!I40*('V06 Calend 01'!E40-1))),'V06 Calend 01'!I40),0))+IF((35='V06 Calend 01'!D40),'V06 Calend 01'!J40,0))</f>
        <v>0</v>
      </c>
      <c r="AV40" s="2">
        <f>((IF((36='V06 Calend 01'!C40),('V06 Calend 01'!F40+'V06 Calend 01'!G40),0)+IF(AND(('V06 Calend 01'!E40&gt;0),(36&gt;'V06 Calend 01'!C40),(36&lt;'V06 Calend 01'!D40),(MOD((36-'V06 Calend 01'!C40),6)=0),(((36-'V06 Calend 01'!C40)/6)&lt;='V06 Calend 01'!E40)),IF((36=('V06 Calend 01'!C40+(6*'V06 Calend 01'!E40))),('V06 Calend 01'!H40-('V06 Calend 01'!I40*('V06 Calend 01'!E40-1))),'V06 Calend 01'!I40),0))+IF((36='V06 Calend 01'!D40),'V06 Calend 01'!J40,0))</f>
        <v>0</v>
      </c>
      <c r="AW40" s="2">
        <f>((IF((37='V06 Calend 01'!C40),('V06 Calend 01'!F40+'V06 Calend 01'!G40),0)+IF(AND(('V06 Calend 01'!E40&gt;0),(37&gt;'V06 Calend 01'!C40),(37&lt;'V06 Calend 01'!D40),(MOD((37-'V06 Calend 01'!C40),6)=0),(((37-'V06 Calend 01'!C40)/6)&lt;='V06 Calend 01'!E40)),IF((37=('V06 Calend 01'!C40+(6*'V06 Calend 01'!E40))),('V06 Calend 01'!H40-('V06 Calend 01'!I40*('V06 Calend 01'!E40-1))),'V06 Calend 01'!I40),0))+IF((37='V06 Calend 01'!D40),'V06 Calend 01'!J40,0))</f>
        <v>0</v>
      </c>
      <c r="AX40" s="2">
        <f>((IF((38='V06 Calend 01'!C40),('V06 Calend 01'!F40+'V06 Calend 01'!G40),0)+IF(AND(('V06 Calend 01'!E40&gt;0),(38&gt;'V06 Calend 01'!C40),(38&lt;'V06 Calend 01'!D40),(MOD((38-'V06 Calend 01'!C40),6)=0),(((38-'V06 Calend 01'!C40)/6)&lt;='V06 Calend 01'!E40)),IF((38=('V06 Calend 01'!C40+(6*'V06 Calend 01'!E40))),('V06 Calend 01'!H40-('V06 Calend 01'!I40*('V06 Calend 01'!E40-1))),'V06 Calend 01'!I40),0))+IF((38='V06 Calend 01'!D40),'V06 Calend 01'!J40,0))</f>
        <v>0</v>
      </c>
      <c r="AY40" s="2">
        <f>((IF((39='V06 Calend 01'!C40),('V06 Calend 01'!F40+'V06 Calend 01'!G40),0)+IF(AND(('V06 Calend 01'!E40&gt;0),(39&gt;'V06 Calend 01'!C40),(39&lt;'V06 Calend 01'!D40),(MOD((39-'V06 Calend 01'!C40),6)=0),(((39-'V06 Calend 01'!C40)/6)&lt;='V06 Calend 01'!E40)),IF((39=('V06 Calend 01'!C40+(6*'V06 Calend 01'!E40))),('V06 Calend 01'!H40-('V06 Calend 01'!I40*('V06 Calend 01'!E40-1))),'V06 Calend 01'!I40),0))+IF((39='V06 Calend 01'!D40),'V06 Calend 01'!J40,0))</f>
        <v>0</v>
      </c>
      <c r="AZ40" s="2">
        <f>((IF((40='V06 Calend 01'!C40),('V06 Calend 01'!F40+'V06 Calend 01'!G40),0)+IF(AND(('V06 Calend 01'!E40&gt;0),(40&gt;'V06 Calend 01'!C40),(40&lt;'V06 Calend 01'!D40),(MOD((40-'V06 Calend 01'!C40),6)=0),(((40-'V06 Calend 01'!C40)/6)&lt;='V06 Calend 01'!E40)),IF((40=('V06 Calend 01'!C40+(6*'V06 Calend 01'!E40))),('V06 Calend 01'!H40-('V06 Calend 01'!I40*('V06 Calend 01'!E40-1))),'V06 Calend 01'!I40),0))+IF((40='V06 Calend 01'!D40),'V06 Calend 01'!J40,0))</f>
        <v>0</v>
      </c>
      <c r="BA40" s="2">
        <f>((IF((41='V06 Calend 01'!C40),('V06 Calend 01'!F40+'V06 Calend 01'!G40),0)+IF(AND(('V06 Calend 01'!E40&gt;0),(41&gt;'V06 Calend 01'!C40),(41&lt;'V06 Calend 01'!D40),(MOD((41-'V06 Calend 01'!C40),6)=0),(((41-'V06 Calend 01'!C40)/6)&lt;='V06 Calend 01'!E40)),IF((41=('V06 Calend 01'!C40+(6*'V06 Calend 01'!E40))),('V06 Calend 01'!H40-('V06 Calend 01'!I40*('V06 Calend 01'!E40-1))),'V06 Calend 01'!I40),0))+IF((41='V06 Calend 01'!D40),'V06 Calend 01'!J40,0))</f>
        <v>0</v>
      </c>
      <c r="BB40" s="2">
        <f>((IF((42='V06 Calend 01'!C40),('V06 Calend 01'!F40+'V06 Calend 01'!G40),0)+IF(AND(('V06 Calend 01'!E40&gt;0),(42&gt;'V06 Calend 01'!C40),(42&lt;'V06 Calend 01'!D40),(MOD((42-'V06 Calend 01'!C40),6)=0),(((42-'V06 Calend 01'!C40)/6)&lt;='V06 Calend 01'!E40)),IF((42=('V06 Calend 01'!C40+(6*'V06 Calend 01'!E40))),('V06 Calend 01'!H40-('V06 Calend 01'!I40*('V06 Calend 01'!E40-1))),'V06 Calend 01'!I40),0))+IF((42='V06 Calend 01'!D40),'V06 Calend 01'!J40,0))</f>
        <v>0</v>
      </c>
      <c r="BC40" s="2">
        <f>((IF((43='V06 Calend 01'!C40),('V06 Calend 01'!F40+'V06 Calend 01'!G40),0)+IF(AND(('V06 Calend 01'!E40&gt;0),(43&gt;'V06 Calend 01'!C40),(43&lt;'V06 Calend 01'!D40),(MOD((43-'V06 Calend 01'!C40),6)=0),(((43-'V06 Calend 01'!C40)/6)&lt;='V06 Calend 01'!E40)),IF((43=('V06 Calend 01'!C40+(6*'V06 Calend 01'!E40))),('V06 Calend 01'!H40-('V06 Calend 01'!I40*('V06 Calend 01'!E40-1))),'V06 Calend 01'!I40),0))+IF((43='V06 Calend 01'!D40),'V06 Calend 01'!J40,0))</f>
        <v>0</v>
      </c>
      <c r="BD40" s="2">
        <f>((IF((44='V06 Calend 01'!C40),('V06 Calend 01'!F40+'V06 Calend 01'!G40),0)+IF(AND(('V06 Calend 01'!E40&gt;0),(44&gt;'V06 Calend 01'!C40),(44&lt;'V06 Calend 01'!D40),(MOD((44-'V06 Calend 01'!C40),6)=0),(((44-'V06 Calend 01'!C40)/6)&lt;='V06 Calend 01'!E40)),IF((44=('V06 Calend 01'!C40+(6*'V06 Calend 01'!E40))),('V06 Calend 01'!H40-('V06 Calend 01'!I40*('V06 Calend 01'!E40-1))),'V06 Calend 01'!I40),0))+IF((44='V06 Calend 01'!D40),'V06 Calend 01'!J40,0))</f>
        <v>0</v>
      </c>
      <c r="BE40" s="2">
        <f>((IF((45='V06 Calend 01'!C40),('V06 Calend 01'!F40+'V06 Calend 01'!G40),0)+IF(AND(('V06 Calend 01'!E40&gt;0),(45&gt;'V06 Calend 01'!C40),(45&lt;'V06 Calend 01'!D40),(MOD((45-'V06 Calend 01'!C40),6)=0),(((45-'V06 Calend 01'!C40)/6)&lt;='V06 Calend 01'!E40)),IF((45=('V06 Calend 01'!C40+(6*'V06 Calend 01'!E40))),('V06 Calend 01'!H40-('V06 Calend 01'!I40*('V06 Calend 01'!E40-1))),'V06 Calend 01'!I40),0))+IF((45='V06 Calend 01'!D40),'V06 Calend 01'!J40,0))</f>
        <v>0</v>
      </c>
      <c r="BF40" s="2">
        <f>((IF((46='V06 Calend 01'!C40),('V06 Calend 01'!F40+'V06 Calend 01'!G40),0)+IF(AND(('V06 Calend 01'!E40&gt;0),(46&gt;'V06 Calend 01'!C40),(46&lt;'V06 Calend 01'!D40),(MOD((46-'V06 Calend 01'!C40),6)=0),(((46-'V06 Calend 01'!C40)/6)&lt;='V06 Calend 01'!E40)),IF((46=('V06 Calend 01'!C40+(6*'V06 Calend 01'!E40))),('V06 Calend 01'!H40-('V06 Calend 01'!I40*('V06 Calend 01'!E40-1))),'V06 Calend 01'!I40),0))+IF((46='V06 Calend 01'!D40),'V06 Calend 01'!J40,0))</f>
        <v>0</v>
      </c>
      <c r="BG40" s="2">
        <f>((IF((47='V06 Calend 01'!C40),('V06 Calend 01'!F40+'V06 Calend 01'!G40),0)+IF(AND(('V06 Calend 01'!E40&gt;0),(47&gt;'V06 Calend 01'!C40),(47&lt;'V06 Calend 01'!D40),(MOD((47-'V06 Calend 01'!C40),6)=0),(((47-'V06 Calend 01'!C40)/6)&lt;='V06 Calend 01'!E40)),IF((47=('V06 Calend 01'!C40+(6*'V06 Calend 01'!E40))),('V06 Calend 01'!H40-('V06 Calend 01'!I40*('V06 Calend 01'!E40-1))),'V06 Calend 01'!I40),0))+IF((47='V06 Calend 01'!D40),'V06 Calend 01'!J40,0))</f>
        <v>0</v>
      </c>
      <c r="BH40" s="2">
        <f>((IF((48='V06 Calend 01'!C40),('V06 Calend 01'!F40+'V06 Calend 01'!G40),0)+IF(AND(('V06 Calend 01'!E40&gt;0),(48&gt;'V06 Calend 01'!C40),(48&lt;'V06 Calend 01'!D40),(MOD((48-'V06 Calend 01'!C40),6)=0),(((48-'V06 Calend 01'!C40)/6)&lt;='V06 Calend 01'!E40)),IF((48=('V06 Calend 01'!C40+(6*'V06 Calend 01'!E40))),('V06 Calend 01'!H40-('V06 Calend 01'!I40*('V06 Calend 01'!E40-1))),'V06 Calend 01'!I40),0))+IF((48='V06 Calend 01'!D40),'V06 Calend 01'!J40,0))</f>
        <v>0</v>
      </c>
      <c r="BI40" s="2">
        <f>((IF((49='V06 Calend 01'!C40),('V06 Calend 01'!F40+'V06 Calend 01'!G40),0)+IF(AND(('V06 Calend 01'!E40&gt;0),(49&gt;'V06 Calend 01'!C40),(49&lt;'V06 Calend 01'!D40),(MOD((49-'V06 Calend 01'!C40),6)=0),(((49-'V06 Calend 01'!C40)/6)&lt;='V06 Calend 01'!E40)),IF((49=('V06 Calend 01'!C40+(6*'V06 Calend 01'!E40))),('V06 Calend 01'!H40-('V06 Calend 01'!I40*('V06 Calend 01'!E40-1))),'V06 Calend 01'!I40),0))+IF((49='V06 Calend 01'!D40),'V06 Calend 01'!J40,0))</f>
        <v>0</v>
      </c>
      <c r="BJ40" s="2">
        <f>((IF((50='V06 Calend 01'!C40),('V06 Calend 01'!F40+'V06 Calend 01'!G40),0)+IF(AND(('V06 Calend 01'!E40&gt;0),(50&gt;'V06 Calend 01'!C40),(50&lt;'V06 Calend 01'!D40),(MOD((50-'V06 Calend 01'!C40),6)=0),(((50-'V06 Calend 01'!C40)/6)&lt;='V06 Calend 01'!E40)),IF((50=('V06 Calend 01'!C40+(6*'V06 Calend 01'!E40))),('V06 Calend 01'!H40-('V06 Calend 01'!I40*('V06 Calend 01'!E40-1))),'V06 Calend 01'!I40),0))+IF((50='V06 Calend 01'!D40),'V06 Calend 01'!J40,0))</f>
        <v>0</v>
      </c>
      <c r="BK40" s="2">
        <f>((IF((51='V06 Calend 01'!C40),('V06 Calend 01'!F40+'V06 Calend 01'!G40),0)+IF(AND(('V06 Calend 01'!E40&gt;0),(51&gt;'V06 Calend 01'!C40),(51&lt;'V06 Calend 01'!D40),(MOD((51-'V06 Calend 01'!C40),6)=0),(((51-'V06 Calend 01'!C40)/6)&lt;='V06 Calend 01'!E40)),IF((51=('V06 Calend 01'!C40+(6*'V06 Calend 01'!E40))),('V06 Calend 01'!H40-('V06 Calend 01'!I40*('V06 Calend 01'!E40-1))),'V06 Calend 01'!I40),0))+IF((51='V06 Calend 01'!D40),'V06 Calend 01'!J40,0))</f>
        <v>0</v>
      </c>
      <c r="BL40" s="2">
        <f>((IF((52='V06 Calend 01'!C40),('V06 Calend 01'!F40+'V06 Calend 01'!G40),0)+IF(AND(('V06 Calend 01'!E40&gt;0),(52&gt;'V06 Calend 01'!C40),(52&lt;'V06 Calend 01'!D40),(MOD((52-'V06 Calend 01'!C40),6)=0),(((52-'V06 Calend 01'!C40)/6)&lt;='V06 Calend 01'!E40)),IF((52=('V06 Calend 01'!C40+(6*'V06 Calend 01'!E40))),('V06 Calend 01'!H40-('V06 Calend 01'!I40*('V06 Calend 01'!E40-1))),'V06 Calend 01'!I40),0))+IF((52='V06 Calend 01'!D40),'V06 Calend 01'!J40,0))</f>
        <v>0</v>
      </c>
      <c r="BM40" s="2">
        <f>((IF((53='V06 Calend 01'!C40),('V06 Calend 01'!F40+'V06 Calend 01'!G40),0)+IF(AND(('V06 Calend 01'!E40&gt;0),(53&gt;'V06 Calend 01'!C40),(53&lt;'V06 Calend 01'!D40),(MOD((53-'V06 Calend 01'!C40),6)=0),(((53-'V06 Calend 01'!C40)/6)&lt;='V06 Calend 01'!E40)),IF((53=('V06 Calend 01'!C40+(6*'V06 Calend 01'!E40))),('V06 Calend 01'!H40-('V06 Calend 01'!I40*('V06 Calend 01'!E40-1))),'V06 Calend 01'!I40),0))+IF((53='V06 Calend 01'!D40),'V06 Calend 01'!J40,0))</f>
        <v>0</v>
      </c>
      <c r="BN40" s="2">
        <f>((IF((54='V06 Calend 01'!C40),('V06 Calend 01'!F40+'V06 Calend 01'!G40),0)+IF(AND(('V06 Calend 01'!E40&gt;0),(54&gt;'V06 Calend 01'!C40),(54&lt;'V06 Calend 01'!D40),(MOD((54-'V06 Calend 01'!C40),6)=0),(((54-'V06 Calend 01'!C40)/6)&lt;='V06 Calend 01'!E40)),IF((54=('V06 Calend 01'!C40+(6*'V06 Calend 01'!E40))),('V06 Calend 01'!H40-('V06 Calend 01'!I40*('V06 Calend 01'!E40-1))),'V06 Calend 01'!I40),0))+IF((54='V06 Calend 01'!D40),'V06 Calend 01'!J40,0))</f>
        <v>0</v>
      </c>
      <c r="BO40" s="2">
        <f>((IF((55='V06 Calend 01'!C40),('V06 Calend 01'!F40+'V06 Calend 01'!G40),0)+IF(AND(('V06 Calend 01'!E40&gt;0),(55&gt;'V06 Calend 01'!C40),(55&lt;'V06 Calend 01'!D40),(MOD((55-'V06 Calend 01'!C40),6)=0),(((55-'V06 Calend 01'!C40)/6)&lt;='V06 Calend 01'!E40)),IF((55=('V06 Calend 01'!C40+(6*'V06 Calend 01'!E40))),('V06 Calend 01'!H40-('V06 Calend 01'!I40*('V06 Calend 01'!E40-1))),'V06 Calend 01'!I40),0))+IF((55='V06 Calend 01'!D40),'V06 Calend 01'!J40,0))</f>
        <v>0</v>
      </c>
      <c r="BP40" s="2">
        <f>((IF((56='V06 Calend 01'!C40),('V06 Calend 01'!F40+'V06 Calend 01'!G40),0)+IF(AND(('V06 Calend 01'!E40&gt;0),(56&gt;'V06 Calend 01'!C40),(56&lt;'V06 Calend 01'!D40),(MOD((56-'V06 Calend 01'!C40),6)=0),(((56-'V06 Calend 01'!C40)/6)&lt;='V06 Calend 01'!E40)),IF((56=('V06 Calend 01'!C40+(6*'V06 Calend 01'!E40))),('V06 Calend 01'!H40-('V06 Calend 01'!I40*('V06 Calend 01'!E40-1))),'V06 Calend 01'!I40),0))+IF((56='V06 Calend 01'!D40),'V06 Calend 01'!J40,0))</f>
        <v>0</v>
      </c>
      <c r="BQ40" s="2">
        <f>((IF((57='V06 Calend 01'!C40),('V06 Calend 01'!F40+'V06 Calend 01'!G40),0)+IF(AND(('V06 Calend 01'!E40&gt;0),(57&gt;'V06 Calend 01'!C40),(57&lt;'V06 Calend 01'!D40),(MOD((57-'V06 Calend 01'!C40),6)=0),(((57-'V06 Calend 01'!C40)/6)&lt;='V06 Calend 01'!E40)),IF((57=('V06 Calend 01'!C40+(6*'V06 Calend 01'!E40))),('V06 Calend 01'!H40-('V06 Calend 01'!I40*('V06 Calend 01'!E40-1))),'V06 Calend 01'!I40),0))+IF((57='V06 Calend 01'!D40),'V06 Calend 01'!J40,0))</f>
        <v>0</v>
      </c>
      <c r="BR40" s="2">
        <f>((IF((58='V06 Calend 01'!C40),('V06 Calend 01'!F40+'V06 Calend 01'!G40),0)+IF(AND(('V06 Calend 01'!E40&gt;0),(58&gt;'V06 Calend 01'!C40),(58&lt;'V06 Calend 01'!D40),(MOD((58-'V06 Calend 01'!C40),6)=0),(((58-'V06 Calend 01'!C40)/6)&lt;='V06 Calend 01'!E40)),IF((58=('V06 Calend 01'!C40+(6*'V06 Calend 01'!E40))),('V06 Calend 01'!H40-('V06 Calend 01'!I40*('V06 Calend 01'!E40-1))),'V06 Calend 01'!I40),0))+IF((58='V06 Calend 01'!D40),'V06 Calend 01'!J40,0))</f>
        <v>0</v>
      </c>
      <c r="BS40" s="2">
        <f>((IF((59='V06 Calend 01'!C40),('V06 Calend 01'!F40+'V06 Calend 01'!G40),0)+IF(AND(('V06 Calend 01'!E40&gt;0),(59&gt;'V06 Calend 01'!C40),(59&lt;'V06 Calend 01'!D40),(MOD((59-'V06 Calend 01'!C40),6)=0),(((59-'V06 Calend 01'!C40)/6)&lt;='V06 Calend 01'!E40)),IF((59=('V06 Calend 01'!C40+(6*'V06 Calend 01'!E40))),('V06 Calend 01'!H40-('V06 Calend 01'!I40*('V06 Calend 01'!E40-1))),'V06 Calend 01'!I40),0))+IF((59='V06 Calend 01'!D40),'V06 Calend 01'!J40,0))</f>
        <v>0</v>
      </c>
      <c r="BT40" s="2">
        <f>((IF((60='V06 Calend 01'!C40),('V06 Calend 01'!F40+'V06 Calend 01'!G40),0)+IF(AND(('V06 Calend 01'!E40&gt;0),(60&gt;'V06 Calend 01'!C40),(60&lt;'V06 Calend 01'!D40),(MOD((60-'V06 Calend 01'!C40),6)=0),(((60-'V06 Calend 01'!C40)/6)&lt;='V06 Calend 01'!E40)),IF((60=('V06 Calend 01'!C40+(6*'V06 Calend 01'!E40))),('V06 Calend 01'!H40-('V06 Calend 01'!I40*('V06 Calend 01'!E40-1))),'V06 Calend 01'!I40),0))+IF((60='V06 Calend 01'!D40),'V06 Calend 01'!J40,0))</f>
        <v>0</v>
      </c>
      <c r="BU40" s="2">
        <f>((IF((61='V06 Calend 01'!C40),('V06 Calend 01'!F40+'V06 Calend 01'!G40),0)+IF(AND(('V06 Calend 01'!E40&gt;0),(61&gt;'V06 Calend 01'!C40),(61&lt;'V06 Calend 01'!D40),(MOD((61-'V06 Calend 01'!C40),6)=0),(((61-'V06 Calend 01'!C40)/6)&lt;='V06 Calend 01'!E40)),IF((61=('V06 Calend 01'!C40+(6*'V06 Calend 01'!E40))),('V06 Calend 01'!H40-('V06 Calend 01'!I40*('V06 Calend 01'!E40-1))),'V06 Calend 01'!I40),0))+IF((61='V06 Calend 01'!D40),'V06 Calend 01'!J40,0))</f>
        <v>0</v>
      </c>
      <c r="BV40" s="2">
        <f>((IF((62='V06 Calend 01'!C40),('V06 Calend 01'!F40+'V06 Calend 01'!G40),0)+IF(AND(('V06 Calend 01'!E40&gt;0),(62&gt;'V06 Calend 01'!C40),(62&lt;'V06 Calend 01'!D40),(MOD((62-'V06 Calend 01'!C40),6)=0),(((62-'V06 Calend 01'!C40)/6)&lt;='V06 Calend 01'!E40)),IF((62=('V06 Calend 01'!C40+(6*'V06 Calend 01'!E40))),('V06 Calend 01'!H40-('V06 Calend 01'!I40*('V06 Calend 01'!E40-1))),'V06 Calend 01'!I40),0))+IF((62='V06 Calend 01'!D40),'V06 Calend 01'!J40,0))</f>
        <v>0</v>
      </c>
      <c r="BW40" s="2">
        <f>((IF((63='V06 Calend 01'!C40),('V06 Calend 01'!F40+'V06 Calend 01'!G40),0)+IF(AND(('V06 Calend 01'!E40&gt;0),(63&gt;'V06 Calend 01'!C40),(63&lt;'V06 Calend 01'!D40),(MOD((63-'V06 Calend 01'!C40),6)=0),(((63-'V06 Calend 01'!C40)/6)&lt;='V06 Calend 01'!E40)),IF((63=('V06 Calend 01'!C40+(6*'V06 Calend 01'!E40))),('V06 Calend 01'!H40-('V06 Calend 01'!I40*('V06 Calend 01'!E40-1))),'V06 Calend 01'!I40),0))+IF((63='V06 Calend 01'!D40),'V06 Calend 01'!J40,0))</f>
        <v>0</v>
      </c>
      <c r="BX40" s="2">
        <f>((IF((64='V06 Calend 01'!C40),('V06 Calend 01'!F40+'V06 Calend 01'!G40),0)+IF(AND(('V06 Calend 01'!E40&gt;0),(64&gt;'V06 Calend 01'!C40),(64&lt;'V06 Calend 01'!D40),(MOD((64-'V06 Calend 01'!C40),6)=0),(((64-'V06 Calend 01'!C40)/6)&lt;='V06 Calend 01'!E40)),IF((64=('V06 Calend 01'!C40+(6*'V06 Calend 01'!E40))),('V06 Calend 01'!H40-('V06 Calend 01'!I40*('V06 Calend 01'!E40-1))),'V06 Calend 01'!I40),0))+IF((64='V06 Calend 01'!D40),'V06 Calend 01'!J40,0))</f>
        <v>0</v>
      </c>
      <c r="BY40" s="2">
        <f>((IF((65='V06 Calend 01'!C40),('V06 Calend 01'!F40+'V06 Calend 01'!G40),0)+IF(AND(('V06 Calend 01'!E40&gt;0),(65&gt;'V06 Calend 01'!C40),(65&lt;'V06 Calend 01'!D40),(MOD((65-'V06 Calend 01'!C40),6)=0),(((65-'V06 Calend 01'!C40)/6)&lt;='V06 Calend 01'!E40)),IF((65=('V06 Calend 01'!C40+(6*'V06 Calend 01'!E40))),('V06 Calend 01'!H40-('V06 Calend 01'!I40*('V06 Calend 01'!E40-1))),'V06 Calend 01'!I40),0))+IF((65='V06 Calend 01'!D40),'V06 Calend 01'!J40,0))</f>
        <v>0</v>
      </c>
      <c r="BZ40" s="2">
        <f>((IF((66='V06 Calend 01'!C40),('V06 Calend 01'!F40+'V06 Calend 01'!G40),0)+IF(AND(('V06 Calend 01'!E40&gt;0),(66&gt;'V06 Calend 01'!C40),(66&lt;'V06 Calend 01'!D40),(MOD((66-'V06 Calend 01'!C40),6)=0),(((66-'V06 Calend 01'!C40)/6)&lt;='V06 Calend 01'!E40)),IF((66=('V06 Calend 01'!C40+(6*'V06 Calend 01'!E40))),('V06 Calend 01'!H40-('V06 Calend 01'!I40*('V06 Calend 01'!E40-1))),'V06 Calend 01'!I40),0))+IF((66='V06 Calend 01'!D40),'V06 Calend 01'!J40,0))</f>
        <v>0</v>
      </c>
      <c r="CA40" s="2">
        <f>((IF((67='V06 Calend 01'!C40),('V06 Calend 01'!F40+'V06 Calend 01'!G40),0)+IF(AND(('V06 Calend 01'!E40&gt;0),(67&gt;'V06 Calend 01'!C40),(67&lt;'V06 Calend 01'!D40),(MOD((67-'V06 Calend 01'!C40),6)=0),(((67-'V06 Calend 01'!C40)/6)&lt;='V06 Calend 01'!E40)),IF((67=('V06 Calend 01'!C40+(6*'V06 Calend 01'!E40))),('V06 Calend 01'!H40-('V06 Calend 01'!I40*('V06 Calend 01'!E40-1))),'V06 Calend 01'!I40),0))+IF((67='V06 Calend 01'!D40),'V06 Calend 01'!J40,0))</f>
        <v>0</v>
      </c>
      <c r="CB40" s="2">
        <f>((IF((68='V06 Calend 01'!C40),('V06 Calend 01'!F40+'V06 Calend 01'!G40),0)+IF(AND(('V06 Calend 01'!E40&gt;0),(68&gt;'V06 Calend 01'!C40),(68&lt;'V06 Calend 01'!D40),(MOD((68-'V06 Calend 01'!C40),6)=0),(((68-'V06 Calend 01'!C40)/6)&lt;='V06 Calend 01'!E40)),IF((68=('V06 Calend 01'!C40+(6*'V06 Calend 01'!E40))),('V06 Calend 01'!H40-('V06 Calend 01'!I40*('V06 Calend 01'!E40-1))),'V06 Calend 01'!I40),0))+IF((68='V06 Calend 01'!D40),'V06 Calend 01'!J40,0))</f>
        <v>0</v>
      </c>
      <c r="CC40" s="2">
        <f>((IF((69='V06 Calend 01'!C40),('V06 Calend 01'!F40+'V06 Calend 01'!G40),0)+IF(AND(('V06 Calend 01'!E40&gt;0),(69&gt;'V06 Calend 01'!C40),(69&lt;'V06 Calend 01'!D40),(MOD((69-'V06 Calend 01'!C40),6)=0),(((69-'V06 Calend 01'!C40)/6)&lt;='V06 Calend 01'!E40)),IF((69=('V06 Calend 01'!C40+(6*'V06 Calend 01'!E40))),('V06 Calend 01'!H40-('V06 Calend 01'!I40*('V06 Calend 01'!E40-1))),'V06 Calend 01'!I40),0))+IF((69='V06 Calend 01'!D40),'V06 Calend 01'!J40,0))</f>
        <v>0</v>
      </c>
      <c r="CD40" s="2">
        <f>((IF((70='V06 Calend 01'!C40),('V06 Calend 01'!F40+'V06 Calend 01'!G40),0)+IF(AND(('V06 Calend 01'!E40&gt;0),(70&gt;'V06 Calend 01'!C40),(70&lt;'V06 Calend 01'!D40),(MOD((70-'V06 Calend 01'!C40),6)=0),(((70-'V06 Calend 01'!C40)/6)&lt;='V06 Calend 01'!E40)),IF((70=('V06 Calend 01'!C40+(6*'V06 Calend 01'!E40))),('V06 Calend 01'!H40-('V06 Calend 01'!I40*('V06 Calend 01'!E40-1))),'V06 Calend 01'!I40),0))+IF((70='V06 Calend 01'!D40),'V06 Calend 01'!J40,0))</f>
        <v>0</v>
      </c>
      <c r="CE40" s="2">
        <f>((IF((71='V06 Calend 01'!C40),('V06 Calend 01'!F40+'V06 Calend 01'!G40),0)+IF(AND(('V06 Calend 01'!E40&gt;0),(71&gt;'V06 Calend 01'!C40),(71&lt;'V06 Calend 01'!D40),(MOD((71-'V06 Calend 01'!C40),6)=0),(((71-'V06 Calend 01'!C40)/6)&lt;='V06 Calend 01'!E40)),IF((71=('V06 Calend 01'!C40+(6*'V06 Calend 01'!E40))),('V06 Calend 01'!H40-('V06 Calend 01'!I40*('V06 Calend 01'!E40-1))),'V06 Calend 01'!I40),0))+IF((71='V06 Calend 01'!D40),'V06 Calend 01'!J40,0))</f>
        <v>0</v>
      </c>
      <c r="CF40" s="2">
        <f>((IF((72='V06 Calend 01'!C40),('V06 Calend 01'!F40+'V06 Calend 01'!G40),0)+IF(AND(('V06 Calend 01'!E40&gt;0),(72&gt;'V06 Calend 01'!C40),(72&lt;'V06 Calend 01'!D40),(MOD((72-'V06 Calend 01'!C40),6)=0),(((72-'V06 Calend 01'!C40)/6)&lt;='V06 Calend 01'!E40)),IF((72=('V06 Calend 01'!C40+(6*'V06 Calend 01'!E40))),('V06 Calend 01'!H40-('V06 Calend 01'!I40*('V06 Calend 01'!E40-1))),'V06 Calend 01'!I40),0))+IF((72='V06 Calend 01'!D40),'V06 Calend 01'!J40,0))</f>
        <v>0</v>
      </c>
      <c r="CG40" s="2">
        <f>((IF((73='V06 Calend 01'!C40),('V06 Calend 01'!F40+'V06 Calend 01'!G40),0)+IF(AND(('V06 Calend 01'!E40&gt;0),(73&gt;'V06 Calend 01'!C40),(73&lt;'V06 Calend 01'!D40),(MOD((73-'V06 Calend 01'!C40),6)=0),(((73-'V06 Calend 01'!C40)/6)&lt;='V06 Calend 01'!E40)),IF((73=('V06 Calend 01'!C40+(6*'V06 Calend 01'!E40))),('V06 Calend 01'!H40-('V06 Calend 01'!I40*('V06 Calend 01'!E40-1))),'V06 Calend 01'!I40),0))+IF((73='V06 Calend 01'!D40),'V06 Calend 01'!J40,0))</f>
        <v>0</v>
      </c>
      <c r="CH40" s="2">
        <f>((IF((74='V06 Calend 01'!C40),('V06 Calend 01'!F40+'V06 Calend 01'!G40),0)+IF(AND(('V06 Calend 01'!E40&gt;0),(74&gt;'V06 Calend 01'!C40),(74&lt;'V06 Calend 01'!D40),(MOD((74-'V06 Calend 01'!C40),6)=0),(((74-'V06 Calend 01'!C40)/6)&lt;='V06 Calend 01'!E40)),IF((74=('V06 Calend 01'!C40+(6*'V06 Calend 01'!E40))),('V06 Calend 01'!H40-('V06 Calend 01'!I40*('V06 Calend 01'!E40-1))),'V06 Calend 01'!I40),0))+IF((74='V06 Calend 01'!D40),'V06 Calend 01'!J40,0))</f>
        <v>0</v>
      </c>
      <c r="CI40" s="2">
        <f>((IF((75='V06 Calend 01'!C40),('V06 Calend 01'!F40+'V06 Calend 01'!G40),0)+IF(AND(('V06 Calend 01'!E40&gt;0),(75&gt;'V06 Calend 01'!C40),(75&lt;'V06 Calend 01'!D40),(MOD((75-'V06 Calend 01'!C40),6)=0),(((75-'V06 Calend 01'!C40)/6)&lt;='V06 Calend 01'!E40)),IF((75=('V06 Calend 01'!C40+(6*'V06 Calend 01'!E40))),('V06 Calend 01'!H40-('V06 Calend 01'!I40*('V06 Calend 01'!E40-1))),'V06 Calend 01'!I40),0))+IF((75='V06 Calend 01'!D40),'V06 Calend 01'!J40,0))</f>
        <v>0</v>
      </c>
      <c r="CJ40" s="2">
        <f>((IF((76='V06 Calend 01'!C40),('V06 Calend 01'!F40+'V06 Calend 01'!G40),0)+IF(AND(('V06 Calend 01'!E40&gt;0),(76&gt;'V06 Calend 01'!C40),(76&lt;'V06 Calend 01'!D40),(MOD((76-'V06 Calend 01'!C40),6)=0),(((76-'V06 Calend 01'!C40)/6)&lt;='V06 Calend 01'!E40)),IF((76=('V06 Calend 01'!C40+(6*'V06 Calend 01'!E40))),('V06 Calend 01'!H40-('V06 Calend 01'!I40*('V06 Calend 01'!E40-1))),'V06 Calend 01'!I40),0))+IF((76='V06 Calend 01'!D40),'V06 Calend 01'!J40,0))</f>
        <v>0</v>
      </c>
      <c r="CK40" s="2">
        <f>((IF((77='V06 Calend 01'!C40),('V06 Calend 01'!F40+'V06 Calend 01'!G40),0)+IF(AND(('V06 Calend 01'!E40&gt;0),(77&gt;'V06 Calend 01'!C40),(77&lt;'V06 Calend 01'!D40),(MOD((77-'V06 Calend 01'!C40),6)=0),(((77-'V06 Calend 01'!C40)/6)&lt;='V06 Calend 01'!E40)),IF((77=('V06 Calend 01'!C40+(6*'V06 Calend 01'!E40))),('V06 Calend 01'!H40-('V06 Calend 01'!I40*('V06 Calend 01'!E40-1))),'V06 Calend 01'!I40),0))+IF((77='V06 Calend 01'!D40),'V06 Calend 01'!J40,0))</f>
        <v>0</v>
      </c>
      <c r="CL40" s="2">
        <f>((IF((78='V06 Calend 01'!C40),('V06 Calend 01'!F40+'V06 Calend 01'!G40),0)+IF(AND(('V06 Calend 01'!E40&gt;0),(78&gt;'V06 Calend 01'!C40),(78&lt;'V06 Calend 01'!D40),(MOD((78-'V06 Calend 01'!C40),6)=0),(((78-'V06 Calend 01'!C40)/6)&lt;='V06 Calend 01'!E40)),IF((78=('V06 Calend 01'!C40+(6*'V06 Calend 01'!E40))),('V06 Calend 01'!H40-('V06 Calend 01'!I40*('V06 Calend 01'!E40-1))),'V06 Calend 01'!I40),0))+IF((78='V06 Calend 01'!D40),'V06 Calend 01'!J40,0))</f>
        <v>0</v>
      </c>
      <c r="CM40" s="2">
        <f>((IF((79='V06 Calend 01'!C40),('V06 Calend 01'!F40+'V06 Calend 01'!G40),0)+IF(AND(('V06 Calend 01'!E40&gt;0),(79&gt;'V06 Calend 01'!C40),(79&lt;'V06 Calend 01'!D40),(MOD((79-'V06 Calend 01'!C40),6)=0),(((79-'V06 Calend 01'!C40)/6)&lt;='V06 Calend 01'!E40)),IF((79=('V06 Calend 01'!C40+(6*'V06 Calend 01'!E40))),('V06 Calend 01'!H40-('V06 Calend 01'!I40*('V06 Calend 01'!E40-1))),'V06 Calend 01'!I40),0))+IF((79='V06 Calend 01'!D40),'V06 Calend 01'!J40,0))</f>
        <v>0</v>
      </c>
      <c r="CN40" s="2">
        <f>((IF((80='V06 Calend 01'!C40),('V06 Calend 01'!F40+'V06 Calend 01'!G40),0)+IF(AND(('V06 Calend 01'!E40&gt;0),(80&gt;'V06 Calend 01'!C40),(80&lt;'V06 Calend 01'!D40),(MOD((80-'V06 Calend 01'!C40),6)=0),(((80-'V06 Calend 01'!C40)/6)&lt;='V06 Calend 01'!E40)),IF((80=('V06 Calend 01'!C40+(6*'V06 Calend 01'!E40))),('V06 Calend 01'!H40-('V06 Calend 01'!I40*('V06 Calend 01'!E40-1))),'V06 Calend 01'!I40),0))+IF((80='V06 Calend 01'!D40),'V06 Calend 01'!J40,0))</f>
        <v>0</v>
      </c>
      <c r="CO40" s="2">
        <f>((IF((81='V06 Calend 01'!C40),('V06 Calend 01'!F40+'V06 Calend 01'!G40),0)+IF(AND(('V06 Calend 01'!E40&gt;0),(81&gt;'V06 Calend 01'!C40),(81&lt;'V06 Calend 01'!D40),(MOD((81-'V06 Calend 01'!C40),6)=0),(((81-'V06 Calend 01'!C40)/6)&lt;='V06 Calend 01'!E40)),IF((81=('V06 Calend 01'!C40+(6*'V06 Calend 01'!E40))),('V06 Calend 01'!H40-('V06 Calend 01'!I40*('V06 Calend 01'!E40-1))),'V06 Calend 01'!I40),0))+IF((81='V06 Calend 01'!D40),'V06 Calend 01'!J40,0))</f>
        <v>0</v>
      </c>
      <c r="CP40" s="2">
        <f>((IF((82='V06 Calend 01'!C40),('V06 Calend 01'!F40+'V06 Calend 01'!G40),0)+IF(AND(('V06 Calend 01'!E40&gt;0),(82&gt;'V06 Calend 01'!C40),(82&lt;'V06 Calend 01'!D40),(MOD((82-'V06 Calend 01'!C40),6)=0),(((82-'V06 Calend 01'!C40)/6)&lt;='V06 Calend 01'!E40)),IF((82=('V06 Calend 01'!C40+(6*'V06 Calend 01'!E40))),('V06 Calend 01'!H40-('V06 Calend 01'!I40*('V06 Calend 01'!E40-1))),'V06 Calend 01'!I40),0))+IF((82='V06 Calend 01'!D40),'V06 Calend 01'!J40,0))</f>
        <v>0</v>
      </c>
      <c r="CQ40" s="2">
        <f>((IF((83='V06 Calend 01'!C40),('V06 Calend 01'!F40+'V06 Calend 01'!G40),0)+IF(AND(('V06 Calend 01'!E40&gt;0),(83&gt;'V06 Calend 01'!C40),(83&lt;'V06 Calend 01'!D40),(MOD((83-'V06 Calend 01'!C40),6)=0),(((83-'V06 Calend 01'!C40)/6)&lt;='V06 Calend 01'!E40)),IF((83=('V06 Calend 01'!C40+(6*'V06 Calend 01'!E40))),('V06 Calend 01'!H40-('V06 Calend 01'!I40*('V06 Calend 01'!E40-1))),'V06 Calend 01'!I40),0))+IF((83='V06 Calend 01'!D40),'V06 Calend 01'!J40,0))</f>
        <v>0</v>
      </c>
      <c r="CR40" s="2">
        <f>((IF((84='V06 Calend 01'!C40),('V06 Calend 01'!F40+'V06 Calend 01'!G40),0)+IF(AND(('V06 Calend 01'!E40&gt;0),(84&gt;'V06 Calend 01'!C40),(84&lt;'V06 Calend 01'!D40),(MOD((84-'V06 Calend 01'!C40),6)=0),(((84-'V06 Calend 01'!C40)/6)&lt;='V06 Calend 01'!E40)),IF((84=('V06 Calend 01'!C40+(6*'V06 Calend 01'!E40))),('V06 Calend 01'!H40-('V06 Calend 01'!I40*('V06 Calend 01'!E40-1))),'V06 Calend 01'!I40),0))+IF((84='V06 Calend 01'!D40),'V06 Calend 01'!J40,0))</f>
        <v>0</v>
      </c>
      <c r="CS40" s="2">
        <f>((IF((85='V06 Calend 01'!C40),('V06 Calend 01'!F40+'V06 Calend 01'!G40),0)+IF(AND(('V06 Calend 01'!E40&gt;0),(85&gt;'V06 Calend 01'!C40),(85&lt;'V06 Calend 01'!D40),(MOD((85-'V06 Calend 01'!C40),6)=0),(((85-'V06 Calend 01'!C40)/6)&lt;='V06 Calend 01'!E40)),IF((85=('V06 Calend 01'!C40+(6*'V06 Calend 01'!E40))),('V06 Calend 01'!H40-('V06 Calend 01'!I40*('V06 Calend 01'!E40-1))),'V06 Calend 01'!I40),0))+IF((85='V06 Calend 01'!D40),'V06 Calend 01'!J40,0))</f>
        <v>0</v>
      </c>
      <c r="CT40" s="2">
        <f>((IF((86='V06 Calend 01'!C40),('V06 Calend 01'!F40+'V06 Calend 01'!G40),0)+IF(AND(('V06 Calend 01'!E40&gt;0),(86&gt;'V06 Calend 01'!C40),(86&lt;'V06 Calend 01'!D40),(MOD((86-'V06 Calend 01'!C40),6)=0),(((86-'V06 Calend 01'!C40)/6)&lt;='V06 Calend 01'!E40)),IF((86=('V06 Calend 01'!C40+(6*'V06 Calend 01'!E40))),('V06 Calend 01'!H40-('V06 Calend 01'!I40*('V06 Calend 01'!E40-1))),'V06 Calend 01'!I40),0))+IF((86='V06 Calend 01'!D40),'V06 Calend 01'!J40,0))</f>
        <v>0</v>
      </c>
      <c r="CU40" s="2">
        <f>((IF((87='V06 Calend 01'!C40),('V06 Calend 01'!F40+'V06 Calend 01'!G40),0)+IF(AND(('V06 Calend 01'!E40&gt;0),(87&gt;'V06 Calend 01'!C40),(87&lt;'V06 Calend 01'!D40),(MOD((87-'V06 Calend 01'!C40),6)=0),(((87-'V06 Calend 01'!C40)/6)&lt;='V06 Calend 01'!E40)),IF((87=('V06 Calend 01'!C40+(6*'V06 Calend 01'!E40))),('V06 Calend 01'!H40-('V06 Calend 01'!I40*('V06 Calend 01'!E40-1))),'V06 Calend 01'!I40),0))+IF((87='V06 Calend 01'!D40),'V06 Calend 01'!J40,0))</f>
        <v>0</v>
      </c>
      <c r="CV40" s="2">
        <f>((IF((88='V06 Calend 01'!C40),('V06 Calend 01'!F40+'V06 Calend 01'!G40),0)+IF(AND(('V06 Calend 01'!E40&gt;0),(88&gt;'V06 Calend 01'!C40),(88&lt;'V06 Calend 01'!D40),(MOD((88-'V06 Calend 01'!C40),6)=0),(((88-'V06 Calend 01'!C40)/6)&lt;='V06 Calend 01'!E40)),IF((88=('V06 Calend 01'!C40+(6*'V06 Calend 01'!E40))),('V06 Calend 01'!H40-('V06 Calend 01'!I40*('V06 Calend 01'!E40-1))),'V06 Calend 01'!I40),0))+IF((88='V06 Calend 01'!D40),'V06 Calend 01'!J40,0))</f>
        <v>0</v>
      </c>
      <c r="CW40" s="2">
        <f>((IF((89='V06 Calend 01'!C40),('V06 Calend 01'!F40+'V06 Calend 01'!G40),0)+IF(AND(('V06 Calend 01'!E40&gt;0),(89&gt;'V06 Calend 01'!C40),(89&lt;'V06 Calend 01'!D40),(MOD((89-'V06 Calend 01'!C40),6)=0),(((89-'V06 Calend 01'!C40)/6)&lt;='V06 Calend 01'!E40)),IF((89=('V06 Calend 01'!C40+(6*'V06 Calend 01'!E40))),('V06 Calend 01'!H40-('V06 Calend 01'!I40*('V06 Calend 01'!E40-1))),'V06 Calend 01'!I40),0))+IF((89='V06 Calend 01'!D40),'V06 Calend 01'!J40,0))</f>
        <v>0</v>
      </c>
      <c r="CX40" s="2">
        <f>((IF((90='V06 Calend 01'!C40),('V06 Calend 01'!F40+'V06 Calend 01'!G40),0)+IF(AND(('V06 Calend 01'!E40&gt;0),(90&gt;'V06 Calend 01'!C40),(90&lt;'V06 Calend 01'!D40),(MOD((90-'V06 Calend 01'!C40),6)=0),(((90-'V06 Calend 01'!C40)/6)&lt;='V06 Calend 01'!E40)),IF((90=('V06 Calend 01'!C40+(6*'V06 Calend 01'!E40))),('V06 Calend 01'!H40-('V06 Calend 01'!I40*('V06 Calend 01'!E40-1))),'V06 Calend 01'!I40),0))+IF((90='V06 Calend 01'!D40),'V06 Calend 01'!J40,0))</f>
        <v>0</v>
      </c>
      <c r="CY40" s="2">
        <f>((IF((91='V06 Calend 01'!C40),('V06 Calend 01'!F40+'V06 Calend 01'!G40),0)+IF(AND(('V06 Calend 01'!E40&gt;0),(91&gt;'V06 Calend 01'!C40),(91&lt;'V06 Calend 01'!D40),(MOD((91-'V06 Calend 01'!C40),6)=0),(((91-'V06 Calend 01'!C40)/6)&lt;='V06 Calend 01'!E40)),IF((91=('V06 Calend 01'!C40+(6*'V06 Calend 01'!E40))),('V06 Calend 01'!H40-('V06 Calend 01'!I40*('V06 Calend 01'!E40-1))),'V06 Calend 01'!I40),0))+IF((91='V06 Calend 01'!D40),'V06 Calend 01'!J40,0))</f>
        <v>0</v>
      </c>
      <c r="CZ40" s="2">
        <f>((IF((92='V06 Calend 01'!C40),('V06 Calend 01'!F40+'V06 Calend 01'!G40),0)+IF(AND(('V06 Calend 01'!E40&gt;0),(92&gt;'V06 Calend 01'!C40),(92&lt;'V06 Calend 01'!D40),(MOD((92-'V06 Calend 01'!C40),6)=0),(((92-'V06 Calend 01'!C40)/6)&lt;='V06 Calend 01'!E40)),IF((92=('V06 Calend 01'!C40+(6*'V06 Calend 01'!E40))),('V06 Calend 01'!H40-('V06 Calend 01'!I40*('V06 Calend 01'!E40-1))),'V06 Calend 01'!I40),0))+IF((92='V06 Calend 01'!D40),'V06 Calend 01'!J40,0))</f>
        <v>0</v>
      </c>
      <c r="DA40" s="2">
        <f>((IF((93='V06 Calend 01'!C40),('V06 Calend 01'!F40+'V06 Calend 01'!G40),0)+IF(AND(('V06 Calend 01'!E40&gt;0),(93&gt;'V06 Calend 01'!C40),(93&lt;'V06 Calend 01'!D40),(MOD((93-'V06 Calend 01'!C40),6)=0),(((93-'V06 Calend 01'!C40)/6)&lt;='V06 Calend 01'!E40)),IF((93=('V06 Calend 01'!C40+(6*'V06 Calend 01'!E40))),('V06 Calend 01'!H40-('V06 Calend 01'!I40*('V06 Calend 01'!E40-1))),'V06 Calend 01'!I40),0))+IF((93='V06 Calend 01'!D40),'V06 Calend 01'!J40,0))</f>
        <v>0</v>
      </c>
      <c r="DB40" s="2">
        <f>((IF((94='V06 Calend 01'!C40),('V06 Calend 01'!F40+'V06 Calend 01'!G40),0)+IF(AND(('V06 Calend 01'!E40&gt;0),(94&gt;'V06 Calend 01'!C40),(94&lt;'V06 Calend 01'!D40),(MOD((94-'V06 Calend 01'!C40),6)=0),(((94-'V06 Calend 01'!C40)/6)&lt;='V06 Calend 01'!E40)),IF((94=('V06 Calend 01'!C40+(6*'V06 Calend 01'!E40))),('V06 Calend 01'!H40-('V06 Calend 01'!I40*('V06 Calend 01'!E40-1))),'V06 Calend 01'!I40),0))+IF((94='V06 Calend 01'!D40),'V06 Calend 01'!J40,0))</f>
        <v>0</v>
      </c>
      <c r="DC40" s="2">
        <f>((IF((95='V06 Calend 01'!C40),('V06 Calend 01'!F40+'V06 Calend 01'!G40),0)+IF(AND(('V06 Calend 01'!E40&gt;0),(95&gt;'V06 Calend 01'!C40),(95&lt;'V06 Calend 01'!D40),(MOD((95-'V06 Calend 01'!C40),6)=0),(((95-'V06 Calend 01'!C40)/6)&lt;='V06 Calend 01'!E40)),IF((95=('V06 Calend 01'!C40+(6*'V06 Calend 01'!E40))),('V06 Calend 01'!H40-('V06 Calend 01'!I40*('V06 Calend 01'!E40-1))),'V06 Calend 01'!I40),0))+IF((95='V06 Calend 01'!D40),'V06 Calend 01'!J40,0))</f>
        <v>0</v>
      </c>
      <c r="DD40" s="2">
        <f>((IF((96='V06 Calend 01'!C40),('V06 Calend 01'!F40+'V06 Calend 01'!G40),0)+IF(AND(('V06 Calend 01'!E40&gt;0),(96&gt;'V06 Calend 01'!C40),(96&lt;'V06 Calend 01'!D40),(MOD((96-'V06 Calend 01'!C40),6)=0),(((96-'V06 Calend 01'!C40)/6)&lt;='V06 Calend 01'!E40)),IF((96=('V06 Calend 01'!C40+(6*'V06 Calend 01'!E40))),('V06 Calend 01'!H40-('V06 Calend 01'!I40*('V06 Calend 01'!E40-1))),'V06 Calend 01'!I40),0))+IF((96='V06 Calend 01'!D40),'V06 Calend 01'!J40,0))</f>
        <v>0</v>
      </c>
      <c r="DE40" s="2">
        <f>((IF((97='V06 Calend 01'!C40),('V06 Calend 01'!F40+'V06 Calend 01'!G40),0)+IF(AND(('V06 Calend 01'!E40&gt;0),(97&gt;'V06 Calend 01'!C40),(97&lt;'V06 Calend 01'!D40),(MOD((97-'V06 Calend 01'!C40),6)=0),(((97-'V06 Calend 01'!C40)/6)&lt;='V06 Calend 01'!E40)),IF((97=('V06 Calend 01'!C40+(6*'V06 Calend 01'!E40))),('V06 Calend 01'!H40-('V06 Calend 01'!I40*('V06 Calend 01'!E40-1))),'V06 Calend 01'!I40),0))+IF((97='V06 Calend 01'!D40),'V06 Calend 01'!J40,0))</f>
        <v>0</v>
      </c>
      <c r="DF40" s="2">
        <f>((IF((98='V06 Calend 01'!C40),('V06 Calend 01'!F40+'V06 Calend 01'!G40),0)+IF(AND(('V06 Calend 01'!E40&gt;0),(98&gt;'V06 Calend 01'!C40),(98&lt;'V06 Calend 01'!D40),(MOD((98-'V06 Calend 01'!C40),6)=0),(((98-'V06 Calend 01'!C40)/6)&lt;='V06 Calend 01'!E40)),IF((98=('V06 Calend 01'!C40+(6*'V06 Calend 01'!E40))),('V06 Calend 01'!H40-('V06 Calend 01'!I40*('V06 Calend 01'!E40-1))),'V06 Calend 01'!I40),0))+IF((98='V06 Calend 01'!D40),'V06 Calend 01'!J40,0))</f>
        <v>0</v>
      </c>
      <c r="DG40" s="2">
        <f>((IF((99='V06 Calend 01'!C40),('V06 Calend 01'!F40+'V06 Calend 01'!G40),0)+IF(AND(('V06 Calend 01'!E40&gt;0),(99&gt;'V06 Calend 01'!C40),(99&lt;'V06 Calend 01'!D40),(MOD((99-'V06 Calend 01'!C40),6)=0),(((99-'V06 Calend 01'!C40)/6)&lt;='V06 Calend 01'!E40)),IF((99=('V06 Calend 01'!C40+(6*'V06 Calend 01'!E40))),('V06 Calend 01'!H40-('V06 Calend 01'!I40*('V06 Calend 01'!E40-1))),'V06 Calend 01'!I40),0))+IF((99='V06 Calend 01'!D40),'V06 Calend 01'!J40,0))</f>
        <v>0</v>
      </c>
      <c r="DH40" s="2">
        <f>((IF((100='V06 Calend 01'!C40),('V06 Calend 01'!F40+'V06 Calend 01'!G40),0)+IF(AND(('V06 Calend 01'!E40&gt;0),(100&gt;'V06 Calend 01'!C40),(100&lt;'V06 Calend 01'!D40),(MOD((100-'V06 Calend 01'!C40),6)=0),(((100-'V06 Calend 01'!C40)/6)&lt;='V06 Calend 01'!E40)),IF((100=('V06 Calend 01'!C40+(6*'V06 Calend 01'!E40))),('V06 Calend 01'!H40-('V06 Calend 01'!I40*('V06 Calend 01'!E40-1))),'V06 Calend 01'!I40),0))+IF((100='V06 Calend 01'!D40),'V06 Calend 01'!J40,0))</f>
        <v>0</v>
      </c>
      <c r="DI40" s="2">
        <f>((IF((101='V06 Calend 01'!C40),('V06 Calend 01'!F40+'V06 Calend 01'!G40),0)+IF(AND(('V06 Calend 01'!E40&gt;0),(101&gt;'V06 Calend 01'!C40),(101&lt;'V06 Calend 01'!D40),(MOD((101-'V06 Calend 01'!C40),6)=0),(((101-'V06 Calend 01'!C40)/6)&lt;='V06 Calend 01'!E40)),IF((101=('V06 Calend 01'!C40+(6*'V06 Calend 01'!E40))),('V06 Calend 01'!H40-('V06 Calend 01'!I40*('V06 Calend 01'!E40-1))),'V06 Calend 01'!I40),0))+IF((101='V06 Calend 01'!D40),'V06 Calend 01'!J40,0))</f>
        <v>0</v>
      </c>
      <c r="DJ40" s="2">
        <f>((IF((102='V06 Calend 01'!C40),('V06 Calend 01'!F40+'V06 Calend 01'!G40),0)+IF(AND(('V06 Calend 01'!E40&gt;0),(102&gt;'V06 Calend 01'!C40),(102&lt;'V06 Calend 01'!D40),(MOD((102-'V06 Calend 01'!C40),6)=0),(((102-'V06 Calend 01'!C40)/6)&lt;='V06 Calend 01'!E40)),IF((102=('V06 Calend 01'!C40+(6*'V06 Calend 01'!E40))),('V06 Calend 01'!H40-('V06 Calend 01'!I40*('V06 Calend 01'!E40-1))),'V06 Calend 01'!I40),0))+IF((102='V06 Calend 01'!D40),'V06 Calend 01'!J40,0))</f>
        <v>0</v>
      </c>
      <c r="DK40" s="2">
        <f>((IF((103='V06 Calend 01'!C40),('V06 Calend 01'!F40+'V06 Calend 01'!G40),0)+IF(AND(('V06 Calend 01'!E40&gt;0),(103&gt;'V06 Calend 01'!C40),(103&lt;'V06 Calend 01'!D40),(MOD((103-'V06 Calend 01'!C40),6)=0),(((103-'V06 Calend 01'!C40)/6)&lt;='V06 Calend 01'!E40)),IF((103=('V06 Calend 01'!C40+(6*'V06 Calend 01'!E40))),('V06 Calend 01'!H40-('V06 Calend 01'!I40*('V06 Calend 01'!E40-1))),'V06 Calend 01'!I40),0))+IF((103='V06 Calend 01'!D40),'V06 Calend 01'!J40,0))</f>
        <v>0</v>
      </c>
      <c r="DL40" s="2">
        <f>((IF((104='V06 Calend 01'!C40),('V06 Calend 01'!F40+'V06 Calend 01'!G40),0)+IF(AND(('V06 Calend 01'!E40&gt;0),(104&gt;'V06 Calend 01'!C40),(104&lt;'V06 Calend 01'!D40),(MOD((104-'V06 Calend 01'!C40),6)=0),(((104-'V06 Calend 01'!C40)/6)&lt;='V06 Calend 01'!E40)),IF((104=('V06 Calend 01'!C40+(6*'V06 Calend 01'!E40))),('V06 Calend 01'!H40-('V06 Calend 01'!I40*('V06 Calend 01'!E40-1))),'V06 Calend 01'!I40),0))+IF((104='V06 Calend 01'!D40),'V06 Calend 01'!J40,0))</f>
        <v>0</v>
      </c>
      <c r="DM40" s="2">
        <f>((IF((105='V06 Calend 01'!C40),('V06 Calend 01'!F40+'V06 Calend 01'!G40),0)+IF(AND(('V06 Calend 01'!E40&gt;0),(105&gt;'V06 Calend 01'!C40),(105&lt;'V06 Calend 01'!D40),(MOD((105-'V06 Calend 01'!C40),6)=0),(((105-'V06 Calend 01'!C40)/6)&lt;='V06 Calend 01'!E40)),IF((105=('V06 Calend 01'!C40+(6*'V06 Calend 01'!E40))),('V06 Calend 01'!H40-('V06 Calend 01'!I40*('V06 Calend 01'!E40-1))),'V06 Calend 01'!I40),0))+IF((105='V06 Calend 01'!D40),'V06 Calend 01'!J40,0))</f>
        <v>0</v>
      </c>
      <c r="DN40" s="2">
        <f>((IF((106='V06 Calend 01'!C40),('V06 Calend 01'!F40+'V06 Calend 01'!G40),0)+IF(AND(('V06 Calend 01'!E40&gt;0),(106&gt;'V06 Calend 01'!C40),(106&lt;'V06 Calend 01'!D40),(MOD((106-'V06 Calend 01'!C40),6)=0),(((106-'V06 Calend 01'!C40)/6)&lt;='V06 Calend 01'!E40)),IF((106=('V06 Calend 01'!C40+(6*'V06 Calend 01'!E40))),('V06 Calend 01'!H40-('V06 Calend 01'!I40*('V06 Calend 01'!E40-1))),'V06 Calend 01'!I40),0))+IF((106='V06 Calend 01'!D40),'V06 Calend 01'!J40,0))</f>
        <v>0</v>
      </c>
      <c r="DO40" s="2">
        <f>((IF((107='V06 Calend 01'!C40),('V06 Calend 01'!F40+'V06 Calend 01'!G40),0)+IF(AND(('V06 Calend 01'!E40&gt;0),(107&gt;'V06 Calend 01'!C40),(107&lt;'V06 Calend 01'!D40),(MOD((107-'V06 Calend 01'!C40),6)=0),(((107-'V06 Calend 01'!C40)/6)&lt;='V06 Calend 01'!E40)),IF((107=('V06 Calend 01'!C40+(6*'V06 Calend 01'!E40))),('V06 Calend 01'!H40-('V06 Calend 01'!I40*('V06 Calend 01'!E40-1))),'V06 Calend 01'!I40),0))+IF((107='V06 Calend 01'!D40),'V06 Calend 01'!J40,0))</f>
        <v>0</v>
      </c>
      <c r="DP40" s="2">
        <f>((IF((108='V06 Calend 01'!C40),('V06 Calend 01'!F40+'V06 Calend 01'!G40),0)+IF(AND(('V06 Calend 01'!E40&gt;0),(108&gt;'V06 Calend 01'!C40),(108&lt;'V06 Calend 01'!D40),(MOD((108-'V06 Calend 01'!C40),6)=0),(((108-'V06 Calend 01'!C40)/6)&lt;='V06 Calend 01'!E40)),IF((108=('V06 Calend 01'!C40+(6*'V06 Calend 01'!E40))),('V06 Calend 01'!H40-('V06 Calend 01'!I40*('V06 Calend 01'!E40-1))),'V06 Calend 01'!I40),0))+IF((108='V06 Calend 01'!D40),'V06 Calend 01'!J40,0))</f>
        <v>0</v>
      </c>
      <c r="DQ40" s="2">
        <f>((IF((109='V06 Calend 01'!C40),('V06 Calend 01'!F40+'V06 Calend 01'!G40),0)+IF(AND(('V06 Calend 01'!E40&gt;0),(109&gt;'V06 Calend 01'!C40),(109&lt;'V06 Calend 01'!D40),(MOD((109-'V06 Calend 01'!C40),6)=0),(((109-'V06 Calend 01'!C40)/6)&lt;='V06 Calend 01'!E40)),IF((109=('V06 Calend 01'!C40+(6*'V06 Calend 01'!E40))),('V06 Calend 01'!H40-('V06 Calend 01'!I40*('V06 Calend 01'!E40-1))),'V06 Calend 01'!I40),0))+IF((109='V06 Calend 01'!D40),'V06 Calend 01'!J40,0))</f>
        <v>0</v>
      </c>
      <c r="DR40" s="2">
        <f>((IF((110='V06 Calend 01'!C40),('V06 Calend 01'!F40+'V06 Calend 01'!G40),0)+IF(AND(('V06 Calend 01'!E40&gt;0),(110&gt;'V06 Calend 01'!C40),(110&lt;'V06 Calend 01'!D40),(MOD((110-'V06 Calend 01'!C40),6)=0),(((110-'V06 Calend 01'!C40)/6)&lt;='V06 Calend 01'!E40)),IF((110=('V06 Calend 01'!C40+(6*'V06 Calend 01'!E40))),('V06 Calend 01'!H40-('V06 Calend 01'!I40*('V06 Calend 01'!E40-1))),'V06 Calend 01'!I40),0))+IF((110='V06 Calend 01'!D40),'V06 Calend 01'!J40,0))</f>
        <v>0</v>
      </c>
      <c r="DS40" s="2">
        <f>((IF((111='V06 Calend 01'!C40),('V06 Calend 01'!F40+'V06 Calend 01'!G40),0)+IF(AND(('V06 Calend 01'!E40&gt;0),(111&gt;'V06 Calend 01'!C40),(111&lt;'V06 Calend 01'!D40),(MOD((111-'V06 Calend 01'!C40),6)=0),(((111-'V06 Calend 01'!C40)/6)&lt;='V06 Calend 01'!E40)),IF((111=('V06 Calend 01'!C40+(6*'V06 Calend 01'!E40))),('V06 Calend 01'!H40-('V06 Calend 01'!I40*('V06 Calend 01'!E40-1))),'V06 Calend 01'!I40),0))+IF((111='V06 Calend 01'!D40),'V06 Calend 01'!J40,0))</f>
        <v>0</v>
      </c>
      <c r="DT40" s="2">
        <f>((IF((112='V06 Calend 01'!C40),('V06 Calend 01'!F40+'V06 Calend 01'!G40),0)+IF(AND(('V06 Calend 01'!E40&gt;0),(112&gt;'V06 Calend 01'!C40),(112&lt;'V06 Calend 01'!D40),(MOD((112-'V06 Calend 01'!C40),6)=0),(((112-'V06 Calend 01'!C40)/6)&lt;='V06 Calend 01'!E40)),IF((112=('V06 Calend 01'!C40+(6*'V06 Calend 01'!E40))),('V06 Calend 01'!H40-('V06 Calend 01'!I40*('V06 Calend 01'!E40-1))),'V06 Calend 01'!I40),0))+IF((112='V06 Calend 01'!D40),'V06 Calend 01'!J40,0))</f>
        <v>0</v>
      </c>
      <c r="DU40" s="2">
        <f>((IF((113='V06 Calend 01'!C40),('V06 Calend 01'!F40+'V06 Calend 01'!G40),0)+IF(AND(('V06 Calend 01'!E40&gt;0),(113&gt;'V06 Calend 01'!C40),(113&lt;'V06 Calend 01'!D40),(MOD((113-'V06 Calend 01'!C40),6)=0),(((113-'V06 Calend 01'!C40)/6)&lt;='V06 Calend 01'!E40)),IF((113=('V06 Calend 01'!C40+(6*'V06 Calend 01'!E40))),('V06 Calend 01'!H40-('V06 Calend 01'!I40*('V06 Calend 01'!E40-1))),'V06 Calend 01'!I40),0))+IF((113='V06 Calend 01'!D40),'V06 Calend 01'!J40,0))</f>
        <v>0</v>
      </c>
      <c r="DV40" s="2">
        <f>((IF((114='V06 Calend 01'!C40),('V06 Calend 01'!F40+'V06 Calend 01'!G40),0)+IF(AND(('V06 Calend 01'!E40&gt;0),(114&gt;'V06 Calend 01'!C40),(114&lt;'V06 Calend 01'!D40),(MOD((114-'V06 Calend 01'!C40),6)=0),(((114-'V06 Calend 01'!C40)/6)&lt;='V06 Calend 01'!E40)),IF((114=('V06 Calend 01'!C40+(6*'V06 Calend 01'!E40))),('V06 Calend 01'!H40-('V06 Calend 01'!I40*('V06 Calend 01'!E40-1))),'V06 Calend 01'!I40),0))+IF((114='V06 Calend 01'!D40),'V06 Calend 01'!J40,0))</f>
        <v>0</v>
      </c>
      <c r="DW40" s="2">
        <f>((IF((115='V06 Calend 01'!C40),('V06 Calend 01'!F40+'V06 Calend 01'!G40),0)+IF(AND(('V06 Calend 01'!E40&gt;0),(115&gt;'V06 Calend 01'!C40),(115&lt;'V06 Calend 01'!D40),(MOD((115-'V06 Calend 01'!C40),6)=0),(((115-'V06 Calend 01'!C40)/6)&lt;='V06 Calend 01'!E40)),IF((115=('V06 Calend 01'!C40+(6*'V06 Calend 01'!E40))),('V06 Calend 01'!H40-('V06 Calend 01'!I40*('V06 Calend 01'!E40-1))),'V06 Calend 01'!I40),0))+IF((115='V06 Calend 01'!D40),'V06 Calend 01'!J40,0))</f>
        <v>0</v>
      </c>
      <c r="DX40" s="2">
        <f>((IF((116='V06 Calend 01'!C40),('V06 Calend 01'!F40+'V06 Calend 01'!G40),0)+IF(AND(('V06 Calend 01'!E40&gt;0),(116&gt;'V06 Calend 01'!C40),(116&lt;'V06 Calend 01'!D40),(MOD((116-'V06 Calend 01'!C40),6)=0),(((116-'V06 Calend 01'!C40)/6)&lt;='V06 Calend 01'!E40)),IF((116=('V06 Calend 01'!C40+(6*'V06 Calend 01'!E40))),('V06 Calend 01'!H40-('V06 Calend 01'!I40*('V06 Calend 01'!E40-1))),'V06 Calend 01'!I40),0))+IF((116='V06 Calend 01'!D40),'V06 Calend 01'!J40,0))</f>
        <v>0</v>
      </c>
      <c r="DY40" s="2">
        <f>((IF((117='V06 Calend 01'!C40),('V06 Calend 01'!F40+'V06 Calend 01'!G40),0)+IF(AND(('V06 Calend 01'!E40&gt;0),(117&gt;'V06 Calend 01'!C40),(117&lt;'V06 Calend 01'!D40),(MOD((117-'V06 Calend 01'!C40),6)=0),(((117-'V06 Calend 01'!C40)/6)&lt;='V06 Calend 01'!E40)),IF((117=('V06 Calend 01'!C40+(6*'V06 Calend 01'!E40))),('V06 Calend 01'!H40-('V06 Calend 01'!I40*('V06 Calend 01'!E40-1))),'V06 Calend 01'!I40),0))+IF((117='V06 Calend 01'!D40),'V06 Calend 01'!J40,0))</f>
        <v>0</v>
      </c>
      <c r="DZ40" s="2">
        <f>((IF((118='V06 Calend 01'!C40),('V06 Calend 01'!F40+'V06 Calend 01'!G40),0)+IF(AND(('V06 Calend 01'!E40&gt;0),(118&gt;'V06 Calend 01'!C40),(118&lt;'V06 Calend 01'!D40),(MOD((118-'V06 Calend 01'!C40),6)=0),(((118-'V06 Calend 01'!C40)/6)&lt;='V06 Calend 01'!E40)),IF((118=('V06 Calend 01'!C40+(6*'V06 Calend 01'!E40))),('V06 Calend 01'!H40-('V06 Calend 01'!I40*('V06 Calend 01'!E40-1))),'V06 Calend 01'!I40),0))+IF((118='V06 Calend 01'!D40),'V06 Calend 01'!J40,0))</f>
        <v>0</v>
      </c>
      <c r="EA40" s="2">
        <f>((IF((119='V06 Calend 01'!C40),('V06 Calend 01'!F40+'V06 Calend 01'!G40),0)+IF(AND(('V06 Calend 01'!E40&gt;0),(119&gt;'V06 Calend 01'!C40),(119&lt;'V06 Calend 01'!D40),(MOD((119-'V06 Calend 01'!C40),6)=0),(((119-'V06 Calend 01'!C40)/6)&lt;='V06 Calend 01'!E40)),IF((119=('V06 Calend 01'!C40+(6*'V06 Calend 01'!E40))),('V06 Calend 01'!H40-('V06 Calend 01'!I40*('V06 Calend 01'!E40-1))),'V06 Calend 01'!I40),0))+IF((119='V06 Calend 01'!D40),'V06 Calend 01'!J40,0))</f>
        <v>0</v>
      </c>
      <c r="EB40" s="2">
        <f>((IF((120='V06 Calend 01'!C40),('V06 Calend 01'!F40+'V06 Calend 01'!G40),0)+IF(AND(('V06 Calend 01'!E40&gt;0),(120&gt;'V06 Calend 01'!C40),(120&lt;'V06 Calend 01'!D40),(MOD((120-'V06 Calend 01'!C40),6)=0),(((120-'V06 Calend 01'!C40)/6)&lt;='V06 Calend 01'!E40)),IF((120=('V06 Calend 01'!C40+(6*'V06 Calend 01'!E40))),('V06 Calend 01'!H40-('V06 Calend 01'!I40*('V06 Calend 01'!E40-1))),'V06 Calend 01'!I40),0))+IF((120='V06 Calend 01'!D40),'V06 Calend 01'!J40,0))</f>
        <v>0</v>
      </c>
      <c r="EC40" s="2">
        <f>((IF((121='V06 Calend 01'!C40),('V06 Calend 01'!F40+'V06 Calend 01'!G40),0)+IF(AND(('V06 Calend 01'!E40&gt;0),(121&gt;'V06 Calend 01'!C40),(121&lt;'V06 Calend 01'!D40),(MOD((121-'V06 Calend 01'!C40),6)=0),(((121-'V06 Calend 01'!C40)/6)&lt;='V06 Calend 01'!E40)),IF((121=('V06 Calend 01'!C40+(6*'V06 Calend 01'!E40))),('V06 Calend 01'!H40-('V06 Calend 01'!I40*('V06 Calend 01'!E40-1))),'V06 Calend 01'!I40),0))+IF((121='V06 Calend 01'!D40),'V06 Calend 01'!J40,0))</f>
        <v>0</v>
      </c>
      <c r="ED40" s="2">
        <f>((IF((122='V06 Calend 01'!C40),('V06 Calend 01'!F40+'V06 Calend 01'!G40),0)+IF(AND(('V06 Calend 01'!E40&gt;0),(122&gt;'V06 Calend 01'!C40),(122&lt;'V06 Calend 01'!D40),(MOD((122-'V06 Calend 01'!C40),6)=0),(((122-'V06 Calend 01'!C40)/6)&lt;='V06 Calend 01'!E40)),IF((122=('V06 Calend 01'!C40+(6*'V06 Calend 01'!E40))),('V06 Calend 01'!H40-('V06 Calend 01'!I40*('V06 Calend 01'!E40-1))),'V06 Calend 01'!I40),0))+IF((122='V06 Calend 01'!D40),'V06 Calend 01'!J40,0))</f>
        <v>0</v>
      </c>
      <c r="EE40" s="2">
        <f>((IF((123='V06 Calend 01'!C40),('V06 Calend 01'!F40+'V06 Calend 01'!G40),0)+IF(AND(('V06 Calend 01'!E40&gt;0),(123&gt;'V06 Calend 01'!C40),(123&lt;'V06 Calend 01'!D40),(MOD((123-'V06 Calend 01'!C40),6)=0),(((123-'V06 Calend 01'!C40)/6)&lt;='V06 Calend 01'!E40)),IF((123=('V06 Calend 01'!C40+(6*'V06 Calend 01'!E40))),('V06 Calend 01'!H40-('V06 Calend 01'!I40*('V06 Calend 01'!E40-1))),'V06 Calend 01'!I40),0))+IF((123='V06 Calend 01'!D40),'V06 Calend 01'!J40,0))</f>
        <v>0</v>
      </c>
      <c r="EF40" s="2">
        <f>((IF((124='V06 Calend 01'!C40),('V06 Calend 01'!F40+'V06 Calend 01'!G40),0)+IF(AND(('V06 Calend 01'!E40&gt;0),(124&gt;'V06 Calend 01'!C40),(124&lt;'V06 Calend 01'!D40),(MOD((124-'V06 Calend 01'!C40),6)=0),(((124-'V06 Calend 01'!C40)/6)&lt;='V06 Calend 01'!E40)),IF((124=('V06 Calend 01'!C40+(6*'V06 Calend 01'!E40))),('V06 Calend 01'!H40-('V06 Calend 01'!I40*('V06 Calend 01'!E40-1))),'V06 Calend 01'!I40),0))+IF((124='V06 Calend 01'!D40),'V06 Calend 01'!J40,0))</f>
        <v>0</v>
      </c>
      <c r="EG40" s="2">
        <f>((IF((125='V06 Calend 01'!C40),('V06 Calend 01'!F40+'V06 Calend 01'!G40),0)+IF(AND(('V06 Calend 01'!E40&gt;0),(125&gt;'V06 Calend 01'!C40),(125&lt;'V06 Calend 01'!D40),(MOD((125-'V06 Calend 01'!C40),6)=0),(((125-'V06 Calend 01'!C40)/6)&lt;='V06 Calend 01'!E40)),IF((125=('V06 Calend 01'!C40+(6*'V06 Calend 01'!E40))),('V06 Calend 01'!H40-('V06 Calend 01'!I40*('V06 Calend 01'!E40-1))),'V06 Calend 01'!I40),0))+IF((125='V06 Calend 01'!D40),'V06 Calend 01'!J40,0))</f>
        <v>0</v>
      </c>
      <c r="EH40" s="2">
        <f>((IF((126='V06 Calend 01'!C40),('V06 Calend 01'!F40+'V06 Calend 01'!G40),0)+IF(AND(('V06 Calend 01'!E40&gt;0),(126&gt;'V06 Calend 01'!C40),(126&lt;'V06 Calend 01'!D40),(MOD((126-'V06 Calend 01'!C40),6)=0),(((126-'V06 Calend 01'!C40)/6)&lt;='V06 Calend 01'!E40)),IF((126=('V06 Calend 01'!C40+(6*'V06 Calend 01'!E40))),('V06 Calend 01'!H40-('V06 Calend 01'!I40*('V06 Calend 01'!E40-1))),'V06 Calend 01'!I40),0))+IF((126='V06 Calend 01'!D40),'V06 Calend 01'!J40,0))</f>
        <v>0</v>
      </c>
      <c r="EI40" s="2">
        <f>((IF((127='V06 Calend 01'!C40),('V06 Calend 01'!F40+'V06 Calend 01'!G40),0)+IF(AND(('V06 Calend 01'!E40&gt;0),(127&gt;'V06 Calend 01'!C40),(127&lt;'V06 Calend 01'!D40),(MOD((127-'V06 Calend 01'!C40),6)=0),(((127-'V06 Calend 01'!C40)/6)&lt;='V06 Calend 01'!E40)),IF((127=('V06 Calend 01'!C40+(6*'V06 Calend 01'!E40))),('V06 Calend 01'!H40-('V06 Calend 01'!I40*('V06 Calend 01'!E40-1))),'V06 Calend 01'!I40),0))+IF((127='V06 Calend 01'!D40),'V06 Calend 01'!J40,0))</f>
        <v>0</v>
      </c>
      <c r="EJ40" s="2">
        <f>((IF((128='V06 Calend 01'!C40),('V06 Calend 01'!F40+'V06 Calend 01'!G40),0)+IF(AND(('V06 Calend 01'!E40&gt;0),(128&gt;'V06 Calend 01'!C40),(128&lt;'V06 Calend 01'!D40),(MOD((128-'V06 Calend 01'!C40),6)=0),(((128-'V06 Calend 01'!C40)/6)&lt;='V06 Calend 01'!E40)),IF((128=('V06 Calend 01'!C40+(6*'V06 Calend 01'!E40))),('V06 Calend 01'!H40-('V06 Calend 01'!I40*('V06 Calend 01'!E40-1))),'V06 Calend 01'!I40),0))+IF((128='V06 Calend 01'!D40),'V06 Calend 01'!J40,0))</f>
        <v>0</v>
      </c>
      <c r="EK40" s="2">
        <f>((IF((129='V06 Calend 01'!C40),('V06 Calend 01'!F40+'V06 Calend 01'!G40),0)+IF(AND(('V06 Calend 01'!E40&gt;0),(129&gt;'V06 Calend 01'!C40),(129&lt;'V06 Calend 01'!D40),(MOD((129-'V06 Calend 01'!C40),6)=0),(((129-'V06 Calend 01'!C40)/6)&lt;='V06 Calend 01'!E40)),IF((129=('V06 Calend 01'!C40+(6*'V06 Calend 01'!E40))),('V06 Calend 01'!H40-('V06 Calend 01'!I40*('V06 Calend 01'!E40-1))),'V06 Calend 01'!I40),0))+IF((129='V06 Calend 01'!D40),'V06 Calend 01'!J40,0))</f>
        <v>0</v>
      </c>
      <c r="EL40" s="2">
        <f>((IF((130='V06 Calend 01'!C40),('V06 Calend 01'!F40+'V06 Calend 01'!G40),0)+IF(AND(('V06 Calend 01'!E40&gt;0),(130&gt;'V06 Calend 01'!C40),(130&lt;'V06 Calend 01'!D40),(MOD((130-'V06 Calend 01'!C40),6)=0),(((130-'V06 Calend 01'!C40)/6)&lt;='V06 Calend 01'!E40)),IF((130=('V06 Calend 01'!C40+(6*'V06 Calend 01'!E40))),('V06 Calend 01'!H40-('V06 Calend 01'!I40*('V06 Calend 01'!E40-1))),'V06 Calend 01'!I40),0))+IF((130='V06 Calend 01'!D40),'V06 Calend 01'!J40,0))</f>
        <v>0</v>
      </c>
      <c r="EM40" s="2">
        <f>((IF((131='V06 Calend 01'!C40),('V06 Calend 01'!F40+'V06 Calend 01'!G40),0)+IF(AND(('V06 Calend 01'!E40&gt;0),(131&gt;'V06 Calend 01'!C40),(131&lt;'V06 Calend 01'!D40),(MOD((131-'V06 Calend 01'!C40),6)=0),(((131-'V06 Calend 01'!C40)/6)&lt;='V06 Calend 01'!E40)),IF((131=('V06 Calend 01'!C40+(6*'V06 Calend 01'!E40))),('V06 Calend 01'!H40-('V06 Calend 01'!I40*('V06 Calend 01'!E40-1))),'V06 Calend 01'!I40),0))+IF((131='V06 Calend 01'!D40),'V06 Calend 01'!J40,0))</f>
        <v>0</v>
      </c>
      <c r="EN40" s="2">
        <f>((IF((132='V06 Calend 01'!C40),('V06 Calend 01'!F40+'V06 Calend 01'!G40),0)+IF(AND(('V06 Calend 01'!E40&gt;0),(132&gt;'V06 Calend 01'!C40),(132&lt;'V06 Calend 01'!D40),(MOD((132-'V06 Calend 01'!C40),6)=0),(((132-'V06 Calend 01'!C40)/6)&lt;='V06 Calend 01'!E40)),IF((132=('V06 Calend 01'!C40+(6*'V06 Calend 01'!E40))),('V06 Calend 01'!H40-('V06 Calend 01'!I40*('V06 Calend 01'!E40-1))),'V06 Calend 01'!I40),0))+IF((132='V06 Calend 01'!D40),'V06 Calend 01'!J40,0))</f>
        <v>0</v>
      </c>
      <c r="EO40" s="2">
        <f>((IF((133='V06 Calend 01'!C40),('V06 Calend 01'!F40+'V06 Calend 01'!G40),0)+IF(AND(('V06 Calend 01'!E40&gt;0),(133&gt;'V06 Calend 01'!C40),(133&lt;'V06 Calend 01'!D40),(MOD((133-'V06 Calend 01'!C40),6)=0),(((133-'V06 Calend 01'!C40)/6)&lt;='V06 Calend 01'!E40)),IF((133=('V06 Calend 01'!C40+(6*'V06 Calend 01'!E40))),('V06 Calend 01'!H40-('V06 Calend 01'!I40*('V06 Calend 01'!E40-1))),'V06 Calend 01'!I40),0))+IF((133='V06 Calend 01'!D40),'V06 Calend 01'!J40,0))</f>
        <v>0</v>
      </c>
      <c r="EP40" s="2">
        <f>((IF((134='V06 Calend 01'!C40),('V06 Calend 01'!F40+'V06 Calend 01'!G40),0)+IF(AND(('V06 Calend 01'!E40&gt;0),(134&gt;'V06 Calend 01'!C40),(134&lt;'V06 Calend 01'!D40),(MOD((134-'V06 Calend 01'!C40),6)=0),(((134-'V06 Calend 01'!C40)/6)&lt;='V06 Calend 01'!E40)),IF((134=('V06 Calend 01'!C40+(6*'V06 Calend 01'!E40))),('V06 Calend 01'!H40-('V06 Calend 01'!I40*('V06 Calend 01'!E40-1))),'V06 Calend 01'!I40),0))+IF((134='V06 Calend 01'!D40),'V06 Calend 01'!J40,0))</f>
        <v>0</v>
      </c>
      <c r="EQ40" s="2">
        <f>((IF((135='V06 Calend 01'!C40),('V06 Calend 01'!F40+'V06 Calend 01'!G40),0)+IF(AND(('V06 Calend 01'!E40&gt;0),(135&gt;'V06 Calend 01'!C40),(135&lt;'V06 Calend 01'!D40),(MOD((135-'V06 Calend 01'!C40),6)=0),(((135-'V06 Calend 01'!C40)/6)&lt;='V06 Calend 01'!E40)),IF((135=('V06 Calend 01'!C40+(6*'V06 Calend 01'!E40))),('V06 Calend 01'!H40-('V06 Calend 01'!I40*('V06 Calend 01'!E40-1))),'V06 Calend 01'!I40),0))+IF((135='V06 Calend 01'!D40),'V06 Calend 01'!J40,0))</f>
        <v>0</v>
      </c>
      <c r="ER40" s="2">
        <f>((IF((136='V06 Calend 01'!C40),('V06 Calend 01'!F40+'V06 Calend 01'!G40),0)+IF(AND(('V06 Calend 01'!E40&gt;0),(136&gt;'V06 Calend 01'!C40),(136&lt;'V06 Calend 01'!D40),(MOD((136-'V06 Calend 01'!C40),6)=0),(((136-'V06 Calend 01'!C40)/6)&lt;='V06 Calend 01'!E40)),IF((136=('V06 Calend 01'!C40+(6*'V06 Calend 01'!E40))),('V06 Calend 01'!H40-('V06 Calend 01'!I40*('V06 Calend 01'!E40-1))),'V06 Calend 01'!I40),0))+IF((136='V06 Calend 01'!D40),'V06 Calend 01'!J40,0))</f>
        <v>0</v>
      </c>
      <c r="ES40" s="2">
        <f>((IF((137='V06 Calend 01'!C40),('V06 Calend 01'!F40+'V06 Calend 01'!G40),0)+IF(AND(('V06 Calend 01'!E40&gt;0),(137&gt;'V06 Calend 01'!C40),(137&lt;'V06 Calend 01'!D40),(MOD((137-'V06 Calend 01'!C40),6)=0),(((137-'V06 Calend 01'!C40)/6)&lt;='V06 Calend 01'!E40)),IF((137=('V06 Calend 01'!C40+(6*'V06 Calend 01'!E40))),('V06 Calend 01'!H40-('V06 Calend 01'!I40*('V06 Calend 01'!E40-1))),'V06 Calend 01'!I40),0))+IF((137='V06 Calend 01'!D40),'V06 Calend 01'!J40,0))</f>
        <v>0</v>
      </c>
      <c r="ET40" s="2">
        <f>((IF((138='V06 Calend 01'!C40),('V06 Calend 01'!F40+'V06 Calend 01'!G40),0)+IF(AND(('V06 Calend 01'!E40&gt;0),(138&gt;'V06 Calend 01'!C40),(138&lt;'V06 Calend 01'!D40),(MOD((138-'V06 Calend 01'!C40),6)=0),(((138-'V06 Calend 01'!C40)/6)&lt;='V06 Calend 01'!E40)),IF((138=('V06 Calend 01'!C40+(6*'V06 Calend 01'!E40))),('V06 Calend 01'!H40-('V06 Calend 01'!I40*('V06 Calend 01'!E40-1))),'V06 Calend 01'!I40),0))+IF((138='V06 Calend 01'!D40),'V06 Calend 01'!J40,0))</f>
        <v>0</v>
      </c>
      <c r="EU40" s="2">
        <f>((IF((139='V06 Calend 01'!C40),('V06 Calend 01'!F40+'V06 Calend 01'!G40),0)+IF(AND(('V06 Calend 01'!E40&gt;0),(139&gt;'V06 Calend 01'!C40),(139&lt;'V06 Calend 01'!D40),(MOD((139-'V06 Calend 01'!C40),6)=0),(((139-'V06 Calend 01'!C40)/6)&lt;='V06 Calend 01'!E40)),IF((139=('V06 Calend 01'!C40+(6*'V06 Calend 01'!E40))),('V06 Calend 01'!H40-('V06 Calend 01'!I40*('V06 Calend 01'!E40-1))),'V06 Calend 01'!I40),0))+IF((139='V06 Calend 01'!D40),'V06 Calend 01'!J40,0))</f>
        <v>0</v>
      </c>
      <c r="EV40" s="2">
        <f>((IF((140='V06 Calend 01'!C40),('V06 Calend 01'!F40+'V06 Calend 01'!G40),0)+IF(AND(('V06 Calend 01'!E40&gt;0),(140&gt;'V06 Calend 01'!C40),(140&lt;'V06 Calend 01'!D40),(MOD((140-'V06 Calend 01'!C40),6)=0),(((140-'V06 Calend 01'!C40)/6)&lt;='V06 Calend 01'!E40)),IF((140=('V06 Calend 01'!C40+(6*'V06 Calend 01'!E40))),('V06 Calend 01'!H40-('V06 Calend 01'!I40*('V06 Calend 01'!E40-1))),'V06 Calend 01'!I40),0))+IF((140='V06 Calend 01'!D40),'V06 Calend 01'!J40,0))</f>
        <v>0</v>
      </c>
      <c r="EW40" s="2">
        <f>((IF((141='V06 Calend 01'!C40),('V06 Calend 01'!F40+'V06 Calend 01'!G40),0)+IF(AND(('V06 Calend 01'!E40&gt;0),(141&gt;'V06 Calend 01'!C40),(141&lt;'V06 Calend 01'!D40),(MOD((141-'V06 Calend 01'!C40),6)=0),(((141-'V06 Calend 01'!C40)/6)&lt;='V06 Calend 01'!E40)),IF((141=('V06 Calend 01'!C40+(6*'V06 Calend 01'!E40))),('V06 Calend 01'!H40-('V06 Calend 01'!I40*('V06 Calend 01'!E40-1))),'V06 Calend 01'!I40),0))+IF((141='V06 Calend 01'!D40),'V06 Calend 01'!J40,0))</f>
        <v>0</v>
      </c>
      <c r="EX40" s="2">
        <f>((IF((142='V06 Calend 01'!C40),('V06 Calend 01'!F40+'V06 Calend 01'!G40),0)+IF(AND(('V06 Calend 01'!E40&gt;0),(142&gt;'V06 Calend 01'!C40),(142&lt;'V06 Calend 01'!D40),(MOD((142-'V06 Calend 01'!C40),6)=0),(((142-'V06 Calend 01'!C40)/6)&lt;='V06 Calend 01'!E40)),IF((142=('V06 Calend 01'!C40+(6*'V06 Calend 01'!E40))),('V06 Calend 01'!H40-('V06 Calend 01'!I40*('V06 Calend 01'!E40-1))),'V06 Calend 01'!I40),0))+IF((142='V06 Calend 01'!D40),'V06 Calend 01'!J40,0))</f>
        <v>0</v>
      </c>
      <c r="EY40" s="2">
        <f>((IF((143='V06 Calend 01'!C40),('V06 Calend 01'!F40+'V06 Calend 01'!G40),0)+IF(AND(('V06 Calend 01'!E40&gt;0),(143&gt;'V06 Calend 01'!C40),(143&lt;'V06 Calend 01'!D40),(MOD((143-'V06 Calend 01'!C40),6)=0),(((143-'V06 Calend 01'!C40)/6)&lt;='V06 Calend 01'!E40)),IF((143=('V06 Calend 01'!C40+(6*'V06 Calend 01'!E40))),('V06 Calend 01'!H40-('V06 Calend 01'!I40*('V06 Calend 01'!E40-1))),'V06 Calend 01'!I40),0))+IF((143='V06 Calend 01'!D40),'V06 Calend 01'!J40,0))</f>
        <v>0</v>
      </c>
      <c r="EZ40" s="2">
        <f>((IF((144='V06 Calend 01'!C40),('V06 Calend 01'!F40+'V06 Calend 01'!G40),0)+IF(AND(('V06 Calend 01'!E40&gt;0),(144&gt;'V06 Calend 01'!C40),(144&lt;'V06 Calend 01'!D40),(MOD((144-'V06 Calend 01'!C40),6)=0),(((144-'V06 Calend 01'!C40)/6)&lt;='V06 Calend 01'!E40)),IF((144=('V06 Calend 01'!C40+(6*'V06 Calend 01'!E40))),('V06 Calend 01'!H40-('V06 Calend 01'!I40*('V06 Calend 01'!E40-1))),'V06 Calend 01'!I40),0))+IF((144='V06 Calend 01'!D40),'V06 Calend 01'!J40,0))</f>
        <v>0</v>
      </c>
      <c r="FA40" s="2">
        <f>((IF((145='V06 Calend 01'!C40),('V06 Calend 01'!F40+'V06 Calend 01'!G40),0)+IF(AND(('V06 Calend 01'!E40&gt;0),(145&gt;'V06 Calend 01'!C40),(145&lt;'V06 Calend 01'!D40),(MOD((145-'V06 Calend 01'!C40),6)=0),(((145-'V06 Calend 01'!C40)/6)&lt;='V06 Calend 01'!E40)),IF((145=('V06 Calend 01'!C40+(6*'V06 Calend 01'!E40))),('V06 Calend 01'!H40-('V06 Calend 01'!I40*('V06 Calend 01'!E40-1))),'V06 Calend 01'!I40),0))+IF((145='V06 Calend 01'!D40),'V06 Calend 01'!J40,0))</f>
        <v>0</v>
      </c>
      <c r="FB40" s="2">
        <f>((IF((146='V06 Calend 01'!C40),('V06 Calend 01'!F40+'V06 Calend 01'!G40),0)+IF(AND(('V06 Calend 01'!E40&gt;0),(146&gt;'V06 Calend 01'!C40),(146&lt;'V06 Calend 01'!D40),(MOD((146-'V06 Calend 01'!C40),6)=0),(((146-'V06 Calend 01'!C40)/6)&lt;='V06 Calend 01'!E40)),IF((146=('V06 Calend 01'!C40+(6*'V06 Calend 01'!E40))),('V06 Calend 01'!H40-('V06 Calend 01'!I40*('V06 Calend 01'!E40-1))),'V06 Calend 01'!I40),0))+IF((146='V06 Calend 01'!D40),'V06 Calend 01'!J40,0))</f>
        <v>0</v>
      </c>
      <c r="FC40" s="2">
        <f>((IF((147='V06 Calend 01'!C40),('V06 Calend 01'!F40+'V06 Calend 01'!G40),0)+IF(AND(('V06 Calend 01'!E40&gt;0),(147&gt;'V06 Calend 01'!C40),(147&lt;'V06 Calend 01'!D40),(MOD((147-'V06 Calend 01'!C40),6)=0),(((147-'V06 Calend 01'!C40)/6)&lt;='V06 Calend 01'!E40)),IF((147=('V06 Calend 01'!C40+(6*'V06 Calend 01'!E40))),('V06 Calend 01'!H40-('V06 Calend 01'!I40*('V06 Calend 01'!E40-1))),'V06 Calend 01'!I40),0))+IF((147='V06 Calend 01'!D40),'V06 Calend 01'!J40,0))</f>
        <v>0</v>
      </c>
      <c r="FD40" s="2">
        <f>((IF((148='V06 Calend 01'!C40),('V06 Calend 01'!F40+'V06 Calend 01'!G40),0)+IF(AND(('V06 Calend 01'!E40&gt;0),(148&gt;'V06 Calend 01'!C40),(148&lt;'V06 Calend 01'!D40),(MOD((148-'V06 Calend 01'!C40),6)=0),(((148-'V06 Calend 01'!C40)/6)&lt;='V06 Calend 01'!E40)),IF((148=('V06 Calend 01'!C40+(6*'V06 Calend 01'!E40))),('V06 Calend 01'!H40-('V06 Calend 01'!I40*('V06 Calend 01'!E40-1))),'V06 Calend 01'!I40),0))+IF((148='V06 Calend 01'!D40),'V06 Calend 01'!J40,0))</f>
        <v>0</v>
      </c>
      <c r="FE40" s="2">
        <f>((IF((149='V06 Calend 01'!C40),('V06 Calend 01'!F40+'V06 Calend 01'!G40),0)+IF(AND(('V06 Calend 01'!E40&gt;0),(149&gt;'V06 Calend 01'!C40),(149&lt;'V06 Calend 01'!D40),(MOD((149-'V06 Calend 01'!C40),6)=0),(((149-'V06 Calend 01'!C40)/6)&lt;='V06 Calend 01'!E40)),IF((149=('V06 Calend 01'!C40+(6*'V06 Calend 01'!E40))),('V06 Calend 01'!H40-('V06 Calend 01'!I40*('V06 Calend 01'!E40-1))),'V06 Calend 01'!I40),0))+IF((149='V06 Calend 01'!D40),'V06 Calend 01'!J40,0))</f>
        <v>0</v>
      </c>
      <c r="FF40" s="2">
        <f>((IF((150='V06 Calend 01'!C40),('V06 Calend 01'!F40+'V06 Calend 01'!G40),0)+IF(AND(('V06 Calend 01'!E40&gt;0),(150&gt;'V06 Calend 01'!C40),(150&lt;'V06 Calend 01'!D40),(MOD((150-'V06 Calend 01'!C40),6)=0),(((150-'V06 Calend 01'!C40)/6)&lt;='V06 Calend 01'!E40)),IF((150=('V06 Calend 01'!C40+(6*'V06 Calend 01'!E40))),('V06 Calend 01'!H40-('V06 Calend 01'!I40*('V06 Calend 01'!E40-1))),'V06 Calend 01'!I40),0))+IF((150='V06 Calend 01'!D40),'V06 Calend 01'!J40,0))</f>
        <v>0</v>
      </c>
      <c r="FG40" s="2">
        <f>((IF((151='V06 Calend 01'!C40),('V06 Calend 01'!F40+'V06 Calend 01'!G40),0)+IF(AND(('V06 Calend 01'!E40&gt;0),(151&gt;'V06 Calend 01'!C40),(151&lt;'V06 Calend 01'!D40),(MOD((151-'V06 Calend 01'!C40),6)=0),(((151-'V06 Calend 01'!C40)/6)&lt;='V06 Calend 01'!E40)),IF((151=('V06 Calend 01'!C40+(6*'V06 Calend 01'!E40))),('V06 Calend 01'!H40-('V06 Calend 01'!I40*('V06 Calend 01'!E40-1))),'V06 Calend 01'!I40),0))+IF((151='V06 Calend 01'!D40),'V06 Calend 01'!J40,0))</f>
        <v>0</v>
      </c>
      <c r="FH40" s="2">
        <f>((IF((152='V06 Calend 01'!C40),('V06 Calend 01'!F40+'V06 Calend 01'!G40),0)+IF(AND(('V06 Calend 01'!E40&gt;0),(152&gt;'V06 Calend 01'!C40),(152&lt;'V06 Calend 01'!D40),(MOD((152-'V06 Calend 01'!C40),6)=0),(((152-'V06 Calend 01'!C40)/6)&lt;='V06 Calend 01'!E40)),IF((152=('V06 Calend 01'!C40+(6*'V06 Calend 01'!E40))),('V06 Calend 01'!H40-('V06 Calend 01'!I40*('V06 Calend 01'!E40-1))),'V06 Calend 01'!I40),0))+IF((152='V06 Calend 01'!D40),'V06 Calend 01'!J40,0))</f>
        <v>0</v>
      </c>
      <c r="FI40" s="2">
        <f>((IF((153='V06 Calend 01'!C40),('V06 Calend 01'!F40+'V06 Calend 01'!G40),0)+IF(AND(('V06 Calend 01'!E40&gt;0),(153&gt;'V06 Calend 01'!C40),(153&lt;'V06 Calend 01'!D40),(MOD((153-'V06 Calend 01'!C40),6)=0),(((153-'V06 Calend 01'!C40)/6)&lt;='V06 Calend 01'!E40)),IF((153=('V06 Calend 01'!C40+(6*'V06 Calend 01'!E40))),('V06 Calend 01'!H40-('V06 Calend 01'!I40*('V06 Calend 01'!E40-1))),'V06 Calend 01'!I40),0))+IF((153='V06 Calend 01'!D40),'V06 Calend 01'!J40,0))</f>
        <v>0</v>
      </c>
      <c r="FJ40" s="2">
        <f>((IF((154='V06 Calend 01'!C40),('V06 Calend 01'!F40+'V06 Calend 01'!G40),0)+IF(AND(('V06 Calend 01'!E40&gt;0),(154&gt;'V06 Calend 01'!C40),(154&lt;'V06 Calend 01'!D40),(MOD((154-'V06 Calend 01'!C40),6)=0),(((154-'V06 Calend 01'!C40)/6)&lt;='V06 Calend 01'!E40)),IF((154=('V06 Calend 01'!C40+(6*'V06 Calend 01'!E40))),('V06 Calend 01'!H40-('V06 Calend 01'!I40*('V06 Calend 01'!E40-1))),'V06 Calend 01'!I40),0))+IF((154='V06 Calend 01'!D40),'V06 Calend 01'!J40,0))</f>
        <v>0</v>
      </c>
      <c r="FK40" s="2">
        <f>((IF((155='V06 Calend 01'!C40),('V06 Calend 01'!F40+'V06 Calend 01'!G40),0)+IF(AND(('V06 Calend 01'!E40&gt;0),(155&gt;'V06 Calend 01'!C40),(155&lt;'V06 Calend 01'!D40),(MOD((155-'V06 Calend 01'!C40),6)=0),(((155-'V06 Calend 01'!C40)/6)&lt;='V06 Calend 01'!E40)),IF((155=('V06 Calend 01'!C40+(6*'V06 Calend 01'!E40))),('V06 Calend 01'!H40-('V06 Calend 01'!I40*('V06 Calend 01'!E40-1))),'V06 Calend 01'!I40),0))+IF((155='V06 Calend 01'!D40),'V06 Calend 01'!J40,0))</f>
        <v>0</v>
      </c>
      <c r="FL40" s="2">
        <f>((IF((156='V06 Calend 01'!C40),('V06 Calend 01'!F40+'V06 Calend 01'!G40),0)+IF(AND(('V06 Calend 01'!E40&gt;0),(156&gt;'V06 Calend 01'!C40),(156&lt;'V06 Calend 01'!D40),(MOD((156-'V06 Calend 01'!C40),6)=0),(((156-'V06 Calend 01'!C40)/6)&lt;='V06 Calend 01'!E40)),IF((156=('V06 Calend 01'!C40+(6*'V06 Calend 01'!E40))),('V06 Calend 01'!H40-('V06 Calend 01'!I40*('V06 Calend 01'!E40-1))),'V06 Calend 01'!I40),0))+IF((156='V06 Calend 01'!D40),'V06 Calend 01'!J40,0))</f>
        <v>0</v>
      </c>
      <c r="FM40" s="2">
        <f>((IF((157='V06 Calend 01'!C40),('V06 Calend 01'!F40+'V06 Calend 01'!G40),0)+IF(AND(('V06 Calend 01'!E40&gt;0),(157&gt;'V06 Calend 01'!C40),(157&lt;'V06 Calend 01'!D40),(MOD((157-'V06 Calend 01'!C40),6)=0),(((157-'V06 Calend 01'!C40)/6)&lt;='V06 Calend 01'!E40)),IF((157=('V06 Calend 01'!C40+(6*'V06 Calend 01'!E40))),('V06 Calend 01'!H40-('V06 Calend 01'!I40*('V06 Calend 01'!E40-1))),'V06 Calend 01'!I40),0))+IF((157='V06 Calend 01'!D40),'V06 Calend 01'!J40,0))</f>
        <v>0</v>
      </c>
      <c r="FN40" s="2">
        <f>((IF((158='V06 Calend 01'!C40),('V06 Calend 01'!F40+'V06 Calend 01'!G40),0)+IF(AND(('V06 Calend 01'!E40&gt;0),(158&gt;'V06 Calend 01'!C40),(158&lt;'V06 Calend 01'!D40),(MOD((158-'V06 Calend 01'!C40),6)=0),(((158-'V06 Calend 01'!C40)/6)&lt;='V06 Calend 01'!E40)),IF((158=('V06 Calend 01'!C40+(6*'V06 Calend 01'!E40))),('V06 Calend 01'!H40-('V06 Calend 01'!I40*('V06 Calend 01'!E40-1))),'V06 Calend 01'!I40),0))+IF((158='V06 Calend 01'!D40),'V06 Calend 01'!J40,0))</f>
        <v>0</v>
      </c>
      <c r="FO40" s="2">
        <f>((IF((159='V06 Calend 01'!C40),('V06 Calend 01'!F40+'V06 Calend 01'!G40),0)+IF(AND(('V06 Calend 01'!E40&gt;0),(159&gt;'V06 Calend 01'!C40),(159&lt;'V06 Calend 01'!D40),(MOD((159-'V06 Calend 01'!C40),6)=0),(((159-'V06 Calend 01'!C40)/6)&lt;='V06 Calend 01'!E40)),IF((159=('V06 Calend 01'!C40+(6*'V06 Calend 01'!E40))),('V06 Calend 01'!H40-('V06 Calend 01'!I40*('V06 Calend 01'!E40-1))),'V06 Calend 01'!I40),0))+IF((159='V06 Calend 01'!D40),'V06 Calend 01'!J40,0))</f>
        <v>0</v>
      </c>
      <c r="FP40" s="2">
        <f>((IF((160='V06 Calend 01'!C40),('V06 Calend 01'!F40+'V06 Calend 01'!G40),0)+IF(AND(('V06 Calend 01'!E40&gt;0),(160&gt;'V06 Calend 01'!C40),(160&lt;'V06 Calend 01'!D40),(MOD((160-'V06 Calend 01'!C40),6)=0),(((160-'V06 Calend 01'!C40)/6)&lt;='V06 Calend 01'!E40)),IF((160=('V06 Calend 01'!C40+(6*'V06 Calend 01'!E40))),('V06 Calend 01'!H40-('V06 Calend 01'!I40*('V06 Calend 01'!E40-1))),'V06 Calend 01'!I40),0))+IF((160='V06 Calend 01'!D40),'V06 Calend 01'!J40,0))</f>
        <v>0</v>
      </c>
      <c r="FQ40" s="2">
        <f>((IF((161='V06 Calend 01'!C40),('V06 Calend 01'!F40+'V06 Calend 01'!G40),0)+IF(AND(('V06 Calend 01'!E40&gt;0),(161&gt;'V06 Calend 01'!C40),(161&lt;'V06 Calend 01'!D40),(MOD((161-'V06 Calend 01'!C40),6)=0),(((161-'V06 Calend 01'!C40)/6)&lt;='V06 Calend 01'!E40)),IF((161=('V06 Calend 01'!C40+(6*'V06 Calend 01'!E40))),('V06 Calend 01'!H40-('V06 Calend 01'!I40*('V06 Calend 01'!E40-1))),'V06 Calend 01'!I40),0))+IF((161='V06 Calend 01'!D40),'V06 Calend 01'!J40,0))</f>
        <v>0</v>
      </c>
      <c r="FR40" s="2">
        <f>((IF((162='V06 Calend 01'!C40),('V06 Calend 01'!F40+'V06 Calend 01'!G40),0)+IF(AND(('V06 Calend 01'!E40&gt;0),(162&gt;'V06 Calend 01'!C40),(162&lt;'V06 Calend 01'!D40),(MOD((162-'V06 Calend 01'!C40),6)=0),(((162-'V06 Calend 01'!C40)/6)&lt;='V06 Calend 01'!E40)),IF((162=('V06 Calend 01'!C40+(6*'V06 Calend 01'!E40))),('V06 Calend 01'!H40-('V06 Calend 01'!I40*('V06 Calend 01'!E40-1))),'V06 Calend 01'!I40),0))+IF((162='V06 Calend 01'!D40),'V06 Calend 01'!J40,0))</f>
        <v>0</v>
      </c>
      <c r="FS40" s="2">
        <f>((IF((163='V06 Calend 01'!C40),('V06 Calend 01'!F40+'V06 Calend 01'!G40),0)+IF(AND(('V06 Calend 01'!E40&gt;0),(163&gt;'V06 Calend 01'!C40),(163&lt;'V06 Calend 01'!D40),(MOD((163-'V06 Calend 01'!C40),6)=0),(((163-'V06 Calend 01'!C40)/6)&lt;='V06 Calend 01'!E40)),IF((163=('V06 Calend 01'!C40+(6*'V06 Calend 01'!E40))),('V06 Calend 01'!H40-('V06 Calend 01'!I40*('V06 Calend 01'!E40-1))),'V06 Calend 01'!I40),0))+IF((163='V06 Calend 01'!D40),'V06 Calend 01'!J40,0))</f>
        <v>0</v>
      </c>
      <c r="FT40" s="2">
        <f>((IF((164='V06 Calend 01'!C40),('V06 Calend 01'!F40+'V06 Calend 01'!G40),0)+IF(AND(('V06 Calend 01'!E40&gt;0),(164&gt;'V06 Calend 01'!C40),(164&lt;'V06 Calend 01'!D40),(MOD((164-'V06 Calend 01'!C40),6)=0),(((164-'V06 Calend 01'!C40)/6)&lt;='V06 Calend 01'!E40)),IF((164=('V06 Calend 01'!C40+(6*'V06 Calend 01'!E40))),('V06 Calend 01'!H40-('V06 Calend 01'!I40*('V06 Calend 01'!E40-1))),'V06 Calend 01'!I40),0))+IF((164='V06 Calend 01'!D40),'V06 Calend 01'!J40,0))</f>
        <v>0</v>
      </c>
      <c r="FU40" s="2">
        <f>((IF((165='V06 Calend 01'!C40),('V06 Calend 01'!F40+'V06 Calend 01'!G40),0)+IF(AND(('V06 Calend 01'!E40&gt;0),(165&gt;'V06 Calend 01'!C40),(165&lt;'V06 Calend 01'!D40),(MOD((165-'V06 Calend 01'!C40),6)=0),(((165-'V06 Calend 01'!C40)/6)&lt;='V06 Calend 01'!E40)),IF((165=('V06 Calend 01'!C40+(6*'V06 Calend 01'!E40))),('V06 Calend 01'!H40-('V06 Calend 01'!I40*('V06 Calend 01'!E40-1))),'V06 Calend 01'!I40),0))+IF((165='V06 Calend 01'!D40),'V06 Calend 01'!J40,0))</f>
        <v>0</v>
      </c>
      <c r="FV40" s="2">
        <f>((IF((166='V06 Calend 01'!C40),('V06 Calend 01'!F40+'V06 Calend 01'!G40),0)+IF(AND(('V06 Calend 01'!E40&gt;0),(166&gt;'V06 Calend 01'!C40),(166&lt;'V06 Calend 01'!D40),(MOD((166-'V06 Calend 01'!C40),6)=0),(((166-'V06 Calend 01'!C40)/6)&lt;='V06 Calend 01'!E40)),IF((166=('V06 Calend 01'!C40+(6*'V06 Calend 01'!E40))),('V06 Calend 01'!H40-('V06 Calend 01'!I40*('V06 Calend 01'!E40-1))),'V06 Calend 01'!I40),0))+IF((166='V06 Calend 01'!D40),'V06 Calend 01'!J40,0))</f>
        <v>0</v>
      </c>
      <c r="FW40" s="2">
        <f>((IF((167='V06 Calend 01'!C40),('V06 Calend 01'!F40+'V06 Calend 01'!G40),0)+IF(AND(('V06 Calend 01'!E40&gt;0),(167&gt;'V06 Calend 01'!C40),(167&lt;'V06 Calend 01'!D40),(MOD((167-'V06 Calend 01'!C40),6)=0),(((167-'V06 Calend 01'!C40)/6)&lt;='V06 Calend 01'!E40)),IF((167=('V06 Calend 01'!C40+(6*'V06 Calend 01'!E40))),('V06 Calend 01'!H40-('V06 Calend 01'!I40*('V06 Calend 01'!E40-1))),'V06 Calend 01'!I40),0))+IF((167='V06 Calend 01'!D40),'V06 Calend 01'!J40,0))</f>
        <v>0</v>
      </c>
      <c r="FX40" s="2">
        <f>((IF((168='V06 Calend 01'!C40),('V06 Calend 01'!F40+'V06 Calend 01'!G40),0)+IF(AND(('V06 Calend 01'!E40&gt;0),(168&gt;'V06 Calend 01'!C40),(168&lt;'V06 Calend 01'!D40),(MOD((168-'V06 Calend 01'!C40),6)=0),(((168-'V06 Calend 01'!C40)/6)&lt;='V06 Calend 01'!E40)),IF((168=('V06 Calend 01'!C40+(6*'V06 Calend 01'!E40))),('V06 Calend 01'!H40-('V06 Calend 01'!I40*('V06 Calend 01'!E40-1))),'V06 Calend 01'!I40),0))+IF((168='V06 Calend 01'!D40),'V06 Calend 01'!J40,0))</f>
        <v>0</v>
      </c>
      <c r="FY40" s="2">
        <f>((IF((169='V06 Calend 01'!C40),('V06 Calend 01'!F40+'V06 Calend 01'!G40),0)+IF(AND(('V06 Calend 01'!E40&gt;0),(169&gt;'V06 Calend 01'!C40),(169&lt;'V06 Calend 01'!D40),(MOD((169-'V06 Calend 01'!C40),6)=0),(((169-'V06 Calend 01'!C40)/6)&lt;='V06 Calend 01'!E40)),IF((169=('V06 Calend 01'!C40+(6*'V06 Calend 01'!E40))),('V06 Calend 01'!H40-('V06 Calend 01'!I40*('V06 Calend 01'!E40-1))),'V06 Calend 01'!I40),0))+IF((169='V06 Calend 01'!D40),'V06 Calend 01'!J40,0))</f>
        <v>0</v>
      </c>
      <c r="FZ40" s="2">
        <f>((IF((170='V06 Calend 01'!C40),('V06 Calend 01'!F40+'V06 Calend 01'!G40),0)+IF(AND(('V06 Calend 01'!E40&gt;0),(170&gt;'V06 Calend 01'!C40),(170&lt;'V06 Calend 01'!D40),(MOD((170-'V06 Calend 01'!C40),6)=0),(((170-'V06 Calend 01'!C40)/6)&lt;='V06 Calend 01'!E40)),IF((170=('V06 Calend 01'!C40+(6*'V06 Calend 01'!E40))),('V06 Calend 01'!H40-('V06 Calend 01'!I40*('V06 Calend 01'!E40-1))),'V06 Calend 01'!I40),0))+IF((170='V06 Calend 01'!D40),'V06 Calend 01'!J40,0))</f>
        <v>0</v>
      </c>
      <c r="GA40" s="2">
        <f>((IF((171='V06 Calend 01'!C40),('V06 Calend 01'!F40+'V06 Calend 01'!G40),0)+IF(AND(('V06 Calend 01'!E40&gt;0),(171&gt;'V06 Calend 01'!C40),(171&lt;'V06 Calend 01'!D40),(MOD((171-'V06 Calend 01'!C40),6)=0),(((171-'V06 Calend 01'!C40)/6)&lt;='V06 Calend 01'!E40)),IF((171=('V06 Calend 01'!C40+(6*'V06 Calend 01'!E40))),('V06 Calend 01'!H40-('V06 Calend 01'!I40*('V06 Calend 01'!E40-1))),'V06 Calend 01'!I40),0))+IF((171='V06 Calend 01'!D40),'V06 Calend 01'!J40,0))</f>
        <v>0</v>
      </c>
      <c r="GB40" s="2">
        <f>((IF((172='V06 Calend 01'!C40),('V06 Calend 01'!F40+'V06 Calend 01'!G40),0)+IF(AND(('V06 Calend 01'!E40&gt;0),(172&gt;'V06 Calend 01'!C40),(172&lt;'V06 Calend 01'!D40),(MOD((172-'V06 Calend 01'!C40),6)=0),(((172-'V06 Calend 01'!C40)/6)&lt;='V06 Calend 01'!E40)),IF((172=('V06 Calend 01'!C40+(6*'V06 Calend 01'!E40))),('V06 Calend 01'!H40-('V06 Calend 01'!I40*('V06 Calend 01'!E40-1))),'V06 Calend 01'!I40),0))+IF((172='V06 Calend 01'!D40),'V06 Calend 01'!J40,0))</f>
        <v>0</v>
      </c>
      <c r="GC40" s="2">
        <f>((IF((173='V06 Calend 01'!C40),('V06 Calend 01'!F40+'V06 Calend 01'!G40),0)+IF(AND(('V06 Calend 01'!E40&gt;0),(173&gt;'V06 Calend 01'!C40),(173&lt;'V06 Calend 01'!D40),(MOD((173-'V06 Calend 01'!C40),6)=0),(((173-'V06 Calend 01'!C40)/6)&lt;='V06 Calend 01'!E40)),IF((173=('V06 Calend 01'!C40+(6*'V06 Calend 01'!E40))),('V06 Calend 01'!H40-('V06 Calend 01'!I40*('V06 Calend 01'!E40-1))),'V06 Calend 01'!I40),0))+IF((173='V06 Calend 01'!D40),'V06 Calend 01'!J40,0))</f>
        <v>0</v>
      </c>
      <c r="GD40" s="2">
        <f>((IF((174='V06 Calend 01'!C40),('V06 Calend 01'!F40+'V06 Calend 01'!G40),0)+IF(AND(('V06 Calend 01'!E40&gt;0),(174&gt;'V06 Calend 01'!C40),(174&lt;'V06 Calend 01'!D40),(MOD((174-'V06 Calend 01'!C40),6)=0),(((174-'V06 Calend 01'!C40)/6)&lt;='V06 Calend 01'!E40)),IF((174=('V06 Calend 01'!C40+(6*'V06 Calend 01'!E40))),('V06 Calend 01'!H40-('V06 Calend 01'!I40*('V06 Calend 01'!E40-1))),'V06 Calend 01'!I40),0))+IF((174='V06 Calend 01'!D40),'V06 Calend 01'!J40,0))</f>
        <v>0</v>
      </c>
      <c r="GE40" s="2">
        <f>((IF((175='V06 Calend 01'!C40),('V06 Calend 01'!F40+'V06 Calend 01'!G40),0)+IF(AND(('V06 Calend 01'!E40&gt;0),(175&gt;'V06 Calend 01'!C40),(175&lt;'V06 Calend 01'!D40),(MOD((175-'V06 Calend 01'!C40),6)=0),(((175-'V06 Calend 01'!C40)/6)&lt;='V06 Calend 01'!E40)),IF((175=('V06 Calend 01'!C40+(6*'V06 Calend 01'!E40))),('V06 Calend 01'!H40-('V06 Calend 01'!I40*('V06 Calend 01'!E40-1))),'V06 Calend 01'!I40),0))+IF((175='V06 Calend 01'!D40),'V06 Calend 01'!J40,0))</f>
        <v>0</v>
      </c>
      <c r="GF40" s="2">
        <f>((IF((176='V06 Calend 01'!C40),('V06 Calend 01'!F40+'V06 Calend 01'!G40),0)+IF(AND(('V06 Calend 01'!E40&gt;0),(176&gt;'V06 Calend 01'!C40),(176&lt;'V06 Calend 01'!D40),(MOD((176-'V06 Calend 01'!C40),6)=0),(((176-'V06 Calend 01'!C40)/6)&lt;='V06 Calend 01'!E40)),IF((176=('V06 Calend 01'!C40+(6*'V06 Calend 01'!E40))),('V06 Calend 01'!H40-('V06 Calend 01'!I40*('V06 Calend 01'!E40-1))),'V06 Calend 01'!I40),0))+IF((176='V06 Calend 01'!D40),'V06 Calend 01'!J40,0))</f>
        <v>0</v>
      </c>
      <c r="GG40" s="2">
        <f>((IF((177='V06 Calend 01'!C40),('V06 Calend 01'!F40+'V06 Calend 01'!G40),0)+IF(AND(('V06 Calend 01'!E40&gt;0),(177&gt;'V06 Calend 01'!C40),(177&lt;'V06 Calend 01'!D40),(MOD((177-'V06 Calend 01'!C40),6)=0),(((177-'V06 Calend 01'!C40)/6)&lt;='V06 Calend 01'!E40)),IF((177=('V06 Calend 01'!C40+(6*'V06 Calend 01'!E40))),('V06 Calend 01'!H40-('V06 Calend 01'!I40*('V06 Calend 01'!E40-1))),'V06 Calend 01'!I40),0))+IF((177='V06 Calend 01'!D40),'V06 Calend 01'!J40,0))</f>
        <v>0</v>
      </c>
      <c r="GH40" s="2">
        <f>((IF((178='V06 Calend 01'!C40),('V06 Calend 01'!F40+'V06 Calend 01'!G40),0)+IF(AND(('V06 Calend 01'!E40&gt;0),(178&gt;'V06 Calend 01'!C40),(178&lt;'V06 Calend 01'!D40),(MOD((178-'V06 Calend 01'!C40),6)=0),(((178-'V06 Calend 01'!C40)/6)&lt;='V06 Calend 01'!E40)),IF((178=('V06 Calend 01'!C40+(6*'V06 Calend 01'!E40))),('V06 Calend 01'!H40-('V06 Calend 01'!I40*('V06 Calend 01'!E40-1))),'V06 Calend 01'!I40),0))+IF((178='V06 Calend 01'!D40),'V06 Calend 01'!J40,0))</f>
        <v>0</v>
      </c>
      <c r="GI40" s="2">
        <f>((IF((179='V06 Calend 01'!C40),('V06 Calend 01'!F40+'V06 Calend 01'!G40),0)+IF(AND(('V06 Calend 01'!E40&gt;0),(179&gt;'V06 Calend 01'!C40),(179&lt;'V06 Calend 01'!D40),(MOD((179-'V06 Calend 01'!C40),6)=0),(((179-'V06 Calend 01'!C40)/6)&lt;='V06 Calend 01'!E40)),IF((179=('V06 Calend 01'!C40+(6*'V06 Calend 01'!E40))),('V06 Calend 01'!H40-('V06 Calend 01'!I40*('V06 Calend 01'!E40-1))),'V06 Calend 01'!I40),0))+IF((179='V06 Calend 01'!D40),'V06 Calend 01'!J40,0))</f>
        <v>0</v>
      </c>
      <c r="GJ40" s="2">
        <f>((IF((180='V06 Calend 01'!C40),('V06 Calend 01'!F40+'V06 Calend 01'!G40),0)+IF(AND(('V06 Calend 01'!E40&gt;0),(180&gt;'V06 Calend 01'!C40),(180&lt;'V06 Calend 01'!D40),(MOD((180-'V06 Calend 01'!C40),6)=0),(((180-'V06 Calend 01'!C40)/6)&lt;='V06 Calend 01'!E40)),IF((180=('V06 Calend 01'!C40+(6*'V06 Calend 01'!E40))),('V06 Calend 01'!H40-('V06 Calend 01'!I40*('V06 Calend 01'!E40-1))),'V06 Calend 01'!I40),0))+IF((180='V06 Calend 01'!D40),'V06 Calend 01'!J40,0))</f>
        <v>0</v>
      </c>
    </row>
    <row r="41" spans="1:192">
      <c r="A41" s="3" t="str">
        <f>'V06 Unidades'!$A$41</f>
        <v>507</v>
      </c>
      <c r="B41" s="2">
        <f>'V06 Unidades'!$H$41</f>
        <v>284485.34</v>
      </c>
      <c r="C41" s="4">
        <f>('V06 Unidades'!$I$41+'V06 Controlos'!$B$37)</f>
        <v>1</v>
      </c>
      <c r="D41" s="4">
        <f>IF(('V06 Controlos'!$B$38&gt;0),MAX(('V06 Unidades'!$L$41+'V06 Controlos'!$B$37),(30+'V06 Controlos'!$B$38)),('V06 Unidades'!$L$41+'V06 Controlos'!$B$37))</f>
        <v>28</v>
      </c>
      <c r="E41" s="4">
        <f>MAX(0,INT(((('V06 Calend 01'!D41-'V06 Calend 01'!C41)-1)/6)))</f>
        <v>4</v>
      </c>
      <c r="F41" s="2">
        <f>ROUND(('V06 Calend 01'!B41*0.05),2)</f>
        <v>14224.27</v>
      </c>
      <c r="G41" s="2">
        <f>ROUND(('V06 Calend 01'!B41*0.2),2)</f>
        <v>56897.07</v>
      </c>
      <c r="H41" s="2">
        <f>ROUND(('V06 Calend 01'!B41*0.55),2)</f>
        <v>156466.94</v>
      </c>
      <c r="I41" s="2">
        <f>ROUND(('V06 Calend 01'!H41/MAX(1,'V06 Calend 01'!E41)),2)</f>
        <v>39116.74</v>
      </c>
      <c r="J41" s="2">
        <f>((('V06 Calend 01'!B41-'V06 Calend 01'!F41)-'V06 Calend 01'!G41)-'V06 Calend 01'!H41)</f>
        <v>56897.06</v>
      </c>
      <c r="K41" s="2">
        <f>('V06 Calend 01'!B41*0.025)</f>
        <v>7112.133500000001</v>
      </c>
      <c r="L41" t="s">
        <v>378</v>
      </c>
      <c r="M41" s="2">
        <f>((IF((1='V06 Calend 01'!C41),('V06 Calend 01'!F41+'V06 Calend 01'!G41),0)+IF(AND(('V06 Calend 01'!E41&gt;0),(1&gt;'V06 Calend 01'!C41),(1&lt;'V06 Calend 01'!D41),(MOD((1-'V06 Calend 01'!C41),6)=0),(((1-'V06 Calend 01'!C41)/6)&lt;='V06 Calend 01'!E41)),IF((1=('V06 Calend 01'!C41+(6*'V06 Calend 01'!E41))),('V06 Calend 01'!H41-('V06 Calend 01'!I41*('V06 Calend 01'!E41-1))),'V06 Calend 01'!I41),0))+IF((1='V06 Calend 01'!D41),'V06 Calend 01'!J41,0))</f>
        <v>71121.34</v>
      </c>
      <c r="N41" s="2">
        <f>((IF((2='V06 Calend 01'!C41),('V06 Calend 01'!F41+'V06 Calend 01'!G41),0)+IF(AND(('V06 Calend 01'!E41&gt;0),(2&gt;'V06 Calend 01'!C41),(2&lt;'V06 Calend 01'!D41),(MOD((2-'V06 Calend 01'!C41),6)=0),(((2-'V06 Calend 01'!C41)/6)&lt;='V06 Calend 01'!E41)),IF((2=('V06 Calend 01'!C41+(6*'V06 Calend 01'!E41))),('V06 Calend 01'!H41-('V06 Calend 01'!I41*('V06 Calend 01'!E41-1))),'V06 Calend 01'!I41),0))+IF((2='V06 Calend 01'!D41),'V06 Calend 01'!J41,0))</f>
        <v>0</v>
      </c>
      <c r="O41" s="2">
        <f>((IF((3='V06 Calend 01'!C41),('V06 Calend 01'!F41+'V06 Calend 01'!G41),0)+IF(AND(('V06 Calend 01'!E41&gt;0),(3&gt;'V06 Calend 01'!C41),(3&lt;'V06 Calend 01'!D41),(MOD((3-'V06 Calend 01'!C41),6)=0),(((3-'V06 Calend 01'!C41)/6)&lt;='V06 Calend 01'!E41)),IF((3=('V06 Calend 01'!C41+(6*'V06 Calend 01'!E41))),('V06 Calend 01'!H41-('V06 Calend 01'!I41*('V06 Calend 01'!E41-1))),'V06 Calend 01'!I41),0))+IF((3='V06 Calend 01'!D41),'V06 Calend 01'!J41,0))</f>
        <v>0</v>
      </c>
      <c r="P41" s="2">
        <f>((IF((4='V06 Calend 01'!C41),('V06 Calend 01'!F41+'V06 Calend 01'!G41),0)+IF(AND(('V06 Calend 01'!E41&gt;0),(4&gt;'V06 Calend 01'!C41),(4&lt;'V06 Calend 01'!D41),(MOD((4-'V06 Calend 01'!C41),6)=0),(((4-'V06 Calend 01'!C41)/6)&lt;='V06 Calend 01'!E41)),IF((4=('V06 Calend 01'!C41+(6*'V06 Calend 01'!E41))),('V06 Calend 01'!H41-('V06 Calend 01'!I41*('V06 Calend 01'!E41-1))),'V06 Calend 01'!I41),0))+IF((4='V06 Calend 01'!D41),'V06 Calend 01'!J41,0))</f>
        <v>0</v>
      </c>
      <c r="Q41" s="2">
        <f>((IF((5='V06 Calend 01'!C41),('V06 Calend 01'!F41+'V06 Calend 01'!G41),0)+IF(AND(('V06 Calend 01'!E41&gt;0),(5&gt;'V06 Calend 01'!C41),(5&lt;'V06 Calend 01'!D41),(MOD((5-'V06 Calend 01'!C41),6)=0),(((5-'V06 Calend 01'!C41)/6)&lt;='V06 Calend 01'!E41)),IF((5=('V06 Calend 01'!C41+(6*'V06 Calend 01'!E41))),('V06 Calend 01'!H41-('V06 Calend 01'!I41*('V06 Calend 01'!E41-1))),'V06 Calend 01'!I41),0))+IF((5='V06 Calend 01'!D41),'V06 Calend 01'!J41,0))</f>
        <v>0</v>
      </c>
      <c r="R41" s="2">
        <f>((IF((6='V06 Calend 01'!C41),('V06 Calend 01'!F41+'V06 Calend 01'!G41),0)+IF(AND(('V06 Calend 01'!E41&gt;0),(6&gt;'V06 Calend 01'!C41),(6&lt;'V06 Calend 01'!D41),(MOD((6-'V06 Calend 01'!C41),6)=0),(((6-'V06 Calend 01'!C41)/6)&lt;='V06 Calend 01'!E41)),IF((6=('V06 Calend 01'!C41+(6*'V06 Calend 01'!E41))),('V06 Calend 01'!H41-('V06 Calend 01'!I41*('V06 Calend 01'!E41-1))),'V06 Calend 01'!I41),0))+IF((6='V06 Calend 01'!D41),'V06 Calend 01'!J41,0))</f>
        <v>0</v>
      </c>
      <c r="S41" s="2">
        <f>((IF((7='V06 Calend 01'!C41),('V06 Calend 01'!F41+'V06 Calend 01'!G41),0)+IF(AND(('V06 Calend 01'!E41&gt;0),(7&gt;'V06 Calend 01'!C41),(7&lt;'V06 Calend 01'!D41),(MOD((7-'V06 Calend 01'!C41),6)=0),(((7-'V06 Calend 01'!C41)/6)&lt;='V06 Calend 01'!E41)),IF((7=('V06 Calend 01'!C41+(6*'V06 Calend 01'!E41))),('V06 Calend 01'!H41-('V06 Calend 01'!I41*('V06 Calend 01'!E41-1))),'V06 Calend 01'!I41),0))+IF((7='V06 Calend 01'!D41),'V06 Calend 01'!J41,0))</f>
        <v>39116.74</v>
      </c>
      <c r="T41" s="2">
        <f>((IF((8='V06 Calend 01'!C41),('V06 Calend 01'!F41+'V06 Calend 01'!G41),0)+IF(AND(('V06 Calend 01'!E41&gt;0),(8&gt;'V06 Calend 01'!C41),(8&lt;'V06 Calend 01'!D41),(MOD((8-'V06 Calend 01'!C41),6)=0),(((8-'V06 Calend 01'!C41)/6)&lt;='V06 Calend 01'!E41)),IF((8=('V06 Calend 01'!C41+(6*'V06 Calend 01'!E41))),('V06 Calend 01'!H41-('V06 Calend 01'!I41*('V06 Calend 01'!E41-1))),'V06 Calend 01'!I41),0))+IF((8='V06 Calend 01'!D41),'V06 Calend 01'!J41,0))</f>
        <v>0</v>
      </c>
      <c r="U41" s="2">
        <f>((IF((9='V06 Calend 01'!C41),('V06 Calend 01'!F41+'V06 Calend 01'!G41),0)+IF(AND(('V06 Calend 01'!E41&gt;0),(9&gt;'V06 Calend 01'!C41),(9&lt;'V06 Calend 01'!D41),(MOD((9-'V06 Calend 01'!C41),6)=0),(((9-'V06 Calend 01'!C41)/6)&lt;='V06 Calend 01'!E41)),IF((9=('V06 Calend 01'!C41+(6*'V06 Calend 01'!E41))),('V06 Calend 01'!H41-('V06 Calend 01'!I41*('V06 Calend 01'!E41-1))),'V06 Calend 01'!I41),0))+IF((9='V06 Calend 01'!D41),'V06 Calend 01'!J41,0))</f>
        <v>0</v>
      </c>
      <c r="V41" s="2">
        <f>((IF((10='V06 Calend 01'!C41),('V06 Calend 01'!F41+'V06 Calend 01'!G41),0)+IF(AND(('V06 Calend 01'!E41&gt;0),(10&gt;'V06 Calend 01'!C41),(10&lt;'V06 Calend 01'!D41),(MOD((10-'V06 Calend 01'!C41),6)=0),(((10-'V06 Calend 01'!C41)/6)&lt;='V06 Calend 01'!E41)),IF((10=('V06 Calend 01'!C41+(6*'V06 Calend 01'!E41))),('V06 Calend 01'!H41-('V06 Calend 01'!I41*('V06 Calend 01'!E41-1))),'V06 Calend 01'!I41),0))+IF((10='V06 Calend 01'!D41),'V06 Calend 01'!J41,0))</f>
        <v>0</v>
      </c>
      <c r="W41" s="2">
        <f>((IF((11='V06 Calend 01'!C41),('V06 Calend 01'!F41+'V06 Calend 01'!G41),0)+IF(AND(('V06 Calend 01'!E41&gt;0),(11&gt;'V06 Calend 01'!C41),(11&lt;'V06 Calend 01'!D41),(MOD((11-'V06 Calend 01'!C41),6)=0),(((11-'V06 Calend 01'!C41)/6)&lt;='V06 Calend 01'!E41)),IF((11=('V06 Calend 01'!C41+(6*'V06 Calend 01'!E41))),('V06 Calend 01'!H41-('V06 Calend 01'!I41*('V06 Calend 01'!E41-1))),'V06 Calend 01'!I41),0))+IF((11='V06 Calend 01'!D41),'V06 Calend 01'!J41,0))</f>
        <v>0</v>
      </c>
      <c r="X41" s="2">
        <f>((IF((12='V06 Calend 01'!C41),('V06 Calend 01'!F41+'V06 Calend 01'!G41),0)+IF(AND(('V06 Calend 01'!E41&gt;0),(12&gt;'V06 Calend 01'!C41),(12&lt;'V06 Calend 01'!D41),(MOD((12-'V06 Calend 01'!C41),6)=0),(((12-'V06 Calend 01'!C41)/6)&lt;='V06 Calend 01'!E41)),IF((12=('V06 Calend 01'!C41+(6*'V06 Calend 01'!E41))),('V06 Calend 01'!H41-('V06 Calend 01'!I41*('V06 Calend 01'!E41-1))),'V06 Calend 01'!I41),0))+IF((12='V06 Calend 01'!D41),'V06 Calend 01'!J41,0))</f>
        <v>0</v>
      </c>
      <c r="Y41" s="2">
        <f>((IF((13='V06 Calend 01'!C41),('V06 Calend 01'!F41+'V06 Calend 01'!G41),0)+IF(AND(('V06 Calend 01'!E41&gt;0),(13&gt;'V06 Calend 01'!C41),(13&lt;'V06 Calend 01'!D41),(MOD((13-'V06 Calend 01'!C41),6)=0),(((13-'V06 Calend 01'!C41)/6)&lt;='V06 Calend 01'!E41)),IF((13=('V06 Calend 01'!C41+(6*'V06 Calend 01'!E41))),('V06 Calend 01'!H41-('V06 Calend 01'!I41*('V06 Calend 01'!E41-1))),'V06 Calend 01'!I41),0))+IF((13='V06 Calend 01'!D41),'V06 Calend 01'!J41,0))</f>
        <v>39116.74</v>
      </c>
      <c r="Z41" s="2">
        <f>((IF((14='V06 Calend 01'!C41),('V06 Calend 01'!F41+'V06 Calend 01'!G41),0)+IF(AND(('V06 Calend 01'!E41&gt;0),(14&gt;'V06 Calend 01'!C41),(14&lt;'V06 Calend 01'!D41),(MOD((14-'V06 Calend 01'!C41),6)=0),(((14-'V06 Calend 01'!C41)/6)&lt;='V06 Calend 01'!E41)),IF((14=('V06 Calend 01'!C41+(6*'V06 Calend 01'!E41))),('V06 Calend 01'!H41-('V06 Calend 01'!I41*('V06 Calend 01'!E41-1))),'V06 Calend 01'!I41),0))+IF((14='V06 Calend 01'!D41),'V06 Calend 01'!J41,0))</f>
        <v>0</v>
      </c>
      <c r="AA41" s="2">
        <f>((IF((15='V06 Calend 01'!C41),('V06 Calend 01'!F41+'V06 Calend 01'!G41),0)+IF(AND(('V06 Calend 01'!E41&gt;0),(15&gt;'V06 Calend 01'!C41),(15&lt;'V06 Calend 01'!D41),(MOD((15-'V06 Calend 01'!C41),6)=0),(((15-'V06 Calend 01'!C41)/6)&lt;='V06 Calend 01'!E41)),IF((15=('V06 Calend 01'!C41+(6*'V06 Calend 01'!E41))),('V06 Calend 01'!H41-('V06 Calend 01'!I41*('V06 Calend 01'!E41-1))),'V06 Calend 01'!I41),0))+IF((15='V06 Calend 01'!D41),'V06 Calend 01'!J41,0))</f>
        <v>0</v>
      </c>
      <c r="AB41" s="2">
        <f>((IF((16='V06 Calend 01'!C41),('V06 Calend 01'!F41+'V06 Calend 01'!G41),0)+IF(AND(('V06 Calend 01'!E41&gt;0),(16&gt;'V06 Calend 01'!C41),(16&lt;'V06 Calend 01'!D41),(MOD((16-'V06 Calend 01'!C41),6)=0),(((16-'V06 Calend 01'!C41)/6)&lt;='V06 Calend 01'!E41)),IF((16=('V06 Calend 01'!C41+(6*'V06 Calend 01'!E41))),('V06 Calend 01'!H41-('V06 Calend 01'!I41*('V06 Calend 01'!E41-1))),'V06 Calend 01'!I41),0))+IF((16='V06 Calend 01'!D41),'V06 Calend 01'!J41,0))</f>
        <v>0</v>
      </c>
      <c r="AC41" s="2">
        <f>((IF((17='V06 Calend 01'!C41),('V06 Calend 01'!F41+'V06 Calend 01'!G41),0)+IF(AND(('V06 Calend 01'!E41&gt;0),(17&gt;'V06 Calend 01'!C41),(17&lt;'V06 Calend 01'!D41),(MOD((17-'V06 Calend 01'!C41),6)=0),(((17-'V06 Calend 01'!C41)/6)&lt;='V06 Calend 01'!E41)),IF((17=('V06 Calend 01'!C41+(6*'V06 Calend 01'!E41))),('V06 Calend 01'!H41-('V06 Calend 01'!I41*('V06 Calend 01'!E41-1))),'V06 Calend 01'!I41),0))+IF((17='V06 Calend 01'!D41),'V06 Calend 01'!J41,0))</f>
        <v>0</v>
      </c>
      <c r="AD41" s="2">
        <f>((IF((18='V06 Calend 01'!C41),('V06 Calend 01'!F41+'V06 Calend 01'!G41),0)+IF(AND(('V06 Calend 01'!E41&gt;0),(18&gt;'V06 Calend 01'!C41),(18&lt;'V06 Calend 01'!D41),(MOD((18-'V06 Calend 01'!C41),6)=0),(((18-'V06 Calend 01'!C41)/6)&lt;='V06 Calend 01'!E41)),IF((18=('V06 Calend 01'!C41+(6*'V06 Calend 01'!E41))),('V06 Calend 01'!H41-('V06 Calend 01'!I41*('V06 Calend 01'!E41-1))),'V06 Calend 01'!I41),0))+IF((18='V06 Calend 01'!D41),'V06 Calend 01'!J41,0))</f>
        <v>0</v>
      </c>
      <c r="AE41" s="2">
        <f>((IF((19='V06 Calend 01'!C41),('V06 Calend 01'!F41+'V06 Calend 01'!G41),0)+IF(AND(('V06 Calend 01'!E41&gt;0),(19&gt;'V06 Calend 01'!C41),(19&lt;'V06 Calend 01'!D41),(MOD((19-'V06 Calend 01'!C41),6)=0),(((19-'V06 Calend 01'!C41)/6)&lt;='V06 Calend 01'!E41)),IF((19=('V06 Calend 01'!C41+(6*'V06 Calend 01'!E41))),('V06 Calend 01'!H41-('V06 Calend 01'!I41*('V06 Calend 01'!E41-1))),'V06 Calend 01'!I41),0))+IF((19='V06 Calend 01'!D41),'V06 Calend 01'!J41,0))</f>
        <v>39116.74</v>
      </c>
      <c r="AF41" s="2">
        <f>((IF((20='V06 Calend 01'!C41),('V06 Calend 01'!F41+'V06 Calend 01'!G41),0)+IF(AND(('V06 Calend 01'!E41&gt;0),(20&gt;'V06 Calend 01'!C41),(20&lt;'V06 Calend 01'!D41),(MOD((20-'V06 Calend 01'!C41),6)=0),(((20-'V06 Calend 01'!C41)/6)&lt;='V06 Calend 01'!E41)),IF((20=('V06 Calend 01'!C41+(6*'V06 Calend 01'!E41))),('V06 Calend 01'!H41-('V06 Calend 01'!I41*('V06 Calend 01'!E41-1))),'V06 Calend 01'!I41),0))+IF((20='V06 Calend 01'!D41),'V06 Calend 01'!J41,0))</f>
        <v>0</v>
      </c>
      <c r="AG41" s="2">
        <f>((IF((21='V06 Calend 01'!C41),('V06 Calend 01'!F41+'V06 Calend 01'!G41),0)+IF(AND(('V06 Calend 01'!E41&gt;0),(21&gt;'V06 Calend 01'!C41),(21&lt;'V06 Calend 01'!D41),(MOD((21-'V06 Calend 01'!C41),6)=0),(((21-'V06 Calend 01'!C41)/6)&lt;='V06 Calend 01'!E41)),IF((21=('V06 Calend 01'!C41+(6*'V06 Calend 01'!E41))),('V06 Calend 01'!H41-('V06 Calend 01'!I41*('V06 Calend 01'!E41-1))),'V06 Calend 01'!I41),0))+IF((21='V06 Calend 01'!D41),'V06 Calend 01'!J41,0))</f>
        <v>0</v>
      </c>
      <c r="AH41" s="2">
        <f>((IF((22='V06 Calend 01'!C41),('V06 Calend 01'!F41+'V06 Calend 01'!G41),0)+IF(AND(('V06 Calend 01'!E41&gt;0),(22&gt;'V06 Calend 01'!C41),(22&lt;'V06 Calend 01'!D41),(MOD((22-'V06 Calend 01'!C41),6)=0),(((22-'V06 Calend 01'!C41)/6)&lt;='V06 Calend 01'!E41)),IF((22=('V06 Calend 01'!C41+(6*'V06 Calend 01'!E41))),('V06 Calend 01'!H41-('V06 Calend 01'!I41*('V06 Calend 01'!E41-1))),'V06 Calend 01'!I41),0))+IF((22='V06 Calend 01'!D41),'V06 Calend 01'!J41,0))</f>
        <v>0</v>
      </c>
      <c r="AI41" s="2">
        <f>((IF((23='V06 Calend 01'!C41),('V06 Calend 01'!F41+'V06 Calend 01'!G41),0)+IF(AND(('V06 Calend 01'!E41&gt;0),(23&gt;'V06 Calend 01'!C41),(23&lt;'V06 Calend 01'!D41),(MOD((23-'V06 Calend 01'!C41),6)=0),(((23-'V06 Calend 01'!C41)/6)&lt;='V06 Calend 01'!E41)),IF((23=('V06 Calend 01'!C41+(6*'V06 Calend 01'!E41))),('V06 Calend 01'!H41-('V06 Calend 01'!I41*('V06 Calend 01'!E41-1))),'V06 Calend 01'!I41),0))+IF((23='V06 Calend 01'!D41),'V06 Calend 01'!J41,0))</f>
        <v>0</v>
      </c>
      <c r="AJ41" s="2">
        <f>((IF((24='V06 Calend 01'!C41),('V06 Calend 01'!F41+'V06 Calend 01'!G41),0)+IF(AND(('V06 Calend 01'!E41&gt;0),(24&gt;'V06 Calend 01'!C41),(24&lt;'V06 Calend 01'!D41),(MOD((24-'V06 Calend 01'!C41),6)=0),(((24-'V06 Calend 01'!C41)/6)&lt;='V06 Calend 01'!E41)),IF((24=('V06 Calend 01'!C41+(6*'V06 Calend 01'!E41))),('V06 Calend 01'!H41-('V06 Calend 01'!I41*('V06 Calend 01'!E41-1))),'V06 Calend 01'!I41),0))+IF((24='V06 Calend 01'!D41),'V06 Calend 01'!J41,0))</f>
        <v>0</v>
      </c>
      <c r="AK41" s="2">
        <f>((IF((25='V06 Calend 01'!C41),('V06 Calend 01'!F41+'V06 Calend 01'!G41),0)+IF(AND(('V06 Calend 01'!E41&gt;0),(25&gt;'V06 Calend 01'!C41),(25&lt;'V06 Calend 01'!D41),(MOD((25-'V06 Calend 01'!C41),6)=0),(((25-'V06 Calend 01'!C41)/6)&lt;='V06 Calend 01'!E41)),IF((25=('V06 Calend 01'!C41+(6*'V06 Calend 01'!E41))),('V06 Calend 01'!H41-('V06 Calend 01'!I41*('V06 Calend 01'!E41-1))),'V06 Calend 01'!I41),0))+IF((25='V06 Calend 01'!D41),'V06 Calend 01'!J41,0))</f>
        <v>39116.72</v>
      </c>
      <c r="AL41" s="2">
        <f>((IF((26='V06 Calend 01'!C41),('V06 Calend 01'!F41+'V06 Calend 01'!G41),0)+IF(AND(('V06 Calend 01'!E41&gt;0),(26&gt;'V06 Calend 01'!C41),(26&lt;'V06 Calend 01'!D41),(MOD((26-'V06 Calend 01'!C41),6)=0),(((26-'V06 Calend 01'!C41)/6)&lt;='V06 Calend 01'!E41)),IF((26=('V06 Calend 01'!C41+(6*'V06 Calend 01'!E41))),('V06 Calend 01'!H41-('V06 Calend 01'!I41*('V06 Calend 01'!E41-1))),'V06 Calend 01'!I41),0))+IF((26='V06 Calend 01'!D41),'V06 Calend 01'!J41,0))</f>
        <v>0</v>
      </c>
      <c r="AM41" s="2">
        <f>((IF((27='V06 Calend 01'!C41),('V06 Calend 01'!F41+'V06 Calend 01'!G41),0)+IF(AND(('V06 Calend 01'!E41&gt;0),(27&gt;'V06 Calend 01'!C41),(27&lt;'V06 Calend 01'!D41),(MOD((27-'V06 Calend 01'!C41),6)=0),(((27-'V06 Calend 01'!C41)/6)&lt;='V06 Calend 01'!E41)),IF((27=('V06 Calend 01'!C41+(6*'V06 Calend 01'!E41))),('V06 Calend 01'!H41-('V06 Calend 01'!I41*('V06 Calend 01'!E41-1))),'V06 Calend 01'!I41),0))+IF((27='V06 Calend 01'!D41),'V06 Calend 01'!J41,0))</f>
        <v>0</v>
      </c>
      <c r="AN41" s="2">
        <f>((IF((28='V06 Calend 01'!C41),('V06 Calend 01'!F41+'V06 Calend 01'!G41),0)+IF(AND(('V06 Calend 01'!E41&gt;0),(28&gt;'V06 Calend 01'!C41),(28&lt;'V06 Calend 01'!D41),(MOD((28-'V06 Calend 01'!C41),6)=0),(((28-'V06 Calend 01'!C41)/6)&lt;='V06 Calend 01'!E41)),IF((28=('V06 Calend 01'!C41+(6*'V06 Calend 01'!E41))),('V06 Calend 01'!H41-('V06 Calend 01'!I41*('V06 Calend 01'!E41-1))),'V06 Calend 01'!I41),0))+IF((28='V06 Calend 01'!D41),'V06 Calend 01'!J41,0))</f>
        <v>56897.06</v>
      </c>
      <c r="AO41" s="2">
        <f>((IF((29='V06 Calend 01'!C41),('V06 Calend 01'!F41+'V06 Calend 01'!G41),0)+IF(AND(('V06 Calend 01'!E41&gt;0),(29&gt;'V06 Calend 01'!C41),(29&lt;'V06 Calend 01'!D41),(MOD((29-'V06 Calend 01'!C41),6)=0),(((29-'V06 Calend 01'!C41)/6)&lt;='V06 Calend 01'!E41)),IF((29=('V06 Calend 01'!C41+(6*'V06 Calend 01'!E41))),('V06 Calend 01'!H41-('V06 Calend 01'!I41*('V06 Calend 01'!E41-1))),'V06 Calend 01'!I41),0))+IF((29='V06 Calend 01'!D41),'V06 Calend 01'!J41,0))</f>
        <v>0</v>
      </c>
      <c r="AP41" s="2">
        <f>((IF((30='V06 Calend 01'!C41),('V06 Calend 01'!F41+'V06 Calend 01'!G41),0)+IF(AND(('V06 Calend 01'!E41&gt;0),(30&gt;'V06 Calend 01'!C41),(30&lt;'V06 Calend 01'!D41),(MOD((30-'V06 Calend 01'!C41),6)=0),(((30-'V06 Calend 01'!C41)/6)&lt;='V06 Calend 01'!E41)),IF((30=('V06 Calend 01'!C41+(6*'V06 Calend 01'!E41))),('V06 Calend 01'!H41-('V06 Calend 01'!I41*('V06 Calend 01'!E41-1))),'V06 Calend 01'!I41),0))+IF((30='V06 Calend 01'!D41),'V06 Calend 01'!J41,0))</f>
        <v>0</v>
      </c>
      <c r="AQ41" s="2">
        <f>((IF((31='V06 Calend 01'!C41),('V06 Calend 01'!F41+'V06 Calend 01'!G41),0)+IF(AND(('V06 Calend 01'!E41&gt;0),(31&gt;'V06 Calend 01'!C41),(31&lt;'V06 Calend 01'!D41),(MOD((31-'V06 Calend 01'!C41),6)=0),(((31-'V06 Calend 01'!C41)/6)&lt;='V06 Calend 01'!E41)),IF((31=('V06 Calend 01'!C41+(6*'V06 Calend 01'!E41))),('V06 Calend 01'!H41-('V06 Calend 01'!I41*('V06 Calend 01'!E41-1))),'V06 Calend 01'!I41),0))+IF((31='V06 Calend 01'!D41),'V06 Calend 01'!J41,0))</f>
        <v>0</v>
      </c>
      <c r="AR41" s="2">
        <f>((IF((32='V06 Calend 01'!C41),('V06 Calend 01'!F41+'V06 Calend 01'!G41),0)+IF(AND(('V06 Calend 01'!E41&gt;0),(32&gt;'V06 Calend 01'!C41),(32&lt;'V06 Calend 01'!D41),(MOD((32-'V06 Calend 01'!C41),6)=0),(((32-'V06 Calend 01'!C41)/6)&lt;='V06 Calend 01'!E41)),IF((32=('V06 Calend 01'!C41+(6*'V06 Calend 01'!E41))),('V06 Calend 01'!H41-('V06 Calend 01'!I41*('V06 Calend 01'!E41-1))),'V06 Calend 01'!I41),0))+IF((32='V06 Calend 01'!D41),'V06 Calend 01'!J41,0))</f>
        <v>0</v>
      </c>
      <c r="AS41" s="2">
        <f>((IF((33='V06 Calend 01'!C41),('V06 Calend 01'!F41+'V06 Calend 01'!G41),0)+IF(AND(('V06 Calend 01'!E41&gt;0),(33&gt;'V06 Calend 01'!C41),(33&lt;'V06 Calend 01'!D41),(MOD((33-'V06 Calend 01'!C41),6)=0),(((33-'V06 Calend 01'!C41)/6)&lt;='V06 Calend 01'!E41)),IF((33=('V06 Calend 01'!C41+(6*'V06 Calend 01'!E41))),('V06 Calend 01'!H41-('V06 Calend 01'!I41*('V06 Calend 01'!E41-1))),'V06 Calend 01'!I41),0))+IF((33='V06 Calend 01'!D41),'V06 Calend 01'!J41,0))</f>
        <v>0</v>
      </c>
      <c r="AT41" s="2">
        <f>((IF((34='V06 Calend 01'!C41),('V06 Calend 01'!F41+'V06 Calend 01'!G41),0)+IF(AND(('V06 Calend 01'!E41&gt;0),(34&gt;'V06 Calend 01'!C41),(34&lt;'V06 Calend 01'!D41),(MOD((34-'V06 Calend 01'!C41),6)=0),(((34-'V06 Calend 01'!C41)/6)&lt;='V06 Calend 01'!E41)),IF((34=('V06 Calend 01'!C41+(6*'V06 Calend 01'!E41))),('V06 Calend 01'!H41-('V06 Calend 01'!I41*('V06 Calend 01'!E41-1))),'V06 Calend 01'!I41),0))+IF((34='V06 Calend 01'!D41),'V06 Calend 01'!J41,0))</f>
        <v>0</v>
      </c>
      <c r="AU41" s="2">
        <f>((IF((35='V06 Calend 01'!C41),('V06 Calend 01'!F41+'V06 Calend 01'!G41),0)+IF(AND(('V06 Calend 01'!E41&gt;0),(35&gt;'V06 Calend 01'!C41),(35&lt;'V06 Calend 01'!D41),(MOD((35-'V06 Calend 01'!C41),6)=0),(((35-'V06 Calend 01'!C41)/6)&lt;='V06 Calend 01'!E41)),IF((35=('V06 Calend 01'!C41+(6*'V06 Calend 01'!E41))),('V06 Calend 01'!H41-('V06 Calend 01'!I41*('V06 Calend 01'!E41-1))),'V06 Calend 01'!I41),0))+IF((35='V06 Calend 01'!D41),'V06 Calend 01'!J41,0))</f>
        <v>0</v>
      </c>
      <c r="AV41" s="2">
        <f>((IF((36='V06 Calend 01'!C41),('V06 Calend 01'!F41+'V06 Calend 01'!G41),0)+IF(AND(('V06 Calend 01'!E41&gt;0),(36&gt;'V06 Calend 01'!C41),(36&lt;'V06 Calend 01'!D41),(MOD((36-'V06 Calend 01'!C41),6)=0),(((36-'V06 Calend 01'!C41)/6)&lt;='V06 Calend 01'!E41)),IF((36=('V06 Calend 01'!C41+(6*'V06 Calend 01'!E41))),('V06 Calend 01'!H41-('V06 Calend 01'!I41*('V06 Calend 01'!E41-1))),'V06 Calend 01'!I41),0))+IF((36='V06 Calend 01'!D41),'V06 Calend 01'!J41,0))</f>
        <v>0</v>
      </c>
      <c r="AW41" s="2">
        <f>((IF((37='V06 Calend 01'!C41),('V06 Calend 01'!F41+'V06 Calend 01'!G41),0)+IF(AND(('V06 Calend 01'!E41&gt;0),(37&gt;'V06 Calend 01'!C41),(37&lt;'V06 Calend 01'!D41),(MOD((37-'V06 Calend 01'!C41),6)=0),(((37-'V06 Calend 01'!C41)/6)&lt;='V06 Calend 01'!E41)),IF((37=('V06 Calend 01'!C41+(6*'V06 Calend 01'!E41))),('V06 Calend 01'!H41-('V06 Calend 01'!I41*('V06 Calend 01'!E41-1))),'V06 Calend 01'!I41),0))+IF((37='V06 Calend 01'!D41),'V06 Calend 01'!J41,0))</f>
        <v>0</v>
      </c>
      <c r="AX41" s="2">
        <f>((IF((38='V06 Calend 01'!C41),('V06 Calend 01'!F41+'V06 Calend 01'!G41),0)+IF(AND(('V06 Calend 01'!E41&gt;0),(38&gt;'V06 Calend 01'!C41),(38&lt;'V06 Calend 01'!D41),(MOD((38-'V06 Calend 01'!C41),6)=0),(((38-'V06 Calend 01'!C41)/6)&lt;='V06 Calend 01'!E41)),IF((38=('V06 Calend 01'!C41+(6*'V06 Calend 01'!E41))),('V06 Calend 01'!H41-('V06 Calend 01'!I41*('V06 Calend 01'!E41-1))),'V06 Calend 01'!I41),0))+IF((38='V06 Calend 01'!D41),'V06 Calend 01'!J41,0))</f>
        <v>0</v>
      </c>
      <c r="AY41" s="2">
        <f>((IF((39='V06 Calend 01'!C41),('V06 Calend 01'!F41+'V06 Calend 01'!G41),0)+IF(AND(('V06 Calend 01'!E41&gt;0),(39&gt;'V06 Calend 01'!C41),(39&lt;'V06 Calend 01'!D41),(MOD((39-'V06 Calend 01'!C41),6)=0),(((39-'V06 Calend 01'!C41)/6)&lt;='V06 Calend 01'!E41)),IF((39=('V06 Calend 01'!C41+(6*'V06 Calend 01'!E41))),('V06 Calend 01'!H41-('V06 Calend 01'!I41*('V06 Calend 01'!E41-1))),'V06 Calend 01'!I41),0))+IF((39='V06 Calend 01'!D41),'V06 Calend 01'!J41,0))</f>
        <v>0</v>
      </c>
      <c r="AZ41" s="2">
        <f>((IF((40='V06 Calend 01'!C41),('V06 Calend 01'!F41+'V06 Calend 01'!G41),0)+IF(AND(('V06 Calend 01'!E41&gt;0),(40&gt;'V06 Calend 01'!C41),(40&lt;'V06 Calend 01'!D41),(MOD((40-'V06 Calend 01'!C41),6)=0),(((40-'V06 Calend 01'!C41)/6)&lt;='V06 Calend 01'!E41)),IF((40=('V06 Calend 01'!C41+(6*'V06 Calend 01'!E41))),('V06 Calend 01'!H41-('V06 Calend 01'!I41*('V06 Calend 01'!E41-1))),'V06 Calend 01'!I41),0))+IF((40='V06 Calend 01'!D41),'V06 Calend 01'!J41,0))</f>
        <v>0</v>
      </c>
      <c r="BA41" s="2">
        <f>((IF((41='V06 Calend 01'!C41),('V06 Calend 01'!F41+'V06 Calend 01'!G41),0)+IF(AND(('V06 Calend 01'!E41&gt;0),(41&gt;'V06 Calend 01'!C41),(41&lt;'V06 Calend 01'!D41),(MOD((41-'V06 Calend 01'!C41),6)=0),(((41-'V06 Calend 01'!C41)/6)&lt;='V06 Calend 01'!E41)),IF((41=('V06 Calend 01'!C41+(6*'V06 Calend 01'!E41))),('V06 Calend 01'!H41-('V06 Calend 01'!I41*('V06 Calend 01'!E41-1))),'V06 Calend 01'!I41),0))+IF((41='V06 Calend 01'!D41),'V06 Calend 01'!J41,0))</f>
        <v>0</v>
      </c>
      <c r="BB41" s="2">
        <f>((IF((42='V06 Calend 01'!C41),('V06 Calend 01'!F41+'V06 Calend 01'!G41),0)+IF(AND(('V06 Calend 01'!E41&gt;0),(42&gt;'V06 Calend 01'!C41),(42&lt;'V06 Calend 01'!D41),(MOD((42-'V06 Calend 01'!C41),6)=0),(((42-'V06 Calend 01'!C41)/6)&lt;='V06 Calend 01'!E41)),IF((42=('V06 Calend 01'!C41+(6*'V06 Calend 01'!E41))),('V06 Calend 01'!H41-('V06 Calend 01'!I41*('V06 Calend 01'!E41-1))),'V06 Calend 01'!I41),0))+IF((42='V06 Calend 01'!D41),'V06 Calend 01'!J41,0))</f>
        <v>0</v>
      </c>
      <c r="BC41" s="2">
        <f>((IF((43='V06 Calend 01'!C41),('V06 Calend 01'!F41+'V06 Calend 01'!G41),0)+IF(AND(('V06 Calend 01'!E41&gt;0),(43&gt;'V06 Calend 01'!C41),(43&lt;'V06 Calend 01'!D41),(MOD((43-'V06 Calend 01'!C41),6)=0),(((43-'V06 Calend 01'!C41)/6)&lt;='V06 Calend 01'!E41)),IF((43=('V06 Calend 01'!C41+(6*'V06 Calend 01'!E41))),('V06 Calend 01'!H41-('V06 Calend 01'!I41*('V06 Calend 01'!E41-1))),'V06 Calend 01'!I41),0))+IF((43='V06 Calend 01'!D41),'V06 Calend 01'!J41,0))</f>
        <v>0</v>
      </c>
      <c r="BD41" s="2">
        <f>((IF((44='V06 Calend 01'!C41),('V06 Calend 01'!F41+'V06 Calend 01'!G41),0)+IF(AND(('V06 Calend 01'!E41&gt;0),(44&gt;'V06 Calend 01'!C41),(44&lt;'V06 Calend 01'!D41),(MOD((44-'V06 Calend 01'!C41),6)=0),(((44-'V06 Calend 01'!C41)/6)&lt;='V06 Calend 01'!E41)),IF((44=('V06 Calend 01'!C41+(6*'V06 Calend 01'!E41))),('V06 Calend 01'!H41-('V06 Calend 01'!I41*('V06 Calend 01'!E41-1))),'V06 Calend 01'!I41),0))+IF((44='V06 Calend 01'!D41),'V06 Calend 01'!J41,0))</f>
        <v>0</v>
      </c>
      <c r="BE41" s="2">
        <f>((IF((45='V06 Calend 01'!C41),('V06 Calend 01'!F41+'V06 Calend 01'!G41),0)+IF(AND(('V06 Calend 01'!E41&gt;0),(45&gt;'V06 Calend 01'!C41),(45&lt;'V06 Calend 01'!D41),(MOD((45-'V06 Calend 01'!C41),6)=0),(((45-'V06 Calend 01'!C41)/6)&lt;='V06 Calend 01'!E41)),IF((45=('V06 Calend 01'!C41+(6*'V06 Calend 01'!E41))),('V06 Calend 01'!H41-('V06 Calend 01'!I41*('V06 Calend 01'!E41-1))),'V06 Calend 01'!I41),0))+IF((45='V06 Calend 01'!D41),'V06 Calend 01'!J41,0))</f>
        <v>0</v>
      </c>
      <c r="BF41" s="2">
        <f>((IF((46='V06 Calend 01'!C41),('V06 Calend 01'!F41+'V06 Calend 01'!G41),0)+IF(AND(('V06 Calend 01'!E41&gt;0),(46&gt;'V06 Calend 01'!C41),(46&lt;'V06 Calend 01'!D41),(MOD((46-'V06 Calend 01'!C41),6)=0),(((46-'V06 Calend 01'!C41)/6)&lt;='V06 Calend 01'!E41)),IF((46=('V06 Calend 01'!C41+(6*'V06 Calend 01'!E41))),('V06 Calend 01'!H41-('V06 Calend 01'!I41*('V06 Calend 01'!E41-1))),'V06 Calend 01'!I41),0))+IF((46='V06 Calend 01'!D41),'V06 Calend 01'!J41,0))</f>
        <v>0</v>
      </c>
      <c r="BG41" s="2">
        <f>((IF((47='V06 Calend 01'!C41),('V06 Calend 01'!F41+'V06 Calend 01'!G41),0)+IF(AND(('V06 Calend 01'!E41&gt;0),(47&gt;'V06 Calend 01'!C41),(47&lt;'V06 Calend 01'!D41),(MOD((47-'V06 Calend 01'!C41),6)=0),(((47-'V06 Calend 01'!C41)/6)&lt;='V06 Calend 01'!E41)),IF((47=('V06 Calend 01'!C41+(6*'V06 Calend 01'!E41))),('V06 Calend 01'!H41-('V06 Calend 01'!I41*('V06 Calend 01'!E41-1))),'V06 Calend 01'!I41),0))+IF((47='V06 Calend 01'!D41),'V06 Calend 01'!J41,0))</f>
        <v>0</v>
      </c>
      <c r="BH41" s="2">
        <f>((IF((48='V06 Calend 01'!C41),('V06 Calend 01'!F41+'V06 Calend 01'!G41),0)+IF(AND(('V06 Calend 01'!E41&gt;0),(48&gt;'V06 Calend 01'!C41),(48&lt;'V06 Calend 01'!D41),(MOD((48-'V06 Calend 01'!C41),6)=0),(((48-'V06 Calend 01'!C41)/6)&lt;='V06 Calend 01'!E41)),IF((48=('V06 Calend 01'!C41+(6*'V06 Calend 01'!E41))),('V06 Calend 01'!H41-('V06 Calend 01'!I41*('V06 Calend 01'!E41-1))),'V06 Calend 01'!I41),0))+IF((48='V06 Calend 01'!D41),'V06 Calend 01'!J41,0))</f>
        <v>0</v>
      </c>
      <c r="BI41" s="2">
        <f>((IF((49='V06 Calend 01'!C41),('V06 Calend 01'!F41+'V06 Calend 01'!G41),0)+IF(AND(('V06 Calend 01'!E41&gt;0),(49&gt;'V06 Calend 01'!C41),(49&lt;'V06 Calend 01'!D41),(MOD((49-'V06 Calend 01'!C41),6)=0),(((49-'V06 Calend 01'!C41)/6)&lt;='V06 Calend 01'!E41)),IF((49=('V06 Calend 01'!C41+(6*'V06 Calend 01'!E41))),('V06 Calend 01'!H41-('V06 Calend 01'!I41*('V06 Calend 01'!E41-1))),'V06 Calend 01'!I41),0))+IF((49='V06 Calend 01'!D41),'V06 Calend 01'!J41,0))</f>
        <v>0</v>
      </c>
      <c r="BJ41" s="2">
        <f>((IF((50='V06 Calend 01'!C41),('V06 Calend 01'!F41+'V06 Calend 01'!G41),0)+IF(AND(('V06 Calend 01'!E41&gt;0),(50&gt;'V06 Calend 01'!C41),(50&lt;'V06 Calend 01'!D41),(MOD((50-'V06 Calend 01'!C41),6)=0),(((50-'V06 Calend 01'!C41)/6)&lt;='V06 Calend 01'!E41)),IF((50=('V06 Calend 01'!C41+(6*'V06 Calend 01'!E41))),('V06 Calend 01'!H41-('V06 Calend 01'!I41*('V06 Calend 01'!E41-1))),'V06 Calend 01'!I41),0))+IF((50='V06 Calend 01'!D41),'V06 Calend 01'!J41,0))</f>
        <v>0</v>
      </c>
      <c r="BK41" s="2">
        <f>((IF((51='V06 Calend 01'!C41),('V06 Calend 01'!F41+'V06 Calend 01'!G41),0)+IF(AND(('V06 Calend 01'!E41&gt;0),(51&gt;'V06 Calend 01'!C41),(51&lt;'V06 Calend 01'!D41),(MOD((51-'V06 Calend 01'!C41),6)=0),(((51-'V06 Calend 01'!C41)/6)&lt;='V06 Calend 01'!E41)),IF((51=('V06 Calend 01'!C41+(6*'V06 Calend 01'!E41))),('V06 Calend 01'!H41-('V06 Calend 01'!I41*('V06 Calend 01'!E41-1))),'V06 Calend 01'!I41),0))+IF((51='V06 Calend 01'!D41),'V06 Calend 01'!J41,0))</f>
        <v>0</v>
      </c>
      <c r="BL41" s="2">
        <f>((IF((52='V06 Calend 01'!C41),('V06 Calend 01'!F41+'V06 Calend 01'!G41),0)+IF(AND(('V06 Calend 01'!E41&gt;0),(52&gt;'V06 Calend 01'!C41),(52&lt;'V06 Calend 01'!D41),(MOD((52-'V06 Calend 01'!C41),6)=0),(((52-'V06 Calend 01'!C41)/6)&lt;='V06 Calend 01'!E41)),IF((52=('V06 Calend 01'!C41+(6*'V06 Calend 01'!E41))),('V06 Calend 01'!H41-('V06 Calend 01'!I41*('V06 Calend 01'!E41-1))),'V06 Calend 01'!I41),0))+IF((52='V06 Calend 01'!D41),'V06 Calend 01'!J41,0))</f>
        <v>0</v>
      </c>
      <c r="BM41" s="2">
        <f>((IF((53='V06 Calend 01'!C41),('V06 Calend 01'!F41+'V06 Calend 01'!G41),0)+IF(AND(('V06 Calend 01'!E41&gt;0),(53&gt;'V06 Calend 01'!C41),(53&lt;'V06 Calend 01'!D41),(MOD((53-'V06 Calend 01'!C41),6)=0),(((53-'V06 Calend 01'!C41)/6)&lt;='V06 Calend 01'!E41)),IF((53=('V06 Calend 01'!C41+(6*'V06 Calend 01'!E41))),('V06 Calend 01'!H41-('V06 Calend 01'!I41*('V06 Calend 01'!E41-1))),'V06 Calend 01'!I41),0))+IF((53='V06 Calend 01'!D41),'V06 Calend 01'!J41,0))</f>
        <v>0</v>
      </c>
      <c r="BN41" s="2">
        <f>((IF((54='V06 Calend 01'!C41),('V06 Calend 01'!F41+'V06 Calend 01'!G41),0)+IF(AND(('V06 Calend 01'!E41&gt;0),(54&gt;'V06 Calend 01'!C41),(54&lt;'V06 Calend 01'!D41),(MOD((54-'V06 Calend 01'!C41),6)=0),(((54-'V06 Calend 01'!C41)/6)&lt;='V06 Calend 01'!E41)),IF((54=('V06 Calend 01'!C41+(6*'V06 Calend 01'!E41))),('V06 Calend 01'!H41-('V06 Calend 01'!I41*('V06 Calend 01'!E41-1))),'V06 Calend 01'!I41),0))+IF((54='V06 Calend 01'!D41),'V06 Calend 01'!J41,0))</f>
        <v>0</v>
      </c>
      <c r="BO41" s="2">
        <f>((IF((55='V06 Calend 01'!C41),('V06 Calend 01'!F41+'V06 Calend 01'!G41),0)+IF(AND(('V06 Calend 01'!E41&gt;0),(55&gt;'V06 Calend 01'!C41),(55&lt;'V06 Calend 01'!D41),(MOD((55-'V06 Calend 01'!C41),6)=0),(((55-'V06 Calend 01'!C41)/6)&lt;='V06 Calend 01'!E41)),IF((55=('V06 Calend 01'!C41+(6*'V06 Calend 01'!E41))),('V06 Calend 01'!H41-('V06 Calend 01'!I41*('V06 Calend 01'!E41-1))),'V06 Calend 01'!I41),0))+IF((55='V06 Calend 01'!D41),'V06 Calend 01'!J41,0))</f>
        <v>0</v>
      </c>
      <c r="BP41" s="2">
        <f>((IF((56='V06 Calend 01'!C41),('V06 Calend 01'!F41+'V06 Calend 01'!G41),0)+IF(AND(('V06 Calend 01'!E41&gt;0),(56&gt;'V06 Calend 01'!C41),(56&lt;'V06 Calend 01'!D41),(MOD((56-'V06 Calend 01'!C41),6)=0),(((56-'V06 Calend 01'!C41)/6)&lt;='V06 Calend 01'!E41)),IF((56=('V06 Calend 01'!C41+(6*'V06 Calend 01'!E41))),('V06 Calend 01'!H41-('V06 Calend 01'!I41*('V06 Calend 01'!E41-1))),'V06 Calend 01'!I41),0))+IF((56='V06 Calend 01'!D41),'V06 Calend 01'!J41,0))</f>
        <v>0</v>
      </c>
      <c r="BQ41" s="2">
        <f>((IF((57='V06 Calend 01'!C41),('V06 Calend 01'!F41+'V06 Calend 01'!G41),0)+IF(AND(('V06 Calend 01'!E41&gt;0),(57&gt;'V06 Calend 01'!C41),(57&lt;'V06 Calend 01'!D41),(MOD((57-'V06 Calend 01'!C41),6)=0),(((57-'V06 Calend 01'!C41)/6)&lt;='V06 Calend 01'!E41)),IF((57=('V06 Calend 01'!C41+(6*'V06 Calend 01'!E41))),('V06 Calend 01'!H41-('V06 Calend 01'!I41*('V06 Calend 01'!E41-1))),'V06 Calend 01'!I41),0))+IF((57='V06 Calend 01'!D41),'V06 Calend 01'!J41,0))</f>
        <v>0</v>
      </c>
      <c r="BR41" s="2">
        <f>((IF((58='V06 Calend 01'!C41),('V06 Calend 01'!F41+'V06 Calend 01'!G41),0)+IF(AND(('V06 Calend 01'!E41&gt;0),(58&gt;'V06 Calend 01'!C41),(58&lt;'V06 Calend 01'!D41),(MOD((58-'V06 Calend 01'!C41),6)=0),(((58-'V06 Calend 01'!C41)/6)&lt;='V06 Calend 01'!E41)),IF((58=('V06 Calend 01'!C41+(6*'V06 Calend 01'!E41))),('V06 Calend 01'!H41-('V06 Calend 01'!I41*('V06 Calend 01'!E41-1))),'V06 Calend 01'!I41),0))+IF((58='V06 Calend 01'!D41),'V06 Calend 01'!J41,0))</f>
        <v>0</v>
      </c>
      <c r="BS41" s="2">
        <f>((IF((59='V06 Calend 01'!C41),('V06 Calend 01'!F41+'V06 Calend 01'!G41),0)+IF(AND(('V06 Calend 01'!E41&gt;0),(59&gt;'V06 Calend 01'!C41),(59&lt;'V06 Calend 01'!D41),(MOD((59-'V06 Calend 01'!C41),6)=0),(((59-'V06 Calend 01'!C41)/6)&lt;='V06 Calend 01'!E41)),IF((59=('V06 Calend 01'!C41+(6*'V06 Calend 01'!E41))),('V06 Calend 01'!H41-('V06 Calend 01'!I41*('V06 Calend 01'!E41-1))),'V06 Calend 01'!I41),0))+IF((59='V06 Calend 01'!D41),'V06 Calend 01'!J41,0))</f>
        <v>0</v>
      </c>
      <c r="BT41" s="2">
        <f>((IF((60='V06 Calend 01'!C41),('V06 Calend 01'!F41+'V06 Calend 01'!G41),0)+IF(AND(('V06 Calend 01'!E41&gt;0),(60&gt;'V06 Calend 01'!C41),(60&lt;'V06 Calend 01'!D41),(MOD((60-'V06 Calend 01'!C41),6)=0),(((60-'V06 Calend 01'!C41)/6)&lt;='V06 Calend 01'!E41)),IF((60=('V06 Calend 01'!C41+(6*'V06 Calend 01'!E41))),('V06 Calend 01'!H41-('V06 Calend 01'!I41*('V06 Calend 01'!E41-1))),'V06 Calend 01'!I41),0))+IF((60='V06 Calend 01'!D41),'V06 Calend 01'!J41,0))</f>
        <v>0</v>
      </c>
      <c r="BU41" s="2">
        <f>((IF((61='V06 Calend 01'!C41),('V06 Calend 01'!F41+'V06 Calend 01'!G41),0)+IF(AND(('V06 Calend 01'!E41&gt;0),(61&gt;'V06 Calend 01'!C41),(61&lt;'V06 Calend 01'!D41),(MOD((61-'V06 Calend 01'!C41),6)=0),(((61-'V06 Calend 01'!C41)/6)&lt;='V06 Calend 01'!E41)),IF((61=('V06 Calend 01'!C41+(6*'V06 Calend 01'!E41))),('V06 Calend 01'!H41-('V06 Calend 01'!I41*('V06 Calend 01'!E41-1))),'V06 Calend 01'!I41),0))+IF((61='V06 Calend 01'!D41),'V06 Calend 01'!J41,0))</f>
        <v>0</v>
      </c>
      <c r="BV41" s="2">
        <f>((IF((62='V06 Calend 01'!C41),('V06 Calend 01'!F41+'V06 Calend 01'!G41),0)+IF(AND(('V06 Calend 01'!E41&gt;0),(62&gt;'V06 Calend 01'!C41),(62&lt;'V06 Calend 01'!D41),(MOD((62-'V06 Calend 01'!C41),6)=0),(((62-'V06 Calend 01'!C41)/6)&lt;='V06 Calend 01'!E41)),IF((62=('V06 Calend 01'!C41+(6*'V06 Calend 01'!E41))),('V06 Calend 01'!H41-('V06 Calend 01'!I41*('V06 Calend 01'!E41-1))),'V06 Calend 01'!I41),0))+IF((62='V06 Calend 01'!D41),'V06 Calend 01'!J41,0))</f>
        <v>0</v>
      </c>
      <c r="BW41" s="2">
        <f>((IF((63='V06 Calend 01'!C41),('V06 Calend 01'!F41+'V06 Calend 01'!G41),0)+IF(AND(('V06 Calend 01'!E41&gt;0),(63&gt;'V06 Calend 01'!C41),(63&lt;'V06 Calend 01'!D41),(MOD((63-'V06 Calend 01'!C41),6)=0),(((63-'V06 Calend 01'!C41)/6)&lt;='V06 Calend 01'!E41)),IF((63=('V06 Calend 01'!C41+(6*'V06 Calend 01'!E41))),('V06 Calend 01'!H41-('V06 Calend 01'!I41*('V06 Calend 01'!E41-1))),'V06 Calend 01'!I41),0))+IF((63='V06 Calend 01'!D41),'V06 Calend 01'!J41,0))</f>
        <v>0</v>
      </c>
      <c r="BX41" s="2">
        <f>((IF((64='V06 Calend 01'!C41),('V06 Calend 01'!F41+'V06 Calend 01'!G41),0)+IF(AND(('V06 Calend 01'!E41&gt;0),(64&gt;'V06 Calend 01'!C41),(64&lt;'V06 Calend 01'!D41),(MOD((64-'V06 Calend 01'!C41),6)=0),(((64-'V06 Calend 01'!C41)/6)&lt;='V06 Calend 01'!E41)),IF((64=('V06 Calend 01'!C41+(6*'V06 Calend 01'!E41))),('V06 Calend 01'!H41-('V06 Calend 01'!I41*('V06 Calend 01'!E41-1))),'V06 Calend 01'!I41),0))+IF((64='V06 Calend 01'!D41),'V06 Calend 01'!J41,0))</f>
        <v>0</v>
      </c>
      <c r="BY41" s="2">
        <f>((IF((65='V06 Calend 01'!C41),('V06 Calend 01'!F41+'V06 Calend 01'!G41),0)+IF(AND(('V06 Calend 01'!E41&gt;0),(65&gt;'V06 Calend 01'!C41),(65&lt;'V06 Calend 01'!D41),(MOD((65-'V06 Calend 01'!C41),6)=0),(((65-'V06 Calend 01'!C41)/6)&lt;='V06 Calend 01'!E41)),IF((65=('V06 Calend 01'!C41+(6*'V06 Calend 01'!E41))),('V06 Calend 01'!H41-('V06 Calend 01'!I41*('V06 Calend 01'!E41-1))),'V06 Calend 01'!I41),0))+IF((65='V06 Calend 01'!D41),'V06 Calend 01'!J41,0))</f>
        <v>0</v>
      </c>
      <c r="BZ41" s="2">
        <f>((IF((66='V06 Calend 01'!C41),('V06 Calend 01'!F41+'V06 Calend 01'!G41),0)+IF(AND(('V06 Calend 01'!E41&gt;0),(66&gt;'V06 Calend 01'!C41),(66&lt;'V06 Calend 01'!D41),(MOD((66-'V06 Calend 01'!C41),6)=0),(((66-'V06 Calend 01'!C41)/6)&lt;='V06 Calend 01'!E41)),IF((66=('V06 Calend 01'!C41+(6*'V06 Calend 01'!E41))),('V06 Calend 01'!H41-('V06 Calend 01'!I41*('V06 Calend 01'!E41-1))),'V06 Calend 01'!I41),0))+IF((66='V06 Calend 01'!D41),'V06 Calend 01'!J41,0))</f>
        <v>0</v>
      </c>
      <c r="CA41" s="2">
        <f>((IF((67='V06 Calend 01'!C41),('V06 Calend 01'!F41+'V06 Calend 01'!G41),0)+IF(AND(('V06 Calend 01'!E41&gt;0),(67&gt;'V06 Calend 01'!C41),(67&lt;'V06 Calend 01'!D41),(MOD((67-'V06 Calend 01'!C41),6)=0),(((67-'V06 Calend 01'!C41)/6)&lt;='V06 Calend 01'!E41)),IF((67=('V06 Calend 01'!C41+(6*'V06 Calend 01'!E41))),('V06 Calend 01'!H41-('V06 Calend 01'!I41*('V06 Calend 01'!E41-1))),'V06 Calend 01'!I41),0))+IF((67='V06 Calend 01'!D41),'V06 Calend 01'!J41,0))</f>
        <v>0</v>
      </c>
      <c r="CB41" s="2">
        <f>((IF((68='V06 Calend 01'!C41),('V06 Calend 01'!F41+'V06 Calend 01'!G41),0)+IF(AND(('V06 Calend 01'!E41&gt;0),(68&gt;'V06 Calend 01'!C41),(68&lt;'V06 Calend 01'!D41),(MOD((68-'V06 Calend 01'!C41),6)=0),(((68-'V06 Calend 01'!C41)/6)&lt;='V06 Calend 01'!E41)),IF((68=('V06 Calend 01'!C41+(6*'V06 Calend 01'!E41))),('V06 Calend 01'!H41-('V06 Calend 01'!I41*('V06 Calend 01'!E41-1))),'V06 Calend 01'!I41),0))+IF((68='V06 Calend 01'!D41),'V06 Calend 01'!J41,0))</f>
        <v>0</v>
      </c>
      <c r="CC41" s="2">
        <f>((IF((69='V06 Calend 01'!C41),('V06 Calend 01'!F41+'V06 Calend 01'!G41),0)+IF(AND(('V06 Calend 01'!E41&gt;0),(69&gt;'V06 Calend 01'!C41),(69&lt;'V06 Calend 01'!D41),(MOD((69-'V06 Calend 01'!C41),6)=0),(((69-'V06 Calend 01'!C41)/6)&lt;='V06 Calend 01'!E41)),IF((69=('V06 Calend 01'!C41+(6*'V06 Calend 01'!E41))),('V06 Calend 01'!H41-('V06 Calend 01'!I41*('V06 Calend 01'!E41-1))),'V06 Calend 01'!I41),0))+IF((69='V06 Calend 01'!D41),'V06 Calend 01'!J41,0))</f>
        <v>0</v>
      </c>
      <c r="CD41" s="2">
        <f>((IF((70='V06 Calend 01'!C41),('V06 Calend 01'!F41+'V06 Calend 01'!G41),0)+IF(AND(('V06 Calend 01'!E41&gt;0),(70&gt;'V06 Calend 01'!C41),(70&lt;'V06 Calend 01'!D41),(MOD((70-'V06 Calend 01'!C41),6)=0),(((70-'V06 Calend 01'!C41)/6)&lt;='V06 Calend 01'!E41)),IF((70=('V06 Calend 01'!C41+(6*'V06 Calend 01'!E41))),('V06 Calend 01'!H41-('V06 Calend 01'!I41*('V06 Calend 01'!E41-1))),'V06 Calend 01'!I41),0))+IF((70='V06 Calend 01'!D41),'V06 Calend 01'!J41,0))</f>
        <v>0</v>
      </c>
      <c r="CE41" s="2">
        <f>((IF((71='V06 Calend 01'!C41),('V06 Calend 01'!F41+'V06 Calend 01'!G41),0)+IF(AND(('V06 Calend 01'!E41&gt;0),(71&gt;'V06 Calend 01'!C41),(71&lt;'V06 Calend 01'!D41),(MOD((71-'V06 Calend 01'!C41),6)=0),(((71-'V06 Calend 01'!C41)/6)&lt;='V06 Calend 01'!E41)),IF((71=('V06 Calend 01'!C41+(6*'V06 Calend 01'!E41))),('V06 Calend 01'!H41-('V06 Calend 01'!I41*('V06 Calend 01'!E41-1))),'V06 Calend 01'!I41),0))+IF((71='V06 Calend 01'!D41),'V06 Calend 01'!J41,0))</f>
        <v>0</v>
      </c>
      <c r="CF41" s="2">
        <f>((IF((72='V06 Calend 01'!C41),('V06 Calend 01'!F41+'V06 Calend 01'!G41),0)+IF(AND(('V06 Calend 01'!E41&gt;0),(72&gt;'V06 Calend 01'!C41),(72&lt;'V06 Calend 01'!D41),(MOD((72-'V06 Calend 01'!C41),6)=0),(((72-'V06 Calend 01'!C41)/6)&lt;='V06 Calend 01'!E41)),IF((72=('V06 Calend 01'!C41+(6*'V06 Calend 01'!E41))),('V06 Calend 01'!H41-('V06 Calend 01'!I41*('V06 Calend 01'!E41-1))),'V06 Calend 01'!I41),0))+IF((72='V06 Calend 01'!D41),'V06 Calend 01'!J41,0))</f>
        <v>0</v>
      </c>
      <c r="CG41" s="2">
        <f>((IF((73='V06 Calend 01'!C41),('V06 Calend 01'!F41+'V06 Calend 01'!G41),0)+IF(AND(('V06 Calend 01'!E41&gt;0),(73&gt;'V06 Calend 01'!C41),(73&lt;'V06 Calend 01'!D41),(MOD((73-'V06 Calend 01'!C41),6)=0),(((73-'V06 Calend 01'!C41)/6)&lt;='V06 Calend 01'!E41)),IF((73=('V06 Calend 01'!C41+(6*'V06 Calend 01'!E41))),('V06 Calend 01'!H41-('V06 Calend 01'!I41*('V06 Calend 01'!E41-1))),'V06 Calend 01'!I41),0))+IF((73='V06 Calend 01'!D41),'V06 Calend 01'!J41,0))</f>
        <v>0</v>
      </c>
      <c r="CH41" s="2">
        <f>((IF((74='V06 Calend 01'!C41),('V06 Calend 01'!F41+'V06 Calend 01'!G41),0)+IF(AND(('V06 Calend 01'!E41&gt;0),(74&gt;'V06 Calend 01'!C41),(74&lt;'V06 Calend 01'!D41),(MOD((74-'V06 Calend 01'!C41),6)=0),(((74-'V06 Calend 01'!C41)/6)&lt;='V06 Calend 01'!E41)),IF((74=('V06 Calend 01'!C41+(6*'V06 Calend 01'!E41))),('V06 Calend 01'!H41-('V06 Calend 01'!I41*('V06 Calend 01'!E41-1))),'V06 Calend 01'!I41),0))+IF((74='V06 Calend 01'!D41),'V06 Calend 01'!J41,0))</f>
        <v>0</v>
      </c>
      <c r="CI41" s="2">
        <f>((IF((75='V06 Calend 01'!C41),('V06 Calend 01'!F41+'V06 Calend 01'!G41),0)+IF(AND(('V06 Calend 01'!E41&gt;0),(75&gt;'V06 Calend 01'!C41),(75&lt;'V06 Calend 01'!D41),(MOD((75-'V06 Calend 01'!C41),6)=0),(((75-'V06 Calend 01'!C41)/6)&lt;='V06 Calend 01'!E41)),IF((75=('V06 Calend 01'!C41+(6*'V06 Calend 01'!E41))),('V06 Calend 01'!H41-('V06 Calend 01'!I41*('V06 Calend 01'!E41-1))),'V06 Calend 01'!I41),0))+IF((75='V06 Calend 01'!D41),'V06 Calend 01'!J41,0))</f>
        <v>0</v>
      </c>
      <c r="CJ41" s="2">
        <f>((IF((76='V06 Calend 01'!C41),('V06 Calend 01'!F41+'V06 Calend 01'!G41),0)+IF(AND(('V06 Calend 01'!E41&gt;0),(76&gt;'V06 Calend 01'!C41),(76&lt;'V06 Calend 01'!D41),(MOD((76-'V06 Calend 01'!C41),6)=0),(((76-'V06 Calend 01'!C41)/6)&lt;='V06 Calend 01'!E41)),IF((76=('V06 Calend 01'!C41+(6*'V06 Calend 01'!E41))),('V06 Calend 01'!H41-('V06 Calend 01'!I41*('V06 Calend 01'!E41-1))),'V06 Calend 01'!I41),0))+IF((76='V06 Calend 01'!D41),'V06 Calend 01'!J41,0))</f>
        <v>0</v>
      </c>
      <c r="CK41" s="2">
        <f>((IF((77='V06 Calend 01'!C41),('V06 Calend 01'!F41+'V06 Calend 01'!G41),0)+IF(AND(('V06 Calend 01'!E41&gt;0),(77&gt;'V06 Calend 01'!C41),(77&lt;'V06 Calend 01'!D41),(MOD((77-'V06 Calend 01'!C41),6)=0),(((77-'V06 Calend 01'!C41)/6)&lt;='V06 Calend 01'!E41)),IF((77=('V06 Calend 01'!C41+(6*'V06 Calend 01'!E41))),('V06 Calend 01'!H41-('V06 Calend 01'!I41*('V06 Calend 01'!E41-1))),'V06 Calend 01'!I41),0))+IF((77='V06 Calend 01'!D41),'V06 Calend 01'!J41,0))</f>
        <v>0</v>
      </c>
      <c r="CL41" s="2">
        <f>((IF((78='V06 Calend 01'!C41),('V06 Calend 01'!F41+'V06 Calend 01'!G41),0)+IF(AND(('V06 Calend 01'!E41&gt;0),(78&gt;'V06 Calend 01'!C41),(78&lt;'V06 Calend 01'!D41),(MOD((78-'V06 Calend 01'!C41),6)=0),(((78-'V06 Calend 01'!C41)/6)&lt;='V06 Calend 01'!E41)),IF((78=('V06 Calend 01'!C41+(6*'V06 Calend 01'!E41))),('V06 Calend 01'!H41-('V06 Calend 01'!I41*('V06 Calend 01'!E41-1))),'V06 Calend 01'!I41),0))+IF((78='V06 Calend 01'!D41),'V06 Calend 01'!J41,0))</f>
        <v>0</v>
      </c>
      <c r="CM41" s="2">
        <f>((IF((79='V06 Calend 01'!C41),('V06 Calend 01'!F41+'V06 Calend 01'!G41),0)+IF(AND(('V06 Calend 01'!E41&gt;0),(79&gt;'V06 Calend 01'!C41),(79&lt;'V06 Calend 01'!D41),(MOD((79-'V06 Calend 01'!C41),6)=0),(((79-'V06 Calend 01'!C41)/6)&lt;='V06 Calend 01'!E41)),IF((79=('V06 Calend 01'!C41+(6*'V06 Calend 01'!E41))),('V06 Calend 01'!H41-('V06 Calend 01'!I41*('V06 Calend 01'!E41-1))),'V06 Calend 01'!I41),0))+IF((79='V06 Calend 01'!D41),'V06 Calend 01'!J41,0))</f>
        <v>0</v>
      </c>
      <c r="CN41" s="2">
        <f>((IF((80='V06 Calend 01'!C41),('V06 Calend 01'!F41+'V06 Calend 01'!G41),0)+IF(AND(('V06 Calend 01'!E41&gt;0),(80&gt;'V06 Calend 01'!C41),(80&lt;'V06 Calend 01'!D41),(MOD((80-'V06 Calend 01'!C41),6)=0),(((80-'V06 Calend 01'!C41)/6)&lt;='V06 Calend 01'!E41)),IF((80=('V06 Calend 01'!C41+(6*'V06 Calend 01'!E41))),('V06 Calend 01'!H41-('V06 Calend 01'!I41*('V06 Calend 01'!E41-1))),'V06 Calend 01'!I41),0))+IF((80='V06 Calend 01'!D41),'V06 Calend 01'!J41,0))</f>
        <v>0</v>
      </c>
      <c r="CO41" s="2">
        <f>((IF((81='V06 Calend 01'!C41),('V06 Calend 01'!F41+'V06 Calend 01'!G41),0)+IF(AND(('V06 Calend 01'!E41&gt;0),(81&gt;'V06 Calend 01'!C41),(81&lt;'V06 Calend 01'!D41),(MOD((81-'V06 Calend 01'!C41),6)=0),(((81-'V06 Calend 01'!C41)/6)&lt;='V06 Calend 01'!E41)),IF((81=('V06 Calend 01'!C41+(6*'V06 Calend 01'!E41))),('V06 Calend 01'!H41-('V06 Calend 01'!I41*('V06 Calend 01'!E41-1))),'V06 Calend 01'!I41),0))+IF((81='V06 Calend 01'!D41),'V06 Calend 01'!J41,0))</f>
        <v>0</v>
      </c>
      <c r="CP41" s="2">
        <f>((IF((82='V06 Calend 01'!C41),('V06 Calend 01'!F41+'V06 Calend 01'!G41),0)+IF(AND(('V06 Calend 01'!E41&gt;0),(82&gt;'V06 Calend 01'!C41),(82&lt;'V06 Calend 01'!D41),(MOD((82-'V06 Calend 01'!C41),6)=0),(((82-'V06 Calend 01'!C41)/6)&lt;='V06 Calend 01'!E41)),IF((82=('V06 Calend 01'!C41+(6*'V06 Calend 01'!E41))),('V06 Calend 01'!H41-('V06 Calend 01'!I41*('V06 Calend 01'!E41-1))),'V06 Calend 01'!I41),0))+IF((82='V06 Calend 01'!D41),'V06 Calend 01'!J41,0))</f>
        <v>0</v>
      </c>
      <c r="CQ41" s="2">
        <f>((IF((83='V06 Calend 01'!C41),('V06 Calend 01'!F41+'V06 Calend 01'!G41),0)+IF(AND(('V06 Calend 01'!E41&gt;0),(83&gt;'V06 Calend 01'!C41),(83&lt;'V06 Calend 01'!D41),(MOD((83-'V06 Calend 01'!C41),6)=0),(((83-'V06 Calend 01'!C41)/6)&lt;='V06 Calend 01'!E41)),IF((83=('V06 Calend 01'!C41+(6*'V06 Calend 01'!E41))),('V06 Calend 01'!H41-('V06 Calend 01'!I41*('V06 Calend 01'!E41-1))),'V06 Calend 01'!I41),0))+IF((83='V06 Calend 01'!D41),'V06 Calend 01'!J41,0))</f>
        <v>0</v>
      </c>
      <c r="CR41" s="2">
        <f>((IF((84='V06 Calend 01'!C41),('V06 Calend 01'!F41+'V06 Calend 01'!G41),0)+IF(AND(('V06 Calend 01'!E41&gt;0),(84&gt;'V06 Calend 01'!C41),(84&lt;'V06 Calend 01'!D41),(MOD((84-'V06 Calend 01'!C41),6)=0),(((84-'V06 Calend 01'!C41)/6)&lt;='V06 Calend 01'!E41)),IF((84=('V06 Calend 01'!C41+(6*'V06 Calend 01'!E41))),('V06 Calend 01'!H41-('V06 Calend 01'!I41*('V06 Calend 01'!E41-1))),'V06 Calend 01'!I41),0))+IF((84='V06 Calend 01'!D41),'V06 Calend 01'!J41,0))</f>
        <v>0</v>
      </c>
      <c r="CS41" s="2">
        <f>((IF((85='V06 Calend 01'!C41),('V06 Calend 01'!F41+'V06 Calend 01'!G41),0)+IF(AND(('V06 Calend 01'!E41&gt;0),(85&gt;'V06 Calend 01'!C41),(85&lt;'V06 Calend 01'!D41),(MOD((85-'V06 Calend 01'!C41),6)=0),(((85-'V06 Calend 01'!C41)/6)&lt;='V06 Calend 01'!E41)),IF((85=('V06 Calend 01'!C41+(6*'V06 Calend 01'!E41))),('V06 Calend 01'!H41-('V06 Calend 01'!I41*('V06 Calend 01'!E41-1))),'V06 Calend 01'!I41),0))+IF((85='V06 Calend 01'!D41),'V06 Calend 01'!J41,0))</f>
        <v>0</v>
      </c>
      <c r="CT41" s="2">
        <f>((IF((86='V06 Calend 01'!C41),('V06 Calend 01'!F41+'V06 Calend 01'!G41),0)+IF(AND(('V06 Calend 01'!E41&gt;0),(86&gt;'V06 Calend 01'!C41),(86&lt;'V06 Calend 01'!D41),(MOD((86-'V06 Calend 01'!C41),6)=0),(((86-'V06 Calend 01'!C41)/6)&lt;='V06 Calend 01'!E41)),IF((86=('V06 Calend 01'!C41+(6*'V06 Calend 01'!E41))),('V06 Calend 01'!H41-('V06 Calend 01'!I41*('V06 Calend 01'!E41-1))),'V06 Calend 01'!I41),0))+IF((86='V06 Calend 01'!D41),'V06 Calend 01'!J41,0))</f>
        <v>0</v>
      </c>
      <c r="CU41" s="2">
        <f>((IF((87='V06 Calend 01'!C41),('V06 Calend 01'!F41+'V06 Calend 01'!G41),0)+IF(AND(('V06 Calend 01'!E41&gt;0),(87&gt;'V06 Calend 01'!C41),(87&lt;'V06 Calend 01'!D41),(MOD((87-'V06 Calend 01'!C41),6)=0),(((87-'V06 Calend 01'!C41)/6)&lt;='V06 Calend 01'!E41)),IF((87=('V06 Calend 01'!C41+(6*'V06 Calend 01'!E41))),('V06 Calend 01'!H41-('V06 Calend 01'!I41*('V06 Calend 01'!E41-1))),'V06 Calend 01'!I41),0))+IF((87='V06 Calend 01'!D41),'V06 Calend 01'!J41,0))</f>
        <v>0</v>
      </c>
      <c r="CV41" s="2">
        <f>((IF((88='V06 Calend 01'!C41),('V06 Calend 01'!F41+'V06 Calend 01'!G41),0)+IF(AND(('V06 Calend 01'!E41&gt;0),(88&gt;'V06 Calend 01'!C41),(88&lt;'V06 Calend 01'!D41),(MOD((88-'V06 Calend 01'!C41),6)=0),(((88-'V06 Calend 01'!C41)/6)&lt;='V06 Calend 01'!E41)),IF((88=('V06 Calend 01'!C41+(6*'V06 Calend 01'!E41))),('V06 Calend 01'!H41-('V06 Calend 01'!I41*('V06 Calend 01'!E41-1))),'V06 Calend 01'!I41),0))+IF((88='V06 Calend 01'!D41),'V06 Calend 01'!J41,0))</f>
        <v>0</v>
      </c>
      <c r="CW41" s="2">
        <f>((IF((89='V06 Calend 01'!C41),('V06 Calend 01'!F41+'V06 Calend 01'!G41),0)+IF(AND(('V06 Calend 01'!E41&gt;0),(89&gt;'V06 Calend 01'!C41),(89&lt;'V06 Calend 01'!D41),(MOD((89-'V06 Calend 01'!C41),6)=0),(((89-'V06 Calend 01'!C41)/6)&lt;='V06 Calend 01'!E41)),IF((89=('V06 Calend 01'!C41+(6*'V06 Calend 01'!E41))),('V06 Calend 01'!H41-('V06 Calend 01'!I41*('V06 Calend 01'!E41-1))),'V06 Calend 01'!I41),0))+IF((89='V06 Calend 01'!D41),'V06 Calend 01'!J41,0))</f>
        <v>0</v>
      </c>
      <c r="CX41" s="2">
        <f>((IF((90='V06 Calend 01'!C41),('V06 Calend 01'!F41+'V06 Calend 01'!G41),0)+IF(AND(('V06 Calend 01'!E41&gt;0),(90&gt;'V06 Calend 01'!C41),(90&lt;'V06 Calend 01'!D41),(MOD((90-'V06 Calend 01'!C41),6)=0),(((90-'V06 Calend 01'!C41)/6)&lt;='V06 Calend 01'!E41)),IF((90=('V06 Calend 01'!C41+(6*'V06 Calend 01'!E41))),('V06 Calend 01'!H41-('V06 Calend 01'!I41*('V06 Calend 01'!E41-1))),'V06 Calend 01'!I41),0))+IF((90='V06 Calend 01'!D41),'V06 Calend 01'!J41,0))</f>
        <v>0</v>
      </c>
      <c r="CY41" s="2">
        <f>((IF((91='V06 Calend 01'!C41),('V06 Calend 01'!F41+'V06 Calend 01'!G41),0)+IF(AND(('V06 Calend 01'!E41&gt;0),(91&gt;'V06 Calend 01'!C41),(91&lt;'V06 Calend 01'!D41),(MOD((91-'V06 Calend 01'!C41),6)=0),(((91-'V06 Calend 01'!C41)/6)&lt;='V06 Calend 01'!E41)),IF((91=('V06 Calend 01'!C41+(6*'V06 Calend 01'!E41))),('V06 Calend 01'!H41-('V06 Calend 01'!I41*('V06 Calend 01'!E41-1))),'V06 Calend 01'!I41),0))+IF((91='V06 Calend 01'!D41),'V06 Calend 01'!J41,0))</f>
        <v>0</v>
      </c>
      <c r="CZ41" s="2">
        <f>((IF((92='V06 Calend 01'!C41),('V06 Calend 01'!F41+'V06 Calend 01'!G41),0)+IF(AND(('V06 Calend 01'!E41&gt;0),(92&gt;'V06 Calend 01'!C41),(92&lt;'V06 Calend 01'!D41),(MOD((92-'V06 Calend 01'!C41),6)=0),(((92-'V06 Calend 01'!C41)/6)&lt;='V06 Calend 01'!E41)),IF((92=('V06 Calend 01'!C41+(6*'V06 Calend 01'!E41))),('V06 Calend 01'!H41-('V06 Calend 01'!I41*('V06 Calend 01'!E41-1))),'V06 Calend 01'!I41),0))+IF((92='V06 Calend 01'!D41),'V06 Calend 01'!J41,0))</f>
        <v>0</v>
      </c>
      <c r="DA41" s="2">
        <f>((IF((93='V06 Calend 01'!C41),('V06 Calend 01'!F41+'V06 Calend 01'!G41),0)+IF(AND(('V06 Calend 01'!E41&gt;0),(93&gt;'V06 Calend 01'!C41),(93&lt;'V06 Calend 01'!D41),(MOD((93-'V06 Calend 01'!C41),6)=0),(((93-'V06 Calend 01'!C41)/6)&lt;='V06 Calend 01'!E41)),IF((93=('V06 Calend 01'!C41+(6*'V06 Calend 01'!E41))),('V06 Calend 01'!H41-('V06 Calend 01'!I41*('V06 Calend 01'!E41-1))),'V06 Calend 01'!I41),0))+IF((93='V06 Calend 01'!D41),'V06 Calend 01'!J41,0))</f>
        <v>0</v>
      </c>
      <c r="DB41" s="2">
        <f>((IF((94='V06 Calend 01'!C41),('V06 Calend 01'!F41+'V06 Calend 01'!G41),0)+IF(AND(('V06 Calend 01'!E41&gt;0),(94&gt;'V06 Calend 01'!C41),(94&lt;'V06 Calend 01'!D41),(MOD((94-'V06 Calend 01'!C41),6)=0),(((94-'V06 Calend 01'!C41)/6)&lt;='V06 Calend 01'!E41)),IF((94=('V06 Calend 01'!C41+(6*'V06 Calend 01'!E41))),('V06 Calend 01'!H41-('V06 Calend 01'!I41*('V06 Calend 01'!E41-1))),'V06 Calend 01'!I41),0))+IF((94='V06 Calend 01'!D41),'V06 Calend 01'!J41,0))</f>
        <v>0</v>
      </c>
      <c r="DC41" s="2">
        <f>((IF((95='V06 Calend 01'!C41),('V06 Calend 01'!F41+'V06 Calend 01'!G41),0)+IF(AND(('V06 Calend 01'!E41&gt;0),(95&gt;'V06 Calend 01'!C41),(95&lt;'V06 Calend 01'!D41),(MOD((95-'V06 Calend 01'!C41),6)=0),(((95-'V06 Calend 01'!C41)/6)&lt;='V06 Calend 01'!E41)),IF((95=('V06 Calend 01'!C41+(6*'V06 Calend 01'!E41))),('V06 Calend 01'!H41-('V06 Calend 01'!I41*('V06 Calend 01'!E41-1))),'V06 Calend 01'!I41),0))+IF((95='V06 Calend 01'!D41),'V06 Calend 01'!J41,0))</f>
        <v>0</v>
      </c>
      <c r="DD41" s="2">
        <f>((IF((96='V06 Calend 01'!C41),('V06 Calend 01'!F41+'V06 Calend 01'!G41),0)+IF(AND(('V06 Calend 01'!E41&gt;0),(96&gt;'V06 Calend 01'!C41),(96&lt;'V06 Calend 01'!D41),(MOD((96-'V06 Calend 01'!C41),6)=0),(((96-'V06 Calend 01'!C41)/6)&lt;='V06 Calend 01'!E41)),IF((96=('V06 Calend 01'!C41+(6*'V06 Calend 01'!E41))),('V06 Calend 01'!H41-('V06 Calend 01'!I41*('V06 Calend 01'!E41-1))),'V06 Calend 01'!I41),0))+IF((96='V06 Calend 01'!D41),'V06 Calend 01'!J41,0))</f>
        <v>0</v>
      </c>
      <c r="DE41" s="2">
        <f>((IF((97='V06 Calend 01'!C41),('V06 Calend 01'!F41+'V06 Calend 01'!G41),0)+IF(AND(('V06 Calend 01'!E41&gt;0),(97&gt;'V06 Calend 01'!C41),(97&lt;'V06 Calend 01'!D41),(MOD((97-'V06 Calend 01'!C41),6)=0),(((97-'V06 Calend 01'!C41)/6)&lt;='V06 Calend 01'!E41)),IF((97=('V06 Calend 01'!C41+(6*'V06 Calend 01'!E41))),('V06 Calend 01'!H41-('V06 Calend 01'!I41*('V06 Calend 01'!E41-1))),'V06 Calend 01'!I41),0))+IF((97='V06 Calend 01'!D41),'V06 Calend 01'!J41,0))</f>
        <v>0</v>
      </c>
      <c r="DF41" s="2">
        <f>((IF((98='V06 Calend 01'!C41),('V06 Calend 01'!F41+'V06 Calend 01'!G41),0)+IF(AND(('V06 Calend 01'!E41&gt;0),(98&gt;'V06 Calend 01'!C41),(98&lt;'V06 Calend 01'!D41),(MOD((98-'V06 Calend 01'!C41),6)=0),(((98-'V06 Calend 01'!C41)/6)&lt;='V06 Calend 01'!E41)),IF((98=('V06 Calend 01'!C41+(6*'V06 Calend 01'!E41))),('V06 Calend 01'!H41-('V06 Calend 01'!I41*('V06 Calend 01'!E41-1))),'V06 Calend 01'!I41),0))+IF((98='V06 Calend 01'!D41),'V06 Calend 01'!J41,0))</f>
        <v>0</v>
      </c>
      <c r="DG41" s="2">
        <f>((IF((99='V06 Calend 01'!C41),('V06 Calend 01'!F41+'V06 Calend 01'!G41),0)+IF(AND(('V06 Calend 01'!E41&gt;0),(99&gt;'V06 Calend 01'!C41),(99&lt;'V06 Calend 01'!D41),(MOD((99-'V06 Calend 01'!C41),6)=0),(((99-'V06 Calend 01'!C41)/6)&lt;='V06 Calend 01'!E41)),IF((99=('V06 Calend 01'!C41+(6*'V06 Calend 01'!E41))),('V06 Calend 01'!H41-('V06 Calend 01'!I41*('V06 Calend 01'!E41-1))),'V06 Calend 01'!I41),0))+IF((99='V06 Calend 01'!D41),'V06 Calend 01'!J41,0))</f>
        <v>0</v>
      </c>
      <c r="DH41" s="2">
        <f>((IF((100='V06 Calend 01'!C41),('V06 Calend 01'!F41+'V06 Calend 01'!G41),0)+IF(AND(('V06 Calend 01'!E41&gt;0),(100&gt;'V06 Calend 01'!C41),(100&lt;'V06 Calend 01'!D41),(MOD((100-'V06 Calend 01'!C41),6)=0),(((100-'V06 Calend 01'!C41)/6)&lt;='V06 Calend 01'!E41)),IF((100=('V06 Calend 01'!C41+(6*'V06 Calend 01'!E41))),('V06 Calend 01'!H41-('V06 Calend 01'!I41*('V06 Calend 01'!E41-1))),'V06 Calend 01'!I41),0))+IF((100='V06 Calend 01'!D41),'V06 Calend 01'!J41,0))</f>
        <v>0</v>
      </c>
      <c r="DI41" s="2">
        <f>((IF((101='V06 Calend 01'!C41),('V06 Calend 01'!F41+'V06 Calend 01'!G41),0)+IF(AND(('V06 Calend 01'!E41&gt;0),(101&gt;'V06 Calend 01'!C41),(101&lt;'V06 Calend 01'!D41),(MOD((101-'V06 Calend 01'!C41),6)=0),(((101-'V06 Calend 01'!C41)/6)&lt;='V06 Calend 01'!E41)),IF((101=('V06 Calend 01'!C41+(6*'V06 Calend 01'!E41))),('V06 Calend 01'!H41-('V06 Calend 01'!I41*('V06 Calend 01'!E41-1))),'V06 Calend 01'!I41),0))+IF((101='V06 Calend 01'!D41),'V06 Calend 01'!J41,0))</f>
        <v>0</v>
      </c>
      <c r="DJ41" s="2">
        <f>((IF((102='V06 Calend 01'!C41),('V06 Calend 01'!F41+'V06 Calend 01'!G41),0)+IF(AND(('V06 Calend 01'!E41&gt;0),(102&gt;'V06 Calend 01'!C41),(102&lt;'V06 Calend 01'!D41),(MOD((102-'V06 Calend 01'!C41),6)=0),(((102-'V06 Calend 01'!C41)/6)&lt;='V06 Calend 01'!E41)),IF((102=('V06 Calend 01'!C41+(6*'V06 Calend 01'!E41))),('V06 Calend 01'!H41-('V06 Calend 01'!I41*('V06 Calend 01'!E41-1))),'V06 Calend 01'!I41),0))+IF((102='V06 Calend 01'!D41),'V06 Calend 01'!J41,0))</f>
        <v>0</v>
      </c>
      <c r="DK41" s="2">
        <f>((IF((103='V06 Calend 01'!C41),('V06 Calend 01'!F41+'V06 Calend 01'!G41),0)+IF(AND(('V06 Calend 01'!E41&gt;0),(103&gt;'V06 Calend 01'!C41),(103&lt;'V06 Calend 01'!D41),(MOD((103-'V06 Calend 01'!C41),6)=0),(((103-'V06 Calend 01'!C41)/6)&lt;='V06 Calend 01'!E41)),IF((103=('V06 Calend 01'!C41+(6*'V06 Calend 01'!E41))),('V06 Calend 01'!H41-('V06 Calend 01'!I41*('V06 Calend 01'!E41-1))),'V06 Calend 01'!I41),0))+IF((103='V06 Calend 01'!D41),'V06 Calend 01'!J41,0))</f>
        <v>0</v>
      </c>
      <c r="DL41" s="2">
        <f>((IF((104='V06 Calend 01'!C41),('V06 Calend 01'!F41+'V06 Calend 01'!G41),0)+IF(AND(('V06 Calend 01'!E41&gt;0),(104&gt;'V06 Calend 01'!C41),(104&lt;'V06 Calend 01'!D41),(MOD((104-'V06 Calend 01'!C41),6)=0),(((104-'V06 Calend 01'!C41)/6)&lt;='V06 Calend 01'!E41)),IF((104=('V06 Calend 01'!C41+(6*'V06 Calend 01'!E41))),('V06 Calend 01'!H41-('V06 Calend 01'!I41*('V06 Calend 01'!E41-1))),'V06 Calend 01'!I41),0))+IF((104='V06 Calend 01'!D41),'V06 Calend 01'!J41,0))</f>
        <v>0</v>
      </c>
      <c r="DM41" s="2">
        <f>((IF((105='V06 Calend 01'!C41),('V06 Calend 01'!F41+'V06 Calend 01'!G41),0)+IF(AND(('V06 Calend 01'!E41&gt;0),(105&gt;'V06 Calend 01'!C41),(105&lt;'V06 Calend 01'!D41),(MOD((105-'V06 Calend 01'!C41),6)=0),(((105-'V06 Calend 01'!C41)/6)&lt;='V06 Calend 01'!E41)),IF((105=('V06 Calend 01'!C41+(6*'V06 Calend 01'!E41))),('V06 Calend 01'!H41-('V06 Calend 01'!I41*('V06 Calend 01'!E41-1))),'V06 Calend 01'!I41),0))+IF((105='V06 Calend 01'!D41),'V06 Calend 01'!J41,0))</f>
        <v>0</v>
      </c>
      <c r="DN41" s="2">
        <f>((IF((106='V06 Calend 01'!C41),('V06 Calend 01'!F41+'V06 Calend 01'!G41),0)+IF(AND(('V06 Calend 01'!E41&gt;0),(106&gt;'V06 Calend 01'!C41),(106&lt;'V06 Calend 01'!D41),(MOD((106-'V06 Calend 01'!C41),6)=0),(((106-'V06 Calend 01'!C41)/6)&lt;='V06 Calend 01'!E41)),IF((106=('V06 Calend 01'!C41+(6*'V06 Calend 01'!E41))),('V06 Calend 01'!H41-('V06 Calend 01'!I41*('V06 Calend 01'!E41-1))),'V06 Calend 01'!I41),0))+IF((106='V06 Calend 01'!D41),'V06 Calend 01'!J41,0))</f>
        <v>0</v>
      </c>
      <c r="DO41" s="2">
        <f>((IF((107='V06 Calend 01'!C41),('V06 Calend 01'!F41+'V06 Calend 01'!G41),0)+IF(AND(('V06 Calend 01'!E41&gt;0),(107&gt;'V06 Calend 01'!C41),(107&lt;'V06 Calend 01'!D41),(MOD((107-'V06 Calend 01'!C41),6)=0),(((107-'V06 Calend 01'!C41)/6)&lt;='V06 Calend 01'!E41)),IF((107=('V06 Calend 01'!C41+(6*'V06 Calend 01'!E41))),('V06 Calend 01'!H41-('V06 Calend 01'!I41*('V06 Calend 01'!E41-1))),'V06 Calend 01'!I41),0))+IF((107='V06 Calend 01'!D41),'V06 Calend 01'!J41,0))</f>
        <v>0</v>
      </c>
      <c r="DP41" s="2">
        <f>((IF((108='V06 Calend 01'!C41),('V06 Calend 01'!F41+'V06 Calend 01'!G41),0)+IF(AND(('V06 Calend 01'!E41&gt;0),(108&gt;'V06 Calend 01'!C41),(108&lt;'V06 Calend 01'!D41),(MOD((108-'V06 Calend 01'!C41),6)=0),(((108-'V06 Calend 01'!C41)/6)&lt;='V06 Calend 01'!E41)),IF((108=('V06 Calend 01'!C41+(6*'V06 Calend 01'!E41))),('V06 Calend 01'!H41-('V06 Calend 01'!I41*('V06 Calend 01'!E41-1))),'V06 Calend 01'!I41),0))+IF((108='V06 Calend 01'!D41),'V06 Calend 01'!J41,0))</f>
        <v>0</v>
      </c>
      <c r="DQ41" s="2">
        <f>((IF((109='V06 Calend 01'!C41),('V06 Calend 01'!F41+'V06 Calend 01'!G41),0)+IF(AND(('V06 Calend 01'!E41&gt;0),(109&gt;'V06 Calend 01'!C41),(109&lt;'V06 Calend 01'!D41),(MOD((109-'V06 Calend 01'!C41),6)=0),(((109-'V06 Calend 01'!C41)/6)&lt;='V06 Calend 01'!E41)),IF((109=('V06 Calend 01'!C41+(6*'V06 Calend 01'!E41))),('V06 Calend 01'!H41-('V06 Calend 01'!I41*('V06 Calend 01'!E41-1))),'V06 Calend 01'!I41),0))+IF((109='V06 Calend 01'!D41),'V06 Calend 01'!J41,0))</f>
        <v>0</v>
      </c>
      <c r="DR41" s="2">
        <f>((IF((110='V06 Calend 01'!C41),('V06 Calend 01'!F41+'V06 Calend 01'!G41),0)+IF(AND(('V06 Calend 01'!E41&gt;0),(110&gt;'V06 Calend 01'!C41),(110&lt;'V06 Calend 01'!D41),(MOD((110-'V06 Calend 01'!C41),6)=0),(((110-'V06 Calend 01'!C41)/6)&lt;='V06 Calend 01'!E41)),IF((110=('V06 Calend 01'!C41+(6*'V06 Calend 01'!E41))),('V06 Calend 01'!H41-('V06 Calend 01'!I41*('V06 Calend 01'!E41-1))),'V06 Calend 01'!I41),0))+IF((110='V06 Calend 01'!D41),'V06 Calend 01'!J41,0))</f>
        <v>0</v>
      </c>
      <c r="DS41" s="2">
        <f>((IF((111='V06 Calend 01'!C41),('V06 Calend 01'!F41+'V06 Calend 01'!G41),0)+IF(AND(('V06 Calend 01'!E41&gt;0),(111&gt;'V06 Calend 01'!C41),(111&lt;'V06 Calend 01'!D41),(MOD((111-'V06 Calend 01'!C41),6)=0),(((111-'V06 Calend 01'!C41)/6)&lt;='V06 Calend 01'!E41)),IF((111=('V06 Calend 01'!C41+(6*'V06 Calend 01'!E41))),('V06 Calend 01'!H41-('V06 Calend 01'!I41*('V06 Calend 01'!E41-1))),'V06 Calend 01'!I41),0))+IF((111='V06 Calend 01'!D41),'V06 Calend 01'!J41,0))</f>
        <v>0</v>
      </c>
      <c r="DT41" s="2">
        <f>((IF((112='V06 Calend 01'!C41),('V06 Calend 01'!F41+'V06 Calend 01'!G41),0)+IF(AND(('V06 Calend 01'!E41&gt;0),(112&gt;'V06 Calend 01'!C41),(112&lt;'V06 Calend 01'!D41),(MOD((112-'V06 Calend 01'!C41),6)=0),(((112-'V06 Calend 01'!C41)/6)&lt;='V06 Calend 01'!E41)),IF((112=('V06 Calend 01'!C41+(6*'V06 Calend 01'!E41))),('V06 Calend 01'!H41-('V06 Calend 01'!I41*('V06 Calend 01'!E41-1))),'V06 Calend 01'!I41),0))+IF((112='V06 Calend 01'!D41),'V06 Calend 01'!J41,0))</f>
        <v>0</v>
      </c>
      <c r="DU41" s="2">
        <f>((IF((113='V06 Calend 01'!C41),('V06 Calend 01'!F41+'V06 Calend 01'!G41),0)+IF(AND(('V06 Calend 01'!E41&gt;0),(113&gt;'V06 Calend 01'!C41),(113&lt;'V06 Calend 01'!D41),(MOD((113-'V06 Calend 01'!C41),6)=0),(((113-'V06 Calend 01'!C41)/6)&lt;='V06 Calend 01'!E41)),IF((113=('V06 Calend 01'!C41+(6*'V06 Calend 01'!E41))),('V06 Calend 01'!H41-('V06 Calend 01'!I41*('V06 Calend 01'!E41-1))),'V06 Calend 01'!I41),0))+IF((113='V06 Calend 01'!D41),'V06 Calend 01'!J41,0))</f>
        <v>0</v>
      </c>
      <c r="DV41" s="2">
        <f>((IF((114='V06 Calend 01'!C41),('V06 Calend 01'!F41+'V06 Calend 01'!G41),0)+IF(AND(('V06 Calend 01'!E41&gt;0),(114&gt;'V06 Calend 01'!C41),(114&lt;'V06 Calend 01'!D41),(MOD((114-'V06 Calend 01'!C41),6)=0),(((114-'V06 Calend 01'!C41)/6)&lt;='V06 Calend 01'!E41)),IF((114=('V06 Calend 01'!C41+(6*'V06 Calend 01'!E41))),('V06 Calend 01'!H41-('V06 Calend 01'!I41*('V06 Calend 01'!E41-1))),'V06 Calend 01'!I41),0))+IF((114='V06 Calend 01'!D41),'V06 Calend 01'!J41,0))</f>
        <v>0</v>
      </c>
      <c r="DW41" s="2">
        <f>((IF((115='V06 Calend 01'!C41),('V06 Calend 01'!F41+'V06 Calend 01'!G41),0)+IF(AND(('V06 Calend 01'!E41&gt;0),(115&gt;'V06 Calend 01'!C41),(115&lt;'V06 Calend 01'!D41),(MOD((115-'V06 Calend 01'!C41),6)=0),(((115-'V06 Calend 01'!C41)/6)&lt;='V06 Calend 01'!E41)),IF((115=('V06 Calend 01'!C41+(6*'V06 Calend 01'!E41))),('V06 Calend 01'!H41-('V06 Calend 01'!I41*('V06 Calend 01'!E41-1))),'V06 Calend 01'!I41),0))+IF((115='V06 Calend 01'!D41),'V06 Calend 01'!J41,0))</f>
        <v>0</v>
      </c>
      <c r="DX41" s="2">
        <f>((IF((116='V06 Calend 01'!C41),('V06 Calend 01'!F41+'V06 Calend 01'!G41),0)+IF(AND(('V06 Calend 01'!E41&gt;0),(116&gt;'V06 Calend 01'!C41),(116&lt;'V06 Calend 01'!D41),(MOD((116-'V06 Calend 01'!C41),6)=0),(((116-'V06 Calend 01'!C41)/6)&lt;='V06 Calend 01'!E41)),IF((116=('V06 Calend 01'!C41+(6*'V06 Calend 01'!E41))),('V06 Calend 01'!H41-('V06 Calend 01'!I41*('V06 Calend 01'!E41-1))),'V06 Calend 01'!I41),0))+IF((116='V06 Calend 01'!D41),'V06 Calend 01'!J41,0))</f>
        <v>0</v>
      </c>
      <c r="DY41" s="2">
        <f>((IF((117='V06 Calend 01'!C41),('V06 Calend 01'!F41+'V06 Calend 01'!G41),0)+IF(AND(('V06 Calend 01'!E41&gt;0),(117&gt;'V06 Calend 01'!C41),(117&lt;'V06 Calend 01'!D41),(MOD((117-'V06 Calend 01'!C41),6)=0),(((117-'V06 Calend 01'!C41)/6)&lt;='V06 Calend 01'!E41)),IF((117=('V06 Calend 01'!C41+(6*'V06 Calend 01'!E41))),('V06 Calend 01'!H41-('V06 Calend 01'!I41*('V06 Calend 01'!E41-1))),'V06 Calend 01'!I41),0))+IF((117='V06 Calend 01'!D41),'V06 Calend 01'!J41,0))</f>
        <v>0</v>
      </c>
      <c r="DZ41" s="2">
        <f>((IF((118='V06 Calend 01'!C41),('V06 Calend 01'!F41+'V06 Calend 01'!G41),0)+IF(AND(('V06 Calend 01'!E41&gt;0),(118&gt;'V06 Calend 01'!C41),(118&lt;'V06 Calend 01'!D41),(MOD((118-'V06 Calend 01'!C41),6)=0),(((118-'V06 Calend 01'!C41)/6)&lt;='V06 Calend 01'!E41)),IF((118=('V06 Calend 01'!C41+(6*'V06 Calend 01'!E41))),('V06 Calend 01'!H41-('V06 Calend 01'!I41*('V06 Calend 01'!E41-1))),'V06 Calend 01'!I41),0))+IF((118='V06 Calend 01'!D41),'V06 Calend 01'!J41,0))</f>
        <v>0</v>
      </c>
      <c r="EA41" s="2">
        <f>((IF((119='V06 Calend 01'!C41),('V06 Calend 01'!F41+'V06 Calend 01'!G41),0)+IF(AND(('V06 Calend 01'!E41&gt;0),(119&gt;'V06 Calend 01'!C41),(119&lt;'V06 Calend 01'!D41),(MOD((119-'V06 Calend 01'!C41),6)=0),(((119-'V06 Calend 01'!C41)/6)&lt;='V06 Calend 01'!E41)),IF((119=('V06 Calend 01'!C41+(6*'V06 Calend 01'!E41))),('V06 Calend 01'!H41-('V06 Calend 01'!I41*('V06 Calend 01'!E41-1))),'V06 Calend 01'!I41),0))+IF((119='V06 Calend 01'!D41),'V06 Calend 01'!J41,0))</f>
        <v>0</v>
      </c>
      <c r="EB41" s="2">
        <f>((IF((120='V06 Calend 01'!C41),('V06 Calend 01'!F41+'V06 Calend 01'!G41),0)+IF(AND(('V06 Calend 01'!E41&gt;0),(120&gt;'V06 Calend 01'!C41),(120&lt;'V06 Calend 01'!D41),(MOD((120-'V06 Calend 01'!C41),6)=0),(((120-'V06 Calend 01'!C41)/6)&lt;='V06 Calend 01'!E41)),IF((120=('V06 Calend 01'!C41+(6*'V06 Calend 01'!E41))),('V06 Calend 01'!H41-('V06 Calend 01'!I41*('V06 Calend 01'!E41-1))),'V06 Calend 01'!I41),0))+IF((120='V06 Calend 01'!D41),'V06 Calend 01'!J41,0))</f>
        <v>0</v>
      </c>
      <c r="EC41" s="2">
        <f>((IF((121='V06 Calend 01'!C41),('V06 Calend 01'!F41+'V06 Calend 01'!G41),0)+IF(AND(('V06 Calend 01'!E41&gt;0),(121&gt;'V06 Calend 01'!C41),(121&lt;'V06 Calend 01'!D41),(MOD((121-'V06 Calend 01'!C41),6)=0),(((121-'V06 Calend 01'!C41)/6)&lt;='V06 Calend 01'!E41)),IF((121=('V06 Calend 01'!C41+(6*'V06 Calend 01'!E41))),('V06 Calend 01'!H41-('V06 Calend 01'!I41*('V06 Calend 01'!E41-1))),'V06 Calend 01'!I41),0))+IF((121='V06 Calend 01'!D41),'V06 Calend 01'!J41,0))</f>
        <v>0</v>
      </c>
      <c r="ED41" s="2">
        <f>((IF((122='V06 Calend 01'!C41),('V06 Calend 01'!F41+'V06 Calend 01'!G41),0)+IF(AND(('V06 Calend 01'!E41&gt;0),(122&gt;'V06 Calend 01'!C41),(122&lt;'V06 Calend 01'!D41),(MOD((122-'V06 Calend 01'!C41),6)=0),(((122-'V06 Calend 01'!C41)/6)&lt;='V06 Calend 01'!E41)),IF((122=('V06 Calend 01'!C41+(6*'V06 Calend 01'!E41))),('V06 Calend 01'!H41-('V06 Calend 01'!I41*('V06 Calend 01'!E41-1))),'V06 Calend 01'!I41),0))+IF((122='V06 Calend 01'!D41),'V06 Calend 01'!J41,0))</f>
        <v>0</v>
      </c>
      <c r="EE41" s="2">
        <f>((IF((123='V06 Calend 01'!C41),('V06 Calend 01'!F41+'V06 Calend 01'!G41),0)+IF(AND(('V06 Calend 01'!E41&gt;0),(123&gt;'V06 Calend 01'!C41),(123&lt;'V06 Calend 01'!D41),(MOD((123-'V06 Calend 01'!C41),6)=0),(((123-'V06 Calend 01'!C41)/6)&lt;='V06 Calend 01'!E41)),IF((123=('V06 Calend 01'!C41+(6*'V06 Calend 01'!E41))),('V06 Calend 01'!H41-('V06 Calend 01'!I41*('V06 Calend 01'!E41-1))),'V06 Calend 01'!I41),0))+IF((123='V06 Calend 01'!D41),'V06 Calend 01'!J41,0))</f>
        <v>0</v>
      </c>
      <c r="EF41" s="2">
        <f>((IF((124='V06 Calend 01'!C41),('V06 Calend 01'!F41+'V06 Calend 01'!G41),0)+IF(AND(('V06 Calend 01'!E41&gt;0),(124&gt;'V06 Calend 01'!C41),(124&lt;'V06 Calend 01'!D41),(MOD((124-'V06 Calend 01'!C41),6)=0),(((124-'V06 Calend 01'!C41)/6)&lt;='V06 Calend 01'!E41)),IF((124=('V06 Calend 01'!C41+(6*'V06 Calend 01'!E41))),('V06 Calend 01'!H41-('V06 Calend 01'!I41*('V06 Calend 01'!E41-1))),'V06 Calend 01'!I41),0))+IF((124='V06 Calend 01'!D41),'V06 Calend 01'!J41,0))</f>
        <v>0</v>
      </c>
      <c r="EG41" s="2">
        <f>((IF((125='V06 Calend 01'!C41),('V06 Calend 01'!F41+'V06 Calend 01'!G41),0)+IF(AND(('V06 Calend 01'!E41&gt;0),(125&gt;'V06 Calend 01'!C41),(125&lt;'V06 Calend 01'!D41),(MOD((125-'V06 Calend 01'!C41),6)=0),(((125-'V06 Calend 01'!C41)/6)&lt;='V06 Calend 01'!E41)),IF((125=('V06 Calend 01'!C41+(6*'V06 Calend 01'!E41))),('V06 Calend 01'!H41-('V06 Calend 01'!I41*('V06 Calend 01'!E41-1))),'V06 Calend 01'!I41),0))+IF((125='V06 Calend 01'!D41),'V06 Calend 01'!J41,0))</f>
        <v>0</v>
      </c>
      <c r="EH41" s="2">
        <f>((IF((126='V06 Calend 01'!C41),('V06 Calend 01'!F41+'V06 Calend 01'!G41),0)+IF(AND(('V06 Calend 01'!E41&gt;0),(126&gt;'V06 Calend 01'!C41),(126&lt;'V06 Calend 01'!D41),(MOD((126-'V06 Calend 01'!C41),6)=0),(((126-'V06 Calend 01'!C41)/6)&lt;='V06 Calend 01'!E41)),IF((126=('V06 Calend 01'!C41+(6*'V06 Calend 01'!E41))),('V06 Calend 01'!H41-('V06 Calend 01'!I41*('V06 Calend 01'!E41-1))),'V06 Calend 01'!I41),0))+IF((126='V06 Calend 01'!D41),'V06 Calend 01'!J41,0))</f>
        <v>0</v>
      </c>
      <c r="EI41" s="2">
        <f>((IF((127='V06 Calend 01'!C41),('V06 Calend 01'!F41+'V06 Calend 01'!G41),0)+IF(AND(('V06 Calend 01'!E41&gt;0),(127&gt;'V06 Calend 01'!C41),(127&lt;'V06 Calend 01'!D41),(MOD((127-'V06 Calend 01'!C41),6)=0),(((127-'V06 Calend 01'!C41)/6)&lt;='V06 Calend 01'!E41)),IF((127=('V06 Calend 01'!C41+(6*'V06 Calend 01'!E41))),('V06 Calend 01'!H41-('V06 Calend 01'!I41*('V06 Calend 01'!E41-1))),'V06 Calend 01'!I41),0))+IF((127='V06 Calend 01'!D41),'V06 Calend 01'!J41,0))</f>
        <v>0</v>
      </c>
      <c r="EJ41" s="2">
        <f>((IF((128='V06 Calend 01'!C41),('V06 Calend 01'!F41+'V06 Calend 01'!G41),0)+IF(AND(('V06 Calend 01'!E41&gt;0),(128&gt;'V06 Calend 01'!C41),(128&lt;'V06 Calend 01'!D41),(MOD((128-'V06 Calend 01'!C41),6)=0),(((128-'V06 Calend 01'!C41)/6)&lt;='V06 Calend 01'!E41)),IF((128=('V06 Calend 01'!C41+(6*'V06 Calend 01'!E41))),('V06 Calend 01'!H41-('V06 Calend 01'!I41*('V06 Calend 01'!E41-1))),'V06 Calend 01'!I41),0))+IF((128='V06 Calend 01'!D41),'V06 Calend 01'!J41,0))</f>
        <v>0</v>
      </c>
      <c r="EK41" s="2">
        <f>((IF((129='V06 Calend 01'!C41),('V06 Calend 01'!F41+'V06 Calend 01'!G41),0)+IF(AND(('V06 Calend 01'!E41&gt;0),(129&gt;'V06 Calend 01'!C41),(129&lt;'V06 Calend 01'!D41),(MOD((129-'V06 Calend 01'!C41),6)=0),(((129-'V06 Calend 01'!C41)/6)&lt;='V06 Calend 01'!E41)),IF((129=('V06 Calend 01'!C41+(6*'V06 Calend 01'!E41))),('V06 Calend 01'!H41-('V06 Calend 01'!I41*('V06 Calend 01'!E41-1))),'V06 Calend 01'!I41),0))+IF((129='V06 Calend 01'!D41),'V06 Calend 01'!J41,0))</f>
        <v>0</v>
      </c>
      <c r="EL41" s="2">
        <f>((IF((130='V06 Calend 01'!C41),('V06 Calend 01'!F41+'V06 Calend 01'!G41),0)+IF(AND(('V06 Calend 01'!E41&gt;0),(130&gt;'V06 Calend 01'!C41),(130&lt;'V06 Calend 01'!D41),(MOD((130-'V06 Calend 01'!C41),6)=0),(((130-'V06 Calend 01'!C41)/6)&lt;='V06 Calend 01'!E41)),IF((130=('V06 Calend 01'!C41+(6*'V06 Calend 01'!E41))),('V06 Calend 01'!H41-('V06 Calend 01'!I41*('V06 Calend 01'!E41-1))),'V06 Calend 01'!I41),0))+IF((130='V06 Calend 01'!D41),'V06 Calend 01'!J41,0))</f>
        <v>0</v>
      </c>
      <c r="EM41" s="2">
        <f>((IF((131='V06 Calend 01'!C41),('V06 Calend 01'!F41+'V06 Calend 01'!G41),0)+IF(AND(('V06 Calend 01'!E41&gt;0),(131&gt;'V06 Calend 01'!C41),(131&lt;'V06 Calend 01'!D41),(MOD((131-'V06 Calend 01'!C41),6)=0),(((131-'V06 Calend 01'!C41)/6)&lt;='V06 Calend 01'!E41)),IF((131=('V06 Calend 01'!C41+(6*'V06 Calend 01'!E41))),('V06 Calend 01'!H41-('V06 Calend 01'!I41*('V06 Calend 01'!E41-1))),'V06 Calend 01'!I41),0))+IF((131='V06 Calend 01'!D41),'V06 Calend 01'!J41,0))</f>
        <v>0</v>
      </c>
      <c r="EN41" s="2">
        <f>((IF((132='V06 Calend 01'!C41),('V06 Calend 01'!F41+'V06 Calend 01'!G41),0)+IF(AND(('V06 Calend 01'!E41&gt;0),(132&gt;'V06 Calend 01'!C41),(132&lt;'V06 Calend 01'!D41),(MOD((132-'V06 Calend 01'!C41),6)=0),(((132-'V06 Calend 01'!C41)/6)&lt;='V06 Calend 01'!E41)),IF((132=('V06 Calend 01'!C41+(6*'V06 Calend 01'!E41))),('V06 Calend 01'!H41-('V06 Calend 01'!I41*('V06 Calend 01'!E41-1))),'V06 Calend 01'!I41),0))+IF((132='V06 Calend 01'!D41),'V06 Calend 01'!J41,0))</f>
        <v>0</v>
      </c>
      <c r="EO41" s="2">
        <f>((IF((133='V06 Calend 01'!C41),('V06 Calend 01'!F41+'V06 Calend 01'!G41),0)+IF(AND(('V06 Calend 01'!E41&gt;0),(133&gt;'V06 Calend 01'!C41),(133&lt;'V06 Calend 01'!D41),(MOD((133-'V06 Calend 01'!C41),6)=0),(((133-'V06 Calend 01'!C41)/6)&lt;='V06 Calend 01'!E41)),IF((133=('V06 Calend 01'!C41+(6*'V06 Calend 01'!E41))),('V06 Calend 01'!H41-('V06 Calend 01'!I41*('V06 Calend 01'!E41-1))),'V06 Calend 01'!I41),0))+IF((133='V06 Calend 01'!D41),'V06 Calend 01'!J41,0))</f>
        <v>0</v>
      </c>
      <c r="EP41" s="2">
        <f>((IF((134='V06 Calend 01'!C41),('V06 Calend 01'!F41+'V06 Calend 01'!G41),0)+IF(AND(('V06 Calend 01'!E41&gt;0),(134&gt;'V06 Calend 01'!C41),(134&lt;'V06 Calend 01'!D41),(MOD((134-'V06 Calend 01'!C41),6)=0),(((134-'V06 Calend 01'!C41)/6)&lt;='V06 Calend 01'!E41)),IF((134=('V06 Calend 01'!C41+(6*'V06 Calend 01'!E41))),('V06 Calend 01'!H41-('V06 Calend 01'!I41*('V06 Calend 01'!E41-1))),'V06 Calend 01'!I41),0))+IF((134='V06 Calend 01'!D41),'V06 Calend 01'!J41,0))</f>
        <v>0</v>
      </c>
      <c r="EQ41" s="2">
        <f>((IF((135='V06 Calend 01'!C41),('V06 Calend 01'!F41+'V06 Calend 01'!G41),0)+IF(AND(('V06 Calend 01'!E41&gt;0),(135&gt;'V06 Calend 01'!C41),(135&lt;'V06 Calend 01'!D41),(MOD((135-'V06 Calend 01'!C41),6)=0),(((135-'V06 Calend 01'!C41)/6)&lt;='V06 Calend 01'!E41)),IF((135=('V06 Calend 01'!C41+(6*'V06 Calend 01'!E41))),('V06 Calend 01'!H41-('V06 Calend 01'!I41*('V06 Calend 01'!E41-1))),'V06 Calend 01'!I41),0))+IF((135='V06 Calend 01'!D41),'V06 Calend 01'!J41,0))</f>
        <v>0</v>
      </c>
      <c r="ER41" s="2">
        <f>((IF((136='V06 Calend 01'!C41),('V06 Calend 01'!F41+'V06 Calend 01'!G41),0)+IF(AND(('V06 Calend 01'!E41&gt;0),(136&gt;'V06 Calend 01'!C41),(136&lt;'V06 Calend 01'!D41),(MOD((136-'V06 Calend 01'!C41),6)=0),(((136-'V06 Calend 01'!C41)/6)&lt;='V06 Calend 01'!E41)),IF((136=('V06 Calend 01'!C41+(6*'V06 Calend 01'!E41))),('V06 Calend 01'!H41-('V06 Calend 01'!I41*('V06 Calend 01'!E41-1))),'V06 Calend 01'!I41),0))+IF((136='V06 Calend 01'!D41),'V06 Calend 01'!J41,0))</f>
        <v>0</v>
      </c>
      <c r="ES41" s="2">
        <f>((IF((137='V06 Calend 01'!C41),('V06 Calend 01'!F41+'V06 Calend 01'!G41),0)+IF(AND(('V06 Calend 01'!E41&gt;0),(137&gt;'V06 Calend 01'!C41),(137&lt;'V06 Calend 01'!D41),(MOD((137-'V06 Calend 01'!C41),6)=0),(((137-'V06 Calend 01'!C41)/6)&lt;='V06 Calend 01'!E41)),IF((137=('V06 Calend 01'!C41+(6*'V06 Calend 01'!E41))),('V06 Calend 01'!H41-('V06 Calend 01'!I41*('V06 Calend 01'!E41-1))),'V06 Calend 01'!I41),0))+IF((137='V06 Calend 01'!D41),'V06 Calend 01'!J41,0))</f>
        <v>0</v>
      </c>
      <c r="ET41" s="2">
        <f>((IF((138='V06 Calend 01'!C41),('V06 Calend 01'!F41+'V06 Calend 01'!G41),0)+IF(AND(('V06 Calend 01'!E41&gt;0),(138&gt;'V06 Calend 01'!C41),(138&lt;'V06 Calend 01'!D41),(MOD((138-'V06 Calend 01'!C41),6)=0),(((138-'V06 Calend 01'!C41)/6)&lt;='V06 Calend 01'!E41)),IF((138=('V06 Calend 01'!C41+(6*'V06 Calend 01'!E41))),('V06 Calend 01'!H41-('V06 Calend 01'!I41*('V06 Calend 01'!E41-1))),'V06 Calend 01'!I41),0))+IF((138='V06 Calend 01'!D41),'V06 Calend 01'!J41,0))</f>
        <v>0</v>
      </c>
      <c r="EU41" s="2">
        <f>((IF((139='V06 Calend 01'!C41),('V06 Calend 01'!F41+'V06 Calend 01'!G41),0)+IF(AND(('V06 Calend 01'!E41&gt;0),(139&gt;'V06 Calend 01'!C41),(139&lt;'V06 Calend 01'!D41),(MOD((139-'V06 Calend 01'!C41),6)=0),(((139-'V06 Calend 01'!C41)/6)&lt;='V06 Calend 01'!E41)),IF((139=('V06 Calend 01'!C41+(6*'V06 Calend 01'!E41))),('V06 Calend 01'!H41-('V06 Calend 01'!I41*('V06 Calend 01'!E41-1))),'V06 Calend 01'!I41),0))+IF((139='V06 Calend 01'!D41),'V06 Calend 01'!J41,0))</f>
        <v>0</v>
      </c>
      <c r="EV41" s="2">
        <f>((IF((140='V06 Calend 01'!C41),('V06 Calend 01'!F41+'V06 Calend 01'!G41),0)+IF(AND(('V06 Calend 01'!E41&gt;0),(140&gt;'V06 Calend 01'!C41),(140&lt;'V06 Calend 01'!D41),(MOD((140-'V06 Calend 01'!C41),6)=0),(((140-'V06 Calend 01'!C41)/6)&lt;='V06 Calend 01'!E41)),IF((140=('V06 Calend 01'!C41+(6*'V06 Calend 01'!E41))),('V06 Calend 01'!H41-('V06 Calend 01'!I41*('V06 Calend 01'!E41-1))),'V06 Calend 01'!I41),0))+IF((140='V06 Calend 01'!D41),'V06 Calend 01'!J41,0))</f>
        <v>0</v>
      </c>
      <c r="EW41" s="2">
        <f>((IF((141='V06 Calend 01'!C41),('V06 Calend 01'!F41+'V06 Calend 01'!G41),0)+IF(AND(('V06 Calend 01'!E41&gt;0),(141&gt;'V06 Calend 01'!C41),(141&lt;'V06 Calend 01'!D41),(MOD((141-'V06 Calend 01'!C41),6)=0),(((141-'V06 Calend 01'!C41)/6)&lt;='V06 Calend 01'!E41)),IF((141=('V06 Calend 01'!C41+(6*'V06 Calend 01'!E41))),('V06 Calend 01'!H41-('V06 Calend 01'!I41*('V06 Calend 01'!E41-1))),'V06 Calend 01'!I41),0))+IF((141='V06 Calend 01'!D41),'V06 Calend 01'!J41,0))</f>
        <v>0</v>
      </c>
      <c r="EX41" s="2">
        <f>((IF((142='V06 Calend 01'!C41),('V06 Calend 01'!F41+'V06 Calend 01'!G41),0)+IF(AND(('V06 Calend 01'!E41&gt;0),(142&gt;'V06 Calend 01'!C41),(142&lt;'V06 Calend 01'!D41),(MOD((142-'V06 Calend 01'!C41),6)=0),(((142-'V06 Calend 01'!C41)/6)&lt;='V06 Calend 01'!E41)),IF((142=('V06 Calend 01'!C41+(6*'V06 Calend 01'!E41))),('V06 Calend 01'!H41-('V06 Calend 01'!I41*('V06 Calend 01'!E41-1))),'V06 Calend 01'!I41),0))+IF((142='V06 Calend 01'!D41),'V06 Calend 01'!J41,0))</f>
        <v>0</v>
      </c>
      <c r="EY41" s="2">
        <f>((IF((143='V06 Calend 01'!C41),('V06 Calend 01'!F41+'V06 Calend 01'!G41),0)+IF(AND(('V06 Calend 01'!E41&gt;0),(143&gt;'V06 Calend 01'!C41),(143&lt;'V06 Calend 01'!D41),(MOD((143-'V06 Calend 01'!C41),6)=0),(((143-'V06 Calend 01'!C41)/6)&lt;='V06 Calend 01'!E41)),IF((143=('V06 Calend 01'!C41+(6*'V06 Calend 01'!E41))),('V06 Calend 01'!H41-('V06 Calend 01'!I41*('V06 Calend 01'!E41-1))),'V06 Calend 01'!I41),0))+IF((143='V06 Calend 01'!D41),'V06 Calend 01'!J41,0))</f>
        <v>0</v>
      </c>
      <c r="EZ41" s="2">
        <f>((IF((144='V06 Calend 01'!C41),('V06 Calend 01'!F41+'V06 Calend 01'!G41),0)+IF(AND(('V06 Calend 01'!E41&gt;0),(144&gt;'V06 Calend 01'!C41),(144&lt;'V06 Calend 01'!D41),(MOD((144-'V06 Calend 01'!C41),6)=0),(((144-'V06 Calend 01'!C41)/6)&lt;='V06 Calend 01'!E41)),IF((144=('V06 Calend 01'!C41+(6*'V06 Calend 01'!E41))),('V06 Calend 01'!H41-('V06 Calend 01'!I41*('V06 Calend 01'!E41-1))),'V06 Calend 01'!I41),0))+IF((144='V06 Calend 01'!D41),'V06 Calend 01'!J41,0))</f>
        <v>0</v>
      </c>
      <c r="FA41" s="2">
        <f>((IF((145='V06 Calend 01'!C41),('V06 Calend 01'!F41+'V06 Calend 01'!G41),0)+IF(AND(('V06 Calend 01'!E41&gt;0),(145&gt;'V06 Calend 01'!C41),(145&lt;'V06 Calend 01'!D41),(MOD((145-'V06 Calend 01'!C41),6)=0),(((145-'V06 Calend 01'!C41)/6)&lt;='V06 Calend 01'!E41)),IF((145=('V06 Calend 01'!C41+(6*'V06 Calend 01'!E41))),('V06 Calend 01'!H41-('V06 Calend 01'!I41*('V06 Calend 01'!E41-1))),'V06 Calend 01'!I41),0))+IF((145='V06 Calend 01'!D41),'V06 Calend 01'!J41,0))</f>
        <v>0</v>
      </c>
      <c r="FB41" s="2">
        <f>((IF((146='V06 Calend 01'!C41),('V06 Calend 01'!F41+'V06 Calend 01'!G41),0)+IF(AND(('V06 Calend 01'!E41&gt;0),(146&gt;'V06 Calend 01'!C41),(146&lt;'V06 Calend 01'!D41),(MOD((146-'V06 Calend 01'!C41),6)=0),(((146-'V06 Calend 01'!C41)/6)&lt;='V06 Calend 01'!E41)),IF((146=('V06 Calend 01'!C41+(6*'V06 Calend 01'!E41))),('V06 Calend 01'!H41-('V06 Calend 01'!I41*('V06 Calend 01'!E41-1))),'V06 Calend 01'!I41),0))+IF((146='V06 Calend 01'!D41),'V06 Calend 01'!J41,0))</f>
        <v>0</v>
      </c>
      <c r="FC41" s="2">
        <f>((IF((147='V06 Calend 01'!C41),('V06 Calend 01'!F41+'V06 Calend 01'!G41),0)+IF(AND(('V06 Calend 01'!E41&gt;0),(147&gt;'V06 Calend 01'!C41),(147&lt;'V06 Calend 01'!D41),(MOD((147-'V06 Calend 01'!C41),6)=0),(((147-'V06 Calend 01'!C41)/6)&lt;='V06 Calend 01'!E41)),IF((147=('V06 Calend 01'!C41+(6*'V06 Calend 01'!E41))),('V06 Calend 01'!H41-('V06 Calend 01'!I41*('V06 Calend 01'!E41-1))),'V06 Calend 01'!I41),0))+IF((147='V06 Calend 01'!D41),'V06 Calend 01'!J41,0))</f>
        <v>0</v>
      </c>
      <c r="FD41" s="2">
        <f>((IF((148='V06 Calend 01'!C41),('V06 Calend 01'!F41+'V06 Calend 01'!G41),0)+IF(AND(('V06 Calend 01'!E41&gt;0),(148&gt;'V06 Calend 01'!C41),(148&lt;'V06 Calend 01'!D41),(MOD((148-'V06 Calend 01'!C41),6)=0),(((148-'V06 Calend 01'!C41)/6)&lt;='V06 Calend 01'!E41)),IF((148=('V06 Calend 01'!C41+(6*'V06 Calend 01'!E41))),('V06 Calend 01'!H41-('V06 Calend 01'!I41*('V06 Calend 01'!E41-1))),'V06 Calend 01'!I41),0))+IF((148='V06 Calend 01'!D41),'V06 Calend 01'!J41,0))</f>
        <v>0</v>
      </c>
      <c r="FE41" s="2">
        <f>((IF((149='V06 Calend 01'!C41),('V06 Calend 01'!F41+'V06 Calend 01'!G41),0)+IF(AND(('V06 Calend 01'!E41&gt;0),(149&gt;'V06 Calend 01'!C41),(149&lt;'V06 Calend 01'!D41),(MOD((149-'V06 Calend 01'!C41),6)=0),(((149-'V06 Calend 01'!C41)/6)&lt;='V06 Calend 01'!E41)),IF((149=('V06 Calend 01'!C41+(6*'V06 Calend 01'!E41))),('V06 Calend 01'!H41-('V06 Calend 01'!I41*('V06 Calend 01'!E41-1))),'V06 Calend 01'!I41),0))+IF((149='V06 Calend 01'!D41),'V06 Calend 01'!J41,0))</f>
        <v>0</v>
      </c>
      <c r="FF41" s="2">
        <f>((IF((150='V06 Calend 01'!C41),('V06 Calend 01'!F41+'V06 Calend 01'!G41),0)+IF(AND(('V06 Calend 01'!E41&gt;0),(150&gt;'V06 Calend 01'!C41),(150&lt;'V06 Calend 01'!D41),(MOD((150-'V06 Calend 01'!C41),6)=0),(((150-'V06 Calend 01'!C41)/6)&lt;='V06 Calend 01'!E41)),IF((150=('V06 Calend 01'!C41+(6*'V06 Calend 01'!E41))),('V06 Calend 01'!H41-('V06 Calend 01'!I41*('V06 Calend 01'!E41-1))),'V06 Calend 01'!I41),0))+IF((150='V06 Calend 01'!D41),'V06 Calend 01'!J41,0))</f>
        <v>0</v>
      </c>
      <c r="FG41" s="2">
        <f>((IF((151='V06 Calend 01'!C41),('V06 Calend 01'!F41+'V06 Calend 01'!G41),0)+IF(AND(('V06 Calend 01'!E41&gt;0),(151&gt;'V06 Calend 01'!C41),(151&lt;'V06 Calend 01'!D41),(MOD((151-'V06 Calend 01'!C41),6)=0),(((151-'V06 Calend 01'!C41)/6)&lt;='V06 Calend 01'!E41)),IF((151=('V06 Calend 01'!C41+(6*'V06 Calend 01'!E41))),('V06 Calend 01'!H41-('V06 Calend 01'!I41*('V06 Calend 01'!E41-1))),'V06 Calend 01'!I41),0))+IF((151='V06 Calend 01'!D41),'V06 Calend 01'!J41,0))</f>
        <v>0</v>
      </c>
      <c r="FH41" s="2">
        <f>((IF((152='V06 Calend 01'!C41),('V06 Calend 01'!F41+'V06 Calend 01'!G41),0)+IF(AND(('V06 Calend 01'!E41&gt;0),(152&gt;'V06 Calend 01'!C41),(152&lt;'V06 Calend 01'!D41),(MOD((152-'V06 Calend 01'!C41),6)=0),(((152-'V06 Calend 01'!C41)/6)&lt;='V06 Calend 01'!E41)),IF((152=('V06 Calend 01'!C41+(6*'V06 Calend 01'!E41))),('V06 Calend 01'!H41-('V06 Calend 01'!I41*('V06 Calend 01'!E41-1))),'V06 Calend 01'!I41),0))+IF((152='V06 Calend 01'!D41),'V06 Calend 01'!J41,0))</f>
        <v>0</v>
      </c>
      <c r="FI41" s="2">
        <f>((IF((153='V06 Calend 01'!C41),('V06 Calend 01'!F41+'V06 Calend 01'!G41),0)+IF(AND(('V06 Calend 01'!E41&gt;0),(153&gt;'V06 Calend 01'!C41),(153&lt;'V06 Calend 01'!D41),(MOD((153-'V06 Calend 01'!C41),6)=0),(((153-'V06 Calend 01'!C41)/6)&lt;='V06 Calend 01'!E41)),IF((153=('V06 Calend 01'!C41+(6*'V06 Calend 01'!E41))),('V06 Calend 01'!H41-('V06 Calend 01'!I41*('V06 Calend 01'!E41-1))),'V06 Calend 01'!I41),0))+IF((153='V06 Calend 01'!D41),'V06 Calend 01'!J41,0))</f>
        <v>0</v>
      </c>
      <c r="FJ41" s="2">
        <f>((IF((154='V06 Calend 01'!C41),('V06 Calend 01'!F41+'V06 Calend 01'!G41),0)+IF(AND(('V06 Calend 01'!E41&gt;0),(154&gt;'V06 Calend 01'!C41),(154&lt;'V06 Calend 01'!D41),(MOD((154-'V06 Calend 01'!C41),6)=0),(((154-'V06 Calend 01'!C41)/6)&lt;='V06 Calend 01'!E41)),IF((154=('V06 Calend 01'!C41+(6*'V06 Calend 01'!E41))),('V06 Calend 01'!H41-('V06 Calend 01'!I41*('V06 Calend 01'!E41-1))),'V06 Calend 01'!I41),0))+IF((154='V06 Calend 01'!D41),'V06 Calend 01'!J41,0))</f>
        <v>0</v>
      </c>
      <c r="FK41" s="2">
        <f>((IF((155='V06 Calend 01'!C41),('V06 Calend 01'!F41+'V06 Calend 01'!G41),0)+IF(AND(('V06 Calend 01'!E41&gt;0),(155&gt;'V06 Calend 01'!C41),(155&lt;'V06 Calend 01'!D41),(MOD((155-'V06 Calend 01'!C41),6)=0),(((155-'V06 Calend 01'!C41)/6)&lt;='V06 Calend 01'!E41)),IF((155=('V06 Calend 01'!C41+(6*'V06 Calend 01'!E41))),('V06 Calend 01'!H41-('V06 Calend 01'!I41*('V06 Calend 01'!E41-1))),'V06 Calend 01'!I41),0))+IF((155='V06 Calend 01'!D41),'V06 Calend 01'!J41,0))</f>
        <v>0</v>
      </c>
      <c r="FL41" s="2">
        <f>((IF((156='V06 Calend 01'!C41),('V06 Calend 01'!F41+'V06 Calend 01'!G41),0)+IF(AND(('V06 Calend 01'!E41&gt;0),(156&gt;'V06 Calend 01'!C41),(156&lt;'V06 Calend 01'!D41),(MOD((156-'V06 Calend 01'!C41),6)=0),(((156-'V06 Calend 01'!C41)/6)&lt;='V06 Calend 01'!E41)),IF((156=('V06 Calend 01'!C41+(6*'V06 Calend 01'!E41))),('V06 Calend 01'!H41-('V06 Calend 01'!I41*('V06 Calend 01'!E41-1))),'V06 Calend 01'!I41),0))+IF((156='V06 Calend 01'!D41),'V06 Calend 01'!J41,0))</f>
        <v>0</v>
      </c>
      <c r="FM41" s="2">
        <f>((IF((157='V06 Calend 01'!C41),('V06 Calend 01'!F41+'V06 Calend 01'!G41),0)+IF(AND(('V06 Calend 01'!E41&gt;0),(157&gt;'V06 Calend 01'!C41),(157&lt;'V06 Calend 01'!D41),(MOD((157-'V06 Calend 01'!C41),6)=0),(((157-'V06 Calend 01'!C41)/6)&lt;='V06 Calend 01'!E41)),IF((157=('V06 Calend 01'!C41+(6*'V06 Calend 01'!E41))),('V06 Calend 01'!H41-('V06 Calend 01'!I41*('V06 Calend 01'!E41-1))),'V06 Calend 01'!I41),0))+IF((157='V06 Calend 01'!D41),'V06 Calend 01'!J41,0))</f>
        <v>0</v>
      </c>
      <c r="FN41" s="2">
        <f>((IF((158='V06 Calend 01'!C41),('V06 Calend 01'!F41+'V06 Calend 01'!G41),0)+IF(AND(('V06 Calend 01'!E41&gt;0),(158&gt;'V06 Calend 01'!C41),(158&lt;'V06 Calend 01'!D41),(MOD((158-'V06 Calend 01'!C41),6)=0),(((158-'V06 Calend 01'!C41)/6)&lt;='V06 Calend 01'!E41)),IF((158=('V06 Calend 01'!C41+(6*'V06 Calend 01'!E41))),('V06 Calend 01'!H41-('V06 Calend 01'!I41*('V06 Calend 01'!E41-1))),'V06 Calend 01'!I41),0))+IF((158='V06 Calend 01'!D41),'V06 Calend 01'!J41,0))</f>
        <v>0</v>
      </c>
      <c r="FO41" s="2">
        <f>((IF((159='V06 Calend 01'!C41),('V06 Calend 01'!F41+'V06 Calend 01'!G41),0)+IF(AND(('V06 Calend 01'!E41&gt;0),(159&gt;'V06 Calend 01'!C41),(159&lt;'V06 Calend 01'!D41),(MOD((159-'V06 Calend 01'!C41),6)=0),(((159-'V06 Calend 01'!C41)/6)&lt;='V06 Calend 01'!E41)),IF((159=('V06 Calend 01'!C41+(6*'V06 Calend 01'!E41))),('V06 Calend 01'!H41-('V06 Calend 01'!I41*('V06 Calend 01'!E41-1))),'V06 Calend 01'!I41),0))+IF((159='V06 Calend 01'!D41),'V06 Calend 01'!J41,0))</f>
        <v>0</v>
      </c>
      <c r="FP41" s="2">
        <f>((IF((160='V06 Calend 01'!C41),('V06 Calend 01'!F41+'V06 Calend 01'!G41),0)+IF(AND(('V06 Calend 01'!E41&gt;0),(160&gt;'V06 Calend 01'!C41),(160&lt;'V06 Calend 01'!D41),(MOD((160-'V06 Calend 01'!C41),6)=0),(((160-'V06 Calend 01'!C41)/6)&lt;='V06 Calend 01'!E41)),IF((160=('V06 Calend 01'!C41+(6*'V06 Calend 01'!E41))),('V06 Calend 01'!H41-('V06 Calend 01'!I41*('V06 Calend 01'!E41-1))),'V06 Calend 01'!I41),0))+IF((160='V06 Calend 01'!D41),'V06 Calend 01'!J41,0))</f>
        <v>0</v>
      </c>
      <c r="FQ41" s="2">
        <f>((IF((161='V06 Calend 01'!C41),('V06 Calend 01'!F41+'V06 Calend 01'!G41),0)+IF(AND(('V06 Calend 01'!E41&gt;0),(161&gt;'V06 Calend 01'!C41),(161&lt;'V06 Calend 01'!D41),(MOD((161-'V06 Calend 01'!C41),6)=0),(((161-'V06 Calend 01'!C41)/6)&lt;='V06 Calend 01'!E41)),IF((161=('V06 Calend 01'!C41+(6*'V06 Calend 01'!E41))),('V06 Calend 01'!H41-('V06 Calend 01'!I41*('V06 Calend 01'!E41-1))),'V06 Calend 01'!I41),0))+IF((161='V06 Calend 01'!D41),'V06 Calend 01'!J41,0))</f>
        <v>0</v>
      </c>
      <c r="FR41" s="2">
        <f>((IF((162='V06 Calend 01'!C41),('V06 Calend 01'!F41+'V06 Calend 01'!G41),0)+IF(AND(('V06 Calend 01'!E41&gt;0),(162&gt;'V06 Calend 01'!C41),(162&lt;'V06 Calend 01'!D41),(MOD((162-'V06 Calend 01'!C41),6)=0),(((162-'V06 Calend 01'!C41)/6)&lt;='V06 Calend 01'!E41)),IF((162=('V06 Calend 01'!C41+(6*'V06 Calend 01'!E41))),('V06 Calend 01'!H41-('V06 Calend 01'!I41*('V06 Calend 01'!E41-1))),'V06 Calend 01'!I41),0))+IF((162='V06 Calend 01'!D41),'V06 Calend 01'!J41,0))</f>
        <v>0</v>
      </c>
      <c r="FS41" s="2">
        <f>((IF((163='V06 Calend 01'!C41),('V06 Calend 01'!F41+'V06 Calend 01'!G41),0)+IF(AND(('V06 Calend 01'!E41&gt;0),(163&gt;'V06 Calend 01'!C41),(163&lt;'V06 Calend 01'!D41),(MOD((163-'V06 Calend 01'!C41),6)=0),(((163-'V06 Calend 01'!C41)/6)&lt;='V06 Calend 01'!E41)),IF((163=('V06 Calend 01'!C41+(6*'V06 Calend 01'!E41))),('V06 Calend 01'!H41-('V06 Calend 01'!I41*('V06 Calend 01'!E41-1))),'V06 Calend 01'!I41),0))+IF((163='V06 Calend 01'!D41),'V06 Calend 01'!J41,0))</f>
        <v>0</v>
      </c>
      <c r="FT41" s="2">
        <f>((IF((164='V06 Calend 01'!C41),('V06 Calend 01'!F41+'V06 Calend 01'!G41),0)+IF(AND(('V06 Calend 01'!E41&gt;0),(164&gt;'V06 Calend 01'!C41),(164&lt;'V06 Calend 01'!D41),(MOD((164-'V06 Calend 01'!C41),6)=0),(((164-'V06 Calend 01'!C41)/6)&lt;='V06 Calend 01'!E41)),IF((164=('V06 Calend 01'!C41+(6*'V06 Calend 01'!E41))),('V06 Calend 01'!H41-('V06 Calend 01'!I41*('V06 Calend 01'!E41-1))),'V06 Calend 01'!I41),0))+IF((164='V06 Calend 01'!D41),'V06 Calend 01'!J41,0))</f>
        <v>0</v>
      </c>
      <c r="FU41" s="2">
        <f>((IF((165='V06 Calend 01'!C41),('V06 Calend 01'!F41+'V06 Calend 01'!G41),0)+IF(AND(('V06 Calend 01'!E41&gt;0),(165&gt;'V06 Calend 01'!C41),(165&lt;'V06 Calend 01'!D41),(MOD((165-'V06 Calend 01'!C41),6)=0),(((165-'V06 Calend 01'!C41)/6)&lt;='V06 Calend 01'!E41)),IF((165=('V06 Calend 01'!C41+(6*'V06 Calend 01'!E41))),('V06 Calend 01'!H41-('V06 Calend 01'!I41*('V06 Calend 01'!E41-1))),'V06 Calend 01'!I41),0))+IF((165='V06 Calend 01'!D41),'V06 Calend 01'!J41,0))</f>
        <v>0</v>
      </c>
      <c r="FV41" s="2">
        <f>((IF((166='V06 Calend 01'!C41),('V06 Calend 01'!F41+'V06 Calend 01'!G41),0)+IF(AND(('V06 Calend 01'!E41&gt;0),(166&gt;'V06 Calend 01'!C41),(166&lt;'V06 Calend 01'!D41),(MOD((166-'V06 Calend 01'!C41),6)=0),(((166-'V06 Calend 01'!C41)/6)&lt;='V06 Calend 01'!E41)),IF((166=('V06 Calend 01'!C41+(6*'V06 Calend 01'!E41))),('V06 Calend 01'!H41-('V06 Calend 01'!I41*('V06 Calend 01'!E41-1))),'V06 Calend 01'!I41),0))+IF((166='V06 Calend 01'!D41),'V06 Calend 01'!J41,0))</f>
        <v>0</v>
      </c>
      <c r="FW41" s="2">
        <f>((IF((167='V06 Calend 01'!C41),('V06 Calend 01'!F41+'V06 Calend 01'!G41),0)+IF(AND(('V06 Calend 01'!E41&gt;0),(167&gt;'V06 Calend 01'!C41),(167&lt;'V06 Calend 01'!D41),(MOD((167-'V06 Calend 01'!C41),6)=0),(((167-'V06 Calend 01'!C41)/6)&lt;='V06 Calend 01'!E41)),IF((167=('V06 Calend 01'!C41+(6*'V06 Calend 01'!E41))),('V06 Calend 01'!H41-('V06 Calend 01'!I41*('V06 Calend 01'!E41-1))),'V06 Calend 01'!I41),0))+IF((167='V06 Calend 01'!D41),'V06 Calend 01'!J41,0))</f>
        <v>0</v>
      </c>
      <c r="FX41" s="2">
        <f>((IF((168='V06 Calend 01'!C41),('V06 Calend 01'!F41+'V06 Calend 01'!G41),0)+IF(AND(('V06 Calend 01'!E41&gt;0),(168&gt;'V06 Calend 01'!C41),(168&lt;'V06 Calend 01'!D41),(MOD((168-'V06 Calend 01'!C41),6)=0),(((168-'V06 Calend 01'!C41)/6)&lt;='V06 Calend 01'!E41)),IF((168=('V06 Calend 01'!C41+(6*'V06 Calend 01'!E41))),('V06 Calend 01'!H41-('V06 Calend 01'!I41*('V06 Calend 01'!E41-1))),'V06 Calend 01'!I41),0))+IF((168='V06 Calend 01'!D41),'V06 Calend 01'!J41,0))</f>
        <v>0</v>
      </c>
      <c r="FY41" s="2">
        <f>((IF((169='V06 Calend 01'!C41),('V06 Calend 01'!F41+'V06 Calend 01'!G41),0)+IF(AND(('V06 Calend 01'!E41&gt;0),(169&gt;'V06 Calend 01'!C41),(169&lt;'V06 Calend 01'!D41),(MOD((169-'V06 Calend 01'!C41),6)=0),(((169-'V06 Calend 01'!C41)/6)&lt;='V06 Calend 01'!E41)),IF((169=('V06 Calend 01'!C41+(6*'V06 Calend 01'!E41))),('V06 Calend 01'!H41-('V06 Calend 01'!I41*('V06 Calend 01'!E41-1))),'V06 Calend 01'!I41),0))+IF((169='V06 Calend 01'!D41),'V06 Calend 01'!J41,0))</f>
        <v>0</v>
      </c>
      <c r="FZ41" s="2">
        <f>((IF((170='V06 Calend 01'!C41),('V06 Calend 01'!F41+'V06 Calend 01'!G41),0)+IF(AND(('V06 Calend 01'!E41&gt;0),(170&gt;'V06 Calend 01'!C41),(170&lt;'V06 Calend 01'!D41),(MOD((170-'V06 Calend 01'!C41),6)=0),(((170-'V06 Calend 01'!C41)/6)&lt;='V06 Calend 01'!E41)),IF((170=('V06 Calend 01'!C41+(6*'V06 Calend 01'!E41))),('V06 Calend 01'!H41-('V06 Calend 01'!I41*('V06 Calend 01'!E41-1))),'V06 Calend 01'!I41),0))+IF((170='V06 Calend 01'!D41),'V06 Calend 01'!J41,0))</f>
        <v>0</v>
      </c>
      <c r="GA41" s="2">
        <f>((IF((171='V06 Calend 01'!C41),('V06 Calend 01'!F41+'V06 Calend 01'!G41),0)+IF(AND(('V06 Calend 01'!E41&gt;0),(171&gt;'V06 Calend 01'!C41),(171&lt;'V06 Calend 01'!D41),(MOD((171-'V06 Calend 01'!C41),6)=0),(((171-'V06 Calend 01'!C41)/6)&lt;='V06 Calend 01'!E41)),IF((171=('V06 Calend 01'!C41+(6*'V06 Calend 01'!E41))),('V06 Calend 01'!H41-('V06 Calend 01'!I41*('V06 Calend 01'!E41-1))),'V06 Calend 01'!I41),0))+IF((171='V06 Calend 01'!D41),'V06 Calend 01'!J41,0))</f>
        <v>0</v>
      </c>
      <c r="GB41" s="2">
        <f>((IF((172='V06 Calend 01'!C41),('V06 Calend 01'!F41+'V06 Calend 01'!G41),0)+IF(AND(('V06 Calend 01'!E41&gt;0),(172&gt;'V06 Calend 01'!C41),(172&lt;'V06 Calend 01'!D41),(MOD((172-'V06 Calend 01'!C41),6)=0),(((172-'V06 Calend 01'!C41)/6)&lt;='V06 Calend 01'!E41)),IF((172=('V06 Calend 01'!C41+(6*'V06 Calend 01'!E41))),('V06 Calend 01'!H41-('V06 Calend 01'!I41*('V06 Calend 01'!E41-1))),'V06 Calend 01'!I41),0))+IF((172='V06 Calend 01'!D41),'V06 Calend 01'!J41,0))</f>
        <v>0</v>
      </c>
      <c r="GC41" s="2">
        <f>((IF((173='V06 Calend 01'!C41),('V06 Calend 01'!F41+'V06 Calend 01'!G41),0)+IF(AND(('V06 Calend 01'!E41&gt;0),(173&gt;'V06 Calend 01'!C41),(173&lt;'V06 Calend 01'!D41),(MOD((173-'V06 Calend 01'!C41),6)=0),(((173-'V06 Calend 01'!C41)/6)&lt;='V06 Calend 01'!E41)),IF((173=('V06 Calend 01'!C41+(6*'V06 Calend 01'!E41))),('V06 Calend 01'!H41-('V06 Calend 01'!I41*('V06 Calend 01'!E41-1))),'V06 Calend 01'!I41),0))+IF((173='V06 Calend 01'!D41),'V06 Calend 01'!J41,0))</f>
        <v>0</v>
      </c>
      <c r="GD41" s="2">
        <f>((IF((174='V06 Calend 01'!C41),('V06 Calend 01'!F41+'V06 Calend 01'!G41),0)+IF(AND(('V06 Calend 01'!E41&gt;0),(174&gt;'V06 Calend 01'!C41),(174&lt;'V06 Calend 01'!D41),(MOD((174-'V06 Calend 01'!C41),6)=0),(((174-'V06 Calend 01'!C41)/6)&lt;='V06 Calend 01'!E41)),IF((174=('V06 Calend 01'!C41+(6*'V06 Calend 01'!E41))),('V06 Calend 01'!H41-('V06 Calend 01'!I41*('V06 Calend 01'!E41-1))),'V06 Calend 01'!I41),0))+IF((174='V06 Calend 01'!D41),'V06 Calend 01'!J41,0))</f>
        <v>0</v>
      </c>
      <c r="GE41" s="2">
        <f>((IF((175='V06 Calend 01'!C41),('V06 Calend 01'!F41+'V06 Calend 01'!G41),0)+IF(AND(('V06 Calend 01'!E41&gt;0),(175&gt;'V06 Calend 01'!C41),(175&lt;'V06 Calend 01'!D41),(MOD((175-'V06 Calend 01'!C41),6)=0),(((175-'V06 Calend 01'!C41)/6)&lt;='V06 Calend 01'!E41)),IF((175=('V06 Calend 01'!C41+(6*'V06 Calend 01'!E41))),('V06 Calend 01'!H41-('V06 Calend 01'!I41*('V06 Calend 01'!E41-1))),'V06 Calend 01'!I41),0))+IF((175='V06 Calend 01'!D41),'V06 Calend 01'!J41,0))</f>
        <v>0</v>
      </c>
      <c r="GF41" s="2">
        <f>((IF((176='V06 Calend 01'!C41),('V06 Calend 01'!F41+'V06 Calend 01'!G41),0)+IF(AND(('V06 Calend 01'!E41&gt;0),(176&gt;'V06 Calend 01'!C41),(176&lt;'V06 Calend 01'!D41),(MOD((176-'V06 Calend 01'!C41),6)=0),(((176-'V06 Calend 01'!C41)/6)&lt;='V06 Calend 01'!E41)),IF((176=('V06 Calend 01'!C41+(6*'V06 Calend 01'!E41))),('V06 Calend 01'!H41-('V06 Calend 01'!I41*('V06 Calend 01'!E41-1))),'V06 Calend 01'!I41),0))+IF((176='V06 Calend 01'!D41),'V06 Calend 01'!J41,0))</f>
        <v>0</v>
      </c>
      <c r="GG41" s="2">
        <f>((IF((177='V06 Calend 01'!C41),('V06 Calend 01'!F41+'V06 Calend 01'!G41),0)+IF(AND(('V06 Calend 01'!E41&gt;0),(177&gt;'V06 Calend 01'!C41),(177&lt;'V06 Calend 01'!D41),(MOD((177-'V06 Calend 01'!C41),6)=0),(((177-'V06 Calend 01'!C41)/6)&lt;='V06 Calend 01'!E41)),IF((177=('V06 Calend 01'!C41+(6*'V06 Calend 01'!E41))),('V06 Calend 01'!H41-('V06 Calend 01'!I41*('V06 Calend 01'!E41-1))),'V06 Calend 01'!I41),0))+IF((177='V06 Calend 01'!D41),'V06 Calend 01'!J41,0))</f>
        <v>0</v>
      </c>
      <c r="GH41" s="2">
        <f>((IF((178='V06 Calend 01'!C41),('V06 Calend 01'!F41+'V06 Calend 01'!G41),0)+IF(AND(('V06 Calend 01'!E41&gt;0),(178&gt;'V06 Calend 01'!C41),(178&lt;'V06 Calend 01'!D41),(MOD((178-'V06 Calend 01'!C41),6)=0),(((178-'V06 Calend 01'!C41)/6)&lt;='V06 Calend 01'!E41)),IF((178=('V06 Calend 01'!C41+(6*'V06 Calend 01'!E41))),('V06 Calend 01'!H41-('V06 Calend 01'!I41*('V06 Calend 01'!E41-1))),'V06 Calend 01'!I41),0))+IF((178='V06 Calend 01'!D41),'V06 Calend 01'!J41,0))</f>
        <v>0</v>
      </c>
      <c r="GI41" s="2">
        <f>((IF((179='V06 Calend 01'!C41),('V06 Calend 01'!F41+'V06 Calend 01'!G41),0)+IF(AND(('V06 Calend 01'!E41&gt;0),(179&gt;'V06 Calend 01'!C41),(179&lt;'V06 Calend 01'!D41),(MOD((179-'V06 Calend 01'!C41),6)=0),(((179-'V06 Calend 01'!C41)/6)&lt;='V06 Calend 01'!E41)),IF((179=('V06 Calend 01'!C41+(6*'V06 Calend 01'!E41))),('V06 Calend 01'!H41-('V06 Calend 01'!I41*('V06 Calend 01'!E41-1))),'V06 Calend 01'!I41),0))+IF((179='V06 Calend 01'!D41),'V06 Calend 01'!J41,0))</f>
        <v>0</v>
      </c>
      <c r="GJ41" s="2">
        <f>((IF((180='V06 Calend 01'!C41),('V06 Calend 01'!F41+'V06 Calend 01'!G41),0)+IF(AND(('V06 Calend 01'!E41&gt;0),(180&gt;'V06 Calend 01'!C41),(180&lt;'V06 Calend 01'!D41),(MOD((180-'V06 Calend 01'!C41),6)=0),(((180-'V06 Calend 01'!C41)/6)&lt;='V06 Calend 01'!E41)),IF((180=('V06 Calend 01'!C41+(6*'V06 Calend 01'!E41))),('V06 Calend 01'!H41-('V06 Calend 01'!I41*('V06 Calend 01'!E41-1))),'V06 Calend 01'!I41),0))+IF((180='V06 Calend 01'!D41),'V06 Calend 01'!J41,0))</f>
        <v>0</v>
      </c>
    </row>
    <row r="42" spans="1:192">
      <c r="A42" s="3" t="str">
        <f>'V06 Unidades'!$A$42</f>
        <v>508</v>
      </c>
      <c r="B42" s="2">
        <f>'V06 Unidades'!$H$42</f>
        <v>284485.34</v>
      </c>
      <c r="C42" s="4">
        <f>('V06 Unidades'!$I$42+'V06 Controlos'!$B$37)</f>
        <v>1</v>
      </c>
      <c r="D42" s="4">
        <f>IF(('V06 Controlos'!$B$38&gt;0),MAX(('V06 Unidades'!$L$42+'V06 Controlos'!$B$37),(30+'V06 Controlos'!$B$38)),('V06 Unidades'!$L$42+'V06 Controlos'!$B$37))</f>
        <v>29</v>
      </c>
      <c r="E42" s="4">
        <f>MAX(0,INT(((('V06 Calend 01'!D42-'V06 Calend 01'!C42)-1)/6)))</f>
        <v>4</v>
      </c>
      <c r="F42" s="2">
        <f>ROUND(('V06 Calend 01'!B42*0.05),2)</f>
        <v>14224.27</v>
      </c>
      <c r="G42" s="2">
        <f>ROUND(('V06 Calend 01'!B42*0.2),2)</f>
        <v>56897.07</v>
      </c>
      <c r="H42" s="2">
        <f>ROUND(('V06 Calend 01'!B42*0.55),2)</f>
        <v>156466.94</v>
      </c>
      <c r="I42" s="2">
        <f>ROUND(('V06 Calend 01'!H42/MAX(1,'V06 Calend 01'!E42)),2)</f>
        <v>39116.74</v>
      </c>
      <c r="J42" s="2">
        <f>((('V06 Calend 01'!B42-'V06 Calend 01'!F42)-'V06 Calend 01'!G42)-'V06 Calend 01'!H42)</f>
        <v>56897.06</v>
      </c>
      <c r="K42" s="2">
        <f>('V06 Calend 01'!B42*0.025)</f>
        <v>7112.133500000001</v>
      </c>
      <c r="L42" t="s">
        <v>378</v>
      </c>
      <c r="M42" s="2">
        <f>((IF((1='V06 Calend 01'!C42),('V06 Calend 01'!F42+'V06 Calend 01'!G42),0)+IF(AND(('V06 Calend 01'!E42&gt;0),(1&gt;'V06 Calend 01'!C42),(1&lt;'V06 Calend 01'!D42),(MOD((1-'V06 Calend 01'!C42),6)=0),(((1-'V06 Calend 01'!C42)/6)&lt;='V06 Calend 01'!E42)),IF((1=('V06 Calend 01'!C42+(6*'V06 Calend 01'!E42))),('V06 Calend 01'!H42-('V06 Calend 01'!I42*('V06 Calend 01'!E42-1))),'V06 Calend 01'!I42),0))+IF((1='V06 Calend 01'!D42),'V06 Calend 01'!J42,0))</f>
        <v>71121.34</v>
      </c>
      <c r="N42" s="2">
        <f>((IF((2='V06 Calend 01'!C42),('V06 Calend 01'!F42+'V06 Calend 01'!G42),0)+IF(AND(('V06 Calend 01'!E42&gt;0),(2&gt;'V06 Calend 01'!C42),(2&lt;'V06 Calend 01'!D42),(MOD((2-'V06 Calend 01'!C42),6)=0),(((2-'V06 Calend 01'!C42)/6)&lt;='V06 Calend 01'!E42)),IF((2=('V06 Calend 01'!C42+(6*'V06 Calend 01'!E42))),('V06 Calend 01'!H42-('V06 Calend 01'!I42*('V06 Calend 01'!E42-1))),'V06 Calend 01'!I42),0))+IF((2='V06 Calend 01'!D42),'V06 Calend 01'!J42,0))</f>
        <v>0</v>
      </c>
      <c r="O42" s="2">
        <f>((IF((3='V06 Calend 01'!C42),('V06 Calend 01'!F42+'V06 Calend 01'!G42),0)+IF(AND(('V06 Calend 01'!E42&gt;0),(3&gt;'V06 Calend 01'!C42),(3&lt;'V06 Calend 01'!D42),(MOD((3-'V06 Calend 01'!C42),6)=0),(((3-'V06 Calend 01'!C42)/6)&lt;='V06 Calend 01'!E42)),IF((3=('V06 Calend 01'!C42+(6*'V06 Calend 01'!E42))),('V06 Calend 01'!H42-('V06 Calend 01'!I42*('V06 Calend 01'!E42-1))),'V06 Calend 01'!I42),0))+IF((3='V06 Calend 01'!D42),'V06 Calend 01'!J42,0))</f>
        <v>0</v>
      </c>
      <c r="P42" s="2">
        <f>((IF((4='V06 Calend 01'!C42),('V06 Calend 01'!F42+'V06 Calend 01'!G42),0)+IF(AND(('V06 Calend 01'!E42&gt;0),(4&gt;'V06 Calend 01'!C42),(4&lt;'V06 Calend 01'!D42),(MOD((4-'V06 Calend 01'!C42),6)=0),(((4-'V06 Calend 01'!C42)/6)&lt;='V06 Calend 01'!E42)),IF((4=('V06 Calend 01'!C42+(6*'V06 Calend 01'!E42))),('V06 Calend 01'!H42-('V06 Calend 01'!I42*('V06 Calend 01'!E42-1))),'V06 Calend 01'!I42),0))+IF((4='V06 Calend 01'!D42),'V06 Calend 01'!J42,0))</f>
        <v>0</v>
      </c>
      <c r="Q42" s="2">
        <f>((IF((5='V06 Calend 01'!C42),('V06 Calend 01'!F42+'V06 Calend 01'!G42),0)+IF(AND(('V06 Calend 01'!E42&gt;0),(5&gt;'V06 Calend 01'!C42),(5&lt;'V06 Calend 01'!D42),(MOD((5-'V06 Calend 01'!C42),6)=0),(((5-'V06 Calend 01'!C42)/6)&lt;='V06 Calend 01'!E42)),IF((5=('V06 Calend 01'!C42+(6*'V06 Calend 01'!E42))),('V06 Calend 01'!H42-('V06 Calend 01'!I42*('V06 Calend 01'!E42-1))),'V06 Calend 01'!I42),0))+IF((5='V06 Calend 01'!D42),'V06 Calend 01'!J42,0))</f>
        <v>0</v>
      </c>
      <c r="R42" s="2">
        <f>((IF((6='V06 Calend 01'!C42),('V06 Calend 01'!F42+'V06 Calend 01'!G42),0)+IF(AND(('V06 Calend 01'!E42&gt;0),(6&gt;'V06 Calend 01'!C42),(6&lt;'V06 Calend 01'!D42),(MOD((6-'V06 Calend 01'!C42),6)=0),(((6-'V06 Calend 01'!C42)/6)&lt;='V06 Calend 01'!E42)),IF((6=('V06 Calend 01'!C42+(6*'V06 Calend 01'!E42))),('V06 Calend 01'!H42-('V06 Calend 01'!I42*('V06 Calend 01'!E42-1))),'V06 Calend 01'!I42),0))+IF((6='V06 Calend 01'!D42),'V06 Calend 01'!J42,0))</f>
        <v>0</v>
      </c>
      <c r="S42" s="2">
        <f>((IF((7='V06 Calend 01'!C42),('V06 Calend 01'!F42+'V06 Calend 01'!G42),0)+IF(AND(('V06 Calend 01'!E42&gt;0),(7&gt;'V06 Calend 01'!C42),(7&lt;'V06 Calend 01'!D42),(MOD((7-'V06 Calend 01'!C42),6)=0),(((7-'V06 Calend 01'!C42)/6)&lt;='V06 Calend 01'!E42)),IF((7=('V06 Calend 01'!C42+(6*'V06 Calend 01'!E42))),('V06 Calend 01'!H42-('V06 Calend 01'!I42*('V06 Calend 01'!E42-1))),'V06 Calend 01'!I42),0))+IF((7='V06 Calend 01'!D42),'V06 Calend 01'!J42,0))</f>
        <v>39116.74</v>
      </c>
      <c r="T42" s="2">
        <f>((IF((8='V06 Calend 01'!C42),('V06 Calend 01'!F42+'V06 Calend 01'!G42),0)+IF(AND(('V06 Calend 01'!E42&gt;0),(8&gt;'V06 Calend 01'!C42),(8&lt;'V06 Calend 01'!D42),(MOD((8-'V06 Calend 01'!C42),6)=0),(((8-'V06 Calend 01'!C42)/6)&lt;='V06 Calend 01'!E42)),IF((8=('V06 Calend 01'!C42+(6*'V06 Calend 01'!E42))),('V06 Calend 01'!H42-('V06 Calend 01'!I42*('V06 Calend 01'!E42-1))),'V06 Calend 01'!I42),0))+IF((8='V06 Calend 01'!D42),'V06 Calend 01'!J42,0))</f>
        <v>0</v>
      </c>
      <c r="U42" s="2">
        <f>((IF((9='V06 Calend 01'!C42),('V06 Calend 01'!F42+'V06 Calend 01'!G42),0)+IF(AND(('V06 Calend 01'!E42&gt;0),(9&gt;'V06 Calend 01'!C42),(9&lt;'V06 Calend 01'!D42),(MOD((9-'V06 Calend 01'!C42),6)=0),(((9-'V06 Calend 01'!C42)/6)&lt;='V06 Calend 01'!E42)),IF((9=('V06 Calend 01'!C42+(6*'V06 Calend 01'!E42))),('V06 Calend 01'!H42-('V06 Calend 01'!I42*('V06 Calend 01'!E42-1))),'V06 Calend 01'!I42),0))+IF((9='V06 Calend 01'!D42),'V06 Calend 01'!J42,0))</f>
        <v>0</v>
      </c>
      <c r="V42" s="2">
        <f>((IF((10='V06 Calend 01'!C42),('V06 Calend 01'!F42+'V06 Calend 01'!G42),0)+IF(AND(('V06 Calend 01'!E42&gt;0),(10&gt;'V06 Calend 01'!C42),(10&lt;'V06 Calend 01'!D42),(MOD((10-'V06 Calend 01'!C42),6)=0),(((10-'V06 Calend 01'!C42)/6)&lt;='V06 Calend 01'!E42)),IF((10=('V06 Calend 01'!C42+(6*'V06 Calend 01'!E42))),('V06 Calend 01'!H42-('V06 Calend 01'!I42*('V06 Calend 01'!E42-1))),'V06 Calend 01'!I42),0))+IF((10='V06 Calend 01'!D42),'V06 Calend 01'!J42,0))</f>
        <v>0</v>
      </c>
      <c r="W42" s="2">
        <f>((IF((11='V06 Calend 01'!C42),('V06 Calend 01'!F42+'V06 Calend 01'!G42),0)+IF(AND(('V06 Calend 01'!E42&gt;0),(11&gt;'V06 Calend 01'!C42),(11&lt;'V06 Calend 01'!D42),(MOD((11-'V06 Calend 01'!C42),6)=0),(((11-'V06 Calend 01'!C42)/6)&lt;='V06 Calend 01'!E42)),IF((11=('V06 Calend 01'!C42+(6*'V06 Calend 01'!E42))),('V06 Calend 01'!H42-('V06 Calend 01'!I42*('V06 Calend 01'!E42-1))),'V06 Calend 01'!I42),0))+IF((11='V06 Calend 01'!D42),'V06 Calend 01'!J42,0))</f>
        <v>0</v>
      </c>
      <c r="X42" s="2">
        <f>((IF((12='V06 Calend 01'!C42),('V06 Calend 01'!F42+'V06 Calend 01'!G42),0)+IF(AND(('V06 Calend 01'!E42&gt;0),(12&gt;'V06 Calend 01'!C42),(12&lt;'V06 Calend 01'!D42),(MOD((12-'V06 Calend 01'!C42),6)=0),(((12-'V06 Calend 01'!C42)/6)&lt;='V06 Calend 01'!E42)),IF((12=('V06 Calend 01'!C42+(6*'V06 Calend 01'!E42))),('V06 Calend 01'!H42-('V06 Calend 01'!I42*('V06 Calend 01'!E42-1))),'V06 Calend 01'!I42),0))+IF((12='V06 Calend 01'!D42),'V06 Calend 01'!J42,0))</f>
        <v>0</v>
      </c>
      <c r="Y42" s="2">
        <f>((IF((13='V06 Calend 01'!C42),('V06 Calend 01'!F42+'V06 Calend 01'!G42),0)+IF(AND(('V06 Calend 01'!E42&gt;0),(13&gt;'V06 Calend 01'!C42),(13&lt;'V06 Calend 01'!D42),(MOD((13-'V06 Calend 01'!C42),6)=0),(((13-'V06 Calend 01'!C42)/6)&lt;='V06 Calend 01'!E42)),IF((13=('V06 Calend 01'!C42+(6*'V06 Calend 01'!E42))),('V06 Calend 01'!H42-('V06 Calend 01'!I42*('V06 Calend 01'!E42-1))),'V06 Calend 01'!I42),0))+IF((13='V06 Calend 01'!D42),'V06 Calend 01'!J42,0))</f>
        <v>39116.74</v>
      </c>
      <c r="Z42" s="2">
        <f>((IF((14='V06 Calend 01'!C42),('V06 Calend 01'!F42+'V06 Calend 01'!G42),0)+IF(AND(('V06 Calend 01'!E42&gt;0),(14&gt;'V06 Calend 01'!C42),(14&lt;'V06 Calend 01'!D42),(MOD((14-'V06 Calend 01'!C42),6)=0),(((14-'V06 Calend 01'!C42)/6)&lt;='V06 Calend 01'!E42)),IF((14=('V06 Calend 01'!C42+(6*'V06 Calend 01'!E42))),('V06 Calend 01'!H42-('V06 Calend 01'!I42*('V06 Calend 01'!E42-1))),'V06 Calend 01'!I42),0))+IF((14='V06 Calend 01'!D42),'V06 Calend 01'!J42,0))</f>
        <v>0</v>
      </c>
      <c r="AA42" s="2">
        <f>((IF((15='V06 Calend 01'!C42),('V06 Calend 01'!F42+'V06 Calend 01'!G42),0)+IF(AND(('V06 Calend 01'!E42&gt;0),(15&gt;'V06 Calend 01'!C42),(15&lt;'V06 Calend 01'!D42),(MOD((15-'V06 Calend 01'!C42),6)=0),(((15-'V06 Calend 01'!C42)/6)&lt;='V06 Calend 01'!E42)),IF((15=('V06 Calend 01'!C42+(6*'V06 Calend 01'!E42))),('V06 Calend 01'!H42-('V06 Calend 01'!I42*('V06 Calend 01'!E42-1))),'V06 Calend 01'!I42),0))+IF((15='V06 Calend 01'!D42),'V06 Calend 01'!J42,0))</f>
        <v>0</v>
      </c>
      <c r="AB42" s="2">
        <f>((IF((16='V06 Calend 01'!C42),('V06 Calend 01'!F42+'V06 Calend 01'!G42),0)+IF(AND(('V06 Calend 01'!E42&gt;0),(16&gt;'V06 Calend 01'!C42),(16&lt;'V06 Calend 01'!D42),(MOD((16-'V06 Calend 01'!C42),6)=0),(((16-'V06 Calend 01'!C42)/6)&lt;='V06 Calend 01'!E42)),IF((16=('V06 Calend 01'!C42+(6*'V06 Calend 01'!E42))),('V06 Calend 01'!H42-('V06 Calend 01'!I42*('V06 Calend 01'!E42-1))),'V06 Calend 01'!I42),0))+IF((16='V06 Calend 01'!D42),'V06 Calend 01'!J42,0))</f>
        <v>0</v>
      </c>
      <c r="AC42" s="2">
        <f>((IF((17='V06 Calend 01'!C42),('V06 Calend 01'!F42+'V06 Calend 01'!G42),0)+IF(AND(('V06 Calend 01'!E42&gt;0),(17&gt;'V06 Calend 01'!C42),(17&lt;'V06 Calend 01'!D42),(MOD((17-'V06 Calend 01'!C42),6)=0),(((17-'V06 Calend 01'!C42)/6)&lt;='V06 Calend 01'!E42)),IF((17=('V06 Calend 01'!C42+(6*'V06 Calend 01'!E42))),('V06 Calend 01'!H42-('V06 Calend 01'!I42*('V06 Calend 01'!E42-1))),'V06 Calend 01'!I42),0))+IF((17='V06 Calend 01'!D42),'V06 Calend 01'!J42,0))</f>
        <v>0</v>
      </c>
      <c r="AD42" s="2">
        <f>((IF((18='V06 Calend 01'!C42),('V06 Calend 01'!F42+'V06 Calend 01'!G42),0)+IF(AND(('V06 Calend 01'!E42&gt;0),(18&gt;'V06 Calend 01'!C42),(18&lt;'V06 Calend 01'!D42),(MOD((18-'V06 Calend 01'!C42),6)=0),(((18-'V06 Calend 01'!C42)/6)&lt;='V06 Calend 01'!E42)),IF((18=('V06 Calend 01'!C42+(6*'V06 Calend 01'!E42))),('V06 Calend 01'!H42-('V06 Calend 01'!I42*('V06 Calend 01'!E42-1))),'V06 Calend 01'!I42),0))+IF((18='V06 Calend 01'!D42),'V06 Calend 01'!J42,0))</f>
        <v>0</v>
      </c>
      <c r="AE42" s="2">
        <f>((IF((19='V06 Calend 01'!C42),('V06 Calend 01'!F42+'V06 Calend 01'!G42),0)+IF(AND(('V06 Calend 01'!E42&gt;0),(19&gt;'V06 Calend 01'!C42),(19&lt;'V06 Calend 01'!D42),(MOD((19-'V06 Calend 01'!C42),6)=0),(((19-'V06 Calend 01'!C42)/6)&lt;='V06 Calend 01'!E42)),IF((19=('V06 Calend 01'!C42+(6*'V06 Calend 01'!E42))),('V06 Calend 01'!H42-('V06 Calend 01'!I42*('V06 Calend 01'!E42-1))),'V06 Calend 01'!I42),0))+IF((19='V06 Calend 01'!D42),'V06 Calend 01'!J42,0))</f>
        <v>39116.74</v>
      </c>
      <c r="AF42" s="2">
        <f>((IF((20='V06 Calend 01'!C42),('V06 Calend 01'!F42+'V06 Calend 01'!G42),0)+IF(AND(('V06 Calend 01'!E42&gt;0),(20&gt;'V06 Calend 01'!C42),(20&lt;'V06 Calend 01'!D42),(MOD((20-'V06 Calend 01'!C42),6)=0),(((20-'V06 Calend 01'!C42)/6)&lt;='V06 Calend 01'!E42)),IF((20=('V06 Calend 01'!C42+(6*'V06 Calend 01'!E42))),('V06 Calend 01'!H42-('V06 Calend 01'!I42*('V06 Calend 01'!E42-1))),'V06 Calend 01'!I42),0))+IF((20='V06 Calend 01'!D42),'V06 Calend 01'!J42,0))</f>
        <v>0</v>
      </c>
      <c r="AG42" s="2">
        <f>((IF((21='V06 Calend 01'!C42),('V06 Calend 01'!F42+'V06 Calend 01'!G42),0)+IF(AND(('V06 Calend 01'!E42&gt;0),(21&gt;'V06 Calend 01'!C42),(21&lt;'V06 Calend 01'!D42),(MOD((21-'V06 Calend 01'!C42),6)=0),(((21-'V06 Calend 01'!C42)/6)&lt;='V06 Calend 01'!E42)),IF((21=('V06 Calend 01'!C42+(6*'V06 Calend 01'!E42))),('V06 Calend 01'!H42-('V06 Calend 01'!I42*('V06 Calend 01'!E42-1))),'V06 Calend 01'!I42),0))+IF((21='V06 Calend 01'!D42),'V06 Calend 01'!J42,0))</f>
        <v>0</v>
      </c>
      <c r="AH42" s="2">
        <f>((IF((22='V06 Calend 01'!C42),('V06 Calend 01'!F42+'V06 Calend 01'!G42),0)+IF(AND(('V06 Calend 01'!E42&gt;0),(22&gt;'V06 Calend 01'!C42),(22&lt;'V06 Calend 01'!D42),(MOD((22-'V06 Calend 01'!C42),6)=0),(((22-'V06 Calend 01'!C42)/6)&lt;='V06 Calend 01'!E42)),IF((22=('V06 Calend 01'!C42+(6*'V06 Calend 01'!E42))),('V06 Calend 01'!H42-('V06 Calend 01'!I42*('V06 Calend 01'!E42-1))),'V06 Calend 01'!I42),0))+IF((22='V06 Calend 01'!D42),'V06 Calend 01'!J42,0))</f>
        <v>0</v>
      </c>
      <c r="AI42" s="2">
        <f>((IF((23='V06 Calend 01'!C42),('V06 Calend 01'!F42+'V06 Calend 01'!G42),0)+IF(AND(('V06 Calend 01'!E42&gt;0),(23&gt;'V06 Calend 01'!C42),(23&lt;'V06 Calend 01'!D42),(MOD((23-'V06 Calend 01'!C42),6)=0),(((23-'V06 Calend 01'!C42)/6)&lt;='V06 Calend 01'!E42)),IF((23=('V06 Calend 01'!C42+(6*'V06 Calend 01'!E42))),('V06 Calend 01'!H42-('V06 Calend 01'!I42*('V06 Calend 01'!E42-1))),'V06 Calend 01'!I42),0))+IF((23='V06 Calend 01'!D42),'V06 Calend 01'!J42,0))</f>
        <v>0</v>
      </c>
      <c r="AJ42" s="2">
        <f>((IF((24='V06 Calend 01'!C42),('V06 Calend 01'!F42+'V06 Calend 01'!G42),0)+IF(AND(('V06 Calend 01'!E42&gt;0),(24&gt;'V06 Calend 01'!C42),(24&lt;'V06 Calend 01'!D42),(MOD((24-'V06 Calend 01'!C42),6)=0),(((24-'V06 Calend 01'!C42)/6)&lt;='V06 Calend 01'!E42)),IF((24=('V06 Calend 01'!C42+(6*'V06 Calend 01'!E42))),('V06 Calend 01'!H42-('V06 Calend 01'!I42*('V06 Calend 01'!E42-1))),'V06 Calend 01'!I42),0))+IF((24='V06 Calend 01'!D42),'V06 Calend 01'!J42,0))</f>
        <v>0</v>
      </c>
      <c r="AK42" s="2">
        <f>((IF((25='V06 Calend 01'!C42),('V06 Calend 01'!F42+'V06 Calend 01'!G42),0)+IF(AND(('V06 Calend 01'!E42&gt;0),(25&gt;'V06 Calend 01'!C42),(25&lt;'V06 Calend 01'!D42),(MOD((25-'V06 Calend 01'!C42),6)=0),(((25-'V06 Calend 01'!C42)/6)&lt;='V06 Calend 01'!E42)),IF((25=('V06 Calend 01'!C42+(6*'V06 Calend 01'!E42))),('V06 Calend 01'!H42-('V06 Calend 01'!I42*('V06 Calend 01'!E42-1))),'V06 Calend 01'!I42),0))+IF((25='V06 Calend 01'!D42),'V06 Calend 01'!J42,0))</f>
        <v>39116.72</v>
      </c>
      <c r="AL42" s="2">
        <f>((IF((26='V06 Calend 01'!C42),('V06 Calend 01'!F42+'V06 Calend 01'!G42),0)+IF(AND(('V06 Calend 01'!E42&gt;0),(26&gt;'V06 Calend 01'!C42),(26&lt;'V06 Calend 01'!D42),(MOD((26-'V06 Calend 01'!C42),6)=0),(((26-'V06 Calend 01'!C42)/6)&lt;='V06 Calend 01'!E42)),IF((26=('V06 Calend 01'!C42+(6*'V06 Calend 01'!E42))),('V06 Calend 01'!H42-('V06 Calend 01'!I42*('V06 Calend 01'!E42-1))),'V06 Calend 01'!I42),0))+IF((26='V06 Calend 01'!D42),'V06 Calend 01'!J42,0))</f>
        <v>0</v>
      </c>
      <c r="AM42" s="2">
        <f>((IF((27='V06 Calend 01'!C42),('V06 Calend 01'!F42+'V06 Calend 01'!G42),0)+IF(AND(('V06 Calend 01'!E42&gt;0),(27&gt;'V06 Calend 01'!C42),(27&lt;'V06 Calend 01'!D42),(MOD((27-'V06 Calend 01'!C42),6)=0),(((27-'V06 Calend 01'!C42)/6)&lt;='V06 Calend 01'!E42)),IF((27=('V06 Calend 01'!C42+(6*'V06 Calend 01'!E42))),('V06 Calend 01'!H42-('V06 Calend 01'!I42*('V06 Calend 01'!E42-1))),'V06 Calend 01'!I42),0))+IF((27='V06 Calend 01'!D42),'V06 Calend 01'!J42,0))</f>
        <v>0</v>
      </c>
      <c r="AN42" s="2">
        <f>((IF((28='V06 Calend 01'!C42),('V06 Calend 01'!F42+'V06 Calend 01'!G42),0)+IF(AND(('V06 Calend 01'!E42&gt;0),(28&gt;'V06 Calend 01'!C42),(28&lt;'V06 Calend 01'!D42),(MOD((28-'V06 Calend 01'!C42),6)=0),(((28-'V06 Calend 01'!C42)/6)&lt;='V06 Calend 01'!E42)),IF((28=('V06 Calend 01'!C42+(6*'V06 Calend 01'!E42))),('V06 Calend 01'!H42-('V06 Calend 01'!I42*('V06 Calend 01'!E42-1))),'V06 Calend 01'!I42),0))+IF((28='V06 Calend 01'!D42),'V06 Calend 01'!J42,0))</f>
        <v>0</v>
      </c>
      <c r="AO42" s="2">
        <f>((IF((29='V06 Calend 01'!C42),('V06 Calend 01'!F42+'V06 Calend 01'!G42),0)+IF(AND(('V06 Calend 01'!E42&gt;0),(29&gt;'V06 Calend 01'!C42),(29&lt;'V06 Calend 01'!D42),(MOD((29-'V06 Calend 01'!C42),6)=0),(((29-'V06 Calend 01'!C42)/6)&lt;='V06 Calend 01'!E42)),IF((29=('V06 Calend 01'!C42+(6*'V06 Calend 01'!E42))),('V06 Calend 01'!H42-('V06 Calend 01'!I42*('V06 Calend 01'!E42-1))),'V06 Calend 01'!I42),0))+IF((29='V06 Calend 01'!D42),'V06 Calend 01'!J42,0))</f>
        <v>56897.06</v>
      </c>
      <c r="AP42" s="2">
        <f>((IF((30='V06 Calend 01'!C42),('V06 Calend 01'!F42+'V06 Calend 01'!G42),0)+IF(AND(('V06 Calend 01'!E42&gt;0),(30&gt;'V06 Calend 01'!C42),(30&lt;'V06 Calend 01'!D42),(MOD((30-'V06 Calend 01'!C42),6)=0),(((30-'V06 Calend 01'!C42)/6)&lt;='V06 Calend 01'!E42)),IF((30=('V06 Calend 01'!C42+(6*'V06 Calend 01'!E42))),('V06 Calend 01'!H42-('V06 Calend 01'!I42*('V06 Calend 01'!E42-1))),'V06 Calend 01'!I42),0))+IF((30='V06 Calend 01'!D42),'V06 Calend 01'!J42,0))</f>
        <v>0</v>
      </c>
      <c r="AQ42" s="2">
        <f>((IF((31='V06 Calend 01'!C42),('V06 Calend 01'!F42+'V06 Calend 01'!G42),0)+IF(AND(('V06 Calend 01'!E42&gt;0),(31&gt;'V06 Calend 01'!C42),(31&lt;'V06 Calend 01'!D42),(MOD((31-'V06 Calend 01'!C42),6)=0),(((31-'V06 Calend 01'!C42)/6)&lt;='V06 Calend 01'!E42)),IF((31=('V06 Calend 01'!C42+(6*'V06 Calend 01'!E42))),('V06 Calend 01'!H42-('V06 Calend 01'!I42*('V06 Calend 01'!E42-1))),'V06 Calend 01'!I42),0))+IF((31='V06 Calend 01'!D42),'V06 Calend 01'!J42,0))</f>
        <v>0</v>
      </c>
      <c r="AR42" s="2">
        <f>((IF((32='V06 Calend 01'!C42),('V06 Calend 01'!F42+'V06 Calend 01'!G42),0)+IF(AND(('V06 Calend 01'!E42&gt;0),(32&gt;'V06 Calend 01'!C42),(32&lt;'V06 Calend 01'!D42),(MOD((32-'V06 Calend 01'!C42),6)=0),(((32-'V06 Calend 01'!C42)/6)&lt;='V06 Calend 01'!E42)),IF((32=('V06 Calend 01'!C42+(6*'V06 Calend 01'!E42))),('V06 Calend 01'!H42-('V06 Calend 01'!I42*('V06 Calend 01'!E42-1))),'V06 Calend 01'!I42),0))+IF((32='V06 Calend 01'!D42),'V06 Calend 01'!J42,0))</f>
        <v>0</v>
      </c>
      <c r="AS42" s="2">
        <f>((IF((33='V06 Calend 01'!C42),('V06 Calend 01'!F42+'V06 Calend 01'!G42),0)+IF(AND(('V06 Calend 01'!E42&gt;0),(33&gt;'V06 Calend 01'!C42),(33&lt;'V06 Calend 01'!D42),(MOD((33-'V06 Calend 01'!C42),6)=0),(((33-'V06 Calend 01'!C42)/6)&lt;='V06 Calend 01'!E42)),IF((33=('V06 Calend 01'!C42+(6*'V06 Calend 01'!E42))),('V06 Calend 01'!H42-('V06 Calend 01'!I42*('V06 Calend 01'!E42-1))),'V06 Calend 01'!I42),0))+IF((33='V06 Calend 01'!D42),'V06 Calend 01'!J42,0))</f>
        <v>0</v>
      </c>
      <c r="AT42" s="2">
        <f>((IF((34='V06 Calend 01'!C42),('V06 Calend 01'!F42+'V06 Calend 01'!G42),0)+IF(AND(('V06 Calend 01'!E42&gt;0),(34&gt;'V06 Calend 01'!C42),(34&lt;'V06 Calend 01'!D42),(MOD((34-'V06 Calend 01'!C42),6)=0),(((34-'V06 Calend 01'!C42)/6)&lt;='V06 Calend 01'!E42)),IF((34=('V06 Calend 01'!C42+(6*'V06 Calend 01'!E42))),('V06 Calend 01'!H42-('V06 Calend 01'!I42*('V06 Calend 01'!E42-1))),'V06 Calend 01'!I42),0))+IF((34='V06 Calend 01'!D42),'V06 Calend 01'!J42,0))</f>
        <v>0</v>
      </c>
      <c r="AU42" s="2">
        <f>((IF((35='V06 Calend 01'!C42),('V06 Calend 01'!F42+'V06 Calend 01'!G42),0)+IF(AND(('V06 Calend 01'!E42&gt;0),(35&gt;'V06 Calend 01'!C42),(35&lt;'V06 Calend 01'!D42),(MOD((35-'V06 Calend 01'!C42),6)=0),(((35-'V06 Calend 01'!C42)/6)&lt;='V06 Calend 01'!E42)),IF((35=('V06 Calend 01'!C42+(6*'V06 Calend 01'!E42))),('V06 Calend 01'!H42-('V06 Calend 01'!I42*('V06 Calend 01'!E42-1))),'V06 Calend 01'!I42),0))+IF((35='V06 Calend 01'!D42),'V06 Calend 01'!J42,0))</f>
        <v>0</v>
      </c>
      <c r="AV42" s="2">
        <f>((IF((36='V06 Calend 01'!C42),('V06 Calend 01'!F42+'V06 Calend 01'!G42),0)+IF(AND(('V06 Calend 01'!E42&gt;0),(36&gt;'V06 Calend 01'!C42),(36&lt;'V06 Calend 01'!D42),(MOD((36-'V06 Calend 01'!C42),6)=0),(((36-'V06 Calend 01'!C42)/6)&lt;='V06 Calend 01'!E42)),IF((36=('V06 Calend 01'!C42+(6*'V06 Calend 01'!E42))),('V06 Calend 01'!H42-('V06 Calend 01'!I42*('V06 Calend 01'!E42-1))),'V06 Calend 01'!I42),0))+IF((36='V06 Calend 01'!D42),'V06 Calend 01'!J42,0))</f>
        <v>0</v>
      </c>
      <c r="AW42" s="2">
        <f>((IF((37='V06 Calend 01'!C42),('V06 Calend 01'!F42+'V06 Calend 01'!G42),0)+IF(AND(('V06 Calend 01'!E42&gt;0),(37&gt;'V06 Calend 01'!C42),(37&lt;'V06 Calend 01'!D42),(MOD((37-'V06 Calend 01'!C42),6)=0),(((37-'V06 Calend 01'!C42)/6)&lt;='V06 Calend 01'!E42)),IF((37=('V06 Calend 01'!C42+(6*'V06 Calend 01'!E42))),('V06 Calend 01'!H42-('V06 Calend 01'!I42*('V06 Calend 01'!E42-1))),'V06 Calend 01'!I42),0))+IF((37='V06 Calend 01'!D42),'V06 Calend 01'!J42,0))</f>
        <v>0</v>
      </c>
      <c r="AX42" s="2">
        <f>((IF((38='V06 Calend 01'!C42),('V06 Calend 01'!F42+'V06 Calend 01'!G42),0)+IF(AND(('V06 Calend 01'!E42&gt;0),(38&gt;'V06 Calend 01'!C42),(38&lt;'V06 Calend 01'!D42),(MOD((38-'V06 Calend 01'!C42),6)=0),(((38-'V06 Calend 01'!C42)/6)&lt;='V06 Calend 01'!E42)),IF((38=('V06 Calend 01'!C42+(6*'V06 Calend 01'!E42))),('V06 Calend 01'!H42-('V06 Calend 01'!I42*('V06 Calend 01'!E42-1))),'V06 Calend 01'!I42),0))+IF((38='V06 Calend 01'!D42),'V06 Calend 01'!J42,0))</f>
        <v>0</v>
      </c>
      <c r="AY42" s="2">
        <f>((IF((39='V06 Calend 01'!C42),('V06 Calend 01'!F42+'V06 Calend 01'!G42),0)+IF(AND(('V06 Calend 01'!E42&gt;0),(39&gt;'V06 Calend 01'!C42),(39&lt;'V06 Calend 01'!D42),(MOD((39-'V06 Calend 01'!C42),6)=0),(((39-'V06 Calend 01'!C42)/6)&lt;='V06 Calend 01'!E42)),IF((39=('V06 Calend 01'!C42+(6*'V06 Calend 01'!E42))),('V06 Calend 01'!H42-('V06 Calend 01'!I42*('V06 Calend 01'!E42-1))),'V06 Calend 01'!I42),0))+IF((39='V06 Calend 01'!D42),'V06 Calend 01'!J42,0))</f>
        <v>0</v>
      </c>
      <c r="AZ42" s="2">
        <f>((IF((40='V06 Calend 01'!C42),('V06 Calend 01'!F42+'V06 Calend 01'!G42),0)+IF(AND(('V06 Calend 01'!E42&gt;0),(40&gt;'V06 Calend 01'!C42),(40&lt;'V06 Calend 01'!D42),(MOD((40-'V06 Calend 01'!C42),6)=0),(((40-'V06 Calend 01'!C42)/6)&lt;='V06 Calend 01'!E42)),IF((40=('V06 Calend 01'!C42+(6*'V06 Calend 01'!E42))),('V06 Calend 01'!H42-('V06 Calend 01'!I42*('V06 Calend 01'!E42-1))),'V06 Calend 01'!I42),0))+IF((40='V06 Calend 01'!D42),'V06 Calend 01'!J42,0))</f>
        <v>0</v>
      </c>
      <c r="BA42" s="2">
        <f>((IF((41='V06 Calend 01'!C42),('V06 Calend 01'!F42+'V06 Calend 01'!G42),0)+IF(AND(('V06 Calend 01'!E42&gt;0),(41&gt;'V06 Calend 01'!C42),(41&lt;'V06 Calend 01'!D42),(MOD((41-'V06 Calend 01'!C42),6)=0),(((41-'V06 Calend 01'!C42)/6)&lt;='V06 Calend 01'!E42)),IF((41=('V06 Calend 01'!C42+(6*'V06 Calend 01'!E42))),('V06 Calend 01'!H42-('V06 Calend 01'!I42*('V06 Calend 01'!E42-1))),'V06 Calend 01'!I42),0))+IF((41='V06 Calend 01'!D42),'V06 Calend 01'!J42,0))</f>
        <v>0</v>
      </c>
      <c r="BB42" s="2">
        <f>((IF((42='V06 Calend 01'!C42),('V06 Calend 01'!F42+'V06 Calend 01'!G42),0)+IF(AND(('V06 Calend 01'!E42&gt;0),(42&gt;'V06 Calend 01'!C42),(42&lt;'V06 Calend 01'!D42),(MOD((42-'V06 Calend 01'!C42),6)=0),(((42-'V06 Calend 01'!C42)/6)&lt;='V06 Calend 01'!E42)),IF((42=('V06 Calend 01'!C42+(6*'V06 Calend 01'!E42))),('V06 Calend 01'!H42-('V06 Calend 01'!I42*('V06 Calend 01'!E42-1))),'V06 Calend 01'!I42),0))+IF((42='V06 Calend 01'!D42),'V06 Calend 01'!J42,0))</f>
        <v>0</v>
      </c>
      <c r="BC42" s="2">
        <f>((IF((43='V06 Calend 01'!C42),('V06 Calend 01'!F42+'V06 Calend 01'!G42),0)+IF(AND(('V06 Calend 01'!E42&gt;0),(43&gt;'V06 Calend 01'!C42),(43&lt;'V06 Calend 01'!D42),(MOD((43-'V06 Calend 01'!C42),6)=0),(((43-'V06 Calend 01'!C42)/6)&lt;='V06 Calend 01'!E42)),IF((43=('V06 Calend 01'!C42+(6*'V06 Calend 01'!E42))),('V06 Calend 01'!H42-('V06 Calend 01'!I42*('V06 Calend 01'!E42-1))),'V06 Calend 01'!I42),0))+IF((43='V06 Calend 01'!D42),'V06 Calend 01'!J42,0))</f>
        <v>0</v>
      </c>
      <c r="BD42" s="2">
        <f>((IF((44='V06 Calend 01'!C42),('V06 Calend 01'!F42+'V06 Calend 01'!G42),0)+IF(AND(('V06 Calend 01'!E42&gt;0),(44&gt;'V06 Calend 01'!C42),(44&lt;'V06 Calend 01'!D42),(MOD((44-'V06 Calend 01'!C42),6)=0),(((44-'V06 Calend 01'!C42)/6)&lt;='V06 Calend 01'!E42)),IF((44=('V06 Calend 01'!C42+(6*'V06 Calend 01'!E42))),('V06 Calend 01'!H42-('V06 Calend 01'!I42*('V06 Calend 01'!E42-1))),'V06 Calend 01'!I42),0))+IF((44='V06 Calend 01'!D42),'V06 Calend 01'!J42,0))</f>
        <v>0</v>
      </c>
      <c r="BE42" s="2">
        <f>((IF((45='V06 Calend 01'!C42),('V06 Calend 01'!F42+'V06 Calend 01'!G42),0)+IF(AND(('V06 Calend 01'!E42&gt;0),(45&gt;'V06 Calend 01'!C42),(45&lt;'V06 Calend 01'!D42),(MOD((45-'V06 Calend 01'!C42),6)=0),(((45-'V06 Calend 01'!C42)/6)&lt;='V06 Calend 01'!E42)),IF((45=('V06 Calend 01'!C42+(6*'V06 Calend 01'!E42))),('V06 Calend 01'!H42-('V06 Calend 01'!I42*('V06 Calend 01'!E42-1))),'V06 Calend 01'!I42),0))+IF((45='V06 Calend 01'!D42),'V06 Calend 01'!J42,0))</f>
        <v>0</v>
      </c>
      <c r="BF42" s="2">
        <f>((IF((46='V06 Calend 01'!C42),('V06 Calend 01'!F42+'V06 Calend 01'!G42),0)+IF(AND(('V06 Calend 01'!E42&gt;0),(46&gt;'V06 Calend 01'!C42),(46&lt;'V06 Calend 01'!D42),(MOD((46-'V06 Calend 01'!C42),6)=0),(((46-'V06 Calend 01'!C42)/6)&lt;='V06 Calend 01'!E42)),IF((46=('V06 Calend 01'!C42+(6*'V06 Calend 01'!E42))),('V06 Calend 01'!H42-('V06 Calend 01'!I42*('V06 Calend 01'!E42-1))),'V06 Calend 01'!I42),0))+IF((46='V06 Calend 01'!D42),'V06 Calend 01'!J42,0))</f>
        <v>0</v>
      </c>
      <c r="BG42" s="2">
        <f>((IF((47='V06 Calend 01'!C42),('V06 Calend 01'!F42+'V06 Calend 01'!G42),0)+IF(AND(('V06 Calend 01'!E42&gt;0),(47&gt;'V06 Calend 01'!C42),(47&lt;'V06 Calend 01'!D42),(MOD((47-'V06 Calend 01'!C42),6)=0),(((47-'V06 Calend 01'!C42)/6)&lt;='V06 Calend 01'!E42)),IF((47=('V06 Calend 01'!C42+(6*'V06 Calend 01'!E42))),('V06 Calend 01'!H42-('V06 Calend 01'!I42*('V06 Calend 01'!E42-1))),'V06 Calend 01'!I42),0))+IF((47='V06 Calend 01'!D42),'V06 Calend 01'!J42,0))</f>
        <v>0</v>
      </c>
      <c r="BH42" s="2">
        <f>((IF((48='V06 Calend 01'!C42),('V06 Calend 01'!F42+'V06 Calend 01'!G42),0)+IF(AND(('V06 Calend 01'!E42&gt;0),(48&gt;'V06 Calend 01'!C42),(48&lt;'V06 Calend 01'!D42),(MOD((48-'V06 Calend 01'!C42),6)=0),(((48-'V06 Calend 01'!C42)/6)&lt;='V06 Calend 01'!E42)),IF((48=('V06 Calend 01'!C42+(6*'V06 Calend 01'!E42))),('V06 Calend 01'!H42-('V06 Calend 01'!I42*('V06 Calend 01'!E42-1))),'V06 Calend 01'!I42),0))+IF((48='V06 Calend 01'!D42),'V06 Calend 01'!J42,0))</f>
        <v>0</v>
      </c>
      <c r="BI42" s="2">
        <f>((IF((49='V06 Calend 01'!C42),('V06 Calend 01'!F42+'V06 Calend 01'!G42),0)+IF(AND(('V06 Calend 01'!E42&gt;0),(49&gt;'V06 Calend 01'!C42),(49&lt;'V06 Calend 01'!D42),(MOD((49-'V06 Calend 01'!C42),6)=0),(((49-'V06 Calend 01'!C42)/6)&lt;='V06 Calend 01'!E42)),IF((49=('V06 Calend 01'!C42+(6*'V06 Calend 01'!E42))),('V06 Calend 01'!H42-('V06 Calend 01'!I42*('V06 Calend 01'!E42-1))),'V06 Calend 01'!I42),0))+IF((49='V06 Calend 01'!D42),'V06 Calend 01'!J42,0))</f>
        <v>0</v>
      </c>
      <c r="BJ42" s="2">
        <f>((IF((50='V06 Calend 01'!C42),('V06 Calend 01'!F42+'V06 Calend 01'!G42),0)+IF(AND(('V06 Calend 01'!E42&gt;0),(50&gt;'V06 Calend 01'!C42),(50&lt;'V06 Calend 01'!D42),(MOD((50-'V06 Calend 01'!C42),6)=0),(((50-'V06 Calend 01'!C42)/6)&lt;='V06 Calend 01'!E42)),IF((50=('V06 Calend 01'!C42+(6*'V06 Calend 01'!E42))),('V06 Calend 01'!H42-('V06 Calend 01'!I42*('V06 Calend 01'!E42-1))),'V06 Calend 01'!I42),0))+IF((50='V06 Calend 01'!D42),'V06 Calend 01'!J42,0))</f>
        <v>0</v>
      </c>
      <c r="BK42" s="2">
        <f>((IF((51='V06 Calend 01'!C42),('V06 Calend 01'!F42+'V06 Calend 01'!G42),0)+IF(AND(('V06 Calend 01'!E42&gt;0),(51&gt;'V06 Calend 01'!C42),(51&lt;'V06 Calend 01'!D42),(MOD((51-'V06 Calend 01'!C42),6)=0),(((51-'V06 Calend 01'!C42)/6)&lt;='V06 Calend 01'!E42)),IF((51=('V06 Calend 01'!C42+(6*'V06 Calend 01'!E42))),('V06 Calend 01'!H42-('V06 Calend 01'!I42*('V06 Calend 01'!E42-1))),'V06 Calend 01'!I42),0))+IF((51='V06 Calend 01'!D42),'V06 Calend 01'!J42,0))</f>
        <v>0</v>
      </c>
      <c r="BL42" s="2">
        <f>((IF((52='V06 Calend 01'!C42),('V06 Calend 01'!F42+'V06 Calend 01'!G42),0)+IF(AND(('V06 Calend 01'!E42&gt;0),(52&gt;'V06 Calend 01'!C42),(52&lt;'V06 Calend 01'!D42),(MOD((52-'V06 Calend 01'!C42),6)=0),(((52-'V06 Calend 01'!C42)/6)&lt;='V06 Calend 01'!E42)),IF((52=('V06 Calend 01'!C42+(6*'V06 Calend 01'!E42))),('V06 Calend 01'!H42-('V06 Calend 01'!I42*('V06 Calend 01'!E42-1))),'V06 Calend 01'!I42),0))+IF((52='V06 Calend 01'!D42),'V06 Calend 01'!J42,0))</f>
        <v>0</v>
      </c>
      <c r="BM42" s="2">
        <f>((IF((53='V06 Calend 01'!C42),('V06 Calend 01'!F42+'V06 Calend 01'!G42),0)+IF(AND(('V06 Calend 01'!E42&gt;0),(53&gt;'V06 Calend 01'!C42),(53&lt;'V06 Calend 01'!D42),(MOD((53-'V06 Calend 01'!C42),6)=0),(((53-'V06 Calend 01'!C42)/6)&lt;='V06 Calend 01'!E42)),IF((53=('V06 Calend 01'!C42+(6*'V06 Calend 01'!E42))),('V06 Calend 01'!H42-('V06 Calend 01'!I42*('V06 Calend 01'!E42-1))),'V06 Calend 01'!I42),0))+IF((53='V06 Calend 01'!D42),'V06 Calend 01'!J42,0))</f>
        <v>0</v>
      </c>
      <c r="BN42" s="2">
        <f>((IF((54='V06 Calend 01'!C42),('V06 Calend 01'!F42+'V06 Calend 01'!G42),0)+IF(AND(('V06 Calend 01'!E42&gt;0),(54&gt;'V06 Calend 01'!C42),(54&lt;'V06 Calend 01'!D42),(MOD((54-'V06 Calend 01'!C42),6)=0),(((54-'V06 Calend 01'!C42)/6)&lt;='V06 Calend 01'!E42)),IF((54=('V06 Calend 01'!C42+(6*'V06 Calend 01'!E42))),('V06 Calend 01'!H42-('V06 Calend 01'!I42*('V06 Calend 01'!E42-1))),'V06 Calend 01'!I42),0))+IF((54='V06 Calend 01'!D42),'V06 Calend 01'!J42,0))</f>
        <v>0</v>
      </c>
      <c r="BO42" s="2">
        <f>((IF((55='V06 Calend 01'!C42),('V06 Calend 01'!F42+'V06 Calend 01'!G42),0)+IF(AND(('V06 Calend 01'!E42&gt;0),(55&gt;'V06 Calend 01'!C42),(55&lt;'V06 Calend 01'!D42),(MOD((55-'V06 Calend 01'!C42),6)=0),(((55-'V06 Calend 01'!C42)/6)&lt;='V06 Calend 01'!E42)),IF((55=('V06 Calend 01'!C42+(6*'V06 Calend 01'!E42))),('V06 Calend 01'!H42-('V06 Calend 01'!I42*('V06 Calend 01'!E42-1))),'V06 Calend 01'!I42),0))+IF((55='V06 Calend 01'!D42),'V06 Calend 01'!J42,0))</f>
        <v>0</v>
      </c>
      <c r="BP42" s="2">
        <f>((IF((56='V06 Calend 01'!C42),('V06 Calend 01'!F42+'V06 Calend 01'!G42),0)+IF(AND(('V06 Calend 01'!E42&gt;0),(56&gt;'V06 Calend 01'!C42),(56&lt;'V06 Calend 01'!D42),(MOD((56-'V06 Calend 01'!C42),6)=0),(((56-'V06 Calend 01'!C42)/6)&lt;='V06 Calend 01'!E42)),IF((56=('V06 Calend 01'!C42+(6*'V06 Calend 01'!E42))),('V06 Calend 01'!H42-('V06 Calend 01'!I42*('V06 Calend 01'!E42-1))),'V06 Calend 01'!I42),0))+IF((56='V06 Calend 01'!D42),'V06 Calend 01'!J42,0))</f>
        <v>0</v>
      </c>
      <c r="BQ42" s="2">
        <f>((IF((57='V06 Calend 01'!C42),('V06 Calend 01'!F42+'V06 Calend 01'!G42),0)+IF(AND(('V06 Calend 01'!E42&gt;0),(57&gt;'V06 Calend 01'!C42),(57&lt;'V06 Calend 01'!D42),(MOD((57-'V06 Calend 01'!C42),6)=0),(((57-'V06 Calend 01'!C42)/6)&lt;='V06 Calend 01'!E42)),IF((57=('V06 Calend 01'!C42+(6*'V06 Calend 01'!E42))),('V06 Calend 01'!H42-('V06 Calend 01'!I42*('V06 Calend 01'!E42-1))),'V06 Calend 01'!I42),0))+IF((57='V06 Calend 01'!D42),'V06 Calend 01'!J42,0))</f>
        <v>0</v>
      </c>
      <c r="BR42" s="2">
        <f>((IF((58='V06 Calend 01'!C42),('V06 Calend 01'!F42+'V06 Calend 01'!G42),0)+IF(AND(('V06 Calend 01'!E42&gt;0),(58&gt;'V06 Calend 01'!C42),(58&lt;'V06 Calend 01'!D42),(MOD((58-'V06 Calend 01'!C42),6)=0),(((58-'V06 Calend 01'!C42)/6)&lt;='V06 Calend 01'!E42)),IF((58=('V06 Calend 01'!C42+(6*'V06 Calend 01'!E42))),('V06 Calend 01'!H42-('V06 Calend 01'!I42*('V06 Calend 01'!E42-1))),'V06 Calend 01'!I42),0))+IF((58='V06 Calend 01'!D42),'V06 Calend 01'!J42,0))</f>
        <v>0</v>
      </c>
      <c r="BS42" s="2">
        <f>((IF((59='V06 Calend 01'!C42),('V06 Calend 01'!F42+'V06 Calend 01'!G42),0)+IF(AND(('V06 Calend 01'!E42&gt;0),(59&gt;'V06 Calend 01'!C42),(59&lt;'V06 Calend 01'!D42),(MOD((59-'V06 Calend 01'!C42),6)=0),(((59-'V06 Calend 01'!C42)/6)&lt;='V06 Calend 01'!E42)),IF((59=('V06 Calend 01'!C42+(6*'V06 Calend 01'!E42))),('V06 Calend 01'!H42-('V06 Calend 01'!I42*('V06 Calend 01'!E42-1))),'V06 Calend 01'!I42),0))+IF((59='V06 Calend 01'!D42),'V06 Calend 01'!J42,0))</f>
        <v>0</v>
      </c>
      <c r="BT42" s="2">
        <f>((IF((60='V06 Calend 01'!C42),('V06 Calend 01'!F42+'V06 Calend 01'!G42),0)+IF(AND(('V06 Calend 01'!E42&gt;0),(60&gt;'V06 Calend 01'!C42),(60&lt;'V06 Calend 01'!D42),(MOD((60-'V06 Calend 01'!C42),6)=0),(((60-'V06 Calend 01'!C42)/6)&lt;='V06 Calend 01'!E42)),IF((60=('V06 Calend 01'!C42+(6*'V06 Calend 01'!E42))),('V06 Calend 01'!H42-('V06 Calend 01'!I42*('V06 Calend 01'!E42-1))),'V06 Calend 01'!I42),0))+IF((60='V06 Calend 01'!D42),'V06 Calend 01'!J42,0))</f>
        <v>0</v>
      </c>
      <c r="BU42" s="2">
        <f>((IF((61='V06 Calend 01'!C42),('V06 Calend 01'!F42+'V06 Calend 01'!G42),0)+IF(AND(('V06 Calend 01'!E42&gt;0),(61&gt;'V06 Calend 01'!C42),(61&lt;'V06 Calend 01'!D42),(MOD((61-'V06 Calend 01'!C42),6)=0),(((61-'V06 Calend 01'!C42)/6)&lt;='V06 Calend 01'!E42)),IF((61=('V06 Calend 01'!C42+(6*'V06 Calend 01'!E42))),('V06 Calend 01'!H42-('V06 Calend 01'!I42*('V06 Calend 01'!E42-1))),'V06 Calend 01'!I42),0))+IF((61='V06 Calend 01'!D42),'V06 Calend 01'!J42,0))</f>
        <v>0</v>
      </c>
      <c r="BV42" s="2">
        <f>((IF((62='V06 Calend 01'!C42),('V06 Calend 01'!F42+'V06 Calend 01'!G42),0)+IF(AND(('V06 Calend 01'!E42&gt;0),(62&gt;'V06 Calend 01'!C42),(62&lt;'V06 Calend 01'!D42),(MOD((62-'V06 Calend 01'!C42),6)=0),(((62-'V06 Calend 01'!C42)/6)&lt;='V06 Calend 01'!E42)),IF((62=('V06 Calend 01'!C42+(6*'V06 Calend 01'!E42))),('V06 Calend 01'!H42-('V06 Calend 01'!I42*('V06 Calend 01'!E42-1))),'V06 Calend 01'!I42),0))+IF((62='V06 Calend 01'!D42),'V06 Calend 01'!J42,0))</f>
        <v>0</v>
      </c>
      <c r="BW42" s="2">
        <f>((IF((63='V06 Calend 01'!C42),('V06 Calend 01'!F42+'V06 Calend 01'!G42),0)+IF(AND(('V06 Calend 01'!E42&gt;0),(63&gt;'V06 Calend 01'!C42),(63&lt;'V06 Calend 01'!D42),(MOD((63-'V06 Calend 01'!C42),6)=0),(((63-'V06 Calend 01'!C42)/6)&lt;='V06 Calend 01'!E42)),IF((63=('V06 Calend 01'!C42+(6*'V06 Calend 01'!E42))),('V06 Calend 01'!H42-('V06 Calend 01'!I42*('V06 Calend 01'!E42-1))),'V06 Calend 01'!I42),0))+IF((63='V06 Calend 01'!D42),'V06 Calend 01'!J42,0))</f>
        <v>0</v>
      </c>
      <c r="BX42" s="2">
        <f>((IF((64='V06 Calend 01'!C42),('V06 Calend 01'!F42+'V06 Calend 01'!G42),0)+IF(AND(('V06 Calend 01'!E42&gt;0),(64&gt;'V06 Calend 01'!C42),(64&lt;'V06 Calend 01'!D42),(MOD((64-'V06 Calend 01'!C42),6)=0),(((64-'V06 Calend 01'!C42)/6)&lt;='V06 Calend 01'!E42)),IF((64=('V06 Calend 01'!C42+(6*'V06 Calend 01'!E42))),('V06 Calend 01'!H42-('V06 Calend 01'!I42*('V06 Calend 01'!E42-1))),'V06 Calend 01'!I42),0))+IF((64='V06 Calend 01'!D42),'V06 Calend 01'!J42,0))</f>
        <v>0</v>
      </c>
      <c r="BY42" s="2">
        <f>((IF((65='V06 Calend 01'!C42),('V06 Calend 01'!F42+'V06 Calend 01'!G42),0)+IF(AND(('V06 Calend 01'!E42&gt;0),(65&gt;'V06 Calend 01'!C42),(65&lt;'V06 Calend 01'!D42),(MOD((65-'V06 Calend 01'!C42),6)=0),(((65-'V06 Calend 01'!C42)/6)&lt;='V06 Calend 01'!E42)),IF((65=('V06 Calend 01'!C42+(6*'V06 Calend 01'!E42))),('V06 Calend 01'!H42-('V06 Calend 01'!I42*('V06 Calend 01'!E42-1))),'V06 Calend 01'!I42),0))+IF((65='V06 Calend 01'!D42),'V06 Calend 01'!J42,0))</f>
        <v>0</v>
      </c>
      <c r="BZ42" s="2">
        <f>((IF((66='V06 Calend 01'!C42),('V06 Calend 01'!F42+'V06 Calend 01'!G42),0)+IF(AND(('V06 Calend 01'!E42&gt;0),(66&gt;'V06 Calend 01'!C42),(66&lt;'V06 Calend 01'!D42),(MOD((66-'V06 Calend 01'!C42),6)=0),(((66-'V06 Calend 01'!C42)/6)&lt;='V06 Calend 01'!E42)),IF((66=('V06 Calend 01'!C42+(6*'V06 Calend 01'!E42))),('V06 Calend 01'!H42-('V06 Calend 01'!I42*('V06 Calend 01'!E42-1))),'V06 Calend 01'!I42),0))+IF((66='V06 Calend 01'!D42),'V06 Calend 01'!J42,0))</f>
        <v>0</v>
      </c>
      <c r="CA42" s="2">
        <f>((IF((67='V06 Calend 01'!C42),('V06 Calend 01'!F42+'V06 Calend 01'!G42),0)+IF(AND(('V06 Calend 01'!E42&gt;0),(67&gt;'V06 Calend 01'!C42),(67&lt;'V06 Calend 01'!D42),(MOD((67-'V06 Calend 01'!C42),6)=0),(((67-'V06 Calend 01'!C42)/6)&lt;='V06 Calend 01'!E42)),IF((67=('V06 Calend 01'!C42+(6*'V06 Calend 01'!E42))),('V06 Calend 01'!H42-('V06 Calend 01'!I42*('V06 Calend 01'!E42-1))),'V06 Calend 01'!I42),0))+IF((67='V06 Calend 01'!D42),'V06 Calend 01'!J42,0))</f>
        <v>0</v>
      </c>
      <c r="CB42" s="2">
        <f>((IF((68='V06 Calend 01'!C42),('V06 Calend 01'!F42+'V06 Calend 01'!G42),0)+IF(AND(('V06 Calend 01'!E42&gt;0),(68&gt;'V06 Calend 01'!C42),(68&lt;'V06 Calend 01'!D42),(MOD((68-'V06 Calend 01'!C42),6)=0),(((68-'V06 Calend 01'!C42)/6)&lt;='V06 Calend 01'!E42)),IF((68=('V06 Calend 01'!C42+(6*'V06 Calend 01'!E42))),('V06 Calend 01'!H42-('V06 Calend 01'!I42*('V06 Calend 01'!E42-1))),'V06 Calend 01'!I42),0))+IF((68='V06 Calend 01'!D42),'V06 Calend 01'!J42,0))</f>
        <v>0</v>
      </c>
      <c r="CC42" s="2">
        <f>((IF((69='V06 Calend 01'!C42),('V06 Calend 01'!F42+'V06 Calend 01'!G42),0)+IF(AND(('V06 Calend 01'!E42&gt;0),(69&gt;'V06 Calend 01'!C42),(69&lt;'V06 Calend 01'!D42),(MOD((69-'V06 Calend 01'!C42),6)=0),(((69-'V06 Calend 01'!C42)/6)&lt;='V06 Calend 01'!E42)),IF((69=('V06 Calend 01'!C42+(6*'V06 Calend 01'!E42))),('V06 Calend 01'!H42-('V06 Calend 01'!I42*('V06 Calend 01'!E42-1))),'V06 Calend 01'!I42),0))+IF((69='V06 Calend 01'!D42),'V06 Calend 01'!J42,0))</f>
        <v>0</v>
      </c>
      <c r="CD42" s="2">
        <f>((IF((70='V06 Calend 01'!C42),('V06 Calend 01'!F42+'V06 Calend 01'!G42),0)+IF(AND(('V06 Calend 01'!E42&gt;0),(70&gt;'V06 Calend 01'!C42),(70&lt;'V06 Calend 01'!D42),(MOD((70-'V06 Calend 01'!C42),6)=0),(((70-'V06 Calend 01'!C42)/6)&lt;='V06 Calend 01'!E42)),IF((70=('V06 Calend 01'!C42+(6*'V06 Calend 01'!E42))),('V06 Calend 01'!H42-('V06 Calend 01'!I42*('V06 Calend 01'!E42-1))),'V06 Calend 01'!I42),0))+IF((70='V06 Calend 01'!D42),'V06 Calend 01'!J42,0))</f>
        <v>0</v>
      </c>
      <c r="CE42" s="2">
        <f>((IF((71='V06 Calend 01'!C42),('V06 Calend 01'!F42+'V06 Calend 01'!G42),0)+IF(AND(('V06 Calend 01'!E42&gt;0),(71&gt;'V06 Calend 01'!C42),(71&lt;'V06 Calend 01'!D42),(MOD((71-'V06 Calend 01'!C42),6)=0),(((71-'V06 Calend 01'!C42)/6)&lt;='V06 Calend 01'!E42)),IF((71=('V06 Calend 01'!C42+(6*'V06 Calend 01'!E42))),('V06 Calend 01'!H42-('V06 Calend 01'!I42*('V06 Calend 01'!E42-1))),'V06 Calend 01'!I42),0))+IF((71='V06 Calend 01'!D42),'V06 Calend 01'!J42,0))</f>
        <v>0</v>
      </c>
      <c r="CF42" s="2">
        <f>((IF((72='V06 Calend 01'!C42),('V06 Calend 01'!F42+'V06 Calend 01'!G42),0)+IF(AND(('V06 Calend 01'!E42&gt;0),(72&gt;'V06 Calend 01'!C42),(72&lt;'V06 Calend 01'!D42),(MOD((72-'V06 Calend 01'!C42),6)=0),(((72-'V06 Calend 01'!C42)/6)&lt;='V06 Calend 01'!E42)),IF((72=('V06 Calend 01'!C42+(6*'V06 Calend 01'!E42))),('V06 Calend 01'!H42-('V06 Calend 01'!I42*('V06 Calend 01'!E42-1))),'V06 Calend 01'!I42),0))+IF((72='V06 Calend 01'!D42),'V06 Calend 01'!J42,0))</f>
        <v>0</v>
      </c>
      <c r="CG42" s="2">
        <f>((IF((73='V06 Calend 01'!C42),('V06 Calend 01'!F42+'V06 Calend 01'!G42),0)+IF(AND(('V06 Calend 01'!E42&gt;0),(73&gt;'V06 Calend 01'!C42),(73&lt;'V06 Calend 01'!D42),(MOD((73-'V06 Calend 01'!C42),6)=0),(((73-'V06 Calend 01'!C42)/6)&lt;='V06 Calend 01'!E42)),IF((73=('V06 Calend 01'!C42+(6*'V06 Calend 01'!E42))),('V06 Calend 01'!H42-('V06 Calend 01'!I42*('V06 Calend 01'!E42-1))),'V06 Calend 01'!I42),0))+IF((73='V06 Calend 01'!D42),'V06 Calend 01'!J42,0))</f>
        <v>0</v>
      </c>
      <c r="CH42" s="2">
        <f>((IF((74='V06 Calend 01'!C42),('V06 Calend 01'!F42+'V06 Calend 01'!G42),0)+IF(AND(('V06 Calend 01'!E42&gt;0),(74&gt;'V06 Calend 01'!C42),(74&lt;'V06 Calend 01'!D42),(MOD((74-'V06 Calend 01'!C42),6)=0),(((74-'V06 Calend 01'!C42)/6)&lt;='V06 Calend 01'!E42)),IF((74=('V06 Calend 01'!C42+(6*'V06 Calend 01'!E42))),('V06 Calend 01'!H42-('V06 Calend 01'!I42*('V06 Calend 01'!E42-1))),'V06 Calend 01'!I42),0))+IF((74='V06 Calend 01'!D42),'V06 Calend 01'!J42,0))</f>
        <v>0</v>
      </c>
      <c r="CI42" s="2">
        <f>((IF((75='V06 Calend 01'!C42),('V06 Calend 01'!F42+'V06 Calend 01'!G42),0)+IF(AND(('V06 Calend 01'!E42&gt;0),(75&gt;'V06 Calend 01'!C42),(75&lt;'V06 Calend 01'!D42),(MOD((75-'V06 Calend 01'!C42),6)=0),(((75-'V06 Calend 01'!C42)/6)&lt;='V06 Calend 01'!E42)),IF((75=('V06 Calend 01'!C42+(6*'V06 Calend 01'!E42))),('V06 Calend 01'!H42-('V06 Calend 01'!I42*('V06 Calend 01'!E42-1))),'V06 Calend 01'!I42),0))+IF((75='V06 Calend 01'!D42),'V06 Calend 01'!J42,0))</f>
        <v>0</v>
      </c>
      <c r="CJ42" s="2">
        <f>((IF((76='V06 Calend 01'!C42),('V06 Calend 01'!F42+'V06 Calend 01'!G42),0)+IF(AND(('V06 Calend 01'!E42&gt;0),(76&gt;'V06 Calend 01'!C42),(76&lt;'V06 Calend 01'!D42),(MOD((76-'V06 Calend 01'!C42),6)=0),(((76-'V06 Calend 01'!C42)/6)&lt;='V06 Calend 01'!E42)),IF((76=('V06 Calend 01'!C42+(6*'V06 Calend 01'!E42))),('V06 Calend 01'!H42-('V06 Calend 01'!I42*('V06 Calend 01'!E42-1))),'V06 Calend 01'!I42),0))+IF((76='V06 Calend 01'!D42),'V06 Calend 01'!J42,0))</f>
        <v>0</v>
      </c>
      <c r="CK42" s="2">
        <f>((IF((77='V06 Calend 01'!C42),('V06 Calend 01'!F42+'V06 Calend 01'!G42),0)+IF(AND(('V06 Calend 01'!E42&gt;0),(77&gt;'V06 Calend 01'!C42),(77&lt;'V06 Calend 01'!D42),(MOD((77-'V06 Calend 01'!C42),6)=0),(((77-'V06 Calend 01'!C42)/6)&lt;='V06 Calend 01'!E42)),IF((77=('V06 Calend 01'!C42+(6*'V06 Calend 01'!E42))),('V06 Calend 01'!H42-('V06 Calend 01'!I42*('V06 Calend 01'!E42-1))),'V06 Calend 01'!I42),0))+IF((77='V06 Calend 01'!D42),'V06 Calend 01'!J42,0))</f>
        <v>0</v>
      </c>
      <c r="CL42" s="2">
        <f>((IF((78='V06 Calend 01'!C42),('V06 Calend 01'!F42+'V06 Calend 01'!G42),0)+IF(AND(('V06 Calend 01'!E42&gt;0),(78&gt;'V06 Calend 01'!C42),(78&lt;'V06 Calend 01'!D42),(MOD((78-'V06 Calend 01'!C42),6)=0),(((78-'V06 Calend 01'!C42)/6)&lt;='V06 Calend 01'!E42)),IF((78=('V06 Calend 01'!C42+(6*'V06 Calend 01'!E42))),('V06 Calend 01'!H42-('V06 Calend 01'!I42*('V06 Calend 01'!E42-1))),'V06 Calend 01'!I42),0))+IF((78='V06 Calend 01'!D42),'V06 Calend 01'!J42,0))</f>
        <v>0</v>
      </c>
      <c r="CM42" s="2">
        <f>((IF((79='V06 Calend 01'!C42),('V06 Calend 01'!F42+'V06 Calend 01'!G42),0)+IF(AND(('V06 Calend 01'!E42&gt;0),(79&gt;'V06 Calend 01'!C42),(79&lt;'V06 Calend 01'!D42),(MOD((79-'V06 Calend 01'!C42),6)=0),(((79-'V06 Calend 01'!C42)/6)&lt;='V06 Calend 01'!E42)),IF((79=('V06 Calend 01'!C42+(6*'V06 Calend 01'!E42))),('V06 Calend 01'!H42-('V06 Calend 01'!I42*('V06 Calend 01'!E42-1))),'V06 Calend 01'!I42),0))+IF((79='V06 Calend 01'!D42),'V06 Calend 01'!J42,0))</f>
        <v>0</v>
      </c>
      <c r="CN42" s="2">
        <f>((IF((80='V06 Calend 01'!C42),('V06 Calend 01'!F42+'V06 Calend 01'!G42),0)+IF(AND(('V06 Calend 01'!E42&gt;0),(80&gt;'V06 Calend 01'!C42),(80&lt;'V06 Calend 01'!D42),(MOD((80-'V06 Calend 01'!C42),6)=0),(((80-'V06 Calend 01'!C42)/6)&lt;='V06 Calend 01'!E42)),IF((80=('V06 Calend 01'!C42+(6*'V06 Calend 01'!E42))),('V06 Calend 01'!H42-('V06 Calend 01'!I42*('V06 Calend 01'!E42-1))),'V06 Calend 01'!I42),0))+IF((80='V06 Calend 01'!D42),'V06 Calend 01'!J42,0))</f>
        <v>0</v>
      </c>
      <c r="CO42" s="2">
        <f>((IF((81='V06 Calend 01'!C42),('V06 Calend 01'!F42+'V06 Calend 01'!G42),0)+IF(AND(('V06 Calend 01'!E42&gt;0),(81&gt;'V06 Calend 01'!C42),(81&lt;'V06 Calend 01'!D42),(MOD((81-'V06 Calend 01'!C42),6)=0),(((81-'V06 Calend 01'!C42)/6)&lt;='V06 Calend 01'!E42)),IF((81=('V06 Calend 01'!C42+(6*'V06 Calend 01'!E42))),('V06 Calend 01'!H42-('V06 Calend 01'!I42*('V06 Calend 01'!E42-1))),'V06 Calend 01'!I42),0))+IF((81='V06 Calend 01'!D42),'V06 Calend 01'!J42,0))</f>
        <v>0</v>
      </c>
      <c r="CP42" s="2">
        <f>((IF((82='V06 Calend 01'!C42),('V06 Calend 01'!F42+'V06 Calend 01'!G42),0)+IF(AND(('V06 Calend 01'!E42&gt;0),(82&gt;'V06 Calend 01'!C42),(82&lt;'V06 Calend 01'!D42),(MOD((82-'V06 Calend 01'!C42),6)=0),(((82-'V06 Calend 01'!C42)/6)&lt;='V06 Calend 01'!E42)),IF((82=('V06 Calend 01'!C42+(6*'V06 Calend 01'!E42))),('V06 Calend 01'!H42-('V06 Calend 01'!I42*('V06 Calend 01'!E42-1))),'V06 Calend 01'!I42),0))+IF((82='V06 Calend 01'!D42),'V06 Calend 01'!J42,0))</f>
        <v>0</v>
      </c>
      <c r="CQ42" s="2">
        <f>((IF((83='V06 Calend 01'!C42),('V06 Calend 01'!F42+'V06 Calend 01'!G42),0)+IF(AND(('V06 Calend 01'!E42&gt;0),(83&gt;'V06 Calend 01'!C42),(83&lt;'V06 Calend 01'!D42),(MOD((83-'V06 Calend 01'!C42),6)=0),(((83-'V06 Calend 01'!C42)/6)&lt;='V06 Calend 01'!E42)),IF((83=('V06 Calend 01'!C42+(6*'V06 Calend 01'!E42))),('V06 Calend 01'!H42-('V06 Calend 01'!I42*('V06 Calend 01'!E42-1))),'V06 Calend 01'!I42),0))+IF((83='V06 Calend 01'!D42),'V06 Calend 01'!J42,0))</f>
        <v>0</v>
      </c>
      <c r="CR42" s="2">
        <f>((IF((84='V06 Calend 01'!C42),('V06 Calend 01'!F42+'V06 Calend 01'!G42),0)+IF(AND(('V06 Calend 01'!E42&gt;0),(84&gt;'V06 Calend 01'!C42),(84&lt;'V06 Calend 01'!D42),(MOD((84-'V06 Calend 01'!C42),6)=0),(((84-'V06 Calend 01'!C42)/6)&lt;='V06 Calend 01'!E42)),IF((84=('V06 Calend 01'!C42+(6*'V06 Calend 01'!E42))),('V06 Calend 01'!H42-('V06 Calend 01'!I42*('V06 Calend 01'!E42-1))),'V06 Calend 01'!I42),0))+IF((84='V06 Calend 01'!D42),'V06 Calend 01'!J42,0))</f>
        <v>0</v>
      </c>
      <c r="CS42" s="2">
        <f>((IF((85='V06 Calend 01'!C42),('V06 Calend 01'!F42+'V06 Calend 01'!G42),0)+IF(AND(('V06 Calend 01'!E42&gt;0),(85&gt;'V06 Calend 01'!C42),(85&lt;'V06 Calend 01'!D42),(MOD((85-'V06 Calend 01'!C42),6)=0),(((85-'V06 Calend 01'!C42)/6)&lt;='V06 Calend 01'!E42)),IF((85=('V06 Calend 01'!C42+(6*'V06 Calend 01'!E42))),('V06 Calend 01'!H42-('V06 Calend 01'!I42*('V06 Calend 01'!E42-1))),'V06 Calend 01'!I42),0))+IF((85='V06 Calend 01'!D42),'V06 Calend 01'!J42,0))</f>
        <v>0</v>
      </c>
      <c r="CT42" s="2">
        <f>((IF((86='V06 Calend 01'!C42),('V06 Calend 01'!F42+'V06 Calend 01'!G42),0)+IF(AND(('V06 Calend 01'!E42&gt;0),(86&gt;'V06 Calend 01'!C42),(86&lt;'V06 Calend 01'!D42),(MOD((86-'V06 Calend 01'!C42),6)=0),(((86-'V06 Calend 01'!C42)/6)&lt;='V06 Calend 01'!E42)),IF((86=('V06 Calend 01'!C42+(6*'V06 Calend 01'!E42))),('V06 Calend 01'!H42-('V06 Calend 01'!I42*('V06 Calend 01'!E42-1))),'V06 Calend 01'!I42),0))+IF((86='V06 Calend 01'!D42),'V06 Calend 01'!J42,0))</f>
        <v>0</v>
      </c>
      <c r="CU42" s="2">
        <f>((IF((87='V06 Calend 01'!C42),('V06 Calend 01'!F42+'V06 Calend 01'!G42),0)+IF(AND(('V06 Calend 01'!E42&gt;0),(87&gt;'V06 Calend 01'!C42),(87&lt;'V06 Calend 01'!D42),(MOD((87-'V06 Calend 01'!C42),6)=0),(((87-'V06 Calend 01'!C42)/6)&lt;='V06 Calend 01'!E42)),IF((87=('V06 Calend 01'!C42+(6*'V06 Calend 01'!E42))),('V06 Calend 01'!H42-('V06 Calend 01'!I42*('V06 Calend 01'!E42-1))),'V06 Calend 01'!I42),0))+IF((87='V06 Calend 01'!D42),'V06 Calend 01'!J42,0))</f>
        <v>0</v>
      </c>
      <c r="CV42" s="2">
        <f>((IF((88='V06 Calend 01'!C42),('V06 Calend 01'!F42+'V06 Calend 01'!G42),0)+IF(AND(('V06 Calend 01'!E42&gt;0),(88&gt;'V06 Calend 01'!C42),(88&lt;'V06 Calend 01'!D42),(MOD((88-'V06 Calend 01'!C42),6)=0),(((88-'V06 Calend 01'!C42)/6)&lt;='V06 Calend 01'!E42)),IF((88=('V06 Calend 01'!C42+(6*'V06 Calend 01'!E42))),('V06 Calend 01'!H42-('V06 Calend 01'!I42*('V06 Calend 01'!E42-1))),'V06 Calend 01'!I42),0))+IF((88='V06 Calend 01'!D42),'V06 Calend 01'!J42,0))</f>
        <v>0</v>
      </c>
      <c r="CW42" s="2">
        <f>((IF((89='V06 Calend 01'!C42),('V06 Calend 01'!F42+'V06 Calend 01'!G42),0)+IF(AND(('V06 Calend 01'!E42&gt;0),(89&gt;'V06 Calend 01'!C42),(89&lt;'V06 Calend 01'!D42),(MOD((89-'V06 Calend 01'!C42),6)=0),(((89-'V06 Calend 01'!C42)/6)&lt;='V06 Calend 01'!E42)),IF((89=('V06 Calend 01'!C42+(6*'V06 Calend 01'!E42))),('V06 Calend 01'!H42-('V06 Calend 01'!I42*('V06 Calend 01'!E42-1))),'V06 Calend 01'!I42),0))+IF((89='V06 Calend 01'!D42),'V06 Calend 01'!J42,0))</f>
        <v>0</v>
      </c>
      <c r="CX42" s="2">
        <f>((IF((90='V06 Calend 01'!C42),('V06 Calend 01'!F42+'V06 Calend 01'!G42),0)+IF(AND(('V06 Calend 01'!E42&gt;0),(90&gt;'V06 Calend 01'!C42),(90&lt;'V06 Calend 01'!D42),(MOD((90-'V06 Calend 01'!C42),6)=0),(((90-'V06 Calend 01'!C42)/6)&lt;='V06 Calend 01'!E42)),IF((90=('V06 Calend 01'!C42+(6*'V06 Calend 01'!E42))),('V06 Calend 01'!H42-('V06 Calend 01'!I42*('V06 Calend 01'!E42-1))),'V06 Calend 01'!I42),0))+IF((90='V06 Calend 01'!D42),'V06 Calend 01'!J42,0))</f>
        <v>0</v>
      </c>
      <c r="CY42" s="2">
        <f>((IF((91='V06 Calend 01'!C42),('V06 Calend 01'!F42+'V06 Calend 01'!G42),0)+IF(AND(('V06 Calend 01'!E42&gt;0),(91&gt;'V06 Calend 01'!C42),(91&lt;'V06 Calend 01'!D42),(MOD((91-'V06 Calend 01'!C42),6)=0),(((91-'V06 Calend 01'!C42)/6)&lt;='V06 Calend 01'!E42)),IF((91=('V06 Calend 01'!C42+(6*'V06 Calend 01'!E42))),('V06 Calend 01'!H42-('V06 Calend 01'!I42*('V06 Calend 01'!E42-1))),'V06 Calend 01'!I42),0))+IF((91='V06 Calend 01'!D42),'V06 Calend 01'!J42,0))</f>
        <v>0</v>
      </c>
      <c r="CZ42" s="2">
        <f>((IF((92='V06 Calend 01'!C42),('V06 Calend 01'!F42+'V06 Calend 01'!G42),0)+IF(AND(('V06 Calend 01'!E42&gt;0),(92&gt;'V06 Calend 01'!C42),(92&lt;'V06 Calend 01'!D42),(MOD((92-'V06 Calend 01'!C42),6)=0),(((92-'V06 Calend 01'!C42)/6)&lt;='V06 Calend 01'!E42)),IF((92=('V06 Calend 01'!C42+(6*'V06 Calend 01'!E42))),('V06 Calend 01'!H42-('V06 Calend 01'!I42*('V06 Calend 01'!E42-1))),'V06 Calend 01'!I42),0))+IF((92='V06 Calend 01'!D42),'V06 Calend 01'!J42,0))</f>
        <v>0</v>
      </c>
      <c r="DA42" s="2">
        <f>((IF((93='V06 Calend 01'!C42),('V06 Calend 01'!F42+'V06 Calend 01'!G42),0)+IF(AND(('V06 Calend 01'!E42&gt;0),(93&gt;'V06 Calend 01'!C42),(93&lt;'V06 Calend 01'!D42),(MOD((93-'V06 Calend 01'!C42),6)=0),(((93-'V06 Calend 01'!C42)/6)&lt;='V06 Calend 01'!E42)),IF((93=('V06 Calend 01'!C42+(6*'V06 Calend 01'!E42))),('V06 Calend 01'!H42-('V06 Calend 01'!I42*('V06 Calend 01'!E42-1))),'V06 Calend 01'!I42),0))+IF((93='V06 Calend 01'!D42),'V06 Calend 01'!J42,0))</f>
        <v>0</v>
      </c>
      <c r="DB42" s="2">
        <f>((IF((94='V06 Calend 01'!C42),('V06 Calend 01'!F42+'V06 Calend 01'!G42),0)+IF(AND(('V06 Calend 01'!E42&gt;0),(94&gt;'V06 Calend 01'!C42),(94&lt;'V06 Calend 01'!D42),(MOD((94-'V06 Calend 01'!C42),6)=0),(((94-'V06 Calend 01'!C42)/6)&lt;='V06 Calend 01'!E42)),IF((94=('V06 Calend 01'!C42+(6*'V06 Calend 01'!E42))),('V06 Calend 01'!H42-('V06 Calend 01'!I42*('V06 Calend 01'!E42-1))),'V06 Calend 01'!I42),0))+IF((94='V06 Calend 01'!D42),'V06 Calend 01'!J42,0))</f>
        <v>0</v>
      </c>
      <c r="DC42" s="2">
        <f>((IF((95='V06 Calend 01'!C42),('V06 Calend 01'!F42+'V06 Calend 01'!G42),0)+IF(AND(('V06 Calend 01'!E42&gt;0),(95&gt;'V06 Calend 01'!C42),(95&lt;'V06 Calend 01'!D42),(MOD((95-'V06 Calend 01'!C42),6)=0),(((95-'V06 Calend 01'!C42)/6)&lt;='V06 Calend 01'!E42)),IF((95=('V06 Calend 01'!C42+(6*'V06 Calend 01'!E42))),('V06 Calend 01'!H42-('V06 Calend 01'!I42*('V06 Calend 01'!E42-1))),'V06 Calend 01'!I42),0))+IF((95='V06 Calend 01'!D42),'V06 Calend 01'!J42,0))</f>
        <v>0</v>
      </c>
      <c r="DD42" s="2">
        <f>((IF((96='V06 Calend 01'!C42),('V06 Calend 01'!F42+'V06 Calend 01'!G42),0)+IF(AND(('V06 Calend 01'!E42&gt;0),(96&gt;'V06 Calend 01'!C42),(96&lt;'V06 Calend 01'!D42),(MOD((96-'V06 Calend 01'!C42),6)=0),(((96-'V06 Calend 01'!C42)/6)&lt;='V06 Calend 01'!E42)),IF((96=('V06 Calend 01'!C42+(6*'V06 Calend 01'!E42))),('V06 Calend 01'!H42-('V06 Calend 01'!I42*('V06 Calend 01'!E42-1))),'V06 Calend 01'!I42),0))+IF((96='V06 Calend 01'!D42),'V06 Calend 01'!J42,0))</f>
        <v>0</v>
      </c>
      <c r="DE42" s="2">
        <f>((IF((97='V06 Calend 01'!C42),('V06 Calend 01'!F42+'V06 Calend 01'!G42),0)+IF(AND(('V06 Calend 01'!E42&gt;0),(97&gt;'V06 Calend 01'!C42),(97&lt;'V06 Calend 01'!D42),(MOD((97-'V06 Calend 01'!C42),6)=0),(((97-'V06 Calend 01'!C42)/6)&lt;='V06 Calend 01'!E42)),IF((97=('V06 Calend 01'!C42+(6*'V06 Calend 01'!E42))),('V06 Calend 01'!H42-('V06 Calend 01'!I42*('V06 Calend 01'!E42-1))),'V06 Calend 01'!I42),0))+IF((97='V06 Calend 01'!D42),'V06 Calend 01'!J42,0))</f>
        <v>0</v>
      </c>
      <c r="DF42" s="2">
        <f>((IF((98='V06 Calend 01'!C42),('V06 Calend 01'!F42+'V06 Calend 01'!G42),0)+IF(AND(('V06 Calend 01'!E42&gt;0),(98&gt;'V06 Calend 01'!C42),(98&lt;'V06 Calend 01'!D42),(MOD((98-'V06 Calend 01'!C42),6)=0),(((98-'V06 Calend 01'!C42)/6)&lt;='V06 Calend 01'!E42)),IF((98=('V06 Calend 01'!C42+(6*'V06 Calend 01'!E42))),('V06 Calend 01'!H42-('V06 Calend 01'!I42*('V06 Calend 01'!E42-1))),'V06 Calend 01'!I42),0))+IF((98='V06 Calend 01'!D42),'V06 Calend 01'!J42,0))</f>
        <v>0</v>
      </c>
      <c r="DG42" s="2">
        <f>((IF((99='V06 Calend 01'!C42),('V06 Calend 01'!F42+'V06 Calend 01'!G42),0)+IF(AND(('V06 Calend 01'!E42&gt;0),(99&gt;'V06 Calend 01'!C42),(99&lt;'V06 Calend 01'!D42),(MOD((99-'V06 Calend 01'!C42),6)=0),(((99-'V06 Calend 01'!C42)/6)&lt;='V06 Calend 01'!E42)),IF((99=('V06 Calend 01'!C42+(6*'V06 Calend 01'!E42))),('V06 Calend 01'!H42-('V06 Calend 01'!I42*('V06 Calend 01'!E42-1))),'V06 Calend 01'!I42),0))+IF((99='V06 Calend 01'!D42),'V06 Calend 01'!J42,0))</f>
        <v>0</v>
      </c>
      <c r="DH42" s="2">
        <f>((IF((100='V06 Calend 01'!C42),('V06 Calend 01'!F42+'V06 Calend 01'!G42),0)+IF(AND(('V06 Calend 01'!E42&gt;0),(100&gt;'V06 Calend 01'!C42),(100&lt;'V06 Calend 01'!D42),(MOD((100-'V06 Calend 01'!C42),6)=0),(((100-'V06 Calend 01'!C42)/6)&lt;='V06 Calend 01'!E42)),IF((100=('V06 Calend 01'!C42+(6*'V06 Calend 01'!E42))),('V06 Calend 01'!H42-('V06 Calend 01'!I42*('V06 Calend 01'!E42-1))),'V06 Calend 01'!I42),0))+IF((100='V06 Calend 01'!D42),'V06 Calend 01'!J42,0))</f>
        <v>0</v>
      </c>
      <c r="DI42" s="2">
        <f>((IF((101='V06 Calend 01'!C42),('V06 Calend 01'!F42+'V06 Calend 01'!G42),0)+IF(AND(('V06 Calend 01'!E42&gt;0),(101&gt;'V06 Calend 01'!C42),(101&lt;'V06 Calend 01'!D42),(MOD((101-'V06 Calend 01'!C42),6)=0),(((101-'V06 Calend 01'!C42)/6)&lt;='V06 Calend 01'!E42)),IF((101=('V06 Calend 01'!C42+(6*'V06 Calend 01'!E42))),('V06 Calend 01'!H42-('V06 Calend 01'!I42*('V06 Calend 01'!E42-1))),'V06 Calend 01'!I42),0))+IF((101='V06 Calend 01'!D42),'V06 Calend 01'!J42,0))</f>
        <v>0</v>
      </c>
      <c r="DJ42" s="2">
        <f>((IF((102='V06 Calend 01'!C42),('V06 Calend 01'!F42+'V06 Calend 01'!G42),0)+IF(AND(('V06 Calend 01'!E42&gt;0),(102&gt;'V06 Calend 01'!C42),(102&lt;'V06 Calend 01'!D42),(MOD((102-'V06 Calend 01'!C42),6)=0),(((102-'V06 Calend 01'!C42)/6)&lt;='V06 Calend 01'!E42)),IF((102=('V06 Calend 01'!C42+(6*'V06 Calend 01'!E42))),('V06 Calend 01'!H42-('V06 Calend 01'!I42*('V06 Calend 01'!E42-1))),'V06 Calend 01'!I42),0))+IF((102='V06 Calend 01'!D42),'V06 Calend 01'!J42,0))</f>
        <v>0</v>
      </c>
      <c r="DK42" s="2">
        <f>((IF((103='V06 Calend 01'!C42),('V06 Calend 01'!F42+'V06 Calend 01'!G42),0)+IF(AND(('V06 Calend 01'!E42&gt;0),(103&gt;'V06 Calend 01'!C42),(103&lt;'V06 Calend 01'!D42),(MOD((103-'V06 Calend 01'!C42),6)=0),(((103-'V06 Calend 01'!C42)/6)&lt;='V06 Calend 01'!E42)),IF((103=('V06 Calend 01'!C42+(6*'V06 Calend 01'!E42))),('V06 Calend 01'!H42-('V06 Calend 01'!I42*('V06 Calend 01'!E42-1))),'V06 Calend 01'!I42),0))+IF((103='V06 Calend 01'!D42),'V06 Calend 01'!J42,0))</f>
        <v>0</v>
      </c>
      <c r="DL42" s="2">
        <f>((IF((104='V06 Calend 01'!C42),('V06 Calend 01'!F42+'V06 Calend 01'!G42),0)+IF(AND(('V06 Calend 01'!E42&gt;0),(104&gt;'V06 Calend 01'!C42),(104&lt;'V06 Calend 01'!D42),(MOD((104-'V06 Calend 01'!C42),6)=0),(((104-'V06 Calend 01'!C42)/6)&lt;='V06 Calend 01'!E42)),IF((104=('V06 Calend 01'!C42+(6*'V06 Calend 01'!E42))),('V06 Calend 01'!H42-('V06 Calend 01'!I42*('V06 Calend 01'!E42-1))),'V06 Calend 01'!I42),0))+IF((104='V06 Calend 01'!D42),'V06 Calend 01'!J42,0))</f>
        <v>0</v>
      </c>
      <c r="DM42" s="2">
        <f>((IF((105='V06 Calend 01'!C42),('V06 Calend 01'!F42+'V06 Calend 01'!G42),0)+IF(AND(('V06 Calend 01'!E42&gt;0),(105&gt;'V06 Calend 01'!C42),(105&lt;'V06 Calend 01'!D42),(MOD((105-'V06 Calend 01'!C42),6)=0),(((105-'V06 Calend 01'!C42)/6)&lt;='V06 Calend 01'!E42)),IF((105=('V06 Calend 01'!C42+(6*'V06 Calend 01'!E42))),('V06 Calend 01'!H42-('V06 Calend 01'!I42*('V06 Calend 01'!E42-1))),'V06 Calend 01'!I42),0))+IF((105='V06 Calend 01'!D42),'V06 Calend 01'!J42,0))</f>
        <v>0</v>
      </c>
      <c r="DN42" s="2">
        <f>((IF((106='V06 Calend 01'!C42),('V06 Calend 01'!F42+'V06 Calend 01'!G42),0)+IF(AND(('V06 Calend 01'!E42&gt;0),(106&gt;'V06 Calend 01'!C42),(106&lt;'V06 Calend 01'!D42),(MOD((106-'V06 Calend 01'!C42),6)=0),(((106-'V06 Calend 01'!C42)/6)&lt;='V06 Calend 01'!E42)),IF((106=('V06 Calend 01'!C42+(6*'V06 Calend 01'!E42))),('V06 Calend 01'!H42-('V06 Calend 01'!I42*('V06 Calend 01'!E42-1))),'V06 Calend 01'!I42),0))+IF((106='V06 Calend 01'!D42),'V06 Calend 01'!J42,0))</f>
        <v>0</v>
      </c>
      <c r="DO42" s="2">
        <f>((IF((107='V06 Calend 01'!C42),('V06 Calend 01'!F42+'V06 Calend 01'!G42),0)+IF(AND(('V06 Calend 01'!E42&gt;0),(107&gt;'V06 Calend 01'!C42),(107&lt;'V06 Calend 01'!D42),(MOD((107-'V06 Calend 01'!C42),6)=0),(((107-'V06 Calend 01'!C42)/6)&lt;='V06 Calend 01'!E42)),IF((107=('V06 Calend 01'!C42+(6*'V06 Calend 01'!E42))),('V06 Calend 01'!H42-('V06 Calend 01'!I42*('V06 Calend 01'!E42-1))),'V06 Calend 01'!I42),0))+IF((107='V06 Calend 01'!D42),'V06 Calend 01'!J42,0))</f>
        <v>0</v>
      </c>
      <c r="DP42" s="2">
        <f>((IF((108='V06 Calend 01'!C42),('V06 Calend 01'!F42+'V06 Calend 01'!G42),0)+IF(AND(('V06 Calend 01'!E42&gt;0),(108&gt;'V06 Calend 01'!C42),(108&lt;'V06 Calend 01'!D42),(MOD((108-'V06 Calend 01'!C42),6)=0),(((108-'V06 Calend 01'!C42)/6)&lt;='V06 Calend 01'!E42)),IF((108=('V06 Calend 01'!C42+(6*'V06 Calend 01'!E42))),('V06 Calend 01'!H42-('V06 Calend 01'!I42*('V06 Calend 01'!E42-1))),'V06 Calend 01'!I42),0))+IF((108='V06 Calend 01'!D42),'V06 Calend 01'!J42,0))</f>
        <v>0</v>
      </c>
      <c r="DQ42" s="2">
        <f>((IF((109='V06 Calend 01'!C42),('V06 Calend 01'!F42+'V06 Calend 01'!G42),0)+IF(AND(('V06 Calend 01'!E42&gt;0),(109&gt;'V06 Calend 01'!C42),(109&lt;'V06 Calend 01'!D42),(MOD((109-'V06 Calend 01'!C42),6)=0),(((109-'V06 Calend 01'!C42)/6)&lt;='V06 Calend 01'!E42)),IF((109=('V06 Calend 01'!C42+(6*'V06 Calend 01'!E42))),('V06 Calend 01'!H42-('V06 Calend 01'!I42*('V06 Calend 01'!E42-1))),'V06 Calend 01'!I42),0))+IF((109='V06 Calend 01'!D42),'V06 Calend 01'!J42,0))</f>
        <v>0</v>
      </c>
      <c r="DR42" s="2">
        <f>((IF((110='V06 Calend 01'!C42),('V06 Calend 01'!F42+'V06 Calend 01'!G42),0)+IF(AND(('V06 Calend 01'!E42&gt;0),(110&gt;'V06 Calend 01'!C42),(110&lt;'V06 Calend 01'!D42),(MOD((110-'V06 Calend 01'!C42),6)=0),(((110-'V06 Calend 01'!C42)/6)&lt;='V06 Calend 01'!E42)),IF((110=('V06 Calend 01'!C42+(6*'V06 Calend 01'!E42))),('V06 Calend 01'!H42-('V06 Calend 01'!I42*('V06 Calend 01'!E42-1))),'V06 Calend 01'!I42),0))+IF((110='V06 Calend 01'!D42),'V06 Calend 01'!J42,0))</f>
        <v>0</v>
      </c>
      <c r="DS42" s="2">
        <f>((IF((111='V06 Calend 01'!C42),('V06 Calend 01'!F42+'V06 Calend 01'!G42),0)+IF(AND(('V06 Calend 01'!E42&gt;0),(111&gt;'V06 Calend 01'!C42),(111&lt;'V06 Calend 01'!D42),(MOD((111-'V06 Calend 01'!C42),6)=0),(((111-'V06 Calend 01'!C42)/6)&lt;='V06 Calend 01'!E42)),IF((111=('V06 Calend 01'!C42+(6*'V06 Calend 01'!E42))),('V06 Calend 01'!H42-('V06 Calend 01'!I42*('V06 Calend 01'!E42-1))),'V06 Calend 01'!I42),0))+IF((111='V06 Calend 01'!D42),'V06 Calend 01'!J42,0))</f>
        <v>0</v>
      </c>
      <c r="DT42" s="2">
        <f>((IF((112='V06 Calend 01'!C42),('V06 Calend 01'!F42+'V06 Calend 01'!G42),0)+IF(AND(('V06 Calend 01'!E42&gt;0),(112&gt;'V06 Calend 01'!C42),(112&lt;'V06 Calend 01'!D42),(MOD((112-'V06 Calend 01'!C42),6)=0),(((112-'V06 Calend 01'!C42)/6)&lt;='V06 Calend 01'!E42)),IF((112=('V06 Calend 01'!C42+(6*'V06 Calend 01'!E42))),('V06 Calend 01'!H42-('V06 Calend 01'!I42*('V06 Calend 01'!E42-1))),'V06 Calend 01'!I42),0))+IF((112='V06 Calend 01'!D42),'V06 Calend 01'!J42,0))</f>
        <v>0</v>
      </c>
      <c r="DU42" s="2">
        <f>((IF((113='V06 Calend 01'!C42),('V06 Calend 01'!F42+'V06 Calend 01'!G42),0)+IF(AND(('V06 Calend 01'!E42&gt;0),(113&gt;'V06 Calend 01'!C42),(113&lt;'V06 Calend 01'!D42),(MOD((113-'V06 Calend 01'!C42),6)=0),(((113-'V06 Calend 01'!C42)/6)&lt;='V06 Calend 01'!E42)),IF((113=('V06 Calend 01'!C42+(6*'V06 Calend 01'!E42))),('V06 Calend 01'!H42-('V06 Calend 01'!I42*('V06 Calend 01'!E42-1))),'V06 Calend 01'!I42),0))+IF((113='V06 Calend 01'!D42),'V06 Calend 01'!J42,0))</f>
        <v>0</v>
      </c>
      <c r="DV42" s="2">
        <f>((IF((114='V06 Calend 01'!C42),('V06 Calend 01'!F42+'V06 Calend 01'!G42),0)+IF(AND(('V06 Calend 01'!E42&gt;0),(114&gt;'V06 Calend 01'!C42),(114&lt;'V06 Calend 01'!D42),(MOD((114-'V06 Calend 01'!C42),6)=0),(((114-'V06 Calend 01'!C42)/6)&lt;='V06 Calend 01'!E42)),IF((114=('V06 Calend 01'!C42+(6*'V06 Calend 01'!E42))),('V06 Calend 01'!H42-('V06 Calend 01'!I42*('V06 Calend 01'!E42-1))),'V06 Calend 01'!I42),0))+IF((114='V06 Calend 01'!D42),'V06 Calend 01'!J42,0))</f>
        <v>0</v>
      </c>
      <c r="DW42" s="2">
        <f>((IF((115='V06 Calend 01'!C42),('V06 Calend 01'!F42+'V06 Calend 01'!G42),0)+IF(AND(('V06 Calend 01'!E42&gt;0),(115&gt;'V06 Calend 01'!C42),(115&lt;'V06 Calend 01'!D42),(MOD((115-'V06 Calend 01'!C42),6)=0),(((115-'V06 Calend 01'!C42)/6)&lt;='V06 Calend 01'!E42)),IF((115=('V06 Calend 01'!C42+(6*'V06 Calend 01'!E42))),('V06 Calend 01'!H42-('V06 Calend 01'!I42*('V06 Calend 01'!E42-1))),'V06 Calend 01'!I42),0))+IF((115='V06 Calend 01'!D42),'V06 Calend 01'!J42,0))</f>
        <v>0</v>
      </c>
      <c r="DX42" s="2">
        <f>((IF((116='V06 Calend 01'!C42),('V06 Calend 01'!F42+'V06 Calend 01'!G42),0)+IF(AND(('V06 Calend 01'!E42&gt;0),(116&gt;'V06 Calend 01'!C42),(116&lt;'V06 Calend 01'!D42),(MOD((116-'V06 Calend 01'!C42),6)=0),(((116-'V06 Calend 01'!C42)/6)&lt;='V06 Calend 01'!E42)),IF((116=('V06 Calend 01'!C42+(6*'V06 Calend 01'!E42))),('V06 Calend 01'!H42-('V06 Calend 01'!I42*('V06 Calend 01'!E42-1))),'V06 Calend 01'!I42),0))+IF((116='V06 Calend 01'!D42),'V06 Calend 01'!J42,0))</f>
        <v>0</v>
      </c>
      <c r="DY42" s="2">
        <f>((IF((117='V06 Calend 01'!C42),('V06 Calend 01'!F42+'V06 Calend 01'!G42),0)+IF(AND(('V06 Calend 01'!E42&gt;0),(117&gt;'V06 Calend 01'!C42),(117&lt;'V06 Calend 01'!D42),(MOD((117-'V06 Calend 01'!C42),6)=0),(((117-'V06 Calend 01'!C42)/6)&lt;='V06 Calend 01'!E42)),IF((117=('V06 Calend 01'!C42+(6*'V06 Calend 01'!E42))),('V06 Calend 01'!H42-('V06 Calend 01'!I42*('V06 Calend 01'!E42-1))),'V06 Calend 01'!I42),0))+IF((117='V06 Calend 01'!D42),'V06 Calend 01'!J42,0))</f>
        <v>0</v>
      </c>
      <c r="DZ42" s="2">
        <f>((IF((118='V06 Calend 01'!C42),('V06 Calend 01'!F42+'V06 Calend 01'!G42),0)+IF(AND(('V06 Calend 01'!E42&gt;0),(118&gt;'V06 Calend 01'!C42),(118&lt;'V06 Calend 01'!D42),(MOD((118-'V06 Calend 01'!C42),6)=0),(((118-'V06 Calend 01'!C42)/6)&lt;='V06 Calend 01'!E42)),IF((118=('V06 Calend 01'!C42+(6*'V06 Calend 01'!E42))),('V06 Calend 01'!H42-('V06 Calend 01'!I42*('V06 Calend 01'!E42-1))),'V06 Calend 01'!I42),0))+IF((118='V06 Calend 01'!D42),'V06 Calend 01'!J42,0))</f>
        <v>0</v>
      </c>
      <c r="EA42" s="2">
        <f>((IF((119='V06 Calend 01'!C42),('V06 Calend 01'!F42+'V06 Calend 01'!G42),0)+IF(AND(('V06 Calend 01'!E42&gt;0),(119&gt;'V06 Calend 01'!C42),(119&lt;'V06 Calend 01'!D42),(MOD((119-'V06 Calend 01'!C42),6)=0),(((119-'V06 Calend 01'!C42)/6)&lt;='V06 Calend 01'!E42)),IF((119=('V06 Calend 01'!C42+(6*'V06 Calend 01'!E42))),('V06 Calend 01'!H42-('V06 Calend 01'!I42*('V06 Calend 01'!E42-1))),'V06 Calend 01'!I42),0))+IF((119='V06 Calend 01'!D42),'V06 Calend 01'!J42,0))</f>
        <v>0</v>
      </c>
      <c r="EB42" s="2">
        <f>((IF((120='V06 Calend 01'!C42),('V06 Calend 01'!F42+'V06 Calend 01'!G42),0)+IF(AND(('V06 Calend 01'!E42&gt;0),(120&gt;'V06 Calend 01'!C42),(120&lt;'V06 Calend 01'!D42),(MOD((120-'V06 Calend 01'!C42),6)=0),(((120-'V06 Calend 01'!C42)/6)&lt;='V06 Calend 01'!E42)),IF((120=('V06 Calend 01'!C42+(6*'V06 Calend 01'!E42))),('V06 Calend 01'!H42-('V06 Calend 01'!I42*('V06 Calend 01'!E42-1))),'V06 Calend 01'!I42),0))+IF((120='V06 Calend 01'!D42),'V06 Calend 01'!J42,0))</f>
        <v>0</v>
      </c>
      <c r="EC42" s="2">
        <f>((IF((121='V06 Calend 01'!C42),('V06 Calend 01'!F42+'V06 Calend 01'!G42),0)+IF(AND(('V06 Calend 01'!E42&gt;0),(121&gt;'V06 Calend 01'!C42),(121&lt;'V06 Calend 01'!D42),(MOD((121-'V06 Calend 01'!C42),6)=0),(((121-'V06 Calend 01'!C42)/6)&lt;='V06 Calend 01'!E42)),IF((121=('V06 Calend 01'!C42+(6*'V06 Calend 01'!E42))),('V06 Calend 01'!H42-('V06 Calend 01'!I42*('V06 Calend 01'!E42-1))),'V06 Calend 01'!I42),0))+IF((121='V06 Calend 01'!D42),'V06 Calend 01'!J42,0))</f>
        <v>0</v>
      </c>
      <c r="ED42" s="2">
        <f>((IF((122='V06 Calend 01'!C42),('V06 Calend 01'!F42+'V06 Calend 01'!G42),0)+IF(AND(('V06 Calend 01'!E42&gt;0),(122&gt;'V06 Calend 01'!C42),(122&lt;'V06 Calend 01'!D42),(MOD((122-'V06 Calend 01'!C42),6)=0),(((122-'V06 Calend 01'!C42)/6)&lt;='V06 Calend 01'!E42)),IF((122=('V06 Calend 01'!C42+(6*'V06 Calend 01'!E42))),('V06 Calend 01'!H42-('V06 Calend 01'!I42*('V06 Calend 01'!E42-1))),'V06 Calend 01'!I42),0))+IF((122='V06 Calend 01'!D42),'V06 Calend 01'!J42,0))</f>
        <v>0</v>
      </c>
      <c r="EE42" s="2">
        <f>((IF((123='V06 Calend 01'!C42),('V06 Calend 01'!F42+'V06 Calend 01'!G42),0)+IF(AND(('V06 Calend 01'!E42&gt;0),(123&gt;'V06 Calend 01'!C42),(123&lt;'V06 Calend 01'!D42),(MOD((123-'V06 Calend 01'!C42),6)=0),(((123-'V06 Calend 01'!C42)/6)&lt;='V06 Calend 01'!E42)),IF((123=('V06 Calend 01'!C42+(6*'V06 Calend 01'!E42))),('V06 Calend 01'!H42-('V06 Calend 01'!I42*('V06 Calend 01'!E42-1))),'V06 Calend 01'!I42),0))+IF((123='V06 Calend 01'!D42),'V06 Calend 01'!J42,0))</f>
        <v>0</v>
      </c>
      <c r="EF42" s="2">
        <f>((IF((124='V06 Calend 01'!C42),('V06 Calend 01'!F42+'V06 Calend 01'!G42),0)+IF(AND(('V06 Calend 01'!E42&gt;0),(124&gt;'V06 Calend 01'!C42),(124&lt;'V06 Calend 01'!D42),(MOD((124-'V06 Calend 01'!C42),6)=0),(((124-'V06 Calend 01'!C42)/6)&lt;='V06 Calend 01'!E42)),IF((124=('V06 Calend 01'!C42+(6*'V06 Calend 01'!E42))),('V06 Calend 01'!H42-('V06 Calend 01'!I42*('V06 Calend 01'!E42-1))),'V06 Calend 01'!I42),0))+IF((124='V06 Calend 01'!D42),'V06 Calend 01'!J42,0))</f>
        <v>0</v>
      </c>
      <c r="EG42" s="2">
        <f>((IF((125='V06 Calend 01'!C42),('V06 Calend 01'!F42+'V06 Calend 01'!G42),0)+IF(AND(('V06 Calend 01'!E42&gt;0),(125&gt;'V06 Calend 01'!C42),(125&lt;'V06 Calend 01'!D42),(MOD((125-'V06 Calend 01'!C42),6)=0),(((125-'V06 Calend 01'!C42)/6)&lt;='V06 Calend 01'!E42)),IF((125=('V06 Calend 01'!C42+(6*'V06 Calend 01'!E42))),('V06 Calend 01'!H42-('V06 Calend 01'!I42*('V06 Calend 01'!E42-1))),'V06 Calend 01'!I42),0))+IF((125='V06 Calend 01'!D42),'V06 Calend 01'!J42,0))</f>
        <v>0</v>
      </c>
      <c r="EH42" s="2">
        <f>((IF((126='V06 Calend 01'!C42),('V06 Calend 01'!F42+'V06 Calend 01'!G42),0)+IF(AND(('V06 Calend 01'!E42&gt;0),(126&gt;'V06 Calend 01'!C42),(126&lt;'V06 Calend 01'!D42),(MOD((126-'V06 Calend 01'!C42),6)=0),(((126-'V06 Calend 01'!C42)/6)&lt;='V06 Calend 01'!E42)),IF((126=('V06 Calend 01'!C42+(6*'V06 Calend 01'!E42))),('V06 Calend 01'!H42-('V06 Calend 01'!I42*('V06 Calend 01'!E42-1))),'V06 Calend 01'!I42),0))+IF((126='V06 Calend 01'!D42),'V06 Calend 01'!J42,0))</f>
        <v>0</v>
      </c>
      <c r="EI42" s="2">
        <f>((IF((127='V06 Calend 01'!C42),('V06 Calend 01'!F42+'V06 Calend 01'!G42),0)+IF(AND(('V06 Calend 01'!E42&gt;0),(127&gt;'V06 Calend 01'!C42),(127&lt;'V06 Calend 01'!D42),(MOD((127-'V06 Calend 01'!C42),6)=0),(((127-'V06 Calend 01'!C42)/6)&lt;='V06 Calend 01'!E42)),IF((127=('V06 Calend 01'!C42+(6*'V06 Calend 01'!E42))),('V06 Calend 01'!H42-('V06 Calend 01'!I42*('V06 Calend 01'!E42-1))),'V06 Calend 01'!I42),0))+IF((127='V06 Calend 01'!D42),'V06 Calend 01'!J42,0))</f>
        <v>0</v>
      </c>
      <c r="EJ42" s="2">
        <f>((IF((128='V06 Calend 01'!C42),('V06 Calend 01'!F42+'V06 Calend 01'!G42),0)+IF(AND(('V06 Calend 01'!E42&gt;0),(128&gt;'V06 Calend 01'!C42),(128&lt;'V06 Calend 01'!D42),(MOD((128-'V06 Calend 01'!C42),6)=0),(((128-'V06 Calend 01'!C42)/6)&lt;='V06 Calend 01'!E42)),IF((128=('V06 Calend 01'!C42+(6*'V06 Calend 01'!E42))),('V06 Calend 01'!H42-('V06 Calend 01'!I42*('V06 Calend 01'!E42-1))),'V06 Calend 01'!I42),0))+IF((128='V06 Calend 01'!D42),'V06 Calend 01'!J42,0))</f>
        <v>0</v>
      </c>
      <c r="EK42" s="2">
        <f>((IF((129='V06 Calend 01'!C42),('V06 Calend 01'!F42+'V06 Calend 01'!G42),0)+IF(AND(('V06 Calend 01'!E42&gt;0),(129&gt;'V06 Calend 01'!C42),(129&lt;'V06 Calend 01'!D42),(MOD((129-'V06 Calend 01'!C42),6)=0),(((129-'V06 Calend 01'!C42)/6)&lt;='V06 Calend 01'!E42)),IF((129=('V06 Calend 01'!C42+(6*'V06 Calend 01'!E42))),('V06 Calend 01'!H42-('V06 Calend 01'!I42*('V06 Calend 01'!E42-1))),'V06 Calend 01'!I42),0))+IF((129='V06 Calend 01'!D42),'V06 Calend 01'!J42,0))</f>
        <v>0</v>
      </c>
      <c r="EL42" s="2">
        <f>((IF((130='V06 Calend 01'!C42),('V06 Calend 01'!F42+'V06 Calend 01'!G42),0)+IF(AND(('V06 Calend 01'!E42&gt;0),(130&gt;'V06 Calend 01'!C42),(130&lt;'V06 Calend 01'!D42),(MOD((130-'V06 Calend 01'!C42),6)=0),(((130-'V06 Calend 01'!C42)/6)&lt;='V06 Calend 01'!E42)),IF((130=('V06 Calend 01'!C42+(6*'V06 Calend 01'!E42))),('V06 Calend 01'!H42-('V06 Calend 01'!I42*('V06 Calend 01'!E42-1))),'V06 Calend 01'!I42),0))+IF((130='V06 Calend 01'!D42),'V06 Calend 01'!J42,0))</f>
        <v>0</v>
      </c>
      <c r="EM42" s="2">
        <f>((IF((131='V06 Calend 01'!C42),('V06 Calend 01'!F42+'V06 Calend 01'!G42),0)+IF(AND(('V06 Calend 01'!E42&gt;0),(131&gt;'V06 Calend 01'!C42),(131&lt;'V06 Calend 01'!D42),(MOD((131-'V06 Calend 01'!C42),6)=0),(((131-'V06 Calend 01'!C42)/6)&lt;='V06 Calend 01'!E42)),IF((131=('V06 Calend 01'!C42+(6*'V06 Calend 01'!E42))),('V06 Calend 01'!H42-('V06 Calend 01'!I42*('V06 Calend 01'!E42-1))),'V06 Calend 01'!I42),0))+IF((131='V06 Calend 01'!D42),'V06 Calend 01'!J42,0))</f>
        <v>0</v>
      </c>
      <c r="EN42" s="2">
        <f>((IF((132='V06 Calend 01'!C42),('V06 Calend 01'!F42+'V06 Calend 01'!G42),0)+IF(AND(('V06 Calend 01'!E42&gt;0),(132&gt;'V06 Calend 01'!C42),(132&lt;'V06 Calend 01'!D42),(MOD((132-'V06 Calend 01'!C42),6)=0),(((132-'V06 Calend 01'!C42)/6)&lt;='V06 Calend 01'!E42)),IF((132=('V06 Calend 01'!C42+(6*'V06 Calend 01'!E42))),('V06 Calend 01'!H42-('V06 Calend 01'!I42*('V06 Calend 01'!E42-1))),'V06 Calend 01'!I42),0))+IF((132='V06 Calend 01'!D42),'V06 Calend 01'!J42,0))</f>
        <v>0</v>
      </c>
      <c r="EO42" s="2">
        <f>((IF((133='V06 Calend 01'!C42),('V06 Calend 01'!F42+'V06 Calend 01'!G42),0)+IF(AND(('V06 Calend 01'!E42&gt;0),(133&gt;'V06 Calend 01'!C42),(133&lt;'V06 Calend 01'!D42),(MOD((133-'V06 Calend 01'!C42),6)=0),(((133-'V06 Calend 01'!C42)/6)&lt;='V06 Calend 01'!E42)),IF((133=('V06 Calend 01'!C42+(6*'V06 Calend 01'!E42))),('V06 Calend 01'!H42-('V06 Calend 01'!I42*('V06 Calend 01'!E42-1))),'V06 Calend 01'!I42),0))+IF((133='V06 Calend 01'!D42),'V06 Calend 01'!J42,0))</f>
        <v>0</v>
      </c>
      <c r="EP42" s="2">
        <f>((IF((134='V06 Calend 01'!C42),('V06 Calend 01'!F42+'V06 Calend 01'!G42),0)+IF(AND(('V06 Calend 01'!E42&gt;0),(134&gt;'V06 Calend 01'!C42),(134&lt;'V06 Calend 01'!D42),(MOD((134-'V06 Calend 01'!C42),6)=0),(((134-'V06 Calend 01'!C42)/6)&lt;='V06 Calend 01'!E42)),IF((134=('V06 Calend 01'!C42+(6*'V06 Calend 01'!E42))),('V06 Calend 01'!H42-('V06 Calend 01'!I42*('V06 Calend 01'!E42-1))),'V06 Calend 01'!I42),0))+IF((134='V06 Calend 01'!D42),'V06 Calend 01'!J42,0))</f>
        <v>0</v>
      </c>
      <c r="EQ42" s="2">
        <f>((IF((135='V06 Calend 01'!C42),('V06 Calend 01'!F42+'V06 Calend 01'!G42),0)+IF(AND(('V06 Calend 01'!E42&gt;0),(135&gt;'V06 Calend 01'!C42),(135&lt;'V06 Calend 01'!D42),(MOD((135-'V06 Calend 01'!C42),6)=0),(((135-'V06 Calend 01'!C42)/6)&lt;='V06 Calend 01'!E42)),IF((135=('V06 Calend 01'!C42+(6*'V06 Calend 01'!E42))),('V06 Calend 01'!H42-('V06 Calend 01'!I42*('V06 Calend 01'!E42-1))),'V06 Calend 01'!I42),0))+IF((135='V06 Calend 01'!D42),'V06 Calend 01'!J42,0))</f>
        <v>0</v>
      </c>
      <c r="ER42" s="2">
        <f>((IF((136='V06 Calend 01'!C42),('V06 Calend 01'!F42+'V06 Calend 01'!G42),0)+IF(AND(('V06 Calend 01'!E42&gt;0),(136&gt;'V06 Calend 01'!C42),(136&lt;'V06 Calend 01'!D42),(MOD((136-'V06 Calend 01'!C42),6)=0),(((136-'V06 Calend 01'!C42)/6)&lt;='V06 Calend 01'!E42)),IF((136=('V06 Calend 01'!C42+(6*'V06 Calend 01'!E42))),('V06 Calend 01'!H42-('V06 Calend 01'!I42*('V06 Calend 01'!E42-1))),'V06 Calend 01'!I42),0))+IF((136='V06 Calend 01'!D42),'V06 Calend 01'!J42,0))</f>
        <v>0</v>
      </c>
      <c r="ES42" s="2">
        <f>((IF((137='V06 Calend 01'!C42),('V06 Calend 01'!F42+'V06 Calend 01'!G42),0)+IF(AND(('V06 Calend 01'!E42&gt;0),(137&gt;'V06 Calend 01'!C42),(137&lt;'V06 Calend 01'!D42),(MOD((137-'V06 Calend 01'!C42),6)=0),(((137-'V06 Calend 01'!C42)/6)&lt;='V06 Calend 01'!E42)),IF((137=('V06 Calend 01'!C42+(6*'V06 Calend 01'!E42))),('V06 Calend 01'!H42-('V06 Calend 01'!I42*('V06 Calend 01'!E42-1))),'V06 Calend 01'!I42),0))+IF((137='V06 Calend 01'!D42),'V06 Calend 01'!J42,0))</f>
        <v>0</v>
      </c>
      <c r="ET42" s="2">
        <f>((IF((138='V06 Calend 01'!C42),('V06 Calend 01'!F42+'V06 Calend 01'!G42),0)+IF(AND(('V06 Calend 01'!E42&gt;0),(138&gt;'V06 Calend 01'!C42),(138&lt;'V06 Calend 01'!D42),(MOD((138-'V06 Calend 01'!C42),6)=0),(((138-'V06 Calend 01'!C42)/6)&lt;='V06 Calend 01'!E42)),IF((138=('V06 Calend 01'!C42+(6*'V06 Calend 01'!E42))),('V06 Calend 01'!H42-('V06 Calend 01'!I42*('V06 Calend 01'!E42-1))),'V06 Calend 01'!I42),0))+IF((138='V06 Calend 01'!D42),'V06 Calend 01'!J42,0))</f>
        <v>0</v>
      </c>
      <c r="EU42" s="2">
        <f>((IF((139='V06 Calend 01'!C42),('V06 Calend 01'!F42+'V06 Calend 01'!G42),0)+IF(AND(('V06 Calend 01'!E42&gt;0),(139&gt;'V06 Calend 01'!C42),(139&lt;'V06 Calend 01'!D42),(MOD((139-'V06 Calend 01'!C42),6)=0),(((139-'V06 Calend 01'!C42)/6)&lt;='V06 Calend 01'!E42)),IF((139=('V06 Calend 01'!C42+(6*'V06 Calend 01'!E42))),('V06 Calend 01'!H42-('V06 Calend 01'!I42*('V06 Calend 01'!E42-1))),'V06 Calend 01'!I42),0))+IF((139='V06 Calend 01'!D42),'V06 Calend 01'!J42,0))</f>
        <v>0</v>
      </c>
      <c r="EV42" s="2">
        <f>((IF((140='V06 Calend 01'!C42),('V06 Calend 01'!F42+'V06 Calend 01'!G42),0)+IF(AND(('V06 Calend 01'!E42&gt;0),(140&gt;'V06 Calend 01'!C42),(140&lt;'V06 Calend 01'!D42),(MOD((140-'V06 Calend 01'!C42),6)=0),(((140-'V06 Calend 01'!C42)/6)&lt;='V06 Calend 01'!E42)),IF((140=('V06 Calend 01'!C42+(6*'V06 Calend 01'!E42))),('V06 Calend 01'!H42-('V06 Calend 01'!I42*('V06 Calend 01'!E42-1))),'V06 Calend 01'!I42),0))+IF((140='V06 Calend 01'!D42),'V06 Calend 01'!J42,0))</f>
        <v>0</v>
      </c>
      <c r="EW42" s="2">
        <f>((IF((141='V06 Calend 01'!C42),('V06 Calend 01'!F42+'V06 Calend 01'!G42),0)+IF(AND(('V06 Calend 01'!E42&gt;0),(141&gt;'V06 Calend 01'!C42),(141&lt;'V06 Calend 01'!D42),(MOD((141-'V06 Calend 01'!C42),6)=0),(((141-'V06 Calend 01'!C42)/6)&lt;='V06 Calend 01'!E42)),IF((141=('V06 Calend 01'!C42+(6*'V06 Calend 01'!E42))),('V06 Calend 01'!H42-('V06 Calend 01'!I42*('V06 Calend 01'!E42-1))),'V06 Calend 01'!I42),0))+IF((141='V06 Calend 01'!D42),'V06 Calend 01'!J42,0))</f>
        <v>0</v>
      </c>
      <c r="EX42" s="2">
        <f>((IF((142='V06 Calend 01'!C42),('V06 Calend 01'!F42+'V06 Calend 01'!G42),0)+IF(AND(('V06 Calend 01'!E42&gt;0),(142&gt;'V06 Calend 01'!C42),(142&lt;'V06 Calend 01'!D42),(MOD((142-'V06 Calend 01'!C42),6)=0),(((142-'V06 Calend 01'!C42)/6)&lt;='V06 Calend 01'!E42)),IF((142=('V06 Calend 01'!C42+(6*'V06 Calend 01'!E42))),('V06 Calend 01'!H42-('V06 Calend 01'!I42*('V06 Calend 01'!E42-1))),'V06 Calend 01'!I42),0))+IF((142='V06 Calend 01'!D42),'V06 Calend 01'!J42,0))</f>
        <v>0</v>
      </c>
      <c r="EY42" s="2">
        <f>((IF((143='V06 Calend 01'!C42),('V06 Calend 01'!F42+'V06 Calend 01'!G42),0)+IF(AND(('V06 Calend 01'!E42&gt;0),(143&gt;'V06 Calend 01'!C42),(143&lt;'V06 Calend 01'!D42),(MOD((143-'V06 Calend 01'!C42),6)=0),(((143-'V06 Calend 01'!C42)/6)&lt;='V06 Calend 01'!E42)),IF((143=('V06 Calend 01'!C42+(6*'V06 Calend 01'!E42))),('V06 Calend 01'!H42-('V06 Calend 01'!I42*('V06 Calend 01'!E42-1))),'V06 Calend 01'!I42),0))+IF((143='V06 Calend 01'!D42),'V06 Calend 01'!J42,0))</f>
        <v>0</v>
      </c>
      <c r="EZ42" s="2">
        <f>((IF((144='V06 Calend 01'!C42),('V06 Calend 01'!F42+'V06 Calend 01'!G42),0)+IF(AND(('V06 Calend 01'!E42&gt;0),(144&gt;'V06 Calend 01'!C42),(144&lt;'V06 Calend 01'!D42),(MOD((144-'V06 Calend 01'!C42),6)=0),(((144-'V06 Calend 01'!C42)/6)&lt;='V06 Calend 01'!E42)),IF((144=('V06 Calend 01'!C42+(6*'V06 Calend 01'!E42))),('V06 Calend 01'!H42-('V06 Calend 01'!I42*('V06 Calend 01'!E42-1))),'V06 Calend 01'!I42),0))+IF((144='V06 Calend 01'!D42),'V06 Calend 01'!J42,0))</f>
        <v>0</v>
      </c>
      <c r="FA42" s="2">
        <f>((IF((145='V06 Calend 01'!C42),('V06 Calend 01'!F42+'V06 Calend 01'!G42),0)+IF(AND(('V06 Calend 01'!E42&gt;0),(145&gt;'V06 Calend 01'!C42),(145&lt;'V06 Calend 01'!D42),(MOD((145-'V06 Calend 01'!C42),6)=0),(((145-'V06 Calend 01'!C42)/6)&lt;='V06 Calend 01'!E42)),IF((145=('V06 Calend 01'!C42+(6*'V06 Calend 01'!E42))),('V06 Calend 01'!H42-('V06 Calend 01'!I42*('V06 Calend 01'!E42-1))),'V06 Calend 01'!I42),0))+IF((145='V06 Calend 01'!D42),'V06 Calend 01'!J42,0))</f>
        <v>0</v>
      </c>
      <c r="FB42" s="2">
        <f>((IF((146='V06 Calend 01'!C42),('V06 Calend 01'!F42+'V06 Calend 01'!G42),0)+IF(AND(('V06 Calend 01'!E42&gt;0),(146&gt;'V06 Calend 01'!C42),(146&lt;'V06 Calend 01'!D42),(MOD((146-'V06 Calend 01'!C42),6)=0),(((146-'V06 Calend 01'!C42)/6)&lt;='V06 Calend 01'!E42)),IF((146=('V06 Calend 01'!C42+(6*'V06 Calend 01'!E42))),('V06 Calend 01'!H42-('V06 Calend 01'!I42*('V06 Calend 01'!E42-1))),'V06 Calend 01'!I42),0))+IF((146='V06 Calend 01'!D42),'V06 Calend 01'!J42,0))</f>
        <v>0</v>
      </c>
      <c r="FC42" s="2">
        <f>((IF((147='V06 Calend 01'!C42),('V06 Calend 01'!F42+'V06 Calend 01'!G42),0)+IF(AND(('V06 Calend 01'!E42&gt;0),(147&gt;'V06 Calend 01'!C42),(147&lt;'V06 Calend 01'!D42),(MOD((147-'V06 Calend 01'!C42),6)=0),(((147-'V06 Calend 01'!C42)/6)&lt;='V06 Calend 01'!E42)),IF((147=('V06 Calend 01'!C42+(6*'V06 Calend 01'!E42))),('V06 Calend 01'!H42-('V06 Calend 01'!I42*('V06 Calend 01'!E42-1))),'V06 Calend 01'!I42),0))+IF((147='V06 Calend 01'!D42),'V06 Calend 01'!J42,0))</f>
        <v>0</v>
      </c>
      <c r="FD42" s="2">
        <f>((IF((148='V06 Calend 01'!C42),('V06 Calend 01'!F42+'V06 Calend 01'!G42),0)+IF(AND(('V06 Calend 01'!E42&gt;0),(148&gt;'V06 Calend 01'!C42),(148&lt;'V06 Calend 01'!D42),(MOD((148-'V06 Calend 01'!C42),6)=0),(((148-'V06 Calend 01'!C42)/6)&lt;='V06 Calend 01'!E42)),IF((148=('V06 Calend 01'!C42+(6*'V06 Calend 01'!E42))),('V06 Calend 01'!H42-('V06 Calend 01'!I42*('V06 Calend 01'!E42-1))),'V06 Calend 01'!I42),0))+IF((148='V06 Calend 01'!D42),'V06 Calend 01'!J42,0))</f>
        <v>0</v>
      </c>
      <c r="FE42" s="2">
        <f>((IF((149='V06 Calend 01'!C42),('V06 Calend 01'!F42+'V06 Calend 01'!G42),0)+IF(AND(('V06 Calend 01'!E42&gt;0),(149&gt;'V06 Calend 01'!C42),(149&lt;'V06 Calend 01'!D42),(MOD((149-'V06 Calend 01'!C42),6)=0),(((149-'V06 Calend 01'!C42)/6)&lt;='V06 Calend 01'!E42)),IF((149=('V06 Calend 01'!C42+(6*'V06 Calend 01'!E42))),('V06 Calend 01'!H42-('V06 Calend 01'!I42*('V06 Calend 01'!E42-1))),'V06 Calend 01'!I42),0))+IF((149='V06 Calend 01'!D42),'V06 Calend 01'!J42,0))</f>
        <v>0</v>
      </c>
      <c r="FF42" s="2">
        <f>((IF((150='V06 Calend 01'!C42),('V06 Calend 01'!F42+'V06 Calend 01'!G42),0)+IF(AND(('V06 Calend 01'!E42&gt;0),(150&gt;'V06 Calend 01'!C42),(150&lt;'V06 Calend 01'!D42),(MOD((150-'V06 Calend 01'!C42),6)=0),(((150-'V06 Calend 01'!C42)/6)&lt;='V06 Calend 01'!E42)),IF((150=('V06 Calend 01'!C42+(6*'V06 Calend 01'!E42))),('V06 Calend 01'!H42-('V06 Calend 01'!I42*('V06 Calend 01'!E42-1))),'V06 Calend 01'!I42),0))+IF((150='V06 Calend 01'!D42),'V06 Calend 01'!J42,0))</f>
        <v>0</v>
      </c>
      <c r="FG42" s="2">
        <f>((IF((151='V06 Calend 01'!C42),('V06 Calend 01'!F42+'V06 Calend 01'!G42),0)+IF(AND(('V06 Calend 01'!E42&gt;0),(151&gt;'V06 Calend 01'!C42),(151&lt;'V06 Calend 01'!D42),(MOD((151-'V06 Calend 01'!C42),6)=0),(((151-'V06 Calend 01'!C42)/6)&lt;='V06 Calend 01'!E42)),IF((151=('V06 Calend 01'!C42+(6*'V06 Calend 01'!E42))),('V06 Calend 01'!H42-('V06 Calend 01'!I42*('V06 Calend 01'!E42-1))),'V06 Calend 01'!I42),0))+IF((151='V06 Calend 01'!D42),'V06 Calend 01'!J42,0))</f>
        <v>0</v>
      </c>
      <c r="FH42" s="2">
        <f>((IF((152='V06 Calend 01'!C42),('V06 Calend 01'!F42+'V06 Calend 01'!G42),0)+IF(AND(('V06 Calend 01'!E42&gt;0),(152&gt;'V06 Calend 01'!C42),(152&lt;'V06 Calend 01'!D42),(MOD((152-'V06 Calend 01'!C42),6)=0),(((152-'V06 Calend 01'!C42)/6)&lt;='V06 Calend 01'!E42)),IF((152=('V06 Calend 01'!C42+(6*'V06 Calend 01'!E42))),('V06 Calend 01'!H42-('V06 Calend 01'!I42*('V06 Calend 01'!E42-1))),'V06 Calend 01'!I42),0))+IF((152='V06 Calend 01'!D42),'V06 Calend 01'!J42,0))</f>
        <v>0</v>
      </c>
      <c r="FI42" s="2">
        <f>((IF((153='V06 Calend 01'!C42),('V06 Calend 01'!F42+'V06 Calend 01'!G42),0)+IF(AND(('V06 Calend 01'!E42&gt;0),(153&gt;'V06 Calend 01'!C42),(153&lt;'V06 Calend 01'!D42),(MOD((153-'V06 Calend 01'!C42),6)=0),(((153-'V06 Calend 01'!C42)/6)&lt;='V06 Calend 01'!E42)),IF((153=('V06 Calend 01'!C42+(6*'V06 Calend 01'!E42))),('V06 Calend 01'!H42-('V06 Calend 01'!I42*('V06 Calend 01'!E42-1))),'V06 Calend 01'!I42),0))+IF((153='V06 Calend 01'!D42),'V06 Calend 01'!J42,0))</f>
        <v>0</v>
      </c>
      <c r="FJ42" s="2">
        <f>((IF((154='V06 Calend 01'!C42),('V06 Calend 01'!F42+'V06 Calend 01'!G42),0)+IF(AND(('V06 Calend 01'!E42&gt;0),(154&gt;'V06 Calend 01'!C42),(154&lt;'V06 Calend 01'!D42),(MOD((154-'V06 Calend 01'!C42),6)=0),(((154-'V06 Calend 01'!C42)/6)&lt;='V06 Calend 01'!E42)),IF((154=('V06 Calend 01'!C42+(6*'V06 Calend 01'!E42))),('V06 Calend 01'!H42-('V06 Calend 01'!I42*('V06 Calend 01'!E42-1))),'V06 Calend 01'!I42),0))+IF((154='V06 Calend 01'!D42),'V06 Calend 01'!J42,0))</f>
        <v>0</v>
      </c>
      <c r="FK42" s="2">
        <f>((IF((155='V06 Calend 01'!C42),('V06 Calend 01'!F42+'V06 Calend 01'!G42),0)+IF(AND(('V06 Calend 01'!E42&gt;0),(155&gt;'V06 Calend 01'!C42),(155&lt;'V06 Calend 01'!D42),(MOD((155-'V06 Calend 01'!C42),6)=0),(((155-'V06 Calend 01'!C42)/6)&lt;='V06 Calend 01'!E42)),IF((155=('V06 Calend 01'!C42+(6*'V06 Calend 01'!E42))),('V06 Calend 01'!H42-('V06 Calend 01'!I42*('V06 Calend 01'!E42-1))),'V06 Calend 01'!I42),0))+IF((155='V06 Calend 01'!D42),'V06 Calend 01'!J42,0))</f>
        <v>0</v>
      </c>
      <c r="FL42" s="2">
        <f>((IF((156='V06 Calend 01'!C42),('V06 Calend 01'!F42+'V06 Calend 01'!G42),0)+IF(AND(('V06 Calend 01'!E42&gt;0),(156&gt;'V06 Calend 01'!C42),(156&lt;'V06 Calend 01'!D42),(MOD((156-'V06 Calend 01'!C42),6)=0),(((156-'V06 Calend 01'!C42)/6)&lt;='V06 Calend 01'!E42)),IF((156=('V06 Calend 01'!C42+(6*'V06 Calend 01'!E42))),('V06 Calend 01'!H42-('V06 Calend 01'!I42*('V06 Calend 01'!E42-1))),'V06 Calend 01'!I42),0))+IF((156='V06 Calend 01'!D42),'V06 Calend 01'!J42,0))</f>
        <v>0</v>
      </c>
      <c r="FM42" s="2">
        <f>((IF((157='V06 Calend 01'!C42),('V06 Calend 01'!F42+'V06 Calend 01'!G42),0)+IF(AND(('V06 Calend 01'!E42&gt;0),(157&gt;'V06 Calend 01'!C42),(157&lt;'V06 Calend 01'!D42),(MOD((157-'V06 Calend 01'!C42),6)=0),(((157-'V06 Calend 01'!C42)/6)&lt;='V06 Calend 01'!E42)),IF((157=('V06 Calend 01'!C42+(6*'V06 Calend 01'!E42))),('V06 Calend 01'!H42-('V06 Calend 01'!I42*('V06 Calend 01'!E42-1))),'V06 Calend 01'!I42),0))+IF((157='V06 Calend 01'!D42),'V06 Calend 01'!J42,0))</f>
        <v>0</v>
      </c>
      <c r="FN42" s="2">
        <f>((IF((158='V06 Calend 01'!C42),('V06 Calend 01'!F42+'V06 Calend 01'!G42),0)+IF(AND(('V06 Calend 01'!E42&gt;0),(158&gt;'V06 Calend 01'!C42),(158&lt;'V06 Calend 01'!D42),(MOD((158-'V06 Calend 01'!C42),6)=0),(((158-'V06 Calend 01'!C42)/6)&lt;='V06 Calend 01'!E42)),IF((158=('V06 Calend 01'!C42+(6*'V06 Calend 01'!E42))),('V06 Calend 01'!H42-('V06 Calend 01'!I42*('V06 Calend 01'!E42-1))),'V06 Calend 01'!I42),0))+IF((158='V06 Calend 01'!D42),'V06 Calend 01'!J42,0))</f>
        <v>0</v>
      </c>
      <c r="FO42" s="2">
        <f>((IF((159='V06 Calend 01'!C42),('V06 Calend 01'!F42+'V06 Calend 01'!G42),0)+IF(AND(('V06 Calend 01'!E42&gt;0),(159&gt;'V06 Calend 01'!C42),(159&lt;'V06 Calend 01'!D42),(MOD((159-'V06 Calend 01'!C42),6)=0),(((159-'V06 Calend 01'!C42)/6)&lt;='V06 Calend 01'!E42)),IF((159=('V06 Calend 01'!C42+(6*'V06 Calend 01'!E42))),('V06 Calend 01'!H42-('V06 Calend 01'!I42*('V06 Calend 01'!E42-1))),'V06 Calend 01'!I42),0))+IF((159='V06 Calend 01'!D42),'V06 Calend 01'!J42,0))</f>
        <v>0</v>
      </c>
      <c r="FP42" s="2">
        <f>((IF((160='V06 Calend 01'!C42),('V06 Calend 01'!F42+'V06 Calend 01'!G42),0)+IF(AND(('V06 Calend 01'!E42&gt;0),(160&gt;'V06 Calend 01'!C42),(160&lt;'V06 Calend 01'!D42),(MOD((160-'V06 Calend 01'!C42),6)=0),(((160-'V06 Calend 01'!C42)/6)&lt;='V06 Calend 01'!E42)),IF((160=('V06 Calend 01'!C42+(6*'V06 Calend 01'!E42))),('V06 Calend 01'!H42-('V06 Calend 01'!I42*('V06 Calend 01'!E42-1))),'V06 Calend 01'!I42),0))+IF((160='V06 Calend 01'!D42),'V06 Calend 01'!J42,0))</f>
        <v>0</v>
      </c>
      <c r="FQ42" s="2">
        <f>((IF((161='V06 Calend 01'!C42),('V06 Calend 01'!F42+'V06 Calend 01'!G42),0)+IF(AND(('V06 Calend 01'!E42&gt;0),(161&gt;'V06 Calend 01'!C42),(161&lt;'V06 Calend 01'!D42),(MOD((161-'V06 Calend 01'!C42),6)=0),(((161-'V06 Calend 01'!C42)/6)&lt;='V06 Calend 01'!E42)),IF((161=('V06 Calend 01'!C42+(6*'V06 Calend 01'!E42))),('V06 Calend 01'!H42-('V06 Calend 01'!I42*('V06 Calend 01'!E42-1))),'V06 Calend 01'!I42),0))+IF((161='V06 Calend 01'!D42),'V06 Calend 01'!J42,0))</f>
        <v>0</v>
      </c>
      <c r="FR42" s="2">
        <f>((IF((162='V06 Calend 01'!C42),('V06 Calend 01'!F42+'V06 Calend 01'!G42),0)+IF(AND(('V06 Calend 01'!E42&gt;0),(162&gt;'V06 Calend 01'!C42),(162&lt;'V06 Calend 01'!D42),(MOD((162-'V06 Calend 01'!C42),6)=0),(((162-'V06 Calend 01'!C42)/6)&lt;='V06 Calend 01'!E42)),IF((162=('V06 Calend 01'!C42+(6*'V06 Calend 01'!E42))),('V06 Calend 01'!H42-('V06 Calend 01'!I42*('V06 Calend 01'!E42-1))),'V06 Calend 01'!I42),0))+IF((162='V06 Calend 01'!D42),'V06 Calend 01'!J42,0))</f>
        <v>0</v>
      </c>
      <c r="FS42" s="2">
        <f>((IF((163='V06 Calend 01'!C42),('V06 Calend 01'!F42+'V06 Calend 01'!G42),0)+IF(AND(('V06 Calend 01'!E42&gt;0),(163&gt;'V06 Calend 01'!C42),(163&lt;'V06 Calend 01'!D42),(MOD((163-'V06 Calend 01'!C42),6)=0),(((163-'V06 Calend 01'!C42)/6)&lt;='V06 Calend 01'!E42)),IF((163=('V06 Calend 01'!C42+(6*'V06 Calend 01'!E42))),('V06 Calend 01'!H42-('V06 Calend 01'!I42*('V06 Calend 01'!E42-1))),'V06 Calend 01'!I42),0))+IF((163='V06 Calend 01'!D42),'V06 Calend 01'!J42,0))</f>
        <v>0</v>
      </c>
      <c r="FT42" s="2">
        <f>((IF((164='V06 Calend 01'!C42),('V06 Calend 01'!F42+'V06 Calend 01'!G42),0)+IF(AND(('V06 Calend 01'!E42&gt;0),(164&gt;'V06 Calend 01'!C42),(164&lt;'V06 Calend 01'!D42),(MOD((164-'V06 Calend 01'!C42),6)=0),(((164-'V06 Calend 01'!C42)/6)&lt;='V06 Calend 01'!E42)),IF((164=('V06 Calend 01'!C42+(6*'V06 Calend 01'!E42))),('V06 Calend 01'!H42-('V06 Calend 01'!I42*('V06 Calend 01'!E42-1))),'V06 Calend 01'!I42),0))+IF((164='V06 Calend 01'!D42),'V06 Calend 01'!J42,0))</f>
        <v>0</v>
      </c>
      <c r="FU42" s="2">
        <f>((IF((165='V06 Calend 01'!C42),('V06 Calend 01'!F42+'V06 Calend 01'!G42),0)+IF(AND(('V06 Calend 01'!E42&gt;0),(165&gt;'V06 Calend 01'!C42),(165&lt;'V06 Calend 01'!D42),(MOD((165-'V06 Calend 01'!C42),6)=0),(((165-'V06 Calend 01'!C42)/6)&lt;='V06 Calend 01'!E42)),IF((165=('V06 Calend 01'!C42+(6*'V06 Calend 01'!E42))),('V06 Calend 01'!H42-('V06 Calend 01'!I42*('V06 Calend 01'!E42-1))),'V06 Calend 01'!I42),0))+IF((165='V06 Calend 01'!D42),'V06 Calend 01'!J42,0))</f>
        <v>0</v>
      </c>
      <c r="FV42" s="2">
        <f>((IF((166='V06 Calend 01'!C42),('V06 Calend 01'!F42+'V06 Calend 01'!G42),0)+IF(AND(('V06 Calend 01'!E42&gt;0),(166&gt;'V06 Calend 01'!C42),(166&lt;'V06 Calend 01'!D42),(MOD((166-'V06 Calend 01'!C42),6)=0),(((166-'V06 Calend 01'!C42)/6)&lt;='V06 Calend 01'!E42)),IF((166=('V06 Calend 01'!C42+(6*'V06 Calend 01'!E42))),('V06 Calend 01'!H42-('V06 Calend 01'!I42*('V06 Calend 01'!E42-1))),'V06 Calend 01'!I42),0))+IF((166='V06 Calend 01'!D42),'V06 Calend 01'!J42,0))</f>
        <v>0</v>
      </c>
      <c r="FW42" s="2">
        <f>((IF((167='V06 Calend 01'!C42),('V06 Calend 01'!F42+'V06 Calend 01'!G42),0)+IF(AND(('V06 Calend 01'!E42&gt;0),(167&gt;'V06 Calend 01'!C42),(167&lt;'V06 Calend 01'!D42),(MOD((167-'V06 Calend 01'!C42),6)=0),(((167-'V06 Calend 01'!C42)/6)&lt;='V06 Calend 01'!E42)),IF((167=('V06 Calend 01'!C42+(6*'V06 Calend 01'!E42))),('V06 Calend 01'!H42-('V06 Calend 01'!I42*('V06 Calend 01'!E42-1))),'V06 Calend 01'!I42),0))+IF((167='V06 Calend 01'!D42),'V06 Calend 01'!J42,0))</f>
        <v>0</v>
      </c>
      <c r="FX42" s="2">
        <f>((IF((168='V06 Calend 01'!C42),('V06 Calend 01'!F42+'V06 Calend 01'!G42),0)+IF(AND(('V06 Calend 01'!E42&gt;0),(168&gt;'V06 Calend 01'!C42),(168&lt;'V06 Calend 01'!D42),(MOD((168-'V06 Calend 01'!C42),6)=0),(((168-'V06 Calend 01'!C42)/6)&lt;='V06 Calend 01'!E42)),IF((168=('V06 Calend 01'!C42+(6*'V06 Calend 01'!E42))),('V06 Calend 01'!H42-('V06 Calend 01'!I42*('V06 Calend 01'!E42-1))),'V06 Calend 01'!I42),0))+IF((168='V06 Calend 01'!D42),'V06 Calend 01'!J42,0))</f>
        <v>0</v>
      </c>
      <c r="FY42" s="2">
        <f>((IF((169='V06 Calend 01'!C42),('V06 Calend 01'!F42+'V06 Calend 01'!G42),0)+IF(AND(('V06 Calend 01'!E42&gt;0),(169&gt;'V06 Calend 01'!C42),(169&lt;'V06 Calend 01'!D42),(MOD((169-'V06 Calend 01'!C42),6)=0),(((169-'V06 Calend 01'!C42)/6)&lt;='V06 Calend 01'!E42)),IF((169=('V06 Calend 01'!C42+(6*'V06 Calend 01'!E42))),('V06 Calend 01'!H42-('V06 Calend 01'!I42*('V06 Calend 01'!E42-1))),'V06 Calend 01'!I42),0))+IF((169='V06 Calend 01'!D42),'V06 Calend 01'!J42,0))</f>
        <v>0</v>
      </c>
      <c r="FZ42" s="2">
        <f>((IF((170='V06 Calend 01'!C42),('V06 Calend 01'!F42+'V06 Calend 01'!G42),0)+IF(AND(('V06 Calend 01'!E42&gt;0),(170&gt;'V06 Calend 01'!C42),(170&lt;'V06 Calend 01'!D42),(MOD((170-'V06 Calend 01'!C42),6)=0),(((170-'V06 Calend 01'!C42)/6)&lt;='V06 Calend 01'!E42)),IF((170=('V06 Calend 01'!C42+(6*'V06 Calend 01'!E42))),('V06 Calend 01'!H42-('V06 Calend 01'!I42*('V06 Calend 01'!E42-1))),'V06 Calend 01'!I42),0))+IF((170='V06 Calend 01'!D42),'V06 Calend 01'!J42,0))</f>
        <v>0</v>
      </c>
      <c r="GA42" s="2">
        <f>((IF((171='V06 Calend 01'!C42),('V06 Calend 01'!F42+'V06 Calend 01'!G42),0)+IF(AND(('V06 Calend 01'!E42&gt;0),(171&gt;'V06 Calend 01'!C42),(171&lt;'V06 Calend 01'!D42),(MOD((171-'V06 Calend 01'!C42),6)=0),(((171-'V06 Calend 01'!C42)/6)&lt;='V06 Calend 01'!E42)),IF((171=('V06 Calend 01'!C42+(6*'V06 Calend 01'!E42))),('V06 Calend 01'!H42-('V06 Calend 01'!I42*('V06 Calend 01'!E42-1))),'V06 Calend 01'!I42),0))+IF((171='V06 Calend 01'!D42),'V06 Calend 01'!J42,0))</f>
        <v>0</v>
      </c>
      <c r="GB42" s="2">
        <f>((IF((172='V06 Calend 01'!C42),('V06 Calend 01'!F42+'V06 Calend 01'!G42),0)+IF(AND(('V06 Calend 01'!E42&gt;0),(172&gt;'V06 Calend 01'!C42),(172&lt;'V06 Calend 01'!D42),(MOD((172-'V06 Calend 01'!C42),6)=0),(((172-'V06 Calend 01'!C42)/6)&lt;='V06 Calend 01'!E42)),IF((172=('V06 Calend 01'!C42+(6*'V06 Calend 01'!E42))),('V06 Calend 01'!H42-('V06 Calend 01'!I42*('V06 Calend 01'!E42-1))),'V06 Calend 01'!I42),0))+IF((172='V06 Calend 01'!D42),'V06 Calend 01'!J42,0))</f>
        <v>0</v>
      </c>
      <c r="GC42" s="2">
        <f>((IF((173='V06 Calend 01'!C42),('V06 Calend 01'!F42+'V06 Calend 01'!G42),0)+IF(AND(('V06 Calend 01'!E42&gt;0),(173&gt;'V06 Calend 01'!C42),(173&lt;'V06 Calend 01'!D42),(MOD((173-'V06 Calend 01'!C42),6)=0),(((173-'V06 Calend 01'!C42)/6)&lt;='V06 Calend 01'!E42)),IF((173=('V06 Calend 01'!C42+(6*'V06 Calend 01'!E42))),('V06 Calend 01'!H42-('V06 Calend 01'!I42*('V06 Calend 01'!E42-1))),'V06 Calend 01'!I42),0))+IF((173='V06 Calend 01'!D42),'V06 Calend 01'!J42,0))</f>
        <v>0</v>
      </c>
      <c r="GD42" s="2">
        <f>((IF((174='V06 Calend 01'!C42),('V06 Calend 01'!F42+'V06 Calend 01'!G42),0)+IF(AND(('V06 Calend 01'!E42&gt;0),(174&gt;'V06 Calend 01'!C42),(174&lt;'V06 Calend 01'!D42),(MOD((174-'V06 Calend 01'!C42),6)=0),(((174-'V06 Calend 01'!C42)/6)&lt;='V06 Calend 01'!E42)),IF((174=('V06 Calend 01'!C42+(6*'V06 Calend 01'!E42))),('V06 Calend 01'!H42-('V06 Calend 01'!I42*('V06 Calend 01'!E42-1))),'V06 Calend 01'!I42),0))+IF((174='V06 Calend 01'!D42),'V06 Calend 01'!J42,0))</f>
        <v>0</v>
      </c>
      <c r="GE42" s="2">
        <f>((IF((175='V06 Calend 01'!C42),('V06 Calend 01'!F42+'V06 Calend 01'!G42),0)+IF(AND(('V06 Calend 01'!E42&gt;0),(175&gt;'V06 Calend 01'!C42),(175&lt;'V06 Calend 01'!D42),(MOD((175-'V06 Calend 01'!C42),6)=0),(((175-'V06 Calend 01'!C42)/6)&lt;='V06 Calend 01'!E42)),IF((175=('V06 Calend 01'!C42+(6*'V06 Calend 01'!E42))),('V06 Calend 01'!H42-('V06 Calend 01'!I42*('V06 Calend 01'!E42-1))),'V06 Calend 01'!I42),0))+IF((175='V06 Calend 01'!D42),'V06 Calend 01'!J42,0))</f>
        <v>0</v>
      </c>
      <c r="GF42" s="2">
        <f>((IF((176='V06 Calend 01'!C42),('V06 Calend 01'!F42+'V06 Calend 01'!G42),0)+IF(AND(('V06 Calend 01'!E42&gt;0),(176&gt;'V06 Calend 01'!C42),(176&lt;'V06 Calend 01'!D42),(MOD((176-'V06 Calend 01'!C42),6)=0),(((176-'V06 Calend 01'!C42)/6)&lt;='V06 Calend 01'!E42)),IF((176=('V06 Calend 01'!C42+(6*'V06 Calend 01'!E42))),('V06 Calend 01'!H42-('V06 Calend 01'!I42*('V06 Calend 01'!E42-1))),'V06 Calend 01'!I42),0))+IF((176='V06 Calend 01'!D42),'V06 Calend 01'!J42,0))</f>
        <v>0</v>
      </c>
      <c r="GG42" s="2">
        <f>((IF((177='V06 Calend 01'!C42),('V06 Calend 01'!F42+'V06 Calend 01'!G42),0)+IF(AND(('V06 Calend 01'!E42&gt;0),(177&gt;'V06 Calend 01'!C42),(177&lt;'V06 Calend 01'!D42),(MOD((177-'V06 Calend 01'!C42),6)=0),(((177-'V06 Calend 01'!C42)/6)&lt;='V06 Calend 01'!E42)),IF((177=('V06 Calend 01'!C42+(6*'V06 Calend 01'!E42))),('V06 Calend 01'!H42-('V06 Calend 01'!I42*('V06 Calend 01'!E42-1))),'V06 Calend 01'!I42),0))+IF((177='V06 Calend 01'!D42),'V06 Calend 01'!J42,0))</f>
        <v>0</v>
      </c>
      <c r="GH42" s="2">
        <f>((IF((178='V06 Calend 01'!C42),('V06 Calend 01'!F42+'V06 Calend 01'!G42),0)+IF(AND(('V06 Calend 01'!E42&gt;0),(178&gt;'V06 Calend 01'!C42),(178&lt;'V06 Calend 01'!D42),(MOD((178-'V06 Calend 01'!C42),6)=0),(((178-'V06 Calend 01'!C42)/6)&lt;='V06 Calend 01'!E42)),IF((178=('V06 Calend 01'!C42+(6*'V06 Calend 01'!E42))),('V06 Calend 01'!H42-('V06 Calend 01'!I42*('V06 Calend 01'!E42-1))),'V06 Calend 01'!I42),0))+IF((178='V06 Calend 01'!D42),'V06 Calend 01'!J42,0))</f>
        <v>0</v>
      </c>
      <c r="GI42" s="2">
        <f>((IF((179='V06 Calend 01'!C42),('V06 Calend 01'!F42+'V06 Calend 01'!G42),0)+IF(AND(('V06 Calend 01'!E42&gt;0),(179&gt;'V06 Calend 01'!C42),(179&lt;'V06 Calend 01'!D42),(MOD((179-'V06 Calend 01'!C42),6)=0),(((179-'V06 Calend 01'!C42)/6)&lt;='V06 Calend 01'!E42)),IF((179=('V06 Calend 01'!C42+(6*'V06 Calend 01'!E42))),('V06 Calend 01'!H42-('V06 Calend 01'!I42*('V06 Calend 01'!E42-1))),'V06 Calend 01'!I42),0))+IF((179='V06 Calend 01'!D42),'V06 Calend 01'!J42,0))</f>
        <v>0</v>
      </c>
      <c r="GJ42" s="2">
        <f>((IF((180='V06 Calend 01'!C42),('V06 Calend 01'!F42+'V06 Calend 01'!G42),0)+IF(AND(('V06 Calend 01'!E42&gt;0),(180&gt;'V06 Calend 01'!C42),(180&lt;'V06 Calend 01'!D42),(MOD((180-'V06 Calend 01'!C42),6)=0),(((180-'V06 Calend 01'!C42)/6)&lt;='V06 Calend 01'!E42)),IF((180=('V06 Calend 01'!C42+(6*'V06 Calend 01'!E42))),('V06 Calend 01'!H42-('V06 Calend 01'!I42*('V06 Calend 01'!E42-1))),'V06 Calend 01'!I42),0))+IF((180='V06 Calend 01'!D42),'V06 Calend 01'!J42,0))</f>
        <v>0</v>
      </c>
    </row>
    <row r="43" spans="1:192">
      <c r="A43" s="3" t="str">
        <f>'V06 Unidades'!$A$43</f>
        <v>509</v>
      </c>
      <c r="B43" s="2">
        <f>'V06 Unidades'!$H$43</f>
        <v>452590.32</v>
      </c>
      <c r="C43" s="4">
        <f>('V06 Unidades'!$I$43+'V06 Controlos'!$B$37)</f>
        <v>1</v>
      </c>
      <c r="D43" s="4">
        <f>IF(('V06 Controlos'!$B$38&gt;0),MAX(('V06 Unidades'!$L$43+'V06 Controlos'!$B$37),(30+'V06 Controlos'!$B$38)),('V06 Unidades'!$L$43+'V06 Controlos'!$B$37))</f>
        <v>30</v>
      </c>
      <c r="E43" s="4">
        <f>MAX(0,INT(((('V06 Calend 01'!D43-'V06 Calend 01'!C43)-1)/6)))</f>
        <v>4</v>
      </c>
      <c r="F43" s="2">
        <f>ROUND(('V06 Calend 01'!B43*0.05),2)</f>
        <v>22629.52</v>
      </c>
      <c r="G43" s="2">
        <f>ROUND(('V06 Calend 01'!B43*0.2),2)</f>
        <v>90518.06</v>
      </c>
      <c r="H43" s="2">
        <f>ROUND(('V06 Calend 01'!B43*0.55),2)</f>
        <v>248924.68</v>
      </c>
      <c r="I43" s="2">
        <f>ROUND(('V06 Calend 01'!H43/MAX(1,'V06 Calend 01'!E43)),2)</f>
        <v>62231.17</v>
      </c>
      <c r="J43" s="2">
        <f>((('V06 Calend 01'!B43-'V06 Calend 01'!F43)-'V06 Calend 01'!G43)-'V06 Calend 01'!H43)</f>
        <v>90518.06</v>
      </c>
      <c r="K43" s="2">
        <f>('V06 Calend 01'!B43*0.025)</f>
        <v>11314.758000000002</v>
      </c>
      <c r="L43" t="s">
        <v>378</v>
      </c>
      <c r="M43" s="2">
        <f>((IF((1='V06 Calend 01'!C43),('V06 Calend 01'!F43+'V06 Calend 01'!G43),0)+IF(AND(('V06 Calend 01'!E43&gt;0),(1&gt;'V06 Calend 01'!C43),(1&lt;'V06 Calend 01'!D43),(MOD((1-'V06 Calend 01'!C43),6)=0),(((1-'V06 Calend 01'!C43)/6)&lt;='V06 Calend 01'!E43)),IF((1=('V06 Calend 01'!C43+(6*'V06 Calend 01'!E43))),('V06 Calend 01'!H43-('V06 Calend 01'!I43*('V06 Calend 01'!E43-1))),'V06 Calend 01'!I43),0))+IF((1='V06 Calend 01'!D43),'V06 Calend 01'!J43,0))</f>
        <v>113147.58</v>
      </c>
      <c r="N43" s="2">
        <f>((IF((2='V06 Calend 01'!C43),('V06 Calend 01'!F43+'V06 Calend 01'!G43),0)+IF(AND(('V06 Calend 01'!E43&gt;0),(2&gt;'V06 Calend 01'!C43),(2&lt;'V06 Calend 01'!D43),(MOD((2-'V06 Calend 01'!C43),6)=0),(((2-'V06 Calend 01'!C43)/6)&lt;='V06 Calend 01'!E43)),IF((2=('V06 Calend 01'!C43+(6*'V06 Calend 01'!E43))),('V06 Calend 01'!H43-('V06 Calend 01'!I43*('V06 Calend 01'!E43-1))),'V06 Calend 01'!I43),0))+IF((2='V06 Calend 01'!D43),'V06 Calend 01'!J43,0))</f>
        <v>0</v>
      </c>
      <c r="O43" s="2">
        <f>((IF((3='V06 Calend 01'!C43),('V06 Calend 01'!F43+'V06 Calend 01'!G43),0)+IF(AND(('V06 Calend 01'!E43&gt;0),(3&gt;'V06 Calend 01'!C43),(3&lt;'V06 Calend 01'!D43),(MOD((3-'V06 Calend 01'!C43),6)=0),(((3-'V06 Calend 01'!C43)/6)&lt;='V06 Calend 01'!E43)),IF((3=('V06 Calend 01'!C43+(6*'V06 Calend 01'!E43))),('V06 Calend 01'!H43-('V06 Calend 01'!I43*('V06 Calend 01'!E43-1))),'V06 Calend 01'!I43),0))+IF((3='V06 Calend 01'!D43),'V06 Calend 01'!J43,0))</f>
        <v>0</v>
      </c>
      <c r="P43" s="2">
        <f>((IF((4='V06 Calend 01'!C43),('V06 Calend 01'!F43+'V06 Calend 01'!G43),0)+IF(AND(('V06 Calend 01'!E43&gt;0),(4&gt;'V06 Calend 01'!C43),(4&lt;'V06 Calend 01'!D43),(MOD((4-'V06 Calend 01'!C43),6)=0),(((4-'V06 Calend 01'!C43)/6)&lt;='V06 Calend 01'!E43)),IF((4=('V06 Calend 01'!C43+(6*'V06 Calend 01'!E43))),('V06 Calend 01'!H43-('V06 Calend 01'!I43*('V06 Calend 01'!E43-1))),'V06 Calend 01'!I43),0))+IF((4='V06 Calend 01'!D43),'V06 Calend 01'!J43,0))</f>
        <v>0</v>
      </c>
      <c r="Q43" s="2">
        <f>((IF((5='V06 Calend 01'!C43),('V06 Calend 01'!F43+'V06 Calend 01'!G43),0)+IF(AND(('V06 Calend 01'!E43&gt;0),(5&gt;'V06 Calend 01'!C43),(5&lt;'V06 Calend 01'!D43),(MOD((5-'V06 Calend 01'!C43),6)=0),(((5-'V06 Calend 01'!C43)/6)&lt;='V06 Calend 01'!E43)),IF((5=('V06 Calend 01'!C43+(6*'V06 Calend 01'!E43))),('V06 Calend 01'!H43-('V06 Calend 01'!I43*('V06 Calend 01'!E43-1))),'V06 Calend 01'!I43),0))+IF((5='V06 Calend 01'!D43),'V06 Calend 01'!J43,0))</f>
        <v>0</v>
      </c>
      <c r="R43" s="2">
        <f>((IF((6='V06 Calend 01'!C43),('V06 Calend 01'!F43+'V06 Calend 01'!G43),0)+IF(AND(('V06 Calend 01'!E43&gt;0),(6&gt;'V06 Calend 01'!C43),(6&lt;'V06 Calend 01'!D43),(MOD((6-'V06 Calend 01'!C43),6)=0),(((6-'V06 Calend 01'!C43)/6)&lt;='V06 Calend 01'!E43)),IF((6=('V06 Calend 01'!C43+(6*'V06 Calend 01'!E43))),('V06 Calend 01'!H43-('V06 Calend 01'!I43*('V06 Calend 01'!E43-1))),'V06 Calend 01'!I43),0))+IF((6='V06 Calend 01'!D43),'V06 Calend 01'!J43,0))</f>
        <v>0</v>
      </c>
      <c r="S43" s="2">
        <f>((IF((7='V06 Calend 01'!C43),('V06 Calend 01'!F43+'V06 Calend 01'!G43),0)+IF(AND(('V06 Calend 01'!E43&gt;0),(7&gt;'V06 Calend 01'!C43),(7&lt;'V06 Calend 01'!D43),(MOD((7-'V06 Calend 01'!C43),6)=0),(((7-'V06 Calend 01'!C43)/6)&lt;='V06 Calend 01'!E43)),IF((7=('V06 Calend 01'!C43+(6*'V06 Calend 01'!E43))),('V06 Calend 01'!H43-('V06 Calend 01'!I43*('V06 Calend 01'!E43-1))),'V06 Calend 01'!I43),0))+IF((7='V06 Calend 01'!D43),'V06 Calend 01'!J43,0))</f>
        <v>62231.17</v>
      </c>
      <c r="T43" s="2">
        <f>((IF((8='V06 Calend 01'!C43),('V06 Calend 01'!F43+'V06 Calend 01'!G43),0)+IF(AND(('V06 Calend 01'!E43&gt;0),(8&gt;'V06 Calend 01'!C43),(8&lt;'V06 Calend 01'!D43),(MOD((8-'V06 Calend 01'!C43),6)=0),(((8-'V06 Calend 01'!C43)/6)&lt;='V06 Calend 01'!E43)),IF((8=('V06 Calend 01'!C43+(6*'V06 Calend 01'!E43))),('V06 Calend 01'!H43-('V06 Calend 01'!I43*('V06 Calend 01'!E43-1))),'V06 Calend 01'!I43),0))+IF((8='V06 Calend 01'!D43),'V06 Calend 01'!J43,0))</f>
        <v>0</v>
      </c>
      <c r="U43" s="2">
        <f>((IF((9='V06 Calend 01'!C43),('V06 Calend 01'!F43+'V06 Calend 01'!G43),0)+IF(AND(('V06 Calend 01'!E43&gt;0),(9&gt;'V06 Calend 01'!C43),(9&lt;'V06 Calend 01'!D43),(MOD((9-'V06 Calend 01'!C43),6)=0),(((9-'V06 Calend 01'!C43)/6)&lt;='V06 Calend 01'!E43)),IF((9=('V06 Calend 01'!C43+(6*'V06 Calend 01'!E43))),('V06 Calend 01'!H43-('V06 Calend 01'!I43*('V06 Calend 01'!E43-1))),'V06 Calend 01'!I43),0))+IF((9='V06 Calend 01'!D43),'V06 Calend 01'!J43,0))</f>
        <v>0</v>
      </c>
      <c r="V43" s="2">
        <f>((IF((10='V06 Calend 01'!C43),('V06 Calend 01'!F43+'V06 Calend 01'!G43),0)+IF(AND(('V06 Calend 01'!E43&gt;0),(10&gt;'V06 Calend 01'!C43),(10&lt;'V06 Calend 01'!D43),(MOD((10-'V06 Calend 01'!C43),6)=0),(((10-'V06 Calend 01'!C43)/6)&lt;='V06 Calend 01'!E43)),IF((10=('V06 Calend 01'!C43+(6*'V06 Calend 01'!E43))),('V06 Calend 01'!H43-('V06 Calend 01'!I43*('V06 Calend 01'!E43-1))),'V06 Calend 01'!I43),0))+IF((10='V06 Calend 01'!D43),'V06 Calend 01'!J43,0))</f>
        <v>0</v>
      </c>
      <c r="W43" s="2">
        <f>((IF((11='V06 Calend 01'!C43),('V06 Calend 01'!F43+'V06 Calend 01'!G43),0)+IF(AND(('V06 Calend 01'!E43&gt;0),(11&gt;'V06 Calend 01'!C43),(11&lt;'V06 Calend 01'!D43),(MOD((11-'V06 Calend 01'!C43),6)=0),(((11-'V06 Calend 01'!C43)/6)&lt;='V06 Calend 01'!E43)),IF((11=('V06 Calend 01'!C43+(6*'V06 Calend 01'!E43))),('V06 Calend 01'!H43-('V06 Calend 01'!I43*('V06 Calend 01'!E43-1))),'V06 Calend 01'!I43),0))+IF((11='V06 Calend 01'!D43),'V06 Calend 01'!J43,0))</f>
        <v>0</v>
      </c>
      <c r="X43" s="2">
        <f>((IF((12='V06 Calend 01'!C43),('V06 Calend 01'!F43+'V06 Calend 01'!G43),0)+IF(AND(('V06 Calend 01'!E43&gt;0),(12&gt;'V06 Calend 01'!C43),(12&lt;'V06 Calend 01'!D43),(MOD((12-'V06 Calend 01'!C43),6)=0),(((12-'V06 Calend 01'!C43)/6)&lt;='V06 Calend 01'!E43)),IF((12=('V06 Calend 01'!C43+(6*'V06 Calend 01'!E43))),('V06 Calend 01'!H43-('V06 Calend 01'!I43*('V06 Calend 01'!E43-1))),'V06 Calend 01'!I43),0))+IF((12='V06 Calend 01'!D43),'V06 Calend 01'!J43,0))</f>
        <v>0</v>
      </c>
      <c r="Y43" s="2">
        <f>((IF((13='V06 Calend 01'!C43),('V06 Calend 01'!F43+'V06 Calend 01'!G43),0)+IF(AND(('V06 Calend 01'!E43&gt;0),(13&gt;'V06 Calend 01'!C43),(13&lt;'V06 Calend 01'!D43),(MOD((13-'V06 Calend 01'!C43),6)=0),(((13-'V06 Calend 01'!C43)/6)&lt;='V06 Calend 01'!E43)),IF((13=('V06 Calend 01'!C43+(6*'V06 Calend 01'!E43))),('V06 Calend 01'!H43-('V06 Calend 01'!I43*('V06 Calend 01'!E43-1))),'V06 Calend 01'!I43),0))+IF((13='V06 Calend 01'!D43),'V06 Calend 01'!J43,0))</f>
        <v>62231.17</v>
      </c>
      <c r="Z43" s="2">
        <f>((IF((14='V06 Calend 01'!C43),('V06 Calend 01'!F43+'V06 Calend 01'!G43),0)+IF(AND(('V06 Calend 01'!E43&gt;0),(14&gt;'V06 Calend 01'!C43),(14&lt;'V06 Calend 01'!D43),(MOD((14-'V06 Calend 01'!C43),6)=0),(((14-'V06 Calend 01'!C43)/6)&lt;='V06 Calend 01'!E43)),IF((14=('V06 Calend 01'!C43+(6*'V06 Calend 01'!E43))),('V06 Calend 01'!H43-('V06 Calend 01'!I43*('V06 Calend 01'!E43-1))),'V06 Calend 01'!I43),0))+IF((14='V06 Calend 01'!D43),'V06 Calend 01'!J43,0))</f>
        <v>0</v>
      </c>
      <c r="AA43" s="2">
        <f>((IF((15='V06 Calend 01'!C43),('V06 Calend 01'!F43+'V06 Calend 01'!G43),0)+IF(AND(('V06 Calend 01'!E43&gt;0),(15&gt;'V06 Calend 01'!C43),(15&lt;'V06 Calend 01'!D43),(MOD((15-'V06 Calend 01'!C43),6)=0),(((15-'V06 Calend 01'!C43)/6)&lt;='V06 Calend 01'!E43)),IF((15=('V06 Calend 01'!C43+(6*'V06 Calend 01'!E43))),('V06 Calend 01'!H43-('V06 Calend 01'!I43*('V06 Calend 01'!E43-1))),'V06 Calend 01'!I43),0))+IF((15='V06 Calend 01'!D43),'V06 Calend 01'!J43,0))</f>
        <v>0</v>
      </c>
      <c r="AB43" s="2">
        <f>((IF((16='V06 Calend 01'!C43),('V06 Calend 01'!F43+'V06 Calend 01'!G43),0)+IF(AND(('V06 Calend 01'!E43&gt;0),(16&gt;'V06 Calend 01'!C43),(16&lt;'V06 Calend 01'!D43),(MOD((16-'V06 Calend 01'!C43),6)=0),(((16-'V06 Calend 01'!C43)/6)&lt;='V06 Calend 01'!E43)),IF((16=('V06 Calend 01'!C43+(6*'V06 Calend 01'!E43))),('V06 Calend 01'!H43-('V06 Calend 01'!I43*('V06 Calend 01'!E43-1))),'V06 Calend 01'!I43),0))+IF((16='V06 Calend 01'!D43),'V06 Calend 01'!J43,0))</f>
        <v>0</v>
      </c>
      <c r="AC43" s="2">
        <f>((IF((17='V06 Calend 01'!C43),('V06 Calend 01'!F43+'V06 Calend 01'!G43),0)+IF(AND(('V06 Calend 01'!E43&gt;0),(17&gt;'V06 Calend 01'!C43),(17&lt;'V06 Calend 01'!D43),(MOD((17-'V06 Calend 01'!C43),6)=0),(((17-'V06 Calend 01'!C43)/6)&lt;='V06 Calend 01'!E43)),IF((17=('V06 Calend 01'!C43+(6*'V06 Calend 01'!E43))),('V06 Calend 01'!H43-('V06 Calend 01'!I43*('V06 Calend 01'!E43-1))),'V06 Calend 01'!I43),0))+IF((17='V06 Calend 01'!D43),'V06 Calend 01'!J43,0))</f>
        <v>0</v>
      </c>
      <c r="AD43" s="2">
        <f>((IF((18='V06 Calend 01'!C43),('V06 Calend 01'!F43+'V06 Calend 01'!G43),0)+IF(AND(('V06 Calend 01'!E43&gt;0),(18&gt;'V06 Calend 01'!C43),(18&lt;'V06 Calend 01'!D43),(MOD((18-'V06 Calend 01'!C43),6)=0),(((18-'V06 Calend 01'!C43)/6)&lt;='V06 Calend 01'!E43)),IF((18=('V06 Calend 01'!C43+(6*'V06 Calend 01'!E43))),('V06 Calend 01'!H43-('V06 Calend 01'!I43*('V06 Calend 01'!E43-1))),'V06 Calend 01'!I43),0))+IF((18='V06 Calend 01'!D43),'V06 Calend 01'!J43,0))</f>
        <v>0</v>
      </c>
      <c r="AE43" s="2">
        <f>((IF((19='V06 Calend 01'!C43),('V06 Calend 01'!F43+'V06 Calend 01'!G43),0)+IF(AND(('V06 Calend 01'!E43&gt;0),(19&gt;'V06 Calend 01'!C43),(19&lt;'V06 Calend 01'!D43),(MOD((19-'V06 Calend 01'!C43),6)=0),(((19-'V06 Calend 01'!C43)/6)&lt;='V06 Calend 01'!E43)),IF((19=('V06 Calend 01'!C43+(6*'V06 Calend 01'!E43))),('V06 Calend 01'!H43-('V06 Calend 01'!I43*('V06 Calend 01'!E43-1))),'V06 Calend 01'!I43),0))+IF((19='V06 Calend 01'!D43),'V06 Calend 01'!J43,0))</f>
        <v>62231.17</v>
      </c>
      <c r="AF43" s="2">
        <f>((IF((20='V06 Calend 01'!C43),('V06 Calend 01'!F43+'V06 Calend 01'!G43),0)+IF(AND(('V06 Calend 01'!E43&gt;0),(20&gt;'V06 Calend 01'!C43),(20&lt;'V06 Calend 01'!D43),(MOD((20-'V06 Calend 01'!C43),6)=0),(((20-'V06 Calend 01'!C43)/6)&lt;='V06 Calend 01'!E43)),IF((20=('V06 Calend 01'!C43+(6*'V06 Calend 01'!E43))),('V06 Calend 01'!H43-('V06 Calend 01'!I43*('V06 Calend 01'!E43-1))),'V06 Calend 01'!I43),0))+IF((20='V06 Calend 01'!D43),'V06 Calend 01'!J43,0))</f>
        <v>0</v>
      </c>
      <c r="AG43" s="2">
        <f>((IF((21='V06 Calend 01'!C43),('V06 Calend 01'!F43+'V06 Calend 01'!G43),0)+IF(AND(('V06 Calend 01'!E43&gt;0),(21&gt;'V06 Calend 01'!C43),(21&lt;'V06 Calend 01'!D43),(MOD((21-'V06 Calend 01'!C43),6)=0),(((21-'V06 Calend 01'!C43)/6)&lt;='V06 Calend 01'!E43)),IF((21=('V06 Calend 01'!C43+(6*'V06 Calend 01'!E43))),('V06 Calend 01'!H43-('V06 Calend 01'!I43*('V06 Calend 01'!E43-1))),'V06 Calend 01'!I43),0))+IF((21='V06 Calend 01'!D43),'V06 Calend 01'!J43,0))</f>
        <v>0</v>
      </c>
      <c r="AH43" s="2">
        <f>((IF((22='V06 Calend 01'!C43),('V06 Calend 01'!F43+'V06 Calend 01'!G43),0)+IF(AND(('V06 Calend 01'!E43&gt;0),(22&gt;'V06 Calend 01'!C43),(22&lt;'V06 Calend 01'!D43),(MOD((22-'V06 Calend 01'!C43),6)=0),(((22-'V06 Calend 01'!C43)/6)&lt;='V06 Calend 01'!E43)),IF((22=('V06 Calend 01'!C43+(6*'V06 Calend 01'!E43))),('V06 Calend 01'!H43-('V06 Calend 01'!I43*('V06 Calend 01'!E43-1))),'V06 Calend 01'!I43),0))+IF((22='V06 Calend 01'!D43),'V06 Calend 01'!J43,0))</f>
        <v>0</v>
      </c>
      <c r="AI43" s="2">
        <f>((IF((23='V06 Calend 01'!C43),('V06 Calend 01'!F43+'V06 Calend 01'!G43),0)+IF(AND(('V06 Calend 01'!E43&gt;0),(23&gt;'V06 Calend 01'!C43),(23&lt;'V06 Calend 01'!D43),(MOD((23-'V06 Calend 01'!C43),6)=0),(((23-'V06 Calend 01'!C43)/6)&lt;='V06 Calend 01'!E43)),IF((23=('V06 Calend 01'!C43+(6*'V06 Calend 01'!E43))),('V06 Calend 01'!H43-('V06 Calend 01'!I43*('V06 Calend 01'!E43-1))),'V06 Calend 01'!I43),0))+IF((23='V06 Calend 01'!D43),'V06 Calend 01'!J43,0))</f>
        <v>0</v>
      </c>
      <c r="AJ43" s="2">
        <f>((IF((24='V06 Calend 01'!C43),('V06 Calend 01'!F43+'V06 Calend 01'!G43),0)+IF(AND(('V06 Calend 01'!E43&gt;0),(24&gt;'V06 Calend 01'!C43),(24&lt;'V06 Calend 01'!D43),(MOD((24-'V06 Calend 01'!C43),6)=0),(((24-'V06 Calend 01'!C43)/6)&lt;='V06 Calend 01'!E43)),IF((24=('V06 Calend 01'!C43+(6*'V06 Calend 01'!E43))),('V06 Calend 01'!H43-('V06 Calend 01'!I43*('V06 Calend 01'!E43-1))),'V06 Calend 01'!I43),0))+IF((24='V06 Calend 01'!D43),'V06 Calend 01'!J43,0))</f>
        <v>0</v>
      </c>
      <c r="AK43" s="2">
        <f>((IF((25='V06 Calend 01'!C43),('V06 Calend 01'!F43+'V06 Calend 01'!G43),0)+IF(AND(('V06 Calend 01'!E43&gt;0),(25&gt;'V06 Calend 01'!C43),(25&lt;'V06 Calend 01'!D43),(MOD((25-'V06 Calend 01'!C43),6)=0),(((25-'V06 Calend 01'!C43)/6)&lt;='V06 Calend 01'!E43)),IF((25=('V06 Calend 01'!C43+(6*'V06 Calend 01'!E43))),('V06 Calend 01'!H43-('V06 Calend 01'!I43*('V06 Calend 01'!E43-1))),'V06 Calend 01'!I43),0))+IF((25='V06 Calend 01'!D43),'V06 Calend 01'!J43,0))</f>
        <v>62231.169999999984</v>
      </c>
      <c r="AL43" s="2">
        <f>((IF((26='V06 Calend 01'!C43),('V06 Calend 01'!F43+'V06 Calend 01'!G43),0)+IF(AND(('V06 Calend 01'!E43&gt;0),(26&gt;'V06 Calend 01'!C43),(26&lt;'V06 Calend 01'!D43),(MOD((26-'V06 Calend 01'!C43),6)=0),(((26-'V06 Calend 01'!C43)/6)&lt;='V06 Calend 01'!E43)),IF((26=('V06 Calend 01'!C43+(6*'V06 Calend 01'!E43))),('V06 Calend 01'!H43-('V06 Calend 01'!I43*('V06 Calend 01'!E43-1))),'V06 Calend 01'!I43),0))+IF((26='V06 Calend 01'!D43),'V06 Calend 01'!J43,0))</f>
        <v>0</v>
      </c>
      <c r="AM43" s="2">
        <f>((IF((27='V06 Calend 01'!C43),('V06 Calend 01'!F43+'V06 Calend 01'!G43),0)+IF(AND(('V06 Calend 01'!E43&gt;0),(27&gt;'V06 Calend 01'!C43),(27&lt;'V06 Calend 01'!D43),(MOD((27-'V06 Calend 01'!C43),6)=0),(((27-'V06 Calend 01'!C43)/6)&lt;='V06 Calend 01'!E43)),IF((27=('V06 Calend 01'!C43+(6*'V06 Calend 01'!E43))),('V06 Calend 01'!H43-('V06 Calend 01'!I43*('V06 Calend 01'!E43-1))),'V06 Calend 01'!I43),0))+IF((27='V06 Calend 01'!D43),'V06 Calend 01'!J43,0))</f>
        <v>0</v>
      </c>
      <c r="AN43" s="2">
        <f>((IF((28='V06 Calend 01'!C43),('V06 Calend 01'!F43+'V06 Calend 01'!G43),0)+IF(AND(('V06 Calend 01'!E43&gt;0),(28&gt;'V06 Calend 01'!C43),(28&lt;'V06 Calend 01'!D43),(MOD((28-'V06 Calend 01'!C43),6)=0),(((28-'V06 Calend 01'!C43)/6)&lt;='V06 Calend 01'!E43)),IF((28=('V06 Calend 01'!C43+(6*'V06 Calend 01'!E43))),('V06 Calend 01'!H43-('V06 Calend 01'!I43*('V06 Calend 01'!E43-1))),'V06 Calend 01'!I43),0))+IF((28='V06 Calend 01'!D43),'V06 Calend 01'!J43,0))</f>
        <v>0</v>
      </c>
      <c r="AO43" s="2">
        <f>((IF((29='V06 Calend 01'!C43),('V06 Calend 01'!F43+'V06 Calend 01'!G43),0)+IF(AND(('V06 Calend 01'!E43&gt;0),(29&gt;'V06 Calend 01'!C43),(29&lt;'V06 Calend 01'!D43),(MOD((29-'V06 Calend 01'!C43),6)=0),(((29-'V06 Calend 01'!C43)/6)&lt;='V06 Calend 01'!E43)),IF((29=('V06 Calend 01'!C43+(6*'V06 Calend 01'!E43))),('V06 Calend 01'!H43-('V06 Calend 01'!I43*('V06 Calend 01'!E43-1))),'V06 Calend 01'!I43),0))+IF((29='V06 Calend 01'!D43),'V06 Calend 01'!J43,0))</f>
        <v>0</v>
      </c>
      <c r="AP43" s="2">
        <f>((IF((30='V06 Calend 01'!C43),('V06 Calend 01'!F43+'V06 Calend 01'!G43),0)+IF(AND(('V06 Calend 01'!E43&gt;0),(30&gt;'V06 Calend 01'!C43),(30&lt;'V06 Calend 01'!D43),(MOD((30-'V06 Calend 01'!C43),6)=0),(((30-'V06 Calend 01'!C43)/6)&lt;='V06 Calend 01'!E43)),IF((30=('V06 Calend 01'!C43+(6*'V06 Calend 01'!E43))),('V06 Calend 01'!H43-('V06 Calend 01'!I43*('V06 Calend 01'!E43-1))),'V06 Calend 01'!I43),0))+IF((30='V06 Calend 01'!D43),'V06 Calend 01'!J43,0))</f>
        <v>90518.06</v>
      </c>
      <c r="AQ43" s="2">
        <f>((IF((31='V06 Calend 01'!C43),('V06 Calend 01'!F43+'V06 Calend 01'!G43),0)+IF(AND(('V06 Calend 01'!E43&gt;0),(31&gt;'V06 Calend 01'!C43),(31&lt;'V06 Calend 01'!D43),(MOD((31-'V06 Calend 01'!C43),6)=0),(((31-'V06 Calend 01'!C43)/6)&lt;='V06 Calend 01'!E43)),IF((31=('V06 Calend 01'!C43+(6*'V06 Calend 01'!E43))),('V06 Calend 01'!H43-('V06 Calend 01'!I43*('V06 Calend 01'!E43-1))),'V06 Calend 01'!I43),0))+IF((31='V06 Calend 01'!D43),'V06 Calend 01'!J43,0))</f>
        <v>0</v>
      </c>
      <c r="AR43" s="2">
        <f>((IF((32='V06 Calend 01'!C43),('V06 Calend 01'!F43+'V06 Calend 01'!G43),0)+IF(AND(('V06 Calend 01'!E43&gt;0),(32&gt;'V06 Calend 01'!C43),(32&lt;'V06 Calend 01'!D43),(MOD((32-'V06 Calend 01'!C43),6)=0),(((32-'V06 Calend 01'!C43)/6)&lt;='V06 Calend 01'!E43)),IF((32=('V06 Calend 01'!C43+(6*'V06 Calend 01'!E43))),('V06 Calend 01'!H43-('V06 Calend 01'!I43*('V06 Calend 01'!E43-1))),'V06 Calend 01'!I43),0))+IF((32='V06 Calend 01'!D43),'V06 Calend 01'!J43,0))</f>
        <v>0</v>
      </c>
      <c r="AS43" s="2">
        <f>((IF((33='V06 Calend 01'!C43),('V06 Calend 01'!F43+'V06 Calend 01'!G43),0)+IF(AND(('V06 Calend 01'!E43&gt;0),(33&gt;'V06 Calend 01'!C43),(33&lt;'V06 Calend 01'!D43),(MOD((33-'V06 Calend 01'!C43),6)=0),(((33-'V06 Calend 01'!C43)/6)&lt;='V06 Calend 01'!E43)),IF((33=('V06 Calend 01'!C43+(6*'V06 Calend 01'!E43))),('V06 Calend 01'!H43-('V06 Calend 01'!I43*('V06 Calend 01'!E43-1))),'V06 Calend 01'!I43),0))+IF((33='V06 Calend 01'!D43),'V06 Calend 01'!J43,0))</f>
        <v>0</v>
      </c>
      <c r="AT43" s="2">
        <f>((IF((34='V06 Calend 01'!C43),('V06 Calend 01'!F43+'V06 Calend 01'!G43),0)+IF(AND(('V06 Calend 01'!E43&gt;0),(34&gt;'V06 Calend 01'!C43),(34&lt;'V06 Calend 01'!D43),(MOD((34-'V06 Calend 01'!C43),6)=0),(((34-'V06 Calend 01'!C43)/6)&lt;='V06 Calend 01'!E43)),IF((34=('V06 Calend 01'!C43+(6*'V06 Calend 01'!E43))),('V06 Calend 01'!H43-('V06 Calend 01'!I43*('V06 Calend 01'!E43-1))),'V06 Calend 01'!I43),0))+IF((34='V06 Calend 01'!D43),'V06 Calend 01'!J43,0))</f>
        <v>0</v>
      </c>
      <c r="AU43" s="2">
        <f>((IF((35='V06 Calend 01'!C43),('V06 Calend 01'!F43+'V06 Calend 01'!G43),0)+IF(AND(('V06 Calend 01'!E43&gt;0),(35&gt;'V06 Calend 01'!C43),(35&lt;'V06 Calend 01'!D43),(MOD((35-'V06 Calend 01'!C43),6)=0),(((35-'V06 Calend 01'!C43)/6)&lt;='V06 Calend 01'!E43)),IF((35=('V06 Calend 01'!C43+(6*'V06 Calend 01'!E43))),('V06 Calend 01'!H43-('V06 Calend 01'!I43*('V06 Calend 01'!E43-1))),'V06 Calend 01'!I43),0))+IF((35='V06 Calend 01'!D43),'V06 Calend 01'!J43,0))</f>
        <v>0</v>
      </c>
      <c r="AV43" s="2">
        <f>((IF((36='V06 Calend 01'!C43),('V06 Calend 01'!F43+'V06 Calend 01'!G43),0)+IF(AND(('V06 Calend 01'!E43&gt;0),(36&gt;'V06 Calend 01'!C43),(36&lt;'V06 Calend 01'!D43),(MOD((36-'V06 Calend 01'!C43),6)=0),(((36-'V06 Calend 01'!C43)/6)&lt;='V06 Calend 01'!E43)),IF((36=('V06 Calend 01'!C43+(6*'V06 Calend 01'!E43))),('V06 Calend 01'!H43-('V06 Calend 01'!I43*('V06 Calend 01'!E43-1))),'V06 Calend 01'!I43),0))+IF((36='V06 Calend 01'!D43),'V06 Calend 01'!J43,0))</f>
        <v>0</v>
      </c>
      <c r="AW43" s="2">
        <f>((IF((37='V06 Calend 01'!C43),('V06 Calend 01'!F43+'V06 Calend 01'!G43),0)+IF(AND(('V06 Calend 01'!E43&gt;0),(37&gt;'V06 Calend 01'!C43),(37&lt;'V06 Calend 01'!D43),(MOD((37-'V06 Calend 01'!C43),6)=0),(((37-'V06 Calend 01'!C43)/6)&lt;='V06 Calend 01'!E43)),IF((37=('V06 Calend 01'!C43+(6*'V06 Calend 01'!E43))),('V06 Calend 01'!H43-('V06 Calend 01'!I43*('V06 Calend 01'!E43-1))),'V06 Calend 01'!I43),0))+IF((37='V06 Calend 01'!D43),'V06 Calend 01'!J43,0))</f>
        <v>0</v>
      </c>
      <c r="AX43" s="2">
        <f>((IF((38='V06 Calend 01'!C43),('V06 Calend 01'!F43+'V06 Calend 01'!G43),0)+IF(AND(('V06 Calend 01'!E43&gt;0),(38&gt;'V06 Calend 01'!C43),(38&lt;'V06 Calend 01'!D43),(MOD((38-'V06 Calend 01'!C43),6)=0),(((38-'V06 Calend 01'!C43)/6)&lt;='V06 Calend 01'!E43)),IF((38=('V06 Calend 01'!C43+(6*'V06 Calend 01'!E43))),('V06 Calend 01'!H43-('V06 Calend 01'!I43*('V06 Calend 01'!E43-1))),'V06 Calend 01'!I43),0))+IF((38='V06 Calend 01'!D43),'V06 Calend 01'!J43,0))</f>
        <v>0</v>
      </c>
      <c r="AY43" s="2">
        <f>((IF((39='V06 Calend 01'!C43),('V06 Calend 01'!F43+'V06 Calend 01'!G43),0)+IF(AND(('V06 Calend 01'!E43&gt;0),(39&gt;'V06 Calend 01'!C43),(39&lt;'V06 Calend 01'!D43),(MOD((39-'V06 Calend 01'!C43),6)=0),(((39-'V06 Calend 01'!C43)/6)&lt;='V06 Calend 01'!E43)),IF((39=('V06 Calend 01'!C43+(6*'V06 Calend 01'!E43))),('V06 Calend 01'!H43-('V06 Calend 01'!I43*('V06 Calend 01'!E43-1))),'V06 Calend 01'!I43),0))+IF((39='V06 Calend 01'!D43),'V06 Calend 01'!J43,0))</f>
        <v>0</v>
      </c>
      <c r="AZ43" s="2">
        <f>((IF((40='V06 Calend 01'!C43),('V06 Calend 01'!F43+'V06 Calend 01'!G43),0)+IF(AND(('V06 Calend 01'!E43&gt;0),(40&gt;'V06 Calend 01'!C43),(40&lt;'V06 Calend 01'!D43),(MOD((40-'V06 Calend 01'!C43),6)=0),(((40-'V06 Calend 01'!C43)/6)&lt;='V06 Calend 01'!E43)),IF((40=('V06 Calend 01'!C43+(6*'V06 Calend 01'!E43))),('V06 Calend 01'!H43-('V06 Calend 01'!I43*('V06 Calend 01'!E43-1))),'V06 Calend 01'!I43),0))+IF((40='V06 Calend 01'!D43),'V06 Calend 01'!J43,0))</f>
        <v>0</v>
      </c>
      <c r="BA43" s="2">
        <f>((IF((41='V06 Calend 01'!C43),('V06 Calend 01'!F43+'V06 Calend 01'!G43),0)+IF(AND(('V06 Calend 01'!E43&gt;0),(41&gt;'V06 Calend 01'!C43),(41&lt;'V06 Calend 01'!D43),(MOD((41-'V06 Calend 01'!C43),6)=0),(((41-'V06 Calend 01'!C43)/6)&lt;='V06 Calend 01'!E43)),IF((41=('V06 Calend 01'!C43+(6*'V06 Calend 01'!E43))),('V06 Calend 01'!H43-('V06 Calend 01'!I43*('V06 Calend 01'!E43-1))),'V06 Calend 01'!I43),0))+IF((41='V06 Calend 01'!D43),'V06 Calend 01'!J43,0))</f>
        <v>0</v>
      </c>
      <c r="BB43" s="2">
        <f>((IF((42='V06 Calend 01'!C43),('V06 Calend 01'!F43+'V06 Calend 01'!G43),0)+IF(AND(('V06 Calend 01'!E43&gt;0),(42&gt;'V06 Calend 01'!C43),(42&lt;'V06 Calend 01'!D43),(MOD((42-'V06 Calend 01'!C43),6)=0),(((42-'V06 Calend 01'!C43)/6)&lt;='V06 Calend 01'!E43)),IF((42=('V06 Calend 01'!C43+(6*'V06 Calend 01'!E43))),('V06 Calend 01'!H43-('V06 Calend 01'!I43*('V06 Calend 01'!E43-1))),'V06 Calend 01'!I43),0))+IF((42='V06 Calend 01'!D43),'V06 Calend 01'!J43,0))</f>
        <v>0</v>
      </c>
      <c r="BC43" s="2">
        <f>((IF((43='V06 Calend 01'!C43),('V06 Calend 01'!F43+'V06 Calend 01'!G43),0)+IF(AND(('V06 Calend 01'!E43&gt;0),(43&gt;'V06 Calend 01'!C43),(43&lt;'V06 Calend 01'!D43),(MOD((43-'V06 Calend 01'!C43),6)=0),(((43-'V06 Calend 01'!C43)/6)&lt;='V06 Calend 01'!E43)),IF((43=('V06 Calend 01'!C43+(6*'V06 Calend 01'!E43))),('V06 Calend 01'!H43-('V06 Calend 01'!I43*('V06 Calend 01'!E43-1))),'V06 Calend 01'!I43),0))+IF((43='V06 Calend 01'!D43),'V06 Calend 01'!J43,0))</f>
        <v>0</v>
      </c>
      <c r="BD43" s="2">
        <f>((IF((44='V06 Calend 01'!C43),('V06 Calend 01'!F43+'V06 Calend 01'!G43),0)+IF(AND(('V06 Calend 01'!E43&gt;0),(44&gt;'V06 Calend 01'!C43),(44&lt;'V06 Calend 01'!D43),(MOD((44-'V06 Calend 01'!C43),6)=0),(((44-'V06 Calend 01'!C43)/6)&lt;='V06 Calend 01'!E43)),IF((44=('V06 Calend 01'!C43+(6*'V06 Calend 01'!E43))),('V06 Calend 01'!H43-('V06 Calend 01'!I43*('V06 Calend 01'!E43-1))),'V06 Calend 01'!I43),0))+IF((44='V06 Calend 01'!D43),'V06 Calend 01'!J43,0))</f>
        <v>0</v>
      </c>
      <c r="BE43" s="2">
        <f>((IF((45='V06 Calend 01'!C43),('V06 Calend 01'!F43+'V06 Calend 01'!G43),0)+IF(AND(('V06 Calend 01'!E43&gt;0),(45&gt;'V06 Calend 01'!C43),(45&lt;'V06 Calend 01'!D43),(MOD((45-'V06 Calend 01'!C43),6)=0),(((45-'V06 Calend 01'!C43)/6)&lt;='V06 Calend 01'!E43)),IF((45=('V06 Calend 01'!C43+(6*'V06 Calend 01'!E43))),('V06 Calend 01'!H43-('V06 Calend 01'!I43*('V06 Calend 01'!E43-1))),'V06 Calend 01'!I43),0))+IF((45='V06 Calend 01'!D43),'V06 Calend 01'!J43,0))</f>
        <v>0</v>
      </c>
      <c r="BF43" s="2">
        <f>((IF((46='V06 Calend 01'!C43),('V06 Calend 01'!F43+'V06 Calend 01'!G43),0)+IF(AND(('V06 Calend 01'!E43&gt;0),(46&gt;'V06 Calend 01'!C43),(46&lt;'V06 Calend 01'!D43),(MOD((46-'V06 Calend 01'!C43),6)=0),(((46-'V06 Calend 01'!C43)/6)&lt;='V06 Calend 01'!E43)),IF((46=('V06 Calend 01'!C43+(6*'V06 Calend 01'!E43))),('V06 Calend 01'!H43-('V06 Calend 01'!I43*('V06 Calend 01'!E43-1))),'V06 Calend 01'!I43),0))+IF((46='V06 Calend 01'!D43),'V06 Calend 01'!J43,0))</f>
        <v>0</v>
      </c>
      <c r="BG43" s="2">
        <f>((IF((47='V06 Calend 01'!C43),('V06 Calend 01'!F43+'V06 Calend 01'!G43),0)+IF(AND(('V06 Calend 01'!E43&gt;0),(47&gt;'V06 Calend 01'!C43),(47&lt;'V06 Calend 01'!D43),(MOD((47-'V06 Calend 01'!C43),6)=0),(((47-'V06 Calend 01'!C43)/6)&lt;='V06 Calend 01'!E43)),IF((47=('V06 Calend 01'!C43+(6*'V06 Calend 01'!E43))),('V06 Calend 01'!H43-('V06 Calend 01'!I43*('V06 Calend 01'!E43-1))),'V06 Calend 01'!I43),0))+IF((47='V06 Calend 01'!D43),'V06 Calend 01'!J43,0))</f>
        <v>0</v>
      </c>
      <c r="BH43" s="2">
        <f>((IF((48='V06 Calend 01'!C43),('V06 Calend 01'!F43+'V06 Calend 01'!G43),0)+IF(AND(('V06 Calend 01'!E43&gt;0),(48&gt;'V06 Calend 01'!C43),(48&lt;'V06 Calend 01'!D43),(MOD((48-'V06 Calend 01'!C43),6)=0),(((48-'V06 Calend 01'!C43)/6)&lt;='V06 Calend 01'!E43)),IF((48=('V06 Calend 01'!C43+(6*'V06 Calend 01'!E43))),('V06 Calend 01'!H43-('V06 Calend 01'!I43*('V06 Calend 01'!E43-1))),'V06 Calend 01'!I43),0))+IF((48='V06 Calend 01'!D43),'V06 Calend 01'!J43,0))</f>
        <v>0</v>
      </c>
      <c r="BI43" s="2">
        <f>((IF((49='V06 Calend 01'!C43),('V06 Calend 01'!F43+'V06 Calend 01'!G43),0)+IF(AND(('V06 Calend 01'!E43&gt;0),(49&gt;'V06 Calend 01'!C43),(49&lt;'V06 Calend 01'!D43),(MOD((49-'V06 Calend 01'!C43),6)=0),(((49-'V06 Calend 01'!C43)/6)&lt;='V06 Calend 01'!E43)),IF((49=('V06 Calend 01'!C43+(6*'V06 Calend 01'!E43))),('V06 Calend 01'!H43-('V06 Calend 01'!I43*('V06 Calend 01'!E43-1))),'V06 Calend 01'!I43),0))+IF((49='V06 Calend 01'!D43),'V06 Calend 01'!J43,0))</f>
        <v>0</v>
      </c>
      <c r="BJ43" s="2">
        <f>((IF((50='V06 Calend 01'!C43),('V06 Calend 01'!F43+'V06 Calend 01'!G43),0)+IF(AND(('V06 Calend 01'!E43&gt;0),(50&gt;'V06 Calend 01'!C43),(50&lt;'V06 Calend 01'!D43),(MOD((50-'V06 Calend 01'!C43),6)=0),(((50-'V06 Calend 01'!C43)/6)&lt;='V06 Calend 01'!E43)),IF((50=('V06 Calend 01'!C43+(6*'V06 Calend 01'!E43))),('V06 Calend 01'!H43-('V06 Calend 01'!I43*('V06 Calend 01'!E43-1))),'V06 Calend 01'!I43),0))+IF((50='V06 Calend 01'!D43),'V06 Calend 01'!J43,0))</f>
        <v>0</v>
      </c>
      <c r="BK43" s="2">
        <f>((IF((51='V06 Calend 01'!C43),('V06 Calend 01'!F43+'V06 Calend 01'!G43),0)+IF(AND(('V06 Calend 01'!E43&gt;0),(51&gt;'V06 Calend 01'!C43),(51&lt;'V06 Calend 01'!D43),(MOD((51-'V06 Calend 01'!C43),6)=0),(((51-'V06 Calend 01'!C43)/6)&lt;='V06 Calend 01'!E43)),IF((51=('V06 Calend 01'!C43+(6*'V06 Calend 01'!E43))),('V06 Calend 01'!H43-('V06 Calend 01'!I43*('V06 Calend 01'!E43-1))),'V06 Calend 01'!I43),0))+IF((51='V06 Calend 01'!D43),'V06 Calend 01'!J43,0))</f>
        <v>0</v>
      </c>
      <c r="BL43" s="2">
        <f>((IF((52='V06 Calend 01'!C43),('V06 Calend 01'!F43+'V06 Calend 01'!G43),0)+IF(AND(('V06 Calend 01'!E43&gt;0),(52&gt;'V06 Calend 01'!C43),(52&lt;'V06 Calend 01'!D43),(MOD((52-'V06 Calend 01'!C43),6)=0),(((52-'V06 Calend 01'!C43)/6)&lt;='V06 Calend 01'!E43)),IF((52=('V06 Calend 01'!C43+(6*'V06 Calend 01'!E43))),('V06 Calend 01'!H43-('V06 Calend 01'!I43*('V06 Calend 01'!E43-1))),'V06 Calend 01'!I43),0))+IF((52='V06 Calend 01'!D43),'V06 Calend 01'!J43,0))</f>
        <v>0</v>
      </c>
      <c r="BM43" s="2">
        <f>((IF((53='V06 Calend 01'!C43),('V06 Calend 01'!F43+'V06 Calend 01'!G43),0)+IF(AND(('V06 Calend 01'!E43&gt;0),(53&gt;'V06 Calend 01'!C43),(53&lt;'V06 Calend 01'!D43),(MOD((53-'V06 Calend 01'!C43),6)=0),(((53-'V06 Calend 01'!C43)/6)&lt;='V06 Calend 01'!E43)),IF((53=('V06 Calend 01'!C43+(6*'V06 Calend 01'!E43))),('V06 Calend 01'!H43-('V06 Calend 01'!I43*('V06 Calend 01'!E43-1))),'V06 Calend 01'!I43),0))+IF((53='V06 Calend 01'!D43),'V06 Calend 01'!J43,0))</f>
        <v>0</v>
      </c>
      <c r="BN43" s="2">
        <f>((IF((54='V06 Calend 01'!C43),('V06 Calend 01'!F43+'V06 Calend 01'!G43),0)+IF(AND(('V06 Calend 01'!E43&gt;0),(54&gt;'V06 Calend 01'!C43),(54&lt;'V06 Calend 01'!D43),(MOD((54-'V06 Calend 01'!C43),6)=0),(((54-'V06 Calend 01'!C43)/6)&lt;='V06 Calend 01'!E43)),IF((54=('V06 Calend 01'!C43+(6*'V06 Calend 01'!E43))),('V06 Calend 01'!H43-('V06 Calend 01'!I43*('V06 Calend 01'!E43-1))),'V06 Calend 01'!I43),0))+IF((54='V06 Calend 01'!D43),'V06 Calend 01'!J43,0))</f>
        <v>0</v>
      </c>
      <c r="BO43" s="2">
        <f>((IF((55='V06 Calend 01'!C43),('V06 Calend 01'!F43+'V06 Calend 01'!G43),0)+IF(AND(('V06 Calend 01'!E43&gt;0),(55&gt;'V06 Calend 01'!C43),(55&lt;'V06 Calend 01'!D43),(MOD((55-'V06 Calend 01'!C43),6)=0),(((55-'V06 Calend 01'!C43)/6)&lt;='V06 Calend 01'!E43)),IF((55=('V06 Calend 01'!C43+(6*'V06 Calend 01'!E43))),('V06 Calend 01'!H43-('V06 Calend 01'!I43*('V06 Calend 01'!E43-1))),'V06 Calend 01'!I43),0))+IF((55='V06 Calend 01'!D43),'V06 Calend 01'!J43,0))</f>
        <v>0</v>
      </c>
      <c r="BP43" s="2">
        <f>((IF((56='V06 Calend 01'!C43),('V06 Calend 01'!F43+'V06 Calend 01'!G43),0)+IF(AND(('V06 Calend 01'!E43&gt;0),(56&gt;'V06 Calend 01'!C43),(56&lt;'V06 Calend 01'!D43),(MOD((56-'V06 Calend 01'!C43),6)=0),(((56-'V06 Calend 01'!C43)/6)&lt;='V06 Calend 01'!E43)),IF((56=('V06 Calend 01'!C43+(6*'V06 Calend 01'!E43))),('V06 Calend 01'!H43-('V06 Calend 01'!I43*('V06 Calend 01'!E43-1))),'V06 Calend 01'!I43),0))+IF((56='V06 Calend 01'!D43),'V06 Calend 01'!J43,0))</f>
        <v>0</v>
      </c>
      <c r="BQ43" s="2">
        <f>((IF((57='V06 Calend 01'!C43),('V06 Calend 01'!F43+'V06 Calend 01'!G43),0)+IF(AND(('V06 Calend 01'!E43&gt;0),(57&gt;'V06 Calend 01'!C43),(57&lt;'V06 Calend 01'!D43),(MOD((57-'V06 Calend 01'!C43),6)=0),(((57-'V06 Calend 01'!C43)/6)&lt;='V06 Calend 01'!E43)),IF((57=('V06 Calend 01'!C43+(6*'V06 Calend 01'!E43))),('V06 Calend 01'!H43-('V06 Calend 01'!I43*('V06 Calend 01'!E43-1))),'V06 Calend 01'!I43),0))+IF((57='V06 Calend 01'!D43),'V06 Calend 01'!J43,0))</f>
        <v>0</v>
      </c>
      <c r="BR43" s="2">
        <f>((IF((58='V06 Calend 01'!C43),('V06 Calend 01'!F43+'V06 Calend 01'!G43),0)+IF(AND(('V06 Calend 01'!E43&gt;0),(58&gt;'V06 Calend 01'!C43),(58&lt;'V06 Calend 01'!D43),(MOD((58-'V06 Calend 01'!C43),6)=0),(((58-'V06 Calend 01'!C43)/6)&lt;='V06 Calend 01'!E43)),IF((58=('V06 Calend 01'!C43+(6*'V06 Calend 01'!E43))),('V06 Calend 01'!H43-('V06 Calend 01'!I43*('V06 Calend 01'!E43-1))),'V06 Calend 01'!I43),0))+IF((58='V06 Calend 01'!D43),'V06 Calend 01'!J43,0))</f>
        <v>0</v>
      </c>
      <c r="BS43" s="2">
        <f>((IF((59='V06 Calend 01'!C43),('V06 Calend 01'!F43+'V06 Calend 01'!G43),0)+IF(AND(('V06 Calend 01'!E43&gt;0),(59&gt;'V06 Calend 01'!C43),(59&lt;'V06 Calend 01'!D43),(MOD((59-'V06 Calend 01'!C43),6)=0),(((59-'V06 Calend 01'!C43)/6)&lt;='V06 Calend 01'!E43)),IF((59=('V06 Calend 01'!C43+(6*'V06 Calend 01'!E43))),('V06 Calend 01'!H43-('V06 Calend 01'!I43*('V06 Calend 01'!E43-1))),'V06 Calend 01'!I43),0))+IF((59='V06 Calend 01'!D43),'V06 Calend 01'!J43,0))</f>
        <v>0</v>
      </c>
      <c r="BT43" s="2">
        <f>((IF((60='V06 Calend 01'!C43),('V06 Calend 01'!F43+'V06 Calend 01'!G43),0)+IF(AND(('V06 Calend 01'!E43&gt;0),(60&gt;'V06 Calend 01'!C43),(60&lt;'V06 Calend 01'!D43),(MOD((60-'V06 Calend 01'!C43),6)=0),(((60-'V06 Calend 01'!C43)/6)&lt;='V06 Calend 01'!E43)),IF((60=('V06 Calend 01'!C43+(6*'V06 Calend 01'!E43))),('V06 Calend 01'!H43-('V06 Calend 01'!I43*('V06 Calend 01'!E43-1))),'V06 Calend 01'!I43),0))+IF((60='V06 Calend 01'!D43),'V06 Calend 01'!J43,0))</f>
        <v>0</v>
      </c>
      <c r="BU43" s="2">
        <f>((IF((61='V06 Calend 01'!C43),('V06 Calend 01'!F43+'V06 Calend 01'!G43),0)+IF(AND(('V06 Calend 01'!E43&gt;0),(61&gt;'V06 Calend 01'!C43),(61&lt;'V06 Calend 01'!D43),(MOD((61-'V06 Calend 01'!C43),6)=0),(((61-'V06 Calend 01'!C43)/6)&lt;='V06 Calend 01'!E43)),IF((61=('V06 Calend 01'!C43+(6*'V06 Calend 01'!E43))),('V06 Calend 01'!H43-('V06 Calend 01'!I43*('V06 Calend 01'!E43-1))),'V06 Calend 01'!I43),0))+IF((61='V06 Calend 01'!D43),'V06 Calend 01'!J43,0))</f>
        <v>0</v>
      </c>
      <c r="BV43" s="2">
        <f>((IF((62='V06 Calend 01'!C43),('V06 Calend 01'!F43+'V06 Calend 01'!G43),0)+IF(AND(('V06 Calend 01'!E43&gt;0),(62&gt;'V06 Calend 01'!C43),(62&lt;'V06 Calend 01'!D43),(MOD((62-'V06 Calend 01'!C43),6)=0),(((62-'V06 Calend 01'!C43)/6)&lt;='V06 Calend 01'!E43)),IF((62=('V06 Calend 01'!C43+(6*'V06 Calend 01'!E43))),('V06 Calend 01'!H43-('V06 Calend 01'!I43*('V06 Calend 01'!E43-1))),'V06 Calend 01'!I43),0))+IF((62='V06 Calend 01'!D43),'V06 Calend 01'!J43,0))</f>
        <v>0</v>
      </c>
      <c r="BW43" s="2">
        <f>((IF((63='V06 Calend 01'!C43),('V06 Calend 01'!F43+'V06 Calend 01'!G43),0)+IF(AND(('V06 Calend 01'!E43&gt;0),(63&gt;'V06 Calend 01'!C43),(63&lt;'V06 Calend 01'!D43),(MOD((63-'V06 Calend 01'!C43),6)=0),(((63-'V06 Calend 01'!C43)/6)&lt;='V06 Calend 01'!E43)),IF((63=('V06 Calend 01'!C43+(6*'V06 Calend 01'!E43))),('V06 Calend 01'!H43-('V06 Calend 01'!I43*('V06 Calend 01'!E43-1))),'V06 Calend 01'!I43),0))+IF((63='V06 Calend 01'!D43),'V06 Calend 01'!J43,0))</f>
        <v>0</v>
      </c>
      <c r="BX43" s="2">
        <f>((IF((64='V06 Calend 01'!C43),('V06 Calend 01'!F43+'V06 Calend 01'!G43),0)+IF(AND(('V06 Calend 01'!E43&gt;0),(64&gt;'V06 Calend 01'!C43),(64&lt;'V06 Calend 01'!D43),(MOD((64-'V06 Calend 01'!C43),6)=0),(((64-'V06 Calend 01'!C43)/6)&lt;='V06 Calend 01'!E43)),IF((64=('V06 Calend 01'!C43+(6*'V06 Calend 01'!E43))),('V06 Calend 01'!H43-('V06 Calend 01'!I43*('V06 Calend 01'!E43-1))),'V06 Calend 01'!I43),0))+IF((64='V06 Calend 01'!D43),'V06 Calend 01'!J43,0))</f>
        <v>0</v>
      </c>
      <c r="BY43" s="2">
        <f>((IF((65='V06 Calend 01'!C43),('V06 Calend 01'!F43+'V06 Calend 01'!G43),0)+IF(AND(('V06 Calend 01'!E43&gt;0),(65&gt;'V06 Calend 01'!C43),(65&lt;'V06 Calend 01'!D43),(MOD((65-'V06 Calend 01'!C43),6)=0),(((65-'V06 Calend 01'!C43)/6)&lt;='V06 Calend 01'!E43)),IF((65=('V06 Calend 01'!C43+(6*'V06 Calend 01'!E43))),('V06 Calend 01'!H43-('V06 Calend 01'!I43*('V06 Calend 01'!E43-1))),'V06 Calend 01'!I43),0))+IF((65='V06 Calend 01'!D43),'V06 Calend 01'!J43,0))</f>
        <v>0</v>
      </c>
      <c r="BZ43" s="2">
        <f>((IF((66='V06 Calend 01'!C43),('V06 Calend 01'!F43+'V06 Calend 01'!G43),0)+IF(AND(('V06 Calend 01'!E43&gt;0),(66&gt;'V06 Calend 01'!C43),(66&lt;'V06 Calend 01'!D43),(MOD((66-'V06 Calend 01'!C43),6)=0),(((66-'V06 Calend 01'!C43)/6)&lt;='V06 Calend 01'!E43)),IF((66=('V06 Calend 01'!C43+(6*'V06 Calend 01'!E43))),('V06 Calend 01'!H43-('V06 Calend 01'!I43*('V06 Calend 01'!E43-1))),'V06 Calend 01'!I43),0))+IF((66='V06 Calend 01'!D43),'V06 Calend 01'!J43,0))</f>
        <v>0</v>
      </c>
      <c r="CA43" s="2">
        <f>((IF((67='V06 Calend 01'!C43),('V06 Calend 01'!F43+'V06 Calend 01'!G43),0)+IF(AND(('V06 Calend 01'!E43&gt;0),(67&gt;'V06 Calend 01'!C43),(67&lt;'V06 Calend 01'!D43),(MOD((67-'V06 Calend 01'!C43),6)=0),(((67-'V06 Calend 01'!C43)/6)&lt;='V06 Calend 01'!E43)),IF((67=('V06 Calend 01'!C43+(6*'V06 Calend 01'!E43))),('V06 Calend 01'!H43-('V06 Calend 01'!I43*('V06 Calend 01'!E43-1))),'V06 Calend 01'!I43),0))+IF((67='V06 Calend 01'!D43),'V06 Calend 01'!J43,0))</f>
        <v>0</v>
      </c>
      <c r="CB43" s="2">
        <f>((IF((68='V06 Calend 01'!C43),('V06 Calend 01'!F43+'V06 Calend 01'!G43),0)+IF(AND(('V06 Calend 01'!E43&gt;0),(68&gt;'V06 Calend 01'!C43),(68&lt;'V06 Calend 01'!D43),(MOD((68-'V06 Calend 01'!C43),6)=0),(((68-'V06 Calend 01'!C43)/6)&lt;='V06 Calend 01'!E43)),IF((68=('V06 Calend 01'!C43+(6*'V06 Calend 01'!E43))),('V06 Calend 01'!H43-('V06 Calend 01'!I43*('V06 Calend 01'!E43-1))),'V06 Calend 01'!I43),0))+IF((68='V06 Calend 01'!D43),'V06 Calend 01'!J43,0))</f>
        <v>0</v>
      </c>
      <c r="CC43" s="2">
        <f>((IF((69='V06 Calend 01'!C43),('V06 Calend 01'!F43+'V06 Calend 01'!G43),0)+IF(AND(('V06 Calend 01'!E43&gt;0),(69&gt;'V06 Calend 01'!C43),(69&lt;'V06 Calend 01'!D43),(MOD((69-'V06 Calend 01'!C43),6)=0),(((69-'V06 Calend 01'!C43)/6)&lt;='V06 Calend 01'!E43)),IF((69=('V06 Calend 01'!C43+(6*'V06 Calend 01'!E43))),('V06 Calend 01'!H43-('V06 Calend 01'!I43*('V06 Calend 01'!E43-1))),'V06 Calend 01'!I43),0))+IF((69='V06 Calend 01'!D43),'V06 Calend 01'!J43,0))</f>
        <v>0</v>
      </c>
      <c r="CD43" s="2">
        <f>((IF((70='V06 Calend 01'!C43),('V06 Calend 01'!F43+'V06 Calend 01'!G43),0)+IF(AND(('V06 Calend 01'!E43&gt;0),(70&gt;'V06 Calend 01'!C43),(70&lt;'V06 Calend 01'!D43),(MOD((70-'V06 Calend 01'!C43),6)=0),(((70-'V06 Calend 01'!C43)/6)&lt;='V06 Calend 01'!E43)),IF((70=('V06 Calend 01'!C43+(6*'V06 Calend 01'!E43))),('V06 Calend 01'!H43-('V06 Calend 01'!I43*('V06 Calend 01'!E43-1))),'V06 Calend 01'!I43),0))+IF((70='V06 Calend 01'!D43),'V06 Calend 01'!J43,0))</f>
        <v>0</v>
      </c>
      <c r="CE43" s="2">
        <f>((IF((71='V06 Calend 01'!C43),('V06 Calend 01'!F43+'V06 Calend 01'!G43),0)+IF(AND(('V06 Calend 01'!E43&gt;0),(71&gt;'V06 Calend 01'!C43),(71&lt;'V06 Calend 01'!D43),(MOD((71-'V06 Calend 01'!C43),6)=0),(((71-'V06 Calend 01'!C43)/6)&lt;='V06 Calend 01'!E43)),IF((71=('V06 Calend 01'!C43+(6*'V06 Calend 01'!E43))),('V06 Calend 01'!H43-('V06 Calend 01'!I43*('V06 Calend 01'!E43-1))),'V06 Calend 01'!I43),0))+IF((71='V06 Calend 01'!D43),'V06 Calend 01'!J43,0))</f>
        <v>0</v>
      </c>
      <c r="CF43" s="2">
        <f>((IF((72='V06 Calend 01'!C43),('V06 Calend 01'!F43+'V06 Calend 01'!G43),0)+IF(AND(('V06 Calend 01'!E43&gt;0),(72&gt;'V06 Calend 01'!C43),(72&lt;'V06 Calend 01'!D43),(MOD((72-'V06 Calend 01'!C43),6)=0),(((72-'V06 Calend 01'!C43)/6)&lt;='V06 Calend 01'!E43)),IF((72=('V06 Calend 01'!C43+(6*'V06 Calend 01'!E43))),('V06 Calend 01'!H43-('V06 Calend 01'!I43*('V06 Calend 01'!E43-1))),'V06 Calend 01'!I43),0))+IF((72='V06 Calend 01'!D43),'V06 Calend 01'!J43,0))</f>
        <v>0</v>
      </c>
      <c r="CG43" s="2">
        <f>((IF((73='V06 Calend 01'!C43),('V06 Calend 01'!F43+'V06 Calend 01'!G43),0)+IF(AND(('V06 Calend 01'!E43&gt;0),(73&gt;'V06 Calend 01'!C43),(73&lt;'V06 Calend 01'!D43),(MOD((73-'V06 Calend 01'!C43),6)=0),(((73-'V06 Calend 01'!C43)/6)&lt;='V06 Calend 01'!E43)),IF((73=('V06 Calend 01'!C43+(6*'V06 Calend 01'!E43))),('V06 Calend 01'!H43-('V06 Calend 01'!I43*('V06 Calend 01'!E43-1))),'V06 Calend 01'!I43),0))+IF((73='V06 Calend 01'!D43),'V06 Calend 01'!J43,0))</f>
        <v>0</v>
      </c>
      <c r="CH43" s="2">
        <f>((IF((74='V06 Calend 01'!C43),('V06 Calend 01'!F43+'V06 Calend 01'!G43),0)+IF(AND(('V06 Calend 01'!E43&gt;0),(74&gt;'V06 Calend 01'!C43),(74&lt;'V06 Calend 01'!D43),(MOD((74-'V06 Calend 01'!C43),6)=0),(((74-'V06 Calend 01'!C43)/6)&lt;='V06 Calend 01'!E43)),IF((74=('V06 Calend 01'!C43+(6*'V06 Calend 01'!E43))),('V06 Calend 01'!H43-('V06 Calend 01'!I43*('V06 Calend 01'!E43-1))),'V06 Calend 01'!I43),0))+IF((74='V06 Calend 01'!D43),'V06 Calend 01'!J43,0))</f>
        <v>0</v>
      </c>
      <c r="CI43" s="2">
        <f>((IF((75='V06 Calend 01'!C43),('V06 Calend 01'!F43+'V06 Calend 01'!G43),0)+IF(AND(('V06 Calend 01'!E43&gt;0),(75&gt;'V06 Calend 01'!C43),(75&lt;'V06 Calend 01'!D43),(MOD((75-'V06 Calend 01'!C43),6)=0),(((75-'V06 Calend 01'!C43)/6)&lt;='V06 Calend 01'!E43)),IF((75=('V06 Calend 01'!C43+(6*'V06 Calend 01'!E43))),('V06 Calend 01'!H43-('V06 Calend 01'!I43*('V06 Calend 01'!E43-1))),'V06 Calend 01'!I43),0))+IF((75='V06 Calend 01'!D43),'V06 Calend 01'!J43,0))</f>
        <v>0</v>
      </c>
      <c r="CJ43" s="2">
        <f>((IF((76='V06 Calend 01'!C43),('V06 Calend 01'!F43+'V06 Calend 01'!G43),0)+IF(AND(('V06 Calend 01'!E43&gt;0),(76&gt;'V06 Calend 01'!C43),(76&lt;'V06 Calend 01'!D43),(MOD((76-'V06 Calend 01'!C43),6)=0),(((76-'V06 Calend 01'!C43)/6)&lt;='V06 Calend 01'!E43)),IF((76=('V06 Calend 01'!C43+(6*'V06 Calend 01'!E43))),('V06 Calend 01'!H43-('V06 Calend 01'!I43*('V06 Calend 01'!E43-1))),'V06 Calend 01'!I43),0))+IF((76='V06 Calend 01'!D43),'V06 Calend 01'!J43,0))</f>
        <v>0</v>
      </c>
      <c r="CK43" s="2">
        <f>((IF((77='V06 Calend 01'!C43),('V06 Calend 01'!F43+'V06 Calend 01'!G43),0)+IF(AND(('V06 Calend 01'!E43&gt;0),(77&gt;'V06 Calend 01'!C43),(77&lt;'V06 Calend 01'!D43),(MOD((77-'V06 Calend 01'!C43),6)=0),(((77-'V06 Calend 01'!C43)/6)&lt;='V06 Calend 01'!E43)),IF((77=('V06 Calend 01'!C43+(6*'V06 Calend 01'!E43))),('V06 Calend 01'!H43-('V06 Calend 01'!I43*('V06 Calend 01'!E43-1))),'V06 Calend 01'!I43),0))+IF((77='V06 Calend 01'!D43),'V06 Calend 01'!J43,0))</f>
        <v>0</v>
      </c>
      <c r="CL43" s="2">
        <f>((IF((78='V06 Calend 01'!C43),('V06 Calend 01'!F43+'V06 Calend 01'!G43),0)+IF(AND(('V06 Calend 01'!E43&gt;0),(78&gt;'V06 Calend 01'!C43),(78&lt;'V06 Calend 01'!D43),(MOD((78-'V06 Calend 01'!C43),6)=0),(((78-'V06 Calend 01'!C43)/6)&lt;='V06 Calend 01'!E43)),IF((78=('V06 Calend 01'!C43+(6*'V06 Calend 01'!E43))),('V06 Calend 01'!H43-('V06 Calend 01'!I43*('V06 Calend 01'!E43-1))),'V06 Calend 01'!I43),0))+IF((78='V06 Calend 01'!D43),'V06 Calend 01'!J43,0))</f>
        <v>0</v>
      </c>
      <c r="CM43" s="2">
        <f>((IF((79='V06 Calend 01'!C43),('V06 Calend 01'!F43+'V06 Calend 01'!G43),0)+IF(AND(('V06 Calend 01'!E43&gt;0),(79&gt;'V06 Calend 01'!C43),(79&lt;'V06 Calend 01'!D43),(MOD((79-'V06 Calend 01'!C43),6)=0),(((79-'V06 Calend 01'!C43)/6)&lt;='V06 Calend 01'!E43)),IF((79=('V06 Calend 01'!C43+(6*'V06 Calend 01'!E43))),('V06 Calend 01'!H43-('V06 Calend 01'!I43*('V06 Calend 01'!E43-1))),'V06 Calend 01'!I43),0))+IF((79='V06 Calend 01'!D43),'V06 Calend 01'!J43,0))</f>
        <v>0</v>
      </c>
      <c r="CN43" s="2">
        <f>((IF((80='V06 Calend 01'!C43),('V06 Calend 01'!F43+'V06 Calend 01'!G43),0)+IF(AND(('V06 Calend 01'!E43&gt;0),(80&gt;'V06 Calend 01'!C43),(80&lt;'V06 Calend 01'!D43),(MOD((80-'V06 Calend 01'!C43),6)=0),(((80-'V06 Calend 01'!C43)/6)&lt;='V06 Calend 01'!E43)),IF((80=('V06 Calend 01'!C43+(6*'V06 Calend 01'!E43))),('V06 Calend 01'!H43-('V06 Calend 01'!I43*('V06 Calend 01'!E43-1))),'V06 Calend 01'!I43),0))+IF((80='V06 Calend 01'!D43),'V06 Calend 01'!J43,0))</f>
        <v>0</v>
      </c>
      <c r="CO43" s="2">
        <f>((IF((81='V06 Calend 01'!C43),('V06 Calend 01'!F43+'V06 Calend 01'!G43),0)+IF(AND(('V06 Calend 01'!E43&gt;0),(81&gt;'V06 Calend 01'!C43),(81&lt;'V06 Calend 01'!D43),(MOD((81-'V06 Calend 01'!C43),6)=0),(((81-'V06 Calend 01'!C43)/6)&lt;='V06 Calend 01'!E43)),IF((81=('V06 Calend 01'!C43+(6*'V06 Calend 01'!E43))),('V06 Calend 01'!H43-('V06 Calend 01'!I43*('V06 Calend 01'!E43-1))),'V06 Calend 01'!I43),0))+IF((81='V06 Calend 01'!D43),'V06 Calend 01'!J43,0))</f>
        <v>0</v>
      </c>
      <c r="CP43" s="2">
        <f>((IF((82='V06 Calend 01'!C43),('V06 Calend 01'!F43+'V06 Calend 01'!G43),0)+IF(AND(('V06 Calend 01'!E43&gt;0),(82&gt;'V06 Calend 01'!C43),(82&lt;'V06 Calend 01'!D43),(MOD((82-'V06 Calend 01'!C43),6)=0),(((82-'V06 Calend 01'!C43)/6)&lt;='V06 Calend 01'!E43)),IF((82=('V06 Calend 01'!C43+(6*'V06 Calend 01'!E43))),('V06 Calend 01'!H43-('V06 Calend 01'!I43*('V06 Calend 01'!E43-1))),'V06 Calend 01'!I43),0))+IF((82='V06 Calend 01'!D43),'V06 Calend 01'!J43,0))</f>
        <v>0</v>
      </c>
      <c r="CQ43" s="2">
        <f>((IF((83='V06 Calend 01'!C43),('V06 Calend 01'!F43+'V06 Calend 01'!G43),0)+IF(AND(('V06 Calend 01'!E43&gt;0),(83&gt;'V06 Calend 01'!C43),(83&lt;'V06 Calend 01'!D43),(MOD((83-'V06 Calend 01'!C43),6)=0),(((83-'V06 Calend 01'!C43)/6)&lt;='V06 Calend 01'!E43)),IF((83=('V06 Calend 01'!C43+(6*'V06 Calend 01'!E43))),('V06 Calend 01'!H43-('V06 Calend 01'!I43*('V06 Calend 01'!E43-1))),'V06 Calend 01'!I43),0))+IF((83='V06 Calend 01'!D43),'V06 Calend 01'!J43,0))</f>
        <v>0</v>
      </c>
      <c r="CR43" s="2">
        <f>((IF((84='V06 Calend 01'!C43),('V06 Calend 01'!F43+'V06 Calend 01'!G43),0)+IF(AND(('V06 Calend 01'!E43&gt;0),(84&gt;'V06 Calend 01'!C43),(84&lt;'V06 Calend 01'!D43),(MOD((84-'V06 Calend 01'!C43),6)=0),(((84-'V06 Calend 01'!C43)/6)&lt;='V06 Calend 01'!E43)),IF((84=('V06 Calend 01'!C43+(6*'V06 Calend 01'!E43))),('V06 Calend 01'!H43-('V06 Calend 01'!I43*('V06 Calend 01'!E43-1))),'V06 Calend 01'!I43),0))+IF((84='V06 Calend 01'!D43),'V06 Calend 01'!J43,0))</f>
        <v>0</v>
      </c>
      <c r="CS43" s="2">
        <f>((IF((85='V06 Calend 01'!C43),('V06 Calend 01'!F43+'V06 Calend 01'!G43),0)+IF(AND(('V06 Calend 01'!E43&gt;0),(85&gt;'V06 Calend 01'!C43),(85&lt;'V06 Calend 01'!D43),(MOD((85-'V06 Calend 01'!C43),6)=0),(((85-'V06 Calend 01'!C43)/6)&lt;='V06 Calend 01'!E43)),IF((85=('V06 Calend 01'!C43+(6*'V06 Calend 01'!E43))),('V06 Calend 01'!H43-('V06 Calend 01'!I43*('V06 Calend 01'!E43-1))),'V06 Calend 01'!I43),0))+IF((85='V06 Calend 01'!D43),'V06 Calend 01'!J43,0))</f>
        <v>0</v>
      </c>
      <c r="CT43" s="2">
        <f>((IF((86='V06 Calend 01'!C43),('V06 Calend 01'!F43+'V06 Calend 01'!G43),0)+IF(AND(('V06 Calend 01'!E43&gt;0),(86&gt;'V06 Calend 01'!C43),(86&lt;'V06 Calend 01'!D43),(MOD((86-'V06 Calend 01'!C43),6)=0),(((86-'V06 Calend 01'!C43)/6)&lt;='V06 Calend 01'!E43)),IF((86=('V06 Calend 01'!C43+(6*'V06 Calend 01'!E43))),('V06 Calend 01'!H43-('V06 Calend 01'!I43*('V06 Calend 01'!E43-1))),'V06 Calend 01'!I43),0))+IF((86='V06 Calend 01'!D43),'V06 Calend 01'!J43,0))</f>
        <v>0</v>
      </c>
      <c r="CU43" s="2">
        <f>((IF((87='V06 Calend 01'!C43),('V06 Calend 01'!F43+'V06 Calend 01'!G43),0)+IF(AND(('V06 Calend 01'!E43&gt;0),(87&gt;'V06 Calend 01'!C43),(87&lt;'V06 Calend 01'!D43),(MOD((87-'V06 Calend 01'!C43),6)=0),(((87-'V06 Calend 01'!C43)/6)&lt;='V06 Calend 01'!E43)),IF((87=('V06 Calend 01'!C43+(6*'V06 Calend 01'!E43))),('V06 Calend 01'!H43-('V06 Calend 01'!I43*('V06 Calend 01'!E43-1))),'V06 Calend 01'!I43),0))+IF((87='V06 Calend 01'!D43),'V06 Calend 01'!J43,0))</f>
        <v>0</v>
      </c>
      <c r="CV43" s="2">
        <f>((IF((88='V06 Calend 01'!C43),('V06 Calend 01'!F43+'V06 Calend 01'!G43),0)+IF(AND(('V06 Calend 01'!E43&gt;0),(88&gt;'V06 Calend 01'!C43),(88&lt;'V06 Calend 01'!D43),(MOD((88-'V06 Calend 01'!C43),6)=0),(((88-'V06 Calend 01'!C43)/6)&lt;='V06 Calend 01'!E43)),IF((88=('V06 Calend 01'!C43+(6*'V06 Calend 01'!E43))),('V06 Calend 01'!H43-('V06 Calend 01'!I43*('V06 Calend 01'!E43-1))),'V06 Calend 01'!I43),0))+IF((88='V06 Calend 01'!D43),'V06 Calend 01'!J43,0))</f>
        <v>0</v>
      </c>
      <c r="CW43" s="2">
        <f>((IF((89='V06 Calend 01'!C43),('V06 Calend 01'!F43+'V06 Calend 01'!G43),0)+IF(AND(('V06 Calend 01'!E43&gt;0),(89&gt;'V06 Calend 01'!C43),(89&lt;'V06 Calend 01'!D43),(MOD((89-'V06 Calend 01'!C43),6)=0),(((89-'V06 Calend 01'!C43)/6)&lt;='V06 Calend 01'!E43)),IF((89=('V06 Calend 01'!C43+(6*'V06 Calend 01'!E43))),('V06 Calend 01'!H43-('V06 Calend 01'!I43*('V06 Calend 01'!E43-1))),'V06 Calend 01'!I43),0))+IF((89='V06 Calend 01'!D43),'V06 Calend 01'!J43,0))</f>
        <v>0</v>
      </c>
      <c r="CX43" s="2">
        <f>((IF((90='V06 Calend 01'!C43),('V06 Calend 01'!F43+'V06 Calend 01'!G43),0)+IF(AND(('V06 Calend 01'!E43&gt;0),(90&gt;'V06 Calend 01'!C43),(90&lt;'V06 Calend 01'!D43),(MOD((90-'V06 Calend 01'!C43),6)=0),(((90-'V06 Calend 01'!C43)/6)&lt;='V06 Calend 01'!E43)),IF((90=('V06 Calend 01'!C43+(6*'V06 Calend 01'!E43))),('V06 Calend 01'!H43-('V06 Calend 01'!I43*('V06 Calend 01'!E43-1))),'V06 Calend 01'!I43),0))+IF((90='V06 Calend 01'!D43),'V06 Calend 01'!J43,0))</f>
        <v>0</v>
      </c>
      <c r="CY43" s="2">
        <f>((IF((91='V06 Calend 01'!C43),('V06 Calend 01'!F43+'V06 Calend 01'!G43),0)+IF(AND(('V06 Calend 01'!E43&gt;0),(91&gt;'V06 Calend 01'!C43),(91&lt;'V06 Calend 01'!D43),(MOD((91-'V06 Calend 01'!C43),6)=0),(((91-'V06 Calend 01'!C43)/6)&lt;='V06 Calend 01'!E43)),IF((91=('V06 Calend 01'!C43+(6*'V06 Calend 01'!E43))),('V06 Calend 01'!H43-('V06 Calend 01'!I43*('V06 Calend 01'!E43-1))),'V06 Calend 01'!I43),0))+IF((91='V06 Calend 01'!D43),'V06 Calend 01'!J43,0))</f>
        <v>0</v>
      </c>
      <c r="CZ43" s="2">
        <f>((IF((92='V06 Calend 01'!C43),('V06 Calend 01'!F43+'V06 Calend 01'!G43),0)+IF(AND(('V06 Calend 01'!E43&gt;0),(92&gt;'V06 Calend 01'!C43),(92&lt;'V06 Calend 01'!D43),(MOD((92-'V06 Calend 01'!C43),6)=0),(((92-'V06 Calend 01'!C43)/6)&lt;='V06 Calend 01'!E43)),IF((92=('V06 Calend 01'!C43+(6*'V06 Calend 01'!E43))),('V06 Calend 01'!H43-('V06 Calend 01'!I43*('V06 Calend 01'!E43-1))),'V06 Calend 01'!I43),0))+IF((92='V06 Calend 01'!D43),'V06 Calend 01'!J43,0))</f>
        <v>0</v>
      </c>
      <c r="DA43" s="2">
        <f>((IF((93='V06 Calend 01'!C43),('V06 Calend 01'!F43+'V06 Calend 01'!G43),0)+IF(AND(('V06 Calend 01'!E43&gt;0),(93&gt;'V06 Calend 01'!C43),(93&lt;'V06 Calend 01'!D43),(MOD((93-'V06 Calend 01'!C43),6)=0),(((93-'V06 Calend 01'!C43)/6)&lt;='V06 Calend 01'!E43)),IF((93=('V06 Calend 01'!C43+(6*'V06 Calend 01'!E43))),('V06 Calend 01'!H43-('V06 Calend 01'!I43*('V06 Calend 01'!E43-1))),'V06 Calend 01'!I43),0))+IF((93='V06 Calend 01'!D43),'V06 Calend 01'!J43,0))</f>
        <v>0</v>
      </c>
      <c r="DB43" s="2">
        <f>((IF((94='V06 Calend 01'!C43),('V06 Calend 01'!F43+'V06 Calend 01'!G43),0)+IF(AND(('V06 Calend 01'!E43&gt;0),(94&gt;'V06 Calend 01'!C43),(94&lt;'V06 Calend 01'!D43),(MOD((94-'V06 Calend 01'!C43),6)=0),(((94-'V06 Calend 01'!C43)/6)&lt;='V06 Calend 01'!E43)),IF((94=('V06 Calend 01'!C43+(6*'V06 Calend 01'!E43))),('V06 Calend 01'!H43-('V06 Calend 01'!I43*('V06 Calend 01'!E43-1))),'V06 Calend 01'!I43),0))+IF((94='V06 Calend 01'!D43),'V06 Calend 01'!J43,0))</f>
        <v>0</v>
      </c>
      <c r="DC43" s="2">
        <f>((IF((95='V06 Calend 01'!C43),('V06 Calend 01'!F43+'V06 Calend 01'!G43),0)+IF(AND(('V06 Calend 01'!E43&gt;0),(95&gt;'V06 Calend 01'!C43),(95&lt;'V06 Calend 01'!D43),(MOD((95-'V06 Calend 01'!C43),6)=0),(((95-'V06 Calend 01'!C43)/6)&lt;='V06 Calend 01'!E43)),IF((95=('V06 Calend 01'!C43+(6*'V06 Calend 01'!E43))),('V06 Calend 01'!H43-('V06 Calend 01'!I43*('V06 Calend 01'!E43-1))),'V06 Calend 01'!I43),0))+IF((95='V06 Calend 01'!D43),'V06 Calend 01'!J43,0))</f>
        <v>0</v>
      </c>
      <c r="DD43" s="2">
        <f>((IF((96='V06 Calend 01'!C43),('V06 Calend 01'!F43+'V06 Calend 01'!G43),0)+IF(AND(('V06 Calend 01'!E43&gt;0),(96&gt;'V06 Calend 01'!C43),(96&lt;'V06 Calend 01'!D43),(MOD((96-'V06 Calend 01'!C43),6)=0),(((96-'V06 Calend 01'!C43)/6)&lt;='V06 Calend 01'!E43)),IF((96=('V06 Calend 01'!C43+(6*'V06 Calend 01'!E43))),('V06 Calend 01'!H43-('V06 Calend 01'!I43*('V06 Calend 01'!E43-1))),'V06 Calend 01'!I43),0))+IF((96='V06 Calend 01'!D43),'V06 Calend 01'!J43,0))</f>
        <v>0</v>
      </c>
      <c r="DE43" s="2">
        <f>((IF((97='V06 Calend 01'!C43),('V06 Calend 01'!F43+'V06 Calend 01'!G43),0)+IF(AND(('V06 Calend 01'!E43&gt;0),(97&gt;'V06 Calend 01'!C43),(97&lt;'V06 Calend 01'!D43),(MOD((97-'V06 Calend 01'!C43),6)=0),(((97-'V06 Calend 01'!C43)/6)&lt;='V06 Calend 01'!E43)),IF((97=('V06 Calend 01'!C43+(6*'V06 Calend 01'!E43))),('V06 Calend 01'!H43-('V06 Calend 01'!I43*('V06 Calend 01'!E43-1))),'V06 Calend 01'!I43),0))+IF((97='V06 Calend 01'!D43),'V06 Calend 01'!J43,0))</f>
        <v>0</v>
      </c>
      <c r="DF43" s="2">
        <f>((IF((98='V06 Calend 01'!C43),('V06 Calend 01'!F43+'V06 Calend 01'!G43),0)+IF(AND(('V06 Calend 01'!E43&gt;0),(98&gt;'V06 Calend 01'!C43),(98&lt;'V06 Calend 01'!D43),(MOD((98-'V06 Calend 01'!C43),6)=0),(((98-'V06 Calend 01'!C43)/6)&lt;='V06 Calend 01'!E43)),IF((98=('V06 Calend 01'!C43+(6*'V06 Calend 01'!E43))),('V06 Calend 01'!H43-('V06 Calend 01'!I43*('V06 Calend 01'!E43-1))),'V06 Calend 01'!I43),0))+IF((98='V06 Calend 01'!D43),'V06 Calend 01'!J43,0))</f>
        <v>0</v>
      </c>
      <c r="DG43" s="2">
        <f>((IF((99='V06 Calend 01'!C43),('V06 Calend 01'!F43+'V06 Calend 01'!G43),0)+IF(AND(('V06 Calend 01'!E43&gt;0),(99&gt;'V06 Calend 01'!C43),(99&lt;'V06 Calend 01'!D43),(MOD((99-'V06 Calend 01'!C43),6)=0),(((99-'V06 Calend 01'!C43)/6)&lt;='V06 Calend 01'!E43)),IF((99=('V06 Calend 01'!C43+(6*'V06 Calend 01'!E43))),('V06 Calend 01'!H43-('V06 Calend 01'!I43*('V06 Calend 01'!E43-1))),'V06 Calend 01'!I43),0))+IF((99='V06 Calend 01'!D43),'V06 Calend 01'!J43,0))</f>
        <v>0</v>
      </c>
      <c r="DH43" s="2">
        <f>((IF((100='V06 Calend 01'!C43),('V06 Calend 01'!F43+'V06 Calend 01'!G43),0)+IF(AND(('V06 Calend 01'!E43&gt;0),(100&gt;'V06 Calend 01'!C43),(100&lt;'V06 Calend 01'!D43),(MOD((100-'V06 Calend 01'!C43),6)=0),(((100-'V06 Calend 01'!C43)/6)&lt;='V06 Calend 01'!E43)),IF((100=('V06 Calend 01'!C43+(6*'V06 Calend 01'!E43))),('V06 Calend 01'!H43-('V06 Calend 01'!I43*('V06 Calend 01'!E43-1))),'V06 Calend 01'!I43),0))+IF((100='V06 Calend 01'!D43),'V06 Calend 01'!J43,0))</f>
        <v>0</v>
      </c>
      <c r="DI43" s="2">
        <f>((IF((101='V06 Calend 01'!C43),('V06 Calend 01'!F43+'V06 Calend 01'!G43),0)+IF(AND(('V06 Calend 01'!E43&gt;0),(101&gt;'V06 Calend 01'!C43),(101&lt;'V06 Calend 01'!D43),(MOD((101-'V06 Calend 01'!C43),6)=0),(((101-'V06 Calend 01'!C43)/6)&lt;='V06 Calend 01'!E43)),IF((101=('V06 Calend 01'!C43+(6*'V06 Calend 01'!E43))),('V06 Calend 01'!H43-('V06 Calend 01'!I43*('V06 Calend 01'!E43-1))),'V06 Calend 01'!I43),0))+IF((101='V06 Calend 01'!D43),'V06 Calend 01'!J43,0))</f>
        <v>0</v>
      </c>
      <c r="DJ43" s="2">
        <f>((IF((102='V06 Calend 01'!C43),('V06 Calend 01'!F43+'V06 Calend 01'!G43),0)+IF(AND(('V06 Calend 01'!E43&gt;0),(102&gt;'V06 Calend 01'!C43),(102&lt;'V06 Calend 01'!D43),(MOD((102-'V06 Calend 01'!C43),6)=0),(((102-'V06 Calend 01'!C43)/6)&lt;='V06 Calend 01'!E43)),IF((102=('V06 Calend 01'!C43+(6*'V06 Calend 01'!E43))),('V06 Calend 01'!H43-('V06 Calend 01'!I43*('V06 Calend 01'!E43-1))),'V06 Calend 01'!I43),0))+IF((102='V06 Calend 01'!D43),'V06 Calend 01'!J43,0))</f>
        <v>0</v>
      </c>
      <c r="DK43" s="2">
        <f>((IF((103='V06 Calend 01'!C43),('V06 Calend 01'!F43+'V06 Calend 01'!G43),0)+IF(AND(('V06 Calend 01'!E43&gt;0),(103&gt;'V06 Calend 01'!C43),(103&lt;'V06 Calend 01'!D43),(MOD((103-'V06 Calend 01'!C43),6)=0),(((103-'V06 Calend 01'!C43)/6)&lt;='V06 Calend 01'!E43)),IF((103=('V06 Calend 01'!C43+(6*'V06 Calend 01'!E43))),('V06 Calend 01'!H43-('V06 Calend 01'!I43*('V06 Calend 01'!E43-1))),'V06 Calend 01'!I43),0))+IF((103='V06 Calend 01'!D43),'V06 Calend 01'!J43,0))</f>
        <v>0</v>
      </c>
      <c r="DL43" s="2">
        <f>((IF((104='V06 Calend 01'!C43),('V06 Calend 01'!F43+'V06 Calend 01'!G43),0)+IF(AND(('V06 Calend 01'!E43&gt;0),(104&gt;'V06 Calend 01'!C43),(104&lt;'V06 Calend 01'!D43),(MOD((104-'V06 Calend 01'!C43),6)=0),(((104-'V06 Calend 01'!C43)/6)&lt;='V06 Calend 01'!E43)),IF((104=('V06 Calend 01'!C43+(6*'V06 Calend 01'!E43))),('V06 Calend 01'!H43-('V06 Calend 01'!I43*('V06 Calend 01'!E43-1))),'V06 Calend 01'!I43),0))+IF((104='V06 Calend 01'!D43),'V06 Calend 01'!J43,0))</f>
        <v>0</v>
      </c>
      <c r="DM43" s="2">
        <f>((IF((105='V06 Calend 01'!C43),('V06 Calend 01'!F43+'V06 Calend 01'!G43),0)+IF(AND(('V06 Calend 01'!E43&gt;0),(105&gt;'V06 Calend 01'!C43),(105&lt;'V06 Calend 01'!D43),(MOD((105-'V06 Calend 01'!C43),6)=0),(((105-'V06 Calend 01'!C43)/6)&lt;='V06 Calend 01'!E43)),IF((105=('V06 Calend 01'!C43+(6*'V06 Calend 01'!E43))),('V06 Calend 01'!H43-('V06 Calend 01'!I43*('V06 Calend 01'!E43-1))),'V06 Calend 01'!I43),0))+IF((105='V06 Calend 01'!D43),'V06 Calend 01'!J43,0))</f>
        <v>0</v>
      </c>
      <c r="DN43" s="2">
        <f>((IF((106='V06 Calend 01'!C43),('V06 Calend 01'!F43+'V06 Calend 01'!G43),0)+IF(AND(('V06 Calend 01'!E43&gt;0),(106&gt;'V06 Calend 01'!C43),(106&lt;'V06 Calend 01'!D43),(MOD((106-'V06 Calend 01'!C43),6)=0),(((106-'V06 Calend 01'!C43)/6)&lt;='V06 Calend 01'!E43)),IF((106=('V06 Calend 01'!C43+(6*'V06 Calend 01'!E43))),('V06 Calend 01'!H43-('V06 Calend 01'!I43*('V06 Calend 01'!E43-1))),'V06 Calend 01'!I43),0))+IF((106='V06 Calend 01'!D43),'V06 Calend 01'!J43,0))</f>
        <v>0</v>
      </c>
      <c r="DO43" s="2">
        <f>((IF((107='V06 Calend 01'!C43),('V06 Calend 01'!F43+'V06 Calend 01'!G43),0)+IF(AND(('V06 Calend 01'!E43&gt;0),(107&gt;'V06 Calend 01'!C43),(107&lt;'V06 Calend 01'!D43),(MOD((107-'V06 Calend 01'!C43),6)=0),(((107-'V06 Calend 01'!C43)/6)&lt;='V06 Calend 01'!E43)),IF((107=('V06 Calend 01'!C43+(6*'V06 Calend 01'!E43))),('V06 Calend 01'!H43-('V06 Calend 01'!I43*('V06 Calend 01'!E43-1))),'V06 Calend 01'!I43),0))+IF((107='V06 Calend 01'!D43),'V06 Calend 01'!J43,0))</f>
        <v>0</v>
      </c>
      <c r="DP43" s="2">
        <f>((IF((108='V06 Calend 01'!C43),('V06 Calend 01'!F43+'V06 Calend 01'!G43),0)+IF(AND(('V06 Calend 01'!E43&gt;0),(108&gt;'V06 Calend 01'!C43),(108&lt;'V06 Calend 01'!D43),(MOD((108-'V06 Calend 01'!C43),6)=0),(((108-'V06 Calend 01'!C43)/6)&lt;='V06 Calend 01'!E43)),IF((108=('V06 Calend 01'!C43+(6*'V06 Calend 01'!E43))),('V06 Calend 01'!H43-('V06 Calend 01'!I43*('V06 Calend 01'!E43-1))),'V06 Calend 01'!I43),0))+IF((108='V06 Calend 01'!D43),'V06 Calend 01'!J43,0))</f>
        <v>0</v>
      </c>
      <c r="DQ43" s="2">
        <f>((IF((109='V06 Calend 01'!C43),('V06 Calend 01'!F43+'V06 Calend 01'!G43),0)+IF(AND(('V06 Calend 01'!E43&gt;0),(109&gt;'V06 Calend 01'!C43),(109&lt;'V06 Calend 01'!D43),(MOD((109-'V06 Calend 01'!C43),6)=0),(((109-'V06 Calend 01'!C43)/6)&lt;='V06 Calend 01'!E43)),IF((109=('V06 Calend 01'!C43+(6*'V06 Calend 01'!E43))),('V06 Calend 01'!H43-('V06 Calend 01'!I43*('V06 Calend 01'!E43-1))),'V06 Calend 01'!I43),0))+IF((109='V06 Calend 01'!D43),'V06 Calend 01'!J43,0))</f>
        <v>0</v>
      </c>
      <c r="DR43" s="2">
        <f>((IF((110='V06 Calend 01'!C43),('V06 Calend 01'!F43+'V06 Calend 01'!G43),0)+IF(AND(('V06 Calend 01'!E43&gt;0),(110&gt;'V06 Calend 01'!C43),(110&lt;'V06 Calend 01'!D43),(MOD((110-'V06 Calend 01'!C43),6)=0),(((110-'V06 Calend 01'!C43)/6)&lt;='V06 Calend 01'!E43)),IF((110=('V06 Calend 01'!C43+(6*'V06 Calend 01'!E43))),('V06 Calend 01'!H43-('V06 Calend 01'!I43*('V06 Calend 01'!E43-1))),'V06 Calend 01'!I43),0))+IF((110='V06 Calend 01'!D43),'V06 Calend 01'!J43,0))</f>
        <v>0</v>
      </c>
      <c r="DS43" s="2">
        <f>((IF((111='V06 Calend 01'!C43),('V06 Calend 01'!F43+'V06 Calend 01'!G43),0)+IF(AND(('V06 Calend 01'!E43&gt;0),(111&gt;'V06 Calend 01'!C43),(111&lt;'V06 Calend 01'!D43),(MOD((111-'V06 Calend 01'!C43),6)=0),(((111-'V06 Calend 01'!C43)/6)&lt;='V06 Calend 01'!E43)),IF((111=('V06 Calend 01'!C43+(6*'V06 Calend 01'!E43))),('V06 Calend 01'!H43-('V06 Calend 01'!I43*('V06 Calend 01'!E43-1))),'V06 Calend 01'!I43),0))+IF((111='V06 Calend 01'!D43),'V06 Calend 01'!J43,0))</f>
        <v>0</v>
      </c>
      <c r="DT43" s="2">
        <f>((IF((112='V06 Calend 01'!C43),('V06 Calend 01'!F43+'V06 Calend 01'!G43),0)+IF(AND(('V06 Calend 01'!E43&gt;0),(112&gt;'V06 Calend 01'!C43),(112&lt;'V06 Calend 01'!D43),(MOD((112-'V06 Calend 01'!C43),6)=0),(((112-'V06 Calend 01'!C43)/6)&lt;='V06 Calend 01'!E43)),IF((112=('V06 Calend 01'!C43+(6*'V06 Calend 01'!E43))),('V06 Calend 01'!H43-('V06 Calend 01'!I43*('V06 Calend 01'!E43-1))),'V06 Calend 01'!I43),0))+IF((112='V06 Calend 01'!D43),'V06 Calend 01'!J43,0))</f>
        <v>0</v>
      </c>
      <c r="DU43" s="2">
        <f>((IF((113='V06 Calend 01'!C43),('V06 Calend 01'!F43+'V06 Calend 01'!G43),0)+IF(AND(('V06 Calend 01'!E43&gt;0),(113&gt;'V06 Calend 01'!C43),(113&lt;'V06 Calend 01'!D43),(MOD((113-'V06 Calend 01'!C43),6)=0),(((113-'V06 Calend 01'!C43)/6)&lt;='V06 Calend 01'!E43)),IF((113=('V06 Calend 01'!C43+(6*'V06 Calend 01'!E43))),('V06 Calend 01'!H43-('V06 Calend 01'!I43*('V06 Calend 01'!E43-1))),'V06 Calend 01'!I43),0))+IF((113='V06 Calend 01'!D43),'V06 Calend 01'!J43,0))</f>
        <v>0</v>
      </c>
      <c r="DV43" s="2">
        <f>((IF((114='V06 Calend 01'!C43),('V06 Calend 01'!F43+'V06 Calend 01'!G43),0)+IF(AND(('V06 Calend 01'!E43&gt;0),(114&gt;'V06 Calend 01'!C43),(114&lt;'V06 Calend 01'!D43),(MOD((114-'V06 Calend 01'!C43),6)=0),(((114-'V06 Calend 01'!C43)/6)&lt;='V06 Calend 01'!E43)),IF((114=('V06 Calend 01'!C43+(6*'V06 Calend 01'!E43))),('V06 Calend 01'!H43-('V06 Calend 01'!I43*('V06 Calend 01'!E43-1))),'V06 Calend 01'!I43),0))+IF((114='V06 Calend 01'!D43),'V06 Calend 01'!J43,0))</f>
        <v>0</v>
      </c>
      <c r="DW43" s="2">
        <f>((IF((115='V06 Calend 01'!C43),('V06 Calend 01'!F43+'V06 Calend 01'!G43),0)+IF(AND(('V06 Calend 01'!E43&gt;0),(115&gt;'V06 Calend 01'!C43),(115&lt;'V06 Calend 01'!D43),(MOD((115-'V06 Calend 01'!C43),6)=0),(((115-'V06 Calend 01'!C43)/6)&lt;='V06 Calend 01'!E43)),IF((115=('V06 Calend 01'!C43+(6*'V06 Calend 01'!E43))),('V06 Calend 01'!H43-('V06 Calend 01'!I43*('V06 Calend 01'!E43-1))),'V06 Calend 01'!I43),0))+IF((115='V06 Calend 01'!D43),'V06 Calend 01'!J43,0))</f>
        <v>0</v>
      </c>
      <c r="DX43" s="2">
        <f>((IF((116='V06 Calend 01'!C43),('V06 Calend 01'!F43+'V06 Calend 01'!G43),0)+IF(AND(('V06 Calend 01'!E43&gt;0),(116&gt;'V06 Calend 01'!C43),(116&lt;'V06 Calend 01'!D43),(MOD((116-'V06 Calend 01'!C43),6)=0),(((116-'V06 Calend 01'!C43)/6)&lt;='V06 Calend 01'!E43)),IF((116=('V06 Calend 01'!C43+(6*'V06 Calend 01'!E43))),('V06 Calend 01'!H43-('V06 Calend 01'!I43*('V06 Calend 01'!E43-1))),'V06 Calend 01'!I43),0))+IF((116='V06 Calend 01'!D43),'V06 Calend 01'!J43,0))</f>
        <v>0</v>
      </c>
      <c r="DY43" s="2">
        <f>((IF((117='V06 Calend 01'!C43),('V06 Calend 01'!F43+'V06 Calend 01'!G43),0)+IF(AND(('V06 Calend 01'!E43&gt;0),(117&gt;'V06 Calend 01'!C43),(117&lt;'V06 Calend 01'!D43),(MOD((117-'V06 Calend 01'!C43),6)=0),(((117-'V06 Calend 01'!C43)/6)&lt;='V06 Calend 01'!E43)),IF((117=('V06 Calend 01'!C43+(6*'V06 Calend 01'!E43))),('V06 Calend 01'!H43-('V06 Calend 01'!I43*('V06 Calend 01'!E43-1))),'V06 Calend 01'!I43),0))+IF((117='V06 Calend 01'!D43),'V06 Calend 01'!J43,0))</f>
        <v>0</v>
      </c>
      <c r="DZ43" s="2">
        <f>((IF((118='V06 Calend 01'!C43),('V06 Calend 01'!F43+'V06 Calend 01'!G43),0)+IF(AND(('V06 Calend 01'!E43&gt;0),(118&gt;'V06 Calend 01'!C43),(118&lt;'V06 Calend 01'!D43),(MOD((118-'V06 Calend 01'!C43),6)=0),(((118-'V06 Calend 01'!C43)/6)&lt;='V06 Calend 01'!E43)),IF((118=('V06 Calend 01'!C43+(6*'V06 Calend 01'!E43))),('V06 Calend 01'!H43-('V06 Calend 01'!I43*('V06 Calend 01'!E43-1))),'V06 Calend 01'!I43),0))+IF((118='V06 Calend 01'!D43),'V06 Calend 01'!J43,0))</f>
        <v>0</v>
      </c>
      <c r="EA43" s="2">
        <f>((IF((119='V06 Calend 01'!C43),('V06 Calend 01'!F43+'V06 Calend 01'!G43),0)+IF(AND(('V06 Calend 01'!E43&gt;0),(119&gt;'V06 Calend 01'!C43),(119&lt;'V06 Calend 01'!D43),(MOD((119-'V06 Calend 01'!C43),6)=0),(((119-'V06 Calend 01'!C43)/6)&lt;='V06 Calend 01'!E43)),IF((119=('V06 Calend 01'!C43+(6*'V06 Calend 01'!E43))),('V06 Calend 01'!H43-('V06 Calend 01'!I43*('V06 Calend 01'!E43-1))),'V06 Calend 01'!I43),0))+IF((119='V06 Calend 01'!D43),'V06 Calend 01'!J43,0))</f>
        <v>0</v>
      </c>
      <c r="EB43" s="2">
        <f>((IF((120='V06 Calend 01'!C43),('V06 Calend 01'!F43+'V06 Calend 01'!G43),0)+IF(AND(('V06 Calend 01'!E43&gt;0),(120&gt;'V06 Calend 01'!C43),(120&lt;'V06 Calend 01'!D43),(MOD((120-'V06 Calend 01'!C43),6)=0),(((120-'V06 Calend 01'!C43)/6)&lt;='V06 Calend 01'!E43)),IF((120=('V06 Calend 01'!C43+(6*'V06 Calend 01'!E43))),('V06 Calend 01'!H43-('V06 Calend 01'!I43*('V06 Calend 01'!E43-1))),'V06 Calend 01'!I43),0))+IF((120='V06 Calend 01'!D43),'V06 Calend 01'!J43,0))</f>
        <v>0</v>
      </c>
      <c r="EC43" s="2">
        <f>((IF((121='V06 Calend 01'!C43),('V06 Calend 01'!F43+'V06 Calend 01'!G43),0)+IF(AND(('V06 Calend 01'!E43&gt;0),(121&gt;'V06 Calend 01'!C43),(121&lt;'V06 Calend 01'!D43),(MOD((121-'V06 Calend 01'!C43),6)=0),(((121-'V06 Calend 01'!C43)/6)&lt;='V06 Calend 01'!E43)),IF((121=('V06 Calend 01'!C43+(6*'V06 Calend 01'!E43))),('V06 Calend 01'!H43-('V06 Calend 01'!I43*('V06 Calend 01'!E43-1))),'V06 Calend 01'!I43),0))+IF((121='V06 Calend 01'!D43),'V06 Calend 01'!J43,0))</f>
        <v>0</v>
      </c>
      <c r="ED43" s="2">
        <f>((IF((122='V06 Calend 01'!C43),('V06 Calend 01'!F43+'V06 Calend 01'!G43),0)+IF(AND(('V06 Calend 01'!E43&gt;0),(122&gt;'V06 Calend 01'!C43),(122&lt;'V06 Calend 01'!D43),(MOD((122-'V06 Calend 01'!C43),6)=0),(((122-'V06 Calend 01'!C43)/6)&lt;='V06 Calend 01'!E43)),IF((122=('V06 Calend 01'!C43+(6*'V06 Calend 01'!E43))),('V06 Calend 01'!H43-('V06 Calend 01'!I43*('V06 Calend 01'!E43-1))),'V06 Calend 01'!I43),0))+IF((122='V06 Calend 01'!D43),'V06 Calend 01'!J43,0))</f>
        <v>0</v>
      </c>
      <c r="EE43" s="2">
        <f>((IF((123='V06 Calend 01'!C43),('V06 Calend 01'!F43+'V06 Calend 01'!G43),0)+IF(AND(('V06 Calend 01'!E43&gt;0),(123&gt;'V06 Calend 01'!C43),(123&lt;'V06 Calend 01'!D43),(MOD((123-'V06 Calend 01'!C43),6)=0),(((123-'V06 Calend 01'!C43)/6)&lt;='V06 Calend 01'!E43)),IF((123=('V06 Calend 01'!C43+(6*'V06 Calend 01'!E43))),('V06 Calend 01'!H43-('V06 Calend 01'!I43*('V06 Calend 01'!E43-1))),'V06 Calend 01'!I43),0))+IF((123='V06 Calend 01'!D43),'V06 Calend 01'!J43,0))</f>
        <v>0</v>
      </c>
      <c r="EF43" s="2">
        <f>((IF((124='V06 Calend 01'!C43),('V06 Calend 01'!F43+'V06 Calend 01'!G43),0)+IF(AND(('V06 Calend 01'!E43&gt;0),(124&gt;'V06 Calend 01'!C43),(124&lt;'V06 Calend 01'!D43),(MOD((124-'V06 Calend 01'!C43),6)=0),(((124-'V06 Calend 01'!C43)/6)&lt;='V06 Calend 01'!E43)),IF((124=('V06 Calend 01'!C43+(6*'V06 Calend 01'!E43))),('V06 Calend 01'!H43-('V06 Calend 01'!I43*('V06 Calend 01'!E43-1))),'V06 Calend 01'!I43),0))+IF((124='V06 Calend 01'!D43),'V06 Calend 01'!J43,0))</f>
        <v>0</v>
      </c>
      <c r="EG43" s="2">
        <f>((IF((125='V06 Calend 01'!C43),('V06 Calend 01'!F43+'V06 Calend 01'!G43),0)+IF(AND(('V06 Calend 01'!E43&gt;0),(125&gt;'V06 Calend 01'!C43),(125&lt;'V06 Calend 01'!D43),(MOD((125-'V06 Calend 01'!C43),6)=0),(((125-'V06 Calend 01'!C43)/6)&lt;='V06 Calend 01'!E43)),IF((125=('V06 Calend 01'!C43+(6*'V06 Calend 01'!E43))),('V06 Calend 01'!H43-('V06 Calend 01'!I43*('V06 Calend 01'!E43-1))),'V06 Calend 01'!I43),0))+IF((125='V06 Calend 01'!D43),'V06 Calend 01'!J43,0))</f>
        <v>0</v>
      </c>
      <c r="EH43" s="2">
        <f>((IF((126='V06 Calend 01'!C43),('V06 Calend 01'!F43+'V06 Calend 01'!G43),0)+IF(AND(('V06 Calend 01'!E43&gt;0),(126&gt;'V06 Calend 01'!C43),(126&lt;'V06 Calend 01'!D43),(MOD((126-'V06 Calend 01'!C43),6)=0),(((126-'V06 Calend 01'!C43)/6)&lt;='V06 Calend 01'!E43)),IF((126=('V06 Calend 01'!C43+(6*'V06 Calend 01'!E43))),('V06 Calend 01'!H43-('V06 Calend 01'!I43*('V06 Calend 01'!E43-1))),'V06 Calend 01'!I43),0))+IF((126='V06 Calend 01'!D43),'V06 Calend 01'!J43,0))</f>
        <v>0</v>
      </c>
      <c r="EI43" s="2">
        <f>((IF((127='V06 Calend 01'!C43),('V06 Calend 01'!F43+'V06 Calend 01'!G43),0)+IF(AND(('V06 Calend 01'!E43&gt;0),(127&gt;'V06 Calend 01'!C43),(127&lt;'V06 Calend 01'!D43),(MOD((127-'V06 Calend 01'!C43),6)=0),(((127-'V06 Calend 01'!C43)/6)&lt;='V06 Calend 01'!E43)),IF((127=('V06 Calend 01'!C43+(6*'V06 Calend 01'!E43))),('V06 Calend 01'!H43-('V06 Calend 01'!I43*('V06 Calend 01'!E43-1))),'V06 Calend 01'!I43),0))+IF((127='V06 Calend 01'!D43),'V06 Calend 01'!J43,0))</f>
        <v>0</v>
      </c>
      <c r="EJ43" s="2">
        <f>((IF((128='V06 Calend 01'!C43),('V06 Calend 01'!F43+'V06 Calend 01'!G43),0)+IF(AND(('V06 Calend 01'!E43&gt;0),(128&gt;'V06 Calend 01'!C43),(128&lt;'V06 Calend 01'!D43),(MOD((128-'V06 Calend 01'!C43),6)=0),(((128-'V06 Calend 01'!C43)/6)&lt;='V06 Calend 01'!E43)),IF((128=('V06 Calend 01'!C43+(6*'V06 Calend 01'!E43))),('V06 Calend 01'!H43-('V06 Calend 01'!I43*('V06 Calend 01'!E43-1))),'V06 Calend 01'!I43),0))+IF((128='V06 Calend 01'!D43),'V06 Calend 01'!J43,0))</f>
        <v>0</v>
      </c>
      <c r="EK43" s="2">
        <f>((IF((129='V06 Calend 01'!C43),('V06 Calend 01'!F43+'V06 Calend 01'!G43),0)+IF(AND(('V06 Calend 01'!E43&gt;0),(129&gt;'V06 Calend 01'!C43),(129&lt;'V06 Calend 01'!D43),(MOD((129-'V06 Calend 01'!C43),6)=0),(((129-'V06 Calend 01'!C43)/6)&lt;='V06 Calend 01'!E43)),IF((129=('V06 Calend 01'!C43+(6*'V06 Calend 01'!E43))),('V06 Calend 01'!H43-('V06 Calend 01'!I43*('V06 Calend 01'!E43-1))),'V06 Calend 01'!I43),0))+IF((129='V06 Calend 01'!D43),'V06 Calend 01'!J43,0))</f>
        <v>0</v>
      </c>
      <c r="EL43" s="2">
        <f>((IF((130='V06 Calend 01'!C43),('V06 Calend 01'!F43+'V06 Calend 01'!G43),0)+IF(AND(('V06 Calend 01'!E43&gt;0),(130&gt;'V06 Calend 01'!C43),(130&lt;'V06 Calend 01'!D43),(MOD((130-'V06 Calend 01'!C43),6)=0),(((130-'V06 Calend 01'!C43)/6)&lt;='V06 Calend 01'!E43)),IF((130=('V06 Calend 01'!C43+(6*'V06 Calend 01'!E43))),('V06 Calend 01'!H43-('V06 Calend 01'!I43*('V06 Calend 01'!E43-1))),'V06 Calend 01'!I43),0))+IF((130='V06 Calend 01'!D43),'V06 Calend 01'!J43,0))</f>
        <v>0</v>
      </c>
      <c r="EM43" s="2">
        <f>((IF((131='V06 Calend 01'!C43),('V06 Calend 01'!F43+'V06 Calend 01'!G43),0)+IF(AND(('V06 Calend 01'!E43&gt;0),(131&gt;'V06 Calend 01'!C43),(131&lt;'V06 Calend 01'!D43),(MOD((131-'V06 Calend 01'!C43),6)=0),(((131-'V06 Calend 01'!C43)/6)&lt;='V06 Calend 01'!E43)),IF((131=('V06 Calend 01'!C43+(6*'V06 Calend 01'!E43))),('V06 Calend 01'!H43-('V06 Calend 01'!I43*('V06 Calend 01'!E43-1))),'V06 Calend 01'!I43),0))+IF((131='V06 Calend 01'!D43),'V06 Calend 01'!J43,0))</f>
        <v>0</v>
      </c>
      <c r="EN43" s="2">
        <f>((IF((132='V06 Calend 01'!C43),('V06 Calend 01'!F43+'V06 Calend 01'!G43),0)+IF(AND(('V06 Calend 01'!E43&gt;0),(132&gt;'V06 Calend 01'!C43),(132&lt;'V06 Calend 01'!D43),(MOD((132-'V06 Calend 01'!C43),6)=0),(((132-'V06 Calend 01'!C43)/6)&lt;='V06 Calend 01'!E43)),IF((132=('V06 Calend 01'!C43+(6*'V06 Calend 01'!E43))),('V06 Calend 01'!H43-('V06 Calend 01'!I43*('V06 Calend 01'!E43-1))),'V06 Calend 01'!I43),0))+IF((132='V06 Calend 01'!D43),'V06 Calend 01'!J43,0))</f>
        <v>0</v>
      </c>
      <c r="EO43" s="2">
        <f>((IF((133='V06 Calend 01'!C43),('V06 Calend 01'!F43+'V06 Calend 01'!G43),0)+IF(AND(('V06 Calend 01'!E43&gt;0),(133&gt;'V06 Calend 01'!C43),(133&lt;'V06 Calend 01'!D43),(MOD((133-'V06 Calend 01'!C43),6)=0),(((133-'V06 Calend 01'!C43)/6)&lt;='V06 Calend 01'!E43)),IF((133=('V06 Calend 01'!C43+(6*'V06 Calend 01'!E43))),('V06 Calend 01'!H43-('V06 Calend 01'!I43*('V06 Calend 01'!E43-1))),'V06 Calend 01'!I43),0))+IF((133='V06 Calend 01'!D43),'V06 Calend 01'!J43,0))</f>
        <v>0</v>
      </c>
      <c r="EP43" s="2">
        <f>((IF((134='V06 Calend 01'!C43),('V06 Calend 01'!F43+'V06 Calend 01'!G43),0)+IF(AND(('V06 Calend 01'!E43&gt;0),(134&gt;'V06 Calend 01'!C43),(134&lt;'V06 Calend 01'!D43),(MOD((134-'V06 Calend 01'!C43),6)=0),(((134-'V06 Calend 01'!C43)/6)&lt;='V06 Calend 01'!E43)),IF((134=('V06 Calend 01'!C43+(6*'V06 Calend 01'!E43))),('V06 Calend 01'!H43-('V06 Calend 01'!I43*('V06 Calend 01'!E43-1))),'V06 Calend 01'!I43),0))+IF((134='V06 Calend 01'!D43),'V06 Calend 01'!J43,0))</f>
        <v>0</v>
      </c>
      <c r="EQ43" s="2">
        <f>((IF((135='V06 Calend 01'!C43),('V06 Calend 01'!F43+'V06 Calend 01'!G43),0)+IF(AND(('V06 Calend 01'!E43&gt;0),(135&gt;'V06 Calend 01'!C43),(135&lt;'V06 Calend 01'!D43),(MOD((135-'V06 Calend 01'!C43),6)=0),(((135-'V06 Calend 01'!C43)/6)&lt;='V06 Calend 01'!E43)),IF((135=('V06 Calend 01'!C43+(6*'V06 Calend 01'!E43))),('V06 Calend 01'!H43-('V06 Calend 01'!I43*('V06 Calend 01'!E43-1))),'V06 Calend 01'!I43),0))+IF((135='V06 Calend 01'!D43),'V06 Calend 01'!J43,0))</f>
        <v>0</v>
      </c>
      <c r="ER43" s="2">
        <f>((IF((136='V06 Calend 01'!C43),('V06 Calend 01'!F43+'V06 Calend 01'!G43),0)+IF(AND(('V06 Calend 01'!E43&gt;0),(136&gt;'V06 Calend 01'!C43),(136&lt;'V06 Calend 01'!D43),(MOD((136-'V06 Calend 01'!C43),6)=0),(((136-'V06 Calend 01'!C43)/6)&lt;='V06 Calend 01'!E43)),IF((136=('V06 Calend 01'!C43+(6*'V06 Calend 01'!E43))),('V06 Calend 01'!H43-('V06 Calend 01'!I43*('V06 Calend 01'!E43-1))),'V06 Calend 01'!I43),0))+IF((136='V06 Calend 01'!D43),'V06 Calend 01'!J43,0))</f>
        <v>0</v>
      </c>
      <c r="ES43" s="2">
        <f>((IF((137='V06 Calend 01'!C43),('V06 Calend 01'!F43+'V06 Calend 01'!G43),0)+IF(AND(('V06 Calend 01'!E43&gt;0),(137&gt;'V06 Calend 01'!C43),(137&lt;'V06 Calend 01'!D43),(MOD((137-'V06 Calend 01'!C43),6)=0),(((137-'V06 Calend 01'!C43)/6)&lt;='V06 Calend 01'!E43)),IF((137=('V06 Calend 01'!C43+(6*'V06 Calend 01'!E43))),('V06 Calend 01'!H43-('V06 Calend 01'!I43*('V06 Calend 01'!E43-1))),'V06 Calend 01'!I43),0))+IF((137='V06 Calend 01'!D43),'V06 Calend 01'!J43,0))</f>
        <v>0</v>
      </c>
      <c r="ET43" s="2">
        <f>((IF((138='V06 Calend 01'!C43),('V06 Calend 01'!F43+'V06 Calend 01'!G43),0)+IF(AND(('V06 Calend 01'!E43&gt;0),(138&gt;'V06 Calend 01'!C43),(138&lt;'V06 Calend 01'!D43),(MOD((138-'V06 Calend 01'!C43),6)=0),(((138-'V06 Calend 01'!C43)/6)&lt;='V06 Calend 01'!E43)),IF((138=('V06 Calend 01'!C43+(6*'V06 Calend 01'!E43))),('V06 Calend 01'!H43-('V06 Calend 01'!I43*('V06 Calend 01'!E43-1))),'V06 Calend 01'!I43),0))+IF((138='V06 Calend 01'!D43),'V06 Calend 01'!J43,0))</f>
        <v>0</v>
      </c>
      <c r="EU43" s="2">
        <f>((IF((139='V06 Calend 01'!C43),('V06 Calend 01'!F43+'V06 Calend 01'!G43),0)+IF(AND(('V06 Calend 01'!E43&gt;0),(139&gt;'V06 Calend 01'!C43),(139&lt;'V06 Calend 01'!D43),(MOD((139-'V06 Calend 01'!C43),6)=0),(((139-'V06 Calend 01'!C43)/6)&lt;='V06 Calend 01'!E43)),IF((139=('V06 Calend 01'!C43+(6*'V06 Calend 01'!E43))),('V06 Calend 01'!H43-('V06 Calend 01'!I43*('V06 Calend 01'!E43-1))),'V06 Calend 01'!I43),0))+IF((139='V06 Calend 01'!D43),'V06 Calend 01'!J43,0))</f>
        <v>0</v>
      </c>
      <c r="EV43" s="2">
        <f>((IF((140='V06 Calend 01'!C43),('V06 Calend 01'!F43+'V06 Calend 01'!G43),0)+IF(AND(('V06 Calend 01'!E43&gt;0),(140&gt;'V06 Calend 01'!C43),(140&lt;'V06 Calend 01'!D43),(MOD((140-'V06 Calend 01'!C43),6)=0),(((140-'V06 Calend 01'!C43)/6)&lt;='V06 Calend 01'!E43)),IF((140=('V06 Calend 01'!C43+(6*'V06 Calend 01'!E43))),('V06 Calend 01'!H43-('V06 Calend 01'!I43*('V06 Calend 01'!E43-1))),'V06 Calend 01'!I43),0))+IF((140='V06 Calend 01'!D43),'V06 Calend 01'!J43,0))</f>
        <v>0</v>
      </c>
      <c r="EW43" s="2">
        <f>((IF((141='V06 Calend 01'!C43),('V06 Calend 01'!F43+'V06 Calend 01'!G43),0)+IF(AND(('V06 Calend 01'!E43&gt;0),(141&gt;'V06 Calend 01'!C43),(141&lt;'V06 Calend 01'!D43),(MOD((141-'V06 Calend 01'!C43),6)=0),(((141-'V06 Calend 01'!C43)/6)&lt;='V06 Calend 01'!E43)),IF((141=('V06 Calend 01'!C43+(6*'V06 Calend 01'!E43))),('V06 Calend 01'!H43-('V06 Calend 01'!I43*('V06 Calend 01'!E43-1))),'V06 Calend 01'!I43),0))+IF((141='V06 Calend 01'!D43),'V06 Calend 01'!J43,0))</f>
        <v>0</v>
      </c>
      <c r="EX43" s="2">
        <f>((IF((142='V06 Calend 01'!C43),('V06 Calend 01'!F43+'V06 Calend 01'!G43),0)+IF(AND(('V06 Calend 01'!E43&gt;0),(142&gt;'V06 Calend 01'!C43),(142&lt;'V06 Calend 01'!D43),(MOD((142-'V06 Calend 01'!C43),6)=0),(((142-'V06 Calend 01'!C43)/6)&lt;='V06 Calend 01'!E43)),IF((142=('V06 Calend 01'!C43+(6*'V06 Calend 01'!E43))),('V06 Calend 01'!H43-('V06 Calend 01'!I43*('V06 Calend 01'!E43-1))),'V06 Calend 01'!I43),0))+IF((142='V06 Calend 01'!D43),'V06 Calend 01'!J43,0))</f>
        <v>0</v>
      </c>
      <c r="EY43" s="2">
        <f>((IF((143='V06 Calend 01'!C43),('V06 Calend 01'!F43+'V06 Calend 01'!G43),0)+IF(AND(('V06 Calend 01'!E43&gt;0),(143&gt;'V06 Calend 01'!C43),(143&lt;'V06 Calend 01'!D43),(MOD((143-'V06 Calend 01'!C43),6)=0),(((143-'V06 Calend 01'!C43)/6)&lt;='V06 Calend 01'!E43)),IF((143=('V06 Calend 01'!C43+(6*'V06 Calend 01'!E43))),('V06 Calend 01'!H43-('V06 Calend 01'!I43*('V06 Calend 01'!E43-1))),'V06 Calend 01'!I43),0))+IF((143='V06 Calend 01'!D43),'V06 Calend 01'!J43,0))</f>
        <v>0</v>
      </c>
      <c r="EZ43" s="2">
        <f>((IF((144='V06 Calend 01'!C43),('V06 Calend 01'!F43+'V06 Calend 01'!G43),0)+IF(AND(('V06 Calend 01'!E43&gt;0),(144&gt;'V06 Calend 01'!C43),(144&lt;'V06 Calend 01'!D43),(MOD((144-'V06 Calend 01'!C43),6)=0),(((144-'V06 Calend 01'!C43)/6)&lt;='V06 Calend 01'!E43)),IF((144=('V06 Calend 01'!C43+(6*'V06 Calend 01'!E43))),('V06 Calend 01'!H43-('V06 Calend 01'!I43*('V06 Calend 01'!E43-1))),'V06 Calend 01'!I43),0))+IF((144='V06 Calend 01'!D43),'V06 Calend 01'!J43,0))</f>
        <v>0</v>
      </c>
      <c r="FA43" s="2">
        <f>((IF((145='V06 Calend 01'!C43),('V06 Calend 01'!F43+'V06 Calend 01'!G43),0)+IF(AND(('V06 Calend 01'!E43&gt;0),(145&gt;'V06 Calend 01'!C43),(145&lt;'V06 Calend 01'!D43),(MOD((145-'V06 Calend 01'!C43),6)=0),(((145-'V06 Calend 01'!C43)/6)&lt;='V06 Calend 01'!E43)),IF((145=('V06 Calend 01'!C43+(6*'V06 Calend 01'!E43))),('V06 Calend 01'!H43-('V06 Calend 01'!I43*('V06 Calend 01'!E43-1))),'V06 Calend 01'!I43),0))+IF((145='V06 Calend 01'!D43),'V06 Calend 01'!J43,0))</f>
        <v>0</v>
      </c>
      <c r="FB43" s="2">
        <f>((IF((146='V06 Calend 01'!C43),('V06 Calend 01'!F43+'V06 Calend 01'!G43),0)+IF(AND(('V06 Calend 01'!E43&gt;0),(146&gt;'V06 Calend 01'!C43),(146&lt;'V06 Calend 01'!D43),(MOD((146-'V06 Calend 01'!C43),6)=0),(((146-'V06 Calend 01'!C43)/6)&lt;='V06 Calend 01'!E43)),IF((146=('V06 Calend 01'!C43+(6*'V06 Calend 01'!E43))),('V06 Calend 01'!H43-('V06 Calend 01'!I43*('V06 Calend 01'!E43-1))),'V06 Calend 01'!I43),0))+IF((146='V06 Calend 01'!D43),'V06 Calend 01'!J43,0))</f>
        <v>0</v>
      </c>
      <c r="FC43" s="2">
        <f>((IF((147='V06 Calend 01'!C43),('V06 Calend 01'!F43+'V06 Calend 01'!G43),0)+IF(AND(('V06 Calend 01'!E43&gt;0),(147&gt;'V06 Calend 01'!C43),(147&lt;'V06 Calend 01'!D43),(MOD((147-'V06 Calend 01'!C43),6)=0),(((147-'V06 Calend 01'!C43)/6)&lt;='V06 Calend 01'!E43)),IF((147=('V06 Calend 01'!C43+(6*'V06 Calend 01'!E43))),('V06 Calend 01'!H43-('V06 Calend 01'!I43*('V06 Calend 01'!E43-1))),'V06 Calend 01'!I43),0))+IF((147='V06 Calend 01'!D43),'V06 Calend 01'!J43,0))</f>
        <v>0</v>
      </c>
      <c r="FD43" s="2">
        <f>((IF((148='V06 Calend 01'!C43),('V06 Calend 01'!F43+'V06 Calend 01'!G43),0)+IF(AND(('V06 Calend 01'!E43&gt;0),(148&gt;'V06 Calend 01'!C43),(148&lt;'V06 Calend 01'!D43),(MOD((148-'V06 Calend 01'!C43),6)=0),(((148-'V06 Calend 01'!C43)/6)&lt;='V06 Calend 01'!E43)),IF((148=('V06 Calend 01'!C43+(6*'V06 Calend 01'!E43))),('V06 Calend 01'!H43-('V06 Calend 01'!I43*('V06 Calend 01'!E43-1))),'V06 Calend 01'!I43),0))+IF((148='V06 Calend 01'!D43),'V06 Calend 01'!J43,0))</f>
        <v>0</v>
      </c>
      <c r="FE43" s="2">
        <f>((IF((149='V06 Calend 01'!C43),('V06 Calend 01'!F43+'V06 Calend 01'!G43),0)+IF(AND(('V06 Calend 01'!E43&gt;0),(149&gt;'V06 Calend 01'!C43),(149&lt;'V06 Calend 01'!D43),(MOD((149-'V06 Calend 01'!C43),6)=0),(((149-'V06 Calend 01'!C43)/6)&lt;='V06 Calend 01'!E43)),IF((149=('V06 Calend 01'!C43+(6*'V06 Calend 01'!E43))),('V06 Calend 01'!H43-('V06 Calend 01'!I43*('V06 Calend 01'!E43-1))),'V06 Calend 01'!I43),0))+IF((149='V06 Calend 01'!D43),'V06 Calend 01'!J43,0))</f>
        <v>0</v>
      </c>
      <c r="FF43" s="2">
        <f>((IF((150='V06 Calend 01'!C43),('V06 Calend 01'!F43+'V06 Calend 01'!G43),0)+IF(AND(('V06 Calend 01'!E43&gt;0),(150&gt;'V06 Calend 01'!C43),(150&lt;'V06 Calend 01'!D43),(MOD((150-'V06 Calend 01'!C43),6)=0),(((150-'V06 Calend 01'!C43)/6)&lt;='V06 Calend 01'!E43)),IF((150=('V06 Calend 01'!C43+(6*'V06 Calend 01'!E43))),('V06 Calend 01'!H43-('V06 Calend 01'!I43*('V06 Calend 01'!E43-1))),'V06 Calend 01'!I43),0))+IF((150='V06 Calend 01'!D43),'V06 Calend 01'!J43,0))</f>
        <v>0</v>
      </c>
      <c r="FG43" s="2">
        <f>((IF((151='V06 Calend 01'!C43),('V06 Calend 01'!F43+'V06 Calend 01'!G43),0)+IF(AND(('V06 Calend 01'!E43&gt;0),(151&gt;'V06 Calend 01'!C43),(151&lt;'V06 Calend 01'!D43),(MOD((151-'V06 Calend 01'!C43),6)=0),(((151-'V06 Calend 01'!C43)/6)&lt;='V06 Calend 01'!E43)),IF((151=('V06 Calend 01'!C43+(6*'V06 Calend 01'!E43))),('V06 Calend 01'!H43-('V06 Calend 01'!I43*('V06 Calend 01'!E43-1))),'V06 Calend 01'!I43),0))+IF((151='V06 Calend 01'!D43),'V06 Calend 01'!J43,0))</f>
        <v>0</v>
      </c>
      <c r="FH43" s="2">
        <f>((IF((152='V06 Calend 01'!C43),('V06 Calend 01'!F43+'V06 Calend 01'!G43),0)+IF(AND(('V06 Calend 01'!E43&gt;0),(152&gt;'V06 Calend 01'!C43),(152&lt;'V06 Calend 01'!D43),(MOD((152-'V06 Calend 01'!C43),6)=0),(((152-'V06 Calend 01'!C43)/6)&lt;='V06 Calend 01'!E43)),IF((152=('V06 Calend 01'!C43+(6*'V06 Calend 01'!E43))),('V06 Calend 01'!H43-('V06 Calend 01'!I43*('V06 Calend 01'!E43-1))),'V06 Calend 01'!I43),0))+IF((152='V06 Calend 01'!D43),'V06 Calend 01'!J43,0))</f>
        <v>0</v>
      </c>
      <c r="FI43" s="2">
        <f>((IF((153='V06 Calend 01'!C43),('V06 Calend 01'!F43+'V06 Calend 01'!G43),0)+IF(AND(('V06 Calend 01'!E43&gt;0),(153&gt;'V06 Calend 01'!C43),(153&lt;'V06 Calend 01'!D43),(MOD((153-'V06 Calend 01'!C43),6)=0),(((153-'V06 Calend 01'!C43)/6)&lt;='V06 Calend 01'!E43)),IF((153=('V06 Calend 01'!C43+(6*'V06 Calend 01'!E43))),('V06 Calend 01'!H43-('V06 Calend 01'!I43*('V06 Calend 01'!E43-1))),'V06 Calend 01'!I43),0))+IF((153='V06 Calend 01'!D43),'V06 Calend 01'!J43,0))</f>
        <v>0</v>
      </c>
      <c r="FJ43" s="2">
        <f>((IF((154='V06 Calend 01'!C43),('V06 Calend 01'!F43+'V06 Calend 01'!G43),0)+IF(AND(('V06 Calend 01'!E43&gt;0),(154&gt;'V06 Calend 01'!C43),(154&lt;'V06 Calend 01'!D43),(MOD((154-'V06 Calend 01'!C43),6)=0),(((154-'V06 Calend 01'!C43)/6)&lt;='V06 Calend 01'!E43)),IF((154=('V06 Calend 01'!C43+(6*'V06 Calend 01'!E43))),('V06 Calend 01'!H43-('V06 Calend 01'!I43*('V06 Calend 01'!E43-1))),'V06 Calend 01'!I43),0))+IF((154='V06 Calend 01'!D43),'V06 Calend 01'!J43,0))</f>
        <v>0</v>
      </c>
      <c r="FK43" s="2">
        <f>((IF((155='V06 Calend 01'!C43),('V06 Calend 01'!F43+'V06 Calend 01'!G43),0)+IF(AND(('V06 Calend 01'!E43&gt;0),(155&gt;'V06 Calend 01'!C43),(155&lt;'V06 Calend 01'!D43),(MOD((155-'V06 Calend 01'!C43),6)=0),(((155-'V06 Calend 01'!C43)/6)&lt;='V06 Calend 01'!E43)),IF((155=('V06 Calend 01'!C43+(6*'V06 Calend 01'!E43))),('V06 Calend 01'!H43-('V06 Calend 01'!I43*('V06 Calend 01'!E43-1))),'V06 Calend 01'!I43),0))+IF((155='V06 Calend 01'!D43),'V06 Calend 01'!J43,0))</f>
        <v>0</v>
      </c>
      <c r="FL43" s="2">
        <f>((IF((156='V06 Calend 01'!C43),('V06 Calend 01'!F43+'V06 Calend 01'!G43),0)+IF(AND(('V06 Calend 01'!E43&gt;0),(156&gt;'V06 Calend 01'!C43),(156&lt;'V06 Calend 01'!D43),(MOD((156-'V06 Calend 01'!C43),6)=0),(((156-'V06 Calend 01'!C43)/6)&lt;='V06 Calend 01'!E43)),IF((156=('V06 Calend 01'!C43+(6*'V06 Calend 01'!E43))),('V06 Calend 01'!H43-('V06 Calend 01'!I43*('V06 Calend 01'!E43-1))),'V06 Calend 01'!I43),0))+IF((156='V06 Calend 01'!D43),'V06 Calend 01'!J43,0))</f>
        <v>0</v>
      </c>
      <c r="FM43" s="2">
        <f>((IF((157='V06 Calend 01'!C43),('V06 Calend 01'!F43+'V06 Calend 01'!G43),0)+IF(AND(('V06 Calend 01'!E43&gt;0),(157&gt;'V06 Calend 01'!C43),(157&lt;'V06 Calend 01'!D43),(MOD((157-'V06 Calend 01'!C43),6)=0),(((157-'V06 Calend 01'!C43)/6)&lt;='V06 Calend 01'!E43)),IF((157=('V06 Calend 01'!C43+(6*'V06 Calend 01'!E43))),('V06 Calend 01'!H43-('V06 Calend 01'!I43*('V06 Calend 01'!E43-1))),'V06 Calend 01'!I43),0))+IF((157='V06 Calend 01'!D43),'V06 Calend 01'!J43,0))</f>
        <v>0</v>
      </c>
      <c r="FN43" s="2">
        <f>((IF((158='V06 Calend 01'!C43),('V06 Calend 01'!F43+'V06 Calend 01'!G43),0)+IF(AND(('V06 Calend 01'!E43&gt;0),(158&gt;'V06 Calend 01'!C43),(158&lt;'V06 Calend 01'!D43),(MOD((158-'V06 Calend 01'!C43),6)=0),(((158-'V06 Calend 01'!C43)/6)&lt;='V06 Calend 01'!E43)),IF((158=('V06 Calend 01'!C43+(6*'V06 Calend 01'!E43))),('V06 Calend 01'!H43-('V06 Calend 01'!I43*('V06 Calend 01'!E43-1))),'V06 Calend 01'!I43),0))+IF((158='V06 Calend 01'!D43),'V06 Calend 01'!J43,0))</f>
        <v>0</v>
      </c>
      <c r="FO43" s="2">
        <f>((IF((159='V06 Calend 01'!C43),('V06 Calend 01'!F43+'V06 Calend 01'!G43),0)+IF(AND(('V06 Calend 01'!E43&gt;0),(159&gt;'V06 Calend 01'!C43),(159&lt;'V06 Calend 01'!D43),(MOD((159-'V06 Calend 01'!C43),6)=0),(((159-'V06 Calend 01'!C43)/6)&lt;='V06 Calend 01'!E43)),IF((159=('V06 Calend 01'!C43+(6*'V06 Calend 01'!E43))),('V06 Calend 01'!H43-('V06 Calend 01'!I43*('V06 Calend 01'!E43-1))),'V06 Calend 01'!I43),0))+IF((159='V06 Calend 01'!D43),'V06 Calend 01'!J43,0))</f>
        <v>0</v>
      </c>
      <c r="FP43" s="2">
        <f>((IF((160='V06 Calend 01'!C43),('V06 Calend 01'!F43+'V06 Calend 01'!G43),0)+IF(AND(('V06 Calend 01'!E43&gt;0),(160&gt;'V06 Calend 01'!C43),(160&lt;'V06 Calend 01'!D43),(MOD((160-'V06 Calend 01'!C43),6)=0),(((160-'V06 Calend 01'!C43)/6)&lt;='V06 Calend 01'!E43)),IF((160=('V06 Calend 01'!C43+(6*'V06 Calend 01'!E43))),('V06 Calend 01'!H43-('V06 Calend 01'!I43*('V06 Calend 01'!E43-1))),'V06 Calend 01'!I43),0))+IF((160='V06 Calend 01'!D43),'V06 Calend 01'!J43,0))</f>
        <v>0</v>
      </c>
      <c r="FQ43" s="2">
        <f>((IF((161='V06 Calend 01'!C43),('V06 Calend 01'!F43+'V06 Calend 01'!G43),0)+IF(AND(('V06 Calend 01'!E43&gt;0),(161&gt;'V06 Calend 01'!C43),(161&lt;'V06 Calend 01'!D43),(MOD((161-'V06 Calend 01'!C43),6)=0),(((161-'V06 Calend 01'!C43)/6)&lt;='V06 Calend 01'!E43)),IF((161=('V06 Calend 01'!C43+(6*'V06 Calend 01'!E43))),('V06 Calend 01'!H43-('V06 Calend 01'!I43*('V06 Calend 01'!E43-1))),'V06 Calend 01'!I43),0))+IF((161='V06 Calend 01'!D43),'V06 Calend 01'!J43,0))</f>
        <v>0</v>
      </c>
      <c r="FR43" s="2">
        <f>((IF((162='V06 Calend 01'!C43),('V06 Calend 01'!F43+'V06 Calend 01'!G43),0)+IF(AND(('V06 Calend 01'!E43&gt;0),(162&gt;'V06 Calend 01'!C43),(162&lt;'V06 Calend 01'!D43),(MOD((162-'V06 Calend 01'!C43),6)=0),(((162-'V06 Calend 01'!C43)/6)&lt;='V06 Calend 01'!E43)),IF((162=('V06 Calend 01'!C43+(6*'V06 Calend 01'!E43))),('V06 Calend 01'!H43-('V06 Calend 01'!I43*('V06 Calend 01'!E43-1))),'V06 Calend 01'!I43),0))+IF((162='V06 Calend 01'!D43),'V06 Calend 01'!J43,0))</f>
        <v>0</v>
      </c>
      <c r="FS43" s="2">
        <f>((IF((163='V06 Calend 01'!C43),('V06 Calend 01'!F43+'V06 Calend 01'!G43),0)+IF(AND(('V06 Calend 01'!E43&gt;0),(163&gt;'V06 Calend 01'!C43),(163&lt;'V06 Calend 01'!D43),(MOD((163-'V06 Calend 01'!C43),6)=0),(((163-'V06 Calend 01'!C43)/6)&lt;='V06 Calend 01'!E43)),IF((163=('V06 Calend 01'!C43+(6*'V06 Calend 01'!E43))),('V06 Calend 01'!H43-('V06 Calend 01'!I43*('V06 Calend 01'!E43-1))),'V06 Calend 01'!I43),0))+IF((163='V06 Calend 01'!D43),'V06 Calend 01'!J43,0))</f>
        <v>0</v>
      </c>
      <c r="FT43" s="2">
        <f>((IF((164='V06 Calend 01'!C43),('V06 Calend 01'!F43+'V06 Calend 01'!G43),0)+IF(AND(('V06 Calend 01'!E43&gt;0),(164&gt;'V06 Calend 01'!C43),(164&lt;'V06 Calend 01'!D43),(MOD((164-'V06 Calend 01'!C43),6)=0),(((164-'V06 Calend 01'!C43)/6)&lt;='V06 Calend 01'!E43)),IF((164=('V06 Calend 01'!C43+(6*'V06 Calend 01'!E43))),('V06 Calend 01'!H43-('V06 Calend 01'!I43*('V06 Calend 01'!E43-1))),'V06 Calend 01'!I43),0))+IF((164='V06 Calend 01'!D43),'V06 Calend 01'!J43,0))</f>
        <v>0</v>
      </c>
      <c r="FU43" s="2">
        <f>((IF((165='V06 Calend 01'!C43),('V06 Calend 01'!F43+'V06 Calend 01'!G43),0)+IF(AND(('V06 Calend 01'!E43&gt;0),(165&gt;'V06 Calend 01'!C43),(165&lt;'V06 Calend 01'!D43),(MOD((165-'V06 Calend 01'!C43),6)=0),(((165-'V06 Calend 01'!C43)/6)&lt;='V06 Calend 01'!E43)),IF((165=('V06 Calend 01'!C43+(6*'V06 Calend 01'!E43))),('V06 Calend 01'!H43-('V06 Calend 01'!I43*('V06 Calend 01'!E43-1))),'V06 Calend 01'!I43),0))+IF((165='V06 Calend 01'!D43),'V06 Calend 01'!J43,0))</f>
        <v>0</v>
      </c>
      <c r="FV43" s="2">
        <f>((IF((166='V06 Calend 01'!C43),('V06 Calend 01'!F43+'V06 Calend 01'!G43),0)+IF(AND(('V06 Calend 01'!E43&gt;0),(166&gt;'V06 Calend 01'!C43),(166&lt;'V06 Calend 01'!D43),(MOD((166-'V06 Calend 01'!C43),6)=0),(((166-'V06 Calend 01'!C43)/6)&lt;='V06 Calend 01'!E43)),IF((166=('V06 Calend 01'!C43+(6*'V06 Calend 01'!E43))),('V06 Calend 01'!H43-('V06 Calend 01'!I43*('V06 Calend 01'!E43-1))),'V06 Calend 01'!I43),0))+IF((166='V06 Calend 01'!D43),'V06 Calend 01'!J43,0))</f>
        <v>0</v>
      </c>
      <c r="FW43" s="2">
        <f>((IF((167='V06 Calend 01'!C43),('V06 Calend 01'!F43+'V06 Calend 01'!G43),0)+IF(AND(('V06 Calend 01'!E43&gt;0),(167&gt;'V06 Calend 01'!C43),(167&lt;'V06 Calend 01'!D43),(MOD((167-'V06 Calend 01'!C43),6)=0),(((167-'V06 Calend 01'!C43)/6)&lt;='V06 Calend 01'!E43)),IF((167=('V06 Calend 01'!C43+(6*'V06 Calend 01'!E43))),('V06 Calend 01'!H43-('V06 Calend 01'!I43*('V06 Calend 01'!E43-1))),'V06 Calend 01'!I43),0))+IF((167='V06 Calend 01'!D43),'V06 Calend 01'!J43,0))</f>
        <v>0</v>
      </c>
      <c r="FX43" s="2">
        <f>((IF((168='V06 Calend 01'!C43),('V06 Calend 01'!F43+'V06 Calend 01'!G43),0)+IF(AND(('V06 Calend 01'!E43&gt;0),(168&gt;'V06 Calend 01'!C43),(168&lt;'V06 Calend 01'!D43),(MOD((168-'V06 Calend 01'!C43),6)=0),(((168-'V06 Calend 01'!C43)/6)&lt;='V06 Calend 01'!E43)),IF((168=('V06 Calend 01'!C43+(6*'V06 Calend 01'!E43))),('V06 Calend 01'!H43-('V06 Calend 01'!I43*('V06 Calend 01'!E43-1))),'V06 Calend 01'!I43),0))+IF((168='V06 Calend 01'!D43),'V06 Calend 01'!J43,0))</f>
        <v>0</v>
      </c>
      <c r="FY43" s="2">
        <f>((IF((169='V06 Calend 01'!C43),('V06 Calend 01'!F43+'V06 Calend 01'!G43),0)+IF(AND(('V06 Calend 01'!E43&gt;0),(169&gt;'V06 Calend 01'!C43),(169&lt;'V06 Calend 01'!D43),(MOD((169-'V06 Calend 01'!C43),6)=0),(((169-'V06 Calend 01'!C43)/6)&lt;='V06 Calend 01'!E43)),IF((169=('V06 Calend 01'!C43+(6*'V06 Calend 01'!E43))),('V06 Calend 01'!H43-('V06 Calend 01'!I43*('V06 Calend 01'!E43-1))),'V06 Calend 01'!I43),0))+IF((169='V06 Calend 01'!D43),'V06 Calend 01'!J43,0))</f>
        <v>0</v>
      </c>
      <c r="FZ43" s="2">
        <f>((IF((170='V06 Calend 01'!C43),('V06 Calend 01'!F43+'V06 Calend 01'!G43),0)+IF(AND(('V06 Calend 01'!E43&gt;0),(170&gt;'V06 Calend 01'!C43),(170&lt;'V06 Calend 01'!D43),(MOD((170-'V06 Calend 01'!C43),6)=0),(((170-'V06 Calend 01'!C43)/6)&lt;='V06 Calend 01'!E43)),IF((170=('V06 Calend 01'!C43+(6*'V06 Calend 01'!E43))),('V06 Calend 01'!H43-('V06 Calend 01'!I43*('V06 Calend 01'!E43-1))),'V06 Calend 01'!I43),0))+IF((170='V06 Calend 01'!D43),'V06 Calend 01'!J43,0))</f>
        <v>0</v>
      </c>
      <c r="GA43" s="2">
        <f>((IF((171='V06 Calend 01'!C43),('V06 Calend 01'!F43+'V06 Calend 01'!G43),0)+IF(AND(('V06 Calend 01'!E43&gt;0),(171&gt;'V06 Calend 01'!C43),(171&lt;'V06 Calend 01'!D43),(MOD((171-'V06 Calend 01'!C43),6)=0),(((171-'V06 Calend 01'!C43)/6)&lt;='V06 Calend 01'!E43)),IF((171=('V06 Calend 01'!C43+(6*'V06 Calend 01'!E43))),('V06 Calend 01'!H43-('V06 Calend 01'!I43*('V06 Calend 01'!E43-1))),'V06 Calend 01'!I43),0))+IF((171='V06 Calend 01'!D43),'V06 Calend 01'!J43,0))</f>
        <v>0</v>
      </c>
      <c r="GB43" s="2">
        <f>((IF((172='V06 Calend 01'!C43),('V06 Calend 01'!F43+'V06 Calend 01'!G43),0)+IF(AND(('V06 Calend 01'!E43&gt;0),(172&gt;'V06 Calend 01'!C43),(172&lt;'V06 Calend 01'!D43),(MOD((172-'V06 Calend 01'!C43),6)=0),(((172-'V06 Calend 01'!C43)/6)&lt;='V06 Calend 01'!E43)),IF((172=('V06 Calend 01'!C43+(6*'V06 Calend 01'!E43))),('V06 Calend 01'!H43-('V06 Calend 01'!I43*('V06 Calend 01'!E43-1))),'V06 Calend 01'!I43),0))+IF((172='V06 Calend 01'!D43),'V06 Calend 01'!J43,0))</f>
        <v>0</v>
      </c>
      <c r="GC43" s="2">
        <f>((IF((173='V06 Calend 01'!C43),('V06 Calend 01'!F43+'V06 Calend 01'!G43),0)+IF(AND(('V06 Calend 01'!E43&gt;0),(173&gt;'V06 Calend 01'!C43),(173&lt;'V06 Calend 01'!D43),(MOD((173-'V06 Calend 01'!C43),6)=0),(((173-'V06 Calend 01'!C43)/6)&lt;='V06 Calend 01'!E43)),IF((173=('V06 Calend 01'!C43+(6*'V06 Calend 01'!E43))),('V06 Calend 01'!H43-('V06 Calend 01'!I43*('V06 Calend 01'!E43-1))),'V06 Calend 01'!I43),0))+IF((173='V06 Calend 01'!D43),'V06 Calend 01'!J43,0))</f>
        <v>0</v>
      </c>
      <c r="GD43" s="2">
        <f>((IF((174='V06 Calend 01'!C43),('V06 Calend 01'!F43+'V06 Calend 01'!G43),0)+IF(AND(('V06 Calend 01'!E43&gt;0),(174&gt;'V06 Calend 01'!C43),(174&lt;'V06 Calend 01'!D43),(MOD((174-'V06 Calend 01'!C43),6)=0),(((174-'V06 Calend 01'!C43)/6)&lt;='V06 Calend 01'!E43)),IF((174=('V06 Calend 01'!C43+(6*'V06 Calend 01'!E43))),('V06 Calend 01'!H43-('V06 Calend 01'!I43*('V06 Calend 01'!E43-1))),'V06 Calend 01'!I43),0))+IF((174='V06 Calend 01'!D43),'V06 Calend 01'!J43,0))</f>
        <v>0</v>
      </c>
      <c r="GE43" s="2">
        <f>((IF((175='V06 Calend 01'!C43),('V06 Calend 01'!F43+'V06 Calend 01'!G43),0)+IF(AND(('V06 Calend 01'!E43&gt;0),(175&gt;'V06 Calend 01'!C43),(175&lt;'V06 Calend 01'!D43),(MOD((175-'V06 Calend 01'!C43),6)=0),(((175-'V06 Calend 01'!C43)/6)&lt;='V06 Calend 01'!E43)),IF((175=('V06 Calend 01'!C43+(6*'V06 Calend 01'!E43))),('V06 Calend 01'!H43-('V06 Calend 01'!I43*('V06 Calend 01'!E43-1))),'V06 Calend 01'!I43),0))+IF((175='V06 Calend 01'!D43),'V06 Calend 01'!J43,0))</f>
        <v>0</v>
      </c>
      <c r="GF43" s="2">
        <f>((IF((176='V06 Calend 01'!C43),('V06 Calend 01'!F43+'V06 Calend 01'!G43),0)+IF(AND(('V06 Calend 01'!E43&gt;0),(176&gt;'V06 Calend 01'!C43),(176&lt;'V06 Calend 01'!D43),(MOD((176-'V06 Calend 01'!C43),6)=0),(((176-'V06 Calend 01'!C43)/6)&lt;='V06 Calend 01'!E43)),IF((176=('V06 Calend 01'!C43+(6*'V06 Calend 01'!E43))),('V06 Calend 01'!H43-('V06 Calend 01'!I43*('V06 Calend 01'!E43-1))),'V06 Calend 01'!I43),0))+IF((176='V06 Calend 01'!D43),'V06 Calend 01'!J43,0))</f>
        <v>0</v>
      </c>
      <c r="GG43" s="2">
        <f>((IF((177='V06 Calend 01'!C43),('V06 Calend 01'!F43+'V06 Calend 01'!G43),0)+IF(AND(('V06 Calend 01'!E43&gt;0),(177&gt;'V06 Calend 01'!C43),(177&lt;'V06 Calend 01'!D43),(MOD((177-'V06 Calend 01'!C43),6)=0),(((177-'V06 Calend 01'!C43)/6)&lt;='V06 Calend 01'!E43)),IF((177=('V06 Calend 01'!C43+(6*'V06 Calend 01'!E43))),('V06 Calend 01'!H43-('V06 Calend 01'!I43*('V06 Calend 01'!E43-1))),'V06 Calend 01'!I43),0))+IF((177='V06 Calend 01'!D43),'V06 Calend 01'!J43,0))</f>
        <v>0</v>
      </c>
      <c r="GH43" s="2">
        <f>((IF((178='V06 Calend 01'!C43),('V06 Calend 01'!F43+'V06 Calend 01'!G43),0)+IF(AND(('V06 Calend 01'!E43&gt;0),(178&gt;'V06 Calend 01'!C43),(178&lt;'V06 Calend 01'!D43),(MOD((178-'V06 Calend 01'!C43),6)=0),(((178-'V06 Calend 01'!C43)/6)&lt;='V06 Calend 01'!E43)),IF((178=('V06 Calend 01'!C43+(6*'V06 Calend 01'!E43))),('V06 Calend 01'!H43-('V06 Calend 01'!I43*('V06 Calend 01'!E43-1))),'V06 Calend 01'!I43),0))+IF((178='V06 Calend 01'!D43),'V06 Calend 01'!J43,0))</f>
        <v>0</v>
      </c>
      <c r="GI43" s="2">
        <f>((IF((179='V06 Calend 01'!C43),('V06 Calend 01'!F43+'V06 Calend 01'!G43),0)+IF(AND(('V06 Calend 01'!E43&gt;0),(179&gt;'V06 Calend 01'!C43),(179&lt;'V06 Calend 01'!D43),(MOD((179-'V06 Calend 01'!C43),6)=0),(((179-'V06 Calend 01'!C43)/6)&lt;='V06 Calend 01'!E43)),IF((179=('V06 Calend 01'!C43+(6*'V06 Calend 01'!E43))),('V06 Calend 01'!H43-('V06 Calend 01'!I43*('V06 Calend 01'!E43-1))),'V06 Calend 01'!I43),0))+IF((179='V06 Calend 01'!D43),'V06 Calend 01'!J43,0))</f>
        <v>0</v>
      </c>
      <c r="GJ43" s="2">
        <f>((IF((180='V06 Calend 01'!C43),('V06 Calend 01'!F43+'V06 Calend 01'!G43),0)+IF(AND(('V06 Calend 01'!E43&gt;0),(180&gt;'V06 Calend 01'!C43),(180&lt;'V06 Calend 01'!D43),(MOD((180-'V06 Calend 01'!C43),6)=0),(((180-'V06 Calend 01'!C43)/6)&lt;='V06 Calend 01'!E43)),IF((180=('V06 Calend 01'!C43+(6*'V06 Calend 01'!E43))),('V06 Calend 01'!H43-('V06 Calend 01'!I43*('V06 Calend 01'!E43-1))),'V06 Calend 01'!I43),0))+IF((180='V06 Calend 01'!D43),'V06 Calend 01'!J43,0))</f>
        <v>0</v>
      </c>
    </row>
    <row r="44" spans="1:192">
      <c r="A44" s="3" t="str">
        <f>'V06 Unidades'!$A$44</f>
        <v>510</v>
      </c>
      <c r="B44" s="2">
        <f>'V06 Unidades'!$H$44</f>
        <v>620695.3</v>
      </c>
      <c r="C44" s="4">
        <f>('V06 Unidades'!$I$44+'V06 Controlos'!$B$37)</f>
        <v>1</v>
      </c>
      <c r="D44" s="4">
        <f>IF(('V06 Controlos'!$B$38&gt;0),MAX(('V06 Unidades'!$L$44+'V06 Controlos'!$B$37),(30+'V06 Controlos'!$B$38)),('V06 Unidades'!$L$44+'V06 Controlos'!$B$37))</f>
        <v>28</v>
      </c>
      <c r="E44" s="4">
        <f>MAX(0,INT(((('V06 Calend 01'!D44-'V06 Calend 01'!C44)-1)/6)))</f>
        <v>4</v>
      </c>
      <c r="F44" s="2">
        <f>ROUND(('V06 Calend 01'!B44*0.05),2)</f>
        <v>31034.77</v>
      </c>
      <c r="G44" s="2">
        <f>ROUND(('V06 Calend 01'!B44*0.2),2)</f>
        <v>124139.06</v>
      </c>
      <c r="H44" s="2">
        <f>ROUND(('V06 Calend 01'!B44*0.55),2)</f>
        <v>341382.42</v>
      </c>
      <c r="I44" s="2">
        <f>ROUND(('V06 Calend 01'!H44/MAX(1,'V06 Calend 01'!E44)),2)</f>
        <v>85345.61</v>
      </c>
      <c r="J44" s="2">
        <f>((('V06 Calend 01'!B44-'V06 Calend 01'!F44)-'V06 Calend 01'!G44)-'V06 Calend 01'!H44)</f>
        <v>124139.05000000005</v>
      </c>
      <c r="K44" s="2">
        <f>('V06 Calend 01'!B44*0.025)</f>
        <v>15517.382500000002</v>
      </c>
      <c r="L44" t="s">
        <v>378</v>
      </c>
      <c r="M44" s="2">
        <f>((IF((1='V06 Calend 01'!C44),('V06 Calend 01'!F44+'V06 Calend 01'!G44),0)+IF(AND(('V06 Calend 01'!E44&gt;0),(1&gt;'V06 Calend 01'!C44),(1&lt;'V06 Calend 01'!D44),(MOD((1-'V06 Calend 01'!C44),6)=0),(((1-'V06 Calend 01'!C44)/6)&lt;='V06 Calend 01'!E44)),IF((1=('V06 Calend 01'!C44+(6*'V06 Calend 01'!E44))),('V06 Calend 01'!H44-('V06 Calend 01'!I44*('V06 Calend 01'!E44-1))),'V06 Calend 01'!I44),0))+IF((1='V06 Calend 01'!D44),'V06 Calend 01'!J44,0))</f>
        <v>155173.83</v>
      </c>
      <c r="N44" s="2">
        <f>((IF((2='V06 Calend 01'!C44),('V06 Calend 01'!F44+'V06 Calend 01'!G44),0)+IF(AND(('V06 Calend 01'!E44&gt;0),(2&gt;'V06 Calend 01'!C44),(2&lt;'V06 Calend 01'!D44),(MOD((2-'V06 Calend 01'!C44),6)=0),(((2-'V06 Calend 01'!C44)/6)&lt;='V06 Calend 01'!E44)),IF((2=('V06 Calend 01'!C44+(6*'V06 Calend 01'!E44))),('V06 Calend 01'!H44-('V06 Calend 01'!I44*('V06 Calend 01'!E44-1))),'V06 Calend 01'!I44),0))+IF((2='V06 Calend 01'!D44),'V06 Calend 01'!J44,0))</f>
        <v>0</v>
      </c>
      <c r="O44" s="2">
        <f>((IF((3='V06 Calend 01'!C44),('V06 Calend 01'!F44+'V06 Calend 01'!G44),0)+IF(AND(('V06 Calend 01'!E44&gt;0),(3&gt;'V06 Calend 01'!C44),(3&lt;'V06 Calend 01'!D44),(MOD((3-'V06 Calend 01'!C44),6)=0),(((3-'V06 Calend 01'!C44)/6)&lt;='V06 Calend 01'!E44)),IF((3=('V06 Calend 01'!C44+(6*'V06 Calend 01'!E44))),('V06 Calend 01'!H44-('V06 Calend 01'!I44*('V06 Calend 01'!E44-1))),'V06 Calend 01'!I44),0))+IF((3='V06 Calend 01'!D44),'V06 Calend 01'!J44,0))</f>
        <v>0</v>
      </c>
      <c r="P44" s="2">
        <f>((IF((4='V06 Calend 01'!C44),('V06 Calend 01'!F44+'V06 Calend 01'!G44),0)+IF(AND(('V06 Calend 01'!E44&gt;0),(4&gt;'V06 Calend 01'!C44),(4&lt;'V06 Calend 01'!D44),(MOD((4-'V06 Calend 01'!C44),6)=0),(((4-'V06 Calend 01'!C44)/6)&lt;='V06 Calend 01'!E44)),IF((4=('V06 Calend 01'!C44+(6*'V06 Calend 01'!E44))),('V06 Calend 01'!H44-('V06 Calend 01'!I44*('V06 Calend 01'!E44-1))),'V06 Calend 01'!I44),0))+IF((4='V06 Calend 01'!D44),'V06 Calend 01'!J44,0))</f>
        <v>0</v>
      </c>
      <c r="Q44" s="2">
        <f>((IF((5='V06 Calend 01'!C44),('V06 Calend 01'!F44+'V06 Calend 01'!G44),0)+IF(AND(('V06 Calend 01'!E44&gt;0),(5&gt;'V06 Calend 01'!C44),(5&lt;'V06 Calend 01'!D44),(MOD((5-'V06 Calend 01'!C44),6)=0),(((5-'V06 Calend 01'!C44)/6)&lt;='V06 Calend 01'!E44)),IF((5=('V06 Calend 01'!C44+(6*'V06 Calend 01'!E44))),('V06 Calend 01'!H44-('V06 Calend 01'!I44*('V06 Calend 01'!E44-1))),'V06 Calend 01'!I44),0))+IF((5='V06 Calend 01'!D44),'V06 Calend 01'!J44,0))</f>
        <v>0</v>
      </c>
      <c r="R44" s="2">
        <f>((IF((6='V06 Calend 01'!C44),('V06 Calend 01'!F44+'V06 Calend 01'!G44),0)+IF(AND(('V06 Calend 01'!E44&gt;0),(6&gt;'V06 Calend 01'!C44),(6&lt;'V06 Calend 01'!D44),(MOD((6-'V06 Calend 01'!C44),6)=0),(((6-'V06 Calend 01'!C44)/6)&lt;='V06 Calend 01'!E44)),IF((6=('V06 Calend 01'!C44+(6*'V06 Calend 01'!E44))),('V06 Calend 01'!H44-('V06 Calend 01'!I44*('V06 Calend 01'!E44-1))),'V06 Calend 01'!I44),0))+IF((6='V06 Calend 01'!D44),'V06 Calend 01'!J44,0))</f>
        <v>0</v>
      </c>
      <c r="S44" s="2">
        <f>((IF((7='V06 Calend 01'!C44),('V06 Calend 01'!F44+'V06 Calend 01'!G44),0)+IF(AND(('V06 Calend 01'!E44&gt;0),(7&gt;'V06 Calend 01'!C44),(7&lt;'V06 Calend 01'!D44),(MOD((7-'V06 Calend 01'!C44),6)=0),(((7-'V06 Calend 01'!C44)/6)&lt;='V06 Calend 01'!E44)),IF((7=('V06 Calend 01'!C44+(6*'V06 Calend 01'!E44))),('V06 Calend 01'!H44-('V06 Calend 01'!I44*('V06 Calend 01'!E44-1))),'V06 Calend 01'!I44),0))+IF((7='V06 Calend 01'!D44),'V06 Calend 01'!J44,0))</f>
        <v>85345.61</v>
      </c>
      <c r="T44" s="2">
        <f>((IF((8='V06 Calend 01'!C44),('V06 Calend 01'!F44+'V06 Calend 01'!G44),0)+IF(AND(('V06 Calend 01'!E44&gt;0),(8&gt;'V06 Calend 01'!C44),(8&lt;'V06 Calend 01'!D44),(MOD((8-'V06 Calend 01'!C44),6)=0),(((8-'V06 Calend 01'!C44)/6)&lt;='V06 Calend 01'!E44)),IF((8=('V06 Calend 01'!C44+(6*'V06 Calend 01'!E44))),('V06 Calend 01'!H44-('V06 Calend 01'!I44*('V06 Calend 01'!E44-1))),'V06 Calend 01'!I44),0))+IF((8='V06 Calend 01'!D44),'V06 Calend 01'!J44,0))</f>
        <v>0</v>
      </c>
      <c r="U44" s="2">
        <f>((IF((9='V06 Calend 01'!C44),('V06 Calend 01'!F44+'V06 Calend 01'!G44),0)+IF(AND(('V06 Calend 01'!E44&gt;0),(9&gt;'V06 Calend 01'!C44),(9&lt;'V06 Calend 01'!D44),(MOD((9-'V06 Calend 01'!C44),6)=0),(((9-'V06 Calend 01'!C44)/6)&lt;='V06 Calend 01'!E44)),IF((9=('V06 Calend 01'!C44+(6*'V06 Calend 01'!E44))),('V06 Calend 01'!H44-('V06 Calend 01'!I44*('V06 Calend 01'!E44-1))),'V06 Calend 01'!I44),0))+IF((9='V06 Calend 01'!D44),'V06 Calend 01'!J44,0))</f>
        <v>0</v>
      </c>
      <c r="V44" s="2">
        <f>((IF((10='V06 Calend 01'!C44),('V06 Calend 01'!F44+'V06 Calend 01'!G44),0)+IF(AND(('V06 Calend 01'!E44&gt;0),(10&gt;'V06 Calend 01'!C44),(10&lt;'V06 Calend 01'!D44),(MOD((10-'V06 Calend 01'!C44),6)=0),(((10-'V06 Calend 01'!C44)/6)&lt;='V06 Calend 01'!E44)),IF((10=('V06 Calend 01'!C44+(6*'V06 Calend 01'!E44))),('V06 Calend 01'!H44-('V06 Calend 01'!I44*('V06 Calend 01'!E44-1))),'V06 Calend 01'!I44),0))+IF((10='V06 Calend 01'!D44),'V06 Calend 01'!J44,0))</f>
        <v>0</v>
      </c>
      <c r="W44" s="2">
        <f>((IF((11='V06 Calend 01'!C44),('V06 Calend 01'!F44+'V06 Calend 01'!G44),0)+IF(AND(('V06 Calend 01'!E44&gt;0),(11&gt;'V06 Calend 01'!C44),(11&lt;'V06 Calend 01'!D44),(MOD((11-'V06 Calend 01'!C44),6)=0),(((11-'V06 Calend 01'!C44)/6)&lt;='V06 Calend 01'!E44)),IF((11=('V06 Calend 01'!C44+(6*'V06 Calend 01'!E44))),('V06 Calend 01'!H44-('V06 Calend 01'!I44*('V06 Calend 01'!E44-1))),'V06 Calend 01'!I44),0))+IF((11='V06 Calend 01'!D44),'V06 Calend 01'!J44,0))</f>
        <v>0</v>
      </c>
      <c r="X44" s="2">
        <f>((IF((12='V06 Calend 01'!C44),('V06 Calend 01'!F44+'V06 Calend 01'!G44),0)+IF(AND(('V06 Calend 01'!E44&gt;0),(12&gt;'V06 Calend 01'!C44),(12&lt;'V06 Calend 01'!D44),(MOD((12-'V06 Calend 01'!C44),6)=0),(((12-'V06 Calend 01'!C44)/6)&lt;='V06 Calend 01'!E44)),IF((12=('V06 Calend 01'!C44+(6*'V06 Calend 01'!E44))),('V06 Calend 01'!H44-('V06 Calend 01'!I44*('V06 Calend 01'!E44-1))),'V06 Calend 01'!I44),0))+IF((12='V06 Calend 01'!D44),'V06 Calend 01'!J44,0))</f>
        <v>0</v>
      </c>
      <c r="Y44" s="2">
        <f>((IF((13='V06 Calend 01'!C44),('V06 Calend 01'!F44+'V06 Calend 01'!G44),0)+IF(AND(('V06 Calend 01'!E44&gt;0),(13&gt;'V06 Calend 01'!C44),(13&lt;'V06 Calend 01'!D44),(MOD((13-'V06 Calend 01'!C44),6)=0),(((13-'V06 Calend 01'!C44)/6)&lt;='V06 Calend 01'!E44)),IF((13=('V06 Calend 01'!C44+(6*'V06 Calend 01'!E44))),('V06 Calend 01'!H44-('V06 Calend 01'!I44*('V06 Calend 01'!E44-1))),'V06 Calend 01'!I44),0))+IF((13='V06 Calend 01'!D44),'V06 Calend 01'!J44,0))</f>
        <v>85345.61</v>
      </c>
      <c r="Z44" s="2">
        <f>((IF((14='V06 Calend 01'!C44),('V06 Calend 01'!F44+'V06 Calend 01'!G44),0)+IF(AND(('V06 Calend 01'!E44&gt;0),(14&gt;'V06 Calend 01'!C44),(14&lt;'V06 Calend 01'!D44),(MOD((14-'V06 Calend 01'!C44),6)=0),(((14-'V06 Calend 01'!C44)/6)&lt;='V06 Calend 01'!E44)),IF((14=('V06 Calend 01'!C44+(6*'V06 Calend 01'!E44))),('V06 Calend 01'!H44-('V06 Calend 01'!I44*('V06 Calend 01'!E44-1))),'V06 Calend 01'!I44),0))+IF((14='V06 Calend 01'!D44),'V06 Calend 01'!J44,0))</f>
        <v>0</v>
      </c>
      <c r="AA44" s="2">
        <f>((IF((15='V06 Calend 01'!C44),('V06 Calend 01'!F44+'V06 Calend 01'!G44),0)+IF(AND(('V06 Calend 01'!E44&gt;0),(15&gt;'V06 Calend 01'!C44),(15&lt;'V06 Calend 01'!D44),(MOD((15-'V06 Calend 01'!C44),6)=0),(((15-'V06 Calend 01'!C44)/6)&lt;='V06 Calend 01'!E44)),IF((15=('V06 Calend 01'!C44+(6*'V06 Calend 01'!E44))),('V06 Calend 01'!H44-('V06 Calend 01'!I44*('V06 Calend 01'!E44-1))),'V06 Calend 01'!I44),0))+IF((15='V06 Calend 01'!D44),'V06 Calend 01'!J44,0))</f>
        <v>0</v>
      </c>
      <c r="AB44" s="2">
        <f>((IF((16='V06 Calend 01'!C44),('V06 Calend 01'!F44+'V06 Calend 01'!G44),0)+IF(AND(('V06 Calend 01'!E44&gt;0),(16&gt;'V06 Calend 01'!C44),(16&lt;'V06 Calend 01'!D44),(MOD((16-'V06 Calend 01'!C44),6)=0),(((16-'V06 Calend 01'!C44)/6)&lt;='V06 Calend 01'!E44)),IF((16=('V06 Calend 01'!C44+(6*'V06 Calend 01'!E44))),('V06 Calend 01'!H44-('V06 Calend 01'!I44*('V06 Calend 01'!E44-1))),'V06 Calend 01'!I44),0))+IF((16='V06 Calend 01'!D44),'V06 Calend 01'!J44,0))</f>
        <v>0</v>
      </c>
      <c r="AC44" s="2">
        <f>((IF((17='V06 Calend 01'!C44),('V06 Calend 01'!F44+'V06 Calend 01'!G44),0)+IF(AND(('V06 Calend 01'!E44&gt;0),(17&gt;'V06 Calend 01'!C44),(17&lt;'V06 Calend 01'!D44),(MOD((17-'V06 Calend 01'!C44),6)=0),(((17-'V06 Calend 01'!C44)/6)&lt;='V06 Calend 01'!E44)),IF((17=('V06 Calend 01'!C44+(6*'V06 Calend 01'!E44))),('V06 Calend 01'!H44-('V06 Calend 01'!I44*('V06 Calend 01'!E44-1))),'V06 Calend 01'!I44),0))+IF((17='V06 Calend 01'!D44),'V06 Calend 01'!J44,0))</f>
        <v>0</v>
      </c>
      <c r="AD44" s="2">
        <f>((IF((18='V06 Calend 01'!C44),('V06 Calend 01'!F44+'V06 Calend 01'!G44),0)+IF(AND(('V06 Calend 01'!E44&gt;0),(18&gt;'V06 Calend 01'!C44),(18&lt;'V06 Calend 01'!D44),(MOD((18-'V06 Calend 01'!C44),6)=0),(((18-'V06 Calend 01'!C44)/6)&lt;='V06 Calend 01'!E44)),IF((18=('V06 Calend 01'!C44+(6*'V06 Calend 01'!E44))),('V06 Calend 01'!H44-('V06 Calend 01'!I44*('V06 Calend 01'!E44-1))),'V06 Calend 01'!I44),0))+IF((18='V06 Calend 01'!D44),'V06 Calend 01'!J44,0))</f>
        <v>0</v>
      </c>
      <c r="AE44" s="2">
        <f>((IF((19='V06 Calend 01'!C44),('V06 Calend 01'!F44+'V06 Calend 01'!G44),0)+IF(AND(('V06 Calend 01'!E44&gt;0),(19&gt;'V06 Calend 01'!C44),(19&lt;'V06 Calend 01'!D44),(MOD((19-'V06 Calend 01'!C44),6)=0),(((19-'V06 Calend 01'!C44)/6)&lt;='V06 Calend 01'!E44)),IF((19=('V06 Calend 01'!C44+(6*'V06 Calend 01'!E44))),('V06 Calend 01'!H44-('V06 Calend 01'!I44*('V06 Calend 01'!E44-1))),'V06 Calend 01'!I44),0))+IF((19='V06 Calend 01'!D44),'V06 Calend 01'!J44,0))</f>
        <v>85345.61</v>
      </c>
      <c r="AF44" s="2">
        <f>((IF((20='V06 Calend 01'!C44),('V06 Calend 01'!F44+'V06 Calend 01'!G44),0)+IF(AND(('V06 Calend 01'!E44&gt;0),(20&gt;'V06 Calend 01'!C44),(20&lt;'V06 Calend 01'!D44),(MOD((20-'V06 Calend 01'!C44),6)=0),(((20-'V06 Calend 01'!C44)/6)&lt;='V06 Calend 01'!E44)),IF((20=('V06 Calend 01'!C44+(6*'V06 Calend 01'!E44))),('V06 Calend 01'!H44-('V06 Calend 01'!I44*('V06 Calend 01'!E44-1))),'V06 Calend 01'!I44),0))+IF((20='V06 Calend 01'!D44),'V06 Calend 01'!J44,0))</f>
        <v>0</v>
      </c>
      <c r="AG44" s="2">
        <f>((IF((21='V06 Calend 01'!C44),('V06 Calend 01'!F44+'V06 Calend 01'!G44),0)+IF(AND(('V06 Calend 01'!E44&gt;0),(21&gt;'V06 Calend 01'!C44),(21&lt;'V06 Calend 01'!D44),(MOD((21-'V06 Calend 01'!C44),6)=0),(((21-'V06 Calend 01'!C44)/6)&lt;='V06 Calend 01'!E44)),IF((21=('V06 Calend 01'!C44+(6*'V06 Calend 01'!E44))),('V06 Calend 01'!H44-('V06 Calend 01'!I44*('V06 Calend 01'!E44-1))),'V06 Calend 01'!I44),0))+IF((21='V06 Calend 01'!D44),'V06 Calend 01'!J44,0))</f>
        <v>0</v>
      </c>
      <c r="AH44" s="2">
        <f>((IF((22='V06 Calend 01'!C44),('V06 Calend 01'!F44+'V06 Calend 01'!G44),0)+IF(AND(('V06 Calend 01'!E44&gt;0),(22&gt;'V06 Calend 01'!C44),(22&lt;'V06 Calend 01'!D44),(MOD((22-'V06 Calend 01'!C44),6)=0),(((22-'V06 Calend 01'!C44)/6)&lt;='V06 Calend 01'!E44)),IF((22=('V06 Calend 01'!C44+(6*'V06 Calend 01'!E44))),('V06 Calend 01'!H44-('V06 Calend 01'!I44*('V06 Calend 01'!E44-1))),'V06 Calend 01'!I44),0))+IF((22='V06 Calend 01'!D44),'V06 Calend 01'!J44,0))</f>
        <v>0</v>
      </c>
      <c r="AI44" s="2">
        <f>((IF((23='V06 Calend 01'!C44),('V06 Calend 01'!F44+'V06 Calend 01'!G44),0)+IF(AND(('V06 Calend 01'!E44&gt;0),(23&gt;'V06 Calend 01'!C44),(23&lt;'V06 Calend 01'!D44),(MOD((23-'V06 Calend 01'!C44),6)=0),(((23-'V06 Calend 01'!C44)/6)&lt;='V06 Calend 01'!E44)),IF((23=('V06 Calend 01'!C44+(6*'V06 Calend 01'!E44))),('V06 Calend 01'!H44-('V06 Calend 01'!I44*('V06 Calend 01'!E44-1))),'V06 Calend 01'!I44),0))+IF((23='V06 Calend 01'!D44),'V06 Calend 01'!J44,0))</f>
        <v>0</v>
      </c>
      <c r="AJ44" s="2">
        <f>((IF((24='V06 Calend 01'!C44),('V06 Calend 01'!F44+'V06 Calend 01'!G44),0)+IF(AND(('V06 Calend 01'!E44&gt;0),(24&gt;'V06 Calend 01'!C44),(24&lt;'V06 Calend 01'!D44),(MOD((24-'V06 Calend 01'!C44),6)=0),(((24-'V06 Calend 01'!C44)/6)&lt;='V06 Calend 01'!E44)),IF((24=('V06 Calend 01'!C44+(6*'V06 Calend 01'!E44))),('V06 Calend 01'!H44-('V06 Calend 01'!I44*('V06 Calend 01'!E44-1))),'V06 Calend 01'!I44),0))+IF((24='V06 Calend 01'!D44),'V06 Calend 01'!J44,0))</f>
        <v>0</v>
      </c>
      <c r="AK44" s="2">
        <f>((IF((25='V06 Calend 01'!C44),('V06 Calend 01'!F44+'V06 Calend 01'!G44),0)+IF(AND(('V06 Calend 01'!E44&gt;0),(25&gt;'V06 Calend 01'!C44),(25&lt;'V06 Calend 01'!D44),(MOD((25-'V06 Calend 01'!C44),6)=0),(((25-'V06 Calend 01'!C44)/6)&lt;='V06 Calend 01'!E44)),IF((25=('V06 Calend 01'!C44+(6*'V06 Calend 01'!E44))),('V06 Calend 01'!H44-('V06 Calend 01'!I44*('V06 Calend 01'!E44-1))),'V06 Calend 01'!I44),0))+IF((25='V06 Calend 01'!D44),'V06 Calend 01'!J44,0))</f>
        <v>85345.58999999997</v>
      </c>
      <c r="AL44" s="2">
        <f>((IF((26='V06 Calend 01'!C44),('V06 Calend 01'!F44+'V06 Calend 01'!G44),0)+IF(AND(('V06 Calend 01'!E44&gt;0),(26&gt;'V06 Calend 01'!C44),(26&lt;'V06 Calend 01'!D44),(MOD((26-'V06 Calend 01'!C44),6)=0),(((26-'V06 Calend 01'!C44)/6)&lt;='V06 Calend 01'!E44)),IF((26=('V06 Calend 01'!C44+(6*'V06 Calend 01'!E44))),('V06 Calend 01'!H44-('V06 Calend 01'!I44*('V06 Calend 01'!E44-1))),'V06 Calend 01'!I44),0))+IF((26='V06 Calend 01'!D44),'V06 Calend 01'!J44,0))</f>
        <v>0</v>
      </c>
      <c r="AM44" s="2">
        <f>((IF((27='V06 Calend 01'!C44),('V06 Calend 01'!F44+'V06 Calend 01'!G44),0)+IF(AND(('V06 Calend 01'!E44&gt;0),(27&gt;'V06 Calend 01'!C44),(27&lt;'V06 Calend 01'!D44),(MOD((27-'V06 Calend 01'!C44),6)=0),(((27-'V06 Calend 01'!C44)/6)&lt;='V06 Calend 01'!E44)),IF((27=('V06 Calend 01'!C44+(6*'V06 Calend 01'!E44))),('V06 Calend 01'!H44-('V06 Calend 01'!I44*('V06 Calend 01'!E44-1))),'V06 Calend 01'!I44),0))+IF((27='V06 Calend 01'!D44),'V06 Calend 01'!J44,0))</f>
        <v>0</v>
      </c>
      <c r="AN44" s="2">
        <f>((IF((28='V06 Calend 01'!C44),('V06 Calend 01'!F44+'V06 Calend 01'!G44),0)+IF(AND(('V06 Calend 01'!E44&gt;0),(28&gt;'V06 Calend 01'!C44),(28&lt;'V06 Calend 01'!D44),(MOD((28-'V06 Calend 01'!C44),6)=0),(((28-'V06 Calend 01'!C44)/6)&lt;='V06 Calend 01'!E44)),IF((28=('V06 Calend 01'!C44+(6*'V06 Calend 01'!E44))),('V06 Calend 01'!H44-('V06 Calend 01'!I44*('V06 Calend 01'!E44-1))),'V06 Calend 01'!I44),0))+IF((28='V06 Calend 01'!D44),'V06 Calend 01'!J44,0))</f>
        <v>124139.05000000005</v>
      </c>
      <c r="AO44" s="2">
        <f>((IF((29='V06 Calend 01'!C44),('V06 Calend 01'!F44+'V06 Calend 01'!G44),0)+IF(AND(('V06 Calend 01'!E44&gt;0),(29&gt;'V06 Calend 01'!C44),(29&lt;'V06 Calend 01'!D44),(MOD((29-'V06 Calend 01'!C44),6)=0),(((29-'V06 Calend 01'!C44)/6)&lt;='V06 Calend 01'!E44)),IF((29=('V06 Calend 01'!C44+(6*'V06 Calend 01'!E44))),('V06 Calend 01'!H44-('V06 Calend 01'!I44*('V06 Calend 01'!E44-1))),'V06 Calend 01'!I44),0))+IF((29='V06 Calend 01'!D44),'V06 Calend 01'!J44,0))</f>
        <v>0</v>
      </c>
      <c r="AP44" s="2">
        <f>((IF((30='V06 Calend 01'!C44),('V06 Calend 01'!F44+'V06 Calend 01'!G44),0)+IF(AND(('V06 Calend 01'!E44&gt;0),(30&gt;'V06 Calend 01'!C44),(30&lt;'V06 Calend 01'!D44),(MOD((30-'V06 Calend 01'!C44),6)=0),(((30-'V06 Calend 01'!C44)/6)&lt;='V06 Calend 01'!E44)),IF((30=('V06 Calend 01'!C44+(6*'V06 Calend 01'!E44))),('V06 Calend 01'!H44-('V06 Calend 01'!I44*('V06 Calend 01'!E44-1))),'V06 Calend 01'!I44),0))+IF((30='V06 Calend 01'!D44),'V06 Calend 01'!J44,0))</f>
        <v>0</v>
      </c>
      <c r="AQ44" s="2">
        <f>((IF((31='V06 Calend 01'!C44),('V06 Calend 01'!F44+'V06 Calend 01'!G44),0)+IF(AND(('V06 Calend 01'!E44&gt;0),(31&gt;'V06 Calend 01'!C44),(31&lt;'V06 Calend 01'!D44),(MOD((31-'V06 Calend 01'!C44),6)=0),(((31-'V06 Calend 01'!C44)/6)&lt;='V06 Calend 01'!E44)),IF((31=('V06 Calend 01'!C44+(6*'V06 Calend 01'!E44))),('V06 Calend 01'!H44-('V06 Calend 01'!I44*('V06 Calend 01'!E44-1))),'V06 Calend 01'!I44),0))+IF((31='V06 Calend 01'!D44),'V06 Calend 01'!J44,0))</f>
        <v>0</v>
      </c>
      <c r="AR44" s="2">
        <f>((IF((32='V06 Calend 01'!C44),('V06 Calend 01'!F44+'V06 Calend 01'!G44),0)+IF(AND(('V06 Calend 01'!E44&gt;0),(32&gt;'V06 Calend 01'!C44),(32&lt;'V06 Calend 01'!D44),(MOD((32-'V06 Calend 01'!C44),6)=0),(((32-'V06 Calend 01'!C44)/6)&lt;='V06 Calend 01'!E44)),IF((32=('V06 Calend 01'!C44+(6*'V06 Calend 01'!E44))),('V06 Calend 01'!H44-('V06 Calend 01'!I44*('V06 Calend 01'!E44-1))),'V06 Calend 01'!I44),0))+IF((32='V06 Calend 01'!D44),'V06 Calend 01'!J44,0))</f>
        <v>0</v>
      </c>
      <c r="AS44" s="2">
        <f>((IF((33='V06 Calend 01'!C44),('V06 Calend 01'!F44+'V06 Calend 01'!G44),0)+IF(AND(('V06 Calend 01'!E44&gt;0),(33&gt;'V06 Calend 01'!C44),(33&lt;'V06 Calend 01'!D44),(MOD((33-'V06 Calend 01'!C44),6)=0),(((33-'V06 Calend 01'!C44)/6)&lt;='V06 Calend 01'!E44)),IF((33=('V06 Calend 01'!C44+(6*'V06 Calend 01'!E44))),('V06 Calend 01'!H44-('V06 Calend 01'!I44*('V06 Calend 01'!E44-1))),'V06 Calend 01'!I44),0))+IF((33='V06 Calend 01'!D44),'V06 Calend 01'!J44,0))</f>
        <v>0</v>
      </c>
      <c r="AT44" s="2">
        <f>((IF((34='V06 Calend 01'!C44),('V06 Calend 01'!F44+'V06 Calend 01'!G44),0)+IF(AND(('V06 Calend 01'!E44&gt;0),(34&gt;'V06 Calend 01'!C44),(34&lt;'V06 Calend 01'!D44),(MOD((34-'V06 Calend 01'!C44),6)=0),(((34-'V06 Calend 01'!C44)/6)&lt;='V06 Calend 01'!E44)),IF((34=('V06 Calend 01'!C44+(6*'V06 Calend 01'!E44))),('V06 Calend 01'!H44-('V06 Calend 01'!I44*('V06 Calend 01'!E44-1))),'V06 Calend 01'!I44),0))+IF((34='V06 Calend 01'!D44),'V06 Calend 01'!J44,0))</f>
        <v>0</v>
      </c>
      <c r="AU44" s="2">
        <f>((IF((35='V06 Calend 01'!C44),('V06 Calend 01'!F44+'V06 Calend 01'!G44),0)+IF(AND(('V06 Calend 01'!E44&gt;0),(35&gt;'V06 Calend 01'!C44),(35&lt;'V06 Calend 01'!D44),(MOD((35-'V06 Calend 01'!C44),6)=0),(((35-'V06 Calend 01'!C44)/6)&lt;='V06 Calend 01'!E44)),IF((35=('V06 Calend 01'!C44+(6*'V06 Calend 01'!E44))),('V06 Calend 01'!H44-('V06 Calend 01'!I44*('V06 Calend 01'!E44-1))),'V06 Calend 01'!I44),0))+IF((35='V06 Calend 01'!D44),'V06 Calend 01'!J44,0))</f>
        <v>0</v>
      </c>
      <c r="AV44" s="2">
        <f>((IF((36='V06 Calend 01'!C44),('V06 Calend 01'!F44+'V06 Calend 01'!G44),0)+IF(AND(('V06 Calend 01'!E44&gt;0),(36&gt;'V06 Calend 01'!C44),(36&lt;'V06 Calend 01'!D44),(MOD((36-'V06 Calend 01'!C44),6)=0),(((36-'V06 Calend 01'!C44)/6)&lt;='V06 Calend 01'!E44)),IF((36=('V06 Calend 01'!C44+(6*'V06 Calend 01'!E44))),('V06 Calend 01'!H44-('V06 Calend 01'!I44*('V06 Calend 01'!E44-1))),'V06 Calend 01'!I44),0))+IF((36='V06 Calend 01'!D44),'V06 Calend 01'!J44,0))</f>
        <v>0</v>
      </c>
      <c r="AW44" s="2">
        <f>((IF((37='V06 Calend 01'!C44),('V06 Calend 01'!F44+'V06 Calend 01'!G44),0)+IF(AND(('V06 Calend 01'!E44&gt;0),(37&gt;'V06 Calend 01'!C44),(37&lt;'V06 Calend 01'!D44),(MOD((37-'V06 Calend 01'!C44),6)=0),(((37-'V06 Calend 01'!C44)/6)&lt;='V06 Calend 01'!E44)),IF((37=('V06 Calend 01'!C44+(6*'V06 Calend 01'!E44))),('V06 Calend 01'!H44-('V06 Calend 01'!I44*('V06 Calend 01'!E44-1))),'V06 Calend 01'!I44),0))+IF((37='V06 Calend 01'!D44),'V06 Calend 01'!J44,0))</f>
        <v>0</v>
      </c>
      <c r="AX44" s="2">
        <f>((IF((38='V06 Calend 01'!C44),('V06 Calend 01'!F44+'V06 Calend 01'!G44),0)+IF(AND(('V06 Calend 01'!E44&gt;0),(38&gt;'V06 Calend 01'!C44),(38&lt;'V06 Calend 01'!D44),(MOD((38-'V06 Calend 01'!C44),6)=0),(((38-'V06 Calend 01'!C44)/6)&lt;='V06 Calend 01'!E44)),IF((38=('V06 Calend 01'!C44+(6*'V06 Calend 01'!E44))),('V06 Calend 01'!H44-('V06 Calend 01'!I44*('V06 Calend 01'!E44-1))),'V06 Calend 01'!I44),0))+IF((38='V06 Calend 01'!D44),'V06 Calend 01'!J44,0))</f>
        <v>0</v>
      </c>
      <c r="AY44" s="2">
        <f>((IF((39='V06 Calend 01'!C44),('V06 Calend 01'!F44+'V06 Calend 01'!G44),0)+IF(AND(('V06 Calend 01'!E44&gt;0),(39&gt;'V06 Calend 01'!C44),(39&lt;'V06 Calend 01'!D44),(MOD((39-'V06 Calend 01'!C44),6)=0),(((39-'V06 Calend 01'!C44)/6)&lt;='V06 Calend 01'!E44)),IF((39=('V06 Calend 01'!C44+(6*'V06 Calend 01'!E44))),('V06 Calend 01'!H44-('V06 Calend 01'!I44*('V06 Calend 01'!E44-1))),'V06 Calend 01'!I44),0))+IF((39='V06 Calend 01'!D44),'V06 Calend 01'!J44,0))</f>
        <v>0</v>
      </c>
      <c r="AZ44" s="2">
        <f>((IF((40='V06 Calend 01'!C44),('V06 Calend 01'!F44+'V06 Calend 01'!G44),0)+IF(AND(('V06 Calend 01'!E44&gt;0),(40&gt;'V06 Calend 01'!C44),(40&lt;'V06 Calend 01'!D44),(MOD((40-'V06 Calend 01'!C44),6)=0),(((40-'V06 Calend 01'!C44)/6)&lt;='V06 Calend 01'!E44)),IF((40=('V06 Calend 01'!C44+(6*'V06 Calend 01'!E44))),('V06 Calend 01'!H44-('V06 Calend 01'!I44*('V06 Calend 01'!E44-1))),'V06 Calend 01'!I44),0))+IF((40='V06 Calend 01'!D44),'V06 Calend 01'!J44,0))</f>
        <v>0</v>
      </c>
      <c r="BA44" s="2">
        <f>((IF((41='V06 Calend 01'!C44),('V06 Calend 01'!F44+'V06 Calend 01'!G44),0)+IF(AND(('V06 Calend 01'!E44&gt;0),(41&gt;'V06 Calend 01'!C44),(41&lt;'V06 Calend 01'!D44),(MOD((41-'V06 Calend 01'!C44),6)=0),(((41-'V06 Calend 01'!C44)/6)&lt;='V06 Calend 01'!E44)),IF((41=('V06 Calend 01'!C44+(6*'V06 Calend 01'!E44))),('V06 Calend 01'!H44-('V06 Calend 01'!I44*('V06 Calend 01'!E44-1))),'V06 Calend 01'!I44),0))+IF((41='V06 Calend 01'!D44),'V06 Calend 01'!J44,0))</f>
        <v>0</v>
      </c>
      <c r="BB44" s="2">
        <f>((IF((42='V06 Calend 01'!C44),('V06 Calend 01'!F44+'V06 Calend 01'!G44),0)+IF(AND(('V06 Calend 01'!E44&gt;0),(42&gt;'V06 Calend 01'!C44),(42&lt;'V06 Calend 01'!D44),(MOD((42-'V06 Calend 01'!C44),6)=0),(((42-'V06 Calend 01'!C44)/6)&lt;='V06 Calend 01'!E44)),IF((42=('V06 Calend 01'!C44+(6*'V06 Calend 01'!E44))),('V06 Calend 01'!H44-('V06 Calend 01'!I44*('V06 Calend 01'!E44-1))),'V06 Calend 01'!I44),0))+IF((42='V06 Calend 01'!D44),'V06 Calend 01'!J44,0))</f>
        <v>0</v>
      </c>
      <c r="BC44" s="2">
        <f>((IF((43='V06 Calend 01'!C44),('V06 Calend 01'!F44+'V06 Calend 01'!G44),0)+IF(AND(('V06 Calend 01'!E44&gt;0),(43&gt;'V06 Calend 01'!C44),(43&lt;'V06 Calend 01'!D44),(MOD((43-'V06 Calend 01'!C44),6)=0),(((43-'V06 Calend 01'!C44)/6)&lt;='V06 Calend 01'!E44)),IF((43=('V06 Calend 01'!C44+(6*'V06 Calend 01'!E44))),('V06 Calend 01'!H44-('V06 Calend 01'!I44*('V06 Calend 01'!E44-1))),'V06 Calend 01'!I44),0))+IF((43='V06 Calend 01'!D44),'V06 Calend 01'!J44,0))</f>
        <v>0</v>
      </c>
      <c r="BD44" s="2">
        <f>((IF((44='V06 Calend 01'!C44),('V06 Calend 01'!F44+'V06 Calend 01'!G44),0)+IF(AND(('V06 Calend 01'!E44&gt;0),(44&gt;'V06 Calend 01'!C44),(44&lt;'V06 Calend 01'!D44),(MOD((44-'V06 Calend 01'!C44),6)=0),(((44-'V06 Calend 01'!C44)/6)&lt;='V06 Calend 01'!E44)),IF((44=('V06 Calend 01'!C44+(6*'V06 Calend 01'!E44))),('V06 Calend 01'!H44-('V06 Calend 01'!I44*('V06 Calend 01'!E44-1))),'V06 Calend 01'!I44),0))+IF((44='V06 Calend 01'!D44),'V06 Calend 01'!J44,0))</f>
        <v>0</v>
      </c>
      <c r="BE44" s="2">
        <f>((IF((45='V06 Calend 01'!C44),('V06 Calend 01'!F44+'V06 Calend 01'!G44),0)+IF(AND(('V06 Calend 01'!E44&gt;0),(45&gt;'V06 Calend 01'!C44),(45&lt;'V06 Calend 01'!D44),(MOD((45-'V06 Calend 01'!C44),6)=0),(((45-'V06 Calend 01'!C44)/6)&lt;='V06 Calend 01'!E44)),IF((45=('V06 Calend 01'!C44+(6*'V06 Calend 01'!E44))),('V06 Calend 01'!H44-('V06 Calend 01'!I44*('V06 Calend 01'!E44-1))),'V06 Calend 01'!I44),0))+IF((45='V06 Calend 01'!D44),'V06 Calend 01'!J44,0))</f>
        <v>0</v>
      </c>
      <c r="BF44" s="2">
        <f>((IF((46='V06 Calend 01'!C44),('V06 Calend 01'!F44+'V06 Calend 01'!G44),0)+IF(AND(('V06 Calend 01'!E44&gt;0),(46&gt;'V06 Calend 01'!C44),(46&lt;'V06 Calend 01'!D44),(MOD((46-'V06 Calend 01'!C44),6)=0),(((46-'V06 Calend 01'!C44)/6)&lt;='V06 Calend 01'!E44)),IF((46=('V06 Calend 01'!C44+(6*'V06 Calend 01'!E44))),('V06 Calend 01'!H44-('V06 Calend 01'!I44*('V06 Calend 01'!E44-1))),'V06 Calend 01'!I44),0))+IF((46='V06 Calend 01'!D44),'V06 Calend 01'!J44,0))</f>
        <v>0</v>
      </c>
      <c r="BG44" s="2">
        <f>((IF((47='V06 Calend 01'!C44),('V06 Calend 01'!F44+'V06 Calend 01'!G44),0)+IF(AND(('V06 Calend 01'!E44&gt;0),(47&gt;'V06 Calend 01'!C44),(47&lt;'V06 Calend 01'!D44),(MOD((47-'V06 Calend 01'!C44),6)=0),(((47-'V06 Calend 01'!C44)/6)&lt;='V06 Calend 01'!E44)),IF((47=('V06 Calend 01'!C44+(6*'V06 Calend 01'!E44))),('V06 Calend 01'!H44-('V06 Calend 01'!I44*('V06 Calend 01'!E44-1))),'V06 Calend 01'!I44),0))+IF((47='V06 Calend 01'!D44),'V06 Calend 01'!J44,0))</f>
        <v>0</v>
      </c>
      <c r="BH44" s="2">
        <f>((IF((48='V06 Calend 01'!C44),('V06 Calend 01'!F44+'V06 Calend 01'!G44),0)+IF(AND(('V06 Calend 01'!E44&gt;0),(48&gt;'V06 Calend 01'!C44),(48&lt;'V06 Calend 01'!D44),(MOD((48-'V06 Calend 01'!C44),6)=0),(((48-'V06 Calend 01'!C44)/6)&lt;='V06 Calend 01'!E44)),IF((48=('V06 Calend 01'!C44+(6*'V06 Calend 01'!E44))),('V06 Calend 01'!H44-('V06 Calend 01'!I44*('V06 Calend 01'!E44-1))),'V06 Calend 01'!I44),0))+IF((48='V06 Calend 01'!D44),'V06 Calend 01'!J44,0))</f>
        <v>0</v>
      </c>
      <c r="BI44" s="2">
        <f>((IF((49='V06 Calend 01'!C44),('V06 Calend 01'!F44+'V06 Calend 01'!G44),0)+IF(AND(('V06 Calend 01'!E44&gt;0),(49&gt;'V06 Calend 01'!C44),(49&lt;'V06 Calend 01'!D44),(MOD((49-'V06 Calend 01'!C44),6)=0),(((49-'V06 Calend 01'!C44)/6)&lt;='V06 Calend 01'!E44)),IF((49=('V06 Calend 01'!C44+(6*'V06 Calend 01'!E44))),('V06 Calend 01'!H44-('V06 Calend 01'!I44*('V06 Calend 01'!E44-1))),'V06 Calend 01'!I44),0))+IF((49='V06 Calend 01'!D44),'V06 Calend 01'!J44,0))</f>
        <v>0</v>
      </c>
      <c r="BJ44" s="2">
        <f>((IF((50='V06 Calend 01'!C44),('V06 Calend 01'!F44+'V06 Calend 01'!G44),0)+IF(AND(('V06 Calend 01'!E44&gt;0),(50&gt;'V06 Calend 01'!C44),(50&lt;'V06 Calend 01'!D44),(MOD((50-'V06 Calend 01'!C44),6)=0),(((50-'V06 Calend 01'!C44)/6)&lt;='V06 Calend 01'!E44)),IF((50=('V06 Calend 01'!C44+(6*'V06 Calend 01'!E44))),('V06 Calend 01'!H44-('V06 Calend 01'!I44*('V06 Calend 01'!E44-1))),'V06 Calend 01'!I44),0))+IF((50='V06 Calend 01'!D44),'V06 Calend 01'!J44,0))</f>
        <v>0</v>
      </c>
      <c r="BK44" s="2">
        <f>((IF((51='V06 Calend 01'!C44),('V06 Calend 01'!F44+'V06 Calend 01'!G44),0)+IF(AND(('V06 Calend 01'!E44&gt;0),(51&gt;'V06 Calend 01'!C44),(51&lt;'V06 Calend 01'!D44),(MOD((51-'V06 Calend 01'!C44),6)=0),(((51-'V06 Calend 01'!C44)/6)&lt;='V06 Calend 01'!E44)),IF((51=('V06 Calend 01'!C44+(6*'V06 Calend 01'!E44))),('V06 Calend 01'!H44-('V06 Calend 01'!I44*('V06 Calend 01'!E44-1))),'V06 Calend 01'!I44),0))+IF((51='V06 Calend 01'!D44),'V06 Calend 01'!J44,0))</f>
        <v>0</v>
      </c>
      <c r="BL44" s="2">
        <f>((IF((52='V06 Calend 01'!C44),('V06 Calend 01'!F44+'V06 Calend 01'!G44),0)+IF(AND(('V06 Calend 01'!E44&gt;0),(52&gt;'V06 Calend 01'!C44),(52&lt;'V06 Calend 01'!D44),(MOD((52-'V06 Calend 01'!C44),6)=0),(((52-'V06 Calend 01'!C44)/6)&lt;='V06 Calend 01'!E44)),IF((52=('V06 Calend 01'!C44+(6*'V06 Calend 01'!E44))),('V06 Calend 01'!H44-('V06 Calend 01'!I44*('V06 Calend 01'!E44-1))),'V06 Calend 01'!I44),0))+IF((52='V06 Calend 01'!D44),'V06 Calend 01'!J44,0))</f>
        <v>0</v>
      </c>
      <c r="BM44" s="2">
        <f>((IF((53='V06 Calend 01'!C44),('V06 Calend 01'!F44+'V06 Calend 01'!G44),0)+IF(AND(('V06 Calend 01'!E44&gt;0),(53&gt;'V06 Calend 01'!C44),(53&lt;'V06 Calend 01'!D44),(MOD((53-'V06 Calend 01'!C44),6)=0),(((53-'V06 Calend 01'!C44)/6)&lt;='V06 Calend 01'!E44)),IF((53=('V06 Calend 01'!C44+(6*'V06 Calend 01'!E44))),('V06 Calend 01'!H44-('V06 Calend 01'!I44*('V06 Calend 01'!E44-1))),'V06 Calend 01'!I44),0))+IF((53='V06 Calend 01'!D44),'V06 Calend 01'!J44,0))</f>
        <v>0</v>
      </c>
      <c r="BN44" s="2">
        <f>((IF((54='V06 Calend 01'!C44),('V06 Calend 01'!F44+'V06 Calend 01'!G44),0)+IF(AND(('V06 Calend 01'!E44&gt;0),(54&gt;'V06 Calend 01'!C44),(54&lt;'V06 Calend 01'!D44),(MOD((54-'V06 Calend 01'!C44),6)=0),(((54-'V06 Calend 01'!C44)/6)&lt;='V06 Calend 01'!E44)),IF((54=('V06 Calend 01'!C44+(6*'V06 Calend 01'!E44))),('V06 Calend 01'!H44-('V06 Calend 01'!I44*('V06 Calend 01'!E44-1))),'V06 Calend 01'!I44),0))+IF((54='V06 Calend 01'!D44),'V06 Calend 01'!J44,0))</f>
        <v>0</v>
      </c>
      <c r="BO44" s="2">
        <f>((IF((55='V06 Calend 01'!C44),('V06 Calend 01'!F44+'V06 Calend 01'!G44),0)+IF(AND(('V06 Calend 01'!E44&gt;0),(55&gt;'V06 Calend 01'!C44),(55&lt;'V06 Calend 01'!D44),(MOD((55-'V06 Calend 01'!C44),6)=0),(((55-'V06 Calend 01'!C44)/6)&lt;='V06 Calend 01'!E44)),IF((55=('V06 Calend 01'!C44+(6*'V06 Calend 01'!E44))),('V06 Calend 01'!H44-('V06 Calend 01'!I44*('V06 Calend 01'!E44-1))),'V06 Calend 01'!I44),0))+IF((55='V06 Calend 01'!D44),'V06 Calend 01'!J44,0))</f>
        <v>0</v>
      </c>
      <c r="BP44" s="2">
        <f>((IF((56='V06 Calend 01'!C44),('V06 Calend 01'!F44+'V06 Calend 01'!G44),0)+IF(AND(('V06 Calend 01'!E44&gt;0),(56&gt;'V06 Calend 01'!C44),(56&lt;'V06 Calend 01'!D44),(MOD((56-'V06 Calend 01'!C44),6)=0),(((56-'V06 Calend 01'!C44)/6)&lt;='V06 Calend 01'!E44)),IF((56=('V06 Calend 01'!C44+(6*'V06 Calend 01'!E44))),('V06 Calend 01'!H44-('V06 Calend 01'!I44*('V06 Calend 01'!E44-1))),'V06 Calend 01'!I44),0))+IF((56='V06 Calend 01'!D44),'V06 Calend 01'!J44,0))</f>
        <v>0</v>
      </c>
      <c r="BQ44" s="2">
        <f>((IF((57='V06 Calend 01'!C44),('V06 Calend 01'!F44+'V06 Calend 01'!G44),0)+IF(AND(('V06 Calend 01'!E44&gt;0),(57&gt;'V06 Calend 01'!C44),(57&lt;'V06 Calend 01'!D44),(MOD((57-'V06 Calend 01'!C44),6)=0),(((57-'V06 Calend 01'!C44)/6)&lt;='V06 Calend 01'!E44)),IF((57=('V06 Calend 01'!C44+(6*'V06 Calend 01'!E44))),('V06 Calend 01'!H44-('V06 Calend 01'!I44*('V06 Calend 01'!E44-1))),'V06 Calend 01'!I44),0))+IF((57='V06 Calend 01'!D44),'V06 Calend 01'!J44,0))</f>
        <v>0</v>
      </c>
      <c r="BR44" s="2">
        <f>((IF((58='V06 Calend 01'!C44),('V06 Calend 01'!F44+'V06 Calend 01'!G44),0)+IF(AND(('V06 Calend 01'!E44&gt;0),(58&gt;'V06 Calend 01'!C44),(58&lt;'V06 Calend 01'!D44),(MOD((58-'V06 Calend 01'!C44),6)=0),(((58-'V06 Calend 01'!C44)/6)&lt;='V06 Calend 01'!E44)),IF((58=('V06 Calend 01'!C44+(6*'V06 Calend 01'!E44))),('V06 Calend 01'!H44-('V06 Calend 01'!I44*('V06 Calend 01'!E44-1))),'V06 Calend 01'!I44),0))+IF((58='V06 Calend 01'!D44),'V06 Calend 01'!J44,0))</f>
        <v>0</v>
      </c>
      <c r="BS44" s="2">
        <f>((IF((59='V06 Calend 01'!C44),('V06 Calend 01'!F44+'V06 Calend 01'!G44),0)+IF(AND(('V06 Calend 01'!E44&gt;0),(59&gt;'V06 Calend 01'!C44),(59&lt;'V06 Calend 01'!D44),(MOD((59-'V06 Calend 01'!C44),6)=0),(((59-'V06 Calend 01'!C44)/6)&lt;='V06 Calend 01'!E44)),IF((59=('V06 Calend 01'!C44+(6*'V06 Calend 01'!E44))),('V06 Calend 01'!H44-('V06 Calend 01'!I44*('V06 Calend 01'!E44-1))),'V06 Calend 01'!I44),0))+IF((59='V06 Calend 01'!D44),'V06 Calend 01'!J44,0))</f>
        <v>0</v>
      </c>
      <c r="BT44" s="2">
        <f>((IF((60='V06 Calend 01'!C44),('V06 Calend 01'!F44+'V06 Calend 01'!G44),0)+IF(AND(('V06 Calend 01'!E44&gt;0),(60&gt;'V06 Calend 01'!C44),(60&lt;'V06 Calend 01'!D44),(MOD((60-'V06 Calend 01'!C44),6)=0),(((60-'V06 Calend 01'!C44)/6)&lt;='V06 Calend 01'!E44)),IF((60=('V06 Calend 01'!C44+(6*'V06 Calend 01'!E44))),('V06 Calend 01'!H44-('V06 Calend 01'!I44*('V06 Calend 01'!E44-1))),'V06 Calend 01'!I44),0))+IF((60='V06 Calend 01'!D44),'V06 Calend 01'!J44,0))</f>
        <v>0</v>
      </c>
      <c r="BU44" s="2">
        <f>((IF((61='V06 Calend 01'!C44),('V06 Calend 01'!F44+'V06 Calend 01'!G44),0)+IF(AND(('V06 Calend 01'!E44&gt;0),(61&gt;'V06 Calend 01'!C44),(61&lt;'V06 Calend 01'!D44),(MOD((61-'V06 Calend 01'!C44),6)=0),(((61-'V06 Calend 01'!C44)/6)&lt;='V06 Calend 01'!E44)),IF((61=('V06 Calend 01'!C44+(6*'V06 Calend 01'!E44))),('V06 Calend 01'!H44-('V06 Calend 01'!I44*('V06 Calend 01'!E44-1))),'V06 Calend 01'!I44),0))+IF((61='V06 Calend 01'!D44),'V06 Calend 01'!J44,0))</f>
        <v>0</v>
      </c>
      <c r="BV44" s="2">
        <f>((IF((62='V06 Calend 01'!C44),('V06 Calend 01'!F44+'V06 Calend 01'!G44),0)+IF(AND(('V06 Calend 01'!E44&gt;0),(62&gt;'V06 Calend 01'!C44),(62&lt;'V06 Calend 01'!D44),(MOD((62-'V06 Calend 01'!C44),6)=0),(((62-'V06 Calend 01'!C44)/6)&lt;='V06 Calend 01'!E44)),IF((62=('V06 Calend 01'!C44+(6*'V06 Calend 01'!E44))),('V06 Calend 01'!H44-('V06 Calend 01'!I44*('V06 Calend 01'!E44-1))),'V06 Calend 01'!I44),0))+IF((62='V06 Calend 01'!D44),'V06 Calend 01'!J44,0))</f>
        <v>0</v>
      </c>
      <c r="BW44" s="2">
        <f>((IF((63='V06 Calend 01'!C44),('V06 Calend 01'!F44+'V06 Calend 01'!G44),0)+IF(AND(('V06 Calend 01'!E44&gt;0),(63&gt;'V06 Calend 01'!C44),(63&lt;'V06 Calend 01'!D44),(MOD((63-'V06 Calend 01'!C44),6)=0),(((63-'V06 Calend 01'!C44)/6)&lt;='V06 Calend 01'!E44)),IF((63=('V06 Calend 01'!C44+(6*'V06 Calend 01'!E44))),('V06 Calend 01'!H44-('V06 Calend 01'!I44*('V06 Calend 01'!E44-1))),'V06 Calend 01'!I44),0))+IF((63='V06 Calend 01'!D44),'V06 Calend 01'!J44,0))</f>
        <v>0</v>
      </c>
      <c r="BX44" s="2">
        <f>((IF((64='V06 Calend 01'!C44),('V06 Calend 01'!F44+'V06 Calend 01'!G44),0)+IF(AND(('V06 Calend 01'!E44&gt;0),(64&gt;'V06 Calend 01'!C44),(64&lt;'V06 Calend 01'!D44),(MOD((64-'V06 Calend 01'!C44),6)=0),(((64-'V06 Calend 01'!C44)/6)&lt;='V06 Calend 01'!E44)),IF((64=('V06 Calend 01'!C44+(6*'V06 Calend 01'!E44))),('V06 Calend 01'!H44-('V06 Calend 01'!I44*('V06 Calend 01'!E44-1))),'V06 Calend 01'!I44),0))+IF((64='V06 Calend 01'!D44),'V06 Calend 01'!J44,0))</f>
        <v>0</v>
      </c>
      <c r="BY44" s="2">
        <f>((IF((65='V06 Calend 01'!C44),('V06 Calend 01'!F44+'V06 Calend 01'!G44),0)+IF(AND(('V06 Calend 01'!E44&gt;0),(65&gt;'V06 Calend 01'!C44),(65&lt;'V06 Calend 01'!D44),(MOD((65-'V06 Calend 01'!C44),6)=0),(((65-'V06 Calend 01'!C44)/6)&lt;='V06 Calend 01'!E44)),IF((65=('V06 Calend 01'!C44+(6*'V06 Calend 01'!E44))),('V06 Calend 01'!H44-('V06 Calend 01'!I44*('V06 Calend 01'!E44-1))),'V06 Calend 01'!I44),0))+IF((65='V06 Calend 01'!D44),'V06 Calend 01'!J44,0))</f>
        <v>0</v>
      </c>
      <c r="BZ44" s="2">
        <f>((IF((66='V06 Calend 01'!C44),('V06 Calend 01'!F44+'V06 Calend 01'!G44),0)+IF(AND(('V06 Calend 01'!E44&gt;0),(66&gt;'V06 Calend 01'!C44),(66&lt;'V06 Calend 01'!D44),(MOD((66-'V06 Calend 01'!C44),6)=0),(((66-'V06 Calend 01'!C44)/6)&lt;='V06 Calend 01'!E44)),IF((66=('V06 Calend 01'!C44+(6*'V06 Calend 01'!E44))),('V06 Calend 01'!H44-('V06 Calend 01'!I44*('V06 Calend 01'!E44-1))),'V06 Calend 01'!I44),0))+IF((66='V06 Calend 01'!D44),'V06 Calend 01'!J44,0))</f>
        <v>0</v>
      </c>
      <c r="CA44" s="2">
        <f>((IF((67='V06 Calend 01'!C44),('V06 Calend 01'!F44+'V06 Calend 01'!G44),0)+IF(AND(('V06 Calend 01'!E44&gt;0),(67&gt;'V06 Calend 01'!C44),(67&lt;'V06 Calend 01'!D44),(MOD((67-'V06 Calend 01'!C44),6)=0),(((67-'V06 Calend 01'!C44)/6)&lt;='V06 Calend 01'!E44)),IF((67=('V06 Calend 01'!C44+(6*'V06 Calend 01'!E44))),('V06 Calend 01'!H44-('V06 Calend 01'!I44*('V06 Calend 01'!E44-1))),'V06 Calend 01'!I44),0))+IF((67='V06 Calend 01'!D44),'V06 Calend 01'!J44,0))</f>
        <v>0</v>
      </c>
      <c r="CB44" s="2">
        <f>((IF((68='V06 Calend 01'!C44),('V06 Calend 01'!F44+'V06 Calend 01'!G44),0)+IF(AND(('V06 Calend 01'!E44&gt;0),(68&gt;'V06 Calend 01'!C44),(68&lt;'V06 Calend 01'!D44),(MOD((68-'V06 Calend 01'!C44),6)=0),(((68-'V06 Calend 01'!C44)/6)&lt;='V06 Calend 01'!E44)),IF((68=('V06 Calend 01'!C44+(6*'V06 Calend 01'!E44))),('V06 Calend 01'!H44-('V06 Calend 01'!I44*('V06 Calend 01'!E44-1))),'V06 Calend 01'!I44),0))+IF((68='V06 Calend 01'!D44),'V06 Calend 01'!J44,0))</f>
        <v>0</v>
      </c>
      <c r="CC44" s="2">
        <f>((IF((69='V06 Calend 01'!C44),('V06 Calend 01'!F44+'V06 Calend 01'!G44),0)+IF(AND(('V06 Calend 01'!E44&gt;0),(69&gt;'V06 Calend 01'!C44),(69&lt;'V06 Calend 01'!D44),(MOD((69-'V06 Calend 01'!C44),6)=0),(((69-'V06 Calend 01'!C44)/6)&lt;='V06 Calend 01'!E44)),IF((69=('V06 Calend 01'!C44+(6*'V06 Calend 01'!E44))),('V06 Calend 01'!H44-('V06 Calend 01'!I44*('V06 Calend 01'!E44-1))),'V06 Calend 01'!I44),0))+IF((69='V06 Calend 01'!D44),'V06 Calend 01'!J44,0))</f>
        <v>0</v>
      </c>
      <c r="CD44" s="2">
        <f>((IF((70='V06 Calend 01'!C44),('V06 Calend 01'!F44+'V06 Calend 01'!G44),0)+IF(AND(('V06 Calend 01'!E44&gt;0),(70&gt;'V06 Calend 01'!C44),(70&lt;'V06 Calend 01'!D44),(MOD((70-'V06 Calend 01'!C44),6)=0),(((70-'V06 Calend 01'!C44)/6)&lt;='V06 Calend 01'!E44)),IF((70=('V06 Calend 01'!C44+(6*'V06 Calend 01'!E44))),('V06 Calend 01'!H44-('V06 Calend 01'!I44*('V06 Calend 01'!E44-1))),'V06 Calend 01'!I44),0))+IF((70='V06 Calend 01'!D44),'V06 Calend 01'!J44,0))</f>
        <v>0</v>
      </c>
      <c r="CE44" s="2">
        <f>((IF((71='V06 Calend 01'!C44),('V06 Calend 01'!F44+'V06 Calend 01'!G44),0)+IF(AND(('V06 Calend 01'!E44&gt;0),(71&gt;'V06 Calend 01'!C44),(71&lt;'V06 Calend 01'!D44),(MOD((71-'V06 Calend 01'!C44),6)=0),(((71-'V06 Calend 01'!C44)/6)&lt;='V06 Calend 01'!E44)),IF((71=('V06 Calend 01'!C44+(6*'V06 Calend 01'!E44))),('V06 Calend 01'!H44-('V06 Calend 01'!I44*('V06 Calend 01'!E44-1))),'V06 Calend 01'!I44),0))+IF((71='V06 Calend 01'!D44),'V06 Calend 01'!J44,0))</f>
        <v>0</v>
      </c>
      <c r="CF44" s="2">
        <f>((IF((72='V06 Calend 01'!C44),('V06 Calend 01'!F44+'V06 Calend 01'!G44),0)+IF(AND(('V06 Calend 01'!E44&gt;0),(72&gt;'V06 Calend 01'!C44),(72&lt;'V06 Calend 01'!D44),(MOD((72-'V06 Calend 01'!C44),6)=0),(((72-'V06 Calend 01'!C44)/6)&lt;='V06 Calend 01'!E44)),IF((72=('V06 Calend 01'!C44+(6*'V06 Calend 01'!E44))),('V06 Calend 01'!H44-('V06 Calend 01'!I44*('V06 Calend 01'!E44-1))),'V06 Calend 01'!I44),0))+IF((72='V06 Calend 01'!D44),'V06 Calend 01'!J44,0))</f>
        <v>0</v>
      </c>
      <c r="CG44" s="2">
        <f>((IF((73='V06 Calend 01'!C44),('V06 Calend 01'!F44+'V06 Calend 01'!G44),0)+IF(AND(('V06 Calend 01'!E44&gt;0),(73&gt;'V06 Calend 01'!C44),(73&lt;'V06 Calend 01'!D44),(MOD((73-'V06 Calend 01'!C44),6)=0),(((73-'V06 Calend 01'!C44)/6)&lt;='V06 Calend 01'!E44)),IF((73=('V06 Calend 01'!C44+(6*'V06 Calend 01'!E44))),('V06 Calend 01'!H44-('V06 Calend 01'!I44*('V06 Calend 01'!E44-1))),'V06 Calend 01'!I44),0))+IF((73='V06 Calend 01'!D44),'V06 Calend 01'!J44,0))</f>
        <v>0</v>
      </c>
      <c r="CH44" s="2">
        <f>((IF((74='V06 Calend 01'!C44),('V06 Calend 01'!F44+'V06 Calend 01'!G44),0)+IF(AND(('V06 Calend 01'!E44&gt;0),(74&gt;'V06 Calend 01'!C44),(74&lt;'V06 Calend 01'!D44),(MOD((74-'V06 Calend 01'!C44),6)=0),(((74-'V06 Calend 01'!C44)/6)&lt;='V06 Calend 01'!E44)),IF((74=('V06 Calend 01'!C44+(6*'V06 Calend 01'!E44))),('V06 Calend 01'!H44-('V06 Calend 01'!I44*('V06 Calend 01'!E44-1))),'V06 Calend 01'!I44),0))+IF((74='V06 Calend 01'!D44),'V06 Calend 01'!J44,0))</f>
        <v>0</v>
      </c>
      <c r="CI44" s="2">
        <f>((IF((75='V06 Calend 01'!C44),('V06 Calend 01'!F44+'V06 Calend 01'!G44),0)+IF(AND(('V06 Calend 01'!E44&gt;0),(75&gt;'V06 Calend 01'!C44),(75&lt;'V06 Calend 01'!D44),(MOD((75-'V06 Calend 01'!C44),6)=0),(((75-'V06 Calend 01'!C44)/6)&lt;='V06 Calend 01'!E44)),IF((75=('V06 Calend 01'!C44+(6*'V06 Calend 01'!E44))),('V06 Calend 01'!H44-('V06 Calend 01'!I44*('V06 Calend 01'!E44-1))),'V06 Calend 01'!I44),0))+IF((75='V06 Calend 01'!D44),'V06 Calend 01'!J44,0))</f>
        <v>0</v>
      </c>
      <c r="CJ44" s="2">
        <f>((IF((76='V06 Calend 01'!C44),('V06 Calend 01'!F44+'V06 Calend 01'!G44),0)+IF(AND(('V06 Calend 01'!E44&gt;0),(76&gt;'V06 Calend 01'!C44),(76&lt;'V06 Calend 01'!D44),(MOD((76-'V06 Calend 01'!C44),6)=0),(((76-'V06 Calend 01'!C44)/6)&lt;='V06 Calend 01'!E44)),IF((76=('V06 Calend 01'!C44+(6*'V06 Calend 01'!E44))),('V06 Calend 01'!H44-('V06 Calend 01'!I44*('V06 Calend 01'!E44-1))),'V06 Calend 01'!I44),0))+IF((76='V06 Calend 01'!D44),'V06 Calend 01'!J44,0))</f>
        <v>0</v>
      </c>
      <c r="CK44" s="2">
        <f>((IF((77='V06 Calend 01'!C44),('V06 Calend 01'!F44+'V06 Calend 01'!G44),0)+IF(AND(('V06 Calend 01'!E44&gt;0),(77&gt;'V06 Calend 01'!C44),(77&lt;'V06 Calend 01'!D44),(MOD((77-'V06 Calend 01'!C44),6)=0),(((77-'V06 Calend 01'!C44)/6)&lt;='V06 Calend 01'!E44)),IF((77=('V06 Calend 01'!C44+(6*'V06 Calend 01'!E44))),('V06 Calend 01'!H44-('V06 Calend 01'!I44*('V06 Calend 01'!E44-1))),'V06 Calend 01'!I44),0))+IF((77='V06 Calend 01'!D44),'V06 Calend 01'!J44,0))</f>
        <v>0</v>
      </c>
      <c r="CL44" s="2">
        <f>((IF((78='V06 Calend 01'!C44),('V06 Calend 01'!F44+'V06 Calend 01'!G44),0)+IF(AND(('V06 Calend 01'!E44&gt;0),(78&gt;'V06 Calend 01'!C44),(78&lt;'V06 Calend 01'!D44),(MOD((78-'V06 Calend 01'!C44),6)=0),(((78-'V06 Calend 01'!C44)/6)&lt;='V06 Calend 01'!E44)),IF((78=('V06 Calend 01'!C44+(6*'V06 Calend 01'!E44))),('V06 Calend 01'!H44-('V06 Calend 01'!I44*('V06 Calend 01'!E44-1))),'V06 Calend 01'!I44),0))+IF((78='V06 Calend 01'!D44),'V06 Calend 01'!J44,0))</f>
        <v>0</v>
      </c>
      <c r="CM44" s="2">
        <f>((IF((79='V06 Calend 01'!C44),('V06 Calend 01'!F44+'V06 Calend 01'!G44),0)+IF(AND(('V06 Calend 01'!E44&gt;0),(79&gt;'V06 Calend 01'!C44),(79&lt;'V06 Calend 01'!D44),(MOD((79-'V06 Calend 01'!C44),6)=0),(((79-'V06 Calend 01'!C44)/6)&lt;='V06 Calend 01'!E44)),IF((79=('V06 Calend 01'!C44+(6*'V06 Calend 01'!E44))),('V06 Calend 01'!H44-('V06 Calend 01'!I44*('V06 Calend 01'!E44-1))),'V06 Calend 01'!I44),0))+IF((79='V06 Calend 01'!D44),'V06 Calend 01'!J44,0))</f>
        <v>0</v>
      </c>
      <c r="CN44" s="2">
        <f>((IF((80='V06 Calend 01'!C44),('V06 Calend 01'!F44+'V06 Calend 01'!G44),0)+IF(AND(('V06 Calend 01'!E44&gt;0),(80&gt;'V06 Calend 01'!C44),(80&lt;'V06 Calend 01'!D44),(MOD((80-'V06 Calend 01'!C44),6)=0),(((80-'V06 Calend 01'!C44)/6)&lt;='V06 Calend 01'!E44)),IF((80=('V06 Calend 01'!C44+(6*'V06 Calend 01'!E44))),('V06 Calend 01'!H44-('V06 Calend 01'!I44*('V06 Calend 01'!E44-1))),'V06 Calend 01'!I44),0))+IF((80='V06 Calend 01'!D44),'V06 Calend 01'!J44,0))</f>
        <v>0</v>
      </c>
      <c r="CO44" s="2">
        <f>((IF((81='V06 Calend 01'!C44),('V06 Calend 01'!F44+'V06 Calend 01'!G44),0)+IF(AND(('V06 Calend 01'!E44&gt;0),(81&gt;'V06 Calend 01'!C44),(81&lt;'V06 Calend 01'!D44),(MOD((81-'V06 Calend 01'!C44),6)=0),(((81-'V06 Calend 01'!C44)/6)&lt;='V06 Calend 01'!E44)),IF((81=('V06 Calend 01'!C44+(6*'V06 Calend 01'!E44))),('V06 Calend 01'!H44-('V06 Calend 01'!I44*('V06 Calend 01'!E44-1))),'V06 Calend 01'!I44),0))+IF((81='V06 Calend 01'!D44),'V06 Calend 01'!J44,0))</f>
        <v>0</v>
      </c>
      <c r="CP44" s="2">
        <f>((IF((82='V06 Calend 01'!C44),('V06 Calend 01'!F44+'V06 Calend 01'!G44),0)+IF(AND(('V06 Calend 01'!E44&gt;0),(82&gt;'V06 Calend 01'!C44),(82&lt;'V06 Calend 01'!D44),(MOD((82-'V06 Calend 01'!C44),6)=0),(((82-'V06 Calend 01'!C44)/6)&lt;='V06 Calend 01'!E44)),IF((82=('V06 Calend 01'!C44+(6*'V06 Calend 01'!E44))),('V06 Calend 01'!H44-('V06 Calend 01'!I44*('V06 Calend 01'!E44-1))),'V06 Calend 01'!I44),0))+IF((82='V06 Calend 01'!D44),'V06 Calend 01'!J44,0))</f>
        <v>0</v>
      </c>
      <c r="CQ44" s="2">
        <f>((IF((83='V06 Calend 01'!C44),('V06 Calend 01'!F44+'V06 Calend 01'!G44),0)+IF(AND(('V06 Calend 01'!E44&gt;0),(83&gt;'V06 Calend 01'!C44),(83&lt;'V06 Calend 01'!D44),(MOD((83-'V06 Calend 01'!C44),6)=0),(((83-'V06 Calend 01'!C44)/6)&lt;='V06 Calend 01'!E44)),IF((83=('V06 Calend 01'!C44+(6*'V06 Calend 01'!E44))),('V06 Calend 01'!H44-('V06 Calend 01'!I44*('V06 Calend 01'!E44-1))),'V06 Calend 01'!I44),0))+IF((83='V06 Calend 01'!D44),'V06 Calend 01'!J44,0))</f>
        <v>0</v>
      </c>
      <c r="CR44" s="2">
        <f>((IF((84='V06 Calend 01'!C44),('V06 Calend 01'!F44+'V06 Calend 01'!G44),0)+IF(AND(('V06 Calend 01'!E44&gt;0),(84&gt;'V06 Calend 01'!C44),(84&lt;'V06 Calend 01'!D44),(MOD((84-'V06 Calend 01'!C44),6)=0),(((84-'V06 Calend 01'!C44)/6)&lt;='V06 Calend 01'!E44)),IF((84=('V06 Calend 01'!C44+(6*'V06 Calend 01'!E44))),('V06 Calend 01'!H44-('V06 Calend 01'!I44*('V06 Calend 01'!E44-1))),'V06 Calend 01'!I44),0))+IF((84='V06 Calend 01'!D44),'V06 Calend 01'!J44,0))</f>
        <v>0</v>
      </c>
      <c r="CS44" s="2">
        <f>((IF((85='V06 Calend 01'!C44),('V06 Calend 01'!F44+'V06 Calend 01'!G44),0)+IF(AND(('V06 Calend 01'!E44&gt;0),(85&gt;'V06 Calend 01'!C44),(85&lt;'V06 Calend 01'!D44),(MOD((85-'V06 Calend 01'!C44),6)=0),(((85-'V06 Calend 01'!C44)/6)&lt;='V06 Calend 01'!E44)),IF((85=('V06 Calend 01'!C44+(6*'V06 Calend 01'!E44))),('V06 Calend 01'!H44-('V06 Calend 01'!I44*('V06 Calend 01'!E44-1))),'V06 Calend 01'!I44),0))+IF((85='V06 Calend 01'!D44),'V06 Calend 01'!J44,0))</f>
        <v>0</v>
      </c>
      <c r="CT44" s="2">
        <f>((IF((86='V06 Calend 01'!C44),('V06 Calend 01'!F44+'V06 Calend 01'!G44),0)+IF(AND(('V06 Calend 01'!E44&gt;0),(86&gt;'V06 Calend 01'!C44),(86&lt;'V06 Calend 01'!D44),(MOD((86-'V06 Calend 01'!C44),6)=0),(((86-'V06 Calend 01'!C44)/6)&lt;='V06 Calend 01'!E44)),IF((86=('V06 Calend 01'!C44+(6*'V06 Calend 01'!E44))),('V06 Calend 01'!H44-('V06 Calend 01'!I44*('V06 Calend 01'!E44-1))),'V06 Calend 01'!I44),0))+IF((86='V06 Calend 01'!D44),'V06 Calend 01'!J44,0))</f>
        <v>0</v>
      </c>
      <c r="CU44" s="2">
        <f>((IF((87='V06 Calend 01'!C44),('V06 Calend 01'!F44+'V06 Calend 01'!G44),0)+IF(AND(('V06 Calend 01'!E44&gt;0),(87&gt;'V06 Calend 01'!C44),(87&lt;'V06 Calend 01'!D44),(MOD((87-'V06 Calend 01'!C44),6)=0),(((87-'V06 Calend 01'!C44)/6)&lt;='V06 Calend 01'!E44)),IF((87=('V06 Calend 01'!C44+(6*'V06 Calend 01'!E44))),('V06 Calend 01'!H44-('V06 Calend 01'!I44*('V06 Calend 01'!E44-1))),'V06 Calend 01'!I44),0))+IF((87='V06 Calend 01'!D44),'V06 Calend 01'!J44,0))</f>
        <v>0</v>
      </c>
      <c r="CV44" s="2">
        <f>((IF((88='V06 Calend 01'!C44),('V06 Calend 01'!F44+'V06 Calend 01'!G44),0)+IF(AND(('V06 Calend 01'!E44&gt;0),(88&gt;'V06 Calend 01'!C44),(88&lt;'V06 Calend 01'!D44),(MOD((88-'V06 Calend 01'!C44),6)=0),(((88-'V06 Calend 01'!C44)/6)&lt;='V06 Calend 01'!E44)),IF((88=('V06 Calend 01'!C44+(6*'V06 Calend 01'!E44))),('V06 Calend 01'!H44-('V06 Calend 01'!I44*('V06 Calend 01'!E44-1))),'V06 Calend 01'!I44),0))+IF((88='V06 Calend 01'!D44),'V06 Calend 01'!J44,0))</f>
        <v>0</v>
      </c>
      <c r="CW44" s="2">
        <f>((IF((89='V06 Calend 01'!C44),('V06 Calend 01'!F44+'V06 Calend 01'!G44),0)+IF(AND(('V06 Calend 01'!E44&gt;0),(89&gt;'V06 Calend 01'!C44),(89&lt;'V06 Calend 01'!D44),(MOD((89-'V06 Calend 01'!C44),6)=0),(((89-'V06 Calend 01'!C44)/6)&lt;='V06 Calend 01'!E44)),IF((89=('V06 Calend 01'!C44+(6*'V06 Calend 01'!E44))),('V06 Calend 01'!H44-('V06 Calend 01'!I44*('V06 Calend 01'!E44-1))),'V06 Calend 01'!I44),0))+IF((89='V06 Calend 01'!D44),'V06 Calend 01'!J44,0))</f>
        <v>0</v>
      </c>
      <c r="CX44" s="2">
        <f>((IF((90='V06 Calend 01'!C44),('V06 Calend 01'!F44+'V06 Calend 01'!G44),0)+IF(AND(('V06 Calend 01'!E44&gt;0),(90&gt;'V06 Calend 01'!C44),(90&lt;'V06 Calend 01'!D44),(MOD((90-'V06 Calend 01'!C44),6)=0),(((90-'V06 Calend 01'!C44)/6)&lt;='V06 Calend 01'!E44)),IF((90=('V06 Calend 01'!C44+(6*'V06 Calend 01'!E44))),('V06 Calend 01'!H44-('V06 Calend 01'!I44*('V06 Calend 01'!E44-1))),'V06 Calend 01'!I44),0))+IF((90='V06 Calend 01'!D44),'V06 Calend 01'!J44,0))</f>
        <v>0</v>
      </c>
      <c r="CY44" s="2">
        <f>((IF((91='V06 Calend 01'!C44),('V06 Calend 01'!F44+'V06 Calend 01'!G44),0)+IF(AND(('V06 Calend 01'!E44&gt;0),(91&gt;'V06 Calend 01'!C44),(91&lt;'V06 Calend 01'!D44),(MOD((91-'V06 Calend 01'!C44),6)=0),(((91-'V06 Calend 01'!C44)/6)&lt;='V06 Calend 01'!E44)),IF((91=('V06 Calend 01'!C44+(6*'V06 Calend 01'!E44))),('V06 Calend 01'!H44-('V06 Calend 01'!I44*('V06 Calend 01'!E44-1))),'V06 Calend 01'!I44),0))+IF((91='V06 Calend 01'!D44),'V06 Calend 01'!J44,0))</f>
        <v>0</v>
      </c>
      <c r="CZ44" s="2">
        <f>((IF((92='V06 Calend 01'!C44),('V06 Calend 01'!F44+'V06 Calend 01'!G44),0)+IF(AND(('V06 Calend 01'!E44&gt;0),(92&gt;'V06 Calend 01'!C44),(92&lt;'V06 Calend 01'!D44),(MOD((92-'V06 Calend 01'!C44),6)=0),(((92-'V06 Calend 01'!C44)/6)&lt;='V06 Calend 01'!E44)),IF((92=('V06 Calend 01'!C44+(6*'V06 Calend 01'!E44))),('V06 Calend 01'!H44-('V06 Calend 01'!I44*('V06 Calend 01'!E44-1))),'V06 Calend 01'!I44),0))+IF((92='V06 Calend 01'!D44),'V06 Calend 01'!J44,0))</f>
        <v>0</v>
      </c>
      <c r="DA44" s="2">
        <f>((IF((93='V06 Calend 01'!C44),('V06 Calend 01'!F44+'V06 Calend 01'!G44),0)+IF(AND(('V06 Calend 01'!E44&gt;0),(93&gt;'V06 Calend 01'!C44),(93&lt;'V06 Calend 01'!D44),(MOD((93-'V06 Calend 01'!C44),6)=0),(((93-'V06 Calend 01'!C44)/6)&lt;='V06 Calend 01'!E44)),IF((93=('V06 Calend 01'!C44+(6*'V06 Calend 01'!E44))),('V06 Calend 01'!H44-('V06 Calend 01'!I44*('V06 Calend 01'!E44-1))),'V06 Calend 01'!I44),0))+IF((93='V06 Calend 01'!D44),'V06 Calend 01'!J44,0))</f>
        <v>0</v>
      </c>
      <c r="DB44" s="2">
        <f>((IF((94='V06 Calend 01'!C44),('V06 Calend 01'!F44+'V06 Calend 01'!G44),0)+IF(AND(('V06 Calend 01'!E44&gt;0),(94&gt;'V06 Calend 01'!C44),(94&lt;'V06 Calend 01'!D44),(MOD((94-'V06 Calend 01'!C44),6)=0),(((94-'V06 Calend 01'!C44)/6)&lt;='V06 Calend 01'!E44)),IF((94=('V06 Calend 01'!C44+(6*'V06 Calend 01'!E44))),('V06 Calend 01'!H44-('V06 Calend 01'!I44*('V06 Calend 01'!E44-1))),'V06 Calend 01'!I44),0))+IF((94='V06 Calend 01'!D44),'V06 Calend 01'!J44,0))</f>
        <v>0</v>
      </c>
      <c r="DC44" s="2">
        <f>((IF((95='V06 Calend 01'!C44),('V06 Calend 01'!F44+'V06 Calend 01'!G44),0)+IF(AND(('V06 Calend 01'!E44&gt;0),(95&gt;'V06 Calend 01'!C44),(95&lt;'V06 Calend 01'!D44),(MOD((95-'V06 Calend 01'!C44),6)=0),(((95-'V06 Calend 01'!C44)/6)&lt;='V06 Calend 01'!E44)),IF((95=('V06 Calend 01'!C44+(6*'V06 Calend 01'!E44))),('V06 Calend 01'!H44-('V06 Calend 01'!I44*('V06 Calend 01'!E44-1))),'V06 Calend 01'!I44),0))+IF((95='V06 Calend 01'!D44),'V06 Calend 01'!J44,0))</f>
        <v>0</v>
      </c>
      <c r="DD44" s="2">
        <f>((IF((96='V06 Calend 01'!C44),('V06 Calend 01'!F44+'V06 Calend 01'!G44),0)+IF(AND(('V06 Calend 01'!E44&gt;0),(96&gt;'V06 Calend 01'!C44),(96&lt;'V06 Calend 01'!D44),(MOD((96-'V06 Calend 01'!C44),6)=0),(((96-'V06 Calend 01'!C44)/6)&lt;='V06 Calend 01'!E44)),IF((96=('V06 Calend 01'!C44+(6*'V06 Calend 01'!E44))),('V06 Calend 01'!H44-('V06 Calend 01'!I44*('V06 Calend 01'!E44-1))),'V06 Calend 01'!I44),0))+IF((96='V06 Calend 01'!D44),'V06 Calend 01'!J44,0))</f>
        <v>0</v>
      </c>
      <c r="DE44" s="2">
        <f>((IF((97='V06 Calend 01'!C44),('V06 Calend 01'!F44+'V06 Calend 01'!G44),0)+IF(AND(('V06 Calend 01'!E44&gt;0),(97&gt;'V06 Calend 01'!C44),(97&lt;'V06 Calend 01'!D44),(MOD((97-'V06 Calend 01'!C44),6)=0),(((97-'V06 Calend 01'!C44)/6)&lt;='V06 Calend 01'!E44)),IF((97=('V06 Calend 01'!C44+(6*'V06 Calend 01'!E44))),('V06 Calend 01'!H44-('V06 Calend 01'!I44*('V06 Calend 01'!E44-1))),'V06 Calend 01'!I44),0))+IF((97='V06 Calend 01'!D44),'V06 Calend 01'!J44,0))</f>
        <v>0</v>
      </c>
      <c r="DF44" s="2">
        <f>((IF((98='V06 Calend 01'!C44),('V06 Calend 01'!F44+'V06 Calend 01'!G44),0)+IF(AND(('V06 Calend 01'!E44&gt;0),(98&gt;'V06 Calend 01'!C44),(98&lt;'V06 Calend 01'!D44),(MOD((98-'V06 Calend 01'!C44),6)=0),(((98-'V06 Calend 01'!C44)/6)&lt;='V06 Calend 01'!E44)),IF((98=('V06 Calend 01'!C44+(6*'V06 Calend 01'!E44))),('V06 Calend 01'!H44-('V06 Calend 01'!I44*('V06 Calend 01'!E44-1))),'V06 Calend 01'!I44),0))+IF((98='V06 Calend 01'!D44),'V06 Calend 01'!J44,0))</f>
        <v>0</v>
      </c>
      <c r="DG44" s="2">
        <f>((IF((99='V06 Calend 01'!C44),('V06 Calend 01'!F44+'V06 Calend 01'!G44),0)+IF(AND(('V06 Calend 01'!E44&gt;0),(99&gt;'V06 Calend 01'!C44),(99&lt;'V06 Calend 01'!D44),(MOD((99-'V06 Calend 01'!C44),6)=0),(((99-'V06 Calend 01'!C44)/6)&lt;='V06 Calend 01'!E44)),IF((99=('V06 Calend 01'!C44+(6*'V06 Calend 01'!E44))),('V06 Calend 01'!H44-('V06 Calend 01'!I44*('V06 Calend 01'!E44-1))),'V06 Calend 01'!I44),0))+IF((99='V06 Calend 01'!D44),'V06 Calend 01'!J44,0))</f>
        <v>0</v>
      </c>
      <c r="DH44" s="2">
        <f>((IF((100='V06 Calend 01'!C44),('V06 Calend 01'!F44+'V06 Calend 01'!G44),0)+IF(AND(('V06 Calend 01'!E44&gt;0),(100&gt;'V06 Calend 01'!C44),(100&lt;'V06 Calend 01'!D44),(MOD((100-'V06 Calend 01'!C44),6)=0),(((100-'V06 Calend 01'!C44)/6)&lt;='V06 Calend 01'!E44)),IF((100=('V06 Calend 01'!C44+(6*'V06 Calend 01'!E44))),('V06 Calend 01'!H44-('V06 Calend 01'!I44*('V06 Calend 01'!E44-1))),'V06 Calend 01'!I44),0))+IF((100='V06 Calend 01'!D44),'V06 Calend 01'!J44,0))</f>
        <v>0</v>
      </c>
      <c r="DI44" s="2">
        <f>((IF((101='V06 Calend 01'!C44),('V06 Calend 01'!F44+'V06 Calend 01'!G44),0)+IF(AND(('V06 Calend 01'!E44&gt;0),(101&gt;'V06 Calend 01'!C44),(101&lt;'V06 Calend 01'!D44),(MOD((101-'V06 Calend 01'!C44),6)=0),(((101-'V06 Calend 01'!C44)/6)&lt;='V06 Calend 01'!E44)),IF((101=('V06 Calend 01'!C44+(6*'V06 Calend 01'!E44))),('V06 Calend 01'!H44-('V06 Calend 01'!I44*('V06 Calend 01'!E44-1))),'V06 Calend 01'!I44),0))+IF((101='V06 Calend 01'!D44),'V06 Calend 01'!J44,0))</f>
        <v>0</v>
      </c>
      <c r="DJ44" s="2">
        <f>((IF((102='V06 Calend 01'!C44),('V06 Calend 01'!F44+'V06 Calend 01'!G44),0)+IF(AND(('V06 Calend 01'!E44&gt;0),(102&gt;'V06 Calend 01'!C44),(102&lt;'V06 Calend 01'!D44),(MOD((102-'V06 Calend 01'!C44),6)=0),(((102-'V06 Calend 01'!C44)/6)&lt;='V06 Calend 01'!E44)),IF((102=('V06 Calend 01'!C44+(6*'V06 Calend 01'!E44))),('V06 Calend 01'!H44-('V06 Calend 01'!I44*('V06 Calend 01'!E44-1))),'V06 Calend 01'!I44),0))+IF((102='V06 Calend 01'!D44),'V06 Calend 01'!J44,0))</f>
        <v>0</v>
      </c>
      <c r="DK44" s="2">
        <f>((IF((103='V06 Calend 01'!C44),('V06 Calend 01'!F44+'V06 Calend 01'!G44),0)+IF(AND(('V06 Calend 01'!E44&gt;0),(103&gt;'V06 Calend 01'!C44),(103&lt;'V06 Calend 01'!D44),(MOD((103-'V06 Calend 01'!C44),6)=0),(((103-'V06 Calend 01'!C44)/6)&lt;='V06 Calend 01'!E44)),IF((103=('V06 Calend 01'!C44+(6*'V06 Calend 01'!E44))),('V06 Calend 01'!H44-('V06 Calend 01'!I44*('V06 Calend 01'!E44-1))),'V06 Calend 01'!I44),0))+IF((103='V06 Calend 01'!D44),'V06 Calend 01'!J44,0))</f>
        <v>0</v>
      </c>
      <c r="DL44" s="2">
        <f>((IF((104='V06 Calend 01'!C44),('V06 Calend 01'!F44+'V06 Calend 01'!G44),0)+IF(AND(('V06 Calend 01'!E44&gt;0),(104&gt;'V06 Calend 01'!C44),(104&lt;'V06 Calend 01'!D44),(MOD((104-'V06 Calend 01'!C44),6)=0),(((104-'V06 Calend 01'!C44)/6)&lt;='V06 Calend 01'!E44)),IF((104=('V06 Calend 01'!C44+(6*'V06 Calend 01'!E44))),('V06 Calend 01'!H44-('V06 Calend 01'!I44*('V06 Calend 01'!E44-1))),'V06 Calend 01'!I44),0))+IF((104='V06 Calend 01'!D44),'V06 Calend 01'!J44,0))</f>
        <v>0</v>
      </c>
      <c r="DM44" s="2">
        <f>((IF((105='V06 Calend 01'!C44),('V06 Calend 01'!F44+'V06 Calend 01'!G44),0)+IF(AND(('V06 Calend 01'!E44&gt;0),(105&gt;'V06 Calend 01'!C44),(105&lt;'V06 Calend 01'!D44),(MOD((105-'V06 Calend 01'!C44),6)=0),(((105-'V06 Calend 01'!C44)/6)&lt;='V06 Calend 01'!E44)),IF((105=('V06 Calend 01'!C44+(6*'V06 Calend 01'!E44))),('V06 Calend 01'!H44-('V06 Calend 01'!I44*('V06 Calend 01'!E44-1))),'V06 Calend 01'!I44),0))+IF((105='V06 Calend 01'!D44),'V06 Calend 01'!J44,0))</f>
        <v>0</v>
      </c>
      <c r="DN44" s="2">
        <f>((IF((106='V06 Calend 01'!C44),('V06 Calend 01'!F44+'V06 Calend 01'!G44),0)+IF(AND(('V06 Calend 01'!E44&gt;0),(106&gt;'V06 Calend 01'!C44),(106&lt;'V06 Calend 01'!D44),(MOD((106-'V06 Calend 01'!C44),6)=0),(((106-'V06 Calend 01'!C44)/6)&lt;='V06 Calend 01'!E44)),IF((106=('V06 Calend 01'!C44+(6*'V06 Calend 01'!E44))),('V06 Calend 01'!H44-('V06 Calend 01'!I44*('V06 Calend 01'!E44-1))),'V06 Calend 01'!I44),0))+IF((106='V06 Calend 01'!D44),'V06 Calend 01'!J44,0))</f>
        <v>0</v>
      </c>
      <c r="DO44" s="2">
        <f>((IF((107='V06 Calend 01'!C44),('V06 Calend 01'!F44+'V06 Calend 01'!G44),0)+IF(AND(('V06 Calend 01'!E44&gt;0),(107&gt;'V06 Calend 01'!C44),(107&lt;'V06 Calend 01'!D44),(MOD((107-'V06 Calend 01'!C44),6)=0),(((107-'V06 Calend 01'!C44)/6)&lt;='V06 Calend 01'!E44)),IF((107=('V06 Calend 01'!C44+(6*'V06 Calend 01'!E44))),('V06 Calend 01'!H44-('V06 Calend 01'!I44*('V06 Calend 01'!E44-1))),'V06 Calend 01'!I44),0))+IF((107='V06 Calend 01'!D44),'V06 Calend 01'!J44,0))</f>
        <v>0</v>
      </c>
      <c r="DP44" s="2">
        <f>((IF((108='V06 Calend 01'!C44),('V06 Calend 01'!F44+'V06 Calend 01'!G44),0)+IF(AND(('V06 Calend 01'!E44&gt;0),(108&gt;'V06 Calend 01'!C44),(108&lt;'V06 Calend 01'!D44),(MOD((108-'V06 Calend 01'!C44),6)=0),(((108-'V06 Calend 01'!C44)/6)&lt;='V06 Calend 01'!E44)),IF((108=('V06 Calend 01'!C44+(6*'V06 Calend 01'!E44))),('V06 Calend 01'!H44-('V06 Calend 01'!I44*('V06 Calend 01'!E44-1))),'V06 Calend 01'!I44),0))+IF((108='V06 Calend 01'!D44),'V06 Calend 01'!J44,0))</f>
        <v>0</v>
      </c>
      <c r="DQ44" s="2">
        <f>((IF((109='V06 Calend 01'!C44),('V06 Calend 01'!F44+'V06 Calend 01'!G44),0)+IF(AND(('V06 Calend 01'!E44&gt;0),(109&gt;'V06 Calend 01'!C44),(109&lt;'V06 Calend 01'!D44),(MOD((109-'V06 Calend 01'!C44),6)=0),(((109-'V06 Calend 01'!C44)/6)&lt;='V06 Calend 01'!E44)),IF((109=('V06 Calend 01'!C44+(6*'V06 Calend 01'!E44))),('V06 Calend 01'!H44-('V06 Calend 01'!I44*('V06 Calend 01'!E44-1))),'V06 Calend 01'!I44),0))+IF((109='V06 Calend 01'!D44),'V06 Calend 01'!J44,0))</f>
        <v>0</v>
      </c>
      <c r="DR44" s="2">
        <f>((IF((110='V06 Calend 01'!C44),('V06 Calend 01'!F44+'V06 Calend 01'!G44),0)+IF(AND(('V06 Calend 01'!E44&gt;0),(110&gt;'V06 Calend 01'!C44),(110&lt;'V06 Calend 01'!D44),(MOD((110-'V06 Calend 01'!C44),6)=0),(((110-'V06 Calend 01'!C44)/6)&lt;='V06 Calend 01'!E44)),IF((110=('V06 Calend 01'!C44+(6*'V06 Calend 01'!E44))),('V06 Calend 01'!H44-('V06 Calend 01'!I44*('V06 Calend 01'!E44-1))),'V06 Calend 01'!I44),0))+IF((110='V06 Calend 01'!D44),'V06 Calend 01'!J44,0))</f>
        <v>0</v>
      </c>
      <c r="DS44" s="2">
        <f>((IF((111='V06 Calend 01'!C44),('V06 Calend 01'!F44+'V06 Calend 01'!G44),0)+IF(AND(('V06 Calend 01'!E44&gt;0),(111&gt;'V06 Calend 01'!C44),(111&lt;'V06 Calend 01'!D44),(MOD((111-'V06 Calend 01'!C44),6)=0),(((111-'V06 Calend 01'!C44)/6)&lt;='V06 Calend 01'!E44)),IF((111=('V06 Calend 01'!C44+(6*'V06 Calend 01'!E44))),('V06 Calend 01'!H44-('V06 Calend 01'!I44*('V06 Calend 01'!E44-1))),'V06 Calend 01'!I44),0))+IF((111='V06 Calend 01'!D44),'V06 Calend 01'!J44,0))</f>
        <v>0</v>
      </c>
      <c r="DT44" s="2">
        <f>((IF((112='V06 Calend 01'!C44),('V06 Calend 01'!F44+'V06 Calend 01'!G44),0)+IF(AND(('V06 Calend 01'!E44&gt;0),(112&gt;'V06 Calend 01'!C44),(112&lt;'V06 Calend 01'!D44),(MOD((112-'V06 Calend 01'!C44),6)=0),(((112-'V06 Calend 01'!C44)/6)&lt;='V06 Calend 01'!E44)),IF((112=('V06 Calend 01'!C44+(6*'V06 Calend 01'!E44))),('V06 Calend 01'!H44-('V06 Calend 01'!I44*('V06 Calend 01'!E44-1))),'V06 Calend 01'!I44),0))+IF((112='V06 Calend 01'!D44),'V06 Calend 01'!J44,0))</f>
        <v>0</v>
      </c>
      <c r="DU44" s="2">
        <f>((IF((113='V06 Calend 01'!C44),('V06 Calend 01'!F44+'V06 Calend 01'!G44),0)+IF(AND(('V06 Calend 01'!E44&gt;0),(113&gt;'V06 Calend 01'!C44),(113&lt;'V06 Calend 01'!D44),(MOD((113-'V06 Calend 01'!C44),6)=0),(((113-'V06 Calend 01'!C44)/6)&lt;='V06 Calend 01'!E44)),IF((113=('V06 Calend 01'!C44+(6*'V06 Calend 01'!E44))),('V06 Calend 01'!H44-('V06 Calend 01'!I44*('V06 Calend 01'!E44-1))),'V06 Calend 01'!I44),0))+IF((113='V06 Calend 01'!D44),'V06 Calend 01'!J44,0))</f>
        <v>0</v>
      </c>
      <c r="DV44" s="2">
        <f>((IF((114='V06 Calend 01'!C44),('V06 Calend 01'!F44+'V06 Calend 01'!G44),0)+IF(AND(('V06 Calend 01'!E44&gt;0),(114&gt;'V06 Calend 01'!C44),(114&lt;'V06 Calend 01'!D44),(MOD((114-'V06 Calend 01'!C44),6)=0),(((114-'V06 Calend 01'!C44)/6)&lt;='V06 Calend 01'!E44)),IF((114=('V06 Calend 01'!C44+(6*'V06 Calend 01'!E44))),('V06 Calend 01'!H44-('V06 Calend 01'!I44*('V06 Calend 01'!E44-1))),'V06 Calend 01'!I44),0))+IF((114='V06 Calend 01'!D44),'V06 Calend 01'!J44,0))</f>
        <v>0</v>
      </c>
      <c r="DW44" s="2">
        <f>((IF((115='V06 Calend 01'!C44),('V06 Calend 01'!F44+'V06 Calend 01'!G44),0)+IF(AND(('V06 Calend 01'!E44&gt;0),(115&gt;'V06 Calend 01'!C44),(115&lt;'V06 Calend 01'!D44),(MOD((115-'V06 Calend 01'!C44),6)=0),(((115-'V06 Calend 01'!C44)/6)&lt;='V06 Calend 01'!E44)),IF((115=('V06 Calend 01'!C44+(6*'V06 Calend 01'!E44))),('V06 Calend 01'!H44-('V06 Calend 01'!I44*('V06 Calend 01'!E44-1))),'V06 Calend 01'!I44),0))+IF((115='V06 Calend 01'!D44),'V06 Calend 01'!J44,0))</f>
        <v>0</v>
      </c>
      <c r="DX44" s="2">
        <f>((IF((116='V06 Calend 01'!C44),('V06 Calend 01'!F44+'V06 Calend 01'!G44),0)+IF(AND(('V06 Calend 01'!E44&gt;0),(116&gt;'V06 Calend 01'!C44),(116&lt;'V06 Calend 01'!D44),(MOD((116-'V06 Calend 01'!C44),6)=0),(((116-'V06 Calend 01'!C44)/6)&lt;='V06 Calend 01'!E44)),IF((116=('V06 Calend 01'!C44+(6*'V06 Calend 01'!E44))),('V06 Calend 01'!H44-('V06 Calend 01'!I44*('V06 Calend 01'!E44-1))),'V06 Calend 01'!I44),0))+IF((116='V06 Calend 01'!D44),'V06 Calend 01'!J44,0))</f>
        <v>0</v>
      </c>
      <c r="DY44" s="2">
        <f>((IF((117='V06 Calend 01'!C44),('V06 Calend 01'!F44+'V06 Calend 01'!G44),0)+IF(AND(('V06 Calend 01'!E44&gt;0),(117&gt;'V06 Calend 01'!C44),(117&lt;'V06 Calend 01'!D44),(MOD((117-'V06 Calend 01'!C44),6)=0),(((117-'V06 Calend 01'!C44)/6)&lt;='V06 Calend 01'!E44)),IF((117=('V06 Calend 01'!C44+(6*'V06 Calend 01'!E44))),('V06 Calend 01'!H44-('V06 Calend 01'!I44*('V06 Calend 01'!E44-1))),'V06 Calend 01'!I44),0))+IF((117='V06 Calend 01'!D44),'V06 Calend 01'!J44,0))</f>
        <v>0</v>
      </c>
      <c r="DZ44" s="2">
        <f>((IF((118='V06 Calend 01'!C44),('V06 Calend 01'!F44+'V06 Calend 01'!G44),0)+IF(AND(('V06 Calend 01'!E44&gt;0),(118&gt;'V06 Calend 01'!C44),(118&lt;'V06 Calend 01'!D44),(MOD((118-'V06 Calend 01'!C44),6)=0),(((118-'V06 Calend 01'!C44)/6)&lt;='V06 Calend 01'!E44)),IF((118=('V06 Calend 01'!C44+(6*'V06 Calend 01'!E44))),('V06 Calend 01'!H44-('V06 Calend 01'!I44*('V06 Calend 01'!E44-1))),'V06 Calend 01'!I44),0))+IF((118='V06 Calend 01'!D44),'V06 Calend 01'!J44,0))</f>
        <v>0</v>
      </c>
      <c r="EA44" s="2">
        <f>((IF((119='V06 Calend 01'!C44),('V06 Calend 01'!F44+'V06 Calend 01'!G44),0)+IF(AND(('V06 Calend 01'!E44&gt;0),(119&gt;'V06 Calend 01'!C44),(119&lt;'V06 Calend 01'!D44),(MOD((119-'V06 Calend 01'!C44),6)=0),(((119-'V06 Calend 01'!C44)/6)&lt;='V06 Calend 01'!E44)),IF((119=('V06 Calend 01'!C44+(6*'V06 Calend 01'!E44))),('V06 Calend 01'!H44-('V06 Calend 01'!I44*('V06 Calend 01'!E44-1))),'V06 Calend 01'!I44),0))+IF((119='V06 Calend 01'!D44),'V06 Calend 01'!J44,0))</f>
        <v>0</v>
      </c>
      <c r="EB44" s="2">
        <f>((IF((120='V06 Calend 01'!C44),('V06 Calend 01'!F44+'V06 Calend 01'!G44),0)+IF(AND(('V06 Calend 01'!E44&gt;0),(120&gt;'V06 Calend 01'!C44),(120&lt;'V06 Calend 01'!D44),(MOD((120-'V06 Calend 01'!C44),6)=0),(((120-'V06 Calend 01'!C44)/6)&lt;='V06 Calend 01'!E44)),IF((120=('V06 Calend 01'!C44+(6*'V06 Calend 01'!E44))),('V06 Calend 01'!H44-('V06 Calend 01'!I44*('V06 Calend 01'!E44-1))),'V06 Calend 01'!I44),0))+IF((120='V06 Calend 01'!D44),'V06 Calend 01'!J44,0))</f>
        <v>0</v>
      </c>
      <c r="EC44" s="2">
        <f>((IF((121='V06 Calend 01'!C44),('V06 Calend 01'!F44+'V06 Calend 01'!G44),0)+IF(AND(('V06 Calend 01'!E44&gt;0),(121&gt;'V06 Calend 01'!C44),(121&lt;'V06 Calend 01'!D44),(MOD((121-'V06 Calend 01'!C44),6)=0),(((121-'V06 Calend 01'!C44)/6)&lt;='V06 Calend 01'!E44)),IF((121=('V06 Calend 01'!C44+(6*'V06 Calend 01'!E44))),('V06 Calend 01'!H44-('V06 Calend 01'!I44*('V06 Calend 01'!E44-1))),'V06 Calend 01'!I44),0))+IF((121='V06 Calend 01'!D44),'V06 Calend 01'!J44,0))</f>
        <v>0</v>
      </c>
      <c r="ED44" s="2">
        <f>((IF((122='V06 Calend 01'!C44),('V06 Calend 01'!F44+'V06 Calend 01'!G44),0)+IF(AND(('V06 Calend 01'!E44&gt;0),(122&gt;'V06 Calend 01'!C44),(122&lt;'V06 Calend 01'!D44),(MOD((122-'V06 Calend 01'!C44),6)=0),(((122-'V06 Calend 01'!C44)/6)&lt;='V06 Calend 01'!E44)),IF((122=('V06 Calend 01'!C44+(6*'V06 Calend 01'!E44))),('V06 Calend 01'!H44-('V06 Calend 01'!I44*('V06 Calend 01'!E44-1))),'V06 Calend 01'!I44),0))+IF((122='V06 Calend 01'!D44),'V06 Calend 01'!J44,0))</f>
        <v>0</v>
      </c>
      <c r="EE44" s="2">
        <f>((IF((123='V06 Calend 01'!C44),('V06 Calend 01'!F44+'V06 Calend 01'!G44),0)+IF(AND(('V06 Calend 01'!E44&gt;0),(123&gt;'V06 Calend 01'!C44),(123&lt;'V06 Calend 01'!D44),(MOD((123-'V06 Calend 01'!C44),6)=0),(((123-'V06 Calend 01'!C44)/6)&lt;='V06 Calend 01'!E44)),IF((123=('V06 Calend 01'!C44+(6*'V06 Calend 01'!E44))),('V06 Calend 01'!H44-('V06 Calend 01'!I44*('V06 Calend 01'!E44-1))),'V06 Calend 01'!I44),0))+IF((123='V06 Calend 01'!D44),'V06 Calend 01'!J44,0))</f>
        <v>0</v>
      </c>
      <c r="EF44" s="2">
        <f>((IF((124='V06 Calend 01'!C44),('V06 Calend 01'!F44+'V06 Calend 01'!G44),0)+IF(AND(('V06 Calend 01'!E44&gt;0),(124&gt;'V06 Calend 01'!C44),(124&lt;'V06 Calend 01'!D44),(MOD((124-'V06 Calend 01'!C44),6)=0),(((124-'V06 Calend 01'!C44)/6)&lt;='V06 Calend 01'!E44)),IF((124=('V06 Calend 01'!C44+(6*'V06 Calend 01'!E44))),('V06 Calend 01'!H44-('V06 Calend 01'!I44*('V06 Calend 01'!E44-1))),'V06 Calend 01'!I44),0))+IF((124='V06 Calend 01'!D44),'V06 Calend 01'!J44,0))</f>
        <v>0</v>
      </c>
      <c r="EG44" s="2">
        <f>((IF((125='V06 Calend 01'!C44),('V06 Calend 01'!F44+'V06 Calend 01'!G44),0)+IF(AND(('V06 Calend 01'!E44&gt;0),(125&gt;'V06 Calend 01'!C44),(125&lt;'V06 Calend 01'!D44),(MOD((125-'V06 Calend 01'!C44),6)=0),(((125-'V06 Calend 01'!C44)/6)&lt;='V06 Calend 01'!E44)),IF((125=('V06 Calend 01'!C44+(6*'V06 Calend 01'!E44))),('V06 Calend 01'!H44-('V06 Calend 01'!I44*('V06 Calend 01'!E44-1))),'V06 Calend 01'!I44),0))+IF((125='V06 Calend 01'!D44),'V06 Calend 01'!J44,0))</f>
        <v>0</v>
      </c>
      <c r="EH44" s="2">
        <f>((IF((126='V06 Calend 01'!C44),('V06 Calend 01'!F44+'V06 Calend 01'!G44),0)+IF(AND(('V06 Calend 01'!E44&gt;0),(126&gt;'V06 Calend 01'!C44),(126&lt;'V06 Calend 01'!D44),(MOD((126-'V06 Calend 01'!C44),6)=0),(((126-'V06 Calend 01'!C44)/6)&lt;='V06 Calend 01'!E44)),IF((126=('V06 Calend 01'!C44+(6*'V06 Calend 01'!E44))),('V06 Calend 01'!H44-('V06 Calend 01'!I44*('V06 Calend 01'!E44-1))),'V06 Calend 01'!I44),0))+IF((126='V06 Calend 01'!D44),'V06 Calend 01'!J44,0))</f>
        <v>0</v>
      </c>
      <c r="EI44" s="2">
        <f>((IF((127='V06 Calend 01'!C44),('V06 Calend 01'!F44+'V06 Calend 01'!G44),0)+IF(AND(('V06 Calend 01'!E44&gt;0),(127&gt;'V06 Calend 01'!C44),(127&lt;'V06 Calend 01'!D44),(MOD((127-'V06 Calend 01'!C44),6)=0),(((127-'V06 Calend 01'!C44)/6)&lt;='V06 Calend 01'!E44)),IF((127=('V06 Calend 01'!C44+(6*'V06 Calend 01'!E44))),('V06 Calend 01'!H44-('V06 Calend 01'!I44*('V06 Calend 01'!E44-1))),'V06 Calend 01'!I44),0))+IF((127='V06 Calend 01'!D44),'V06 Calend 01'!J44,0))</f>
        <v>0</v>
      </c>
      <c r="EJ44" s="2">
        <f>((IF((128='V06 Calend 01'!C44),('V06 Calend 01'!F44+'V06 Calend 01'!G44),0)+IF(AND(('V06 Calend 01'!E44&gt;0),(128&gt;'V06 Calend 01'!C44),(128&lt;'V06 Calend 01'!D44),(MOD((128-'V06 Calend 01'!C44),6)=0),(((128-'V06 Calend 01'!C44)/6)&lt;='V06 Calend 01'!E44)),IF((128=('V06 Calend 01'!C44+(6*'V06 Calend 01'!E44))),('V06 Calend 01'!H44-('V06 Calend 01'!I44*('V06 Calend 01'!E44-1))),'V06 Calend 01'!I44),0))+IF((128='V06 Calend 01'!D44),'V06 Calend 01'!J44,0))</f>
        <v>0</v>
      </c>
      <c r="EK44" s="2">
        <f>((IF((129='V06 Calend 01'!C44),('V06 Calend 01'!F44+'V06 Calend 01'!G44),0)+IF(AND(('V06 Calend 01'!E44&gt;0),(129&gt;'V06 Calend 01'!C44),(129&lt;'V06 Calend 01'!D44),(MOD((129-'V06 Calend 01'!C44),6)=0),(((129-'V06 Calend 01'!C44)/6)&lt;='V06 Calend 01'!E44)),IF((129=('V06 Calend 01'!C44+(6*'V06 Calend 01'!E44))),('V06 Calend 01'!H44-('V06 Calend 01'!I44*('V06 Calend 01'!E44-1))),'V06 Calend 01'!I44),0))+IF((129='V06 Calend 01'!D44),'V06 Calend 01'!J44,0))</f>
        <v>0</v>
      </c>
      <c r="EL44" s="2">
        <f>((IF((130='V06 Calend 01'!C44),('V06 Calend 01'!F44+'V06 Calend 01'!G44),0)+IF(AND(('V06 Calend 01'!E44&gt;0),(130&gt;'V06 Calend 01'!C44),(130&lt;'V06 Calend 01'!D44),(MOD((130-'V06 Calend 01'!C44),6)=0),(((130-'V06 Calend 01'!C44)/6)&lt;='V06 Calend 01'!E44)),IF((130=('V06 Calend 01'!C44+(6*'V06 Calend 01'!E44))),('V06 Calend 01'!H44-('V06 Calend 01'!I44*('V06 Calend 01'!E44-1))),'V06 Calend 01'!I44),0))+IF((130='V06 Calend 01'!D44),'V06 Calend 01'!J44,0))</f>
        <v>0</v>
      </c>
      <c r="EM44" s="2">
        <f>((IF((131='V06 Calend 01'!C44),('V06 Calend 01'!F44+'V06 Calend 01'!G44),0)+IF(AND(('V06 Calend 01'!E44&gt;0),(131&gt;'V06 Calend 01'!C44),(131&lt;'V06 Calend 01'!D44),(MOD((131-'V06 Calend 01'!C44),6)=0),(((131-'V06 Calend 01'!C44)/6)&lt;='V06 Calend 01'!E44)),IF((131=('V06 Calend 01'!C44+(6*'V06 Calend 01'!E44))),('V06 Calend 01'!H44-('V06 Calend 01'!I44*('V06 Calend 01'!E44-1))),'V06 Calend 01'!I44),0))+IF((131='V06 Calend 01'!D44),'V06 Calend 01'!J44,0))</f>
        <v>0</v>
      </c>
      <c r="EN44" s="2">
        <f>((IF((132='V06 Calend 01'!C44),('V06 Calend 01'!F44+'V06 Calend 01'!G44),0)+IF(AND(('V06 Calend 01'!E44&gt;0),(132&gt;'V06 Calend 01'!C44),(132&lt;'V06 Calend 01'!D44),(MOD((132-'V06 Calend 01'!C44),6)=0),(((132-'V06 Calend 01'!C44)/6)&lt;='V06 Calend 01'!E44)),IF((132=('V06 Calend 01'!C44+(6*'V06 Calend 01'!E44))),('V06 Calend 01'!H44-('V06 Calend 01'!I44*('V06 Calend 01'!E44-1))),'V06 Calend 01'!I44),0))+IF((132='V06 Calend 01'!D44),'V06 Calend 01'!J44,0))</f>
        <v>0</v>
      </c>
      <c r="EO44" s="2">
        <f>((IF((133='V06 Calend 01'!C44),('V06 Calend 01'!F44+'V06 Calend 01'!G44),0)+IF(AND(('V06 Calend 01'!E44&gt;0),(133&gt;'V06 Calend 01'!C44),(133&lt;'V06 Calend 01'!D44),(MOD((133-'V06 Calend 01'!C44),6)=0),(((133-'V06 Calend 01'!C44)/6)&lt;='V06 Calend 01'!E44)),IF((133=('V06 Calend 01'!C44+(6*'V06 Calend 01'!E44))),('V06 Calend 01'!H44-('V06 Calend 01'!I44*('V06 Calend 01'!E44-1))),'V06 Calend 01'!I44),0))+IF((133='V06 Calend 01'!D44),'V06 Calend 01'!J44,0))</f>
        <v>0</v>
      </c>
      <c r="EP44" s="2">
        <f>((IF((134='V06 Calend 01'!C44),('V06 Calend 01'!F44+'V06 Calend 01'!G44),0)+IF(AND(('V06 Calend 01'!E44&gt;0),(134&gt;'V06 Calend 01'!C44),(134&lt;'V06 Calend 01'!D44),(MOD((134-'V06 Calend 01'!C44),6)=0),(((134-'V06 Calend 01'!C44)/6)&lt;='V06 Calend 01'!E44)),IF((134=('V06 Calend 01'!C44+(6*'V06 Calend 01'!E44))),('V06 Calend 01'!H44-('V06 Calend 01'!I44*('V06 Calend 01'!E44-1))),'V06 Calend 01'!I44),0))+IF((134='V06 Calend 01'!D44),'V06 Calend 01'!J44,0))</f>
        <v>0</v>
      </c>
      <c r="EQ44" s="2">
        <f>((IF((135='V06 Calend 01'!C44),('V06 Calend 01'!F44+'V06 Calend 01'!G44),0)+IF(AND(('V06 Calend 01'!E44&gt;0),(135&gt;'V06 Calend 01'!C44),(135&lt;'V06 Calend 01'!D44),(MOD((135-'V06 Calend 01'!C44),6)=0),(((135-'V06 Calend 01'!C44)/6)&lt;='V06 Calend 01'!E44)),IF((135=('V06 Calend 01'!C44+(6*'V06 Calend 01'!E44))),('V06 Calend 01'!H44-('V06 Calend 01'!I44*('V06 Calend 01'!E44-1))),'V06 Calend 01'!I44),0))+IF((135='V06 Calend 01'!D44),'V06 Calend 01'!J44,0))</f>
        <v>0</v>
      </c>
      <c r="ER44" s="2">
        <f>((IF((136='V06 Calend 01'!C44),('V06 Calend 01'!F44+'V06 Calend 01'!G44),0)+IF(AND(('V06 Calend 01'!E44&gt;0),(136&gt;'V06 Calend 01'!C44),(136&lt;'V06 Calend 01'!D44),(MOD((136-'V06 Calend 01'!C44),6)=0),(((136-'V06 Calend 01'!C44)/6)&lt;='V06 Calend 01'!E44)),IF((136=('V06 Calend 01'!C44+(6*'V06 Calend 01'!E44))),('V06 Calend 01'!H44-('V06 Calend 01'!I44*('V06 Calend 01'!E44-1))),'V06 Calend 01'!I44),0))+IF((136='V06 Calend 01'!D44),'V06 Calend 01'!J44,0))</f>
        <v>0</v>
      </c>
      <c r="ES44" s="2">
        <f>((IF((137='V06 Calend 01'!C44),('V06 Calend 01'!F44+'V06 Calend 01'!G44),0)+IF(AND(('V06 Calend 01'!E44&gt;0),(137&gt;'V06 Calend 01'!C44),(137&lt;'V06 Calend 01'!D44),(MOD((137-'V06 Calend 01'!C44),6)=0),(((137-'V06 Calend 01'!C44)/6)&lt;='V06 Calend 01'!E44)),IF((137=('V06 Calend 01'!C44+(6*'V06 Calend 01'!E44))),('V06 Calend 01'!H44-('V06 Calend 01'!I44*('V06 Calend 01'!E44-1))),'V06 Calend 01'!I44),0))+IF((137='V06 Calend 01'!D44),'V06 Calend 01'!J44,0))</f>
        <v>0</v>
      </c>
      <c r="ET44" s="2">
        <f>((IF((138='V06 Calend 01'!C44),('V06 Calend 01'!F44+'V06 Calend 01'!G44),0)+IF(AND(('V06 Calend 01'!E44&gt;0),(138&gt;'V06 Calend 01'!C44),(138&lt;'V06 Calend 01'!D44),(MOD((138-'V06 Calend 01'!C44),6)=0),(((138-'V06 Calend 01'!C44)/6)&lt;='V06 Calend 01'!E44)),IF((138=('V06 Calend 01'!C44+(6*'V06 Calend 01'!E44))),('V06 Calend 01'!H44-('V06 Calend 01'!I44*('V06 Calend 01'!E44-1))),'V06 Calend 01'!I44),0))+IF((138='V06 Calend 01'!D44),'V06 Calend 01'!J44,0))</f>
        <v>0</v>
      </c>
      <c r="EU44" s="2">
        <f>((IF((139='V06 Calend 01'!C44),('V06 Calend 01'!F44+'V06 Calend 01'!G44),0)+IF(AND(('V06 Calend 01'!E44&gt;0),(139&gt;'V06 Calend 01'!C44),(139&lt;'V06 Calend 01'!D44),(MOD((139-'V06 Calend 01'!C44),6)=0),(((139-'V06 Calend 01'!C44)/6)&lt;='V06 Calend 01'!E44)),IF((139=('V06 Calend 01'!C44+(6*'V06 Calend 01'!E44))),('V06 Calend 01'!H44-('V06 Calend 01'!I44*('V06 Calend 01'!E44-1))),'V06 Calend 01'!I44),0))+IF((139='V06 Calend 01'!D44),'V06 Calend 01'!J44,0))</f>
        <v>0</v>
      </c>
      <c r="EV44" s="2">
        <f>((IF((140='V06 Calend 01'!C44),('V06 Calend 01'!F44+'V06 Calend 01'!G44),0)+IF(AND(('V06 Calend 01'!E44&gt;0),(140&gt;'V06 Calend 01'!C44),(140&lt;'V06 Calend 01'!D44),(MOD((140-'V06 Calend 01'!C44),6)=0),(((140-'V06 Calend 01'!C44)/6)&lt;='V06 Calend 01'!E44)),IF((140=('V06 Calend 01'!C44+(6*'V06 Calend 01'!E44))),('V06 Calend 01'!H44-('V06 Calend 01'!I44*('V06 Calend 01'!E44-1))),'V06 Calend 01'!I44),0))+IF((140='V06 Calend 01'!D44),'V06 Calend 01'!J44,0))</f>
        <v>0</v>
      </c>
      <c r="EW44" s="2">
        <f>((IF((141='V06 Calend 01'!C44),('V06 Calend 01'!F44+'V06 Calend 01'!G44),0)+IF(AND(('V06 Calend 01'!E44&gt;0),(141&gt;'V06 Calend 01'!C44),(141&lt;'V06 Calend 01'!D44),(MOD((141-'V06 Calend 01'!C44),6)=0),(((141-'V06 Calend 01'!C44)/6)&lt;='V06 Calend 01'!E44)),IF((141=('V06 Calend 01'!C44+(6*'V06 Calend 01'!E44))),('V06 Calend 01'!H44-('V06 Calend 01'!I44*('V06 Calend 01'!E44-1))),'V06 Calend 01'!I44),0))+IF((141='V06 Calend 01'!D44),'V06 Calend 01'!J44,0))</f>
        <v>0</v>
      </c>
      <c r="EX44" s="2">
        <f>((IF((142='V06 Calend 01'!C44),('V06 Calend 01'!F44+'V06 Calend 01'!G44),0)+IF(AND(('V06 Calend 01'!E44&gt;0),(142&gt;'V06 Calend 01'!C44),(142&lt;'V06 Calend 01'!D44),(MOD((142-'V06 Calend 01'!C44),6)=0),(((142-'V06 Calend 01'!C44)/6)&lt;='V06 Calend 01'!E44)),IF((142=('V06 Calend 01'!C44+(6*'V06 Calend 01'!E44))),('V06 Calend 01'!H44-('V06 Calend 01'!I44*('V06 Calend 01'!E44-1))),'V06 Calend 01'!I44),0))+IF((142='V06 Calend 01'!D44),'V06 Calend 01'!J44,0))</f>
        <v>0</v>
      </c>
      <c r="EY44" s="2">
        <f>((IF((143='V06 Calend 01'!C44),('V06 Calend 01'!F44+'V06 Calend 01'!G44),0)+IF(AND(('V06 Calend 01'!E44&gt;0),(143&gt;'V06 Calend 01'!C44),(143&lt;'V06 Calend 01'!D44),(MOD((143-'V06 Calend 01'!C44),6)=0),(((143-'V06 Calend 01'!C44)/6)&lt;='V06 Calend 01'!E44)),IF((143=('V06 Calend 01'!C44+(6*'V06 Calend 01'!E44))),('V06 Calend 01'!H44-('V06 Calend 01'!I44*('V06 Calend 01'!E44-1))),'V06 Calend 01'!I44),0))+IF((143='V06 Calend 01'!D44),'V06 Calend 01'!J44,0))</f>
        <v>0</v>
      </c>
      <c r="EZ44" s="2">
        <f>((IF((144='V06 Calend 01'!C44),('V06 Calend 01'!F44+'V06 Calend 01'!G44),0)+IF(AND(('V06 Calend 01'!E44&gt;0),(144&gt;'V06 Calend 01'!C44),(144&lt;'V06 Calend 01'!D44),(MOD((144-'V06 Calend 01'!C44),6)=0),(((144-'V06 Calend 01'!C44)/6)&lt;='V06 Calend 01'!E44)),IF((144=('V06 Calend 01'!C44+(6*'V06 Calend 01'!E44))),('V06 Calend 01'!H44-('V06 Calend 01'!I44*('V06 Calend 01'!E44-1))),'V06 Calend 01'!I44),0))+IF((144='V06 Calend 01'!D44),'V06 Calend 01'!J44,0))</f>
        <v>0</v>
      </c>
      <c r="FA44" s="2">
        <f>((IF((145='V06 Calend 01'!C44),('V06 Calend 01'!F44+'V06 Calend 01'!G44),0)+IF(AND(('V06 Calend 01'!E44&gt;0),(145&gt;'V06 Calend 01'!C44),(145&lt;'V06 Calend 01'!D44),(MOD((145-'V06 Calend 01'!C44),6)=0),(((145-'V06 Calend 01'!C44)/6)&lt;='V06 Calend 01'!E44)),IF((145=('V06 Calend 01'!C44+(6*'V06 Calend 01'!E44))),('V06 Calend 01'!H44-('V06 Calend 01'!I44*('V06 Calend 01'!E44-1))),'V06 Calend 01'!I44),0))+IF((145='V06 Calend 01'!D44),'V06 Calend 01'!J44,0))</f>
        <v>0</v>
      </c>
      <c r="FB44" s="2">
        <f>((IF((146='V06 Calend 01'!C44),('V06 Calend 01'!F44+'V06 Calend 01'!G44),0)+IF(AND(('V06 Calend 01'!E44&gt;0),(146&gt;'V06 Calend 01'!C44),(146&lt;'V06 Calend 01'!D44),(MOD((146-'V06 Calend 01'!C44),6)=0),(((146-'V06 Calend 01'!C44)/6)&lt;='V06 Calend 01'!E44)),IF((146=('V06 Calend 01'!C44+(6*'V06 Calend 01'!E44))),('V06 Calend 01'!H44-('V06 Calend 01'!I44*('V06 Calend 01'!E44-1))),'V06 Calend 01'!I44),0))+IF((146='V06 Calend 01'!D44),'V06 Calend 01'!J44,0))</f>
        <v>0</v>
      </c>
      <c r="FC44" s="2">
        <f>((IF((147='V06 Calend 01'!C44),('V06 Calend 01'!F44+'V06 Calend 01'!G44),0)+IF(AND(('V06 Calend 01'!E44&gt;0),(147&gt;'V06 Calend 01'!C44),(147&lt;'V06 Calend 01'!D44),(MOD((147-'V06 Calend 01'!C44),6)=0),(((147-'V06 Calend 01'!C44)/6)&lt;='V06 Calend 01'!E44)),IF((147=('V06 Calend 01'!C44+(6*'V06 Calend 01'!E44))),('V06 Calend 01'!H44-('V06 Calend 01'!I44*('V06 Calend 01'!E44-1))),'V06 Calend 01'!I44),0))+IF((147='V06 Calend 01'!D44),'V06 Calend 01'!J44,0))</f>
        <v>0</v>
      </c>
      <c r="FD44" s="2">
        <f>((IF((148='V06 Calend 01'!C44),('V06 Calend 01'!F44+'V06 Calend 01'!G44),0)+IF(AND(('V06 Calend 01'!E44&gt;0),(148&gt;'V06 Calend 01'!C44),(148&lt;'V06 Calend 01'!D44),(MOD((148-'V06 Calend 01'!C44),6)=0),(((148-'V06 Calend 01'!C44)/6)&lt;='V06 Calend 01'!E44)),IF((148=('V06 Calend 01'!C44+(6*'V06 Calend 01'!E44))),('V06 Calend 01'!H44-('V06 Calend 01'!I44*('V06 Calend 01'!E44-1))),'V06 Calend 01'!I44),0))+IF((148='V06 Calend 01'!D44),'V06 Calend 01'!J44,0))</f>
        <v>0</v>
      </c>
      <c r="FE44" s="2">
        <f>((IF((149='V06 Calend 01'!C44),('V06 Calend 01'!F44+'V06 Calend 01'!G44),0)+IF(AND(('V06 Calend 01'!E44&gt;0),(149&gt;'V06 Calend 01'!C44),(149&lt;'V06 Calend 01'!D44),(MOD((149-'V06 Calend 01'!C44),6)=0),(((149-'V06 Calend 01'!C44)/6)&lt;='V06 Calend 01'!E44)),IF((149=('V06 Calend 01'!C44+(6*'V06 Calend 01'!E44))),('V06 Calend 01'!H44-('V06 Calend 01'!I44*('V06 Calend 01'!E44-1))),'V06 Calend 01'!I44),0))+IF((149='V06 Calend 01'!D44),'V06 Calend 01'!J44,0))</f>
        <v>0</v>
      </c>
      <c r="FF44" s="2">
        <f>((IF((150='V06 Calend 01'!C44),('V06 Calend 01'!F44+'V06 Calend 01'!G44),0)+IF(AND(('V06 Calend 01'!E44&gt;0),(150&gt;'V06 Calend 01'!C44),(150&lt;'V06 Calend 01'!D44),(MOD((150-'V06 Calend 01'!C44),6)=0),(((150-'V06 Calend 01'!C44)/6)&lt;='V06 Calend 01'!E44)),IF((150=('V06 Calend 01'!C44+(6*'V06 Calend 01'!E44))),('V06 Calend 01'!H44-('V06 Calend 01'!I44*('V06 Calend 01'!E44-1))),'V06 Calend 01'!I44),0))+IF((150='V06 Calend 01'!D44),'V06 Calend 01'!J44,0))</f>
        <v>0</v>
      </c>
      <c r="FG44" s="2">
        <f>((IF((151='V06 Calend 01'!C44),('V06 Calend 01'!F44+'V06 Calend 01'!G44),0)+IF(AND(('V06 Calend 01'!E44&gt;0),(151&gt;'V06 Calend 01'!C44),(151&lt;'V06 Calend 01'!D44),(MOD((151-'V06 Calend 01'!C44),6)=0),(((151-'V06 Calend 01'!C44)/6)&lt;='V06 Calend 01'!E44)),IF((151=('V06 Calend 01'!C44+(6*'V06 Calend 01'!E44))),('V06 Calend 01'!H44-('V06 Calend 01'!I44*('V06 Calend 01'!E44-1))),'V06 Calend 01'!I44),0))+IF((151='V06 Calend 01'!D44),'V06 Calend 01'!J44,0))</f>
        <v>0</v>
      </c>
      <c r="FH44" s="2">
        <f>((IF((152='V06 Calend 01'!C44),('V06 Calend 01'!F44+'V06 Calend 01'!G44),0)+IF(AND(('V06 Calend 01'!E44&gt;0),(152&gt;'V06 Calend 01'!C44),(152&lt;'V06 Calend 01'!D44),(MOD((152-'V06 Calend 01'!C44),6)=0),(((152-'V06 Calend 01'!C44)/6)&lt;='V06 Calend 01'!E44)),IF((152=('V06 Calend 01'!C44+(6*'V06 Calend 01'!E44))),('V06 Calend 01'!H44-('V06 Calend 01'!I44*('V06 Calend 01'!E44-1))),'V06 Calend 01'!I44),0))+IF((152='V06 Calend 01'!D44),'V06 Calend 01'!J44,0))</f>
        <v>0</v>
      </c>
      <c r="FI44" s="2">
        <f>((IF((153='V06 Calend 01'!C44),('V06 Calend 01'!F44+'V06 Calend 01'!G44),0)+IF(AND(('V06 Calend 01'!E44&gt;0),(153&gt;'V06 Calend 01'!C44),(153&lt;'V06 Calend 01'!D44),(MOD((153-'V06 Calend 01'!C44),6)=0),(((153-'V06 Calend 01'!C44)/6)&lt;='V06 Calend 01'!E44)),IF((153=('V06 Calend 01'!C44+(6*'V06 Calend 01'!E44))),('V06 Calend 01'!H44-('V06 Calend 01'!I44*('V06 Calend 01'!E44-1))),'V06 Calend 01'!I44),0))+IF((153='V06 Calend 01'!D44),'V06 Calend 01'!J44,0))</f>
        <v>0</v>
      </c>
      <c r="FJ44" s="2">
        <f>((IF((154='V06 Calend 01'!C44),('V06 Calend 01'!F44+'V06 Calend 01'!G44),0)+IF(AND(('V06 Calend 01'!E44&gt;0),(154&gt;'V06 Calend 01'!C44),(154&lt;'V06 Calend 01'!D44),(MOD((154-'V06 Calend 01'!C44),6)=0),(((154-'V06 Calend 01'!C44)/6)&lt;='V06 Calend 01'!E44)),IF((154=('V06 Calend 01'!C44+(6*'V06 Calend 01'!E44))),('V06 Calend 01'!H44-('V06 Calend 01'!I44*('V06 Calend 01'!E44-1))),'V06 Calend 01'!I44),0))+IF((154='V06 Calend 01'!D44),'V06 Calend 01'!J44,0))</f>
        <v>0</v>
      </c>
      <c r="FK44" s="2">
        <f>((IF((155='V06 Calend 01'!C44),('V06 Calend 01'!F44+'V06 Calend 01'!G44),0)+IF(AND(('V06 Calend 01'!E44&gt;0),(155&gt;'V06 Calend 01'!C44),(155&lt;'V06 Calend 01'!D44),(MOD((155-'V06 Calend 01'!C44),6)=0),(((155-'V06 Calend 01'!C44)/6)&lt;='V06 Calend 01'!E44)),IF((155=('V06 Calend 01'!C44+(6*'V06 Calend 01'!E44))),('V06 Calend 01'!H44-('V06 Calend 01'!I44*('V06 Calend 01'!E44-1))),'V06 Calend 01'!I44),0))+IF((155='V06 Calend 01'!D44),'V06 Calend 01'!J44,0))</f>
        <v>0</v>
      </c>
      <c r="FL44" s="2">
        <f>((IF((156='V06 Calend 01'!C44),('V06 Calend 01'!F44+'V06 Calend 01'!G44),0)+IF(AND(('V06 Calend 01'!E44&gt;0),(156&gt;'V06 Calend 01'!C44),(156&lt;'V06 Calend 01'!D44),(MOD((156-'V06 Calend 01'!C44),6)=0),(((156-'V06 Calend 01'!C44)/6)&lt;='V06 Calend 01'!E44)),IF((156=('V06 Calend 01'!C44+(6*'V06 Calend 01'!E44))),('V06 Calend 01'!H44-('V06 Calend 01'!I44*('V06 Calend 01'!E44-1))),'V06 Calend 01'!I44),0))+IF((156='V06 Calend 01'!D44),'V06 Calend 01'!J44,0))</f>
        <v>0</v>
      </c>
      <c r="FM44" s="2">
        <f>((IF((157='V06 Calend 01'!C44),('V06 Calend 01'!F44+'V06 Calend 01'!G44),0)+IF(AND(('V06 Calend 01'!E44&gt;0),(157&gt;'V06 Calend 01'!C44),(157&lt;'V06 Calend 01'!D44),(MOD((157-'V06 Calend 01'!C44),6)=0),(((157-'V06 Calend 01'!C44)/6)&lt;='V06 Calend 01'!E44)),IF((157=('V06 Calend 01'!C44+(6*'V06 Calend 01'!E44))),('V06 Calend 01'!H44-('V06 Calend 01'!I44*('V06 Calend 01'!E44-1))),'V06 Calend 01'!I44),0))+IF((157='V06 Calend 01'!D44),'V06 Calend 01'!J44,0))</f>
        <v>0</v>
      </c>
      <c r="FN44" s="2">
        <f>((IF((158='V06 Calend 01'!C44),('V06 Calend 01'!F44+'V06 Calend 01'!G44),0)+IF(AND(('V06 Calend 01'!E44&gt;0),(158&gt;'V06 Calend 01'!C44),(158&lt;'V06 Calend 01'!D44),(MOD((158-'V06 Calend 01'!C44),6)=0),(((158-'V06 Calend 01'!C44)/6)&lt;='V06 Calend 01'!E44)),IF((158=('V06 Calend 01'!C44+(6*'V06 Calend 01'!E44))),('V06 Calend 01'!H44-('V06 Calend 01'!I44*('V06 Calend 01'!E44-1))),'V06 Calend 01'!I44),0))+IF((158='V06 Calend 01'!D44),'V06 Calend 01'!J44,0))</f>
        <v>0</v>
      </c>
      <c r="FO44" s="2">
        <f>((IF((159='V06 Calend 01'!C44),('V06 Calend 01'!F44+'V06 Calend 01'!G44),0)+IF(AND(('V06 Calend 01'!E44&gt;0),(159&gt;'V06 Calend 01'!C44),(159&lt;'V06 Calend 01'!D44),(MOD((159-'V06 Calend 01'!C44),6)=0),(((159-'V06 Calend 01'!C44)/6)&lt;='V06 Calend 01'!E44)),IF((159=('V06 Calend 01'!C44+(6*'V06 Calend 01'!E44))),('V06 Calend 01'!H44-('V06 Calend 01'!I44*('V06 Calend 01'!E44-1))),'V06 Calend 01'!I44),0))+IF((159='V06 Calend 01'!D44),'V06 Calend 01'!J44,0))</f>
        <v>0</v>
      </c>
      <c r="FP44" s="2">
        <f>((IF((160='V06 Calend 01'!C44),('V06 Calend 01'!F44+'V06 Calend 01'!G44),0)+IF(AND(('V06 Calend 01'!E44&gt;0),(160&gt;'V06 Calend 01'!C44),(160&lt;'V06 Calend 01'!D44),(MOD((160-'V06 Calend 01'!C44),6)=0),(((160-'V06 Calend 01'!C44)/6)&lt;='V06 Calend 01'!E44)),IF((160=('V06 Calend 01'!C44+(6*'V06 Calend 01'!E44))),('V06 Calend 01'!H44-('V06 Calend 01'!I44*('V06 Calend 01'!E44-1))),'V06 Calend 01'!I44),0))+IF((160='V06 Calend 01'!D44),'V06 Calend 01'!J44,0))</f>
        <v>0</v>
      </c>
      <c r="FQ44" s="2">
        <f>((IF((161='V06 Calend 01'!C44),('V06 Calend 01'!F44+'V06 Calend 01'!G44),0)+IF(AND(('V06 Calend 01'!E44&gt;0),(161&gt;'V06 Calend 01'!C44),(161&lt;'V06 Calend 01'!D44),(MOD((161-'V06 Calend 01'!C44),6)=0),(((161-'V06 Calend 01'!C44)/6)&lt;='V06 Calend 01'!E44)),IF((161=('V06 Calend 01'!C44+(6*'V06 Calend 01'!E44))),('V06 Calend 01'!H44-('V06 Calend 01'!I44*('V06 Calend 01'!E44-1))),'V06 Calend 01'!I44),0))+IF((161='V06 Calend 01'!D44),'V06 Calend 01'!J44,0))</f>
        <v>0</v>
      </c>
      <c r="FR44" s="2">
        <f>((IF((162='V06 Calend 01'!C44),('V06 Calend 01'!F44+'V06 Calend 01'!G44),0)+IF(AND(('V06 Calend 01'!E44&gt;0),(162&gt;'V06 Calend 01'!C44),(162&lt;'V06 Calend 01'!D44),(MOD((162-'V06 Calend 01'!C44),6)=0),(((162-'V06 Calend 01'!C44)/6)&lt;='V06 Calend 01'!E44)),IF((162=('V06 Calend 01'!C44+(6*'V06 Calend 01'!E44))),('V06 Calend 01'!H44-('V06 Calend 01'!I44*('V06 Calend 01'!E44-1))),'V06 Calend 01'!I44),0))+IF((162='V06 Calend 01'!D44),'V06 Calend 01'!J44,0))</f>
        <v>0</v>
      </c>
      <c r="FS44" s="2">
        <f>((IF((163='V06 Calend 01'!C44),('V06 Calend 01'!F44+'V06 Calend 01'!G44),0)+IF(AND(('V06 Calend 01'!E44&gt;0),(163&gt;'V06 Calend 01'!C44),(163&lt;'V06 Calend 01'!D44),(MOD((163-'V06 Calend 01'!C44),6)=0),(((163-'V06 Calend 01'!C44)/6)&lt;='V06 Calend 01'!E44)),IF((163=('V06 Calend 01'!C44+(6*'V06 Calend 01'!E44))),('V06 Calend 01'!H44-('V06 Calend 01'!I44*('V06 Calend 01'!E44-1))),'V06 Calend 01'!I44),0))+IF((163='V06 Calend 01'!D44),'V06 Calend 01'!J44,0))</f>
        <v>0</v>
      </c>
      <c r="FT44" s="2">
        <f>((IF((164='V06 Calend 01'!C44),('V06 Calend 01'!F44+'V06 Calend 01'!G44),0)+IF(AND(('V06 Calend 01'!E44&gt;0),(164&gt;'V06 Calend 01'!C44),(164&lt;'V06 Calend 01'!D44),(MOD((164-'V06 Calend 01'!C44),6)=0),(((164-'V06 Calend 01'!C44)/6)&lt;='V06 Calend 01'!E44)),IF((164=('V06 Calend 01'!C44+(6*'V06 Calend 01'!E44))),('V06 Calend 01'!H44-('V06 Calend 01'!I44*('V06 Calend 01'!E44-1))),'V06 Calend 01'!I44),0))+IF((164='V06 Calend 01'!D44),'V06 Calend 01'!J44,0))</f>
        <v>0</v>
      </c>
      <c r="FU44" s="2">
        <f>((IF((165='V06 Calend 01'!C44),('V06 Calend 01'!F44+'V06 Calend 01'!G44),0)+IF(AND(('V06 Calend 01'!E44&gt;0),(165&gt;'V06 Calend 01'!C44),(165&lt;'V06 Calend 01'!D44),(MOD((165-'V06 Calend 01'!C44),6)=0),(((165-'V06 Calend 01'!C44)/6)&lt;='V06 Calend 01'!E44)),IF((165=('V06 Calend 01'!C44+(6*'V06 Calend 01'!E44))),('V06 Calend 01'!H44-('V06 Calend 01'!I44*('V06 Calend 01'!E44-1))),'V06 Calend 01'!I44),0))+IF((165='V06 Calend 01'!D44),'V06 Calend 01'!J44,0))</f>
        <v>0</v>
      </c>
      <c r="FV44" s="2">
        <f>((IF((166='V06 Calend 01'!C44),('V06 Calend 01'!F44+'V06 Calend 01'!G44),0)+IF(AND(('V06 Calend 01'!E44&gt;0),(166&gt;'V06 Calend 01'!C44),(166&lt;'V06 Calend 01'!D44),(MOD((166-'V06 Calend 01'!C44),6)=0),(((166-'V06 Calend 01'!C44)/6)&lt;='V06 Calend 01'!E44)),IF((166=('V06 Calend 01'!C44+(6*'V06 Calend 01'!E44))),('V06 Calend 01'!H44-('V06 Calend 01'!I44*('V06 Calend 01'!E44-1))),'V06 Calend 01'!I44),0))+IF((166='V06 Calend 01'!D44),'V06 Calend 01'!J44,0))</f>
        <v>0</v>
      </c>
      <c r="FW44" s="2">
        <f>((IF((167='V06 Calend 01'!C44),('V06 Calend 01'!F44+'V06 Calend 01'!G44),0)+IF(AND(('V06 Calend 01'!E44&gt;0),(167&gt;'V06 Calend 01'!C44),(167&lt;'V06 Calend 01'!D44),(MOD((167-'V06 Calend 01'!C44),6)=0),(((167-'V06 Calend 01'!C44)/6)&lt;='V06 Calend 01'!E44)),IF((167=('V06 Calend 01'!C44+(6*'V06 Calend 01'!E44))),('V06 Calend 01'!H44-('V06 Calend 01'!I44*('V06 Calend 01'!E44-1))),'V06 Calend 01'!I44),0))+IF((167='V06 Calend 01'!D44),'V06 Calend 01'!J44,0))</f>
        <v>0</v>
      </c>
      <c r="FX44" s="2">
        <f>((IF((168='V06 Calend 01'!C44),('V06 Calend 01'!F44+'V06 Calend 01'!G44),0)+IF(AND(('V06 Calend 01'!E44&gt;0),(168&gt;'V06 Calend 01'!C44),(168&lt;'V06 Calend 01'!D44),(MOD((168-'V06 Calend 01'!C44),6)=0),(((168-'V06 Calend 01'!C44)/6)&lt;='V06 Calend 01'!E44)),IF((168=('V06 Calend 01'!C44+(6*'V06 Calend 01'!E44))),('V06 Calend 01'!H44-('V06 Calend 01'!I44*('V06 Calend 01'!E44-1))),'V06 Calend 01'!I44),0))+IF((168='V06 Calend 01'!D44),'V06 Calend 01'!J44,0))</f>
        <v>0</v>
      </c>
      <c r="FY44" s="2">
        <f>((IF((169='V06 Calend 01'!C44),('V06 Calend 01'!F44+'V06 Calend 01'!G44),0)+IF(AND(('V06 Calend 01'!E44&gt;0),(169&gt;'V06 Calend 01'!C44),(169&lt;'V06 Calend 01'!D44),(MOD((169-'V06 Calend 01'!C44),6)=0),(((169-'V06 Calend 01'!C44)/6)&lt;='V06 Calend 01'!E44)),IF((169=('V06 Calend 01'!C44+(6*'V06 Calend 01'!E44))),('V06 Calend 01'!H44-('V06 Calend 01'!I44*('V06 Calend 01'!E44-1))),'V06 Calend 01'!I44),0))+IF((169='V06 Calend 01'!D44),'V06 Calend 01'!J44,0))</f>
        <v>0</v>
      </c>
      <c r="FZ44" s="2">
        <f>((IF((170='V06 Calend 01'!C44),('V06 Calend 01'!F44+'V06 Calend 01'!G44),0)+IF(AND(('V06 Calend 01'!E44&gt;0),(170&gt;'V06 Calend 01'!C44),(170&lt;'V06 Calend 01'!D44),(MOD((170-'V06 Calend 01'!C44),6)=0),(((170-'V06 Calend 01'!C44)/6)&lt;='V06 Calend 01'!E44)),IF((170=('V06 Calend 01'!C44+(6*'V06 Calend 01'!E44))),('V06 Calend 01'!H44-('V06 Calend 01'!I44*('V06 Calend 01'!E44-1))),'V06 Calend 01'!I44),0))+IF((170='V06 Calend 01'!D44),'V06 Calend 01'!J44,0))</f>
        <v>0</v>
      </c>
      <c r="GA44" s="2">
        <f>((IF((171='V06 Calend 01'!C44),('V06 Calend 01'!F44+'V06 Calend 01'!G44),0)+IF(AND(('V06 Calend 01'!E44&gt;0),(171&gt;'V06 Calend 01'!C44),(171&lt;'V06 Calend 01'!D44),(MOD((171-'V06 Calend 01'!C44),6)=0),(((171-'V06 Calend 01'!C44)/6)&lt;='V06 Calend 01'!E44)),IF((171=('V06 Calend 01'!C44+(6*'V06 Calend 01'!E44))),('V06 Calend 01'!H44-('V06 Calend 01'!I44*('V06 Calend 01'!E44-1))),'V06 Calend 01'!I44),0))+IF((171='V06 Calend 01'!D44),'V06 Calend 01'!J44,0))</f>
        <v>0</v>
      </c>
      <c r="GB44" s="2">
        <f>((IF((172='V06 Calend 01'!C44),('V06 Calend 01'!F44+'V06 Calend 01'!G44),0)+IF(AND(('V06 Calend 01'!E44&gt;0),(172&gt;'V06 Calend 01'!C44),(172&lt;'V06 Calend 01'!D44),(MOD((172-'V06 Calend 01'!C44),6)=0),(((172-'V06 Calend 01'!C44)/6)&lt;='V06 Calend 01'!E44)),IF((172=('V06 Calend 01'!C44+(6*'V06 Calend 01'!E44))),('V06 Calend 01'!H44-('V06 Calend 01'!I44*('V06 Calend 01'!E44-1))),'V06 Calend 01'!I44),0))+IF((172='V06 Calend 01'!D44),'V06 Calend 01'!J44,0))</f>
        <v>0</v>
      </c>
      <c r="GC44" s="2">
        <f>((IF((173='V06 Calend 01'!C44),('V06 Calend 01'!F44+'V06 Calend 01'!G44),0)+IF(AND(('V06 Calend 01'!E44&gt;0),(173&gt;'V06 Calend 01'!C44),(173&lt;'V06 Calend 01'!D44),(MOD((173-'V06 Calend 01'!C44),6)=0),(((173-'V06 Calend 01'!C44)/6)&lt;='V06 Calend 01'!E44)),IF((173=('V06 Calend 01'!C44+(6*'V06 Calend 01'!E44))),('V06 Calend 01'!H44-('V06 Calend 01'!I44*('V06 Calend 01'!E44-1))),'V06 Calend 01'!I44),0))+IF((173='V06 Calend 01'!D44),'V06 Calend 01'!J44,0))</f>
        <v>0</v>
      </c>
      <c r="GD44" s="2">
        <f>((IF((174='V06 Calend 01'!C44),('V06 Calend 01'!F44+'V06 Calend 01'!G44),0)+IF(AND(('V06 Calend 01'!E44&gt;0),(174&gt;'V06 Calend 01'!C44),(174&lt;'V06 Calend 01'!D44),(MOD((174-'V06 Calend 01'!C44),6)=0),(((174-'V06 Calend 01'!C44)/6)&lt;='V06 Calend 01'!E44)),IF((174=('V06 Calend 01'!C44+(6*'V06 Calend 01'!E44))),('V06 Calend 01'!H44-('V06 Calend 01'!I44*('V06 Calend 01'!E44-1))),'V06 Calend 01'!I44),0))+IF((174='V06 Calend 01'!D44),'V06 Calend 01'!J44,0))</f>
        <v>0</v>
      </c>
      <c r="GE44" s="2">
        <f>((IF((175='V06 Calend 01'!C44),('V06 Calend 01'!F44+'V06 Calend 01'!G44),0)+IF(AND(('V06 Calend 01'!E44&gt;0),(175&gt;'V06 Calend 01'!C44),(175&lt;'V06 Calend 01'!D44),(MOD((175-'V06 Calend 01'!C44),6)=0),(((175-'V06 Calend 01'!C44)/6)&lt;='V06 Calend 01'!E44)),IF((175=('V06 Calend 01'!C44+(6*'V06 Calend 01'!E44))),('V06 Calend 01'!H44-('V06 Calend 01'!I44*('V06 Calend 01'!E44-1))),'V06 Calend 01'!I44),0))+IF((175='V06 Calend 01'!D44),'V06 Calend 01'!J44,0))</f>
        <v>0</v>
      </c>
      <c r="GF44" s="2">
        <f>((IF((176='V06 Calend 01'!C44),('V06 Calend 01'!F44+'V06 Calend 01'!G44),0)+IF(AND(('V06 Calend 01'!E44&gt;0),(176&gt;'V06 Calend 01'!C44),(176&lt;'V06 Calend 01'!D44),(MOD((176-'V06 Calend 01'!C44),6)=0),(((176-'V06 Calend 01'!C44)/6)&lt;='V06 Calend 01'!E44)),IF((176=('V06 Calend 01'!C44+(6*'V06 Calend 01'!E44))),('V06 Calend 01'!H44-('V06 Calend 01'!I44*('V06 Calend 01'!E44-1))),'V06 Calend 01'!I44),0))+IF((176='V06 Calend 01'!D44),'V06 Calend 01'!J44,0))</f>
        <v>0</v>
      </c>
      <c r="GG44" s="2">
        <f>((IF((177='V06 Calend 01'!C44),('V06 Calend 01'!F44+'V06 Calend 01'!G44),0)+IF(AND(('V06 Calend 01'!E44&gt;0),(177&gt;'V06 Calend 01'!C44),(177&lt;'V06 Calend 01'!D44),(MOD((177-'V06 Calend 01'!C44),6)=0),(((177-'V06 Calend 01'!C44)/6)&lt;='V06 Calend 01'!E44)),IF((177=('V06 Calend 01'!C44+(6*'V06 Calend 01'!E44))),('V06 Calend 01'!H44-('V06 Calend 01'!I44*('V06 Calend 01'!E44-1))),'V06 Calend 01'!I44),0))+IF((177='V06 Calend 01'!D44),'V06 Calend 01'!J44,0))</f>
        <v>0</v>
      </c>
      <c r="GH44" s="2">
        <f>((IF((178='V06 Calend 01'!C44),('V06 Calend 01'!F44+'V06 Calend 01'!G44),0)+IF(AND(('V06 Calend 01'!E44&gt;0),(178&gt;'V06 Calend 01'!C44),(178&lt;'V06 Calend 01'!D44),(MOD((178-'V06 Calend 01'!C44),6)=0),(((178-'V06 Calend 01'!C44)/6)&lt;='V06 Calend 01'!E44)),IF((178=('V06 Calend 01'!C44+(6*'V06 Calend 01'!E44))),('V06 Calend 01'!H44-('V06 Calend 01'!I44*('V06 Calend 01'!E44-1))),'V06 Calend 01'!I44),0))+IF((178='V06 Calend 01'!D44),'V06 Calend 01'!J44,0))</f>
        <v>0</v>
      </c>
      <c r="GI44" s="2">
        <f>((IF((179='V06 Calend 01'!C44),('V06 Calend 01'!F44+'V06 Calend 01'!G44),0)+IF(AND(('V06 Calend 01'!E44&gt;0),(179&gt;'V06 Calend 01'!C44),(179&lt;'V06 Calend 01'!D44),(MOD((179-'V06 Calend 01'!C44),6)=0),(((179-'V06 Calend 01'!C44)/6)&lt;='V06 Calend 01'!E44)),IF((179=('V06 Calend 01'!C44+(6*'V06 Calend 01'!E44))),('V06 Calend 01'!H44-('V06 Calend 01'!I44*('V06 Calend 01'!E44-1))),'V06 Calend 01'!I44),0))+IF((179='V06 Calend 01'!D44),'V06 Calend 01'!J44,0))</f>
        <v>0</v>
      </c>
      <c r="GJ44" s="2">
        <f>((IF((180='V06 Calend 01'!C44),('V06 Calend 01'!F44+'V06 Calend 01'!G44),0)+IF(AND(('V06 Calend 01'!E44&gt;0),(180&gt;'V06 Calend 01'!C44),(180&lt;'V06 Calend 01'!D44),(MOD((180-'V06 Calend 01'!C44),6)=0),(((180-'V06 Calend 01'!C44)/6)&lt;='V06 Calend 01'!E44)),IF((180=('V06 Calend 01'!C44+(6*'V06 Calend 01'!E44))),('V06 Calend 01'!H44-('V06 Calend 01'!I44*('V06 Calend 01'!E44-1))),'V06 Calend 01'!I44),0))+IF((180='V06 Calend 01'!D44),'V06 Calend 01'!J44,0))</f>
        <v>0</v>
      </c>
    </row>
    <row r="45" spans="1:192">
      <c r="A45" s="3" t="str">
        <f>'V06 Unidades'!$A$45</f>
        <v>601</v>
      </c>
      <c r="B45" s="2">
        <f>'V06 Unidades'!$H$45</f>
        <v>670350.92</v>
      </c>
      <c r="C45" s="4">
        <f>('V06 Unidades'!$I$45+'V06 Controlos'!$B$37)</f>
        <v>1</v>
      </c>
      <c r="D45" s="4">
        <f>IF(('V06 Controlos'!$B$38&gt;0),MAX(('V06 Unidades'!$L$45+'V06 Controlos'!$B$37),(30+'V06 Controlos'!$B$38)),('V06 Unidades'!$L$45+'V06 Controlos'!$B$37))</f>
        <v>29</v>
      </c>
      <c r="E45" s="4">
        <f>MAX(0,INT(((('V06 Calend 01'!D45-'V06 Calend 01'!C45)-1)/6)))</f>
        <v>4</v>
      </c>
      <c r="F45" s="2">
        <f>ROUND(('V06 Calend 01'!B45*0.05),2)</f>
        <v>33517.55</v>
      </c>
      <c r="G45" s="2">
        <f>ROUND(('V06 Calend 01'!B45*0.2),2)</f>
        <v>134070.18</v>
      </c>
      <c r="H45" s="2">
        <f>ROUND(('V06 Calend 01'!B45*0.55),2)</f>
        <v>368693.01</v>
      </c>
      <c r="I45" s="2">
        <f>ROUND(('V06 Calend 01'!H45/MAX(1,'V06 Calend 01'!E45)),2)</f>
        <v>92173.25</v>
      </c>
      <c r="J45" s="2">
        <f>((('V06 Calend 01'!B45-'V06 Calend 01'!F45)-'V06 Calend 01'!G45)-'V06 Calend 01'!H45)</f>
        <v>134070.18</v>
      </c>
      <c r="K45" s="2">
        <f>('V06 Calend 01'!B45*0.025)</f>
        <v>16758.773</v>
      </c>
      <c r="L45" t="s">
        <v>378</v>
      </c>
      <c r="M45" s="2">
        <f>((IF((1='V06 Calend 01'!C45),('V06 Calend 01'!F45+'V06 Calend 01'!G45),0)+IF(AND(('V06 Calend 01'!E45&gt;0),(1&gt;'V06 Calend 01'!C45),(1&lt;'V06 Calend 01'!D45),(MOD((1-'V06 Calend 01'!C45),6)=0),(((1-'V06 Calend 01'!C45)/6)&lt;='V06 Calend 01'!E45)),IF((1=('V06 Calend 01'!C45+(6*'V06 Calend 01'!E45))),('V06 Calend 01'!H45-('V06 Calend 01'!I45*('V06 Calend 01'!E45-1))),'V06 Calend 01'!I45),0))+IF((1='V06 Calend 01'!D45),'V06 Calend 01'!J45,0))</f>
        <v>167587.72999999998</v>
      </c>
      <c r="N45" s="2">
        <f>((IF((2='V06 Calend 01'!C45),('V06 Calend 01'!F45+'V06 Calend 01'!G45),0)+IF(AND(('V06 Calend 01'!E45&gt;0),(2&gt;'V06 Calend 01'!C45),(2&lt;'V06 Calend 01'!D45),(MOD((2-'V06 Calend 01'!C45),6)=0),(((2-'V06 Calend 01'!C45)/6)&lt;='V06 Calend 01'!E45)),IF((2=('V06 Calend 01'!C45+(6*'V06 Calend 01'!E45))),('V06 Calend 01'!H45-('V06 Calend 01'!I45*('V06 Calend 01'!E45-1))),'V06 Calend 01'!I45),0))+IF((2='V06 Calend 01'!D45),'V06 Calend 01'!J45,0))</f>
        <v>0</v>
      </c>
      <c r="O45" s="2">
        <f>((IF((3='V06 Calend 01'!C45),('V06 Calend 01'!F45+'V06 Calend 01'!G45),0)+IF(AND(('V06 Calend 01'!E45&gt;0),(3&gt;'V06 Calend 01'!C45),(3&lt;'V06 Calend 01'!D45),(MOD((3-'V06 Calend 01'!C45),6)=0),(((3-'V06 Calend 01'!C45)/6)&lt;='V06 Calend 01'!E45)),IF((3=('V06 Calend 01'!C45+(6*'V06 Calend 01'!E45))),('V06 Calend 01'!H45-('V06 Calend 01'!I45*('V06 Calend 01'!E45-1))),'V06 Calend 01'!I45),0))+IF((3='V06 Calend 01'!D45),'V06 Calend 01'!J45,0))</f>
        <v>0</v>
      </c>
      <c r="P45" s="2">
        <f>((IF((4='V06 Calend 01'!C45),('V06 Calend 01'!F45+'V06 Calend 01'!G45),0)+IF(AND(('V06 Calend 01'!E45&gt;0),(4&gt;'V06 Calend 01'!C45),(4&lt;'V06 Calend 01'!D45),(MOD((4-'V06 Calend 01'!C45),6)=0),(((4-'V06 Calend 01'!C45)/6)&lt;='V06 Calend 01'!E45)),IF((4=('V06 Calend 01'!C45+(6*'V06 Calend 01'!E45))),('V06 Calend 01'!H45-('V06 Calend 01'!I45*('V06 Calend 01'!E45-1))),'V06 Calend 01'!I45),0))+IF((4='V06 Calend 01'!D45),'V06 Calend 01'!J45,0))</f>
        <v>0</v>
      </c>
      <c r="Q45" s="2">
        <f>((IF((5='V06 Calend 01'!C45),('V06 Calend 01'!F45+'V06 Calend 01'!G45),0)+IF(AND(('V06 Calend 01'!E45&gt;0),(5&gt;'V06 Calend 01'!C45),(5&lt;'V06 Calend 01'!D45),(MOD((5-'V06 Calend 01'!C45),6)=0),(((5-'V06 Calend 01'!C45)/6)&lt;='V06 Calend 01'!E45)),IF((5=('V06 Calend 01'!C45+(6*'V06 Calend 01'!E45))),('V06 Calend 01'!H45-('V06 Calend 01'!I45*('V06 Calend 01'!E45-1))),'V06 Calend 01'!I45),0))+IF((5='V06 Calend 01'!D45),'V06 Calend 01'!J45,0))</f>
        <v>0</v>
      </c>
      <c r="R45" s="2">
        <f>((IF((6='V06 Calend 01'!C45),('V06 Calend 01'!F45+'V06 Calend 01'!G45),0)+IF(AND(('V06 Calend 01'!E45&gt;0),(6&gt;'V06 Calend 01'!C45),(6&lt;'V06 Calend 01'!D45),(MOD((6-'V06 Calend 01'!C45),6)=0),(((6-'V06 Calend 01'!C45)/6)&lt;='V06 Calend 01'!E45)),IF((6=('V06 Calend 01'!C45+(6*'V06 Calend 01'!E45))),('V06 Calend 01'!H45-('V06 Calend 01'!I45*('V06 Calend 01'!E45-1))),'V06 Calend 01'!I45),0))+IF((6='V06 Calend 01'!D45),'V06 Calend 01'!J45,0))</f>
        <v>0</v>
      </c>
      <c r="S45" s="2">
        <f>((IF((7='V06 Calend 01'!C45),('V06 Calend 01'!F45+'V06 Calend 01'!G45),0)+IF(AND(('V06 Calend 01'!E45&gt;0),(7&gt;'V06 Calend 01'!C45),(7&lt;'V06 Calend 01'!D45),(MOD((7-'V06 Calend 01'!C45),6)=0),(((7-'V06 Calend 01'!C45)/6)&lt;='V06 Calend 01'!E45)),IF((7=('V06 Calend 01'!C45+(6*'V06 Calend 01'!E45))),('V06 Calend 01'!H45-('V06 Calend 01'!I45*('V06 Calend 01'!E45-1))),'V06 Calend 01'!I45),0))+IF((7='V06 Calend 01'!D45),'V06 Calend 01'!J45,0))</f>
        <v>92173.25</v>
      </c>
      <c r="T45" s="2">
        <f>((IF((8='V06 Calend 01'!C45),('V06 Calend 01'!F45+'V06 Calend 01'!G45),0)+IF(AND(('V06 Calend 01'!E45&gt;0),(8&gt;'V06 Calend 01'!C45),(8&lt;'V06 Calend 01'!D45),(MOD((8-'V06 Calend 01'!C45),6)=0),(((8-'V06 Calend 01'!C45)/6)&lt;='V06 Calend 01'!E45)),IF((8=('V06 Calend 01'!C45+(6*'V06 Calend 01'!E45))),('V06 Calend 01'!H45-('V06 Calend 01'!I45*('V06 Calend 01'!E45-1))),'V06 Calend 01'!I45),0))+IF((8='V06 Calend 01'!D45),'V06 Calend 01'!J45,0))</f>
        <v>0</v>
      </c>
      <c r="U45" s="2">
        <f>((IF((9='V06 Calend 01'!C45),('V06 Calend 01'!F45+'V06 Calend 01'!G45),0)+IF(AND(('V06 Calend 01'!E45&gt;0),(9&gt;'V06 Calend 01'!C45),(9&lt;'V06 Calend 01'!D45),(MOD((9-'V06 Calend 01'!C45),6)=0),(((9-'V06 Calend 01'!C45)/6)&lt;='V06 Calend 01'!E45)),IF((9=('V06 Calend 01'!C45+(6*'V06 Calend 01'!E45))),('V06 Calend 01'!H45-('V06 Calend 01'!I45*('V06 Calend 01'!E45-1))),'V06 Calend 01'!I45),0))+IF((9='V06 Calend 01'!D45),'V06 Calend 01'!J45,0))</f>
        <v>0</v>
      </c>
      <c r="V45" s="2">
        <f>((IF((10='V06 Calend 01'!C45),('V06 Calend 01'!F45+'V06 Calend 01'!G45),0)+IF(AND(('V06 Calend 01'!E45&gt;0),(10&gt;'V06 Calend 01'!C45),(10&lt;'V06 Calend 01'!D45),(MOD((10-'V06 Calend 01'!C45),6)=0),(((10-'V06 Calend 01'!C45)/6)&lt;='V06 Calend 01'!E45)),IF((10=('V06 Calend 01'!C45+(6*'V06 Calend 01'!E45))),('V06 Calend 01'!H45-('V06 Calend 01'!I45*('V06 Calend 01'!E45-1))),'V06 Calend 01'!I45),0))+IF((10='V06 Calend 01'!D45),'V06 Calend 01'!J45,0))</f>
        <v>0</v>
      </c>
      <c r="W45" s="2">
        <f>((IF((11='V06 Calend 01'!C45),('V06 Calend 01'!F45+'V06 Calend 01'!G45),0)+IF(AND(('V06 Calend 01'!E45&gt;0),(11&gt;'V06 Calend 01'!C45),(11&lt;'V06 Calend 01'!D45),(MOD((11-'V06 Calend 01'!C45),6)=0),(((11-'V06 Calend 01'!C45)/6)&lt;='V06 Calend 01'!E45)),IF((11=('V06 Calend 01'!C45+(6*'V06 Calend 01'!E45))),('V06 Calend 01'!H45-('V06 Calend 01'!I45*('V06 Calend 01'!E45-1))),'V06 Calend 01'!I45),0))+IF((11='V06 Calend 01'!D45),'V06 Calend 01'!J45,0))</f>
        <v>0</v>
      </c>
      <c r="X45" s="2">
        <f>((IF((12='V06 Calend 01'!C45),('V06 Calend 01'!F45+'V06 Calend 01'!G45),0)+IF(AND(('V06 Calend 01'!E45&gt;0),(12&gt;'V06 Calend 01'!C45),(12&lt;'V06 Calend 01'!D45),(MOD((12-'V06 Calend 01'!C45),6)=0),(((12-'V06 Calend 01'!C45)/6)&lt;='V06 Calend 01'!E45)),IF((12=('V06 Calend 01'!C45+(6*'V06 Calend 01'!E45))),('V06 Calend 01'!H45-('V06 Calend 01'!I45*('V06 Calend 01'!E45-1))),'V06 Calend 01'!I45),0))+IF((12='V06 Calend 01'!D45),'V06 Calend 01'!J45,0))</f>
        <v>0</v>
      </c>
      <c r="Y45" s="2">
        <f>((IF((13='V06 Calend 01'!C45),('V06 Calend 01'!F45+'V06 Calend 01'!G45),0)+IF(AND(('V06 Calend 01'!E45&gt;0),(13&gt;'V06 Calend 01'!C45),(13&lt;'V06 Calend 01'!D45),(MOD((13-'V06 Calend 01'!C45),6)=0),(((13-'V06 Calend 01'!C45)/6)&lt;='V06 Calend 01'!E45)),IF((13=('V06 Calend 01'!C45+(6*'V06 Calend 01'!E45))),('V06 Calend 01'!H45-('V06 Calend 01'!I45*('V06 Calend 01'!E45-1))),'V06 Calend 01'!I45),0))+IF((13='V06 Calend 01'!D45),'V06 Calend 01'!J45,0))</f>
        <v>92173.25</v>
      </c>
      <c r="Z45" s="2">
        <f>((IF((14='V06 Calend 01'!C45),('V06 Calend 01'!F45+'V06 Calend 01'!G45),0)+IF(AND(('V06 Calend 01'!E45&gt;0),(14&gt;'V06 Calend 01'!C45),(14&lt;'V06 Calend 01'!D45),(MOD((14-'V06 Calend 01'!C45),6)=0),(((14-'V06 Calend 01'!C45)/6)&lt;='V06 Calend 01'!E45)),IF((14=('V06 Calend 01'!C45+(6*'V06 Calend 01'!E45))),('V06 Calend 01'!H45-('V06 Calend 01'!I45*('V06 Calend 01'!E45-1))),'V06 Calend 01'!I45),0))+IF((14='V06 Calend 01'!D45),'V06 Calend 01'!J45,0))</f>
        <v>0</v>
      </c>
      <c r="AA45" s="2">
        <f>((IF((15='V06 Calend 01'!C45),('V06 Calend 01'!F45+'V06 Calend 01'!G45),0)+IF(AND(('V06 Calend 01'!E45&gt;0),(15&gt;'V06 Calend 01'!C45),(15&lt;'V06 Calend 01'!D45),(MOD((15-'V06 Calend 01'!C45),6)=0),(((15-'V06 Calend 01'!C45)/6)&lt;='V06 Calend 01'!E45)),IF((15=('V06 Calend 01'!C45+(6*'V06 Calend 01'!E45))),('V06 Calend 01'!H45-('V06 Calend 01'!I45*('V06 Calend 01'!E45-1))),'V06 Calend 01'!I45),0))+IF((15='V06 Calend 01'!D45),'V06 Calend 01'!J45,0))</f>
        <v>0</v>
      </c>
      <c r="AB45" s="2">
        <f>((IF((16='V06 Calend 01'!C45),('V06 Calend 01'!F45+'V06 Calend 01'!G45),0)+IF(AND(('V06 Calend 01'!E45&gt;0),(16&gt;'V06 Calend 01'!C45),(16&lt;'V06 Calend 01'!D45),(MOD((16-'V06 Calend 01'!C45),6)=0),(((16-'V06 Calend 01'!C45)/6)&lt;='V06 Calend 01'!E45)),IF((16=('V06 Calend 01'!C45+(6*'V06 Calend 01'!E45))),('V06 Calend 01'!H45-('V06 Calend 01'!I45*('V06 Calend 01'!E45-1))),'V06 Calend 01'!I45),0))+IF((16='V06 Calend 01'!D45),'V06 Calend 01'!J45,0))</f>
        <v>0</v>
      </c>
      <c r="AC45" s="2">
        <f>((IF((17='V06 Calend 01'!C45),('V06 Calend 01'!F45+'V06 Calend 01'!G45),0)+IF(AND(('V06 Calend 01'!E45&gt;0),(17&gt;'V06 Calend 01'!C45),(17&lt;'V06 Calend 01'!D45),(MOD((17-'V06 Calend 01'!C45),6)=0),(((17-'V06 Calend 01'!C45)/6)&lt;='V06 Calend 01'!E45)),IF((17=('V06 Calend 01'!C45+(6*'V06 Calend 01'!E45))),('V06 Calend 01'!H45-('V06 Calend 01'!I45*('V06 Calend 01'!E45-1))),'V06 Calend 01'!I45),0))+IF((17='V06 Calend 01'!D45),'V06 Calend 01'!J45,0))</f>
        <v>0</v>
      </c>
      <c r="AD45" s="2">
        <f>((IF((18='V06 Calend 01'!C45),('V06 Calend 01'!F45+'V06 Calend 01'!G45),0)+IF(AND(('V06 Calend 01'!E45&gt;0),(18&gt;'V06 Calend 01'!C45),(18&lt;'V06 Calend 01'!D45),(MOD((18-'V06 Calend 01'!C45),6)=0),(((18-'V06 Calend 01'!C45)/6)&lt;='V06 Calend 01'!E45)),IF((18=('V06 Calend 01'!C45+(6*'V06 Calend 01'!E45))),('V06 Calend 01'!H45-('V06 Calend 01'!I45*('V06 Calend 01'!E45-1))),'V06 Calend 01'!I45),0))+IF((18='V06 Calend 01'!D45),'V06 Calend 01'!J45,0))</f>
        <v>0</v>
      </c>
      <c r="AE45" s="2">
        <f>((IF((19='V06 Calend 01'!C45),('V06 Calend 01'!F45+'V06 Calend 01'!G45),0)+IF(AND(('V06 Calend 01'!E45&gt;0),(19&gt;'V06 Calend 01'!C45),(19&lt;'V06 Calend 01'!D45),(MOD((19-'V06 Calend 01'!C45),6)=0),(((19-'V06 Calend 01'!C45)/6)&lt;='V06 Calend 01'!E45)),IF((19=('V06 Calend 01'!C45+(6*'V06 Calend 01'!E45))),('V06 Calend 01'!H45-('V06 Calend 01'!I45*('V06 Calend 01'!E45-1))),'V06 Calend 01'!I45),0))+IF((19='V06 Calend 01'!D45),'V06 Calend 01'!J45,0))</f>
        <v>92173.25</v>
      </c>
      <c r="AF45" s="2">
        <f>((IF((20='V06 Calend 01'!C45),('V06 Calend 01'!F45+'V06 Calend 01'!G45),0)+IF(AND(('V06 Calend 01'!E45&gt;0),(20&gt;'V06 Calend 01'!C45),(20&lt;'V06 Calend 01'!D45),(MOD((20-'V06 Calend 01'!C45),6)=0),(((20-'V06 Calend 01'!C45)/6)&lt;='V06 Calend 01'!E45)),IF((20=('V06 Calend 01'!C45+(6*'V06 Calend 01'!E45))),('V06 Calend 01'!H45-('V06 Calend 01'!I45*('V06 Calend 01'!E45-1))),'V06 Calend 01'!I45),0))+IF((20='V06 Calend 01'!D45),'V06 Calend 01'!J45,0))</f>
        <v>0</v>
      </c>
      <c r="AG45" s="2">
        <f>((IF((21='V06 Calend 01'!C45),('V06 Calend 01'!F45+'V06 Calend 01'!G45),0)+IF(AND(('V06 Calend 01'!E45&gt;0),(21&gt;'V06 Calend 01'!C45),(21&lt;'V06 Calend 01'!D45),(MOD((21-'V06 Calend 01'!C45),6)=0),(((21-'V06 Calend 01'!C45)/6)&lt;='V06 Calend 01'!E45)),IF((21=('V06 Calend 01'!C45+(6*'V06 Calend 01'!E45))),('V06 Calend 01'!H45-('V06 Calend 01'!I45*('V06 Calend 01'!E45-1))),'V06 Calend 01'!I45),0))+IF((21='V06 Calend 01'!D45),'V06 Calend 01'!J45,0))</f>
        <v>0</v>
      </c>
      <c r="AH45" s="2">
        <f>((IF((22='V06 Calend 01'!C45),('V06 Calend 01'!F45+'V06 Calend 01'!G45),0)+IF(AND(('V06 Calend 01'!E45&gt;0),(22&gt;'V06 Calend 01'!C45),(22&lt;'V06 Calend 01'!D45),(MOD((22-'V06 Calend 01'!C45),6)=0),(((22-'V06 Calend 01'!C45)/6)&lt;='V06 Calend 01'!E45)),IF((22=('V06 Calend 01'!C45+(6*'V06 Calend 01'!E45))),('V06 Calend 01'!H45-('V06 Calend 01'!I45*('V06 Calend 01'!E45-1))),'V06 Calend 01'!I45),0))+IF((22='V06 Calend 01'!D45),'V06 Calend 01'!J45,0))</f>
        <v>0</v>
      </c>
      <c r="AI45" s="2">
        <f>((IF((23='V06 Calend 01'!C45),('V06 Calend 01'!F45+'V06 Calend 01'!G45),0)+IF(AND(('V06 Calend 01'!E45&gt;0),(23&gt;'V06 Calend 01'!C45),(23&lt;'V06 Calend 01'!D45),(MOD((23-'V06 Calend 01'!C45),6)=0),(((23-'V06 Calend 01'!C45)/6)&lt;='V06 Calend 01'!E45)),IF((23=('V06 Calend 01'!C45+(6*'V06 Calend 01'!E45))),('V06 Calend 01'!H45-('V06 Calend 01'!I45*('V06 Calend 01'!E45-1))),'V06 Calend 01'!I45),0))+IF((23='V06 Calend 01'!D45),'V06 Calend 01'!J45,0))</f>
        <v>0</v>
      </c>
      <c r="AJ45" s="2">
        <f>((IF((24='V06 Calend 01'!C45),('V06 Calend 01'!F45+'V06 Calend 01'!G45),0)+IF(AND(('V06 Calend 01'!E45&gt;0),(24&gt;'V06 Calend 01'!C45),(24&lt;'V06 Calend 01'!D45),(MOD((24-'V06 Calend 01'!C45),6)=0),(((24-'V06 Calend 01'!C45)/6)&lt;='V06 Calend 01'!E45)),IF((24=('V06 Calend 01'!C45+(6*'V06 Calend 01'!E45))),('V06 Calend 01'!H45-('V06 Calend 01'!I45*('V06 Calend 01'!E45-1))),'V06 Calend 01'!I45),0))+IF((24='V06 Calend 01'!D45),'V06 Calend 01'!J45,0))</f>
        <v>0</v>
      </c>
      <c r="AK45" s="2">
        <f>((IF((25='V06 Calend 01'!C45),('V06 Calend 01'!F45+'V06 Calend 01'!G45),0)+IF(AND(('V06 Calend 01'!E45&gt;0),(25&gt;'V06 Calend 01'!C45),(25&lt;'V06 Calend 01'!D45),(MOD((25-'V06 Calend 01'!C45),6)=0),(((25-'V06 Calend 01'!C45)/6)&lt;='V06 Calend 01'!E45)),IF((25=('V06 Calend 01'!C45+(6*'V06 Calend 01'!E45))),('V06 Calend 01'!H45-('V06 Calend 01'!I45*('V06 Calend 01'!E45-1))),'V06 Calend 01'!I45),0))+IF((25='V06 Calend 01'!D45),'V06 Calend 01'!J45,0))</f>
        <v>92173.26000000001</v>
      </c>
      <c r="AL45" s="2">
        <f>((IF((26='V06 Calend 01'!C45),('V06 Calend 01'!F45+'V06 Calend 01'!G45),0)+IF(AND(('V06 Calend 01'!E45&gt;0),(26&gt;'V06 Calend 01'!C45),(26&lt;'V06 Calend 01'!D45),(MOD((26-'V06 Calend 01'!C45),6)=0),(((26-'V06 Calend 01'!C45)/6)&lt;='V06 Calend 01'!E45)),IF((26=('V06 Calend 01'!C45+(6*'V06 Calend 01'!E45))),('V06 Calend 01'!H45-('V06 Calend 01'!I45*('V06 Calend 01'!E45-1))),'V06 Calend 01'!I45),0))+IF((26='V06 Calend 01'!D45),'V06 Calend 01'!J45,0))</f>
        <v>0</v>
      </c>
      <c r="AM45" s="2">
        <f>((IF((27='V06 Calend 01'!C45),('V06 Calend 01'!F45+'V06 Calend 01'!G45),0)+IF(AND(('V06 Calend 01'!E45&gt;0),(27&gt;'V06 Calend 01'!C45),(27&lt;'V06 Calend 01'!D45),(MOD((27-'V06 Calend 01'!C45),6)=0),(((27-'V06 Calend 01'!C45)/6)&lt;='V06 Calend 01'!E45)),IF((27=('V06 Calend 01'!C45+(6*'V06 Calend 01'!E45))),('V06 Calend 01'!H45-('V06 Calend 01'!I45*('V06 Calend 01'!E45-1))),'V06 Calend 01'!I45),0))+IF((27='V06 Calend 01'!D45),'V06 Calend 01'!J45,0))</f>
        <v>0</v>
      </c>
      <c r="AN45" s="2">
        <f>((IF((28='V06 Calend 01'!C45),('V06 Calend 01'!F45+'V06 Calend 01'!G45),0)+IF(AND(('V06 Calend 01'!E45&gt;0),(28&gt;'V06 Calend 01'!C45),(28&lt;'V06 Calend 01'!D45),(MOD((28-'V06 Calend 01'!C45),6)=0),(((28-'V06 Calend 01'!C45)/6)&lt;='V06 Calend 01'!E45)),IF((28=('V06 Calend 01'!C45+(6*'V06 Calend 01'!E45))),('V06 Calend 01'!H45-('V06 Calend 01'!I45*('V06 Calend 01'!E45-1))),'V06 Calend 01'!I45),0))+IF((28='V06 Calend 01'!D45),'V06 Calend 01'!J45,0))</f>
        <v>0</v>
      </c>
      <c r="AO45" s="2">
        <f>((IF((29='V06 Calend 01'!C45),('V06 Calend 01'!F45+'V06 Calend 01'!G45),0)+IF(AND(('V06 Calend 01'!E45&gt;0),(29&gt;'V06 Calend 01'!C45),(29&lt;'V06 Calend 01'!D45),(MOD((29-'V06 Calend 01'!C45),6)=0),(((29-'V06 Calend 01'!C45)/6)&lt;='V06 Calend 01'!E45)),IF((29=('V06 Calend 01'!C45+(6*'V06 Calend 01'!E45))),('V06 Calend 01'!H45-('V06 Calend 01'!I45*('V06 Calend 01'!E45-1))),'V06 Calend 01'!I45),0))+IF((29='V06 Calend 01'!D45),'V06 Calend 01'!J45,0))</f>
        <v>134070.18</v>
      </c>
      <c r="AP45" s="2">
        <f>((IF((30='V06 Calend 01'!C45),('V06 Calend 01'!F45+'V06 Calend 01'!G45),0)+IF(AND(('V06 Calend 01'!E45&gt;0),(30&gt;'V06 Calend 01'!C45),(30&lt;'V06 Calend 01'!D45),(MOD((30-'V06 Calend 01'!C45),6)=0),(((30-'V06 Calend 01'!C45)/6)&lt;='V06 Calend 01'!E45)),IF((30=('V06 Calend 01'!C45+(6*'V06 Calend 01'!E45))),('V06 Calend 01'!H45-('V06 Calend 01'!I45*('V06 Calend 01'!E45-1))),'V06 Calend 01'!I45),0))+IF((30='V06 Calend 01'!D45),'V06 Calend 01'!J45,0))</f>
        <v>0</v>
      </c>
      <c r="AQ45" s="2">
        <f>((IF((31='V06 Calend 01'!C45),('V06 Calend 01'!F45+'V06 Calend 01'!G45),0)+IF(AND(('V06 Calend 01'!E45&gt;0),(31&gt;'V06 Calend 01'!C45),(31&lt;'V06 Calend 01'!D45),(MOD((31-'V06 Calend 01'!C45),6)=0),(((31-'V06 Calend 01'!C45)/6)&lt;='V06 Calend 01'!E45)),IF((31=('V06 Calend 01'!C45+(6*'V06 Calend 01'!E45))),('V06 Calend 01'!H45-('V06 Calend 01'!I45*('V06 Calend 01'!E45-1))),'V06 Calend 01'!I45),0))+IF((31='V06 Calend 01'!D45),'V06 Calend 01'!J45,0))</f>
        <v>0</v>
      </c>
      <c r="AR45" s="2">
        <f>((IF((32='V06 Calend 01'!C45),('V06 Calend 01'!F45+'V06 Calend 01'!G45),0)+IF(AND(('V06 Calend 01'!E45&gt;0),(32&gt;'V06 Calend 01'!C45),(32&lt;'V06 Calend 01'!D45),(MOD((32-'V06 Calend 01'!C45),6)=0),(((32-'V06 Calend 01'!C45)/6)&lt;='V06 Calend 01'!E45)),IF((32=('V06 Calend 01'!C45+(6*'V06 Calend 01'!E45))),('V06 Calend 01'!H45-('V06 Calend 01'!I45*('V06 Calend 01'!E45-1))),'V06 Calend 01'!I45),0))+IF((32='V06 Calend 01'!D45),'V06 Calend 01'!J45,0))</f>
        <v>0</v>
      </c>
      <c r="AS45" s="2">
        <f>((IF((33='V06 Calend 01'!C45),('V06 Calend 01'!F45+'V06 Calend 01'!G45),0)+IF(AND(('V06 Calend 01'!E45&gt;0),(33&gt;'V06 Calend 01'!C45),(33&lt;'V06 Calend 01'!D45),(MOD((33-'V06 Calend 01'!C45),6)=0),(((33-'V06 Calend 01'!C45)/6)&lt;='V06 Calend 01'!E45)),IF((33=('V06 Calend 01'!C45+(6*'V06 Calend 01'!E45))),('V06 Calend 01'!H45-('V06 Calend 01'!I45*('V06 Calend 01'!E45-1))),'V06 Calend 01'!I45),0))+IF((33='V06 Calend 01'!D45),'V06 Calend 01'!J45,0))</f>
        <v>0</v>
      </c>
      <c r="AT45" s="2">
        <f>((IF((34='V06 Calend 01'!C45),('V06 Calend 01'!F45+'V06 Calend 01'!G45),0)+IF(AND(('V06 Calend 01'!E45&gt;0),(34&gt;'V06 Calend 01'!C45),(34&lt;'V06 Calend 01'!D45),(MOD((34-'V06 Calend 01'!C45),6)=0),(((34-'V06 Calend 01'!C45)/6)&lt;='V06 Calend 01'!E45)),IF((34=('V06 Calend 01'!C45+(6*'V06 Calend 01'!E45))),('V06 Calend 01'!H45-('V06 Calend 01'!I45*('V06 Calend 01'!E45-1))),'V06 Calend 01'!I45),0))+IF((34='V06 Calend 01'!D45),'V06 Calend 01'!J45,0))</f>
        <v>0</v>
      </c>
      <c r="AU45" s="2">
        <f>((IF((35='V06 Calend 01'!C45),('V06 Calend 01'!F45+'V06 Calend 01'!G45),0)+IF(AND(('V06 Calend 01'!E45&gt;0),(35&gt;'V06 Calend 01'!C45),(35&lt;'V06 Calend 01'!D45),(MOD((35-'V06 Calend 01'!C45),6)=0),(((35-'V06 Calend 01'!C45)/6)&lt;='V06 Calend 01'!E45)),IF((35=('V06 Calend 01'!C45+(6*'V06 Calend 01'!E45))),('V06 Calend 01'!H45-('V06 Calend 01'!I45*('V06 Calend 01'!E45-1))),'V06 Calend 01'!I45),0))+IF((35='V06 Calend 01'!D45),'V06 Calend 01'!J45,0))</f>
        <v>0</v>
      </c>
      <c r="AV45" s="2">
        <f>((IF((36='V06 Calend 01'!C45),('V06 Calend 01'!F45+'V06 Calend 01'!G45),0)+IF(AND(('V06 Calend 01'!E45&gt;0),(36&gt;'V06 Calend 01'!C45),(36&lt;'V06 Calend 01'!D45),(MOD((36-'V06 Calend 01'!C45),6)=0),(((36-'V06 Calend 01'!C45)/6)&lt;='V06 Calend 01'!E45)),IF((36=('V06 Calend 01'!C45+(6*'V06 Calend 01'!E45))),('V06 Calend 01'!H45-('V06 Calend 01'!I45*('V06 Calend 01'!E45-1))),'V06 Calend 01'!I45),0))+IF((36='V06 Calend 01'!D45),'V06 Calend 01'!J45,0))</f>
        <v>0</v>
      </c>
      <c r="AW45" s="2">
        <f>((IF((37='V06 Calend 01'!C45),('V06 Calend 01'!F45+'V06 Calend 01'!G45),0)+IF(AND(('V06 Calend 01'!E45&gt;0),(37&gt;'V06 Calend 01'!C45),(37&lt;'V06 Calend 01'!D45),(MOD((37-'V06 Calend 01'!C45),6)=0),(((37-'V06 Calend 01'!C45)/6)&lt;='V06 Calend 01'!E45)),IF((37=('V06 Calend 01'!C45+(6*'V06 Calend 01'!E45))),('V06 Calend 01'!H45-('V06 Calend 01'!I45*('V06 Calend 01'!E45-1))),'V06 Calend 01'!I45),0))+IF((37='V06 Calend 01'!D45),'V06 Calend 01'!J45,0))</f>
        <v>0</v>
      </c>
      <c r="AX45" s="2">
        <f>((IF((38='V06 Calend 01'!C45),('V06 Calend 01'!F45+'V06 Calend 01'!G45),0)+IF(AND(('V06 Calend 01'!E45&gt;0),(38&gt;'V06 Calend 01'!C45),(38&lt;'V06 Calend 01'!D45),(MOD((38-'V06 Calend 01'!C45),6)=0),(((38-'V06 Calend 01'!C45)/6)&lt;='V06 Calend 01'!E45)),IF((38=('V06 Calend 01'!C45+(6*'V06 Calend 01'!E45))),('V06 Calend 01'!H45-('V06 Calend 01'!I45*('V06 Calend 01'!E45-1))),'V06 Calend 01'!I45),0))+IF((38='V06 Calend 01'!D45),'V06 Calend 01'!J45,0))</f>
        <v>0</v>
      </c>
      <c r="AY45" s="2">
        <f>((IF((39='V06 Calend 01'!C45),('V06 Calend 01'!F45+'V06 Calend 01'!G45),0)+IF(AND(('V06 Calend 01'!E45&gt;0),(39&gt;'V06 Calend 01'!C45),(39&lt;'V06 Calend 01'!D45),(MOD((39-'V06 Calend 01'!C45),6)=0),(((39-'V06 Calend 01'!C45)/6)&lt;='V06 Calend 01'!E45)),IF((39=('V06 Calend 01'!C45+(6*'V06 Calend 01'!E45))),('V06 Calend 01'!H45-('V06 Calend 01'!I45*('V06 Calend 01'!E45-1))),'V06 Calend 01'!I45),0))+IF((39='V06 Calend 01'!D45),'V06 Calend 01'!J45,0))</f>
        <v>0</v>
      </c>
      <c r="AZ45" s="2">
        <f>((IF((40='V06 Calend 01'!C45),('V06 Calend 01'!F45+'V06 Calend 01'!G45),0)+IF(AND(('V06 Calend 01'!E45&gt;0),(40&gt;'V06 Calend 01'!C45),(40&lt;'V06 Calend 01'!D45),(MOD((40-'V06 Calend 01'!C45),6)=0),(((40-'V06 Calend 01'!C45)/6)&lt;='V06 Calend 01'!E45)),IF((40=('V06 Calend 01'!C45+(6*'V06 Calend 01'!E45))),('V06 Calend 01'!H45-('V06 Calend 01'!I45*('V06 Calend 01'!E45-1))),'V06 Calend 01'!I45),0))+IF((40='V06 Calend 01'!D45),'V06 Calend 01'!J45,0))</f>
        <v>0</v>
      </c>
      <c r="BA45" s="2">
        <f>((IF((41='V06 Calend 01'!C45),('V06 Calend 01'!F45+'V06 Calend 01'!G45),0)+IF(AND(('V06 Calend 01'!E45&gt;0),(41&gt;'V06 Calend 01'!C45),(41&lt;'V06 Calend 01'!D45),(MOD((41-'V06 Calend 01'!C45),6)=0),(((41-'V06 Calend 01'!C45)/6)&lt;='V06 Calend 01'!E45)),IF((41=('V06 Calend 01'!C45+(6*'V06 Calend 01'!E45))),('V06 Calend 01'!H45-('V06 Calend 01'!I45*('V06 Calend 01'!E45-1))),'V06 Calend 01'!I45),0))+IF((41='V06 Calend 01'!D45),'V06 Calend 01'!J45,0))</f>
        <v>0</v>
      </c>
      <c r="BB45" s="2">
        <f>((IF((42='V06 Calend 01'!C45),('V06 Calend 01'!F45+'V06 Calend 01'!G45),0)+IF(AND(('V06 Calend 01'!E45&gt;0),(42&gt;'V06 Calend 01'!C45),(42&lt;'V06 Calend 01'!D45),(MOD((42-'V06 Calend 01'!C45),6)=0),(((42-'V06 Calend 01'!C45)/6)&lt;='V06 Calend 01'!E45)),IF((42=('V06 Calend 01'!C45+(6*'V06 Calend 01'!E45))),('V06 Calend 01'!H45-('V06 Calend 01'!I45*('V06 Calend 01'!E45-1))),'V06 Calend 01'!I45),0))+IF((42='V06 Calend 01'!D45),'V06 Calend 01'!J45,0))</f>
        <v>0</v>
      </c>
      <c r="BC45" s="2">
        <f>((IF((43='V06 Calend 01'!C45),('V06 Calend 01'!F45+'V06 Calend 01'!G45),0)+IF(AND(('V06 Calend 01'!E45&gt;0),(43&gt;'V06 Calend 01'!C45),(43&lt;'V06 Calend 01'!D45),(MOD((43-'V06 Calend 01'!C45),6)=0),(((43-'V06 Calend 01'!C45)/6)&lt;='V06 Calend 01'!E45)),IF((43=('V06 Calend 01'!C45+(6*'V06 Calend 01'!E45))),('V06 Calend 01'!H45-('V06 Calend 01'!I45*('V06 Calend 01'!E45-1))),'V06 Calend 01'!I45),0))+IF((43='V06 Calend 01'!D45),'V06 Calend 01'!J45,0))</f>
        <v>0</v>
      </c>
      <c r="BD45" s="2">
        <f>((IF((44='V06 Calend 01'!C45),('V06 Calend 01'!F45+'V06 Calend 01'!G45),0)+IF(AND(('V06 Calend 01'!E45&gt;0),(44&gt;'V06 Calend 01'!C45),(44&lt;'V06 Calend 01'!D45),(MOD((44-'V06 Calend 01'!C45),6)=0),(((44-'V06 Calend 01'!C45)/6)&lt;='V06 Calend 01'!E45)),IF((44=('V06 Calend 01'!C45+(6*'V06 Calend 01'!E45))),('V06 Calend 01'!H45-('V06 Calend 01'!I45*('V06 Calend 01'!E45-1))),'V06 Calend 01'!I45),0))+IF((44='V06 Calend 01'!D45),'V06 Calend 01'!J45,0))</f>
        <v>0</v>
      </c>
      <c r="BE45" s="2">
        <f>((IF((45='V06 Calend 01'!C45),('V06 Calend 01'!F45+'V06 Calend 01'!G45),0)+IF(AND(('V06 Calend 01'!E45&gt;0),(45&gt;'V06 Calend 01'!C45),(45&lt;'V06 Calend 01'!D45),(MOD((45-'V06 Calend 01'!C45),6)=0),(((45-'V06 Calend 01'!C45)/6)&lt;='V06 Calend 01'!E45)),IF((45=('V06 Calend 01'!C45+(6*'V06 Calend 01'!E45))),('V06 Calend 01'!H45-('V06 Calend 01'!I45*('V06 Calend 01'!E45-1))),'V06 Calend 01'!I45),0))+IF((45='V06 Calend 01'!D45),'V06 Calend 01'!J45,0))</f>
        <v>0</v>
      </c>
      <c r="BF45" s="2">
        <f>((IF((46='V06 Calend 01'!C45),('V06 Calend 01'!F45+'V06 Calend 01'!G45),0)+IF(AND(('V06 Calend 01'!E45&gt;0),(46&gt;'V06 Calend 01'!C45),(46&lt;'V06 Calend 01'!D45),(MOD((46-'V06 Calend 01'!C45),6)=0),(((46-'V06 Calend 01'!C45)/6)&lt;='V06 Calend 01'!E45)),IF((46=('V06 Calend 01'!C45+(6*'V06 Calend 01'!E45))),('V06 Calend 01'!H45-('V06 Calend 01'!I45*('V06 Calend 01'!E45-1))),'V06 Calend 01'!I45),0))+IF((46='V06 Calend 01'!D45),'V06 Calend 01'!J45,0))</f>
        <v>0</v>
      </c>
      <c r="BG45" s="2">
        <f>((IF((47='V06 Calend 01'!C45),('V06 Calend 01'!F45+'V06 Calend 01'!G45),0)+IF(AND(('V06 Calend 01'!E45&gt;0),(47&gt;'V06 Calend 01'!C45),(47&lt;'V06 Calend 01'!D45),(MOD((47-'V06 Calend 01'!C45),6)=0),(((47-'V06 Calend 01'!C45)/6)&lt;='V06 Calend 01'!E45)),IF((47=('V06 Calend 01'!C45+(6*'V06 Calend 01'!E45))),('V06 Calend 01'!H45-('V06 Calend 01'!I45*('V06 Calend 01'!E45-1))),'V06 Calend 01'!I45),0))+IF((47='V06 Calend 01'!D45),'V06 Calend 01'!J45,0))</f>
        <v>0</v>
      </c>
      <c r="BH45" s="2">
        <f>((IF((48='V06 Calend 01'!C45),('V06 Calend 01'!F45+'V06 Calend 01'!G45),0)+IF(AND(('V06 Calend 01'!E45&gt;0),(48&gt;'V06 Calend 01'!C45),(48&lt;'V06 Calend 01'!D45),(MOD((48-'V06 Calend 01'!C45),6)=0),(((48-'V06 Calend 01'!C45)/6)&lt;='V06 Calend 01'!E45)),IF((48=('V06 Calend 01'!C45+(6*'V06 Calend 01'!E45))),('V06 Calend 01'!H45-('V06 Calend 01'!I45*('V06 Calend 01'!E45-1))),'V06 Calend 01'!I45),0))+IF((48='V06 Calend 01'!D45),'V06 Calend 01'!J45,0))</f>
        <v>0</v>
      </c>
      <c r="BI45" s="2">
        <f>((IF((49='V06 Calend 01'!C45),('V06 Calend 01'!F45+'V06 Calend 01'!G45),0)+IF(AND(('V06 Calend 01'!E45&gt;0),(49&gt;'V06 Calend 01'!C45),(49&lt;'V06 Calend 01'!D45),(MOD((49-'V06 Calend 01'!C45),6)=0),(((49-'V06 Calend 01'!C45)/6)&lt;='V06 Calend 01'!E45)),IF((49=('V06 Calend 01'!C45+(6*'V06 Calend 01'!E45))),('V06 Calend 01'!H45-('V06 Calend 01'!I45*('V06 Calend 01'!E45-1))),'V06 Calend 01'!I45),0))+IF((49='V06 Calend 01'!D45),'V06 Calend 01'!J45,0))</f>
        <v>0</v>
      </c>
      <c r="BJ45" s="2">
        <f>((IF((50='V06 Calend 01'!C45),('V06 Calend 01'!F45+'V06 Calend 01'!G45),0)+IF(AND(('V06 Calend 01'!E45&gt;0),(50&gt;'V06 Calend 01'!C45),(50&lt;'V06 Calend 01'!D45),(MOD((50-'V06 Calend 01'!C45),6)=0),(((50-'V06 Calend 01'!C45)/6)&lt;='V06 Calend 01'!E45)),IF((50=('V06 Calend 01'!C45+(6*'V06 Calend 01'!E45))),('V06 Calend 01'!H45-('V06 Calend 01'!I45*('V06 Calend 01'!E45-1))),'V06 Calend 01'!I45),0))+IF((50='V06 Calend 01'!D45),'V06 Calend 01'!J45,0))</f>
        <v>0</v>
      </c>
      <c r="BK45" s="2">
        <f>((IF((51='V06 Calend 01'!C45),('V06 Calend 01'!F45+'V06 Calend 01'!G45),0)+IF(AND(('V06 Calend 01'!E45&gt;0),(51&gt;'V06 Calend 01'!C45),(51&lt;'V06 Calend 01'!D45),(MOD((51-'V06 Calend 01'!C45),6)=0),(((51-'V06 Calend 01'!C45)/6)&lt;='V06 Calend 01'!E45)),IF((51=('V06 Calend 01'!C45+(6*'V06 Calend 01'!E45))),('V06 Calend 01'!H45-('V06 Calend 01'!I45*('V06 Calend 01'!E45-1))),'V06 Calend 01'!I45),0))+IF((51='V06 Calend 01'!D45),'V06 Calend 01'!J45,0))</f>
        <v>0</v>
      </c>
      <c r="BL45" s="2">
        <f>((IF((52='V06 Calend 01'!C45),('V06 Calend 01'!F45+'V06 Calend 01'!G45),0)+IF(AND(('V06 Calend 01'!E45&gt;0),(52&gt;'V06 Calend 01'!C45),(52&lt;'V06 Calend 01'!D45),(MOD((52-'V06 Calend 01'!C45),6)=0),(((52-'V06 Calend 01'!C45)/6)&lt;='V06 Calend 01'!E45)),IF((52=('V06 Calend 01'!C45+(6*'V06 Calend 01'!E45))),('V06 Calend 01'!H45-('V06 Calend 01'!I45*('V06 Calend 01'!E45-1))),'V06 Calend 01'!I45),0))+IF((52='V06 Calend 01'!D45),'V06 Calend 01'!J45,0))</f>
        <v>0</v>
      </c>
      <c r="BM45" s="2">
        <f>((IF((53='V06 Calend 01'!C45),('V06 Calend 01'!F45+'V06 Calend 01'!G45),0)+IF(AND(('V06 Calend 01'!E45&gt;0),(53&gt;'V06 Calend 01'!C45),(53&lt;'V06 Calend 01'!D45),(MOD((53-'V06 Calend 01'!C45),6)=0),(((53-'V06 Calend 01'!C45)/6)&lt;='V06 Calend 01'!E45)),IF((53=('V06 Calend 01'!C45+(6*'V06 Calend 01'!E45))),('V06 Calend 01'!H45-('V06 Calend 01'!I45*('V06 Calend 01'!E45-1))),'V06 Calend 01'!I45),0))+IF((53='V06 Calend 01'!D45),'V06 Calend 01'!J45,0))</f>
        <v>0</v>
      </c>
      <c r="BN45" s="2">
        <f>((IF((54='V06 Calend 01'!C45),('V06 Calend 01'!F45+'V06 Calend 01'!G45),0)+IF(AND(('V06 Calend 01'!E45&gt;0),(54&gt;'V06 Calend 01'!C45),(54&lt;'V06 Calend 01'!D45),(MOD((54-'V06 Calend 01'!C45),6)=0),(((54-'V06 Calend 01'!C45)/6)&lt;='V06 Calend 01'!E45)),IF((54=('V06 Calend 01'!C45+(6*'V06 Calend 01'!E45))),('V06 Calend 01'!H45-('V06 Calend 01'!I45*('V06 Calend 01'!E45-1))),'V06 Calend 01'!I45),0))+IF((54='V06 Calend 01'!D45),'V06 Calend 01'!J45,0))</f>
        <v>0</v>
      </c>
      <c r="BO45" s="2">
        <f>((IF((55='V06 Calend 01'!C45),('V06 Calend 01'!F45+'V06 Calend 01'!G45),0)+IF(AND(('V06 Calend 01'!E45&gt;0),(55&gt;'V06 Calend 01'!C45),(55&lt;'V06 Calend 01'!D45),(MOD((55-'V06 Calend 01'!C45),6)=0),(((55-'V06 Calend 01'!C45)/6)&lt;='V06 Calend 01'!E45)),IF((55=('V06 Calend 01'!C45+(6*'V06 Calend 01'!E45))),('V06 Calend 01'!H45-('V06 Calend 01'!I45*('V06 Calend 01'!E45-1))),'V06 Calend 01'!I45),0))+IF((55='V06 Calend 01'!D45),'V06 Calend 01'!J45,0))</f>
        <v>0</v>
      </c>
      <c r="BP45" s="2">
        <f>((IF((56='V06 Calend 01'!C45),('V06 Calend 01'!F45+'V06 Calend 01'!G45),0)+IF(AND(('V06 Calend 01'!E45&gt;0),(56&gt;'V06 Calend 01'!C45),(56&lt;'V06 Calend 01'!D45),(MOD((56-'V06 Calend 01'!C45),6)=0),(((56-'V06 Calend 01'!C45)/6)&lt;='V06 Calend 01'!E45)),IF((56=('V06 Calend 01'!C45+(6*'V06 Calend 01'!E45))),('V06 Calend 01'!H45-('V06 Calend 01'!I45*('V06 Calend 01'!E45-1))),'V06 Calend 01'!I45),0))+IF((56='V06 Calend 01'!D45),'V06 Calend 01'!J45,0))</f>
        <v>0</v>
      </c>
      <c r="BQ45" s="2">
        <f>((IF((57='V06 Calend 01'!C45),('V06 Calend 01'!F45+'V06 Calend 01'!G45),0)+IF(AND(('V06 Calend 01'!E45&gt;0),(57&gt;'V06 Calend 01'!C45),(57&lt;'V06 Calend 01'!D45),(MOD((57-'V06 Calend 01'!C45),6)=0),(((57-'V06 Calend 01'!C45)/6)&lt;='V06 Calend 01'!E45)),IF((57=('V06 Calend 01'!C45+(6*'V06 Calend 01'!E45))),('V06 Calend 01'!H45-('V06 Calend 01'!I45*('V06 Calend 01'!E45-1))),'V06 Calend 01'!I45),0))+IF((57='V06 Calend 01'!D45),'V06 Calend 01'!J45,0))</f>
        <v>0</v>
      </c>
      <c r="BR45" s="2">
        <f>((IF((58='V06 Calend 01'!C45),('V06 Calend 01'!F45+'V06 Calend 01'!G45),0)+IF(AND(('V06 Calend 01'!E45&gt;0),(58&gt;'V06 Calend 01'!C45),(58&lt;'V06 Calend 01'!D45),(MOD((58-'V06 Calend 01'!C45),6)=0),(((58-'V06 Calend 01'!C45)/6)&lt;='V06 Calend 01'!E45)),IF((58=('V06 Calend 01'!C45+(6*'V06 Calend 01'!E45))),('V06 Calend 01'!H45-('V06 Calend 01'!I45*('V06 Calend 01'!E45-1))),'V06 Calend 01'!I45),0))+IF((58='V06 Calend 01'!D45),'V06 Calend 01'!J45,0))</f>
        <v>0</v>
      </c>
      <c r="BS45" s="2">
        <f>((IF((59='V06 Calend 01'!C45),('V06 Calend 01'!F45+'V06 Calend 01'!G45),0)+IF(AND(('V06 Calend 01'!E45&gt;0),(59&gt;'V06 Calend 01'!C45),(59&lt;'V06 Calend 01'!D45),(MOD((59-'V06 Calend 01'!C45),6)=0),(((59-'V06 Calend 01'!C45)/6)&lt;='V06 Calend 01'!E45)),IF((59=('V06 Calend 01'!C45+(6*'V06 Calend 01'!E45))),('V06 Calend 01'!H45-('V06 Calend 01'!I45*('V06 Calend 01'!E45-1))),'V06 Calend 01'!I45),0))+IF((59='V06 Calend 01'!D45),'V06 Calend 01'!J45,0))</f>
        <v>0</v>
      </c>
      <c r="BT45" s="2">
        <f>((IF((60='V06 Calend 01'!C45),('V06 Calend 01'!F45+'V06 Calend 01'!G45),0)+IF(AND(('V06 Calend 01'!E45&gt;0),(60&gt;'V06 Calend 01'!C45),(60&lt;'V06 Calend 01'!D45),(MOD((60-'V06 Calend 01'!C45),6)=0),(((60-'V06 Calend 01'!C45)/6)&lt;='V06 Calend 01'!E45)),IF((60=('V06 Calend 01'!C45+(6*'V06 Calend 01'!E45))),('V06 Calend 01'!H45-('V06 Calend 01'!I45*('V06 Calend 01'!E45-1))),'V06 Calend 01'!I45),0))+IF((60='V06 Calend 01'!D45),'V06 Calend 01'!J45,0))</f>
        <v>0</v>
      </c>
      <c r="BU45" s="2">
        <f>((IF((61='V06 Calend 01'!C45),('V06 Calend 01'!F45+'V06 Calend 01'!G45),0)+IF(AND(('V06 Calend 01'!E45&gt;0),(61&gt;'V06 Calend 01'!C45),(61&lt;'V06 Calend 01'!D45),(MOD((61-'V06 Calend 01'!C45),6)=0),(((61-'V06 Calend 01'!C45)/6)&lt;='V06 Calend 01'!E45)),IF((61=('V06 Calend 01'!C45+(6*'V06 Calend 01'!E45))),('V06 Calend 01'!H45-('V06 Calend 01'!I45*('V06 Calend 01'!E45-1))),'V06 Calend 01'!I45),0))+IF((61='V06 Calend 01'!D45),'V06 Calend 01'!J45,0))</f>
        <v>0</v>
      </c>
      <c r="BV45" s="2">
        <f>((IF((62='V06 Calend 01'!C45),('V06 Calend 01'!F45+'V06 Calend 01'!G45),0)+IF(AND(('V06 Calend 01'!E45&gt;0),(62&gt;'V06 Calend 01'!C45),(62&lt;'V06 Calend 01'!D45),(MOD((62-'V06 Calend 01'!C45),6)=0),(((62-'V06 Calend 01'!C45)/6)&lt;='V06 Calend 01'!E45)),IF((62=('V06 Calend 01'!C45+(6*'V06 Calend 01'!E45))),('V06 Calend 01'!H45-('V06 Calend 01'!I45*('V06 Calend 01'!E45-1))),'V06 Calend 01'!I45),0))+IF((62='V06 Calend 01'!D45),'V06 Calend 01'!J45,0))</f>
        <v>0</v>
      </c>
      <c r="BW45" s="2">
        <f>((IF((63='V06 Calend 01'!C45),('V06 Calend 01'!F45+'V06 Calend 01'!G45),0)+IF(AND(('V06 Calend 01'!E45&gt;0),(63&gt;'V06 Calend 01'!C45),(63&lt;'V06 Calend 01'!D45),(MOD((63-'V06 Calend 01'!C45),6)=0),(((63-'V06 Calend 01'!C45)/6)&lt;='V06 Calend 01'!E45)),IF((63=('V06 Calend 01'!C45+(6*'V06 Calend 01'!E45))),('V06 Calend 01'!H45-('V06 Calend 01'!I45*('V06 Calend 01'!E45-1))),'V06 Calend 01'!I45),0))+IF((63='V06 Calend 01'!D45),'V06 Calend 01'!J45,0))</f>
        <v>0</v>
      </c>
      <c r="BX45" s="2">
        <f>((IF((64='V06 Calend 01'!C45),('V06 Calend 01'!F45+'V06 Calend 01'!G45),0)+IF(AND(('V06 Calend 01'!E45&gt;0),(64&gt;'V06 Calend 01'!C45),(64&lt;'V06 Calend 01'!D45),(MOD((64-'V06 Calend 01'!C45),6)=0),(((64-'V06 Calend 01'!C45)/6)&lt;='V06 Calend 01'!E45)),IF((64=('V06 Calend 01'!C45+(6*'V06 Calend 01'!E45))),('V06 Calend 01'!H45-('V06 Calend 01'!I45*('V06 Calend 01'!E45-1))),'V06 Calend 01'!I45),0))+IF((64='V06 Calend 01'!D45),'V06 Calend 01'!J45,0))</f>
        <v>0</v>
      </c>
      <c r="BY45" s="2">
        <f>((IF((65='V06 Calend 01'!C45),('V06 Calend 01'!F45+'V06 Calend 01'!G45),0)+IF(AND(('V06 Calend 01'!E45&gt;0),(65&gt;'V06 Calend 01'!C45),(65&lt;'V06 Calend 01'!D45),(MOD((65-'V06 Calend 01'!C45),6)=0),(((65-'V06 Calend 01'!C45)/6)&lt;='V06 Calend 01'!E45)),IF((65=('V06 Calend 01'!C45+(6*'V06 Calend 01'!E45))),('V06 Calend 01'!H45-('V06 Calend 01'!I45*('V06 Calend 01'!E45-1))),'V06 Calend 01'!I45),0))+IF((65='V06 Calend 01'!D45),'V06 Calend 01'!J45,0))</f>
        <v>0</v>
      </c>
      <c r="BZ45" s="2">
        <f>((IF((66='V06 Calend 01'!C45),('V06 Calend 01'!F45+'V06 Calend 01'!G45),0)+IF(AND(('V06 Calend 01'!E45&gt;0),(66&gt;'V06 Calend 01'!C45),(66&lt;'V06 Calend 01'!D45),(MOD((66-'V06 Calend 01'!C45),6)=0),(((66-'V06 Calend 01'!C45)/6)&lt;='V06 Calend 01'!E45)),IF((66=('V06 Calend 01'!C45+(6*'V06 Calend 01'!E45))),('V06 Calend 01'!H45-('V06 Calend 01'!I45*('V06 Calend 01'!E45-1))),'V06 Calend 01'!I45),0))+IF((66='V06 Calend 01'!D45),'V06 Calend 01'!J45,0))</f>
        <v>0</v>
      </c>
      <c r="CA45" s="2">
        <f>((IF((67='V06 Calend 01'!C45),('V06 Calend 01'!F45+'V06 Calend 01'!G45),0)+IF(AND(('V06 Calend 01'!E45&gt;0),(67&gt;'V06 Calend 01'!C45),(67&lt;'V06 Calend 01'!D45),(MOD((67-'V06 Calend 01'!C45),6)=0),(((67-'V06 Calend 01'!C45)/6)&lt;='V06 Calend 01'!E45)),IF((67=('V06 Calend 01'!C45+(6*'V06 Calend 01'!E45))),('V06 Calend 01'!H45-('V06 Calend 01'!I45*('V06 Calend 01'!E45-1))),'V06 Calend 01'!I45),0))+IF((67='V06 Calend 01'!D45),'V06 Calend 01'!J45,0))</f>
        <v>0</v>
      </c>
      <c r="CB45" s="2">
        <f>((IF((68='V06 Calend 01'!C45),('V06 Calend 01'!F45+'V06 Calend 01'!G45),0)+IF(AND(('V06 Calend 01'!E45&gt;0),(68&gt;'V06 Calend 01'!C45),(68&lt;'V06 Calend 01'!D45),(MOD((68-'V06 Calend 01'!C45),6)=0),(((68-'V06 Calend 01'!C45)/6)&lt;='V06 Calend 01'!E45)),IF((68=('V06 Calend 01'!C45+(6*'V06 Calend 01'!E45))),('V06 Calend 01'!H45-('V06 Calend 01'!I45*('V06 Calend 01'!E45-1))),'V06 Calend 01'!I45),0))+IF((68='V06 Calend 01'!D45),'V06 Calend 01'!J45,0))</f>
        <v>0</v>
      </c>
      <c r="CC45" s="2">
        <f>((IF((69='V06 Calend 01'!C45),('V06 Calend 01'!F45+'V06 Calend 01'!G45),0)+IF(AND(('V06 Calend 01'!E45&gt;0),(69&gt;'V06 Calend 01'!C45),(69&lt;'V06 Calend 01'!D45),(MOD((69-'V06 Calend 01'!C45),6)=0),(((69-'V06 Calend 01'!C45)/6)&lt;='V06 Calend 01'!E45)),IF((69=('V06 Calend 01'!C45+(6*'V06 Calend 01'!E45))),('V06 Calend 01'!H45-('V06 Calend 01'!I45*('V06 Calend 01'!E45-1))),'V06 Calend 01'!I45),0))+IF((69='V06 Calend 01'!D45),'V06 Calend 01'!J45,0))</f>
        <v>0</v>
      </c>
      <c r="CD45" s="2">
        <f>((IF((70='V06 Calend 01'!C45),('V06 Calend 01'!F45+'V06 Calend 01'!G45),0)+IF(AND(('V06 Calend 01'!E45&gt;0),(70&gt;'V06 Calend 01'!C45),(70&lt;'V06 Calend 01'!D45),(MOD((70-'V06 Calend 01'!C45),6)=0),(((70-'V06 Calend 01'!C45)/6)&lt;='V06 Calend 01'!E45)),IF((70=('V06 Calend 01'!C45+(6*'V06 Calend 01'!E45))),('V06 Calend 01'!H45-('V06 Calend 01'!I45*('V06 Calend 01'!E45-1))),'V06 Calend 01'!I45),0))+IF((70='V06 Calend 01'!D45),'V06 Calend 01'!J45,0))</f>
        <v>0</v>
      </c>
      <c r="CE45" s="2">
        <f>((IF((71='V06 Calend 01'!C45),('V06 Calend 01'!F45+'V06 Calend 01'!G45),0)+IF(AND(('V06 Calend 01'!E45&gt;0),(71&gt;'V06 Calend 01'!C45),(71&lt;'V06 Calend 01'!D45),(MOD((71-'V06 Calend 01'!C45),6)=0),(((71-'V06 Calend 01'!C45)/6)&lt;='V06 Calend 01'!E45)),IF((71=('V06 Calend 01'!C45+(6*'V06 Calend 01'!E45))),('V06 Calend 01'!H45-('V06 Calend 01'!I45*('V06 Calend 01'!E45-1))),'V06 Calend 01'!I45),0))+IF((71='V06 Calend 01'!D45),'V06 Calend 01'!J45,0))</f>
        <v>0</v>
      </c>
      <c r="CF45" s="2">
        <f>((IF((72='V06 Calend 01'!C45),('V06 Calend 01'!F45+'V06 Calend 01'!G45),0)+IF(AND(('V06 Calend 01'!E45&gt;0),(72&gt;'V06 Calend 01'!C45),(72&lt;'V06 Calend 01'!D45),(MOD((72-'V06 Calend 01'!C45),6)=0),(((72-'V06 Calend 01'!C45)/6)&lt;='V06 Calend 01'!E45)),IF((72=('V06 Calend 01'!C45+(6*'V06 Calend 01'!E45))),('V06 Calend 01'!H45-('V06 Calend 01'!I45*('V06 Calend 01'!E45-1))),'V06 Calend 01'!I45),0))+IF((72='V06 Calend 01'!D45),'V06 Calend 01'!J45,0))</f>
        <v>0</v>
      </c>
      <c r="CG45" s="2">
        <f>((IF((73='V06 Calend 01'!C45),('V06 Calend 01'!F45+'V06 Calend 01'!G45),0)+IF(AND(('V06 Calend 01'!E45&gt;0),(73&gt;'V06 Calend 01'!C45),(73&lt;'V06 Calend 01'!D45),(MOD((73-'V06 Calend 01'!C45),6)=0),(((73-'V06 Calend 01'!C45)/6)&lt;='V06 Calend 01'!E45)),IF((73=('V06 Calend 01'!C45+(6*'V06 Calend 01'!E45))),('V06 Calend 01'!H45-('V06 Calend 01'!I45*('V06 Calend 01'!E45-1))),'V06 Calend 01'!I45),0))+IF((73='V06 Calend 01'!D45),'V06 Calend 01'!J45,0))</f>
        <v>0</v>
      </c>
      <c r="CH45" s="2">
        <f>((IF((74='V06 Calend 01'!C45),('V06 Calend 01'!F45+'V06 Calend 01'!G45),0)+IF(AND(('V06 Calend 01'!E45&gt;0),(74&gt;'V06 Calend 01'!C45),(74&lt;'V06 Calend 01'!D45),(MOD((74-'V06 Calend 01'!C45),6)=0),(((74-'V06 Calend 01'!C45)/6)&lt;='V06 Calend 01'!E45)),IF((74=('V06 Calend 01'!C45+(6*'V06 Calend 01'!E45))),('V06 Calend 01'!H45-('V06 Calend 01'!I45*('V06 Calend 01'!E45-1))),'V06 Calend 01'!I45),0))+IF((74='V06 Calend 01'!D45),'V06 Calend 01'!J45,0))</f>
        <v>0</v>
      </c>
      <c r="CI45" s="2">
        <f>((IF((75='V06 Calend 01'!C45),('V06 Calend 01'!F45+'V06 Calend 01'!G45),0)+IF(AND(('V06 Calend 01'!E45&gt;0),(75&gt;'V06 Calend 01'!C45),(75&lt;'V06 Calend 01'!D45),(MOD((75-'V06 Calend 01'!C45),6)=0),(((75-'V06 Calend 01'!C45)/6)&lt;='V06 Calend 01'!E45)),IF((75=('V06 Calend 01'!C45+(6*'V06 Calend 01'!E45))),('V06 Calend 01'!H45-('V06 Calend 01'!I45*('V06 Calend 01'!E45-1))),'V06 Calend 01'!I45),0))+IF((75='V06 Calend 01'!D45),'V06 Calend 01'!J45,0))</f>
        <v>0</v>
      </c>
      <c r="CJ45" s="2">
        <f>((IF((76='V06 Calend 01'!C45),('V06 Calend 01'!F45+'V06 Calend 01'!G45),0)+IF(AND(('V06 Calend 01'!E45&gt;0),(76&gt;'V06 Calend 01'!C45),(76&lt;'V06 Calend 01'!D45),(MOD((76-'V06 Calend 01'!C45),6)=0),(((76-'V06 Calend 01'!C45)/6)&lt;='V06 Calend 01'!E45)),IF((76=('V06 Calend 01'!C45+(6*'V06 Calend 01'!E45))),('V06 Calend 01'!H45-('V06 Calend 01'!I45*('V06 Calend 01'!E45-1))),'V06 Calend 01'!I45),0))+IF((76='V06 Calend 01'!D45),'V06 Calend 01'!J45,0))</f>
        <v>0</v>
      </c>
      <c r="CK45" s="2">
        <f>((IF((77='V06 Calend 01'!C45),('V06 Calend 01'!F45+'V06 Calend 01'!G45),0)+IF(AND(('V06 Calend 01'!E45&gt;0),(77&gt;'V06 Calend 01'!C45),(77&lt;'V06 Calend 01'!D45),(MOD((77-'V06 Calend 01'!C45),6)=0),(((77-'V06 Calend 01'!C45)/6)&lt;='V06 Calend 01'!E45)),IF((77=('V06 Calend 01'!C45+(6*'V06 Calend 01'!E45))),('V06 Calend 01'!H45-('V06 Calend 01'!I45*('V06 Calend 01'!E45-1))),'V06 Calend 01'!I45),0))+IF((77='V06 Calend 01'!D45),'V06 Calend 01'!J45,0))</f>
        <v>0</v>
      </c>
      <c r="CL45" s="2">
        <f>((IF((78='V06 Calend 01'!C45),('V06 Calend 01'!F45+'V06 Calend 01'!G45),0)+IF(AND(('V06 Calend 01'!E45&gt;0),(78&gt;'V06 Calend 01'!C45),(78&lt;'V06 Calend 01'!D45),(MOD((78-'V06 Calend 01'!C45),6)=0),(((78-'V06 Calend 01'!C45)/6)&lt;='V06 Calend 01'!E45)),IF((78=('V06 Calend 01'!C45+(6*'V06 Calend 01'!E45))),('V06 Calend 01'!H45-('V06 Calend 01'!I45*('V06 Calend 01'!E45-1))),'V06 Calend 01'!I45),0))+IF((78='V06 Calend 01'!D45),'V06 Calend 01'!J45,0))</f>
        <v>0</v>
      </c>
      <c r="CM45" s="2">
        <f>((IF((79='V06 Calend 01'!C45),('V06 Calend 01'!F45+'V06 Calend 01'!G45),0)+IF(AND(('V06 Calend 01'!E45&gt;0),(79&gt;'V06 Calend 01'!C45),(79&lt;'V06 Calend 01'!D45),(MOD((79-'V06 Calend 01'!C45),6)=0),(((79-'V06 Calend 01'!C45)/6)&lt;='V06 Calend 01'!E45)),IF((79=('V06 Calend 01'!C45+(6*'V06 Calend 01'!E45))),('V06 Calend 01'!H45-('V06 Calend 01'!I45*('V06 Calend 01'!E45-1))),'V06 Calend 01'!I45),0))+IF((79='V06 Calend 01'!D45),'V06 Calend 01'!J45,0))</f>
        <v>0</v>
      </c>
      <c r="CN45" s="2">
        <f>((IF((80='V06 Calend 01'!C45),('V06 Calend 01'!F45+'V06 Calend 01'!G45),0)+IF(AND(('V06 Calend 01'!E45&gt;0),(80&gt;'V06 Calend 01'!C45),(80&lt;'V06 Calend 01'!D45),(MOD((80-'V06 Calend 01'!C45),6)=0),(((80-'V06 Calend 01'!C45)/6)&lt;='V06 Calend 01'!E45)),IF((80=('V06 Calend 01'!C45+(6*'V06 Calend 01'!E45))),('V06 Calend 01'!H45-('V06 Calend 01'!I45*('V06 Calend 01'!E45-1))),'V06 Calend 01'!I45),0))+IF((80='V06 Calend 01'!D45),'V06 Calend 01'!J45,0))</f>
        <v>0</v>
      </c>
      <c r="CO45" s="2">
        <f>((IF((81='V06 Calend 01'!C45),('V06 Calend 01'!F45+'V06 Calend 01'!G45),0)+IF(AND(('V06 Calend 01'!E45&gt;0),(81&gt;'V06 Calend 01'!C45),(81&lt;'V06 Calend 01'!D45),(MOD((81-'V06 Calend 01'!C45),6)=0),(((81-'V06 Calend 01'!C45)/6)&lt;='V06 Calend 01'!E45)),IF((81=('V06 Calend 01'!C45+(6*'V06 Calend 01'!E45))),('V06 Calend 01'!H45-('V06 Calend 01'!I45*('V06 Calend 01'!E45-1))),'V06 Calend 01'!I45),0))+IF((81='V06 Calend 01'!D45),'V06 Calend 01'!J45,0))</f>
        <v>0</v>
      </c>
      <c r="CP45" s="2">
        <f>((IF((82='V06 Calend 01'!C45),('V06 Calend 01'!F45+'V06 Calend 01'!G45),0)+IF(AND(('V06 Calend 01'!E45&gt;0),(82&gt;'V06 Calend 01'!C45),(82&lt;'V06 Calend 01'!D45),(MOD((82-'V06 Calend 01'!C45),6)=0),(((82-'V06 Calend 01'!C45)/6)&lt;='V06 Calend 01'!E45)),IF((82=('V06 Calend 01'!C45+(6*'V06 Calend 01'!E45))),('V06 Calend 01'!H45-('V06 Calend 01'!I45*('V06 Calend 01'!E45-1))),'V06 Calend 01'!I45),0))+IF((82='V06 Calend 01'!D45),'V06 Calend 01'!J45,0))</f>
        <v>0</v>
      </c>
      <c r="CQ45" s="2">
        <f>((IF((83='V06 Calend 01'!C45),('V06 Calend 01'!F45+'V06 Calend 01'!G45),0)+IF(AND(('V06 Calend 01'!E45&gt;0),(83&gt;'V06 Calend 01'!C45),(83&lt;'V06 Calend 01'!D45),(MOD((83-'V06 Calend 01'!C45),6)=0),(((83-'V06 Calend 01'!C45)/6)&lt;='V06 Calend 01'!E45)),IF((83=('V06 Calend 01'!C45+(6*'V06 Calend 01'!E45))),('V06 Calend 01'!H45-('V06 Calend 01'!I45*('V06 Calend 01'!E45-1))),'V06 Calend 01'!I45),0))+IF((83='V06 Calend 01'!D45),'V06 Calend 01'!J45,0))</f>
        <v>0</v>
      </c>
      <c r="CR45" s="2">
        <f>((IF((84='V06 Calend 01'!C45),('V06 Calend 01'!F45+'V06 Calend 01'!G45),0)+IF(AND(('V06 Calend 01'!E45&gt;0),(84&gt;'V06 Calend 01'!C45),(84&lt;'V06 Calend 01'!D45),(MOD((84-'V06 Calend 01'!C45),6)=0),(((84-'V06 Calend 01'!C45)/6)&lt;='V06 Calend 01'!E45)),IF((84=('V06 Calend 01'!C45+(6*'V06 Calend 01'!E45))),('V06 Calend 01'!H45-('V06 Calend 01'!I45*('V06 Calend 01'!E45-1))),'V06 Calend 01'!I45),0))+IF((84='V06 Calend 01'!D45),'V06 Calend 01'!J45,0))</f>
        <v>0</v>
      </c>
      <c r="CS45" s="2">
        <f>((IF((85='V06 Calend 01'!C45),('V06 Calend 01'!F45+'V06 Calend 01'!G45),0)+IF(AND(('V06 Calend 01'!E45&gt;0),(85&gt;'V06 Calend 01'!C45),(85&lt;'V06 Calend 01'!D45),(MOD((85-'V06 Calend 01'!C45),6)=0),(((85-'V06 Calend 01'!C45)/6)&lt;='V06 Calend 01'!E45)),IF((85=('V06 Calend 01'!C45+(6*'V06 Calend 01'!E45))),('V06 Calend 01'!H45-('V06 Calend 01'!I45*('V06 Calend 01'!E45-1))),'V06 Calend 01'!I45),0))+IF((85='V06 Calend 01'!D45),'V06 Calend 01'!J45,0))</f>
        <v>0</v>
      </c>
      <c r="CT45" s="2">
        <f>((IF((86='V06 Calend 01'!C45),('V06 Calend 01'!F45+'V06 Calend 01'!G45),0)+IF(AND(('V06 Calend 01'!E45&gt;0),(86&gt;'V06 Calend 01'!C45),(86&lt;'V06 Calend 01'!D45),(MOD((86-'V06 Calend 01'!C45),6)=0),(((86-'V06 Calend 01'!C45)/6)&lt;='V06 Calend 01'!E45)),IF((86=('V06 Calend 01'!C45+(6*'V06 Calend 01'!E45))),('V06 Calend 01'!H45-('V06 Calend 01'!I45*('V06 Calend 01'!E45-1))),'V06 Calend 01'!I45),0))+IF((86='V06 Calend 01'!D45),'V06 Calend 01'!J45,0))</f>
        <v>0</v>
      </c>
      <c r="CU45" s="2">
        <f>((IF((87='V06 Calend 01'!C45),('V06 Calend 01'!F45+'V06 Calend 01'!G45),0)+IF(AND(('V06 Calend 01'!E45&gt;0),(87&gt;'V06 Calend 01'!C45),(87&lt;'V06 Calend 01'!D45),(MOD((87-'V06 Calend 01'!C45),6)=0),(((87-'V06 Calend 01'!C45)/6)&lt;='V06 Calend 01'!E45)),IF((87=('V06 Calend 01'!C45+(6*'V06 Calend 01'!E45))),('V06 Calend 01'!H45-('V06 Calend 01'!I45*('V06 Calend 01'!E45-1))),'V06 Calend 01'!I45),0))+IF((87='V06 Calend 01'!D45),'V06 Calend 01'!J45,0))</f>
        <v>0</v>
      </c>
      <c r="CV45" s="2">
        <f>((IF((88='V06 Calend 01'!C45),('V06 Calend 01'!F45+'V06 Calend 01'!G45),0)+IF(AND(('V06 Calend 01'!E45&gt;0),(88&gt;'V06 Calend 01'!C45),(88&lt;'V06 Calend 01'!D45),(MOD((88-'V06 Calend 01'!C45),6)=0),(((88-'V06 Calend 01'!C45)/6)&lt;='V06 Calend 01'!E45)),IF((88=('V06 Calend 01'!C45+(6*'V06 Calend 01'!E45))),('V06 Calend 01'!H45-('V06 Calend 01'!I45*('V06 Calend 01'!E45-1))),'V06 Calend 01'!I45),0))+IF((88='V06 Calend 01'!D45),'V06 Calend 01'!J45,0))</f>
        <v>0</v>
      </c>
      <c r="CW45" s="2">
        <f>((IF((89='V06 Calend 01'!C45),('V06 Calend 01'!F45+'V06 Calend 01'!G45),0)+IF(AND(('V06 Calend 01'!E45&gt;0),(89&gt;'V06 Calend 01'!C45),(89&lt;'V06 Calend 01'!D45),(MOD((89-'V06 Calend 01'!C45),6)=0),(((89-'V06 Calend 01'!C45)/6)&lt;='V06 Calend 01'!E45)),IF((89=('V06 Calend 01'!C45+(6*'V06 Calend 01'!E45))),('V06 Calend 01'!H45-('V06 Calend 01'!I45*('V06 Calend 01'!E45-1))),'V06 Calend 01'!I45),0))+IF((89='V06 Calend 01'!D45),'V06 Calend 01'!J45,0))</f>
        <v>0</v>
      </c>
      <c r="CX45" s="2">
        <f>((IF((90='V06 Calend 01'!C45),('V06 Calend 01'!F45+'V06 Calend 01'!G45),0)+IF(AND(('V06 Calend 01'!E45&gt;0),(90&gt;'V06 Calend 01'!C45),(90&lt;'V06 Calend 01'!D45),(MOD((90-'V06 Calend 01'!C45),6)=0),(((90-'V06 Calend 01'!C45)/6)&lt;='V06 Calend 01'!E45)),IF((90=('V06 Calend 01'!C45+(6*'V06 Calend 01'!E45))),('V06 Calend 01'!H45-('V06 Calend 01'!I45*('V06 Calend 01'!E45-1))),'V06 Calend 01'!I45),0))+IF((90='V06 Calend 01'!D45),'V06 Calend 01'!J45,0))</f>
        <v>0</v>
      </c>
      <c r="CY45" s="2">
        <f>((IF((91='V06 Calend 01'!C45),('V06 Calend 01'!F45+'V06 Calend 01'!G45),0)+IF(AND(('V06 Calend 01'!E45&gt;0),(91&gt;'V06 Calend 01'!C45),(91&lt;'V06 Calend 01'!D45),(MOD((91-'V06 Calend 01'!C45),6)=0),(((91-'V06 Calend 01'!C45)/6)&lt;='V06 Calend 01'!E45)),IF((91=('V06 Calend 01'!C45+(6*'V06 Calend 01'!E45))),('V06 Calend 01'!H45-('V06 Calend 01'!I45*('V06 Calend 01'!E45-1))),'V06 Calend 01'!I45),0))+IF((91='V06 Calend 01'!D45),'V06 Calend 01'!J45,0))</f>
        <v>0</v>
      </c>
      <c r="CZ45" s="2">
        <f>((IF((92='V06 Calend 01'!C45),('V06 Calend 01'!F45+'V06 Calend 01'!G45),0)+IF(AND(('V06 Calend 01'!E45&gt;0),(92&gt;'V06 Calend 01'!C45),(92&lt;'V06 Calend 01'!D45),(MOD((92-'V06 Calend 01'!C45),6)=0),(((92-'V06 Calend 01'!C45)/6)&lt;='V06 Calend 01'!E45)),IF((92=('V06 Calend 01'!C45+(6*'V06 Calend 01'!E45))),('V06 Calend 01'!H45-('V06 Calend 01'!I45*('V06 Calend 01'!E45-1))),'V06 Calend 01'!I45),0))+IF((92='V06 Calend 01'!D45),'V06 Calend 01'!J45,0))</f>
        <v>0</v>
      </c>
      <c r="DA45" s="2">
        <f>((IF((93='V06 Calend 01'!C45),('V06 Calend 01'!F45+'V06 Calend 01'!G45),0)+IF(AND(('V06 Calend 01'!E45&gt;0),(93&gt;'V06 Calend 01'!C45),(93&lt;'V06 Calend 01'!D45),(MOD((93-'V06 Calend 01'!C45),6)=0),(((93-'V06 Calend 01'!C45)/6)&lt;='V06 Calend 01'!E45)),IF((93=('V06 Calend 01'!C45+(6*'V06 Calend 01'!E45))),('V06 Calend 01'!H45-('V06 Calend 01'!I45*('V06 Calend 01'!E45-1))),'V06 Calend 01'!I45),0))+IF((93='V06 Calend 01'!D45),'V06 Calend 01'!J45,0))</f>
        <v>0</v>
      </c>
      <c r="DB45" s="2">
        <f>((IF((94='V06 Calend 01'!C45),('V06 Calend 01'!F45+'V06 Calend 01'!G45),0)+IF(AND(('V06 Calend 01'!E45&gt;0),(94&gt;'V06 Calend 01'!C45),(94&lt;'V06 Calend 01'!D45),(MOD((94-'V06 Calend 01'!C45),6)=0),(((94-'V06 Calend 01'!C45)/6)&lt;='V06 Calend 01'!E45)),IF((94=('V06 Calend 01'!C45+(6*'V06 Calend 01'!E45))),('V06 Calend 01'!H45-('V06 Calend 01'!I45*('V06 Calend 01'!E45-1))),'V06 Calend 01'!I45),0))+IF((94='V06 Calend 01'!D45),'V06 Calend 01'!J45,0))</f>
        <v>0</v>
      </c>
      <c r="DC45" s="2">
        <f>((IF((95='V06 Calend 01'!C45),('V06 Calend 01'!F45+'V06 Calend 01'!G45),0)+IF(AND(('V06 Calend 01'!E45&gt;0),(95&gt;'V06 Calend 01'!C45),(95&lt;'V06 Calend 01'!D45),(MOD((95-'V06 Calend 01'!C45),6)=0),(((95-'V06 Calend 01'!C45)/6)&lt;='V06 Calend 01'!E45)),IF((95=('V06 Calend 01'!C45+(6*'V06 Calend 01'!E45))),('V06 Calend 01'!H45-('V06 Calend 01'!I45*('V06 Calend 01'!E45-1))),'V06 Calend 01'!I45),0))+IF((95='V06 Calend 01'!D45),'V06 Calend 01'!J45,0))</f>
        <v>0</v>
      </c>
      <c r="DD45" s="2">
        <f>((IF((96='V06 Calend 01'!C45),('V06 Calend 01'!F45+'V06 Calend 01'!G45),0)+IF(AND(('V06 Calend 01'!E45&gt;0),(96&gt;'V06 Calend 01'!C45),(96&lt;'V06 Calend 01'!D45),(MOD((96-'V06 Calend 01'!C45),6)=0),(((96-'V06 Calend 01'!C45)/6)&lt;='V06 Calend 01'!E45)),IF((96=('V06 Calend 01'!C45+(6*'V06 Calend 01'!E45))),('V06 Calend 01'!H45-('V06 Calend 01'!I45*('V06 Calend 01'!E45-1))),'V06 Calend 01'!I45),0))+IF((96='V06 Calend 01'!D45),'V06 Calend 01'!J45,0))</f>
        <v>0</v>
      </c>
      <c r="DE45" s="2">
        <f>((IF((97='V06 Calend 01'!C45),('V06 Calend 01'!F45+'V06 Calend 01'!G45),0)+IF(AND(('V06 Calend 01'!E45&gt;0),(97&gt;'V06 Calend 01'!C45),(97&lt;'V06 Calend 01'!D45),(MOD((97-'V06 Calend 01'!C45),6)=0),(((97-'V06 Calend 01'!C45)/6)&lt;='V06 Calend 01'!E45)),IF((97=('V06 Calend 01'!C45+(6*'V06 Calend 01'!E45))),('V06 Calend 01'!H45-('V06 Calend 01'!I45*('V06 Calend 01'!E45-1))),'V06 Calend 01'!I45),0))+IF((97='V06 Calend 01'!D45),'V06 Calend 01'!J45,0))</f>
        <v>0</v>
      </c>
      <c r="DF45" s="2">
        <f>((IF((98='V06 Calend 01'!C45),('V06 Calend 01'!F45+'V06 Calend 01'!G45),0)+IF(AND(('V06 Calend 01'!E45&gt;0),(98&gt;'V06 Calend 01'!C45),(98&lt;'V06 Calend 01'!D45),(MOD((98-'V06 Calend 01'!C45),6)=0),(((98-'V06 Calend 01'!C45)/6)&lt;='V06 Calend 01'!E45)),IF((98=('V06 Calend 01'!C45+(6*'V06 Calend 01'!E45))),('V06 Calend 01'!H45-('V06 Calend 01'!I45*('V06 Calend 01'!E45-1))),'V06 Calend 01'!I45),0))+IF((98='V06 Calend 01'!D45),'V06 Calend 01'!J45,0))</f>
        <v>0</v>
      </c>
      <c r="DG45" s="2">
        <f>((IF((99='V06 Calend 01'!C45),('V06 Calend 01'!F45+'V06 Calend 01'!G45),0)+IF(AND(('V06 Calend 01'!E45&gt;0),(99&gt;'V06 Calend 01'!C45),(99&lt;'V06 Calend 01'!D45),(MOD((99-'V06 Calend 01'!C45),6)=0),(((99-'V06 Calend 01'!C45)/6)&lt;='V06 Calend 01'!E45)),IF((99=('V06 Calend 01'!C45+(6*'V06 Calend 01'!E45))),('V06 Calend 01'!H45-('V06 Calend 01'!I45*('V06 Calend 01'!E45-1))),'V06 Calend 01'!I45),0))+IF((99='V06 Calend 01'!D45),'V06 Calend 01'!J45,0))</f>
        <v>0</v>
      </c>
      <c r="DH45" s="2">
        <f>((IF((100='V06 Calend 01'!C45),('V06 Calend 01'!F45+'V06 Calend 01'!G45),0)+IF(AND(('V06 Calend 01'!E45&gt;0),(100&gt;'V06 Calend 01'!C45),(100&lt;'V06 Calend 01'!D45),(MOD((100-'V06 Calend 01'!C45),6)=0),(((100-'V06 Calend 01'!C45)/6)&lt;='V06 Calend 01'!E45)),IF((100=('V06 Calend 01'!C45+(6*'V06 Calend 01'!E45))),('V06 Calend 01'!H45-('V06 Calend 01'!I45*('V06 Calend 01'!E45-1))),'V06 Calend 01'!I45),0))+IF((100='V06 Calend 01'!D45),'V06 Calend 01'!J45,0))</f>
        <v>0</v>
      </c>
      <c r="DI45" s="2">
        <f>((IF((101='V06 Calend 01'!C45),('V06 Calend 01'!F45+'V06 Calend 01'!G45),0)+IF(AND(('V06 Calend 01'!E45&gt;0),(101&gt;'V06 Calend 01'!C45),(101&lt;'V06 Calend 01'!D45),(MOD((101-'V06 Calend 01'!C45),6)=0),(((101-'V06 Calend 01'!C45)/6)&lt;='V06 Calend 01'!E45)),IF((101=('V06 Calend 01'!C45+(6*'V06 Calend 01'!E45))),('V06 Calend 01'!H45-('V06 Calend 01'!I45*('V06 Calend 01'!E45-1))),'V06 Calend 01'!I45),0))+IF((101='V06 Calend 01'!D45),'V06 Calend 01'!J45,0))</f>
        <v>0</v>
      </c>
      <c r="DJ45" s="2">
        <f>((IF((102='V06 Calend 01'!C45),('V06 Calend 01'!F45+'V06 Calend 01'!G45),0)+IF(AND(('V06 Calend 01'!E45&gt;0),(102&gt;'V06 Calend 01'!C45),(102&lt;'V06 Calend 01'!D45),(MOD((102-'V06 Calend 01'!C45),6)=0),(((102-'V06 Calend 01'!C45)/6)&lt;='V06 Calend 01'!E45)),IF((102=('V06 Calend 01'!C45+(6*'V06 Calend 01'!E45))),('V06 Calend 01'!H45-('V06 Calend 01'!I45*('V06 Calend 01'!E45-1))),'V06 Calend 01'!I45),0))+IF((102='V06 Calend 01'!D45),'V06 Calend 01'!J45,0))</f>
        <v>0</v>
      </c>
      <c r="DK45" s="2">
        <f>((IF((103='V06 Calend 01'!C45),('V06 Calend 01'!F45+'V06 Calend 01'!G45),0)+IF(AND(('V06 Calend 01'!E45&gt;0),(103&gt;'V06 Calend 01'!C45),(103&lt;'V06 Calend 01'!D45),(MOD((103-'V06 Calend 01'!C45),6)=0),(((103-'V06 Calend 01'!C45)/6)&lt;='V06 Calend 01'!E45)),IF((103=('V06 Calend 01'!C45+(6*'V06 Calend 01'!E45))),('V06 Calend 01'!H45-('V06 Calend 01'!I45*('V06 Calend 01'!E45-1))),'V06 Calend 01'!I45),0))+IF((103='V06 Calend 01'!D45),'V06 Calend 01'!J45,0))</f>
        <v>0</v>
      </c>
      <c r="DL45" s="2">
        <f>((IF((104='V06 Calend 01'!C45),('V06 Calend 01'!F45+'V06 Calend 01'!G45),0)+IF(AND(('V06 Calend 01'!E45&gt;0),(104&gt;'V06 Calend 01'!C45),(104&lt;'V06 Calend 01'!D45),(MOD((104-'V06 Calend 01'!C45),6)=0),(((104-'V06 Calend 01'!C45)/6)&lt;='V06 Calend 01'!E45)),IF((104=('V06 Calend 01'!C45+(6*'V06 Calend 01'!E45))),('V06 Calend 01'!H45-('V06 Calend 01'!I45*('V06 Calend 01'!E45-1))),'V06 Calend 01'!I45),0))+IF((104='V06 Calend 01'!D45),'V06 Calend 01'!J45,0))</f>
        <v>0</v>
      </c>
      <c r="DM45" s="2">
        <f>((IF((105='V06 Calend 01'!C45),('V06 Calend 01'!F45+'V06 Calend 01'!G45),0)+IF(AND(('V06 Calend 01'!E45&gt;0),(105&gt;'V06 Calend 01'!C45),(105&lt;'V06 Calend 01'!D45),(MOD((105-'V06 Calend 01'!C45),6)=0),(((105-'V06 Calend 01'!C45)/6)&lt;='V06 Calend 01'!E45)),IF((105=('V06 Calend 01'!C45+(6*'V06 Calend 01'!E45))),('V06 Calend 01'!H45-('V06 Calend 01'!I45*('V06 Calend 01'!E45-1))),'V06 Calend 01'!I45),0))+IF((105='V06 Calend 01'!D45),'V06 Calend 01'!J45,0))</f>
        <v>0</v>
      </c>
      <c r="DN45" s="2">
        <f>((IF((106='V06 Calend 01'!C45),('V06 Calend 01'!F45+'V06 Calend 01'!G45),0)+IF(AND(('V06 Calend 01'!E45&gt;0),(106&gt;'V06 Calend 01'!C45),(106&lt;'V06 Calend 01'!D45),(MOD((106-'V06 Calend 01'!C45),6)=0),(((106-'V06 Calend 01'!C45)/6)&lt;='V06 Calend 01'!E45)),IF((106=('V06 Calend 01'!C45+(6*'V06 Calend 01'!E45))),('V06 Calend 01'!H45-('V06 Calend 01'!I45*('V06 Calend 01'!E45-1))),'V06 Calend 01'!I45),0))+IF((106='V06 Calend 01'!D45),'V06 Calend 01'!J45,0))</f>
        <v>0</v>
      </c>
      <c r="DO45" s="2">
        <f>((IF((107='V06 Calend 01'!C45),('V06 Calend 01'!F45+'V06 Calend 01'!G45),0)+IF(AND(('V06 Calend 01'!E45&gt;0),(107&gt;'V06 Calend 01'!C45),(107&lt;'V06 Calend 01'!D45),(MOD((107-'V06 Calend 01'!C45),6)=0),(((107-'V06 Calend 01'!C45)/6)&lt;='V06 Calend 01'!E45)),IF((107=('V06 Calend 01'!C45+(6*'V06 Calend 01'!E45))),('V06 Calend 01'!H45-('V06 Calend 01'!I45*('V06 Calend 01'!E45-1))),'V06 Calend 01'!I45),0))+IF((107='V06 Calend 01'!D45),'V06 Calend 01'!J45,0))</f>
        <v>0</v>
      </c>
      <c r="DP45" s="2">
        <f>((IF((108='V06 Calend 01'!C45),('V06 Calend 01'!F45+'V06 Calend 01'!G45),0)+IF(AND(('V06 Calend 01'!E45&gt;0),(108&gt;'V06 Calend 01'!C45),(108&lt;'V06 Calend 01'!D45),(MOD((108-'V06 Calend 01'!C45),6)=0),(((108-'V06 Calend 01'!C45)/6)&lt;='V06 Calend 01'!E45)),IF((108=('V06 Calend 01'!C45+(6*'V06 Calend 01'!E45))),('V06 Calend 01'!H45-('V06 Calend 01'!I45*('V06 Calend 01'!E45-1))),'V06 Calend 01'!I45),0))+IF((108='V06 Calend 01'!D45),'V06 Calend 01'!J45,0))</f>
        <v>0</v>
      </c>
      <c r="DQ45" s="2">
        <f>((IF((109='V06 Calend 01'!C45),('V06 Calend 01'!F45+'V06 Calend 01'!G45),0)+IF(AND(('V06 Calend 01'!E45&gt;0),(109&gt;'V06 Calend 01'!C45),(109&lt;'V06 Calend 01'!D45),(MOD((109-'V06 Calend 01'!C45),6)=0),(((109-'V06 Calend 01'!C45)/6)&lt;='V06 Calend 01'!E45)),IF((109=('V06 Calend 01'!C45+(6*'V06 Calend 01'!E45))),('V06 Calend 01'!H45-('V06 Calend 01'!I45*('V06 Calend 01'!E45-1))),'V06 Calend 01'!I45),0))+IF((109='V06 Calend 01'!D45),'V06 Calend 01'!J45,0))</f>
        <v>0</v>
      </c>
      <c r="DR45" s="2">
        <f>((IF((110='V06 Calend 01'!C45),('V06 Calend 01'!F45+'V06 Calend 01'!G45),0)+IF(AND(('V06 Calend 01'!E45&gt;0),(110&gt;'V06 Calend 01'!C45),(110&lt;'V06 Calend 01'!D45),(MOD((110-'V06 Calend 01'!C45),6)=0),(((110-'V06 Calend 01'!C45)/6)&lt;='V06 Calend 01'!E45)),IF((110=('V06 Calend 01'!C45+(6*'V06 Calend 01'!E45))),('V06 Calend 01'!H45-('V06 Calend 01'!I45*('V06 Calend 01'!E45-1))),'V06 Calend 01'!I45),0))+IF((110='V06 Calend 01'!D45),'V06 Calend 01'!J45,0))</f>
        <v>0</v>
      </c>
      <c r="DS45" s="2">
        <f>((IF((111='V06 Calend 01'!C45),('V06 Calend 01'!F45+'V06 Calend 01'!G45),0)+IF(AND(('V06 Calend 01'!E45&gt;0),(111&gt;'V06 Calend 01'!C45),(111&lt;'V06 Calend 01'!D45),(MOD((111-'V06 Calend 01'!C45),6)=0),(((111-'V06 Calend 01'!C45)/6)&lt;='V06 Calend 01'!E45)),IF((111=('V06 Calend 01'!C45+(6*'V06 Calend 01'!E45))),('V06 Calend 01'!H45-('V06 Calend 01'!I45*('V06 Calend 01'!E45-1))),'V06 Calend 01'!I45),0))+IF((111='V06 Calend 01'!D45),'V06 Calend 01'!J45,0))</f>
        <v>0</v>
      </c>
      <c r="DT45" s="2">
        <f>((IF((112='V06 Calend 01'!C45),('V06 Calend 01'!F45+'V06 Calend 01'!G45),0)+IF(AND(('V06 Calend 01'!E45&gt;0),(112&gt;'V06 Calend 01'!C45),(112&lt;'V06 Calend 01'!D45),(MOD((112-'V06 Calend 01'!C45),6)=0),(((112-'V06 Calend 01'!C45)/6)&lt;='V06 Calend 01'!E45)),IF((112=('V06 Calend 01'!C45+(6*'V06 Calend 01'!E45))),('V06 Calend 01'!H45-('V06 Calend 01'!I45*('V06 Calend 01'!E45-1))),'V06 Calend 01'!I45),0))+IF((112='V06 Calend 01'!D45),'V06 Calend 01'!J45,0))</f>
        <v>0</v>
      </c>
      <c r="DU45" s="2">
        <f>((IF((113='V06 Calend 01'!C45),('V06 Calend 01'!F45+'V06 Calend 01'!G45),0)+IF(AND(('V06 Calend 01'!E45&gt;0),(113&gt;'V06 Calend 01'!C45),(113&lt;'V06 Calend 01'!D45),(MOD((113-'V06 Calend 01'!C45),6)=0),(((113-'V06 Calend 01'!C45)/6)&lt;='V06 Calend 01'!E45)),IF((113=('V06 Calend 01'!C45+(6*'V06 Calend 01'!E45))),('V06 Calend 01'!H45-('V06 Calend 01'!I45*('V06 Calend 01'!E45-1))),'V06 Calend 01'!I45),0))+IF((113='V06 Calend 01'!D45),'V06 Calend 01'!J45,0))</f>
        <v>0</v>
      </c>
      <c r="DV45" s="2">
        <f>((IF((114='V06 Calend 01'!C45),('V06 Calend 01'!F45+'V06 Calend 01'!G45),0)+IF(AND(('V06 Calend 01'!E45&gt;0),(114&gt;'V06 Calend 01'!C45),(114&lt;'V06 Calend 01'!D45),(MOD((114-'V06 Calend 01'!C45),6)=0),(((114-'V06 Calend 01'!C45)/6)&lt;='V06 Calend 01'!E45)),IF((114=('V06 Calend 01'!C45+(6*'V06 Calend 01'!E45))),('V06 Calend 01'!H45-('V06 Calend 01'!I45*('V06 Calend 01'!E45-1))),'V06 Calend 01'!I45),0))+IF((114='V06 Calend 01'!D45),'V06 Calend 01'!J45,0))</f>
        <v>0</v>
      </c>
      <c r="DW45" s="2">
        <f>((IF((115='V06 Calend 01'!C45),('V06 Calend 01'!F45+'V06 Calend 01'!G45),0)+IF(AND(('V06 Calend 01'!E45&gt;0),(115&gt;'V06 Calend 01'!C45),(115&lt;'V06 Calend 01'!D45),(MOD((115-'V06 Calend 01'!C45),6)=0),(((115-'V06 Calend 01'!C45)/6)&lt;='V06 Calend 01'!E45)),IF((115=('V06 Calend 01'!C45+(6*'V06 Calend 01'!E45))),('V06 Calend 01'!H45-('V06 Calend 01'!I45*('V06 Calend 01'!E45-1))),'V06 Calend 01'!I45),0))+IF((115='V06 Calend 01'!D45),'V06 Calend 01'!J45,0))</f>
        <v>0</v>
      </c>
      <c r="DX45" s="2">
        <f>((IF((116='V06 Calend 01'!C45),('V06 Calend 01'!F45+'V06 Calend 01'!G45),0)+IF(AND(('V06 Calend 01'!E45&gt;0),(116&gt;'V06 Calend 01'!C45),(116&lt;'V06 Calend 01'!D45),(MOD((116-'V06 Calend 01'!C45),6)=0),(((116-'V06 Calend 01'!C45)/6)&lt;='V06 Calend 01'!E45)),IF((116=('V06 Calend 01'!C45+(6*'V06 Calend 01'!E45))),('V06 Calend 01'!H45-('V06 Calend 01'!I45*('V06 Calend 01'!E45-1))),'V06 Calend 01'!I45),0))+IF((116='V06 Calend 01'!D45),'V06 Calend 01'!J45,0))</f>
        <v>0</v>
      </c>
      <c r="DY45" s="2">
        <f>((IF((117='V06 Calend 01'!C45),('V06 Calend 01'!F45+'V06 Calend 01'!G45),0)+IF(AND(('V06 Calend 01'!E45&gt;0),(117&gt;'V06 Calend 01'!C45),(117&lt;'V06 Calend 01'!D45),(MOD((117-'V06 Calend 01'!C45),6)=0),(((117-'V06 Calend 01'!C45)/6)&lt;='V06 Calend 01'!E45)),IF((117=('V06 Calend 01'!C45+(6*'V06 Calend 01'!E45))),('V06 Calend 01'!H45-('V06 Calend 01'!I45*('V06 Calend 01'!E45-1))),'V06 Calend 01'!I45),0))+IF((117='V06 Calend 01'!D45),'V06 Calend 01'!J45,0))</f>
        <v>0</v>
      </c>
      <c r="DZ45" s="2">
        <f>((IF((118='V06 Calend 01'!C45),('V06 Calend 01'!F45+'V06 Calend 01'!G45),0)+IF(AND(('V06 Calend 01'!E45&gt;0),(118&gt;'V06 Calend 01'!C45),(118&lt;'V06 Calend 01'!D45),(MOD((118-'V06 Calend 01'!C45),6)=0),(((118-'V06 Calend 01'!C45)/6)&lt;='V06 Calend 01'!E45)),IF((118=('V06 Calend 01'!C45+(6*'V06 Calend 01'!E45))),('V06 Calend 01'!H45-('V06 Calend 01'!I45*('V06 Calend 01'!E45-1))),'V06 Calend 01'!I45),0))+IF((118='V06 Calend 01'!D45),'V06 Calend 01'!J45,0))</f>
        <v>0</v>
      </c>
      <c r="EA45" s="2">
        <f>((IF((119='V06 Calend 01'!C45),('V06 Calend 01'!F45+'V06 Calend 01'!G45),0)+IF(AND(('V06 Calend 01'!E45&gt;0),(119&gt;'V06 Calend 01'!C45),(119&lt;'V06 Calend 01'!D45),(MOD((119-'V06 Calend 01'!C45),6)=0),(((119-'V06 Calend 01'!C45)/6)&lt;='V06 Calend 01'!E45)),IF((119=('V06 Calend 01'!C45+(6*'V06 Calend 01'!E45))),('V06 Calend 01'!H45-('V06 Calend 01'!I45*('V06 Calend 01'!E45-1))),'V06 Calend 01'!I45),0))+IF((119='V06 Calend 01'!D45),'V06 Calend 01'!J45,0))</f>
        <v>0</v>
      </c>
      <c r="EB45" s="2">
        <f>((IF((120='V06 Calend 01'!C45),('V06 Calend 01'!F45+'V06 Calend 01'!G45),0)+IF(AND(('V06 Calend 01'!E45&gt;0),(120&gt;'V06 Calend 01'!C45),(120&lt;'V06 Calend 01'!D45),(MOD((120-'V06 Calend 01'!C45),6)=0),(((120-'V06 Calend 01'!C45)/6)&lt;='V06 Calend 01'!E45)),IF((120=('V06 Calend 01'!C45+(6*'V06 Calend 01'!E45))),('V06 Calend 01'!H45-('V06 Calend 01'!I45*('V06 Calend 01'!E45-1))),'V06 Calend 01'!I45),0))+IF((120='V06 Calend 01'!D45),'V06 Calend 01'!J45,0))</f>
        <v>0</v>
      </c>
      <c r="EC45" s="2">
        <f>((IF((121='V06 Calend 01'!C45),('V06 Calend 01'!F45+'V06 Calend 01'!G45),0)+IF(AND(('V06 Calend 01'!E45&gt;0),(121&gt;'V06 Calend 01'!C45),(121&lt;'V06 Calend 01'!D45),(MOD((121-'V06 Calend 01'!C45),6)=0),(((121-'V06 Calend 01'!C45)/6)&lt;='V06 Calend 01'!E45)),IF((121=('V06 Calend 01'!C45+(6*'V06 Calend 01'!E45))),('V06 Calend 01'!H45-('V06 Calend 01'!I45*('V06 Calend 01'!E45-1))),'V06 Calend 01'!I45),0))+IF((121='V06 Calend 01'!D45),'V06 Calend 01'!J45,0))</f>
        <v>0</v>
      </c>
      <c r="ED45" s="2">
        <f>((IF((122='V06 Calend 01'!C45),('V06 Calend 01'!F45+'V06 Calend 01'!G45),0)+IF(AND(('V06 Calend 01'!E45&gt;0),(122&gt;'V06 Calend 01'!C45),(122&lt;'V06 Calend 01'!D45),(MOD((122-'V06 Calend 01'!C45),6)=0),(((122-'V06 Calend 01'!C45)/6)&lt;='V06 Calend 01'!E45)),IF((122=('V06 Calend 01'!C45+(6*'V06 Calend 01'!E45))),('V06 Calend 01'!H45-('V06 Calend 01'!I45*('V06 Calend 01'!E45-1))),'V06 Calend 01'!I45),0))+IF((122='V06 Calend 01'!D45),'V06 Calend 01'!J45,0))</f>
        <v>0</v>
      </c>
      <c r="EE45" s="2">
        <f>((IF((123='V06 Calend 01'!C45),('V06 Calend 01'!F45+'V06 Calend 01'!G45),0)+IF(AND(('V06 Calend 01'!E45&gt;0),(123&gt;'V06 Calend 01'!C45),(123&lt;'V06 Calend 01'!D45),(MOD((123-'V06 Calend 01'!C45),6)=0),(((123-'V06 Calend 01'!C45)/6)&lt;='V06 Calend 01'!E45)),IF((123=('V06 Calend 01'!C45+(6*'V06 Calend 01'!E45))),('V06 Calend 01'!H45-('V06 Calend 01'!I45*('V06 Calend 01'!E45-1))),'V06 Calend 01'!I45),0))+IF((123='V06 Calend 01'!D45),'V06 Calend 01'!J45,0))</f>
        <v>0</v>
      </c>
      <c r="EF45" s="2">
        <f>((IF((124='V06 Calend 01'!C45),('V06 Calend 01'!F45+'V06 Calend 01'!G45),0)+IF(AND(('V06 Calend 01'!E45&gt;0),(124&gt;'V06 Calend 01'!C45),(124&lt;'V06 Calend 01'!D45),(MOD((124-'V06 Calend 01'!C45),6)=0),(((124-'V06 Calend 01'!C45)/6)&lt;='V06 Calend 01'!E45)),IF((124=('V06 Calend 01'!C45+(6*'V06 Calend 01'!E45))),('V06 Calend 01'!H45-('V06 Calend 01'!I45*('V06 Calend 01'!E45-1))),'V06 Calend 01'!I45),0))+IF((124='V06 Calend 01'!D45),'V06 Calend 01'!J45,0))</f>
        <v>0</v>
      </c>
      <c r="EG45" s="2">
        <f>((IF((125='V06 Calend 01'!C45),('V06 Calend 01'!F45+'V06 Calend 01'!G45),0)+IF(AND(('V06 Calend 01'!E45&gt;0),(125&gt;'V06 Calend 01'!C45),(125&lt;'V06 Calend 01'!D45),(MOD((125-'V06 Calend 01'!C45),6)=0),(((125-'V06 Calend 01'!C45)/6)&lt;='V06 Calend 01'!E45)),IF((125=('V06 Calend 01'!C45+(6*'V06 Calend 01'!E45))),('V06 Calend 01'!H45-('V06 Calend 01'!I45*('V06 Calend 01'!E45-1))),'V06 Calend 01'!I45),0))+IF((125='V06 Calend 01'!D45),'V06 Calend 01'!J45,0))</f>
        <v>0</v>
      </c>
      <c r="EH45" s="2">
        <f>((IF((126='V06 Calend 01'!C45),('V06 Calend 01'!F45+'V06 Calend 01'!G45),0)+IF(AND(('V06 Calend 01'!E45&gt;0),(126&gt;'V06 Calend 01'!C45),(126&lt;'V06 Calend 01'!D45),(MOD((126-'V06 Calend 01'!C45),6)=0),(((126-'V06 Calend 01'!C45)/6)&lt;='V06 Calend 01'!E45)),IF((126=('V06 Calend 01'!C45+(6*'V06 Calend 01'!E45))),('V06 Calend 01'!H45-('V06 Calend 01'!I45*('V06 Calend 01'!E45-1))),'V06 Calend 01'!I45),0))+IF((126='V06 Calend 01'!D45),'V06 Calend 01'!J45,0))</f>
        <v>0</v>
      </c>
      <c r="EI45" s="2">
        <f>((IF((127='V06 Calend 01'!C45),('V06 Calend 01'!F45+'V06 Calend 01'!G45),0)+IF(AND(('V06 Calend 01'!E45&gt;0),(127&gt;'V06 Calend 01'!C45),(127&lt;'V06 Calend 01'!D45),(MOD((127-'V06 Calend 01'!C45),6)=0),(((127-'V06 Calend 01'!C45)/6)&lt;='V06 Calend 01'!E45)),IF((127=('V06 Calend 01'!C45+(6*'V06 Calend 01'!E45))),('V06 Calend 01'!H45-('V06 Calend 01'!I45*('V06 Calend 01'!E45-1))),'V06 Calend 01'!I45),0))+IF((127='V06 Calend 01'!D45),'V06 Calend 01'!J45,0))</f>
        <v>0</v>
      </c>
      <c r="EJ45" s="2">
        <f>((IF((128='V06 Calend 01'!C45),('V06 Calend 01'!F45+'V06 Calend 01'!G45),0)+IF(AND(('V06 Calend 01'!E45&gt;0),(128&gt;'V06 Calend 01'!C45),(128&lt;'V06 Calend 01'!D45),(MOD((128-'V06 Calend 01'!C45),6)=0),(((128-'V06 Calend 01'!C45)/6)&lt;='V06 Calend 01'!E45)),IF((128=('V06 Calend 01'!C45+(6*'V06 Calend 01'!E45))),('V06 Calend 01'!H45-('V06 Calend 01'!I45*('V06 Calend 01'!E45-1))),'V06 Calend 01'!I45),0))+IF((128='V06 Calend 01'!D45),'V06 Calend 01'!J45,0))</f>
        <v>0</v>
      </c>
      <c r="EK45" s="2">
        <f>((IF((129='V06 Calend 01'!C45),('V06 Calend 01'!F45+'V06 Calend 01'!G45),0)+IF(AND(('V06 Calend 01'!E45&gt;0),(129&gt;'V06 Calend 01'!C45),(129&lt;'V06 Calend 01'!D45),(MOD((129-'V06 Calend 01'!C45),6)=0),(((129-'V06 Calend 01'!C45)/6)&lt;='V06 Calend 01'!E45)),IF((129=('V06 Calend 01'!C45+(6*'V06 Calend 01'!E45))),('V06 Calend 01'!H45-('V06 Calend 01'!I45*('V06 Calend 01'!E45-1))),'V06 Calend 01'!I45),0))+IF((129='V06 Calend 01'!D45),'V06 Calend 01'!J45,0))</f>
        <v>0</v>
      </c>
      <c r="EL45" s="2">
        <f>((IF((130='V06 Calend 01'!C45),('V06 Calend 01'!F45+'V06 Calend 01'!G45),0)+IF(AND(('V06 Calend 01'!E45&gt;0),(130&gt;'V06 Calend 01'!C45),(130&lt;'V06 Calend 01'!D45),(MOD((130-'V06 Calend 01'!C45),6)=0),(((130-'V06 Calend 01'!C45)/6)&lt;='V06 Calend 01'!E45)),IF((130=('V06 Calend 01'!C45+(6*'V06 Calend 01'!E45))),('V06 Calend 01'!H45-('V06 Calend 01'!I45*('V06 Calend 01'!E45-1))),'V06 Calend 01'!I45),0))+IF((130='V06 Calend 01'!D45),'V06 Calend 01'!J45,0))</f>
        <v>0</v>
      </c>
      <c r="EM45" s="2">
        <f>((IF((131='V06 Calend 01'!C45),('V06 Calend 01'!F45+'V06 Calend 01'!G45),0)+IF(AND(('V06 Calend 01'!E45&gt;0),(131&gt;'V06 Calend 01'!C45),(131&lt;'V06 Calend 01'!D45),(MOD((131-'V06 Calend 01'!C45),6)=0),(((131-'V06 Calend 01'!C45)/6)&lt;='V06 Calend 01'!E45)),IF((131=('V06 Calend 01'!C45+(6*'V06 Calend 01'!E45))),('V06 Calend 01'!H45-('V06 Calend 01'!I45*('V06 Calend 01'!E45-1))),'V06 Calend 01'!I45),0))+IF((131='V06 Calend 01'!D45),'V06 Calend 01'!J45,0))</f>
        <v>0</v>
      </c>
      <c r="EN45" s="2">
        <f>((IF((132='V06 Calend 01'!C45),('V06 Calend 01'!F45+'V06 Calend 01'!G45),0)+IF(AND(('V06 Calend 01'!E45&gt;0),(132&gt;'V06 Calend 01'!C45),(132&lt;'V06 Calend 01'!D45),(MOD((132-'V06 Calend 01'!C45),6)=0),(((132-'V06 Calend 01'!C45)/6)&lt;='V06 Calend 01'!E45)),IF((132=('V06 Calend 01'!C45+(6*'V06 Calend 01'!E45))),('V06 Calend 01'!H45-('V06 Calend 01'!I45*('V06 Calend 01'!E45-1))),'V06 Calend 01'!I45),0))+IF((132='V06 Calend 01'!D45),'V06 Calend 01'!J45,0))</f>
        <v>0</v>
      </c>
      <c r="EO45" s="2">
        <f>((IF((133='V06 Calend 01'!C45),('V06 Calend 01'!F45+'V06 Calend 01'!G45),0)+IF(AND(('V06 Calend 01'!E45&gt;0),(133&gt;'V06 Calend 01'!C45),(133&lt;'V06 Calend 01'!D45),(MOD((133-'V06 Calend 01'!C45),6)=0),(((133-'V06 Calend 01'!C45)/6)&lt;='V06 Calend 01'!E45)),IF((133=('V06 Calend 01'!C45+(6*'V06 Calend 01'!E45))),('V06 Calend 01'!H45-('V06 Calend 01'!I45*('V06 Calend 01'!E45-1))),'V06 Calend 01'!I45),0))+IF((133='V06 Calend 01'!D45),'V06 Calend 01'!J45,0))</f>
        <v>0</v>
      </c>
      <c r="EP45" s="2">
        <f>((IF((134='V06 Calend 01'!C45),('V06 Calend 01'!F45+'V06 Calend 01'!G45),0)+IF(AND(('V06 Calend 01'!E45&gt;0),(134&gt;'V06 Calend 01'!C45),(134&lt;'V06 Calend 01'!D45),(MOD((134-'V06 Calend 01'!C45),6)=0),(((134-'V06 Calend 01'!C45)/6)&lt;='V06 Calend 01'!E45)),IF((134=('V06 Calend 01'!C45+(6*'V06 Calend 01'!E45))),('V06 Calend 01'!H45-('V06 Calend 01'!I45*('V06 Calend 01'!E45-1))),'V06 Calend 01'!I45),0))+IF((134='V06 Calend 01'!D45),'V06 Calend 01'!J45,0))</f>
        <v>0</v>
      </c>
      <c r="EQ45" s="2">
        <f>((IF((135='V06 Calend 01'!C45),('V06 Calend 01'!F45+'V06 Calend 01'!G45),0)+IF(AND(('V06 Calend 01'!E45&gt;0),(135&gt;'V06 Calend 01'!C45),(135&lt;'V06 Calend 01'!D45),(MOD((135-'V06 Calend 01'!C45),6)=0),(((135-'V06 Calend 01'!C45)/6)&lt;='V06 Calend 01'!E45)),IF((135=('V06 Calend 01'!C45+(6*'V06 Calend 01'!E45))),('V06 Calend 01'!H45-('V06 Calend 01'!I45*('V06 Calend 01'!E45-1))),'V06 Calend 01'!I45),0))+IF((135='V06 Calend 01'!D45),'V06 Calend 01'!J45,0))</f>
        <v>0</v>
      </c>
      <c r="ER45" s="2">
        <f>((IF((136='V06 Calend 01'!C45),('V06 Calend 01'!F45+'V06 Calend 01'!G45),0)+IF(AND(('V06 Calend 01'!E45&gt;0),(136&gt;'V06 Calend 01'!C45),(136&lt;'V06 Calend 01'!D45),(MOD((136-'V06 Calend 01'!C45),6)=0),(((136-'V06 Calend 01'!C45)/6)&lt;='V06 Calend 01'!E45)),IF((136=('V06 Calend 01'!C45+(6*'V06 Calend 01'!E45))),('V06 Calend 01'!H45-('V06 Calend 01'!I45*('V06 Calend 01'!E45-1))),'V06 Calend 01'!I45),0))+IF((136='V06 Calend 01'!D45),'V06 Calend 01'!J45,0))</f>
        <v>0</v>
      </c>
      <c r="ES45" s="2">
        <f>((IF((137='V06 Calend 01'!C45),('V06 Calend 01'!F45+'V06 Calend 01'!G45),0)+IF(AND(('V06 Calend 01'!E45&gt;0),(137&gt;'V06 Calend 01'!C45),(137&lt;'V06 Calend 01'!D45),(MOD((137-'V06 Calend 01'!C45),6)=0),(((137-'V06 Calend 01'!C45)/6)&lt;='V06 Calend 01'!E45)),IF((137=('V06 Calend 01'!C45+(6*'V06 Calend 01'!E45))),('V06 Calend 01'!H45-('V06 Calend 01'!I45*('V06 Calend 01'!E45-1))),'V06 Calend 01'!I45),0))+IF((137='V06 Calend 01'!D45),'V06 Calend 01'!J45,0))</f>
        <v>0</v>
      </c>
      <c r="ET45" s="2">
        <f>((IF((138='V06 Calend 01'!C45),('V06 Calend 01'!F45+'V06 Calend 01'!G45),0)+IF(AND(('V06 Calend 01'!E45&gt;0),(138&gt;'V06 Calend 01'!C45),(138&lt;'V06 Calend 01'!D45),(MOD((138-'V06 Calend 01'!C45),6)=0),(((138-'V06 Calend 01'!C45)/6)&lt;='V06 Calend 01'!E45)),IF((138=('V06 Calend 01'!C45+(6*'V06 Calend 01'!E45))),('V06 Calend 01'!H45-('V06 Calend 01'!I45*('V06 Calend 01'!E45-1))),'V06 Calend 01'!I45),0))+IF((138='V06 Calend 01'!D45),'V06 Calend 01'!J45,0))</f>
        <v>0</v>
      </c>
      <c r="EU45" s="2">
        <f>((IF((139='V06 Calend 01'!C45),('V06 Calend 01'!F45+'V06 Calend 01'!G45),0)+IF(AND(('V06 Calend 01'!E45&gt;0),(139&gt;'V06 Calend 01'!C45),(139&lt;'V06 Calend 01'!D45),(MOD((139-'V06 Calend 01'!C45),6)=0),(((139-'V06 Calend 01'!C45)/6)&lt;='V06 Calend 01'!E45)),IF((139=('V06 Calend 01'!C45+(6*'V06 Calend 01'!E45))),('V06 Calend 01'!H45-('V06 Calend 01'!I45*('V06 Calend 01'!E45-1))),'V06 Calend 01'!I45),0))+IF((139='V06 Calend 01'!D45),'V06 Calend 01'!J45,0))</f>
        <v>0</v>
      </c>
      <c r="EV45" s="2">
        <f>((IF((140='V06 Calend 01'!C45),('V06 Calend 01'!F45+'V06 Calend 01'!G45),0)+IF(AND(('V06 Calend 01'!E45&gt;0),(140&gt;'V06 Calend 01'!C45),(140&lt;'V06 Calend 01'!D45),(MOD((140-'V06 Calend 01'!C45),6)=0),(((140-'V06 Calend 01'!C45)/6)&lt;='V06 Calend 01'!E45)),IF((140=('V06 Calend 01'!C45+(6*'V06 Calend 01'!E45))),('V06 Calend 01'!H45-('V06 Calend 01'!I45*('V06 Calend 01'!E45-1))),'V06 Calend 01'!I45),0))+IF((140='V06 Calend 01'!D45),'V06 Calend 01'!J45,0))</f>
        <v>0</v>
      </c>
      <c r="EW45" s="2">
        <f>((IF((141='V06 Calend 01'!C45),('V06 Calend 01'!F45+'V06 Calend 01'!G45),0)+IF(AND(('V06 Calend 01'!E45&gt;0),(141&gt;'V06 Calend 01'!C45),(141&lt;'V06 Calend 01'!D45),(MOD((141-'V06 Calend 01'!C45),6)=0),(((141-'V06 Calend 01'!C45)/6)&lt;='V06 Calend 01'!E45)),IF((141=('V06 Calend 01'!C45+(6*'V06 Calend 01'!E45))),('V06 Calend 01'!H45-('V06 Calend 01'!I45*('V06 Calend 01'!E45-1))),'V06 Calend 01'!I45),0))+IF((141='V06 Calend 01'!D45),'V06 Calend 01'!J45,0))</f>
        <v>0</v>
      </c>
      <c r="EX45" s="2">
        <f>((IF((142='V06 Calend 01'!C45),('V06 Calend 01'!F45+'V06 Calend 01'!G45),0)+IF(AND(('V06 Calend 01'!E45&gt;0),(142&gt;'V06 Calend 01'!C45),(142&lt;'V06 Calend 01'!D45),(MOD((142-'V06 Calend 01'!C45),6)=0),(((142-'V06 Calend 01'!C45)/6)&lt;='V06 Calend 01'!E45)),IF((142=('V06 Calend 01'!C45+(6*'V06 Calend 01'!E45))),('V06 Calend 01'!H45-('V06 Calend 01'!I45*('V06 Calend 01'!E45-1))),'V06 Calend 01'!I45),0))+IF((142='V06 Calend 01'!D45),'V06 Calend 01'!J45,0))</f>
        <v>0</v>
      </c>
      <c r="EY45" s="2">
        <f>((IF((143='V06 Calend 01'!C45),('V06 Calend 01'!F45+'V06 Calend 01'!G45),0)+IF(AND(('V06 Calend 01'!E45&gt;0),(143&gt;'V06 Calend 01'!C45),(143&lt;'V06 Calend 01'!D45),(MOD((143-'V06 Calend 01'!C45),6)=0),(((143-'V06 Calend 01'!C45)/6)&lt;='V06 Calend 01'!E45)),IF((143=('V06 Calend 01'!C45+(6*'V06 Calend 01'!E45))),('V06 Calend 01'!H45-('V06 Calend 01'!I45*('V06 Calend 01'!E45-1))),'V06 Calend 01'!I45),0))+IF((143='V06 Calend 01'!D45),'V06 Calend 01'!J45,0))</f>
        <v>0</v>
      </c>
      <c r="EZ45" s="2">
        <f>((IF((144='V06 Calend 01'!C45),('V06 Calend 01'!F45+'V06 Calend 01'!G45),0)+IF(AND(('V06 Calend 01'!E45&gt;0),(144&gt;'V06 Calend 01'!C45),(144&lt;'V06 Calend 01'!D45),(MOD((144-'V06 Calend 01'!C45),6)=0),(((144-'V06 Calend 01'!C45)/6)&lt;='V06 Calend 01'!E45)),IF((144=('V06 Calend 01'!C45+(6*'V06 Calend 01'!E45))),('V06 Calend 01'!H45-('V06 Calend 01'!I45*('V06 Calend 01'!E45-1))),'V06 Calend 01'!I45),0))+IF((144='V06 Calend 01'!D45),'V06 Calend 01'!J45,0))</f>
        <v>0</v>
      </c>
      <c r="FA45" s="2">
        <f>((IF((145='V06 Calend 01'!C45),('V06 Calend 01'!F45+'V06 Calend 01'!G45),0)+IF(AND(('V06 Calend 01'!E45&gt;0),(145&gt;'V06 Calend 01'!C45),(145&lt;'V06 Calend 01'!D45),(MOD((145-'V06 Calend 01'!C45),6)=0),(((145-'V06 Calend 01'!C45)/6)&lt;='V06 Calend 01'!E45)),IF((145=('V06 Calend 01'!C45+(6*'V06 Calend 01'!E45))),('V06 Calend 01'!H45-('V06 Calend 01'!I45*('V06 Calend 01'!E45-1))),'V06 Calend 01'!I45),0))+IF((145='V06 Calend 01'!D45),'V06 Calend 01'!J45,0))</f>
        <v>0</v>
      </c>
      <c r="FB45" s="2">
        <f>((IF((146='V06 Calend 01'!C45),('V06 Calend 01'!F45+'V06 Calend 01'!G45),0)+IF(AND(('V06 Calend 01'!E45&gt;0),(146&gt;'V06 Calend 01'!C45),(146&lt;'V06 Calend 01'!D45),(MOD((146-'V06 Calend 01'!C45),6)=0),(((146-'V06 Calend 01'!C45)/6)&lt;='V06 Calend 01'!E45)),IF((146=('V06 Calend 01'!C45+(6*'V06 Calend 01'!E45))),('V06 Calend 01'!H45-('V06 Calend 01'!I45*('V06 Calend 01'!E45-1))),'V06 Calend 01'!I45),0))+IF((146='V06 Calend 01'!D45),'V06 Calend 01'!J45,0))</f>
        <v>0</v>
      </c>
      <c r="FC45" s="2">
        <f>((IF((147='V06 Calend 01'!C45),('V06 Calend 01'!F45+'V06 Calend 01'!G45),0)+IF(AND(('V06 Calend 01'!E45&gt;0),(147&gt;'V06 Calend 01'!C45),(147&lt;'V06 Calend 01'!D45),(MOD((147-'V06 Calend 01'!C45),6)=0),(((147-'V06 Calend 01'!C45)/6)&lt;='V06 Calend 01'!E45)),IF((147=('V06 Calend 01'!C45+(6*'V06 Calend 01'!E45))),('V06 Calend 01'!H45-('V06 Calend 01'!I45*('V06 Calend 01'!E45-1))),'V06 Calend 01'!I45),0))+IF((147='V06 Calend 01'!D45),'V06 Calend 01'!J45,0))</f>
        <v>0</v>
      </c>
      <c r="FD45" s="2">
        <f>((IF((148='V06 Calend 01'!C45),('V06 Calend 01'!F45+'V06 Calend 01'!G45),0)+IF(AND(('V06 Calend 01'!E45&gt;0),(148&gt;'V06 Calend 01'!C45),(148&lt;'V06 Calend 01'!D45),(MOD((148-'V06 Calend 01'!C45),6)=0),(((148-'V06 Calend 01'!C45)/6)&lt;='V06 Calend 01'!E45)),IF((148=('V06 Calend 01'!C45+(6*'V06 Calend 01'!E45))),('V06 Calend 01'!H45-('V06 Calend 01'!I45*('V06 Calend 01'!E45-1))),'V06 Calend 01'!I45),0))+IF((148='V06 Calend 01'!D45),'V06 Calend 01'!J45,0))</f>
        <v>0</v>
      </c>
      <c r="FE45" s="2">
        <f>((IF((149='V06 Calend 01'!C45),('V06 Calend 01'!F45+'V06 Calend 01'!G45),0)+IF(AND(('V06 Calend 01'!E45&gt;0),(149&gt;'V06 Calend 01'!C45),(149&lt;'V06 Calend 01'!D45),(MOD((149-'V06 Calend 01'!C45),6)=0),(((149-'V06 Calend 01'!C45)/6)&lt;='V06 Calend 01'!E45)),IF((149=('V06 Calend 01'!C45+(6*'V06 Calend 01'!E45))),('V06 Calend 01'!H45-('V06 Calend 01'!I45*('V06 Calend 01'!E45-1))),'V06 Calend 01'!I45),0))+IF((149='V06 Calend 01'!D45),'V06 Calend 01'!J45,0))</f>
        <v>0</v>
      </c>
      <c r="FF45" s="2">
        <f>((IF((150='V06 Calend 01'!C45),('V06 Calend 01'!F45+'V06 Calend 01'!G45),0)+IF(AND(('V06 Calend 01'!E45&gt;0),(150&gt;'V06 Calend 01'!C45),(150&lt;'V06 Calend 01'!D45),(MOD((150-'V06 Calend 01'!C45),6)=0),(((150-'V06 Calend 01'!C45)/6)&lt;='V06 Calend 01'!E45)),IF((150=('V06 Calend 01'!C45+(6*'V06 Calend 01'!E45))),('V06 Calend 01'!H45-('V06 Calend 01'!I45*('V06 Calend 01'!E45-1))),'V06 Calend 01'!I45),0))+IF((150='V06 Calend 01'!D45),'V06 Calend 01'!J45,0))</f>
        <v>0</v>
      </c>
      <c r="FG45" s="2">
        <f>((IF((151='V06 Calend 01'!C45),('V06 Calend 01'!F45+'V06 Calend 01'!G45),0)+IF(AND(('V06 Calend 01'!E45&gt;0),(151&gt;'V06 Calend 01'!C45),(151&lt;'V06 Calend 01'!D45),(MOD((151-'V06 Calend 01'!C45),6)=0),(((151-'V06 Calend 01'!C45)/6)&lt;='V06 Calend 01'!E45)),IF((151=('V06 Calend 01'!C45+(6*'V06 Calend 01'!E45))),('V06 Calend 01'!H45-('V06 Calend 01'!I45*('V06 Calend 01'!E45-1))),'V06 Calend 01'!I45),0))+IF((151='V06 Calend 01'!D45),'V06 Calend 01'!J45,0))</f>
        <v>0</v>
      </c>
      <c r="FH45" s="2">
        <f>((IF((152='V06 Calend 01'!C45),('V06 Calend 01'!F45+'V06 Calend 01'!G45),0)+IF(AND(('V06 Calend 01'!E45&gt;0),(152&gt;'V06 Calend 01'!C45),(152&lt;'V06 Calend 01'!D45),(MOD((152-'V06 Calend 01'!C45),6)=0),(((152-'V06 Calend 01'!C45)/6)&lt;='V06 Calend 01'!E45)),IF((152=('V06 Calend 01'!C45+(6*'V06 Calend 01'!E45))),('V06 Calend 01'!H45-('V06 Calend 01'!I45*('V06 Calend 01'!E45-1))),'V06 Calend 01'!I45),0))+IF((152='V06 Calend 01'!D45),'V06 Calend 01'!J45,0))</f>
        <v>0</v>
      </c>
      <c r="FI45" s="2">
        <f>((IF((153='V06 Calend 01'!C45),('V06 Calend 01'!F45+'V06 Calend 01'!G45),0)+IF(AND(('V06 Calend 01'!E45&gt;0),(153&gt;'V06 Calend 01'!C45),(153&lt;'V06 Calend 01'!D45),(MOD((153-'V06 Calend 01'!C45),6)=0),(((153-'V06 Calend 01'!C45)/6)&lt;='V06 Calend 01'!E45)),IF((153=('V06 Calend 01'!C45+(6*'V06 Calend 01'!E45))),('V06 Calend 01'!H45-('V06 Calend 01'!I45*('V06 Calend 01'!E45-1))),'V06 Calend 01'!I45),0))+IF((153='V06 Calend 01'!D45),'V06 Calend 01'!J45,0))</f>
        <v>0</v>
      </c>
      <c r="FJ45" s="2">
        <f>((IF((154='V06 Calend 01'!C45),('V06 Calend 01'!F45+'V06 Calend 01'!G45),0)+IF(AND(('V06 Calend 01'!E45&gt;0),(154&gt;'V06 Calend 01'!C45),(154&lt;'V06 Calend 01'!D45),(MOD((154-'V06 Calend 01'!C45),6)=0),(((154-'V06 Calend 01'!C45)/6)&lt;='V06 Calend 01'!E45)),IF((154=('V06 Calend 01'!C45+(6*'V06 Calend 01'!E45))),('V06 Calend 01'!H45-('V06 Calend 01'!I45*('V06 Calend 01'!E45-1))),'V06 Calend 01'!I45),0))+IF((154='V06 Calend 01'!D45),'V06 Calend 01'!J45,0))</f>
        <v>0</v>
      </c>
      <c r="FK45" s="2">
        <f>((IF((155='V06 Calend 01'!C45),('V06 Calend 01'!F45+'V06 Calend 01'!G45),0)+IF(AND(('V06 Calend 01'!E45&gt;0),(155&gt;'V06 Calend 01'!C45),(155&lt;'V06 Calend 01'!D45),(MOD((155-'V06 Calend 01'!C45),6)=0),(((155-'V06 Calend 01'!C45)/6)&lt;='V06 Calend 01'!E45)),IF((155=('V06 Calend 01'!C45+(6*'V06 Calend 01'!E45))),('V06 Calend 01'!H45-('V06 Calend 01'!I45*('V06 Calend 01'!E45-1))),'V06 Calend 01'!I45),0))+IF((155='V06 Calend 01'!D45),'V06 Calend 01'!J45,0))</f>
        <v>0</v>
      </c>
      <c r="FL45" s="2">
        <f>((IF((156='V06 Calend 01'!C45),('V06 Calend 01'!F45+'V06 Calend 01'!G45),0)+IF(AND(('V06 Calend 01'!E45&gt;0),(156&gt;'V06 Calend 01'!C45),(156&lt;'V06 Calend 01'!D45),(MOD((156-'V06 Calend 01'!C45),6)=0),(((156-'V06 Calend 01'!C45)/6)&lt;='V06 Calend 01'!E45)),IF((156=('V06 Calend 01'!C45+(6*'V06 Calend 01'!E45))),('V06 Calend 01'!H45-('V06 Calend 01'!I45*('V06 Calend 01'!E45-1))),'V06 Calend 01'!I45),0))+IF((156='V06 Calend 01'!D45),'V06 Calend 01'!J45,0))</f>
        <v>0</v>
      </c>
      <c r="FM45" s="2">
        <f>((IF((157='V06 Calend 01'!C45),('V06 Calend 01'!F45+'V06 Calend 01'!G45),0)+IF(AND(('V06 Calend 01'!E45&gt;0),(157&gt;'V06 Calend 01'!C45),(157&lt;'V06 Calend 01'!D45),(MOD((157-'V06 Calend 01'!C45),6)=0),(((157-'V06 Calend 01'!C45)/6)&lt;='V06 Calend 01'!E45)),IF((157=('V06 Calend 01'!C45+(6*'V06 Calend 01'!E45))),('V06 Calend 01'!H45-('V06 Calend 01'!I45*('V06 Calend 01'!E45-1))),'V06 Calend 01'!I45),0))+IF((157='V06 Calend 01'!D45),'V06 Calend 01'!J45,0))</f>
        <v>0</v>
      </c>
      <c r="FN45" s="2">
        <f>((IF((158='V06 Calend 01'!C45),('V06 Calend 01'!F45+'V06 Calend 01'!G45),0)+IF(AND(('V06 Calend 01'!E45&gt;0),(158&gt;'V06 Calend 01'!C45),(158&lt;'V06 Calend 01'!D45),(MOD((158-'V06 Calend 01'!C45),6)=0),(((158-'V06 Calend 01'!C45)/6)&lt;='V06 Calend 01'!E45)),IF((158=('V06 Calend 01'!C45+(6*'V06 Calend 01'!E45))),('V06 Calend 01'!H45-('V06 Calend 01'!I45*('V06 Calend 01'!E45-1))),'V06 Calend 01'!I45),0))+IF((158='V06 Calend 01'!D45),'V06 Calend 01'!J45,0))</f>
        <v>0</v>
      </c>
      <c r="FO45" s="2">
        <f>((IF((159='V06 Calend 01'!C45),('V06 Calend 01'!F45+'V06 Calend 01'!G45),0)+IF(AND(('V06 Calend 01'!E45&gt;0),(159&gt;'V06 Calend 01'!C45),(159&lt;'V06 Calend 01'!D45),(MOD((159-'V06 Calend 01'!C45),6)=0),(((159-'V06 Calend 01'!C45)/6)&lt;='V06 Calend 01'!E45)),IF((159=('V06 Calend 01'!C45+(6*'V06 Calend 01'!E45))),('V06 Calend 01'!H45-('V06 Calend 01'!I45*('V06 Calend 01'!E45-1))),'V06 Calend 01'!I45),0))+IF((159='V06 Calend 01'!D45),'V06 Calend 01'!J45,0))</f>
        <v>0</v>
      </c>
      <c r="FP45" s="2">
        <f>((IF((160='V06 Calend 01'!C45),('V06 Calend 01'!F45+'V06 Calend 01'!G45),0)+IF(AND(('V06 Calend 01'!E45&gt;0),(160&gt;'V06 Calend 01'!C45),(160&lt;'V06 Calend 01'!D45),(MOD((160-'V06 Calend 01'!C45),6)=0),(((160-'V06 Calend 01'!C45)/6)&lt;='V06 Calend 01'!E45)),IF((160=('V06 Calend 01'!C45+(6*'V06 Calend 01'!E45))),('V06 Calend 01'!H45-('V06 Calend 01'!I45*('V06 Calend 01'!E45-1))),'V06 Calend 01'!I45),0))+IF((160='V06 Calend 01'!D45),'V06 Calend 01'!J45,0))</f>
        <v>0</v>
      </c>
      <c r="FQ45" s="2">
        <f>((IF((161='V06 Calend 01'!C45),('V06 Calend 01'!F45+'V06 Calend 01'!G45),0)+IF(AND(('V06 Calend 01'!E45&gt;0),(161&gt;'V06 Calend 01'!C45),(161&lt;'V06 Calend 01'!D45),(MOD((161-'V06 Calend 01'!C45),6)=0),(((161-'V06 Calend 01'!C45)/6)&lt;='V06 Calend 01'!E45)),IF((161=('V06 Calend 01'!C45+(6*'V06 Calend 01'!E45))),('V06 Calend 01'!H45-('V06 Calend 01'!I45*('V06 Calend 01'!E45-1))),'V06 Calend 01'!I45),0))+IF((161='V06 Calend 01'!D45),'V06 Calend 01'!J45,0))</f>
        <v>0</v>
      </c>
      <c r="FR45" s="2">
        <f>((IF((162='V06 Calend 01'!C45),('V06 Calend 01'!F45+'V06 Calend 01'!G45),0)+IF(AND(('V06 Calend 01'!E45&gt;0),(162&gt;'V06 Calend 01'!C45),(162&lt;'V06 Calend 01'!D45),(MOD((162-'V06 Calend 01'!C45),6)=0),(((162-'V06 Calend 01'!C45)/6)&lt;='V06 Calend 01'!E45)),IF((162=('V06 Calend 01'!C45+(6*'V06 Calend 01'!E45))),('V06 Calend 01'!H45-('V06 Calend 01'!I45*('V06 Calend 01'!E45-1))),'V06 Calend 01'!I45),0))+IF((162='V06 Calend 01'!D45),'V06 Calend 01'!J45,0))</f>
        <v>0</v>
      </c>
      <c r="FS45" s="2">
        <f>((IF((163='V06 Calend 01'!C45),('V06 Calend 01'!F45+'V06 Calend 01'!G45),0)+IF(AND(('V06 Calend 01'!E45&gt;0),(163&gt;'V06 Calend 01'!C45),(163&lt;'V06 Calend 01'!D45),(MOD((163-'V06 Calend 01'!C45),6)=0),(((163-'V06 Calend 01'!C45)/6)&lt;='V06 Calend 01'!E45)),IF((163=('V06 Calend 01'!C45+(6*'V06 Calend 01'!E45))),('V06 Calend 01'!H45-('V06 Calend 01'!I45*('V06 Calend 01'!E45-1))),'V06 Calend 01'!I45),0))+IF((163='V06 Calend 01'!D45),'V06 Calend 01'!J45,0))</f>
        <v>0</v>
      </c>
      <c r="FT45" s="2">
        <f>((IF((164='V06 Calend 01'!C45),('V06 Calend 01'!F45+'V06 Calend 01'!G45),0)+IF(AND(('V06 Calend 01'!E45&gt;0),(164&gt;'V06 Calend 01'!C45),(164&lt;'V06 Calend 01'!D45),(MOD((164-'V06 Calend 01'!C45),6)=0),(((164-'V06 Calend 01'!C45)/6)&lt;='V06 Calend 01'!E45)),IF((164=('V06 Calend 01'!C45+(6*'V06 Calend 01'!E45))),('V06 Calend 01'!H45-('V06 Calend 01'!I45*('V06 Calend 01'!E45-1))),'V06 Calend 01'!I45),0))+IF((164='V06 Calend 01'!D45),'V06 Calend 01'!J45,0))</f>
        <v>0</v>
      </c>
      <c r="FU45" s="2">
        <f>((IF((165='V06 Calend 01'!C45),('V06 Calend 01'!F45+'V06 Calend 01'!G45),0)+IF(AND(('V06 Calend 01'!E45&gt;0),(165&gt;'V06 Calend 01'!C45),(165&lt;'V06 Calend 01'!D45),(MOD((165-'V06 Calend 01'!C45),6)=0),(((165-'V06 Calend 01'!C45)/6)&lt;='V06 Calend 01'!E45)),IF((165=('V06 Calend 01'!C45+(6*'V06 Calend 01'!E45))),('V06 Calend 01'!H45-('V06 Calend 01'!I45*('V06 Calend 01'!E45-1))),'V06 Calend 01'!I45),0))+IF((165='V06 Calend 01'!D45),'V06 Calend 01'!J45,0))</f>
        <v>0</v>
      </c>
      <c r="FV45" s="2">
        <f>((IF((166='V06 Calend 01'!C45),('V06 Calend 01'!F45+'V06 Calend 01'!G45),0)+IF(AND(('V06 Calend 01'!E45&gt;0),(166&gt;'V06 Calend 01'!C45),(166&lt;'V06 Calend 01'!D45),(MOD((166-'V06 Calend 01'!C45),6)=0),(((166-'V06 Calend 01'!C45)/6)&lt;='V06 Calend 01'!E45)),IF((166=('V06 Calend 01'!C45+(6*'V06 Calend 01'!E45))),('V06 Calend 01'!H45-('V06 Calend 01'!I45*('V06 Calend 01'!E45-1))),'V06 Calend 01'!I45),0))+IF((166='V06 Calend 01'!D45),'V06 Calend 01'!J45,0))</f>
        <v>0</v>
      </c>
      <c r="FW45" s="2">
        <f>((IF((167='V06 Calend 01'!C45),('V06 Calend 01'!F45+'V06 Calend 01'!G45),0)+IF(AND(('V06 Calend 01'!E45&gt;0),(167&gt;'V06 Calend 01'!C45),(167&lt;'V06 Calend 01'!D45),(MOD((167-'V06 Calend 01'!C45),6)=0),(((167-'V06 Calend 01'!C45)/6)&lt;='V06 Calend 01'!E45)),IF((167=('V06 Calend 01'!C45+(6*'V06 Calend 01'!E45))),('V06 Calend 01'!H45-('V06 Calend 01'!I45*('V06 Calend 01'!E45-1))),'V06 Calend 01'!I45),0))+IF((167='V06 Calend 01'!D45),'V06 Calend 01'!J45,0))</f>
        <v>0</v>
      </c>
      <c r="FX45" s="2">
        <f>((IF((168='V06 Calend 01'!C45),('V06 Calend 01'!F45+'V06 Calend 01'!G45),0)+IF(AND(('V06 Calend 01'!E45&gt;0),(168&gt;'V06 Calend 01'!C45),(168&lt;'V06 Calend 01'!D45),(MOD((168-'V06 Calend 01'!C45),6)=0),(((168-'V06 Calend 01'!C45)/6)&lt;='V06 Calend 01'!E45)),IF((168=('V06 Calend 01'!C45+(6*'V06 Calend 01'!E45))),('V06 Calend 01'!H45-('V06 Calend 01'!I45*('V06 Calend 01'!E45-1))),'V06 Calend 01'!I45),0))+IF((168='V06 Calend 01'!D45),'V06 Calend 01'!J45,0))</f>
        <v>0</v>
      </c>
      <c r="FY45" s="2">
        <f>((IF((169='V06 Calend 01'!C45),('V06 Calend 01'!F45+'V06 Calend 01'!G45),0)+IF(AND(('V06 Calend 01'!E45&gt;0),(169&gt;'V06 Calend 01'!C45),(169&lt;'V06 Calend 01'!D45),(MOD((169-'V06 Calend 01'!C45),6)=0),(((169-'V06 Calend 01'!C45)/6)&lt;='V06 Calend 01'!E45)),IF((169=('V06 Calend 01'!C45+(6*'V06 Calend 01'!E45))),('V06 Calend 01'!H45-('V06 Calend 01'!I45*('V06 Calend 01'!E45-1))),'V06 Calend 01'!I45),0))+IF((169='V06 Calend 01'!D45),'V06 Calend 01'!J45,0))</f>
        <v>0</v>
      </c>
      <c r="FZ45" s="2">
        <f>((IF((170='V06 Calend 01'!C45),('V06 Calend 01'!F45+'V06 Calend 01'!G45),0)+IF(AND(('V06 Calend 01'!E45&gt;0),(170&gt;'V06 Calend 01'!C45),(170&lt;'V06 Calend 01'!D45),(MOD((170-'V06 Calend 01'!C45),6)=0),(((170-'V06 Calend 01'!C45)/6)&lt;='V06 Calend 01'!E45)),IF((170=('V06 Calend 01'!C45+(6*'V06 Calend 01'!E45))),('V06 Calend 01'!H45-('V06 Calend 01'!I45*('V06 Calend 01'!E45-1))),'V06 Calend 01'!I45),0))+IF((170='V06 Calend 01'!D45),'V06 Calend 01'!J45,0))</f>
        <v>0</v>
      </c>
      <c r="GA45" s="2">
        <f>((IF((171='V06 Calend 01'!C45),('V06 Calend 01'!F45+'V06 Calend 01'!G45),0)+IF(AND(('V06 Calend 01'!E45&gt;0),(171&gt;'V06 Calend 01'!C45),(171&lt;'V06 Calend 01'!D45),(MOD((171-'V06 Calend 01'!C45),6)=0),(((171-'V06 Calend 01'!C45)/6)&lt;='V06 Calend 01'!E45)),IF((171=('V06 Calend 01'!C45+(6*'V06 Calend 01'!E45))),('V06 Calend 01'!H45-('V06 Calend 01'!I45*('V06 Calend 01'!E45-1))),'V06 Calend 01'!I45),0))+IF((171='V06 Calend 01'!D45),'V06 Calend 01'!J45,0))</f>
        <v>0</v>
      </c>
      <c r="GB45" s="2">
        <f>((IF((172='V06 Calend 01'!C45),('V06 Calend 01'!F45+'V06 Calend 01'!G45),0)+IF(AND(('V06 Calend 01'!E45&gt;0),(172&gt;'V06 Calend 01'!C45),(172&lt;'V06 Calend 01'!D45),(MOD((172-'V06 Calend 01'!C45),6)=0),(((172-'V06 Calend 01'!C45)/6)&lt;='V06 Calend 01'!E45)),IF((172=('V06 Calend 01'!C45+(6*'V06 Calend 01'!E45))),('V06 Calend 01'!H45-('V06 Calend 01'!I45*('V06 Calend 01'!E45-1))),'V06 Calend 01'!I45),0))+IF((172='V06 Calend 01'!D45),'V06 Calend 01'!J45,0))</f>
        <v>0</v>
      </c>
      <c r="GC45" s="2">
        <f>((IF((173='V06 Calend 01'!C45),('V06 Calend 01'!F45+'V06 Calend 01'!G45),0)+IF(AND(('V06 Calend 01'!E45&gt;0),(173&gt;'V06 Calend 01'!C45),(173&lt;'V06 Calend 01'!D45),(MOD((173-'V06 Calend 01'!C45),6)=0),(((173-'V06 Calend 01'!C45)/6)&lt;='V06 Calend 01'!E45)),IF((173=('V06 Calend 01'!C45+(6*'V06 Calend 01'!E45))),('V06 Calend 01'!H45-('V06 Calend 01'!I45*('V06 Calend 01'!E45-1))),'V06 Calend 01'!I45),0))+IF((173='V06 Calend 01'!D45),'V06 Calend 01'!J45,0))</f>
        <v>0</v>
      </c>
      <c r="GD45" s="2">
        <f>((IF((174='V06 Calend 01'!C45),('V06 Calend 01'!F45+'V06 Calend 01'!G45),0)+IF(AND(('V06 Calend 01'!E45&gt;0),(174&gt;'V06 Calend 01'!C45),(174&lt;'V06 Calend 01'!D45),(MOD((174-'V06 Calend 01'!C45),6)=0),(((174-'V06 Calend 01'!C45)/6)&lt;='V06 Calend 01'!E45)),IF((174=('V06 Calend 01'!C45+(6*'V06 Calend 01'!E45))),('V06 Calend 01'!H45-('V06 Calend 01'!I45*('V06 Calend 01'!E45-1))),'V06 Calend 01'!I45),0))+IF((174='V06 Calend 01'!D45),'V06 Calend 01'!J45,0))</f>
        <v>0</v>
      </c>
      <c r="GE45" s="2">
        <f>((IF((175='V06 Calend 01'!C45),('V06 Calend 01'!F45+'V06 Calend 01'!G45),0)+IF(AND(('V06 Calend 01'!E45&gt;0),(175&gt;'V06 Calend 01'!C45),(175&lt;'V06 Calend 01'!D45),(MOD((175-'V06 Calend 01'!C45),6)=0),(((175-'V06 Calend 01'!C45)/6)&lt;='V06 Calend 01'!E45)),IF((175=('V06 Calend 01'!C45+(6*'V06 Calend 01'!E45))),('V06 Calend 01'!H45-('V06 Calend 01'!I45*('V06 Calend 01'!E45-1))),'V06 Calend 01'!I45),0))+IF((175='V06 Calend 01'!D45),'V06 Calend 01'!J45,0))</f>
        <v>0</v>
      </c>
      <c r="GF45" s="2">
        <f>((IF((176='V06 Calend 01'!C45),('V06 Calend 01'!F45+'V06 Calend 01'!G45),0)+IF(AND(('V06 Calend 01'!E45&gt;0),(176&gt;'V06 Calend 01'!C45),(176&lt;'V06 Calend 01'!D45),(MOD((176-'V06 Calend 01'!C45),6)=0),(((176-'V06 Calend 01'!C45)/6)&lt;='V06 Calend 01'!E45)),IF((176=('V06 Calend 01'!C45+(6*'V06 Calend 01'!E45))),('V06 Calend 01'!H45-('V06 Calend 01'!I45*('V06 Calend 01'!E45-1))),'V06 Calend 01'!I45),0))+IF((176='V06 Calend 01'!D45),'V06 Calend 01'!J45,0))</f>
        <v>0</v>
      </c>
      <c r="GG45" s="2">
        <f>((IF((177='V06 Calend 01'!C45),('V06 Calend 01'!F45+'V06 Calend 01'!G45),0)+IF(AND(('V06 Calend 01'!E45&gt;0),(177&gt;'V06 Calend 01'!C45),(177&lt;'V06 Calend 01'!D45),(MOD((177-'V06 Calend 01'!C45),6)=0),(((177-'V06 Calend 01'!C45)/6)&lt;='V06 Calend 01'!E45)),IF((177=('V06 Calend 01'!C45+(6*'V06 Calend 01'!E45))),('V06 Calend 01'!H45-('V06 Calend 01'!I45*('V06 Calend 01'!E45-1))),'V06 Calend 01'!I45),0))+IF((177='V06 Calend 01'!D45),'V06 Calend 01'!J45,0))</f>
        <v>0</v>
      </c>
      <c r="GH45" s="2">
        <f>((IF((178='V06 Calend 01'!C45),('V06 Calend 01'!F45+'V06 Calend 01'!G45),0)+IF(AND(('V06 Calend 01'!E45&gt;0),(178&gt;'V06 Calend 01'!C45),(178&lt;'V06 Calend 01'!D45),(MOD((178-'V06 Calend 01'!C45),6)=0),(((178-'V06 Calend 01'!C45)/6)&lt;='V06 Calend 01'!E45)),IF((178=('V06 Calend 01'!C45+(6*'V06 Calend 01'!E45))),('V06 Calend 01'!H45-('V06 Calend 01'!I45*('V06 Calend 01'!E45-1))),'V06 Calend 01'!I45),0))+IF((178='V06 Calend 01'!D45),'V06 Calend 01'!J45,0))</f>
        <v>0</v>
      </c>
      <c r="GI45" s="2">
        <f>((IF((179='V06 Calend 01'!C45),('V06 Calend 01'!F45+'V06 Calend 01'!G45),0)+IF(AND(('V06 Calend 01'!E45&gt;0),(179&gt;'V06 Calend 01'!C45),(179&lt;'V06 Calend 01'!D45),(MOD((179-'V06 Calend 01'!C45),6)=0),(((179-'V06 Calend 01'!C45)/6)&lt;='V06 Calend 01'!E45)),IF((179=('V06 Calend 01'!C45+(6*'V06 Calend 01'!E45))),('V06 Calend 01'!H45-('V06 Calend 01'!I45*('V06 Calend 01'!E45-1))),'V06 Calend 01'!I45),0))+IF((179='V06 Calend 01'!D45),'V06 Calend 01'!J45,0))</f>
        <v>0</v>
      </c>
      <c r="GJ45" s="2">
        <f>((IF((180='V06 Calend 01'!C45),('V06 Calend 01'!F45+'V06 Calend 01'!G45),0)+IF(AND(('V06 Calend 01'!E45&gt;0),(180&gt;'V06 Calend 01'!C45),(180&lt;'V06 Calend 01'!D45),(MOD((180-'V06 Calend 01'!C45),6)=0),(((180-'V06 Calend 01'!C45)/6)&lt;='V06 Calend 01'!E45)),IF((180=('V06 Calend 01'!C45+(6*'V06 Calend 01'!E45))),('V06 Calend 01'!H45-('V06 Calend 01'!I45*('V06 Calend 01'!E45-1))),'V06 Calend 01'!I45),0))+IF((180='V06 Calend 01'!D45),'V06 Calend 01'!J45,0))</f>
        <v>0</v>
      </c>
    </row>
    <row r="46" spans="1:192">
      <c r="A46" s="3" t="str">
        <f>'V06 Unidades'!$A$46</f>
        <v>602</v>
      </c>
      <c r="B46" s="2">
        <f>'V06 Unidades'!$H$46</f>
        <v>488797.55</v>
      </c>
      <c r="C46" s="4">
        <f>('V06 Unidades'!$I$46+'V06 Controlos'!$B$37)</f>
        <v>1</v>
      </c>
      <c r="D46" s="4">
        <f>IF(('V06 Controlos'!$B$38&gt;0),MAX(('V06 Unidades'!$L$46+'V06 Controlos'!$B$37),(30+'V06 Controlos'!$B$38)),('V06 Unidades'!$L$46+'V06 Controlos'!$B$37))</f>
        <v>30</v>
      </c>
      <c r="E46" s="4">
        <f>MAX(0,INT(((('V06 Calend 01'!D46-'V06 Calend 01'!C46)-1)/6)))</f>
        <v>4</v>
      </c>
      <c r="F46" s="2">
        <f>ROUND(('V06 Calend 01'!B46*0.05),2)</f>
        <v>24439.88</v>
      </c>
      <c r="G46" s="2">
        <f>ROUND(('V06 Calend 01'!B46*0.2),2)</f>
        <v>97759.51</v>
      </c>
      <c r="H46" s="2">
        <f>ROUND(('V06 Calend 01'!B46*0.55),2)</f>
        <v>268838.65</v>
      </c>
      <c r="I46" s="2">
        <f>ROUND(('V06 Calend 01'!H46/MAX(1,'V06 Calend 01'!E46)),2)</f>
        <v>67209.66</v>
      </c>
      <c r="J46" s="2">
        <f>((('V06 Calend 01'!B46-'V06 Calend 01'!F46)-'V06 Calend 01'!G46)-'V06 Calend 01'!H46)</f>
        <v>97759.50999999995</v>
      </c>
      <c r="K46" s="2">
        <f>('V06 Calend 01'!B46*0.025)</f>
        <v>12219.938750000001</v>
      </c>
      <c r="L46" t="s">
        <v>378</v>
      </c>
      <c r="M46" s="2">
        <f>((IF((1='V06 Calend 01'!C46),('V06 Calend 01'!F46+'V06 Calend 01'!G46),0)+IF(AND(('V06 Calend 01'!E46&gt;0),(1&gt;'V06 Calend 01'!C46),(1&lt;'V06 Calend 01'!D46),(MOD((1-'V06 Calend 01'!C46),6)=0),(((1-'V06 Calend 01'!C46)/6)&lt;='V06 Calend 01'!E46)),IF((1=('V06 Calend 01'!C46+(6*'V06 Calend 01'!E46))),('V06 Calend 01'!H46-('V06 Calend 01'!I46*('V06 Calend 01'!E46-1))),'V06 Calend 01'!I46),0))+IF((1='V06 Calend 01'!D46),'V06 Calend 01'!J46,0))</f>
        <v>122199.39</v>
      </c>
      <c r="N46" s="2">
        <f>((IF((2='V06 Calend 01'!C46),('V06 Calend 01'!F46+'V06 Calend 01'!G46),0)+IF(AND(('V06 Calend 01'!E46&gt;0),(2&gt;'V06 Calend 01'!C46),(2&lt;'V06 Calend 01'!D46),(MOD((2-'V06 Calend 01'!C46),6)=0),(((2-'V06 Calend 01'!C46)/6)&lt;='V06 Calend 01'!E46)),IF((2=('V06 Calend 01'!C46+(6*'V06 Calend 01'!E46))),('V06 Calend 01'!H46-('V06 Calend 01'!I46*('V06 Calend 01'!E46-1))),'V06 Calend 01'!I46),0))+IF((2='V06 Calend 01'!D46),'V06 Calend 01'!J46,0))</f>
        <v>0</v>
      </c>
      <c r="O46" s="2">
        <f>((IF((3='V06 Calend 01'!C46),('V06 Calend 01'!F46+'V06 Calend 01'!G46),0)+IF(AND(('V06 Calend 01'!E46&gt;0),(3&gt;'V06 Calend 01'!C46),(3&lt;'V06 Calend 01'!D46),(MOD((3-'V06 Calend 01'!C46),6)=0),(((3-'V06 Calend 01'!C46)/6)&lt;='V06 Calend 01'!E46)),IF((3=('V06 Calend 01'!C46+(6*'V06 Calend 01'!E46))),('V06 Calend 01'!H46-('V06 Calend 01'!I46*('V06 Calend 01'!E46-1))),'V06 Calend 01'!I46),0))+IF((3='V06 Calend 01'!D46),'V06 Calend 01'!J46,0))</f>
        <v>0</v>
      </c>
      <c r="P46" s="2">
        <f>((IF((4='V06 Calend 01'!C46),('V06 Calend 01'!F46+'V06 Calend 01'!G46),0)+IF(AND(('V06 Calend 01'!E46&gt;0),(4&gt;'V06 Calend 01'!C46),(4&lt;'V06 Calend 01'!D46),(MOD((4-'V06 Calend 01'!C46),6)=0),(((4-'V06 Calend 01'!C46)/6)&lt;='V06 Calend 01'!E46)),IF((4=('V06 Calend 01'!C46+(6*'V06 Calend 01'!E46))),('V06 Calend 01'!H46-('V06 Calend 01'!I46*('V06 Calend 01'!E46-1))),'V06 Calend 01'!I46),0))+IF((4='V06 Calend 01'!D46),'V06 Calend 01'!J46,0))</f>
        <v>0</v>
      </c>
      <c r="Q46" s="2">
        <f>((IF((5='V06 Calend 01'!C46),('V06 Calend 01'!F46+'V06 Calend 01'!G46),0)+IF(AND(('V06 Calend 01'!E46&gt;0),(5&gt;'V06 Calend 01'!C46),(5&lt;'V06 Calend 01'!D46),(MOD((5-'V06 Calend 01'!C46),6)=0),(((5-'V06 Calend 01'!C46)/6)&lt;='V06 Calend 01'!E46)),IF((5=('V06 Calend 01'!C46+(6*'V06 Calend 01'!E46))),('V06 Calend 01'!H46-('V06 Calend 01'!I46*('V06 Calend 01'!E46-1))),'V06 Calend 01'!I46),0))+IF((5='V06 Calend 01'!D46),'V06 Calend 01'!J46,0))</f>
        <v>0</v>
      </c>
      <c r="R46" s="2">
        <f>((IF((6='V06 Calend 01'!C46),('V06 Calend 01'!F46+'V06 Calend 01'!G46),0)+IF(AND(('V06 Calend 01'!E46&gt;0),(6&gt;'V06 Calend 01'!C46),(6&lt;'V06 Calend 01'!D46),(MOD((6-'V06 Calend 01'!C46),6)=0),(((6-'V06 Calend 01'!C46)/6)&lt;='V06 Calend 01'!E46)),IF((6=('V06 Calend 01'!C46+(6*'V06 Calend 01'!E46))),('V06 Calend 01'!H46-('V06 Calend 01'!I46*('V06 Calend 01'!E46-1))),'V06 Calend 01'!I46),0))+IF((6='V06 Calend 01'!D46),'V06 Calend 01'!J46,0))</f>
        <v>0</v>
      </c>
      <c r="S46" s="2">
        <f>((IF((7='V06 Calend 01'!C46),('V06 Calend 01'!F46+'V06 Calend 01'!G46),0)+IF(AND(('V06 Calend 01'!E46&gt;0),(7&gt;'V06 Calend 01'!C46),(7&lt;'V06 Calend 01'!D46),(MOD((7-'V06 Calend 01'!C46),6)=0),(((7-'V06 Calend 01'!C46)/6)&lt;='V06 Calend 01'!E46)),IF((7=('V06 Calend 01'!C46+(6*'V06 Calend 01'!E46))),('V06 Calend 01'!H46-('V06 Calend 01'!I46*('V06 Calend 01'!E46-1))),'V06 Calend 01'!I46),0))+IF((7='V06 Calend 01'!D46),'V06 Calend 01'!J46,0))</f>
        <v>67209.66</v>
      </c>
      <c r="T46" s="2">
        <f>((IF((8='V06 Calend 01'!C46),('V06 Calend 01'!F46+'V06 Calend 01'!G46),0)+IF(AND(('V06 Calend 01'!E46&gt;0),(8&gt;'V06 Calend 01'!C46),(8&lt;'V06 Calend 01'!D46),(MOD((8-'V06 Calend 01'!C46),6)=0),(((8-'V06 Calend 01'!C46)/6)&lt;='V06 Calend 01'!E46)),IF((8=('V06 Calend 01'!C46+(6*'V06 Calend 01'!E46))),('V06 Calend 01'!H46-('V06 Calend 01'!I46*('V06 Calend 01'!E46-1))),'V06 Calend 01'!I46),0))+IF((8='V06 Calend 01'!D46),'V06 Calend 01'!J46,0))</f>
        <v>0</v>
      </c>
      <c r="U46" s="2">
        <f>((IF((9='V06 Calend 01'!C46),('V06 Calend 01'!F46+'V06 Calend 01'!G46),0)+IF(AND(('V06 Calend 01'!E46&gt;0),(9&gt;'V06 Calend 01'!C46),(9&lt;'V06 Calend 01'!D46),(MOD((9-'V06 Calend 01'!C46),6)=0),(((9-'V06 Calend 01'!C46)/6)&lt;='V06 Calend 01'!E46)),IF((9=('V06 Calend 01'!C46+(6*'V06 Calend 01'!E46))),('V06 Calend 01'!H46-('V06 Calend 01'!I46*('V06 Calend 01'!E46-1))),'V06 Calend 01'!I46),0))+IF((9='V06 Calend 01'!D46),'V06 Calend 01'!J46,0))</f>
        <v>0</v>
      </c>
      <c r="V46" s="2">
        <f>((IF((10='V06 Calend 01'!C46),('V06 Calend 01'!F46+'V06 Calend 01'!G46),0)+IF(AND(('V06 Calend 01'!E46&gt;0),(10&gt;'V06 Calend 01'!C46),(10&lt;'V06 Calend 01'!D46),(MOD((10-'V06 Calend 01'!C46),6)=0),(((10-'V06 Calend 01'!C46)/6)&lt;='V06 Calend 01'!E46)),IF((10=('V06 Calend 01'!C46+(6*'V06 Calend 01'!E46))),('V06 Calend 01'!H46-('V06 Calend 01'!I46*('V06 Calend 01'!E46-1))),'V06 Calend 01'!I46),0))+IF((10='V06 Calend 01'!D46),'V06 Calend 01'!J46,0))</f>
        <v>0</v>
      </c>
      <c r="W46" s="2">
        <f>((IF((11='V06 Calend 01'!C46),('V06 Calend 01'!F46+'V06 Calend 01'!G46),0)+IF(AND(('V06 Calend 01'!E46&gt;0),(11&gt;'V06 Calend 01'!C46),(11&lt;'V06 Calend 01'!D46),(MOD((11-'V06 Calend 01'!C46),6)=0),(((11-'V06 Calend 01'!C46)/6)&lt;='V06 Calend 01'!E46)),IF((11=('V06 Calend 01'!C46+(6*'V06 Calend 01'!E46))),('V06 Calend 01'!H46-('V06 Calend 01'!I46*('V06 Calend 01'!E46-1))),'V06 Calend 01'!I46),0))+IF((11='V06 Calend 01'!D46),'V06 Calend 01'!J46,0))</f>
        <v>0</v>
      </c>
      <c r="X46" s="2">
        <f>((IF((12='V06 Calend 01'!C46),('V06 Calend 01'!F46+'V06 Calend 01'!G46),0)+IF(AND(('V06 Calend 01'!E46&gt;0),(12&gt;'V06 Calend 01'!C46),(12&lt;'V06 Calend 01'!D46),(MOD((12-'V06 Calend 01'!C46),6)=0),(((12-'V06 Calend 01'!C46)/6)&lt;='V06 Calend 01'!E46)),IF((12=('V06 Calend 01'!C46+(6*'V06 Calend 01'!E46))),('V06 Calend 01'!H46-('V06 Calend 01'!I46*('V06 Calend 01'!E46-1))),'V06 Calend 01'!I46),0))+IF((12='V06 Calend 01'!D46),'V06 Calend 01'!J46,0))</f>
        <v>0</v>
      </c>
      <c r="Y46" s="2">
        <f>((IF((13='V06 Calend 01'!C46),('V06 Calend 01'!F46+'V06 Calend 01'!G46),0)+IF(AND(('V06 Calend 01'!E46&gt;0),(13&gt;'V06 Calend 01'!C46),(13&lt;'V06 Calend 01'!D46),(MOD((13-'V06 Calend 01'!C46),6)=0),(((13-'V06 Calend 01'!C46)/6)&lt;='V06 Calend 01'!E46)),IF((13=('V06 Calend 01'!C46+(6*'V06 Calend 01'!E46))),('V06 Calend 01'!H46-('V06 Calend 01'!I46*('V06 Calend 01'!E46-1))),'V06 Calend 01'!I46),0))+IF((13='V06 Calend 01'!D46),'V06 Calend 01'!J46,0))</f>
        <v>67209.66</v>
      </c>
      <c r="Z46" s="2">
        <f>((IF((14='V06 Calend 01'!C46),('V06 Calend 01'!F46+'V06 Calend 01'!G46),0)+IF(AND(('V06 Calend 01'!E46&gt;0),(14&gt;'V06 Calend 01'!C46),(14&lt;'V06 Calend 01'!D46),(MOD((14-'V06 Calend 01'!C46),6)=0),(((14-'V06 Calend 01'!C46)/6)&lt;='V06 Calend 01'!E46)),IF((14=('V06 Calend 01'!C46+(6*'V06 Calend 01'!E46))),('V06 Calend 01'!H46-('V06 Calend 01'!I46*('V06 Calend 01'!E46-1))),'V06 Calend 01'!I46),0))+IF((14='V06 Calend 01'!D46),'V06 Calend 01'!J46,0))</f>
        <v>0</v>
      </c>
      <c r="AA46" s="2">
        <f>((IF((15='V06 Calend 01'!C46),('V06 Calend 01'!F46+'V06 Calend 01'!G46),0)+IF(AND(('V06 Calend 01'!E46&gt;0),(15&gt;'V06 Calend 01'!C46),(15&lt;'V06 Calend 01'!D46),(MOD((15-'V06 Calend 01'!C46),6)=0),(((15-'V06 Calend 01'!C46)/6)&lt;='V06 Calend 01'!E46)),IF((15=('V06 Calend 01'!C46+(6*'V06 Calend 01'!E46))),('V06 Calend 01'!H46-('V06 Calend 01'!I46*('V06 Calend 01'!E46-1))),'V06 Calend 01'!I46),0))+IF((15='V06 Calend 01'!D46),'V06 Calend 01'!J46,0))</f>
        <v>0</v>
      </c>
      <c r="AB46" s="2">
        <f>((IF((16='V06 Calend 01'!C46),('V06 Calend 01'!F46+'V06 Calend 01'!G46),0)+IF(AND(('V06 Calend 01'!E46&gt;0),(16&gt;'V06 Calend 01'!C46),(16&lt;'V06 Calend 01'!D46),(MOD((16-'V06 Calend 01'!C46),6)=0),(((16-'V06 Calend 01'!C46)/6)&lt;='V06 Calend 01'!E46)),IF((16=('V06 Calend 01'!C46+(6*'V06 Calend 01'!E46))),('V06 Calend 01'!H46-('V06 Calend 01'!I46*('V06 Calend 01'!E46-1))),'V06 Calend 01'!I46),0))+IF((16='V06 Calend 01'!D46),'V06 Calend 01'!J46,0))</f>
        <v>0</v>
      </c>
      <c r="AC46" s="2">
        <f>((IF((17='V06 Calend 01'!C46),('V06 Calend 01'!F46+'V06 Calend 01'!G46),0)+IF(AND(('V06 Calend 01'!E46&gt;0),(17&gt;'V06 Calend 01'!C46),(17&lt;'V06 Calend 01'!D46),(MOD((17-'V06 Calend 01'!C46),6)=0),(((17-'V06 Calend 01'!C46)/6)&lt;='V06 Calend 01'!E46)),IF((17=('V06 Calend 01'!C46+(6*'V06 Calend 01'!E46))),('V06 Calend 01'!H46-('V06 Calend 01'!I46*('V06 Calend 01'!E46-1))),'V06 Calend 01'!I46),0))+IF((17='V06 Calend 01'!D46),'V06 Calend 01'!J46,0))</f>
        <v>0</v>
      </c>
      <c r="AD46" s="2">
        <f>((IF((18='V06 Calend 01'!C46),('V06 Calend 01'!F46+'V06 Calend 01'!G46),0)+IF(AND(('V06 Calend 01'!E46&gt;0),(18&gt;'V06 Calend 01'!C46),(18&lt;'V06 Calend 01'!D46),(MOD((18-'V06 Calend 01'!C46),6)=0),(((18-'V06 Calend 01'!C46)/6)&lt;='V06 Calend 01'!E46)),IF((18=('V06 Calend 01'!C46+(6*'V06 Calend 01'!E46))),('V06 Calend 01'!H46-('V06 Calend 01'!I46*('V06 Calend 01'!E46-1))),'V06 Calend 01'!I46),0))+IF((18='V06 Calend 01'!D46),'V06 Calend 01'!J46,0))</f>
        <v>0</v>
      </c>
      <c r="AE46" s="2">
        <f>((IF((19='V06 Calend 01'!C46),('V06 Calend 01'!F46+'V06 Calend 01'!G46),0)+IF(AND(('V06 Calend 01'!E46&gt;0),(19&gt;'V06 Calend 01'!C46),(19&lt;'V06 Calend 01'!D46),(MOD((19-'V06 Calend 01'!C46),6)=0),(((19-'V06 Calend 01'!C46)/6)&lt;='V06 Calend 01'!E46)),IF((19=('V06 Calend 01'!C46+(6*'V06 Calend 01'!E46))),('V06 Calend 01'!H46-('V06 Calend 01'!I46*('V06 Calend 01'!E46-1))),'V06 Calend 01'!I46),0))+IF((19='V06 Calend 01'!D46),'V06 Calend 01'!J46,0))</f>
        <v>67209.66</v>
      </c>
      <c r="AF46" s="2">
        <f>((IF((20='V06 Calend 01'!C46),('V06 Calend 01'!F46+'V06 Calend 01'!G46),0)+IF(AND(('V06 Calend 01'!E46&gt;0),(20&gt;'V06 Calend 01'!C46),(20&lt;'V06 Calend 01'!D46),(MOD((20-'V06 Calend 01'!C46),6)=0),(((20-'V06 Calend 01'!C46)/6)&lt;='V06 Calend 01'!E46)),IF((20=('V06 Calend 01'!C46+(6*'V06 Calend 01'!E46))),('V06 Calend 01'!H46-('V06 Calend 01'!I46*('V06 Calend 01'!E46-1))),'V06 Calend 01'!I46),0))+IF((20='V06 Calend 01'!D46),'V06 Calend 01'!J46,0))</f>
        <v>0</v>
      </c>
      <c r="AG46" s="2">
        <f>((IF((21='V06 Calend 01'!C46),('V06 Calend 01'!F46+'V06 Calend 01'!G46),0)+IF(AND(('V06 Calend 01'!E46&gt;0),(21&gt;'V06 Calend 01'!C46),(21&lt;'V06 Calend 01'!D46),(MOD((21-'V06 Calend 01'!C46),6)=0),(((21-'V06 Calend 01'!C46)/6)&lt;='V06 Calend 01'!E46)),IF((21=('V06 Calend 01'!C46+(6*'V06 Calend 01'!E46))),('V06 Calend 01'!H46-('V06 Calend 01'!I46*('V06 Calend 01'!E46-1))),'V06 Calend 01'!I46),0))+IF((21='V06 Calend 01'!D46),'V06 Calend 01'!J46,0))</f>
        <v>0</v>
      </c>
      <c r="AH46" s="2">
        <f>((IF((22='V06 Calend 01'!C46),('V06 Calend 01'!F46+'V06 Calend 01'!G46),0)+IF(AND(('V06 Calend 01'!E46&gt;0),(22&gt;'V06 Calend 01'!C46),(22&lt;'V06 Calend 01'!D46),(MOD((22-'V06 Calend 01'!C46),6)=0),(((22-'V06 Calend 01'!C46)/6)&lt;='V06 Calend 01'!E46)),IF((22=('V06 Calend 01'!C46+(6*'V06 Calend 01'!E46))),('V06 Calend 01'!H46-('V06 Calend 01'!I46*('V06 Calend 01'!E46-1))),'V06 Calend 01'!I46),0))+IF((22='V06 Calend 01'!D46),'V06 Calend 01'!J46,0))</f>
        <v>0</v>
      </c>
      <c r="AI46" s="2">
        <f>((IF((23='V06 Calend 01'!C46),('V06 Calend 01'!F46+'V06 Calend 01'!G46),0)+IF(AND(('V06 Calend 01'!E46&gt;0),(23&gt;'V06 Calend 01'!C46),(23&lt;'V06 Calend 01'!D46),(MOD((23-'V06 Calend 01'!C46),6)=0),(((23-'V06 Calend 01'!C46)/6)&lt;='V06 Calend 01'!E46)),IF((23=('V06 Calend 01'!C46+(6*'V06 Calend 01'!E46))),('V06 Calend 01'!H46-('V06 Calend 01'!I46*('V06 Calend 01'!E46-1))),'V06 Calend 01'!I46),0))+IF((23='V06 Calend 01'!D46),'V06 Calend 01'!J46,0))</f>
        <v>0</v>
      </c>
      <c r="AJ46" s="2">
        <f>((IF((24='V06 Calend 01'!C46),('V06 Calend 01'!F46+'V06 Calend 01'!G46),0)+IF(AND(('V06 Calend 01'!E46&gt;0),(24&gt;'V06 Calend 01'!C46),(24&lt;'V06 Calend 01'!D46),(MOD((24-'V06 Calend 01'!C46),6)=0),(((24-'V06 Calend 01'!C46)/6)&lt;='V06 Calend 01'!E46)),IF((24=('V06 Calend 01'!C46+(6*'V06 Calend 01'!E46))),('V06 Calend 01'!H46-('V06 Calend 01'!I46*('V06 Calend 01'!E46-1))),'V06 Calend 01'!I46),0))+IF((24='V06 Calend 01'!D46),'V06 Calend 01'!J46,0))</f>
        <v>0</v>
      </c>
      <c r="AK46" s="2">
        <f>((IF((25='V06 Calend 01'!C46),('V06 Calend 01'!F46+'V06 Calend 01'!G46),0)+IF(AND(('V06 Calend 01'!E46&gt;0),(25&gt;'V06 Calend 01'!C46),(25&lt;'V06 Calend 01'!D46),(MOD((25-'V06 Calend 01'!C46),6)=0),(((25-'V06 Calend 01'!C46)/6)&lt;='V06 Calend 01'!E46)),IF((25=('V06 Calend 01'!C46+(6*'V06 Calend 01'!E46))),('V06 Calend 01'!H46-('V06 Calend 01'!I46*('V06 Calend 01'!E46-1))),'V06 Calend 01'!I46),0))+IF((25='V06 Calend 01'!D46),'V06 Calend 01'!J46,0))</f>
        <v>67209.67000000001</v>
      </c>
      <c r="AL46" s="2">
        <f>((IF((26='V06 Calend 01'!C46),('V06 Calend 01'!F46+'V06 Calend 01'!G46),0)+IF(AND(('V06 Calend 01'!E46&gt;0),(26&gt;'V06 Calend 01'!C46),(26&lt;'V06 Calend 01'!D46),(MOD((26-'V06 Calend 01'!C46),6)=0),(((26-'V06 Calend 01'!C46)/6)&lt;='V06 Calend 01'!E46)),IF((26=('V06 Calend 01'!C46+(6*'V06 Calend 01'!E46))),('V06 Calend 01'!H46-('V06 Calend 01'!I46*('V06 Calend 01'!E46-1))),'V06 Calend 01'!I46),0))+IF((26='V06 Calend 01'!D46),'V06 Calend 01'!J46,0))</f>
        <v>0</v>
      </c>
      <c r="AM46" s="2">
        <f>((IF((27='V06 Calend 01'!C46),('V06 Calend 01'!F46+'V06 Calend 01'!G46),0)+IF(AND(('V06 Calend 01'!E46&gt;0),(27&gt;'V06 Calend 01'!C46),(27&lt;'V06 Calend 01'!D46),(MOD((27-'V06 Calend 01'!C46),6)=0),(((27-'V06 Calend 01'!C46)/6)&lt;='V06 Calend 01'!E46)),IF((27=('V06 Calend 01'!C46+(6*'V06 Calend 01'!E46))),('V06 Calend 01'!H46-('V06 Calend 01'!I46*('V06 Calend 01'!E46-1))),'V06 Calend 01'!I46),0))+IF((27='V06 Calend 01'!D46),'V06 Calend 01'!J46,0))</f>
        <v>0</v>
      </c>
      <c r="AN46" s="2">
        <f>((IF((28='V06 Calend 01'!C46),('V06 Calend 01'!F46+'V06 Calend 01'!G46),0)+IF(AND(('V06 Calend 01'!E46&gt;0),(28&gt;'V06 Calend 01'!C46),(28&lt;'V06 Calend 01'!D46),(MOD((28-'V06 Calend 01'!C46),6)=0),(((28-'V06 Calend 01'!C46)/6)&lt;='V06 Calend 01'!E46)),IF((28=('V06 Calend 01'!C46+(6*'V06 Calend 01'!E46))),('V06 Calend 01'!H46-('V06 Calend 01'!I46*('V06 Calend 01'!E46-1))),'V06 Calend 01'!I46),0))+IF((28='V06 Calend 01'!D46),'V06 Calend 01'!J46,0))</f>
        <v>0</v>
      </c>
      <c r="AO46" s="2">
        <f>((IF((29='V06 Calend 01'!C46),('V06 Calend 01'!F46+'V06 Calend 01'!G46),0)+IF(AND(('V06 Calend 01'!E46&gt;0),(29&gt;'V06 Calend 01'!C46),(29&lt;'V06 Calend 01'!D46),(MOD((29-'V06 Calend 01'!C46),6)=0),(((29-'V06 Calend 01'!C46)/6)&lt;='V06 Calend 01'!E46)),IF((29=('V06 Calend 01'!C46+(6*'V06 Calend 01'!E46))),('V06 Calend 01'!H46-('V06 Calend 01'!I46*('V06 Calend 01'!E46-1))),'V06 Calend 01'!I46),0))+IF((29='V06 Calend 01'!D46),'V06 Calend 01'!J46,0))</f>
        <v>0</v>
      </c>
      <c r="AP46" s="2">
        <f>((IF((30='V06 Calend 01'!C46),('V06 Calend 01'!F46+'V06 Calend 01'!G46),0)+IF(AND(('V06 Calend 01'!E46&gt;0),(30&gt;'V06 Calend 01'!C46),(30&lt;'V06 Calend 01'!D46),(MOD((30-'V06 Calend 01'!C46),6)=0),(((30-'V06 Calend 01'!C46)/6)&lt;='V06 Calend 01'!E46)),IF((30=('V06 Calend 01'!C46+(6*'V06 Calend 01'!E46))),('V06 Calend 01'!H46-('V06 Calend 01'!I46*('V06 Calend 01'!E46-1))),'V06 Calend 01'!I46),0))+IF((30='V06 Calend 01'!D46),'V06 Calend 01'!J46,0))</f>
        <v>97759.50999999995</v>
      </c>
      <c r="AQ46" s="2">
        <f>((IF((31='V06 Calend 01'!C46),('V06 Calend 01'!F46+'V06 Calend 01'!G46),0)+IF(AND(('V06 Calend 01'!E46&gt;0),(31&gt;'V06 Calend 01'!C46),(31&lt;'V06 Calend 01'!D46),(MOD((31-'V06 Calend 01'!C46),6)=0),(((31-'V06 Calend 01'!C46)/6)&lt;='V06 Calend 01'!E46)),IF((31=('V06 Calend 01'!C46+(6*'V06 Calend 01'!E46))),('V06 Calend 01'!H46-('V06 Calend 01'!I46*('V06 Calend 01'!E46-1))),'V06 Calend 01'!I46),0))+IF((31='V06 Calend 01'!D46),'V06 Calend 01'!J46,0))</f>
        <v>0</v>
      </c>
      <c r="AR46" s="2">
        <f>((IF((32='V06 Calend 01'!C46),('V06 Calend 01'!F46+'V06 Calend 01'!G46),0)+IF(AND(('V06 Calend 01'!E46&gt;0),(32&gt;'V06 Calend 01'!C46),(32&lt;'V06 Calend 01'!D46),(MOD((32-'V06 Calend 01'!C46),6)=0),(((32-'V06 Calend 01'!C46)/6)&lt;='V06 Calend 01'!E46)),IF((32=('V06 Calend 01'!C46+(6*'V06 Calend 01'!E46))),('V06 Calend 01'!H46-('V06 Calend 01'!I46*('V06 Calend 01'!E46-1))),'V06 Calend 01'!I46),0))+IF((32='V06 Calend 01'!D46),'V06 Calend 01'!J46,0))</f>
        <v>0</v>
      </c>
      <c r="AS46" s="2">
        <f>((IF((33='V06 Calend 01'!C46),('V06 Calend 01'!F46+'V06 Calend 01'!G46),0)+IF(AND(('V06 Calend 01'!E46&gt;0),(33&gt;'V06 Calend 01'!C46),(33&lt;'V06 Calend 01'!D46),(MOD((33-'V06 Calend 01'!C46),6)=0),(((33-'V06 Calend 01'!C46)/6)&lt;='V06 Calend 01'!E46)),IF((33=('V06 Calend 01'!C46+(6*'V06 Calend 01'!E46))),('V06 Calend 01'!H46-('V06 Calend 01'!I46*('V06 Calend 01'!E46-1))),'V06 Calend 01'!I46),0))+IF((33='V06 Calend 01'!D46),'V06 Calend 01'!J46,0))</f>
        <v>0</v>
      </c>
      <c r="AT46" s="2">
        <f>((IF((34='V06 Calend 01'!C46),('V06 Calend 01'!F46+'V06 Calend 01'!G46),0)+IF(AND(('V06 Calend 01'!E46&gt;0),(34&gt;'V06 Calend 01'!C46),(34&lt;'V06 Calend 01'!D46),(MOD((34-'V06 Calend 01'!C46),6)=0),(((34-'V06 Calend 01'!C46)/6)&lt;='V06 Calend 01'!E46)),IF((34=('V06 Calend 01'!C46+(6*'V06 Calend 01'!E46))),('V06 Calend 01'!H46-('V06 Calend 01'!I46*('V06 Calend 01'!E46-1))),'V06 Calend 01'!I46),0))+IF((34='V06 Calend 01'!D46),'V06 Calend 01'!J46,0))</f>
        <v>0</v>
      </c>
      <c r="AU46" s="2">
        <f>((IF((35='V06 Calend 01'!C46),('V06 Calend 01'!F46+'V06 Calend 01'!G46),0)+IF(AND(('V06 Calend 01'!E46&gt;0),(35&gt;'V06 Calend 01'!C46),(35&lt;'V06 Calend 01'!D46),(MOD((35-'V06 Calend 01'!C46),6)=0),(((35-'V06 Calend 01'!C46)/6)&lt;='V06 Calend 01'!E46)),IF((35=('V06 Calend 01'!C46+(6*'V06 Calend 01'!E46))),('V06 Calend 01'!H46-('V06 Calend 01'!I46*('V06 Calend 01'!E46-1))),'V06 Calend 01'!I46),0))+IF((35='V06 Calend 01'!D46),'V06 Calend 01'!J46,0))</f>
        <v>0</v>
      </c>
      <c r="AV46" s="2">
        <f>((IF((36='V06 Calend 01'!C46),('V06 Calend 01'!F46+'V06 Calend 01'!G46),0)+IF(AND(('V06 Calend 01'!E46&gt;0),(36&gt;'V06 Calend 01'!C46),(36&lt;'V06 Calend 01'!D46),(MOD((36-'V06 Calend 01'!C46),6)=0),(((36-'V06 Calend 01'!C46)/6)&lt;='V06 Calend 01'!E46)),IF((36=('V06 Calend 01'!C46+(6*'V06 Calend 01'!E46))),('V06 Calend 01'!H46-('V06 Calend 01'!I46*('V06 Calend 01'!E46-1))),'V06 Calend 01'!I46),0))+IF((36='V06 Calend 01'!D46),'V06 Calend 01'!J46,0))</f>
        <v>0</v>
      </c>
      <c r="AW46" s="2">
        <f>((IF((37='V06 Calend 01'!C46),('V06 Calend 01'!F46+'V06 Calend 01'!G46),0)+IF(AND(('V06 Calend 01'!E46&gt;0),(37&gt;'V06 Calend 01'!C46),(37&lt;'V06 Calend 01'!D46),(MOD((37-'V06 Calend 01'!C46),6)=0),(((37-'V06 Calend 01'!C46)/6)&lt;='V06 Calend 01'!E46)),IF((37=('V06 Calend 01'!C46+(6*'V06 Calend 01'!E46))),('V06 Calend 01'!H46-('V06 Calend 01'!I46*('V06 Calend 01'!E46-1))),'V06 Calend 01'!I46),0))+IF((37='V06 Calend 01'!D46),'V06 Calend 01'!J46,0))</f>
        <v>0</v>
      </c>
      <c r="AX46" s="2">
        <f>((IF((38='V06 Calend 01'!C46),('V06 Calend 01'!F46+'V06 Calend 01'!G46),0)+IF(AND(('V06 Calend 01'!E46&gt;0),(38&gt;'V06 Calend 01'!C46),(38&lt;'V06 Calend 01'!D46),(MOD((38-'V06 Calend 01'!C46),6)=0),(((38-'V06 Calend 01'!C46)/6)&lt;='V06 Calend 01'!E46)),IF((38=('V06 Calend 01'!C46+(6*'V06 Calend 01'!E46))),('V06 Calend 01'!H46-('V06 Calend 01'!I46*('V06 Calend 01'!E46-1))),'V06 Calend 01'!I46),0))+IF((38='V06 Calend 01'!D46),'V06 Calend 01'!J46,0))</f>
        <v>0</v>
      </c>
      <c r="AY46" s="2">
        <f>((IF((39='V06 Calend 01'!C46),('V06 Calend 01'!F46+'V06 Calend 01'!G46),0)+IF(AND(('V06 Calend 01'!E46&gt;0),(39&gt;'V06 Calend 01'!C46),(39&lt;'V06 Calend 01'!D46),(MOD((39-'V06 Calend 01'!C46),6)=0),(((39-'V06 Calend 01'!C46)/6)&lt;='V06 Calend 01'!E46)),IF((39=('V06 Calend 01'!C46+(6*'V06 Calend 01'!E46))),('V06 Calend 01'!H46-('V06 Calend 01'!I46*('V06 Calend 01'!E46-1))),'V06 Calend 01'!I46),0))+IF((39='V06 Calend 01'!D46),'V06 Calend 01'!J46,0))</f>
        <v>0</v>
      </c>
      <c r="AZ46" s="2">
        <f>((IF((40='V06 Calend 01'!C46),('V06 Calend 01'!F46+'V06 Calend 01'!G46),0)+IF(AND(('V06 Calend 01'!E46&gt;0),(40&gt;'V06 Calend 01'!C46),(40&lt;'V06 Calend 01'!D46),(MOD((40-'V06 Calend 01'!C46),6)=0),(((40-'V06 Calend 01'!C46)/6)&lt;='V06 Calend 01'!E46)),IF((40=('V06 Calend 01'!C46+(6*'V06 Calend 01'!E46))),('V06 Calend 01'!H46-('V06 Calend 01'!I46*('V06 Calend 01'!E46-1))),'V06 Calend 01'!I46),0))+IF((40='V06 Calend 01'!D46),'V06 Calend 01'!J46,0))</f>
        <v>0</v>
      </c>
      <c r="BA46" s="2">
        <f>((IF((41='V06 Calend 01'!C46),('V06 Calend 01'!F46+'V06 Calend 01'!G46),0)+IF(AND(('V06 Calend 01'!E46&gt;0),(41&gt;'V06 Calend 01'!C46),(41&lt;'V06 Calend 01'!D46),(MOD((41-'V06 Calend 01'!C46),6)=0),(((41-'V06 Calend 01'!C46)/6)&lt;='V06 Calend 01'!E46)),IF((41=('V06 Calend 01'!C46+(6*'V06 Calend 01'!E46))),('V06 Calend 01'!H46-('V06 Calend 01'!I46*('V06 Calend 01'!E46-1))),'V06 Calend 01'!I46),0))+IF((41='V06 Calend 01'!D46),'V06 Calend 01'!J46,0))</f>
        <v>0</v>
      </c>
      <c r="BB46" s="2">
        <f>((IF((42='V06 Calend 01'!C46),('V06 Calend 01'!F46+'V06 Calend 01'!G46),0)+IF(AND(('V06 Calend 01'!E46&gt;0),(42&gt;'V06 Calend 01'!C46),(42&lt;'V06 Calend 01'!D46),(MOD((42-'V06 Calend 01'!C46),6)=0),(((42-'V06 Calend 01'!C46)/6)&lt;='V06 Calend 01'!E46)),IF((42=('V06 Calend 01'!C46+(6*'V06 Calend 01'!E46))),('V06 Calend 01'!H46-('V06 Calend 01'!I46*('V06 Calend 01'!E46-1))),'V06 Calend 01'!I46),0))+IF((42='V06 Calend 01'!D46),'V06 Calend 01'!J46,0))</f>
        <v>0</v>
      </c>
      <c r="BC46" s="2">
        <f>((IF((43='V06 Calend 01'!C46),('V06 Calend 01'!F46+'V06 Calend 01'!G46),0)+IF(AND(('V06 Calend 01'!E46&gt;0),(43&gt;'V06 Calend 01'!C46),(43&lt;'V06 Calend 01'!D46),(MOD((43-'V06 Calend 01'!C46),6)=0),(((43-'V06 Calend 01'!C46)/6)&lt;='V06 Calend 01'!E46)),IF((43=('V06 Calend 01'!C46+(6*'V06 Calend 01'!E46))),('V06 Calend 01'!H46-('V06 Calend 01'!I46*('V06 Calend 01'!E46-1))),'V06 Calend 01'!I46),0))+IF((43='V06 Calend 01'!D46),'V06 Calend 01'!J46,0))</f>
        <v>0</v>
      </c>
      <c r="BD46" s="2">
        <f>((IF((44='V06 Calend 01'!C46),('V06 Calend 01'!F46+'V06 Calend 01'!G46),0)+IF(AND(('V06 Calend 01'!E46&gt;0),(44&gt;'V06 Calend 01'!C46),(44&lt;'V06 Calend 01'!D46),(MOD((44-'V06 Calend 01'!C46),6)=0),(((44-'V06 Calend 01'!C46)/6)&lt;='V06 Calend 01'!E46)),IF((44=('V06 Calend 01'!C46+(6*'V06 Calend 01'!E46))),('V06 Calend 01'!H46-('V06 Calend 01'!I46*('V06 Calend 01'!E46-1))),'V06 Calend 01'!I46),0))+IF((44='V06 Calend 01'!D46),'V06 Calend 01'!J46,0))</f>
        <v>0</v>
      </c>
      <c r="BE46" s="2">
        <f>((IF((45='V06 Calend 01'!C46),('V06 Calend 01'!F46+'V06 Calend 01'!G46),0)+IF(AND(('V06 Calend 01'!E46&gt;0),(45&gt;'V06 Calend 01'!C46),(45&lt;'V06 Calend 01'!D46),(MOD((45-'V06 Calend 01'!C46),6)=0),(((45-'V06 Calend 01'!C46)/6)&lt;='V06 Calend 01'!E46)),IF((45=('V06 Calend 01'!C46+(6*'V06 Calend 01'!E46))),('V06 Calend 01'!H46-('V06 Calend 01'!I46*('V06 Calend 01'!E46-1))),'V06 Calend 01'!I46),0))+IF((45='V06 Calend 01'!D46),'V06 Calend 01'!J46,0))</f>
        <v>0</v>
      </c>
      <c r="BF46" s="2">
        <f>((IF((46='V06 Calend 01'!C46),('V06 Calend 01'!F46+'V06 Calend 01'!G46),0)+IF(AND(('V06 Calend 01'!E46&gt;0),(46&gt;'V06 Calend 01'!C46),(46&lt;'V06 Calend 01'!D46),(MOD((46-'V06 Calend 01'!C46),6)=0),(((46-'V06 Calend 01'!C46)/6)&lt;='V06 Calend 01'!E46)),IF((46=('V06 Calend 01'!C46+(6*'V06 Calend 01'!E46))),('V06 Calend 01'!H46-('V06 Calend 01'!I46*('V06 Calend 01'!E46-1))),'V06 Calend 01'!I46),0))+IF((46='V06 Calend 01'!D46),'V06 Calend 01'!J46,0))</f>
        <v>0</v>
      </c>
      <c r="BG46" s="2">
        <f>((IF((47='V06 Calend 01'!C46),('V06 Calend 01'!F46+'V06 Calend 01'!G46),0)+IF(AND(('V06 Calend 01'!E46&gt;0),(47&gt;'V06 Calend 01'!C46),(47&lt;'V06 Calend 01'!D46),(MOD((47-'V06 Calend 01'!C46),6)=0),(((47-'V06 Calend 01'!C46)/6)&lt;='V06 Calend 01'!E46)),IF((47=('V06 Calend 01'!C46+(6*'V06 Calend 01'!E46))),('V06 Calend 01'!H46-('V06 Calend 01'!I46*('V06 Calend 01'!E46-1))),'V06 Calend 01'!I46),0))+IF((47='V06 Calend 01'!D46),'V06 Calend 01'!J46,0))</f>
        <v>0</v>
      </c>
      <c r="BH46" s="2">
        <f>((IF((48='V06 Calend 01'!C46),('V06 Calend 01'!F46+'V06 Calend 01'!G46),0)+IF(AND(('V06 Calend 01'!E46&gt;0),(48&gt;'V06 Calend 01'!C46),(48&lt;'V06 Calend 01'!D46),(MOD((48-'V06 Calend 01'!C46),6)=0),(((48-'V06 Calend 01'!C46)/6)&lt;='V06 Calend 01'!E46)),IF((48=('V06 Calend 01'!C46+(6*'V06 Calend 01'!E46))),('V06 Calend 01'!H46-('V06 Calend 01'!I46*('V06 Calend 01'!E46-1))),'V06 Calend 01'!I46),0))+IF((48='V06 Calend 01'!D46),'V06 Calend 01'!J46,0))</f>
        <v>0</v>
      </c>
      <c r="BI46" s="2">
        <f>((IF((49='V06 Calend 01'!C46),('V06 Calend 01'!F46+'V06 Calend 01'!G46),0)+IF(AND(('V06 Calend 01'!E46&gt;0),(49&gt;'V06 Calend 01'!C46),(49&lt;'V06 Calend 01'!D46),(MOD((49-'V06 Calend 01'!C46),6)=0),(((49-'V06 Calend 01'!C46)/6)&lt;='V06 Calend 01'!E46)),IF((49=('V06 Calend 01'!C46+(6*'V06 Calend 01'!E46))),('V06 Calend 01'!H46-('V06 Calend 01'!I46*('V06 Calend 01'!E46-1))),'V06 Calend 01'!I46),0))+IF((49='V06 Calend 01'!D46),'V06 Calend 01'!J46,0))</f>
        <v>0</v>
      </c>
      <c r="BJ46" s="2">
        <f>((IF((50='V06 Calend 01'!C46),('V06 Calend 01'!F46+'V06 Calend 01'!G46),0)+IF(AND(('V06 Calend 01'!E46&gt;0),(50&gt;'V06 Calend 01'!C46),(50&lt;'V06 Calend 01'!D46),(MOD((50-'V06 Calend 01'!C46),6)=0),(((50-'V06 Calend 01'!C46)/6)&lt;='V06 Calend 01'!E46)),IF((50=('V06 Calend 01'!C46+(6*'V06 Calend 01'!E46))),('V06 Calend 01'!H46-('V06 Calend 01'!I46*('V06 Calend 01'!E46-1))),'V06 Calend 01'!I46),0))+IF((50='V06 Calend 01'!D46),'V06 Calend 01'!J46,0))</f>
        <v>0</v>
      </c>
      <c r="BK46" s="2">
        <f>((IF((51='V06 Calend 01'!C46),('V06 Calend 01'!F46+'V06 Calend 01'!G46),0)+IF(AND(('V06 Calend 01'!E46&gt;0),(51&gt;'V06 Calend 01'!C46),(51&lt;'V06 Calend 01'!D46),(MOD((51-'V06 Calend 01'!C46),6)=0),(((51-'V06 Calend 01'!C46)/6)&lt;='V06 Calend 01'!E46)),IF((51=('V06 Calend 01'!C46+(6*'V06 Calend 01'!E46))),('V06 Calend 01'!H46-('V06 Calend 01'!I46*('V06 Calend 01'!E46-1))),'V06 Calend 01'!I46),0))+IF((51='V06 Calend 01'!D46),'V06 Calend 01'!J46,0))</f>
        <v>0</v>
      </c>
      <c r="BL46" s="2">
        <f>((IF((52='V06 Calend 01'!C46),('V06 Calend 01'!F46+'V06 Calend 01'!G46),0)+IF(AND(('V06 Calend 01'!E46&gt;0),(52&gt;'V06 Calend 01'!C46),(52&lt;'V06 Calend 01'!D46),(MOD((52-'V06 Calend 01'!C46),6)=0),(((52-'V06 Calend 01'!C46)/6)&lt;='V06 Calend 01'!E46)),IF((52=('V06 Calend 01'!C46+(6*'V06 Calend 01'!E46))),('V06 Calend 01'!H46-('V06 Calend 01'!I46*('V06 Calend 01'!E46-1))),'V06 Calend 01'!I46),0))+IF((52='V06 Calend 01'!D46),'V06 Calend 01'!J46,0))</f>
        <v>0</v>
      </c>
      <c r="BM46" s="2">
        <f>((IF((53='V06 Calend 01'!C46),('V06 Calend 01'!F46+'V06 Calend 01'!G46),0)+IF(AND(('V06 Calend 01'!E46&gt;0),(53&gt;'V06 Calend 01'!C46),(53&lt;'V06 Calend 01'!D46),(MOD((53-'V06 Calend 01'!C46),6)=0),(((53-'V06 Calend 01'!C46)/6)&lt;='V06 Calend 01'!E46)),IF((53=('V06 Calend 01'!C46+(6*'V06 Calend 01'!E46))),('V06 Calend 01'!H46-('V06 Calend 01'!I46*('V06 Calend 01'!E46-1))),'V06 Calend 01'!I46),0))+IF((53='V06 Calend 01'!D46),'V06 Calend 01'!J46,0))</f>
        <v>0</v>
      </c>
      <c r="BN46" s="2">
        <f>((IF((54='V06 Calend 01'!C46),('V06 Calend 01'!F46+'V06 Calend 01'!G46),0)+IF(AND(('V06 Calend 01'!E46&gt;0),(54&gt;'V06 Calend 01'!C46),(54&lt;'V06 Calend 01'!D46),(MOD((54-'V06 Calend 01'!C46),6)=0),(((54-'V06 Calend 01'!C46)/6)&lt;='V06 Calend 01'!E46)),IF((54=('V06 Calend 01'!C46+(6*'V06 Calend 01'!E46))),('V06 Calend 01'!H46-('V06 Calend 01'!I46*('V06 Calend 01'!E46-1))),'V06 Calend 01'!I46),0))+IF((54='V06 Calend 01'!D46),'V06 Calend 01'!J46,0))</f>
        <v>0</v>
      </c>
      <c r="BO46" s="2">
        <f>((IF((55='V06 Calend 01'!C46),('V06 Calend 01'!F46+'V06 Calend 01'!G46),0)+IF(AND(('V06 Calend 01'!E46&gt;0),(55&gt;'V06 Calend 01'!C46),(55&lt;'V06 Calend 01'!D46),(MOD((55-'V06 Calend 01'!C46),6)=0),(((55-'V06 Calend 01'!C46)/6)&lt;='V06 Calend 01'!E46)),IF((55=('V06 Calend 01'!C46+(6*'V06 Calend 01'!E46))),('V06 Calend 01'!H46-('V06 Calend 01'!I46*('V06 Calend 01'!E46-1))),'V06 Calend 01'!I46),0))+IF((55='V06 Calend 01'!D46),'V06 Calend 01'!J46,0))</f>
        <v>0</v>
      </c>
      <c r="BP46" s="2">
        <f>((IF((56='V06 Calend 01'!C46),('V06 Calend 01'!F46+'V06 Calend 01'!G46),0)+IF(AND(('V06 Calend 01'!E46&gt;0),(56&gt;'V06 Calend 01'!C46),(56&lt;'V06 Calend 01'!D46),(MOD((56-'V06 Calend 01'!C46),6)=0),(((56-'V06 Calend 01'!C46)/6)&lt;='V06 Calend 01'!E46)),IF((56=('V06 Calend 01'!C46+(6*'V06 Calend 01'!E46))),('V06 Calend 01'!H46-('V06 Calend 01'!I46*('V06 Calend 01'!E46-1))),'V06 Calend 01'!I46),0))+IF((56='V06 Calend 01'!D46),'V06 Calend 01'!J46,0))</f>
        <v>0</v>
      </c>
      <c r="BQ46" s="2">
        <f>((IF((57='V06 Calend 01'!C46),('V06 Calend 01'!F46+'V06 Calend 01'!G46),0)+IF(AND(('V06 Calend 01'!E46&gt;0),(57&gt;'V06 Calend 01'!C46),(57&lt;'V06 Calend 01'!D46),(MOD((57-'V06 Calend 01'!C46),6)=0),(((57-'V06 Calend 01'!C46)/6)&lt;='V06 Calend 01'!E46)),IF((57=('V06 Calend 01'!C46+(6*'V06 Calend 01'!E46))),('V06 Calend 01'!H46-('V06 Calend 01'!I46*('V06 Calend 01'!E46-1))),'V06 Calend 01'!I46),0))+IF((57='V06 Calend 01'!D46),'V06 Calend 01'!J46,0))</f>
        <v>0</v>
      </c>
      <c r="BR46" s="2">
        <f>((IF((58='V06 Calend 01'!C46),('V06 Calend 01'!F46+'V06 Calend 01'!G46),0)+IF(AND(('V06 Calend 01'!E46&gt;0),(58&gt;'V06 Calend 01'!C46),(58&lt;'V06 Calend 01'!D46),(MOD((58-'V06 Calend 01'!C46),6)=0),(((58-'V06 Calend 01'!C46)/6)&lt;='V06 Calend 01'!E46)),IF((58=('V06 Calend 01'!C46+(6*'V06 Calend 01'!E46))),('V06 Calend 01'!H46-('V06 Calend 01'!I46*('V06 Calend 01'!E46-1))),'V06 Calend 01'!I46),0))+IF((58='V06 Calend 01'!D46),'V06 Calend 01'!J46,0))</f>
        <v>0</v>
      </c>
      <c r="BS46" s="2">
        <f>((IF((59='V06 Calend 01'!C46),('V06 Calend 01'!F46+'V06 Calend 01'!G46),0)+IF(AND(('V06 Calend 01'!E46&gt;0),(59&gt;'V06 Calend 01'!C46),(59&lt;'V06 Calend 01'!D46),(MOD((59-'V06 Calend 01'!C46),6)=0),(((59-'V06 Calend 01'!C46)/6)&lt;='V06 Calend 01'!E46)),IF((59=('V06 Calend 01'!C46+(6*'V06 Calend 01'!E46))),('V06 Calend 01'!H46-('V06 Calend 01'!I46*('V06 Calend 01'!E46-1))),'V06 Calend 01'!I46),0))+IF((59='V06 Calend 01'!D46),'V06 Calend 01'!J46,0))</f>
        <v>0</v>
      </c>
      <c r="BT46" s="2">
        <f>((IF((60='V06 Calend 01'!C46),('V06 Calend 01'!F46+'V06 Calend 01'!G46),0)+IF(AND(('V06 Calend 01'!E46&gt;0),(60&gt;'V06 Calend 01'!C46),(60&lt;'V06 Calend 01'!D46),(MOD((60-'V06 Calend 01'!C46),6)=0),(((60-'V06 Calend 01'!C46)/6)&lt;='V06 Calend 01'!E46)),IF((60=('V06 Calend 01'!C46+(6*'V06 Calend 01'!E46))),('V06 Calend 01'!H46-('V06 Calend 01'!I46*('V06 Calend 01'!E46-1))),'V06 Calend 01'!I46),0))+IF((60='V06 Calend 01'!D46),'V06 Calend 01'!J46,0))</f>
        <v>0</v>
      </c>
      <c r="BU46" s="2">
        <f>((IF((61='V06 Calend 01'!C46),('V06 Calend 01'!F46+'V06 Calend 01'!G46),0)+IF(AND(('V06 Calend 01'!E46&gt;0),(61&gt;'V06 Calend 01'!C46),(61&lt;'V06 Calend 01'!D46),(MOD((61-'V06 Calend 01'!C46),6)=0),(((61-'V06 Calend 01'!C46)/6)&lt;='V06 Calend 01'!E46)),IF((61=('V06 Calend 01'!C46+(6*'V06 Calend 01'!E46))),('V06 Calend 01'!H46-('V06 Calend 01'!I46*('V06 Calend 01'!E46-1))),'V06 Calend 01'!I46),0))+IF((61='V06 Calend 01'!D46),'V06 Calend 01'!J46,0))</f>
        <v>0</v>
      </c>
      <c r="BV46" s="2">
        <f>((IF((62='V06 Calend 01'!C46),('V06 Calend 01'!F46+'V06 Calend 01'!G46),0)+IF(AND(('V06 Calend 01'!E46&gt;0),(62&gt;'V06 Calend 01'!C46),(62&lt;'V06 Calend 01'!D46),(MOD((62-'V06 Calend 01'!C46),6)=0),(((62-'V06 Calend 01'!C46)/6)&lt;='V06 Calend 01'!E46)),IF((62=('V06 Calend 01'!C46+(6*'V06 Calend 01'!E46))),('V06 Calend 01'!H46-('V06 Calend 01'!I46*('V06 Calend 01'!E46-1))),'V06 Calend 01'!I46),0))+IF((62='V06 Calend 01'!D46),'V06 Calend 01'!J46,0))</f>
        <v>0</v>
      </c>
      <c r="BW46" s="2">
        <f>((IF((63='V06 Calend 01'!C46),('V06 Calend 01'!F46+'V06 Calend 01'!G46),0)+IF(AND(('V06 Calend 01'!E46&gt;0),(63&gt;'V06 Calend 01'!C46),(63&lt;'V06 Calend 01'!D46),(MOD((63-'V06 Calend 01'!C46),6)=0),(((63-'V06 Calend 01'!C46)/6)&lt;='V06 Calend 01'!E46)),IF((63=('V06 Calend 01'!C46+(6*'V06 Calend 01'!E46))),('V06 Calend 01'!H46-('V06 Calend 01'!I46*('V06 Calend 01'!E46-1))),'V06 Calend 01'!I46),0))+IF((63='V06 Calend 01'!D46),'V06 Calend 01'!J46,0))</f>
        <v>0</v>
      </c>
      <c r="BX46" s="2">
        <f>((IF((64='V06 Calend 01'!C46),('V06 Calend 01'!F46+'V06 Calend 01'!G46),0)+IF(AND(('V06 Calend 01'!E46&gt;0),(64&gt;'V06 Calend 01'!C46),(64&lt;'V06 Calend 01'!D46),(MOD((64-'V06 Calend 01'!C46),6)=0),(((64-'V06 Calend 01'!C46)/6)&lt;='V06 Calend 01'!E46)),IF((64=('V06 Calend 01'!C46+(6*'V06 Calend 01'!E46))),('V06 Calend 01'!H46-('V06 Calend 01'!I46*('V06 Calend 01'!E46-1))),'V06 Calend 01'!I46),0))+IF((64='V06 Calend 01'!D46),'V06 Calend 01'!J46,0))</f>
        <v>0</v>
      </c>
      <c r="BY46" s="2">
        <f>((IF((65='V06 Calend 01'!C46),('V06 Calend 01'!F46+'V06 Calend 01'!G46),0)+IF(AND(('V06 Calend 01'!E46&gt;0),(65&gt;'V06 Calend 01'!C46),(65&lt;'V06 Calend 01'!D46),(MOD((65-'V06 Calend 01'!C46),6)=0),(((65-'V06 Calend 01'!C46)/6)&lt;='V06 Calend 01'!E46)),IF((65=('V06 Calend 01'!C46+(6*'V06 Calend 01'!E46))),('V06 Calend 01'!H46-('V06 Calend 01'!I46*('V06 Calend 01'!E46-1))),'V06 Calend 01'!I46),0))+IF((65='V06 Calend 01'!D46),'V06 Calend 01'!J46,0))</f>
        <v>0</v>
      </c>
      <c r="BZ46" s="2">
        <f>((IF((66='V06 Calend 01'!C46),('V06 Calend 01'!F46+'V06 Calend 01'!G46),0)+IF(AND(('V06 Calend 01'!E46&gt;0),(66&gt;'V06 Calend 01'!C46),(66&lt;'V06 Calend 01'!D46),(MOD((66-'V06 Calend 01'!C46),6)=0),(((66-'V06 Calend 01'!C46)/6)&lt;='V06 Calend 01'!E46)),IF((66=('V06 Calend 01'!C46+(6*'V06 Calend 01'!E46))),('V06 Calend 01'!H46-('V06 Calend 01'!I46*('V06 Calend 01'!E46-1))),'V06 Calend 01'!I46),0))+IF((66='V06 Calend 01'!D46),'V06 Calend 01'!J46,0))</f>
        <v>0</v>
      </c>
      <c r="CA46" s="2">
        <f>((IF((67='V06 Calend 01'!C46),('V06 Calend 01'!F46+'V06 Calend 01'!G46),0)+IF(AND(('V06 Calend 01'!E46&gt;0),(67&gt;'V06 Calend 01'!C46),(67&lt;'V06 Calend 01'!D46),(MOD((67-'V06 Calend 01'!C46),6)=0),(((67-'V06 Calend 01'!C46)/6)&lt;='V06 Calend 01'!E46)),IF((67=('V06 Calend 01'!C46+(6*'V06 Calend 01'!E46))),('V06 Calend 01'!H46-('V06 Calend 01'!I46*('V06 Calend 01'!E46-1))),'V06 Calend 01'!I46),0))+IF((67='V06 Calend 01'!D46),'V06 Calend 01'!J46,0))</f>
        <v>0</v>
      </c>
      <c r="CB46" s="2">
        <f>((IF((68='V06 Calend 01'!C46),('V06 Calend 01'!F46+'V06 Calend 01'!G46),0)+IF(AND(('V06 Calend 01'!E46&gt;0),(68&gt;'V06 Calend 01'!C46),(68&lt;'V06 Calend 01'!D46),(MOD((68-'V06 Calend 01'!C46),6)=0),(((68-'V06 Calend 01'!C46)/6)&lt;='V06 Calend 01'!E46)),IF((68=('V06 Calend 01'!C46+(6*'V06 Calend 01'!E46))),('V06 Calend 01'!H46-('V06 Calend 01'!I46*('V06 Calend 01'!E46-1))),'V06 Calend 01'!I46),0))+IF((68='V06 Calend 01'!D46),'V06 Calend 01'!J46,0))</f>
        <v>0</v>
      </c>
      <c r="CC46" s="2">
        <f>((IF((69='V06 Calend 01'!C46),('V06 Calend 01'!F46+'V06 Calend 01'!G46),0)+IF(AND(('V06 Calend 01'!E46&gt;0),(69&gt;'V06 Calend 01'!C46),(69&lt;'V06 Calend 01'!D46),(MOD((69-'V06 Calend 01'!C46),6)=0),(((69-'V06 Calend 01'!C46)/6)&lt;='V06 Calend 01'!E46)),IF((69=('V06 Calend 01'!C46+(6*'V06 Calend 01'!E46))),('V06 Calend 01'!H46-('V06 Calend 01'!I46*('V06 Calend 01'!E46-1))),'V06 Calend 01'!I46),0))+IF((69='V06 Calend 01'!D46),'V06 Calend 01'!J46,0))</f>
        <v>0</v>
      </c>
      <c r="CD46" s="2">
        <f>((IF((70='V06 Calend 01'!C46),('V06 Calend 01'!F46+'V06 Calend 01'!G46),0)+IF(AND(('V06 Calend 01'!E46&gt;0),(70&gt;'V06 Calend 01'!C46),(70&lt;'V06 Calend 01'!D46),(MOD((70-'V06 Calend 01'!C46),6)=0),(((70-'V06 Calend 01'!C46)/6)&lt;='V06 Calend 01'!E46)),IF((70=('V06 Calend 01'!C46+(6*'V06 Calend 01'!E46))),('V06 Calend 01'!H46-('V06 Calend 01'!I46*('V06 Calend 01'!E46-1))),'V06 Calend 01'!I46),0))+IF((70='V06 Calend 01'!D46),'V06 Calend 01'!J46,0))</f>
        <v>0</v>
      </c>
      <c r="CE46" s="2">
        <f>((IF((71='V06 Calend 01'!C46),('V06 Calend 01'!F46+'V06 Calend 01'!G46),0)+IF(AND(('V06 Calend 01'!E46&gt;0),(71&gt;'V06 Calend 01'!C46),(71&lt;'V06 Calend 01'!D46),(MOD((71-'V06 Calend 01'!C46),6)=0),(((71-'V06 Calend 01'!C46)/6)&lt;='V06 Calend 01'!E46)),IF((71=('V06 Calend 01'!C46+(6*'V06 Calend 01'!E46))),('V06 Calend 01'!H46-('V06 Calend 01'!I46*('V06 Calend 01'!E46-1))),'V06 Calend 01'!I46),0))+IF((71='V06 Calend 01'!D46),'V06 Calend 01'!J46,0))</f>
        <v>0</v>
      </c>
      <c r="CF46" s="2">
        <f>((IF((72='V06 Calend 01'!C46),('V06 Calend 01'!F46+'V06 Calend 01'!G46),0)+IF(AND(('V06 Calend 01'!E46&gt;0),(72&gt;'V06 Calend 01'!C46),(72&lt;'V06 Calend 01'!D46),(MOD((72-'V06 Calend 01'!C46),6)=0),(((72-'V06 Calend 01'!C46)/6)&lt;='V06 Calend 01'!E46)),IF((72=('V06 Calend 01'!C46+(6*'V06 Calend 01'!E46))),('V06 Calend 01'!H46-('V06 Calend 01'!I46*('V06 Calend 01'!E46-1))),'V06 Calend 01'!I46),0))+IF((72='V06 Calend 01'!D46),'V06 Calend 01'!J46,0))</f>
        <v>0</v>
      </c>
      <c r="CG46" s="2">
        <f>((IF((73='V06 Calend 01'!C46),('V06 Calend 01'!F46+'V06 Calend 01'!G46),0)+IF(AND(('V06 Calend 01'!E46&gt;0),(73&gt;'V06 Calend 01'!C46),(73&lt;'V06 Calend 01'!D46),(MOD((73-'V06 Calend 01'!C46),6)=0),(((73-'V06 Calend 01'!C46)/6)&lt;='V06 Calend 01'!E46)),IF((73=('V06 Calend 01'!C46+(6*'V06 Calend 01'!E46))),('V06 Calend 01'!H46-('V06 Calend 01'!I46*('V06 Calend 01'!E46-1))),'V06 Calend 01'!I46),0))+IF((73='V06 Calend 01'!D46),'V06 Calend 01'!J46,0))</f>
        <v>0</v>
      </c>
      <c r="CH46" s="2">
        <f>((IF((74='V06 Calend 01'!C46),('V06 Calend 01'!F46+'V06 Calend 01'!G46),0)+IF(AND(('V06 Calend 01'!E46&gt;0),(74&gt;'V06 Calend 01'!C46),(74&lt;'V06 Calend 01'!D46),(MOD((74-'V06 Calend 01'!C46),6)=0),(((74-'V06 Calend 01'!C46)/6)&lt;='V06 Calend 01'!E46)),IF((74=('V06 Calend 01'!C46+(6*'V06 Calend 01'!E46))),('V06 Calend 01'!H46-('V06 Calend 01'!I46*('V06 Calend 01'!E46-1))),'V06 Calend 01'!I46),0))+IF((74='V06 Calend 01'!D46),'V06 Calend 01'!J46,0))</f>
        <v>0</v>
      </c>
      <c r="CI46" s="2">
        <f>((IF((75='V06 Calend 01'!C46),('V06 Calend 01'!F46+'V06 Calend 01'!G46),0)+IF(AND(('V06 Calend 01'!E46&gt;0),(75&gt;'V06 Calend 01'!C46),(75&lt;'V06 Calend 01'!D46),(MOD((75-'V06 Calend 01'!C46),6)=0),(((75-'V06 Calend 01'!C46)/6)&lt;='V06 Calend 01'!E46)),IF((75=('V06 Calend 01'!C46+(6*'V06 Calend 01'!E46))),('V06 Calend 01'!H46-('V06 Calend 01'!I46*('V06 Calend 01'!E46-1))),'V06 Calend 01'!I46),0))+IF((75='V06 Calend 01'!D46),'V06 Calend 01'!J46,0))</f>
        <v>0</v>
      </c>
      <c r="CJ46" s="2">
        <f>((IF((76='V06 Calend 01'!C46),('V06 Calend 01'!F46+'V06 Calend 01'!G46),0)+IF(AND(('V06 Calend 01'!E46&gt;0),(76&gt;'V06 Calend 01'!C46),(76&lt;'V06 Calend 01'!D46),(MOD((76-'V06 Calend 01'!C46),6)=0),(((76-'V06 Calend 01'!C46)/6)&lt;='V06 Calend 01'!E46)),IF((76=('V06 Calend 01'!C46+(6*'V06 Calend 01'!E46))),('V06 Calend 01'!H46-('V06 Calend 01'!I46*('V06 Calend 01'!E46-1))),'V06 Calend 01'!I46),0))+IF((76='V06 Calend 01'!D46),'V06 Calend 01'!J46,0))</f>
        <v>0</v>
      </c>
      <c r="CK46" s="2">
        <f>((IF((77='V06 Calend 01'!C46),('V06 Calend 01'!F46+'V06 Calend 01'!G46),0)+IF(AND(('V06 Calend 01'!E46&gt;0),(77&gt;'V06 Calend 01'!C46),(77&lt;'V06 Calend 01'!D46),(MOD((77-'V06 Calend 01'!C46),6)=0),(((77-'V06 Calend 01'!C46)/6)&lt;='V06 Calend 01'!E46)),IF((77=('V06 Calend 01'!C46+(6*'V06 Calend 01'!E46))),('V06 Calend 01'!H46-('V06 Calend 01'!I46*('V06 Calend 01'!E46-1))),'V06 Calend 01'!I46),0))+IF((77='V06 Calend 01'!D46),'V06 Calend 01'!J46,0))</f>
        <v>0</v>
      </c>
      <c r="CL46" s="2">
        <f>((IF((78='V06 Calend 01'!C46),('V06 Calend 01'!F46+'V06 Calend 01'!G46),0)+IF(AND(('V06 Calend 01'!E46&gt;0),(78&gt;'V06 Calend 01'!C46),(78&lt;'V06 Calend 01'!D46),(MOD((78-'V06 Calend 01'!C46),6)=0),(((78-'V06 Calend 01'!C46)/6)&lt;='V06 Calend 01'!E46)),IF((78=('V06 Calend 01'!C46+(6*'V06 Calend 01'!E46))),('V06 Calend 01'!H46-('V06 Calend 01'!I46*('V06 Calend 01'!E46-1))),'V06 Calend 01'!I46),0))+IF((78='V06 Calend 01'!D46),'V06 Calend 01'!J46,0))</f>
        <v>0</v>
      </c>
      <c r="CM46" s="2">
        <f>((IF((79='V06 Calend 01'!C46),('V06 Calend 01'!F46+'V06 Calend 01'!G46),0)+IF(AND(('V06 Calend 01'!E46&gt;0),(79&gt;'V06 Calend 01'!C46),(79&lt;'V06 Calend 01'!D46),(MOD((79-'V06 Calend 01'!C46),6)=0),(((79-'V06 Calend 01'!C46)/6)&lt;='V06 Calend 01'!E46)),IF((79=('V06 Calend 01'!C46+(6*'V06 Calend 01'!E46))),('V06 Calend 01'!H46-('V06 Calend 01'!I46*('V06 Calend 01'!E46-1))),'V06 Calend 01'!I46),0))+IF((79='V06 Calend 01'!D46),'V06 Calend 01'!J46,0))</f>
        <v>0</v>
      </c>
      <c r="CN46" s="2">
        <f>((IF((80='V06 Calend 01'!C46),('V06 Calend 01'!F46+'V06 Calend 01'!G46),0)+IF(AND(('V06 Calend 01'!E46&gt;0),(80&gt;'V06 Calend 01'!C46),(80&lt;'V06 Calend 01'!D46),(MOD((80-'V06 Calend 01'!C46),6)=0),(((80-'V06 Calend 01'!C46)/6)&lt;='V06 Calend 01'!E46)),IF((80=('V06 Calend 01'!C46+(6*'V06 Calend 01'!E46))),('V06 Calend 01'!H46-('V06 Calend 01'!I46*('V06 Calend 01'!E46-1))),'V06 Calend 01'!I46),0))+IF((80='V06 Calend 01'!D46),'V06 Calend 01'!J46,0))</f>
        <v>0</v>
      </c>
      <c r="CO46" s="2">
        <f>((IF((81='V06 Calend 01'!C46),('V06 Calend 01'!F46+'V06 Calend 01'!G46),0)+IF(AND(('V06 Calend 01'!E46&gt;0),(81&gt;'V06 Calend 01'!C46),(81&lt;'V06 Calend 01'!D46),(MOD((81-'V06 Calend 01'!C46),6)=0),(((81-'V06 Calend 01'!C46)/6)&lt;='V06 Calend 01'!E46)),IF((81=('V06 Calend 01'!C46+(6*'V06 Calend 01'!E46))),('V06 Calend 01'!H46-('V06 Calend 01'!I46*('V06 Calend 01'!E46-1))),'V06 Calend 01'!I46),0))+IF((81='V06 Calend 01'!D46),'V06 Calend 01'!J46,0))</f>
        <v>0</v>
      </c>
      <c r="CP46" s="2">
        <f>((IF((82='V06 Calend 01'!C46),('V06 Calend 01'!F46+'V06 Calend 01'!G46),0)+IF(AND(('V06 Calend 01'!E46&gt;0),(82&gt;'V06 Calend 01'!C46),(82&lt;'V06 Calend 01'!D46),(MOD((82-'V06 Calend 01'!C46),6)=0),(((82-'V06 Calend 01'!C46)/6)&lt;='V06 Calend 01'!E46)),IF((82=('V06 Calend 01'!C46+(6*'V06 Calend 01'!E46))),('V06 Calend 01'!H46-('V06 Calend 01'!I46*('V06 Calend 01'!E46-1))),'V06 Calend 01'!I46),0))+IF((82='V06 Calend 01'!D46),'V06 Calend 01'!J46,0))</f>
        <v>0</v>
      </c>
      <c r="CQ46" s="2">
        <f>((IF((83='V06 Calend 01'!C46),('V06 Calend 01'!F46+'V06 Calend 01'!G46),0)+IF(AND(('V06 Calend 01'!E46&gt;0),(83&gt;'V06 Calend 01'!C46),(83&lt;'V06 Calend 01'!D46),(MOD((83-'V06 Calend 01'!C46),6)=0),(((83-'V06 Calend 01'!C46)/6)&lt;='V06 Calend 01'!E46)),IF((83=('V06 Calend 01'!C46+(6*'V06 Calend 01'!E46))),('V06 Calend 01'!H46-('V06 Calend 01'!I46*('V06 Calend 01'!E46-1))),'V06 Calend 01'!I46),0))+IF((83='V06 Calend 01'!D46),'V06 Calend 01'!J46,0))</f>
        <v>0</v>
      </c>
      <c r="CR46" s="2">
        <f>((IF((84='V06 Calend 01'!C46),('V06 Calend 01'!F46+'V06 Calend 01'!G46),0)+IF(AND(('V06 Calend 01'!E46&gt;0),(84&gt;'V06 Calend 01'!C46),(84&lt;'V06 Calend 01'!D46),(MOD((84-'V06 Calend 01'!C46),6)=0),(((84-'V06 Calend 01'!C46)/6)&lt;='V06 Calend 01'!E46)),IF((84=('V06 Calend 01'!C46+(6*'V06 Calend 01'!E46))),('V06 Calend 01'!H46-('V06 Calend 01'!I46*('V06 Calend 01'!E46-1))),'V06 Calend 01'!I46),0))+IF((84='V06 Calend 01'!D46),'V06 Calend 01'!J46,0))</f>
        <v>0</v>
      </c>
      <c r="CS46" s="2">
        <f>((IF((85='V06 Calend 01'!C46),('V06 Calend 01'!F46+'V06 Calend 01'!G46),0)+IF(AND(('V06 Calend 01'!E46&gt;0),(85&gt;'V06 Calend 01'!C46),(85&lt;'V06 Calend 01'!D46),(MOD((85-'V06 Calend 01'!C46),6)=0),(((85-'V06 Calend 01'!C46)/6)&lt;='V06 Calend 01'!E46)),IF((85=('V06 Calend 01'!C46+(6*'V06 Calend 01'!E46))),('V06 Calend 01'!H46-('V06 Calend 01'!I46*('V06 Calend 01'!E46-1))),'V06 Calend 01'!I46),0))+IF((85='V06 Calend 01'!D46),'V06 Calend 01'!J46,0))</f>
        <v>0</v>
      </c>
      <c r="CT46" s="2">
        <f>((IF((86='V06 Calend 01'!C46),('V06 Calend 01'!F46+'V06 Calend 01'!G46),0)+IF(AND(('V06 Calend 01'!E46&gt;0),(86&gt;'V06 Calend 01'!C46),(86&lt;'V06 Calend 01'!D46),(MOD((86-'V06 Calend 01'!C46),6)=0),(((86-'V06 Calend 01'!C46)/6)&lt;='V06 Calend 01'!E46)),IF((86=('V06 Calend 01'!C46+(6*'V06 Calend 01'!E46))),('V06 Calend 01'!H46-('V06 Calend 01'!I46*('V06 Calend 01'!E46-1))),'V06 Calend 01'!I46),0))+IF((86='V06 Calend 01'!D46),'V06 Calend 01'!J46,0))</f>
        <v>0</v>
      </c>
      <c r="CU46" s="2">
        <f>((IF((87='V06 Calend 01'!C46),('V06 Calend 01'!F46+'V06 Calend 01'!G46),0)+IF(AND(('V06 Calend 01'!E46&gt;0),(87&gt;'V06 Calend 01'!C46),(87&lt;'V06 Calend 01'!D46),(MOD((87-'V06 Calend 01'!C46),6)=0),(((87-'V06 Calend 01'!C46)/6)&lt;='V06 Calend 01'!E46)),IF((87=('V06 Calend 01'!C46+(6*'V06 Calend 01'!E46))),('V06 Calend 01'!H46-('V06 Calend 01'!I46*('V06 Calend 01'!E46-1))),'V06 Calend 01'!I46),0))+IF((87='V06 Calend 01'!D46),'V06 Calend 01'!J46,0))</f>
        <v>0</v>
      </c>
      <c r="CV46" s="2">
        <f>((IF((88='V06 Calend 01'!C46),('V06 Calend 01'!F46+'V06 Calend 01'!G46),0)+IF(AND(('V06 Calend 01'!E46&gt;0),(88&gt;'V06 Calend 01'!C46),(88&lt;'V06 Calend 01'!D46),(MOD((88-'V06 Calend 01'!C46),6)=0),(((88-'V06 Calend 01'!C46)/6)&lt;='V06 Calend 01'!E46)),IF((88=('V06 Calend 01'!C46+(6*'V06 Calend 01'!E46))),('V06 Calend 01'!H46-('V06 Calend 01'!I46*('V06 Calend 01'!E46-1))),'V06 Calend 01'!I46),0))+IF((88='V06 Calend 01'!D46),'V06 Calend 01'!J46,0))</f>
        <v>0</v>
      </c>
      <c r="CW46" s="2">
        <f>((IF((89='V06 Calend 01'!C46),('V06 Calend 01'!F46+'V06 Calend 01'!G46),0)+IF(AND(('V06 Calend 01'!E46&gt;0),(89&gt;'V06 Calend 01'!C46),(89&lt;'V06 Calend 01'!D46),(MOD((89-'V06 Calend 01'!C46),6)=0),(((89-'V06 Calend 01'!C46)/6)&lt;='V06 Calend 01'!E46)),IF((89=('V06 Calend 01'!C46+(6*'V06 Calend 01'!E46))),('V06 Calend 01'!H46-('V06 Calend 01'!I46*('V06 Calend 01'!E46-1))),'V06 Calend 01'!I46),0))+IF((89='V06 Calend 01'!D46),'V06 Calend 01'!J46,0))</f>
        <v>0</v>
      </c>
      <c r="CX46" s="2">
        <f>((IF((90='V06 Calend 01'!C46),('V06 Calend 01'!F46+'V06 Calend 01'!G46),0)+IF(AND(('V06 Calend 01'!E46&gt;0),(90&gt;'V06 Calend 01'!C46),(90&lt;'V06 Calend 01'!D46),(MOD((90-'V06 Calend 01'!C46),6)=0),(((90-'V06 Calend 01'!C46)/6)&lt;='V06 Calend 01'!E46)),IF((90=('V06 Calend 01'!C46+(6*'V06 Calend 01'!E46))),('V06 Calend 01'!H46-('V06 Calend 01'!I46*('V06 Calend 01'!E46-1))),'V06 Calend 01'!I46),0))+IF((90='V06 Calend 01'!D46),'V06 Calend 01'!J46,0))</f>
        <v>0</v>
      </c>
      <c r="CY46" s="2">
        <f>((IF((91='V06 Calend 01'!C46),('V06 Calend 01'!F46+'V06 Calend 01'!G46),0)+IF(AND(('V06 Calend 01'!E46&gt;0),(91&gt;'V06 Calend 01'!C46),(91&lt;'V06 Calend 01'!D46),(MOD((91-'V06 Calend 01'!C46),6)=0),(((91-'V06 Calend 01'!C46)/6)&lt;='V06 Calend 01'!E46)),IF((91=('V06 Calend 01'!C46+(6*'V06 Calend 01'!E46))),('V06 Calend 01'!H46-('V06 Calend 01'!I46*('V06 Calend 01'!E46-1))),'V06 Calend 01'!I46),0))+IF((91='V06 Calend 01'!D46),'V06 Calend 01'!J46,0))</f>
        <v>0</v>
      </c>
      <c r="CZ46" s="2">
        <f>((IF((92='V06 Calend 01'!C46),('V06 Calend 01'!F46+'V06 Calend 01'!G46),0)+IF(AND(('V06 Calend 01'!E46&gt;0),(92&gt;'V06 Calend 01'!C46),(92&lt;'V06 Calend 01'!D46),(MOD((92-'V06 Calend 01'!C46),6)=0),(((92-'V06 Calend 01'!C46)/6)&lt;='V06 Calend 01'!E46)),IF((92=('V06 Calend 01'!C46+(6*'V06 Calend 01'!E46))),('V06 Calend 01'!H46-('V06 Calend 01'!I46*('V06 Calend 01'!E46-1))),'V06 Calend 01'!I46),0))+IF((92='V06 Calend 01'!D46),'V06 Calend 01'!J46,0))</f>
        <v>0</v>
      </c>
      <c r="DA46" s="2">
        <f>((IF((93='V06 Calend 01'!C46),('V06 Calend 01'!F46+'V06 Calend 01'!G46),0)+IF(AND(('V06 Calend 01'!E46&gt;0),(93&gt;'V06 Calend 01'!C46),(93&lt;'V06 Calend 01'!D46),(MOD((93-'V06 Calend 01'!C46),6)=0),(((93-'V06 Calend 01'!C46)/6)&lt;='V06 Calend 01'!E46)),IF((93=('V06 Calend 01'!C46+(6*'V06 Calend 01'!E46))),('V06 Calend 01'!H46-('V06 Calend 01'!I46*('V06 Calend 01'!E46-1))),'V06 Calend 01'!I46),0))+IF((93='V06 Calend 01'!D46),'V06 Calend 01'!J46,0))</f>
        <v>0</v>
      </c>
      <c r="DB46" s="2">
        <f>((IF((94='V06 Calend 01'!C46),('V06 Calend 01'!F46+'V06 Calend 01'!G46),0)+IF(AND(('V06 Calend 01'!E46&gt;0),(94&gt;'V06 Calend 01'!C46),(94&lt;'V06 Calend 01'!D46),(MOD((94-'V06 Calend 01'!C46),6)=0),(((94-'V06 Calend 01'!C46)/6)&lt;='V06 Calend 01'!E46)),IF((94=('V06 Calend 01'!C46+(6*'V06 Calend 01'!E46))),('V06 Calend 01'!H46-('V06 Calend 01'!I46*('V06 Calend 01'!E46-1))),'V06 Calend 01'!I46),0))+IF((94='V06 Calend 01'!D46),'V06 Calend 01'!J46,0))</f>
        <v>0</v>
      </c>
      <c r="DC46" s="2">
        <f>((IF((95='V06 Calend 01'!C46),('V06 Calend 01'!F46+'V06 Calend 01'!G46),0)+IF(AND(('V06 Calend 01'!E46&gt;0),(95&gt;'V06 Calend 01'!C46),(95&lt;'V06 Calend 01'!D46),(MOD((95-'V06 Calend 01'!C46),6)=0),(((95-'V06 Calend 01'!C46)/6)&lt;='V06 Calend 01'!E46)),IF((95=('V06 Calend 01'!C46+(6*'V06 Calend 01'!E46))),('V06 Calend 01'!H46-('V06 Calend 01'!I46*('V06 Calend 01'!E46-1))),'V06 Calend 01'!I46),0))+IF((95='V06 Calend 01'!D46),'V06 Calend 01'!J46,0))</f>
        <v>0</v>
      </c>
      <c r="DD46" s="2">
        <f>((IF((96='V06 Calend 01'!C46),('V06 Calend 01'!F46+'V06 Calend 01'!G46),0)+IF(AND(('V06 Calend 01'!E46&gt;0),(96&gt;'V06 Calend 01'!C46),(96&lt;'V06 Calend 01'!D46),(MOD((96-'V06 Calend 01'!C46),6)=0),(((96-'V06 Calend 01'!C46)/6)&lt;='V06 Calend 01'!E46)),IF((96=('V06 Calend 01'!C46+(6*'V06 Calend 01'!E46))),('V06 Calend 01'!H46-('V06 Calend 01'!I46*('V06 Calend 01'!E46-1))),'V06 Calend 01'!I46),0))+IF((96='V06 Calend 01'!D46),'V06 Calend 01'!J46,0))</f>
        <v>0</v>
      </c>
      <c r="DE46" s="2">
        <f>((IF((97='V06 Calend 01'!C46),('V06 Calend 01'!F46+'V06 Calend 01'!G46),0)+IF(AND(('V06 Calend 01'!E46&gt;0),(97&gt;'V06 Calend 01'!C46),(97&lt;'V06 Calend 01'!D46),(MOD((97-'V06 Calend 01'!C46),6)=0),(((97-'V06 Calend 01'!C46)/6)&lt;='V06 Calend 01'!E46)),IF((97=('V06 Calend 01'!C46+(6*'V06 Calend 01'!E46))),('V06 Calend 01'!H46-('V06 Calend 01'!I46*('V06 Calend 01'!E46-1))),'V06 Calend 01'!I46),0))+IF((97='V06 Calend 01'!D46),'V06 Calend 01'!J46,0))</f>
        <v>0</v>
      </c>
      <c r="DF46" s="2">
        <f>((IF((98='V06 Calend 01'!C46),('V06 Calend 01'!F46+'V06 Calend 01'!G46),0)+IF(AND(('V06 Calend 01'!E46&gt;0),(98&gt;'V06 Calend 01'!C46),(98&lt;'V06 Calend 01'!D46),(MOD((98-'V06 Calend 01'!C46),6)=0),(((98-'V06 Calend 01'!C46)/6)&lt;='V06 Calend 01'!E46)),IF((98=('V06 Calend 01'!C46+(6*'V06 Calend 01'!E46))),('V06 Calend 01'!H46-('V06 Calend 01'!I46*('V06 Calend 01'!E46-1))),'V06 Calend 01'!I46),0))+IF((98='V06 Calend 01'!D46),'V06 Calend 01'!J46,0))</f>
        <v>0</v>
      </c>
      <c r="DG46" s="2">
        <f>((IF((99='V06 Calend 01'!C46),('V06 Calend 01'!F46+'V06 Calend 01'!G46),0)+IF(AND(('V06 Calend 01'!E46&gt;0),(99&gt;'V06 Calend 01'!C46),(99&lt;'V06 Calend 01'!D46),(MOD((99-'V06 Calend 01'!C46),6)=0),(((99-'V06 Calend 01'!C46)/6)&lt;='V06 Calend 01'!E46)),IF((99=('V06 Calend 01'!C46+(6*'V06 Calend 01'!E46))),('V06 Calend 01'!H46-('V06 Calend 01'!I46*('V06 Calend 01'!E46-1))),'V06 Calend 01'!I46),0))+IF((99='V06 Calend 01'!D46),'V06 Calend 01'!J46,0))</f>
        <v>0</v>
      </c>
      <c r="DH46" s="2">
        <f>((IF((100='V06 Calend 01'!C46),('V06 Calend 01'!F46+'V06 Calend 01'!G46),0)+IF(AND(('V06 Calend 01'!E46&gt;0),(100&gt;'V06 Calend 01'!C46),(100&lt;'V06 Calend 01'!D46),(MOD((100-'V06 Calend 01'!C46),6)=0),(((100-'V06 Calend 01'!C46)/6)&lt;='V06 Calend 01'!E46)),IF((100=('V06 Calend 01'!C46+(6*'V06 Calend 01'!E46))),('V06 Calend 01'!H46-('V06 Calend 01'!I46*('V06 Calend 01'!E46-1))),'V06 Calend 01'!I46),0))+IF((100='V06 Calend 01'!D46),'V06 Calend 01'!J46,0))</f>
        <v>0</v>
      </c>
      <c r="DI46" s="2">
        <f>((IF((101='V06 Calend 01'!C46),('V06 Calend 01'!F46+'V06 Calend 01'!G46),0)+IF(AND(('V06 Calend 01'!E46&gt;0),(101&gt;'V06 Calend 01'!C46),(101&lt;'V06 Calend 01'!D46),(MOD((101-'V06 Calend 01'!C46),6)=0),(((101-'V06 Calend 01'!C46)/6)&lt;='V06 Calend 01'!E46)),IF((101=('V06 Calend 01'!C46+(6*'V06 Calend 01'!E46))),('V06 Calend 01'!H46-('V06 Calend 01'!I46*('V06 Calend 01'!E46-1))),'V06 Calend 01'!I46),0))+IF((101='V06 Calend 01'!D46),'V06 Calend 01'!J46,0))</f>
        <v>0</v>
      </c>
      <c r="DJ46" s="2">
        <f>((IF((102='V06 Calend 01'!C46),('V06 Calend 01'!F46+'V06 Calend 01'!G46),0)+IF(AND(('V06 Calend 01'!E46&gt;0),(102&gt;'V06 Calend 01'!C46),(102&lt;'V06 Calend 01'!D46),(MOD((102-'V06 Calend 01'!C46),6)=0),(((102-'V06 Calend 01'!C46)/6)&lt;='V06 Calend 01'!E46)),IF((102=('V06 Calend 01'!C46+(6*'V06 Calend 01'!E46))),('V06 Calend 01'!H46-('V06 Calend 01'!I46*('V06 Calend 01'!E46-1))),'V06 Calend 01'!I46),0))+IF((102='V06 Calend 01'!D46),'V06 Calend 01'!J46,0))</f>
        <v>0</v>
      </c>
      <c r="DK46" s="2">
        <f>((IF((103='V06 Calend 01'!C46),('V06 Calend 01'!F46+'V06 Calend 01'!G46),0)+IF(AND(('V06 Calend 01'!E46&gt;0),(103&gt;'V06 Calend 01'!C46),(103&lt;'V06 Calend 01'!D46),(MOD((103-'V06 Calend 01'!C46),6)=0),(((103-'V06 Calend 01'!C46)/6)&lt;='V06 Calend 01'!E46)),IF((103=('V06 Calend 01'!C46+(6*'V06 Calend 01'!E46))),('V06 Calend 01'!H46-('V06 Calend 01'!I46*('V06 Calend 01'!E46-1))),'V06 Calend 01'!I46),0))+IF((103='V06 Calend 01'!D46),'V06 Calend 01'!J46,0))</f>
        <v>0</v>
      </c>
      <c r="DL46" s="2">
        <f>((IF((104='V06 Calend 01'!C46),('V06 Calend 01'!F46+'V06 Calend 01'!G46),0)+IF(AND(('V06 Calend 01'!E46&gt;0),(104&gt;'V06 Calend 01'!C46),(104&lt;'V06 Calend 01'!D46),(MOD((104-'V06 Calend 01'!C46),6)=0),(((104-'V06 Calend 01'!C46)/6)&lt;='V06 Calend 01'!E46)),IF((104=('V06 Calend 01'!C46+(6*'V06 Calend 01'!E46))),('V06 Calend 01'!H46-('V06 Calend 01'!I46*('V06 Calend 01'!E46-1))),'V06 Calend 01'!I46),0))+IF((104='V06 Calend 01'!D46),'V06 Calend 01'!J46,0))</f>
        <v>0</v>
      </c>
      <c r="DM46" s="2">
        <f>((IF((105='V06 Calend 01'!C46),('V06 Calend 01'!F46+'V06 Calend 01'!G46),0)+IF(AND(('V06 Calend 01'!E46&gt;0),(105&gt;'V06 Calend 01'!C46),(105&lt;'V06 Calend 01'!D46),(MOD((105-'V06 Calend 01'!C46),6)=0),(((105-'V06 Calend 01'!C46)/6)&lt;='V06 Calend 01'!E46)),IF((105=('V06 Calend 01'!C46+(6*'V06 Calend 01'!E46))),('V06 Calend 01'!H46-('V06 Calend 01'!I46*('V06 Calend 01'!E46-1))),'V06 Calend 01'!I46),0))+IF((105='V06 Calend 01'!D46),'V06 Calend 01'!J46,0))</f>
        <v>0</v>
      </c>
      <c r="DN46" s="2">
        <f>((IF((106='V06 Calend 01'!C46),('V06 Calend 01'!F46+'V06 Calend 01'!G46),0)+IF(AND(('V06 Calend 01'!E46&gt;0),(106&gt;'V06 Calend 01'!C46),(106&lt;'V06 Calend 01'!D46),(MOD((106-'V06 Calend 01'!C46),6)=0),(((106-'V06 Calend 01'!C46)/6)&lt;='V06 Calend 01'!E46)),IF((106=('V06 Calend 01'!C46+(6*'V06 Calend 01'!E46))),('V06 Calend 01'!H46-('V06 Calend 01'!I46*('V06 Calend 01'!E46-1))),'V06 Calend 01'!I46),0))+IF((106='V06 Calend 01'!D46),'V06 Calend 01'!J46,0))</f>
        <v>0</v>
      </c>
      <c r="DO46" s="2">
        <f>((IF((107='V06 Calend 01'!C46),('V06 Calend 01'!F46+'V06 Calend 01'!G46),0)+IF(AND(('V06 Calend 01'!E46&gt;0),(107&gt;'V06 Calend 01'!C46),(107&lt;'V06 Calend 01'!D46),(MOD((107-'V06 Calend 01'!C46),6)=0),(((107-'V06 Calend 01'!C46)/6)&lt;='V06 Calend 01'!E46)),IF((107=('V06 Calend 01'!C46+(6*'V06 Calend 01'!E46))),('V06 Calend 01'!H46-('V06 Calend 01'!I46*('V06 Calend 01'!E46-1))),'V06 Calend 01'!I46),0))+IF((107='V06 Calend 01'!D46),'V06 Calend 01'!J46,0))</f>
        <v>0</v>
      </c>
      <c r="DP46" s="2">
        <f>((IF((108='V06 Calend 01'!C46),('V06 Calend 01'!F46+'V06 Calend 01'!G46),0)+IF(AND(('V06 Calend 01'!E46&gt;0),(108&gt;'V06 Calend 01'!C46),(108&lt;'V06 Calend 01'!D46),(MOD((108-'V06 Calend 01'!C46),6)=0),(((108-'V06 Calend 01'!C46)/6)&lt;='V06 Calend 01'!E46)),IF((108=('V06 Calend 01'!C46+(6*'V06 Calend 01'!E46))),('V06 Calend 01'!H46-('V06 Calend 01'!I46*('V06 Calend 01'!E46-1))),'V06 Calend 01'!I46),0))+IF((108='V06 Calend 01'!D46),'V06 Calend 01'!J46,0))</f>
        <v>0</v>
      </c>
      <c r="DQ46" s="2">
        <f>((IF((109='V06 Calend 01'!C46),('V06 Calend 01'!F46+'V06 Calend 01'!G46),0)+IF(AND(('V06 Calend 01'!E46&gt;0),(109&gt;'V06 Calend 01'!C46),(109&lt;'V06 Calend 01'!D46),(MOD((109-'V06 Calend 01'!C46),6)=0),(((109-'V06 Calend 01'!C46)/6)&lt;='V06 Calend 01'!E46)),IF((109=('V06 Calend 01'!C46+(6*'V06 Calend 01'!E46))),('V06 Calend 01'!H46-('V06 Calend 01'!I46*('V06 Calend 01'!E46-1))),'V06 Calend 01'!I46),0))+IF((109='V06 Calend 01'!D46),'V06 Calend 01'!J46,0))</f>
        <v>0</v>
      </c>
      <c r="DR46" s="2">
        <f>((IF((110='V06 Calend 01'!C46),('V06 Calend 01'!F46+'V06 Calend 01'!G46),0)+IF(AND(('V06 Calend 01'!E46&gt;0),(110&gt;'V06 Calend 01'!C46),(110&lt;'V06 Calend 01'!D46),(MOD((110-'V06 Calend 01'!C46),6)=0),(((110-'V06 Calend 01'!C46)/6)&lt;='V06 Calend 01'!E46)),IF((110=('V06 Calend 01'!C46+(6*'V06 Calend 01'!E46))),('V06 Calend 01'!H46-('V06 Calend 01'!I46*('V06 Calend 01'!E46-1))),'V06 Calend 01'!I46),0))+IF((110='V06 Calend 01'!D46),'V06 Calend 01'!J46,0))</f>
        <v>0</v>
      </c>
      <c r="DS46" s="2">
        <f>((IF((111='V06 Calend 01'!C46),('V06 Calend 01'!F46+'V06 Calend 01'!G46),0)+IF(AND(('V06 Calend 01'!E46&gt;0),(111&gt;'V06 Calend 01'!C46),(111&lt;'V06 Calend 01'!D46),(MOD((111-'V06 Calend 01'!C46),6)=0),(((111-'V06 Calend 01'!C46)/6)&lt;='V06 Calend 01'!E46)),IF((111=('V06 Calend 01'!C46+(6*'V06 Calend 01'!E46))),('V06 Calend 01'!H46-('V06 Calend 01'!I46*('V06 Calend 01'!E46-1))),'V06 Calend 01'!I46),0))+IF((111='V06 Calend 01'!D46),'V06 Calend 01'!J46,0))</f>
        <v>0</v>
      </c>
      <c r="DT46" s="2">
        <f>((IF((112='V06 Calend 01'!C46),('V06 Calend 01'!F46+'V06 Calend 01'!G46),0)+IF(AND(('V06 Calend 01'!E46&gt;0),(112&gt;'V06 Calend 01'!C46),(112&lt;'V06 Calend 01'!D46),(MOD((112-'V06 Calend 01'!C46),6)=0),(((112-'V06 Calend 01'!C46)/6)&lt;='V06 Calend 01'!E46)),IF((112=('V06 Calend 01'!C46+(6*'V06 Calend 01'!E46))),('V06 Calend 01'!H46-('V06 Calend 01'!I46*('V06 Calend 01'!E46-1))),'V06 Calend 01'!I46),0))+IF((112='V06 Calend 01'!D46),'V06 Calend 01'!J46,0))</f>
        <v>0</v>
      </c>
      <c r="DU46" s="2">
        <f>((IF((113='V06 Calend 01'!C46),('V06 Calend 01'!F46+'V06 Calend 01'!G46),0)+IF(AND(('V06 Calend 01'!E46&gt;0),(113&gt;'V06 Calend 01'!C46),(113&lt;'V06 Calend 01'!D46),(MOD((113-'V06 Calend 01'!C46),6)=0),(((113-'V06 Calend 01'!C46)/6)&lt;='V06 Calend 01'!E46)),IF((113=('V06 Calend 01'!C46+(6*'V06 Calend 01'!E46))),('V06 Calend 01'!H46-('V06 Calend 01'!I46*('V06 Calend 01'!E46-1))),'V06 Calend 01'!I46),0))+IF((113='V06 Calend 01'!D46),'V06 Calend 01'!J46,0))</f>
        <v>0</v>
      </c>
      <c r="DV46" s="2">
        <f>((IF((114='V06 Calend 01'!C46),('V06 Calend 01'!F46+'V06 Calend 01'!G46),0)+IF(AND(('V06 Calend 01'!E46&gt;0),(114&gt;'V06 Calend 01'!C46),(114&lt;'V06 Calend 01'!D46),(MOD((114-'V06 Calend 01'!C46),6)=0),(((114-'V06 Calend 01'!C46)/6)&lt;='V06 Calend 01'!E46)),IF((114=('V06 Calend 01'!C46+(6*'V06 Calend 01'!E46))),('V06 Calend 01'!H46-('V06 Calend 01'!I46*('V06 Calend 01'!E46-1))),'V06 Calend 01'!I46),0))+IF((114='V06 Calend 01'!D46),'V06 Calend 01'!J46,0))</f>
        <v>0</v>
      </c>
      <c r="DW46" s="2">
        <f>((IF((115='V06 Calend 01'!C46),('V06 Calend 01'!F46+'V06 Calend 01'!G46),0)+IF(AND(('V06 Calend 01'!E46&gt;0),(115&gt;'V06 Calend 01'!C46),(115&lt;'V06 Calend 01'!D46),(MOD((115-'V06 Calend 01'!C46),6)=0),(((115-'V06 Calend 01'!C46)/6)&lt;='V06 Calend 01'!E46)),IF((115=('V06 Calend 01'!C46+(6*'V06 Calend 01'!E46))),('V06 Calend 01'!H46-('V06 Calend 01'!I46*('V06 Calend 01'!E46-1))),'V06 Calend 01'!I46),0))+IF((115='V06 Calend 01'!D46),'V06 Calend 01'!J46,0))</f>
        <v>0</v>
      </c>
      <c r="DX46" s="2">
        <f>((IF((116='V06 Calend 01'!C46),('V06 Calend 01'!F46+'V06 Calend 01'!G46),0)+IF(AND(('V06 Calend 01'!E46&gt;0),(116&gt;'V06 Calend 01'!C46),(116&lt;'V06 Calend 01'!D46),(MOD((116-'V06 Calend 01'!C46),6)=0),(((116-'V06 Calend 01'!C46)/6)&lt;='V06 Calend 01'!E46)),IF((116=('V06 Calend 01'!C46+(6*'V06 Calend 01'!E46))),('V06 Calend 01'!H46-('V06 Calend 01'!I46*('V06 Calend 01'!E46-1))),'V06 Calend 01'!I46),0))+IF((116='V06 Calend 01'!D46),'V06 Calend 01'!J46,0))</f>
        <v>0</v>
      </c>
      <c r="DY46" s="2">
        <f>((IF((117='V06 Calend 01'!C46),('V06 Calend 01'!F46+'V06 Calend 01'!G46),0)+IF(AND(('V06 Calend 01'!E46&gt;0),(117&gt;'V06 Calend 01'!C46),(117&lt;'V06 Calend 01'!D46),(MOD((117-'V06 Calend 01'!C46),6)=0),(((117-'V06 Calend 01'!C46)/6)&lt;='V06 Calend 01'!E46)),IF((117=('V06 Calend 01'!C46+(6*'V06 Calend 01'!E46))),('V06 Calend 01'!H46-('V06 Calend 01'!I46*('V06 Calend 01'!E46-1))),'V06 Calend 01'!I46),0))+IF((117='V06 Calend 01'!D46),'V06 Calend 01'!J46,0))</f>
        <v>0</v>
      </c>
      <c r="DZ46" s="2">
        <f>((IF((118='V06 Calend 01'!C46),('V06 Calend 01'!F46+'V06 Calend 01'!G46),0)+IF(AND(('V06 Calend 01'!E46&gt;0),(118&gt;'V06 Calend 01'!C46),(118&lt;'V06 Calend 01'!D46),(MOD((118-'V06 Calend 01'!C46),6)=0),(((118-'V06 Calend 01'!C46)/6)&lt;='V06 Calend 01'!E46)),IF((118=('V06 Calend 01'!C46+(6*'V06 Calend 01'!E46))),('V06 Calend 01'!H46-('V06 Calend 01'!I46*('V06 Calend 01'!E46-1))),'V06 Calend 01'!I46),0))+IF((118='V06 Calend 01'!D46),'V06 Calend 01'!J46,0))</f>
        <v>0</v>
      </c>
      <c r="EA46" s="2">
        <f>((IF((119='V06 Calend 01'!C46),('V06 Calend 01'!F46+'V06 Calend 01'!G46),0)+IF(AND(('V06 Calend 01'!E46&gt;0),(119&gt;'V06 Calend 01'!C46),(119&lt;'V06 Calend 01'!D46),(MOD((119-'V06 Calend 01'!C46),6)=0),(((119-'V06 Calend 01'!C46)/6)&lt;='V06 Calend 01'!E46)),IF((119=('V06 Calend 01'!C46+(6*'V06 Calend 01'!E46))),('V06 Calend 01'!H46-('V06 Calend 01'!I46*('V06 Calend 01'!E46-1))),'V06 Calend 01'!I46),0))+IF((119='V06 Calend 01'!D46),'V06 Calend 01'!J46,0))</f>
        <v>0</v>
      </c>
      <c r="EB46" s="2">
        <f>((IF((120='V06 Calend 01'!C46),('V06 Calend 01'!F46+'V06 Calend 01'!G46),0)+IF(AND(('V06 Calend 01'!E46&gt;0),(120&gt;'V06 Calend 01'!C46),(120&lt;'V06 Calend 01'!D46),(MOD((120-'V06 Calend 01'!C46),6)=0),(((120-'V06 Calend 01'!C46)/6)&lt;='V06 Calend 01'!E46)),IF((120=('V06 Calend 01'!C46+(6*'V06 Calend 01'!E46))),('V06 Calend 01'!H46-('V06 Calend 01'!I46*('V06 Calend 01'!E46-1))),'V06 Calend 01'!I46),0))+IF((120='V06 Calend 01'!D46),'V06 Calend 01'!J46,0))</f>
        <v>0</v>
      </c>
      <c r="EC46" s="2">
        <f>((IF((121='V06 Calend 01'!C46),('V06 Calend 01'!F46+'V06 Calend 01'!G46),0)+IF(AND(('V06 Calend 01'!E46&gt;0),(121&gt;'V06 Calend 01'!C46),(121&lt;'V06 Calend 01'!D46),(MOD((121-'V06 Calend 01'!C46),6)=0),(((121-'V06 Calend 01'!C46)/6)&lt;='V06 Calend 01'!E46)),IF((121=('V06 Calend 01'!C46+(6*'V06 Calend 01'!E46))),('V06 Calend 01'!H46-('V06 Calend 01'!I46*('V06 Calend 01'!E46-1))),'V06 Calend 01'!I46),0))+IF((121='V06 Calend 01'!D46),'V06 Calend 01'!J46,0))</f>
        <v>0</v>
      </c>
      <c r="ED46" s="2">
        <f>((IF((122='V06 Calend 01'!C46),('V06 Calend 01'!F46+'V06 Calend 01'!G46),0)+IF(AND(('V06 Calend 01'!E46&gt;0),(122&gt;'V06 Calend 01'!C46),(122&lt;'V06 Calend 01'!D46),(MOD((122-'V06 Calend 01'!C46),6)=0),(((122-'V06 Calend 01'!C46)/6)&lt;='V06 Calend 01'!E46)),IF((122=('V06 Calend 01'!C46+(6*'V06 Calend 01'!E46))),('V06 Calend 01'!H46-('V06 Calend 01'!I46*('V06 Calend 01'!E46-1))),'V06 Calend 01'!I46),0))+IF((122='V06 Calend 01'!D46),'V06 Calend 01'!J46,0))</f>
        <v>0</v>
      </c>
      <c r="EE46" s="2">
        <f>((IF((123='V06 Calend 01'!C46),('V06 Calend 01'!F46+'V06 Calend 01'!G46),0)+IF(AND(('V06 Calend 01'!E46&gt;0),(123&gt;'V06 Calend 01'!C46),(123&lt;'V06 Calend 01'!D46),(MOD((123-'V06 Calend 01'!C46),6)=0),(((123-'V06 Calend 01'!C46)/6)&lt;='V06 Calend 01'!E46)),IF((123=('V06 Calend 01'!C46+(6*'V06 Calend 01'!E46))),('V06 Calend 01'!H46-('V06 Calend 01'!I46*('V06 Calend 01'!E46-1))),'V06 Calend 01'!I46),0))+IF((123='V06 Calend 01'!D46),'V06 Calend 01'!J46,0))</f>
        <v>0</v>
      </c>
      <c r="EF46" s="2">
        <f>((IF((124='V06 Calend 01'!C46),('V06 Calend 01'!F46+'V06 Calend 01'!G46),0)+IF(AND(('V06 Calend 01'!E46&gt;0),(124&gt;'V06 Calend 01'!C46),(124&lt;'V06 Calend 01'!D46),(MOD((124-'V06 Calend 01'!C46),6)=0),(((124-'V06 Calend 01'!C46)/6)&lt;='V06 Calend 01'!E46)),IF((124=('V06 Calend 01'!C46+(6*'V06 Calend 01'!E46))),('V06 Calend 01'!H46-('V06 Calend 01'!I46*('V06 Calend 01'!E46-1))),'V06 Calend 01'!I46),0))+IF((124='V06 Calend 01'!D46),'V06 Calend 01'!J46,0))</f>
        <v>0</v>
      </c>
      <c r="EG46" s="2">
        <f>((IF((125='V06 Calend 01'!C46),('V06 Calend 01'!F46+'V06 Calend 01'!G46),0)+IF(AND(('V06 Calend 01'!E46&gt;0),(125&gt;'V06 Calend 01'!C46),(125&lt;'V06 Calend 01'!D46),(MOD((125-'V06 Calend 01'!C46),6)=0),(((125-'V06 Calend 01'!C46)/6)&lt;='V06 Calend 01'!E46)),IF((125=('V06 Calend 01'!C46+(6*'V06 Calend 01'!E46))),('V06 Calend 01'!H46-('V06 Calend 01'!I46*('V06 Calend 01'!E46-1))),'V06 Calend 01'!I46),0))+IF((125='V06 Calend 01'!D46),'V06 Calend 01'!J46,0))</f>
        <v>0</v>
      </c>
      <c r="EH46" s="2">
        <f>((IF((126='V06 Calend 01'!C46),('V06 Calend 01'!F46+'V06 Calend 01'!G46),0)+IF(AND(('V06 Calend 01'!E46&gt;0),(126&gt;'V06 Calend 01'!C46),(126&lt;'V06 Calend 01'!D46),(MOD((126-'V06 Calend 01'!C46),6)=0),(((126-'V06 Calend 01'!C46)/6)&lt;='V06 Calend 01'!E46)),IF((126=('V06 Calend 01'!C46+(6*'V06 Calend 01'!E46))),('V06 Calend 01'!H46-('V06 Calend 01'!I46*('V06 Calend 01'!E46-1))),'V06 Calend 01'!I46),0))+IF((126='V06 Calend 01'!D46),'V06 Calend 01'!J46,0))</f>
        <v>0</v>
      </c>
      <c r="EI46" s="2">
        <f>((IF((127='V06 Calend 01'!C46),('V06 Calend 01'!F46+'V06 Calend 01'!G46),0)+IF(AND(('V06 Calend 01'!E46&gt;0),(127&gt;'V06 Calend 01'!C46),(127&lt;'V06 Calend 01'!D46),(MOD((127-'V06 Calend 01'!C46),6)=0),(((127-'V06 Calend 01'!C46)/6)&lt;='V06 Calend 01'!E46)),IF((127=('V06 Calend 01'!C46+(6*'V06 Calend 01'!E46))),('V06 Calend 01'!H46-('V06 Calend 01'!I46*('V06 Calend 01'!E46-1))),'V06 Calend 01'!I46),0))+IF((127='V06 Calend 01'!D46),'V06 Calend 01'!J46,0))</f>
        <v>0</v>
      </c>
      <c r="EJ46" s="2">
        <f>((IF((128='V06 Calend 01'!C46),('V06 Calend 01'!F46+'V06 Calend 01'!G46),0)+IF(AND(('V06 Calend 01'!E46&gt;0),(128&gt;'V06 Calend 01'!C46),(128&lt;'V06 Calend 01'!D46),(MOD((128-'V06 Calend 01'!C46),6)=0),(((128-'V06 Calend 01'!C46)/6)&lt;='V06 Calend 01'!E46)),IF((128=('V06 Calend 01'!C46+(6*'V06 Calend 01'!E46))),('V06 Calend 01'!H46-('V06 Calend 01'!I46*('V06 Calend 01'!E46-1))),'V06 Calend 01'!I46),0))+IF((128='V06 Calend 01'!D46),'V06 Calend 01'!J46,0))</f>
        <v>0</v>
      </c>
      <c r="EK46" s="2">
        <f>((IF((129='V06 Calend 01'!C46),('V06 Calend 01'!F46+'V06 Calend 01'!G46),0)+IF(AND(('V06 Calend 01'!E46&gt;0),(129&gt;'V06 Calend 01'!C46),(129&lt;'V06 Calend 01'!D46),(MOD((129-'V06 Calend 01'!C46),6)=0),(((129-'V06 Calend 01'!C46)/6)&lt;='V06 Calend 01'!E46)),IF((129=('V06 Calend 01'!C46+(6*'V06 Calend 01'!E46))),('V06 Calend 01'!H46-('V06 Calend 01'!I46*('V06 Calend 01'!E46-1))),'V06 Calend 01'!I46),0))+IF((129='V06 Calend 01'!D46),'V06 Calend 01'!J46,0))</f>
        <v>0</v>
      </c>
      <c r="EL46" s="2">
        <f>((IF((130='V06 Calend 01'!C46),('V06 Calend 01'!F46+'V06 Calend 01'!G46),0)+IF(AND(('V06 Calend 01'!E46&gt;0),(130&gt;'V06 Calend 01'!C46),(130&lt;'V06 Calend 01'!D46),(MOD((130-'V06 Calend 01'!C46),6)=0),(((130-'V06 Calend 01'!C46)/6)&lt;='V06 Calend 01'!E46)),IF((130=('V06 Calend 01'!C46+(6*'V06 Calend 01'!E46))),('V06 Calend 01'!H46-('V06 Calend 01'!I46*('V06 Calend 01'!E46-1))),'V06 Calend 01'!I46),0))+IF((130='V06 Calend 01'!D46),'V06 Calend 01'!J46,0))</f>
        <v>0</v>
      </c>
      <c r="EM46" s="2">
        <f>((IF((131='V06 Calend 01'!C46),('V06 Calend 01'!F46+'V06 Calend 01'!G46),0)+IF(AND(('V06 Calend 01'!E46&gt;0),(131&gt;'V06 Calend 01'!C46),(131&lt;'V06 Calend 01'!D46),(MOD((131-'V06 Calend 01'!C46),6)=0),(((131-'V06 Calend 01'!C46)/6)&lt;='V06 Calend 01'!E46)),IF((131=('V06 Calend 01'!C46+(6*'V06 Calend 01'!E46))),('V06 Calend 01'!H46-('V06 Calend 01'!I46*('V06 Calend 01'!E46-1))),'V06 Calend 01'!I46),0))+IF((131='V06 Calend 01'!D46),'V06 Calend 01'!J46,0))</f>
        <v>0</v>
      </c>
      <c r="EN46" s="2">
        <f>((IF((132='V06 Calend 01'!C46),('V06 Calend 01'!F46+'V06 Calend 01'!G46),0)+IF(AND(('V06 Calend 01'!E46&gt;0),(132&gt;'V06 Calend 01'!C46),(132&lt;'V06 Calend 01'!D46),(MOD((132-'V06 Calend 01'!C46),6)=0),(((132-'V06 Calend 01'!C46)/6)&lt;='V06 Calend 01'!E46)),IF((132=('V06 Calend 01'!C46+(6*'V06 Calend 01'!E46))),('V06 Calend 01'!H46-('V06 Calend 01'!I46*('V06 Calend 01'!E46-1))),'V06 Calend 01'!I46),0))+IF((132='V06 Calend 01'!D46),'V06 Calend 01'!J46,0))</f>
        <v>0</v>
      </c>
      <c r="EO46" s="2">
        <f>((IF((133='V06 Calend 01'!C46),('V06 Calend 01'!F46+'V06 Calend 01'!G46),0)+IF(AND(('V06 Calend 01'!E46&gt;0),(133&gt;'V06 Calend 01'!C46),(133&lt;'V06 Calend 01'!D46),(MOD((133-'V06 Calend 01'!C46),6)=0),(((133-'V06 Calend 01'!C46)/6)&lt;='V06 Calend 01'!E46)),IF((133=('V06 Calend 01'!C46+(6*'V06 Calend 01'!E46))),('V06 Calend 01'!H46-('V06 Calend 01'!I46*('V06 Calend 01'!E46-1))),'V06 Calend 01'!I46),0))+IF((133='V06 Calend 01'!D46),'V06 Calend 01'!J46,0))</f>
        <v>0</v>
      </c>
      <c r="EP46" s="2">
        <f>((IF((134='V06 Calend 01'!C46),('V06 Calend 01'!F46+'V06 Calend 01'!G46),0)+IF(AND(('V06 Calend 01'!E46&gt;0),(134&gt;'V06 Calend 01'!C46),(134&lt;'V06 Calend 01'!D46),(MOD((134-'V06 Calend 01'!C46),6)=0),(((134-'V06 Calend 01'!C46)/6)&lt;='V06 Calend 01'!E46)),IF((134=('V06 Calend 01'!C46+(6*'V06 Calend 01'!E46))),('V06 Calend 01'!H46-('V06 Calend 01'!I46*('V06 Calend 01'!E46-1))),'V06 Calend 01'!I46),0))+IF((134='V06 Calend 01'!D46),'V06 Calend 01'!J46,0))</f>
        <v>0</v>
      </c>
      <c r="EQ46" s="2">
        <f>((IF((135='V06 Calend 01'!C46),('V06 Calend 01'!F46+'V06 Calend 01'!G46),0)+IF(AND(('V06 Calend 01'!E46&gt;0),(135&gt;'V06 Calend 01'!C46),(135&lt;'V06 Calend 01'!D46),(MOD((135-'V06 Calend 01'!C46),6)=0),(((135-'V06 Calend 01'!C46)/6)&lt;='V06 Calend 01'!E46)),IF((135=('V06 Calend 01'!C46+(6*'V06 Calend 01'!E46))),('V06 Calend 01'!H46-('V06 Calend 01'!I46*('V06 Calend 01'!E46-1))),'V06 Calend 01'!I46),0))+IF((135='V06 Calend 01'!D46),'V06 Calend 01'!J46,0))</f>
        <v>0</v>
      </c>
      <c r="ER46" s="2">
        <f>((IF((136='V06 Calend 01'!C46),('V06 Calend 01'!F46+'V06 Calend 01'!G46),0)+IF(AND(('V06 Calend 01'!E46&gt;0),(136&gt;'V06 Calend 01'!C46),(136&lt;'V06 Calend 01'!D46),(MOD((136-'V06 Calend 01'!C46),6)=0),(((136-'V06 Calend 01'!C46)/6)&lt;='V06 Calend 01'!E46)),IF((136=('V06 Calend 01'!C46+(6*'V06 Calend 01'!E46))),('V06 Calend 01'!H46-('V06 Calend 01'!I46*('V06 Calend 01'!E46-1))),'V06 Calend 01'!I46),0))+IF((136='V06 Calend 01'!D46),'V06 Calend 01'!J46,0))</f>
        <v>0</v>
      </c>
      <c r="ES46" s="2">
        <f>((IF((137='V06 Calend 01'!C46),('V06 Calend 01'!F46+'V06 Calend 01'!G46),0)+IF(AND(('V06 Calend 01'!E46&gt;0),(137&gt;'V06 Calend 01'!C46),(137&lt;'V06 Calend 01'!D46),(MOD((137-'V06 Calend 01'!C46),6)=0),(((137-'V06 Calend 01'!C46)/6)&lt;='V06 Calend 01'!E46)),IF((137=('V06 Calend 01'!C46+(6*'V06 Calend 01'!E46))),('V06 Calend 01'!H46-('V06 Calend 01'!I46*('V06 Calend 01'!E46-1))),'V06 Calend 01'!I46),0))+IF((137='V06 Calend 01'!D46),'V06 Calend 01'!J46,0))</f>
        <v>0</v>
      </c>
      <c r="ET46" s="2">
        <f>((IF((138='V06 Calend 01'!C46),('V06 Calend 01'!F46+'V06 Calend 01'!G46),0)+IF(AND(('V06 Calend 01'!E46&gt;0),(138&gt;'V06 Calend 01'!C46),(138&lt;'V06 Calend 01'!D46),(MOD((138-'V06 Calend 01'!C46),6)=0),(((138-'V06 Calend 01'!C46)/6)&lt;='V06 Calend 01'!E46)),IF((138=('V06 Calend 01'!C46+(6*'V06 Calend 01'!E46))),('V06 Calend 01'!H46-('V06 Calend 01'!I46*('V06 Calend 01'!E46-1))),'V06 Calend 01'!I46),0))+IF((138='V06 Calend 01'!D46),'V06 Calend 01'!J46,0))</f>
        <v>0</v>
      </c>
      <c r="EU46" s="2">
        <f>((IF((139='V06 Calend 01'!C46),('V06 Calend 01'!F46+'V06 Calend 01'!G46),0)+IF(AND(('V06 Calend 01'!E46&gt;0),(139&gt;'V06 Calend 01'!C46),(139&lt;'V06 Calend 01'!D46),(MOD((139-'V06 Calend 01'!C46),6)=0),(((139-'V06 Calend 01'!C46)/6)&lt;='V06 Calend 01'!E46)),IF((139=('V06 Calend 01'!C46+(6*'V06 Calend 01'!E46))),('V06 Calend 01'!H46-('V06 Calend 01'!I46*('V06 Calend 01'!E46-1))),'V06 Calend 01'!I46),0))+IF((139='V06 Calend 01'!D46),'V06 Calend 01'!J46,0))</f>
        <v>0</v>
      </c>
      <c r="EV46" s="2">
        <f>((IF((140='V06 Calend 01'!C46),('V06 Calend 01'!F46+'V06 Calend 01'!G46),0)+IF(AND(('V06 Calend 01'!E46&gt;0),(140&gt;'V06 Calend 01'!C46),(140&lt;'V06 Calend 01'!D46),(MOD((140-'V06 Calend 01'!C46),6)=0),(((140-'V06 Calend 01'!C46)/6)&lt;='V06 Calend 01'!E46)),IF((140=('V06 Calend 01'!C46+(6*'V06 Calend 01'!E46))),('V06 Calend 01'!H46-('V06 Calend 01'!I46*('V06 Calend 01'!E46-1))),'V06 Calend 01'!I46),0))+IF((140='V06 Calend 01'!D46),'V06 Calend 01'!J46,0))</f>
        <v>0</v>
      </c>
      <c r="EW46" s="2">
        <f>((IF((141='V06 Calend 01'!C46),('V06 Calend 01'!F46+'V06 Calend 01'!G46),0)+IF(AND(('V06 Calend 01'!E46&gt;0),(141&gt;'V06 Calend 01'!C46),(141&lt;'V06 Calend 01'!D46),(MOD((141-'V06 Calend 01'!C46),6)=0),(((141-'V06 Calend 01'!C46)/6)&lt;='V06 Calend 01'!E46)),IF((141=('V06 Calend 01'!C46+(6*'V06 Calend 01'!E46))),('V06 Calend 01'!H46-('V06 Calend 01'!I46*('V06 Calend 01'!E46-1))),'V06 Calend 01'!I46),0))+IF((141='V06 Calend 01'!D46),'V06 Calend 01'!J46,0))</f>
        <v>0</v>
      </c>
      <c r="EX46" s="2">
        <f>((IF((142='V06 Calend 01'!C46),('V06 Calend 01'!F46+'V06 Calend 01'!G46),0)+IF(AND(('V06 Calend 01'!E46&gt;0),(142&gt;'V06 Calend 01'!C46),(142&lt;'V06 Calend 01'!D46),(MOD((142-'V06 Calend 01'!C46),6)=0),(((142-'V06 Calend 01'!C46)/6)&lt;='V06 Calend 01'!E46)),IF((142=('V06 Calend 01'!C46+(6*'V06 Calend 01'!E46))),('V06 Calend 01'!H46-('V06 Calend 01'!I46*('V06 Calend 01'!E46-1))),'V06 Calend 01'!I46),0))+IF((142='V06 Calend 01'!D46),'V06 Calend 01'!J46,0))</f>
        <v>0</v>
      </c>
      <c r="EY46" s="2">
        <f>((IF((143='V06 Calend 01'!C46),('V06 Calend 01'!F46+'V06 Calend 01'!G46),0)+IF(AND(('V06 Calend 01'!E46&gt;0),(143&gt;'V06 Calend 01'!C46),(143&lt;'V06 Calend 01'!D46),(MOD((143-'V06 Calend 01'!C46),6)=0),(((143-'V06 Calend 01'!C46)/6)&lt;='V06 Calend 01'!E46)),IF((143=('V06 Calend 01'!C46+(6*'V06 Calend 01'!E46))),('V06 Calend 01'!H46-('V06 Calend 01'!I46*('V06 Calend 01'!E46-1))),'V06 Calend 01'!I46),0))+IF((143='V06 Calend 01'!D46),'V06 Calend 01'!J46,0))</f>
        <v>0</v>
      </c>
      <c r="EZ46" s="2">
        <f>((IF((144='V06 Calend 01'!C46),('V06 Calend 01'!F46+'V06 Calend 01'!G46),0)+IF(AND(('V06 Calend 01'!E46&gt;0),(144&gt;'V06 Calend 01'!C46),(144&lt;'V06 Calend 01'!D46),(MOD((144-'V06 Calend 01'!C46),6)=0),(((144-'V06 Calend 01'!C46)/6)&lt;='V06 Calend 01'!E46)),IF((144=('V06 Calend 01'!C46+(6*'V06 Calend 01'!E46))),('V06 Calend 01'!H46-('V06 Calend 01'!I46*('V06 Calend 01'!E46-1))),'V06 Calend 01'!I46),0))+IF((144='V06 Calend 01'!D46),'V06 Calend 01'!J46,0))</f>
        <v>0</v>
      </c>
      <c r="FA46" s="2">
        <f>((IF((145='V06 Calend 01'!C46),('V06 Calend 01'!F46+'V06 Calend 01'!G46),0)+IF(AND(('V06 Calend 01'!E46&gt;0),(145&gt;'V06 Calend 01'!C46),(145&lt;'V06 Calend 01'!D46),(MOD((145-'V06 Calend 01'!C46),6)=0),(((145-'V06 Calend 01'!C46)/6)&lt;='V06 Calend 01'!E46)),IF((145=('V06 Calend 01'!C46+(6*'V06 Calend 01'!E46))),('V06 Calend 01'!H46-('V06 Calend 01'!I46*('V06 Calend 01'!E46-1))),'V06 Calend 01'!I46),0))+IF((145='V06 Calend 01'!D46),'V06 Calend 01'!J46,0))</f>
        <v>0</v>
      </c>
      <c r="FB46" s="2">
        <f>((IF((146='V06 Calend 01'!C46),('V06 Calend 01'!F46+'V06 Calend 01'!G46),0)+IF(AND(('V06 Calend 01'!E46&gt;0),(146&gt;'V06 Calend 01'!C46),(146&lt;'V06 Calend 01'!D46),(MOD((146-'V06 Calend 01'!C46),6)=0),(((146-'V06 Calend 01'!C46)/6)&lt;='V06 Calend 01'!E46)),IF((146=('V06 Calend 01'!C46+(6*'V06 Calend 01'!E46))),('V06 Calend 01'!H46-('V06 Calend 01'!I46*('V06 Calend 01'!E46-1))),'V06 Calend 01'!I46),0))+IF((146='V06 Calend 01'!D46),'V06 Calend 01'!J46,0))</f>
        <v>0</v>
      </c>
      <c r="FC46" s="2">
        <f>((IF((147='V06 Calend 01'!C46),('V06 Calend 01'!F46+'V06 Calend 01'!G46),0)+IF(AND(('V06 Calend 01'!E46&gt;0),(147&gt;'V06 Calend 01'!C46),(147&lt;'V06 Calend 01'!D46),(MOD((147-'V06 Calend 01'!C46),6)=0),(((147-'V06 Calend 01'!C46)/6)&lt;='V06 Calend 01'!E46)),IF((147=('V06 Calend 01'!C46+(6*'V06 Calend 01'!E46))),('V06 Calend 01'!H46-('V06 Calend 01'!I46*('V06 Calend 01'!E46-1))),'V06 Calend 01'!I46),0))+IF((147='V06 Calend 01'!D46),'V06 Calend 01'!J46,0))</f>
        <v>0</v>
      </c>
      <c r="FD46" s="2">
        <f>((IF((148='V06 Calend 01'!C46),('V06 Calend 01'!F46+'V06 Calend 01'!G46),0)+IF(AND(('V06 Calend 01'!E46&gt;0),(148&gt;'V06 Calend 01'!C46),(148&lt;'V06 Calend 01'!D46),(MOD((148-'V06 Calend 01'!C46),6)=0),(((148-'V06 Calend 01'!C46)/6)&lt;='V06 Calend 01'!E46)),IF((148=('V06 Calend 01'!C46+(6*'V06 Calend 01'!E46))),('V06 Calend 01'!H46-('V06 Calend 01'!I46*('V06 Calend 01'!E46-1))),'V06 Calend 01'!I46),0))+IF((148='V06 Calend 01'!D46),'V06 Calend 01'!J46,0))</f>
        <v>0</v>
      </c>
      <c r="FE46" s="2">
        <f>((IF((149='V06 Calend 01'!C46),('V06 Calend 01'!F46+'V06 Calend 01'!G46),0)+IF(AND(('V06 Calend 01'!E46&gt;0),(149&gt;'V06 Calend 01'!C46),(149&lt;'V06 Calend 01'!D46),(MOD((149-'V06 Calend 01'!C46),6)=0),(((149-'V06 Calend 01'!C46)/6)&lt;='V06 Calend 01'!E46)),IF((149=('V06 Calend 01'!C46+(6*'V06 Calend 01'!E46))),('V06 Calend 01'!H46-('V06 Calend 01'!I46*('V06 Calend 01'!E46-1))),'V06 Calend 01'!I46),0))+IF((149='V06 Calend 01'!D46),'V06 Calend 01'!J46,0))</f>
        <v>0</v>
      </c>
      <c r="FF46" s="2">
        <f>((IF((150='V06 Calend 01'!C46),('V06 Calend 01'!F46+'V06 Calend 01'!G46),0)+IF(AND(('V06 Calend 01'!E46&gt;0),(150&gt;'V06 Calend 01'!C46),(150&lt;'V06 Calend 01'!D46),(MOD((150-'V06 Calend 01'!C46),6)=0),(((150-'V06 Calend 01'!C46)/6)&lt;='V06 Calend 01'!E46)),IF((150=('V06 Calend 01'!C46+(6*'V06 Calend 01'!E46))),('V06 Calend 01'!H46-('V06 Calend 01'!I46*('V06 Calend 01'!E46-1))),'V06 Calend 01'!I46),0))+IF((150='V06 Calend 01'!D46),'V06 Calend 01'!J46,0))</f>
        <v>0</v>
      </c>
      <c r="FG46" s="2">
        <f>((IF((151='V06 Calend 01'!C46),('V06 Calend 01'!F46+'V06 Calend 01'!G46),0)+IF(AND(('V06 Calend 01'!E46&gt;0),(151&gt;'V06 Calend 01'!C46),(151&lt;'V06 Calend 01'!D46),(MOD((151-'V06 Calend 01'!C46),6)=0),(((151-'V06 Calend 01'!C46)/6)&lt;='V06 Calend 01'!E46)),IF((151=('V06 Calend 01'!C46+(6*'V06 Calend 01'!E46))),('V06 Calend 01'!H46-('V06 Calend 01'!I46*('V06 Calend 01'!E46-1))),'V06 Calend 01'!I46),0))+IF((151='V06 Calend 01'!D46),'V06 Calend 01'!J46,0))</f>
        <v>0</v>
      </c>
      <c r="FH46" s="2">
        <f>((IF((152='V06 Calend 01'!C46),('V06 Calend 01'!F46+'V06 Calend 01'!G46),0)+IF(AND(('V06 Calend 01'!E46&gt;0),(152&gt;'V06 Calend 01'!C46),(152&lt;'V06 Calend 01'!D46),(MOD((152-'V06 Calend 01'!C46),6)=0),(((152-'V06 Calend 01'!C46)/6)&lt;='V06 Calend 01'!E46)),IF((152=('V06 Calend 01'!C46+(6*'V06 Calend 01'!E46))),('V06 Calend 01'!H46-('V06 Calend 01'!I46*('V06 Calend 01'!E46-1))),'V06 Calend 01'!I46),0))+IF((152='V06 Calend 01'!D46),'V06 Calend 01'!J46,0))</f>
        <v>0</v>
      </c>
      <c r="FI46" s="2">
        <f>((IF((153='V06 Calend 01'!C46),('V06 Calend 01'!F46+'V06 Calend 01'!G46),0)+IF(AND(('V06 Calend 01'!E46&gt;0),(153&gt;'V06 Calend 01'!C46),(153&lt;'V06 Calend 01'!D46),(MOD((153-'V06 Calend 01'!C46),6)=0),(((153-'V06 Calend 01'!C46)/6)&lt;='V06 Calend 01'!E46)),IF((153=('V06 Calend 01'!C46+(6*'V06 Calend 01'!E46))),('V06 Calend 01'!H46-('V06 Calend 01'!I46*('V06 Calend 01'!E46-1))),'V06 Calend 01'!I46),0))+IF((153='V06 Calend 01'!D46),'V06 Calend 01'!J46,0))</f>
        <v>0</v>
      </c>
      <c r="FJ46" s="2">
        <f>((IF((154='V06 Calend 01'!C46),('V06 Calend 01'!F46+'V06 Calend 01'!G46),0)+IF(AND(('V06 Calend 01'!E46&gt;0),(154&gt;'V06 Calend 01'!C46),(154&lt;'V06 Calend 01'!D46),(MOD((154-'V06 Calend 01'!C46),6)=0),(((154-'V06 Calend 01'!C46)/6)&lt;='V06 Calend 01'!E46)),IF((154=('V06 Calend 01'!C46+(6*'V06 Calend 01'!E46))),('V06 Calend 01'!H46-('V06 Calend 01'!I46*('V06 Calend 01'!E46-1))),'V06 Calend 01'!I46),0))+IF((154='V06 Calend 01'!D46),'V06 Calend 01'!J46,0))</f>
        <v>0</v>
      </c>
      <c r="FK46" s="2">
        <f>((IF((155='V06 Calend 01'!C46),('V06 Calend 01'!F46+'V06 Calend 01'!G46),0)+IF(AND(('V06 Calend 01'!E46&gt;0),(155&gt;'V06 Calend 01'!C46),(155&lt;'V06 Calend 01'!D46),(MOD((155-'V06 Calend 01'!C46),6)=0),(((155-'V06 Calend 01'!C46)/6)&lt;='V06 Calend 01'!E46)),IF((155=('V06 Calend 01'!C46+(6*'V06 Calend 01'!E46))),('V06 Calend 01'!H46-('V06 Calend 01'!I46*('V06 Calend 01'!E46-1))),'V06 Calend 01'!I46),0))+IF((155='V06 Calend 01'!D46),'V06 Calend 01'!J46,0))</f>
        <v>0</v>
      </c>
      <c r="FL46" s="2">
        <f>((IF((156='V06 Calend 01'!C46),('V06 Calend 01'!F46+'V06 Calend 01'!G46),0)+IF(AND(('V06 Calend 01'!E46&gt;0),(156&gt;'V06 Calend 01'!C46),(156&lt;'V06 Calend 01'!D46),(MOD((156-'V06 Calend 01'!C46),6)=0),(((156-'V06 Calend 01'!C46)/6)&lt;='V06 Calend 01'!E46)),IF((156=('V06 Calend 01'!C46+(6*'V06 Calend 01'!E46))),('V06 Calend 01'!H46-('V06 Calend 01'!I46*('V06 Calend 01'!E46-1))),'V06 Calend 01'!I46),0))+IF((156='V06 Calend 01'!D46),'V06 Calend 01'!J46,0))</f>
        <v>0</v>
      </c>
      <c r="FM46" s="2">
        <f>((IF((157='V06 Calend 01'!C46),('V06 Calend 01'!F46+'V06 Calend 01'!G46),0)+IF(AND(('V06 Calend 01'!E46&gt;0),(157&gt;'V06 Calend 01'!C46),(157&lt;'V06 Calend 01'!D46),(MOD((157-'V06 Calend 01'!C46),6)=0),(((157-'V06 Calend 01'!C46)/6)&lt;='V06 Calend 01'!E46)),IF((157=('V06 Calend 01'!C46+(6*'V06 Calend 01'!E46))),('V06 Calend 01'!H46-('V06 Calend 01'!I46*('V06 Calend 01'!E46-1))),'V06 Calend 01'!I46),0))+IF((157='V06 Calend 01'!D46),'V06 Calend 01'!J46,0))</f>
        <v>0</v>
      </c>
      <c r="FN46" s="2">
        <f>((IF((158='V06 Calend 01'!C46),('V06 Calend 01'!F46+'V06 Calend 01'!G46),0)+IF(AND(('V06 Calend 01'!E46&gt;0),(158&gt;'V06 Calend 01'!C46),(158&lt;'V06 Calend 01'!D46),(MOD((158-'V06 Calend 01'!C46),6)=0),(((158-'V06 Calend 01'!C46)/6)&lt;='V06 Calend 01'!E46)),IF((158=('V06 Calend 01'!C46+(6*'V06 Calend 01'!E46))),('V06 Calend 01'!H46-('V06 Calend 01'!I46*('V06 Calend 01'!E46-1))),'V06 Calend 01'!I46),0))+IF((158='V06 Calend 01'!D46),'V06 Calend 01'!J46,0))</f>
        <v>0</v>
      </c>
      <c r="FO46" s="2">
        <f>((IF((159='V06 Calend 01'!C46),('V06 Calend 01'!F46+'V06 Calend 01'!G46),0)+IF(AND(('V06 Calend 01'!E46&gt;0),(159&gt;'V06 Calend 01'!C46),(159&lt;'V06 Calend 01'!D46),(MOD((159-'V06 Calend 01'!C46),6)=0),(((159-'V06 Calend 01'!C46)/6)&lt;='V06 Calend 01'!E46)),IF((159=('V06 Calend 01'!C46+(6*'V06 Calend 01'!E46))),('V06 Calend 01'!H46-('V06 Calend 01'!I46*('V06 Calend 01'!E46-1))),'V06 Calend 01'!I46),0))+IF((159='V06 Calend 01'!D46),'V06 Calend 01'!J46,0))</f>
        <v>0</v>
      </c>
      <c r="FP46" s="2">
        <f>((IF((160='V06 Calend 01'!C46),('V06 Calend 01'!F46+'V06 Calend 01'!G46),0)+IF(AND(('V06 Calend 01'!E46&gt;0),(160&gt;'V06 Calend 01'!C46),(160&lt;'V06 Calend 01'!D46),(MOD((160-'V06 Calend 01'!C46),6)=0),(((160-'V06 Calend 01'!C46)/6)&lt;='V06 Calend 01'!E46)),IF((160=('V06 Calend 01'!C46+(6*'V06 Calend 01'!E46))),('V06 Calend 01'!H46-('V06 Calend 01'!I46*('V06 Calend 01'!E46-1))),'V06 Calend 01'!I46),0))+IF((160='V06 Calend 01'!D46),'V06 Calend 01'!J46,0))</f>
        <v>0</v>
      </c>
      <c r="FQ46" s="2">
        <f>((IF((161='V06 Calend 01'!C46),('V06 Calend 01'!F46+'V06 Calend 01'!G46),0)+IF(AND(('V06 Calend 01'!E46&gt;0),(161&gt;'V06 Calend 01'!C46),(161&lt;'V06 Calend 01'!D46),(MOD((161-'V06 Calend 01'!C46),6)=0),(((161-'V06 Calend 01'!C46)/6)&lt;='V06 Calend 01'!E46)),IF((161=('V06 Calend 01'!C46+(6*'V06 Calend 01'!E46))),('V06 Calend 01'!H46-('V06 Calend 01'!I46*('V06 Calend 01'!E46-1))),'V06 Calend 01'!I46),0))+IF((161='V06 Calend 01'!D46),'V06 Calend 01'!J46,0))</f>
        <v>0</v>
      </c>
      <c r="FR46" s="2">
        <f>((IF((162='V06 Calend 01'!C46),('V06 Calend 01'!F46+'V06 Calend 01'!G46),0)+IF(AND(('V06 Calend 01'!E46&gt;0),(162&gt;'V06 Calend 01'!C46),(162&lt;'V06 Calend 01'!D46),(MOD((162-'V06 Calend 01'!C46),6)=0),(((162-'V06 Calend 01'!C46)/6)&lt;='V06 Calend 01'!E46)),IF((162=('V06 Calend 01'!C46+(6*'V06 Calend 01'!E46))),('V06 Calend 01'!H46-('V06 Calend 01'!I46*('V06 Calend 01'!E46-1))),'V06 Calend 01'!I46),0))+IF((162='V06 Calend 01'!D46),'V06 Calend 01'!J46,0))</f>
        <v>0</v>
      </c>
      <c r="FS46" s="2">
        <f>((IF((163='V06 Calend 01'!C46),('V06 Calend 01'!F46+'V06 Calend 01'!G46),0)+IF(AND(('V06 Calend 01'!E46&gt;0),(163&gt;'V06 Calend 01'!C46),(163&lt;'V06 Calend 01'!D46),(MOD((163-'V06 Calend 01'!C46),6)=0),(((163-'V06 Calend 01'!C46)/6)&lt;='V06 Calend 01'!E46)),IF((163=('V06 Calend 01'!C46+(6*'V06 Calend 01'!E46))),('V06 Calend 01'!H46-('V06 Calend 01'!I46*('V06 Calend 01'!E46-1))),'V06 Calend 01'!I46),0))+IF((163='V06 Calend 01'!D46),'V06 Calend 01'!J46,0))</f>
        <v>0</v>
      </c>
      <c r="FT46" s="2">
        <f>((IF((164='V06 Calend 01'!C46),('V06 Calend 01'!F46+'V06 Calend 01'!G46),0)+IF(AND(('V06 Calend 01'!E46&gt;0),(164&gt;'V06 Calend 01'!C46),(164&lt;'V06 Calend 01'!D46),(MOD((164-'V06 Calend 01'!C46),6)=0),(((164-'V06 Calend 01'!C46)/6)&lt;='V06 Calend 01'!E46)),IF((164=('V06 Calend 01'!C46+(6*'V06 Calend 01'!E46))),('V06 Calend 01'!H46-('V06 Calend 01'!I46*('V06 Calend 01'!E46-1))),'V06 Calend 01'!I46),0))+IF((164='V06 Calend 01'!D46),'V06 Calend 01'!J46,0))</f>
        <v>0</v>
      </c>
      <c r="FU46" s="2">
        <f>((IF((165='V06 Calend 01'!C46),('V06 Calend 01'!F46+'V06 Calend 01'!G46),0)+IF(AND(('V06 Calend 01'!E46&gt;0),(165&gt;'V06 Calend 01'!C46),(165&lt;'V06 Calend 01'!D46),(MOD((165-'V06 Calend 01'!C46),6)=0),(((165-'V06 Calend 01'!C46)/6)&lt;='V06 Calend 01'!E46)),IF((165=('V06 Calend 01'!C46+(6*'V06 Calend 01'!E46))),('V06 Calend 01'!H46-('V06 Calend 01'!I46*('V06 Calend 01'!E46-1))),'V06 Calend 01'!I46),0))+IF((165='V06 Calend 01'!D46),'V06 Calend 01'!J46,0))</f>
        <v>0</v>
      </c>
      <c r="FV46" s="2">
        <f>((IF((166='V06 Calend 01'!C46),('V06 Calend 01'!F46+'V06 Calend 01'!G46),0)+IF(AND(('V06 Calend 01'!E46&gt;0),(166&gt;'V06 Calend 01'!C46),(166&lt;'V06 Calend 01'!D46),(MOD((166-'V06 Calend 01'!C46),6)=0),(((166-'V06 Calend 01'!C46)/6)&lt;='V06 Calend 01'!E46)),IF((166=('V06 Calend 01'!C46+(6*'V06 Calend 01'!E46))),('V06 Calend 01'!H46-('V06 Calend 01'!I46*('V06 Calend 01'!E46-1))),'V06 Calend 01'!I46),0))+IF((166='V06 Calend 01'!D46),'V06 Calend 01'!J46,0))</f>
        <v>0</v>
      </c>
      <c r="FW46" s="2">
        <f>((IF((167='V06 Calend 01'!C46),('V06 Calend 01'!F46+'V06 Calend 01'!G46),0)+IF(AND(('V06 Calend 01'!E46&gt;0),(167&gt;'V06 Calend 01'!C46),(167&lt;'V06 Calend 01'!D46),(MOD((167-'V06 Calend 01'!C46),6)=0),(((167-'V06 Calend 01'!C46)/6)&lt;='V06 Calend 01'!E46)),IF((167=('V06 Calend 01'!C46+(6*'V06 Calend 01'!E46))),('V06 Calend 01'!H46-('V06 Calend 01'!I46*('V06 Calend 01'!E46-1))),'V06 Calend 01'!I46),0))+IF((167='V06 Calend 01'!D46),'V06 Calend 01'!J46,0))</f>
        <v>0</v>
      </c>
      <c r="FX46" s="2">
        <f>((IF((168='V06 Calend 01'!C46),('V06 Calend 01'!F46+'V06 Calend 01'!G46),0)+IF(AND(('V06 Calend 01'!E46&gt;0),(168&gt;'V06 Calend 01'!C46),(168&lt;'V06 Calend 01'!D46),(MOD((168-'V06 Calend 01'!C46),6)=0),(((168-'V06 Calend 01'!C46)/6)&lt;='V06 Calend 01'!E46)),IF((168=('V06 Calend 01'!C46+(6*'V06 Calend 01'!E46))),('V06 Calend 01'!H46-('V06 Calend 01'!I46*('V06 Calend 01'!E46-1))),'V06 Calend 01'!I46),0))+IF((168='V06 Calend 01'!D46),'V06 Calend 01'!J46,0))</f>
        <v>0</v>
      </c>
      <c r="FY46" s="2">
        <f>((IF((169='V06 Calend 01'!C46),('V06 Calend 01'!F46+'V06 Calend 01'!G46),0)+IF(AND(('V06 Calend 01'!E46&gt;0),(169&gt;'V06 Calend 01'!C46),(169&lt;'V06 Calend 01'!D46),(MOD((169-'V06 Calend 01'!C46),6)=0),(((169-'V06 Calend 01'!C46)/6)&lt;='V06 Calend 01'!E46)),IF((169=('V06 Calend 01'!C46+(6*'V06 Calend 01'!E46))),('V06 Calend 01'!H46-('V06 Calend 01'!I46*('V06 Calend 01'!E46-1))),'V06 Calend 01'!I46),0))+IF((169='V06 Calend 01'!D46),'V06 Calend 01'!J46,0))</f>
        <v>0</v>
      </c>
      <c r="FZ46" s="2">
        <f>((IF((170='V06 Calend 01'!C46),('V06 Calend 01'!F46+'V06 Calend 01'!G46),0)+IF(AND(('V06 Calend 01'!E46&gt;0),(170&gt;'V06 Calend 01'!C46),(170&lt;'V06 Calend 01'!D46),(MOD((170-'V06 Calend 01'!C46),6)=0),(((170-'V06 Calend 01'!C46)/6)&lt;='V06 Calend 01'!E46)),IF((170=('V06 Calend 01'!C46+(6*'V06 Calend 01'!E46))),('V06 Calend 01'!H46-('V06 Calend 01'!I46*('V06 Calend 01'!E46-1))),'V06 Calend 01'!I46),0))+IF((170='V06 Calend 01'!D46),'V06 Calend 01'!J46,0))</f>
        <v>0</v>
      </c>
      <c r="GA46" s="2">
        <f>((IF((171='V06 Calend 01'!C46),('V06 Calend 01'!F46+'V06 Calend 01'!G46),0)+IF(AND(('V06 Calend 01'!E46&gt;0),(171&gt;'V06 Calend 01'!C46),(171&lt;'V06 Calend 01'!D46),(MOD((171-'V06 Calend 01'!C46),6)=0),(((171-'V06 Calend 01'!C46)/6)&lt;='V06 Calend 01'!E46)),IF((171=('V06 Calend 01'!C46+(6*'V06 Calend 01'!E46))),('V06 Calend 01'!H46-('V06 Calend 01'!I46*('V06 Calend 01'!E46-1))),'V06 Calend 01'!I46),0))+IF((171='V06 Calend 01'!D46),'V06 Calend 01'!J46,0))</f>
        <v>0</v>
      </c>
      <c r="GB46" s="2">
        <f>((IF((172='V06 Calend 01'!C46),('V06 Calend 01'!F46+'V06 Calend 01'!G46),0)+IF(AND(('V06 Calend 01'!E46&gt;0),(172&gt;'V06 Calend 01'!C46),(172&lt;'V06 Calend 01'!D46),(MOD((172-'V06 Calend 01'!C46),6)=0),(((172-'V06 Calend 01'!C46)/6)&lt;='V06 Calend 01'!E46)),IF((172=('V06 Calend 01'!C46+(6*'V06 Calend 01'!E46))),('V06 Calend 01'!H46-('V06 Calend 01'!I46*('V06 Calend 01'!E46-1))),'V06 Calend 01'!I46),0))+IF((172='V06 Calend 01'!D46),'V06 Calend 01'!J46,0))</f>
        <v>0</v>
      </c>
      <c r="GC46" s="2">
        <f>((IF((173='V06 Calend 01'!C46),('V06 Calend 01'!F46+'V06 Calend 01'!G46),0)+IF(AND(('V06 Calend 01'!E46&gt;0),(173&gt;'V06 Calend 01'!C46),(173&lt;'V06 Calend 01'!D46),(MOD((173-'V06 Calend 01'!C46),6)=0),(((173-'V06 Calend 01'!C46)/6)&lt;='V06 Calend 01'!E46)),IF((173=('V06 Calend 01'!C46+(6*'V06 Calend 01'!E46))),('V06 Calend 01'!H46-('V06 Calend 01'!I46*('V06 Calend 01'!E46-1))),'V06 Calend 01'!I46),0))+IF((173='V06 Calend 01'!D46),'V06 Calend 01'!J46,0))</f>
        <v>0</v>
      </c>
      <c r="GD46" s="2">
        <f>((IF((174='V06 Calend 01'!C46),('V06 Calend 01'!F46+'V06 Calend 01'!G46),0)+IF(AND(('V06 Calend 01'!E46&gt;0),(174&gt;'V06 Calend 01'!C46),(174&lt;'V06 Calend 01'!D46),(MOD((174-'V06 Calend 01'!C46),6)=0),(((174-'V06 Calend 01'!C46)/6)&lt;='V06 Calend 01'!E46)),IF((174=('V06 Calend 01'!C46+(6*'V06 Calend 01'!E46))),('V06 Calend 01'!H46-('V06 Calend 01'!I46*('V06 Calend 01'!E46-1))),'V06 Calend 01'!I46),0))+IF((174='V06 Calend 01'!D46),'V06 Calend 01'!J46,0))</f>
        <v>0</v>
      </c>
      <c r="GE46" s="2">
        <f>((IF((175='V06 Calend 01'!C46),('V06 Calend 01'!F46+'V06 Calend 01'!G46),0)+IF(AND(('V06 Calend 01'!E46&gt;0),(175&gt;'V06 Calend 01'!C46),(175&lt;'V06 Calend 01'!D46),(MOD((175-'V06 Calend 01'!C46),6)=0),(((175-'V06 Calend 01'!C46)/6)&lt;='V06 Calend 01'!E46)),IF((175=('V06 Calend 01'!C46+(6*'V06 Calend 01'!E46))),('V06 Calend 01'!H46-('V06 Calend 01'!I46*('V06 Calend 01'!E46-1))),'V06 Calend 01'!I46),0))+IF((175='V06 Calend 01'!D46),'V06 Calend 01'!J46,0))</f>
        <v>0</v>
      </c>
      <c r="GF46" s="2">
        <f>((IF((176='V06 Calend 01'!C46),('V06 Calend 01'!F46+'V06 Calend 01'!G46),0)+IF(AND(('V06 Calend 01'!E46&gt;0),(176&gt;'V06 Calend 01'!C46),(176&lt;'V06 Calend 01'!D46),(MOD((176-'V06 Calend 01'!C46),6)=0),(((176-'V06 Calend 01'!C46)/6)&lt;='V06 Calend 01'!E46)),IF((176=('V06 Calend 01'!C46+(6*'V06 Calend 01'!E46))),('V06 Calend 01'!H46-('V06 Calend 01'!I46*('V06 Calend 01'!E46-1))),'V06 Calend 01'!I46),0))+IF((176='V06 Calend 01'!D46),'V06 Calend 01'!J46,0))</f>
        <v>0</v>
      </c>
      <c r="GG46" s="2">
        <f>((IF((177='V06 Calend 01'!C46),('V06 Calend 01'!F46+'V06 Calend 01'!G46),0)+IF(AND(('V06 Calend 01'!E46&gt;0),(177&gt;'V06 Calend 01'!C46),(177&lt;'V06 Calend 01'!D46),(MOD((177-'V06 Calend 01'!C46),6)=0),(((177-'V06 Calend 01'!C46)/6)&lt;='V06 Calend 01'!E46)),IF((177=('V06 Calend 01'!C46+(6*'V06 Calend 01'!E46))),('V06 Calend 01'!H46-('V06 Calend 01'!I46*('V06 Calend 01'!E46-1))),'V06 Calend 01'!I46),0))+IF((177='V06 Calend 01'!D46),'V06 Calend 01'!J46,0))</f>
        <v>0</v>
      </c>
      <c r="GH46" s="2">
        <f>((IF((178='V06 Calend 01'!C46),('V06 Calend 01'!F46+'V06 Calend 01'!G46),0)+IF(AND(('V06 Calend 01'!E46&gt;0),(178&gt;'V06 Calend 01'!C46),(178&lt;'V06 Calend 01'!D46),(MOD((178-'V06 Calend 01'!C46),6)=0),(((178-'V06 Calend 01'!C46)/6)&lt;='V06 Calend 01'!E46)),IF((178=('V06 Calend 01'!C46+(6*'V06 Calend 01'!E46))),('V06 Calend 01'!H46-('V06 Calend 01'!I46*('V06 Calend 01'!E46-1))),'V06 Calend 01'!I46),0))+IF((178='V06 Calend 01'!D46),'V06 Calend 01'!J46,0))</f>
        <v>0</v>
      </c>
      <c r="GI46" s="2">
        <f>((IF((179='V06 Calend 01'!C46),('V06 Calend 01'!F46+'V06 Calend 01'!G46),0)+IF(AND(('V06 Calend 01'!E46&gt;0),(179&gt;'V06 Calend 01'!C46),(179&lt;'V06 Calend 01'!D46),(MOD((179-'V06 Calend 01'!C46),6)=0),(((179-'V06 Calend 01'!C46)/6)&lt;='V06 Calend 01'!E46)),IF((179=('V06 Calend 01'!C46+(6*'V06 Calend 01'!E46))),('V06 Calend 01'!H46-('V06 Calend 01'!I46*('V06 Calend 01'!E46-1))),'V06 Calend 01'!I46),0))+IF((179='V06 Calend 01'!D46),'V06 Calend 01'!J46,0))</f>
        <v>0</v>
      </c>
      <c r="GJ46" s="2">
        <f>((IF((180='V06 Calend 01'!C46),('V06 Calend 01'!F46+'V06 Calend 01'!G46),0)+IF(AND(('V06 Calend 01'!E46&gt;0),(180&gt;'V06 Calend 01'!C46),(180&lt;'V06 Calend 01'!D46),(MOD((180-'V06 Calend 01'!C46),6)=0),(((180-'V06 Calend 01'!C46)/6)&lt;='V06 Calend 01'!E46)),IF((180=('V06 Calend 01'!C46+(6*'V06 Calend 01'!E46))),('V06 Calend 01'!H46-('V06 Calend 01'!I46*('V06 Calend 01'!E46-1))),'V06 Calend 01'!I46),0))+IF((180='V06 Calend 01'!D46),'V06 Calend 01'!J46,0))</f>
        <v>0</v>
      </c>
    </row>
    <row r="47" spans="1:192">
      <c r="A47" s="3" t="str">
        <f>'V06 Unidades'!$A$47</f>
        <v>603</v>
      </c>
      <c r="B47" s="2">
        <f>'V06 Unidades'!$H$47</f>
        <v>307244.17</v>
      </c>
      <c r="C47" s="4">
        <f>('V06 Unidades'!$I$47+'V06 Controlos'!$B$37)</f>
        <v>1</v>
      </c>
      <c r="D47" s="4">
        <f>IF(('V06 Controlos'!$B$38&gt;0),MAX(('V06 Unidades'!$L$47+'V06 Controlos'!$B$37),(30+'V06 Controlos'!$B$38)),('V06 Unidades'!$L$47+'V06 Controlos'!$B$37))</f>
        <v>28</v>
      </c>
      <c r="E47" s="4">
        <f>MAX(0,INT(((('V06 Calend 01'!D47-'V06 Calend 01'!C47)-1)/6)))</f>
        <v>4</v>
      </c>
      <c r="F47" s="2">
        <f>ROUND(('V06 Calend 01'!B47*0.05),2)</f>
        <v>15362.21</v>
      </c>
      <c r="G47" s="2">
        <f>ROUND(('V06 Calend 01'!B47*0.2),2)</f>
        <v>61448.83</v>
      </c>
      <c r="H47" s="2">
        <f>ROUND(('V06 Calend 01'!B47*0.55),2)</f>
        <v>168984.29</v>
      </c>
      <c r="I47" s="2">
        <f>ROUND(('V06 Calend 01'!H47/MAX(1,'V06 Calend 01'!E47)),2)</f>
        <v>42246.07</v>
      </c>
      <c r="J47" s="2">
        <f>((('V06 Calend 01'!B47-'V06 Calend 01'!F47)-'V06 Calend 01'!G47)-'V06 Calend 01'!H47)</f>
        <v>61448.83999999994</v>
      </c>
      <c r="K47" s="2">
        <f>('V06 Calend 01'!B47*0.025)</f>
        <v>7681.10425</v>
      </c>
      <c r="L47" t="s">
        <v>378</v>
      </c>
      <c r="M47" s="2">
        <f>((IF((1='V06 Calend 01'!C47),('V06 Calend 01'!F47+'V06 Calend 01'!G47),0)+IF(AND(('V06 Calend 01'!E47&gt;0),(1&gt;'V06 Calend 01'!C47),(1&lt;'V06 Calend 01'!D47),(MOD((1-'V06 Calend 01'!C47),6)=0),(((1-'V06 Calend 01'!C47)/6)&lt;='V06 Calend 01'!E47)),IF((1=('V06 Calend 01'!C47+(6*'V06 Calend 01'!E47))),('V06 Calend 01'!H47-('V06 Calend 01'!I47*('V06 Calend 01'!E47-1))),'V06 Calend 01'!I47),0))+IF((1='V06 Calend 01'!D47),'V06 Calend 01'!J47,0))</f>
        <v>76811.04000000001</v>
      </c>
      <c r="N47" s="2">
        <f>((IF((2='V06 Calend 01'!C47),('V06 Calend 01'!F47+'V06 Calend 01'!G47),0)+IF(AND(('V06 Calend 01'!E47&gt;0),(2&gt;'V06 Calend 01'!C47),(2&lt;'V06 Calend 01'!D47),(MOD((2-'V06 Calend 01'!C47),6)=0),(((2-'V06 Calend 01'!C47)/6)&lt;='V06 Calend 01'!E47)),IF((2=('V06 Calend 01'!C47+(6*'V06 Calend 01'!E47))),('V06 Calend 01'!H47-('V06 Calend 01'!I47*('V06 Calend 01'!E47-1))),'V06 Calend 01'!I47),0))+IF((2='V06 Calend 01'!D47),'V06 Calend 01'!J47,0))</f>
        <v>0</v>
      </c>
      <c r="O47" s="2">
        <f>((IF((3='V06 Calend 01'!C47),('V06 Calend 01'!F47+'V06 Calend 01'!G47),0)+IF(AND(('V06 Calend 01'!E47&gt;0),(3&gt;'V06 Calend 01'!C47),(3&lt;'V06 Calend 01'!D47),(MOD((3-'V06 Calend 01'!C47),6)=0),(((3-'V06 Calend 01'!C47)/6)&lt;='V06 Calend 01'!E47)),IF((3=('V06 Calend 01'!C47+(6*'V06 Calend 01'!E47))),('V06 Calend 01'!H47-('V06 Calend 01'!I47*('V06 Calend 01'!E47-1))),'V06 Calend 01'!I47),0))+IF((3='V06 Calend 01'!D47),'V06 Calend 01'!J47,0))</f>
        <v>0</v>
      </c>
      <c r="P47" s="2">
        <f>((IF((4='V06 Calend 01'!C47),('V06 Calend 01'!F47+'V06 Calend 01'!G47),0)+IF(AND(('V06 Calend 01'!E47&gt;0),(4&gt;'V06 Calend 01'!C47),(4&lt;'V06 Calend 01'!D47),(MOD((4-'V06 Calend 01'!C47),6)=0),(((4-'V06 Calend 01'!C47)/6)&lt;='V06 Calend 01'!E47)),IF((4=('V06 Calend 01'!C47+(6*'V06 Calend 01'!E47))),('V06 Calend 01'!H47-('V06 Calend 01'!I47*('V06 Calend 01'!E47-1))),'V06 Calend 01'!I47),0))+IF((4='V06 Calend 01'!D47),'V06 Calend 01'!J47,0))</f>
        <v>0</v>
      </c>
      <c r="Q47" s="2">
        <f>((IF((5='V06 Calend 01'!C47),('V06 Calend 01'!F47+'V06 Calend 01'!G47),0)+IF(AND(('V06 Calend 01'!E47&gt;0),(5&gt;'V06 Calend 01'!C47),(5&lt;'V06 Calend 01'!D47),(MOD((5-'V06 Calend 01'!C47),6)=0),(((5-'V06 Calend 01'!C47)/6)&lt;='V06 Calend 01'!E47)),IF((5=('V06 Calend 01'!C47+(6*'V06 Calend 01'!E47))),('V06 Calend 01'!H47-('V06 Calend 01'!I47*('V06 Calend 01'!E47-1))),'V06 Calend 01'!I47),0))+IF((5='V06 Calend 01'!D47),'V06 Calend 01'!J47,0))</f>
        <v>0</v>
      </c>
      <c r="R47" s="2">
        <f>((IF((6='V06 Calend 01'!C47),('V06 Calend 01'!F47+'V06 Calend 01'!G47),0)+IF(AND(('V06 Calend 01'!E47&gt;0),(6&gt;'V06 Calend 01'!C47),(6&lt;'V06 Calend 01'!D47),(MOD((6-'V06 Calend 01'!C47),6)=0),(((6-'V06 Calend 01'!C47)/6)&lt;='V06 Calend 01'!E47)),IF((6=('V06 Calend 01'!C47+(6*'V06 Calend 01'!E47))),('V06 Calend 01'!H47-('V06 Calend 01'!I47*('V06 Calend 01'!E47-1))),'V06 Calend 01'!I47),0))+IF((6='V06 Calend 01'!D47),'V06 Calend 01'!J47,0))</f>
        <v>0</v>
      </c>
      <c r="S47" s="2">
        <f>((IF((7='V06 Calend 01'!C47),('V06 Calend 01'!F47+'V06 Calend 01'!G47),0)+IF(AND(('V06 Calend 01'!E47&gt;0),(7&gt;'V06 Calend 01'!C47),(7&lt;'V06 Calend 01'!D47),(MOD((7-'V06 Calend 01'!C47),6)=0),(((7-'V06 Calend 01'!C47)/6)&lt;='V06 Calend 01'!E47)),IF((7=('V06 Calend 01'!C47+(6*'V06 Calend 01'!E47))),('V06 Calend 01'!H47-('V06 Calend 01'!I47*('V06 Calend 01'!E47-1))),'V06 Calend 01'!I47),0))+IF((7='V06 Calend 01'!D47),'V06 Calend 01'!J47,0))</f>
        <v>42246.07</v>
      </c>
      <c r="T47" s="2">
        <f>((IF((8='V06 Calend 01'!C47),('V06 Calend 01'!F47+'V06 Calend 01'!G47),0)+IF(AND(('V06 Calend 01'!E47&gt;0),(8&gt;'V06 Calend 01'!C47),(8&lt;'V06 Calend 01'!D47),(MOD((8-'V06 Calend 01'!C47),6)=0),(((8-'V06 Calend 01'!C47)/6)&lt;='V06 Calend 01'!E47)),IF((8=('V06 Calend 01'!C47+(6*'V06 Calend 01'!E47))),('V06 Calend 01'!H47-('V06 Calend 01'!I47*('V06 Calend 01'!E47-1))),'V06 Calend 01'!I47),0))+IF((8='V06 Calend 01'!D47),'V06 Calend 01'!J47,0))</f>
        <v>0</v>
      </c>
      <c r="U47" s="2">
        <f>((IF((9='V06 Calend 01'!C47),('V06 Calend 01'!F47+'V06 Calend 01'!G47),0)+IF(AND(('V06 Calend 01'!E47&gt;0),(9&gt;'V06 Calend 01'!C47),(9&lt;'V06 Calend 01'!D47),(MOD((9-'V06 Calend 01'!C47),6)=0),(((9-'V06 Calend 01'!C47)/6)&lt;='V06 Calend 01'!E47)),IF((9=('V06 Calend 01'!C47+(6*'V06 Calend 01'!E47))),('V06 Calend 01'!H47-('V06 Calend 01'!I47*('V06 Calend 01'!E47-1))),'V06 Calend 01'!I47),0))+IF((9='V06 Calend 01'!D47),'V06 Calend 01'!J47,0))</f>
        <v>0</v>
      </c>
      <c r="V47" s="2">
        <f>((IF((10='V06 Calend 01'!C47),('V06 Calend 01'!F47+'V06 Calend 01'!G47),0)+IF(AND(('V06 Calend 01'!E47&gt;0),(10&gt;'V06 Calend 01'!C47),(10&lt;'V06 Calend 01'!D47),(MOD((10-'V06 Calend 01'!C47),6)=0),(((10-'V06 Calend 01'!C47)/6)&lt;='V06 Calend 01'!E47)),IF((10=('V06 Calend 01'!C47+(6*'V06 Calend 01'!E47))),('V06 Calend 01'!H47-('V06 Calend 01'!I47*('V06 Calend 01'!E47-1))),'V06 Calend 01'!I47),0))+IF((10='V06 Calend 01'!D47),'V06 Calend 01'!J47,0))</f>
        <v>0</v>
      </c>
      <c r="W47" s="2">
        <f>((IF((11='V06 Calend 01'!C47),('V06 Calend 01'!F47+'V06 Calend 01'!G47),0)+IF(AND(('V06 Calend 01'!E47&gt;0),(11&gt;'V06 Calend 01'!C47),(11&lt;'V06 Calend 01'!D47),(MOD((11-'V06 Calend 01'!C47),6)=0),(((11-'V06 Calend 01'!C47)/6)&lt;='V06 Calend 01'!E47)),IF((11=('V06 Calend 01'!C47+(6*'V06 Calend 01'!E47))),('V06 Calend 01'!H47-('V06 Calend 01'!I47*('V06 Calend 01'!E47-1))),'V06 Calend 01'!I47),0))+IF((11='V06 Calend 01'!D47),'V06 Calend 01'!J47,0))</f>
        <v>0</v>
      </c>
      <c r="X47" s="2">
        <f>((IF((12='V06 Calend 01'!C47),('V06 Calend 01'!F47+'V06 Calend 01'!G47),0)+IF(AND(('V06 Calend 01'!E47&gt;0),(12&gt;'V06 Calend 01'!C47),(12&lt;'V06 Calend 01'!D47),(MOD((12-'V06 Calend 01'!C47),6)=0),(((12-'V06 Calend 01'!C47)/6)&lt;='V06 Calend 01'!E47)),IF((12=('V06 Calend 01'!C47+(6*'V06 Calend 01'!E47))),('V06 Calend 01'!H47-('V06 Calend 01'!I47*('V06 Calend 01'!E47-1))),'V06 Calend 01'!I47),0))+IF((12='V06 Calend 01'!D47),'V06 Calend 01'!J47,0))</f>
        <v>0</v>
      </c>
      <c r="Y47" s="2">
        <f>((IF((13='V06 Calend 01'!C47),('V06 Calend 01'!F47+'V06 Calend 01'!G47),0)+IF(AND(('V06 Calend 01'!E47&gt;0),(13&gt;'V06 Calend 01'!C47),(13&lt;'V06 Calend 01'!D47),(MOD((13-'V06 Calend 01'!C47),6)=0),(((13-'V06 Calend 01'!C47)/6)&lt;='V06 Calend 01'!E47)),IF((13=('V06 Calend 01'!C47+(6*'V06 Calend 01'!E47))),('V06 Calend 01'!H47-('V06 Calend 01'!I47*('V06 Calend 01'!E47-1))),'V06 Calend 01'!I47),0))+IF((13='V06 Calend 01'!D47),'V06 Calend 01'!J47,0))</f>
        <v>42246.07</v>
      </c>
      <c r="Z47" s="2">
        <f>((IF((14='V06 Calend 01'!C47),('V06 Calend 01'!F47+'V06 Calend 01'!G47),0)+IF(AND(('V06 Calend 01'!E47&gt;0),(14&gt;'V06 Calend 01'!C47),(14&lt;'V06 Calend 01'!D47),(MOD((14-'V06 Calend 01'!C47),6)=0),(((14-'V06 Calend 01'!C47)/6)&lt;='V06 Calend 01'!E47)),IF((14=('V06 Calend 01'!C47+(6*'V06 Calend 01'!E47))),('V06 Calend 01'!H47-('V06 Calend 01'!I47*('V06 Calend 01'!E47-1))),'V06 Calend 01'!I47),0))+IF((14='V06 Calend 01'!D47),'V06 Calend 01'!J47,0))</f>
        <v>0</v>
      </c>
      <c r="AA47" s="2">
        <f>((IF((15='V06 Calend 01'!C47),('V06 Calend 01'!F47+'V06 Calend 01'!G47),0)+IF(AND(('V06 Calend 01'!E47&gt;0),(15&gt;'V06 Calend 01'!C47),(15&lt;'V06 Calend 01'!D47),(MOD((15-'V06 Calend 01'!C47),6)=0),(((15-'V06 Calend 01'!C47)/6)&lt;='V06 Calend 01'!E47)),IF((15=('V06 Calend 01'!C47+(6*'V06 Calend 01'!E47))),('V06 Calend 01'!H47-('V06 Calend 01'!I47*('V06 Calend 01'!E47-1))),'V06 Calend 01'!I47),0))+IF((15='V06 Calend 01'!D47),'V06 Calend 01'!J47,0))</f>
        <v>0</v>
      </c>
      <c r="AB47" s="2">
        <f>((IF((16='V06 Calend 01'!C47),('V06 Calend 01'!F47+'V06 Calend 01'!G47),0)+IF(AND(('V06 Calend 01'!E47&gt;0),(16&gt;'V06 Calend 01'!C47),(16&lt;'V06 Calend 01'!D47),(MOD((16-'V06 Calend 01'!C47),6)=0),(((16-'V06 Calend 01'!C47)/6)&lt;='V06 Calend 01'!E47)),IF((16=('V06 Calend 01'!C47+(6*'V06 Calend 01'!E47))),('V06 Calend 01'!H47-('V06 Calend 01'!I47*('V06 Calend 01'!E47-1))),'V06 Calend 01'!I47),0))+IF((16='V06 Calend 01'!D47),'V06 Calend 01'!J47,0))</f>
        <v>0</v>
      </c>
      <c r="AC47" s="2">
        <f>((IF((17='V06 Calend 01'!C47),('V06 Calend 01'!F47+'V06 Calend 01'!G47),0)+IF(AND(('V06 Calend 01'!E47&gt;0),(17&gt;'V06 Calend 01'!C47),(17&lt;'V06 Calend 01'!D47),(MOD((17-'V06 Calend 01'!C47),6)=0),(((17-'V06 Calend 01'!C47)/6)&lt;='V06 Calend 01'!E47)),IF((17=('V06 Calend 01'!C47+(6*'V06 Calend 01'!E47))),('V06 Calend 01'!H47-('V06 Calend 01'!I47*('V06 Calend 01'!E47-1))),'V06 Calend 01'!I47),0))+IF((17='V06 Calend 01'!D47),'V06 Calend 01'!J47,0))</f>
        <v>0</v>
      </c>
      <c r="AD47" s="2">
        <f>((IF((18='V06 Calend 01'!C47),('V06 Calend 01'!F47+'V06 Calend 01'!G47),0)+IF(AND(('V06 Calend 01'!E47&gt;0),(18&gt;'V06 Calend 01'!C47),(18&lt;'V06 Calend 01'!D47),(MOD((18-'V06 Calend 01'!C47),6)=0),(((18-'V06 Calend 01'!C47)/6)&lt;='V06 Calend 01'!E47)),IF((18=('V06 Calend 01'!C47+(6*'V06 Calend 01'!E47))),('V06 Calend 01'!H47-('V06 Calend 01'!I47*('V06 Calend 01'!E47-1))),'V06 Calend 01'!I47),0))+IF((18='V06 Calend 01'!D47),'V06 Calend 01'!J47,0))</f>
        <v>0</v>
      </c>
      <c r="AE47" s="2">
        <f>((IF((19='V06 Calend 01'!C47),('V06 Calend 01'!F47+'V06 Calend 01'!G47),0)+IF(AND(('V06 Calend 01'!E47&gt;0),(19&gt;'V06 Calend 01'!C47),(19&lt;'V06 Calend 01'!D47),(MOD((19-'V06 Calend 01'!C47),6)=0),(((19-'V06 Calend 01'!C47)/6)&lt;='V06 Calend 01'!E47)),IF((19=('V06 Calend 01'!C47+(6*'V06 Calend 01'!E47))),('V06 Calend 01'!H47-('V06 Calend 01'!I47*('V06 Calend 01'!E47-1))),'V06 Calend 01'!I47),0))+IF((19='V06 Calend 01'!D47),'V06 Calend 01'!J47,0))</f>
        <v>42246.07</v>
      </c>
      <c r="AF47" s="2">
        <f>((IF((20='V06 Calend 01'!C47),('V06 Calend 01'!F47+'V06 Calend 01'!G47),0)+IF(AND(('V06 Calend 01'!E47&gt;0),(20&gt;'V06 Calend 01'!C47),(20&lt;'V06 Calend 01'!D47),(MOD((20-'V06 Calend 01'!C47),6)=0),(((20-'V06 Calend 01'!C47)/6)&lt;='V06 Calend 01'!E47)),IF((20=('V06 Calend 01'!C47+(6*'V06 Calend 01'!E47))),('V06 Calend 01'!H47-('V06 Calend 01'!I47*('V06 Calend 01'!E47-1))),'V06 Calend 01'!I47),0))+IF((20='V06 Calend 01'!D47),'V06 Calend 01'!J47,0))</f>
        <v>0</v>
      </c>
      <c r="AG47" s="2">
        <f>((IF((21='V06 Calend 01'!C47),('V06 Calend 01'!F47+'V06 Calend 01'!G47),0)+IF(AND(('V06 Calend 01'!E47&gt;0),(21&gt;'V06 Calend 01'!C47),(21&lt;'V06 Calend 01'!D47),(MOD((21-'V06 Calend 01'!C47),6)=0),(((21-'V06 Calend 01'!C47)/6)&lt;='V06 Calend 01'!E47)),IF((21=('V06 Calend 01'!C47+(6*'V06 Calend 01'!E47))),('V06 Calend 01'!H47-('V06 Calend 01'!I47*('V06 Calend 01'!E47-1))),'V06 Calend 01'!I47),0))+IF((21='V06 Calend 01'!D47),'V06 Calend 01'!J47,0))</f>
        <v>0</v>
      </c>
      <c r="AH47" s="2">
        <f>((IF((22='V06 Calend 01'!C47),('V06 Calend 01'!F47+'V06 Calend 01'!G47),0)+IF(AND(('V06 Calend 01'!E47&gt;0),(22&gt;'V06 Calend 01'!C47),(22&lt;'V06 Calend 01'!D47),(MOD((22-'V06 Calend 01'!C47),6)=0),(((22-'V06 Calend 01'!C47)/6)&lt;='V06 Calend 01'!E47)),IF((22=('V06 Calend 01'!C47+(6*'V06 Calend 01'!E47))),('V06 Calend 01'!H47-('V06 Calend 01'!I47*('V06 Calend 01'!E47-1))),'V06 Calend 01'!I47),0))+IF((22='V06 Calend 01'!D47),'V06 Calend 01'!J47,0))</f>
        <v>0</v>
      </c>
      <c r="AI47" s="2">
        <f>((IF((23='V06 Calend 01'!C47),('V06 Calend 01'!F47+'V06 Calend 01'!G47),0)+IF(AND(('V06 Calend 01'!E47&gt;0),(23&gt;'V06 Calend 01'!C47),(23&lt;'V06 Calend 01'!D47),(MOD((23-'V06 Calend 01'!C47),6)=0),(((23-'V06 Calend 01'!C47)/6)&lt;='V06 Calend 01'!E47)),IF((23=('V06 Calend 01'!C47+(6*'V06 Calend 01'!E47))),('V06 Calend 01'!H47-('V06 Calend 01'!I47*('V06 Calend 01'!E47-1))),'V06 Calend 01'!I47),0))+IF((23='V06 Calend 01'!D47),'V06 Calend 01'!J47,0))</f>
        <v>0</v>
      </c>
      <c r="AJ47" s="2">
        <f>((IF((24='V06 Calend 01'!C47),('V06 Calend 01'!F47+'V06 Calend 01'!G47),0)+IF(AND(('V06 Calend 01'!E47&gt;0),(24&gt;'V06 Calend 01'!C47),(24&lt;'V06 Calend 01'!D47),(MOD((24-'V06 Calend 01'!C47),6)=0),(((24-'V06 Calend 01'!C47)/6)&lt;='V06 Calend 01'!E47)),IF((24=('V06 Calend 01'!C47+(6*'V06 Calend 01'!E47))),('V06 Calend 01'!H47-('V06 Calend 01'!I47*('V06 Calend 01'!E47-1))),'V06 Calend 01'!I47),0))+IF((24='V06 Calend 01'!D47),'V06 Calend 01'!J47,0))</f>
        <v>0</v>
      </c>
      <c r="AK47" s="2">
        <f>((IF((25='V06 Calend 01'!C47),('V06 Calend 01'!F47+'V06 Calend 01'!G47),0)+IF(AND(('V06 Calend 01'!E47&gt;0),(25&gt;'V06 Calend 01'!C47),(25&lt;'V06 Calend 01'!D47),(MOD((25-'V06 Calend 01'!C47),6)=0),(((25-'V06 Calend 01'!C47)/6)&lt;='V06 Calend 01'!E47)),IF((25=('V06 Calend 01'!C47+(6*'V06 Calend 01'!E47))),('V06 Calend 01'!H47-('V06 Calend 01'!I47*('V06 Calend 01'!E47-1))),'V06 Calend 01'!I47),0))+IF((25='V06 Calend 01'!D47),'V06 Calend 01'!J47,0))</f>
        <v>42246.080000000016</v>
      </c>
      <c r="AL47" s="2">
        <f>((IF((26='V06 Calend 01'!C47),('V06 Calend 01'!F47+'V06 Calend 01'!G47),0)+IF(AND(('V06 Calend 01'!E47&gt;0),(26&gt;'V06 Calend 01'!C47),(26&lt;'V06 Calend 01'!D47),(MOD((26-'V06 Calend 01'!C47),6)=0),(((26-'V06 Calend 01'!C47)/6)&lt;='V06 Calend 01'!E47)),IF((26=('V06 Calend 01'!C47+(6*'V06 Calend 01'!E47))),('V06 Calend 01'!H47-('V06 Calend 01'!I47*('V06 Calend 01'!E47-1))),'V06 Calend 01'!I47),0))+IF((26='V06 Calend 01'!D47),'V06 Calend 01'!J47,0))</f>
        <v>0</v>
      </c>
      <c r="AM47" s="2">
        <f>((IF((27='V06 Calend 01'!C47),('V06 Calend 01'!F47+'V06 Calend 01'!G47),0)+IF(AND(('V06 Calend 01'!E47&gt;0),(27&gt;'V06 Calend 01'!C47),(27&lt;'V06 Calend 01'!D47),(MOD((27-'V06 Calend 01'!C47),6)=0),(((27-'V06 Calend 01'!C47)/6)&lt;='V06 Calend 01'!E47)),IF((27=('V06 Calend 01'!C47+(6*'V06 Calend 01'!E47))),('V06 Calend 01'!H47-('V06 Calend 01'!I47*('V06 Calend 01'!E47-1))),'V06 Calend 01'!I47),0))+IF((27='V06 Calend 01'!D47),'V06 Calend 01'!J47,0))</f>
        <v>0</v>
      </c>
      <c r="AN47" s="2">
        <f>((IF((28='V06 Calend 01'!C47),('V06 Calend 01'!F47+'V06 Calend 01'!G47),0)+IF(AND(('V06 Calend 01'!E47&gt;0),(28&gt;'V06 Calend 01'!C47),(28&lt;'V06 Calend 01'!D47),(MOD((28-'V06 Calend 01'!C47),6)=0),(((28-'V06 Calend 01'!C47)/6)&lt;='V06 Calend 01'!E47)),IF((28=('V06 Calend 01'!C47+(6*'V06 Calend 01'!E47))),('V06 Calend 01'!H47-('V06 Calend 01'!I47*('V06 Calend 01'!E47-1))),'V06 Calend 01'!I47),0))+IF((28='V06 Calend 01'!D47),'V06 Calend 01'!J47,0))</f>
        <v>61448.83999999994</v>
      </c>
      <c r="AO47" s="2">
        <f>((IF((29='V06 Calend 01'!C47),('V06 Calend 01'!F47+'V06 Calend 01'!G47),0)+IF(AND(('V06 Calend 01'!E47&gt;0),(29&gt;'V06 Calend 01'!C47),(29&lt;'V06 Calend 01'!D47),(MOD((29-'V06 Calend 01'!C47),6)=0),(((29-'V06 Calend 01'!C47)/6)&lt;='V06 Calend 01'!E47)),IF((29=('V06 Calend 01'!C47+(6*'V06 Calend 01'!E47))),('V06 Calend 01'!H47-('V06 Calend 01'!I47*('V06 Calend 01'!E47-1))),'V06 Calend 01'!I47),0))+IF((29='V06 Calend 01'!D47),'V06 Calend 01'!J47,0))</f>
        <v>0</v>
      </c>
      <c r="AP47" s="2">
        <f>((IF((30='V06 Calend 01'!C47),('V06 Calend 01'!F47+'V06 Calend 01'!G47),0)+IF(AND(('V06 Calend 01'!E47&gt;0),(30&gt;'V06 Calend 01'!C47),(30&lt;'V06 Calend 01'!D47),(MOD((30-'V06 Calend 01'!C47),6)=0),(((30-'V06 Calend 01'!C47)/6)&lt;='V06 Calend 01'!E47)),IF((30=('V06 Calend 01'!C47+(6*'V06 Calend 01'!E47))),('V06 Calend 01'!H47-('V06 Calend 01'!I47*('V06 Calend 01'!E47-1))),'V06 Calend 01'!I47),0))+IF((30='V06 Calend 01'!D47),'V06 Calend 01'!J47,0))</f>
        <v>0</v>
      </c>
      <c r="AQ47" s="2">
        <f>((IF((31='V06 Calend 01'!C47),('V06 Calend 01'!F47+'V06 Calend 01'!G47),0)+IF(AND(('V06 Calend 01'!E47&gt;0),(31&gt;'V06 Calend 01'!C47),(31&lt;'V06 Calend 01'!D47),(MOD((31-'V06 Calend 01'!C47),6)=0),(((31-'V06 Calend 01'!C47)/6)&lt;='V06 Calend 01'!E47)),IF((31=('V06 Calend 01'!C47+(6*'V06 Calend 01'!E47))),('V06 Calend 01'!H47-('V06 Calend 01'!I47*('V06 Calend 01'!E47-1))),'V06 Calend 01'!I47),0))+IF((31='V06 Calend 01'!D47),'V06 Calend 01'!J47,0))</f>
        <v>0</v>
      </c>
      <c r="AR47" s="2">
        <f>((IF((32='V06 Calend 01'!C47),('V06 Calend 01'!F47+'V06 Calend 01'!G47),0)+IF(AND(('V06 Calend 01'!E47&gt;0),(32&gt;'V06 Calend 01'!C47),(32&lt;'V06 Calend 01'!D47),(MOD((32-'V06 Calend 01'!C47),6)=0),(((32-'V06 Calend 01'!C47)/6)&lt;='V06 Calend 01'!E47)),IF((32=('V06 Calend 01'!C47+(6*'V06 Calend 01'!E47))),('V06 Calend 01'!H47-('V06 Calend 01'!I47*('V06 Calend 01'!E47-1))),'V06 Calend 01'!I47),0))+IF((32='V06 Calend 01'!D47),'V06 Calend 01'!J47,0))</f>
        <v>0</v>
      </c>
      <c r="AS47" s="2">
        <f>((IF((33='V06 Calend 01'!C47),('V06 Calend 01'!F47+'V06 Calend 01'!G47),0)+IF(AND(('V06 Calend 01'!E47&gt;0),(33&gt;'V06 Calend 01'!C47),(33&lt;'V06 Calend 01'!D47),(MOD((33-'V06 Calend 01'!C47),6)=0),(((33-'V06 Calend 01'!C47)/6)&lt;='V06 Calend 01'!E47)),IF((33=('V06 Calend 01'!C47+(6*'V06 Calend 01'!E47))),('V06 Calend 01'!H47-('V06 Calend 01'!I47*('V06 Calend 01'!E47-1))),'V06 Calend 01'!I47),0))+IF((33='V06 Calend 01'!D47),'V06 Calend 01'!J47,0))</f>
        <v>0</v>
      </c>
      <c r="AT47" s="2">
        <f>((IF((34='V06 Calend 01'!C47),('V06 Calend 01'!F47+'V06 Calend 01'!G47),0)+IF(AND(('V06 Calend 01'!E47&gt;0),(34&gt;'V06 Calend 01'!C47),(34&lt;'V06 Calend 01'!D47),(MOD((34-'V06 Calend 01'!C47),6)=0),(((34-'V06 Calend 01'!C47)/6)&lt;='V06 Calend 01'!E47)),IF((34=('V06 Calend 01'!C47+(6*'V06 Calend 01'!E47))),('V06 Calend 01'!H47-('V06 Calend 01'!I47*('V06 Calend 01'!E47-1))),'V06 Calend 01'!I47),0))+IF((34='V06 Calend 01'!D47),'V06 Calend 01'!J47,0))</f>
        <v>0</v>
      </c>
      <c r="AU47" s="2">
        <f>((IF((35='V06 Calend 01'!C47),('V06 Calend 01'!F47+'V06 Calend 01'!G47),0)+IF(AND(('V06 Calend 01'!E47&gt;0),(35&gt;'V06 Calend 01'!C47),(35&lt;'V06 Calend 01'!D47),(MOD((35-'V06 Calend 01'!C47),6)=0),(((35-'V06 Calend 01'!C47)/6)&lt;='V06 Calend 01'!E47)),IF((35=('V06 Calend 01'!C47+(6*'V06 Calend 01'!E47))),('V06 Calend 01'!H47-('V06 Calend 01'!I47*('V06 Calend 01'!E47-1))),'V06 Calend 01'!I47),0))+IF((35='V06 Calend 01'!D47),'V06 Calend 01'!J47,0))</f>
        <v>0</v>
      </c>
      <c r="AV47" s="2">
        <f>((IF((36='V06 Calend 01'!C47),('V06 Calend 01'!F47+'V06 Calend 01'!G47),0)+IF(AND(('V06 Calend 01'!E47&gt;0),(36&gt;'V06 Calend 01'!C47),(36&lt;'V06 Calend 01'!D47),(MOD((36-'V06 Calend 01'!C47),6)=0),(((36-'V06 Calend 01'!C47)/6)&lt;='V06 Calend 01'!E47)),IF((36=('V06 Calend 01'!C47+(6*'V06 Calend 01'!E47))),('V06 Calend 01'!H47-('V06 Calend 01'!I47*('V06 Calend 01'!E47-1))),'V06 Calend 01'!I47),0))+IF((36='V06 Calend 01'!D47),'V06 Calend 01'!J47,0))</f>
        <v>0</v>
      </c>
      <c r="AW47" s="2">
        <f>((IF((37='V06 Calend 01'!C47),('V06 Calend 01'!F47+'V06 Calend 01'!G47),0)+IF(AND(('V06 Calend 01'!E47&gt;0),(37&gt;'V06 Calend 01'!C47),(37&lt;'V06 Calend 01'!D47),(MOD((37-'V06 Calend 01'!C47),6)=0),(((37-'V06 Calend 01'!C47)/6)&lt;='V06 Calend 01'!E47)),IF((37=('V06 Calend 01'!C47+(6*'V06 Calend 01'!E47))),('V06 Calend 01'!H47-('V06 Calend 01'!I47*('V06 Calend 01'!E47-1))),'V06 Calend 01'!I47),0))+IF((37='V06 Calend 01'!D47),'V06 Calend 01'!J47,0))</f>
        <v>0</v>
      </c>
      <c r="AX47" s="2">
        <f>((IF((38='V06 Calend 01'!C47),('V06 Calend 01'!F47+'V06 Calend 01'!G47),0)+IF(AND(('V06 Calend 01'!E47&gt;0),(38&gt;'V06 Calend 01'!C47),(38&lt;'V06 Calend 01'!D47),(MOD((38-'V06 Calend 01'!C47),6)=0),(((38-'V06 Calend 01'!C47)/6)&lt;='V06 Calend 01'!E47)),IF((38=('V06 Calend 01'!C47+(6*'V06 Calend 01'!E47))),('V06 Calend 01'!H47-('V06 Calend 01'!I47*('V06 Calend 01'!E47-1))),'V06 Calend 01'!I47),0))+IF((38='V06 Calend 01'!D47),'V06 Calend 01'!J47,0))</f>
        <v>0</v>
      </c>
      <c r="AY47" s="2">
        <f>((IF((39='V06 Calend 01'!C47),('V06 Calend 01'!F47+'V06 Calend 01'!G47),0)+IF(AND(('V06 Calend 01'!E47&gt;0),(39&gt;'V06 Calend 01'!C47),(39&lt;'V06 Calend 01'!D47),(MOD((39-'V06 Calend 01'!C47),6)=0),(((39-'V06 Calend 01'!C47)/6)&lt;='V06 Calend 01'!E47)),IF((39=('V06 Calend 01'!C47+(6*'V06 Calend 01'!E47))),('V06 Calend 01'!H47-('V06 Calend 01'!I47*('V06 Calend 01'!E47-1))),'V06 Calend 01'!I47),0))+IF((39='V06 Calend 01'!D47),'V06 Calend 01'!J47,0))</f>
        <v>0</v>
      </c>
      <c r="AZ47" s="2">
        <f>((IF((40='V06 Calend 01'!C47),('V06 Calend 01'!F47+'V06 Calend 01'!G47),0)+IF(AND(('V06 Calend 01'!E47&gt;0),(40&gt;'V06 Calend 01'!C47),(40&lt;'V06 Calend 01'!D47),(MOD((40-'V06 Calend 01'!C47),6)=0),(((40-'V06 Calend 01'!C47)/6)&lt;='V06 Calend 01'!E47)),IF((40=('V06 Calend 01'!C47+(6*'V06 Calend 01'!E47))),('V06 Calend 01'!H47-('V06 Calend 01'!I47*('V06 Calend 01'!E47-1))),'V06 Calend 01'!I47),0))+IF((40='V06 Calend 01'!D47),'V06 Calend 01'!J47,0))</f>
        <v>0</v>
      </c>
      <c r="BA47" s="2">
        <f>((IF((41='V06 Calend 01'!C47),('V06 Calend 01'!F47+'V06 Calend 01'!G47),0)+IF(AND(('V06 Calend 01'!E47&gt;0),(41&gt;'V06 Calend 01'!C47),(41&lt;'V06 Calend 01'!D47),(MOD((41-'V06 Calend 01'!C47),6)=0),(((41-'V06 Calend 01'!C47)/6)&lt;='V06 Calend 01'!E47)),IF((41=('V06 Calend 01'!C47+(6*'V06 Calend 01'!E47))),('V06 Calend 01'!H47-('V06 Calend 01'!I47*('V06 Calend 01'!E47-1))),'V06 Calend 01'!I47),0))+IF((41='V06 Calend 01'!D47),'V06 Calend 01'!J47,0))</f>
        <v>0</v>
      </c>
      <c r="BB47" s="2">
        <f>((IF((42='V06 Calend 01'!C47),('V06 Calend 01'!F47+'V06 Calend 01'!G47),0)+IF(AND(('V06 Calend 01'!E47&gt;0),(42&gt;'V06 Calend 01'!C47),(42&lt;'V06 Calend 01'!D47),(MOD((42-'V06 Calend 01'!C47),6)=0),(((42-'V06 Calend 01'!C47)/6)&lt;='V06 Calend 01'!E47)),IF((42=('V06 Calend 01'!C47+(6*'V06 Calend 01'!E47))),('V06 Calend 01'!H47-('V06 Calend 01'!I47*('V06 Calend 01'!E47-1))),'V06 Calend 01'!I47),0))+IF((42='V06 Calend 01'!D47),'V06 Calend 01'!J47,0))</f>
        <v>0</v>
      </c>
      <c r="BC47" s="2">
        <f>((IF((43='V06 Calend 01'!C47),('V06 Calend 01'!F47+'V06 Calend 01'!G47),0)+IF(AND(('V06 Calend 01'!E47&gt;0),(43&gt;'V06 Calend 01'!C47),(43&lt;'V06 Calend 01'!D47),(MOD((43-'V06 Calend 01'!C47),6)=0),(((43-'V06 Calend 01'!C47)/6)&lt;='V06 Calend 01'!E47)),IF((43=('V06 Calend 01'!C47+(6*'V06 Calend 01'!E47))),('V06 Calend 01'!H47-('V06 Calend 01'!I47*('V06 Calend 01'!E47-1))),'V06 Calend 01'!I47),0))+IF((43='V06 Calend 01'!D47),'V06 Calend 01'!J47,0))</f>
        <v>0</v>
      </c>
      <c r="BD47" s="2">
        <f>((IF((44='V06 Calend 01'!C47),('V06 Calend 01'!F47+'V06 Calend 01'!G47),0)+IF(AND(('V06 Calend 01'!E47&gt;0),(44&gt;'V06 Calend 01'!C47),(44&lt;'V06 Calend 01'!D47),(MOD((44-'V06 Calend 01'!C47),6)=0),(((44-'V06 Calend 01'!C47)/6)&lt;='V06 Calend 01'!E47)),IF((44=('V06 Calend 01'!C47+(6*'V06 Calend 01'!E47))),('V06 Calend 01'!H47-('V06 Calend 01'!I47*('V06 Calend 01'!E47-1))),'V06 Calend 01'!I47),0))+IF((44='V06 Calend 01'!D47),'V06 Calend 01'!J47,0))</f>
        <v>0</v>
      </c>
      <c r="BE47" s="2">
        <f>((IF((45='V06 Calend 01'!C47),('V06 Calend 01'!F47+'V06 Calend 01'!G47),0)+IF(AND(('V06 Calend 01'!E47&gt;0),(45&gt;'V06 Calend 01'!C47),(45&lt;'V06 Calend 01'!D47),(MOD((45-'V06 Calend 01'!C47),6)=0),(((45-'V06 Calend 01'!C47)/6)&lt;='V06 Calend 01'!E47)),IF((45=('V06 Calend 01'!C47+(6*'V06 Calend 01'!E47))),('V06 Calend 01'!H47-('V06 Calend 01'!I47*('V06 Calend 01'!E47-1))),'V06 Calend 01'!I47),0))+IF((45='V06 Calend 01'!D47),'V06 Calend 01'!J47,0))</f>
        <v>0</v>
      </c>
      <c r="BF47" s="2">
        <f>((IF((46='V06 Calend 01'!C47),('V06 Calend 01'!F47+'V06 Calend 01'!G47),0)+IF(AND(('V06 Calend 01'!E47&gt;0),(46&gt;'V06 Calend 01'!C47),(46&lt;'V06 Calend 01'!D47),(MOD((46-'V06 Calend 01'!C47),6)=0),(((46-'V06 Calend 01'!C47)/6)&lt;='V06 Calend 01'!E47)),IF((46=('V06 Calend 01'!C47+(6*'V06 Calend 01'!E47))),('V06 Calend 01'!H47-('V06 Calend 01'!I47*('V06 Calend 01'!E47-1))),'V06 Calend 01'!I47),0))+IF((46='V06 Calend 01'!D47),'V06 Calend 01'!J47,0))</f>
        <v>0</v>
      </c>
      <c r="BG47" s="2">
        <f>((IF((47='V06 Calend 01'!C47),('V06 Calend 01'!F47+'V06 Calend 01'!G47),0)+IF(AND(('V06 Calend 01'!E47&gt;0),(47&gt;'V06 Calend 01'!C47),(47&lt;'V06 Calend 01'!D47),(MOD((47-'V06 Calend 01'!C47),6)=0),(((47-'V06 Calend 01'!C47)/6)&lt;='V06 Calend 01'!E47)),IF((47=('V06 Calend 01'!C47+(6*'V06 Calend 01'!E47))),('V06 Calend 01'!H47-('V06 Calend 01'!I47*('V06 Calend 01'!E47-1))),'V06 Calend 01'!I47),0))+IF((47='V06 Calend 01'!D47),'V06 Calend 01'!J47,0))</f>
        <v>0</v>
      </c>
      <c r="BH47" s="2">
        <f>((IF((48='V06 Calend 01'!C47),('V06 Calend 01'!F47+'V06 Calend 01'!G47),0)+IF(AND(('V06 Calend 01'!E47&gt;0),(48&gt;'V06 Calend 01'!C47),(48&lt;'V06 Calend 01'!D47),(MOD((48-'V06 Calend 01'!C47),6)=0),(((48-'V06 Calend 01'!C47)/6)&lt;='V06 Calend 01'!E47)),IF((48=('V06 Calend 01'!C47+(6*'V06 Calend 01'!E47))),('V06 Calend 01'!H47-('V06 Calend 01'!I47*('V06 Calend 01'!E47-1))),'V06 Calend 01'!I47),0))+IF((48='V06 Calend 01'!D47),'V06 Calend 01'!J47,0))</f>
        <v>0</v>
      </c>
      <c r="BI47" s="2">
        <f>((IF((49='V06 Calend 01'!C47),('V06 Calend 01'!F47+'V06 Calend 01'!G47),0)+IF(AND(('V06 Calend 01'!E47&gt;0),(49&gt;'V06 Calend 01'!C47),(49&lt;'V06 Calend 01'!D47),(MOD((49-'V06 Calend 01'!C47),6)=0),(((49-'V06 Calend 01'!C47)/6)&lt;='V06 Calend 01'!E47)),IF((49=('V06 Calend 01'!C47+(6*'V06 Calend 01'!E47))),('V06 Calend 01'!H47-('V06 Calend 01'!I47*('V06 Calend 01'!E47-1))),'V06 Calend 01'!I47),0))+IF((49='V06 Calend 01'!D47),'V06 Calend 01'!J47,0))</f>
        <v>0</v>
      </c>
      <c r="BJ47" s="2">
        <f>((IF((50='V06 Calend 01'!C47),('V06 Calend 01'!F47+'V06 Calend 01'!G47),0)+IF(AND(('V06 Calend 01'!E47&gt;0),(50&gt;'V06 Calend 01'!C47),(50&lt;'V06 Calend 01'!D47),(MOD((50-'V06 Calend 01'!C47),6)=0),(((50-'V06 Calend 01'!C47)/6)&lt;='V06 Calend 01'!E47)),IF((50=('V06 Calend 01'!C47+(6*'V06 Calend 01'!E47))),('V06 Calend 01'!H47-('V06 Calend 01'!I47*('V06 Calend 01'!E47-1))),'V06 Calend 01'!I47),0))+IF((50='V06 Calend 01'!D47),'V06 Calend 01'!J47,0))</f>
        <v>0</v>
      </c>
      <c r="BK47" s="2">
        <f>((IF((51='V06 Calend 01'!C47),('V06 Calend 01'!F47+'V06 Calend 01'!G47),0)+IF(AND(('V06 Calend 01'!E47&gt;0),(51&gt;'V06 Calend 01'!C47),(51&lt;'V06 Calend 01'!D47),(MOD((51-'V06 Calend 01'!C47),6)=0),(((51-'V06 Calend 01'!C47)/6)&lt;='V06 Calend 01'!E47)),IF((51=('V06 Calend 01'!C47+(6*'V06 Calend 01'!E47))),('V06 Calend 01'!H47-('V06 Calend 01'!I47*('V06 Calend 01'!E47-1))),'V06 Calend 01'!I47),0))+IF((51='V06 Calend 01'!D47),'V06 Calend 01'!J47,0))</f>
        <v>0</v>
      </c>
      <c r="BL47" s="2">
        <f>((IF((52='V06 Calend 01'!C47),('V06 Calend 01'!F47+'V06 Calend 01'!G47),0)+IF(AND(('V06 Calend 01'!E47&gt;0),(52&gt;'V06 Calend 01'!C47),(52&lt;'V06 Calend 01'!D47),(MOD((52-'V06 Calend 01'!C47),6)=0),(((52-'V06 Calend 01'!C47)/6)&lt;='V06 Calend 01'!E47)),IF((52=('V06 Calend 01'!C47+(6*'V06 Calend 01'!E47))),('V06 Calend 01'!H47-('V06 Calend 01'!I47*('V06 Calend 01'!E47-1))),'V06 Calend 01'!I47),0))+IF((52='V06 Calend 01'!D47),'V06 Calend 01'!J47,0))</f>
        <v>0</v>
      </c>
      <c r="BM47" s="2">
        <f>((IF((53='V06 Calend 01'!C47),('V06 Calend 01'!F47+'V06 Calend 01'!G47),0)+IF(AND(('V06 Calend 01'!E47&gt;0),(53&gt;'V06 Calend 01'!C47),(53&lt;'V06 Calend 01'!D47),(MOD((53-'V06 Calend 01'!C47),6)=0),(((53-'V06 Calend 01'!C47)/6)&lt;='V06 Calend 01'!E47)),IF((53=('V06 Calend 01'!C47+(6*'V06 Calend 01'!E47))),('V06 Calend 01'!H47-('V06 Calend 01'!I47*('V06 Calend 01'!E47-1))),'V06 Calend 01'!I47),0))+IF((53='V06 Calend 01'!D47),'V06 Calend 01'!J47,0))</f>
        <v>0</v>
      </c>
      <c r="BN47" s="2">
        <f>((IF((54='V06 Calend 01'!C47),('V06 Calend 01'!F47+'V06 Calend 01'!G47),0)+IF(AND(('V06 Calend 01'!E47&gt;0),(54&gt;'V06 Calend 01'!C47),(54&lt;'V06 Calend 01'!D47),(MOD((54-'V06 Calend 01'!C47),6)=0),(((54-'V06 Calend 01'!C47)/6)&lt;='V06 Calend 01'!E47)),IF((54=('V06 Calend 01'!C47+(6*'V06 Calend 01'!E47))),('V06 Calend 01'!H47-('V06 Calend 01'!I47*('V06 Calend 01'!E47-1))),'V06 Calend 01'!I47),0))+IF((54='V06 Calend 01'!D47),'V06 Calend 01'!J47,0))</f>
        <v>0</v>
      </c>
      <c r="BO47" s="2">
        <f>((IF((55='V06 Calend 01'!C47),('V06 Calend 01'!F47+'V06 Calend 01'!G47),0)+IF(AND(('V06 Calend 01'!E47&gt;0),(55&gt;'V06 Calend 01'!C47),(55&lt;'V06 Calend 01'!D47),(MOD((55-'V06 Calend 01'!C47),6)=0),(((55-'V06 Calend 01'!C47)/6)&lt;='V06 Calend 01'!E47)),IF((55=('V06 Calend 01'!C47+(6*'V06 Calend 01'!E47))),('V06 Calend 01'!H47-('V06 Calend 01'!I47*('V06 Calend 01'!E47-1))),'V06 Calend 01'!I47),0))+IF((55='V06 Calend 01'!D47),'V06 Calend 01'!J47,0))</f>
        <v>0</v>
      </c>
      <c r="BP47" s="2">
        <f>((IF((56='V06 Calend 01'!C47),('V06 Calend 01'!F47+'V06 Calend 01'!G47),0)+IF(AND(('V06 Calend 01'!E47&gt;0),(56&gt;'V06 Calend 01'!C47),(56&lt;'V06 Calend 01'!D47),(MOD((56-'V06 Calend 01'!C47),6)=0),(((56-'V06 Calend 01'!C47)/6)&lt;='V06 Calend 01'!E47)),IF((56=('V06 Calend 01'!C47+(6*'V06 Calend 01'!E47))),('V06 Calend 01'!H47-('V06 Calend 01'!I47*('V06 Calend 01'!E47-1))),'V06 Calend 01'!I47),0))+IF((56='V06 Calend 01'!D47),'V06 Calend 01'!J47,0))</f>
        <v>0</v>
      </c>
      <c r="BQ47" s="2">
        <f>((IF((57='V06 Calend 01'!C47),('V06 Calend 01'!F47+'V06 Calend 01'!G47),0)+IF(AND(('V06 Calend 01'!E47&gt;0),(57&gt;'V06 Calend 01'!C47),(57&lt;'V06 Calend 01'!D47),(MOD((57-'V06 Calend 01'!C47),6)=0),(((57-'V06 Calend 01'!C47)/6)&lt;='V06 Calend 01'!E47)),IF((57=('V06 Calend 01'!C47+(6*'V06 Calend 01'!E47))),('V06 Calend 01'!H47-('V06 Calend 01'!I47*('V06 Calend 01'!E47-1))),'V06 Calend 01'!I47),0))+IF((57='V06 Calend 01'!D47),'V06 Calend 01'!J47,0))</f>
        <v>0</v>
      </c>
      <c r="BR47" s="2">
        <f>((IF((58='V06 Calend 01'!C47),('V06 Calend 01'!F47+'V06 Calend 01'!G47),0)+IF(AND(('V06 Calend 01'!E47&gt;0),(58&gt;'V06 Calend 01'!C47),(58&lt;'V06 Calend 01'!D47),(MOD((58-'V06 Calend 01'!C47),6)=0),(((58-'V06 Calend 01'!C47)/6)&lt;='V06 Calend 01'!E47)),IF((58=('V06 Calend 01'!C47+(6*'V06 Calend 01'!E47))),('V06 Calend 01'!H47-('V06 Calend 01'!I47*('V06 Calend 01'!E47-1))),'V06 Calend 01'!I47),0))+IF((58='V06 Calend 01'!D47),'V06 Calend 01'!J47,0))</f>
        <v>0</v>
      </c>
      <c r="BS47" s="2">
        <f>((IF((59='V06 Calend 01'!C47),('V06 Calend 01'!F47+'V06 Calend 01'!G47),0)+IF(AND(('V06 Calend 01'!E47&gt;0),(59&gt;'V06 Calend 01'!C47),(59&lt;'V06 Calend 01'!D47),(MOD((59-'V06 Calend 01'!C47),6)=0),(((59-'V06 Calend 01'!C47)/6)&lt;='V06 Calend 01'!E47)),IF((59=('V06 Calend 01'!C47+(6*'V06 Calend 01'!E47))),('V06 Calend 01'!H47-('V06 Calend 01'!I47*('V06 Calend 01'!E47-1))),'V06 Calend 01'!I47),0))+IF((59='V06 Calend 01'!D47),'V06 Calend 01'!J47,0))</f>
        <v>0</v>
      </c>
      <c r="BT47" s="2">
        <f>((IF((60='V06 Calend 01'!C47),('V06 Calend 01'!F47+'V06 Calend 01'!G47),0)+IF(AND(('V06 Calend 01'!E47&gt;0),(60&gt;'V06 Calend 01'!C47),(60&lt;'V06 Calend 01'!D47),(MOD((60-'V06 Calend 01'!C47),6)=0),(((60-'V06 Calend 01'!C47)/6)&lt;='V06 Calend 01'!E47)),IF((60=('V06 Calend 01'!C47+(6*'V06 Calend 01'!E47))),('V06 Calend 01'!H47-('V06 Calend 01'!I47*('V06 Calend 01'!E47-1))),'V06 Calend 01'!I47),0))+IF((60='V06 Calend 01'!D47),'V06 Calend 01'!J47,0))</f>
        <v>0</v>
      </c>
      <c r="BU47" s="2">
        <f>((IF((61='V06 Calend 01'!C47),('V06 Calend 01'!F47+'V06 Calend 01'!G47),0)+IF(AND(('V06 Calend 01'!E47&gt;0),(61&gt;'V06 Calend 01'!C47),(61&lt;'V06 Calend 01'!D47),(MOD((61-'V06 Calend 01'!C47),6)=0),(((61-'V06 Calend 01'!C47)/6)&lt;='V06 Calend 01'!E47)),IF((61=('V06 Calend 01'!C47+(6*'V06 Calend 01'!E47))),('V06 Calend 01'!H47-('V06 Calend 01'!I47*('V06 Calend 01'!E47-1))),'V06 Calend 01'!I47),0))+IF((61='V06 Calend 01'!D47),'V06 Calend 01'!J47,0))</f>
        <v>0</v>
      </c>
      <c r="BV47" s="2">
        <f>((IF((62='V06 Calend 01'!C47),('V06 Calend 01'!F47+'V06 Calend 01'!G47),0)+IF(AND(('V06 Calend 01'!E47&gt;0),(62&gt;'V06 Calend 01'!C47),(62&lt;'V06 Calend 01'!D47),(MOD((62-'V06 Calend 01'!C47),6)=0),(((62-'V06 Calend 01'!C47)/6)&lt;='V06 Calend 01'!E47)),IF((62=('V06 Calend 01'!C47+(6*'V06 Calend 01'!E47))),('V06 Calend 01'!H47-('V06 Calend 01'!I47*('V06 Calend 01'!E47-1))),'V06 Calend 01'!I47),0))+IF((62='V06 Calend 01'!D47),'V06 Calend 01'!J47,0))</f>
        <v>0</v>
      </c>
      <c r="BW47" s="2">
        <f>((IF((63='V06 Calend 01'!C47),('V06 Calend 01'!F47+'V06 Calend 01'!G47),0)+IF(AND(('V06 Calend 01'!E47&gt;0),(63&gt;'V06 Calend 01'!C47),(63&lt;'V06 Calend 01'!D47),(MOD((63-'V06 Calend 01'!C47),6)=0),(((63-'V06 Calend 01'!C47)/6)&lt;='V06 Calend 01'!E47)),IF((63=('V06 Calend 01'!C47+(6*'V06 Calend 01'!E47))),('V06 Calend 01'!H47-('V06 Calend 01'!I47*('V06 Calend 01'!E47-1))),'V06 Calend 01'!I47),0))+IF((63='V06 Calend 01'!D47),'V06 Calend 01'!J47,0))</f>
        <v>0</v>
      </c>
      <c r="BX47" s="2">
        <f>((IF((64='V06 Calend 01'!C47),('V06 Calend 01'!F47+'V06 Calend 01'!G47),0)+IF(AND(('V06 Calend 01'!E47&gt;0),(64&gt;'V06 Calend 01'!C47),(64&lt;'V06 Calend 01'!D47),(MOD((64-'V06 Calend 01'!C47),6)=0),(((64-'V06 Calend 01'!C47)/6)&lt;='V06 Calend 01'!E47)),IF((64=('V06 Calend 01'!C47+(6*'V06 Calend 01'!E47))),('V06 Calend 01'!H47-('V06 Calend 01'!I47*('V06 Calend 01'!E47-1))),'V06 Calend 01'!I47),0))+IF((64='V06 Calend 01'!D47),'V06 Calend 01'!J47,0))</f>
        <v>0</v>
      </c>
      <c r="BY47" s="2">
        <f>((IF((65='V06 Calend 01'!C47),('V06 Calend 01'!F47+'V06 Calend 01'!G47),0)+IF(AND(('V06 Calend 01'!E47&gt;0),(65&gt;'V06 Calend 01'!C47),(65&lt;'V06 Calend 01'!D47),(MOD((65-'V06 Calend 01'!C47),6)=0),(((65-'V06 Calend 01'!C47)/6)&lt;='V06 Calend 01'!E47)),IF((65=('V06 Calend 01'!C47+(6*'V06 Calend 01'!E47))),('V06 Calend 01'!H47-('V06 Calend 01'!I47*('V06 Calend 01'!E47-1))),'V06 Calend 01'!I47),0))+IF((65='V06 Calend 01'!D47),'V06 Calend 01'!J47,0))</f>
        <v>0</v>
      </c>
      <c r="BZ47" s="2">
        <f>((IF((66='V06 Calend 01'!C47),('V06 Calend 01'!F47+'V06 Calend 01'!G47),0)+IF(AND(('V06 Calend 01'!E47&gt;0),(66&gt;'V06 Calend 01'!C47),(66&lt;'V06 Calend 01'!D47),(MOD((66-'V06 Calend 01'!C47),6)=0),(((66-'V06 Calend 01'!C47)/6)&lt;='V06 Calend 01'!E47)),IF((66=('V06 Calend 01'!C47+(6*'V06 Calend 01'!E47))),('V06 Calend 01'!H47-('V06 Calend 01'!I47*('V06 Calend 01'!E47-1))),'V06 Calend 01'!I47),0))+IF((66='V06 Calend 01'!D47),'V06 Calend 01'!J47,0))</f>
        <v>0</v>
      </c>
      <c r="CA47" s="2">
        <f>((IF((67='V06 Calend 01'!C47),('V06 Calend 01'!F47+'V06 Calend 01'!G47),0)+IF(AND(('V06 Calend 01'!E47&gt;0),(67&gt;'V06 Calend 01'!C47),(67&lt;'V06 Calend 01'!D47),(MOD((67-'V06 Calend 01'!C47),6)=0),(((67-'V06 Calend 01'!C47)/6)&lt;='V06 Calend 01'!E47)),IF((67=('V06 Calend 01'!C47+(6*'V06 Calend 01'!E47))),('V06 Calend 01'!H47-('V06 Calend 01'!I47*('V06 Calend 01'!E47-1))),'V06 Calend 01'!I47),0))+IF((67='V06 Calend 01'!D47),'V06 Calend 01'!J47,0))</f>
        <v>0</v>
      </c>
      <c r="CB47" s="2">
        <f>((IF((68='V06 Calend 01'!C47),('V06 Calend 01'!F47+'V06 Calend 01'!G47),0)+IF(AND(('V06 Calend 01'!E47&gt;0),(68&gt;'V06 Calend 01'!C47),(68&lt;'V06 Calend 01'!D47),(MOD((68-'V06 Calend 01'!C47),6)=0),(((68-'V06 Calend 01'!C47)/6)&lt;='V06 Calend 01'!E47)),IF((68=('V06 Calend 01'!C47+(6*'V06 Calend 01'!E47))),('V06 Calend 01'!H47-('V06 Calend 01'!I47*('V06 Calend 01'!E47-1))),'V06 Calend 01'!I47),0))+IF((68='V06 Calend 01'!D47),'V06 Calend 01'!J47,0))</f>
        <v>0</v>
      </c>
      <c r="CC47" s="2">
        <f>((IF((69='V06 Calend 01'!C47),('V06 Calend 01'!F47+'V06 Calend 01'!G47),0)+IF(AND(('V06 Calend 01'!E47&gt;0),(69&gt;'V06 Calend 01'!C47),(69&lt;'V06 Calend 01'!D47),(MOD((69-'V06 Calend 01'!C47),6)=0),(((69-'V06 Calend 01'!C47)/6)&lt;='V06 Calend 01'!E47)),IF((69=('V06 Calend 01'!C47+(6*'V06 Calend 01'!E47))),('V06 Calend 01'!H47-('V06 Calend 01'!I47*('V06 Calend 01'!E47-1))),'V06 Calend 01'!I47),0))+IF((69='V06 Calend 01'!D47),'V06 Calend 01'!J47,0))</f>
        <v>0</v>
      </c>
      <c r="CD47" s="2">
        <f>((IF((70='V06 Calend 01'!C47),('V06 Calend 01'!F47+'V06 Calend 01'!G47),0)+IF(AND(('V06 Calend 01'!E47&gt;0),(70&gt;'V06 Calend 01'!C47),(70&lt;'V06 Calend 01'!D47),(MOD((70-'V06 Calend 01'!C47),6)=0),(((70-'V06 Calend 01'!C47)/6)&lt;='V06 Calend 01'!E47)),IF((70=('V06 Calend 01'!C47+(6*'V06 Calend 01'!E47))),('V06 Calend 01'!H47-('V06 Calend 01'!I47*('V06 Calend 01'!E47-1))),'V06 Calend 01'!I47),0))+IF((70='V06 Calend 01'!D47),'V06 Calend 01'!J47,0))</f>
        <v>0</v>
      </c>
      <c r="CE47" s="2">
        <f>((IF((71='V06 Calend 01'!C47),('V06 Calend 01'!F47+'V06 Calend 01'!G47),0)+IF(AND(('V06 Calend 01'!E47&gt;0),(71&gt;'V06 Calend 01'!C47),(71&lt;'V06 Calend 01'!D47),(MOD((71-'V06 Calend 01'!C47),6)=0),(((71-'V06 Calend 01'!C47)/6)&lt;='V06 Calend 01'!E47)),IF((71=('V06 Calend 01'!C47+(6*'V06 Calend 01'!E47))),('V06 Calend 01'!H47-('V06 Calend 01'!I47*('V06 Calend 01'!E47-1))),'V06 Calend 01'!I47),0))+IF((71='V06 Calend 01'!D47),'V06 Calend 01'!J47,0))</f>
        <v>0</v>
      </c>
      <c r="CF47" s="2">
        <f>((IF((72='V06 Calend 01'!C47),('V06 Calend 01'!F47+'V06 Calend 01'!G47),0)+IF(AND(('V06 Calend 01'!E47&gt;0),(72&gt;'V06 Calend 01'!C47),(72&lt;'V06 Calend 01'!D47),(MOD((72-'V06 Calend 01'!C47),6)=0),(((72-'V06 Calend 01'!C47)/6)&lt;='V06 Calend 01'!E47)),IF((72=('V06 Calend 01'!C47+(6*'V06 Calend 01'!E47))),('V06 Calend 01'!H47-('V06 Calend 01'!I47*('V06 Calend 01'!E47-1))),'V06 Calend 01'!I47),0))+IF((72='V06 Calend 01'!D47),'V06 Calend 01'!J47,0))</f>
        <v>0</v>
      </c>
      <c r="CG47" s="2">
        <f>((IF((73='V06 Calend 01'!C47),('V06 Calend 01'!F47+'V06 Calend 01'!G47),0)+IF(AND(('V06 Calend 01'!E47&gt;0),(73&gt;'V06 Calend 01'!C47),(73&lt;'V06 Calend 01'!D47),(MOD((73-'V06 Calend 01'!C47),6)=0),(((73-'V06 Calend 01'!C47)/6)&lt;='V06 Calend 01'!E47)),IF((73=('V06 Calend 01'!C47+(6*'V06 Calend 01'!E47))),('V06 Calend 01'!H47-('V06 Calend 01'!I47*('V06 Calend 01'!E47-1))),'V06 Calend 01'!I47),0))+IF((73='V06 Calend 01'!D47),'V06 Calend 01'!J47,0))</f>
        <v>0</v>
      </c>
      <c r="CH47" s="2">
        <f>((IF((74='V06 Calend 01'!C47),('V06 Calend 01'!F47+'V06 Calend 01'!G47),0)+IF(AND(('V06 Calend 01'!E47&gt;0),(74&gt;'V06 Calend 01'!C47),(74&lt;'V06 Calend 01'!D47),(MOD((74-'V06 Calend 01'!C47),6)=0),(((74-'V06 Calend 01'!C47)/6)&lt;='V06 Calend 01'!E47)),IF((74=('V06 Calend 01'!C47+(6*'V06 Calend 01'!E47))),('V06 Calend 01'!H47-('V06 Calend 01'!I47*('V06 Calend 01'!E47-1))),'V06 Calend 01'!I47),0))+IF((74='V06 Calend 01'!D47),'V06 Calend 01'!J47,0))</f>
        <v>0</v>
      </c>
      <c r="CI47" s="2">
        <f>((IF((75='V06 Calend 01'!C47),('V06 Calend 01'!F47+'V06 Calend 01'!G47),0)+IF(AND(('V06 Calend 01'!E47&gt;0),(75&gt;'V06 Calend 01'!C47),(75&lt;'V06 Calend 01'!D47),(MOD((75-'V06 Calend 01'!C47),6)=0),(((75-'V06 Calend 01'!C47)/6)&lt;='V06 Calend 01'!E47)),IF((75=('V06 Calend 01'!C47+(6*'V06 Calend 01'!E47))),('V06 Calend 01'!H47-('V06 Calend 01'!I47*('V06 Calend 01'!E47-1))),'V06 Calend 01'!I47),0))+IF((75='V06 Calend 01'!D47),'V06 Calend 01'!J47,0))</f>
        <v>0</v>
      </c>
      <c r="CJ47" s="2">
        <f>((IF((76='V06 Calend 01'!C47),('V06 Calend 01'!F47+'V06 Calend 01'!G47),0)+IF(AND(('V06 Calend 01'!E47&gt;0),(76&gt;'V06 Calend 01'!C47),(76&lt;'V06 Calend 01'!D47),(MOD((76-'V06 Calend 01'!C47),6)=0),(((76-'V06 Calend 01'!C47)/6)&lt;='V06 Calend 01'!E47)),IF((76=('V06 Calend 01'!C47+(6*'V06 Calend 01'!E47))),('V06 Calend 01'!H47-('V06 Calend 01'!I47*('V06 Calend 01'!E47-1))),'V06 Calend 01'!I47),0))+IF((76='V06 Calend 01'!D47),'V06 Calend 01'!J47,0))</f>
        <v>0</v>
      </c>
      <c r="CK47" s="2">
        <f>((IF((77='V06 Calend 01'!C47),('V06 Calend 01'!F47+'V06 Calend 01'!G47),0)+IF(AND(('V06 Calend 01'!E47&gt;0),(77&gt;'V06 Calend 01'!C47),(77&lt;'V06 Calend 01'!D47),(MOD((77-'V06 Calend 01'!C47),6)=0),(((77-'V06 Calend 01'!C47)/6)&lt;='V06 Calend 01'!E47)),IF((77=('V06 Calend 01'!C47+(6*'V06 Calend 01'!E47))),('V06 Calend 01'!H47-('V06 Calend 01'!I47*('V06 Calend 01'!E47-1))),'V06 Calend 01'!I47),0))+IF((77='V06 Calend 01'!D47),'V06 Calend 01'!J47,0))</f>
        <v>0</v>
      </c>
      <c r="CL47" s="2">
        <f>((IF((78='V06 Calend 01'!C47),('V06 Calend 01'!F47+'V06 Calend 01'!G47),0)+IF(AND(('V06 Calend 01'!E47&gt;0),(78&gt;'V06 Calend 01'!C47),(78&lt;'V06 Calend 01'!D47),(MOD((78-'V06 Calend 01'!C47),6)=0),(((78-'V06 Calend 01'!C47)/6)&lt;='V06 Calend 01'!E47)),IF((78=('V06 Calend 01'!C47+(6*'V06 Calend 01'!E47))),('V06 Calend 01'!H47-('V06 Calend 01'!I47*('V06 Calend 01'!E47-1))),'V06 Calend 01'!I47),0))+IF((78='V06 Calend 01'!D47),'V06 Calend 01'!J47,0))</f>
        <v>0</v>
      </c>
      <c r="CM47" s="2">
        <f>((IF((79='V06 Calend 01'!C47),('V06 Calend 01'!F47+'V06 Calend 01'!G47),0)+IF(AND(('V06 Calend 01'!E47&gt;0),(79&gt;'V06 Calend 01'!C47),(79&lt;'V06 Calend 01'!D47),(MOD((79-'V06 Calend 01'!C47),6)=0),(((79-'V06 Calend 01'!C47)/6)&lt;='V06 Calend 01'!E47)),IF((79=('V06 Calend 01'!C47+(6*'V06 Calend 01'!E47))),('V06 Calend 01'!H47-('V06 Calend 01'!I47*('V06 Calend 01'!E47-1))),'V06 Calend 01'!I47),0))+IF((79='V06 Calend 01'!D47),'V06 Calend 01'!J47,0))</f>
        <v>0</v>
      </c>
      <c r="CN47" s="2">
        <f>((IF((80='V06 Calend 01'!C47),('V06 Calend 01'!F47+'V06 Calend 01'!G47),0)+IF(AND(('V06 Calend 01'!E47&gt;0),(80&gt;'V06 Calend 01'!C47),(80&lt;'V06 Calend 01'!D47),(MOD((80-'V06 Calend 01'!C47),6)=0),(((80-'V06 Calend 01'!C47)/6)&lt;='V06 Calend 01'!E47)),IF((80=('V06 Calend 01'!C47+(6*'V06 Calend 01'!E47))),('V06 Calend 01'!H47-('V06 Calend 01'!I47*('V06 Calend 01'!E47-1))),'V06 Calend 01'!I47),0))+IF((80='V06 Calend 01'!D47),'V06 Calend 01'!J47,0))</f>
        <v>0</v>
      </c>
      <c r="CO47" s="2">
        <f>((IF((81='V06 Calend 01'!C47),('V06 Calend 01'!F47+'V06 Calend 01'!G47),0)+IF(AND(('V06 Calend 01'!E47&gt;0),(81&gt;'V06 Calend 01'!C47),(81&lt;'V06 Calend 01'!D47),(MOD((81-'V06 Calend 01'!C47),6)=0),(((81-'V06 Calend 01'!C47)/6)&lt;='V06 Calend 01'!E47)),IF((81=('V06 Calend 01'!C47+(6*'V06 Calend 01'!E47))),('V06 Calend 01'!H47-('V06 Calend 01'!I47*('V06 Calend 01'!E47-1))),'V06 Calend 01'!I47),0))+IF((81='V06 Calend 01'!D47),'V06 Calend 01'!J47,0))</f>
        <v>0</v>
      </c>
      <c r="CP47" s="2">
        <f>((IF((82='V06 Calend 01'!C47),('V06 Calend 01'!F47+'V06 Calend 01'!G47),0)+IF(AND(('V06 Calend 01'!E47&gt;0),(82&gt;'V06 Calend 01'!C47),(82&lt;'V06 Calend 01'!D47),(MOD((82-'V06 Calend 01'!C47),6)=0),(((82-'V06 Calend 01'!C47)/6)&lt;='V06 Calend 01'!E47)),IF((82=('V06 Calend 01'!C47+(6*'V06 Calend 01'!E47))),('V06 Calend 01'!H47-('V06 Calend 01'!I47*('V06 Calend 01'!E47-1))),'V06 Calend 01'!I47),0))+IF((82='V06 Calend 01'!D47),'V06 Calend 01'!J47,0))</f>
        <v>0</v>
      </c>
      <c r="CQ47" s="2">
        <f>((IF((83='V06 Calend 01'!C47),('V06 Calend 01'!F47+'V06 Calend 01'!G47),0)+IF(AND(('V06 Calend 01'!E47&gt;0),(83&gt;'V06 Calend 01'!C47),(83&lt;'V06 Calend 01'!D47),(MOD((83-'V06 Calend 01'!C47),6)=0),(((83-'V06 Calend 01'!C47)/6)&lt;='V06 Calend 01'!E47)),IF((83=('V06 Calend 01'!C47+(6*'V06 Calend 01'!E47))),('V06 Calend 01'!H47-('V06 Calend 01'!I47*('V06 Calend 01'!E47-1))),'V06 Calend 01'!I47),0))+IF((83='V06 Calend 01'!D47),'V06 Calend 01'!J47,0))</f>
        <v>0</v>
      </c>
      <c r="CR47" s="2">
        <f>((IF((84='V06 Calend 01'!C47),('V06 Calend 01'!F47+'V06 Calend 01'!G47),0)+IF(AND(('V06 Calend 01'!E47&gt;0),(84&gt;'V06 Calend 01'!C47),(84&lt;'V06 Calend 01'!D47),(MOD((84-'V06 Calend 01'!C47),6)=0),(((84-'V06 Calend 01'!C47)/6)&lt;='V06 Calend 01'!E47)),IF((84=('V06 Calend 01'!C47+(6*'V06 Calend 01'!E47))),('V06 Calend 01'!H47-('V06 Calend 01'!I47*('V06 Calend 01'!E47-1))),'V06 Calend 01'!I47),0))+IF((84='V06 Calend 01'!D47),'V06 Calend 01'!J47,0))</f>
        <v>0</v>
      </c>
      <c r="CS47" s="2">
        <f>((IF((85='V06 Calend 01'!C47),('V06 Calend 01'!F47+'V06 Calend 01'!G47),0)+IF(AND(('V06 Calend 01'!E47&gt;0),(85&gt;'V06 Calend 01'!C47),(85&lt;'V06 Calend 01'!D47),(MOD((85-'V06 Calend 01'!C47),6)=0),(((85-'V06 Calend 01'!C47)/6)&lt;='V06 Calend 01'!E47)),IF((85=('V06 Calend 01'!C47+(6*'V06 Calend 01'!E47))),('V06 Calend 01'!H47-('V06 Calend 01'!I47*('V06 Calend 01'!E47-1))),'V06 Calend 01'!I47),0))+IF((85='V06 Calend 01'!D47),'V06 Calend 01'!J47,0))</f>
        <v>0</v>
      </c>
      <c r="CT47" s="2">
        <f>((IF((86='V06 Calend 01'!C47),('V06 Calend 01'!F47+'V06 Calend 01'!G47),0)+IF(AND(('V06 Calend 01'!E47&gt;0),(86&gt;'V06 Calend 01'!C47),(86&lt;'V06 Calend 01'!D47),(MOD((86-'V06 Calend 01'!C47),6)=0),(((86-'V06 Calend 01'!C47)/6)&lt;='V06 Calend 01'!E47)),IF((86=('V06 Calend 01'!C47+(6*'V06 Calend 01'!E47))),('V06 Calend 01'!H47-('V06 Calend 01'!I47*('V06 Calend 01'!E47-1))),'V06 Calend 01'!I47),0))+IF((86='V06 Calend 01'!D47),'V06 Calend 01'!J47,0))</f>
        <v>0</v>
      </c>
      <c r="CU47" s="2">
        <f>((IF((87='V06 Calend 01'!C47),('V06 Calend 01'!F47+'V06 Calend 01'!G47),0)+IF(AND(('V06 Calend 01'!E47&gt;0),(87&gt;'V06 Calend 01'!C47),(87&lt;'V06 Calend 01'!D47),(MOD((87-'V06 Calend 01'!C47),6)=0),(((87-'V06 Calend 01'!C47)/6)&lt;='V06 Calend 01'!E47)),IF((87=('V06 Calend 01'!C47+(6*'V06 Calend 01'!E47))),('V06 Calend 01'!H47-('V06 Calend 01'!I47*('V06 Calend 01'!E47-1))),'V06 Calend 01'!I47),0))+IF((87='V06 Calend 01'!D47),'V06 Calend 01'!J47,0))</f>
        <v>0</v>
      </c>
      <c r="CV47" s="2">
        <f>((IF((88='V06 Calend 01'!C47),('V06 Calend 01'!F47+'V06 Calend 01'!G47),0)+IF(AND(('V06 Calend 01'!E47&gt;0),(88&gt;'V06 Calend 01'!C47),(88&lt;'V06 Calend 01'!D47),(MOD((88-'V06 Calend 01'!C47),6)=0),(((88-'V06 Calend 01'!C47)/6)&lt;='V06 Calend 01'!E47)),IF((88=('V06 Calend 01'!C47+(6*'V06 Calend 01'!E47))),('V06 Calend 01'!H47-('V06 Calend 01'!I47*('V06 Calend 01'!E47-1))),'V06 Calend 01'!I47),0))+IF((88='V06 Calend 01'!D47),'V06 Calend 01'!J47,0))</f>
        <v>0</v>
      </c>
      <c r="CW47" s="2">
        <f>((IF((89='V06 Calend 01'!C47),('V06 Calend 01'!F47+'V06 Calend 01'!G47),0)+IF(AND(('V06 Calend 01'!E47&gt;0),(89&gt;'V06 Calend 01'!C47),(89&lt;'V06 Calend 01'!D47),(MOD((89-'V06 Calend 01'!C47),6)=0),(((89-'V06 Calend 01'!C47)/6)&lt;='V06 Calend 01'!E47)),IF((89=('V06 Calend 01'!C47+(6*'V06 Calend 01'!E47))),('V06 Calend 01'!H47-('V06 Calend 01'!I47*('V06 Calend 01'!E47-1))),'V06 Calend 01'!I47),0))+IF((89='V06 Calend 01'!D47),'V06 Calend 01'!J47,0))</f>
        <v>0</v>
      </c>
      <c r="CX47" s="2">
        <f>((IF((90='V06 Calend 01'!C47),('V06 Calend 01'!F47+'V06 Calend 01'!G47),0)+IF(AND(('V06 Calend 01'!E47&gt;0),(90&gt;'V06 Calend 01'!C47),(90&lt;'V06 Calend 01'!D47),(MOD((90-'V06 Calend 01'!C47),6)=0),(((90-'V06 Calend 01'!C47)/6)&lt;='V06 Calend 01'!E47)),IF((90=('V06 Calend 01'!C47+(6*'V06 Calend 01'!E47))),('V06 Calend 01'!H47-('V06 Calend 01'!I47*('V06 Calend 01'!E47-1))),'V06 Calend 01'!I47),0))+IF((90='V06 Calend 01'!D47),'V06 Calend 01'!J47,0))</f>
        <v>0</v>
      </c>
      <c r="CY47" s="2">
        <f>((IF((91='V06 Calend 01'!C47),('V06 Calend 01'!F47+'V06 Calend 01'!G47),0)+IF(AND(('V06 Calend 01'!E47&gt;0),(91&gt;'V06 Calend 01'!C47),(91&lt;'V06 Calend 01'!D47),(MOD((91-'V06 Calend 01'!C47),6)=0),(((91-'V06 Calend 01'!C47)/6)&lt;='V06 Calend 01'!E47)),IF((91=('V06 Calend 01'!C47+(6*'V06 Calend 01'!E47))),('V06 Calend 01'!H47-('V06 Calend 01'!I47*('V06 Calend 01'!E47-1))),'V06 Calend 01'!I47),0))+IF((91='V06 Calend 01'!D47),'V06 Calend 01'!J47,0))</f>
        <v>0</v>
      </c>
      <c r="CZ47" s="2">
        <f>((IF((92='V06 Calend 01'!C47),('V06 Calend 01'!F47+'V06 Calend 01'!G47),0)+IF(AND(('V06 Calend 01'!E47&gt;0),(92&gt;'V06 Calend 01'!C47),(92&lt;'V06 Calend 01'!D47),(MOD((92-'V06 Calend 01'!C47),6)=0),(((92-'V06 Calend 01'!C47)/6)&lt;='V06 Calend 01'!E47)),IF((92=('V06 Calend 01'!C47+(6*'V06 Calend 01'!E47))),('V06 Calend 01'!H47-('V06 Calend 01'!I47*('V06 Calend 01'!E47-1))),'V06 Calend 01'!I47),0))+IF((92='V06 Calend 01'!D47),'V06 Calend 01'!J47,0))</f>
        <v>0</v>
      </c>
      <c r="DA47" s="2">
        <f>((IF((93='V06 Calend 01'!C47),('V06 Calend 01'!F47+'V06 Calend 01'!G47),0)+IF(AND(('V06 Calend 01'!E47&gt;0),(93&gt;'V06 Calend 01'!C47),(93&lt;'V06 Calend 01'!D47),(MOD((93-'V06 Calend 01'!C47),6)=0),(((93-'V06 Calend 01'!C47)/6)&lt;='V06 Calend 01'!E47)),IF((93=('V06 Calend 01'!C47+(6*'V06 Calend 01'!E47))),('V06 Calend 01'!H47-('V06 Calend 01'!I47*('V06 Calend 01'!E47-1))),'V06 Calend 01'!I47),0))+IF((93='V06 Calend 01'!D47),'V06 Calend 01'!J47,0))</f>
        <v>0</v>
      </c>
      <c r="DB47" s="2">
        <f>((IF((94='V06 Calend 01'!C47),('V06 Calend 01'!F47+'V06 Calend 01'!G47),0)+IF(AND(('V06 Calend 01'!E47&gt;0),(94&gt;'V06 Calend 01'!C47),(94&lt;'V06 Calend 01'!D47),(MOD((94-'V06 Calend 01'!C47),6)=0),(((94-'V06 Calend 01'!C47)/6)&lt;='V06 Calend 01'!E47)),IF((94=('V06 Calend 01'!C47+(6*'V06 Calend 01'!E47))),('V06 Calend 01'!H47-('V06 Calend 01'!I47*('V06 Calend 01'!E47-1))),'V06 Calend 01'!I47),0))+IF((94='V06 Calend 01'!D47),'V06 Calend 01'!J47,0))</f>
        <v>0</v>
      </c>
      <c r="DC47" s="2">
        <f>((IF((95='V06 Calend 01'!C47),('V06 Calend 01'!F47+'V06 Calend 01'!G47),0)+IF(AND(('V06 Calend 01'!E47&gt;0),(95&gt;'V06 Calend 01'!C47),(95&lt;'V06 Calend 01'!D47),(MOD((95-'V06 Calend 01'!C47),6)=0),(((95-'V06 Calend 01'!C47)/6)&lt;='V06 Calend 01'!E47)),IF((95=('V06 Calend 01'!C47+(6*'V06 Calend 01'!E47))),('V06 Calend 01'!H47-('V06 Calend 01'!I47*('V06 Calend 01'!E47-1))),'V06 Calend 01'!I47),0))+IF((95='V06 Calend 01'!D47),'V06 Calend 01'!J47,0))</f>
        <v>0</v>
      </c>
      <c r="DD47" s="2">
        <f>((IF((96='V06 Calend 01'!C47),('V06 Calend 01'!F47+'V06 Calend 01'!G47),0)+IF(AND(('V06 Calend 01'!E47&gt;0),(96&gt;'V06 Calend 01'!C47),(96&lt;'V06 Calend 01'!D47),(MOD((96-'V06 Calend 01'!C47),6)=0),(((96-'V06 Calend 01'!C47)/6)&lt;='V06 Calend 01'!E47)),IF((96=('V06 Calend 01'!C47+(6*'V06 Calend 01'!E47))),('V06 Calend 01'!H47-('V06 Calend 01'!I47*('V06 Calend 01'!E47-1))),'V06 Calend 01'!I47),0))+IF((96='V06 Calend 01'!D47),'V06 Calend 01'!J47,0))</f>
        <v>0</v>
      </c>
      <c r="DE47" s="2">
        <f>((IF((97='V06 Calend 01'!C47),('V06 Calend 01'!F47+'V06 Calend 01'!G47),0)+IF(AND(('V06 Calend 01'!E47&gt;0),(97&gt;'V06 Calend 01'!C47),(97&lt;'V06 Calend 01'!D47),(MOD((97-'V06 Calend 01'!C47),6)=0),(((97-'V06 Calend 01'!C47)/6)&lt;='V06 Calend 01'!E47)),IF((97=('V06 Calend 01'!C47+(6*'V06 Calend 01'!E47))),('V06 Calend 01'!H47-('V06 Calend 01'!I47*('V06 Calend 01'!E47-1))),'V06 Calend 01'!I47),0))+IF((97='V06 Calend 01'!D47),'V06 Calend 01'!J47,0))</f>
        <v>0</v>
      </c>
      <c r="DF47" s="2">
        <f>((IF((98='V06 Calend 01'!C47),('V06 Calend 01'!F47+'V06 Calend 01'!G47),0)+IF(AND(('V06 Calend 01'!E47&gt;0),(98&gt;'V06 Calend 01'!C47),(98&lt;'V06 Calend 01'!D47),(MOD((98-'V06 Calend 01'!C47),6)=0),(((98-'V06 Calend 01'!C47)/6)&lt;='V06 Calend 01'!E47)),IF((98=('V06 Calend 01'!C47+(6*'V06 Calend 01'!E47))),('V06 Calend 01'!H47-('V06 Calend 01'!I47*('V06 Calend 01'!E47-1))),'V06 Calend 01'!I47),0))+IF((98='V06 Calend 01'!D47),'V06 Calend 01'!J47,0))</f>
        <v>0</v>
      </c>
      <c r="DG47" s="2">
        <f>((IF((99='V06 Calend 01'!C47),('V06 Calend 01'!F47+'V06 Calend 01'!G47),0)+IF(AND(('V06 Calend 01'!E47&gt;0),(99&gt;'V06 Calend 01'!C47),(99&lt;'V06 Calend 01'!D47),(MOD((99-'V06 Calend 01'!C47),6)=0),(((99-'V06 Calend 01'!C47)/6)&lt;='V06 Calend 01'!E47)),IF((99=('V06 Calend 01'!C47+(6*'V06 Calend 01'!E47))),('V06 Calend 01'!H47-('V06 Calend 01'!I47*('V06 Calend 01'!E47-1))),'V06 Calend 01'!I47),0))+IF((99='V06 Calend 01'!D47),'V06 Calend 01'!J47,0))</f>
        <v>0</v>
      </c>
      <c r="DH47" s="2">
        <f>((IF((100='V06 Calend 01'!C47),('V06 Calend 01'!F47+'V06 Calend 01'!G47),0)+IF(AND(('V06 Calend 01'!E47&gt;0),(100&gt;'V06 Calend 01'!C47),(100&lt;'V06 Calend 01'!D47),(MOD((100-'V06 Calend 01'!C47),6)=0),(((100-'V06 Calend 01'!C47)/6)&lt;='V06 Calend 01'!E47)),IF((100=('V06 Calend 01'!C47+(6*'V06 Calend 01'!E47))),('V06 Calend 01'!H47-('V06 Calend 01'!I47*('V06 Calend 01'!E47-1))),'V06 Calend 01'!I47),0))+IF((100='V06 Calend 01'!D47),'V06 Calend 01'!J47,0))</f>
        <v>0</v>
      </c>
      <c r="DI47" s="2">
        <f>((IF((101='V06 Calend 01'!C47),('V06 Calend 01'!F47+'V06 Calend 01'!G47),0)+IF(AND(('V06 Calend 01'!E47&gt;0),(101&gt;'V06 Calend 01'!C47),(101&lt;'V06 Calend 01'!D47),(MOD((101-'V06 Calend 01'!C47),6)=0),(((101-'V06 Calend 01'!C47)/6)&lt;='V06 Calend 01'!E47)),IF((101=('V06 Calend 01'!C47+(6*'V06 Calend 01'!E47))),('V06 Calend 01'!H47-('V06 Calend 01'!I47*('V06 Calend 01'!E47-1))),'V06 Calend 01'!I47),0))+IF((101='V06 Calend 01'!D47),'V06 Calend 01'!J47,0))</f>
        <v>0</v>
      </c>
      <c r="DJ47" s="2">
        <f>((IF((102='V06 Calend 01'!C47),('V06 Calend 01'!F47+'V06 Calend 01'!G47),0)+IF(AND(('V06 Calend 01'!E47&gt;0),(102&gt;'V06 Calend 01'!C47),(102&lt;'V06 Calend 01'!D47),(MOD((102-'V06 Calend 01'!C47),6)=0),(((102-'V06 Calend 01'!C47)/6)&lt;='V06 Calend 01'!E47)),IF((102=('V06 Calend 01'!C47+(6*'V06 Calend 01'!E47))),('V06 Calend 01'!H47-('V06 Calend 01'!I47*('V06 Calend 01'!E47-1))),'V06 Calend 01'!I47),0))+IF((102='V06 Calend 01'!D47),'V06 Calend 01'!J47,0))</f>
        <v>0</v>
      </c>
      <c r="DK47" s="2">
        <f>((IF((103='V06 Calend 01'!C47),('V06 Calend 01'!F47+'V06 Calend 01'!G47),0)+IF(AND(('V06 Calend 01'!E47&gt;0),(103&gt;'V06 Calend 01'!C47),(103&lt;'V06 Calend 01'!D47),(MOD((103-'V06 Calend 01'!C47),6)=0),(((103-'V06 Calend 01'!C47)/6)&lt;='V06 Calend 01'!E47)),IF((103=('V06 Calend 01'!C47+(6*'V06 Calend 01'!E47))),('V06 Calend 01'!H47-('V06 Calend 01'!I47*('V06 Calend 01'!E47-1))),'V06 Calend 01'!I47),0))+IF((103='V06 Calend 01'!D47),'V06 Calend 01'!J47,0))</f>
        <v>0</v>
      </c>
      <c r="DL47" s="2">
        <f>((IF((104='V06 Calend 01'!C47),('V06 Calend 01'!F47+'V06 Calend 01'!G47),0)+IF(AND(('V06 Calend 01'!E47&gt;0),(104&gt;'V06 Calend 01'!C47),(104&lt;'V06 Calend 01'!D47),(MOD((104-'V06 Calend 01'!C47),6)=0),(((104-'V06 Calend 01'!C47)/6)&lt;='V06 Calend 01'!E47)),IF((104=('V06 Calend 01'!C47+(6*'V06 Calend 01'!E47))),('V06 Calend 01'!H47-('V06 Calend 01'!I47*('V06 Calend 01'!E47-1))),'V06 Calend 01'!I47),0))+IF((104='V06 Calend 01'!D47),'V06 Calend 01'!J47,0))</f>
        <v>0</v>
      </c>
      <c r="DM47" s="2">
        <f>((IF((105='V06 Calend 01'!C47),('V06 Calend 01'!F47+'V06 Calend 01'!G47),0)+IF(AND(('V06 Calend 01'!E47&gt;0),(105&gt;'V06 Calend 01'!C47),(105&lt;'V06 Calend 01'!D47),(MOD((105-'V06 Calend 01'!C47),6)=0),(((105-'V06 Calend 01'!C47)/6)&lt;='V06 Calend 01'!E47)),IF((105=('V06 Calend 01'!C47+(6*'V06 Calend 01'!E47))),('V06 Calend 01'!H47-('V06 Calend 01'!I47*('V06 Calend 01'!E47-1))),'V06 Calend 01'!I47),0))+IF((105='V06 Calend 01'!D47),'V06 Calend 01'!J47,0))</f>
        <v>0</v>
      </c>
      <c r="DN47" s="2">
        <f>((IF((106='V06 Calend 01'!C47),('V06 Calend 01'!F47+'V06 Calend 01'!G47),0)+IF(AND(('V06 Calend 01'!E47&gt;0),(106&gt;'V06 Calend 01'!C47),(106&lt;'V06 Calend 01'!D47),(MOD((106-'V06 Calend 01'!C47),6)=0),(((106-'V06 Calend 01'!C47)/6)&lt;='V06 Calend 01'!E47)),IF((106=('V06 Calend 01'!C47+(6*'V06 Calend 01'!E47))),('V06 Calend 01'!H47-('V06 Calend 01'!I47*('V06 Calend 01'!E47-1))),'V06 Calend 01'!I47),0))+IF((106='V06 Calend 01'!D47),'V06 Calend 01'!J47,0))</f>
        <v>0</v>
      </c>
      <c r="DO47" s="2">
        <f>((IF((107='V06 Calend 01'!C47),('V06 Calend 01'!F47+'V06 Calend 01'!G47),0)+IF(AND(('V06 Calend 01'!E47&gt;0),(107&gt;'V06 Calend 01'!C47),(107&lt;'V06 Calend 01'!D47),(MOD((107-'V06 Calend 01'!C47),6)=0),(((107-'V06 Calend 01'!C47)/6)&lt;='V06 Calend 01'!E47)),IF((107=('V06 Calend 01'!C47+(6*'V06 Calend 01'!E47))),('V06 Calend 01'!H47-('V06 Calend 01'!I47*('V06 Calend 01'!E47-1))),'V06 Calend 01'!I47),0))+IF((107='V06 Calend 01'!D47),'V06 Calend 01'!J47,0))</f>
        <v>0</v>
      </c>
      <c r="DP47" s="2">
        <f>((IF((108='V06 Calend 01'!C47),('V06 Calend 01'!F47+'V06 Calend 01'!G47),0)+IF(AND(('V06 Calend 01'!E47&gt;0),(108&gt;'V06 Calend 01'!C47),(108&lt;'V06 Calend 01'!D47),(MOD((108-'V06 Calend 01'!C47),6)=0),(((108-'V06 Calend 01'!C47)/6)&lt;='V06 Calend 01'!E47)),IF((108=('V06 Calend 01'!C47+(6*'V06 Calend 01'!E47))),('V06 Calend 01'!H47-('V06 Calend 01'!I47*('V06 Calend 01'!E47-1))),'V06 Calend 01'!I47),0))+IF((108='V06 Calend 01'!D47),'V06 Calend 01'!J47,0))</f>
        <v>0</v>
      </c>
      <c r="DQ47" s="2">
        <f>((IF((109='V06 Calend 01'!C47),('V06 Calend 01'!F47+'V06 Calend 01'!G47),0)+IF(AND(('V06 Calend 01'!E47&gt;0),(109&gt;'V06 Calend 01'!C47),(109&lt;'V06 Calend 01'!D47),(MOD((109-'V06 Calend 01'!C47),6)=0),(((109-'V06 Calend 01'!C47)/6)&lt;='V06 Calend 01'!E47)),IF((109=('V06 Calend 01'!C47+(6*'V06 Calend 01'!E47))),('V06 Calend 01'!H47-('V06 Calend 01'!I47*('V06 Calend 01'!E47-1))),'V06 Calend 01'!I47),0))+IF((109='V06 Calend 01'!D47),'V06 Calend 01'!J47,0))</f>
        <v>0</v>
      </c>
      <c r="DR47" s="2">
        <f>((IF((110='V06 Calend 01'!C47),('V06 Calend 01'!F47+'V06 Calend 01'!G47),0)+IF(AND(('V06 Calend 01'!E47&gt;0),(110&gt;'V06 Calend 01'!C47),(110&lt;'V06 Calend 01'!D47),(MOD((110-'V06 Calend 01'!C47),6)=0),(((110-'V06 Calend 01'!C47)/6)&lt;='V06 Calend 01'!E47)),IF((110=('V06 Calend 01'!C47+(6*'V06 Calend 01'!E47))),('V06 Calend 01'!H47-('V06 Calend 01'!I47*('V06 Calend 01'!E47-1))),'V06 Calend 01'!I47),0))+IF((110='V06 Calend 01'!D47),'V06 Calend 01'!J47,0))</f>
        <v>0</v>
      </c>
      <c r="DS47" s="2">
        <f>((IF((111='V06 Calend 01'!C47),('V06 Calend 01'!F47+'V06 Calend 01'!G47),0)+IF(AND(('V06 Calend 01'!E47&gt;0),(111&gt;'V06 Calend 01'!C47),(111&lt;'V06 Calend 01'!D47),(MOD((111-'V06 Calend 01'!C47),6)=0),(((111-'V06 Calend 01'!C47)/6)&lt;='V06 Calend 01'!E47)),IF((111=('V06 Calend 01'!C47+(6*'V06 Calend 01'!E47))),('V06 Calend 01'!H47-('V06 Calend 01'!I47*('V06 Calend 01'!E47-1))),'V06 Calend 01'!I47),0))+IF((111='V06 Calend 01'!D47),'V06 Calend 01'!J47,0))</f>
        <v>0</v>
      </c>
      <c r="DT47" s="2">
        <f>((IF((112='V06 Calend 01'!C47),('V06 Calend 01'!F47+'V06 Calend 01'!G47),0)+IF(AND(('V06 Calend 01'!E47&gt;0),(112&gt;'V06 Calend 01'!C47),(112&lt;'V06 Calend 01'!D47),(MOD((112-'V06 Calend 01'!C47),6)=0),(((112-'V06 Calend 01'!C47)/6)&lt;='V06 Calend 01'!E47)),IF((112=('V06 Calend 01'!C47+(6*'V06 Calend 01'!E47))),('V06 Calend 01'!H47-('V06 Calend 01'!I47*('V06 Calend 01'!E47-1))),'V06 Calend 01'!I47),0))+IF((112='V06 Calend 01'!D47),'V06 Calend 01'!J47,0))</f>
        <v>0</v>
      </c>
      <c r="DU47" s="2">
        <f>((IF((113='V06 Calend 01'!C47),('V06 Calend 01'!F47+'V06 Calend 01'!G47),0)+IF(AND(('V06 Calend 01'!E47&gt;0),(113&gt;'V06 Calend 01'!C47),(113&lt;'V06 Calend 01'!D47),(MOD((113-'V06 Calend 01'!C47),6)=0),(((113-'V06 Calend 01'!C47)/6)&lt;='V06 Calend 01'!E47)),IF((113=('V06 Calend 01'!C47+(6*'V06 Calend 01'!E47))),('V06 Calend 01'!H47-('V06 Calend 01'!I47*('V06 Calend 01'!E47-1))),'V06 Calend 01'!I47),0))+IF((113='V06 Calend 01'!D47),'V06 Calend 01'!J47,0))</f>
        <v>0</v>
      </c>
      <c r="DV47" s="2">
        <f>((IF((114='V06 Calend 01'!C47),('V06 Calend 01'!F47+'V06 Calend 01'!G47),0)+IF(AND(('V06 Calend 01'!E47&gt;0),(114&gt;'V06 Calend 01'!C47),(114&lt;'V06 Calend 01'!D47),(MOD((114-'V06 Calend 01'!C47),6)=0),(((114-'V06 Calend 01'!C47)/6)&lt;='V06 Calend 01'!E47)),IF((114=('V06 Calend 01'!C47+(6*'V06 Calend 01'!E47))),('V06 Calend 01'!H47-('V06 Calend 01'!I47*('V06 Calend 01'!E47-1))),'V06 Calend 01'!I47),0))+IF((114='V06 Calend 01'!D47),'V06 Calend 01'!J47,0))</f>
        <v>0</v>
      </c>
      <c r="DW47" s="2">
        <f>((IF((115='V06 Calend 01'!C47),('V06 Calend 01'!F47+'V06 Calend 01'!G47),0)+IF(AND(('V06 Calend 01'!E47&gt;0),(115&gt;'V06 Calend 01'!C47),(115&lt;'V06 Calend 01'!D47),(MOD((115-'V06 Calend 01'!C47),6)=0),(((115-'V06 Calend 01'!C47)/6)&lt;='V06 Calend 01'!E47)),IF((115=('V06 Calend 01'!C47+(6*'V06 Calend 01'!E47))),('V06 Calend 01'!H47-('V06 Calend 01'!I47*('V06 Calend 01'!E47-1))),'V06 Calend 01'!I47),0))+IF((115='V06 Calend 01'!D47),'V06 Calend 01'!J47,0))</f>
        <v>0</v>
      </c>
      <c r="DX47" s="2">
        <f>((IF((116='V06 Calend 01'!C47),('V06 Calend 01'!F47+'V06 Calend 01'!G47),0)+IF(AND(('V06 Calend 01'!E47&gt;0),(116&gt;'V06 Calend 01'!C47),(116&lt;'V06 Calend 01'!D47),(MOD((116-'V06 Calend 01'!C47),6)=0),(((116-'V06 Calend 01'!C47)/6)&lt;='V06 Calend 01'!E47)),IF((116=('V06 Calend 01'!C47+(6*'V06 Calend 01'!E47))),('V06 Calend 01'!H47-('V06 Calend 01'!I47*('V06 Calend 01'!E47-1))),'V06 Calend 01'!I47),0))+IF((116='V06 Calend 01'!D47),'V06 Calend 01'!J47,0))</f>
        <v>0</v>
      </c>
      <c r="DY47" s="2">
        <f>((IF((117='V06 Calend 01'!C47),('V06 Calend 01'!F47+'V06 Calend 01'!G47),0)+IF(AND(('V06 Calend 01'!E47&gt;0),(117&gt;'V06 Calend 01'!C47),(117&lt;'V06 Calend 01'!D47),(MOD((117-'V06 Calend 01'!C47),6)=0),(((117-'V06 Calend 01'!C47)/6)&lt;='V06 Calend 01'!E47)),IF((117=('V06 Calend 01'!C47+(6*'V06 Calend 01'!E47))),('V06 Calend 01'!H47-('V06 Calend 01'!I47*('V06 Calend 01'!E47-1))),'V06 Calend 01'!I47),0))+IF((117='V06 Calend 01'!D47),'V06 Calend 01'!J47,0))</f>
        <v>0</v>
      </c>
      <c r="DZ47" s="2">
        <f>((IF((118='V06 Calend 01'!C47),('V06 Calend 01'!F47+'V06 Calend 01'!G47),0)+IF(AND(('V06 Calend 01'!E47&gt;0),(118&gt;'V06 Calend 01'!C47),(118&lt;'V06 Calend 01'!D47),(MOD((118-'V06 Calend 01'!C47),6)=0),(((118-'V06 Calend 01'!C47)/6)&lt;='V06 Calend 01'!E47)),IF((118=('V06 Calend 01'!C47+(6*'V06 Calend 01'!E47))),('V06 Calend 01'!H47-('V06 Calend 01'!I47*('V06 Calend 01'!E47-1))),'V06 Calend 01'!I47),0))+IF((118='V06 Calend 01'!D47),'V06 Calend 01'!J47,0))</f>
        <v>0</v>
      </c>
      <c r="EA47" s="2">
        <f>((IF((119='V06 Calend 01'!C47),('V06 Calend 01'!F47+'V06 Calend 01'!G47),0)+IF(AND(('V06 Calend 01'!E47&gt;0),(119&gt;'V06 Calend 01'!C47),(119&lt;'V06 Calend 01'!D47),(MOD((119-'V06 Calend 01'!C47),6)=0),(((119-'V06 Calend 01'!C47)/6)&lt;='V06 Calend 01'!E47)),IF((119=('V06 Calend 01'!C47+(6*'V06 Calend 01'!E47))),('V06 Calend 01'!H47-('V06 Calend 01'!I47*('V06 Calend 01'!E47-1))),'V06 Calend 01'!I47),0))+IF((119='V06 Calend 01'!D47),'V06 Calend 01'!J47,0))</f>
        <v>0</v>
      </c>
      <c r="EB47" s="2">
        <f>((IF((120='V06 Calend 01'!C47),('V06 Calend 01'!F47+'V06 Calend 01'!G47),0)+IF(AND(('V06 Calend 01'!E47&gt;0),(120&gt;'V06 Calend 01'!C47),(120&lt;'V06 Calend 01'!D47),(MOD((120-'V06 Calend 01'!C47),6)=0),(((120-'V06 Calend 01'!C47)/6)&lt;='V06 Calend 01'!E47)),IF((120=('V06 Calend 01'!C47+(6*'V06 Calend 01'!E47))),('V06 Calend 01'!H47-('V06 Calend 01'!I47*('V06 Calend 01'!E47-1))),'V06 Calend 01'!I47),0))+IF((120='V06 Calend 01'!D47),'V06 Calend 01'!J47,0))</f>
        <v>0</v>
      </c>
      <c r="EC47" s="2">
        <f>((IF((121='V06 Calend 01'!C47),('V06 Calend 01'!F47+'V06 Calend 01'!G47),0)+IF(AND(('V06 Calend 01'!E47&gt;0),(121&gt;'V06 Calend 01'!C47),(121&lt;'V06 Calend 01'!D47),(MOD((121-'V06 Calend 01'!C47),6)=0),(((121-'V06 Calend 01'!C47)/6)&lt;='V06 Calend 01'!E47)),IF((121=('V06 Calend 01'!C47+(6*'V06 Calend 01'!E47))),('V06 Calend 01'!H47-('V06 Calend 01'!I47*('V06 Calend 01'!E47-1))),'V06 Calend 01'!I47),0))+IF((121='V06 Calend 01'!D47),'V06 Calend 01'!J47,0))</f>
        <v>0</v>
      </c>
      <c r="ED47" s="2">
        <f>((IF((122='V06 Calend 01'!C47),('V06 Calend 01'!F47+'V06 Calend 01'!G47),0)+IF(AND(('V06 Calend 01'!E47&gt;0),(122&gt;'V06 Calend 01'!C47),(122&lt;'V06 Calend 01'!D47),(MOD((122-'V06 Calend 01'!C47),6)=0),(((122-'V06 Calend 01'!C47)/6)&lt;='V06 Calend 01'!E47)),IF((122=('V06 Calend 01'!C47+(6*'V06 Calend 01'!E47))),('V06 Calend 01'!H47-('V06 Calend 01'!I47*('V06 Calend 01'!E47-1))),'V06 Calend 01'!I47),0))+IF((122='V06 Calend 01'!D47),'V06 Calend 01'!J47,0))</f>
        <v>0</v>
      </c>
      <c r="EE47" s="2">
        <f>((IF((123='V06 Calend 01'!C47),('V06 Calend 01'!F47+'V06 Calend 01'!G47),0)+IF(AND(('V06 Calend 01'!E47&gt;0),(123&gt;'V06 Calend 01'!C47),(123&lt;'V06 Calend 01'!D47),(MOD((123-'V06 Calend 01'!C47),6)=0),(((123-'V06 Calend 01'!C47)/6)&lt;='V06 Calend 01'!E47)),IF((123=('V06 Calend 01'!C47+(6*'V06 Calend 01'!E47))),('V06 Calend 01'!H47-('V06 Calend 01'!I47*('V06 Calend 01'!E47-1))),'V06 Calend 01'!I47),0))+IF((123='V06 Calend 01'!D47),'V06 Calend 01'!J47,0))</f>
        <v>0</v>
      </c>
      <c r="EF47" s="2">
        <f>((IF((124='V06 Calend 01'!C47),('V06 Calend 01'!F47+'V06 Calend 01'!G47),0)+IF(AND(('V06 Calend 01'!E47&gt;0),(124&gt;'V06 Calend 01'!C47),(124&lt;'V06 Calend 01'!D47),(MOD((124-'V06 Calend 01'!C47),6)=0),(((124-'V06 Calend 01'!C47)/6)&lt;='V06 Calend 01'!E47)),IF((124=('V06 Calend 01'!C47+(6*'V06 Calend 01'!E47))),('V06 Calend 01'!H47-('V06 Calend 01'!I47*('V06 Calend 01'!E47-1))),'V06 Calend 01'!I47),0))+IF((124='V06 Calend 01'!D47),'V06 Calend 01'!J47,0))</f>
        <v>0</v>
      </c>
      <c r="EG47" s="2">
        <f>((IF((125='V06 Calend 01'!C47),('V06 Calend 01'!F47+'V06 Calend 01'!G47),0)+IF(AND(('V06 Calend 01'!E47&gt;0),(125&gt;'V06 Calend 01'!C47),(125&lt;'V06 Calend 01'!D47),(MOD((125-'V06 Calend 01'!C47),6)=0),(((125-'V06 Calend 01'!C47)/6)&lt;='V06 Calend 01'!E47)),IF((125=('V06 Calend 01'!C47+(6*'V06 Calend 01'!E47))),('V06 Calend 01'!H47-('V06 Calend 01'!I47*('V06 Calend 01'!E47-1))),'V06 Calend 01'!I47),0))+IF((125='V06 Calend 01'!D47),'V06 Calend 01'!J47,0))</f>
        <v>0</v>
      </c>
      <c r="EH47" s="2">
        <f>((IF((126='V06 Calend 01'!C47),('V06 Calend 01'!F47+'V06 Calend 01'!G47),0)+IF(AND(('V06 Calend 01'!E47&gt;0),(126&gt;'V06 Calend 01'!C47),(126&lt;'V06 Calend 01'!D47),(MOD((126-'V06 Calend 01'!C47),6)=0),(((126-'V06 Calend 01'!C47)/6)&lt;='V06 Calend 01'!E47)),IF((126=('V06 Calend 01'!C47+(6*'V06 Calend 01'!E47))),('V06 Calend 01'!H47-('V06 Calend 01'!I47*('V06 Calend 01'!E47-1))),'V06 Calend 01'!I47),0))+IF((126='V06 Calend 01'!D47),'V06 Calend 01'!J47,0))</f>
        <v>0</v>
      </c>
      <c r="EI47" s="2">
        <f>((IF((127='V06 Calend 01'!C47),('V06 Calend 01'!F47+'V06 Calend 01'!G47),0)+IF(AND(('V06 Calend 01'!E47&gt;0),(127&gt;'V06 Calend 01'!C47),(127&lt;'V06 Calend 01'!D47),(MOD((127-'V06 Calend 01'!C47),6)=0),(((127-'V06 Calend 01'!C47)/6)&lt;='V06 Calend 01'!E47)),IF((127=('V06 Calend 01'!C47+(6*'V06 Calend 01'!E47))),('V06 Calend 01'!H47-('V06 Calend 01'!I47*('V06 Calend 01'!E47-1))),'V06 Calend 01'!I47),0))+IF((127='V06 Calend 01'!D47),'V06 Calend 01'!J47,0))</f>
        <v>0</v>
      </c>
      <c r="EJ47" s="2">
        <f>((IF((128='V06 Calend 01'!C47),('V06 Calend 01'!F47+'V06 Calend 01'!G47),0)+IF(AND(('V06 Calend 01'!E47&gt;0),(128&gt;'V06 Calend 01'!C47),(128&lt;'V06 Calend 01'!D47),(MOD((128-'V06 Calend 01'!C47),6)=0),(((128-'V06 Calend 01'!C47)/6)&lt;='V06 Calend 01'!E47)),IF((128=('V06 Calend 01'!C47+(6*'V06 Calend 01'!E47))),('V06 Calend 01'!H47-('V06 Calend 01'!I47*('V06 Calend 01'!E47-1))),'V06 Calend 01'!I47),0))+IF((128='V06 Calend 01'!D47),'V06 Calend 01'!J47,0))</f>
        <v>0</v>
      </c>
      <c r="EK47" s="2">
        <f>((IF((129='V06 Calend 01'!C47),('V06 Calend 01'!F47+'V06 Calend 01'!G47),0)+IF(AND(('V06 Calend 01'!E47&gt;0),(129&gt;'V06 Calend 01'!C47),(129&lt;'V06 Calend 01'!D47),(MOD((129-'V06 Calend 01'!C47),6)=0),(((129-'V06 Calend 01'!C47)/6)&lt;='V06 Calend 01'!E47)),IF((129=('V06 Calend 01'!C47+(6*'V06 Calend 01'!E47))),('V06 Calend 01'!H47-('V06 Calend 01'!I47*('V06 Calend 01'!E47-1))),'V06 Calend 01'!I47),0))+IF((129='V06 Calend 01'!D47),'V06 Calend 01'!J47,0))</f>
        <v>0</v>
      </c>
      <c r="EL47" s="2">
        <f>((IF((130='V06 Calend 01'!C47),('V06 Calend 01'!F47+'V06 Calend 01'!G47),0)+IF(AND(('V06 Calend 01'!E47&gt;0),(130&gt;'V06 Calend 01'!C47),(130&lt;'V06 Calend 01'!D47),(MOD((130-'V06 Calend 01'!C47),6)=0),(((130-'V06 Calend 01'!C47)/6)&lt;='V06 Calend 01'!E47)),IF((130=('V06 Calend 01'!C47+(6*'V06 Calend 01'!E47))),('V06 Calend 01'!H47-('V06 Calend 01'!I47*('V06 Calend 01'!E47-1))),'V06 Calend 01'!I47),0))+IF((130='V06 Calend 01'!D47),'V06 Calend 01'!J47,0))</f>
        <v>0</v>
      </c>
      <c r="EM47" s="2">
        <f>((IF((131='V06 Calend 01'!C47),('V06 Calend 01'!F47+'V06 Calend 01'!G47),0)+IF(AND(('V06 Calend 01'!E47&gt;0),(131&gt;'V06 Calend 01'!C47),(131&lt;'V06 Calend 01'!D47),(MOD((131-'V06 Calend 01'!C47),6)=0),(((131-'V06 Calend 01'!C47)/6)&lt;='V06 Calend 01'!E47)),IF((131=('V06 Calend 01'!C47+(6*'V06 Calend 01'!E47))),('V06 Calend 01'!H47-('V06 Calend 01'!I47*('V06 Calend 01'!E47-1))),'V06 Calend 01'!I47),0))+IF((131='V06 Calend 01'!D47),'V06 Calend 01'!J47,0))</f>
        <v>0</v>
      </c>
      <c r="EN47" s="2">
        <f>((IF((132='V06 Calend 01'!C47),('V06 Calend 01'!F47+'V06 Calend 01'!G47),0)+IF(AND(('V06 Calend 01'!E47&gt;0),(132&gt;'V06 Calend 01'!C47),(132&lt;'V06 Calend 01'!D47),(MOD((132-'V06 Calend 01'!C47),6)=0),(((132-'V06 Calend 01'!C47)/6)&lt;='V06 Calend 01'!E47)),IF((132=('V06 Calend 01'!C47+(6*'V06 Calend 01'!E47))),('V06 Calend 01'!H47-('V06 Calend 01'!I47*('V06 Calend 01'!E47-1))),'V06 Calend 01'!I47),0))+IF((132='V06 Calend 01'!D47),'V06 Calend 01'!J47,0))</f>
        <v>0</v>
      </c>
      <c r="EO47" s="2">
        <f>((IF((133='V06 Calend 01'!C47),('V06 Calend 01'!F47+'V06 Calend 01'!G47),0)+IF(AND(('V06 Calend 01'!E47&gt;0),(133&gt;'V06 Calend 01'!C47),(133&lt;'V06 Calend 01'!D47),(MOD((133-'V06 Calend 01'!C47),6)=0),(((133-'V06 Calend 01'!C47)/6)&lt;='V06 Calend 01'!E47)),IF((133=('V06 Calend 01'!C47+(6*'V06 Calend 01'!E47))),('V06 Calend 01'!H47-('V06 Calend 01'!I47*('V06 Calend 01'!E47-1))),'V06 Calend 01'!I47),0))+IF((133='V06 Calend 01'!D47),'V06 Calend 01'!J47,0))</f>
        <v>0</v>
      </c>
      <c r="EP47" s="2">
        <f>((IF((134='V06 Calend 01'!C47),('V06 Calend 01'!F47+'V06 Calend 01'!G47),0)+IF(AND(('V06 Calend 01'!E47&gt;0),(134&gt;'V06 Calend 01'!C47),(134&lt;'V06 Calend 01'!D47),(MOD((134-'V06 Calend 01'!C47),6)=0),(((134-'V06 Calend 01'!C47)/6)&lt;='V06 Calend 01'!E47)),IF((134=('V06 Calend 01'!C47+(6*'V06 Calend 01'!E47))),('V06 Calend 01'!H47-('V06 Calend 01'!I47*('V06 Calend 01'!E47-1))),'V06 Calend 01'!I47),0))+IF((134='V06 Calend 01'!D47),'V06 Calend 01'!J47,0))</f>
        <v>0</v>
      </c>
      <c r="EQ47" s="2">
        <f>((IF((135='V06 Calend 01'!C47),('V06 Calend 01'!F47+'V06 Calend 01'!G47),0)+IF(AND(('V06 Calend 01'!E47&gt;0),(135&gt;'V06 Calend 01'!C47),(135&lt;'V06 Calend 01'!D47),(MOD((135-'V06 Calend 01'!C47),6)=0),(((135-'V06 Calend 01'!C47)/6)&lt;='V06 Calend 01'!E47)),IF((135=('V06 Calend 01'!C47+(6*'V06 Calend 01'!E47))),('V06 Calend 01'!H47-('V06 Calend 01'!I47*('V06 Calend 01'!E47-1))),'V06 Calend 01'!I47),0))+IF((135='V06 Calend 01'!D47),'V06 Calend 01'!J47,0))</f>
        <v>0</v>
      </c>
      <c r="ER47" s="2">
        <f>((IF((136='V06 Calend 01'!C47),('V06 Calend 01'!F47+'V06 Calend 01'!G47),0)+IF(AND(('V06 Calend 01'!E47&gt;0),(136&gt;'V06 Calend 01'!C47),(136&lt;'V06 Calend 01'!D47),(MOD((136-'V06 Calend 01'!C47),6)=0),(((136-'V06 Calend 01'!C47)/6)&lt;='V06 Calend 01'!E47)),IF((136=('V06 Calend 01'!C47+(6*'V06 Calend 01'!E47))),('V06 Calend 01'!H47-('V06 Calend 01'!I47*('V06 Calend 01'!E47-1))),'V06 Calend 01'!I47),0))+IF((136='V06 Calend 01'!D47),'V06 Calend 01'!J47,0))</f>
        <v>0</v>
      </c>
      <c r="ES47" s="2">
        <f>((IF((137='V06 Calend 01'!C47),('V06 Calend 01'!F47+'V06 Calend 01'!G47),0)+IF(AND(('V06 Calend 01'!E47&gt;0),(137&gt;'V06 Calend 01'!C47),(137&lt;'V06 Calend 01'!D47),(MOD((137-'V06 Calend 01'!C47),6)=0),(((137-'V06 Calend 01'!C47)/6)&lt;='V06 Calend 01'!E47)),IF((137=('V06 Calend 01'!C47+(6*'V06 Calend 01'!E47))),('V06 Calend 01'!H47-('V06 Calend 01'!I47*('V06 Calend 01'!E47-1))),'V06 Calend 01'!I47),0))+IF((137='V06 Calend 01'!D47),'V06 Calend 01'!J47,0))</f>
        <v>0</v>
      </c>
      <c r="ET47" s="2">
        <f>((IF((138='V06 Calend 01'!C47),('V06 Calend 01'!F47+'V06 Calend 01'!G47),0)+IF(AND(('V06 Calend 01'!E47&gt;0),(138&gt;'V06 Calend 01'!C47),(138&lt;'V06 Calend 01'!D47),(MOD((138-'V06 Calend 01'!C47),6)=0),(((138-'V06 Calend 01'!C47)/6)&lt;='V06 Calend 01'!E47)),IF((138=('V06 Calend 01'!C47+(6*'V06 Calend 01'!E47))),('V06 Calend 01'!H47-('V06 Calend 01'!I47*('V06 Calend 01'!E47-1))),'V06 Calend 01'!I47),0))+IF((138='V06 Calend 01'!D47),'V06 Calend 01'!J47,0))</f>
        <v>0</v>
      </c>
      <c r="EU47" s="2">
        <f>((IF((139='V06 Calend 01'!C47),('V06 Calend 01'!F47+'V06 Calend 01'!G47),0)+IF(AND(('V06 Calend 01'!E47&gt;0),(139&gt;'V06 Calend 01'!C47),(139&lt;'V06 Calend 01'!D47),(MOD((139-'V06 Calend 01'!C47),6)=0),(((139-'V06 Calend 01'!C47)/6)&lt;='V06 Calend 01'!E47)),IF((139=('V06 Calend 01'!C47+(6*'V06 Calend 01'!E47))),('V06 Calend 01'!H47-('V06 Calend 01'!I47*('V06 Calend 01'!E47-1))),'V06 Calend 01'!I47),0))+IF((139='V06 Calend 01'!D47),'V06 Calend 01'!J47,0))</f>
        <v>0</v>
      </c>
      <c r="EV47" s="2">
        <f>((IF((140='V06 Calend 01'!C47),('V06 Calend 01'!F47+'V06 Calend 01'!G47),0)+IF(AND(('V06 Calend 01'!E47&gt;0),(140&gt;'V06 Calend 01'!C47),(140&lt;'V06 Calend 01'!D47),(MOD((140-'V06 Calend 01'!C47),6)=0),(((140-'V06 Calend 01'!C47)/6)&lt;='V06 Calend 01'!E47)),IF((140=('V06 Calend 01'!C47+(6*'V06 Calend 01'!E47))),('V06 Calend 01'!H47-('V06 Calend 01'!I47*('V06 Calend 01'!E47-1))),'V06 Calend 01'!I47),0))+IF((140='V06 Calend 01'!D47),'V06 Calend 01'!J47,0))</f>
        <v>0</v>
      </c>
      <c r="EW47" s="2">
        <f>((IF((141='V06 Calend 01'!C47),('V06 Calend 01'!F47+'V06 Calend 01'!G47),0)+IF(AND(('V06 Calend 01'!E47&gt;0),(141&gt;'V06 Calend 01'!C47),(141&lt;'V06 Calend 01'!D47),(MOD((141-'V06 Calend 01'!C47),6)=0),(((141-'V06 Calend 01'!C47)/6)&lt;='V06 Calend 01'!E47)),IF((141=('V06 Calend 01'!C47+(6*'V06 Calend 01'!E47))),('V06 Calend 01'!H47-('V06 Calend 01'!I47*('V06 Calend 01'!E47-1))),'V06 Calend 01'!I47),0))+IF((141='V06 Calend 01'!D47),'V06 Calend 01'!J47,0))</f>
        <v>0</v>
      </c>
      <c r="EX47" s="2">
        <f>((IF((142='V06 Calend 01'!C47),('V06 Calend 01'!F47+'V06 Calend 01'!G47),0)+IF(AND(('V06 Calend 01'!E47&gt;0),(142&gt;'V06 Calend 01'!C47),(142&lt;'V06 Calend 01'!D47),(MOD((142-'V06 Calend 01'!C47),6)=0),(((142-'V06 Calend 01'!C47)/6)&lt;='V06 Calend 01'!E47)),IF((142=('V06 Calend 01'!C47+(6*'V06 Calend 01'!E47))),('V06 Calend 01'!H47-('V06 Calend 01'!I47*('V06 Calend 01'!E47-1))),'V06 Calend 01'!I47),0))+IF((142='V06 Calend 01'!D47),'V06 Calend 01'!J47,0))</f>
        <v>0</v>
      </c>
      <c r="EY47" s="2">
        <f>((IF((143='V06 Calend 01'!C47),('V06 Calend 01'!F47+'V06 Calend 01'!G47),0)+IF(AND(('V06 Calend 01'!E47&gt;0),(143&gt;'V06 Calend 01'!C47),(143&lt;'V06 Calend 01'!D47),(MOD((143-'V06 Calend 01'!C47),6)=0),(((143-'V06 Calend 01'!C47)/6)&lt;='V06 Calend 01'!E47)),IF((143=('V06 Calend 01'!C47+(6*'V06 Calend 01'!E47))),('V06 Calend 01'!H47-('V06 Calend 01'!I47*('V06 Calend 01'!E47-1))),'V06 Calend 01'!I47),0))+IF((143='V06 Calend 01'!D47),'V06 Calend 01'!J47,0))</f>
        <v>0</v>
      </c>
      <c r="EZ47" s="2">
        <f>((IF((144='V06 Calend 01'!C47),('V06 Calend 01'!F47+'V06 Calend 01'!G47),0)+IF(AND(('V06 Calend 01'!E47&gt;0),(144&gt;'V06 Calend 01'!C47),(144&lt;'V06 Calend 01'!D47),(MOD((144-'V06 Calend 01'!C47),6)=0),(((144-'V06 Calend 01'!C47)/6)&lt;='V06 Calend 01'!E47)),IF((144=('V06 Calend 01'!C47+(6*'V06 Calend 01'!E47))),('V06 Calend 01'!H47-('V06 Calend 01'!I47*('V06 Calend 01'!E47-1))),'V06 Calend 01'!I47),0))+IF((144='V06 Calend 01'!D47),'V06 Calend 01'!J47,0))</f>
        <v>0</v>
      </c>
      <c r="FA47" s="2">
        <f>((IF((145='V06 Calend 01'!C47),('V06 Calend 01'!F47+'V06 Calend 01'!G47),0)+IF(AND(('V06 Calend 01'!E47&gt;0),(145&gt;'V06 Calend 01'!C47),(145&lt;'V06 Calend 01'!D47),(MOD((145-'V06 Calend 01'!C47),6)=0),(((145-'V06 Calend 01'!C47)/6)&lt;='V06 Calend 01'!E47)),IF((145=('V06 Calend 01'!C47+(6*'V06 Calend 01'!E47))),('V06 Calend 01'!H47-('V06 Calend 01'!I47*('V06 Calend 01'!E47-1))),'V06 Calend 01'!I47),0))+IF((145='V06 Calend 01'!D47),'V06 Calend 01'!J47,0))</f>
        <v>0</v>
      </c>
      <c r="FB47" s="2">
        <f>((IF((146='V06 Calend 01'!C47),('V06 Calend 01'!F47+'V06 Calend 01'!G47),0)+IF(AND(('V06 Calend 01'!E47&gt;0),(146&gt;'V06 Calend 01'!C47),(146&lt;'V06 Calend 01'!D47),(MOD((146-'V06 Calend 01'!C47),6)=0),(((146-'V06 Calend 01'!C47)/6)&lt;='V06 Calend 01'!E47)),IF((146=('V06 Calend 01'!C47+(6*'V06 Calend 01'!E47))),('V06 Calend 01'!H47-('V06 Calend 01'!I47*('V06 Calend 01'!E47-1))),'V06 Calend 01'!I47),0))+IF((146='V06 Calend 01'!D47),'V06 Calend 01'!J47,0))</f>
        <v>0</v>
      </c>
      <c r="FC47" s="2">
        <f>((IF((147='V06 Calend 01'!C47),('V06 Calend 01'!F47+'V06 Calend 01'!G47),0)+IF(AND(('V06 Calend 01'!E47&gt;0),(147&gt;'V06 Calend 01'!C47),(147&lt;'V06 Calend 01'!D47),(MOD((147-'V06 Calend 01'!C47),6)=0),(((147-'V06 Calend 01'!C47)/6)&lt;='V06 Calend 01'!E47)),IF((147=('V06 Calend 01'!C47+(6*'V06 Calend 01'!E47))),('V06 Calend 01'!H47-('V06 Calend 01'!I47*('V06 Calend 01'!E47-1))),'V06 Calend 01'!I47),0))+IF((147='V06 Calend 01'!D47),'V06 Calend 01'!J47,0))</f>
        <v>0</v>
      </c>
      <c r="FD47" s="2">
        <f>((IF((148='V06 Calend 01'!C47),('V06 Calend 01'!F47+'V06 Calend 01'!G47),0)+IF(AND(('V06 Calend 01'!E47&gt;0),(148&gt;'V06 Calend 01'!C47),(148&lt;'V06 Calend 01'!D47),(MOD((148-'V06 Calend 01'!C47),6)=0),(((148-'V06 Calend 01'!C47)/6)&lt;='V06 Calend 01'!E47)),IF((148=('V06 Calend 01'!C47+(6*'V06 Calend 01'!E47))),('V06 Calend 01'!H47-('V06 Calend 01'!I47*('V06 Calend 01'!E47-1))),'V06 Calend 01'!I47),0))+IF((148='V06 Calend 01'!D47),'V06 Calend 01'!J47,0))</f>
        <v>0</v>
      </c>
      <c r="FE47" s="2">
        <f>((IF((149='V06 Calend 01'!C47),('V06 Calend 01'!F47+'V06 Calend 01'!G47),0)+IF(AND(('V06 Calend 01'!E47&gt;0),(149&gt;'V06 Calend 01'!C47),(149&lt;'V06 Calend 01'!D47),(MOD((149-'V06 Calend 01'!C47),6)=0),(((149-'V06 Calend 01'!C47)/6)&lt;='V06 Calend 01'!E47)),IF((149=('V06 Calend 01'!C47+(6*'V06 Calend 01'!E47))),('V06 Calend 01'!H47-('V06 Calend 01'!I47*('V06 Calend 01'!E47-1))),'V06 Calend 01'!I47),0))+IF((149='V06 Calend 01'!D47),'V06 Calend 01'!J47,0))</f>
        <v>0</v>
      </c>
      <c r="FF47" s="2">
        <f>((IF((150='V06 Calend 01'!C47),('V06 Calend 01'!F47+'V06 Calend 01'!G47),0)+IF(AND(('V06 Calend 01'!E47&gt;0),(150&gt;'V06 Calend 01'!C47),(150&lt;'V06 Calend 01'!D47),(MOD((150-'V06 Calend 01'!C47),6)=0),(((150-'V06 Calend 01'!C47)/6)&lt;='V06 Calend 01'!E47)),IF((150=('V06 Calend 01'!C47+(6*'V06 Calend 01'!E47))),('V06 Calend 01'!H47-('V06 Calend 01'!I47*('V06 Calend 01'!E47-1))),'V06 Calend 01'!I47),0))+IF((150='V06 Calend 01'!D47),'V06 Calend 01'!J47,0))</f>
        <v>0</v>
      </c>
      <c r="FG47" s="2">
        <f>((IF((151='V06 Calend 01'!C47),('V06 Calend 01'!F47+'V06 Calend 01'!G47),0)+IF(AND(('V06 Calend 01'!E47&gt;0),(151&gt;'V06 Calend 01'!C47),(151&lt;'V06 Calend 01'!D47),(MOD((151-'V06 Calend 01'!C47),6)=0),(((151-'V06 Calend 01'!C47)/6)&lt;='V06 Calend 01'!E47)),IF((151=('V06 Calend 01'!C47+(6*'V06 Calend 01'!E47))),('V06 Calend 01'!H47-('V06 Calend 01'!I47*('V06 Calend 01'!E47-1))),'V06 Calend 01'!I47),0))+IF((151='V06 Calend 01'!D47),'V06 Calend 01'!J47,0))</f>
        <v>0</v>
      </c>
      <c r="FH47" s="2">
        <f>((IF((152='V06 Calend 01'!C47),('V06 Calend 01'!F47+'V06 Calend 01'!G47),0)+IF(AND(('V06 Calend 01'!E47&gt;0),(152&gt;'V06 Calend 01'!C47),(152&lt;'V06 Calend 01'!D47),(MOD((152-'V06 Calend 01'!C47),6)=0),(((152-'V06 Calend 01'!C47)/6)&lt;='V06 Calend 01'!E47)),IF((152=('V06 Calend 01'!C47+(6*'V06 Calend 01'!E47))),('V06 Calend 01'!H47-('V06 Calend 01'!I47*('V06 Calend 01'!E47-1))),'V06 Calend 01'!I47),0))+IF((152='V06 Calend 01'!D47),'V06 Calend 01'!J47,0))</f>
        <v>0</v>
      </c>
      <c r="FI47" s="2">
        <f>((IF((153='V06 Calend 01'!C47),('V06 Calend 01'!F47+'V06 Calend 01'!G47),0)+IF(AND(('V06 Calend 01'!E47&gt;0),(153&gt;'V06 Calend 01'!C47),(153&lt;'V06 Calend 01'!D47),(MOD((153-'V06 Calend 01'!C47),6)=0),(((153-'V06 Calend 01'!C47)/6)&lt;='V06 Calend 01'!E47)),IF((153=('V06 Calend 01'!C47+(6*'V06 Calend 01'!E47))),('V06 Calend 01'!H47-('V06 Calend 01'!I47*('V06 Calend 01'!E47-1))),'V06 Calend 01'!I47),0))+IF((153='V06 Calend 01'!D47),'V06 Calend 01'!J47,0))</f>
        <v>0</v>
      </c>
      <c r="FJ47" s="2">
        <f>((IF((154='V06 Calend 01'!C47),('V06 Calend 01'!F47+'V06 Calend 01'!G47),0)+IF(AND(('V06 Calend 01'!E47&gt;0),(154&gt;'V06 Calend 01'!C47),(154&lt;'V06 Calend 01'!D47),(MOD((154-'V06 Calend 01'!C47),6)=0),(((154-'V06 Calend 01'!C47)/6)&lt;='V06 Calend 01'!E47)),IF((154=('V06 Calend 01'!C47+(6*'V06 Calend 01'!E47))),('V06 Calend 01'!H47-('V06 Calend 01'!I47*('V06 Calend 01'!E47-1))),'V06 Calend 01'!I47),0))+IF((154='V06 Calend 01'!D47),'V06 Calend 01'!J47,0))</f>
        <v>0</v>
      </c>
      <c r="FK47" s="2">
        <f>((IF((155='V06 Calend 01'!C47),('V06 Calend 01'!F47+'V06 Calend 01'!G47),0)+IF(AND(('V06 Calend 01'!E47&gt;0),(155&gt;'V06 Calend 01'!C47),(155&lt;'V06 Calend 01'!D47),(MOD((155-'V06 Calend 01'!C47),6)=0),(((155-'V06 Calend 01'!C47)/6)&lt;='V06 Calend 01'!E47)),IF((155=('V06 Calend 01'!C47+(6*'V06 Calend 01'!E47))),('V06 Calend 01'!H47-('V06 Calend 01'!I47*('V06 Calend 01'!E47-1))),'V06 Calend 01'!I47),0))+IF((155='V06 Calend 01'!D47),'V06 Calend 01'!J47,0))</f>
        <v>0</v>
      </c>
      <c r="FL47" s="2">
        <f>((IF((156='V06 Calend 01'!C47),('V06 Calend 01'!F47+'V06 Calend 01'!G47),0)+IF(AND(('V06 Calend 01'!E47&gt;0),(156&gt;'V06 Calend 01'!C47),(156&lt;'V06 Calend 01'!D47),(MOD((156-'V06 Calend 01'!C47),6)=0),(((156-'V06 Calend 01'!C47)/6)&lt;='V06 Calend 01'!E47)),IF((156=('V06 Calend 01'!C47+(6*'V06 Calend 01'!E47))),('V06 Calend 01'!H47-('V06 Calend 01'!I47*('V06 Calend 01'!E47-1))),'V06 Calend 01'!I47),0))+IF((156='V06 Calend 01'!D47),'V06 Calend 01'!J47,0))</f>
        <v>0</v>
      </c>
      <c r="FM47" s="2">
        <f>((IF((157='V06 Calend 01'!C47),('V06 Calend 01'!F47+'V06 Calend 01'!G47),0)+IF(AND(('V06 Calend 01'!E47&gt;0),(157&gt;'V06 Calend 01'!C47),(157&lt;'V06 Calend 01'!D47),(MOD((157-'V06 Calend 01'!C47),6)=0),(((157-'V06 Calend 01'!C47)/6)&lt;='V06 Calend 01'!E47)),IF((157=('V06 Calend 01'!C47+(6*'V06 Calend 01'!E47))),('V06 Calend 01'!H47-('V06 Calend 01'!I47*('V06 Calend 01'!E47-1))),'V06 Calend 01'!I47),0))+IF((157='V06 Calend 01'!D47),'V06 Calend 01'!J47,0))</f>
        <v>0</v>
      </c>
      <c r="FN47" s="2">
        <f>((IF((158='V06 Calend 01'!C47),('V06 Calend 01'!F47+'V06 Calend 01'!G47),0)+IF(AND(('V06 Calend 01'!E47&gt;0),(158&gt;'V06 Calend 01'!C47),(158&lt;'V06 Calend 01'!D47),(MOD((158-'V06 Calend 01'!C47),6)=0),(((158-'V06 Calend 01'!C47)/6)&lt;='V06 Calend 01'!E47)),IF((158=('V06 Calend 01'!C47+(6*'V06 Calend 01'!E47))),('V06 Calend 01'!H47-('V06 Calend 01'!I47*('V06 Calend 01'!E47-1))),'V06 Calend 01'!I47),0))+IF((158='V06 Calend 01'!D47),'V06 Calend 01'!J47,0))</f>
        <v>0</v>
      </c>
      <c r="FO47" s="2">
        <f>((IF((159='V06 Calend 01'!C47),('V06 Calend 01'!F47+'V06 Calend 01'!G47),0)+IF(AND(('V06 Calend 01'!E47&gt;0),(159&gt;'V06 Calend 01'!C47),(159&lt;'V06 Calend 01'!D47),(MOD((159-'V06 Calend 01'!C47),6)=0),(((159-'V06 Calend 01'!C47)/6)&lt;='V06 Calend 01'!E47)),IF((159=('V06 Calend 01'!C47+(6*'V06 Calend 01'!E47))),('V06 Calend 01'!H47-('V06 Calend 01'!I47*('V06 Calend 01'!E47-1))),'V06 Calend 01'!I47),0))+IF((159='V06 Calend 01'!D47),'V06 Calend 01'!J47,0))</f>
        <v>0</v>
      </c>
      <c r="FP47" s="2">
        <f>((IF((160='V06 Calend 01'!C47),('V06 Calend 01'!F47+'V06 Calend 01'!G47),0)+IF(AND(('V06 Calend 01'!E47&gt;0),(160&gt;'V06 Calend 01'!C47),(160&lt;'V06 Calend 01'!D47),(MOD((160-'V06 Calend 01'!C47),6)=0),(((160-'V06 Calend 01'!C47)/6)&lt;='V06 Calend 01'!E47)),IF((160=('V06 Calend 01'!C47+(6*'V06 Calend 01'!E47))),('V06 Calend 01'!H47-('V06 Calend 01'!I47*('V06 Calend 01'!E47-1))),'V06 Calend 01'!I47),0))+IF((160='V06 Calend 01'!D47),'V06 Calend 01'!J47,0))</f>
        <v>0</v>
      </c>
      <c r="FQ47" s="2">
        <f>((IF((161='V06 Calend 01'!C47),('V06 Calend 01'!F47+'V06 Calend 01'!G47),0)+IF(AND(('V06 Calend 01'!E47&gt;0),(161&gt;'V06 Calend 01'!C47),(161&lt;'V06 Calend 01'!D47),(MOD((161-'V06 Calend 01'!C47),6)=0),(((161-'V06 Calend 01'!C47)/6)&lt;='V06 Calend 01'!E47)),IF((161=('V06 Calend 01'!C47+(6*'V06 Calend 01'!E47))),('V06 Calend 01'!H47-('V06 Calend 01'!I47*('V06 Calend 01'!E47-1))),'V06 Calend 01'!I47),0))+IF((161='V06 Calend 01'!D47),'V06 Calend 01'!J47,0))</f>
        <v>0</v>
      </c>
      <c r="FR47" s="2">
        <f>((IF((162='V06 Calend 01'!C47),('V06 Calend 01'!F47+'V06 Calend 01'!G47),0)+IF(AND(('V06 Calend 01'!E47&gt;0),(162&gt;'V06 Calend 01'!C47),(162&lt;'V06 Calend 01'!D47),(MOD((162-'V06 Calend 01'!C47),6)=0),(((162-'V06 Calend 01'!C47)/6)&lt;='V06 Calend 01'!E47)),IF((162=('V06 Calend 01'!C47+(6*'V06 Calend 01'!E47))),('V06 Calend 01'!H47-('V06 Calend 01'!I47*('V06 Calend 01'!E47-1))),'V06 Calend 01'!I47),0))+IF((162='V06 Calend 01'!D47),'V06 Calend 01'!J47,0))</f>
        <v>0</v>
      </c>
      <c r="FS47" s="2">
        <f>((IF((163='V06 Calend 01'!C47),('V06 Calend 01'!F47+'V06 Calend 01'!G47),0)+IF(AND(('V06 Calend 01'!E47&gt;0),(163&gt;'V06 Calend 01'!C47),(163&lt;'V06 Calend 01'!D47),(MOD((163-'V06 Calend 01'!C47),6)=0),(((163-'V06 Calend 01'!C47)/6)&lt;='V06 Calend 01'!E47)),IF((163=('V06 Calend 01'!C47+(6*'V06 Calend 01'!E47))),('V06 Calend 01'!H47-('V06 Calend 01'!I47*('V06 Calend 01'!E47-1))),'V06 Calend 01'!I47),0))+IF((163='V06 Calend 01'!D47),'V06 Calend 01'!J47,0))</f>
        <v>0</v>
      </c>
      <c r="FT47" s="2">
        <f>((IF((164='V06 Calend 01'!C47),('V06 Calend 01'!F47+'V06 Calend 01'!G47),0)+IF(AND(('V06 Calend 01'!E47&gt;0),(164&gt;'V06 Calend 01'!C47),(164&lt;'V06 Calend 01'!D47),(MOD((164-'V06 Calend 01'!C47),6)=0),(((164-'V06 Calend 01'!C47)/6)&lt;='V06 Calend 01'!E47)),IF((164=('V06 Calend 01'!C47+(6*'V06 Calend 01'!E47))),('V06 Calend 01'!H47-('V06 Calend 01'!I47*('V06 Calend 01'!E47-1))),'V06 Calend 01'!I47),0))+IF((164='V06 Calend 01'!D47),'V06 Calend 01'!J47,0))</f>
        <v>0</v>
      </c>
      <c r="FU47" s="2">
        <f>((IF((165='V06 Calend 01'!C47),('V06 Calend 01'!F47+'V06 Calend 01'!G47),0)+IF(AND(('V06 Calend 01'!E47&gt;0),(165&gt;'V06 Calend 01'!C47),(165&lt;'V06 Calend 01'!D47),(MOD((165-'V06 Calend 01'!C47),6)=0),(((165-'V06 Calend 01'!C47)/6)&lt;='V06 Calend 01'!E47)),IF((165=('V06 Calend 01'!C47+(6*'V06 Calend 01'!E47))),('V06 Calend 01'!H47-('V06 Calend 01'!I47*('V06 Calend 01'!E47-1))),'V06 Calend 01'!I47),0))+IF((165='V06 Calend 01'!D47),'V06 Calend 01'!J47,0))</f>
        <v>0</v>
      </c>
      <c r="FV47" s="2">
        <f>((IF((166='V06 Calend 01'!C47),('V06 Calend 01'!F47+'V06 Calend 01'!G47),0)+IF(AND(('V06 Calend 01'!E47&gt;0),(166&gt;'V06 Calend 01'!C47),(166&lt;'V06 Calend 01'!D47),(MOD((166-'V06 Calend 01'!C47),6)=0),(((166-'V06 Calend 01'!C47)/6)&lt;='V06 Calend 01'!E47)),IF((166=('V06 Calend 01'!C47+(6*'V06 Calend 01'!E47))),('V06 Calend 01'!H47-('V06 Calend 01'!I47*('V06 Calend 01'!E47-1))),'V06 Calend 01'!I47),0))+IF((166='V06 Calend 01'!D47),'V06 Calend 01'!J47,0))</f>
        <v>0</v>
      </c>
      <c r="FW47" s="2">
        <f>((IF((167='V06 Calend 01'!C47),('V06 Calend 01'!F47+'V06 Calend 01'!G47),0)+IF(AND(('V06 Calend 01'!E47&gt;0),(167&gt;'V06 Calend 01'!C47),(167&lt;'V06 Calend 01'!D47),(MOD((167-'V06 Calend 01'!C47),6)=0),(((167-'V06 Calend 01'!C47)/6)&lt;='V06 Calend 01'!E47)),IF((167=('V06 Calend 01'!C47+(6*'V06 Calend 01'!E47))),('V06 Calend 01'!H47-('V06 Calend 01'!I47*('V06 Calend 01'!E47-1))),'V06 Calend 01'!I47),0))+IF((167='V06 Calend 01'!D47),'V06 Calend 01'!J47,0))</f>
        <v>0</v>
      </c>
      <c r="FX47" s="2">
        <f>((IF((168='V06 Calend 01'!C47),('V06 Calend 01'!F47+'V06 Calend 01'!G47),0)+IF(AND(('V06 Calend 01'!E47&gt;0),(168&gt;'V06 Calend 01'!C47),(168&lt;'V06 Calend 01'!D47),(MOD((168-'V06 Calend 01'!C47),6)=0),(((168-'V06 Calend 01'!C47)/6)&lt;='V06 Calend 01'!E47)),IF((168=('V06 Calend 01'!C47+(6*'V06 Calend 01'!E47))),('V06 Calend 01'!H47-('V06 Calend 01'!I47*('V06 Calend 01'!E47-1))),'V06 Calend 01'!I47),0))+IF((168='V06 Calend 01'!D47),'V06 Calend 01'!J47,0))</f>
        <v>0</v>
      </c>
      <c r="FY47" s="2">
        <f>((IF((169='V06 Calend 01'!C47),('V06 Calend 01'!F47+'V06 Calend 01'!G47),0)+IF(AND(('V06 Calend 01'!E47&gt;0),(169&gt;'V06 Calend 01'!C47),(169&lt;'V06 Calend 01'!D47),(MOD((169-'V06 Calend 01'!C47),6)=0),(((169-'V06 Calend 01'!C47)/6)&lt;='V06 Calend 01'!E47)),IF((169=('V06 Calend 01'!C47+(6*'V06 Calend 01'!E47))),('V06 Calend 01'!H47-('V06 Calend 01'!I47*('V06 Calend 01'!E47-1))),'V06 Calend 01'!I47),0))+IF((169='V06 Calend 01'!D47),'V06 Calend 01'!J47,0))</f>
        <v>0</v>
      </c>
      <c r="FZ47" s="2">
        <f>((IF((170='V06 Calend 01'!C47),('V06 Calend 01'!F47+'V06 Calend 01'!G47),0)+IF(AND(('V06 Calend 01'!E47&gt;0),(170&gt;'V06 Calend 01'!C47),(170&lt;'V06 Calend 01'!D47),(MOD((170-'V06 Calend 01'!C47),6)=0),(((170-'V06 Calend 01'!C47)/6)&lt;='V06 Calend 01'!E47)),IF((170=('V06 Calend 01'!C47+(6*'V06 Calend 01'!E47))),('V06 Calend 01'!H47-('V06 Calend 01'!I47*('V06 Calend 01'!E47-1))),'V06 Calend 01'!I47),0))+IF((170='V06 Calend 01'!D47),'V06 Calend 01'!J47,0))</f>
        <v>0</v>
      </c>
      <c r="GA47" s="2">
        <f>((IF((171='V06 Calend 01'!C47),('V06 Calend 01'!F47+'V06 Calend 01'!G47),0)+IF(AND(('V06 Calend 01'!E47&gt;0),(171&gt;'V06 Calend 01'!C47),(171&lt;'V06 Calend 01'!D47),(MOD((171-'V06 Calend 01'!C47),6)=0),(((171-'V06 Calend 01'!C47)/6)&lt;='V06 Calend 01'!E47)),IF((171=('V06 Calend 01'!C47+(6*'V06 Calend 01'!E47))),('V06 Calend 01'!H47-('V06 Calend 01'!I47*('V06 Calend 01'!E47-1))),'V06 Calend 01'!I47),0))+IF((171='V06 Calend 01'!D47),'V06 Calend 01'!J47,0))</f>
        <v>0</v>
      </c>
      <c r="GB47" s="2">
        <f>((IF((172='V06 Calend 01'!C47),('V06 Calend 01'!F47+'V06 Calend 01'!G47),0)+IF(AND(('V06 Calend 01'!E47&gt;0),(172&gt;'V06 Calend 01'!C47),(172&lt;'V06 Calend 01'!D47),(MOD((172-'V06 Calend 01'!C47),6)=0),(((172-'V06 Calend 01'!C47)/6)&lt;='V06 Calend 01'!E47)),IF((172=('V06 Calend 01'!C47+(6*'V06 Calend 01'!E47))),('V06 Calend 01'!H47-('V06 Calend 01'!I47*('V06 Calend 01'!E47-1))),'V06 Calend 01'!I47),0))+IF((172='V06 Calend 01'!D47),'V06 Calend 01'!J47,0))</f>
        <v>0</v>
      </c>
      <c r="GC47" s="2">
        <f>((IF((173='V06 Calend 01'!C47),('V06 Calend 01'!F47+'V06 Calend 01'!G47),0)+IF(AND(('V06 Calend 01'!E47&gt;0),(173&gt;'V06 Calend 01'!C47),(173&lt;'V06 Calend 01'!D47),(MOD((173-'V06 Calend 01'!C47),6)=0),(((173-'V06 Calend 01'!C47)/6)&lt;='V06 Calend 01'!E47)),IF((173=('V06 Calend 01'!C47+(6*'V06 Calend 01'!E47))),('V06 Calend 01'!H47-('V06 Calend 01'!I47*('V06 Calend 01'!E47-1))),'V06 Calend 01'!I47),0))+IF((173='V06 Calend 01'!D47),'V06 Calend 01'!J47,0))</f>
        <v>0</v>
      </c>
      <c r="GD47" s="2">
        <f>((IF((174='V06 Calend 01'!C47),('V06 Calend 01'!F47+'V06 Calend 01'!G47),0)+IF(AND(('V06 Calend 01'!E47&gt;0),(174&gt;'V06 Calend 01'!C47),(174&lt;'V06 Calend 01'!D47),(MOD((174-'V06 Calend 01'!C47),6)=0),(((174-'V06 Calend 01'!C47)/6)&lt;='V06 Calend 01'!E47)),IF((174=('V06 Calend 01'!C47+(6*'V06 Calend 01'!E47))),('V06 Calend 01'!H47-('V06 Calend 01'!I47*('V06 Calend 01'!E47-1))),'V06 Calend 01'!I47),0))+IF((174='V06 Calend 01'!D47),'V06 Calend 01'!J47,0))</f>
        <v>0</v>
      </c>
      <c r="GE47" s="2">
        <f>((IF((175='V06 Calend 01'!C47),('V06 Calend 01'!F47+'V06 Calend 01'!G47),0)+IF(AND(('V06 Calend 01'!E47&gt;0),(175&gt;'V06 Calend 01'!C47),(175&lt;'V06 Calend 01'!D47),(MOD((175-'V06 Calend 01'!C47),6)=0),(((175-'V06 Calend 01'!C47)/6)&lt;='V06 Calend 01'!E47)),IF((175=('V06 Calend 01'!C47+(6*'V06 Calend 01'!E47))),('V06 Calend 01'!H47-('V06 Calend 01'!I47*('V06 Calend 01'!E47-1))),'V06 Calend 01'!I47),0))+IF((175='V06 Calend 01'!D47),'V06 Calend 01'!J47,0))</f>
        <v>0</v>
      </c>
      <c r="GF47" s="2">
        <f>((IF((176='V06 Calend 01'!C47),('V06 Calend 01'!F47+'V06 Calend 01'!G47),0)+IF(AND(('V06 Calend 01'!E47&gt;0),(176&gt;'V06 Calend 01'!C47),(176&lt;'V06 Calend 01'!D47),(MOD((176-'V06 Calend 01'!C47),6)=0),(((176-'V06 Calend 01'!C47)/6)&lt;='V06 Calend 01'!E47)),IF((176=('V06 Calend 01'!C47+(6*'V06 Calend 01'!E47))),('V06 Calend 01'!H47-('V06 Calend 01'!I47*('V06 Calend 01'!E47-1))),'V06 Calend 01'!I47),0))+IF((176='V06 Calend 01'!D47),'V06 Calend 01'!J47,0))</f>
        <v>0</v>
      </c>
      <c r="GG47" s="2">
        <f>((IF((177='V06 Calend 01'!C47),('V06 Calend 01'!F47+'V06 Calend 01'!G47),0)+IF(AND(('V06 Calend 01'!E47&gt;0),(177&gt;'V06 Calend 01'!C47),(177&lt;'V06 Calend 01'!D47),(MOD((177-'V06 Calend 01'!C47),6)=0),(((177-'V06 Calend 01'!C47)/6)&lt;='V06 Calend 01'!E47)),IF((177=('V06 Calend 01'!C47+(6*'V06 Calend 01'!E47))),('V06 Calend 01'!H47-('V06 Calend 01'!I47*('V06 Calend 01'!E47-1))),'V06 Calend 01'!I47),0))+IF((177='V06 Calend 01'!D47),'V06 Calend 01'!J47,0))</f>
        <v>0</v>
      </c>
      <c r="GH47" s="2">
        <f>((IF((178='V06 Calend 01'!C47),('V06 Calend 01'!F47+'V06 Calend 01'!G47),0)+IF(AND(('V06 Calend 01'!E47&gt;0),(178&gt;'V06 Calend 01'!C47),(178&lt;'V06 Calend 01'!D47),(MOD((178-'V06 Calend 01'!C47),6)=0),(((178-'V06 Calend 01'!C47)/6)&lt;='V06 Calend 01'!E47)),IF((178=('V06 Calend 01'!C47+(6*'V06 Calend 01'!E47))),('V06 Calend 01'!H47-('V06 Calend 01'!I47*('V06 Calend 01'!E47-1))),'V06 Calend 01'!I47),0))+IF((178='V06 Calend 01'!D47),'V06 Calend 01'!J47,0))</f>
        <v>0</v>
      </c>
      <c r="GI47" s="2">
        <f>((IF((179='V06 Calend 01'!C47),('V06 Calend 01'!F47+'V06 Calend 01'!G47),0)+IF(AND(('V06 Calend 01'!E47&gt;0),(179&gt;'V06 Calend 01'!C47),(179&lt;'V06 Calend 01'!D47),(MOD((179-'V06 Calend 01'!C47),6)=0),(((179-'V06 Calend 01'!C47)/6)&lt;='V06 Calend 01'!E47)),IF((179=('V06 Calend 01'!C47+(6*'V06 Calend 01'!E47))),('V06 Calend 01'!H47-('V06 Calend 01'!I47*('V06 Calend 01'!E47-1))),'V06 Calend 01'!I47),0))+IF((179='V06 Calend 01'!D47),'V06 Calend 01'!J47,0))</f>
        <v>0</v>
      </c>
      <c r="GJ47" s="2">
        <f>((IF((180='V06 Calend 01'!C47),('V06 Calend 01'!F47+'V06 Calend 01'!G47),0)+IF(AND(('V06 Calend 01'!E47&gt;0),(180&gt;'V06 Calend 01'!C47),(180&lt;'V06 Calend 01'!D47),(MOD((180-'V06 Calend 01'!C47),6)=0),(((180-'V06 Calend 01'!C47)/6)&lt;='V06 Calend 01'!E47)),IF((180=('V06 Calend 01'!C47+(6*'V06 Calend 01'!E47))),('V06 Calend 01'!H47-('V06 Calend 01'!I47*('V06 Calend 01'!E47-1))),'V06 Calend 01'!I47),0))+IF((180='V06 Calend 01'!D47),'V06 Calend 01'!J47,0))</f>
        <v>0</v>
      </c>
    </row>
    <row r="48" spans="1:192">
      <c r="A48" s="3" t="str">
        <f>'V06 Unidades'!$A$48</f>
        <v>604</v>
      </c>
      <c r="B48" s="2">
        <f>'V06 Unidades'!$H$48</f>
        <v>307244.17</v>
      </c>
      <c r="C48" s="4">
        <f>('V06 Unidades'!$I$48+'V06 Controlos'!$B$37)</f>
        <v>4</v>
      </c>
      <c r="D48" s="4">
        <f>IF(('V06 Controlos'!$B$38&gt;0),MAX(('V06 Unidades'!$L$48+'V06 Controlos'!$B$37),(30+'V06 Controlos'!$B$38)),('V06 Unidades'!$L$48+'V06 Controlos'!$B$37))</f>
        <v>29</v>
      </c>
      <c r="E48" s="4">
        <f>MAX(0,INT(((('V06 Calend 01'!D48-'V06 Calend 01'!C48)-1)/6)))</f>
        <v>4</v>
      </c>
      <c r="F48" s="2">
        <f>ROUND(('V06 Calend 01'!B48*0.05),2)</f>
        <v>15362.21</v>
      </c>
      <c r="G48" s="2">
        <f>ROUND(('V06 Calend 01'!B48*0.2),2)</f>
        <v>61448.83</v>
      </c>
      <c r="H48" s="2">
        <f>ROUND(('V06 Calend 01'!B48*0.55),2)</f>
        <v>168984.29</v>
      </c>
      <c r="I48" s="2">
        <f>ROUND(('V06 Calend 01'!H48/MAX(1,'V06 Calend 01'!E48)),2)</f>
        <v>42246.07</v>
      </c>
      <c r="J48" s="2">
        <f>((('V06 Calend 01'!B48-'V06 Calend 01'!F48)-'V06 Calend 01'!G48)-'V06 Calend 01'!H48)</f>
        <v>61448.83999999994</v>
      </c>
      <c r="K48" s="2">
        <f>('V06 Calend 01'!B48*0.025)</f>
        <v>7681.10425</v>
      </c>
      <c r="L48" t="s">
        <v>378</v>
      </c>
      <c r="M48" s="2">
        <f>((IF((1='V06 Calend 01'!C48),('V06 Calend 01'!F48+'V06 Calend 01'!G48),0)+IF(AND(('V06 Calend 01'!E48&gt;0),(1&gt;'V06 Calend 01'!C48),(1&lt;'V06 Calend 01'!D48),(MOD((1-'V06 Calend 01'!C48),6)=0),(((1-'V06 Calend 01'!C48)/6)&lt;='V06 Calend 01'!E48)),IF((1=('V06 Calend 01'!C48+(6*'V06 Calend 01'!E48))),('V06 Calend 01'!H48-('V06 Calend 01'!I48*('V06 Calend 01'!E48-1))),'V06 Calend 01'!I48),0))+IF((1='V06 Calend 01'!D48),'V06 Calend 01'!J48,0))</f>
        <v>0</v>
      </c>
      <c r="N48" s="2">
        <f>((IF((2='V06 Calend 01'!C48),('V06 Calend 01'!F48+'V06 Calend 01'!G48),0)+IF(AND(('V06 Calend 01'!E48&gt;0),(2&gt;'V06 Calend 01'!C48),(2&lt;'V06 Calend 01'!D48),(MOD((2-'V06 Calend 01'!C48),6)=0),(((2-'V06 Calend 01'!C48)/6)&lt;='V06 Calend 01'!E48)),IF((2=('V06 Calend 01'!C48+(6*'V06 Calend 01'!E48))),('V06 Calend 01'!H48-('V06 Calend 01'!I48*('V06 Calend 01'!E48-1))),'V06 Calend 01'!I48),0))+IF((2='V06 Calend 01'!D48),'V06 Calend 01'!J48,0))</f>
        <v>0</v>
      </c>
      <c r="O48" s="2">
        <f>((IF((3='V06 Calend 01'!C48),('V06 Calend 01'!F48+'V06 Calend 01'!G48),0)+IF(AND(('V06 Calend 01'!E48&gt;0),(3&gt;'V06 Calend 01'!C48),(3&lt;'V06 Calend 01'!D48),(MOD((3-'V06 Calend 01'!C48),6)=0),(((3-'V06 Calend 01'!C48)/6)&lt;='V06 Calend 01'!E48)),IF((3=('V06 Calend 01'!C48+(6*'V06 Calend 01'!E48))),('V06 Calend 01'!H48-('V06 Calend 01'!I48*('V06 Calend 01'!E48-1))),'V06 Calend 01'!I48),0))+IF((3='V06 Calend 01'!D48),'V06 Calend 01'!J48,0))</f>
        <v>0</v>
      </c>
      <c r="P48" s="2">
        <f>((IF((4='V06 Calend 01'!C48),('V06 Calend 01'!F48+'V06 Calend 01'!G48),0)+IF(AND(('V06 Calend 01'!E48&gt;0),(4&gt;'V06 Calend 01'!C48),(4&lt;'V06 Calend 01'!D48),(MOD((4-'V06 Calend 01'!C48),6)=0),(((4-'V06 Calend 01'!C48)/6)&lt;='V06 Calend 01'!E48)),IF((4=('V06 Calend 01'!C48+(6*'V06 Calend 01'!E48))),('V06 Calend 01'!H48-('V06 Calend 01'!I48*('V06 Calend 01'!E48-1))),'V06 Calend 01'!I48),0))+IF((4='V06 Calend 01'!D48),'V06 Calend 01'!J48,0))</f>
        <v>76811.04000000001</v>
      </c>
      <c r="Q48" s="2">
        <f>((IF((5='V06 Calend 01'!C48),('V06 Calend 01'!F48+'V06 Calend 01'!G48),0)+IF(AND(('V06 Calend 01'!E48&gt;0),(5&gt;'V06 Calend 01'!C48),(5&lt;'V06 Calend 01'!D48),(MOD((5-'V06 Calend 01'!C48),6)=0),(((5-'V06 Calend 01'!C48)/6)&lt;='V06 Calend 01'!E48)),IF((5=('V06 Calend 01'!C48+(6*'V06 Calend 01'!E48))),('V06 Calend 01'!H48-('V06 Calend 01'!I48*('V06 Calend 01'!E48-1))),'V06 Calend 01'!I48),0))+IF((5='V06 Calend 01'!D48),'V06 Calend 01'!J48,0))</f>
        <v>0</v>
      </c>
      <c r="R48" s="2">
        <f>((IF((6='V06 Calend 01'!C48),('V06 Calend 01'!F48+'V06 Calend 01'!G48),0)+IF(AND(('V06 Calend 01'!E48&gt;0),(6&gt;'V06 Calend 01'!C48),(6&lt;'V06 Calend 01'!D48),(MOD((6-'V06 Calend 01'!C48),6)=0),(((6-'V06 Calend 01'!C48)/6)&lt;='V06 Calend 01'!E48)),IF((6=('V06 Calend 01'!C48+(6*'V06 Calend 01'!E48))),('V06 Calend 01'!H48-('V06 Calend 01'!I48*('V06 Calend 01'!E48-1))),'V06 Calend 01'!I48),0))+IF((6='V06 Calend 01'!D48),'V06 Calend 01'!J48,0))</f>
        <v>0</v>
      </c>
      <c r="S48" s="2">
        <f>((IF((7='V06 Calend 01'!C48),('V06 Calend 01'!F48+'V06 Calend 01'!G48),0)+IF(AND(('V06 Calend 01'!E48&gt;0),(7&gt;'V06 Calend 01'!C48),(7&lt;'V06 Calend 01'!D48),(MOD((7-'V06 Calend 01'!C48),6)=0),(((7-'V06 Calend 01'!C48)/6)&lt;='V06 Calend 01'!E48)),IF((7=('V06 Calend 01'!C48+(6*'V06 Calend 01'!E48))),('V06 Calend 01'!H48-('V06 Calend 01'!I48*('V06 Calend 01'!E48-1))),'V06 Calend 01'!I48),0))+IF((7='V06 Calend 01'!D48),'V06 Calend 01'!J48,0))</f>
        <v>0</v>
      </c>
      <c r="T48" s="2">
        <f>((IF((8='V06 Calend 01'!C48),('V06 Calend 01'!F48+'V06 Calend 01'!G48),0)+IF(AND(('V06 Calend 01'!E48&gt;0),(8&gt;'V06 Calend 01'!C48),(8&lt;'V06 Calend 01'!D48),(MOD((8-'V06 Calend 01'!C48),6)=0),(((8-'V06 Calend 01'!C48)/6)&lt;='V06 Calend 01'!E48)),IF((8=('V06 Calend 01'!C48+(6*'V06 Calend 01'!E48))),('V06 Calend 01'!H48-('V06 Calend 01'!I48*('V06 Calend 01'!E48-1))),'V06 Calend 01'!I48),0))+IF((8='V06 Calend 01'!D48),'V06 Calend 01'!J48,0))</f>
        <v>0</v>
      </c>
      <c r="U48" s="2">
        <f>((IF((9='V06 Calend 01'!C48),('V06 Calend 01'!F48+'V06 Calend 01'!G48),0)+IF(AND(('V06 Calend 01'!E48&gt;0),(9&gt;'V06 Calend 01'!C48),(9&lt;'V06 Calend 01'!D48),(MOD((9-'V06 Calend 01'!C48),6)=0),(((9-'V06 Calend 01'!C48)/6)&lt;='V06 Calend 01'!E48)),IF((9=('V06 Calend 01'!C48+(6*'V06 Calend 01'!E48))),('V06 Calend 01'!H48-('V06 Calend 01'!I48*('V06 Calend 01'!E48-1))),'V06 Calend 01'!I48),0))+IF((9='V06 Calend 01'!D48),'V06 Calend 01'!J48,0))</f>
        <v>0</v>
      </c>
      <c r="V48" s="2">
        <f>((IF((10='V06 Calend 01'!C48),('V06 Calend 01'!F48+'V06 Calend 01'!G48),0)+IF(AND(('V06 Calend 01'!E48&gt;0),(10&gt;'V06 Calend 01'!C48),(10&lt;'V06 Calend 01'!D48),(MOD((10-'V06 Calend 01'!C48),6)=0),(((10-'V06 Calend 01'!C48)/6)&lt;='V06 Calend 01'!E48)),IF((10=('V06 Calend 01'!C48+(6*'V06 Calend 01'!E48))),('V06 Calend 01'!H48-('V06 Calend 01'!I48*('V06 Calend 01'!E48-1))),'V06 Calend 01'!I48),0))+IF((10='V06 Calend 01'!D48),'V06 Calend 01'!J48,0))</f>
        <v>42246.07</v>
      </c>
      <c r="W48" s="2">
        <f>((IF((11='V06 Calend 01'!C48),('V06 Calend 01'!F48+'V06 Calend 01'!G48),0)+IF(AND(('V06 Calend 01'!E48&gt;0),(11&gt;'V06 Calend 01'!C48),(11&lt;'V06 Calend 01'!D48),(MOD((11-'V06 Calend 01'!C48),6)=0),(((11-'V06 Calend 01'!C48)/6)&lt;='V06 Calend 01'!E48)),IF((11=('V06 Calend 01'!C48+(6*'V06 Calend 01'!E48))),('V06 Calend 01'!H48-('V06 Calend 01'!I48*('V06 Calend 01'!E48-1))),'V06 Calend 01'!I48),0))+IF((11='V06 Calend 01'!D48),'V06 Calend 01'!J48,0))</f>
        <v>0</v>
      </c>
      <c r="X48" s="2">
        <f>((IF((12='V06 Calend 01'!C48),('V06 Calend 01'!F48+'V06 Calend 01'!G48),0)+IF(AND(('V06 Calend 01'!E48&gt;0),(12&gt;'V06 Calend 01'!C48),(12&lt;'V06 Calend 01'!D48),(MOD((12-'V06 Calend 01'!C48),6)=0),(((12-'V06 Calend 01'!C48)/6)&lt;='V06 Calend 01'!E48)),IF((12=('V06 Calend 01'!C48+(6*'V06 Calend 01'!E48))),('V06 Calend 01'!H48-('V06 Calend 01'!I48*('V06 Calend 01'!E48-1))),'V06 Calend 01'!I48),0))+IF((12='V06 Calend 01'!D48),'V06 Calend 01'!J48,0))</f>
        <v>0</v>
      </c>
      <c r="Y48" s="2">
        <f>((IF((13='V06 Calend 01'!C48),('V06 Calend 01'!F48+'V06 Calend 01'!G48),0)+IF(AND(('V06 Calend 01'!E48&gt;0),(13&gt;'V06 Calend 01'!C48),(13&lt;'V06 Calend 01'!D48),(MOD((13-'V06 Calend 01'!C48),6)=0),(((13-'V06 Calend 01'!C48)/6)&lt;='V06 Calend 01'!E48)),IF((13=('V06 Calend 01'!C48+(6*'V06 Calend 01'!E48))),('V06 Calend 01'!H48-('V06 Calend 01'!I48*('V06 Calend 01'!E48-1))),'V06 Calend 01'!I48),0))+IF((13='V06 Calend 01'!D48),'V06 Calend 01'!J48,0))</f>
        <v>0</v>
      </c>
      <c r="Z48" s="2">
        <f>((IF((14='V06 Calend 01'!C48),('V06 Calend 01'!F48+'V06 Calend 01'!G48),0)+IF(AND(('V06 Calend 01'!E48&gt;0),(14&gt;'V06 Calend 01'!C48),(14&lt;'V06 Calend 01'!D48),(MOD((14-'V06 Calend 01'!C48),6)=0),(((14-'V06 Calend 01'!C48)/6)&lt;='V06 Calend 01'!E48)),IF((14=('V06 Calend 01'!C48+(6*'V06 Calend 01'!E48))),('V06 Calend 01'!H48-('V06 Calend 01'!I48*('V06 Calend 01'!E48-1))),'V06 Calend 01'!I48),0))+IF((14='V06 Calend 01'!D48),'V06 Calend 01'!J48,0))</f>
        <v>0</v>
      </c>
      <c r="AA48" s="2">
        <f>((IF((15='V06 Calend 01'!C48),('V06 Calend 01'!F48+'V06 Calend 01'!G48),0)+IF(AND(('V06 Calend 01'!E48&gt;0),(15&gt;'V06 Calend 01'!C48),(15&lt;'V06 Calend 01'!D48),(MOD((15-'V06 Calend 01'!C48),6)=0),(((15-'V06 Calend 01'!C48)/6)&lt;='V06 Calend 01'!E48)),IF((15=('V06 Calend 01'!C48+(6*'V06 Calend 01'!E48))),('V06 Calend 01'!H48-('V06 Calend 01'!I48*('V06 Calend 01'!E48-1))),'V06 Calend 01'!I48),0))+IF((15='V06 Calend 01'!D48),'V06 Calend 01'!J48,0))</f>
        <v>0</v>
      </c>
      <c r="AB48" s="2">
        <f>((IF((16='V06 Calend 01'!C48),('V06 Calend 01'!F48+'V06 Calend 01'!G48),0)+IF(AND(('V06 Calend 01'!E48&gt;0),(16&gt;'V06 Calend 01'!C48),(16&lt;'V06 Calend 01'!D48),(MOD((16-'V06 Calend 01'!C48),6)=0),(((16-'V06 Calend 01'!C48)/6)&lt;='V06 Calend 01'!E48)),IF((16=('V06 Calend 01'!C48+(6*'V06 Calend 01'!E48))),('V06 Calend 01'!H48-('V06 Calend 01'!I48*('V06 Calend 01'!E48-1))),'V06 Calend 01'!I48),0))+IF((16='V06 Calend 01'!D48),'V06 Calend 01'!J48,0))</f>
        <v>42246.07</v>
      </c>
      <c r="AC48" s="2">
        <f>((IF((17='V06 Calend 01'!C48),('V06 Calend 01'!F48+'V06 Calend 01'!G48),0)+IF(AND(('V06 Calend 01'!E48&gt;0),(17&gt;'V06 Calend 01'!C48),(17&lt;'V06 Calend 01'!D48),(MOD((17-'V06 Calend 01'!C48),6)=0),(((17-'V06 Calend 01'!C48)/6)&lt;='V06 Calend 01'!E48)),IF((17=('V06 Calend 01'!C48+(6*'V06 Calend 01'!E48))),('V06 Calend 01'!H48-('V06 Calend 01'!I48*('V06 Calend 01'!E48-1))),'V06 Calend 01'!I48),0))+IF((17='V06 Calend 01'!D48),'V06 Calend 01'!J48,0))</f>
        <v>0</v>
      </c>
      <c r="AD48" s="2">
        <f>((IF((18='V06 Calend 01'!C48),('V06 Calend 01'!F48+'V06 Calend 01'!G48),0)+IF(AND(('V06 Calend 01'!E48&gt;0),(18&gt;'V06 Calend 01'!C48),(18&lt;'V06 Calend 01'!D48),(MOD((18-'V06 Calend 01'!C48),6)=0),(((18-'V06 Calend 01'!C48)/6)&lt;='V06 Calend 01'!E48)),IF((18=('V06 Calend 01'!C48+(6*'V06 Calend 01'!E48))),('V06 Calend 01'!H48-('V06 Calend 01'!I48*('V06 Calend 01'!E48-1))),'V06 Calend 01'!I48),0))+IF((18='V06 Calend 01'!D48),'V06 Calend 01'!J48,0))</f>
        <v>0</v>
      </c>
      <c r="AE48" s="2">
        <f>((IF((19='V06 Calend 01'!C48),('V06 Calend 01'!F48+'V06 Calend 01'!G48),0)+IF(AND(('V06 Calend 01'!E48&gt;0),(19&gt;'V06 Calend 01'!C48),(19&lt;'V06 Calend 01'!D48),(MOD((19-'V06 Calend 01'!C48),6)=0),(((19-'V06 Calend 01'!C48)/6)&lt;='V06 Calend 01'!E48)),IF((19=('V06 Calend 01'!C48+(6*'V06 Calend 01'!E48))),('V06 Calend 01'!H48-('V06 Calend 01'!I48*('V06 Calend 01'!E48-1))),'V06 Calend 01'!I48),0))+IF((19='V06 Calend 01'!D48),'V06 Calend 01'!J48,0))</f>
        <v>0</v>
      </c>
      <c r="AF48" s="2">
        <f>((IF((20='V06 Calend 01'!C48),('V06 Calend 01'!F48+'V06 Calend 01'!G48),0)+IF(AND(('V06 Calend 01'!E48&gt;0),(20&gt;'V06 Calend 01'!C48),(20&lt;'V06 Calend 01'!D48),(MOD((20-'V06 Calend 01'!C48),6)=0),(((20-'V06 Calend 01'!C48)/6)&lt;='V06 Calend 01'!E48)),IF((20=('V06 Calend 01'!C48+(6*'V06 Calend 01'!E48))),('V06 Calend 01'!H48-('V06 Calend 01'!I48*('V06 Calend 01'!E48-1))),'V06 Calend 01'!I48),0))+IF((20='V06 Calend 01'!D48),'V06 Calend 01'!J48,0))</f>
        <v>0</v>
      </c>
      <c r="AG48" s="2">
        <f>((IF((21='V06 Calend 01'!C48),('V06 Calend 01'!F48+'V06 Calend 01'!G48),0)+IF(AND(('V06 Calend 01'!E48&gt;0),(21&gt;'V06 Calend 01'!C48),(21&lt;'V06 Calend 01'!D48),(MOD((21-'V06 Calend 01'!C48),6)=0),(((21-'V06 Calend 01'!C48)/6)&lt;='V06 Calend 01'!E48)),IF((21=('V06 Calend 01'!C48+(6*'V06 Calend 01'!E48))),('V06 Calend 01'!H48-('V06 Calend 01'!I48*('V06 Calend 01'!E48-1))),'V06 Calend 01'!I48),0))+IF((21='V06 Calend 01'!D48),'V06 Calend 01'!J48,0))</f>
        <v>0</v>
      </c>
      <c r="AH48" s="2">
        <f>((IF((22='V06 Calend 01'!C48),('V06 Calend 01'!F48+'V06 Calend 01'!G48),0)+IF(AND(('V06 Calend 01'!E48&gt;0),(22&gt;'V06 Calend 01'!C48),(22&lt;'V06 Calend 01'!D48),(MOD((22-'V06 Calend 01'!C48),6)=0),(((22-'V06 Calend 01'!C48)/6)&lt;='V06 Calend 01'!E48)),IF((22=('V06 Calend 01'!C48+(6*'V06 Calend 01'!E48))),('V06 Calend 01'!H48-('V06 Calend 01'!I48*('V06 Calend 01'!E48-1))),'V06 Calend 01'!I48),0))+IF((22='V06 Calend 01'!D48),'V06 Calend 01'!J48,0))</f>
        <v>42246.07</v>
      </c>
      <c r="AI48" s="2">
        <f>((IF((23='V06 Calend 01'!C48),('V06 Calend 01'!F48+'V06 Calend 01'!G48),0)+IF(AND(('V06 Calend 01'!E48&gt;0),(23&gt;'V06 Calend 01'!C48),(23&lt;'V06 Calend 01'!D48),(MOD((23-'V06 Calend 01'!C48),6)=0),(((23-'V06 Calend 01'!C48)/6)&lt;='V06 Calend 01'!E48)),IF((23=('V06 Calend 01'!C48+(6*'V06 Calend 01'!E48))),('V06 Calend 01'!H48-('V06 Calend 01'!I48*('V06 Calend 01'!E48-1))),'V06 Calend 01'!I48),0))+IF((23='V06 Calend 01'!D48),'V06 Calend 01'!J48,0))</f>
        <v>0</v>
      </c>
      <c r="AJ48" s="2">
        <f>((IF((24='V06 Calend 01'!C48),('V06 Calend 01'!F48+'V06 Calend 01'!G48),0)+IF(AND(('V06 Calend 01'!E48&gt;0),(24&gt;'V06 Calend 01'!C48),(24&lt;'V06 Calend 01'!D48),(MOD((24-'V06 Calend 01'!C48),6)=0),(((24-'V06 Calend 01'!C48)/6)&lt;='V06 Calend 01'!E48)),IF((24=('V06 Calend 01'!C48+(6*'V06 Calend 01'!E48))),('V06 Calend 01'!H48-('V06 Calend 01'!I48*('V06 Calend 01'!E48-1))),'V06 Calend 01'!I48),0))+IF((24='V06 Calend 01'!D48),'V06 Calend 01'!J48,0))</f>
        <v>0</v>
      </c>
      <c r="AK48" s="2">
        <f>((IF((25='V06 Calend 01'!C48),('V06 Calend 01'!F48+'V06 Calend 01'!G48),0)+IF(AND(('V06 Calend 01'!E48&gt;0),(25&gt;'V06 Calend 01'!C48),(25&lt;'V06 Calend 01'!D48),(MOD((25-'V06 Calend 01'!C48),6)=0),(((25-'V06 Calend 01'!C48)/6)&lt;='V06 Calend 01'!E48)),IF((25=('V06 Calend 01'!C48+(6*'V06 Calend 01'!E48))),('V06 Calend 01'!H48-('V06 Calend 01'!I48*('V06 Calend 01'!E48-1))),'V06 Calend 01'!I48),0))+IF((25='V06 Calend 01'!D48),'V06 Calend 01'!J48,0))</f>
        <v>0</v>
      </c>
      <c r="AL48" s="2">
        <f>((IF((26='V06 Calend 01'!C48),('V06 Calend 01'!F48+'V06 Calend 01'!G48),0)+IF(AND(('V06 Calend 01'!E48&gt;0),(26&gt;'V06 Calend 01'!C48),(26&lt;'V06 Calend 01'!D48),(MOD((26-'V06 Calend 01'!C48),6)=0),(((26-'V06 Calend 01'!C48)/6)&lt;='V06 Calend 01'!E48)),IF((26=('V06 Calend 01'!C48+(6*'V06 Calend 01'!E48))),('V06 Calend 01'!H48-('V06 Calend 01'!I48*('V06 Calend 01'!E48-1))),'V06 Calend 01'!I48),0))+IF((26='V06 Calend 01'!D48),'V06 Calend 01'!J48,0))</f>
        <v>0</v>
      </c>
      <c r="AM48" s="2">
        <f>((IF((27='V06 Calend 01'!C48),('V06 Calend 01'!F48+'V06 Calend 01'!G48),0)+IF(AND(('V06 Calend 01'!E48&gt;0),(27&gt;'V06 Calend 01'!C48),(27&lt;'V06 Calend 01'!D48),(MOD((27-'V06 Calend 01'!C48),6)=0),(((27-'V06 Calend 01'!C48)/6)&lt;='V06 Calend 01'!E48)),IF((27=('V06 Calend 01'!C48+(6*'V06 Calend 01'!E48))),('V06 Calend 01'!H48-('V06 Calend 01'!I48*('V06 Calend 01'!E48-1))),'V06 Calend 01'!I48),0))+IF((27='V06 Calend 01'!D48),'V06 Calend 01'!J48,0))</f>
        <v>0</v>
      </c>
      <c r="AN48" s="2">
        <f>((IF((28='V06 Calend 01'!C48),('V06 Calend 01'!F48+'V06 Calend 01'!G48),0)+IF(AND(('V06 Calend 01'!E48&gt;0),(28&gt;'V06 Calend 01'!C48),(28&lt;'V06 Calend 01'!D48),(MOD((28-'V06 Calend 01'!C48),6)=0),(((28-'V06 Calend 01'!C48)/6)&lt;='V06 Calend 01'!E48)),IF((28=('V06 Calend 01'!C48+(6*'V06 Calend 01'!E48))),('V06 Calend 01'!H48-('V06 Calend 01'!I48*('V06 Calend 01'!E48-1))),'V06 Calend 01'!I48),0))+IF((28='V06 Calend 01'!D48),'V06 Calend 01'!J48,0))</f>
        <v>42246.080000000016</v>
      </c>
      <c r="AO48" s="2">
        <f>((IF((29='V06 Calend 01'!C48),('V06 Calend 01'!F48+'V06 Calend 01'!G48),0)+IF(AND(('V06 Calend 01'!E48&gt;0),(29&gt;'V06 Calend 01'!C48),(29&lt;'V06 Calend 01'!D48),(MOD((29-'V06 Calend 01'!C48),6)=0),(((29-'V06 Calend 01'!C48)/6)&lt;='V06 Calend 01'!E48)),IF((29=('V06 Calend 01'!C48+(6*'V06 Calend 01'!E48))),('V06 Calend 01'!H48-('V06 Calend 01'!I48*('V06 Calend 01'!E48-1))),'V06 Calend 01'!I48),0))+IF((29='V06 Calend 01'!D48),'V06 Calend 01'!J48,0))</f>
        <v>61448.83999999994</v>
      </c>
      <c r="AP48" s="2">
        <f>((IF((30='V06 Calend 01'!C48),('V06 Calend 01'!F48+'V06 Calend 01'!G48),0)+IF(AND(('V06 Calend 01'!E48&gt;0),(30&gt;'V06 Calend 01'!C48),(30&lt;'V06 Calend 01'!D48),(MOD((30-'V06 Calend 01'!C48),6)=0),(((30-'V06 Calend 01'!C48)/6)&lt;='V06 Calend 01'!E48)),IF((30=('V06 Calend 01'!C48+(6*'V06 Calend 01'!E48))),('V06 Calend 01'!H48-('V06 Calend 01'!I48*('V06 Calend 01'!E48-1))),'V06 Calend 01'!I48),0))+IF((30='V06 Calend 01'!D48),'V06 Calend 01'!J48,0))</f>
        <v>0</v>
      </c>
      <c r="AQ48" s="2">
        <f>((IF((31='V06 Calend 01'!C48),('V06 Calend 01'!F48+'V06 Calend 01'!G48),0)+IF(AND(('V06 Calend 01'!E48&gt;0),(31&gt;'V06 Calend 01'!C48),(31&lt;'V06 Calend 01'!D48),(MOD((31-'V06 Calend 01'!C48),6)=0),(((31-'V06 Calend 01'!C48)/6)&lt;='V06 Calend 01'!E48)),IF((31=('V06 Calend 01'!C48+(6*'V06 Calend 01'!E48))),('V06 Calend 01'!H48-('V06 Calend 01'!I48*('V06 Calend 01'!E48-1))),'V06 Calend 01'!I48),0))+IF((31='V06 Calend 01'!D48),'V06 Calend 01'!J48,0))</f>
        <v>0</v>
      </c>
      <c r="AR48" s="2">
        <f>((IF((32='V06 Calend 01'!C48),('V06 Calend 01'!F48+'V06 Calend 01'!G48),0)+IF(AND(('V06 Calend 01'!E48&gt;0),(32&gt;'V06 Calend 01'!C48),(32&lt;'V06 Calend 01'!D48),(MOD((32-'V06 Calend 01'!C48),6)=0),(((32-'V06 Calend 01'!C48)/6)&lt;='V06 Calend 01'!E48)),IF((32=('V06 Calend 01'!C48+(6*'V06 Calend 01'!E48))),('V06 Calend 01'!H48-('V06 Calend 01'!I48*('V06 Calend 01'!E48-1))),'V06 Calend 01'!I48),0))+IF((32='V06 Calend 01'!D48),'V06 Calend 01'!J48,0))</f>
        <v>0</v>
      </c>
      <c r="AS48" s="2">
        <f>((IF((33='V06 Calend 01'!C48),('V06 Calend 01'!F48+'V06 Calend 01'!G48),0)+IF(AND(('V06 Calend 01'!E48&gt;0),(33&gt;'V06 Calend 01'!C48),(33&lt;'V06 Calend 01'!D48),(MOD((33-'V06 Calend 01'!C48),6)=0),(((33-'V06 Calend 01'!C48)/6)&lt;='V06 Calend 01'!E48)),IF((33=('V06 Calend 01'!C48+(6*'V06 Calend 01'!E48))),('V06 Calend 01'!H48-('V06 Calend 01'!I48*('V06 Calend 01'!E48-1))),'V06 Calend 01'!I48),0))+IF((33='V06 Calend 01'!D48),'V06 Calend 01'!J48,0))</f>
        <v>0</v>
      </c>
      <c r="AT48" s="2">
        <f>((IF((34='V06 Calend 01'!C48),('V06 Calend 01'!F48+'V06 Calend 01'!G48),0)+IF(AND(('V06 Calend 01'!E48&gt;0),(34&gt;'V06 Calend 01'!C48),(34&lt;'V06 Calend 01'!D48),(MOD((34-'V06 Calend 01'!C48),6)=0),(((34-'V06 Calend 01'!C48)/6)&lt;='V06 Calend 01'!E48)),IF((34=('V06 Calend 01'!C48+(6*'V06 Calend 01'!E48))),('V06 Calend 01'!H48-('V06 Calend 01'!I48*('V06 Calend 01'!E48-1))),'V06 Calend 01'!I48),0))+IF((34='V06 Calend 01'!D48),'V06 Calend 01'!J48,0))</f>
        <v>0</v>
      </c>
      <c r="AU48" s="2">
        <f>((IF((35='V06 Calend 01'!C48),('V06 Calend 01'!F48+'V06 Calend 01'!G48),0)+IF(AND(('V06 Calend 01'!E48&gt;0),(35&gt;'V06 Calend 01'!C48),(35&lt;'V06 Calend 01'!D48),(MOD((35-'V06 Calend 01'!C48),6)=0),(((35-'V06 Calend 01'!C48)/6)&lt;='V06 Calend 01'!E48)),IF((35=('V06 Calend 01'!C48+(6*'V06 Calend 01'!E48))),('V06 Calend 01'!H48-('V06 Calend 01'!I48*('V06 Calend 01'!E48-1))),'V06 Calend 01'!I48),0))+IF((35='V06 Calend 01'!D48),'V06 Calend 01'!J48,0))</f>
        <v>0</v>
      </c>
      <c r="AV48" s="2">
        <f>((IF((36='V06 Calend 01'!C48),('V06 Calend 01'!F48+'V06 Calend 01'!G48),0)+IF(AND(('V06 Calend 01'!E48&gt;0),(36&gt;'V06 Calend 01'!C48),(36&lt;'V06 Calend 01'!D48),(MOD((36-'V06 Calend 01'!C48),6)=0),(((36-'V06 Calend 01'!C48)/6)&lt;='V06 Calend 01'!E48)),IF((36=('V06 Calend 01'!C48+(6*'V06 Calend 01'!E48))),('V06 Calend 01'!H48-('V06 Calend 01'!I48*('V06 Calend 01'!E48-1))),'V06 Calend 01'!I48),0))+IF((36='V06 Calend 01'!D48),'V06 Calend 01'!J48,0))</f>
        <v>0</v>
      </c>
      <c r="AW48" s="2">
        <f>((IF((37='V06 Calend 01'!C48),('V06 Calend 01'!F48+'V06 Calend 01'!G48),0)+IF(AND(('V06 Calend 01'!E48&gt;0),(37&gt;'V06 Calend 01'!C48),(37&lt;'V06 Calend 01'!D48),(MOD((37-'V06 Calend 01'!C48),6)=0),(((37-'V06 Calend 01'!C48)/6)&lt;='V06 Calend 01'!E48)),IF((37=('V06 Calend 01'!C48+(6*'V06 Calend 01'!E48))),('V06 Calend 01'!H48-('V06 Calend 01'!I48*('V06 Calend 01'!E48-1))),'V06 Calend 01'!I48),0))+IF((37='V06 Calend 01'!D48),'V06 Calend 01'!J48,0))</f>
        <v>0</v>
      </c>
      <c r="AX48" s="2">
        <f>((IF((38='V06 Calend 01'!C48),('V06 Calend 01'!F48+'V06 Calend 01'!G48),0)+IF(AND(('V06 Calend 01'!E48&gt;0),(38&gt;'V06 Calend 01'!C48),(38&lt;'V06 Calend 01'!D48),(MOD((38-'V06 Calend 01'!C48),6)=0),(((38-'V06 Calend 01'!C48)/6)&lt;='V06 Calend 01'!E48)),IF((38=('V06 Calend 01'!C48+(6*'V06 Calend 01'!E48))),('V06 Calend 01'!H48-('V06 Calend 01'!I48*('V06 Calend 01'!E48-1))),'V06 Calend 01'!I48),0))+IF((38='V06 Calend 01'!D48),'V06 Calend 01'!J48,0))</f>
        <v>0</v>
      </c>
      <c r="AY48" s="2">
        <f>((IF((39='V06 Calend 01'!C48),('V06 Calend 01'!F48+'V06 Calend 01'!G48),0)+IF(AND(('V06 Calend 01'!E48&gt;0),(39&gt;'V06 Calend 01'!C48),(39&lt;'V06 Calend 01'!D48),(MOD((39-'V06 Calend 01'!C48),6)=0),(((39-'V06 Calend 01'!C48)/6)&lt;='V06 Calend 01'!E48)),IF((39=('V06 Calend 01'!C48+(6*'V06 Calend 01'!E48))),('V06 Calend 01'!H48-('V06 Calend 01'!I48*('V06 Calend 01'!E48-1))),'V06 Calend 01'!I48),0))+IF((39='V06 Calend 01'!D48),'V06 Calend 01'!J48,0))</f>
        <v>0</v>
      </c>
      <c r="AZ48" s="2">
        <f>((IF((40='V06 Calend 01'!C48),('V06 Calend 01'!F48+'V06 Calend 01'!G48),0)+IF(AND(('V06 Calend 01'!E48&gt;0),(40&gt;'V06 Calend 01'!C48),(40&lt;'V06 Calend 01'!D48),(MOD((40-'V06 Calend 01'!C48),6)=0),(((40-'V06 Calend 01'!C48)/6)&lt;='V06 Calend 01'!E48)),IF((40=('V06 Calend 01'!C48+(6*'V06 Calend 01'!E48))),('V06 Calend 01'!H48-('V06 Calend 01'!I48*('V06 Calend 01'!E48-1))),'V06 Calend 01'!I48),0))+IF((40='V06 Calend 01'!D48),'V06 Calend 01'!J48,0))</f>
        <v>0</v>
      </c>
      <c r="BA48" s="2">
        <f>((IF((41='V06 Calend 01'!C48),('V06 Calend 01'!F48+'V06 Calend 01'!G48),0)+IF(AND(('V06 Calend 01'!E48&gt;0),(41&gt;'V06 Calend 01'!C48),(41&lt;'V06 Calend 01'!D48),(MOD((41-'V06 Calend 01'!C48),6)=0),(((41-'V06 Calend 01'!C48)/6)&lt;='V06 Calend 01'!E48)),IF((41=('V06 Calend 01'!C48+(6*'V06 Calend 01'!E48))),('V06 Calend 01'!H48-('V06 Calend 01'!I48*('V06 Calend 01'!E48-1))),'V06 Calend 01'!I48),0))+IF((41='V06 Calend 01'!D48),'V06 Calend 01'!J48,0))</f>
        <v>0</v>
      </c>
      <c r="BB48" s="2">
        <f>((IF((42='V06 Calend 01'!C48),('V06 Calend 01'!F48+'V06 Calend 01'!G48),0)+IF(AND(('V06 Calend 01'!E48&gt;0),(42&gt;'V06 Calend 01'!C48),(42&lt;'V06 Calend 01'!D48),(MOD((42-'V06 Calend 01'!C48),6)=0),(((42-'V06 Calend 01'!C48)/6)&lt;='V06 Calend 01'!E48)),IF((42=('V06 Calend 01'!C48+(6*'V06 Calend 01'!E48))),('V06 Calend 01'!H48-('V06 Calend 01'!I48*('V06 Calend 01'!E48-1))),'V06 Calend 01'!I48),0))+IF((42='V06 Calend 01'!D48),'V06 Calend 01'!J48,0))</f>
        <v>0</v>
      </c>
      <c r="BC48" s="2">
        <f>((IF((43='V06 Calend 01'!C48),('V06 Calend 01'!F48+'V06 Calend 01'!G48),0)+IF(AND(('V06 Calend 01'!E48&gt;0),(43&gt;'V06 Calend 01'!C48),(43&lt;'V06 Calend 01'!D48),(MOD((43-'V06 Calend 01'!C48),6)=0),(((43-'V06 Calend 01'!C48)/6)&lt;='V06 Calend 01'!E48)),IF((43=('V06 Calend 01'!C48+(6*'V06 Calend 01'!E48))),('V06 Calend 01'!H48-('V06 Calend 01'!I48*('V06 Calend 01'!E48-1))),'V06 Calend 01'!I48),0))+IF((43='V06 Calend 01'!D48),'V06 Calend 01'!J48,0))</f>
        <v>0</v>
      </c>
      <c r="BD48" s="2">
        <f>((IF((44='V06 Calend 01'!C48),('V06 Calend 01'!F48+'V06 Calend 01'!G48),0)+IF(AND(('V06 Calend 01'!E48&gt;0),(44&gt;'V06 Calend 01'!C48),(44&lt;'V06 Calend 01'!D48),(MOD((44-'V06 Calend 01'!C48),6)=0),(((44-'V06 Calend 01'!C48)/6)&lt;='V06 Calend 01'!E48)),IF((44=('V06 Calend 01'!C48+(6*'V06 Calend 01'!E48))),('V06 Calend 01'!H48-('V06 Calend 01'!I48*('V06 Calend 01'!E48-1))),'V06 Calend 01'!I48),0))+IF((44='V06 Calend 01'!D48),'V06 Calend 01'!J48,0))</f>
        <v>0</v>
      </c>
      <c r="BE48" s="2">
        <f>((IF((45='V06 Calend 01'!C48),('V06 Calend 01'!F48+'V06 Calend 01'!G48),0)+IF(AND(('V06 Calend 01'!E48&gt;0),(45&gt;'V06 Calend 01'!C48),(45&lt;'V06 Calend 01'!D48),(MOD((45-'V06 Calend 01'!C48),6)=0),(((45-'V06 Calend 01'!C48)/6)&lt;='V06 Calend 01'!E48)),IF((45=('V06 Calend 01'!C48+(6*'V06 Calend 01'!E48))),('V06 Calend 01'!H48-('V06 Calend 01'!I48*('V06 Calend 01'!E48-1))),'V06 Calend 01'!I48),0))+IF((45='V06 Calend 01'!D48),'V06 Calend 01'!J48,0))</f>
        <v>0</v>
      </c>
      <c r="BF48" s="2">
        <f>((IF((46='V06 Calend 01'!C48),('V06 Calend 01'!F48+'V06 Calend 01'!G48),0)+IF(AND(('V06 Calend 01'!E48&gt;0),(46&gt;'V06 Calend 01'!C48),(46&lt;'V06 Calend 01'!D48),(MOD((46-'V06 Calend 01'!C48),6)=0),(((46-'V06 Calend 01'!C48)/6)&lt;='V06 Calend 01'!E48)),IF((46=('V06 Calend 01'!C48+(6*'V06 Calend 01'!E48))),('V06 Calend 01'!H48-('V06 Calend 01'!I48*('V06 Calend 01'!E48-1))),'V06 Calend 01'!I48),0))+IF((46='V06 Calend 01'!D48),'V06 Calend 01'!J48,0))</f>
        <v>0</v>
      </c>
      <c r="BG48" s="2">
        <f>((IF((47='V06 Calend 01'!C48),('V06 Calend 01'!F48+'V06 Calend 01'!G48),0)+IF(AND(('V06 Calend 01'!E48&gt;0),(47&gt;'V06 Calend 01'!C48),(47&lt;'V06 Calend 01'!D48),(MOD((47-'V06 Calend 01'!C48),6)=0),(((47-'V06 Calend 01'!C48)/6)&lt;='V06 Calend 01'!E48)),IF((47=('V06 Calend 01'!C48+(6*'V06 Calend 01'!E48))),('V06 Calend 01'!H48-('V06 Calend 01'!I48*('V06 Calend 01'!E48-1))),'V06 Calend 01'!I48),0))+IF((47='V06 Calend 01'!D48),'V06 Calend 01'!J48,0))</f>
        <v>0</v>
      </c>
      <c r="BH48" s="2">
        <f>((IF((48='V06 Calend 01'!C48),('V06 Calend 01'!F48+'V06 Calend 01'!G48),0)+IF(AND(('V06 Calend 01'!E48&gt;0),(48&gt;'V06 Calend 01'!C48),(48&lt;'V06 Calend 01'!D48),(MOD((48-'V06 Calend 01'!C48),6)=0),(((48-'V06 Calend 01'!C48)/6)&lt;='V06 Calend 01'!E48)),IF((48=('V06 Calend 01'!C48+(6*'V06 Calend 01'!E48))),('V06 Calend 01'!H48-('V06 Calend 01'!I48*('V06 Calend 01'!E48-1))),'V06 Calend 01'!I48),0))+IF((48='V06 Calend 01'!D48),'V06 Calend 01'!J48,0))</f>
        <v>0</v>
      </c>
      <c r="BI48" s="2">
        <f>((IF((49='V06 Calend 01'!C48),('V06 Calend 01'!F48+'V06 Calend 01'!G48),0)+IF(AND(('V06 Calend 01'!E48&gt;0),(49&gt;'V06 Calend 01'!C48),(49&lt;'V06 Calend 01'!D48),(MOD((49-'V06 Calend 01'!C48),6)=0),(((49-'V06 Calend 01'!C48)/6)&lt;='V06 Calend 01'!E48)),IF((49=('V06 Calend 01'!C48+(6*'V06 Calend 01'!E48))),('V06 Calend 01'!H48-('V06 Calend 01'!I48*('V06 Calend 01'!E48-1))),'V06 Calend 01'!I48),0))+IF((49='V06 Calend 01'!D48),'V06 Calend 01'!J48,0))</f>
        <v>0</v>
      </c>
      <c r="BJ48" s="2">
        <f>((IF((50='V06 Calend 01'!C48),('V06 Calend 01'!F48+'V06 Calend 01'!G48),0)+IF(AND(('V06 Calend 01'!E48&gt;0),(50&gt;'V06 Calend 01'!C48),(50&lt;'V06 Calend 01'!D48),(MOD((50-'V06 Calend 01'!C48),6)=0),(((50-'V06 Calend 01'!C48)/6)&lt;='V06 Calend 01'!E48)),IF((50=('V06 Calend 01'!C48+(6*'V06 Calend 01'!E48))),('V06 Calend 01'!H48-('V06 Calend 01'!I48*('V06 Calend 01'!E48-1))),'V06 Calend 01'!I48),0))+IF((50='V06 Calend 01'!D48),'V06 Calend 01'!J48,0))</f>
        <v>0</v>
      </c>
      <c r="BK48" s="2">
        <f>((IF((51='V06 Calend 01'!C48),('V06 Calend 01'!F48+'V06 Calend 01'!G48),0)+IF(AND(('V06 Calend 01'!E48&gt;0),(51&gt;'V06 Calend 01'!C48),(51&lt;'V06 Calend 01'!D48),(MOD((51-'V06 Calend 01'!C48),6)=0),(((51-'V06 Calend 01'!C48)/6)&lt;='V06 Calend 01'!E48)),IF((51=('V06 Calend 01'!C48+(6*'V06 Calend 01'!E48))),('V06 Calend 01'!H48-('V06 Calend 01'!I48*('V06 Calend 01'!E48-1))),'V06 Calend 01'!I48),0))+IF((51='V06 Calend 01'!D48),'V06 Calend 01'!J48,0))</f>
        <v>0</v>
      </c>
      <c r="BL48" s="2">
        <f>((IF((52='V06 Calend 01'!C48),('V06 Calend 01'!F48+'V06 Calend 01'!G48),0)+IF(AND(('V06 Calend 01'!E48&gt;0),(52&gt;'V06 Calend 01'!C48),(52&lt;'V06 Calend 01'!D48),(MOD((52-'V06 Calend 01'!C48),6)=0),(((52-'V06 Calend 01'!C48)/6)&lt;='V06 Calend 01'!E48)),IF((52=('V06 Calend 01'!C48+(6*'V06 Calend 01'!E48))),('V06 Calend 01'!H48-('V06 Calend 01'!I48*('V06 Calend 01'!E48-1))),'V06 Calend 01'!I48),0))+IF((52='V06 Calend 01'!D48),'V06 Calend 01'!J48,0))</f>
        <v>0</v>
      </c>
      <c r="BM48" s="2">
        <f>((IF((53='V06 Calend 01'!C48),('V06 Calend 01'!F48+'V06 Calend 01'!G48),0)+IF(AND(('V06 Calend 01'!E48&gt;0),(53&gt;'V06 Calend 01'!C48),(53&lt;'V06 Calend 01'!D48),(MOD((53-'V06 Calend 01'!C48),6)=0),(((53-'V06 Calend 01'!C48)/6)&lt;='V06 Calend 01'!E48)),IF((53=('V06 Calend 01'!C48+(6*'V06 Calend 01'!E48))),('V06 Calend 01'!H48-('V06 Calend 01'!I48*('V06 Calend 01'!E48-1))),'V06 Calend 01'!I48),0))+IF((53='V06 Calend 01'!D48),'V06 Calend 01'!J48,0))</f>
        <v>0</v>
      </c>
      <c r="BN48" s="2">
        <f>((IF((54='V06 Calend 01'!C48),('V06 Calend 01'!F48+'V06 Calend 01'!G48),0)+IF(AND(('V06 Calend 01'!E48&gt;0),(54&gt;'V06 Calend 01'!C48),(54&lt;'V06 Calend 01'!D48),(MOD((54-'V06 Calend 01'!C48),6)=0),(((54-'V06 Calend 01'!C48)/6)&lt;='V06 Calend 01'!E48)),IF((54=('V06 Calend 01'!C48+(6*'V06 Calend 01'!E48))),('V06 Calend 01'!H48-('V06 Calend 01'!I48*('V06 Calend 01'!E48-1))),'V06 Calend 01'!I48),0))+IF((54='V06 Calend 01'!D48),'V06 Calend 01'!J48,0))</f>
        <v>0</v>
      </c>
      <c r="BO48" s="2">
        <f>((IF((55='V06 Calend 01'!C48),('V06 Calend 01'!F48+'V06 Calend 01'!G48),0)+IF(AND(('V06 Calend 01'!E48&gt;0),(55&gt;'V06 Calend 01'!C48),(55&lt;'V06 Calend 01'!D48),(MOD((55-'V06 Calend 01'!C48),6)=0),(((55-'V06 Calend 01'!C48)/6)&lt;='V06 Calend 01'!E48)),IF((55=('V06 Calend 01'!C48+(6*'V06 Calend 01'!E48))),('V06 Calend 01'!H48-('V06 Calend 01'!I48*('V06 Calend 01'!E48-1))),'V06 Calend 01'!I48),0))+IF((55='V06 Calend 01'!D48),'V06 Calend 01'!J48,0))</f>
        <v>0</v>
      </c>
      <c r="BP48" s="2">
        <f>((IF((56='V06 Calend 01'!C48),('V06 Calend 01'!F48+'V06 Calend 01'!G48),0)+IF(AND(('V06 Calend 01'!E48&gt;0),(56&gt;'V06 Calend 01'!C48),(56&lt;'V06 Calend 01'!D48),(MOD((56-'V06 Calend 01'!C48),6)=0),(((56-'V06 Calend 01'!C48)/6)&lt;='V06 Calend 01'!E48)),IF((56=('V06 Calend 01'!C48+(6*'V06 Calend 01'!E48))),('V06 Calend 01'!H48-('V06 Calend 01'!I48*('V06 Calend 01'!E48-1))),'V06 Calend 01'!I48),0))+IF((56='V06 Calend 01'!D48),'V06 Calend 01'!J48,0))</f>
        <v>0</v>
      </c>
      <c r="BQ48" s="2">
        <f>((IF((57='V06 Calend 01'!C48),('V06 Calend 01'!F48+'V06 Calend 01'!G48),0)+IF(AND(('V06 Calend 01'!E48&gt;0),(57&gt;'V06 Calend 01'!C48),(57&lt;'V06 Calend 01'!D48),(MOD((57-'V06 Calend 01'!C48),6)=0),(((57-'V06 Calend 01'!C48)/6)&lt;='V06 Calend 01'!E48)),IF((57=('V06 Calend 01'!C48+(6*'V06 Calend 01'!E48))),('V06 Calend 01'!H48-('V06 Calend 01'!I48*('V06 Calend 01'!E48-1))),'V06 Calend 01'!I48),0))+IF((57='V06 Calend 01'!D48),'V06 Calend 01'!J48,0))</f>
        <v>0</v>
      </c>
      <c r="BR48" s="2">
        <f>((IF((58='V06 Calend 01'!C48),('V06 Calend 01'!F48+'V06 Calend 01'!G48),0)+IF(AND(('V06 Calend 01'!E48&gt;0),(58&gt;'V06 Calend 01'!C48),(58&lt;'V06 Calend 01'!D48),(MOD((58-'V06 Calend 01'!C48),6)=0),(((58-'V06 Calend 01'!C48)/6)&lt;='V06 Calend 01'!E48)),IF((58=('V06 Calend 01'!C48+(6*'V06 Calend 01'!E48))),('V06 Calend 01'!H48-('V06 Calend 01'!I48*('V06 Calend 01'!E48-1))),'V06 Calend 01'!I48),0))+IF((58='V06 Calend 01'!D48),'V06 Calend 01'!J48,0))</f>
        <v>0</v>
      </c>
      <c r="BS48" s="2">
        <f>((IF((59='V06 Calend 01'!C48),('V06 Calend 01'!F48+'V06 Calend 01'!G48),0)+IF(AND(('V06 Calend 01'!E48&gt;0),(59&gt;'V06 Calend 01'!C48),(59&lt;'V06 Calend 01'!D48),(MOD((59-'V06 Calend 01'!C48),6)=0),(((59-'V06 Calend 01'!C48)/6)&lt;='V06 Calend 01'!E48)),IF((59=('V06 Calend 01'!C48+(6*'V06 Calend 01'!E48))),('V06 Calend 01'!H48-('V06 Calend 01'!I48*('V06 Calend 01'!E48-1))),'V06 Calend 01'!I48),0))+IF((59='V06 Calend 01'!D48),'V06 Calend 01'!J48,0))</f>
        <v>0</v>
      </c>
      <c r="BT48" s="2">
        <f>((IF((60='V06 Calend 01'!C48),('V06 Calend 01'!F48+'V06 Calend 01'!G48),0)+IF(AND(('V06 Calend 01'!E48&gt;0),(60&gt;'V06 Calend 01'!C48),(60&lt;'V06 Calend 01'!D48),(MOD((60-'V06 Calend 01'!C48),6)=0),(((60-'V06 Calend 01'!C48)/6)&lt;='V06 Calend 01'!E48)),IF((60=('V06 Calend 01'!C48+(6*'V06 Calend 01'!E48))),('V06 Calend 01'!H48-('V06 Calend 01'!I48*('V06 Calend 01'!E48-1))),'V06 Calend 01'!I48),0))+IF((60='V06 Calend 01'!D48),'V06 Calend 01'!J48,0))</f>
        <v>0</v>
      </c>
      <c r="BU48" s="2">
        <f>((IF((61='V06 Calend 01'!C48),('V06 Calend 01'!F48+'V06 Calend 01'!G48),0)+IF(AND(('V06 Calend 01'!E48&gt;0),(61&gt;'V06 Calend 01'!C48),(61&lt;'V06 Calend 01'!D48),(MOD((61-'V06 Calend 01'!C48),6)=0),(((61-'V06 Calend 01'!C48)/6)&lt;='V06 Calend 01'!E48)),IF((61=('V06 Calend 01'!C48+(6*'V06 Calend 01'!E48))),('V06 Calend 01'!H48-('V06 Calend 01'!I48*('V06 Calend 01'!E48-1))),'V06 Calend 01'!I48),0))+IF((61='V06 Calend 01'!D48),'V06 Calend 01'!J48,0))</f>
        <v>0</v>
      </c>
      <c r="BV48" s="2">
        <f>((IF((62='V06 Calend 01'!C48),('V06 Calend 01'!F48+'V06 Calend 01'!G48),0)+IF(AND(('V06 Calend 01'!E48&gt;0),(62&gt;'V06 Calend 01'!C48),(62&lt;'V06 Calend 01'!D48),(MOD((62-'V06 Calend 01'!C48),6)=0),(((62-'V06 Calend 01'!C48)/6)&lt;='V06 Calend 01'!E48)),IF((62=('V06 Calend 01'!C48+(6*'V06 Calend 01'!E48))),('V06 Calend 01'!H48-('V06 Calend 01'!I48*('V06 Calend 01'!E48-1))),'V06 Calend 01'!I48),0))+IF((62='V06 Calend 01'!D48),'V06 Calend 01'!J48,0))</f>
        <v>0</v>
      </c>
      <c r="BW48" s="2">
        <f>((IF((63='V06 Calend 01'!C48),('V06 Calend 01'!F48+'V06 Calend 01'!G48),0)+IF(AND(('V06 Calend 01'!E48&gt;0),(63&gt;'V06 Calend 01'!C48),(63&lt;'V06 Calend 01'!D48),(MOD((63-'V06 Calend 01'!C48),6)=0),(((63-'V06 Calend 01'!C48)/6)&lt;='V06 Calend 01'!E48)),IF((63=('V06 Calend 01'!C48+(6*'V06 Calend 01'!E48))),('V06 Calend 01'!H48-('V06 Calend 01'!I48*('V06 Calend 01'!E48-1))),'V06 Calend 01'!I48),0))+IF((63='V06 Calend 01'!D48),'V06 Calend 01'!J48,0))</f>
        <v>0</v>
      </c>
      <c r="BX48" s="2">
        <f>((IF((64='V06 Calend 01'!C48),('V06 Calend 01'!F48+'V06 Calend 01'!G48),0)+IF(AND(('V06 Calend 01'!E48&gt;0),(64&gt;'V06 Calend 01'!C48),(64&lt;'V06 Calend 01'!D48),(MOD((64-'V06 Calend 01'!C48),6)=0),(((64-'V06 Calend 01'!C48)/6)&lt;='V06 Calend 01'!E48)),IF((64=('V06 Calend 01'!C48+(6*'V06 Calend 01'!E48))),('V06 Calend 01'!H48-('V06 Calend 01'!I48*('V06 Calend 01'!E48-1))),'V06 Calend 01'!I48),0))+IF((64='V06 Calend 01'!D48),'V06 Calend 01'!J48,0))</f>
        <v>0</v>
      </c>
      <c r="BY48" s="2">
        <f>((IF((65='V06 Calend 01'!C48),('V06 Calend 01'!F48+'V06 Calend 01'!G48),0)+IF(AND(('V06 Calend 01'!E48&gt;0),(65&gt;'V06 Calend 01'!C48),(65&lt;'V06 Calend 01'!D48),(MOD((65-'V06 Calend 01'!C48),6)=0),(((65-'V06 Calend 01'!C48)/6)&lt;='V06 Calend 01'!E48)),IF((65=('V06 Calend 01'!C48+(6*'V06 Calend 01'!E48))),('V06 Calend 01'!H48-('V06 Calend 01'!I48*('V06 Calend 01'!E48-1))),'V06 Calend 01'!I48),0))+IF((65='V06 Calend 01'!D48),'V06 Calend 01'!J48,0))</f>
        <v>0</v>
      </c>
      <c r="BZ48" s="2">
        <f>((IF((66='V06 Calend 01'!C48),('V06 Calend 01'!F48+'V06 Calend 01'!G48),0)+IF(AND(('V06 Calend 01'!E48&gt;0),(66&gt;'V06 Calend 01'!C48),(66&lt;'V06 Calend 01'!D48),(MOD((66-'V06 Calend 01'!C48),6)=0),(((66-'V06 Calend 01'!C48)/6)&lt;='V06 Calend 01'!E48)),IF((66=('V06 Calend 01'!C48+(6*'V06 Calend 01'!E48))),('V06 Calend 01'!H48-('V06 Calend 01'!I48*('V06 Calend 01'!E48-1))),'V06 Calend 01'!I48),0))+IF((66='V06 Calend 01'!D48),'V06 Calend 01'!J48,0))</f>
        <v>0</v>
      </c>
      <c r="CA48" s="2">
        <f>((IF((67='V06 Calend 01'!C48),('V06 Calend 01'!F48+'V06 Calend 01'!G48),0)+IF(AND(('V06 Calend 01'!E48&gt;0),(67&gt;'V06 Calend 01'!C48),(67&lt;'V06 Calend 01'!D48),(MOD((67-'V06 Calend 01'!C48),6)=0),(((67-'V06 Calend 01'!C48)/6)&lt;='V06 Calend 01'!E48)),IF((67=('V06 Calend 01'!C48+(6*'V06 Calend 01'!E48))),('V06 Calend 01'!H48-('V06 Calend 01'!I48*('V06 Calend 01'!E48-1))),'V06 Calend 01'!I48),0))+IF((67='V06 Calend 01'!D48),'V06 Calend 01'!J48,0))</f>
        <v>0</v>
      </c>
      <c r="CB48" s="2">
        <f>((IF((68='V06 Calend 01'!C48),('V06 Calend 01'!F48+'V06 Calend 01'!G48),0)+IF(AND(('V06 Calend 01'!E48&gt;0),(68&gt;'V06 Calend 01'!C48),(68&lt;'V06 Calend 01'!D48),(MOD((68-'V06 Calend 01'!C48),6)=0),(((68-'V06 Calend 01'!C48)/6)&lt;='V06 Calend 01'!E48)),IF((68=('V06 Calend 01'!C48+(6*'V06 Calend 01'!E48))),('V06 Calend 01'!H48-('V06 Calend 01'!I48*('V06 Calend 01'!E48-1))),'V06 Calend 01'!I48),0))+IF((68='V06 Calend 01'!D48),'V06 Calend 01'!J48,0))</f>
        <v>0</v>
      </c>
      <c r="CC48" s="2">
        <f>((IF((69='V06 Calend 01'!C48),('V06 Calend 01'!F48+'V06 Calend 01'!G48),0)+IF(AND(('V06 Calend 01'!E48&gt;0),(69&gt;'V06 Calend 01'!C48),(69&lt;'V06 Calend 01'!D48),(MOD((69-'V06 Calend 01'!C48),6)=0),(((69-'V06 Calend 01'!C48)/6)&lt;='V06 Calend 01'!E48)),IF((69=('V06 Calend 01'!C48+(6*'V06 Calend 01'!E48))),('V06 Calend 01'!H48-('V06 Calend 01'!I48*('V06 Calend 01'!E48-1))),'V06 Calend 01'!I48),0))+IF((69='V06 Calend 01'!D48),'V06 Calend 01'!J48,0))</f>
        <v>0</v>
      </c>
      <c r="CD48" s="2">
        <f>((IF((70='V06 Calend 01'!C48),('V06 Calend 01'!F48+'V06 Calend 01'!G48),0)+IF(AND(('V06 Calend 01'!E48&gt;0),(70&gt;'V06 Calend 01'!C48),(70&lt;'V06 Calend 01'!D48),(MOD((70-'V06 Calend 01'!C48),6)=0),(((70-'V06 Calend 01'!C48)/6)&lt;='V06 Calend 01'!E48)),IF((70=('V06 Calend 01'!C48+(6*'V06 Calend 01'!E48))),('V06 Calend 01'!H48-('V06 Calend 01'!I48*('V06 Calend 01'!E48-1))),'V06 Calend 01'!I48),0))+IF((70='V06 Calend 01'!D48),'V06 Calend 01'!J48,0))</f>
        <v>0</v>
      </c>
      <c r="CE48" s="2">
        <f>((IF((71='V06 Calend 01'!C48),('V06 Calend 01'!F48+'V06 Calend 01'!G48),0)+IF(AND(('V06 Calend 01'!E48&gt;0),(71&gt;'V06 Calend 01'!C48),(71&lt;'V06 Calend 01'!D48),(MOD((71-'V06 Calend 01'!C48),6)=0),(((71-'V06 Calend 01'!C48)/6)&lt;='V06 Calend 01'!E48)),IF((71=('V06 Calend 01'!C48+(6*'V06 Calend 01'!E48))),('V06 Calend 01'!H48-('V06 Calend 01'!I48*('V06 Calend 01'!E48-1))),'V06 Calend 01'!I48),0))+IF((71='V06 Calend 01'!D48),'V06 Calend 01'!J48,0))</f>
        <v>0</v>
      </c>
      <c r="CF48" s="2">
        <f>((IF((72='V06 Calend 01'!C48),('V06 Calend 01'!F48+'V06 Calend 01'!G48),0)+IF(AND(('V06 Calend 01'!E48&gt;0),(72&gt;'V06 Calend 01'!C48),(72&lt;'V06 Calend 01'!D48),(MOD((72-'V06 Calend 01'!C48),6)=0),(((72-'V06 Calend 01'!C48)/6)&lt;='V06 Calend 01'!E48)),IF((72=('V06 Calend 01'!C48+(6*'V06 Calend 01'!E48))),('V06 Calend 01'!H48-('V06 Calend 01'!I48*('V06 Calend 01'!E48-1))),'V06 Calend 01'!I48),0))+IF((72='V06 Calend 01'!D48),'V06 Calend 01'!J48,0))</f>
        <v>0</v>
      </c>
      <c r="CG48" s="2">
        <f>((IF((73='V06 Calend 01'!C48),('V06 Calend 01'!F48+'V06 Calend 01'!G48),0)+IF(AND(('V06 Calend 01'!E48&gt;0),(73&gt;'V06 Calend 01'!C48),(73&lt;'V06 Calend 01'!D48),(MOD((73-'V06 Calend 01'!C48),6)=0),(((73-'V06 Calend 01'!C48)/6)&lt;='V06 Calend 01'!E48)),IF((73=('V06 Calend 01'!C48+(6*'V06 Calend 01'!E48))),('V06 Calend 01'!H48-('V06 Calend 01'!I48*('V06 Calend 01'!E48-1))),'V06 Calend 01'!I48),0))+IF((73='V06 Calend 01'!D48),'V06 Calend 01'!J48,0))</f>
        <v>0</v>
      </c>
      <c r="CH48" s="2">
        <f>((IF((74='V06 Calend 01'!C48),('V06 Calend 01'!F48+'V06 Calend 01'!G48),0)+IF(AND(('V06 Calend 01'!E48&gt;0),(74&gt;'V06 Calend 01'!C48),(74&lt;'V06 Calend 01'!D48),(MOD((74-'V06 Calend 01'!C48),6)=0),(((74-'V06 Calend 01'!C48)/6)&lt;='V06 Calend 01'!E48)),IF((74=('V06 Calend 01'!C48+(6*'V06 Calend 01'!E48))),('V06 Calend 01'!H48-('V06 Calend 01'!I48*('V06 Calend 01'!E48-1))),'V06 Calend 01'!I48),0))+IF((74='V06 Calend 01'!D48),'V06 Calend 01'!J48,0))</f>
        <v>0</v>
      </c>
      <c r="CI48" s="2">
        <f>((IF((75='V06 Calend 01'!C48),('V06 Calend 01'!F48+'V06 Calend 01'!G48),0)+IF(AND(('V06 Calend 01'!E48&gt;0),(75&gt;'V06 Calend 01'!C48),(75&lt;'V06 Calend 01'!D48),(MOD((75-'V06 Calend 01'!C48),6)=0),(((75-'V06 Calend 01'!C48)/6)&lt;='V06 Calend 01'!E48)),IF((75=('V06 Calend 01'!C48+(6*'V06 Calend 01'!E48))),('V06 Calend 01'!H48-('V06 Calend 01'!I48*('V06 Calend 01'!E48-1))),'V06 Calend 01'!I48),0))+IF((75='V06 Calend 01'!D48),'V06 Calend 01'!J48,0))</f>
        <v>0</v>
      </c>
      <c r="CJ48" s="2">
        <f>((IF((76='V06 Calend 01'!C48),('V06 Calend 01'!F48+'V06 Calend 01'!G48),0)+IF(AND(('V06 Calend 01'!E48&gt;0),(76&gt;'V06 Calend 01'!C48),(76&lt;'V06 Calend 01'!D48),(MOD((76-'V06 Calend 01'!C48),6)=0),(((76-'V06 Calend 01'!C48)/6)&lt;='V06 Calend 01'!E48)),IF((76=('V06 Calend 01'!C48+(6*'V06 Calend 01'!E48))),('V06 Calend 01'!H48-('V06 Calend 01'!I48*('V06 Calend 01'!E48-1))),'V06 Calend 01'!I48),0))+IF((76='V06 Calend 01'!D48),'V06 Calend 01'!J48,0))</f>
        <v>0</v>
      </c>
      <c r="CK48" s="2">
        <f>((IF((77='V06 Calend 01'!C48),('V06 Calend 01'!F48+'V06 Calend 01'!G48),0)+IF(AND(('V06 Calend 01'!E48&gt;0),(77&gt;'V06 Calend 01'!C48),(77&lt;'V06 Calend 01'!D48),(MOD((77-'V06 Calend 01'!C48),6)=0),(((77-'V06 Calend 01'!C48)/6)&lt;='V06 Calend 01'!E48)),IF((77=('V06 Calend 01'!C48+(6*'V06 Calend 01'!E48))),('V06 Calend 01'!H48-('V06 Calend 01'!I48*('V06 Calend 01'!E48-1))),'V06 Calend 01'!I48),0))+IF((77='V06 Calend 01'!D48),'V06 Calend 01'!J48,0))</f>
        <v>0</v>
      </c>
      <c r="CL48" s="2">
        <f>((IF((78='V06 Calend 01'!C48),('V06 Calend 01'!F48+'V06 Calend 01'!G48),0)+IF(AND(('V06 Calend 01'!E48&gt;0),(78&gt;'V06 Calend 01'!C48),(78&lt;'V06 Calend 01'!D48),(MOD((78-'V06 Calend 01'!C48),6)=0),(((78-'V06 Calend 01'!C48)/6)&lt;='V06 Calend 01'!E48)),IF((78=('V06 Calend 01'!C48+(6*'V06 Calend 01'!E48))),('V06 Calend 01'!H48-('V06 Calend 01'!I48*('V06 Calend 01'!E48-1))),'V06 Calend 01'!I48),0))+IF((78='V06 Calend 01'!D48),'V06 Calend 01'!J48,0))</f>
        <v>0</v>
      </c>
      <c r="CM48" s="2">
        <f>((IF((79='V06 Calend 01'!C48),('V06 Calend 01'!F48+'V06 Calend 01'!G48),0)+IF(AND(('V06 Calend 01'!E48&gt;0),(79&gt;'V06 Calend 01'!C48),(79&lt;'V06 Calend 01'!D48),(MOD((79-'V06 Calend 01'!C48),6)=0),(((79-'V06 Calend 01'!C48)/6)&lt;='V06 Calend 01'!E48)),IF((79=('V06 Calend 01'!C48+(6*'V06 Calend 01'!E48))),('V06 Calend 01'!H48-('V06 Calend 01'!I48*('V06 Calend 01'!E48-1))),'V06 Calend 01'!I48),0))+IF((79='V06 Calend 01'!D48),'V06 Calend 01'!J48,0))</f>
        <v>0</v>
      </c>
      <c r="CN48" s="2">
        <f>((IF((80='V06 Calend 01'!C48),('V06 Calend 01'!F48+'V06 Calend 01'!G48),0)+IF(AND(('V06 Calend 01'!E48&gt;0),(80&gt;'V06 Calend 01'!C48),(80&lt;'V06 Calend 01'!D48),(MOD((80-'V06 Calend 01'!C48),6)=0),(((80-'V06 Calend 01'!C48)/6)&lt;='V06 Calend 01'!E48)),IF((80=('V06 Calend 01'!C48+(6*'V06 Calend 01'!E48))),('V06 Calend 01'!H48-('V06 Calend 01'!I48*('V06 Calend 01'!E48-1))),'V06 Calend 01'!I48),0))+IF((80='V06 Calend 01'!D48),'V06 Calend 01'!J48,0))</f>
        <v>0</v>
      </c>
      <c r="CO48" s="2">
        <f>((IF((81='V06 Calend 01'!C48),('V06 Calend 01'!F48+'V06 Calend 01'!G48),0)+IF(AND(('V06 Calend 01'!E48&gt;0),(81&gt;'V06 Calend 01'!C48),(81&lt;'V06 Calend 01'!D48),(MOD((81-'V06 Calend 01'!C48),6)=0),(((81-'V06 Calend 01'!C48)/6)&lt;='V06 Calend 01'!E48)),IF((81=('V06 Calend 01'!C48+(6*'V06 Calend 01'!E48))),('V06 Calend 01'!H48-('V06 Calend 01'!I48*('V06 Calend 01'!E48-1))),'V06 Calend 01'!I48),0))+IF((81='V06 Calend 01'!D48),'V06 Calend 01'!J48,0))</f>
        <v>0</v>
      </c>
      <c r="CP48" s="2">
        <f>((IF((82='V06 Calend 01'!C48),('V06 Calend 01'!F48+'V06 Calend 01'!G48),0)+IF(AND(('V06 Calend 01'!E48&gt;0),(82&gt;'V06 Calend 01'!C48),(82&lt;'V06 Calend 01'!D48),(MOD((82-'V06 Calend 01'!C48),6)=0),(((82-'V06 Calend 01'!C48)/6)&lt;='V06 Calend 01'!E48)),IF((82=('V06 Calend 01'!C48+(6*'V06 Calend 01'!E48))),('V06 Calend 01'!H48-('V06 Calend 01'!I48*('V06 Calend 01'!E48-1))),'V06 Calend 01'!I48),0))+IF((82='V06 Calend 01'!D48),'V06 Calend 01'!J48,0))</f>
        <v>0</v>
      </c>
      <c r="CQ48" s="2">
        <f>((IF((83='V06 Calend 01'!C48),('V06 Calend 01'!F48+'V06 Calend 01'!G48),0)+IF(AND(('V06 Calend 01'!E48&gt;0),(83&gt;'V06 Calend 01'!C48),(83&lt;'V06 Calend 01'!D48),(MOD((83-'V06 Calend 01'!C48),6)=0),(((83-'V06 Calend 01'!C48)/6)&lt;='V06 Calend 01'!E48)),IF((83=('V06 Calend 01'!C48+(6*'V06 Calend 01'!E48))),('V06 Calend 01'!H48-('V06 Calend 01'!I48*('V06 Calend 01'!E48-1))),'V06 Calend 01'!I48),0))+IF((83='V06 Calend 01'!D48),'V06 Calend 01'!J48,0))</f>
        <v>0</v>
      </c>
      <c r="CR48" s="2">
        <f>((IF((84='V06 Calend 01'!C48),('V06 Calend 01'!F48+'V06 Calend 01'!G48),0)+IF(AND(('V06 Calend 01'!E48&gt;0),(84&gt;'V06 Calend 01'!C48),(84&lt;'V06 Calend 01'!D48),(MOD((84-'V06 Calend 01'!C48),6)=0),(((84-'V06 Calend 01'!C48)/6)&lt;='V06 Calend 01'!E48)),IF((84=('V06 Calend 01'!C48+(6*'V06 Calend 01'!E48))),('V06 Calend 01'!H48-('V06 Calend 01'!I48*('V06 Calend 01'!E48-1))),'V06 Calend 01'!I48),0))+IF((84='V06 Calend 01'!D48),'V06 Calend 01'!J48,0))</f>
        <v>0</v>
      </c>
      <c r="CS48" s="2">
        <f>((IF((85='V06 Calend 01'!C48),('V06 Calend 01'!F48+'V06 Calend 01'!G48),0)+IF(AND(('V06 Calend 01'!E48&gt;0),(85&gt;'V06 Calend 01'!C48),(85&lt;'V06 Calend 01'!D48),(MOD((85-'V06 Calend 01'!C48),6)=0),(((85-'V06 Calend 01'!C48)/6)&lt;='V06 Calend 01'!E48)),IF((85=('V06 Calend 01'!C48+(6*'V06 Calend 01'!E48))),('V06 Calend 01'!H48-('V06 Calend 01'!I48*('V06 Calend 01'!E48-1))),'V06 Calend 01'!I48),0))+IF((85='V06 Calend 01'!D48),'V06 Calend 01'!J48,0))</f>
        <v>0</v>
      </c>
      <c r="CT48" s="2">
        <f>((IF((86='V06 Calend 01'!C48),('V06 Calend 01'!F48+'V06 Calend 01'!G48),0)+IF(AND(('V06 Calend 01'!E48&gt;0),(86&gt;'V06 Calend 01'!C48),(86&lt;'V06 Calend 01'!D48),(MOD((86-'V06 Calend 01'!C48),6)=0),(((86-'V06 Calend 01'!C48)/6)&lt;='V06 Calend 01'!E48)),IF((86=('V06 Calend 01'!C48+(6*'V06 Calend 01'!E48))),('V06 Calend 01'!H48-('V06 Calend 01'!I48*('V06 Calend 01'!E48-1))),'V06 Calend 01'!I48),0))+IF((86='V06 Calend 01'!D48),'V06 Calend 01'!J48,0))</f>
        <v>0</v>
      </c>
      <c r="CU48" s="2">
        <f>((IF((87='V06 Calend 01'!C48),('V06 Calend 01'!F48+'V06 Calend 01'!G48),0)+IF(AND(('V06 Calend 01'!E48&gt;0),(87&gt;'V06 Calend 01'!C48),(87&lt;'V06 Calend 01'!D48),(MOD((87-'V06 Calend 01'!C48),6)=0),(((87-'V06 Calend 01'!C48)/6)&lt;='V06 Calend 01'!E48)),IF((87=('V06 Calend 01'!C48+(6*'V06 Calend 01'!E48))),('V06 Calend 01'!H48-('V06 Calend 01'!I48*('V06 Calend 01'!E48-1))),'V06 Calend 01'!I48),0))+IF((87='V06 Calend 01'!D48),'V06 Calend 01'!J48,0))</f>
        <v>0</v>
      </c>
      <c r="CV48" s="2">
        <f>((IF((88='V06 Calend 01'!C48),('V06 Calend 01'!F48+'V06 Calend 01'!G48),0)+IF(AND(('V06 Calend 01'!E48&gt;0),(88&gt;'V06 Calend 01'!C48),(88&lt;'V06 Calend 01'!D48),(MOD((88-'V06 Calend 01'!C48),6)=0),(((88-'V06 Calend 01'!C48)/6)&lt;='V06 Calend 01'!E48)),IF((88=('V06 Calend 01'!C48+(6*'V06 Calend 01'!E48))),('V06 Calend 01'!H48-('V06 Calend 01'!I48*('V06 Calend 01'!E48-1))),'V06 Calend 01'!I48),0))+IF((88='V06 Calend 01'!D48),'V06 Calend 01'!J48,0))</f>
        <v>0</v>
      </c>
      <c r="CW48" s="2">
        <f>((IF((89='V06 Calend 01'!C48),('V06 Calend 01'!F48+'V06 Calend 01'!G48),0)+IF(AND(('V06 Calend 01'!E48&gt;0),(89&gt;'V06 Calend 01'!C48),(89&lt;'V06 Calend 01'!D48),(MOD((89-'V06 Calend 01'!C48),6)=0),(((89-'V06 Calend 01'!C48)/6)&lt;='V06 Calend 01'!E48)),IF((89=('V06 Calend 01'!C48+(6*'V06 Calend 01'!E48))),('V06 Calend 01'!H48-('V06 Calend 01'!I48*('V06 Calend 01'!E48-1))),'V06 Calend 01'!I48),0))+IF((89='V06 Calend 01'!D48),'V06 Calend 01'!J48,0))</f>
        <v>0</v>
      </c>
      <c r="CX48" s="2">
        <f>((IF((90='V06 Calend 01'!C48),('V06 Calend 01'!F48+'V06 Calend 01'!G48),0)+IF(AND(('V06 Calend 01'!E48&gt;0),(90&gt;'V06 Calend 01'!C48),(90&lt;'V06 Calend 01'!D48),(MOD((90-'V06 Calend 01'!C48),6)=0),(((90-'V06 Calend 01'!C48)/6)&lt;='V06 Calend 01'!E48)),IF((90=('V06 Calend 01'!C48+(6*'V06 Calend 01'!E48))),('V06 Calend 01'!H48-('V06 Calend 01'!I48*('V06 Calend 01'!E48-1))),'V06 Calend 01'!I48),0))+IF((90='V06 Calend 01'!D48),'V06 Calend 01'!J48,0))</f>
        <v>0</v>
      </c>
      <c r="CY48" s="2">
        <f>((IF((91='V06 Calend 01'!C48),('V06 Calend 01'!F48+'V06 Calend 01'!G48),0)+IF(AND(('V06 Calend 01'!E48&gt;0),(91&gt;'V06 Calend 01'!C48),(91&lt;'V06 Calend 01'!D48),(MOD((91-'V06 Calend 01'!C48),6)=0),(((91-'V06 Calend 01'!C48)/6)&lt;='V06 Calend 01'!E48)),IF((91=('V06 Calend 01'!C48+(6*'V06 Calend 01'!E48))),('V06 Calend 01'!H48-('V06 Calend 01'!I48*('V06 Calend 01'!E48-1))),'V06 Calend 01'!I48),0))+IF((91='V06 Calend 01'!D48),'V06 Calend 01'!J48,0))</f>
        <v>0</v>
      </c>
      <c r="CZ48" s="2">
        <f>((IF((92='V06 Calend 01'!C48),('V06 Calend 01'!F48+'V06 Calend 01'!G48),0)+IF(AND(('V06 Calend 01'!E48&gt;0),(92&gt;'V06 Calend 01'!C48),(92&lt;'V06 Calend 01'!D48),(MOD((92-'V06 Calend 01'!C48),6)=0),(((92-'V06 Calend 01'!C48)/6)&lt;='V06 Calend 01'!E48)),IF((92=('V06 Calend 01'!C48+(6*'V06 Calend 01'!E48))),('V06 Calend 01'!H48-('V06 Calend 01'!I48*('V06 Calend 01'!E48-1))),'V06 Calend 01'!I48),0))+IF((92='V06 Calend 01'!D48),'V06 Calend 01'!J48,0))</f>
        <v>0</v>
      </c>
      <c r="DA48" s="2">
        <f>((IF((93='V06 Calend 01'!C48),('V06 Calend 01'!F48+'V06 Calend 01'!G48),0)+IF(AND(('V06 Calend 01'!E48&gt;0),(93&gt;'V06 Calend 01'!C48),(93&lt;'V06 Calend 01'!D48),(MOD((93-'V06 Calend 01'!C48),6)=0),(((93-'V06 Calend 01'!C48)/6)&lt;='V06 Calend 01'!E48)),IF((93=('V06 Calend 01'!C48+(6*'V06 Calend 01'!E48))),('V06 Calend 01'!H48-('V06 Calend 01'!I48*('V06 Calend 01'!E48-1))),'V06 Calend 01'!I48),0))+IF((93='V06 Calend 01'!D48),'V06 Calend 01'!J48,0))</f>
        <v>0</v>
      </c>
      <c r="DB48" s="2">
        <f>((IF((94='V06 Calend 01'!C48),('V06 Calend 01'!F48+'V06 Calend 01'!G48),0)+IF(AND(('V06 Calend 01'!E48&gt;0),(94&gt;'V06 Calend 01'!C48),(94&lt;'V06 Calend 01'!D48),(MOD((94-'V06 Calend 01'!C48),6)=0),(((94-'V06 Calend 01'!C48)/6)&lt;='V06 Calend 01'!E48)),IF((94=('V06 Calend 01'!C48+(6*'V06 Calend 01'!E48))),('V06 Calend 01'!H48-('V06 Calend 01'!I48*('V06 Calend 01'!E48-1))),'V06 Calend 01'!I48),0))+IF((94='V06 Calend 01'!D48),'V06 Calend 01'!J48,0))</f>
        <v>0</v>
      </c>
      <c r="DC48" s="2">
        <f>((IF((95='V06 Calend 01'!C48),('V06 Calend 01'!F48+'V06 Calend 01'!G48),0)+IF(AND(('V06 Calend 01'!E48&gt;0),(95&gt;'V06 Calend 01'!C48),(95&lt;'V06 Calend 01'!D48),(MOD((95-'V06 Calend 01'!C48),6)=0),(((95-'V06 Calend 01'!C48)/6)&lt;='V06 Calend 01'!E48)),IF((95=('V06 Calend 01'!C48+(6*'V06 Calend 01'!E48))),('V06 Calend 01'!H48-('V06 Calend 01'!I48*('V06 Calend 01'!E48-1))),'V06 Calend 01'!I48),0))+IF((95='V06 Calend 01'!D48),'V06 Calend 01'!J48,0))</f>
        <v>0</v>
      </c>
      <c r="DD48" s="2">
        <f>((IF((96='V06 Calend 01'!C48),('V06 Calend 01'!F48+'V06 Calend 01'!G48),0)+IF(AND(('V06 Calend 01'!E48&gt;0),(96&gt;'V06 Calend 01'!C48),(96&lt;'V06 Calend 01'!D48),(MOD((96-'V06 Calend 01'!C48),6)=0),(((96-'V06 Calend 01'!C48)/6)&lt;='V06 Calend 01'!E48)),IF((96=('V06 Calend 01'!C48+(6*'V06 Calend 01'!E48))),('V06 Calend 01'!H48-('V06 Calend 01'!I48*('V06 Calend 01'!E48-1))),'V06 Calend 01'!I48),0))+IF((96='V06 Calend 01'!D48),'V06 Calend 01'!J48,0))</f>
        <v>0</v>
      </c>
      <c r="DE48" s="2">
        <f>((IF((97='V06 Calend 01'!C48),('V06 Calend 01'!F48+'V06 Calend 01'!G48),0)+IF(AND(('V06 Calend 01'!E48&gt;0),(97&gt;'V06 Calend 01'!C48),(97&lt;'V06 Calend 01'!D48),(MOD((97-'V06 Calend 01'!C48),6)=0),(((97-'V06 Calend 01'!C48)/6)&lt;='V06 Calend 01'!E48)),IF((97=('V06 Calend 01'!C48+(6*'V06 Calend 01'!E48))),('V06 Calend 01'!H48-('V06 Calend 01'!I48*('V06 Calend 01'!E48-1))),'V06 Calend 01'!I48),0))+IF((97='V06 Calend 01'!D48),'V06 Calend 01'!J48,0))</f>
        <v>0</v>
      </c>
      <c r="DF48" s="2">
        <f>((IF((98='V06 Calend 01'!C48),('V06 Calend 01'!F48+'V06 Calend 01'!G48),0)+IF(AND(('V06 Calend 01'!E48&gt;0),(98&gt;'V06 Calend 01'!C48),(98&lt;'V06 Calend 01'!D48),(MOD((98-'V06 Calend 01'!C48),6)=0),(((98-'V06 Calend 01'!C48)/6)&lt;='V06 Calend 01'!E48)),IF((98=('V06 Calend 01'!C48+(6*'V06 Calend 01'!E48))),('V06 Calend 01'!H48-('V06 Calend 01'!I48*('V06 Calend 01'!E48-1))),'V06 Calend 01'!I48),0))+IF((98='V06 Calend 01'!D48),'V06 Calend 01'!J48,0))</f>
        <v>0</v>
      </c>
      <c r="DG48" s="2">
        <f>((IF((99='V06 Calend 01'!C48),('V06 Calend 01'!F48+'V06 Calend 01'!G48),0)+IF(AND(('V06 Calend 01'!E48&gt;0),(99&gt;'V06 Calend 01'!C48),(99&lt;'V06 Calend 01'!D48),(MOD((99-'V06 Calend 01'!C48),6)=0),(((99-'V06 Calend 01'!C48)/6)&lt;='V06 Calend 01'!E48)),IF((99=('V06 Calend 01'!C48+(6*'V06 Calend 01'!E48))),('V06 Calend 01'!H48-('V06 Calend 01'!I48*('V06 Calend 01'!E48-1))),'V06 Calend 01'!I48),0))+IF((99='V06 Calend 01'!D48),'V06 Calend 01'!J48,0))</f>
        <v>0</v>
      </c>
      <c r="DH48" s="2">
        <f>((IF((100='V06 Calend 01'!C48),('V06 Calend 01'!F48+'V06 Calend 01'!G48),0)+IF(AND(('V06 Calend 01'!E48&gt;0),(100&gt;'V06 Calend 01'!C48),(100&lt;'V06 Calend 01'!D48),(MOD((100-'V06 Calend 01'!C48),6)=0),(((100-'V06 Calend 01'!C48)/6)&lt;='V06 Calend 01'!E48)),IF((100=('V06 Calend 01'!C48+(6*'V06 Calend 01'!E48))),('V06 Calend 01'!H48-('V06 Calend 01'!I48*('V06 Calend 01'!E48-1))),'V06 Calend 01'!I48),0))+IF((100='V06 Calend 01'!D48),'V06 Calend 01'!J48,0))</f>
        <v>0</v>
      </c>
      <c r="DI48" s="2">
        <f>((IF((101='V06 Calend 01'!C48),('V06 Calend 01'!F48+'V06 Calend 01'!G48),0)+IF(AND(('V06 Calend 01'!E48&gt;0),(101&gt;'V06 Calend 01'!C48),(101&lt;'V06 Calend 01'!D48),(MOD((101-'V06 Calend 01'!C48),6)=0),(((101-'V06 Calend 01'!C48)/6)&lt;='V06 Calend 01'!E48)),IF((101=('V06 Calend 01'!C48+(6*'V06 Calend 01'!E48))),('V06 Calend 01'!H48-('V06 Calend 01'!I48*('V06 Calend 01'!E48-1))),'V06 Calend 01'!I48),0))+IF((101='V06 Calend 01'!D48),'V06 Calend 01'!J48,0))</f>
        <v>0</v>
      </c>
      <c r="DJ48" s="2">
        <f>((IF((102='V06 Calend 01'!C48),('V06 Calend 01'!F48+'V06 Calend 01'!G48),0)+IF(AND(('V06 Calend 01'!E48&gt;0),(102&gt;'V06 Calend 01'!C48),(102&lt;'V06 Calend 01'!D48),(MOD((102-'V06 Calend 01'!C48),6)=0),(((102-'V06 Calend 01'!C48)/6)&lt;='V06 Calend 01'!E48)),IF((102=('V06 Calend 01'!C48+(6*'V06 Calend 01'!E48))),('V06 Calend 01'!H48-('V06 Calend 01'!I48*('V06 Calend 01'!E48-1))),'V06 Calend 01'!I48),0))+IF((102='V06 Calend 01'!D48),'V06 Calend 01'!J48,0))</f>
        <v>0</v>
      </c>
      <c r="DK48" s="2">
        <f>((IF((103='V06 Calend 01'!C48),('V06 Calend 01'!F48+'V06 Calend 01'!G48),0)+IF(AND(('V06 Calend 01'!E48&gt;0),(103&gt;'V06 Calend 01'!C48),(103&lt;'V06 Calend 01'!D48),(MOD((103-'V06 Calend 01'!C48),6)=0),(((103-'V06 Calend 01'!C48)/6)&lt;='V06 Calend 01'!E48)),IF((103=('V06 Calend 01'!C48+(6*'V06 Calend 01'!E48))),('V06 Calend 01'!H48-('V06 Calend 01'!I48*('V06 Calend 01'!E48-1))),'V06 Calend 01'!I48),0))+IF((103='V06 Calend 01'!D48),'V06 Calend 01'!J48,0))</f>
        <v>0</v>
      </c>
      <c r="DL48" s="2">
        <f>((IF((104='V06 Calend 01'!C48),('V06 Calend 01'!F48+'V06 Calend 01'!G48),0)+IF(AND(('V06 Calend 01'!E48&gt;0),(104&gt;'V06 Calend 01'!C48),(104&lt;'V06 Calend 01'!D48),(MOD((104-'V06 Calend 01'!C48),6)=0),(((104-'V06 Calend 01'!C48)/6)&lt;='V06 Calend 01'!E48)),IF((104=('V06 Calend 01'!C48+(6*'V06 Calend 01'!E48))),('V06 Calend 01'!H48-('V06 Calend 01'!I48*('V06 Calend 01'!E48-1))),'V06 Calend 01'!I48),0))+IF((104='V06 Calend 01'!D48),'V06 Calend 01'!J48,0))</f>
        <v>0</v>
      </c>
      <c r="DM48" s="2">
        <f>((IF((105='V06 Calend 01'!C48),('V06 Calend 01'!F48+'V06 Calend 01'!G48),0)+IF(AND(('V06 Calend 01'!E48&gt;0),(105&gt;'V06 Calend 01'!C48),(105&lt;'V06 Calend 01'!D48),(MOD((105-'V06 Calend 01'!C48),6)=0),(((105-'V06 Calend 01'!C48)/6)&lt;='V06 Calend 01'!E48)),IF((105=('V06 Calend 01'!C48+(6*'V06 Calend 01'!E48))),('V06 Calend 01'!H48-('V06 Calend 01'!I48*('V06 Calend 01'!E48-1))),'V06 Calend 01'!I48),0))+IF((105='V06 Calend 01'!D48),'V06 Calend 01'!J48,0))</f>
        <v>0</v>
      </c>
      <c r="DN48" s="2">
        <f>((IF((106='V06 Calend 01'!C48),('V06 Calend 01'!F48+'V06 Calend 01'!G48),0)+IF(AND(('V06 Calend 01'!E48&gt;0),(106&gt;'V06 Calend 01'!C48),(106&lt;'V06 Calend 01'!D48),(MOD((106-'V06 Calend 01'!C48),6)=0),(((106-'V06 Calend 01'!C48)/6)&lt;='V06 Calend 01'!E48)),IF((106=('V06 Calend 01'!C48+(6*'V06 Calend 01'!E48))),('V06 Calend 01'!H48-('V06 Calend 01'!I48*('V06 Calend 01'!E48-1))),'V06 Calend 01'!I48),0))+IF((106='V06 Calend 01'!D48),'V06 Calend 01'!J48,0))</f>
        <v>0</v>
      </c>
      <c r="DO48" s="2">
        <f>((IF((107='V06 Calend 01'!C48),('V06 Calend 01'!F48+'V06 Calend 01'!G48),0)+IF(AND(('V06 Calend 01'!E48&gt;0),(107&gt;'V06 Calend 01'!C48),(107&lt;'V06 Calend 01'!D48),(MOD((107-'V06 Calend 01'!C48),6)=0),(((107-'V06 Calend 01'!C48)/6)&lt;='V06 Calend 01'!E48)),IF((107=('V06 Calend 01'!C48+(6*'V06 Calend 01'!E48))),('V06 Calend 01'!H48-('V06 Calend 01'!I48*('V06 Calend 01'!E48-1))),'V06 Calend 01'!I48),0))+IF((107='V06 Calend 01'!D48),'V06 Calend 01'!J48,0))</f>
        <v>0</v>
      </c>
      <c r="DP48" s="2">
        <f>((IF((108='V06 Calend 01'!C48),('V06 Calend 01'!F48+'V06 Calend 01'!G48),0)+IF(AND(('V06 Calend 01'!E48&gt;0),(108&gt;'V06 Calend 01'!C48),(108&lt;'V06 Calend 01'!D48),(MOD((108-'V06 Calend 01'!C48),6)=0),(((108-'V06 Calend 01'!C48)/6)&lt;='V06 Calend 01'!E48)),IF((108=('V06 Calend 01'!C48+(6*'V06 Calend 01'!E48))),('V06 Calend 01'!H48-('V06 Calend 01'!I48*('V06 Calend 01'!E48-1))),'V06 Calend 01'!I48),0))+IF((108='V06 Calend 01'!D48),'V06 Calend 01'!J48,0))</f>
        <v>0</v>
      </c>
      <c r="DQ48" s="2">
        <f>((IF((109='V06 Calend 01'!C48),('V06 Calend 01'!F48+'V06 Calend 01'!G48),0)+IF(AND(('V06 Calend 01'!E48&gt;0),(109&gt;'V06 Calend 01'!C48),(109&lt;'V06 Calend 01'!D48),(MOD((109-'V06 Calend 01'!C48),6)=0),(((109-'V06 Calend 01'!C48)/6)&lt;='V06 Calend 01'!E48)),IF((109=('V06 Calend 01'!C48+(6*'V06 Calend 01'!E48))),('V06 Calend 01'!H48-('V06 Calend 01'!I48*('V06 Calend 01'!E48-1))),'V06 Calend 01'!I48),0))+IF((109='V06 Calend 01'!D48),'V06 Calend 01'!J48,0))</f>
        <v>0</v>
      </c>
      <c r="DR48" s="2">
        <f>((IF((110='V06 Calend 01'!C48),('V06 Calend 01'!F48+'V06 Calend 01'!G48),0)+IF(AND(('V06 Calend 01'!E48&gt;0),(110&gt;'V06 Calend 01'!C48),(110&lt;'V06 Calend 01'!D48),(MOD((110-'V06 Calend 01'!C48),6)=0),(((110-'V06 Calend 01'!C48)/6)&lt;='V06 Calend 01'!E48)),IF((110=('V06 Calend 01'!C48+(6*'V06 Calend 01'!E48))),('V06 Calend 01'!H48-('V06 Calend 01'!I48*('V06 Calend 01'!E48-1))),'V06 Calend 01'!I48),0))+IF((110='V06 Calend 01'!D48),'V06 Calend 01'!J48,0))</f>
        <v>0</v>
      </c>
      <c r="DS48" s="2">
        <f>((IF((111='V06 Calend 01'!C48),('V06 Calend 01'!F48+'V06 Calend 01'!G48),0)+IF(AND(('V06 Calend 01'!E48&gt;0),(111&gt;'V06 Calend 01'!C48),(111&lt;'V06 Calend 01'!D48),(MOD((111-'V06 Calend 01'!C48),6)=0),(((111-'V06 Calend 01'!C48)/6)&lt;='V06 Calend 01'!E48)),IF((111=('V06 Calend 01'!C48+(6*'V06 Calend 01'!E48))),('V06 Calend 01'!H48-('V06 Calend 01'!I48*('V06 Calend 01'!E48-1))),'V06 Calend 01'!I48),0))+IF((111='V06 Calend 01'!D48),'V06 Calend 01'!J48,0))</f>
        <v>0</v>
      </c>
      <c r="DT48" s="2">
        <f>((IF((112='V06 Calend 01'!C48),('V06 Calend 01'!F48+'V06 Calend 01'!G48),0)+IF(AND(('V06 Calend 01'!E48&gt;0),(112&gt;'V06 Calend 01'!C48),(112&lt;'V06 Calend 01'!D48),(MOD((112-'V06 Calend 01'!C48),6)=0),(((112-'V06 Calend 01'!C48)/6)&lt;='V06 Calend 01'!E48)),IF((112=('V06 Calend 01'!C48+(6*'V06 Calend 01'!E48))),('V06 Calend 01'!H48-('V06 Calend 01'!I48*('V06 Calend 01'!E48-1))),'V06 Calend 01'!I48),0))+IF((112='V06 Calend 01'!D48),'V06 Calend 01'!J48,0))</f>
        <v>0</v>
      </c>
      <c r="DU48" s="2">
        <f>((IF((113='V06 Calend 01'!C48),('V06 Calend 01'!F48+'V06 Calend 01'!G48),0)+IF(AND(('V06 Calend 01'!E48&gt;0),(113&gt;'V06 Calend 01'!C48),(113&lt;'V06 Calend 01'!D48),(MOD((113-'V06 Calend 01'!C48),6)=0),(((113-'V06 Calend 01'!C48)/6)&lt;='V06 Calend 01'!E48)),IF((113=('V06 Calend 01'!C48+(6*'V06 Calend 01'!E48))),('V06 Calend 01'!H48-('V06 Calend 01'!I48*('V06 Calend 01'!E48-1))),'V06 Calend 01'!I48),0))+IF((113='V06 Calend 01'!D48),'V06 Calend 01'!J48,0))</f>
        <v>0</v>
      </c>
      <c r="DV48" s="2">
        <f>((IF((114='V06 Calend 01'!C48),('V06 Calend 01'!F48+'V06 Calend 01'!G48),0)+IF(AND(('V06 Calend 01'!E48&gt;0),(114&gt;'V06 Calend 01'!C48),(114&lt;'V06 Calend 01'!D48),(MOD((114-'V06 Calend 01'!C48),6)=0),(((114-'V06 Calend 01'!C48)/6)&lt;='V06 Calend 01'!E48)),IF((114=('V06 Calend 01'!C48+(6*'V06 Calend 01'!E48))),('V06 Calend 01'!H48-('V06 Calend 01'!I48*('V06 Calend 01'!E48-1))),'V06 Calend 01'!I48),0))+IF((114='V06 Calend 01'!D48),'V06 Calend 01'!J48,0))</f>
        <v>0</v>
      </c>
      <c r="DW48" s="2">
        <f>((IF((115='V06 Calend 01'!C48),('V06 Calend 01'!F48+'V06 Calend 01'!G48),0)+IF(AND(('V06 Calend 01'!E48&gt;0),(115&gt;'V06 Calend 01'!C48),(115&lt;'V06 Calend 01'!D48),(MOD((115-'V06 Calend 01'!C48),6)=0),(((115-'V06 Calend 01'!C48)/6)&lt;='V06 Calend 01'!E48)),IF((115=('V06 Calend 01'!C48+(6*'V06 Calend 01'!E48))),('V06 Calend 01'!H48-('V06 Calend 01'!I48*('V06 Calend 01'!E48-1))),'V06 Calend 01'!I48),0))+IF((115='V06 Calend 01'!D48),'V06 Calend 01'!J48,0))</f>
        <v>0</v>
      </c>
      <c r="DX48" s="2">
        <f>((IF((116='V06 Calend 01'!C48),('V06 Calend 01'!F48+'V06 Calend 01'!G48),0)+IF(AND(('V06 Calend 01'!E48&gt;0),(116&gt;'V06 Calend 01'!C48),(116&lt;'V06 Calend 01'!D48),(MOD((116-'V06 Calend 01'!C48),6)=0),(((116-'V06 Calend 01'!C48)/6)&lt;='V06 Calend 01'!E48)),IF((116=('V06 Calend 01'!C48+(6*'V06 Calend 01'!E48))),('V06 Calend 01'!H48-('V06 Calend 01'!I48*('V06 Calend 01'!E48-1))),'V06 Calend 01'!I48),0))+IF((116='V06 Calend 01'!D48),'V06 Calend 01'!J48,0))</f>
        <v>0</v>
      </c>
      <c r="DY48" s="2">
        <f>((IF((117='V06 Calend 01'!C48),('V06 Calend 01'!F48+'V06 Calend 01'!G48),0)+IF(AND(('V06 Calend 01'!E48&gt;0),(117&gt;'V06 Calend 01'!C48),(117&lt;'V06 Calend 01'!D48),(MOD((117-'V06 Calend 01'!C48),6)=0),(((117-'V06 Calend 01'!C48)/6)&lt;='V06 Calend 01'!E48)),IF((117=('V06 Calend 01'!C48+(6*'V06 Calend 01'!E48))),('V06 Calend 01'!H48-('V06 Calend 01'!I48*('V06 Calend 01'!E48-1))),'V06 Calend 01'!I48),0))+IF((117='V06 Calend 01'!D48),'V06 Calend 01'!J48,0))</f>
        <v>0</v>
      </c>
      <c r="DZ48" s="2">
        <f>((IF((118='V06 Calend 01'!C48),('V06 Calend 01'!F48+'V06 Calend 01'!G48),0)+IF(AND(('V06 Calend 01'!E48&gt;0),(118&gt;'V06 Calend 01'!C48),(118&lt;'V06 Calend 01'!D48),(MOD((118-'V06 Calend 01'!C48),6)=0),(((118-'V06 Calend 01'!C48)/6)&lt;='V06 Calend 01'!E48)),IF((118=('V06 Calend 01'!C48+(6*'V06 Calend 01'!E48))),('V06 Calend 01'!H48-('V06 Calend 01'!I48*('V06 Calend 01'!E48-1))),'V06 Calend 01'!I48),0))+IF((118='V06 Calend 01'!D48),'V06 Calend 01'!J48,0))</f>
        <v>0</v>
      </c>
      <c r="EA48" s="2">
        <f>((IF((119='V06 Calend 01'!C48),('V06 Calend 01'!F48+'V06 Calend 01'!G48),0)+IF(AND(('V06 Calend 01'!E48&gt;0),(119&gt;'V06 Calend 01'!C48),(119&lt;'V06 Calend 01'!D48),(MOD((119-'V06 Calend 01'!C48),6)=0),(((119-'V06 Calend 01'!C48)/6)&lt;='V06 Calend 01'!E48)),IF((119=('V06 Calend 01'!C48+(6*'V06 Calend 01'!E48))),('V06 Calend 01'!H48-('V06 Calend 01'!I48*('V06 Calend 01'!E48-1))),'V06 Calend 01'!I48),0))+IF((119='V06 Calend 01'!D48),'V06 Calend 01'!J48,0))</f>
        <v>0</v>
      </c>
      <c r="EB48" s="2">
        <f>((IF((120='V06 Calend 01'!C48),('V06 Calend 01'!F48+'V06 Calend 01'!G48),0)+IF(AND(('V06 Calend 01'!E48&gt;0),(120&gt;'V06 Calend 01'!C48),(120&lt;'V06 Calend 01'!D48),(MOD((120-'V06 Calend 01'!C48),6)=0),(((120-'V06 Calend 01'!C48)/6)&lt;='V06 Calend 01'!E48)),IF((120=('V06 Calend 01'!C48+(6*'V06 Calend 01'!E48))),('V06 Calend 01'!H48-('V06 Calend 01'!I48*('V06 Calend 01'!E48-1))),'V06 Calend 01'!I48),0))+IF((120='V06 Calend 01'!D48),'V06 Calend 01'!J48,0))</f>
        <v>0</v>
      </c>
      <c r="EC48" s="2">
        <f>((IF((121='V06 Calend 01'!C48),('V06 Calend 01'!F48+'V06 Calend 01'!G48),0)+IF(AND(('V06 Calend 01'!E48&gt;0),(121&gt;'V06 Calend 01'!C48),(121&lt;'V06 Calend 01'!D48),(MOD((121-'V06 Calend 01'!C48),6)=0),(((121-'V06 Calend 01'!C48)/6)&lt;='V06 Calend 01'!E48)),IF((121=('V06 Calend 01'!C48+(6*'V06 Calend 01'!E48))),('V06 Calend 01'!H48-('V06 Calend 01'!I48*('V06 Calend 01'!E48-1))),'V06 Calend 01'!I48),0))+IF((121='V06 Calend 01'!D48),'V06 Calend 01'!J48,0))</f>
        <v>0</v>
      </c>
      <c r="ED48" s="2">
        <f>((IF((122='V06 Calend 01'!C48),('V06 Calend 01'!F48+'V06 Calend 01'!G48),0)+IF(AND(('V06 Calend 01'!E48&gt;0),(122&gt;'V06 Calend 01'!C48),(122&lt;'V06 Calend 01'!D48),(MOD((122-'V06 Calend 01'!C48),6)=0),(((122-'V06 Calend 01'!C48)/6)&lt;='V06 Calend 01'!E48)),IF((122=('V06 Calend 01'!C48+(6*'V06 Calend 01'!E48))),('V06 Calend 01'!H48-('V06 Calend 01'!I48*('V06 Calend 01'!E48-1))),'V06 Calend 01'!I48),0))+IF((122='V06 Calend 01'!D48),'V06 Calend 01'!J48,0))</f>
        <v>0</v>
      </c>
      <c r="EE48" s="2">
        <f>((IF((123='V06 Calend 01'!C48),('V06 Calend 01'!F48+'V06 Calend 01'!G48),0)+IF(AND(('V06 Calend 01'!E48&gt;0),(123&gt;'V06 Calend 01'!C48),(123&lt;'V06 Calend 01'!D48),(MOD((123-'V06 Calend 01'!C48),6)=0),(((123-'V06 Calend 01'!C48)/6)&lt;='V06 Calend 01'!E48)),IF((123=('V06 Calend 01'!C48+(6*'V06 Calend 01'!E48))),('V06 Calend 01'!H48-('V06 Calend 01'!I48*('V06 Calend 01'!E48-1))),'V06 Calend 01'!I48),0))+IF((123='V06 Calend 01'!D48),'V06 Calend 01'!J48,0))</f>
        <v>0</v>
      </c>
      <c r="EF48" s="2">
        <f>((IF((124='V06 Calend 01'!C48),('V06 Calend 01'!F48+'V06 Calend 01'!G48),0)+IF(AND(('V06 Calend 01'!E48&gt;0),(124&gt;'V06 Calend 01'!C48),(124&lt;'V06 Calend 01'!D48),(MOD((124-'V06 Calend 01'!C48),6)=0),(((124-'V06 Calend 01'!C48)/6)&lt;='V06 Calend 01'!E48)),IF((124=('V06 Calend 01'!C48+(6*'V06 Calend 01'!E48))),('V06 Calend 01'!H48-('V06 Calend 01'!I48*('V06 Calend 01'!E48-1))),'V06 Calend 01'!I48),0))+IF((124='V06 Calend 01'!D48),'V06 Calend 01'!J48,0))</f>
        <v>0</v>
      </c>
      <c r="EG48" s="2">
        <f>((IF((125='V06 Calend 01'!C48),('V06 Calend 01'!F48+'V06 Calend 01'!G48),0)+IF(AND(('V06 Calend 01'!E48&gt;0),(125&gt;'V06 Calend 01'!C48),(125&lt;'V06 Calend 01'!D48),(MOD((125-'V06 Calend 01'!C48),6)=0),(((125-'V06 Calend 01'!C48)/6)&lt;='V06 Calend 01'!E48)),IF((125=('V06 Calend 01'!C48+(6*'V06 Calend 01'!E48))),('V06 Calend 01'!H48-('V06 Calend 01'!I48*('V06 Calend 01'!E48-1))),'V06 Calend 01'!I48),0))+IF((125='V06 Calend 01'!D48),'V06 Calend 01'!J48,0))</f>
        <v>0</v>
      </c>
      <c r="EH48" s="2">
        <f>((IF((126='V06 Calend 01'!C48),('V06 Calend 01'!F48+'V06 Calend 01'!G48),0)+IF(AND(('V06 Calend 01'!E48&gt;0),(126&gt;'V06 Calend 01'!C48),(126&lt;'V06 Calend 01'!D48),(MOD((126-'V06 Calend 01'!C48),6)=0),(((126-'V06 Calend 01'!C48)/6)&lt;='V06 Calend 01'!E48)),IF((126=('V06 Calend 01'!C48+(6*'V06 Calend 01'!E48))),('V06 Calend 01'!H48-('V06 Calend 01'!I48*('V06 Calend 01'!E48-1))),'V06 Calend 01'!I48),0))+IF((126='V06 Calend 01'!D48),'V06 Calend 01'!J48,0))</f>
        <v>0</v>
      </c>
      <c r="EI48" s="2">
        <f>((IF((127='V06 Calend 01'!C48),('V06 Calend 01'!F48+'V06 Calend 01'!G48),0)+IF(AND(('V06 Calend 01'!E48&gt;0),(127&gt;'V06 Calend 01'!C48),(127&lt;'V06 Calend 01'!D48),(MOD((127-'V06 Calend 01'!C48),6)=0),(((127-'V06 Calend 01'!C48)/6)&lt;='V06 Calend 01'!E48)),IF((127=('V06 Calend 01'!C48+(6*'V06 Calend 01'!E48))),('V06 Calend 01'!H48-('V06 Calend 01'!I48*('V06 Calend 01'!E48-1))),'V06 Calend 01'!I48),0))+IF((127='V06 Calend 01'!D48),'V06 Calend 01'!J48,0))</f>
        <v>0</v>
      </c>
      <c r="EJ48" s="2">
        <f>((IF((128='V06 Calend 01'!C48),('V06 Calend 01'!F48+'V06 Calend 01'!G48),0)+IF(AND(('V06 Calend 01'!E48&gt;0),(128&gt;'V06 Calend 01'!C48),(128&lt;'V06 Calend 01'!D48),(MOD((128-'V06 Calend 01'!C48),6)=0),(((128-'V06 Calend 01'!C48)/6)&lt;='V06 Calend 01'!E48)),IF((128=('V06 Calend 01'!C48+(6*'V06 Calend 01'!E48))),('V06 Calend 01'!H48-('V06 Calend 01'!I48*('V06 Calend 01'!E48-1))),'V06 Calend 01'!I48),0))+IF((128='V06 Calend 01'!D48),'V06 Calend 01'!J48,0))</f>
        <v>0</v>
      </c>
      <c r="EK48" s="2">
        <f>((IF((129='V06 Calend 01'!C48),('V06 Calend 01'!F48+'V06 Calend 01'!G48),0)+IF(AND(('V06 Calend 01'!E48&gt;0),(129&gt;'V06 Calend 01'!C48),(129&lt;'V06 Calend 01'!D48),(MOD((129-'V06 Calend 01'!C48),6)=0),(((129-'V06 Calend 01'!C48)/6)&lt;='V06 Calend 01'!E48)),IF((129=('V06 Calend 01'!C48+(6*'V06 Calend 01'!E48))),('V06 Calend 01'!H48-('V06 Calend 01'!I48*('V06 Calend 01'!E48-1))),'V06 Calend 01'!I48),0))+IF((129='V06 Calend 01'!D48),'V06 Calend 01'!J48,0))</f>
        <v>0</v>
      </c>
      <c r="EL48" s="2">
        <f>((IF((130='V06 Calend 01'!C48),('V06 Calend 01'!F48+'V06 Calend 01'!G48),0)+IF(AND(('V06 Calend 01'!E48&gt;0),(130&gt;'V06 Calend 01'!C48),(130&lt;'V06 Calend 01'!D48),(MOD((130-'V06 Calend 01'!C48),6)=0),(((130-'V06 Calend 01'!C48)/6)&lt;='V06 Calend 01'!E48)),IF((130=('V06 Calend 01'!C48+(6*'V06 Calend 01'!E48))),('V06 Calend 01'!H48-('V06 Calend 01'!I48*('V06 Calend 01'!E48-1))),'V06 Calend 01'!I48),0))+IF((130='V06 Calend 01'!D48),'V06 Calend 01'!J48,0))</f>
        <v>0</v>
      </c>
      <c r="EM48" s="2">
        <f>((IF((131='V06 Calend 01'!C48),('V06 Calend 01'!F48+'V06 Calend 01'!G48),0)+IF(AND(('V06 Calend 01'!E48&gt;0),(131&gt;'V06 Calend 01'!C48),(131&lt;'V06 Calend 01'!D48),(MOD((131-'V06 Calend 01'!C48),6)=0),(((131-'V06 Calend 01'!C48)/6)&lt;='V06 Calend 01'!E48)),IF((131=('V06 Calend 01'!C48+(6*'V06 Calend 01'!E48))),('V06 Calend 01'!H48-('V06 Calend 01'!I48*('V06 Calend 01'!E48-1))),'V06 Calend 01'!I48),0))+IF((131='V06 Calend 01'!D48),'V06 Calend 01'!J48,0))</f>
        <v>0</v>
      </c>
      <c r="EN48" s="2">
        <f>((IF((132='V06 Calend 01'!C48),('V06 Calend 01'!F48+'V06 Calend 01'!G48),0)+IF(AND(('V06 Calend 01'!E48&gt;0),(132&gt;'V06 Calend 01'!C48),(132&lt;'V06 Calend 01'!D48),(MOD((132-'V06 Calend 01'!C48),6)=0),(((132-'V06 Calend 01'!C48)/6)&lt;='V06 Calend 01'!E48)),IF((132=('V06 Calend 01'!C48+(6*'V06 Calend 01'!E48))),('V06 Calend 01'!H48-('V06 Calend 01'!I48*('V06 Calend 01'!E48-1))),'V06 Calend 01'!I48),0))+IF((132='V06 Calend 01'!D48),'V06 Calend 01'!J48,0))</f>
        <v>0</v>
      </c>
      <c r="EO48" s="2">
        <f>((IF((133='V06 Calend 01'!C48),('V06 Calend 01'!F48+'V06 Calend 01'!G48),0)+IF(AND(('V06 Calend 01'!E48&gt;0),(133&gt;'V06 Calend 01'!C48),(133&lt;'V06 Calend 01'!D48),(MOD((133-'V06 Calend 01'!C48),6)=0),(((133-'V06 Calend 01'!C48)/6)&lt;='V06 Calend 01'!E48)),IF((133=('V06 Calend 01'!C48+(6*'V06 Calend 01'!E48))),('V06 Calend 01'!H48-('V06 Calend 01'!I48*('V06 Calend 01'!E48-1))),'V06 Calend 01'!I48),0))+IF((133='V06 Calend 01'!D48),'V06 Calend 01'!J48,0))</f>
        <v>0</v>
      </c>
      <c r="EP48" s="2">
        <f>((IF((134='V06 Calend 01'!C48),('V06 Calend 01'!F48+'V06 Calend 01'!G48),0)+IF(AND(('V06 Calend 01'!E48&gt;0),(134&gt;'V06 Calend 01'!C48),(134&lt;'V06 Calend 01'!D48),(MOD((134-'V06 Calend 01'!C48),6)=0),(((134-'V06 Calend 01'!C48)/6)&lt;='V06 Calend 01'!E48)),IF((134=('V06 Calend 01'!C48+(6*'V06 Calend 01'!E48))),('V06 Calend 01'!H48-('V06 Calend 01'!I48*('V06 Calend 01'!E48-1))),'V06 Calend 01'!I48),0))+IF((134='V06 Calend 01'!D48),'V06 Calend 01'!J48,0))</f>
        <v>0</v>
      </c>
      <c r="EQ48" s="2">
        <f>((IF((135='V06 Calend 01'!C48),('V06 Calend 01'!F48+'V06 Calend 01'!G48),0)+IF(AND(('V06 Calend 01'!E48&gt;0),(135&gt;'V06 Calend 01'!C48),(135&lt;'V06 Calend 01'!D48),(MOD((135-'V06 Calend 01'!C48),6)=0),(((135-'V06 Calend 01'!C48)/6)&lt;='V06 Calend 01'!E48)),IF((135=('V06 Calend 01'!C48+(6*'V06 Calend 01'!E48))),('V06 Calend 01'!H48-('V06 Calend 01'!I48*('V06 Calend 01'!E48-1))),'V06 Calend 01'!I48),0))+IF((135='V06 Calend 01'!D48),'V06 Calend 01'!J48,0))</f>
        <v>0</v>
      </c>
      <c r="ER48" s="2">
        <f>((IF((136='V06 Calend 01'!C48),('V06 Calend 01'!F48+'V06 Calend 01'!G48),0)+IF(AND(('V06 Calend 01'!E48&gt;0),(136&gt;'V06 Calend 01'!C48),(136&lt;'V06 Calend 01'!D48),(MOD((136-'V06 Calend 01'!C48),6)=0),(((136-'V06 Calend 01'!C48)/6)&lt;='V06 Calend 01'!E48)),IF((136=('V06 Calend 01'!C48+(6*'V06 Calend 01'!E48))),('V06 Calend 01'!H48-('V06 Calend 01'!I48*('V06 Calend 01'!E48-1))),'V06 Calend 01'!I48),0))+IF((136='V06 Calend 01'!D48),'V06 Calend 01'!J48,0))</f>
        <v>0</v>
      </c>
      <c r="ES48" s="2">
        <f>((IF((137='V06 Calend 01'!C48),('V06 Calend 01'!F48+'V06 Calend 01'!G48),0)+IF(AND(('V06 Calend 01'!E48&gt;0),(137&gt;'V06 Calend 01'!C48),(137&lt;'V06 Calend 01'!D48),(MOD((137-'V06 Calend 01'!C48),6)=0),(((137-'V06 Calend 01'!C48)/6)&lt;='V06 Calend 01'!E48)),IF((137=('V06 Calend 01'!C48+(6*'V06 Calend 01'!E48))),('V06 Calend 01'!H48-('V06 Calend 01'!I48*('V06 Calend 01'!E48-1))),'V06 Calend 01'!I48),0))+IF((137='V06 Calend 01'!D48),'V06 Calend 01'!J48,0))</f>
        <v>0</v>
      </c>
      <c r="ET48" s="2">
        <f>((IF((138='V06 Calend 01'!C48),('V06 Calend 01'!F48+'V06 Calend 01'!G48),0)+IF(AND(('V06 Calend 01'!E48&gt;0),(138&gt;'V06 Calend 01'!C48),(138&lt;'V06 Calend 01'!D48),(MOD((138-'V06 Calend 01'!C48),6)=0),(((138-'V06 Calend 01'!C48)/6)&lt;='V06 Calend 01'!E48)),IF((138=('V06 Calend 01'!C48+(6*'V06 Calend 01'!E48))),('V06 Calend 01'!H48-('V06 Calend 01'!I48*('V06 Calend 01'!E48-1))),'V06 Calend 01'!I48),0))+IF((138='V06 Calend 01'!D48),'V06 Calend 01'!J48,0))</f>
        <v>0</v>
      </c>
      <c r="EU48" s="2">
        <f>((IF((139='V06 Calend 01'!C48),('V06 Calend 01'!F48+'V06 Calend 01'!G48),0)+IF(AND(('V06 Calend 01'!E48&gt;0),(139&gt;'V06 Calend 01'!C48),(139&lt;'V06 Calend 01'!D48),(MOD((139-'V06 Calend 01'!C48),6)=0),(((139-'V06 Calend 01'!C48)/6)&lt;='V06 Calend 01'!E48)),IF((139=('V06 Calend 01'!C48+(6*'V06 Calend 01'!E48))),('V06 Calend 01'!H48-('V06 Calend 01'!I48*('V06 Calend 01'!E48-1))),'V06 Calend 01'!I48),0))+IF((139='V06 Calend 01'!D48),'V06 Calend 01'!J48,0))</f>
        <v>0</v>
      </c>
      <c r="EV48" s="2">
        <f>((IF((140='V06 Calend 01'!C48),('V06 Calend 01'!F48+'V06 Calend 01'!G48),0)+IF(AND(('V06 Calend 01'!E48&gt;0),(140&gt;'V06 Calend 01'!C48),(140&lt;'V06 Calend 01'!D48),(MOD((140-'V06 Calend 01'!C48),6)=0),(((140-'V06 Calend 01'!C48)/6)&lt;='V06 Calend 01'!E48)),IF((140=('V06 Calend 01'!C48+(6*'V06 Calend 01'!E48))),('V06 Calend 01'!H48-('V06 Calend 01'!I48*('V06 Calend 01'!E48-1))),'V06 Calend 01'!I48),0))+IF((140='V06 Calend 01'!D48),'V06 Calend 01'!J48,0))</f>
        <v>0</v>
      </c>
      <c r="EW48" s="2">
        <f>((IF((141='V06 Calend 01'!C48),('V06 Calend 01'!F48+'V06 Calend 01'!G48),0)+IF(AND(('V06 Calend 01'!E48&gt;0),(141&gt;'V06 Calend 01'!C48),(141&lt;'V06 Calend 01'!D48),(MOD((141-'V06 Calend 01'!C48),6)=0),(((141-'V06 Calend 01'!C48)/6)&lt;='V06 Calend 01'!E48)),IF((141=('V06 Calend 01'!C48+(6*'V06 Calend 01'!E48))),('V06 Calend 01'!H48-('V06 Calend 01'!I48*('V06 Calend 01'!E48-1))),'V06 Calend 01'!I48),0))+IF((141='V06 Calend 01'!D48),'V06 Calend 01'!J48,0))</f>
        <v>0</v>
      </c>
      <c r="EX48" s="2">
        <f>((IF((142='V06 Calend 01'!C48),('V06 Calend 01'!F48+'V06 Calend 01'!G48),0)+IF(AND(('V06 Calend 01'!E48&gt;0),(142&gt;'V06 Calend 01'!C48),(142&lt;'V06 Calend 01'!D48),(MOD((142-'V06 Calend 01'!C48),6)=0),(((142-'V06 Calend 01'!C48)/6)&lt;='V06 Calend 01'!E48)),IF((142=('V06 Calend 01'!C48+(6*'V06 Calend 01'!E48))),('V06 Calend 01'!H48-('V06 Calend 01'!I48*('V06 Calend 01'!E48-1))),'V06 Calend 01'!I48),0))+IF((142='V06 Calend 01'!D48),'V06 Calend 01'!J48,0))</f>
        <v>0</v>
      </c>
      <c r="EY48" s="2">
        <f>((IF((143='V06 Calend 01'!C48),('V06 Calend 01'!F48+'V06 Calend 01'!G48),0)+IF(AND(('V06 Calend 01'!E48&gt;0),(143&gt;'V06 Calend 01'!C48),(143&lt;'V06 Calend 01'!D48),(MOD((143-'V06 Calend 01'!C48),6)=0),(((143-'V06 Calend 01'!C48)/6)&lt;='V06 Calend 01'!E48)),IF((143=('V06 Calend 01'!C48+(6*'V06 Calend 01'!E48))),('V06 Calend 01'!H48-('V06 Calend 01'!I48*('V06 Calend 01'!E48-1))),'V06 Calend 01'!I48),0))+IF((143='V06 Calend 01'!D48),'V06 Calend 01'!J48,0))</f>
        <v>0</v>
      </c>
      <c r="EZ48" s="2">
        <f>((IF((144='V06 Calend 01'!C48),('V06 Calend 01'!F48+'V06 Calend 01'!G48),0)+IF(AND(('V06 Calend 01'!E48&gt;0),(144&gt;'V06 Calend 01'!C48),(144&lt;'V06 Calend 01'!D48),(MOD((144-'V06 Calend 01'!C48),6)=0),(((144-'V06 Calend 01'!C48)/6)&lt;='V06 Calend 01'!E48)),IF((144=('V06 Calend 01'!C48+(6*'V06 Calend 01'!E48))),('V06 Calend 01'!H48-('V06 Calend 01'!I48*('V06 Calend 01'!E48-1))),'V06 Calend 01'!I48),0))+IF((144='V06 Calend 01'!D48),'V06 Calend 01'!J48,0))</f>
        <v>0</v>
      </c>
      <c r="FA48" s="2">
        <f>((IF((145='V06 Calend 01'!C48),('V06 Calend 01'!F48+'V06 Calend 01'!G48),0)+IF(AND(('V06 Calend 01'!E48&gt;0),(145&gt;'V06 Calend 01'!C48),(145&lt;'V06 Calend 01'!D48),(MOD((145-'V06 Calend 01'!C48),6)=0),(((145-'V06 Calend 01'!C48)/6)&lt;='V06 Calend 01'!E48)),IF((145=('V06 Calend 01'!C48+(6*'V06 Calend 01'!E48))),('V06 Calend 01'!H48-('V06 Calend 01'!I48*('V06 Calend 01'!E48-1))),'V06 Calend 01'!I48),0))+IF((145='V06 Calend 01'!D48),'V06 Calend 01'!J48,0))</f>
        <v>0</v>
      </c>
      <c r="FB48" s="2">
        <f>((IF((146='V06 Calend 01'!C48),('V06 Calend 01'!F48+'V06 Calend 01'!G48),0)+IF(AND(('V06 Calend 01'!E48&gt;0),(146&gt;'V06 Calend 01'!C48),(146&lt;'V06 Calend 01'!D48),(MOD((146-'V06 Calend 01'!C48),6)=0),(((146-'V06 Calend 01'!C48)/6)&lt;='V06 Calend 01'!E48)),IF((146=('V06 Calend 01'!C48+(6*'V06 Calend 01'!E48))),('V06 Calend 01'!H48-('V06 Calend 01'!I48*('V06 Calend 01'!E48-1))),'V06 Calend 01'!I48),0))+IF((146='V06 Calend 01'!D48),'V06 Calend 01'!J48,0))</f>
        <v>0</v>
      </c>
      <c r="FC48" s="2">
        <f>((IF((147='V06 Calend 01'!C48),('V06 Calend 01'!F48+'V06 Calend 01'!G48),0)+IF(AND(('V06 Calend 01'!E48&gt;0),(147&gt;'V06 Calend 01'!C48),(147&lt;'V06 Calend 01'!D48),(MOD((147-'V06 Calend 01'!C48),6)=0),(((147-'V06 Calend 01'!C48)/6)&lt;='V06 Calend 01'!E48)),IF((147=('V06 Calend 01'!C48+(6*'V06 Calend 01'!E48))),('V06 Calend 01'!H48-('V06 Calend 01'!I48*('V06 Calend 01'!E48-1))),'V06 Calend 01'!I48),0))+IF((147='V06 Calend 01'!D48),'V06 Calend 01'!J48,0))</f>
        <v>0</v>
      </c>
      <c r="FD48" s="2">
        <f>((IF((148='V06 Calend 01'!C48),('V06 Calend 01'!F48+'V06 Calend 01'!G48),0)+IF(AND(('V06 Calend 01'!E48&gt;0),(148&gt;'V06 Calend 01'!C48),(148&lt;'V06 Calend 01'!D48),(MOD((148-'V06 Calend 01'!C48),6)=0),(((148-'V06 Calend 01'!C48)/6)&lt;='V06 Calend 01'!E48)),IF((148=('V06 Calend 01'!C48+(6*'V06 Calend 01'!E48))),('V06 Calend 01'!H48-('V06 Calend 01'!I48*('V06 Calend 01'!E48-1))),'V06 Calend 01'!I48),0))+IF((148='V06 Calend 01'!D48),'V06 Calend 01'!J48,0))</f>
        <v>0</v>
      </c>
      <c r="FE48" s="2">
        <f>((IF((149='V06 Calend 01'!C48),('V06 Calend 01'!F48+'V06 Calend 01'!G48),0)+IF(AND(('V06 Calend 01'!E48&gt;0),(149&gt;'V06 Calend 01'!C48),(149&lt;'V06 Calend 01'!D48),(MOD((149-'V06 Calend 01'!C48),6)=0),(((149-'V06 Calend 01'!C48)/6)&lt;='V06 Calend 01'!E48)),IF((149=('V06 Calend 01'!C48+(6*'V06 Calend 01'!E48))),('V06 Calend 01'!H48-('V06 Calend 01'!I48*('V06 Calend 01'!E48-1))),'V06 Calend 01'!I48),0))+IF((149='V06 Calend 01'!D48),'V06 Calend 01'!J48,0))</f>
        <v>0</v>
      </c>
      <c r="FF48" s="2">
        <f>((IF((150='V06 Calend 01'!C48),('V06 Calend 01'!F48+'V06 Calend 01'!G48),0)+IF(AND(('V06 Calend 01'!E48&gt;0),(150&gt;'V06 Calend 01'!C48),(150&lt;'V06 Calend 01'!D48),(MOD((150-'V06 Calend 01'!C48),6)=0),(((150-'V06 Calend 01'!C48)/6)&lt;='V06 Calend 01'!E48)),IF((150=('V06 Calend 01'!C48+(6*'V06 Calend 01'!E48))),('V06 Calend 01'!H48-('V06 Calend 01'!I48*('V06 Calend 01'!E48-1))),'V06 Calend 01'!I48),0))+IF((150='V06 Calend 01'!D48),'V06 Calend 01'!J48,0))</f>
        <v>0</v>
      </c>
      <c r="FG48" s="2">
        <f>((IF((151='V06 Calend 01'!C48),('V06 Calend 01'!F48+'V06 Calend 01'!G48),0)+IF(AND(('V06 Calend 01'!E48&gt;0),(151&gt;'V06 Calend 01'!C48),(151&lt;'V06 Calend 01'!D48),(MOD((151-'V06 Calend 01'!C48),6)=0),(((151-'V06 Calend 01'!C48)/6)&lt;='V06 Calend 01'!E48)),IF((151=('V06 Calend 01'!C48+(6*'V06 Calend 01'!E48))),('V06 Calend 01'!H48-('V06 Calend 01'!I48*('V06 Calend 01'!E48-1))),'V06 Calend 01'!I48),0))+IF((151='V06 Calend 01'!D48),'V06 Calend 01'!J48,0))</f>
        <v>0</v>
      </c>
      <c r="FH48" s="2">
        <f>((IF((152='V06 Calend 01'!C48),('V06 Calend 01'!F48+'V06 Calend 01'!G48),0)+IF(AND(('V06 Calend 01'!E48&gt;0),(152&gt;'V06 Calend 01'!C48),(152&lt;'V06 Calend 01'!D48),(MOD((152-'V06 Calend 01'!C48),6)=0),(((152-'V06 Calend 01'!C48)/6)&lt;='V06 Calend 01'!E48)),IF((152=('V06 Calend 01'!C48+(6*'V06 Calend 01'!E48))),('V06 Calend 01'!H48-('V06 Calend 01'!I48*('V06 Calend 01'!E48-1))),'V06 Calend 01'!I48),0))+IF((152='V06 Calend 01'!D48),'V06 Calend 01'!J48,0))</f>
        <v>0</v>
      </c>
      <c r="FI48" s="2">
        <f>((IF((153='V06 Calend 01'!C48),('V06 Calend 01'!F48+'V06 Calend 01'!G48),0)+IF(AND(('V06 Calend 01'!E48&gt;0),(153&gt;'V06 Calend 01'!C48),(153&lt;'V06 Calend 01'!D48),(MOD((153-'V06 Calend 01'!C48),6)=0),(((153-'V06 Calend 01'!C48)/6)&lt;='V06 Calend 01'!E48)),IF((153=('V06 Calend 01'!C48+(6*'V06 Calend 01'!E48))),('V06 Calend 01'!H48-('V06 Calend 01'!I48*('V06 Calend 01'!E48-1))),'V06 Calend 01'!I48),0))+IF((153='V06 Calend 01'!D48),'V06 Calend 01'!J48,0))</f>
        <v>0</v>
      </c>
      <c r="FJ48" s="2">
        <f>((IF((154='V06 Calend 01'!C48),('V06 Calend 01'!F48+'V06 Calend 01'!G48),0)+IF(AND(('V06 Calend 01'!E48&gt;0),(154&gt;'V06 Calend 01'!C48),(154&lt;'V06 Calend 01'!D48),(MOD((154-'V06 Calend 01'!C48),6)=0),(((154-'V06 Calend 01'!C48)/6)&lt;='V06 Calend 01'!E48)),IF((154=('V06 Calend 01'!C48+(6*'V06 Calend 01'!E48))),('V06 Calend 01'!H48-('V06 Calend 01'!I48*('V06 Calend 01'!E48-1))),'V06 Calend 01'!I48),0))+IF((154='V06 Calend 01'!D48),'V06 Calend 01'!J48,0))</f>
        <v>0</v>
      </c>
      <c r="FK48" s="2">
        <f>((IF((155='V06 Calend 01'!C48),('V06 Calend 01'!F48+'V06 Calend 01'!G48),0)+IF(AND(('V06 Calend 01'!E48&gt;0),(155&gt;'V06 Calend 01'!C48),(155&lt;'V06 Calend 01'!D48),(MOD((155-'V06 Calend 01'!C48),6)=0),(((155-'V06 Calend 01'!C48)/6)&lt;='V06 Calend 01'!E48)),IF((155=('V06 Calend 01'!C48+(6*'V06 Calend 01'!E48))),('V06 Calend 01'!H48-('V06 Calend 01'!I48*('V06 Calend 01'!E48-1))),'V06 Calend 01'!I48),0))+IF((155='V06 Calend 01'!D48),'V06 Calend 01'!J48,0))</f>
        <v>0</v>
      </c>
      <c r="FL48" s="2">
        <f>((IF((156='V06 Calend 01'!C48),('V06 Calend 01'!F48+'V06 Calend 01'!G48),0)+IF(AND(('V06 Calend 01'!E48&gt;0),(156&gt;'V06 Calend 01'!C48),(156&lt;'V06 Calend 01'!D48),(MOD((156-'V06 Calend 01'!C48),6)=0),(((156-'V06 Calend 01'!C48)/6)&lt;='V06 Calend 01'!E48)),IF((156=('V06 Calend 01'!C48+(6*'V06 Calend 01'!E48))),('V06 Calend 01'!H48-('V06 Calend 01'!I48*('V06 Calend 01'!E48-1))),'V06 Calend 01'!I48),0))+IF((156='V06 Calend 01'!D48),'V06 Calend 01'!J48,0))</f>
        <v>0</v>
      </c>
      <c r="FM48" s="2">
        <f>((IF((157='V06 Calend 01'!C48),('V06 Calend 01'!F48+'V06 Calend 01'!G48),0)+IF(AND(('V06 Calend 01'!E48&gt;0),(157&gt;'V06 Calend 01'!C48),(157&lt;'V06 Calend 01'!D48),(MOD((157-'V06 Calend 01'!C48),6)=0),(((157-'V06 Calend 01'!C48)/6)&lt;='V06 Calend 01'!E48)),IF((157=('V06 Calend 01'!C48+(6*'V06 Calend 01'!E48))),('V06 Calend 01'!H48-('V06 Calend 01'!I48*('V06 Calend 01'!E48-1))),'V06 Calend 01'!I48),0))+IF((157='V06 Calend 01'!D48),'V06 Calend 01'!J48,0))</f>
        <v>0</v>
      </c>
      <c r="FN48" s="2">
        <f>((IF((158='V06 Calend 01'!C48),('V06 Calend 01'!F48+'V06 Calend 01'!G48),0)+IF(AND(('V06 Calend 01'!E48&gt;0),(158&gt;'V06 Calend 01'!C48),(158&lt;'V06 Calend 01'!D48),(MOD((158-'V06 Calend 01'!C48),6)=0),(((158-'V06 Calend 01'!C48)/6)&lt;='V06 Calend 01'!E48)),IF((158=('V06 Calend 01'!C48+(6*'V06 Calend 01'!E48))),('V06 Calend 01'!H48-('V06 Calend 01'!I48*('V06 Calend 01'!E48-1))),'V06 Calend 01'!I48),0))+IF((158='V06 Calend 01'!D48),'V06 Calend 01'!J48,0))</f>
        <v>0</v>
      </c>
      <c r="FO48" s="2">
        <f>((IF((159='V06 Calend 01'!C48),('V06 Calend 01'!F48+'V06 Calend 01'!G48),0)+IF(AND(('V06 Calend 01'!E48&gt;0),(159&gt;'V06 Calend 01'!C48),(159&lt;'V06 Calend 01'!D48),(MOD((159-'V06 Calend 01'!C48),6)=0),(((159-'V06 Calend 01'!C48)/6)&lt;='V06 Calend 01'!E48)),IF((159=('V06 Calend 01'!C48+(6*'V06 Calend 01'!E48))),('V06 Calend 01'!H48-('V06 Calend 01'!I48*('V06 Calend 01'!E48-1))),'V06 Calend 01'!I48),0))+IF((159='V06 Calend 01'!D48),'V06 Calend 01'!J48,0))</f>
        <v>0</v>
      </c>
      <c r="FP48" s="2">
        <f>((IF((160='V06 Calend 01'!C48),('V06 Calend 01'!F48+'V06 Calend 01'!G48),0)+IF(AND(('V06 Calend 01'!E48&gt;0),(160&gt;'V06 Calend 01'!C48),(160&lt;'V06 Calend 01'!D48),(MOD((160-'V06 Calend 01'!C48),6)=0),(((160-'V06 Calend 01'!C48)/6)&lt;='V06 Calend 01'!E48)),IF((160=('V06 Calend 01'!C48+(6*'V06 Calend 01'!E48))),('V06 Calend 01'!H48-('V06 Calend 01'!I48*('V06 Calend 01'!E48-1))),'V06 Calend 01'!I48),0))+IF((160='V06 Calend 01'!D48),'V06 Calend 01'!J48,0))</f>
        <v>0</v>
      </c>
      <c r="FQ48" s="2">
        <f>((IF((161='V06 Calend 01'!C48),('V06 Calend 01'!F48+'V06 Calend 01'!G48),0)+IF(AND(('V06 Calend 01'!E48&gt;0),(161&gt;'V06 Calend 01'!C48),(161&lt;'V06 Calend 01'!D48),(MOD((161-'V06 Calend 01'!C48),6)=0),(((161-'V06 Calend 01'!C48)/6)&lt;='V06 Calend 01'!E48)),IF((161=('V06 Calend 01'!C48+(6*'V06 Calend 01'!E48))),('V06 Calend 01'!H48-('V06 Calend 01'!I48*('V06 Calend 01'!E48-1))),'V06 Calend 01'!I48),0))+IF((161='V06 Calend 01'!D48),'V06 Calend 01'!J48,0))</f>
        <v>0</v>
      </c>
      <c r="FR48" s="2">
        <f>((IF((162='V06 Calend 01'!C48),('V06 Calend 01'!F48+'V06 Calend 01'!G48),0)+IF(AND(('V06 Calend 01'!E48&gt;0),(162&gt;'V06 Calend 01'!C48),(162&lt;'V06 Calend 01'!D48),(MOD((162-'V06 Calend 01'!C48),6)=0),(((162-'V06 Calend 01'!C48)/6)&lt;='V06 Calend 01'!E48)),IF((162=('V06 Calend 01'!C48+(6*'V06 Calend 01'!E48))),('V06 Calend 01'!H48-('V06 Calend 01'!I48*('V06 Calend 01'!E48-1))),'V06 Calend 01'!I48),0))+IF((162='V06 Calend 01'!D48),'V06 Calend 01'!J48,0))</f>
        <v>0</v>
      </c>
      <c r="FS48" s="2">
        <f>((IF((163='V06 Calend 01'!C48),('V06 Calend 01'!F48+'V06 Calend 01'!G48),0)+IF(AND(('V06 Calend 01'!E48&gt;0),(163&gt;'V06 Calend 01'!C48),(163&lt;'V06 Calend 01'!D48),(MOD((163-'V06 Calend 01'!C48),6)=0),(((163-'V06 Calend 01'!C48)/6)&lt;='V06 Calend 01'!E48)),IF((163=('V06 Calend 01'!C48+(6*'V06 Calend 01'!E48))),('V06 Calend 01'!H48-('V06 Calend 01'!I48*('V06 Calend 01'!E48-1))),'V06 Calend 01'!I48),0))+IF((163='V06 Calend 01'!D48),'V06 Calend 01'!J48,0))</f>
        <v>0</v>
      </c>
      <c r="FT48" s="2">
        <f>((IF((164='V06 Calend 01'!C48),('V06 Calend 01'!F48+'V06 Calend 01'!G48),0)+IF(AND(('V06 Calend 01'!E48&gt;0),(164&gt;'V06 Calend 01'!C48),(164&lt;'V06 Calend 01'!D48),(MOD((164-'V06 Calend 01'!C48),6)=0),(((164-'V06 Calend 01'!C48)/6)&lt;='V06 Calend 01'!E48)),IF((164=('V06 Calend 01'!C48+(6*'V06 Calend 01'!E48))),('V06 Calend 01'!H48-('V06 Calend 01'!I48*('V06 Calend 01'!E48-1))),'V06 Calend 01'!I48),0))+IF((164='V06 Calend 01'!D48),'V06 Calend 01'!J48,0))</f>
        <v>0</v>
      </c>
      <c r="FU48" s="2">
        <f>((IF((165='V06 Calend 01'!C48),('V06 Calend 01'!F48+'V06 Calend 01'!G48),0)+IF(AND(('V06 Calend 01'!E48&gt;0),(165&gt;'V06 Calend 01'!C48),(165&lt;'V06 Calend 01'!D48),(MOD((165-'V06 Calend 01'!C48),6)=0),(((165-'V06 Calend 01'!C48)/6)&lt;='V06 Calend 01'!E48)),IF((165=('V06 Calend 01'!C48+(6*'V06 Calend 01'!E48))),('V06 Calend 01'!H48-('V06 Calend 01'!I48*('V06 Calend 01'!E48-1))),'V06 Calend 01'!I48),0))+IF((165='V06 Calend 01'!D48),'V06 Calend 01'!J48,0))</f>
        <v>0</v>
      </c>
      <c r="FV48" s="2">
        <f>((IF((166='V06 Calend 01'!C48),('V06 Calend 01'!F48+'V06 Calend 01'!G48),0)+IF(AND(('V06 Calend 01'!E48&gt;0),(166&gt;'V06 Calend 01'!C48),(166&lt;'V06 Calend 01'!D48),(MOD((166-'V06 Calend 01'!C48),6)=0),(((166-'V06 Calend 01'!C48)/6)&lt;='V06 Calend 01'!E48)),IF((166=('V06 Calend 01'!C48+(6*'V06 Calend 01'!E48))),('V06 Calend 01'!H48-('V06 Calend 01'!I48*('V06 Calend 01'!E48-1))),'V06 Calend 01'!I48),0))+IF((166='V06 Calend 01'!D48),'V06 Calend 01'!J48,0))</f>
        <v>0</v>
      </c>
      <c r="FW48" s="2">
        <f>((IF((167='V06 Calend 01'!C48),('V06 Calend 01'!F48+'V06 Calend 01'!G48),0)+IF(AND(('V06 Calend 01'!E48&gt;0),(167&gt;'V06 Calend 01'!C48),(167&lt;'V06 Calend 01'!D48),(MOD((167-'V06 Calend 01'!C48),6)=0),(((167-'V06 Calend 01'!C48)/6)&lt;='V06 Calend 01'!E48)),IF((167=('V06 Calend 01'!C48+(6*'V06 Calend 01'!E48))),('V06 Calend 01'!H48-('V06 Calend 01'!I48*('V06 Calend 01'!E48-1))),'V06 Calend 01'!I48),0))+IF((167='V06 Calend 01'!D48),'V06 Calend 01'!J48,0))</f>
        <v>0</v>
      </c>
      <c r="FX48" s="2">
        <f>((IF((168='V06 Calend 01'!C48),('V06 Calend 01'!F48+'V06 Calend 01'!G48),0)+IF(AND(('V06 Calend 01'!E48&gt;0),(168&gt;'V06 Calend 01'!C48),(168&lt;'V06 Calend 01'!D48),(MOD((168-'V06 Calend 01'!C48),6)=0),(((168-'V06 Calend 01'!C48)/6)&lt;='V06 Calend 01'!E48)),IF((168=('V06 Calend 01'!C48+(6*'V06 Calend 01'!E48))),('V06 Calend 01'!H48-('V06 Calend 01'!I48*('V06 Calend 01'!E48-1))),'V06 Calend 01'!I48),0))+IF((168='V06 Calend 01'!D48),'V06 Calend 01'!J48,0))</f>
        <v>0</v>
      </c>
      <c r="FY48" s="2">
        <f>((IF((169='V06 Calend 01'!C48),('V06 Calend 01'!F48+'V06 Calend 01'!G48),0)+IF(AND(('V06 Calend 01'!E48&gt;0),(169&gt;'V06 Calend 01'!C48),(169&lt;'V06 Calend 01'!D48),(MOD((169-'V06 Calend 01'!C48),6)=0),(((169-'V06 Calend 01'!C48)/6)&lt;='V06 Calend 01'!E48)),IF((169=('V06 Calend 01'!C48+(6*'V06 Calend 01'!E48))),('V06 Calend 01'!H48-('V06 Calend 01'!I48*('V06 Calend 01'!E48-1))),'V06 Calend 01'!I48),0))+IF((169='V06 Calend 01'!D48),'V06 Calend 01'!J48,0))</f>
        <v>0</v>
      </c>
      <c r="FZ48" s="2">
        <f>((IF((170='V06 Calend 01'!C48),('V06 Calend 01'!F48+'V06 Calend 01'!G48),0)+IF(AND(('V06 Calend 01'!E48&gt;0),(170&gt;'V06 Calend 01'!C48),(170&lt;'V06 Calend 01'!D48),(MOD((170-'V06 Calend 01'!C48),6)=0),(((170-'V06 Calend 01'!C48)/6)&lt;='V06 Calend 01'!E48)),IF((170=('V06 Calend 01'!C48+(6*'V06 Calend 01'!E48))),('V06 Calend 01'!H48-('V06 Calend 01'!I48*('V06 Calend 01'!E48-1))),'V06 Calend 01'!I48),0))+IF((170='V06 Calend 01'!D48),'V06 Calend 01'!J48,0))</f>
        <v>0</v>
      </c>
      <c r="GA48" s="2">
        <f>((IF((171='V06 Calend 01'!C48),('V06 Calend 01'!F48+'V06 Calend 01'!G48),0)+IF(AND(('V06 Calend 01'!E48&gt;0),(171&gt;'V06 Calend 01'!C48),(171&lt;'V06 Calend 01'!D48),(MOD((171-'V06 Calend 01'!C48),6)=0),(((171-'V06 Calend 01'!C48)/6)&lt;='V06 Calend 01'!E48)),IF((171=('V06 Calend 01'!C48+(6*'V06 Calend 01'!E48))),('V06 Calend 01'!H48-('V06 Calend 01'!I48*('V06 Calend 01'!E48-1))),'V06 Calend 01'!I48),0))+IF((171='V06 Calend 01'!D48),'V06 Calend 01'!J48,0))</f>
        <v>0</v>
      </c>
      <c r="GB48" s="2">
        <f>((IF((172='V06 Calend 01'!C48),('V06 Calend 01'!F48+'V06 Calend 01'!G48),0)+IF(AND(('V06 Calend 01'!E48&gt;0),(172&gt;'V06 Calend 01'!C48),(172&lt;'V06 Calend 01'!D48),(MOD((172-'V06 Calend 01'!C48),6)=0),(((172-'V06 Calend 01'!C48)/6)&lt;='V06 Calend 01'!E48)),IF((172=('V06 Calend 01'!C48+(6*'V06 Calend 01'!E48))),('V06 Calend 01'!H48-('V06 Calend 01'!I48*('V06 Calend 01'!E48-1))),'V06 Calend 01'!I48),0))+IF((172='V06 Calend 01'!D48),'V06 Calend 01'!J48,0))</f>
        <v>0</v>
      </c>
      <c r="GC48" s="2">
        <f>((IF((173='V06 Calend 01'!C48),('V06 Calend 01'!F48+'V06 Calend 01'!G48),0)+IF(AND(('V06 Calend 01'!E48&gt;0),(173&gt;'V06 Calend 01'!C48),(173&lt;'V06 Calend 01'!D48),(MOD((173-'V06 Calend 01'!C48),6)=0),(((173-'V06 Calend 01'!C48)/6)&lt;='V06 Calend 01'!E48)),IF((173=('V06 Calend 01'!C48+(6*'V06 Calend 01'!E48))),('V06 Calend 01'!H48-('V06 Calend 01'!I48*('V06 Calend 01'!E48-1))),'V06 Calend 01'!I48),0))+IF((173='V06 Calend 01'!D48),'V06 Calend 01'!J48,0))</f>
        <v>0</v>
      </c>
      <c r="GD48" s="2">
        <f>((IF((174='V06 Calend 01'!C48),('V06 Calend 01'!F48+'V06 Calend 01'!G48),0)+IF(AND(('V06 Calend 01'!E48&gt;0),(174&gt;'V06 Calend 01'!C48),(174&lt;'V06 Calend 01'!D48),(MOD((174-'V06 Calend 01'!C48),6)=0),(((174-'V06 Calend 01'!C48)/6)&lt;='V06 Calend 01'!E48)),IF((174=('V06 Calend 01'!C48+(6*'V06 Calend 01'!E48))),('V06 Calend 01'!H48-('V06 Calend 01'!I48*('V06 Calend 01'!E48-1))),'V06 Calend 01'!I48),0))+IF((174='V06 Calend 01'!D48),'V06 Calend 01'!J48,0))</f>
        <v>0</v>
      </c>
      <c r="GE48" s="2">
        <f>((IF((175='V06 Calend 01'!C48),('V06 Calend 01'!F48+'V06 Calend 01'!G48),0)+IF(AND(('V06 Calend 01'!E48&gt;0),(175&gt;'V06 Calend 01'!C48),(175&lt;'V06 Calend 01'!D48),(MOD((175-'V06 Calend 01'!C48),6)=0),(((175-'V06 Calend 01'!C48)/6)&lt;='V06 Calend 01'!E48)),IF((175=('V06 Calend 01'!C48+(6*'V06 Calend 01'!E48))),('V06 Calend 01'!H48-('V06 Calend 01'!I48*('V06 Calend 01'!E48-1))),'V06 Calend 01'!I48),0))+IF((175='V06 Calend 01'!D48),'V06 Calend 01'!J48,0))</f>
        <v>0</v>
      </c>
      <c r="GF48" s="2">
        <f>((IF((176='V06 Calend 01'!C48),('V06 Calend 01'!F48+'V06 Calend 01'!G48),0)+IF(AND(('V06 Calend 01'!E48&gt;0),(176&gt;'V06 Calend 01'!C48),(176&lt;'V06 Calend 01'!D48),(MOD((176-'V06 Calend 01'!C48),6)=0),(((176-'V06 Calend 01'!C48)/6)&lt;='V06 Calend 01'!E48)),IF((176=('V06 Calend 01'!C48+(6*'V06 Calend 01'!E48))),('V06 Calend 01'!H48-('V06 Calend 01'!I48*('V06 Calend 01'!E48-1))),'V06 Calend 01'!I48),0))+IF((176='V06 Calend 01'!D48),'V06 Calend 01'!J48,0))</f>
        <v>0</v>
      </c>
      <c r="GG48" s="2">
        <f>((IF((177='V06 Calend 01'!C48),('V06 Calend 01'!F48+'V06 Calend 01'!G48),0)+IF(AND(('V06 Calend 01'!E48&gt;0),(177&gt;'V06 Calend 01'!C48),(177&lt;'V06 Calend 01'!D48),(MOD((177-'V06 Calend 01'!C48),6)=0),(((177-'V06 Calend 01'!C48)/6)&lt;='V06 Calend 01'!E48)),IF((177=('V06 Calend 01'!C48+(6*'V06 Calend 01'!E48))),('V06 Calend 01'!H48-('V06 Calend 01'!I48*('V06 Calend 01'!E48-1))),'V06 Calend 01'!I48),0))+IF((177='V06 Calend 01'!D48),'V06 Calend 01'!J48,0))</f>
        <v>0</v>
      </c>
      <c r="GH48" s="2">
        <f>((IF((178='V06 Calend 01'!C48),('V06 Calend 01'!F48+'V06 Calend 01'!G48),0)+IF(AND(('V06 Calend 01'!E48&gt;0),(178&gt;'V06 Calend 01'!C48),(178&lt;'V06 Calend 01'!D48),(MOD((178-'V06 Calend 01'!C48),6)=0),(((178-'V06 Calend 01'!C48)/6)&lt;='V06 Calend 01'!E48)),IF((178=('V06 Calend 01'!C48+(6*'V06 Calend 01'!E48))),('V06 Calend 01'!H48-('V06 Calend 01'!I48*('V06 Calend 01'!E48-1))),'V06 Calend 01'!I48),0))+IF((178='V06 Calend 01'!D48),'V06 Calend 01'!J48,0))</f>
        <v>0</v>
      </c>
      <c r="GI48" s="2">
        <f>((IF((179='V06 Calend 01'!C48),('V06 Calend 01'!F48+'V06 Calend 01'!G48),0)+IF(AND(('V06 Calend 01'!E48&gt;0),(179&gt;'V06 Calend 01'!C48),(179&lt;'V06 Calend 01'!D48),(MOD((179-'V06 Calend 01'!C48),6)=0),(((179-'V06 Calend 01'!C48)/6)&lt;='V06 Calend 01'!E48)),IF((179=('V06 Calend 01'!C48+(6*'V06 Calend 01'!E48))),('V06 Calend 01'!H48-('V06 Calend 01'!I48*('V06 Calend 01'!E48-1))),'V06 Calend 01'!I48),0))+IF((179='V06 Calend 01'!D48),'V06 Calend 01'!J48,0))</f>
        <v>0</v>
      </c>
      <c r="GJ48" s="2">
        <f>((IF((180='V06 Calend 01'!C48),('V06 Calend 01'!F48+'V06 Calend 01'!G48),0)+IF(AND(('V06 Calend 01'!E48&gt;0),(180&gt;'V06 Calend 01'!C48),(180&lt;'V06 Calend 01'!D48),(MOD((180-'V06 Calend 01'!C48),6)=0),(((180-'V06 Calend 01'!C48)/6)&lt;='V06 Calend 01'!E48)),IF((180=('V06 Calend 01'!C48+(6*'V06 Calend 01'!E48))),('V06 Calend 01'!H48-('V06 Calend 01'!I48*('V06 Calend 01'!E48-1))),'V06 Calend 01'!I48),0))+IF((180='V06 Calend 01'!D48),'V06 Calend 01'!J48,0))</f>
        <v>0</v>
      </c>
    </row>
    <row r="49" spans="1:192">
      <c r="A49" s="3" t="str">
        <f>'V06 Unidades'!$A$49</f>
        <v>605</v>
      </c>
      <c r="B49" s="2">
        <f>'V06 Unidades'!$H$49</f>
        <v>488797.55</v>
      </c>
      <c r="C49" s="4">
        <f>('V06 Unidades'!$I$49+'V06 Controlos'!$B$37)</f>
        <v>4</v>
      </c>
      <c r="D49" s="4">
        <f>IF(('V06 Controlos'!$B$38&gt;0),MAX(('V06 Unidades'!$L$49+'V06 Controlos'!$B$37),(30+'V06 Controlos'!$B$38)),('V06 Unidades'!$L$49+'V06 Controlos'!$B$37))</f>
        <v>30</v>
      </c>
      <c r="E49" s="4">
        <f>MAX(0,INT(((('V06 Calend 01'!D49-'V06 Calend 01'!C49)-1)/6)))</f>
        <v>4</v>
      </c>
      <c r="F49" s="2">
        <f>ROUND(('V06 Calend 01'!B49*0.05),2)</f>
        <v>24439.88</v>
      </c>
      <c r="G49" s="2">
        <f>ROUND(('V06 Calend 01'!B49*0.2),2)</f>
        <v>97759.51</v>
      </c>
      <c r="H49" s="2">
        <f>ROUND(('V06 Calend 01'!B49*0.55),2)</f>
        <v>268838.65</v>
      </c>
      <c r="I49" s="2">
        <f>ROUND(('V06 Calend 01'!H49/MAX(1,'V06 Calend 01'!E49)),2)</f>
        <v>67209.66</v>
      </c>
      <c r="J49" s="2">
        <f>((('V06 Calend 01'!B49-'V06 Calend 01'!F49)-'V06 Calend 01'!G49)-'V06 Calend 01'!H49)</f>
        <v>97759.50999999995</v>
      </c>
      <c r="K49" s="2">
        <f>('V06 Calend 01'!B49*0.025)</f>
        <v>12219.938750000001</v>
      </c>
      <c r="L49" t="s">
        <v>378</v>
      </c>
      <c r="M49" s="2">
        <f>((IF((1='V06 Calend 01'!C49),('V06 Calend 01'!F49+'V06 Calend 01'!G49),0)+IF(AND(('V06 Calend 01'!E49&gt;0),(1&gt;'V06 Calend 01'!C49),(1&lt;'V06 Calend 01'!D49),(MOD((1-'V06 Calend 01'!C49),6)=0),(((1-'V06 Calend 01'!C49)/6)&lt;='V06 Calend 01'!E49)),IF((1=('V06 Calend 01'!C49+(6*'V06 Calend 01'!E49))),('V06 Calend 01'!H49-('V06 Calend 01'!I49*('V06 Calend 01'!E49-1))),'V06 Calend 01'!I49),0))+IF((1='V06 Calend 01'!D49),'V06 Calend 01'!J49,0))</f>
        <v>0</v>
      </c>
      <c r="N49" s="2">
        <f>((IF((2='V06 Calend 01'!C49),('V06 Calend 01'!F49+'V06 Calend 01'!G49),0)+IF(AND(('V06 Calend 01'!E49&gt;0),(2&gt;'V06 Calend 01'!C49),(2&lt;'V06 Calend 01'!D49),(MOD((2-'V06 Calend 01'!C49),6)=0),(((2-'V06 Calend 01'!C49)/6)&lt;='V06 Calend 01'!E49)),IF((2=('V06 Calend 01'!C49+(6*'V06 Calend 01'!E49))),('V06 Calend 01'!H49-('V06 Calend 01'!I49*('V06 Calend 01'!E49-1))),'V06 Calend 01'!I49),0))+IF((2='V06 Calend 01'!D49),'V06 Calend 01'!J49,0))</f>
        <v>0</v>
      </c>
      <c r="O49" s="2">
        <f>((IF((3='V06 Calend 01'!C49),('V06 Calend 01'!F49+'V06 Calend 01'!G49),0)+IF(AND(('V06 Calend 01'!E49&gt;0),(3&gt;'V06 Calend 01'!C49),(3&lt;'V06 Calend 01'!D49),(MOD((3-'V06 Calend 01'!C49),6)=0),(((3-'V06 Calend 01'!C49)/6)&lt;='V06 Calend 01'!E49)),IF((3=('V06 Calend 01'!C49+(6*'V06 Calend 01'!E49))),('V06 Calend 01'!H49-('V06 Calend 01'!I49*('V06 Calend 01'!E49-1))),'V06 Calend 01'!I49),0))+IF((3='V06 Calend 01'!D49),'V06 Calend 01'!J49,0))</f>
        <v>0</v>
      </c>
      <c r="P49" s="2">
        <f>((IF((4='V06 Calend 01'!C49),('V06 Calend 01'!F49+'V06 Calend 01'!G49),0)+IF(AND(('V06 Calend 01'!E49&gt;0),(4&gt;'V06 Calend 01'!C49),(4&lt;'V06 Calend 01'!D49),(MOD((4-'V06 Calend 01'!C49),6)=0),(((4-'V06 Calend 01'!C49)/6)&lt;='V06 Calend 01'!E49)),IF((4=('V06 Calend 01'!C49+(6*'V06 Calend 01'!E49))),('V06 Calend 01'!H49-('V06 Calend 01'!I49*('V06 Calend 01'!E49-1))),'V06 Calend 01'!I49),0))+IF((4='V06 Calend 01'!D49),'V06 Calend 01'!J49,0))</f>
        <v>122199.39</v>
      </c>
      <c r="Q49" s="2">
        <f>((IF((5='V06 Calend 01'!C49),('V06 Calend 01'!F49+'V06 Calend 01'!G49),0)+IF(AND(('V06 Calend 01'!E49&gt;0),(5&gt;'V06 Calend 01'!C49),(5&lt;'V06 Calend 01'!D49),(MOD((5-'V06 Calend 01'!C49),6)=0),(((5-'V06 Calend 01'!C49)/6)&lt;='V06 Calend 01'!E49)),IF((5=('V06 Calend 01'!C49+(6*'V06 Calend 01'!E49))),('V06 Calend 01'!H49-('V06 Calend 01'!I49*('V06 Calend 01'!E49-1))),'V06 Calend 01'!I49),0))+IF((5='V06 Calend 01'!D49),'V06 Calend 01'!J49,0))</f>
        <v>0</v>
      </c>
      <c r="R49" s="2">
        <f>((IF((6='V06 Calend 01'!C49),('V06 Calend 01'!F49+'V06 Calend 01'!G49),0)+IF(AND(('V06 Calend 01'!E49&gt;0),(6&gt;'V06 Calend 01'!C49),(6&lt;'V06 Calend 01'!D49),(MOD((6-'V06 Calend 01'!C49),6)=0),(((6-'V06 Calend 01'!C49)/6)&lt;='V06 Calend 01'!E49)),IF((6=('V06 Calend 01'!C49+(6*'V06 Calend 01'!E49))),('V06 Calend 01'!H49-('V06 Calend 01'!I49*('V06 Calend 01'!E49-1))),'V06 Calend 01'!I49),0))+IF((6='V06 Calend 01'!D49),'V06 Calend 01'!J49,0))</f>
        <v>0</v>
      </c>
      <c r="S49" s="2">
        <f>((IF((7='V06 Calend 01'!C49),('V06 Calend 01'!F49+'V06 Calend 01'!G49),0)+IF(AND(('V06 Calend 01'!E49&gt;0),(7&gt;'V06 Calend 01'!C49),(7&lt;'V06 Calend 01'!D49),(MOD((7-'V06 Calend 01'!C49),6)=0),(((7-'V06 Calend 01'!C49)/6)&lt;='V06 Calend 01'!E49)),IF((7=('V06 Calend 01'!C49+(6*'V06 Calend 01'!E49))),('V06 Calend 01'!H49-('V06 Calend 01'!I49*('V06 Calend 01'!E49-1))),'V06 Calend 01'!I49),0))+IF((7='V06 Calend 01'!D49),'V06 Calend 01'!J49,0))</f>
        <v>0</v>
      </c>
      <c r="T49" s="2">
        <f>((IF((8='V06 Calend 01'!C49),('V06 Calend 01'!F49+'V06 Calend 01'!G49),0)+IF(AND(('V06 Calend 01'!E49&gt;0),(8&gt;'V06 Calend 01'!C49),(8&lt;'V06 Calend 01'!D49),(MOD((8-'V06 Calend 01'!C49),6)=0),(((8-'V06 Calend 01'!C49)/6)&lt;='V06 Calend 01'!E49)),IF((8=('V06 Calend 01'!C49+(6*'V06 Calend 01'!E49))),('V06 Calend 01'!H49-('V06 Calend 01'!I49*('V06 Calend 01'!E49-1))),'V06 Calend 01'!I49),0))+IF((8='V06 Calend 01'!D49),'V06 Calend 01'!J49,0))</f>
        <v>0</v>
      </c>
      <c r="U49" s="2">
        <f>((IF((9='V06 Calend 01'!C49),('V06 Calend 01'!F49+'V06 Calend 01'!G49),0)+IF(AND(('V06 Calend 01'!E49&gt;0),(9&gt;'V06 Calend 01'!C49),(9&lt;'V06 Calend 01'!D49),(MOD((9-'V06 Calend 01'!C49),6)=0),(((9-'V06 Calend 01'!C49)/6)&lt;='V06 Calend 01'!E49)),IF((9=('V06 Calend 01'!C49+(6*'V06 Calend 01'!E49))),('V06 Calend 01'!H49-('V06 Calend 01'!I49*('V06 Calend 01'!E49-1))),'V06 Calend 01'!I49),0))+IF((9='V06 Calend 01'!D49),'V06 Calend 01'!J49,0))</f>
        <v>0</v>
      </c>
      <c r="V49" s="2">
        <f>((IF((10='V06 Calend 01'!C49),('V06 Calend 01'!F49+'V06 Calend 01'!G49),0)+IF(AND(('V06 Calend 01'!E49&gt;0),(10&gt;'V06 Calend 01'!C49),(10&lt;'V06 Calend 01'!D49),(MOD((10-'V06 Calend 01'!C49),6)=0),(((10-'V06 Calend 01'!C49)/6)&lt;='V06 Calend 01'!E49)),IF((10=('V06 Calend 01'!C49+(6*'V06 Calend 01'!E49))),('V06 Calend 01'!H49-('V06 Calend 01'!I49*('V06 Calend 01'!E49-1))),'V06 Calend 01'!I49),0))+IF((10='V06 Calend 01'!D49),'V06 Calend 01'!J49,0))</f>
        <v>67209.66</v>
      </c>
      <c r="W49" s="2">
        <f>((IF((11='V06 Calend 01'!C49),('V06 Calend 01'!F49+'V06 Calend 01'!G49),0)+IF(AND(('V06 Calend 01'!E49&gt;0),(11&gt;'V06 Calend 01'!C49),(11&lt;'V06 Calend 01'!D49),(MOD((11-'V06 Calend 01'!C49),6)=0),(((11-'V06 Calend 01'!C49)/6)&lt;='V06 Calend 01'!E49)),IF((11=('V06 Calend 01'!C49+(6*'V06 Calend 01'!E49))),('V06 Calend 01'!H49-('V06 Calend 01'!I49*('V06 Calend 01'!E49-1))),'V06 Calend 01'!I49),0))+IF((11='V06 Calend 01'!D49),'V06 Calend 01'!J49,0))</f>
        <v>0</v>
      </c>
      <c r="X49" s="2">
        <f>((IF((12='V06 Calend 01'!C49),('V06 Calend 01'!F49+'V06 Calend 01'!G49),0)+IF(AND(('V06 Calend 01'!E49&gt;0),(12&gt;'V06 Calend 01'!C49),(12&lt;'V06 Calend 01'!D49),(MOD((12-'V06 Calend 01'!C49),6)=0),(((12-'V06 Calend 01'!C49)/6)&lt;='V06 Calend 01'!E49)),IF((12=('V06 Calend 01'!C49+(6*'V06 Calend 01'!E49))),('V06 Calend 01'!H49-('V06 Calend 01'!I49*('V06 Calend 01'!E49-1))),'V06 Calend 01'!I49),0))+IF((12='V06 Calend 01'!D49),'V06 Calend 01'!J49,0))</f>
        <v>0</v>
      </c>
      <c r="Y49" s="2">
        <f>((IF((13='V06 Calend 01'!C49),('V06 Calend 01'!F49+'V06 Calend 01'!G49),0)+IF(AND(('V06 Calend 01'!E49&gt;0),(13&gt;'V06 Calend 01'!C49),(13&lt;'V06 Calend 01'!D49),(MOD((13-'V06 Calend 01'!C49),6)=0),(((13-'V06 Calend 01'!C49)/6)&lt;='V06 Calend 01'!E49)),IF((13=('V06 Calend 01'!C49+(6*'V06 Calend 01'!E49))),('V06 Calend 01'!H49-('V06 Calend 01'!I49*('V06 Calend 01'!E49-1))),'V06 Calend 01'!I49),0))+IF((13='V06 Calend 01'!D49),'V06 Calend 01'!J49,0))</f>
        <v>0</v>
      </c>
      <c r="Z49" s="2">
        <f>((IF((14='V06 Calend 01'!C49),('V06 Calend 01'!F49+'V06 Calend 01'!G49),0)+IF(AND(('V06 Calend 01'!E49&gt;0),(14&gt;'V06 Calend 01'!C49),(14&lt;'V06 Calend 01'!D49),(MOD((14-'V06 Calend 01'!C49),6)=0),(((14-'V06 Calend 01'!C49)/6)&lt;='V06 Calend 01'!E49)),IF((14=('V06 Calend 01'!C49+(6*'V06 Calend 01'!E49))),('V06 Calend 01'!H49-('V06 Calend 01'!I49*('V06 Calend 01'!E49-1))),'V06 Calend 01'!I49),0))+IF((14='V06 Calend 01'!D49),'V06 Calend 01'!J49,0))</f>
        <v>0</v>
      </c>
      <c r="AA49" s="2">
        <f>((IF((15='V06 Calend 01'!C49),('V06 Calend 01'!F49+'V06 Calend 01'!G49),0)+IF(AND(('V06 Calend 01'!E49&gt;0),(15&gt;'V06 Calend 01'!C49),(15&lt;'V06 Calend 01'!D49),(MOD((15-'V06 Calend 01'!C49),6)=0),(((15-'V06 Calend 01'!C49)/6)&lt;='V06 Calend 01'!E49)),IF((15=('V06 Calend 01'!C49+(6*'V06 Calend 01'!E49))),('V06 Calend 01'!H49-('V06 Calend 01'!I49*('V06 Calend 01'!E49-1))),'V06 Calend 01'!I49),0))+IF((15='V06 Calend 01'!D49),'V06 Calend 01'!J49,0))</f>
        <v>0</v>
      </c>
      <c r="AB49" s="2">
        <f>((IF((16='V06 Calend 01'!C49),('V06 Calend 01'!F49+'V06 Calend 01'!G49),0)+IF(AND(('V06 Calend 01'!E49&gt;0),(16&gt;'V06 Calend 01'!C49),(16&lt;'V06 Calend 01'!D49),(MOD((16-'V06 Calend 01'!C49),6)=0),(((16-'V06 Calend 01'!C49)/6)&lt;='V06 Calend 01'!E49)),IF((16=('V06 Calend 01'!C49+(6*'V06 Calend 01'!E49))),('V06 Calend 01'!H49-('V06 Calend 01'!I49*('V06 Calend 01'!E49-1))),'V06 Calend 01'!I49),0))+IF((16='V06 Calend 01'!D49),'V06 Calend 01'!J49,0))</f>
        <v>67209.66</v>
      </c>
      <c r="AC49" s="2">
        <f>((IF((17='V06 Calend 01'!C49),('V06 Calend 01'!F49+'V06 Calend 01'!G49),0)+IF(AND(('V06 Calend 01'!E49&gt;0),(17&gt;'V06 Calend 01'!C49),(17&lt;'V06 Calend 01'!D49),(MOD((17-'V06 Calend 01'!C49),6)=0),(((17-'V06 Calend 01'!C49)/6)&lt;='V06 Calend 01'!E49)),IF((17=('V06 Calend 01'!C49+(6*'V06 Calend 01'!E49))),('V06 Calend 01'!H49-('V06 Calend 01'!I49*('V06 Calend 01'!E49-1))),'V06 Calend 01'!I49),0))+IF((17='V06 Calend 01'!D49),'V06 Calend 01'!J49,0))</f>
        <v>0</v>
      </c>
      <c r="AD49" s="2">
        <f>((IF((18='V06 Calend 01'!C49),('V06 Calend 01'!F49+'V06 Calend 01'!G49),0)+IF(AND(('V06 Calend 01'!E49&gt;0),(18&gt;'V06 Calend 01'!C49),(18&lt;'V06 Calend 01'!D49),(MOD((18-'V06 Calend 01'!C49),6)=0),(((18-'V06 Calend 01'!C49)/6)&lt;='V06 Calend 01'!E49)),IF((18=('V06 Calend 01'!C49+(6*'V06 Calend 01'!E49))),('V06 Calend 01'!H49-('V06 Calend 01'!I49*('V06 Calend 01'!E49-1))),'V06 Calend 01'!I49),0))+IF((18='V06 Calend 01'!D49),'V06 Calend 01'!J49,0))</f>
        <v>0</v>
      </c>
      <c r="AE49" s="2">
        <f>((IF((19='V06 Calend 01'!C49),('V06 Calend 01'!F49+'V06 Calend 01'!G49),0)+IF(AND(('V06 Calend 01'!E49&gt;0),(19&gt;'V06 Calend 01'!C49),(19&lt;'V06 Calend 01'!D49),(MOD((19-'V06 Calend 01'!C49),6)=0),(((19-'V06 Calend 01'!C49)/6)&lt;='V06 Calend 01'!E49)),IF((19=('V06 Calend 01'!C49+(6*'V06 Calend 01'!E49))),('V06 Calend 01'!H49-('V06 Calend 01'!I49*('V06 Calend 01'!E49-1))),'V06 Calend 01'!I49),0))+IF((19='V06 Calend 01'!D49),'V06 Calend 01'!J49,0))</f>
        <v>0</v>
      </c>
      <c r="AF49" s="2">
        <f>((IF((20='V06 Calend 01'!C49),('V06 Calend 01'!F49+'V06 Calend 01'!G49),0)+IF(AND(('V06 Calend 01'!E49&gt;0),(20&gt;'V06 Calend 01'!C49),(20&lt;'V06 Calend 01'!D49),(MOD((20-'V06 Calend 01'!C49),6)=0),(((20-'V06 Calend 01'!C49)/6)&lt;='V06 Calend 01'!E49)),IF((20=('V06 Calend 01'!C49+(6*'V06 Calend 01'!E49))),('V06 Calend 01'!H49-('V06 Calend 01'!I49*('V06 Calend 01'!E49-1))),'V06 Calend 01'!I49),0))+IF((20='V06 Calend 01'!D49),'V06 Calend 01'!J49,0))</f>
        <v>0</v>
      </c>
      <c r="AG49" s="2">
        <f>((IF((21='V06 Calend 01'!C49),('V06 Calend 01'!F49+'V06 Calend 01'!G49),0)+IF(AND(('V06 Calend 01'!E49&gt;0),(21&gt;'V06 Calend 01'!C49),(21&lt;'V06 Calend 01'!D49),(MOD((21-'V06 Calend 01'!C49),6)=0),(((21-'V06 Calend 01'!C49)/6)&lt;='V06 Calend 01'!E49)),IF((21=('V06 Calend 01'!C49+(6*'V06 Calend 01'!E49))),('V06 Calend 01'!H49-('V06 Calend 01'!I49*('V06 Calend 01'!E49-1))),'V06 Calend 01'!I49),0))+IF((21='V06 Calend 01'!D49),'V06 Calend 01'!J49,0))</f>
        <v>0</v>
      </c>
      <c r="AH49" s="2">
        <f>((IF((22='V06 Calend 01'!C49),('V06 Calend 01'!F49+'V06 Calend 01'!G49),0)+IF(AND(('V06 Calend 01'!E49&gt;0),(22&gt;'V06 Calend 01'!C49),(22&lt;'V06 Calend 01'!D49),(MOD((22-'V06 Calend 01'!C49),6)=0),(((22-'V06 Calend 01'!C49)/6)&lt;='V06 Calend 01'!E49)),IF((22=('V06 Calend 01'!C49+(6*'V06 Calend 01'!E49))),('V06 Calend 01'!H49-('V06 Calend 01'!I49*('V06 Calend 01'!E49-1))),'V06 Calend 01'!I49),0))+IF((22='V06 Calend 01'!D49),'V06 Calend 01'!J49,0))</f>
        <v>67209.66</v>
      </c>
      <c r="AI49" s="2">
        <f>((IF((23='V06 Calend 01'!C49),('V06 Calend 01'!F49+'V06 Calend 01'!G49),0)+IF(AND(('V06 Calend 01'!E49&gt;0),(23&gt;'V06 Calend 01'!C49),(23&lt;'V06 Calend 01'!D49),(MOD((23-'V06 Calend 01'!C49),6)=0),(((23-'V06 Calend 01'!C49)/6)&lt;='V06 Calend 01'!E49)),IF((23=('V06 Calend 01'!C49+(6*'V06 Calend 01'!E49))),('V06 Calend 01'!H49-('V06 Calend 01'!I49*('V06 Calend 01'!E49-1))),'V06 Calend 01'!I49),0))+IF((23='V06 Calend 01'!D49),'V06 Calend 01'!J49,0))</f>
        <v>0</v>
      </c>
      <c r="AJ49" s="2">
        <f>((IF((24='V06 Calend 01'!C49),('V06 Calend 01'!F49+'V06 Calend 01'!G49),0)+IF(AND(('V06 Calend 01'!E49&gt;0),(24&gt;'V06 Calend 01'!C49),(24&lt;'V06 Calend 01'!D49),(MOD((24-'V06 Calend 01'!C49),6)=0),(((24-'V06 Calend 01'!C49)/6)&lt;='V06 Calend 01'!E49)),IF((24=('V06 Calend 01'!C49+(6*'V06 Calend 01'!E49))),('V06 Calend 01'!H49-('V06 Calend 01'!I49*('V06 Calend 01'!E49-1))),'V06 Calend 01'!I49),0))+IF((24='V06 Calend 01'!D49),'V06 Calend 01'!J49,0))</f>
        <v>0</v>
      </c>
      <c r="AK49" s="2">
        <f>((IF((25='V06 Calend 01'!C49),('V06 Calend 01'!F49+'V06 Calend 01'!G49),0)+IF(AND(('V06 Calend 01'!E49&gt;0),(25&gt;'V06 Calend 01'!C49),(25&lt;'V06 Calend 01'!D49),(MOD((25-'V06 Calend 01'!C49),6)=0),(((25-'V06 Calend 01'!C49)/6)&lt;='V06 Calend 01'!E49)),IF((25=('V06 Calend 01'!C49+(6*'V06 Calend 01'!E49))),('V06 Calend 01'!H49-('V06 Calend 01'!I49*('V06 Calend 01'!E49-1))),'V06 Calend 01'!I49),0))+IF((25='V06 Calend 01'!D49),'V06 Calend 01'!J49,0))</f>
        <v>0</v>
      </c>
      <c r="AL49" s="2">
        <f>((IF((26='V06 Calend 01'!C49),('V06 Calend 01'!F49+'V06 Calend 01'!G49),0)+IF(AND(('V06 Calend 01'!E49&gt;0),(26&gt;'V06 Calend 01'!C49),(26&lt;'V06 Calend 01'!D49),(MOD((26-'V06 Calend 01'!C49),6)=0),(((26-'V06 Calend 01'!C49)/6)&lt;='V06 Calend 01'!E49)),IF((26=('V06 Calend 01'!C49+(6*'V06 Calend 01'!E49))),('V06 Calend 01'!H49-('V06 Calend 01'!I49*('V06 Calend 01'!E49-1))),'V06 Calend 01'!I49),0))+IF((26='V06 Calend 01'!D49),'V06 Calend 01'!J49,0))</f>
        <v>0</v>
      </c>
      <c r="AM49" s="2">
        <f>((IF((27='V06 Calend 01'!C49),('V06 Calend 01'!F49+'V06 Calend 01'!G49),0)+IF(AND(('V06 Calend 01'!E49&gt;0),(27&gt;'V06 Calend 01'!C49),(27&lt;'V06 Calend 01'!D49),(MOD((27-'V06 Calend 01'!C49),6)=0),(((27-'V06 Calend 01'!C49)/6)&lt;='V06 Calend 01'!E49)),IF((27=('V06 Calend 01'!C49+(6*'V06 Calend 01'!E49))),('V06 Calend 01'!H49-('V06 Calend 01'!I49*('V06 Calend 01'!E49-1))),'V06 Calend 01'!I49),0))+IF((27='V06 Calend 01'!D49),'V06 Calend 01'!J49,0))</f>
        <v>0</v>
      </c>
      <c r="AN49" s="2">
        <f>((IF((28='V06 Calend 01'!C49),('V06 Calend 01'!F49+'V06 Calend 01'!G49),0)+IF(AND(('V06 Calend 01'!E49&gt;0),(28&gt;'V06 Calend 01'!C49),(28&lt;'V06 Calend 01'!D49),(MOD((28-'V06 Calend 01'!C49),6)=0),(((28-'V06 Calend 01'!C49)/6)&lt;='V06 Calend 01'!E49)),IF((28=('V06 Calend 01'!C49+(6*'V06 Calend 01'!E49))),('V06 Calend 01'!H49-('V06 Calend 01'!I49*('V06 Calend 01'!E49-1))),'V06 Calend 01'!I49),0))+IF((28='V06 Calend 01'!D49),'V06 Calend 01'!J49,0))</f>
        <v>67209.67000000001</v>
      </c>
      <c r="AO49" s="2">
        <f>((IF((29='V06 Calend 01'!C49),('V06 Calend 01'!F49+'V06 Calend 01'!G49),0)+IF(AND(('V06 Calend 01'!E49&gt;0),(29&gt;'V06 Calend 01'!C49),(29&lt;'V06 Calend 01'!D49),(MOD((29-'V06 Calend 01'!C49),6)=0),(((29-'V06 Calend 01'!C49)/6)&lt;='V06 Calend 01'!E49)),IF((29=('V06 Calend 01'!C49+(6*'V06 Calend 01'!E49))),('V06 Calend 01'!H49-('V06 Calend 01'!I49*('V06 Calend 01'!E49-1))),'V06 Calend 01'!I49),0))+IF((29='V06 Calend 01'!D49),'V06 Calend 01'!J49,0))</f>
        <v>0</v>
      </c>
      <c r="AP49" s="2">
        <f>((IF((30='V06 Calend 01'!C49),('V06 Calend 01'!F49+'V06 Calend 01'!G49),0)+IF(AND(('V06 Calend 01'!E49&gt;0),(30&gt;'V06 Calend 01'!C49),(30&lt;'V06 Calend 01'!D49),(MOD((30-'V06 Calend 01'!C49),6)=0),(((30-'V06 Calend 01'!C49)/6)&lt;='V06 Calend 01'!E49)),IF((30=('V06 Calend 01'!C49+(6*'V06 Calend 01'!E49))),('V06 Calend 01'!H49-('V06 Calend 01'!I49*('V06 Calend 01'!E49-1))),'V06 Calend 01'!I49),0))+IF((30='V06 Calend 01'!D49),'V06 Calend 01'!J49,0))</f>
        <v>97759.50999999995</v>
      </c>
      <c r="AQ49" s="2">
        <f>((IF((31='V06 Calend 01'!C49),('V06 Calend 01'!F49+'V06 Calend 01'!G49),0)+IF(AND(('V06 Calend 01'!E49&gt;0),(31&gt;'V06 Calend 01'!C49),(31&lt;'V06 Calend 01'!D49),(MOD((31-'V06 Calend 01'!C49),6)=0),(((31-'V06 Calend 01'!C49)/6)&lt;='V06 Calend 01'!E49)),IF((31=('V06 Calend 01'!C49+(6*'V06 Calend 01'!E49))),('V06 Calend 01'!H49-('V06 Calend 01'!I49*('V06 Calend 01'!E49-1))),'V06 Calend 01'!I49),0))+IF((31='V06 Calend 01'!D49),'V06 Calend 01'!J49,0))</f>
        <v>0</v>
      </c>
      <c r="AR49" s="2">
        <f>((IF((32='V06 Calend 01'!C49),('V06 Calend 01'!F49+'V06 Calend 01'!G49),0)+IF(AND(('V06 Calend 01'!E49&gt;0),(32&gt;'V06 Calend 01'!C49),(32&lt;'V06 Calend 01'!D49),(MOD((32-'V06 Calend 01'!C49),6)=0),(((32-'V06 Calend 01'!C49)/6)&lt;='V06 Calend 01'!E49)),IF((32=('V06 Calend 01'!C49+(6*'V06 Calend 01'!E49))),('V06 Calend 01'!H49-('V06 Calend 01'!I49*('V06 Calend 01'!E49-1))),'V06 Calend 01'!I49),0))+IF((32='V06 Calend 01'!D49),'V06 Calend 01'!J49,0))</f>
        <v>0</v>
      </c>
      <c r="AS49" s="2">
        <f>((IF((33='V06 Calend 01'!C49),('V06 Calend 01'!F49+'V06 Calend 01'!G49),0)+IF(AND(('V06 Calend 01'!E49&gt;0),(33&gt;'V06 Calend 01'!C49),(33&lt;'V06 Calend 01'!D49),(MOD((33-'V06 Calend 01'!C49),6)=0),(((33-'V06 Calend 01'!C49)/6)&lt;='V06 Calend 01'!E49)),IF((33=('V06 Calend 01'!C49+(6*'V06 Calend 01'!E49))),('V06 Calend 01'!H49-('V06 Calend 01'!I49*('V06 Calend 01'!E49-1))),'V06 Calend 01'!I49),0))+IF((33='V06 Calend 01'!D49),'V06 Calend 01'!J49,0))</f>
        <v>0</v>
      </c>
      <c r="AT49" s="2">
        <f>((IF((34='V06 Calend 01'!C49),('V06 Calend 01'!F49+'V06 Calend 01'!G49),0)+IF(AND(('V06 Calend 01'!E49&gt;0),(34&gt;'V06 Calend 01'!C49),(34&lt;'V06 Calend 01'!D49),(MOD((34-'V06 Calend 01'!C49),6)=0),(((34-'V06 Calend 01'!C49)/6)&lt;='V06 Calend 01'!E49)),IF((34=('V06 Calend 01'!C49+(6*'V06 Calend 01'!E49))),('V06 Calend 01'!H49-('V06 Calend 01'!I49*('V06 Calend 01'!E49-1))),'V06 Calend 01'!I49),0))+IF((34='V06 Calend 01'!D49),'V06 Calend 01'!J49,0))</f>
        <v>0</v>
      </c>
      <c r="AU49" s="2">
        <f>((IF((35='V06 Calend 01'!C49),('V06 Calend 01'!F49+'V06 Calend 01'!G49),0)+IF(AND(('V06 Calend 01'!E49&gt;0),(35&gt;'V06 Calend 01'!C49),(35&lt;'V06 Calend 01'!D49),(MOD((35-'V06 Calend 01'!C49),6)=0),(((35-'V06 Calend 01'!C49)/6)&lt;='V06 Calend 01'!E49)),IF((35=('V06 Calend 01'!C49+(6*'V06 Calend 01'!E49))),('V06 Calend 01'!H49-('V06 Calend 01'!I49*('V06 Calend 01'!E49-1))),'V06 Calend 01'!I49),0))+IF((35='V06 Calend 01'!D49),'V06 Calend 01'!J49,0))</f>
        <v>0</v>
      </c>
      <c r="AV49" s="2">
        <f>((IF((36='V06 Calend 01'!C49),('V06 Calend 01'!F49+'V06 Calend 01'!G49),0)+IF(AND(('V06 Calend 01'!E49&gt;0),(36&gt;'V06 Calend 01'!C49),(36&lt;'V06 Calend 01'!D49),(MOD((36-'V06 Calend 01'!C49),6)=0),(((36-'V06 Calend 01'!C49)/6)&lt;='V06 Calend 01'!E49)),IF((36=('V06 Calend 01'!C49+(6*'V06 Calend 01'!E49))),('V06 Calend 01'!H49-('V06 Calend 01'!I49*('V06 Calend 01'!E49-1))),'V06 Calend 01'!I49),0))+IF((36='V06 Calend 01'!D49),'V06 Calend 01'!J49,0))</f>
        <v>0</v>
      </c>
      <c r="AW49" s="2">
        <f>((IF((37='V06 Calend 01'!C49),('V06 Calend 01'!F49+'V06 Calend 01'!G49),0)+IF(AND(('V06 Calend 01'!E49&gt;0),(37&gt;'V06 Calend 01'!C49),(37&lt;'V06 Calend 01'!D49),(MOD((37-'V06 Calend 01'!C49),6)=0),(((37-'V06 Calend 01'!C49)/6)&lt;='V06 Calend 01'!E49)),IF((37=('V06 Calend 01'!C49+(6*'V06 Calend 01'!E49))),('V06 Calend 01'!H49-('V06 Calend 01'!I49*('V06 Calend 01'!E49-1))),'V06 Calend 01'!I49),0))+IF((37='V06 Calend 01'!D49),'V06 Calend 01'!J49,0))</f>
        <v>0</v>
      </c>
      <c r="AX49" s="2">
        <f>((IF((38='V06 Calend 01'!C49),('V06 Calend 01'!F49+'V06 Calend 01'!G49),0)+IF(AND(('V06 Calend 01'!E49&gt;0),(38&gt;'V06 Calend 01'!C49),(38&lt;'V06 Calend 01'!D49),(MOD((38-'V06 Calend 01'!C49),6)=0),(((38-'V06 Calend 01'!C49)/6)&lt;='V06 Calend 01'!E49)),IF((38=('V06 Calend 01'!C49+(6*'V06 Calend 01'!E49))),('V06 Calend 01'!H49-('V06 Calend 01'!I49*('V06 Calend 01'!E49-1))),'V06 Calend 01'!I49),0))+IF((38='V06 Calend 01'!D49),'V06 Calend 01'!J49,0))</f>
        <v>0</v>
      </c>
      <c r="AY49" s="2">
        <f>((IF((39='V06 Calend 01'!C49),('V06 Calend 01'!F49+'V06 Calend 01'!G49),0)+IF(AND(('V06 Calend 01'!E49&gt;0),(39&gt;'V06 Calend 01'!C49),(39&lt;'V06 Calend 01'!D49),(MOD((39-'V06 Calend 01'!C49),6)=0),(((39-'V06 Calend 01'!C49)/6)&lt;='V06 Calend 01'!E49)),IF((39=('V06 Calend 01'!C49+(6*'V06 Calend 01'!E49))),('V06 Calend 01'!H49-('V06 Calend 01'!I49*('V06 Calend 01'!E49-1))),'V06 Calend 01'!I49),0))+IF((39='V06 Calend 01'!D49),'V06 Calend 01'!J49,0))</f>
        <v>0</v>
      </c>
      <c r="AZ49" s="2">
        <f>((IF((40='V06 Calend 01'!C49),('V06 Calend 01'!F49+'V06 Calend 01'!G49),0)+IF(AND(('V06 Calend 01'!E49&gt;0),(40&gt;'V06 Calend 01'!C49),(40&lt;'V06 Calend 01'!D49),(MOD((40-'V06 Calend 01'!C49),6)=0),(((40-'V06 Calend 01'!C49)/6)&lt;='V06 Calend 01'!E49)),IF((40=('V06 Calend 01'!C49+(6*'V06 Calend 01'!E49))),('V06 Calend 01'!H49-('V06 Calend 01'!I49*('V06 Calend 01'!E49-1))),'V06 Calend 01'!I49),0))+IF((40='V06 Calend 01'!D49),'V06 Calend 01'!J49,0))</f>
        <v>0</v>
      </c>
      <c r="BA49" s="2">
        <f>((IF((41='V06 Calend 01'!C49),('V06 Calend 01'!F49+'V06 Calend 01'!G49),0)+IF(AND(('V06 Calend 01'!E49&gt;0),(41&gt;'V06 Calend 01'!C49),(41&lt;'V06 Calend 01'!D49),(MOD((41-'V06 Calend 01'!C49),6)=0),(((41-'V06 Calend 01'!C49)/6)&lt;='V06 Calend 01'!E49)),IF((41=('V06 Calend 01'!C49+(6*'V06 Calend 01'!E49))),('V06 Calend 01'!H49-('V06 Calend 01'!I49*('V06 Calend 01'!E49-1))),'V06 Calend 01'!I49),0))+IF((41='V06 Calend 01'!D49),'V06 Calend 01'!J49,0))</f>
        <v>0</v>
      </c>
      <c r="BB49" s="2">
        <f>((IF((42='V06 Calend 01'!C49),('V06 Calend 01'!F49+'V06 Calend 01'!G49),0)+IF(AND(('V06 Calend 01'!E49&gt;0),(42&gt;'V06 Calend 01'!C49),(42&lt;'V06 Calend 01'!D49),(MOD((42-'V06 Calend 01'!C49),6)=0),(((42-'V06 Calend 01'!C49)/6)&lt;='V06 Calend 01'!E49)),IF((42=('V06 Calend 01'!C49+(6*'V06 Calend 01'!E49))),('V06 Calend 01'!H49-('V06 Calend 01'!I49*('V06 Calend 01'!E49-1))),'V06 Calend 01'!I49),0))+IF((42='V06 Calend 01'!D49),'V06 Calend 01'!J49,0))</f>
        <v>0</v>
      </c>
      <c r="BC49" s="2">
        <f>((IF((43='V06 Calend 01'!C49),('V06 Calend 01'!F49+'V06 Calend 01'!G49),0)+IF(AND(('V06 Calend 01'!E49&gt;0),(43&gt;'V06 Calend 01'!C49),(43&lt;'V06 Calend 01'!D49),(MOD((43-'V06 Calend 01'!C49),6)=0),(((43-'V06 Calend 01'!C49)/6)&lt;='V06 Calend 01'!E49)),IF((43=('V06 Calend 01'!C49+(6*'V06 Calend 01'!E49))),('V06 Calend 01'!H49-('V06 Calend 01'!I49*('V06 Calend 01'!E49-1))),'V06 Calend 01'!I49),0))+IF((43='V06 Calend 01'!D49),'V06 Calend 01'!J49,0))</f>
        <v>0</v>
      </c>
      <c r="BD49" s="2">
        <f>((IF((44='V06 Calend 01'!C49),('V06 Calend 01'!F49+'V06 Calend 01'!G49),0)+IF(AND(('V06 Calend 01'!E49&gt;0),(44&gt;'V06 Calend 01'!C49),(44&lt;'V06 Calend 01'!D49),(MOD((44-'V06 Calend 01'!C49),6)=0),(((44-'V06 Calend 01'!C49)/6)&lt;='V06 Calend 01'!E49)),IF((44=('V06 Calend 01'!C49+(6*'V06 Calend 01'!E49))),('V06 Calend 01'!H49-('V06 Calend 01'!I49*('V06 Calend 01'!E49-1))),'V06 Calend 01'!I49),0))+IF((44='V06 Calend 01'!D49),'V06 Calend 01'!J49,0))</f>
        <v>0</v>
      </c>
      <c r="BE49" s="2">
        <f>((IF((45='V06 Calend 01'!C49),('V06 Calend 01'!F49+'V06 Calend 01'!G49),0)+IF(AND(('V06 Calend 01'!E49&gt;0),(45&gt;'V06 Calend 01'!C49),(45&lt;'V06 Calend 01'!D49),(MOD((45-'V06 Calend 01'!C49),6)=0),(((45-'V06 Calend 01'!C49)/6)&lt;='V06 Calend 01'!E49)),IF((45=('V06 Calend 01'!C49+(6*'V06 Calend 01'!E49))),('V06 Calend 01'!H49-('V06 Calend 01'!I49*('V06 Calend 01'!E49-1))),'V06 Calend 01'!I49),0))+IF((45='V06 Calend 01'!D49),'V06 Calend 01'!J49,0))</f>
        <v>0</v>
      </c>
      <c r="BF49" s="2">
        <f>((IF((46='V06 Calend 01'!C49),('V06 Calend 01'!F49+'V06 Calend 01'!G49),0)+IF(AND(('V06 Calend 01'!E49&gt;0),(46&gt;'V06 Calend 01'!C49),(46&lt;'V06 Calend 01'!D49),(MOD((46-'V06 Calend 01'!C49),6)=0),(((46-'V06 Calend 01'!C49)/6)&lt;='V06 Calend 01'!E49)),IF((46=('V06 Calend 01'!C49+(6*'V06 Calend 01'!E49))),('V06 Calend 01'!H49-('V06 Calend 01'!I49*('V06 Calend 01'!E49-1))),'V06 Calend 01'!I49),0))+IF((46='V06 Calend 01'!D49),'V06 Calend 01'!J49,0))</f>
        <v>0</v>
      </c>
      <c r="BG49" s="2">
        <f>((IF((47='V06 Calend 01'!C49),('V06 Calend 01'!F49+'V06 Calend 01'!G49),0)+IF(AND(('V06 Calend 01'!E49&gt;0),(47&gt;'V06 Calend 01'!C49),(47&lt;'V06 Calend 01'!D49),(MOD((47-'V06 Calend 01'!C49),6)=0),(((47-'V06 Calend 01'!C49)/6)&lt;='V06 Calend 01'!E49)),IF((47=('V06 Calend 01'!C49+(6*'V06 Calend 01'!E49))),('V06 Calend 01'!H49-('V06 Calend 01'!I49*('V06 Calend 01'!E49-1))),'V06 Calend 01'!I49),0))+IF((47='V06 Calend 01'!D49),'V06 Calend 01'!J49,0))</f>
        <v>0</v>
      </c>
      <c r="BH49" s="2">
        <f>((IF((48='V06 Calend 01'!C49),('V06 Calend 01'!F49+'V06 Calend 01'!G49),0)+IF(AND(('V06 Calend 01'!E49&gt;0),(48&gt;'V06 Calend 01'!C49),(48&lt;'V06 Calend 01'!D49),(MOD((48-'V06 Calend 01'!C49),6)=0),(((48-'V06 Calend 01'!C49)/6)&lt;='V06 Calend 01'!E49)),IF((48=('V06 Calend 01'!C49+(6*'V06 Calend 01'!E49))),('V06 Calend 01'!H49-('V06 Calend 01'!I49*('V06 Calend 01'!E49-1))),'V06 Calend 01'!I49),0))+IF((48='V06 Calend 01'!D49),'V06 Calend 01'!J49,0))</f>
        <v>0</v>
      </c>
      <c r="BI49" s="2">
        <f>((IF((49='V06 Calend 01'!C49),('V06 Calend 01'!F49+'V06 Calend 01'!G49),0)+IF(AND(('V06 Calend 01'!E49&gt;0),(49&gt;'V06 Calend 01'!C49),(49&lt;'V06 Calend 01'!D49),(MOD((49-'V06 Calend 01'!C49),6)=0),(((49-'V06 Calend 01'!C49)/6)&lt;='V06 Calend 01'!E49)),IF((49=('V06 Calend 01'!C49+(6*'V06 Calend 01'!E49))),('V06 Calend 01'!H49-('V06 Calend 01'!I49*('V06 Calend 01'!E49-1))),'V06 Calend 01'!I49),0))+IF((49='V06 Calend 01'!D49),'V06 Calend 01'!J49,0))</f>
        <v>0</v>
      </c>
      <c r="BJ49" s="2">
        <f>((IF((50='V06 Calend 01'!C49),('V06 Calend 01'!F49+'V06 Calend 01'!G49),0)+IF(AND(('V06 Calend 01'!E49&gt;0),(50&gt;'V06 Calend 01'!C49),(50&lt;'V06 Calend 01'!D49),(MOD((50-'V06 Calend 01'!C49),6)=0),(((50-'V06 Calend 01'!C49)/6)&lt;='V06 Calend 01'!E49)),IF((50=('V06 Calend 01'!C49+(6*'V06 Calend 01'!E49))),('V06 Calend 01'!H49-('V06 Calend 01'!I49*('V06 Calend 01'!E49-1))),'V06 Calend 01'!I49),0))+IF((50='V06 Calend 01'!D49),'V06 Calend 01'!J49,0))</f>
        <v>0</v>
      </c>
      <c r="BK49" s="2">
        <f>((IF((51='V06 Calend 01'!C49),('V06 Calend 01'!F49+'V06 Calend 01'!G49),0)+IF(AND(('V06 Calend 01'!E49&gt;0),(51&gt;'V06 Calend 01'!C49),(51&lt;'V06 Calend 01'!D49),(MOD((51-'V06 Calend 01'!C49),6)=0),(((51-'V06 Calend 01'!C49)/6)&lt;='V06 Calend 01'!E49)),IF((51=('V06 Calend 01'!C49+(6*'V06 Calend 01'!E49))),('V06 Calend 01'!H49-('V06 Calend 01'!I49*('V06 Calend 01'!E49-1))),'V06 Calend 01'!I49),0))+IF((51='V06 Calend 01'!D49),'V06 Calend 01'!J49,0))</f>
        <v>0</v>
      </c>
      <c r="BL49" s="2">
        <f>((IF((52='V06 Calend 01'!C49),('V06 Calend 01'!F49+'V06 Calend 01'!G49),0)+IF(AND(('V06 Calend 01'!E49&gt;0),(52&gt;'V06 Calend 01'!C49),(52&lt;'V06 Calend 01'!D49),(MOD((52-'V06 Calend 01'!C49),6)=0),(((52-'V06 Calend 01'!C49)/6)&lt;='V06 Calend 01'!E49)),IF((52=('V06 Calend 01'!C49+(6*'V06 Calend 01'!E49))),('V06 Calend 01'!H49-('V06 Calend 01'!I49*('V06 Calend 01'!E49-1))),'V06 Calend 01'!I49),0))+IF((52='V06 Calend 01'!D49),'V06 Calend 01'!J49,0))</f>
        <v>0</v>
      </c>
      <c r="BM49" s="2">
        <f>((IF((53='V06 Calend 01'!C49),('V06 Calend 01'!F49+'V06 Calend 01'!G49),0)+IF(AND(('V06 Calend 01'!E49&gt;0),(53&gt;'V06 Calend 01'!C49),(53&lt;'V06 Calend 01'!D49),(MOD((53-'V06 Calend 01'!C49),6)=0),(((53-'V06 Calend 01'!C49)/6)&lt;='V06 Calend 01'!E49)),IF((53=('V06 Calend 01'!C49+(6*'V06 Calend 01'!E49))),('V06 Calend 01'!H49-('V06 Calend 01'!I49*('V06 Calend 01'!E49-1))),'V06 Calend 01'!I49),0))+IF((53='V06 Calend 01'!D49),'V06 Calend 01'!J49,0))</f>
        <v>0</v>
      </c>
      <c r="BN49" s="2">
        <f>((IF((54='V06 Calend 01'!C49),('V06 Calend 01'!F49+'V06 Calend 01'!G49),0)+IF(AND(('V06 Calend 01'!E49&gt;0),(54&gt;'V06 Calend 01'!C49),(54&lt;'V06 Calend 01'!D49),(MOD((54-'V06 Calend 01'!C49),6)=0),(((54-'V06 Calend 01'!C49)/6)&lt;='V06 Calend 01'!E49)),IF((54=('V06 Calend 01'!C49+(6*'V06 Calend 01'!E49))),('V06 Calend 01'!H49-('V06 Calend 01'!I49*('V06 Calend 01'!E49-1))),'V06 Calend 01'!I49),0))+IF((54='V06 Calend 01'!D49),'V06 Calend 01'!J49,0))</f>
        <v>0</v>
      </c>
      <c r="BO49" s="2">
        <f>((IF((55='V06 Calend 01'!C49),('V06 Calend 01'!F49+'V06 Calend 01'!G49),0)+IF(AND(('V06 Calend 01'!E49&gt;0),(55&gt;'V06 Calend 01'!C49),(55&lt;'V06 Calend 01'!D49),(MOD((55-'V06 Calend 01'!C49),6)=0),(((55-'V06 Calend 01'!C49)/6)&lt;='V06 Calend 01'!E49)),IF((55=('V06 Calend 01'!C49+(6*'V06 Calend 01'!E49))),('V06 Calend 01'!H49-('V06 Calend 01'!I49*('V06 Calend 01'!E49-1))),'V06 Calend 01'!I49),0))+IF((55='V06 Calend 01'!D49),'V06 Calend 01'!J49,0))</f>
        <v>0</v>
      </c>
      <c r="BP49" s="2">
        <f>((IF((56='V06 Calend 01'!C49),('V06 Calend 01'!F49+'V06 Calend 01'!G49),0)+IF(AND(('V06 Calend 01'!E49&gt;0),(56&gt;'V06 Calend 01'!C49),(56&lt;'V06 Calend 01'!D49),(MOD((56-'V06 Calend 01'!C49),6)=0),(((56-'V06 Calend 01'!C49)/6)&lt;='V06 Calend 01'!E49)),IF((56=('V06 Calend 01'!C49+(6*'V06 Calend 01'!E49))),('V06 Calend 01'!H49-('V06 Calend 01'!I49*('V06 Calend 01'!E49-1))),'V06 Calend 01'!I49),0))+IF((56='V06 Calend 01'!D49),'V06 Calend 01'!J49,0))</f>
        <v>0</v>
      </c>
      <c r="BQ49" s="2">
        <f>((IF((57='V06 Calend 01'!C49),('V06 Calend 01'!F49+'V06 Calend 01'!G49),0)+IF(AND(('V06 Calend 01'!E49&gt;0),(57&gt;'V06 Calend 01'!C49),(57&lt;'V06 Calend 01'!D49),(MOD((57-'V06 Calend 01'!C49),6)=0),(((57-'V06 Calend 01'!C49)/6)&lt;='V06 Calend 01'!E49)),IF((57=('V06 Calend 01'!C49+(6*'V06 Calend 01'!E49))),('V06 Calend 01'!H49-('V06 Calend 01'!I49*('V06 Calend 01'!E49-1))),'V06 Calend 01'!I49),0))+IF((57='V06 Calend 01'!D49),'V06 Calend 01'!J49,0))</f>
        <v>0</v>
      </c>
      <c r="BR49" s="2">
        <f>((IF((58='V06 Calend 01'!C49),('V06 Calend 01'!F49+'V06 Calend 01'!G49),0)+IF(AND(('V06 Calend 01'!E49&gt;0),(58&gt;'V06 Calend 01'!C49),(58&lt;'V06 Calend 01'!D49),(MOD((58-'V06 Calend 01'!C49),6)=0),(((58-'V06 Calend 01'!C49)/6)&lt;='V06 Calend 01'!E49)),IF((58=('V06 Calend 01'!C49+(6*'V06 Calend 01'!E49))),('V06 Calend 01'!H49-('V06 Calend 01'!I49*('V06 Calend 01'!E49-1))),'V06 Calend 01'!I49),0))+IF((58='V06 Calend 01'!D49),'V06 Calend 01'!J49,0))</f>
        <v>0</v>
      </c>
      <c r="BS49" s="2">
        <f>((IF((59='V06 Calend 01'!C49),('V06 Calend 01'!F49+'V06 Calend 01'!G49),0)+IF(AND(('V06 Calend 01'!E49&gt;0),(59&gt;'V06 Calend 01'!C49),(59&lt;'V06 Calend 01'!D49),(MOD((59-'V06 Calend 01'!C49),6)=0),(((59-'V06 Calend 01'!C49)/6)&lt;='V06 Calend 01'!E49)),IF((59=('V06 Calend 01'!C49+(6*'V06 Calend 01'!E49))),('V06 Calend 01'!H49-('V06 Calend 01'!I49*('V06 Calend 01'!E49-1))),'V06 Calend 01'!I49),0))+IF((59='V06 Calend 01'!D49),'V06 Calend 01'!J49,0))</f>
        <v>0</v>
      </c>
      <c r="BT49" s="2">
        <f>((IF((60='V06 Calend 01'!C49),('V06 Calend 01'!F49+'V06 Calend 01'!G49),0)+IF(AND(('V06 Calend 01'!E49&gt;0),(60&gt;'V06 Calend 01'!C49),(60&lt;'V06 Calend 01'!D49),(MOD((60-'V06 Calend 01'!C49),6)=0),(((60-'V06 Calend 01'!C49)/6)&lt;='V06 Calend 01'!E49)),IF((60=('V06 Calend 01'!C49+(6*'V06 Calend 01'!E49))),('V06 Calend 01'!H49-('V06 Calend 01'!I49*('V06 Calend 01'!E49-1))),'V06 Calend 01'!I49),0))+IF((60='V06 Calend 01'!D49),'V06 Calend 01'!J49,0))</f>
        <v>0</v>
      </c>
      <c r="BU49" s="2">
        <f>((IF((61='V06 Calend 01'!C49),('V06 Calend 01'!F49+'V06 Calend 01'!G49),0)+IF(AND(('V06 Calend 01'!E49&gt;0),(61&gt;'V06 Calend 01'!C49),(61&lt;'V06 Calend 01'!D49),(MOD((61-'V06 Calend 01'!C49),6)=0),(((61-'V06 Calend 01'!C49)/6)&lt;='V06 Calend 01'!E49)),IF((61=('V06 Calend 01'!C49+(6*'V06 Calend 01'!E49))),('V06 Calend 01'!H49-('V06 Calend 01'!I49*('V06 Calend 01'!E49-1))),'V06 Calend 01'!I49),0))+IF((61='V06 Calend 01'!D49),'V06 Calend 01'!J49,0))</f>
        <v>0</v>
      </c>
      <c r="BV49" s="2">
        <f>((IF((62='V06 Calend 01'!C49),('V06 Calend 01'!F49+'V06 Calend 01'!G49),0)+IF(AND(('V06 Calend 01'!E49&gt;0),(62&gt;'V06 Calend 01'!C49),(62&lt;'V06 Calend 01'!D49),(MOD((62-'V06 Calend 01'!C49),6)=0),(((62-'V06 Calend 01'!C49)/6)&lt;='V06 Calend 01'!E49)),IF((62=('V06 Calend 01'!C49+(6*'V06 Calend 01'!E49))),('V06 Calend 01'!H49-('V06 Calend 01'!I49*('V06 Calend 01'!E49-1))),'V06 Calend 01'!I49),0))+IF((62='V06 Calend 01'!D49),'V06 Calend 01'!J49,0))</f>
        <v>0</v>
      </c>
      <c r="BW49" s="2">
        <f>((IF((63='V06 Calend 01'!C49),('V06 Calend 01'!F49+'V06 Calend 01'!G49),0)+IF(AND(('V06 Calend 01'!E49&gt;0),(63&gt;'V06 Calend 01'!C49),(63&lt;'V06 Calend 01'!D49),(MOD((63-'V06 Calend 01'!C49),6)=0),(((63-'V06 Calend 01'!C49)/6)&lt;='V06 Calend 01'!E49)),IF((63=('V06 Calend 01'!C49+(6*'V06 Calend 01'!E49))),('V06 Calend 01'!H49-('V06 Calend 01'!I49*('V06 Calend 01'!E49-1))),'V06 Calend 01'!I49),0))+IF((63='V06 Calend 01'!D49),'V06 Calend 01'!J49,0))</f>
        <v>0</v>
      </c>
      <c r="BX49" s="2">
        <f>((IF((64='V06 Calend 01'!C49),('V06 Calend 01'!F49+'V06 Calend 01'!G49),0)+IF(AND(('V06 Calend 01'!E49&gt;0),(64&gt;'V06 Calend 01'!C49),(64&lt;'V06 Calend 01'!D49),(MOD((64-'V06 Calend 01'!C49),6)=0),(((64-'V06 Calend 01'!C49)/6)&lt;='V06 Calend 01'!E49)),IF((64=('V06 Calend 01'!C49+(6*'V06 Calend 01'!E49))),('V06 Calend 01'!H49-('V06 Calend 01'!I49*('V06 Calend 01'!E49-1))),'V06 Calend 01'!I49),0))+IF((64='V06 Calend 01'!D49),'V06 Calend 01'!J49,0))</f>
        <v>0</v>
      </c>
      <c r="BY49" s="2">
        <f>((IF((65='V06 Calend 01'!C49),('V06 Calend 01'!F49+'V06 Calend 01'!G49),0)+IF(AND(('V06 Calend 01'!E49&gt;0),(65&gt;'V06 Calend 01'!C49),(65&lt;'V06 Calend 01'!D49),(MOD((65-'V06 Calend 01'!C49),6)=0),(((65-'V06 Calend 01'!C49)/6)&lt;='V06 Calend 01'!E49)),IF((65=('V06 Calend 01'!C49+(6*'V06 Calend 01'!E49))),('V06 Calend 01'!H49-('V06 Calend 01'!I49*('V06 Calend 01'!E49-1))),'V06 Calend 01'!I49),0))+IF((65='V06 Calend 01'!D49),'V06 Calend 01'!J49,0))</f>
        <v>0</v>
      </c>
      <c r="BZ49" s="2">
        <f>((IF((66='V06 Calend 01'!C49),('V06 Calend 01'!F49+'V06 Calend 01'!G49),0)+IF(AND(('V06 Calend 01'!E49&gt;0),(66&gt;'V06 Calend 01'!C49),(66&lt;'V06 Calend 01'!D49),(MOD((66-'V06 Calend 01'!C49),6)=0),(((66-'V06 Calend 01'!C49)/6)&lt;='V06 Calend 01'!E49)),IF((66=('V06 Calend 01'!C49+(6*'V06 Calend 01'!E49))),('V06 Calend 01'!H49-('V06 Calend 01'!I49*('V06 Calend 01'!E49-1))),'V06 Calend 01'!I49),0))+IF((66='V06 Calend 01'!D49),'V06 Calend 01'!J49,0))</f>
        <v>0</v>
      </c>
      <c r="CA49" s="2">
        <f>((IF((67='V06 Calend 01'!C49),('V06 Calend 01'!F49+'V06 Calend 01'!G49),0)+IF(AND(('V06 Calend 01'!E49&gt;0),(67&gt;'V06 Calend 01'!C49),(67&lt;'V06 Calend 01'!D49),(MOD((67-'V06 Calend 01'!C49),6)=0),(((67-'V06 Calend 01'!C49)/6)&lt;='V06 Calend 01'!E49)),IF((67=('V06 Calend 01'!C49+(6*'V06 Calend 01'!E49))),('V06 Calend 01'!H49-('V06 Calend 01'!I49*('V06 Calend 01'!E49-1))),'V06 Calend 01'!I49),0))+IF((67='V06 Calend 01'!D49),'V06 Calend 01'!J49,0))</f>
        <v>0</v>
      </c>
      <c r="CB49" s="2">
        <f>((IF((68='V06 Calend 01'!C49),('V06 Calend 01'!F49+'V06 Calend 01'!G49),0)+IF(AND(('V06 Calend 01'!E49&gt;0),(68&gt;'V06 Calend 01'!C49),(68&lt;'V06 Calend 01'!D49),(MOD((68-'V06 Calend 01'!C49),6)=0),(((68-'V06 Calend 01'!C49)/6)&lt;='V06 Calend 01'!E49)),IF((68=('V06 Calend 01'!C49+(6*'V06 Calend 01'!E49))),('V06 Calend 01'!H49-('V06 Calend 01'!I49*('V06 Calend 01'!E49-1))),'V06 Calend 01'!I49),0))+IF((68='V06 Calend 01'!D49),'V06 Calend 01'!J49,0))</f>
        <v>0</v>
      </c>
      <c r="CC49" s="2">
        <f>((IF((69='V06 Calend 01'!C49),('V06 Calend 01'!F49+'V06 Calend 01'!G49),0)+IF(AND(('V06 Calend 01'!E49&gt;0),(69&gt;'V06 Calend 01'!C49),(69&lt;'V06 Calend 01'!D49),(MOD((69-'V06 Calend 01'!C49),6)=0),(((69-'V06 Calend 01'!C49)/6)&lt;='V06 Calend 01'!E49)),IF((69=('V06 Calend 01'!C49+(6*'V06 Calend 01'!E49))),('V06 Calend 01'!H49-('V06 Calend 01'!I49*('V06 Calend 01'!E49-1))),'V06 Calend 01'!I49),0))+IF((69='V06 Calend 01'!D49),'V06 Calend 01'!J49,0))</f>
        <v>0</v>
      </c>
      <c r="CD49" s="2">
        <f>((IF((70='V06 Calend 01'!C49),('V06 Calend 01'!F49+'V06 Calend 01'!G49),0)+IF(AND(('V06 Calend 01'!E49&gt;0),(70&gt;'V06 Calend 01'!C49),(70&lt;'V06 Calend 01'!D49),(MOD((70-'V06 Calend 01'!C49),6)=0),(((70-'V06 Calend 01'!C49)/6)&lt;='V06 Calend 01'!E49)),IF((70=('V06 Calend 01'!C49+(6*'V06 Calend 01'!E49))),('V06 Calend 01'!H49-('V06 Calend 01'!I49*('V06 Calend 01'!E49-1))),'V06 Calend 01'!I49),0))+IF((70='V06 Calend 01'!D49),'V06 Calend 01'!J49,0))</f>
        <v>0</v>
      </c>
      <c r="CE49" s="2">
        <f>((IF((71='V06 Calend 01'!C49),('V06 Calend 01'!F49+'V06 Calend 01'!G49),0)+IF(AND(('V06 Calend 01'!E49&gt;0),(71&gt;'V06 Calend 01'!C49),(71&lt;'V06 Calend 01'!D49),(MOD((71-'V06 Calend 01'!C49),6)=0),(((71-'V06 Calend 01'!C49)/6)&lt;='V06 Calend 01'!E49)),IF((71=('V06 Calend 01'!C49+(6*'V06 Calend 01'!E49))),('V06 Calend 01'!H49-('V06 Calend 01'!I49*('V06 Calend 01'!E49-1))),'V06 Calend 01'!I49),0))+IF((71='V06 Calend 01'!D49),'V06 Calend 01'!J49,0))</f>
        <v>0</v>
      </c>
      <c r="CF49" s="2">
        <f>((IF((72='V06 Calend 01'!C49),('V06 Calend 01'!F49+'V06 Calend 01'!G49),0)+IF(AND(('V06 Calend 01'!E49&gt;0),(72&gt;'V06 Calend 01'!C49),(72&lt;'V06 Calend 01'!D49),(MOD((72-'V06 Calend 01'!C49),6)=0),(((72-'V06 Calend 01'!C49)/6)&lt;='V06 Calend 01'!E49)),IF((72=('V06 Calend 01'!C49+(6*'V06 Calend 01'!E49))),('V06 Calend 01'!H49-('V06 Calend 01'!I49*('V06 Calend 01'!E49-1))),'V06 Calend 01'!I49),0))+IF((72='V06 Calend 01'!D49),'V06 Calend 01'!J49,0))</f>
        <v>0</v>
      </c>
      <c r="CG49" s="2">
        <f>((IF((73='V06 Calend 01'!C49),('V06 Calend 01'!F49+'V06 Calend 01'!G49),0)+IF(AND(('V06 Calend 01'!E49&gt;0),(73&gt;'V06 Calend 01'!C49),(73&lt;'V06 Calend 01'!D49),(MOD((73-'V06 Calend 01'!C49),6)=0),(((73-'V06 Calend 01'!C49)/6)&lt;='V06 Calend 01'!E49)),IF((73=('V06 Calend 01'!C49+(6*'V06 Calend 01'!E49))),('V06 Calend 01'!H49-('V06 Calend 01'!I49*('V06 Calend 01'!E49-1))),'V06 Calend 01'!I49),0))+IF((73='V06 Calend 01'!D49),'V06 Calend 01'!J49,0))</f>
        <v>0</v>
      </c>
      <c r="CH49" s="2">
        <f>((IF((74='V06 Calend 01'!C49),('V06 Calend 01'!F49+'V06 Calend 01'!G49),0)+IF(AND(('V06 Calend 01'!E49&gt;0),(74&gt;'V06 Calend 01'!C49),(74&lt;'V06 Calend 01'!D49),(MOD((74-'V06 Calend 01'!C49),6)=0),(((74-'V06 Calend 01'!C49)/6)&lt;='V06 Calend 01'!E49)),IF((74=('V06 Calend 01'!C49+(6*'V06 Calend 01'!E49))),('V06 Calend 01'!H49-('V06 Calend 01'!I49*('V06 Calend 01'!E49-1))),'V06 Calend 01'!I49),0))+IF((74='V06 Calend 01'!D49),'V06 Calend 01'!J49,0))</f>
        <v>0</v>
      </c>
      <c r="CI49" s="2">
        <f>((IF((75='V06 Calend 01'!C49),('V06 Calend 01'!F49+'V06 Calend 01'!G49),0)+IF(AND(('V06 Calend 01'!E49&gt;0),(75&gt;'V06 Calend 01'!C49),(75&lt;'V06 Calend 01'!D49),(MOD((75-'V06 Calend 01'!C49),6)=0),(((75-'V06 Calend 01'!C49)/6)&lt;='V06 Calend 01'!E49)),IF((75=('V06 Calend 01'!C49+(6*'V06 Calend 01'!E49))),('V06 Calend 01'!H49-('V06 Calend 01'!I49*('V06 Calend 01'!E49-1))),'V06 Calend 01'!I49),0))+IF((75='V06 Calend 01'!D49),'V06 Calend 01'!J49,0))</f>
        <v>0</v>
      </c>
      <c r="CJ49" s="2">
        <f>((IF((76='V06 Calend 01'!C49),('V06 Calend 01'!F49+'V06 Calend 01'!G49),0)+IF(AND(('V06 Calend 01'!E49&gt;0),(76&gt;'V06 Calend 01'!C49),(76&lt;'V06 Calend 01'!D49),(MOD((76-'V06 Calend 01'!C49),6)=0),(((76-'V06 Calend 01'!C49)/6)&lt;='V06 Calend 01'!E49)),IF((76=('V06 Calend 01'!C49+(6*'V06 Calend 01'!E49))),('V06 Calend 01'!H49-('V06 Calend 01'!I49*('V06 Calend 01'!E49-1))),'V06 Calend 01'!I49),0))+IF((76='V06 Calend 01'!D49),'V06 Calend 01'!J49,0))</f>
        <v>0</v>
      </c>
      <c r="CK49" s="2">
        <f>((IF((77='V06 Calend 01'!C49),('V06 Calend 01'!F49+'V06 Calend 01'!G49),0)+IF(AND(('V06 Calend 01'!E49&gt;0),(77&gt;'V06 Calend 01'!C49),(77&lt;'V06 Calend 01'!D49),(MOD((77-'V06 Calend 01'!C49),6)=0),(((77-'V06 Calend 01'!C49)/6)&lt;='V06 Calend 01'!E49)),IF((77=('V06 Calend 01'!C49+(6*'V06 Calend 01'!E49))),('V06 Calend 01'!H49-('V06 Calend 01'!I49*('V06 Calend 01'!E49-1))),'V06 Calend 01'!I49),0))+IF((77='V06 Calend 01'!D49),'V06 Calend 01'!J49,0))</f>
        <v>0</v>
      </c>
      <c r="CL49" s="2">
        <f>((IF((78='V06 Calend 01'!C49),('V06 Calend 01'!F49+'V06 Calend 01'!G49),0)+IF(AND(('V06 Calend 01'!E49&gt;0),(78&gt;'V06 Calend 01'!C49),(78&lt;'V06 Calend 01'!D49),(MOD((78-'V06 Calend 01'!C49),6)=0),(((78-'V06 Calend 01'!C49)/6)&lt;='V06 Calend 01'!E49)),IF((78=('V06 Calend 01'!C49+(6*'V06 Calend 01'!E49))),('V06 Calend 01'!H49-('V06 Calend 01'!I49*('V06 Calend 01'!E49-1))),'V06 Calend 01'!I49),0))+IF((78='V06 Calend 01'!D49),'V06 Calend 01'!J49,0))</f>
        <v>0</v>
      </c>
      <c r="CM49" s="2">
        <f>((IF((79='V06 Calend 01'!C49),('V06 Calend 01'!F49+'V06 Calend 01'!G49),0)+IF(AND(('V06 Calend 01'!E49&gt;0),(79&gt;'V06 Calend 01'!C49),(79&lt;'V06 Calend 01'!D49),(MOD((79-'V06 Calend 01'!C49),6)=0),(((79-'V06 Calend 01'!C49)/6)&lt;='V06 Calend 01'!E49)),IF((79=('V06 Calend 01'!C49+(6*'V06 Calend 01'!E49))),('V06 Calend 01'!H49-('V06 Calend 01'!I49*('V06 Calend 01'!E49-1))),'V06 Calend 01'!I49),0))+IF((79='V06 Calend 01'!D49),'V06 Calend 01'!J49,0))</f>
        <v>0</v>
      </c>
      <c r="CN49" s="2">
        <f>((IF((80='V06 Calend 01'!C49),('V06 Calend 01'!F49+'V06 Calend 01'!G49),0)+IF(AND(('V06 Calend 01'!E49&gt;0),(80&gt;'V06 Calend 01'!C49),(80&lt;'V06 Calend 01'!D49),(MOD((80-'V06 Calend 01'!C49),6)=0),(((80-'V06 Calend 01'!C49)/6)&lt;='V06 Calend 01'!E49)),IF((80=('V06 Calend 01'!C49+(6*'V06 Calend 01'!E49))),('V06 Calend 01'!H49-('V06 Calend 01'!I49*('V06 Calend 01'!E49-1))),'V06 Calend 01'!I49),0))+IF((80='V06 Calend 01'!D49),'V06 Calend 01'!J49,0))</f>
        <v>0</v>
      </c>
      <c r="CO49" s="2">
        <f>((IF((81='V06 Calend 01'!C49),('V06 Calend 01'!F49+'V06 Calend 01'!G49),0)+IF(AND(('V06 Calend 01'!E49&gt;0),(81&gt;'V06 Calend 01'!C49),(81&lt;'V06 Calend 01'!D49),(MOD((81-'V06 Calend 01'!C49),6)=0),(((81-'V06 Calend 01'!C49)/6)&lt;='V06 Calend 01'!E49)),IF((81=('V06 Calend 01'!C49+(6*'V06 Calend 01'!E49))),('V06 Calend 01'!H49-('V06 Calend 01'!I49*('V06 Calend 01'!E49-1))),'V06 Calend 01'!I49),0))+IF((81='V06 Calend 01'!D49),'V06 Calend 01'!J49,0))</f>
        <v>0</v>
      </c>
      <c r="CP49" s="2">
        <f>((IF((82='V06 Calend 01'!C49),('V06 Calend 01'!F49+'V06 Calend 01'!G49),0)+IF(AND(('V06 Calend 01'!E49&gt;0),(82&gt;'V06 Calend 01'!C49),(82&lt;'V06 Calend 01'!D49),(MOD((82-'V06 Calend 01'!C49),6)=0),(((82-'V06 Calend 01'!C49)/6)&lt;='V06 Calend 01'!E49)),IF((82=('V06 Calend 01'!C49+(6*'V06 Calend 01'!E49))),('V06 Calend 01'!H49-('V06 Calend 01'!I49*('V06 Calend 01'!E49-1))),'V06 Calend 01'!I49),0))+IF((82='V06 Calend 01'!D49),'V06 Calend 01'!J49,0))</f>
        <v>0</v>
      </c>
      <c r="CQ49" s="2">
        <f>((IF((83='V06 Calend 01'!C49),('V06 Calend 01'!F49+'V06 Calend 01'!G49),0)+IF(AND(('V06 Calend 01'!E49&gt;0),(83&gt;'V06 Calend 01'!C49),(83&lt;'V06 Calend 01'!D49),(MOD((83-'V06 Calend 01'!C49),6)=0),(((83-'V06 Calend 01'!C49)/6)&lt;='V06 Calend 01'!E49)),IF((83=('V06 Calend 01'!C49+(6*'V06 Calend 01'!E49))),('V06 Calend 01'!H49-('V06 Calend 01'!I49*('V06 Calend 01'!E49-1))),'V06 Calend 01'!I49),0))+IF((83='V06 Calend 01'!D49),'V06 Calend 01'!J49,0))</f>
        <v>0</v>
      </c>
      <c r="CR49" s="2">
        <f>((IF((84='V06 Calend 01'!C49),('V06 Calend 01'!F49+'V06 Calend 01'!G49),0)+IF(AND(('V06 Calend 01'!E49&gt;0),(84&gt;'V06 Calend 01'!C49),(84&lt;'V06 Calend 01'!D49),(MOD((84-'V06 Calend 01'!C49),6)=0),(((84-'V06 Calend 01'!C49)/6)&lt;='V06 Calend 01'!E49)),IF((84=('V06 Calend 01'!C49+(6*'V06 Calend 01'!E49))),('V06 Calend 01'!H49-('V06 Calend 01'!I49*('V06 Calend 01'!E49-1))),'V06 Calend 01'!I49),0))+IF((84='V06 Calend 01'!D49),'V06 Calend 01'!J49,0))</f>
        <v>0</v>
      </c>
      <c r="CS49" s="2">
        <f>((IF((85='V06 Calend 01'!C49),('V06 Calend 01'!F49+'V06 Calend 01'!G49),0)+IF(AND(('V06 Calend 01'!E49&gt;0),(85&gt;'V06 Calend 01'!C49),(85&lt;'V06 Calend 01'!D49),(MOD((85-'V06 Calend 01'!C49),6)=0),(((85-'V06 Calend 01'!C49)/6)&lt;='V06 Calend 01'!E49)),IF((85=('V06 Calend 01'!C49+(6*'V06 Calend 01'!E49))),('V06 Calend 01'!H49-('V06 Calend 01'!I49*('V06 Calend 01'!E49-1))),'V06 Calend 01'!I49),0))+IF((85='V06 Calend 01'!D49),'V06 Calend 01'!J49,0))</f>
        <v>0</v>
      </c>
      <c r="CT49" s="2">
        <f>((IF((86='V06 Calend 01'!C49),('V06 Calend 01'!F49+'V06 Calend 01'!G49),0)+IF(AND(('V06 Calend 01'!E49&gt;0),(86&gt;'V06 Calend 01'!C49),(86&lt;'V06 Calend 01'!D49),(MOD((86-'V06 Calend 01'!C49),6)=0),(((86-'V06 Calend 01'!C49)/6)&lt;='V06 Calend 01'!E49)),IF((86=('V06 Calend 01'!C49+(6*'V06 Calend 01'!E49))),('V06 Calend 01'!H49-('V06 Calend 01'!I49*('V06 Calend 01'!E49-1))),'V06 Calend 01'!I49),0))+IF((86='V06 Calend 01'!D49),'V06 Calend 01'!J49,0))</f>
        <v>0</v>
      </c>
      <c r="CU49" s="2">
        <f>((IF((87='V06 Calend 01'!C49),('V06 Calend 01'!F49+'V06 Calend 01'!G49),0)+IF(AND(('V06 Calend 01'!E49&gt;0),(87&gt;'V06 Calend 01'!C49),(87&lt;'V06 Calend 01'!D49),(MOD((87-'V06 Calend 01'!C49),6)=0),(((87-'V06 Calend 01'!C49)/6)&lt;='V06 Calend 01'!E49)),IF((87=('V06 Calend 01'!C49+(6*'V06 Calend 01'!E49))),('V06 Calend 01'!H49-('V06 Calend 01'!I49*('V06 Calend 01'!E49-1))),'V06 Calend 01'!I49),0))+IF((87='V06 Calend 01'!D49),'V06 Calend 01'!J49,0))</f>
        <v>0</v>
      </c>
      <c r="CV49" s="2">
        <f>((IF((88='V06 Calend 01'!C49),('V06 Calend 01'!F49+'V06 Calend 01'!G49),0)+IF(AND(('V06 Calend 01'!E49&gt;0),(88&gt;'V06 Calend 01'!C49),(88&lt;'V06 Calend 01'!D49),(MOD((88-'V06 Calend 01'!C49),6)=0),(((88-'V06 Calend 01'!C49)/6)&lt;='V06 Calend 01'!E49)),IF((88=('V06 Calend 01'!C49+(6*'V06 Calend 01'!E49))),('V06 Calend 01'!H49-('V06 Calend 01'!I49*('V06 Calend 01'!E49-1))),'V06 Calend 01'!I49),0))+IF((88='V06 Calend 01'!D49),'V06 Calend 01'!J49,0))</f>
        <v>0</v>
      </c>
      <c r="CW49" s="2">
        <f>((IF((89='V06 Calend 01'!C49),('V06 Calend 01'!F49+'V06 Calend 01'!G49),0)+IF(AND(('V06 Calend 01'!E49&gt;0),(89&gt;'V06 Calend 01'!C49),(89&lt;'V06 Calend 01'!D49),(MOD((89-'V06 Calend 01'!C49),6)=0),(((89-'V06 Calend 01'!C49)/6)&lt;='V06 Calend 01'!E49)),IF((89=('V06 Calend 01'!C49+(6*'V06 Calend 01'!E49))),('V06 Calend 01'!H49-('V06 Calend 01'!I49*('V06 Calend 01'!E49-1))),'V06 Calend 01'!I49),0))+IF((89='V06 Calend 01'!D49),'V06 Calend 01'!J49,0))</f>
        <v>0</v>
      </c>
      <c r="CX49" s="2">
        <f>((IF((90='V06 Calend 01'!C49),('V06 Calend 01'!F49+'V06 Calend 01'!G49),0)+IF(AND(('V06 Calend 01'!E49&gt;0),(90&gt;'V06 Calend 01'!C49),(90&lt;'V06 Calend 01'!D49),(MOD((90-'V06 Calend 01'!C49),6)=0),(((90-'V06 Calend 01'!C49)/6)&lt;='V06 Calend 01'!E49)),IF((90=('V06 Calend 01'!C49+(6*'V06 Calend 01'!E49))),('V06 Calend 01'!H49-('V06 Calend 01'!I49*('V06 Calend 01'!E49-1))),'V06 Calend 01'!I49),0))+IF((90='V06 Calend 01'!D49),'V06 Calend 01'!J49,0))</f>
        <v>0</v>
      </c>
      <c r="CY49" s="2">
        <f>((IF((91='V06 Calend 01'!C49),('V06 Calend 01'!F49+'V06 Calend 01'!G49),0)+IF(AND(('V06 Calend 01'!E49&gt;0),(91&gt;'V06 Calend 01'!C49),(91&lt;'V06 Calend 01'!D49),(MOD((91-'V06 Calend 01'!C49),6)=0),(((91-'V06 Calend 01'!C49)/6)&lt;='V06 Calend 01'!E49)),IF((91=('V06 Calend 01'!C49+(6*'V06 Calend 01'!E49))),('V06 Calend 01'!H49-('V06 Calend 01'!I49*('V06 Calend 01'!E49-1))),'V06 Calend 01'!I49),0))+IF((91='V06 Calend 01'!D49),'V06 Calend 01'!J49,0))</f>
        <v>0</v>
      </c>
      <c r="CZ49" s="2">
        <f>((IF((92='V06 Calend 01'!C49),('V06 Calend 01'!F49+'V06 Calend 01'!G49),0)+IF(AND(('V06 Calend 01'!E49&gt;0),(92&gt;'V06 Calend 01'!C49),(92&lt;'V06 Calend 01'!D49),(MOD((92-'V06 Calend 01'!C49),6)=0),(((92-'V06 Calend 01'!C49)/6)&lt;='V06 Calend 01'!E49)),IF((92=('V06 Calend 01'!C49+(6*'V06 Calend 01'!E49))),('V06 Calend 01'!H49-('V06 Calend 01'!I49*('V06 Calend 01'!E49-1))),'V06 Calend 01'!I49),0))+IF((92='V06 Calend 01'!D49),'V06 Calend 01'!J49,0))</f>
        <v>0</v>
      </c>
      <c r="DA49" s="2">
        <f>((IF((93='V06 Calend 01'!C49),('V06 Calend 01'!F49+'V06 Calend 01'!G49),0)+IF(AND(('V06 Calend 01'!E49&gt;0),(93&gt;'V06 Calend 01'!C49),(93&lt;'V06 Calend 01'!D49),(MOD((93-'V06 Calend 01'!C49),6)=0),(((93-'V06 Calend 01'!C49)/6)&lt;='V06 Calend 01'!E49)),IF((93=('V06 Calend 01'!C49+(6*'V06 Calend 01'!E49))),('V06 Calend 01'!H49-('V06 Calend 01'!I49*('V06 Calend 01'!E49-1))),'V06 Calend 01'!I49),0))+IF((93='V06 Calend 01'!D49),'V06 Calend 01'!J49,0))</f>
        <v>0</v>
      </c>
      <c r="DB49" s="2">
        <f>((IF((94='V06 Calend 01'!C49),('V06 Calend 01'!F49+'V06 Calend 01'!G49),0)+IF(AND(('V06 Calend 01'!E49&gt;0),(94&gt;'V06 Calend 01'!C49),(94&lt;'V06 Calend 01'!D49),(MOD((94-'V06 Calend 01'!C49),6)=0),(((94-'V06 Calend 01'!C49)/6)&lt;='V06 Calend 01'!E49)),IF((94=('V06 Calend 01'!C49+(6*'V06 Calend 01'!E49))),('V06 Calend 01'!H49-('V06 Calend 01'!I49*('V06 Calend 01'!E49-1))),'V06 Calend 01'!I49),0))+IF((94='V06 Calend 01'!D49),'V06 Calend 01'!J49,0))</f>
        <v>0</v>
      </c>
      <c r="DC49" s="2">
        <f>((IF((95='V06 Calend 01'!C49),('V06 Calend 01'!F49+'V06 Calend 01'!G49),0)+IF(AND(('V06 Calend 01'!E49&gt;0),(95&gt;'V06 Calend 01'!C49),(95&lt;'V06 Calend 01'!D49),(MOD((95-'V06 Calend 01'!C49),6)=0),(((95-'V06 Calend 01'!C49)/6)&lt;='V06 Calend 01'!E49)),IF((95=('V06 Calend 01'!C49+(6*'V06 Calend 01'!E49))),('V06 Calend 01'!H49-('V06 Calend 01'!I49*('V06 Calend 01'!E49-1))),'V06 Calend 01'!I49),0))+IF((95='V06 Calend 01'!D49),'V06 Calend 01'!J49,0))</f>
        <v>0</v>
      </c>
      <c r="DD49" s="2">
        <f>((IF((96='V06 Calend 01'!C49),('V06 Calend 01'!F49+'V06 Calend 01'!G49),0)+IF(AND(('V06 Calend 01'!E49&gt;0),(96&gt;'V06 Calend 01'!C49),(96&lt;'V06 Calend 01'!D49),(MOD((96-'V06 Calend 01'!C49),6)=0),(((96-'V06 Calend 01'!C49)/6)&lt;='V06 Calend 01'!E49)),IF((96=('V06 Calend 01'!C49+(6*'V06 Calend 01'!E49))),('V06 Calend 01'!H49-('V06 Calend 01'!I49*('V06 Calend 01'!E49-1))),'V06 Calend 01'!I49),0))+IF((96='V06 Calend 01'!D49),'V06 Calend 01'!J49,0))</f>
        <v>0</v>
      </c>
      <c r="DE49" s="2">
        <f>((IF((97='V06 Calend 01'!C49),('V06 Calend 01'!F49+'V06 Calend 01'!G49),0)+IF(AND(('V06 Calend 01'!E49&gt;0),(97&gt;'V06 Calend 01'!C49),(97&lt;'V06 Calend 01'!D49),(MOD((97-'V06 Calend 01'!C49),6)=0),(((97-'V06 Calend 01'!C49)/6)&lt;='V06 Calend 01'!E49)),IF((97=('V06 Calend 01'!C49+(6*'V06 Calend 01'!E49))),('V06 Calend 01'!H49-('V06 Calend 01'!I49*('V06 Calend 01'!E49-1))),'V06 Calend 01'!I49),0))+IF((97='V06 Calend 01'!D49),'V06 Calend 01'!J49,0))</f>
        <v>0</v>
      </c>
      <c r="DF49" s="2">
        <f>((IF((98='V06 Calend 01'!C49),('V06 Calend 01'!F49+'V06 Calend 01'!G49),0)+IF(AND(('V06 Calend 01'!E49&gt;0),(98&gt;'V06 Calend 01'!C49),(98&lt;'V06 Calend 01'!D49),(MOD((98-'V06 Calend 01'!C49),6)=0),(((98-'V06 Calend 01'!C49)/6)&lt;='V06 Calend 01'!E49)),IF((98=('V06 Calend 01'!C49+(6*'V06 Calend 01'!E49))),('V06 Calend 01'!H49-('V06 Calend 01'!I49*('V06 Calend 01'!E49-1))),'V06 Calend 01'!I49),0))+IF((98='V06 Calend 01'!D49),'V06 Calend 01'!J49,0))</f>
        <v>0</v>
      </c>
      <c r="DG49" s="2">
        <f>((IF((99='V06 Calend 01'!C49),('V06 Calend 01'!F49+'V06 Calend 01'!G49),0)+IF(AND(('V06 Calend 01'!E49&gt;0),(99&gt;'V06 Calend 01'!C49),(99&lt;'V06 Calend 01'!D49),(MOD((99-'V06 Calend 01'!C49),6)=0),(((99-'V06 Calend 01'!C49)/6)&lt;='V06 Calend 01'!E49)),IF((99=('V06 Calend 01'!C49+(6*'V06 Calend 01'!E49))),('V06 Calend 01'!H49-('V06 Calend 01'!I49*('V06 Calend 01'!E49-1))),'V06 Calend 01'!I49),0))+IF((99='V06 Calend 01'!D49),'V06 Calend 01'!J49,0))</f>
        <v>0</v>
      </c>
      <c r="DH49" s="2">
        <f>((IF((100='V06 Calend 01'!C49),('V06 Calend 01'!F49+'V06 Calend 01'!G49),0)+IF(AND(('V06 Calend 01'!E49&gt;0),(100&gt;'V06 Calend 01'!C49),(100&lt;'V06 Calend 01'!D49),(MOD((100-'V06 Calend 01'!C49),6)=0),(((100-'V06 Calend 01'!C49)/6)&lt;='V06 Calend 01'!E49)),IF((100=('V06 Calend 01'!C49+(6*'V06 Calend 01'!E49))),('V06 Calend 01'!H49-('V06 Calend 01'!I49*('V06 Calend 01'!E49-1))),'V06 Calend 01'!I49),0))+IF((100='V06 Calend 01'!D49),'V06 Calend 01'!J49,0))</f>
        <v>0</v>
      </c>
      <c r="DI49" s="2">
        <f>((IF((101='V06 Calend 01'!C49),('V06 Calend 01'!F49+'V06 Calend 01'!G49),0)+IF(AND(('V06 Calend 01'!E49&gt;0),(101&gt;'V06 Calend 01'!C49),(101&lt;'V06 Calend 01'!D49),(MOD((101-'V06 Calend 01'!C49),6)=0),(((101-'V06 Calend 01'!C49)/6)&lt;='V06 Calend 01'!E49)),IF((101=('V06 Calend 01'!C49+(6*'V06 Calend 01'!E49))),('V06 Calend 01'!H49-('V06 Calend 01'!I49*('V06 Calend 01'!E49-1))),'V06 Calend 01'!I49),0))+IF((101='V06 Calend 01'!D49),'V06 Calend 01'!J49,0))</f>
        <v>0</v>
      </c>
      <c r="DJ49" s="2">
        <f>((IF((102='V06 Calend 01'!C49),('V06 Calend 01'!F49+'V06 Calend 01'!G49),0)+IF(AND(('V06 Calend 01'!E49&gt;0),(102&gt;'V06 Calend 01'!C49),(102&lt;'V06 Calend 01'!D49),(MOD((102-'V06 Calend 01'!C49),6)=0),(((102-'V06 Calend 01'!C49)/6)&lt;='V06 Calend 01'!E49)),IF((102=('V06 Calend 01'!C49+(6*'V06 Calend 01'!E49))),('V06 Calend 01'!H49-('V06 Calend 01'!I49*('V06 Calend 01'!E49-1))),'V06 Calend 01'!I49),0))+IF((102='V06 Calend 01'!D49),'V06 Calend 01'!J49,0))</f>
        <v>0</v>
      </c>
      <c r="DK49" s="2">
        <f>((IF((103='V06 Calend 01'!C49),('V06 Calend 01'!F49+'V06 Calend 01'!G49),0)+IF(AND(('V06 Calend 01'!E49&gt;0),(103&gt;'V06 Calend 01'!C49),(103&lt;'V06 Calend 01'!D49),(MOD((103-'V06 Calend 01'!C49),6)=0),(((103-'V06 Calend 01'!C49)/6)&lt;='V06 Calend 01'!E49)),IF((103=('V06 Calend 01'!C49+(6*'V06 Calend 01'!E49))),('V06 Calend 01'!H49-('V06 Calend 01'!I49*('V06 Calend 01'!E49-1))),'V06 Calend 01'!I49),0))+IF((103='V06 Calend 01'!D49),'V06 Calend 01'!J49,0))</f>
        <v>0</v>
      </c>
      <c r="DL49" s="2">
        <f>((IF((104='V06 Calend 01'!C49),('V06 Calend 01'!F49+'V06 Calend 01'!G49),0)+IF(AND(('V06 Calend 01'!E49&gt;0),(104&gt;'V06 Calend 01'!C49),(104&lt;'V06 Calend 01'!D49),(MOD((104-'V06 Calend 01'!C49),6)=0),(((104-'V06 Calend 01'!C49)/6)&lt;='V06 Calend 01'!E49)),IF((104=('V06 Calend 01'!C49+(6*'V06 Calend 01'!E49))),('V06 Calend 01'!H49-('V06 Calend 01'!I49*('V06 Calend 01'!E49-1))),'V06 Calend 01'!I49),0))+IF((104='V06 Calend 01'!D49),'V06 Calend 01'!J49,0))</f>
        <v>0</v>
      </c>
      <c r="DM49" s="2">
        <f>((IF((105='V06 Calend 01'!C49),('V06 Calend 01'!F49+'V06 Calend 01'!G49),0)+IF(AND(('V06 Calend 01'!E49&gt;0),(105&gt;'V06 Calend 01'!C49),(105&lt;'V06 Calend 01'!D49),(MOD((105-'V06 Calend 01'!C49),6)=0),(((105-'V06 Calend 01'!C49)/6)&lt;='V06 Calend 01'!E49)),IF((105=('V06 Calend 01'!C49+(6*'V06 Calend 01'!E49))),('V06 Calend 01'!H49-('V06 Calend 01'!I49*('V06 Calend 01'!E49-1))),'V06 Calend 01'!I49),0))+IF((105='V06 Calend 01'!D49),'V06 Calend 01'!J49,0))</f>
        <v>0</v>
      </c>
      <c r="DN49" s="2">
        <f>((IF((106='V06 Calend 01'!C49),('V06 Calend 01'!F49+'V06 Calend 01'!G49),0)+IF(AND(('V06 Calend 01'!E49&gt;0),(106&gt;'V06 Calend 01'!C49),(106&lt;'V06 Calend 01'!D49),(MOD((106-'V06 Calend 01'!C49),6)=0),(((106-'V06 Calend 01'!C49)/6)&lt;='V06 Calend 01'!E49)),IF((106=('V06 Calend 01'!C49+(6*'V06 Calend 01'!E49))),('V06 Calend 01'!H49-('V06 Calend 01'!I49*('V06 Calend 01'!E49-1))),'V06 Calend 01'!I49),0))+IF((106='V06 Calend 01'!D49),'V06 Calend 01'!J49,0))</f>
        <v>0</v>
      </c>
      <c r="DO49" s="2">
        <f>((IF((107='V06 Calend 01'!C49),('V06 Calend 01'!F49+'V06 Calend 01'!G49),0)+IF(AND(('V06 Calend 01'!E49&gt;0),(107&gt;'V06 Calend 01'!C49),(107&lt;'V06 Calend 01'!D49),(MOD((107-'V06 Calend 01'!C49),6)=0),(((107-'V06 Calend 01'!C49)/6)&lt;='V06 Calend 01'!E49)),IF((107=('V06 Calend 01'!C49+(6*'V06 Calend 01'!E49))),('V06 Calend 01'!H49-('V06 Calend 01'!I49*('V06 Calend 01'!E49-1))),'V06 Calend 01'!I49),0))+IF((107='V06 Calend 01'!D49),'V06 Calend 01'!J49,0))</f>
        <v>0</v>
      </c>
      <c r="DP49" s="2">
        <f>((IF((108='V06 Calend 01'!C49),('V06 Calend 01'!F49+'V06 Calend 01'!G49),0)+IF(AND(('V06 Calend 01'!E49&gt;0),(108&gt;'V06 Calend 01'!C49),(108&lt;'V06 Calend 01'!D49),(MOD((108-'V06 Calend 01'!C49),6)=0),(((108-'V06 Calend 01'!C49)/6)&lt;='V06 Calend 01'!E49)),IF((108=('V06 Calend 01'!C49+(6*'V06 Calend 01'!E49))),('V06 Calend 01'!H49-('V06 Calend 01'!I49*('V06 Calend 01'!E49-1))),'V06 Calend 01'!I49),0))+IF((108='V06 Calend 01'!D49),'V06 Calend 01'!J49,0))</f>
        <v>0</v>
      </c>
      <c r="DQ49" s="2">
        <f>((IF((109='V06 Calend 01'!C49),('V06 Calend 01'!F49+'V06 Calend 01'!G49),0)+IF(AND(('V06 Calend 01'!E49&gt;0),(109&gt;'V06 Calend 01'!C49),(109&lt;'V06 Calend 01'!D49),(MOD((109-'V06 Calend 01'!C49),6)=0),(((109-'V06 Calend 01'!C49)/6)&lt;='V06 Calend 01'!E49)),IF((109=('V06 Calend 01'!C49+(6*'V06 Calend 01'!E49))),('V06 Calend 01'!H49-('V06 Calend 01'!I49*('V06 Calend 01'!E49-1))),'V06 Calend 01'!I49),0))+IF((109='V06 Calend 01'!D49),'V06 Calend 01'!J49,0))</f>
        <v>0</v>
      </c>
      <c r="DR49" s="2">
        <f>((IF((110='V06 Calend 01'!C49),('V06 Calend 01'!F49+'V06 Calend 01'!G49),0)+IF(AND(('V06 Calend 01'!E49&gt;0),(110&gt;'V06 Calend 01'!C49),(110&lt;'V06 Calend 01'!D49),(MOD((110-'V06 Calend 01'!C49),6)=0),(((110-'V06 Calend 01'!C49)/6)&lt;='V06 Calend 01'!E49)),IF((110=('V06 Calend 01'!C49+(6*'V06 Calend 01'!E49))),('V06 Calend 01'!H49-('V06 Calend 01'!I49*('V06 Calend 01'!E49-1))),'V06 Calend 01'!I49),0))+IF((110='V06 Calend 01'!D49),'V06 Calend 01'!J49,0))</f>
        <v>0</v>
      </c>
      <c r="DS49" s="2">
        <f>((IF((111='V06 Calend 01'!C49),('V06 Calend 01'!F49+'V06 Calend 01'!G49),0)+IF(AND(('V06 Calend 01'!E49&gt;0),(111&gt;'V06 Calend 01'!C49),(111&lt;'V06 Calend 01'!D49),(MOD((111-'V06 Calend 01'!C49),6)=0),(((111-'V06 Calend 01'!C49)/6)&lt;='V06 Calend 01'!E49)),IF((111=('V06 Calend 01'!C49+(6*'V06 Calend 01'!E49))),('V06 Calend 01'!H49-('V06 Calend 01'!I49*('V06 Calend 01'!E49-1))),'V06 Calend 01'!I49),0))+IF((111='V06 Calend 01'!D49),'V06 Calend 01'!J49,0))</f>
        <v>0</v>
      </c>
      <c r="DT49" s="2">
        <f>((IF((112='V06 Calend 01'!C49),('V06 Calend 01'!F49+'V06 Calend 01'!G49),0)+IF(AND(('V06 Calend 01'!E49&gt;0),(112&gt;'V06 Calend 01'!C49),(112&lt;'V06 Calend 01'!D49),(MOD((112-'V06 Calend 01'!C49),6)=0),(((112-'V06 Calend 01'!C49)/6)&lt;='V06 Calend 01'!E49)),IF((112=('V06 Calend 01'!C49+(6*'V06 Calend 01'!E49))),('V06 Calend 01'!H49-('V06 Calend 01'!I49*('V06 Calend 01'!E49-1))),'V06 Calend 01'!I49),0))+IF((112='V06 Calend 01'!D49),'V06 Calend 01'!J49,0))</f>
        <v>0</v>
      </c>
      <c r="DU49" s="2">
        <f>((IF((113='V06 Calend 01'!C49),('V06 Calend 01'!F49+'V06 Calend 01'!G49),0)+IF(AND(('V06 Calend 01'!E49&gt;0),(113&gt;'V06 Calend 01'!C49),(113&lt;'V06 Calend 01'!D49),(MOD((113-'V06 Calend 01'!C49),6)=0),(((113-'V06 Calend 01'!C49)/6)&lt;='V06 Calend 01'!E49)),IF((113=('V06 Calend 01'!C49+(6*'V06 Calend 01'!E49))),('V06 Calend 01'!H49-('V06 Calend 01'!I49*('V06 Calend 01'!E49-1))),'V06 Calend 01'!I49),0))+IF((113='V06 Calend 01'!D49),'V06 Calend 01'!J49,0))</f>
        <v>0</v>
      </c>
      <c r="DV49" s="2">
        <f>((IF((114='V06 Calend 01'!C49),('V06 Calend 01'!F49+'V06 Calend 01'!G49),0)+IF(AND(('V06 Calend 01'!E49&gt;0),(114&gt;'V06 Calend 01'!C49),(114&lt;'V06 Calend 01'!D49),(MOD((114-'V06 Calend 01'!C49),6)=0),(((114-'V06 Calend 01'!C49)/6)&lt;='V06 Calend 01'!E49)),IF((114=('V06 Calend 01'!C49+(6*'V06 Calend 01'!E49))),('V06 Calend 01'!H49-('V06 Calend 01'!I49*('V06 Calend 01'!E49-1))),'V06 Calend 01'!I49),0))+IF((114='V06 Calend 01'!D49),'V06 Calend 01'!J49,0))</f>
        <v>0</v>
      </c>
      <c r="DW49" s="2">
        <f>((IF((115='V06 Calend 01'!C49),('V06 Calend 01'!F49+'V06 Calend 01'!G49),0)+IF(AND(('V06 Calend 01'!E49&gt;0),(115&gt;'V06 Calend 01'!C49),(115&lt;'V06 Calend 01'!D49),(MOD((115-'V06 Calend 01'!C49),6)=0),(((115-'V06 Calend 01'!C49)/6)&lt;='V06 Calend 01'!E49)),IF((115=('V06 Calend 01'!C49+(6*'V06 Calend 01'!E49))),('V06 Calend 01'!H49-('V06 Calend 01'!I49*('V06 Calend 01'!E49-1))),'V06 Calend 01'!I49),0))+IF((115='V06 Calend 01'!D49),'V06 Calend 01'!J49,0))</f>
        <v>0</v>
      </c>
      <c r="DX49" s="2">
        <f>((IF((116='V06 Calend 01'!C49),('V06 Calend 01'!F49+'V06 Calend 01'!G49),0)+IF(AND(('V06 Calend 01'!E49&gt;0),(116&gt;'V06 Calend 01'!C49),(116&lt;'V06 Calend 01'!D49),(MOD((116-'V06 Calend 01'!C49),6)=0),(((116-'V06 Calend 01'!C49)/6)&lt;='V06 Calend 01'!E49)),IF((116=('V06 Calend 01'!C49+(6*'V06 Calend 01'!E49))),('V06 Calend 01'!H49-('V06 Calend 01'!I49*('V06 Calend 01'!E49-1))),'V06 Calend 01'!I49),0))+IF((116='V06 Calend 01'!D49),'V06 Calend 01'!J49,0))</f>
        <v>0</v>
      </c>
      <c r="DY49" s="2">
        <f>((IF((117='V06 Calend 01'!C49),('V06 Calend 01'!F49+'V06 Calend 01'!G49),0)+IF(AND(('V06 Calend 01'!E49&gt;0),(117&gt;'V06 Calend 01'!C49),(117&lt;'V06 Calend 01'!D49),(MOD((117-'V06 Calend 01'!C49),6)=0),(((117-'V06 Calend 01'!C49)/6)&lt;='V06 Calend 01'!E49)),IF((117=('V06 Calend 01'!C49+(6*'V06 Calend 01'!E49))),('V06 Calend 01'!H49-('V06 Calend 01'!I49*('V06 Calend 01'!E49-1))),'V06 Calend 01'!I49),0))+IF((117='V06 Calend 01'!D49),'V06 Calend 01'!J49,0))</f>
        <v>0</v>
      </c>
      <c r="DZ49" s="2">
        <f>((IF((118='V06 Calend 01'!C49),('V06 Calend 01'!F49+'V06 Calend 01'!G49),0)+IF(AND(('V06 Calend 01'!E49&gt;0),(118&gt;'V06 Calend 01'!C49),(118&lt;'V06 Calend 01'!D49),(MOD((118-'V06 Calend 01'!C49),6)=0),(((118-'V06 Calend 01'!C49)/6)&lt;='V06 Calend 01'!E49)),IF((118=('V06 Calend 01'!C49+(6*'V06 Calend 01'!E49))),('V06 Calend 01'!H49-('V06 Calend 01'!I49*('V06 Calend 01'!E49-1))),'V06 Calend 01'!I49),0))+IF((118='V06 Calend 01'!D49),'V06 Calend 01'!J49,0))</f>
        <v>0</v>
      </c>
      <c r="EA49" s="2">
        <f>((IF((119='V06 Calend 01'!C49),('V06 Calend 01'!F49+'V06 Calend 01'!G49),0)+IF(AND(('V06 Calend 01'!E49&gt;0),(119&gt;'V06 Calend 01'!C49),(119&lt;'V06 Calend 01'!D49),(MOD((119-'V06 Calend 01'!C49),6)=0),(((119-'V06 Calend 01'!C49)/6)&lt;='V06 Calend 01'!E49)),IF((119=('V06 Calend 01'!C49+(6*'V06 Calend 01'!E49))),('V06 Calend 01'!H49-('V06 Calend 01'!I49*('V06 Calend 01'!E49-1))),'V06 Calend 01'!I49),0))+IF((119='V06 Calend 01'!D49),'V06 Calend 01'!J49,0))</f>
        <v>0</v>
      </c>
      <c r="EB49" s="2">
        <f>((IF((120='V06 Calend 01'!C49),('V06 Calend 01'!F49+'V06 Calend 01'!G49),0)+IF(AND(('V06 Calend 01'!E49&gt;0),(120&gt;'V06 Calend 01'!C49),(120&lt;'V06 Calend 01'!D49),(MOD((120-'V06 Calend 01'!C49),6)=0),(((120-'V06 Calend 01'!C49)/6)&lt;='V06 Calend 01'!E49)),IF((120=('V06 Calend 01'!C49+(6*'V06 Calend 01'!E49))),('V06 Calend 01'!H49-('V06 Calend 01'!I49*('V06 Calend 01'!E49-1))),'V06 Calend 01'!I49),0))+IF((120='V06 Calend 01'!D49),'V06 Calend 01'!J49,0))</f>
        <v>0</v>
      </c>
      <c r="EC49" s="2">
        <f>((IF((121='V06 Calend 01'!C49),('V06 Calend 01'!F49+'V06 Calend 01'!G49),0)+IF(AND(('V06 Calend 01'!E49&gt;0),(121&gt;'V06 Calend 01'!C49),(121&lt;'V06 Calend 01'!D49),(MOD((121-'V06 Calend 01'!C49),6)=0),(((121-'V06 Calend 01'!C49)/6)&lt;='V06 Calend 01'!E49)),IF((121=('V06 Calend 01'!C49+(6*'V06 Calend 01'!E49))),('V06 Calend 01'!H49-('V06 Calend 01'!I49*('V06 Calend 01'!E49-1))),'V06 Calend 01'!I49),0))+IF((121='V06 Calend 01'!D49),'V06 Calend 01'!J49,0))</f>
        <v>0</v>
      </c>
      <c r="ED49" s="2">
        <f>((IF((122='V06 Calend 01'!C49),('V06 Calend 01'!F49+'V06 Calend 01'!G49),0)+IF(AND(('V06 Calend 01'!E49&gt;0),(122&gt;'V06 Calend 01'!C49),(122&lt;'V06 Calend 01'!D49),(MOD((122-'V06 Calend 01'!C49),6)=0),(((122-'V06 Calend 01'!C49)/6)&lt;='V06 Calend 01'!E49)),IF((122=('V06 Calend 01'!C49+(6*'V06 Calend 01'!E49))),('V06 Calend 01'!H49-('V06 Calend 01'!I49*('V06 Calend 01'!E49-1))),'V06 Calend 01'!I49),0))+IF((122='V06 Calend 01'!D49),'V06 Calend 01'!J49,0))</f>
        <v>0</v>
      </c>
      <c r="EE49" s="2">
        <f>((IF((123='V06 Calend 01'!C49),('V06 Calend 01'!F49+'V06 Calend 01'!G49),0)+IF(AND(('V06 Calend 01'!E49&gt;0),(123&gt;'V06 Calend 01'!C49),(123&lt;'V06 Calend 01'!D49),(MOD((123-'V06 Calend 01'!C49),6)=0),(((123-'V06 Calend 01'!C49)/6)&lt;='V06 Calend 01'!E49)),IF((123=('V06 Calend 01'!C49+(6*'V06 Calend 01'!E49))),('V06 Calend 01'!H49-('V06 Calend 01'!I49*('V06 Calend 01'!E49-1))),'V06 Calend 01'!I49),0))+IF((123='V06 Calend 01'!D49),'V06 Calend 01'!J49,0))</f>
        <v>0</v>
      </c>
      <c r="EF49" s="2">
        <f>((IF((124='V06 Calend 01'!C49),('V06 Calend 01'!F49+'V06 Calend 01'!G49),0)+IF(AND(('V06 Calend 01'!E49&gt;0),(124&gt;'V06 Calend 01'!C49),(124&lt;'V06 Calend 01'!D49),(MOD((124-'V06 Calend 01'!C49),6)=0),(((124-'V06 Calend 01'!C49)/6)&lt;='V06 Calend 01'!E49)),IF((124=('V06 Calend 01'!C49+(6*'V06 Calend 01'!E49))),('V06 Calend 01'!H49-('V06 Calend 01'!I49*('V06 Calend 01'!E49-1))),'V06 Calend 01'!I49),0))+IF((124='V06 Calend 01'!D49),'V06 Calend 01'!J49,0))</f>
        <v>0</v>
      </c>
      <c r="EG49" s="2">
        <f>((IF((125='V06 Calend 01'!C49),('V06 Calend 01'!F49+'V06 Calend 01'!G49),0)+IF(AND(('V06 Calend 01'!E49&gt;0),(125&gt;'V06 Calend 01'!C49),(125&lt;'V06 Calend 01'!D49),(MOD((125-'V06 Calend 01'!C49),6)=0),(((125-'V06 Calend 01'!C49)/6)&lt;='V06 Calend 01'!E49)),IF((125=('V06 Calend 01'!C49+(6*'V06 Calend 01'!E49))),('V06 Calend 01'!H49-('V06 Calend 01'!I49*('V06 Calend 01'!E49-1))),'V06 Calend 01'!I49),0))+IF((125='V06 Calend 01'!D49),'V06 Calend 01'!J49,0))</f>
        <v>0</v>
      </c>
      <c r="EH49" s="2">
        <f>((IF((126='V06 Calend 01'!C49),('V06 Calend 01'!F49+'V06 Calend 01'!G49),0)+IF(AND(('V06 Calend 01'!E49&gt;0),(126&gt;'V06 Calend 01'!C49),(126&lt;'V06 Calend 01'!D49),(MOD((126-'V06 Calend 01'!C49),6)=0),(((126-'V06 Calend 01'!C49)/6)&lt;='V06 Calend 01'!E49)),IF((126=('V06 Calend 01'!C49+(6*'V06 Calend 01'!E49))),('V06 Calend 01'!H49-('V06 Calend 01'!I49*('V06 Calend 01'!E49-1))),'V06 Calend 01'!I49),0))+IF((126='V06 Calend 01'!D49),'V06 Calend 01'!J49,0))</f>
        <v>0</v>
      </c>
      <c r="EI49" s="2">
        <f>((IF((127='V06 Calend 01'!C49),('V06 Calend 01'!F49+'V06 Calend 01'!G49),0)+IF(AND(('V06 Calend 01'!E49&gt;0),(127&gt;'V06 Calend 01'!C49),(127&lt;'V06 Calend 01'!D49),(MOD((127-'V06 Calend 01'!C49),6)=0),(((127-'V06 Calend 01'!C49)/6)&lt;='V06 Calend 01'!E49)),IF((127=('V06 Calend 01'!C49+(6*'V06 Calend 01'!E49))),('V06 Calend 01'!H49-('V06 Calend 01'!I49*('V06 Calend 01'!E49-1))),'V06 Calend 01'!I49),0))+IF((127='V06 Calend 01'!D49),'V06 Calend 01'!J49,0))</f>
        <v>0</v>
      </c>
      <c r="EJ49" s="2">
        <f>((IF((128='V06 Calend 01'!C49),('V06 Calend 01'!F49+'V06 Calend 01'!G49),0)+IF(AND(('V06 Calend 01'!E49&gt;0),(128&gt;'V06 Calend 01'!C49),(128&lt;'V06 Calend 01'!D49),(MOD((128-'V06 Calend 01'!C49),6)=0),(((128-'V06 Calend 01'!C49)/6)&lt;='V06 Calend 01'!E49)),IF((128=('V06 Calend 01'!C49+(6*'V06 Calend 01'!E49))),('V06 Calend 01'!H49-('V06 Calend 01'!I49*('V06 Calend 01'!E49-1))),'V06 Calend 01'!I49),0))+IF((128='V06 Calend 01'!D49),'V06 Calend 01'!J49,0))</f>
        <v>0</v>
      </c>
      <c r="EK49" s="2">
        <f>((IF((129='V06 Calend 01'!C49),('V06 Calend 01'!F49+'V06 Calend 01'!G49),0)+IF(AND(('V06 Calend 01'!E49&gt;0),(129&gt;'V06 Calend 01'!C49),(129&lt;'V06 Calend 01'!D49),(MOD((129-'V06 Calend 01'!C49),6)=0),(((129-'V06 Calend 01'!C49)/6)&lt;='V06 Calend 01'!E49)),IF((129=('V06 Calend 01'!C49+(6*'V06 Calend 01'!E49))),('V06 Calend 01'!H49-('V06 Calend 01'!I49*('V06 Calend 01'!E49-1))),'V06 Calend 01'!I49),0))+IF((129='V06 Calend 01'!D49),'V06 Calend 01'!J49,0))</f>
        <v>0</v>
      </c>
      <c r="EL49" s="2">
        <f>((IF((130='V06 Calend 01'!C49),('V06 Calend 01'!F49+'V06 Calend 01'!G49),0)+IF(AND(('V06 Calend 01'!E49&gt;0),(130&gt;'V06 Calend 01'!C49),(130&lt;'V06 Calend 01'!D49),(MOD((130-'V06 Calend 01'!C49),6)=0),(((130-'V06 Calend 01'!C49)/6)&lt;='V06 Calend 01'!E49)),IF((130=('V06 Calend 01'!C49+(6*'V06 Calend 01'!E49))),('V06 Calend 01'!H49-('V06 Calend 01'!I49*('V06 Calend 01'!E49-1))),'V06 Calend 01'!I49),0))+IF((130='V06 Calend 01'!D49),'V06 Calend 01'!J49,0))</f>
        <v>0</v>
      </c>
      <c r="EM49" s="2">
        <f>((IF((131='V06 Calend 01'!C49),('V06 Calend 01'!F49+'V06 Calend 01'!G49),0)+IF(AND(('V06 Calend 01'!E49&gt;0),(131&gt;'V06 Calend 01'!C49),(131&lt;'V06 Calend 01'!D49),(MOD((131-'V06 Calend 01'!C49),6)=0),(((131-'V06 Calend 01'!C49)/6)&lt;='V06 Calend 01'!E49)),IF((131=('V06 Calend 01'!C49+(6*'V06 Calend 01'!E49))),('V06 Calend 01'!H49-('V06 Calend 01'!I49*('V06 Calend 01'!E49-1))),'V06 Calend 01'!I49),0))+IF((131='V06 Calend 01'!D49),'V06 Calend 01'!J49,0))</f>
        <v>0</v>
      </c>
      <c r="EN49" s="2">
        <f>((IF((132='V06 Calend 01'!C49),('V06 Calend 01'!F49+'V06 Calend 01'!G49),0)+IF(AND(('V06 Calend 01'!E49&gt;0),(132&gt;'V06 Calend 01'!C49),(132&lt;'V06 Calend 01'!D49),(MOD((132-'V06 Calend 01'!C49),6)=0),(((132-'V06 Calend 01'!C49)/6)&lt;='V06 Calend 01'!E49)),IF((132=('V06 Calend 01'!C49+(6*'V06 Calend 01'!E49))),('V06 Calend 01'!H49-('V06 Calend 01'!I49*('V06 Calend 01'!E49-1))),'V06 Calend 01'!I49),0))+IF((132='V06 Calend 01'!D49),'V06 Calend 01'!J49,0))</f>
        <v>0</v>
      </c>
      <c r="EO49" s="2">
        <f>((IF((133='V06 Calend 01'!C49),('V06 Calend 01'!F49+'V06 Calend 01'!G49),0)+IF(AND(('V06 Calend 01'!E49&gt;0),(133&gt;'V06 Calend 01'!C49),(133&lt;'V06 Calend 01'!D49),(MOD((133-'V06 Calend 01'!C49),6)=0),(((133-'V06 Calend 01'!C49)/6)&lt;='V06 Calend 01'!E49)),IF((133=('V06 Calend 01'!C49+(6*'V06 Calend 01'!E49))),('V06 Calend 01'!H49-('V06 Calend 01'!I49*('V06 Calend 01'!E49-1))),'V06 Calend 01'!I49),0))+IF((133='V06 Calend 01'!D49),'V06 Calend 01'!J49,0))</f>
        <v>0</v>
      </c>
      <c r="EP49" s="2">
        <f>((IF((134='V06 Calend 01'!C49),('V06 Calend 01'!F49+'V06 Calend 01'!G49),0)+IF(AND(('V06 Calend 01'!E49&gt;0),(134&gt;'V06 Calend 01'!C49),(134&lt;'V06 Calend 01'!D49),(MOD((134-'V06 Calend 01'!C49),6)=0),(((134-'V06 Calend 01'!C49)/6)&lt;='V06 Calend 01'!E49)),IF((134=('V06 Calend 01'!C49+(6*'V06 Calend 01'!E49))),('V06 Calend 01'!H49-('V06 Calend 01'!I49*('V06 Calend 01'!E49-1))),'V06 Calend 01'!I49),0))+IF((134='V06 Calend 01'!D49),'V06 Calend 01'!J49,0))</f>
        <v>0</v>
      </c>
      <c r="EQ49" s="2">
        <f>((IF((135='V06 Calend 01'!C49),('V06 Calend 01'!F49+'V06 Calend 01'!G49),0)+IF(AND(('V06 Calend 01'!E49&gt;0),(135&gt;'V06 Calend 01'!C49),(135&lt;'V06 Calend 01'!D49),(MOD((135-'V06 Calend 01'!C49),6)=0),(((135-'V06 Calend 01'!C49)/6)&lt;='V06 Calend 01'!E49)),IF((135=('V06 Calend 01'!C49+(6*'V06 Calend 01'!E49))),('V06 Calend 01'!H49-('V06 Calend 01'!I49*('V06 Calend 01'!E49-1))),'V06 Calend 01'!I49),0))+IF((135='V06 Calend 01'!D49),'V06 Calend 01'!J49,0))</f>
        <v>0</v>
      </c>
      <c r="ER49" s="2">
        <f>((IF((136='V06 Calend 01'!C49),('V06 Calend 01'!F49+'V06 Calend 01'!G49),0)+IF(AND(('V06 Calend 01'!E49&gt;0),(136&gt;'V06 Calend 01'!C49),(136&lt;'V06 Calend 01'!D49),(MOD((136-'V06 Calend 01'!C49),6)=0),(((136-'V06 Calend 01'!C49)/6)&lt;='V06 Calend 01'!E49)),IF((136=('V06 Calend 01'!C49+(6*'V06 Calend 01'!E49))),('V06 Calend 01'!H49-('V06 Calend 01'!I49*('V06 Calend 01'!E49-1))),'V06 Calend 01'!I49),0))+IF((136='V06 Calend 01'!D49),'V06 Calend 01'!J49,0))</f>
        <v>0</v>
      </c>
      <c r="ES49" s="2">
        <f>((IF((137='V06 Calend 01'!C49),('V06 Calend 01'!F49+'V06 Calend 01'!G49),0)+IF(AND(('V06 Calend 01'!E49&gt;0),(137&gt;'V06 Calend 01'!C49),(137&lt;'V06 Calend 01'!D49),(MOD((137-'V06 Calend 01'!C49),6)=0),(((137-'V06 Calend 01'!C49)/6)&lt;='V06 Calend 01'!E49)),IF((137=('V06 Calend 01'!C49+(6*'V06 Calend 01'!E49))),('V06 Calend 01'!H49-('V06 Calend 01'!I49*('V06 Calend 01'!E49-1))),'V06 Calend 01'!I49),0))+IF((137='V06 Calend 01'!D49),'V06 Calend 01'!J49,0))</f>
        <v>0</v>
      </c>
      <c r="ET49" s="2">
        <f>((IF((138='V06 Calend 01'!C49),('V06 Calend 01'!F49+'V06 Calend 01'!G49),0)+IF(AND(('V06 Calend 01'!E49&gt;0),(138&gt;'V06 Calend 01'!C49),(138&lt;'V06 Calend 01'!D49),(MOD((138-'V06 Calend 01'!C49),6)=0),(((138-'V06 Calend 01'!C49)/6)&lt;='V06 Calend 01'!E49)),IF((138=('V06 Calend 01'!C49+(6*'V06 Calend 01'!E49))),('V06 Calend 01'!H49-('V06 Calend 01'!I49*('V06 Calend 01'!E49-1))),'V06 Calend 01'!I49),0))+IF((138='V06 Calend 01'!D49),'V06 Calend 01'!J49,0))</f>
        <v>0</v>
      </c>
      <c r="EU49" s="2">
        <f>((IF((139='V06 Calend 01'!C49),('V06 Calend 01'!F49+'V06 Calend 01'!G49),0)+IF(AND(('V06 Calend 01'!E49&gt;0),(139&gt;'V06 Calend 01'!C49),(139&lt;'V06 Calend 01'!D49),(MOD((139-'V06 Calend 01'!C49),6)=0),(((139-'V06 Calend 01'!C49)/6)&lt;='V06 Calend 01'!E49)),IF((139=('V06 Calend 01'!C49+(6*'V06 Calend 01'!E49))),('V06 Calend 01'!H49-('V06 Calend 01'!I49*('V06 Calend 01'!E49-1))),'V06 Calend 01'!I49),0))+IF((139='V06 Calend 01'!D49),'V06 Calend 01'!J49,0))</f>
        <v>0</v>
      </c>
      <c r="EV49" s="2">
        <f>((IF((140='V06 Calend 01'!C49),('V06 Calend 01'!F49+'V06 Calend 01'!G49),0)+IF(AND(('V06 Calend 01'!E49&gt;0),(140&gt;'V06 Calend 01'!C49),(140&lt;'V06 Calend 01'!D49),(MOD((140-'V06 Calend 01'!C49),6)=0),(((140-'V06 Calend 01'!C49)/6)&lt;='V06 Calend 01'!E49)),IF((140=('V06 Calend 01'!C49+(6*'V06 Calend 01'!E49))),('V06 Calend 01'!H49-('V06 Calend 01'!I49*('V06 Calend 01'!E49-1))),'V06 Calend 01'!I49),0))+IF((140='V06 Calend 01'!D49),'V06 Calend 01'!J49,0))</f>
        <v>0</v>
      </c>
      <c r="EW49" s="2">
        <f>((IF((141='V06 Calend 01'!C49),('V06 Calend 01'!F49+'V06 Calend 01'!G49),0)+IF(AND(('V06 Calend 01'!E49&gt;0),(141&gt;'V06 Calend 01'!C49),(141&lt;'V06 Calend 01'!D49),(MOD((141-'V06 Calend 01'!C49),6)=0),(((141-'V06 Calend 01'!C49)/6)&lt;='V06 Calend 01'!E49)),IF((141=('V06 Calend 01'!C49+(6*'V06 Calend 01'!E49))),('V06 Calend 01'!H49-('V06 Calend 01'!I49*('V06 Calend 01'!E49-1))),'V06 Calend 01'!I49),0))+IF((141='V06 Calend 01'!D49),'V06 Calend 01'!J49,0))</f>
        <v>0</v>
      </c>
      <c r="EX49" s="2">
        <f>((IF((142='V06 Calend 01'!C49),('V06 Calend 01'!F49+'V06 Calend 01'!G49),0)+IF(AND(('V06 Calend 01'!E49&gt;0),(142&gt;'V06 Calend 01'!C49),(142&lt;'V06 Calend 01'!D49),(MOD((142-'V06 Calend 01'!C49),6)=0),(((142-'V06 Calend 01'!C49)/6)&lt;='V06 Calend 01'!E49)),IF((142=('V06 Calend 01'!C49+(6*'V06 Calend 01'!E49))),('V06 Calend 01'!H49-('V06 Calend 01'!I49*('V06 Calend 01'!E49-1))),'V06 Calend 01'!I49),0))+IF((142='V06 Calend 01'!D49),'V06 Calend 01'!J49,0))</f>
        <v>0</v>
      </c>
      <c r="EY49" s="2">
        <f>((IF((143='V06 Calend 01'!C49),('V06 Calend 01'!F49+'V06 Calend 01'!G49),0)+IF(AND(('V06 Calend 01'!E49&gt;0),(143&gt;'V06 Calend 01'!C49),(143&lt;'V06 Calend 01'!D49),(MOD((143-'V06 Calend 01'!C49),6)=0),(((143-'V06 Calend 01'!C49)/6)&lt;='V06 Calend 01'!E49)),IF((143=('V06 Calend 01'!C49+(6*'V06 Calend 01'!E49))),('V06 Calend 01'!H49-('V06 Calend 01'!I49*('V06 Calend 01'!E49-1))),'V06 Calend 01'!I49),0))+IF((143='V06 Calend 01'!D49),'V06 Calend 01'!J49,0))</f>
        <v>0</v>
      </c>
      <c r="EZ49" s="2">
        <f>((IF((144='V06 Calend 01'!C49),('V06 Calend 01'!F49+'V06 Calend 01'!G49),0)+IF(AND(('V06 Calend 01'!E49&gt;0),(144&gt;'V06 Calend 01'!C49),(144&lt;'V06 Calend 01'!D49),(MOD((144-'V06 Calend 01'!C49),6)=0),(((144-'V06 Calend 01'!C49)/6)&lt;='V06 Calend 01'!E49)),IF((144=('V06 Calend 01'!C49+(6*'V06 Calend 01'!E49))),('V06 Calend 01'!H49-('V06 Calend 01'!I49*('V06 Calend 01'!E49-1))),'V06 Calend 01'!I49),0))+IF((144='V06 Calend 01'!D49),'V06 Calend 01'!J49,0))</f>
        <v>0</v>
      </c>
      <c r="FA49" s="2">
        <f>((IF((145='V06 Calend 01'!C49),('V06 Calend 01'!F49+'V06 Calend 01'!G49),0)+IF(AND(('V06 Calend 01'!E49&gt;0),(145&gt;'V06 Calend 01'!C49),(145&lt;'V06 Calend 01'!D49),(MOD((145-'V06 Calend 01'!C49),6)=0),(((145-'V06 Calend 01'!C49)/6)&lt;='V06 Calend 01'!E49)),IF((145=('V06 Calend 01'!C49+(6*'V06 Calend 01'!E49))),('V06 Calend 01'!H49-('V06 Calend 01'!I49*('V06 Calend 01'!E49-1))),'V06 Calend 01'!I49),0))+IF((145='V06 Calend 01'!D49),'V06 Calend 01'!J49,0))</f>
        <v>0</v>
      </c>
      <c r="FB49" s="2">
        <f>((IF((146='V06 Calend 01'!C49),('V06 Calend 01'!F49+'V06 Calend 01'!G49),0)+IF(AND(('V06 Calend 01'!E49&gt;0),(146&gt;'V06 Calend 01'!C49),(146&lt;'V06 Calend 01'!D49),(MOD((146-'V06 Calend 01'!C49),6)=0),(((146-'V06 Calend 01'!C49)/6)&lt;='V06 Calend 01'!E49)),IF((146=('V06 Calend 01'!C49+(6*'V06 Calend 01'!E49))),('V06 Calend 01'!H49-('V06 Calend 01'!I49*('V06 Calend 01'!E49-1))),'V06 Calend 01'!I49),0))+IF((146='V06 Calend 01'!D49),'V06 Calend 01'!J49,0))</f>
        <v>0</v>
      </c>
      <c r="FC49" s="2">
        <f>((IF((147='V06 Calend 01'!C49),('V06 Calend 01'!F49+'V06 Calend 01'!G49),0)+IF(AND(('V06 Calend 01'!E49&gt;0),(147&gt;'V06 Calend 01'!C49),(147&lt;'V06 Calend 01'!D49),(MOD((147-'V06 Calend 01'!C49),6)=0),(((147-'V06 Calend 01'!C49)/6)&lt;='V06 Calend 01'!E49)),IF((147=('V06 Calend 01'!C49+(6*'V06 Calend 01'!E49))),('V06 Calend 01'!H49-('V06 Calend 01'!I49*('V06 Calend 01'!E49-1))),'V06 Calend 01'!I49),0))+IF((147='V06 Calend 01'!D49),'V06 Calend 01'!J49,0))</f>
        <v>0</v>
      </c>
      <c r="FD49" s="2">
        <f>((IF((148='V06 Calend 01'!C49),('V06 Calend 01'!F49+'V06 Calend 01'!G49),0)+IF(AND(('V06 Calend 01'!E49&gt;0),(148&gt;'V06 Calend 01'!C49),(148&lt;'V06 Calend 01'!D49),(MOD((148-'V06 Calend 01'!C49),6)=0),(((148-'V06 Calend 01'!C49)/6)&lt;='V06 Calend 01'!E49)),IF((148=('V06 Calend 01'!C49+(6*'V06 Calend 01'!E49))),('V06 Calend 01'!H49-('V06 Calend 01'!I49*('V06 Calend 01'!E49-1))),'V06 Calend 01'!I49),0))+IF((148='V06 Calend 01'!D49),'V06 Calend 01'!J49,0))</f>
        <v>0</v>
      </c>
      <c r="FE49" s="2">
        <f>((IF((149='V06 Calend 01'!C49),('V06 Calend 01'!F49+'V06 Calend 01'!G49),0)+IF(AND(('V06 Calend 01'!E49&gt;0),(149&gt;'V06 Calend 01'!C49),(149&lt;'V06 Calend 01'!D49),(MOD((149-'V06 Calend 01'!C49),6)=0),(((149-'V06 Calend 01'!C49)/6)&lt;='V06 Calend 01'!E49)),IF((149=('V06 Calend 01'!C49+(6*'V06 Calend 01'!E49))),('V06 Calend 01'!H49-('V06 Calend 01'!I49*('V06 Calend 01'!E49-1))),'V06 Calend 01'!I49),0))+IF((149='V06 Calend 01'!D49),'V06 Calend 01'!J49,0))</f>
        <v>0</v>
      </c>
      <c r="FF49" s="2">
        <f>((IF((150='V06 Calend 01'!C49),('V06 Calend 01'!F49+'V06 Calend 01'!G49),0)+IF(AND(('V06 Calend 01'!E49&gt;0),(150&gt;'V06 Calend 01'!C49),(150&lt;'V06 Calend 01'!D49),(MOD((150-'V06 Calend 01'!C49),6)=0),(((150-'V06 Calend 01'!C49)/6)&lt;='V06 Calend 01'!E49)),IF((150=('V06 Calend 01'!C49+(6*'V06 Calend 01'!E49))),('V06 Calend 01'!H49-('V06 Calend 01'!I49*('V06 Calend 01'!E49-1))),'V06 Calend 01'!I49),0))+IF((150='V06 Calend 01'!D49),'V06 Calend 01'!J49,0))</f>
        <v>0</v>
      </c>
      <c r="FG49" s="2">
        <f>((IF((151='V06 Calend 01'!C49),('V06 Calend 01'!F49+'V06 Calend 01'!G49),0)+IF(AND(('V06 Calend 01'!E49&gt;0),(151&gt;'V06 Calend 01'!C49),(151&lt;'V06 Calend 01'!D49),(MOD((151-'V06 Calend 01'!C49),6)=0),(((151-'V06 Calend 01'!C49)/6)&lt;='V06 Calend 01'!E49)),IF((151=('V06 Calend 01'!C49+(6*'V06 Calend 01'!E49))),('V06 Calend 01'!H49-('V06 Calend 01'!I49*('V06 Calend 01'!E49-1))),'V06 Calend 01'!I49),0))+IF((151='V06 Calend 01'!D49),'V06 Calend 01'!J49,0))</f>
        <v>0</v>
      </c>
      <c r="FH49" s="2">
        <f>((IF((152='V06 Calend 01'!C49),('V06 Calend 01'!F49+'V06 Calend 01'!G49),0)+IF(AND(('V06 Calend 01'!E49&gt;0),(152&gt;'V06 Calend 01'!C49),(152&lt;'V06 Calend 01'!D49),(MOD((152-'V06 Calend 01'!C49),6)=0),(((152-'V06 Calend 01'!C49)/6)&lt;='V06 Calend 01'!E49)),IF((152=('V06 Calend 01'!C49+(6*'V06 Calend 01'!E49))),('V06 Calend 01'!H49-('V06 Calend 01'!I49*('V06 Calend 01'!E49-1))),'V06 Calend 01'!I49),0))+IF((152='V06 Calend 01'!D49),'V06 Calend 01'!J49,0))</f>
        <v>0</v>
      </c>
      <c r="FI49" s="2">
        <f>((IF((153='V06 Calend 01'!C49),('V06 Calend 01'!F49+'V06 Calend 01'!G49),0)+IF(AND(('V06 Calend 01'!E49&gt;0),(153&gt;'V06 Calend 01'!C49),(153&lt;'V06 Calend 01'!D49),(MOD((153-'V06 Calend 01'!C49),6)=0),(((153-'V06 Calend 01'!C49)/6)&lt;='V06 Calend 01'!E49)),IF((153=('V06 Calend 01'!C49+(6*'V06 Calend 01'!E49))),('V06 Calend 01'!H49-('V06 Calend 01'!I49*('V06 Calend 01'!E49-1))),'V06 Calend 01'!I49),0))+IF((153='V06 Calend 01'!D49),'V06 Calend 01'!J49,0))</f>
        <v>0</v>
      </c>
      <c r="FJ49" s="2">
        <f>((IF((154='V06 Calend 01'!C49),('V06 Calend 01'!F49+'V06 Calend 01'!G49),0)+IF(AND(('V06 Calend 01'!E49&gt;0),(154&gt;'V06 Calend 01'!C49),(154&lt;'V06 Calend 01'!D49),(MOD((154-'V06 Calend 01'!C49),6)=0),(((154-'V06 Calend 01'!C49)/6)&lt;='V06 Calend 01'!E49)),IF((154=('V06 Calend 01'!C49+(6*'V06 Calend 01'!E49))),('V06 Calend 01'!H49-('V06 Calend 01'!I49*('V06 Calend 01'!E49-1))),'V06 Calend 01'!I49),0))+IF((154='V06 Calend 01'!D49),'V06 Calend 01'!J49,0))</f>
        <v>0</v>
      </c>
      <c r="FK49" s="2">
        <f>((IF((155='V06 Calend 01'!C49),('V06 Calend 01'!F49+'V06 Calend 01'!G49),0)+IF(AND(('V06 Calend 01'!E49&gt;0),(155&gt;'V06 Calend 01'!C49),(155&lt;'V06 Calend 01'!D49),(MOD((155-'V06 Calend 01'!C49),6)=0),(((155-'V06 Calend 01'!C49)/6)&lt;='V06 Calend 01'!E49)),IF((155=('V06 Calend 01'!C49+(6*'V06 Calend 01'!E49))),('V06 Calend 01'!H49-('V06 Calend 01'!I49*('V06 Calend 01'!E49-1))),'V06 Calend 01'!I49),0))+IF((155='V06 Calend 01'!D49),'V06 Calend 01'!J49,0))</f>
        <v>0</v>
      </c>
      <c r="FL49" s="2">
        <f>((IF((156='V06 Calend 01'!C49),('V06 Calend 01'!F49+'V06 Calend 01'!G49),0)+IF(AND(('V06 Calend 01'!E49&gt;0),(156&gt;'V06 Calend 01'!C49),(156&lt;'V06 Calend 01'!D49),(MOD((156-'V06 Calend 01'!C49),6)=0),(((156-'V06 Calend 01'!C49)/6)&lt;='V06 Calend 01'!E49)),IF((156=('V06 Calend 01'!C49+(6*'V06 Calend 01'!E49))),('V06 Calend 01'!H49-('V06 Calend 01'!I49*('V06 Calend 01'!E49-1))),'V06 Calend 01'!I49),0))+IF((156='V06 Calend 01'!D49),'V06 Calend 01'!J49,0))</f>
        <v>0</v>
      </c>
      <c r="FM49" s="2">
        <f>((IF((157='V06 Calend 01'!C49),('V06 Calend 01'!F49+'V06 Calend 01'!G49),0)+IF(AND(('V06 Calend 01'!E49&gt;0),(157&gt;'V06 Calend 01'!C49),(157&lt;'V06 Calend 01'!D49),(MOD((157-'V06 Calend 01'!C49),6)=0),(((157-'V06 Calend 01'!C49)/6)&lt;='V06 Calend 01'!E49)),IF((157=('V06 Calend 01'!C49+(6*'V06 Calend 01'!E49))),('V06 Calend 01'!H49-('V06 Calend 01'!I49*('V06 Calend 01'!E49-1))),'V06 Calend 01'!I49),0))+IF((157='V06 Calend 01'!D49),'V06 Calend 01'!J49,0))</f>
        <v>0</v>
      </c>
      <c r="FN49" s="2">
        <f>((IF((158='V06 Calend 01'!C49),('V06 Calend 01'!F49+'V06 Calend 01'!G49),0)+IF(AND(('V06 Calend 01'!E49&gt;0),(158&gt;'V06 Calend 01'!C49),(158&lt;'V06 Calend 01'!D49),(MOD((158-'V06 Calend 01'!C49),6)=0),(((158-'V06 Calend 01'!C49)/6)&lt;='V06 Calend 01'!E49)),IF((158=('V06 Calend 01'!C49+(6*'V06 Calend 01'!E49))),('V06 Calend 01'!H49-('V06 Calend 01'!I49*('V06 Calend 01'!E49-1))),'V06 Calend 01'!I49),0))+IF((158='V06 Calend 01'!D49),'V06 Calend 01'!J49,0))</f>
        <v>0</v>
      </c>
      <c r="FO49" s="2">
        <f>((IF((159='V06 Calend 01'!C49),('V06 Calend 01'!F49+'V06 Calend 01'!G49),0)+IF(AND(('V06 Calend 01'!E49&gt;0),(159&gt;'V06 Calend 01'!C49),(159&lt;'V06 Calend 01'!D49),(MOD((159-'V06 Calend 01'!C49),6)=0),(((159-'V06 Calend 01'!C49)/6)&lt;='V06 Calend 01'!E49)),IF((159=('V06 Calend 01'!C49+(6*'V06 Calend 01'!E49))),('V06 Calend 01'!H49-('V06 Calend 01'!I49*('V06 Calend 01'!E49-1))),'V06 Calend 01'!I49),0))+IF((159='V06 Calend 01'!D49),'V06 Calend 01'!J49,0))</f>
        <v>0</v>
      </c>
      <c r="FP49" s="2">
        <f>((IF((160='V06 Calend 01'!C49),('V06 Calend 01'!F49+'V06 Calend 01'!G49),0)+IF(AND(('V06 Calend 01'!E49&gt;0),(160&gt;'V06 Calend 01'!C49),(160&lt;'V06 Calend 01'!D49),(MOD((160-'V06 Calend 01'!C49),6)=0),(((160-'V06 Calend 01'!C49)/6)&lt;='V06 Calend 01'!E49)),IF((160=('V06 Calend 01'!C49+(6*'V06 Calend 01'!E49))),('V06 Calend 01'!H49-('V06 Calend 01'!I49*('V06 Calend 01'!E49-1))),'V06 Calend 01'!I49),0))+IF((160='V06 Calend 01'!D49),'V06 Calend 01'!J49,0))</f>
        <v>0</v>
      </c>
      <c r="FQ49" s="2">
        <f>((IF((161='V06 Calend 01'!C49),('V06 Calend 01'!F49+'V06 Calend 01'!G49),0)+IF(AND(('V06 Calend 01'!E49&gt;0),(161&gt;'V06 Calend 01'!C49),(161&lt;'V06 Calend 01'!D49),(MOD((161-'V06 Calend 01'!C49),6)=0),(((161-'V06 Calend 01'!C49)/6)&lt;='V06 Calend 01'!E49)),IF((161=('V06 Calend 01'!C49+(6*'V06 Calend 01'!E49))),('V06 Calend 01'!H49-('V06 Calend 01'!I49*('V06 Calend 01'!E49-1))),'V06 Calend 01'!I49),0))+IF((161='V06 Calend 01'!D49),'V06 Calend 01'!J49,0))</f>
        <v>0</v>
      </c>
      <c r="FR49" s="2">
        <f>((IF((162='V06 Calend 01'!C49),('V06 Calend 01'!F49+'V06 Calend 01'!G49),0)+IF(AND(('V06 Calend 01'!E49&gt;0),(162&gt;'V06 Calend 01'!C49),(162&lt;'V06 Calend 01'!D49),(MOD((162-'V06 Calend 01'!C49),6)=0),(((162-'V06 Calend 01'!C49)/6)&lt;='V06 Calend 01'!E49)),IF((162=('V06 Calend 01'!C49+(6*'V06 Calend 01'!E49))),('V06 Calend 01'!H49-('V06 Calend 01'!I49*('V06 Calend 01'!E49-1))),'V06 Calend 01'!I49),0))+IF((162='V06 Calend 01'!D49),'V06 Calend 01'!J49,0))</f>
        <v>0</v>
      </c>
      <c r="FS49" s="2">
        <f>((IF((163='V06 Calend 01'!C49),('V06 Calend 01'!F49+'V06 Calend 01'!G49),0)+IF(AND(('V06 Calend 01'!E49&gt;0),(163&gt;'V06 Calend 01'!C49),(163&lt;'V06 Calend 01'!D49),(MOD((163-'V06 Calend 01'!C49),6)=0),(((163-'V06 Calend 01'!C49)/6)&lt;='V06 Calend 01'!E49)),IF((163=('V06 Calend 01'!C49+(6*'V06 Calend 01'!E49))),('V06 Calend 01'!H49-('V06 Calend 01'!I49*('V06 Calend 01'!E49-1))),'V06 Calend 01'!I49),0))+IF((163='V06 Calend 01'!D49),'V06 Calend 01'!J49,0))</f>
        <v>0</v>
      </c>
      <c r="FT49" s="2">
        <f>((IF((164='V06 Calend 01'!C49),('V06 Calend 01'!F49+'V06 Calend 01'!G49),0)+IF(AND(('V06 Calend 01'!E49&gt;0),(164&gt;'V06 Calend 01'!C49),(164&lt;'V06 Calend 01'!D49),(MOD((164-'V06 Calend 01'!C49),6)=0),(((164-'V06 Calend 01'!C49)/6)&lt;='V06 Calend 01'!E49)),IF((164=('V06 Calend 01'!C49+(6*'V06 Calend 01'!E49))),('V06 Calend 01'!H49-('V06 Calend 01'!I49*('V06 Calend 01'!E49-1))),'V06 Calend 01'!I49),0))+IF((164='V06 Calend 01'!D49),'V06 Calend 01'!J49,0))</f>
        <v>0</v>
      </c>
      <c r="FU49" s="2">
        <f>((IF((165='V06 Calend 01'!C49),('V06 Calend 01'!F49+'V06 Calend 01'!G49),0)+IF(AND(('V06 Calend 01'!E49&gt;0),(165&gt;'V06 Calend 01'!C49),(165&lt;'V06 Calend 01'!D49),(MOD((165-'V06 Calend 01'!C49),6)=0),(((165-'V06 Calend 01'!C49)/6)&lt;='V06 Calend 01'!E49)),IF((165=('V06 Calend 01'!C49+(6*'V06 Calend 01'!E49))),('V06 Calend 01'!H49-('V06 Calend 01'!I49*('V06 Calend 01'!E49-1))),'V06 Calend 01'!I49),0))+IF((165='V06 Calend 01'!D49),'V06 Calend 01'!J49,0))</f>
        <v>0</v>
      </c>
      <c r="FV49" s="2">
        <f>((IF((166='V06 Calend 01'!C49),('V06 Calend 01'!F49+'V06 Calend 01'!G49),0)+IF(AND(('V06 Calend 01'!E49&gt;0),(166&gt;'V06 Calend 01'!C49),(166&lt;'V06 Calend 01'!D49),(MOD((166-'V06 Calend 01'!C49),6)=0),(((166-'V06 Calend 01'!C49)/6)&lt;='V06 Calend 01'!E49)),IF((166=('V06 Calend 01'!C49+(6*'V06 Calend 01'!E49))),('V06 Calend 01'!H49-('V06 Calend 01'!I49*('V06 Calend 01'!E49-1))),'V06 Calend 01'!I49),0))+IF((166='V06 Calend 01'!D49),'V06 Calend 01'!J49,0))</f>
        <v>0</v>
      </c>
      <c r="FW49" s="2">
        <f>((IF((167='V06 Calend 01'!C49),('V06 Calend 01'!F49+'V06 Calend 01'!G49),0)+IF(AND(('V06 Calend 01'!E49&gt;0),(167&gt;'V06 Calend 01'!C49),(167&lt;'V06 Calend 01'!D49),(MOD((167-'V06 Calend 01'!C49),6)=0),(((167-'V06 Calend 01'!C49)/6)&lt;='V06 Calend 01'!E49)),IF((167=('V06 Calend 01'!C49+(6*'V06 Calend 01'!E49))),('V06 Calend 01'!H49-('V06 Calend 01'!I49*('V06 Calend 01'!E49-1))),'V06 Calend 01'!I49),0))+IF((167='V06 Calend 01'!D49),'V06 Calend 01'!J49,0))</f>
        <v>0</v>
      </c>
      <c r="FX49" s="2">
        <f>((IF((168='V06 Calend 01'!C49),('V06 Calend 01'!F49+'V06 Calend 01'!G49),0)+IF(AND(('V06 Calend 01'!E49&gt;0),(168&gt;'V06 Calend 01'!C49),(168&lt;'V06 Calend 01'!D49),(MOD((168-'V06 Calend 01'!C49),6)=0),(((168-'V06 Calend 01'!C49)/6)&lt;='V06 Calend 01'!E49)),IF((168=('V06 Calend 01'!C49+(6*'V06 Calend 01'!E49))),('V06 Calend 01'!H49-('V06 Calend 01'!I49*('V06 Calend 01'!E49-1))),'V06 Calend 01'!I49),0))+IF((168='V06 Calend 01'!D49),'V06 Calend 01'!J49,0))</f>
        <v>0</v>
      </c>
      <c r="FY49" s="2">
        <f>((IF((169='V06 Calend 01'!C49),('V06 Calend 01'!F49+'V06 Calend 01'!G49),0)+IF(AND(('V06 Calend 01'!E49&gt;0),(169&gt;'V06 Calend 01'!C49),(169&lt;'V06 Calend 01'!D49),(MOD((169-'V06 Calend 01'!C49),6)=0),(((169-'V06 Calend 01'!C49)/6)&lt;='V06 Calend 01'!E49)),IF((169=('V06 Calend 01'!C49+(6*'V06 Calend 01'!E49))),('V06 Calend 01'!H49-('V06 Calend 01'!I49*('V06 Calend 01'!E49-1))),'V06 Calend 01'!I49),0))+IF((169='V06 Calend 01'!D49),'V06 Calend 01'!J49,0))</f>
        <v>0</v>
      </c>
      <c r="FZ49" s="2">
        <f>((IF((170='V06 Calend 01'!C49),('V06 Calend 01'!F49+'V06 Calend 01'!G49),0)+IF(AND(('V06 Calend 01'!E49&gt;0),(170&gt;'V06 Calend 01'!C49),(170&lt;'V06 Calend 01'!D49),(MOD((170-'V06 Calend 01'!C49),6)=0),(((170-'V06 Calend 01'!C49)/6)&lt;='V06 Calend 01'!E49)),IF((170=('V06 Calend 01'!C49+(6*'V06 Calend 01'!E49))),('V06 Calend 01'!H49-('V06 Calend 01'!I49*('V06 Calend 01'!E49-1))),'V06 Calend 01'!I49),0))+IF((170='V06 Calend 01'!D49),'V06 Calend 01'!J49,0))</f>
        <v>0</v>
      </c>
      <c r="GA49" s="2">
        <f>((IF((171='V06 Calend 01'!C49),('V06 Calend 01'!F49+'V06 Calend 01'!G49),0)+IF(AND(('V06 Calend 01'!E49&gt;0),(171&gt;'V06 Calend 01'!C49),(171&lt;'V06 Calend 01'!D49),(MOD((171-'V06 Calend 01'!C49),6)=0),(((171-'V06 Calend 01'!C49)/6)&lt;='V06 Calend 01'!E49)),IF((171=('V06 Calend 01'!C49+(6*'V06 Calend 01'!E49))),('V06 Calend 01'!H49-('V06 Calend 01'!I49*('V06 Calend 01'!E49-1))),'V06 Calend 01'!I49),0))+IF((171='V06 Calend 01'!D49),'V06 Calend 01'!J49,0))</f>
        <v>0</v>
      </c>
      <c r="GB49" s="2">
        <f>((IF((172='V06 Calend 01'!C49),('V06 Calend 01'!F49+'V06 Calend 01'!G49),0)+IF(AND(('V06 Calend 01'!E49&gt;0),(172&gt;'V06 Calend 01'!C49),(172&lt;'V06 Calend 01'!D49),(MOD((172-'V06 Calend 01'!C49),6)=0),(((172-'V06 Calend 01'!C49)/6)&lt;='V06 Calend 01'!E49)),IF((172=('V06 Calend 01'!C49+(6*'V06 Calend 01'!E49))),('V06 Calend 01'!H49-('V06 Calend 01'!I49*('V06 Calend 01'!E49-1))),'V06 Calend 01'!I49),0))+IF((172='V06 Calend 01'!D49),'V06 Calend 01'!J49,0))</f>
        <v>0</v>
      </c>
      <c r="GC49" s="2">
        <f>((IF((173='V06 Calend 01'!C49),('V06 Calend 01'!F49+'V06 Calend 01'!G49),0)+IF(AND(('V06 Calend 01'!E49&gt;0),(173&gt;'V06 Calend 01'!C49),(173&lt;'V06 Calend 01'!D49),(MOD((173-'V06 Calend 01'!C49),6)=0),(((173-'V06 Calend 01'!C49)/6)&lt;='V06 Calend 01'!E49)),IF((173=('V06 Calend 01'!C49+(6*'V06 Calend 01'!E49))),('V06 Calend 01'!H49-('V06 Calend 01'!I49*('V06 Calend 01'!E49-1))),'V06 Calend 01'!I49),0))+IF((173='V06 Calend 01'!D49),'V06 Calend 01'!J49,0))</f>
        <v>0</v>
      </c>
      <c r="GD49" s="2">
        <f>((IF((174='V06 Calend 01'!C49),('V06 Calend 01'!F49+'V06 Calend 01'!G49),0)+IF(AND(('V06 Calend 01'!E49&gt;0),(174&gt;'V06 Calend 01'!C49),(174&lt;'V06 Calend 01'!D49),(MOD((174-'V06 Calend 01'!C49),6)=0),(((174-'V06 Calend 01'!C49)/6)&lt;='V06 Calend 01'!E49)),IF((174=('V06 Calend 01'!C49+(6*'V06 Calend 01'!E49))),('V06 Calend 01'!H49-('V06 Calend 01'!I49*('V06 Calend 01'!E49-1))),'V06 Calend 01'!I49),0))+IF((174='V06 Calend 01'!D49),'V06 Calend 01'!J49,0))</f>
        <v>0</v>
      </c>
      <c r="GE49" s="2">
        <f>((IF((175='V06 Calend 01'!C49),('V06 Calend 01'!F49+'V06 Calend 01'!G49),0)+IF(AND(('V06 Calend 01'!E49&gt;0),(175&gt;'V06 Calend 01'!C49),(175&lt;'V06 Calend 01'!D49),(MOD((175-'V06 Calend 01'!C49),6)=0),(((175-'V06 Calend 01'!C49)/6)&lt;='V06 Calend 01'!E49)),IF((175=('V06 Calend 01'!C49+(6*'V06 Calend 01'!E49))),('V06 Calend 01'!H49-('V06 Calend 01'!I49*('V06 Calend 01'!E49-1))),'V06 Calend 01'!I49),0))+IF((175='V06 Calend 01'!D49),'V06 Calend 01'!J49,0))</f>
        <v>0</v>
      </c>
      <c r="GF49" s="2">
        <f>((IF((176='V06 Calend 01'!C49),('V06 Calend 01'!F49+'V06 Calend 01'!G49),0)+IF(AND(('V06 Calend 01'!E49&gt;0),(176&gt;'V06 Calend 01'!C49),(176&lt;'V06 Calend 01'!D49),(MOD((176-'V06 Calend 01'!C49),6)=0),(((176-'V06 Calend 01'!C49)/6)&lt;='V06 Calend 01'!E49)),IF((176=('V06 Calend 01'!C49+(6*'V06 Calend 01'!E49))),('V06 Calend 01'!H49-('V06 Calend 01'!I49*('V06 Calend 01'!E49-1))),'V06 Calend 01'!I49),0))+IF((176='V06 Calend 01'!D49),'V06 Calend 01'!J49,0))</f>
        <v>0</v>
      </c>
      <c r="GG49" s="2">
        <f>((IF((177='V06 Calend 01'!C49),('V06 Calend 01'!F49+'V06 Calend 01'!G49),0)+IF(AND(('V06 Calend 01'!E49&gt;0),(177&gt;'V06 Calend 01'!C49),(177&lt;'V06 Calend 01'!D49),(MOD((177-'V06 Calend 01'!C49),6)=0),(((177-'V06 Calend 01'!C49)/6)&lt;='V06 Calend 01'!E49)),IF((177=('V06 Calend 01'!C49+(6*'V06 Calend 01'!E49))),('V06 Calend 01'!H49-('V06 Calend 01'!I49*('V06 Calend 01'!E49-1))),'V06 Calend 01'!I49),0))+IF((177='V06 Calend 01'!D49),'V06 Calend 01'!J49,0))</f>
        <v>0</v>
      </c>
      <c r="GH49" s="2">
        <f>((IF((178='V06 Calend 01'!C49),('V06 Calend 01'!F49+'V06 Calend 01'!G49),0)+IF(AND(('V06 Calend 01'!E49&gt;0),(178&gt;'V06 Calend 01'!C49),(178&lt;'V06 Calend 01'!D49),(MOD((178-'V06 Calend 01'!C49),6)=0),(((178-'V06 Calend 01'!C49)/6)&lt;='V06 Calend 01'!E49)),IF((178=('V06 Calend 01'!C49+(6*'V06 Calend 01'!E49))),('V06 Calend 01'!H49-('V06 Calend 01'!I49*('V06 Calend 01'!E49-1))),'V06 Calend 01'!I49),0))+IF((178='V06 Calend 01'!D49),'V06 Calend 01'!J49,0))</f>
        <v>0</v>
      </c>
      <c r="GI49" s="2">
        <f>((IF((179='V06 Calend 01'!C49),('V06 Calend 01'!F49+'V06 Calend 01'!G49),0)+IF(AND(('V06 Calend 01'!E49&gt;0),(179&gt;'V06 Calend 01'!C49),(179&lt;'V06 Calend 01'!D49),(MOD((179-'V06 Calend 01'!C49),6)=0),(((179-'V06 Calend 01'!C49)/6)&lt;='V06 Calend 01'!E49)),IF((179=('V06 Calend 01'!C49+(6*'V06 Calend 01'!E49))),('V06 Calend 01'!H49-('V06 Calend 01'!I49*('V06 Calend 01'!E49-1))),'V06 Calend 01'!I49),0))+IF((179='V06 Calend 01'!D49),'V06 Calend 01'!J49,0))</f>
        <v>0</v>
      </c>
      <c r="GJ49" s="2">
        <f>((IF((180='V06 Calend 01'!C49),('V06 Calend 01'!F49+'V06 Calend 01'!G49),0)+IF(AND(('V06 Calend 01'!E49&gt;0),(180&gt;'V06 Calend 01'!C49),(180&lt;'V06 Calend 01'!D49),(MOD((180-'V06 Calend 01'!C49),6)=0),(((180-'V06 Calend 01'!C49)/6)&lt;='V06 Calend 01'!E49)),IF((180=('V06 Calend 01'!C49+(6*'V06 Calend 01'!E49))),('V06 Calend 01'!H49-('V06 Calend 01'!I49*('V06 Calend 01'!E49-1))),'V06 Calend 01'!I49),0))+IF((180='V06 Calend 01'!D49),'V06 Calend 01'!J49,0))</f>
        <v>0</v>
      </c>
    </row>
    <row r="50" spans="1:192">
      <c r="A50" s="3" t="str">
        <f>'V06 Unidades'!$A$50</f>
        <v>606</v>
      </c>
      <c r="B50" s="2">
        <f>'V06 Unidades'!$H$50</f>
        <v>495780.37</v>
      </c>
      <c r="C50" s="4">
        <f>('V06 Unidades'!$I$50+'V06 Controlos'!$B$37)</f>
        <v>4</v>
      </c>
      <c r="D50" s="4">
        <f>IF(('V06 Controlos'!$B$38&gt;0),MAX(('V06 Unidades'!$L$50+'V06 Controlos'!$B$37),(30+'V06 Controlos'!$B$38)),('V06 Unidades'!$L$50+'V06 Controlos'!$B$37))</f>
        <v>28</v>
      </c>
      <c r="E50" s="4">
        <f>MAX(0,INT(((('V06 Calend 01'!D50-'V06 Calend 01'!C50)-1)/6)))</f>
        <v>3</v>
      </c>
      <c r="F50" s="2">
        <f>ROUND(('V06 Calend 01'!B50*0.05),2)</f>
        <v>24789.02</v>
      </c>
      <c r="G50" s="2">
        <f>ROUND(('V06 Calend 01'!B50*0.2),2)</f>
        <v>99156.07</v>
      </c>
      <c r="H50" s="2">
        <f>ROUND(('V06 Calend 01'!B50*0.55),2)</f>
        <v>272679.2</v>
      </c>
      <c r="I50" s="2">
        <f>ROUND(('V06 Calend 01'!H50/MAX(1,'V06 Calend 01'!E50)),2)</f>
        <v>90893.07</v>
      </c>
      <c r="J50" s="2">
        <f>((('V06 Calend 01'!B50-'V06 Calend 01'!F50)-'V06 Calend 01'!G50)-'V06 Calend 01'!H50)</f>
        <v>99156.07999999996</v>
      </c>
      <c r="K50" s="2">
        <f>('V06 Calend 01'!B50*0.025)</f>
        <v>12394.509250000001</v>
      </c>
      <c r="L50" t="s">
        <v>378</v>
      </c>
      <c r="M50" s="2">
        <f>((IF((1='V06 Calend 01'!C50),('V06 Calend 01'!F50+'V06 Calend 01'!G50),0)+IF(AND(('V06 Calend 01'!E50&gt;0),(1&gt;'V06 Calend 01'!C50),(1&lt;'V06 Calend 01'!D50),(MOD((1-'V06 Calend 01'!C50),6)=0),(((1-'V06 Calend 01'!C50)/6)&lt;='V06 Calend 01'!E50)),IF((1=('V06 Calend 01'!C50+(6*'V06 Calend 01'!E50))),('V06 Calend 01'!H50-('V06 Calend 01'!I50*('V06 Calend 01'!E50-1))),'V06 Calend 01'!I50),0))+IF((1='V06 Calend 01'!D50),'V06 Calend 01'!J50,0))</f>
        <v>0</v>
      </c>
      <c r="N50" s="2">
        <f>((IF((2='V06 Calend 01'!C50),('V06 Calend 01'!F50+'V06 Calend 01'!G50),0)+IF(AND(('V06 Calend 01'!E50&gt;0),(2&gt;'V06 Calend 01'!C50),(2&lt;'V06 Calend 01'!D50),(MOD((2-'V06 Calend 01'!C50),6)=0),(((2-'V06 Calend 01'!C50)/6)&lt;='V06 Calend 01'!E50)),IF((2=('V06 Calend 01'!C50+(6*'V06 Calend 01'!E50))),('V06 Calend 01'!H50-('V06 Calend 01'!I50*('V06 Calend 01'!E50-1))),'V06 Calend 01'!I50),0))+IF((2='V06 Calend 01'!D50),'V06 Calend 01'!J50,0))</f>
        <v>0</v>
      </c>
      <c r="O50" s="2">
        <f>((IF((3='V06 Calend 01'!C50),('V06 Calend 01'!F50+'V06 Calend 01'!G50),0)+IF(AND(('V06 Calend 01'!E50&gt;0),(3&gt;'V06 Calend 01'!C50),(3&lt;'V06 Calend 01'!D50),(MOD((3-'V06 Calend 01'!C50),6)=0),(((3-'V06 Calend 01'!C50)/6)&lt;='V06 Calend 01'!E50)),IF((3=('V06 Calend 01'!C50+(6*'V06 Calend 01'!E50))),('V06 Calend 01'!H50-('V06 Calend 01'!I50*('V06 Calend 01'!E50-1))),'V06 Calend 01'!I50),0))+IF((3='V06 Calend 01'!D50),'V06 Calend 01'!J50,0))</f>
        <v>0</v>
      </c>
      <c r="P50" s="2">
        <f>((IF((4='V06 Calend 01'!C50),('V06 Calend 01'!F50+'V06 Calend 01'!G50),0)+IF(AND(('V06 Calend 01'!E50&gt;0),(4&gt;'V06 Calend 01'!C50),(4&lt;'V06 Calend 01'!D50),(MOD((4-'V06 Calend 01'!C50),6)=0),(((4-'V06 Calend 01'!C50)/6)&lt;='V06 Calend 01'!E50)),IF((4=('V06 Calend 01'!C50+(6*'V06 Calend 01'!E50))),('V06 Calend 01'!H50-('V06 Calend 01'!I50*('V06 Calend 01'!E50-1))),'V06 Calend 01'!I50),0))+IF((4='V06 Calend 01'!D50),'V06 Calend 01'!J50,0))</f>
        <v>123945.09000000001</v>
      </c>
      <c r="Q50" s="2">
        <f>((IF((5='V06 Calend 01'!C50),('V06 Calend 01'!F50+'V06 Calend 01'!G50),0)+IF(AND(('V06 Calend 01'!E50&gt;0),(5&gt;'V06 Calend 01'!C50),(5&lt;'V06 Calend 01'!D50),(MOD((5-'V06 Calend 01'!C50),6)=0),(((5-'V06 Calend 01'!C50)/6)&lt;='V06 Calend 01'!E50)),IF((5=('V06 Calend 01'!C50+(6*'V06 Calend 01'!E50))),('V06 Calend 01'!H50-('V06 Calend 01'!I50*('V06 Calend 01'!E50-1))),'V06 Calend 01'!I50),0))+IF((5='V06 Calend 01'!D50),'V06 Calend 01'!J50,0))</f>
        <v>0</v>
      </c>
      <c r="R50" s="2">
        <f>((IF((6='V06 Calend 01'!C50),('V06 Calend 01'!F50+'V06 Calend 01'!G50),0)+IF(AND(('V06 Calend 01'!E50&gt;0),(6&gt;'V06 Calend 01'!C50),(6&lt;'V06 Calend 01'!D50),(MOD((6-'V06 Calend 01'!C50),6)=0),(((6-'V06 Calend 01'!C50)/6)&lt;='V06 Calend 01'!E50)),IF((6=('V06 Calend 01'!C50+(6*'V06 Calend 01'!E50))),('V06 Calend 01'!H50-('V06 Calend 01'!I50*('V06 Calend 01'!E50-1))),'V06 Calend 01'!I50),0))+IF((6='V06 Calend 01'!D50),'V06 Calend 01'!J50,0))</f>
        <v>0</v>
      </c>
      <c r="S50" s="2">
        <f>((IF((7='V06 Calend 01'!C50),('V06 Calend 01'!F50+'V06 Calend 01'!G50),0)+IF(AND(('V06 Calend 01'!E50&gt;0),(7&gt;'V06 Calend 01'!C50),(7&lt;'V06 Calend 01'!D50),(MOD((7-'V06 Calend 01'!C50),6)=0),(((7-'V06 Calend 01'!C50)/6)&lt;='V06 Calend 01'!E50)),IF((7=('V06 Calend 01'!C50+(6*'V06 Calend 01'!E50))),('V06 Calend 01'!H50-('V06 Calend 01'!I50*('V06 Calend 01'!E50-1))),'V06 Calend 01'!I50),0))+IF((7='V06 Calend 01'!D50),'V06 Calend 01'!J50,0))</f>
        <v>0</v>
      </c>
      <c r="T50" s="2">
        <f>((IF((8='V06 Calend 01'!C50),('V06 Calend 01'!F50+'V06 Calend 01'!G50),0)+IF(AND(('V06 Calend 01'!E50&gt;0),(8&gt;'V06 Calend 01'!C50),(8&lt;'V06 Calend 01'!D50),(MOD((8-'V06 Calend 01'!C50),6)=0),(((8-'V06 Calend 01'!C50)/6)&lt;='V06 Calend 01'!E50)),IF((8=('V06 Calend 01'!C50+(6*'V06 Calend 01'!E50))),('V06 Calend 01'!H50-('V06 Calend 01'!I50*('V06 Calend 01'!E50-1))),'V06 Calend 01'!I50),0))+IF((8='V06 Calend 01'!D50),'V06 Calend 01'!J50,0))</f>
        <v>0</v>
      </c>
      <c r="U50" s="2">
        <f>((IF((9='V06 Calend 01'!C50),('V06 Calend 01'!F50+'V06 Calend 01'!G50),0)+IF(AND(('V06 Calend 01'!E50&gt;0),(9&gt;'V06 Calend 01'!C50),(9&lt;'V06 Calend 01'!D50),(MOD((9-'V06 Calend 01'!C50),6)=0),(((9-'V06 Calend 01'!C50)/6)&lt;='V06 Calend 01'!E50)),IF((9=('V06 Calend 01'!C50+(6*'V06 Calend 01'!E50))),('V06 Calend 01'!H50-('V06 Calend 01'!I50*('V06 Calend 01'!E50-1))),'V06 Calend 01'!I50),0))+IF((9='V06 Calend 01'!D50),'V06 Calend 01'!J50,0))</f>
        <v>0</v>
      </c>
      <c r="V50" s="2">
        <f>((IF((10='V06 Calend 01'!C50),('V06 Calend 01'!F50+'V06 Calend 01'!G50),0)+IF(AND(('V06 Calend 01'!E50&gt;0),(10&gt;'V06 Calend 01'!C50),(10&lt;'V06 Calend 01'!D50),(MOD((10-'V06 Calend 01'!C50),6)=0),(((10-'V06 Calend 01'!C50)/6)&lt;='V06 Calend 01'!E50)),IF((10=('V06 Calend 01'!C50+(6*'V06 Calend 01'!E50))),('V06 Calend 01'!H50-('V06 Calend 01'!I50*('V06 Calend 01'!E50-1))),'V06 Calend 01'!I50),0))+IF((10='V06 Calend 01'!D50),'V06 Calend 01'!J50,0))</f>
        <v>90893.07</v>
      </c>
      <c r="W50" s="2">
        <f>((IF((11='V06 Calend 01'!C50),('V06 Calend 01'!F50+'V06 Calend 01'!G50),0)+IF(AND(('V06 Calend 01'!E50&gt;0),(11&gt;'V06 Calend 01'!C50),(11&lt;'V06 Calend 01'!D50),(MOD((11-'V06 Calend 01'!C50),6)=0),(((11-'V06 Calend 01'!C50)/6)&lt;='V06 Calend 01'!E50)),IF((11=('V06 Calend 01'!C50+(6*'V06 Calend 01'!E50))),('V06 Calend 01'!H50-('V06 Calend 01'!I50*('V06 Calend 01'!E50-1))),'V06 Calend 01'!I50),0))+IF((11='V06 Calend 01'!D50),'V06 Calend 01'!J50,0))</f>
        <v>0</v>
      </c>
      <c r="X50" s="2">
        <f>((IF((12='V06 Calend 01'!C50),('V06 Calend 01'!F50+'V06 Calend 01'!G50),0)+IF(AND(('V06 Calend 01'!E50&gt;0),(12&gt;'V06 Calend 01'!C50),(12&lt;'V06 Calend 01'!D50),(MOD((12-'V06 Calend 01'!C50),6)=0),(((12-'V06 Calend 01'!C50)/6)&lt;='V06 Calend 01'!E50)),IF((12=('V06 Calend 01'!C50+(6*'V06 Calend 01'!E50))),('V06 Calend 01'!H50-('V06 Calend 01'!I50*('V06 Calend 01'!E50-1))),'V06 Calend 01'!I50),0))+IF((12='V06 Calend 01'!D50),'V06 Calend 01'!J50,0))</f>
        <v>0</v>
      </c>
      <c r="Y50" s="2">
        <f>((IF((13='V06 Calend 01'!C50),('V06 Calend 01'!F50+'V06 Calend 01'!G50),0)+IF(AND(('V06 Calend 01'!E50&gt;0),(13&gt;'V06 Calend 01'!C50),(13&lt;'V06 Calend 01'!D50),(MOD((13-'V06 Calend 01'!C50),6)=0),(((13-'V06 Calend 01'!C50)/6)&lt;='V06 Calend 01'!E50)),IF((13=('V06 Calend 01'!C50+(6*'V06 Calend 01'!E50))),('V06 Calend 01'!H50-('V06 Calend 01'!I50*('V06 Calend 01'!E50-1))),'V06 Calend 01'!I50),0))+IF((13='V06 Calend 01'!D50),'V06 Calend 01'!J50,0))</f>
        <v>0</v>
      </c>
      <c r="Z50" s="2">
        <f>((IF((14='V06 Calend 01'!C50),('V06 Calend 01'!F50+'V06 Calend 01'!G50),0)+IF(AND(('V06 Calend 01'!E50&gt;0),(14&gt;'V06 Calend 01'!C50),(14&lt;'V06 Calend 01'!D50),(MOD((14-'V06 Calend 01'!C50),6)=0),(((14-'V06 Calend 01'!C50)/6)&lt;='V06 Calend 01'!E50)),IF((14=('V06 Calend 01'!C50+(6*'V06 Calend 01'!E50))),('V06 Calend 01'!H50-('V06 Calend 01'!I50*('V06 Calend 01'!E50-1))),'V06 Calend 01'!I50),0))+IF((14='V06 Calend 01'!D50),'V06 Calend 01'!J50,0))</f>
        <v>0</v>
      </c>
      <c r="AA50" s="2">
        <f>((IF((15='V06 Calend 01'!C50),('V06 Calend 01'!F50+'V06 Calend 01'!G50),0)+IF(AND(('V06 Calend 01'!E50&gt;0),(15&gt;'V06 Calend 01'!C50),(15&lt;'V06 Calend 01'!D50),(MOD((15-'V06 Calend 01'!C50),6)=0),(((15-'V06 Calend 01'!C50)/6)&lt;='V06 Calend 01'!E50)),IF((15=('V06 Calend 01'!C50+(6*'V06 Calend 01'!E50))),('V06 Calend 01'!H50-('V06 Calend 01'!I50*('V06 Calend 01'!E50-1))),'V06 Calend 01'!I50),0))+IF((15='V06 Calend 01'!D50),'V06 Calend 01'!J50,0))</f>
        <v>0</v>
      </c>
      <c r="AB50" s="2">
        <f>((IF((16='V06 Calend 01'!C50),('V06 Calend 01'!F50+'V06 Calend 01'!G50),0)+IF(AND(('V06 Calend 01'!E50&gt;0),(16&gt;'V06 Calend 01'!C50),(16&lt;'V06 Calend 01'!D50),(MOD((16-'V06 Calend 01'!C50),6)=0),(((16-'V06 Calend 01'!C50)/6)&lt;='V06 Calend 01'!E50)),IF((16=('V06 Calend 01'!C50+(6*'V06 Calend 01'!E50))),('V06 Calend 01'!H50-('V06 Calend 01'!I50*('V06 Calend 01'!E50-1))),'V06 Calend 01'!I50),0))+IF((16='V06 Calend 01'!D50),'V06 Calend 01'!J50,0))</f>
        <v>90893.07</v>
      </c>
      <c r="AC50" s="2">
        <f>((IF((17='V06 Calend 01'!C50),('V06 Calend 01'!F50+'V06 Calend 01'!G50),0)+IF(AND(('V06 Calend 01'!E50&gt;0),(17&gt;'V06 Calend 01'!C50),(17&lt;'V06 Calend 01'!D50),(MOD((17-'V06 Calend 01'!C50),6)=0),(((17-'V06 Calend 01'!C50)/6)&lt;='V06 Calend 01'!E50)),IF((17=('V06 Calend 01'!C50+(6*'V06 Calend 01'!E50))),('V06 Calend 01'!H50-('V06 Calend 01'!I50*('V06 Calend 01'!E50-1))),'V06 Calend 01'!I50),0))+IF((17='V06 Calend 01'!D50),'V06 Calend 01'!J50,0))</f>
        <v>0</v>
      </c>
      <c r="AD50" s="2">
        <f>((IF((18='V06 Calend 01'!C50),('V06 Calend 01'!F50+'V06 Calend 01'!G50),0)+IF(AND(('V06 Calend 01'!E50&gt;0),(18&gt;'V06 Calend 01'!C50),(18&lt;'V06 Calend 01'!D50),(MOD((18-'V06 Calend 01'!C50),6)=0),(((18-'V06 Calend 01'!C50)/6)&lt;='V06 Calend 01'!E50)),IF((18=('V06 Calend 01'!C50+(6*'V06 Calend 01'!E50))),('V06 Calend 01'!H50-('V06 Calend 01'!I50*('V06 Calend 01'!E50-1))),'V06 Calend 01'!I50),0))+IF((18='V06 Calend 01'!D50),'V06 Calend 01'!J50,0))</f>
        <v>0</v>
      </c>
      <c r="AE50" s="2">
        <f>((IF((19='V06 Calend 01'!C50),('V06 Calend 01'!F50+'V06 Calend 01'!G50),0)+IF(AND(('V06 Calend 01'!E50&gt;0),(19&gt;'V06 Calend 01'!C50),(19&lt;'V06 Calend 01'!D50),(MOD((19-'V06 Calend 01'!C50),6)=0),(((19-'V06 Calend 01'!C50)/6)&lt;='V06 Calend 01'!E50)),IF((19=('V06 Calend 01'!C50+(6*'V06 Calend 01'!E50))),('V06 Calend 01'!H50-('V06 Calend 01'!I50*('V06 Calend 01'!E50-1))),'V06 Calend 01'!I50),0))+IF((19='V06 Calend 01'!D50),'V06 Calend 01'!J50,0))</f>
        <v>0</v>
      </c>
      <c r="AF50" s="2">
        <f>((IF((20='V06 Calend 01'!C50),('V06 Calend 01'!F50+'V06 Calend 01'!G50),0)+IF(AND(('V06 Calend 01'!E50&gt;0),(20&gt;'V06 Calend 01'!C50),(20&lt;'V06 Calend 01'!D50),(MOD((20-'V06 Calend 01'!C50),6)=0),(((20-'V06 Calend 01'!C50)/6)&lt;='V06 Calend 01'!E50)),IF((20=('V06 Calend 01'!C50+(6*'V06 Calend 01'!E50))),('V06 Calend 01'!H50-('V06 Calend 01'!I50*('V06 Calend 01'!E50-1))),'V06 Calend 01'!I50),0))+IF((20='V06 Calend 01'!D50),'V06 Calend 01'!J50,0))</f>
        <v>0</v>
      </c>
      <c r="AG50" s="2">
        <f>((IF((21='V06 Calend 01'!C50),('V06 Calend 01'!F50+'V06 Calend 01'!G50),0)+IF(AND(('V06 Calend 01'!E50&gt;0),(21&gt;'V06 Calend 01'!C50),(21&lt;'V06 Calend 01'!D50),(MOD((21-'V06 Calend 01'!C50),6)=0),(((21-'V06 Calend 01'!C50)/6)&lt;='V06 Calend 01'!E50)),IF((21=('V06 Calend 01'!C50+(6*'V06 Calend 01'!E50))),('V06 Calend 01'!H50-('V06 Calend 01'!I50*('V06 Calend 01'!E50-1))),'V06 Calend 01'!I50),0))+IF((21='V06 Calend 01'!D50),'V06 Calend 01'!J50,0))</f>
        <v>0</v>
      </c>
      <c r="AH50" s="2">
        <f>((IF((22='V06 Calend 01'!C50),('V06 Calend 01'!F50+'V06 Calend 01'!G50),0)+IF(AND(('V06 Calend 01'!E50&gt;0),(22&gt;'V06 Calend 01'!C50),(22&lt;'V06 Calend 01'!D50),(MOD((22-'V06 Calend 01'!C50),6)=0),(((22-'V06 Calend 01'!C50)/6)&lt;='V06 Calend 01'!E50)),IF((22=('V06 Calend 01'!C50+(6*'V06 Calend 01'!E50))),('V06 Calend 01'!H50-('V06 Calend 01'!I50*('V06 Calend 01'!E50-1))),'V06 Calend 01'!I50),0))+IF((22='V06 Calend 01'!D50),'V06 Calend 01'!J50,0))</f>
        <v>90893.06</v>
      </c>
      <c r="AI50" s="2">
        <f>((IF((23='V06 Calend 01'!C50),('V06 Calend 01'!F50+'V06 Calend 01'!G50),0)+IF(AND(('V06 Calend 01'!E50&gt;0),(23&gt;'V06 Calend 01'!C50),(23&lt;'V06 Calend 01'!D50),(MOD((23-'V06 Calend 01'!C50),6)=0),(((23-'V06 Calend 01'!C50)/6)&lt;='V06 Calend 01'!E50)),IF((23=('V06 Calend 01'!C50+(6*'V06 Calend 01'!E50))),('V06 Calend 01'!H50-('V06 Calend 01'!I50*('V06 Calend 01'!E50-1))),'V06 Calend 01'!I50),0))+IF((23='V06 Calend 01'!D50),'V06 Calend 01'!J50,0))</f>
        <v>0</v>
      </c>
      <c r="AJ50" s="2">
        <f>((IF((24='V06 Calend 01'!C50),('V06 Calend 01'!F50+'V06 Calend 01'!G50),0)+IF(AND(('V06 Calend 01'!E50&gt;0),(24&gt;'V06 Calend 01'!C50),(24&lt;'V06 Calend 01'!D50),(MOD((24-'V06 Calend 01'!C50),6)=0),(((24-'V06 Calend 01'!C50)/6)&lt;='V06 Calend 01'!E50)),IF((24=('V06 Calend 01'!C50+(6*'V06 Calend 01'!E50))),('V06 Calend 01'!H50-('V06 Calend 01'!I50*('V06 Calend 01'!E50-1))),'V06 Calend 01'!I50),0))+IF((24='V06 Calend 01'!D50),'V06 Calend 01'!J50,0))</f>
        <v>0</v>
      </c>
      <c r="AK50" s="2">
        <f>((IF((25='V06 Calend 01'!C50),('V06 Calend 01'!F50+'V06 Calend 01'!G50),0)+IF(AND(('V06 Calend 01'!E50&gt;0),(25&gt;'V06 Calend 01'!C50),(25&lt;'V06 Calend 01'!D50),(MOD((25-'V06 Calend 01'!C50),6)=0),(((25-'V06 Calend 01'!C50)/6)&lt;='V06 Calend 01'!E50)),IF((25=('V06 Calend 01'!C50+(6*'V06 Calend 01'!E50))),('V06 Calend 01'!H50-('V06 Calend 01'!I50*('V06 Calend 01'!E50-1))),'V06 Calend 01'!I50),0))+IF((25='V06 Calend 01'!D50),'V06 Calend 01'!J50,0))</f>
        <v>0</v>
      </c>
      <c r="AL50" s="2">
        <f>((IF((26='V06 Calend 01'!C50),('V06 Calend 01'!F50+'V06 Calend 01'!G50),0)+IF(AND(('V06 Calend 01'!E50&gt;0),(26&gt;'V06 Calend 01'!C50),(26&lt;'V06 Calend 01'!D50),(MOD((26-'V06 Calend 01'!C50),6)=0),(((26-'V06 Calend 01'!C50)/6)&lt;='V06 Calend 01'!E50)),IF((26=('V06 Calend 01'!C50+(6*'V06 Calend 01'!E50))),('V06 Calend 01'!H50-('V06 Calend 01'!I50*('V06 Calend 01'!E50-1))),'V06 Calend 01'!I50),0))+IF((26='V06 Calend 01'!D50),'V06 Calend 01'!J50,0))</f>
        <v>0</v>
      </c>
      <c r="AM50" s="2">
        <f>((IF((27='V06 Calend 01'!C50),('V06 Calend 01'!F50+'V06 Calend 01'!G50),0)+IF(AND(('V06 Calend 01'!E50&gt;0),(27&gt;'V06 Calend 01'!C50),(27&lt;'V06 Calend 01'!D50),(MOD((27-'V06 Calend 01'!C50),6)=0),(((27-'V06 Calend 01'!C50)/6)&lt;='V06 Calend 01'!E50)),IF((27=('V06 Calend 01'!C50+(6*'V06 Calend 01'!E50))),('V06 Calend 01'!H50-('V06 Calend 01'!I50*('V06 Calend 01'!E50-1))),'V06 Calend 01'!I50),0))+IF((27='V06 Calend 01'!D50),'V06 Calend 01'!J50,0))</f>
        <v>0</v>
      </c>
      <c r="AN50" s="2">
        <f>((IF((28='V06 Calend 01'!C50),('V06 Calend 01'!F50+'V06 Calend 01'!G50),0)+IF(AND(('V06 Calend 01'!E50&gt;0),(28&gt;'V06 Calend 01'!C50),(28&lt;'V06 Calend 01'!D50),(MOD((28-'V06 Calend 01'!C50),6)=0),(((28-'V06 Calend 01'!C50)/6)&lt;='V06 Calend 01'!E50)),IF((28=('V06 Calend 01'!C50+(6*'V06 Calend 01'!E50))),('V06 Calend 01'!H50-('V06 Calend 01'!I50*('V06 Calend 01'!E50-1))),'V06 Calend 01'!I50),0))+IF((28='V06 Calend 01'!D50),'V06 Calend 01'!J50,0))</f>
        <v>99156.07999999996</v>
      </c>
      <c r="AO50" s="2">
        <f>((IF((29='V06 Calend 01'!C50),('V06 Calend 01'!F50+'V06 Calend 01'!G50),0)+IF(AND(('V06 Calend 01'!E50&gt;0),(29&gt;'V06 Calend 01'!C50),(29&lt;'V06 Calend 01'!D50),(MOD((29-'V06 Calend 01'!C50),6)=0),(((29-'V06 Calend 01'!C50)/6)&lt;='V06 Calend 01'!E50)),IF((29=('V06 Calend 01'!C50+(6*'V06 Calend 01'!E50))),('V06 Calend 01'!H50-('V06 Calend 01'!I50*('V06 Calend 01'!E50-1))),'V06 Calend 01'!I50),0))+IF((29='V06 Calend 01'!D50),'V06 Calend 01'!J50,0))</f>
        <v>0</v>
      </c>
      <c r="AP50" s="2">
        <f>((IF((30='V06 Calend 01'!C50),('V06 Calend 01'!F50+'V06 Calend 01'!G50),0)+IF(AND(('V06 Calend 01'!E50&gt;0),(30&gt;'V06 Calend 01'!C50),(30&lt;'V06 Calend 01'!D50),(MOD((30-'V06 Calend 01'!C50),6)=0),(((30-'V06 Calend 01'!C50)/6)&lt;='V06 Calend 01'!E50)),IF((30=('V06 Calend 01'!C50+(6*'V06 Calend 01'!E50))),('V06 Calend 01'!H50-('V06 Calend 01'!I50*('V06 Calend 01'!E50-1))),'V06 Calend 01'!I50),0))+IF((30='V06 Calend 01'!D50),'V06 Calend 01'!J50,0))</f>
        <v>0</v>
      </c>
      <c r="AQ50" s="2">
        <f>((IF((31='V06 Calend 01'!C50),('V06 Calend 01'!F50+'V06 Calend 01'!G50),0)+IF(AND(('V06 Calend 01'!E50&gt;0),(31&gt;'V06 Calend 01'!C50),(31&lt;'V06 Calend 01'!D50),(MOD((31-'V06 Calend 01'!C50),6)=0),(((31-'V06 Calend 01'!C50)/6)&lt;='V06 Calend 01'!E50)),IF((31=('V06 Calend 01'!C50+(6*'V06 Calend 01'!E50))),('V06 Calend 01'!H50-('V06 Calend 01'!I50*('V06 Calend 01'!E50-1))),'V06 Calend 01'!I50),0))+IF((31='V06 Calend 01'!D50),'V06 Calend 01'!J50,0))</f>
        <v>0</v>
      </c>
      <c r="AR50" s="2">
        <f>((IF((32='V06 Calend 01'!C50),('V06 Calend 01'!F50+'V06 Calend 01'!G50),0)+IF(AND(('V06 Calend 01'!E50&gt;0),(32&gt;'V06 Calend 01'!C50),(32&lt;'V06 Calend 01'!D50),(MOD((32-'V06 Calend 01'!C50),6)=0),(((32-'V06 Calend 01'!C50)/6)&lt;='V06 Calend 01'!E50)),IF((32=('V06 Calend 01'!C50+(6*'V06 Calend 01'!E50))),('V06 Calend 01'!H50-('V06 Calend 01'!I50*('V06 Calend 01'!E50-1))),'V06 Calend 01'!I50),0))+IF((32='V06 Calend 01'!D50),'V06 Calend 01'!J50,0))</f>
        <v>0</v>
      </c>
      <c r="AS50" s="2">
        <f>((IF((33='V06 Calend 01'!C50),('V06 Calend 01'!F50+'V06 Calend 01'!G50),0)+IF(AND(('V06 Calend 01'!E50&gt;0),(33&gt;'V06 Calend 01'!C50),(33&lt;'V06 Calend 01'!D50),(MOD((33-'V06 Calend 01'!C50),6)=0),(((33-'V06 Calend 01'!C50)/6)&lt;='V06 Calend 01'!E50)),IF((33=('V06 Calend 01'!C50+(6*'V06 Calend 01'!E50))),('V06 Calend 01'!H50-('V06 Calend 01'!I50*('V06 Calend 01'!E50-1))),'V06 Calend 01'!I50),0))+IF((33='V06 Calend 01'!D50),'V06 Calend 01'!J50,0))</f>
        <v>0</v>
      </c>
      <c r="AT50" s="2">
        <f>((IF((34='V06 Calend 01'!C50),('V06 Calend 01'!F50+'V06 Calend 01'!G50),0)+IF(AND(('V06 Calend 01'!E50&gt;0),(34&gt;'V06 Calend 01'!C50),(34&lt;'V06 Calend 01'!D50),(MOD((34-'V06 Calend 01'!C50),6)=0),(((34-'V06 Calend 01'!C50)/6)&lt;='V06 Calend 01'!E50)),IF((34=('V06 Calend 01'!C50+(6*'V06 Calend 01'!E50))),('V06 Calend 01'!H50-('V06 Calend 01'!I50*('V06 Calend 01'!E50-1))),'V06 Calend 01'!I50),0))+IF((34='V06 Calend 01'!D50),'V06 Calend 01'!J50,0))</f>
        <v>0</v>
      </c>
      <c r="AU50" s="2">
        <f>((IF((35='V06 Calend 01'!C50),('V06 Calend 01'!F50+'V06 Calend 01'!G50),0)+IF(AND(('V06 Calend 01'!E50&gt;0),(35&gt;'V06 Calend 01'!C50),(35&lt;'V06 Calend 01'!D50),(MOD((35-'V06 Calend 01'!C50),6)=0),(((35-'V06 Calend 01'!C50)/6)&lt;='V06 Calend 01'!E50)),IF((35=('V06 Calend 01'!C50+(6*'V06 Calend 01'!E50))),('V06 Calend 01'!H50-('V06 Calend 01'!I50*('V06 Calend 01'!E50-1))),'V06 Calend 01'!I50),0))+IF((35='V06 Calend 01'!D50),'V06 Calend 01'!J50,0))</f>
        <v>0</v>
      </c>
      <c r="AV50" s="2">
        <f>((IF((36='V06 Calend 01'!C50),('V06 Calend 01'!F50+'V06 Calend 01'!G50),0)+IF(AND(('V06 Calend 01'!E50&gt;0),(36&gt;'V06 Calend 01'!C50),(36&lt;'V06 Calend 01'!D50),(MOD((36-'V06 Calend 01'!C50),6)=0),(((36-'V06 Calend 01'!C50)/6)&lt;='V06 Calend 01'!E50)),IF((36=('V06 Calend 01'!C50+(6*'V06 Calend 01'!E50))),('V06 Calend 01'!H50-('V06 Calend 01'!I50*('V06 Calend 01'!E50-1))),'V06 Calend 01'!I50),0))+IF((36='V06 Calend 01'!D50),'V06 Calend 01'!J50,0))</f>
        <v>0</v>
      </c>
      <c r="AW50" s="2">
        <f>((IF((37='V06 Calend 01'!C50),('V06 Calend 01'!F50+'V06 Calend 01'!G50),0)+IF(AND(('V06 Calend 01'!E50&gt;0),(37&gt;'V06 Calend 01'!C50),(37&lt;'V06 Calend 01'!D50),(MOD((37-'V06 Calend 01'!C50),6)=0),(((37-'V06 Calend 01'!C50)/6)&lt;='V06 Calend 01'!E50)),IF((37=('V06 Calend 01'!C50+(6*'V06 Calend 01'!E50))),('V06 Calend 01'!H50-('V06 Calend 01'!I50*('V06 Calend 01'!E50-1))),'V06 Calend 01'!I50),0))+IF((37='V06 Calend 01'!D50),'V06 Calend 01'!J50,0))</f>
        <v>0</v>
      </c>
      <c r="AX50" s="2">
        <f>((IF((38='V06 Calend 01'!C50),('V06 Calend 01'!F50+'V06 Calend 01'!G50),0)+IF(AND(('V06 Calend 01'!E50&gt;0),(38&gt;'V06 Calend 01'!C50),(38&lt;'V06 Calend 01'!D50),(MOD((38-'V06 Calend 01'!C50),6)=0),(((38-'V06 Calend 01'!C50)/6)&lt;='V06 Calend 01'!E50)),IF((38=('V06 Calend 01'!C50+(6*'V06 Calend 01'!E50))),('V06 Calend 01'!H50-('V06 Calend 01'!I50*('V06 Calend 01'!E50-1))),'V06 Calend 01'!I50),0))+IF((38='V06 Calend 01'!D50),'V06 Calend 01'!J50,0))</f>
        <v>0</v>
      </c>
      <c r="AY50" s="2">
        <f>((IF((39='V06 Calend 01'!C50),('V06 Calend 01'!F50+'V06 Calend 01'!G50),0)+IF(AND(('V06 Calend 01'!E50&gt;0),(39&gt;'V06 Calend 01'!C50),(39&lt;'V06 Calend 01'!D50),(MOD((39-'V06 Calend 01'!C50),6)=0),(((39-'V06 Calend 01'!C50)/6)&lt;='V06 Calend 01'!E50)),IF((39=('V06 Calend 01'!C50+(6*'V06 Calend 01'!E50))),('V06 Calend 01'!H50-('V06 Calend 01'!I50*('V06 Calend 01'!E50-1))),'V06 Calend 01'!I50),0))+IF((39='V06 Calend 01'!D50),'V06 Calend 01'!J50,0))</f>
        <v>0</v>
      </c>
      <c r="AZ50" s="2">
        <f>((IF((40='V06 Calend 01'!C50),('V06 Calend 01'!F50+'V06 Calend 01'!G50),0)+IF(AND(('V06 Calend 01'!E50&gt;0),(40&gt;'V06 Calend 01'!C50),(40&lt;'V06 Calend 01'!D50),(MOD((40-'V06 Calend 01'!C50),6)=0),(((40-'V06 Calend 01'!C50)/6)&lt;='V06 Calend 01'!E50)),IF((40=('V06 Calend 01'!C50+(6*'V06 Calend 01'!E50))),('V06 Calend 01'!H50-('V06 Calend 01'!I50*('V06 Calend 01'!E50-1))),'V06 Calend 01'!I50),0))+IF((40='V06 Calend 01'!D50),'V06 Calend 01'!J50,0))</f>
        <v>0</v>
      </c>
      <c r="BA50" s="2">
        <f>((IF((41='V06 Calend 01'!C50),('V06 Calend 01'!F50+'V06 Calend 01'!G50),0)+IF(AND(('V06 Calend 01'!E50&gt;0),(41&gt;'V06 Calend 01'!C50),(41&lt;'V06 Calend 01'!D50),(MOD((41-'V06 Calend 01'!C50),6)=0),(((41-'V06 Calend 01'!C50)/6)&lt;='V06 Calend 01'!E50)),IF((41=('V06 Calend 01'!C50+(6*'V06 Calend 01'!E50))),('V06 Calend 01'!H50-('V06 Calend 01'!I50*('V06 Calend 01'!E50-1))),'V06 Calend 01'!I50),0))+IF((41='V06 Calend 01'!D50),'V06 Calend 01'!J50,0))</f>
        <v>0</v>
      </c>
      <c r="BB50" s="2">
        <f>((IF((42='V06 Calend 01'!C50),('V06 Calend 01'!F50+'V06 Calend 01'!G50),0)+IF(AND(('V06 Calend 01'!E50&gt;0),(42&gt;'V06 Calend 01'!C50),(42&lt;'V06 Calend 01'!D50),(MOD((42-'V06 Calend 01'!C50),6)=0),(((42-'V06 Calend 01'!C50)/6)&lt;='V06 Calend 01'!E50)),IF((42=('V06 Calend 01'!C50+(6*'V06 Calend 01'!E50))),('V06 Calend 01'!H50-('V06 Calend 01'!I50*('V06 Calend 01'!E50-1))),'V06 Calend 01'!I50),0))+IF((42='V06 Calend 01'!D50),'V06 Calend 01'!J50,0))</f>
        <v>0</v>
      </c>
      <c r="BC50" s="2">
        <f>((IF((43='V06 Calend 01'!C50),('V06 Calend 01'!F50+'V06 Calend 01'!G50),0)+IF(AND(('V06 Calend 01'!E50&gt;0),(43&gt;'V06 Calend 01'!C50),(43&lt;'V06 Calend 01'!D50),(MOD((43-'V06 Calend 01'!C50),6)=0),(((43-'V06 Calend 01'!C50)/6)&lt;='V06 Calend 01'!E50)),IF((43=('V06 Calend 01'!C50+(6*'V06 Calend 01'!E50))),('V06 Calend 01'!H50-('V06 Calend 01'!I50*('V06 Calend 01'!E50-1))),'V06 Calend 01'!I50),0))+IF((43='V06 Calend 01'!D50),'V06 Calend 01'!J50,0))</f>
        <v>0</v>
      </c>
      <c r="BD50" s="2">
        <f>((IF((44='V06 Calend 01'!C50),('V06 Calend 01'!F50+'V06 Calend 01'!G50),0)+IF(AND(('V06 Calend 01'!E50&gt;0),(44&gt;'V06 Calend 01'!C50),(44&lt;'V06 Calend 01'!D50),(MOD((44-'V06 Calend 01'!C50),6)=0),(((44-'V06 Calend 01'!C50)/6)&lt;='V06 Calend 01'!E50)),IF((44=('V06 Calend 01'!C50+(6*'V06 Calend 01'!E50))),('V06 Calend 01'!H50-('V06 Calend 01'!I50*('V06 Calend 01'!E50-1))),'V06 Calend 01'!I50),0))+IF((44='V06 Calend 01'!D50),'V06 Calend 01'!J50,0))</f>
        <v>0</v>
      </c>
      <c r="BE50" s="2">
        <f>((IF((45='V06 Calend 01'!C50),('V06 Calend 01'!F50+'V06 Calend 01'!G50),0)+IF(AND(('V06 Calend 01'!E50&gt;0),(45&gt;'V06 Calend 01'!C50),(45&lt;'V06 Calend 01'!D50),(MOD((45-'V06 Calend 01'!C50),6)=0),(((45-'V06 Calend 01'!C50)/6)&lt;='V06 Calend 01'!E50)),IF((45=('V06 Calend 01'!C50+(6*'V06 Calend 01'!E50))),('V06 Calend 01'!H50-('V06 Calend 01'!I50*('V06 Calend 01'!E50-1))),'V06 Calend 01'!I50),0))+IF((45='V06 Calend 01'!D50),'V06 Calend 01'!J50,0))</f>
        <v>0</v>
      </c>
      <c r="BF50" s="2">
        <f>((IF((46='V06 Calend 01'!C50),('V06 Calend 01'!F50+'V06 Calend 01'!G50),0)+IF(AND(('V06 Calend 01'!E50&gt;0),(46&gt;'V06 Calend 01'!C50),(46&lt;'V06 Calend 01'!D50),(MOD((46-'V06 Calend 01'!C50),6)=0),(((46-'V06 Calend 01'!C50)/6)&lt;='V06 Calend 01'!E50)),IF((46=('V06 Calend 01'!C50+(6*'V06 Calend 01'!E50))),('V06 Calend 01'!H50-('V06 Calend 01'!I50*('V06 Calend 01'!E50-1))),'V06 Calend 01'!I50),0))+IF((46='V06 Calend 01'!D50),'V06 Calend 01'!J50,0))</f>
        <v>0</v>
      </c>
      <c r="BG50" s="2">
        <f>((IF((47='V06 Calend 01'!C50),('V06 Calend 01'!F50+'V06 Calend 01'!G50),0)+IF(AND(('V06 Calend 01'!E50&gt;0),(47&gt;'V06 Calend 01'!C50),(47&lt;'V06 Calend 01'!D50),(MOD((47-'V06 Calend 01'!C50),6)=0),(((47-'V06 Calend 01'!C50)/6)&lt;='V06 Calend 01'!E50)),IF((47=('V06 Calend 01'!C50+(6*'V06 Calend 01'!E50))),('V06 Calend 01'!H50-('V06 Calend 01'!I50*('V06 Calend 01'!E50-1))),'V06 Calend 01'!I50),0))+IF((47='V06 Calend 01'!D50),'V06 Calend 01'!J50,0))</f>
        <v>0</v>
      </c>
      <c r="BH50" s="2">
        <f>((IF((48='V06 Calend 01'!C50),('V06 Calend 01'!F50+'V06 Calend 01'!G50),0)+IF(AND(('V06 Calend 01'!E50&gt;0),(48&gt;'V06 Calend 01'!C50),(48&lt;'V06 Calend 01'!D50),(MOD((48-'V06 Calend 01'!C50),6)=0),(((48-'V06 Calend 01'!C50)/6)&lt;='V06 Calend 01'!E50)),IF((48=('V06 Calend 01'!C50+(6*'V06 Calend 01'!E50))),('V06 Calend 01'!H50-('V06 Calend 01'!I50*('V06 Calend 01'!E50-1))),'V06 Calend 01'!I50),0))+IF((48='V06 Calend 01'!D50),'V06 Calend 01'!J50,0))</f>
        <v>0</v>
      </c>
      <c r="BI50" s="2">
        <f>((IF((49='V06 Calend 01'!C50),('V06 Calend 01'!F50+'V06 Calend 01'!G50),0)+IF(AND(('V06 Calend 01'!E50&gt;0),(49&gt;'V06 Calend 01'!C50),(49&lt;'V06 Calend 01'!D50),(MOD((49-'V06 Calend 01'!C50),6)=0),(((49-'V06 Calend 01'!C50)/6)&lt;='V06 Calend 01'!E50)),IF((49=('V06 Calend 01'!C50+(6*'V06 Calend 01'!E50))),('V06 Calend 01'!H50-('V06 Calend 01'!I50*('V06 Calend 01'!E50-1))),'V06 Calend 01'!I50),0))+IF((49='V06 Calend 01'!D50),'V06 Calend 01'!J50,0))</f>
        <v>0</v>
      </c>
      <c r="BJ50" s="2">
        <f>((IF((50='V06 Calend 01'!C50),('V06 Calend 01'!F50+'V06 Calend 01'!G50),0)+IF(AND(('V06 Calend 01'!E50&gt;0),(50&gt;'V06 Calend 01'!C50),(50&lt;'V06 Calend 01'!D50),(MOD((50-'V06 Calend 01'!C50),6)=0),(((50-'V06 Calend 01'!C50)/6)&lt;='V06 Calend 01'!E50)),IF((50=('V06 Calend 01'!C50+(6*'V06 Calend 01'!E50))),('V06 Calend 01'!H50-('V06 Calend 01'!I50*('V06 Calend 01'!E50-1))),'V06 Calend 01'!I50),0))+IF((50='V06 Calend 01'!D50),'V06 Calend 01'!J50,0))</f>
        <v>0</v>
      </c>
      <c r="BK50" s="2">
        <f>((IF((51='V06 Calend 01'!C50),('V06 Calend 01'!F50+'V06 Calend 01'!G50),0)+IF(AND(('V06 Calend 01'!E50&gt;0),(51&gt;'V06 Calend 01'!C50),(51&lt;'V06 Calend 01'!D50),(MOD((51-'V06 Calend 01'!C50),6)=0),(((51-'V06 Calend 01'!C50)/6)&lt;='V06 Calend 01'!E50)),IF((51=('V06 Calend 01'!C50+(6*'V06 Calend 01'!E50))),('V06 Calend 01'!H50-('V06 Calend 01'!I50*('V06 Calend 01'!E50-1))),'V06 Calend 01'!I50),0))+IF((51='V06 Calend 01'!D50),'V06 Calend 01'!J50,0))</f>
        <v>0</v>
      </c>
      <c r="BL50" s="2">
        <f>((IF((52='V06 Calend 01'!C50),('V06 Calend 01'!F50+'V06 Calend 01'!G50),0)+IF(AND(('V06 Calend 01'!E50&gt;0),(52&gt;'V06 Calend 01'!C50),(52&lt;'V06 Calend 01'!D50),(MOD((52-'V06 Calend 01'!C50),6)=0),(((52-'V06 Calend 01'!C50)/6)&lt;='V06 Calend 01'!E50)),IF((52=('V06 Calend 01'!C50+(6*'V06 Calend 01'!E50))),('V06 Calend 01'!H50-('V06 Calend 01'!I50*('V06 Calend 01'!E50-1))),'V06 Calend 01'!I50),0))+IF((52='V06 Calend 01'!D50),'V06 Calend 01'!J50,0))</f>
        <v>0</v>
      </c>
      <c r="BM50" s="2">
        <f>((IF((53='V06 Calend 01'!C50),('V06 Calend 01'!F50+'V06 Calend 01'!G50),0)+IF(AND(('V06 Calend 01'!E50&gt;0),(53&gt;'V06 Calend 01'!C50),(53&lt;'V06 Calend 01'!D50),(MOD((53-'V06 Calend 01'!C50),6)=0),(((53-'V06 Calend 01'!C50)/6)&lt;='V06 Calend 01'!E50)),IF((53=('V06 Calend 01'!C50+(6*'V06 Calend 01'!E50))),('V06 Calend 01'!H50-('V06 Calend 01'!I50*('V06 Calend 01'!E50-1))),'V06 Calend 01'!I50),0))+IF((53='V06 Calend 01'!D50),'V06 Calend 01'!J50,0))</f>
        <v>0</v>
      </c>
      <c r="BN50" s="2">
        <f>((IF((54='V06 Calend 01'!C50),('V06 Calend 01'!F50+'V06 Calend 01'!G50),0)+IF(AND(('V06 Calend 01'!E50&gt;0),(54&gt;'V06 Calend 01'!C50),(54&lt;'V06 Calend 01'!D50),(MOD((54-'V06 Calend 01'!C50),6)=0),(((54-'V06 Calend 01'!C50)/6)&lt;='V06 Calend 01'!E50)),IF((54=('V06 Calend 01'!C50+(6*'V06 Calend 01'!E50))),('V06 Calend 01'!H50-('V06 Calend 01'!I50*('V06 Calend 01'!E50-1))),'V06 Calend 01'!I50),0))+IF((54='V06 Calend 01'!D50),'V06 Calend 01'!J50,0))</f>
        <v>0</v>
      </c>
      <c r="BO50" s="2">
        <f>((IF((55='V06 Calend 01'!C50),('V06 Calend 01'!F50+'V06 Calend 01'!G50),0)+IF(AND(('V06 Calend 01'!E50&gt;0),(55&gt;'V06 Calend 01'!C50),(55&lt;'V06 Calend 01'!D50),(MOD((55-'V06 Calend 01'!C50),6)=0),(((55-'V06 Calend 01'!C50)/6)&lt;='V06 Calend 01'!E50)),IF((55=('V06 Calend 01'!C50+(6*'V06 Calend 01'!E50))),('V06 Calend 01'!H50-('V06 Calend 01'!I50*('V06 Calend 01'!E50-1))),'V06 Calend 01'!I50),0))+IF((55='V06 Calend 01'!D50),'V06 Calend 01'!J50,0))</f>
        <v>0</v>
      </c>
      <c r="BP50" s="2">
        <f>((IF((56='V06 Calend 01'!C50),('V06 Calend 01'!F50+'V06 Calend 01'!G50),0)+IF(AND(('V06 Calend 01'!E50&gt;0),(56&gt;'V06 Calend 01'!C50),(56&lt;'V06 Calend 01'!D50),(MOD((56-'V06 Calend 01'!C50),6)=0),(((56-'V06 Calend 01'!C50)/6)&lt;='V06 Calend 01'!E50)),IF((56=('V06 Calend 01'!C50+(6*'V06 Calend 01'!E50))),('V06 Calend 01'!H50-('V06 Calend 01'!I50*('V06 Calend 01'!E50-1))),'V06 Calend 01'!I50),0))+IF((56='V06 Calend 01'!D50),'V06 Calend 01'!J50,0))</f>
        <v>0</v>
      </c>
      <c r="BQ50" s="2">
        <f>((IF((57='V06 Calend 01'!C50),('V06 Calend 01'!F50+'V06 Calend 01'!G50),0)+IF(AND(('V06 Calend 01'!E50&gt;0),(57&gt;'V06 Calend 01'!C50),(57&lt;'V06 Calend 01'!D50),(MOD((57-'V06 Calend 01'!C50),6)=0),(((57-'V06 Calend 01'!C50)/6)&lt;='V06 Calend 01'!E50)),IF((57=('V06 Calend 01'!C50+(6*'V06 Calend 01'!E50))),('V06 Calend 01'!H50-('V06 Calend 01'!I50*('V06 Calend 01'!E50-1))),'V06 Calend 01'!I50),0))+IF((57='V06 Calend 01'!D50),'V06 Calend 01'!J50,0))</f>
        <v>0</v>
      </c>
      <c r="BR50" s="2">
        <f>((IF((58='V06 Calend 01'!C50),('V06 Calend 01'!F50+'V06 Calend 01'!G50),0)+IF(AND(('V06 Calend 01'!E50&gt;0),(58&gt;'V06 Calend 01'!C50),(58&lt;'V06 Calend 01'!D50),(MOD((58-'V06 Calend 01'!C50),6)=0),(((58-'V06 Calend 01'!C50)/6)&lt;='V06 Calend 01'!E50)),IF((58=('V06 Calend 01'!C50+(6*'V06 Calend 01'!E50))),('V06 Calend 01'!H50-('V06 Calend 01'!I50*('V06 Calend 01'!E50-1))),'V06 Calend 01'!I50),0))+IF((58='V06 Calend 01'!D50),'V06 Calend 01'!J50,0))</f>
        <v>0</v>
      </c>
      <c r="BS50" s="2">
        <f>((IF((59='V06 Calend 01'!C50),('V06 Calend 01'!F50+'V06 Calend 01'!G50),0)+IF(AND(('V06 Calend 01'!E50&gt;0),(59&gt;'V06 Calend 01'!C50),(59&lt;'V06 Calend 01'!D50),(MOD((59-'V06 Calend 01'!C50),6)=0),(((59-'V06 Calend 01'!C50)/6)&lt;='V06 Calend 01'!E50)),IF((59=('V06 Calend 01'!C50+(6*'V06 Calend 01'!E50))),('V06 Calend 01'!H50-('V06 Calend 01'!I50*('V06 Calend 01'!E50-1))),'V06 Calend 01'!I50),0))+IF((59='V06 Calend 01'!D50),'V06 Calend 01'!J50,0))</f>
        <v>0</v>
      </c>
      <c r="BT50" s="2">
        <f>((IF((60='V06 Calend 01'!C50),('V06 Calend 01'!F50+'V06 Calend 01'!G50),0)+IF(AND(('V06 Calend 01'!E50&gt;0),(60&gt;'V06 Calend 01'!C50),(60&lt;'V06 Calend 01'!D50),(MOD((60-'V06 Calend 01'!C50),6)=0),(((60-'V06 Calend 01'!C50)/6)&lt;='V06 Calend 01'!E50)),IF((60=('V06 Calend 01'!C50+(6*'V06 Calend 01'!E50))),('V06 Calend 01'!H50-('V06 Calend 01'!I50*('V06 Calend 01'!E50-1))),'V06 Calend 01'!I50),0))+IF((60='V06 Calend 01'!D50),'V06 Calend 01'!J50,0))</f>
        <v>0</v>
      </c>
      <c r="BU50" s="2">
        <f>((IF((61='V06 Calend 01'!C50),('V06 Calend 01'!F50+'V06 Calend 01'!G50),0)+IF(AND(('V06 Calend 01'!E50&gt;0),(61&gt;'V06 Calend 01'!C50),(61&lt;'V06 Calend 01'!D50),(MOD((61-'V06 Calend 01'!C50),6)=0),(((61-'V06 Calend 01'!C50)/6)&lt;='V06 Calend 01'!E50)),IF((61=('V06 Calend 01'!C50+(6*'V06 Calend 01'!E50))),('V06 Calend 01'!H50-('V06 Calend 01'!I50*('V06 Calend 01'!E50-1))),'V06 Calend 01'!I50),0))+IF((61='V06 Calend 01'!D50),'V06 Calend 01'!J50,0))</f>
        <v>0</v>
      </c>
      <c r="BV50" s="2">
        <f>((IF((62='V06 Calend 01'!C50),('V06 Calend 01'!F50+'V06 Calend 01'!G50),0)+IF(AND(('V06 Calend 01'!E50&gt;0),(62&gt;'V06 Calend 01'!C50),(62&lt;'V06 Calend 01'!D50),(MOD((62-'V06 Calend 01'!C50),6)=0),(((62-'V06 Calend 01'!C50)/6)&lt;='V06 Calend 01'!E50)),IF((62=('V06 Calend 01'!C50+(6*'V06 Calend 01'!E50))),('V06 Calend 01'!H50-('V06 Calend 01'!I50*('V06 Calend 01'!E50-1))),'V06 Calend 01'!I50),0))+IF((62='V06 Calend 01'!D50),'V06 Calend 01'!J50,0))</f>
        <v>0</v>
      </c>
      <c r="BW50" s="2">
        <f>((IF((63='V06 Calend 01'!C50),('V06 Calend 01'!F50+'V06 Calend 01'!G50),0)+IF(AND(('V06 Calend 01'!E50&gt;0),(63&gt;'V06 Calend 01'!C50),(63&lt;'V06 Calend 01'!D50),(MOD((63-'V06 Calend 01'!C50),6)=0),(((63-'V06 Calend 01'!C50)/6)&lt;='V06 Calend 01'!E50)),IF((63=('V06 Calend 01'!C50+(6*'V06 Calend 01'!E50))),('V06 Calend 01'!H50-('V06 Calend 01'!I50*('V06 Calend 01'!E50-1))),'V06 Calend 01'!I50),0))+IF((63='V06 Calend 01'!D50),'V06 Calend 01'!J50,0))</f>
        <v>0</v>
      </c>
      <c r="BX50" s="2">
        <f>((IF((64='V06 Calend 01'!C50),('V06 Calend 01'!F50+'V06 Calend 01'!G50),0)+IF(AND(('V06 Calend 01'!E50&gt;0),(64&gt;'V06 Calend 01'!C50),(64&lt;'V06 Calend 01'!D50),(MOD((64-'V06 Calend 01'!C50),6)=0),(((64-'V06 Calend 01'!C50)/6)&lt;='V06 Calend 01'!E50)),IF((64=('V06 Calend 01'!C50+(6*'V06 Calend 01'!E50))),('V06 Calend 01'!H50-('V06 Calend 01'!I50*('V06 Calend 01'!E50-1))),'V06 Calend 01'!I50),0))+IF((64='V06 Calend 01'!D50),'V06 Calend 01'!J50,0))</f>
        <v>0</v>
      </c>
      <c r="BY50" s="2">
        <f>((IF((65='V06 Calend 01'!C50),('V06 Calend 01'!F50+'V06 Calend 01'!G50),0)+IF(AND(('V06 Calend 01'!E50&gt;0),(65&gt;'V06 Calend 01'!C50),(65&lt;'V06 Calend 01'!D50),(MOD((65-'V06 Calend 01'!C50),6)=0),(((65-'V06 Calend 01'!C50)/6)&lt;='V06 Calend 01'!E50)),IF((65=('V06 Calend 01'!C50+(6*'V06 Calend 01'!E50))),('V06 Calend 01'!H50-('V06 Calend 01'!I50*('V06 Calend 01'!E50-1))),'V06 Calend 01'!I50),0))+IF((65='V06 Calend 01'!D50),'V06 Calend 01'!J50,0))</f>
        <v>0</v>
      </c>
      <c r="BZ50" s="2">
        <f>((IF((66='V06 Calend 01'!C50),('V06 Calend 01'!F50+'V06 Calend 01'!G50),0)+IF(AND(('V06 Calend 01'!E50&gt;0),(66&gt;'V06 Calend 01'!C50),(66&lt;'V06 Calend 01'!D50),(MOD((66-'V06 Calend 01'!C50),6)=0),(((66-'V06 Calend 01'!C50)/6)&lt;='V06 Calend 01'!E50)),IF((66=('V06 Calend 01'!C50+(6*'V06 Calend 01'!E50))),('V06 Calend 01'!H50-('V06 Calend 01'!I50*('V06 Calend 01'!E50-1))),'V06 Calend 01'!I50),0))+IF((66='V06 Calend 01'!D50),'V06 Calend 01'!J50,0))</f>
        <v>0</v>
      </c>
      <c r="CA50" s="2">
        <f>((IF((67='V06 Calend 01'!C50),('V06 Calend 01'!F50+'V06 Calend 01'!G50),0)+IF(AND(('V06 Calend 01'!E50&gt;0),(67&gt;'V06 Calend 01'!C50),(67&lt;'V06 Calend 01'!D50),(MOD((67-'V06 Calend 01'!C50),6)=0),(((67-'V06 Calend 01'!C50)/6)&lt;='V06 Calend 01'!E50)),IF((67=('V06 Calend 01'!C50+(6*'V06 Calend 01'!E50))),('V06 Calend 01'!H50-('V06 Calend 01'!I50*('V06 Calend 01'!E50-1))),'V06 Calend 01'!I50),0))+IF((67='V06 Calend 01'!D50),'V06 Calend 01'!J50,0))</f>
        <v>0</v>
      </c>
      <c r="CB50" s="2">
        <f>((IF((68='V06 Calend 01'!C50),('V06 Calend 01'!F50+'V06 Calend 01'!G50),0)+IF(AND(('V06 Calend 01'!E50&gt;0),(68&gt;'V06 Calend 01'!C50),(68&lt;'V06 Calend 01'!D50),(MOD((68-'V06 Calend 01'!C50),6)=0),(((68-'V06 Calend 01'!C50)/6)&lt;='V06 Calend 01'!E50)),IF((68=('V06 Calend 01'!C50+(6*'V06 Calend 01'!E50))),('V06 Calend 01'!H50-('V06 Calend 01'!I50*('V06 Calend 01'!E50-1))),'V06 Calend 01'!I50),0))+IF((68='V06 Calend 01'!D50),'V06 Calend 01'!J50,0))</f>
        <v>0</v>
      </c>
      <c r="CC50" s="2">
        <f>((IF((69='V06 Calend 01'!C50),('V06 Calend 01'!F50+'V06 Calend 01'!G50),0)+IF(AND(('V06 Calend 01'!E50&gt;0),(69&gt;'V06 Calend 01'!C50),(69&lt;'V06 Calend 01'!D50),(MOD((69-'V06 Calend 01'!C50),6)=0),(((69-'V06 Calend 01'!C50)/6)&lt;='V06 Calend 01'!E50)),IF((69=('V06 Calend 01'!C50+(6*'V06 Calend 01'!E50))),('V06 Calend 01'!H50-('V06 Calend 01'!I50*('V06 Calend 01'!E50-1))),'V06 Calend 01'!I50),0))+IF((69='V06 Calend 01'!D50),'V06 Calend 01'!J50,0))</f>
        <v>0</v>
      </c>
      <c r="CD50" s="2">
        <f>((IF((70='V06 Calend 01'!C50),('V06 Calend 01'!F50+'V06 Calend 01'!G50),0)+IF(AND(('V06 Calend 01'!E50&gt;0),(70&gt;'V06 Calend 01'!C50),(70&lt;'V06 Calend 01'!D50),(MOD((70-'V06 Calend 01'!C50),6)=0),(((70-'V06 Calend 01'!C50)/6)&lt;='V06 Calend 01'!E50)),IF((70=('V06 Calend 01'!C50+(6*'V06 Calend 01'!E50))),('V06 Calend 01'!H50-('V06 Calend 01'!I50*('V06 Calend 01'!E50-1))),'V06 Calend 01'!I50),0))+IF((70='V06 Calend 01'!D50),'V06 Calend 01'!J50,0))</f>
        <v>0</v>
      </c>
      <c r="CE50" s="2">
        <f>((IF((71='V06 Calend 01'!C50),('V06 Calend 01'!F50+'V06 Calend 01'!G50),0)+IF(AND(('V06 Calend 01'!E50&gt;0),(71&gt;'V06 Calend 01'!C50),(71&lt;'V06 Calend 01'!D50),(MOD((71-'V06 Calend 01'!C50),6)=0),(((71-'V06 Calend 01'!C50)/6)&lt;='V06 Calend 01'!E50)),IF((71=('V06 Calend 01'!C50+(6*'V06 Calend 01'!E50))),('V06 Calend 01'!H50-('V06 Calend 01'!I50*('V06 Calend 01'!E50-1))),'V06 Calend 01'!I50),0))+IF((71='V06 Calend 01'!D50),'V06 Calend 01'!J50,0))</f>
        <v>0</v>
      </c>
      <c r="CF50" s="2">
        <f>((IF((72='V06 Calend 01'!C50),('V06 Calend 01'!F50+'V06 Calend 01'!G50),0)+IF(AND(('V06 Calend 01'!E50&gt;0),(72&gt;'V06 Calend 01'!C50),(72&lt;'V06 Calend 01'!D50),(MOD((72-'V06 Calend 01'!C50),6)=0),(((72-'V06 Calend 01'!C50)/6)&lt;='V06 Calend 01'!E50)),IF((72=('V06 Calend 01'!C50+(6*'V06 Calend 01'!E50))),('V06 Calend 01'!H50-('V06 Calend 01'!I50*('V06 Calend 01'!E50-1))),'V06 Calend 01'!I50),0))+IF((72='V06 Calend 01'!D50),'V06 Calend 01'!J50,0))</f>
        <v>0</v>
      </c>
      <c r="CG50" s="2">
        <f>((IF((73='V06 Calend 01'!C50),('V06 Calend 01'!F50+'V06 Calend 01'!G50),0)+IF(AND(('V06 Calend 01'!E50&gt;0),(73&gt;'V06 Calend 01'!C50),(73&lt;'V06 Calend 01'!D50),(MOD((73-'V06 Calend 01'!C50),6)=0),(((73-'V06 Calend 01'!C50)/6)&lt;='V06 Calend 01'!E50)),IF((73=('V06 Calend 01'!C50+(6*'V06 Calend 01'!E50))),('V06 Calend 01'!H50-('V06 Calend 01'!I50*('V06 Calend 01'!E50-1))),'V06 Calend 01'!I50),0))+IF((73='V06 Calend 01'!D50),'V06 Calend 01'!J50,0))</f>
        <v>0</v>
      </c>
      <c r="CH50" s="2">
        <f>((IF((74='V06 Calend 01'!C50),('V06 Calend 01'!F50+'V06 Calend 01'!G50),0)+IF(AND(('V06 Calend 01'!E50&gt;0),(74&gt;'V06 Calend 01'!C50),(74&lt;'V06 Calend 01'!D50),(MOD((74-'V06 Calend 01'!C50),6)=0),(((74-'V06 Calend 01'!C50)/6)&lt;='V06 Calend 01'!E50)),IF((74=('V06 Calend 01'!C50+(6*'V06 Calend 01'!E50))),('V06 Calend 01'!H50-('V06 Calend 01'!I50*('V06 Calend 01'!E50-1))),'V06 Calend 01'!I50),0))+IF((74='V06 Calend 01'!D50),'V06 Calend 01'!J50,0))</f>
        <v>0</v>
      </c>
      <c r="CI50" s="2">
        <f>((IF((75='V06 Calend 01'!C50),('V06 Calend 01'!F50+'V06 Calend 01'!G50),0)+IF(AND(('V06 Calend 01'!E50&gt;0),(75&gt;'V06 Calend 01'!C50),(75&lt;'V06 Calend 01'!D50),(MOD((75-'V06 Calend 01'!C50),6)=0),(((75-'V06 Calend 01'!C50)/6)&lt;='V06 Calend 01'!E50)),IF((75=('V06 Calend 01'!C50+(6*'V06 Calend 01'!E50))),('V06 Calend 01'!H50-('V06 Calend 01'!I50*('V06 Calend 01'!E50-1))),'V06 Calend 01'!I50),0))+IF((75='V06 Calend 01'!D50),'V06 Calend 01'!J50,0))</f>
        <v>0</v>
      </c>
      <c r="CJ50" s="2">
        <f>((IF((76='V06 Calend 01'!C50),('V06 Calend 01'!F50+'V06 Calend 01'!G50),0)+IF(AND(('V06 Calend 01'!E50&gt;0),(76&gt;'V06 Calend 01'!C50),(76&lt;'V06 Calend 01'!D50),(MOD((76-'V06 Calend 01'!C50),6)=0),(((76-'V06 Calend 01'!C50)/6)&lt;='V06 Calend 01'!E50)),IF((76=('V06 Calend 01'!C50+(6*'V06 Calend 01'!E50))),('V06 Calend 01'!H50-('V06 Calend 01'!I50*('V06 Calend 01'!E50-1))),'V06 Calend 01'!I50),0))+IF((76='V06 Calend 01'!D50),'V06 Calend 01'!J50,0))</f>
        <v>0</v>
      </c>
      <c r="CK50" s="2">
        <f>((IF((77='V06 Calend 01'!C50),('V06 Calend 01'!F50+'V06 Calend 01'!G50),0)+IF(AND(('V06 Calend 01'!E50&gt;0),(77&gt;'V06 Calend 01'!C50),(77&lt;'V06 Calend 01'!D50),(MOD((77-'V06 Calend 01'!C50),6)=0),(((77-'V06 Calend 01'!C50)/6)&lt;='V06 Calend 01'!E50)),IF((77=('V06 Calend 01'!C50+(6*'V06 Calend 01'!E50))),('V06 Calend 01'!H50-('V06 Calend 01'!I50*('V06 Calend 01'!E50-1))),'V06 Calend 01'!I50),0))+IF((77='V06 Calend 01'!D50),'V06 Calend 01'!J50,0))</f>
        <v>0</v>
      </c>
      <c r="CL50" s="2">
        <f>((IF((78='V06 Calend 01'!C50),('V06 Calend 01'!F50+'V06 Calend 01'!G50),0)+IF(AND(('V06 Calend 01'!E50&gt;0),(78&gt;'V06 Calend 01'!C50),(78&lt;'V06 Calend 01'!D50),(MOD((78-'V06 Calend 01'!C50),6)=0),(((78-'V06 Calend 01'!C50)/6)&lt;='V06 Calend 01'!E50)),IF((78=('V06 Calend 01'!C50+(6*'V06 Calend 01'!E50))),('V06 Calend 01'!H50-('V06 Calend 01'!I50*('V06 Calend 01'!E50-1))),'V06 Calend 01'!I50),0))+IF((78='V06 Calend 01'!D50),'V06 Calend 01'!J50,0))</f>
        <v>0</v>
      </c>
      <c r="CM50" s="2">
        <f>((IF((79='V06 Calend 01'!C50),('V06 Calend 01'!F50+'V06 Calend 01'!G50),0)+IF(AND(('V06 Calend 01'!E50&gt;0),(79&gt;'V06 Calend 01'!C50),(79&lt;'V06 Calend 01'!D50),(MOD((79-'V06 Calend 01'!C50),6)=0),(((79-'V06 Calend 01'!C50)/6)&lt;='V06 Calend 01'!E50)),IF((79=('V06 Calend 01'!C50+(6*'V06 Calend 01'!E50))),('V06 Calend 01'!H50-('V06 Calend 01'!I50*('V06 Calend 01'!E50-1))),'V06 Calend 01'!I50),0))+IF((79='V06 Calend 01'!D50),'V06 Calend 01'!J50,0))</f>
        <v>0</v>
      </c>
      <c r="CN50" s="2">
        <f>((IF((80='V06 Calend 01'!C50),('V06 Calend 01'!F50+'V06 Calend 01'!G50),0)+IF(AND(('V06 Calend 01'!E50&gt;0),(80&gt;'V06 Calend 01'!C50),(80&lt;'V06 Calend 01'!D50),(MOD((80-'V06 Calend 01'!C50),6)=0),(((80-'V06 Calend 01'!C50)/6)&lt;='V06 Calend 01'!E50)),IF((80=('V06 Calend 01'!C50+(6*'V06 Calend 01'!E50))),('V06 Calend 01'!H50-('V06 Calend 01'!I50*('V06 Calend 01'!E50-1))),'V06 Calend 01'!I50),0))+IF((80='V06 Calend 01'!D50),'V06 Calend 01'!J50,0))</f>
        <v>0</v>
      </c>
      <c r="CO50" s="2">
        <f>((IF((81='V06 Calend 01'!C50),('V06 Calend 01'!F50+'V06 Calend 01'!G50),0)+IF(AND(('V06 Calend 01'!E50&gt;0),(81&gt;'V06 Calend 01'!C50),(81&lt;'V06 Calend 01'!D50),(MOD((81-'V06 Calend 01'!C50),6)=0),(((81-'V06 Calend 01'!C50)/6)&lt;='V06 Calend 01'!E50)),IF((81=('V06 Calend 01'!C50+(6*'V06 Calend 01'!E50))),('V06 Calend 01'!H50-('V06 Calend 01'!I50*('V06 Calend 01'!E50-1))),'V06 Calend 01'!I50),0))+IF((81='V06 Calend 01'!D50),'V06 Calend 01'!J50,0))</f>
        <v>0</v>
      </c>
      <c r="CP50" s="2">
        <f>((IF((82='V06 Calend 01'!C50),('V06 Calend 01'!F50+'V06 Calend 01'!G50),0)+IF(AND(('V06 Calend 01'!E50&gt;0),(82&gt;'V06 Calend 01'!C50),(82&lt;'V06 Calend 01'!D50),(MOD((82-'V06 Calend 01'!C50),6)=0),(((82-'V06 Calend 01'!C50)/6)&lt;='V06 Calend 01'!E50)),IF((82=('V06 Calend 01'!C50+(6*'V06 Calend 01'!E50))),('V06 Calend 01'!H50-('V06 Calend 01'!I50*('V06 Calend 01'!E50-1))),'V06 Calend 01'!I50),0))+IF((82='V06 Calend 01'!D50),'V06 Calend 01'!J50,0))</f>
        <v>0</v>
      </c>
      <c r="CQ50" s="2">
        <f>((IF((83='V06 Calend 01'!C50),('V06 Calend 01'!F50+'V06 Calend 01'!G50),0)+IF(AND(('V06 Calend 01'!E50&gt;0),(83&gt;'V06 Calend 01'!C50),(83&lt;'V06 Calend 01'!D50),(MOD((83-'V06 Calend 01'!C50),6)=0),(((83-'V06 Calend 01'!C50)/6)&lt;='V06 Calend 01'!E50)),IF((83=('V06 Calend 01'!C50+(6*'V06 Calend 01'!E50))),('V06 Calend 01'!H50-('V06 Calend 01'!I50*('V06 Calend 01'!E50-1))),'V06 Calend 01'!I50),0))+IF((83='V06 Calend 01'!D50),'V06 Calend 01'!J50,0))</f>
        <v>0</v>
      </c>
      <c r="CR50" s="2">
        <f>((IF((84='V06 Calend 01'!C50),('V06 Calend 01'!F50+'V06 Calend 01'!G50),0)+IF(AND(('V06 Calend 01'!E50&gt;0),(84&gt;'V06 Calend 01'!C50),(84&lt;'V06 Calend 01'!D50),(MOD((84-'V06 Calend 01'!C50),6)=0),(((84-'V06 Calend 01'!C50)/6)&lt;='V06 Calend 01'!E50)),IF((84=('V06 Calend 01'!C50+(6*'V06 Calend 01'!E50))),('V06 Calend 01'!H50-('V06 Calend 01'!I50*('V06 Calend 01'!E50-1))),'V06 Calend 01'!I50),0))+IF((84='V06 Calend 01'!D50),'V06 Calend 01'!J50,0))</f>
        <v>0</v>
      </c>
      <c r="CS50" s="2">
        <f>((IF((85='V06 Calend 01'!C50),('V06 Calend 01'!F50+'V06 Calend 01'!G50),0)+IF(AND(('V06 Calend 01'!E50&gt;0),(85&gt;'V06 Calend 01'!C50),(85&lt;'V06 Calend 01'!D50),(MOD((85-'V06 Calend 01'!C50),6)=0),(((85-'V06 Calend 01'!C50)/6)&lt;='V06 Calend 01'!E50)),IF((85=('V06 Calend 01'!C50+(6*'V06 Calend 01'!E50))),('V06 Calend 01'!H50-('V06 Calend 01'!I50*('V06 Calend 01'!E50-1))),'V06 Calend 01'!I50),0))+IF((85='V06 Calend 01'!D50),'V06 Calend 01'!J50,0))</f>
        <v>0</v>
      </c>
      <c r="CT50" s="2">
        <f>((IF((86='V06 Calend 01'!C50),('V06 Calend 01'!F50+'V06 Calend 01'!G50),0)+IF(AND(('V06 Calend 01'!E50&gt;0),(86&gt;'V06 Calend 01'!C50),(86&lt;'V06 Calend 01'!D50),(MOD((86-'V06 Calend 01'!C50),6)=0),(((86-'V06 Calend 01'!C50)/6)&lt;='V06 Calend 01'!E50)),IF((86=('V06 Calend 01'!C50+(6*'V06 Calend 01'!E50))),('V06 Calend 01'!H50-('V06 Calend 01'!I50*('V06 Calend 01'!E50-1))),'V06 Calend 01'!I50),0))+IF((86='V06 Calend 01'!D50),'V06 Calend 01'!J50,0))</f>
        <v>0</v>
      </c>
      <c r="CU50" s="2">
        <f>((IF((87='V06 Calend 01'!C50),('V06 Calend 01'!F50+'V06 Calend 01'!G50),0)+IF(AND(('V06 Calend 01'!E50&gt;0),(87&gt;'V06 Calend 01'!C50),(87&lt;'V06 Calend 01'!D50),(MOD((87-'V06 Calend 01'!C50),6)=0),(((87-'V06 Calend 01'!C50)/6)&lt;='V06 Calend 01'!E50)),IF((87=('V06 Calend 01'!C50+(6*'V06 Calend 01'!E50))),('V06 Calend 01'!H50-('V06 Calend 01'!I50*('V06 Calend 01'!E50-1))),'V06 Calend 01'!I50),0))+IF((87='V06 Calend 01'!D50),'V06 Calend 01'!J50,0))</f>
        <v>0</v>
      </c>
      <c r="CV50" s="2">
        <f>((IF((88='V06 Calend 01'!C50),('V06 Calend 01'!F50+'V06 Calend 01'!G50),0)+IF(AND(('V06 Calend 01'!E50&gt;0),(88&gt;'V06 Calend 01'!C50),(88&lt;'V06 Calend 01'!D50),(MOD((88-'V06 Calend 01'!C50),6)=0),(((88-'V06 Calend 01'!C50)/6)&lt;='V06 Calend 01'!E50)),IF((88=('V06 Calend 01'!C50+(6*'V06 Calend 01'!E50))),('V06 Calend 01'!H50-('V06 Calend 01'!I50*('V06 Calend 01'!E50-1))),'V06 Calend 01'!I50),0))+IF((88='V06 Calend 01'!D50),'V06 Calend 01'!J50,0))</f>
        <v>0</v>
      </c>
      <c r="CW50" s="2">
        <f>((IF((89='V06 Calend 01'!C50),('V06 Calend 01'!F50+'V06 Calend 01'!G50),0)+IF(AND(('V06 Calend 01'!E50&gt;0),(89&gt;'V06 Calend 01'!C50),(89&lt;'V06 Calend 01'!D50),(MOD((89-'V06 Calend 01'!C50),6)=0),(((89-'V06 Calend 01'!C50)/6)&lt;='V06 Calend 01'!E50)),IF((89=('V06 Calend 01'!C50+(6*'V06 Calend 01'!E50))),('V06 Calend 01'!H50-('V06 Calend 01'!I50*('V06 Calend 01'!E50-1))),'V06 Calend 01'!I50),0))+IF((89='V06 Calend 01'!D50),'V06 Calend 01'!J50,0))</f>
        <v>0</v>
      </c>
      <c r="CX50" s="2">
        <f>((IF((90='V06 Calend 01'!C50),('V06 Calend 01'!F50+'V06 Calend 01'!G50),0)+IF(AND(('V06 Calend 01'!E50&gt;0),(90&gt;'V06 Calend 01'!C50),(90&lt;'V06 Calend 01'!D50),(MOD((90-'V06 Calend 01'!C50),6)=0),(((90-'V06 Calend 01'!C50)/6)&lt;='V06 Calend 01'!E50)),IF((90=('V06 Calend 01'!C50+(6*'V06 Calend 01'!E50))),('V06 Calend 01'!H50-('V06 Calend 01'!I50*('V06 Calend 01'!E50-1))),'V06 Calend 01'!I50),0))+IF((90='V06 Calend 01'!D50),'V06 Calend 01'!J50,0))</f>
        <v>0</v>
      </c>
      <c r="CY50" s="2">
        <f>((IF((91='V06 Calend 01'!C50),('V06 Calend 01'!F50+'V06 Calend 01'!G50),0)+IF(AND(('V06 Calend 01'!E50&gt;0),(91&gt;'V06 Calend 01'!C50),(91&lt;'V06 Calend 01'!D50),(MOD((91-'V06 Calend 01'!C50),6)=0),(((91-'V06 Calend 01'!C50)/6)&lt;='V06 Calend 01'!E50)),IF((91=('V06 Calend 01'!C50+(6*'V06 Calend 01'!E50))),('V06 Calend 01'!H50-('V06 Calend 01'!I50*('V06 Calend 01'!E50-1))),'V06 Calend 01'!I50),0))+IF((91='V06 Calend 01'!D50),'V06 Calend 01'!J50,0))</f>
        <v>0</v>
      </c>
      <c r="CZ50" s="2">
        <f>((IF((92='V06 Calend 01'!C50),('V06 Calend 01'!F50+'V06 Calend 01'!G50),0)+IF(AND(('V06 Calend 01'!E50&gt;0),(92&gt;'V06 Calend 01'!C50),(92&lt;'V06 Calend 01'!D50),(MOD((92-'V06 Calend 01'!C50),6)=0),(((92-'V06 Calend 01'!C50)/6)&lt;='V06 Calend 01'!E50)),IF((92=('V06 Calend 01'!C50+(6*'V06 Calend 01'!E50))),('V06 Calend 01'!H50-('V06 Calend 01'!I50*('V06 Calend 01'!E50-1))),'V06 Calend 01'!I50),0))+IF((92='V06 Calend 01'!D50),'V06 Calend 01'!J50,0))</f>
        <v>0</v>
      </c>
      <c r="DA50" s="2">
        <f>((IF((93='V06 Calend 01'!C50),('V06 Calend 01'!F50+'V06 Calend 01'!G50),0)+IF(AND(('V06 Calend 01'!E50&gt;0),(93&gt;'V06 Calend 01'!C50),(93&lt;'V06 Calend 01'!D50),(MOD((93-'V06 Calend 01'!C50),6)=0),(((93-'V06 Calend 01'!C50)/6)&lt;='V06 Calend 01'!E50)),IF((93=('V06 Calend 01'!C50+(6*'V06 Calend 01'!E50))),('V06 Calend 01'!H50-('V06 Calend 01'!I50*('V06 Calend 01'!E50-1))),'V06 Calend 01'!I50),0))+IF((93='V06 Calend 01'!D50),'V06 Calend 01'!J50,0))</f>
        <v>0</v>
      </c>
      <c r="DB50" s="2">
        <f>((IF((94='V06 Calend 01'!C50),('V06 Calend 01'!F50+'V06 Calend 01'!G50),0)+IF(AND(('V06 Calend 01'!E50&gt;0),(94&gt;'V06 Calend 01'!C50),(94&lt;'V06 Calend 01'!D50),(MOD((94-'V06 Calend 01'!C50),6)=0),(((94-'V06 Calend 01'!C50)/6)&lt;='V06 Calend 01'!E50)),IF((94=('V06 Calend 01'!C50+(6*'V06 Calend 01'!E50))),('V06 Calend 01'!H50-('V06 Calend 01'!I50*('V06 Calend 01'!E50-1))),'V06 Calend 01'!I50),0))+IF((94='V06 Calend 01'!D50),'V06 Calend 01'!J50,0))</f>
        <v>0</v>
      </c>
      <c r="DC50" s="2">
        <f>((IF((95='V06 Calend 01'!C50),('V06 Calend 01'!F50+'V06 Calend 01'!G50),0)+IF(AND(('V06 Calend 01'!E50&gt;0),(95&gt;'V06 Calend 01'!C50),(95&lt;'V06 Calend 01'!D50),(MOD((95-'V06 Calend 01'!C50),6)=0),(((95-'V06 Calend 01'!C50)/6)&lt;='V06 Calend 01'!E50)),IF((95=('V06 Calend 01'!C50+(6*'V06 Calend 01'!E50))),('V06 Calend 01'!H50-('V06 Calend 01'!I50*('V06 Calend 01'!E50-1))),'V06 Calend 01'!I50),0))+IF((95='V06 Calend 01'!D50),'V06 Calend 01'!J50,0))</f>
        <v>0</v>
      </c>
      <c r="DD50" s="2">
        <f>((IF((96='V06 Calend 01'!C50),('V06 Calend 01'!F50+'V06 Calend 01'!G50),0)+IF(AND(('V06 Calend 01'!E50&gt;0),(96&gt;'V06 Calend 01'!C50),(96&lt;'V06 Calend 01'!D50),(MOD((96-'V06 Calend 01'!C50),6)=0),(((96-'V06 Calend 01'!C50)/6)&lt;='V06 Calend 01'!E50)),IF((96=('V06 Calend 01'!C50+(6*'V06 Calend 01'!E50))),('V06 Calend 01'!H50-('V06 Calend 01'!I50*('V06 Calend 01'!E50-1))),'V06 Calend 01'!I50),0))+IF((96='V06 Calend 01'!D50),'V06 Calend 01'!J50,0))</f>
        <v>0</v>
      </c>
      <c r="DE50" s="2">
        <f>((IF((97='V06 Calend 01'!C50),('V06 Calend 01'!F50+'V06 Calend 01'!G50),0)+IF(AND(('V06 Calend 01'!E50&gt;0),(97&gt;'V06 Calend 01'!C50),(97&lt;'V06 Calend 01'!D50),(MOD((97-'V06 Calend 01'!C50),6)=0),(((97-'V06 Calend 01'!C50)/6)&lt;='V06 Calend 01'!E50)),IF((97=('V06 Calend 01'!C50+(6*'V06 Calend 01'!E50))),('V06 Calend 01'!H50-('V06 Calend 01'!I50*('V06 Calend 01'!E50-1))),'V06 Calend 01'!I50),0))+IF((97='V06 Calend 01'!D50),'V06 Calend 01'!J50,0))</f>
        <v>0</v>
      </c>
      <c r="DF50" s="2">
        <f>((IF((98='V06 Calend 01'!C50),('V06 Calend 01'!F50+'V06 Calend 01'!G50),0)+IF(AND(('V06 Calend 01'!E50&gt;0),(98&gt;'V06 Calend 01'!C50),(98&lt;'V06 Calend 01'!D50),(MOD((98-'V06 Calend 01'!C50),6)=0),(((98-'V06 Calend 01'!C50)/6)&lt;='V06 Calend 01'!E50)),IF((98=('V06 Calend 01'!C50+(6*'V06 Calend 01'!E50))),('V06 Calend 01'!H50-('V06 Calend 01'!I50*('V06 Calend 01'!E50-1))),'V06 Calend 01'!I50),0))+IF((98='V06 Calend 01'!D50),'V06 Calend 01'!J50,0))</f>
        <v>0</v>
      </c>
      <c r="DG50" s="2">
        <f>((IF((99='V06 Calend 01'!C50),('V06 Calend 01'!F50+'V06 Calend 01'!G50),0)+IF(AND(('V06 Calend 01'!E50&gt;0),(99&gt;'V06 Calend 01'!C50),(99&lt;'V06 Calend 01'!D50),(MOD((99-'V06 Calend 01'!C50),6)=0),(((99-'V06 Calend 01'!C50)/6)&lt;='V06 Calend 01'!E50)),IF((99=('V06 Calend 01'!C50+(6*'V06 Calend 01'!E50))),('V06 Calend 01'!H50-('V06 Calend 01'!I50*('V06 Calend 01'!E50-1))),'V06 Calend 01'!I50),0))+IF((99='V06 Calend 01'!D50),'V06 Calend 01'!J50,0))</f>
        <v>0</v>
      </c>
      <c r="DH50" s="2">
        <f>((IF((100='V06 Calend 01'!C50),('V06 Calend 01'!F50+'V06 Calend 01'!G50),0)+IF(AND(('V06 Calend 01'!E50&gt;0),(100&gt;'V06 Calend 01'!C50),(100&lt;'V06 Calend 01'!D50),(MOD((100-'V06 Calend 01'!C50),6)=0),(((100-'V06 Calend 01'!C50)/6)&lt;='V06 Calend 01'!E50)),IF((100=('V06 Calend 01'!C50+(6*'V06 Calend 01'!E50))),('V06 Calend 01'!H50-('V06 Calend 01'!I50*('V06 Calend 01'!E50-1))),'V06 Calend 01'!I50),0))+IF((100='V06 Calend 01'!D50),'V06 Calend 01'!J50,0))</f>
        <v>0</v>
      </c>
      <c r="DI50" s="2">
        <f>((IF((101='V06 Calend 01'!C50),('V06 Calend 01'!F50+'V06 Calend 01'!G50),0)+IF(AND(('V06 Calend 01'!E50&gt;0),(101&gt;'V06 Calend 01'!C50),(101&lt;'V06 Calend 01'!D50),(MOD((101-'V06 Calend 01'!C50),6)=0),(((101-'V06 Calend 01'!C50)/6)&lt;='V06 Calend 01'!E50)),IF((101=('V06 Calend 01'!C50+(6*'V06 Calend 01'!E50))),('V06 Calend 01'!H50-('V06 Calend 01'!I50*('V06 Calend 01'!E50-1))),'V06 Calend 01'!I50),0))+IF((101='V06 Calend 01'!D50),'V06 Calend 01'!J50,0))</f>
        <v>0</v>
      </c>
      <c r="DJ50" s="2">
        <f>((IF((102='V06 Calend 01'!C50),('V06 Calend 01'!F50+'V06 Calend 01'!G50),0)+IF(AND(('V06 Calend 01'!E50&gt;0),(102&gt;'V06 Calend 01'!C50),(102&lt;'V06 Calend 01'!D50),(MOD((102-'V06 Calend 01'!C50),6)=0),(((102-'V06 Calend 01'!C50)/6)&lt;='V06 Calend 01'!E50)),IF((102=('V06 Calend 01'!C50+(6*'V06 Calend 01'!E50))),('V06 Calend 01'!H50-('V06 Calend 01'!I50*('V06 Calend 01'!E50-1))),'V06 Calend 01'!I50),0))+IF((102='V06 Calend 01'!D50),'V06 Calend 01'!J50,0))</f>
        <v>0</v>
      </c>
      <c r="DK50" s="2">
        <f>((IF((103='V06 Calend 01'!C50),('V06 Calend 01'!F50+'V06 Calend 01'!G50),0)+IF(AND(('V06 Calend 01'!E50&gt;0),(103&gt;'V06 Calend 01'!C50),(103&lt;'V06 Calend 01'!D50),(MOD((103-'V06 Calend 01'!C50),6)=0),(((103-'V06 Calend 01'!C50)/6)&lt;='V06 Calend 01'!E50)),IF((103=('V06 Calend 01'!C50+(6*'V06 Calend 01'!E50))),('V06 Calend 01'!H50-('V06 Calend 01'!I50*('V06 Calend 01'!E50-1))),'V06 Calend 01'!I50),0))+IF((103='V06 Calend 01'!D50),'V06 Calend 01'!J50,0))</f>
        <v>0</v>
      </c>
      <c r="DL50" s="2">
        <f>((IF((104='V06 Calend 01'!C50),('V06 Calend 01'!F50+'V06 Calend 01'!G50),0)+IF(AND(('V06 Calend 01'!E50&gt;0),(104&gt;'V06 Calend 01'!C50),(104&lt;'V06 Calend 01'!D50),(MOD((104-'V06 Calend 01'!C50),6)=0),(((104-'V06 Calend 01'!C50)/6)&lt;='V06 Calend 01'!E50)),IF((104=('V06 Calend 01'!C50+(6*'V06 Calend 01'!E50))),('V06 Calend 01'!H50-('V06 Calend 01'!I50*('V06 Calend 01'!E50-1))),'V06 Calend 01'!I50),0))+IF((104='V06 Calend 01'!D50),'V06 Calend 01'!J50,0))</f>
        <v>0</v>
      </c>
      <c r="DM50" s="2">
        <f>((IF((105='V06 Calend 01'!C50),('V06 Calend 01'!F50+'V06 Calend 01'!G50),0)+IF(AND(('V06 Calend 01'!E50&gt;0),(105&gt;'V06 Calend 01'!C50),(105&lt;'V06 Calend 01'!D50),(MOD((105-'V06 Calend 01'!C50),6)=0),(((105-'V06 Calend 01'!C50)/6)&lt;='V06 Calend 01'!E50)),IF((105=('V06 Calend 01'!C50+(6*'V06 Calend 01'!E50))),('V06 Calend 01'!H50-('V06 Calend 01'!I50*('V06 Calend 01'!E50-1))),'V06 Calend 01'!I50),0))+IF((105='V06 Calend 01'!D50),'V06 Calend 01'!J50,0))</f>
        <v>0</v>
      </c>
      <c r="DN50" s="2">
        <f>((IF((106='V06 Calend 01'!C50),('V06 Calend 01'!F50+'V06 Calend 01'!G50),0)+IF(AND(('V06 Calend 01'!E50&gt;0),(106&gt;'V06 Calend 01'!C50),(106&lt;'V06 Calend 01'!D50),(MOD((106-'V06 Calend 01'!C50),6)=0),(((106-'V06 Calend 01'!C50)/6)&lt;='V06 Calend 01'!E50)),IF((106=('V06 Calend 01'!C50+(6*'V06 Calend 01'!E50))),('V06 Calend 01'!H50-('V06 Calend 01'!I50*('V06 Calend 01'!E50-1))),'V06 Calend 01'!I50),0))+IF((106='V06 Calend 01'!D50),'V06 Calend 01'!J50,0))</f>
        <v>0</v>
      </c>
      <c r="DO50" s="2">
        <f>((IF((107='V06 Calend 01'!C50),('V06 Calend 01'!F50+'V06 Calend 01'!G50),0)+IF(AND(('V06 Calend 01'!E50&gt;0),(107&gt;'V06 Calend 01'!C50),(107&lt;'V06 Calend 01'!D50),(MOD((107-'V06 Calend 01'!C50),6)=0),(((107-'V06 Calend 01'!C50)/6)&lt;='V06 Calend 01'!E50)),IF((107=('V06 Calend 01'!C50+(6*'V06 Calend 01'!E50))),('V06 Calend 01'!H50-('V06 Calend 01'!I50*('V06 Calend 01'!E50-1))),'V06 Calend 01'!I50),0))+IF((107='V06 Calend 01'!D50),'V06 Calend 01'!J50,0))</f>
        <v>0</v>
      </c>
      <c r="DP50" s="2">
        <f>((IF((108='V06 Calend 01'!C50),('V06 Calend 01'!F50+'V06 Calend 01'!G50),0)+IF(AND(('V06 Calend 01'!E50&gt;0),(108&gt;'V06 Calend 01'!C50),(108&lt;'V06 Calend 01'!D50),(MOD((108-'V06 Calend 01'!C50),6)=0),(((108-'V06 Calend 01'!C50)/6)&lt;='V06 Calend 01'!E50)),IF((108=('V06 Calend 01'!C50+(6*'V06 Calend 01'!E50))),('V06 Calend 01'!H50-('V06 Calend 01'!I50*('V06 Calend 01'!E50-1))),'V06 Calend 01'!I50),0))+IF((108='V06 Calend 01'!D50),'V06 Calend 01'!J50,0))</f>
        <v>0</v>
      </c>
      <c r="DQ50" s="2">
        <f>((IF((109='V06 Calend 01'!C50),('V06 Calend 01'!F50+'V06 Calend 01'!G50),0)+IF(AND(('V06 Calend 01'!E50&gt;0),(109&gt;'V06 Calend 01'!C50),(109&lt;'V06 Calend 01'!D50),(MOD((109-'V06 Calend 01'!C50),6)=0),(((109-'V06 Calend 01'!C50)/6)&lt;='V06 Calend 01'!E50)),IF((109=('V06 Calend 01'!C50+(6*'V06 Calend 01'!E50))),('V06 Calend 01'!H50-('V06 Calend 01'!I50*('V06 Calend 01'!E50-1))),'V06 Calend 01'!I50),0))+IF((109='V06 Calend 01'!D50),'V06 Calend 01'!J50,0))</f>
        <v>0</v>
      </c>
      <c r="DR50" s="2">
        <f>((IF((110='V06 Calend 01'!C50),('V06 Calend 01'!F50+'V06 Calend 01'!G50),0)+IF(AND(('V06 Calend 01'!E50&gt;0),(110&gt;'V06 Calend 01'!C50),(110&lt;'V06 Calend 01'!D50),(MOD((110-'V06 Calend 01'!C50),6)=0),(((110-'V06 Calend 01'!C50)/6)&lt;='V06 Calend 01'!E50)),IF((110=('V06 Calend 01'!C50+(6*'V06 Calend 01'!E50))),('V06 Calend 01'!H50-('V06 Calend 01'!I50*('V06 Calend 01'!E50-1))),'V06 Calend 01'!I50),0))+IF((110='V06 Calend 01'!D50),'V06 Calend 01'!J50,0))</f>
        <v>0</v>
      </c>
      <c r="DS50" s="2">
        <f>((IF((111='V06 Calend 01'!C50),('V06 Calend 01'!F50+'V06 Calend 01'!G50),0)+IF(AND(('V06 Calend 01'!E50&gt;0),(111&gt;'V06 Calend 01'!C50),(111&lt;'V06 Calend 01'!D50),(MOD((111-'V06 Calend 01'!C50),6)=0),(((111-'V06 Calend 01'!C50)/6)&lt;='V06 Calend 01'!E50)),IF((111=('V06 Calend 01'!C50+(6*'V06 Calend 01'!E50))),('V06 Calend 01'!H50-('V06 Calend 01'!I50*('V06 Calend 01'!E50-1))),'V06 Calend 01'!I50),0))+IF((111='V06 Calend 01'!D50),'V06 Calend 01'!J50,0))</f>
        <v>0</v>
      </c>
      <c r="DT50" s="2">
        <f>((IF((112='V06 Calend 01'!C50),('V06 Calend 01'!F50+'V06 Calend 01'!G50),0)+IF(AND(('V06 Calend 01'!E50&gt;0),(112&gt;'V06 Calend 01'!C50),(112&lt;'V06 Calend 01'!D50),(MOD((112-'V06 Calend 01'!C50),6)=0),(((112-'V06 Calend 01'!C50)/6)&lt;='V06 Calend 01'!E50)),IF((112=('V06 Calend 01'!C50+(6*'V06 Calend 01'!E50))),('V06 Calend 01'!H50-('V06 Calend 01'!I50*('V06 Calend 01'!E50-1))),'V06 Calend 01'!I50),0))+IF((112='V06 Calend 01'!D50),'V06 Calend 01'!J50,0))</f>
        <v>0</v>
      </c>
      <c r="DU50" s="2">
        <f>((IF((113='V06 Calend 01'!C50),('V06 Calend 01'!F50+'V06 Calend 01'!G50),0)+IF(AND(('V06 Calend 01'!E50&gt;0),(113&gt;'V06 Calend 01'!C50),(113&lt;'V06 Calend 01'!D50),(MOD((113-'V06 Calend 01'!C50),6)=0),(((113-'V06 Calend 01'!C50)/6)&lt;='V06 Calend 01'!E50)),IF((113=('V06 Calend 01'!C50+(6*'V06 Calend 01'!E50))),('V06 Calend 01'!H50-('V06 Calend 01'!I50*('V06 Calend 01'!E50-1))),'V06 Calend 01'!I50),0))+IF((113='V06 Calend 01'!D50),'V06 Calend 01'!J50,0))</f>
        <v>0</v>
      </c>
      <c r="DV50" s="2">
        <f>((IF((114='V06 Calend 01'!C50),('V06 Calend 01'!F50+'V06 Calend 01'!G50),0)+IF(AND(('V06 Calend 01'!E50&gt;0),(114&gt;'V06 Calend 01'!C50),(114&lt;'V06 Calend 01'!D50),(MOD((114-'V06 Calend 01'!C50),6)=0),(((114-'V06 Calend 01'!C50)/6)&lt;='V06 Calend 01'!E50)),IF((114=('V06 Calend 01'!C50+(6*'V06 Calend 01'!E50))),('V06 Calend 01'!H50-('V06 Calend 01'!I50*('V06 Calend 01'!E50-1))),'V06 Calend 01'!I50),0))+IF((114='V06 Calend 01'!D50),'V06 Calend 01'!J50,0))</f>
        <v>0</v>
      </c>
      <c r="DW50" s="2">
        <f>((IF((115='V06 Calend 01'!C50),('V06 Calend 01'!F50+'V06 Calend 01'!G50),0)+IF(AND(('V06 Calend 01'!E50&gt;0),(115&gt;'V06 Calend 01'!C50),(115&lt;'V06 Calend 01'!D50),(MOD((115-'V06 Calend 01'!C50),6)=0),(((115-'V06 Calend 01'!C50)/6)&lt;='V06 Calend 01'!E50)),IF((115=('V06 Calend 01'!C50+(6*'V06 Calend 01'!E50))),('V06 Calend 01'!H50-('V06 Calend 01'!I50*('V06 Calend 01'!E50-1))),'V06 Calend 01'!I50),0))+IF((115='V06 Calend 01'!D50),'V06 Calend 01'!J50,0))</f>
        <v>0</v>
      </c>
      <c r="DX50" s="2">
        <f>((IF((116='V06 Calend 01'!C50),('V06 Calend 01'!F50+'V06 Calend 01'!G50),0)+IF(AND(('V06 Calend 01'!E50&gt;0),(116&gt;'V06 Calend 01'!C50),(116&lt;'V06 Calend 01'!D50),(MOD((116-'V06 Calend 01'!C50),6)=0),(((116-'V06 Calend 01'!C50)/6)&lt;='V06 Calend 01'!E50)),IF((116=('V06 Calend 01'!C50+(6*'V06 Calend 01'!E50))),('V06 Calend 01'!H50-('V06 Calend 01'!I50*('V06 Calend 01'!E50-1))),'V06 Calend 01'!I50),0))+IF((116='V06 Calend 01'!D50),'V06 Calend 01'!J50,0))</f>
        <v>0</v>
      </c>
      <c r="DY50" s="2">
        <f>((IF((117='V06 Calend 01'!C50),('V06 Calend 01'!F50+'V06 Calend 01'!G50),0)+IF(AND(('V06 Calend 01'!E50&gt;0),(117&gt;'V06 Calend 01'!C50),(117&lt;'V06 Calend 01'!D50),(MOD((117-'V06 Calend 01'!C50),6)=0),(((117-'V06 Calend 01'!C50)/6)&lt;='V06 Calend 01'!E50)),IF((117=('V06 Calend 01'!C50+(6*'V06 Calend 01'!E50))),('V06 Calend 01'!H50-('V06 Calend 01'!I50*('V06 Calend 01'!E50-1))),'V06 Calend 01'!I50),0))+IF((117='V06 Calend 01'!D50),'V06 Calend 01'!J50,0))</f>
        <v>0</v>
      </c>
      <c r="DZ50" s="2">
        <f>((IF((118='V06 Calend 01'!C50),('V06 Calend 01'!F50+'V06 Calend 01'!G50),0)+IF(AND(('V06 Calend 01'!E50&gt;0),(118&gt;'V06 Calend 01'!C50),(118&lt;'V06 Calend 01'!D50),(MOD((118-'V06 Calend 01'!C50),6)=0),(((118-'V06 Calend 01'!C50)/6)&lt;='V06 Calend 01'!E50)),IF((118=('V06 Calend 01'!C50+(6*'V06 Calend 01'!E50))),('V06 Calend 01'!H50-('V06 Calend 01'!I50*('V06 Calend 01'!E50-1))),'V06 Calend 01'!I50),0))+IF((118='V06 Calend 01'!D50),'V06 Calend 01'!J50,0))</f>
        <v>0</v>
      </c>
      <c r="EA50" s="2">
        <f>((IF((119='V06 Calend 01'!C50),('V06 Calend 01'!F50+'V06 Calend 01'!G50),0)+IF(AND(('V06 Calend 01'!E50&gt;0),(119&gt;'V06 Calend 01'!C50),(119&lt;'V06 Calend 01'!D50),(MOD((119-'V06 Calend 01'!C50),6)=0),(((119-'V06 Calend 01'!C50)/6)&lt;='V06 Calend 01'!E50)),IF((119=('V06 Calend 01'!C50+(6*'V06 Calend 01'!E50))),('V06 Calend 01'!H50-('V06 Calend 01'!I50*('V06 Calend 01'!E50-1))),'V06 Calend 01'!I50),0))+IF((119='V06 Calend 01'!D50),'V06 Calend 01'!J50,0))</f>
        <v>0</v>
      </c>
      <c r="EB50" s="2">
        <f>((IF((120='V06 Calend 01'!C50),('V06 Calend 01'!F50+'V06 Calend 01'!G50),0)+IF(AND(('V06 Calend 01'!E50&gt;0),(120&gt;'V06 Calend 01'!C50),(120&lt;'V06 Calend 01'!D50),(MOD((120-'V06 Calend 01'!C50),6)=0),(((120-'V06 Calend 01'!C50)/6)&lt;='V06 Calend 01'!E50)),IF((120=('V06 Calend 01'!C50+(6*'V06 Calend 01'!E50))),('V06 Calend 01'!H50-('V06 Calend 01'!I50*('V06 Calend 01'!E50-1))),'V06 Calend 01'!I50),0))+IF((120='V06 Calend 01'!D50),'V06 Calend 01'!J50,0))</f>
        <v>0</v>
      </c>
      <c r="EC50" s="2">
        <f>((IF((121='V06 Calend 01'!C50),('V06 Calend 01'!F50+'V06 Calend 01'!G50),0)+IF(AND(('V06 Calend 01'!E50&gt;0),(121&gt;'V06 Calend 01'!C50),(121&lt;'V06 Calend 01'!D50),(MOD((121-'V06 Calend 01'!C50),6)=0),(((121-'V06 Calend 01'!C50)/6)&lt;='V06 Calend 01'!E50)),IF((121=('V06 Calend 01'!C50+(6*'V06 Calend 01'!E50))),('V06 Calend 01'!H50-('V06 Calend 01'!I50*('V06 Calend 01'!E50-1))),'V06 Calend 01'!I50),0))+IF((121='V06 Calend 01'!D50),'V06 Calend 01'!J50,0))</f>
        <v>0</v>
      </c>
      <c r="ED50" s="2">
        <f>((IF((122='V06 Calend 01'!C50),('V06 Calend 01'!F50+'V06 Calend 01'!G50),0)+IF(AND(('V06 Calend 01'!E50&gt;0),(122&gt;'V06 Calend 01'!C50),(122&lt;'V06 Calend 01'!D50),(MOD((122-'V06 Calend 01'!C50),6)=0),(((122-'V06 Calend 01'!C50)/6)&lt;='V06 Calend 01'!E50)),IF((122=('V06 Calend 01'!C50+(6*'V06 Calend 01'!E50))),('V06 Calend 01'!H50-('V06 Calend 01'!I50*('V06 Calend 01'!E50-1))),'V06 Calend 01'!I50),0))+IF((122='V06 Calend 01'!D50),'V06 Calend 01'!J50,0))</f>
        <v>0</v>
      </c>
      <c r="EE50" s="2">
        <f>((IF((123='V06 Calend 01'!C50),('V06 Calend 01'!F50+'V06 Calend 01'!G50),0)+IF(AND(('V06 Calend 01'!E50&gt;0),(123&gt;'V06 Calend 01'!C50),(123&lt;'V06 Calend 01'!D50),(MOD((123-'V06 Calend 01'!C50),6)=0),(((123-'V06 Calend 01'!C50)/6)&lt;='V06 Calend 01'!E50)),IF((123=('V06 Calend 01'!C50+(6*'V06 Calend 01'!E50))),('V06 Calend 01'!H50-('V06 Calend 01'!I50*('V06 Calend 01'!E50-1))),'V06 Calend 01'!I50),0))+IF((123='V06 Calend 01'!D50),'V06 Calend 01'!J50,0))</f>
        <v>0</v>
      </c>
      <c r="EF50" s="2">
        <f>((IF((124='V06 Calend 01'!C50),('V06 Calend 01'!F50+'V06 Calend 01'!G50),0)+IF(AND(('V06 Calend 01'!E50&gt;0),(124&gt;'V06 Calend 01'!C50),(124&lt;'V06 Calend 01'!D50),(MOD((124-'V06 Calend 01'!C50),6)=0),(((124-'V06 Calend 01'!C50)/6)&lt;='V06 Calend 01'!E50)),IF((124=('V06 Calend 01'!C50+(6*'V06 Calend 01'!E50))),('V06 Calend 01'!H50-('V06 Calend 01'!I50*('V06 Calend 01'!E50-1))),'V06 Calend 01'!I50),0))+IF((124='V06 Calend 01'!D50),'V06 Calend 01'!J50,0))</f>
        <v>0</v>
      </c>
      <c r="EG50" s="2">
        <f>((IF((125='V06 Calend 01'!C50),('V06 Calend 01'!F50+'V06 Calend 01'!G50),0)+IF(AND(('V06 Calend 01'!E50&gt;0),(125&gt;'V06 Calend 01'!C50),(125&lt;'V06 Calend 01'!D50),(MOD((125-'V06 Calend 01'!C50),6)=0),(((125-'V06 Calend 01'!C50)/6)&lt;='V06 Calend 01'!E50)),IF((125=('V06 Calend 01'!C50+(6*'V06 Calend 01'!E50))),('V06 Calend 01'!H50-('V06 Calend 01'!I50*('V06 Calend 01'!E50-1))),'V06 Calend 01'!I50),0))+IF((125='V06 Calend 01'!D50),'V06 Calend 01'!J50,0))</f>
        <v>0</v>
      </c>
      <c r="EH50" s="2">
        <f>((IF((126='V06 Calend 01'!C50),('V06 Calend 01'!F50+'V06 Calend 01'!G50),0)+IF(AND(('V06 Calend 01'!E50&gt;0),(126&gt;'V06 Calend 01'!C50),(126&lt;'V06 Calend 01'!D50),(MOD((126-'V06 Calend 01'!C50),6)=0),(((126-'V06 Calend 01'!C50)/6)&lt;='V06 Calend 01'!E50)),IF((126=('V06 Calend 01'!C50+(6*'V06 Calend 01'!E50))),('V06 Calend 01'!H50-('V06 Calend 01'!I50*('V06 Calend 01'!E50-1))),'V06 Calend 01'!I50),0))+IF((126='V06 Calend 01'!D50),'V06 Calend 01'!J50,0))</f>
        <v>0</v>
      </c>
      <c r="EI50" s="2">
        <f>((IF((127='V06 Calend 01'!C50),('V06 Calend 01'!F50+'V06 Calend 01'!G50),0)+IF(AND(('V06 Calend 01'!E50&gt;0),(127&gt;'V06 Calend 01'!C50),(127&lt;'V06 Calend 01'!D50),(MOD((127-'V06 Calend 01'!C50),6)=0),(((127-'V06 Calend 01'!C50)/6)&lt;='V06 Calend 01'!E50)),IF((127=('V06 Calend 01'!C50+(6*'V06 Calend 01'!E50))),('V06 Calend 01'!H50-('V06 Calend 01'!I50*('V06 Calend 01'!E50-1))),'V06 Calend 01'!I50),0))+IF((127='V06 Calend 01'!D50),'V06 Calend 01'!J50,0))</f>
        <v>0</v>
      </c>
      <c r="EJ50" s="2">
        <f>((IF((128='V06 Calend 01'!C50),('V06 Calend 01'!F50+'V06 Calend 01'!G50),0)+IF(AND(('V06 Calend 01'!E50&gt;0),(128&gt;'V06 Calend 01'!C50),(128&lt;'V06 Calend 01'!D50),(MOD((128-'V06 Calend 01'!C50),6)=0),(((128-'V06 Calend 01'!C50)/6)&lt;='V06 Calend 01'!E50)),IF((128=('V06 Calend 01'!C50+(6*'V06 Calend 01'!E50))),('V06 Calend 01'!H50-('V06 Calend 01'!I50*('V06 Calend 01'!E50-1))),'V06 Calend 01'!I50),0))+IF((128='V06 Calend 01'!D50),'V06 Calend 01'!J50,0))</f>
        <v>0</v>
      </c>
      <c r="EK50" s="2">
        <f>((IF((129='V06 Calend 01'!C50),('V06 Calend 01'!F50+'V06 Calend 01'!G50),0)+IF(AND(('V06 Calend 01'!E50&gt;0),(129&gt;'V06 Calend 01'!C50),(129&lt;'V06 Calend 01'!D50),(MOD((129-'V06 Calend 01'!C50),6)=0),(((129-'V06 Calend 01'!C50)/6)&lt;='V06 Calend 01'!E50)),IF((129=('V06 Calend 01'!C50+(6*'V06 Calend 01'!E50))),('V06 Calend 01'!H50-('V06 Calend 01'!I50*('V06 Calend 01'!E50-1))),'V06 Calend 01'!I50),0))+IF((129='V06 Calend 01'!D50),'V06 Calend 01'!J50,0))</f>
        <v>0</v>
      </c>
      <c r="EL50" s="2">
        <f>((IF((130='V06 Calend 01'!C50),('V06 Calend 01'!F50+'V06 Calend 01'!G50),0)+IF(AND(('V06 Calend 01'!E50&gt;0),(130&gt;'V06 Calend 01'!C50),(130&lt;'V06 Calend 01'!D50),(MOD((130-'V06 Calend 01'!C50),6)=0),(((130-'V06 Calend 01'!C50)/6)&lt;='V06 Calend 01'!E50)),IF((130=('V06 Calend 01'!C50+(6*'V06 Calend 01'!E50))),('V06 Calend 01'!H50-('V06 Calend 01'!I50*('V06 Calend 01'!E50-1))),'V06 Calend 01'!I50),0))+IF((130='V06 Calend 01'!D50),'V06 Calend 01'!J50,0))</f>
        <v>0</v>
      </c>
      <c r="EM50" s="2">
        <f>((IF((131='V06 Calend 01'!C50),('V06 Calend 01'!F50+'V06 Calend 01'!G50),0)+IF(AND(('V06 Calend 01'!E50&gt;0),(131&gt;'V06 Calend 01'!C50),(131&lt;'V06 Calend 01'!D50),(MOD((131-'V06 Calend 01'!C50),6)=0),(((131-'V06 Calend 01'!C50)/6)&lt;='V06 Calend 01'!E50)),IF((131=('V06 Calend 01'!C50+(6*'V06 Calend 01'!E50))),('V06 Calend 01'!H50-('V06 Calend 01'!I50*('V06 Calend 01'!E50-1))),'V06 Calend 01'!I50),0))+IF((131='V06 Calend 01'!D50),'V06 Calend 01'!J50,0))</f>
        <v>0</v>
      </c>
      <c r="EN50" s="2">
        <f>((IF((132='V06 Calend 01'!C50),('V06 Calend 01'!F50+'V06 Calend 01'!G50),0)+IF(AND(('V06 Calend 01'!E50&gt;0),(132&gt;'V06 Calend 01'!C50),(132&lt;'V06 Calend 01'!D50),(MOD((132-'V06 Calend 01'!C50),6)=0),(((132-'V06 Calend 01'!C50)/6)&lt;='V06 Calend 01'!E50)),IF((132=('V06 Calend 01'!C50+(6*'V06 Calend 01'!E50))),('V06 Calend 01'!H50-('V06 Calend 01'!I50*('V06 Calend 01'!E50-1))),'V06 Calend 01'!I50),0))+IF((132='V06 Calend 01'!D50),'V06 Calend 01'!J50,0))</f>
        <v>0</v>
      </c>
      <c r="EO50" s="2">
        <f>((IF((133='V06 Calend 01'!C50),('V06 Calend 01'!F50+'V06 Calend 01'!G50),0)+IF(AND(('V06 Calend 01'!E50&gt;0),(133&gt;'V06 Calend 01'!C50),(133&lt;'V06 Calend 01'!D50),(MOD((133-'V06 Calend 01'!C50),6)=0),(((133-'V06 Calend 01'!C50)/6)&lt;='V06 Calend 01'!E50)),IF((133=('V06 Calend 01'!C50+(6*'V06 Calend 01'!E50))),('V06 Calend 01'!H50-('V06 Calend 01'!I50*('V06 Calend 01'!E50-1))),'V06 Calend 01'!I50),0))+IF((133='V06 Calend 01'!D50),'V06 Calend 01'!J50,0))</f>
        <v>0</v>
      </c>
      <c r="EP50" s="2">
        <f>((IF((134='V06 Calend 01'!C50),('V06 Calend 01'!F50+'V06 Calend 01'!G50),0)+IF(AND(('V06 Calend 01'!E50&gt;0),(134&gt;'V06 Calend 01'!C50),(134&lt;'V06 Calend 01'!D50),(MOD((134-'V06 Calend 01'!C50),6)=0),(((134-'V06 Calend 01'!C50)/6)&lt;='V06 Calend 01'!E50)),IF((134=('V06 Calend 01'!C50+(6*'V06 Calend 01'!E50))),('V06 Calend 01'!H50-('V06 Calend 01'!I50*('V06 Calend 01'!E50-1))),'V06 Calend 01'!I50),0))+IF((134='V06 Calend 01'!D50),'V06 Calend 01'!J50,0))</f>
        <v>0</v>
      </c>
      <c r="EQ50" s="2">
        <f>((IF((135='V06 Calend 01'!C50),('V06 Calend 01'!F50+'V06 Calend 01'!G50),0)+IF(AND(('V06 Calend 01'!E50&gt;0),(135&gt;'V06 Calend 01'!C50),(135&lt;'V06 Calend 01'!D50),(MOD((135-'V06 Calend 01'!C50),6)=0),(((135-'V06 Calend 01'!C50)/6)&lt;='V06 Calend 01'!E50)),IF((135=('V06 Calend 01'!C50+(6*'V06 Calend 01'!E50))),('V06 Calend 01'!H50-('V06 Calend 01'!I50*('V06 Calend 01'!E50-1))),'V06 Calend 01'!I50),0))+IF((135='V06 Calend 01'!D50),'V06 Calend 01'!J50,0))</f>
        <v>0</v>
      </c>
      <c r="ER50" s="2">
        <f>((IF((136='V06 Calend 01'!C50),('V06 Calend 01'!F50+'V06 Calend 01'!G50),0)+IF(AND(('V06 Calend 01'!E50&gt;0),(136&gt;'V06 Calend 01'!C50),(136&lt;'V06 Calend 01'!D50),(MOD((136-'V06 Calend 01'!C50),6)=0),(((136-'V06 Calend 01'!C50)/6)&lt;='V06 Calend 01'!E50)),IF((136=('V06 Calend 01'!C50+(6*'V06 Calend 01'!E50))),('V06 Calend 01'!H50-('V06 Calend 01'!I50*('V06 Calend 01'!E50-1))),'V06 Calend 01'!I50),0))+IF((136='V06 Calend 01'!D50),'V06 Calend 01'!J50,0))</f>
        <v>0</v>
      </c>
      <c r="ES50" s="2">
        <f>((IF((137='V06 Calend 01'!C50),('V06 Calend 01'!F50+'V06 Calend 01'!G50),0)+IF(AND(('V06 Calend 01'!E50&gt;0),(137&gt;'V06 Calend 01'!C50),(137&lt;'V06 Calend 01'!D50),(MOD((137-'V06 Calend 01'!C50),6)=0),(((137-'V06 Calend 01'!C50)/6)&lt;='V06 Calend 01'!E50)),IF((137=('V06 Calend 01'!C50+(6*'V06 Calend 01'!E50))),('V06 Calend 01'!H50-('V06 Calend 01'!I50*('V06 Calend 01'!E50-1))),'V06 Calend 01'!I50),0))+IF((137='V06 Calend 01'!D50),'V06 Calend 01'!J50,0))</f>
        <v>0</v>
      </c>
      <c r="ET50" s="2">
        <f>((IF((138='V06 Calend 01'!C50),('V06 Calend 01'!F50+'V06 Calend 01'!G50),0)+IF(AND(('V06 Calend 01'!E50&gt;0),(138&gt;'V06 Calend 01'!C50),(138&lt;'V06 Calend 01'!D50),(MOD((138-'V06 Calend 01'!C50),6)=0),(((138-'V06 Calend 01'!C50)/6)&lt;='V06 Calend 01'!E50)),IF((138=('V06 Calend 01'!C50+(6*'V06 Calend 01'!E50))),('V06 Calend 01'!H50-('V06 Calend 01'!I50*('V06 Calend 01'!E50-1))),'V06 Calend 01'!I50),0))+IF((138='V06 Calend 01'!D50),'V06 Calend 01'!J50,0))</f>
        <v>0</v>
      </c>
      <c r="EU50" s="2">
        <f>((IF((139='V06 Calend 01'!C50),('V06 Calend 01'!F50+'V06 Calend 01'!G50),0)+IF(AND(('V06 Calend 01'!E50&gt;0),(139&gt;'V06 Calend 01'!C50),(139&lt;'V06 Calend 01'!D50),(MOD((139-'V06 Calend 01'!C50),6)=0),(((139-'V06 Calend 01'!C50)/6)&lt;='V06 Calend 01'!E50)),IF((139=('V06 Calend 01'!C50+(6*'V06 Calend 01'!E50))),('V06 Calend 01'!H50-('V06 Calend 01'!I50*('V06 Calend 01'!E50-1))),'V06 Calend 01'!I50),0))+IF((139='V06 Calend 01'!D50),'V06 Calend 01'!J50,0))</f>
        <v>0</v>
      </c>
      <c r="EV50" s="2">
        <f>((IF((140='V06 Calend 01'!C50),('V06 Calend 01'!F50+'V06 Calend 01'!G50),0)+IF(AND(('V06 Calend 01'!E50&gt;0),(140&gt;'V06 Calend 01'!C50),(140&lt;'V06 Calend 01'!D50),(MOD((140-'V06 Calend 01'!C50),6)=0),(((140-'V06 Calend 01'!C50)/6)&lt;='V06 Calend 01'!E50)),IF((140=('V06 Calend 01'!C50+(6*'V06 Calend 01'!E50))),('V06 Calend 01'!H50-('V06 Calend 01'!I50*('V06 Calend 01'!E50-1))),'V06 Calend 01'!I50),0))+IF((140='V06 Calend 01'!D50),'V06 Calend 01'!J50,0))</f>
        <v>0</v>
      </c>
      <c r="EW50" s="2">
        <f>((IF((141='V06 Calend 01'!C50),('V06 Calend 01'!F50+'V06 Calend 01'!G50),0)+IF(AND(('V06 Calend 01'!E50&gt;0),(141&gt;'V06 Calend 01'!C50),(141&lt;'V06 Calend 01'!D50),(MOD((141-'V06 Calend 01'!C50),6)=0),(((141-'V06 Calend 01'!C50)/6)&lt;='V06 Calend 01'!E50)),IF((141=('V06 Calend 01'!C50+(6*'V06 Calend 01'!E50))),('V06 Calend 01'!H50-('V06 Calend 01'!I50*('V06 Calend 01'!E50-1))),'V06 Calend 01'!I50),0))+IF((141='V06 Calend 01'!D50),'V06 Calend 01'!J50,0))</f>
        <v>0</v>
      </c>
      <c r="EX50" s="2">
        <f>((IF((142='V06 Calend 01'!C50),('V06 Calend 01'!F50+'V06 Calend 01'!G50),0)+IF(AND(('V06 Calend 01'!E50&gt;0),(142&gt;'V06 Calend 01'!C50),(142&lt;'V06 Calend 01'!D50),(MOD((142-'V06 Calend 01'!C50),6)=0),(((142-'V06 Calend 01'!C50)/6)&lt;='V06 Calend 01'!E50)),IF((142=('V06 Calend 01'!C50+(6*'V06 Calend 01'!E50))),('V06 Calend 01'!H50-('V06 Calend 01'!I50*('V06 Calend 01'!E50-1))),'V06 Calend 01'!I50),0))+IF((142='V06 Calend 01'!D50),'V06 Calend 01'!J50,0))</f>
        <v>0</v>
      </c>
      <c r="EY50" s="2">
        <f>((IF((143='V06 Calend 01'!C50),('V06 Calend 01'!F50+'V06 Calend 01'!G50),0)+IF(AND(('V06 Calend 01'!E50&gt;0),(143&gt;'V06 Calend 01'!C50),(143&lt;'V06 Calend 01'!D50),(MOD((143-'V06 Calend 01'!C50),6)=0),(((143-'V06 Calend 01'!C50)/6)&lt;='V06 Calend 01'!E50)),IF((143=('V06 Calend 01'!C50+(6*'V06 Calend 01'!E50))),('V06 Calend 01'!H50-('V06 Calend 01'!I50*('V06 Calend 01'!E50-1))),'V06 Calend 01'!I50),0))+IF((143='V06 Calend 01'!D50),'V06 Calend 01'!J50,0))</f>
        <v>0</v>
      </c>
      <c r="EZ50" s="2">
        <f>((IF((144='V06 Calend 01'!C50),('V06 Calend 01'!F50+'V06 Calend 01'!G50),0)+IF(AND(('V06 Calend 01'!E50&gt;0),(144&gt;'V06 Calend 01'!C50),(144&lt;'V06 Calend 01'!D50),(MOD((144-'V06 Calend 01'!C50),6)=0),(((144-'V06 Calend 01'!C50)/6)&lt;='V06 Calend 01'!E50)),IF((144=('V06 Calend 01'!C50+(6*'V06 Calend 01'!E50))),('V06 Calend 01'!H50-('V06 Calend 01'!I50*('V06 Calend 01'!E50-1))),'V06 Calend 01'!I50),0))+IF((144='V06 Calend 01'!D50),'V06 Calend 01'!J50,0))</f>
        <v>0</v>
      </c>
      <c r="FA50" s="2">
        <f>((IF((145='V06 Calend 01'!C50),('V06 Calend 01'!F50+'V06 Calend 01'!G50),0)+IF(AND(('V06 Calend 01'!E50&gt;0),(145&gt;'V06 Calend 01'!C50),(145&lt;'V06 Calend 01'!D50),(MOD((145-'V06 Calend 01'!C50),6)=0),(((145-'V06 Calend 01'!C50)/6)&lt;='V06 Calend 01'!E50)),IF((145=('V06 Calend 01'!C50+(6*'V06 Calend 01'!E50))),('V06 Calend 01'!H50-('V06 Calend 01'!I50*('V06 Calend 01'!E50-1))),'V06 Calend 01'!I50),0))+IF((145='V06 Calend 01'!D50),'V06 Calend 01'!J50,0))</f>
        <v>0</v>
      </c>
      <c r="FB50" s="2">
        <f>((IF((146='V06 Calend 01'!C50),('V06 Calend 01'!F50+'V06 Calend 01'!G50),0)+IF(AND(('V06 Calend 01'!E50&gt;0),(146&gt;'V06 Calend 01'!C50),(146&lt;'V06 Calend 01'!D50),(MOD((146-'V06 Calend 01'!C50),6)=0),(((146-'V06 Calend 01'!C50)/6)&lt;='V06 Calend 01'!E50)),IF((146=('V06 Calend 01'!C50+(6*'V06 Calend 01'!E50))),('V06 Calend 01'!H50-('V06 Calend 01'!I50*('V06 Calend 01'!E50-1))),'V06 Calend 01'!I50),0))+IF((146='V06 Calend 01'!D50),'V06 Calend 01'!J50,0))</f>
        <v>0</v>
      </c>
      <c r="FC50" s="2">
        <f>((IF((147='V06 Calend 01'!C50),('V06 Calend 01'!F50+'V06 Calend 01'!G50),0)+IF(AND(('V06 Calend 01'!E50&gt;0),(147&gt;'V06 Calend 01'!C50),(147&lt;'V06 Calend 01'!D50),(MOD((147-'V06 Calend 01'!C50),6)=0),(((147-'V06 Calend 01'!C50)/6)&lt;='V06 Calend 01'!E50)),IF((147=('V06 Calend 01'!C50+(6*'V06 Calend 01'!E50))),('V06 Calend 01'!H50-('V06 Calend 01'!I50*('V06 Calend 01'!E50-1))),'V06 Calend 01'!I50),0))+IF((147='V06 Calend 01'!D50),'V06 Calend 01'!J50,0))</f>
        <v>0</v>
      </c>
      <c r="FD50" s="2">
        <f>((IF((148='V06 Calend 01'!C50),('V06 Calend 01'!F50+'V06 Calend 01'!G50),0)+IF(AND(('V06 Calend 01'!E50&gt;0),(148&gt;'V06 Calend 01'!C50),(148&lt;'V06 Calend 01'!D50),(MOD((148-'V06 Calend 01'!C50),6)=0),(((148-'V06 Calend 01'!C50)/6)&lt;='V06 Calend 01'!E50)),IF((148=('V06 Calend 01'!C50+(6*'V06 Calend 01'!E50))),('V06 Calend 01'!H50-('V06 Calend 01'!I50*('V06 Calend 01'!E50-1))),'V06 Calend 01'!I50),0))+IF((148='V06 Calend 01'!D50),'V06 Calend 01'!J50,0))</f>
        <v>0</v>
      </c>
      <c r="FE50" s="2">
        <f>((IF((149='V06 Calend 01'!C50),('V06 Calend 01'!F50+'V06 Calend 01'!G50),0)+IF(AND(('V06 Calend 01'!E50&gt;0),(149&gt;'V06 Calend 01'!C50),(149&lt;'V06 Calend 01'!D50),(MOD((149-'V06 Calend 01'!C50),6)=0),(((149-'V06 Calend 01'!C50)/6)&lt;='V06 Calend 01'!E50)),IF((149=('V06 Calend 01'!C50+(6*'V06 Calend 01'!E50))),('V06 Calend 01'!H50-('V06 Calend 01'!I50*('V06 Calend 01'!E50-1))),'V06 Calend 01'!I50),0))+IF((149='V06 Calend 01'!D50),'V06 Calend 01'!J50,0))</f>
        <v>0</v>
      </c>
      <c r="FF50" s="2">
        <f>((IF((150='V06 Calend 01'!C50),('V06 Calend 01'!F50+'V06 Calend 01'!G50),0)+IF(AND(('V06 Calend 01'!E50&gt;0),(150&gt;'V06 Calend 01'!C50),(150&lt;'V06 Calend 01'!D50),(MOD((150-'V06 Calend 01'!C50),6)=0),(((150-'V06 Calend 01'!C50)/6)&lt;='V06 Calend 01'!E50)),IF((150=('V06 Calend 01'!C50+(6*'V06 Calend 01'!E50))),('V06 Calend 01'!H50-('V06 Calend 01'!I50*('V06 Calend 01'!E50-1))),'V06 Calend 01'!I50),0))+IF((150='V06 Calend 01'!D50),'V06 Calend 01'!J50,0))</f>
        <v>0</v>
      </c>
      <c r="FG50" s="2">
        <f>((IF((151='V06 Calend 01'!C50),('V06 Calend 01'!F50+'V06 Calend 01'!G50),0)+IF(AND(('V06 Calend 01'!E50&gt;0),(151&gt;'V06 Calend 01'!C50),(151&lt;'V06 Calend 01'!D50),(MOD((151-'V06 Calend 01'!C50),6)=0),(((151-'V06 Calend 01'!C50)/6)&lt;='V06 Calend 01'!E50)),IF((151=('V06 Calend 01'!C50+(6*'V06 Calend 01'!E50))),('V06 Calend 01'!H50-('V06 Calend 01'!I50*('V06 Calend 01'!E50-1))),'V06 Calend 01'!I50),0))+IF((151='V06 Calend 01'!D50),'V06 Calend 01'!J50,0))</f>
        <v>0</v>
      </c>
      <c r="FH50" s="2">
        <f>((IF((152='V06 Calend 01'!C50),('V06 Calend 01'!F50+'V06 Calend 01'!G50),0)+IF(AND(('V06 Calend 01'!E50&gt;0),(152&gt;'V06 Calend 01'!C50),(152&lt;'V06 Calend 01'!D50),(MOD((152-'V06 Calend 01'!C50),6)=0),(((152-'V06 Calend 01'!C50)/6)&lt;='V06 Calend 01'!E50)),IF((152=('V06 Calend 01'!C50+(6*'V06 Calend 01'!E50))),('V06 Calend 01'!H50-('V06 Calend 01'!I50*('V06 Calend 01'!E50-1))),'V06 Calend 01'!I50),0))+IF((152='V06 Calend 01'!D50),'V06 Calend 01'!J50,0))</f>
        <v>0</v>
      </c>
      <c r="FI50" s="2">
        <f>((IF((153='V06 Calend 01'!C50),('V06 Calend 01'!F50+'V06 Calend 01'!G50),0)+IF(AND(('V06 Calend 01'!E50&gt;0),(153&gt;'V06 Calend 01'!C50),(153&lt;'V06 Calend 01'!D50),(MOD((153-'V06 Calend 01'!C50),6)=0),(((153-'V06 Calend 01'!C50)/6)&lt;='V06 Calend 01'!E50)),IF((153=('V06 Calend 01'!C50+(6*'V06 Calend 01'!E50))),('V06 Calend 01'!H50-('V06 Calend 01'!I50*('V06 Calend 01'!E50-1))),'V06 Calend 01'!I50),0))+IF((153='V06 Calend 01'!D50),'V06 Calend 01'!J50,0))</f>
        <v>0</v>
      </c>
      <c r="FJ50" s="2">
        <f>((IF((154='V06 Calend 01'!C50),('V06 Calend 01'!F50+'V06 Calend 01'!G50),0)+IF(AND(('V06 Calend 01'!E50&gt;0),(154&gt;'V06 Calend 01'!C50),(154&lt;'V06 Calend 01'!D50),(MOD((154-'V06 Calend 01'!C50),6)=0),(((154-'V06 Calend 01'!C50)/6)&lt;='V06 Calend 01'!E50)),IF((154=('V06 Calend 01'!C50+(6*'V06 Calend 01'!E50))),('V06 Calend 01'!H50-('V06 Calend 01'!I50*('V06 Calend 01'!E50-1))),'V06 Calend 01'!I50),0))+IF((154='V06 Calend 01'!D50),'V06 Calend 01'!J50,0))</f>
        <v>0</v>
      </c>
      <c r="FK50" s="2">
        <f>((IF((155='V06 Calend 01'!C50),('V06 Calend 01'!F50+'V06 Calend 01'!G50),0)+IF(AND(('V06 Calend 01'!E50&gt;0),(155&gt;'V06 Calend 01'!C50),(155&lt;'V06 Calend 01'!D50),(MOD((155-'V06 Calend 01'!C50),6)=0),(((155-'V06 Calend 01'!C50)/6)&lt;='V06 Calend 01'!E50)),IF((155=('V06 Calend 01'!C50+(6*'V06 Calend 01'!E50))),('V06 Calend 01'!H50-('V06 Calend 01'!I50*('V06 Calend 01'!E50-1))),'V06 Calend 01'!I50),0))+IF((155='V06 Calend 01'!D50),'V06 Calend 01'!J50,0))</f>
        <v>0</v>
      </c>
      <c r="FL50" s="2">
        <f>((IF((156='V06 Calend 01'!C50),('V06 Calend 01'!F50+'V06 Calend 01'!G50),0)+IF(AND(('V06 Calend 01'!E50&gt;0),(156&gt;'V06 Calend 01'!C50),(156&lt;'V06 Calend 01'!D50),(MOD((156-'V06 Calend 01'!C50),6)=0),(((156-'V06 Calend 01'!C50)/6)&lt;='V06 Calend 01'!E50)),IF((156=('V06 Calend 01'!C50+(6*'V06 Calend 01'!E50))),('V06 Calend 01'!H50-('V06 Calend 01'!I50*('V06 Calend 01'!E50-1))),'V06 Calend 01'!I50),0))+IF((156='V06 Calend 01'!D50),'V06 Calend 01'!J50,0))</f>
        <v>0</v>
      </c>
      <c r="FM50" s="2">
        <f>((IF((157='V06 Calend 01'!C50),('V06 Calend 01'!F50+'V06 Calend 01'!G50),0)+IF(AND(('V06 Calend 01'!E50&gt;0),(157&gt;'V06 Calend 01'!C50),(157&lt;'V06 Calend 01'!D50),(MOD((157-'V06 Calend 01'!C50),6)=0),(((157-'V06 Calend 01'!C50)/6)&lt;='V06 Calend 01'!E50)),IF((157=('V06 Calend 01'!C50+(6*'V06 Calend 01'!E50))),('V06 Calend 01'!H50-('V06 Calend 01'!I50*('V06 Calend 01'!E50-1))),'V06 Calend 01'!I50),0))+IF((157='V06 Calend 01'!D50),'V06 Calend 01'!J50,0))</f>
        <v>0</v>
      </c>
      <c r="FN50" s="2">
        <f>((IF((158='V06 Calend 01'!C50),('V06 Calend 01'!F50+'V06 Calend 01'!G50),0)+IF(AND(('V06 Calend 01'!E50&gt;0),(158&gt;'V06 Calend 01'!C50),(158&lt;'V06 Calend 01'!D50),(MOD((158-'V06 Calend 01'!C50),6)=0),(((158-'V06 Calend 01'!C50)/6)&lt;='V06 Calend 01'!E50)),IF((158=('V06 Calend 01'!C50+(6*'V06 Calend 01'!E50))),('V06 Calend 01'!H50-('V06 Calend 01'!I50*('V06 Calend 01'!E50-1))),'V06 Calend 01'!I50),0))+IF((158='V06 Calend 01'!D50),'V06 Calend 01'!J50,0))</f>
        <v>0</v>
      </c>
      <c r="FO50" s="2">
        <f>((IF((159='V06 Calend 01'!C50),('V06 Calend 01'!F50+'V06 Calend 01'!G50),0)+IF(AND(('V06 Calend 01'!E50&gt;0),(159&gt;'V06 Calend 01'!C50),(159&lt;'V06 Calend 01'!D50),(MOD((159-'V06 Calend 01'!C50),6)=0),(((159-'V06 Calend 01'!C50)/6)&lt;='V06 Calend 01'!E50)),IF((159=('V06 Calend 01'!C50+(6*'V06 Calend 01'!E50))),('V06 Calend 01'!H50-('V06 Calend 01'!I50*('V06 Calend 01'!E50-1))),'V06 Calend 01'!I50),0))+IF((159='V06 Calend 01'!D50),'V06 Calend 01'!J50,0))</f>
        <v>0</v>
      </c>
      <c r="FP50" s="2">
        <f>((IF((160='V06 Calend 01'!C50),('V06 Calend 01'!F50+'V06 Calend 01'!G50),0)+IF(AND(('V06 Calend 01'!E50&gt;0),(160&gt;'V06 Calend 01'!C50),(160&lt;'V06 Calend 01'!D50),(MOD((160-'V06 Calend 01'!C50),6)=0),(((160-'V06 Calend 01'!C50)/6)&lt;='V06 Calend 01'!E50)),IF((160=('V06 Calend 01'!C50+(6*'V06 Calend 01'!E50))),('V06 Calend 01'!H50-('V06 Calend 01'!I50*('V06 Calend 01'!E50-1))),'V06 Calend 01'!I50),0))+IF((160='V06 Calend 01'!D50),'V06 Calend 01'!J50,0))</f>
        <v>0</v>
      </c>
      <c r="FQ50" s="2">
        <f>((IF((161='V06 Calend 01'!C50),('V06 Calend 01'!F50+'V06 Calend 01'!G50),0)+IF(AND(('V06 Calend 01'!E50&gt;0),(161&gt;'V06 Calend 01'!C50),(161&lt;'V06 Calend 01'!D50),(MOD((161-'V06 Calend 01'!C50),6)=0),(((161-'V06 Calend 01'!C50)/6)&lt;='V06 Calend 01'!E50)),IF((161=('V06 Calend 01'!C50+(6*'V06 Calend 01'!E50))),('V06 Calend 01'!H50-('V06 Calend 01'!I50*('V06 Calend 01'!E50-1))),'V06 Calend 01'!I50),0))+IF((161='V06 Calend 01'!D50),'V06 Calend 01'!J50,0))</f>
        <v>0</v>
      </c>
      <c r="FR50" s="2">
        <f>((IF((162='V06 Calend 01'!C50),('V06 Calend 01'!F50+'V06 Calend 01'!G50),0)+IF(AND(('V06 Calend 01'!E50&gt;0),(162&gt;'V06 Calend 01'!C50),(162&lt;'V06 Calend 01'!D50),(MOD((162-'V06 Calend 01'!C50),6)=0),(((162-'V06 Calend 01'!C50)/6)&lt;='V06 Calend 01'!E50)),IF((162=('V06 Calend 01'!C50+(6*'V06 Calend 01'!E50))),('V06 Calend 01'!H50-('V06 Calend 01'!I50*('V06 Calend 01'!E50-1))),'V06 Calend 01'!I50),0))+IF((162='V06 Calend 01'!D50),'V06 Calend 01'!J50,0))</f>
        <v>0</v>
      </c>
      <c r="FS50" s="2">
        <f>((IF((163='V06 Calend 01'!C50),('V06 Calend 01'!F50+'V06 Calend 01'!G50),0)+IF(AND(('V06 Calend 01'!E50&gt;0),(163&gt;'V06 Calend 01'!C50),(163&lt;'V06 Calend 01'!D50),(MOD((163-'V06 Calend 01'!C50),6)=0),(((163-'V06 Calend 01'!C50)/6)&lt;='V06 Calend 01'!E50)),IF((163=('V06 Calend 01'!C50+(6*'V06 Calend 01'!E50))),('V06 Calend 01'!H50-('V06 Calend 01'!I50*('V06 Calend 01'!E50-1))),'V06 Calend 01'!I50),0))+IF((163='V06 Calend 01'!D50),'V06 Calend 01'!J50,0))</f>
        <v>0</v>
      </c>
      <c r="FT50" s="2">
        <f>((IF((164='V06 Calend 01'!C50),('V06 Calend 01'!F50+'V06 Calend 01'!G50),0)+IF(AND(('V06 Calend 01'!E50&gt;0),(164&gt;'V06 Calend 01'!C50),(164&lt;'V06 Calend 01'!D50),(MOD((164-'V06 Calend 01'!C50),6)=0),(((164-'V06 Calend 01'!C50)/6)&lt;='V06 Calend 01'!E50)),IF((164=('V06 Calend 01'!C50+(6*'V06 Calend 01'!E50))),('V06 Calend 01'!H50-('V06 Calend 01'!I50*('V06 Calend 01'!E50-1))),'V06 Calend 01'!I50),0))+IF((164='V06 Calend 01'!D50),'V06 Calend 01'!J50,0))</f>
        <v>0</v>
      </c>
      <c r="FU50" s="2">
        <f>((IF((165='V06 Calend 01'!C50),('V06 Calend 01'!F50+'V06 Calend 01'!G50),0)+IF(AND(('V06 Calend 01'!E50&gt;0),(165&gt;'V06 Calend 01'!C50),(165&lt;'V06 Calend 01'!D50),(MOD((165-'V06 Calend 01'!C50),6)=0),(((165-'V06 Calend 01'!C50)/6)&lt;='V06 Calend 01'!E50)),IF((165=('V06 Calend 01'!C50+(6*'V06 Calend 01'!E50))),('V06 Calend 01'!H50-('V06 Calend 01'!I50*('V06 Calend 01'!E50-1))),'V06 Calend 01'!I50),0))+IF((165='V06 Calend 01'!D50),'V06 Calend 01'!J50,0))</f>
        <v>0</v>
      </c>
      <c r="FV50" s="2">
        <f>((IF((166='V06 Calend 01'!C50),('V06 Calend 01'!F50+'V06 Calend 01'!G50),0)+IF(AND(('V06 Calend 01'!E50&gt;0),(166&gt;'V06 Calend 01'!C50),(166&lt;'V06 Calend 01'!D50),(MOD((166-'V06 Calend 01'!C50),6)=0),(((166-'V06 Calend 01'!C50)/6)&lt;='V06 Calend 01'!E50)),IF((166=('V06 Calend 01'!C50+(6*'V06 Calend 01'!E50))),('V06 Calend 01'!H50-('V06 Calend 01'!I50*('V06 Calend 01'!E50-1))),'V06 Calend 01'!I50),0))+IF((166='V06 Calend 01'!D50),'V06 Calend 01'!J50,0))</f>
        <v>0</v>
      </c>
      <c r="FW50" s="2">
        <f>((IF((167='V06 Calend 01'!C50),('V06 Calend 01'!F50+'V06 Calend 01'!G50),0)+IF(AND(('V06 Calend 01'!E50&gt;0),(167&gt;'V06 Calend 01'!C50),(167&lt;'V06 Calend 01'!D50),(MOD((167-'V06 Calend 01'!C50),6)=0),(((167-'V06 Calend 01'!C50)/6)&lt;='V06 Calend 01'!E50)),IF((167=('V06 Calend 01'!C50+(6*'V06 Calend 01'!E50))),('V06 Calend 01'!H50-('V06 Calend 01'!I50*('V06 Calend 01'!E50-1))),'V06 Calend 01'!I50),0))+IF((167='V06 Calend 01'!D50),'V06 Calend 01'!J50,0))</f>
        <v>0</v>
      </c>
      <c r="FX50" s="2">
        <f>((IF((168='V06 Calend 01'!C50),('V06 Calend 01'!F50+'V06 Calend 01'!G50),0)+IF(AND(('V06 Calend 01'!E50&gt;0),(168&gt;'V06 Calend 01'!C50),(168&lt;'V06 Calend 01'!D50),(MOD((168-'V06 Calend 01'!C50),6)=0),(((168-'V06 Calend 01'!C50)/6)&lt;='V06 Calend 01'!E50)),IF((168=('V06 Calend 01'!C50+(6*'V06 Calend 01'!E50))),('V06 Calend 01'!H50-('V06 Calend 01'!I50*('V06 Calend 01'!E50-1))),'V06 Calend 01'!I50),0))+IF((168='V06 Calend 01'!D50),'V06 Calend 01'!J50,0))</f>
        <v>0</v>
      </c>
      <c r="FY50" s="2">
        <f>((IF((169='V06 Calend 01'!C50),('V06 Calend 01'!F50+'V06 Calend 01'!G50),0)+IF(AND(('V06 Calend 01'!E50&gt;0),(169&gt;'V06 Calend 01'!C50),(169&lt;'V06 Calend 01'!D50),(MOD((169-'V06 Calend 01'!C50),6)=0),(((169-'V06 Calend 01'!C50)/6)&lt;='V06 Calend 01'!E50)),IF((169=('V06 Calend 01'!C50+(6*'V06 Calend 01'!E50))),('V06 Calend 01'!H50-('V06 Calend 01'!I50*('V06 Calend 01'!E50-1))),'V06 Calend 01'!I50),0))+IF((169='V06 Calend 01'!D50),'V06 Calend 01'!J50,0))</f>
        <v>0</v>
      </c>
      <c r="FZ50" s="2">
        <f>((IF((170='V06 Calend 01'!C50),('V06 Calend 01'!F50+'V06 Calend 01'!G50),0)+IF(AND(('V06 Calend 01'!E50&gt;0),(170&gt;'V06 Calend 01'!C50),(170&lt;'V06 Calend 01'!D50),(MOD((170-'V06 Calend 01'!C50),6)=0),(((170-'V06 Calend 01'!C50)/6)&lt;='V06 Calend 01'!E50)),IF((170=('V06 Calend 01'!C50+(6*'V06 Calend 01'!E50))),('V06 Calend 01'!H50-('V06 Calend 01'!I50*('V06 Calend 01'!E50-1))),'V06 Calend 01'!I50),0))+IF((170='V06 Calend 01'!D50),'V06 Calend 01'!J50,0))</f>
        <v>0</v>
      </c>
      <c r="GA50" s="2">
        <f>((IF((171='V06 Calend 01'!C50),('V06 Calend 01'!F50+'V06 Calend 01'!G50),0)+IF(AND(('V06 Calend 01'!E50&gt;0),(171&gt;'V06 Calend 01'!C50),(171&lt;'V06 Calend 01'!D50),(MOD((171-'V06 Calend 01'!C50),6)=0),(((171-'V06 Calend 01'!C50)/6)&lt;='V06 Calend 01'!E50)),IF((171=('V06 Calend 01'!C50+(6*'V06 Calend 01'!E50))),('V06 Calend 01'!H50-('V06 Calend 01'!I50*('V06 Calend 01'!E50-1))),'V06 Calend 01'!I50),0))+IF((171='V06 Calend 01'!D50),'V06 Calend 01'!J50,0))</f>
        <v>0</v>
      </c>
      <c r="GB50" s="2">
        <f>((IF((172='V06 Calend 01'!C50),('V06 Calend 01'!F50+'V06 Calend 01'!G50),0)+IF(AND(('V06 Calend 01'!E50&gt;0),(172&gt;'V06 Calend 01'!C50),(172&lt;'V06 Calend 01'!D50),(MOD((172-'V06 Calend 01'!C50),6)=0),(((172-'V06 Calend 01'!C50)/6)&lt;='V06 Calend 01'!E50)),IF((172=('V06 Calend 01'!C50+(6*'V06 Calend 01'!E50))),('V06 Calend 01'!H50-('V06 Calend 01'!I50*('V06 Calend 01'!E50-1))),'V06 Calend 01'!I50),0))+IF((172='V06 Calend 01'!D50),'V06 Calend 01'!J50,0))</f>
        <v>0</v>
      </c>
      <c r="GC50" s="2">
        <f>((IF((173='V06 Calend 01'!C50),('V06 Calend 01'!F50+'V06 Calend 01'!G50),0)+IF(AND(('V06 Calend 01'!E50&gt;0),(173&gt;'V06 Calend 01'!C50),(173&lt;'V06 Calend 01'!D50),(MOD((173-'V06 Calend 01'!C50),6)=0),(((173-'V06 Calend 01'!C50)/6)&lt;='V06 Calend 01'!E50)),IF((173=('V06 Calend 01'!C50+(6*'V06 Calend 01'!E50))),('V06 Calend 01'!H50-('V06 Calend 01'!I50*('V06 Calend 01'!E50-1))),'V06 Calend 01'!I50),0))+IF((173='V06 Calend 01'!D50),'V06 Calend 01'!J50,0))</f>
        <v>0</v>
      </c>
      <c r="GD50" s="2">
        <f>((IF((174='V06 Calend 01'!C50),('V06 Calend 01'!F50+'V06 Calend 01'!G50),0)+IF(AND(('V06 Calend 01'!E50&gt;0),(174&gt;'V06 Calend 01'!C50),(174&lt;'V06 Calend 01'!D50),(MOD((174-'V06 Calend 01'!C50),6)=0),(((174-'V06 Calend 01'!C50)/6)&lt;='V06 Calend 01'!E50)),IF((174=('V06 Calend 01'!C50+(6*'V06 Calend 01'!E50))),('V06 Calend 01'!H50-('V06 Calend 01'!I50*('V06 Calend 01'!E50-1))),'V06 Calend 01'!I50),0))+IF((174='V06 Calend 01'!D50),'V06 Calend 01'!J50,0))</f>
        <v>0</v>
      </c>
      <c r="GE50" s="2">
        <f>((IF((175='V06 Calend 01'!C50),('V06 Calend 01'!F50+'V06 Calend 01'!G50),0)+IF(AND(('V06 Calend 01'!E50&gt;0),(175&gt;'V06 Calend 01'!C50),(175&lt;'V06 Calend 01'!D50),(MOD((175-'V06 Calend 01'!C50),6)=0),(((175-'V06 Calend 01'!C50)/6)&lt;='V06 Calend 01'!E50)),IF((175=('V06 Calend 01'!C50+(6*'V06 Calend 01'!E50))),('V06 Calend 01'!H50-('V06 Calend 01'!I50*('V06 Calend 01'!E50-1))),'V06 Calend 01'!I50),0))+IF((175='V06 Calend 01'!D50),'V06 Calend 01'!J50,0))</f>
        <v>0</v>
      </c>
      <c r="GF50" s="2">
        <f>((IF((176='V06 Calend 01'!C50),('V06 Calend 01'!F50+'V06 Calend 01'!G50),0)+IF(AND(('V06 Calend 01'!E50&gt;0),(176&gt;'V06 Calend 01'!C50),(176&lt;'V06 Calend 01'!D50),(MOD((176-'V06 Calend 01'!C50),6)=0),(((176-'V06 Calend 01'!C50)/6)&lt;='V06 Calend 01'!E50)),IF((176=('V06 Calend 01'!C50+(6*'V06 Calend 01'!E50))),('V06 Calend 01'!H50-('V06 Calend 01'!I50*('V06 Calend 01'!E50-1))),'V06 Calend 01'!I50),0))+IF((176='V06 Calend 01'!D50),'V06 Calend 01'!J50,0))</f>
        <v>0</v>
      </c>
      <c r="GG50" s="2">
        <f>((IF((177='V06 Calend 01'!C50),('V06 Calend 01'!F50+'V06 Calend 01'!G50),0)+IF(AND(('V06 Calend 01'!E50&gt;0),(177&gt;'V06 Calend 01'!C50),(177&lt;'V06 Calend 01'!D50),(MOD((177-'V06 Calend 01'!C50),6)=0),(((177-'V06 Calend 01'!C50)/6)&lt;='V06 Calend 01'!E50)),IF((177=('V06 Calend 01'!C50+(6*'V06 Calend 01'!E50))),('V06 Calend 01'!H50-('V06 Calend 01'!I50*('V06 Calend 01'!E50-1))),'V06 Calend 01'!I50),0))+IF((177='V06 Calend 01'!D50),'V06 Calend 01'!J50,0))</f>
        <v>0</v>
      </c>
      <c r="GH50" s="2">
        <f>((IF((178='V06 Calend 01'!C50),('V06 Calend 01'!F50+'V06 Calend 01'!G50),0)+IF(AND(('V06 Calend 01'!E50&gt;0),(178&gt;'V06 Calend 01'!C50),(178&lt;'V06 Calend 01'!D50),(MOD((178-'V06 Calend 01'!C50),6)=0),(((178-'V06 Calend 01'!C50)/6)&lt;='V06 Calend 01'!E50)),IF((178=('V06 Calend 01'!C50+(6*'V06 Calend 01'!E50))),('V06 Calend 01'!H50-('V06 Calend 01'!I50*('V06 Calend 01'!E50-1))),'V06 Calend 01'!I50),0))+IF((178='V06 Calend 01'!D50),'V06 Calend 01'!J50,0))</f>
        <v>0</v>
      </c>
      <c r="GI50" s="2">
        <f>((IF((179='V06 Calend 01'!C50),('V06 Calend 01'!F50+'V06 Calend 01'!G50),0)+IF(AND(('V06 Calend 01'!E50&gt;0),(179&gt;'V06 Calend 01'!C50),(179&lt;'V06 Calend 01'!D50),(MOD((179-'V06 Calend 01'!C50),6)=0),(((179-'V06 Calend 01'!C50)/6)&lt;='V06 Calend 01'!E50)),IF((179=('V06 Calend 01'!C50+(6*'V06 Calend 01'!E50))),('V06 Calend 01'!H50-('V06 Calend 01'!I50*('V06 Calend 01'!E50-1))),'V06 Calend 01'!I50),0))+IF((179='V06 Calend 01'!D50),'V06 Calend 01'!J50,0))</f>
        <v>0</v>
      </c>
      <c r="GJ50" s="2">
        <f>((IF((180='V06 Calend 01'!C50),('V06 Calend 01'!F50+'V06 Calend 01'!G50),0)+IF(AND(('V06 Calend 01'!E50&gt;0),(180&gt;'V06 Calend 01'!C50),(180&lt;'V06 Calend 01'!D50),(MOD((180-'V06 Calend 01'!C50),6)=0),(((180-'V06 Calend 01'!C50)/6)&lt;='V06 Calend 01'!E50)),IF((180=('V06 Calend 01'!C50+(6*'V06 Calend 01'!E50))),('V06 Calend 01'!H50-('V06 Calend 01'!I50*('V06 Calend 01'!E50-1))),'V06 Calend 01'!I50),0))+IF((180='V06 Calend 01'!D50),'V06 Calend 01'!J50,0))</f>
        <v>0</v>
      </c>
    </row>
    <row r="51" spans="1:192">
      <c r="A51" s="3" t="str">
        <f>'V06 Unidades'!$A$51</f>
        <v>607</v>
      </c>
      <c r="B51" s="2">
        <f>'V06 Unidades'!$H$51</f>
        <v>307244.17</v>
      </c>
      <c r="C51" s="4">
        <f>('V06 Unidades'!$I$51+'V06 Controlos'!$B$37)</f>
        <v>4</v>
      </c>
      <c r="D51" s="4">
        <f>IF(('V06 Controlos'!$B$38&gt;0),MAX(('V06 Unidades'!$L$51+'V06 Controlos'!$B$37),(30+'V06 Controlos'!$B$38)),('V06 Unidades'!$L$51+'V06 Controlos'!$B$37))</f>
        <v>29</v>
      </c>
      <c r="E51" s="4">
        <f>MAX(0,INT(((('V06 Calend 01'!D51-'V06 Calend 01'!C51)-1)/6)))</f>
        <v>4</v>
      </c>
      <c r="F51" s="2">
        <f>ROUND(('V06 Calend 01'!B51*0.05),2)</f>
        <v>15362.21</v>
      </c>
      <c r="G51" s="2">
        <f>ROUND(('V06 Calend 01'!B51*0.2),2)</f>
        <v>61448.83</v>
      </c>
      <c r="H51" s="2">
        <f>ROUND(('V06 Calend 01'!B51*0.55),2)</f>
        <v>168984.29</v>
      </c>
      <c r="I51" s="2">
        <f>ROUND(('V06 Calend 01'!H51/MAX(1,'V06 Calend 01'!E51)),2)</f>
        <v>42246.07</v>
      </c>
      <c r="J51" s="2">
        <f>((('V06 Calend 01'!B51-'V06 Calend 01'!F51)-'V06 Calend 01'!G51)-'V06 Calend 01'!H51)</f>
        <v>61448.83999999994</v>
      </c>
      <c r="K51" s="2">
        <f>('V06 Calend 01'!B51*0.025)</f>
        <v>7681.10425</v>
      </c>
      <c r="L51" t="s">
        <v>378</v>
      </c>
      <c r="M51" s="2">
        <f>((IF((1='V06 Calend 01'!C51),('V06 Calend 01'!F51+'V06 Calend 01'!G51),0)+IF(AND(('V06 Calend 01'!E51&gt;0),(1&gt;'V06 Calend 01'!C51),(1&lt;'V06 Calend 01'!D51),(MOD((1-'V06 Calend 01'!C51),6)=0),(((1-'V06 Calend 01'!C51)/6)&lt;='V06 Calend 01'!E51)),IF((1=('V06 Calend 01'!C51+(6*'V06 Calend 01'!E51))),('V06 Calend 01'!H51-('V06 Calend 01'!I51*('V06 Calend 01'!E51-1))),'V06 Calend 01'!I51),0))+IF((1='V06 Calend 01'!D51),'V06 Calend 01'!J51,0))</f>
        <v>0</v>
      </c>
      <c r="N51" s="2">
        <f>((IF((2='V06 Calend 01'!C51),('V06 Calend 01'!F51+'V06 Calend 01'!G51),0)+IF(AND(('V06 Calend 01'!E51&gt;0),(2&gt;'V06 Calend 01'!C51),(2&lt;'V06 Calend 01'!D51),(MOD((2-'V06 Calend 01'!C51),6)=0),(((2-'V06 Calend 01'!C51)/6)&lt;='V06 Calend 01'!E51)),IF((2=('V06 Calend 01'!C51+(6*'V06 Calend 01'!E51))),('V06 Calend 01'!H51-('V06 Calend 01'!I51*('V06 Calend 01'!E51-1))),'V06 Calend 01'!I51),0))+IF((2='V06 Calend 01'!D51),'V06 Calend 01'!J51,0))</f>
        <v>0</v>
      </c>
      <c r="O51" s="2">
        <f>((IF((3='V06 Calend 01'!C51),('V06 Calend 01'!F51+'V06 Calend 01'!G51),0)+IF(AND(('V06 Calend 01'!E51&gt;0),(3&gt;'V06 Calend 01'!C51),(3&lt;'V06 Calend 01'!D51),(MOD((3-'V06 Calend 01'!C51),6)=0),(((3-'V06 Calend 01'!C51)/6)&lt;='V06 Calend 01'!E51)),IF((3=('V06 Calend 01'!C51+(6*'V06 Calend 01'!E51))),('V06 Calend 01'!H51-('V06 Calend 01'!I51*('V06 Calend 01'!E51-1))),'V06 Calend 01'!I51),0))+IF((3='V06 Calend 01'!D51),'V06 Calend 01'!J51,0))</f>
        <v>0</v>
      </c>
      <c r="P51" s="2">
        <f>((IF((4='V06 Calend 01'!C51),('V06 Calend 01'!F51+'V06 Calend 01'!G51),0)+IF(AND(('V06 Calend 01'!E51&gt;0),(4&gt;'V06 Calend 01'!C51),(4&lt;'V06 Calend 01'!D51),(MOD((4-'V06 Calend 01'!C51),6)=0),(((4-'V06 Calend 01'!C51)/6)&lt;='V06 Calend 01'!E51)),IF((4=('V06 Calend 01'!C51+(6*'V06 Calend 01'!E51))),('V06 Calend 01'!H51-('V06 Calend 01'!I51*('V06 Calend 01'!E51-1))),'V06 Calend 01'!I51),0))+IF((4='V06 Calend 01'!D51),'V06 Calend 01'!J51,0))</f>
        <v>76811.04000000001</v>
      </c>
      <c r="Q51" s="2">
        <f>((IF((5='V06 Calend 01'!C51),('V06 Calend 01'!F51+'V06 Calend 01'!G51),0)+IF(AND(('V06 Calend 01'!E51&gt;0),(5&gt;'V06 Calend 01'!C51),(5&lt;'V06 Calend 01'!D51),(MOD((5-'V06 Calend 01'!C51),6)=0),(((5-'V06 Calend 01'!C51)/6)&lt;='V06 Calend 01'!E51)),IF((5=('V06 Calend 01'!C51+(6*'V06 Calend 01'!E51))),('V06 Calend 01'!H51-('V06 Calend 01'!I51*('V06 Calend 01'!E51-1))),'V06 Calend 01'!I51),0))+IF((5='V06 Calend 01'!D51),'V06 Calend 01'!J51,0))</f>
        <v>0</v>
      </c>
      <c r="R51" s="2">
        <f>((IF((6='V06 Calend 01'!C51),('V06 Calend 01'!F51+'V06 Calend 01'!G51),0)+IF(AND(('V06 Calend 01'!E51&gt;0),(6&gt;'V06 Calend 01'!C51),(6&lt;'V06 Calend 01'!D51),(MOD((6-'V06 Calend 01'!C51),6)=0),(((6-'V06 Calend 01'!C51)/6)&lt;='V06 Calend 01'!E51)),IF((6=('V06 Calend 01'!C51+(6*'V06 Calend 01'!E51))),('V06 Calend 01'!H51-('V06 Calend 01'!I51*('V06 Calend 01'!E51-1))),'V06 Calend 01'!I51),0))+IF((6='V06 Calend 01'!D51),'V06 Calend 01'!J51,0))</f>
        <v>0</v>
      </c>
      <c r="S51" s="2">
        <f>((IF((7='V06 Calend 01'!C51),('V06 Calend 01'!F51+'V06 Calend 01'!G51),0)+IF(AND(('V06 Calend 01'!E51&gt;0),(7&gt;'V06 Calend 01'!C51),(7&lt;'V06 Calend 01'!D51),(MOD((7-'V06 Calend 01'!C51),6)=0),(((7-'V06 Calend 01'!C51)/6)&lt;='V06 Calend 01'!E51)),IF((7=('V06 Calend 01'!C51+(6*'V06 Calend 01'!E51))),('V06 Calend 01'!H51-('V06 Calend 01'!I51*('V06 Calend 01'!E51-1))),'V06 Calend 01'!I51),0))+IF((7='V06 Calend 01'!D51),'V06 Calend 01'!J51,0))</f>
        <v>0</v>
      </c>
      <c r="T51" s="2">
        <f>((IF((8='V06 Calend 01'!C51),('V06 Calend 01'!F51+'V06 Calend 01'!G51),0)+IF(AND(('V06 Calend 01'!E51&gt;0),(8&gt;'V06 Calend 01'!C51),(8&lt;'V06 Calend 01'!D51),(MOD((8-'V06 Calend 01'!C51),6)=0),(((8-'V06 Calend 01'!C51)/6)&lt;='V06 Calend 01'!E51)),IF((8=('V06 Calend 01'!C51+(6*'V06 Calend 01'!E51))),('V06 Calend 01'!H51-('V06 Calend 01'!I51*('V06 Calend 01'!E51-1))),'V06 Calend 01'!I51),0))+IF((8='V06 Calend 01'!D51),'V06 Calend 01'!J51,0))</f>
        <v>0</v>
      </c>
      <c r="U51" s="2">
        <f>((IF((9='V06 Calend 01'!C51),('V06 Calend 01'!F51+'V06 Calend 01'!G51),0)+IF(AND(('V06 Calend 01'!E51&gt;0),(9&gt;'V06 Calend 01'!C51),(9&lt;'V06 Calend 01'!D51),(MOD((9-'V06 Calend 01'!C51),6)=0),(((9-'V06 Calend 01'!C51)/6)&lt;='V06 Calend 01'!E51)),IF((9=('V06 Calend 01'!C51+(6*'V06 Calend 01'!E51))),('V06 Calend 01'!H51-('V06 Calend 01'!I51*('V06 Calend 01'!E51-1))),'V06 Calend 01'!I51),0))+IF((9='V06 Calend 01'!D51),'V06 Calend 01'!J51,0))</f>
        <v>0</v>
      </c>
      <c r="V51" s="2">
        <f>((IF((10='V06 Calend 01'!C51),('V06 Calend 01'!F51+'V06 Calend 01'!G51),0)+IF(AND(('V06 Calend 01'!E51&gt;0),(10&gt;'V06 Calend 01'!C51),(10&lt;'V06 Calend 01'!D51),(MOD((10-'V06 Calend 01'!C51),6)=0),(((10-'V06 Calend 01'!C51)/6)&lt;='V06 Calend 01'!E51)),IF((10=('V06 Calend 01'!C51+(6*'V06 Calend 01'!E51))),('V06 Calend 01'!H51-('V06 Calend 01'!I51*('V06 Calend 01'!E51-1))),'V06 Calend 01'!I51),0))+IF((10='V06 Calend 01'!D51),'V06 Calend 01'!J51,0))</f>
        <v>42246.07</v>
      </c>
      <c r="W51" s="2">
        <f>((IF((11='V06 Calend 01'!C51),('V06 Calend 01'!F51+'V06 Calend 01'!G51),0)+IF(AND(('V06 Calend 01'!E51&gt;0),(11&gt;'V06 Calend 01'!C51),(11&lt;'V06 Calend 01'!D51),(MOD((11-'V06 Calend 01'!C51),6)=0),(((11-'V06 Calend 01'!C51)/6)&lt;='V06 Calend 01'!E51)),IF((11=('V06 Calend 01'!C51+(6*'V06 Calend 01'!E51))),('V06 Calend 01'!H51-('V06 Calend 01'!I51*('V06 Calend 01'!E51-1))),'V06 Calend 01'!I51),0))+IF((11='V06 Calend 01'!D51),'V06 Calend 01'!J51,0))</f>
        <v>0</v>
      </c>
      <c r="X51" s="2">
        <f>((IF((12='V06 Calend 01'!C51),('V06 Calend 01'!F51+'V06 Calend 01'!G51),0)+IF(AND(('V06 Calend 01'!E51&gt;0),(12&gt;'V06 Calend 01'!C51),(12&lt;'V06 Calend 01'!D51),(MOD((12-'V06 Calend 01'!C51),6)=0),(((12-'V06 Calend 01'!C51)/6)&lt;='V06 Calend 01'!E51)),IF((12=('V06 Calend 01'!C51+(6*'V06 Calend 01'!E51))),('V06 Calend 01'!H51-('V06 Calend 01'!I51*('V06 Calend 01'!E51-1))),'V06 Calend 01'!I51),0))+IF((12='V06 Calend 01'!D51),'V06 Calend 01'!J51,0))</f>
        <v>0</v>
      </c>
      <c r="Y51" s="2">
        <f>((IF((13='V06 Calend 01'!C51),('V06 Calend 01'!F51+'V06 Calend 01'!G51),0)+IF(AND(('V06 Calend 01'!E51&gt;0),(13&gt;'V06 Calend 01'!C51),(13&lt;'V06 Calend 01'!D51),(MOD((13-'V06 Calend 01'!C51),6)=0),(((13-'V06 Calend 01'!C51)/6)&lt;='V06 Calend 01'!E51)),IF((13=('V06 Calend 01'!C51+(6*'V06 Calend 01'!E51))),('V06 Calend 01'!H51-('V06 Calend 01'!I51*('V06 Calend 01'!E51-1))),'V06 Calend 01'!I51),0))+IF((13='V06 Calend 01'!D51),'V06 Calend 01'!J51,0))</f>
        <v>0</v>
      </c>
      <c r="Z51" s="2">
        <f>((IF((14='V06 Calend 01'!C51),('V06 Calend 01'!F51+'V06 Calend 01'!G51),0)+IF(AND(('V06 Calend 01'!E51&gt;0),(14&gt;'V06 Calend 01'!C51),(14&lt;'V06 Calend 01'!D51),(MOD((14-'V06 Calend 01'!C51),6)=0),(((14-'V06 Calend 01'!C51)/6)&lt;='V06 Calend 01'!E51)),IF((14=('V06 Calend 01'!C51+(6*'V06 Calend 01'!E51))),('V06 Calend 01'!H51-('V06 Calend 01'!I51*('V06 Calend 01'!E51-1))),'V06 Calend 01'!I51),0))+IF((14='V06 Calend 01'!D51),'V06 Calend 01'!J51,0))</f>
        <v>0</v>
      </c>
      <c r="AA51" s="2">
        <f>((IF((15='V06 Calend 01'!C51),('V06 Calend 01'!F51+'V06 Calend 01'!G51),0)+IF(AND(('V06 Calend 01'!E51&gt;0),(15&gt;'V06 Calend 01'!C51),(15&lt;'V06 Calend 01'!D51),(MOD((15-'V06 Calend 01'!C51),6)=0),(((15-'V06 Calend 01'!C51)/6)&lt;='V06 Calend 01'!E51)),IF((15=('V06 Calend 01'!C51+(6*'V06 Calend 01'!E51))),('V06 Calend 01'!H51-('V06 Calend 01'!I51*('V06 Calend 01'!E51-1))),'V06 Calend 01'!I51),0))+IF((15='V06 Calend 01'!D51),'V06 Calend 01'!J51,0))</f>
        <v>0</v>
      </c>
      <c r="AB51" s="2">
        <f>((IF((16='V06 Calend 01'!C51),('V06 Calend 01'!F51+'V06 Calend 01'!G51),0)+IF(AND(('V06 Calend 01'!E51&gt;0),(16&gt;'V06 Calend 01'!C51),(16&lt;'V06 Calend 01'!D51),(MOD((16-'V06 Calend 01'!C51),6)=0),(((16-'V06 Calend 01'!C51)/6)&lt;='V06 Calend 01'!E51)),IF((16=('V06 Calend 01'!C51+(6*'V06 Calend 01'!E51))),('V06 Calend 01'!H51-('V06 Calend 01'!I51*('V06 Calend 01'!E51-1))),'V06 Calend 01'!I51),0))+IF((16='V06 Calend 01'!D51),'V06 Calend 01'!J51,0))</f>
        <v>42246.07</v>
      </c>
      <c r="AC51" s="2">
        <f>((IF((17='V06 Calend 01'!C51),('V06 Calend 01'!F51+'V06 Calend 01'!G51),0)+IF(AND(('V06 Calend 01'!E51&gt;0),(17&gt;'V06 Calend 01'!C51),(17&lt;'V06 Calend 01'!D51),(MOD((17-'V06 Calend 01'!C51),6)=0),(((17-'V06 Calend 01'!C51)/6)&lt;='V06 Calend 01'!E51)),IF((17=('V06 Calend 01'!C51+(6*'V06 Calend 01'!E51))),('V06 Calend 01'!H51-('V06 Calend 01'!I51*('V06 Calend 01'!E51-1))),'V06 Calend 01'!I51),0))+IF((17='V06 Calend 01'!D51),'V06 Calend 01'!J51,0))</f>
        <v>0</v>
      </c>
      <c r="AD51" s="2">
        <f>((IF((18='V06 Calend 01'!C51),('V06 Calend 01'!F51+'V06 Calend 01'!G51),0)+IF(AND(('V06 Calend 01'!E51&gt;0),(18&gt;'V06 Calend 01'!C51),(18&lt;'V06 Calend 01'!D51),(MOD((18-'V06 Calend 01'!C51),6)=0),(((18-'V06 Calend 01'!C51)/6)&lt;='V06 Calend 01'!E51)),IF((18=('V06 Calend 01'!C51+(6*'V06 Calend 01'!E51))),('V06 Calend 01'!H51-('V06 Calend 01'!I51*('V06 Calend 01'!E51-1))),'V06 Calend 01'!I51),0))+IF((18='V06 Calend 01'!D51),'V06 Calend 01'!J51,0))</f>
        <v>0</v>
      </c>
      <c r="AE51" s="2">
        <f>((IF((19='V06 Calend 01'!C51),('V06 Calend 01'!F51+'V06 Calend 01'!G51),0)+IF(AND(('V06 Calend 01'!E51&gt;0),(19&gt;'V06 Calend 01'!C51),(19&lt;'V06 Calend 01'!D51),(MOD((19-'V06 Calend 01'!C51),6)=0),(((19-'V06 Calend 01'!C51)/6)&lt;='V06 Calend 01'!E51)),IF((19=('V06 Calend 01'!C51+(6*'V06 Calend 01'!E51))),('V06 Calend 01'!H51-('V06 Calend 01'!I51*('V06 Calend 01'!E51-1))),'V06 Calend 01'!I51),0))+IF((19='V06 Calend 01'!D51),'V06 Calend 01'!J51,0))</f>
        <v>0</v>
      </c>
      <c r="AF51" s="2">
        <f>((IF((20='V06 Calend 01'!C51),('V06 Calend 01'!F51+'V06 Calend 01'!G51),0)+IF(AND(('V06 Calend 01'!E51&gt;0),(20&gt;'V06 Calend 01'!C51),(20&lt;'V06 Calend 01'!D51),(MOD((20-'V06 Calend 01'!C51),6)=0),(((20-'V06 Calend 01'!C51)/6)&lt;='V06 Calend 01'!E51)),IF((20=('V06 Calend 01'!C51+(6*'V06 Calend 01'!E51))),('V06 Calend 01'!H51-('V06 Calend 01'!I51*('V06 Calend 01'!E51-1))),'V06 Calend 01'!I51),0))+IF((20='V06 Calend 01'!D51),'V06 Calend 01'!J51,0))</f>
        <v>0</v>
      </c>
      <c r="AG51" s="2">
        <f>((IF((21='V06 Calend 01'!C51),('V06 Calend 01'!F51+'V06 Calend 01'!G51),0)+IF(AND(('V06 Calend 01'!E51&gt;0),(21&gt;'V06 Calend 01'!C51),(21&lt;'V06 Calend 01'!D51),(MOD((21-'V06 Calend 01'!C51),6)=0),(((21-'V06 Calend 01'!C51)/6)&lt;='V06 Calend 01'!E51)),IF((21=('V06 Calend 01'!C51+(6*'V06 Calend 01'!E51))),('V06 Calend 01'!H51-('V06 Calend 01'!I51*('V06 Calend 01'!E51-1))),'V06 Calend 01'!I51),0))+IF((21='V06 Calend 01'!D51),'V06 Calend 01'!J51,0))</f>
        <v>0</v>
      </c>
      <c r="AH51" s="2">
        <f>((IF((22='V06 Calend 01'!C51),('V06 Calend 01'!F51+'V06 Calend 01'!G51),0)+IF(AND(('V06 Calend 01'!E51&gt;0),(22&gt;'V06 Calend 01'!C51),(22&lt;'V06 Calend 01'!D51),(MOD((22-'V06 Calend 01'!C51),6)=0),(((22-'V06 Calend 01'!C51)/6)&lt;='V06 Calend 01'!E51)),IF((22=('V06 Calend 01'!C51+(6*'V06 Calend 01'!E51))),('V06 Calend 01'!H51-('V06 Calend 01'!I51*('V06 Calend 01'!E51-1))),'V06 Calend 01'!I51),0))+IF((22='V06 Calend 01'!D51),'V06 Calend 01'!J51,0))</f>
        <v>42246.07</v>
      </c>
      <c r="AI51" s="2">
        <f>((IF((23='V06 Calend 01'!C51),('V06 Calend 01'!F51+'V06 Calend 01'!G51),0)+IF(AND(('V06 Calend 01'!E51&gt;0),(23&gt;'V06 Calend 01'!C51),(23&lt;'V06 Calend 01'!D51),(MOD((23-'V06 Calend 01'!C51),6)=0),(((23-'V06 Calend 01'!C51)/6)&lt;='V06 Calend 01'!E51)),IF((23=('V06 Calend 01'!C51+(6*'V06 Calend 01'!E51))),('V06 Calend 01'!H51-('V06 Calend 01'!I51*('V06 Calend 01'!E51-1))),'V06 Calend 01'!I51),0))+IF((23='V06 Calend 01'!D51),'V06 Calend 01'!J51,0))</f>
        <v>0</v>
      </c>
      <c r="AJ51" s="2">
        <f>((IF((24='V06 Calend 01'!C51),('V06 Calend 01'!F51+'V06 Calend 01'!G51),0)+IF(AND(('V06 Calend 01'!E51&gt;0),(24&gt;'V06 Calend 01'!C51),(24&lt;'V06 Calend 01'!D51),(MOD((24-'V06 Calend 01'!C51),6)=0),(((24-'V06 Calend 01'!C51)/6)&lt;='V06 Calend 01'!E51)),IF((24=('V06 Calend 01'!C51+(6*'V06 Calend 01'!E51))),('V06 Calend 01'!H51-('V06 Calend 01'!I51*('V06 Calend 01'!E51-1))),'V06 Calend 01'!I51),0))+IF((24='V06 Calend 01'!D51),'V06 Calend 01'!J51,0))</f>
        <v>0</v>
      </c>
      <c r="AK51" s="2">
        <f>((IF((25='V06 Calend 01'!C51),('V06 Calend 01'!F51+'V06 Calend 01'!G51),0)+IF(AND(('V06 Calend 01'!E51&gt;0),(25&gt;'V06 Calend 01'!C51),(25&lt;'V06 Calend 01'!D51),(MOD((25-'V06 Calend 01'!C51),6)=0),(((25-'V06 Calend 01'!C51)/6)&lt;='V06 Calend 01'!E51)),IF((25=('V06 Calend 01'!C51+(6*'V06 Calend 01'!E51))),('V06 Calend 01'!H51-('V06 Calend 01'!I51*('V06 Calend 01'!E51-1))),'V06 Calend 01'!I51),0))+IF((25='V06 Calend 01'!D51),'V06 Calend 01'!J51,0))</f>
        <v>0</v>
      </c>
      <c r="AL51" s="2">
        <f>((IF((26='V06 Calend 01'!C51),('V06 Calend 01'!F51+'V06 Calend 01'!G51),0)+IF(AND(('V06 Calend 01'!E51&gt;0),(26&gt;'V06 Calend 01'!C51),(26&lt;'V06 Calend 01'!D51),(MOD((26-'V06 Calend 01'!C51),6)=0),(((26-'V06 Calend 01'!C51)/6)&lt;='V06 Calend 01'!E51)),IF((26=('V06 Calend 01'!C51+(6*'V06 Calend 01'!E51))),('V06 Calend 01'!H51-('V06 Calend 01'!I51*('V06 Calend 01'!E51-1))),'V06 Calend 01'!I51),0))+IF((26='V06 Calend 01'!D51),'V06 Calend 01'!J51,0))</f>
        <v>0</v>
      </c>
      <c r="AM51" s="2">
        <f>((IF((27='V06 Calend 01'!C51),('V06 Calend 01'!F51+'V06 Calend 01'!G51),0)+IF(AND(('V06 Calend 01'!E51&gt;0),(27&gt;'V06 Calend 01'!C51),(27&lt;'V06 Calend 01'!D51),(MOD((27-'V06 Calend 01'!C51),6)=0),(((27-'V06 Calend 01'!C51)/6)&lt;='V06 Calend 01'!E51)),IF((27=('V06 Calend 01'!C51+(6*'V06 Calend 01'!E51))),('V06 Calend 01'!H51-('V06 Calend 01'!I51*('V06 Calend 01'!E51-1))),'V06 Calend 01'!I51),0))+IF((27='V06 Calend 01'!D51),'V06 Calend 01'!J51,0))</f>
        <v>0</v>
      </c>
      <c r="AN51" s="2">
        <f>((IF((28='V06 Calend 01'!C51),('V06 Calend 01'!F51+'V06 Calend 01'!G51),0)+IF(AND(('V06 Calend 01'!E51&gt;0),(28&gt;'V06 Calend 01'!C51),(28&lt;'V06 Calend 01'!D51),(MOD((28-'V06 Calend 01'!C51),6)=0),(((28-'V06 Calend 01'!C51)/6)&lt;='V06 Calend 01'!E51)),IF((28=('V06 Calend 01'!C51+(6*'V06 Calend 01'!E51))),('V06 Calend 01'!H51-('V06 Calend 01'!I51*('V06 Calend 01'!E51-1))),'V06 Calend 01'!I51),0))+IF((28='V06 Calend 01'!D51),'V06 Calend 01'!J51,0))</f>
        <v>42246.080000000016</v>
      </c>
      <c r="AO51" s="2">
        <f>((IF((29='V06 Calend 01'!C51),('V06 Calend 01'!F51+'V06 Calend 01'!G51),0)+IF(AND(('V06 Calend 01'!E51&gt;0),(29&gt;'V06 Calend 01'!C51),(29&lt;'V06 Calend 01'!D51),(MOD((29-'V06 Calend 01'!C51),6)=0),(((29-'V06 Calend 01'!C51)/6)&lt;='V06 Calend 01'!E51)),IF((29=('V06 Calend 01'!C51+(6*'V06 Calend 01'!E51))),('V06 Calend 01'!H51-('V06 Calend 01'!I51*('V06 Calend 01'!E51-1))),'V06 Calend 01'!I51),0))+IF((29='V06 Calend 01'!D51),'V06 Calend 01'!J51,0))</f>
        <v>61448.83999999994</v>
      </c>
      <c r="AP51" s="2">
        <f>((IF((30='V06 Calend 01'!C51),('V06 Calend 01'!F51+'V06 Calend 01'!G51),0)+IF(AND(('V06 Calend 01'!E51&gt;0),(30&gt;'V06 Calend 01'!C51),(30&lt;'V06 Calend 01'!D51),(MOD((30-'V06 Calend 01'!C51),6)=0),(((30-'V06 Calend 01'!C51)/6)&lt;='V06 Calend 01'!E51)),IF((30=('V06 Calend 01'!C51+(6*'V06 Calend 01'!E51))),('V06 Calend 01'!H51-('V06 Calend 01'!I51*('V06 Calend 01'!E51-1))),'V06 Calend 01'!I51),0))+IF((30='V06 Calend 01'!D51),'V06 Calend 01'!J51,0))</f>
        <v>0</v>
      </c>
      <c r="AQ51" s="2">
        <f>((IF((31='V06 Calend 01'!C51),('V06 Calend 01'!F51+'V06 Calend 01'!G51),0)+IF(AND(('V06 Calend 01'!E51&gt;0),(31&gt;'V06 Calend 01'!C51),(31&lt;'V06 Calend 01'!D51),(MOD((31-'V06 Calend 01'!C51),6)=0),(((31-'V06 Calend 01'!C51)/6)&lt;='V06 Calend 01'!E51)),IF((31=('V06 Calend 01'!C51+(6*'V06 Calend 01'!E51))),('V06 Calend 01'!H51-('V06 Calend 01'!I51*('V06 Calend 01'!E51-1))),'V06 Calend 01'!I51),0))+IF((31='V06 Calend 01'!D51),'V06 Calend 01'!J51,0))</f>
        <v>0</v>
      </c>
      <c r="AR51" s="2">
        <f>((IF((32='V06 Calend 01'!C51),('V06 Calend 01'!F51+'V06 Calend 01'!G51),0)+IF(AND(('V06 Calend 01'!E51&gt;0),(32&gt;'V06 Calend 01'!C51),(32&lt;'V06 Calend 01'!D51),(MOD((32-'V06 Calend 01'!C51),6)=0),(((32-'V06 Calend 01'!C51)/6)&lt;='V06 Calend 01'!E51)),IF((32=('V06 Calend 01'!C51+(6*'V06 Calend 01'!E51))),('V06 Calend 01'!H51-('V06 Calend 01'!I51*('V06 Calend 01'!E51-1))),'V06 Calend 01'!I51),0))+IF((32='V06 Calend 01'!D51),'V06 Calend 01'!J51,0))</f>
        <v>0</v>
      </c>
      <c r="AS51" s="2">
        <f>((IF((33='V06 Calend 01'!C51),('V06 Calend 01'!F51+'V06 Calend 01'!G51),0)+IF(AND(('V06 Calend 01'!E51&gt;0),(33&gt;'V06 Calend 01'!C51),(33&lt;'V06 Calend 01'!D51),(MOD((33-'V06 Calend 01'!C51),6)=0),(((33-'V06 Calend 01'!C51)/6)&lt;='V06 Calend 01'!E51)),IF((33=('V06 Calend 01'!C51+(6*'V06 Calend 01'!E51))),('V06 Calend 01'!H51-('V06 Calend 01'!I51*('V06 Calend 01'!E51-1))),'V06 Calend 01'!I51),0))+IF((33='V06 Calend 01'!D51),'V06 Calend 01'!J51,0))</f>
        <v>0</v>
      </c>
      <c r="AT51" s="2">
        <f>((IF((34='V06 Calend 01'!C51),('V06 Calend 01'!F51+'V06 Calend 01'!G51),0)+IF(AND(('V06 Calend 01'!E51&gt;0),(34&gt;'V06 Calend 01'!C51),(34&lt;'V06 Calend 01'!D51),(MOD((34-'V06 Calend 01'!C51),6)=0),(((34-'V06 Calend 01'!C51)/6)&lt;='V06 Calend 01'!E51)),IF((34=('V06 Calend 01'!C51+(6*'V06 Calend 01'!E51))),('V06 Calend 01'!H51-('V06 Calend 01'!I51*('V06 Calend 01'!E51-1))),'V06 Calend 01'!I51),0))+IF((34='V06 Calend 01'!D51),'V06 Calend 01'!J51,0))</f>
        <v>0</v>
      </c>
      <c r="AU51" s="2">
        <f>((IF((35='V06 Calend 01'!C51),('V06 Calend 01'!F51+'V06 Calend 01'!G51),0)+IF(AND(('V06 Calend 01'!E51&gt;0),(35&gt;'V06 Calend 01'!C51),(35&lt;'V06 Calend 01'!D51),(MOD((35-'V06 Calend 01'!C51),6)=0),(((35-'V06 Calend 01'!C51)/6)&lt;='V06 Calend 01'!E51)),IF((35=('V06 Calend 01'!C51+(6*'V06 Calend 01'!E51))),('V06 Calend 01'!H51-('V06 Calend 01'!I51*('V06 Calend 01'!E51-1))),'V06 Calend 01'!I51),0))+IF((35='V06 Calend 01'!D51),'V06 Calend 01'!J51,0))</f>
        <v>0</v>
      </c>
      <c r="AV51" s="2">
        <f>((IF((36='V06 Calend 01'!C51),('V06 Calend 01'!F51+'V06 Calend 01'!G51),0)+IF(AND(('V06 Calend 01'!E51&gt;0),(36&gt;'V06 Calend 01'!C51),(36&lt;'V06 Calend 01'!D51),(MOD((36-'V06 Calend 01'!C51),6)=0),(((36-'V06 Calend 01'!C51)/6)&lt;='V06 Calend 01'!E51)),IF((36=('V06 Calend 01'!C51+(6*'V06 Calend 01'!E51))),('V06 Calend 01'!H51-('V06 Calend 01'!I51*('V06 Calend 01'!E51-1))),'V06 Calend 01'!I51),0))+IF((36='V06 Calend 01'!D51),'V06 Calend 01'!J51,0))</f>
        <v>0</v>
      </c>
      <c r="AW51" s="2">
        <f>((IF((37='V06 Calend 01'!C51),('V06 Calend 01'!F51+'V06 Calend 01'!G51),0)+IF(AND(('V06 Calend 01'!E51&gt;0),(37&gt;'V06 Calend 01'!C51),(37&lt;'V06 Calend 01'!D51),(MOD((37-'V06 Calend 01'!C51),6)=0),(((37-'V06 Calend 01'!C51)/6)&lt;='V06 Calend 01'!E51)),IF((37=('V06 Calend 01'!C51+(6*'V06 Calend 01'!E51))),('V06 Calend 01'!H51-('V06 Calend 01'!I51*('V06 Calend 01'!E51-1))),'V06 Calend 01'!I51),0))+IF((37='V06 Calend 01'!D51),'V06 Calend 01'!J51,0))</f>
        <v>0</v>
      </c>
      <c r="AX51" s="2">
        <f>((IF((38='V06 Calend 01'!C51),('V06 Calend 01'!F51+'V06 Calend 01'!G51),0)+IF(AND(('V06 Calend 01'!E51&gt;0),(38&gt;'V06 Calend 01'!C51),(38&lt;'V06 Calend 01'!D51),(MOD((38-'V06 Calend 01'!C51),6)=0),(((38-'V06 Calend 01'!C51)/6)&lt;='V06 Calend 01'!E51)),IF((38=('V06 Calend 01'!C51+(6*'V06 Calend 01'!E51))),('V06 Calend 01'!H51-('V06 Calend 01'!I51*('V06 Calend 01'!E51-1))),'V06 Calend 01'!I51),0))+IF((38='V06 Calend 01'!D51),'V06 Calend 01'!J51,0))</f>
        <v>0</v>
      </c>
      <c r="AY51" s="2">
        <f>((IF((39='V06 Calend 01'!C51),('V06 Calend 01'!F51+'V06 Calend 01'!G51),0)+IF(AND(('V06 Calend 01'!E51&gt;0),(39&gt;'V06 Calend 01'!C51),(39&lt;'V06 Calend 01'!D51),(MOD((39-'V06 Calend 01'!C51),6)=0),(((39-'V06 Calend 01'!C51)/6)&lt;='V06 Calend 01'!E51)),IF((39=('V06 Calend 01'!C51+(6*'V06 Calend 01'!E51))),('V06 Calend 01'!H51-('V06 Calend 01'!I51*('V06 Calend 01'!E51-1))),'V06 Calend 01'!I51),0))+IF((39='V06 Calend 01'!D51),'V06 Calend 01'!J51,0))</f>
        <v>0</v>
      </c>
      <c r="AZ51" s="2">
        <f>((IF((40='V06 Calend 01'!C51),('V06 Calend 01'!F51+'V06 Calend 01'!G51),0)+IF(AND(('V06 Calend 01'!E51&gt;0),(40&gt;'V06 Calend 01'!C51),(40&lt;'V06 Calend 01'!D51),(MOD((40-'V06 Calend 01'!C51),6)=0),(((40-'V06 Calend 01'!C51)/6)&lt;='V06 Calend 01'!E51)),IF((40=('V06 Calend 01'!C51+(6*'V06 Calend 01'!E51))),('V06 Calend 01'!H51-('V06 Calend 01'!I51*('V06 Calend 01'!E51-1))),'V06 Calend 01'!I51),0))+IF((40='V06 Calend 01'!D51),'V06 Calend 01'!J51,0))</f>
        <v>0</v>
      </c>
      <c r="BA51" s="2">
        <f>((IF((41='V06 Calend 01'!C51),('V06 Calend 01'!F51+'V06 Calend 01'!G51),0)+IF(AND(('V06 Calend 01'!E51&gt;0),(41&gt;'V06 Calend 01'!C51),(41&lt;'V06 Calend 01'!D51),(MOD((41-'V06 Calend 01'!C51),6)=0),(((41-'V06 Calend 01'!C51)/6)&lt;='V06 Calend 01'!E51)),IF((41=('V06 Calend 01'!C51+(6*'V06 Calend 01'!E51))),('V06 Calend 01'!H51-('V06 Calend 01'!I51*('V06 Calend 01'!E51-1))),'V06 Calend 01'!I51),0))+IF((41='V06 Calend 01'!D51),'V06 Calend 01'!J51,0))</f>
        <v>0</v>
      </c>
      <c r="BB51" s="2">
        <f>((IF((42='V06 Calend 01'!C51),('V06 Calend 01'!F51+'V06 Calend 01'!G51),0)+IF(AND(('V06 Calend 01'!E51&gt;0),(42&gt;'V06 Calend 01'!C51),(42&lt;'V06 Calend 01'!D51),(MOD((42-'V06 Calend 01'!C51),6)=0),(((42-'V06 Calend 01'!C51)/6)&lt;='V06 Calend 01'!E51)),IF((42=('V06 Calend 01'!C51+(6*'V06 Calend 01'!E51))),('V06 Calend 01'!H51-('V06 Calend 01'!I51*('V06 Calend 01'!E51-1))),'V06 Calend 01'!I51),0))+IF((42='V06 Calend 01'!D51),'V06 Calend 01'!J51,0))</f>
        <v>0</v>
      </c>
      <c r="BC51" s="2">
        <f>((IF((43='V06 Calend 01'!C51),('V06 Calend 01'!F51+'V06 Calend 01'!G51),0)+IF(AND(('V06 Calend 01'!E51&gt;0),(43&gt;'V06 Calend 01'!C51),(43&lt;'V06 Calend 01'!D51),(MOD((43-'V06 Calend 01'!C51),6)=0),(((43-'V06 Calend 01'!C51)/6)&lt;='V06 Calend 01'!E51)),IF((43=('V06 Calend 01'!C51+(6*'V06 Calend 01'!E51))),('V06 Calend 01'!H51-('V06 Calend 01'!I51*('V06 Calend 01'!E51-1))),'V06 Calend 01'!I51),0))+IF((43='V06 Calend 01'!D51),'V06 Calend 01'!J51,0))</f>
        <v>0</v>
      </c>
      <c r="BD51" s="2">
        <f>((IF((44='V06 Calend 01'!C51),('V06 Calend 01'!F51+'V06 Calend 01'!G51),0)+IF(AND(('V06 Calend 01'!E51&gt;0),(44&gt;'V06 Calend 01'!C51),(44&lt;'V06 Calend 01'!D51),(MOD((44-'V06 Calend 01'!C51),6)=0),(((44-'V06 Calend 01'!C51)/6)&lt;='V06 Calend 01'!E51)),IF((44=('V06 Calend 01'!C51+(6*'V06 Calend 01'!E51))),('V06 Calend 01'!H51-('V06 Calend 01'!I51*('V06 Calend 01'!E51-1))),'V06 Calend 01'!I51),0))+IF((44='V06 Calend 01'!D51),'V06 Calend 01'!J51,0))</f>
        <v>0</v>
      </c>
      <c r="BE51" s="2">
        <f>((IF((45='V06 Calend 01'!C51),('V06 Calend 01'!F51+'V06 Calend 01'!G51),0)+IF(AND(('V06 Calend 01'!E51&gt;0),(45&gt;'V06 Calend 01'!C51),(45&lt;'V06 Calend 01'!D51),(MOD((45-'V06 Calend 01'!C51),6)=0),(((45-'V06 Calend 01'!C51)/6)&lt;='V06 Calend 01'!E51)),IF((45=('V06 Calend 01'!C51+(6*'V06 Calend 01'!E51))),('V06 Calend 01'!H51-('V06 Calend 01'!I51*('V06 Calend 01'!E51-1))),'V06 Calend 01'!I51),0))+IF((45='V06 Calend 01'!D51),'V06 Calend 01'!J51,0))</f>
        <v>0</v>
      </c>
      <c r="BF51" s="2">
        <f>((IF((46='V06 Calend 01'!C51),('V06 Calend 01'!F51+'V06 Calend 01'!G51),0)+IF(AND(('V06 Calend 01'!E51&gt;0),(46&gt;'V06 Calend 01'!C51),(46&lt;'V06 Calend 01'!D51),(MOD((46-'V06 Calend 01'!C51),6)=0),(((46-'V06 Calend 01'!C51)/6)&lt;='V06 Calend 01'!E51)),IF((46=('V06 Calend 01'!C51+(6*'V06 Calend 01'!E51))),('V06 Calend 01'!H51-('V06 Calend 01'!I51*('V06 Calend 01'!E51-1))),'V06 Calend 01'!I51),0))+IF((46='V06 Calend 01'!D51),'V06 Calend 01'!J51,0))</f>
        <v>0</v>
      </c>
      <c r="BG51" s="2">
        <f>((IF((47='V06 Calend 01'!C51),('V06 Calend 01'!F51+'V06 Calend 01'!G51),0)+IF(AND(('V06 Calend 01'!E51&gt;0),(47&gt;'V06 Calend 01'!C51),(47&lt;'V06 Calend 01'!D51),(MOD((47-'V06 Calend 01'!C51),6)=0),(((47-'V06 Calend 01'!C51)/6)&lt;='V06 Calend 01'!E51)),IF((47=('V06 Calend 01'!C51+(6*'V06 Calend 01'!E51))),('V06 Calend 01'!H51-('V06 Calend 01'!I51*('V06 Calend 01'!E51-1))),'V06 Calend 01'!I51),0))+IF((47='V06 Calend 01'!D51),'V06 Calend 01'!J51,0))</f>
        <v>0</v>
      </c>
      <c r="BH51" s="2">
        <f>((IF((48='V06 Calend 01'!C51),('V06 Calend 01'!F51+'V06 Calend 01'!G51),0)+IF(AND(('V06 Calend 01'!E51&gt;0),(48&gt;'V06 Calend 01'!C51),(48&lt;'V06 Calend 01'!D51),(MOD((48-'V06 Calend 01'!C51),6)=0),(((48-'V06 Calend 01'!C51)/6)&lt;='V06 Calend 01'!E51)),IF((48=('V06 Calend 01'!C51+(6*'V06 Calend 01'!E51))),('V06 Calend 01'!H51-('V06 Calend 01'!I51*('V06 Calend 01'!E51-1))),'V06 Calend 01'!I51),0))+IF((48='V06 Calend 01'!D51),'V06 Calend 01'!J51,0))</f>
        <v>0</v>
      </c>
      <c r="BI51" s="2">
        <f>((IF((49='V06 Calend 01'!C51),('V06 Calend 01'!F51+'V06 Calend 01'!G51),0)+IF(AND(('V06 Calend 01'!E51&gt;0),(49&gt;'V06 Calend 01'!C51),(49&lt;'V06 Calend 01'!D51),(MOD((49-'V06 Calend 01'!C51),6)=0),(((49-'V06 Calend 01'!C51)/6)&lt;='V06 Calend 01'!E51)),IF((49=('V06 Calend 01'!C51+(6*'V06 Calend 01'!E51))),('V06 Calend 01'!H51-('V06 Calend 01'!I51*('V06 Calend 01'!E51-1))),'V06 Calend 01'!I51),0))+IF((49='V06 Calend 01'!D51),'V06 Calend 01'!J51,0))</f>
        <v>0</v>
      </c>
      <c r="BJ51" s="2">
        <f>((IF((50='V06 Calend 01'!C51),('V06 Calend 01'!F51+'V06 Calend 01'!G51),0)+IF(AND(('V06 Calend 01'!E51&gt;0),(50&gt;'V06 Calend 01'!C51),(50&lt;'V06 Calend 01'!D51),(MOD((50-'V06 Calend 01'!C51),6)=0),(((50-'V06 Calend 01'!C51)/6)&lt;='V06 Calend 01'!E51)),IF((50=('V06 Calend 01'!C51+(6*'V06 Calend 01'!E51))),('V06 Calend 01'!H51-('V06 Calend 01'!I51*('V06 Calend 01'!E51-1))),'V06 Calend 01'!I51),0))+IF((50='V06 Calend 01'!D51),'V06 Calend 01'!J51,0))</f>
        <v>0</v>
      </c>
      <c r="BK51" s="2">
        <f>((IF((51='V06 Calend 01'!C51),('V06 Calend 01'!F51+'V06 Calend 01'!G51),0)+IF(AND(('V06 Calend 01'!E51&gt;0),(51&gt;'V06 Calend 01'!C51),(51&lt;'V06 Calend 01'!D51),(MOD((51-'V06 Calend 01'!C51),6)=0),(((51-'V06 Calend 01'!C51)/6)&lt;='V06 Calend 01'!E51)),IF((51=('V06 Calend 01'!C51+(6*'V06 Calend 01'!E51))),('V06 Calend 01'!H51-('V06 Calend 01'!I51*('V06 Calend 01'!E51-1))),'V06 Calend 01'!I51),0))+IF((51='V06 Calend 01'!D51),'V06 Calend 01'!J51,0))</f>
        <v>0</v>
      </c>
      <c r="BL51" s="2">
        <f>((IF((52='V06 Calend 01'!C51),('V06 Calend 01'!F51+'V06 Calend 01'!G51),0)+IF(AND(('V06 Calend 01'!E51&gt;0),(52&gt;'V06 Calend 01'!C51),(52&lt;'V06 Calend 01'!D51),(MOD((52-'V06 Calend 01'!C51),6)=0),(((52-'V06 Calend 01'!C51)/6)&lt;='V06 Calend 01'!E51)),IF((52=('V06 Calend 01'!C51+(6*'V06 Calend 01'!E51))),('V06 Calend 01'!H51-('V06 Calend 01'!I51*('V06 Calend 01'!E51-1))),'V06 Calend 01'!I51),0))+IF((52='V06 Calend 01'!D51),'V06 Calend 01'!J51,0))</f>
        <v>0</v>
      </c>
      <c r="BM51" s="2">
        <f>((IF((53='V06 Calend 01'!C51),('V06 Calend 01'!F51+'V06 Calend 01'!G51),0)+IF(AND(('V06 Calend 01'!E51&gt;0),(53&gt;'V06 Calend 01'!C51),(53&lt;'V06 Calend 01'!D51),(MOD((53-'V06 Calend 01'!C51),6)=0),(((53-'V06 Calend 01'!C51)/6)&lt;='V06 Calend 01'!E51)),IF((53=('V06 Calend 01'!C51+(6*'V06 Calend 01'!E51))),('V06 Calend 01'!H51-('V06 Calend 01'!I51*('V06 Calend 01'!E51-1))),'V06 Calend 01'!I51),0))+IF((53='V06 Calend 01'!D51),'V06 Calend 01'!J51,0))</f>
        <v>0</v>
      </c>
      <c r="BN51" s="2">
        <f>((IF((54='V06 Calend 01'!C51),('V06 Calend 01'!F51+'V06 Calend 01'!G51),0)+IF(AND(('V06 Calend 01'!E51&gt;0),(54&gt;'V06 Calend 01'!C51),(54&lt;'V06 Calend 01'!D51),(MOD((54-'V06 Calend 01'!C51),6)=0),(((54-'V06 Calend 01'!C51)/6)&lt;='V06 Calend 01'!E51)),IF((54=('V06 Calend 01'!C51+(6*'V06 Calend 01'!E51))),('V06 Calend 01'!H51-('V06 Calend 01'!I51*('V06 Calend 01'!E51-1))),'V06 Calend 01'!I51),0))+IF((54='V06 Calend 01'!D51),'V06 Calend 01'!J51,0))</f>
        <v>0</v>
      </c>
      <c r="BO51" s="2">
        <f>((IF((55='V06 Calend 01'!C51),('V06 Calend 01'!F51+'V06 Calend 01'!G51),0)+IF(AND(('V06 Calend 01'!E51&gt;0),(55&gt;'V06 Calend 01'!C51),(55&lt;'V06 Calend 01'!D51),(MOD((55-'V06 Calend 01'!C51),6)=0),(((55-'V06 Calend 01'!C51)/6)&lt;='V06 Calend 01'!E51)),IF((55=('V06 Calend 01'!C51+(6*'V06 Calend 01'!E51))),('V06 Calend 01'!H51-('V06 Calend 01'!I51*('V06 Calend 01'!E51-1))),'V06 Calend 01'!I51),0))+IF((55='V06 Calend 01'!D51),'V06 Calend 01'!J51,0))</f>
        <v>0</v>
      </c>
      <c r="BP51" s="2">
        <f>((IF((56='V06 Calend 01'!C51),('V06 Calend 01'!F51+'V06 Calend 01'!G51),0)+IF(AND(('V06 Calend 01'!E51&gt;0),(56&gt;'V06 Calend 01'!C51),(56&lt;'V06 Calend 01'!D51),(MOD((56-'V06 Calend 01'!C51),6)=0),(((56-'V06 Calend 01'!C51)/6)&lt;='V06 Calend 01'!E51)),IF((56=('V06 Calend 01'!C51+(6*'V06 Calend 01'!E51))),('V06 Calend 01'!H51-('V06 Calend 01'!I51*('V06 Calend 01'!E51-1))),'V06 Calend 01'!I51),0))+IF((56='V06 Calend 01'!D51),'V06 Calend 01'!J51,0))</f>
        <v>0</v>
      </c>
      <c r="BQ51" s="2">
        <f>((IF((57='V06 Calend 01'!C51),('V06 Calend 01'!F51+'V06 Calend 01'!G51),0)+IF(AND(('V06 Calend 01'!E51&gt;0),(57&gt;'V06 Calend 01'!C51),(57&lt;'V06 Calend 01'!D51),(MOD((57-'V06 Calend 01'!C51),6)=0),(((57-'V06 Calend 01'!C51)/6)&lt;='V06 Calend 01'!E51)),IF((57=('V06 Calend 01'!C51+(6*'V06 Calend 01'!E51))),('V06 Calend 01'!H51-('V06 Calend 01'!I51*('V06 Calend 01'!E51-1))),'V06 Calend 01'!I51),0))+IF((57='V06 Calend 01'!D51),'V06 Calend 01'!J51,0))</f>
        <v>0</v>
      </c>
      <c r="BR51" s="2">
        <f>((IF((58='V06 Calend 01'!C51),('V06 Calend 01'!F51+'V06 Calend 01'!G51),0)+IF(AND(('V06 Calend 01'!E51&gt;0),(58&gt;'V06 Calend 01'!C51),(58&lt;'V06 Calend 01'!D51),(MOD((58-'V06 Calend 01'!C51),6)=0),(((58-'V06 Calend 01'!C51)/6)&lt;='V06 Calend 01'!E51)),IF((58=('V06 Calend 01'!C51+(6*'V06 Calend 01'!E51))),('V06 Calend 01'!H51-('V06 Calend 01'!I51*('V06 Calend 01'!E51-1))),'V06 Calend 01'!I51),0))+IF((58='V06 Calend 01'!D51),'V06 Calend 01'!J51,0))</f>
        <v>0</v>
      </c>
      <c r="BS51" s="2">
        <f>((IF((59='V06 Calend 01'!C51),('V06 Calend 01'!F51+'V06 Calend 01'!G51),0)+IF(AND(('V06 Calend 01'!E51&gt;0),(59&gt;'V06 Calend 01'!C51),(59&lt;'V06 Calend 01'!D51),(MOD((59-'V06 Calend 01'!C51),6)=0),(((59-'V06 Calend 01'!C51)/6)&lt;='V06 Calend 01'!E51)),IF((59=('V06 Calend 01'!C51+(6*'V06 Calend 01'!E51))),('V06 Calend 01'!H51-('V06 Calend 01'!I51*('V06 Calend 01'!E51-1))),'V06 Calend 01'!I51),0))+IF((59='V06 Calend 01'!D51),'V06 Calend 01'!J51,0))</f>
        <v>0</v>
      </c>
      <c r="BT51" s="2">
        <f>((IF((60='V06 Calend 01'!C51),('V06 Calend 01'!F51+'V06 Calend 01'!G51),0)+IF(AND(('V06 Calend 01'!E51&gt;0),(60&gt;'V06 Calend 01'!C51),(60&lt;'V06 Calend 01'!D51),(MOD((60-'V06 Calend 01'!C51),6)=0),(((60-'V06 Calend 01'!C51)/6)&lt;='V06 Calend 01'!E51)),IF((60=('V06 Calend 01'!C51+(6*'V06 Calend 01'!E51))),('V06 Calend 01'!H51-('V06 Calend 01'!I51*('V06 Calend 01'!E51-1))),'V06 Calend 01'!I51),0))+IF((60='V06 Calend 01'!D51),'V06 Calend 01'!J51,0))</f>
        <v>0</v>
      </c>
      <c r="BU51" s="2">
        <f>((IF((61='V06 Calend 01'!C51),('V06 Calend 01'!F51+'V06 Calend 01'!G51),0)+IF(AND(('V06 Calend 01'!E51&gt;0),(61&gt;'V06 Calend 01'!C51),(61&lt;'V06 Calend 01'!D51),(MOD((61-'V06 Calend 01'!C51),6)=0),(((61-'V06 Calend 01'!C51)/6)&lt;='V06 Calend 01'!E51)),IF((61=('V06 Calend 01'!C51+(6*'V06 Calend 01'!E51))),('V06 Calend 01'!H51-('V06 Calend 01'!I51*('V06 Calend 01'!E51-1))),'V06 Calend 01'!I51),0))+IF((61='V06 Calend 01'!D51),'V06 Calend 01'!J51,0))</f>
        <v>0</v>
      </c>
      <c r="BV51" s="2">
        <f>((IF((62='V06 Calend 01'!C51),('V06 Calend 01'!F51+'V06 Calend 01'!G51),0)+IF(AND(('V06 Calend 01'!E51&gt;0),(62&gt;'V06 Calend 01'!C51),(62&lt;'V06 Calend 01'!D51),(MOD((62-'V06 Calend 01'!C51),6)=0),(((62-'V06 Calend 01'!C51)/6)&lt;='V06 Calend 01'!E51)),IF((62=('V06 Calend 01'!C51+(6*'V06 Calend 01'!E51))),('V06 Calend 01'!H51-('V06 Calend 01'!I51*('V06 Calend 01'!E51-1))),'V06 Calend 01'!I51),0))+IF((62='V06 Calend 01'!D51),'V06 Calend 01'!J51,0))</f>
        <v>0</v>
      </c>
      <c r="BW51" s="2">
        <f>((IF((63='V06 Calend 01'!C51),('V06 Calend 01'!F51+'V06 Calend 01'!G51),0)+IF(AND(('V06 Calend 01'!E51&gt;0),(63&gt;'V06 Calend 01'!C51),(63&lt;'V06 Calend 01'!D51),(MOD((63-'V06 Calend 01'!C51),6)=0),(((63-'V06 Calend 01'!C51)/6)&lt;='V06 Calend 01'!E51)),IF((63=('V06 Calend 01'!C51+(6*'V06 Calend 01'!E51))),('V06 Calend 01'!H51-('V06 Calend 01'!I51*('V06 Calend 01'!E51-1))),'V06 Calend 01'!I51),0))+IF((63='V06 Calend 01'!D51),'V06 Calend 01'!J51,0))</f>
        <v>0</v>
      </c>
      <c r="BX51" s="2">
        <f>((IF((64='V06 Calend 01'!C51),('V06 Calend 01'!F51+'V06 Calend 01'!G51),0)+IF(AND(('V06 Calend 01'!E51&gt;0),(64&gt;'V06 Calend 01'!C51),(64&lt;'V06 Calend 01'!D51),(MOD((64-'V06 Calend 01'!C51),6)=0),(((64-'V06 Calend 01'!C51)/6)&lt;='V06 Calend 01'!E51)),IF((64=('V06 Calend 01'!C51+(6*'V06 Calend 01'!E51))),('V06 Calend 01'!H51-('V06 Calend 01'!I51*('V06 Calend 01'!E51-1))),'V06 Calend 01'!I51),0))+IF((64='V06 Calend 01'!D51),'V06 Calend 01'!J51,0))</f>
        <v>0</v>
      </c>
      <c r="BY51" s="2">
        <f>((IF((65='V06 Calend 01'!C51),('V06 Calend 01'!F51+'V06 Calend 01'!G51),0)+IF(AND(('V06 Calend 01'!E51&gt;0),(65&gt;'V06 Calend 01'!C51),(65&lt;'V06 Calend 01'!D51),(MOD((65-'V06 Calend 01'!C51),6)=0),(((65-'V06 Calend 01'!C51)/6)&lt;='V06 Calend 01'!E51)),IF((65=('V06 Calend 01'!C51+(6*'V06 Calend 01'!E51))),('V06 Calend 01'!H51-('V06 Calend 01'!I51*('V06 Calend 01'!E51-1))),'V06 Calend 01'!I51),0))+IF((65='V06 Calend 01'!D51),'V06 Calend 01'!J51,0))</f>
        <v>0</v>
      </c>
      <c r="BZ51" s="2">
        <f>((IF((66='V06 Calend 01'!C51),('V06 Calend 01'!F51+'V06 Calend 01'!G51),0)+IF(AND(('V06 Calend 01'!E51&gt;0),(66&gt;'V06 Calend 01'!C51),(66&lt;'V06 Calend 01'!D51),(MOD((66-'V06 Calend 01'!C51),6)=0),(((66-'V06 Calend 01'!C51)/6)&lt;='V06 Calend 01'!E51)),IF((66=('V06 Calend 01'!C51+(6*'V06 Calend 01'!E51))),('V06 Calend 01'!H51-('V06 Calend 01'!I51*('V06 Calend 01'!E51-1))),'V06 Calend 01'!I51),0))+IF((66='V06 Calend 01'!D51),'V06 Calend 01'!J51,0))</f>
        <v>0</v>
      </c>
      <c r="CA51" s="2">
        <f>((IF((67='V06 Calend 01'!C51),('V06 Calend 01'!F51+'V06 Calend 01'!G51),0)+IF(AND(('V06 Calend 01'!E51&gt;0),(67&gt;'V06 Calend 01'!C51),(67&lt;'V06 Calend 01'!D51),(MOD((67-'V06 Calend 01'!C51),6)=0),(((67-'V06 Calend 01'!C51)/6)&lt;='V06 Calend 01'!E51)),IF((67=('V06 Calend 01'!C51+(6*'V06 Calend 01'!E51))),('V06 Calend 01'!H51-('V06 Calend 01'!I51*('V06 Calend 01'!E51-1))),'V06 Calend 01'!I51),0))+IF((67='V06 Calend 01'!D51),'V06 Calend 01'!J51,0))</f>
        <v>0</v>
      </c>
      <c r="CB51" s="2">
        <f>((IF((68='V06 Calend 01'!C51),('V06 Calend 01'!F51+'V06 Calend 01'!G51),0)+IF(AND(('V06 Calend 01'!E51&gt;0),(68&gt;'V06 Calend 01'!C51),(68&lt;'V06 Calend 01'!D51),(MOD((68-'V06 Calend 01'!C51),6)=0),(((68-'V06 Calend 01'!C51)/6)&lt;='V06 Calend 01'!E51)),IF((68=('V06 Calend 01'!C51+(6*'V06 Calend 01'!E51))),('V06 Calend 01'!H51-('V06 Calend 01'!I51*('V06 Calend 01'!E51-1))),'V06 Calend 01'!I51),0))+IF((68='V06 Calend 01'!D51),'V06 Calend 01'!J51,0))</f>
        <v>0</v>
      </c>
      <c r="CC51" s="2">
        <f>((IF((69='V06 Calend 01'!C51),('V06 Calend 01'!F51+'V06 Calend 01'!G51),0)+IF(AND(('V06 Calend 01'!E51&gt;0),(69&gt;'V06 Calend 01'!C51),(69&lt;'V06 Calend 01'!D51),(MOD((69-'V06 Calend 01'!C51),6)=0),(((69-'V06 Calend 01'!C51)/6)&lt;='V06 Calend 01'!E51)),IF((69=('V06 Calend 01'!C51+(6*'V06 Calend 01'!E51))),('V06 Calend 01'!H51-('V06 Calend 01'!I51*('V06 Calend 01'!E51-1))),'V06 Calend 01'!I51),0))+IF((69='V06 Calend 01'!D51),'V06 Calend 01'!J51,0))</f>
        <v>0</v>
      </c>
      <c r="CD51" s="2">
        <f>((IF((70='V06 Calend 01'!C51),('V06 Calend 01'!F51+'V06 Calend 01'!G51),0)+IF(AND(('V06 Calend 01'!E51&gt;0),(70&gt;'V06 Calend 01'!C51),(70&lt;'V06 Calend 01'!D51),(MOD((70-'V06 Calend 01'!C51),6)=0),(((70-'V06 Calend 01'!C51)/6)&lt;='V06 Calend 01'!E51)),IF((70=('V06 Calend 01'!C51+(6*'V06 Calend 01'!E51))),('V06 Calend 01'!H51-('V06 Calend 01'!I51*('V06 Calend 01'!E51-1))),'V06 Calend 01'!I51),0))+IF((70='V06 Calend 01'!D51),'V06 Calend 01'!J51,0))</f>
        <v>0</v>
      </c>
      <c r="CE51" s="2">
        <f>((IF((71='V06 Calend 01'!C51),('V06 Calend 01'!F51+'V06 Calend 01'!G51),0)+IF(AND(('V06 Calend 01'!E51&gt;0),(71&gt;'V06 Calend 01'!C51),(71&lt;'V06 Calend 01'!D51),(MOD((71-'V06 Calend 01'!C51),6)=0),(((71-'V06 Calend 01'!C51)/6)&lt;='V06 Calend 01'!E51)),IF((71=('V06 Calend 01'!C51+(6*'V06 Calend 01'!E51))),('V06 Calend 01'!H51-('V06 Calend 01'!I51*('V06 Calend 01'!E51-1))),'V06 Calend 01'!I51),0))+IF((71='V06 Calend 01'!D51),'V06 Calend 01'!J51,0))</f>
        <v>0</v>
      </c>
      <c r="CF51" s="2">
        <f>((IF((72='V06 Calend 01'!C51),('V06 Calend 01'!F51+'V06 Calend 01'!G51),0)+IF(AND(('V06 Calend 01'!E51&gt;0),(72&gt;'V06 Calend 01'!C51),(72&lt;'V06 Calend 01'!D51),(MOD((72-'V06 Calend 01'!C51),6)=0),(((72-'V06 Calend 01'!C51)/6)&lt;='V06 Calend 01'!E51)),IF((72=('V06 Calend 01'!C51+(6*'V06 Calend 01'!E51))),('V06 Calend 01'!H51-('V06 Calend 01'!I51*('V06 Calend 01'!E51-1))),'V06 Calend 01'!I51),0))+IF((72='V06 Calend 01'!D51),'V06 Calend 01'!J51,0))</f>
        <v>0</v>
      </c>
      <c r="CG51" s="2">
        <f>((IF((73='V06 Calend 01'!C51),('V06 Calend 01'!F51+'V06 Calend 01'!G51),0)+IF(AND(('V06 Calend 01'!E51&gt;0),(73&gt;'V06 Calend 01'!C51),(73&lt;'V06 Calend 01'!D51),(MOD((73-'V06 Calend 01'!C51),6)=0),(((73-'V06 Calend 01'!C51)/6)&lt;='V06 Calend 01'!E51)),IF((73=('V06 Calend 01'!C51+(6*'V06 Calend 01'!E51))),('V06 Calend 01'!H51-('V06 Calend 01'!I51*('V06 Calend 01'!E51-1))),'V06 Calend 01'!I51),0))+IF((73='V06 Calend 01'!D51),'V06 Calend 01'!J51,0))</f>
        <v>0</v>
      </c>
      <c r="CH51" s="2">
        <f>((IF((74='V06 Calend 01'!C51),('V06 Calend 01'!F51+'V06 Calend 01'!G51),0)+IF(AND(('V06 Calend 01'!E51&gt;0),(74&gt;'V06 Calend 01'!C51),(74&lt;'V06 Calend 01'!D51),(MOD((74-'V06 Calend 01'!C51),6)=0),(((74-'V06 Calend 01'!C51)/6)&lt;='V06 Calend 01'!E51)),IF((74=('V06 Calend 01'!C51+(6*'V06 Calend 01'!E51))),('V06 Calend 01'!H51-('V06 Calend 01'!I51*('V06 Calend 01'!E51-1))),'V06 Calend 01'!I51),0))+IF((74='V06 Calend 01'!D51),'V06 Calend 01'!J51,0))</f>
        <v>0</v>
      </c>
      <c r="CI51" s="2">
        <f>((IF((75='V06 Calend 01'!C51),('V06 Calend 01'!F51+'V06 Calend 01'!G51),0)+IF(AND(('V06 Calend 01'!E51&gt;0),(75&gt;'V06 Calend 01'!C51),(75&lt;'V06 Calend 01'!D51),(MOD((75-'V06 Calend 01'!C51),6)=0),(((75-'V06 Calend 01'!C51)/6)&lt;='V06 Calend 01'!E51)),IF((75=('V06 Calend 01'!C51+(6*'V06 Calend 01'!E51))),('V06 Calend 01'!H51-('V06 Calend 01'!I51*('V06 Calend 01'!E51-1))),'V06 Calend 01'!I51),0))+IF((75='V06 Calend 01'!D51),'V06 Calend 01'!J51,0))</f>
        <v>0</v>
      </c>
      <c r="CJ51" s="2">
        <f>((IF((76='V06 Calend 01'!C51),('V06 Calend 01'!F51+'V06 Calend 01'!G51),0)+IF(AND(('V06 Calend 01'!E51&gt;0),(76&gt;'V06 Calend 01'!C51),(76&lt;'V06 Calend 01'!D51),(MOD((76-'V06 Calend 01'!C51),6)=0),(((76-'V06 Calend 01'!C51)/6)&lt;='V06 Calend 01'!E51)),IF((76=('V06 Calend 01'!C51+(6*'V06 Calend 01'!E51))),('V06 Calend 01'!H51-('V06 Calend 01'!I51*('V06 Calend 01'!E51-1))),'V06 Calend 01'!I51),0))+IF((76='V06 Calend 01'!D51),'V06 Calend 01'!J51,0))</f>
        <v>0</v>
      </c>
      <c r="CK51" s="2">
        <f>((IF((77='V06 Calend 01'!C51),('V06 Calend 01'!F51+'V06 Calend 01'!G51),0)+IF(AND(('V06 Calend 01'!E51&gt;0),(77&gt;'V06 Calend 01'!C51),(77&lt;'V06 Calend 01'!D51),(MOD((77-'V06 Calend 01'!C51),6)=0),(((77-'V06 Calend 01'!C51)/6)&lt;='V06 Calend 01'!E51)),IF((77=('V06 Calend 01'!C51+(6*'V06 Calend 01'!E51))),('V06 Calend 01'!H51-('V06 Calend 01'!I51*('V06 Calend 01'!E51-1))),'V06 Calend 01'!I51),0))+IF((77='V06 Calend 01'!D51),'V06 Calend 01'!J51,0))</f>
        <v>0</v>
      </c>
      <c r="CL51" s="2">
        <f>((IF((78='V06 Calend 01'!C51),('V06 Calend 01'!F51+'V06 Calend 01'!G51),0)+IF(AND(('V06 Calend 01'!E51&gt;0),(78&gt;'V06 Calend 01'!C51),(78&lt;'V06 Calend 01'!D51),(MOD((78-'V06 Calend 01'!C51),6)=0),(((78-'V06 Calend 01'!C51)/6)&lt;='V06 Calend 01'!E51)),IF((78=('V06 Calend 01'!C51+(6*'V06 Calend 01'!E51))),('V06 Calend 01'!H51-('V06 Calend 01'!I51*('V06 Calend 01'!E51-1))),'V06 Calend 01'!I51),0))+IF((78='V06 Calend 01'!D51),'V06 Calend 01'!J51,0))</f>
        <v>0</v>
      </c>
      <c r="CM51" s="2">
        <f>((IF((79='V06 Calend 01'!C51),('V06 Calend 01'!F51+'V06 Calend 01'!G51),0)+IF(AND(('V06 Calend 01'!E51&gt;0),(79&gt;'V06 Calend 01'!C51),(79&lt;'V06 Calend 01'!D51),(MOD((79-'V06 Calend 01'!C51),6)=0),(((79-'V06 Calend 01'!C51)/6)&lt;='V06 Calend 01'!E51)),IF((79=('V06 Calend 01'!C51+(6*'V06 Calend 01'!E51))),('V06 Calend 01'!H51-('V06 Calend 01'!I51*('V06 Calend 01'!E51-1))),'V06 Calend 01'!I51),0))+IF((79='V06 Calend 01'!D51),'V06 Calend 01'!J51,0))</f>
        <v>0</v>
      </c>
      <c r="CN51" s="2">
        <f>((IF((80='V06 Calend 01'!C51),('V06 Calend 01'!F51+'V06 Calend 01'!G51),0)+IF(AND(('V06 Calend 01'!E51&gt;0),(80&gt;'V06 Calend 01'!C51),(80&lt;'V06 Calend 01'!D51),(MOD((80-'V06 Calend 01'!C51),6)=0),(((80-'V06 Calend 01'!C51)/6)&lt;='V06 Calend 01'!E51)),IF((80=('V06 Calend 01'!C51+(6*'V06 Calend 01'!E51))),('V06 Calend 01'!H51-('V06 Calend 01'!I51*('V06 Calend 01'!E51-1))),'V06 Calend 01'!I51),0))+IF((80='V06 Calend 01'!D51),'V06 Calend 01'!J51,0))</f>
        <v>0</v>
      </c>
      <c r="CO51" s="2">
        <f>((IF((81='V06 Calend 01'!C51),('V06 Calend 01'!F51+'V06 Calend 01'!G51),0)+IF(AND(('V06 Calend 01'!E51&gt;0),(81&gt;'V06 Calend 01'!C51),(81&lt;'V06 Calend 01'!D51),(MOD((81-'V06 Calend 01'!C51),6)=0),(((81-'V06 Calend 01'!C51)/6)&lt;='V06 Calend 01'!E51)),IF((81=('V06 Calend 01'!C51+(6*'V06 Calend 01'!E51))),('V06 Calend 01'!H51-('V06 Calend 01'!I51*('V06 Calend 01'!E51-1))),'V06 Calend 01'!I51),0))+IF((81='V06 Calend 01'!D51),'V06 Calend 01'!J51,0))</f>
        <v>0</v>
      </c>
      <c r="CP51" s="2">
        <f>((IF((82='V06 Calend 01'!C51),('V06 Calend 01'!F51+'V06 Calend 01'!G51),0)+IF(AND(('V06 Calend 01'!E51&gt;0),(82&gt;'V06 Calend 01'!C51),(82&lt;'V06 Calend 01'!D51),(MOD((82-'V06 Calend 01'!C51),6)=0),(((82-'V06 Calend 01'!C51)/6)&lt;='V06 Calend 01'!E51)),IF((82=('V06 Calend 01'!C51+(6*'V06 Calend 01'!E51))),('V06 Calend 01'!H51-('V06 Calend 01'!I51*('V06 Calend 01'!E51-1))),'V06 Calend 01'!I51),0))+IF((82='V06 Calend 01'!D51),'V06 Calend 01'!J51,0))</f>
        <v>0</v>
      </c>
      <c r="CQ51" s="2">
        <f>((IF((83='V06 Calend 01'!C51),('V06 Calend 01'!F51+'V06 Calend 01'!G51),0)+IF(AND(('V06 Calend 01'!E51&gt;0),(83&gt;'V06 Calend 01'!C51),(83&lt;'V06 Calend 01'!D51),(MOD((83-'V06 Calend 01'!C51),6)=0),(((83-'V06 Calend 01'!C51)/6)&lt;='V06 Calend 01'!E51)),IF((83=('V06 Calend 01'!C51+(6*'V06 Calend 01'!E51))),('V06 Calend 01'!H51-('V06 Calend 01'!I51*('V06 Calend 01'!E51-1))),'V06 Calend 01'!I51),0))+IF((83='V06 Calend 01'!D51),'V06 Calend 01'!J51,0))</f>
        <v>0</v>
      </c>
      <c r="CR51" s="2">
        <f>((IF((84='V06 Calend 01'!C51),('V06 Calend 01'!F51+'V06 Calend 01'!G51),0)+IF(AND(('V06 Calend 01'!E51&gt;0),(84&gt;'V06 Calend 01'!C51),(84&lt;'V06 Calend 01'!D51),(MOD((84-'V06 Calend 01'!C51),6)=0),(((84-'V06 Calend 01'!C51)/6)&lt;='V06 Calend 01'!E51)),IF((84=('V06 Calend 01'!C51+(6*'V06 Calend 01'!E51))),('V06 Calend 01'!H51-('V06 Calend 01'!I51*('V06 Calend 01'!E51-1))),'V06 Calend 01'!I51),0))+IF((84='V06 Calend 01'!D51),'V06 Calend 01'!J51,0))</f>
        <v>0</v>
      </c>
      <c r="CS51" s="2">
        <f>((IF((85='V06 Calend 01'!C51),('V06 Calend 01'!F51+'V06 Calend 01'!G51),0)+IF(AND(('V06 Calend 01'!E51&gt;0),(85&gt;'V06 Calend 01'!C51),(85&lt;'V06 Calend 01'!D51),(MOD((85-'V06 Calend 01'!C51),6)=0),(((85-'V06 Calend 01'!C51)/6)&lt;='V06 Calend 01'!E51)),IF((85=('V06 Calend 01'!C51+(6*'V06 Calend 01'!E51))),('V06 Calend 01'!H51-('V06 Calend 01'!I51*('V06 Calend 01'!E51-1))),'V06 Calend 01'!I51),0))+IF((85='V06 Calend 01'!D51),'V06 Calend 01'!J51,0))</f>
        <v>0</v>
      </c>
      <c r="CT51" s="2">
        <f>((IF((86='V06 Calend 01'!C51),('V06 Calend 01'!F51+'V06 Calend 01'!G51),0)+IF(AND(('V06 Calend 01'!E51&gt;0),(86&gt;'V06 Calend 01'!C51),(86&lt;'V06 Calend 01'!D51),(MOD((86-'V06 Calend 01'!C51),6)=0),(((86-'V06 Calend 01'!C51)/6)&lt;='V06 Calend 01'!E51)),IF((86=('V06 Calend 01'!C51+(6*'V06 Calend 01'!E51))),('V06 Calend 01'!H51-('V06 Calend 01'!I51*('V06 Calend 01'!E51-1))),'V06 Calend 01'!I51),0))+IF((86='V06 Calend 01'!D51),'V06 Calend 01'!J51,0))</f>
        <v>0</v>
      </c>
      <c r="CU51" s="2">
        <f>((IF((87='V06 Calend 01'!C51),('V06 Calend 01'!F51+'V06 Calend 01'!G51),0)+IF(AND(('V06 Calend 01'!E51&gt;0),(87&gt;'V06 Calend 01'!C51),(87&lt;'V06 Calend 01'!D51),(MOD((87-'V06 Calend 01'!C51),6)=0),(((87-'V06 Calend 01'!C51)/6)&lt;='V06 Calend 01'!E51)),IF((87=('V06 Calend 01'!C51+(6*'V06 Calend 01'!E51))),('V06 Calend 01'!H51-('V06 Calend 01'!I51*('V06 Calend 01'!E51-1))),'V06 Calend 01'!I51),0))+IF((87='V06 Calend 01'!D51),'V06 Calend 01'!J51,0))</f>
        <v>0</v>
      </c>
      <c r="CV51" s="2">
        <f>((IF((88='V06 Calend 01'!C51),('V06 Calend 01'!F51+'V06 Calend 01'!G51),0)+IF(AND(('V06 Calend 01'!E51&gt;0),(88&gt;'V06 Calend 01'!C51),(88&lt;'V06 Calend 01'!D51),(MOD((88-'V06 Calend 01'!C51),6)=0),(((88-'V06 Calend 01'!C51)/6)&lt;='V06 Calend 01'!E51)),IF((88=('V06 Calend 01'!C51+(6*'V06 Calend 01'!E51))),('V06 Calend 01'!H51-('V06 Calend 01'!I51*('V06 Calend 01'!E51-1))),'V06 Calend 01'!I51),0))+IF((88='V06 Calend 01'!D51),'V06 Calend 01'!J51,0))</f>
        <v>0</v>
      </c>
      <c r="CW51" s="2">
        <f>((IF((89='V06 Calend 01'!C51),('V06 Calend 01'!F51+'V06 Calend 01'!G51),0)+IF(AND(('V06 Calend 01'!E51&gt;0),(89&gt;'V06 Calend 01'!C51),(89&lt;'V06 Calend 01'!D51),(MOD((89-'V06 Calend 01'!C51),6)=0),(((89-'V06 Calend 01'!C51)/6)&lt;='V06 Calend 01'!E51)),IF((89=('V06 Calend 01'!C51+(6*'V06 Calend 01'!E51))),('V06 Calend 01'!H51-('V06 Calend 01'!I51*('V06 Calend 01'!E51-1))),'V06 Calend 01'!I51),0))+IF((89='V06 Calend 01'!D51),'V06 Calend 01'!J51,0))</f>
        <v>0</v>
      </c>
      <c r="CX51" s="2">
        <f>((IF((90='V06 Calend 01'!C51),('V06 Calend 01'!F51+'V06 Calend 01'!G51),0)+IF(AND(('V06 Calend 01'!E51&gt;0),(90&gt;'V06 Calend 01'!C51),(90&lt;'V06 Calend 01'!D51),(MOD((90-'V06 Calend 01'!C51),6)=0),(((90-'V06 Calend 01'!C51)/6)&lt;='V06 Calend 01'!E51)),IF((90=('V06 Calend 01'!C51+(6*'V06 Calend 01'!E51))),('V06 Calend 01'!H51-('V06 Calend 01'!I51*('V06 Calend 01'!E51-1))),'V06 Calend 01'!I51),0))+IF((90='V06 Calend 01'!D51),'V06 Calend 01'!J51,0))</f>
        <v>0</v>
      </c>
      <c r="CY51" s="2">
        <f>((IF((91='V06 Calend 01'!C51),('V06 Calend 01'!F51+'V06 Calend 01'!G51),0)+IF(AND(('V06 Calend 01'!E51&gt;0),(91&gt;'V06 Calend 01'!C51),(91&lt;'V06 Calend 01'!D51),(MOD((91-'V06 Calend 01'!C51),6)=0),(((91-'V06 Calend 01'!C51)/6)&lt;='V06 Calend 01'!E51)),IF((91=('V06 Calend 01'!C51+(6*'V06 Calend 01'!E51))),('V06 Calend 01'!H51-('V06 Calend 01'!I51*('V06 Calend 01'!E51-1))),'V06 Calend 01'!I51),0))+IF((91='V06 Calend 01'!D51),'V06 Calend 01'!J51,0))</f>
        <v>0</v>
      </c>
      <c r="CZ51" s="2">
        <f>((IF((92='V06 Calend 01'!C51),('V06 Calend 01'!F51+'V06 Calend 01'!G51),0)+IF(AND(('V06 Calend 01'!E51&gt;0),(92&gt;'V06 Calend 01'!C51),(92&lt;'V06 Calend 01'!D51),(MOD((92-'V06 Calend 01'!C51),6)=0),(((92-'V06 Calend 01'!C51)/6)&lt;='V06 Calend 01'!E51)),IF((92=('V06 Calend 01'!C51+(6*'V06 Calend 01'!E51))),('V06 Calend 01'!H51-('V06 Calend 01'!I51*('V06 Calend 01'!E51-1))),'V06 Calend 01'!I51),0))+IF((92='V06 Calend 01'!D51),'V06 Calend 01'!J51,0))</f>
        <v>0</v>
      </c>
      <c r="DA51" s="2">
        <f>((IF((93='V06 Calend 01'!C51),('V06 Calend 01'!F51+'V06 Calend 01'!G51),0)+IF(AND(('V06 Calend 01'!E51&gt;0),(93&gt;'V06 Calend 01'!C51),(93&lt;'V06 Calend 01'!D51),(MOD((93-'V06 Calend 01'!C51),6)=0),(((93-'V06 Calend 01'!C51)/6)&lt;='V06 Calend 01'!E51)),IF((93=('V06 Calend 01'!C51+(6*'V06 Calend 01'!E51))),('V06 Calend 01'!H51-('V06 Calend 01'!I51*('V06 Calend 01'!E51-1))),'V06 Calend 01'!I51),0))+IF((93='V06 Calend 01'!D51),'V06 Calend 01'!J51,0))</f>
        <v>0</v>
      </c>
      <c r="DB51" s="2">
        <f>((IF((94='V06 Calend 01'!C51),('V06 Calend 01'!F51+'V06 Calend 01'!G51),0)+IF(AND(('V06 Calend 01'!E51&gt;0),(94&gt;'V06 Calend 01'!C51),(94&lt;'V06 Calend 01'!D51),(MOD((94-'V06 Calend 01'!C51),6)=0),(((94-'V06 Calend 01'!C51)/6)&lt;='V06 Calend 01'!E51)),IF((94=('V06 Calend 01'!C51+(6*'V06 Calend 01'!E51))),('V06 Calend 01'!H51-('V06 Calend 01'!I51*('V06 Calend 01'!E51-1))),'V06 Calend 01'!I51),0))+IF((94='V06 Calend 01'!D51),'V06 Calend 01'!J51,0))</f>
        <v>0</v>
      </c>
      <c r="DC51" s="2">
        <f>((IF((95='V06 Calend 01'!C51),('V06 Calend 01'!F51+'V06 Calend 01'!G51),0)+IF(AND(('V06 Calend 01'!E51&gt;0),(95&gt;'V06 Calend 01'!C51),(95&lt;'V06 Calend 01'!D51),(MOD((95-'V06 Calend 01'!C51),6)=0),(((95-'V06 Calend 01'!C51)/6)&lt;='V06 Calend 01'!E51)),IF((95=('V06 Calend 01'!C51+(6*'V06 Calend 01'!E51))),('V06 Calend 01'!H51-('V06 Calend 01'!I51*('V06 Calend 01'!E51-1))),'V06 Calend 01'!I51),0))+IF((95='V06 Calend 01'!D51),'V06 Calend 01'!J51,0))</f>
        <v>0</v>
      </c>
      <c r="DD51" s="2">
        <f>((IF((96='V06 Calend 01'!C51),('V06 Calend 01'!F51+'V06 Calend 01'!G51),0)+IF(AND(('V06 Calend 01'!E51&gt;0),(96&gt;'V06 Calend 01'!C51),(96&lt;'V06 Calend 01'!D51),(MOD((96-'V06 Calend 01'!C51),6)=0),(((96-'V06 Calend 01'!C51)/6)&lt;='V06 Calend 01'!E51)),IF((96=('V06 Calend 01'!C51+(6*'V06 Calend 01'!E51))),('V06 Calend 01'!H51-('V06 Calend 01'!I51*('V06 Calend 01'!E51-1))),'V06 Calend 01'!I51),0))+IF((96='V06 Calend 01'!D51),'V06 Calend 01'!J51,0))</f>
        <v>0</v>
      </c>
      <c r="DE51" s="2">
        <f>((IF((97='V06 Calend 01'!C51),('V06 Calend 01'!F51+'V06 Calend 01'!G51),0)+IF(AND(('V06 Calend 01'!E51&gt;0),(97&gt;'V06 Calend 01'!C51),(97&lt;'V06 Calend 01'!D51),(MOD((97-'V06 Calend 01'!C51),6)=0),(((97-'V06 Calend 01'!C51)/6)&lt;='V06 Calend 01'!E51)),IF((97=('V06 Calend 01'!C51+(6*'V06 Calend 01'!E51))),('V06 Calend 01'!H51-('V06 Calend 01'!I51*('V06 Calend 01'!E51-1))),'V06 Calend 01'!I51),0))+IF((97='V06 Calend 01'!D51),'V06 Calend 01'!J51,0))</f>
        <v>0</v>
      </c>
      <c r="DF51" s="2">
        <f>((IF((98='V06 Calend 01'!C51),('V06 Calend 01'!F51+'V06 Calend 01'!G51),0)+IF(AND(('V06 Calend 01'!E51&gt;0),(98&gt;'V06 Calend 01'!C51),(98&lt;'V06 Calend 01'!D51),(MOD((98-'V06 Calend 01'!C51),6)=0),(((98-'V06 Calend 01'!C51)/6)&lt;='V06 Calend 01'!E51)),IF((98=('V06 Calend 01'!C51+(6*'V06 Calend 01'!E51))),('V06 Calend 01'!H51-('V06 Calend 01'!I51*('V06 Calend 01'!E51-1))),'V06 Calend 01'!I51),0))+IF((98='V06 Calend 01'!D51),'V06 Calend 01'!J51,0))</f>
        <v>0</v>
      </c>
      <c r="DG51" s="2">
        <f>((IF((99='V06 Calend 01'!C51),('V06 Calend 01'!F51+'V06 Calend 01'!G51),0)+IF(AND(('V06 Calend 01'!E51&gt;0),(99&gt;'V06 Calend 01'!C51),(99&lt;'V06 Calend 01'!D51),(MOD((99-'V06 Calend 01'!C51),6)=0),(((99-'V06 Calend 01'!C51)/6)&lt;='V06 Calend 01'!E51)),IF((99=('V06 Calend 01'!C51+(6*'V06 Calend 01'!E51))),('V06 Calend 01'!H51-('V06 Calend 01'!I51*('V06 Calend 01'!E51-1))),'V06 Calend 01'!I51),0))+IF((99='V06 Calend 01'!D51),'V06 Calend 01'!J51,0))</f>
        <v>0</v>
      </c>
      <c r="DH51" s="2">
        <f>((IF((100='V06 Calend 01'!C51),('V06 Calend 01'!F51+'V06 Calend 01'!G51),0)+IF(AND(('V06 Calend 01'!E51&gt;0),(100&gt;'V06 Calend 01'!C51),(100&lt;'V06 Calend 01'!D51),(MOD((100-'V06 Calend 01'!C51),6)=0),(((100-'V06 Calend 01'!C51)/6)&lt;='V06 Calend 01'!E51)),IF((100=('V06 Calend 01'!C51+(6*'V06 Calend 01'!E51))),('V06 Calend 01'!H51-('V06 Calend 01'!I51*('V06 Calend 01'!E51-1))),'V06 Calend 01'!I51),0))+IF((100='V06 Calend 01'!D51),'V06 Calend 01'!J51,0))</f>
        <v>0</v>
      </c>
      <c r="DI51" s="2">
        <f>((IF((101='V06 Calend 01'!C51),('V06 Calend 01'!F51+'V06 Calend 01'!G51),0)+IF(AND(('V06 Calend 01'!E51&gt;0),(101&gt;'V06 Calend 01'!C51),(101&lt;'V06 Calend 01'!D51),(MOD((101-'V06 Calend 01'!C51),6)=0),(((101-'V06 Calend 01'!C51)/6)&lt;='V06 Calend 01'!E51)),IF((101=('V06 Calend 01'!C51+(6*'V06 Calend 01'!E51))),('V06 Calend 01'!H51-('V06 Calend 01'!I51*('V06 Calend 01'!E51-1))),'V06 Calend 01'!I51),0))+IF((101='V06 Calend 01'!D51),'V06 Calend 01'!J51,0))</f>
        <v>0</v>
      </c>
      <c r="DJ51" s="2">
        <f>((IF((102='V06 Calend 01'!C51),('V06 Calend 01'!F51+'V06 Calend 01'!G51),0)+IF(AND(('V06 Calend 01'!E51&gt;0),(102&gt;'V06 Calend 01'!C51),(102&lt;'V06 Calend 01'!D51),(MOD((102-'V06 Calend 01'!C51),6)=0),(((102-'V06 Calend 01'!C51)/6)&lt;='V06 Calend 01'!E51)),IF((102=('V06 Calend 01'!C51+(6*'V06 Calend 01'!E51))),('V06 Calend 01'!H51-('V06 Calend 01'!I51*('V06 Calend 01'!E51-1))),'V06 Calend 01'!I51),0))+IF((102='V06 Calend 01'!D51),'V06 Calend 01'!J51,0))</f>
        <v>0</v>
      </c>
      <c r="DK51" s="2">
        <f>((IF((103='V06 Calend 01'!C51),('V06 Calend 01'!F51+'V06 Calend 01'!G51),0)+IF(AND(('V06 Calend 01'!E51&gt;0),(103&gt;'V06 Calend 01'!C51),(103&lt;'V06 Calend 01'!D51),(MOD((103-'V06 Calend 01'!C51),6)=0),(((103-'V06 Calend 01'!C51)/6)&lt;='V06 Calend 01'!E51)),IF((103=('V06 Calend 01'!C51+(6*'V06 Calend 01'!E51))),('V06 Calend 01'!H51-('V06 Calend 01'!I51*('V06 Calend 01'!E51-1))),'V06 Calend 01'!I51),0))+IF((103='V06 Calend 01'!D51),'V06 Calend 01'!J51,0))</f>
        <v>0</v>
      </c>
      <c r="DL51" s="2">
        <f>((IF((104='V06 Calend 01'!C51),('V06 Calend 01'!F51+'V06 Calend 01'!G51),0)+IF(AND(('V06 Calend 01'!E51&gt;0),(104&gt;'V06 Calend 01'!C51),(104&lt;'V06 Calend 01'!D51),(MOD((104-'V06 Calend 01'!C51),6)=0),(((104-'V06 Calend 01'!C51)/6)&lt;='V06 Calend 01'!E51)),IF((104=('V06 Calend 01'!C51+(6*'V06 Calend 01'!E51))),('V06 Calend 01'!H51-('V06 Calend 01'!I51*('V06 Calend 01'!E51-1))),'V06 Calend 01'!I51),0))+IF((104='V06 Calend 01'!D51),'V06 Calend 01'!J51,0))</f>
        <v>0</v>
      </c>
      <c r="DM51" s="2">
        <f>((IF((105='V06 Calend 01'!C51),('V06 Calend 01'!F51+'V06 Calend 01'!G51),0)+IF(AND(('V06 Calend 01'!E51&gt;0),(105&gt;'V06 Calend 01'!C51),(105&lt;'V06 Calend 01'!D51),(MOD((105-'V06 Calend 01'!C51),6)=0),(((105-'V06 Calend 01'!C51)/6)&lt;='V06 Calend 01'!E51)),IF((105=('V06 Calend 01'!C51+(6*'V06 Calend 01'!E51))),('V06 Calend 01'!H51-('V06 Calend 01'!I51*('V06 Calend 01'!E51-1))),'V06 Calend 01'!I51),0))+IF((105='V06 Calend 01'!D51),'V06 Calend 01'!J51,0))</f>
        <v>0</v>
      </c>
      <c r="DN51" s="2">
        <f>((IF((106='V06 Calend 01'!C51),('V06 Calend 01'!F51+'V06 Calend 01'!G51),0)+IF(AND(('V06 Calend 01'!E51&gt;0),(106&gt;'V06 Calend 01'!C51),(106&lt;'V06 Calend 01'!D51),(MOD((106-'V06 Calend 01'!C51),6)=0),(((106-'V06 Calend 01'!C51)/6)&lt;='V06 Calend 01'!E51)),IF((106=('V06 Calend 01'!C51+(6*'V06 Calend 01'!E51))),('V06 Calend 01'!H51-('V06 Calend 01'!I51*('V06 Calend 01'!E51-1))),'V06 Calend 01'!I51),0))+IF((106='V06 Calend 01'!D51),'V06 Calend 01'!J51,0))</f>
        <v>0</v>
      </c>
      <c r="DO51" s="2">
        <f>((IF((107='V06 Calend 01'!C51),('V06 Calend 01'!F51+'V06 Calend 01'!G51),0)+IF(AND(('V06 Calend 01'!E51&gt;0),(107&gt;'V06 Calend 01'!C51),(107&lt;'V06 Calend 01'!D51),(MOD((107-'V06 Calend 01'!C51),6)=0),(((107-'V06 Calend 01'!C51)/6)&lt;='V06 Calend 01'!E51)),IF((107=('V06 Calend 01'!C51+(6*'V06 Calend 01'!E51))),('V06 Calend 01'!H51-('V06 Calend 01'!I51*('V06 Calend 01'!E51-1))),'V06 Calend 01'!I51),0))+IF((107='V06 Calend 01'!D51),'V06 Calend 01'!J51,0))</f>
        <v>0</v>
      </c>
      <c r="DP51" s="2">
        <f>((IF((108='V06 Calend 01'!C51),('V06 Calend 01'!F51+'V06 Calend 01'!G51),0)+IF(AND(('V06 Calend 01'!E51&gt;0),(108&gt;'V06 Calend 01'!C51),(108&lt;'V06 Calend 01'!D51),(MOD((108-'V06 Calend 01'!C51),6)=0),(((108-'V06 Calend 01'!C51)/6)&lt;='V06 Calend 01'!E51)),IF((108=('V06 Calend 01'!C51+(6*'V06 Calend 01'!E51))),('V06 Calend 01'!H51-('V06 Calend 01'!I51*('V06 Calend 01'!E51-1))),'V06 Calend 01'!I51),0))+IF((108='V06 Calend 01'!D51),'V06 Calend 01'!J51,0))</f>
        <v>0</v>
      </c>
      <c r="DQ51" s="2">
        <f>((IF((109='V06 Calend 01'!C51),('V06 Calend 01'!F51+'V06 Calend 01'!G51),0)+IF(AND(('V06 Calend 01'!E51&gt;0),(109&gt;'V06 Calend 01'!C51),(109&lt;'V06 Calend 01'!D51),(MOD((109-'V06 Calend 01'!C51),6)=0),(((109-'V06 Calend 01'!C51)/6)&lt;='V06 Calend 01'!E51)),IF((109=('V06 Calend 01'!C51+(6*'V06 Calend 01'!E51))),('V06 Calend 01'!H51-('V06 Calend 01'!I51*('V06 Calend 01'!E51-1))),'V06 Calend 01'!I51),0))+IF((109='V06 Calend 01'!D51),'V06 Calend 01'!J51,0))</f>
        <v>0</v>
      </c>
      <c r="DR51" s="2">
        <f>((IF((110='V06 Calend 01'!C51),('V06 Calend 01'!F51+'V06 Calend 01'!G51),0)+IF(AND(('V06 Calend 01'!E51&gt;0),(110&gt;'V06 Calend 01'!C51),(110&lt;'V06 Calend 01'!D51),(MOD((110-'V06 Calend 01'!C51),6)=0),(((110-'V06 Calend 01'!C51)/6)&lt;='V06 Calend 01'!E51)),IF((110=('V06 Calend 01'!C51+(6*'V06 Calend 01'!E51))),('V06 Calend 01'!H51-('V06 Calend 01'!I51*('V06 Calend 01'!E51-1))),'V06 Calend 01'!I51),0))+IF((110='V06 Calend 01'!D51),'V06 Calend 01'!J51,0))</f>
        <v>0</v>
      </c>
      <c r="DS51" s="2">
        <f>((IF((111='V06 Calend 01'!C51),('V06 Calend 01'!F51+'V06 Calend 01'!G51),0)+IF(AND(('V06 Calend 01'!E51&gt;0),(111&gt;'V06 Calend 01'!C51),(111&lt;'V06 Calend 01'!D51),(MOD((111-'V06 Calend 01'!C51),6)=0),(((111-'V06 Calend 01'!C51)/6)&lt;='V06 Calend 01'!E51)),IF((111=('V06 Calend 01'!C51+(6*'V06 Calend 01'!E51))),('V06 Calend 01'!H51-('V06 Calend 01'!I51*('V06 Calend 01'!E51-1))),'V06 Calend 01'!I51),0))+IF((111='V06 Calend 01'!D51),'V06 Calend 01'!J51,0))</f>
        <v>0</v>
      </c>
      <c r="DT51" s="2">
        <f>((IF((112='V06 Calend 01'!C51),('V06 Calend 01'!F51+'V06 Calend 01'!G51),0)+IF(AND(('V06 Calend 01'!E51&gt;0),(112&gt;'V06 Calend 01'!C51),(112&lt;'V06 Calend 01'!D51),(MOD((112-'V06 Calend 01'!C51),6)=0),(((112-'V06 Calend 01'!C51)/6)&lt;='V06 Calend 01'!E51)),IF((112=('V06 Calend 01'!C51+(6*'V06 Calend 01'!E51))),('V06 Calend 01'!H51-('V06 Calend 01'!I51*('V06 Calend 01'!E51-1))),'V06 Calend 01'!I51),0))+IF((112='V06 Calend 01'!D51),'V06 Calend 01'!J51,0))</f>
        <v>0</v>
      </c>
      <c r="DU51" s="2">
        <f>((IF((113='V06 Calend 01'!C51),('V06 Calend 01'!F51+'V06 Calend 01'!G51),0)+IF(AND(('V06 Calend 01'!E51&gt;0),(113&gt;'V06 Calend 01'!C51),(113&lt;'V06 Calend 01'!D51),(MOD((113-'V06 Calend 01'!C51),6)=0),(((113-'V06 Calend 01'!C51)/6)&lt;='V06 Calend 01'!E51)),IF((113=('V06 Calend 01'!C51+(6*'V06 Calend 01'!E51))),('V06 Calend 01'!H51-('V06 Calend 01'!I51*('V06 Calend 01'!E51-1))),'V06 Calend 01'!I51),0))+IF((113='V06 Calend 01'!D51),'V06 Calend 01'!J51,0))</f>
        <v>0</v>
      </c>
      <c r="DV51" s="2">
        <f>((IF((114='V06 Calend 01'!C51),('V06 Calend 01'!F51+'V06 Calend 01'!G51),0)+IF(AND(('V06 Calend 01'!E51&gt;0),(114&gt;'V06 Calend 01'!C51),(114&lt;'V06 Calend 01'!D51),(MOD((114-'V06 Calend 01'!C51),6)=0),(((114-'V06 Calend 01'!C51)/6)&lt;='V06 Calend 01'!E51)),IF((114=('V06 Calend 01'!C51+(6*'V06 Calend 01'!E51))),('V06 Calend 01'!H51-('V06 Calend 01'!I51*('V06 Calend 01'!E51-1))),'V06 Calend 01'!I51),0))+IF((114='V06 Calend 01'!D51),'V06 Calend 01'!J51,0))</f>
        <v>0</v>
      </c>
      <c r="DW51" s="2">
        <f>((IF((115='V06 Calend 01'!C51),('V06 Calend 01'!F51+'V06 Calend 01'!G51),0)+IF(AND(('V06 Calend 01'!E51&gt;0),(115&gt;'V06 Calend 01'!C51),(115&lt;'V06 Calend 01'!D51),(MOD((115-'V06 Calend 01'!C51),6)=0),(((115-'V06 Calend 01'!C51)/6)&lt;='V06 Calend 01'!E51)),IF((115=('V06 Calend 01'!C51+(6*'V06 Calend 01'!E51))),('V06 Calend 01'!H51-('V06 Calend 01'!I51*('V06 Calend 01'!E51-1))),'V06 Calend 01'!I51),0))+IF((115='V06 Calend 01'!D51),'V06 Calend 01'!J51,0))</f>
        <v>0</v>
      </c>
      <c r="DX51" s="2">
        <f>((IF((116='V06 Calend 01'!C51),('V06 Calend 01'!F51+'V06 Calend 01'!G51),0)+IF(AND(('V06 Calend 01'!E51&gt;0),(116&gt;'V06 Calend 01'!C51),(116&lt;'V06 Calend 01'!D51),(MOD((116-'V06 Calend 01'!C51),6)=0),(((116-'V06 Calend 01'!C51)/6)&lt;='V06 Calend 01'!E51)),IF((116=('V06 Calend 01'!C51+(6*'V06 Calend 01'!E51))),('V06 Calend 01'!H51-('V06 Calend 01'!I51*('V06 Calend 01'!E51-1))),'V06 Calend 01'!I51),0))+IF((116='V06 Calend 01'!D51),'V06 Calend 01'!J51,0))</f>
        <v>0</v>
      </c>
      <c r="DY51" s="2">
        <f>((IF((117='V06 Calend 01'!C51),('V06 Calend 01'!F51+'V06 Calend 01'!G51),0)+IF(AND(('V06 Calend 01'!E51&gt;0),(117&gt;'V06 Calend 01'!C51),(117&lt;'V06 Calend 01'!D51),(MOD((117-'V06 Calend 01'!C51),6)=0),(((117-'V06 Calend 01'!C51)/6)&lt;='V06 Calend 01'!E51)),IF((117=('V06 Calend 01'!C51+(6*'V06 Calend 01'!E51))),('V06 Calend 01'!H51-('V06 Calend 01'!I51*('V06 Calend 01'!E51-1))),'V06 Calend 01'!I51),0))+IF((117='V06 Calend 01'!D51),'V06 Calend 01'!J51,0))</f>
        <v>0</v>
      </c>
      <c r="DZ51" s="2">
        <f>((IF((118='V06 Calend 01'!C51),('V06 Calend 01'!F51+'V06 Calend 01'!G51),0)+IF(AND(('V06 Calend 01'!E51&gt;0),(118&gt;'V06 Calend 01'!C51),(118&lt;'V06 Calend 01'!D51),(MOD((118-'V06 Calend 01'!C51),6)=0),(((118-'V06 Calend 01'!C51)/6)&lt;='V06 Calend 01'!E51)),IF((118=('V06 Calend 01'!C51+(6*'V06 Calend 01'!E51))),('V06 Calend 01'!H51-('V06 Calend 01'!I51*('V06 Calend 01'!E51-1))),'V06 Calend 01'!I51),0))+IF((118='V06 Calend 01'!D51),'V06 Calend 01'!J51,0))</f>
        <v>0</v>
      </c>
      <c r="EA51" s="2">
        <f>((IF((119='V06 Calend 01'!C51),('V06 Calend 01'!F51+'V06 Calend 01'!G51),0)+IF(AND(('V06 Calend 01'!E51&gt;0),(119&gt;'V06 Calend 01'!C51),(119&lt;'V06 Calend 01'!D51),(MOD((119-'V06 Calend 01'!C51),6)=0),(((119-'V06 Calend 01'!C51)/6)&lt;='V06 Calend 01'!E51)),IF((119=('V06 Calend 01'!C51+(6*'V06 Calend 01'!E51))),('V06 Calend 01'!H51-('V06 Calend 01'!I51*('V06 Calend 01'!E51-1))),'V06 Calend 01'!I51),0))+IF((119='V06 Calend 01'!D51),'V06 Calend 01'!J51,0))</f>
        <v>0</v>
      </c>
      <c r="EB51" s="2">
        <f>((IF((120='V06 Calend 01'!C51),('V06 Calend 01'!F51+'V06 Calend 01'!G51),0)+IF(AND(('V06 Calend 01'!E51&gt;0),(120&gt;'V06 Calend 01'!C51),(120&lt;'V06 Calend 01'!D51),(MOD((120-'V06 Calend 01'!C51),6)=0),(((120-'V06 Calend 01'!C51)/6)&lt;='V06 Calend 01'!E51)),IF((120=('V06 Calend 01'!C51+(6*'V06 Calend 01'!E51))),('V06 Calend 01'!H51-('V06 Calend 01'!I51*('V06 Calend 01'!E51-1))),'V06 Calend 01'!I51),0))+IF((120='V06 Calend 01'!D51),'V06 Calend 01'!J51,0))</f>
        <v>0</v>
      </c>
      <c r="EC51" s="2">
        <f>((IF((121='V06 Calend 01'!C51),('V06 Calend 01'!F51+'V06 Calend 01'!G51),0)+IF(AND(('V06 Calend 01'!E51&gt;0),(121&gt;'V06 Calend 01'!C51),(121&lt;'V06 Calend 01'!D51),(MOD((121-'V06 Calend 01'!C51),6)=0),(((121-'V06 Calend 01'!C51)/6)&lt;='V06 Calend 01'!E51)),IF((121=('V06 Calend 01'!C51+(6*'V06 Calend 01'!E51))),('V06 Calend 01'!H51-('V06 Calend 01'!I51*('V06 Calend 01'!E51-1))),'V06 Calend 01'!I51),0))+IF((121='V06 Calend 01'!D51),'V06 Calend 01'!J51,0))</f>
        <v>0</v>
      </c>
      <c r="ED51" s="2">
        <f>((IF((122='V06 Calend 01'!C51),('V06 Calend 01'!F51+'V06 Calend 01'!G51),0)+IF(AND(('V06 Calend 01'!E51&gt;0),(122&gt;'V06 Calend 01'!C51),(122&lt;'V06 Calend 01'!D51),(MOD((122-'V06 Calend 01'!C51),6)=0),(((122-'V06 Calend 01'!C51)/6)&lt;='V06 Calend 01'!E51)),IF((122=('V06 Calend 01'!C51+(6*'V06 Calend 01'!E51))),('V06 Calend 01'!H51-('V06 Calend 01'!I51*('V06 Calend 01'!E51-1))),'V06 Calend 01'!I51),0))+IF((122='V06 Calend 01'!D51),'V06 Calend 01'!J51,0))</f>
        <v>0</v>
      </c>
      <c r="EE51" s="2">
        <f>((IF((123='V06 Calend 01'!C51),('V06 Calend 01'!F51+'V06 Calend 01'!G51),0)+IF(AND(('V06 Calend 01'!E51&gt;0),(123&gt;'V06 Calend 01'!C51),(123&lt;'V06 Calend 01'!D51),(MOD((123-'V06 Calend 01'!C51),6)=0),(((123-'V06 Calend 01'!C51)/6)&lt;='V06 Calend 01'!E51)),IF((123=('V06 Calend 01'!C51+(6*'V06 Calend 01'!E51))),('V06 Calend 01'!H51-('V06 Calend 01'!I51*('V06 Calend 01'!E51-1))),'V06 Calend 01'!I51),0))+IF((123='V06 Calend 01'!D51),'V06 Calend 01'!J51,0))</f>
        <v>0</v>
      </c>
      <c r="EF51" s="2">
        <f>((IF((124='V06 Calend 01'!C51),('V06 Calend 01'!F51+'V06 Calend 01'!G51),0)+IF(AND(('V06 Calend 01'!E51&gt;0),(124&gt;'V06 Calend 01'!C51),(124&lt;'V06 Calend 01'!D51),(MOD((124-'V06 Calend 01'!C51),6)=0),(((124-'V06 Calend 01'!C51)/6)&lt;='V06 Calend 01'!E51)),IF((124=('V06 Calend 01'!C51+(6*'V06 Calend 01'!E51))),('V06 Calend 01'!H51-('V06 Calend 01'!I51*('V06 Calend 01'!E51-1))),'V06 Calend 01'!I51),0))+IF((124='V06 Calend 01'!D51),'V06 Calend 01'!J51,0))</f>
        <v>0</v>
      </c>
      <c r="EG51" s="2">
        <f>((IF((125='V06 Calend 01'!C51),('V06 Calend 01'!F51+'V06 Calend 01'!G51),0)+IF(AND(('V06 Calend 01'!E51&gt;0),(125&gt;'V06 Calend 01'!C51),(125&lt;'V06 Calend 01'!D51),(MOD((125-'V06 Calend 01'!C51),6)=0),(((125-'V06 Calend 01'!C51)/6)&lt;='V06 Calend 01'!E51)),IF((125=('V06 Calend 01'!C51+(6*'V06 Calend 01'!E51))),('V06 Calend 01'!H51-('V06 Calend 01'!I51*('V06 Calend 01'!E51-1))),'V06 Calend 01'!I51),0))+IF((125='V06 Calend 01'!D51),'V06 Calend 01'!J51,0))</f>
        <v>0</v>
      </c>
      <c r="EH51" s="2">
        <f>((IF((126='V06 Calend 01'!C51),('V06 Calend 01'!F51+'V06 Calend 01'!G51),0)+IF(AND(('V06 Calend 01'!E51&gt;0),(126&gt;'V06 Calend 01'!C51),(126&lt;'V06 Calend 01'!D51),(MOD((126-'V06 Calend 01'!C51),6)=0),(((126-'V06 Calend 01'!C51)/6)&lt;='V06 Calend 01'!E51)),IF((126=('V06 Calend 01'!C51+(6*'V06 Calend 01'!E51))),('V06 Calend 01'!H51-('V06 Calend 01'!I51*('V06 Calend 01'!E51-1))),'V06 Calend 01'!I51),0))+IF((126='V06 Calend 01'!D51),'V06 Calend 01'!J51,0))</f>
        <v>0</v>
      </c>
      <c r="EI51" s="2">
        <f>((IF((127='V06 Calend 01'!C51),('V06 Calend 01'!F51+'V06 Calend 01'!G51),0)+IF(AND(('V06 Calend 01'!E51&gt;0),(127&gt;'V06 Calend 01'!C51),(127&lt;'V06 Calend 01'!D51),(MOD((127-'V06 Calend 01'!C51),6)=0),(((127-'V06 Calend 01'!C51)/6)&lt;='V06 Calend 01'!E51)),IF((127=('V06 Calend 01'!C51+(6*'V06 Calend 01'!E51))),('V06 Calend 01'!H51-('V06 Calend 01'!I51*('V06 Calend 01'!E51-1))),'V06 Calend 01'!I51),0))+IF((127='V06 Calend 01'!D51),'V06 Calend 01'!J51,0))</f>
        <v>0</v>
      </c>
      <c r="EJ51" s="2">
        <f>((IF((128='V06 Calend 01'!C51),('V06 Calend 01'!F51+'V06 Calend 01'!G51),0)+IF(AND(('V06 Calend 01'!E51&gt;0),(128&gt;'V06 Calend 01'!C51),(128&lt;'V06 Calend 01'!D51),(MOD((128-'V06 Calend 01'!C51),6)=0),(((128-'V06 Calend 01'!C51)/6)&lt;='V06 Calend 01'!E51)),IF((128=('V06 Calend 01'!C51+(6*'V06 Calend 01'!E51))),('V06 Calend 01'!H51-('V06 Calend 01'!I51*('V06 Calend 01'!E51-1))),'V06 Calend 01'!I51),0))+IF((128='V06 Calend 01'!D51),'V06 Calend 01'!J51,0))</f>
        <v>0</v>
      </c>
      <c r="EK51" s="2">
        <f>((IF((129='V06 Calend 01'!C51),('V06 Calend 01'!F51+'V06 Calend 01'!G51),0)+IF(AND(('V06 Calend 01'!E51&gt;0),(129&gt;'V06 Calend 01'!C51),(129&lt;'V06 Calend 01'!D51),(MOD((129-'V06 Calend 01'!C51),6)=0),(((129-'V06 Calend 01'!C51)/6)&lt;='V06 Calend 01'!E51)),IF((129=('V06 Calend 01'!C51+(6*'V06 Calend 01'!E51))),('V06 Calend 01'!H51-('V06 Calend 01'!I51*('V06 Calend 01'!E51-1))),'V06 Calend 01'!I51),0))+IF((129='V06 Calend 01'!D51),'V06 Calend 01'!J51,0))</f>
        <v>0</v>
      </c>
      <c r="EL51" s="2">
        <f>((IF((130='V06 Calend 01'!C51),('V06 Calend 01'!F51+'V06 Calend 01'!G51),0)+IF(AND(('V06 Calend 01'!E51&gt;0),(130&gt;'V06 Calend 01'!C51),(130&lt;'V06 Calend 01'!D51),(MOD((130-'V06 Calend 01'!C51),6)=0),(((130-'V06 Calend 01'!C51)/6)&lt;='V06 Calend 01'!E51)),IF((130=('V06 Calend 01'!C51+(6*'V06 Calend 01'!E51))),('V06 Calend 01'!H51-('V06 Calend 01'!I51*('V06 Calend 01'!E51-1))),'V06 Calend 01'!I51),0))+IF((130='V06 Calend 01'!D51),'V06 Calend 01'!J51,0))</f>
        <v>0</v>
      </c>
      <c r="EM51" s="2">
        <f>((IF((131='V06 Calend 01'!C51),('V06 Calend 01'!F51+'V06 Calend 01'!G51),0)+IF(AND(('V06 Calend 01'!E51&gt;0),(131&gt;'V06 Calend 01'!C51),(131&lt;'V06 Calend 01'!D51),(MOD((131-'V06 Calend 01'!C51),6)=0),(((131-'V06 Calend 01'!C51)/6)&lt;='V06 Calend 01'!E51)),IF((131=('V06 Calend 01'!C51+(6*'V06 Calend 01'!E51))),('V06 Calend 01'!H51-('V06 Calend 01'!I51*('V06 Calend 01'!E51-1))),'V06 Calend 01'!I51),0))+IF((131='V06 Calend 01'!D51),'V06 Calend 01'!J51,0))</f>
        <v>0</v>
      </c>
      <c r="EN51" s="2">
        <f>((IF((132='V06 Calend 01'!C51),('V06 Calend 01'!F51+'V06 Calend 01'!G51),0)+IF(AND(('V06 Calend 01'!E51&gt;0),(132&gt;'V06 Calend 01'!C51),(132&lt;'V06 Calend 01'!D51),(MOD((132-'V06 Calend 01'!C51),6)=0),(((132-'V06 Calend 01'!C51)/6)&lt;='V06 Calend 01'!E51)),IF((132=('V06 Calend 01'!C51+(6*'V06 Calend 01'!E51))),('V06 Calend 01'!H51-('V06 Calend 01'!I51*('V06 Calend 01'!E51-1))),'V06 Calend 01'!I51),0))+IF((132='V06 Calend 01'!D51),'V06 Calend 01'!J51,0))</f>
        <v>0</v>
      </c>
      <c r="EO51" s="2">
        <f>((IF((133='V06 Calend 01'!C51),('V06 Calend 01'!F51+'V06 Calend 01'!G51),0)+IF(AND(('V06 Calend 01'!E51&gt;0),(133&gt;'V06 Calend 01'!C51),(133&lt;'V06 Calend 01'!D51),(MOD((133-'V06 Calend 01'!C51),6)=0),(((133-'V06 Calend 01'!C51)/6)&lt;='V06 Calend 01'!E51)),IF((133=('V06 Calend 01'!C51+(6*'V06 Calend 01'!E51))),('V06 Calend 01'!H51-('V06 Calend 01'!I51*('V06 Calend 01'!E51-1))),'V06 Calend 01'!I51),0))+IF((133='V06 Calend 01'!D51),'V06 Calend 01'!J51,0))</f>
        <v>0</v>
      </c>
      <c r="EP51" s="2">
        <f>((IF((134='V06 Calend 01'!C51),('V06 Calend 01'!F51+'V06 Calend 01'!G51),0)+IF(AND(('V06 Calend 01'!E51&gt;0),(134&gt;'V06 Calend 01'!C51),(134&lt;'V06 Calend 01'!D51),(MOD((134-'V06 Calend 01'!C51),6)=0),(((134-'V06 Calend 01'!C51)/6)&lt;='V06 Calend 01'!E51)),IF((134=('V06 Calend 01'!C51+(6*'V06 Calend 01'!E51))),('V06 Calend 01'!H51-('V06 Calend 01'!I51*('V06 Calend 01'!E51-1))),'V06 Calend 01'!I51),0))+IF((134='V06 Calend 01'!D51),'V06 Calend 01'!J51,0))</f>
        <v>0</v>
      </c>
      <c r="EQ51" s="2">
        <f>((IF((135='V06 Calend 01'!C51),('V06 Calend 01'!F51+'V06 Calend 01'!G51),0)+IF(AND(('V06 Calend 01'!E51&gt;0),(135&gt;'V06 Calend 01'!C51),(135&lt;'V06 Calend 01'!D51),(MOD((135-'V06 Calend 01'!C51),6)=0),(((135-'V06 Calend 01'!C51)/6)&lt;='V06 Calend 01'!E51)),IF((135=('V06 Calend 01'!C51+(6*'V06 Calend 01'!E51))),('V06 Calend 01'!H51-('V06 Calend 01'!I51*('V06 Calend 01'!E51-1))),'V06 Calend 01'!I51),0))+IF((135='V06 Calend 01'!D51),'V06 Calend 01'!J51,0))</f>
        <v>0</v>
      </c>
      <c r="ER51" s="2">
        <f>((IF((136='V06 Calend 01'!C51),('V06 Calend 01'!F51+'V06 Calend 01'!G51),0)+IF(AND(('V06 Calend 01'!E51&gt;0),(136&gt;'V06 Calend 01'!C51),(136&lt;'V06 Calend 01'!D51),(MOD((136-'V06 Calend 01'!C51),6)=0),(((136-'V06 Calend 01'!C51)/6)&lt;='V06 Calend 01'!E51)),IF((136=('V06 Calend 01'!C51+(6*'V06 Calend 01'!E51))),('V06 Calend 01'!H51-('V06 Calend 01'!I51*('V06 Calend 01'!E51-1))),'V06 Calend 01'!I51),0))+IF((136='V06 Calend 01'!D51),'V06 Calend 01'!J51,0))</f>
        <v>0</v>
      </c>
      <c r="ES51" s="2">
        <f>((IF((137='V06 Calend 01'!C51),('V06 Calend 01'!F51+'V06 Calend 01'!G51),0)+IF(AND(('V06 Calend 01'!E51&gt;0),(137&gt;'V06 Calend 01'!C51),(137&lt;'V06 Calend 01'!D51),(MOD((137-'V06 Calend 01'!C51),6)=0),(((137-'V06 Calend 01'!C51)/6)&lt;='V06 Calend 01'!E51)),IF((137=('V06 Calend 01'!C51+(6*'V06 Calend 01'!E51))),('V06 Calend 01'!H51-('V06 Calend 01'!I51*('V06 Calend 01'!E51-1))),'V06 Calend 01'!I51),0))+IF((137='V06 Calend 01'!D51),'V06 Calend 01'!J51,0))</f>
        <v>0</v>
      </c>
      <c r="ET51" s="2">
        <f>((IF((138='V06 Calend 01'!C51),('V06 Calend 01'!F51+'V06 Calend 01'!G51),0)+IF(AND(('V06 Calend 01'!E51&gt;0),(138&gt;'V06 Calend 01'!C51),(138&lt;'V06 Calend 01'!D51),(MOD((138-'V06 Calend 01'!C51),6)=0),(((138-'V06 Calend 01'!C51)/6)&lt;='V06 Calend 01'!E51)),IF((138=('V06 Calend 01'!C51+(6*'V06 Calend 01'!E51))),('V06 Calend 01'!H51-('V06 Calend 01'!I51*('V06 Calend 01'!E51-1))),'V06 Calend 01'!I51),0))+IF((138='V06 Calend 01'!D51),'V06 Calend 01'!J51,0))</f>
        <v>0</v>
      </c>
      <c r="EU51" s="2">
        <f>((IF((139='V06 Calend 01'!C51),('V06 Calend 01'!F51+'V06 Calend 01'!G51),0)+IF(AND(('V06 Calend 01'!E51&gt;0),(139&gt;'V06 Calend 01'!C51),(139&lt;'V06 Calend 01'!D51),(MOD((139-'V06 Calend 01'!C51),6)=0),(((139-'V06 Calend 01'!C51)/6)&lt;='V06 Calend 01'!E51)),IF((139=('V06 Calend 01'!C51+(6*'V06 Calend 01'!E51))),('V06 Calend 01'!H51-('V06 Calend 01'!I51*('V06 Calend 01'!E51-1))),'V06 Calend 01'!I51),0))+IF((139='V06 Calend 01'!D51),'V06 Calend 01'!J51,0))</f>
        <v>0</v>
      </c>
      <c r="EV51" s="2">
        <f>((IF((140='V06 Calend 01'!C51),('V06 Calend 01'!F51+'V06 Calend 01'!G51),0)+IF(AND(('V06 Calend 01'!E51&gt;0),(140&gt;'V06 Calend 01'!C51),(140&lt;'V06 Calend 01'!D51),(MOD((140-'V06 Calend 01'!C51),6)=0),(((140-'V06 Calend 01'!C51)/6)&lt;='V06 Calend 01'!E51)),IF((140=('V06 Calend 01'!C51+(6*'V06 Calend 01'!E51))),('V06 Calend 01'!H51-('V06 Calend 01'!I51*('V06 Calend 01'!E51-1))),'V06 Calend 01'!I51),0))+IF((140='V06 Calend 01'!D51),'V06 Calend 01'!J51,0))</f>
        <v>0</v>
      </c>
      <c r="EW51" s="2">
        <f>((IF((141='V06 Calend 01'!C51),('V06 Calend 01'!F51+'V06 Calend 01'!G51),0)+IF(AND(('V06 Calend 01'!E51&gt;0),(141&gt;'V06 Calend 01'!C51),(141&lt;'V06 Calend 01'!D51),(MOD((141-'V06 Calend 01'!C51),6)=0),(((141-'V06 Calend 01'!C51)/6)&lt;='V06 Calend 01'!E51)),IF((141=('V06 Calend 01'!C51+(6*'V06 Calend 01'!E51))),('V06 Calend 01'!H51-('V06 Calend 01'!I51*('V06 Calend 01'!E51-1))),'V06 Calend 01'!I51),0))+IF((141='V06 Calend 01'!D51),'V06 Calend 01'!J51,0))</f>
        <v>0</v>
      </c>
      <c r="EX51" s="2">
        <f>((IF((142='V06 Calend 01'!C51),('V06 Calend 01'!F51+'V06 Calend 01'!G51),0)+IF(AND(('V06 Calend 01'!E51&gt;0),(142&gt;'V06 Calend 01'!C51),(142&lt;'V06 Calend 01'!D51),(MOD((142-'V06 Calend 01'!C51),6)=0),(((142-'V06 Calend 01'!C51)/6)&lt;='V06 Calend 01'!E51)),IF((142=('V06 Calend 01'!C51+(6*'V06 Calend 01'!E51))),('V06 Calend 01'!H51-('V06 Calend 01'!I51*('V06 Calend 01'!E51-1))),'V06 Calend 01'!I51),0))+IF((142='V06 Calend 01'!D51),'V06 Calend 01'!J51,0))</f>
        <v>0</v>
      </c>
      <c r="EY51" s="2">
        <f>((IF((143='V06 Calend 01'!C51),('V06 Calend 01'!F51+'V06 Calend 01'!G51),0)+IF(AND(('V06 Calend 01'!E51&gt;0),(143&gt;'V06 Calend 01'!C51),(143&lt;'V06 Calend 01'!D51),(MOD((143-'V06 Calend 01'!C51),6)=0),(((143-'V06 Calend 01'!C51)/6)&lt;='V06 Calend 01'!E51)),IF((143=('V06 Calend 01'!C51+(6*'V06 Calend 01'!E51))),('V06 Calend 01'!H51-('V06 Calend 01'!I51*('V06 Calend 01'!E51-1))),'V06 Calend 01'!I51),0))+IF((143='V06 Calend 01'!D51),'V06 Calend 01'!J51,0))</f>
        <v>0</v>
      </c>
      <c r="EZ51" s="2">
        <f>((IF((144='V06 Calend 01'!C51),('V06 Calend 01'!F51+'V06 Calend 01'!G51),0)+IF(AND(('V06 Calend 01'!E51&gt;0),(144&gt;'V06 Calend 01'!C51),(144&lt;'V06 Calend 01'!D51),(MOD((144-'V06 Calend 01'!C51),6)=0),(((144-'V06 Calend 01'!C51)/6)&lt;='V06 Calend 01'!E51)),IF((144=('V06 Calend 01'!C51+(6*'V06 Calend 01'!E51))),('V06 Calend 01'!H51-('V06 Calend 01'!I51*('V06 Calend 01'!E51-1))),'V06 Calend 01'!I51),0))+IF((144='V06 Calend 01'!D51),'V06 Calend 01'!J51,0))</f>
        <v>0</v>
      </c>
      <c r="FA51" s="2">
        <f>((IF((145='V06 Calend 01'!C51),('V06 Calend 01'!F51+'V06 Calend 01'!G51),0)+IF(AND(('V06 Calend 01'!E51&gt;0),(145&gt;'V06 Calend 01'!C51),(145&lt;'V06 Calend 01'!D51),(MOD((145-'V06 Calend 01'!C51),6)=0),(((145-'V06 Calend 01'!C51)/6)&lt;='V06 Calend 01'!E51)),IF((145=('V06 Calend 01'!C51+(6*'V06 Calend 01'!E51))),('V06 Calend 01'!H51-('V06 Calend 01'!I51*('V06 Calend 01'!E51-1))),'V06 Calend 01'!I51),0))+IF((145='V06 Calend 01'!D51),'V06 Calend 01'!J51,0))</f>
        <v>0</v>
      </c>
      <c r="FB51" s="2">
        <f>((IF((146='V06 Calend 01'!C51),('V06 Calend 01'!F51+'V06 Calend 01'!G51),0)+IF(AND(('V06 Calend 01'!E51&gt;0),(146&gt;'V06 Calend 01'!C51),(146&lt;'V06 Calend 01'!D51),(MOD((146-'V06 Calend 01'!C51),6)=0),(((146-'V06 Calend 01'!C51)/6)&lt;='V06 Calend 01'!E51)),IF((146=('V06 Calend 01'!C51+(6*'V06 Calend 01'!E51))),('V06 Calend 01'!H51-('V06 Calend 01'!I51*('V06 Calend 01'!E51-1))),'V06 Calend 01'!I51),0))+IF((146='V06 Calend 01'!D51),'V06 Calend 01'!J51,0))</f>
        <v>0</v>
      </c>
      <c r="FC51" s="2">
        <f>((IF((147='V06 Calend 01'!C51),('V06 Calend 01'!F51+'V06 Calend 01'!G51),0)+IF(AND(('V06 Calend 01'!E51&gt;0),(147&gt;'V06 Calend 01'!C51),(147&lt;'V06 Calend 01'!D51),(MOD((147-'V06 Calend 01'!C51),6)=0),(((147-'V06 Calend 01'!C51)/6)&lt;='V06 Calend 01'!E51)),IF((147=('V06 Calend 01'!C51+(6*'V06 Calend 01'!E51))),('V06 Calend 01'!H51-('V06 Calend 01'!I51*('V06 Calend 01'!E51-1))),'V06 Calend 01'!I51),0))+IF((147='V06 Calend 01'!D51),'V06 Calend 01'!J51,0))</f>
        <v>0</v>
      </c>
      <c r="FD51" s="2">
        <f>((IF((148='V06 Calend 01'!C51),('V06 Calend 01'!F51+'V06 Calend 01'!G51),0)+IF(AND(('V06 Calend 01'!E51&gt;0),(148&gt;'V06 Calend 01'!C51),(148&lt;'V06 Calend 01'!D51),(MOD((148-'V06 Calend 01'!C51),6)=0),(((148-'V06 Calend 01'!C51)/6)&lt;='V06 Calend 01'!E51)),IF((148=('V06 Calend 01'!C51+(6*'V06 Calend 01'!E51))),('V06 Calend 01'!H51-('V06 Calend 01'!I51*('V06 Calend 01'!E51-1))),'V06 Calend 01'!I51),0))+IF((148='V06 Calend 01'!D51),'V06 Calend 01'!J51,0))</f>
        <v>0</v>
      </c>
      <c r="FE51" s="2">
        <f>((IF((149='V06 Calend 01'!C51),('V06 Calend 01'!F51+'V06 Calend 01'!G51),0)+IF(AND(('V06 Calend 01'!E51&gt;0),(149&gt;'V06 Calend 01'!C51),(149&lt;'V06 Calend 01'!D51),(MOD((149-'V06 Calend 01'!C51),6)=0),(((149-'V06 Calend 01'!C51)/6)&lt;='V06 Calend 01'!E51)),IF((149=('V06 Calend 01'!C51+(6*'V06 Calend 01'!E51))),('V06 Calend 01'!H51-('V06 Calend 01'!I51*('V06 Calend 01'!E51-1))),'V06 Calend 01'!I51),0))+IF((149='V06 Calend 01'!D51),'V06 Calend 01'!J51,0))</f>
        <v>0</v>
      </c>
      <c r="FF51" s="2">
        <f>((IF((150='V06 Calend 01'!C51),('V06 Calend 01'!F51+'V06 Calend 01'!G51),0)+IF(AND(('V06 Calend 01'!E51&gt;0),(150&gt;'V06 Calend 01'!C51),(150&lt;'V06 Calend 01'!D51),(MOD((150-'V06 Calend 01'!C51),6)=0),(((150-'V06 Calend 01'!C51)/6)&lt;='V06 Calend 01'!E51)),IF((150=('V06 Calend 01'!C51+(6*'V06 Calend 01'!E51))),('V06 Calend 01'!H51-('V06 Calend 01'!I51*('V06 Calend 01'!E51-1))),'V06 Calend 01'!I51),0))+IF((150='V06 Calend 01'!D51),'V06 Calend 01'!J51,0))</f>
        <v>0</v>
      </c>
      <c r="FG51" s="2">
        <f>((IF((151='V06 Calend 01'!C51),('V06 Calend 01'!F51+'V06 Calend 01'!G51),0)+IF(AND(('V06 Calend 01'!E51&gt;0),(151&gt;'V06 Calend 01'!C51),(151&lt;'V06 Calend 01'!D51),(MOD((151-'V06 Calend 01'!C51),6)=0),(((151-'V06 Calend 01'!C51)/6)&lt;='V06 Calend 01'!E51)),IF((151=('V06 Calend 01'!C51+(6*'V06 Calend 01'!E51))),('V06 Calend 01'!H51-('V06 Calend 01'!I51*('V06 Calend 01'!E51-1))),'V06 Calend 01'!I51),0))+IF((151='V06 Calend 01'!D51),'V06 Calend 01'!J51,0))</f>
        <v>0</v>
      </c>
      <c r="FH51" s="2">
        <f>((IF((152='V06 Calend 01'!C51),('V06 Calend 01'!F51+'V06 Calend 01'!G51),0)+IF(AND(('V06 Calend 01'!E51&gt;0),(152&gt;'V06 Calend 01'!C51),(152&lt;'V06 Calend 01'!D51),(MOD((152-'V06 Calend 01'!C51),6)=0),(((152-'V06 Calend 01'!C51)/6)&lt;='V06 Calend 01'!E51)),IF((152=('V06 Calend 01'!C51+(6*'V06 Calend 01'!E51))),('V06 Calend 01'!H51-('V06 Calend 01'!I51*('V06 Calend 01'!E51-1))),'V06 Calend 01'!I51),0))+IF((152='V06 Calend 01'!D51),'V06 Calend 01'!J51,0))</f>
        <v>0</v>
      </c>
      <c r="FI51" s="2">
        <f>((IF((153='V06 Calend 01'!C51),('V06 Calend 01'!F51+'V06 Calend 01'!G51),0)+IF(AND(('V06 Calend 01'!E51&gt;0),(153&gt;'V06 Calend 01'!C51),(153&lt;'V06 Calend 01'!D51),(MOD((153-'V06 Calend 01'!C51),6)=0),(((153-'V06 Calend 01'!C51)/6)&lt;='V06 Calend 01'!E51)),IF((153=('V06 Calend 01'!C51+(6*'V06 Calend 01'!E51))),('V06 Calend 01'!H51-('V06 Calend 01'!I51*('V06 Calend 01'!E51-1))),'V06 Calend 01'!I51),0))+IF((153='V06 Calend 01'!D51),'V06 Calend 01'!J51,0))</f>
        <v>0</v>
      </c>
      <c r="FJ51" s="2">
        <f>((IF((154='V06 Calend 01'!C51),('V06 Calend 01'!F51+'V06 Calend 01'!G51),0)+IF(AND(('V06 Calend 01'!E51&gt;0),(154&gt;'V06 Calend 01'!C51),(154&lt;'V06 Calend 01'!D51),(MOD((154-'V06 Calend 01'!C51),6)=0),(((154-'V06 Calend 01'!C51)/6)&lt;='V06 Calend 01'!E51)),IF((154=('V06 Calend 01'!C51+(6*'V06 Calend 01'!E51))),('V06 Calend 01'!H51-('V06 Calend 01'!I51*('V06 Calend 01'!E51-1))),'V06 Calend 01'!I51),0))+IF((154='V06 Calend 01'!D51),'V06 Calend 01'!J51,0))</f>
        <v>0</v>
      </c>
      <c r="FK51" s="2">
        <f>((IF((155='V06 Calend 01'!C51),('V06 Calend 01'!F51+'V06 Calend 01'!G51),0)+IF(AND(('V06 Calend 01'!E51&gt;0),(155&gt;'V06 Calend 01'!C51),(155&lt;'V06 Calend 01'!D51),(MOD((155-'V06 Calend 01'!C51),6)=0),(((155-'V06 Calend 01'!C51)/6)&lt;='V06 Calend 01'!E51)),IF((155=('V06 Calend 01'!C51+(6*'V06 Calend 01'!E51))),('V06 Calend 01'!H51-('V06 Calend 01'!I51*('V06 Calend 01'!E51-1))),'V06 Calend 01'!I51),0))+IF((155='V06 Calend 01'!D51),'V06 Calend 01'!J51,0))</f>
        <v>0</v>
      </c>
      <c r="FL51" s="2">
        <f>((IF((156='V06 Calend 01'!C51),('V06 Calend 01'!F51+'V06 Calend 01'!G51),0)+IF(AND(('V06 Calend 01'!E51&gt;0),(156&gt;'V06 Calend 01'!C51),(156&lt;'V06 Calend 01'!D51),(MOD((156-'V06 Calend 01'!C51),6)=0),(((156-'V06 Calend 01'!C51)/6)&lt;='V06 Calend 01'!E51)),IF((156=('V06 Calend 01'!C51+(6*'V06 Calend 01'!E51))),('V06 Calend 01'!H51-('V06 Calend 01'!I51*('V06 Calend 01'!E51-1))),'V06 Calend 01'!I51),0))+IF((156='V06 Calend 01'!D51),'V06 Calend 01'!J51,0))</f>
        <v>0</v>
      </c>
      <c r="FM51" s="2">
        <f>((IF((157='V06 Calend 01'!C51),('V06 Calend 01'!F51+'V06 Calend 01'!G51),0)+IF(AND(('V06 Calend 01'!E51&gt;0),(157&gt;'V06 Calend 01'!C51),(157&lt;'V06 Calend 01'!D51),(MOD((157-'V06 Calend 01'!C51),6)=0),(((157-'V06 Calend 01'!C51)/6)&lt;='V06 Calend 01'!E51)),IF((157=('V06 Calend 01'!C51+(6*'V06 Calend 01'!E51))),('V06 Calend 01'!H51-('V06 Calend 01'!I51*('V06 Calend 01'!E51-1))),'V06 Calend 01'!I51),0))+IF((157='V06 Calend 01'!D51),'V06 Calend 01'!J51,0))</f>
        <v>0</v>
      </c>
      <c r="FN51" s="2">
        <f>((IF((158='V06 Calend 01'!C51),('V06 Calend 01'!F51+'V06 Calend 01'!G51),0)+IF(AND(('V06 Calend 01'!E51&gt;0),(158&gt;'V06 Calend 01'!C51),(158&lt;'V06 Calend 01'!D51),(MOD((158-'V06 Calend 01'!C51),6)=0),(((158-'V06 Calend 01'!C51)/6)&lt;='V06 Calend 01'!E51)),IF((158=('V06 Calend 01'!C51+(6*'V06 Calend 01'!E51))),('V06 Calend 01'!H51-('V06 Calend 01'!I51*('V06 Calend 01'!E51-1))),'V06 Calend 01'!I51),0))+IF((158='V06 Calend 01'!D51),'V06 Calend 01'!J51,0))</f>
        <v>0</v>
      </c>
      <c r="FO51" s="2">
        <f>((IF((159='V06 Calend 01'!C51),('V06 Calend 01'!F51+'V06 Calend 01'!G51),0)+IF(AND(('V06 Calend 01'!E51&gt;0),(159&gt;'V06 Calend 01'!C51),(159&lt;'V06 Calend 01'!D51),(MOD((159-'V06 Calend 01'!C51),6)=0),(((159-'V06 Calend 01'!C51)/6)&lt;='V06 Calend 01'!E51)),IF((159=('V06 Calend 01'!C51+(6*'V06 Calend 01'!E51))),('V06 Calend 01'!H51-('V06 Calend 01'!I51*('V06 Calend 01'!E51-1))),'V06 Calend 01'!I51),0))+IF((159='V06 Calend 01'!D51),'V06 Calend 01'!J51,0))</f>
        <v>0</v>
      </c>
      <c r="FP51" s="2">
        <f>((IF((160='V06 Calend 01'!C51),('V06 Calend 01'!F51+'V06 Calend 01'!G51),0)+IF(AND(('V06 Calend 01'!E51&gt;0),(160&gt;'V06 Calend 01'!C51),(160&lt;'V06 Calend 01'!D51),(MOD((160-'V06 Calend 01'!C51),6)=0),(((160-'V06 Calend 01'!C51)/6)&lt;='V06 Calend 01'!E51)),IF((160=('V06 Calend 01'!C51+(6*'V06 Calend 01'!E51))),('V06 Calend 01'!H51-('V06 Calend 01'!I51*('V06 Calend 01'!E51-1))),'V06 Calend 01'!I51),0))+IF((160='V06 Calend 01'!D51),'V06 Calend 01'!J51,0))</f>
        <v>0</v>
      </c>
      <c r="FQ51" s="2">
        <f>((IF((161='V06 Calend 01'!C51),('V06 Calend 01'!F51+'V06 Calend 01'!G51),0)+IF(AND(('V06 Calend 01'!E51&gt;0),(161&gt;'V06 Calend 01'!C51),(161&lt;'V06 Calend 01'!D51),(MOD((161-'V06 Calend 01'!C51),6)=0),(((161-'V06 Calend 01'!C51)/6)&lt;='V06 Calend 01'!E51)),IF((161=('V06 Calend 01'!C51+(6*'V06 Calend 01'!E51))),('V06 Calend 01'!H51-('V06 Calend 01'!I51*('V06 Calend 01'!E51-1))),'V06 Calend 01'!I51),0))+IF((161='V06 Calend 01'!D51),'V06 Calend 01'!J51,0))</f>
        <v>0</v>
      </c>
      <c r="FR51" s="2">
        <f>((IF((162='V06 Calend 01'!C51),('V06 Calend 01'!F51+'V06 Calend 01'!G51),0)+IF(AND(('V06 Calend 01'!E51&gt;0),(162&gt;'V06 Calend 01'!C51),(162&lt;'V06 Calend 01'!D51),(MOD((162-'V06 Calend 01'!C51),6)=0),(((162-'V06 Calend 01'!C51)/6)&lt;='V06 Calend 01'!E51)),IF((162=('V06 Calend 01'!C51+(6*'V06 Calend 01'!E51))),('V06 Calend 01'!H51-('V06 Calend 01'!I51*('V06 Calend 01'!E51-1))),'V06 Calend 01'!I51),0))+IF((162='V06 Calend 01'!D51),'V06 Calend 01'!J51,0))</f>
        <v>0</v>
      </c>
      <c r="FS51" s="2">
        <f>((IF((163='V06 Calend 01'!C51),('V06 Calend 01'!F51+'V06 Calend 01'!G51),0)+IF(AND(('V06 Calend 01'!E51&gt;0),(163&gt;'V06 Calend 01'!C51),(163&lt;'V06 Calend 01'!D51),(MOD((163-'V06 Calend 01'!C51),6)=0),(((163-'V06 Calend 01'!C51)/6)&lt;='V06 Calend 01'!E51)),IF((163=('V06 Calend 01'!C51+(6*'V06 Calend 01'!E51))),('V06 Calend 01'!H51-('V06 Calend 01'!I51*('V06 Calend 01'!E51-1))),'V06 Calend 01'!I51),0))+IF((163='V06 Calend 01'!D51),'V06 Calend 01'!J51,0))</f>
        <v>0</v>
      </c>
      <c r="FT51" s="2">
        <f>((IF((164='V06 Calend 01'!C51),('V06 Calend 01'!F51+'V06 Calend 01'!G51),0)+IF(AND(('V06 Calend 01'!E51&gt;0),(164&gt;'V06 Calend 01'!C51),(164&lt;'V06 Calend 01'!D51),(MOD((164-'V06 Calend 01'!C51),6)=0),(((164-'V06 Calend 01'!C51)/6)&lt;='V06 Calend 01'!E51)),IF((164=('V06 Calend 01'!C51+(6*'V06 Calend 01'!E51))),('V06 Calend 01'!H51-('V06 Calend 01'!I51*('V06 Calend 01'!E51-1))),'V06 Calend 01'!I51),0))+IF((164='V06 Calend 01'!D51),'V06 Calend 01'!J51,0))</f>
        <v>0</v>
      </c>
      <c r="FU51" s="2">
        <f>((IF((165='V06 Calend 01'!C51),('V06 Calend 01'!F51+'V06 Calend 01'!G51),0)+IF(AND(('V06 Calend 01'!E51&gt;0),(165&gt;'V06 Calend 01'!C51),(165&lt;'V06 Calend 01'!D51),(MOD((165-'V06 Calend 01'!C51),6)=0),(((165-'V06 Calend 01'!C51)/6)&lt;='V06 Calend 01'!E51)),IF((165=('V06 Calend 01'!C51+(6*'V06 Calend 01'!E51))),('V06 Calend 01'!H51-('V06 Calend 01'!I51*('V06 Calend 01'!E51-1))),'V06 Calend 01'!I51),0))+IF((165='V06 Calend 01'!D51),'V06 Calend 01'!J51,0))</f>
        <v>0</v>
      </c>
      <c r="FV51" s="2">
        <f>((IF((166='V06 Calend 01'!C51),('V06 Calend 01'!F51+'V06 Calend 01'!G51),0)+IF(AND(('V06 Calend 01'!E51&gt;0),(166&gt;'V06 Calend 01'!C51),(166&lt;'V06 Calend 01'!D51),(MOD((166-'V06 Calend 01'!C51),6)=0),(((166-'V06 Calend 01'!C51)/6)&lt;='V06 Calend 01'!E51)),IF((166=('V06 Calend 01'!C51+(6*'V06 Calend 01'!E51))),('V06 Calend 01'!H51-('V06 Calend 01'!I51*('V06 Calend 01'!E51-1))),'V06 Calend 01'!I51),0))+IF((166='V06 Calend 01'!D51),'V06 Calend 01'!J51,0))</f>
        <v>0</v>
      </c>
      <c r="FW51" s="2">
        <f>((IF((167='V06 Calend 01'!C51),('V06 Calend 01'!F51+'V06 Calend 01'!G51),0)+IF(AND(('V06 Calend 01'!E51&gt;0),(167&gt;'V06 Calend 01'!C51),(167&lt;'V06 Calend 01'!D51),(MOD((167-'V06 Calend 01'!C51),6)=0),(((167-'V06 Calend 01'!C51)/6)&lt;='V06 Calend 01'!E51)),IF((167=('V06 Calend 01'!C51+(6*'V06 Calend 01'!E51))),('V06 Calend 01'!H51-('V06 Calend 01'!I51*('V06 Calend 01'!E51-1))),'V06 Calend 01'!I51),0))+IF((167='V06 Calend 01'!D51),'V06 Calend 01'!J51,0))</f>
        <v>0</v>
      </c>
      <c r="FX51" s="2">
        <f>((IF((168='V06 Calend 01'!C51),('V06 Calend 01'!F51+'V06 Calend 01'!G51),0)+IF(AND(('V06 Calend 01'!E51&gt;0),(168&gt;'V06 Calend 01'!C51),(168&lt;'V06 Calend 01'!D51),(MOD((168-'V06 Calend 01'!C51),6)=0),(((168-'V06 Calend 01'!C51)/6)&lt;='V06 Calend 01'!E51)),IF((168=('V06 Calend 01'!C51+(6*'V06 Calend 01'!E51))),('V06 Calend 01'!H51-('V06 Calend 01'!I51*('V06 Calend 01'!E51-1))),'V06 Calend 01'!I51),0))+IF((168='V06 Calend 01'!D51),'V06 Calend 01'!J51,0))</f>
        <v>0</v>
      </c>
      <c r="FY51" s="2">
        <f>((IF((169='V06 Calend 01'!C51),('V06 Calend 01'!F51+'V06 Calend 01'!G51),0)+IF(AND(('V06 Calend 01'!E51&gt;0),(169&gt;'V06 Calend 01'!C51),(169&lt;'V06 Calend 01'!D51),(MOD((169-'V06 Calend 01'!C51),6)=0),(((169-'V06 Calend 01'!C51)/6)&lt;='V06 Calend 01'!E51)),IF((169=('V06 Calend 01'!C51+(6*'V06 Calend 01'!E51))),('V06 Calend 01'!H51-('V06 Calend 01'!I51*('V06 Calend 01'!E51-1))),'V06 Calend 01'!I51),0))+IF((169='V06 Calend 01'!D51),'V06 Calend 01'!J51,0))</f>
        <v>0</v>
      </c>
      <c r="FZ51" s="2">
        <f>((IF((170='V06 Calend 01'!C51),('V06 Calend 01'!F51+'V06 Calend 01'!G51),0)+IF(AND(('V06 Calend 01'!E51&gt;0),(170&gt;'V06 Calend 01'!C51),(170&lt;'V06 Calend 01'!D51),(MOD((170-'V06 Calend 01'!C51),6)=0),(((170-'V06 Calend 01'!C51)/6)&lt;='V06 Calend 01'!E51)),IF((170=('V06 Calend 01'!C51+(6*'V06 Calend 01'!E51))),('V06 Calend 01'!H51-('V06 Calend 01'!I51*('V06 Calend 01'!E51-1))),'V06 Calend 01'!I51),0))+IF((170='V06 Calend 01'!D51),'V06 Calend 01'!J51,0))</f>
        <v>0</v>
      </c>
      <c r="GA51" s="2">
        <f>((IF((171='V06 Calend 01'!C51),('V06 Calend 01'!F51+'V06 Calend 01'!G51),0)+IF(AND(('V06 Calend 01'!E51&gt;0),(171&gt;'V06 Calend 01'!C51),(171&lt;'V06 Calend 01'!D51),(MOD((171-'V06 Calend 01'!C51),6)=0),(((171-'V06 Calend 01'!C51)/6)&lt;='V06 Calend 01'!E51)),IF((171=('V06 Calend 01'!C51+(6*'V06 Calend 01'!E51))),('V06 Calend 01'!H51-('V06 Calend 01'!I51*('V06 Calend 01'!E51-1))),'V06 Calend 01'!I51),0))+IF((171='V06 Calend 01'!D51),'V06 Calend 01'!J51,0))</f>
        <v>0</v>
      </c>
      <c r="GB51" s="2">
        <f>((IF((172='V06 Calend 01'!C51),('V06 Calend 01'!F51+'V06 Calend 01'!G51),0)+IF(AND(('V06 Calend 01'!E51&gt;0),(172&gt;'V06 Calend 01'!C51),(172&lt;'V06 Calend 01'!D51),(MOD((172-'V06 Calend 01'!C51),6)=0),(((172-'V06 Calend 01'!C51)/6)&lt;='V06 Calend 01'!E51)),IF((172=('V06 Calend 01'!C51+(6*'V06 Calend 01'!E51))),('V06 Calend 01'!H51-('V06 Calend 01'!I51*('V06 Calend 01'!E51-1))),'V06 Calend 01'!I51),0))+IF((172='V06 Calend 01'!D51),'V06 Calend 01'!J51,0))</f>
        <v>0</v>
      </c>
      <c r="GC51" s="2">
        <f>((IF((173='V06 Calend 01'!C51),('V06 Calend 01'!F51+'V06 Calend 01'!G51),0)+IF(AND(('V06 Calend 01'!E51&gt;0),(173&gt;'V06 Calend 01'!C51),(173&lt;'V06 Calend 01'!D51),(MOD((173-'V06 Calend 01'!C51),6)=0),(((173-'V06 Calend 01'!C51)/6)&lt;='V06 Calend 01'!E51)),IF((173=('V06 Calend 01'!C51+(6*'V06 Calend 01'!E51))),('V06 Calend 01'!H51-('V06 Calend 01'!I51*('V06 Calend 01'!E51-1))),'V06 Calend 01'!I51),0))+IF((173='V06 Calend 01'!D51),'V06 Calend 01'!J51,0))</f>
        <v>0</v>
      </c>
      <c r="GD51" s="2">
        <f>((IF((174='V06 Calend 01'!C51),('V06 Calend 01'!F51+'V06 Calend 01'!G51),0)+IF(AND(('V06 Calend 01'!E51&gt;0),(174&gt;'V06 Calend 01'!C51),(174&lt;'V06 Calend 01'!D51),(MOD((174-'V06 Calend 01'!C51),6)=0),(((174-'V06 Calend 01'!C51)/6)&lt;='V06 Calend 01'!E51)),IF((174=('V06 Calend 01'!C51+(6*'V06 Calend 01'!E51))),('V06 Calend 01'!H51-('V06 Calend 01'!I51*('V06 Calend 01'!E51-1))),'V06 Calend 01'!I51),0))+IF((174='V06 Calend 01'!D51),'V06 Calend 01'!J51,0))</f>
        <v>0</v>
      </c>
      <c r="GE51" s="2">
        <f>((IF((175='V06 Calend 01'!C51),('V06 Calend 01'!F51+'V06 Calend 01'!G51),0)+IF(AND(('V06 Calend 01'!E51&gt;0),(175&gt;'V06 Calend 01'!C51),(175&lt;'V06 Calend 01'!D51),(MOD((175-'V06 Calend 01'!C51),6)=0),(((175-'V06 Calend 01'!C51)/6)&lt;='V06 Calend 01'!E51)),IF((175=('V06 Calend 01'!C51+(6*'V06 Calend 01'!E51))),('V06 Calend 01'!H51-('V06 Calend 01'!I51*('V06 Calend 01'!E51-1))),'V06 Calend 01'!I51),0))+IF((175='V06 Calend 01'!D51),'V06 Calend 01'!J51,0))</f>
        <v>0</v>
      </c>
      <c r="GF51" s="2">
        <f>((IF((176='V06 Calend 01'!C51),('V06 Calend 01'!F51+'V06 Calend 01'!G51),0)+IF(AND(('V06 Calend 01'!E51&gt;0),(176&gt;'V06 Calend 01'!C51),(176&lt;'V06 Calend 01'!D51),(MOD((176-'V06 Calend 01'!C51),6)=0),(((176-'V06 Calend 01'!C51)/6)&lt;='V06 Calend 01'!E51)),IF((176=('V06 Calend 01'!C51+(6*'V06 Calend 01'!E51))),('V06 Calend 01'!H51-('V06 Calend 01'!I51*('V06 Calend 01'!E51-1))),'V06 Calend 01'!I51),0))+IF((176='V06 Calend 01'!D51),'V06 Calend 01'!J51,0))</f>
        <v>0</v>
      </c>
      <c r="GG51" s="2">
        <f>((IF((177='V06 Calend 01'!C51),('V06 Calend 01'!F51+'V06 Calend 01'!G51),0)+IF(AND(('V06 Calend 01'!E51&gt;0),(177&gt;'V06 Calend 01'!C51),(177&lt;'V06 Calend 01'!D51),(MOD((177-'V06 Calend 01'!C51),6)=0),(((177-'V06 Calend 01'!C51)/6)&lt;='V06 Calend 01'!E51)),IF((177=('V06 Calend 01'!C51+(6*'V06 Calend 01'!E51))),('V06 Calend 01'!H51-('V06 Calend 01'!I51*('V06 Calend 01'!E51-1))),'V06 Calend 01'!I51),0))+IF((177='V06 Calend 01'!D51),'V06 Calend 01'!J51,0))</f>
        <v>0</v>
      </c>
      <c r="GH51" s="2">
        <f>((IF((178='V06 Calend 01'!C51),('V06 Calend 01'!F51+'V06 Calend 01'!G51),0)+IF(AND(('V06 Calend 01'!E51&gt;0),(178&gt;'V06 Calend 01'!C51),(178&lt;'V06 Calend 01'!D51),(MOD((178-'V06 Calend 01'!C51),6)=0),(((178-'V06 Calend 01'!C51)/6)&lt;='V06 Calend 01'!E51)),IF((178=('V06 Calend 01'!C51+(6*'V06 Calend 01'!E51))),('V06 Calend 01'!H51-('V06 Calend 01'!I51*('V06 Calend 01'!E51-1))),'V06 Calend 01'!I51),0))+IF((178='V06 Calend 01'!D51),'V06 Calend 01'!J51,0))</f>
        <v>0</v>
      </c>
      <c r="GI51" s="2">
        <f>((IF((179='V06 Calend 01'!C51),('V06 Calend 01'!F51+'V06 Calend 01'!G51),0)+IF(AND(('V06 Calend 01'!E51&gt;0),(179&gt;'V06 Calend 01'!C51),(179&lt;'V06 Calend 01'!D51),(MOD((179-'V06 Calend 01'!C51),6)=0),(((179-'V06 Calend 01'!C51)/6)&lt;='V06 Calend 01'!E51)),IF((179=('V06 Calend 01'!C51+(6*'V06 Calend 01'!E51))),('V06 Calend 01'!H51-('V06 Calend 01'!I51*('V06 Calend 01'!E51-1))),'V06 Calend 01'!I51),0))+IF((179='V06 Calend 01'!D51),'V06 Calend 01'!J51,0))</f>
        <v>0</v>
      </c>
      <c r="GJ51" s="2">
        <f>((IF((180='V06 Calend 01'!C51),('V06 Calend 01'!F51+'V06 Calend 01'!G51),0)+IF(AND(('V06 Calend 01'!E51&gt;0),(180&gt;'V06 Calend 01'!C51),(180&lt;'V06 Calend 01'!D51),(MOD((180-'V06 Calend 01'!C51),6)=0),(((180-'V06 Calend 01'!C51)/6)&lt;='V06 Calend 01'!E51)),IF((180=('V06 Calend 01'!C51+(6*'V06 Calend 01'!E51))),('V06 Calend 01'!H51-('V06 Calend 01'!I51*('V06 Calend 01'!E51-1))),'V06 Calend 01'!I51),0))+IF((180='V06 Calend 01'!D51),'V06 Calend 01'!J51,0))</f>
        <v>0</v>
      </c>
    </row>
    <row r="52" spans="1:192">
      <c r="A52" s="3" t="str">
        <f>'V06 Unidades'!$A$52</f>
        <v>608</v>
      </c>
      <c r="B52" s="2">
        <f>'V06 Unidades'!$H$52</f>
        <v>307244.17</v>
      </c>
      <c r="C52" s="4">
        <f>('V06 Unidades'!$I$52+'V06 Controlos'!$B$37)</f>
        <v>4</v>
      </c>
      <c r="D52" s="4">
        <f>IF(('V06 Controlos'!$B$38&gt;0),MAX(('V06 Unidades'!$L$52+'V06 Controlos'!$B$37),(30+'V06 Controlos'!$B$38)),('V06 Unidades'!$L$52+'V06 Controlos'!$B$37))</f>
        <v>30</v>
      </c>
      <c r="E52" s="4">
        <f>MAX(0,INT(((('V06 Calend 01'!D52-'V06 Calend 01'!C52)-1)/6)))</f>
        <v>4</v>
      </c>
      <c r="F52" s="2">
        <f>ROUND(('V06 Calend 01'!B52*0.05),2)</f>
        <v>15362.21</v>
      </c>
      <c r="G52" s="2">
        <f>ROUND(('V06 Calend 01'!B52*0.2),2)</f>
        <v>61448.83</v>
      </c>
      <c r="H52" s="2">
        <f>ROUND(('V06 Calend 01'!B52*0.55),2)</f>
        <v>168984.29</v>
      </c>
      <c r="I52" s="2">
        <f>ROUND(('V06 Calend 01'!H52/MAX(1,'V06 Calend 01'!E52)),2)</f>
        <v>42246.07</v>
      </c>
      <c r="J52" s="2">
        <f>((('V06 Calend 01'!B52-'V06 Calend 01'!F52)-'V06 Calend 01'!G52)-'V06 Calend 01'!H52)</f>
        <v>61448.83999999994</v>
      </c>
      <c r="K52" s="2">
        <f>('V06 Calend 01'!B52*0.025)</f>
        <v>7681.10425</v>
      </c>
      <c r="L52" t="s">
        <v>378</v>
      </c>
      <c r="M52" s="2">
        <f>((IF((1='V06 Calend 01'!C52),('V06 Calend 01'!F52+'V06 Calend 01'!G52),0)+IF(AND(('V06 Calend 01'!E52&gt;0),(1&gt;'V06 Calend 01'!C52),(1&lt;'V06 Calend 01'!D52),(MOD((1-'V06 Calend 01'!C52),6)=0),(((1-'V06 Calend 01'!C52)/6)&lt;='V06 Calend 01'!E52)),IF((1=('V06 Calend 01'!C52+(6*'V06 Calend 01'!E52))),('V06 Calend 01'!H52-('V06 Calend 01'!I52*('V06 Calend 01'!E52-1))),'V06 Calend 01'!I52),0))+IF((1='V06 Calend 01'!D52),'V06 Calend 01'!J52,0))</f>
        <v>0</v>
      </c>
      <c r="N52" s="2">
        <f>((IF((2='V06 Calend 01'!C52),('V06 Calend 01'!F52+'V06 Calend 01'!G52),0)+IF(AND(('V06 Calend 01'!E52&gt;0),(2&gt;'V06 Calend 01'!C52),(2&lt;'V06 Calend 01'!D52),(MOD((2-'V06 Calend 01'!C52),6)=0),(((2-'V06 Calend 01'!C52)/6)&lt;='V06 Calend 01'!E52)),IF((2=('V06 Calend 01'!C52+(6*'V06 Calend 01'!E52))),('V06 Calend 01'!H52-('V06 Calend 01'!I52*('V06 Calend 01'!E52-1))),'V06 Calend 01'!I52),0))+IF((2='V06 Calend 01'!D52),'V06 Calend 01'!J52,0))</f>
        <v>0</v>
      </c>
      <c r="O52" s="2">
        <f>((IF((3='V06 Calend 01'!C52),('V06 Calend 01'!F52+'V06 Calend 01'!G52),0)+IF(AND(('V06 Calend 01'!E52&gt;0),(3&gt;'V06 Calend 01'!C52),(3&lt;'V06 Calend 01'!D52),(MOD((3-'V06 Calend 01'!C52),6)=0),(((3-'V06 Calend 01'!C52)/6)&lt;='V06 Calend 01'!E52)),IF((3=('V06 Calend 01'!C52+(6*'V06 Calend 01'!E52))),('V06 Calend 01'!H52-('V06 Calend 01'!I52*('V06 Calend 01'!E52-1))),'V06 Calend 01'!I52),0))+IF((3='V06 Calend 01'!D52),'V06 Calend 01'!J52,0))</f>
        <v>0</v>
      </c>
      <c r="P52" s="2">
        <f>((IF((4='V06 Calend 01'!C52),('V06 Calend 01'!F52+'V06 Calend 01'!G52),0)+IF(AND(('V06 Calend 01'!E52&gt;0),(4&gt;'V06 Calend 01'!C52),(4&lt;'V06 Calend 01'!D52),(MOD((4-'V06 Calend 01'!C52),6)=0),(((4-'V06 Calend 01'!C52)/6)&lt;='V06 Calend 01'!E52)),IF((4=('V06 Calend 01'!C52+(6*'V06 Calend 01'!E52))),('V06 Calend 01'!H52-('V06 Calend 01'!I52*('V06 Calend 01'!E52-1))),'V06 Calend 01'!I52),0))+IF((4='V06 Calend 01'!D52),'V06 Calend 01'!J52,0))</f>
        <v>76811.04000000001</v>
      </c>
      <c r="Q52" s="2">
        <f>((IF((5='V06 Calend 01'!C52),('V06 Calend 01'!F52+'V06 Calend 01'!G52),0)+IF(AND(('V06 Calend 01'!E52&gt;0),(5&gt;'V06 Calend 01'!C52),(5&lt;'V06 Calend 01'!D52),(MOD((5-'V06 Calend 01'!C52),6)=0),(((5-'V06 Calend 01'!C52)/6)&lt;='V06 Calend 01'!E52)),IF((5=('V06 Calend 01'!C52+(6*'V06 Calend 01'!E52))),('V06 Calend 01'!H52-('V06 Calend 01'!I52*('V06 Calend 01'!E52-1))),'V06 Calend 01'!I52),0))+IF((5='V06 Calend 01'!D52),'V06 Calend 01'!J52,0))</f>
        <v>0</v>
      </c>
      <c r="R52" s="2">
        <f>((IF((6='V06 Calend 01'!C52),('V06 Calend 01'!F52+'V06 Calend 01'!G52),0)+IF(AND(('V06 Calend 01'!E52&gt;0),(6&gt;'V06 Calend 01'!C52),(6&lt;'V06 Calend 01'!D52),(MOD((6-'V06 Calend 01'!C52),6)=0),(((6-'V06 Calend 01'!C52)/6)&lt;='V06 Calend 01'!E52)),IF((6=('V06 Calend 01'!C52+(6*'V06 Calend 01'!E52))),('V06 Calend 01'!H52-('V06 Calend 01'!I52*('V06 Calend 01'!E52-1))),'V06 Calend 01'!I52),0))+IF((6='V06 Calend 01'!D52),'V06 Calend 01'!J52,0))</f>
        <v>0</v>
      </c>
      <c r="S52" s="2">
        <f>((IF((7='V06 Calend 01'!C52),('V06 Calend 01'!F52+'V06 Calend 01'!G52),0)+IF(AND(('V06 Calend 01'!E52&gt;0),(7&gt;'V06 Calend 01'!C52),(7&lt;'V06 Calend 01'!D52),(MOD((7-'V06 Calend 01'!C52),6)=0),(((7-'V06 Calend 01'!C52)/6)&lt;='V06 Calend 01'!E52)),IF((7=('V06 Calend 01'!C52+(6*'V06 Calend 01'!E52))),('V06 Calend 01'!H52-('V06 Calend 01'!I52*('V06 Calend 01'!E52-1))),'V06 Calend 01'!I52),0))+IF((7='V06 Calend 01'!D52),'V06 Calend 01'!J52,0))</f>
        <v>0</v>
      </c>
      <c r="T52" s="2">
        <f>((IF((8='V06 Calend 01'!C52),('V06 Calend 01'!F52+'V06 Calend 01'!G52),0)+IF(AND(('V06 Calend 01'!E52&gt;0),(8&gt;'V06 Calend 01'!C52),(8&lt;'V06 Calend 01'!D52),(MOD((8-'V06 Calend 01'!C52),6)=0),(((8-'V06 Calend 01'!C52)/6)&lt;='V06 Calend 01'!E52)),IF((8=('V06 Calend 01'!C52+(6*'V06 Calend 01'!E52))),('V06 Calend 01'!H52-('V06 Calend 01'!I52*('V06 Calend 01'!E52-1))),'V06 Calend 01'!I52),0))+IF((8='V06 Calend 01'!D52),'V06 Calend 01'!J52,0))</f>
        <v>0</v>
      </c>
      <c r="U52" s="2">
        <f>((IF((9='V06 Calend 01'!C52),('V06 Calend 01'!F52+'V06 Calend 01'!G52),0)+IF(AND(('V06 Calend 01'!E52&gt;0),(9&gt;'V06 Calend 01'!C52),(9&lt;'V06 Calend 01'!D52),(MOD((9-'V06 Calend 01'!C52),6)=0),(((9-'V06 Calend 01'!C52)/6)&lt;='V06 Calend 01'!E52)),IF((9=('V06 Calend 01'!C52+(6*'V06 Calend 01'!E52))),('V06 Calend 01'!H52-('V06 Calend 01'!I52*('V06 Calend 01'!E52-1))),'V06 Calend 01'!I52),0))+IF((9='V06 Calend 01'!D52),'V06 Calend 01'!J52,0))</f>
        <v>0</v>
      </c>
      <c r="V52" s="2">
        <f>((IF((10='V06 Calend 01'!C52),('V06 Calend 01'!F52+'V06 Calend 01'!G52),0)+IF(AND(('V06 Calend 01'!E52&gt;0),(10&gt;'V06 Calend 01'!C52),(10&lt;'V06 Calend 01'!D52),(MOD((10-'V06 Calend 01'!C52),6)=0),(((10-'V06 Calend 01'!C52)/6)&lt;='V06 Calend 01'!E52)),IF((10=('V06 Calend 01'!C52+(6*'V06 Calend 01'!E52))),('V06 Calend 01'!H52-('V06 Calend 01'!I52*('V06 Calend 01'!E52-1))),'V06 Calend 01'!I52),0))+IF((10='V06 Calend 01'!D52),'V06 Calend 01'!J52,0))</f>
        <v>42246.07</v>
      </c>
      <c r="W52" s="2">
        <f>((IF((11='V06 Calend 01'!C52),('V06 Calend 01'!F52+'V06 Calend 01'!G52),0)+IF(AND(('V06 Calend 01'!E52&gt;0),(11&gt;'V06 Calend 01'!C52),(11&lt;'V06 Calend 01'!D52),(MOD((11-'V06 Calend 01'!C52),6)=0),(((11-'V06 Calend 01'!C52)/6)&lt;='V06 Calend 01'!E52)),IF((11=('V06 Calend 01'!C52+(6*'V06 Calend 01'!E52))),('V06 Calend 01'!H52-('V06 Calend 01'!I52*('V06 Calend 01'!E52-1))),'V06 Calend 01'!I52),0))+IF((11='V06 Calend 01'!D52),'V06 Calend 01'!J52,0))</f>
        <v>0</v>
      </c>
      <c r="X52" s="2">
        <f>((IF((12='V06 Calend 01'!C52),('V06 Calend 01'!F52+'V06 Calend 01'!G52),0)+IF(AND(('V06 Calend 01'!E52&gt;0),(12&gt;'V06 Calend 01'!C52),(12&lt;'V06 Calend 01'!D52),(MOD((12-'V06 Calend 01'!C52),6)=0),(((12-'V06 Calend 01'!C52)/6)&lt;='V06 Calend 01'!E52)),IF((12=('V06 Calend 01'!C52+(6*'V06 Calend 01'!E52))),('V06 Calend 01'!H52-('V06 Calend 01'!I52*('V06 Calend 01'!E52-1))),'V06 Calend 01'!I52),0))+IF((12='V06 Calend 01'!D52),'V06 Calend 01'!J52,0))</f>
        <v>0</v>
      </c>
      <c r="Y52" s="2">
        <f>((IF((13='V06 Calend 01'!C52),('V06 Calend 01'!F52+'V06 Calend 01'!G52),0)+IF(AND(('V06 Calend 01'!E52&gt;0),(13&gt;'V06 Calend 01'!C52),(13&lt;'V06 Calend 01'!D52),(MOD((13-'V06 Calend 01'!C52),6)=0),(((13-'V06 Calend 01'!C52)/6)&lt;='V06 Calend 01'!E52)),IF((13=('V06 Calend 01'!C52+(6*'V06 Calend 01'!E52))),('V06 Calend 01'!H52-('V06 Calend 01'!I52*('V06 Calend 01'!E52-1))),'V06 Calend 01'!I52),0))+IF((13='V06 Calend 01'!D52),'V06 Calend 01'!J52,0))</f>
        <v>0</v>
      </c>
      <c r="Z52" s="2">
        <f>((IF((14='V06 Calend 01'!C52),('V06 Calend 01'!F52+'V06 Calend 01'!G52),0)+IF(AND(('V06 Calend 01'!E52&gt;0),(14&gt;'V06 Calend 01'!C52),(14&lt;'V06 Calend 01'!D52),(MOD((14-'V06 Calend 01'!C52),6)=0),(((14-'V06 Calend 01'!C52)/6)&lt;='V06 Calend 01'!E52)),IF((14=('V06 Calend 01'!C52+(6*'V06 Calend 01'!E52))),('V06 Calend 01'!H52-('V06 Calend 01'!I52*('V06 Calend 01'!E52-1))),'V06 Calend 01'!I52),0))+IF((14='V06 Calend 01'!D52),'V06 Calend 01'!J52,0))</f>
        <v>0</v>
      </c>
      <c r="AA52" s="2">
        <f>((IF((15='V06 Calend 01'!C52),('V06 Calend 01'!F52+'V06 Calend 01'!G52),0)+IF(AND(('V06 Calend 01'!E52&gt;0),(15&gt;'V06 Calend 01'!C52),(15&lt;'V06 Calend 01'!D52),(MOD((15-'V06 Calend 01'!C52),6)=0),(((15-'V06 Calend 01'!C52)/6)&lt;='V06 Calend 01'!E52)),IF((15=('V06 Calend 01'!C52+(6*'V06 Calend 01'!E52))),('V06 Calend 01'!H52-('V06 Calend 01'!I52*('V06 Calend 01'!E52-1))),'V06 Calend 01'!I52),0))+IF((15='V06 Calend 01'!D52),'V06 Calend 01'!J52,0))</f>
        <v>0</v>
      </c>
      <c r="AB52" s="2">
        <f>((IF((16='V06 Calend 01'!C52),('V06 Calend 01'!F52+'V06 Calend 01'!G52),0)+IF(AND(('V06 Calend 01'!E52&gt;0),(16&gt;'V06 Calend 01'!C52),(16&lt;'V06 Calend 01'!D52),(MOD((16-'V06 Calend 01'!C52),6)=0),(((16-'V06 Calend 01'!C52)/6)&lt;='V06 Calend 01'!E52)),IF((16=('V06 Calend 01'!C52+(6*'V06 Calend 01'!E52))),('V06 Calend 01'!H52-('V06 Calend 01'!I52*('V06 Calend 01'!E52-1))),'V06 Calend 01'!I52),0))+IF((16='V06 Calend 01'!D52),'V06 Calend 01'!J52,0))</f>
        <v>42246.07</v>
      </c>
      <c r="AC52" s="2">
        <f>((IF((17='V06 Calend 01'!C52),('V06 Calend 01'!F52+'V06 Calend 01'!G52),0)+IF(AND(('V06 Calend 01'!E52&gt;0),(17&gt;'V06 Calend 01'!C52),(17&lt;'V06 Calend 01'!D52),(MOD((17-'V06 Calend 01'!C52),6)=0),(((17-'V06 Calend 01'!C52)/6)&lt;='V06 Calend 01'!E52)),IF((17=('V06 Calend 01'!C52+(6*'V06 Calend 01'!E52))),('V06 Calend 01'!H52-('V06 Calend 01'!I52*('V06 Calend 01'!E52-1))),'V06 Calend 01'!I52),0))+IF((17='V06 Calend 01'!D52),'V06 Calend 01'!J52,0))</f>
        <v>0</v>
      </c>
      <c r="AD52" s="2">
        <f>((IF((18='V06 Calend 01'!C52),('V06 Calend 01'!F52+'V06 Calend 01'!G52),0)+IF(AND(('V06 Calend 01'!E52&gt;0),(18&gt;'V06 Calend 01'!C52),(18&lt;'V06 Calend 01'!D52),(MOD((18-'V06 Calend 01'!C52),6)=0),(((18-'V06 Calend 01'!C52)/6)&lt;='V06 Calend 01'!E52)),IF((18=('V06 Calend 01'!C52+(6*'V06 Calend 01'!E52))),('V06 Calend 01'!H52-('V06 Calend 01'!I52*('V06 Calend 01'!E52-1))),'V06 Calend 01'!I52),0))+IF((18='V06 Calend 01'!D52),'V06 Calend 01'!J52,0))</f>
        <v>0</v>
      </c>
      <c r="AE52" s="2">
        <f>((IF((19='V06 Calend 01'!C52),('V06 Calend 01'!F52+'V06 Calend 01'!G52),0)+IF(AND(('V06 Calend 01'!E52&gt;0),(19&gt;'V06 Calend 01'!C52),(19&lt;'V06 Calend 01'!D52),(MOD((19-'V06 Calend 01'!C52),6)=0),(((19-'V06 Calend 01'!C52)/6)&lt;='V06 Calend 01'!E52)),IF((19=('V06 Calend 01'!C52+(6*'V06 Calend 01'!E52))),('V06 Calend 01'!H52-('V06 Calend 01'!I52*('V06 Calend 01'!E52-1))),'V06 Calend 01'!I52),0))+IF((19='V06 Calend 01'!D52),'V06 Calend 01'!J52,0))</f>
        <v>0</v>
      </c>
      <c r="AF52" s="2">
        <f>((IF((20='V06 Calend 01'!C52),('V06 Calend 01'!F52+'V06 Calend 01'!G52),0)+IF(AND(('V06 Calend 01'!E52&gt;0),(20&gt;'V06 Calend 01'!C52),(20&lt;'V06 Calend 01'!D52),(MOD((20-'V06 Calend 01'!C52),6)=0),(((20-'V06 Calend 01'!C52)/6)&lt;='V06 Calend 01'!E52)),IF((20=('V06 Calend 01'!C52+(6*'V06 Calend 01'!E52))),('V06 Calend 01'!H52-('V06 Calend 01'!I52*('V06 Calend 01'!E52-1))),'V06 Calend 01'!I52),0))+IF((20='V06 Calend 01'!D52),'V06 Calend 01'!J52,0))</f>
        <v>0</v>
      </c>
      <c r="AG52" s="2">
        <f>((IF((21='V06 Calend 01'!C52),('V06 Calend 01'!F52+'V06 Calend 01'!G52),0)+IF(AND(('V06 Calend 01'!E52&gt;0),(21&gt;'V06 Calend 01'!C52),(21&lt;'V06 Calend 01'!D52),(MOD((21-'V06 Calend 01'!C52),6)=0),(((21-'V06 Calend 01'!C52)/6)&lt;='V06 Calend 01'!E52)),IF((21=('V06 Calend 01'!C52+(6*'V06 Calend 01'!E52))),('V06 Calend 01'!H52-('V06 Calend 01'!I52*('V06 Calend 01'!E52-1))),'V06 Calend 01'!I52),0))+IF((21='V06 Calend 01'!D52),'V06 Calend 01'!J52,0))</f>
        <v>0</v>
      </c>
      <c r="AH52" s="2">
        <f>((IF((22='V06 Calend 01'!C52),('V06 Calend 01'!F52+'V06 Calend 01'!G52),0)+IF(AND(('V06 Calend 01'!E52&gt;0),(22&gt;'V06 Calend 01'!C52),(22&lt;'V06 Calend 01'!D52),(MOD((22-'V06 Calend 01'!C52),6)=0),(((22-'V06 Calend 01'!C52)/6)&lt;='V06 Calend 01'!E52)),IF((22=('V06 Calend 01'!C52+(6*'V06 Calend 01'!E52))),('V06 Calend 01'!H52-('V06 Calend 01'!I52*('V06 Calend 01'!E52-1))),'V06 Calend 01'!I52),0))+IF((22='V06 Calend 01'!D52),'V06 Calend 01'!J52,0))</f>
        <v>42246.07</v>
      </c>
      <c r="AI52" s="2">
        <f>((IF((23='V06 Calend 01'!C52),('V06 Calend 01'!F52+'V06 Calend 01'!G52),0)+IF(AND(('V06 Calend 01'!E52&gt;0),(23&gt;'V06 Calend 01'!C52),(23&lt;'V06 Calend 01'!D52),(MOD((23-'V06 Calend 01'!C52),6)=0),(((23-'V06 Calend 01'!C52)/6)&lt;='V06 Calend 01'!E52)),IF((23=('V06 Calend 01'!C52+(6*'V06 Calend 01'!E52))),('V06 Calend 01'!H52-('V06 Calend 01'!I52*('V06 Calend 01'!E52-1))),'V06 Calend 01'!I52),0))+IF((23='V06 Calend 01'!D52),'V06 Calend 01'!J52,0))</f>
        <v>0</v>
      </c>
      <c r="AJ52" s="2">
        <f>((IF((24='V06 Calend 01'!C52),('V06 Calend 01'!F52+'V06 Calend 01'!G52),0)+IF(AND(('V06 Calend 01'!E52&gt;0),(24&gt;'V06 Calend 01'!C52),(24&lt;'V06 Calend 01'!D52),(MOD((24-'V06 Calend 01'!C52),6)=0),(((24-'V06 Calend 01'!C52)/6)&lt;='V06 Calend 01'!E52)),IF((24=('V06 Calend 01'!C52+(6*'V06 Calend 01'!E52))),('V06 Calend 01'!H52-('V06 Calend 01'!I52*('V06 Calend 01'!E52-1))),'V06 Calend 01'!I52),0))+IF((24='V06 Calend 01'!D52),'V06 Calend 01'!J52,0))</f>
        <v>0</v>
      </c>
      <c r="AK52" s="2">
        <f>((IF((25='V06 Calend 01'!C52),('V06 Calend 01'!F52+'V06 Calend 01'!G52),0)+IF(AND(('V06 Calend 01'!E52&gt;0),(25&gt;'V06 Calend 01'!C52),(25&lt;'V06 Calend 01'!D52),(MOD((25-'V06 Calend 01'!C52),6)=0),(((25-'V06 Calend 01'!C52)/6)&lt;='V06 Calend 01'!E52)),IF((25=('V06 Calend 01'!C52+(6*'V06 Calend 01'!E52))),('V06 Calend 01'!H52-('V06 Calend 01'!I52*('V06 Calend 01'!E52-1))),'V06 Calend 01'!I52),0))+IF((25='V06 Calend 01'!D52),'V06 Calend 01'!J52,0))</f>
        <v>0</v>
      </c>
      <c r="AL52" s="2">
        <f>((IF((26='V06 Calend 01'!C52),('V06 Calend 01'!F52+'V06 Calend 01'!G52),0)+IF(AND(('V06 Calend 01'!E52&gt;0),(26&gt;'V06 Calend 01'!C52),(26&lt;'V06 Calend 01'!D52),(MOD((26-'V06 Calend 01'!C52),6)=0),(((26-'V06 Calend 01'!C52)/6)&lt;='V06 Calend 01'!E52)),IF((26=('V06 Calend 01'!C52+(6*'V06 Calend 01'!E52))),('V06 Calend 01'!H52-('V06 Calend 01'!I52*('V06 Calend 01'!E52-1))),'V06 Calend 01'!I52),0))+IF((26='V06 Calend 01'!D52),'V06 Calend 01'!J52,0))</f>
        <v>0</v>
      </c>
      <c r="AM52" s="2">
        <f>((IF((27='V06 Calend 01'!C52),('V06 Calend 01'!F52+'V06 Calend 01'!G52),0)+IF(AND(('V06 Calend 01'!E52&gt;0),(27&gt;'V06 Calend 01'!C52),(27&lt;'V06 Calend 01'!D52),(MOD((27-'V06 Calend 01'!C52),6)=0),(((27-'V06 Calend 01'!C52)/6)&lt;='V06 Calend 01'!E52)),IF((27=('V06 Calend 01'!C52+(6*'V06 Calend 01'!E52))),('V06 Calend 01'!H52-('V06 Calend 01'!I52*('V06 Calend 01'!E52-1))),'V06 Calend 01'!I52),0))+IF((27='V06 Calend 01'!D52),'V06 Calend 01'!J52,0))</f>
        <v>0</v>
      </c>
      <c r="AN52" s="2">
        <f>((IF((28='V06 Calend 01'!C52),('V06 Calend 01'!F52+'V06 Calend 01'!G52),0)+IF(AND(('V06 Calend 01'!E52&gt;0),(28&gt;'V06 Calend 01'!C52),(28&lt;'V06 Calend 01'!D52),(MOD((28-'V06 Calend 01'!C52),6)=0),(((28-'V06 Calend 01'!C52)/6)&lt;='V06 Calend 01'!E52)),IF((28=('V06 Calend 01'!C52+(6*'V06 Calend 01'!E52))),('V06 Calend 01'!H52-('V06 Calend 01'!I52*('V06 Calend 01'!E52-1))),'V06 Calend 01'!I52),0))+IF((28='V06 Calend 01'!D52),'V06 Calend 01'!J52,0))</f>
        <v>42246.080000000016</v>
      </c>
      <c r="AO52" s="2">
        <f>((IF((29='V06 Calend 01'!C52),('V06 Calend 01'!F52+'V06 Calend 01'!G52),0)+IF(AND(('V06 Calend 01'!E52&gt;0),(29&gt;'V06 Calend 01'!C52),(29&lt;'V06 Calend 01'!D52),(MOD((29-'V06 Calend 01'!C52),6)=0),(((29-'V06 Calend 01'!C52)/6)&lt;='V06 Calend 01'!E52)),IF((29=('V06 Calend 01'!C52+(6*'V06 Calend 01'!E52))),('V06 Calend 01'!H52-('V06 Calend 01'!I52*('V06 Calend 01'!E52-1))),'V06 Calend 01'!I52),0))+IF((29='V06 Calend 01'!D52),'V06 Calend 01'!J52,0))</f>
        <v>0</v>
      </c>
      <c r="AP52" s="2">
        <f>((IF((30='V06 Calend 01'!C52),('V06 Calend 01'!F52+'V06 Calend 01'!G52),0)+IF(AND(('V06 Calend 01'!E52&gt;0),(30&gt;'V06 Calend 01'!C52),(30&lt;'V06 Calend 01'!D52),(MOD((30-'V06 Calend 01'!C52),6)=0),(((30-'V06 Calend 01'!C52)/6)&lt;='V06 Calend 01'!E52)),IF((30=('V06 Calend 01'!C52+(6*'V06 Calend 01'!E52))),('V06 Calend 01'!H52-('V06 Calend 01'!I52*('V06 Calend 01'!E52-1))),'V06 Calend 01'!I52),0))+IF((30='V06 Calend 01'!D52),'V06 Calend 01'!J52,0))</f>
        <v>61448.83999999994</v>
      </c>
      <c r="AQ52" s="2">
        <f>((IF((31='V06 Calend 01'!C52),('V06 Calend 01'!F52+'V06 Calend 01'!G52),0)+IF(AND(('V06 Calend 01'!E52&gt;0),(31&gt;'V06 Calend 01'!C52),(31&lt;'V06 Calend 01'!D52),(MOD((31-'V06 Calend 01'!C52),6)=0),(((31-'V06 Calend 01'!C52)/6)&lt;='V06 Calend 01'!E52)),IF((31=('V06 Calend 01'!C52+(6*'V06 Calend 01'!E52))),('V06 Calend 01'!H52-('V06 Calend 01'!I52*('V06 Calend 01'!E52-1))),'V06 Calend 01'!I52),0))+IF((31='V06 Calend 01'!D52),'V06 Calend 01'!J52,0))</f>
        <v>0</v>
      </c>
      <c r="AR52" s="2">
        <f>((IF((32='V06 Calend 01'!C52),('V06 Calend 01'!F52+'V06 Calend 01'!G52),0)+IF(AND(('V06 Calend 01'!E52&gt;0),(32&gt;'V06 Calend 01'!C52),(32&lt;'V06 Calend 01'!D52),(MOD((32-'V06 Calend 01'!C52),6)=0),(((32-'V06 Calend 01'!C52)/6)&lt;='V06 Calend 01'!E52)),IF((32=('V06 Calend 01'!C52+(6*'V06 Calend 01'!E52))),('V06 Calend 01'!H52-('V06 Calend 01'!I52*('V06 Calend 01'!E52-1))),'V06 Calend 01'!I52),0))+IF((32='V06 Calend 01'!D52),'V06 Calend 01'!J52,0))</f>
        <v>0</v>
      </c>
      <c r="AS52" s="2">
        <f>((IF((33='V06 Calend 01'!C52),('V06 Calend 01'!F52+'V06 Calend 01'!G52),0)+IF(AND(('V06 Calend 01'!E52&gt;0),(33&gt;'V06 Calend 01'!C52),(33&lt;'V06 Calend 01'!D52),(MOD((33-'V06 Calend 01'!C52),6)=0),(((33-'V06 Calend 01'!C52)/6)&lt;='V06 Calend 01'!E52)),IF((33=('V06 Calend 01'!C52+(6*'V06 Calend 01'!E52))),('V06 Calend 01'!H52-('V06 Calend 01'!I52*('V06 Calend 01'!E52-1))),'V06 Calend 01'!I52),0))+IF((33='V06 Calend 01'!D52),'V06 Calend 01'!J52,0))</f>
        <v>0</v>
      </c>
      <c r="AT52" s="2">
        <f>((IF((34='V06 Calend 01'!C52),('V06 Calend 01'!F52+'V06 Calend 01'!G52),0)+IF(AND(('V06 Calend 01'!E52&gt;0),(34&gt;'V06 Calend 01'!C52),(34&lt;'V06 Calend 01'!D52),(MOD((34-'V06 Calend 01'!C52),6)=0),(((34-'V06 Calend 01'!C52)/6)&lt;='V06 Calend 01'!E52)),IF((34=('V06 Calend 01'!C52+(6*'V06 Calend 01'!E52))),('V06 Calend 01'!H52-('V06 Calend 01'!I52*('V06 Calend 01'!E52-1))),'V06 Calend 01'!I52),0))+IF((34='V06 Calend 01'!D52),'V06 Calend 01'!J52,0))</f>
        <v>0</v>
      </c>
      <c r="AU52" s="2">
        <f>((IF((35='V06 Calend 01'!C52),('V06 Calend 01'!F52+'V06 Calend 01'!G52),0)+IF(AND(('V06 Calend 01'!E52&gt;0),(35&gt;'V06 Calend 01'!C52),(35&lt;'V06 Calend 01'!D52),(MOD((35-'V06 Calend 01'!C52),6)=0),(((35-'V06 Calend 01'!C52)/6)&lt;='V06 Calend 01'!E52)),IF((35=('V06 Calend 01'!C52+(6*'V06 Calend 01'!E52))),('V06 Calend 01'!H52-('V06 Calend 01'!I52*('V06 Calend 01'!E52-1))),'V06 Calend 01'!I52),0))+IF((35='V06 Calend 01'!D52),'V06 Calend 01'!J52,0))</f>
        <v>0</v>
      </c>
      <c r="AV52" s="2">
        <f>((IF((36='V06 Calend 01'!C52),('V06 Calend 01'!F52+'V06 Calend 01'!G52),0)+IF(AND(('V06 Calend 01'!E52&gt;0),(36&gt;'V06 Calend 01'!C52),(36&lt;'V06 Calend 01'!D52),(MOD((36-'V06 Calend 01'!C52),6)=0),(((36-'V06 Calend 01'!C52)/6)&lt;='V06 Calend 01'!E52)),IF((36=('V06 Calend 01'!C52+(6*'V06 Calend 01'!E52))),('V06 Calend 01'!H52-('V06 Calend 01'!I52*('V06 Calend 01'!E52-1))),'V06 Calend 01'!I52),0))+IF((36='V06 Calend 01'!D52),'V06 Calend 01'!J52,0))</f>
        <v>0</v>
      </c>
      <c r="AW52" s="2">
        <f>((IF((37='V06 Calend 01'!C52),('V06 Calend 01'!F52+'V06 Calend 01'!G52),0)+IF(AND(('V06 Calend 01'!E52&gt;0),(37&gt;'V06 Calend 01'!C52),(37&lt;'V06 Calend 01'!D52),(MOD((37-'V06 Calend 01'!C52),6)=0),(((37-'V06 Calend 01'!C52)/6)&lt;='V06 Calend 01'!E52)),IF((37=('V06 Calend 01'!C52+(6*'V06 Calend 01'!E52))),('V06 Calend 01'!H52-('V06 Calend 01'!I52*('V06 Calend 01'!E52-1))),'V06 Calend 01'!I52),0))+IF((37='V06 Calend 01'!D52),'V06 Calend 01'!J52,0))</f>
        <v>0</v>
      </c>
      <c r="AX52" s="2">
        <f>((IF((38='V06 Calend 01'!C52),('V06 Calend 01'!F52+'V06 Calend 01'!G52),0)+IF(AND(('V06 Calend 01'!E52&gt;0),(38&gt;'V06 Calend 01'!C52),(38&lt;'V06 Calend 01'!D52),(MOD((38-'V06 Calend 01'!C52),6)=0),(((38-'V06 Calend 01'!C52)/6)&lt;='V06 Calend 01'!E52)),IF((38=('V06 Calend 01'!C52+(6*'V06 Calend 01'!E52))),('V06 Calend 01'!H52-('V06 Calend 01'!I52*('V06 Calend 01'!E52-1))),'V06 Calend 01'!I52),0))+IF((38='V06 Calend 01'!D52),'V06 Calend 01'!J52,0))</f>
        <v>0</v>
      </c>
      <c r="AY52" s="2">
        <f>((IF((39='V06 Calend 01'!C52),('V06 Calend 01'!F52+'V06 Calend 01'!G52),0)+IF(AND(('V06 Calend 01'!E52&gt;0),(39&gt;'V06 Calend 01'!C52),(39&lt;'V06 Calend 01'!D52),(MOD((39-'V06 Calend 01'!C52),6)=0),(((39-'V06 Calend 01'!C52)/6)&lt;='V06 Calend 01'!E52)),IF((39=('V06 Calend 01'!C52+(6*'V06 Calend 01'!E52))),('V06 Calend 01'!H52-('V06 Calend 01'!I52*('V06 Calend 01'!E52-1))),'V06 Calend 01'!I52),0))+IF((39='V06 Calend 01'!D52),'V06 Calend 01'!J52,0))</f>
        <v>0</v>
      </c>
      <c r="AZ52" s="2">
        <f>((IF((40='V06 Calend 01'!C52),('V06 Calend 01'!F52+'V06 Calend 01'!G52),0)+IF(AND(('V06 Calend 01'!E52&gt;0),(40&gt;'V06 Calend 01'!C52),(40&lt;'V06 Calend 01'!D52),(MOD((40-'V06 Calend 01'!C52),6)=0),(((40-'V06 Calend 01'!C52)/6)&lt;='V06 Calend 01'!E52)),IF((40=('V06 Calend 01'!C52+(6*'V06 Calend 01'!E52))),('V06 Calend 01'!H52-('V06 Calend 01'!I52*('V06 Calend 01'!E52-1))),'V06 Calend 01'!I52),0))+IF((40='V06 Calend 01'!D52),'V06 Calend 01'!J52,0))</f>
        <v>0</v>
      </c>
      <c r="BA52" s="2">
        <f>((IF((41='V06 Calend 01'!C52),('V06 Calend 01'!F52+'V06 Calend 01'!G52),0)+IF(AND(('V06 Calend 01'!E52&gt;0),(41&gt;'V06 Calend 01'!C52),(41&lt;'V06 Calend 01'!D52),(MOD((41-'V06 Calend 01'!C52),6)=0),(((41-'V06 Calend 01'!C52)/6)&lt;='V06 Calend 01'!E52)),IF((41=('V06 Calend 01'!C52+(6*'V06 Calend 01'!E52))),('V06 Calend 01'!H52-('V06 Calend 01'!I52*('V06 Calend 01'!E52-1))),'V06 Calend 01'!I52),0))+IF((41='V06 Calend 01'!D52),'V06 Calend 01'!J52,0))</f>
        <v>0</v>
      </c>
      <c r="BB52" s="2">
        <f>((IF((42='V06 Calend 01'!C52),('V06 Calend 01'!F52+'V06 Calend 01'!G52),0)+IF(AND(('V06 Calend 01'!E52&gt;0),(42&gt;'V06 Calend 01'!C52),(42&lt;'V06 Calend 01'!D52),(MOD((42-'V06 Calend 01'!C52),6)=0),(((42-'V06 Calend 01'!C52)/6)&lt;='V06 Calend 01'!E52)),IF((42=('V06 Calend 01'!C52+(6*'V06 Calend 01'!E52))),('V06 Calend 01'!H52-('V06 Calend 01'!I52*('V06 Calend 01'!E52-1))),'V06 Calend 01'!I52),0))+IF((42='V06 Calend 01'!D52),'V06 Calend 01'!J52,0))</f>
        <v>0</v>
      </c>
      <c r="BC52" s="2">
        <f>((IF((43='V06 Calend 01'!C52),('V06 Calend 01'!F52+'V06 Calend 01'!G52),0)+IF(AND(('V06 Calend 01'!E52&gt;0),(43&gt;'V06 Calend 01'!C52),(43&lt;'V06 Calend 01'!D52),(MOD((43-'V06 Calend 01'!C52),6)=0),(((43-'V06 Calend 01'!C52)/6)&lt;='V06 Calend 01'!E52)),IF((43=('V06 Calend 01'!C52+(6*'V06 Calend 01'!E52))),('V06 Calend 01'!H52-('V06 Calend 01'!I52*('V06 Calend 01'!E52-1))),'V06 Calend 01'!I52),0))+IF((43='V06 Calend 01'!D52),'V06 Calend 01'!J52,0))</f>
        <v>0</v>
      </c>
      <c r="BD52" s="2">
        <f>((IF((44='V06 Calend 01'!C52),('V06 Calend 01'!F52+'V06 Calend 01'!G52),0)+IF(AND(('V06 Calend 01'!E52&gt;0),(44&gt;'V06 Calend 01'!C52),(44&lt;'V06 Calend 01'!D52),(MOD((44-'V06 Calend 01'!C52),6)=0),(((44-'V06 Calend 01'!C52)/6)&lt;='V06 Calend 01'!E52)),IF((44=('V06 Calend 01'!C52+(6*'V06 Calend 01'!E52))),('V06 Calend 01'!H52-('V06 Calend 01'!I52*('V06 Calend 01'!E52-1))),'V06 Calend 01'!I52),0))+IF((44='V06 Calend 01'!D52),'V06 Calend 01'!J52,0))</f>
        <v>0</v>
      </c>
      <c r="BE52" s="2">
        <f>((IF((45='V06 Calend 01'!C52),('V06 Calend 01'!F52+'V06 Calend 01'!G52),0)+IF(AND(('V06 Calend 01'!E52&gt;0),(45&gt;'V06 Calend 01'!C52),(45&lt;'V06 Calend 01'!D52),(MOD((45-'V06 Calend 01'!C52),6)=0),(((45-'V06 Calend 01'!C52)/6)&lt;='V06 Calend 01'!E52)),IF((45=('V06 Calend 01'!C52+(6*'V06 Calend 01'!E52))),('V06 Calend 01'!H52-('V06 Calend 01'!I52*('V06 Calend 01'!E52-1))),'V06 Calend 01'!I52),0))+IF((45='V06 Calend 01'!D52),'V06 Calend 01'!J52,0))</f>
        <v>0</v>
      </c>
      <c r="BF52" s="2">
        <f>((IF((46='V06 Calend 01'!C52),('V06 Calend 01'!F52+'V06 Calend 01'!G52),0)+IF(AND(('V06 Calend 01'!E52&gt;0),(46&gt;'V06 Calend 01'!C52),(46&lt;'V06 Calend 01'!D52),(MOD((46-'V06 Calend 01'!C52),6)=0),(((46-'V06 Calend 01'!C52)/6)&lt;='V06 Calend 01'!E52)),IF((46=('V06 Calend 01'!C52+(6*'V06 Calend 01'!E52))),('V06 Calend 01'!H52-('V06 Calend 01'!I52*('V06 Calend 01'!E52-1))),'V06 Calend 01'!I52),0))+IF((46='V06 Calend 01'!D52),'V06 Calend 01'!J52,0))</f>
        <v>0</v>
      </c>
      <c r="BG52" s="2">
        <f>((IF((47='V06 Calend 01'!C52),('V06 Calend 01'!F52+'V06 Calend 01'!G52),0)+IF(AND(('V06 Calend 01'!E52&gt;0),(47&gt;'V06 Calend 01'!C52),(47&lt;'V06 Calend 01'!D52),(MOD((47-'V06 Calend 01'!C52),6)=0),(((47-'V06 Calend 01'!C52)/6)&lt;='V06 Calend 01'!E52)),IF((47=('V06 Calend 01'!C52+(6*'V06 Calend 01'!E52))),('V06 Calend 01'!H52-('V06 Calend 01'!I52*('V06 Calend 01'!E52-1))),'V06 Calend 01'!I52),0))+IF((47='V06 Calend 01'!D52),'V06 Calend 01'!J52,0))</f>
        <v>0</v>
      </c>
      <c r="BH52" s="2">
        <f>((IF((48='V06 Calend 01'!C52),('V06 Calend 01'!F52+'V06 Calend 01'!G52),0)+IF(AND(('V06 Calend 01'!E52&gt;0),(48&gt;'V06 Calend 01'!C52),(48&lt;'V06 Calend 01'!D52),(MOD((48-'V06 Calend 01'!C52),6)=0),(((48-'V06 Calend 01'!C52)/6)&lt;='V06 Calend 01'!E52)),IF((48=('V06 Calend 01'!C52+(6*'V06 Calend 01'!E52))),('V06 Calend 01'!H52-('V06 Calend 01'!I52*('V06 Calend 01'!E52-1))),'V06 Calend 01'!I52),0))+IF((48='V06 Calend 01'!D52),'V06 Calend 01'!J52,0))</f>
        <v>0</v>
      </c>
      <c r="BI52" s="2">
        <f>((IF((49='V06 Calend 01'!C52),('V06 Calend 01'!F52+'V06 Calend 01'!G52),0)+IF(AND(('V06 Calend 01'!E52&gt;0),(49&gt;'V06 Calend 01'!C52),(49&lt;'V06 Calend 01'!D52),(MOD((49-'V06 Calend 01'!C52),6)=0),(((49-'V06 Calend 01'!C52)/6)&lt;='V06 Calend 01'!E52)),IF((49=('V06 Calend 01'!C52+(6*'V06 Calend 01'!E52))),('V06 Calend 01'!H52-('V06 Calend 01'!I52*('V06 Calend 01'!E52-1))),'V06 Calend 01'!I52),0))+IF((49='V06 Calend 01'!D52),'V06 Calend 01'!J52,0))</f>
        <v>0</v>
      </c>
      <c r="BJ52" s="2">
        <f>((IF((50='V06 Calend 01'!C52),('V06 Calend 01'!F52+'V06 Calend 01'!G52),0)+IF(AND(('V06 Calend 01'!E52&gt;0),(50&gt;'V06 Calend 01'!C52),(50&lt;'V06 Calend 01'!D52),(MOD((50-'V06 Calend 01'!C52),6)=0),(((50-'V06 Calend 01'!C52)/6)&lt;='V06 Calend 01'!E52)),IF((50=('V06 Calend 01'!C52+(6*'V06 Calend 01'!E52))),('V06 Calend 01'!H52-('V06 Calend 01'!I52*('V06 Calend 01'!E52-1))),'V06 Calend 01'!I52),0))+IF((50='V06 Calend 01'!D52),'V06 Calend 01'!J52,0))</f>
        <v>0</v>
      </c>
      <c r="BK52" s="2">
        <f>((IF((51='V06 Calend 01'!C52),('V06 Calend 01'!F52+'V06 Calend 01'!G52),0)+IF(AND(('V06 Calend 01'!E52&gt;0),(51&gt;'V06 Calend 01'!C52),(51&lt;'V06 Calend 01'!D52),(MOD((51-'V06 Calend 01'!C52),6)=0),(((51-'V06 Calend 01'!C52)/6)&lt;='V06 Calend 01'!E52)),IF((51=('V06 Calend 01'!C52+(6*'V06 Calend 01'!E52))),('V06 Calend 01'!H52-('V06 Calend 01'!I52*('V06 Calend 01'!E52-1))),'V06 Calend 01'!I52),0))+IF((51='V06 Calend 01'!D52),'V06 Calend 01'!J52,0))</f>
        <v>0</v>
      </c>
      <c r="BL52" s="2">
        <f>((IF((52='V06 Calend 01'!C52),('V06 Calend 01'!F52+'V06 Calend 01'!G52),0)+IF(AND(('V06 Calend 01'!E52&gt;0),(52&gt;'V06 Calend 01'!C52),(52&lt;'V06 Calend 01'!D52),(MOD((52-'V06 Calend 01'!C52),6)=0),(((52-'V06 Calend 01'!C52)/6)&lt;='V06 Calend 01'!E52)),IF((52=('V06 Calend 01'!C52+(6*'V06 Calend 01'!E52))),('V06 Calend 01'!H52-('V06 Calend 01'!I52*('V06 Calend 01'!E52-1))),'V06 Calend 01'!I52),0))+IF((52='V06 Calend 01'!D52),'V06 Calend 01'!J52,0))</f>
        <v>0</v>
      </c>
      <c r="BM52" s="2">
        <f>((IF((53='V06 Calend 01'!C52),('V06 Calend 01'!F52+'V06 Calend 01'!G52),0)+IF(AND(('V06 Calend 01'!E52&gt;0),(53&gt;'V06 Calend 01'!C52),(53&lt;'V06 Calend 01'!D52),(MOD((53-'V06 Calend 01'!C52),6)=0),(((53-'V06 Calend 01'!C52)/6)&lt;='V06 Calend 01'!E52)),IF((53=('V06 Calend 01'!C52+(6*'V06 Calend 01'!E52))),('V06 Calend 01'!H52-('V06 Calend 01'!I52*('V06 Calend 01'!E52-1))),'V06 Calend 01'!I52),0))+IF((53='V06 Calend 01'!D52),'V06 Calend 01'!J52,0))</f>
        <v>0</v>
      </c>
      <c r="BN52" s="2">
        <f>((IF((54='V06 Calend 01'!C52),('V06 Calend 01'!F52+'V06 Calend 01'!G52),0)+IF(AND(('V06 Calend 01'!E52&gt;0),(54&gt;'V06 Calend 01'!C52),(54&lt;'V06 Calend 01'!D52),(MOD((54-'V06 Calend 01'!C52),6)=0),(((54-'V06 Calend 01'!C52)/6)&lt;='V06 Calend 01'!E52)),IF((54=('V06 Calend 01'!C52+(6*'V06 Calend 01'!E52))),('V06 Calend 01'!H52-('V06 Calend 01'!I52*('V06 Calend 01'!E52-1))),'V06 Calend 01'!I52),0))+IF((54='V06 Calend 01'!D52),'V06 Calend 01'!J52,0))</f>
        <v>0</v>
      </c>
      <c r="BO52" s="2">
        <f>((IF((55='V06 Calend 01'!C52),('V06 Calend 01'!F52+'V06 Calend 01'!G52),0)+IF(AND(('V06 Calend 01'!E52&gt;0),(55&gt;'V06 Calend 01'!C52),(55&lt;'V06 Calend 01'!D52),(MOD((55-'V06 Calend 01'!C52),6)=0),(((55-'V06 Calend 01'!C52)/6)&lt;='V06 Calend 01'!E52)),IF((55=('V06 Calend 01'!C52+(6*'V06 Calend 01'!E52))),('V06 Calend 01'!H52-('V06 Calend 01'!I52*('V06 Calend 01'!E52-1))),'V06 Calend 01'!I52),0))+IF((55='V06 Calend 01'!D52),'V06 Calend 01'!J52,0))</f>
        <v>0</v>
      </c>
      <c r="BP52" s="2">
        <f>((IF((56='V06 Calend 01'!C52),('V06 Calend 01'!F52+'V06 Calend 01'!G52),0)+IF(AND(('V06 Calend 01'!E52&gt;0),(56&gt;'V06 Calend 01'!C52),(56&lt;'V06 Calend 01'!D52),(MOD((56-'V06 Calend 01'!C52),6)=0),(((56-'V06 Calend 01'!C52)/6)&lt;='V06 Calend 01'!E52)),IF((56=('V06 Calend 01'!C52+(6*'V06 Calend 01'!E52))),('V06 Calend 01'!H52-('V06 Calend 01'!I52*('V06 Calend 01'!E52-1))),'V06 Calend 01'!I52),0))+IF((56='V06 Calend 01'!D52),'V06 Calend 01'!J52,0))</f>
        <v>0</v>
      </c>
      <c r="BQ52" s="2">
        <f>((IF((57='V06 Calend 01'!C52),('V06 Calend 01'!F52+'V06 Calend 01'!G52),0)+IF(AND(('V06 Calend 01'!E52&gt;0),(57&gt;'V06 Calend 01'!C52),(57&lt;'V06 Calend 01'!D52),(MOD((57-'V06 Calend 01'!C52),6)=0),(((57-'V06 Calend 01'!C52)/6)&lt;='V06 Calend 01'!E52)),IF((57=('V06 Calend 01'!C52+(6*'V06 Calend 01'!E52))),('V06 Calend 01'!H52-('V06 Calend 01'!I52*('V06 Calend 01'!E52-1))),'V06 Calend 01'!I52),0))+IF((57='V06 Calend 01'!D52),'V06 Calend 01'!J52,0))</f>
        <v>0</v>
      </c>
      <c r="BR52" s="2">
        <f>((IF((58='V06 Calend 01'!C52),('V06 Calend 01'!F52+'V06 Calend 01'!G52),0)+IF(AND(('V06 Calend 01'!E52&gt;0),(58&gt;'V06 Calend 01'!C52),(58&lt;'V06 Calend 01'!D52),(MOD((58-'V06 Calend 01'!C52),6)=0),(((58-'V06 Calend 01'!C52)/6)&lt;='V06 Calend 01'!E52)),IF((58=('V06 Calend 01'!C52+(6*'V06 Calend 01'!E52))),('V06 Calend 01'!H52-('V06 Calend 01'!I52*('V06 Calend 01'!E52-1))),'V06 Calend 01'!I52),0))+IF((58='V06 Calend 01'!D52),'V06 Calend 01'!J52,0))</f>
        <v>0</v>
      </c>
      <c r="BS52" s="2">
        <f>((IF((59='V06 Calend 01'!C52),('V06 Calend 01'!F52+'V06 Calend 01'!G52),0)+IF(AND(('V06 Calend 01'!E52&gt;0),(59&gt;'V06 Calend 01'!C52),(59&lt;'V06 Calend 01'!D52),(MOD((59-'V06 Calend 01'!C52),6)=0),(((59-'V06 Calend 01'!C52)/6)&lt;='V06 Calend 01'!E52)),IF((59=('V06 Calend 01'!C52+(6*'V06 Calend 01'!E52))),('V06 Calend 01'!H52-('V06 Calend 01'!I52*('V06 Calend 01'!E52-1))),'V06 Calend 01'!I52),0))+IF((59='V06 Calend 01'!D52),'V06 Calend 01'!J52,0))</f>
        <v>0</v>
      </c>
      <c r="BT52" s="2">
        <f>((IF((60='V06 Calend 01'!C52),('V06 Calend 01'!F52+'V06 Calend 01'!G52),0)+IF(AND(('V06 Calend 01'!E52&gt;0),(60&gt;'V06 Calend 01'!C52),(60&lt;'V06 Calend 01'!D52),(MOD((60-'V06 Calend 01'!C52),6)=0),(((60-'V06 Calend 01'!C52)/6)&lt;='V06 Calend 01'!E52)),IF((60=('V06 Calend 01'!C52+(6*'V06 Calend 01'!E52))),('V06 Calend 01'!H52-('V06 Calend 01'!I52*('V06 Calend 01'!E52-1))),'V06 Calend 01'!I52),0))+IF((60='V06 Calend 01'!D52),'V06 Calend 01'!J52,0))</f>
        <v>0</v>
      </c>
      <c r="BU52" s="2">
        <f>((IF((61='V06 Calend 01'!C52),('V06 Calend 01'!F52+'V06 Calend 01'!G52),0)+IF(AND(('V06 Calend 01'!E52&gt;0),(61&gt;'V06 Calend 01'!C52),(61&lt;'V06 Calend 01'!D52),(MOD((61-'V06 Calend 01'!C52),6)=0),(((61-'V06 Calend 01'!C52)/6)&lt;='V06 Calend 01'!E52)),IF((61=('V06 Calend 01'!C52+(6*'V06 Calend 01'!E52))),('V06 Calend 01'!H52-('V06 Calend 01'!I52*('V06 Calend 01'!E52-1))),'V06 Calend 01'!I52),0))+IF((61='V06 Calend 01'!D52),'V06 Calend 01'!J52,0))</f>
        <v>0</v>
      </c>
      <c r="BV52" s="2">
        <f>((IF((62='V06 Calend 01'!C52),('V06 Calend 01'!F52+'V06 Calend 01'!G52),0)+IF(AND(('V06 Calend 01'!E52&gt;0),(62&gt;'V06 Calend 01'!C52),(62&lt;'V06 Calend 01'!D52),(MOD((62-'V06 Calend 01'!C52),6)=0),(((62-'V06 Calend 01'!C52)/6)&lt;='V06 Calend 01'!E52)),IF((62=('V06 Calend 01'!C52+(6*'V06 Calend 01'!E52))),('V06 Calend 01'!H52-('V06 Calend 01'!I52*('V06 Calend 01'!E52-1))),'V06 Calend 01'!I52),0))+IF((62='V06 Calend 01'!D52),'V06 Calend 01'!J52,0))</f>
        <v>0</v>
      </c>
      <c r="BW52" s="2">
        <f>((IF((63='V06 Calend 01'!C52),('V06 Calend 01'!F52+'V06 Calend 01'!G52),0)+IF(AND(('V06 Calend 01'!E52&gt;0),(63&gt;'V06 Calend 01'!C52),(63&lt;'V06 Calend 01'!D52),(MOD((63-'V06 Calend 01'!C52),6)=0),(((63-'V06 Calend 01'!C52)/6)&lt;='V06 Calend 01'!E52)),IF((63=('V06 Calend 01'!C52+(6*'V06 Calend 01'!E52))),('V06 Calend 01'!H52-('V06 Calend 01'!I52*('V06 Calend 01'!E52-1))),'V06 Calend 01'!I52),0))+IF((63='V06 Calend 01'!D52),'V06 Calend 01'!J52,0))</f>
        <v>0</v>
      </c>
      <c r="BX52" s="2">
        <f>((IF((64='V06 Calend 01'!C52),('V06 Calend 01'!F52+'V06 Calend 01'!G52),0)+IF(AND(('V06 Calend 01'!E52&gt;0),(64&gt;'V06 Calend 01'!C52),(64&lt;'V06 Calend 01'!D52),(MOD((64-'V06 Calend 01'!C52),6)=0),(((64-'V06 Calend 01'!C52)/6)&lt;='V06 Calend 01'!E52)),IF((64=('V06 Calend 01'!C52+(6*'V06 Calend 01'!E52))),('V06 Calend 01'!H52-('V06 Calend 01'!I52*('V06 Calend 01'!E52-1))),'V06 Calend 01'!I52),0))+IF((64='V06 Calend 01'!D52),'V06 Calend 01'!J52,0))</f>
        <v>0</v>
      </c>
      <c r="BY52" s="2">
        <f>((IF((65='V06 Calend 01'!C52),('V06 Calend 01'!F52+'V06 Calend 01'!G52),0)+IF(AND(('V06 Calend 01'!E52&gt;0),(65&gt;'V06 Calend 01'!C52),(65&lt;'V06 Calend 01'!D52),(MOD((65-'V06 Calend 01'!C52),6)=0),(((65-'V06 Calend 01'!C52)/6)&lt;='V06 Calend 01'!E52)),IF((65=('V06 Calend 01'!C52+(6*'V06 Calend 01'!E52))),('V06 Calend 01'!H52-('V06 Calend 01'!I52*('V06 Calend 01'!E52-1))),'V06 Calend 01'!I52),0))+IF((65='V06 Calend 01'!D52),'V06 Calend 01'!J52,0))</f>
        <v>0</v>
      </c>
      <c r="BZ52" s="2">
        <f>((IF((66='V06 Calend 01'!C52),('V06 Calend 01'!F52+'V06 Calend 01'!G52),0)+IF(AND(('V06 Calend 01'!E52&gt;0),(66&gt;'V06 Calend 01'!C52),(66&lt;'V06 Calend 01'!D52),(MOD((66-'V06 Calend 01'!C52),6)=0),(((66-'V06 Calend 01'!C52)/6)&lt;='V06 Calend 01'!E52)),IF((66=('V06 Calend 01'!C52+(6*'V06 Calend 01'!E52))),('V06 Calend 01'!H52-('V06 Calend 01'!I52*('V06 Calend 01'!E52-1))),'V06 Calend 01'!I52),0))+IF((66='V06 Calend 01'!D52),'V06 Calend 01'!J52,0))</f>
        <v>0</v>
      </c>
      <c r="CA52" s="2">
        <f>((IF((67='V06 Calend 01'!C52),('V06 Calend 01'!F52+'V06 Calend 01'!G52),0)+IF(AND(('V06 Calend 01'!E52&gt;0),(67&gt;'V06 Calend 01'!C52),(67&lt;'V06 Calend 01'!D52),(MOD((67-'V06 Calend 01'!C52),6)=0),(((67-'V06 Calend 01'!C52)/6)&lt;='V06 Calend 01'!E52)),IF((67=('V06 Calend 01'!C52+(6*'V06 Calend 01'!E52))),('V06 Calend 01'!H52-('V06 Calend 01'!I52*('V06 Calend 01'!E52-1))),'V06 Calend 01'!I52),0))+IF((67='V06 Calend 01'!D52),'V06 Calend 01'!J52,0))</f>
        <v>0</v>
      </c>
      <c r="CB52" s="2">
        <f>((IF((68='V06 Calend 01'!C52),('V06 Calend 01'!F52+'V06 Calend 01'!G52),0)+IF(AND(('V06 Calend 01'!E52&gt;0),(68&gt;'V06 Calend 01'!C52),(68&lt;'V06 Calend 01'!D52),(MOD((68-'V06 Calend 01'!C52),6)=0),(((68-'V06 Calend 01'!C52)/6)&lt;='V06 Calend 01'!E52)),IF((68=('V06 Calend 01'!C52+(6*'V06 Calend 01'!E52))),('V06 Calend 01'!H52-('V06 Calend 01'!I52*('V06 Calend 01'!E52-1))),'V06 Calend 01'!I52),0))+IF((68='V06 Calend 01'!D52),'V06 Calend 01'!J52,0))</f>
        <v>0</v>
      </c>
      <c r="CC52" s="2">
        <f>((IF((69='V06 Calend 01'!C52),('V06 Calend 01'!F52+'V06 Calend 01'!G52),0)+IF(AND(('V06 Calend 01'!E52&gt;0),(69&gt;'V06 Calend 01'!C52),(69&lt;'V06 Calend 01'!D52),(MOD((69-'V06 Calend 01'!C52),6)=0),(((69-'V06 Calend 01'!C52)/6)&lt;='V06 Calend 01'!E52)),IF((69=('V06 Calend 01'!C52+(6*'V06 Calend 01'!E52))),('V06 Calend 01'!H52-('V06 Calend 01'!I52*('V06 Calend 01'!E52-1))),'V06 Calend 01'!I52),0))+IF((69='V06 Calend 01'!D52),'V06 Calend 01'!J52,0))</f>
        <v>0</v>
      </c>
      <c r="CD52" s="2">
        <f>((IF((70='V06 Calend 01'!C52),('V06 Calend 01'!F52+'V06 Calend 01'!G52),0)+IF(AND(('V06 Calend 01'!E52&gt;0),(70&gt;'V06 Calend 01'!C52),(70&lt;'V06 Calend 01'!D52),(MOD((70-'V06 Calend 01'!C52),6)=0),(((70-'V06 Calend 01'!C52)/6)&lt;='V06 Calend 01'!E52)),IF((70=('V06 Calend 01'!C52+(6*'V06 Calend 01'!E52))),('V06 Calend 01'!H52-('V06 Calend 01'!I52*('V06 Calend 01'!E52-1))),'V06 Calend 01'!I52),0))+IF((70='V06 Calend 01'!D52),'V06 Calend 01'!J52,0))</f>
        <v>0</v>
      </c>
      <c r="CE52" s="2">
        <f>((IF((71='V06 Calend 01'!C52),('V06 Calend 01'!F52+'V06 Calend 01'!G52),0)+IF(AND(('V06 Calend 01'!E52&gt;0),(71&gt;'V06 Calend 01'!C52),(71&lt;'V06 Calend 01'!D52),(MOD((71-'V06 Calend 01'!C52),6)=0),(((71-'V06 Calend 01'!C52)/6)&lt;='V06 Calend 01'!E52)),IF((71=('V06 Calend 01'!C52+(6*'V06 Calend 01'!E52))),('V06 Calend 01'!H52-('V06 Calend 01'!I52*('V06 Calend 01'!E52-1))),'V06 Calend 01'!I52),0))+IF((71='V06 Calend 01'!D52),'V06 Calend 01'!J52,0))</f>
        <v>0</v>
      </c>
      <c r="CF52" s="2">
        <f>((IF((72='V06 Calend 01'!C52),('V06 Calend 01'!F52+'V06 Calend 01'!G52),0)+IF(AND(('V06 Calend 01'!E52&gt;0),(72&gt;'V06 Calend 01'!C52),(72&lt;'V06 Calend 01'!D52),(MOD((72-'V06 Calend 01'!C52),6)=0),(((72-'V06 Calend 01'!C52)/6)&lt;='V06 Calend 01'!E52)),IF((72=('V06 Calend 01'!C52+(6*'V06 Calend 01'!E52))),('V06 Calend 01'!H52-('V06 Calend 01'!I52*('V06 Calend 01'!E52-1))),'V06 Calend 01'!I52),0))+IF((72='V06 Calend 01'!D52),'V06 Calend 01'!J52,0))</f>
        <v>0</v>
      </c>
      <c r="CG52" s="2">
        <f>((IF((73='V06 Calend 01'!C52),('V06 Calend 01'!F52+'V06 Calend 01'!G52),0)+IF(AND(('V06 Calend 01'!E52&gt;0),(73&gt;'V06 Calend 01'!C52),(73&lt;'V06 Calend 01'!D52),(MOD((73-'V06 Calend 01'!C52),6)=0),(((73-'V06 Calend 01'!C52)/6)&lt;='V06 Calend 01'!E52)),IF((73=('V06 Calend 01'!C52+(6*'V06 Calend 01'!E52))),('V06 Calend 01'!H52-('V06 Calend 01'!I52*('V06 Calend 01'!E52-1))),'V06 Calend 01'!I52),0))+IF((73='V06 Calend 01'!D52),'V06 Calend 01'!J52,0))</f>
        <v>0</v>
      </c>
      <c r="CH52" s="2">
        <f>((IF((74='V06 Calend 01'!C52),('V06 Calend 01'!F52+'V06 Calend 01'!G52),0)+IF(AND(('V06 Calend 01'!E52&gt;0),(74&gt;'V06 Calend 01'!C52),(74&lt;'V06 Calend 01'!D52),(MOD((74-'V06 Calend 01'!C52),6)=0),(((74-'V06 Calend 01'!C52)/6)&lt;='V06 Calend 01'!E52)),IF((74=('V06 Calend 01'!C52+(6*'V06 Calend 01'!E52))),('V06 Calend 01'!H52-('V06 Calend 01'!I52*('V06 Calend 01'!E52-1))),'V06 Calend 01'!I52),0))+IF((74='V06 Calend 01'!D52),'V06 Calend 01'!J52,0))</f>
        <v>0</v>
      </c>
      <c r="CI52" s="2">
        <f>((IF((75='V06 Calend 01'!C52),('V06 Calend 01'!F52+'V06 Calend 01'!G52),0)+IF(AND(('V06 Calend 01'!E52&gt;0),(75&gt;'V06 Calend 01'!C52),(75&lt;'V06 Calend 01'!D52),(MOD((75-'V06 Calend 01'!C52),6)=0),(((75-'V06 Calend 01'!C52)/6)&lt;='V06 Calend 01'!E52)),IF((75=('V06 Calend 01'!C52+(6*'V06 Calend 01'!E52))),('V06 Calend 01'!H52-('V06 Calend 01'!I52*('V06 Calend 01'!E52-1))),'V06 Calend 01'!I52),0))+IF((75='V06 Calend 01'!D52),'V06 Calend 01'!J52,0))</f>
        <v>0</v>
      </c>
      <c r="CJ52" s="2">
        <f>((IF((76='V06 Calend 01'!C52),('V06 Calend 01'!F52+'V06 Calend 01'!G52),0)+IF(AND(('V06 Calend 01'!E52&gt;0),(76&gt;'V06 Calend 01'!C52),(76&lt;'V06 Calend 01'!D52),(MOD((76-'V06 Calend 01'!C52),6)=0),(((76-'V06 Calend 01'!C52)/6)&lt;='V06 Calend 01'!E52)),IF((76=('V06 Calend 01'!C52+(6*'V06 Calend 01'!E52))),('V06 Calend 01'!H52-('V06 Calend 01'!I52*('V06 Calend 01'!E52-1))),'V06 Calend 01'!I52),0))+IF((76='V06 Calend 01'!D52),'V06 Calend 01'!J52,0))</f>
        <v>0</v>
      </c>
      <c r="CK52" s="2">
        <f>((IF((77='V06 Calend 01'!C52),('V06 Calend 01'!F52+'V06 Calend 01'!G52),0)+IF(AND(('V06 Calend 01'!E52&gt;0),(77&gt;'V06 Calend 01'!C52),(77&lt;'V06 Calend 01'!D52),(MOD((77-'V06 Calend 01'!C52),6)=0),(((77-'V06 Calend 01'!C52)/6)&lt;='V06 Calend 01'!E52)),IF((77=('V06 Calend 01'!C52+(6*'V06 Calend 01'!E52))),('V06 Calend 01'!H52-('V06 Calend 01'!I52*('V06 Calend 01'!E52-1))),'V06 Calend 01'!I52),0))+IF((77='V06 Calend 01'!D52),'V06 Calend 01'!J52,0))</f>
        <v>0</v>
      </c>
      <c r="CL52" s="2">
        <f>((IF((78='V06 Calend 01'!C52),('V06 Calend 01'!F52+'V06 Calend 01'!G52),0)+IF(AND(('V06 Calend 01'!E52&gt;0),(78&gt;'V06 Calend 01'!C52),(78&lt;'V06 Calend 01'!D52),(MOD((78-'V06 Calend 01'!C52),6)=0),(((78-'V06 Calend 01'!C52)/6)&lt;='V06 Calend 01'!E52)),IF((78=('V06 Calend 01'!C52+(6*'V06 Calend 01'!E52))),('V06 Calend 01'!H52-('V06 Calend 01'!I52*('V06 Calend 01'!E52-1))),'V06 Calend 01'!I52),0))+IF((78='V06 Calend 01'!D52),'V06 Calend 01'!J52,0))</f>
        <v>0</v>
      </c>
      <c r="CM52" s="2">
        <f>((IF((79='V06 Calend 01'!C52),('V06 Calend 01'!F52+'V06 Calend 01'!G52),0)+IF(AND(('V06 Calend 01'!E52&gt;0),(79&gt;'V06 Calend 01'!C52),(79&lt;'V06 Calend 01'!D52),(MOD((79-'V06 Calend 01'!C52),6)=0),(((79-'V06 Calend 01'!C52)/6)&lt;='V06 Calend 01'!E52)),IF((79=('V06 Calend 01'!C52+(6*'V06 Calend 01'!E52))),('V06 Calend 01'!H52-('V06 Calend 01'!I52*('V06 Calend 01'!E52-1))),'V06 Calend 01'!I52),0))+IF((79='V06 Calend 01'!D52),'V06 Calend 01'!J52,0))</f>
        <v>0</v>
      </c>
      <c r="CN52" s="2">
        <f>((IF((80='V06 Calend 01'!C52),('V06 Calend 01'!F52+'V06 Calend 01'!G52),0)+IF(AND(('V06 Calend 01'!E52&gt;0),(80&gt;'V06 Calend 01'!C52),(80&lt;'V06 Calend 01'!D52),(MOD((80-'V06 Calend 01'!C52),6)=0),(((80-'V06 Calend 01'!C52)/6)&lt;='V06 Calend 01'!E52)),IF((80=('V06 Calend 01'!C52+(6*'V06 Calend 01'!E52))),('V06 Calend 01'!H52-('V06 Calend 01'!I52*('V06 Calend 01'!E52-1))),'V06 Calend 01'!I52),0))+IF((80='V06 Calend 01'!D52),'V06 Calend 01'!J52,0))</f>
        <v>0</v>
      </c>
      <c r="CO52" s="2">
        <f>((IF((81='V06 Calend 01'!C52),('V06 Calend 01'!F52+'V06 Calend 01'!G52),0)+IF(AND(('V06 Calend 01'!E52&gt;0),(81&gt;'V06 Calend 01'!C52),(81&lt;'V06 Calend 01'!D52),(MOD((81-'V06 Calend 01'!C52),6)=0),(((81-'V06 Calend 01'!C52)/6)&lt;='V06 Calend 01'!E52)),IF((81=('V06 Calend 01'!C52+(6*'V06 Calend 01'!E52))),('V06 Calend 01'!H52-('V06 Calend 01'!I52*('V06 Calend 01'!E52-1))),'V06 Calend 01'!I52),0))+IF((81='V06 Calend 01'!D52),'V06 Calend 01'!J52,0))</f>
        <v>0</v>
      </c>
      <c r="CP52" s="2">
        <f>((IF((82='V06 Calend 01'!C52),('V06 Calend 01'!F52+'V06 Calend 01'!G52),0)+IF(AND(('V06 Calend 01'!E52&gt;0),(82&gt;'V06 Calend 01'!C52),(82&lt;'V06 Calend 01'!D52),(MOD((82-'V06 Calend 01'!C52),6)=0),(((82-'V06 Calend 01'!C52)/6)&lt;='V06 Calend 01'!E52)),IF((82=('V06 Calend 01'!C52+(6*'V06 Calend 01'!E52))),('V06 Calend 01'!H52-('V06 Calend 01'!I52*('V06 Calend 01'!E52-1))),'V06 Calend 01'!I52),0))+IF((82='V06 Calend 01'!D52),'V06 Calend 01'!J52,0))</f>
        <v>0</v>
      </c>
      <c r="CQ52" s="2">
        <f>((IF((83='V06 Calend 01'!C52),('V06 Calend 01'!F52+'V06 Calend 01'!G52),0)+IF(AND(('V06 Calend 01'!E52&gt;0),(83&gt;'V06 Calend 01'!C52),(83&lt;'V06 Calend 01'!D52),(MOD((83-'V06 Calend 01'!C52),6)=0),(((83-'V06 Calend 01'!C52)/6)&lt;='V06 Calend 01'!E52)),IF((83=('V06 Calend 01'!C52+(6*'V06 Calend 01'!E52))),('V06 Calend 01'!H52-('V06 Calend 01'!I52*('V06 Calend 01'!E52-1))),'V06 Calend 01'!I52),0))+IF((83='V06 Calend 01'!D52),'V06 Calend 01'!J52,0))</f>
        <v>0</v>
      </c>
      <c r="CR52" s="2">
        <f>((IF((84='V06 Calend 01'!C52),('V06 Calend 01'!F52+'V06 Calend 01'!G52),0)+IF(AND(('V06 Calend 01'!E52&gt;0),(84&gt;'V06 Calend 01'!C52),(84&lt;'V06 Calend 01'!D52),(MOD((84-'V06 Calend 01'!C52),6)=0),(((84-'V06 Calend 01'!C52)/6)&lt;='V06 Calend 01'!E52)),IF((84=('V06 Calend 01'!C52+(6*'V06 Calend 01'!E52))),('V06 Calend 01'!H52-('V06 Calend 01'!I52*('V06 Calend 01'!E52-1))),'V06 Calend 01'!I52),0))+IF((84='V06 Calend 01'!D52),'V06 Calend 01'!J52,0))</f>
        <v>0</v>
      </c>
      <c r="CS52" s="2">
        <f>((IF((85='V06 Calend 01'!C52),('V06 Calend 01'!F52+'V06 Calend 01'!G52),0)+IF(AND(('V06 Calend 01'!E52&gt;0),(85&gt;'V06 Calend 01'!C52),(85&lt;'V06 Calend 01'!D52),(MOD((85-'V06 Calend 01'!C52),6)=0),(((85-'V06 Calend 01'!C52)/6)&lt;='V06 Calend 01'!E52)),IF((85=('V06 Calend 01'!C52+(6*'V06 Calend 01'!E52))),('V06 Calend 01'!H52-('V06 Calend 01'!I52*('V06 Calend 01'!E52-1))),'V06 Calend 01'!I52),0))+IF((85='V06 Calend 01'!D52),'V06 Calend 01'!J52,0))</f>
        <v>0</v>
      </c>
      <c r="CT52" s="2">
        <f>((IF((86='V06 Calend 01'!C52),('V06 Calend 01'!F52+'V06 Calend 01'!G52),0)+IF(AND(('V06 Calend 01'!E52&gt;0),(86&gt;'V06 Calend 01'!C52),(86&lt;'V06 Calend 01'!D52),(MOD((86-'V06 Calend 01'!C52),6)=0),(((86-'V06 Calend 01'!C52)/6)&lt;='V06 Calend 01'!E52)),IF((86=('V06 Calend 01'!C52+(6*'V06 Calend 01'!E52))),('V06 Calend 01'!H52-('V06 Calend 01'!I52*('V06 Calend 01'!E52-1))),'V06 Calend 01'!I52),0))+IF((86='V06 Calend 01'!D52),'V06 Calend 01'!J52,0))</f>
        <v>0</v>
      </c>
      <c r="CU52" s="2">
        <f>((IF((87='V06 Calend 01'!C52),('V06 Calend 01'!F52+'V06 Calend 01'!G52),0)+IF(AND(('V06 Calend 01'!E52&gt;0),(87&gt;'V06 Calend 01'!C52),(87&lt;'V06 Calend 01'!D52),(MOD((87-'V06 Calend 01'!C52),6)=0),(((87-'V06 Calend 01'!C52)/6)&lt;='V06 Calend 01'!E52)),IF((87=('V06 Calend 01'!C52+(6*'V06 Calend 01'!E52))),('V06 Calend 01'!H52-('V06 Calend 01'!I52*('V06 Calend 01'!E52-1))),'V06 Calend 01'!I52),0))+IF((87='V06 Calend 01'!D52),'V06 Calend 01'!J52,0))</f>
        <v>0</v>
      </c>
      <c r="CV52" s="2">
        <f>((IF((88='V06 Calend 01'!C52),('V06 Calend 01'!F52+'V06 Calend 01'!G52),0)+IF(AND(('V06 Calend 01'!E52&gt;0),(88&gt;'V06 Calend 01'!C52),(88&lt;'V06 Calend 01'!D52),(MOD((88-'V06 Calend 01'!C52),6)=0),(((88-'V06 Calend 01'!C52)/6)&lt;='V06 Calend 01'!E52)),IF((88=('V06 Calend 01'!C52+(6*'V06 Calend 01'!E52))),('V06 Calend 01'!H52-('V06 Calend 01'!I52*('V06 Calend 01'!E52-1))),'V06 Calend 01'!I52),0))+IF((88='V06 Calend 01'!D52),'V06 Calend 01'!J52,0))</f>
        <v>0</v>
      </c>
      <c r="CW52" s="2">
        <f>((IF((89='V06 Calend 01'!C52),('V06 Calend 01'!F52+'V06 Calend 01'!G52),0)+IF(AND(('V06 Calend 01'!E52&gt;0),(89&gt;'V06 Calend 01'!C52),(89&lt;'V06 Calend 01'!D52),(MOD((89-'V06 Calend 01'!C52),6)=0),(((89-'V06 Calend 01'!C52)/6)&lt;='V06 Calend 01'!E52)),IF((89=('V06 Calend 01'!C52+(6*'V06 Calend 01'!E52))),('V06 Calend 01'!H52-('V06 Calend 01'!I52*('V06 Calend 01'!E52-1))),'V06 Calend 01'!I52),0))+IF((89='V06 Calend 01'!D52),'V06 Calend 01'!J52,0))</f>
        <v>0</v>
      </c>
      <c r="CX52" s="2">
        <f>((IF((90='V06 Calend 01'!C52),('V06 Calend 01'!F52+'V06 Calend 01'!G52),0)+IF(AND(('V06 Calend 01'!E52&gt;0),(90&gt;'V06 Calend 01'!C52),(90&lt;'V06 Calend 01'!D52),(MOD((90-'V06 Calend 01'!C52),6)=0),(((90-'V06 Calend 01'!C52)/6)&lt;='V06 Calend 01'!E52)),IF((90=('V06 Calend 01'!C52+(6*'V06 Calend 01'!E52))),('V06 Calend 01'!H52-('V06 Calend 01'!I52*('V06 Calend 01'!E52-1))),'V06 Calend 01'!I52),0))+IF((90='V06 Calend 01'!D52),'V06 Calend 01'!J52,0))</f>
        <v>0</v>
      </c>
      <c r="CY52" s="2">
        <f>((IF((91='V06 Calend 01'!C52),('V06 Calend 01'!F52+'V06 Calend 01'!G52),0)+IF(AND(('V06 Calend 01'!E52&gt;0),(91&gt;'V06 Calend 01'!C52),(91&lt;'V06 Calend 01'!D52),(MOD((91-'V06 Calend 01'!C52),6)=0),(((91-'V06 Calend 01'!C52)/6)&lt;='V06 Calend 01'!E52)),IF((91=('V06 Calend 01'!C52+(6*'V06 Calend 01'!E52))),('V06 Calend 01'!H52-('V06 Calend 01'!I52*('V06 Calend 01'!E52-1))),'V06 Calend 01'!I52),0))+IF((91='V06 Calend 01'!D52),'V06 Calend 01'!J52,0))</f>
        <v>0</v>
      </c>
      <c r="CZ52" s="2">
        <f>((IF((92='V06 Calend 01'!C52),('V06 Calend 01'!F52+'V06 Calend 01'!G52),0)+IF(AND(('V06 Calend 01'!E52&gt;0),(92&gt;'V06 Calend 01'!C52),(92&lt;'V06 Calend 01'!D52),(MOD((92-'V06 Calend 01'!C52),6)=0),(((92-'V06 Calend 01'!C52)/6)&lt;='V06 Calend 01'!E52)),IF((92=('V06 Calend 01'!C52+(6*'V06 Calend 01'!E52))),('V06 Calend 01'!H52-('V06 Calend 01'!I52*('V06 Calend 01'!E52-1))),'V06 Calend 01'!I52),0))+IF((92='V06 Calend 01'!D52),'V06 Calend 01'!J52,0))</f>
        <v>0</v>
      </c>
      <c r="DA52" s="2">
        <f>((IF((93='V06 Calend 01'!C52),('V06 Calend 01'!F52+'V06 Calend 01'!G52),0)+IF(AND(('V06 Calend 01'!E52&gt;0),(93&gt;'V06 Calend 01'!C52),(93&lt;'V06 Calend 01'!D52),(MOD((93-'V06 Calend 01'!C52),6)=0),(((93-'V06 Calend 01'!C52)/6)&lt;='V06 Calend 01'!E52)),IF((93=('V06 Calend 01'!C52+(6*'V06 Calend 01'!E52))),('V06 Calend 01'!H52-('V06 Calend 01'!I52*('V06 Calend 01'!E52-1))),'V06 Calend 01'!I52),0))+IF((93='V06 Calend 01'!D52),'V06 Calend 01'!J52,0))</f>
        <v>0</v>
      </c>
      <c r="DB52" s="2">
        <f>((IF((94='V06 Calend 01'!C52),('V06 Calend 01'!F52+'V06 Calend 01'!G52),0)+IF(AND(('V06 Calend 01'!E52&gt;0),(94&gt;'V06 Calend 01'!C52),(94&lt;'V06 Calend 01'!D52),(MOD((94-'V06 Calend 01'!C52),6)=0),(((94-'V06 Calend 01'!C52)/6)&lt;='V06 Calend 01'!E52)),IF((94=('V06 Calend 01'!C52+(6*'V06 Calend 01'!E52))),('V06 Calend 01'!H52-('V06 Calend 01'!I52*('V06 Calend 01'!E52-1))),'V06 Calend 01'!I52),0))+IF((94='V06 Calend 01'!D52),'V06 Calend 01'!J52,0))</f>
        <v>0</v>
      </c>
      <c r="DC52" s="2">
        <f>((IF((95='V06 Calend 01'!C52),('V06 Calend 01'!F52+'V06 Calend 01'!G52),0)+IF(AND(('V06 Calend 01'!E52&gt;0),(95&gt;'V06 Calend 01'!C52),(95&lt;'V06 Calend 01'!D52),(MOD((95-'V06 Calend 01'!C52),6)=0),(((95-'V06 Calend 01'!C52)/6)&lt;='V06 Calend 01'!E52)),IF((95=('V06 Calend 01'!C52+(6*'V06 Calend 01'!E52))),('V06 Calend 01'!H52-('V06 Calend 01'!I52*('V06 Calend 01'!E52-1))),'V06 Calend 01'!I52),0))+IF((95='V06 Calend 01'!D52),'V06 Calend 01'!J52,0))</f>
        <v>0</v>
      </c>
      <c r="DD52" s="2">
        <f>((IF((96='V06 Calend 01'!C52),('V06 Calend 01'!F52+'V06 Calend 01'!G52),0)+IF(AND(('V06 Calend 01'!E52&gt;0),(96&gt;'V06 Calend 01'!C52),(96&lt;'V06 Calend 01'!D52),(MOD((96-'V06 Calend 01'!C52),6)=0),(((96-'V06 Calend 01'!C52)/6)&lt;='V06 Calend 01'!E52)),IF((96=('V06 Calend 01'!C52+(6*'V06 Calend 01'!E52))),('V06 Calend 01'!H52-('V06 Calend 01'!I52*('V06 Calend 01'!E52-1))),'V06 Calend 01'!I52),0))+IF((96='V06 Calend 01'!D52),'V06 Calend 01'!J52,0))</f>
        <v>0</v>
      </c>
      <c r="DE52" s="2">
        <f>((IF((97='V06 Calend 01'!C52),('V06 Calend 01'!F52+'V06 Calend 01'!G52),0)+IF(AND(('V06 Calend 01'!E52&gt;0),(97&gt;'V06 Calend 01'!C52),(97&lt;'V06 Calend 01'!D52),(MOD((97-'V06 Calend 01'!C52),6)=0),(((97-'V06 Calend 01'!C52)/6)&lt;='V06 Calend 01'!E52)),IF((97=('V06 Calend 01'!C52+(6*'V06 Calend 01'!E52))),('V06 Calend 01'!H52-('V06 Calend 01'!I52*('V06 Calend 01'!E52-1))),'V06 Calend 01'!I52),0))+IF((97='V06 Calend 01'!D52),'V06 Calend 01'!J52,0))</f>
        <v>0</v>
      </c>
      <c r="DF52" s="2">
        <f>((IF((98='V06 Calend 01'!C52),('V06 Calend 01'!F52+'V06 Calend 01'!G52),0)+IF(AND(('V06 Calend 01'!E52&gt;0),(98&gt;'V06 Calend 01'!C52),(98&lt;'V06 Calend 01'!D52),(MOD((98-'V06 Calend 01'!C52),6)=0),(((98-'V06 Calend 01'!C52)/6)&lt;='V06 Calend 01'!E52)),IF((98=('V06 Calend 01'!C52+(6*'V06 Calend 01'!E52))),('V06 Calend 01'!H52-('V06 Calend 01'!I52*('V06 Calend 01'!E52-1))),'V06 Calend 01'!I52),0))+IF((98='V06 Calend 01'!D52),'V06 Calend 01'!J52,0))</f>
        <v>0</v>
      </c>
      <c r="DG52" s="2">
        <f>((IF((99='V06 Calend 01'!C52),('V06 Calend 01'!F52+'V06 Calend 01'!G52),0)+IF(AND(('V06 Calend 01'!E52&gt;0),(99&gt;'V06 Calend 01'!C52),(99&lt;'V06 Calend 01'!D52),(MOD((99-'V06 Calend 01'!C52),6)=0),(((99-'V06 Calend 01'!C52)/6)&lt;='V06 Calend 01'!E52)),IF((99=('V06 Calend 01'!C52+(6*'V06 Calend 01'!E52))),('V06 Calend 01'!H52-('V06 Calend 01'!I52*('V06 Calend 01'!E52-1))),'V06 Calend 01'!I52),0))+IF((99='V06 Calend 01'!D52),'V06 Calend 01'!J52,0))</f>
        <v>0</v>
      </c>
      <c r="DH52" s="2">
        <f>((IF((100='V06 Calend 01'!C52),('V06 Calend 01'!F52+'V06 Calend 01'!G52),0)+IF(AND(('V06 Calend 01'!E52&gt;0),(100&gt;'V06 Calend 01'!C52),(100&lt;'V06 Calend 01'!D52),(MOD((100-'V06 Calend 01'!C52),6)=0),(((100-'V06 Calend 01'!C52)/6)&lt;='V06 Calend 01'!E52)),IF((100=('V06 Calend 01'!C52+(6*'V06 Calend 01'!E52))),('V06 Calend 01'!H52-('V06 Calend 01'!I52*('V06 Calend 01'!E52-1))),'V06 Calend 01'!I52),0))+IF((100='V06 Calend 01'!D52),'V06 Calend 01'!J52,0))</f>
        <v>0</v>
      </c>
      <c r="DI52" s="2">
        <f>((IF((101='V06 Calend 01'!C52),('V06 Calend 01'!F52+'V06 Calend 01'!G52),0)+IF(AND(('V06 Calend 01'!E52&gt;0),(101&gt;'V06 Calend 01'!C52),(101&lt;'V06 Calend 01'!D52),(MOD((101-'V06 Calend 01'!C52),6)=0),(((101-'V06 Calend 01'!C52)/6)&lt;='V06 Calend 01'!E52)),IF((101=('V06 Calend 01'!C52+(6*'V06 Calend 01'!E52))),('V06 Calend 01'!H52-('V06 Calend 01'!I52*('V06 Calend 01'!E52-1))),'V06 Calend 01'!I52),0))+IF((101='V06 Calend 01'!D52),'V06 Calend 01'!J52,0))</f>
        <v>0</v>
      </c>
      <c r="DJ52" s="2">
        <f>((IF((102='V06 Calend 01'!C52),('V06 Calend 01'!F52+'V06 Calend 01'!G52),0)+IF(AND(('V06 Calend 01'!E52&gt;0),(102&gt;'V06 Calend 01'!C52),(102&lt;'V06 Calend 01'!D52),(MOD((102-'V06 Calend 01'!C52),6)=0),(((102-'V06 Calend 01'!C52)/6)&lt;='V06 Calend 01'!E52)),IF((102=('V06 Calend 01'!C52+(6*'V06 Calend 01'!E52))),('V06 Calend 01'!H52-('V06 Calend 01'!I52*('V06 Calend 01'!E52-1))),'V06 Calend 01'!I52),0))+IF((102='V06 Calend 01'!D52),'V06 Calend 01'!J52,0))</f>
        <v>0</v>
      </c>
      <c r="DK52" s="2">
        <f>((IF((103='V06 Calend 01'!C52),('V06 Calend 01'!F52+'V06 Calend 01'!G52),0)+IF(AND(('V06 Calend 01'!E52&gt;0),(103&gt;'V06 Calend 01'!C52),(103&lt;'V06 Calend 01'!D52),(MOD((103-'V06 Calend 01'!C52),6)=0),(((103-'V06 Calend 01'!C52)/6)&lt;='V06 Calend 01'!E52)),IF((103=('V06 Calend 01'!C52+(6*'V06 Calend 01'!E52))),('V06 Calend 01'!H52-('V06 Calend 01'!I52*('V06 Calend 01'!E52-1))),'V06 Calend 01'!I52),0))+IF((103='V06 Calend 01'!D52),'V06 Calend 01'!J52,0))</f>
        <v>0</v>
      </c>
      <c r="DL52" s="2">
        <f>((IF((104='V06 Calend 01'!C52),('V06 Calend 01'!F52+'V06 Calend 01'!G52),0)+IF(AND(('V06 Calend 01'!E52&gt;0),(104&gt;'V06 Calend 01'!C52),(104&lt;'V06 Calend 01'!D52),(MOD((104-'V06 Calend 01'!C52),6)=0),(((104-'V06 Calend 01'!C52)/6)&lt;='V06 Calend 01'!E52)),IF((104=('V06 Calend 01'!C52+(6*'V06 Calend 01'!E52))),('V06 Calend 01'!H52-('V06 Calend 01'!I52*('V06 Calend 01'!E52-1))),'V06 Calend 01'!I52),0))+IF((104='V06 Calend 01'!D52),'V06 Calend 01'!J52,0))</f>
        <v>0</v>
      </c>
      <c r="DM52" s="2">
        <f>((IF((105='V06 Calend 01'!C52),('V06 Calend 01'!F52+'V06 Calend 01'!G52),0)+IF(AND(('V06 Calend 01'!E52&gt;0),(105&gt;'V06 Calend 01'!C52),(105&lt;'V06 Calend 01'!D52),(MOD((105-'V06 Calend 01'!C52),6)=0),(((105-'V06 Calend 01'!C52)/6)&lt;='V06 Calend 01'!E52)),IF((105=('V06 Calend 01'!C52+(6*'V06 Calend 01'!E52))),('V06 Calend 01'!H52-('V06 Calend 01'!I52*('V06 Calend 01'!E52-1))),'V06 Calend 01'!I52),0))+IF((105='V06 Calend 01'!D52),'V06 Calend 01'!J52,0))</f>
        <v>0</v>
      </c>
      <c r="DN52" s="2">
        <f>((IF((106='V06 Calend 01'!C52),('V06 Calend 01'!F52+'V06 Calend 01'!G52),0)+IF(AND(('V06 Calend 01'!E52&gt;0),(106&gt;'V06 Calend 01'!C52),(106&lt;'V06 Calend 01'!D52),(MOD((106-'V06 Calend 01'!C52),6)=0),(((106-'V06 Calend 01'!C52)/6)&lt;='V06 Calend 01'!E52)),IF((106=('V06 Calend 01'!C52+(6*'V06 Calend 01'!E52))),('V06 Calend 01'!H52-('V06 Calend 01'!I52*('V06 Calend 01'!E52-1))),'V06 Calend 01'!I52),0))+IF((106='V06 Calend 01'!D52),'V06 Calend 01'!J52,0))</f>
        <v>0</v>
      </c>
      <c r="DO52" s="2">
        <f>((IF((107='V06 Calend 01'!C52),('V06 Calend 01'!F52+'V06 Calend 01'!G52),0)+IF(AND(('V06 Calend 01'!E52&gt;0),(107&gt;'V06 Calend 01'!C52),(107&lt;'V06 Calend 01'!D52),(MOD((107-'V06 Calend 01'!C52),6)=0),(((107-'V06 Calend 01'!C52)/6)&lt;='V06 Calend 01'!E52)),IF((107=('V06 Calend 01'!C52+(6*'V06 Calend 01'!E52))),('V06 Calend 01'!H52-('V06 Calend 01'!I52*('V06 Calend 01'!E52-1))),'V06 Calend 01'!I52),0))+IF((107='V06 Calend 01'!D52),'V06 Calend 01'!J52,0))</f>
        <v>0</v>
      </c>
      <c r="DP52" s="2">
        <f>((IF((108='V06 Calend 01'!C52),('V06 Calend 01'!F52+'V06 Calend 01'!G52),0)+IF(AND(('V06 Calend 01'!E52&gt;0),(108&gt;'V06 Calend 01'!C52),(108&lt;'V06 Calend 01'!D52),(MOD((108-'V06 Calend 01'!C52),6)=0),(((108-'V06 Calend 01'!C52)/6)&lt;='V06 Calend 01'!E52)),IF((108=('V06 Calend 01'!C52+(6*'V06 Calend 01'!E52))),('V06 Calend 01'!H52-('V06 Calend 01'!I52*('V06 Calend 01'!E52-1))),'V06 Calend 01'!I52),0))+IF((108='V06 Calend 01'!D52),'V06 Calend 01'!J52,0))</f>
        <v>0</v>
      </c>
      <c r="DQ52" s="2">
        <f>((IF((109='V06 Calend 01'!C52),('V06 Calend 01'!F52+'V06 Calend 01'!G52),0)+IF(AND(('V06 Calend 01'!E52&gt;0),(109&gt;'V06 Calend 01'!C52),(109&lt;'V06 Calend 01'!D52),(MOD((109-'V06 Calend 01'!C52),6)=0),(((109-'V06 Calend 01'!C52)/6)&lt;='V06 Calend 01'!E52)),IF((109=('V06 Calend 01'!C52+(6*'V06 Calend 01'!E52))),('V06 Calend 01'!H52-('V06 Calend 01'!I52*('V06 Calend 01'!E52-1))),'V06 Calend 01'!I52),0))+IF((109='V06 Calend 01'!D52),'V06 Calend 01'!J52,0))</f>
        <v>0</v>
      </c>
      <c r="DR52" s="2">
        <f>((IF((110='V06 Calend 01'!C52),('V06 Calend 01'!F52+'V06 Calend 01'!G52),0)+IF(AND(('V06 Calend 01'!E52&gt;0),(110&gt;'V06 Calend 01'!C52),(110&lt;'V06 Calend 01'!D52),(MOD((110-'V06 Calend 01'!C52),6)=0),(((110-'V06 Calend 01'!C52)/6)&lt;='V06 Calend 01'!E52)),IF((110=('V06 Calend 01'!C52+(6*'V06 Calend 01'!E52))),('V06 Calend 01'!H52-('V06 Calend 01'!I52*('V06 Calend 01'!E52-1))),'V06 Calend 01'!I52),0))+IF((110='V06 Calend 01'!D52),'V06 Calend 01'!J52,0))</f>
        <v>0</v>
      </c>
      <c r="DS52" s="2">
        <f>((IF((111='V06 Calend 01'!C52),('V06 Calend 01'!F52+'V06 Calend 01'!G52),0)+IF(AND(('V06 Calend 01'!E52&gt;0),(111&gt;'V06 Calend 01'!C52),(111&lt;'V06 Calend 01'!D52),(MOD((111-'V06 Calend 01'!C52),6)=0),(((111-'V06 Calend 01'!C52)/6)&lt;='V06 Calend 01'!E52)),IF((111=('V06 Calend 01'!C52+(6*'V06 Calend 01'!E52))),('V06 Calend 01'!H52-('V06 Calend 01'!I52*('V06 Calend 01'!E52-1))),'V06 Calend 01'!I52),0))+IF((111='V06 Calend 01'!D52),'V06 Calend 01'!J52,0))</f>
        <v>0</v>
      </c>
      <c r="DT52" s="2">
        <f>((IF((112='V06 Calend 01'!C52),('V06 Calend 01'!F52+'V06 Calend 01'!G52),0)+IF(AND(('V06 Calend 01'!E52&gt;0),(112&gt;'V06 Calend 01'!C52),(112&lt;'V06 Calend 01'!D52),(MOD((112-'V06 Calend 01'!C52),6)=0),(((112-'V06 Calend 01'!C52)/6)&lt;='V06 Calend 01'!E52)),IF((112=('V06 Calend 01'!C52+(6*'V06 Calend 01'!E52))),('V06 Calend 01'!H52-('V06 Calend 01'!I52*('V06 Calend 01'!E52-1))),'V06 Calend 01'!I52),0))+IF((112='V06 Calend 01'!D52),'V06 Calend 01'!J52,0))</f>
        <v>0</v>
      </c>
      <c r="DU52" s="2">
        <f>((IF((113='V06 Calend 01'!C52),('V06 Calend 01'!F52+'V06 Calend 01'!G52),0)+IF(AND(('V06 Calend 01'!E52&gt;0),(113&gt;'V06 Calend 01'!C52),(113&lt;'V06 Calend 01'!D52),(MOD((113-'V06 Calend 01'!C52),6)=0),(((113-'V06 Calend 01'!C52)/6)&lt;='V06 Calend 01'!E52)),IF((113=('V06 Calend 01'!C52+(6*'V06 Calend 01'!E52))),('V06 Calend 01'!H52-('V06 Calend 01'!I52*('V06 Calend 01'!E52-1))),'V06 Calend 01'!I52),0))+IF((113='V06 Calend 01'!D52),'V06 Calend 01'!J52,0))</f>
        <v>0</v>
      </c>
      <c r="DV52" s="2">
        <f>((IF((114='V06 Calend 01'!C52),('V06 Calend 01'!F52+'V06 Calend 01'!G52),0)+IF(AND(('V06 Calend 01'!E52&gt;0),(114&gt;'V06 Calend 01'!C52),(114&lt;'V06 Calend 01'!D52),(MOD((114-'V06 Calend 01'!C52),6)=0),(((114-'V06 Calend 01'!C52)/6)&lt;='V06 Calend 01'!E52)),IF((114=('V06 Calend 01'!C52+(6*'V06 Calend 01'!E52))),('V06 Calend 01'!H52-('V06 Calend 01'!I52*('V06 Calend 01'!E52-1))),'V06 Calend 01'!I52),0))+IF((114='V06 Calend 01'!D52),'V06 Calend 01'!J52,0))</f>
        <v>0</v>
      </c>
      <c r="DW52" s="2">
        <f>((IF((115='V06 Calend 01'!C52),('V06 Calend 01'!F52+'V06 Calend 01'!G52),0)+IF(AND(('V06 Calend 01'!E52&gt;0),(115&gt;'V06 Calend 01'!C52),(115&lt;'V06 Calend 01'!D52),(MOD((115-'V06 Calend 01'!C52),6)=0),(((115-'V06 Calend 01'!C52)/6)&lt;='V06 Calend 01'!E52)),IF((115=('V06 Calend 01'!C52+(6*'V06 Calend 01'!E52))),('V06 Calend 01'!H52-('V06 Calend 01'!I52*('V06 Calend 01'!E52-1))),'V06 Calend 01'!I52),0))+IF((115='V06 Calend 01'!D52),'V06 Calend 01'!J52,0))</f>
        <v>0</v>
      </c>
      <c r="DX52" s="2">
        <f>((IF((116='V06 Calend 01'!C52),('V06 Calend 01'!F52+'V06 Calend 01'!G52),0)+IF(AND(('V06 Calend 01'!E52&gt;0),(116&gt;'V06 Calend 01'!C52),(116&lt;'V06 Calend 01'!D52),(MOD((116-'V06 Calend 01'!C52),6)=0),(((116-'V06 Calend 01'!C52)/6)&lt;='V06 Calend 01'!E52)),IF((116=('V06 Calend 01'!C52+(6*'V06 Calend 01'!E52))),('V06 Calend 01'!H52-('V06 Calend 01'!I52*('V06 Calend 01'!E52-1))),'V06 Calend 01'!I52),0))+IF((116='V06 Calend 01'!D52),'V06 Calend 01'!J52,0))</f>
        <v>0</v>
      </c>
      <c r="DY52" s="2">
        <f>((IF((117='V06 Calend 01'!C52),('V06 Calend 01'!F52+'V06 Calend 01'!G52),0)+IF(AND(('V06 Calend 01'!E52&gt;0),(117&gt;'V06 Calend 01'!C52),(117&lt;'V06 Calend 01'!D52),(MOD((117-'V06 Calend 01'!C52),6)=0),(((117-'V06 Calend 01'!C52)/6)&lt;='V06 Calend 01'!E52)),IF((117=('V06 Calend 01'!C52+(6*'V06 Calend 01'!E52))),('V06 Calend 01'!H52-('V06 Calend 01'!I52*('V06 Calend 01'!E52-1))),'V06 Calend 01'!I52),0))+IF((117='V06 Calend 01'!D52),'V06 Calend 01'!J52,0))</f>
        <v>0</v>
      </c>
      <c r="DZ52" s="2">
        <f>((IF((118='V06 Calend 01'!C52),('V06 Calend 01'!F52+'V06 Calend 01'!G52),0)+IF(AND(('V06 Calend 01'!E52&gt;0),(118&gt;'V06 Calend 01'!C52),(118&lt;'V06 Calend 01'!D52),(MOD((118-'V06 Calend 01'!C52),6)=0),(((118-'V06 Calend 01'!C52)/6)&lt;='V06 Calend 01'!E52)),IF((118=('V06 Calend 01'!C52+(6*'V06 Calend 01'!E52))),('V06 Calend 01'!H52-('V06 Calend 01'!I52*('V06 Calend 01'!E52-1))),'V06 Calend 01'!I52),0))+IF((118='V06 Calend 01'!D52),'V06 Calend 01'!J52,0))</f>
        <v>0</v>
      </c>
      <c r="EA52" s="2">
        <f>((IF((119='V06 Calend 01'!C52),('V06 Calend 01'!F52+'V06 Calend 01'!G52),0)+IF(AND(('V06 Calend 01'!E52&gt;0),(119&gt;'V06 Calend 01'!C52),(119&lt;'V06 Calend 01'!D52),(MOD((119-'V06 Calend 01'!C52),6)=0),(((119-'V06 Calend 01'!C52)/6)&lt;='V06 Calend 01'!E52)),IF((119=('V06 Calend 01'!C52+(6*'V06 Calend 01'!E52))),('V06 Calend 01'!H52-('V06 Calend 01'!I52*('V06 Calend 01'!E52-1))),'V06 Calend 01'!I52),0))+IF((119='V06 Calend 01'!D52),'V06 Calend 01'!J52,0))</f>
        <v>0</v>
      </c>
      <c r="EB52" s="2">
        <f>((IF((120='V06 Calend 01'!C52),('V06 Calend 01'!F52+'V06 Calend 01'!G52),0)+IF(AND(('V06 Calend 01'!E52&gt;0),(120&gt;'V06 Calend 01'!C52),(120&lt;'V06 Calend 01'!D52),(MOD((120-'V06 Calend 01'!C52),6)=0),(((120-'V06 Calend 01'!C52)/6)&lt;='V06 Calend 01'!E52)),IF((120=('V06 Calend 01'!C52+(6*'V06 Calend 01'!E52))),('V06 Calend 01'!H52-('V06 Calend 01'!I52*('V06 Calend 01'!E52-1))),'V06 Calend 01'!I52),0))+IF((120='V06 Calend 01'!D52),'V06 Calend 01'!J52,0))</f>
        <v>0</v>
      </c>
      <c r="EC52" s="2">
        <f>((IF((121='V06 Calend 01'!C52),('V06 Calend 01'!F52+'V06 Calend 01'!G52),0)+IF(AND(('V06 Calend 01'!E52&gt;0),(121&gt;'V06 Calend 01'!C52),(121&lt;'V06 Calend 01'!D52),(MOD((121-'V06 Calend 01'!C52),6)=0),(((121-'V06 Calend 01'!C52)/6)&lt;='V06 Calend 01'!E52)),IF((121=('V06 Calend 01'!C52+(6*'V06 Calend 01'!E52))),('V06 Calend 01'!H52-('V06 Calend 01'!I52*('V06 Calend 01'!E52-1))),'V06 Calend 01'!I52),0))+IF((121='V06 Calend 01'!D52),'V06 Calend 01'!J52,0))</f>
        <v>0</v>
      </c>
      <c r="ED52" s="2">
        <f>((IF((122='V06 Calend 01'!C52),('V06 Calend 01'!F52+'V06 Calend 01'!G52),0)+IF(AND(('V06 Calend 01'!E52&gt;0),(122&gt;'V06 Calend 01'!C52),(122&lt;'V06 Calend 01'!D52),(MOD((122-'V06 Calend 01'!C52),6)=0),(((122-'V06 Calend 01'!C52)/6)&lt;='V06 Calend 01'!E52)),IF((122=('V06 Calend 01'!C52+(6*'V06 Calend 01'!E52))),('V06 Calend 01'!H52-('V06 Calend 01'!I52*('V06 Calend 01'!E52-1))),'V06 Calend 01'!I52),0))+IF((122='V06 Calend 01'!D52),'V06 Calend 01'!J52,0))</f>
        <v>0</v>
      </c>
      <c r="EE52" s="2">
        <f>((IF((123='V06 Calend 01'!C52),('V06 Calend 01'!F52+'V06 Calend 01'!G52),0)+IF(AND(('V06 Calend 01'!E52&gt;0),(123&gt;'V06 Calend 01'!C52),(123&lt;'V06 Calend 01'!D52),(MOD((123-'V06 Calend 01'!C52),6)=0),(((123-'V06 Calend 01'!C52)/6)&lt;='V06 Calend 01'!E52)),IF((123=('V06 Calend 01'!C52+(6*'V06 Calend 01'!E52))),('V06 Calend 01'!H52-('V06 Calend 01'!I52*('V06 Calend 01'!E52-1))),'V06 Calend 01'!I52),0))+IF((123='V06 Calend 01'!D52),'V06 Calend 01'!J52,0))</f>
        <v>0</v>
      </c>
      <c r="EF52" s="2">
        <f>((IF((124='V06 Calend 01'!C52),('V06 Calend 01'!F52+'V06 Calend 01'!G52),0)+IF(AND(('V06 Calend 01'!E52&gt;0),(124&gt;'V06 Calend 01'!C52),(124&lt;'V06 Calend 01'!D52),(MOD((124-'V06 Calend 01'!C52),6)=0),(((124-'V06 Calend 01'!C52)/6)&lt;='V06 Calend 01'!E52)),IF((124=('V06 Calend 01'!C52+(6*'V06 Calend 01'!E52))),('V06 Calend 01'!H52-('V06 Calend 01'!I52*('V06 Calend 01'!E52-1))),'V06 Calend 01'!I52),0))+IF((124='V06 Calend 01'!D52),'V06 Calend 01'!J52,0))</f>
        <v>0</v>
      </c>
      <c r="EG52" s="2">
        <f>((IF((125='V06 Calend 01'!C52),('V06 Calend 01'!F52+'V06 Calend 01'!G52),0)+IF(AND(('V06 Calend 01'!E52&gt;0),(125&gt;'V06 Calend 01'!C52),(125&lt;'V06 Calend 01'!D52),(MOD((125-'V06 Calend 01'!C52),6)=0),(((125-'V06 Calend 01'!C52)/6)&lt;='V06 Calend 01'!E52)),IF((125=('V06 Calend 01'!C52+(6*'V06 Calend 01'!E52))),('V06 Calend 01'!H52-('V06 Calend 01'!I52*('V06 Calend 01'!E52-1))),'V06 Calend 01'!I52),0))+IF((125='V06 Calend 01'!D52),'V06 Calend 01'!J52,0))</f>
        <v>0</v>
      </c>
      <c r="EH52" s="2">
        <f>((IF((126='V06 Calend 01'!C52),('V06 Calend 01'!F52+'V06 Calend 01'!G52),0)+IF(AND(('V06 Calend 01'!E52&gt;0),(126&gt;'V06 Calend 01'!C52),(126&lt;'V06 Calend 01'!D52),(MOD((126-'V06 Calend 01'!C52),6)=0),(((126-'V06 Calend 01'!C52)/6)&lt;='V06 Calend 01'!E52)),IF((126=('V06 Calend 01'!C52+(6*'V06 Calend 01'!E52))),('V06 Calend 01'!H52-('V06 Calend 01'!I52*('V06 Calend 01'!E52-1))),'V06 Calend 01'!I52),0))+IF((126='V06 Calend 01'!D52),'V06 Calend 01'!J52,0))</f>
        <v>0</v>
      </c>
      <c r="EI52" s="2">
        <f>((IF((127='V06 Calend 01'!C52),('V06 Calend 01'!F52+'V06 Calend 01'!G52),0)+IF(AND(('V06 Calend 01'!E52&gt;0),(127&gt;'V06 Calend 01'!C52),(127&lt;'V06 Calend 01'!D52),(MOD((127-'V06 Calend 01'!C52),6)=0),(((127-'V06 Calend 01'!C52)/6)&lt;='V06 Calend 01'!E52)),IF((127=('V06 Calend 01'!C52+(6*'V06 Calend 01'!E52))),('V06 Calend 01'!H52-('V06 Calend 01'!I52*('V06 Calend 01'!E52-1))),'V06 Calend 01'!I52),0))+IF((127='V06 Calend 01'!D52),'V06 Calend 01'!J52,0))</f>
        <v>0</v>
      </c>
      <c r="EJ52" s="2">
        <f>((IF((128='V06 Calend 01'!C52),('V06 Calend 01'!F52+'V06 Calend 01'!G52),0)+IF(AND(('V06 Calend 01'!E52&gt;0),(128&gt;'V06 Calend 01'!C52),(128&lt;'V06 Calend 01'!D52),(MOD((128-'V06 Calend 01'!C52),6)=0),(((128-'V06 Calend 01'!C52)/6)&lt;='V06 Calend 01'!E52)),IF((128=('V06 Calend 01'!C52+(6*'V06 Calend 01'!E52))),('V06 Calend 01'!H52-('V06 Calend 01'!I52*('V06 Calend 01'!E52-1))),'V06 Calend 01'!I52),0))+IF((128='V06 Calend 01'!D52),'V06 Calend 01'!J52,0))</f>
        <v>0</v>
      </c>
      <c r="EK52" s="2">
        <f>((IF((129='V06 Calend 01'!C52),('V06 Calend 01'!F52+'V06 Calend 01'!G52),0)+IF(AND(('V06 Calend 01'!E52&gt;0),(129&gt;'V06 Calend 01'!C52),(129&lt;'V06 Calend 01'!D52),(MOD((129-'V06 Calend 01'!C52),6)=0),(((129-'V06 Calend 01'!C52)/6)&lt;='V06 Calend 01'!E52)),IF((129=('V06 Calend 01'!C52+(6*'V06 Calend 01'!E52))),('V06 Calend 01'!H52-('V06 Calend 01'!I52*('V06 Calend 01'!E52-1))),'V06 Calend 01'!I52),0))+IF((129='V06 Calend 01'!D52),'V06 Calend 01'!J52,0))</f>
        <v>0</v>
      </c>
      <c r="EL52" s="2">
        <f>((IF((130='V06 Calend 01'!C52),('V06 Calend 01'!F52+'V06 Calend 01'!G52),0)+IF(AND(('V06 Calend 01'!E52&gt;0),(130&gt;'V06 Calend 01'!C52),(130&lt;'V06 Calend 01'!D52),(MOD((130-'V06 Calend 01'!C52),6)=0),(((130-'V06 Calend 01'!C52)/6)&lt;='V06 Calend 01'!E52)),IF((130=('V06 Calend 01'!C52+(6*'V06 Calend 01'!E52))),('V06 Calend 01'!H52-('V06 Calend 01'!I52*('V06 Calend 01'!E52-1))),'V06 Calend 01'!I52),0))+IF((130='V06 Calend 01'!D52),'V06 Calend 01'!J52,0))</f>
        <v>0</v>
      </c>
      <c r="EM52" s="2">
        <f>((IF((131='V06 Calend 01'!C52),('V06 Calend 01'!F52+'V06 Calend 01'!G52),0)+IF(AND(('V06 Calend 01'!E52&gt;0),(131&gt;'V06 Calend 01'!C52),(131&lt;'V06 Calend 01'!D52),(MOD((131-'V06 Calend 01'!C52),6)=0),(((131-'V06 Calend 01'!C52)/6)&lt;='V06 Calend 01'!E52)),IF((131=('V06 Calend 01'!C52+(6*'V06 Calend 01'!E52))),('V06 Calend 01'!H52-('V06 Calend 01'!I52*('V06 Calend 01'!E52-1))),'V06 Calend 01'!I52),0))+IF((131='V06 Calend 01'!D52),'V06 Calend 01'!J52,0))</f>
        <v>0</v>
      </c>
      <c r="EN52" s="2">
        <f>((IF((132='V06 Calend 01'!C52),('V06 Calend 01'!F52+'V06 Calend 01'!G52),0)+IF(AND(('V06 Calend 01'!E52&gt;0),(132&gt;'V06 Calend 01'!C52),(132&lt;'V06 Calend 01'!D52),(MOD((132-'V06 Calend 01'!C52),6)=0),(((132-'V06 Calend 01'!C52)/6)&lt;='V06 Calend 01'!E52)),IF((132=('V06 Calend 01'!C52+(6*'V06 Calend 01'!E52))),('V06 Calend 01'!H52-('V06 Calend 01'!I52*('V06 Calend 01'!E52-1))),'V06 Calend 01'!I52),0))+IF((132='V06 Calend 01'!D52),'V06 Calend 01'!J52,0))</f>
        <v>0</v>
      </c>
      <c r="EO52" s="2">
        <f>((IF((133='V06 Calend 01'!C52),('V06 Calend 01'!F52+'V06 Calend 01'!G52),0)+IF(AND(('V06 Calend 01'!E52&gt;0),(133&gt;'V06 Calend 01'!C52),(133&lt;'V06 Calend 01'!D52),(MOD((133-'V06 Calend 01'!C52),6)=0),(((133-'V06 Calend 01'!C52)/6)&lt;='V06 Calend 01'!E52)),IF((133=('V06 Calend 01'!C52+(6*'V06 Calend 01'!E52))),('V06 Calend 01'!H52-('V06 Calend 01'!I52*('V06 Calend 01'!E52-1))),'V06 Calend 01'!I52),0))+IF((133='V06 Calend 01'!D52),'V06 Calend 01'!J52,0))</f>
        <v>0</v>
      </c>
      <c r="EP52" s="2">
        <f>((IF((134='V06 Calend 01'!C52),('V06 Calend 01'!F52+'V06 Calend 01'!G52),0)+IF(AND(('V06 Calend 01'!E52&gt;0),(134&gt;'V06 Calend 01'!C52),(134&lt;'V06 Calend 01'!D52),(MOD((134-'V06 Calend 01'!C52),6)=0),(((134-'V06 Calend 01'!C52)/6)&lt;='V06 Calend 01'!E52)),IF((134=('V06 Calend 01'!C52+(6*'V06 Calend 01'!E52))),('V06 Calend 01'!H52-('V06 Calend 01'!I52*('V06 Calend 01'!E52-1))),'V06 Calend 01'!I52),0))+IF((134='V06 Calend 01'!D52),'V06 Calend 01'!J52,0))</f>
        <v>0</v>
      </c>
      <c r="EQ52" s="2">
        <f>((IF((135='V06 Calend 01'!C52),('V06 Calend 01'!F52+'V06 Calend 01'!G52),0)+IF(AND(('V06 Calend 01'!E52&gt;0),(135&gt;'V06 Calend 01'!C52),(135&lt;'V06 Calend 01'!D52),(MOD((135-'V06 Calend 01'!C52),6)=0),(((135-'V06 Calend 01'!C52)/6)&lt;='V06 Calend 01'!E52)),IF((135=('V06 Calend 01'!C52+(6*'V06 Calend 01'!E52))),('V06 Calend 01'!H52-('V06 Calend 01'!I52*('V06 Calend 01'!E52-1))),'V06 Calend 01'!I52),0))+IF((135='V06 Calend 01'!D52),'V06 Calend 01'!J52,0))</f>
        <v>0</v>
      </c>
      <c r="ER52" s="2">
        <f>((IF((136='V06 Calend 01'!C52),('V06 Calend 01'!F52+'V06 Calend 01'!G52),0)+IF(AND(('V06 Calend 01'!E52&gt;0),(136&gt;'V06 Calend 01'!C52),(136&lt;'V06 Calend 01'!D52),(MOD((136-'V06 Calend 01'!C52),6)=0),(((136-'V06 Calend 01'!C52)/6)&lt;='V06 Calend 01'!E52)),IF((136=('V06 Calend 01'!C52+(6*'V06 Calend 01'!E52))),('V06 Calend 01'!H52-('V06 Calend 01'!I52*('V06 Calend 01'!E52-1))),'V06 Calend 01'!I52),0))+IF((136='V06 Calend 01'!D52),'V06 Calend 01'!J52,0))</f>
        <v>0</v>
      </c>
      <c r="ES52" s="2">
        <f>((IF((137='V06 Calend 01'!C52),('V06 Calend 01'!F52+'V06 Calend 01'!G52),0)+IF(AND(('V06 Calend 01'!E52&gt;0),(137&gt;'V06 Calend 01'!C52),(137&lt;'V06 Calend 01'!D52),(MOD((137-'V06 Calend 01'!C52),6)=0),(((137-'V06 Calend 01'!C52)/6)&lt;='V06 Calend 01'!E52)),IF((137=('V06 Calend 01'!C52+(6*'V06 Calend 01'!E52))),('V06 Calend 01'!H52-('V06 Calend 01'!I52*('V06 Calend 01'!E52-1))),'V06 Calend 01'!I52),0))+IF((137='V06 Calend 01'!D52),'V06 Calend 01'!J52,0))</f>
        <v>0</v>
      </c>
      <c r="ET52" s="2">
        <f>((IF((138='V06 Calend 01'!C52),('V06 Calend 01'!F52+'V06 Calend 01'!G52),0)+IF(AND(('V06 Calend 01'!E52&gt;0),(138&gt;'V06 Calend 01'!C52),(138&lt;'V06 Calend 01'!D52),(MOD((138-'V06 Calend 01'!C52),6)=0),(((138-'V06 Calend 01'!C52)/6)&lt;='V06 Calend 01'!E52)),IF((138=('V06 Calend 01'!C52+(6*'V06 Calend 01'!E52))),('V06 Calend 01'!H52-('V06 Calend 01'!I52*('V06 Calend 01'!E52-1))),'V06 Calend 01'!I52),0))+IF((138='V06 Calend 01'!D52),'V06 Calend 01'!J52,0))</f>
        <v>0</v>
      </c>
      <c r="EU52" s="2">
        <f>((IF((139='V06 Calend 01'!C52),('V06 Calend 01'!F52+'V06 Calend 01'!G52),0)+IF(AND(('V06 Calend 01'!E52&gt;0),(139&gt;'V06 Calend 01'!C52),(139&lt;'V06 Calend 01'!D52),(MOD((139-'V06 Calend 01'!C52),6)=0),(((139-'V06 Calend 01'!C52)/6)&lt;='V06 Calend 01'!E52)),IF((139=('V06 Calend 01'!C52+(6*'V06 Calend 01'!E52))),('V06 Calend 01'!H52-('V06 Calend 01'!I52*('V06 Calend 01'!E52-1))),'V06 Calend 01'!I52),0))+IF((139='V06 Calend 01'!D52),'V06 Calend 01'!J52,0))</f>
        <v>0</v>
      </c>
      <c r="EV52" s="2">
        <f>((IF((140='V06 Calend 01'!C52),('V06 Calend 01'!F52+'V06 Calend 01'!G52),0)+IF(AND(('V06 Calend 01'!E52&gt;0),(140&gt;'V06 Calend 01'!C52),(140&lt;'V06 Calend 01'!D52),(MOD((140-'V06 Calend 01'!C52),6)=0),(((140-'V06 Calend 01'!C52)/6)&lt;='V06 Calend 01'!E52)),IF((140=('V06 Calend 01'!C52+(6*'V06 Calend 01'!E52))),('V06 Calend 01'!H52-('V06 Calend 01'!I52*('V06 Calend 01'!E52-1))),'V06 Calend 01'!I52),0))+IF((140='V06 Calend 01'!D52),'V06 Calend 01'!J52,0))</f>
        <v>0</v>
      </c>
      <c r="EW52" s="2">
        <f>((IF((141='V06 Calend 01'!C52),('V06 Calend 01'!F52+'V06 Calend 01'!G52),0)+IF(AND(('V06 Calend 01'!E52&gt;0),(141&gt;'V06 Calend 01'!C52),(141&lt;'V06 Calend 01'!D52),(MOD((141-'V06 Calend 01'!C52),6)=0),(((141-'V06 Calend 01'!C52)/6)&lt;='V06 Calend 01'!E52)),IF((141=('V06 Calend 01'!C52+(6*'V06 Calend 01'!E52))),('V06 Calend 01'!H52-('V06 Calend 01'!I52*('V06 Calend 01'!E52-1))),'V06 Calend 01'!I52),0))+IF((141='V06 Calend 01'!D52),'V06 Calend 01'!J52,0))</f>
        <v>0</v>
      </c>
      <c r="EX52" s="2">
        <f>((IF((142='V06 Calend 01'!C52),('V06 Calend 01'!F52+'V06 Calend 01'!G52),0)+IF(AND(('V06 Calend 01'!E52&gt;0),(142&gt;'V06 Calend 01'!C52),(142&lt;'V06 Calend 01'!D52),(MOD((142-'V06 Calend 01'!C52),6)=0),(((142-'V06 Calend 01'!C52)/6)&lt;='V06 Calend 01'!E52)),IF((142=('V06 Calend 01'!C52+(6*'V06 Calend 01'!E52))),('V06 Calend 01'!H52-('V06 Calend 01'!I52*('V06 Calend 01'!E52-1))),'V06 Calend 01'!I52),0))+IF((142='V06 Calend 01'!D52),'V06 Calend 01'!J52,0))</f>
        <v>0</v>
      </c>
      <c r="EY52" s="2">
        <f>((IF((143='V06 Calend 01'!C52),('V06 Calend 01'!F52+'V06 Calend 01'!G52),0)+IF(AND(('V06 Calend 01'!E52&gt;0),(143&gt;'V06 Calend 01'!C52),(143&lt;'V06 Calend 01'!D52),(MOD((143-'V06 Calend 01'!C52),6)=0),(((143-'V06 Calend 01'!C52)/6)&lt;='V06 Calend 01'!E52)),IF((143=('V06 Calend 01'!C52+(6*'V06 Calend 01'!E52))),('V06 Calend 01'!H52-('V06 Calend 01'!I52*('V06 Calend 01'!E52-1))),'V06 Calend 01'!I52),0))+IF((143='V06 Calend 01'!D52),'V06 Calend 01'!J52,0))</f>
        <v>0</v>
      </c>
      <c r="EZ52" s="2">
        <f>((IF((144='V06 Calend 01'!C52),('V06 Calend 01'!F52+'V06 Calend 01'!G52),0)+IF(AND(('V06 Calend 01'!E52&gt;0),(144&gt;'V06 Calend 01'!C52),(144&lt;'V06 Calend 01'!D52),(MOD((144-'V06 Calend 01'!C52),6)=0),(((144-'V06 Calend 01'!C52)/6)&lt;='V06 Calend 01'!E52)),IF((144=('V06 Calend 01'!C52+(6*'V06 Calend 01'!E52))),('V06 Calend 01'!H52-('V06 Calend 01'!I52*('V06 Calend 01'!E52-1))),'V06 Calend 01'!I52),0))+IF((144='V06 Calend 01'!D52),'V06 Calend 01'!J52,0))</f>
        <v>0</v>
      </c>
      <c r="FA52" s="2">
        <f>((IF((145='V06 Calend 01'!C52),('V06 Calend 01'!F52+'V06 Calend 01'!G52),0)+IF(AND(('V06 Calend 01'!E52&gt;0),(145&gt;'V06 Calend 01'!C52),(145&lt;'V06 Calend 01'!D52),(MOD((145-'V06 Calend 01'!C52),6)=0),(((145-'V06 Calend 01'!C52)/6)&lt;='V06 Calend 01'!E52)),IF((145=('V06 Calend 01'!C52+(6*'V06 Calend 01'!E52))),('V06 Calend 01'!H52-('V06 Calend 01'!I52*('V06 Calend 01'!E52-1))),'V06 Calend 01'!I52),0))+IF((145='V06 Calend 01'!D52),'V06 Calend 01'!J52,0))</f>
        <v>0</v>
      </c>
      <c r="FB52" s="2">
        <f>((IF((146='V06 Calend 01'!C52),('V06 Calend 01'!F52+'V06 Calend 01'!G52),0)+IF(AND(('V06 Calend 01'!E52&gt;0),(146&gt;'V06 Calend 01'!C52),(146&lt;'V06 Calend 01'!D52),(MOD((146-'V06 Calend 01'!C52),6)=0),(((146-'V06 Calend 01'!C52)/6)&lt;='V06 Calend 01'!E52)),IF((146=('V06 Calend 01'!C52+(6*'V06 Calend 01'!E52))),('V06 Calend 01'!H52-('V06 Calend 01'!I52*('V06 Calend 01'!E52-1))),'V06 Calend 01'!I52),0))+IF((146='V06 Calend 01'!D52),'V06 Calend 01'!J52,0))</f>
        <v>0</v>
      </c>
      <c r="FC52" s="2">
        <f>((IF((147='V06 Calend 01'!C52),('V06 Calend 01'!F52+'V06 Calend 01'!G52),0)+IF(AND(('V06 Calend 01'!E52&gt;0),(147&gt;'V06 Calend 01'!C52),(147&lt;'V06 Calend 01'!D52),(MOD((147-'V06 Calend 01'!C52),6)=0),(((147-'V06 Calend 01'!C52)/6)&lt;='V06 Calend 01'!E52)),IF((147=('V06 Calend 01'!C52+(6*'V06 Calend 01'!E52))),('V06 Calend 01'!H52-('V06 Calend 01'!I52*('V06 Calend 01'!E52-1))),'V06 Calend 01'!I52),0))+IF((147='V06 Calend 01'!D52),'V06 Calend 01'!J52,0))</f>
        <v>0</v>
      </c>
      <c r="FD52" s="2">
        <f>((IF((148='V06 Calend 01'!C52),('V06 Calend 01'!F52+'V06 Calend 01'!G52),0)+IF(AND(('V06 Calend 01'!E52&gt;0),(148&gt;'V06 Calend 01'!C52),(148&lt;'V06 Calend 01'!D52),(MOD((148-'V06 Calend 01'!C52),6)=0),(((148-'V06 Calend 01'!C52)/6)&lt;='V06 Calend 01'!E52)),IF((148=('V06 Calend 01'!C52+(6*'V06 Calend 01'!E52))),('V06 Calend 01'!H52-('V06 Calend 01'!I52*('V06 Calend 01'!E52-1))),'V06 Calend 01'!I52),0))+IF((148='V06 Calend 01'!D52),'V06 Calend 01'!J52,0))</f>
        <v>0</v>
      </c>
      <c r="FE52" s="2">
        <f>((IF((149='V06 Calend 01'!C52),('V06 Calend 01'!F52+'V06 Calend 01'!G52),0)+IF(AND(('V06 Calend 01'!E52&gt;0),(149&gt;'V06 Calend 01'!C52),(149&lt;'V06 Calend 01'!D52),(MOD((149-'V06 Calend 01'!C52),6)=0),(((149-'V06 Calend 01'!C52)/6)&lt;='V06 Calend 01'!E52)),IF((149=('V06 Calend 01'!C52+(6*'V06 Calend 01'!E52))),('V06 Calend 01'!H52-('V06 Calend 01'!I52*('V06 Calend 01'!E52-1))),'V06 Calend 01'!I52),0))+IF((149='V06 Calend 01'!D52),'V06 Calend 01'!J52,0))</f>
        <v>0</v>
      </c>
      <c r="FF52" s="2">
        <f>((IF((150='V06 Calend 01'!C52),('V06 Calend 01'!F52+'V06 Calend 01'!G52),0)+IF(AND(('V06 Calend 01'!E52&gt;0),(150&gt;'V06 Calend 01'!C52),(150&lt;'V06 Calend 01'!D52),(MOD((150-'V06 Calend 01'!C52),6)=0),(((150-'V06 Calend 01'!C52)/6)&lt;='V06 Calend 01'!E52)),IF((150=('V06 Calend 01'!C52+(6*'V06 Calend 01'!E52))),('V06 Calend 01'!H52-('V06 Calend 01'!I52*('V06 Calend 01'!E52-1))),'V06 Calend 01'!I52),0))+IF((150='V06 Calend 01'!D52),'V06 Calend 01'!J52,0))</f>
        <v>0</v>
      </c>
      <c r="FG52" s="2">
        <f>((IF((151='V06 Calend 01'!C52),('V06 Calend 01'!F52+'V06 Calend 01'!G52),0)+IF(AND(('V06 Calend 01'!E52&gt;0),(151&gt;'V06 Calend 01'!C52),(151&lt;'V06 Calend 01'!D52),(MOD((151-'V06 Calend 01'!C52),6)=0),(((151-'V06 Calend 01'!C52)/6)&lt;='V06 Calend 01'!E52)),IF((151=('V06 Calend 01'!C52+(6*'V06 Calend 01'!E52))),('V06 Calend 01'!H52-('V06 Calend 01'!I52*('V06 Calend 01'!E52-1))),'V06 Calend 01'!I52),0))+IF((151='V06 Calend 01'!D52),'V06 Calend 01'!J52,0))</f>
        <v>0</v>
      </c>
      <c r="FH52" s="2">
        <f>((IF((152='V06 Calend 01'!C52),('V06 Calend 01'!F52+'V06 Calend 01'!G52),0)+IF(AND(('V06 Calend 01'!E52&gt;0),(152&gt;'V06 Calend 01'!C52),(152&lt;'V06 Calend 01'!D52),(MOD((152-'V06 Calend 01'!C52),6)=0),(((152-'V06 Calend 01'!C52)/6)&lt;='V06 Calend 01'!E52)),IF((152=('V06 Calend 01'!C52+(6*'V06 Calend 01'!E52))),('V06 Calend 01'!H52-('V06 Calend 01'!I52*('V06 Calend 01'!E52-1))),'V06 Calend 01'!I52),0))+IF((152='V06 Calend 01'!D52),'V06 Calend 01'!J52,0))</f>
        <v>0</v>
      </c>
      <c r="FI52" s="2">
        <f>((IF((153='V06 Calend 01'!C52),('V06 Calend 01'!F52+'V06 Calend 01'!G52),0)+IF(AND(('V06 Calend 01'!E52&gt;0),(153&gt;'V06 Calend 01'!C52),(153&lt;'V06 Calend 01'!D52),(MOD((153-'V06 Calend 01'!C52),6)=0),(((153-'V06 Calend 01'!C52)/6)&lt;='V06 Calend 01'!E52)),IF((153=('V06 Calend 01'!C52+(6*'V06 Calend 01'!E52))),('V06 Calend 01'!H52-('V06 Calend 01'!I52*('V06 Calend 01'!E52-1))),'V06 Calend 01'!I52),0))+IF((153='V06 Calend 01'!D52),'V06 Calend 01'!J52,0))</f>
        <v>0</v>
      </c>
      <c r="FJ52" s="2">
        <f>((IF((154='V06 Calend 01'!C52),('V06 Calend 01'!F52+'V06 Calend 01'!G52),0)+IF(AND(('V06 Calend 01'!E52&gt;0),(154&gt;'V06 Calend 01'!C52),(154&lt;'V06 Calend 01'!D52),(MOD((154-'V06 Calend 01'!C52),6)=0),(((154-'V06 Calend 01'!C52)/6)&lt;='V06 Calend 01'!E52)),IF((154=('V06 Calend 01'!C52+(6*'V06 Calend 01'!E52))),('V06 Calend 01'!H52-('V06 Calend 01'!I52*('V06 Calend 01'!E52-1))),'V06 Calend 01'!I52),0))+IF((154='V06 Calend 01'!D52),'V06 Calend 01'!J52,0))</f>
        <v>0</v>
      </c>
      <c r="FK52" s="2">
        <f>((IF((155='V06 Calend 01'!C52),('V06 Calend 01'!F52+'V06 Calend 01'!G52),0)+IF(AND(('V06 Calend 01'!E52&gt;0),(155&gt;'V06 Calend 01'!C52),(155&lt;'V06 Calend 01'!D52),(MOD((155-'V06 Calend 01'!C52),6)=0),(((155-'V06 Calend 01'!C52)/6)&lt;='V06 Calend 01'!E52)),IF((155=('V06 Calend 01'!C52+(6*'V06 Calend 01'!E52))),('V06 Calend 01'!H52-('V06 Calend 01'!I52*('V06 Calend 01'!E52-1))),'V06 Calend 01'!I52),0))+IF((155='V06 Calend 01'!D52),'V06 Calend 01'!J52,0))</f>
        <v>0</v>
      </c>
      <c r="FL52" s="2">
        <f>((IF((156='V06 Calend 01'!C52),('V06 Calend 01'!F52+'V06 Calend 01'!G52),0)+IF(AND(('V06 Calend 01'!E52&gt;0),(156&gt;'V06 Calend 01'!C52),(156&lt;'V06 Calend 01'!D52),(MOD((156-'V06 Calend 01'!C52),6)=0),(((156-'V06 Calend 01'!C52)/6)&lt;='V06 Calend 01'!E52)),IF((156=('V06 Calend 01'!C52+(6*'V06 Calend 01'!E52))),('V06 Calend 01'!H52-('V06 Calend 01'!I52*('V06 Calend 01'!E52-1))),'V06 Calend 01'!I52),0))+IF((156='V06 Calend 01'!D52),'V06 Calend 01'!J52,0))</f>
        <v>0</v>
      </c>
      <c r="FM52" s="2">
        <f>((IF((157='V06 Calend 01'!C52),('V06 Calend 01'!F52+'V06 Calend 01'!G52),0)+IF(AND(('V06 Calend 01'!E52&gt;0),(157&gt;'V06 Calend 01'!C52),(157&lt;'V06 Calend 01'!D52),(MOD((157-'V06 Calend 01'!C52),6)=0),(((157-'V06 Calend 01'!C52)/6)&lt;='V06 Calend 01'!E52)),IF((157=('V06 Calend 01'!C52+(6*'V06 Calend 01'!E52))),('V06 Calend 01'!H52-('V06 Calend 01'!I52*('V06 Calend 01'!E52-1))),'V06 Calend 01'!I52),0))+IF((157='V06 Calend 01'!D52),'V06 Calend 01'!J52,0))</f>
        <v>0</v>
      </c>
      <c r="FN52" s="2">
        <f>((IF((158='V06 Calend 01'!C52),('V06 Calend 01'!F52+'V06 Calend 01'!G52),0)+IF(AND(('V06 Calend 01'!E52&gt;0),(158&gt;'V06 Calend 01'!C52),(158&lt;'V06 Calend 01'!D52),(MOD((158-'V06 Calend 01'!C52),6)=0),(((158-'V06 Calend 01'!C52)/6)&lt;='V06 Calend 01'!E52)),IF((158=('V06 Calend 01'!C52+(6*'V06 Calend 01'!E52))),('V06 Calend 01'!H52-('V06 Calend 01'!I52*('V06 Calend 01'!E52-1))),'V06 Calend 01'!I52),0))+IF((158='V06 Calend 01'!D52),'V06 Calend 01'!J52,0))</f>
        <v>0</v>
      </c>
      <c r="FO52" s="2">
        <f>((IF((159='V06 Calend 01'!C52),('V06 Calend 01'!F52+'V06 Calend 01'!G52),0)+IF(AND(('V06 Calend 01'!E52&gt;0),(159&gt;'V06 Calend 01'!C52),(159&lt;'V06 Calend 01'!D52),(MOD((159-'V06 Calend 01'!C52),6)=0),(((159-'V06 Calend 01'!C52)/6)&lt;='V06 Calend 01'!E52)),IF((159=('V06 Calend 01'!C52+(6*'V06 Calend 01'!E52))),('V06 Calend 01'!H52-('V06 Calend 01'!I52*('V06 Calend 01'!E52-1))),'V06 Calend 01'!I52),0))+IF((159='V06 Calend 01'!D52),'V06 Calend 01'!J52,0))</f>
        <v>0</v>
      </c>
      <c r="FP52" s="2">
        <f>((IF((160='V06 Calend 01'!C52),('V06 Calend 01'!F52+'V06 Calend 01'!G52),0)+IF(AND(('V06 Calend 01'!E52&gt;0),(160&gt;'V06 Calend 01'!C52),(160&lt;'V06 Calend 01'!D52),(MOD((160-'V06 Calend 01'!C52),6)=0),(((160-'V06 Calend 01'!C52)/6)&lt;='V06 Calend 01'!E52)),IF((160=('V06 Calend 01'!C52+(6*'V06 Calend 01'!E52))),('V06 Calend 01'!H52-('V06 Calend 01'!I52*('V06 Calend 01'!E52-1))),'V06 Calend 01'!I52),0))+IF((160='V06 Calend 01'!D52),'V06 Calend 01'!J52,0))</f>
        <v>0</v>
      </c>
      <c r="FQ52" s="2">
        <f>((IF((161='V06 Calend 01'!C52),('V06 Calend 01'!F52+'V06 Calend 01'!G52),0)+IF(AND(('V06 Calend 01'!E52&gt;0),(161&gt;'V06 Calend 01'!C52),(161&lt;'V06 Calend 01'!D52),(MOD((161-'V06 Calend 01'!C52),6)=0),(((161-'V06 Calend 01'!C52)/6)&lt;='V06 Calend 01'!E52)),IF((161=('V06 Calend 01'!C52+(6*'V06 Calend 01'!E52))),('V06 Calend 01'!H52-('V06 Calend 01'!I52*('V06 Calend 01'!E52-1))),'V06 Calend 01'!I52),0))+IF((161='V06 Calend 01'!D52),'V06 Calend 01'!J52,0))</f>
        <v>0</v>
      </c>
      <c r="FR52" s="2">
        <f>((IF((162='V06 Calend 01'!C52),('V06 Calend 01'!F52+'V06 Calend 01'!G52),0)+IF(AND(('V06 Calend 01'!E52&gt;0),(162&gt;'V06 Calend 01'!C52),(162&lt;'V06 Calend 01'!D52),(MOD((162-'V06 Calend 01'!C52),6)=0),(((162-'V06 Calend 01'!C52)/6)&lt;='V06 Calend 01'!E52)),IF((162=('V06 Calend 01'!C52+(6*'V06 Calend 01'!E52))),('V06 Calend 01'!H52-('V06 Calend 01'!I52*('V06 Calend 01'!E52-1))),'V06 Calend 01'!I52),0))+IF((162='V06 Calend 01'!D52),'V06 Calend 01'!J52,0))</f>
        <v>0</v>
      </c>
      <c r="FS52" s="2">
        <f>((IF((163='V06 Calend 01'!C52),('V06 Calend 01'!F52+'V06 Calend 01'!G52),0)+IF(AND(('V06 Calend 01'!E52&gt;0),(163&gt;'V06 Calend 01'!C52),(163&lt;'V06 Calend 01'!D52),(MOD((163-'V06 Calend 01'!C52),6)=0),(((163-'V06 Calend 01'!C52)/6)&lt;='V06 Calend 01'!E52)),IF((163=('V06 Calend 01'!C52+(6*'V06 Calend 01'!E52))),('V06 Calend 01'!H52-('V06 Calend 01'!I52*('V06 Calend 01'!E52-1))),'V06 Calend 01'!I52),0))+IF((163='V06 Calend 01'!D52),'V06 Calend 01'!J52,0))</f>
        <v>0</v>
      </c>
      <c r="FT52" s="2">
        <f>((IF((164='V06 Calend 01'!C52),('V06 Calend 01'!F52+'V06 Calend 01'!G52),0)+IF(AND(('V06 Calend 01'!E52&gt;0),(164&gt;'V06 Calend 01'!C52),(164&lt;'V06 Calend 01'!D52),(MOD((164-'V06 Calend 01'!C52),6)=0),(((164-'V06 Calend 01'!C52)/6)&lt;='V06 Calend 01'!E52)),IF((164=('V06 Calend 01'!C52+(6*'V06 Calend 01'!E52))),('V06 Calend 01'!H52-('V06 Calend 01'!I52*('V06 Calend 01'!E52-1))),'V06 Calend 01'!I52),0))+IF((164='V06 Calend 01'!D52),'V06 Calend 01'!J52,0))</f>
        <v>0</v>
      </c>
      <c r="FU52" s="2">
        <f>((IF((165='V06 Calend 01'!C52),('V06 Calend 01'!F52+'V06 Calend 01'!G52),0)+IF(AND(('V06 Calend 01'!E52&gt;0),(165&gt;'V06 Calend 01'!C52),(165&lt;'V06 Calend 01'!D52),(MOD((165-'V06 Calend 01'!C52),6)=0),(((165-'V06 Calend 01'!C52)/6)&lt;='V06 Calend 01'!E52)),IF((165=('V06 Calend 01'!C52+(6*'V06 Calend 01'!E52))),('V06 Calend 01'!H52-('V06 Calend 01'!I52*('V06 Calend 01'!E52-1))),'V06 Calend 01'!I52),0))+IF((165='V06 Calend 01'!D52),'V06 Calend 01'!J52,0))</f>
        <v>0</v>
      </c>
      <c r="FV52" s="2">
        <f>((IF((166='V06 Calend 01'!C52),('V06 Calend 01'!F52+'V06 Calend 01'!G52),0)+IF(AND(('V06 Calend 01'!E52&gt;0),(166&gt;'V06 Calend 01'!C52),(166&lt;'V06 Calend 01'!D52),(MOD((166-'V06 Calend 01'!C52),6)=0),(((166-'V06 Calend 01'!C52)/6)&lt;='V06 Calend 01'!E52)),IF((166=('V06 Calend 01'!C52+(6*'V06 Calend 01'!E52))),('V06 Calend 01'!H52-('V06 Calend 01'!I52*('V06 Calend 01'!E52-1))),'V06 Calend 01'!I52),0))+IF((166='V06 Calend 01'!D52),'V06 Calend 01'!J52,0))</f>
        <v>0</v>
      </c>
      <c r="FW52" s="2">
        <f>((IF((167='V06 Calend 01'!C52),('V06 Calend 01'!F52+'V06 Calend 01'!G52),0)+IF(AND(('V06 Calend 01'!E52&gt;0),(167&gt;'V06 Calend 01'!C52),(167&lt;'V06 Calend 01'!D52),(MOD((167-'V06 Calend 01'!C52),6)=0),(((167-'V06 Calend 01'!C52)/6)&lt;='V06 Calend 01'!E52)),IF((167=('V06 Calend 01'!C52+(6*'V06 Calend 01'!E52))),('V06 Calend 01'!H52-('V06 Calend 01'!I52*('V06 Calend 01'!E52-1))),'V06 Calend 01'!I52),0))+IF((167='V06 Calend 01'!D52),'V06 Calend 01'!J52,0))</f>
        <v>0</v>
      </c>
      <c r="FX52" s="2">
        <f>((IF((168='V06 Calend 01'!C52),('V06 Calend 01'!F52+'V06 Calend 01'!G52),0)+IF(AND(('V06 Calend 01'!E52&gt;0),(168&gt;'V06 Calend 01'!C52),(168&lt;'V06 Calend 01'!D52),(MOD((168-'V06 Calend 01'!C52),6)=0),(((168-'V06 Calend 01'!C52)/6)&lt;='V06 Calend 01'!E52)),IF((168=('V06 Calend 01'!C52+(6*'V06 Calend 01'!E52))),('V06 Calend 01'!H52-('V06 Calend 01'!I52*('V06 Calend 01'!E52-1))),'V06 Calend 01'!I52),0))+IF((168='V06 Calend 01'!D52),'V06 Calend 01'!J52,0))</f>
        <v>0</v>
      </c>
      <c r="FY52" s="2">
        <f>((IF((169='V06 Calend 01'!C52),('V06 Calend 01'!F52+'V06 Calend 01'!G52),0)+IF(AND(('V06 Calend 01'!E52&gt;0),(169&gt;'V06 Calend 01'!C52),(169&lt;'V06 Calend 01'!D52),(MOD((169-'V06 Calend 01'!C52),6)=0),(((169-'V06 Calend 01'!C52)/6)&lt;='V06 Calend 01'!E52)),IF((169=('V06 Calend 01'!C52+(6*'V06 Calend 01'!E52))),('V06 Calend 01'!H52-('V06 Calend 01'!I52*('V06 Calend 01'!E52-1))),'V06 Calend 01'!I52),0))+IF((169='V06 Calend 01'!D52),'V06 Calend 01'!J52,0))</f>
        <v>0</v>
      </c>
      <c r="FZ52" s="2">
        <f>((IF((170='V06 Calend 01'!C52),('V06 Calend 01'!F52+'V06 Calend 01'!G52),0)+IF(AND(('V06 Calend 01'!E52&gt;0),(170&gt;'V06 Calend 01'!C52),(170&lt;'V06 Calend 01'!D52),(MOD((170-'V06 Calend 01'!C52),6)=0),(((170-'V06 Calend 01'!C52)/6)&lt;='V06 Calend 01'!E52)),IF((170=('V06 Calend 01'!C52+(6*'V06 Calend 01'!E52))),('V06 Calend 01'!H52-('V06 Calend 01'!I52*('V06 Calend 01'!E52-1))),'V06 Calend 01'!I52),0))+IF((170='V06 Calend 01'!D52),'V06 Calend 01'!J52,0))</f>
        <v>0</v>
      </c>
      <c r="GA52" s="2">
        <f>((IF((171='V06 Calend 01'!C52),('V06 Calend 01'!F52+'V06 Calend 01'!G52),0)+IF(AND(('V06 Calend 01'!E52&gt;0),(171&gt;'V06 Calend 01'!C52),(171&lt;'V06 Calend 01'!D52),(MOD((171-'V06 Calend 01'!C52),6)=0),(((171-'V06 Calend 01'!C52)/6)&lt;='V06 Calend 01'!E52)),IF((171=('V06 Calend 01'!C52+(6*'V06 Calend 01'!E52))),('V06 Calend 01'!H52-('V06 Calend 01'!I52*('V06 Calend 01'!E52-1))),'V06 Calend 01'!I52),0))+IF((171='V06 Calend 01'!D52),'V06 Calend 01'!J52,0))</f>
        <v>0</v>
      </c>
      <c r="GB52" s="2">
        <f>((IF((172='V06 Calend 01'!C52),('V06 Calend 01'!F52+'V06 Calend 01'!G52),0)+IF(AND(('V06 Calend 01'!E52&gt;0),(172&gt;'V06 Calend 01'!C52),(172&lt;'V06 Calend 01'!D52),(MOD((172-'V06 Calend 01'!C52),6)=0),(((172-'V06 Calend 01'!C52)/6)&lt;='V06 Calend 01'!E52)),IF((172=('V06 Calend 01'!C52+(6*'V06 Calend 01'!E52))),('V06 Calend 01'!H52-('V06 Calend 01'!I52*('V06 Calend 01'!E52-1))),'V06 Calend 01'!I52),0))+IF((172='V06 Calend 01'!D52),'V06 Calend 01'!J52,0))</f>
        <v>0</v>
      </c>
      <c r="GC52" s="2">
        <f>((IF((173='V06 Calend 01'!C52),('V06 Calend 01'!F52+'V06 Calend 01'!G52),0)+IF(AND(('V06 Calend 01'!E52&gt;0),(173&gt;'V06 Calend 01'!C52),(173&lt;'V06 Calend 01'!D52),(MOD((173-'V06 Calend 01'!C52),6)=0),(((173-'V06 Calend 01'!C52)/6)&lt;='V06 Calend 01'!E52)),IF((173=('V06 Calend 01'!C52+(6*'V06 Calend 01'!E52))),('V06 Calend 01'!H52-('V06 Calend 01'!I52*('V06 Calend 01'!E52-1))),'V06 Calend 01'!I52),0))+IF((173='V06 Calend 01'!D52),'V06 Calend 01'!J52,0))</f>
        <v>0</v>
      </c>
      <c r="GD52" s="2">
        <f>((IF((174='V06 Calend 01'!C52),('V06 Calend 01'!F52+'V06 Calend 01'!G52),0)+IF(AND(('V06 Calend 01'!E52&gt;0),(174&gt;'V06 Calend 01'!C52),(174&lt;'V06 Calend 01'!D52),(MOD((174-'V06 Calend 01'!C52),6)=0),(((174-'V06 Calend 01'!C52)/6)&lt;='V06 Calend 01'!E52)),IF((174=('V06 Calend 01'!C52+(6*'V06 Calend 01'!E52))),('V06 Calend 01'!H52-('V06 Calend 01'!I52*('V06 Calend 01'!E52-1))),'V06 Calend 01'!I52),0))+IF((174='V06 Calend 01'!D52),'V06 Calend 01'!J52,0))</f>
        <v>0</v>
      </c>
      <c r="GE52" s="2">
        <f>((IF((175='V06 Calend 01'!C52),('V06 Calend 01'!F52+'V06 Calend 01'!G52),0)+IF(AND(('V06 Calend 01'!E52&gt;0),(175&gt;'V06 Calend 01'!C52),(175&lt;'V06 Calend 01'!D52),(MOD((175-'V06 Calend 01'!C52),6)=0),(((175-'V06 Calend 01'!C52)/6)&lt;='V06 Calend 01'!E52)),IF((175=('V06 Calend 01'!C52+(6*'V06 Calend 01'!E52))),('V06 Calend 01'!H52-('V06 Calend 01'!I52*('V06 Calend 01'!E52-1))),'V06 Calend 01'!I52),0))+IF((175='V06 Calend 01'!D52),'V06 Calend 01'!J52,0))</f>
        <v>0</v>
      </c>
      <c r="GF52" s="2">
        <f>((IF((176='V06 Calend 01'!C52),('V06 Calend 01'!F52+'V06 Calend 01'!G52),0)+IF(AND(('V06 Calend 01'!E52&gt;0),(176&gt;'V06 Calend 01'!C52),(176&lt;'V06 Calend 01'!D52),(MOD((176-'V06 Calend 01'!C52),6)=0),(((176-'V06 Calend 01'!C52)/6)&lt;='V06 Calend 01'!E52)),IF((176=('V06 Calend 01'!C52+(6*'V06 Calend 01'!E52))),('V06 Calend 01'!H52-('V06 Calend 01'!I52*('V06 Calend 01'!E52-1))),'V06 Calend 01'!I52),0))+IF((176='V06 Calend 01'!D52),'V06 Calend 01'!J52,0))</f>
        <v>0</v>
      </c>
      <c r="GG52" s="2">
        <f>((IF((177='V06 Calend 01'!C52),('V06 Calend 01'!F52+'V06 Calend 01'!G52),0)+IF(AND(('V06 Calend 01'!E52&gt;0),(177&gt;'V06 Calend 01'!C52),(177&lt;'V06 Calend 01'!D52),(MOD((177-'V06 Calend 01'!C52),6)=0),(((177-'V06 Calend 01'!C52)/6)&lt;='V06 Calend 01'!E52)),IF((177=('V06 Calend 01'!C52+(6*'V06 Calend 01'!E52))),('V06 Calend 01'!H52-('V06 Calend 01'!I52*('V06 Calend 01'!E52-1))),'V06 Calend 01'!I52),0))+IF((177='V06 Calend 01'!D52),'V06 Calend 01'!J52,0))</f>
        <v>0</v>
      </c>
      <c r="GH52" s="2">
        <f>((IF((178='V06 Calend 01'!C52),('V06 Calend 01'!F52+'V06 Calend 01'!G52),0)+IF(AND(('V06 Calend 01'!E52&gt;0),(178&gt;'V06 Calend 01'!C52),(178&lt;'V06 Calend 01'!D52),(MOD((178-'V06 Calend 01'!C52),6)=0),(((178-'V06 Calend 01'!C52)/6)&lt;='V06 Calend 01'!E52)),IF((178=('V06 Calend 01'!C52+(6*'V06 Calend 01'!E52))),('V06 Calend 01'!H52-('V06 Calend 01'!I52*('V06 Calend 01'!E52-1))),'V06 Calend 01'!I52),0))+IF((178='V06 Calend 01'!D52),'V06 Calend 01'!J52,0))</f>
        <v>0</v>
      </c>
      <c r="GI52" s="2">
        <f>((IF((179='V06 Calend 01'!C52),('V06 Calend 01'!F52+'V06 Calend 01'!G52),0)+IF(AND(('V06 Calend 01'!E52&gt;0),(179&gt;'V06 Calend 01'!C52),(179&lt;'V06 Calend 01'!D52),(MOD((179-'V06 Calend 01'!C52),6)=0),(((179-'V06 Calend 01'!C52)/6)&lt;='V06 Calend 01'!E52)),IF((179=('V06 Calend 01'!C52+(6*'V06 Calend 01'!E52))),('V06 Calend 01'!H52-('V06 Calend 01'!I52*('V06 Calend 01'!E52-1))),'V06 Calend 01'!I52),0))+IF((179='V06 Calend 01'!D52),'V06 Calend 01'!J52,0))</f>
        <v>0</v>
      </c>
      <c r="GJ52" s="2">
        <f>((IF((180='V06 Calend 01'!C52),('V06 Calend 01'!F52+'V06 Calend 01'!G52),0)+IF(AND(('V06 Calend 01'!E52&gt;0),(180&gt;'V06 Calend 01'!C52),(180&lt;'V06 Calend 01'!D52),(MOD((180-'V06 Calend 01'!C52),6)=0),(((180-'V06 Calend 01'!C52)/6)&lt;='V06 Calend 01'!E52)),IF((180=('V06 Calend 01'!C52+(6*'V06 Calend 01'!E52))),('V06 Calend 01'!H52-('V06 Calend 01'!I52*('V06 Calend 01'!E52-1))),'V06 Calend 01'!I52),0))+IF((180='V06 Calend 01'!D52),'V06 Calend 01'!J52,0))</f>
        <v>0</v>
      </c>
    </row>
    <row r="53" spans="1:192">
      <c r="A53" s="3" t="str">
        <f>'V06 Unidades'!$A$53</f>
        <v>609</v>
      </c>
      <c r="B53" s="2">
        <f>'V06 Unidades'!$H$53</f>
        <v>488797.55</v>
      </c>
      <c r="C53" s="4">
        <f>('V06 Unidades'!$I$53+'V06 Controlos'!$B$37)</f>
        <v>7</v>
      </c>
      <c r="D53" s="4">
        <f>IF(('V06 Controlos'!$B$38&gt;0),MAX(('V06 Unidades'!$L$53+'V06 Controlos'!$B$37),(30+'V06 Controlos'!$B$38)),('V06 Unidades'!$L$53+'V06 Controlos'!$B$37))</f>
        <v>28</v>
      </c>
      <c r="E53" s="4">
        <f>MAX(0,INT(((('V06 Calend 01'!D53-'V06 Calend 01'!C53)-1)/6)))</f>
        <v>3</v>
      </c>
      <c r="F53" s="2">
        <f>ROUND(('V06 Calend 01'!B53*0.05),2)</f>
        <v>24439.88</v>
      </c>
      <c r="G53" s="2">
        <f>ROUND(('V06 Calend 01'!B53*0.2),2)</f>
        <v>97759.51</v>
      </c>
      <c r="H53" s="2">
        <f>ROUND(('V06 Calend 01'!B53*0.55),2)</f>
        <v>268838.65</v>
      </c>
      <c r="I53" s="2">
        <f>ROUND(('V06 Calend 01'!H53/MAX(1,'V06 Calend 01'!E53)),2)</f>
        <v>89612.88</v>
      </c>
      <c r="J53" s="2">
        <f>((('V06 Calend 01'!B53-'V06 Calend 01'!F53)-'V06 Calend 01'!G53)-'V06 Calend 01'!H53)</f>
        <v>97759.50999999995</v>
      </c>
      <c r="K53" s="2">
        <f>('V06 Calend 01'!B53*0.025)</f>
        <v>12219.938750000001</v>
      </c>
      <c r="L53" t="s">
        <v>378</v>
      </c>
      <c r="M53" s="2">
        <f>((IF((1='V06 Calend 01'!C53),('V06 Calend 01'!F53+'V06 Calend 01'!G53),0)+IF(AND(('V06 Calend 01'!E53&gt;0),(1&gt;'V06 Calend 01'!C53),(1&lt;'V06 Calend 01'!D53),(MOD((1-'V06 Calend 01'!C53),6)=0),(((1-'V06 Calend 01'!C53)/6)&lt;='V06 Calend 01'!E53)),IF((1=('V06 Calend 01'!C53+(6*'V06 Calend 01'!E53))),('V06 Calend 01'!H53-('V06 Calend 01'!I53*('V06 Calend 01'!E53-1))),'V06 Calend 01'!I53),0))+IF((1='V06 Calend 01'!D53),'V06 Calend 01'!J53,0))</f>
        <v>0</v>
      </c>
      <c r="N53" s="2">
        <f>((IF((2='V06 Calend 01'!C53),('V06 Calend 01'!F53+'V06 Calend 01'!G53),0)+IF(AND(('V06 Calend 01'!E53&gt;0),(2&gt;'V06 Calend 01'!C53),(2&lt;'V06 Calend 01'!D53),(MOD((2-'V06 Calend 01'!C53),6)=0),(((2-'V06 Calend 01'!C53)/6)&lt;='V06 Calend 01'!E53)),IF((2=('V06 Calend 01'!C53+(6*'V06 Calend 01'!E53))),('V06 Calend 01'!H53-('V06 Calend 01'!I53*('V06 Calend 01'!E53-1))),'V06 Calend 01'!I53),0))+IF((2='V06 Calend 01'!D53),'V06 Calend 01'!J53,0))</f>
        <v>0</v>
      </c>
      <c r="O53" s="2">
        <f>((IF((3='V06 Calend 01'!C53),('V06 Calend 01'!F53+'V06 Calend 01'!G53),0)+IF(AND(('V06 Calend 01'!E53&gt;0),(3&gt;'V06 Calend 01'!C53),(3&lt;'V06 Calend 01'!D53),(MOD((3-'V06 Calend 01'!C53),6)=0),(((3-'V06 Calend 01'!C53)/6)&lt;='V06 Calend 01'!E53)),IF((3=('V06 Calend 01'!C53+(6*'V06 Calend 01'!E53))),('V06 Calend 01'!H53-('V06 Calend 01'!I53*('V06 Calend 01'!E53-1))),'V06 Calend 01'!I53),0))+IF((3='V06 Calend 01'!D53),'V06 Calend 01'!J53,0))</f>
        <v>0</v>
      </c>
      <c r="P53" s="2">
        <f>((IF((4='V06 Calend 01'!C53),('V06 Calend 01'!F53+'V06 Calend 01'!G53),0)+IF(AND(('V06 Calend 01'!E53&gt;0),(4&gt;'V06 Calend 01'!C53),(4&lt;'V06 Calend 01'!D53),(MOD((4-'V06 Calend 01'!C53),6)=0),(((4-'V06 Calend 01'!C53)/6)&lt;='V06 Calend 01'!E53)),IF((4=('V06 Calend 01'!C53+(6*'V06 Calend 01'!E53))),('V06 Calend 01'!H53-('V06 Calend 01'!I53*('V06 Calend 01'!E53-1))),'V06 Calend 01'!I53),0))+IF((4='V06 Calend 01'!D53),'V06 Calend 01'!J53,0))</f>
        <v>0</v>
      </c>
      <c r="Q53" s="2">
        <f>((IF((5='V06 Calend 01'!C53),('V06 Calend 01'!F53+'V06 Calend 01'!G53),0)+IF(AND(('V06 Calend 01'!E53&gt;0),(5&gt;'V06 Calend 01'!C53),(5&lt;'V06 Calend 01'!D53),(MOD((5-'V06 Calend 01'!C53),6)=0),(((5-'V06 Calend 01'!C53)/6)&lt;='V06 Calend 01'!E53)),IF((5=('V06 Calend 01'!C53+(6*'V06 Calend 01'!E53))),('V06 Calend 01'!H53-('V06 Calend 01'!I53*('V06 Calend 01'!E53-1))),'V06 Calend 01'!I53),0))+IF((5='V06 Calend 01'!D53),'V06 Calend 01'!J53,0))</f>
        <v>0</v>
      </c>
      <c r="R53" s="2">
        <f>((IF((6='V06 Calend 01'!C53),('V06 Calend 01'!F53+'V06 Calend 01'!G53),0)+IF(AND(('V06 Calend 01'!E53&gt;0),(6&gt;'V06 Calend 01'!C53),(6&lt;'V06 Calend 01'!D53),(MOD((6-'V06 Calend 01'!C53),6)=0),(((6-'V06 Calend 01'!C53)/6)&lt;='V06 Calend 01'!E53)),IF((6=('V06 Calend 01'!C53+(6*'V06 Calend 01'!E53))),('V06 Calend 01'!H53-('V06 Calend 01'!I53*('V06 Calend 01'!E53-1))),'V06 Calend 01'!I53),0))+IF((6='V06 Calend 01'!D53),'V06 Calend 01'!J53,0))</f>
        <v>0</v>
      </c>
      <c r="S53" s="2">
        <f>((IF((7='V06 Calend 01'!C53),('V06 Calend 01'!F53+'V06 Calend 01'!G53),0)+IF(AND(('V06 Calend 01'!E53&gt;0),(7&gt;'V06 Calend 01'!C53),(7&lt;'V06 Calend 01'!D53),(MOD((7-'V06 Calend 01'!C53),6)=0),(((7-'V06 Calend 01'!C53)/6)&lt;='V06 Calend 01'!E53)),IF((7=('V06 Calend 01'!C53+(6*'V06 Calend 01'!E53))),('V06 Calend 01'!H53-('V06 Calend 01'!I53*('V06 Calend 01'!E53-1))),'V06 Calend 01'!I53),0))+IF((7='V06 Calend 01'!D53),'V06 Calend 01'!J53,0))</f>
        <v>122199.39</v>
      </c>
      <c r="T53" s="2">
        <f>((IF((8='V06 Calend 01'!C53),('V06 Calend 01'!F53+'V06 Calend 01'!G53),0)+IF(AND(('V06 Calend 01'!E53&gt;0),(8&gt;'V06 Calend 01'!C53),(8&lt;'V06 Calend 01'!D53),(MOD((8-'V06 Calend 01'!C53),6)=0),(((8-'V06 Calend 01'!C53)/6)&lt;='V06 Calend 01'!E53)),IF((8=('V06 Calend 01'!C53+(6*'V06 Calend 01'!E53))),('V06 Calend 01'!H53-('V06 Calend 01'!I53*('V06 Calend 01'!E53-1))),'V06 Calend 01'!I53),0))+IF((8='V06 Calend 01'!D53),'V06 Calend 01'!J53,0))</f>
        <v>0</v>
      </c>
      <c r="U53" s="2">
        <f>((IF((9='V06 Calend 01'!C53),('V06 Calend 01'!F53+'V06 Calend 01'!G53),0)+IF(AND(('V06 Calend 01'!E53&gt;0),(9&gt;'V06 Calend 01'!C53),(9&lt;'V06 Calend 01'!D53),(MOD((9-'V06 Calend 01'!C53),6)=0),(((9-'V06 Calend 01'!C53)/6)&lt;='V06 Calend 01'!E53)),IF((9=('V06 Calend 01'!C53+(6*'V06 Calend 01'!E53))),('V06 Calend 01'!H53-('V06 Calend 01'!I53*('V06 Calend 01'!E53-1))),'V06 Calend 01'!I53),0))+IF((9='V06 Calend 01'!D53),'V06 Calend 01'!J53,0))</f>
        <v>0</v>
      </c>
      <c r="V53" s="2">
        <f>((IF((10='V06 Calend 01'!C53),('V06 Calend 01'!F53+'V06 Calend 01'!G53),0)+IF(AND(('V06 Calend 01'!E53&gt;0),(10&gt;'V06 Calend 01'!C53),(10&lt;'V06 Calend 01'!D53),(MOD((10-'V06 Calend 01'!C53),6)=0),(((10-'V06 Calend 01'!C53)/6)&lt;='V06 Calend 01'!E53)),IF((10=('V06 Calend 01'!C53+(6*'V06 Calend 01'!E53))),('V06 Calend 01'!H53-('V06 Calend 01'!I53*('V06 Calend 01'!E53-1))),'V06 Calend 01'!I53),0))+IF((10='V06 Calend 01'!D53),'V06 Calend 01'!J53,0))</f>
        <v>0</v>
      </c>
      <c r="W53" s="2">
        <f>((IF((11='V06 Calend 01'!C53),('V06 Calend 01'!F53+'V06 Calend 01'!G53),0)+IF(AND(('V06 Calend 01'!E53&gt;0),(11&gt;'V06 Calend 01'!C53),(11&lt;'V06 Calend 01'!D53),(MOD((11-'V06 Calend 01'!C53),6)=0),(((11-'V06 Calend 01'!C53)/6)&lt;='V06 Calend 01'!E53)),IF((11=('V06 Calend 01'!C53+(6*'V06 Calend 01'!E53))),('V06 Calend 01'!H53-('V06 Calend 01'!I53*('V06 Calend 01'!E53-1))),'V06 Calend 01'!I53),0))+IF((11='V06 Calend 01'!D53),'V06 Calend 01'!J53,0))</f>
        <v>0</v>
      </c>
      <c r="X53" s="2">
        <f>((IF((12='V06 Calend 01'!C53),('V06 Calend 01'!F53+'V06 Calend 01'!G53),0)+IF(AND(('V06 Calend 01'!E53&gt;0),(12&gt;'V06 Calend 01'!C53),(12&lt;'V06 Calend 01'!D53),(MOD((12-'V06 Calend 01'!C53),6)=0),(((12-'V06 Calend 01'!C53)/6)&lt;='V06 Calend 01'!E53)),IF((12=('V06 Calend 01'!C53+(6*'V06 Calend 01'!E53))),('V06 Calend 01'!H53-('V06 Calend 01'!I53*('V06 Calend 01'!E53-1))),'V06 Calend 01'!I53),0))+IF((12='V06 Calend 01'!D53),'V06 Calend 01'!J53,0))</f>
        <v>0</v>
      </c>
      <c r="Y53" s="2">
        <f>((IF((13='V06 Calend 01'!C53),('V06 Calend 01'!F53+'V06 Calend 01'!G53),0)+IF(AND(('V06 Calend 01'!E53&gt;0),(13&gt;'V06 Calend 01'!C53),(13&lt;'V06 Calend 01'!D53),(MOD((13-'V06 Calend 01'!C53),6)=0),(((13-'V06 Calend 01'!C53)/6)&lt;='V06 Calend 01'!E53)),IF((13=('V06 Calend 01'!C53+(6*'V06 Calend 01'!E53))),('V06 Calend 01'!H53-('V06 Calend 01'!I53*('V06 Calend 01'!E53-1))),'V06 Calend 01'!I53),0))+IF((13='V06 Calend 01'!D53),'V06 Calend 01'!J53,0))</f>
        <v>89612.88</v>
      </c>
      <c r="Z53" s="2">
        <f>((IF((14='V06 Calend 01'!C53),('V06 Calend 01'!F53+'V06 Calend 01'!G53),0)+IF(AND(('V06 Calend 01'!E53&gt;0),(14&gt;'V06 Calend 01'!C53),(14&lt;'V06 Calend 01'!D53),(MOD((14-'V06 Calend 01'!C53),6)=0),(((14-'V06 Calend 01'!C53)/6)&lt;='V06 Calend 01'!E53)),IF((14=('V06 Calend 01'!C53+(6*'V06 Calend 01'!E53))),('V06 Calend 01'!H53-('V06 Calend 01'!I53*('V06 Calend 01'!E53-1))),'V06 Calend 01'!I53),0))+IF((14='V06 Calend 01'!D53),'V06 Calend 01'!J53,0))</f>
        <v>0</v>
      </c>
      <c r="AA53" s="2">
        <f>((IF((15='V06 Calend 01'!C53),('V06 Calend 01'!F53+'V06 Calend 01'!G53),0)+IF(AND(('V06 Calend 01'!E53&gt;0),(15&gt;'V06 Calend 01'!C53),(15&lt;'V06 Calend 01'!D53),(MOD((15-'V06 Calend 01'!C53),6)=0),(((15-'V06 Calend 01'!C53)/6)&lt;='V06 Calend 01'!E53)),IF((15=('V06 Calend 01'!C53+(6*'V06 Calend 01'!E53))),('V06 Calend 01'!H53-('V06 Calend 01'!I53*('V06 Calend 01'!E53-1))),'V06 Calend 01'!I53),0))+IF((15='V06 Calend 01'!D53),'V06 Calend 01'!J53,0))</f>
        <v>0</v>
      </c>
      <c r="AB53" s="2">
        <f>((IF((16='V06 Calend 01'!C53),('V06 Calend 01'!F53+'V06 Calend 01'!G53),0)+IF(AND(('V06 Calend 01'!E53&gt;0),(16&gt;'V06 Calend 01'!C53),(16&lt;'V06 Calend 01'!D53),(MOD((16-'V06 Calend 01'!C53),6)=0),(((16-'V06 Calend 01'!C53)/6)&lt;='V06 Calend 01'!E53)),IF((16=('V06 Calend 01'!C53+(6*'V06 Calend 01'!E53))),('V06 Calend 01'!H53-('V06 Calend 01'!I53*('V06 Calend 01'!E53-1))),'V06 Calend 01'!I53),0))+IF((16='V06 Calend 01'!D53),'V06 Calend 01'!J53,0))</f>
        <v>0</v>
      </c>
      <c r="AC53" s="2">
        <f>((IF((17='V06 Calend 01'!C53),('V06 Calend 01'!F53+'V06 Calend 01'!G53),0)+IF(AND(('V06 Calend 01'!E53&gt;0),(17&gt;'V06 Calend 01'!C53),(17&lt;'V06 Calend 01'!D53),(MOD((17-'V06 Calend 01'!C53),6)=0),(((17-'V06 Calend 01'!C53)/6)&lt;='V06 Calend 01'!E53)),IF((17=('V06 Calend 01'!C53+(6*'V06 Calend 01'!E53))),('V06 Calend 01'!H53-('V06 Calend 01'!I53*('V06 Calend 01'!E53-1))),'V06 Calend 01'!I53),0))+IF((17='V06 Calend 01'!D53),'V06 Calend 01'!J53,0))</f>
        <v>0</v>
      </c>
      <c r="AD53" s="2">
        <f>((IF((18='V06 Calend 01'!C53),('V06 Calend 01'!F53+'V06 Calend 01'!G53),0)+IF(AND(('V06 Calend 01'!E53&gt;0),(18&gt;'V06 Calend 01'!C53),(18&lt;'V06 Calend 01'!D53),(MOD((18-'V06 Calend 01'!C53),6)=0),(((18-'V06 Calend 01'!C53)/6)&lt;='V06 Calend 01'!E53)),IF((18=('V06 Calend 01'!C53+(6*'V06 Calend 01'!E53))),('V06 Calend 01'!H53-('V06 Calend 01'!I53*('V06 Calend 01'!E53-1))),'V06 Calend 01'!I53),0))+IF((18='V06 Calend 01'!D53),'V06 Calend 01'!J53,0))</f>
        <v>0</v>
      </c>
      <c r="AE53" s="2">
        <f>((IF((19='V06 Calend 01'!C53),('V06 Calend 01'!F53+'V06 Calend 01'!G53),0)+IF(AND(('V06 Calend 01'!E53&gt;0),(19&gt;'V06 Calend 01'!C53),(19&lt;'V06 Calend 01'!D53),(MOD((19-'V06 Calend 01'!C53),6)=0),(((19-'V06 Calend 01'!C53)/6)&lt;='V06 Calend 01'!E53)),IF((19=('V06 Calend 01'!C53+(6*'V06 Calend 01'!E53))),('V06 Calend 01'!H53-('V06 Calend 01'!I53*('V06 Calend 01'!E53-1))),'V06 Calend 01'!I53),0))+IF((19='V06 Calend 01'!D53),'V06 Calend 01'!J53,0))</f>
        <v>89612.88</v>
      </c>
      <c r="AF53" s="2">
        <f>((IF((20='V06 Calend 01'!C53),('V06 Calend 01'!F53+'V06 Calend 01'!G53),0)+IF(AND(('V06 Calend 01'!E53&gt;0),(20&gt;'V06 Calend 01'!C53),(20&lt;'V06 Calend 01'!D53),(MOD((20-'V06 Calend 01'!C53),6)=0),(((20-'V06 Calend 01'!C53)/6)&lt;='V06 Calend 01'!E53)),IF((20=('V06 Calend 01'!C53+(6*'V06 Calend 01'!E53))),('V06 Calend 01'!H53-('V06 Calend 01'!I53*('V06 Calend 01'!E53-1))),'V06 Calend 01'!I53),0))+IF((20='V06 Calend 01'!D53),'V06 Calend 01'!J53,0))</f>
        <v>0</v>
      </c>
      <c r="AG53" s="2">
        <f>((IF((21='V06 Calend 01'!C53),('V06 Calend 01'!F53+'V06 Calend 01'!G53),0)+IF(AND(('V06 Calend 01'!E53&gt;0),(21&gt;'V06 Calend 01'!C53),(21&lt;'V06 Calend 01'!D53),(MOD((21-'V06 Calend 01'!C53),6)=0),(((21-'V06 Calend 01'!C53)/6)&lt;='V06 Calend 01'!E53)),IF((21=('V06 Calend 01'!C53+(6*'V06 Calend 01'!E53))),('V06 Calend 01'!H53-('V06 Calend 01'!I53*('V06 Calend 01'!E53-1))),'V06 Calend 01'!I53),0))+IF((21='V06 Calend 01'!D53),'V06 Calend 01'!J53,0))</f>
        <v>0</v>
      </c>
      <c r="AH53" s="2">
        <f>((IF((22='V06 Calend 01'!C53),('V06 Calend 01'!F53+'V06 Calend 01'!G53),0)+IF(AND(('V06 Calend 01'!E53&gt;0),(22&gt;'V06 Calend 01'!C53),(22&lt;'V06 Calend 01'!D53),(MOD((22-'V06 Calend 01'!C53),6)=0),(((22-'V06 Calend 01'!C53)/6)&lt;='V06 Calend 01'!E53)),IF((22=('V06 Calend 01'!C53+(6*'V06 Calend 01'!E53))),('V06 Calend 01'!H53-('V06 Calend 01'!I53*('V06 Calend 01'!E53-1))),'V06 Calend 01'!I53),0))+IF((22='V06 Calend 01'!D53),'V06 Calend 01'!J53,0))</f>
        <v>0</v>
      </c>
      <c r="AI53" s="2">
        <f>((IF((23='V06 Calend 01'!C53),('V06 Calend 01'!F53+'V06 Calend 01'!G53),0)+IF(AND(('V06 Calend 01'!E53&gt;0),(23&gt;'V06 Calend 01'!C53),(23&lt;'V06 Calend 01'!D53),(MOD((23-'V06 Calend 01'!C53),6)=0),(((23-'V06 Calend 01'!C53)/6)&lt;='V06 Calend 01'!E53)),IF((23=('V06 Calend 01'!C53+(6*'V06 Calend 01'!E53))),('V06 Calend 01'!H53-('V06 Calend 01'!I53*('V06 Calend 01'!E53-1))),'V06 Calend 01'!I53),0))+IF((23='V06 Calend 01'!D53),'V06 Calend 01'!J53,0))</f>
        <v>0</v>
      </c>
      <c r="AJ53" s="2">
        <f>((IF((24='V06 Calend 01'!C53),('V06 Calend 01'!F53+'V06 Calend 01'!G53),0)+IF(AND(('V06 Calend 01'!E53&gt;0),(24&gt;'V06 Calend 01'!C53),(24&lt;'V06 Calend 01'!D53),(MOD((24-'V06 Calend 01'!C53),6)=0),(((24-'V06 Calend 01'!C53)/6)&lt;='V06 Calend 01'!E53)),IF((24=('V06 Calend 01'!C53+(6*'V06 Calend 01'!E53))),('V06 Calend 01'!H53-('V06 Calend 01'!I53*('V06 Calend 01'!E53-1))),'V06 Calend 01'!I53),0))+IF((24='V06 Calend 01'!D53),'V06 Calend 01'!J53,0))</f>
        <v>0</v>
      </c>
      <c r="AK53" s="2">
        <f>((IF((25='V06 Calend 01'!C53),('V06 Calend 01'!F53+'V06 Calend 01'!G53),0)+IF(AND(('V06 Calend 01'!E53&gt;0),(25&gt;'V06 Calend 01'!C53),(25&lt;'V06 Calend 01'!D53),(MOD((25-'V06 Calend 01'!C53),6)=0),(((25-'V06 Calend 01'!C53)/6)&lt;='V06 Calend 01'!E53)),IF((25=('V06 Calend 01'!C53+(6*'V06 Calend 01'!E53))),('V06 Calend 01'!H53-('V06 Calend 01'!I53*('V06 Calend 01'!E53-1))),'V06 Calend 01'!I53),0))+IF((25='V06 Calend 01'!D53),'V06 Calend 01'!J53,0))</f>
        <v>89612.89000000001</v>
      </c>
      <c r="AL53" s="2">
        <f>((IF((26='V06 Calend 01'!C53),('V06 Calend 01'!F53+'V06 Calend 01'!G53),0)+IF(AND(('V06 Calend 01'!E53&gt;0),(26&gt;'V06 Calend 01'!C53),(26&lt;'V06 Calend 01'!D53),(MOD((26-'V06 Calend 01'!C53),6)=0),(((26-'V06 Calend 01'!C53)/6)&lt;='V06 Calend 01'!E53)),IF((26=('V06 Calend 01'!C53+(6*'V06 Calend 01'!E53))),('V06 Calend 01'!H53-('V06 Calend 01'!I53*('V06 Calend 01'!E53-1))),'V06 Calend 01'!I53),0))+IF((26='V06 Calend 01'!D53),'V06 Calend 01'!J53,0))</f>
        <v>0</v>
      </c>
      <c r="AM53" s="2">
        <f>((IF((27='V06 Calend 01'!C53),('V06 Calend 01'!F53+'V06 Calend 01'!G53),0)+IF(AND(('V06 Calend 01'!E53&gt;0),(27&gt;'V06 Calend 01'!C53),(27&lt;'V06 Calend 01'!D53),(MOD((27-'V06 Calend 01'!C53),6)=0),(((27-'V06 Calend 01'!C53)/6)&lt;='V06 Calend 01'!E53)),IF((27=('V06 Calend 01'!C53+(6*'V06 Calend 01'!E53))),('V06 Calend 01'!H53-('V06 Calend 01'!I53*('V06 Calend 01'!E53-1))),'V06 Calend 01'!I53),0))+IF((27='V06 Calend 01'!D53),'V06 Calend 01'!J53,0))</f>
        <v>0</v>
      </c>
      <c r="AN53" s="2">
        <f>((IF((28='V06 Calend 01'!C53),('V06 Calend 01'!F53+'V06 Calend 01'!G53),0)+IF(AND(('V06 Calend 01'!E53&gt;0),(28&gt;'V06 Calend 01'!C53),(28&lt;'V06 Calend 01'!D53),(MOD((28-'V06 Calend 01'!C53),6)=0),(((28-'V06 Calend 01'!C53)/6)&lt;='V06 Calend 01'!E53)),IF((28=('V06 Calend 01'!C53+(6*'V06 Calend 01'!E53))),('V06 Calend 01'!H53-('V06 Calend 01'!I53*('V06 Calend 01'!E53-1))),'V06 Calend 01'!I53),0))+IF((28='V06 Calend 01'!D53),'V06 Calend 01'!J53,0))</f>
        <v>97759.50999999995</v>
      </c>
      <c r="AO53" s="2">
        <f>((IF((29='V06 Calend 01'!C53),('V06 Calend 01'!F53+'V06 Calend 01'!G53),0)+IF(AND(('V06 Calend 01'!E53&gt;0),(29&gt;'V06 Calend 01'!C53),(29&lt;'V06 Calend 01'!D53),(MOD((29-'V06 Calend 01'!C53),6)=0),(((29-'V06 Calend 01'!C53)/6)&lt;='V06 Calend 01'!E53)),IF((29=('V06 Calend 01'!C53+(6*'V06 Calend 01'!E53))),('V06 Calend 01'!H53-('V06 Calend 01'!I53*('V06 Calend 01'!E53-1))),'V06 Calend 01'!I53),0))+IF((29='V06 Calend 01'!D53),'V06 Calend 01'!J53,0))</f>
        <v>0</v>
      </c>
      <c r="AP53" s="2">
        <f>((IF((30='V06 Calend 01'!C53),('V06 Calend 01'!F53+'V06 Calend 01'!G53),0)+IF(AND(('V06 Calend 01'!E53&gt;0),(30&gt;'V06 Calend 01'!C53),(30&lt;'V06 Calend 01'!D53),(MOD((30-'V06 Calend 01'!C53),6)=0),(((30-'V06 Calend 01'!C53)/6)&lt;='V06 Calend 01'!E53)),IF((30=('V06 Calend 01'!C53+(6*'V06 Calend 01'!E53))),('V06 Calend 01'!H53-('V06 Calend 01'!I53*('V06 Calend 01'!E53-1))),'V06 Calend 01'!I53),0))+IF((30='V06 Calend 01'!D53),'V06 Calend 01'!J53,0))</f>
        <v>0</v>
      </c>
      <c r="AQ53" s="2">
        <f>((IF((31='V06 Calend 01'!C53),('V06 Calend 01'!F53+'V06 Calend 01'!G53),0)+IF(AND(('V06 Calend 01'!E53&gt;0),(31&gt;'V06 Calend 01'!C53),(31&lt;'V06 Calend 01'!D53),(MOD((31-'V06 Calend 01'!C53),6)=0),(((31-'V06 Calend 01'!C53)/6)&lt;='V06 Calend 01'!E53)),IF((31=('V06 Calend 01'!C53+(6*'V06 Calend 01'!E53))),('V06 Calend 01'!H53-('V06 Calend 01'!I53*('V06 Calend 01'!E53-1))),'V06 Calend 01'!I53),0))+IF((31='V06 Calend 01'!D53),'V06 Calend 01'!J53,0))</f>
        <v>0</v>
      </c>
      <c r="AR53" s="2">
        <f>((IF((32='V06 Calend 01'!C53),('V06 Calend 01'!F53+'V06 Calend 01'!G53),0)+IF(AND(('V06 Calend 01'!E53&gt;0),(32&gt;'V06 Calend 01'!C53),(32&lt;'V06 Calend 01'!D53),(MOD((32-'V06 Calend 01'!C53),6)=0),(((32-'V06 Calend 01'!C53)/6)&lt;='V06 Calend 01'!E53)),IF((32=('V06 Calend 01'!C53+(6*'V06 Calend 01'!E53))),('V06 Calend 01'!H53-('V06 Calend 01'!I53*('V06 Calend 01'!E53-1))),'V06 Calend 01'!I53),0))+IF((32='V06 Calend 01'!D53),'V06 Calend 01'!J53,0))</f>
        <v>0</v>
      </c>
      <c r="AS53" s="2">
        <f>((IF((33='V06 Calend 01'!C53),('V06 Calend 01'!F53+'V06 Calend 01'!G53),0)+IF(AND(('V06 Calend 01'!E53&gt;0),(33&gt;'V06 Calend 01'!C53),(33&lt;'V06 Calend 01'!D53),(MOD((33-'V06 Calend 01'!C53),6)=0),(((33-'V06 Calend 01'!C53)/6)&lt;='V06 Calend 01'!E53)),IF((33=('V06 Calend 01'!C53+(6*'V06 Calend 01'!E53))),('V06 Calend 01'!H53-('V06 Calend 01'!I53*('V06 Calend 01'!E53-1))),'V06 Calend 01'!I53),0))+IF((33='V06 Calend 01'!D53),'V06 Calend 01'!J53,0))</f>
        <v>0</v>
      </c>
      <c r="AT53" s="2">
        <f>((IF((34='V06 Calend 01'!C53),('V06 Calend 01'!F53+'V06 Calend 01'!G53),0)+IF(AND(('V06 Calend 01'!E53&gt;0),(34&gt;'V06 Calend 01'!C53),(34&lt;'V06 Calend 01'!D53),(MOD((34-'V06 Calend 01'!C53),6)=0),(((34-'V06 Calend 01'!C53)/6)&lt;='V06 Calend 01'!E53)),IF((34=('V06 Calend 01'!C53+(6*'V06 Calend 01'!E53))),('V06 Calend 01'!H53-('V06 Calend 01'!I53*('V06 Calend 01'!E53-1))),'V06 Calend 01'!I53),0))+IF((34='V06 Calend 01'!D53),'V06 Calend 01'!J53,0))</f>
        <v>0</v>
      </c>
      <c r="AU53" s="2">
        <f>((IF((35='V06 Calend 01'!C53),('V06 Calend 01'!F53+'V06 Calend 01'!G53),0)+IF(AND(('V06 Calend 01'!E53&gt;0),(35&gt;'V06 Calend 01'!C53),(35&lt;'V06 Calend 01'!D53),(MOD((35-'V06 Calend 01'!C53),6)=0),(((35-'V06 Calend 01'!C53)/6)&lt;='V06 Calend 01'!E53)),IF((35=('V06 Calend 01'!C53+(6*'V06 Calend 01'!E53))),('V06 Calend 01'!H53-('V06 Calend 01'!I53*('V06 Calend 01'!E53-1))),'V06 Calend 01'!I53),0))+IF((35='V06 Calend 01'!D53),'V06 Calend 01'!J53,0))</f>
        <v>0</v>
      </c>
      <c r="AV53" s="2">
        <f>((IF((36='V06 Calend 01'!C53),('V06 Calend 01'!F53+'V06 Calend 01'!G53),0)+IF(AND(('V06 Calend 01'!E53&gt;0),(36&gt;'V06 Calend 01'!C53),(36&lt;'V06 Calend 01'!D53),(MOD((36-'V06 Calend 01'!C53),6)=0),(((36-'V06 Calend 01'!C53)/6)&lt;='V06 Calend 01'!E53)),IF((36=('V06 Calend 01'!C53+(6*'V06 Calend 01'!E53))),('V06 Calend 01'!H53-('V06 Calend 01'!I53*('V06 Calend 01'!E53-1))),'V06 Calend 01'!I53),0))+IF((36='V06 Calend 01'!D53),'V06 Calend 01'!J53,0))</f>
        <v>0</v>
      </c>
      <c r="AW53" s="2">
        <f>((IF((37='V06 Calend 01'!C53),('V06 Calend 01'!F53+'V06 Calend 01'!G53),0)+IF(AND(('V06 Calend 01'!E53&gt;0),(37&gt;'V06 Calend 01'!C53),(37&lt;'V06 Calend 01'!D53),(MOD((37-'V06 Calend 01'!C53),6)=0),(((37-'V06 Calend 01'!C53)/6)&lt;='V06 Calend 01'!E53)),IF((37=('V06 Calend 01'!C53+(6*'V06 Calend 01'!E53))),('V06 Calend 01'!H53-('V06 Calend 01'!I53*('V06 Calend 01'!E53-1))),'V06 Calend 01'!I53),0))+IF((37='V06 Calend 01'!D53),'V06 Calend 01'!J53,0))</f>
        <v>0</v>
      </c>
      <c r="AX53" s="2">
        <f>((IF((38='V06 Calend 01'!C53),('V06 Calend 01'!F53+'V06 Calend 01'!G53),0)+IF(AND(('V06 Calend 01'!E53&gt;0),(38&gt;'V06 Calend 01'!C53),(38&lt;'V06 Calend 01'!D53),(MOD((38-'V06 Calend 01'!C53),6)=0),(((38-'V06 Calend 01'!C53)/6)&lt;='V06 Calend 01'!E53)),IF((38=('V06 Calend 01'!C53+(6*'V06 Calend 01'!E53))),('V06 Calend 01'!H53-('V06 Calend 01'!I53*('V06 Calend 01'!E53-1))),'V06 Calend 01'!I53),0))+IF((38='V06 Calend 01'!D53),'V06 Calend 01'!J53,0))</f>
        <v>0</v>
      </c>
      <c r="AY53" s="2">
        <f>((IF((39='V06 Calend 01'!C53),('V06 Calend 01'!F53+'V06 Calend 01'!G53),0)+IF(AND(('V06 Calend 01'!E53&gt;0),(39&gt;'V06 Calend 01'!C53),(39&lt;'V06 Calend 01'!D53),(MOD((39-'V06 Calend 01'!C53),6)=0),(((39-'V06 Calend 01'!C53)/6)&lt;='V06 Calend 01'!E53)),IF((39=('V06 Calend 01'!C53+(6*'V06 Calend 01'!E53))),('V06 Calend 01'!H53-('V06 Calend 01'!I53*('V06 Calend 01'!E53-1))),'V06 Calend 01'!I53),0))+IF((39='V06 Calend 01'!D53),'V06 Calend 01'!J53,0))</f>
        <v>0</v>
      </c>
      <c r="AZ53" s="2">
        <f>((IF((40='V06 Calend 01'!C53),('V06 Calend 01'!F53+'V06 Calend 01'!G53),0)+IF(AND(('V06 Calend 01'!E53&gt;0),(40&gt;'V06 Calend 01'!C53),(40&lt;'V06 Calend 01'!D53),(MOD((40-'V06 Calend 01'!C53),6)=0),(((40-'V06 Calend 01'!C53)/6)&lt;='V06 Calend 01'!E53)),IF((40=('V06 Calend 01'!C53+(6*'V06 Calend 01'!E53))),('V06 Calend 01'!H53-('V06 Calend 01'!I53*('V06 Calend 01'!E53-1))),'V06 Calend 01'!I53),0))+IF((40='V06 Calend 01'!D53),'V06 Calend 01'!J53,0))</f>
        <v>0</v>
      </c>
      <c r="BA53" s="2">
        <f>((IF((41='V06 Calend 01'!C53),('V06 Calend 01'!F53+'V06 Calend 01'!G53),0)+IF(AND(('V06 Calend 01'!E53&gt;0),(41&gt;'V06 Calend 01'!C53),(41&lt;'V06 Calend 01'!D53),(MOD((41-'V06 Calend 01'!C53),6)=0),(((41-'V06 Calend 01'!C53)/6)&lt;='V06 Calend 01'!E53)),IF((41=('V06 Calend 01'!C53+(6*'V06 Calend 01'!E53))),('V06 Calend 01'!H53-('V06 Calend 01'!I53*('V06 Calend 01'!E53-1))),'V06 Calend 01'!I53),0))+IF((41='V06 Calend 01'!D53),'V06 Calend 01'!J53,0))</f>
        <v>0</v>
      </c>
      <c r="BB53" s="2">
        <f>((IF((42='V06 Calend 01'!C53),('V06 Calend 01'!F53+'V06 Calend 01'!G53),0)+IF(AND(('V06 Calend 01'!E53&gt;0),(42&gt;'V06 Calend 01'!C53),(42&lt;'V06 Calend 01'!D53),(MOD((42-'V06 Calend 01'!C53),6)=0),(((42-'V06 Calend 01'!C53)/6)&lt;='V06 Calend 01'!E53)),IF((42=('V06 Calend 01'!C53+(6*'V06 Calend 01'!E53))),('V06 Calend 01'!H53-('V06 Calend 01'!I53*('V06 Calend 01'!E53-1))),'V06 Calend 01'!I53),0))+IF((42='V06 Calend 01'!D53),'V06 Calend 01'!J53,0))</f>
        <v>0</v>
      </c>
      <c r="BC53" s="2">
        <f>((IF((43='V06 Calend 01'!C53),('V06 Calend 01'!F53+'V06 Calend 01'!G53),0)+IF(AND(('V06 Calend 01'!E53&gt;0),(43&gt;'V06 Calend 01'!C53),(43&lt;'V06 Calend 01'!D53),(MOD((43-'V06 Calend 01'!C53),6)=0),(((43-'V06 Calend 01'!C53)/6)&lt;='V06 Calend 01'!E53)),IF((43=('V06 Calend 01'!C53+(6*'V06 Calend 01'!E53))),('V06 Calend 01'!H53-('V06 Calend 01'!I53*('V06 Calend 01'!E53-1))),'V06 Calend 01'!I53),0))+IF((43='V06 Calend 01'!D53),'V06 Calend 01'!J53,0))</f>
        <v>0</v>
      </c>
      <c r="BD53" s="2">
        <f>((IF((44='V06 Calend 01'!C53),('V06 Calend 01'!F53+'V06 Calend 01'!G53),0)+IF(AND(('V06 Calend 01'!E53&gt;0),(44&gt;'V06 Calend 01'!C53),(44&lt;'V06 Calend 01'!D53),(MOD((44-'V06 Calend 01'!C53),6)=0),(((44-'V06 Calend 01'!C53)/6)&lt;='V06 Calend 01'!E53)),IF((44=('V06 Calend 01'!C53+(6*'V06 Calend 01'!E53))),('V06 Calend 01'!H53-('V06 Calend 01'!I53*('V06 Calend 01'!E53-1))),'V06 Calend 01'!I53),0))+IF((44='V06 Calend 01'!D53),'V06 Calend 01'!J53,0))</f>
        <v>0</v>
      </c>
      <c r="BE53" s="2">
        <f>((IF((45='V06 Calend 01'!C53),('V06 Calend 01'!F53+'V06 Calend 01'!G53),0)+IF(AND(('V06 Calend 01'!E53&gt;0),(45&gt;'V06 Calend 01'!C53),(45&lt;'V06 Calend 01'!D53),(MOD((45-'V06 Calend 01'!C53),6)=0),(((45-'V06 Calend 01'!C53)/6)&lt;='V06 Calend 01'!E53)),IF((45=('V06 Calend 01'!C53+(6*'V06 Calend 01'!E53))),('V06 Calend 01'!H53-('V06 Calend 01'!I53*('V06 Calend 01'!E53-1))),'V06 Calend 01'!I53),0))+IF((45='V06 Calend 01'!D53),'V06 Calend 01'!J53,0))</f>
        <v>0</v>
      </c>
      <c r="BF53" s="2">
        <f>((IF((46='V06 Calend 01'!C53),('V06 Calend 01'!F53+'V06 Calend 01'!G53),0)+IF(AND(('V06 Calend 01'!E53&gt;0),(46&gt;'V06 Calend 01'!C53),(46&lt;'V06 Calend 01'!D53),(MOD((46-'V06 Calend 01'!C53),6)=0),(((46-'V06 Calend 01'!C53)/6)&lt;='V06 Calend 01'!E53)),IF((46=('V06 Calend 01'!C53+(6*'V06 Calend 01'!E53))),('V06 Calend 01'!H53-('V06 Calend 01'!I53*('V06 Calend 01'!E53-1))),'V06 Calend 01'!I53),0))+IF((46='V06 Calend 01'!D53),'V06 Calend 01'!J53,0))</f>
        <v>0</v>
      </c>
      <c r="BG53" s="2">
        <f>((IF((47='V06 Calend 01'!C53),('V06 Calend 01'!F53+'V06 Calend 01'!G53),0)+IF(AND(('V06 Calend 01'!E53&gt;0),(47&gt;'V06 Calend 01'!C53),(47&lt;'V06 Calend 01'!D53),(MOD((47-'V06 Calend 01'!C53),6)=0),(((47-'V06 Calend 01'!C53)/6)&lt;='V06 Calend 01'!E53)),IF((47=('V06 Calend 01'!C53+(6*'V06 Calend 01'!E53))),('V06 Calend 01'!H53-('V06 Calend 01'!I53*('V06 Calend 01'!E53-1))),'V06 Calend 01'!I53),0))+IF((47='V06 Calend 01'!D53),'V06 Calend 01'!J53,0))</f>
        <v>0</v>
      </c>
      <c r="BH53" s="2">
        <f>((IF((48='V06 Calend 01'!C53),('V06 Calend 01'!F53+'V06 Calend 01'!G53),0)+IF(AND(('V06 Calend 01'!E53&gt;0),(48&gt;'V06 Calend 01'!C53),(48&lt;'V06 Calend 01'!D53),(MOD((48-'V06 Calend 01'!C53),6)=0),(((48-'V06 Calend 01'!C53)/6)&lt;='V06 Calend 01'!E53)),IF((48=('V06 Calend 01'!C53+(6*'V06 Calend 01'!E53))),('V06 Calend 01'!H53-('V06 Calend 01'!I53*('V06 Calend 01'!E53-1))),'V06 Calend 01'!I53),0))+IF((48='V06 Calend 01'!D53),'V06 Calend 01'!J53,0))</f>
        <v>0</v>
      </c>
      <c r="BI53" s="2">
        <f>((IF((49='V06 Calend 01'!C53),('V06 Calend 01'!F53+'V06 Calend 01'!G53),0)+IF(AND(('V06 Calend 01'!E53&gt;0),(49&gt;'V06 Calend 01'!C53),(49&lt;'V06 Calend 01'!D53),(MOD((49-'V06 Calend 01'!C53),6)=0),(((49-'V06 Calend 01'!C53)/6)&lt;='V06 Calend 01'!E53)),IF((49=('V06 Calend 01'!C53+(6*'V06 Calend 01'!E53))),('V06 Calend 01'!H53-('V06 Calend 01'!I53*('V06 Calend 01'!E53-1))),'V06 Calend 01'!I53),0))+IF((49='V06 Calend 01'!D53),'V06 Calend 01'!J53,0))</f>
        <v>0</v>
      </c>
      <c r="BJ53" s="2">
        <f>((IF((50='V06 Calend 01'!C53),('V06 Calend 01'!F53+'V06 Calend 01'!G53),0)+IF(AND(('V06 Calend 01'!E53&gt;0),(50&gt;'V06 Calend 01'!C53),(50&lt;'V06 Calend 01'!D53),(MOD((50-'V06 Calend 01'!C53),6)=0),(((50-'V06 Calend 01'!C53)/6)&lt;='V06 Calend 01'!E53)),IF((50=('V06 Calend 01'!C53+(6*'V06 Calend 01'!E53))),('V06 Calend 01'!H53-('V06 Calend 01'!I53*('V06 Calend 01'!E53-1))),'V06 Calend 01'!I53),0))+IF((50='V06 Calend 01'!D53),'V06 Calend 01'!J53,0))</f>
        <v>0</v>
      </c>
      <c r="BK53" s="2">
        <f>((IF((51='V06 Calend 01'!C53),('V06 Calend 01'!F53+'V06 Calend 01'!G53),0)+IF(AND(('V06 Calend 01'!E53&gt;0),(51&gt;'V06 Calend 01'!C53),(51&lt;'V06 Calend 01'!D53),(MOD((51-'V06 Calend 01'!C53),6)=0),(((51-'V06 Calend 01'!C53)/6)&lt;='V06 Calend 01'!E53)),IF((51=('V06 Calend 01'!C53+(6*'V06 Calend 01'!E53))),('V06 Calend 01'!H53-('V06 Calend 01'!I53*('V06 Calend 01'!E53-1))),'V06 Calend 01'!I53),0))+IF((51='V06 Calend 01'!D53),'V06 Calend 01'!J53,0))</f>
        <v>0</v>
      </c>
      <c r="BL53" s="2">
        <f>((IF((52='V06 Calend 01'!C53),('V06 Calend 01'!F53+'V06 Calend 01'!G53),0)+IF(AND(('V06 Calend 01'!E53&gt;0),(52&gt;'V06 Calend 01'!C53),(52&lt;'V06 Calend 01'!D53),(MOD((52-'V06 Calend 01'!C53),6)=0),(((52-'V06 Calend 01'!C53)/6)&lt;='V06 Calend 01'!E53)),IF((52=('V06 Calend 01'!C53+(6*'V06 Calend 01'!E53))),('V06 Calend 01'!H53-('V06 Calend 01'!I53*('V06 Calend 01'!E53-1))),'V06 Calend 01'!I53),0))+IF((52='V06 Calend 01'!D53),'V06 Calend 01'!J53,0))</f>
        <v>0</v>
      </c>
      <c r="BM53" s="2">
        <f>((IF((53='V06 Calend 01'!C53),('V06 Calend 01'!F53+'V06 Calend 01'!G53),0)+IF(AND(('V06 Calend 01'!E53&gt;0),(53&gt;'V06 Calend 01'!C53),(53&lt;'V06 Calend 01'!D53),(MOD((53-'V06 Calend 01'!C53),6)=0),(((53-'V06 Calend 01'!C53)/6)&lt;='V06 Calend 01'!E53)),IF((53=('V06 Calend 01'!C53+(6*'V06 Calend 01'!E53))),('V06 Calend 01'!H53-('V06 Calend 01'!I53*('V06 Calend 01'!E53-1))),'V06 Calend 01'!I53),0))+IF((53='V06 Calend 01'!D53),'V06 Calend 01'!J53,0))</f>
        <v>0</v>
      </c>
      <c r="BN53" s="2">
        <f>((IF((54='V06 Calend 01'!C53),('V06 Calend 01'!F53+'V06 Calend 01'!G53),0)+IF(AND(('V06 Calend 01'!E53&gt;0),(54&gt;'V06 Calend 01'!C53),(54&lt;'V06 Calend 01'!D53),(MOD((54-'V06 Calend 01'!C53),6)=0),(((54-'V06 Calend 01'!C53)/6)&lt;='V06 Calend 01'!E53)),IF((54=('V06 Calend 01'!C53+(6*'V06 Calend 01'!E53))),('V06 Calend 01'!H53-('V06 Calend 01'!I53*('V06 Calend 01'!E53-1))),'V06 Calend 01'!I53),0))+IF((54='V06 Calend 01'!D53),'V06 Calend 01'!J53,0))</f>
        <v>0</v>
      </c>
      <c r="BO53" s="2">
        <f>((IF((55='V06 Calend 01'!C53),('V06 Calend 01'!F53+'V06 Calend 01'!G53),0)+IF(AND(('V06 Calend 01'!E53&gt;0),(55&gt;'V06 Calend 01'!C53),(55&lt;'V06 Calend 01'!D53),(MOD((55-'V06 Calend 01'!C53),6)=0),(((55-'V06 Calend 01'!C53)/6)&lt;='V06 Calend 01'!E53)),IF((55=('V06 Calend 01'!C53+(6*'V06 Calend 01'!E53))),('V06 Calend 01'!H53-('V06 Calend 01'!I53*('V06 Calend 01'!E53-1))),'V06 Calend 01'!I53),0))+IF((55='V06 Calend 01'!D53),'V06 Calend 01'!J53,0))</f>
        <v>0</v>
      </c>
      <c r="BP53" s="2">
        <f>((IF((56='V06 Calend 01'!C53),('V06 Calend 01'!F53+'V06 Calend 01'!G53),0)+IF(AND(('V06 Calend 01'!E53&gt;0),(56&gt;'V06 Calend 01'!C53),(56&lt;'V06 Calend 01'!D53),(MOD((56-'V06 Calend 01'!C53),6)=0),(((56-'V06 Calend 01'!C53)/6)&lt;='V06 Calend 01'!E53)),IF((56=('V06 Calend 01'!C53+(6*'V06 Calend 01'!E53))),('V06 Calend 01'!H53-('V06 Calend 01'!I53*('V06 Calend 01'!E53-1))),'V06 Calend 01'!I53),0))+IF((56='V06 Calend 01'!D53),'V06 Calend 01'!J53,0))</f>
        <v>0</v>
      </c>
      <c r="BQ53" s="2">
        <f>((IF((57='V06 Calend 01'!C53),('V06 Calend 01'!F53+'V06 Calend 01'!G53),0)+IF(AND(('V06 Calend 01'!E53&gt;0),(57&gt;'V06 Calend 01'!C53),(57&lt;'V06 Calend 01'!D53),(MOD((57-'V06 Calend 01'!C53),6)=0),(((57-'V06 Calend 01'!C53)/6)&lt;='V06 Calend 01'!E53)),IF((57=('V06 Calend 01'!C53+(6*'V06 Calend 01'!E53))),('V06 Calend 01'!H53-('V06 Calend 01'!I53*('V06 Calend 01'!E53-1))),'V06 Calend 01'!I53),0))+IF((57='V06 Calend 01'!D53),'V06 Calend 01'!J53,0))</f>
        <v>0</v>
      </c>
      <c r="BR53" s="2">
        <f>((IF((58='V06 Calend 01'!C53),('V06 Calend 01'!F53+'V06 Calend 01'!G53),0)+IF(AND(('V06 Calend 01'!E53&gt;0),(58&gt;'V06 Calend 01'!C53),(58&lt;'V06 Calend 01'!D53),(MOD((58-'V06 Calend 01'!C53),6)=0),(((58-'V06 Calend 01'!C53)/6)&lt;='V06 Calend 01'!E53)),IF((58=('V06 Calend 01'!C53+(6*'V06 Calend 01'!E53))),('V06 Calend 01'!H53-('V06 Calend 01'!I53*('V06 Calend 01'!E53-1))),'V06 Calend 01'!I53),0))+IF((58='V06 Calend 01'!D53),'V06 Calend 01'!J53,0))</f>
        <v>0</v>
      </c>
      <c r="BS53" s="2">
        <f>((IF((59='V06 Calend 01'!C53),('V06 Calend 01'!F53+'V06 Calend 01'!G53),0)+IF(AND(('V06 Calend 01'!E53&gt;0),(59&gt;'V06 Calend 01'!C53),(59&lt;'V06 Calend 01'!D53),(MOD((59-'V06 Calend 01'!C53),6)=0),(((59-'V06 Calend 01'!C53)/6)&lt;='V06 Calend 01'!E53)),IF((59=('V06 Calend 01'!C53+(6*'V06 Calend 01'!E53))),('V06 Calend 01'!H53-('V06 Calend 01'!I53*('V06 Calend 01'!E53-1))),'V06 Calend 01'!I53),0))+IF((59='V06 Calend 01'!D53),'V06 Calend 01'!J53,0))</f>
        <v>0</v>
      </c>
      <c r="BT53" s="2">
        <f>((IF((60='V06 Calend 01'!C53),('V06 Calend 01'!F53+'V06 Calend 01'!G53),0)+IF(AND(('V06 Calend 01'!E53&gt;0),(60&gt;'V06 Calend 01'!C53),(60&lt;'V06 Calend 01'!D53),(MOD((60-'V06 Calend 01'!C53),6)=0),(((60-'V06 Calend 01'!C53)/6)&lt;='V06 Calend 01'!E53)),IF((60=('V06 Calend 01'!C53+(6*'V06 Calend 01'!E53))),('V06 Calend 01'!H53-('V06 Calend 01'!I53*('V06 Calend 01'!E53-1))),'V06 Calend 01'!I53),0))+IF((60='V06 Calend 01'!D53),'V06 Calend 01'!J53,0))</f>
        <v>0</v>
      </c>
      <c r="BU53" s="2">
        <f>((IF((61='V06 Calend 01'!C53),('V06 Calend 01'!F53+'V06 Calend 01'!G53),0)+IF(AND(('V06 Calend 01'!E53&gt;0),(61&gt;'V06 Calend 01'!C53),(61&lt;'V06 Calend 01'!D53),(MOD((61-'V06 Calend 01'!C53),6)=0),(((61-'V06 Calend 01'!C53)/6)&lt;='V06 Calend 01'!E53)),IF((61=('V06 Calend 01'!C53+(6*'V06 Calend 01'!E53))),('V06 Calend 01'!H53-('V06 Calend 01'!I53*('V06 Calend 01'!E53-1))),'V06 Calend 01'!I53),0))+IF((61='V06 Calend 01'!D53),'V06 Calend 01'!J53,0))</f>
        <v>0</v>
      </c>
      <c r="BV53" s="2">
        <f>((IF((62='V06 Calend 01'!C53),('V06 Calend 01'!F53+'V06 Calend 01'!G53),0)+IF(AND(('V06 Calend 01'!E53&gt;0),(62&gt;'V06 Calend 01'!C53),(62&lt;'V06 Calend 01'!D53),(MOD((62-'V06 Calend 01'!C53),6)=0),(((62-'V06 Calend 01'!C53)/6)&lt;='V06 Calend 01'!E53)),IF((62=('V06 Calend 01'!C53+(6*'V06 Calend 01'!E53))),('V06 Calend 01'!H53-('V06 Calend 01'!I53*('V06 Calend 01'!E53-1))),'V06 Calend 01'!I53),0))+IF((62='V06 Calend 01'!D53),'V06 Calend 01'!J53,0))</f>
        <v>0</v>
      </c>
      <c r="BW53" s="2">
        <f>((IF((63='V06 Calend 01'!C53),('V06 Calend 01'!F53+'V06 Calend 01'!G53),0)+IF(AND(('V06 Calend 01'!E53&gt;0),(63&gt;'V06 Calend 01'!C53),(63&lt;'V06 Calend 01'!D53),(MOD((63-'V06 Calend 01'!C53),6)=0),(((63-'V06 Calend 01'!C53)/6)&lt;='V06 Calend 01'!E53)),IF((63=('V06 Calend 01'!C53+(6*'V06 Calend 01'!E53))),('V06 Calend 01'!H53-('V06 Calend 01'!I53*('V06 Calend 01'!E53-1))),'V06 Calend 01'!I53),0))+IF((63='V06 Calend 01'!D53),'V06 Calend 01'!J53,0))</f>
        <v>0</v>
      </c>
      <c r="BX53" s="2">
        <f>((IF((64='V06 Calend 01'!C53),('V06 Calend 01'!F53+'V06 Calend 01'!G53),0)+IF(AND(('V06 Calend 01'!E53&gt;0),(64&gt;'V06 Calend 01'!C53),(64&lt;'V06 Calend 01'!D53),(MOD((64-'V06 Calend 01'!C53),6)=0),(((64-'V06 Calend 01'!C53)/6)&lt;='V06 Calend 01'!E53)),IF((64=('V06 Calend 01'!C53+(6*'V06 Calend 01'!E53))),('V06 Calend 01'!H53-('V06 Calend 01'!I53*('V06 Calend 01'!E53-1))),'V06 Calend 01'!I53),0))+IF((64='V06 Calend 01'!D53),'V06 Calend 01'!J53,0))</f>
        <v>0</v>
      </c>
      <c r="BY53" s="2">
        <f>((IF((65='V06 Calend 01'!C53),('V06 Calend 01'!F53+'V06 Calend 01'!G53),0)+IF(AND(('V06 Calend 01'!E53&gt;0),(65&gt;'V06 Calend 01'!C53),(65&lt;'V06 Calend 01'!D53),(MOD((65-'V06 Calend 01'!C53),6)=0),(((65-'V06 Calend 01'!C53)/6)&lt;='V06 Calend 01'!E53)),IF((65=('V06 Calend 01'!C53+(6*'V06 Calend 01'!E53))),('V06 Calend 01'!H53-('V06 Calend 01'!I53*('V06 Calend 01'!E53-1))),'V06 Calend 01'!I53),0))+IF((65='V06 Calend 01'!D53),'V06 Calend 01'!J53,0))</f>
        <v>0</v>
      </c>
      <c r="BZ53" s="2">
        <f>((IF((66='V06 Calend 01'!C53),('V06 Calend 01'!F53+'V06 Calend 01'!G53),0)+IF(AND(('V06 Calend 01'!E53&gt;0),(66&gt;'V06 Calend 01'!C53),(66&lt;'V06 Calend 01'!D53),(MOD((66-'V06 Calend 01'!C53),6)=0),(((66-'V06 Calend 01'!C53)/6)&lt;='V06 Calend 01'!E53)),IF((66=('V06 Calend 01'!C53+(6*'V06 Calend 01'!E53))),('V06 Calend 01'!H53-('V06 Calend 01'!I53*('V06 Calend 01'!E53-1))),'V06 Calend 01'!I53),0))+IF((66='V06 Calend 01'!D53),'V06 Calend 01'!J53,0))</f>
        <v>0</v>
      </c>
      <c r="CA53" s="2">
        <f>((IF((67='V06 Calend 01'!C53),('V06 Calend 01'!F53+'V06 Calend 01'!G53),0)+IF(AND(('V06 Calend 01'!E53&gt;0),(67&gt;'V06 Calend 01'!C53),(67&lt;'V06 Calend 01'!D53),(MOD((67-'V06 Calend 01'!C53),6)=0),(((67-'V06 Calend 01'!C53)/6)&lt;='V06 Calend 01'!E53)),IF((67=('V06 Calend 01'!C53+(6*'V06 Calend 01'!E53))),('V06 Calend 01'!H53-('V06 Calend 01'!I53*('V06 Calend 01'!E53-1))),'V06 Calend 01'!I53),0))+IF((67='V06 Calend 01'!D53),'V06 Calend 01'!J53,0))</f>
        <v>0</v>
      </c>
      <c r="CB53" s="2">
        <f>((IF((68='V06 Calend 01'!C53),('V06 Calend 01'!F53+'V06 Calend 01'!G53),0)+IF(AND(('V06 Calend 01'!E53&gt;0),(68&gt;'V06 Calend 01'!C53),(68&lt;'V06 Calend 01'!D53),(MOD((68-'V06 Calend 01'!C53),6)=0),(((68-'V06 Calend 01'!C53)/6)&lt;='V06 Calend 01'!E53)),IF((68=('V06 Calend 01'!C53+(6*'V06 Calend 01'!E53))),('V06 Calend 01'!H53-('V06 Calend 01'!I53*('V06 Calend 01'!E53-1))),'V06 Calend 01'!I53),0))+IF((68='V06 Calend 01'!D53),'V06 Calend 01'!J53,0))</f>
        <v>0</v>
      </c>
      <c r="CC53" s="2">
        <f>((IF((69='V06 Calend 01'!C53),('V06 Calend 01'!F53+'V06 Calend 01'!G53),0)+IF(AND(('V06 Calend 01'!E53&gt;0),(69&gt;'V06 Calend 01'!C53),(69&lt;'V06 Calend 01'!D53),(MOD((69-'V06 Calend 01'!C53),6)=0),(((69-'V06 Calend 01'!C53)/6)&lt;='V06 Calend 01'!E53)),IF((69=('V06 Calend 01'!C53+(6*'V06 Calend 01'!E53))),('V06 Calend 01'!H53-('V06 Calend 01'!I53*('V06 Calend 01'!E53-1))),'V06 Calend 01'!I53),0))+IF((69='V06 Calend 01'!D53),'V06 Calend 01'!J53,0))</f>
        <v>0</v>
      </c>
      <c r="CD53" s="2">
        <f>((IF((70='V06 Calend 01'!C53),('V06 Calend 01'!F53+'V06 Calend 01'!G53),0)+IF(AND(('V06 Calend 01'!E53&gt;0),(70&gt;'V06 Calend 01'!C53),(70&lt;'V06 Calend 01'!D53),(MOD((70-'V06 Calend 01'!C53),6)=0),(((70-'V06 Calend 01'!C53)/6)&lt;='V06 Calend 01'!E53)),IF((70=('V06 Calend 01'!C53+(6*'V06 Calend 01'!E53))),('V06 Calend 01'!H53-('V06 Calend 01'!I53*('V06 Calend 01'!E53-1))),'V06 Calend 01'!I53),0))+IF((70='V06 Calend 01'!D53),'V06 Calend 01'!J53,0))</f>
        <v>0</v>
      </c>
      <c r="CE53" s="2">
        <f>((IF((71='V06 Calend 01'!C53),('V06 Calend 01'!F53+'V06 Calend 01'!G53),0)+IF(AND(('V06 Calend 01'!E53&gt;0),(71&gt;'V06 Calend 01'!C53),(71&lt;'V06 Calend 01'!D53),(MOD((71-'V06 Calend 01'!C53),6)=0),(((71-'V06 Calend 01'!C53)/6)&lt;='V06 Calend 01'!E53)),IF((71=('V06 Calend 01'!C53+(6*'V06 Calend 01'!E53))),('V06 Calend 01'!H53-('V06 Calend 01'!I53*('V06 Calend 01'!E53-1))),'V06 Calend 01'!I53),0))+IF((71='V06 Calend 01'!D53),'V06 Calend 01'!J53,0))</f>
        <v>0</v>
      </c>
      <c r="CF53" s="2">
        <f>((IF((72='V06 Calend 01'!C53),('V06 Calend 01'!F53+'V06 Calend 01'!G53),0)+IF(AND(('V06 Calend 01'!E53&gt;0),(72&gt;'V06 Calend 01'!C53),(72&lt;'V06 Calend 01'!D53),(MOD((72-'V06 Calend 01'!C53),6)=0),(((72-'V06 Calend 01'!C53)/6)&lt;='V06 Calend 01'!E53)),IF((72=('V06 Calend 01'!C53+(6*'V06 Calend 01'!E53))),('V06 Calend 01'!H53-('V06 Calend 01'!I53*('V06 Calend 01'!E53-1))),'V06 Calend 01'!I53),0))+IF((72='V06 Calend 01'!D53),'V06 Calend 01'!J53,0))</f>
        <v>0</v>
      </c>
      <c r="CG53" s="2">
        <f>((IF((73='V06 Calend 01'!C53),('V06 Calend 01'!F53+'V06 Calend 01'!G53),0)+IF(AND(('V06 Calend 01'!E53&gt;0),(73&gt;'V06 Calend 01'!C53),(73&lt;'V06 Calend 01'!D53),(MOD((73-'V06 Calend 01'!C53),6)=0),(((73-'V06 Calend 01'!C53)/6)&lt;='V06 Calend 01'!E53)),IF((73=('V06 Calend 01'!C53+(6*'V06 Calend 01'!E53))),('V06 Calend 01'!H53-('V06 Calend 01'!I53*('V06 Calend 01'!E53-1))),'V06 Calend 01'!I53),0))+IF((73='V06 Calend 01'!D53),'V06 Calend 01'!J53,0))</f>
        <v>0</v>
      </c>
      <c r="CH53" s="2">
        <f>((IF((74='V06 Calend 01'!C53),('V06 Calend 01'!F53+'V06 Calend 01'!G53),0)+IF(AND(('V06 Calend 01'!E53&gt;0),(74&gt;'V06 Calend 01'!C53),(74&lt;'V06 Calend 01'!D53),(MOD((74-'V06 Calend 01'!C53),6)=0),(((74-'V06 Calend 01'!C53)/6)&lt;='V06 Calend 01'!E53)),IF((74=('V06 Calend 01'!C53+(6*'V06 Calend 01'!E53))),('V06 Calend 01'!H53-('V06 Calend 01'!I53*('V06 Calend 01'!E53-1))),'V06 Calend 01'!I53),0))+IF((74='V06 Calend 01'!D53),'V06 Calend 01'!J53,0))</f>
        <v>0</v>
      </c>
      <c r="CI53" s="2">
        <f>((IF((75='V06 Calend 01'!C53),('V06 Calend 01'!F53+'V06 Calend 01'!G53),0)+IF(AND(('V06 Calend 01'!E53&gt;0),(75&gt;'V06 Calend 01'!C53),(75&lt;'V06 Calend 01'!D53),(MOD((75-'V06 Calend 01'!C53),6)=0),(((75-'V06 Calend 01'!C53)/6)&lt;='V06 Calend 01'!E53)),IF((75=('V06 Calend 01'!C53+(6*'V06 Calend 01'!E53))),('V06 Calend 01'!H53-('V06 Calend 01'!I53*('V06 Calend 01'!E53-1))),'V06 Calend 01'!I53),0))+IF((75='V06 Calend 01'!D53),'V06 Calend 01'!J53,0))</f>
        <v>0</v>
      </c>
      <c r="CJ53" s="2">
        <f>((IF((76='V06 Calend 01'!C53),('V06 Calend 01'!F53+'V06 Calend 01'!G53),0)+IF(AND(('V06 Calend 01'!E53&gt;0),(76&gt;'V06 Calend 01'!C53),(76&lt;'V06 Calend 01'!D53),(MOD((76-'V06 Calend 01'!C53),6)=0),(((76-'V06 Calend 01'!C53)/6)&lt;='V06 Calend 01'!E53)),IF((76=('V06 Calend 01'!C53+(6*'V06 Calend 01'!E53))),('V06 Calend 01'!H53-('V06 Calend 01'!I53*('V06 Calend 01'!E53-1))),'V06 Calend 01'!I53),0))+IF((76='V06 Calend 01'!D53),'V06 Calend 01'!J53,0))</f>
        <v>0</v>
      </c>
      <c r="CK53" s="2">
        <f>((IF((77='V06 Calend 01'!C53),('V06 Calend 01'!F53+'V06 Calend 01'!G53),0)+IF(AND(('V06 Calend 01'!E53&gt;0),(77&gt;'V06 Calend 01'!C53),(77&lt;'V06 Calend 01'!D53),(MOD((77-'V06 Calend 01'!C53),6)=0),(((77-'V06 Calend 01'!C53)/6)&lt;='V06 Calend 01'!E53)),IF((77=('V06 Calend 01'!C53+(6*'V06 Calend 01'!E53))),('V06 Calend 01'!H53-('V06 Calend 01'!I53*('V06 Calend 01'!E53-1))),'V06 Calend 01'!I53),0))+IF((77='V06 Calend 01'!D53),'V06 Calend 01'!J53,0))</f>
        <v>0</v>
      </c>
      <c r="CL53" s="2">
        <f>((IF((78='V06 Calend 01'!C53),('V06 Calend 01'!F53+'V06 Calend 01'!G53),0)+IF(AND(('V06 Calend 01'!E53&gt;0),(78&gt;'V06 Calend 01'!C53),(78&lt;'V06 Calend 01'!D53),(MOD((78-'V06 Calend 01'!C53),6)=0),(((78-'V06 Calend 01'!C53)/6)&lt;='V06 Calend 01'!E53)),IF((78=('V06 Calend 01'!C53+(6*'V06 Calend 01'!E53))),('V06 Calend 01'!H53-('V06 Calend 01'!I53*('V06 Calend 01'!E53-1))),'V06 Calend 01'!I53),0))+IF((78='V06 Calend 01'!D53),'V06 Calend 01'!J53,0))</f>
        <v>0</v>
      </c>
      <c r="CM53" s="2">
        <f>((IF((79='V06 Calend 01'!C53),('V06 Calend 01'!F53+'V06 Calend 01'!G53),0)+IF(AND(('V06 Calend 01'!E53&gt;0),(79&gt;'V06 Calend 01'!C53),(79&lt;'V06 Calend 01'!D53),(MOD((79-'V06 Calend 01'!C53),6)=0),(((79-'V06 Calend 01'!C53)/6)&lt;='V06 Calend 01'!E53)),IF((79=('V06 Calend 01'!C53+(6*'V06 Calend 01'!E53))),('V06 Calend 01'!H53-('V06 Calend 01'!I53*('V06 Calend 01'!E53-1))),'V06 Calend 01'!I53),0))+IF((79='V06 Calend 01'!D53),'V06 Calend 01'!J53,0))</f>
        <v>0</v>
      </c>
      <c r="CN53" s="2">
        <f>((IF((80='V06 Calend 01'!C53),('V06 Calend 01'!F53+'V06 Calend 01'!G53),0)+IF(AND(('V06 Calend 01'!E53&gt;0),(80&gt;'V06 Calend 01'!C53),(80&lt;'V06 Calend 01'!D53),(MOD((80-'V06 Calend 01'!C53),6)=0),(((80-'V06 Calend 01'!C53)/6)&lt;='V06 Calend 01'!E53)),IF((80=('V06 Calend 01'!C53+(6*'V06 Calend 01'!E53))),('V06 Calend 01'!H53-('V06 Calend 01'!I53*('V06 Calend 01'!E53-1))),'V06 Calend 01'!I53),0))+IF((80='V06 Calend 01'!D53),'V06 Calend 01'!J53,0))</f>
        <v>0</v>
      </c>
      <c r="CO53" s="2">
        <f>((IF((81='V06 Calend 01'!C53),('V06 Calend 01'!F53+'V06 Calend 01'!G53),0)+IF(AND(('V06 Calend 01'!E53&gt;0),(81&gt;'V06 Calend 01'!C53),(81&lt;'V06 Calend 01'!D53),(MOD((81-'V06 Calend 01'!C53),6)=0),(((81-'V06 Calend 01'!C53)/6)&lt;='V06 Calend 01'!E53)),IF((81=('V06 Calend 01'!C53+(6*'V06 Calend 01'!E53))),('V06 Calend 01'!H53-('V06 Calend 01'!I53*('V06 Calend 01'!E53-1))),'V06 Calend 01'!I53),0))+IF((81='V06 Calend 01'!D53),'V06 Calend 01'!J53,0))</f>
        <v>0</v>
      </c>
      <c r="CP53" s="2">
        <f>((IF((82='V06 Calend 01'!C53),('V06 Calend 01'!F53+'V06 Calend 01'!G53),0)+IF(AND(('V06 Calend 01'!E53&gt;0),(82&gt;'V06 Calend 01'!C53),(82&lt;'V06 Calend 01'!D53),(MOD((82-'V06 Calend 01'!C53),6)=0),(((82-'V06 Calend 01'!C53)/6)&lt;='V06 Calend 01'!E53)),IF((82=('V06 Calend 01'!C53+(6*'V06 Calend 01'!E53))),('V06 Calend 01'!H53-('V06 Calend 01'!I53*('V06 Calend 01'!E53-1))),'V06 Calend 01'!I53),0))+IF((82='V06 Calend 01'!D53),'V06 Calend 01'!J53,0))</f>
        <v>0</v>
      </c>
      <c r="CQ53" s="2">
        <f>((IF((83='V06 Calend 01'!C53),('V06 Calend 01'!F53+'V06 Calend 01'!G53),0)+IF(AND(('V06 Calend 01'!E53&gt;0),(83&gt;'V06 Calend 01'!C53),(83&lt;'V06 Calend 01'!D53),(MOD((83-'V06 Calend 01'!C53),6)=0),(((83-'V06 Calend 01'!C53)/6)&lt;='V06 Calend 01'!E53)),IF((83=('V06 Calend 01'!C53+(6*'V06 Calend 01'!E53))),('V06 Calend 01'!H53-('V06 Calend 01'!I53*('V06 Calend 01'!E53-1))),'V06 Calend 01'!I53),0))+IF((83='V06 Calend 01'!D53),'V06 Calend 01'!J53,0))</f>
        <v>0</v>
      </c>
      <c r="CR53" s="2">
        <f>((IF((84='V06 Calend 01'!C53),('V06 Calend 01'!F53+'V06 Calend 01'!G53),0)+IF(AND(('V06 Calend 01'!E53&gt;0),(84&gt;'V06 Calend 01'!C53),(84&lt;'V06 Calend 01'!D53),(MOD((84-'V06 Calend 01'!C53),6)=0),(((84-'V06 Calend 01'!C53)/6)&lt;='V06 Calend 01'!E53)),IF((84=('V06 Calend 01'!C53+(6*'V06 Calend 01'!E53))),('V06 Calend 01'!H53-('V06 Calend 01'!I53*('V06 Calend 01'!E53-1))),'V06 Calend 01'!I53),0))+IF((84='V06 Calend 01'!D53),'V06 Calend 01'!J53,0))</f>
        <v>0</v>
      </c>
      <c r="CS53" s="2">
        <f>((IF((85='V06 Calend 01'!C53),('V06 Calend 01'!F53+'V06 Calend 01'!G53),0)+IF(AND(('V06 Calend 01'!E53&gt;0),(85&gt;'V06 Calend 01'!C53),(85&lt;'V06 Calend 01'!D53),(MOD((85-'V06 Calend 01'!C53),6)=0),(((85-'V06 Calend 01'!C53)/6)&lt;='V06 Calend 01'!E53)),IF((85=('V06 Calend 01'!C53+(6*'V06 Calend 01'!E53))),('V06 Calend 01'!H53-('V06 Calend 01'!I53*('V06 Calend 01'!E53-1))),'V06 Calend 01'!I53),0))+IF((85='V06 Calend 01'!D53),'V06 Calend 01'!J53,0))</f>
        <v>0</v>
      </c>
      <c r="CT53" s="2">
        <f>((IF((86='V06 Calend 01'!C53),('V06 Calend 01'!F53+'V06 Calend 01'!G53),0)+IF(AND(('V06 Calend 01'!E53&gt;0),(86&gt;'V06 Calend 01'!C53),(86&lt;'V06 Calend 01'!D53),(MOD((86-'V06 Calend 01'!C53),6)=0),(((86-'V06 Calend 01'!C53)/6)&lt;='V06 Calend 01'!E53)),IF((86=('V06 Calend 01'!C53+(6*'V06 Calend 01'!E53))),('V06 Calend 01'!H53-('V06 Calend 01'!I53*('V06 Calend 01'!E53-1))),'V06 Calend 01'!I53),0))+IF((86='V06 Calend 01'!D53),'V06 Calend 01'!J53,0))</f>
        <v>0</v>
      </c>
      <c r="CU53" s="2">
        <f>((IF((87='V06 Calend 01'!C53),('V06 Calend 01'!F53+'V06 Calend 01'!G53),0)+IF(AND(('V06 Calend 01'!E53&gt;0),(87&gt;'V06 Calend 01'!C53),(87&lt;'V06 Calend 01'!D53),(MOD((87-'V06 Calend 01'!C53),6)=0),(((87-'V06 Calend 01'!C53)/6)&lt;='V06 Calend 01'!E53)),IF((87=('V06 Calend 01'!C53+(6*'V06 Calend 01'!E53))),('V06 Calend 01'!H53-('V06 Calend 01'!I53*('V06 Calend 01'!E53-1))),'V06 Calend 01'!I53),0))+IF((87='V06 Calend 01'!D53),'V06 Calend 01'!J53,0))</f>
        <v>0</v>
      </c>
      <c r="CV53" s="2">
        <f>((IF((88='V06 Calend 01'!C53),('V06 Calend 01'!F53+'V06 Calend 01'!G53),0)+IF(AND(('V06 Calend 01'!E53&gt;0),(88&gt;'V06 Calend 01'!C53),(88&lt;'V06 Calend 01'!D53),(MOD((88-'V06 Calend 01'!C53),6)=0),(((88-'V06 Calend 01'!C53)/6)&lt;='V06 Calend 01'!E53)),IF((88=('V06 Calend 01'!C53+(6*'V06 Calend 01'!E53))),('V06 Calend 01'!H53-('V06 Calend 01'!I53*('V06 Calend 01'!E53-1))),'V06 Calend 01'!I53),0))+IF((88='V06 Calend 01'!D53),'V06 Calend 01'!J53,0))</f>
        <v>0</v>
      </c>
      <c r="CW53" s="2">
        <f>((IF((89='V06 Calend 01'!C53),('V06 Calend 01'!F53+'V06 Calend 01'!G53),0)+IF(AND(('V06 Calend 01'!E53&gt;0),(89&gt;'V06 Calend 01'!C53),(89&lt;'V06 Calend 01'!D53),(MOD((89-'V06 Calend 01'!C53),6)=0),(((89-'V06 Calend 01'!C53)/6)&lt;='V06 Calend 01'!E53)),IF((89=('V06 Calend 01'!C53+(6*'V06 Calend 01'!E53))),('V06 Calend 01'!H53-('V06 Calend 01'!I53*('V06 Calend 01'!E53-1))),'V06 Calend 01'!I53),0))+IF((89='V06 Calend 01'!D53),'V06 Calend 01'!J53,0))</f>
        <v>0</v>
      </c>
      <c r="CX53" s="2">
        <f>((IF((90='V06 Calend 01'!C53),('V06 Calend 01'!F53+'V06 Calend 01'!G53),0)+IF(AND(('V06 Calend 01'!E53&gt;0),(90&gt;'V06 Calend 01'!C53),(90&lt;'V06 Calend 01'!D53),(MOD((90-'V06 Calend 01'!C53),6)=0),(((90-'V06 Calend 01'!C53)/6)&lt;='V06 Calend 01'!E53)),IF((90=('V06 Calend 01'!C53+(6*'V06 Calend 01'!E53))),('V06 Calend 01'!H53-('V06 Calend 01'!I53*('V06 Calend 01'!E53-1))),'V06 Calend 01'!I53),0))+IF((90='V06 Calend 01'!D53),'V06 Calend 01'!J53,0))</f>
        <v>0</v>
      </c>
      <c r="CY53" s="2">
        <f>((IF((91='V06 Calend 01'!C53),('V06 Calend 01'!F53+'V06 Calend 01'!G53),0)+IF(AND(('V06 Calend 01'!E53&gt;0),(91&gt;'V06 Calend 01'!C53),(91&lt;'V06 Calend 01'!D53),(MOD((91-'V06 Calend 01'!C53),6)=0),(((91-'V06 Calend 01'!C53)/6)&lt;='V06 Calend 01'!E53)),IF((91=('V06 Calend 01'!C53+(6*'V06 Calend 01'!E53))),('V06 Calend 01'!H53-('V06 Calend 01'!I53*('V06 Calend 01'!E53-1))),'V06 Calend 01'!I53),0))+IF((91='V06 Calend 01'!D53),'V06 Calend 01'!J53,0))</f>
        <v>0</v>
      </c>
      <c r="CZ53" s="2">
        <f>((IF((92='V06 Calend 01'!C53),('V06 Calend 01'!F53+'V06 Calend 01'!G53),0)+IF(AND(('V06 Calend 01'!E53&gt;0),(92&gt;'V06 Calend 01'!C53),(92&lt;'V06 Calend 01'!D53),(MOD((92-'V06 Calend 01'!C53),6)=0),(((92-'V06 Calend 01'!C53)/6)&lt;='V06 Calend 01'!E53)),IF((92=('V06 Calend 01'!C53+(6*'V06 Calend 01'!E53))),('V06 Calend 01'!H53-('V06 Calend 01'!I53*('V06 Calend 01'!E53-1))),'V06 Calend 01'!I53),0))+IF((92='V06 Calend 01'!D53),'V06 Calend 01'!J53,0))</f>
        <v>0</v>
      </c>
      <c r="DA53" s="2">
        <f>((IF((93='V06 Calend 01'!C53),('V06 Calend 01'!F53+'V06 Calend 01'!G53),0)+IF(AND(('V06 Calend 01'!E53&gt;0),(93&gt;'V06 Calend 01'!C53),(93&lt;'V06 Calend 01'!D53),(MOD((93-'V06 Calend 01'!C53),6)=0),(((93-'V06 Calend 01'!C53)/6)&lt;='V06 Calend 01'!E53)),IF((93=('V06 Calend 01'!C53+(6*'V06 Calend 01'!E53))),('V06 Calend 01'!H53-('V06 Calend 01'!I53*('V06 Calend 01'!E53-1))),'V06 Calend 01'!I53),0))+IF((93='V06 Calend 01'!D53),'V06 Calend 01'!J53,0))</f>
        <v>0</v>
      </c>
      <c r="DB53" s="2">
        <f>((IF((94='V06 Calend 01'!C53),('V06 Calend 01'!F53+'V06 Calend 01'!G53),0)+IF(AND(('V06 Calend 01'!E53&gt;0),(94&gt;'V06 Calend 01'!C53),(94&lt;'V06 Calend 01'!D53),(MOD((94-'V06 Calend 01'!C53),6)=0),(((94-'V06 Calend 01'!C53)/6)&lt;='V06 Calend 01'!E53)),IF((94=('V06 Calend 01'!C53+(6*'V06 Calend 01'!E53))),('V06 Calend 01'!H53-('V06 Calend 01'!I53*('V06 Calend 01'!E53-1))),'V06 Calend 01'!I53),0))+IF((94='V06 Calend 01'!D53),'V06 Calend 01'!J53,0))</f>
        <v>0</v>
      </c>
      <c r="DC53" s="2">
        <f>((IF((95='V06 Calend 01'!C53),('V06 Calend 01'!F53+'V06 Calend 01'!G53),0)+IF(AND(('V06 Calend 01'!E53&gt;0),(95&gt;'V06 Calend 01'!C53),(95&lt;'V06 Calend 01'!D53),(MOD((95-'V06 Calend 01'!C53),6)=0),(((95-'V06 Calend 01'!C53)/6)&lt;='V06 Calend 01'!E53)),IF((95=('V06 Calend 01'!C53+(6*'V06 Calend 01'!E53))),('V06 Calend 01'!H53-('V06 Calend 01'!I53*('V06 Calend 01'!E53-1))),'V06 Calend 01'!I53),0))+IF((95='V06 Calend 01'!D53),'V06 Calend 01'!J53,0))</f>
        <v>0</v>
      </c>
      <c r="DD53" s="2">
        <f>((IF((96='V06 Calend 01'!C53),('V06 Calend 01'!F53+'V06 Calend 01'!G53),0)+IF(AND(('V06 Calend 01'!E53&gt;0),(96&gt;'V06 Calend 01'!C53),(96&lt;'V06 Calend 01'!D53),(MOD((96-'V06 Calend 01'!C53),6)=0),(((96-'V06 Calend 01'!C53)/6)&lt;='V06 Calend 01'!E53)),IF((96=('V06 Calend 01'!C53+(6*'V06 Calend 01'!E53))),('V06 Calend 01'!H53-('V06 Calend 01'!I53*('V06 Calend 01'!E53-1))),'V06 Calend 01'!I53),0))+IF((96='V06 Calend 01'!D53),'V06 Calend 01'!J53,0))</f>
        <v>0</v>
      </c>
      <c r="DE53" s="2">
        <f>((IF((97='V06 Calend 01'!C53),('V06 Calend 01'!F53+'V06 Calend 01'!G53),0)+IF(AND(('V06 Calend 01'!E53&gt;0),(97&gt;'V06 Calend 01'!C53),(97&lt;'V06 Calend 01'!D53),(MOD((97-'V06 Calend 01'!C53),6)=0),(((97-'V06 Calend 01'!C53)/6)&lt;='V06 Calend 01'!E53)),IF((97=('V06 Calend 01'!C53+(6*'V06 Calend 01'!E53))),('V06 Calend 01'!H53-('V06 Calend 01'!I53*('V06 Calend 01'!E53-1))),'V06 Calend 01'!I53),0))+IF((97='V06 Calend 01'!D53),'V06 Calend 01'!J53,0))</f>
        <v>0</v>
      </c>
      <c r="DF53" s="2">
        <f>((IF((98='V06 Calend 01'!C53),('V06 Calend 01'!F53+'V06 Calend 01'!G53),0)+IF(AND(('V06 Calend 01'!E53&gt;0),(98&gt;'V06 Calend 01'!C53),(98&lt;'V06 Calend 01'!D53),(MOD((98-'V06 Calend 01'!C53),6)=0),(((98-'V06 Calend 01'!C53)/6)&lt;='V06 Calend 01'!E53)),IF((98=('V06 Calend 01'!C53+(6*'V06 Calend 01'!E53))),('V06 Calend 01'!H53-('V06 Calend 01'!I53*('V06 Calend 01'!E53-1))),'V06 Calend 01'!I53),0))+IF((98='V06 Calend 01'!D53),'V06 Calend 01'!J53,0))</f>
        <v>0</v>
      </c>
      <c r="DG53" s="2">
        <f>((IF((99='V06 Calend 01'!C53),('V06 Calend 01'!F53+'V06 Calend 01'!G53),0)+IF(AND(('V06 Calend 01'!E53&gt;0),(99&gt;'V06 Calend 01'!C53),(99&lt;'V06 Calend 01'!D53),(MOD((99-'V06 Calend 01'!C53),6)=0),(((99-'V06 Calend 01'!C53)/6)&lt;='V06 Calend 01'!E53)),IF((99=('V06 Calend 01'!C53+(6*'V06 Calend 01'!E53))),('V06 Calend 01'!H53-('V06 Calend 01'!I53*('V06 Calend 01'!E53-1))),'V06 Calend 01'!I53),0))+IF((99='V06 Calend 01'!D53),'V06 Calend 01'!J53,0))</f>
        <v>0</v>
      </c>
      <c r="DH53" s="2">
        <f>((IF((100='V06 Calend 01'!C53),('V06 Calend 01'!F53+'V06 Calend 01'!G53),0)+IF(AND(('V06 Calend 01'!E53&gt;0),(100&gt;'V06 Calend 01'!C53),(100&lt;'V06 Calend 01'!D53),(MOD((100-'V06 Calend 01'!C53),6)=0),(((100-'V06 Calend 01'!C53)/6)&lt;='V06 Calend 01'!E53)),IF((100=('V06 Calend 01'!C53+(6*'V06 Calend 01'!E53))),('V06 Calend 01'!H53-('V06 Calend 01'!I53*('V06 Calend 01'!E53-1))),'V06 Calend 01'!I53),0))+IF((100='V06 Calend 01'!D53),'V06 Calend 01'!J53,0))</f>
        <v>0</v>
      </c>
      <c r="DI53" s="2">
        <f>((IF((101='V06 Calend 01'!C53),('V06 Calend 01'!F53+'V06 Calend 01'!G53),0)+IF(AND(('V06 Calend 01'!E53&gt;0),(101&gt;'V06 Calend 01'!C53),(101&lt;'V06 Calend 01'!D53),(MOD((101-'V06 Calend 01'!C53),6)=0),(((101-'V06 Calend 01'!C53)/6)&lt;='V06 Calend 01'!E53)),IF((101=('V06 Calend 01'!C53+(6*'V06 Calend 01'!E53))),('V06 Calend 01'!H53-('V06 Calend 01'!I53*('V06 Calend 01'!E53-1))),'V06 Calend 01'!I53),0))+IF((101='V06 Calend 01'!D53),'V06 Calend 01'!J53,0))</f>
        <v>0</v>
      </c>
      <c r="DJ53" s="2">
        <f>((IF((102='V06 Calend 01'!C53),('V06 Calend 01'!F53+'V06 Calend 01'!G53),0)+IF(AND(('V06 Calend 01'!E53&gt;0),(102&gt;'V06 Calend 01'!C53),(102&lt;'V06 Calend 01'!D53),(MOD((102-'V06 Calend 01'!C53),6)=0),(((102-'V06 Calend 01'!C53)/6)&lt;='V06 Calend 01'!E53)),IF((102=('V06 Calend 01'!C53+(6*'V06 Calend 01'!E53))),('V06 Calend 01'!H53-('V06 Calend 01'!I53*('V06 Calend 01'!E53-1))),'V06 Calend 01'!I53),0))+IF((102='V06 Calend 01'!D53),'V06 Calend 01'!J53,0))</f>
        <v>0</v>
      </c>
      <c r="DK53" s="2">
        <f>((IF((103='V06 Calend 01'!C53),('V06 Calend 01'!F53+'V06 Calend 01'!G53),0)+IF(AND(('V06 Calend 01'!E53&gt;0),(103&gt;'V06 Calend 01'!C53),(103&lt;'V06 Calend 01'!D53),(MOD((103-'V06 Calend 01'!C53),6)=0),(((103-'V06 Calend 01'!C53)/6)&lt;='V06 Calend 01'!E53)),IF((103=('V06 Calend 01'!C53+(6*'V06 Calend 01'!E53))),('V06 Calend 01'!H53-('V06 Calend 01'!I53*('V06 Calend 01'!E53-1))),'V06 Calend 01'!I53),0))+IF((103='V06 Calend 01'!D53),'V06 Calend 01'!J53,0))</f>
        <v>0</v>
      </c>
      <c r="DL53" s="2">
        <f>((IF((104='V06 Calend 01'!C53),('V06 Calend 01'!F53+'V06 Calend 01'!G53),0)+IF(AND(('V06 Calend 01'!E53&gt;0),(104&gt;'V06 Calend 01'!C53),(104&lt;'V06 Calend 01'!D53),(MOD((104-'V06 Calend 01'!C53),6)=0),(((104-'V06 Calend 01'!C53)/6)&lt;='V06 Calend 01'!E53)),IF((104=('V06 Calend 01'!C53+(6*'V06 Calend 01'!E53))),('V06 Calend 01'!H53-('V06 Calend 01'!I53*('V06 Calend 01'!E53-1))),'V06 Calend 01'!I53),0))+IF((104='V06 Calend 01'!D53),'V06 Calend 01'!J53,0))</f>
        <v>0</v>
      </c>
      <c r="DM53" s="2">
        <f>((IF((105='V06 Calend 01'!C53),('V06 Calend 01'!F53+'V06 Calend 01'!G53),0)+IF(AND(('V06 Calend 01'!E53&gt;0),(105&gt;'V06 Calend 01'!C53),(105&lt;'V06 Calend 01'!D53),(MOD((105-'V06 Calend 01'!C53),6)=0),(((105-'V06 Calend 01'!C53)/6)&lt;='V06 Calend 01'!E53)),IF((105=('V06 Calend 01'!C53+(6*'V06 Calend 01'!E53))),('V06 Calend 01'!H53-('V06 Calend 01'!I53*('V06 Calend 01'!E53-1))),'V06 Calend 01'!I53),0))+IF((105='V06 Calend 01'!D53),'V06 Calend 01'!J53,0))</f>
        <v>0</v>
      </c>
      <c r="DN53" s="2">
        <f>((IF((106='V06 Calend 01'!C53),('V06 Calend 01'!F53+'V06 Calend 01'!G53),0)+IF(AND(('V06 Calend 01'!E53&gt;0),(106&gt;'V06 Calend 01'!C53),(106&lt;'V06 Calend 01'!D53),(MOD((106-'V06 Calend 01'!C53),6)=0),(((106-'V06 Calend 01'!C53)/6)&lt;='V06 Calend 01'!E53)),IF((106=('V06 Calend 01'!C53+(6*'V06 Calend 01'!E53))),('V06 Calend 01'!H53-('V06 Calend 01'!I53*('V06 Calend 01'!E53-1))),'V06 Calend 01'!I53),0))+IF((106='V06 Calend 01'!D53),'V06 Calend 01'!J53,0))</f>
        <v>0</v>
      </c>
      <c r="DO53" s="2">
        <f>((IF((107='V06 Calend 01'!C53),('V06 Calend 01'!F53+'V06 Calend 01'!G53),0)+IF(AND(('V06 Calend 01'!E53&gt;0),(107&gt;'V06 Calend 01'!C53),(107&lt;'V06 Calend 01'!D53),(MOD((107-'V06 Calend 01'!C53),6)=0),(((107-'V06 Calend 01'!C53)/6)&lt;='V06 Calend 01'!E53)),IF((107=('V06 Calend 01'!C53+(6*'V06 Calend 01'!E53))),('V06 Calend 01'!H53-('V06 Calend 01'!I53*('V06 Calend 01'!E53-1))),'V06 Calend 01'!I53),0))+IF((107='V06 Calend 01'!D53),'V06 Calend 01'!J53,0))</f>
        <v>0</v>
      </c>
      <c r="DP53" s="2">
        <f>((IF((108='V06 Calend 01'!C53),('V06 Calend 01'!F53+'V06 Calend 01'!G53),0)+IF(AND(('V06 Calend 01'!E53&gt;0),(108&gt;'V06 Calend 01'!C53),(108&lt;'V06 Calend 01'!D53),(MOD((108-'V06 Calend 01'!C53),6)=0),(((108-'V06 Calend 01'!C53)/6)&lt;='V06 Calend 01'!E53)),IF((108=('V06 Calend 01'!C53+(6*'V06 Calend 01'!E53))),('V06 Calend 01'!H53-('V06 Calend 01'!I53*('V06 Calend 01'!E53-1))),'V06 Calend 01'!I53),0))+IF((108='V06 Calend 01'!D53),'V06 Calend 01'!J53,0))</f>
        <v>0</v>
      </c>
      <c r="DQ53" s="2">
        <f>((IF((109='V06 Calend 01'!C53),('V06 Calend 01'!F53+'V06 Calend 01'!G53),0)+IF(AND(('V06 Calend 01'!E53&gt;0),(109&gt;'V06 Calend 01'!C53),(109&lt;'V06 Calend 01'!D53),(MOD((109-'V06 Calend 01'!C53),6)=0),(((109-'V06 Calend 01'!C53)/6)&lt;='V06 Calend 01'!E53)),IF((109=('V06 Calend 01'!C53+(6*'V06 Calend 01'!E53))),('V06 Calend 01'!H53-('V06 Calend 01'!I53*('V06 Calend 01'!E53-1))),'V06 Calend 01'!I53),0))+IF((109='V06 Calend 01'!D53),'V06 Calend 01'!J53,0))</f>
        <v>0</v>
      </c>
      <c r="DR53" s="2">
        <f>((IF((110='V06 Calend 01'!C53),('V06 Calend 01'!F53+'V06 Calend 01'!G53),0)+IF(AND(('V06 Calend 01'!E53&gt;0),(110&gt;'V06 Calend 01'!C53),(110&lt;'V06 Calend 01'!D53),(MOD((110-'V06 Calend 01'!C53),6)=0),(((110-'V06 Calend 01'!C53)/6)&lt;='V06 Calend 01'!E53)),IF((110=('V06 Calend 01'!C53+(6*'V06 Calend 01'!E53))),('V06 Calend 01'!H53-('V06 Calend 01'!I53*('V06 Calend 01'!E53-1))),'V06 Calend 01'!I53),0))+IF((110='V06 Calend 01'!D53),'V06 Calend 01'!J53,0))</f>
        <v>0</v>
      </c>
      <c r="DS53" s="2">
        <f>((IF((111='V06 Calend 01'!C53),('V06 Calend 01'!F53+'V06 Calend 01'!G53),0)+IF(AND(('V06 Calend 01'!E53&gt;0),(111&gt;'V06 Calend 01'!C53),(111&lt;'V06 Calend 01'!D53),(MOD((111-'V06 Calend 01'!C53),6)=0),(((111-'V06 Calend 01'!C53)/6)&lt;='V06 Calend 01'!E53)),IF((111=('V06 Calend 01'!C53+(6*'V06 Calend 01'!E53))),('V06 Calend 01'!H53-('V06 Calend 01'!I53*('V06 Calend 01'!E53-1))),'V06 Calend 01'!I53),0))+IF((111='V06 Calend 01'!D53),'V06 Calend 01'!J53,0))</f>
        <v>0</v>
      </c>
      <c r="DT53" s="2">
        <f>((IF((112='V06 Calend 01'!C53),('V06 Calend 01'!F53+'V06 Calend 01'!G53),0)+IF(AND(('V06 Calend 01'!E53&gt;0),(112&gt;'V06 Calend 01'!C53),(112&lt;'V06 Calend 01'!D53),(MOD((112-'V06 Calend 01'!C53),6)=0),(((112-'V06 Calend 01'!C53)/6)&lt;='V06 Calend 01'!E53)),IF((112=('V06 Calend 01'!C53+(6*'V06 Calend 01'!E53))),('V06 Calend 01'!H53-('V06 Calend 01'!I53*('V06 Calend 01'!E53-1))),'V06 Calend 01'!I53),0))+IF((112='V06 Calend 01'!D53),'V06 Calend 01'!J53,0))</f>
        <v>0</v>
      </c>
      <c r="DU53" s="2">
        <f>((IF((113='V06 Calend 01'!C53),('V06 Calend 01'!F53+'V06 Calend 01'!G53),0)+IF(AND(('V06 Calend 01'!E53&gt;0),(113&gt;'V06 Calend 01'!C53),(113&lt;'V06 Calend 01'!D53),(MOD((113-'V06 Calend 01'!C53),6)=0),(((113-'V06 Calend 01'!C53)/6)&lt;='V06 Calend 01'!E53)),IF((113=('V06 Calend 01'!C53+(6*'V06 Calend 01'!E53))),('V06 Calend 01'!H53-('V06 Calend 01'!I53*('V06 Calend 01'!E53-1))),'V06 Calend 01'!I53),0))+IF((113='V06 Calend 01'!D53),'V06 Calend 01'!J53,0))</f>
        <v>0</v>
      </c>
      <c r="DV53" s="2">
        <f>((IF((114='V06 Calend 01'!C53),('V06 Calend 01'!F53+'V06 Calend 01'!G53),0)+IF(AND(('V06 Calend 01'!E53&gt;0),(114&gt;'V06 Calend 01'!C53),(114&lt;'V06 Calend 01'!D53),(MOD((114-'V06 Calend 01'!C53),6)=0),(((114-'V06 Calend 01'!C53)/6)&lt;='V06 Calend 01'!E53)),IF((114=('V06 Calend 01'!C53+(6*'V06 Calend 01'!E53))),('V06 Calend 01'!H53-('V06 Calend 01'!I53*('V06 Calend 01'!E53-1))),'V06 Calend 01'!I53),0))+IF((114='V06 Calend 01'!D53),'V06 Calend 01'!J53,0))</f>
        <v>0</v>
      </c>
      <c r="DW53" s="2">
        <f>((IF((115='V06 Calend 01'!C53),('V06 Calend 01'!F53+'V06 Calend 01'!G53),0)+IF(AND(('V06 Calend 01'!E53&gt;0),(115&gt;'V06 Calend 01'!C53),(115&lt;'V06 Calend 01'!D53),(MOD((115-'V06 Calend 01'!C53),6)=0),(((115-'V06 Calend 01'!C53)/6)&lt;='V06 Calend 01'!E53)),IF((115=('V06 Calend 01'!C53+(6*'V06 Calend 01'!E53))),('V06 Calend 01'!H53-('V06 Calend 01'!I53*('V06 Calend 01'!E53-1))),'V06 Calend 01'!I53),0))+IF((115='V06 Calend 01'!D53),'V06 Calend 01'!J53,0))</f>
        <v>0</v>
      </c>
      <c r="DX53" s="2">
        <f>((IF((116='V06 Calend 01'!C53),('V06 Calend 01'!F53+'V06 Calend 01'!G53),0)+IF(AND(('V06 Calend 01'!E53&gt;0),(116&gt;'V06 Calend 01'!C53),(116&lt;'V06 Calend 01'!D53),(MOD((116-'V06 Calend 01'!C53),6)=0),(((116-'V06 Calend 01'!C53)/6)&lt;='V06 Calend 01'!E53)),IF((116=('V06 Calend 01'!C53+(6*'V06 Calend 01'!E53))),('V06 Calend 01'!H53-('V06 Calend 01'!I53*('V06 Calend 01'!E53-1))),'V06 Calend 01'!I53),0))+IF((116='V06 Calend 01'!D53),'V06 Calend 01'!J53,0))</f>
        <v>0</v>
      </c>
      <c r="DY53" s="2">
        <f>((IF((117='V06 Calend 01'!C53),('V06 Calend 01'!F53+'V06 Calend 01'!G53),0)+IF(AND(('V06 Calend 01'!E53&gt;0),(117&gt;'V06 Calend 01'!C53),(117&lt;'V06 Calend 01'!D53),(MOD((117-'V06 Calend 01'!C53),6)=0),(((117-'V06 Calend 01'!C53)/6)&lt;='V06 Calend 01'!E53)),IF((117=('V06 Calend 01'!C53+(6*'V06 Calend 01'!E53))),('V06 Calend 01'!H53-('V06 Calend 01'!I53*('V06 Calend 01'!E53-1))),'V06 Calend 01'!I53),0))+IF((117='V06 Calend 01'!D53),'V06 Calend 01'!J53,0))</f>
        <v>0</v>
      </c>
      <c r="DZ53" s="2">
        <f>((IF((118='V06 Calend 01'!C53),('V06 Calend 01'!F53+'V06 Calend 01'!G53),0)+IF(AND(('V06 Calend 01'!E53&gt;0),(118&gt;'V06 Calend 01'!C53),(118&lt;'V06 Calend 01'!D53),(MOD((118-'V06 Calend 01'!C53),6)=0),(((118-'V06 Calend 01'!C53)/6)&lt;='V06 Calend 01'!E53)),IF((118=('V06 Calend 01'!C53+(6*'V06 Calend 01'!E53))),('V06 Calend 01'!H53-('V06 Calend 01'!I53*('V06 Calend 01'!E53-1))),'V06 Calend 01'!I53),0))+IF((118='V06 Calend 01'!D53),'V06 Calend 01'!J53,0))</f>
        <v>0</v>
      </c>
      <c r="EA53" s="2">
        <f>((IF((119='V06 Calend 01'!C53),('V06 Calend 01'!F53+'V06 Calend 01'!G53),0)+IF(AND(('V06 Calend 01'!E53&gt;0),(119&gt;'V06 Calend 01'!C53),(119&lt;'V06 Calend 01'!D53),(MOD((119-'V06 Calend 01'!C53),6)=0),(((119-'V06 Calend 01'!C53)/6)&lt;='V06 Calend 01'!E53)),IF((119=('V06 Calend 01'!C53+(6*'V06 Calend 01'!E53))),('V06 Calend 01'!H53-('V06 Calend 01'!I53*('V06 Calend 01'!E53-1))),'V06 Calend 01'!I53),0))+IF((119='V06 Calend 01'!D53),'V06 Calend 01'!J53,0))</f>
        <v>0</v>
      </c>
      <c r="EB53" s="2">
        <f>((IF((120='V06 Calend 01'!C53),('V06 Calend 01'!F53+'V06 Calend 01'!G53),0)+IF(AND(('V06 Calend 01'!E53&gt;0),(120&gt;'V06 Calend 01'!C53),(120&lt;'V06 Calend 01'!D53),(MOD((120-'V06 Calend 01'!C53),6)=0),(((120-'V06 Calend 01'!C53)/6)&lt;='V06 Calend 01'!E53)),IF((120=('V06 Calend 01'!C53+(6*'V06 Calend 01'!E53))),('V06 Calend 01'!H53-('V06 Calend 01'!I53*('V06 Calend 01'!E53-1))),'V06 Calend 01'!I53),0))+IF((120='V06 Calend 01'!D53),'V06 Calend 01'!J53,0))</f>
        <v>0</v>
      </c>
      <c r="EC53" s="2">
        <f>((IF((121='V06 Calend 01'!C53),('V06 Calend 01'!F53+'V06 Calend 01'!G53),0)+IF(AND(('V06 Calend 01'!E53&gt;0),(121&gt;'V06 Calend 01'!C53),(121&lt;'V06 Calend 01'!D53),(MOD((121-'V06 Calend 01'!C53),6)=0),(((121-'V06 Calend 01'!C53)/6)&lt;='V06 Calend 01'!E53)),IF((121=('V06 Calend 01'!C53+(6*'V06 Calend 01'!E53))),('V06 Calend 01'!H53-('V06 Calend 01'!I53*('V06 Calend 01'!E53-1))),'V06 Calend 01'!I53),0))+IF((121='V06 Calend 01'!D53),'V06 Calend 01'!J53,0))</f>
        <v>0</v>
      </c>
      <c r="ED53" s="2">
        <f>((IF((122='V06 Calend 01'!C53),('V06 Calend 01'!F53+'V06 Calend 01'!G53),0)+IF(AND(('V06 Calend 01'!E53&gt;0),(122&gt;'V06 Calend 01'!C53),(122&lt;'V06 Calend 01'!D53),(MOD((122-'V06 Calend 01'!C53),6)=0),(((122-'V06 Calend 01'!C53)/6)&lt;='V06 Calend 01'!E53)),IF((122=('V06 Calend 01'!C53+(6*'V06 Calend 01'!E53))),('V06 Calend 01'!H53-('V06 Calend 01'!I53*('V06 Calend 01'!E53-1))),'V06 Calend 01'!I53),0))+IF((122='V06 Calend 01'!D53),'V06 Calend 01'!J53,0))</f>
        <v>0</v>
      </c>
      <c r="EE53" s="2">
        <f>((IF((123='V06 Calend 01'!C53),('V06 Calend 01'!F53+'V06 Calend 01'!G53),0)+IF(AND(('V06 Calend 01'!E53&gt;0),(123&gt;'V06 Calend 01'!C53),(123&lt;'V06 Calend 01'!D53),(MOD((123-'V06 Calend 01'!C53),6)=0),(((123-'V06 Calend 01'!C53)/6)&lt;='V06 Calend 01'!E53)),IF((123=('V06 Calend 01'!C53+(6*'V06 Calend 01'!E53))),('V06 Calend 01'!H53-('V06 Calend 01'!I53*('V06 Calend 01'!E53-1))),'V06 Calend 01'!I53),0))+IF((123='V06 Calend 01'!D53),'V06 Calend 01'!J53,0))</f>
        <v>0</v>
      </c>
      <c r="EF53" s="2">
        <f>((IF((124='V06 Calend 01'!C53),('V06 Calend 01'!F53+'V06 Calend 01'!G53),0)+IF(AND(('V06 Calend 01'!E53&gt;0),(124&gt;'V06 Calend 01'!C53),(124&lt;'V06 Calend 01'!D53),(MOD((124-'V06 Calend 01'!C53),6)=0),(((124-'V06 Calend 01'!C53)/6)&lt;='V06 Calend 01'!E53)),IF((124=('V06 Calend 01'!C53+(6*'V06 Calend 01'!E53))),('V06 Calend 01'!H53-('V06 Calend 01'!I53*('V06 Calend 01'!E53-1))),'V06 Calend 01'!I53),0))+IF((124='V06 Calend 01'!D53),'V06 Calend 01'!J53,0))</f>
        <v>0</v>
      </c>
      <c r="EG53" s="2">
        <f>((IF((125='V06 Calend 01'!C53),('V06 Calend 01'!F53+'V06 Calend 01'!G53),0)+IF(AND(('V06 Calend 01'!E53&gt;0),(125&gt;'V06 Calend 01'!C53),(125&lt;'V06 Calend 01'!D53),(MOD((125-'V06 Calend 01'!C53),6)=0),(((125-'V06 Calend 01'!C53)/6)&lt;='V06 Calend 01'!E53)),IF((125=('V06 Calend 01'!C53+(6*'V06 Calend 01'!E53))),('V06 Calend 01'!H53-('V06 Calend 01'!I53*('V06 Calend 01'!E53-1))),'V06 Calend 01'!I53),0))+IF((125='V06 Calend 01'!D53),'V06 Calend 01'!J53,0))</f>
        <v>0</v>
      </c>
      <c r="EH53" s="2">
        <f>((IF((126='V06 Calend 01'!C53),('V06 Calend 01'!F53+'V06 Calend 01'!G53),0)+IF(AND(('V06 Calend 01'!E53&gt;0),(126&gt;'V06 Calend 01'!C53),(126&lt;'V06 Calend 01'!D53),(MOD((126-'V06 Calend 01'!C53),6)=0),(((126-'V06 Calend 01'!C53)/6)&lt;='V06 Calend 01'!E53)),IF((126=('V06 Calend 01'!C53+(6*'V06 Calend 01'!E53))),('V06 Calend 01'!H53-('V06 Calend 01'!I53*('V06 Calend 01'!E53-1))),'V06 Calend 01'!I53),0))+IF((126='V06 Calend 01'!D53),'V06 Calend 01'!J53,0))</f>
        <v>0</v>
      </c>
      <c r="EI53" s="2">
        <f>((IF((127='V06 Calend 01'!C53),('V06 Calend 01'!F53+'V06 Calend 01'!G53),0)+IF(AND(('V06 Calend 01'!E53&gt;0),(127&gt;'V06 Calend 01'!C53),(127&lt;'V06 Calend 01'!D53),(MOD((127-'V06 Calend 01'!C53),6)=0),(((127-'V06 Calend 01'!C53)/6)&lt;='V06 Calend 01'!E53)),IF((127=('V06 Calend 01'!C53+(6*'V06 Calend 01'!E53))),('V06 Calend 01'!H53-('V06 Calend 01'!I53*('V06 Calend 01'!E53-1))),'V06 Calend 01'!I53),0))+IF((127='V06 Calend 01'!D53),'V06 Calend 01'!J53,0))</f>
        <v>0</v>
      </c>
      <c r="EJ53" s="2">
        <f>((IF((128='V06 Calend 01'!C53),('V06 Calend 01'!F53+'V06 Calend 01'!G53),0)+IF(AND(('V06 Calend 01'!E53&gt;0),(128&gt;'V06 Calend 01'!C53),(128&lt;'V06 Calend 01'!D53),(MOD((128-'V06 Calend 01'!C53),6)=0),(((128-'V06 Calend 01'!C53)/6)&lt;='V06 Calend 01'!E53)),IF((128=('V06 Calend 01'!C53+(6*'V06 Calend 01'!E53))),('V06 Calend 01'!H53-('V06 Calend 01'!I53*('V06 Calend 01'!E53-1))),'V06 Calend 01'!I53),0))+IF((128='V06 Calend 01'!D53),'V06 Calend 01'!J53,0))</f>
        <v>0</v>
      </c>
      <c r="EK53" s="2">
        <f>((IF((129='V06 Calend 01'!C53),('V06 Calend 01'!F53+'V06 Calend 01'!G53),0)+IF(AND(('V06 Calend 01'!E53&gt;0),(129&gt;'V06 Calend 01'!C53),(129&lt;'V06 Calend 01'!D53),(MOD((129-'V06 Calend 01'!C53),6)=0),(((129-'V06 Calend 01'!C53)/6)&lt;='V06 Calend 01'!E53)),IF((129=('V06 Calend 01'!C53+(6*'V06 Calend 01'!E53))),('V06 Calend 01'!H53-('V06 Calend 01'!I53*('V06 Calend 01'!E53-1))),'V06 Calend 01'!I53),0))+IF((129='V06 Calend 01'!D53),'V06 Calend 01'!J53,0))</f>
        <v>0</v>
      </c>
      <c r="EL53" s="2">
        <f>((IF((130='V06 Calend 01'!C53),('V06 Calend 01'!F53+'V06 Calend 01'!G53),0)+IF(AND(('V06 Calend 01'!E53&gt;0),(130&gt;'V06 Calend 01'!C53),(130&lt;'V06 Calend 01'!D53),(MOD((130-'V06 Calend 01'!C53),6)=0),(((130-'V06 Calend 01'!C53)/6)&lt;='V06 Calend 01'!E53)),IF((130=('V06 Calend 01'!C53+(6*'V06 Calend 01'!E53))),('V06 Calend 01'!H53-('V06 Calend 01'!I53*('V06 Calend 01'!E53-1))),'V06 Calend 01'!I53),0))+IF((130='V06 Calend 01'!D53),'V06 Calend 01'!J53,0))</f>
        <v>0</v>
      </c>
      <c r="EM53" s="2">
        <f>((IF((131='V06 Calend 01'!C53),('V06 Calend 01'!F53+'V06 Calend 01'!G53),0)+IF(AND(('V06 Calend 01'!E53&gt;0),(131&gt;'V06 Calend 01'!C53),(131&lt;'V06 Calend 01'!D53),(MOD((131-'V06 Calend 01'!C53),6)=0),(((131-'V06 Calend 01'!C53)/6)&lt;='V06 Calend 01'!E53)),IF((131=('V06 Calend 01'!C53+(6*'V06 Calend 01'!E53))),('V06 Calend 01'!H53-('V06 Calend 01'!I53*('V06 Calend 01'!E53-1))),'V06 Calend 01'!I53),0))+IF((131='V06 Calend 01'!D53),'V06 Calend 01'!J53,0))</f>
        <v>0</v>
      </c>
      <c r="EN53" s="2">
        <f>((IF((132='V06 Calend 01'!C53),('V06 Calend 01'!F53+'V06 Calend 01'!G53),0)+IF(AND(('V06 Calend 01'!E53&gt;0),(132&gt;'V06 Calend 01'!C53),(132&lt;'V06 Calend 01'!D53),(MOD((132-'V06 Calend 01'!C53),6)=0),(((132-'V06 Calend 01'!C53)/6)&lt;='V06 Calend 01'!E53)),IF((132=('V06 Calend 01'!C53+(6*'V06 Calend 01'!E53))),('V06 Calend 01'!H53-('V06 Calend 01'!I53*('V06 Calend 01'!E53-1))),'V06 Calend 01'!I53),0))+IF((132='V06 Calend 01'!D53),'V06 Calend 01'!J53,0))</f>
        <v>0</v>
      </c>
      <c r="EO53" s="2">
        <f>((IF((133='V06 Calend 01'!C53),('V06 Calend 01'!F53+'V06 Calend 01'!G53),0)+IF(AND(('V06 Calend 01'!E53&gt;0),(133&gt;'V06 Calend 01'!C53),(133&lt;'V06 Calend 01'!D53),(MOD((133-'V06 Calend 01'!C53),6)=0),(((133-'V06 Calend 01'!C53)/6)&lt;='V06 Calend 01'!E53)),IF((133=('V06 Calend 01'!C53+(6*'V06 Calend 01'!E53))),('V06 Calend 01'!H53-('V06 Calend 01'!I53*('V06 Calend 01'!E53-1))),'V06 Calend 01'!I53),0))+IF((133='V06 Calend 01'!D53),'V06 Calend 01'!J53,0))</f>
        <v>0</v>
      </c>
      <c r="EP53" s="2">
        <f>((IF((134='V06 Calend 01'!C53),('V06 Calend 01'!F53+'V06 Calend 01'!G53),0)+IF(AND(('V06 Calend 01'!E53&gt;0),(134&gt;'V06 Calend 01'!C53),(134&lt;'V06 Calend 01'!D53),(MOD((134-'V06 Calend 01'!C53),6)=0),(((134-'V06 Calend 01'!C53)/6)&lt;='V06 Calend 01'!E53)),IF((134=('V06 Calend 01'!C53+(6*'V06 Calend 01'!E53))),('V06 Calend 01'!H53-('V06 Calend 01'!I53*('V06 Calend 01'!E53-1))),'V06 Calend 01'!I53),0))+IF((134='V06 Calend 01'!D53),'V06 Calend 01'!J53,0))</f>
        <v>0</v>
      </c>
      <c r="EQ53" s="2">
        <f>((IF((135='V06 Calend 01'!C53),('V06 Calend 01'!F53+'V06 Calend 01'!G53),0)+IF(AND(('V06 Calend 01'!E53&gt;0),(135&gt;'V06 Calend 01'!C53),(135&lt;'V06 Calend 01'!D53),(MOD((135-'V06 Calend 01'!C53),6)=0),(((135-'V06 Calend 01'!C53)/6)&lt;='V06 Calend 01'!E53)),IF((135=('V06 Calend 01'!C53+(6*'V06 Calend 01'!E53))),('V06 Calend 01'!H53-('V06 Calend 01'!I53*('V06 Calend 01'!E53-1))),'V06 Calend 01'!I53),0))+IF((135='V06 Calend 01'!D53),'V06 Calend 01'!J53,0))</f>
        <v>0</v>
      </c>
      <c r="ER53" s="2">
        <f>((IF((136='V06 Calend 01'!C53),('V06 Calend 01'!F53+'V06 Calend 01'!G53),0)+IF(AND(('V06 Calend 01'!E53&gt;0),(136&gt;'V06 Calend 01'!C53),(136&lt;'V06 Calend 01'!D53),(MOD((136-'V06 Calend 01'!C53),6)=0),(((136-'V06 Calend 01'!C53)/6)&lt;='V06 Calend 01'!E53)),IF((136=('V06 Calend 01'!C53+(6*'V06 Calend 01'!E53))),('V06 Calend 01'!H53-('V06 Calend 01'!I53*('V06 Calend 01'!E53-1))),'V06 Calend 01'!I53),0))+IF((136='V06 Calend 01'!D53),'V06 Calend 01'!J53,0))</f>
        <v>0</v>
      </c>
      <c r="ES53" s="2">
        <f>((IF((137='V06 Calend 01'!C53),('V06 Calend 01'!F53+'V06 Calend 01'!G53),0)+IF(AND(('V06 Calend 01'!E53&gt;0),(137&gt;'V06 Calend 01'!C53),(137&lt;'V06 Calend 01'!D53),(MOD((137-'V06 Calend 01'!C53),6)=0),(((137-'V06 Calend 01'!C53)/6)&lt;='V06 Calend 01'!E53)),IF((137=('V06 Calend 01'!C53+(6*'V06 Calend 01'!E53))),('V06 Calend 01'!H53-('V06 Calend 01'!I53*('V06 Calend 01'!E53-1))),'V06 Calend 01'!I53),0))+IF((137='V06 Calend 01'!D53),'V06 Calend 01'!J53,0))</f>
        <v>0</v>
      </c>
      <c r="ET53" s="2">
        <f>((IF((138='V06 Calend 01'!C53),('V06 Calend 01'!F53+'V06 Calend 01'!G53),0)+IF(AND(('V06 Calend 01'!E53&gt;0),(138&gt;'V06 Calend 01'!C53),(138&lt;'V06 Calend 01'!D53),(MOD((138-'V06 Calend 01'!C53),6)=0),(((138-'V06 Calend 01'!C53)/6)&lt;='V06 Calend 01'!E53)),IF((138=('V06 Calend 01'!C53+(6*'V06 Calend 01'!E53))),('V06 Calend 01'!H53-('V06 Calend 01'!I53*('V06 Calend 01'!E53-1))),'V06 Calend 01'!I53),0))+IF((138='V06 Calend 01'!D53),'V06 Calend 01'!J53,0))</f>
        <v>0</v>
      </c>
      <c r="EU53" s="2">
        <f>((IF((139='V06 Calend 01'!C53),('V06 Calend 01'!F53+'V06 Calend 01'!G53),0)+IF(AND(('V06 Calend 01'!E53&gt;0),(139&gt;'V06 Calend 01'!C53),(139&lt;'V06 Calend 01'!D53),(MOD((139-'V06 Calend 01'!C53),6)=0),(((139-'V06 Calend 01'!C53)/6)&lt;='V06 Calend 01'!E53)),IF((139=('V06 Calend 01'!C53+(6*'V06 Calend 01'!E53))),('V06 Calend 01'!H53-('V06 Calend 01'!I53*('V06 Calend 01'!E53-1))),'V06 Calend 01'!I53),0))+IF((139='V06 Calend 01'!D53),'V06 Calend 01'!J53,0))</f>
        <v>0</v>
      </c>
      <c r="EV53" s="2">
        <f>((IF((140='V06 Calend 01'!C53),('V06 Calend 01'!F53+'V06 Calend 01'!G53),0)+IF(AND(('V06 Calend 01'!E53&gt;0),(140&gt;'V06 Calend 01'!C53),(140&lt;'V06 Calend 01'!D53),(MOD((140-'V06 Calend 01'!C53),6)=0),(((140-'V06 Calend 01'!C53)/6)&lt;='V06 Calend 01'!E53)),IF((140=('V06 Calend 01'!C53+(6*'V06 Calend 01'!E53))),('V06 Calend 01'!H53-('V06 Calend 01'!I53*('V06 Calend 01'!E53-1))),'V06 Calend 01'!I53),0))+IF((140='V06 Calend 01'!D53),'V06 Calend 01'!J53,0))</f>
        <v>0</v>
      </c>
      <c r="EW53" s="2">
        <f>((IF((141='V06 Calend 01'!C53),('V06 Calend 01'!F53+'V06 Calend 01'!G53),0)+IF(AND(('V06 Calend 01'!E53&gt;0),(141&gt;'V06 Calend 01'!C53),(141&lt;'V06 Calend 01'!D53),(MOD((141-'V06 Calend 01'!C53),6)=0),(((141-'V06 Calend 01'!C53)/6)&lt;='V06 Calend 01'!E53)),IF((141=('V06 Calend 01'!C53+(6*'V06 Calend 01'!E53))),('V06 Calend 01'!H53-('V06 Calend 01'!I53*('V06 Calend 01'!E53-1))),'V06 Calend 01'!I53),0))+IF((141='V06 Calend 01'!D53),'V06 Calend 01'!J53,0))</f>
        <v>0</v>
      </c>
      <c r="EX53" s="2">
        <f>((IF((142='V06 Calend 01'!C53),('V06 Calend 01'!F53+'V06 Calend 01'!G53),0)+IF(AND(('V06 Calend 01'!E53&gt;0),(142&gt;'V06 Calend 01'!C53),(142&lt;'V06 Calend 01'!D53),(MOD((142-'V06 Calend 01'!C53),6)=0),(((142-'V06 Calend 01'!C53)/6)&lt;='V06 Calend 01'!E53)),IF((142=('V06 Calend 01'!C53+(6*'V06 Calend 01'!E53))),('V06 Calend 01'!H53-('V06 Calend 01'!I53*('V06 Calend 01'!E53-1))),'V06 Calend 01'!I53),0))+IF((142='V06 Calend 01'!D53),'V06 Calend 01'!J53,0))</f>
        <v>0</v>
      </c>
      <c r="EY53" s="2">
        <f>((IF((143='V06 Calend 01'!C53),('V06 Calend 01'!F53+'V06 Calend 01'!G53),0)+IF(AND(('V06 Calend 01'!E53&gt;0),(143&gt;'V06 Calend 01'!C53),(143&lt;'V06 Calend 01'!D53),(MOD((143-'V06 Calend 01'!C53),6)=0),(((143-'V06 Calend 01'!C53)/6)&lt;='V06 Calend 01'!E53)),IF((143=('V06 Calend 01'!C53+(6*'V06 Calend 01'!E53))),('V06 Calend 01'!H53-('V06 Calend 01'!I53*('V06 Calend 01'!E53-1))),'V06 Calend 01'!I53),0))+IF((143='V06 Calend 01'!D53),'V06 Calend 01'!J53,0))</f>
        <v>0</v>
      </c>
      <c r="EZ53" s="2">
        <f>((IF((144='V06 Calend 01'!C53),('V06 Calend 01'!F53+'V06 Calend 01'!G53),0)+IF(AND(('V06 Calend 01'!E53&gt;0),(144&gt;'V06 Calend 01'!C53),(144&lt;'V06 Calend 01'!D53),(MOD((144-'V06 Calend 01'!C53),6)=0),(((144-'V06 Calend 01'!C53)/6)&lt;='V06 Calend 01'!E53)),IF((144=('V06 Calend 01'!C53+(6*'V06 Calend 01'!E53))),('V06 Calend 01'!H53-('V06 Calend 01'!I53*('V06 Calend 01'!E53-1))),'V06 Calend 01'!I53),0))+IF((144='V06 Calend 01'!D53),'V06 Calend 01'!J53,0))</f>
        <v>0</v>
      </c>
      <c r="FA53" s="2">
        <f>((IF((145='V06 Calend 01'!C53),('V06 Calend 01'!F53+'V06 Calend 01'!G53),0)+IF(AND(('V06 Calend 01'!E53&gt;0),(145&gt;'V06 Calend 01'!C53),(145&lt;'V06 Calend 01'!D53),(MOD((145-'V06 Calend 01'!C53),6)=0),(((145-'V06 Calend 01'!C53)/6)&lt;='V06 Calend 01'!E53)),IF((145=('V06 Calend 01'!C53+(6*'V06 Calend 01'!E53))),('V06 Calend 01'!H53-('V06 Calend 01'!I53*('V06 Calend 01'!E53-1))),'V06 Calend 01'!I53),0))+IF((145='V06 Calend 01'!D53),'V06 Calend 01'!J53,0))</f>
        <v>0</v>
      </c>
      <c r="FB53" s="2">
        <f>((IF((146='V06 Calend 01'!C53),('V06 Calend 01'!F53+'V06 Calend 01'!G53),0)+IF(AND(('V06 Calend 01'!E53&gt;0),(146&gt;'V06 Calend 01'!C53),(146&lt;'V06 Calend 01'!D53),(MOD((146-'V06 Calend 01'!C53),6)=0),(((146-'V06 Calend 01'!C53)/6)&lt;='V06 Calend 01'!E53)),IF((146=('V06 Calend 01'!C53+(6*'V06 Calend 01'!E53))),('V06 Calend 01'!H53-('V06 Calend 01'!I53*('V06 Calend 01'!E53-1))),'V06 Calend 01'!I53),0))+IF((146='V06 Calend 01'!D53),'V06 Calend 01'!J53,0))</f>
        <v>0</v>
      </c>
      <c r="FC53" s="2">
        <f>((IF((147='V06 Calend 01'!C53),('V06 Calend 01'!F53+'V06 Calend 01'!G53),0)+IF(AND(('V06 Calend 01'!E53&gt;0),(147&gt;'V06 Calend 01'!C53),(147&lt;'V06 Calend 01'!D53),(MOD((147-'V06 Calend 01'!C53),6)=0),(((147-'V06 Calend 01'!C53)/6)&lt;='V06 Calend 01'!E53)),IF((147=('V06 Calend 01'!C53+(6*'V06 Calend 01'!E53))),('V06 Calend 01'!H53-('V06 Calend 01'!I53*('V06 Calend 01'!E53-1))),'V06 Calend 01'!I53),0))+IF((147='V06 Calend 01'!D53),'V06 Calend 01'!J53,0))</f>
        <v>0</v>
      </c>
      <c r="FD53" s="2">
        <f>((IF((148='V06 Calend 01'!C53),('V06 Calend 01'!F53+'V06 Calend 01'!G53),0)+IF(AND(('V06 Calend 01'!E53&gt;0),(148&gt;'V06 Calend 01'!C53),(148&lt;'V06 Calend 01'!D53),(MOD((148-'V06 Calend 01'!C53),6)=0),(((148-'V06 Calend 01'!C53)/6)&lt;='V06 Calend 01'!E53)),IF((148=('V06 Calend 01'!C53+(6*'V06 Calend 01'!E53))),('V06 Calend 01'!H53-('V06 Calend 01'!I53*('V06 Calend 01'!E53-1))),'V06 Calend 01'!I53),0))+IF((148='V06 Calend 01'!D53),'V06 Calend 01'!J53,0))</f>
        <v>0</v>
      </c>
      <c r="FE53" s="2">
        <f>((IF((149='V06 Calend 01'!C53),('V06 Calend 01'!F53+'V06 Calend 01'!G53),0)+IF(AND(('V06 Calend 01'!E53&gt;0),(149&gt;'V06 Calend 01'!C53),(149&lt;'V06 Calend 01'!D53),(MOD((149-'V06 Calend 01'!C53),6)=0),(((149-'V06 Calend 01'!C53)/6)&lt;='V06 Calend 01'!E53)),IF((149=('V06 Calend 01'!C53+(6*'V06 Calend 01'!E53))),('V06 Calend 01'!H53-('V06 Calend 01'!I53*('V06 Calend 01'!E53-1))),'V06 Calend 01'!I53),0))+IF((149='V06 Calend 01'!D53),'V06 Calend 01'!J53,0))</f>
        <v>0</v>
      </c>
      <c r="FF53" s="2">
        <f>((IF((150='V06 Calend 01'!C53),('V06 Calend 01'!F53+'V06 Calend 01'!G53),0)+IF(AND(('V06 Calend 01'!E53&gt;0),(150&gt;'V06 Calend 01'!C53),(150&lt;'V06 Calend 01'!D53),(MOD((150-'V06 Calend 01'!C53),6)=0),(((150-'V06 Calend 01'!C53)/6)&lt;='V06 Calend 01'!E53)),IF((150=('V06 Calend 01'!C53+(6*'V06 Calend 01'!E53))),('V06 Calend 01'!H53-('V06 Calend 01'!I53*('V06 Calend 01'!E53-1))),'V06 Calend 01'!I53),0))+IF((150='V06 Calend 01'!D53),'V06 Calend 01'!J53,0))</f>
        <v>0</v>
      </c>
      <c r="FG53" s="2">
        <f>((IF((151='V06 Calend 01'!C53),('V06 Calend 01'!F53+'V06 Calend 01'!G53),0)+IF(AND(('V06 Calend 01'!E53&gt;0),(151&gt;'V06 Calend 01'!C53),(151&lt;'V06 Calend 01'!D53),(MOD((151-'V06 Calend 01'!C53),6)=0),(((151-'V06 Calend 01'!C53)/6)&lt;='V06 Calend 01'!E53)),IF((151=('V06 Calend 01'!C53+(6*'V06 Calend 01'!E53))),('V06 Calend 01'!H53-('V06 Calend 01'!I53*('V06 Calend 01'!E53-1))),'V06 Calend 01'!I53),0))+IF((151='V06 Calend 01'!D53),'V06 Calend 01'!J53,0))</f>
        <v>0</v>
      </c>
      <c r="FH53" s="2">
        <f>((IF((152='V06 Calend 01'!C53),('V06 Calend 01'!F53+'V06 Calend 01'!G53),0)+IF(AND(('V06 Calend 01'!E53&gt;0),(152&gt;'V06 Calend 01'!C53),(152&lt;'V06 Calend 01'!D53),(MOD((152-'V06 Calend 01'!C53),6)=0),(((152-'V06 Calend 01'!C53)/6)&lt;='V06 Calend 01'!E53)),IF((152=('V06 Calend 01'!C53+(6*'V06 Calend 01'!E53))),('V06 Calend 01'!H53-('V06 Calend 01'!I53*('V06 Calend 01'!E53-1))),'V06 Calend 01'!I53),0))+IF((152='V06 Calend 01'!D53),'V06 Calend 01'!J53,0))</f>
        <v>0</v>
      </c>
      <c r="FI53" s="2">
        <f>((IF((153='V06 Calend 01'!C53),('V06 Calend 01'!F53+'V06 Calend 01'!G53),0)+IF(AND(('V06 Calend 01'!E53&gt;0),(153&gt;'V06 Calend 01'!C53),(153&lt;'V06 Calend 01'!D53),(MOD((153-'V06 Calend 01'!C53),6)=0),(((153-'V06 Calend 01'!C53)/6)&lt;='V06 Calend 01'!E53)),IF((153=('V06 Calend 01'!C53+(6*'V06 Calend 01'!E53))),('V06 Calend 01'!H53-('V06 Calend 01'!I53*('V06 Calend 01'!E53-1))),'V06 Calend 01'!I53),0))+IF((153='V06 Calend 01'!D53),'V06 Calend 01'!J53,0))</f>
        <v>0</v>
      </c>
      <c r="FJ53" s="2">
        <f>((IF((154='V06 Calend 01'!C53),('V06 Calend 01'!F53+'V06 Calend 01'!G53),0)+IF(AND(('V06 Calend 01'!E53&gt;0),(154&gt;'V06 Calend 01'!C53),(154&lt;'V06 Calend 01'!D53),(MOD((154-'V06 Calend 01'!C53),6)=0),(((154-'V06 Calend 01'!C53)/6)&lt;='V06 Calend 01'!E53)),IF((154=('V06 Calend 01'!C53+(6*'V06 Calend 01'!E53))),('V06 Calend 01'!H53-('V06 Calend 01'!I53*('V06 Calend 01'!E53-1))),'V06 Calend 01'!I53),0))+IF((154='V06 Calend 01'!D53),'V06 Calend 01'!J53,0))</f>
        <v>0</v>
      </c>
      <c r="FK53" s="2">
        <f>((IF((155='V06 Calend 01'!C53),('V06 Calend 01'!F53+'V06 Calend 01'!G53),0)+IF(AND(('V06 Calend 01'!E53&gt;0),(155&gt;'V06 Calend 01'!C53),(155&lt;'V06 Calend 01'!D53),(MOD((155-'V06 Calend 01'!C53),6)=0),(((155-'V06 Calend 01'!C53)/6)&lt;='V06 Calend 01'!E53)),IF((155=('V06 Calend 01'!C53+(6*'V06 Calend 01'!E53))),('V06 Calend 01'!H53-('V06 Calend 01'!I53*('V06 Calend 01'!E53-1))),'V06 Calend 01'!I53),0))+IF((155='V06 Calend 01'!D53),'V06 Calend 01'!J53,0))</f>
        <v>0</v>
      </c>
      <c r="FL53" s="2">
        <f>((IF((156='V06 Calend 01'!C53),('V06 Calend 01'!F53+'V06 Calend 01'!G53),0)+IF(AND(('V06 Calend 01'!E53&gt;0),(156&gt;'V06 Calend 01'!C53),(156&lt;'V06 Calend 01'!D53),(MOD((156-'V06 Calend 01'!C53),6)=0),(((156-'V06 Calend 01'!C53)/6)&lt;='V06 Calend 01'!E53)),IF((156=('V06 Calend 01'!C53+(6*'V06 Calend 01'!E53))),('V06 Calend 01'!H53-('V06 Calend 01'!I53*('V06 Calend 01'!E53-1))),'V06 Calend 01'!I53),0))+IF((156='V06 Calend 01'!D53),'V06 Calend 01'!J53,0))</f>
        <v>0</v>
      </c>
      <c r="FM53" s="2">
        <f>((IF((157='V06 Calend 01'!C53),('V06 Calend 01'!F53+'V06 Calend 01'!G53),0)+IF(AND(('V06 Calend 01'!E53&gt;0),(157&gt;'V06 Calend 01'!C53),(157&lt;'V06 Calend 01'!D53),(MOD((157-'V06 Calend 01'!C53),6)=0),(((157-'V06 Calend 01'!C53)/6)&lt;='V06 Calend 01'!E53)),IF((157=('V06 Calend 01'!C53+(6*'V06 Calend 01'!E53))),('V06 Calend 01'!H53-('V06 Calend 01'!I53*('V06 Calend 01'!E53-1))),'V06 Calend 01'!I53),0))+IF((157='V06 Calend 01'!D53),'V06 Calend 01'!J53,0))</f>
        <v>0</v>
      </c>
      <c r="FN53" s="2">
        <f>((IF((158='V06 Calend 01'!C53),('V06 Calend 01'!F53+'V06 Calend 01'!G53),0)+IF(AND(('V06 Calend 01'!E53&gt;0),(158&gt;'V06 Calend 01'!C53),(158&lt;'V06 Calend 01'!D53),(MOD((158-'V06 Calend 01'!C53),6)=0),(((158-'V06 Calend 01'!C53)/6)&lt;='V06 Calend 01'!E53)),IF((158=('V06 Calend 01'!C53+(6*'V06 Calend 01'!E53))),('V06 Calend 01'!H53-('V06 Calend 01'!I53*('V06 Calend 01'!E53-1))),'V06 Calend 01'!I53),0))+IF((158='V06 Calend 01'!D53),'V06 Calend 01'!J53,0))</f>
        <v>0</v>
      </c>
      <c r="FO53" s="2">
        <f>((IF((159='V06 Calend 01'!C53),('V06 Calend 01'!F53+'V06 Calend 01'!G53),0)+IF(AND(('V06 Calend 01'!E53&gt;0),(159&gt;'V06 Calend 01'!C53),(159&lt;'V06 Calend 01'!D53),(MOD((159-'V06 Calend 01'!C53),6)=0),(((159-'V06 Calend 01'!C53)/6)&lt;='V06 Calend 01'!E53)),IF((159=('V06 Calend 01'!C53+(6*'V06 Calend 01'!E53))),('V06 Calend 01'!H53-('V06 Calend 01'!I53*('V06 Calend 01'!E53-1))),'V06 Calend 01'!I53),0))+IF((159='V06 Calend 01'!D53),'V06 Calend 01'!J53,0))</f>
        <v>0</v>
      </c>
      <c r="FP53" s="2">
        <f>((IF((160='V06 Calend 01'!C53),('V06 Calend 01'!F53+'V06 Calend 01'!G53),0)+IF(AND(('V06 Calend 01'!E53&gt;0),(160&gt;'V06 Calend 01'!C53),(160&lt;'V06 Calend 01'!D53),(MOD((160-'V06 Calend 01'!C53),6)=0),(((160-'V06 Calend 01'!C53)/6)&lt;='V06 Calend 01'!E53)),IF((160=('V06 Calend 01'!C53+(6*'V06 Calend 01'!E53))),('V06 Calend 01'!H53-('V06 Calend 01'!I53*('V06 Calend 01'!E53-1))),'V06 Calend 01'!I53),0))+IF((160='V06 Calend 01'!D53),'V06 Calend 01'!J53,0))</f>
        <v>0</v>
      </c>
      <c r="FQ53" s="2">
        <f>((IF((161='V06 Calend 01'!C53),('V06 Calend 01'!F53+'V06 Calend 01'!G53),0)+IF(AND(('V06 Calend 01'!E53&gt;0),(161&gt;'V06 Calend 01'!C53),(161&lt;'V06 Calend 01'!D53),(MOD((161-'V06 Calend 01'!C53),6)=0),(((161-'V06 Calend 01'!C53)/6)&lt;='V06 Calend 01'!E53)),IF((161=('V06 Calend 01'!C53+(6*'V06 Calend 01'!E53))),('V06 Calend 01'!H53-('V06 Calend 01'!I53*('V06 Calend 01'!E53-1))),'V06 Calend 01'!I53),0))+IF((161='V06 Calend 01'!D53),'V06 Calend 01'!J53,0))</f>
        <v>0</v>
      </c>
      <c r="FR53" s="2">
        <f>((IF((162='V06 Calend 01'!C53),('V06 Calend 01'!F53+'V06 Calend 01'!G53),0)+IF(AND(('V06 Calend 01'!E53&gt;0),(162&gt;'V06 Calend 01'!C53),(162&lt;'V06 Calend 01'!D53),(MOD((162-'V06 Calend 01'!C53),6)=0),(((162-'V06 Calend 01'!C53)/6)&lt;='V06 Calend 01'!E53)),IF((162=('V06 Calend 01'!C53+(6*'V06 Calend 01'!E53))),('V06 Calend 01'!H53-('V06 Calend 01'!I53*('V06 Calend 01'!E53-1))),'V06 Calend 01'!I53),0))+IF((162='V06 Calend 01'!D53),'V06 Calend 01'!J53,0))</f>
        <v>0</v>
      </c>
      <c r="FS53" s="2">
        <f>((IF((163='V06 Calend 01'!C53),('V06 Calend 01'!F53+'V06 Calend 01'!G53),0)+IF(AND(('V06 Calend 01'!E53&gt;0),(163&gt;'V06 Calend 01'!C53),(163&lt;'V06 Calend 01'!D53),(MOD((163-'V06 Calend 01'!C53),6)=0),(((163-'V06 Calend 01'!C53)/6)&lt;='V06 Calend 01'!E53)),IF((163=('V06 Calend 01'!C53+(6*'V06 Calend 01'!E53))),('V06 Calend 01'!H53-('V06 Calend 01'!I53*('V06 Calend 01'!E53-1))),'V06 Calend 01'!I53),0))+IF((163='V06 Calend 01'!D53),'V06 Calend 01'!J53,0))</f>
        <v>0</v>
      </c>
      <c r="FT53" s="2">
        <f>((IF((164='V06 Calend 01'!C53),('V06 Calend 01'!F53+'V06 Calend 01'!G53),0)+IF(AND(('V06 Calend 01'!E53&gt;0),(164&gt;'V06 Calend 01'!C53),(164&lt;'V06 Calend 01'!D53),(MOD((164-'V06 Calend 01'!C53),6)=0),(((164-'V06 Calend 01'!C53)/6)&lt;='V06 Calend 01'!E53)),IF((164=('V06 Calend 01'!C53+(6*'V06 Calend 01'!E53))),('V06 Calend 01'!H53-('V06 Calend 01'!I53*('V06 Calend 01'!E53-1))),'V06 Calend 01'!I53),0))+IF((164='V06 Calend 01'!D53),'V06 Calend 01'!J53,0))</f>
        <v>0</v>
      </c>
      <c r="FU53" s="2">
        <f>((IF((165='V06 Calend 01'!C53),('V06 Calend 01'!F53+'V06 Calend 01'!G53),0)+IF(AND(('V06 Calend 01'!E53&gt;0),(165&gt;'V06 Calend 01'!C53),(165&lt;'V06 Calend 01'!D53),(MOD((165-'V06 Calend 01'!C53),6)=0),(((165-'V06 Calend 01'!C53)/6)&lt;='V06 Calend 01'!E53)),IF((165=('V06 Calend 01'!C53+(6*'V06 Calend 01'!E53))),('V06 Calend 01'!H53-('V06 Calend 01'!I53*('V06 Calend 01'!E53-1))),'V06 Calend 01'!I53),0))+IF((165='V06 Calend 01'!D53),'V06 Calend 01'!J53,0))</f>
        <v>0</v>
      </c>
      <c r="FV53" s="2">
        <f>((IF((166='V06 Calend 01'!C53),('V06 Calend 01'!F53+'V06 Calend 01'!G53),0)+IF(AND(('V06 Calend 01'!E53&gt;0),(166&gt;'V06 Calend 01'!C53),(166&lt;'V06 Calend 01'!D53),(MOD((166-'V06 Calend 01'!C53),6)=0),(((166-'V06 Calend 01'!C53)/6)&lt;='V06 Calend 01'!E53)),IF((166=('V06 Calend 01'!C53+(6*'V06 Calend 01'!E53))),('V06 Calend 01'!H53-('V06 Calend 01'!I53*('V06 Calend 01'!E53-1))),'V06 Calend 01'!I53),0))+IF((166='V06 Calend 01'!D53),'V06 Calend 01'!J53,0))</f>
        <v>0</v>
      </c>
      <c r="FW53" s="2">
        <f>((IF((167='V06 Calend 01'!C53),('V06 Calend 01'!F53+'V06 Calend 01'!G53),0)+IF(AND(('V06 Calend 01'!E53&gt;0),(167&gt;'V06 Calend 01'!C53),(167&lt;'V06 Calend 01'!D53),(MOD((167-'V06 Calend 01'!C53),6)=0),(((167-'V06 Calend 01'!C53)/6)&lt;='V06 Calend 01'!E53)),IF((167=('V06 Calend 01'!C53+(6*'V06 Calend 01'!E53))),('V06 Calend 01'!H53-('V06 Calend 01'!I53*('V06 Calend 01'!E53-1))),'V06 Calend 01'!I53),0))+IF((167='V06 Calend 01'!D53),'V06 Calend 01'!J53,0))</f>
        <v>0</v>
      </c>
      <c r="FX53" s="2">
        <f>((IF((168='V06 Calend 01'!C53),('V06 Calend 01'!F53+'V06 Calend 01'!G53),0)+IF(AND(('V06 Calend 01'!E53&gt;0),(168&gt;'V06 Calend 01'!C53),(168&lt;'V06 Calend 01'!D53),(MOD((168-'V06 Calend 01'!C53),6)=0),(((168-'V06 Calend 01'!C53)/6)&lt;='V06 Calend 01'!E53)),IF((168=('V06 Calend 01'!C53+(6*'V06 Calend 01'!E53))),('V06 Calend 01'!H53-('V06 Calend 01'!I53*('V06 Calend 01'!E53-1))),'V06 Calend 01'!I53),0))+IF((168='V06 Calend 01'!D53),'V06 Calend 01'!J53,0))</f>
        <v>0</v>
      </c>
      <c r="FY53" s="2">
        <f>((IF((169='V06 Calend 01'!C53),('V06 Calend 01'!F53+'V06 Calend 01'!G53),0)+IF(AND(('V06 Calend 01'!E53&gt;0),(169&gt;'V06 Calend 01'!C53),(169&lt;'V06 Calend 01'!D53),(MOD((169-'V06 Calend 01'!C53),6)=0),(((169-'V06 Calend 01'!C53)/6)&lt;='V06 Calend 01'!E53)),IF((169=('V06 Calend 01'!C53+(6*'V06 Calend 01'!E53))),('V06 Calend 01'!H53-('V06 Calend 01'!I53*('V06 Calend 01'!E53-1))),'V06 Calend 01'!I53),0))+IF((169='V06 Calend 01'!D53),'V06 Calend 01'!J53,0))</f>
        <v>0</v>
      </c>
      <c r="FZ53" s="2">
        <f>((IF((170='V06 Calend 01'!C53),('V06 Calend 01'!F53+'V06 Calend 01'!G53),0)+IF(AND(('V06 Calend 01'!E53&gt;0),(170&gt;'V06 Calend 01'!C53),(170&lt;'V06 Calend 01'!D53),(MOD((170-'V06 Calend 01'!C53),6)=0),(((170-'V06 Calend 01'!C53)/6)&lt;='V06 Calend 01'!E53)),IF((170=('V06 Calend 01'!C53+(6*'V06 Calend 01'!E53))),('V06 Calend 01'!H53-('V06 Calend 01'!I53*('V06 Calend 01'!E53-1))),'V06 Calend 01'!I53),0))+IF((170='V06 Calend 01'!D53),'V06 Calend 01'!J53,0))</f>
        <v>0</v>
      </c>
      <c r="GA53" s="2">
        <f>((IF((171='V06 Calend 01'!C53),('V06 Calend 01'!F53+'V06 Calend 01'!G53),0)+IF(AND(('V06 Calend 01'!E53&gt;0),(171&gt;'V06 Calend 01'!C53),(171&lt;'V06 Calend 01'!D53),(MOD((171-'V06 Calend 01'!C53),6)=0),(((171-'V06 Calend 01'!C53)/6)&lt;='V06 Calend 01'!E53)),IF((171=('V06 Calend 01'!C53+(6*'V06 Calend 01'!E53))),('V06 Calend 01'!H53-('V06 Calend 01'!I53*('V06 Calend 01'!E53-1))),'V06 Calend 01'!I53),0))+IF((171='V06 Calend 01'!D53),'V06 Calend 01'!J53,0))</f>
        <v>0</v>
      </c>
      <c r="GB53" s="2">
        <f>((IF((172='V06 Calend 01'!C53),('V06 Calend 01'!F53+'V06 Calend 01'!G53),0)+IF(AND(('V06 Calend 01'!E53&gt;0),(172&gt;'V06 Calend 01'!C53),(172&lt;'V06 Calend 01'!D53),(MOD((172-'V06 Calend 01'!C53),6)=0),(((172-'V06 Calend 01'!C53)/6)&lt;='V06 Calend 01'!E53)),IF((172=('V06 Calend 01'!C53+(6*'V06 Calend 01'!E53))),('V06 Calend 01'!H53-('V06 Calend 01'!I53*('V06 Calend 01'!E53-1))),'V06 Calend 01'!I53),0))+IF((172='V06 Calend 01'!D53),'V06 Calend 01'!J53,0))</f>
        <v>0</v>
      </c>
      <c r="GC53" s="2">
        <f>((IF((173='V06 Calend 01'!C53),('V06 Calend 01'!F53+'V06 Calend 01'!G53),0)+IF(AND(('V06 Calend 01'!E53&gt;0),(173&gt;'V06 Calend 01'!C53),(173&lt;'V06 Calend 01'!D53),(MOD((173-'V06 Calend 01'!C53),6)=0),(((173-'V06 Calend 01'!C53)/6)&lt;='V06 Calend 01'!E53)),IF((173=('V06 Calend 01'!C53+(6*'V06 Calend 01'!E53))),('V06 Calend 01'!H53-('V06 Calend 01'!I53*('V06 Calend 01'!E53-1))),'V06 Calend 01'!I53),0))+IF((173='V06 Calend 01'!D53),'V06 Calend 01'!J53,0))</f>
        <v>0</v>
      </c>
      <c r="GD53" s="2">
        <f>((IF((174='V06 Calend 01'!C53),('V06 Calend 01'!F53+'V06 Calend 01'!G53),0)+IF(AND(('V06 Calend 01'!E53&gt;0),(174&gt;'V06 Calend 01'!C53),(174&lt;'V06 Calend 01'!D53),(MOD((174-'V06 Calend 01'!C53),6)=0),(((174-'V06 Calend 01'!C53)/6)&lt;='V06 Calend 01'!E53)),IF((174=('V06 Calend 01'!C53+(6*'V06 Calend 01'!E53))),('V06 Calend 01'!H53-('V06 Calend 01'!I53*('V06 Calend 01'!E53-1))),'V06 Calend 01'!I53),0))+IF((174='V06 Calend 01'!D53),'V06 Calend 01'!J53,0))</f>
        <v>0</v>
      </c>
      <c r="GE53" s="2">
        <f>((IF((175='V06 Calend 01'!C53),('V06 Calend 01'!F53+'V06 Calend 01'!G53),0)+IF(AND(('V06 Calend 01'!E53&gt;0),(175&gt;'V06 Calend 01'!C53),(175&lt;'V06 Calend 01'!D53),(MOD((175-'V06 Calend 01'!C53),6)=0),(((175-'V06 Calend 01'!C53)/6)&lt;='V06 Calend 01'!E53)),IF((175=('V06 Calend 01'!C53+(6*'V06 Calend 01'!E53))),('V06 Calend 01'!H53-('V06 Calend 01'!I53*('V06 Calend 01'!E53-1))),'V06 Calend 01'!I53),0))+IF((175='V06 Calend 01'!D53),'V06 Calend 01'!J53,0))</f>
        <v>0</v>
      </c>
      <c r="GF53" s="2">
        <f>((IF((176='V06 Calend 01'!C53),('V06 Calend 01'!F53+'V06 Calend 01'!G53),0)+IF(AND(('V06 Calend 01'!E53&gt;0),(176&gt;'V06 Calend 01'!C53),(176&lt;'V06 Calend 01'!D53),(MOD((176-'V06 Calend 01'!C53),6)=0),(((176-'V06 Calend 01'!C53)/6)&lt;='V06 Calend 01'!E53)),IF((176=('V06 Calend 01'!C53+(6*'V06 Calend 01'!E53))),('V06 Calend 01'!H53-('V06 Calend 01'!I53*('V06 Calend 01'!E53-1))),'V06 Calend 01'!I53),0))+IF((176='V06 Calend 01'!D53),'V06 Calend 01'!J53,0))</f>
        <v>0</v>
      </c>
      <c r="GG53" s="2">
        <f>((IF((177='V06 Calend 01'!C53),('V06 Calend 01'!F53+'V06 Calend 01'!G53),0)+IF(AND(('V06 Calend 01'!E53&gt;0),(177&gt;'V06 Calend 01'!C53),(177&lt;'V06 Calend 01'!D53),(MOD((177-'V06 Calend 01'!C53),6)=0),(((177-'V06 Calend 01'!C53)/6)&lt;='V06 Calend 01'!E53)),IF((177=('V06 Calend 01'!C53+(6*'V06 Calend 01'!E53))),('V06 Calend 01'!H53-('V06 Calend 01'!I53*('V06 Calend 01'!E53-1))),'V06 Calend 01'!I53),0))+IF((177='V06 Calend 01'!D53),'V06 Calend 01'!J53,0))</f>
        <v>0</v>
      </c>
      <c r="GH53" s="2">
        <f>((IF((178='V06 Calend 01'!C53),('V06 Calend 01'!F53+'V06 Calend 01'!G53),0)+IF(AND(('V06 Calend 01'!E53&gt;0),(178&gt;'V06 Calend 01'!C53),(178&lt;'V06 Calend 01'!D53),(MOD((178-'V06 Calend 01'!C53),6)=0),(((178-'V06 Calend 01'!C53)/6)&lt;='V06 Calend 01'!E53)),IF((178=('V06 Calend 01'!C53+(6*'V06 Calend 01'!E53))),('V06 Calend 01'!H53-('V06 Calend 01'!I53*('V06 Calend 01'!E53-1))),'V06 Calend 01'!I53),0))+IF((178='V06 Calend 01'!D53),'V06 Calend 01'!J53,0))</f>
        <v>0</v>
      </c>
      <c r="GI53" s="2">
        <f>((IF((179='V06 Calend 01'!C53),('V06 Calend 01'!F53+'V06 Calend 01'!G53),0)+IF(AND(('V06 Calend 01'!E53&gt;0),(179&gt;'V06 Calend 01'!C53),(179&lt;'V06 Calend 01'!D53),(MOD((179-'V06 Calend 01'!C53),6)=0),(((179-'V06 Calend 01'!C53)/6)&lt;='V06 Calend 01'!E53)),IF((179=('V06 Calend 01'!C53+(6*'V06 Calend 01'!E53))),('V06 Calend 01'!H53-('V06 Calend 01'!I53*('V06 Calend 01'!E53-1))),'V06 Calend 01'!I53),0))+IF((179='V06 Calend 01'!D53),'V06 Calend 01'!J53,0))</f>
        <v>0</v>
      </c>
      <c r="GJ53" s="2">
        <f>((IF((180='V06 Calend 01'!C53),('V06 Calend 01'!F53+'V06 Calend 01'!G53),0)+IF(AND(('V06 Calend 01'!E53&gt;0),(180&gt;'V06 Calend 01'!C53),(180&lt;'V06 Calend 01'!D53),(MOD((180-'V06 Calend 01'!C53),6)=0),(((180-'V06 Calend 01'!C53)/6)&lt;='V06 Calend 01'!E53)),IF((180=('V06 Calend 01'!C53+(6*'V06 Calend 01'!E53))),('V06 Calend 01'!H53-('V06 Calend 01'!I53*('V06 Calend 01'!E53-1))),'V06 Calend 01'!I53),0))+IF((180='V06 Calend 01'!D53),'V06 Calend 01'!J53,0))</f>
        <v>0</v>
      </c>
    </row>
    <row r="54" spans="1:192">
      <c r="A54" s="3" t="str">
        <f>'V06 Unidades'!$A$54</f>
        <v>610</v>
      </c>
      <c r="B54" s="2">
        <f>'V06 Unidades'!$H$54</f>
        <v>670350.92</v>
      </c>
      <c r="C54" s="4">
        <f>('V06 Unidades'!$I$54+'V06 Controlos'!$B$37)</f>
        <v>7</v>
      </c>
      <c r="D54" s="4">
        <f>IF(('V06 Controlos'!$B$38&gt;0),MAX(('V06 Unidades'!$L$54+'V06 Controlos'!$B$37),(30+'V06 Controlos'!$B$38)),('V06 Unidades'!$L$54+'V06 Controlos'!$B$37))</f>
        <v>29</v>
      </c>
      <c r="E54" s="4">
        <f>MAX(0,INT(((('V06 Calend 01'!D54-'V06 Calend 01'!C54)-1)/6)))</f>
        <v>3</v>
      </c>
      <c r="F54" s="2">
        <f>ROUND(('V06 Calend 01'!B54*0.05),2)</f>
        <v>33517.55</v>
      </c>
      <c r="G54" s="2">
        <f>ROUND(('V06 Calend 01'!B54*0.2),2)</f>
        <v>134070.18</v>
      </c>
      <c r="H54" s="2">
        <f>ROUND(('V06 Calend 01'!B54*0.55),2)</f>
        <v>368693.01</v>
      </c>
      <c r="I54" s="2">
        <f>ROUND(('V06 Calend 01'!H54/MAX(1,'V06 Calend 01'!E54)),2)</f>
        <v>122897.67</v>
      </c>
      <c r="J54" s="2">
        <f>((('V06 Calend 01'!B54-'V06 Calend 01'!F54)-'V06 Calend 01'!G54)-'V06 Calend 01'!H54)</f>
        <v>134070.18</v>
      </c>
      <c r="K54" s="2">
        <f>('V06 Calend 01'!B54*0.025)</f>
        <v>16758.773</v>
      </c>
      <c r="L54" t="s">
        <v>378</v>
      </c>
      <c r="M54" s="2">
        <f>((IF((1='V06 Calend 01'!C54),('V06 Calend 01'!F54+'V06 Calend 01'!G54),0)+IF(AND(('V06 Calend 01'!E54&gt;0),(1&gt;'V06 Calend 01'!C54),(1&lt;'V06 Calend 01'!D54),(MOD((1-'V06 Calend 01'!C54),6)=0),(((1-'V06 Calend 01'!C54)/6)&lt;='V06 Calend 01'!E54)),IF((1=('V06 Calend 01'!C54+(6*'V06 Calend 01'!E54))),('V06 Calend 01'!H54-('V06 Calend 01'!I54*('V06 Calend 01'!E54-1))),'V06 Calend 01'!I54),0))+IF((1='V06 Calend 01'!D54),'V06 Calend 01'!J54,0))</f>
        <v>0</v>
      </c>
      <c r="N54" s="2">
        <f>((IF((2='V06 Calend 01'!C54),('V06 Calend 01'!F54+'V06 Calend 01'!G54),0)+IF(AND(('V06 Calend 01'!E54&gt;0),(2&gt;'V06 Calend 01'!C54),(2&lt;'V06 Calend 01'!D54),(MOD((2-'V06 Calend 01'!C54),6)=0),(((2-'V06 Calend 01'!C54)/6)&lt;='V06 Calend 01'!E54)),IF((2=('V06 Calend 01'!C54+(6*'V06 Calend 01'!E54))),('V06 Calend 01'!H54-('V06 Calend 01'!I54*('V06 Calend 01'!E54-1))),'V06 Calend 01'!I54),0))+IF((2='V06 Calend 01'!D54),'V06 Calend 01'!J54,0))</f>
        <v>0</v>
      </c>
      <c r="O54" s="2">
        <f>((IF((3='V06 Calend 01'!C54),('V06 Calend 01'!F54+'V06 Calend 01'!G54),0)+IF(AND(('V06 Calend 01'!E54&gt;0),(3&gt;'V06 Calend 01'!C54),(3&lt;'V06 Calend 01'!D54),(MOD((3-'V06 Calend 01'!C54),6)=0),(((3-'V06 Calend 01'!C54)/6)&lt;='V06 Calend 01'!E54)),IF((3=('V06 Calend 01'!C54+(6*'V06 Calend 01'!E54))),('V06 Calend 01'!H54-('V06 Calend 01'!I54*('V06 Calend 01'!E54-1))),'V06 Calend 01'!I54),0))+IF((3='V06 Calend 01'!D54),'V06 Calend 01'!J54,0))</f>
        <v>0</v>
      </c>
      <c r="P54" s="2">
        <f>((IF((4='V06 Calend 01'!C54),('V06 Calend 01'!F54+'V06 Calend 01'!G54),0)+IF(AND(('V06 Calend 01'!E54&gt;0),(4&gt;'V06 Calend 01'!C54),(4&lt;'V06 Calend 01'!D54),(MOD((4-'V06 Calend 01'!C54),6)=0),(((4-'V06 Calend 01'!C54)/6)&lt;='V06 Calend 01'!E54)),IF((4=('V06 Calend 01'!C54+(6*'V06 Calend 01'!E54))),('V06 Calend 01'!H54-('V06 Calend 01'!I54*('V06 Calend 01'!E54-1))),'V06 Calend 01'!I54),0))+IF((4='V06 Calend 01'!D54),'V06 Calend 01'!J54,0))</f>
        <v>0</v>
      </c>
      <c r="Q54" s="2">
        <f>((IF((5='V06 Calend 01'!C54),('V06 Calend 01'!F54+'V06 Calend 01'!G54),0)+IF(AND(('V06 Calend 01'!E54&gt;0),(5&gt;'V06 Calend 01'!C54),(5&lt;'V06 Calend 01'!D54),(MOD((5-'V06 Calend 01'!C54),6)=0),(((5-'V06 Calend 01'!C54)/6)&lt;='V06 Calend 01'!E54)),IF((5=('V06 Calend 01'!C54+(6*'V06 Calend 01'!E54))),('V06 Calend 01'!H54-('V06 Calend 01'!I54*('V06 Calend 01'!E54-1))),'V06 Calend 01'!I54),0))+IF((5='V06 Calend 01'!D54),'V06 Calend 01'!J54,0))</f>
        <v>0</v>
      </c>
      <c r="R54" s="2">
        <f>((IF((6='V06 Calend 01'!C54),('V06 Calend 01'!F54+'V06 Calend 01'!G54),0)+IF(AND(('V06 Calend 01'!E54&gt;0),(6&gt;'V06 Calend 01'!C54),(6&lt;'V06 Calend 01'!D54),(MOD((6-'V06 Calend 01'!C54),6)=0),(((6-'V06 Calend 01'!C54)/6)&lt;='V06 Calend 01'!E54)),IF((6=('V06 Calend 01'!C54+(6*'V06 Calend 01'!E54))),('V06 Calend 01'!H54-('V06 Calend 01'!I54*('V06 Calend 01'!E54-1))),'V06 Calend 01'!I54),0))+IF((6='V06 Calend 01'!D54),'V06 Calend 01'!J54,0))</f>
        <v>0</v>
      </c>
      <c r="S54" s="2">
        <f>((IF((7='V06 Calend 01'!C54),('V06 Calend 01'!F54+'V06 Calend 01'!G54),0)+IF(AND(('V06 Calend 01'!E54&gt;0),(7&gt;'V06 Calend 01'!C54),(7&lt;'V06 Calend 01'!D54),(MOD((7-'V06 Calend 01'!C54),6)=0),(((7-'V06 Calend 01'!C54)/6)&lt;='V06 Calend 01'!E54)),IF((7=('V06 Calend 01'!C54+(6*'V06 Calend 01'!E54))),('V06 Calend 01'!H54-('V06 Calend 01'!I54*('V06 Calend 01'!E54-1))),'V06 Calend 01'!I54),0))+IF((7='V06 Calend 01'!D54),'V06 Calend 01'!J54,0))</f>
        <v>167587.72999999998</v>
      </c>
      <c r="T54" s="2">
        <f>((IF((8='V06 Calend 01'!C54),('V06 Calend 01'!F54+'V06 Calend 01'!G54),0)+IF(AND(('V06 Calend 01'!E54&gt;0),(8&gt;'V06 Calend 01'!C54),(8&lt;'V06 Calend 01'!D54),(MOD((8-'V06 Calend 01'!C54),6)=0),(((8-'V06 Calend 01'!C54)/6)&lt;='V06 Calend 01'!E54)),IF((8=('V06 Calend 01'!C54+(6*'V06 Calend 01'!E54))),('V06 Calend 01'!H54-('V06 Calend 01'!I54*('V06 Calend 01'!E54-1))),'V06 Calend 01'!I54),0))+IF((8='V06 Calend 01'!D54),'V06 Calend 01'!J54,0))</f>
        <v>0</v>
      </c>
      <c r="U54" s="2">
        <f>((IF((9='V06 Calend 01'!C54),('V06 Calend 01'!F54+'V06 Calend 01'!G54),0)+IF(AND(('V06 Calend 01'!E54&gt;0),(9&gt;'V06 Calend 01'!C54),(9&lt;'V06 Calend 01'!D54),(MOD((9-'V06 Calend 01'!C54),6)=0),(((9-'V06 Calend 01'!C54)/6)&lt;='V06 Calend 01'!E54)),IF((9=('V06 Calend 01'!C54+(6*'V06 Calend 01'!E54))),('V06 Calend 01'!H54-('V06 Calend 01'!I54*('V06 Calend 01'!E54-1))),'V06 Calend 01'!I54),0))+IF((9='V06 Calend 01'!D54),'V06 Calend 01'!J54,0))</f>
        <v>0</v>
      </c>
      <c r="V54" s="2">
        <f>((IF((10='V06 Calend 01'!C54),('V06 Calend 01'!F54+'V06 Calend 01'!G54),0)+IF(AND(('V06 Calend 01'!E54&gt;0),(10&gt;'V06 Calend 01'!C54),(10&lt;'V06 Calend 01'!D54),(MOD((10-'V06 Calend 01'!C54),6)=0),(((10-'V06 Calend 01'!C54)/6)&lt;='V06 Calend 01'!E54)),IF((10=('V06 Calend 01'!C54+(6*'V06 Calend 01'!E54))),('V06 Calend 01'!H54-('V06 Calend 01'!I54*('V06 Calend 01'!E54-1))),'V06 Calend 01'!I54),0))+IF((10='V06 Calend 01'!D54),'V06 Calend 01'!J54,0))</f>
        <v>0</v>
      </c>
      <c r="W54" s="2">
        <f>((IF((11='V06 Calend 01'!C54),('V06 Calend 01'!F54+'V06 Calend 01'!G54),0)+IF(AND(('V06 Calend 01'!E54&gt;0),(11&gt;'V06 Calend 01'!C54),(11&lt;'V06 Calend 01'!D54),(MOD((11-'V06 Calend 01'!C54),6)=0),(((11-'V06 Calend 01'!C54)/6)&lt;='V06 Calend 01'!E54)),IF((11=('V06 Calend 01'!C54+(6*'V06 Calend 01'!E54))),('V06 Calend 01'!H54-('V06 Calend 01'!I54*('V06 Calend 01'!E54-1))),'V06 Calend 01'!I54),0))+IF((11='V06 Calend 01'!D54),'V06 Calend 01'!J54,0))</f>
        <v>0</v>
      </c>
      <c r="X54" s="2">
        <f>((IF((12='V06 Calend 01'!C54),('V06 Calend 01'!F54+'V06 Calend 01'!G54),0)+IF(AND(('V06 Calend 01'!E54&gt;0),(12&gt;'V06 Calend 01'!C54),(12&lt;'V06 Calend 01'!D54),(MOD((12-'V06 Calend 01'!C54),6)=0),(((12-'V06 Calend 01'!C54)/6)&lt;='V06 Calend 01'!E54)),IF((12=('V06 Calend 01'!C54+(6*'V06 Calend 01'!E54))),('V06 Calend 01'!H54-('V06 Calend 01'!I54*('V06 Calend 01'!E54-1))),'V06 Calend 01'!I54),0))+IF((12='V06 Calend 01'!D54),'V06 Calend 01'!J54,0))</f>
        <v>0</v>
      </c>
      <c r="Y54" s="2">
        <f>((IF((13='V06 Calend 01'!C54),('V06 Calend 01'!F54+'V06 Calend 01'!G54),0)+IF(AND(('V06 Calend 01'!E54&gt;0),(13&gt;'V06 Calend 01'!C54),(13&lt;'V06 Calend 01'!D54),(MOD((13-'V06 Calend 01'!C54),6)=0),(((13-'V06 Calend 01'!C54)/6)&lt;='V06 Calend 01'!E54)),IF((13=('V06 Calend 01'!C54+(6*'V06 Calend 01'!E54))),('V06 Calend 01'!H54-('V06 Calend 01'!I54*('V06 Calend 01'!E54-1))),'V06 Calend 01'!I54),0))+IF((13='V06 Calend 01'!D54),'V06 Calend 01'!J54,0))</f>
        <v>122897.67</v>
      </c>
      <c r="Z54" s="2">
        <f>((IF((14='V06 Calend 01'!C54),('V06 Calend 01'!F54+'V06 Calend 01'!G54),0)+IF(AND(('V06 Calend 01'!E54&gt;0),(14&gt;'V06 Calend 01'!C54),(14&lt;'V06 Calend 01'!D54),(MOD((14-'V06 Calend 01'!C54),6)=0),(((14-'V06 Calend 01'!C54)/6)&lt;='V06 Calend 01'!E54)),IF((14=('V06 Calend 01'!C54+(6*'V06 Calend 01'!E54))),('V06 Calend 01'!H54-('V06 Calend 01'!I54*('V06 Calend 01'!E54-1))),'V06 Calend 01'!I54),0))+IF((14='V06 Calend 01'!D54),'V06 Calend 01'!J54,0))</f>
        <v>0</v>
      </c>
      <c r="AA54" s="2">
        <f>((IF((15='V06 Calend 01'!C54),('V06 Calend 01'!F54+'V06 Calend 01'!G54),0)+IF(AND(('V06 Calend 01'!E54&gt;0),(15&gt;'V06 Calend 01'!C54),(15&lt;'V06 Calend 01'!D54),(MOD((15-'V06 Calend 01'!C54),6)=0),(((15-'V06 Calend 01'!C54)/6)&lt;='V06 Calend 01'!E54)),IF((15=('V06 Calend 01'!C54+(6*'V06 Calend 01'!E54))),('V06 Calend 01'!H54-('V06 Calend 01'!I54*('V06 Calend 01'!E54-1))),'V06 Calend 01'!I54),0))+IF((15='V06 Calend 01'!D54),'V06 Calend 01'!J54,0))</f>
        <v>0</v>
      </c>
      <c r="AB54" s="2">
        <f>((IF((16='V06 Calend 01'!C54),('V06 Calend 01'!F54+'V06 Calend 01'!G54),0)+IF(AND(('V06 Calend 01'!E54&gt;0),(16&gt;'V06 Calend 01'!C54),(16&lt;'V06 Calend 01'!D54),(MOD((16-'V06 Calend 01'!C54),6)=0),(((16-'V06 Calend 01'!C54)/6)&lt;='V06 Calend 01'!E54)),IF((16=('V06 Calend 01'!C54+(6*'V06 Calend 01'!E54))),('V06 Calend 01'!H54-('V06 Calend 01'!I54*('V06 Calend 01'!E54-1))),'V06 Calend 01'!I54),0))+IF((16='V06 Calend 01'!D54),'V06 Calend 01'!J54,0))</f>
        <v>0</v>
      </c>
      <c r="AC54" s="2">
        <f>((IF((17='V06 Calend 01'!C54),('V06 Calend 01'!F54+'V06 Calend 01'!G54),0)+IF(AND(('V06 Calend 01'!E54&gt;0),(17&gt;'V06 Calend 01'!C54),(17&lt;'V06 Calend 01'!D54),(MOD((17-'V06 Calend 01'!C54),6)=0),(((17-'V06 Calend 01'!C54)/6)&lt;='V06 Calend 01'!E54)),IF((17=('V06 Calend 01'!C54+(6*'V06 Calend 01'!E54))),('V06 Calend 01'!H54-('V06 Calend 01'!I54*('V06 Calend 01'!E54-1))),'V06 Calend 01'!I54),0))+IF((17='V06 Calend 01'!D54),'V06 Calend 01'!J54,0))</f>
        <v>0</v>
      </c>
      <c r="AD54" s="2">
        <f>((IF((18='V06 Calend 01'!C54),('V06 Calend 01'!F54+'V06 Calend 01'!G54),0)+IF(AND(('V06 Calend 01'!E54&gt;0),(18&gt;'V06 Calend 01'!C54),(18&lt;'V06 Calend 01'!D54),(MOD((18-'V06 Calend 01'!C54),6)=0),(((18-'V06 Calend 01'!C54)/6)&lt;='V06 Calend 01'!E54)),IF((18=('V06 Calend 01'!C54+(6*'V06 Calend 01'!E54))),('V06 Calend 01'!H54-('V06 Calend 01'!I54*('V06 Calend 01'!E54-1))),'V06 Calend 01'!I54),0))+IF((18='V06 Calend 01'!D54),'V06 Calend 01'!J54,0))</f>
        <v>0</v>
      </c>
      <c r="AE54" s="2">
        <f>((IF((19='V06 Calend 01'!C54),('V06 Calend 01'!F54+'V06 Calend 01'!G54),0)+IF(AND(('V06 Calend 01'!E54&gt;0),(19&gt;'V06 Calend 01'!C54),(19&lt;'V06 Calend 01'!D54),(MOD((19-'V06 Calend 01'!C54),6)=0),(((19-'V06 Calend 01'!C54)/6)&lt;='V06 Calend 01'!E54)),IF((19=('V06 Calend 01'!C54+(6*'V06 Calend 01'!E54))),('V06 Calend 01'!H54-('V06 Calend 01'!I54*('V06 Calend 01'!E54-1))),'V06 Calend 01'!I54),0))+IF((19='V06 Calend 01'!D54),'V06 Calend 01'!J54,0))</f>
        <v>122897.67</v>
      </c>
      <c r="AF54" s="2">
        <f>((IF((20='V06 Calend 01'!C54),('V06 Calend 01'!F54+'V06 Calend 01'!G54),0)+IF(AND(('V06 Calend 01'!E54&gt;0),(20&gt;'V06 Calend 01'!C54),(20&lt;'V06 Calend 01'!D54),(MOD((20-'V06 Calend 01'!C54),6)=0),(((20-'V06 Calend 01'!C54)/6)&lt;='V06 Calend 01'!E54)),IF((20=('V06 Calend 01'!C54+(6*'V06 Calend 01'!E54))),('V06 Calend 01'!H54-('V06 Calend 01'!I54*('V06 Calend 01'!E54-1))),'V06 Calend 01'!I54),0))+IF((20='V06 Calend 01'!D54),'V06 Calend 01'!J54,0))</f>
        <v>0</v>
      </c>
      <c r="AG54" s="2">
        <f>((IF((21='V06 Calend 01'!C54),('V06 Calend 01'!F54+'V06 Calend 01'!G54),0)+IF(AND(('V06 Calend 01'!E54&gt;0),(21&gt;'V06 Calend 01'!C54),(21&lt;'V06 Calend 01'!D54),(MOD((21-'V06 Calend 01'!C54),6)=0),(((21-'V06 Calend 01'!C54)/6)&lt;='V06 Calend 01'!E54)),IF((21=('V06 Calend 01'!C54+(6*'V06 Calend 01'!E54))),('V06 Calend 01'!H54-('V06 Calend 01'!I54*('V06 Calend 01'!E54-1))),'V06 Calend 01'!I54),0))+IF((21='V06 Calend 01'!D54),'V06 Calend 01'!J54,0))</f>
        <v>0</v>
      </c>
      <c r="AH54" s="2">
        <f>((IF((22='V06 Calend 01'!C54),('V06 Calend 01'!F54+'V06 Calend 01'!G54),0)+IF(AND(('V06 Calend 01'!E54&gt;0),(22&gt;'V06 Calend 01'!C54),(22&lt;'V06 Calend 01'!D54),(MOD((22-'V06 Calend 01'!C54),6)=0),(((22-'V06 Calend 01'!C54)/6)&lt;='V06 Calend 01'!E54)),IF((22=('V06 Calend 01'!C54+(6*'V06 Calend 01'!E54))),('V06 Calend 01'!H54-('V06 Calend 01'!I54*('V06 Calend 01'!E54-1))),'V06 Calend 01'!I54),0))+IF((22='V06 Calend 01'!D54),'V06 Calend 01'!J54,0))</f>
        <v>0</v>
      </c>
      <c r="AI54" s="2">
        <f>((IF((23='V06 Calend 01'!C54),('V06 Calend 01'!F54+'V06 Calend 01'!G54),0)+IF(AND(('V06 Calend 01'!E54&gt;0),(23&gt;'V06 Calend 01'!C54),(23&lt;'V06 Calend 01'!D54),(MOD((23-'V06 Calend 01'!C54),6)=0),(((23-'V06 Calend 01'!C54)/6)&lt;='V06 Calend 01'!E54)),IF((23=('V06 Calend 01'!C54+(6*'V06 Calend 01'!E54))),('V06 Calend 01'!H54-('V06 Calend 01'!I54*('V06 Calend 01'!E54-1))),'V06 Calend 01'!I54),0))+IF((23='V06 Calend 01'!D54),'V06 Calend 01'!J54,0))</f>
        <v>0</v>
      </c>
      <c r="AJ54" s="2">
        <f>((IF((24='V06 Calend 01'!C54),('V06 Calend 01'!F54+'V06 Calend 01'!G54),0)+IF(AND(('V06 Calend 01'!E54&gt;0),(24&gt;'V06 Calend 01'!C54),(24&lt;'V06 Calend 01'!D54),(MOD((24-'V06 Calend 01'!C54),6)=0),(((24-'V06 Calend 01'!C54)/6)&lt;='V06 Calend 01'!E54)),IF((24=('V06 Calend 01'!C54+(6*'V06 Calend 01'!E54))),('V06 Calend 01'!H54-('V06 Calend 01'!I54*('V06 Calend 01'!E54-1))),'V06 Calend 01'!I54),0))+IF((24='V06 Calend 01'!D54),'V06 Calend 01'!J54,0))</f>
        <v>0</v>
      </c>
      <c r="AK54" s="2">
        <f>((IF((25='V06 Calend 01'!C54),('V06 Calend 01'!F54+'V06 Calend 01'!G54),0)+IF(AND(('V06 Calend 01'!E54&gt;0),(25&gt;'V06 Calend 01'!C54),(25&lt;'V06 Calend 01'!D54),(MOD((25-'V06 Calend 01'!C54),6)=0),(((25-'V06 Calend 01'!C54)/6)&lt;='V06 Calend 01'!E54)),IF((25=('V06 Calend 01'!C54+(6*'V06 Calend 01'!E54))),('V06 Calend 01'!H54-('V06 Calend 01'!I54*('V06 Calend 01'!E54-1))),'V06 Calend 01'!I54),0))+IF((25='V06 Calend 01'!D54),'V06 Calend 01'!J54,0))</f>
        <v>122897.67000000001</v>
      </c>
      <c r="AL54" s="2">
        <f>((IF((26='V06 Calend 01'!C54),('V06 Calend 01'!F54+'V06 Calend 01'!G54),0)+IF(AND(('V06 Calend 01'!E54&gt;0),(26&gt;'V06 Calend 01'!C54),(26&lt;'V06 Calend 01'!D54),(MOD((26-'V06 Calend 01'!C54),6)=0),(((26-'V06 Calend 01'!C54)/6)&lt;='V06 Calend 01'!E54)),IF((26=('V06 Calend 01'!C54+(6*'V06 Calend 01'!E54))),('V06 Calend 01'!H54-('V06 Calend 01'!I54*('V06 Calend 01'!E54-1))),'V06 Calend 01'!I54),0))+IF((26='V06 Calend 01'!D54),'V06 Calend 01'!J54,0))</f>
        <v>0</v>
      </c>
      <c r="AM54" s="2">
        <f>((IF((27='V06 Calend 01'!C54),('V06 Calend 01'!F54+'V06 Calend 01'!G54),0)+IF(AND(('V06 Calend 01'!E54&gt;0),(27&gt;'V06 Calend 01'!C54),(27&lt;'V06 Calend 01'!D54),(MOD((27-'V06 Calend 01'!C54),6)=0),(((27-'V06 Calend 01'!C54)/6)&lt;='V06 Calend 01'!E54)),IF((27=('V06 Calend 01'!C54+(6*'V06 Calend 01'!E54))),('V06 Calend 01'!H54-('V06 Calend 01'!I54*('V06 Calend 01'!E54-1))),'V06 Calend 01'!I54),0))+IF((27='V06 Calend 01'!D54),'V06 Calend 01'!J54,0))</f>
        <v>0</v>
      </c>
      <c r="AN54" s="2">
        <f>((IF((28='V06 Calend 01'!C54),('V06 Calend 01'!F54+'V06 Calend 01'!G54),0)+IF(AND(('V06 Calend 01'!E54&gt;0),(28&gt;'V06 Calend 01'!C54),(28&lt;'V06 Calend 01'!D54),(MOD((28-'V06 Calend 01'!C54),6)=0),(((28-'V06 Calend 01'!C54)/6)&lt;='V06 Calend 01'!E54)),IF((28=('V06 Calend 01'!C54+(6*'V06 Calend 01'!E54))),('V06 Calend 01'!H54-('V06 Calend 01'!I54*('V06 Calend 01'!E54-1))),'V06 Calend 01'!I54),0))+IF((28='V06 Calend 01'!D54),'V06 Calend 01'!J54,0))</f>
        <v>0</v>
      </c>
      <c r="AO54" s="2">
        <f>((IF((29='V06 Calend 01'!C54),('V06 Calend 01'!F54+'V06 Calend 01'!G54),0)+IF(AND(('V06 Calend 01'!E54&gt;0),(29&gt;'V06 Calend 01'!C54),(29&lt;'V06 Calend 01'!D54),(MOD((29-'V06 Calend 01'!C54),6)=0),(((29-'V06 Calend 01'!C54)/6)&lt;='V06 Calend 01'!E54)),IF((29=('V06 Calend 01'!C54+(6*'V06 Calend 01'!E54))),('V06 Calend 01'!H54-('V06 Calend 01'!I54*('V06 Calend 01'!E54-1))),'V06 Calend 01'!I54),0))+IF((29='V06 Calend 01'!D54),'V06 Calend 01'!J54,0))</f>
        <v>134070.18</v>
      </c>
      <c r="AP54" s="2">
        <f>((IF((30='V06 Calend 01'!C54),('V06 Calend 01'!F54+'V06 Calend 01'!G54),0)+IF(AND(('V06 Calend 01'!E54&gt;0),(30&gt;'V06 Calend 01'!C54),(30&lt;'V06 Calend 01'!D54),(MOD((30-'V06 Calend 01'!C54),6)=0),(((30-'V06 Calend 01'!C54)/6)&lt;='V06 Calend 01'!E54)),IF((30=('V06 Calend 01'!C54+(6*'V06 Calend 01'!E54))),('V06 Calend 01'!H54-('V06 Calend 01'!I54*('V06 Calend 01'!E54-1))),'V06 Calend 01'!I54),0))+IF((30='V06 Calend 01'!D54),'V06 Calend 01'!J54,0))</f>
        <v>0</v>
      </c>
      <c r="AQ54" s="2">
        <f>((IF((31='V06 Calend 01'!C54),('V06 Calend 01'!F54+'V06 Calend 01'!G54),0)+IF(AND(('V06 Calend 01'!E54&gt;0),(31&gt;'V06 Calend 01'!C54),(31&lt;'V06 Calend 01'!D54),(MOD((31-'V06 Calend 01'!C54),6)=0),(((31-'V06 Calend 01'!C54)/6)&lt;='V06 Calend 01'!E54)),IF((31=('V06 Calend 01'!C54+(6*'V06 Calend 01'!E54))),('V06 Calend 01'!H54-('V06 Calend 01'!I54*('V06 Calend 01'!E54-1))),'V06 Calend 01'!I54),0))+IF((31='V06 Calend 01'!D54),'V06 Calend 01'!J54,0))</f>
        <v>0</v>
      </c>
      <c r="AR54" s="2">
        <f>((IF((32='V06 Calend 01'!C54),('V06 Calend 01'!F54+'V06 Calend 01'!G54),0)+IF(AND(('V06 Calend 01'!E54&gt;0),(32&gt;'V06 Calend 01'!C54),(32&lt;'V06 Calend 01'!D54),(MOD((32-'V06 Calend 01'!C54),6)=0),(((32-'V06 Calend 01'!C54)/6)&lt;='V06 Calend 01'!E54)),IF((32=('V06 Calend 01'!C54+(6*'V06 Calend 01'!E54))),('V06 Calend 01'!H54-('V06 Calend 01'!I54*('V06 Calend 01'!E54-1))),'V06 Calend 01'!I54),0))+IF((32='V06 Calend 01'!D54),'V06 Calend 01'!J54,0))</f>
        <v>0</v>
      </c>
      <c r="AS54" s="2">
        <f>((IF((33='V06 Calend 01'!C54),('V06 Calend 01'!F54+'V06 Calend 01'!G54),0)+IF(AND(('V06 Calend 01'!E54&gt;0),(33&gt;'V06 Calend 01'!C54),(33&lt;'V06 Calend 01'!D54),(MOD((33-'V06 Calend 01'!C54),6)=0),(((33-'V06 Calend 01'!C54)/6)&lt;='V06 Calend 01'!E54)),IF((33=('V06 Calend 01'!C54+(6*'V06 Calend 01'!E54))),('V06 Calend 01'!H54-('V06 Calend 01'!I54*('V06 Calend 01'!E54-1))),'V06 Calend 01'!I54),0))+IF((33='V06 Calend 01'!D54),'V06 Calend 01'!J54,0))</f>
        <v>0</v>
      </c>
      <c r="AT54" s="2">
        <f>((IF((34='V06 Calend 01'!C54),('V06 Calend 01'!F54+'V06 Calend 01'!G54),0)+IF(AND(('V06 Calend 01'!E54&gt;0),(34&gt;'V06 Calend 01'!C54),(34&lt;'V06 Calend 01'!D54),(MOD((34-'V06 Calend 01'!C54),6)=0),(((34-'V06 Calend 01'!C54)/6)&lt;='V06 Calend 01'!E54)),IF((34=('V06 Calend 01'!C54+(6*'V06 Calend 01'!E54))),('V06 Calend 01'!H54-('V06 Calend 01'!I54*('V06 Calend 01'!E54-1))),'V06 Calend 01'!I54),0))+IF((34='V06 Calend 01'!D54),'V06 Calend 01'!J54,0))</f>
        <v>0</v>
      </c>
      <c r="AU54" s="2">
        <f>((IF((35='V06 Calend 01'!C54),('V06 Calend 01'!F54+'V06 Calend 01'!G54),0)+IF(AND(('V06 Calend 01'!E54&gt;0),(35&gt;'V06 Calend 01'!C54),(35&lt;'V06 Calend 01'!D54),(MOD((35-'V06 Calend 01'!C54),6)=0),(((35-'V06 Calend 01'!C54)/6)&lt;='V06 Calend 01'!E54)),IF((35=('V06 Calend 01'!C54+(6*'V06 Calend 01'!E54))),('V06 Calend 01'!H54-('V06 Calend 01'!I54*('V06 Calend 01'!E54-1))),'V06 Calend 01'!I54),0))+IF((35='V06 Calend 01'!D54),'V06 Calend 01'!J54,0))</f>
        <v>0</v>
      </c>
      <c r="AV54" s="2">
        <f>((IF((36='V06 Calend 01'!C54),('V06 Calend 01'!F54+'V06 Calend 01'!G54),0)+IF(AND(('V06 Calend 01'!E54&gt;0),(36&gt;'V06 Calend 01'!C54),(36&lt;'V06 Calend 01'!D54),(MOD((36-'V06 Calend 01'!C54),6)=0),(((36-'V06 Calend 01'!C54)/6)&lt;='V06 Calend 01'!E54)),IF((36=('V06 Calend 01'!C54+(6*'V06 Calend 01'!E54))),('V06 Calend 01'!H54-('V06 Calend 01'!I54*('V06 Calend 01'!E54-1))),'V06 Calend 01'!I54),0))+IF((36='V06 Calend 01'!D54),'V06 Calend 01'!J54,0))</f>
        <v>0</v>
      </c>
      <c r="AW54" s="2">
        <f>((IF((37='V06 Calend 01'!C54),('V06 Calend 01'!F54+'V06 Calend 01'!G54),0)+IF(AND(('V06 Calend 01'!E54&gt;0),(37&gt;'V06 Calend 01'!C54),(37&lt;'V06 Calend 01'!D54),(MOD((37-'V06 Calend 01'!C54),6)=0),(((37-'V06 Calend 01'!C54)/6)&lt;='V06 Calend 01'!E54)),IF((37=('V06 Calend 01'!C54+(6*'V06 Calend 01'!E54))),('V06 Calend 01'!H54-('V06 Calend 01'!I54*('V06 Calend 01'!E54-1))),'V06 Calend 01'!I54),0))+IF((37='V06 Calend 01'!D54),'V06 Calend 01'!J54,0))</f>
        <v>0</v>
      </c>
      <c r="AX54" s="2">
        <f>((IF((38='V06 Calend 01'!C54),('V06 Calend 01'!F54+'V06 Calend 01'!G54),0)+IF(AND(('V06 Calend 01'!E54&gt;0),(38&gt;'V06 Calend 01'!C54),(38&lt;'V06 Calend 01'!D54),(MOD((38-'V06 Calend 01'!C54),6)=0),(((38-'V06 Calend 01'!C54)/6)&lt;='V06 Calend 01'!E54)),IF((38=('V06 Calend 01'!C54+(6*'V06 Calend 01'!E54))),('V06 Calend 01'!H54-('V06 Calend 01'!I54*('V06 Calend 01'!E54-1))),'V06 Calend 01'!I54),0))+IF((38='V06 Calend 01'!D54),'V06 Calend 01'!J54,0))</f>
        <v>0</v>
      </c>
      <c r="AY54" s="2">
        <f>((IF((39='V06 Calend 01'!C54),('V06 Calend 01'!F54+'V06 Calend 01'!G54),0)+IF(AND(('V06 Calend 01'!E54&gt;0),(39&gt;'V06 Calend 01'!C54),(39&lt;'V06 Calend 01'!D54),(MOD((39-'V06 Calend 01'!C54),6)=0),(((39-'V06 Calend 01'!C54)/6)&lt;='V06 Calend 01'!E54)),IF((39=('V06 Calend 01'!C54+(6*'V06 Calend 01'!E54))),('V06 Calend 01'!H54-('V06 Calend 01'!I54*('V06 Calend 01'!E54-1))),'V06 Calend 01'!I54),0))+IF((39='V06 Calend 01'!D54),'V06 Calend 01'!J54,0))</f>
        <v>0</v>
      </c>
      <c r="AZ54" s="2">
        <f>((IF((40='V06 Calend 01'!C54),('V06 Calend 01'!F54+'V06 Calend 01'!G54),0)+IF(AND(('V06 Calend 01'!E54&gt;0),(40&gt;'V06 Calend 01'!C54),(40&lt;'V06 Calend 01'!D54),(MOD((40-'V06 Calend 01'!C54),6)=0),(((40-'V06 Calend 01'!C54)/6)&lt;='V06 Calend 01'!E54)),IF((40=('V06 Calend 01'!C54+(6*'V06 Calend 01'!E54))),('V06 Calend 01'!H54-('V06 Calend 01'!I54*('V06 Calend 01'!E54-1))),'V06 Calend 01'!I54),0))+IF((40='V06 Calend 01'!D54),'V06 Calend 01'!J54,0))</f>
        <v>0</v>
      </c>
      <c r="BA54" s="2">
        <f>((IF((41='V06 Calend 01'!C54),('V06 Calend 01'!F54+'V06 Calend 01'!G54),0)+IF(AND(('V06 Calend 01'!E54&gt;0),(41&gt;'V06 Calend 01'!C54),(41&lt;'V06 Calend 01'!D54),(MOD((41-'V06 Calend 01'!C54),6)=0),(((41-'V06 Calend 01'!C54)/6)&lt;='V06 Calend 01'!E54)),IF((41=('V06 Calend 01'!C54+(6*'V06 Calend 01'!E54))),('V06 Calend 01'!H54-('V06 Calend 01'!I54*('V06 Calend 01'!E54-1))),'V06 Calend 01'!I54),0))+IF((41='V06 Calend 01'!D54),'V06 Calend 01'!J54,0))</f>
        <v>0</v>
      </c>
      <c r="BB54" s="2">
        <f>((IF((42='V06 Calend 01'!C54),('V06 Calend 01'!F54+'V06 Calend 01'!G54),0)+IF(AND(('V06 Calend 01'!E54&gt;0),(42&gt;'V06 Calend 01'!C54),(42&lt;'V06 Calend 01'!D54),(MOD((42-'V06 Calend 01'!C54),6)=0),(((42-'V06 Calend 01'!C54)/6)&lt;='V06 Calend 01'!E54)),IF((42=('V06 Calend 01'!C54+(6*'V06 Calend 01'!E54))),('V06 Calend 01'!H54-('V06 Calend 01'!I54*('V06 Calend 01'!E54-1))),'V06 Calend 01'!I54),0))+IF((42='V06 Calend 01'!D54),'V06 Calend 01'!J54,0))</f>
        <v>0</v>
      </c>
      <c r="BC54" s="2">
        <f>((IF((43='V06 Calend 01'!C54),('V06 Calend 01'!F54+'V06 Calend 01'!G54),0)+IF(AND(('V06 Calend 01'!E54&gt;0),(43&gt;'V06 Calend 01'!C54),(43&lt;'V06 Calend 01'!D54),(MOD((43-'V06 Calend 01'!C54),6)=0),(((43-'V06 Calend 01'!C54)/6)&lt;='V06 Calend 01'!E54)),IF((43=('V06 Calend 01'!C54+(6*'V06 Calend 01'!E54))),('V06 Calend 01'!H54-('V06 Calend 01'!I54*('V06 Calend 01'!E54-1))),'V06 Calend 01'!I54),0))+IF((43='V06 Calend 01'!D54),'V06 Calend 01'!J54,0))</f>
        <v>0</v>
      </c>
      <c r="BD54" s="2">
        <f>((IF((44='V06 Calend 01'!C54),('V06 Calend 01'!F54+'V06 Calend 01'!G54),0)+IF(AND(('V06 Calend 01'!E54&gt;0),(44&gt;'V06 Calend 01'!C54),(44&lt;'V06 Calend 01'!D54),(MOD((44-'V06 Calend 01'!C54),6)=0),(((44-'V06 Calend 01'!C54)/6)&lt;='V06 Calend 01'!E54)),IF((44=('V06 Calend 01'!C54+(6*'V06 Calend 01'!E54))),('V06 Calend 01'!H54-('V06 Calend 01'!I54*('V06 Calend 01'!E54-1))),'V06 Calend 01'!I54),0))+IF((44='V06 Calend 01'!D54),'V06 Calend 01'!J54,0))</f>
        <v>0</v>
      </c>
      <c r="BE54" s="2">
        <f>((IF((45='V06 Calend 01'!C54),('V06 Calend 01'!F54+'V06 Calend 01'!G54),0)+IF(AND(('V06 Calend 01'!E54&gt;0),(45&gt;'V06 Calend 01'!C54),(45&lt;'V06 Calend 01'!D54),(MOD((45-'V06 Calend 01'!C54),6)=0),(((45-'V06 Calend 01'!C54)/6)&lt;='V06 Calend 01'!E54)),IF((45=('V06 Calend 01'!C54+(6*'V06 Calend 01'!E54))),('V06 Calend 01'!H54-('V06 Calend 01'!I54*('V06 Calend 01'!E54-1))),'V06 Calend 01'!I54),0))+IF((45='V06 Calend 01'!D54),'V06 Calend 01'!J54,0))</f>
        <v>0</v>
      </c>
      <c r="BF54" s="2">
        <f>((IF((46='V06 Calend 01'!C54),('V06 Calend 01'!F54+'V06 Calend 01'!G54),0)+IF(AND(('V06 Calend 01'!E54&gt;0),(46&gt;'V06 Calend 01'!C54),(46&lt;'V06 Calend 01'!D54),(MOD((46-'V06 Calend 01'!C54),6)=0),(((46-'V06 Calend 01'!C54)/6)&lt;='V06 Calend 01'!E54)),IF((46=('V06 Calend 01'!C54+(6*'V06 Calend 01'!E54))),('V06 Calend 01'!H54-('V06 Calend 01'!I54*('V06 Calend 01'!E54-1))),'V06 Calend 01'!I54),0))+IF((46='V06 Calend 01'!D54),'V06 Calend 01'!J54,0))</f>
        <v>0</v>
      </c>
      <c r="BG54" s="2">
        <f>((IF((47='V06 Calend 01'!C54),('V06 Calend 01'!F54+'V06 Calend 01'!G54),0)+IF(AND(('V06 Calend 01'!E54&gt;0),(47&gt;'V06 Calend 01'!C54),(47&lt;'V06 Calend 01'!D54),(MOD((47-'V06 Calend 01'!C54),6)=0),(((47-'V06 Calend 01'!C54)/6)&lt;='V06 Calend 01'!E54)),IF((47=('V06 Calend 01'!C54+(6*'V06 Calend 01'!E54))),('V06 Calend 01'!H54-('V06 Calend 01'!I54*('V06 Calend 01'!E54-1))),'V06 Calend 01'!I54),0))+IF((47='V06 Calend 01'!D54),'V06 Calend 01'!J54,0))</f>
        <v>0</v>
      </c>
      <c r="BH54" s="2">
        <f>((IF((48='V06 Calend 01'!C54),('V06 Calend 01'!F54+'V06 Calend 01'!G54),0)+IF(AND(('V06 Calend 01'!E54&gt;0),(48&gt;'V06 Calend 01'!C54),(48&lt;'V06 Calend 01'!D54),(MOD((48-'V06 Calend 01'!C54),6)=0),(((48-'V06 Calend 01'!C54)/6)&lt;='V06 Calend 01'!E54)),IF((48=('V06 Calend 01'!C54+(6*'V06 Calend 01'!E54))),('V06 Calend 01'!H54-('V06 Calend 01'!I54*('V06 Calend 01'!E54-1))),'V06 Calend 01'!I54),0))+IF((48='V06 Calend 01'!D54),'V06 Calend 01'!J54,0))</f>
        <v>0</v>
      </c>
      <c r="BI54" s="2">
        <f>((IF((49='V06 Calend 01'!C54),('V06 Calend 01'!F54+'V06 Calend 01'!G54),0)+IF(AND(('V06 Calend 01'!E54&gt;0),(49&gt;'V06 Calend 01'!C54),(49&lt;'V06 Calend 01'!D54),(MOD((49-'V06 Calend 01'!C54),6)=0),(((49-'V06 Calend 01'!C54)/6)&lt;='V06 Calend 01'!E54)),IF((49=('V06 Calend 01'!C54+(6*'V06 Calend 01'!E54))),('V06 Calend 01'!H54-('V06 Calend 01'!I54*('V06 Calend 01'!E54-1))),'V06 Calend 01'!I54),0))+IF((49='V06 Calend 01'!D54),'V06 Calend 01'!J54,0))</f>
        <v>0</v>
      </c>
      <c r="BJ54" s="2">
        <f>((IF((50='V06 Calend 01'!C54),('V06 Calend 01'!F54+'V06 Calend 01'!G54),0)+IF(AND(('V06 Calend 01'!E54&gt;0),(50&gt;'V06 Calend 01'!C54),(50&lt;'V06 Calend 01'!D54),(MOD((50-'V06 Calend 01'!C54),6)=0),(((50-'V06 Calend 01'!C54)/6)&lt;='V06 Calend 01'!E54)),IF((50=('V06 Calend 01'!C54+(6*'V06 Calend 01'!E54))),('V06 Calend 01'!H54-('V06 Calend 01'!I54*('V06 Calend 01'!E54-1))),'V06 Calend 01'!I54),0))+IF((50='V06 Calend 01'!D54),'V06 Calend 01'!J54,0))</f>
        <v>0</v>
      </c>
      <c r="BK54" s="2">
        <f>((IF((51='V06 Calend 01'!C54),('V06 Calend 01'!F54+'V06 Calend 01'!G54),0)+IF(AND(('V06 Calend 01'!E54&gt;0),(51&gt;'V06 Calend 01'!C54),(51&lt;'V06 Calend 01'!D54),(MOD((51-'V06 Calend 01'!C54),6)=0),(((51-'V06 Calend 01'!C54)/6)&lt;='V06 Calend 01'!E54)),IF((51=('V06 Calend 01'!C54+(6*'V06 Calend 01'!E54))),('V06 Calend 01'!H54-('V06 Calend 01'!I54*('V06 Calend 01'!E54-1))),'V06 Calend 01'!I54),0))+IF((51='V06 Calend 01'!D54),'V06 Calend 01'!J54,0))</f>
        <v>0</v>
      </c>
      <c r="BL54" s="2">
        <f>((IF((52='V06 Calend 01'!C54),('V06 Calend 01'!F54+'V06 Calend 01'!G54),0)+IF(AND(('V06 Calend 01'!E54&gt;0),(52&gt;'V06 Calend 01'!C54),(52&lt;'V06 Calend 01'!D54),(MOD((52-'V06 Calend 01'!C54),6)=0),(((52-'V06 Calend 01'!C54)/6)&lt;='V06 Calend 01'!E54)),IF((52=('V06 Calend 01'!C54+(6*'V06 Calend 01'!E54))),('V06 Calend 01'!H54-('V06 Calend 01'!I54*('V06 Calend 01'!E54-1))),'V06 Calend 01'!I54),0))+IF((52='V06 Calend 01'!D54),'V06 Calend 01'!J54,0))</f>
        <v>0</v>
      </c>
      <c r="BM54" s="2">
        <f>((IF((53='V06 Calend 01'!C54),('V06 Calend 01'!F54+'V06 Calend 01'!G54),0)+IF(AND(('V06 Calend 01'!E54&gt;0),(53&gt;'V06 Calend 01'!C54),(53&lt;'V06 Calend 01'!D54),(MOD((53-'V06 Calend 01'!C54),6)=0),(((53-'V06 Calend 01'!C54)/6)&lt;='V06 Calend 01'!E54)),IF((53=('V06 Calend 01'!C54+(6*'V06 Calend 01'!E54))),('V06 Calend 01'!H54-('V06 Calend 01'!I54*('V06 Calend 01'!E54-1))),'V06 Calend 01'!I54),0))+IF((53='V06 Calend 01'!D54),'V06 Calend 01'!J54,0))</f>
        <v>0</v>
      </c>
      <c r="BN54" s="2">
        <f>((IF((54='V06 Calend 01'!C54),('V06 Calend 01'!F54+'V06 Calend 01'!G54),0)+IF(AND(('V06 Calend 01'!E54&gt;0),(54&gt;'V06 Calend 01'!C54),(54&lt;'V06 Calend 01'!D54),(MOD((54-'V06 Calend 01'!C54),6)=0),(((54-'V06 Calend 01'!C54)/6)&lt;='V06 Calend 01'!E54)),IF((54=('V06 Calend 01'!C54+(6*'V06 Calend 01'!E54))),('V06 Calend 01'!H54-('V06 Calend 01'!I54*('V06 Calend 01'!E54-1))),'V06 Calend 01'!I54),0))+IF((54='V06 Calend 01'!D54),'V06 Calend 01'!J54,0))</f>
        <v>0</v>
      </c>
      <c r="BO54" s="2">
        <f>((IF((55='V06 Calend 01'!C54),('V06 Calend 01'!F54+'V06 Calend 01'!G54),0)+IF(AND(('V06 Calend 01'!E54&gt;0),(55&gt;'V06 Calend 01'!C54),(55&lt;'V06 Calend 01'!D54),(MOD((55-'V06 Calend 01'!C54),6)=0),(((55-'V06 Calend 01'!C54)/6)&lt;='V06 Calend 01'!E54)),IF((55=('V06 Calend 01'!C54+(6*'V06 Calend 01'!E54))),('V06 Calend 01'!H54-('V06 Calend 01'!I54*('V06 Calend 01'!E54-1))),'V06 Calend 01'!I54),0))+IF((55='V06 Calend 01'!D54),'V06 Calend 01'!J54,0))</f>
        <v>0</v>
      </c>
      <c r="BP54" s="2">
        <f>((IF((56='V06 Calend 01'!C54),('V06 Calend 01'!F54+'V06 Calend 01'!G54),0)+IF(AND(('V06 Calend 01'!E54&gt;0),(56&gt;'V06 Calend 01'!C54),(56&lt;'V06 Calend 01'!D54),(MOD((56-'V06 Calend 01'!C54),6)=0),(((56-'V06 Calend 01'!C54)/6)&lt;='V06 Calend 01'!E54)),IF((56=('V06 Calend 01'!C54+(6*'V06 Calend 01'!E54))),('V06 Calend 01'!H54-('V06 Calend 01'!I54*('V06 Calend 01'!E54-1))),'V06 Calend 01'!I54),0))+IF((56='V06 Calend 01'!D54),'V06 Calend 01'!J54,0))</f>
        <v>0</v>
      </c>
      <c r="BQ54" s="2">
        <f>((IF((57='V06 Calend 01'!C54),('V06 Calend 01'!F54+'V06 Calend 01'!G54),0)+IF(AND(('V06 Calend 01'!E54&gt;0),(57&gt;'V06 Calend 01'!C54),(57&lt;'V06 Calend 01'!D54),(MOD((57-'V06 Calend 01'!C54),6)=0),(((57-'V06 Calend 01'!C54)/6)&lt;='V06 Calend 01'!E54)),IF((57=('V06 Calend 01'!C54+(6*'V06 Calend 01'!E54))),('V06 Calend 01'!H54-('V06 Calend 01'!I54*('V06 Calend 01'!E54-1))),'V06 Calend 01'!I54),0))+IF((57='V06 Calend 01'!D54),'V06 Calend 01'!J54,0))</f>
        <v>0</v>
      </c>
      <c r="BR54" s="2">
        <f>((IF((58='V06 Calend 01'!C54),('V06 Calend 01'!F54+'V06 Calend 01'!G54),0)+IF(AND(('V06 Calend 01'!E54&gt;0),(58&gt;'V06 Calend 01'!C54),(58&lt;'V06 Calend 01'!D54),(MOD((58-'V06 Calend 01'!C54),6)=0),(((58-'V06 Calend 01'!C54)/6)&lt;='V06 Calend 01'!E54)),IF((58=('V06 Calend 01'!C54+(6*'V06 Calend 01'!E54))),('V06 Calend 01'!H54-('V06 Calend 01'!I54*('V06 Calend 01'!E54-1))),'V06 Calend 01'!I54),0))+IF((58='V06 Calend 01'!D54),'V06 Calend 01'!J54,0))</f>
        <v>0</v>
      </c>
      <c r="BS54" s="2">
        <f>((IF((59='V06 Calend 01'!C54),('V06 Calend 01'!F54+'V06 Calend 01'!G54),0)+IF(AND(('V06 Calend 01'!E54&gt;0),(59&gt;'V06 Calend 01'!C54),(59&lt;'V06 Calend 01'!D54),(MOD((59-'V06 Calend 01'!C54),6)=0),(((59-'V06 Calend 01'!C54)/6)&lt;='V06 Calend 01'!E54)),IF((59=('V06 Calend 01'!C54+(6*'V06 Calend 01'!E54))),('V06 Calend 01'!H54-('V06 Calend 01'!I54*('V06 Calend 01'!E54-1))),'V06 Calend 01'!I54),0))+IF((59='V06 Calend 01'!D54),'V06 Calend 01'!J54,0))</f>
        <v>0</v>
      </c>
      <c r="BT54" s="2">
        <f>((IF((60='V06 Calend 01'!C54),('V06 Calend 01'!F54+'V06 Calend 01'!G54),0)+IF(AND(('V06 Calend 01'!E54&gt;0),(60&gt;'V06 Calend 01'!C54),(60&lt;'V06 Calend 01'!D54),(MOD((60-'V06 Calend 01'!C54),6)=0),(((60-'V06 Calend 01'!C54)/6)&lt;='V06 Calend 01'!E54)),IF((60=('V06 Calend 01'!C54+(6*'V06 Calend 01'!E54))),('V06 Calend 01'!H54-('V06 Calend 01'!I54*('V06 Calend 01'!E54-1))),'V06 Calend 01'!I54),0))+IF((60='V06 Calend 01'!D54),'V06 Calend 01'!J54,0))</f>
        <v>0</v>
      </c>
      <c r="BU54" s="2">
        <f>((IF((61='V06 Calend 01'!C54),('V06 Calend 01'!F54+'V06 Calend 01'!G54),0)+IF(AND(('V06 Calend 01'!E54&gt;0),(61&gt;'V06 Calend 01'!C54),(61&lt;'V06 Calend 01'!D54),(MOD((61-'V06 Calend 01'!C54),6)=0),(((61-'V06 Calend 01'!C54)/6)&lt;='V06 Calend 01'!E54)),IF((61=('V06 Calend 01'!C54+(6*'V06 Calend 01'!E54))),('V06 Calend 01'!H54-('V06 Calend 01'!I54*('V06 Calend 01'!E54-1))),'V06 Calend 01'!I54),0))+IF((61='V06 Calend 01'!D54),'V06 Calend 01'!J54,0))</f>
        <v>0</v>
      </c>
      <c r="BV54" s="2">
        <f>((IF((62='V06 Calend 01'!C54),('V06 Calend 01'!F54+'V06 Calend 01'!G54),0)+IF(AND(('V06 Calend 01'!E54&gt;0),(62&gt;'V06 Calend 01'!C54),(62&lt;'V06 Calend 01'!D54),(MOD((62-'V06 Calend 01'!C54),6)=0),(((62-'V06 Calend 01'!C54)/6)&lt;='V06 Calend 01'!E54)),IF((62=('V06 Calend 01'!C54+(6*'V06 Calend 01'!E54))),('V06 Calend 01'!H54-('V06 Calend 01'!I54*('V06 Calend 01'!E54-1))),'V06 Calend 01'!I54),0))+IF((62='V06 Calend 01'!D54),'V06 Calend 01'!J54,0))</f>
        <v>0</v>
      </c>
      <c r="BW54" s="2">
        <f>((IF((63='V06 Calend 01'!C54),('V06 Calend 01'!F54+'V06 Calend 01'!G54),0)+IF(AND(('V06 Calend 01'!E54&gt;0),(63&gt;'V06 Calend 01'!C54),(63&lt;'V06 Calend 01'!D54),(MOD((63-'V06 Calend 01'!C54),6)=0),(((63-'V06 Calend 01'!C54)/6)&lt;='V06 Calend 01'!E54)),IF((63=('V06 Calend 01'!C54+(6*'V06 Calend 01'!E54))),('V06 Calend 01'!H54-('V06 Calend 01'!I54*('V06 Calend 01'!E54-1))),'V06 Calend 01'!I54),0))+IF((63='V06 Calend 01'!D54),'V06 Calend 01'!J54,0))</f>
        <v>0</v>
      </c>
      <c r="BX54" s="2">
        <f>((IF((64='V06 Calend 01'!C54),('V06 Calend 01'!F54+'V06 Calend 01'!G54),0)+IF(AND(('V06 Calend 01'!E54&gt;0),(64&gt;'V06 Calend 01'!C54),(64&lt;'V06 Calend 01'!D54),(MOD((64-'V06 Calend 01'!C54),6)=0),(((64-'V06 Calend 01'!C54)/6)&lt;='V06 Calend 01'!E54)),IF((64=('V06 Calend 01'!C54+(6*'V06 Calend 01'!E54))),('V06 Calend 01'!H54-('V06 Calend 01'!I54*('V06 Calend 01'!E54-1))),'V06 Calend 01'!I54),0))+IF((64='V06 Calend 01'!D54),'V06 Calend 01'!J54,0))</f>
        <v>0</v>
      </c>
      <c r="BY54" s="2">
        <f>((IF((65='V06 Calend 01'!C54),('V06 Calend 01'!F54+'V06 Calend 01'!G54),0)+IF(AND(('V06 Calend 01'!E54&gt;0),(65&gt;'V06 Calend 01'!C54),(65&lt;'V06 Calend 01'!D54),(MOD((65-'V06 Calend 01'!C54),6)=0),(((65-'V06 Calend 01'!C54)/6)&lt;='V06 Calend 01'!E54)),IF((65=('V06 Calend 01'!C54+(6*'V06 Calend 01'!E54))),('V06 Calend 01'!H54-('V06 Calend 01'!I54*('V06 Calend 01'!E54-1))),'V06 Calend 01'!I54),0))+IF((65='V06 Calend 01'!D54),'V06 Calend 01'!J54,0))</f>
        <v>0</v>
      </c>
      <c r="BZ54" s="2">
        <f>((IF((66='V06 Calend 01'!C54),('V06 Calend 01'!F54+'V06 Calend 01'!G54),0)+IF(AND(('V06 Calend 01'!E54&gt;0),(66&gt;'V06 Calend 01'!C54),(66&lt;'V06 Calend 01'!D54),(MOD((66-'V06 Calend 01'!C54),6)=0),(((66-'V06 Calend 01'!C54)/6)&lt;='V06 Calend 01'!E54)),IF((66=('V06 Calend 01'!C54+(6*'V06 Calend 01'!E54))),('V06 Calend 01'!H54-('V06 Calend 01'!I54*('V06 Calend 01'!E54-1))),'V06 Calend 01'!I54),0))+IF((66='V06 Calend 01'!D54),'V06 Calend 01'!J54,0))</f>
        <v>0</v>
      </c>
      <c r="CA54" s="2">
        <f>((IF((67='V06 Calend 01'!C54),('V06 Calend 01'!F54+'V06 Calend 01'!G54),0)+IF(AND(('V06 Calend 01'!E54&gt;0),(67&gt;'V06 Calend 01'!C54),(67&lt;'V06 Calend 01'!D54),(MOD((67-'V06 Calend 01'!C54),6)=0),(((67-'V06 Calend 01'!C54)/6)&lt;='V06 Calend 01'!E54)),IF((67=('V06 Calend 01'!C54+(6*'V06 Calend 01'!E54))),('V06 Calend 01'!H54-('V06 Calend 01'!I54*('V06 Calend 01'!E54-1))),'V06 Calend 01'!I54),0))+IF((67='V06 Calend 01'!D54),'V06 Calend 01'!J54,0))</f>
        <v>0</v>
      </c>
      <c r="CB54" s="2">
        <f>((IF((68='V06 Calend 01'!C54),('V06 Calend 01'!F54+'V06 Calend 01'!G54),0)+IF(AND(('V06 Calend 01'!E54&gt;0),(68&gt;'V06 Calend 01'!C54),(68&lt;'V06 Calend 01'!D54),(MOD((68-'V06 Calend 01'!C54),6)=0),(((68-'V06 Calend 01'!C54)/6)&lt;='V06 Calend 01'!E54)),IF((68=('V06 Calend 01'!C54+(6*'V06 Calend 01'!E54))),('V06 Calend 01'!H54-('V06 Calend 01'!I54*('V06 Calend 01'!E54-1))),'V06 Calend 01'!I54),0))+IF((68='V06 Calend 01'!D54),'V06 Calend 01'!J54,0))</f>
        <v>0</v>
      </c>
      <c r="CC54" s="2">
        <f>((IF((69='V06 Calend 01'!C54),('V06 Calend 01'!F54+'V06 Calend 01'!G54),0)+IF(AND(('V06 Calend 01'!E54&gt;0),(69&gt;'V06 Calend 01'!C54),(69&lt;'V06 Calend 01'!D54),(MOD((69-'V06 Calend 01'!C54),6)=0),(((69-'V06 Calend 01'!C54)/6)&lt;='V06 Calend 01'!E54)),IF((69=('V06 Calend 01'!C54+(6*'V06 Calend 01'!E54))),('V06 Calend 01'!H54-('V06 Calend 01'!I54*('V06 Calend 01'!E54-1))),'V06 Calend 01'!I54),0))+IF((69='V06 Calend 01'!D54),'V06 Calend 01'!J54,0))</f>
        <v>0</v>
      </c>
      <c r="CD54" s="2">
        <f>((IF((70='V06 Calend 01'!C54),('V06 Calend 01'!F54+'V06 Calend 01'!G54),0)+IF(AND(('V06 Calend 01'!E54&gt;0),(70&gt;'V06 Calend 01'!C54),(70&lt;'V06 Calend 01'!D54),(MOD((70-'V06 Calend 01'!C54),6)=0),(((70-'V06 Calend 01'!C54)/6)&lt;='V06 Calend 01'!E54)),IF((70=('V06 Calend 01'!C54+(6*'V06 Calend 01'!E54))),('V06 Calend 01'!H54-('V06 Calend 01'!I54*('V06 Calend 01'!E54-1))),'V06 Calend 01'!I54),0))+IF((70='V06 Calend 01'!D54),'V06 Calend 01'!J54,0))</f>
        <v>0</v>
      </c>
      <c r="CE54" s="2">
        <f>((IF((71='V06 Calend 01'!C54),('V06 Calend 01'!F54+'V06 Calend 01'!G54),0)+IF(AND(('V06 Calend 01'!E54&gt;0),(71&gt;'V06 Calend 01'!C54),(71&lt;'V06 Calend 01'!D54),(MOD((71-'V06 Calend 01'!C54),6)=0),(((71-'V06 Calend 01'!C54)/6)&lt;='V06 Calend 01'!E54)),IF((71=('V06 Calend 01'!C54+(6*'V06 Calend 01'!E54))),('V06 Calend 01'!H54-('V06 Calend 01'!I54*('V06 Calend 01'!E54-1))),'V06 Calend 01'!I54),0))+IF((71='V06 Calend 01'!D54),'V06 Calend 01'!J54,0))</f>
        <v>0</v>
      </c>
      <c r="CF54" s="2">
        <f>((IF((72='V06 Calend 01'!C54),('V06 Calend 01'!F54+'V06 Calend 01'!G54),0)+IF(AND(('V06 Calend 01'!E54&gt;0),(72&gt;'V06 Calend 01'!C54),(72&lt;'V06 Calend 01'!D54),(MOD((72-'V06 Calend 01'!C54),6)=0),(((72-'V06 Calend 01'!C54)/6)&lt;='V06 Calend 01'!E54)),IF((72=('V06 Calend 01'!C54+(6*'V06 Calend 01'!E54))),('V06 Calend 01'!H54-('V06 Calend 01'!I54*('V06 Calend 01'!E54-1))),'V06 Calend 01'!I54),0))+IF((72='V06 Calend 01'!D54),'V06 Calend 01'!J54,0))</f>
        <v>0</v>
      </c>
      <c r="CG54" s="2">
        <f>((IF((73='V06 Calend 01'!C54),('V06 Calend 01'!F54+'V06 Calend 01'!G54),0)+IF(AND(('V06 Calend 01'!E54&gt;0),(73&gt;'V06 Calend 01'!C54),(73&lt;'V06 Calend 01'!D54),(MOD((73-'V06 Calend 01'!C54),6)=0),(((73-'V06 Calend 01'!C54)/6)&lt;='V06 Calend 01'!E54)),IF((73=('V06 Calend 01'!C54+(6*'V06 Calend 01'!E54))),('V06 Calend 01'!H54-('V06 Calend 01'!I54*('V06 Calend 01'!E54-1))),'V06 Calend 01'!I54),0))+IF((73='V06 Calend 01'!D54),'V06 Calend 01'!J54,0))</f>
        <v>0</v>
      </c>
      <c r="CH54" s="2">
        <f>((IF((74='V06 Calend 01'!C54),('V06 Calend 01'!F54+'V06 Calend 01'!G54),0)+IF(AND(('V06 Calend 01'!E54&gt;0),(74&gt;'V06 Calend 01'!C54),(74&lt;'V06 Calend 01'!D54),(MOD((74-'V06 Calend 01'!C54),6)=0),(((74-'V06 Calend 01'!C54)/6)&lt;='V06 Calend 01'!E54)),IF((74=('V06 Calend 01'!C54+(6*'V06 Calend 01'!E54))),('V06 Calend 01'!H54-('V06 Calend 01'!I54*('V06 Calend 01'!E54-1))),'V06 Calend 01'!I54),0))+IF((74='V06 Calend 01'!D54),'V06 Calend 01'!J54,0))</f>
        <v>0</v>
      </c>
      <c r="CI54" s="2">
        <f>((IF((75='V06 Calend 01'!C54),('V06 Calend 01'!F54+'V06 Calend 01'!G54),0)+IF(AND(('V06 Calend 01'!E54&gt;0),(75&gt;'V06 Calend 01'!C54),(75&lt;'V06 Calend 01'!D54),(MOD((75-'V06 Calend 01'!C54),6)=0),(((75-'V06 Calend 01'!C54)/6)&lt;='V06 Calend 01'!E54)),IF((75=('V06 Calend 01'!C54+(6*'V06 Calend 01'!E54))),('V06 Calend 01'!H54-('V06 Calend 01'!I54*('V06 Calend 01'!E54-1))),'V06 Calend 01'!I54),0))+IF((75='V06 Calend 01'!D54),'V06 Calend 01'!J54,0))</f>
        <v>0</v>
      </c>
      <c r="CJ54" s="2">
        <f>((IF((76='V06 Calend 01'!C54),('V06 Calend 01'!F54+'V06 Calend 01'!G54),0)+IF(AND(('V06 Calend 01'!E54&gt;0),(76&gt;'V06 Calend 01'!C54),(76&lt;'V06 Calend 01'!D54),(MOD((76-'V06 Calend 01'!C54),6)=0),(((76-'V06 Calend 01'!C54)/6)&lt;='V06 Calend 01'!E54)),IF((76=('V06 Calend 01'!C54+(6*'V06 Calend 01'!E54))),('V06 Calend 01'!H54-('V06 Calend 01'!I54*('V06 Calend 01'!E54-1))),'V06 Calend 01'!I54),0))+IF((76='V06 Calend 01'!D54),'V06 Calend 01'!J54,0))</f>
        <v>0</v>
      </c>
      <c r="CK54" s="2">
        <f>((IF((77='V06 Calend 01'!C54),('V06 Calend 01'!F54+'V06 Calend 01'!G54),0)+IF(AND(('V06 Calend 01'!E54&gt;0),(77&gt;'V06 Calend 01'!C54),(77&lt;'V06 Calend 01'!D54),(MOD((77-'V06 Calend 01'!C54),6)=0),(((77-'V06 Calend 01'!C54)/6)&lt;='V06 Calend 01'!E54)),IF((77=('V06 Calend 01'!C54+(6*'V06 Calend 01'!E54))),('V06 Calend 01'!H54-('V06 Calend 01'!I54*('V06 Calend 01'!E54-1))),'V06 Calend 01'!I54),0))+IF((77='V06 Calend 01'!D54),'V06 Calend 01'!J54,0))</f>
        <v>0</v>
      </c>
      <c r="CL54" s="2">
        <f>((IF((78='V06 Calend 01'!C54),('V06 Calend 01'!F54+'V06 Calend 01'!G54),0)+IF(AND(('V06 Calend 01'!E54&gt;0),(78&gt;'V06 Calend 01'!C54),(78&lt;'V06 Calend 01'!D54),(MOD((78-'V06 Calend 01'!C54),6)=0),(((78-'V06 Calend 01'!C54)/6)&lt;='V06 Calend 01'!E54)),IF((78=('V06 Calend 01'!C54+(6*'V06 Calend 01'!E54))),('V06 Calend 01'!H54-('V06 Calend 01'!I54*('V06 Calend 01'!E54-1))),'V06 Calend 01'!I54),0))+IF((78='V06 Calend 01'!D54),'V06 Calend 01'!J54,0))</f>
        <v>0</v>
      </c>
      <c r="CM54" s="2">
        <f>((IF((79='V06 Calend 01'!C54),('V06 Calend 01'!F54+'V06 Calend 01'!G54),0)+IF(AND(('V06 Calend 01'!E54&gt;0),(79&gt;'V06 Calend 01'!C54),(79&lt;'V06 Calend 01'!D54),(MOD((79-'V06 Calend 01'!C54),6)=0),(((79-'V06 Calend 01'!C54)/6)&lt;='V06 Calend 01'!E54)),IF((79=('V06 Calend 01'!C54+(6*'V06 Calend 01'!E54))),('V06 Calend 01'!H54-('V06 Calend 01'!I54*('V06 Calend 01'!E54-1))),'V06 Calend 01'!I54),0))+IF((79='V06 Calend 01'!D54),'V06 Calend 01'!J54,0))</f>
        <v>0</v>
      </c>
      <c r="CN54" s="2">
        <f>((IF((80='V06 Calend 01'!C54),('V06 Calend 01'!F54+'V06 Calend 01'!G54),0)+IF(AND(('V06 Calend 01'!E54&gt;0),(80&gt;'V06 Calend 01'!C54),(80&lt;'V06 Calend 01'!D54),(MOD((80-'V06 Calend 01'!C54),6)=0),(((80-'V06 Calend 01'!C54)/6)&lt;='V06 Calend 01'!E54)),IF((80=('V06 Calend 01'!C54+(6*'V06 Calend 01'!E54))),('V06 Calend 01'!H54-('V06 Calend 01'!I54*('V06 Calend 01'!E54-1))),'V06 Calend 01'!I54),0))+IF((80='V06 Calend 01'!D54),'V06 Calend 01'!J54,0))</f>
        <v>0</v>
      </c>
      <c r="CO54" s="2">
        <f>((IF((81='V06 Calend 01'!C54),('V06 Calend 01'!F54+'V06 Calend 01'!G54),0)+IF(AND(('V06 Calend 01'!E54&gt;0),(81&gt;'V06 Calend 01'!C54),(81&lt;'V06 Calend 01'!D54),(MOD((81-'V06 Calend 01'!C54),6)=0),(((81-'V06 Calend 01'!C54)/6)&lt;='V06 Calend 01'!E54)),IF((81=('V06 Calend 01'!C54+(6*'V06 Calend 01'!E54))),('V06 Calend 01'!H54-('V06 Calend 01'!I54*('V06 Calend 01'!E54-1))),'V06 Calend 01'!I54),0))+IF((81='V06 Calend 01'!D54),'V06 Calend 01'!J54,0))</f>
        <v>0</v>
      </c>
      <c r="CP54" s="2">
        <f>((IF((82='V06 Calend 01'!C54),('V06 Calend 01'!F54+'V06 Calend 01'!G54),0)+IF(AND(('V06 Calend 01'!E54&gt;0),(82&gt;'V06 Calend 01'!C54),(82&lt;'V06 Calend 01'!D54),(MOD((82-'V06 Calend 01'!C54),6)=0),(((82-'V06 Calend 01'!C54)/6)&lt;='V06 Calend 01'!E54)),IF((82=('V06 Calend 01'!C54+(6*'V06 Calend 01'!E54))),('V06 Calend 01'!H54-('V06 Calend 01'!I54*('V06 Calend 01'!E54-1))),'V06 Calend 01'!I54),0))+IF((82='V06 Calend 01'!D54),'V06 Calend 01'!J54,0))</f>
        <v>0</v>
      </c>
      <c r="CQ54" s="2">
        <f>((IF((83='V06 Calend 01'!C54),('V06 Calend 01'!F54+'V06 Calend 01'!G54),0)+IF(AND(('V06 Calend 01'!E54&gt;0),(83&gt;'V06 Calend 01'!C54),(83&lt;'V06 Calend 01'!D54),(MOD((83-'V06 Calend 01'!C54),6)=0),(((83-'V06 Calend 01'!C54)/6)&lt;='V06 Calend 01'!E54)),IF((83=('V06 Calend 01'!C54+(6*'V06 Calend 01'!E54))),('V06 Calend 01'!H54-('V06 Calend 01'!I54*('V06 Calend 01'!E54-1))),'V06 Calend 01'!I54),0))+IF((83='V06 Calend 01'!D54),'V06 Calend 01'!J54,0))</f>
        <v>0</v>
      </c>
      <c r="CR54" s="2">
        <f>((IF((84='V06 Calend 01'!C54),('V06 Calend 01'!F54+'V06 Calend 01'!G54),0)+IF(AND(('V06 Calend 01'!E54&gt;0),(84&gt;'V06 Calend 01'!C54),(84&lt;'V06 Calend 01'!D54),(MOD((84-'V06 Calend 01'!C54),6)=0),(((84-'V06 Calend 01'!C54)/6)&lt;='V06 Calend 01'!E54)),IF((84=('V06 Calend 01'!C54+(6*'V06 Calend 01'!E54))),('V06 Calend 01'!H54-('V06 Calend 01'!I54*('V06 Calend 01'!E54-1))),'V06 Calend 01'!I54),0))+IF((84='V06 Calend 01'!D54),'V06 Calend 01'!J54,0))</f>
        <v>0</v>
      </c>
      <c r="CS54" s="2">
        <f>((IF((85='V06 Calend 01'!C54),('V06 Calend 01'!F54+'V06 Calend 01'!G54),0)+IF(AND(('V06 Calend 01'!E54&gt;0),(85&gt;'V06 Calend 01'!C54),(85&lt;'V06 Calend 01'!D54),(MOD((85-'V06 Calend 01'!C54),6)=0),(((85-'V06 Calend 01'!C54)/6)&lt;='V06 Calend 01'!E54)),IF((85=('V06 Calend 01'!C54+(6*'V06 Calend 01'!E54))),('V06 Calend 01'!H54-('V06 Calend 01'!I54*('V06 Calend 01'!E54-1))),'V06 Calend 01'!I54),0))+IF((85='V06 Calend 01'!D54),'V06 Calend 01'!J54,0))</f>
        <v>0</v>
      </c>
      <c r="CT54" s="2">
        <f>((IF((86='V06 Calend 01'!C54),('V06 Calend 01'!F54+'V06 Calend 01'!G54),0)+IF(AND(('V06 Calend 01'!E54&gt;0),(86&gt;'V06 Calend 01'!C54),(86&lt;'V06 Calend 01'!D54),(MOD((86-'V06 Calend 01'!C54),6)=0),(((86-'V06 Calend 01'!C54)/6)&lt;='V06 Calend 01'!E54)),IF((86=('V06 Calend 01'!C54+(6*'V06 Calend 01'!E54))),('V06 Calend 01'!H54-('V06 Calend 01'!I54*('V06 Calend 01'!E54-1))),'V06 Calend 01'!I54),0))+IF((86='V06 Calend 01'!D54),'V06 Calend 01'!J54,0))</f>
        <v>0</v>
      </c>
      <c r="CU54" s="2">
        <f>((IF((87='V06 Calend 01'!C54),('V06 Calend 01'!F54+'V06 Calend 01'!G54),0)+IF(AND(('V06 Calend 01'!E54&gt;0),(87&gt;'V06 Calend 01'!C54),(87&lt;'V06 Calend 01'!D54),(MOD((87-'V06 Calend 01'!C54),6)=0),(((87-'V06 Calend 01'!C54)/6)&lt;='V06 Calend 01'!E54)),IF((87=('V06 Calend 01'!C54+(6*'V06 Calend 01'!E54))),('V06 Calend 01'!H54-('V06 Calend 01'!I54*('V06 Calend 01'!E54-1))),'V06 Calend 01'!I54),0))+IF((87='V06 Calend 01'!D54),'V06 Calend 01'!J54,0))</f>
        <v>0</v>
      </c>
      <c r="CV54" s="2">
        <f>((IF((88='V06 Calend 01'!C54),('V06 Calend 01'!F54+'V06 Calend 01'!G54),0)+IF(AND(('V06 Calend 01'!E54&gt;0),(88&gt;'V06 Calend 01'!C54),(88&lt;'V06 Calend 01'!D54),(MOD((88-'V06 Calend 01'!C54),6)=0),(((88-'V06 Calend 01'!C54)/6)&lt;='V06 Calend 01'!E54)),IF((88=('V06 Calend 01'!C54+(6*'V06 Calend 01'!E54))),('V06 Calend 01'!H54-('V06 Calend 01'!I54*('V06 Calend 01'!E54-1))),'V06 Calend 01'!I54),0))+IF((88='V06 Calend 01'!D54),'V06 Calend 01'!J54,0))</f>
        <v>0</v>
      </c>
      <c r="CW54" s="2">
        <f>((IF((89='V06 Calend 01'!C54),('V06 Calend 01'!F54+'V06 Calend 01'!G54),0)+IF(AND(('V06 Calend 01'!E54&gt;0),(89&gt;'V06 Calend 01'!C54),(89&lt;'V06 Calend 01'!D54),(MOD((89-'V06 Calend 01'!C54),6)=0),(((89-'V06 Calend 01'!C54)/6)&lt;='V06 Calend 01'!E54)),IF((89=('V06 Calend 01'!C54+(6*'V06 Calend 01'!E54))),('V06 Calend 01'!H54-('V06 Calend 01'!I54*('V06 Calend 01'!E54-1))),'V06 Calend 01'!I54),0))+IF((89='V06 Calend 01'!D54),'V06 Calend 01'!J54,0))</f>
        <v>0</v>
      </c>
      <c r="CX54" s="2">
        <f>((IF((90='V06 Calend 01'!C54),('V06 Calend 01'!F54+'V06 Calend 01'!G54),0)+IF(AND(('V06 Calend 01'!E54&gt;0),(90&gt;'V06 Calend 01'!C54),(90&lt;'V06 Calend 01'!D54),(MOD((90-'V06 Calend 01'!C54),6)=0),(((90-'V06 Calend 01'!C54)/6)&lt;='V06 Calend 01'!E54)),IF((90=('V06 Calend 01'!C54+(6*'V06 Calend 01'!E54))),('V06 Calend 01'!H54-('V06 Calend 01'!I54*('V06 Calend 01'!E54-1))),'V06 Calend 01'!I54),0))+IF((90='V06 Calend 01'!D54),'V06 Calend 01'!J54,0))</f>
        <v>0</v>
      </c>
      <c r="CY54" s="2">
        <f>((IF((91='V06 Calend 01'!C54),('V06 Calend 01'!F54+'V06 Calend 01'!G54),0)+IF(AND(('V06 Calend 01'!E54&gt;0),(91&gt;'V06 Calend 01'!C54),(91&lt;'V06 Calend 01'!D54),(MOD((91-'V06 Calend 01'!C54),6)=0),(((91-'V06 Calend 01'!C54)/6)&lt;='V06 Calend 01'!E54)),IF((91=('V06 Calend 01'!C54+(6*'V06 Calend 01'!E54))),('V06 Calend 01'!H54-('V06 Calend 01'!I54*('V06 Calend 01'!E54-1))),'V06 Calend 01'!I54),0))+IF((91='V06 Calend 01'!D54),'V06 Calend 01'!J54,0))</f>
        <v>0</v>
      </c>
      <c r="CZ54" s="2">
        <f>((IF((92='V06 Calend 01'!C54),('V06 Calend 01'!F54+'V06 Calend 01'!G54),0)+IF(AND(('V06 Calend 01'!E54&gt;0),(92&gt;'V06 Calend 01'!C54),(92&lt;'V06 Calend 01'!D54),(MOD((92-'V06 Calend 01'!C54),6)=0),(((92-'V06 Calend 01'!C54)/6)&lt;='V06 Calend 01'!E54)),IF((92=('V06 Calend 01'!C54+(6*'V06 Calend 01'!E54))),('V06 Calend 01'!H54-('V06 Calend 01'!I54*('V06 Calend 01'!E54-1))),'V06 Calend 01'!I54),0))+IF((92='V06 Calend 01'!D54),'V06 Calend 01'!J54,0))</f>
        <v>0</v>
      </c>
      <c r="DA54" s="2">
        <f>((IF((93='V06 Calend 01'!C54),('V06 Calend 01'!F54+'V06 Calend 01'!G54),0)+IF(AND(('V06 Calend 01'!E54&gt;0),(93&gt;'V06 Calend 01'!C54),(93&lt;'V06 Calend 01'!D54),(MOD((93-'V06 Calend 01'!C54),6)=0),(((93-'V06 Calend 01'!C54)/6)&lt;='V06 Calend 01'!E54)),IF((93=('V06 Calend 01'!C54+(6*'V06 Calend 01'!E54))),('V06 Calend 01'!H54-('V06 Calend 01'!I54*('V06 Calend 01'!E54-1))),'V06 Calend 01'!I54),0))+IF((93='V06 Calend 01'!D54),'V06 Calend 01'!J54,0))</f>
        <v>0</v>
      </c>
      <c r="DB54" s="2">
        <f>((IF((94='V06 Calend 01'!C54),('V06 Calend 01'!F54+'V06 Calend 01'!G54),0)+IF(AND(('V06 Calend 01'!E54&gt;0),(94&gt;'V06 Calend 01'!C54),(94&lt;'V06 Calend 01'!D54),(MOD((94-'V06 Calend 01'!C54),6)=0),(((94-'V06 Calend 01'!C54)/6)&lt;='V06 Calend 01'!E54)),IF((94=('V06 Calend 01'!C54+(6*'V06 Calend 01'!E54))),('V06 Calend 01'!H54-('V06 Calend 01'!I54*('V06 Calend 01'!E54-1))),'V06 Calend 01'!I54),0))+IF((94='V06 Calend 01'!D54),'V06 Calend 01'!J54,0))</f>
        <v>0</v>
      </c>
      <c r="DC54" s="2">
        <f>((IF((95='V06 Calend 01'!C54),('V06 Calend 01'!F54+'V06 Calend 01'!G54),0)+IF(AND(('V06 Calend 01'!E54&gt;0),(95&gt;'V06 Calend 01'!C54),(95&lt;'V06 Calend 01'!D54),(MOD((95-'V06 Calend 01'!C54),6)=0),(((95-'V06 Calend 01'!C54)/6)&lt;='V06 Calend 01'!E54)),IF((95=('V06 Calend 01'!C54+(6*'V06 Calend 01'!E54))),('V06 Calend 01'!H54-('V06 Calend 01'!I54*('V06 Calend 01'!E54-1))),'V06 Calend 01'!I54),0))+IF((95='V06 Calend 01'!D54),'V06 Calend 01'!J54,0))</f>
        <v>0</v>
      </c>
      <c r="DD54" s="2">
        <f>((IF((96='V06 Calend 01'!C54),('V06 Calend 01'!F54+'V06 Calend 01'!G54),0)+IF(AND(('V06 Calend 01'!E54&gt;0),(96&gt;'V06 Calend 01'!C54),(96&lt;'V06 Calend 01'!D54),(MOD((96-'V06 Calend 01'!C54),6)=0),(((96-'V06 Calend 01'!C54)/6)&lt;='V06 Calend 01'!E54)),IF((96=('V06 Calend 01'!C54+(6*'V06 Calend 01'!E54))),('V06 Calend 01'!H54-('V06 Calend 01'!I54*('V06 Calend 01'!E54-1))),'V06 Calend 01'!I54),0))+IF((96='V06 Calend 01'!D54),'V06 Calend 01'!J54,0))</f>
        <v>0</v>
      </c>
      <c r="DE54" s="2">
        <f>((IF((97='V06 Calend 01'!C54),('V06 Calend 01'!F54+'V06 Calend 01'!G54),0)+IF(AND(('V06 Calend 01'!E54&gt;0),(97&gt;'V06 Calend 01'!C54),(97&lt;'V06 Calend 01'!D54),(MOD((97-'V06 Calend 01'!C54),6)=0),(((97-'V06 Calend 01'!C54)/6)&lt;='V06 Calend 01'!E54)),IF((97=('V06 Calend 01'!C54+(6*'V06 Calend 01'!E54))),('V06 Calend 01'!H54-('V06 Calend 01'!I54*('V06 Calend 01'!E54-1))),'V06 Calend 01'!I54),0))+IF((97='V06 Calend 01'!D54),'V06 Calend 01'!J54,0))</f>
        <v>0</v>
      </c>
      <c r="DF54" s="2">
        <f>((IF((98='V06 Calend 01'!C54),('V06 Calend 01'!F54+'V06 Calend 01'!G54),0)+IF(AND(('V06 Calend 01'!E54&gt;0),(98&gt;'V06 Calend 01'!C54),(98&lt;'V06 Calend 01'!D54),(MOD((98-'V06 Calend 01'!C54),6)=0),(((98-'V06 Calend 01'!C54)/6)&lt;='V06 Calend 01'!E54)),IF((98=('V06 Calend 01'!C54+(6*'V06 Calend 01'!E54))),('V06 Calend 01'!H54-('V06 Calend 01'!I54*('V06 Calend 01'!E54-1))),'V06 Calend 01'!I54),0))+IF((98='V06 Calend 01'!D54),'V06 Calend 01'!J54,0))</f>
        <v>0</v>
      </c>
      <c r="DG54" s="2">
        <f>((IF((99='V06 Calend 01'!C54),('V06 Calend 01'!F54+'V06 Calend 01'!G54),0)+IF(AND(('V06 Calend 01'!E54&gt;0),(99&gt;'V06 Calend 01'!C54),(99&lt;'V06 Calend 01'!D54),(MOD((99-'V06 Calend 01'!C54),6)=0),(((99-'V06 Calend 01'!C54)/6)&lt;='V06 Calend 01'!E54)),IF((99=('V06 Calend 01'!C54+(6*'V06 Calend 01'!E54))),('V06 Calend 01'!H54-('V06 Calend 01'!I54*('V06 Calend 01'!E54-1))),'V06 Calend 01'!I54),0))+IF((99='V06 Calend 01'!D54),'V06 Calend 01'!J54,0))</f>
        <v>0</v>
      </c>
      <c r="DH54" s="2">
        <f>((IF((100='V06 Calend 01'!C54),('V06 Calend 01'!F54+'V06 Calend 01'!G54),0)+IF(AND(('V06 Calend 01'!E54&gt;0),(100&gt;'V06 Calend 01'!C54),(100&lt;'V06 Calend 01'!D54),(MOD((100-'V06 Calend 01'!C54),6)=0),(((100-'V06 Calend 01'!C54)/6)&lt;='V06 Calend 01'!E54)),IF((100=('V06 Calend 01'!C54+(6*'V06 Calend 01'!E54))),('V06 Calend 01'!H54-('V06 Calend 01'!I54*('V06 Calend 01'!E54-1))),'V06 Calend 01'!I54),0))+IF((100='V06 Calend 01'!D54),'V06 Calend 01'!J54,0))</f>
        <v>0</v>
      </c>
      <c r="DI54" s="2">
        <f>((IF((101='V06 Calend 01'!C54),('V06 Calend 01'!F54+'V06 Calend 01'!G54),0)+IF(AND(('V06 Calend 01'!E54&gt;0),(101&gt;'V06 Calend 01'!C54),(101&lt;'V06 Calend 01'!D54),(MOD((101-'V06 Calend 01'!C54),6)=0),(((101-'V06 Calend 01'!C54)/6)&lt;='V06 Calend 01'!E54)),IF((101=('V06 Calend 01'!C54+(6*'V06 Calend 01'!E54))),('V06 Calend 01'!H54-('V06 Calend 01'!I54*('V06 Calend 01'!E54-1))),'V06 Calend 01'!I54),0))+IF((101='V06 Calend 01'!D54),'V06 Calend 01'!J54,0))</f>
        <v>0</v>
      </c>
      <c r="DJ54" s="2">
        <f>((IF((102='V06 Calend 01'!C54),('V06 Calend 01'!F54+'V06 Calend 01'!G54),0)+IF(AND(('V06 Calend 01'!E54&gt;0),(102&gt;'V06 Calend 01'!C54),(102&lt;'V06 Calend 01'!D54),(MOD((102-'V06 Calend 01'!C54),6)=0),(((102-'V06 Calend 01'!C54)/6)&lt;='V06 Calend 01'!E54)),IF((102=('V06 Calend 01'!C54+(6*'V06 Calend 01'!E54))),('V06 Calend 01'!H54-('V06 Calend 01'!I54*('V06 Calend 01'!E54-1))),'V06 Calend 01'!I54),0))+IF((102='V06 Calend 01'!D54),'V06 Calend 01'!J54,0))</f>
        <v>0</v>
      </c>
      <c r="DK54" s="2">
        <f>((IF((103='V06 Calend 01'!C54),('V06 Calend 01'!F54+'V06 Calend 01'!G54),0)+IF(AND(('V06 Calend 01'!E54&gt;0),(103&gt;'V06 Calend 01'!C54),(103&lt;'V06 Calend 01'!D54),(MOD((103-'V06 Calend 01'!C54),6)=0),(((103-'V06 Calend 01'!C54)/6)&lt;='V06 Calend 01'!E54)),IF((103=('V06 Calend 01'!C54+(6*'V06 Calend 01'!E54))),('V06 Calend 01'!H54-('V06 Calend 01'!I54*('V06 Calend 01'!E54-1))),'V06 Calend 01'!I54),0))+IF((103='V06 Calend 01'!D54),'V06 Calend 01'!J54,0))</f>
        <v>0</v>
      </c>
      <c r="DL54" s="2">
        <f>((IF((104='V06 Calend 01'!C54),('V06 Calend 01'!F54+'V06 Calend 01'!G54),0)+IF(AND(('V06 Calend 01'!E54&gt;0),(104&gt;'V06 Calend 01'!C54),(104&lt;'V06 Calend 01'!D54),(MOD((104-'V06 Calend 01'!C54),6)=0),(((104-'V06 Calend 01'!C54)/6)&lt;='V06 Calend 01'!E54)),IF((104=('V06 Calend 01'!C54+(6*'V06 Calend 01'!E54))),('V06 Calend 01'!H54-('V06 Calend 01'!I54*('V06 Calend 01'!E54-1))),'V06 Calend 01'!I54),0))+IF((104='V06 Calend 01'!D54),'V06 Calend 01'!J54,0))</f>
        <v>0</v>
      </c>
      <c r="DM54" s="2">
        <f>((IF((105='V06 Calend 01'!C54),('V06 Calend 01'!F54+'V06 Calend 01'!G54),0)+IF(AND(('V06 Calend 01'!E54&gt;0),(105&gt;'V06 Calend 01'!C54),(105&lt;'V06 Calend 01'!D54),(MOD((105-'V06 Calend 01'!C54),6)=0),(((105-'V06 Calend 01'!C54)/6)&lt;='V06 Calend 01'!E54)),IF((105=('V06 Calend 01'!C54+(6*'V06 Calend 01'!E54))),('V06 Calend 01'!H54-('V06 Calend 01'!I54*('V06 Calend 01'!E54-1))),'V06 Calend 01'!I54),0))+IF((105='V06 Calend 01'!D54),'V06 Calend 01'!J54,0))</f>
        <v>0</v>
      </c>
      <c r="DN54" s="2">
        <f>((IF((106='V06 Calend 01'!C54),('V06 Calend 01'!F54+'V06 Calend 01'!G54),0)+IF(AND(('V06 Calend 01'!E54&gt;0),(106&gt;'V06 Calend 01'!C54),(106&lt;'V06 Calend 01'!D54),(MOD((106-'V06 Calend 01'!C54),6)=0),(((106-'V06 Calend 01'!C54)/6)&lt;='V06 Calend 01'!E54)),IF((106=('V06 Calend 01'!C54+(6*'V06 Calend 01'!E54))),('V06 Calend 01'!H54-('V06 Calend 01'!I54*('V06 Calend 01'!E54-1))),'V06 Calend 01'!I54),0))+IF((106='V06 Calend 01'!D54),'V06 Calend 01'!J54,0))</f>
        <v>0</v>
      </c>
      <c r="DO54" s="2">
        <f>((IF((107='V06 Calend 01'!C54),('V06 Calend 01'!F54+'V06 Calend 01'!G54),0)+IF(AND(('V06 Calend 01'!E54&gt;0),(107&gt;'V06 Calend 01'!C54),(107&lt;'V06 Calend 01'!D54),(MOD((107-'V06 Calend 01'!C54),6)=0),(((107-'V06 Calend 01'!C54)/6)&lt;='V06 Calend 01'!E54)),IF((107=('V06 Calend 01'!C54+(6*'V06 Calend 01'!E54))),('V06 Calend 01'!H54-('V06 Calend 01'!I54*('V06 Calend 01'!E54-1))),'V06 Calend 01'!I54),0))+IF((107='V06 Calend 01'!D54),'V06 Calend 01'!J54,0))</f>
        <v>0</v>
      </c>
      <c r="DP54" s="2">
        <f>((IF((108='V06 Calend 01'!C54),('V06 Calend 01'!F54+'V06 Calend 01'!G54),0)+IF(AND(('V06 Calend 01'!E54&gt;0),(108&gt;'V06 Calend 01'!C54),(108&lt;'V06 Calend 01'!D54),(MOD((108-'V06 Calend 01'!C54),6)=0),(((108-'V06 Calend 01'!C54)/6)&lt;='V06 Calend 01'!E54)),IF((108=('V06 Calend 01'!C54+(6*'V06 Calend 01'!E54))),('V06 Calend 01'!H54-('V06 Calend 01'!I54*('V06 Calend 01'!E54-1))),'V06 Calend 01'!I54),0))+IF((108='V06 Calend 01'!D54),'V06 Calend 01'!J54,0))</f>
        <v>0</v>
      </c>
      <c r="DQ54" s="2">
        <f>((IF((109='V06 Calend 01'!C54),('V06 Calend 01'!F54+'V06 Calend 01'!G54),0)+IF(AND(('V06 Calend 01'!E54&gt;0),(109&gt;'V06 Calend 01'!C54),(109&lt;'V06 Calend 01'!D54),(MOD((109-'V06 Calend 01'!C54),6)=0),(((109-'V06 Calend 01'!C54)/6)&lt;='V06 Calend 01'!E54)),IF((109=('V06 Calend 01'!C54+(6*'V06 Calend 01'!E54))),('V06 Calend 01'!H54-('V06 Calend 01'!I54*('V06 Calend 01'!E54-1))),'V06 Calend 01'!I54),0))+IF((109='V06 Calend 01'!D54),'V06 Calend 01'!J54,0))</f>
        <v>0</v>
      </c>
      <c r="DR54" s="2">
        <f>((IF((110='V06 Calend 01'!C54),('V06 Calend 01'!F54+'V06 Calend 01'!G54),0)+IF(AND(('V06 Calend 01'!E54&gt;0),(110&gt;'V06 Calend 01'!C54),(110&lt;'V06 Calend 01'!D54),(MOD((110-'V06 Calend 01'!C54),6)=0),(((110-'V06 Calend 01'!C54)/6)&lt;='V06 Calend 01'!E54)),IF((110=('V06 Calend 01'!C54+(6*'V06 Calend 01'!E54))),('V06 Calend 01'!H54-('V06 Calend 01'!I54*('V06 Calend 01'!E54-1))),'V06 Calend 01'!I54),0))+IF((110='V06 Calend 01'!D54),'V06 Calend 01'!J54,0))</f>
        <v>0</v>
      </c>
      <c r="DS54" s="2">
        <f>((IF((111='V06 Calend 01'!C54),('V06 Calend 01'!F54+'V06 Calend 01'!G54),0)+IF(AND(('V06 Calend 01'!E54&gt;0),(111&gt;'V06 Calend 01'!C54),(111&lt;'V06 Calend 01'!D54),(MOD((111-'V06 Calend 01'!C54),6)=0),(((111-'V06 Calend 01'!C54)/6)&lt;='V06 Calend 01'!E54)),IF((111=('V06 Calend 01'!C54+(6*'V06 Calend 01'!E54))),('V06 Calend 01'!H54-('V06 Calend 01'!I54*('V06 Calend 01'!E54-1))),'V06 Calend 01'!I54),0))+IF((111='V06 Calend 01'!D54),'V06 Calend 01'!J54,0))</f>
        <v>0</v>
      </c>
      <c r="DT54" s="2">
        <f>((IF((112='V06 Calend 01'!C54),('V06 Calend 01'!F54+'V06 Calend 01'!G54),0)+IF(AND(('V06 Calend 01'!E54&gt;0),(112&gt;'V06 Calend 01'!C54),(112&lt;'V06 Calend 01'!D54),(MOD((112-'V06 Calend 01'!C54),6)=0),(((112-'V06 Calend 01'!C54)/6)&lt;='V06 Calend 01'!E54)),IF((112=('V06 Calend 01'!C54+(6*'V06 Calend 01'!E54))),('V06 Calend 01'!H54-('V06 Calend 01'!I54*('V06 Calend 01'!E54-1))),'V06 Calend 01'!I54),0))+IF((112='V06 Calend 01'!D54),'V06 Calend 01'!J54,0))</f>
        <v>0</v>
      </c>
      <c r="DU54" s="2">
        <f>((IF((113='V06 Calend 01'!C54),('V06 Calend 01'!F54+'V06 Calend 01'!G54),0)+IF(AND(('V06 Calend 01'!E54&gt;0),(113&gt;'V06 Calend 01'!C54),(113&lt;'V06 Calend 01'!D54),(MOD((113-'V06 Calend 01'!C54),6)=0),(((113-'V06 Calend 01'!C54)/6)&lt;='V06 Calend 01'!E54)),IF((113=('V06 Calend 01'!C54+(6*'V06 Calend 01'!E54))),('V06 Calend 01'!H54-('V06 Calend 01'!I54*('V06 Calend 01'!E54-1))),'V06 Calend 01'!I54),0))+IF((113='V06 Calend 01'!D54),'V06 Calend 01'!J54,0))</f>
        <v>0</v>
      </c>
      <c r="DV54" s="2">
        <f>((IF((114='V06 Calend 01'!C54),('V06 Calend 01'!F54+'V06 Calend 01'!G54),0)+IF(AND(('V06 Calend 01'!E54&gt;0),(114&gt;'V06 Calend 01'!C54),(114&lt;'V06 Calend 01'!D54),(MOD((114-'V06 Calend 01'!C54),6)=0),(((114-'V06 Calend 01'!C54)/6)&lt;='V06 Calend 01'!E54)),IF((114=('V06 Calend 01'!C54+(6*'V06 Calend 01'!E54))),('V06 Calend 01'!H54-('V06 Calend 01'!I54*('V06 Calend 01'!E54-1))),'V06 Calend 01'!I54),0))+IF((114='V06 Calend 01'!D54),'V06 Calend 01'!J54,0))</f>
        <v>0</v>
      </c>
      <c r="DW54" s="2">
        <f>((IF((115='V06 Calend 01'!C54),('V06 Calend 01'!F54+'V06 Calend 01'!G54),0)+IF(AND(('V06 Calend 01'!E54&gt;0),(115&gt;'V06 Calend 01'!C54),(115&lt;'V06 Calend 01'!D54),(MOD((115-'V06 Calend 01'!C54),6)=0),(((115-'V06 Calend 01'!C54)/6)&lt;='V06 Calend 01'!E54)),IF((115=('V06 Calend 01'!C54+(6*'V06 Calend 01'!E54))),('V06 Calend 01'!H54-('V06 Calend 01'!I54*('V06 Calend 01'!E54-1))),'V06 Calend 01'!I54),0))+IF((115='V06 Calend 01'!D54),'V06 Calend 01'!J54,0))</f>
        <v>0</v>
      </c>
      <c r="DX54" s="2">
        <f>((IF((116='V06 Calend 01'!C54),('V06 Calend 01'!F54+'V06 Calend 01'!G54),0)+IF(AND(('V06 Calend 01'!E54&gt;0),(116&gt;'V06 Calend 01'!C54),(116&lt;'V06 Calend 01'!D54),(MOD((116-'V06 Calend 01'!C54),6)=0),(((116-'V06 Calend 01'!C54)/6)&lt;='V06 Calend 01'!E54)),IF((116=('V06 Calend 01'!C54+(6*'V06 Calend 01'!E54))),('V06 Calend 01'!H54-('V06 Calend 01'!I54*('V06 Calend 01'!E54-1))),'V06 Calend 01'!I54),0))+IF((116='V06 Calend 01'!D54),'V06 Calend 01'!J54,0))</f>
        <v>0</v>
      </c>
      <c r="DY54" s="2">
        <f>((IF((117='V06 Calend 01'!C54),('V06 Calend 01'!F54+'V06 Calend 01'!G54),0)+IF(AND(('V06 Calend 01'!E54&gt;0),(117&gt;'V06 Calend 01'!C54),(117&lt;'V06 Calend 01'!D54),(MOD((117-'V06 Calend 01'!C54),6)=0),(((117-'V06 Calend 01'!C54)/6)&lt;='V06 Calend 01'!E54)),IF((117=('V06 Calend 01'!C54+(6*'V06 Calend 01'!E54))),('V06 Calend 01'!H54-('V06 Calend 01'!I54*('V06 Calend 01'!E54-1))),'V06 Calend 01'!I54),0))+IF((117='V06 Calend 01'!D54),'V06 Calend 01'!J54,0))</f>
        <v>0</v>
      </c>
      <c r="DZ54" s="2">
        <f>((IF((118='V06 Calend 01'!C54),('V06 Calend 01'!F54+'V06 Calend 01'!G54),0)+IF(AND(('V06 Calend 01'!E54&gt;0),(118&gt;'V06 Calend 01'!C54),(118&lt;'V06 Calend 01'!D54),(MOD((118-'V06 Calend 01'!C54),6)=0),(((118-'V06 Calend 01'!C54)/6)&lt;='V06 Calend 01'!E54)),IF((118=('V06 Calend 01'!C54+(6*'V06 Calend 01'!E54))),('V06 Calend 01'!H54-('V06 Calend 01'!I54*('V06 Calend 01'!E54-1))),'V06 Calend 01'!I54),0))+IF((118='V06 Calend 01'!D54),'V06 Calend 01'!J54,0))</f>
        <v>0</v>
      </c>
      <c r="EA54" s="2">
        <f>((IF((119='V06 Calend 01'!C54),('V06 Calend 01'!F54+'V06 Calend 01'!G54),0)+IF(AND(('V06 Calend 01'!E54&gt;0),(119&gt;'V06 Calend 01'!C54),(119&lt;'V06 Calend 01'!D54),(MOD((119-'V06 Calend 01'!C54),6)=0),(((119-'V06 Calend 01'!C54)/6)&lt;='V06 Calend 01'!E54)),IF((119=('V06 Calend 01'!C54+(6*'V06 Calend 01'!E54))),('V06 Calend 01'!H54-('V06 Calend 01'!I54*('V06 Calend 01'!E54-1))),'V06 Calend 01'!I54),0))+IF((119='V06 Calend 01'!D54),'V06 Calend 01'!J54,0))</f>
        <v>0</v>
      </c>
      <c r="EB54" s="2">
        <f>((IF((120='V06 Calend 01'!C54),('V06 Calend 01'!F54+'V06 Calend 01'!G54),0)+IF(AND(('V06 Calend 01'!E54&gt;0),(120&gt;'V06 Calend 01'!C54),(120&lt;'V06 Calend 01'!D54),(MOD((120-'V06 Calend 01'!C54),6)=0),(((120-'V06 Calend 01'!C54)/6)&lt;='V06 Calend 01'!E54)),IF((120=('V06 Calend 01'!C54+(6*'V06 Calend 01'!E54))),('V06 Calend 01'!H54-('V06 Calend 01'!I54*('V06 Calend 01'!E54-1))),'V06 Calend 01'!I54),0))+IF((120='V06 Calend 01'!D54),'V06 Calend 01'!J54,0))</f>
        <v>0</v>
      </c>
      <c r="EC54" s="2">
        <f>((IF((121='V06 Calend 01'!C54),('V06 Calend 01'!F54+'V06 Calend 01'!G54),0)+IF(AND(('V06 Calend 01'!E54&gt;0),(121&gt;'V06 Calend 01'!C54),(121&lt;'V06 Calend 01'!D54),(MOD((121-'V06 Calend 01'!C54),6)=0),(((121-'V06 Calend 01'!C54)/6)&lt;='V06 Calend 01'!E54)),IF((121=('V06 Calend 01'!C54+(6*'V06 Calend 01'!E54))),('V06 Calend 01'!H54-('V06 Calend 01'!I54*('V06 Calend 01'!E54-1))),'V06 Calend 01'!I54),0))+IF((121='V06 Calend 01'!D54),'V06 Calend 01'!J54,0))</f>
        <v>0</v>
      </c>
      <c r="ED54" s="2">
        <f>((IF((122='V06 Calend 01'!C54),('V06 Calend 01'!F54+'V06 Calend 01'!G54),0)+IF(AND(('V06 Calend 01'!E54&gt;0),(122&gt;'V06 Calend 01'!C54),(122&lt;'V06 Calend 01'!D54),(MOD((122-'V06 Calend 01'!C54),6)=0),(((122-'V06 Calend 01'!C54)/6)&lt;='V06 Calend 01'!E54)),IF((122=('V06 Calend 01'!C54+(6*'V06 Calend 01'!E54))),('V06 Calend 01'!H54-('V06 Calend 01'!I54*('V06 Calend 01'!E54-1))),'V06 Calend 01'!I54),0))+IF((122='V06 Calend 01'!D54),'V06 Calend 01'!J54,0))</f>
        <v>0</v>
      </c>
      <c r="EE54" s="2">
        <f>((IF((123='V06 Calend 01'!C54),('V06 Calend 01'!F54+'V06 Calend 01'!G54),0)+IF(AND(('V06 Calend 01'!E54&gt;0),(123&gt;'V06 Calend 01'!C54),(123&lt;'V06 Calend 01'!D54),(MOD((123-'V06 Calend 01'!C54),6)=0),(((123-'V06 Calend 01'!C54)/6)&lt;='V06 Calend 01'!E54)),IF((123=('V06 Calend 01'!C54+(6*'V06 Calend 01'!E54))),('V06 Calend 01'!H54-('V06 Calend 01'!I54*('V06 Calend 01'!E54-1))),'V06 Calend 01'!I54),0))+IF((123='V06 Calend 01'!D54),'V06 Calend 01'!J54,0))</f>
        <v>0</v>
      </c>
      <c r="EF54" s="2">
        <f>((IF((124='V06 Calend 01'!C54),('V06 Calend 01'!F54+'V06 Calend 01'!G54),0)+IF(AND(('V06 Calend 01'!E54&gt;0),(124&gt;'V06 Calend 01'!C54),(124&lt;'V06 Calend 01'!D54),(MOD((124-'V06 Calend 01'!C54),6)=0),(((124-'V06 Calend 01'!C54)/6)&lt;='V06 Calend 01'!E54)),IF((124=('V06 Calend 01'!C54+(6*'V06 Calend 01'!E54))),('V06 Calend 01'!H54-('V06 Calend 01'!I54*('V06 Calend 01'!E54-1))),'V06 Calend 01'!I54),0))+IF((124='V06 Calend 01'!D54),'V06 Calend 01'!J54,0))</f>
        <v>0</v>
      </c>
      <c r="EG54" s="2">
        <f>((IF((125='V06 Calend 01'!C54),('V06 Calend 01'!F54+'V06 Calend 01'!G54),0)+IF(AND(('V06 Calend 01'!E54&gt;0),(125&gt;'V06 Calend 01'!C54),(125&lt;'V06 Calend 01'!D54),(MOD((125-'V06 Calend 01'!C54),6)=0),(((125-'V06 Calend 01'!C54)/6)&lt;='V06 Calend 01'!E54)),IF((125=('V06 Calend 01'!C54+(6*'V06 Calend 01'!E54))),('V06 Calend 01'!H54-('V06 Calend 01'!I54*('V06 Calend 01'!E54-1))),'V06 Calend 01'!I54),0))+IF((125='V06 Calend 01'!D54),'V06 Calend 01'!J54,0))</f>
        <v>0</v>
      </c>
      <c r="EH54" s="2">
        <f>((IF((126='V06 Calend 01'!C54),('V06 Calend 01'!F54+'V06 Calend 01'!G54),0)+IF(AND(('V06 Calend 01'!E54&gt;0),(126&gt;'V06 Calend 01'!C54),(126&lt;'V06 Calend 01'!D54),(MOD((126-'V06 Calend 01'!C54),6)=0),(((126-'V06 Calend 01'!C54)/6)&lt;='V06 Calend 01'!E54)),IF((126=('V06 Calend 01'!C54+(6*'V06 Calend 01'!E54))),('V06 Calend 01'!H54-('V06 Calend 01'!I54*('V06 Calend 01'!E54-1))),'V06 Calend 01'!I54),0))+IF((126='V06 Calend 01'!D54),'V06 Calend 01'!J54,0))</f>
        <v>0</v>
      </c>
      <c r="EI54" s="2">
        <f>((IF((127='V06 Calend 01'!C54),('V06 Calend 01'!F54+'V06 Calend 01'!G54),0)+IF(AND(('V06 Calend 01'!E54&gt;0),(127&gt;'V06 Calend 01'!C54),(127&lt;'V06 Calend 01'!D54),(MOD((127-'V06 Calend 01'!C54),6)=0),(((127-'V06 Calend 01'!C54)/6)&lt;='V06 Calend 01'!E54)),IF((127=('V06 Calend 01'!C54+(6*'V06 Calend 01'!E54))),('V06 Calend 01'!H54-('V06 Calend 01'!I54*('V06 Calend 01'!E54-1))),'V06 Calend 01'!I54),0))+IF((127='V06 Calend 01'!D54),'V06 Calend 01'!J54,0))</f>
        <v>0</v>
      </c>
      <c r="EJ54" s="2">
        <f>((IF((128='V06 Calend 01'!C54),('V06 Calend 01'!F54+'V06 Calend 01'!G54),0)+IF(AND(('V06 Calend 01'!E54&gt;0),(128&gt;'V06 Calend 01'!C54),(128&lt;'V06 Calend 01'!D54),(MOD((128-'V06 Calend 01'!C54),6)=0),(((128-'V06 Calend 01'!C54)/6)&lt;='V06 Calend 01'!E54)),IF((128=('V06 Calend 01'!C54+(6*'V06 Calend 01'!E54))),('V06 Calend 01'!H54-('V06 Calend 01'!I54*('V06 Calend 01'!E54-1))),'V06 Calend 01'!I54),0))+IF((128='V06 Calend 01'!D54),'V06 Calend 01'!J54,0))</f>
        <v>0</v>
      </c>
      <c r="EK54" s="2">
        <f>((IF((129='V06 Calend 01'!C54),('V06 Calend 01'!F54+'V06 Calend 01'!G54),0)+IF(AND(('V06 Calend 01'!E54&gt;0),(129&gt;'V06 Calend 01'!C54),(129&lt;'V06 Calend 01'!D54),(MOD((129-'V06 Calend 01'!C54),6)=0),(((129-'V06 Calend 01'!C54)/6)&lt;='V06 Calend 01'!E54)),IF((129=('V06 Calend 01'!C54+(6*'V06 Calend 01'!E54))),('V06 Calend 01'!H54-('V06 Calend 01'!I54*('V06 Calend 01'!E54-1))),'V06 Calend 01'!I54),0))+IF((129='V06 Calend 01'!D54),'V06 Calend 01'!J54,0))</f>
        <v>0</v>
      </c>
      <c r="EL54" s="2">
        <f>((IF((130='V06 Calend 01'!C54),('V06 Calend 01'!F54+'V06 Calend 01'!G54),0)+IF(AND(('V06 Calend 01'!E54&gt;0),(130&gt;'V06 Calend 01'!C54),(130&lt;'V06 Calend 01'!D54),(MOD((130-'V06 Calend 01'!C54),6)=0),(((130-'V06 Calend 01'!C54)/6)&lt;='V06 Calend 01'!E54)),IF((130=('V06 Calend 01'!C54+(6*'V06 Calend 01'!E54))),('V06 Calend 01'!H54-('V06 Calend 01'!I54*('V06 Calend 01'!E54-1))),'V06 Calend 01'!I54),0))+IF((130='V06 Calend 01'!D54),'V06 Calend 01'!J54,0))</f>
        <v>0</v>
      </c>
      <c r="EM54" s="2">
        <f>((IF((131='V06 Calend 01'!C54),('V06 Calend 01'!F54+'V06 Calend 01'!G54),0)+IF(AND(('V06 Calend 01'!E54&gt;0),(131&gt;'V06 Calend 01'!C54),(131&lt;'V06 Calend 01'!D54),(MOD((131-'V06 Calend 01'!C54),6)=0),(((131-'V06 Calend 01'!C54)/6)&lt;='V06 Calend 01'!E54)),IF((131=('V06 Calend 01'!C54+(6*'V06 Calend 01'!E54))),('V06 Calend 01'!H54-('V06 Calend 01'!I54*('V06 Calend 01'!E54-1))),'V06 Calend 01'!I54),0))+IF((131='V06 Calend 01'!D54),'V06 Calend 01'!J54,0))</f>
        <v>0</v>
      </c>
      <c r="EN54" s="2">
        <f>((IF((132='V06 Calend 01'!C54),('V06 Calend 01'!F54+'V06 Calend 01'!G54),0)+IF(AND(('V06 Calend 01'!E54&gt;0),(132&gt;'V06 Calend 01'!C54),(132&lt;'V06 Calend 01'!D54),(MOD((132-'V06 Calend 01'!C54),6)=0),(((132-'V06 Calend 01'!C54)/6)&lt;='V06 Calend 01'!E54)),IF((132=('V06 Calend 01'!C54+(6*'V06 Calend 01'!E54))),('V06 Calend 01'!H54-('V06 Calend 01'!I54*('V06 Calend 01'!E54-1))),'V06 Calend 01'!I54),0))+IF((132='V06 Calend 01'!D54),'V06 Calend 01'!J54,0))</f>
        <v>0</v>
      </c>
      <c r="EO54" s="2">
        <f>((IF((133='V06 Calend 01'!C54),('V06 Calend 01'!F54+'V06 Calend 01'!G54),0)+IF(AND(('V06 Calend 01'!E54&gt;0),(133&gt;'V06 Calend 01'!C54),(133&lt;'V06 Calend 01'!D54),(MOD((133-'V06 Calend 01'!C54),6)=0),(((133-'V06 Calend 01'!C54)/6)&lt;='V06 Calend 01'!E54)),IF((133=('V06 Calend 01'!C54+(6*'V06 Calend 01'!E54))),('V06 Calend 01'!H54-('V06 Calend 01'!I54*('V06 Calend 01'!E54-1))),'V06 Calend 01'!I54),0))+IF((133='V06 Calend 01'!D54),'V06 Calend 01'!J54,0))</f>
        <v>0</v>
      </c>
      <c r="EP54" s="2">
        <f>((IF((134='V06 Calend 01'!C54),('V06 Calend 01'!F54+'V06 Calend 01'!G54),0)+IF(AND(('V06 Calend 01'!E54&gt;0),(134&gt;'V06 Calend 01'!C54),(134&lt;'V06 Calend 01'!D54),(MOD((134-'V06 Calend 01'!C54),6)=0),(((134-'V06 Calend 01'!C54)/6)&lt;='V06 Calend 01'!E54)),IF((134=('V06 Calend 01'!C54+(6*'V06 Calend 01'!E54))),('V06 Calend 01'!H54-('V06 Calend 01'!I54*('V06 Calend 01'!E54-1))),'V06 Calend 01'!I54),0))+IF((134='V06 Calend 01'!D54),'V06 Calend 01'!J54,0))</f>
        <v>0</v>
      </c>
      <c r="EQ54" s="2">
        <f>((IF((135='V06 Calend 01'!C54),('V06 Calend 01'!F54+'V06 Calend 01'!G54),0)+IF(AND(('V06 Calend 01'!E54&gt;0),(135&gt;'V06 Calend 01'!C54),(135&lt;'V06 Calend 01'!D54),(MOD((135-'V06 Calend 01'!C54),6)=0),(((135-'V06 Calend 01'!C54)/6)&lt;='V06 Calend 01'!E54)),IF((135=('V06 Calend 01'!C54+(6*'V06 Calend 01'!E54))),('V06 Calend 01'!H54-('V06 Calend 01'!I54*('V06 Calend 01'!E54-1))),'V06 Calend 01'!I54),0))+IF((135='V06 Calend 01'!D54),'V06 Calend 01'!J54,0))</f>
        <v>0</v>
      </c>
      <c r="ER54" s="2">
        <f>((IF((136='V06 Calend 01'!C54),('V06 Calend 01'!F54+'V06 Calend 01'!G54),0)+IF(AND(('V06 Calend 01'!E54&gt;0),(136&gt;'V06 Calend 01'!C54),(136&lt;'V06 Calend 01'!D54),(MOD((136-'V06 Calend 01'!C54),6)=0),(((136-'V06 Calend 01'!C54)/6)&lt;='V06 Calend 01'!E54)),IF((136=('V06 Calend 01'!C54+(6*'V06 Calend 01'!E54))),('V06 Calend 01'!H54-('V06 Calend 01'!I54*('V06 Calend 01'!E54-1))),'V06 Calend 01'!I54),0))+IF((136='V06 Calend 01'!D54),'V06 Calend 01'!J54,0))</f>
        <v>0</v>
      </c>
      <c r="ES54" s="2">
        <f>((IF((137='V06 Calend 01'!C54),('V06 Calend 01'!F54+'V06 Calend 01'!G54),0)+IF(AND(('V06 Calend 01'!E54&gt;0),(137&gt;'V06 Calend 01'!C54),(137&lt;'V06 Calend 01'!D54),(MOD((137-'V06 Calend 01'!C54),6)=0),(((137-'V06 Calend 01'!C54)/6)&lt;='V06 Calend 01'!E54)),IF((137=('V06 Calend 01'!C54+(6*'V06 Calend 01'!E54))),('V06 Calend 01'!H54-('V06 Calend 01'!I54*('V06 Calend 01'!E54-1))),'V06 Calend 01'!I54),0))+IF((137='V06 Calend 01'!D54),'V06 Calend 01'!J54,0))</f>
        <v>0</v>
      </c>
      <c r="ET54" s="2">
        <f>((IF((138='V06 Calend 01'!C54),('V06 Calend 01'!F54+'V06 Calend 01'!G54),0)+IF(AND(('V06 Calend 01'!E54&gt;0),(138&gt;'V06 Calend 01'!C54),(138&lt;'V06 Calend 01'!D54),(MOD((138-'V06 Calend 01'!C54),6)=0),(((138-'V06 Calend 01'!C54)/6)&lt;='V06 Calend 01'!E54)),IF((138=('V06 Calend 01'!C54+(6*'V06 Calend 01'!E54))),('V06 Calend 01'!H54-('V06 Calend 01'!I54*('V06 Calend 01'!E54-1))),'V06 Calend 01'!I54),0))+IF((138='V06 Calend 01'!D54),'V06 Calend 01'!J54,0))</f>
        <v>0</v>
      </c>
      <c r="EU54" s="2">
        <f>((IF((139='V06 Calend 01'!C54),('V06 Calend 01'!F54+'V06 Calend 01'!G54),0)+IF(AND(('V06 Calend 01'!E54&gt;0),(139&gt;'V06 Calend 01'!C54),(139&lt;'V06 Calend 01'!D54),(MOD((139-'V06 Calend 01'!C54),6)=0),(((139-'V06 Calend 01'!C54)/6)&lt;='V06 Calend 01'!E54)),IF((139=('V06 Calend 01'!C54+(6*'V06 Calend 01'!E54))),('V06 Calend 01'!H54-('V06 Calend 01'!I54*('V06 Calend 01'!E54-1))),'V06 Calend 01'!I54),0))+IF((139='V06 Calend 01'!D54),'V06 Calend 01'!J54,0))</f>
        <v>0</v>
      </c>
      <c r="EV54" s="2">
        <f>((IF((140='V06 Calend 01'!C54),('V06 Calend 01'!F54+'V06 Calend 01'!G54),0)+IF(AND(('V06 Calend 01'!E54&gt;0),(140&gt;'V06 Calend 01'!C54),(140&lt;'V06 Calend 01'!D54),(MOD((140-'V06 Calend 01'!C54),6)=0),(((140-'V06 Calend 01'!C54)/6)&lt;='V06 Calend 01'!E54)),IF((140=('V06 Calend 01'!C54+(6*'V06 Calend 01'!E54))),('V06 Calend 01'!H54-('V06 Calend 01'!I54*('V06 Calend 01'!E54-1))),'V06 Calend 01'!I54),0))+IF((140='V06 Calend 01'!D54),'V06 Calend 01'!J54,0))</f>
        <v>0</v>
      </c>
      <c r="EW54" s="2">
        <f>((IF((141='V06 Calend 01'!C54),('V06 Calend 01'!F54+'V06 Calend 01'!G54),0)+IF(AND(('V06 Calend 01'!E54&gt;0),(141&gt;'V06 Calend 01'!C54),(141&lt;'V06 Calend 01'!D54),(MOD((141-'V06 Calend 01'!C54),6)=0),(((141-'V06 Calend 01'!C54)/6)&lt;='V06 Calend 01'!E54)),IF((141=('V06 Calend 01'!C54+(6*'V06 Calend 01'!E54))),('V06 Calend 01'!H54-('V06 Calend 01'!I54*('V06 Calend 01'!E54-1))),'V06 Calend 01'!I54),0))+IF((141='V06 Calend 01'!D54),'V06 Calend 01'!J54,0))</f>
        <v>0</v>
      </c>
      <c r="EX54" s="2">
        <f>((IF((142='V06 Calend 01'!C54),('V06 Calend 01'!F54+'V06 Calend 01'!G54),0)+IF(AND(('V06 Calend 01'!E54&gt;0),(142&gt;'V06 Calend 01'!C54),(142&lt;'V06 Calend 01'!D54),(MOD((142-'V06 Calend 01'!C54),6)=0),(((142-'V06 Calend 01'!C54)/6)&lt;='V06 Calend 01'!E54)),IF((142=('V06 Calend 01'!C54+(6*'V06 Calend 01'!E54))),('V06 Calend 01'!H54-('V06 Calend 01'!I54*('V06 Calend 01'!E54-1))),'V06 Calend 01'!I54),0))+IF((142='V06 Calend 01'!D54),'V06 Calend 01'!J54,0))</f>
        <v>0</v>
      </c>
      <c r="EY54" s="2">
        <f>((IF((143='V06 Calend 01'!C54),('V06 Calend 01'!F54+'V06 Calend 01'!G54),0)+IF(AND(('V06 Calend 01'!E54&gt;0),(143&gt;'V06 Calend 01'!C54),(143&lt;'V06 Calend 01'!D54),(MOD((143-'V06 Calend 01'!C54),6)=0),(((143-'V06 Calend 01'!C54)/6)&lt;='V06 Calend 01'!E54)),IF((143=('V06 Calend 01'!C54+(6*'V06 Calend 01'!E54))),('V06 Calend 01'!H54-('V06 Calend 01'!I54*('V06 Calend 01'!E54-1))),'V06 Calend 01'!I54),0))+IF((143='V06 Calend 01'!D54),'V06 Calend 01'!J54,0))</f>
        <v>0</v>
      </c>
      <c r="EZ54" s="2">
        <f>((IF((144='V06 Calend 01'!C54),('V06 Calend 01'!F54+'V06 Calend 01'!G54),0)+IF(AND(('V06 Calend 01'!E54&gt;0),(144&gt;'V06 Calend 01'!C54),(144&lt;'V06 Calend 01'!D54),(MOD((144-'V06 Calend 01'!C54),6)=0),(((144-'V06 Calend 01'!C54)/6)&lt;='V06 Calend 01'!E54)),IF((144=('V06 Calend 01'!C54+(6*'V06 Calend 01'!E54))),('V06 Calend 01'!H54-('V06 Calend 01'!I54*('V06 Calend 01'!E54-1))),'V06 Calend 01'!I54),0))+IF((144='V06 Calend 01'!D54),'V06 Calend 01'!J54,0))</f>
        <v>0</v>
      </c>
      <c r="FA54" s="2">
        <f>((IF((145='V06 Calend 01'!C54),('V06 Calend 01'!F54+'V06 Calend 01'!G54),0)+IF(AND(('V06 Calend 01'!E54&gt;0),(145&gt;'V06 Calend 01'!C54),(145&lt;'V06 Calend 01'!D54),(MOD((145-'V06 Calend 01'!C54),6)=0),(((145-'V06 Calend 01'!C54)/6)&lt;='V06 Calend 01'!E54)),IF((145=('V06 Calend 01'!C54+(6*'V06 Calend 01'!E54))),('V06 Calend 01'!H54-('V06 Calend 01'!I54*('V06 Calend 01'!E54-1))),'V06 Calend 01'!I54),0))+IF((145='V06 Calend 01'!D54),'V06 Calend 01'!J54,0))</f>
        <v>0</v>
      </c>
      <c r="FB54" s="2">
        <f>((IF((146='V06 Calend 01'!C54),('V06 Calend 01'!F54+'V06 Calend 01'!G54),0)+IF(AND(('V06 Calend 01'!E54&gt;0),(146&gt;'V06 Calend 01'!C54),(146&lt;'V06 Calend 01'!D54),(MOD((146-'V06 Calend 01'!C54),6)=0),(((146-'V06 Calend 01'!C54)/6)&lt;='V06 Calend 01'!E54)),IF((146=('V06 Calend 01'!C54+(6*'V06 Calend 01'!E54))),('V06 Calend 01'!H54-('V06 Calend 01'!I54*('V06 Calend 01'!E54-1))),'V06 Calend 01'!I54),0))+IF((146='V06 Calend 01'!D54),'V06 Calend 01'!J54,0))</f>
        <v>0</v>
      </c>
      <c r="FC54" s="2">
        <f>((IF((147='V06 Calend 01'!C54),('V06 Calend 01'!F54+'V06 Calend 01'!G54),0)+IF(AND(('V06 Calend 01'!E54&gt;0),(147&gt;'V06 Calend 01'!C54),(147&lt;'V06 Calend 01'!D54),(MOD((147-'V06 Calend 01'!C54),6)=0),(((147-'V06 Calend 01'!C54)/6)&lt;='V06 Calend 01'!E54)),IF((147=('V06 Calend 01'!C54+(6*'V06 Calend 01'!E54))),('V06 Calend 01'!H54-('V06 Calend 01'!I54*('V06 Calend 01'!E54-1))),'V06 Calend 01'!I54),0))+IF((147='V06 Calend 01'!D54),'V06 Calend 01'!J54,0))</f>
        <v>0</v>
      </c>
      <c r="FD54" s="2">
        <f>((IF((148='V06 Calend 01'!C54),('V06 Calend 01'!F54+'V06 Calend 01'!G54),0)+IF(AND(('V06 Calend 01'!E54&gt;0),(148&gt;'V06 Calend 01'!C54),(148&lt;'V06 Calend 01'!D54),(MOD((148-'V06 Calend 01'!C54),6)=0),(((148-'V06 Calend 01'!C54)/6)&lt;='V06 Calend 01'!E54)),IF((148=('V06 Calend 01'!C54+(6*'V06 Calend 01'!E54))),('V06 Calend 01'!H54-('V06 Calend 01'!I54*('V06 Calend 01'!E54-1))),'V06 Calend 01'!I54),0))+IF((148='V06 Calend 01'!D54),'V06 Calend 01'!J54,0))</f>
        <v>0</v>
      </c>
      <c r="FE54" s="2">
        <f>((IF((149='V06 Calend 01'!C54),('V06 Calend 01'!F54+'V06 Calend 01'!G54),0)+IF(AND(('V06 Calend 01'!E54&gt;0),(149&gt;'V06 Calend 01'!C54),(149&lt;'V06 Calend 01'!D54),(MOD((149-'V06 Calend 01'!C54),6)=0),(((149-'V06 Calend 01'!C54)/6)&lt;='V06 Calend 01'!E54)),IF((149=('V06 Calend 01'!C54+(6*'V06 Calend 01'!E54))),('V06 Calend 01'!H54-('V06 Calend 01'!I54*('V06 Calend 01'!E54-1))),'V06 Calend 01'!I54),0))+IF((149='V06 Calend 01'!D54),'V06 Calend 01'!J54,0))</f>
        <v>0</v>
      </c>
      <c r="FF54" s="2">
        <f>((IF((150='V06 Calend 01'!C54),('V06 Calend 01'!F54+'V06 Calend 01'!G54),0)+IF(AND(('V06 Calend 01'!E54&gt;0),(150&gt;'V06 Calend 01'!C54),(150&lt;'V06 Calend 01'!D54),(MOD((150-'V06 Calend 01'!C54),6)=0),(((150-'V06 Calend 01'!C54)/6)&lt;='V06 Calend 01'!E54)),IF((150=('V06 Calend 01'!C54+(6*'V06 Calend 01'!E54))),('V06 Calend 01'!H54-('V06 Calend 01'!I54*('V06 Calend 01'!E54-1))),'V06 Calend 01'!I54),0))+IF((150='V06 Calend 01'!D54),'V06 Calend 01'!J54,0))</f>
        <v>0</v>
      </c>
      <c r="FG54" s="2">
        <f>((IF((151='V06 Calend 01'!C54),('V06 Calend 01'!F54+'V06 Calend 01'!G54),0)+IF(AND(('V06 Calend 01'!E54&gt;0),(151&gt;'V06 Calend 01'!C54),(151&lt;'V06 Calend 01'!D54),(MOD((151-'V06 Calend 01'!C54),6)=0),(((151-'V06 Calend 01'!C54)/6)&lt;='V06 Calend 01'!E54)),IF((151=('V06 Calend 01'!C54+(6*'V06 Calend 01'!E54))),('V06 Calend 01'!H54-('V06 Calend 01'!I54*('V06 Calend 01'!E54-1))),'V06 Calend 01'!I54),0))+IF((151='V06 Calend 01'!D54),'V06 Calend 01'!J54,0))</f>
        <v>0</v>
      </c>
      <c r="FH54" s="2">
        <f>((IF((152='V06 Calend 01'!C54),('V06 Calend 01'!F54+'V06 Calend 01'!G54),0)+IF(AND(('V06 Calend 01'!E54&gt;0),(152&gt;'V06 Calend 01'!C54),(152&lt;'V06 Calend 01'!D54),(MOD((152-'V06 Calend 01'!C54),6)=0),(((152-'V06 Calend 01'!C54)/6)&lt;='V06 Calend 01'!E54)),IF((152=('V06 Calend 01'!C54+(6*'V06 Calend 01'!E54))),('V06 Calend 01'!H54-('V06 Calend 01'!I54*('V06 Calend 01'!E54-1))),'V06 Calend 01'!I54),0))+IF((152='V06 Calend 01'!D54),'V06 Calend 01'!J54,0))</f>
        <v>0</v>
      </c>
      <c r="FI54" s="2">
        <f>((IF((153='V06 Calend 01'!C54),('V06 Calend 01'!F54+'V06 Calend 01'!G54),0)+IF(AND(('V06 Calend 01'!E54&gt;0),(153&gt;'V06 Calend 01'!C54),(153&lt;'V06 Calend 01'!D54),(MOD((153-'V06 Calend 01'!C54),6)=0),(((153-'V06 Calend 01'!C54)/6)&lt;='V06 Calend 01'!E54)),IF((153=('V06 Calend 01'!C54+(6*'V06 Calend 01'!E54))),('V06 Calend 01'!H54-('V06 Calend 01'!I54*('V06 Calend 01'!E54-1))),'V06 Calend 01'!I54),0))+IF((153='V06 Calend 01'!D54),'V06 Calend 01'!J54,0))</f>
        <v>0</v>
      </c>
      <c r="FJ54" s="2">
        <f>((IF((154='V06 Calend 01'!C54),('V06 Calend 01'!F54+'V06 Calend 01'!G54),0)+IF(AND(('V06 Calend 01'!E54&gt;0),(154&gt;'V06 Calend 01'!C54),(154&lt;'V06 Calend 01'!D54),(MOD((154-'V06 Calend 01'!C54),6)=0),(((154-'V06 Calend 01'!C54)/6)&lt;='V06 Calend 01'!E54)),IF((154=('V06 Calend 01'!C54+(6*'V06 Calend 01'!E54))),('V06 Calend 01'!H54-('V06 Calend 01'!I54*('V06 Calend 01'!E54-1))),'V06 Calend 01'!I54),0))+IF((154='V06 Calend 01'!D54),'V06 Calend 01'!J54,0))</f>
        <v>0</v>
      </c>
      <c r="FK54" s="2">
        <f>((IF((155='V06 Calend 01'!C54),('V06 Calend 01'!F54+'V06 Calend 01'!G54),0)+IF(AND(('V06 Calend 01'!E54&gt;0),(155&gt;'V06 Calend 01'!C54),(155&lt;'V06 Calend 01'!D54),(MOD((155-'V06 Calend 01'!C54),6)=0),(((155-'V06 Calend 01'!C54)/6)&lt;='V06 Calend 01'!E54)),IF((155=('V06 Calend 01'!C54+(6*'V06 Calend 01'!E54))),('V06 Calend 01'!H54-('V06 Calend 01'!I54*('V06 Calend 01'!E54-1))),'V06 Calend 01'!I54),0))+IF((155='V06 Calend 01'!D54),'V06 Calend 01'!J54,0))</f>
        <v>0</v>
      </c>
      <c r="FL54" s="2">
        <f>((IF((156='V06 Calend 01'!C54),('V06 Calend 01'!F54+'V06 Calend 01'!G54),0)+IF(AND(('V06 Calend 01'!E54&gt;0),(156&gt;'V06 Calend 01'!C54),(156&lt;'V06 Calend 01'!D54),(MOD((156-'V06 Calend 01'!C54),6)=0),(((156-'V06 Calend 01'!C54)/6)&lt;='V06 Calend 01'!E54)),IF((156=('V06 Calend 01'!C54+(6*'V06 Calend 01'!E54))),('V06 Calend 01'!H54-('V06 Calend 01'!I54*('V06 Calend 01'!E54-1))),'V06 Calend 01'!I54),0))+IF((156='V06 Calend 01'!D54),'V06 Calend 01'!J54,0))</f>
        <v>0</v>
      </c>
      <c r="FM54" s="2">
        <f>((IF((157='V06 Calend 01'!C54),('V06 Calend 01'!F54+'V06 Calend 01'!G54),0)+IF(AND(('V06 Calend 01'!E54&gt;0),(157&gt;'V06 Calend 01'!C54),(157&lt;'V06 Calend 01'!D54),(MOD((157-'V06 Calend 01'!C54),6)=0),(((157-'V06 Calend 01'!C54)/6)&lt;='V06 Calend 01'!E54)),IF((157=('V06 Calend 01'!C54+(6*'V06 Calend 01'!E54))),('V06 Calend 01'!H54-('V06 Calend 01'!I54*('V06 Calend 01'!E54-1))),'V06 Calend 01'!I54),0))+IF((157='V06 Calend 01'!D54),'V06 Calend 01'!J54,0))</f>
        <v>0</v>
      </c>
      <c r="FN54" s="2">
        <f>((IF((158='V06 Calend 01'!C54),('V06 Calend 01'!F54+'V06 Calend 01'!G54),0)+IF(AND(('V06 Calend 01'!E54&gt;0),(158&gt;'V06 Calend 01'!C54),(158&lt;'V06 Calend 01'!D54),(MOD((158-'V06 Calend 01'!C54),6)=0),(((158-'V06 Calend 01'!C54)/6)&lt;='V06 Calend 01'!E54)),IF((158=('V06 Calend 01'!C54+(6*'V06 Calend 01'!E54))),('V06 Calend 01'!H54-('V06 Calend 01'!I54*('V06 Calend 01'!E54-1))),'V06 Calend 01'!I54),0))+IF((158='V06 Calend 01'!D54),'V06 Calend 01'!J54,0))</f>
        <v>0</v>
      </c>
      <c r="FO54" s="2">
        <f>((IF((159='V06 Calend 01'!C54),('V06 Calend 01'!F54+'V06 Calend 01'!G54),0)+IF(AND(('V06 Calend 01'!E54&gt;0),(159&gt;'V06 Calend 01'!C54),(159&lt;'V06 Calend 01'!D54),(MOD((159-'V06 Calend 01'!C54),6)=0),(((159-'V06 Calend 01'!C54)/6)&lt;='V06 Calend 01'!E54)),IF((159=('V06 Calend 01'!C54+(6*'V06 Calend 01'!E54))),('V06 Calend 01'!H54-('V06 Calend 01'!I54*('V06 Calend 01'!E54-1))),'V06 Calend 01'!I54),0))+IF((159='V06 Calend 01'!D54),'V06 Calend 01'!J54,0))</f>
        <v>0</v>
      </c>
      <c r="FP54" s="2">
        <f>((IF((160='V06 Calend 01'!C54),('V06 Calend 01'!F54+'V06 Calend 01'!G54),0)+IF(AND(('V06 Calend 01'!E54&gt;0),(160&gt;'V06 Calend 01'!C54),(160&lt;'V06 Calend 01'!D54),(MOD((160-'V06 Calend 01'!C54),6)=0),(((160-'V06 Calend 01'!C54)/6)&lt;='V06 Calend 01'!E54)),IF((160=('V06 Calend 01'!C54+(6*'V06 Calend 01'!E54))),('V06 Calend 01'!H54-('V06 Calend 01'!I54*('V06 Calend 01'!E54-1))),'V06 Calend 01'!I54),0))+IF((160='V06 Calend 01'!D54),'V06 Calend 01'!J54,0))</f>
        <v>0</v>
      </c>
      <c r="FQ54" s="2">
        <f>((IF((161='V06 Calend 01'!C54),('V06 Calend 01'!F54+'V06 Calend 01'!G54),0)+IF(AND(('V06 Calend 01'!E54&gt;0),(161&gt;'V06 Calend 01'!C54),(161&lt;'V06 Calend 01'!D54),(MOD((161-'V06 Calend 01'!C54),6)=0),(((161-'V06 Calend 01'!C54)/6)&lt;='V06 Calend 01'!E54)),IF((161=('V06 Calend 01'!C54+(6*'V06 Calend 01'!E54))),('V06 Calend 01'!H54-('V06 Calend 01'!I54*('V06 Calend 01'!E54-1))),'V06 Calend 01'!I54),0))+IF((161='V06 Calend 01'!D54),'V06 Calend 01'!J54,0))</f>
        <v>0</v>
      </c>
      <c r="FR54" s="2">
        <f>((IF((162='V06 Calend 01'!C54),('V06 Calend 01'!F54+'V06 Calend 01'!G54),0)+IF(AND(('V06 Calend 01'!E54&gt;0),(162&gt;'V06 Calend 01'!C54),(162&lt;'V06 Calend 01'!D54),(MOD((162-'V06 Calend 01'!C54),6)=0),(((162-'V06 Calend 01'!C54)/6)&lt;='V06 Calend 01'!E54)),IF((162=('V06 Calend 01'!C54+(6*'V06 Calend 01'!E54))),('V06 Calend 01'!H54-('V06 Calend 01'!I54*('V06 Calend 01'!E54-1))),'V06 Calend 01'!I54),0))+IF((162='V06 Calend 01'!D54),'V06 Calend 01'!J54,0))</f>
        <v>0</v>
      </c>
      <c r="FS54" s="2">
        <f>((IF((163='V06 Calend 01'!C54),('V06 Calend 01'!F54+'V06 Calend 01'!G54),0)+IF(AND(('V06 Calend 01'!E54&gt;0),(163&gt;'V06 Calend 01'!C54),(163&lt;'V06 Calend 01'!D54),(MOD((163-'V06 Calend 01'!C54),6)=0),(((163-'V06 Calend 01'!C54)/6)&lt;='V06 Calend 01'!E54)),IF((163=('V06 Calend 01'!C54+(6*'V06 Calend 01'!E54))),('V06 Calend 01'!H54-('V06 Calend 01'!I54*('V06 Calend 01'!E54-1))),'V06 Calend 01'!I54),0))+IF((163='V06 Calend 01'!D54),'V06 Calend 01'!J54,0))</f>
        <v>0</v>
      </c>
      <c r="FT54" s="2">
        <f>((IF((164='V06 Calend 01'!C54),('V06 Calend 01'!F54+'V06 Calend 01'!G54),0)+IF(AND(('V06 Calend 01'!E54&gt;0),(164&gt;'V06 Calend 01'!C54),(164&lt;'V06 Calend 01'!D54),(MOD((164-'V06 Calend 01'!C54),6)=0),(((164-'V06 Calend 01'!C54)/6)&lt;='V06 Calend 01'!E54)),IF((164=('V06 Calend 01'!C54+(6*'V06 Calend 01'!E54))),('V06 Calend 01'!H54-('V06 Calend 01'!I54*('V06 Calend 01'!E54-1))),'V06 Calend 01'!I54),0))+IF((164='V06 Calend 01'!D54),'V06 Calend 01'!J54,0))</f>
        <v>0</v>
      </c>
      <c r="FU54" s="2">
        <f>((IF((165='V06 Calend 01'!C54),('V06 Calend 01'!F54+'V06 Calend 01'!G54),0)+IF(AND(('V06 Calend 01'!E54&gt;0),(165&gt;'V06 Calend 01'!C54),(165&lt;'V06 Calend 01'!D54),(MOD((165-'V06 Calend 01'!C54),6)=0),(((165-'V06 Calend 01'!C54)/6)&lt;='V06 Calend 01'!E54)),IF((165=('V06 Calend 01'!C54+(6*'V06 Calend 01'!E54))),('V06 Calend 01'!H54-('V06 Calend 01'!I54*('V06 Calend 01'!E54-1))),'V06 Calend 01'!I54),0))+IF((165='V06 Calend 01'!D54),'V06 Calend 01'!J54,0))</f>
        <v>0</v>
      </c>
      <c r="FV54" s="2">
        <f>((IF((166='V06 Calend 01'!C54),('V06 Calend 01'!F54+'V06 Calend 01'!G54),0)+IF(AND(('V06 Calend 01'!E54&gt;0),(166&gt;'V06 Calend 01'!C54),(166&lt;'V06 Calend 01'!D54),(MOD((166-'V06 Calend 01'!C54),6)=0),(((166-'V06 Calend 01'!C54)/6)&lt;='V06 Calend 01'!E54)),IF((166=('V06 Calend 01'!C54+(6*'V06 Calend 01'!E54))),('V06 Calend 01'!H54-('V06 Calend 01'!I54*('V06 Calend 01'!E54-1))),'V06 Calend 01'!I54),0))+IF((166='V06 Calend 01'!D54),'V06 Calend 01'!J54,0))</f>
        <v>0</v>
      </c>
      <c r="FW54" s="2">
        <f>((IF((167='V06 Calend 01'!C54),('V06 Calend 01'!F54+'V06 Calend 01'!G54),0)+IF(AND(('V06 Calend 01'!E54&gt;0),(167&gt;'V06 Calend 01'!C54),(167&lt;'V06 Calend 01'!D54),(MOD((167-'V06 Calend 01'!C54),6)=0),(((167-'V06 Calend 01'!C54)/6)&lt;='V06 Calend 01'!E54)),IF((167=('V06 Calend 01'!C54+(6*'V06 Calend 01'!E54))),('V06 Calend 01'!H54-('V06 Calend 01'!I54*('V06 Calend 01'!E54-1))),'V06 Calend 01'!I54),0))+IF((167='V06 Calend 01'!D54),'V06 Calend 01'!J54,0))</f>
        <v>0</v>
      </c>
      <c r="FX54" s="2">
        <f>((IF((168='V06 Calend 01'!C54),('V06 Calend 01'!F54+'V06 Calend 01'!G54),0)+IF(AND(('V06 Calend 01'!E54&gt;0),(168&gt;'V06 Calend 01'!C54),(168&lt;'V06 Calend 01'!D54),(MOD((168-'V06 Calend 01'!C54),6)=0),(((168-'V06 Calend 01'!C54)/6)&lt;='V06 Calend 01'!E54)),IF((168=('V06 Calend 01'!C54+(6*'V06 Calend 01'!E54))),('V06 Calend 01'!H54-('V06 Calend 01'!I54*('V06 Calend 01'!E54-1))),'V06 Calend 01'!I54),0))+IF((168='V06 Calend 01'!D54),'V06 Calend 01'!J54,0))</f>
        <v>0</v>
      </c>
      <c r="FY54" s="2">
        <f>((IF((169='V06 Calend 01'!C54),('V06 Calend 01'!F54+'V06 Calend 01'!G54),0)+IF(AND(('V06 Calend 01'!E54&gt;0),(169&gt;'V06 Calend 01'!C54),(169&lt;'V06 Calend 01'!D54),(MOD((169-'V06 Calend 01'!C54),6)=0),(((169-'V06 Calend 01'!C54)/6)&lt;='V06 Calend 01'!E54)),IF((169=('V06 Calend 01'!C54+(6*'V06 Calend 01'!E54))),('V06 Calend 01'!H54-('V06 Calend 01'!I54*('V06 Calend 01'!E54-1))),'V06 Calend 01'!I54),0))+IF((169='V06 Calend 01'!D54),'V06 Calend 01'!J54,0))</f>
        <v>0</v>
      </c>
      <c r="FZ54" s="2">
        <f>((IF((170='V06 Calend 01'!C54),('V06 Calend 01'!F54+'V06 Calend 01'!G54),0)+IF(AND(('V06 Calend 01'!E54&gt;0),(170&gt;'V06 Calend 01'!C54),(170&lt;'V06 Calend 01'!D54),(MOD((170-'V06 Calend 01'!C54),6)=0),(((170-'V06 Calend 01'!C54)/6)&lt;='V06 Calend 01'!E54)),IF((170=('V06 Calend 01'!C54+(6*'V06 Calend 01'!E54))),('V06 Calend 01'!H54-('V06 Calend 01'!I54*('V06 Calend 01'!E54-1))),'V06 Calend 01'!I54),0))+IF((170='V06 Calend 01'!D54),'V06 Calend 01'!J54,0))</f>
        <v>0</v>
      </c>
      <c r="GA54" s="2">
        <f>((IF((171='V06 Calend 01'!C54),('V06 Calend 01'!F54+'V06 Calend 01'!G54),0)+IF(AND(('V06 Calend 01'!E54&gt;0),(171&gt;'V06 Calend 01'!C54),(171&lt;'V06 Calend 01'!D54),(MOD((171-'V06 Calend 01'!C54),6)=0),(((171-'V06 Calend 01'!C54)/6)&lt;='V06 Calend 01'!E54)),IF((171=('V06 Calend 01'!C54+(6*'V06 Calend 01'!E54))),('V06 Calend 01'!H54-('V06 Calend 01'!I54*('V06 Calend 01'!E54-1))),'V06 Calend 01'!I54),0))+IF((171='V06 Calend 01'!D54),'V06 Calend 01'!J54,0))</f>
        <v>0</v>
      </c>
      <c r="GB54" s="2">
        <f>((IF((172='V06 Calend 01'!C54),('V06 Calend 01'!F54+'V06 Calend 01'!G54),0)+IF(AND(('V06 Calend 01'!E54&gt;0),(172&gt;'V06 Calend 01'!C54),(172&lt;'V06 Calend 01'!D54),(MOD((172-'V06 Calend 01'!C54),6)=0),(((172-'V06 Calend 01'!C54)/6)&lt;='V06 Calend 01'!E54)),IF((172=('V06 Calend 01'!C54+(6*'V06 Calend 01'!E54))),('V06 Calend 01'!H54-('V06 Calend 01'!I54*('V06 Calend 01'!E54-1))),'V06 Calend 01'!I54),0))+IF((172='V06 Calend 01'!D54),'V06 Calend 01'!J54,0))</f>
        <v>0</v>
      </c>
      <c r="GC54" s="2">
        <f>((IF((173='V06 Calend 01'!C54),('V06 Calend 01'!F54+'V06 Calend 01'!G54),0)+IF(AND(('V06 Calend 01'!E54&gt;0),(173&gt;'V06 Calend 01'!C54),(173&lt;'V06 Calend 01'!D54),(MOD((173-'V06 Calend 01'!C54),6)=0),(((173-'V06 Calend 01'!C54)/6)&lt;='V06 Calend 01'!E54)),IF((173=('V06 Calend 01'!C54+(6*'V06 Calend 01'!E54))),('V06 Calend 01'!H54-('V06 Calend 01'!I54*('V06 Calend 01'!E54-1))),'V06 Calend 01'!I54),0))+IF((173='V06 Calend 01'!D54),'V06 Calend 01'!J54,0))</f>
        <v>0</v>
      </c>
      <c r="GD54" s="2">
        <f>((IF((174='V06 Calend 01'!C54),('V06 Calend 01'!F54+'V06 Calend 01'!G54),0)+IF(AND(('V06 Calend 01'!E54&gt;0),(174&gt;'V06 Calend 01'!C54),(174&lt;'V06 Calend 01'!D54),(MOD((174-'V06 Calend 01'!C54),6)=0),(((174-'V06 Calend 01'!C54)/6)&lt;='V06 Calend 01'!E54)),IF((174=('V06 Calend 01'!C54+(6*'V06 Calend 01'!E54))),('V06 Calend 01'!H54-('V06 Calend 01'!I54*('V06 Calend 01'!E54-1))),'V06 Calend 01'!I54),0))+IF((174='V06 Calend 01'!D54),'V06 Calend 01'!J54,0))</f>
        <v>0</v>
      </c>
      <c r="GE54" s="2">
        <f>((IF((175='V06 Calend 01'!C54),('V06 Calend 01'!F54+'V06 Calend 01'!G54),0)+IF(AND(('V06 Calend 01'!E54&gt;0),(175&gt;'V06 Calend 01'!C54),(175&lt;'V06 Calend 01'!D54),(MOD((175-'V06 Calend 01'!C54),6)=0),(((175-'V06 Calend 01'!C54)/6)&lt;='V06 Calend 01'!E54)),IF((175=('V06 Calend 01'!C54+(6*'V06 Calend 01'!E54))),('V06 Calend 01'!H54-('V06 Calend 01'!I54*('V06 Calend 01'!E54-1))),'V06 Calend 01'!I54),0))+IF((175='V06 Calend 01'!D54),'V06 Calend 01'!J54,0))</f>
        <v>0</v>
      </c>
      <c r="GF54" s="2">
        <f>((IF((176='V06 Calend 01'!C54),('V06 Calend 01'!F54+'V06 Calend 01'!G54),0)+IF(AND(('V06 Calend 01'!E54&gt;0),(176&gt;'V06 Calend 01'!C54),(176&lt;'V06 Calend 01'!D54),(MOD((176-'V06 Calend 01'!C54),6)=0),(((176-'V06 Calend 01'!C54)/6)&lt;='V06 Calend 01'!E54)),IF((176=('V06 Calend 01'!C54+(6*'V06 Calend 01'!E54))),('V06 Calend 01'!H54-('V06 Calend 01'!I54*('V06 Calend 01'!E54-1))),'V06 Calend 01'!I54),0))+IF((176='V06 Calend 01'!D54),'V06 Calend 01'!J54,0))</f>
        <v>0</v>
      </c>
      <c r="GG54" s="2">
        <f>((IF((177='V06 Calend 01'!C54),('V06 Calend 01'!F54+'V06 Calend 01'!G54),0)+IF(AND(('V06 Calend 01'!E54&gt;0),(177&gt;'V06 Calend 01'!C54),(177&lt;'V06 Calend 01'!D54),(MOD((177-'V06 Calend 01'!C54),6)=0),(((177-'V06 Calend 01'!C54)/6)&lt;='V06 Calend 01'!E54)),IF((177=('V06 Calend 01'!C54+(6*'V06 Calend 01'!E54))),('V06 Calend 01'!H54-('V06 Calend 01'!I54*('V06 Calend 01'!E54-1))),'V06 Calend 01'!I54),0))+IF((177='V06 Calend 01'!D54),'V06 Calend 01'!J54,0))</f>
        <v>0</v>
      </c>
      <c r="GH54" s="2">
        <f>((IF((178='V06 Calend 01'!C54),('V06 Calend 01'!F54+'V06 Calend 01'!G54),0)+IF(AND(('V06 Calend 01'!E54&gt;0),(178&gt;'V06 Calend 01'!C54),(178&lt;'V06 Calend 01'!D54),(MOD((178-'V06 Calend 01'!C54),6)=0),(((178-'V06 Calend 01'!C54)/6)&lt;='V06 Calend 01'!E54)),IF((178=('V06 Calend 01'!C54+(6*'V06 Calend 01'!E54))),('V06 Calend 01'!H54-('V06 Calend 01'!I54*('V06 Calend 01'!E54-1))),'V06 Calend 01'!I54),0))+IF((178='V06 Calend 01'!D54),'V06 Calend 01'!J54,0))</f>
        <v>0</v>
      </c>
      <c r="GI54" s="2">
        <f>((IF((179='V06 Calend 01'!C54),('V06 Calend 01'!F54+'V06 Calend 01'!G54),0)+IF(AND(('V06 Calend 01'!E54&gt;0),(179&gt;'V06 Calend 01'!C54),(179&lt;'V06 Calend 01'!D54),(MOD((179-'V06 Calend 01'!C54),6)=0),(((179-'V06 Calend 01'!C54)/6)&lt;='V06 Calend 01'!E54)),IF((179=('V06 Calend 01'!C54+(6*'V06 Calend 01'!E54))),('V06 Calend 01'!H54-('V06 Calend 01'!I54*('V06 Calend 01'!E54-1))),'V06 Calend 01'!I54),0))+IF((179='V06 Calend 01'!D54),'V06 Calend 01'!J54,0))</f>
        <v>0</v>
      </c>
      <c r="GJ54" s="2">
        <f>((IF((180='V06 Calend 01'!C54),('V06 Calend 01'!F54+'V06 Calend 01'!G54),0)+IF(AND(('V06 Calend 01'!E54&gt;0),(180&gt;'V06 Calend 01'!C54),(180&lt;'V06 Calend 01'!D54),(MOD((180-'V06 Calend 01'!C54),6)=0),(((180-'V06 Calend 01'!C54)/6)&lt;='V06 Calend 01'!E54)),IF((180=('V06 Calend 01'!C54+(6*'V06 Calend 01'!E54))),('V06 Calend 01'!H54-('V06 Calend 01'!I54*('V06 Calend 01'!E54-1))),'V06 Calend 01'!I54),0))+IF((180='V06 Calend 01'!D54),'V06 Calend 01'!J54,0))</f>
        <v>0</v>
      </c>
    </row>
    <row r="55" spans="1:192">
      <c r="A55" s="3" t="str">
        <f>'V06 Unidades'!$A$55</f>
        <v>701</v>
      </c>
      <c r="B55" s="2">
        <f>'V06 Unidades'!$H$55</f>
        <v>737386.01</v>
      </c>
      <c r="C55" s="4">
        <f>('V06 Unidades'!$I$55+'V06 Controlos'!$B$37)</f>
        <v>7</v>
      </c>
      <c r="D55" s="4">
        <f>IF(('V06 Controlos'!$B$38&gt;0),MAX(('V06 Unidades'!$L$55+'V06 Controlos'!$B$37),(30+'V06 Controlos'!$B$38)),('V06 Unidades'!$L$55+'V06 Controlos'!$B$37))</f>
        <v>30</v>
      </c>
      <c r="E55" s="4">
        <f>MAX(0,INT(((('V06 Calend 01'!D55-'V06 Calend 01'!C55)-1)/6)))</f>
        <v>3</v>
      </c>
      <c r="F55" s="2">
        <f>ROUND(('V06 Calend 01'!B55*0.05),2)</f>
        <v>36869.3</v>
      </c>
      <c r="G55" s="2">
        <f>ROUND(('V06 Calend 01'!B55*0.2),2)</f>
        <v>147477.2</v>
      </c>
      <c r="H55" s="2">
        <f>ROUND(('V06 Calend 01'!B55*0.55),2)</f>
        <v>405562.31</v>
      </c>
      <c r="I55" s="2">
        <f>ROUND(('V06 Calend 01'!H55/MAX(1,'V06 Calend 01'!E55)),2)</f>
        <v>135187.44</v>
      </c>
      <c r="J55" s="2">
        <f>((('V06 Calend 01'!B55-'V06 Calend 01'!F55)-'V06 Calend 01'!G55)-'V06 Calend 01'!H55)</f>
        <v>147477.2</v>
      </c>
      <c r="K55" s="2">
        <f>('V06 Calend 01'!B55*0.025)</f>
        <v>18434.650250000002</v>
      </c>
      <c r="L55" t="s">
        <v>378</v>
      </c>
      <c r="M55" s="2">
        <f>((IF((1='V06 Calend 01'!C55),('V06 Calend 01'!F55+'V06 Calend 01'!G55),0)+IF(AND(('V06 Calend 01'!E55&gt;0),(1&gt;'V06 Calend 01'!C55),(1&lt;'V06 Calend 01'!D55),(MOD((1-'V06 Calend 01'!C55),6)=0),(((1-'V06 Calend 01'!C55)/6)&lt;='V06 Calend 01'!E55)),IF((1=('V06 Calend 01'!C55+(6*'V06 Calend 01'!E55))),('V06 Calend 01'!H55-('V06 Calend 01'!I55*('V06 Calend 01'!E55-1))),'V06 Calend 01'!I55),0))+IF((1='V06 Calend 01'!D55),'V06 Calend 01'!J55,0))</f>
        <v>0</v>
      </c>
      <c r="N55" s="2">
        <f>((IF((2='V06 Calend 01'!C55),('V06 Calend 01'!F55+'V06 Calend 01'!G55),0)+IF(AND(('V06 Calend 01'!E55&gt;0),(2&gt;'V06 Calend 01'!C55),(2&lt;'V06 Calend 01'!D55),(MOD((2-'V06 Calend 01'!C55),6)=0),(((2-'V06 Calend 01'!C55)/6)&lt;='V06 Calend 01'!E55)),IF((2=('V06 Calend 01'!C55+(6*'V06 Calend 01'!E55))),('V06 Calend 01'!H55-('V06 Calend 01'!I55*('V06 Calend 01'!E55-1))),'V06 Calend 01'!I55),0))+IF((2='V06 Calend 01'!D55),'V06 Calend 01'!J55,0))</f>
        <v>0</v>
      </c>
      <c r="O55" s="2">
        <f>((IF((3='V06 Calend 01'!C55),('V06 Calend 01'!F55+'V06 Calend 01'!G55),0)+IF(AND(('V06 Calend 01'!E55&gt;0),(3&gt;'V06 Calend 01'!C55),(3&lt;'V06 Calend 01'!D55),(MOD((3-'V06 Calend 01'!C55),6)=0),(((3-'V06 Calend 01'!C55)/6)&lt;='V06 Calend 01'!E55)),IF((3=('V06 Calend 01'!C55+(6*'V06 Calend 01'!E55))),('V06 Calend 01'!H55-('V06 Calend 01'!I55*('V06 Calend 01'!E55-1))),'V06 Calend 01'!I55),0))+IF((3='V06 Calend 01'!D55),'V06 Calend 01'!J55,0))</f>
        <v>0</v>
      </c>
      <c r="P55" s="2">
        <f>((IF((4='V06 Calend 01'!C55),('V06 Calend 01'!F55+'V06 Calend 01'!G55),0)+IF(AND(('V06 Calend 01'!E55&gt;0),(4&gt;'V06 Calend 01'!C55),(4&lt;'V06 Calend 01'!D55),(MOD((4-'V06 Calend 01'!C55),6)=0),(((4-'V06 Calend 01'!C55)/6)&lt;='V06 Calend 01'!E55)),IF((4=('V06 Calend 01'!C55+(6*'V06 Calend 01'!E55))),('V06 Calend 01'!H55-('V06 Calend 01'!I55*('V06 Calend 01'!E55-1))),'V06 Calend 01'!I55),0))+IF((4='V06 Calend 01'!D55),'V06 Calend 01'!J55,0))</f>
        <v>0</v>
      </c>
      <c r="Q55" s="2">
        <f>((IF((5='V06 Calend 01'!C55),('V06 Calend 01'!F55+'V06 Calend 01'!G55),0)+IF(AND(('V06 Calend 01'!E55&gt;0),(5&gt;'V06 Calend 01'!C55),(5&lt;'V06 Calend 01'!D55),(MOD((5-'V06 Calend 01'!C55),6)=0),(((5-'V06 Calend 01'!C55)/6)&lt;='V06 Calend 01'!E55)),IF((5=('V06 Calend 01'!C55+(6*'V06 Calend 01'!E55))),('V06 Calend 01'!H55-('V06 Calend 01'!I55*('V06 Calend 01'!E55-1))),'V06 Calend 01'!I55),0))+IF((5='V06 Calend 01'!D55),'V06 Calend 01'!J55,0))</f>
        <v>0</v>
      </c>
      <c r="R55" s="2">
        <f>((IF((6='V06 Calend 01'!C55),('V06 Calend 01'!F55+'V06 Calend 01'!G55),0)+IF(AND(('V06 Calend 01'!E55&gt;0),(6&gt;'V06 Calend 01'!C55),(6&lt;'V06 Calend 01'!D55),(MOD((6-'V06 Calend 01'!C55),6)=0),(((6-'V06 Calend 01'!C55)/6)&lt;='V06 Calend 01'!E55)),IF((6=('V06 Calend 01'!C55+(6*'V06 Calend 01'!E55))),('V06 Calend 01'!H55-('V06 Calend 01'!I55*('V06 Calend 01'!E55-1))),'V06 Calend 01'!I55),0))+IF((6='V06 Calend 01'!D55),'V06 Calend 01'!J55,0))</f>
        <v>0</v>
      </c>
      <c r="S55" s="2">
        <f>((IF((7='V06 Calend 01'!C55),('V06 Calend 01'!F55+'V06 Calend 01'!G55),0)+IF(AND(('V06 Calend 01'!E55&gt;0),(7&gt;'V06 Calend 01'!C55),(7&lt;'V06 Calend 01'!D55),(MOD((7-'V06 Calend 01'!C55),6)=0),(((7-'V06 Calend 01'!C55)/6)&lt;='V06 Calend 01'!E55)),IF((7=('V06 Calend 01'!C55+(6*'V06 Calend 01'!E55))),('V06 Calend 01'!H55-('V06 Calend 01'!I55*('V06 Calend 01'!E55-1))),'V06 Calend 01'!I55),0))+IF((7='V06 Calend 01'!D55),'V06 Calend 01'!J55,0))</f>
        <v>184346.5</v>
      </c>
      <c r="T55" s="2">
        <f>((IF((8='V06 Calend 01'!C55),('V06 Calend 01'!F55+'V06 Calend 01'!G55),0)+IF(AND(('V06 Calend 01'!E55&gt;0),(8&gt;'V06 Calend 01'!C55),(8&lt;'V06 Calend 01'!D55),(MOD((8-'V06 Calend 01'!C55),6)=0),(((8-'V06 Calend 01'!C55)/6)&lt;='V06 Calend 01'!E55)),IF((8=('V06 Calend 01'!C55+(6*'V06 Calend 01'!E55))),('V06 Calend 01'!H55-('V06 Calend 01'!I55*('V06 Calend 01'!E55-1))),'V06 Calend 01'!I55),0))+IF((8='V06 Calend 01'!D55),'V06 Calend 01'!J55,0))</f>
        <v>0</v>
      </c>
      <c r="U55" s="2">
        <f>((IF((9='V06 Calend 01'!C55),('V06 Calend 01'!F55+'V06 Calend 01'!G55),0)+IF(AND(('V06 Calend 01'!E55&gt;0),(9&gt;'V06 Calend 01'!C55),(9&lt;'V06 Calend 01'!D55),(MOD((9-'V06 Calend 01'!C55),6)=0),(((9-'V06 Calend 01'!C55)/6)&lt;='V06 Calend 01'!E55)),IF((9=('V06 Calend 01'!C55+(6*'V06 Calend 01'!E55))),('V06 Calend 01'!H55-('V06 Calend 01'!I55*('V06 Calend 01'!E55-1))),'V06 Calend 01'!I55),0))+IF((9='V06 Calend 01'!D55),'V06 Calend 01'!J55,0))</f>
        <v>0</v>
      </c>
      <c r="V55" s="2">
        <f>((IF((10='V06 Calend 01'!C55),('V06 Calend 01'!F55+'V06 Calend 01'!G55),0)+IF(AND(('V06 Calend 01'!E55&gt;0),(10&gt;'V06 Calend 01'!C55),(10&lt;'V06 Calend 01'!D55),(MOD((10-'V06 Calend 01'!C55),6)=0),(((10-'V06 Calend 01'!C55)/6)&lt;='V06 Calend 01'!E55)),IF((10=('V06 Calend 01'!C55+(6*'V06 Calend 01'!E55))),('V06 Calend 01'!H55-('V06 Calend 01'!I55*('V06 Calend 01'!E55-1))),'V06 Calend 01'!I55),0))+IF((10='V06 Calend 01'!D55),'V06 Calend 01'!J55,0))</f>
        <v>0</v>
      </c>
      <c r="W55" s="2">
        <f>((IF((11='V06 Calend 01'!C55),('V06 Calend 01'!F55+'V06 Calend 01'!G55),0)+IF(AND(('V06 Calend 01'!E55&gt;0),(11&gt;'V06 Calend 01'!C55),(11&lt;'V06 Calend 01'!D55),(MOD((11-'V06 Calend 01'!C55),6)=0),(((11-'V06 Calend 01'!C55)/6)&lt;='V06 Calend 01'!E55)),IF((11=('V06 Calend 01'!C55+(6*'V06 Calend 01'!E55))),('V06 Calend 01'!H55-('V06 Calend 01'!I55*('V06 Calend 01'!E55-1))),'V06 Calend 01'!I55),0))+IF((11='V06 Calend 01'!D55),'V06 Calend 01'!J55,0))</f>
        <v>0</v>
      </c>
      <c r="X55" s="2">
        <f>((IF((12='V06 Calend 01'!C55),('V06 Calend 01'!F55+'V06 Calend 01'!G55),0)+IF(AND(('V06 Calend 01'!E55&gt;0),(12&gt;'V06 Calend 01'!C55),(12&lt;'V06 Calend 01'!D55),(MOD((12-'V06 Calend 01'!C55),6)=0),(((12-'V06 Calend 01'!C55)/6)&lt;='V06 Calend 01'!E55)),IF((12=('V06 Calend 01'!C55+(6*'V06 Calend 01'!E55))),('V06 Calend 01'!H55-('V06 Calend 01'!I55*('V06 Calend 01'!E55-1))),'V06 Calend 01'!I55),0))+IF((12='V06 Calend 01'!D55),'V06 Calend 01'!J55,0))</f>
        <v>0</v>
      </c>
      <c r="Y55" s="2">
        <f>((IF((13='V06 Calend 01'!C55),('V06 Calend 01'!F55+'V06 Calend 01'!G55),0)+IF(AND(('V06 Calend 01'!E55&gt;0),(13&gt;'V06 Calend 01'!C55),(13&lt;'V06 Calend 01'!D55),(MOD((13-'V06 Calend 01'!C55),6)=0),(((13-'V06 Calend 01'!C55)/6)&lt;='V06 Calend 01'!E55)),IF((13=('V06 Calend 01'!C55+(6*'V06 Calend 01'!E55))),('V06 Calend 01'!H55-('V06 Calend 01'!I55*('V06 Calend 01'!E55-1))),'V06 Calend 01'!I55),0))+IF((13='V06 Calend 01'!D55),'V06 Calend 01'!J55,0))</f>
        <v>135187.44</v>
      </c>
      <c r="Z55" s="2">
        <f>((IF((14='V06 Calend 01'!C55),('V06 Calend 01'!F55+'V06 Calend 01'!G55),0)+IF(AND(('V06 Calend 01'!E55&gt;0),(14&gt;'V06 Calend 01'!C55),(14&lt;'V06 Calend 01'!D55),(MOD((14-'V06 Calend 01'!C55),6)=0),(((14-'V06 Calend 01'!C55)/6)&lt;='V06 Calend 01'!E55)),IF((14=('V06 Calend 01'!C55+(6*'V06 Calend 01'!E55))),('V06 Calend 01'!H55-('V06 Calend 01'!I55*('V06 Calend 01'!E55-1))),'V06 Calend 01'!I55),0))+IF((14='V06 Calend 01'!D55),'V06 Calend 01'!J55,0))</f>
        <v>0</v>
      </c>
      <c r="AA55" s="2">
        <f>((IF((15='V06 Calend 01'!C55),('V06 Calend 01'!F55+'V06 Calend 01'!G55),0)+IF(AND(('V06 Calend 01'!E55&gt;0),(15&gt;'V06 Calend 01'!C55),(15&lt;'V06 Calend 01'!D55),(MOD((15-'V06 Calend 01'!C55),6)=0),(((15-'V06 Calend 01'!C55)/6)&lt;='V06 Calend 01'!E55)),IF((15=('V06 Calend 01'!C55+(6*'V06 Calend 01'!E55))),('V06 Calend 01'!H55-('V06 Calend 01'!I55*('V06 Calend 01'!E55-1))),'V06 Calend 01'!I55),0))+IF((15='V06 Calend 01'!D55),'V06 Calend 01'!J55,0))</f>
        <v>0</v>
      </c>
      <c r="AB55" s="2">
        <f>((IF((16='V06 Calend 01'!C55),('V06 Calend 01'!F55+'V06 Calend 01'!G55),0)+IF(AND(('V06 Calend 01'!E55&gt;0),(16&gt;'V06 Calend 01'!C55),(16&lt;'V06 Calend 01'!D55),(MOD((16-'V06 Calend 01'!C55),6)=0),(((16-'V06 Calend 01'!C55)/6)&lt;='V06 Calend 01'!E55)),IF((16=('V06 Calend 01'!C55+(6*'V06 Calend 01'!E55))),('V06 Calend 01'!H55-('V06 Calend 01'!I55*('V06 Calend 01'!E55-1))),'V06 Calend 01'!I55),0))+IF((16='V06 Calend 01'!D55),'V06 Calend 01'!J55,0))</f>
        <v>0</v>
      </c>
      <c r="AC55" s="2">
        <f>((IF((17='V06 Calend 01'!C55),('V06 Calend 01'!F55+'V06 Calend 01'!G55),0)+IF(AND(('V06 Calend 01'!E55&gt;0),(17&gt;'V06 Calend 01'!C55),(17&lt;'V06 Calend 01'!D55),(MOD((17-'V06 Calend 01'!C55),6)=0),(((17-'V06 Calend 01'!C55)/6)&lt;='V06 Calend 01'!E55)),IF((17=('V06 Calend 01'!C55+(6*'V06 Calend 01'!E55))),('V06 Calend 01'!H55-('V06 Calend 01'!I55*('V06 Calend 01'!E55-1))),'V06 Calend 01'!I55),0))+IF((17='V06 Calend 01'!D55),'V06 Calend 01'!J55,0))</f>
        <v>0</v>
      </c>
      <c r="AD55" s="2">
        <f>((IF((18='V06 Calend 01'!C55),('V06 Calend 01'!F55+'V06 Calend 01'!G55),0)+IF(AND(('V06 Calend 01'!E55&gt;0),(18&gt;'V06 Calend 01'!C55),(18&lt;'V06 Calend 01'!D55),(MOD((18-'V06 Calend 01'!C55),6)=0),(((18-'V06 Calend 01'!C55)/6)&lt;='V06 Calend 01'!E55)),IF((18=('V06 Calend 01'!C55+(6*'V06 Calend 01'!E55))),('V06 Calend 01'!H55-('V06 Calend 01'!I55*('V06 Calend 01'!E55-1))),'V06 Calend 01'!I55),0))+IF((18='V06 Calend 01'!D55),'V06 Calend 01'!J55,0))</f>
        <v>0</v>
      </c>
      <c r="AE55" s="2">
        <f>((IF((19='V06 Calend 01'!C55),('V06 Calend 01'!F55+'V06 Calend 01'!G55),0)+IF(AND(('V06 Calend 01'!E55&gt;0),(19&gt;'V06 Calend 01'!C55),(19&lt;'V06 Calend 01'!D55),(MOD((19-'V06 Calend 01'!C55),6)=0),(((19-'V06 Calend 01'!C55)/6)&lt;='V06 Calend 01'!E55)),IF((19=('V06 Calend 01'!C55+(6*'V06 Calend 01'!E55))),('V06 Calend 01'!H55-('V06 Calend 01'!I55*('V06 Calend 01'!E55-1))),'V06 Calend 01'!I55),0))+IF((19='V06 Calend 01'!D55),'V06 Calend 01'!J55,0))</f>
        <v>135187.44</v>
      </c>
      <c r="AF55" s="2">
        <f>((IF((20='V06 Calend 01'!C55),('V06 Calend 01'!F55+'V06 Calend 01'!G55),0)+IF(AND(('V06 Calend 01'!E55&gt;0),(20&gt;'V06 Calend 01'!C55),(20&lt;'V06 Calend 01'!D55),(MOD((20-'V06 Calend 01'!C55),6)=0),(((20-'V06 Calend 01'!C55)/6)&lt;='V06 Calend 01'!E55)),IF((20=('V06 Calend 01'!C55+(6*'V06 Calend 01'!E55))),('V06 Calend 01'!H55-('V06 Calend 01'!I55*('V06 Calend 01'!E55-1))),'V06 Calend 01'!I55),0))+IF((20='V06 Calend 01'!D55),'V06 Calend 01'!J55,0))</f>
        <v>0</v>
      </c>
      <c r="AG55" s="2">
        <f>((IF((21='V06 Calend 01'!C55),('V06 Calend 01'!F55+'V06 Calend 01'!G55),0)+IF(AND(('V06 Calend 01'!E55&gt;0),(21&gt;'V06 Calend 01'!C55),(21&lt;'V06 Calend 01'!D55),(MOD((21-'V06 Calend 01'!C55),6)=0),(((21-'V06 Calend 01'!C55)/6)&lt;='V06 Calend 01'!E55)),IF((21=('V06 Calend 01'!C55+(6*'V06 Calend 01'!E55))),('V06 Calend 01'!H55-('V06 Calend 01'!I55*('V06 Calend 01'!E55-1))),'V06 Calend 01'!I55),0))+IF((21='V06 Calend 01'!D55),'V06 Calend 01'!J55,0))</f>
        <v>0</v>
      </c>
      <c r="AH55" s="2">
        <f>((IF((22='V06 Calend 01'!C55),('V06 Calend 01'!F55+'V06 Calend 01'!G55),0)+IF(AND(('V06 Calend 01'!E55&gt;0),(22&gt;'V06 Calend 01'!C55),(22&lt;'V06 Calend 01'!D55),(MOD((22-'V06 Calend 01'!C55),6)=0),(((22-'V06 Calend 01'!C55)/6)&lt;='V06 Calend 01'!E55)),IF((22=('V06 Calend 01'!C55+(6*'V06 Calend 01'!E55))),('V06 Calend 01'!H55-('V06 Calend 01'!I55*('V06 Calend 01'!E55-1))),'V06 Calend 01'!I55),0))+IF((22='V06 Calend 01'!D55),'V06 Calend 01'!J55,0))</f>
        <v>0</v>
      </c>
      <c r="AI55" s="2">
        <f>((IF((23='V06 Calend 01'!C55),('V06 Calend 01'!F55+'V06 Calend 01'!G55),0)+IF(AND(('V06 Calend 01'!E55&gt;0),(23&gt;'V06 Calend 01'!C55),(23&lt;'V06 Calend 01'!D55),(MOD((23-'V06 Calend 01'!C55),6)=0),(((23-'V06 Calend 01'!C55)/6)&lt;='V06 Calend 01'!E55)),IF((23=('V06 Calend 01'!C55+(6*'V06 Calend 01'!E55))),('V06 Calend 01'!H55-('V06 Calend 01'!I55*('V06 Calend 01'!E55-1))),'V06 Calend 01'!I55),0))+IF((23='V06 Calend 01'!D55),'V06 Calend 01'!J55,0))</f>
        <v>0</v>
      </c>
      <c r="AJ55" s="2">
        <f>((IF((24='V06 Calend 01'!C55),('V06 Calend 01'!F55+'V06 Calend 01'!G55),0)+IF(AND(('V06 Calend 01'!E55&gt;0),(24&gt;'V06 Calend 01'!C55),(24&lt;'V06 Calend 01'!D55),(MOD((24-'V06 Calend 01'!C55),6)=0),(((24-'V06 Calend 01'!C55)/6)&lt;='V06 Calend 01'!E55)),IF((24=('V06 Calend 01'!C55+(6*'V06 Calend 01'!E55))),('V06 Calend 01'!H55-('V06 Calend 01'!I55*('V06 Calend 01'!E55-1))),'V06 Calend 01'!I55),0))+IF((24='V06 Calend 01'!D55),'V06 Calend 01'!J55,0))</f>
        <v>0</v>
      </c>
      <c r="AK55" s="2">
        <f>((IF((25='V06 Calend 01'!C55),('V06 Calend 01'!F55+'V06 Calend 01'!G55),0)+IF(AND(('V06 Calend 01'!E55&gt;0),(25&gt;'V06 Calend 01'!C55),(25&lt;'V06 Calend 01'!D55),(MOD((25-'V06 Calend 01'!C55),6)=0),(((25-'V06 Calend 01'!C55)/6)&lt;='V06 Calend 01'!E55)),IF((25=('V06 Calend 01'!C55+(6*'V06 Calend 01'!E55))),('V06 Calend 01'!H55-('V06 Calend 01'!I55*('V06 Calend 01'!E55-1))),'V06 Calend 01'!I55),0))+IF((25='V06 Calend 01'!D55),'V06 Calend 01'!J55,0))</f>
        <v>135187.43</v>
      </c>
      <c r="AL55" s="2">
        <f>((IF((26='V06 Calend 01'!C55),('V06 Calend 01'!F55+'V06 Calend 01'!G55),0)+IF(AND(('V06 Calend 01'!E55&gt;0),(26&gt;'V06 Calend 01'!C55),(26&lt;'V06 Calend 01'!D55),(MOD((26-'V06 Calend 01'!C55),6)=0),(((26-'V06 Calend 01'!C55)/6)&lt;='V06 Calend 01'!E55)),IF((26=('V06 Calend 01'!C55+(6*'V06 Calend 01'!E55))),('V06 Calend 01'!H55-('V06 Calend 01'!I55*('V06 Calend 01'!E55-1))),'V06 Calend 01'!I55),0))+IF((26='V06 Calend 01'!D55),'V06 Calend 01'!J55,0))</f>
        <v>0</v>
      </c>
      <c r="AM55" s="2">
        <f>((IF((27='V06 Calend 01'!C55),('V06 Calend 01'!F55+'V06 Calend 01'!G55),0)+IF(AND(('V06 Calend 01'!E55&gt;0),(27&gt;'V06 Calend 01'!C55),(27&lt;'V06 Calend 01'!D55),(MOD((27-'V06 Calend 01'!C55),6)=0),(((27-'V06 Calend 01'!C55)/6)&lt;='V06 Calend 01'!E55)),IF((27=('V06 Calend 01'!C55+(6*'V06 Calend 01'!E55))),('V06 Calend 01'!H55-('V06 Calend 01'!I55*('V06 Calend 01'!E55-1))),'V06 Calend 01'!I55),0))+IF((27='V06 Calend 01'!D55),'V06 Calend 01'!J55,0))</f>
        <v>0</v>
      </c>
      <c r="AN55" s="2">
        <f>((IF((28='V06 Calend 01'!C55),('V06 Calend 01'!F55+'V06 Calend 01'!G55),0)+IF(AND(('V06 Calend 01'!E55&gt;0),(28&gt;'V06 Calend 01'!C55),(28&lt;'V06 Calend 01'!D55),(MOD((28-'V06 Calend 01'!C55),6)=0),(((28-'V06 Calend 01'!C55)/6)&lt;='V06 Calend 01'!E55)),IF((28=('V06 Calend 01'!C55+(6*'V06 Calend 01'!E55))),('V06 Calend 01'!H55-('V06 Calend 01'!I55*('V06 Calend 01'!E55-1))),'V06 Calend 01'!I55),0))+IF((28='V06 Calend 01'!D55),'V06 Calend 01'!J55,0))</f>
        <v>0</v>
      </c>
      <c r="AO55" s="2">
        <f>((IF((29='V06 Calend 01'!C55),('V06 Calend 01'!F55+'V06 Calend 01'!G55),0)+IF(AND(('V06 Calend 01'!E55&gt;0),(29&gt;'V06 Calend 01'!C55),(29&lt;'V06 Calend 01'!D55),(MOD((29-'V06 Calend 01'!C55),6)=0),(((29-'V06 Calend 01'!C55)/6)&lt;='V06 Calend 01'!E55)),IF((29=('V06 Calend 01'!C55+(6*'V06 Calend 01'!E55))),('V06 Calend 01'!H55-('V06 Calend 01'!I55*('V06 Calend 01'!E55-1))),'V06 Calend 01'!I55),0))+IF((29='V06 Calend 01'!D55),'V06 Calend 01'!J55,0))</f>
        <v>0</v>
      </c>
      <c r="AP55" s="2">
        <f>((IF((30='V06 Calend 01'!C55),('V06 Calend 01'!F55+'V06 Calend 01'!G55),0)+IF(AND(('V06 Calend 01'!E55&gt;0),(30&gt;'V06 Calend 01'!C55),(30&lt;'V06 Calend 01'!D55),(MOD((30-'V06 Calend 01'!C55),6)=0),(((30-'V06 Calend 01'!C55)/6)&lt;='V06 Calend 01'!E55)),IF((30=('V06 Calend 01'!C55+(6*'V06 Calend 01'!E55))),('V06 Calend 01'!H55-('V06 Calend 01'!I55*('V06 Calend 01'!E55-1))),'V06 Calend 01'!I55),0))+IF((30='V06 Calend 01'!D55),'V06 Calend 01'!J55,0))</f>
        <v>147477.2</v>
      </c>
      <c r="AQ55" s="2">
        <f>((IF((31='V06 Calend 01'!C55),('V06 Calend 01'!F55+'V06 Calend 01'!G55),0)+IF(AND(('V06 Calend 01'!E55&gt;0),(31&gt;'V06 Calend 01'!C55),(31&lt;'V06 Calend 01'!D55),(MOD((31-'V06 Calend 01'!C55),6)=0),(((31-'V06 Calend 01'!C55)/6)&lt;='V06 Calend 01'!E55)),IF((31=('V06 Calend 01'!C55+(6*'V06 Calend 01'!E55))),('V06 Calend 01'!H55-('V06 Calend 01'!I55*('V06 Calend 01'!E55-1))),'V06 Calend 01'!I55),0))+IF((31='V06 Calend 01'!D55),'V06 Calend 01'!J55,0))</f>
        <v>0</v>
      </c>
      <c r="AR55" s="2">
        <f>((IF((32='V06 Calend 01'!C55),('V06 Calend 01'!F55+'V06 Calend 01'!G55),0)+IF(AND(('V06 Calend 01'!E55&gt;0),(32&gt;'V06 Calend 01'!C55),(32&lt;'V06 Calend 01'!D55),(MOD((32-'V06 Calend 01'!C55),6)=0),(((32-'V06 Calend 01'!C55)/6)&lt;='V06 Calend 01'!E55)),IF((32=('V06 Calend 01'!C55+(6*'V06 Calend 01'!E55))),('V06 Calend 01'!H55-('V06 Calend 01'!I55*('V06 Calend 01'!E55-1))),'V06 Calend 01'!I55),0))+IF((32='V06 Calend 01'!D55),'V06 Calend 01'!J55,0))</f>
        <v>0</v>
      </c>
      <c r="AS55" s="2">
        <f>((IF((33='V06 Calend 01'!C55),('V06 Calend 01'!F55+'V06 Calend 01'!G55),0)+IF(AND(('V06 Calend 01'!E55&gt;0),(33&gt;'V06 Calend 01'!C55),(33&lt;'V06 Calend 01'!D55),(MOD((33-'V06 Calend 01'!C55),6)=0),(((33-'V06 Calend 01'!C55)/6)&lt;='V06 Calend 01'!E55)),IF((33=('V06 Calend 01'!C55+(6*'V06 Calend 01'!E55))),('V06 Calend 01'!H55-('V06 Calend 01'!I55*('V06 Calend 01'!E55-1))),'V06 Calend 01'!I55),0))+IF((33='V06 Calend 01'!D55),'V06 Calend 01'!J55,0))</f>
        <v>0</v>
      </c>
      <c r="AT55" s="2">
        <f>((IF((34='V06 Calend 01'!C55),('V06 Calend 01'!F55+'V06 Calend 01'!G55),0)+IF(AND(('V06 Calend 01'!E55&gt;0),(34&gt;'V06 Calend 01'!C55),(34&lt;'V06 Calend 01'!D55),(MOD((34-'V06 Calend 01'!C55),6)=0),(((34-'V06 Calend 01'!C55)/6)&lt;='V06 Calend 01'!E55)),IF((34=('V06 Calend 01'!C55+(6*'V06 Calend 01'!E55))),('V06 Calend 01'!H55-('V06 Calend 01'!I55*('V06 Calend 01'!E55-1))),'V06 Calend 01'!I55),0))+IF((34='V06 Calend 01'!D55),'V06 Calend 01'!J55,0))</f>
        <v>0</v>
      </c>
      <c r="AU55" s="2">
        <f>((IF((35='V06 Calend 01'!C55),('V06 Calend 01'!F55+'V06 Calend 01'!G55),0)+IF(AND(('V06 Calend 01'!E55&gt;0),(35&gt;'V06 Calend 01'!C55),(35&lt;'V06 Calend 01'!D55),(MOD((35-'V06 Calend 01'!C55),6)=0),(((35-'V06 Calend 01'!C55)/6)&lt;='V06 Calend 01'!E55)),IF((35=('V06 Calend 01'!C55+(6*'V06 Calend 01'!E55))),('V06 Calend 01'!H55-('V06 Calend 01'!I55*('V06 Calend 01'!E55-1))),'V06 Calend 01'!I55),0))+IF((35='V06 Calend 01'!D55),'V06 Calend 01'!J55,0))</f>
        <v>0</v>
      </c>
      <c r="AV55" s="2">
        <f>((IF((36='V06 Calend 01'!C55),('V06 Calend 01'!F55+'V06 Calend 01'!G55),0)+IF(AND(('V06 Calend 01'!E55&gt;0),(36&gt;'V06 Calend 01'!C55),(36&lt;'V06 Calend 01'!D55),(MOD((36-'V06 Calend 01'!C55),6)=0),(((36-'V06 Calend 01'!C55)/6)&lt;='V06 Calend 01'!E55)),IF((36=('V06 Calend 01'!C55+(6*'V06 Calend 01'!E55))),('V06 Calend 01'!H55-('V06 Calend 01'!I55*('V06 Calend 01'!E55-1))),'V06 Calend 01'!I55),0))+IF((36='V06 Calend 01'!D55),'V06 Calend 01'!J55,0))</f>
        <v>0</v>
      </c>
      <c r="AW55" s="2">
        <f>((IF((37='V06 Calend 01'!C55),('V06 Calend 01'!F55+'V06 Calend 01'!G55),0)+IF(AND(('V06 Calend 01'!E55&gt;0),(37&gt;'V06 Calend 01'!C55),(37&lt;'V06 Calend 01'!D55),(MOD((37-'V06 Calend 01'!C55),6)=0),(((37-'V06 Calend 01'!C55)/6)&lt;='V06 Calend 01'!E55)),IF((37=('V06 Calend 01'!C55+(6*'V06 Calend 01'!E55))),('V06 Calend 01'!H55-('V06 Calend 01'!I55*('V06 Calend 01'!E55-1))),'V06 Calend 01'!I55),0))+IF((37='V06 Calend 01'!D55),'V06 Calend 01'!J55,0))</f>
        <v>0</v>
      </c>
      <c r="AX55" s="2">
        <f>((IF((38='V06 Calend 01'!C55),('V06 Calend 01'!F55+'V06 Calend 01'!G55),0)+IF(AND(('V06 Calend 01'!E55&gt;0),(38&gt;'V06 Calend 01'!C55),(38&lt;'V06 Calend 01'!D55),(MOD((38-'V06 Calend 01'!C55),6)=0),(((38-'V06 Calend 01'!C55)/6)&lt;='V06 Calend 01'!E55)),IF((38=('V06 Calend 01'!C55+(6*'V06 Calend 01'!E55))),('V06 Calend 01'!H55-('V06 Calend 01'!I55*('V06 Calend 01'!E55-1))),'V06 Calend 01'!I55),0))+IF((38='V06 Calend 01'!D55),'V06 Calend 01'!J55,0))</f>
        <v>0</v>
      </c>
      <c r="AY55" s="2">
        <f>((IF((39='V06 Calend 01'!C55),('V06 Calend 01'!F55+'V06 Calend 01'!G55),0)+IF(AND(('V06 Calend 01'!E55&gt;0),(39&gt;'V06 Calend 01'!C55),(39&lt;'V06 Calend 01'!D55),(MOD((39-'V06 Calend 01'!C55),6)=0),(((39-'V06 Calend 01'!C55)/6)&lt;='V06 Calend 01'!E55)),IF((39=('V06 Calend 01'!C55+(6*'V06 Calend 01'!E55))),('V06 Calend 01'!H55-('V06 Calend 01'!I55*('V06 Calend 01'!E55-1))),'V06 Calend 01'!I55),0))+IF((39='V06 Calend 01'!D55),'V06 Calend 01'!J55,0))</f>
        <v>0</v>
      </c>
      <c r="AZ55" s="2">
        <f>((IF((40='V06 Calend 01'!C55),('V06 Calend 01'!F55+'V06 Calend 01'!G55),0)+IF(AND(('V06 Calend 01'!E55&gt;0),(40&gt;'V06 Calend 01'!C55),(40&lt;'V06 Calend 01'!D55),(MOD((40-'V06 Calend 01'!C55),6)=0),(((40-'V06 Calend 01'!C55)/6)&lt;='V06 Calend 01'!E55)),IF((40=('V06 Calend 01'!C55+(6*'V06 Calend 01'!E55))),('V06 Calend 01'!H55-('V06 Calend 01'!I55*('V06 Calend 01'!E55-1))),'V06 Calend 01'!I55),0))+IF((40='V06 Calend 01'!D55),'V06 Calend 01'!J55,0))</f>
        <v>0</v>
      </c>
      <c r="BA55" s="2">
        <f>((IF((41='V06 Calend 01'!C55),('V06 Calend 01'!F55+'V06 Calend 01'!G55),0)+IF(AND(('V06 Calend 01'!E55&gt;0),(41&gt;'V06 Calend 01'!C55),(41&lt;'V06 Calend 01'!D55),(MOD((41-'V06 Calend 01'!C55),6)=0),(((41-'V06 Calend 01'!C55)/6)&lt;='V06 Calend 01'!E55)),IF((41=('V06 Calend 01'!C55+(6*'V06 Calend 01'!E55))),('V06 Calend 01'!H55-('V06 Calend 01'!I55*('V06 Calend 01'!E55-1))),'V06 Calend 01'!I55),0))+IF((41='V06 Calend 01'!D55),'V06 Calend 01'!J55,0))</f>
        <v>0</v>
      </c>
      <c r="BB55" s="2">
        <f>((IF((42='V06 Calend 01'!C55),('V06 Calend 01'!F55+'V06 Calend 01'!G55),0)+IF(AND(('V06 Calend 01'!E55&gt;0),(42&gt;'V06 Calend 01'!C55),(42&lt;'V06 Calend 01'!D55),(MOD((42-'V06 Calend 01'!C55),6)=0),(((42-'V06 Calend 01'!C55)/6)&lt;='V06 Calend 01'!E55)),IF((42=('V06 Calend 01'!C55+(6*'V06 Calend 01'!E55))),('V06 Calend 01'!H55-('V06 Calend 01'!I55*('V06 Calend 01'!E55-1))),'V06 Calend 01'!I55),0))+IF((42='V06 Calend 01'!D55),'V06 Calend 01'!J55,0))</f>
        <v>0</v>
      </c>
      <c r="BC55" s="2">
        <f>((IF((43='V06 Calend 01'!C55),('V06 Calend 01'!F55+'V06 Calend 01'!G55),0)+IF(AND(('V06 Calend 01'!E55&gt;0),(43&gt;'V06 Calend 01'!C55),(43&lt;'V06 Calend 01'!D55),(MOD((43-'V06 Calend 01'!C55),6)=0),(((43-'V06 Calend 01'!C55)/6)&lt;='V06 Calend 01'!E55)),IF((43=('V06 Calend 01'!C55+(6*'V06 Calend 01'!E55))),('V06 Calend 01'!H55-('V06 Calend 01'!I55*('V06 Calend 01'!E55-1))),'V06 Calend 01'!I55),0))+IF((43='V06 Calend 01'!D55),'V06 Calend 01'!J55,0))</f>
        <v>0</v>
      </c>
      <c r="BD55" s="2">
        <f>((IF((44='V06 Calend 01'!C55),('V06 Calend 01'!F55+'V06 Calend 01'!G55),0)+IF(AND(('V06 Calend 01'!E55&gt;0),(44&gt;'V06 Calend 01'!C55),(44&lt;'V06 Calend 01'!D55),(MOD((44-'V06 Calend 01'!C55),6)=0),(((44-'V06 Calend 01'!C55)/6)&lt;='V06 Calend 01'!E55)),IF((44=('V06 Calend 01'!C55+(6*'V06 Calend 01'!E55))),('V06 Calend 01'!H55-('V06 Calend 01'!I55*('V06 Calend 01'!E55-1))),'V06 Calend 01'!I55),0))+IF((44='V06 Calend 01'!D55),'V06 Calend 01'!J55,0))</f>
        <v>0</v>
      </c>
      <c r="BE55" s="2">
        <f>((IF((45='V06 Calend 01'!C55),('V06 Calend 01'!F55+'V06 Calend 01'!G55),0)+IF(AND(('V06 Calend 01'!E55&gt;0),(45&gt;'V06 Calend 01'!C55),(45&lt;'V06 Calend 01'!D55),(MOD((45-'V06 Calend 01'!C55),6)=0),(((45-'V06 Calend 01'!C55)/6)&lt;='V06 Calend 01'!E55)),IF((45=('V06 Calend 01'!C55+(6*'V06 Calend 01'!E55))),('V06 Calend 01'!H55-('V06 Calend 01'!I55*('V06 Calend 01'!E55-1))),'V06 Calend 01'!I55),0))+IF((45='V06 Calend 01'!D55),'V06 Calend 01'!J55,0))</f>
        <v>0</v>
      </c>
      <c r="BF55" s="2">
        <f>((IF((46='V06 Calend 01'!C55),('V06 Calend 01'!F55+'V06 Calend 01'!G55),0)+IF(AND(('V06 Calend 01'!E55&gt;0),(46&gt;'V06 Calend 01'!C55),(46&lt;'V06 Calend 01'!D55),(MOD((46-'V06 Calend 01'!C55),6)=0),(((46-'V06 Calend 01'!C55)/6)&lt;='V06 Calend 01'!E55)),IF((46=('V06 Calend 01'!C55+(6*'V06 Calend 01'!E55))),('V06 Calend 01'!H55-('V06 Calend 01'!I55*('V06 Calend 01'!E55-1))),'V06 Calend 01'!I55),0))+IF((46='V06 Calend 01'!D55),'V06 Calend 01'!J55,0))</f>
        <v>0</v>
      </c>
      <c r="BG55" s="2">
        <f>((IF((47='V06 Calend 01'!C55),('V06 Calend 01'!F55+'V06 Calend 01'!G55),0)+IF(AND(('V06 Calend 01'!E55&gt;0),(47&gt;'V06 Calend 01'!C55),(47&lt;'V06 Calend 01'!D55),(MOD((47-'V06 Calend 01'!C55),6)=0),(((47-'V06 Calend 01'!C55)/6)&lt;='V06 Calend 01'!E55)),IF((47=('V06 Calend 01'!C55+(6*'V06 Calend 01'!E55))),('V06 Calend 01'!H55-('V06 Calend 01'!I55*('V06 Calend 01'!E55-1))),'V06 Calend 01'!I55),0))+IF((47='V06 Calend 01'!D55),'V06 Calend 01'!J55,0))</f>
        <v>0</v>
      </c>
      <c r="BH55" s="2">
        <f>((IF((48='V06 Calend 01'!C55),('V06 Calend 01'!F55+'V06 Calend 01'!G55),0)+IF(AND(('V06 Calend 01'!E55&gt;0),(48&gt;'V06 Calend 01'!C55),(48&lt;'V06 Calend 01'!D55),(MOD((48-'V06 Calend 01'!C55),6)=0),(((48-'V06 Calend 01'!C55)/6)&lt;='V06 Calend 01'!E55)),IF((48=('V06 Calend 01'!C55+(6*'V06 Calend 01'!E55))),('V06 Calend 01'!H55-('V06 Calend 01'!I55*('V06 Calend 01'!E55-1))),'V06 Calend 01'!I55),0))+IF((48='V06 Calend 01'!D55),'V06 Calend 01'!J55,0))</f>
        <v>0</v>
      </c>
      <c r="BI55" s="2">
        <f>((IF((49='V06 Calend 01'!C55),('V06 Calend 01'!F55+'V06 Calend 01'!G55),0)+IF(AND(('V06 Calend 01'!E55&gt;0),(49&gt;'V06 Calend 01'!C55),(49&lt;'V06 Calend 01'!D55),(MOD((49-'V06 Calend 01'!C55),6)=0),(((49-'V06 Calend 01'!C55)/6)&lt;='V06 Calend 01'!E55)),IF((49=('V06 Calend 01'!C55+(6*'V06 Calend 01'!E55))),('V06 Calend 01'!H55-('V06 Calend 01'!I55*('V06 Calend 01'!E55-1))),'V06 Calend 01'!I55),0))+IF((49='V06 Calend 01'!D55),'V06 Calend 01'!J55,0))</f>
        <v>0</v>
      </c>
      <c r="BJ55" s="2">
        <f>((IF((50='V06 Calend 01'!C55),('V06 Calend 01'!F55+'V06 Calend 01'!G55),0)+IF(AND(('V06 Calend 01'!E55&gt;0),(50&gt;'V06 Calend 01'!C55),(50&lt;'V06 Calend 01'!D55),(MOD((50-'V06 Calend 01'!C55),6)=0),(((50-'V06 Calend 01'!C55)/6)&lt;='V06 Calend 01'!E55)),IF((50=('V06 Calend 01'!C55+(6*'V06 Calend 01'!E55))),('V06 Calend 01'!H55-('V06 Calend 01'!I55*('V06 Calend 01'!E55-1))),'V06 Calend 01'!I55),0))+IF((50='V06 Calend 01'!D55),'V06 Calend 01'!J55,0))</f>
        <v>0</v>
      </c>
      <c r="BK55" s="2">
        <f>((IF((51='V06 Calend 01'!C55),('V06 Calend 01'!F55+'V06 Calend 01'!G55),0)+IF(AND(('V06 Calend 01'!E55&gt;0),(51&gt;'V06 Calend 01'!C55),(51&lt;'V06 Calend 01'!D55),(MOD((51-'V06 Calend 01'!C55),6)=0),(((51-'V06 Calend 01'!C55)/6)&lt;='V06 Calend 01'!E55)),IF((51=('V06 Calend 01'!C55+(6*'V06 Calend 01'!E55))),('V06 Calend 01'!H55-('V06 Calend 01'!I55*('V06 Calend 01'!E55-1))),'V06 Calend 01'!I55),0))+IF((51='V06 Calend 01'!D55),'V06 Calend 01'!J55,0))</f>
        <v>0</v>
      </c>
      <c r="BL55" s="2">
        <f>((IF((52='V06 Calend 01'!C55),('V06 Calend 01'!F55+'V06 Calend 01'!G55),0)+IF(AND(('V06 Calend 01'!E55&gt;0),(52&gt;'V06 Calend 01'!C55),(52&lt;'V06 Calend 01'!D55),(MOD((52-'V06 Calend 01'!C55),6)=0),(((52-'V06 Calend 01'!C55)/6)&lt;='V06 Calend 01'!E55)),IF((52=('V06 Calend 01'!C55+(6*'V06 Calend 01'!E55))),('V06 Calend 01'!H55-('V06 Calend 01'!I55*('V06 Calend 01'!E55-1))),'V06 Calend 01'!I55),0))+IF((52='V06 Calend 01'!D55),'V06 Calend 01'!J55,0))</f>
        <v>0</v>
      </c>
      <c r="BM55" s="2">
        <f>((IF((53='V06 Calend 01'!C55),('V06 Calend 01'!F55+'V06 Calend 01'!G55),0)+IF(AND(('V06 Calend 01'!E55&gt;0),(53&gt;'V06 Calend 01'!C55),(53&lt;'V06 Calend 01'!D55),(MOD((53-'V06 Calend 01'!C55),6)=0),(((53-'V06 Calend 01'!C55)/6)&lt;='V06 Calend 01'!E55)),IF((53=('V06 Calend 01'!C55+(6*'V06 Calend 01'!E55))),('V06 Calend 01'!H55-('V06 Calend 01'!I55*('V06 Calend 01'!E55-1))),'V06 Calend 01'!I55),0))+IF((53='V06 Calend 01'!D55),'V06 Calend 01'!J55,0))</f>
        <v>0</v>
      </c>
      <c r="BN55" s="2">
        <f>((IF((54='V06 Calend 01'!C55),('V06 Calend 01'!F55+'V06 Calend 01'!G55),0)+IF(AND(('V06 Calend 01'!E55&gt;0),(54&gt;'V06 Calend 01'!C55),(54&lt;'V06 Calend 01'!D55),(MOD((54-'V06 Calend 01'!C55),6)=0),(((54-'V06 Calend 01'!C55)/6)&lt;='V06 Calend 01'!E55)),IF((54=('V06 Calend 01'!C55+(6*'V06 Calend 01'!E55))),('V06 Calend 01'!H55-('V06 Calend 01'!I55*('V06 Calend 01'!E55-1))),'V06 Calend 01'!I55),0))+IF((54='V06 Calend 01'!D55),'V06 Calend 01'!J55,0))</f>
        <v>0</v>
      </c>
      <c r="BO55" s="2">
        <f>((IF((55='V06 Calend 01'!C55),('V06 Calend 01'!F55+'V06 Calend 01'!G55),0)+IF(AND(('V06 Calend 01'!E55&gt;0),(55&gt;'V06 Calend 01'!C55),(55&lt;'V06 Calend 01'!D55),(MOD((55-'V06 Calend 01'!C55),6)=0),(((55-'V06 Calend 01'!C55)/6)&lt;='V06 Calend 01'!E55)),IF((55=('V06 Calend 01'!C55+(6*'V06 Calend 01'!E55))),('V06 Calend 01'!H55-('V06 Calend 01'!I55*('V06 Calend 01'!E55-1))),'V06 Calend 01'!I55),0))+IF((55='V06 Calend 01'!D55),'V06 Calend 01'!J55,0))</f>
        <v>0</v>
      </c>
      <c r="BP55" s="2">
        <f>((IF((56='V06 Calend 01'!C55),('V06 Calend 01'!F55+'V06 Calend 01'!G55),0)+IF(AND(('V06 Calend 01'!E55&gt;0),(56&gt;'V06 Calend 01'!C55),(56&lt;'V06 Calend 01'!D55),(MOD((56-'V06 Calend 01'!C55),6)=0),(((56-'V06 Calend 01'!C55)/6)&lt;='V06 Calend 01'!E55)),IF((56=('V06 Calend 01'!C55+(6*'V06 Calend 01'!E55))),('V06 Calend 01'!H55-('V06 Calend 01'!I55*('V06 Calend 01'!E55-1))),'V06 Calend 01'!I55),0))+IF((56='V06 Calend 01'!D55),'V06 Calend 01'!J55,0))</f>
        <v>0</v>
      </c>
      <c r="BQ55" s="2">
        <f>((IF((57='V06 Calend 01'!C55),('V06 Calend 01'!F55+'V06 Calend 01'!G55),0)+IF(AND(('V06 Calend 01'!E55&gt;0),(57&gt;'V06 Calend 01'!C55),(57&lt;'V06 Calend 01'!D55),(MOD((57-'V06 Calend 01'!C55),6)=0),(((57-'V06 Calend 01'!C55)/6)&lt;='V06 Calend 01'!E55)),IF((57=('V06 Calend 01'!C55+(6*'V06 Calend 01'!E55))),('V06 Calend 01'!H55-('V06 Calend 01'!I55*('V06 Calend 01'!E55-1))),'V06 Calend 01'!I55),0))+IF((57='V06 Calend 01'!D55),'V06 Calend 01'!J55,0))</f>
        <v>0</v>
      </c>
      <c r="BR55" s="2">
        <f>((IF((58='V06 Calend 01'!C55),('V06 Calend 01'!F55+'V06 Calend 01'!G55),0)+IF(AND(('V06 Calend 01'!E55&gt;0),(58&gt;'V06 Calend 01'!C55),(58&lt;'V06 Calend 01'!D55),(MOD((58-'V06 Calend 01'!C55),6)=0),(((58-'V06 Calend 01'!C55)/6)&lt;='V06 Calend 01'!E55)),IF((58=('V06 Calend 01'!C55+(6*'V06 Calend 01'!E55))),('V06 Calend 01'!H55-('V06 Calend 01'!I55*('V06 Calend 01'!E55-1))),'V06 Calend 01'!I55),0))+IF((58='V06 Calend 01'!D55),'V06 Calend 01'!J55,0))</f>
        <v>0</v>
      </c>
      <c r="BS55" s="2">
        <f>((IF((59='V06 Calend 01'!C55),('V06 Calend 01'!F55+'V06 Calend 01'!G55),0)+IF(AND(('V06 Calend 01'!E55&gt;0),(59&gt;'V06 Calend 01'!C55),(59&lt;'V06 Calend 01'!D55),(MOD((59-'V06 Calend 01'!C55),6)=0),(((59-'V06 Calend 01'!C55)/6)&lt;='V06 Calend 01'!E55)),IF((59=('V06 Calend 01'!C55+(6*'V06 Calend 01'!E55))),('V06 Calend 01'!H55-('V06 Calend 01'!I55*('V06 Calend 01'!E55-1))),'V06 Calend 01'!I55),0))+IF((59='V06 Calend 01'!D55),'V06 Calend 01'!J55,0))</f>
        <v>0</v>
      </c>
      <c r="BT55" s="2">
        <f>((IF((60='V06 Calend 01'!C55),('V06 Calend 01'!F55+'V06 Calend 01'!G55),0)+IF(AND(('V06 Calend 01'!E55&gt;0),(60&gt;'V06 Calend 01'!C55),(60&lt;'V06 Calend 01'!D55),(MOD((60-'V06 Calend 01'!C55),6)=0),(((60-'V06 Calend 01'!C55)/6)&lt;='V06 Calend 01'!E55)),IF((60=('V06 Calend 01'!C55+(6*'V06 Calend 01'!E55))),('V06 Calend 01'!H55-('V06 Calend 01'!I55*('V06 Calend 01'!E55-1))),'V06 Calend 01'!I55),0))+IF((60='V06 Calend 01'!D55),'V06 Calend 01'!J55,0))</f>
        <v>0</v>
      </c>
      <c r="BU55" s="2">
        <f>((IF((61='V06 Calend 01'!C55),('V06 Calend 01'!F55+'V06 Calend 01'!G55),0)+IF(AND(('V06 Calend 01'!E55&gt;0),(61&gt;'V06 Calend 01'!C55),(61&lt;'V06 Calend 01'!D55),(MOD((61-'V06 Calend 01'!C55),6)=0),(((61-'V06 Calend 01'!C55)/6)&lt;='V06 Calend 01'!E55)),IF((61=('V06 Calend 01'!C55+(6*'V06 Calend 01'!E55))),('V06 Calend 01'!H55-('V06 Calend 01'!I55*('V06 Calend 01'!E55-1))),'V06 Calend 01'!I55),0))+IF((61='V06 Calend 01'!D55),'V06 Calend 01'!J55,0))</f>
        <v>0</v>
      </c>
      <c r="BV55" s="2">
        <f>((IF((62='V06 Calend 01'!C55),('V06 Calend 01'!F55+'V06 Calend 01'!G55),0)+IF(AND(('V06 Calend 01'!E55&gt;0),(62&gt;'V06 Calend 01'!C55),(62&lt;'V06 Calend 01'!D55),(MOD((62-'V06 Calend 01'!C55),6)=0),(((62-'V06 Calend 01'!C55)/6)&lt;='V06 Calend 01'!E55)),IF((62=('V06 Calend 01'!C55+(6*'V06 Calend 01'!E55))),('V06 Calend 01'!H55-('V06 Calend 01'!I55*('V06 Calend 01'!E55-1))),'V06 Calend 01'!I55),0))+IF((62='V06 Calend 01'!D55),'V06 Calend 01'!J55,0))</f>
        <v>0</v>
      </c>
      <c r="BW55" s="2">
        <f>((IF((63='V06 Calend 01'!C55),('V06 Calend 01'!F55+'V06 Calend 01'!G55),0)+IF(AND(('V06 Calend 01'!E55&gt;0),(63&gt;'V06 Calend 01'!C55),(63&lt;'V06 Calend 01'!D55),(MOD((63-'V06 Calend 01'!C55),6)=0),(((63-'V06 Calend 01'!C55)/6)&lt;='V06 Calend 01'!E55)),IF((63=('V06 Calend 01'!C55+(6*'V06 Calend 01'!E55))),('V06 Calend 01'!H55-('V06 Calend 01'!I55*('V06 Calend 01'!E55-1))),'V06 Calend 01'!I55),0))+IF((63='V06 Calend 01'!D55),'V06 Calend 01'!J55,0))</f>
        <v>0</v>
      </c>
      <c r="BX55" s="2">
        <f>((IF((64='V06 Calend 01'!C55),('V06 Calend 01'!F55+'V06 Calend 01'!G55),0)+IF(AND(('V06 Calend 01'!E55&gt;0),(64&gt;'V06 Calend 01'!C55),(64&lt;'V06 Calend 01'!D55),(MOD((64-'V06 Calend 01'!C55),6)=0),(((64-'V06 Calend 01'!C55)/6)&lt;='V06 Calend 01'!E55)),IF((64=('V06 Calend 01'!C55+(6*'V06 Calend 01'!E55))),('V06 Calend 01'!H55-('V06 Calend 01'!I55*('V06 Calend 01'!E55-1))),'V06 Calend 01'!I55),0))+IF((64='V06 Calend 01'!D55),'V06 Calend 01'!J55,0))</f>
        <v>0</v>
      </c>
      <c r="BY55" s="2">
        <f>((IF((65='V06 Calend 01'!C55),('V06 Calend 01'!F55+'V06 Calend 01'!G55),0)+IF(AND(('V06 Calend 01'!E55&gt;0),(65&gt;'V06 Calend 01'!C55),(65&lt;'V06 Calend 01'!D55),(MOD((65-'V06 Calend 01'!C55),6)=0),(((65-'V06 Calend 01'!C55)/6)&lt;='V06 Calend 01'!E55)),IF((65=('V06 Calend 01'!C55+(6*'V06 Calend 01'!E55))),('V06 Calend 01'!H55-('V06 Calend 01'!I55*('V06 Calend 01'!E55-1))),'V06 Calend 01'!I55),0))+IF((65='V06 Calend 01'!D55),'V06 Calend 01'!J55,0))</f>
        <v>0</v>
      </c>
      <c r="BZ55" s="2">
        <f>((IF((66='V06 Calend 01'!C55),('V06 Calend 01'!F55+'V06 Calend 01'!G55),0)+IF(AND(('V06 Calend 01'!E55&gt;0),(66&gt;'V06 Calend 01'!C55),(66&lt;'V06 Calend 01'!D55),(MOD((66-'V06 Calend 01'!C55),6)=0),(((66-'V06 Calend 01'!C55)/6)&lt;='V06 Calend 01'!E55)),IF((66=('V06 Calend 01'!C55+(6*'V06 Calend 01'!E55))),('V06 Calend 01'!H55-('V06 Calend 01'!I55*('V06 Calend 01'!E55-1))),'V06 Calend 01'!I55),0))+IF((66='V06 Calend 01'!D55),'V06 Calend 01'!J55,0))</f>
        <v>0</v>
      </c>
      <c r="CA55" s="2">
        <f>((IF((67='V06 Calend 01'!C55),('V06 Calend 01'!F55+'V06 Calend 01'!G55),0)+IF(AND(('V06 Calend 01'!E55&gt;0),(67&gt;'V06 Calend 01'!C55),(67&lt;'V06 Calend 01'!D55),(MOD((67-'V06 Calend 01'!C55),6)=0),(((67-'V06 Calend 01'!C55)/6)&lt;='V06 Calend 01'!E55)),IF((67=('V06 Calend 01'!C55+(6*'V06 Calend 01'!E55))),('V06 Calend 01'!H55-('V06 Calend 01'!I55*('V06 Calend 01'!E55-1))),'V06 Calend 01'!I55),0))+IF((67='V06 Calend 01'!D55),'V06 Calend 01'!J55,0))</f>
        <v>0</v>
      </c>
      <c r="CB55" s="2">
        <f>((IF((68='V06 Calend 01'!C55),('V06 Calend 01'!F55+'V06 Calend 01'!G55),0)+IF(AND(('V06 Calend 01'!E55&gt;0),(68&gt;'V06 Calend 01'!C55),(68&lt;'V06 Calend 01'!D55),(MOD((68-'V06 Calend 01'!C55),6)=0),(((68-'V06 Calend 01'!C55)/6)&lt;='V06 Calend 01'!E55)),IF((68=('V06 Calend 01'!C55+(6*'V06 Calend 01'!E55))),('V06 Calend 01'!H55-('V06 Calend 01'!I55*('V06 Calend 01'!E55-1))),'V06 Calend 01'!I55),0))+IF((68='V06 Calend 01'!D55),'V06 Calend 01'!J55,0))</f>
        <v>0</v>
      </c>
      <c r="CC55" s="2">
        <f>((IF((69='V06 Calend 01'!C55),('V06 Calend 01'!F55+'V06 Calend 01'!G55),0)+IF(AND(('V06 Calend 01'!E55&gt;0),(69&gt;'V06 Calend 01'!C55),(69&lt;'V06 Calend 01'!D55),(MOD((69-'V06 Calend 01'!C55),6)=0),(((69-'V06 Calend 01'!C55)/6)&lt;='V06 Calend 01'!E55)),IF((69=('V06 Calend 01'!C55+(6*'V06 Calend 01'!E55))),('V06 Calend 01'!H55-('V06 Calend 01'!I55*('V06 Calend 01'!E55-1))),'V06 Calend 01'!I55),0))+IF((69='V06 Calend 01'!D55),'V06 Calend 01'!J55,0))</f>
        <v>0</v>
      </c>
      <c r="CD55" s="2">
        <f>((IF((70='V06 Calend 01'!C55),('V06 Calend 01'!F55+'V06 Calend 01'!G55),0)+IF(AND(('V06 Calend 01'!E55&gt;0),(70&gt;'V06 Calend 01'!C55),(70&lt;'V06 Calend 01'!D55),(MOD((70-'V06 Calend 01'!C55),6)=0),(((70-'V06 Calend 01'!C55)/6)&lt;='V06 Calend 01'!E55)),IF((70=('V06 Calend 01'!C55+(6*'V06 Calend 01'!E55))),('V06 Calend 01'!H55-('V06 Calend 01'!I55*('V06 Calend 01'!E55-1))),'V06 Calend 01'!I55),0))+IF((70='V06 Calend 01'!D55),'V06 Calend 01'!J55,0))</f>
        <v>0</v>
      </c>
      <c r="CE55" s="2">
        <f>((IF((71='V06 Calend 01'!C55),('V06 Calend 01'!F55+'V06 Calend 01'!G55),0)+IF(AND(('V06 Calend 01'!E55&gt;0),(71&gt;'V06 Calend 01'!C55),(71&lt;'V06 Calend 01'!D55),(MOD((71-'V06 Calend 01'!C55),6)=0),(((71-'V06 Calend 01'!C55)/6)&lt;='V06 Calend 01'!E55)),IF((71=('V06 Calend 01'!C55+(6*'V06 Calend 01'!E55))),('V06 Calend 01'!H55-('V06 Calend 01'!I55*('V06 Calend 01'!E55-1))),'V06 Calend 01'!I55),0))+IF((71='V06 Calend 01'!D55),'V06 Calend 01'!J55,0))</f>
        <v>0</v>
      </c>
      <c r="CF55" s="2">
        <f>((IF((72='V06 Calend 01'!C55),('V06 Calend 01'!F55+'V06 Calend 01'!G55),0)+IF(AND(('V06 Calend 01'!E55&gt;0),(72&gt;'V06 Calend 01'!C55),(72&lt;'V06 Calend 01'!D55),(MOD((72-'V06 Calend 01'!C55),6)=0),(((72-'V06 Calend 01'!C55)/6)&lt;='V06 Calend 01'!E55)),IF((72=('V06 Calend 01'!C55+(6*'V06 Calend 01'!E55))),('V06 Calend 01'!H55-('V06 Calend 01'!I55*('V06 Calend 01'!E55-1))),'V06 Calend 01'!I55),0))+IF((72='V06 Calend 01'!D55),'V06 Calend 01'!J55,0))</f>
        <v>0</v>
      </c>
      <c r="CG55" s="2">
        <f>((IF((73='V06 Calend 01'!C55),('V06 Calend 01'!F55+'V06 Calend 01'!G55),0)+IF(AND(('V06 Calend 01'!E55&gt;0),(73&gt;'V06 Calend 01'!C55),(73&lt;'V06 Calend 01'!D55),(MOD((73-'V06 Calend 01'!C55),6)=0),(((73-'V06 Calend 01'!C55)/6)&lt;='V06 Calend 01'!E55)),IF((73=('V06 Calend 01'!C55+(6*'V06 Calend 01'!E55))),('V06 Calend 01'!H55-('V06 Calend 01'!I55*('V06 Calend 01'!E55-1))),'V06 Calend 01'!I55),0))+IF((73='V06 Calend 01'!D55),'V06 Calend 01'!J55,0))</f>
        <v>0</v>
      </c>
      <c r="CH55" s="2">
        <f>((IF((74='V06 Calend 01'!C55),('V06 Calend 01'!F55+'V06 Calend 01'!G55),0)+IF(AND(('V06 Calend 01'!E55&gt;0),(74&gt;'V06 Calend 01'!C55),(74&lt;'V06 Calend 01'!D55),(MOD((74-'V06 Calend 01'!C55),6)=0),(((74-'V06 Calend 01'!C55)/6)&lt;='V06 Calend 01'!E55)),IF((74=('V06 Calend 01'!C55+(6*'V06 Calend 01'!E55))),('V06 Calend 01'!H55-('V06 Calend 01'!I55*('V06 Calend 01'!E55-1))),'V06 Calend 01'!I55),0))+IF((74='V06 Calend 01'!D55),'V06 Calend 01'!J55,0))</f>
        <v>0</v>
      </c>
      <c r="CI55" s="2">
        <f>((IF((75='V06 Calend 01'!C55),('V06 Calend 01'!F55+'V06 Calend 01'!G55),0)+IF(AND(('V06 Calend 01'!E55&gt;0),(75&gt;'V06 Calend 01'!C55),(75&lt;'V06 Calend 01'!D55),(MOD((75-'V06 Calend 01'!C55),6)=0),(((75-'V06 Calend 01'!C55)/6)&lt;='V06 Calend 01'!E55)),IF((75=('V06 Calend 01'!C55+(6*'V06 Calend 01'!E55))),('V06 Calend 01'!H55-('V06 Calend 01'!I55*('V06 Calend 01'!E55-1))),'V06 Calend 01'!I55),0))+IF((75='V06 Calend 01'!D55),'V06 Calend 01'!J55,0))</f>
        <v>0</v>
      </c>
      <c r="CJ55" s="2">
        <f>((IF((76='V06 Calend 01'!C55),('V06 Calend 01'!F55+'V06 Calend 01'!G55),0)+IF(AND(('V06 Calend 01'!E55&gt;0),(76&gt;'V06 Calend 01'!C55),(76&lt;'V06 Calend 01'!D55),(MOD((76-'V06 Calend 01'!C55),6)=0),(((76-'V06 Calend 01'!C55)/6)&lt;='V06 Calend 01'!E55)),IF((76=('V06 Calend 01'!C55+(6*'V06 Calend 01'!E55))),('V06 Calend 01'!H55-('V06 Calend 01'!I55*('V06 Calend 01'!E55-1))),'V06 Calend 01'!I55),0))+IF((76='V06 Calend 01'!D55),'V06 Calend 01'!J55,0))</f>
        <v>0</v>
      </c>
      <c r="CK55" s="2">
        <f>((IF((77='V06 Calend 01'!C55),('V06 Calend 01'!F55+'V06 Calend 01'!G55),0)+IF(AND(('V06 Calend 01'!E55&gt;0),(77&gt;'V06 Calend 01'!C55),(77&lt;'V06 Calend 01'!D55),(MOD((77-'V06 Calend 01'!C55),6)=0),(((77-'V06 Calend 01'!C55)/6)&lt;='V06 Calend 01'!E55)),IF((77=('V06 Calend 01'!C55+(6*'V06 Calend 01'!E55))),('V06 Calend 01'!H55-('V06 Calend 01'!I55*('V06 Calend 01'!E55-1))),'V06 Calend 01'!I55),0))+IF((77='V06 Calend 01'!D55),'V06 Calend 01'!J55,0))</f>
        <v>0</v>
      </c>
      <c r="CL55" s="2">
        <f>((IF((78='V06 Calend 01'!C55),('V06 Calend 01'!F55+'V06 Calend 01'!G55),0)+IF(AND(('V06 Calend 01'!E55&gt;0),(78&gt;'V06 Calend 01'!C55),(78&lt;'V06 Calend 01'!D55),(MOD((78-'V06 Calend 01'!C55),6)=0),(((78-'V06 Calend 01'!C55)/6)&lt;='V06 Calend 01'!E55)),IF((78=('V06 Calend 01'!C55+(6*'V06 Calend 01'!E55))),('V06 Calend 01'!H55-('V06 Calend 01'!I55*('V06 Calend 01'!E55-1))),'V06 Calend 01'!I55),0))+IF((78='V06 Calend 01'!D55),'V06 Calend 01'!J55,0))</f>
        <v>0</v>
      </c>
      <c r="CM55" s="2">
        <f>((IF((79='V06 Calend 01'!C55),('V06 Calend 01'!F55+'V06 Calend 01'!G55),0)+IF(AND(('V06 Calend 01'!E55&gt;0),(79&gt;'V06 Calend 01'!C55),(79&lt;'V06 Calend 01'!D55),(MOD((79-'V06 Calend 01'!C55),6)=0),(((79-'V06 Calend 01'!C55)/6)&lt;='V06 Calend 01'!E55)),IF((79=('V06 Calend 01'!C55+(6*'V06 Calend 01'!E55))),('V06 Calend 01'!H55-('V06 Calend 01'!I55*('V06 Calend 01'!E55-1))),'V06 Calend 01'!I55),0))+IF((79='V06 Calend 01'!D55),'V06 Calend 01'!J55,0))</f>
        <v>0</v>
      </c>
      <c r="CN55" s="2">
        <f>((IF((80='V06 Calend 01'!C55),('V06 Calend 01'!F55+'V06 Calend 01'!G55),0)+IF(AND(('V06 Calend 01'!E55&gt;0),(80&gt;'V06 Calend 01'!C55),(80&lt;'V06 Calend 01'!D55),(MOD((80-'V06 Calend 01'!C55),6)=0),(((80-'V06 Calend 01'!C55)/6)&lt;='V06 Calend 01'!E55)),IF((80=('V06 Calend 01'!C55+(6*'V06 Calend 01'!E55))),('V06 Calend 01'!H55-('V06 Calend 01'!I55*('V06 Calend 01'!E55-1))),'V06 Calend 01'!I55),0))+IF((80='V06 Calend 01'!D55),'V06 Calend 01'!J55,0))</f>
        <v>0</v>
      </c>
      <c r="CO55" s="2">
        <f>((IF((81='V06 Calend 01'!C55),('V06 Calend 01'!F55+'V06 Calend 01'!G55),0)+IF(AND(('V06 Calend 01'!E55&gt;0),(81&gt;'V06 Calend 01'!C55),(81&lt;'V06 Calend 01'!D55),(MOD((81-'V06 Calend 01'!C55),6)=0),(((81-'V06 Calend 01'!C55)/6)&lt;='V06 Calend 01'!E55)),IF((81=('V06 Calend 01'!C55+(6*'V06 Calend 01'!E55))),('V06 Calend 01'!H55-('V06 Calend 01'!I55*('V06 Calend 01'!E55-1))),'V06 Calend 01'!I55),0))+IF((81='V06 Calend 01'!D55),'V06 Calend 01'!J55,0))</f>
        <v>0</v>
      </c>
      <c r="CP55" s="2">
        <f>((IF((82='V06 Calend 01'!C55),('V06 Calend 01'!F55+'V06 Calend 01'!G55),0)+IF(AND(('V06 Calend 01'!E55&gt;0),(82&gt;'V06 Calend 01'!C55),(82&lt;'V06 Calend 01'!D55),(MOD((82-'V06 Calend 01'!C55),6)=0),(((82-'V06 Calend 01'!C55)/6)&lt;='V06 Calend 01'!E55)),IF((82=('V06 Calend 01'!C55+(6*'V06 Calend 01'!E55))),('V06 Calend 01'!H55-('V06 Calend 01'!I55*('V06 Calend 01'!E55-1))),'V06 Calend 01'!I55),0))+IF((82='V06 Calend 01'!D55),'V06 Calend 01'!J55,0))</f>
        <v>0</v>
      </c>
      <c r="CQ55" s="2">
        <f>((IF((83='V06 Calend 01'!C55),('V06 Calend 01'!F55+'V06 Calend 01'!G55),0)+IF(AND(('V06 Calend 01'!E55&gt;0),(83&gt;'V06 Calend 01'!C55),(83&lt;'V06 Calend 01'!D55),(MOD((83-'V06 Calend 01'!C55),6)=0),(((83-'V06 Calend 01'!C55)/6)&lt;='V06 Calend 01'!E55)),IF((83=('V06 Calend 01'!C55+(6*'V06 Calend 01'!E55))),('V06 Calend 01'!H55-('V06 Calend 01'!I55*('V06 Calend 01'!E55-1))),'V06 Calend 01'!I55),0))+IF((83='V06 Calend 01'!D55),'V06 Calend 01'!J55,0))</f>
        <v>0</v>
      </c>
      <c r="CR55" s="2">
        <f>((IF((84='V06 Calend 01'!C55),('V06 Calend 01'!F55+'V06 Calend 01'!G55),0)+IF(AND(('V06 Calend 01'!E55&gt;0),(84&gt;'V06 Calend 01'!C55),(84&lt;'V06 Calend 01'!D55),(MOD((84-'V06 Calend 01'!C55),6)=0),(((84-'V06 Calend 01'!C55)/6)&lt;='V06 Calend 01'!E55)),IF((84=('V06 Calend 01'!C55+(6*'V06 Calend 01'!E55))),('V06 Calend 01'!H55-('V06 Calend 01'!I55*('V06 Calend 01'!E55-1))),'V06 Calend 01'!I55),0))+IF((84='V06 Calend 01'!D55),'V06 Calend 01'!J55,0))</f>
        <v>0</v>
      </c>
      <c r="CS55" s="2">
        <f>((IF((85='V06 Calend 01'!C55),('V06 Calend 01'!F55+'V06 Calend 01'!G55),0)+IF(AND(('V06 Calend 01'!E55&gt;0),(85&gt;'V06 Calend 01'!C55),(85&lt;'V06 Calend 01'!D55),(MOD((85-'V06 Calend 01'!C55),6)=0),(((85-'V06 Calend 01'!C55)/6)&lt;='V06 Calend 01'!E55)),IF((85=('V06 Calend 01'!C55+(6*'V06 Calend 01'!E55))),('V06 Calend 01'!H55-('V06 Calend 01'!I55*('V06 Calend 01'!E55-1))),'V06 Calend 01'!I55),0))+IF((85='V06 Calend 01'!D55),'V06 Calend 01'!J55,0))</f>
        <v>0</v>
      </c>
      <c r="CT55" s="2">
        <f>((IF((86='V06 Calend 01'!C55),('V06 Calend 01'!F55+'V06 Calend 01'!G55),0)+IF(AND(('V06 Calend 01'!E55&gt;0),(86&gt;'V06 Calend 01'!C55),(86&lt;'V06 Calend 01'!D55),(MOD((86-'V06 Calend 01'!C55),6)=0),(((86-'V06 Calend 01'!C55)/6)&lt;='V06 Calend 01'!E55)),IF((86=('V06 Calend 01'!C55+(6*'V06 Calend 01'!E55))),('V06 Calend 01'!H55-('V06 Calend 01'!I55*('V06 Calend 01'!E55-1))),'V06 Calend 01'!I55),0))+IF((86='V06 Calend 01'!D55),'V06 Calend 01'!J55,0))</f>
        <v>0</v>
      </c>
      <c r="CU55" s="2">
        <f>((IF((87='V06 Calend 01'!C55),('V06 Calend 01'!F55+'V06 Calend 01'!G55),0)+IF(AND(('V06 Calend 01'!E55&gt;0),(87&gt;'V06 Calend 01'!C55),(87&lt;'V06 Calend 01'!D55),(MOD((87-'V06 Calend 01'!C55),6)=0),(((87-'V06 Calend 01'!C55)/6)&lt;='V06 Calend 01'!E55)),IF((87=('V06 Calend 01'!C55+(6*'V06 Calend 01'!E55))),('V06 Calend 01'!H55-('V06 Calend 01'!I55*('V06 Calend 01'!E55-1))),'V06 Calend 01'!I55),0))+IF((87='V06 Calend 01'!D55),'V06 Calend 01'!J55,0))</f>
        <v>0</v>
      </c>
      <c r="CV55" s="2">
        <f>((IF((88='V06 Calend 01'!C55),('V06 Calend 01'!F55+'V06 Calend 01'!G55),0)+IF(AND(('V06 Calend 01'!E55&gt;0),(88&gt;'V06 Calend 01'!C55),(88&lt;'V06 Calend 01'!D55),(MOD((88-'V06 Calend 01'!C55),6)=0),(((88-'V06 Calend 01'!C55)/6)&lt;='V06 Calend 01'!E55)),IF((88=('V06 Calend 01'!C55+(6*'V06 Calend 01'!E55))),('V06 Calend 01'!H55-('V06 Calend 01'!I55*('V06 Calend 01'!E55-1))),'V06 Calend 01'!I55),0))+IF((88='V06 Calend 01'!D55),'V06 Calend 01'!J55,0))</f>
        <v>0</v>
      </c>
      <c r="CW55" s="2">
        <f>((IF((89='V06 Calend 01'!C55),('V06 Calend 01'!F55+'V06 Calend 01'!G55),0)+IF(AND(('V06 Calend 01'!E55&gt;0),(89&gt;'V06 Calend 01'!C55),(89&lt;'V06 Calend 01'!D55),(MOD((89-'V06 Calend 01'!C55),6)=0),(((89-'V06 Calend 01'!C55)/6)&lt;='V06 Calend 01'!E55)),IF((89=('V06 Calend 01'!C55+(6*'V06 Calend 01'!E55))),('V06 Calend 01'!H55-('V06 Calend 01'!I55*('V06 Calend 01'!E55-1))),'V06 Calend 01'!I55),0))+IF((89='V06 Calend 01'!D55),'V06 Calend 01'!J55,0))</f>
        <v>0</v>
      </c>
      <c r="CX55" s="2">
        <f>((IF((90='V06 Calend 01'!C55),('V06 Calend 01'!F55+'V06 Calend 01'!G55),0)+IF(AND(('V06 Calend 01'!E55&gt;0),(90&gt;'V06 Calend 01'!C55),(90&lt;'V06 Calend 01'!D55),(MOD((90-'V06 Calend 01'!C55),6)=0),(((90-'V06 Calend 01'!C55)/6)&lt;='V06 Calend 01'!E55)),IF((90=('V06 Calend 01'!C55+(6*'V06 Calend 01'!E55))),('V06 Calend 01'!H55-('V06 Calend 01'!I55*('V06 Calend 01'!E55-1))),'V06 Calend 01'!I55),0))+IF((90='V06 Calend 01'!D55),'V06 Calend 01'!J55,0))</f>
        <v>0</v>
      </c>
      <c r="CY55" s="2">
        <f>((IF((91='V06 Calend 01'!C55),('V06 Calend 01'!F55+'V06 Calend 01'!G55),0)+IF(AND(('V06 Calend 01'!E55&gt;0),(91&gt;'V06 Calend 01'!C55),(91&lt;'V06 Calend 01'!D55),(MOD((91-'V06 Calend 01'!C55),6)=0),(((91-'V06 Calend 01'!C55)/6)&lt;='V06 Calend 01'!E55)),IF((91=('V06 Calend 01'!C55+(6*'V06 Calend 01'!E55))),('V06 Calend 01'!H55-('V06 Calend 01'!I55*('V06 Calend 01'!E55-1))),'V06 Calend 01'!I55),0))+IF((91='V06 Calend 01'!D55),'V06 Calend 01'!J55,0))</f>
        <v>0</v>
      </c>
      <c r="CZ55" s="2">
        <f>((IF((92='V06 Calend 01'!C55),('V06 Calend 01'!F55+'V06 Calend 01'!G55),0)+IF(AND(('V06 Calend 01'!E55&gt;0),(92&gt;'V06 Calend 01'!C55),(92&lt;'V06 Calend 01'!D55),(MOD((92-'V06 Calend 01'!C55),6)=0),(((92-'V06 Calend 01'!C55)/6)&lt;='V06 Calend 01'!E55)),IF((92=('V06 Calend 01'!C55+(6*'V06 Calend 01'!E55))),('V06 Calend 01'!H55-('V06 Calend 01'!I55*('V06 Calend 01'!E55-1))),'V06 Calend 01'!I55),0))+IF((92='V06 Calend 01'!D55),'V06 Calend 01'!J55,0))</f>
        <v>0</v>
      </c>
      <c r="DA55" s="2">
        <f>((IF((93='V06 Calend 01'!C55),('V06 Calend 01'!F55+'V06 Calend 01'!G55),0)+IF(AND(('V06 Calend 01'!E55&gt;0),(93&gt;'V06 Calend 01'!C55),(93&lt;'V06 Calend 01'!D55),(MOD((93-'V06 Calend 01'!C55),6)=0),(((93-'V06 Calend 01'!C55)/6)&lt;='V06 Calend 01'!E55)),IF((93=('V06 Calend 01'!C55+(6*'V06 Calend 01'!E55))),('V06 Calend 01'!H55-('V06 Calend 01'!I55*('V06 Calend 01'!E55-1))),'V06 Calend 01'!I55),0))+IF((93='V06 Calend 01'!D55),'V06 Calend 01'!J55,0))</f>
        <v>0</v>
      </c>
      <c r="DB55" s="2">
        <f>((IF((94='V06 Calend 01'!C55),('V06 Calend 01'!F55+'V06 Calend 01'!G55),0)+IF(AND(('V06 Calend 01'!E55&gt;0),(94&gt;'V06 Calend 01'!C55),(94&lt;'V06 Calend 01'!D55),(MOD((94-'V06 Calend 01'!C55),6)=0),(((94-'V06 Calend 01'!C55)/6)&lt;='V06 Calend 01'!E55)),IF((94=('V06 Calend 01'!C55+(6*'V06 Calend 01'!E55))),('V06 Calend 01'!H55-('V06 Calend 01'!I55*('V06 Calend 01'!E55-1))),'V06 Calend 01'!I55),0))+IF((94='V06 Calend 01'!D55),'V06 Calend 01'!J55,0))</f>
        <v>0</v>
      </c>
      <c r="DC55" s="2">
        <f>((IF((95='V06 Calend 01'!C55),('V06 Calend 01'!F55+'V06 Calend 01'!G55),0)+IF(AND(('V06 Calend 01'!E55&gt;0),(95&gt;'V06 Calend 01'!C55),(95&lt;'V06 Calend 01'!D55),(MOD((95-'V06 Calend 01'!C55),6)=0),(((95-'V06 Calend 01'!C55)/6)&lt;='V06 Calend 01'!E55)),IF((95=('V06 Calend 01'!C55+(6*'V06 Calend 01'!E55))),('V06 Calend 01'!H55-('V06 Calend 01'!I55*('V06 Calend 01'!E55-1))),'V06 Calend 01'!I55),0))+IF((95='V06 Calend 01'!D55),'V06 Calend 01'!J55,0))</f>
        <v>0</v>
      </c>
      <c r="DD55" s="2">
        <f>((IF((96='V06 Calend 01'!C55),('V06 Calend 01'!F55+'V06 Calend 01'!G55),0)+IF(AND(('V06 Calend 01'!E55&gt;0),(96&gt;'V06 Calend 01'!C55),(96&lt;'V06 Calend 01'!D55),(MOD((96-'V06 Calend 01'!C55),6)=0),(((96-'V06 Calend 01'!C55)/6)&lt;='V06 Calend 01'!E55)),IF((96=('V06 Calend 01'!C55+(6*'V06 Calend 01'!E55))),('V06 Calend 01'!H55-('V06 Calend 01'!I55*('V06 Calend 01'!E55-1))),'V06 Calend 01'!I55),0))+IF((96='V06 Calend 01'!D55),'V06 Calend 01'!J55,0))</f>
        <v>0</v>
      </c>
      <c r="DE55" s="2">
        <f>((IF((97='V06 Calend 01'!C55),('V06 Calend 01'!F55+'V06 Calend 01'!G55),0)+IF(AND(('V06 Calend 01'!E55&gt;0),(97&gt;'V06 Calend 01'!C55),(97&lt;'V06 Calend 01'!D55),(MOD((97-'V06 Calend 01'!C55),6)=0),(((97-'V06 Calend 01'!C55)/6)&lt;='V06 Calend 01'!E55)),IF((97=('V06 Calend 01'!C55+(6*'V06 Calend 01'!E55))),('V06 Calend 01'!H55-('V06 Calend 01'!I55*('V06 Calend 01'!E55-1))),'V06 Calend 01'!I55),0))+IF((97='V06 Calend 01'!D55),'V06 Calend 01'!J55,0))</f>
        <v>0</v>
      </c>
      <c r="DF55" s="2">
        <f>((IF((98='V06 Calend 01'!C55),('V06 Calend 01'!F55+'V06 Calend 01'!G55),0)+IF(AND(('V06 Calend 01'!E55&gt;0),(98&gt;'V06 Calend 01'!C55),(98&lt;'V06 Calend 01'!D55),(MOD((98-'V06 Calend 01'!C55),6)=0),(((98-'V06 Calend 01'!C55)/6)&lt;='V06 Calend 01'!E55)),IF((98=('V06 Calend 01'!C55+(6*'V06 Calend 01'!E55))),('V06 Calend 01'!H55-('V06 Calend 01'!I55*('V06 Calend 01'!E55-1))),'V06 Calend 01'!I55),0))+IF((98='V06 Calend 01'!D55),'V06 Calend 01'!J55,0))</f>
        <v>0</v>
      </c>
      <c r="DG55" s="2">
        <f>((IF((99='V06 Calend 01'!C55),('V06 Calend 01'!F55+'V06 Calend 01'!G55),0)+IF(AND(('V06 Calend 01'!E55&gt;0),(99&gt;'V06 Calend 01'!C55),(99&lt;'V06 Calend 01'!D55),(MOD((99-'V06 Calend 01'!C55),6)=0),(((99-'V06 Calend 01'!C55)/6)&lt;='V06 Calend 01'!E55)),IF((99=('V06 Calend 01'!C55+(6*'V06 Calend 01'!E55))),('V06 Calend 01'!H55-('V06 Calend 01'!I55*('V06 Calend 01'!E55-1))),'V06 Calend 01'!I55),0))+IF((99='V06 Calend 01'!D55),'V06 Calend 01'!J55,0))</f>
        <v>0</v>
      </c>
      <c r="DH55" s="2">
        <f>((IF((100='V06 Calend 01'!C55),('V06 Calend 01'!F55+'V06 Calend 01'!G55),0)+IF(AND(('V06 Calend 01'!E55&gt;0),(100&gt;'V06 Calend 01'!C55),(100&lt;'V06 Calend 01'!D55),(MOD((100-'V06 Calend 01'!C55),6)=0),(((100-'V06 Calend 01'!C55)/6)&lt;='V06 Calend 01'!E55)),IF((100=('V06 Calend 01'!C55+(6*'V06 Calend 01'!E55))),('V06 Calend 01'!H55-('V06 Calend 01'!I55*('V06 Calend 01'!E55-1))),'V06 Calend 01'!I55),0))+IF((100='V06 Calend 01'!D55),'V06 Calend 01'!J55,0))</f>
        <v>0</v>
      </c>
      <c r="DI55" s="2">
        <f>((IF((101='V06 Calend 01'!C55),('V06 Calend 01'!F55+'V06 Calend 01'!G55),0)+IF(AND(('V06 Calend 01'!E55&gt;0),(101&gt;'V06 Calend 01'!C55),(101&lt;'V06 Calend 01'!D55),(MOD((101-'V06 Calend 01'!C55),6)=0),(((101-'V06 Calend 01'!C55)/6)&lt;='V06 Calend 01'!E55)),IF((101=('V06 Calend 01'!C55+(6*'V06 Calend 01'!E55))),('V06 Calend 01'!H55-('V06 Calend 01'!I55*('V06 Calend 01'!E55-1))),'V06 Calend 01'!I55),0))+IF((101='V06 Calend 01'!D55),'V06 Calend 01'!J55,0))</f>
        <v>0</v>
      </c>
      <c r="DJ55" s="2">
        <f>((IF((102='V06 Calend 01'!C55),('V06 Calend 01'!F55+'V06 Calend 01'!G55),0)+IF(AND(('V06 Calend 01'!E55&gt;0),(102&gt;'V06 Calend 01'!C55),(102&lt;'V06 Calend 01'!D55),(MOD((102-'V06 Calend 01'!C55),6)=0),(((102-'V06 Calend 01'!C55)/6)&lt;='V06 Calend 01'!E55)),IF((102=('V06 Calend 01'!C55+(6*'V06 Calend 01'!E55))),('V06 Calend 01'!H55-('V06 Calend 01'!I55*('V06 Calend 01'!E55-1))),'V06 Calend 01'!I55),0))+IF((102='V06 Calend 01'!D55),'V06 Calend 01'!J55,0))</f>
        <v>0</v>
      </c>
      <c r="DK55" s="2">
        <f>((IF((103='V06 Calend 01'!C55),('V06 Calend 01'!F55+'V06 Calend 01'!G55),0)+IF(AND(('V06 Calend 01'!E55&gt;0),(103&gt;'V06 Calend 01'!C55),(103&lt;'V06 Calend 01'!D55),(MOD((103-'V06 Calend 01'!C55),6)=0),(((103-'V06 Calend 01'!C55)/6)&lt;='V06 Calend 01'!E55)),IF((103=('V06 Calend 01'!C55+(6*'V06 Calend 01'!E55))),('V06 Calend 01'!H55-('V06 Calend 01'!I55*('V06 Calend 01'!E55-1))),'V06 Calend 01'!I55),0))+IF((103='V06 Calend 01'!D55),'V06 Calend 01'!J55,0))</f>
        <v>0</v>
      </c>
      <c r="DL55" s="2">
        <f>((IF((104='V06 Calend 01'!C55),('V06 Calend 01'!F55+'V06 Calend 01'!G55),0)+IF(AND(('V06 Calend 01'!E55&gt;0),(104&gt;'V06 Calend 01'!C55),(104&lt;'V06 Calend 01'!D55),(MOD((104-'V06 Calend 01'!C55),6)=0),(((104-'V06 Calend 01'!C55)/6)&lt;='V06 Calend 01'!E55)),IF((104=('V06 Calend 01'!C55+(6*'V06 Calend 01'!E55))),('V06 Calend 01'!H55-('V06 Calend 01'!I55*('V06 Calend 01'!E55-1))),'V06 Calend 01'!I55),0))+IF((104='V06 Calend 01'!D55),'V06 Calend 01'!J55,0))</f>
        <v>0</v>
      </c>
      <c r="DM55" s="2">
        <f>((IF((105='V06 Calend 01'!C55),('V06 Calend 01'!F55+'V06 Calend 01'!G55),0)+IF(AND(('V06 Calend 01'!E55&gt;0),(105&gt;'V06 Calend 01'!C55),(105&lt;'V06 Calend 01'!D55),(MOD((105-'V06 Calend 01'!C55),6)=0),(((105-'V06 Calend 01'!C55)/6)&lt;='V06 Calend 01'!E55)),IF((105=('V06 Calend 01'!C55+(6*'V06 Calend 01'!E55))),('V06 Calend 01'!H55-('V06 Calend 01'!I55*('V06 Calend 01'!E55-1))),'V06 Calend 01'!I55),0))+IF((105='V06 Calend 01'!D55),'V06 Calend 01'!J55,0))</f>
        <v>0</v>
      </c>
      <c r="DN55" s="2">
        <f>((IF((106='V06 Calend 01'!C55),('V06 Calend 01'!F55+'V06 Calend 01'!G55),0)+IF(AND(('V06 Calend 01'!E55&gt;0),(106&gt;'V06 Calend 01'!C55),(106&lt;'V06 Calend 01'!D55),(MOD((106-'V06 Calend 01'!C55),6)=0),(((106-'V06 Calend 01'!C55)/6)&lt;='V06 Calend 01'!E55)),IF((106=('V06 Calend 01'!C55+(6*'V06 Calend 01'!E55))),('V06 Calend 01'!H55-('V06 Calend 01'!I55*('V06 Calend 01'!E55-1))),'V06 Calend 01'!I55),0))+IF((106='V06 Calend 01'!D55),'V06 Calend 01'!J55,0))</f>
        <v>0</v>
      </c>
      <c r="DO55" s="2">
        <f>((IF((107='V06 Calend 01'!C55),('V06 Calend 01'!F55+'V06 Calend 01'!G55),0)+IF(AND(('V06 Calend 01'!E55&gt;0),(107&gt;'V06 Calend 01'!C55),(107&lt;'V06 Calend 01'!D55),(MOD((107-'V06 Calend 01'!C55),6)=0),(((107-'V06 Calend 01'!C55)/6)&lt;='V06 Calend 01'!E55)),IF((107=('V06 Calend 01'!C55+(6*'V06 Calend 01'!E55))),('V06 Calend 01'!H55-('V06 Calend 01'!I55*('V06 Calend 01'!E55-1))),'V06 Calend 01'!I55),0))+IF((107='V06 Calend 01'!D55),'V06 Calend 01'!J55,0))</f>
        <v>0</v>
      </c>
      <c r="DP55" s="2">
        <f>((IF((108='V06 Calend 01'!C55),('V06 Calend 01'!F55+'V06 Calend 01'!G55),0)+IF(AND(('V06 Calend 01'!E55&gt;0),(108&gt;'V06 Calend 01'!C55),(108&lt;'V06 Calend 01'!D55),(MOD((108-'V06 Calend 01'!C55),6)=0),(((108-'V06 Calend 01'!C55)/6)&lt;='V06 Calend 01'!E55)),IF((108=('V06 Calend 01'!C55+(6*'V06 Calend 01'!E55))),('V06 Calend 01'!H55-('V06 Calend 01'!I55*('V06 Calend 01'!E55-1))),'V06 Calend 01'!I55),0))+IF((108='V06 Calend 01'!D55),'V06 Calend 01'!J55,0))</f>
        <v>0</v>
      </c>
      <c r="DQ55" s="2">
        <f>((IF((109='V06 Calend 01'!C55),('V06 Calend 01'!F55+'V06 Calend 01'!G55),0)+IF(AND(('V06 Calend 01'!E55&gt;0),(109&gt;'V06 Calend 01'!C55),(109&lt;'V06 Calend 01'!D55),(MOD((109-'V06 Calend 01'!C55),6)=0),(((109-'V06 Calend 01'!C55)/6)&lt;='V06 Calend 01'!E55)),IF((109=('V06 Calend 01'!C55+(6*'V06 Calend 01'!E55))),('V06 Calend 01'!H55-('V06 Calend 01'!I55*('V06 Calend 01'!E55-1))),'V06 Calend 01'!I55),0))+IF((109='V06 Calend 01'!D55),'V06 Calend 01'!J55,0))</f>
        <v>0</v>
      </c>
      <c r="DR55" s="2">
        <f>((IF((110='V06 Calend 01'!C55),('V06 Calend 01'!F55+'V06 Calend 01'!G55),0)+IF(AND(('V06 Calend 01'!E55&gt;0),(110&gt;'V06 Calend 01'!C55),(110&lt;'V06 Calend 01'!D55),(MOD((110-'V06 Calend 01'!C55),6)=0),(((110-'V06 Calend 01'!C55)/6)&lt;='V06 Calend 01'!E55)),IF((110=('V06 Calend 01'!C55+(6*'V06 Calend 01'!E55))),('V06 Calend 01'!H55-('V06 Calend 01'!I55*('V06 Calend 01'!E55-1))),'V06 Calend 01'!I55),0))+IF((110='V06 Calend 01'!D55),'V06 Calend 01'!J55,0))</f>
        <v>0</v>
      </c>
      <c r="DS55" s="2">
        <f>((IF((111='V06 Calend 01'!C55),('V06 Calend 01'!F55+'V06 Calend 01'!G55),0)+IF(AND(('V06 Calend 01'!E55&gt;0),(111&gt;'V06 Calend 01'!C55),(111&lt;'V06 Calend 01'!D55),(MOD((111-'V06 Calend 01'!C55),6)=0),(((111-'V06 Calend 01'!C55)/6)&lt;='V06 Calend 01'!E55)),IF((111=('V06 Calend 01'!C55+(6*'V06 Calend 01'!E55))),('V06 Calend 01'!H55-('V06 Calend 01'!I55*('V06 Calend 01'!E55-1))),'V06 Calend 01'!I55),0))+IF((111='V06 Calend 01'!D55),'V06 Calend 01'!J55,0))</f>
        <v>0</v>
      </c>
      <c r="DT55" s="2">
        <f>((IF((112='V06 Calend 01'!C55),('V06 Calend 01'!F55+'V06 Calend 01'!G55),0)+IF(AND(('V06 Calend 01'!E55&gt;0),(112&gt;'V06 Calend 01'!C55),(112&lt;'V06 Calend 01'!D55),(MOD((112-'V06 Calend 01'!C55),6)=0),(((112-'V06 Calend 01'!C55)/6)&lt;='V06 Calend 01'!E55)),IF((112=('V06 Calend 01'!C55+(6*'V06 Calend 01'!E55))),('V06 Calend 01'!H55-('V06 Calend 01'!I55*('V06 Calend 01'!E55-1))),'V06 Calend 01'!I55),0))+IF((112='V06 Calend 01'!D55),'V06 Calend 01'!J55,0))</f>
        <v>0</v>
      </c>
      <c r="DU55" s="2">
        <f>((IF((113='V06 Calend 01'!C55),('V06 Calend 01'!F55+'V06 Calend 01'!G55),0)+IF(AND(('V06 Calend 01'!E55&gt;0),(113&gt;'V06 Calend 01'!C55),(113&lt;'V06 Calend 01'!D55),(MOD((113-'V06 Calend 01'!C55),6)=0),(((113-'V06 Calend 01'!C55)/6)&lt;='V06 Calend 01'!E55)),IF((113=('V06 Calend 01'!C55+(6*'V06 Calend 01'!E55))),('V06 Calend 01'!H55-('V06 Calend 01'!I55*('V06 Calend 01'!E55-1))),'V06 Calend 01'!I55),0))+IF((113='V06 Calend 01'!D55),'V06 Calend 01'!J55,0))</f>
        <v>0</v>
      </c>
      <c r="DV55" s="2">
        <f>((IF((114='V06 Calend 01'!C55),('V06 Calend 01'!F55+'V06 Calend 01'!G55),0)+IF(AND(('V06 Calend 01'!E55&gt;0),(114&gt;'V06 Calend 01'!C55),(114&lt;'V06 Calend 01'!D55),(MOD((114-'V06 Calend 01'!C55),6)=0),(((114-'V06 Calend 01'!C55)/6)&lt;='V06 Calend 01'!E55)),IF((114=('V06 Calend 01'!C55+(6*'V06 Calend 01'!E55))),('V06 Calend 01'!H55-('V06 Calend 01'!I55*('V06 Calend 01'!E55-1))),'V06 Calend 01'!I55),0))+IF((114='V06 Calend 01'!D55),'V06 Calend 01'!J55,0))</f>
        <v>0</v>
      </c>
      <c r="DW55" s="2">
        <f>((IF((115='V06 Calend 01'!C55),('V06 Calend 01'!F55+'V06 Calend 01'!G55),0)+IF(AND(('V06 Calend 01'!E55&gt;0),(115&gt;'V06 Calend 01'!C55),(115&lt;'V06 Calend 01'!D55),(MOD((115-'V06 Calend 01'!C55),6)=0),(((115-'V06 Calend 01'!C55)/6)&lt;='V06 Calend 01'!E55)),IF((115=('V06 Calend 01'!C55+(6*'V06 Calend 01'!E55))),('V06 Calend 01'!H55-('V06 Calend 01'!I55*('V06 Calend 01'!E55-1))),'V06 Calend 01'!I55),0))+IF((115='V06 Calend 01'!D55),'V06 Calend 01'!J55,0))</f>
        <v>0</v>
      </c>
      <c r="DX55" s="2">
        <f>((IF((116='V06 Calend 01'!C55),('V06 Calend 01'!F55+'V06 Calend 01'!G55),0)+IF(AND(('V06 Calend 01'!E55&gt;0),(116&gt;'V06 Calend 01'!C55),(116&lt;'V06 Calend 01'!D55),(MOD((116-'V06 Calend 01'!C55),6)=0),(((116-'V06 Calend 01'!C55)/6)&lt;='V06 Calend 01'!E55)),IF((116=('V06 Calend 01'!C55+(6*'V06 Calend 01'!E55))),('V06 Calend 01'!H55-('V06 Calend 01'!I55*('V06 Calend 01'!E55-1))),'V06 Calend 01'!I55),0))+IF((116='V06 Calend 01'!D55),'V06 Calend 01'!J55,0))</f>
        <v>0</v>
      </c>
      <c r="DY55" s="2">
        <f>((IF((117='V06 Calend 01'!C55),('V06 Calend 01'!F55+'V06 Calend 01'!G55),0)+IF(AND(('V06 Calend 01'!E55&gt;0),(117&gt;'V06 Calend 01'!C55),(117&lt;'V06 Calend 01'!D55),(MOD((117-'V06 Calend 01'!C55),6)=0),(((117-'V06 Calend 01'!C55)/6)&lt;='V06 Calend 01'!E55)),IF((117=('V06 Calend 01'!C55+(6*'V06 Calend 01'!E55))),('V06 Calend 01'!H55-('V06 Calend 01'!I55*('V06 Calend 01'!E55-1))),'V06 Calend 01'!I55),0))+IF((117='V06 Calend 01'!D55),'V06 Calend 01'!J55,0))</f>
        <v>0</v>
      </c>
      <c r="DZ55" s="2">
        <f>((IF((118='V06 Calend 01'!C55),('V06 Calend 01'!F55+'V06 Calend 01'!G55),0)+IF(AND(('V06 Calend 01'!E55&gt;0),(118&gt;'V06 Calend 01'!C55),(118&lt;'V06 Calend 01'!D55),(MOD((118-'V06 Calend 01'!C55),6)=0),(((118-'V06 Calend 01'!C55)/6)&lt;='V06 Calend 01'!E55)),IF((118=('V06 Calend 01'!C55+(6*'V06 Calend 01'!E55))),('V06 Calend 01'!H55-('V06 Calend 01'!I55*('V06 Calend 01'!E55-1))),'V06 Calend 01'!I55),0))+IF((118='V06 Calend 01'!D55),'V06 Calend 01'!J55,0))</f>
        <v>0</v>
      </c>
      <c r="EA55" s="2">
        <f>((IF((119='V06 Calend 01'!C55),('V06 Calend 01'!F55+'V06 Calend 01'!G55),0)+IF(AND(('V06 Calend 01'!E55&gt;0),(119&gt;'V06 Calend 01'!C55),(119&lt;'V06 Calend 01'!D55),(MOD((119-'V06 Calend 01'!C55),6)=0),(((119-'V06 Calend 01'!C55)/6)&lt;='V06 Calend 01'!E55)),IF((119=('V06 Calend 01'!C55+(6*'V06 Calend 01'!E55))),('V06 Calend 01'!H55-('V06 Calend 01'!I55*('V06 Calend 01'!E55-1))),'V06 Calend 01'!I55),0))+IF((119='V06 Calend 01'!D55),'V06 Calend 01'!J55,0))</f>
        <v>0</v>
      </c>
      <c r="EB55" s="2">
        <f>((IF((120='V06 Calend 01'!C55),('V06 Calend 01'!F55+'V06 Calend 01'!G55),0)+IF(AND(('V06 Calend 01'!E55&gt;0),(120&gt;'V06 Calend 01'!C55),(120&lt;'V06 Calend 01'!D55),(MOD((120-'V06 Calend 01'!C55),6)=0),(((120-'V06 Calend 01'!C55)/6)&lt;='V06 Calend 01'!E55)),IF((120=('V06 Calend 01'!C55+(6*'V06 Calend 01'!E55))),('V06 Calend 01'!H55-('V06 Calend 01'!I55*('V06 Calend 01'!E55-1))),'V06 Calend 01'!I55),0))+IF((120='V06 Calend 01'!D55),'V06 Calend 01'!J55,0))</f>
        <v>0</v>
      </c>
      <c r="EC55" s="2">
        <f>((IF((121='V06 Calend 01'!C55),('V06 Calend 01'!F55+'V06 Calend 01'!G55),0)+IF(AND(('V06 Calend 01'!E55&gt;0),(121&gt;'V06 Calend 01'!C55),(121&lt;'V06 Calend 01'!D55),(MOD((121-'V06 Calend 01'!C55),6)=0),(((121-'V06 Calend 01'!C55)/6)&lt;='V06 Calend 01'!E55)),IF((121=('V06 Calend 01'!C55+(6*'V06 Calend 01'!E55))),('V06 Calend 01'!H55-('V06 Calend 01'!I55*('V06 Calend 01'!E55-1))),'V06 Calend 01'!I55),0))+IF((121='V06 Calend 01'!D55),'V06 Calend 01'!J55,0))</f>
        <v>0</v>
      </c>
      <c r="ED55" s="2">
        <f>((IF((122='V06 Calend 01'!C55),('V06 Calend 01'!F55+'V06 Calend 01'!G55),0)+IF(AND(('V06 Calend 01'!E55&gt;0),(122&gt;'V06 Calend 01'!C55),(122&lt;'V06 Calend 01'!D55),(MOD((122-'V06 Calend 01'!C55),6)=0),(((122-'V06 Calend 01'!C55)/6)&lt;='V06 Calend 01'!E55)),IF((122=('V06 Calend 01'!C55+(6*'V06 Calend 01'!E55))),('V06 Calend 01'!H55-('V06 Calend 01'!I55*('V06 Calend 01'!E55-1))),'V06 Calend 01'!I55),0))+IF((122='V06 Calend 01'!D55),'V06 Calend 01'!J55,0))</f>
        <v>0</v>
      </c>
      <c r="EE55" s="2">
        <f>((IF((123='V06 Calend 01'!C55),('V06 Calend 01'!F55+'V06 Calend 01'!G55),0)+IF(AND(('V06 Calend 01'!E55&gt;0),(123&gt;'V06 Calend 01'!C55),(123&lt;'V06 Calend 01'!D55),(MOD((123-'V06 Calend 01'!C55),6)=0),(((123-'V06 Calend 01'!C55)/6)&lt;='V06 Calend 01'!E55)),IF((123=('V06 Calend 01'!C55+(6*'V06 Calend 01'!E55))),('V06 Calend 01'!H55-('V06 Calend 01'!I55*('V06 Calend 01'!E55-1))),'V06 Calend 01'!I55),0))+IF((123='V06 Calend 01'!D55),'V06 Calend 01'!J55,0))</f>
        <v>0</v>
      </c>
      <c r="EF55" s="2">
        <f>((IF((124='V06 Calend 01'!C55),('V06 Calend 01'!F55+'V06 Calend 01'!G55),0)+IF(AND(('V06 Calend 01'!E55&gt;0),(124&gt;'V06 Calend 01'!C55),(124&lt;'V06 Calend 01'!D55),(MOD((124-'V06 Calend 01'!C55),6)=0),(((124-'V06 Calend 01'!C55)/6)&lt;='V06 Calend 01'!E55)),IF((124=('V06 Calend 01'!C55+(6*'V06 Calend 01'!E55))),('V06 Calend 01'!H55-('V06 Calend 01'!I55*('V06 Calend 01'!E55-1))),'V06 Calend 01'!I55),0))+IF((124='V06 Calend 01'!D55),'V06 Calend 01'!J55,0))</f>
        <v>0</v>
      </c>
      <c r="EG55" s="2">
        <f>((IF((125='V06 Calend 01'!C55),('V06 Calend 01'!F55+'V06 Calend 01'!G55),0)+IF(AND(('V06 Calend 01'!E55&gt;0),(125&gt;'V06 Calend 01'!C55),(125&lt;'V06 Calend 01'!D55),(MOD((125-'V06 Calend 01'!C55),6)=0),(((125-'V06 Calend 01'!C55)/6)&lt;='V06 Calend 01'!E55)),IF((125=('V06 Calend 01'!C55+(6*'V06 Calend 01'!E55))),('V06 Calend 01'!H55-('V06 Calend 01'!I55*('V06 Calend 01'!E55-1))),'V06 Calend 01'!I55),0))+IF((125='V06 Calend 01'!D55),'V06 Calend 01'!J55,0))</f>
        <v>0</v>
      </c>
      <c r="EH55" s="2">
        <f>((IF((126='V06 Calend 01'!C55),('V06 Calend 01'!F55+'V06 Calend 01'!G55),0)+IF(AND(('V06 Calend 01'!E55&gt;0),(126&gt;'V06 Calend 01'!C55),(126&lt;'V06 Calend 01'!D55),(MOD((126-'V06 Calend 01'!C55),6)=0),(((126-'V06 Calend 01'!C55)/6)&lt;='V06 Calend 01'!E55)),IF((126=('V06 Calend 01'!C55+(6*'V06 Calend 01'!E55))),('V06 Calend 01'!H55-('V06 Calend 01'!I55*('V06 Calend 01'!E55-1))),'V06 Calend 01'!I55),0))+IF((126='V06 Calend 01'!D55),'V06 Calend 01'!J55,0))</f>
        <v>0</v>
      </c>
      <c r="EI55" s="2">
        <f>((IF((127='V06 Calend 01'!C55),('V06 Calend 01'!F55+'V06 Calend 01'!G55),0)+IF(AND(('V06 Calend 01'!E55&gt;0),(127&gt;'V06 Calend 01'!C55),(127&lt;'V06 Calend 01'!D55),(MOD((127-'V06 Calend 01'!C55),6)=0),(((127-'V06 Calend 01'!C55)/6)&lt;='V06 Calend 01'!E55)),IF((127=('V06 Calend 01'!C55+(6*'V06 Calend 01'!E55))),('V06 Calend 01'!H55-('V06 Calend 01'!I55*('V06 Calend 01'!E55-1))),'V06 Calend 01'!I55),0))+IF((127='V06 Calend 01'!D55),'V06 Calend 01'!J55,0))</f>
        <v>0</v>
      </c>
      <c r="EJ55" s="2">
        <f>((IF((128='V06 Calend 01'!C55),('V06 Calend 01'!F55+'V06 Calend 01'!G55),0)+IF(AND(('V06 Calend 01'!E55&gt;0),(128&gt;'V06 Calend 01'!C55),(128&lt;'V06 Calend 01'!D55),(MOD((128-'V06 Calend 01'!C55),6)=0),(((128-'V06 Calend 01'!C55)/6)&lt;='V06 Calend 01'!E55)),IF((128=('V06 Calend 01'!C55+(6*'V06 Calend 01'!E55))),('V06 Calend 01'!H55-('V06 Calend 01'!I55*('V06 Calend 01'!E55-1))),'V06 Calend 01'!I55),0))+IF((128='V06 Calend 01'!D55),'V06 Calend 01'!J55,0))</f>
        <v>0</v>
      </c>
      <c r="EK55" s="2">
        <f>((IF((129='V06 Calend 01'!C55),('V06 Calend 01'!F55+'V06 Calend 01'!G55),0)+IF(AND(('V06 Calend 01'!E55&gt;0),(129&gt;'V06 Calend 01'!C55),(129&lt;'V06 Calend 01'!D55),(MOD((129-'V06 Calend 01'!C55),6)=0),(((129-'V06 Calend 01'!C55)/6)&lt;='V06 Calend 01'!E55)),IF((129=('V06 Calend 01'!C55+(6*'V06 Calend 01'!E55))),('V06 Calend 01'!H55-('V06 Calend 01'!I55*('V06 Calend 01'!E55-1))),'V06 Calend 01'!I55),0))+IF((129='V06 Calend 01'!D55),'V06 Calend 01'!J55,0))</f>
        <v>0</v>
      </c>
      <c r="EL55" s="2">
        <f>((IF((130='V06 Calend 01'!C55),('V06 Calend 01'!F55+'V06 Calend 01'!G55),0)+IF(AND(('V06 Calend 01'!E55&gt;0),(130&gt;'V06 Calend 01'!C55),(130&lt;'V06 Calend 01'!D55),(MOD((130-'V06 Calend 01'!C55),6)=0),(((130-'V06 Calend 01'!C55)/6)&lt;='V06 Calend 01'!E55)),IF((130=('V06 Calend 01'!C55+(6*'V06 Calend 01'!E55))),('V06 Calend 01'!H55-('V06 Calend 01'!I55*('V06 Calend 01'!E55-1))),'V06 Calend 01'!I55),0))+IF((130='V06 Calend 01'!D55),'V06 Calend 01'!J55,0))</f>
        <v>0</v>
      </c>
      <c r="EM55" s="2">
        <f>((IF((131='V06 Calend 01'!C55),('V06 Calend 01'!F55+'V06 Calend 01'!G55),0)+IF(AND(('V06 Calend 01'!E55&gt;0),(131&gt;'V06 Calend 01'!C55),(131&lt;'V06 Calend 01'!D55),(MOD((131-'V06 Calend 01'!C55),6)=0),(((131-'V06 Calend 01'!C55)/6)&lt;='V06 Calend 01'!E55)),IF((131=('V06 Calend 01'!C55+(6*'V06 Calend 01'!E55))),('V06 Calend 01'!H55-('V06 Calend 01'!I55*('V06 Calend 01'!E55-1))),'V06 Calend 01'!I55),0))+IF((131='V06 Calend 01'!D55),'V06 Calend 01'!J55,0))</f>
        <v>0</v>
      </c>
      <c r="EN55" s="2">
        <f>((IF((132='V06 Calend 01'!C55),('V06 Calend 01'!F55+'V06 Calend 01'!G55),0)+IF(AND(('V06 Calend 01'!E55&gt;0),(132&gt;'V06 Calend 01'!C55),(132&lt;'V06 Calend 01'!D55),(MOD((132-'V06 Calend 01'!C55),6)=0),(((132-'V06 Calend 01'!C55)/6)&lt;='V06 Calend 01'!E55)),IF((132=('V06 Calend 01'!C55+(6*'V06 Calend 01'!E55))),('V06 Calend 01'!H55-('V06 Calend 01'!I55*('V06 Calend 01'!E55-1))),'V06 Calend 01'!I55),0))+IF((132='V06 Calend 01'!D55),'V06 Calend 01'!J55,0))</f>
        <v>0</v>
      </c>
      <c r="EO55" s="2">
        <f>((IF((133='V06 Calend 01'!C55),('V06 Calend 01'!F55+'V06 Calend 01'!G55),0)+IF(AND(('V06 Calend 01'!E55&gt;0),(133&gt;'V06 Calend 01'!C55),(133&lt;'V06 Calend 01'!D55),(MOD((133-'V06 Calend 01'!C55),6)=0),(((133-'V06 Calend 01'!C55)/6)&lt;='V06 Calend 01'!E55)),IF((133=('V06 Calend 01'!C55+(6*'V06 Calend 01'!E55))),('V06 Calend 01'!H55-('V06 Calend 01'!I55*('V06 Calend 01'!E55-1))),'V06 Calend 01'!I55),0))+IF((133='V06 Calend 01'!D55),'V06 Calend 01'!J55,0))</f>
        <v>0</v>
      </c>
      <c r="EP55" s="2">
        <f>((IF((134='V06 Calend 01'!C55),('V06 Calend 01'!F55+'V06 Calend 01'!G55),0)+IF(AND(('V06 Calend 01'!E55&gt;0),(134&gt;'V06 Calend 01'!C55),(134&lt;'V06 Calend 01'!D55),(MOD((134-'V06 Calend 01'!C55),6)=0),(((134-'V06 Calend 01'!C55)/6)&lt;='V06 Calend 01'!E55)),IF((134=('V06 Calend 01'!C55+(6*'V06 Calend 01'!E55))),('V06 Calend 01'!H55-('V06 Calend 01'!I55*('V06 Calend 01'!E55-1))),'V06 Calend 01'!I55),0))+IF((134='V06 Calend 01'!D55),'V06 Calend 01'!J55,0))</f>
        <v>0</v>
      </c>
      <c r="EQ55" s="2">
        <f>((IF((135='V06 Calend 01'!C55),('V06 Calend 01'!F55+'V06 Calend 01'!G55),0)+IF(AND(('V06 Calend 01'!E55&gt;0),(135&gt;'V06 Calend 01'!C55),(135&lt;'V06 Calend 01'!D55),(MOD((135-'V06 Calend 01'!C55),6)=0),(((135-'V06 Calend 01'!C55)/6)&lt;='V06 Calend 01'!E55)),IF((135=('V06 Calend 01'!C55+(6*'V06 Calend 01'!E55))),('V06 Calend 01'!H55-('V06 Calend 01'!I55*('V06 Calend 01'!E55-1))),'V06 Calend 01'!I55),0))+IF((135='V06 Calend 01'!D55),'V06 Calend 01'!J55,0))</f>
        <v>0</v>
      </c>
      <c r="ER55" s="2">
        <f>((IF((136='V06 Calend 01'!C55),('V06 Calend 01'!F55+'V06 Calend 01'!G55),0)+IF(AND(('V06 Calend 01'!E55&gt;0),(136&gt;'V06 Calend 01'!C55),(136&lt;'V06 Calend 01'!D55),(MOD((136-'V06 Calend 01'!C55),6)=0),(((136-'V06 Calend 01'!C55)/6)&lt;='V06 Calend 01'!E55)),IF((136=('V06 Calend 01'!C55+(6*'V06 Calend 01'!E55))),('V06 Calend 01'!H55-('V06 Calend 01'!I55*('V06 Calend 01'!E55-1))),'V06 Calend 01'!I55),0))+IF((136='V06 Calend 01'!D55),'V06 Calend 01'!J55,0))</f>
        <v>0</v>
      </c>
      <c r="ES55" s="2">
        <f>((IF((137='V06 Calend 01'!C55),('V06 Calend 01'!F55+'V06 Calend 01'!G55),0)+IF(AND(('V06 Calend 01'!E55&gt;0),(137&gt;'V06 Calend 01'!C55),(137&lt;'V06 Calend 01'!D55),(MOD((137-'V06 Calend 01'!C55),6)=0),(((137-'V06 Calend 01'!C55)/6)&lt;='V06 Calend 01'!E55)),IF((137=('V06 Calend 01'!C55+(6*'V06 Calend 01'!E55))),('V06 Calend 01'!H55-('V06 Calend 01'!I55*('V06 Calend 01'!E55-1))),'V06 Calend 01'!I55),0))+IF((137='V06 Calend 01'!D55),'V06 Calend 01'!J55,0))</f>
        <v>0</v>
      </c>
      <c r="ET55" s="2">
        <f>((IF((138='V06 Calend 01'!C55),('V06 Calend 01'!F55+'V06 Calend 01'!G55),0)+IF(AND(('V06 Calend 01'!E55&gt;0),(138&gt;'V06 Calend 01'!C55),(138&lt;'V06 Calend 01'!D55),(MOD((138-'V06 Calend 01'!C55),6)=0),(((138-'V06 Calend 01'!C55)/6)&lt;='V06 Calend 01'!E55)),IF((138=('V06 Calend 01'!C55+(6*'V06 Calend 01'!E55))),('V06 Calend 01'!H55-('V06 Calend 01'!I55*('V06 Calend 01'!E55-1))),'V06 Calend 01'!I55),0))+IF((138='V06 Calend 01'!D55),'V06 Calend 01'!J55,0))</f>
        <v>0</v>
      </c>
      <c r="EU55" s="2">
        <f>((IF((139='V06 Calend 01'!C55),('V06 Calend 01'!F55+'V06 Calend 01'!G55),0)+IF(AND(('V06 Calend 01'!E55&gt;0),(139&gt;'V06 Calend 01'!C55),(139&lt;'V06 Calend 01'!D55),(MOD((139-'V06 Calend 01'!C55),6)=0),(((139-'V06 Calend 01'!C55)/6)&lt;='V06 Calend 01'!E55)),IF((139=('V06 Calend 01'!C55+(6*'V06 Calend 01'!E55))),('V06 Calend 01'!H55-('V06 Calend 01'!I55*('V06 Calend 01'!E55-1))),'V06 Calend 01'!I55),0))+IF((139='V06 Calend 01'!D55),'V06 Calend 01'!J55,0))</f>
        <v>0</v>
      </c>
      <c r="EV55" s="2">
        <f>((IF((140='V06 Calend 01'!C55),('V06 Calend 01'!F55+'V06 Calend 01'!G55),0)+IF(AND(('V06 Calend 01'!E55&gt;0),(140&gt;'V06 Calend 01'!C55),(140&lt;'V06 Calend 01'!D55),(MOD((140-'V06 Calend 01'!C55),6)=0),(((140-'V06 Calend 01'!C55)/6)&lt;='V06 Calend 01'!E55)),IF((140=('V06 Calend 01'!C55+(6*'V06 Calend 01'!E55))),('V06 Calend 01'!H55-('V06 Calend 01'!I55*('V06 Calend 01'!E55-1))),'V06 Calend 01'!I55),0))+IF((140='V06 Calend 01'!D55),'V06 Calend 01'!J55,0))</f>
        <v>0</v>
      </c>
      <c r="EW55" s="2">
        <f>((IF((141='V06 Calend 01'!C55),('V06 Calend 01'!F55+'V06 Calend 01'!G55),0)+IF(AND(('V06 Calend 01'!E55&gt;0),(141&gt;'V06 Calend 01'!C55),(141&lt;'V06 Calend 01'!D55),(MOD((141-'V06 Calend 01'!C55),6)=0),(((141-'V06 Calend 01'!C55)/6)&lt;='V06 Calend 01'!E55)),IF((141=('V06 Calend 01'!C55+(6*'V06 Calend 01'!E55))),('V06 Calend 01'!H55-('V06 Calend 01'!I55*('V06 Calend 01'!E55-1))),'V06 Calend 01'!I55),0))+IF((141='V06 Calend 01'!D55),'V06 Calend 01'!J55,0))</f>
        <v>0</v>
      </c>
      <c r="EX55" s="2">
        <f>((IF((142='V06 Calend 01'!C55),('V06 Calend 01'!F55+'V06 Calend 01'!G55),0)+IF(AND(('V06 Calend 01'!E55&gt;0),(142&gt;'V06 Calend 01'!C55),(142&lt;'V06 Calend 01'!D55),(MOD((142-'V06 Calend 01'!C55),6)=0),(((142-'V06 Calend 01'!C55)/6)&lt;='V06 Calend 01'!E55)),IF((142=('V06 Calend 01'!C55+(6*'V06 Calend 01'!E55))),('V06 Calend 01'!H55-('V06 Calend 01'!I55*('V06 Calend 01'!E55-1))),'V06 Calend 01'!I55),0))+IF((142='V06 Calend 01'!D55),'V06 Calend 01'!J55,0))</f>
        <v>0</v>
      </c>
      <c r="EY55" s="2">
        <f>((IF((143='V06 Calend 01'!C55),('V06 Calend 01'!F55+'V06 Calend 01'!G55),0)+IF(AND(('V06 Calend 01'!E55&gt;0),(143&gt;'V06 Calend 01'!C55),(143&lt;'V06 Calend 01'!D55),(MOD((143-'V06 Calend 01'!C55),6)=0),(((143-'V06 Calend 01'!C55)/6)&lt;='V06 Calend 01'!E55)),IF((143=('V06 Calend 01'!C55+(6*'V06 Calend 01'!E55))),('V06 Calend 01'!H55-('V06 Calend 01'!I55*('V06 Calend 01'!E55-1))),'V06 Calend 01'!I55),0))+IF((143='V06 Calend 01'!D55),'V06 Calend 01'!J55,0))</f>
        <v>0</v>
      </c>
      <c r="EZ55" s="2">
        <f>((IF((144='V06 Calend 01'!C55),('V06 Calend 01'!F55+'V06 Calend 01'!G55),0)+IF(AND(('V06 Calend 01'!E55&gt;0),(144&gt;'V06 Calend 01'!C55),(144&lt;'V06 Calend 01'!D55),(MOD((144-'V06 Calend 01'!C55),6)=0),(((144-'V06 Calend 01'!C55)/6)&lt;='V06 Calend 01'!E55)),IF((144=('V06 Calend 01'!C55+(6*'V06 Calend 01'!E55))),('V06 Calend 01'!H55-('V06 Calend 01'!I55*('V06 Calend 01'!E55-1))),'V06 Calend 01'!I55),0))+IF((144='V06 Calend 01'!D55),'V06 Calend 01'!J55,0))</f>
        <v>0</v>
      </c>
      <c r="FA55" s="2">
        <f>((IF((145='V06 Calend 01'!C55),('V06 Calend 01'!F55+'V06 Calend 01'!G55),0)+IF(AND(('V06 Calend 01'!E55&gt;0),(145&gt;'V06 Calend 01'!C55),(145&lt;'V06 Calend 01'!D55),(MOD((145-'V06 Calend 01'!C55),6)=0),(((145-'V06 Calend 01'!C55)/6)&lt;='V06 Calend 01'!E55)),IF((145=('V06 Calend 01'!C55+(6*'V06 Calend 01'!E55))),('V06 Calend 01'!H55-('V06 Calend 01'!I55*('V06 Calend 01'!E55-1))),'V06 Calend 01'!I55),0))+IF((145='V06 Calend 01'!D55),'V06 Calend 01'!J55,0))</f>
        <v>0</v>
      </c>
      <c r="FB55" s="2">
        <f>((IF((146='V06 Calend 01'!C55),('V06 Calend 01'!F55+'V06 Calend 01'!G55),0)+IF(AND(('V06 Calend 01'!E55&gt;0),(146&gt;'V06 Calend 01'!C55),(146&lt;'V06 Calend 01'!D55),(MOD((146-'V06 Calend 01'!C55),6)=0),(((146-'V06 Calend 01'!C55)/6)&lt;='V06 Calend 01'!E55)),IF((146=('V06 Calend 01'!C55+(6*'V06 Calend 01'!E55))),('V06 Calend 01'!H55-('V06 Calend 01'!I55*('V06 Calend 01'!E55-1))),'V06 Calend 01'!I55),0))+IF((146='V06 Calend 01'!D55),'V06 Calend 01'!J55,0))</f>
        <v>0</v>
      </c>
      <c r="FC55" s="2">
        <f>((IF((147='V06 Calend 01'!C55),('V06 Calend 01'!F55+'V06 Calend 01'!G55),0)+IF(AND(('V06 Calend 01'!E55&gt;0),(147&gt;'V06 Calend 01'!C55),(147&lt;'V06 Calend 01'!D55),(MOD((147-'V06 Calend 01'!C55),6)=0),(((147-'V06 Calend 01'!C55)/6)&lt;='V06 Calend 01'!E55)),IF((147=('V06 Calend 01'!C55+(6*'V06 Calend 01'!E55))),('V06 Calend 01'!H55-('V06 Calend 01'!I55*('V06 Calend 01'!E55-1))),'V06 Calend 01'!I55),0))+IF((147='V06 Calend 01'!D55),'V06 Calend 01'!J55,0))</f>
        <v>0</v>
      </c>
      <c r="FD55" s="2">
        <f>((IF((148='V06 Calend 01'!C55),('V06 Calend 01'!F55+'V06 Calend 01'!G55),0)+IF(AND(('V06 Calend 01'!E55&gt;0),(148&gt;'V06 Calend 01'!C55),(148&lt;'V06 Calend 01'!D55),(MOD((148-'V06 Calend 01'!C55),6)=0),(((148-'V06 Calend 01'!C55)/6)&lt;='V06 Calend 01'!E55)),IF((148=('V06 Calend 01'!C55+(6*'V06 Calend 01'!E55))),('V06 Calend 01'!H55-('V06 Calend 01'!I55*('V06 Calend 01'!E55-1))),'V06 Calend 01'!I55),0))+IF((148='V06 Calend 01'!D55),'V06 Calend 01'!J55,0))</f>
        <v>0</v>
      </c>
      <c r="FE55" s="2">
        <f>((IF((149='V06 Calend 01'!C55),('V06 Calend 01'!F55+'V06 Calend 01'!G55),0)+IF(AND(('V06 Calend 01'!E55&gt;0),(149&gt;'V06 Calend 01'!C55),(149&lt;'V06 Calend 01'!D55),(MOD((149-'V06 Calend 01'!C55),6)=0),(((149-'V06 Calend 01'!C55)/6)&lt;='V06 Calend 01'!E55)),IF((149=('V06 Calend 01'!C55+(6*'V06 Calend 01'!E55))),('V06 Calend 01'!H55-('V06 Calend 01'!I55*('V06 Calend 01'!E55-1))),'V06 Calend 01'!I55),0))+IF((149='V06 Calend 01'!D55),'V06 Calend 01'!J55,0))</f>
        <v>0</v>
      </c>
      <c r="FF55" s="2">
        <f>((IF((150='V06 Calend 01'!C55),('V06 Calend 01'!F55+'V06 Calend 01'!G55),0)+IF(AND(('V06 Calend 01'!E55&gt;0),(150&gt;'V06 Calend 01'!C55),(150&lt;'V06 Calend 01'!D55),(MOD((150-'V06 Calend 01'!C55),6)=0),(((150-'V06 Calend 01'!C55)/6)&lt;='V06 Calend 01'!E55)),IF((150=('V06 Calend 01'!C55+(6*'V06 Calend 01'!E55))),('V06 Calend 01'!H55-('V06 Calend 01'!I55*('V06 Calend 01'!E55-1))),'V06 Calend 01'!I55),0))+IF((150='V06 Calend 01'!D55),'V06 Calend 01'!J55,0))</f>
        <v>0</v>
      </c>
      <c r="FG55" s="2">
        <f>((IF((151='V06 Calend 01'!C55),('V06 Calend 01'!F55+'V06 Calend 01'!G55),0)+IF(AND(('V06 Calend 01'!E55&gt;0),(151&gt;'V06 Calend 01'!C55),(151&lt;'V06 Calend 01'!D55),(MOD((151-'V06 Calend 01'!C55),6)=0),(((151-'V06 Calend 01'!C55)/6)&lt;='V06 Calend 01'!E55)),IF((151=('V06 Calend 01'!C55+(6*'V06 Calend 01'!E55))),('V06 Calend 01'!H55-('V06 Calend 01'!I55*('V06 Calend 01'!E55-1))),'V06 Calend 01'!I55),0))+IF((151='V06 Calend 01'!D55),'V06 Calend 01'!J55,0))</f>
        <v>0</v>
      </c>
      <c r="FH55" s="2">
        <f>((IF((152='V06 Calend 01'!C55),('V06 Calend 01'!F55+'V06 Calend 01'!G55),0)+IF(AND(('V06 Calend 01'!E55&gt;0),(152&gt;'V06 Calend 01'!C55),(152&lt;'V06 Calend 01'!D55),(MOD((152-'V06 Calend 01'!C55),6)=0),(((152-'V06 Calend 01'!C55)/6)&lt;='V06 Calend 01'!E55)),IF((152=('V06 Calend 01'!C55+(6*'V06 Calend 01'!E55))),('V06 Calend 01'!H55-('V06 Calend 01'!I55*('V06 Calend 01'!E55-1))),'V06 Calend 01'!I55),0))+IF((152='V06 Calend 01'!D55),'V06 Calend 01'!J55,0))</f>
        <v>0</v>
      </c>
      <c r="FI55" s="2">
        <f>((IF((153='V06 Calend 01'!C55),('V06 Calend 01'!F55+'V06 Calend 01'!G55),0)+IF(AND(('V06 Calend 01'!E55&gt;0),(153&gt;'V06 Calend 01'!C55),(153&lt;'V06 Calend 01'!D55),(MOD((153-'V06 Calend 01'!C55),6)=0),(((153-'V06 Calend 01'!C55)/6)&lt;='V06 Calend 01'!E55)),IF((153=('V06 Calend 01'!C55+(6*'V06 Calend 01'!E55))),('V06 Calend 01'!H55-('V06 Calend 01'!I55*('V06 Calend 01'!E55-1))),'V06 Calend 01'!I55),0))+IF((153='V06 Calend 01'!D55),'V06 Calend 01'!J55,0))</f>
        <v>0</v>
      </c>
      <c r="FJ55" s="2">
        <f>((IF((154='V06 Calend 01'!C55),('V06 Calend 01'!F55+'V06 Calend 01'!G55),0)+IF(AND(('V06 Calend 01'!E55&gt;0),(154&gt;'V06 Calend 01'!C55),(154&lt;'V06 Calend 01'!D55),(MOD((154-'V06 Calend 01'!C55),6)=0),(((154-'V06 Calend 01'!C55)/6)&lt;='V06 Calend 01'!E55)),IF((154=('V06 Calend 01'!C55+(6*'V06 Calend 01'!E55))),('V06 Calend 01'!H55-('V06 Calend 01'!I55*('V06 Calend 01'!E55-1))),'V06 Calend 01'!I55),0))+IF((154='V06 Calend 01'!D55),'V06 Calend 01'!J55,0))</f>
        <v>0</v>
      </c>
      <c r="FK55" s="2">
        <f>((IF((155='V06 Calend 01'!C55),('V06 Calend 01'!F55+'V06 Calend 01'!G55),0)+IF(AND(('V06 Calend 01'!E55&gt;0),(155&gt;'V06 Calend 01'!C55),(155&lt;'V06 Calend 01'!D55),(MOD((155-'V06 Calend 01'!C55),6)=0),(((155-'V06 Calend 01'!C55)/6)&lt;='V06 Calend 01'!E55)),IF((155=('V06 Calend 01'!C55+(6*'V06 Calend 01'!E55))),('V06 Calend 01'!H55-('V06 Calend 01'!I55*('V06 Calend 01'!E55-1))),'V06 Calend 01'!I55),0))+IF((155='V06 Calend 01'!D55),'V06 Calend 01'!J55,0))</f>
        <v>0</v>
      </c>
      <c r="FL55" s="2">
        <f>((IF((156='V06 Calend 01'!C55),('V06 Calend 01'!F55+'V06 Calend 01'!G55),0)+IF(AND(('V06 Calend 01'!E55&gt;0),(156&gt;'V06 Calend 01'!C55),(156&lt;'V06 Calend 01'!D55),(MOD((156-'V06 Calend 01'!C55),6)=0),(((156-'V06 Calend 01'!C55)/6)&lt;='V06 Calend 01'!E55)),IF((156=('V06 Calend 01'!C55+(6*'V06 Calend 01'!E55))),('V06 Calend 01'!H55-('V06 Calend 01'!I55*('V06 Calend 01'!E55-1))),'V06 Calend 01'!I55),0))+IF((156='V06 Calend 01'!D55),'V06 Calend 01'!J55,0))</f>
        <v>0</v>
      </c>
      <c r="FM55" s="2">
        <f>((IF((157='V06 Calend 01'!C55),('V06 Calend 01'!F55+'V06 Calend 01'!G55),0)+IF(AND(('V06 Calend 01'!E55&gt;0),(157&gt;'V06 Calend 01'!C55),(157&lt;'V06 Calend 01'!D55),(MOD((157-'V06 Calend 01'!C55),6)=0),(((157-'V06 Calend 01'!C55)/6)&lt;='V06 Calend 01'!E55)),IF((157=('V06 Calend 01'!C55+(6*'V06 Calend 01'!E55))),('V06 Calend 01'!H55-('V06 Calend 01'!I55*('V06 Calend 01'!E55-1))),'V06 Calend 01'!I55),0))+IF((157='V06 Calend 01'!D55),'V06 Calend 01'!J55,0))</f>
        <v>0</v>
      </c>
      <c r="FN55" s="2">
        <f>((IF((158='V06 Calend 01'!C55),('V06 Calend 01'!F55+'V06 Calend 01'!G55),0)+IF(AND(('V06 Calend 01'!E55&gt;0),(158&gt;'V06 Calend 01'!C55),(158&lt;'V06 Calend 01'!D55),(MOD((158-'V06 Calend 01'!C55),6)=0),(((158-'V06 Calend 01'!C55)/6)&lt;='V06 Calend 01'!E55)),IF((158=('V06 Calend 01'!C55+(6*'V06 Calend 01'!E55))),('V06 Calend 01'!H55-('V06 Calend 01'!I55*('V06 Calend 01'!E55-1))),'V06 Calend 01'!I55),0))+IF((158='V06 Calend 01'!D55),'V06 Calend 01'!J55,0))</f>
        <v>0</v>
      </c>
      <c r="FO55" s="2">
        <f>((IF((159='V06 Calend 01'!C55),('V06 Calend 01'!F55+'V06 Calend 01'!G55),0)+IF(AND(('V06 Calend 01'!E55&gt;0),(159&gt;'V06 Calend 01'!C55),(159&lt;'V06 Calend 01'!D55),(MOD((159-'V06 Calend 01'!C55),6)=0),(((159-'V06 Calend 01'!C55)/6)&lt;='V06 Calend 01'!E55)),IF((159=('V06 Calend 01'!C55+(6*'V06 Calend 01'!E55))),('V06 Calend 01'!H55-('V06 Calend 01'!I55*('V06 Calend 01'!E55-1))),'V06 Calend 01'!I55),0))+IF((159='V06 Calend 01'!D55),'V06 Calend 01'!J55,0))</f>
        <v>0</v>
      </c>
      <c r="FP55" s="2">
        <f>((IF((160='V06 Calend 01'!C55),('V06 Calend 01'!F55+'V06 Calend 01'!G55),0)+IF(AND(('V06 Calend 01'!E55&gt;0),(160&gt;'V06 Calend 01'!C55),(160&lt;'V06 Calend 01'!D55),(MOD((160-'V06 Calend 01'!C55),6)=0),(((160-'V06 Calend 01'!C55)/6)&lt;='V06 Calend 01'!E55)),IF((160=('V06 Calend 01'!C55+(6*'V06 Calend 01'!E55))),('V06 Calend 01'!H55-('V06 Calend 01'!I55*('V06 Calend 01'!E55-1))),'V06 Calend 01'!I55),0))+IF((160='V06 Calend 01'!D55),'V06 Calend 01'!J55,0))</f>
        <v>0</v>
      </c>
      <c r="FQ55" s="2">
        <f>((IF((161='V06 Calend 01'!C55),('V06 Calend 01'!F55+'V06 Calend 01'!G55),0)+IF(AND(('V06 Calend 01'!E55&gt;0),(161&gt;'V06 Calend 01'!C55),(161&lt;'V06 Calend 01'!D55),(MOD((161-'V06 Calend 01'!C55),6)=0),(((161-'V06 Calend 01'!C55)/6)&lt;='V06 Calend 01'!E55)),IF((161=('V06 Calend 01'!C55+(6*'V06 Calend 01'!E55))),('V06 Calend 01'!H55-('V06 Calend 01'!I55*('V06 Calend 01'!E55-1))),'V06 Calend 01'!I55),0))+IF((161='V06 Calend 01'!D55),'V06 Calend 01'!J55,0))</f>
        <v>0</v>
      </c>
      <c r="FR55" s="2">
        <f>((IF((162='V06 Calend 01'!C55),('V06 Calend 01'!F55+'V06 Calend 01'!G55),0)+IF(AND(('V06 Calend 01'!E55&gt;0),(162&gt;'V06 Calend 01'!C55),(162&lt;'V06 Calend 01'!D55),(MOD((162-'V06 Calend 01'!C55),6)=0),(((162-'V06 Calend 01'!C55)/6)&lt;='V06 Calend 01'!E55)),IF((162=('V06 Calend 01'!C55+(6*'V06 Calend 01'!E55))),('V06 Calend 01'!H55-('V06 Calend 01'!I55*('V06 Calend 01'!E55-1))),'V06 Calend 01'!I55),0))+IF((162='V06 Calend 01'!D55),'V06 Calend 01'!J55,0))</f>
        <v>0</v>
      </c>
      <c r="FS55" s="2">
        <f>((IF((163='V06 Calend 01'!C55),('V06 Calend 01'!F55+'V06 Calend 01'!G55),0)+IF(AND(('V06 Calend 01'!E55&gt;0),(163&gt;'V06 Calend 01'!C55),(163&lt;'V06 Calend 01'!D55),(MOD((163-'V06 Calend 01'!C55),6)=0),(((163-'V06 Calend 01'!C55)/6)&lt;='V06 Calend 01'!E55)),IF((163=('V06 Calend 01'!C55+(6*'V06 Calend 01'!E55))),('V06 Calend 01'!H55-('V06 Calend 01'!I55*('V06 Calend 01'!E55-1))),'V06 Calend 01'!I55),0))+IF((163='V06 Calend 01'!D55),'V06 Calend 01'!J55,0))</f>
        <v>0</v>
      </c>
      <c r="FT55" s="2">
        <f>((IF((164='V06 Calend 01'!C55),('V06 Calend 01'!F55+'V06 Calend 01'!G55),0)+IF(AND(('V06 Calend 01'!E55&gt;0),(164&gt;'V06 Calend 01'!C55),(164&lt;'V06 Calend 01'!D55),(MOD((164-'V06 Calend 01'!C55),6)=0),(((164-'V06 Calend 01'!C55)/6)&lt;='V06 Calend 01'!E55)),IF((164=('V06 Calend 01'!C55+(6*'V06 Calend 01'!E55))),('V06 Calend 01'!H55-('V06 Calend 01'!I55*('V06 Calend 01'!E55-1))),'V06 Calend 01'!I55),0))+IF((164='V06 Calend 01'!D55),'V06 Calend 01'!J55,0))</f>
        <v>0</v>
      </c>
      <c r="FU55" s="2">
        <f>((IF((165='V06 Calend 01'!C55),('V06 Calend 01'!F55+'V06 Calend 01'!G55),0)+IF(AND(('V06 Calend 01'!E55&gt;0),(165&gt;'V06 Calend 01'!C55),(165&lt;'V06 Calend 01'!D55),(MOD((165-'V06 Calend 01'!C55),6)=0),(((165-'V06 Calend 01'!C55)/6)&lt;='V06 Calend 01'!E55)),IF((165=('V06 Calend 01'!C55+(6*'V06 Calend 01'!E55))),('V06 Calend 01'!H55-('V06 Calend 01'!I55*('V06 Calend 01'!E55-1))),'V06 Calend 01'!I55),0))+IF((165='V06 Calend 01'!D55),'V06 Calend 01'!J55,0))</f>
        <v>0</v>
      </c>
      <c r="FV55" s="2">
        <f>((IF((166='V06 Calend 01'!C55),('V06 Calend 01'!F55+'V06 Calend 01'!G55),0)+IF(AND(('V06 Calend 01'!E55&gt;0),(166&gt;'V06 Calend 01'!C55),(166&lt;'V06 Calend 01'!D55),(MOD((166-'V06 Calend 01'!C55),6)=0),(((166-'V06 Calend 01'!C55)/6)&lt;='V06 Calend 01'!E55)),IF((166=('V06 Calend 01'!C55+(6*'V06 Calend 01'!E55))),('V06 Calend 01'!H55-('V06 Calend 01'!I55*('V06 Calend 01'!E55-1))),'V06 Calend 01'!I55),0))+IF((166='V06 Calend 01'!D55),'V06 Calend 01'!J55,0))</f>
        <v>0</v>
      </c>
      <c r="FW55" s="2">
        <f>((IF((167='V06 Calend 01'!C55),('V06 Calend 01'!F55+'V06 Calend 01'!G55),0)+IF(AND(('V06 Calend 01'!E55&gt;0),(167&gt;'V06 Calend 01'!C55),(167&lt;'V06 Calend 01'!D55),(MOD((167-'V06 Calend 01'!C55),6)=0),(((167-'V06 Calend 01'!C55)/6)&lt;='V06 Calend 01'!E55)),IF((167=('V06 Calend 01'!C55+(6*'V06 Calend 01'!E55))),('V06 Calend 01'!H55-('V06 Calend 01'!I55*('V06 Calend 01'!E55-1))),'V06 Calend 01'!I55),0))+IF((167='V06 Calend 01'!D55),'V06 Calend 01'!J55,0))</f>
        <v>0</v>
      </c>
      <c r="FX55" s="2">
        <f>((IF((168='V06 Calend 01'!C55),('V06 Calend 01'!F55+'V06 Calend 01'!G55),0)+IF(AND(('V06 Calend 01'!E55&gt;0),(168&gt;'V06 Calend 01'!C55),(168&lt;'V06 Calend 01'!D55),(MOD((168-'V06 Calend 01'!C55),6)=0),(((168-'V06 Calend 01'!C55)/6)&lt;='V06 Calend 01'!E55)),IF((168=('V06 Calend 01'!C55+(6*'V06 Calend 01'!E55))),('V06 Calend 01'!H55-('V06 Calend 01'!I55*('V06 Calend 01'!E55-1))),'V06 Calend 01'!I55),0))+IF((168='V06 Calend 01'!D55),'V06 Calend 01'!J55,0))</f>
        <v>0</v>
      </c>
      <c r="FY55" s="2">
        <f>((IF((169='V06 Calend 01'!C55),('V06 Calend 01'!F55+'V06 Calend 01'!G55),0)+IF(AND(('V06 Calend 01'!E55&gt;0),(169&gt;'V06 Calend 01'!C55),(169&lt;'V06 Calend 01'!D55),(MOD((169-'V06 Calend 01'!C55),6)=0),(((169-'V06 Calend 01'!C55)/6)&lt;='V06 Calend 01'!E55)),IF((169=('V06 Calend 01'!C55+(6*'V06 Calend 01'!E55))),('V06 Calend 01'!H55-('V06 Calend 01'!I55*('V06 Calend 01'!E55-1))),'V06 Calend 01'!I55),0))+IF((169='V06 Calend 01'!D55),'V06 Calend 01'!J55,0))</f>
        <v>0</v>
      </c>
      <c r="FZ55" s="2">
        <f>((IF((170='V06 Calend 01'!C55),('V06 Calend 01'!F55+'V06 Calend 01'!G55),0)+IF(AND(('V06 Calend 01'!E55&gt;0),(170&gt;'V06 Calend 01'!C55),(170&lt;'V06 Calend 01'!D55),(MOD((170-'V06 Calend 01'!C55),6)=0),(((170-'V06 Calend 01'!C55)/6)&lt;='V06 Calend 01'!E55)),IF((170=('V06 Calend 01'!C55+(6*'V06 Calend 01'!E55))),('V06 Calend 01'!H55-('V06 Calend 01'!I55*('V06 Calend 01'!E55-1))),'V06 Calend 01'!I55),0))+IF((170='V06 Calend 01'!D55),'V06 Calend 01'!J55,0))</f>
        <v>0</v>
      </c>
      <c r="GA55" s="2">
        <f>((IF((171='V06 Calend 01'!C55),('V06 Calend 01'!F55+'V06 Calend 01'!G55),0)+IF(AND(('V06 Calend 01'!E55&gt;0),(171&gt;'V06 Calend 01'!C55),(171&lt;'V06 Calend 01'!D55),(MOD((171-'V06 Calend 01'!C55),6)=0),(((171-'V06 Calend 01'!C55)/6)&lt;='V06 Calend 01'!E55)),IF((171=('V06 Calend 01'!C55+(6*'V06 Calend 01'!E55))),('V06 Calend 01'!H55-('V06 Calend 01'!I55*('V06 Calend 01'!E55-1))),'V06 Calend 01'!I55),0))+IF((171='V06 Calend 01'!D55),'V06 Calend 01'!J55,0))</f>
        <v>0</v>
      </c>
      <c r="GB55" s="2">
        <f>((IF((172='V06 Calend 01'!C55),('V06 Calend 01'!F55+'V06 Calend 01'!G55),0)+IF(AND(('V06 Calend 01'!E55&gt;0),(172&gt;'V06 Calend 01'!C55),(172&lt;'V06 Calend 01'!D55),(MOD((172-'V06 Calend 01'!C55),6)=0),(((172-'V06 Calend 01'!C55)/6)&lt;='V06 Calend 01'!E55)),IF((172=('V06 Calend 01'!C55+(6*'V06 Calend 01'!E55))),('V06 Calend 01'!H55-('V06 Calend 01'!I55*('V06 Calend 01'!E55-1))),'V06 Calend 01'!I55),0))+IF((172='V06 Calend 01'!D55),'V06 Calend 01'!J55,0))</f>
        <v>0</v>
      </c>
      <c r="GC55" s="2">
        <f>((IF((173='V06 Calend 01'!C55),('V06 Calend 01'!F55+'V06 Calend 01'!G55),0)+IF(AND(('V06 Calend 01'!E55&gt;0),(173&gt;'V06 Calend 01'!C55),(173&lt;'V06 Calend 01'!D55),(MOD((173-'V06 Calend 01'!C55),6)=0),(((173-'V06 Calend 01'!C55)/6)&lt;='V06 Calend 01'!E55)),IF((173=('V06 Calend 01'!C55+(6*'V06 Calend 01'!E55))),('V06 Calend 01'!H55-('V06 Calend 01'!I55*('V06 Calend 01'!E55-1))),'V06 Calend 01'!I55),0))+IF((173='V06 Calend 01'!D55),'V06 Calend 01'!J55,0))</f>
        <v>0</v>
      </c>
      <c r="GD55" s="2">
        <f>((IF((174='V06 Calend 01'!C55),('V06 Calend 01'!F55+'V06 Calend 01'!G55),0)+IF(AND(('V06 Calend 01'!E55&gt;0),(174&gt;'V06 Calend 01'!C55),(174&lt;'V06 Calend 01'!D55),(MOD((174-'V06 Calend 01'!C55),6)=0),(((174-'V06 Calend 01'!C55)/6)&lt;='V06 Calend 01'!E55)),IF((174=('V06 Calend 01'!C55+(6*'V06 Calend 01'!E55))),('V06 Calend 01'!H55-('V06 Calend 01'!I55*('V06 Calend 01'!E55-1))),'V06 Calend 01'!I55),0))+IF((174='V06 Calend 01'!D55),'V06 Calend 01'!J55,0))</f>
        <v>0</v>
      </c>
      <c r="GE55" s="2">
        <f>((IF((175='V06 Calend 01'!C55),('V06 Calend 01'!F55+'V06 Calend 01'!G55),0)+IF(AND(('V06 Calend 01'!E55&gt;0),(175&gt;'V06 Calend 01'!C55),(175&lt;'V06 Calend 01'!D55),(MOD((175-'V06 Calend 01'!C55),6)=0),(((175-'V06 Calend 01'!C55)/6)&lt;='V06 Calend 01'!E55)),IF((175=('V06 Calend 01'!C55+(6*'V06 Calend 01'!E55))),('V06 Calend 01'!H55-('V06 Calend 01'!I55*('V06 Calend 01'!E55-1))),'V06 Calend 01'!I55),0))+IF((175='V06 Calend 01'!D55),'V06 Calend 01'!J55,0))</f>
        <v>0</v>
      </c>
      <c r="GF55" s="2">
        <f>((IF((176='V06 Calend 01'!C55),('V06 Calend 01'!F55+'V06 Calend 01'!G55),0)+IF(AND(('V06 Calend 01'!E55&gt;0),(176&gt;'V06 Calend 01'!C55),(176&lt;'V06 Calend 01'!D55),(MOD((176-'V06 Calend 01'!C55),6)=0),(((176-'V06 Calend 01'!C55)/6)&lt;='V06 Calend 01'!E55)),IF((176=('V06 Calend 01'!C55+(6*'V06 Calend 01'!E55))),('V06 Calend 01'!H55-('V06 Calend 01'!I55*('V06 Calend 01'!E55-1))),'V06 Calend 01'!I55),0))+IF((176='V06 Calend 01'!D55),'V06 Calend 01'!J55,0))</f>
        <v>0</v>
      </c>
      <c r="GG55" s="2">
        <f>((IF((177='V06 Calend 01'!C55),('V06 Calend 01'!F55+'V06 Calend 01'!G55),0)+IF(AND(('V06 Calend 01'!E55&gt;0),(177&gt;'V06 Calend 01'!C55),(177&lt;'V06 Calend 01'!D55),(MOD((177-'V06 Calend 01'!C55),6)=0),(((177-'V06 Calend 01'!C55)/6)&lt;='V06 Calend 01'!E55)),IF((177=('V06 Calend 01'!C55+(6*'V06 Calend 01'!E55))),('V06 Calend 01'!H55-('V06 Calend 01'!I55*('V06 Calend 01'!E55-1))),'V06 Calend 01'!I55),0))+IF((177='V06 Calend 01'!D55),'V06 Calend 01'!J55,0))</f>
        <v>0</v>
      </c>
      <c r="GH55" s="2">
        <f>((IF((178='V06 Calend 01'!C55),('V06 Calend 01'!F55+'V06 Calend 01'!G55),0)+IF(AND(('V06 Calend 01'!E55&gt;0),(178&gt;'V06 Calend 01'!C55),(178&lt;'V06 Calend 01'!D55),(MOD((178-'V06 Calend 01'!C55),6)=0),(((178-'V06 Calend 01'!C55)/6)&lt;='V06 Calend 01'!E55)),IF((178=('V06 Calend 01'!C55+(6*'V06 Calend 01'!E55))),('V06 Calend 01'!H55-('V06 Calend 01'!I55*('V06 Calend 01'!E55-1))),'V06 Calend 01'!I55),0))+IF((178='V06 Calend 01'!D55),'V06 Calend 01'!J55,0))</f>
        <v>0</v>
      </c>
      <c r="GI55" s="2">
        <f>((IF((179='V06 Calend 01'!C55),('V06 Calend 01'!F55+'V06 Calend 01'!G55),0)+IF(AND(('V06 Calend 01'!E55&gt;0),(179&gt;'V06 Calend 01'!C55),(179&lt;'V06 Calend 01'!D55),(MOD((179-'V06 Calend 01'!C55),6)=0),(((179-'V06 Calend 01'!C55)/6)&lt;='V06 Calend 01'!E55)),IF((179=('V06 Calend 01'!C55+(6*'V06 Calend 01'!E55))),('V06 Calend 01'!H55-('V06 Calend 01'!I55*('V06 Calend 01'!E55-1))),'V06 Calend 01'!I55),0))+IF((179='V06 Calend 01'!D55),'V06 Calend 01'!J55,0))</f>
        <v>0</v>
      </c>
      <c r="GJ55" s="2">
        <f>((IF((180='V06 Calend 01'!C55),('V06 Calend 01'!F55+'V06 Calend 01'!G55),0)+IF(AND(('V06 Calend 01'!E55&gt;0),(180&gt;'V06 Calend 01'!C55),(180&lt;'V06 Calend 01'!D55),(MOD((180-'V06 Calend 01'!C55),6)=0),(((180-'V06 Calend 01'!C55)/6)&lt;='V06 Calend 01'!E55)),IF((180=('V06 Calend 01'!C55+(6*'V06 Calend 01'!E55))),('V06 Calend 01'!H55-('V06 Calend 01'!I55*('V06 Calend 01'!E55-1))),'V06 Calend 01'!I55),0))+IF((180='V06 Calend 01'!D55),'V06 Calend 01'!J55,0))</f>
        <v>0</v>
      </c>
    </row>
    <row r="56" spans="1:192">
      <c r="A56" s="3" t="str">
        <f>'V06 Unidades'!$A$56</f>
        <v>702</v>
      </c>
      <c r="B56" s="2">
        <f>'V06 Unidades'!$H$56</f>
        <v>537677.3</v>
      </c>
      <c r="C56" s="4">
        <f>('V06 Unidades'!$I$56+'V06 Controlos'!$B$37)</f>
        <v>7</v>
      </c>
      <c r="D56" s="4">
        <f>IF(('V06 Controlos'!$B$38&gt;0),MAX(('V06 Unidades'!$L$56+'V06 Controlos'!$B$37),(30+'V06 Controlos'!$B$38)),('V06 Unidades'!$L$56+'V06 Controlos'!$B$37))</f>
        <v>28</v>
      </c>
      <c r="E56" s="4">
        <f>MAX(0,INT(((('V06 Calend 01'!D56-'V06 Calend 01'!C56)-1)/6)))</f>
        <v>3</v>
      </c>
      <c r="F56" s="2">
        <f>ROUND(('V06 Calend 01'!B56*0.05),2)</f>
        <v>26883.87</v>
      </c>
      <c r="G56" s="2">
        <f>ROUND(('V06 Calend 01'!B56*0.2),2)</f>
        <v>107535.46</v>
      </c>
      <c r="H56" s="2">
        <f>ROUND(('V06 Calend 01'!B56*0.55),2)</f>
        <v>295722.52</v>
      </c>
      <c r="I56" s="2">
        <f>ROUND(('V06 Calend 01'!H56/MAX(1,'V06 Calend 01'!E56)),2)</f>
        <v>98574.17</v>
      </c>
      <c r="J56" s="2">
        <f>((('V06 Calend 01'!B56-'V06 Calend 01'!F56)-'V06 Calend 01'!G56)-'V06 Calend 01'!H56)</f>
        <v>107535.45000000001</v>
      </c>
      <c r="K56" s="2">
        <f>('V06 Calend 01'!B56*0.025)</f>
        <v>13441.932500000003</v>
      </c>
      <c r="L56" t="s">
        <v>378</v>
      </c>
      <c r="M56" s="2">
        <f>((IF((1='V06 Calend 01'!C56),('V06 Calend 01'!F56+'V06 Calend 01'!G56),0)+IF(AND(('V06 Calend 01'!E56&gt;0),(1&gt;'V06 Calend 01'!C56),(1&lt;'V06 Calend 01'!D56),(MOD((1-'V06 Calend 01'!C56),6)=0),(((1-'V06 Calend 01'!C56)/6)&lt;='V06 Calend 01'!E56)),IF((1=('V06 Calend 01'!C56+(6*'V06 Calend 01'!E56))),('V06 Calend 01'!H56-('V06 Calend 01'!I56*('V06 Calend 01'!E56-1))),'V06 Calend 01'!I56),0))+IF((1='V06 Calend 01'!D56),'V06 Calend 01'!J56,0))</f>
        <v>0</v>
      </c>
      <c r="N56" s="2">
        <f>((IF((2='V06 Calend 01'!C56),('V06 Calend 01'!F56+'V06 Calend 01'!G56),0)+IF(AND(('V06 Calend 01'!E56&gt;0),(2&gt;'V06 Calend 01'!C56),(2&lt;'V06 Calend 01'!D56),(MOD((2-'V06 Calend 01'!C56),6)=0),(((2-'V06 Calend 01'!C56)/6)&lt;='V06 Calend 01'!E56)),IF((2=('V06 Calend 01'!C56+(6*'V06 Calend 01'!E56))),('V06 Calend 01'!H56-('V06 Calend 01'!I56*('V06 Calend 01'!E56-1))),'V06 Calend 01'!I56),0))+IF((2='V06 Calend 01'!D56),'V06 Calend 01'!J56,0))</f>
        <v>0</v>
      </c>
      <c r="O56" s="2">
        <f>((IF((3='V06 Calend 01'!C56),('V06 Calend 01'!F56+'V06 Calend 01'!G56),0)+IF(AND(('V06 Calend 01'!E56&gt;0),(3&gt;'V06 Calend 01'!C56),(3&lt;'V06 Calend 01'!D56),(MOD((3-'V06 Calend 01'!C56),6)=0),(((3-'V06 Calend 01'!C56)/6)&lt;='V06 Calend 01'!E56)),IF((3=('V06 Calend 01'!C56+(6*'V06 Calend 01'!E56))),('V06 Calend 01'!H56-('V06 Calend 01'!I56*('V06 Calend 01'!E56-1))),'V06 Calend 01'!I56),0))+IF((3='V06 Calend 01'!D56),'V06 Calend 01'!J56,0))</f>
        <v>0</v>
      </c>
      <c r="P56" s="2">
        <f>((IF((4='V06 Calend 01'!C56),('V06 Calend 01'!F56+'V06 Calend 01'!G56),0)+IF(AND(('V06 Calend 01'!E56&gt;0),(4&gt;'V06 Calend 01'!C56),(4&lt;'V06 Calend 01'!D56),(MOD((4-'V06 Calend 01'!C56),6)=0),(((4-'V06 Calend 01'!C56)/6)&lt;='V06 Calend 01'!E56)),IF((4=('V06 Calend 01'!C56+(6*'V06 Calend 01'!E56))),('V06 Calend 01'!H56-('V06 Calend 01'!I56*('V06 Calend 01'!E56-1))),'V06 Calend 01'!I56),0))+IF((4='V06 Calend 01'!D56),'V06 Calend 01'!J56,0))</f>
        <v>0</v>
      </c>
      <c r="Q56" s="2">
        <f>((IF((5='V06 Calend 01'!C56),('V06 Calend 01'!F56+'V06 Calend 01'!G56),0)+IF(AND(('V06 Calend 01'!E56&gt;0),(5&gt;'V06 Calend 01'!C56),(5&lt;'V06 Calend 01'!D56),(MOD((5-'V06 Calend 01'!C56),6)=0),(((5-'V06 Calend 01'!C56)/6)&lt;='V06 Calend 01'!E56)),IF((5=('V06 Calend 01'!C56+(6*'V06 Calend 01'!E56))),('V06 Calend 01'!H56-('V06 Calend 01'!I56*('V06 Calend 01'!E56-1))),'V06 Calend 01'!I56),0))+IF((5='V06 Calend 01'!D56),'V06 Calend 01'!J56,0))</f>
        <v>0</v>
      </c>
      <c r="R56" s="2">
        <f>((IF((6='V06 Calend 01'!C56),('V06 Calend 01'!F56+'V06 Calend 01'!G56),0)+IF(AND(('V06 Calend 01'!E56&gt;0),(6&gt;'V06 Calend 01'!C56),(6&lt;'V06 Calend 01'!D56),(MOD((6-'V06 Calend 01'!C56),6)=0),(((6-'V06 Calend 01'!C56)/6)&lt;='V06 Calend 01'!E56)),IF((6=('V06 Calend 01'!C56+(6*'V06 Calend 01'!E56))),('V06 Calend 01'!H56-('V06 Calend 01'!I56*('V06 Calend 01'!E56-1))),'V06 Calend 01'!I56),0))+IF((6='V06 Calend 01'!D56),'V06 Calend 01'!J56,0))</f>
        <v>0</v>
      </c>
      <c r="S56" s="2">
        <f>((IF((7='V06 Calend 01'!C56),('V06 Calend 01'!F56+'V06 Calend 01'!G56),0)+IF(AND(('V06 Calend 01'!E56&gt;0),(7&gt;'V06 Calend 01'!C56),(7&lt;'V06 Calend 01'!D56),(MOD((7-'V06 Calend 01'!C56),6)=0),(((7-'V06 Calend 01'!C56)/6)&lt;='V06 Calend 01'!E56)),IF((7=('V06 Calend 01'!C56+(6*'V06 Calend 01'!E56))),('V06 Calend 01'!H56-('V06 Calend 01'!I56*('V06 Calend 01'!E56-1))),'V06 Calend 01'!I56),0))+IF((7='V06 Calend 01'!D56),'V06 Calend 01'!J56,0))</f>
        <v>134419.33000000002</v>
      </c>
      <c r="T56" s="2">
        <f>((IF((8='V06 Calend 01'!C56),('V06 Calend 01'!F56+'V06 Calend 01'!G56),0)+IF(AND(('V06 Calend 01'!E56&gt;0),(8&gt;'V06 Calend 01'!C56),(8&lt;'V06 Calend 01'!D56),(MOD((8-'V06 Calend 01'!C56),6)=0),(((8-'V06 Calend 01'!C56)/6)&lt;='V06 Calend 01'!E56)),IF((8=('V06 Calend 01'!C56+(6*'V06 Calend 01'!E56))),('V06 Calend 01'!H56-('V06 Calend 01'!I56*('V06 Calend 01'!E56-1))),'V06 Calend 01'!I56),0))+IF((8='V06 Calend 01'!D56),'V06 Calend 01'!J56,0))</f>
        <v>0</v>
      </c>
      <c r="U56" s="2">
        <f>((IF((9='V06 Calend 01'!C56),('V06 Calend 01'!F56+'V06 Calend 01'!G56),0)+IF(AND(('V06 Calend 01'!E56&gt;0),(9&gt;'V06 Calend 01'!C56),(9&lt;'V06 Calend 01'!D56),(MOD((9-'V06 Calend 01'!C56),6)=0),(((9-'V06 Calend 01'!C56)/6)&lt;='V06 Calend 01'!E56)),IF((9=('V06 Calend 01'!C56+(6*'V06 Calend 01'!E56))),('V06 Calend 01'!H56-('V06 Calend 01'!I56*('V06 Calend 01'!E56-1))),'V06 Calend 01'!I56),0))+IF((9='V06 Calend 01'!D56),'V06 Calend 01'!J56,0))</f>
        <v>0</v>
      </c>
      <c r="V56" s="2">
        <f>((IF((10='V06 Calend 01'!C56),('V06 Calend 01'!F56+'V06 Calend 01'!G56),0)+IF(AND(('V06 Calend 01'!E56&gt;0),(10&gt;'V06 Calend 01'!C56),(10&lt;'V06 Calend 01'!D56),(MOD((10-'V06 Calend 01'!C56),6)=0),(((10-'V06 Calend 01'!C56)/6)&lt;='V06 Calend 01'!E56)),IF((10=('V06 Calend 01'!C56+(6*'V06 Calend 01'!E56))),('V06 Calend 01'!H56-('V06 Calend 01'!I56*('V06 Calend 01'!E56-1))),'V06 Calend 01'!I56),0))+IF((10='V06 Calend 01'!D56),'V06 Calend 01'!J56,0))</f>
        <v>0</v>
      </c>
      <c r="W56" s="2">
        <f>((IF((11='V06 Calend 01'!C56),('V06 Calend 01'!F56+'V06 Calend 01'!G56),0)+IF(AND(('V06 Calend 01'!E56&gt;0),(11&gt;'V06 Calend 01'!C56),(11&lt;'V06 Calend 01'!D56),(MOD((11-'V06 Calend 01'!C56),6)=0),(((11-'V06 Calend 01'!C56)/6)&lt;='V06 Calend 01'!E56)),IF((11=('V06 Calend 01'!C56+(6*'V06 Calend 01'!E56))),('V06 Calend 01'!H56-('V06 Calend 01'!I56*('V06 Calend 01'!E56-1))),'V06 Calend 01'!I56),0))+IF((11='V06 Calend 01'!D56),'V06 Calend 01'!J56,0))</f>
        <v>0</v>
      </c>
      <c r="X56" s="2">
        <f>((IF((12='V06 Calend 01'!C56),('V06 Calend 01'!F56+'V06 Calend 01'!G56),0)+IF(AND(('V06 Calend 01'!E56&gt;0),(12&gt;'V06 Calend 01'!C56),(12&lt;'V06 Calend 01'!D56),(MOD((12-'V06 Calend 01'!C56),6)=0),(((12-'V06 Calend 01'!C56)/6)&lt;='V06 Calend 01'!E56)),IF((12=('V06 Calend 01'!C56+(6*'V06 Calend 01'!E56))),('V06 Calend 01'!H56-('V06 Calend 01'!I56*('V06 Calend 01'!E56-1))),'V06 Calend 01'!I56),0))+IF((12='V06 Calend 01'!D56),'V06 Calend 01'!J56,0))</f>
        <v>0</v>
      </c>
      <c r="Y56" s="2">
        <f>((IF((13='V06 Calend 01'!C56),('V06 Calend 01'!F56+'V06 Calend 01'!G56),0)+IF(AND(('V06 Calend 01'!E56&gt;0),(13&gt;'V06 Calend 01'!C56),(13&lt;'V06 Calend 01'!D56),(MOD((13-'V06 Calend 01'!C56),6)=0),(((13-'V06 Calend 01'!C56)/6)&lt;='V06 Calend 01'!E56)),IF((13=('V06 Calend 01'!C56+(6*'V06 Calend 01'!E56))),('V06 Calend 01'!H56-('V06 Calend 01'!I56*('V06 Calend 01'!E56-1))),'V06 Calend 01'!I56),0))+IF((13='V06 Calend 01'!D56),'V06 Calend 01'!J56,0))</f>
        <v>98574.17</v>
      </c>
      <c r="Z56" s="2">
        <f>((IF((14='V06 Calend 01'!C56),('V06 Calend 01'!F56+'V06 Calend 01'!G56),0)+IF(AND(('V06 Calend 01'!E56&gt;0),(14&gt;'V06 Calend 01'!C56),(14&lt;'V06 Calend 01'!D56),(MOD((14-'V06 Calend 01'!C56),6)=0),(((14-'V06 Calend 01'!C56)/6)&lt;='V06 Calend 01'!E56)),IF((14=('V06 Calend 01'!C56+(6*'V06 Calend 01'!E56))),('V06 Calend 01'!H56-('V06 Calend 01'!I56*('V06 Calend 01'!E56-1))),'V06 Calend 01'!I56),0))+IF((14='V06 Calend 01'!D56),'V06 Calend 01'!J56,0))</f>
        <v>0</v>
      </c>
      <c r="AA56" s="2">
        <f>((IF((15='V06 Calend 01'!C56),('V06 Calend 01'!F56+'V06 Calend 01'!G56),0)+IF(AND(('V06 Calend 01'!E56&gt;0),(15&gt;'V06 Calend 01'!C56),(15&lt;'V06 Calend 01'!D56),(MOD((15-'V06 Calend 01'!C56),6)=0),(((15-'V06 Calend 01'!C56)/6)&lt;='V06 Calend 01'!E56)),IF((15=('V06 Calend 01'!C56+(6*'V06 Calend 01'!E56))),('V06 Calend 01'!H56-('V06 Calend 01'!I56*('V06 Calend 01'!E56-1))),'V06 Calend 01'!I56),0))+IF((15='V06 Calend 01'!D56),'V06 Calend 01'!J56,0))</f>
        <v>0</v>
      </c>
      <c r="AB56" s="2">
        <f>((IF((16='V06 Calend 01'!C56),('V06 Calend 01'!F56+'V06 Calend 01'!G56),0)+IF(AND(('V06 Calend 01'!E56&gt;0),(16&gt;'V06 Calend 01'!C56),(16&lt;'V06 Calend 01'!D56),(MOD((16-'V06 Calend 01'!C56),6)=0),(((16-'V06 Calend 01'!C56)/6)&lt;='V06 Calend 01'!E56)),IF((16=('V06 Calend 01'!C56+(6*'V06 Calend 01'!E56))),('V06 Calend 01'!H56-('V06 Calend 01'!I56*('V06 Calend 01'!E56-1))),'V06 Calend 01'!I56),0))+IF((16='V06 Calend 01'!D56),'V06 Calend 01'!J56,0))</f>
        <v>0</v>
      </c>
      <c r="AC56" s="2">
        <f>((IF((17='V06 Calend 01'!C56),('V06 Calend 01'!F56+'V06 Calend 01'!G56),0)+IF(AND(('V06 Calend 01'!E56&gt;0),(17&gt;'V06 Calend 01'!C56),(17&lt;'V06 Calend 01'!D56),(MOD((17-'V06 Calend 01'!C56),6)=0),(((17-'V06 Calend 01'!C56)/6)&lt;='V06 Calend 01'!E56)),IF((17=('V06 Calend 01'!C56+(6*'V06 Calend 01'!E56))),('V06 Calend 01'!H56-('V06 Calend 01'!I56*('V06 Calend 01'!E56-1))),'V06 Calend 01'!I56),0))+IF((17='V06 Calend 01'!D56),'V06 Calend 01'!J56,0))</f>
        <v>0</v>
      </c>
      <c r="AD56" s="2">
        <f>((IF((18='V06 Calend 01'!C56),('V06 Calend 01'!F56+'V06 Calend 01'!G56),0)+IF(AND(('V06 Calend 01'!E56&gt;0),(18&gt;'V06 Calend 01'!C56),(18&lt;'V06 Calend 01'!D56),(MOD((18-'V06 Calend 01'!C56),6)=0),(((18-'V06 Calend 01'!C56)/6)&lt;='V06 Calend 01'!E56)),IF((18=('V06 Calend 01'!C56+(6*'V06 Calend 01'!E56))),('V06 Calend 01'!H56-('V06 Calend 01'!I56*('V06 Calend 01'!E56-1))),'V06 Calend 01'!I56),0))+IF((18='V06 Calend 01'!D56),'V06 Calend 01'!J56,0))</f>
        <v>0</v>
      </c>
      <c r="AE56" s="2">
        <f>((IF((19='V06 Calend 01'!C56),('V06 Calend 01'!F56+'V06 Calend 01'!G56),0)+IF(AND(('V06 Calend 01'!E56&gt;0),(19&gt;'V06 Calend 01'!C56),(19&lt;'V06 Calend 01'!D56),(MOD((19-'V06 Calend 01'!C56),6)=0),(((19-'V06 Calend 01'!C56)/6)&lt;='V06 Calend 01'!E56)),IF((19=('V06 Calend 01'!C56+(6*'V06 Calend 01'!E56))),('V06 Calend 01'!H56-('V06 Calend 01'!I56*('V06 Calend 01'!E56-1))),'V06 Calend 01'!I56),0))+IF((19='V06 Calend 01'!D56),'V06 Calend 01'!J56,0))</f>
        <v>98574.17</v>
      </c>
      <c r="AF56" s="2">
        <f>((IF((20='V06 Calend 01'!C56),('V06 Calend 01'!F56+'V06 Calend 01'!G56),0)+IF(AND(('V06 Calend 01'!E56&gt;0),(20&gt;'V06 Calend 01'!C56),(20&lt;'V06 Calend 01'!D56),(MOD((20-'V06 Calend 01'!C56),6)=0),(((20-'V06 Calend 01'!C56)/6)&lt;='V06 Calend 01'!E56)),IF((20=('V06 Calend 01'!C56+(6*'V06 Calend 01'!E56))),('V06 Calend 01'!H56-('V06 Calend 01'!I56*('V06 Calend 01'!E56-1))),'V06 Calend 01'!I56),0))+IF((20='V06 Calend 01'!D56),'V06 Calend 01'!J56,0))</f>
        <v>0</v>
      </c>
      <c r="AG56" s="2">
        <f>((IF((21='V06 Calend 01'!C56),('V06 Calend 01'!F56+'V06 Calend 01'!G56),0)+IF(AND(('V06 Calend 01'!E56&gt;0),(21&gt;'V06 Calend 01'!C56),(21&lt;'V06 Calend 01'!D56),(MOD((21-'V06 Calend 01'!C56),6)=0),(((21-'V06 Calend 01'!C56)/6)&lt;='V06 Calend 01'!E56)),IF((21=('V06 Calend 01'!C56+(6*'V06 Calend 01'!E56))),('V06 Calend 01'!H56-('V06 Calend 01'!I56*('V06 Calend 01'!E56-1))),'V06 Calend 01'!I56),0))+IF((21='V06 Calend 01'!D56),'V06 Calend 01'!J56,0))</f>
        <v>0</v>
      </c>
      <c r="AH56" s="2">
        <f>((IF((22='V06 Calend 01'!C56),('V06 Calend 01'!F56+'V06 Calend 01'!G56),0)+IF(AND(('V06 Calend 01'!E56&gt;0),(22&gt;'V06 Calend 01'!C56),(22&lt;'V06 Calend 01'!D56),(MOD((22-'V06 Calend 01'!C56),6)=0),(((22-'V06 Calend 01'!C56)/6)&lt;='V06 Calend 01'!E56)),IF((22=('V06 Calend 01'!C56+(6*'V06 Calend 01'!E56))),('V06 Calend 01'!H56-('V06 Calend 01'!I56*('V06 Calend 01'!E56-1))),'V06 Calend 01'!I56),0))+IF((22='V06 Calend 01'!D56),'V06 Calend 01'!J56,0))</f>
        <v>0</v>
      </c>
      <c r="AI56" s="2">
        <f>((IF((23='V06 Calend 01'!C56),('V06 Calend 01'!F56+'V06 Calend 01'!G56),0)+IF(AND(('V06 Calend 01'!E56&gt;0),(23&gt;'V06 Calend 01'!C56),(23&lt;'V06 Calend 01'!D56),(MOD((23-'V06 Calend 01'!C56),6)=0),(((23-'V06 Calend 01'!C56)/6)&lt;='V06 Calend 01'!E56)),IF((23=('V06 Calend 01'!C56+(6*'V06 Calend 01'!E56))),('V06 Calend 01'!H56-('V06 Calend 01'!I56*('V06 Calend 01'!E56-1))),'V06 Calend 01'!I56),0))+IF((23='V06 Calend 01'!D56),'V06 Calend 01'!J56,0))</f>
        <v>0</v>
      </c>
      <c r="AJ56" s="2">
        <f>((IF((24='V06 Calend 01'!C56),('V06 Calend 01'!F56+'V06 Calend 01'!G56),0)+IF(AND(('V06 Calend 01'!E56&gt;0),(24&gt;'V06 Calend 01'!C56),(24&lt;'V06 Calend 01'!D56),(MOD((24-'V06 Calend 01'!C56),6)=0),(((24-'V06 Calend 01'!C56)/6)&lt;='V06 Calend 01'!E56)),IF((24=('V06 Calend 01'!C56+(6*'V06 Calend 01'!E56))),('V06 Calend 01'!H56-('V06 Calend 01'!I56*('V06 Calend 01'!E56-1))),'V06 Calend 01'!I56),0))+IF((24='V06 Calend 01'!D56),'V06 Calend 01'!J56,0))</f>
        <v>0</v>
      </c>
      <c r="AK56" s="2">
        <f>((IF((25='V06 Calend 01'!C56),('V06 Calend 01'!F56+'V06 Calend 01'!G56),0)+IF(AND(('V06 Calend 01'!E56&gt;0),(25&gt;'V06 Calend 01'!C56),(25&lt;'V06 Calend 01'!D56),(MOD((25-'V06 Calend 01'!C56),6)=0),(((25-'V06 Calend 01'!C56)/6)&lt;='V06 Calend 01'!E56)),IF((25=('V06 Calend 01'!C56+(6*'V06 Calend 01'!E56))),('V06 Calend 01'!H56-('V06 Calend 01'!I56*('V06 Calend 01'!E56-1))),'V06 Calend 01'!I56),0))+IF((25='V06 Calend 01'!D56),'V06 Calend 01'!J56,0))</f>
        <v>98574.18000000002</v>
      </c>
      <c r="AL56" s="2">
        <f>((IF((26='V06 Calend 01'!C56),('V06 Calend 01'!F56+'V06 Calend 01'!G56),0)+IF(AND(('V06 Calend 01'!E56&gt;0),(26&gt;'V06 Calend 01'!C56),(26&lt;'V06 Calend 01'!D56),(MOD((26-'V06 Calend 01'!C56),6)=0),(((26-'V06 Calend 01'!C56)/6)&lt;='V06 Calend 01'!E56)),IF((26=('V06 Calend 01'!C56+(6*'V06 Calend 01'!E56))),('V06 Calend 01'!H56-('V06 Calend 01'!I56*('V06 Calend 01'!E56-1))),'V06 Calend 01'!I56),0))+IF((26='V06 Calend 01'!D56),'V06 Calend 01'!J56,0))</f>
        <v>0</v>
      </c>
      <c r="AM56" s="2">
        <f>((IF((27='V06 Calend 01'!C56),('V06 Calend 01'!F56+'V06 Calend 01'!G56),0)+IF(AND(('V06 Calend 01'!E56&gt;0),(27&gt;'V06 Calend 01'!C56),(27&lt;'V06 Calend 01'!D56),(MOD((27-'V06 Calend 01'!C56),6)=0),(((27-'V06 Calend 01'!C56)/6)&lt;='V06 Calend 01'!E56)),IF((27=('V06 Calend 01'!C56+(6*'V06 Calend 01'!E56))),('V06 Calend 01'!H56-('V06 Calend 01'!I56*('V06 Calend 01'!E56-1))),'V06 Calend 01'!I56),0))+IF((27='V06 Calend 01'!D56),'V06 Calend 01'!J56,0))</f>
        <v>0</v>
      </c>
      <c r="AN56" s="2">
        <f>((IF((28='V06 Calend 01'!C56),('V06 Calend 01'!F56+'V06 Calend 01'!G56),0)+IF(AND(('V06 Calend 01'!E56&gt;0),(28&gt;'V06 Calend 01'!C56),(28&lt;'V06 Calend 01'!D56),(MOD((28-'V06 Calend 01'!C56),6)=0),(((28-'V06 Calend 01'!C56)/6)&lt;='V06 Calend 01'!E56)),IF((28=('V06 Calend 01'!C56+(6*'V06 Calend 01'!E56))),('V06 Calend 01'!H56-('V06 Calend 01'!I56*('V06 Calend 01'!E56-1))),'V06 Calend 01'!I56),0))+IF((28='V06 Calend 01'!D56),'V06 Calend 01'!J56,0))</f>
        <v>107535.45000000001</v>
      </c>
      <c r="AO56" s="2">
        <f>((IF((29='V06 Calend 01'!C56),('V06 Calend 01'!F56+'V06 Calend 01'!G56),0)+IF(AND(('V06 Calend 01'!E56&gt;0),(29&gt;'V06 Calend 01'!C56),(29&lt;'V06 Calend 01'!D56),(MOD((29-'V06 Calend 01'!C56),6)=0),(((29-'V06 Calend 01'!C56)/6)&lt;='V06 Calend 01'!E56)),IF((29=('V06 Calend 01'!C56+(6*'V06 Calend 01'!E56))),('V06 Calend 01'!H56-('V06 Calend 01'!I56*('V06 Calend 01'!E56-1))),'V06 Calend 01'!I56),0))+IF((29='V06 Calend 01'!D56),'V06 Calend 01'!J56,0))</f>
        <v>0</v>
      </c>
      <c r="AP56" s="2">
        <f>((IF((30='V06 Calend 01'!C56),('V06 Calend 01'!F56+'V06 Calend 01'!G56),0)+IF(AND(('V06 Calend 01'!E56&gt;0),(30&gt;'V06 Calend 01'!C56),(30&lt;'V06 Calend 01'!D56),(MOD((30-'V06 Calend 01'!C56),6)=0),(((30-'V06 Calend 01'!C56)/6)&lt;='V06 Calend 01'!E56)),IF((30=('V06 Calend 01'!C56+(6*'V06 Calend 01'!E56))),('V06 Calend 01'!H56-('V06 Calend 01'!I56*('V06 Calend 01'!E56-1))),'V06 Calend 01'!I56),0))+IF((30='V06 Calend 01'!D56),'V06 Calend 01'!J56,0))</f>
        <v>0</v>
      </c>
      <c r="AQ56" s="2">
        <f>((IF((31='V06 Calend 01'!C56),('V06 Calend 01'!F56+'V06 Calend 01'!G56),0)+IF(AND(('V06 Calend 01'!E56&gt;0),(31&gt;'V06 Calend 01'!C56),(31&lt;'V06 Calend 01'!D56),(MOD((31-'V06 Calend 01'!C56),6)=0),(((31-'V06 Calend 01'!C56)/6)&lt;='V06 Calend 01'!E56)),IF((31=('V06 Calend 01'!C56+(6*'V06 Calend 01'!E56))),('V06 Calend 01'!H56-('V06 Calend 01'!I56*('V06 Calend 01'!E56-1))),'V06 Calend 01'!I56),0))+IF((31='V06 Calend 01'!D56),'V06 Calend 01'!J56,0))</f>
        <v>0</v>
      </c>
      <c r="AR56" s="2">
        <f>((IF((32='V06 Calend 01'!C56),('V06 Calend 01'!F56+'V06 Calend 01'!G56),0)+IF(AND(('V06 Calend 01'!E56&gt;0),(32&gt;'V06 Calend 01'!C56),(32&lt;'V06 Calend 01'!D56),(MOD((32-'V06 Calend 01'!C56),6)=0),(((32-'V06 Calend 01'!C56)/6)&lt;='V06 Calend 01'!E56)),IF((32=('V06 Calend 01'!C56+(6*'V06 Calend 01'!E56))),('V06 Calend 01'!H56-('V06 Calend 01'!I56*('V06 Calend 01'!E56-1))),'V06 Calend 01'!I56),0))+IF((32='V06 Calend 01'!D56),'V06 Calend 01'!J56,0))</f>
        <v>0</v>
      </c>
      <c r="AS56" s="2">
        <f>((IF((33='V06 Calend 01'!C56),('V06 Calend 01'!F56+'V06 Calend 01'!G56),0)+IF(AND(('V06 Calend 01'!E56&gt;0),(33&gt;'V06 Calend 01'!C56),(33&lt;'V06 Calend 01'!D56),(MOD((33-'V06 Calend 01'!C56),6)=0),(((33-'V06 Calend 01'!C56)/6)&lt;='V06 Calend 01'!E56)),IF((33=('V06 Calend 01'!C56+(6*'V06 Calend 01'!E56))),('V06 Calend 01'!H56-('V06 Calend 01'!I56*('V06 Calend 01'!E56-1))),'V06 Calend 01'!I56),0))+IF((33='V06 Calend 01'!D56),'V06 Calend 01'!J56,0))</f>
        <v>0</v>
      </c>
      <c r="AT56" s="2">
        <f>((IF((34='V06 Calend 01'!C56),('V06 Calend 01'!F56+'V06 Calend 01'!G56),0)+IF(AND(('V06 Calend 01'!E56&gt;0),(34&gt;'V06 Calend 01'!C56),(34&lt;'V06 Calend 01'!D56),(MOD((34-'V06 Calend 01'!C56),6)=0),(((34-'V06 Calend 01'!C56)/6)&lt;='V06 Calend 01'!E56)),IF((34=('V06 Calend 01'!C56+(6*'V06 Calend 01'!E56))),('V06 Calend 01'!H56-('V06 Calend 01'!I56*('V06 Calend 01'!E56-1))),'V06 Calend 01'!I56),0))+IF((34='V06 Calend 01'!D56),'V06 Calend 01'!J56,0))</f>
        <v>0</v>
      </c>
      <c r="AU56" s="2">
        <f>((IF((35='V06 Calend 01'!C56),('V06 Calend 01'!F56+'V06 Calend 01'!G56),0)+IF(AND(('V06 Calend 01'!E56&gt;0),(35&gt;'V06 Calend 01'!C56),(35&lt;'V06 Calend 01'!D56),(MOD((35-'V06 Calend 01'!C56),6)=0),(((35-'V06 Calend 01'!C56)/6)&lt;='V06 Calend 01'!E56)),IF((35=('V06 Calend 01'!C56+(6*'V06 Calend 01'!E56))),('V06 Calend 01'!H56-('V06 Calend 01'!I56*('V06 Calend 01'!E56-1))),'V06 Calend 01'!I56),0))+IF((35='V06 Calend 01'!D56),'V06 Calend 01'!J56,0))</f>
        <v>0</v>
      </c>
      <c r="AV56" s="2">
        <f>((IF((36='V06 Calend 01'!C56),('V06 Calend 01'!F56+'V06 Calend 01'!G56),0)+IF(AND(('V06 Calend 01'!E56&gt;0),(36&gt;'V06 Calend 01'!C56),(36&lt;'V06 Calend 01'!D56),(MOD((36-'V06 Calend 01'!C56),6)=0),(((36-'V06 Calend 01'!C56)/6)&lt;='V06 Calend 01'!E56)),IF((36=('V06 Calend 01'!C56+(6*'V06 Calend 01'!E56))),('V06 Calend 01'!H56-('V06 Calend 01'!I56*('V06 Calend 01'!E56-1))),'V06 Calend 01'!I56),0))+IF((36='V06 Calend 01'!D56),'V06 Calend 01'!J56,0))</f>
        <v>0</v>
      </c>
      <c r="AW56" s="2">
        <f>((IF((37='V06 Calend 01'!C56),('V06 Calend 01'!F56+'V06 Calend 01'!G56),0)+IF(AND(('V06 Calend 01'!E56&gt;0),(37&gt;'V06 Calend 01'!C56),(37&lt;'V06 Calend 01'!D56),(MOD((37-'V06 Calend 01'!C56),6)=0),(((37-'V06 Calend 01'!C56)/6)&lt;='V06 Calend 01'!E56)),IF((37=('V06 Calend 01'!C56+(6*'V06 Calend 01'!E56))),('V06 Calend 01'!H56-('V06 Calend 01'!I56*('V06 Calend 01'!E56-1))),'V06 Calend 01'!I56),0))+IF((37='V06 Calend 01'!D56),'V06 Calend 01'!J56,0))</f>
        <v>0</v>
      </c>
      <c r="AX56" s="2">
        <f>((IF((38='V06 Calend 01'!C56),('V06 Calend 01'!F56+'V06 Calend 01'!G56),0)+IF(AND(('V06 Calend 01'!E56&gt;0),(38&gt;'V06 Calend 01'!C56),(38&lt;'V06 Calend 01'!D56),(MOD((38-'V06 Calend 01'!C56),6)=0),(((38-'V06 Calend 01'!C56)/6)&lt;='V06 Calend 01'!E56)),IF((38=('V06 Calend 01'!C56+(6*'V06 Calend 01'!E56))),('V06 Calend 01'!H56-('V06 Calend 01'!I56*('V06 Calend 01'!E56-1))),'V06 Calend 01'!I56),0))+IF((38='V06 Calend 01'!D56),'V06 Calend 01'!J56,0))</f>
        <v>0</v>
      </c>
      <c r="AY56" s="2">
        <f>((IF((39='V06 Calend 01'!C56),('V06 Calend 01'!F56+'V06 Calend 01'!G56),0)+IF(AND(('V06 Calend 01'!E56&gt;0),(39&gt;'V06 Calend 01'!C56),(39&lt;'V06 Calend 01'!D56),(MOD((39-'V06 Calend 01'!C56),6)=0),(((39-'V06 Calend 01'!C56)/6)&lt;='V06 Calend 01'!E56)),IF((39=('V06 Calend 01'!C56+(6*'V06 Calend 01'!E56))),('V06 Calend 01'!H56-('V06 Calend 01'!I56*('V06 Calend 01'!E56-1))),'V06 Calend 01'!I56),0))+IF((39='V06 Calend 01'!D56),'V06 Calend 01'!J56,0))</f>
        <v>0</v>
      </c>
      <c r="AZ56" s="2">
        <f>((IF((40='V06 Calend 01'!C56),('V06 Calend 01'!F56+'V06 Calend 01'!G56),0)+IF(AND(('V06 Calend 01'!E56&gt;0),(40&gt;'V06 Calend 01'!C56),(40&lt;'V06 Calend 01'!D56),(MOD((40-'V06 Calend 01'!C56),6)=0),(((40-'V06 Calend 01'!C56)/6)&lt;='V06 Calend 01'!E56)),IF((40=('V06 Calend 01'!C56+(6*'V06 Calend 01'!E56))),('V06 Calend 01'!H56-('V06 Calend 01'!I56*('V06 Calend 01'!E56-1))),'V06 Calend 01'!I56),0))+IF((40='V06 Calend 01'!D56),'V06 Calend 01'!J56,0))</f>
        <v>0</v>
      </c>
      <c r="BA56" s="2">
        <f>((IF((41='V06 Calend 01'!C56),('V06 Calend 01'!F56+'V06 Calend 01'!G56),0)+IF(AND(('V06 Calend 01'!E56&gt;0),(41&gt;'V06 Calend 01'!C56),(41&lt;'V06 Calend 01'!D56),(MOD((41-'V06 Calend 01'!C56),6)=0),(((41-'V06 Calend 01'!C56)/6)&lt;='V06 Calend 01'!E56)),IF((41=('V06 Calend 01'!C56+(6*'V06 Calend 01'!E56))),('V06 Calend 01'!H56-('V06 Calend 01'!I56*('V06 Calend 01'!E56-1))),'V06 Calend 01'!I56),0))+IF((41='V06 Calend 01'!D56),'V06 Calend 01'!J56,0))</f>
        <v>0</v>
      </c>
      <c r="BB56" s="2">
        <f>((IF((42='V06 Calend 01'!C56),('V06 Calend 01'!F56+'V06 Calend 01'!G56),0)+IF(AND(('V06 Calend 01'!E56&gt;0),(42&gt;'V06 Calend 01'!C56),(42&lt;'V06 Calend 01'!D56),(MOD((42-'V06 Calend 01'!C56),6)=0),(((42-'V06 Calend 01'!C56)/6)&lt;='V06 Calend 01'!E56)),IF((42=('V06 Calend 01'!C56+(6*'V06 Calend 01'!E56))),('V06 Calend 01'!H56-('V06 Calend 01'!I56*('V06 Calend 01'!E56-1))),'V06 Calend 01'!I56),0))+IF((42='V06 Calend 01'!D56),'V06 Calend 01'!J56,0))</f>
        <v>0</v>
      </c>
      <c r="BC56" s="2">
        <f>((IF((43='V06 Calend 01'!C56),('V06 Calend 01'!F56+'V06 Calend 01'!G56),0)+IF(AND(('V06 Calend 01'!E56&gt;0),(43&gt;'V06 Calend 01'!C56),(43&lt;'V06 Calend 01'!D56),(MOD((43-'V06 Calend 01'!C56),6)=0),(((43-'V06 Calend 01'!C56)/6)&lt;='V06 Calend 01'!E56)),IF((43=('V06 Calend 01'!C56+(6*'V06 Calend 01'!E56))),('V06 Calend 01'!H56-('V06 Calend 01'!I56*('V06 Calend 01'!E56-1))),'V06 Calend 01'!I56),0))+IF((43='V06 Calend 01'!D56),'V06 Calend 01'!J56,0))</f>
        <v>0</v>
      </c>
      <c r="BD56" s="2">
        <f>((IF((44='V06 Calend 01'!C56),('V06 Calend 01'!F56+'V06 Calend 01'!G56),0)+IF(AND(('V06 Calend 01'!E56&gt;0),(44&gt;'V06 Calend 01'!C56),(44&lt;'V06 Calend 01'!D56),(MOD((44-'V06 Calend 01'!C56),6)=0),(((44-'V06 Calend 01'!C56)/6)&lt;='V06 Calend 01'!E56)),IF((44=('V06 Calend 01'!C56+(6*'V06 Calend 01'!E56))),('V06 Calend 01'!H56-('V06 Calend 01'!I56*('V06 Calend 01'!E56-1))),'V06 Calend 01'!I56),0))+IF((44='V06 Calend 01'!D56),'V06 Calend 01'!J56,0))</f>
        <v>0</v>
      </c>
      <c r="BE56" s="2">
        <f>((IF((45='V06 Calend 01'!C56),('V06 Calend 01'!F56+'V06 Calend 01'!G56),0)+IF(AND(('V06 Calend 01'!E56&gt;0),(45&gt;'V06 Calend 01'!C56),(45&lt;'V06 Calend 01'!D56),(MOD((45-'V06 Calend 01'!C56),6)=0),(((45-'V06 Calend 01'!C56)/6)&lt;='V06 Calend 01'!E56)),IF((45=('V06 Calend 01'!C56+(6*'V06 Calend 01'!E56))),('V06 Calend 01'!H56-('V06 Calend 01'!I56*('V06 Calend 01'!E56-1))),'V06 Calend 01'!I56),0))+IF((45='V06 Calend 01'!D56),'V06 Calend 01'!J56,0))</f>
        <v>0</v>
      </c>
      <c r="BF56" s="2">
        <f>((IF((46='V06 Calend 01'!C56),('V06 Calend 01'!F56+'V06 Calend 01'!G56),0)+IF(AND(('V06 Calend 01'!E56&gt;0),(46&gt;'V06 Calend 01'!C56),(46&lt;'V06 Calend 01'!D56),(MOD((46-'V06 Calend 01'!C56),6)=0),(((46-'V06 Calend 01'!C56)/6)&lt;='V06 Calend 01'!E56)),IF((46=('V06 Calend 01'!C56+(6*'V06 Calend 01'!E56))),('V06 Calend 01'!H56-('V06 Calend 01'!I56*('V06 Calend 01'!E56-1))),'V06 Calend 01'!I56),0))+IF((46='V06 Calend 01'!D56),'V06 Calend 01'!J56,0))</f>
        <v>0</v>
      </c>
      <c r="BG56" s="2">
        <f>((IF((47='V06 Calend 01'!C56),('V06 Calend 01'!F56+'V06 Calend 01'!G56),0)+IF(AND(('V06 Calend 01'!E56&gt;0),(47&gt;'V06 Calend 01'!C56),(47&lt;'V06 Calend 01'!D56),(MOD((47-'V06 Calend 01'!C56),6)=0),(((47-'V06 Calend 01'!C56)/6)&lt;='V06 Calend 01'!E56)),IF((47=('V06 Calend 01'!C56+(6*'V06 Calend 01'!E56))),('V06 Calend 01'!H56-('V06 Calend 01'!I56*('V06 Calend 01'!E56-1))),'V06 Calend 01'!I56),0))+IF((47='V06 Calend 01'!D56),'V06 Calend 01'!J56,0))</f>
        <v>0</v>
      </c>
      <c r="BH56" s="2">
        <f>((IF((48='V06 Calend 01'!C56),('V06 Calend 01'!F56+'V06 Calend 01'!G56),0)+IF(AND(('V06 Calend 01'!E56&gt;0),(48&gt;'V06 Calend 01'!C56),(48&lt;'V06 Calend 01'!D56),(MOD((48-'V06 Calend 01'!C56),6)=0),(((48-'V06 Calend 01'!C56)/6)&lt;='V06 Calend 01'!E56)),IF((48=('V06 Calend 01'!C56+(6*'V06 Calend 01'!E56))),('V06 Calend 01'!H56-('V06 Calend 01'!I56*('V06 Calend 01'!E56-1))),'V06 Calend 01'!I56),0))+IF((48='V06 Calend 01'!D56),'V06 Calend 01'!J56,0))</f>
        <v>0</v>
      </c>
      <c r="BI56" s="2">
        <f>((IF((49='V06 Calend 01'!C56),('V06 Calend 01'!F56+'V06 Calend 01'!G56),0)+IF(AND(('V06 Calend 01'!E56&gt;0),(49&gt;'V06 Calend 01'!C56),(49&lt;'V06 Calend 01'!D56),(MOD((49-'V06 Calend 01'!C56),6)=0),(((49-'V06 Calend 01'!C56)/6)&lt;='V06 Calend 01'!E56)),IF((49=('V06 Calend 01'!C56+(6*'V06 Calend 01'!E56))),('V06 Calend 01'!H56-('V06 Calend 01'!I56*('V06 Calend 01'!E56-1))),'V06 Calend 01'!I56),0))+IF((49='V06 Calend 01'!D56),'V06 Calend 01'!J56,0))</f>
        <v>0</v>
      </c>
      <c r="BJ56" s="2">
        <f>((IF((50='V06 Calend 01'!C56),('V06 Calend 01'!F56+'V06 Calend 01'!G56),0)+IF(AND(('V06 Calend 01'!E56&gt;0),(50&gt;'V06 Calend 01'!C56),(50&lt;'V06 Calend 01'!D56),(MOD((50-'V06 Calend 01'!C56),6)=0),(((50-'V06 Calend 01'!C56)/6)&lt;='V06 Calend 01'!E56)),IF((50=('V06 Calend 01'!C56+(6*'V06 Calend 01'!E56))),('V06 Calend 01'!H56-('V06 Calend 01'!I56*('V06 Calend 01'!E56-1))),'V06 Calend 01'!I56),0))+IF((50='V06 Calend 01'!D56),'V06 Calend 01'!J56,0))</f>
        <v>0</v>
      </c>
      <c r="BK56" s="2">
        <f>((IF((51='V06 Calend 01'!C56),('V06 Calend 01'!F56+'V06 Calend 01'!G56),0)+IF(AND(('V06 Calend 01'!E56&gt;0),(51&gt;'V06 Calend 01'!C56),(51&lt;'V06 Calend 01'!D56),(MOD((51-'V06 Calend 01'!C56),6)=0),(((51-'V06 Calend 01'!C56)/6)&lt;='V06 Calend 01'!E56)),IF((51=('V06 Calend 01'!C56+(6*'V06 Calend 01'!E56))),('V06 Calend 01'!H56-('V06 Calend 01'!I56*('V06 Calend 01'!E56-1))),'V06 Calend 01'!I56),0))+IF((51='V06 Calend 01'!D56),'V06 Calend 01'!J56,0))</f>
        <v>0</v>
      </c>
      <c r="BL56" s="2">
        <f>((IF((52='V06 Calend 01'!C56),('V06 Calend 01'!F56+'V06 Calend 01'!G56),0)+IF(AND(('V06 Calend 01'!E56&gt;0),(52&gt;'V06 Calend 01'!C56),(52&lt;'V06 Calend 01'!D56),(MOD((52-'V06 Calend 01'!C56),6)=0),(((52-'V06 Calend 01'!C56)/6)&lt;='V06 Calend 01'!E56)),IF((52=('V06 Calend 01'!C56+(6*'V06 Calend 01'!E56))),('V06 Calend 01'!H56-('V06 Calend 01'!I56*('V06 Calend 01'!E56-1))),'V06 Calend 01'!I56),0))+IF((52='V06 Calend 01'!D56),'V06 Calend 01'!J56,0))</f>
        <v>0</v>
      </c>
      <c r="BM56" s="2">
        <f>((IF((53='V06 Calend 01'!C56),('V06 Calend 01'!F56+'V06 Calend 01'!G56),0)+IF(AND(('V06 Calend 01'!E56&gt;0),(53&gt;'V06 Calend 01'!C56),(53&lt;'V06 Calend 01'!D56),(MOD((53-'V06 Calend 01'!C56),6)=0),(((53-'V06 Calend 01'!C56)/6)&lt;='V06 Calend 01'!E56)),IF((53=('V06 Calend 01'!C56+(6*'V06 Calend 01'!E56))),('V06 Calend 01'!H56-('V06 Calend 01'!I56*('V06 Calend 01'!E56-1))),'V06 Calend 01'!I56),0))+IF((53='V06 Calend 01'!D56),'V06 Calend 01'!J56,0))</f>
        <v>0</v>
      </c>
      <c r="BN56" s="2">
        <f>((IF((54='V06 Calend 01'!C56),('V06 Calend 01'!F56+'V06 Calend 01'!G56),0)+IF(AND(('V06 Calend 01'!E56&gt;0),(54&gt;'V06 Calend 01'!C56),(54&lt;'V06 Calend 01'!D56),(MOD((54-'V06 Calend 01'!C56),6)=0),(((54-'V06 Calend 01'!C56)/6)&lt;='V06 Calend 01'!E56)),IF((54=('V06 Calend 01'!C56+(6*'V06 Calend 01'!E56))),('V06 Calend 01'!H56-('V06 Calend 01'!I56*('V06 Calend 01'!E56-1))),'V06 Calend 01'!I56),0))+IF((54='V06 Calend 01'!D56),'V06 Calend 01'!J56,0))</f>
        <v>0</v>
      </c>
      <c r="BO56" s="2">
        <f>((IF((55='V06 Calend 01'!C56),('V06 Calend 01'!F56+'V06 Calend 01'!G56),0)+IF(AND(('V06 Calend 01'!E56&gt;0),(55&gt;'V06 Calend 01'!C56),(55&lt;'V06 Calend 01'!D56),(MOD((55-'V06 Calend 01'!C56),6)=0),(((55-'V06 Calend 01'!C56)/6)&lt;='V06 Calend 01'!E56)),IF((55=('V06 Calend 01'!C56+(6*'V06 Calend 01'!E56))),('V06 Calend 01'!H56-('V06 Calend 01'!I56*('V06 Calend 01'!E56-1))),'V06 Calend 01'!I56),0))+IF((55='V06 Calend 01'!D56),'V06 Calend 01'!J56,0))</f>
        <v>0</v>
      </c>
      <c r="BP56" s="2">
        <f>((IF((56='V06 Calend 01'!C56),('V06 Calend 01'!F56+'V06 Calend 01'!G56),0)+IF(AND(('V06 Calend 01'!E56&gt;0),(56&gt;'V06 Calend 01'!C56),(56&lt;'V06 Calend 01'!D56),(MOD((56-'V06 Calend 01'!C56),6)=0),(((56-'V06 Calend 01'!C56)/6)&lt;='V06 Calend 01'!E56)),IF((56=('V06 Calend 01'!C56+(6*'V06 Calend 01'!E56))),('V06 Calend 01'!H56-('V06 Calend 01'!I56*('V06 Calend 01'!E56-1))),'V06 Calend 01'!I56),0))+IF((56='V06 Calend 01'!D56),'V06 Calend 01'!J56,0))</f>
        <v>0</v>
      </c>
      <c r="BQ56" s="2">
        <f>((IF((57='V06 Calend 01'!C56),('V06 Calend 01'!F56+'V06 Calend 01'!G56),0)+IF(AND(('V06 Calend 01'!E56&gt;0),(57&gt;'V06 Calend 01'!C56),(57&lt;'V06 Calend 01'!D56),(MOD((57-'V06 Calend 01'!C56),6)=0),(((57-'V06 Calend 01'!C56)/6)&lt;='V06 Calend 01'!E56)),IF((57=('V06 Calend 01'!C56+(6*'V06 Calend 01'!E56))),('V06 Calend 01'!H56-('V06 Calend 01'!I56*('V06 Calend 01'!E56-1))),'V06 Calend 01'!I56),0))+IF((57='V06 Calend 01'!D56),'V06 Calend 01'!J56,0))</f>
        <v>0</v>
      </c>
      <c r="BR56" s="2">
        <f>((IF((58='V06 Calend 01'!C56),('V06 Calend 01'!F56+'V06 Calend 01'!G56),0)+IF(AND(('V06 Calend 01'!E56&gt;0),(58&gt;'V06 Calend 01'!C56),(58&lt;'V06 Calend 01'!D56),(MOD((58-'V06 Calend 01'!C56),6)=0),(((58-'V06 Calend 01'!C56)/6)&lt;='V06 Calend 01'!E56)),IF((58=('V06 Calend 01'!C56+(6*'V06 Calend 01'!E56))),('V06 Calend 01'!H56-('V06 Calend 01'!I56*('V06 Calend 01'!E56-1))),'V06 Calend 01'!I56),0))+IF((58='V06 Calend 01'!D56),'V06 Calend 01'!J56,0))</f>
        <v>0</v>
      </c>
      <c r="BS56" s="2">
        <f>((IF((59='V06 Calend 01'!C56),('V06 Calend 01'!F56+'V06 Calend 01'!G56),0)+IF(AND(('V06 Calend 01'!E56&gt;0),(59&gt;'V06 Calend 01'!C56),(59&lt;'V06 Calend 01'!D56),(MOD((59-'V06 Calend 01'!C56),6)=0),(((59-'V06 Calend 01'!C56)/6)&lt;='V06 Calend 01'!E56)),IF((59=('V06 Calend 01'!C56+(6*'V06 Calend 01'!E56))),('V06 Calend 01'!H56-('V06 Calend 01'!I56*('V06 Calend 01'!E56-1))),'V06 Calend 01'!I56),0))+IF((59='V06 Calend 01'!D56),'V06 Calend 01'!J56,0))</f>
        <v>0</v>
      </c>
      <c r="BT56" s="2">
        <f>((IF((60='V06 Calend 01'!C56),('V06 Calend 01'!F56+'V06 Calend 01'!G56),0)+IF(AND(('V06 Calend 01'!E56&gt;0),(60&gt;'V06 Calend 01'!C56),(60&lt;'V06 Calend 01'!D56),(MOD((60-'V06 Calend 01'!C56),6)=0),(((60-'V06 Calend 01'!C56)/6)&lt;='V06 Calend 01'!E56)),IF((60=('V06 Calend 01'!C56+(6*'V06 Calend 01'!E56))),('V06 Calend 01'!H56-('V06 Calend 01'!I56*('V06 Calend 01'!E56-1))),'V06 Calend 01'!I56),0))+IF((60='V06 Calend 01'!D56),'V06 Calend 01'!J56,0))</f>
        <v>0</v>
      </c>
      <c r="BU56" s="2">
        <f>((IF((61='V06 Calend 01'!C56),('V06 Calend 01'!F56+'V06 Calend 01'!G56),0)+IF(AND(('V06 Calend 01'!E56&gt;0),(61&gt;'V06 Calend 01'!C56),(61&lt;'V06 Calend 01'!D56),(MOD((61-'V06 Calend 01'!C56),6)=0),(((61-'V06 Calend 01'!C56)/6)&lt;='V06 Calend 01'!E56)),IF((61=('V06 Calend 01'!C56+(6*'V06 Calend 01'!E56))),('V06 Calend 01'!H56-('V06 Calend 01'!I56*('V06 Calend 01'!E56-1))),'V06 Calend 01'!I56),0))+IF((61='V06 Calend 01'!D56),'V06 Calend 01'!J56,0))</f>
        <v>0</v>
      </c>
      <c r="BV56" s="2">
        <f>((IF((62='V06 Calend 01'!C56),('V06 Calend 01'!F56+'V06 Calend 01'!G56),0)+IF(AND(('V06 Calend 01'!E56&gt;0),(62&gt;'V06 Calend 01'!C56),(62&lt;'V06 Calend 01'!D56),(MOD((62-'V06 Calend 01'!C56),6)=0),(((62-'V06 Calend 01'!C56)/6)&lt;='V06 Calend 01'!E56)),IF((62=('V06 Calend 01'!C56+(6*'V06 Calend 01'!E56))),('V06 Calend 01'!H56-('V06 Calend 01'!I56*('V06 Calend 01'!E56-1))),'V06 Calend 01'!I56),0))+IF((62='V06 Calend 01'!D56),'V06 Calend 01'!J56,0))</f>
        <v>0</v>
      </c>
      <c r="BW56" s="2">
        <f>((IF((63='V06 Calend 01'!C56),('V06 Calend 01'!F56+'V06 Calend 01'!G56),0)+IF(AND(('V06 Calend 01'!E56&gt;0),(63&gt;'V06 Calend 01'!C56),(63&lt;'V06 Calend 01'!D56),(MOD((63-'V06 Calend 01'!C56),6)=0),(((63-'V06 Calend 01'!C56)/6)&lt;='V06 Calend 01'!E56)),IF((63=('V06 Calend 01'!C56+(6*'V06 Calend 01'!E56))),('V06 Calend 01'!H56-('V06 Calend 01'!I56*('V06 Calend 01'!E56-1))),'V06 Calend 01'!I56),0))+IF((63='V06 Calend 01'!D56),'V06 Calend 01'!J56,0))</f>
        <v>0</v>
      </c>
      <c r="BX56" s="2">
        <f>((IF((64='V06 Calend 01'!C56),('V06 Calend 01'!F56+'V06 Calend 01'!G56),0)+IF(AND(('V06 Calend 01'!E56&gt;0),(64&gt;'V06 Calend 01'!C56),(64&lt;'V06 Calend 01'!D56),(MOD((64-'V06 Calend 01'!C56),6)=0),(((64-'V06 Calend 01'!C56)/6)&lt;='V06 Calend 01'!E56)),IF((64=('V06 Calend 01'!C56+(6*'V06 Calend 01'!E56))),('V06 Calend 01'!H56-('V06 Calend 01'!I56*('V06 Calend 01'!E56-1))),'V06 Calend 01'!I56),0))+IF((64='V06 Calend 01'!D56),'V06 Calend 01'!J56,0))</f>
        <v>0</v>
      </c>
      <c r="BY56" s="2">
        <f>((IF((65='V06 Calend 01'!C56),('V06 Calend 01'!F56+'V06 Calend 01'!G56),0)+IF(AND(('V06 Calend 01'!E56&gt;0),(65&gt;'V06 Calend 01'!C56),(65&lt;'V06 Calend 01'!D56),(MOD((65-'V06 Calend 01'!C56),6)=0),(((65-'V06 Calend 01'!C56)/6)&lt;='V06 Calend 01'!E56)),IF((65=('V06 Calend 01'!C56+(6*'V06 Calend 01'!E56))),('V06 Calend 01'!H56-('V06 Calend 01'!I56*('V06 Calend 01'!E56-1))),'V06 Calend 01'!I56),0))+IF((65='V06 Calend 01'!D56),'V06 Calend 01'!J56,0))</f>
        <v>0</v>
      </c>
      <c r="BZ56" s="2">
        <f>((IF((66='V06 Calend 01'!C56),('V06 Calend 01'!F56+'V06 Calend 01'!G56),0)+IF(AND(('V06 Calend 01'!E56&gt;0),(66&gt;'V06 Calend 01'!C56),(66&lt;'V06 Calend 01'!D56),(MOD((66-'V06 Calend 01'!C56),6)=0),(((66-'V06 Calend 01'!C56)/6)&lt;='V06 Calend 01'!E56)),IF((66=('V06 Calend 01'!C56+(6*'V06 Calend 01'!E56))),('V06 Calend 01'!H56-('V06 Calend 01'!I56*('V06 Calend 01'!E56-1))),'V06 Calend 01'!I56),0))+IF((66='V06 Calend 01'!D56),'V06 Calend 01'!J56,0))</f>
        <v>0</v>
      </c>
      <c r="CA56" s="2">
        <f>((IF((67='V06 Calend 01'!C56),('V06 Calend 01'!F56+'V06 Calend 01'!G56),0)+IF(AND(('V06 Calend 01'!E56&gt;0),(67&gt;'V06 Calend 01'!C56),(67&lt;'V06 Calend 01'!D56),(MOD((67-'V06 Calend 01'!C56),6)=0),(((67-'V06 Calend 01'!C56)/6)&lt;='V06 Calend 01'!E56)),IF((67=('V06 Calend 01'!C56+(6*'V06 Calend 01'!E56))),('V06 Calend 01'!H56-('V06 Calend 01'!I56*('V06 Calend 01'!E56-1))),'V06 Calend 01'!I56),0))+IF((67='V06 Calend 01'!D56),'V06 Calend 01'!J56,0))</f>
        <v>0</v>
      </c>
      <c r="CB56" s="2">
        <f>((IF((68='V06 Calend 01'!C56),('V06 Calend 01'!F56+'V06 Calend 01'!G56),0)+IF(AND(('V06 Calend 01'!E56&gt;0),(68&gt;'V06 Calend 01'!C56),(68&lt;'V06 Calend 01'!D56),(MOD((68-'V06 Calend 01'!C56),6)=0),(((68-'V06 Calend 01'!C56)/6)&lt;='V06 Calend 01'!E56)),IF((68=('V06 Calend 01'!C56+(6*'V06 Calend 01'!E56))),('V06 Calend 01'!H56-('V06 Calend 01'!I56*('V06 Calend 01'!E56-1))),'V06 Calend 01'!I56),0))+IF((68='V06 Calend 01'!D56),'V06 Calend 01'!J56,0))</f>
        <v>0</v>
      </c>
      <c r="CC56" s="2">
        <f>((IF((69='V06 Calend 01'!C56),('V06 Calend 01'!F56+'V06 Calend 01'!G56),0)+IF(AND(('V06 Calend 01'!E56&gt;0),(69&gt;'V06 Calend 01'!C56),(69&lt;'V06 Calend 01'!D56),(MOD((69-'V06 Calend 01'!C56),6)=0),(((69-'V06 Calend 01'!C56)/6)&lt;='V06 Calend 01'!E56)),IF((69=('V06 Calend 01'!C56+(6*'V06 Calend 01'!E56))),('V06 Calend 01'!H56-('V06 Calend 01'!I56*('V06 Calend 01'!E56-1))),'V06 Calend 01'!I56),0))+IF((69='V06 Calend 01'!D56),'V06 Calend 01'!J56,0))</f>
        <v>0</v>
      </c>
      <c r="CD56" s="2">
        <f>((IF((70='V06 Calend 01'!C56),('V06 Calend 01'!F56+'V06 Calend 01'!G56),0)+IF(AND(('V06 Calend 01'!E56&gt;0),(70&gt;'V06 Calend 01'!C56),(70&lt;'V06 Calend 01'!D56),(MOD((70-'V06 Calend 01'!C56),6)=0),(((70-'V06 Calend 01'!C56)/6)&lt;='V06 Calend 01'!E56)),IF((70=('V06 Calend 01'!C56+(6*'V06 Calend 01'!E56))),('V06 Calend 01'!H56-('V06 Calend 01'!I56*('V06 Calend 01'!E56-1))),'V06 Calend 01'!I56),0))+IF((70='V06 Calend 01'!D56),'V06 Calend 01'!J56,0))</f>
        <v>0</v>
      </c>
      <c r="CE56" s="2">
        <f>((IF((71='V06 Calend 01'!C56),('V06 Calend 01'!F56+'V06 Calend 01'!G56),0)+IF(AND(('V06 Calend 01'!E56&gt;0),(71&gt;'V06 Calend 01'!C56),(71&lt;'V06 Calend 01'!D56),(MOD((71-'V06 Calend 01'!C56),6)=0),(((71-'V06 Calend 01'!C56)/6)&lt;='V06 Calend 01'!E56)),IF((71=('V06 Calend 01'!C56+(6*'V06 Calend 01'!E56))),('V06 Calend 01'!H56-('V06 Calend 01'!I56*('V06 Calend 01'!E56-1))),'V06 Calend 01'!I56),0))+IF((71='V06 Calend 01'!D56),'V06 Calend 01'!J56,0))</f>
        <v>0</v>
      </c>
      <c r="CF56" s="2">
        <f>((IF((72='V06 Calend 01'!C56),('V06 Calend 01'!F56+'V06 Calend 01'!G56),0)+IF(AND(('V06 Calend 01'!E56&gt;0),(72&gt;'V06 Calend 01'!C56),(72&lt;'V06 Calend 01'!D56),(MOD((72-'V06 Calend 01'!C56),6)=0),(((72-'V06 Calend 01'!C56)/6)&lt;='V06 Calend 01'!E56)),IF((72=('V06 Calend 01'!C56+(6*'V06 Calend 01'!E56))),('V06 Calend 01'!H56-('V06 Calend 01'!I56*('V06 Calend 01'!E56-1))),'V06 Calend 01'!I56),0))+IF((72='V06 Calend 01'!D56),'V06 Calend 01'!J56,0))</f>
        <v>0</v>
      </c>
      <c r="CG56" s="2">
        <f>((IF((73='V06 Calend 01'!C56),('V06 Calend 01'!F56+'V06 Calend 01'!G56),0)+IF(AND(('V06 Calend 01'!E56&gt;0),(73&gt;'V06 Calend 01'!C56),(73&lt;'V06 Calend 01'!D56),(MOD((73-'V06 Calend 01'!C56),6)=0),(((73-'V06 Calend 01'!C56)/6)&lt;='V06 Calend 01'!E56)),IF((73=('V06 Calend 01'!C56+(6*'V06 Calend 01'!E56))),('V06 Calend 01'!H56-('V06 Calend 01'!I56*('V06 Calend 01'!E56-1))),'V06 Calend 01'!I56),0))+IF((73='V06 Calend 01'!D56),'V06 Calend 01'!J56,0))</f>
        <v>0</v>
      </c>
      <c r="CH56" s="2">
        <f>((IF((74='V06 Calend 01'!C56),('V06 Calend 01'!F56+'V06 Calend 01'!G56),0)+IF(AND(('V06 Calend 01'!E56&gt;0),(74&gt;'V06 Calend 01'!C56),(74&lt;'V06 Calend 01'!D56),(MOD((74-'V06 Calend 01'!C56),6)=0),(((74-'V06 Calend 01'!C56)/6)&lt;='V06 Calend 01'!E56)),IF((74=('V06 Calend 01'!C56+(6*'V06 Calend 01'!E56))),('V06 Calend 01'!H56-('V06 Calend 01'!I56*('V06 Calend 01'!E56-1))),'V06 Calend 01'!I56),0))+IF((74='V06 Calend 01'!D56),'V06 Calend 01'!J56,0))</f>
        <v>0</v>
      </c>
      <c r="CI56" s="2">
        <f>((IF((75='V06 Calend 01'!C56),('V06 Calend 01'!F56+'V06 Calend 01'!G56),0)+IF(AND(('V06 Calend 01'!E56&gt;0),(75&gt;'V06 Calend 01'!C56),(75&lt;'V06 Calend 01'!D56),(MOD((75-'V06 Calend 01'!C56),6)=0),(((75-'V06 Calend 01'!C56)/6)&lt;='V06 Calend 01'!E56)),IF((75=('V06 Calend 01'!C56+(6*'V06 Calend 01'!E56))),('V06 Calend 01'!H56-('V06 Calend 01'!I56*('V06 Calend 01'!E56-1))),'V06 Calend 01'!I56),0))+IF((75='V06 Calend 01'!D56),'V06 Calend 01'!J56,0))</f>
        <v>0</v>
      </c>
      <c r="CJ56" s="2">
        <f>((IF((76='V06 Calend 01'!C56),('V06 Calend 01'!F56+'V06 Calend 01'!G56),0)+IF(AND(('V06 Calend 01'!E56&gt;0),(76&gt;'V06 Calend 01'!C56),(76&lt;'V06 Calend 01'!D56),(MOD((76-'V06 Calend 01'!C56),6)=0),(((76-'V06 Calend 01'!C56)/6)&lt;='V06 Calend 01'!E56)),IF((76=('V06 Calend 01'!C56+(6*'V06 Calend 01'!E56))),('V06 Calend 01'!H56-('V06 Calend 01'!I56*('V06 Calend 01'!E56-1))),'V06 Calend 01'!I56),0))+IF((76='V06 Calend 01'!D56),'V06 Calend 01'!J56,0))</f>
        <v>0</v>
      </c>
      <c r="CK56" s="2">
        <f>((IF((77='V06 Calend 01'!C56),('V06 Calend 01'!F56+'V06 Calend 01'!G56),0)+IF(AND(('V06 Calend 01'!E56&gt;0),(77&gt;'V06 Calend 01'!C56),(77&lt;'V06 Calend 01'!D56),(MOD((77-'V06 Calend 01'!C56),6)=0),(((77-'V06 Calend 01'!C56)/6)&lt;='V06 Calend 01'!E56)),IF((77=('V06 Calend 01'!C56+(6*'V06 Calend 01'!E56))),('V06 Calend 01'!H56-('V06 Calend 01'!I56*('V06 Calend 01'!E56-1))),'V06 Calend 01'!I56),0))+IF((77='V06 Calend 01'!D56),'V06 Calend 01'!J56,0))</f>
        <v>0</v>
      </c>
      <c r="CL56" s="2">
        <f>((IF((78='V06 Calend 01'!C56),('V06 Calend 01'!F56+'V06 Calend 01'!G56),0)+IF(AND(('V06 Calend 01'!E56&gt;0),(78&gt;'V06 Calend 01'!C56),(78&lt;'V06 Calend 01'!D56),(MOD((78-'V06 Calend 01'!C56),6)=0),(((78-'V06 Calend 01'!C56)/6)&lt;='V06 Calend 01'!E56)),IF((78=('V06 Calend 01'!C56+(6*'V06 Calend 01'!E56))),('V06 Calend 01'!H56-('V06 Calend 01'!I56*('V06 Calend 01'!E56-1))),'V06 Calend 01'!I56),0))+IF((78='V06 Calend 01'!D56),'V06 Calend 01'!J56,0))</f>
        <v>0</v>
      </c>
      <c r="CM56" s="2">
        <f>((IF((79='V06 Calend 01'!C56),('V06 Calend 01'!F56+'V06 Calend 01'!G56),0)+IF(AND(('V06 Calend 01'!E56&gt;0),(79&gt;'V06 Calend 01'!C56),(79&lt;'V06 Calend 01'!D56),(MOD((79-'V06 Calend 01'!C56),6)=0),(((79-'V06 Calend 01'!C56)/6)&lt;='V06 Calend 01'!E56)),IF((79=('V06 Calend 01'!C56+(6*'V06 Calend 01'!E56))),('V06 Calend 01'!H56-('V06 Calend 01'!I56*('V06 Calend 01'!E56-1))),'V06 Calend 01'!I56),0))+IF((79='V06 Calend 01'!D56),'V06 Calend 01'!J56,0))</f>
        <v>0</v>
      </c>
      <c r="CN56" s="2">
        <f>((IF((80='V06 Calend 01'!C56),('V06 Calend 01'!F56+'V06 Calend 01'!G56),0)+IF(AND(('V06 Calend 01'!E56&gt;0),(80&gt;'V06 Calend 01'!C56),(80&lt;'V06 Calend 01'!D56),(MOD((80-'V06 Calend 01'!C56),6)=0),(((80-'V06 Calend 01'!C56)/6)&lt;='V06 Calend 01'!E56)),IF((80=('V06 Calend 01'!C56+(6*'V06 Calend 01'!E56))),('V06 Calend 01'!H56-('V06 Calend 01'!I56*('V06 Calend 01'!E56-1))),'V06 Calend 01'!I56),0))+IF((80='V06 Calend 01'!D56),'V06 Calend 01'!J56,0))</f>
        <v>0</v>
      </c>
      <c r="CO56" s="2">
        <f>((IF((81='V06 Calend 01'!C56),('V06 Calend 01'!F56+'V06 Calend 01'!G56),0)+IF(AND(('V06 Calend 01'!E56&gt;0),(81&gt;'V06 Calend 01'!C56),(81&lt;'V06 Calend 01'!D56),(MOD((81-'V06 Calend 01'!C56),6)=0),(((81-'V06 Calend 01'!C56)/6)&lt;='V06 Calend 01'!E56)),IF((81=('V06 Calend 01'!C56+(6*'V06 Calend 01'!E56))),('V06 Calend 01'!H56-('V06 Calend 01'!I56*('V06 Calend 01'!E56-1))),'V06 Calend 01'!I56),0))+IF((81='V06 Calend 01'!D56),'V06 Calend 01'!J56,0))</f>
        <v>0</v>
      </c>
      <c r="CP56" s="2">
        <f>((IF((82='V06 Calend 01'!C56),('V06 Calend 01'!F56+'V06 Calend 01'!G56),0)+IF(AND(('V06 Calend 01'!E56&gt;0),(82&gt;'V06 Calend 01'!C56),(82&lt;'V06 Calend 01'!D56),(MOD((82-'V06 Calend 01'!C56),6)=0),(((82-'V06 Calend 01'!C56)/6)&lt;='V06 Calend 01'!E56)),IF((82=('V06 Calend 01'!C56+(6*'V06 Calend 01'!E56))),('V06 Calend 01'!H56-('V06 Calend 01'!I56*('V06 Calend 01'!E56-1))),'V06 Calend 01'!I56),0))+IF((82='V06 Calend 01'!D56),'V06 Calend 01'!J56,0))</f>
        <v>0</v>
      </c>
      <c r="CQ56" s="2">
        <f>((IF((83='V06 Calend 01'!C56),('V06 Calend 01'!F56+'V06 Calend 01'!G56),0)+IF(AND(('V06 Calend 01'!E56&gt;0),(83&gt;'V06 Calend 01'!C56),(83&lt;'V06 Calend 01'!D56),(MOD((83-'V06 Calend 01'!C56),6)=0),(((83-'V06 Calend 01'!C56)/6)&lt;='V06 Calend 01'!E56)),IF((83=('V06 Calend 01'!C56+(6*'V06 Calend 01'!E56))),('V06 Calend 01'!H56-('V06 Calend 01'!I56*('V06 Calend 01'!E56-1))),'V06 Calend 01'!I56),0))+IF((83='V06 Calend 01'!D56),'V06 Calend 01'!J56,0))</f>
        <v>0</v>
      </c>
      <c r="CR56" s="2">
        <f>((IF((84='V06 Calend 01'!C56),('V06 Calend 01'!F56+'V06 Calend 01'!G56),0)+IF(AND(('V06 Calend 01'!E56&gt;0),(84&gt;'V06 Calend 01'!C56),(84&lt;'V06 Calend 01'!D56),(MOD((84-'V06 Calend 01'!C56),6)=0),(((84-'V06 Calend 01'!C56)/6)&lt;='V06 Calend 01'!E56)),IF((84=('V06 Calend 01'!C56+(6*'V06 Calend 01'!E56))),('V06 Calend 01'!H56-('V06 Calend 01'!I56*('V06 Calend 01'!E56-1))),'V06 Calend 01'!I56),0))+IF((84='V06 Calend 01'!D56),'V06 Calend 01'!J56,0))</f>
        <v>0</v>
      </c>
      <c r="CS56" s="2">
        <f>((IF((85='V06 Calend 01'!C56),('V06 Calend 01'!F56+'V06 Calend 01'!G56),0)+IF(AND(('V06 Calend 01'!E56&gt;0),(85&gt;'V06 Calend 01'!C56),(85&lt;'V06 Calend 01'!D56),(MOD((85-'V06 Calend 01'!C56),6)=0),(((85-'V06 Calend 01'!C56)/6)&lt;='V06 Calend 01'!E56)),IF((85=('V06 Calend 01'!C56+(6*'V06 Calend 01'!E56))),('V06 Calend 01'!H56-('V06 Calend 01'!I56*('V06 Calend 01'!E56-1))),'V06 Calend 01'!I56),0))+IF((85='V06 Calend 01'!D56),'V06 Calend 01'!J56,0))</f>
        <v>0</v>
      </c>
      <c r="CT56" s="2">
        <f>((IF((86='V06 Calend 01'!C56),('V06 Calend 01'!F56+'V06 Calend 01'!G56),0)+IF(AND(('V06 Calend 01'!E56&gt;0),(86&gt;'V06 Calend 01'!C56),(86&lt;'V06 Calend 01'!D56),(MOD((86-'V06 Calend 01'!C56),6)=0),(((86-'V06 Calend 01'!C56)/6)&lt;='V06 Calend 01'!E56)),IF((86=('V06 Calend 01'!C56+(6*'V06 Calend 01'!E56))),('V06 Calend 01'!H56-('V06 Calend 01'!I56*('V06 Calend 01'!E56-1))),'V06 Calend 01'!I56),0))+IF((86='V06 Calend 01'!D56),'V06 Calend 01'!J56,0))</f>
        <v>0</v>
      </c>
      <c r="CU56" s="2">
        <f>((IF((87='V06 Calend 01'!C56),('V06 Calend 01'!F56+'V06 Calend 01'!G56),0)+IF(AND(('V06 Calend 01'!E56&gt;0),(87&gt;'V06 Calend 01'!C56),(87&lt;'V06 Calend 01'!D56),(MOD((87-'V06 Calend 01'!C56),6)=0),(((87-'V06 Calend 01'!C56)/6)&lt;='V06 Calend 01'!E56)),IF((87=('V06 Calend 01'!C56+(6*'V06 Calend 01'!E56))),('V06 Calend 01'!H56-('V06 Calend 01'!I56*('V06 Calend 01'!E56-1))),'V06 Calend 01'!I56),0))+IF((87='V06 Calend 01'!D56),'V06 Calend 01'!J56,0))</f>
        <v>0</v>
      </c>
      <c r="CV56" s="2">
        <f>((IF((88='V06 Calend 01'!C56),('V06 Calend 01'!F56+'V06 Calend 01'!G56),0)+IF(AND(('V06 Calend 01'!E56&gt;0),(88&gt;'V06 Calend 01'!C56),(88&lt;'V06 Calend 01'!D56),(MOD((88-'V06 Calend 01'!C56),6)=0),(((88-'V06 Calend 01'!C56)/6)&lt;='V06 Calend 01'!E56)),IF((88=('V06 Calend 01'!C56+(6*'V06 Calend 01'!E56))),('V06 Calend 01'!H56-('V06 Calend 01'!I56*('V06 Calend 01'!E56-1))),'V06 Calend 01'!I56),0))+IF((88='V06 Calend 01'!D56),'V06 Calend 01'!J56,0))</f>
        <v>0</v>
      </c>
      <c r="CW56" s="2">
        <f>((IF((89='V06 Calend 01'!C56),('V06 Calend 01'!F56+'V06 Calend 01'!G56),0)+IF(AND(('V06 Calend 01'!E56&gt;0),(89&gt;'V06 Calend 01'!C56),(89&lt;'V06 Calend 01'!D56),(MOD((89-'V06 Calend 01'!C56),6)=0),(((89-'V06 Calend 01'!C56)/6)&lt;='V06 Calend 01'!E56)),IF((89=('V06 Calend 01'!C56+(6*'V06 Calend 01'!E56))),('V06 Calend 01'!H56-('V06 Calend 01'!I56*('V06 Calend 01'!E56-1))),'V06 Calend 01'!I56),0))+IF((89='V06 Calend 01'!D56),'V06 Calend 01'!J56,0))</f>
        <v>0</v>
      </c>
      <c r="CX56" s="2">
        <f>((IF((90='V06 Calend 01'!C56),('V06 Calend 01'!F56+'V06 Calend 01'!G56),0)+IF(AND(('V06 Calend 01'!E56&gt;0),(90&gt;'V06 Calend 01'!C56),(90&lt;'V06 Calend 01'!D56),(MOD((90-'V06 Calend 01'!C56),6)=0),(((90-'V06 Calend 01'!C56)/6)&lt;='V06 Calend 01'!E56)),IF((90=('V06 Calend 01'!C56+(6*'V06 Calend 01'!E56))),('V06 Calend 01'!H56-('V06 Calend 01'!I56*('V06 Calend 01'!E56-1))),'V06 Calend 01'!I56),0))+IF((90='V06 Calend 01'!D56),'V06 Calend 01'!J56,0))</f>
        <v>0</v>
      </c>
      <c r="CY56" s="2">
        <f>((IF((91='V06 Calend 01'!C56),('V06 Calend 01'!F56+'V06 Calend 01'!G56),0)+IF(AND(('V06 Calend 01'!E56&gt;0),(91&gt;'V06 Calend 01'!C56),(91&lt;'V06 Calend 01'!D56),(MOD((91-'V06 Calend 01'!C56),6)=0),(((91-'V06 Calend 01'!C56)/6)&lt;='V06 Calend 01'!E56)),IF((91=('V06 Calend 01'!C56+(6*'V06 Calend 01'!E56))),('V06 Calend 01'!H56-('V06 Calend 01'!I56*('V06 Calend 01'!E56-1))),'V06 Calend 01'!I56),0))+IF((91='V06 Calend 01'!D56),'V06 Calend 01'!J56,0))</f>
        <v>0</v>
      </c>
      <c r="CZ56" s="2">
        <f>((IF((92='V06 Calend 01'!C56),('V06 Calend 01'!F56+'V06 Calend 01'!G56),0)+IF(AND(('V06 Calend 01'!E56&gt;0),(92&gt;'V06 Calend 01'!C56),(92&lt;'V06 Calend 01'!D56),(MOD((92-'V06 Calend 01'!C56),6)=0),(((92-'V06 Calend 01'!C56)/6)&lt;='V06 Calend 01'!E56)),IF((92=('V06 Calend 01'!C56+(6*'V06 Calend 01'!E56))),('V06 Calend 01'!H56-('V06 Calend 01'!I56*('V06 Calend 01'!E56-1))),'V06 Calend 01'!I56),0))+IF((92='V06 Calend 01'!D56),'V06 Calend 01'!J56,0))</f>
        <v>0</v>
      </c>
      <c r="DA56" s="2">
        <f>((IF((93='V06 Calend 01'!C56),('V06 Calend 01'!F56+'V06 Calend 01'!G56),0)+IF(AND(('V06 Calend 01'!E56&gt;0),(93&gt;'V06 Calend 01'!C56),(93&lt;'V06 Calend 01'!D56),(MOD((93-'V06 Calend 01'!C56),6)=0),(((93-'V06 Calend 01'!C56)/6)&lt;='V06 Calend 01'!E56)),IF((93=('V06 Calend 01'!C56+(6*'V06 Calend 01'!E56))),('V06 Calend 01'!H56-('V06 Calend 01'!I56*('V06 Calend 01'!E56-1))),'V06 Calend 01'!I56),0))+IF((93='V06 Calend 01'!D56),'V06 Calend 01'!J56,0))</f>
        <v>0</v>
      </c>
      <c r="DB56" s="2">
        <f>((IF((94='V06 Calend 01'!C56),('V06 Calend 01'!F56+'V06 Calend 01'!G56),0)+IF(AND(('V06 Calend 01'!E56&gt;0),(94&gt;'V06 Calend 01'!C56),(94&lt;'V06 Calend 01'!D56),(MOD((94-'V06 Calend 01'!C56),6)=0),(((94-'V06 Calend 01'!C56)/6)&lt;='V06 Calend 01'!E56)),IF((94=('V06 Calend 01'!C56+(6*'V06 Calend 01'!E56))),('V06 Calend 01'!H56-('V06 Calend 01'!I56*('V06 Calend 01'!E56-1))),'V06 Calend 01'!I56),0))+IF((94='V06 Calend 01'!D56),'V06 Calend 01'!J56,0))</f>
        <v>0</v>
      </c>
      <c r="DC56" s="2">
        <f>((IF((95='V06 Calend 01'!C56),('V06 Calend 01'!F56+'V06 Calend 01'!G56),0)+IF(AND(('V06 Calend 01'!E56&gt;0),(95&gt;'V06 Calend 01'!C56),(95&lt;'V06 Calend 01'!D56),(MOD((95-'V06 Calend 01'!C56),6)=0),(((95-'V06 Calend 01'!C56)/6)&lt;='V06 Calend 01'!E56)),IF((95=('V06 Calend 01'!C56+(6*'V06 Calend 01'!E56))),('V06 Calend 01'!H56-('V06 Calend 01'!I56*('V06 Calend 01'!E56-1))),'V06 Calend 01'!I56),0))+IF((95='V06 Calend 01'!D56),'V06 Calend 01'!J56,0))</f>
        <v>0</v>
      </c>
      <c r="DD56" s="2">
        <f>((IF((96='V06 Calend 01'!C56),('V06 Calend 01'!F56+'V06 Calend 01'!G56),0)+IF(AND(('V06 Calend 01'!E56&gt;0),(96&gt;'V06 Calend 01'!C56),(96&lt;'V06 Calend 01'!D56),(MOD((96-'V06 Calend 01'!C56),6)=0),(((96-'V06 Calend 01'!C56)/6)&lt;='V06 Calend 01'!E56)),IF((96=('V06 Calend 01'!C56+(6*'V06 Calend 01'!E56))),('V06 Calend 01'!H56-('V06 Calend 01'!I56*('V06 Calend 01'!E56-1))),'V06 Calend 01'!I56),0))+IF((96='V06 Calend 01'!D56),'V06 Calend 01'!J56,0))</f>
        <v>0</v>
      </c>
      <c r="DE56" s="2">
        <f>((IF((97='V06 Calend 01'!C56),('V06 Calend 01'!F56+'V06 Calend 01'!G56),0)+IF(AND(('V06 Calend 01'!E56&gt;0),(97&gt;'V06 Calend 01'!C56),(97&lt;'V06 Calend 01'!D56),(MOD((97-'V06 Calend 01'!C56),6)=0),(((97-'V06 Calend 01'!C56)/6)&lt;='V06 Calend 01'!E56)),IF((97=('V06 Calend 01'!C56+(6*'V06 Calend 01'!E56))),('V06 Calend 01'!H56-('V06 Calend 01'!I56*('V06 Calend 01'!E56-1))),'V06 Calend 01'!I56),0))+IF((97='V06 Calend 01'!D56),'V06 Calend 01'!J56,0))</f>
        <v>0</v>
      </c>
      <c r="DF56" s="2">
        <f>((IF((98='V06 Calend 01'!C56),('V06 Calend 01'!F56+'V06 Calend 01'!G56),0)+IF(AND(('V06 Calend 01'!E56&gt;0),(98&gt;'V06 Calend 01'!C56),(98&lt;'V06 Calend 01'!D56),(MOD((98-'V06 Calend 01'!C56),6)=0),(((98-'V06 Calend 01'!C56)/6)&lt;='V06 Calend 01'!E56)),IF((98=('V06 Calend 01'!C56+(6*'V06 Calend 01'!E56))),('V06 Calend 01'!H56-('V06 Calend 01'!I56*('V06 Calend 01'!E56-1))),'V06 Calend 01'!I56),0))+IF((98='V06 Calend 01'!D56),'V06 Calend 01'!J56,0))</f>
        <v>0</v>
      </c>
      <c r="DG56" s="2">
        <f>((IF((99='V06 Calend 01'!C56),('V06 Calend 01'!F56+'V06 Calend 01'!G56),0)+IF(AND(('V06 Calend 01'!E56&gt;0),(99&gt;'V06 Calend 01'!C56),(99&lt;'V06 Calend 01'!D56),(MOD((99-'V06 Calend 01'!C56),6)=0),(((99-'V06 Calend 01'!C56)/6)&lt;='V06 Calend 01'!E56)),IF((99=('V06 Calend 01'!C56+(6*'V06 Calend 01'!E56))),('V06 Calend 01'!H56-('V06 Calend 01'!I56*('V06 Calend 01'!E56-1))),'V06 Calend 01'!I56),0))+IF((99='V06 Calend 01'!D56),'V06 Calend 01'!J56,0))</f>
        <v>0</v>
      </c>
      <c r="DH56" s="2">
        <f>((IF((100='V06 Calend 01'!C56),('V06 Calend 01'!F56+'V06 Calend 01'!G56),0)+IF(AND(('V06 Calend 01'!E56&gt;0),(100&gt;'V06 Calend 01'!C56),(100&lt;'V06 Calend 01'!D56),(MOD((100-'V06 Calend 01'!C56),6)=0),(((100-'V06 Calend 01'!C56)/6)&lt;='V06 Calend 01'!E56)),IF((100=('V06 Calend 01'!C56+(6*'V06 Calend 01'!E56))),('V06 Calend 01'!H56-('V06 Calend 01'!I56*('V06 Calend 01'!E56-1))),'V06 Calend 01'!I56),0))+IF((100='V06 Calend 01'!D56),'V06 Calend 01'!J56,0))</f>
        <v>0</v>
      </c>
      <c r="DI56" s="2">
        <f>((IF((101='V06 Calend 01'!C56),('V06 Calend 01'!F56+'V06 Calend 01'!G56),0)+IF(AND(('V06 Calend 01'!E56&gt;0),(101&gt;'V06 Calend 01'!C56),(101&lt;'V06 Calend 01'!D56),(MOD((101-'V06 Calend 01'!C56),6)=0),(((101-'V06 Calend 01'!C56)/6)&lt;='V06 Calend 01'!E56)),IF((101=('V06 Calend 01'!C56+(6*'V06 Calend 01'!E56))),('V06 Calend 01'!H56-('V06 Calend 01'!I56*('V06 Calend 01'!E56-1))),'V06 Calend 01'!I56),0))+IF((101='V06 Calend 01'!D56),'V06 Calend 01'!J56,0))</f>
        <v>0</v>
      </c>
      <c r="DJ56" s="2">
        <f>((IF((102='V06 Calend 01'!C56),('V06 Calend 01'!F56+'V06 Calend 01'!G56),0)+IF(AND(('V06 Calend 01'!E56&gt;0),(102&gt;'V06 Calend 01'!C56),(102&lt;'V06 Calend 01'!D56),(MOD((102-'V06 Calend 01'!C56),6)=0),(((102-'V06 Calend 01'!C56)/6)&lt;='V06 Calend 01'!E56)),IF((102=('V06 Calend 01'!C56+(6*'V06 Calend 01'!E56))),('V06 Calend 01'!H56-('V06 Calend 01'!I56*('V06 Calend 01'!E56-1))),'V06 Calend 01'!I56),0))+IF((102='V06 Calend 01'!D56),'V06 Calend 01'!J56,0))</f>
        <v>0</v>
      </c>
      <c r="DK56" s="2">
        <f>((IF((103='V06 Calend 01'!C56),('V06 Calend 01'!F56+'V06 Calend 01'!G56),0)+IF(AND(('V06 Calend 01'!E56&gt;0),(103&gt;'V06 Calend 01'!C56),(103&lt;'V06 Calend 01'!D56),(MOD((103-'V06 Calend 01'!C56),6)=0),(((103-'V06 Calend 01'!C56)/6)&lt;='V06 Calend 01'!E56)),IF((103=('V06 Calend 01'!C56+(6*'V06 Calend 01'!E56))),('V06 Calend 01'!H56-('V06 Calend 01'!I56*('V06 Calend 01'!E56-1))),'V06 Calend 01'!I56),0))+IF((103='V06 Calend 01'!D56),'V06 Calend 01'!J56,0))</f>
        <v>0</v>
      </c>
      <c r="DL56" s="2">
        <f>((IF((104='V06 Calend 01'!C56),('V06 Calend 01'!F56+'V06 Calend 01'!G56),0)+IF(AND(('V06 Calend 01'!E56&gt;0),(104&gt;'V06 Calend 01'!C56),(104&lt;'V06 Calend 01'!D56),(MOD((104-'V06 Calend 01'!C56),6)=0),(((104-'V06 Calend 01'!C56)/6)&lt;='V06 Calend 01'!E56)),IF((104=('V06 Calend 01'!C56+(6*'V06 Calend 01'!E56))),('V06 Calend 01'!H56-('V06 Calend 01'!I56*('V06 Calend 01'!E56-1))),'V06 Calend 01'!I56),0))+IF((104='V06 Calend 01'!D56),'V06 Calend 01'!J56,0))</f>
        <v>0</v>
      </c>
      <c r="DM56" s="2">
        <f>((IF((105='V06 Calend 01'!C56),('V06 Calend 01'!F56+'V06 Calend 01'!G56),0)+IF(AND(('V06 Calend 01'!E56&gt;0),(105&gt;'V06 Calend 01'!C56),(105&lt;'V06 Calend 01'!D56),(MOD((105-'V06 Calend 01'!C56),6)=0),(((105-'V06 Calend 01'!C56)/6)&lt;='V06 Calend 01'!E56)),IF((105=('V06 Calend 01'!C56+(6*'V06 Calend 01'!E56))),('V06 Calend 01'!H56-('V06 Calend 01'!I56*('V06 Calend 01'!E56-1))),'V06 Calend 01'!I56),0))+IF((105='V06 Calend 01'!D56),'V06 Calend 01'!J56,0))</f>
        <v>0</v>
      </c>
      <c r="DN56" s="2">
        <f>((IF((106='V06 Calend 01'!C56),('V06 Calend 01'!F56+'V06 Calend 01'!G56),0)+IF(AND(('V06 Calend 01'!E56&gt;0),(106&gt;'V06 Calend 01'!C56),(106&lt;'V06 Calend 01'!D56),(MOD((106-'V06 Calend 01'!C56),6)=0),(((106-'V06 Calend 01'!C56)/6)&lt;='V06 Calend 01'!E56)),IF((106=('V06 Calend 01'!C56+(6*'V06 Calend 01'!E56))),('V06 Calend 01'!H56-('V06 Calend 01'!I56*('V06 Calend 01'!E56-1))),'V06 Calend 01'!I56),0))+IF((106='V06 Calend 01'!D56),'V06 Calend 01'!J56,0))</f>
        <v>0</v>
      </c>
      <c r="DO56" s="2">
        <f>((IF((107='V06 Calend 01'!C56),('V06 Calend 01'!F56+'V06 Calend 01'!G56),0)+IF(AND(('V06 Calend 01'!E56&gt;0),(107&gt;'V06 Calend 01'!C56),(107&lt;'V06 Calend 01'!D56),(MOD((107-'V06 Calend 01'!C56),6)=0),(((107-'V06 Calend 01'!C56)/6)&lt;='V06 Calend 01'!E56)),IF((107=('V06 Calend 01'!C56+(6*'V06 Calend 01'!E56))),('V06 Calend 01'!H56-('V06 Calend 01'!I56*('V06 Calend 01'!E56-1))),'V06 Calend 01'!I56),0))+IF((107='V06 Calend 01'!D56),'V06 Calend 01'!J56,0))</f>
        <v>0</v>
      </c>
      <c r="DP56" s="2">
        <f>((IF((108='V06 Calend 01'!C56),('V06 Calend 01'!F56+'V06 Calend 01'!G56),0)+IF(AND(('V06 Calend 01'!E56&gt;0),(108&gt;'V06 Calend 01'!C56),(108&lt;'V06 Calend 01'!D56),(MOD((108-'V06 Calend 01'!C56),6)=0),(((108-'V06 Calend 01'!C56)/6)&lt;='V06 Calend 01'!E56)),IF((108=('V06 Calend 01'!C56+(6*'V06 Calend 01'!E56))),('V06 Calend 01'!H56-('V06 Calend 01'!I56*('V06 Calend 01'!E56-1))),'V06 Calend 01'!I56),0))+IF((108='V06 Calend 01'!D56),'V06 Calend 01'!J56,0))</f>
        <v>0</v>
      </c>
      <c r="DQ56" s="2">
        <f>((IF((109='V06 Calend 01'!C56),('V06 Calend 01'!F56+'V06 Calend 01'!G56),0)+IF(AND(('V06 Calend 01'!E56&gt;0),(109&gt;'V06 Calend 01'!C56),(109&lt;'V06 Calend 01'!D56),(MOD((109-'V06 Calend 01'!C56),6)=0),(((109-'V06 Calend 01'!C56)/6)&lt;='V06 Calend 01'!E56)),IF((109=('V06 Calend 01'!C56+(6*'V06 Calend 01'!E56))),('V06 Calend 01'!H56-('V06 Calend 01'!I56*('V06 Calend 01'!E56-1))),'V06 Calend 01'!I56),0))+IF((109='V06 Calend 01'!D56),'V06 Calend 01'!J56,0))</f>
        <v>0</v>
      </c>
      <c r="DR56" s="2">
        <f>((IF((110='V06 Calend 01'!C56),('V06 Calend 01'!F56+'V06 Calend 01'!G56),0)+IF(AND(('V06 Calend 01'!E56&gt;0),(110&gt;'V06 Calend 01'!C56),(110&lt;'V06 Calend 01'!D56),(MOD((110-'V06 Calend 01'!C56),6)=0),(((110-'V06 Calend 01'!C56)/6)&lt;='V06 Calend 01'!E56)),IF((110=('V06 Calend 01'!C56+(6*'V06 Calend 01'!E56))),('V06 Calend 01'!H56-('V06 Calend 01'!I56*('V06 Calend 01'!E56-1))),'V06 Calend 01'!I56),0))+IF((110='V06 Calend 01'!D56),'V06 Calend 01'!J56,0))</f>
        <v>0</v>
      </c>
      <c r="DS56" s="2">
        <f>((IF((111='V06 Calend 01'!C56),('V06 Calend 01'!F56+'V06 Calend 01'!G56),0)+IF(AND(('V06 Calend 01'!E56&gt;0),(111&gt;'V06 Calend 01'!C56),(111&lt;'V06 Calend 01'!D56),(MOD((111-'V06 Calend 01'!C56),6)=0),(((111-'V06 Calend 01'!C56)/6)&lt;='V06 Calend 01'!E56)),IF((111=('V06 Calend 01'!C56+(6*'V06 Calend 01'!E56))),('V06 Calend 01'!H56-('V06 Calend 01'!I56*('V06 Calend 01'!E56-1))),'V06 Calend 01'!I56),0))+IF((111='V06 Calend 01'!D56),'V06 Calend 01'!J56,0))</f>
        <v>0</v>
      </c>
      <c r="DT56" s="2">
        <f>((IF((112='V06 Calend 01'!C56),('V06 Calend 01'!F56+'V06 Calend 01'!G56),0)+IF(AND(('V06 Calend 01'!E56&gt;0),(112&gt;'V06 Calend 01'!C56),(112&lt;'V06 Calend 01'!D56),(MOD((112-'V06 Calend 01'!C56),6)=0),(((112-'V06 Calend 01'!C56)/6)&lt;='V06 Calend 01'!E56)),IF((112=('V06 Calend 01'!C56+(6*'V06 Calend 01'!E56))),('V06 Calend 01'!H56-('V06 Calend 01'!I56*('V06 Calend 01'!E56-1))),'V06 Calend 01'!I56),0))+IF((112='V06 Calend 01'!D56),'V06 Calend 01'!J56,0))</f>
        <v>0</v>
      </c>
      <c r="DU56" s="2">
        <f>((IF((113='V06 Calend 01'!C56),('V06 Calend 01'!F56+'V06 Calend 01'!G56),0)+IF(AND(('V06 Calend 01'!E56&gt;0),(113&gt;'V06 Calend 01'!C56),(113&lt;'V06 Calend 01'!D56),(MOD((113-'V06 Calend 01'!C56),6)=0),(((113-'V06 Calend 01'!C56)/6)&lt;='V06 Calend 01'!E56)),IF((113=('V06 Calend 01'!C56+(6*'V06 Calend 01'!E56))),('V06 Calend 01'!H56-('V06 Calend 01'!I56*('V06 Calend 01'!E56-1))),'V06 Calend 01'!I56),0))+IF((113='V06 Calend 01'!D56),'V06 Calend 01'!J56,0))</f>
        <v>0</v>
      </c>
      <c r="DV56" s="2">
        <f>((IF((114='V06 Calend 01'!C56),('V06 Calend 01'!F56+'V06 Calend 01'!G56),0)+IF(AND(('V06 Calend 01'!E56&gt;0),(114&gt;'V06 Calend 01'!C56),(114&lt;'V06 Calend 01'!D56),(MOD((114-'V06 Calend 01'!C56),6)=0),(((114-'V06 Calend 01'!C56)/6)&lt;='V06 Calend 01'!E56)),IF((114=('V06 Calend 01'!C56+(6*'V06 Calend 01'!E56))),('V06 Calend 01'!H56-('V06 Calend 01'!I56*('V06 Calend 01'!E56-1))),'V06 Calend 01'!I56),0))+IF((114='V06 Calend 01'!D56),'V06 Calend 01'!J56,0))</f>
        <v>0</v>
      </c>
      <c r="DW56" s="2">
        <f>((IF((115='V06 Calend 01'!C56),('V06 Calend 01'!F56+'V06 Calend 01'!G56),0)+IF(AND(('V06 Calend 01'!E56&gt;0),(115&gt;'V06 Calend 01'!C56),(115&lt;'V06 Calend 01'!D56),(MOD((115-'V06 Calend 01'!C56),6)=0),(((115-'V06 Calend 01'!C56)/6)&lt;='V06 Calend 01'!E56)),IF((115=('V06 Calend 01'!C56+(6*'V06 Calend 01'!E56))),('V06 Calend 01'!H56-('V06 Calend 01'!I56*('V06 Calend 01'!E56-1))),'V06 Calend 01'!I56),0))+IF((115='V06 Calend 01'!D56),'V06 Calend 01'!J56,0))</f>
        <v>0</v>
      </c>
      <c r="DX56" s="2">
        <f>((IF((116='V06 Calend 01'!C56),('V06 Calend 01'!F56+'V06 Calend 01'!G56),0)+IF(AND(('V06 Calend 01'!E56&gt;0),(116&gt;'V06 Calend 01'!C56),(116&lt;'V06 Calend 01'!D56),(MOD((116-'V06 Calend 01'!C56),6)=0),(((116-'V06 Calend 01'!C56)/6)&lt;='V06 Calend 01'!E56)),IF((116=('V06 Calend 01'!C56+(6*'V06 Calend 01'!E56))),('V06 Calend 01'!H56-('V06 Calend 01'!I56*('V06 Calend 01'!E56-1))),'V06 Calend 01'!I56),0))+IF((116='V06 Calend 01'!D56),'V06 Calend 01'!J56,0))</f>
        <v>0</v>
      </c>
      <c r="DY56" s="2">
        <f>((IF((117='V06 Calend 01'!C56),('V06 Calend 01'!F56+'V06 Calend 01'!G56),0)+IF(AND(('V06 Calend 01'!E56&gt;0),(117&gt;'V06 Calend 01'!C56),(117&lt;'V06 Calend 01'!D56),(MOD((117-'V06 Calend 01'!C56),6)=0),(((117-'V06 Calend 01'!C56)/6)&lt;='V06 Calend 01'!E56)),IF((117=('V06 Calend 01'!C56+(6*'V06 Calend 01'!E56))),('V06 Calend 01'!H56-('V06 Calend 01'!I56*('V06 Calend 01'!E56-1))),'V06 Calend 01'!I56),0))+IF((117='V06 Calend 01'!D56),'V06 Calend 01'!J56,0))</f>
        <v>0</v>
      </c>
      <c r="DZ56" s="2">
        <f>((IF((118='V06 Calend 01'!C56),('V06 Calend 01'!F56+'V06 Calend 01'!G56),0)+IF(AND(('V06 Calend 01'!E56&gt;0),(118&gt;'V06 Calend 01'!C56),(118&lt;'V06 Calend 01'!D56),(MOD((118-'V06 Calend 01'!C56),6)=0),(((118-'V06 Calend 01'!C56)/6)&lt;='V06 Calend 01'!E56)),IF((118=('V06 Calend 01'!C56+(6*'V06 Calend 01'!E56))),('V06 Calend 01'!H56-('V06 Calend 01'!I56*('V06 Calend 01'!E56-1))),'V06 Calend 01'!I56),0))+IF((118='V06 Calend 01'!D56),'V06 Calend 01'!J56,0))</f>
        <v>0</v>
      </c>
      <c r="EA56" s="2">
        <f>((IF((119='V06 Calend 01'!C56),('V06 Calend 01'!F56+'V06 Calend 01'!G56),0)+IF(AND(('V06 Calend 01'!E56&gt;0),(119&gt;'V06 Calend 01'!C56),(119&lt;'V06 Calend 01'!D56),(MOD((119-'V06 Calend 01'!C56),6)=0),(((119-'V06 Calend 01'!C56)/6)&lt;='V06 Calend 01'!E56)),IF((119=('V06 Calend 01'!C56+(6*'V06 Calend 01'!E56))),('V06 Calend 01'!H56-('V06 Calend 01'!I56*('V06 Calend 01'!E56-1))),'V06 Calend 01'!I56),0))+IF((119='V06 Calend 01'!D56),'V06 Calend 01'!J56,0))</f>
        <v>0</v>
      </c>
      <c r="EB56" s="2">
        <f>((IF((120='V06 Calend 01'!C56),('V06 Calend 01'!F56+'V06 Calend 01'!G56),0)+IF(AND(('V06 Calend 01'!E56&gt;0),(120&gt;'V06 Calend 01'!C56),(120&lt;'V06 Calend 01'!D56),(MOD((120-'V06 Calend 01'!C56),6)=0),(((120-'V06 Calend 01'!C56)/6)&lt;='V06 Calend 01'!E56)),IF((120=('V06 Calend 01'!C56+(6*'V06 Calend 01'!E56))),('V06 Calend 01'!H56-('V06 Calend 01'!I56*('V06 Calend 01'!E56-1))),'V06 Calend 01'!I56),0))+IF((120='V06 Calend 01'!D56),'V06 Calend 01'!J56,0))</f>
        <v>0</v>
      </c>
      <c r="EC56" s="2">
        <f>((IF((121='V06 Calend 01'!C56),('V06 Calend 01'!F56+'V06 Calend 01'!G56),0)+IF(AND(('V06 Calend 01'!E56&gt;0),(121&gt;'V06 Calend 01'!C56),(121&lt;'V06 Calend 01'!D56),(MOD((121-'V06 Calend 01'!C56),6)=0),(((121-'V06 Calend 01'!C56)/6)&lt;='V06 Calend 01'!E56)),IF((121=('V06 Calend 01'!C56+(6*'V06 Calend 01'!E56))),('V06 Calend 01'!H56-('V06 Calend 01'!I56*('V06 Calend 01'!E56-1))),'V06 Calend 01'!I56),0))+IF((121='V06 Calend 01'!D56),'V06 Calend 01'!J56,0))</f>
        <v>0</v>
      </c>
      <c r="ED56" s="2">
        <f>((IF((122='V06 Calend 01'!C56),('V06 Calend 01'!F56+'V06 Calend 01'!G56),0)+IF(AND(('V06 Calend 01'!E56&gt;0),(122&gt;'V06 Calend 01'!C56),(122&lt;'V06 Calend 01'!D56),(MOD((122-'V06 Calend 01'!C56),6)=0),(((122-'V06 Calend 01'!C56)/6)&lt;='V06 Calend 01'!E56)),IF((122=('V06 Calend 01'!C56+(6*'V06 Calend 01'!E56))),('V06 Calend 01'!H56-('V06 Calend 01'!I56*('V06 Calend 01'!E56-1))),'V06 Calend 01'!I56),0))+IF((122='V06 Calend 01'!D56),'V06 Calend 01'!J56,0))</f>
        <v>0</v>
      </c>
      <c r="EE56" s="2">
        <f>((IF((123='V06 Calend 01'!C56),('V06 Calend 01'!F56+'V06 Calend 01'!G56),0)+IF(AND(('V06 Calend 01'!E56&gt;0),(123&gt;'V06 Calend 01'!C56),(123&lt;'V06 Calend 01'!D56),(MOD((123-'V06 Calend 01'!C56),6)=0),(((123-'V06 Calend 01'!C56)/6)&lt;='V06 Calend 01'!E56)),IF((123=('V06 Calend 01'!C56+(6*'V06 Calend 01'!E56))),('V06 Calend 01'!H56-('V06 Calend 01'!I56*('V06 Calend 01'!E56-1))),'V06 Calend 01'!I56),0))+IF((123='V06 Calend 01'!D56),'V06 Calend 01'!J56,0))</f>
        <v>0</v>
      </c>
      <c r="EF56" s="2">
        <f>((IF((124='V06 Calend 01'!C56),('V06 Calend 01'!F56+'V06 Calend 01'!G56),0)+IF(AND(('V06 Calend 01'!E56&gt;0),(124&gt;'V06 Calend 01'!C56),(124&lt;'V06 Calend 01'!D56),(MOD((124-'V06 Calend 01'!C56),6)=0),(((124-'V06 Calend 01'!C56)/6)&lt;='V06 Calend 01'!E56)),IF((124=('V06 Calend 01'!C56+(6*'V06 Calend 01'!E56))),('V06 Calend 01'!H56-('V06 Calend 01'!I56*('V06 Calend 01'!E56-1))),'V06 Calend 01'!I56),0))+IF((124='V06 Calend 01'!D56),'V06 Calend 01'!J56,0))</f>
        <v>0</v>
      </c>
      <c r="EG56" s="2">
        <f>((IF((125='V06 Calend 01'!C56),('V06 Calend 01'!F56+'V06 Calend 01'!G56),0)+IF(AND(('V06 Calend 01'!E56&gt;0),(125&gt;'V06 Calend 01'!C56),(125&lt;'V06 Calend 01'!D56),(MOD((125-'V06 Calend 01'!C56),6)=0),(((125-'V06 Calend 01'!C56)/6)&lt;='V06 Calend 01'!E56)),IF((125=('V06 Calend 01'!C56+(6*'V06 Calend 01'!E56))),('V06 Calend 01'!H56-('V06 Calend 01'!I56*('V06 Calend 01'!E56-1))),'V06 Calend 01'!I56),0))+IF((125='V06 Calend 01'!D56),'V06 Calend 01'!J56,0))</f>
        <v>0</v>
      </c>
      <c r="EH56" s="2">
        <f>((IF((126='V06 Calend 01'!C56),('V06 Calend 01'!F56+'V06 Calend 01'!G56),0)+IF(AND(('V06 Calend 01'!E56&gt;0),(126&gt;'V06 Calend 01'!C56),(126&lt;'V06 Calend 01'!D56),(MOD((126-'V06 Calend 01'!C56),6)=0),(((126-'V06 Calend 01'!C56)/6)&lt;='V06 Calend 01'!E56)),IF((126=('V06 Calend 01'!C56+(6*'V06 Calend 01'!E56))),('V06 Calend 01'!H56-('V06 Calend 01'!I56*('V06 Calend 01'!E56-1))),'V06 Calend 01'!I56),0))+IF((126='V06 Calend 01'!D56),'V06 Calend 01'!J56,0))</f>
        <v>0</v>
      </c>
      <c r="EI56" s="2">
        <f>((IF((127='V06 Calend 01'!C56),('V06 Calend 01'!F56+'V06 Calend 01'!G56),0)+IF(AND(('V06 Calend 01'!E56&gt;0),(127&gt;'V06 Calend 01'!C56),(127&lt;'V06 Calend 01'!D56),(MOD((127-'V06 Calend 01'!C56),6)=0),(((127-'V06 Calend 01'!C56)/6)&lt;='V06 Calend 01'!E56)),IF((127=('V06 Calend 01'!C56+(6*'V06 Calend 01'!E56))),('V06 Calend 01'!H56-('V06 Calend 01'!I56*('V06 Calend 01'!E56-1))),'V06 Calend 01'!I56),0))+IF((127='V06 Calend 01'!D56),'V06 Calend 01'!J56,0))</f>
        <v>0</v>
      </c>
      <c r="EJ56" s="2">
        <f>((IF((128='V06 Calend 01'!C56),('V06 Calend 01'!F56+'V06 Calend 01'!G56),0)+IF(AND(('V06 Calend 01'!E56&gt;0),(128&gt;'V06 Calend 01'!C56),(128&lt;'V06 Calend 01'!D56),(MOD((128-'V06 Calend 01'!C56),6)=0),(((128-'V06 Calend 01'!C56)/6)&lt;='V06 Calend 01'!E56)),IF((128=('V06 Calend 01'!C56+(6*'V06 Calend 01'!E56))),('V06 Calend 01'!H56-('V06 Calend 01'!I56*('V06 Calend 01'!E56-1))),'V06 Calend 01'!I56),0))+IF((128='V06 Calend 01'!D56),'V06 Calend 01'!J56,0))</f>
        <v>0</v>
      </c>
      <c r="EK56" s="2">
        <f>((IF((129='V06 Calend 01'!C56),('V06 Calend 01'!F56+'V06 Calend 01'!G56),0)+IF(AND(('V06 Calend 01'!E56&gt;0),(129&gt;'V06 Calend 01'!C56),(129&lt;'V06 Calend 01'!D56),(MOD((129-'V06 Calend 01'!C56),6)=0),(((129-'V06 Calend 01'!C56)/6)&lt;='V06 Calend 01'!E56)),IF((129=('V06 Calend 01'!C56+(6*'V06 Calend 01'!E56))),('V06 Calend 01'!H56-('V06 Calend 01'!I56*('V06 Calend 01'!E56-1))),'V06 Calend 01'!I56),0))+IF((129='V06 Calend 01'!D56),'V06 Calend 01'!J56,0))</f>
        <v>0</v>
      </c>
      <c r="EL56" s="2">
        <f>((IF((130='V06 Calend 01'!C56),('V06 Calend 01'!F56+'V06 Calend 01'!G56),0)+IF(AND(('V06 Calend 01'!E56&gt;0),(130&gt;'V06 Calend 01'!C56),(130&lt;'V06 Calend 01'!D56),(MOD((130-'V06 Calend 01'!C56),6)=0),(((130-'V06 Calend 01'!C56)/6)&lt;='V06 Calend 01'!E56)),IF((130=('V06 Calend 01'!C56+(6*'V06 Calend 01'!E56))),('V06 Calend 01'!H56-('V06 Calend 01'!I56*('V06 Calend 01'!E56-1))),'V06 Calend 01'!I56),0))+IF((130='V06 Calend 01'!D56),'V06 Calend 01'!J56,0))</f>
        <v>0</v>
      </c>
      <c r="EM56" s="2">
        <f>((IF((131='V06 Calend 01'!C56),('V06 Calend 01'!F56+'V06 Calend 01'!G56),0)+IF(AND(('V06 Calend 01'!E56&gt;0),(131&gt;'V06 Calend 01'!C56),(131&lt;'V06 Calend 01'!D56),(MOD((131-'V06 Calend 01'!C56),6)=0),(((131-'V06 Calend 01'!C56)/6)&lt;='V06 Calend 01'!E56)),IF((131=('V06 Calend 01'!C56+(6*'V06 Calend 01'!E56))),('V06 Calend 01'!H56-('V06 Calend 01'!I56*('V06 Calend 01'!E56-1))),'V06 Calend 01'!I56),0))+IF((131='V06 Calend 01'!D56),'V06 Calend 01'!J56,0))</f>
        <v>0</v>
      </c>
      <c r="EN56" s="2">
        <f>((IF((132='V06 Calend 01'!C56),('V06 Calend 01'!F56+'V06 Calend 01'!G56),0)+IF(AND(('V06 Calend 01'!E56&gt;0),(132&gt;'V06 Calend 01'!C56),(132&lt;'V06 Calend 01'!D56),(MOD((132-'V06 Calend 01'!C56),6)=0),(((132-'V06 Calend 01'!C56)/6)&lt;='V06 Calend 01'!E56)),IF((132=('V06 Calend 01'!C56+(6*'V06 Calend 01'!E56))),('V06 Calend 01'!H56-('V06 Calend 01'!I56*('V06 Calend 01'!E56-1))),'V06 Calend 01'!I56),0))+IF((132='V06 Calend 01'!D56),'V06 Calend 01'!J56,0))</f>
        <v>0</v>
      </c>
      <c r="EO56" s="2">
        <f>((IF((133='V06 Calend 01'!C56),('V06 Calend 01'!F56+'V06 Calend 01'!G56),0)+IF(AND(('V06 Calend 01'!E56&gt;0),(133&gt;'V06 Calend 01'!C56),(133&lt;'V06 Calend 01'!D56),(MOD((133-'V06 Calend 01'!C56),6)=0),(((133-'V06 Calend 01'!C56)/6)&lt;='V06 Calend 01'!E56)),IF((133=('V06 Calend 01'!C56+(6*'V06 Calend 01'!E56))),('V06 Calend 01'!H56-('V06 Calend 01'!I56*('V06 Calend 01'!E56-1))),'V06 Calend 01'!I56),0))+IF((133='V06 Calend 01'!D56),'V06 Calend 01'!J56,0))</f>
        <v>0</v>
      </c>
      <c r="EP56" s="2">
        <f>((IF((134='V06 Calend 01'!C56),('V06 Calend 01'!F56+'V06 Calend 01'!G56),0)+IF(AND(('V06 Calend 01'!E56&gt;0),(134&gt;'V06 Calend 01'!C56),(134&lt;'V06 Calend 01'!D56),(MOD((134-'V06 Calend 01'!C56),6)=0),(((134-'V06 Calend 01'!C56)/6)&lt;='V06 Calend 01'!E56)),IF((134=('V06 Calend 01'!C56+(6*'V06 Calend 01'!E56))),('V06 Calend 01'!H56-('V06 Calend 01'!I56*('V06 Calend 01'!E56-1))),'V06 Calend 01'!I56),0))+IF((134='V06 Calend 01'!D56),'V06 Calend 01'!J56,0))</f>
        <v>0</v>
      </c>
      <c r="EQ56" s="2">
        <f>((IF((135='V06 Calend 01'!C56),('V06 Calend 01'!F56+'V06 Calend 01'!G56),0)+IF(AND(('V06 Calend 01'!E56&gt;0),(135&gt;'V06 Calend 01'!C56),(135&lt;'V06 Calend 01'!D56),(MOD((135-'V06 Calend 01'!C56),6)=0),(((135-'V06 Calend 01'!C56)/6)&lt;='V06 Calend 01'!E56)),IF((135=('V06 Calend 01'!C56+(6*'V06 Calend 01'!E56))),('V06 Calend 01'!H56-('V06 Calend 01'!I56*('V06 Calend 01'!E56-1))),'V06 Calend 01'!I56),0))+IF((135='V06 Calend 01'!D56),'V06 Calend 01'!J56,0))</f>
        <v>0</v>
      </c>
      <c r="ER56" s="2">
        <f>((IF((136='V06 Calend 01'!C56),('V06 Calend 01'!F56+'V06 Calend 01'!G56),0)+IF(AND(('V06 Calend 01'!E56&gt;0),(136&gt;'V06 Calend 01'!C56),(136&lt;'V06 Calend 01'!D56),(MOD((136-'V06 Calend 01'!C56),6)=0),(((136-'V06 Calend 01'!C56)/6)&lt;='V06 Calend 01'!E56)),IF((136=('V06 Calend 01'!C56+(6*'V06 Calend 01'!E56))),('V06 Calend 01'!H56-('V06 Calend 01'!I56*('V06 Calend 01'!E56-1))),'V06 Calend 01'!I56),0))+IF((136='V06 Calend 01'!D56),'V06 Calend 01'!J56,0))</f>
        <v>0</v>
      </c>
      <c r="ES56" s="2">
        <f>((IF((137='V06 Calend 01'!C56),('V06 Calend 01'!F56+'V06 Calend 01'!G56),0)+IF(AND(('V06 Calend 01'!E56&gt;0),(137&gt;'V06 Calend 01'!C56),(137&lt;'V06 Calend 01'!D56),(MOD((137-'V06 Calend 01'!C56),6)=0),(((137-'V06 Calend 01'!C56)/6)&lt;='V06 Calend 01'!E56)),IF((137=('V06 Calend 01'!C56+(6*'V06 Calend 01'!E56))),('V06 Calend 01'!H56-('V06 Calend 01'!I56*('V06 Calend 01'!E56-1))),'V06 Calend 01'!I56),0))+IF((137='V06 Calend 01'!D56),'V06 Calend 01'!J56,0))</f>
        <v>0</v>
      </c>
      <c r="ET56" s="2">
        <f>((IF((138='V06 Calend 01'!C56),('V06 Calend 01'!F56+'V06 Calend 01'!G56),0)+IF(AND(('V06 Calend 01'!E56&gt;0),(138&gt;'V06 Calend 01'!C56),(138&lt;'V06 Calend 01'!D56),(MOD((138-'V06 Calend 01'!C56),6)=0),(((138-'V06 Calend 01'!C56)/6)&lt;='V06 Calend 01'!E56)),IF((138=('V06 Calend 01'!C56+(6*'V06 Calend 01'!E56))),('V06 Calend 01'!H56-('V06 Calend 01'!I56*('V06 Calend 01'!E56-1))),'V06 Calend 01'!I56),0))+IF((138='V06 Calend 01'!D56),'V06 Calend 01'!J56,0))</f>
        <v>0</v>
      </c>
      <c r="EU56" s="2">
        <f>((IF((139='V06 Calend 01'!C56),('V06 Calend 01'!F56+'V06 Calend 01'!G56),0)+IF(AND(('V06 Calend 01'!E56&gt;0),(139&gt;'V06 Calend 01'!C56),(139&lt;'V06 Calend 01'!D56),(MOD((139-'V06 Calend 01'!C56),6)=0),(((139-'V06 Calend 01'!C56)/6)&lt;='V06 Calend 01'!E56)),IF((139=('V06 Calend 01'!C56+(6*'V06 Calend 01'!E56))),('V06 Calend 01'!H56-('V06 Calend 01'!I56*('V06 Calend 01'!E56-1))),'V06 Calend 01'!I56),0))+IF((139='V06 Calend 01'!D56),'V06 Calend 01'!J56,0))</f>
        <v>0</v>
      </c>
      <c r="EV56" s="2">
        <f>((IF((140='V06 Calend 01'!C56),('V06 Calend 01'!F56+'V06 Calend 01'!G56),0)+IF(AND(('V06 Calend 01'!E56&gt;0),(140&gt;'V06 Calend 01'!C56),(140&lt;'V06 Calend 01'!D56),(MOD((140-'V06 Calend 01'!C56),6)=0),(((140-'V06 Calend 01'!C56)/6)&lt;='V06 Calend 01'!E56)),IF((140=('V06 Calend 01'!C56+(6*'V06 Calend 01'!E56))),('V06 Calend 01'!H56-('V06 Calend 01'!I56*('V06 Calend 01'!E56-1))),'V06 Calend 01'!I56),0))+IF((140='V06 Calend 01'!D56),'V06 Calend 01'!J56,0))</f>
        <v>0</v>
      </c>
      <c r="EW56" s="2">
        <f>((IF((141='V06 Calend 01'!C56),('V06 Calend 01'!F56+'V06 Calend 01'!G56),0)+IF(AND(('V06 Calend 01'!E56&gt;0),(141&gt;'V06 Calend 01'!C56),(141&lt;'V06 Calend 01'!D56),(MOD((141-'V06 Calend 01'!C56),6)=0),(((141-'V06 Calend 01'!C56)/6)&lt;='V06 Calend 01'!E56)),IF((141=('V06 Calend 01'!C56+(6*'V06 Calend 01'!E56))),('V06 Calend 01'!H56-('V06 Calend 01'!I56*('V06 Calend 01'!E56-1))),'V06 Calend 01'!I56),0))+IF((141='V06 Calend 01'!D56),'V06 Calend 01'!J56,0))</f>
        <v>0</v>
      </c>
      <c r="EX56" s="2">
        <f>((IF((142='V06 Calend 01'!C56),('V06 Calend 01'!F56+'V06 Calend 01'!G56),0)+IF(AND(('V06 Calend 01'!E56&gt;0),(142&gt;'V06 Calend 01'!C56),(142&lt;'V06 Calend 01'!D56),(MOD((142-'V06 Calend 01'!C56),6)=0),(((142-'V06 Calend 01'!C56)/6)&lt;='V06 Calend 01'!E56)),IF((142=('V06 Calend 01'!C56+(6*'V06 Calend 01'!E56))),('V06 Calend 01'!H56-('V06 Calend 01'!I56*('V06 Calend 01'!E56-1))),'V06 Calend 01'!I56),0))+IF((142='V06 Calend 01'!D56),'V06 Calend 01'!J56,0))</f>
        <v>0</v>
      </c>
      <c r="EY56" s="2">
        <f>((IF((143='V06 Calend 01'!C56),('V06 Calend 01'!F56+'V06 Calend 01'!G56),0)+IF(AND(('V06 Calend 01'!E56&gt;0),(143&gt;'V06 Calend 01'!C56),(143&lt;'V06 Calend 01'!D56),(MOD((143-'V06 Calend 01'!C56),6)=0),(((143-'V06 Calend 01'!C56)/6)&lt;='V06 Calend 01'!E56)),IF((143=('V06 Calend 01'!C56+(6*'V06 Calend 01'!E56))),('V06 Calend 01'!H56-('V06 Calend 01'!I56*('V06 Calend 01'!E56-1))),'V06 Calend 01'!I56),0))+IF((143='V06 Calend 01'!D56),'V06 Calend 01'!J56,0))</f>
        <v>0</v>
      </c>
      <c r="EZ56" s="2">
        <f>((IF((144='V06 Calend 01'!C56),('V06 Calend 01'!F56+'V06 Calend 01'!G56),0)+IF(AND(('V06 Calend 01'!E56&gt;0),(144&gt;'V06 Calend 01'!C56),(144&lt;'V06 Calend 01'!D56),(MOD((144-'V06 Calend 01'!C56),6)=0),(((144-'V06 Calend 01'!C56)/6)&lt;='V06 Calend 01'!E56)),IF((144=('V06 Calend 01'!C56+(6*'V06 Calend 01'!E56))),('V06 Calend 01'!H56-('V06 Calend 01'!I56*('V06 Calend 01'!E56-1))),'V06 Calend 01'!I56),0))+IF((144='V06 Calend 01'!D56),'V06 Calend 01'!J56,0))</f>
        <v>0</v>
      </c>
      <c r="FA56" s="2">
        <f>((IF((145='V06 Calend 01'!C56),('V06 Calend 01'!F56+'V06 Calend 01'!G56),0)+IF(AND(('V06 Calend 01'!E56&gt;0),(145&gt;'V06 Calend 01'!C56),(145&lt;'V06 Calend 01'!D56),(MOD((145-'V06 Calend 01'!C56),6)=0),(((145-'V06 Calend 01'!C56)/6)&lt;='V06 Calend 01'!E56)),IF((145=('V06 Calend 01'!C56+(6*'V06 Calend 01'!E56))),('V06 Calend 01'!H56-('V06 Calend 01'!I56*('V06 Calend 01'!E56-1))),'V06 Calend 01'!I56),0))+IF((145='V06 Calend 01'!D56),'V06 Calend 01'!J56,0))</f>
        <v>0</v>
      </c>
      <c r="FB56" s="2">
        <f>((IF((146='V06 Calend 01'!C56),('V06 Calend 01'!F56+'V06 Calend 01'!G56),0)+IF(AND(('V06 Calend 01'!E56&gt;0),(146&gt;'V06 Calend 01'!C56),(146&lt;'V06 Calend 01'!D56),(MOD((146-'V06 Calend 01'!C56),6)=0),(((146-'V06 Calend 01'!C56)/6)&lt;='V06 Calend 01'!E56)),IF((146=('V06 Calend 01'!C56+(6*'V06 Calend 01'!E56))),('V06 Calend 01'!H56-('V06 Calend 01'!I56*('V06 Calend 01'!E56-1))),'V06 Calend 01'!I56),0))+IF((146='V06 Calend 01'!D56),'V06 Calend 01'!J56,0))</f>
        <v>0</v>
      </c>
      <c r="FC56" s="2">
        <f>((IF((147='V06 Calend 01'!C56),('V06 Calend 01'!F56+'V06 Calend 01'!G56),0)+IF(AND(('V06 Calend 01'!E56&gt;0),(147&gt;'V06 Calend 01'!C56),(147&lt;'V06 Calend 01'!D56),(MOD((147-'V06 Calend 01'!C56),6)=0),(((147-'V06 Calend 01'!C56)/6)&lt;='V06 Calend 01'!E56)),IF((147=('V06 Calend 01'!C56+(6*'V06 Calend 01'!E56))),('V06 Calend 01'!H56-('V06 Calend 01'!I56*('V06 Calend 01'!E56-1))),'V06 Calend 01'!I56),0))+IF((147='V06 Calend 01'!D56),'V06 Calend 01'!J56,0))</f>
        <v>0</v>
      </c>
      <c r="FD56" s="2">
        <f>((IF((148='V06 Calend 01'!C56),('V06 Calend 01'!F56+'V06 Calend 01'!G56),0)+IF(AND(('V06 Calend 01'!E56&gt;0),(148&gt;'V06 Calend 01'!C56),(148&lt;'V06 Calend 01'!D56),(MOD((148-'V06 Calend 01'!C56),6)=0),(((148-'V06 Calend 01'!C56)/6)&lt;='V06 Calend 01'!E56)),IF((148=('V06 Calend 01'!C56+(6*'V06 Calend 01'!E56))),('V06 Calend 01'!H56-('V06 Calend 01'!I56*('V06 Calend 01'!E56-1))),'V06 Calend 01'!I56),0))+IF((148='V06 Calend 01'!D56),'V06 Calend 01'!J56,0))</f>
        <v>0</v>
      </c>
      <c r="FE56" s="2">
        <f>((IF((149='V06 Calend 01'!C56),('V06 Calend 01'!F56+'V06 Calend 01'!G56),0)+IF(AND(('V06 Calend 01'!E56&gt;0),(149&gt;'V06 Calend 01'!C56),(149&lt;'V06 Calend 01'!D56),(MOD((149-'V06 Calend 01'!C56),6)=0),(((149-'V06 Calend 01'!C56)/6)&lt;='V06 Calend 01'!E56)),IF((149=('V06 Calend 01'!C56+(6*'V06 Calend 01'!E56))),('V06 Calend 01'!H56-('V06 Calend 01'!I56*('V06 Calend 01'!E56-1))),'V06 Calend 01'!I56),0))+IF((149='V06 Calend 01'!D56),'V06 Calend 01'!J56,0))</f>
        <v>0</v>
      </c>
      <c r="FF56" s="2">
        <f>((IF((150='V06 Calend 01'!C56),('V06 Calend 01'!F56+'V06 Calend 01'!G56),0)+IF(AND(('V06 Calend 01'!E56&gt;0),(150&gt;'V06 Calend 01'!C56),(150&lt;'V06 Calend 01'!D56),(MOD((150-'V06 Calend 01'!C56),6)=0),(((150-'V06 Calend 01'!C56)/6)&lt;='V06 Calend 01'!E56)),IF((150=('V06 Calend 01'!C56+(6*'V06 Calend 01'!E56))),('V06 Calend 01'!H56-('V06 Calend 01'!I56*('V06 Calend 01'!E56-1))),'V06 Calend 01'!I56),0))+IF((150='V06 Calend 01'!D56),'V06 Calend 01'!J56,0))</f>
        <v>0</v>
      </c>
      <c r="FG56" s="2">
        <f>((IF((151='V06 Calend 01'!C56),('V06 Calend 01'!F56+'V06 Calend 01'!G56),0)+IF(AND(('V06 Calend 01'!E56&gt;0),(151&gt;'V06 Calend 01'!C56),(151&lt;'V06 Calend 01'!D56),(MOD((151-'V06 Calend 01'!C56),6)=0),(((151-'V06 Calend 01'!C56)/6)&lt;='V06 Calend 01'!E56)),IF((151=('V06 Calend 01'!C56+(6*'V06 Calend 01'!E56))),('V06 Calend 01'!H56-('V06 Calend 01'!I56*('V06 Calend 01'!E56-1))),'V06 Calend 01'!I56),0))+IF((151='V06 Calend 01'!D56),'V06 Calend 01'!J56,0))</f>
        <v>0</v>
      </c>
      <c r="FH56" s="2">
        <f>((IF((152='V06 Calend 01'!C56),('V06 Calend 01'!F56+'V06 Calend 01'!G56),0)+IF(AND(('V06 Calend 01'!E56&gt;0),(152&gt;'V06 Calend 01'!C56),(152&lt;'V06 Calend 01'!D56),(MOD((152-'V06 Calend 01'!C56),6)=0),(((152-'V06 Calend 01'!C56)/6)&lt;='V06 Calend 01'!E56)),IF((152=('V06 Calend 01'!C56+(6*'V06 Calend 01'!E56))),('V06 Calend 01'!H56-('V06 Calend 01'!I56*('V06 Calend 01'!E56-1))),'V06 Calend 01'!I56),0))+IF((152='V06 Calend 01'!D56),'V06 Calend 01'!J56,0))</f>
        <v>0</v>
      </c>
      <c r="FI56" s="2">
        <f>((IF((153='V06 Calend 01'!C56),('V06 Calend 01'!F56+'V06 Calend 01'!G56),0)+IF(AND(('V06 Calend 01'!E56&gt;0),(153&gt;'V06 Calend 01'!C56),(153&lt;'V06 Calend 01'!D56),(MOD((153-'V06 Calend 01'!C56),6)=0),(((153-'V06 Calend 01'!C56)/6)&lt;='V06 Calend 01'!E56)),IF((153=('V06 Calend 01'!C56+(6*'V06 Calend 01'!E56))),('V06 Calend 01'!H56-('V06 Calend 01'!I56*('V06 Calend 01'!E56-1))),'V06 Calend 01'!I56),0))+IF((153='V06 Calend 01'!D56),'V06 Calend 01'!J56,0))</f>
        <v>0</v>
      </c>
      <c r="FJ56" s="2">
        <f>((IF((154='V06 Calend 01'!C56),('V06 Calend 01'!F56+'V06 Calend 01'!G56),0)+IF(AND(('V06 Calend 01'!E56&gt;0),(154&gt;'V06 Calend 01'!C56),(154&lt;'V06 Calend 01'!D56),(MOD((154-'V06 Calend 01'!C56),6)=0),(((154-'V06 Calend 01'!C56)/6)&lt;='V06 Calend 01'!E56)),IF((154=('V06 Calend 01'!C56+(6*'V06 Calend 01'!E56))),('V06 Calend 01'!H56-('V06 Calend 01'!I56*('V06 Calend 01'!E56-1))),'V06 Calend 01'!I56),0))+IF((154='V06 Calend 01'!D56),'V06 Calend 01'!J56,0))</f>
        <v>0</v>
      </c>
      <c r="FK56" s="2">
        <f>((IF((155='V06 Calend 01'!C56),('V06 Calend 01'!F56+'V06 Calend 01'!G56),0)+IF(AND(('V06 Calend 01'!E56&gt;0),(155&gt;'V06 Calend 01'!C56),(155&lt;'V06 Calend 01'!D56),(MOD((155-'V06 Calend 01'!C56),6)=0),(((155-'V06 Calend 01'!C56)/6)&lt;='V06 Calend 01'!E56)),IF((155=('V06 Calend 01'!C56+(6*'V06 Calend 01'!E56))),('V06 Calend 01'!H56-('V06 Calend 01'!I56*('V06 Calend 01'!E56-1))),'V06 Calend 01'!I56),0))+IF((155='V06 Calend 01'!D56),'V06 Calend 01'!J56,0))</f>
        <v>0</v>
      </c>
      <c r="FL56" s="2">
        <f>((IF((156='V06 Calend 01'!C56),('V06 Calend 01'!F56+'V06 Calend 01'!G56),0)+IF(AND(('V06 Calend 01'!E56&gt;0),(156&gt;'V06 Calend 01'!C56),(156&lt;'V06 Calend 01'!D56),(MOD((156-'V06 Calend 01'!C56),6)=0),(((156-'V06 Calend 01'!C56)/6)&lt;='V06 Calend 01'!E56)),IF((156=('V06 Calend 01'!C56+(6*'V06 Calend 01'!E56))),('V06 Calend 01'!H56-('V06 Calend 01'!I56*('V06 Calend 01'!E56-1))),'V06 Calend 01'!I56),0))+IF((156='V06 Calend 01'!D56),'V06 Calend 01'!J56,0))</f>
        <v>0</v>
      </c>
      <c r="FM56" s="2">
        <f>((IF((157='V06 Calend 01'!C56),('V06 Calend 01'!F56+'V06 Calend 01'!G56),0)+IF(AND(('V06 Calend 01'!E56&gt;0),(157&gt;'V06 Calend 01'!C56),(157&lt;'V06 Calend 01'!D56),(MOD((157-'V06 Calend 01'!C56),6)=0),(((157-'V06 Calend 01'!C56)/6)&lt;='V06 Calend 01'!E56)),IF((157=('V06 Calend 01'!C56+(6*'V06 Calend 01'!E56))),('V06 Calend 01'!H56-('V06 Calend 01'!I56*('V06 Calend 01'!E56-1))),'V06 Calend 01'!I56),0))+IF((157='V06 Calend 01'!D56),'V06 Calend 01'!J56,0))</f>
        <v>0</v>
      </c>
      <c r="FN56" s="2">
        <f>((IF((158='V06 Calend 01'!C56),('V06 Calend 01'!F56+'V06 Calend 01'!G56),0)+IF(AND(('V06 Calend 01'!E56&gt;0),(158&gt;'V06 Calend 01'!C56),(158&lt;'V06 Calend 01'!D56),(MOD((158-'V06 Calend 01'!C56),6)=0),(((158-'V06 Calend 01'!C56)/6)&lt;='V06 Calend 01'!E56)),IF((158=('V06 Calend 01'!C56+(6*'V06 Calend 01'!E56))),('V06 Calend 01'!H56-('V06 Calend 01'!I56*('V06 Calend 01'!E56-1))),'V06 Calend 01'!I56),0))+IF((158='V06 Calend 01'!D56),'V06 Calend 01'!J56,0))</f>
        <v>0</v>
      </c>
      <c r="FO56" s="2">
        <f>((IF((159='V06 Calend 01'!C56),('V06 Calend 01'!F56+'V06 Calend 01'!G56),0)+IF(AND(('V06 Calend 01'!E56&gt;0),(159&gt;'V06 Calend 01'!C56),(159&lt;'V06 Calend 01'!D56),(MOD((159-'V06 Calend 01'!C56),6)=0),(((159-'V06 Calend 01'!C56)/6)&lt;='V06 Calend 01'!E56)),IF((159=('V06 Calend 01'!C56+(6*'V06 Calend 01'!E56))),('V06 Calend 01'!H56-('V06 Calend 01'!I56*('V06 Calend 01'!E56-1))),'V06 Calend 01'!I56),0))+IF((159='V06 Calend 01'!D56),'V06 Calend 01'!J56,0))</f>
        <v>0</v>
      </c>
      <c r="FP56" s="2">
        <f>((IF((160='V06 Calend 01'!C56),('V06 Calend 01'!F56+'V06 Calend 01'!G56),0)+IF(AND(('V06 Calend 01'!E56&gt;0),(160&gt;'V06 Calend 01'!C56),(160&lt;'V06 Calend 01'!D56),(MOD((160-'V06 Calend 01'!C56),6)=0),(((160-'V06 Calend 01'!C56)/6)&lt;='V06 Calend 01'!E56)),IF((160=('V06 Calend 01'!C56+(6*'V06 Calend 01'!E56))),('V06 Calend 01'!H56-('V06 Calend 01'!I56*('V06 Calend 01'!E56-1))),'V06 Calend 01'!I56),0))+IF((160='V06 Calend 01'!D56),'V06 Calend 01'!J56,0))</f>
        <v>0</v>
      </c>
      <c r="FQ56" s="2">
        <f>((IF((161='V06 Calend 01'!C56),('V06 Calend 01'!F56+'V06 Calend 01'!G56),0)+IF(AND(('V06 Calend 01'!E56&gt;0),(161&gt;'V06 Calend 01'!C56),(161&lt;'V06 Calend 01'!D56),(MOD((161-'V06 Calend 01'!C56),6)=0),(((161-'V06 Calend 01'!C56)/6)&lt;='V06 Calend 01'!E56)),IF((161=('V06 Calend 01'!C56+(6*'V06 Calend 01'!E56))),('V06 Calend 01'!H56-('V06 Calend 01'!I56*('V06 Calend 01'!E56-1))),'V06 Calend 01'!I56),0))+IF((161='V06 Calend 01'!D56),'V06 Calend 01'!J56,0))</f>
        <v>0</v>
      </c>
      <c r="FR56" s="2">
        <f>((IF((162='V06 Calend 01'!C56),('V06 Calend 01'!F56+'V06 Calend 01'!G56),0)+IF(AND(('V06 Calend 01'!E56&gt;0),(162&gt;'V06 Calend 01'!C56),(162&lt;'V06 Calend 01'!D56),(MOD((162-'V06 Calend 01'!C56),6)=0),(((162-'V06 Calend 01'!C56)/6)&lt;='V06 Calend 01'!E56)),IF((162=('V06 Calend 01'!C56+(6*'V06 Calend 01'!E56))),('V06 Calend 01'!H56-('V06 Calend 01'!I56*('V06 Calend 01'!E56-1))),'V06 Calend 01'!I56),0))+IF((162='V06 Calend 01'!D56),'V06 Calend 01'!J56,0))</f>
        <v>0</v>
      </c>
      <c r="FS56" s="2">
        <f>((IF((163='V06 Calend 01'!C56),('V06 Calend 01'!F56+'V06 Calend 01'!G56),0)+IF(AND(('V06 Calend 01'!E56&gt;0),(163&gt;'V06 Calend 01'!C56),(163&lt;'V06 Calend 01'!D56),(MOD((163-'V06 Calend 01'!C56),6)=0),(((163-'V06 Calend 01'!C56)/6)&lt;='V06 Calend 01'!E56)),IF((163=('V06 Calend 01'!C56+(6*'V06 Calend 01'!E56))),('V06 Calend 01'!H56-('V06 Calend 01'!I56*('V06 Calend 01'!E56-1))),'V06 Calend 01'!I56),0))+IF((163='V06 Calend 01'!D56),'V06 Calend 01'!J56,0))</f>
        <v>0</v>
      </c>
      <c r="FT56" s="2">
        <f>((IF((164='V06 Calend 01'!C56),('V06 Calend 01'!F56+'V06 Calend 01'!G56),0)+IF(AND(('V06 Calend 01'!E56&gt;0),(164&gt;'V06 Calend 01'!C56),(164&lt;'V06 Calend 01'!D56),(MOD((164-'V06 Calend 01'!C56),6)=0),(((164-'V06 Calend 01'!C56)/6)&lt;='V06 Calend 01'!E56)),IF((164=('V06 Calend 01'!C56+(6*'V06 Calend 01'!E56))),('V06 Calend 01'!H56-('V06 Calend 01'!I56*('V06 Calend 01'!E56-1))),'V06 Calend 01'!I56),0))+IF((164='V06 Calend 01'!D56),'V06 Calend 01'!J56,0))</f>
        <v>0</v>
      </c>
      <c r="FU56" s="2">
        <f>((IF((165='V06 Calend 01'!C56),('V06 Calend 01'!F56+'V06 Calend 01'!G56),0)+IF(AND(('V06 Calend 01'!E56&gt;0),(165&gt;'V06 Calend 01'!C56),(165&lt;'V06 Calend 01'!D56),(MOD((165-'V06 Calend 01'!C56),6)=0),(((165-'V06 Calend 01'!C56)/6)&lt;='V06 Calend 01'!E56)),IF((165=('V06 Calend 01'!C56+(6*'V06 Calend 01'!E56))),('V06 Calend 01'!H56-('V06 Calend 01'!I56*('V06 Calend 01'!E56-1))),'V06 Calend 01'!I56),0))+IF((165='V06 Calend 01'!D56),'V06 Calend 01'!J56,0))</f>
        <v>0</v>
      </c>
      <c r="FV56" s="2">
        <f>((IF((166='V06 Calend 01'!C56),('V06 Calend 01'!F56+'V06 Calend 01'!G56),0)+IF(AND(('V06 Calend 01'!E56&gt;0),(166&gt;'V06 Calend 01'!C56),(166&lt;'V06 Calend 01'!D56),(MOD((166-'V06 Calend 01'!C56),6)=0),(((166-'V06 Calend 01'!C56)/6)&lt;='V06 Calend 01'!E56)),IF((166=('V06 Calend 01'!C56+(6*'V06 Calend 01'!E56))),('V06 Calend 01'!H56-('V06 Calend 01'!I56*('V06 Calend 01'!E56-1))),'V06 Calend 01'!I56),0))+IF((166='V06 Calend 01'!D56),'V06 Calend 01'!J56,0))</f>
        <v>0</v>
      </c>
      <c r="FW56" s="2">
        <f>((IF((167='V06 Calend 01'!C56),('V06 Calend 01'!F56+'V06 Calend 01'!G56),0)+IF(AND(('V06 Calend 01'!E56&gt;0),(167&gt;'V06 Calend 01'!C56),(167&lt;'V06 Calend 01'!D56),(MOD((167-'V06 Calend 01'!C56),6)=0),(((167-'V06 Calend 01'!C56)/6)&lt;='V06 Calend 01'!E56)),IF((167=('V06 Calend 01'!C56+(6*'V06 Calend 01'!E56))),('V06 Calend 01'!H56-('V06 Calend 01'!I56*('V06 Calend 01'!E56-1))),'V06 Calend 01'!I56),0))+IF((167='V06 Calend 01'!D56),'V06 Calend 01'!J56,0))</f>
        <v>0</v>
      </c>
      <c r="FX56" s="2">
        <f>((IF((168='V06 Calend 01'!C56),('V06 Calend 01'!F56+'V06 Calend 01'!G56),0)+IF(AND(('V06 Calend 01'!E56&gt;0),(168&gt;'V06 Calend 01'!C56),(168&lt;'V06 Calend 01'!D56),(MOD((168-'V06 Calend 01'!C56),6)=0),(((168-'V06 Calend 01'!C56)/6)&lt;='V06 Calend 01'!E56)),IF((168=('V06 Calend 01'!C56+(6*'V06 Calend 01'!E56))),('V06 Calend 01'!H56-('V06 Calend 01'!I56*('V06 Calend 01'!E56-1))),'V06 Calend 01'!I56),0))+IF((168='V06 Calend 01'!D56),'V06 Calend 01'!J56,0))</f>
        <v>0</v>
      </c>
      <c r="FY56" s="2">
        <f>((IF((169='V06 Calend 01'!C56),('V06 Calend 01'!F56+'V06 Calend 01'!G56),0)+IF(AND(('V06 Calend 01'!E56&gt;0),(169&gt;'V06 Calend 01'!C56),(169&lt;'V06 Calend 01'!D56),(MOD((169-'V06 Calend 01'!C56),6)=0),(((169-'V06 Calend 01'!C56)/6)&lt;='V06 Calend 01'!E56)),IF((169=('V06 Calend 01'!C56+(6*'V06 Calend 01'!E56))),('V06 Calend 01'!H56-('V06 Calend 01'!I56*('V06 Calend 01'!E56-1))),'V06 Calend 01'!I56),0))+IF((169='V06 Calend 01'!D56),'V06 Calend 01'!J56,0))</f>
        <v>0</v>
      </c>
      <c r="FZ56" s="2">
        <f>((IF((170='V06 Calend 01'!C56),('V06 Calend 01'!F56+'V06 Calend 01'!G56),0)+IF(AND(('V06 Calend 01'!E56&gt;0),(170&gt;'V06 Calend 01'!C56),(170&lt;'V06 Calend 01'!D56),(MOD((170-'V06 Calend 01'!C56),6)=0),(((170-'V06 Calend 01'!C56)/6)&lt;='V06 Calend 01'!E56)),IF((170=('V06 Calend 01'!C56+(6*'V06 Calend 01'!E56))),('V06 Calend 01'!H56-('V06 Calend 01'!I56*('V06 Calend 01'!E56-1))),'V06 Calend 01'!I56),0))+IF((170='V06 Calend 01'!D56),'V06 Calend 01'!J56,0))</f>
        <v>0</v>
      </c>
      <c r="GA56" s="2">
        <f>((IF((171='V06 Calend 01'!C56),('V06 Calend 01'!F56+'V06 Calend 01'!G56),0)+IF(AND(('V06 Calend 01'!E56&gt;0),(171&gt;'V06 Calend 01'!C56),(171&lt;'V06 Calend 01'!D56),(MOD((171-'V06 Calend 01'!C56),6)=0),(((171-'V06 Calend 01'!C56)/6)&lt;='V06 Calend 01'!E56)),IF((171=('V06 Calend 01'!C56+(6*'V06 Calend 01'!E56))),('V06 Calend 01'!H56-('V06 Calend 01'!I56*('V06 Calend 01'!E56-1))),'V06 Calend 01'!I56),0))+IF((171='V06 Calend 01'!D56),'V06 Calend 01'!J56,0))</f>
        <v>0</v>
      </c>
      <c r="GB56" s="2">
        <f>((IF((172='V06 Calend 01'!C56),('V06 Calend 01'!F56+'V06 Calend 01'!G56),0)+IF(AND(('V06 Calend 01'!E56&gt;0),(172&gt;'V06 Calend 01'!C56),(172&lt;'V06 Calend 01'!D56),(MOD((172-'V06 Calend 01'!C56),6)=0),(((172-'V06 Calend 01'!C56)/6)&lt;='V06 Calend 01'!E56)),IF((172=('V06 Calend 01'!C56+(6*'V06 Calend 01'!E56))),('V06 Calend 01'!H56-('V06 Calend 01'!I56*('V06 Calend 01'!E56-1))),'V06 Calend 01'!I56),0))+IF((172='V06 Calend 01'!D56),'V06 Calend 01'!J56,0))</f>
        <v>0</v>
      </c>
      <c r="GC56" s="2">
        <f>((IF((173='V06 Calend 01'!C56),('V06 Calend 01'!F56+'V06 Calend 01'!G56),0)+IF(AND(('V06 Calend 01'!E56&gt;0),(173&gt;'V06 Calend 01'!C56),(173&lt;'V06 Calend 01'!D56),(MOD((173-'V06 Calend 01'!C56),6)=0),(((173-'V06 Calend 01'!C56)/6)&lt;='V06 Calend 01'!E56)),IF((173=('V06 Calend 01'!C56+(6*'V06 Calend 01'!E56))),('V06 Calend 01'!H56-('V06 Calend 01'!I56*('V06 Calend 01'!E56-1))),'V06 Calend 01'!I56),0))+IF((173='V06 Calend 01'!D56),'V06 Calend 01'!J56,0))</f>
        <v>0</v>
      </c>
      <c r="GD56" s="2">
        <f>((IF((174='V06 Calend 01'!C56),('V06 Calend 01'!F56+'V06 Calend 01'!G56),0)+IF(AND(('V06 Calend 01'!E56&gt;0),(174&gt;'V06 Calend 01'!C56),(174&lt;'V06 Calend 01'!D56),(MOD((174-'V06 Calend 01'!C56),6)=0),(((174-'V06 Calend 01'!C56)/6)&lt;='V06 Calend 01'!E56)),IF((174=('V06 Calend 01'!C56+(6*'V06 Calend 01'!E56))),('V06 Calend 01'!H56-('V06 Calend 01'!I56*('V06 Calend 01'!E56-1))),'V06 Calend 01'!I56),0))+IF((174='V06 Calend 01'!D56),'V06 Calend 01'!J56,0))</f>
        <v>0</v>
      </c>
      <c r="GE56" s="2">
        <f>((IF((175='V06 Calend 01'!C56),('V06 Calend 01'!F56+'V06 Calend 01'!G56),0)+IF(AND(('V06 Calend 01'!E56&gt;0),(175&gt;'V06 Calend 01'!C56),(175&lt;'V06 Calend 01'!D56),(MOD((175-'V06 Calend 01'!C56),6)=0),(((175-'V06 Calend 01'!C56)/6)&lt;='V06 Calend 01'!E56)),IF((175=('V06 Calend 01'!C56+(6*'V06 Calend 01'!E56))),('V06 Calend 01'!H56-('V06 Calend 01'!I56*('V06 Calend 01'!E56-1))),'V06 Calend 01'!I56),0))+IF((175='V06 Calend 01'!D56),'V06 Calend 01'!J56,0))</f>
        <v>0</v>
      </c>
      <c r="GF56" s="2">
        <f>((IF((176='V06 Calend 01'!C56),('V06 Calend 01'!F56+'V06 Calend 01'!G56),0)+IF(AND(('V06 Calend 01'!E56&gt;0),(176&gt;'V06 Calend 01'!C56),(176&lt;'V06 Calend 01'!D56),(MOD((176-'V06 Calend 01'!C56),6)=0),(((176-'V06 Calend 01'!C56)/6)&lt;='V06 Calend 01'!E56)),IF((176=('V06 Calend 01'!C56+(6*'V06 Calend 01'!E56))),('V06 Calend 01'!H56-('V06 Calend 01'!I56*('V06 Calend 01'!E56-1))),'V06 Calend 01'!I56),0))+IF((176='V06 Calend 01'!D56),'V06 Calend 01'!J56,0))</f>
        <v>0</v>
      </c>
      <c r="GG56" s="2">
        <f>((IF((177='V06 Calend 01'!C56),('V06 Calend 01'!F56+'V06 Calend 01'!G56),0)+IF(AND(('V06 Calend 01'!E56&gt;0),(177&gt;'V06 Calend 01'!C56),(177&lt;'V06 Calend 01'!D56),(MOD((177-'V06 Calend 01'!C56),6)=0),(((177-'V06 Calend 01'!C56)/6)&lt;='V06 Calend 01'!E56)),IF((177=('V06 Calend 01'!C56+(6*'V06 Calend 01'!E56))),('V06 Calend 01'!H56-('V06 Calend 01'!I56*('V06 Calend 01'!E56-1))),'V06 Calend 01'!I56),0))+IF((177='V06 Calend 01'!D56),'V06 Calend 01'!J56,0))</f>
        <v>0</v>
      </c>
      <c r="GH56" s="2">
        <f>((IF((178='V06 Calend 01'!C56),('V06 Calend 01'!F56+'V06 Calend 01'!G56),0)+IF(AND(('V06 Calend 01'!E56&gt;0),(178&gt;'V06 Calend 01'!C56),(178&lt;'V06 Calend 01'!D56),(MOD((178-'V06 Calend 01'!C56),6)=0),(((178-'V06 Calend 01'!C56)/6)&lt;='V06 Calend 01'!E56)),IF((178=('V06 Calend 01'!C56+(6*'V06 Calend 01'!E56))),('V06 Calend 01'!H56-('V06 Calend 01'!I56*('V06 Calend 01'!E56-1))),'V06 Calend 01'!I56),0))+IF((178='V06 Calend 01'!D56),'V06 Calend 01'!J56,0))</f>
        <v>0</v>
      </c>
      <c r="GI56" s="2">
        <f>((IF((179='V06 Calend 01'!C56),('V06 Calend 01'!F56+'V06 Calend 01'!G56),0)+IF(AND(('V06 Calend 01'!E56&gt;0),(179&gt;'V06 Calend 01'!C56),(179&lt;'V06 Calend 01'!D56),(MOD((179-'V06 Calend 01'!C56),6)=0),(((179-'V06 Calend 01'!C56)/6)&lt;='V06 Calend 01'!E56)),IF((179=('V06 Calend 01'!C56+(6*'V06 Calend 01'!E56))),('V06 Calend 01'!H56-('V06 Calend 01'!I56*('V06 Calend 01'!E56-1))),'V06 Calend 01'!I56),0))+IF((179='V06 Calend 01'!D56),'V06 Calend 01'!J56,0))</f>
        <v>0</v>
      </c>
      <c r="GJ56" s="2">
        <f>((IF((180='V06 Calend 01'!C56),('V06 Calend 01'!F56+'V06 Calend 01'!G56),0)+IF(AND(('V06 Calend 01'!E56&gt;0),(180&gt;'V06 Calend 01'!C56),(180&lt;'V06 Calend 01'!D56),(MOD((180-'V06 Calend 01'!C56),6)=0),(((180-'V06 Calend 01'!C56)/6)&lt;='V06 Calend 01'!E56)),IF((180=('V06 Calend 01'!C56+(6*'V06 Calend 01'!E56))),('V06 Calend 01'!H56-('V06 Calend 01'!I56*('V06 Calend 01'!E56-1))),'V06 Calend 01'!I56),0))+IF((180='V06 Calend 01'!D56),'V06 Calend 01'!J56,0))</f>
        <v>0</v>
      </c>
    </row>
    <row r="57" spans="1:192">
      <c r="A57" s="3" t="str">
        <f>'V06 Unidades'!$A$57</f>
        <v>703</v>
      </c>
      <c r="B57" s="2">
        <f>'V06 Unidades'!$H$57</f>
        <v>337968.59</v>
      </c>
      <c r="C57" s="4">
        <f>('V06 Unidades'!$I$57+'V06 Controlos'!$B$37)</f>
        <v>10</v>
      </c>
      <c r="D57" s="4">
        <f>IF(('V06 Controlos'!$B$38&gt;0),MAX(('V06 Unidades'!$L$57+'V06 Controlos'!$B$37),(30+'V06 Controlos'!$B$38)),('V06 Unidades'!$L$57+'V06 Controlos'!$B$37))</f>
        <v>29</v>
      </c>
      <c r="E57" s="4">
        <f>MAX(0,INT(((('V06 Calend 01'!D57-'V06 Calend 01'!C57)-1)/6)))</f>
        <v>3</v>
      </c>
      <c r="F57" s="2">
        <f>ROUND(('V06 Calend 01'!B57*0.05),2)</f>
        <v>16898.43</v>
      </c>
      <c r="G57" s="2">
        <f>ROUND(('V06 Calend 01'!B57*0.2),2)</f>
        <v>67593.72</v>
      </c>
      <c r="H57" s="2">
        <f>ROUND(('V06 Calend 01'!B57*0.55),2)</f>
        <v>185882.72</v>
      </c>
      <c r="I57" s="2">
        <f>ROUND(('V06 Calend 01'!H57/MAX(1,'V06 Calend 01'!E57)),2)</f>
        <v>61960.91</v>
      </c>
      <c r="J57" s="2">
        <f>((('V06 Calend 01'!B57-'V06 Calend 01'!F57)-'V06 Calend 01'!G57)-'V06 Calend 01'!H57)</f>
        <v>67593.72000000003</v>
      </c>
      <c r="K57" s="2">
        <f>('V06 Calend 01'!B57*0.025)</f>
        <v>8449.214750000001</v>
      </c>
      <c r="L57" t="s">
        <v>378</v>
      </c>
      <c r="M57" s="2">
        <f>((IF((1='V06 Calend 01'!C57),('V06 Calend 01'!F57+'V06 Calend 01'!G57),0)+IF(AND(('V06 Calend 01'!E57&gt;0),(1&gt;'V06 Calend 01'!C57),(1&lt;'V06 Calend 01'!D57),(MOD((1-'V06 Calend 01'!C57),6)=0),(((1-'V06 Calend 01'!C57)/6)&lt;='V06 Calend 01'!E57)),IF((1=('V06 Calend 01'!C57+(6*'V06 Calend 01'!E57))),('V06 Calend 01'!H57-('V06 Calend 01'!I57*('V06 Calend 01'!E57-1))),'V06 Calend 01'!I57),0))+IF((1='V06 Calend 01'!D57),'V06 Calend 01'!J57,0))</f>
        <v>0</v>
      </c>
      <c r="N57" s="2">
        <f>((IF((2='V06 Calend 01'!C57),('V06 Calend 01'!F57+'V06 Calend 01'!G57),0)+IF(AND(('V06 Calend 01'!E57&gt;0),(2&gt;'V06 Calend 01'!C57),(2&lt;'V06 Calend 01'!D57),(MOD((2-'V06 Calend 01'!C57),6)=0),(((2-'V06 Calend 01'!C57)/6)&lt;='V06 Calend 01'!E57)),IF((2=('V06 Calend 01'!C57+(6*'V06 Calend 01'!E57))),('V06 Calend 01'!H57-('V06 Calend 01'!I57*('V06 Calend 01'!E57-1))),'V06 Calend 01'!I57),0))+IF((2='V06 Calend 01'!D57),'V06 Calend 01'!J57,0))</f>
        <v>0</v>
      </c>
      <c r="O57" s="2">
        <f>((IF((3='V06 Calend 01'!C57),('V06 Calend 01'!F57+'V06 Calend 01'!G57),0)+IF(AND(('V06 Calend 01'!E57&gt;0),(3&gt;'V06 Calend 01'!C57),(3&lt;'V06 Calend 01'!D57),(MOD((3-'V06 Calend 01'!C57),6)=0),(((3-'V06 Calend 01'!C57)/6)&lt;='V06 Calend 01'!E57)),IF((3=('V06 Calend 01'!C57+(6*'V06 Calend 01'!E57))),('V06 Calend 01'!H57-('V06 Calend 01'!I57*('V06 Calend 01'!E57-1))),'V06 Calend 01'!I57),0))+IF((3='V06 Calend 01'!D57),'V06 Calend 01'!J57,0))</f>
        <v>0</v>
      </c>
      <c r="P57" s="2">
        <f>((IF((4='V06 Calend 01'!C57),('V06 Calend 01'!F57+'V06 Calend 01'!G57),0)+IF(AND(('V06 Calend 01'!E57&gt;0),(4&gt;'V06 Calend 01'!C57),(4&lt;'V06 Calend 01'!D57),(MOD((4-'V06 Calend 01'!C57),6)=0),(((4-'V06 Calend 01'!C57)/6)&lt;='V06 Calend 01'!E57)),IF((4=('V06 Calend 01'!C57+(6*'V06 Calend 01'!E57))),('V06 Calend 01'!H57-('V06 Calend 01'!I57*('V06 Calend 01'!E57-1))),'V06 Calend 01'!I57),0))+IF((4='V06 Calend 01'!D57),'V06 Calend 01'!J57,0))</f>
        <v>0</v>
      </c>
      <c r="Q57" s="2">
        <f>((IF((5='V06 Calend 01'!C57),('V06 Calend 01'!F57+'V06 Calend 01'!G57),0)+IF(AND(('V06 Calend 01'!E57&gt;0),(5&gt;'V06 Calend 01'!C57),(5&lt;'V06 Calend 01'!D57),(MOD((5-'V06 Calend 01'!C57),6)=0),(((5-'V06 Calend 01'!C57)/6)&lt;='V06 Calend 01'!E57)),IF((5=('V06 Calend 01'!C57+(6*'V06 Calend 01'!E57))),('V06 Calend 01'!H57-('V06 Calend 01'!I57*('V06 Calend 01'!E57-1))),'V06 Calend 01'!I57),0))+IF((5='V06 Calend 01'!D57),'V06 Calend 01'!J57,0))</f>
        <v>0</v>
      </c>
      <c r="R57" s="2">
        <f>((IF((6='V06 Calend 01'!C57),('V06 Calend 01'!F57+'V06 Calend 01'!G57),0)+IF(AND(('V06 Calend 01'!E57&gt;0),(6&gt;'V06 Calend 01'!C57),(6&lt;'V06 Calend 01'!D57),(MOD((6-'V06 Calend 01'!C57),6)=0),(((6-'V06 Calend 01'!C57)/6)&lt;='V06 Calend 01'!E57)),IF((6=('V06 Calend 01'!C57+(6*'V06 Calend 01'!E57))),('V06 Calend 01'!H57-('V06 Calend 01'!I57*('V06 Calend 01'!E57-1))),'V06 Calend 01'!I57),0))+IF((6='V06 Calend 01'!D57),'V06 Calend 01'!J57,0))</f>
        <v>0</v>
      </c>
      <c r="S57" s="2">
        <f>((IF((7='V06 Calend 01'!C57),('V06 Calend 01'!F57+'V06 Calend 01'!G57),0)+IF(AND(('V06 Calend 01'!E57&gt;0),(7&gt;'V06 Calend 01'!C57),(7&lt;'V06 Calend 01'!D57),(MOD((7-'V06 Calend 01'!C57),6)=0),(((7-'V06 Calend 01'!C57)/6)&lt;='V06 Calend 01'!E57)),IF((7=('V06 Calend 01'!C57+(6*'V06 Calend 01'!E57))),('V06 Calend 01'!H57-('V06 Calend 01'!I57*('V06 Calend 01'!E57-1))),'V06 Calend 01'!I57),0))+IF((7='V06 Calend 01'!D57),'V06 Calend 01'!J57,0))</f>
        <v>0</v>
      </c>
      <c r="T57" s="2">
        <f>((IF((8='V06 Calend 01'!C57),('V06 Calend 01'!F57+'V06 Calend 01'!G57),0)+IF(AND(('V06 Calend 01'!E57&gt;0),(8&gt;'V06 Calend 01'!C57),(8&lt;'V06 Calend 01'!D57),(MOD((8-'V06 Calend 01'!C57),6)=0),(((8-'V06 Calend 01'!C57)/6)&lt;='V06 Calend 01'!E57)),IF((8=('V06 Calend 01'!C57+(6*'V06 Calend 01'!E57))),('V06 Calend 01'!H57-('V06 Calend 01'!I57*('V06 Calend 01'!E57-1))),'V06 Calend 01'!I57),0))+IF((8='V06 Calend 01'!D57),'V06 Calend 01'!J57,0))</f>
        <v>0</v>
      </c>
      <c r="U57" s="2">
        <f>((IF((9='V06 Calend 01'!C57),('V06 Calend 01'!F57+'V06 Calend 01'!G57),0)+IF(AND(('V06 Calend 01'!E57&gt;0),(9&gt;'V06 Calend 01'!C57),(9&lt;'V06 Calend 01'!D57),(MOD((9-'V06 Calend 01'!C57),6)=0),(((9-'V06 Calend 01'!C57)/6)&lt;='V06 Calend 01'!E57)),IF((9=('V06 Calend 01'!C57+(6*'V06 Calend 01'!E57))),('V06 Calend 01'!H57-('V06 Calend 01'!I57*('V06 Calend 01'!E57-1))),'V06 Calend 01'!I57),0))+IF((9='V06 Calend 01'!D57),'V06 Calend 01'!J57,0))</f>
        <v>0</v>
      </c>
      <c r="V57" s="2">
        <f>((IF((10='V06 Calend 01'!C57),('V06 Calend 01'!F57+'V06 Calend 01'!G57),0)+IF(AND(('V06 Calend 01'!E57&gt;0),(10&gt;'V06 Calend 01'!C57),(10&lt;'V06 Calend 01'!D57),(MOD((10-'V06 Calend 01'!C57),6)=0),(((10-'V06 Calend 01'!C57)/6)&lt;='V06 Calend 01'!E57)),IF((10=('V06 Calend 01'!C57+(6*'V06 Calend 01'!E57))),('V06 Calend 01'!H57-('V06 Calend 01'!I57*('V06 Calend 01'!E57-1))),'V06 Calend 01'!I57),0))+IF((10='V06 Calend 01'!D57),'V06 Calend 01'!J57,0))</f>
        <v>84492.15</v>
      </c>
      <c r="W57" s="2">
        <f>((IF((11='V06 Calend 01'!C57),('V06 Calend 01'!F57+'V06 Calend 01'!G57),0)+IF(AND(('V06 Calend 01'!E57&gt;0),(11&gt;'V06 Calend 01'!C57),(11&lt;'V06 Calend 01'!D57),(MOD((11-'V06 Calend 01'!C57),6)=0),(((11-'V06 Calend 01'!C57)/6)&lt;='V06 Calend 01'!E57)),IF((11=('V06 Calend 01'!C57+(6*'V06 Calend 01'!E57))),('V06 Calend 01'!H57-('V06 Calend 01'!I57*('V06 Calend 01'!E57-1))),'V06 Calend 01'!I57),0))+IF((11='V06 Calend 01'!D57),'V06 Calend 01'!J57,0))</f>
        <v>0</v>
      </c>
      <c r="X57" s="2">
        <f>((IF((12='V06 Calend 01'!C57),('V06 Calend 01'!F57+'V06 Calend 01'!G57),0)+IF(AND(('V06 Calend 01'!E57&gt;0),(12&gt;'V06 Calend 01'!C57),(12&lt;'V06 Calend 01'!D57),(MOD((12-'V06 Calend 01'!C57),6)=0),(((12-'V06 Calend 01'!C57)/6)&lt;='V06 Calend 01'!E57)),IF((12=('V06 Calend 01'!C57+(6*'V06 Calend 01'!E57))),('V06 Calend 01'!H57-('V06 Calend 01'!I57*('V06 Calend 01'!E57-1))),'V06 Calend 01'!I57),0))+IF((12='V06 Calend 01'!D57),'V06 Calend 01'!J57,0))</f>
        <v>0</v>
      </c>
      <c r="Y57" s="2">
        <f>((IF((13='V06 Calend 01'!C57),('V06 Calend 01'!F57+'V06 Calend 01'!G57),0)+IF(AND(('V06 Calend 01'!E57&gt;0),(13&gt;'V06 Calend 01'!C57),(13&lt;'V06 Calend 01'!D57),(MOD((13-'V06 Calend 01'!C57),6)=0),(((13-'V06 Calend 01'!C57)/6)&lt;='V06 Calend 01'!E57)),IF((13=('V06 Calend 01'!C57+(6*'V06 Calend 01'!E57))),('V06 Calend 01'!H57-('V06 Calend 01'!I57*('V06 Calend 01'!E57-1))),'V06 Calend 01'!I57),0))+IF((13='V06 Calend 01'!D57),'V06 Calend 01'!J57,0))</f>
        <v>0</v>
      </c>
      <c r="Z57" s="2">
        <f>((IF((14='V06 Calend 01'!C57),('V06 Calend 01'!F57+'V06 Calend 01'!G57),0)+IF(AND(('V06 Calend 01'!E57&gt;0),(14&gt;'V06 Calend 01'!C57),(14&lt;'V06 Calend 01'!D57),(MOD((14-'V06 Calend 01'!C57),6)=0),(((14-'V06 Calend 01'!C57)/6)&lt;='V06 Calend 01'!E57)),IF((14=('V06 Calend 01'!C57+(6*'V06 Calend 01'!E57))),('V06 Calend 01'!H57-('V06 Calend 01'!I57*('V06 Calend 01'!E57-1))),'V06 Calend 01'!I57),0))+IF((14='V06 Calend 01'!D57),'V06 Calend 01'!J57,0))</f>
        <v>0</v>
      </c>
      <c r="AA57" s="2">
        <f>((IF((15='V06 Calend 01'!C57),('V06 Calend 01'!F57+'V06 Calend 01'!G57),0)+IF(AND(('V06 Calend 01'!E57&gt;0),(15&gt;'V06 Calend 01'!C57),(15&lt;'V06 Calend 01'!D57),(MOD((15-'V06 Calend 01'!C57),6)=0),(((15-'V06 Calend 01'!C57)/6)&lt;='V06 Calend 01'!E57)),IF((15=('V06 Calend 01'!C57+(6*'V06 Calend 01'!E57))),('V06 Calend 01'!H57-('V06 Calend 01'!I57*('V06 Calend 01'!E57-1))),'V06 Calend 01'!I57),0))+IF((15='V06 Calend 01'!D57),'V06 Calend 01'!J57,0))</f>
        <v>0</v>
      </c>
      <c r="AB57" s="2">
        <f>((IF((16='V06 Calend 01'!C57),('V06 Calend 01'!F57+'V06 Calend 01'!G57),0)+IF(AND(('V06 Calend 01'!E57&gt;0),(16&gt;'V06 Calend 01'!C57),(16&lt;'V06 Calend 01'!D57),(MOD((16-'V06 Calend 01'!C57),6)=0),(((16-'V06 Calend 01'!C57)/6)&lt;='V06 Calend 01'!E57)),IF((16=('V06 Calend 01'!C57+(6*'V06 Calend 01'!E57))),('V06 Calend 01'!H57-('V06 Calend 01'!I57*('V06 Calend 01'!E57-1))),'V06 Calend 01'!I57),0))+IF((16='V06 Calend 01'!D57),'V06 Calend 01'!J57,0))</f>
        <v>61960.91</v>
      </c>
      <c r="AC57" s="2">
        <f>((IF((17='V06 Calend 01'!C57),('V06 Calend 01'!F57+'V06 Calend 01'!G57),0)+IF(AND(('V06 Calend 01'!E57&gt;0),(17&gt;'V06 Calend 01'!C57),(17&lt;'V06 Calend 01'!D57),(MOD((17-'V06 Calend 01'!C57),6)=0),(((17-'V06 Calend 01'!C57)/6)&lt;='V06 Calend 01'!E57)),IF((17=('V06 Calend 01'!C57+(6*'V06 Calend 01'!E57))),('V06 Calend 01'!H57-('V06 Calend 01'!I57*('V06 Calend 01'!E57-1))),'V06 Calend 01'!I57),0))+IF((17='V06 Calend 01'!D57),'V06 Calend 01'!J57,0))</f>
        <v>0</v>
      </c>
      <c r="AD57" s="2">
        <f>((IF((18='V06 Calend 01'!C57),('V06 Calend 01'!F57+'V06 Calend 01'!G57),0)+IF(AND(('V06 Calend 01'!E57&gt;0),(18&gt;'V06 Calend 01'!C57),(18&lt;'V06 Calend 01'!D57),(MOD((18-'V06 Calend 01'!C57),6)=0),(((18-'V06 Calend 01'!C57)/6)&lt;='V06 Calend 01'!E57)),IF((18=('V06 Calend 01'!C57+(6*'V06 Calend 01'!E57))),('V06 Calend 01'!H57-('V06 Calend 01'!I57*('V06 Calend 01'!E57-1))),'V06 Calend 01'!I57),0))+IF((18='V06 Calend 01'!D57),'V06 Calend 01'!J57,0))</f>
        <v>0</v>
      </c>
      <c r="AE57" s="2">
        <f>((IF((19='V06 Calend 01'!C57),('V06 Calend 01'!F57+'V06 Calend 01'!G57),0)+IF(AND(('V06 Calend 01'!E57&gt;0),(19&gt;'V06 Calend 01'!C57),(19&lt;'V06 Calend 01'!D57),(MOD((19-'V06 Calend 01'!C57),6)=0),(((19-'V06 Calend 01'!C57)/6)&lt;='V06 Calend 01'!E57)),IF((19=('V06 Calend 01'!C57+(6*'V06 Calend 01'!E57))),('V06 Calend 01'!H57-('V06 Calend 01'!I57*('V06 Calend 01'!E57-1))),'V06 Calend 01'!I57),0))+IF((19='V06 Calend 01'!D57),'V06 Calend 01'!J57,0))</f>
        <v>0</v>
      </c>
      <c r="AF57" s="2">
        <f>((IF((20='V06 Calend 01'!C57),('V06 Calend 01'!F57+'V06 Calend 01'!G57),0)+IF(AND(('V06 Calend 01'!E57&gt;0),(20&gt;'V06 Calend 01'!C57),(20&lt;'V06 Calend 01'!D57),(MOD((20-'V06 Calend 01'!C57),6)=0),(((20-'V06 Calend 01'!C57)/6)&lt;='V06 Calend 01'!E57)),IF((20=('V06 Calend 01'!C57+(6*'V06 Calend 01'!E57))),('V06 Calend 01'!H57-('V06 Calend 01'!I57*('V06 Calend 01'!E57-1))),'V06 Calend 01'!I57),0))+IF((20='V06 Calend 01'!D57),'V06 Calend 01'!J57,0))</f>
        <v>0</v>
      </c>
      <c r="AG57" s="2">
        <f>((IF((21='V06 Calend 01'!C57),('V06 Calend 01'!F57+'V06 Calend 01'!G57),0)+IF(AND(('V06 Calend 01'!E57&gt;0),(21&gt;'V06 Calend 01'!C57),(21&lt;'V06 Calend 01'!D57),(MOD((21-'V06 Calend 01'!C57),6)=0),(((21-'V06 Calend 01'!C57)/6)&lt;='V06 Calend 01'!E57)),IF((21=('V06 Calend 01'!C57+(6*'V06 Calend 01'!E57))),('V06 Calend 01'!H57-('V06 Calend 01'!I57*('V06 Calend 01'!E57-1))),'V06 Calend 01'!I57),0))+IF((21='V06 Calend 01'!D57),'V06 Calend 01'!J57,0))</f>
        <v>0</v>
      </c>
      <c r="AH57" s="2">
        <f>((IF((22='V06 Calend 01'!C57),('V06 Calend 01'!F57+'V06 Calend 01'!G57),0)+IF(AND(('V06 Calend 01'!E57&gt;0),(22&gt;'V06 Calend 01'!C57),(22&lt;'V06 Calend 01'!D57),(MOD((22-'V06 Calend 01'!C57),6)=0),(((22-'V06 Calend 01'!C57)/6)&lt;='V06 Calend 01'!E57)),IF((22=('V06 Calend 01'!C57+(6*'V06 Calend 01'!E57))),('V06 Calend 01'!H57-('V06 Calend 01'!I57*('V06 Calend 01'!E57-1))),'V06 Calend 01'!I57),0))+IF((22='V06 Calend 01'!D57),'V06 Calend 01'!J57,0))</f>
        <v>61960.91</v>
      </c>
      <c r="AI57" s="2">
        <f>((IF((23='V06 Calend 01'!C57),('V06 Calend 01'!F57+'V06 Calend 01'!G57),0)+IF(AND(('V06 Calend 01'!E57&gt;0),(23&gt;'V06 Calend 01'!C57),(23&lt;'V06 Calend 01'!D57),(MOD((23-'V06 Calend 01'!C57),6)=0),(((23-'V06 Calend 01'!C57)/6)&lt;='V06 Calend 01'!E57)),IF((23=('V06 Calend 01'!C57+(6*'V06 Calend 01'!E57))),('V06 Calend 01'!H57-('V06 Calend 01'!I57*('V06 Calend 01'!E57-1))),'V06 Calend 01'!I57),0))+IF((23='V06 Calend 01'!D57),'V06 Calend 01'!J57,0))</f>
        <v>0</v>
      </c>
      <c r="AJ57" s="2">
        <f>((IF((24='V06 Calend 01'!C57),('V06 Calend 01'!F57+'V06 Calend 01'!G57),0)+IF(AND(('V06 Calend 01'!E57&gt;0),(24&gt;'V06 Calend 01'!C57),(24&lt;'V06 Calend 01'!D57),(MOD((24-'V06 Calend 01'!C57),6)=0),(((24-'V06 Calend 01'!C57)/6)&lt;='V06 Calend 01'!E57)),IF((24=('V06 Calend 01'!C57+(6*'V06 Calend 01'!E57))),('V06 Calend 01'!H57-('V06 Calend 01'!I57*('V06 Calend 01'!E57-1))),'V06 Calend 01'!I57),0))+IF((24='V06 Calend 01'!D57),'V06 Calend 01'!J57,0))</f>
        <v>0</v>
      </c>
      <c r="AK57" s="2">
        <f>((IF((25='V06 Calend 01'!C57),('V06 Calend 01'!F57+'V06 Calend 01'!G57),0)+IF(AND(('V06 Calend 01'!E57&gt;0),(25&gt;'V06 Calend 01'!C57),(25&lt;'V06 Calend 01'!D57),(MOD((25-'V06 Calend 01'!C57),6)=0),(((25-'V06 Calend 01'!C57)/6)&lt;='V06 Calend 01'!E57)),IF((25=('V06 Calend 01'!C57+(6*'V06 Calend 01'!E57))),('V06 Calend 01'!H57-('V06 Calend 01'!I57*('V06 Calend 01'!E57-1))),'V06 Calend 01'!I57),0))+IF((25='V06 Calend 01'!D57),'V06 Calend 01'!J57,0))</f>
        <v>0</v>
      </c>
      <c r="AL57" s="2">
        <f>((IF((26='V06 Calend 01'!C57),('V06 Calend 01'!F57+'V06 Calend 01'!G57),0)+IF(AND(('V06 Calend 01'!E57&gt;0),(26&gt;'V06 Calend 01'!C57),(26&lt;'V06 Calend 01'!D57),(MOD((26-'V06 Calend 01'!C57),6)=0),(((26-'V06 Calend 01'!C57)/6)&lt;='V06 Calend 01'!E57)),IF((26=('V06 Calend 01'!C57+(6*'V06 Calend 01'!E57))),('V06 Calend 01'!H57-('V06 Calend 01'!I57*('V06 Calend 01'!E57-1))),'V06 Calend 01'!I57),0))+IF((26='V06 Calend 01'!D57),'V06 Calend 01'!J57,0))</f>
        <v>0</v>
      </c>
      <c r="AM57" s="2">
        <f>((IF((27='V06 Calend 01'!C57),('V06 Calend 01'!F57+'V06 Calend 01'!G57),0)+IF(AND(('V06 Calend 01'!E57&gt;0),(27&gt;'V06 Calend 01'!C57),(27&lt;'V06 Calend 01'!D57),(MOD((27-'V06 Calend 01'!C57),6)=0),(((27-'V06 Calend 01'!C57)/6)&lt;='V06 Calend 01'!E57)),IF((27=('V06 Calend 01'!C57+(6*'V06 Calend 01'!E57))),('V06 Calend 01'!H57-('V06 Calend 01'!I57*('V06 Calend 01'!E57-1))),'V06 Calend 01'!I57),0))+IF((27='V06 Calend 01'!D57),'V06 Calend 01'!J57,0))</f>
        <v>0</v>
      </c>
      <c r="AN57" s="2">
        <f>((IF((28='V06 Calend 01'!C57),('V06 Calend 01'!F57+'V06 Calend 01'!G57),0)+IF(AND(('V06 Calend 01'!E57&gt;0),(28&gt;'V06 Calend 01'!C57),(28&lt;'V06 Calend 01'!D57),(MOD((28-'V06 Calend 01'!C57),6)=0),(((28-'V06 Calend 01'!C57)/6)&lt;='V06 Calend 01'!E57)),IF((28=('V06 Calend 01'!C57+(6*'V06 Calend 01'!E57))),('V06 Calend 01'!H57-('V06 Calend 01'!I57*('V06 Calend 01'!E57-1))),'V06 Calend 01'!I57),0))+IF((28='V06 Calend 01'!D57),'V06 Calend 01'!J57,0))</f>
        <v>61960.899999999994</v>
      </c>
      <c r="AO57" s="2">
        <f>((IF((29='V06 Calend 01'!C57),('V06 Calend 01'!F57+'V06 Calend 01'!G57),0)+IF(AND(('V06 Calend 01'!E57&gt;0),(29&gt;'V06 Calend 01'!C57),(29&lt;'V06 Calend 01'!D57),(MOD((29-'V06 Calend 01'!C57),6)=0),(((29-'V06 Calend 01'!C57)/6)&lt;='V06 Calend 01'!E57)),IF((29=('V06 Calend 01'!C57+(6*'V06 Calend 01'!E57))),('V06 Calend 01'!H57-('V06 Calend 01'!I57*('V06 Calend 01'!E57-1))),'V06 Calend 01'!I57),0))+IF((29='V06 Calend 01'!D57),'V06 Calend 01'!J57,0))</f>
        <v>67593.72000000003</v>
      </c>
      <c r="AP57" s="2">
        <f>((IF((30='V06 Calend 01'!C57),('V06 Calend 01'!F57+'V06 Calend 01'!G57),0)+IF(AND(('V06 Calend 01'!E57&gt;0),(30&gt;'V06 Calend 01'!C57),(30&lt;'V06 Calend 01'!D57),(MOD((30-'V06 Calend 01'!C57),6)=0),(((30-'V06 Calend 01'!C57)/6)&lt;='V06 Calend 01'!E57)),IF((30=('V06 Calend 01'!C57+(6*'V06 Calend 01'!E57))),('V06 Calend 01'!H57-('V06 Calend 01'!I57*('V06 Calend 01'!E57-1))),'V06 Calend 01'!I57),0))+IF((30='V06 Calend 01'!D57),'V06 Calend 01'!J57,0))</f>
        <v>0</v>
      </c>
      <c r="AQ57" s="2">
        <f>((IF((31='V06 Calend 01'!C57),('V06 Calend 01'!F57+'V06 Calend 01'!G57),0)+IF(AND(('V06 Calend 01'!E57&gt;0),(31&gt;'V06 Calend 01'!C57),(31&lt;'V06 Calend 01'!D57),(MOD((31-'V06 Calend 01'!C57),6)=0),(((31-'V06 Calend 01'!C57)/6)&lt;='V06 Calend 01'!E57)),IF((31=('V06 Calend 01'!C57+(6*'V06 Calend 01'!E57))),('V06 Calend 01'!H57-('V06 Calend 01'!I57*('V06 Calend 01'!E57-1))),'V06 Calend 01'!I57),0))+IF((31='V06 Calend 01'!D57),'V06 Calend 01'!J57,0))</f>
        <v>0</v>
      </c>
      <c r="AR57" s="2">
        <f>((IF((32='V06 Calend 01'!C57),('V06 Calend 01'!F57+'V06 Calend 01'!G57),0)+IF(AND(('V06 Calend 01'!E57&gt;0),(32&gt;'V06 Calend 01'!C57),(32&lt;'V06 Calend 01'!D57),(MOD((32-'V06 Calend 01'!C57),6)=0),(((32-'V06 Calend 01'!C57)/6)&lt;='V06 Calend 01'!E57)),IF((32=('V06 Calend 01'!C57+(6*'V06 Calend 01'!E57))),('V06 Calend 01'!H57-('V06 Calend 01'!I57*('V06 Calend 01'!E57-1))),'V06 Calend 01'!I57),0))+IF((32='V06 Calend 01'!D57),'V06 Calend 01'!J57,0))</f>
        <v>0</v>
      </c>
      <c r="AS57" s="2">
        <f>((IF((33='V06 Calend 01'!C57),('V06 Calend 01'!F57+'V06 Calend 01'!G57),0)+IF(AND(('V06 Calend 01'!E57&gt;0),(33&gt;'V06 Calend 01'!C57),(33&lt;'V06 Calend 01'!D57),(MOD((33-'V06 Calend 01'!C57),6)=0),(((33-'V06 Calend 01'!C57)/6)&lt;='V06 Calend 01'!E57)),IF((33=('V06 Calend 01'!C57+(6*'V06 Calend 01'!E57))),('V06 Calend 01'!H57-('V06 Calend 01'!I57*('V06 Calend 01'!E57-1))),'V06 Calend 01'!I57),0))+IF((33='V06 Calend 01'!D57),'V06 Calend 01'!J57,0))</f>
        <v>0</v>
      </c>
      <c r="AT57" s="2">
        <f>((IF((34='V06 Calend 01'!C57),('V06 Calend 01'!F57+'V06 Calend 01'!G57),0)+IF(AND(('V06 Calend 01'!E57&gt;0),(34&gt;'V06 Calend 01'!C57),(34&lt;'V06 Calend 01'!D57),(MOD((34-'V06 Calend 01'!C57),6)=0),(((34-'V06 Calend 01'!C57)/6)&lt;='V06 Calend 01'!E57)),IF((34=('V06 Calend 01'!C57+(6*'V06 Calend 01'!E57))),('V06 Calend 01'!H57-('V06 Calend 01'!I57*('V06 Calend 01'!E57-1))),'V06 Calend 01'!I57),0))+IF((34='V06 Calend 01'!D57),'V06 Calend 01'!J57,0))</f>
        <v>0</v>
      </c>
      <c r="AU57" s="2">
        <f>((IF((35='V06 Calend 01'!C57),('V06 Calend 01'!F57+'V06 Calend 01'!G57),0)+IF(AND(('V06 Calend 01'!E57&gt;0),(35&gt;'V06 Calend 01'!C57),(35&lt;'V06 Calend 01'!D57),(MOD((35-'V06 Calend 01'!C57),6)=0),(((35-'V06 Calend 01'!C57)/6)&lt;='V06 Calend 01'!E57)),IF((35=('V06 Calend 01'!C57+(6*'V06 Calend 01'!E57))),('V06 Calend 01'!H57-('V06 Calend 01'!I57*('V06 Calend 01'!E57-1))),'V06 Calend 01'!I57),0))+IF((35='V06 Calend 01'!D57),'V06 Calend 01'!J57,0))</f>
        <v>0</v>
      </c>
      <c r="AV57" s="2">
        <f>((IF((36='V06 Calend 01'!C57),('V06 Calend 01'!F57+'V06 Calend 01'!G57),0)+IF(AND(('V06 Calend 01'!E57&gt;0),(36&gt;'V06 Calend 01'!C57),(36&lt;'V06 Calend 01'!D57),(MOD((36-'V06 Calend 01'!C57),6)=0),(((36-'V06 Calend 01'!C57)/6)&lt;='V06 Calend 01'!E57)),IF((36=('V06 Calend 01'!C57+(6*'V06 Calend 01'!E57))),('V06 Calend 01'!H57-('V06 Calend 01'!I57*('V06 Calend 01'!E57-1))),'V06 Calend 01'!I57),0))+IF((36='V06 Calend 01'!D57),'V06 Calend 01'!J57,0))</f>
        <v>0</v>
      </c>
      <c r="AW57" s="2">
        <f>((IF((37='V06 Calend 01'!C57),('V06 Calend 01'!F57+'V06 Calend 01'!G57),0)+IF(AND(('V06 Calend 01'!E57&gt;0),(37&gt;'V06 Calend 01'!C57),(37&lt;'V06 Calend 01'!D57),(MOD((37-'V06 Calend 01'!C57),6)=0),(((37-'V06 Calend 01'!C57)/6)&lt;='V06 Calend 01'!E57)),IF((37=('V06 Calend 01'!C57+(6*'V06 Calend 01'!E57))),('V06 Calend 01'!H57-('V06 Calend 01'!I57*('V06 Calend 01'!E57-1))),'V06 Calend 01'!I57),0))+IF((37='V06 Calend 01'!D57),'V06 Calend 01'!J57,0))</f>
        <v>0</v>
      </c>
      <c r="AX57" s="2">
        <f>((IF((38='V06 Calend 01'!C57),('V06 Calend 01'!F57+'V06 Calend 01'!G57),0)+IF(AND(('V06 Calend 01'!E57&gt;0),(38&gt;'V06 Calend 01'!C57),(38&lt;'V06 Calend 01'!D57),(MOD((38-'V06 Calend 01'!C57),6)=0),(((38-'V06 Calend 01'!C57)/6)&lt;='V06 Calend 01'!E57)),IF((38=('V06 Calend 01'!C57+(6*'V06 Calend 01'!E57))),('V06 Calend 01'!H57-('V06 Calend 01'!I57*('V06 Calend 01'!E57-1))),'V06 Calend 01'!I57),0))+IF((38='V06 Calend 01'!D57),'V06 Calend 01'!J57,0))</f>
        <v>0</v>
      </c>
      <c r="AY57" s="2">
        <f>((IF((39='V06 Calend 01'!C57),('V06 Calend 01'!F57+'V06 Calend 01'!G57),0)+IF(AND(('V06 Calend 01'!E57&gt;0),(39&gt;'V06 Calend 01'!C57),(39&lt;'V06 Calend 01'!D57),(MOD((39-'V06 Calend 01'!C57),6)=0),(((39-'V06 Calend 01'!C57)/6)&lt;='V06 Calend 01'!E57)),IF((39=('V06 Calend 01'!C57+(6*'V06 Calend 01'!E57))),('V06 Calend 01'!H57-('V06 Calend 01'!I57*('V06 Calend 01'!E57-1))),'V06 Calend 01'!I57),0))+IF((39='V06 Calend 01'!D57),'V06 Calend 01'!J57,0))</f>
        <v>0</v>
      </c>
      <c r="AZ57" s="2">
        <f>((IF((40='V06 Calend 01'!C57),('V06 Calend 01'!F57+'V06 Calend 01'!G57),0)+IF(AND(('V06 Calend 01'!E57&gt;0),(40&gt;'V06 Calend 01'!C57),(40&lt;'V06 Calend 01'!D57),(MOD((40-'V06 Calend 01'!C57),6)=0),(((40-'V06 Calend 01'!C57)/6)&lt;='V06 Calend 01'!E57)),IF((40=('V06 Calend 01'!C57+(6*'V06 Calend 01'!E57))),('V06 Calend 01'!H57-('V06 Calend 01'!I57*('V06 Calend 01'!E57-1))),'V06 Calend 01'!I57),0))+IF((40='V06 Calend 01'!D57),'V06 Calend 01'!J57,0))</f>
        <v>0</v>
      </c>
      <c r="BA57" s="2">
        <f>((IF((41='V06 Calend 01'!C57),('V06 Calend 01'!F57+'V06 Calend 01'!G57),0)+IF(AND(('V06 Calend 01'!E57&gt;0),(41&gt;'V06 Calend 01'!C57),(41&lt;'V06 Calend 01'!D57),(MOD((41-'V06 Calend 01'!C57),6)=0),(((41-'V06 Calend 01'!C57)/6)&lt;='V06 Calend 01'!E57)),IF((41=('V06 Calend 01'!C57+(6*'V06 Calend 01'!E57))),('V06 Calend 01'!H57-('V06 Calend 01'!I57*('V06 Calend 01'!E57-1))),'V06 Calend 01'!I57),0))+IF((41='V06 Calend 01'!D57),'V06 Calend 01'!J57,0))</f>
        <v>0</v>
      </c>
      <c r="BB57" s="2">
        <f>((IF((42='V06 Calend 01'!C57),('V06 Calend 01'!F57+'V06 Calend 01'!G57),0)+IF(AND(('V06 Calend 01'!E57&gt;0),(42&gt;'V06 Calend 01'!C57),(42&lt;'V06 Calend 01'!D57),(MOD((42-'V06 Calend 01'!C57),6)=0),(((42-'V06 Calend 01'!C57)/6)&lt;='V06 Calend 01'!E57)),IF((42=('V06 Calend 01'!C57+(6*'V06 Calend 01'!E57))),('V06 Calend 01'!H57-('V06 Calend 01'!I57*('V06 Calend 01'!E57-1))),'V06 Calend 01'!I57),0))+IF((42='V06 Calend 01'!D57),'V06 Calend 01'!J57,0))</f>
        <v>0</v>
      </c>
      <c r="BC57" s="2">
        <f>((IF((43='V06 Calend 01'!C57),('V06 Calend 01'!F57+'V06 Calend 01'!G57),0)+IF(AND(('V06 Calend 01'!E57&gt;0),(43&gt;'V06 Calend 01'!C57),(43&lt;'V06 Calend 01'!D57),(MOD((43-'V06 Calend 01'!C57),6)=0),(((43-'V06 Calend 01'!C57)/6)&lt;='V06 Calend 01'!E57)),IF((43=('V06 Calend 01'!C57+(6*'V06 Calend 01'!E57))),('V06 Calend 01'!H57-('V06 Calend 01'!I57*('V06 Calend 01'!E57-1))),'V06 Calend 01'!I57),0))+IF((43='V06 Calend 01'!D57),'V06 Calend 01'!J57,0))</f>
        <v>0</v>
      </c>
      <c r="BD57" s="2">
        <f>((IF((44='V06 Calend 01'!C57),('V06 Calend 01'!F57+'V06 Calend 01'!G57),0)+IF(AND(('V06 Calend 01'!E57&gt;0),(44&gt;'V06 Calend 01'!C57),(44&lt;'V06 Calend 01'!D57),(MOD((44-'V06 Calend 01'!C57),6)=0),(((44-'V06 Calend 01'!C57)/6)&lt;='V06 Calend 01'!E57)),IF((44=('V06 Calend 01'!C57+(6*'V06 Calend 01'!E57))),('V06 Calend 01'!H57-('V06 Calend 01'!I57*('V06 Calend 01'!E57-1))),'V06 Calend 01'!I57),0))+IF((44='V06 Calend 01'!D57),'V06 Calend 01'!J57,0))</f>
        <v>0</v>
      </c>
      <c r="BE57" s="2">
        <f>((IF((45='V06 Calend 01'!C57),('V06 Calend 01'!F57+'V06 Calend 01'!G57),0)+IF(AND(('V06 Calend 01'!E57&gt;0),(45&gt;'V06 Calend 01'!C57),(45&lt;'V06 Calend 01'!D57),(MOD((45-'V06 Calend 01'!C57),6)=0),(((45-'V06 Calend 01'!C57)/6)&lt;='V06 Calend 01'!E57)),IF((45=('V06 Calend 01'!C57+(6*'V06 Calend 01'!E57))),('V06 Calend 01'!H57-('V06 Calend 01'!I57*('V06 Calend 01'!E57-1))),'V06 Calend 01'!I57),0))+IF((45='V06 Calend 01'!D57),'V06 Calend 01'!J57,0))</f>
        <v>0</v>
      </c>
      <c r="BF57" s="2">
        <f>((IF((46='V06 Calend 01'!C57),('V06 Calend 01'!F57+'V06 Calend 01'!G57),0)+IF(AND(('V06 Calend 01'!E57&gt;0),(46&gt;'V06 Calend 01'!C57),(46&lt;'V06 Calend 01'!D57),(MOD((46-'V06 Calend 01'!C57),6)=0),(((46-'V06 Calend 01'!C57)/6)&lt;='V06 Calend 01'!E57)),IF((46=('V06 Calend 01'!C57+(6*'V06 Calend 01'!E57))),('V06 Calend 01'!H57-('V06 Calend 01'!I57*('V06 Calend 01'!E57-1))),'V06 Calend 01'!I57),0))+IF((46='V06 Calend 01'!D57),'V06 Calend 01'!J57,0))</f>
        <v>0</v>
      </c>
      <c r="BG57" s="2">
        <f>((IF((47='V06 Calend 01'!C57),('V06 Calend 01'!F57+'V06 Calend 01'!G57),0)+IF(AND(('V06 Calend 01'!E57&gt;0),(47&gt;'V06 Calend 01'!C57),(47&lt;'V06 Calend 01'!D57),(MOD((47-'V06 Calend 01'!C57),6)=0),(((47-'V06 Calend 01'!C57)/6)&lt;='V06 Calend 01'!E57)),IF((47=('V06 Calend 01'!C57+(6*'V06 Calend 01'!E57))),('V06 Calend 01'!H57-('V06 Calend 01'!I57*('V06 Calend 01'!E57-1))),'V06 Calend 01'!I57),0))+IF((47='V06 Calend 01'!D57),'V06 Calend 01'!J57,0))</f>
        <v>0</v>
      </c>
      <c r="BH57" s="2">
        <f>((IF((48='V06 Calend 01'!C57),('V06 Calend 01'!F57+'V06 Calend 01'!G57),0)+IF(AND(('V06 Calend 01'!E57&gt;0),(48&gt;'V06 Calend 01'!C57),(48&lt;'V06 Calend 01'!D57),(MOD((48-'V06 Calend 01'!C57),6)=0),(((48-'V06 Calend 01'!C57)/6)&lt;='V06 Calend 01'!E57)),IF((48=('V06 Calend 01'!C57+(6*'V06 Calend 01'!E57))),('V06 Calend 01'!H57-('V06 Calend 01'!I57*('V06 Calend 01'!E57-1))),'V06 Calend 01'!I57),0))+IF((48='V06 Calend 01'!D57),'V06 Calend 01'!J57,0))</f>
        <v>0</v>
      </c>
      <c r="BI57" s="2">
        <f>((IF((49='V06 Calend 01'!C57),('V06 Calend 01'!F57+'V06 Calend 01'!G57),0)+IF(AND(('V06 Calend 01'!E57&gt;0),(49&gt;'V06 Calend 01'!C57),(49&lt;'V06 Calend 01'!D57),(MOD((49-'V06 Calend 01'!C57),6)=0),(((49-'V06 Calend 01'!C57)/6)&lt;='V06 Calend 01'!E57)),IF((49=('V06 Calend 01'!C57+(6*'V06 Calend 01'!E57))),('V06 Calend 01'!H57-('V06 Calend 01'!I57*('V06 Calend 01'!E57-1))),'V06 Calend 01'!I57),0))+IF((49='V06 Calend 01'!D57),'V06 Calend 01'!J57,0))</f>
        <v>0</v>
      </c>
      <c r="BJ57" s="2">
        <f>((IF((50='V06 Calend 01'!C57),('V06 Calend 01'!F57+'V06 Calend 01'!G57),0)+IF(AND(('V06 Calend 01'!E57&gt;0),(50&gt;'V06 Calend 01'!C57),(50&lt;'V06 Calend 01'!D57),(MOD((50-'V06 Calend 01'!C57),6)=0),(((50-'V06 Calend 01'!C57)/6)&lt;='V06 Calend 01'!E57)),IF((50=('V06 Calend 01'!C57+(6*'V06 Calend 01'!E57))),('V06 Calend 01'!H57-('V06 Calend 01'!I57*('V06 Calend 01'!E57-1))),'V06 Calend 01'!I57),0))+IF((50='V06 Calend 01'!D57),'V06 Calend 01'!J57,0))</f>
        <v>0</v>
      </c>
      <c r="BK57" s="2">
        <f>((IF((51='V06 Calend 01'!C57),('V06 Calend 01'!F57+'V06 Calend 01'!G57),0)+IF(AND(('V06 Calend 01'!E57&gt;0),(51&gt;'V06 Calend 01'!C57),(51&lt;'V06 Calend 01'!D57),(MOD((51-'V06 Calend 01'!C57),6)=0),(((51-'V06 Calend 01'!C57)/6)&lt;='V06 Calend 01'!E57)),IF((51=('V06 Calend 01'!C57+(6*'V06 Calend 01'!E57))),('V06 Calend 01'!H57-('V06 Calend 01'!I57*('V06 Calend 01'!E57-1))),'V06 Calend 01'!I57),0))+IF((51='V06 Calend 01'!D57),'V06 Calend 01'!J57,0))</f>
        <v>0</v>
      </c>
      <c r="BL57" s="2">
        <f>((IF((52='V06 Calend 01'!C57),('V06 Calend 01'!F57+'V06 Calend 01'!G57),0)+IF(AND(('V06 Calend 01'!E57&gt;0),(52&gt;'V06 Calend 01'!C57),(52&lt;'V06 Calend 01'!D57),(MOD((52-'V06 Calend 01'!C57),6)=0),(((52-'V06 Calend 01'!C57)/6)&lt;='V06 Calend 01'!E57)),IF((52=('V06 Calend 01'!C57+(6*'V06 Calend 01'!E57))),('V06 Calend 01'!H57-('V06 Calend 01'!I57*('V06 Calend 01'!E57-1))),'V06 Calend 01'!I57),0))+IF((52='V06 Calend 01'!D57),'V06 Calend 01'!J57,0))</f>
        <v>0</v>
      </c>
      <c r="BM57" s="2">
        <f>((IF((53='V06 Calend 01'!C57),('V06 Calend 01'!F57+'V06 Calend 01'!G57),0)+IF(AND(('V06 Calend 01'!E57&gt;0),(53&gt;'V06 Calend 01'!C57),(53&lt;'V06 Calend 01'!D57),(MOD((53-'V06 Calend 01'!C57),6)=0),(((53-'V06 Calend 01'!C57)/6)&lt;='V06 Calend 01'!E57)),IF((53=('V06 Calend 01'!C57+(6*'V06 Calend 01'!E57))),('V06 Calend 01'!H57-('V06 Calend 01'!I57*('V06 Calend 01'!E57-1))),'V06 Calend 01'!I57),0))+IF((53='V06 Calend 01'!D57),'V06 Calend 01'!J57,0))</f>
        <v>0</v>
      </c>
      <c r="BN57" s="2">
        <f>((IF((54='V06 Calend 01'!C57),('V06 Calend 01'!F57+'V06 Calend 01'!G57),0)+IF(AND(('V06 Calend 01'!E57&gt;0),(54&gt;'V06 Calend 01'!C57),(54&lt;'V06 Calend 01'!D57),(MOD((54-'V06 Calend 01'!C57),6)=0),(((54-'V06 Calend 01'!C57)/6)&lt;='V06 Calend 01'!E57)),IF((54=('V06 Calend 01'!C57+(6*'V06 Calend 01'!E57))),('V06 Calend 01'!H57-('V06 Calend 01'!I57*('V06 Calend 01'!E57-1))),'V06 Calend 01'!I57),0))+IF((54='V06 Calend 01'!D57),'V06 Calend 01'!J57,0))</f>
        <v>0</v>
      </c>
      <c r="BO57" s="2">
        <f>((IF((55='V06 Calend 01'!C57),('V06 Calend 01'!F57+'V06 Calend 01'!G57),0)+IF(AND(('V06 Calend 01'!E57&gt;0),(55&gt;'V06 Calend 01'!C57),(55&lt;'V06 Calend 01'!D57),(MOD((55-'V06 Calend 01'!C57),6)=0),(((55-'V06 Calend 01'!C57)/6)&lt;='V06 Calend 01'!E57)),IF((55=('V06 Calend 01'!C57+(6*'V06 Calend 01'!E57))),('V06 Calend 01'!H57-('V06 Calend 01'!I57*('V06 Calend 01'!E57-1))),'V06 Calend 01'!I57),0))+IF((55='V06 Calend 01'!D57),'V06 Calend 01'!J57,0))</f>
        <v>0</v>
      </c>
      <c r="BP57" s="2">
        <f>((IF((56='V06 Calend 01'!C57),('V06 Calend 01'!F57+'V06 Calend 01'!G57),0)+IF(AND(('V06 Calend 01'!E57&gt;0),(56&gt;'V06 Calend 01'!C57),(56&lt;'V06 Calend 01'!D57),(MOD((56-'V06 Calend 01'!C57),6)=0),(((56-'V06 Calend 01'!C57)/6)&lt;='V06 Calend 01'!E57)),IF((56=('V06 Calend 01'!C57+(6*'V06 Calend 01'!E57))),('V06 Calend 01'!H57-('V06 Calend 01'!I57*('V06 Calend 01'!E57-1))),'V06 Calend 01'!I57),0))+IF((56='V06 Calend 01'!D57),'V06 Calend 01'!J57,0))</f>
        <v>0</v>
      </c>
      <c r="BQ57" s="2">
        <f>((IF((57='V06 Calend 01'!C57),('V06 Calend 01'!F57+'V06 Calend 01'!G57),0)+IF(AND(('V06 Calend 01'!E57&gt;0),(57&gt;'V06 Calend 01'!C57),(57&lt;'V06 Calend 01'!D57),(MOD((57-'V06 Calend 01'!C57),6)=0),(((57-'V06 Calend 01'!C57)/6)&lt;='V06 Calend 01'!E57)),IF((57=('V06 Calend 01'!C57+(6*'V06 Calend 01'!E57))),('V06 Calend 01'!H57-('V06 Calend 01'!I57*('V06 Calend 01'!E57-1))),'V06 Calend 01'!I57),0))+IF((57='V06 Calend 01'!D57),'V06 Calend 01'!J57,0))</f>
        <v>0</v>
      </c>
      <c r="BR57" s="2">
        <f>((IF((58='V06 Calend 01'!C57),('V06 Calend 01'!F57+'V06 Calend 01'!G57),0)+IF(AND(('V06 Calend 01'!E57&gt;0),(58&gt;'V06 Calend 01'!C57),(58&lt;'V06 Calend 01'!D57),(MOD((58-'V06 Calend 01'!C57),6)=0),(((58-'V06 Calend 01'!C57)/6)&lt;='V06 Calend 01'!E57)),IF((58=('V06 Calend 01'!C57+(6*'V06 Calend 01'!E57))),('V06 Calend 01'!H57-('V06 Calend 01'!I57*('V06 Calend 01'!E57-1))),'V06 Calend 01'!I57),0))+IF((58='V06 Calend 01'!D57),'V06 Calend 01'!J57,0))</f>
        <v>0</v>
      </c>
      <c r="BS57" s="2">
        <f>((IF((59='V06 Calend 01'!C57),('V06 Calend 01'!F57+'V06 Calend 01'!G57),0)+IF(AND(('V06 Calend 01'!E57&gt;0),(59&gt;'V06 Calend 01'!C57),(59&lt;'V06 Calend 01'!D57),(MOD((59-'V06 Calend 01'!C57),6)=0),(((59-'V06 Calend 01'!C57)/6)&lt;='V06 Calend 01'!E57)),IF((59=('V06 Calend 01'!C57+(6*'V06 Calend 01'!E57))),('V06 Calend 01'!H57-('V06 Calend 01'!I57*('V06 Calend 01'!E57-1))),'V06 Calend 01'!I57),0))+IF((59='V06 Calend 01'!D57),'V06 Calend 01'!J57,0))</f>
        <v>0</v>
      </c>
      <c r="BT57" s="2">
        <f>((IF((60='V06 Calend 01'!C57),('V06 Calend 01'!F57+'V06 Calend 01'!G57),0)+IF(AND(('V06 Calend 01'!E57&gt;0),(60&gt;'V06 Calend 01'!C57),(60&lt;'V06 Calend 01'!D57),(MOD((60-'V06 Calend 01'!C57),6)=0),(((60-'V06 Calend 01'!C57)/6)&lt;='V06 Calend 01'!E57)),IF((60=('V06 Calend 01'!C57+(6*'V06 Calend 01'!E57))),('V06 Calend 01'!H57-('V06 Calend 01'!I57*('V06 Calend 01'!E57-1))),'V06 Calend 01'!I57),0))+IF((60='V06 Calend 01'!D57),'V06 Calend 01'!J57,0))</f>
        <v>0</v>
      </c>
      <c r="BU57" s="2">
        <f>((IF((61='V06 Calend 01'!C57),('V06 Calend 01'!F57+'V06 Calend 01'!G57),0)+IF(AND(('V06 Calend 01'!E57&gt;0),(61&gt;'V06 Calend 01'!C57),(61&lt;'V06 Calend 01'!D57),(MOD((61-'V06 Calend 01'!C57),6)=0),(((61-'V06 Calend 01'!C57)/6)&lt;='V06 Calend 01'!E57)),IF((61=('V06 Calend 01'!C57+(6*'V06 Calend 01'!E57))),('V06 Calend 01'!H57-('V06 Calend 01'!I57*('V06 Calend 01'!E57-1))),'V06 Calend 01'!I57),0))+IF((61='V06 Calend 01'!D57),'V06 Calend 01'!J57,0))</f>
        <v>0</v>
      </c>
      <c r="BV57" s="2">
        <f>((IF((62='V06 Calend 01'!C57),('V06 Calend 01'!F57+'V06 Calend 01'!G57),0)+IF(AND(('V06 Calend 01'!E57&gt;0),(62&gt;'V06 Calend 01'!C57),(62&lt;'V06 Calend 01'!D57),(MOD((62-'V06 Calend 01'!C57),6)=0),(((62-'V06 Calend 01'!C57)/6)&lt;='V06 Calend 01'!E57)),IF((62=('V06 Calend 01'!C57+(6*'V06 Calend 01'!E57))),('V06 Calend 01'!H57-('V06 Calend 01'!I57*('V06 Calend 01'!E57-1))),'V06 Calend 01'!I57),0))+IF((62='V06 Calend 01'!D57),'V06 Calend 01'!J57,0))</f>
        <v>0</v>
      </c>
      <c r="BW57" s="2">
        <f>((IF((63='V06 Calend 01'!C57),('V06 Calend 01'!F57+'V06 Calend 01'!G57),0)+IF(AND(('V06 Calend 01'!E57&gt;0),(63&gt;'V06 Calend 01'!C57),(63&lt;'V06 Calend 01'!D57),(MOD((63-'V06 Calend 01'!C57),6)=0),(((63-'V06 Calend 01'!C57)/6)&lt;='V06 Calend 01'!E57)),IF((63=('V06 Calend 01'!C57+(6*'V06 Calend 01'!E57))),('V06 Calend 01'!H57-('V06 Calend 01'!I57*('V06 Calend 01'!E57-1))),'V06 Calend 01'!I57),0))+IF((63='V06 Calend 01'!D57),'V06 Calend 01'!J57,0))</f>
        <v>0</v>
      </c>
      <c r="BX57" s="2">
        <f>((IF((64='V06 Calend 01'!C57),('V06 Calend 01'!F57+'V06 Calend 01'!G57),0)+IF(AND(('V06 Calend 01'!E57&gt;0),(64&gt;'V06 Calend 01'!C57),(64&lt;'V06 Calend 01'!D57),(MOD((64-'V06 Calend 01'!C57),6)=0),(((64-'V06 Calend 01'!C57)/6)&lt;='V06 Calend 01'!E57)),IF((64=('V06 Calend 01'!C57+(6*'V06 Calend 01'!E57))),('V06 Calend 01'!H57-('V06 Calend 01'!I57*('V06 Calend 01'!E57-1))),'V06 Calend 01'!I57),0))+IF((64='V06 Calend 01'!D57),'V06 Calend 01'!J57,0))</f>
        <v>0</v>
      </c>
      <c r="BY57" s="2">
        <f>((IF((65='V06 Calend 01'!C57),('V06 Calend 01'!F57+'V06 Calend 01'!G57),0)+IF(AND(('V06 Calend 01'!E57&gt;0),(65&gt;'V06 Calend 01'!C57),(65&lt;'V06 Calend 01'!D57),(MOD((65-'V06 Calend 01'!C57),6)=0),(((65-'V06 Calend 01'!C57)/6)&lt;='V06 Calend 01'!E57)),IF((65=('V06 Calend 01'!C57+(6*'V06 Calend 01'!E57))),('V06 Calend 01'!H57-('V06 Calend 01'!I57*('V06 Calend 01'!E57-1))),'V06 Calend 01'!I57),0))+IF((65='V06 Calend 01'!D57),'V06 Calend 01'!J57,0))</f>
        <v>0</v>
      </c>
      <c r="BZ57" s="2">
        <f>((IF((66='V06 Calend 01'!C57),('V06 Calend 01'!F57+'V06 Calend 01'!G57),0)+IF(AND(('V06 Calend 01'!E57&gt;0),(66&gt;'V06 Calend 01'!C57),(66&lt;'V06 Calend 01'!D57),(MOD((66-'V06 Calend 01'!C57),6)=0),(((66-'V06 Calend 01'!C57)/6)&lt;='V06 Calend 01'!E57)),IF((66=('V06 Calend 01'!C57+(6*'V06 Calend 01'!E57))),('V06 Calend 01'!H57-('V06 Calend 01'!I57*('V06 Calend 01'!E57-1))),'V06 Calend 01'!I57),0))+IF((66='V06 Calend 01'!D57),'V06 Calend 01'!J57,0))</f>
        <v>0</v>
      </c>
      <c r="CA57" s="2">
        <f>((IF((67='V06 Calend 01'!C57),('V06 Calend 01'!F57+'V06 Calend 01'!G57),0)+IF(AND(('V06 Calend 01'!E57&gt;0),(67&gt;'V06 Calend 01'!C57),(67&lt;'V06 Calend 01'!D57),(MOD((67-'V06 Calend 01'!C57),6)=0),(((67-'V06 Calend 01'!C57)/6)&lt;='V06 Calend 01'!E57)),IF((67=('V06 Calend 01'!C57+(6*'V06 Calend 01'!E57))),('V06 Calend 01'!H57-('V06 Calend 01'!I57*('V06 Calend 01'!E57-1))),'V06 Calend 01'!I57),0))+IF((67='V06 Calend 01'!D57),'V06 Calend 01'!J57,0))</f>
        <v>0</v>
      </c>
      <c r="CB57" s="2">
        <f>((IF((68='V06 Calend 01'!C57),('V06 Calend 01'!F57+'V06 Calend 01'!G57),0)+IF(AND(('V06 Calend 01'!E57&gt;0),(68&gt;'V06 Calend 01'!C57),(68&lt;'V06 Calend 01'!D57),(MOD((68-'V06 Calend 01'!C57),6)=0),(((68-'V06 Calend 01'!C57)/6)&lt;='V06 Calend 01'!E57)),IF((68=('V06 Calend 01'!C57+(6*'V06 Calend 01'!E57))),('V06 Calend 01'!H57-('V06 Calend 01'!I57*('V06 Calend 01'!E57-1))),'V06 Calend 01'!I57),0))+IF((68='V06 Calend 01'!D57),'V06 Calend 01'!J57,0))</f>
        <v>0</v>
      </c>
      <c r="CC57" s="2">
        <f>((IF((69='V06 Calend 01'!C57),('V06 Calend 01'!F57+'V06 Calend 01'!G57),0)+IF(AND(('V06 Calend 01'!E57&gt;0),(69&gt;'V06 Calend 01'!C57),(69&lt;'V06 Calend 01'!D57),(MOD((69-'V06 Calend 01'!C57),6)=0),(((69-'V06 Calend 01'!C57)/6)&lt;='V06 Calend 01'!E57)),IF((69=('V06 Calend 01'!C57+(6*'V06 Calend 01'!E57))),('V06 Calend 01'!H57-('V06 Calend 01'!I57*('V06 Calend 01'!E57-1))),'V06 Calend 01'!I57),0))+IF((69='V06 Calend 01'!D57),'V06 Calend 01'!J57,0))</f>
        <v>0</v>
      </c>
      <c r="CD57" s="2">
        <f>((IF((70='V06 Calend 01'!C57),('V06 Calend 01'!F57+'V06 Calend 01'!G57),0)+IF(AND(('V06 Calend 01'!E57&gt;0),(70&gt;'V06 Calend 01'!C57),(70&lt;'V06 Calend 01'!D57),(MOD((70-'V06 Calend 01'!C57),6)=0),(((70-'V06 Calend 01'!C57)/6)&lt;='V06 Calend 01'!E57)),IF((70=('V06 Calend 01'!C57+(6*'V06 Calend 01'!E57))),('V06 Calend 01'!H57-('V06 Calend 01'!I57*('V06 Calend 01'!E57-1))),'V06 Calend 01'!I57),0))+IF((70='V06 Calend 01'!D57),'V06 Calend 01'!J57,0))</f>
        <v>0</v>
      </c>
      <c r="CE57" s="2">
        <f>((IF((71='V06 Calend 01'!C57),('V06 Calend 01'!F57+'V06 Calend 01'!G57),0)+IF(AND(('V06 Calend 01'!E57&gt;0),(71&gt;'V06 Calend 01'!C57),(71&lt;'V06 Calend 01'!D57),(MOD((71-'V06 Calend 01'!C57),6)=0),(((71-'V06 Calend 01'!C57)/6)&lt;='V06 Calend 01'!E57)),IF((71=('V06 Calend 01'!C57+(6*'V06 Calend 01'!E57))),('V06 Calend 01'!H57-('V06 Calend 01'!I57*('V06 Calend 01'!E57-1))),'V06 Calend 01'!I57),0))+IF((71='V06 Calend 01'!D57),'V06 Calend 01'!J57,0))</f>
        <v>0</v>
      </c>
      <c r="CF57" s="2">
        <f>((IF((72='V06 Calend 01'!C57),('V06 Calend 01'!F57+'V06 Calend 01'!G57),0)+IF(AND(('V06 Calend 01'!E57&gt;0),(72&gt;'V06 Calend 01'!C57),(72&lt;'V06 Calend 01'!D57),(MOD((72-'V06 Calend 01'!C57),6)=0),(((72-'V06 Calend 01'!C57)/6)&lt;='V06 Calend 01'!E57)),IF((72=('V06 Calend 01'!C57+(6*'V06 Calend 01'!E57))),('V06 Calend 01'!H57-('V06 Calend 01'!I57*('V06 Calend 01'!E57-1))),'V06 Calend 01'!I57),0))+IF((72='V06 Calend 01'!D57),'V06 Calend 01'!J57,0))</f>
        <v>0</v>
      </c>
      <c r="CG57" s="2">
        <f>((IF((73='V06 Calend 01'!C57),('V06 Calend 01'!F57+'V06 Calend 01'!G57),0)+IF(AND(('V06 Calend 01'!E57&gt;0),(73&gt;'V06 Calend 01'!C57),(73&lt;'V06 Calend 01'!D57),(MOD((73-'V06 Calend 01'!C57),6)=0),(((73-'V06 Calend 01'!C57)/6)&lt;='V06 Calend 01'!E57)),IF((73=('V06 Calend 01'!C57+(6*'V06 Calend 01'!E57))),('V06 Calend 01'!H57-('V06 Calend 01'!I57*('V06 Calend 01'!E57-1))),'V06 Calend 01'!I57),0))+IF((73='V06 Calend 01'!D57),'V06 Calend 01'!J57,0))</f>
        <v>0</v>
      </c>
      <c r="CH57" s="2">
        <f>((IF((74='V06 Calend 01'!C57),('V06 Calend 01'!F57+'V06 Calend 01'!G57),0)+IF(AND(('V06 Calend 01'!E57&gt;0),(74&gt;'V06 Calend 01'!C57),(74&lt;'V06 Calend 01'!D57),(MOD((74-'V06 Calend 01'!C57),6)=0),(((74-'V06 Calend 01'!C57)/6)&lt;='V06 Calend 01'!E57)),IF((74=('V06 Calend 01'!C57+(6*'V06 Calend 01'!E57))),('V06 Calend 01'!H57-('V06 Calend 01'!I57*('V06 Calend 01'!E57-1))),'V06 Calend 01'!I57),0))+IF((74='V06 Calend 01'!D57),'V06 Calend 01'!J57,0))</f>
        <v>0</v>
      </c>
      <c r="CI57" s="2">
        <f>((IF((75='V06 Calend 01'!C57),('V06 Calend 01'!F57+'V06 Calend 01'!G57),0)+IF(AND(('V06 Calend 01'!E57&gt;0),(75&gt;'V06 Calend 01'!C57),(75&lt;'V06 Calend 01'!D57),(MOD((75-'V06 Calend 01'!C57),6)=0),(((75-'V06 Calend 01'!C57)/6)&lt;='V06 Calend 01'!E57)),IF((75=('V06 Calend 01'!C57+(6*'V06 Calend 01'!E57))),('V06 Calend 01'!H57-('V06 Calend 01'!I57*('V06 Calend 01'!E57-1))),'V06 Calend 01'!I57),0))+IF((75='V06 Calend 01'!D57),'V06 Calend 01'!J57,0))</f>
        <v>0</v>
      </c>
      <c r="CJ57" s="2">
        <f>((IF((76='V06 Calend 01'!C57),('V06 Calend 01'!F57+'V06 Calend 01'!G57),0)+IF(AND(('V06 Calend 01'!E57&gt;0),(76&gt;'V06 Calend 01'!C57),(76&lt;'V06 Calend 01'!D57),(MOD((76-'V06 Calend 01'!C57),6)=0),(((76-'V06 Calend 01'!C57)/6)&lt;='V06 Calend 01'!E57)),IF((76=('V06 Calend 01'!C57+(6*'V06 Calend 01'!E57))),('V06 Calend 01'!H57-('V06 Calend 01'!I57*('V06 Calend 01'!E57-1))),'V06 Calend 01'!I57),0))+IF((76='V06 Calend 01'!D57),'V06 Calend 01'!J57,0))</f>
        <v>0</v>
      </c>
      <c r="CK57" s="2">
        <f>((IF((77='V06 Calend 01'!C57),('V06 Calend 01'!F57+'V06 Calend 01'!G57),0)+IF(AND(('V06 Calend 01'!E57&gt;0),(77&gt;'V06 Calend 01'!C57),(77&lt;'V06 Calend 01'!D57),(MOD((77-'V06 Calend 01'!C57),6)=0),(((77-'V06 Calend 01'!C57)/6)&lt;='V06 Calend 01'!E57)),IF((77=('V06 Calend 01'!C57+(6*'V06 Calend 01'!E57))),('V06 Calend 01'!H57-('V06 Calend 01'!I57*('V06 Calend 01'!E57-1))),'V06 Calend 01'!I57),0))+IF((77='V06 Calend 01'!D57),'V06 Calend 01'!J57,0))</f>
        <v>0</v>
      </c>
      <c r="CL57" s="2">
        <f>((IF((78='V06 Calend 01'!C57),('V06 Calend 01'!F57+'V06 Calend 01'!G57),0)+IF(AND(('V06 Calend 01'!E57&gt;0),(78&gt;'V06 Calend 01'!C57),(78&lt;'V06 Calend 01'!D57),(MOD((78-'V06 Calend 01'!C57),6)=0),(((78-'V06 Calend 01'!C57)/6)&lt;='V06 Calend 01'!E57)),IF((78=('V06 Calend 01'!C57+(6*'V06 Calend 01'!E57))),('V06 Calend 01'!H57-('V06 Calend 01'!I57*('V06 Calend 01'!E57-1))),'V06 Calend 01'!I57),0))+IF((78='V06 Calend 01'!D57),'V06 Calend 01'!J57,0))</f>
        <v>0</v>
      </c>
      <c r="CM57" s="2">
        <f>((IF((79='V06 Calend 01'!C57),('V06 Calend 01'!F57+'V06 Calend 01'!G57),0)+IF(AND(('V06 Calend 01'!E57&gt;0),(79&gt;'V06 Calend 01'!C57),(79&lt;'V06 Calend 01'!D57),(MOD((79-'V06 Calend 01'!C57),6)=0),(((79-'V06 Calend 01'!C57)/6)&lt;='V06 Calend 01'!E57)),IF((79=('V06 Calend 01'!C57+(6*'V06 Calend 01'!E57))),('V06 Calend 01'!H57-('V06 Calend 01'!I57*('V06 Calend 01'!E57-1))),'V06 Calend 01'!I57),0))+IF((79='V06 Calend 01'!D57),'V06 Calend 01'!J57,0))</f>
        <v>0</v>
      </c>
      <c r="CN57" s="2">
        <f>((IF((80='V06 Calend 01'!C57),('V06 Calend 01'!F57+'V06 Calend 01'!G57),0)+IF(AND(('V06 Calend 01'!E57&gt;0),(80&gt;'V06 Calend 01'!C57),(80&lt;'V06 Calend 01'!D57),(MOD((80-'V06 Calend 01'!C57),6)=0),(((80-'V06 Calend 01'!C57)/6)&lt;='V06 Calend 01'!E57)),IF((80=('V06 Calend 01'!C57+(6*'V06 Calend 01'!E57))),('V06 Calend 01'!H57-('V06 Calend 01'!I57*('V06 Calend 01'!E57-1))),'V06 Calend 01'!I57),0))+IF((80='V06 Calend 01'!D57),'V06 Calend 01'!J57,0))</f>
        <v>0</v>
      </c>
      <c r="CO57" s="2">
        <f>((IF((81='V06 Calend 01'!C57),('V06 Calend 01'!F57+'V06 Calend 01'!G57),0)+IF(AND(('V06 Calend 01'!E57&gt;0),(81&gt;'V06 Calend 01'!C57),(81&lt;'V06 Calend 01'!D57),(MOD((81-'V06 Calend 01'!C57),6)=0),(((81-'V06 Calend 01'!C57)/6)&lt;='V06 Calend 01'!E57)),IF((81=('V06 Calend 01'!C57+(6*'V06 Calend 01'!E57))),('V06 Calend 01'!H57-('V06 Calend 01'!I57*('V06 Calend 01'!E57-1))),'V06 Calend 01'!I57),0))+IF((81='V06 Calend 01'!D57),'V06 Calend 01'!J57,0))</f>
        <v>0</v>
      </c>
      <c r="CP57" s="2">
        <f>((IF((82='V06 Calend 01'!C57),('V06 Calend 01'!F57+'V06 Calend 01'!G57),0)+IF(AND(('V06 Calend 01'!E57&gt;0),(82&gt;'V06 Calend 01'!C57),(82&lt;'V06 Calend 01'!D57),(MOD((82-'V06 Calend 01'!C57),6)=0),(((82-'V06 Calend 01'!C57)/6)&lt;='V06 Calend 01'!E57)),IF((82=('V06 Calend 01'!C57+(6*'V06 Calend 01'!E57))),('V06 Calend 01'!H57-('V06 Calend 01'!I57*('V06 Calend 01'!E57-1))),'V06 Calend 01'!I57),0))+IF((82='V06 Calend 01'!D57),'V06 Calend 01'!J57,0))</f>
        <v>0</v>
      </c>
      <c r="CQ57" s="2">
        <f>((IF((83='V06 Calend 01'!C57),('V06 Calend 01'!F57+'V06 Calend 01'!G57),0)+IF(AND(('V06 Calend 01'!E57&gt;0),(83&gt;'V06 Calend 01'!C57),(83&lt;'V06 Calend 01'!D57),(MOD((83-'V06 Calend 01'!C57),6)=0),(((83-'V06 Calend 01'!C57)/6)&lt;='V06 Calend 01'!E57)),IF((83=('V06 Calend 01'!C57+(6*'V06 Calend 01'!E57))),('V06 Calend 01'!H57-('V06 Calend 01'!I57*('V06 Calend 01'!E57-1))),'V06 Calend 01'!I57),0))+IF((83='V06 Calend 01'!D57),'V06 Calend 01'!J57,0))</f>
        <v>0</v>
      </c>
      <c r="CR57" s="2">
        <f>((IF((84='V06 Calend 01'!C57),('V06 Calend 01'!F57+'V06 Calend 01'!G57),0)+IF(AND(('V06 Calend 01'!E57&gt;0),(84&gt;'V06 Calend 01'!C57),(84&lt;'V06 Calend 01'!D57),(MOD((84-'V06 Calend 01'!C57),6)=0),(((84-'V06 Calend 01'!C57)/6)&lt;='V06 Calend 01'!E57)),IF((84=('V06 Calend 01'!C57+(6*'V06 Calend 01'!E57))),('V06 Calend 01'!H57-('V06 Calend 01'!I57*('V06 Calend 01'!E57-1))),'V06 Calend 01'!I57),0))+IF((84='V06 Calend 01'!D57),'V06 Calend 01'!J57,0))</f>
        <v>0</v>
      </c>
      <c r="CS57" s="2">
        <f>((IF((85='V06 Calend 01'!C57),('V06 Calend 01'!F57+'V06 Calend 01'!G57),0)+IF(AND(('V06 Calend 01'!E57&gt;0),(85&gt;'V06 Calend 01'!C57),(85&lt;'V06 Calend 01'!D57),(MOD((85-'V06 Calend 01'!C57),6)=0),(((85-'V06 Calend 01'!C57)/6)&lt;='V06 Calend 01'!E57)),IF((85=('V06 Calend 01'!C57+(6*'V06 Calend 01'!E57))),('V06 Calend 01'!H57-('V06 Calend 01'!I57*('V06 Calend 01'!E57-1))),'V06 Calend 01'!I57),0))+IF((85='V06 Calend 01'!D57),'V06 Calend 01'!J57,0))</f>
        <v>0</v>
      </c>
      <c r="CT57" s="2">
        <f>((IF((86='V06 Calend 01'!C57),('V06 Calend 01'!F57+'V06 Calend 01'!G57),0)+IF(AND(('V06 Calend 01'!E57&gt;0),(86&gt;'V06 Calend 01'!C57),(86&lt;'V06 Calend 01'!D57),(MOD((86-'V06 Calend 01'!C57),6)=0),(((86-'V06 Calend 01'!C57)/6)&lt;='V06 Calend 01'!E57)),IF((86=('V06 Calend 01'!C57+(6*'V06 Calend 01'!E57))),('V06 Calend 01'!H57-('V06 Calend 01'!I57*('V06 Calend 01'!E57-1))),'V06 Calend 01'!I57),0))+IF((86='V06 Calend 01'!D57),'V06 Calend 01'!J57,0))</f>
        <v>0</v>
      </c>
      <c r="CU57" s="2">
        <f>((IF((87='V06 Calend 01'!C57),('V06 Calend 01'!F57+'V06 Calend 01'!G57),0)+IF(AND(('V06 Calend 01'!E57&gt;0),(87&gt;'V06 Calend 01'!C57),(87&lt;'V06 Calend 01'!D57),(MOD((87-'V06 Calend 01'!C57),6)=0),(((87-'V06 Calend 01'!C57)/6)&lt;='V06 Calend 01'!E57)),IF((87=('V06 Calend 01'!C57+(6*'V06 Calend 01'!E57))),('V06 Calend 01'!H57-('V06 Calend 01'!I57*('V06 Calend 01'!E57-1))),'V06 Calend 01'!I57),0))+IF((87='V06 Calend 01'!D57),'V06 Calend 01'!J57,0))</f>
        <v>0</v>
      </c>
      <c r="CV57" s="2">
        <f>((IF((88='V06 Calend 01'!C57),('V06 Calend 01'!F57+'V06 Calend 01'!G57),0)+IF(AND(('V06 Calend 01'!E57&gt;0),(88&gt;'V06 Calend 01'!C57),(88&lt;'V06 Calend 01'!D57),(MOD((88-'V06 Calend 01'!C57),6)=0),(((88-'V06 Calend 01'!C57)/6)&lt;='V06 Calend 01'!E57)),IF((88=('V06 Calend 01'!C57+(6*'V06 Calend 01'!E57))),('V06 Calend 01'!H57-('V06 Calend 01'!I57*('V06 Calend 01'!E57-1))),'V06 Calend 01'!I57),0))+IF((88='V06 Calend 01'!D57),'V06 Calend 01'!J57,0))</f>
        <v>0</v>
      </c>
      <c r="CW57" s="2">
        <f>((IF((89='V06 Calend 01'!C57),('V06 Calend 01'!F57+'V06 Calend 01'!G57),0)+IF(AND(('V06 Calend 01'!E57&gt;0),(89&gt;'V06 Calend 01'!C57),(89&lt;'V06 Calend 01'!D57),(MOD((89-'V06 Calend 01'!C57),6)=0),(((89-'V06 Calend 01'!C57)/6)&lt;='V06 Calend 01'!E57)),IF((89=('V06 Calend 01'!C57+(6*'V06 Calend 01'!E57))),('V06 Calend 01'!H57-('V06 Calend 01'!I57*('V06 Calend 01'!E57-1))),'V06 Calend 01'!I57),0))+IF((89='V06 Calend 01'!D57),'V06 Calend 01'!J57,0))</f>
        <v>0</v>
      </c>
      <c r="CX57" s="2">
        <f>((IF((90='V06 Calend 01'!C57),('V06 Calend 01'!F57+'V06 Calend 01'!G57),0)+IF(AND(('V06 Calend 01'!E57&gt;0),(90&gt;'V06 Calend 01'!C57),(90&lt;'V06 Calend 01'!D57),(MOD((90-'V06 Calend 01'!C57),6)=0),(((90-'V06 Calend 01'!C57)/6)&lt;='V06 Calend 01'!E57)),IF((90=('V06 Calend 01'!C57+(6*'V06 Calend 01'!E57))),('V06 Calend 01'!H57-('V06 Calend 01'!I57*('V06 Calend 01'!E57-1))),'V06 Calend 01'!I57),0))+IF((90='V06 Calend 01'!D57),'V06 Calend 01'!J57,0))</f>
        <v>0</v>
      </c>
      <c r="CY57" s="2">
        <f>((IF((91='V06 Calend 01'!C57),('V06 Calend 01'!F57+'V06 Calend 01'!G57),0)+IF(AND(('V06 Calend 01'!E57&gt;0),(91&gt;'V06 Calend 01'!C57),(91&lt;'V06 Calend 01'!D57),(MOD((91-'V06 Calend 01'!C57),6)=0),(((91-'V06 Calend 01'!C57)/6)&lt;='V06 Calend 01'!E57)),IF((91=('V06 Calend 01'!C57+(6*'V06 Calend 01'!E57))),('V06 Calend 01'!H57-('V06 Calend 01'!I57*('V06 Calend 01'!E57-1))),'V06 Calend 01'!I57),0))+IF((91='V06 Calend 01'!D57),'V06 Calend 01'!J57,0))</f>
        <v>0</v>
      </c>
      <c r="CZ57" s="2">
        <f>((IF((92='V06 Calend 01'!C57),('V06 Calend 01'!F57+'V06 Calend 01'!G57),0)+IF(AND(('V06 Calend 01'!E57&gt;0),(92&gt;'V06 Calend 01'!C57),(92&lt;'V06 Calend 01'!D57),(MOD((92-'V06 Calend 01'!C57),6)=0),(((92-'V06 Calend 01'!C57)/6)&lt;='V06 Calend 01'!E57)),IF((92=('V06 Calend 01'!C57+(6*'V06 Calend 01'!E57))),('V06 Calend 01'!H57-('V06 Calend 01'!I57*('V06 Calend 01'!E57-1))),'V06 Calend 01'!I57),0))+IF((92='V06 Calend 01'!D57),'V06 Calend 01'!J57,0))</f>
        <v>0</v>
      </c>
      <c r="DA57" s="2">
        <f>((IF((93='V06 Calend 01'!C57),('V06 Calend 01'!F57+'V06 Calend 01'!G57),0)+IF(AND(('V06 Calend 01'!E57&gt;0),(93&gt;'V06 Calend 01'!C57),(93&lt;'V06 Calend 01'!D57),(MOD((93-'V06 Calend 01'!C57),6)=0),(((93-'V06 Calend 01'!C57)/6)&lt;='V06 Calend 01'!E57)),IF((93=('V06 Calend 01'!C57+(6*'V06 Calend 01'!E57))),('V06 Calend 01'!H57-('V06 Calend 01'!I57*('V06 Calend 01'!E57-1))),'V06 Calend 01'!I57),0))+IF((93='V06 Calend 01'!D57),'V06 Calend 01'!J57,0))</f>
        <v>0</v>
      </c>
      <c r="DB57" s="2">
        <f>((IF((94='V06 Calend 01'!C57),('V06 Calend 01'!F57+'V06 Calend 01'!G57),0)+IF(AND(('V06 Calend 01'!E57&gt;0),(94&gt;'V06 Calend 01'!C57),(94&lt;'V06 Calend 01'!D57),(MOD((94-'V06 Calend 01'!C57),6)=0),(((94-'V06 Calend 01'!C57)/6)&lt;='V06 Calend 01'!E57)),IF((94=('V06 Calend 01'!C57+(6*'V06 Calend 01'!E57))),('V06 Calend 01'!H57-('V06 Calend 01'!I57*('V06 Calend 01'!E57-1))),'V06 Calend 01'!I57),0))+IF((94='V06 Calend 01'!D57),'V06 Calend 01'!J57,0))</f>
        <v>0</v>
      </c>
      <c r="DC57" s="2">
        <f>((IF((95='V06 Calend 01'!C57),('V06 Calend 01'!F57+'V06 Calend 01'!G57),0)+IF(AND(('V06 Calend 01'!E57&gt;0),(95&gt;'V06 Calend 01'!C57),(95&lt;'V06 Calend 01'!D57),(MOD((95-'V06 Calend 01'!C57),6)=0),(((95-'V06 Calend 01'!C57)/6)&lt;='V06 Calend 01'!E57)),IF((95=('V06 Calend 01'!C57+(6*'V06 Calend 01'!E57))),('V06 Calend 01'!H57-('V06 Calend 01'!I57*('V06 Calend 01'!E57-1))),'V06 Calend 01'!I57),0))+IF((95='V06 Calend 01'!D57),'V06 Calend 01'!J57,0))</f>
        <v>0</v>
      </c>
      <c r="DD57" s="2">
        <f>((IF((96='V06 Calend 01'!C57),('V06 Calend 01'!F57+'V06 Calend 01'!G57),0)+IF(AND(('V06 Calend 01'!E57&gt;0),(96&gt;'V06 Calend 01'!C57),(96&lt;'V06 Calend 01'!D57),(MOD((96-'V06 Calend 01'!C57),6)=0),(((96-'V06 Calend 01'!C57)/6)&lt;='V06 Calend 01'!E57)),IF((96=('V06 Calend 01'!C57+(6*'V06 Calend 01'!E57))),('V06 Calend 01'!H57-('V06 Calend 01'!I57*('V06 Calend 01'!E57-1))),'V06 Calend 01'!I57),0))+IF((96='V06 Calend 01'!D57),'V06 Calend 01'!J57,0))</f>
        <v>0</v>
      </c>
      <c r="DE57" s="2">
        <f>((IF((97='V06 Calend 01'!C57),('V06 Calend 01'!F57+'V06 Calend 01'!G57),0)+IF(AND(('V06 Calend 01'!E57&gt;0),(97&gt;'V06 Calend 01'!C57),(97&lt;'V06 Calend 01'!D57),(MOD((97-'V06 Calend 01'!C57),6)=0),(((97-'V06 Calend 01'!C57)/6)&lt;='V06 Calend 01'!E57)),IF((97=('V06 Calend 01'!C57+(6*'V06 Calend 01'!E57))),('V06 Calend 01'!H57-('V06 Calend 01'!I57*('V06 Calend 01'!E57-1))),'V06 Calend 01'!I57),0))+IF((97='V06 Calend 01'!D57),'V06 Calend 01'!J57,0))</f>
        <v>0</v>
      </c>
      <c r="DF57" s="2">
        <f>((IF((98='V06 Calend 01'!C57),('V06 Calend 01'!F57+'V06 Calend 01'!G57),0)+IF(AND(('V06 Calend 01'!E57&gt;0),(98&gt;'V06 Calend 01'!C57),(98&lt;'V06 Calend 01'!D57),(MOD((98-'V06 Calend 01'!C57),6)=0),(((98-'V06 Calend 01'!C57)/6)&lt;='V06 Calend 01'!E57)),IF((98=('V06 Calend 01'!C57+(6*'V06 Calend 01'!E57))),('V06 Calend 01'!H57-('V06 Calend 01'!I57*('V06 Calend 01'!E57-1))),'V06 Calend 01'!I57),0))+IF((98='V06 Calend 01'!D57),'V06 Calend 01'!J57,0))</f>
        <v>0</v>
      </c>
      <c r="DG57" s="2">
        <f>((IF((99='V06 Calend 01'!C57),('V06 Calend 01'!F57+'V06 Calend 01'!G57),0)+IF(AND(('V06 Calend 01'!E57&gt;0),(99&gt;'V06 Calend 01'!C57),(99&lt;'V06 Calend 01'!D57),(MOD((99-'V06 Calend 01'!C57),6)=0),(((99-'V06 Calend 01'!C57)/6)&lt;='V06 Calend 01'!E57)),IF((99=('V06 Calend 01'!C57+(6*'V06 Calend 01'!E57))),('V06 Calend 01'!H57-('V06 Calend 01'!I57*('V06 Calend 01'!E57-1))),'V06 Calend 01'!I57),0))+IF((99='V06 Calend 01'!D57),'V06 Calend 01'!J57,0))</f>
        <v>0</v>
      </c>
      <c r="DH57" s="2">
        <f>((IF((100='V06 Calend 01'!C57),('V06 Calend 01'!F57+'V06 Calend 01'!G57),0)+IF(AND(('V06 Calend 01'!E57&gt;0),(100&gt;'V06 Calend 01'!C57),(100&lt;'V06 Calend 01'!D57),(MOD((100-'V06 Calend 01'!C57),6)=0),(((100-'V06 Calend 01'!C57)/6)&lt;='V06 Calend 01'!E57)),IF((100=('V06 Calend 01'!C57+(6*'V06 Calend 01'!E57))),('V06 Calend 01'!H57-('V06 Calend 01'!I57*('V06 Calend 01'!E57-1))),'V06 Calend 01'!I57),0))+IF((100='V06 Calend 01'!D57),'V06 Calend 01'!J57,0))</f>
        <v>0</v>
      </c>
      <c r="DI57" s="2">
        <f>((IF((101='V06 Calend 01'!C57),('V06 Calend 01'!F57+'V06 Calend 01'!G57),0)+IF(AND(('V06 Calend 01'!E57&gt;0),(101&gt;'V06 Calend 01'!C57),(101&lt;'V06 Calend 01'!D57),(MOD((101-'V06 Calend 01'!C57),6)=0),(((101-'V06 Calend 01'!C57)/6)&lt;='V06 Calend 01'!E57)),IF((101=('V06 Calend 01'!C57+(6*'V06 Calend 01'!E57))),('V06 Calend 01'!H57-('V06 Calend 01'!I57*('V06 Calend 01'!E57-1))),'V06 Calend 01'!I57),0))+IF((101='V06 Calend 01'!D57),'V06 Calend 01'!J57,0))</f>
        <v>0</v>
      </c>
      <c r="DJ57" s="2">
        <f>((IF((102='V06 Calend 01'!C57),('V06 Calend 01'!F57+'V06 Calend 01'!G57),0)+IF(AND(('V06 Calend 01'!E57&gt;0),(102&gt;'V06 Calend 01'!C57),(102&lt;'V06 Calend 01'!D57),(MOD((102-'V06 Calend 01'!C57),6)=0),(((102-'V06 Calend 01'!C57)/6)&lt;='V06 Calend 01'!E57)),IF((102=('V06 Calend 01'!C57+(6*'V06 Calend 01'!E57))),('V06 Calend 01'!H57-('V06 Calend 01'!I57*('V06 Calend 01'!E57-1))),'V06 Calend 01'!I57),0))+IF((102='V06 Calend 01'!D57),'V06 Calend 01'!J57,0))</f>
        <v>0</v>
      </c>
      <c r="DK57" s="2">
        <f>((IF((103='V06 Calend 01'!C57),('V06 Calend 01'!F57+'V06 Calend 01'!G57),0)+IF(AND(('V06 Calend 01'!E57&gt;0),(103&gt;'V06 Calend 01'!C57),(103&lt;'V06 Calend 01'!D57),(MOD((103-'V06 Calend 01'!C57),6)=0),(((103-'V06 Calend 01'!C57)/6)&lt;='V06 Calend 01'!E57)),IF((103=('V06 Calend 01'!C57+(6*'V06 Calend 01'!E57))),('V06 Calend 01'!H57-('V06 Calend 01'!I57*('V06 Calend 01'!E57-1))),'V06 Calend 01'!I57),0))+IF((103='V06 Calend 01'!D57),'V06 Calend 01'!J57,0))</f>
        <v>0</v>
      </c>
      <c r="DL57" s="2">
        <f>((IF((104='V06 Calend 01'!C57),('V06 Calend 01'!F57+'V06 Calend 01'!G57),0)+IF(AND(('V06 Calend 01'!E57&gt;0),(104&gt;'V06 Calend 01'!C57),(104&lt;'V06 Calend 01'!D57),(MOD((104-'V06 Calend 01'!C57),6)=0),(((104-'V06 Calend 01'!C57)/6)&lt;='V06 Calend 01'!E57)),IF((104=('V06 Calend 01'!C57+(6*'V06 Calend 01'!E57))),('V06 Calend 01'!H57-('V06 Calend 01'!I57*('V06 Calend 01'!E57-1))),'V06 Calend 01'!I57),0))+IF((104='V06 Calend 01'!D57),'V06 Calend 01'!J57,0))</f>
        <v>0</v>
      </c>
      <c r="DM57" s="2">
        <f>((IF((105='V06 Calend 01'!C57),('V06 Calend 01'!F57+'V06 Calend 01'!G57),0)+IF(AND(('V06 Calend 01'!E57&gt;0),(105&gt;'V06 Calend 01'!C57),(105&lt;'V06 Calend 01'!D57),(MOD((105-'V06 Calend 01'!C57),6)=0),(((105-'V06 Calend 01'!C57)/6)&lt;='V06 Calend 01'!E57)),IF((105=('V06 Calend 01'!C57+(6*'V06 Calend 01'!E57))),('V06 Calend 01'!H57-('V06 Calend 01'!I57*('V06 Calend 01'!E57-1))),'V06 Calend 01'!I57),0))+IF((105='V06 Calend 01'!D57),'V06 Calend 01'!J57,0))</f>
        <v>0</v>
      </c>
      <c r="DN57" s="2">
        <f>((IF((106='V06 Calend 01'!C57),('V06 Calend 01'!F57+'V06 Calend 01'!G57),0)+IF(AND(('V06 Calend 01'!E57&gt;0),(106&gt;'V06 Calend 01'!C57),(106&lt;'V06 Calend 01'!D57),(MOD((106-'V06 Calend 01'!C57),6)=0),(((106-'V06 Calend 01'!C57)/6)&lt;='V06 Calend 01'!E57)),IF((106=('V06 Calend 01'!C57+(6*'V06 Calend 01'!E57))),('V06 Calend 01'!H57-('V06 Calend 01'!I57*('V06 Calend 01'!E57-1))),'V06 Calend 01'!I57),0))+IF((106='V06 Calend 01'!D57),'V06 Calend 01'!J57,0))</f>
        <v>0</v>
      </c>
      <c r="DO57" s="2">
        <f>((IF((107='V06 Calend 01'!C57),('V06 Calend 01'!F57+'V06 Calend 01'!G57),0)+IF(AND(('V06 Calend 01'!E57&gt;0),(107&gt;'V06 Calend 01'!C57),(107&lt;'V06 Calend 01'!D57),(MOD((107-'V06 Calend 01'!C57),6)=0),(((107-'V06 Calend 01'!C57)/6)&lt;='V06 Calend 01'!E57)),IF((107=('V06 Calend 01'!C57+(6*'V06 Calend 01'!E57))),('V06 Calend 01'!H57-('V06 Calend 01'!I57*('V06 Calend 01'!E57-1))),'V06 Calend 01'!I57),0))+IF((107='V06 Calend 01'!D57),'V06 Calend 01'!J57,0))</f>
        <v>0</v>
      </c>
      <c r="DP57" s="2">
        <f>((IF((108='V06 Calend 01'!C57),('V06 Calend 01'!F57+'V06 Calend 01'!G57),0)+IF(AND(('V06 Calend 01'!E57&gt;0),(108&gt;'V06 Calend 01'!C57),(108&lt;'V06 Calend 01'!D57),(MOD((108-'V06 Calend 01'!C57),6)=0),(((108-'V06 Calend 01'!C57)/6)&lt;='V06 Calend 01'!E57)),IF((108=('V06 Calend 01'!C57+(6*'V06 Calend 01'!E57))),('V06 Calend 01'!H57-('V06 Calend 01'!I57*('V06 Calend 01'!E57-1))),'V06 Calend 01'!I57),0))+IF((108='V06 Calend 01'!D57),'V06 Calend 01'!J57,0))</f>
        <v>0</v>
      </c>
      <c r="DQ57" s="2">
        <f>((IF((109='V06 Calend 01'!C57),('V06 Calend 01'!F57+'V06 Calend 01'!G57),0)+IF(AND(('V06 Calend 01'!E57&gt;0),(109&gt;'V06 Calend 01'!C57),(109&lt;'V06 Calend 01'!D57),(MOD((109-'V06 Calend 01'!C57),6)=0),(((109-'V06 Calend 01'!C57)/6)&lt;='V06 Calend 01'!E57)),IF((109=('V06 Calend 01'!C57+(6*'V06 Calend 01'!E57))),('V06 Calend 01'!H57-('V06 Calend 01'!I57*('V06 Calend 01'!E57-1))),'V06 Calend 01'!I57),0))+IF((109='V06 Calend 01'!D57),'V06 Calend 01'!J57,0))</f>
        <v>0</v>
      </c>
      <c r="DR57" s="2">
        <f>((IF((110='V06 Calend 01'!C57),('V06 Calend 01'!F57+'V06 Calend 01'!G57),0)+IF(AND(('V06 Calend 01'!E57&gt;0),(110&gt;'V06 Calend 01'!C57),(110&lt;'V06 Calend 01'!D57),(MOD((110-'V06 Calend 01'!C57),6)=0),(((110-'V06 Calend 01'!C57)/6)&lt;='V06 Calend 01'!E57)),IF((110=('V06 Calend 01'!C57+(6*'V06 Calend 01'!E57))),('V06 Calend 01'!H57-('V06 Calend 01'!I57*('V06 Calend 01'!E57-1))),'V06 Calend 01'!I57),0))+IF((110='V06 Calend 01'!D57),'V06 Calend 01'!J57,0))</f>
        <v>0</v>
      </c>
      <c r="DS57" s="2">
        <f>((IF((111='V06 Calend 01'!C57),('V06 Calend 01'!F57+'V06 Calend 01'!G57),0)+IF(AND(('V06 Calend 01'!E57&gt;0),(111&gt;'V06 Calend 01'!C57),(111&lt;'V06 Calend 01'!D57),(MOD((111-'V06 Calend 01'!C57),6)=0),(((111-'V06 Calend 01'!C57)/6)&lt;='V06 Calend 01'!E57)),IF((111=('V06 Calend 01'!C57+(6*'V06 Calend 01'!E57))),('V06 Calend 01'!H57-('V06 Calend 01'!I57*('V06 Calend 01'!E57-1))),'V06 Calend 01'!I57),0))+IF((111='V06 Calend 01'!D57),'V06 Calend 01'!J57,0))</f>
        <v>0</v>
      </c>
      <c r="DT57" s="2">
        <f>((IF((112='V06 Calend 01'!C57),('V06 Calend 01'!F57+'V06 Calend 01'!G57),0)+IF(AND(('V06 Calend 01'!E57&gt;0),(112&gt;'V06 Calend 01'!C57),(112&lt;'V06 Calend 01'!D57),(MOD((112-'V06 Calend 01'!C57),6)=0),(((112-'V06 Calend 01'!C57)/6)&lt;='V06 Calend 01'!E57)),IF((112=('V06 Calend 01'!C57+(6*'V06 Calend 01'!E57))),('V06 Calend 01'!H57-('V06 Calend 01'!I57*('V06 Calend 01'!E57-1))),'V06 Calend 01'!I57),0))+IF((112='V06 Calend 01'!D57),'V06 Calend 01'!J57,0))</f>
        <v>0</v>
      </c>
      <c r="DU57" s="2">
        <f>((IF((113='V06 Calend 01'!C57),('V06 Calend 01'!F57+'V06 Calend 01'!G57),0)+IF(AND(('V06 Calend 01'!E57&gt;0),(113&gt;'V06 Calend 01'!C57),(113&lt;'V06 Calend 01'!D57),(MOD((113-'V06 Calend 01'!C57),6)=0),(((113-'V06 Calend 01'!C57)/6)&lt;='V06 Calend 01'!E57)),IF((113=('V06 Calend 01'!C57+(6*'V06 Calend 01'!E57))),('V06 Calend 01'!H57-('V06 Calend 01'!I57*('V06 Calend 01'!E57-1))),'V06 Calend 01'!I57),0))+IF((113='V06 Calend 01'!D57),'V06 Calend 01'!J57,0))</f>
        <v>0</v>
      </c>
      <c r="DV57" s="2">
        <f>((IF((114='V06 Calend 01'!C57),('V06 Calend 01'!F57+'V06 Calend 01'!G57),0)+IF(AND(('V06 Calend 01'!E57&gt;0),(114&gt;'V06 Calend 01'!C57),(114&lt;'V06 Calend 01'!D57),(MOD((114-'V06 Calend 01'!C57),6)=0),(((114-'V06 Calend 01'!C57)/6)&lt;='V06 Calend 01'!E57)),IF((114=('V06 Calend 01'!C57+(6*'V06 Calend 01'!E57))),('V06 Calend 01'!H57-('V06 Calend 01'!I57*('V06 Calend 01'!E57-1))),'V06 Calend 01'!I57),0))+IF((114='V06 Calend 01'!D57),'V06 Calend 01'!J57,0))</f>
        <v>0</v>
      </c>
      <c r="DW57" s="2">
        <f>((IF((115='V06 Calend 01'!C57),('V06 Calend 01'!F57+'V06 Calend 01'!G57),0)+IF(AND(('V06 Calend 01'!E57&gt;0),(115&gt;'V06 Calend 01'!C57),(115&lt;'V06 Calend 01'!D57),(MOD((115-'V06 Calend 01'!C57),6)=0),(((115-'V06 Calend 01'!C57)/6)&lt;='V06 Calend 01'!E57)),IF((115=('V06 Calend 01'!C57+(6*'V06 Calend 01'!E57))),('V06 Calend 01'!H57-('V06 Calend 01'!I57*('V06 Calend 01'!E57-1))),'V06 Calend 01'!I57),0))+IF((115='V06 Calend 01'!D57),'V06 Calend 01'!J57,0))</f>
        <v>0</v>
      </c>
      <c r="DX57" s="2">
        <f>((IF((116='V06 Calend 01'!C57),('V06 Calend 01'!F57+'V06 Calend 01'!G57),0)+IF(AND(('V06 Calend 01'!E57&gt;0),(116&gt;'V06 Calend 01'!C57),(116&lt;'V06 Calend 01'!D57),(MOD((116-'V06 Calend 01'!C57),6)=0),(((116-'V06 Calend 01'!C57)/6)&lt;='V06 Calend 01'!E57)),IF((116=('V06 Calend 01'!C57+(6*'V06 Calend 01'!E57))),('V06 Calend 01'!H57-('V06 Calend 01'!I57*('V06 Calend 01'!E57-1))),'V06 Calend 01'!I57),0))+IF((116='V06 Calend 01'!D57),'V06 Calend 01'!J57,0))</f>
        <v>0</v>
      </c>
      <c r="DY57" s="2">
        <f>((IF((117='V06 Calend 01'!C57),('V06 Calend 01'!F57+'V06 Calend 01'!G57),0)+IF(AND(('V06 Calend 01'!E57&gt;0),(117&gt;'V06 Calend 01'!C57),(117&lt;'V06 Calend 01'!D57),(MOD((117-'V06 Calend 01'!C57),6)=0),(((117-'V06 Calend 01'!C57)/6)&lt;='V06 Calend 01'!E57)),IF((117=('V06 Calend 01'!C57+(6*'V06 Calend 01'!E57))),('V06 Calend 01'!H57-('V06 Calend 01'!I57*('V06 Calend 01'!E57-1))),'V06 Calend 01'!I57),0))+IF((117='V06 Calend 01'!D57),'V06 Calend 01'!J57,0))</f>
        <v>0</v>
      </c>
      <c r="DZ57" s="2">
        <f>((IF((118='V06 Calend 01'!C57),('V06 Calend 01'!F57+'V06 Calend 01'!G57),0)+IF(AND(('V06 Calend 01'!E57&gt;0),(118&gt;'V06 Calend 01'!C57),(118&lt;'V06 Calend 01'!D57),(MOD((118-'V06 Calend 01'!C57),6)=0),(((118-'V06 Calend 01'!C57)/6)&lt;='V06 Calend 01'!E57)),IF((118=('V06 Calend 01'!C57+(6*'V06 Calend 01'!E57))),('V06 Calend 01'!H57-('V06 Calend 01'!I57*('V06 Calend 01'!E57-1))),'V06 Calend 01'!I57),0))+IF((118='V06 Calend 01'!D57),'V06 Calend 01'!J57,0))</f>
        <v>0</v>
      </c>
      <c r="EA57" s="2">
        <f>((IF((119='V06 Calend 01'!C57),('V06 Calend 01'!F57+'V06 Calend 01'!G57),0)+IF(AND(('V06 Calend 01'!E57&gt;0),(119&gt;'V06 Calend 01'!C57),(119&lt;'V06 Calend 01'!D57),(MOD((119-'V06 Calend 01'!C57),6)=0),(((119-'V06 Calend 01'!C57)/6)&lt;='V06 Calend 01'!E57)),IF((119=('V06 Calend 01'!C57+(6*'V06 Calend 01'!E57))),('V06 Calend 01'!H57-('V06 Calend 01'!I57*('V06 Calend 01'!E57-1))),'V06 Calend 01'!I57),0))+IF((119='V06 Calend 01'!D57),'V06 Calend 01'!J57,0))</f>
        <v>0</v>
      </c>
      <c r="EB57" s="2">
        <f>((IF((120='V06 Calend 01'!C57),('V06 Calend 01'!F57+'V06 Calend 01'!G57),0)+IF(AND(('V06 Calend 01'!E57&gt;0),(120&gt;'V06 Calend 01'!C57),(120&lt;'V06 Calend 01'!D57),(MOD((120-'V06 Calend 01'!C57),6)=0),(((120-'V06 Calend 01'!C57)/6)&lt;='V06 Calend 01'!E57)),IF((120=('V06 Calend 01'!C57+(6*'V06 Calend 01'!E57))),('V06 Calend 01'!H57-('V06 Calend 01'!I57*('V06 Calend 01'!E57-1))),'V06 Calend 01'!I57),0))+IF((120='V06 Calend 01'!D57),'V06 Calend 01'!J57,0))</f>
        <v>0</v>
      </c>
      <c r="EC57" s="2">
        <f>((IF((121='V06 Calend 01'!C57),('V06 Calend 01'!F57+'V06 Calend 01'!G57),0)+IF(AND(('V06 Calend 01'!E57&gt;0),(121&gt;'V06 Calend 01'!C57),(121&lt;'V06 Calend 01'!D57),(MOD((121-'V06 Calend 01'!C57),6)=0),(((121-'V06 Calend 01'!C57)/6)&lt;='V06 Calend 01'!E57)),IF((121=('V06 Calend 01'!C57+(6*'V06 Calend 01'!E57))),('V06 Calend 01'!H57-('V06 Calend 01'!I57*('V06 Calend 01'!E57-1))),'V06 Calend 01'!I57),0))+IF((121='V06 Calend 01'!D57),'V06 Calend 01'!J57,0))</f>
        <v>0</v>
      </c>
      <c r="ED57" s="2">
        <f>((IF((122='V06 Calend 01'!C57),('V06 Calend 01'!F57+'V06 Calend 01'!G57),0)+IF(AND(('V06 Calend 01'!E57&gt;0),(122&gt;'V06 Calend 01'!C57),(122&lt;'V06 Calend 01'!D57),(MOD((122-'V06 Calend 01'!C57),6)=0),(((122-'V06 Calend 01'!C57)/6)&lt;='V06 Calend 01'!E57)),IF((122=('V06 Calend 01'!C57+(6*'V06 Calend 01'!E57))),('V06 Calend 01'!H57-('V06 Calend 01'!I57*('V06 Calend 01'!E57-1))),'V06 Calend 01'!I57),0))+IF((122='V06 Calend 01'!D57),'V06 Calend 01'!J57,0))</f>
        <v>0</v>
      </c>
      <c r="EE57" s="2">
        <f>((IF((123='V06 Calend 01'!C57),('V06 Calend 01'!F57+'V06 Calend 01'!G57),0)+IF(AND(('V06 Calend 01'!E57&gt;0),(123&gt;'V06 Calend 01'!C57),(123&lt;'V06 Calend 01'!D57),(MOD((123-'V06 Calend 01'!C57),6)=0),(((123-'V06 Calend 01'!C57)/6)&lt;='V06 Calend 01'!E57)),IF((123=('V06 Calend 01'!C57+(6*'V06 Calend 01'!E57))),('V06 Calend 01'!H57-('V06 Calend 01'!I57*('V06 Calend 01'!E57-1))),'V06 Calend 01'!I57),0))+IF((123='V06 Calend 01'!D57),'V06 Calend 01'!J57,0))</f>
        <v>0</v>
      </c>
      <c r="EF57" s="2">
        <f>((IF((124='V06 Calend 01'!C57),('V06 Calend 01'!F57+'V06 Calend 01'!G57),0)+IF(AND(('V06 Calend 01'!E57&gt;0),(124&gt;'V06 Calend 01'!C57),(124&lt;'V06 Calend 01'!D57),(MOD((124-'V06 Calend 01'!C57),6)=0),(((124-'V06 Calend 01'!C57)/6)&lt;='V06 Calend 01'!E57)),IF((124=('V06 Calend 01'!C57+(6*'V06 Calend 01'!E57))),('V06 Calend 01'!H57-('V06 Calend 01'!I57*('V06 Calend 01'!E57-1))),'V06 Calend 01'!I57),0))+IF((124='V06 Calend 01'!D57),'V06 Calend 01'!J57,0))</f>
        <v>0</v>
      </c>
      <c r="EG57" s="2">
        <f>((IF((125='V06 Calend 01'!C57),('V06 Calend 01'!F57+'V06 Calend 01'!G57),0)+IF(AND(('V06 Calend 01'!E57&gt;0),(125&gt;'V06 Calend 01'!C57),(125&lt;'V06 Calend 01'!D57),(MOD((125-'V06 Calend 01'!C57),6)=0),(((125-'V06 Calend 01'!C57)/6)&lt;='V06 Calend 01'!E57)),IF((125=('V06 Calend 01'!C57+(6*'V06 Calend 01'!E57))),('V06 Calend 01'!H57-('V06 Calend 01'!I57*('V06 Calend 01'!E57-1))),'V06 Calend 01'!I57),0))+IF((125='V06 Calend 01'!D57),'V06 Calend 01'!J57,0))</f>
        <v>0</v>
      </c>
      <c r="EH57" s="2">
        <f>((IF((126='V06 Calend 01'!C57),('V06 Calend 01'!F57+'V06 Calend 01'!G57),0)+IF(AND(('V06 Calend 01'!E57&gt;0),(126&gt;'V06 Calend 01'!C57),(126&lt;'V06 Calend 01'!D57),(MOD((126-'V06 Calend 01'!C57),6)=0),(((126-'V06 Calend 01'!C57)/6)&lt;='V06 Calend 01'!E57)),IF((126=('V06 Calend 01'!C57+(6*'V06 Calend 01'!E57))),('V06 Calend 01'!H57-('V06 Calend 01'!I57*('V06 Calend 01'!E57-1))),'V06 Calend 01'!I57),0))+IF((126='V06 Calend 01'!D57),'V06 Calend 01'!J57,0))</f>
        <v>0</v>
      </c>
      <c r="EI57" s="2">
        <f>((IF((127='V06 Calend 01'!C57),('V06 Calend 01'!F57+'V06 Calend 01'!G57),0)+IF(AND(('V06 Calend 01'!E57&gt;0),(127&gt;'V06 Calend 01'!C57),(127&lt;'V06 Calend 01'!D57),(MOD((127-'V06 Calend 01'!C57),6)=0),(((127-'V06 Calend 01'!C57)/6)&lt;='V06 Calend 01'!E57)),IF((127=('V06 Calend 01'!C57+(6*'V06 Calend 01'!E57))),('V06 Calend 01'!H57-('V06 Calend 01'!I57*('V06 Calend 01'!E57-1))),'V06 Calend 01'!I57),0))+IF((127='V06 Calend 01'!D57),'V06 Calend 01'!J57,0))</f>
        <v>0</v>
      </c>
      <c r="EJ57" s="2">
        <f>((IF((128='V06 Calend 01'!C57),('V06 Calend 01'!F57+'V06 Calend 01'!G57),0)+IF(AND(('V06 Calend 01'!E57&gt;0),(128&gt;'V06 Calend 01'!C57),(128&lt;'V06 Calend 01'!D57),(MOD((128-'V06 Calend 01'!C57),6)=0),(((128-'V06 Calend 01'!C57)/6)&lt;='V06 Calend 01'!E57)),IF((128=('V06 Calend 01'!C57+(6*'V06 Calend 01'!E57))),('V06 Calend 01'!H57-('V06 Calend 01'!I57*('V06 Calend 01'!E57-1))),'V06 Calend 01'!I57),0))+IF((128='V06 Calend 01'!D57),'V06 Calend 01'!J57,0))</f>
        <v>0</v>
      </c>
      <c r="EK57" s="2">
        <f>((IF((129='V06 Calend 01'!C57),('V06 Calend 01'!F57+'V06 Calend 01'!G57),0)+IF(AND(('V06 Calend 01'!E57&gt;0),(129&gt;'V06 Calend 01'!C57),(129&lt;'V06 Calend 01'!D57),(MOD((129-'V06 Calend 01'!C57),6)=0),(((129-'V06 Calend 01'!C57)/6)&lt;='V06 Calend 01'!E57)),IF((129=('V06 Calend 01'!C57+(6*'V06 Calend 01'!E57))),('V06 Calend 01'!H57-('V06 Calend 01'!I57*('V06 Calend 01'!E57-1))),'V06 Calend 01'!I57),0))+IF((129='V06 Calend 01'!D57),'V06 Calend 01'!J57,0))</f>
        <v>0</v>
      </c>
      <c r="EL57" s="2">
        <f>((IF((130='V06 Calend 01'!C57),('V06 Calend 01'!F57+'V06 Calend 01'!G57),0)+IF(AND(('V06 Calend 01'!E57&gt;0),(130&gt;'V06 Calend 01'!C57),(130&lt;'V06 Calend 01'!D57),(MOD((130-'V06 Calend 01'!C57),6)=0),(((130-'V06 Calend 01'!C57)/6)&lt;='V06 Calend 01'!E57)),IF((130=('V06 Calend 01'!C57+(6*'V06 Calend 01'!E57))),('V06 Calend 01'!H57-('V06 Calend 01'!I57*('V06 Calend 01'!E57-1))),'V06 Calend 01'!I57),0))+IF((130='V06 Calend 01'!D57),'V06 Calend 01'!J57,0))</f>
        <v>0</v>
      </c>
      <c r="EM57" s="2">
        <f>((IF((131='V06 Calend 01'!C57),('V06 Calend 01'!F57+'V06 Calend 01'!G57),0)+IF(AND(('V06 Calend 01'!E57&gt;0),(131&gt;'V06 Calend 01'!C57),(131&lt;'V06 Calend 01'!D57),(MOD((131-'V06 Calend 01'!C57),6)=0),(((131-'V06 Calend 01'!C57)/6)&lt;='V06 Calend 01'!E57)),IF((131=('V06 Calend 01'!C57+(6*'V06 Calend 01'!E57))),('V06 Calend 01'!H57-('V06 Calend 01'!I57*('V06 Calend 01'!E57-1))),'V06 Calend 01'!I57),0))+IF((131='V06 Calend 01'!D57),'V06 Calend 01'!J57,0))</f>
        <v>0</v>
      </c>
      <c r="EN57" s="2">
        <f>((IF((132='V06 Calend 01'!C57),('V06 Calend 01'!F57+'V06 Calend 01'!G57),0)+IF(AND(('V06 Calend 01'!E57&gt;0),(132&gt;'V06 Calend 01'!C57),(132&lt;'V06 Calend 01'!D57),(MOD((132-'V06 Calend 01'!C57),6)=0),(((132-'V06 Calend 01'!C57)/6)&lt;='V06 Calend 01'!E57)),IF((132=('V06 Calend 01'!C57+(6*'V06 Calend 01'!E57))),('V06 Calend 01'!H57-('V06 Calend 01'!I57*('V06 Calend 01'!E57-1))),'V06 Calend 01'!I57),0))+IF((132='V06 Calend 01'!D57),'V06 Calend 01'!J57,0))</f>
        <v>0</v>
      </c>
      <c r="EO57" s="2">
        <f>((IF((133='V06 Calend 01'!C57),('V06 Calend 01'!F57+'V06 Calend 01'!G57),0)+IF(AND(('V06 Calend 01'!E57&gt;0),(133&gt;'V06 Calend 01'!C57),(133&lt;'V06 Calend 01'!D57),(MOD((133-'V06 Calend 01'!C57),6)=0),(((133-'V06 Calend 01'!C57)/6)&lt;='V06 Calend 01'!E57)),IF((133=('V06 Calend 01'!C57+(6*'V06 Calend 01'!E57))),('V06 Calend 01'!H57-('V06 Calend 01'!I57*('V06 Calend 01'!E57-1))),'V06 Calend 01'!I57),0))+IF((133='V06 Calend 01'!D57),'V06 Calend 01'!J57,0))</f>
        <v>0</v>
      </c>
      <c r="EP57" s="2">
        <f>((IF((134='V06 Calend 01'!C57),('V06 Calend 01'!F57+'V06 Calend 01'!G57),0)+IF(AND(('V06 Calend 01'!E57&gt;0),(134&gt;'V06 Calend 01'!C57),(134&lt;'V06 Calend 01'!D57),(MOD((134-'V06 Calend 01'!C57),6)=0),(((134-'V06 Calend 01'!C57)/6)&lt;='V06 Calend 01'!E57)),IF((134=('V06 Calend 01'!C57+(6*'V06 Calend 01'!E57))),('V06 Calend 01'!H57-('V06 Calend 01'!I57*('V06 Calend 01'!E57-1))),'V06 Calend 01'!I57),0))+IF((134='V06 Calend 01'!D57),'V06 Calend 01'!J57,0))</f>
        <v>0</v>
      </c>
      <c r="EQ57" s="2">
        <f>((IF((135='V06 Calend 01'!C57),('V06 Calend 01'!F57+'V06 Calend 01'!G57),0)+IF(AND(('V06 Calend 01'!E57&gt;0),(135&gt;'V06 Calend 01'!C57),(135&lt;'V06 Calend 01'!D57),(MOD((135-'V06 Calend 01'!C57),6)=0),(((135-'V06 Calend 01'!C57)/6)&lt;='V06 Calend 01'!E57)),IF((135=('V06 Calend 01'!C57+(6*'V06 Calend 01'!E57))),('V06 Calend 01'!H57-('V06 Calend 01'!I57*('V06 Calend 01'!E57-1))),'V06 Calend 01'!I57),0))+IF((135='V06 Calend 01'!D57),'V06 Calend 01'!J57,0))</f>
        <v>0</v>
      </c>
      <c r="ER57" s="2">
        <f>((IF((136='V06 Calend 01'!C57),('V06 Calend 01'!F57+'V06 Calend 01'!G57),0)+IF(AND(('V06 Calend 01'!E57&gt;0),(136&gt;'V06 Calend 01'!C57),(136&lt;'V06 Calend 01'!D57),(MOD((136-'V06 Calend 01'!C57),6)=0),(((136-'V06 Calend 01'!C57)/6)&lt;='V06 Calend 01'!E57)),IF((136=('V06 Calend 01'!C57+(6*'V06 Calend 01'!E57))),('V06 Calend 01'!H57-('V06 Calend 01'!I57*('V06 Calend 01'!E57-1))),'V06 Calend 01'!I57),0))+IF((136='V06 Calend 01'!D57),'V06 Calend 01'!J57,0))</f>
        <v>0</v>
      </c>
      <c r="ES57" s="2">
        <f>((IF((137='V06 Calend 01'!C57),('V06 Calend 01'!F57+'V06 Calend 01'!G57),0)+IF(AND(('V06 Calend 01'!E57&gt;0),(137&gt;'V06 Calend 01'!C57),(137&lt;'V06 Calend 01'!D57),(MOD((137-'V06 Calend 01'!C57),6)=0),(((137-'V06 Calend 01'!C57)/6)&lt;='V06 Calend 01'!E57)),IF((137=('V06 Calend 01'!C57+(6*'V06 Calend 01'!E57))),('V06 Calend 01'!H57-('V06 Calend 01'!I57*('V06 Calend 01'!E57-1))),'V06 Calend 01'!I57),0))+IF((137='V06 Calend 01'!D57),'V06 Calend 01'!J57,0))</f>
        <v>0</v>
      </c>
      <c r="ET57" s="2">
        <f>((IF((138='V06 Calend 01'!C57),('V06 Calend 01'!F57+'V06 Calend 01'!G57),0)+IF(AND(('V06 Calend 01'!E57&gt;0),(138&gt;'V06 Calend 01'!C57),(138&lt;'V06 Calend 01'!D57),(MOD((138-'V06 Calend 01'!C57),6)=0),(((138-'V06 Calend 01'!C57)/6)&lt;='V06 Calend 01'!E57)),IF((138=('V06 Calend 01'!C57+(6*'V06 Calend 01'!E57))),('V06 Calend 01'!H57-('V06 Calend 01'!I57*('V06 Calend 01'!E57-1))),'V06 Calend 01'!I57),0))+IF((138='V06 Calend 01'!D57),'V06 Calend 01'!J57,0))</f>
        <v>0</v>
      </c>
      <c r="EU57" s="2">
        <f>((IF((139='V06 Calend 01'!C57),('V06 Calend 01'!F57+'V06 Calend 01'!G57),0)+IF(AND(('V06 Calend 01'!E57&gt;0),(139&gt;'V06 Calend 01'!C57),(139&lt;'V06 Calend 01'!D57),(MOD((139-'V06 Calend 01'!C57),6)=0),(((139-'V06 Calend 01'!C57)/6)&lt;='V06 Calend 01'!E57)),IF((139=('V06 Calend 01'!C57+(6*'V06 Calend 01'!E57))),('V06 Calend 01'!H57-('V06 Calend 01'!I57*('V06 Calend 01'!E57-1))),'V06 Calend 01'!I57),0))+IF((139='V06 Calend 01'!D57),'V06 Calend 01'!J57,0))</f>
        <v>0</v>
      </c>
      <c r="EV57" s="2">
        <f>((IF((140='V06 Calend 01'!C57),('V06 Calend 01'!F57+'V06 Calend 01'!G57),0)+IF(AND(('V06 Calend 01'!E57&gt;0),(140&gt;'V06 Calend 01'!C57),(140&lt;'V06 Calend 01'!D57),(MOD((140-'V06 Calend 01'!C57),6)=0),(((140-'V06 Calend 01'!C57)/6)&lt;='V06 Calend 01'!E57)),IF((140=('V06 Calend 01'!C57+(6*'V06 Calend 01'!E57))),('V06 Calend 01'!H57-('V06 Calend 01'!I57*('V06 Calend 01'!E57-1))),'V06 Calend 01'!I57),0))+IF((140='V06 Calend 01'!D57),'V06 Calend 01'!J57,0))</f>
        <v>0</v>
      </c>
      <c r="EW57" s="2">
        <f>((IF((141='V06 Calend 01'!C57),('V06 Calend 01'!F57+'V06 Calend 01'!G57),0)+IF(AND(('V06 Calend 01'!E57&gt;0),(141&gt;'V06 Calend 01'!C57),(141&lt;'V06 Calend 01'!D57),(MOD((141-'V06 Calend 01'!C57),6)=0),(((141-'V06 Calend 01'!C57)/6)&lt;='V06 Calend 01'!E57)),IF((141=('V06 Calend 01'!C57+(6*'V06 Calend 01'!E57))),('V06 Calend 01'!H57-('V06 Calend 01'!I57*('V06 Calend 01'!E57-1))),'V06 Calend 01'!I57),0))+IF((141='V06 Calend 01'!D57),'V06 Calend 01'!J57,0))</f>
        <v>0</v>
      </c>
      <c r="EX57" s="2">
        <f>((IF((142='V06 Calend 01'!C57),('V06 Calend 01'!F57+'V06 Calend 01'!G57),0)+IF(AND(('V06 Calend 01'!E57&gt;0),(142&gt;'V06 Calend 01'!C57),(142&lt;'V06 Calend 01'!D57),(MOD((142-'V06 Calend 01'!C57),6)=0),(((142-'V06 Calend 01'!C57)/6)&lt;='V06 Calend 01'!E57)),IF((142=('V06 Calend 01'!C57+(6*'V06 Calend 01'!E57))),('V06 Calend 01'!H57-('V06 Calend 01'!I57*('V06 Calend 01'!E57-1))),'V06 Calend 01'!I57),0))+IF((142='V06 Calend 01'!D57),'V06 Calend 01'!J57,0))</f>
        <v>0</v>
      </c>
      <c r="EY57" s="2">
        <f>((IF((143='V06 Calend 01'!C57),('V06 Calend 01'!F57+'V06 Calend 01'!G57),0)+IF(AND(('V06 Calend 01'!E57&gt;0),(143&gt;'V06 Calend 01'!C57),(143&lt;'V06 Calend 01'!D57),(MOD((143-'V06 Calend 01'!C57),6)=0),(((143-'V06 Calend 01'!C57)/6)&lt;='V06 Calend 01'!E57)),IF((143=('V06 Calend 01'!C57+(6*'V06 Calend 01'!E57))),('V06 Calend 01'!H57-('V06 Calend 01'!I57*('V06 Calend 01'!E57-1))),'V06 Calend 01'!I57),0))+IF((143='V06 Calend 01'!D57),'V06 Calend 01'!J57,0))</f>
        <v>0</v>
      </c>
      <c r="EZ57" s="2">
        <f>((IF((144='V06 Calend 01'!C57),('V06 Calend 01'!F57+'V06 Calend 01'!G57),0)+IF(AND(('V06 Calend 01'!E57&gt;0),(144&gt;'V06 Calend 01'!C57),(144&lt;'V06 Calend 01'!D57),(MOD((144-'V06 Calend 01'!C57),6)=0),(((144-'V06 Calend 01'!C57)/6)&lt;='V06 Calend 01'!E57)),IF((144=('V06 Calend 01'!C57+(6*'V06 Calend 01'!E57))),('V06 Calend 01'!H57-('V06 Calend 01'!I57*('V06 Calend 01'!E57-1))),'V06 Calend 01'!I57),0))+IF((144='V06 Calend 01'!D57),'V06 Calend 01'!J57,0))</f>
        <v>0</v>
      </c>
      <c r="FA57" s="2">
        <f>((IF((145='V06 Calend 01'!C57),('V06 Calend 01'!F57+'V06 Calend 01'!G57),0)+IF(AND(('V06 Calend 01'!E57&gt;0),(145&gt;'V06 Calend 01'!C57),(145&lt;'V06 Calend 01'!D57),(MOD((145-'V06 Calend 01'!C57),6)=0),(((145-'V06 Calend 01'!C57)/6)&lt;='V06 Calend 01'!E57)),IF((145=('V06 Calend 01'!C57+(6*'V06 Calend 01'!E57))),('V06 Calend 01'!H57-('V06 Calend 01'!I57*('V06 Calend 01'!E57-1))),'V06 Calend 01'!I57),0))+IF((145='V06 Calend 01'!D57),'V06 Calend 01'!J57,0))</f>
        <v>0</v>
      </c>
      <c r="FB57" s="2">
        <f>((IF((146='V06 Calend 01'!C57),('V06 Calend 01'!F57+'V06 Calend 01'!G57),0)+IF(AND(('V06 Calend 01'!E57&gt;0),(146&gt;'V06 Calend 01'!C57),(146&lt;'V06 Calend 01'!D57),(MOD((146-'V06 Calend 01'!C57),6)=0),(((146-'V06 Calend 01'!C57)/6)&lt;='V06 Calend 01'!E57)),IF((146=('V06 Calend 01'!C57+(6*'V06 Calend 01'!E57))),('V06 Calend 01'!H57-('V06 Calend 01'!I57*('V06 Calend 01'!E57-1))),'V06 Calend 01'!I57),0))+IF((146='V06 Calend 01'!D57),'V06 Calend 01'!J57,0))</f>
        <v>0</v>
      </c>
      <c r="FC57" s="2">
        <f>((IF((147='V06 Calend 01'!C57),('V06 Calend 01'!F57+'V06 Calend 01'!G57),0)+IF(AND(('V06 Calend 01'!E57&gt;0),(147&gt;'V06 Calend 01'!C57),(147&lt;'V06 Calend 01'!D57),(MOD((147-'V06 Calend 01'!C57),6)=0),(((147-'V06 Calend 01'!C57)/6)&lt;='V06 Calend 01'!E57)),IF((147=('V06 Calend 01'!C57+(6*'V06 Calend 01'!E57))),('V06 Calend 01'!H57-('V06 Calend 01'!I57*('V06 Calend 01'!E57-1))),'V06 Calend 01'!I57),0))+IF((147='V06 Calend 01'!D57),'V06 Calend 01'!J57,0))</f>
        <v>0</v>
      </c>
      <c r="FD57" s="2">
        <f>((IF((148='V06 Calend 01'!C57),('V06 Calend 01'!F57+'V06 Calend 01'!G57),0)+IF(AND(('V06 Calend 01'!E57&gt;0),(148&gt;'V06 Calend 01'!C57),(148&lt;'V06 Calend 01'!D57),(MOD((148-'V06 Calend 01'!C57),6)=0),(((148-'V06 Calend 01'!C57)/6)&lt;='V06 Calend 01'!E57)),IF((148=('V06 Calend 01'!C57+(6*'V06 Calend 01'!E57))),('V06 Calend 01'!H57-('V06 Calend 01'!I57*('V06 Calend 01'!E57-1))),'V06 Calend 01'!I57),0))+IF((148='V06 Calend 01'!D57),'V06 Calend 01'!J57,0))</f>
        <v>0</v>
      </c>
      <c r="FE57" s="2">
        <f>((IF((149='V06 Calend 01'!C57),('V06 Calend 01'!F57+'V06 Calend 01'!G57),0)+IF(AND(('V06 Calend 01'!E57&gt;0),(149&gt;'V06 Calend 01'!C57),(149&lt;'V06 Calend 01'!D57),(MOD((149-'V06 Calend 01'!C57),6)=0),(((149-'V06 Calend 01'!C57)/6)&lt;='V06 Calend 01'!E57)),IF((149=('V06 Calend 01'!C57+(6*'V06 Calend 01'!E57))),('V06 Calend 01'!H57-('V06 Calend 01'!I57*('V06 Calend 01'!E57-1))),'V06 Calend 01'!I57),0))+IF((149='V06 Calend 01'!D57),'V06 Calend 01'!J57,0))</f>
        <v>0</v>
      </c>
      <c r="FF57" s="2">
        <f>((IF((150='V06 Calend 01'!C57),('V06 Calend 01'!F57+'V06 Calend 01'!G57),0)+IF(AND(('V06 Calend 01'!E57&gt;0),(150&gt;'V06 Calend 01'!C57),(150&lt;'V06 Calend 01'!D57),(MOD((150-'V06 Calend 01'!C57),6)=0),(((150-'V06 Calend 01'!C57)/6)&lt;='V06 Calend 01'!E57)),IF((150=('V06 Calend 01'!C57+(6*'V06 Calend 01'!E57))),('V06 Calend 01'!H57-('V06 Calend 01'!I57*('V06 Calend 01'!E57-1))),'V06 Calend 01'!I57),0))+IF((150='V06 Calend 01'!D57),'V06 Calend 01'!J57,0))</f>
        <v>0</v>
      </c>
      <c r="FG57" s="2">
        <f>((IF((151='V06 Calend 01'!C57),('V06 Calend 01'!F57+'V06 Calend 01'!G57),0)+IF(AND(('V06 Calend 01'!E57&gt;0),(151&gt;'V06 Calend 01'!C57),(151&lt;'V06 Calend 01'!D57),(MOD((151-'V06 Calend 01'!C57),6)=0),(((151-'V06 Calend 01'!C57)/6)&lt;='V06 Calend 01'!E57)),IF((151=('V06 Calend 01'!C57+(6*'V06 Calend 01'!E57))),('V06 Calend 01'!H57-('V06 Calend 01'!I57*('V06 Calend 01'!E57-1))),'V06 Calend 01'!I57),0))+IF((151='V06 Calend 01'!D57),'V06 Calend 01'!J57,0))</f>
        <v>0</v>
      </c>
      <c r="FH57" s="2">
        <f>((IF((152='V06 Calend 01'!C57),('V06 Calend 01'!F57+'V06 Calend 01'!G57),0)+IF(AND(('V06 Calend 01'!E57&gt;0),(152&gt;'V06 Calend 01'!C57),(152&lt;'V06 Calend 01'!D57),(MOD((152-'V06 Calend 01'!C57),6)=0),(((152-'V06 Calend 01'!C57)/6)&lt;='V06 Calend 01'!E57)),IF((152=('V06 Calend 01'!C57+(6*'V06 Calend 01'!E57))),('V06 Calend 01'!H57-('V06 Calend 01'!I57*('V06 Calend 01'!E57-1))),'V06 Calend 01'!I57),0))+IF((152='V06 Calend 01'!D57),'V06 Calend 01'!J57,0))</f>
        <v>0</v>
      </c>
      <c r="FI57" s="2">
        <f>((IF((153='V06 Calend 01'!C57),('V06 Calend 01'!F57+'V06 Calend 01'!G57),0)+IF(AND(('V06 Calend 01'!E57&gt;0),(153&gt;'V06 Calend 01'!C57),(153&lt;'V06 Calend 01'!D57),(MOD((153-'V06 Calend 01'!C57),6)=0),(((153-'V06 Calend 01'!C57)/6)&lt;='V06 Calend 01'!E57)),IF((153=('V06 Calend 01'!C57+(6*'V06 Calend 01'!E57))),('V06 Calend 01'!H57-('V06 Calend 01'!I57*('V06 Calend 01'!E57-1))),'V06 Calend 01'!I57),0))+IF((153='V06 Calend 01'!D57),'V06 Calend 01'!J57,0))</f>
        <v>0</v>
      </c>
      <c r="FJ57" s="2">
        <f>((IF((154='V06 Calend 01'!C57),('V06 Calend 01'!F57+'V06 Calend 01'!G57),0)+IF(AND(('V06 Calend 01'!E57&gt;0),(154&gt;'V06 Calend 01'!C57),(154&lt;'V06 Calend 01'!D57),(MOD((154-'V06 Calend 01'!C57),6)=0),(((154-'V06 Calend 01'!C57)/6)&lt;='V06 Calend 01'!E57)),IF((154=('V06 Calend 01'!C57+(6*'V06 Calend 01'!E57))),('V06 Calend 01'!H57-('V06 Calend 01'!I57*('V06 Calend 01'!E57-1))),'V06 Calend 01'!I57),0))+IF((154='V06 Calend 01'!D57),'V06 Calend 01'!J57,0))</f>
        <v>0</v>
      </c>
      <c r="FK57" s="2">
        <f>((IF((155='V06 Calend 01'!C57),('V06 Calend 01'!F57+'V06 Calend 01'!G57),0)+IF(AND(('V06 Calend 01'!E57&gt;0),(155&gt;'V06 Calend 01'!C57),(155&lt;'V06 Calend 01'!D57),(MOD((155-'V06 Calend 01'!C57),6)=0),(((155-'V06 Calend 01'!C57)/6)&lt;='V06 Calend 01'!E57)),IF((155=('V06 Calend 01'!C57+(6*'V06 Calend 01'!E57))),('V06 Calend 01'!H57-('V06 Calend 01'!I57*('V06 Calend 01'!E57-1))),'V06 Calend 01'!I57),0))+IF((155='V06 Calend 01'!D57),'V06 Calend 01'!J57,0))</f>
        <v>0</v>
      </c>
      <c r="FL57" s="2">
        <f>((IF((156='V06 Calend 01'!C57),('V06 Calend 01'!F57+'V06 Calend 01'!G57),0)+IF(AND(('V06 Calend 01'!E57&gt;0),(156&gt;'V06 Calend 01'!C57),(156&lt;'V06 Calend 01'!D57),(MOD((156-'V06 Calend 01'!C57),6)=0),(((156-'V06 Calend 01'!C57)/6)&lt;='V06 Calend 01'!E57)),IF((156=('V06 Calend 01'!C57+(6*'V06 Calend 01'!E57))),('V06 Calend 01'!H57-('V06 Calend 01'!I57*('V06 Calend 01'!E57-1))),'V06 Calend 01'!I57),0))+IF((156='V06 Calend 01'!D57),'V06 Calend 01'!J57,0))</f>
        <v>0</v>
      </c>
      <c r="FM57" s="2">
        <f>((IF((157='V06 Calend 01'!C57),('V06 Calend 01'!F57+'V06 Calend 01'!G57),0)+IF(AND(('V06 Calend 01'!E57&gt;0),(157&gt;'V06 Calend 01'!C57),(157&lt;'V06 Calend 01'!D57),(MOD((157-'V06 Calend 01'!C57),6)=0),(((157-'V06 Calend 01'!C57)/6)&lt;='V06 Calend 01'!E57)),IF((157=('V06 Calend 01'!C57+(6*'V06 Calend 01'!E57))),('V06 Calend 01'!H57-('V06 Calend 01'!I57*('V06 Calend 01'!E57-1))),'V06 Calend 01'!I57),0))+IF((157='V06 Calend 01'!D57),'V06 Calend 01'!J57,0))</f>
        <v>0</v>
      </c>
      <c r="FN57" s="2">
        <f>((IF((158='V06 Calend 01'!C57),('V06 Calend 01'!F57+'V06 Calend 01'!G57),0)+IF(AND(('V06 Calend 01'!E57&gt;0),(158&gt;'V06 Calend 01'!C57),(158&lt;'V06 Calend 01'!D57),(MOD((158-'V06 Calend 01'!C57),6)=0),(((158-'V06 Calend 01'!C57)/6)&lt;='V06 Calend 01'!E57)),IF((158=('V06 Calend 01'!C57+(6*'V06 Calend 01'!E57))),('V06 Calend 01'!H57-('V06 Calend 01'!I57*('V06 Calend 01'!E57-1))),'V06 Calend 01'!I57),0))+IF((158='V06 Calend 01'!D57),'V06 Calend 01'!J57,0))</f>
        <v>0</v>
      </c>
      <c r="FO57" s="2">
        <f>((IF((159='V06 Calend 01'!C57),('V06 Calend 01'!F57+'V06 Calend 01'!G57),0)+IF(AND(('V06 Calend 01'!E57&gt;0),(159&gt;'V06 Calend 01'!C57),(159&lt;'V06 Calend 01'!D57),(MOD((159-'V06 Calend 01'!C57),6)=0),(((159-'V06 Calend 01'!C57)/6)&lt;='V06 Calend 01'!E57)),IF((159=('V06 Calend 01'!C57+(6*'V06 Calend 01'!E57))),('V06 Calend 01'!H57-('V06 Calend 01'!I57*('V06 Calend 01'!E57-1))),'V06 Calend 01'!I57),0))+IF((159='V06 Calend 01'!D57),'V06 Calend 01'!J57,0))</f>
        <v>0</v>
      </c>
      <c r="FP57" s="2">
        <f>((IF((160='V06 Calend 01'!C57),('V06 Calend 01'!F57+'V06 Calend 01'!G57),0)+IF(AND(('V06 Calend 01'!E57&gt;0),(160&gt;'V06 Calend 01'!C57),(160&lt;'V06 Calend 01'!D57),(MOD((160-'V06 Calend 01'!C57),6)=0),(((160-'V06 Calend 01'!C57)/6)&lt;='V06 Calend 01'!E57)),IF((160=('V06 Calend 01'!C57+(6*'V06 Calend 01'!E57))),('V06 Calend 01'!H57-('V06 Calend 01'!I57*('V06 Calend 01'!E57-1))),'V06 Calend 01'!I57),0))+IF((160='V06 Calend 01'!D57),'V06 Calend 01'!J57,0))</f>
        <v>0</v>
      </c>
      <c r="FQ57" s="2">
        <f>((IF((161='V06 Calend 01'!C57),('V06 Calend 01'!F57+'V06 Calend 01'!G57),0)+IF(AND(('V06 Calend 01'!E57&gt;0),(161&gt;'V06 Calend 01'!C57),(161&lt;'V06 Calend 01'!D57),(MOD((161-'V06 Calend 01'!C57),6)=0),(((161-'V06 Calend 01'!C57)/6)&lt;='V06 Calend 01'!E57)),IF((161=('V06 Calend 01'!C57+(6*'V06 Calend 01'!E57))),('V06 Calend 01'!H57-('V06 Calend 01'!I57*('V06 Calend 01'!E57-1))),'V06 Calend 01'!I57),0))+IF((161='V06 Calend 01'!D57),'V06 Calend 01'!J57,0))</f>
        <v>0</v>
      </c>
      <c r="FR57" s="2">
        <f>((IF((162='V06 Calend 01'!C57),('V06 Calend 01'!F57+'V06 Calend 01'!G57),0)+IF(AND(('V06 Calend 01'!E57&gt;0),(162&gt;'V06 Calend 01'!C57),(162&lt;'V06 Calend 01'!D57),(MOD((162-'V06 Calend 01'!C57),6)=0),(((162-'V06 Calend 01'!C57)/6)&lt;='V06 Calend 01'!E57)),IF((162=('V06 Calend 01'!C57+(6*'V06 Calend 01'!E57))),('V06 Calend 01'!H57-('V06 Calend 01'!I57*('V06 Calend 01'!E57-1))),'V06 Calend 01'!I57),0))+IF((162='V06 Calend 01'!D57),'V06 Calend 01'!J57,0))</f>
        <v>0</v>
      </c>
      <c r="FS57" s="2">
        <f>((IF((163='V06 Calend 01'!C57),('V06 Calend 01'!F57+'V06 Calend 01'!G57),0)+IF(AND(('V06 Calend 01'!E57&gt;0),(163&gt;'V06 Calend 01'!C57),(163&lt;'V06 Calend 01'!D57),(MOD((163-'V06 Calend 01'!C57),6)=0),(((163-'V06 Calend 01'!C57)/6)&lt;='V06 Calend 01'!E57)),IF((163=('V06 Calend 01'!C57+(6*'V06 Calend 01'!E57))),('V06 Calend 01'!H57-('V06 Calend 01'!I57*('V06 Calend 01'!E57-1))),'V06 Calend 01'!I57),0))+IF((163='V06 Calend 01'!D57),'V06 Calend 01'!J57,0))</f>
        <v>0</v>
      </c>
      <c r="FT57" s="2">
        <f>((IF((164='V06 Calend 01'!C57),('V06 Calend 01'!F57+'V06 Calend 01'!G57),0)+IF(AND(('V06 Calend 01'!E57&gt;0),(164&gt;'V06 Calend 01'!C57),(164&lt;'V06 Calend 01'!D57),(MOD((164-'V06 Calend 01'!C57),6)=0),(((164-'V06 Calend 01'!C57)/6)&lt;='V06 Calend 01'!E57)),IF((164=('V06 Calend 01'!C57+(6*'V06 Calend 01'!E57))),('V06 Calend 01'!H57-('V06 Calend 01'!I57*('V06 Calend 01'!E57-1))),'V06 Calend 01'!I57),0))+IF((164='V06 Calend 01'!D57),'V06 Calend 01'!J57,0))</f>
        <v>0</v>
      </c>
      <c r="FU57" s="2">
        <f>((IF((165='V06 Calend 01'!C57),('V06 Calend 01'!F57+'V06 Calend 01'!G57),0)+IF(AND(('V06 Calend 01'!E57&gt;0),(165&gt;'V06 Calend 01'!C57),(165&lt;'V06 Calend 01'!D57),(MOD((165-'V06 Calend 01'!C57),6)=0),(((165-'V06 Calend 01'!C57)/6)&lt;='V06 Calend 01'!E57)),IF((165=('V06 Calend 01'!C57+(6*'V06 Calend 01'!E57))),('V06 Calend 01'!H57-('V06 Calend 01'!I57*('V06 Calend 01'!E57-1))),'V06 Calend 01'!I57),0))+IF((165='V06 Calend 01'!D57),'V06 Calend 01'!J57,0))</f>
        <v>0</v>
      </c>
      <c r="FV57" s="2">
        <f>((IF((166='V06 Calend 01'!C57),('V06 Calend 01'!F57+'V06 Calend 01'!G57),0)+IF(AND(('V06 Calend 01'!E57&gt;0),(166&gt;'V06 Calend 01'!C57),(166&lt;'V06 Calend 01'!D57),(MOD((166-'V06 Calend 01'!C57),6)=0),(((166-'V06 Calend 01'!C57)/6)&lt;='V06 Calend 01'!E57)),IF((166=('V06 Calend 01'!C57+(6*'V06 Calend 01'!E57))),('V06 Calend 01'!H57-('V06 Calend 01'!I57*('V06 Calend 01'!E57-1))),'V06 Calend 01'!I57),0))+IF((166='V06 Calend 01'!D57),'V06 Calend 01'!J57,0))</f>
        <v>0</v>
      </c>
      <c r="FW57" s="2">
        <f>((IF((167='V06 Calend 01'!C57),('V06 Calend 01'!F57+'V06 Calend 01'!G57),0)+IF(AND(('V06 Calend 01'!E57&gt;0),(167&gt;'V06 Calend 01'!C57),(167&lt;'V06 Calend 01'!D57),(MOD((167-'V06 Calend 01'!C57),6)=0),(((167-'V06 Calend 01'!C57)/6)&lt;='V06 Calend 01'!E57)),IF((167=('V06 Calend 01'!C57+(6*'V06 Calend 01'!E57))),('V06 Calend 01'!H57-('V06 Calend 01'!I57*('V06 Calend 01'!E57-1))),'V06 Calend 01'!I57),0))+IF((167='V06 Calend 01'!D57),'V06 Calend 01'!J57,0))</f>
        <v>0</v>
      </c>
      <c r="FX57" s="2">
        <f>((IF((168='V06 Calend 01'!C57),('V06 Calend 01'!F57+'V06 Calend 01'!G57),0)+IF(AND(('V06 Calend 01'!E57&gt;0),(168&gt;'V06 Calend 01'!C57),(168&lt;'V06 Calend 01'!D57),(MOD((168-'V06 Calend 01'!C57),6)=0),(((168-'V06 Calend 01'!C57)/6)&lt;='V06 Calend 01'!E57)),IF((168=('V06 Calend 01'!C57+(6*'V06 Calend 01'!E57))),('V06 Calend 01'!H57-('V06 Calend 01'!I57*('V06 Calend 01'!E57-1))),'V06 Calend 01'!I57),0))+IF((168='V06 Calend 01'!D57),'V06 Calend 01'!J57,0))</f>
        <v>0</v>
      </c>
      <c r="FY57" s="2">
        <f>((IF((169='V06 Calend 01'!C57),('V06 Calend 01'!F57+'V06 Calend 01'!G57),0)+IF(AND(('V06 Calend 01'!E57&gt;0),(169&gt;'V06 Calend 01'!C57),(169&lt;'V06 Calend 01'!D57),(MOD((169-'V06 Calend 01'!C57),6)=0),(((169-'V06 Calend 01'!C57)/6)&lt;='V06 Calend 01'!E57)),IF((169=('V06 Calend 01'!C57+(6*'V06 Calend 01'!E57))),('V06 Calend 01'!H57-('V06 Calend 01'!I57*('V06 Calend 01'!E57-1))),'V06 Calend 01'!I57),0))+IF((169='V06 Calend 01'!D57),'V06 Calend 01'!J57,0))</f>
        <v>0</v>
      </c>
      <c r="FZ57" s="2">
        <f>((IF((170='V06 Calend 01'!C57),('V06 Calend 01'!F57+'V06 Calend 01'!G57),0)+IF(AND(('V06 Calend 01'!E57&gt;0),(170&gt;'V06 Calend 01'!C57),(170&lt;'V06 Calend 01'!D57),(MOD((170-'V06 Calend 01'!C57),6)=0),(((170-'V06 Calend 01'!C57)/6)&lt;='V06 Calend 01'!E57)),IF((170=('V06 Calend 01'!C57+(6*'V06 Calend 01'!E57))),('V06 Calend 01'!H57-('V06 Calend 01'!I57*('V06 Calend 01'!E57-1))),'V06 Calend 01'!I57),0))+IF((170='V06 Calend 01'!D57),'V06 Calend 01'!J57,0))</f>
        <v>0</v>
      </c>
      <c r="GA57" s="2">
        <f>((IF((171='V06 Calend 01'!C57),('V06 Calend 01'!F57+'V06 Calend 01'!G57),0)+IF(AND(('V06 Calend 01'!E57&gt;0),(171&gt;'V06 Calend 01'!C57),(171&lt;'V06 Calend 01'!D57),(MOD((171-'V06 Calend 01'!C57),6)=0),(((171-'V06 Calend 01'!C57)/6)&lt;='V06 Calend 01'!E57)),IF((171=('V06 Calend 01'!C57+(6*'V06 Calend 01'!E57))),('V06 Calend 01'!H57-('V06 Calend 01'!I57*('V06 Calend 01'!E57-1))),'V06 Calend 01'!I57),0))+IF((171='V06 Calend 01'!D57),'V06 Calend 01'!J57,0))</f>
        <v>0</v>
      </c>
      <c r="GB57" s="2">
        <f>((IF((172='V06 Calend 01'!C57),('V06 Calend 01'!F57+'V06 Calend 01'!G57),0)+IF(AND(('V06 Calend 01'!E57&gt;0),(172&gt;'V06 Calend 01'!C57),(172&lt;'V06 Calend 01'!D57),(MOD((172-'V06 Calend 01'!C57),6)=0),(((172-'V06 Calend 01'!C57)/6)&lt;='V06 Calend 01'!E57)),IF((172=('V06 Calend 01'!C57+(6*'V06 Calend 01'!E57))),('V06 Calend 01'!H57-('V06 Calend 01'!I57*('V06 Calend 01'!E57-1))),'V06 Calend 01'!I57),0))+IF((172='V06 Calend 01'!D57),'V06 Calend 01'!J57,0))</f>
        <v>0</v>
      </c>
      <c r="GC57" s="2">
        <f>((IF((173='V06 Calend 01'!C57),('V06 Calend 01'!F57+'V06 Calend 01'!G57),0)+IF(AND(('V06 Calend 01'!E57&gt;0),(173&gt;'V06 Calend 01'!C57),(173&lt;'V06 Calend 01'!D57),(MOD((173-'V06 Calend 01'!C57),6)=0),(((173-'V06 Calend 01'!C57)/6)&lt;='V06 Calend 01'!E57)),IF((173=('V06 Calend 01'!C57+(6*'V06 Calend 01'!E57))),('V06 Calend 01'!H57-('V06 Calend 01'!I57*('V06 Calend 01'!E57-1))),'V06 Calend 01'!I57),0))+IF((173='V06 Calend 01'!D57),'V06 Calend 01'!J57,0))</f>
        <v>0</v>
      </c>
      <c r="GD57" s="2">
        <f>((IF((174='V06 Calend 01'!C57),('V06 Calend 01'!F57+'V06 Calend 01'!G57),0)+IF(AND(('V06 Calend 01'!E57&gt;0),(174&gt;'V06 Calend 01'!C57),(174&lt;'V06 Calend 01'!D57),(MOD((174-'V06 Calend 01'!C57),6)=0),(((174-'V06 Calend 01'!C57)/6)&lt;='V06 Calend 01'!E57)),IF((174=('V06 Calend 01'!C57+(6*'V06 Calend 01'!E57))),('V06 Calend 01'!H57-('V06 Calend 01'!I57*('V06 Calend 01'!E57-1))),'V06 Calend 01'!I57),0))+IF((174='V06 Calend 01'!D57),'V06 Calend 01'!J57,0))</f>
        <v>0</v>
      </c>
      <c r="GE57" s="2">
        <f>((IF((175='V06 Calend 01'!C57),('V06 Calend 01'!F57+'V06 Calend 01'!G57),0)+IF(AND(('V06 Calend 01'!E57&gt;0),(175&gt;'V06 Calend 01'!C57),(175&lt;'V06 Calend 01'!D57),(MOD((175-'V06 Calend 01'!C57),6)=0),(((175-'V06 Calend 01'!C57)/6)&lt;='V06 Calend 01'!E57)),IF((175=('V06 Calend 01'!C57+(6*'V06 Calend 01'!E57))),('V06 Calend 01'!H57-('V06 Calend 01'!I57*('V06 Calend 01'!E57-1))),'V06 Calend 01'!I57),0))+IF((175='V06 Calend 01'!D57),'V06 Calend 01'!J57,0))</f>
        <v>0</v>
      </c>
      <c r="GF57" s="2">
        <f>((IF((176='V06 Calend 01'!C57),('V06 Calend 01'!F57+'V06 Calend 01'!G57),0)+IF(AND(('V06 Calend 01'!E57&gt;0),(176&gt;'V06 Calend 01'!C57),(176&lt;'V06 Calend 01'!D57),(MOD((176-'V06 Calend 01'!C57),6)=0),(((176-'V06 Calend 01'!C57)/6)&lt;='V06 Calend 01'!E57)),IF((176=('V06 Calend 01'!C57+(6*'V06 Calend 01'!E57))),('V06 Calend 01'!H57-('V06 Calend 01'!I57*('V06 Calend 01'!E57-1))),'V06 Calend 01'!I57),0))+IF((176='V06 Calend 01'!D57),'V06 Calend 01'!J57,0))</f>
        <v>0</v>
      </c>
      <c r="GG57" s="2">
        <f>((IF((177='V06 Calend 01'!C57),('V06 Calend 01'!F57+'V06 Calend 01'!G57),0)+IF(AND(('V06 Calend 01'!E57&gt;0),(177&gt;'V06 Calend 01'!C57),(177&lt;'V06 Calend 01'!D57),(MOD((177-'V06 Calend 01'!C57),6)=0),(((177-'V06 Calend 01'!C57)/6)&lt;='V06 Calend 01'!E57)),IF((177=('V06 Calend 01'!C57+(6*'V06 Calend 01'!E57))),('V06 Calend 01'!H57-('V06 Calend 01'!I57*('V06 Calend 01'!E57-1))),'V06 Calend 01'!I57),0))+IF((177='V06 Calend 01'!D57),'V06 Calend 01'!J57,0))</f>
        <v>0</v>
      </c>
      <c r="GH57" s="2">
        <f>((IF((178='V06 Calend 01'!C57),('V06 Calend 01'!F57+'V06 Calend 01'!G57),0)+IF(AND(('V06 Calend 01'!E57&gt;0),(178&gt;'V06 Calend 01'!C57),(178&lt;'V06 Calend 01'!D57),(MOD((178-'V06 Calend 01'!C57),6)=0),(((178-'V06 Calend 01'!C57)/6)&lt;='V06 Calend 01'!E57)),IF((178=('V06 Calend 01'!C57+(6*'V06 Calend 01'!E57))),('V06 Calend 01'!H57-('V06 Calend 01'!I57*('V06 Calend 01'!E57-1))),'V06 Calend 01'!I57),0))+IF((178='V06 Calend 01'!D57),'V06 Calend 01'!J57,0))</f>
        <v>0</v>
      </c>
      <c r="GI57" s="2">
        <f>((IF((179='V06 Calend 01'!C57),('V06 Calend 01'!F57+'V06 Calend 01'!G57),0)+IF(AND(('V06 Calend 01'!E57&gt;0),(179&gt;'V06 Calend 01'!C57),(179&lt;'V06 Calend 01'!D57),(MOD((179-'V06 Calend 01'!C57),6)=0),(((179-'V06 Calend 01'!C57)/6)&lt;='V06 Calend 01'!E57)),IF((179=('V06 Calend 01'!C57+(6*'V06 Calend 01'!E57))),('V06 Calend 01'!H57-('V06 Calend 01'!I57*('V06 Calend 01'!E57-1))),'V06 Calend 01'!I57),0))+IF((179='V06 Calend 01'!D57),'V06 Calend 01'!J57,0))</f>
        <v>0</v>
      </c>
      <c r="GJ57" s="2">
        <f>((IF((180='V06 Calend 01'!C57),('V06 Calend 01'!F57+'V06 Calend 01'!G57),0)+IF(AND(('V06 Calend 01'!E57&gt;0),(180&gt;'V06 Calend 01'!C57),(180&lt;'V06 Calend 01'!D57),(MOD((180-'V06 Calend 01'!C57),6)=0),(((180-'V06 Calend 01'!C57)/6)&lt;='V06 Calend 01'!E57)),IF((180=('V06 Calend 01'!C57+(6*'V06 Calend 01'!E57))),('V06 Calend 01'!H57-('V06 Calend 01'!I57*('V06 Calend 01'!E57-1))),'V06 Calend 01'!I57),0))+IF((180='V06 Calend 01'!D57),'V06 Calend 01'!J57,0))</f>
        <v>0</v>
      </c>
    </row>
    <row r="58" spans="1:192">
      <c r="A58" s="3" t="str">
        <f>'V06 Unidades'!$A$58</f>
        <v>704</v>
      </c>
      <c r="B58" s="2">
        <f>'V06 Unidades'!$H$58</f>
        <v>337968.59</v>
      </c>
      <c r="C58" s="4">
        <f>('V06 Unidades'!$I$58+'V06 Controlos'!$B$37)</f>
        <v>10</v>
      </c>
      <c r="D58" s="4">
        <f>IF(('V06 Controlos'!$B$38&gt;0),MAX(('V06 Unidades'!$L$58+'V06 Controlos'!$B$37),(30+'V06 Controlos'!$B$38)),('V06 Unidades'!$L$58+'V06 Controlos'!$B$37))</f>
        <v>30</v>
      </c>
      <c r="E58" s="4">
        <f>MAX(0,INT(((('V06 Calend 01'!D58-'V06 Calend 01'!C58)-1)/6)))</f>
        <v>3</v>
      </c>
      <c r="F58" s="2">
        <f>ROUND(('V06 Calend 01'!B58*0.05),2)</f>
        <v>16898.43</v>
      </c>
      <c r="G58" s="2">
        <f>ROUND(('V06 Calend 01'!B58*0.2),2)</f>
        <v>67593.72</v>
      </c>
      <c r="H58" s="2">
        <f>ROUND(('V06 Calend 01'!B58*0.55),2)</f>
        <v>185882.72</v>
      </c>
      <c r="I58" s="2">
        <f>ROUND(('V06 Calend 01'!H58/MAX(1,'V06 Calend 01'!E58)),2)</f>
        <v>61960.91</v>
      </c>
      <c r="J58" s="2">
        <f>((('V06 Calend 01'!B58-'V06 Calend 01'!F58)-'V06 Calend 01'!G58)-'V06 Calend 01'!H58)</f>
        <v>67593.72000000003</v>
      </c>
      <c r="K58" s="2">
        <f>('V06 Calend 01'!B58*0.025)</f>
        <v>8449.214750000001</v>
      </c>
      <c r="L58" t="s">
        <v>378</v>
      </c>
      <c r="M58" s="2">
        <f>((IF((1='V06 Calend 01'!C58),('V06 Calend 01'!F58+'V06 Calend 01'!G58),0)+IF(AND(('V06 Calend 01'!E58&gt;0),(1&gt;'V06 Calend 01'!C58),(1&lt;'V06 Calend 01'!D58),(MOD((1-'V06 Calend 01'!C58),6)=0),(((1-'V06 Calend 01'!C58)/6)&lt;='V06 Calend 01'!E58)),IF((1=('V06 Calend 01'!C58+(6*'V06 Calend 01'!E58))),('V06 Calend 01'!H58-('V06 Calend 01'!I58*('V06 Calend 01'!E58-1))),'V06 Calend 01'!I58),0))+IF((1='V06 Calend 01'!D58),'V06 Calend 01'!J58,0))</f>
        <v>0</v>
      </c>
      <c r="N58" s="2">
        <f>((IF((2='V06 Calend 01'!C58),('V06 Calend 01'!F58+'V06 Calend 01'!G58),0)+IF(AND(('V06 Calend 01'!E58&gt;0),(2&gt;'V06 Calend 01'!C58),(2&lt;'V06 Calend 01'!D58),(MOD((2-'V06 Calend 01'!C58),6)=0),(((2-'V06 Calend 01'!C58)/6)&lt;='V06 Calend 01'!E58)),IF((2=('V06 Calend 01'!C58+(6*'V06 Calend 01'!E58))),('V06 Calend 01'!H58-('V06 Calend 01'!I58*('V06 Calend 01'!E58-1))),'V06 Calend 01'!I58),0))+IF((2='V06 Calend 01'!D58),'V06 Calend 01'!J58,0))</f>
        <v>0</v>
      </c>
      <c r="O58" s="2">
        <f>((IF((3='V06 Calend 01'!C58),('V06 Calend 01'!F58+'V06 Calend 01'!G58),0)+IF(AND(('V06 Calend 01'!E58&gt;0),(3&gt;'V06 Calend 01'!C58),(3&lt;'V06 Calend 01'!D58),(MOD((3-'V06 Calend 01'!C58),6)=0),(((3-'V06 Calend 01'!C58)/6)&lt;='V06 Calend 01'!E58)),IF((3=('V06 Calend 01'!C58+(6*'V06 Calend 01'!E58))),('V06 Calend 01'!H58-('V06 Calend 01'!I58*('V06 Calend 01'!E58-1))),'V06 Calend 01'!I58),0))+IF((3='V06 Calend 01'!D58),'V06 Calend 01'!J58,0))</f>
        <v>0</v>
      </c>
      <c r="P58" s="2">
        <f>((IF((4='V06 Calend 01'!C58),('V06 Calend 01'!F58+'V06 Calend 01'!G58),0)+IF(AND(('V06 Calend 01'!E58&gt;0),(4&gt;'V06 Calend 01'!C58),(4&lt;'V06 Calend 01'!D58),(MOD((4-'V06 Calend 01'!C58),6)=0),(((4-'V06 Calend 01'!C58)/6)&lt;='V06 Calend 01'!E58)),IF((4=('V06 Calend 01'!C58+(6*'V06 Calend 01'!E58))),('V06 Calend 01'!H58-('V06 Calend 01'!I58*('V06 Calend 01'!E58-1))),'V06 Calend 01'!I58),0))+IF((4='V06 Calend 01'!D58),'V06 Calend 01'!J58,0))</f>
        <v>0</v>
      </c>
      <c r="Q58" s="2">
        <f>((IF((5='V06 Calend 01'!C58),('V06 Calend 01'!F58+'V06 Calend 01'!G58),0)+IF(AND(('V06 Calend 01'!E58&gt;0),(5&gt;'V06 Calend 01'!C58),(5&lt;'V06 Calend 01'!D58),(MOD((5-'V06 Calend 01'!C58),6)=0),(((5-'V06 Calend 01'!C58)/6)&lt;='V06 Calend 01'!E58)),IF((5=('V06 Calend 01'!C58+(6*'V06 Calend 01'!E58))),('V06 Calend 01'!H58-('V06 Calend 01'!I58*('V06 Calend 01'!E58-1))),'V06 Calend 01'!I58),0))+IF((5='V06 Calend 01'!D58),'V06 Calend 01'!J58,0))</f>
        <v>0</v>
      </c>
      <c r="R58" s="2">
        <f>((IF((6='V06 Calend 01'!C58),('V06 Calend 01'!F58+'V06 Calend 01'!G58),0)+IF(AND(('V06 Calend 01'!E58&gt;0),(6&gt;'V06 Calend 01'!C58),(6&lt;'V06 Calend 01'!D58),(MOD((6-'V06 Calend 01'!C58),6)=0),(((6-'V06 Calend 01'!C58)/6)&lt;='V06 Calend 01'!E58)),IF((6=('V06 Calend 01'!C58+(6*'V06 Calend 01'!E58))),('V06 Calend 01'!H58-('V06 Calend 01'!I58*('V06 Calend 01'!E58-1))),'V06 Calend 01'!I58),0))+IF((6='V06 Calend 01'!D58),'V06 Calend 01'!J58,0))</f>
        <v>0</v>
      </c>
      <c r="S58" s="2">
        <f>((IF((7='V06 Calend 01'!C58),('V06 Calend 01'!F58+'V06 Calend 01'!G58),0)+IF(AND(('V06 Calend 01'!E58&gt;0),(7&gt;'V06 Calend 01'!C58),(7&lt;'V06 Calend 01'!D58),(MOD((7-'V06 Calend 01'!C58),6)=0),(((7-'V06 Calend 01'!C58)/6)&lt;='V06 Calend 01'!E58)),IF((7=('V06 Calend 01'!C58+(6*'V06 Calend 01'!E58))),('V06 Calend 01'!H58-('V06 Calend 01'!I58*('V06 Calend 01'!E58-1))),'V06 Calend 01'!I58),0))+IF((7='V06 Calend 01'!D58),'V06 Calend 01'!J58,0))</f>
        <v>0</v>
      </c>
      <c r="T58" s="2">
        <f>((IF((8='V06 Calend 01'!C58),('V06 Calend 01'!F58+'V06 Calend 01'!G58),0)+IF(AND(('V06 Calend 01'!E58&gt;0),(8&gt;'V06 Calend 01'!C58),(8&lt;'V06 Calend 01'!D58),(MOD((8-'V06 Calend 01'!C58),6)=0),(((8-'V06 Calend 01'!C58)/6)&lt;='V06 Calend 01'!E58)),IF((8=('V06 Calend 01'!C58+(6*'V06 Calend 01'!E58))),('V06 Calend 01'!H58-('V06 Calend 01'!I58*('V06 Calend 01'!E58-1))),'V06 Calend 01'!I58),0))+IF((8='V06 Calend 01'!D58),'V06 Calend 01'!J58,0))</f>
        <v>0</v>
      </c>
      <c r="U58" s="2">
        <f>((IF((9='V06 Calend 01'!C58),('V06 Calend 01'!F58+'V06 Calend 01'!G58),0)+IF(AND(('V06 Calend 01'!E58&gt;0),(9&gt;'V06 Calend 01'!C58),(9&lt;'V06 Calend 01'!D58),(MOD((9-'V06 Calend 01'!C58),6)=0),(((9-'V06 Calend 01'!C58)/6)&lt;='V06 Calend 01'!E58)),IF((9=('V06 Calend 01'!C58+(6*'V06 Calend 01'!E58))),('V06 Calend 01'!H58-('V06 Calend 01'!I58*('V06 Calend 01'!E58-1))),'V06 Calend 01'!I58),0))+IF((9='V06 Calend 01'!D58),'V06 Calend 01'!J58,0))</f>
        <v>0</v>
      </c>
      <c r="V58" s="2">
        <f>((IF((10='V06 Calend 01'!C58),('V06 Calend 01'!F58+'V06 Calend 01'!G58),0)+IF(AND(('V06 Calend 01'!E58&gt;0),(10&gt;'V06 Calend 01'!C58),(10&lt;'V06 Calend 01'!D58),(MOD((10-'V06 Calend 01'!C58),6)=0),(((10-'V06 Calend 01'!C58)/6)&lt;='V06 Calend 01'!E58)),IF((10=('V06 Calend 01'!C58+(6*'V06 Calend 01'!E58))),('V06 Calend 01'!H58-('V06 Calend 01'!I58*('V06 Calend 01'!E58-1))),'V06 Calend 01'!I58),0))+IF((10='V06 Calend 01'!D58),'V06 Calend 01'!J58,0))</f>
        <v>84492.15</v>
      </c>
      <c r="W58" s="2">
        <f>((IF((11='V06 Calend 01'!C58),('V06 Calend 01'!F58+'V06 Calend 01'!G58),0)+IF(AND(('V06 Calend 01'!E58&gt;0),(11&gt;'V06 Calend 01'!C58),(11&lt;'V06 Calend 01'!D58),(MOD((11-'V06 Calend 01'!C58),6)=0),(((11-'V06 Calend 01'!C58)/6)&lt;='V06 Calend 01'!E58)),IF((11=('V06 Calend 01'!C58+(6*'V06 Calend 01'!E58))),('V06 Calend 01'!H58-('V06 Calend 01'!I58*('V06 Calend 01'!E58-1))),'V06 Calend 01'!I58),0))+IF((11='V06 Calend 01'!D58),'V06 Calend 01'!J58,0))</f>
        <v>0</v>
      </c>
      <c r="X58" s="2">
        <f>((IF((12='V06 Calend 01'!C58),('V06 Calend 01'!F58+'V06 Calend 01'!G58),0)+IF(AND(('V06 Calend 01'!E58&gt;0),(12&gt;'V06 Calend 01'!C58),(12&lt;'V06 Calend 01'!D58),(MOD((12-'V06 Calend 01'!C58),6)=0),(((12-'V06 Calend 01'!C58)/6)&lt;='V06 Calend 01'!E58)),IF((12=('V06 Calend 01'!C58+(6*'V06 Calend 01'!E58))),('V06 Calend 01'!H58-('V06 Calend 01'!I58*('V06 Calend 01'!E58-1))),'V06 Calend 01'!I58),0))+IF((12='V06 Calend 01'!D58),'V06 Calend 01'!J58,0))</f>
        <v>0</v>
      </c>
      <c r="Y58" s="2">
        <f>((IF((13='V06 Calend 01'!C58),('V06 Calend 01'!F58+'V06 Calend 01'!G58),0)+IF(AND(('V06 Calend 01'!E58&gt;0),(13&gt;'V06 Calend 01'!C58),(13&lt;'V06 Calend 01'!D58),(MOD((13-'V06 Calend 01'!C58),6)=0),(((13-'V06 Calend 01'!C58)/6)&lt;='V06 Calend 01'!E58)),IF((13=('V06 Calend 01'!C58+(6*'V06 Calend 01'!E58))),('V06 Calend 01'!H58-('V06 Calend 01'!I58*('V06 Calend 01'!E58-1))),'V06 Calend 01'!I58),0))+IF((13='V06 Calend 01'!D58),'V06 Calend 01'!J58,0))</f>
        <v>0</v>
      </c>
      <c r="Z58" s="2">
        <f>((IF((14='V06 Calend 01'!C58),('V06 Calend 01'!F58+'V06 Calend 01'!G58),0)+IF(AND(('V06 Calend 01'!E58&gt;0),(14&gt;'V06 Calend 01'!C58),(14&lt;'V06 Calend 01'!D58),(MOD((14-'V06 Calend 01'!C58),6)=0),(((14-'V06 Calend 01'!C58)/6)&lt;='V06 Calend 01'!E58)),IF((14=('V06 Calend 01'!C58+(6*'V06 Calend 01'!E58))),('V06 Calend 01'!H58-('V06 Calend 01'!I58*('V06 Calend 01'!E58-1))),'V06 Calend 01'!I58),0))+IF((14='V06 Calend 01'!D58),'V06 Calend 01'!J58,0))</f>
        <v>0</v>
      </c>
      <c r="AA58" s="2">
        <f>((IF((15='V06 Calend 01'!C58),('V06 Calend 01'!F58+'V06 Calend 01'!G58),0)+IF(AND(('V06 Calend 01'!E58&gt;0),(15&gt;'V06 Calend 01'!C58),(15&lt;'V06 Calend 01'!D58),(MOD((15-'V06 Calend 01'!C58),6)=0),(((15-'V06 Calend 01'!C58)/6)&lt;='V06 Calend 01'!E58)),IF((15=('V06 Calend 01'!C58+(6*'V06 Calend 01'!E58))),('V06 Calend 01'!H58-('V06 Calend 01'!I58*('V06 Calend 01'!E58-1))),'V06 Calend 01'!I58),0))+IF((15='V06 Calend 01'!D58),'V06 Calend 01'!J58,0))</f>
        <v>0</v>
      </c>
      <c r="AB58" s="2">
        <f>((IF((16='V06 Calend 01'!C58),('V06 Calend 01'!F58+'V06 Calend 01'!G58),0)+IF(AND(('V06 Calend 01'!E58&gt;0),(16&gt;'V06 Calend 01'!C58),(16&lt;'V06 Calend 01'!D58),(MOD((16-'V06 Calend 01'!C58),6)=0),(((16-'V06 Calend 01'!C58)/6)&lt;='V06 Calend 01'!E58)),IF((16=('V06 Calend 01'!C58+(6*'V06 Calend 01'!E58))),('V06 Calend 01'!H58-('V06 Calend 01'!I58*('V06 Calend 01'!E58-1))),'V06 Calend 01'!I58),0))+IF((16='V06 Calend 01'!D58),'V06 Calend 01'!J58,0))</f>
        <v>61960.91</v>
      </c>
      <c r="AC58" s="2">
        <f>((IF((17='V06 Calend 01'!C58),('V06 Calend 01'!F58+'V06 Calend 01'!G58),0)+IF(AND(('V06 Calend 01'!E58&gt;0),(17&gt;'V06 Calend 01'!C58),(17&lt;'V06 Calend 01'!D58),(MOD((17-'V06 Calend 01'!C58),6)=0),(((17-'V06 Calend 01'!C58)/6)&lt;='V06 Calend 01'!E58)),IF((17=('V06 Calend 01'!C58+(6*'V06 Calend 01'!E58))),('V06 Calend 01'!H58-('V06 Calend 01'!I58*('V06 Calend 01'!E58-1))),'V06 Calend 01'!I58),0))+IF((17='V06 Calend 01'!D58),'V06 Calend 01'!J58,0))</f>
        <v>0</v>
      </c>
      <c r="AD58" s="2">
        <f>((IF((18='V06 Calend 01'!C58),('V06 Calend 01'!F58+'V06 Calend 01'!G58),0)+IF(AND(('V06 Calend 01'!E58&gt;0),(18&gt;'V06 Calend 01'!C58),(18&lt;'V06 Calend 01'!D58),(MOD((18-'V06 Calend 01'!C58),6)=0),(((18-'V06 Calend 01'!C58)/6)&lt;='V06 Calend 01'!E58)),IF((18=('V06 Calend 01'!C58+(6*'V06 Calend 01'!E58))),('V06 Calend 01'!H58-('V06 Calend 01'!I58*('V06 Calend 01'!E58-1))),'V06 Calend 01'!I58),0))+IF((18='V06 Calend 01'!D58),'V06 Calend 01'!J58,0))</f>
        <v>0</v>
      </c>
      <c r="AE58" s="2">
        <f>((IF((19='V06 Calend 01'!C58),('V06 Calend 01'!F58+'V06 Calend 01'!G58),0)+IF(AND(('V06 Calend 01'!E58&gt;0),(19&gt;'V06 Calend 01'!C58),(19&lt;'V06 Calend 01'!D58),(MOD((19-'V06 Calend 01'!C58),6)=0),(((19-'V06 Calend 01'!C58)/6)&lt;='V06 Calend 01'!E58)),IF((19=('V06 Calend 01'!C58+(6*'V06 Calend 01'!E58))),('V06 Calend 01'!H58-('V06 Calend 01'!I58*('V06 Calend 01'!E58-1))),'V06 Calend 01'!I58),0))+IF((19='V06 Calend 01'!D58),'V06 Calend 01'!J58,0))</f>
        <v>0</v>
      </c>
      <c r="AF58" s="2">
        <f>((IF((20='V06 Calend 01'!C58),('V06 Calend 01'!F58+'V06 Calend 01'!G58),0)+IF(AND(('V06 Calend 01'!E58&gt;0),(20&gt;'V06 Calend 01'!C58),(20&lt;'V06 Calend 01'!D58),(MOD((20-'V06 Calend 01'!C58),6)=0),(((20-'V06 Calend 01'!C58)/6)&lt;='V06 Calend 01'!E58)),IF((20=('V06 Calend 01'!C58+(6*'V06 Calend 01'!E58))),('V06 Calend 01'!H58-('V06 Calend 01'!I58*('V06 Calend 01'!E58-1))),'V06 Calend 01'!I58),0))+IF((20='V06 Calend 01'!D58),'V06 Calend 01'!J58,0))</f>
        <v>0</v>
      </c>
      <c r="AG58" s="2">
        <f>((IF((21='V06 Calend 01'!C58),('V06 Calend 01'!F58+'V06 Calend 01'!G58),0)+IF(AND(('V06 Calend 01'!E58&gt;0),(21&gt;'V06 Calend 01'!C58),(21&lt;'V06 Calend 01'!D58),(MOD((21-'V06 Calend 01'!C58),6)=0),(((21-'V06 Calend 01'!C58)/6)&lt;='V06 Calend 01'!E58)),IF((21=('V06 Calend 01'!C58+(6*'V06 Calend 01'!E58))),('V06 Calend 01'!H58-('V06 Calend 01'!I58*('V06 Calend 01'!E58-1))),'V06 Calend 01'!I58),0))+IF((21='V06 Calend 01'!D58),'V06 Calend 01'!J58,0))</f>
        <v>0</v>
      </c>
      <c r="AH58" s="2">
        <f>((IF((22='V06 Calend 01'!C58),('V06 Calend 01'!F58+'V06 Calend 01'!G58),0)+IF(AND(('V06 Calend 01'!E58&gt;0),(22&gt;'V06 Calend 01'!C58),(22&lt;'V06 Calend 01'!D58),(MOD((22-'V06 Calend 01'!C58),6)=0),(((22-'V06 Calend 01'!C58)/6)&lt;='V06 Calend 01'!E58)),IF((22=('V06 Calend 01'!C58+(6*'V06 Calend 01'!E58))),('V06 Calend 01'!H58-('V06 Calend 01'!I58*('V06 Calend 01'!E58-1))),'V06 Calend 01'!I58),0))+IF((22='V06 Calend 01'!D58),'V06 Calend 01'!J58,0))</f>
        <v>61960.91</v>
      </c>
      <c r="AI58" s="2">
        <f>((IF((23='V06 Calend 01'!C58),('V06 Calend 01'!F58+'V06 Calend 01'!G58),0)+IF(AND(('V06 Calend 01'!E58&gt;0),(23&gt;'V06 Calend 01'!C58),(23&lt;'V06 Calend 01'!D58),(MOD((23-'V06 Calend 01'!C58),6)=0),(((23-'V06 Calend 01'!C58)/6)&lt;='V06 Calend 01'!E58)),IF((23=('V06 Calend 01'!C58+(6*'V06 Calend 01'!E58))),('V06 Calend 01'!H58-('V06 Calend 01'!I58*('V06 Calend 01'!E58-1))),'V06 Calend 01'!I58),0))+IF((23='V06 Calend 01'!D58),'V06 Calend 01'!J58,0))</f>
        <v>0</v>
      </c>
      <c r="AJ58" s="2">
        <f>((IF((24='V06 Calend 01'!C58),('V06 Calend 01'!F58+'V06 Calend 01'!G58),0)+IF(AND(('V06 Calend 01'!E58&gt;0),(24&gt;'V06 Calend 01'!C58),(24&lt;'V06 Calend 01'!D58),(MOD((24-'V06 Calend 01'!C58),6)=0),(((24-'V06 Calend 01'!C58)/6)&lt;='V06 Calend 01'!E58)),IF((24=('V06 Calend 01'!C58+(6*'V06 Calend 01'!E58))),('V06 Calend 01'!H58-('V06 Calend 01'!I58*('V06 Calend 01'!E58-1))),'V06 Calend 01'!I58),0))+IF((24='V06 Calend 01'!D58),'V06 Calend 01'!J58,0))</f>
        <v>0</v>
      </c>
      <c r="AK58" s="2">
        <f>((IF((25='V06 Calend 01'!C58),('V06 Calend 01'!F58+'V06 Calend 01'!G58),0)+IF(AND(('V06 Calend 01'!E58&gt;0),(25&gt;'V06 Calend 01'!C58),(25&lt;'V06 Calend 01'!D58),(MOD((25-'V06 Calend 01'!C58),6)=0),(((25-'V06 Calend 01'!C58)/6)&lt;='V06 Calend 01'!E58)),IF((25=('V06 Calend 01'!C58+(6*'V06 Calend 01'!E58))),('V06 Calend 01'!H58-('V06 Calend 01'!I58*('V06 Calend 01'!E58-1))),'V06 Calend 01'!I58),0))+IF((25='V06 Calend 01'!D58),'V06 Calend 01'!J58,0))</f>
        <v>0</v>
      </c>
      <c r="AL58" s="2">
        <f>((IF((26='V06 Calend 01'!C58),('V06 Calend 01'!F58+'V06 Calend 01'!G58),0)+IF(AND(('V06 Calend 01'!E58&gt;0),(26&gt;'V06 Calend 01'!C58),(26&lt;'V06 Calend 01'!D58),(MOD((26-'V06 Calend 01'!C58),6)=0),(((26-'V06 Calend 01'!C58)/6)&lt;='V06 Calend 01'!E58)),IF((26=('V06 Calend 01'!C58+(6*'V06 Calend 01'!E58))),('V06 Calend 01'!H58-('V06 Calend 01'!I58*('V06 Calend 01'!E58-1))),'V06 Calend 01'!I58),0))+IF((26='V06 Calend 01'!D58),'V06 Calend 01'!J58,0))</f>
        <v>0</v>
      </c>
      <c r="AM58" s="2">
        <f>((IF((27='V06 Calend 01'!C58),('V06 Calend 01'!F58+'V06 Calend 01'!G58),0)+IF(AND(('V06 Calend 01'!E58&gt;0),(27&gt;'V06 Calend 01'!C58),(27&lt;'V06 Calend 01'!D58),(MOD((27-'V06 Calend 01'!C58),6)=0),(((27-'V06 Calend 01'!C58)/6)&lt;='V06 Calend 01'!E58)),IF((27=('V06 Calend 01'!C58+(6*'V06 Calend 01'!E58))),('V06 Calend 01'!H58-('V06 Calend 01'!I58*('V06 Calend 01'!E58-1))),'V06 Calend 01'!I58),0))+IF((27='V06 Calend 01'!D58),'V06 Calend 01'!J58,0))</f>
        <v>0</v>
      </c>
      <c r="AN58" s="2">
        <f>((IF((28='V06 Calend 01'!C58),('V06 Calend 01'!F58+'V06 Calend 01'!G58),0)+IF(AND(('V06 Calend 01'!E58&gt;0),(28&gt;'V06 Calend 01'!C58),(28&lt;'V06 Calend 01'!D58),(MOD((28-'V06 Calend 01'!C58),6)=0),(((28-'V06 Calend 01'!C58)/6)&lt;='V06 Calend 01'!E58)),IF((28=('V06 Calend 01'!C58+(6*'V06 Calend 01'!E58))),('V06 Calend 01'!H58-('V06 Calend 01'!I58*('V06 Calend 01'!E58-1))),'V06 Calend 01'!I58),0))+IF((28='V06 Calend 01'!D58),'V06 Calend 01'!J58,0))</f>
        <v>61960.899999999994</v>
      </c>
      <c r="AO58" s="2">
        <f>((IF((29='V06 Calend 01'!C58),('V06 Calend 01'!F58+'V06 Calend 01'!G58),0)+IF(AND(('V06 Calend 01'!E58&gt;0),(29&gt;'V06 Calend 01'!C58),(29&lt;'V06 Calend 01'!D58),(MOD((29-'V06 Calend 01'!C58),6)=0),(((29-'V06 Calend 01'!C58)/6)&lt;='V06 Calend 01'!E58)),IF((29=('V06 Calend 01'!C58+(6*'V06 Calend 01'!E58))),('V06 Calend 01'!H58-('V06 Calend 01'!I58*('V06 Calend 01'!E58-1))),'V06 Calend 01'!I58),0))+IF((29='V06 Calend 01'!D58),'V06 Calend 01'!J58,0))</f>
        <v>0</v>
      </c>
      <c r="AP58" s="2">
        <f>((IF((30='V06 Calend 01'!C58),('V06 Calend 01'!F58+'V06 Calend 01'!G58),0)+IF(AND(('V06 Calend 01'!E58&gt;0),(30&gt;'V06 Calend 01'!C58),(30&lt;'V06 Calend 01'!D58),(MOD((30-'V06 Calend 01'!C58),6)=0),(((30-'V06 Calend 01'!C58)/6)&lt;='V06 Calend 01'!E58)),IF((30=('V06 Calend 01'!C58+(6*'V06 Calend 01'!E58))),('V06 Calend 01'!H58-('V06 Calend 01'!I58*('V06 Calend 01'!E58-1))),'V06 Calend 01'!I58),0))+IF((30='V06 Calend 01'!D58),'V06 Calend 01'!J58,0))</f>
        <v>67593.72000000003</v>
      </c>
      <c r="AQ58" s="2">
        <f>((IF((31='V06 Calend 01'!C58),('V06 Calend 01'!F58+'V06 Calend 01'!G58),0)+IF(AND(('V06 Calend 01'!E58&gt;0),(31&gt;'V06 Calend 01'!C58),(31&lt;'V06 Calend 01'!D58),(MOD((31-'V06 Calend 01'!C58),6)=0),(((31-'V06 Calend 01'!C58)/6)&lt;='V06 Calend 01'!E58)),IF((31=('V06 Calend 01'!C58+(6*'V06 Calend 01'!E58))),('V06 Calend 01'!H58-('V06 Calend 01'!I58*('V06 Calend 01'!E58-1))),'V06 Calend 01'!I58),0))+IF((31='V06 Calend 01'!D58),'V06 Calend 01'!J58,0))</f>
        <v>0</v>
      </c>
      <c r="AR58" s="2">
        <f>((IF((32='V06 Calend 01'!C58),('V06 Calend 01'!F58+'V06 Calend 01'!G58),0)+IF(AND(('V06 Calend 01'!E58&gt;0),(32&gt;'V06 Calend 01'!C58),(32&lt;'V06 Calend 01'!D58),(MOD((32-'V06 Calend 01'!C58),6)=0),(((32-'V06 Calend 01'!C58)/6)&lt;='V06 Calend 01'!E58)),IF((32=('V06 Calend 01'!C58+(6*'V06 Calend 01'!E58))),('V06 Calend 01'!H58-('V06 Calend 01'!I58*('V06 Calend 01'!E58-1))),'V06 Calend 01'!I58),0))+IF((32='V06 Calend 01'!D58),'V06 Calend 01'!J58,0))</f>
        <v>0</v>
      </c>
      <c r="AS58" s="2">
        <f>((IF((33='V06 Calend 01'!C58),('V06 Calend 01'!F58+'V06 Calend 01'!G58),0)+IF(AND(('V06 Calend 01'!E58&gt;0),(33&gt;'V06 Calend 01'!C58),(33&lt;'V06 Calend 01'!D58),(MOD((33-'V06 Calend 01'!C58),6)=0),(((33-'V06 Calend 01'!C58)/6)&lt;='V06 Calend 01'!E58)),IF((33=('V06 Calend 01'!C58+(6*'V06 Calend 01'!E58))),('V06 Calend 01'!H58-('V06 Calend 01'!I58*('V06 Calend 01'!E58-1))),'V06 Calend 01'!I58),0))+IF((33='V06 Calend 01'!D58),'V06 Calend 01'!J58,0))</f>
        <v>0</v>
      </c>
      <c r="AT58" s="2">
        <f>((IF((34='V06 Calend 01'!C58),('V06 Calend 01'!F58+'V06 Calend 01'!G58),0)+IF(AND(('V06 Calend 01'!E58&gt;0),(34&gt;'V06 Calend 01'!C58),(34&lt;'V06 Calend 01'!D58),(MOD((34-'V06 Calend 01'!C58),6)=0),(((34-'V06 Calend 01'!C58)/6)&lt;='V06 Calend 01'!E58)),IF((34=('V06 Calend 01'!C58+(6*'V06 Calend 01'!E58))),('V06 Calend 01'!H58-('V06 Calend 01'!I58*('V06 Calend 01'!E58-1))),'V06 Calend 01'!I58),0))+IF((34='V06 Calend 01'!D58),'V06 Calend 01'!J58,0))</f>
        <v>0</v>
      </c>
      <c r="AU58" s="2">
        <f>((IF((35='V06 Calend 01'!C58),('V06 Calend 01'!F58+'V06 Calend 01'!G58),0)+IF(AND(('V06 Calend 01'!E58&gt;0),(35&gt;'V06 Calend 01'!C58),(35&lt;'V06 Calend 01'!D58),(MOD((35-'V06 Calend 01'!C58),6)=0),(((35-'V06 Calend 01'!C58)/6)&lt;='V06 Calend 01'!E58)),IF((35=('V06 Calend 01'!C58+(6*'V06 Calend 01'!E58))),('V06 Calend 01'!H58-('V06 Calend 01'!I58*('V06 Calend 01'!E58-1))),'V06 Calend 01'!I58),0))+IF((35='V06 Calend 01'!D58),'V06 Calend 01'!J58,0))</f>
        <v>0</v>
      </c>
      <c r="AV58" s="2">
        <f>((IF((36='V06 Calend 01'!C58),('V06 Calend 01'!F58+'V06 Calend 01'!G58),0)+IF(AND(('V06 Calend 01'!E58&gt;0),(36&gt;'V06 Calend 01'!C58),(36&lt;'V06 Calend 01'!D58),(MOD((36-'V06 Calend 01'!C58),6)=0),(((36-'V06 Calend 01'!C58)/6)&lt;='V06 Calend 01'!E58)),IF((36=('V06 Calend 01'!C58+(6*'V06 Calend 01'!E58))),('V06 Calend 01'!H58-('V06 Calend 01'!I58*('V06 Calend 01'!E58-1))),'V06 Calend 01'!I58),0))+IF((36='V06 Calend 01'!D58),'V06 Calend 01'!J58,0))</f>
        <v>0</v>
      </c>
      <c r="AW58" s="2">
        <f>((IF((37='V06 Calend 01'!C58),('V06 Calend 01'!F58+'V06 Calend 01'!G58),0)+IF(AND(('V06 Calend 01'!E58&gt;0),(37&gt;'V06 Calend 01'!C58),(37&lt;'V06 Calend 01'!D58),(MOD((37-'V06 Calend 01'!C58),6)=0),(((37-'V06 Calend 01'!C58)/6)&lt;='V06 Calend 01'!E58)),IF((37=('V06 Calend 01'!C58+(6*'V06 Calend 01'!E58))),('V06 Calend 01'!H58-('V06 Calend 01'!I58*('V06 Calend 01'!E58-1))),'V06 Calend 01'!I58),0))+IF((37='V06 Calend 01'!D58),'V06 Calend 01'!J58,0))</f>
        <v>0</v>
      </c>
      <c r="AX58" s="2">
        <f>((IF((38='V06 Calend 01'!C58),('V06 Calend 01'!F58+'V06 Calend 01'!G58),0)+IF(AND(('V06 Calend 01'!E58&gt;0),(38&gt;'V06 Calend 01'!C58),(38&lt;'V06 Calend 01'!D58),(MOD((38-'V06 Calend 01'!C58),6)=0),(((38-'V06 Calend 01'!C58)/6)&lt;='V06 Calend 01'!E58)),IF((38=('V06 Calend 01'!C58+(6*'V06 Calend 01'!E58))),('V06 Calend 01'!H58-('V06 Calend 01'!I58*('V06 Calend 01'!E58-1))),'V06 Calend 01'!I58),0))+IF((38='V06 Calend 01'!D58),'V06 Calend 01'!J58,0))</f>
        <v>0</v>
      </c>
      <c r="AY58" s="2">
        <f>((IF((39='V06 Calend 01'!C58),('V06 Calend 01'!F58+'V06 Calend 01'!G58),0)+IF(AND(('V06 Calend 01'!E58&gt;0),(39&gt;'V06 Calend 01'!C58),(39&lt;'V06 Calend 01'!D58),(MOD((39-'V06 Calend 01'!C58),6)=0),(((39-'V06 Calend 01'!C58)/6)&lt;='V06 Calend 01'!E58)),IF((39=('V06 Calend 01'!C58+(6*'V06 Calend 01'!E58))),('V06 Calend 01'!H58-('V06 Calend 01'!I58*('V06 Calend 01'!E58-1))),'V06 Calend 01'!I58),0))+IF((39='V06 Calend 01'!D58),'V06 Calend 01'!J58,0))</f>
        <v>0</v>
      </c>
      <c r="AZ58" s="2">
        <f>((IF((40='V06 Calend 01'!C58),('V06 Calend 01'!F58+'V06 Calend 01'!G58),0)+IF(AND(('V06 Calend 01'!E58&gt;0),(40&gt;'V06 Calend 01'!C58),(40&lt;'V06 Calend 01'!D58),(MOD((40-'V06 Calend 01'!C58),6)=0),(((40-'V06 Calend 01'!C58)/6)&lt;='V06 Calend 01'!E58)),IF((40=('V06 Calend 01'!C58+(6*'V06 Calend 01'!E58))),('V06 Calend 01'!H58-('V06 Calend 01'!I58*('V06 Calend 01'!E58-1))),'V06 Calend 01'!I58),0))+IF((40='V06 Calend 01'!D58),'V06 Calend 01'!J58,0))</f>
        <v>0</v>
      </c>
      <c r="BA58" s="2">
        <f>((IF((41='V06 Calend 01'!C58),('V06 Calend 01'!F58+'V06 Calend 01'!G58),0)+IF(AND(('V06 Calend 01'!E58&gt;0),(41&gt;'V06 Calend 01'!C58),(41&lt;'V06 Calend 01'!D58),(MOD((41-'V06 Calend 01'!C58),6)=0),(((41-'V06 Calend 01'!C58)/6)&lt;='V06 Calend 01'!E58)),IF((41=('V06 Calend 01'!C58+(6*'V06 Calend 01'!E58))),('V06 Calend 01'!H58-('V06 Calend 01'!I58*('V06 Calend 01'!E58-1))),'V06 Calend 01'!I58),0))+IF((41='V06 Calend 01'!D58),'V06 Calend 01'!J58,0))</f>
        <v>0</v>
      </c>
      <c r="BB58" s="2">
        <f>((IF((42='V06 Calend 01'!C58),('V06 Calend 01'!F58+'V06 Calend 01'!G58),0)+IF(AND(('V06 Calend 01'!E58&gt;0),(42&gt;'V06 Calend 01'!C58),(42&lt;'V06 Calend 01'!D58),(MOD((42-'V06 Calend 01'!C58),6)=0),(((42-'V06 Calend 01'!C58)/6)&lt;='V06 Calend 01'!E58)),IF((42=('V06 Calend 01'!C58+(6*'V06 Calend 01'!E58))),('V06 Calend 01'!H58-('V06 Calend 01'!I58*('V06 Calend 01'!E58-1))),'V06 Calend 01'!I58),0))+IF((42='V06 Calend 01'!D58),'V06 Calend 01'!J58,0))</f>
        <v>0</v>
      </c>
      <c r="BC58" s="2">
        <f>((IF((43='V06 Calend 01'!C58),('V06 Calend 01'!F58+'V06 Calend 01'!G58),0)+IF(AND(('V06 Calend 01'!E58&gt;0),(43&gt;'V06 Calend 01'!C58),(43&lt;'V06 Calend 01'!D58),(MOD((43-'V06 Calend 01'!C58),6)=0),(((43-'V06 Calend 01'!C58)/6)&lt;='V06 Calend 01'!E58)),IF((43=('V06 Calend 01'!C58+(6*'V06 Calend 01'!E58))),('V06 Calend 01'!H58-('V06 Calend 01'!I58*('V06 Calend 01'!E58-1))),'V06 Calend 01'!I58),0))+IF((43='V06 Calend 01'!D58),'V06 Calend 01'!J58,0))</f>
        <v>0</v>
      </c>
      <c r="BD58" s="2">
        <f>((IF((44='V06 Calend 01'!C58),('V06 Calend 01'!F58+'V06 Calend 01'!G58),0)+IF(AND(('V06 Calend 01'!E58&gt;0),(44&gt;'V06 Calend 01'!C58),(44&lt;'V06 Calend 01'!D58),(MOD((44-'V06 Calend 01'!C58),6)=0),(((44-'V06 Calend 01'!C58)/6)&lt;='V06 Calend 01'!E58)),IF((44=('V06 Calend 01'!C58+(6*'V06 Calend 01'!E58))),('V06 Calend 01'!H58-('V06 Calend 01'!I58*('V06 Calend 01'!E58-1))),'V06 Calend 01'!I58),0))+IF((44='V06 Calend 01'!D58),'V06 Calend 01'!J58,0))</f>
        <v>0</v>
      </c>
      <c r="BE58" s="2">
        <f>((IF((45='V06 Calend 01'!C58),('V06 Calend 01'!F58+'V06 Calend 01'!G58),0)+IF(AND(('V06 Calend 01'!E58&gt;0),(45&gt;'V06 Calend 01'!C58),(45&lt;'V06 Calend 01'!D58),(MOD((45-'V06 Calend 01'!C58),6)=0),(((45-'V06 Calend 01'!C58)/6)&lt;='V06 Calend 01'!E58)),IF((45=('V06 Calend 01'!C58+(6*'V06 Calend 01'!E58))),('V06 Calend 01'!H58-('V06 Calend 01'!I58*('V06 Calend 01'!E58-1))),'V06 Calend 01'!I58),0))+IF((45='V06 Calend 01'!D58),'V06 Calend 01'!J58,0))</f>
        <v>0</v>
      </c>
      <c r="BF58" s="2">
        <f>((IF((46='V06 Calend 01'!C58),('V06 Calend 01'!F58+'V06 Calend 01'!G58),0)+IF(AND(('V06 Calend 01'!E58&gt;0),(46&gt;'V06 Calend 01'!C58),(46&lt;'V06 Calend 01'!D58),(MOD((46-'V06 Calend 01'!C58),6)=0),(((46-'V06 Calend 01'!C58)/6)&lt;='V06 Calend 01'!E58)),IF((46=('V06 Calend 01'!C58+(6*'V06 Calend 01'!E58))),('V06 Calend 01'!H58-('V06 Calend 01'!I58*('V06 Calend 01'!E58-1))),'V06 Calend 01'!I58),0))+IF((46='V06 Calend 01'!D58),'V06 Calend 01'!J58,0))</f>
        <v>0</v>
      </c>
      <c r="BG58" s="2">
        <f>((IF((47='V06 Calend 01'!C58),('V06 Calend 01'!F58+'V06 Calend 01'!G58),0)+IF(AND(('V06 Calend 01'!E58&gt;0),(47&gt;'V06 Calend 01'!C58),(47&lt;'V06 Calend 01'!D58),(MOD((47-'V06 Calend 01'!C58),6)=0),(((47-'V06 Calend 01'!C58)/6)&lt;='V06 Calend 01'!E58)),IF((47=('V06 Calend 01'!C58+(6*'V06 Calend 01'!E58))),('V06 Calend 01'!H58-('V06 Calend 01'!I58*('V06 Calend 01'!E58-1))),'V06 Calend 01'!I58),0))+IF((47='V06 Calend 01'!D58),'V06 Calend 01'!J58,0))</f>
        <v>0</v>
      </c>
      <c r="BH58" s="2">
        <f>((IF((48='V06 Calend 01'!C58),('V06 Calend 01'!F58+'V06 Calend 01'!G58),0)+IF(AND(('V06 Calend 01'!E58&gt;0),(48&gt;'V06 Calend 01'!C58),(48&lt;'V06 Calend 01'!D58),(MOD((48-'V06 Calend 01'!C58),6)=0),(((48-'V06 Calend 01'!C58)/6)&lt;='V06 Calend 01'!E58)),IF((48=('V06 Calend 01'!C58+(6*'V06 Calend 01'!E58))),('V06 Calend 01'!H58-('V06 Calend 01'!I58*('V06 Calend 01'!E58-1))),'V06 Calend 01'!I58),0))+IF((48='V06 Calend 01'!D58),'V06 Calend 01'!J58,0))</f>
        <v>0</v>
      </c>
      <c r="BI58" s="2">
        <f>((IF((49='V06 Calend 01'!C58),('V06 Calend 01'!F58+'V06 Calend 01'!G58),0)+IF(AND(('V06 Calend 01'!E58&gt;0),(49&gt;'V06 Calend 01'!C58),(49&lt;'V06 Calend 01'!D58),(MOD((49-'V06 Calend 01'!C58),6)=0),(((49-'V06 Calend 01'!C58)/6)&lt;='V06 Calend 01'!E58)),IF((49=('V06 Calend 01'!C58+(6*'V06 Calend 01'!E58))),('V06 Calend 01'!H58-('V06 Calend 01'!I58*('V06 Calend 01'!E58-1))),'V06 Calend 01'!I58),0))+IF((49='V06 Calend 01'!D58),'V06 Calend 01'!J58,0))</f>
        <v>0</v>
      </c>
      <c r="BJ58" s="2">
        <f>((IF((50='V06 Calend 01'!C58),('V06 Calend 01'!F58+'V06 Calend 01'!G58),0)+IF(AND(('V06 Calend 01'!E58&gt;0),(50&gt;'V06 Calend 01'!C58),(50&lt;'V06 Calend 01'!D58),(MOD((50-'V06 Calend 01'!C58),6)=0),(((50-'V06 Calend 01'!C58)/6)&lt;='V06 Calend 01'!E58)),IF((50=('V06 Calend 01'!C58+(6*'V06 Calend 01'!E58))),('V06 Calend 01'!H58-('V06 Calend 01'!I58*('V06 Calend 01'!E58-1))),'V06 Calend 01'!I58),0))+IF((50='V06 Calend 01'!D58),'V06 Calend 01'!J58,0))</f>
        <v>0</v>
      </c>
      <c r="BK58" s="2">
        <f>((IF((51='V06 Calend 01'!C58),('V06 Calend 01'!F58+'V06 Calend 01'!G58),0)+IF(AND(('V06 Calend 01'!E58&gt;0),(51&gt;'V06 Calend 01'!C58),(51&lt;'V06 Calend 01'!D58),(MOD((51-'V06 Calend 01'!C58),6)=0),(((51-'V06 Calend 01'!C58)/6)&lt;='V06 Calend 01'!E58)),IF((51=('V06 Calend 01'!C58+(6*'V06 Calend 01'!E58))),('V06 Calend 01'!H58-('V06 Calend 01'!I58*('V06 Calend 01'!E58-1))),'V06 Calend 01'!I58),0))+IF((51='V06 Calend 01'!D58),'V06 Calend 01'!J58,0))</f>
        <v>0</v>
      </c>
      <c r="BL58" s="2">
        <f>((IF((52='V06 Calend 01'!C58),('V06 Calend 01'!F58+'V06 Calend 01'!G58),0)+IF(AND(('V06 Calend 01'!E58&gt;0),(52&gt;'V06 Calend 01'!C58),(52&lt;'V06 Calend 01'!D58),(MOD((52-'V06 Calend 01'!C58),6)=0),(((52-'V06 Calend 01'!C58)/6)&lt;='V06 Calend 01'!E58)),IF((52=('V06 Calend 01'!C58+(6*'V06 Calend 01'!E58))),('V06 Calend 01'!H58-('V06 Calend 01'!I58*('V06 Calend 01'!E58-1))),'V06 Calend 01'!I58),0))+IF((52='V06 Calend 01'!D58),'V06 Calend 01'!J58,0))</f>
        <v>0</v>
      </c>
      <c r="BM58" s="2">
        <f>((IF((53='V06 Calend 01'!C58),('V06 Calend 01'!F58+'V06 Calend 01'!G58),0)+IF(AND(('V06 Calend 01'!E58&gt;0),(53&gt;'V06 Calend 01'!C58),(53&lt;'V06 Calend 01'!D58),(MOD((53-'V06 Calend 01'!C58),6)=0),(((53-'V06 Calend 01'!C58)/6)&lt;='V06 Calend 01'!E58)),IF((53=('V06 Calend 01'!C58+(6*'V06 Calend 01'!E58))),('V06 Calend 01'!H58-('V06 Calend 01'!I58*('V06 Calend 01'!E58-1))),'V06 Calend 01'!I58),0))+IF((53='V06 Calend 01'!D58),'V06 Calend 01'!J58,0))</f>
        <v>0</v>
      </c>
      <c r="BN58" s="2">
        <f>((IF((54='V06 Calend 01'!C58),('V06 Calend 01'!F58+'V06 Calend 01'!G58),0)+IF(AND(('V06 Calend 01'!E58&gt;0),(54&gt;'V06 Calend 01'!C58),(54&lt;'V06 Calend 01'!D58),(MOD((54-'V06 Calend 01'!C58),6)=0),(((54-'V06 Calend 01'!C58)/6)&lt;='V06 Calend 01'!E58)),IF((54=('V06 Calend 01'!C58+(6*'V06 Calend 01'!E58))),('V06 Calend 01'!H58-('V06 Calend 01'!I58*('V06 Calend 01'!E58-1))),'V06 Calend 01'!I58),0))+IF((54='V06 Calend 01'!D58),'V06 Calend 01'!J58,0))</f>
        <v>0</v>
      </c>
      <c r="BO58" s="2">
        <f>((IF((55='V06 Calend 01'!C58),('V06 Calend 01'!F58+'V06 Calend 01'!G58),0)+IF(AND(('V06 Calend 01'!E58&gt;0),(55&gt;'V06 Calend 01'!C58),(55&lt;'V06 Calend 01'!D58),(MOD((55-'V06 Calend 01'!C58),6)=0),(((55-'V06 Calend 01'!C58)/6)&lt;='V06 Calend 01'!E58)),IF((55=('V06 Calend 01'!C58+(6*'V06 Calend 01'!E58))),('V06 Calend 01'!H58-('V06 Calend 01'!I58*('V06 Calend 01'!E58-1))),'V06 Calend 01'!I58),0))+IF((55='V06 Calend 01'!D58),'V06 Calend 01'!J58,0))</f>
        <v>0</v>
      </c>
      <c r="BP58" s="2">
        <f>((IF((56='V06 Calend 01'!C58),('V06 Calend 01'!F58+'V06 Calend 01'!G58),0)+IF(AND(('V06 Calend 01'!E58&gt;0),(56&gt;'V06 Calend 01'!C58),(56&lt;'V06 Calend 01'!D58),(MOD((56-'V06 Calend 01'!C58),6)=0),(((56-'V06 Calend 01'!C58)/6)&lt;='V06 Calend 01'!E58)),IF((56=('V06 Calend 01'!C58+(6*'V06 Calend 01'!E58))),('V06 Calend 01'!H58-('V06 Calend 01'!I58*('V06 Calend 01'!E58-1))),'V06 Calend 01'!I58),0))+IF((56='V06 Calend 01'!D58),'V06 Calend 01'!J58,0))</f>
        <v>0</v>
      </c>
      <c r="BQ58" s="2">
        <f>((IF((57='V06 Calend 01'!C58),('V06 Calend 01'!F58+'V06 Calend 01'!G58),0)+IF(AND(('V06 Calend 01'!E58&gt;0),(57&gt;'V06 Calend 01'!C58),(57&lt;'V06 Calend 01'!D58),(MOD((57-'V06 Calend 01'!C58),6)=0),(((57-'V06 Calend 01'!C58)/6)&lt;='V06 Calend 01'!E58)),IF((57=('V06 Calend 01'!C58+(6*'V06 Calend 01'!E58))),('V06 Calend 01'!H58-('V06 Calend 01'!I58*('V06 Calend 01'!E58-1))),'V06 Calend 01'!I58),0))+IF((57='V06 Calend 01'!D58),'V06 Calend 01'!J58,0))</f>
        <v>0</v>
      </c>
      <c r="BR58" s="2">
        <f>((IF((58='V06 Calend 01'!C58),('V06 Calend 01'!F58+'V06 Calend 01'!G58),0)+IF(AND(('V06 Calend 01'!E58&gt;0),(58&gt;'V06 Calend 01'!C58),(58&lt;'V06 Calend 01'!D58),(MOD((58-'V06 Calend 01'!C58),6)=0),(((58-'V06 Calend 01'!C58)/6)&lt;='V06 Calend 01'!E58)),IF((58=('V06 Calend 01'!C58+(6*'V06 Calend 01'!E58))),('V06 Calend 01'!H58-('V06 Calend 01'!I58*('V06 Calend 01'!E58-1))),'V06 Calend 01'!I58),0))+IF((58='V06 Calend 01'!D58),'V06 Calend 01'!J58,0))</f>
        <v>0</v>
      </c>
      <c r="BS58" s="2">
        <f>((IF((59='V06 Calend 01'!C58),('V06 Calend 01'!F58+'V06 Calend 01'!G58),0)+IF(AND(('V06 Calend 01'!E58&gt;0),(59&gt;'V06 Calend 01'!C58),(59&lt;'V06 Calend 01'!D58),(MOD((59-'V06 Calend 01'!C58),6)=0),(((59-'V06 Calend 01'!C58)/6)&lt;='V06 Calend 01'!E58)),IF((59=('V06 Calend 01'!C58+(6*'V06 Calend 01'!E58))),('V06 Calend 01'!H58-('V06 Calend 01'!I58*('V06 Calend 01'!E58-1))),'V06 Calend 01'!I58),0))+IF((59='V06 Calend 01'!D58),'V06 Calend 01'!J58,0))</f>
        <v>0</v>
      </c>
      <c r="BT58" s="2">
        <f>((IF((60='V06 Calend 01'!C58),('V06 Calend 01'!F58+'V06 Calend 01'!G58),0)+IF(AND(('V06 Calend 01'!E58&gt;0),(60&gt;'V06 Calend 01'!C58),(60&lt;'V06 Calend 01'!D58),(MOD((60-'V06 Calend 01'!C58),6)=0),(((60-'V06 Calend 01'!C58)/6)&lt;='V06 Calend 01'!E58)),IF((60=('V06 Calend 01'!C58+(6*'V06 Calend 01'!E58))),('V06 Calend 01'!H58-('V06 Calend 01'!I58*('V06 Calend 01'!E58-1))),'V06 Calend 01'!I58),0))+IF((60='V06 Calend 01'!D58),'V06 Calend 01'!J58,0))</f>
        <v>0</v>
      </c>
      <c r="BU58" s="2">
        <f>((IF((61='V06 Calend 01'!C58),('V06 Calend 01'!F58+'V06 Calend 01'!G58),0)+IF(AND(('V06 Calend 01'!E58&gt;0),(61&gt;'V06 Calend 01'!C58),(61&lt;'V06 Calend 01'!D58),(MOD((61-'V06 Calend 01'!C58),6)=0),(((61-'V06 Calend 01'!C58)/6)&lt;='V06 Calend 01'!E58)),IF((61=('V06 Calend 01'!C58+(6*'V06 Calend 01'!E58))),('V06 Calend 01'!H58-('V06 Calend 01'!I58*('V06 Calend 01'!E58-1))),'V06 Calend 01'!I58),0))+IF((61='V06 Calend 01'!D58),'V06 Calend 01'!J58,0))</f>
        <v>0</v>
      </c>
      <c r="BV58" s="2">
        <f>((IF((62='V06 Calend 01'!C58),('V06 Calend 01'!F58+'V06 Calend 01'!G58),0)+IF(AND(('V06 Calend 01'!E58&gt;0),(62&gt;'V06 Calend 01'!C58),(62&lt;'V06 Calend 01'!D58),(MOD((62-'V06 Calend 01'!C58),6)=0),(((62-'V06 Calend 01'!C58)/6)&lt;='V06 Calend 01'!E58)),IF((62=('V06 Calend 01'!C58+(6*'V06 Calend 01'!E58))),('V06 Calend 01'!H58-('V06 Calend 01'!I58*('V06 Calend 01'!E58-1))),'V06 Calend 01'!I58),0))+IF((62='V06 Calend 01'!D58),'V06 Calend 01'!J58,0))</f>
        <v>0</v>
      </c>
      <c r="BW58" s="2">
        <f>((IF((63='V06 Calend 01'!C58),('V06 Calend 01'!F58+'V06 Calend 01'!G58),0)+IF(AND(('V06 Calend 01'!E58&gt;0),(63&gt;'V06 Calend 01'!C58),(63&lt;'V06 Calend 01'!D58),(MOD((63-'V06 Calend 01'!C58),6)=0),(((63-'V06 Calend 01'!C58)/6)&lt;='V06 Calend 01'!E58)),IF((63=('V06 Calend 01'!C58+(6*'V06 Calend 01'!E58))),('V06 Calend 01'!H58-('V06 Calend 01'!I58*('V06 Calend 01'!E58-1))),'V06 Calend 01'!I58),0))+IF((63='V06 Calend 01'!D58),'V06 Calend 01'!J58,0))</f>
        <v>0</v>
      </c>
      <c r="BX58" s="2">
        <f>((IF((64='V06 Calend 01'!C58),('V06 Calend 01'!F58+'V06 Calend 01'!G58),0)+IF(AND(('V06 Calend 01'!E58&gt;0),(64&gt;'V06 Calend 01'!C58),(64&lt;'V06 Calend 01'!D58),(MOD((64-'V06 Calend 01'!C58),6)=0),(((64-'V06 Calend 01'!C58)/6)&lt;='V06 Calend 01'!E58)),IF((64=('V06 Calend 01'!C58+(6*'V06 Calend 01'!E58))),('V06 Calend 01'!H58-('V06 Calend 01'!I58*('V06 Calend 01'!E58-1))),'V06 Calend 01'!I58),0))+IF((64='V06 Calend 01'!D58),'V06 Calend 01'!J58,0))</f>
        <v>0</v>
      </c>
      <c r="BY58" s="2">
        <f>((IF((65='V06 Calend 01'!C58),('V06 Calend 01'!F58+'V06 Calend 01'!G58),0)+IF(AND(('V06 Calend 01'!E58&gt;0),(65&gt;'V06 Calend 01'!C58),(65&lt;'V06 Calend 01'!D58),(MOD((65-'V06 Calend 01'!C58),6)=0),(((65-'V06 Calend 01'!C58)/6)&lt;='V06 Calend 01'!E58)),IF((65=('V06 Calend 01'!C58+(6*'V06 Calend 01'!E58))),('V06 Calend 01'!H58-('V06 Calend 01'!I58*('V06 Calend 01'!E58-1))),'V06 Calend 01'!I58),0))+IF((65='V06 Calend 01'!D58),'V06 Calend 01'!J58,0))</f>
        <v>0</v>
      </c>
      <c r="BZ58" s="2">
        <f>((IF((66='V06 Calend 01'!C58),('V06 Calend 01'!F58+'V06 Calend 01'!G58),0)+IF(AND(('V06 Calend 01'!E58&gt;0),(66&gt;'V06 Calend 01'!C58),(66&lt;'V06 Calend 01'!D58),(MOD((66-'V06 Calend 01'!C58),6)=0),(((66-'V06 Calend 01'!C58)/6)&lt;='V06 Calend 01'!E58)),IF((66=('V06 Calend 01'!C58+(6*'V06 Calend 01'!E58))),('V06 Calend 01'!H58-('V06 Calend 01'!I58*('V06 Calend 01'!E58-1))),'V06 Calend 01'!I58),0))+IF((66='V06 Calend 01'!D58),'V06 Calend 01'!J58,0))</f>
        <v>0</v>
      </c>
      <c r="CA58" s="2">
        <f>((IF((67='V06 Calend 01'!C58),('V06 Calend 01'!F58+'V06 Calend 01'!G58),0)+IF(AND(('V06 Calend 01'!E58&gt;0),(67&gt;'V06 Calend 01'!C58),(67&lt;'V06 Calend 01'!D58),(MOD((67-'V06 Calend 01'!C58),6)=0),(((67-'V06 Calend 01'!C58)/6)&lt;='V06 Calend 01'!E58)),IF((67=('V06 Calend 01'!C58+(6*'V06 Calend 01'!E58))),('V06 Calend 01'!H58-('V06 Calend 01'!I58*('V06 Calend 01'!E58-1))),'V06 Calend 01'!I58),0))+IF((67='V06 Calend 01'!D58),'V06 Calend 01'!J58,0))</f>
        <v>0</v>
      </c>
      <c r="CB58" s="2">
        <f>((IF((68='V06 Calend 01'!C58),('V06 Calend 01'!F58+'V06 Calend 01'!G58),0)+IF(AND(('V06 Calend 01'!E58&gt;0),(68&gt;'V06 Calend 01'!C58),(68&lt;'V06 Calend 01'!D58),(MOD((68-'V06 Calend 01'!C58),6)=0),(((68-'V06 Calend 01'!C58)/6)&lt;='V06 Calend 01'!E58)),IF((68=('V06 Calend 01'!C58+(6*'V06 Calend 01'!E58))),('V06 Calend 01'!H58-('V06 Calend 01'!I58*('V06 Calend 01'!E58-1))),'V06 Calend 01'!I58),0))+IF((68='V06 Calend 01'!D58),'V06 Calend 01'!J58,0))</f>
        <v>0</v>
      </c>
      <c r="CC58" s="2">
        <f>((IF((69='V06 Calend 01'!C58),('V06 Calend 01'!F58+'V06 Calend 01'!G58),0)+IF(AND(('V06 Calend 01'!E58&gt;0),(69&gt;'V06 Calend 01'!C58),(69&lt;'V06 Calend 01'!D58),(MOD((69-'V06 Calend 01'!C58),6)=0),(((69-'V06 Calend 01'!C58)/6)&lt;='V06 Calend 01'!E58)),IF((69=('V06 Calend 01'!C58+(6*'V06 Calend 01'!E58))),('V06 Calend 01'!H58-('V06 Calend 01'!I58*('V06 Calend 01'!E58-1))),'V06 Calend 01'!I58),0))+IF((69='V06 Calend 01'!D58),'V06 Calend 01'!J58,0))</f>
        <v>0</v>
      </c>
      <c r="CD58" s="2">
        <f>((IF((70='V06 Calend 01'!C58),('V06 Calend 01'!F58+'V06 Calend 01'!G58),0)+IF(AND(('V06 Calend 01'!E58&gt;0),(70&gt;'V06 Calend 01'!C58),(70&lt;'V06 Calend 01'!D58),(MOD((70-'V06 Calend 01'!C58),6)=0),(((70-'V06 Calend 01'!C58)/6)&lt;='V06 Calend 01'!E58)),IF((70=('V06 Calend 01'!C58+(6*'V06 Calend 01'!E58))),('V06 Calend 01'!H58-('V06 Calend 01'!I58*('V06 Calend 01'!E58-1))),'V06 Calend 01'!I58),0))+IF((70='V06 Calend 01'!D58),'V06 Calend 01'!J58,0))</f>
        <v>0</v>
      </c>
      <c r="CE58" s="2">
        <f>((IF((71='V06 Calend 01'!C58),('V06 Calend 01'!F58+'V06 Calend 01'!G58),0)+IF(AND(('V06 Calend 01'!E58&gt;0),(71&gt;'V06 Calend 01'!C58),(71&lt;'V06 Calend 01'!D58),(MOD((71-'V06 Calend 01'!C58),6)=0),(((71-'V06 Calend 01'!C58)/6)&lt;='V06 Calend 01'!E58)),IF((71=('V06 Calend 01'!C58+(6*'V06 Calend 01'!E58))),('V06 Calend 01'!H58-('V06 Calend 01'!I58*('V06 Calend 01'!E58-1))),'V06 Calend 01'!I58),0))+IF((71='V06 Calend 01'!D58),'V06 Calend 01'!J58,0))</f>
        <v>0</v>
      </c>
      <c r="CF58" s="2">
        <f>((IF((72='V06 Calend 01'!C58),('V06 Calend 01'!F58+'V06 Calend 01'!G58),0)+IF(AND(('V06 Calend 01'!E58&gt;0),(72&gt;'V06 Calend 01'!C58),(72&lt;'V06 Calend 01'!D58),(MOD((72-'V06 Calend 01'!C58),6)=0),(((72-'V06 Calend 01'!C58)/6)&lt;='V06 Calend 01'!E58)),IF((72=('V06 Calend 01'!C58+(6*'V06 Calend 01'!E58))),('V06 Calend 01'!H58-('V06 Calend 01'!I58*('V06 Calend 01'!E58-1))),'V06 Calend 01'!I58),0))+IF((72='V06 Calend 01'!D58),'V06 Calend 01'!J58,0))</f>
        <v>0</v>
      </c>
      <c r="CG58" s="2">
        <f>((IF((73='V06 Calend 01'!C58),('V06 Calend 01'!F58+'V06 Calend 01'!G58),0)+IF(AND(('V06 Calend 01'!E58&gt;0),(73&gt;'V06 Calend 01'!C58),(73&lt;'V06 Calend 01'!D58),(MOD((73-'V06 Calend 01'!C58),6)=0),(((73-'V06 Calend 01'!C58)/6)&lt;='V06 Calend 01'!E58)),IF((73=('V06 Calend 01'!C58+(6*'V06 Calend 01'!E58))),('V06 Calend 01'!H58-('V06 Calend 01'!I58*('V06 Calend 01'!E58-1))),'V06 Calend 01'!I58),0))+IF((73='V06 Calend 01'!D58),'V06 Calend 01'!J58,0))</f>
        <v>0</v>
      </c>
      <c r="CH58" s="2">
        <f>((IF((74='V06 Calend 01'!C58),('V06 Calend 01'!F58+'V06 Calend 01'!G58),0)+IF(AND(('V06 Calend 01'!E58&gt;0),(74&gt;'V06 Calend 01'!C58),(74&lt;'V06 Calend 01'!D58),(MOD((74-'V06 Calend 01'!C58),6)=0),(((74-'V06 Calend 01'!C58)/6)&lt;='V06 Calend 01'!E58)),IF((74=('V06 Calend 01'!C58+(6*'V06 Calend 01'!E58))),('V06 Calend 01'!H58-('V06 Calend 01'!I58*('V06 Calend 01'!E58-1))),'V06 Calend 01'!I58),0))+IF((74='V06 Calend 01'!D58),'V06 Calend 01'!J58,0))</f>
        <v>0</v>
      </c>
      <c r="CI58" s="2">
        <f>((IF((75='V06 Calend 01'!C58),('V06 Calend 01'!F58+'V06 Calend 01'!G58),0)+IF(AND(('V06 Calend 01'!E58&gt;0),(75&gt;'V06 Calend 01'!C58),(75&lt;'V06 Calend 01'!D58),(MOD((75-'V06 Calend 01'!C58),6)=0),(((75-'V06 Calend 01'!C58)/6)&lt;='V06 Calend 01'!E58)),IF((75=('V06 Calend 01'!C58+(6*'V06 Calend 01'!E58))),('V06 Calend 01'!H58-('V06 Calend 01'!I58*('V06 Calend 01'!E58-1))),'V06 Calend 01'!I58),0))+IF((75='V06 Calend 01'!D58),'V06 Calend 01'!J58,0))</f>
        <v>0</v>
      </c>
      <c r="CJ58" s="2">
        <f>((IF((76='V06 Calend 01'!C58),('V06 Calend 01'!F58+'V06 Calend 01'!G58),0)+IF(AND(('V06 Calend 01'!E58&gt;0),(76&gt;'V06 Calend 01'!C58),(76&lt;'V06 Calend 01'!D58),(MOD((76-'V06 Calend 01'!C58),6)=0),(((76-'V06 Calend 01'!C58)/6)&lt;='V06 Calend 01'!E58)),IF((76=('V06 Calend 01'!C58+(6*'V06 Calend 01'!E58))),('V06 Calend 01'!H58-('V06 Calend 01'!I58*('V06 Calend 01'!E58-1))),'V06 Calend 01'!I58),0))+IF((76='V06 Calend 01'!D58),'V06 Calend 01'!J58,0))</f>
        <v>0</v>
      </c>
      <c r="CK58" s="2">
        <f>((IF((77='V06 Calend 01'!C58),('V06 Calend 01'!F58+'V06 Calend 01'!G58),0)+IF(AND(('V06 Calend 01'!E58&gt;0),(77&gt;'V06 Calend 01'!C58),(77&lt;'V06 Calend 01'!D58),(MOD((77-'V06 Calend 01'!C58),6)=0),(((77-'V06 Calend 01'!C58)/6)&lt;='V06 Calend 01'!E58)),IF((77=('V06 Calend 01'!C58+(6*'V06 Calend 01'!E58))),('V06 Calend 01'!H58-('V06 Calend 01'!I58*('V06 Calend 01'!E58-1))),'V06 Calend 01'!I58),0))+IF((77='V06 Calend 01'!D58),'V06 Calend 01'!J58,0))</f>
        <v>0</v>
      </c>
      <c r="CL58" s="2">
        <f>((IF((78='V06 Calend 01'!C58),('V06 Calend 01'!F58+'V06 Calend 01'!G58),0)+IF(AND(('V06 Calend 01'!E58&gt;0),(78&gt;'V06 Calend 01'!C58),(78&lt;'V06 Calend 01'!D58),(MOD((78-'V06 Calend 01'!C58),6)=0),(((78-'V06 Calend 01'!C58)/6)&lt;='V06 Calend 01'!E58)),IF((78=('V06 Calend 01'!C58+(6*'V06 Calend 01'!E58))),('V06 Calend 01'!H58-('V06 Calend 01'!I58*('V06 Calend 01'!E58-1))),'V06 Calend 01'!I58),0))+IF((78='V06 Calend 01'!D58),'V06 Calend 01'!J58,0))</f>
        <v>0</v>
      </c>
      <c r="CM58" s="2">
        <f>((IF((79='V06 Calend 01'!C58),('V06 Calend 01'!F58+'V06 Calend 01'!G58),0)+IF(AND(('V06 Calend 01'!E58&gt;0),(79&gt;'V06 Calend 01'!C58),(79&lt;'V06 Calend 01'!D58),(MOD((79-'V06 Calend 01'!C58),6)=0),(((79-'V06 Calend 01'!C58)/6)&lt;='V06 Calend 01'!E58)),IF((79=('V06 Calend 01'!C58+(6*'V06 Calend 01'!E58))),('V06 Calend 01'!H58-('V06 Calend 01'!I58*('V06 Calend 01'!E58-1))),'V06 Calend 01'!I58),0))+IF((79='V06 Calend 01'!D58),'V06 Calend 01'!J58,0))</f>
        <v>0</v>
      </c>
      <c r="CN58" s="2">
        <f>((IF((80='V06 Calend 01'!C58),('V06 Calend 01'!F58+'V06 Calend 01'!G58),0)+IF(AND(('V06 Calend 01'!E58&gt;0),(80&gt;'V06 Calend 01'!C58),(80&lt;'V06 Calend 01'!D58),(MOD((80-'V06 Calend 01'!C58),6)=0),(((80-'V06 Calend 01'!C58)/6)&lt;='V06 Calend 01'!E58)),IF((80=('V06 Calend 01'!C58+(6*'V06 Calend 01'!E58))),('V06 Calend 01'!H58-('V06 Calend 01'!I58*('V06 Calend 01'!E58-1))),'V06 Calend 01'!I58),0))+IF((80='V06 Calend 01'!D58),'V06 Calend 01'!J58,0))</f>
        <v>0</v>
      </c>
      <c r="CO58" s="2">
        <f>((IF((81='V06 Calend 01'!C58),('V06 Calend 01'!F58+'V06 Calend 01'!G58),0)+IF(AND(('V06 Calend 01'!E58&gt;0),(81&gt;'V06 Calend 01'!C58),(81&lt;'V06 Calend 01'!D58),(MOD((81-'V06 Calend 01'!C58),6)=0),(((81-'V06 Calend 01'!C58)/6)&lt;='V06 Calend 01'!E58)),IF((81=('V06 Calend 01'!C58+(6*'V06 Calend 01'!E58))),('V06 Calend 01'!H58-('V06 Calend 01'!I58*('V06 Calend 01'!E58-1))),'V06 Calend 01'!I58),0))+IF((81='V06 Calend 01'!D58),'V06 Calend 01'!J58,0))</f>
        <v>0</v>
      </c>
      <c r="CP58" s="2">
        <f>((IF((82='V06 Calend 01'!C58),('V06 Calend 01'!F58+'V06 Calend 01'!G58),0)+IF(AND(('V06 Calend 01'!E58&gt;0),(82&gt;'V06 Calend 01'!C58),(82&lt;'V06 Calend 01'!D58),(MOD((82-'V06 Calend 01'!C58),6)=0),(((82-'V06 Calend 01'!C58)/6)&lt;='V06 Calend 01'!E58)),IF((82=('V06 Calend 01'!C58+(6*'V06 Calend 01'!E58))),('V06 Calend 01'!H58-('V06 Calend 01'!I58*('V06 Calend 01'!E58-1))),'V06 Calend 01'!I58),0))+IF((82='V06 Calend 01'!D58),'V06 Calend 01'!J58,0))</f>
        <v>0</v>
      </c>
      <c r="CQ58" s="2">
        <f>((IF((83='V06 Calend 01'!C58),('V06 Calend 01'!F58+'V06 Calend 01'!G58),0)+IF(AND(('V06 Calend 01'!E58&gt;0),(83&gt;'V06 Calend 01'!C58),(83&lt;'V06 Calend 01'!D58),(MOD((83-'V06 Calend 01'!C58),6)=0),(((83-'V06 Calend 01'!C58)/6)&lt;='V06 Calend 01'!E58)),IF((83=('V06 Calend 01'!C58+(6*'V06 Calend 01'!E58))),('V06 Calend 01'!H58-('V06 Calend 01'!I58*('V06 Calend 01'!E58-1))),'V06 Calend 01'!I58),0))+IF((83='V06 Calend 01'!D58),'V06 Calend 01'!J58,0))</f>
        <v>0</v>
      </c>
      <c r="CR58" s="2">
        <f>((IF((84='V06 Calend 01'!C58),('V06 Calend 01'!F58+'V06 Calend 01'!G58),0)+IF(AND(('V06 Calend 01'!E58&gt;0),(84&gt;'V06 Calend 01'!C58),(84&lt;'V06 Calend 01'!D58),(MOD((84-'V06 Calend 01'!C58),6)=0),(((84-'V06 Calend 01'!C58)/6)&lt;='V06 Calend 01'!E58)),IF((84=('V06 Calend 01'!C58+(6*'V06 Calend 01'!E58))),('V06 Calend 01'!H58-('V06 Calend 01'!I58*('V06 Calend 01'!E58-1))),'V06 Calend 01'!I58),0))+IF((84='V06 Calend 01'!D58),'V06 Calend 01'!J58,0))</f>
        <v>0</v>
      </c>
      <c r="CS58" s="2">
        <f>((IF((85='V06 Calend 01'!C58),('V06 Calend 01'!F58+'V06 Calend 01'!G58),0)+IF(AND(('V06 Calend 01'!E58&gt;0),(85&gt;'V06 Calend 01'!C58),(85&lt;'V06 Calend 01'!D58),(MOD((85-'V06 Calend 01'!C58),6)=0),(((85-'V06 Calend 01'!C58)/6)&lt;='V06 Calend 01'!E58)),IF((85=('V06 Calend 01'!C58+(6*'V06 Calend 01'!E58))),('V06 Calend 01'!H58-('V06 Calend 01'!I58*('V06 Calend 01'!E58-1))),'V06 Calend 01'!I58),0))+IF((85='V06 Calend 01'!D58),'V06 Calend 01'!J58,0))</f>
        <v>0</v>
      </c>
      <c r="CT58" s="2">
        <f>((IF((86='V06 Calend 01'!C58),('V06 Calend 01'!F58+'V06 Calend 01'!G58),0)+IF(AND(('V06 Calend 01'!E58&gt;0),(86&gt;'V06 Calend 01'!C58),(86&lt;'V06 Calend 01'!D58),(MOD((86-'V06 Calend 01'!C58),6)=0),(((86-'V06 Calend 01'!C58)/6)&lt;='V06 Calend 01'!E58)),IF((86=('V06 Calend 01'!C58+(6*'V06 Calend 01'!E58))),('V06 Calend 01'!H58-('V06 Calend 01'!I58*('V06 Calend 01'!E58-1))),'V06 Calend 01'!I58),0))+IF((86='V06 Calend 01'!D58),'V06 Calend 01'!J58,0))</f>
        <v>0</v>
      </c>
      <c r="CU58" s="2">
        <f>((IF((87='V06 Calend 01'!C58),('V06 Calend 01'!F58+'V06 Calend 01'!G58),0)+IF(AND(('V06 Calend 01'!E58&gt;0),(87&gt;'V06 Calend 01'!C58),(87&lt;'V06 Calend 01'!D58),(MOD((87-'V06 Calend 01'!C58),6)=0),(((87-'V06 Calend 01'!C58)/6)&lt;='V06 Calend 01'!E58)),IF((87=('V06 Calend 01'!C58+(6*'V06 Calend 01'!E58))),('V06 Calend 01'!H58-('V06 Calend 01'!I58*('V06 Calend 01'!E58-1))),'V06 Calend 01'!I58),0))+IF((87='V06 Calend 01'!D58),'V06 Calend 01'!J58,0))</f>
        <v>0</v>
      </c>
      <c r="CV58" s="2">
        <f>((IF((88='V06 Calend 01'!C58),('V06 Calend 01'!F58+'V06 Calend 01'!G58),0)+IF(AND(('V06 Calend 01'!E58&gt;0),(88&gt;'V06 Calend 01'!C58),(88&lt;'V06 Calend 01'!D58),(MOD((88-'V06 Calend 01'!C58),6)=0),(((88-'V06 Calend 01'!C58)/6)&lt;='V06 Calend 01'!E58)),IF((88=('V06 Calend 01'!C58+(6*'V06 Calend 01'!E58))),('V06 Calend 01'!H58-('V06 Calend 01'!I58*('V06 Calend 01'!E58-1))),'V06 Calend 01'!I58),0))+IF((88='V06 Calend 01'!D58),'V06 Calend 01'!J58,0))</f>
        <v>0</v>
      </c>
      <c r="CW58" s="2">
        <f>((IF((89='V06 Calend 01'!C58),('V06 Calend 01'!F58+'V06 Calend 01'!G58),0)+IF(AND(('V06 Calend 01'!E58&gt;0),(89&gt;'V06 Calend 01'!C58),(89&lt;'V06 Calend 01'!D58),(MOD((89-'V06 Calend 01'!C58),6)=0),(((89-'V06 Calend 01'!C58)/6)&lt;='V06 Calend 01'!E58)),IF((89=('V06 Calend 01'!C58+(6*'V06 Calend 01'!E58))),('V06 Calend 01'!H58-('V06 Calend 01'!I58*('V06 Calend 01'!E58-1))),'V06 Calend 01'!I58),0))+IF((89='V06 Calend 01'!D58),'V06 Calend 01'!J58,0))</f>
        <v>0</v>
      </c>
      <c r="CX58" s="2">
        <f>((IF((90='V06 Calend 01'!C58),('V06 Calend 01'!F58+'V06 Calend 01'!G58),0)+IF(AND(('V06 Calend 01'!E58&gt;0),(90&gt;'V06 Calend 01'!C58),(90&lt;'V06 Calend 01'!D58),(MOD((90-'V06 Calend 01'!C58),6)=0),(((90-'V06 Calend 01'!C58)/6)&lt;='V06 Calend 01'!E58)),IF((90=('V06 Calend 01'!C58+(6*'V06 Calend 01'!E58))),('V06 Calend 01'!H58-('V06 Calend 01'!I58*('V06 Calend 01'!E58-1))),'V06 Calend 01'!I58),0))+IF((90='V06 Calend 01'!D58),'V06 Calend 01'!J58,0))</f>
        <v>0</v>
      </c>
      <c r="CY58" s="2">
        <f>((IF((91='V06 Calend 01'!C58),('V06 Calend 01'!F58+'V06 Calend 01'!G58),0)+IF(AND(('V06 Calend 01'!E58&gt;0),(91&gt;'V06 Calend 01'!C58),(91&lt;'V06 Calend 01'!D58),(MOD((91-'V06 Calend 01'!C58),6)=0),(((91-'V06 Calend 01'!C58)/6)&lt;='V06 Calend 01'!E58)),IF((91=('V06 Calend 01'!C58+(6*'V06 Calend 01'!E58))),('V06 Calend 01'!H58-('V06 Calend 01'!I58*('V06 Calend 01'!E58-1))),'V06 Calend 01'!I58),0))+IF((91='V06 Calend 01'!D58),'V06 Calend 01'!J58,0))</f>
        <v>0</v>
      </c>
      <c r="CZ58" s="2">
        <f>((IF((92='V06 Calend 01'!C58),('V06 Calend 01'!F58+'V06 Calend 01'!G58),0)+IF(AND(('V06 Calend 01'!E58&gt;0),(92&gt;'V06 Calend 01'!C58),(92&lt;'V06 Calend 01'!D58),(MOD((92-'V06 Calend 01'!C58),6)=0),(((92-'V06 Calend 01'!C58)/6)&lt;='V06 Calend 01'!E58)),IF((92=('V06 Calend 01'!C58+(6*'V06 Calend 01'!E58))),('V06 Calend 01'!H58-('V06 Calend 01'!I58*('V06 Calend 01'!E58-1))),'V06 Calend 01'!I58),0))+IF((92='V06 Calend 01'!D58),'V06 Calend 01'!J58,0))</f>
        <v>0</v>
      </c>
      <c r="DA58" s="2">
        <f>((IF((93='V06 Calend 01'!C58),('V06 Calend 01'!F58+'V06 Calend 01'!G58),0)+IF(AND(('V06 Calend 01'!E58&gt;0),(93&gt;'V06 Calend 01'!C58),(93&lt;'V06 Calend 01'!D58),(MOD((93-'V06 Calend 01'!C58),6)=0),(((93-'V06 Calend 01'!C58)/6)&lt;='V06 Calend 01'!E58)),IF((93=('V06 Calend 01'!C58+(6*'V06 Calend 01'!E58))),('V06 Calend 01'!H58-('V06 Calend 01'!I58*('V06 Calend 01'!E58-1))),'V06 Calend 01'!I58),0))+IF((93='V06 Calend 01'!D58),'V06 Calend 01'!J58,0))</f>
        <v>0</v>
      </c>
      <c r="DB58" s="2">
        <f>((IF((94='V06 Calend 01'!C58),('V06 Calend 01'!F58+'V06 Calend 01'!G58),0)+IF(AND(('V06 Calend 01'!E58&gt;0),(94&gt;'V06 Calend 01'!C58),(94&lt;'V06 Calend 01'!D58),(MOD((94-'V06 Calend 01'!C58),6)=0),(((94-'V06 Calend 01'!C58)/6)&lt;='V06 Calend 01'!E58)),IF((94=('V06 Calend 01'!C58+(6*'V06 Calend 01'!E58))),('V06 Calend 01'!H58-('V06 Calend 01'!I58*('V06 Calend 01'!E58-1))),'V06 Calend 01'!I58),0))+IF((94='V06 Calend 01'!D58),'V06 Calend 01'!J58,0))</f>
        <v>0</v>
      </c>
      <c r="DC58" s="2">
        <f>((IF((95='V06 Calend 01'!C58),('V06 Calend 01'!F58+'V06 Calend 01'!G58),0)+IF(AND(('V06 Calend 01'!E58&gt;0),(95&gt;'V06 Calend 01'!C58),(95&lt;'V06 Calend 01'!D58),(MOD((95-'V06 Calend 01'!C58),6)=0),(((95-'V06 Calend 01'!C58)/6)&lt;='V06 Calend 01'!E58)),IF((95=('V06 Calend 01'!C58+(6*'V06 Calend 01'!E58))),('V06 Calend 01'!H58-('V06 Calend 01'!I58*('V06 Calend 01'!E58-1))),'V06 Calend 01'!I58),0))+IF((95='V06 Calend 01'!D58),'V06 Calend 01'!J58,0))</f>
        <v>0</v>
      </c>
      <c r="DD58" s="2">
        <f>((IF((96='V06 Calend 01'!C58),('V06 Calend 01'!F58+'V06 Calend 01'!G58),0)+IF(AND(('V06 Calend 01'!E58&gt;0),(96&gt;'V06 Calend 01'!C58),(96&lt;'V06 Calend 01'!D58),(MOD((96-'V06 Calend 01'!C58),6)=0),(((96-'V06 Calend 01'!C58)/6)&lt;='V06 Calend 01'!E58)),IF((96=('V06 Calend 01'!C58+(6*'V06 Calend 01'!E58))),('V06 Calend 01'!H58-('V06 Calend 01'!I58*('V06 Calend 01'!E58-1))),'V06 Calend 01'!I58),0))+IF((96='V06 Calend 01'!D58),'V06 Calend 01'!J58,0))</f>
        <v>0</v>
      </c>
      <c r="DE58" s="2">
        <f>((IF((97='V06 Calend 01'!C58),('V06 Calend 01'!F58+'V06 Calend 01'!G58),0)+IF(AND(('V06 Calend 01'!E58&gt;0),(97&gt;'V06 Calend 01'!C58),(97&lt;'V06 Calend 01'!D58),(MOD((97-'V06 Calend 01'!C58),6)=0),(((97-'V06 Calend 01'!C58)/6)&lt;='V06 Calend 01'!E58)),IF((97=('V06 Calend 01'!C58+(6*'V06 Calend 01'!E58))),('V06 Calend 01'!H58-('V06 Calend 01'!I58*('V06 Calend 01'!E58-1))),'V06 Calend 01'!I58),0))+IF((97='V06 Calend 01'!D58),'V06 Calend 01'!J58,0))</f>
        <v>0</v>
      </c>
      <c r="DF58" s="2">
        <f>((IF((98='V06 Calend 01'!C58),('V06 Calend 01'!F58+'V06 Calend 01'!G58),0)+IF(AND(('V06 Calend 01'!E58&gt;0),(98&gt;'V06 Calend 01'!C58),(98&lt;'V06 Calend 01'!D58),(MOD((98-'V06 Calend 01'!C58),6)=0),(((98-'V06 Calend 01'!C58)/6)&lt;='V06 Calend 01'!E58)),IF((98=('V06 Calend 01'!C58+(6*'V06 Calend 01'!E58))),('V06 Calend 01'!H58-('V06 Calend 01'!I58*('V06 Calend 01'!E58-1))),'V06 Calend 01'!I58),0))+IF((98='V06 Calend 01'!D58),'V06 Calend 01'!J58,0))</f>
        <v>0</v>
      </c>
      <c r="DG58" s="2">
        <f>((IF((99='V06 Calend 01'!C58),('V06 Calend 01'!F58+'V06 Calend 01'!G58),0)+IF(AND(('V06 Calend 01'!E58&gt;0),(99&gt;'V06 Calend 01'!C58),(99&lt;'V06 Calend 01'!D58),(MOD((99-'V06 Calend 01'!C58),6)=0),(((99-'V06 Calend 01'!C58)/6)&lt;='V06 Calend 01'!E58)),IF((99=('V06 Calend 01'!C58+(6*'V06 Calend 01'!E58))),('V06 Calend 01'!H58-('V06 Calend 01'!I58*('V06 Calend 01'!E58-1))),'V06 Calend 01'!I58),0))+IF((99='V06 Calend 01'!D58),'V06 Calend 01'!J58,0))</f>
        <v>0</v>
      </c>
      <c r="DH58" s="2">
        <f>((IF((100='V06 Calend 01'!C58),('V06 Calend 01'!F58+'V06 Calend 01'!G58),0)+IF(AND(('V06 Calend 01'!E58&gt;0),(100&gt;'V06 Calend 01'!C58),(100&lt;'V06 Calend 01'!D58),(MOD((100-'V06 Calend 01'!C58),6)=0),(((100-'V06 Calend 01'!C58)/6)&lt;='V06 Calend 01'!E58)),IF((100=('V06 Calend 01'!C58+(6*'V06 Calend 01'!E58))),('V06 Calend 01'!H58-('V06 Calend 01'!I58*('V06 Calend 01'!E58-1))),'V06 Calend 01'!I58),0))+IF((100='V06 Calend 01'!D58),'V06 Calend 01'!J58,0))</f>
        <v>0</v>
      </c>
      <c r="DI58" s="2">
        <f>((IF((101='V06 Calend 01'!C58),('V06 Calend 01'!F58+'V06 Calend 01'!G58),0)+IF(AND(('V06 Calend 01'!E58&gt;0),(101&gt;'V06 Calend 01'!C58),(101&lt;'V06 Calend 01'!D58),(MOD((101-'V06 Calend 01'!C58),6)=0),(((101-'V06 Calend 01'!C58)/6)&lt;='V06 Calend 01'!E58)),IF((101=('V06 Calend 01'!C58+(6*'V06 Calend 01'!E58))),('V06 Calend 01'!H58-('V06 Calend 01'!I58*('V06 Calend 01'!E58-1))),'V06 Calend 01'!I58),0))+IF((101='V06 Calend 01'!D58),'V06 Calend 01'!J58,0))</f>
        <v>0</v>
      </c>
      <c r="DJ58" s="2">
        <f>((IF((102='V06 Calend 01'!C58),('V06 Calend 01'!F58+'V06 Calend 01'!G58),0)+IF(AND(('V06 Calend 01'!E58&gt;0),(102&gt;'V06 Calend 01'!C58),(102&lt;'V06 Calend 01'!D58),(MOD((102-'V06 Calend 01'!C58),6)=0),(((102-'V06 Calend 01'!C58)/6)&lt;='V06 Calend 01'!E58)),IF((102=('V06 Calend 01'!C58+(6*'V06 Calend 01'!E58))),('V06 Calend 01'!H58-('V06 Calend 01'!I58*('V06 Calend 01'!E58-1))),'V06 Calend 01'!I58),0))+IF((102='V06 Calend 01'!D58),'V06 Calend 01'!J58,0))</f>
        <v>0</v>
      </c>
      <c r="DK58" s="2">
        <f>((IF((103='V06 Calend 01'!C58),('V06 Calend 01'!F58+'V06 Calend 01'!G58),0)+IF(AND(('V06 Calend 01'!E58&gt;0),(103&gt;'V06 Calend 01'!C58),(103&lt;'V06 Calend 01'!D58),(MOD((103-'V06 Calend 01'!C58),6)=0),(((103-'V06 Calend 01'!C58)/6)&lt;='V06 Calend 01'!E58)),IF((103=('V06 Calend 01'!C58+(6*'V06 Calend 01'!E58))),('V06 Calend 01'!H58-('V06 Calend 01'!I58*('V06 Calend 01'!E58-1))),'V06 Calend 01'!I58),0))+IF((103='V06 Calend 01'!D58),'V06 Calend 01'!J58,0))</f>
        <v>0</v>
      </c>
      <c r="DL58" s="2">
        <f>((IF((104='V06 Calend 01'!C58),('V06 Calend 01'!F58+'V06 Calend 01'!G58),0)+IF(AND(('V06 Calend 01'!E58&gt;0),(104&gt;'V06 Calend 01'!C58),(104&lt;'V06 Calend 01'!D58),(MOD((104-'V06 Calend 01'!C58),6)=0),(((104-'V06 Calend 01'!C58)/6)&lt;='V06 Calend 01'!E58)),IF((104=('V06 Calend 01'!C58+(6*'V06 Calend 01'!E58))),('V06 Calend 01'!H58-('V06 Calend 01'!I58*('V06 Calend 01'!E58-1))),'V06 Calend 01'!I58),0))+IF((104='V06 Calend 01'!D58),'V06 Calend 01'!J58,0))</f>
        <v>0</v>
      </c>
      <c r="DM58" s="2">
        <f>((IF((105='V06 Calend 01'!C58),('V06 Calend 01'!F58+'V06 Calend 01'!G58),0)+IF(AND(('V06 Calend 01'!E58&gt;0),(105&gt;'V06 Calend 01'!C58),(105&lt;'V06 Calend 01'!D58),(MOD((105-'V06 Calend 01'!C58),6)=0),(((105-'V06 Calend 01'!C58)/6)&lt;='V06 Calend 01'!E58)),IF((105=('V06 Calend 01'!C58+(6*'V06 Calend 01'!E58))),('V06 Calend 01'!H58-('V06 Calend 01'!I58*('V06 Calend 01'!E58-1))),'V06 Calend 01'!I58),0))+IF((105='V06 Calend 01'!D58),'V06 Calend 01'!J58,0))</f>
        <v>0</v>
      </c>
      <c r="DN58" s="2">
        <f>((IF((106='V06 Calend 01'!C58),('V06 Calend 01'!F58+'V06 Calend 01'!G58),0)+IF(AND(('V06 Calend 01'!E58&gt;0),(106&gt;'V06 Calend 01'!C58),(106&lt;'V06 Calend 01'!D58),(MOD((106-'V06 Calend 01'!C58),6)=0),(((106-'V06 Calend 01'!C58)/6)&lt;='V06 Calend 01'!E58)),IF((106=('V06 Calend 01'!C58+(6*'V06 Calend 01'!E58))),('V06 Calend 01'!H58-('V06 Calend 01'!I58*('V06 Calend 01'!E58-1))),'V06 Calend 01'!I58),0))+IF((106='V06 Calend 01'!D58),'V06 Calend 01'!J58,0))</f>
        <v>0</v>
      </c>
      <c r="DO58" s="2">
        <f>((IF((107='V06 Calend 01'!C58),('V06 Calend 01'!F58+'V06 Calend 01'!G58),0)+IF(AND(('V06 Calend 01'!E58&gt;0),(107&gt;'V06 Calend 01'!C58),(107&lt;'V06 Calend 01'!D58),(MOD((107-'V06 Calend 01'!C58),6)=0),(((107-'V06 Calend 01'!C58)/6)&lt;='V06 Calend 01'!E58)),IF((107=('V06 Calend 01'!C58+(6*'V06 Calend 01'!E58))),('V06 Calend 01'!H58-('V06 Calend 01'!I58*('V06 Calend 01'!E58-1))),'V06 Calend 01'!I58),0))+IF((107='V06 Calend 01'!D58),'V06 Calend 01'!J58,0))</f>
        <v>0</v>
      </c>
      <c r="DP58" s="2">
        <f>((IF((108='V06 Calend 01'!C58),('V06 Calend 01'!F58+'V06 Calend 01'!G58),0)+IF(AND(('V06 Calend 01'!E58&gt;0),(108&gt;'V06 Calend 01'!C58),(108&lt;'V06 Calend 01'!D58),(MOD((108-'V06 Calend 01'!C58),6)=0),(((108-'V06 Calend 01'!C58)/6)&lt;='V06 Calend 01'!E58)),IF((108=('V06 Calend 01'!C58+(6*'V06 Calend 01'!E58))),('V06 Calend 01'!H58-('V06 Calend 01'!I58*('V06 Calend 01'!E58-1))),'V06 Calend 01'!I58),0))+IF((108='V06 Calend 01'!D58),'V06 Calend 01'!J58,0))</f>
        <v>0</v>
      </c>
      <c r="DQ58" s="2">
        <f>((IF((109='V06 Calend 01'!C58),('V06 Calend 01'!F58+'V06 Calend 01'!G58),0)+IF(AND(('V06 Calend 01'!E58&gt;0),(109&gt;'V06 Calend 01'!C58),(109&lt;'V06 Calend 01'!D58),(MOD((109-'V06 Calend 01'!C58),6)=0),(((109-'V06 Calend 01'!C58)/6)&lt;='V06 Calend 01'!E58)),IF((109=('V06 Calend 01'!C58+(6*'V06 Calend 01'!E58))),('V06 Calend 01'!H58-('V06 Calend 01'!I58*('V06 Calend 01'!E58-1))),'V06 Calend 01'!I58),0))+IF((109='V06 Calend 01'!D58),'V06 Calend 01'!J58,0))</f>
        <v>0</v>
      </c>
      <c r="DR58" s="2">
        <f>((IF((110='V06 Calend 01'!C58),('V06 Calend 01'!F58+'V06 Calend 01'!G58),0)+IF(AND(('V06 Calend 01'!E58&gt;0),(110&gt;'V06 Calend 01'!C58),(110&lt;'V06 Calend 01'!D58),(MOD((110-'V06 Calend 01'!C58),6)=0),(((110-'V06 Calend 01'!C58)/6)&lt;='V06 Calend 01'!E58)),IF((110=('V06 Calend 01'!C58+(6*'V06 Calend 01'!E58))),('V06 Calend 01'!H58-('V06 Calend 01'!I58*('V06 Calend 01'!E58-1))),'V06 Calend 01'!I58),0))+IF((110='V06 Calend 01'!D58),'V06 Calend 01'!J58,0))</f>
        <v>0</v>
      </c>
      <c r="DS58" s="2">
        <f>((IF((111='V06 Calend 01'!C58),('V06 Calend 01'!F58+'V06 Calend 01'!G58),0)+IF(AND(('V06 Calend 01'!E58&gt;0),(111&gt;'V06 Calend 01'!C58),(111&lt;'V06 Calend 01'!D58),(MOD((111-'V06 Calend 01'!C58),6)=0),(((111-'V06 Calend 01'!C58)/6)&lt;='V06 Calend 01'!E58)),IF((111=('V06 Calend 01'!C58+(6*'V06 Calend 01'!E58))),('V06 Calend 01'!H58-('V06 Calend 01'!I58*('V06 Calend 01'!E58-1))),'V06 Calend 01'!I58),0))+IF((111='V06 Calend 01'!D58),'V06 Calend 01'!J58,0))</f>
        <v>0</v>
      </c>
      <c r="DT58" s="2">
        <f>((IF((112='V06 Calend 01'!C58),('V06 Calend 01'!F58+'V06 Calend 01'!G58),0)+IF(AND(('V06 Calend 01'!E58&gt;0),(112&gt;'V06 Calend 01'!C58),(112&lt;'V06 Calend 01'!D58),(MOD((112-'V06 Calend 01'!C58),6)=0),(((112-'V06 Calend 01'!C58)/6)&lt;='V06 Calend 01'!E58)),IF((112=('V06 Calend 01'!C58+(6*'V06 Calend 01'!E58))),('V06 Calend 01'!H58-('V06 Calend 01'!I58*('V06 Calend 01'!E58-1))),'V06 Calend 01'!I58),0))+IF((112='V06 Calend 01'!D58),'V06 Calend 01'!J58,0))</f>
        <v>0</v>
      </c>
      <c r="DU58" s="2">
        <f>((IF((113='V06 Calend 01'!C58),('V06 Calend 01'!F58+'V06 Calend 01'!G58),0)+IF(AND(('V06 Calend 01'!E58&gt;0),(113&gt;'V06 Calend 01'!C58),(113&lt;'V06 Calend 01'!D58),(MOD((113-'V06 Calend 01'!C58),6)=0),(((113-'V06 Calend 01'!C58)/6)&lt;='V06 Calend 01'!E58)),IF((113=('V06 Calend 01'!C58+(6*'V06 Calend 01'!E58))),('V06 Calend 01'!H58-('V06 Calend 01'!I58*('V06 Calend 01'!E58-1))),'V06 Calend 01'!I58),0))+IF((113='V06 Calend 01'!D58),'V06 Calend 01'!J58,0))</f>
        <v>0</v>
      </c>
      <c r="DV58" s="2">
        <f>((IF((114='V06 Calend 01'!C58),('V06 Calend 01'!F58+'V06 Calend 01'!G58),0)+IF(AND(('V06 Calend 01'!E58&gt;0),(114&gt;'V06 Calend 01'!C58),(114&lt;'V06 Calend 01'!D58),(MOD((114-'V06 Calend 01'!C58),6)=0),(((114-'V06 Calend 01'!C58)/6)&lt;='V06 Calend 01'!E58)),IF((114=('V06 Calend 01'!C58+(6*'V06 Calend 01'!E58))),('V06 Calend 01'!H58-('V06 Calend 01'!I58*('V06 Calend 01'!E58-1))),'V06 Calend 01'!I58),0))+IF((114='V06 Calend 01'!D58),'V06 Calend 01'!J58,0))</f>
        <v>0</v>
      </c>
      <c r="DW58" s="2">
        <f>((IF((115='V06 Calend 01'!C58),('V06 Calend 01'!F58+'V06 Calend 01'!G58),0)+IF(AND(('V06 Calend 01'!E58&gt;0),(115&gt;'V06 Calend 01'!C58),(115&lt;'V06 Calend 01'!D58),(MOD((115-'V06 Calend 01'!C58),6)=0),(((115-'V06 Calend 01'!C58)/6)&lt;='V06 Calend 01'!E58)),IF((115=('V06 Calend 01'!C58+(6*'V06 Calend 01'!E58))),('V06 Calend 01'!H58-('V06 Calend 01'!I58*('V06 Calend 01'!E58-1))),'V06 Calend 01'!I58),0))+IF((115='V06 Calend 01'!D58),'V06 Calend 01'!J58,0))</f>
        <v>0</v>
      </c>
      <c r="DX58" s="2">
        <f>((IF((116='V06 Calend 01'!C58),('V06 Calend 01'!F58+'V06 Calend 01'!G58),0)+IF(AND(('V06 Calend 01'!E58&gt;0),(116&gt;'V06 Calend 01'!C58),(116&lt;'V06 Calend 01'!D58),(MOD((116-'V06 Calend 01'!C58),6)=0),(((116-'V06 Calend 01'!C58)/6)&lt;='V06 Calend 01'!E58)),IF((116=('V06 Calend 01'!C58+(6*'V06 Calend 01'!E58))),('V06 Calend 01'!H58-('V06 Calend 01'!I58*('V06 Calend 01'!E58-1))),'V06 Calend 01'!I58),0))+IF((116='V06 Calend 01'!D58),'V06 Calend 01'!J58,0))</f>
        <v>0</v>
      </c>
      <c r="DY58" s="2">
        <f>((IF((117='V06 Calend 01'!C58),('V06 Calend 01'!F58+'V06 Calend 01'!G58),0)+IF(AND(('V06 Calend 01'!E58&gt;0),(117&gt;'V06 Calend 01'!C58),(117&lt;'V06 Calend 01'!D58),(MOD((117-'V06 Calend 01'!C58),6)=0),(((117-'V06 Calend 01'!C58)/6)&lt;='V06 Calend 01'!E58)),IF((117=('V06 Calend 01'!C58+(6*'V06 Calend 01'!E58))),('V06 Calend 01'!H58-('V06 Calend 01'!I58*('V06 Calend 01'!E58-1))),'V06 Calend 01'!I58),0))+IF((117='V06 Calend 01'!D58),'V06 Calend 01'!J58,0))</f>
        <v>0</v>
      </c>
      <c r="DZ58" s="2">
        <f>((IF((118='V06 Calend 01'!C58),('V06 Calend 01'!F58+'V06 Calend 01'!G58),0)+IF(AND(('V06 Calend 01'!E58&gt;0),(118&gt;'V06 Calend 01'!C58),(118&lt;'V06 Calend 01'!D58),(MOD((118-'V06 Calend 01'!C58),6)=0),(((118-'V06 Calend 01'!C58)/6)&lt;='V06 Calend 01'!E58)),IF((118=('V06 Calend 01'!C58+(6*'V06 Calend 01'!E58))),('V06 Calend 01'!H58-('V06 Calend 01'!I58*('V06 Calend 01'!E58-1))),'V06 Calend 01'!I58),0))+IF((118='V06 Calend 01'!D58),'V06 Calend 01'!J58,0))</f>
        <v>0</v>
      </c>
      <c r="EA58" s="2">
        <f>((IF((119='V06 Calend 01'!C58),('V06 Calend 01'!F58+'V06 Calend 01'!G58),0)+IF(AND(('V06 Calend 01'!E58&gt;0),(119&gt;'V06 Calend 01'!C58),(119&lt;'V06 Calend 01'!D58),(MOD((119-'V06 Calend 01'!C58),6)=0),(((119-'V06 Calend 01'!C58)/6)&lt;='V06 Calend 01'!E58)),IF((119=('V06 Calend 01'!C58+(6*'V06 Calend 01'!E58))),('V06 Calend 01'!H58-('V06 Calend 01'!I58*('V06 Calend 01'!E58-1))),'V06 Calend 01'!I58),0))+IF((119='V06 Calend 01'!D58),'V06 Calend 01'!J58,0))</f>
        <v>0</v>
      </c>
      <c r="EB58" s="2">
        <f>((IF((120='V06 Calend 01'!C58),('V06 Calend 01'!F58+'V06 Calend 01'!G58),0)+IF(AND(('V06 Calend 01'!E58&gt;0),(120&gt;'V06 Calend 01'!C58),(120&lt;'V06 Calend 01'!D58),(MOD((120-'V06 Calend 01'!C58),6)=0),(((120-'V06 Calend 01'!C58)/6)&lt;='V06 Calend 01'!E58)),IF((120=('V06 Calend 01'!C58+(6*'V06 Calend 01'!E58))),('V06 Calend 01'!H58-('V06 Calend 01'!I58*('V06 Calend 01'!E58-1))),'V06 Calend 01'!I58),0))+IF((120='V06 Calend 01'!D58),'V06 Calend 01'!J58,0))</f>
        <v>0</v>
      </c>
      <c r="EC58" s="2">
        <f>((IF((121='V06 Calend 01'!C58),('V06 Calend 01'!F58+'V06 Calend 01'!G58),0)+IF(AND(('V06 Calend 01'!E58&gt;0),(121&gt;'V06 Calend 01'!C58),(121&lt;'V06 Calend 01'!D58),(MOD((121-'V06 Calend 01'!C58),6)=0),(((121-'V06 Calend 01'!C58)/6)&lt;='V06 Calend 01'!E58)),IF((121=('V06 Calend 01'!C58+(6*'V06 Calend 01'!E58))),('V06 Calend 01'!H58-('V06 Calend 01'!I58*('V06 Calend 01'!E58-1))),'V06 Calend 01'!I58),0))+IF((121='V06 Calend 01'!D58),'V06 Calend 01'!J58,0))</f>
        <v>0</v>
      </c>
      <c r="ED58" s="2">
        <f>((IF((122='V06 Calend 01'!C58),('V06 Calend 01'!F58+'V06 Calend 01'!G58),0)+IF(AND(('V06 Calend 01'!E58&gt;0),(122&gt;'V06 Calend 01'!C58),(122&lt;'V06 Calend 01'!D58),(MOD((122-'V06 Calend 01'!C58),6)=0),(((122-'V06 Calend 01'!C58)/6)&lt;='V06 Calend 01'!E58)),IF((122=('V06 Calend 01'!C58+(6*'V06 Calend 01'!E58))),('V06 Calend 01'!H58-('V06 Calend 01'!I58*('V06 Calend 01'!E58-1))),'V06 Calend 01'!I58),0))+IF((122='V06 Calend 01'!D58),'V06 Calend 01'!J58,0))</f>
        <v>0</v>
      </c>
      <c r="EE58" s="2">
        <f>((IF((123='V06 Calend 01'!C58),('V06 Calend 01'!F58+'V06 Calend 01'!G58),0)+IF(AND(('V06 Calend 01'!E58&gt;0),(123&gt;'V06 Calend 01'!C58),(123&lt;'V06 Calend 01'!D58),(MOD((123-'V06 Calend 01'!C58),6)=0),(((123-'V06 Calend 01'!C58)/6)&lt;='V06 Calend 01'!E58)),IF((123=('V06 Calend 01'!C58+(6*'V06 Calend 01'!E58))),('V06 Calend 01'!H58-('V06 Calend 01'!I58*('V06 Calend 01'!E58-1))),'V06 Calend 01'!I58),0))+IF((123='V06 Calend 01'!D58),'V06 Calend 01'!J58,0))</f>
        <v>0</v>
      </c>
      <c r="EF58" s="2">
        <f>((IF((124='V06 Calend 01'!C58),('V06 Calend 01'!F58+'V06 Calend 01'!G58),0)+IF(AND(('V06 Calend 01'!E58&gt;0),(124&gt;'V06 Calend 01'!C58),(124&lt;'V06 Calend 01'!D58),(MOD((124-'V06 Calend 01'!C58),6)=0),(((124-'V06 Calend 01'!C58)/6)&lt;='V06 Calend 01'!E58)),IF((124=('V06 Calend 01'!C58+(6*'V06 Calend 01'!E58))),('V06 Calend 01'!H58-('V06 Calend 01'!I58*('V06 Calend 01'!E58-1))),'V06 Calend 01'!I58),0))+IF((124='V06 Calend 01'!D58),'V06 Calend 01'!J58,0))</f>
        <v>0</v>
      </c>
      <c r="EG58" s="2">
        <f>((IF((125='V06 Calend 01'!C58),('V06 Calend 01'!F58+'V06 Calend 01'!G58),0)+IF(AND(('V06 Calend 01'!E58&gt;0),(125&gt;'V06 Calend 01'!C58),(125&lt;'V06 Calend 01'!D58),(MOD((125-'V06 Calend 01'!C58),6)=0),(((125-'V06 Calend 01'!C58)/6)&lt;='V06 Calend 01'!E58)),IF((125=('V06 Calend 01'!C58+(6*'V06 Calend 01'!E58))),('V06 Calend 01'!H58-('V06 Calend 01'!I58*('V06 Calend 01'!E58-1))),'V06 Calend 01'!I58),0))+IF((125='V06 Calend 01'!D58),'V06 Calend 01'!J58,0))</f>
        <v>0</v>
      </c>
      <c r="EH58" s="2">
        <f>((IF((126='V06 Calend 01'!C58),('V06 Calend 01'!F58+'V06 Calend 01'!G58),0)+IF(AND(('V06 Calend 01'!E58&gt;0),(126&gt;'V06 Calend 01'!C58),(126&lt;'V06 Calend 01'!D58),(MOD((126-'V06 Calend 01'!C58),6)=0),(((126-'V06 Calend 01'!C58)/6)&lt;='V06 Calend 01'!E58)),IF((126=('V06 Calend 01'!C58+(6*'V06 Calend 01'!E58))),('V06 Calend 01'!H58-('V06 Calend 01'!I58*('V06 Calend 01'!E58-1))),'V06 Calend 01'!I58),0))+IF((126='V06 Calend 01'!D58),'V06 Calend 01'!J58,0))</f>
        <v>0</v>
      </c>
      <c r="EI58" s="2">
        <f>((IF((127='V06 Calend 01'!C58),('V06 Calend 01'!F58+'V06 Calend 01'!G58),0)+IF(AND(('V06 Calend 01'!E58&gt;0),(127&gt;'V06 Calend 01'!C58),(127&lt;'V06 Calend 01'!D58),(MOD((127-'V06 Calend 01'!C58),6)=0),(((127-'V06 Calend 01'!C58)/6)&lt;='V06 Calend 01'!E58)),IF((127=('V06 Calend 01'!C58+(6*'V06 Calend 01'!E58))),('V06 Calend 01'!H58-('V06 Calend 01'!I58*('V06 Calend 01'!E58-1))),'V06 Calend 01'!I58),0))+IF((127='V06 Calend 01'!D58),'V06 Calend 01'!J58,0))</f>
        <v>0</v>
      </c>
      <c r="EJ58" s="2">
        <f>((IF((128='V06 Calend 01'!C58),('V06 Calend 01'!F58+'V06 Calend 01'!G58),0)+IF(AND(('V06 Calend 01'!E58&gt;0),(128&gt;'V06 Calend 01'!C58),(128&lt;'V06 Calend 01'!D58),(MOD((128-'V06 Calend 01'!C58),6)=0),(((128-'V06 Calend 01'!C58)/6)&lt;='V06 Calend 01'!E58)),IF((128=('V06 Calend 01'!C58+(6*'V06 Calend 01'!E58))),('V06 Calend 01'!H58-('V06 Calend 01'!I58*('V06 Calend 01'!E58-1))),'V06 Calend 01'!I58),0))+IF((128='V06 Calend 01'!D58),'V06 Calend 01'!J58,0))</f>
        <v>0</v>
      </c>
      <c r="EK58" s="2">
        <f>((IF((129='V06 Calend 01'!C58),('V06 Calend 01'!F58+'V06 Calend 01'!G58),0)+IF(AND(('V06 Calend 01'!E58&gt;0),(129&gt;'V06 Calend 01'!C58),(129&lt;'V06 Calend 01'!D58),(MOD((129-'V06 Calend 01'!C58),6)=0),(((129-'V06 Calend 01'!C58)/6)&lt;='V06 Calend 01'!E58)),IF((129=('V06 Calend 01'!C58+(6*'V06 Calend 01'!E58))),('V06 Calend 01'!H58-('V06 Calend 01'!I58*('V06 Calend 01'!E58-1))),'V06 Calend 01'!I58),0))+IF((129='V06 Calend 01'!D58),'V06 Calend 01'!J58,0))</f>
        <v>0</v>
      </c>
      <c r="EL58" s="2">
        <f>((IF((130='V06 Calend 01'!C58),('V06 Calend 01'!F58+'V06 Calend 01'!G58),0)+IF(AND(('V06 Calend 01'!E58&gt;0),(130&gt;'V06 Calend 01'!C58),(130&lt;'V06 Calend 01'!D58),(MOD((130-'V06 Calend 01'!C58),6)=0),(((130-'V06 Calend 01'!C58)/6)&lt;='V06 Calend 01'!E58)),IF((130=('V06 Calend 01'!C58+(6*'V06 Calend 01'!E58))),('V06 Calend 01'!H58-('V06 Calend 01'!I58*('V06 Calend 01'!E58-1))),'V06 Calend 01'!I58),0))+IF((130='V06 Calend 01'!D58),'V06 Calend 01'!J58,0))</f>
        <v>0</v>
      </c>
      <c r="EM58" s="2">
        <f>((IF((131='V06 Calend 01'!C58),('V06 Calend 01'!F58+'V06 Calend 01'!G58),0)+IF(AND(('V06 Calend 01'!E58&gt;0),(131&gt;'V06 Calend 01'!C58),(131&lt;'V06 Calend 01'!D58),(MOD((131-'V06 Calend 01'!C58),6)=0),(((131-'V06 Calend 01'!C58)/6)&lt;='V06 Calend 01'!E58)),IF((131=('V06 Calend 01'!C58+(6*'V06 Calend 01'!E58))),('V06 Calend 01'!H58-('V06 Calend 01'!I58*('V06 Calend 01'!E58-1))),'V06 Calend 01'!I58),0))+IF((131='V06 Calend 01'!D58),'V06 Calend 01'!J58,0))</f>
        <v>0</v>
      </c>
      <c r="EN58" s="2">
        <f>((IF((132='V06 Calend 01'!C58),('V06 Calend 01'!F58+'V06 Calend 01'!G58),0)+IF(AND(('V06 Calend 01'!E58&gt;0),(132&gt;'V06 Calend 01'!C58),(132&lt;'V06 Calend 01'!D58),(MOD((132-'V06 Calend 01'!C58),6)=0),(((132-'V06 Calend 01'!C58)/6)&lt;='V06 Calend 01'!E58)),IF((132=('V06 Calend 01'!C58+(6*'V06 Calend 01'!E58))),('V06 Calend 01'!H58-('V06 Calend 01'!I58*('V06 Calend 01'!E58-1))),'V06 Calend 01'!I58),0))+IF((132='V06 Calend 01'!D58),'V06 Calend 01'!J58,0))</f>
        <v>0</v>
      </c>
      <c r="EO58" s="2">
        <f>((IF((133='V06 Calend 01'!C58),('V06 Calend 01'!F58+'V06 Calend 01'!G58),0)+IF(AND(('V06 Calend 01'!E58&gt;0),(133&gt;'V06 Calend 01'!C58),(133&lt;'V06 Calend 01'!D58),(MOD((133-'V06 Calend 01'!C58),6)=0),(((133-'V06 Calend 01'!C58)/6)&lt;='V06 Calend 01'!E58)),IF((133=('V06 Calend 01'!C58+(6*'V06 Calend 01'!E58))),('V06 Calend 01'!H58-('V06 Calend 01'!I58*('V06 Calend 01'!E58-1))),'V06 Calend 01'!I58),0))+IF((133='V06 Calend 01'!D58),'V06 Calend 01'!J58,0))</f>
        <v>0</v>
      </c>
      <c r="EP58" s="2">
        <f>((IF((134='V06 Calend 01'!C58),('V06 Calend 01'!F58+'V06 Calend 01'!G58),0)+IF(AND(('V06 Calend 01'!E58&gt;0),(134&gt;'V06 Calend 01'!C58),(134&lt;'V06 Calend 01'!D58),(MOD((134-'V06 Calend 01'!C58),6)=0),(((134-'V06 Calend 01'!C58)/6)&lt;='V06 Calend 01'!E58)),IF((134=('V06 Calend 01'!C58+(6*'V06 Calend 01'!E58))),('V06 Calend 01'!H58-('V06 Calend 01'!I58*('V06 Calend 01'!E58-1))),'V06 Calend 01'!I58),0))+IF((134='V06 Calend 01'!D58),'V06 Calend 01'!J58,0))</f>
        <v>0</v>
      </c>
      <c r="EQ58" s="2">
        <f>((IF((135='V06 Calend 01'!C58),('V06 Calend 01'!F58+'V06 Calend 01'!G58),0)+IF(AND(('V06 Calend 01'!E58&gt;0),(135&gt;'V06 Calend 01'!C58),(135&lt;'V06 Calend 01'!D58),(MOD((135-'V06 Calend 01'!C58),6)=0),(((135-'V06 Calend 01'!C58)/6)&lt;='V06 Calend 01'!E58)),IF((135=('V06 Calend 01'!C58+(6*'V06 Calend 01'!E58))),('V06 Calend 01'!H58-('V06 Calend 01'!I58*('V06 Calend 01'!E58-1))),'V06 Calend 01'!I58),0))+IF((135='V06 Calend 01'!D58),'V06 Calend 01'!J58,0))</f>
        <v>0</v>
      </c>
      <c r="ER58" s="2">
        <f>((IF((136='V06 Calend 01'!C58),('V06 Calend 01'!F58+'V06 Calend 01'!G58),0)+IF(AND(('V06 Calend 01'!E58&gt;0),(136&gt;'V06 Calend 01'!C58),(136&lt;'V06 Calend 01'!D58),(MOD((136-'V06 Calend 01'!C58),6)=0),(((136-'V06 Calend 01'!C58)/6)&lt;='V06 Calend 01'!E58)),IF((136=('V06 Calend 01'!C58+(6*'V06 Calend 01'!E58))),('V06 Calend 01'!H58-('V06 Calend 01'!I58*('V06 Calend 01'!E58-1))),'V06 Calend 01'!I58),0))+IF((136='V06 Calend 01'!D58),'V06 Calend 01'!J58,0))</f>
        <v>0</v>
      </c>
      <c r="ES58" s="2">
        <f>((IF((137='V06 Calend 01'!C58),('V06 Calend 01'!F58+'V06 Calend 01'!G58),0)+IF(AND(('V06 Calend 01'!E58&gt;0),(137&gt;'V06 Calend 01'!C58),(137&lt;'V06 Calend 01'!D58),(MOD((137-'V06 Calend 01'!C58),6)=0),(((137-'V06 Calend 01'!C58)/6)&lt;='V06 Calend 01'!E58)),IF((137=('V06 Calend 01'!C58+(6*'V06 Calend 01'!E58))),('V06 Calend 01'!H58-('V06 Calend 01'!I58*('V06 Calend 01'!E58-1))),'V06 Calend 01'!I58),0))+IF((137='V06 Calend 01'!D58),'V06 Calend 01'!J58,0))</f>
        <v>0</v>
      </c>
      <c r="ET58" s="2">
        <f>((IF((138='V06 Calend 01'!C58),('V06 Calend 01'!F58+'V06 Calend 01'!G58),0)+IF(AND(('V06 Calend 01'!E58&gt;0),(138&gt;'V06 Calend 01'!C58),(138&lt;'V06 Calend 01'!D58),(MOD((138-'V06 Calend 01'!C58),6)=0),(((138-'V06 Calend 01'!C58)/6)&lt;='V06 Calend 01'!E58)),IF((138=('V06 Calend 01'!C58+(6*'V06 Calend 01'!E58))),('V06 Calend 01'!H58-('V06 Calend 01'!I58*('V06 Calend 01'!E58-1))),'V06 Calend 01'!I58),0))+IF((138='V06 Calend 01'!D58),'V06 Calend 01'!J58,0))</f>
        <v>0</v>
      </c>
      <c r="EU58" s="2">
        <f>((IF((139='V06 Calend 01'!C58),('V06 Calend 01'!F58+'V06 Calend 01'!G58),0)+IF(AND(('V06 Calend 01'!E58&gt;0),(139&gt;'V06 Calend 01'!C58),(139&lt;'V06 Calend 01'!D58),(MOD((139-'V06 Calend 01'!C58),6)=0),(((139-'V06 Calend 01'!C58)/6)&lt;='V06 Calend 01'!E58)),IF((139=('V06 Calend 01'!C58+(6*'V06 Calend 01'!E58))),('V06 Calend 01'!H58-('V06 Calend 01'!I58*('V06 Calend 01'!E58-1))),'V06 Calend 01'!I58),0))+IF((139='V06 Calend 01'!D58),'V06 Calend 01'!J58,0))</f>
        <v>0</v>
      </c>
      <c r="EV58" s="2">
        <f>((IF((140='V06 Calend 01'!C58),('V06 Calend 01'!F58+'V06 Calend 01'!G58),0)+IF(AND(('V06 Calend 01'!E58&gt;0),(140&gt;'V06 Calend 01'!C58),(140&lt;'V06 Calend 01'!D58),(MOD((140-'V06 Calend 01'!C58),6)=0),(((140-'V06 Calend 01'!C58)/6)&lt;='V06 Calend 01'!E58)),IF((140=('V06 Calend 01'!C58+(6*'V06 Calend 01'!E58))),('V06 Calend 01'!H58-('V06 Calend 01'!I58*('V06 Calend 01'!E58-1))),'V06 Calend 01'!I58),0))+IF((140='V06 Calend 01'!D58),'V06 Calend 01'!J58,0))</f>
        <v>0</v>
      </c>
      <c r="EW58" s="2">
        <f>((IF((141='V06 Calend 01'!C58),('V06 Calend 01'!F58+'V06 Calend 01'!G58),0)+IF(AND(('V06 Calend 01'!E58&gt;0),(141&gt;'V06 Calend 01'!C58),(141&lt;'V06 Calend 01'!D58),(MOD((141-'V06 Calend 01'!C58),6)=0),(((141-'V06 Calend 01'!C58)/6)&lt;='V06 Calend 01'!E58)),IF((141=('V06 Calend 01'!C58+(6*'V06 Calend 01'!E58))),('V06 Calend 01'!H58-('V06 Calend 01'!I58*('V06 Calend 01'!E58-1))),'V06 Calend 01'!I58),0))+IF((141='V06 Calend 01'!D58),'V06 Calend 01'!J58,0))</f>
        <v>0</v>
      </c>
      <c r="EX58" s="2">
        <f>((IF((142='V06 Calend 01'!C58),('V06 Calend 01'!F58+'V06 Calend 01'!G58),0)+IF(AND(('V06 Calend 01'!E58&gt;0),(142&gt;'V06 Calend 01'!C58),(142&lt;'V06 Calend 01'!D58),(MOD((142-'V06 Calend 01'!C58),6)=0),(((142-'V06 Calend 01'!C58)/6)&lt;='V06 Calend 01'!E58)),IF((142=('V06 Calend 01'!C58+(6*'V06 Calend 01'!E58))),('V06 Calend 01'!H58-('V06 Calend 01'!I58*('V06 Calend 01'!E58-1))),'V06 Calend 01'!I58),0))+IF((142='V06 Calend 01'!D58),'V06 Calend 01'!J58,0))</f>
        <v>0</v>
      </c>
      <c r="EY58" s="2">
        <f>((IF((143='V06 Calend 01'!C58),('V06 Calend 01'!F58+'V06 Calend 01'!G58),0)+IF(AND(('V06 Calend 01'!E58&gt;0),(143&gt;'V06 Calend 01'!C58),(143&lt;'V06 Calend 01'!D58),(MOD((143-'V06 Calend 01'!C58),6)=0),(((143-'V06 Calend 01'!C58)/6)&lt;='V06 Calend 01'!E58)),IF((143=('V06 Calend 01'!C58+(6*'V06 Calend 01'!E58))),('V06 Calend 01'!H58-('V06 Calend 01'!I58*('V06 Calend 01'!E58-1))),'V06 Calend 01'!I58),0))+IF((143='V06 Calend 01'!D58),'V06 Calend 01'!J58,0))</f>
        <v>0</v>
      </c>
      <c r="EZ58" s="2">
        <f>((IF((144='V06 Calend 01'!C58),('V06 Calend 01'!F58+'V06 Calend 01'!G58),0)+IF(AND(('V06 Calend 01'!E58&gt;0),(144&gt;'V06 Calend 01'!C58),(144&lt;'V06 Calend 01'!D58),(MOD((144-'V06 Calend 01'!C58),6)=0),(((144-'V06 Calend 01'!C58)/6)&lt;='V06 Calend 01'!E58)),IF((144=('V06 Calend 01'!C58+(6*'V06 Calend 01'!E58))),('V06 Calend 01'!H58-('V06 Calend 01'!I58*('V06 Calend 01'!E58-1))),'V06 Calend 01'!I58),0))+IF((144='V06 Calend 01'!D58),'V06 Calend 01'!J58,0))</f>
        <v>0</v>
      </c>
      <c r="FA58" s="2">
        <f>((IF((145='V06 Calend 01'!C58),('V06 Calend 01'!F58+'V06 Calend 01'!G58),0)+IF(AND(('V06 Calend 01'!E58&gt;0),(145&gt;'V06 Calend 01'!C58),(145&lt;'V06 Calend 01'!D58),(MOD((145-'V06 Calend 01'!C58),6)=0),(((145-'V06 Calend 01'!C58)/6)&lt;='V06 Calend 01'!E58)),IF((145=('V06 Calend 01'!C58+(6*'V06 Calend 01'!E58))),('V06 Calend 01'!H58-('V06 Calend 01'!I58*('V06 Calend 01'!E58-1))),'V06 Calend 01'!I58),0))+IF((145='V06 Calend 01'!D58),'V06 Calend 01'!J58,0))</f>
        <v>0</v>
      </c>
      <c r="FB58" s="2">
        <f>((IF((146='V06 Calend 01'!C58),('V06 Calend 01'!F58+'V06 Calend 01'!G58),0)+IF(AND(('V06 Calend 01'!E58&gt;0),(146&gt;'V06 Calend 01'!C58),(146&lt;'V06 Calend 01'!D58),(MOD((146-'V06 Calend 01'!C58),6)=0),(((146-'V06 Calend 01'!C58)/6)&lt;='V06 Calend 01'!E58)),IF((146=('V06 Calend 01'!C58+(6*'V06 Calend 01'!E58))),('V06 Calend 01'!H58-('V06 Calend 01'!I58*('V06 Calend 01'!E58-1))),'V06 Calend 01'!I58),0))+IF((146='V06 Calend 01'!D58),'V06 Calend 01'!J58,0))</f>
        <v>0</v>
      </c>
      <c r="FC58" s="2">
        <f>((IF((147='V06 Calend 01'!C58),('V06 Calend 01'!F58+'V06 Calend 01'!G58),0)+IF(AND(('V06 Calend 01'!E58&gt;0),(147&gt;'V06 Calend 01'!C58),(147&lt;'V06 Calend 01'!D58),(MOD((147-'V06 Calend 01'!C58),6)=0),(((147-'V06 Calend 01'!C58)/6)&lt;='V06 Calend 01'!E58)),IF((147=('V06 Calend 01'!C58+(6*'V06 Calend 01'!E58))),('V06 Calend 01'!H58-('V06 Calend 01'!I58*('V06 Calend 01'!E58-1))),'V06 Calend 01'!I58),0))+IF((147='V06 Calend 01'!D58),'V06 Calend 01'!J58,0))</f>
        <v>0</v>
      </c>
      <c r="FD58" s="2">
        <f>((IF((148='V06 Calend 01'!C58),('V06 Calend 01'!F58+'V06 Calend 01'!G58),0)+IF(AND(('V06 Calend 01'!E58&gt;0),(148&gt;'V06 Calend 01'!C58),(148&lt;'V06 Calend 01'!D58),(MOD((148-'V06 Calend 01'!C58),6)=0),(((148-'V06 Calend 01'!C58)/6)&lt;='V06 Calend 01'!E58)),IF((148=('V06 Calend 01'!C58+(6*'V06 Calend 01'!E58))),('V06 Calend 01'!H58-('V06 Calend 01'!I58*('V06 Calend 01'!E58-1))),'V06 Calend 01'!I58),0))+IF((148='V06 Calend 01'!D58),'V06 Calend 01'!J58,0))</f>
        <v>0</v>
      </c>
      <c r="FE58" s="2">
        <f>((IF((149='V06 Calend 01'!C58),('V06 Calend 01'!F58+'V06 Calend 01'!G58),0)+IF(AND(('V06 Calend 01'!E58&gt;0),(149&gt;'V06 Calend 01'!C58),(149&lt;'V06 Calend 01'!D58),(MOD((149-'V06 Calend 01'!C58),6)=0),(((149-'V06 Calend 01'!C58)/6)&lt;='V06 Calend 01'!E58)),IF((149=('V06 Calend 01'!C58+(6*'V06 Calend 01'!E58))),('V06 Calend 01'!H58-('V06 Calend 01'!I58*('V06 Calend 01'!E58-1))),'V06 Calend 01'!I58),0))+IF((149='V06 Calend 01'!D58),'V06 Calend 01'!J58,0))</f>
        <v>0</v>
      </c>
      <c r="FF58" s="2">
        <f>((IF((150='V06 Calend 01'!C58),('V06 Calend 01'!F58+'V06 Calend 01'!G58),0)+IF(AND(('V06 Calend 01'!E58&gt;0),(150&gt;'V06 Calend 01'!C58),(150&lt;'V06 Calend 01'!D58),(MOD((150-'V06 Calend 01'!C58),6)=0),(((150-'V06 Calend 01'!C58)/6)&lt;='V06 Calend 01'!E58)),IF((150=('V06 Calend 01'!C58+(6*'V06 Calend 01'!E58))),('V06 Calend 01'!H58-('V06 Calend 01'!I58*('V06 Calend 01'!E58-1))),'V06 Calend 01'!I58),0))+IF((150='V06 Calend 01'!D58),'V06 Calend 01'!J58,0))</f>
        <v>0</v>
      </c>
      <c r="FG58" s="2">
        <f>((IF((151='V06 Calend 01'!C58),('V06 Calend 01'!F58+'V06 Calend 01'!G58),0)+IF(AND(('V06 Calend 01'!E58&gt;0),(151&gt;'V06 Calend 01'!C58),(151&lt;'V06 Calend 01'!D58),(MOD((151-'V06 Calend 01'!C58),6)=0),(((151-'V06 Calend 01'!C58)/6)&lt;='V06 Calend 01'!E58)),IF((151=('V06 Calend 01'!C58+(6*'V06 Calend 01'!E58))),('V06 Calend 01'!H58-('V06 Calend 01'!I58*('V06 Calend 01'!E58-1))),'V06 Calend 01'!I58),0))+IF((151='V06 Calend 01'!D58),'V06 Calend 01'!J58,0))</f>
        <v>0</v>
      </c>
      <c r="FH58" s="2">
        <f>((IF((152='V06 Calend 01'!C58),('V06 Calend 01'!F58+'V06 Calend 01'!G58),0)+IF(AND(('V06 Calend 01'!E58&gt;0),(152&gt;'V06 Calend 01'!C58),(152&lt;'V06 Calend 01'!D58),(MOD((152-'V06 Calend 01'!C58),6)=0),(((152-'V06 Calend 01'!C58)/6)&lt;='V06 Calend 01'!E58)),IF((152=('V06 Calend 01'!C58+(6*'V06 Calend 01'!E58))),('V06 Calend 01'!H58-('V06 Calend 01'!I58*('V06 Calend 01'!E58-1))),'V06 Calend 01'!I58),0))+IF((152='V06 Calend 01'!D58),'V06 Calend 01'!J58,0))</f>
        <v>0</v>
      </c>
      <c r="FI58" s="2">
        <f>((IF((153='V06 Calend 01'!C58),('V06 Calend 01'!F58+'V06 Calend 01'!G58),0)+IF(AND(('V06 Calend 01'!E58&gt;0),(153&gt;'V06 Calend 01'!C58),(153&lt;'V06 Calend 01'!D58),(MOD((153-'V06 Calend 01'!C58),6)=0),(((153-'V06 Calend 01'!C58)/6)&lt;='V06 Calend 01'!E58)),IF((153=('V06 Calend 01'!C58+(6*'V06 Calend 01'!E58))),('V06 Calend 01'!H58-('V06 Calend 01'!I58*('V06 Calend 01'!E58-1))),'V06 Calend 01'!I58),0))+IF((153='V06 Calend 01'!D58),'V06 Calend 01'!J58,0))</f>
        <v>0</v>
      </c>
      <c r="FJ58" s="2">
        <f>((IF((154='V06 Calend 01'!C58),('V06 Calend 01'!F58+'V06 Calend 01'!G58),0)+IF(AND(('V06 Calend 01'!E58&gt;0),(154&gt;'V06 Calend 01'!C58),(154&lt;'V06 Calend 01'!D58),(MOD((154-'V06 Calend 01'!C58),6)=0),(((154-'V06 Calend 01'!C58)/6)&lt;='V06 Calend 01'!E58)),IF((154=('V06 Calend 01'!C58+(6*'V06 Calend 01'!E58))),('V06 Calend 01'!H58-('V06 Calend 01'!I58*('V06 Calend 01'!E58-1))),'V06 Calend 01'!I58),0))+IF((154='V06 Calend 01'!D58),'V06 Calend 01'!J58,0))</f>
        <v>0</v>
      </c>
      <c r="FK58" s="2">
        <f>((IF((155='V06 Calend 01'!C58),('V06 Calend 01'!F58+'V06 Calend 01'!G58),0)+IF(AND(('V06 Calend 01'!E58&gt;0),(155&gt;'V06 Calend 01'!C58),(155&lt;'V06 Calend 01'!D58),(MOD((155-'V06 Calend 01'!C58),6)=0),(((155-'V06 Calend 01'!C58)/6)&lt;='V06 Calend 01'!E58)),IF((155=('V06 Calend 01'!C58+(6*'V06 Calend 01'!E58))),('V06 Calend 01'!H58-('V06 Calend 01'!I58*('V06 Calend 01'!E58-1))),'V06 Calend 01'!I58),0))+IF((155='V06 Calend 01'!D58),'V06 Calend 01'!J58,0))</f>
        <v>0</v>
      </c>
      <c r="FL58" s="2">
        <f>((IF((156='V06 Calend 01'!C58),('V06 Calend 01'!F58+'V06 Calend 01'!G58),0)+IF(AND(('V06 Calend 01'!E58&gt;0),(156&gt;'V06 Calend 01'!C58),(156&lt;'V06 Calend 01'!D58),(MOD((156-'V06 Calend 01'!C58),6)=0),(((156-'V06 Calend 01'!C58)/6)&lt;='V06 Calend 01'!E58)),IF((156=('V06 Calend 01'!C58+(6*'V06 Calend 01'!E58))),('V06 Calend 01'!H58-('V06 Calend 01'!I58*('V06 Calend 01'!E58-1))),'V06 Calend 01'!I58),0))+IF((156='V06 Calend 01'!D58),'V06 Calend 01'!J58,0))</f>
        <v>0</v>
      </c>
      <c r="FM58" s="2">
        <f>((IF((157='V06 Calend 01'!C58),('V06 Calend 01'!F58+'V06 Calend 01'!G58),0)+IF(AND(('V06 Calend 01'!E58&gt;0),(157&gt;'V06 Calend 01'!C58),(157&lt;'V06 Calend 01'!D58),(MOD((157-'V06 Calend 01'!C58),6)=0),(((157-'V06 Calend 01'!C58)/6)&lt;='V06 Calend 01'!E58)),IF((157=('V06 Calend 01'!C58+(6*'V06 Calend 01'!E58))),('V06 Calend 01'!H58-('V06 Calend 01'!I58*('V06 Calend 01'!E58-1))),'V06 Calend 01'!I58),0))+IF((157='V06 Calend 01'!D58),'V06 Calend 01'!J58,0))</f>
        <v>0</v>
      </c>
      <c r="FN58" s="2">
        <f>((IF((158='V06 Calend 01'!C58),('V06 Calend 01'!F58+'V06 Calend 01'!G58),0)+IF(AND(('V06 Calend 01'!E58&gt;0),(158&gt;'V06 Calend 01'!C58),(158&lt;'V06 Calend 01'!D58),(MOD((158-'V06 Calend 01'!C58),6)=0),(((158-'V06 Calend 01'!C58)/6)&lt;='V06 Calend 01'!E58)),IF((158=('V06 Calend 01'!C58+(6*'V06 Calend 01'!E58))),('V06 Calend 01'!H58-('V06 Calend 01'!I58*('V06 Calend 01'!E58-1))),'V06 Calend 01'!I58),0))+IF((158='V06 Calend 01'!D58),'V06 Calend 01'!J58,0))</f>
        <v>0</v>
      </c>
      <c r="FO58" s="2">
        <f>((IF((159='V06 Calend 01'!C58),('V06 Calend 01'!F58+'V06 Calend 01'!G58),0)+IF(AND(('V06 Calend 01'!E58&gt;0),(159&gt;'V06 Calend 01'!C58),(159&lt;'V06 Calend 01'!D58),(MOD((159-'V06 Calend 01'!C58),6)=0),(((159-'V06 Calend 01'!C58)/6)&lt;='V06 Calend 01'!E58)),IF((159=('V06 Calend 01'!C58+(6*'V06 Calend 01'!E58))),('V06 Calend 01'!H58-('V06 Calend 01'!I58*('V06 Calend 01'!E58-1))),'V06 Calend 01'!I58),0))+IF((159='V06 Calend 01'!D58),'V06 Calend 01'!J58,0))</f>
        <v>0</v>
      </c>
      <c r="FP58" s="2">
        <f>((IF((160='V06 Calend 01'!C58),('V06 Calend 01'!F58+'V06 Calend 01'!G58),0)+IF(AND(('V06 Calend 01'!E58&gt;0),(160&gt;'V06 Calend 01'!C58),(160&lt;'V06 Calend 01'!D58),(MOD((160-'V06 Calend 01'!C58),6)=0),(((160-'V06 Calend 01'!C58)/6)&lt;='V06 Calend 01'!E58)),IF((160=('V06 Calend 01'!C58+(6*'V06 Calend 01'!E58))),('V06 Calend 01'!H58-('V06 Calend 01'!I58*('V06 Calend 01'!E58-1))),'V06 Calend 01'!I58),0))+IF((160='V06 Calend 01'!D58),'V06 Calend 01'!J58,0))</f>
        <v>0</v>
      </c>
      <c r="FQ58" s="2">
        <f>((IF((161='V06 Calend 01'!C58),('V06 Calend 01'!F58+'V06 Calend 01'!G58),0)+IF(AND(('V06 Calend 01'!E58&gt;0),(161&gt;'V06 Calend 01'!C58),(161&lt;'V06 Calend 01'!D58),(MOD((161-'V06 Calend 01'!C58),6)=0),(((161-'V06 Calend 01'!C58)/6)&lt;='V06 Calend 01'!E58)),IF((161=('V06 Calend 01'!C58+(6*'V06 Calend 01'!E58))),('V06 Calend 01'!H58-('V06 Calend 01'!I58*('V06 Calend 01'!E58-1))),'V06 Calend 01'!I58),0))+IF((161='V06 Calend 01'!D58),'V06 Calend 01'!J58,0))</f>
        <v>0</v>
      </c>
      <c r="FR58" s="2">
        <f>((IF((162='V06 Calend 01'!C58),('V06 Calend 01'!F58+'V06 Calend 01'!G58),0)+IF(AND(('V06 Calend 01'!E58&gt;0),(162&gt;'V06 Calend 01'!C58),(162&lt;'V06 Calend 01'!D58),(MOD((162-'V06 Calend 01'!C58),6)=0),(((162-'V06 Calend 01'!C58)/6)&lt;='V06 Calend 01'!E58)),IF((162=('V06 Calend 01'!C58+(6*'V06 Calend 01'!E58))),('V06 Calend 01'!H58-('V06 Calend 01'!I58*('V06 Calend 01'!E58-1))),'V06 Calend 01'!I58),0))+IF((162='V06 Calend 01'!D58),'V06 Calend 01'!J58,0))</f>
        <v>0</v>
      </c>
      <c r="FS58" s="2">
        <f>((IF((163='V06 Calend 01'!C58),('V06 Calend 01'!F58+'V06 Calend 01'!G58),0)+IF(AND(('V06 Calend 01'!E58&gt;0),(163&gt;'V06 Calend 01'!C58),(163&lt;'V06 Calend 01'!D58),(MOD((163-'V06 Calend 01'!C58),6)=0),(((163-'V06 Calend 01'!C58)/6)&lt;='V06 Calend 01'!E58)),IF((163=('V06 Calend 01'!C58+(6*'V06 Calend 01'!E58))),('V06 Calend 01'!H58-('V06 Calend 01'!I58*('V06 Calend 01'!E58-1))),'V06 Calend 01'!I58),0))+IF((163='V06 Calend 01'!D58),'V06 Calend 01'!J58,0))</f>
        <v>0</v>
      </c>
      <c r="FT58" s="2">
        <f>((IF((164='V06 Calend 01'!C58),('V06 Calend 01'!F58+'V06 Calend 01'!G58),0)+IF(AND(('V06 Calend 01'!E58&gt;0),(164&gt;'V06 Calend 01'!C58),(164&lt;'V06 Calend 01'!D58),(MOD((164-'V06 Calend 01'!C58),6)=0),(((164-'V06 Calend 01'!C58)/6)&lt;='V06 Calend 01'!E58)),IF((164=('V06 Calend 01'!C58+(6*'V06 Calend 01'!E58))),('V06 Calend 01'!H58-('V06 Calend 01'!I58*('V06 Calend 01'!E58-1))),'V06 Calend 01'!I58),0))+IF((164='V06 Calend 01'!D58),'V06 Calend 01'!J58,0))</f>
        <v>0</v>
      </c>
      <c r="FU58" s="2">
        <f>((IF((165='V06 Calend 01'!C58),('V06 Calend 01'!F58+'V06 Calend 01'!G58),0)+IF(AND(('V06 Calend 01'!E58&gt;0),(165&gt;'V06 Calend 01'!C58),(165&lt;'V06 Calend 01'!D58),(MOD((165-'V06 Calend 01'!C58),6)=0),(((165-'V06 Calend 01'!C58)/6)&lt;='V06 Calend 01'!E58)),IF((165=('V06 Calend 01'!C58+(6*'V06 Calend 01'!E58))),('V06 Calend 01'!H58-('V06 Calend 01'!I58*('V06 Calend 01'!E58-1))),'V06 Calend 01'!I58),0))+IF((165='V06 Calend 01'!D58),'V06 Calend 01'!J58,0))</f>
        <v>0</v>
      </c>
      <c r="FV58" s="2">
        <f>((IF((166='V06 Calend 01'!C58),('V06 Calend 01'!F58+'V06 Calend 01'!G58),0)+IF(AND(('V06 Calend 01'!E58&gt;0),(166&gt;'V06 Calend 01'!C58),(166&lt;'V06 Calend 01'!D58),(MOD((166-'V06 Calend 01'!C58),6)=0),(((166-'V06 Calend 01'!C58)/6)&lt;='V06 Calend 01'!E58)),IF((166=('V06 Calend 01'!C58+(6*'V06 Calend 01'!E58))),('V06 Calend 01'!H58-('V06 Calend 01'!I58*('V06 Calend 01'!E58-1))),'V06 Calend 01'!I58),0))+IF((166='V06 Calend 01'!D58),'V06 Calend 01'!J58,0))</f>
        <v>0</v>
      </c>
      <c r="FW58" s="2">
        <f>((IF((167='V06 Calend 01'!C58),('V06 Calend 01'!F58+'V06 Calend 01'!G58),0)+IF(AND(('V06 Calend 01'!E58&gt;0),(167&gt;'V06 Calend 01'!C58),(167&lt;'V06 Calend 01'!D58),(MOD((167-'V06 Calend 01'!C58),6)=0),(((167-'V06 Calend 01'!C58)/6)&lt;='V06 Calend 01'!E58)),IF((167=('V06 Calend 01'!C58+(6*'V06 Calend 01'!E58))),('V06 Calend 01'!H58-('V06 Calend 01'!I58*('V06 Calend 01'!E58-1))),'V06 Calend 01'!I58),0))+IF((167='V06 Calend 01'!D58),'V06 Calend 01'!J58,0))</f>
        <v>0</v>
      </c>
      <c r="FX58" s="2">
        <f>((IF((168='V06 Calend 01'!C58),('V06 Calend 01'!F58+'V06 Calend 01'!G58),0)+IF(AND(('V06 Calend 01'!E58&gt;0),(168&gt;'V06 Calend 01'!C58),(168&lt;'V06 Calend 01'!D58),(MOD((168-'V06 Calend 01'!C58),6)=0),(((168-'V06 Calend 01'!C58)/6)&lt;='V06 Calend 01'!E58)),IF((168=('V06 Calend 01'!C58+(6*'V06 Calend 01'!E58))),('V06 Calend 01'!H58-('V06 Calend 01'!I58*('V06 Calend 01'!E58-1))),'V06 Calend 01'!I58),0))+IF((168='V06 Calend 01'!D58),'V06 Calend 01'!J58,0))</f>
        <v>0</v>
      </c>
      <c r="FY58" s="2">
        <f>((IF((169='V06 Calend 01'!C58),('V06 Calend 01'!F58+'V06 Calend 01'!G58),0)+IF(AND(('V06 Calend 01'!E58&gt;0),(169&gt;'V06 Calend 01'!C58),(169&lt;'V06 Calend 01'!D58),(MOD((169-'V06 Calend 01'!C58),6)=0),(((169-'V06 Calend 01'!C58)/6)&lt;='V06 Calend 01'!E58)),IF((169=('V06 Calend 01'!C58+(6*'V06 Calend 01'!E58))),('V06 Calend 01'!H58-('V06 Calend 01'!I58*('V06 Calend 01'!E58-1))),'V06 Calend 01'!I58),0))+IF((169='V06 Calend 01'!D58),'V06 Calend 01'!J58,0))</f>
        <v>0</v>
      </c>
      <c r="FZ58" s="2">
        <f>((IF((170='V06 Calend 01'!C58),('V06 Calend 01'!F58+'V06 Calend 01'!G58),0)+IF(AND(('V06 Calend 01'!E58&gt;0),(170&gt;'V06 Calend 01'!C58),(170&lt;'V06 Calend 01'!D58),(MOD((170-'V06 Calend 01'!C58),6)=0),(((170-'V06 Calend 01'!C58)/6)&lt;='V06 Calend 01'!E58)),IF((170=('V06 Calend 01'!C58+(6*'V06 Calend 01'!E58))),('V06 Calend 01'!H58-('V06 Calend 01'!I58*('V06 Calend 01'!E58-1))),'V06 Calend 01'!I58),0))+IF((170='V06 Calend 01'!D58),'V06 Calend 01'!J58,0))</f>
        <v>0</v>
      </c>
      <c r="GA58" s="2">
        <f>((IF((171='V06 Calend 01'!C58),('V06 Calend 01'!F58+'V06 Calend 01'!G58),0)+IF(AND(('V06 Calend 01'!E58&gt;0),(171&gt;'V06 Calend 01'!C58),(171&lt;'V06 Calend 01'!D58),(MOD((171-'V06 Calend 01'!C58),6)=0),(((171-'V06 Calend 01'!C58)/6)&lt;='V06 Calend 01'!E58)),IF((171=('V06 Calend 01'!C58+(6*'V06 Calend 01'!E58))),('V06 Calend 01'!H58-('V06 Calend 01'!I58*('V06 Calend 01'!E58-1))),'V06 Calend 01'!I58),0))+IF((171='V06 Calend 01'!D58),'V06 Calend 01'!J58,0))</f>
        <v>0</v>
      </c>
      <c r="GB58" s="2">
        <f>((IF((172='V06 Calend 01'!C58),('V06 Calend 01'!F58+'V06 Calend 01'!G58),0)+IF(AND(('V06 Calend 01'!E58&gt;0),(172&gt;'V06 Calend 01'!C58),(172&lt;'V06 Calend 01'!D58),(MOD((172-'V06 Calend 01'!C58),6)=0),(((172-'V06 Calend 01'!C58)/6)&lt;='V06 Calend 01'!E58)),IF((172=('V06 Calend 01'!C58+(6*'V06 Calend 01'!E58))),('V06 Calend 01'!H58-('V06 Calend 01'!I58*('V06 Calend 01'!E58-1))),'V06 Calend 01'!I58),0))+IF((172='V06 Calend 01'!D58),'V06 Calend 01'!J58,0))</f>
        <v>0</v>
      </c>
      <c r="GC58" s="2">
        <f>((IF((173='V06 Calend 01'!C58),('V06 Calend 01'!F58+'V06 Calend 01'!G58),0)+IF(AND(('V06 Calend 01'!E58&gt;0),(173&gt;'V06 Calend 01'!C58),(173&lt;'V06 Calend 01'!D58),(MOD((173-'V06 Calend 01'!C58),6)=0),(((173-'V06 Calend 01'!C58)/6)&lt;='V06 Calend 01'!E58)),IF((173=('V06 Calend 01'!C58+(6*'V06 Calend 01'!E58))),('V06 Calend 01'!H58-('V06 Calend 01'!I58*('V06 Calend 01'!E58-1))),'V06 Calend 01'!I58),0))+IF((173='V06 Calend 01'!D58),'V06 Calend 01'!J58,0))</f>
        <v>0</v>
      </c>
      <c r="GD58" s="2">
        <f>((IF((174='V06 Calend 01'!C58),('V06 Calend 01'!F58+'V06 Calend 01'!G58),0)+IF(AND(('V06 Calend 01'!E58&gt;0),(174&gt;'V06 Calend 01'!C58),(174&lt;'V06 Calend 01'!D58),(MOD((174-'V06 Calend 01'!C58),6)=0),(((174-'V06 Calend 01'!C58)/6)&lt;='V06 Calend 01'!E58)),IF((174=('V06 Calend 01'!C58+(6*'V06 Calend 01'!E58))),('V06 Calend 01'!H58-('V06 Calend 01'!I58*('V06 Calend 01'!E58-1))),'V06 Calend 01'!I58),0))+IF((174='V06 Calend 01'!D58),'V06 Calend 01'!J58,0))</f>
        <v>0</v>
      </c>
      <c r="GE58" s="2">
        <f>((IF((175='V06 Calend 01'!C58),('V06 Calend 01'!F58+'V06 Calend 01'!G58),0)+IF(AND(('V06 Calend 01'!E58&gt;0),(175&gt;'V06 Calend 01'!C58),(175&lt;'V06 Calend 01'!D58),(MOD((175-'V06 Calend 01'!C58),6)=0),(((175-'V06 Calend 01'!C58)/6)&lt;='V06 Calend 01'!E58)),IF((175=('V06 Calend 01'!C58+(6*'V06 Calend 01'!E58))),('V06 Calend 01'!H58-('V06 Calend 01'!I58*('V06 Calend 01'!E58-1))),'V06 Calend 01'!I58),0))+IF((175='V06 Calend 01'!D58),'V06 Calend 01'!J58,0))</f>
        <v>0</v>
      </c>
      <c r="GF58" s="2">
        <f>((IF((176='V06 Calend 01'!C58),('V06 Calend 01'!F58+'V06 Calend 01'!G58),0)+IF(AND(('V06 Calend 01'!E58&gt;0),(176&gt;'V06 Calend 01'!C58),(176&lt;'V06 Calend 01'!D58),(MOD((176-'V06 Calend 01'!C58),6)=0),(((176-'V06 Calend 01'!C58)/6)&lt;='V06 Calend 01'!E58)),IF((176=('V06 Calend 01'!C58+(6*'V06 Calend 01'!E58))),('V06 Calend 01'!H58-('V06 Calend 01'!I58*('V06 Calend 01'!E58-1))),'V06 Calend 01'!I58),0))+IF((176='V06 Calend 01'!D58),'V06 Calend 01'!J58,0))</f>
        <v>0</v>
      </c>
      <c r="GG58" s="2">
        <f>((IF((177='V06 Calend 01'!C58),('V06 Calend 01'!F58+'V06 Calend 01'!G58),0)+IF(AND(('V06 Calend 01'!E58&gt;0),(177&gt;'V06 Calend 01'!C58),(177&lt;'V06 Calend 01'!D58),(MOD((177-'V06 Calend 01'!C58),6)=0),(((177-'V06 Calend 01'!C58)/6)&lt;='V06 Calend 01'!E58)),IF((177=('V06 Calend 01'!C58+(6*'V06 Calend 01'!E58))),('V06 Calend 01'!H58-('V06 Calend 01'!I58*('V06 Calend 01'!E58-1))),'V06 Calend 01'!I58),0))+IF((177='V06 Calend 01'!D58),'V06 Calend 01'!J58,0))</f>
        <v>0</v>
      </c>
      <c r="GH58" s="2">
        <f>((IF((178='V06 Calend 01'!C58),('V06 Calend 01'!F58+'V06 Calend 01'!G58),0)+IF(AND(('V06 Calend 01'!E58&gt;0),(178&gt;'V06 Calend 01'!C58),(178&lt;'V06 Calend 01'!D58),(MOD((178-'V06 Calend 01'!C58),6)=0),(((178-'V06 Calend 01'!C58)/6)&lt;='V06 Calend 01'!E58)),IF((178=('V06 Calend 01'!C58+(6*'V06 Calend 01'!E58))),('V06 Calend 01'!H58-('V06 Calend 01'!I58*('V06 Calend 01'!E58-1))),'V06 Calend 01'!I58),0))+IF((178='V06 Calend 01'!D58),'V06 Calend 01'!J58,0))</f>
        <v>0</v>
      </c>
      <c r="GI58" s="2">
        <f>((IF((179='V06 Calend 01'!C58),('V06 Calend 01'!F58+'V06 Calend 01'!G58),0)+IF(AND(('V06 Calend 01'!E58&gt;0),(179&gt;'V06 Calend 01'!C58),(179&lt;'V06 Calend 01'!D58),(MOD((179-'V06 Calend 01'!C58),6)=0),(((179-'V06 Calend 01'!C58)/6)&lt;='V06 Calend 01'!E58)),IF((179=('V06 Calend 01'!C58+(6*'V06 Calend 01'!E58))),('V06 Calend 01'!H58-('V06 Calend 01'!I58*('V06 Calend 01'!E58-1))),'V06 Calend 01'!I58),0))+IF((179='V06 Calend 01'!D58),'V06 Calend 01'!J58,0))</f>
        <v>0</v>
      </c>
      <c r="GJ58" s="2">
        <f>((IF((180='V06 Calend 01'!C58),('V06 Calend 01'!F58+'V06 Calend 01'!G58),0)+IF(AND(('V06 Calend 01'!E58&gt;0),(180&gt;'V06 Calend 01'!C58),(180&lt;'V06 Calend 01'!D58),(MOD((180-'V06 Calend 01'!C58),6)=0),(((180-'V06 Calend 01'!C58)/6)&lt;='V06 Calend 01'!E58)),IF((180=('V06 Calend 01'!C58+(6*'V06 Calend 01'!E58))),('V06 Calend 01'!H58-('V06 Calend 01'!I58*('V06 Calend 01'!E58-1))),'V06 Calend 01'!I58),0))+IF((180='V06 Calend 01'!D58),'V06 Calend 01'!J58,0))</f>
        <v>0</v>
      </c>
    </row>
    <row r="59" spans="1:192">
      <c r="A59" s="3" t="str">
        <f>'V06 Unidades'!$A$59</f>
        <v>705</v>
      </c>
      <c r="B59" s="2">
        <f>'V06 Unidades'!$H$59</f>
        <v>537677.3</v>
      </c>
      <c r="C59" s="4">
        <f>('V06 Unidades'!$I$59+'V06 Controlos'!$B$37)</f>
        <v>10</v>
      </c>
      <c r="D59" s="4">
        <f>IF(('V06 Controlos'!$B$38&gt;0),MAX(('V06 Unidades'!$L$59+'V06 Controlos'!$B$37),(30+'V06 Controlos'!$B$38)),('V06 Unidades'!$L$59+'V06 Controlos'!$B$37))</f>
        <v>28</v>
      </c>
      <c r="E59" s="4">
        <f>MAX(0,INT(((('V06 Calend 01'!D59-'V06 Calend 01'!C59)-1)/6)))</f>
        <v>2</v>
      </c>
      <c r="F59" s="2">
        <f>ROUND(('V06 Calend 01'!B59*0.05),2)</f>
        <v>26883.87</v>
      </c>
      <c r="G59" s="2">
        <f>ROUND(('V06 Calend 01'!B59*0.2),2)</f>
        <v>107535.46</v>
      </c>
      <c r="H59" s="2">
        <f>ROUND(('V06 Calend 01'!B59*0.55),2)</f>
        <v>295722.52</v>
      </c>
      <c r="I59" s="2">
        <f>ROUND(('V06 Calend 01'!H59/MAX(1,'V06 Calend 01'!E59)),2)</f>
        <v>147861.26</v>
      </c>
      <c r="J59" s="2">
        <f>((('V06 Calend 01'!B59-'V06 Calend 01'!F59)-'V06 Calend 01'!G59)-'V06 Calend 01'!H59)</f>
        <v>107535.45000000001</v>
      </c>
      <c r="K59" s="2">
        <f>('V06 Calend 01'!B59*0.025)</f>
        <v>13441.932500000003</v>
      </c>
      <c r="L59" t="s">
        <v>378</v>
      </c>
      <c r="M59" s="2">
        <f>((IF((1='V06 Calend 01'!C59),('V06 Calend 01'!F59+'V06 Calend 01'!G59),0)+IF(AND(('V06 Calend 01'!E59&gt;0),(1&gt;'V06 Calend 01'!C59),(1&lt;'V06 Calend 01'!D59),(MOD((1-'V06 Calend 01'!C59),6)=0),(((1-'V06 Calend 01'!C59)/6)&lt;='V06 Calend 01'!E59)),IF((1=('V06 Calend 01'!C59+(6*'V06 Calend 01'!E59))),('V06 Calend 01'!H59-('V06 Calend 01'!I59*('V06 Calend 01'!E59-1))),'V06 Calend 01'!I59),0))+IF((1='V06 Calend 01'!D59),'V06 Calend 01'!J59,0))</f>
        <v>0</v>
      </c>
      <c r="N59" s="2">
        <f>((IF((2='V06 Calend 01'!C59),('V06 Calend 01'!F59+'V06 Calend 01'!G59),0)+IF(AND(('V06 Calend 01'!E59&gt;0),(2&gt;'V06 Calend 01'!C59),(2&lt;'V06 Calend 01'!D59),(MOD((2-'V06 Calend 01'!C59),6)=0),(((2-'V06 Calend 01'!C59)/6)&lt;='V06 Calend 01'!E59)),IF((2=('V06 Calend 01'!C59+(6*'V06 Calend 01'!E59))),('V06 Calend 01'!H59-('V06 Calend 01'!I59*('V06 Calend 01'!E59-1))),'V06 Calend 01'!I59),0))+IF((2='V06 Calend 01'!D59),'V06 Calend 01'!J59,0))</f>
        <v>0</v>
      </c>
      <c r="O59" s="2">
        <f>((IF((3='V06 Calend 01'!C59),('V06 Calend 01'!F59+'V06 Calend 01'!G59),0)+IF(AND(('V06 Calend 01'!E59&gt;0),(3&gt;'V06 Calend 01'!C59),(3&lt;'V06 Calend 01'!D59),(MOD((3-'V06 Calend 01'!C59),6)=0),(((3-'V06 Calend 01'!C59)/6)&lt;='V06 Calend 01'!E59)),IF((3=('V06 Calend 01'!C59+(6*'V06 Calend 01'!E59))),('V06 Calend 01'!H59-('V06 Calend 01'!I59*('V06 Calend 01'!E59-1))),'V06 Calend 01'!I59),0))+IF((3='V06 Calend 01'!D59),'V06 Calend 01'!J59,0))</f>
        <v>0</v>
      </c>
      <c r="P59" s="2">
        <f>((IF((4='V06 Calend 01'!C59),('V06 Calend 01'!F59+'V06 Calend 01'!G59),0)+IF(AND(('V06 Calend 01'!E59&gt;0),(4&gt;'V06 Calend 01'!C59),(4&lt;'V06 Calend 01'!D59),(MOD((4-'V06 Calend 01'!C59),6)=0),(((4-'V06 Calend 01'!C59)/6)&lt;='V06 Calend 01'!E59)),IF((4=('V06 Calend 01'!C59+(6*'V06 Calend 01'!E59))),('V06 Calend 01'!H59-('V06 Calend 01'!I59*('V06 Calend 01'!E59-1))),'V06 Calend 01'!I59),0))+IF((4='V06 Calend 01'!D59),'V06 Calend 01'!J59,0))</f>
        <v>0</v>
      </c>
      <c r="Q59" s="2">
        <f>((IF((5='V06 Calend 01'!C59),('V06 Calend 01'!F59+'V06 Calend 01'!G59),0)+IF(AND(('V06 Calend 01'!E59&gt;0),(5&gt;'V06 Calend 01'!C59),(5&lt;'V06 Calend 01'!D59),(MOD((5-'V06 Calend 01'!C59),6)=0),(((5-'V06 Calend 01'!C59)/6)&lt;='V06 Calend 01'!E59)),IF((5=('V06 Calend 01'!C59+(6*'V06 Calend 01'!E59))),('V06 Calend 01'!H59-('V06 Calend 01'!I59*('V06 Calend 01'!E59-1))),'V06 Calend 01'!I59),0))+IF((5='V06 Calend 01'!D59),'V06 Calend 01'!J59,0))</f>
        <v>0</v>
      </c>
      <c r="R59" s="2">
        <f>((IF((6='V06 Calend 01'!C59),('V06 Calend 01'!F59+'V06 Calend 01'!G59),0)+IF(AND(('V06 Calend 01'!E59&gt;0),(6&gt;'V06 Calend 01'!C59),(6&lt;'V06 Calend 01'!D59),(MOD((6-'V06 Calend 01'!C59),6)=0),(((6-'V06 Calend 01'!C59)/6)&lt;='V06 Calend 01'!E59)),IF((6=('V06 Calend 01'!C59+(6*'V06 Calend 01'!E59))),('V06 Calend 01'!H59-('V06 Calend 01'!I59*('V06 Calend 01'!E59-1))),'V06 Calend 01'!I59),0))+IF((6='V06 Calend 01'!D59),'V06 Calend 01'!J59,0))</f>
        <v>0</v>
      </c>
      <c r="S59" s="2">
        <f>((IF((7='V06 Calend 01'!C59),('V06 Calend 01'!F59+'V06 Calend 01'!G59),0)+IF(AND(('V06 Calend 01'!E59&gt;0),(7&gt;'V06 Calend 01'!C59),(7&lt;'V06 Calend 01'!D59),(MOD((7-'V06 Calend 01'!C59),6)=0),(((7-'V06 Calend 01'!C59)/6)&lt;='V06 Calend 01'!E59)),IF((7=('V06 Calend 01'!C59+(6*'V06 Calend 01'!E59))),('V06 Calend 01'!H59-('V06 Calend 01'!I59*('V06 Calend 01'!E59-1))),'V06 Calend 01'!I59),0))+IF((7='V06 Calend 01'!D59),'V06 Calend 01'!J59,0))</f>
        <v>0</v>
      </c>
      <c r="T59" s="2">
        <f>((IF((8='V06 Calend 01'!C59),('V06 Calend 01'!F59+'V06 Calend 01'!G59),0)+IF(AND(('V06 Calend 01'!E59&gt;0),(8&gt;'V06 Calend 01'!C59),(8&lt;'V06 Calend 01'!D59),(MOD((8-'V06 Calend 01'!C59),6)=0),(((8-'V06 Calend 01'!C59)/6)&lt;='V06 Calend 01'!E59)),IF((8=('V06 Calend 01'!C59+(6*'V06 Calend 01'!E59))),('V06 Calend 01'!H59-('V06 Calend 01'!I59*('V06 Calend 01'!E59-1))),'V06 Calend 01'!I59),0))+IF((8='V06 Calend 01'!D59),'V06 Calend 01'!J59,0))</f>
        <v>0</v>
      </c>
      <c r="U59" s="2">
        <f>((IF((9='V06 Calend 01'!C59),('V06 Calend 01'!F59+'V06 Calend 01'!G59),0)+IF(AND(('V06 Calend 01'!E59&gt;0),(9&gt;'V06 Calend 01'!C59),(9&lt;'V06 Calend 01'!D59),(MOD((9-'V06 Calend 01'!C59),6)=0),(((9-'V06 Calend 01'!C59)/6)&lt;='V06 Calend 01'!E59)),IF((9=('V06 Calend 01'!C59+(6*'V06 Calend 01'!E59))),('V06 Calend 01'!H59-('V06 Calend 01'!I59*('V06 Calend 01'!E59-1))),'V06 Calend 01'!I59),0))+IF((9='V06 Calend 01'!D59),'V06 Calend 01'!J59,0))</f>
        <v>0</v>
      </c>
      <c r="V59" s="2">
        <f>((IF((10='V06 Calend 01'!C59),('V06 Calend 01'!F59+'V06 Calend 01'!G59),0)+IF(AND(('V06 Calend 01'!E59&gt;0),(10&gt;'V06 Calend 01'!C59),(10&lt;'V06 Calend 01'!D59),(MOD((10-'V06 Calend 01'!C59),6)=0),(((10-'V06 Calend 01'!C59)/6)&lt;='V06 Calend 01'!E59)),IF((10=('V06 Calend 01'!C59+(6*'V06 Calend 01'!E59))),('V06 Calend 01'!H59-('V06 Calend 01'!I59*('V06 Calend 01'!E59-1))),'V06 Calend 01'!I59),0))+IF((10='V06 Calend 01'!D59),'V06 Calend 01'!J59,0))</f>
        <v>134419.33000000002</v>
      </c>
      <c r="W59" s="2">
        <f>((IF((11='V06 Calend 01'!C59),('V06 Calend 01'!F59+'V06 Calend 01'!G59),0)+IF(AND(('V06 Calend 01'!E59&gt;0),(11&gt;'V06 Calend 01'!C59),(11&lt;'V06 Calend 01'!D59),(MOD((11-'V06 Calend 01'!C59),6)=0),(((11-'V06 Calend 01'!C59)/6)&lt;='V06 Calend 01'!E59)),IF((11=('V06 Calend 01'!C59+(6*'V06 Calend 01'!E59))),('V06 Calend 01'!H59-('V06 Calend 01'!I59*('V06 Calend 01'!E59-1))),'V06 Calend 01'!I59),0))+IF((11='V06 Calend 01'!D59),'V06 Calend 01'!J59,0))</f>
        <v>0</v>
      </c>
      <c r="X59" s="2">
        <f>((IF((12='V06 Calend 01'!C59),('V06 Calend 01'!F59+'V06 Calend 01'!G59),0)+IF(AND(('V06 Calend 01'!E59&gt;0),(12&gt;'V06 Calend 01'!C59),(12&lt;'V06 Calend 01'!D59),(MOD((12-'V06 Calend 01'!C59),6)=0),(((12-'V06 Calend 01'!C59)/6)&lt;='V06 Calend 01'!E59)),IF((12=('V06 Calend 01'!C59+(6*'V06 Calend 01'!E59))),('V06 Calend 01'!H59-('V06 Calend 01'!I59*('V06 Calend 01'!E59-1))),'V06 Calend 01'!I59),0))+IF((12='V06 Calend 01'!D59),'V06 Calend 01'!J59,0))</f>
        <v>0</v>
      </c>
      <c r="Y59" s="2">
        <f>((IF((13='V06 Calend 01'!C59),('V06 Calend 01'!F59+'V06 Calend 01'!G59),0)+IF(AND(('V06 Calend 01'!E59&gt;0),(13&gt;'V06 Calend 01'!C59),(13&lt;'V06 Calend 01'!D59),(MOD((13-'V06 Calend 01'!C59),6)=0),(((13-'V06 Calend 01'!C59)/6)&lt;='V06 Calend 01'!E59)),IF((13=('V06 Calend 01'!C59+(6*'V06 Calend 01'!E59))),('V06 Calend 01'!H59-('V06 Calend 01'!I59*('V06 Calend 01'!E59-1))),'V06 Calend 01'!I59),0))+IF((13='V06 Calend 01'!D59),'V06 Calend 01'!J59,0))</f>
        <v>0</v>
      </c>
      <c r="Z59" s="2">
        <f>((IF((14='V06 Calend 01'!C59),('V06 Calend 01'!F59+'V06 Calend 01'!G59),0)+IF(AND(('V06 Calend 01'!E59&gt;0),(14&gt;'V06 Calend 01'!C59),(14&lt;'V06 Calend 01'!D59),(MOD((14-'V06 Calend 01'!C59),6)=0),(((14-'V06 Calend 01'!C59)/6)&lt;='V06 Calend 01'!E59)),IF((14=('V06 Calend 01'!C59+(6*'V06 Calend 01'!E59))),('V06 Calend 01'!H59-('V06 Calend 01'!I59*('V06 Calend 01'!E59-1))),'V06 Calend 01'!I59),0))+IF((14='V06 Calend 01'!D59),'V06 Calend 01'!J59,0))</f>
        <v>0</v>
      </c>
      <c r="AA59" s="2">
        <f>((IF((15='V06 Calend 01'!C59),('V06 Calend 01'!F59+'V06 Calend 01'!G59),0)+IF(AND(('V06 Calend 01'!E59&gt;0),(15&gt;'V06 Calend 01'!C59),(15&lt;'V06 Calend 01'!D59),(MOD((15-'V06 Calend 01'!C59),6)=0),(((15-'V06 Calend 01'!C59)/6)&lt;='V06 Calend 01'!E59)),IF((15=('V06 Calend 01'!C59+(6*'V06 Calend 01'!E59))),('V06 Calend 01'!H59-('V06 Calend 01'!I59*('V06 Calend 01'!E59-1))),'V06 Calend 01'!I59),0))+IF((15='V06 Calend 01'!D59),'V06 Calend 01'!J59,0))</f>
        <v>0</v>
      </c>
      <c r="AB59" s="2">
        <f>((IF((16='V06 Calend 01'!C59),('V06 Calend 01'!F59+'V06 Calend 01'!G59),0)+IF(AND(('V06 Calend 01'!E59&gt;0),(16&gt;'V06 Calend 01'!C59),(16&lt;'V06 Calend 01'!D59),(MOD((16-'V06 Calend 01'!C59),6)=0),(((16-'V06 Calend 01'!C59)/6)&lt;='V06 Calend 01'!E59)),IF((16=('V06 Calend 01'!C59+(6*'V06 Calend 01'!E59))),('V06 Calend 01'!H59-('V06 Calend 01'!I59*('V06 Calend 01'!E59-1))),'V06 Calend 01'!I59),0))+IF((16='V06 Calend 01'!D59),'V06 Calend 01'!J59,0))</f>
        <v>147861.26</v>
      </c>
      <c r="AC59" s="2">
        <f>((IF((17='V06 Calend 01'!C59),('V06 Calend 01'!F59+'V06 Calend 01'!G59),0)+IF(AND(('V06 Calend 01'!E59&gt;0),(17&gt;'V06 Calend 01'!C59),(17&lt;'V06 Calend 01'!D59),(MOD((17-'V06 Calend 01'!C59),6)=0),(((17-'V06 Calend 01'!C59)/6)&lt;='V06 Calend 01'!E59)),IF((17=('V06 Calend 01'!C59+(6*'V06 Calend 01'!E59))),('V06 Calend 01'!H59-('V06 Calend 01'!I59*('V06 Calend 01'!E59-1))),'V06 Calend 01'!I59),0))+IF((17='V06 Calend 01'!D59),'V06 Calend 01'!J59,0))</f>
        <v>0</v>
      </c>
      <c r="AD59" s="2">
        <f>((IF((18='V06 Calend 01'!C59),('V06 Calend 01'!F59+'V06 Calend 01'!G59),0)+IF(AND(('V06 Calend 01'!E59&gt;0),(18&gt;'V06 Calend 01'!C59),(18&lt;'V06 Calend 01'!D59),(MOD((18-'V06 Calend 01'!C59),6)=0),(((18-'V06 Calend 01'!C59)/6)&lt;='V06 Calend 01'!E59)),IF((18=('V06 Calend 01'!C59+(6*'V06 Calend 01'!E59))),('V06 Calend 01'!H59-('V06 Calend 01'!I59*('V06 Calend 01'!E59-1))),'V06 Calend 01'!I59),0))+IF((18='V06 Calend 01'!D59),'V06 Calend 01'!J59,0))</f>
        <v>0</v>
      </c>
      <c r="AE59" s="2">
        <f>((IF((19='V06 Calend 01'!C59),('V06 Calend 01'!F59+'V06 Calend 01'!G59),0)+IF(AND(('V06 Calend 01'!E59&gt;0),(19&gt;'V06 Calend 01'!C59),(19&lt;'V06 Calend 01'!D59),(MOD((19-'V06 Calend 01'!C59),6)=0),(((19-'V06 Calend 01'!C59)/6)&lt;='V06 Calend 01'!E59)),IF((19=('V06 Calend 01'!C59+(6*'V06 Calend 01'!E59))),('V06 Calend 01'!H59-('V06 Calend 01'!I59*('V06 Calend 01'!E59-1))),'V06 Calend 01'!I59),0))+IF((19='V06 Calend 01'!D59),'V06 Calend 01'!J59,0))</f>
        <v>0</v>
      </c>
      <c r="AF59" s="2">
        <f>((IF((20='V06 Calend 01'!C59),('V06 Calend 01'!F59+'V06 Calend 01'!G59),0)+IF(AND(('V06 Calend 01'!E59&gt;0),(20&gt;'V06 Calend 01'!C59),(20&lt;'V06 Calend 01'!D59),(MOD((20-'V06 Calend 01'!C59),6)=0),(((20-'V06 Calend 01'!C59)/6)&lt;='V06 Calend 01'!E59)),IF((20=('V06 Calend 01'!C59+(6*'V06 Calend 01'!E59))),('V06 Calend 01'!H59-('V06 Calend 01'!I59*('V06 Calend 01'!E59-1))),'V06 Calend 01'!I59),0))+IF((20='V06 Calend 01'!D59),'V06 Calend 01'!J59,0))</f>
        <v>0</v>
      </c>
      <c r="AG59" s="2">
        <f>((IF((21='V06 Calend 01'!C59),('V06 Calend 01'!F59+'V06 Calend 01'!G59),0)+IF(AND(('V06 Calend 01'!E59&gt;0),(21&gt;'V06 Calend 01'!C59),(21&lt;'V06 Calend 01'!D59),(MOD((21-'V06 Calend 01'!C59),6)=0),(((21-'V06 Calend 01'!C59)/6)&lt;='V06 Calend 01'!E59)),IF((21=('V06 Calend 01'!C59+(6*'V06 Calend 01'!E59))),('V06 Calend 01'!H59-('V06 Calend 01'!I59*('V06 Calend 01'!E59-1))),'V06 Calend 01'!I59),0))+IF((21='V06 Calend 01'!D59),'V06 Calend 01'!J59,0))</f>
        <v>0</v>
      </c>
      <c r="AH59" s="2">
        <f>((IF((22='V06 Calend 01'!C59),('V06 Calend 01'!F59+'V06 Calend 01'!G59),0)+IF(AND(('V06 Calend 01'!E59&gt;0),(22&gt;'V06 Calend 01'!C59),(22&lt;'V06 Calend 01'!D59),(MOD((22-'V06 Calend 01'!C59),6)=0),(((22-'V06 Calend 01'!C59)/6)&lt;='V06 Calend 01'!E59)),IF((22=('V06 Calend 01'!C59+(6*'V06 Calend 01'!E59))),('V06 Calend 01'!H59-('V06 Calend 01'!I59*('V06 Calend 01'!E59-1))),'V06 Calend 01'!I59),0))+IF((22='V06 Calend 01'!D59),'V06 Calend 01'!J59,0))</f>
        <v>147861.26</v>
      </c>
      <c r="AI59" s="2">
        <f>((IF((23='V06 Calend 01'!C59),('V06 Calend 01'!F59+'V06 Calend 01'!G59),0)+IF(AND(('V06 Calend 01'!E59&gt;0),(23&gt;'V06 Calend 01'!C59),(23&lt;'V06 Calend 01'!D59),(MOD((23-'V06 Calend 01'!C59),6)=0),(((23-'V06 Calend 01'!C59)/6)&lt;='V06 Calend 01'!E59)),IF((23=('V06 Calend 01'!C59+(6*'V06 Calend 01'!E59))),('V06 Calend 01'!H59-('V06 Calend 01'!I59*('V06 Calend 01'!E59-1))),'V06 Calend 01'!I59),0))+IF((23='V06 Calend 01'!D59),'V06 Calend 01'!J59,0))</f>
        <v>0</v>
      </c>
      <c r="AJ59" s="2">
        <f>((IF((24='V06 Calend 01'!C59),('V06 Calend 01'!F59+'V06 Calend 01'!G59),0)+IF(AND(('V06 Calend 01'!E59&gt;0),(24&gt;'V06 Calend 01'!C59),(24&lt;'V06 Calend 01'!D59),(MOD((24-'V06 Calend 01'!C59),6)=0),(((24-'V06 Calend 01'!C59)/6)&lt;='V06 Calend 01'!E59)),IF((24=('V06 Calend 01'!C59+(6*'V06 Calend 01'!E59))),('V06 Calend 01'!H59-('V06 Calend 01'!I59*('V06 Calend 01'!E59-1))),'V06 Calend 01'!I59),0))+IF((24='V06 Calend 01'!D59),'V06 Calend 01'!J59,0))</f>
        <v>0</v>
      </c>
      <c r="AK59" s="2">
        <f>((IF((25='V06 Calend 01'!C59),('V06 Calend 01'!F59+'V06 Calend 01'!G59),0)+IF(AND(('V06 Calend 01'!E59&gt;0),(25&gt;'V06 Calend 01'!C59),(25&lt;'V06 Calend 01'!D59),(MOD((25-'V06 Calend 01'!C59),6)=0),(((25-'V06 Calend 01'!C59)/6)&lt;='V06 Calend 01'!E59)),IF((25=('V06 Calend 01'!C59+(6*'V06 Calend 01'!E59))),('V06 Calend 01'!H59-('V06 Calend 01'!I59*('V06 Calend 01'!E59-1))),'V06 Calend 01'!I59),0))+IF((25='V06 Calend 01'!D59),'V06 Calend 01'!J59,0))</f>
        <v>0</v>
      </c>
      <c r="AL59" s="2">
        <f>((IF((26='V06 Calend 01'!C59),('V06 Calend 01'!F59+'V06 Calend 01'!G59),0)+IF(AND(('V06 Calend 01'!E59&gt;0),(26&gt;'V06 Calend 01'!C59),(26&lt;'V06 Calend 01'!D59),(MOD((26-'V06 Calend 01'!C59),6)=0),(((26-'V06 Calend 01'!C59)/6)&lt;='V06 Calend 01'!E59)),IF((26=('V06 Calend 01'!C59+(6*'V06 Calend 01'!E59))),('V06 Calend 01'!H59-('V06 Calend 01'!I59*('V06 Calend 01'!E59-1))),'V06 Calend 01'!I59),0))+IF((26='V06 Calend 01'!D59),'V06 Calend 01'!J59,0))</f>
        <v>0</v>
      </c>
      <c r="AM59" s="2">
        <f>((IF((27='V06 Calend 01'!C59),('V06 Calend 01'!F59+'V06 Calend 01'!G59),0)+IF(AND(('V06 Calend 01'!E59&gt;0),(27&gt;'V06 Calend 01'!C59),(27&lt;'V06 Calend 01'!D59),(MOD((27-'V06 Calend 01'!C59),6)=0),(((27-'V06 Calend 01'!C59)/6)&lt;='V06 Calend 01'!E59)),IF((27=('V06 Calend 01'!C59+(6*'V06 Calend 01'!E59))),('V06 Calend 01'!H59-('V06 Calend 01'!I59*('V06 Calend 01'!E59-1))),'V06 Calend 01'!I59),0))+IF((27='V06 Calend 01'!D59),'V06 Calend 01'!J59,0))</f>
        <v>0</v>
      </c>
      <c r="AN59" s="2">
        <f>((IF((28='V06 Calend 01'!C59),('V06 Calend 01'!F59+'V06 Calend 01'!G59),0)+IF(AND(('V06 Calend 01'!E59&gt;0),(28&gt;'V06 Calend 01'!C59),(28&lt;'V06 Calend 01'!D59),(MOD((28-'V06 Calend 01'!C59),6)=0),(((28-'V06 Calend 01'!C59)/6)&lt;='V06 Calend 01'!E59)),IF((28=('V06 Calend 01'!C59+(6*'V06 Calend 01'!E59))),('V06 Calend 01'!H59-('V06 Calend 01'!I59*('V06 Calend 01'!E59-1))),'V06 Calend 01'!I59),0))+IF((28='V06 Calend 01'!D59),'V06 Calend 01'!J59,0))</f>
        <v>107535.45000000001</v>
      </c>
      <c r="AO59" s="2">
        <f>((IF((29='V06 Calend 01'!C59),('V06 Calend 01'!F59+'V06 Calend 01'!G59),0)+IF(AND(('V06 Calend 01'!E59&gt;0),(29&gt;'V06 Calend 01'!C59),(29&lt;'V06 Calend 01'!D59),(MOD((29-'V06 Calend 01'!C59),6)=0),(((29-'V06 Calend 01'!C59)/6)&lt;='V06 Calend 01'!E59)),IF((29=('V06 Calend 01'!C59+(6*'V06 Calend 01'!E59))),('V06 Calend 01'!H59-('V06 Calend 01'!I59*('V06 Calend 01'!E59-1))),'V06 Calend 01'!I59),0))+IF((29='V06 Calend 01'!D59),'V06 Calend 01'!J59,0))</f>
        <v>0</v>
      </c>
      <c r="AP59" s="2">
        <f>((IF((30='V06 Calend 01'!C59),('V06 Calend 01'!F59+'V06 Calend 01'!G59),0)+IF(AND(('V06 Calend 01'!E59&gt;0),(30&gt;'V06 Calend 01'!C59),(30&lt;'V06 Calend 01'!D59),(MOD((30-'V06 Calend 01'!C59),6)=0),(((30-'V06 Calend 01'!C59)/6)&lt;='V06 Calend 01'!E59)),IF((30=('V06 Calend 01'!C59+(6*'V06 Calend 01'!E59))),('V06 Calend 01'!H59-('V06 Calend 01'!I59*('V06 Calend 01'!E59-1))),'V06 Calend 01'!I59),0))+IF((30='V06 Calend 01'!D59),'V06 Calend 01'!J59,0))</f>
        <v>0</v>
      </c>
      <c r="AQ59" s="2">
        <f>((IF((31='V06 Calend 01'!C59),('V06 Calend 01'!F59+'V06 Calend 01'!G59),0)+IF(AND(('V06 Calend 01'!E59&gt;0),(31&gt;'V06 Calend 01'!C59),(31&lt;'V06 Calend 01'!D59),(MOD((31-'V06 Calend 01'!C59),6)=0),(((31-'V06 Calend 01'!C59)/6)&lt;='V06 Calend 01'!E59)),IF((31=('V06 Calend 01'!C59+(6*'V06 Calend 01'!E59))),('V06 Calend 01'!H59-('V06 Calend 01'!I59*('V06 Calend 01'!E59-1))),'V06 Calend 01'!I59),0))+IF((31='V06 Calend 01'!D59),'V06 Calend 01'!J59,0))</f>
        <v>0</v>
      </c>
      <c r="AR59" s="2">
        <f>((IF((32='V06 Calend 01'!C59),('V06 Calend 01'!F59+'V06 Calend 01'!G59),0)+IF(AND(('V06 Calend 01'!E59&gt;0),(32&gt;'V06 Calend 01'!C59),(32&lt;'V06 Calend 01'!D59),(MOD((32-'V06 Calend 01'!C59),6)=0),(((32-'V06 Calend 01'!C59)/6)&lt;='V06 Calend 01'!E59)),IF((32=('V06 Calend 01'!C59+(6*'V06 Calend 01'!E59))),('V06 Calend 01'!H59-('V06 Calend 01'!I59*('V06 Calend 01'!E59-1))),'V06 Calend 01'!I59),0))+IF((32='V06 Calend 01'!D59),'V06 Calend 01'!J59,0))</f>
        <v>0</v>
      </c>
      <c r="AS59" s="2">
        <f>((IF((33='V06 Calend 01'!C59),('V06 Calend 01'!F59+'V06 Calend 01'!G59),0)+IF(AND(('V06 Calend 01'!E59&gt;0),(33&gt;'V06 Calend 01'!C59),(33&lt;'V06 Calend 01'!D59),(MOD((33-'V06 Calend 01'!C59),6)=0),(((33-'V06 Calend 01'!C59)/6)&lt;='V06 Calend 01'!E59)),IF((33=('V06 Calend 01'!C59+(6*'V06 Calend 01'!E59))),('V06 Calend 01'!H59-('V06 Calend 01'!I59*('V06 Calend 01'!E59-1))),'V06 Calend 01'!I59),0))+IF((33='V06 Calend 01'!D59),'V06 Calend 01'!J59,0))</f>
        <v>0</v>
      </c>
      <c r="AT59" s="2">
        <f>((IF((34='V06 Calend 01'!C59),('V06 Calend 01'!F59+'V06 Calend 01'!G59),0)+IF(AND(('V06 Calend 01'!E59&gt;0),(34&gt;'V06 Calend 01'!C59),(34&lt;'V06 Calend 01'!D59),(MOD((34-'V06 Calend 01'!C59),6)=0),(((34-'V06 Calend 01'!C59)/6)&lt;='V06 Calend 01'!E59)),IF((34=('V06 Calend 01'!C59+(6*'V06 Calend 01'!E59))),('V06 Calend 01'!H59-('V06 Calend 01'!I59*('V06 Calend 01'!E59-1))),'V06 Calend 01'!I59),0))+IF((34='V06 Calend 01'!D59),'V06 Calend 01'!J59,0))</f>
        <v>0</v>
      </c>
      <c r="AU59" s="2">
        <f>((IF((35='V06 Calend 01'!C59),('V06 Calend 01'!F59+'V06 Calend 01'!G59),0)+IF(AND(('V06 Calend 01'!E59&gt;0),(35&gt;'V06 Calend 01'!C59),(35&lt;'V06 Calend 01'!D59),(MOD((35-'V06 Calend 01'!C59),6)=0),(((35-'V06 Calend 01'!C59)/6)&lt;='V06 Calend 01'!E59)),IF((35=('V06 Calend 01'!C59+(6*'V06 Calend 01'!E59))),('V06 Calend 01'!H59-('V06 Calend 01'!I59*('V06 Calend 01'!E59-1))),'V06 Calend 01'!I59),0))+IF((35='V06 Calend 01'!D59),'V06 Calend 01'!J59,0))</f>
        <v>0</v>
      </c>
      <c r="AV59" s="2">
        <f>((IF((36='V06 Calend 01'!C59),('V06 Calend 01'!F59+'V06 Calend 01'!G59),0)+IF(AND(('V06 Calend 01'!E59&gt;0),(36&gt;'V06 Calend 01'!C59),(36&lt;'V06 Calend 01'!D59),(MOD((36-'V06 Calend 01'!C59),6)=0),(((36-'V06 Calend 01'!C59)/6)&lt;='V06 Calend 01'!E59)),IF((36=('V06 Calend 01'!C59+(6*'V06 Calend 01'!E59))),('V06 Calend 01'!H59-('V06 Calend 01'!I59*('V06 Calend 01'!E59-1))),'V06 Calend 01'!I59),0))+IF((36='V06 Calend 01'!D59),'V06 Calend 01'!J59,0))</f>
        <v>0</v>
      </c>
      <c r="AW59" s="2">
        <f>((IF((37='V06 Calend 01'!C59),('V06 Calend 01'!F59+'V06 Calend 01'!G59),0)+IF(AND(('V06 Calend 01'!E59&gt;0),(37&gt;'V06 Calend 01'!C59),(37&lt;'V06 Calend 01'!D59),(MOD((37-'V06 Calend 01'!C59),6)=0),(((37-'V06 Calend 01'!C59)/6)&lt;='V06 Calend 01'!E59)),IF((37=('V06 Calend 01'!C59+(6*'V06 Calend 01'!E59))),('V06 Calend 01'!H59-('V06 Calend 01'!I59*('V06 Calend 01'!E59-1))),'V06 Calend 01'!I59),0))+IF((37='V06 Calend 01'!D59),'V06 Calend 01'!J59,0))</f>
        <v>0</v>
      </c>
      <c r="AX59" s="2">
        <f>((IF((38='V06 Calend 01'!C59),('V06 Calend 01'!F59+'V06 Calend 01'!G59),0)+IF(AND(('V06 Calend 01'!E59&gt;0),(38&gt;'V06 Calend 01'!C59),(38&lt;'V06 Calend 01'!D59),(MOD((38-'V06 Calend 01'!C59),6)=0),(((38-'V06 Calend 01'!C59)/6)&lt;='V06 Calend 01'!E59)),IF((38=('V06 Calend 01'!C59+(6*'V06 Calend 01'!E59))),('V06 Calend 01'!H59-('V06 Calend 01'!I59*('V06 Calend 01'!E59-1))),'V06 Calend 01'!I59),0))+IF((38='V06 Calend 01'!D59),'V06 Calend 01'!J59,0))</f>
        <v>0</v>
      </c>
      <c r="AY59" s="2">
        <f>((IF((39='V06 Calend 01'!C59),('V06 Calend 01'!F59+'V06 Calend 01'!G59),0)+IF(AND(('V06 Calend 01'!E59&gt;0),(39&gt;'V06 Calend 01'!C59),(39&lt;'V06 Calend 01'!D59),(MOD((39-'V06 Calend 01'!C59),6)=0),(((39-'V06 Calend 01'!C59)/6)&lt;='V06 Calend 01'!E59)),IF((39=('V06 Calend 01'!C59+(6*'V06 Calend 01'!E59))),('V06 Calend 01'!H59-('V06 Calend 01'!I59*('V06 Calend 01'!E59-1))),'V06 Calend 01'!I59),0))+IF((39='V06 Calend 01'!D59),'V06 Calend 01'!J59,0))</f>
        <v>0</v>
      </c>
      <c r="AZ59" s="2">
        <f>((IF((40='V06 Calend 01'!C59),('V06 Calend 01'!F59+'V06 Calend 01'!G59),0)+IF(AND(('V06 Calend 01'!E59&gt;0),(40&gt;'V06 Calend 01'!C59),(40&lt;'V06 Calend 01'!D59),(MOD((40-'V06 Calend 01'!C59),6)=0),(((40-'V06 Calend 01'!C59)/6)&lt;='V06 Calend 01'!E59)),IF((40=('V06 Calend 01'!C59+(6*'V06 Calend 01'!E59))),('V06 Calend 01'!H59-('V06 Calend 01'!I59*('V06 Calend 01'!E59-1))),'V06 Calend 01'!I59),0))+IF((40='V06 Calend 01'!D59),'V06 Calend 01'!J59,0))</f>
        <v>0</v>
      </c>
      <c r="BA59" s="2">
        <f>((IF((41='V06 Calend 01'!C59),('V06 Calend 01'!F59+'V06 Calend 01'!G59),0)+IF(AND(('V06 Calend 01'!E59&gt;0),(41&gt;'V06 Calend 01'!C59),(41&lt;'V06 Calend 01'!D59),(MOD((41-'V06 Calend 01'!C59),6)=0),(((41-'V06 Calend 01'!C59)/6)&lt;='V06 Calend 01'!E59)),IF((41=('V06 Calend 01'!C59+(6*'V06 Calend 01'!E59))),('V06 Calend 01'!H59-('V06 Calend 01'!I59*('V06 Calend 01'!E59-1))),'V06 Calend 01'!I59),0))+IF((41='V06 Calend 01'!D59),'V06 Calend 01'!J59,0))</f>
        <v>0</v>
      </c>
      <c r="BB59" s="2">
        <f>((IF((42='V06 Calend 01'!C59),('V06 Calend 01'!F59+'V06 Calend 01'!G59),0)+IF(AND(('V06 Calend 01'!E59&gt;0),(42&gt;'V06 Calend 01'!C59),(42&lt;'V06 Calend 01'!D59),(MOD((42-'V06 Calend 01'!C59),6)=0),(((42-'V06 Calend 01'!C59)/6)&lt;='V06 Calend 01'!E59)),IF((42=('V06 Calend 01'!C59+(6*'V06 Calend 01'!E59))),('V06 Calend 01'!H59-('V06 Calend 01'!I59*('V06 Calend 01'!E59-1))),'V06 Calend 01'!I59),0))+IF((42='V06 Calend 01'!D59),'V06 Calend 01'!J59,0))</f>
        <v>0</v>
      </c>
      <c r="BC59" s="2">
        <f>((IF((43='V06 Calend 01'!C59),('V06 Calend 01'!F59+'V06 Calend 01'!G59),0)+IF(AND(('V06 Calend 01'!E59&gt;0),(43&gt;'V06 Calend 01'!C59),(43&lt;'V06 Calend 01'!D59),(MOD((43-'V06 Calend 01'!C59),6)=0),(((43-'V06 Calend 01'!C59)/6)&lt;='V06 Calend 01'!E59)),IF((43=('V06 Calend 01'!C59+(6*'V06 Calend 01'!E59))),('V06 Calend 01'!H59-('V06 Calend 01'!I59*('V06 Calend 01'!E59-1))),'V06 Calend 01'!I59),0))+IF((43='V06 Calend 01'!D59),'V06 Calend 01'!J59,0))</f>
        <v>0</v>
      </c>
      <c r="BD59" s="2">
        <f>((IF((44='V06 Calend 01'!C59),('V06 Calend 01'!F59+'V06 Calend 01'!G59),0)+IF(AND(('V06 Calend 01'!E59&gt;0),(44&gt;'V06 Calend 01'!C59),(44&lt;'V06 Calend 01'!D59),(MOD((44-'V06 Calend 01'!C59),6)=0),(((44-'V06 Calend 01'!C59)/6)&lt;='V06 Calend 01'!E59)),IF((44=('V06 Calend 01'!C59+(6*'V06 Calend 01'!E59))),('V06 Calend 01'!H59-('V06 Calend 01'!I59*('V06 Calend 01'!E59-1))),'V06 Calend 01'!I59),0))+IF((44='V06 Calend 01'!D59),'V06 Calend 01'!J59,0))</f>
        <v>0</v>
      </c>
      <c r="BE59" s="2">
        <f>((IF((45='V06 Calend 01'!C59),('V06 Calend 01'!F59+'V06 Calend 01'!G59),0)+IF(AND(('V06 Calend 01'!E59&gt;0),(45&gt;'V06 Calend 01'!C59),(45&lt;'V06 Calend 01'!D59),(MOD((45-'V06 Calend 01'!C59),6)=0),(((45-'V06 Calend 01'!C59)/6)&lt;='V06 Calend 01'!E59)),IF((45=('V06 Calend 01'!C59+(6*'V06 Calend 01'!E59))),('V06 Calend 01'!H59-('V06 Calend 01'!I59*('V06 Calend 01'!E59-1))),'V06 Calend 01'!I59),0))+IF((45='V06 Calend 01'!D59),'V06 Calend 01'!J59,0))</f>
        <v>0</v>
      </c>
      <c r="BF59" s="2">
        <f>((IF((46='V06 Calend 01'!C59),('V06 Calend 01'!F59+'V06 Calend 01'!G59),0)+IF(AND(('V06 Calend 01'!E59&gt;0),(46&gt;'V06 Calend 01'!C59),(46&lt;'V06 Calend 01'!D59),(MOD((46-'V06 Calend 01'!C59),6)=0),(((46-'V06 Calend 01'!C59)/6)&lt;='V06 Calend 01'!E59)),IF((46=('V06 Calend 01'!C59+(6*'V06 Calend 01'!E59))),('V06 Calend 01'!H59-('V06 Calend 01'!I59*('V06 Calend 01'!E59-1))),'V06 Calend 01'!I59),0))+IF((46='V06 Calend 01'!D59),'V06 Calend 01'!J59,0))</f>
        <v>0</v>
      </c>
      <c r="BG59" s="2">
        <f>((IF((47='V06 Calend 01'!C59),('V06 Calend 01'!F59+'V06 Calend 01'!G59),0)+IF(AND(('V06 Calend 01'!E59&gt;0),(47&gt;'V06 Calend 01'!C59),(47&lt;'V06 Calend 01'!D59),(MOD((47-'V06 Calend 01'!C59),6)=0),(((47-'V06 Calend 01'!C59)/6)&lt;='V06 Calend 01'!E59)),IF((47=('V06 Calend 01'!C59+(6*'V06 Calend 01'!E59))),('V06 Calend 01'!H59-('V06 Calend 01'!I59*('V06 Calend 01'!E59-1))),'V06 Calend 01'!I59),0))+IF((47='V06 Calend 01'!D59),'V06 Calend 01'!J59,0))</f>
        <v>0</v>
      </c>
      <c r="BH59" s="2">
        <f>((IF((48='V06 Calend 01'!C59),('V06 Calend 01'!F59+'V06 Calend 01'!G59),0)+IF(AND(('V06 Calend 01'!E59&gt;0),(48&gt;'V06 Calend 01'!C59),(48&lt;'V06 Calend 01'!D59),(MOD((48-'V06 Calend 01'!C59),6)=0),(((48-'V06 Calend 01'!C59)/6)&lt;='V06 Calend 01'!E59)),IF((48=('V06 Calend 01'!C59+(6*'V06 Calend 01'!E59))),('V06 Calend 01'!H59-('V06 Calend 01'!I59*('V06 Calend 01'!E59-1))),'V06 Calend 01'!I59),0))+IF((48='V06 Calend 01'!D59),'V06 Calend 01'!J59,0))</f>
        <v>0</v>
      </c>
      <c r="BI59" s="2">
        <f>((IF((49='V06 Calend 01'!C59),('V06 Calend 01'!F59+'V06 Calend 01'!G59),0)+IF(AND(('V06 Calend 01'!E59&gt;0),(49&gt;'V06 Calend 01'!C59),(49&lt;'V06 Calend 01'!D59),(MOD((49-'V06 Calend 01'!C59),6)=0),(((49-'V06 Calend 01'!C59)/6)&lt;='V06 Calend 01'!E59)),IF((49=('V06 Calend 01'!C59+(6*'V06 Calend 01'!E59))),('V06 Calend 01'!H59-('V06 Calend 01'!I59*('V06 Calend 01'!E59-1))),'V06 Calend 01'!I59),0))+IF((49='V06 Calend 01'!D59),'V06 Calend 01'!J59,0))</f>
        <v>0</v>
      </c>
      <c r="BJ59" s="2">
        <f>((IF((50='V06 Calend 01'!C59),('V06 Calend 01'!F59+'V06 Calend 01'!G59),0)+IF(AND(('V06 Calend 01'!E59&gt;0),(50&gt;'V06 Calend 01'!C59),(50&lt;'V06 Calend 01'!D59),(MOD((50-'V06 Calend 01'!C59),6)=0),(((50-'V06 Calend 01'!C59)/6)&lt;='V06 Calend 01'!E59)),IF((50=('V06 Calend 01'!C59+(6*'V06 Calend 01'!E59))),('V06 Calend 01'!H59-('V06 Calend 01'!I59*('V06 Calend 01'!E59-1))),'V06 Calend 01'!I59),0))+IF((50='V06 Calend 01'!D59),'V06 Calend 01'!J59,0))</f>
        <v>0</v>
      </c>
      <c r="BK59" s="2">
        <f>((IF((51='V06 Calend 01'!C59),('V06 Calend 01'!F59+'V06 Calend 01'!G59),0)+IF(AND(('V06 Calend 01'!E59&gt;0),(51&gt;'V06 Calend 01'!C59),(51&lt;'V06 Calend 01'!D59),(MOD((51-'V06 Calend 01'!C59),6)=0),(((51-'V06 Calend 01'!C59)/6)&lt;='V06 Calend 01'!E59)),IF((51=('V06 Calend 01'!C59+(6*'V06 Calend 01'!E59))),('V06 Calend 01'!H59-('V06 Calend 01'!I59*('V06 Calend 01'!E59-1))),'V06 Calend 01'!I59),0))+IF((51='V06 Calend 01'!D59),'V06 Calend 01'!J59,0))</f>
        <v>0</v>
      </c>
      <c r="BL59" s="2">
        <f>((IF((52='V06 Calend 01'!C59),('V06 Calend 01'!F59+'V06 Calend 01'!G59),0)+IF(AND(('V06 Calend 01'!E59&gt;0),(52&gt;'V06 Calend 01'!C59),(52&lt;'V06 Calend 01'!D59),(MOD((52-'V06 Calend 01'!C59),6)=0),(((52-'V06 Calend 01'!C59)/6)&lt;='V06 Calend 01'!E59)),IF((52=('V06 Calend 01'!C59+(6*'V06 Calend 01'!E59))),('V06 Calend 01'!H59-('V06 Calend 01'!I59*('V06 Calend 01'!E59-1))),'V06 Calend 01'!I59),0))+IF((52='V06 Calend 01'!D59),'V06 Calend 01'!J59,0))</f>
        <v>0</v>
      </c>
      <c r="BM59" s="2">
        <f>((IF((53='V06 Calend 01'!C59),('V06 Calend 01'!F59+'V06 Calend 01'!G59),0)+IF(AND(('V06 Calend 01'!E59&gt;0),(53&gt;'V06 Calend 01'!C59),(53&lt;'V06 Calend 01'!D59),(MOD((53-'V06 Calend 01'!C59),6)=0),(((53-'V06 Calend 01'!C59)/6)&lt;='V06 Calend 01'!E59)),IF((53=('V06 Calend 01'!C59+(6*'V06 Calend 01'!E59))),('V06 Calend 01'!H59-('V06 Calend 01'!I59*('V06 Calend 01'!E59-1))),'V06 Calend 01'!I59),0))+IF((53='V06 Calend 01'!D59),'V06 Calend 01'!J59,0))</f>
        <v>0</v>
      </c>
      <c r="BN59" s="2">
        <f>((IF((54='V06 Calend 01'!C59),('V06 Calend 01'!F59+'V06 Calend 01'!G59),0)+IF(AND(('V06 Calend 01'!E59&gt;0),(54&gt;'V06 Calend 01'!C59),(54&lt;'V06 Calend 01'!D59),(MOD((54-'V06 Calend 01'!C59),6)=0),(((54-'V06 Calend 01'!C59)/6)&lt;='V06 Calend 01'!E59)),IF((54=('V06 Calend 01'!C59+(6*'V06 Calend 01'!E59))),('V06 Calend 01'!H59-('V06 Calend 01'!I59*('V06 Calend 01'!E59-1))),'V06 Calend 01'!I59),0))+IF((54='V06 Calend 01'!D59),'V06 Calend 01'!J59,0))</f>
        <v>0</v>
      </c>
      <c r="BO59" s="2">
        <f>((IF((55='V06 Calend 01'!C59),('V06 Calend 01'!F59+'V06 Calend 01'!G59),0)+IF(AND(('V06 Calend 01'!E59&gt;0),(55&gt;'V06 Calend 01'!C59),(55&lt;'V06 Calend 01'!D59),(MOD((55-'V06 Calend 01'!C59),6)=0),(((55-'V06 Calend 01'!C59)/6)&lt;='V06 Calend 01'!E59)),IF((55=('V06 Calend 01'!C59+(6*'V06 Calend 01'!E59))),('V06 Calend 01'!H59-('V06 Calend 01'!I59*('V06 Calend 01'!E59-1))),'V06 Calend 01'!I59),0))+IF((55='V06 Calend 01'!D59),'V06 Calend 01'!J59,0))</f>
        <v>0</v>
      </c>
      <c r="BP59" s="2">
        <f>((IF((56='V06 Calend 01'!C59),('V06 Calend 01'!F59+'V06 Calend 01'!G59),0)+IF(AND(('V06 Calend 01'!E59&gt;0),(56&gt;'V06 Calend 01'!C59),(56&lt;'V06 Calend 01'!D59),(MOD((56-'V06 Calend 01'!C59),6)=0),(((56-'V06 Calend 01'!C59)/6)&lt;='V06 Calend 01'!E59)),IF((56=('V06 Calend 01'!C59+(6*'V06 Calend 01'!E59))),('V06 Calend 01'!H59-('V06 Calend 01'!I59*('V06 Calend 01'!E59-1))),'V06 Calend 01'!I59),0))+IF((56='V06 Calend 01'!D59),'V06 Calend 01'!J59,0))</f>
        <v>0</v>
      </c>
      <c r="BQ59" s="2">
        <f>((IF((57='V06 Calend 01'!C59),('V06 Calend 01'!F59+'V06 Calend 01'!G59),0)+IF(AND(('V06 Calend 01'!E59&gt;0),(57&gt;'V06 Calend 01'!C59),(57&lt;'V06 Calend 01'!D59),(MOD((57-'V06 Calend 01'!C59),6)=0),(((57-'V06 Calend 01'!C59)/6)&lt;='V06 Calend 01'!E59)),IF((57=('V06 Calend 01'!C59+(6*'V06 Calend 01'!E59))),('V06 Calend 01'!H59-('V06 Calend 01'!I59*('V06 Calend 01'!E59-1))),'V06 Calend 01'!I59),0))+IF((57='V06 Calend 01'!D59),'V06 Calend 01'!J59,0))</f>
        <v>0</v>
      </c>
      <c r="BR59" s="2">
        <f>((IF((58='V06 Calend 01'!C59),('V06 Calend 01'!F59+'V06 Calend 01'!G59),0)+IF(AND(('V06 Calend 01'!E59&gt;0),(58&gt;'V06 Calend 01'!C59),(58&lt;'V06 Calend 01'!D59),(MOD((58-'V06 Calend 01'!C59),6)=0),(((58-'V06 Calend 01'!C59)/6)&lt;='V06 Calend 01'!E59)),IF((58=('V06 Calend 01'!C59+(6*'V06 Calend 01'!E59))),('V06 Calend 01'!H59-('V06 Calend 01'!I59*('V06 Calend 01'!E59-1))),'V06 Calend 01'!I59),0))+IF((58='V06 Calend 01'!D59),'V06 Calend 01'!J59,0))</f>
        <v>0</v>
      </c>
      <c r="BS59" s="2">
        <f>((IF((59='V06 Calend 01'!C59),('V06 Calend 01'!F59+'V06 Calend 01'!G59),0)+IF(AND(('V06 Calend 01'!E59&gt;0),(59&gt;'V06 Calend 01'!C59),(59&lt;'V06 Calend 01'!D59),(MOD((59-'V06 Calend 01'!C59),6)=0),(((59-'V06 Calend 01'!C59)/6)&lt;='V06 Calend 01'!E59)),IF((59=('V06 Calend 01'!C59+(6*'V06 Calend 01'!E59))),('V06 Calend 01'!H59-('V06 Calend 01'!I59*('V06 Calend 01'!E59-1))),'V06 Calend 01'!I59),0))+IF((59='V06 Calend 01'!D59),'V06 Calend 01'!J59,0))</f>
        <v>0</v>
      </c>
      <c r="BT59" s="2">
        <f>((IF((60='V06 Calend 01'!C59),('V06 Calend 01'!F59+'V06 Calend 01'!G59),0)+IF(AND(('V06 Calend 01'!E59&gt;0),(60&gt;'V06 Calend 01'!C59),(60&lt;'V06 Calend 01'!D59),(MOD((60-'V06 Calend 01'!C59),6)=0),(((60-'V06 Calend 01'!C59)/6)&lt;='V06 Calend 01'!E59)),IF((60=('V06 Calend 01'!C59+(6*'V06 Calend 01'!E59))),('V06 Calend 01'!H59-('V06 Calend 01'!I59*('V06 Calend 01'!E59-1))),'V06 Calend 01'!I59),0))+IF((60='V06 Calend 01'!D59),'V06 Calend 01'!J59,0))</f>
        <v>0</v>
      </c>
      <c r="BU59" s="2">
        <f>((IF((61='V06 Calend 01'!C59),('V06 Calend 01'!F59+'V06 Calend 01'!G59),0)+IF(AND(('V06 Calend 01'!E59&gt;0),(61&gt;'V06 Calend 01'!C59),(61&lt;'V06 Calend 01'!D59),(MOD((61-'V06 Calend 01'!C59),6)=0),(((61-'V06 Calend 01'!C59)/6)&lt;='V06 Calend 01'!E59)),IF((61=('V06 Calend 01'!C59+(6*'V06 Calend 01'!E59))),('V06 Calend 01'!H59-('V06 Calend 01'!I59*('V06 Calend 01'!E59-1))),'V06 Calend 01'!I59),0))+IF((61='V06 Calend 01'!D59),'V06 Calend 01'!J59,0))</f>
        <v>0</v>
      </c>
      <c r="BV59" s="2">
        <f>((IF((62='V06 Calend 01'!C59),('V06 Calend 01'!F59+'V06 Calend 01'!G59),0)+IF(AND(('V06 Calend 01'!E59&gt;0),(62&gt;'V06 Calend 01'!C59),(62&lt;'V06 Calend 01'!D59),(MOD((62-'V06 Calend 01'!C59),6)=0),(((62-'V06 Calend 01'!C59)/6)&lt;='V06 Calend 01'!E59)),IF((62=('V06 Calend 01'!C59+(6*'V06 Calend 01'!E59))),('V06 Calend 01'!H59-('V06 Calend 01'!I59*('V06 Calend 01'!E59-1))),'V06 Calend 01'!I59),0))+IF((62='V06 Calend 01'!D59),'V06 Calend 01'!J59,0))</f>
        <v>0</v>
      </c>
      <c r="BW59" s="2">
        <f>((IF((63='V06 Calend 01'!C59),('V06 Calend 01'!F59+'V06 Calend 01'!G59),0)+IF(AND(('V06 Calend 01'!E59&gt;0),(63&gt;'V06 Calend 01'!C59),(63&lt;'V06 Calend 01'!D59),(MOD((63-'V06 Calend 01'!C59),6)=0),(((63-'V06 Calend 01'!C59)/6)&lt;='V06 Calend 01'!E59)),IF((63=('V06 Calend 01'!C59+(6*'V06 Calend 01'!E59))),('V06 Calend 01'!H59-('V06 Calend 01'!I59*('V06 Calend 01'!E59-1))),'V06 Calend 01'!I59),0))+IF((63='V06 Calend 01'!D59),'V06 Calend 01'!J59,0))</f>
        <v>0</v>
      </c>
      <c r="BX59" s="2">
        <f>((IF((64='V06 Calend 01'!C59),('V06 Calend 01'!F59+'V06 Calend 01'!G59),0)+IF(AND(('V06 Calend 01'!E59&gt;0),(64&gt;'V06 Calend 01'!C59),(64&lt;'V06 Calend 01'!D59),(MOD((64-'V06 Calend 01'!C59),6)=0),(((64-'V06 Calend 01'!C59)/6)&lt;='V06 Calend 01'!E59)),IF((64=('V06 Calend 01'!C59+(6*'V06 Calend 01'!E59))),('V06 Calend 01'!H59-('V06 Calend 01'!I59*('V06 Calend 01'!E59-1))),'V06 Calend 01'!I59),0))+IF((64='V06 Calend 01'!D59),'V06 Calend 01'!J59,0))</f>
        <v>0</v>
      </c>
      <c r="BY59" s="2">
        <f>((IF((65='V06 Calend 01'!C59),('V06 Calend 01'!F59+'V06 Calend 01'!G59),0)+IF(AND(('V06 Calend 01'!E59&gt;0),(65&gt;'V06 Calend 01'!C59),(65&lt;'V06 Calend 01'!D59),(MOD((65-'V06 Calend 01'!C59),6)=0),(((65-'V06 Calend 01'!C59)/6)&lt;='V06 Calend 01'!E59)),IF((65=('V06 Calend 01'!C59+(6*'V06 Calend 01'!E59))),('V06 Calend 01'!H59-('V06 Calend 01'!I59*('V06 Calend 01'!E59-1))),'V06 Calend 01'!I59),0))+IF((65='V06 Calend 01'!D59),'V06 Calend 01'!J59,0))</f>
        <v>0</v>
      </c>
      <c r="BZ59" s="2">
        <f>((IF((66='V06 Calend 01'!C59),('V06 Calend 01'!F59+'V06 Calend 01'!G59),0)+IF(AND(('V06 Calend 01'!E59&gt;0),(66&gt;'V06 Calend 01'!C59),(66&lt;'V06 Calend 01'!D59),(MOD((66-'V06 Calend 01'!C59),6)=0),(((66-'V06 Calend 01'!C59)/6)&lt;='V06 Calend 01'!E59)),IF((66=('V06 Calend 01'!C59+(6*'V06 Calend 01'!E59))),('V06 Calend 01'!H59-('V06 Calend 01'!I59*('V06 Calend 01'!E59-1))),'V06 Calend 01'!I59),0))+IF((66='V06 Calend 01'!D59),'V06 Calend 01'!J59,0))</f>
        <v>0</v>
      </c>
      <c r="CA59" s="2">
        <f>((IF((67='V06 Calend 01'!C59),('V06 Calend 01'!F59+'V06 Calend 01'!G59),0)+IF(AND(('V06 Calend 01'!E59&gt;0),(67&gt;'V06 Calend 01'!C59),(67&lt;'V06 Calend 01'!D59),(MOD((67-'V06 Calend 01'!C59),6)=0),(((67-'V06 Calend 01'!C59)/6)&lt;='V06 Calend 01'!E59)),IF((67=('V06 Calend 01'!C59+(6*'V06 Calend 01'!E59))),('V06 Calend 01'!H59-('V06 Calend 01'!I59*('V06 Calend 01'!E59-1))),'V06 Calend 01'!I59),0))+IF((67='V06 Calend 01'!D59),'V06 Calend 01'!J59,0))</f>
        <v>0</v>
      </c>
      <c r="CB59" s="2">
        <f>((IF((68='V06 Calend 01'!C59),('V06 Calend 01'!F59+'V06 Calend 01'!G59),0)+IF(AND(('V06 Calend 01'!E59&gt;0),(68&gt;'V06 Calend 01'!C59),(68&lt;'V06 Calend 01'!D59),(MOD((68-'V06 Calend 01'!C59),6)=0),(((68-'V06 Calend 01'!C59)/6)&lt;='V06 Calend 01'!E59)),IF((68=('V06 Calend 01'!C59+(6*'V06 Calend 01'!E59))),('V06 Calend 01'!H59-('V06 Calend 01'!I59*('V06 Calend 01'!E59-1))),'V06 Calend 01'!I59),0))+IF((68='V06 Calend 01'!D59),'V06 Calend 01'!J59,0))</f>
        <v>0</v>
      </c>
      <c r="CC59" s="2">
        <f>((IF((69='V06 Calend 01'!C59),('V06 Calend 01'!F59+'V06 Calend 01'!G59),0)+IF(AND(('V06 Calend 01'!E59&gt;0),(69&gt;'V06 Calend 01'!C59),(69&lt;'V06 Calend 01'!D59),(MOD((69-'V06 Calend 01'!C59),6)=0),(((69-'V06 Calend 01'!C59)/6)&lt;='V06 Calend 01'!E59)),IF((69=('V06 Calend 01'!C59+(6*'V06 Calend 01'!E59))),('V06 Calend 01'!H59-('V06 Calend 01'!I59*('V06 Calend 01'!E59-1))),'V06 Calend 01'!I59),0))+IF((69='V06 Calend 01'!D59),'V06 Calend 01'!J59,0))</f>
        <v>0</v>
      </c>
      <c r="CD59" s="2">
        <f>((IF((70='V06 Calend 01'!C59),('V06 Calend 01'!F59+'V06 Calend 01'!G59),0)+IF(AND(('V06 Calend 01'!E59&gt;0),(70&gt;'V06 Calend 01'!C59),(70&lt;'V06 Calend 01'!D59),(MOD((70-'V06 Calend 01'!C59),6)=0),(((70-'V06 Calend 01'!C59)/6)&lt;='V06 Calend 01'!E59)),IF((70=('V06 Calend 01'!C59+(6*'V06 Calend 01'!E59))),('V06 Calend 01'!H59-('V06 Calend 01'!I59*('V06 Calend 01'!E59-1))),'V06 Calend 01'!I59),0))+IF((70='V06 Calend 01'!D59),'V06 Calend 01'!J59,0))</f>
        <v>0</v>
      </c>
      <c r="CE59" s="2">
        <f>((IF((71='V06 Calend 01'!C59),('V06 Calend 01'!F59+'V06 Calend 01'!G59),0)+IF(AND(('V06 Calend 01'!E59&gt;0),(71&gt;'V06 Calend 01'!C59),(71&lt;'V06 Calend 01'!D59),(MOD((71-'V06 Calend 01'!C59),6)=0),(((71-'V06 Calend 01'!C59)/6)&lt;='V06 Calend 01'!E59)),IF((71=('V06 Calend 01'!C59+(6*'V06 Calend 01'!E59))),('V06 Calend 01'!H59-('V06 Calend 01'!I59*('V06 Calend 01'!E59-1))),'V06 Calend 01'!I59),0))+IF((71='V06 Calend 01'!D59),'V06 Calend 01'!J59,0))</f>
        <v>0</v>
      </c>
      <c r="CF59" s="2">
        <f>((IF((72='V06 Calend 01'!C59),('V06 Calend 01'!F59+'V06 Calend 01'!G59),0)+IF(AND(('V06 Calend 01'!E59&gt;0),(72&gt;'V06 Calend 01'!C59),(72&lt;'V06 Calend 01'!D59),(MOD((72-'V06 Calend 01'!C59),6)=0),(((72-'V06 Calend 01'!C59)/6)&lt;='V06 Calend 01'!E59)),IF((72=('V06 Calend 01'!C59+(6*'V06 Calend 01'!E59))),('V06 Calend 01'!H59-('V06 Calend 01'!I59*('V06 Calend 01'!E59-1))),'V06 Calend 01'!I59),0))+IF((72='V06 Calend 01'!D59),'V06 Calend 01'!J59,0))</f>
        <v>0</v>
      </c>
      <c r="CG59" s="2">
        <f>((IF((73='V06 Calend 01'!C59),('V06 Calend 01'!F59+'V06 Calend 01'!G59),0)+IF(AND(('V06 Calend 01'!E59&gt;0),(73&gt;'V06 Calend 01'!C59),(73&lt;'V06 Calend 01'!D59),(MOD((73-'V06 Calend 01'!C59),6)=0),(((73-'V06 Calend 01'!C59)/6)&lt;='V06 Calend 01'!E59)),IF((73=('V06 Calend 01'!C59+(6*'V06 Calend 01'!E59))),('V06 Calend 01'!H59-('V06 Calend 01'!I59*('V06 Calend 01'!E59-1))),'V06 Calend 01'!I59),0))+IF((73='V06 Calend 01'!D59),'V06 Calend 01'!J59,0))</f>
        <v>0</v>
      </c>
      <c r="CH59" s="2">
        <f>((IF((74='V06 Calend 01'!C59),('V06 Calend 01'!F59+'V06 Calend 01'!G59),0)+IF(AND(('V06 Calend 01'!E59&gt;0),(74&gt;'V06 Calend 01'!C59),(74&lt;'V06 Calend 01'!D59),(MOD((74-'V06 Calend 01'!C59),6)=0),(((74-'V06 Calend 01'!C59)/6)&lt;='V06 Calend 01'!E59)),IF((74=('V06 Calend 01'!C59+(6*'V06 Calend 01'!E59))),('V06 Calend 01'!H59-('V06 Calend 01'!I59*('V06 Calend 01'!E59-1))),'V06 Calend 01'!I59),0))+IF((74='V06 Calend 01'!D59),'V06 Calend 01'!J59,0))</f>
        <v>0</v>
      </c>
      <c r="CI59" s="2">
        <f>((IF((75='V06 Calend 01'!C59),('V06 Calend 01'!F59+'V06 Calend 01'!G59),0)+IF(AND(('V06 Calend 01'!E59&gt;0),(75&gt;'V06 Calend 01'!C59),(75&lt;'V06 Calend 01'!D59),(MOD((75-'V06 Calend 01'!C59),6)=0),(((75-'V06 Calend 01'!C59)/6)&lt;='V06 Calend 01'!E59)),IF((75=('V06 Calend 01'!C59+(6*'V06 Calend 01'!E59))),('V06 Calend 01'!H59-('V06 Calend 01'!I59*('V06 Calend 01'!E59-1))),'V06 Calend 01'!I59),0))+IF((75='V06 Calend 01'!D59),'V06 Calend 01'!J59,0))</f>
        <v>0</v>
      </c>
      <c r="CJ59" s="2">
        <f>((IF((76='V06 Calend 01'!C59),('V06 Calend 01'!F59+'V06 Calend 01'!G59),0)+IF(AND(('V06 Calend 01'!E59&gt;0),(76&gt;'V06 Calend 01'!C59),(76&lt;'V06 Calend 01'!D59),(MOD((76-'V06 Calend 01'!C59),6)=0),(((76-'V06 Calend 01'!C59)/6)&lt;='V06 Calend 01'!E59)),IF((76=('V06 Calend 01'!C59+(6*'V06 Calend 01'!E59))),('V06 Calend 01'!H59-('V06 Calend 01'!I59*('V06 Calend 01'!E59-1))),'V06 Calend 01'!I59),0))+IF((76='V06 Calend 01'!D59),'V06 Calend 01'!J59,0))</f>
        <v>0</v>
      </c>
      <c r="CK59" s="2">
        <f>((IF((77='V06 Calend 01'!C59),('V06 Calend 01'!F59+'V06 Calend 01'!G59),0)+IF(AND(('V06 Calend 01'!E59&gt;0),(77&gt;'V06 Calend 01'!C59),(77&lt;'V06 Calend 01'!D59),(MOD((77-'V06 Calend 01'!C59),6)=0),(((77-'V06 Calend 01'!C59)/6)&lt;='V06 Calend 01'!E59)),IF((77=('V06 Calend 01'!C59+(6*'V06 Calend 01'!E59))),('V06 Calend 01'!H59-('V06 Calend 01'!I59*('V06 Calend 01'!E59-1))),'V06 Calend 01'!I59),0))+IF((77='V06 Calend 01'!D59),'V06 Calend 01'!J59,0))</f>
        <v>0</v>
      </c>
      <c r="CL59" s="2">
        <f>((IF((78='V06 Calend 01'!C59),('V06 Calend 01'!F59+'V06 Calend 01'!G59),0)+IF(AND(('V06 Calend 01'!E59&gt;0),(78&gt;'V06 Calend 01'!C59),(78&lt;'V06 Calend 01'!D59),(MOD((78-'V06 Calend 01'!C59),6)=0),(((78-'V06 Calend 01'!C59)/6)&lt;='V06 Calend 01'!E59)),IF((78=('V06 Calend 01'!C59+(6*'V06 Calend 01'!E59))),('V06 Calend 01'!H59-('V06 Calend 01'!I59*('V06 Calend 01'!E59-1))),'V06 Calend 01'!I59),0))+IF((78='V06 Calend 01'!D59),'V06 Calend 01'!J59,0))</f>
        <v>0</v>
      </c>
      <c r="CM59" s="2">
        <f>((IF((79='V06 Calend 01'!C59),('V06 Calend 01'!F59+'V06 Calend 01'!G59),0)+IF(AND(('V06 Calend 01'!E59&gt;0),(79&gt;'V06 Calend 01'!C59),(79&lt;'V06 Calend 01'!D59),(MOD((79-'V06 Calend 01'!C59),6)=0),(((79-'V06 Calend 01'!C59)/6)&lt;='V06 Calend 01'!E59)),IF((79=('V06 Calend 01'!C59+(6*'V06 Calend 01'!E59))),('V06 Calend 01'!H59-('V06 Calend 01'!I59*('V06 Calend 01'!E59-1))),'V06 Calend 01'!I59),0))+IF((79='V06 Calend 01'!D59),'V06 Calend 01'!J59,0))</f>
        <v>0</v>
      </c>
      <c r="CN59" s="2">
        <f>((IF((80='V06 Calend 01'!C59),('V06 Calend 01'!F59+'V06 Calend 01'!G59),0)+IF(AND(('V06 Calend 01'!E59&gt;0),(80&gt;'V06 Calend 01'!C59),(80&lt;'V06 Calend 01'!D59),(MOD((80-'V06 Calend 01'!C59),6)=0),(((80-'V06 Calend 01'!C59)/6)&lt;='V06 Calend 01'!E59)),IF((80=('V06 Calend 01'!C59+(6*'V06 Calend 01'!E59))),('V06 Calend 01'!H59-('V06 Calend 01'!I59*('V06 Calend 01'!E59-1))),'V06 Calend 01'!I59),0))+IF((80='V06 Calend 01'!D59),'V06 Calend 01'!J59,0))</f>
        <v>0</v>
      </c>
      <c r="CO59" s="2">
        <f>((IF((81='V06 Calend 01'!C59),('V06 Calend 01'!F59+'V06 Calend 01'!G59),0)+IF(AND(('V06 Calend 01'!E59&gt;0),(81&gt;'V06 Calend 01'!C59),(81&lt;'V06 Calend 01'!D59),(MOD((81-'V06 Calend 01'!C59),6)=0),(((81-'V06 Calend 01'!C59)/6)&lt;='V06 Calend 01'!E59)),IF((81=('V06 Calend 01'!C59+(6*'V06 Calend 01'!E59))),('V06 Calend 01'!H59-('V06 Calend 01'!I59*('V06 Calend 01'!E59-1))),'V06 Calend 01'!I59),0))+IF((81='V06 Calend 01'!D59),'V06 Calend 01'!J59,0))</f>
        <v>0</v>
      </c>
      <c r="CP59" s="2">
        <f>((IF((82='V06 Calend 01'!C59),('V06 Calend 01'!F59+'V06 Calend 01'!G59),0)+IF(AND(('V06 Calend 01'!E59&gt;0),(82&gt;'V06 Calend 01'!C59),(82&lt;'V06 Calend 01'!D59),(MOD((82-'V06 Calend 01'!C59),6)=0),(((82-'V06 Calend 01'!C59)/6)&lt;='V06 Calend 01'!E59)),IF((82=('V06 Calend 01'!C59+(6*'V06 Calend 01'!E59))),('V06 Calend 01'!H59-('V06 Calend 01'!I59*('V06 Calend 01'!E59-1))),'V06 Calend 01'!I59),0))+IF((82='V06 Calend 01'!D59),'V06 Calend 01'!J59,0))</f>
        <v>0</v>
      </c>
      <c r="CQ59" s="2">
        <f>((IF((83='V06 Calend 01'!C59),('V06 Calend 01'!F59+'V06 Calend 01'!G59),0)+IF(AND(('V06 Calend 01'!E59&gt;0),(83&gt;'V06 Calend 01'!C59),(83&lt;'V06 Calend 01'!D59),(MOD((83-'V06 Calend 01'!C59),6)=0),(((83-'V06 Calend 01'!C59)/6)&lt;='V06 Calend 01'!E59)),IF((83=('V06 Calend 01'!C59+(6*'V06 Calend 01'!E59))),('V06 Calend 01'!H59-('V06 Calend 01'!I59*('V06 Calend 01'!E59-1))),'V06 Calend 01'!I59),0))+IF((83='V06 Calend 01'!D59),'V06 Calend 01'!J59,0))</f>
        <v>0</v>
      </c>
      <c r="CR59" s="2">
        <f>((IF((84='V06 Calend 01'!C59),('V06 Calend 01'!F59+'V06 Calend 01'!G59),0)+IF(AND(('V06 Calend 01'!E59&gt;0),(84&gt;'V06 Calend 01'!C59),(84&lt;'V06 Calend 01'!D59),(MOD((84-'V06 Calend 01'!C59),6)=0),(((84-'V06 Calend 01'!C59)/6)&lt;='V06 Calend 01'!E59)),IF((84=('V06 Calend 01'!C59+(6*'V06 Calend 01'!E59))),('V06 Calend 01'!H59-('V06 Calend 01'!I59*('V06 Calend 01'!E59-1))),'V06 Calend 01'!I59),0))+IF((84='V06 Calend 01'!D59),'V06 Calend 01'!J59,0))</f>
        <v>0</v>
      </c>
      <c r="CS59" s="2">
        <f>((IF((85='V06 Calend 01'!C59),('V06 Calend 01'!F59+'V06 Calend 01'!G59),0)+IF(AND(('V06 Calend 01'!E59&gt;0),(85&gt;'V06 Calend 01'!C59),(85&lt;'V06 Calend 01'!D59),(MOD((85-'V06 Calend 01'!C59),6)=0),(((85-'V06 Calend 01'!C59)/6)&lt;='V06 Calend 01'!E59)),IF((85=('V06 Calend 01'!C59+(6*'V06 Calend 01'!E59))),('V06 Calend 01'!H59-('V06 Calend 01'!I59*('V06 Calend 01'!E59-1))),'V06 Calend 01'!I59),0))+IF((85='V06 Calend 01'!D59),'V06 Calend 01'!J59,0))</f>
        <v>0</v>
      </c>
      <c r="CT59" s="2">
        <f>((IF((86='V06 Calend 01'!C59),('V06 Calend 01'!F59+'V06 Calend 01'!G59),0)+IF(AND(('V06 Calend 01'!E59&gt;0),(86&gt;'V06 Calend 01'!C59),(86&lt;'V06 Calend 01'!D59),(MOD((86-'V06 Calend 01'!C59),6)=0),(((86-'V06 Calend 01'!C59)/6)&lt;='V06 Calend 01'!E59)),IF((86=('V06 Calend 01'!C59+(6*'V06 Calend 01'!E59))),('V06 Calend 01'!H59-('V06 Calend 01'!I59*('V06 Calend 01'!E59-1))),'V06 Calend 01'!I59),0))+IF((86='V06 Calend 01'!D59),'V06 Calend 01'!J59,0))</f>
        <v>0</v>
      </c>
      <c r="CU59" s="2">
        <f>((IF((87='V06 Calend 01'!C59),('V06 Calend 01'!F59+'V06 Calend 01'!G59),0)+IF(AND(('V06 Calend 01'!E59&gt;0),(87&gt;'V06 Calend 01'!C59),(87&lt;'V06 Calend 01'!D59),(MOD((87-'V06 Calend 01'!C59),6)=0),(((87-'V06 Calend 01'!C59)/6)&lt;='V06 Calend 01'!E59)),IF((87=('V06 Calend 01'!C59+(6*'V06 Calend 01'!E59))),('V06 Calend 01'!H59-('V06 Calend 01'!I59*('V06 Calend 01'!E59-1))),'V06 Calend 01'!I59),0))+IF((87='V06 Calend 01'!D59),'V06 Calend 01'!J59,0))</f>
        <v>0</v>
      </c>
      <c r="CV59" s="2">
        <f>((IF((88='V06 Calend 01'!C59),('V06 Calend 01'!F59+'V06 Calend 01'!G59),0)+IF(AND(('V06 Calend 01'!E59&gt;0),(88&gt;'V06 Calend 01'!C59),(88&lt;'V06 Calend 01'!D59),(MOD((88-'V06 Calend 01'!C59),6)=0),(((88-'V06 Calend 01'!C59)/6)&lt;='V06 Calend 01'!E59)),IF((88=('V06 Calend 01'!C59+(6*'V06 Calend 01'!E59))),('V06 Calend 01'!H59-('V06 Calend 01'!I59*('V06 Calend 01'!E59-1))),'V06 Calend 01'!I59),0))+IF((88='V06 Calend 01'!D59),'V06 Calend 01'!J59,0))</f>
        <v>0</v>
      </c>
      <c r="CW59" s="2">
        <f>((IF((89='V06 Calend 01'!C59),('V06 Calend 01'!F59+'V06 Calend 01'!G59),0)+IF(AND(('V06 Calend 01'!E59&gt;0),(89&gt;'V06 Calend 01'!C59),(89&lt;'V06 Calend 01'!D59),(MOD((89-'V06 Calend 01'!C59),6)=0),(((89-'V06 Calend 01'!C59)/6)&lt;='V06 Calend 01'!E59)),IF((89=('V06 Calend 01'!C59+(6*'V06 Calend 01'!E59))),('V06 Calend 01'!H59-('V06 Calend 01'!I59*('V06 Calend 01'!E59-1))),'V06 Calend 01'!I59),0))+IF((89='V06 Calend 01'!D59),'V06 Calend 01'!J59,0))</f>
        <v>0</v>
      </c>
      <c r="CX59" s="2">
        <f>((IF((90='V06 Calend 01'!C59),('V06 Calend 01'!F59+'V06 Calend 01'!G59),0)+IF(AND(('V06 Calend 01'!E59&gt;0),(90&gt;'V06 Calend 01'!C59),(90&lt;'V06 Calend 01'!D59),(MOD((90-'V06 Calend 01'!C59),6)=0),(((90-'V06 Calend 01'!C59)/6)&lt;='V06 Calend 01'!E59)),IF((90=('V06 Calend 01'!C59+(6*'V06 Calend 01'!E59))),('V06 Calend 01'!H59-('V06 Calend 01'!I59*('V06 Calend 01'!E59-1))),'V06 Calend 01'!I59),0))+IF((90='V06 Calend 01'!D59),'V06 Calend 01'!J59,0))</f>
        <v>0</v>
      </c>
      <c r="CY59" s="2">
        <f>((IF((91='V06 Calend 01'!C59),('V06 Calend 01'!F59+'V06 Calend 01'!G59),0)+IF(AND(('V06 Calend 01'!E59&gt;0),(91&gt;'V06 Calend 01'!C59),(91&lt;'V06 Calend 01'!D59),(MOD((91-'V06 Calend 01'!C59),6)=0),(((91-'V06 Calend 01'!C59)/6)&lt;='V06 Calend 01'!E59)),IF((91=('V06 Calend 01'!C59+(6*'V06 Calend 01'!E59))),('V06 Calend 01'!H59-('V06 Calend 01'!I59*('V06 Calend 01'!E59-1))),'V06 Calend 01'!I59),0))+IF((91='V06 Calend 01'!D59),'V06 Calend 01'!J59,0))</f>
        <v>0</v>
      </c>
      <c r="CZ59" s="2">
        <f>((IF((92='V06 Calend 01'!C59),('V06 Calend 01'!F59+'V06 Calend 01'!G59),0)+IF(AND(('V06 Calend 01'!E59&gt;0),(92&gt;'V06 Calend 01'!C59),(92&lt;'V06 Calend 01'!D59),(MOD((92-'V06 Calend 01'!C59),6)=0),(((92-'V06 Calend 01'!C59)/6)&lt;='V06 Calend 01'!E59)),IF((92=('V06 Calend 01'!C59+(6*'V06 Calend 01'!E59))),('V06 Calend 01'!H59-('V06 Calend 01'!I59*('V06 Calend 01'!E59-1))),'V06 Calend 01'!I59),0))+IF((92='V06 Calend 01'!D59),'V06 Calend 01'!J59,0))</f>
        <v>0</v>
      </c>
      <c r="DA59" s="2">
        <f>((IF((93='V06 Calend 01'!C59),('V06 Calend 01'!F59+'V06 Calend 01'!G59),0)+IF(AND(('V06 Calend 01'!E59&gt;0),(93&gt;'V06 Calend 01'!C59),(93&lt;'V06 Calend 01'!D59),(MOD((93-'V06 Calend 01'!C59),6)=0),(((93-'V06 Calend 01'!C59)/6)&lt;='V06 Calend 01'!E59)),IF((93=('V06 Calend 01'!C59+(6*'V06 Calend 01'!E59))),('V06 Calend 01'!H59-('V06 Calend 01'!I59*('V06 Calend 01'!E59-1))),'V06 Calend 01'!I59),0))+IF((93='V06 Calend 01'!D59),'V06 Calend 01'!J59,0))</f>
        <v>0</v>
      </c>
      <c r="DB59" s="2">
        <f>((IF((94='V06 Calend 01'!C59),('V06 Calend 01'!F59+'V06 Calend 01'!G59),0)+IF(AND(('V06 Calend 01'!E59&gt;0),(94&gt;'V06 Calend 01'!C59),(94&lt;'V06 Calend 01'!D59),(MOD((94-'V06 Calend 01'!C59),6)=0),(((94-'V06 Calend 01'!C59)/6)&lt;='V06 Calend 01'!E59)),IF((94=('V06 Calend 01'!C59+(6*'V06 Calend 01'!E59))),('V06 Calend 01'!H59-('V06 Calend 01'!I59*('V06 Calend 01'!E59-1))),'V06 Calend 01'!I59),0))+IF((94='V06 Calend 01'!D59),'V06 Calend 01'!J59,0))</f>
        <v>0</v>
      </c>
      <c r="DC59" s="2">
        <f>((IF((95='V06 Calend 01'!C59),('V06 Calend 01'!F59+'V06 Calend 01'!G59),0)+IF(AND(('V06 Calend 01'!E59&gt;0),(95&gt;'V06 Calend 01'!C59),(95&lt;'V06 Calend 01'!D59),(MOD((95-'V06 Calend 01'!C59),6)=0),(((95-'V06 Calend 01'!C59)/6)&lt;='V06 Calend 01'!E59)),IF((95=('V06 Calend 01'!C59+(6*'V06 Calend 01'!E59))),('V06 Calend 01'!H59-('V06 Calend 01'!I59*('V06 Calend 01'!E59-1))),'V06 Calend 01'!I59),0))+IF((95='V06 Calend 01'!D59),'V06 Calend 01'!J59,0))</f>
        <v>0</v>
      </c>
      <c r="DD59" s="2">
        <f>((IF((96='V06 Calend 01'!C59),('V06 Calend 01'!F59+'V06 Calend 01'!G59),0)+IF(AND(('V06 Calend 01'!E59&gt;0),(96&gt;'V06 Calend 01'!C59),(96&lt;'V06 Calend 01'!D59),(MOD((96-'V06 Calend 01'!C59),6)=0),(((96-'V06 Calend 01'!C59)/6)&lt;='V06 Calend 01'!E59)),IF((96=('V06 Calend 01'!C59+(6*'V06 Calend 01'!E59))),('V06 Calend 01'!H59-('V06 Calend 01'!I59*('V06 Calend 01'!E59-1))),'V06 Calend 01'!I59),0))+IF((96='V06 Calend 01'!D59),'V06 Calend 01'!J59,0))</f>
        <v>0</v>
      </c>
      <c r="DE59" s="2">
        <f>((IF((97='V06 Calend 01'!C59),('V06 Calend 01'!F59+'V06 Calend 01'!G59),0)+IF(AND(('V06 Calend 01'!E59&gt;0),(97&gt;'V06 Calend 01'!C59),(97&lt;'V06 Calend 01'!D59),(MOD((97-'V06 Calend 01'!C59),6)=0),(((97-'V06 Calend 01'!C59)/6)&lt;='V06 Calend 01'!E59)),IF((97=('V06 Calend 01'!C59+(6*'V06 Calend 01'!E59))),('V06 Calend 01'!H59-('V06 Calend 01'!I59*('V06 Calend 01'!E59-1))),'V06 Calend 01'!I59),0))+IF((97='V06 Calend 01'!D59),'V06 Calend 01'!J59,0))</f>
        <v>0</v>
      </c>
      <c r="DF59" s="2">
        <f>((IF((98='V06 Calend 01'!C59),('V06 Calend 01'!F59+'V06 Calend 01'!G59),0)+IF(AND(('V06 Calend 01'!E59&gt;0),(98&gt;'V06 Calend 01'!C59),(98&lt;'V06 Calend 01'!D59),(MOD((98-'V06 Calend 01'!C59),6)=0),(((98-'V06 Calend 01'!C59)/6)&lt;='V06 Calend 01'!E59)),IF((98=('V06 Calend 01'!C59+(6*'V06 Calend 01'!E59))),('V06 Calend 01'!H59-('V06 Calend 01'!I59*('V06 Calend 01'!E59-1))),'V06 Calend 01'!I59),0))+IF((98='V06 Calend 01'!D59),'V06 Calend 01'!J59,0))</f>
        <v>0</v>
      </c>
      <c r="DG59" s="2">
        <f>((IF((99='V06 Calend 01'!C59),('V06 Calend 01'!F59+'V06 Calend 01'!G59),0)+IF(AND(('V06 Calend 01'!E59&gt;0),(99&gt;'V06 Calend 01'!C59),(99&lt;'V06 Calend 01'!D59),(MOD((99-'V06 Calend 01'!C59),6)=0),(((99-'V06 Calend 01'!C59)/6)&lt;='V06 Calend 01'!E59)),IF((99=('V06 Calend 01'!C59+(6*'V06 Calend 01'!E59))),('V06 Calend 01'!H59-('V06 Calend 01'!I59*('V06 Calend 01'!E59-1))),'V06 Calend 01'!I59),0))+IF((99='V06 Calend 01'!D59),'V06 Calend 01'!J59,0))</f>
        <v>0</v>
      </c>
      <c r="DH59" s="2">
        <f>((IF((100='V06 Calend 01'!C59),('V06 Calend 01'!F59+'V06 Calend 01'!G59),0)+IF(AND(('V06 Calend 01'!E59&gt;0),(100&gt;'V06 Calend 01'!C59),(100&lt;'V06 Calend 01'!D59),(MOD((100-'V06 Calend 01'!C59),6)=0),(((100-'V06 Calend 01'!C59)/6)&lt;='V06 Calend 01'!E59)),IF((100=('V06 Calend 01'!C59+(6*'V06 Calend 01'!E59))),('V06 Calend 01'!H59-('V06 Calend 01'!I59*('V06 Calend 01'!E59-1))),'V06 Calend 01'!I59),0))+IF((100='V06 Calend 01'!D59),'V06 Calend 01'!J59,0))</f>
        <v>0</v>
      </c>
      <c r="DI59" s="2">
        <f>((IF((101='V06 Calend 01'!C59),('V06 Calend 01'!F59+'V06 Calend 01'!G59),0)+IF(AND(('V06 Calend 01'!E59&gt;0),(101&gt;'V06 Calend 01'!C59),(101&lt;'V06 Calend 01'!D59),(MOD((101-'V06 Calend 01'!C59),6)=0),(((101-'V06 Calend 01'!C59)/6)&lt;='V06 Calend 01'!E59)),IF((101=('V06 Calend 01'!C59+(6*'V06 Calend 01'!E59))),('V06 Calend 01'!H59-('V06 Calend 01'!I59*('V06 Calend 01'!E59-1))),'V06 Calend 01'!I59),0))+IF((101='V06 Calend 01'!D59),'V06 Calend 01'!J59,0))</f>
        <v>0</v>
      </c>
      <c r="DJ59" s="2">
        <f>((IF((102='V06 Calend 01'!C59),('V06 Calend 01'!F59+'V06 Calend 01'!G59),0)+IF(AND(('V06 Calend 01'!E59&gt;0),(102&gt;'V06 Calend 01'!C59),(102&lt;'V06 Calend 01'!D59),(MOD((102-'V06 Calend 01'!C59),6)=0),(((102-'V06 Calend 01'!C59)/6)&lt;='V06 Calend 01'!E59)),IF((102=('V06 Calend 01'!C59+(6*'V06 Calend 01'!E59))),('V06 Calend 01'!H59-('V06 Calend 01'!I59*('V06 Calend 01'!E59-1))),'V06 Calend 01'!I59),0))+IF((102='V06 Calend 01'!D59),'V06 Calend 01'!J59,0))</f>
        <v>0</v>
      </c>
      <c r="DK59" s="2">
        <f>((IF((103='V06 Calend 01'!C59),('V06 Calend 01'!F59+'V06 Calend 01'!G59),0)+IF(AND(('V06 Calend 01'!E59&gt;0),(103&gt;'V06 Calend 01'!C59),(103&lt;'V06 Calend 01'!D59),(MOD((103-'V06 Calend 01'!C59),6)=0),(((103-'V06 Calend 01'!C59)/6)&lt;='V06 Calend 01'!E59)),IF((103=('V06 Calend 01'!C59+(6*'V06 Calend 01'!E59))),('V06 Calend 01'!H59-('V06 Calend 01'!I59*('V06 Calend 01'!E59-1))),'V06 Calend 01'!I59),0))+IF((103='V06 Calend 01'!D59),'V06 Calend 01'!J59,0))</f>
        <v>0</v>
      </c>
      <c r="DL59" s="2">
        <f>((IF((104='V06 Calend 01'!C59),('V06 Calend 01'!F59+'V06 Calend 01'!G59),0)+IF(AND(('V06 Calend 01'!E59&gt;0),(104&gt;'V06 Calend 01'!C59),(104&lt;'V06 Calend 01'!D59),(MOD((104-'V06 Calend 01'!C59),6)=0),(((104-'V06 Calend 01'!C59)/6)&lt;='V06 Calend 01'!E59)),IF((104=('V06 Calend 01'!C59+(6*'V06 Calend 01'!E59))),('V06 Calend 01'!H59-('V06 Calend 01'!I59*('V06 Calend 01'!E59-1))),'V06 Calend 01'!I59),0))+IF((104='V06 Calend 01'!D59),'V06 Calend 01'!J59,0))</f>
        <v>0</v>
      </c>
      <c r="DM59" s="2">
        <f>((IF((105='V06 Calend 01'!C59),('V06 Calend 01'!F59+'V06 Calend 01'!G59),0)+IF(AND(('V06 Calend 01'!E59&gt;0),(105&gt;'V06 Calend 01'!C59),(105&lt;'V06 Calend 01'!D59),(MOD((105-'V06 Calend 01'!C59),6)=0),(((105-'V06 Calend 01'!C59)/6)&lt;='V06 Calend 01'!E59)),IF((105=('V06 Calend 01'!C59+(6*'V06 Calend 01'!E59))),('V06 Calend 01'!H59-('V06 Calend 01'!I59*('V06 Calend 01'!E59-1))),'V06 Calend 01'!I59),0))+IF((105='V06 Calend 01'!D59),'V06 Calend 01'!J59,0))</f>
        <v>0</v>
      </c>
      <c r="DN59" s="2">
        <f>((IF((106='V06 Calend 01'!C59),('V06 Calend 01'!F59+'V06 Calend 01'!G59),0)+IF(AND(('V06 Calend 01'!E59&gt;0),(106&gt;'V06 Calend 01'!C59),(106&lt;'V06 Calend 01'!D59),(MOD((106-'V06 Calend 01'!C59),6)=0),(((106-'V06 Calend 01'!C59)/6)&lt;='V06 Calend 01'!E59)),IF((106=('V06 Calend 01'!C59+(6*'V06 Calend 01'!E59))),('V06 Calend 01'!H59-('V06 Calend 01'!I59*('V06 Calend 01'!E59-1))),'V06 Calend 01'!I59),0))+IF((106='V06 Calend 01'!D59),'V06 Calend 01'!J59,0))</f>
        <v>0</v>
      </c>
      <c r="DO59" s="2">
        <f>((IF((107='V06 Calend 01'!C59),('V06 Calend 01'!F59+'V06 Calend 01'!G59),0)+IF(AND(('V06 Calend 01'!E59&gt;0),(107&gt;'V06 Calend 01'!C59),(107&lt;'V06 Calend 01'!D59),(MOD((107-'V06 Calend 01'!C59),6)=0),(((107-'V06 Calend 01'!C59)/6)&lt;='V06 Calend 01'!E59)),IF((107=('V06 Calend 01'!C59+(6*'V06 Calend 01'!E59))),('V06 Calend 01'!H59-('V06 Calend 01'!I59*('V06 Calend 01'!E59-1))),'V06 Calend 01'!I59),0))+IF((107='V06 Calend 01'!D59),'V06 Calend 01'!J59,0))</f>
        <v>0</v>
      </c>
      <c r="DP59" s="2">
        <f>((IF((108='V06 Calend 01'!C59),('V06 Calend 01'!F59+'V06 Calend 01'!G59),0)+IF(AND(('V06 Calend 01'!E59&gt;0),(108&gt;'V06 Calend 01'!C59),(108&lt;'V06 Calend 01'!D59),(MOD((108-'V06 Calend 01'!C59),6)=0),(((108-'V06 Calend 01'!C59)/6)&lt;='V06 Calend 01'!E59)),IF((108=('V06 Calend 01'!C59+(6*'V06 Calend 01'!E59))),('V06 Calend 01'!H59-('V06 Calend 01'!I59*('V06 Calend 01'!E59-1))),'V06 Calend 01'!I59),0))+IF((108='V06 Calend 01'!D59),'V06 Calend 01'!J59,0))</f>
        <v>0</v>
      </c>
      <c r="DQ59" s="2">
        <f>((IF((109='V06 Calend 01'!C59),('V06 Calend 01'!F59+'V06 Calend 01'!G59),0)+IF(AND(('V06 Calend 01'!E59&gt;0),(109&gt;'V06 Calend 01'!C59),(109&lt;'V06 Calend 01'!D59),(MOD((109-'V06 Calend 01'!C59),6)=0),(((109-'V06 Calend 01'!C59)/6)&lt;='V06 Calend 01'!E59)),IF((109=('V06 Calend 01'!C59+(6*'V06 Calend 01'!E59))),('V06 Calend 01'!H59-('V06 Calend 01'!I59*('V06 Calend 01'!E59-1))),'V06 Calend 01'!I59),0))+IF((109='V06 Calend 01'!D59),'V06 Calend 01'!J59,0))</f>
        <v>0</v>
      </c>
      <c r="DR59" s="2">
        <f>((IF((110='V06 Calend 01'!C59),('V06 Calend 01'!F59+'V06 Calend 01'!G59),0)+IF(AND(('V06 Calend 01'!E59&gt;0),(110&gt;'V06 Calend 01'!C59),(110&lt;'V06 Calend 01'!D59),(MOD((110-'V06 Calend 01'!C59),6)=0),(((110-'V06 Calend 01'!C59)/6)&lt;='V06 Calend 01'!E59)),IF((110=('V06 Calend 01'!C59+(6*'V06 Calend 01'!E59))),('V06 Calend 01'!H59-('V06 Calend 01'!I59*('V06 Calend 01'!E59-1))),'V06 Calend 01'!I59),0))+IF((110='V06 Calend 01'!D59),'V06 Calend 01'!J59,0))</f>
        <v>0</v>
      </c>
      <c r="DS59" s="2">
        <f>((IF((111='V06 Calend 01'!C59),('V06 Calend 01'!F59+'V06 Calend 01'!G59),0)+IF(AND(('V06 Calend 01'!E59&gt;0),(111&gt;'V06 Calend 01'!C59),(111&lt;'V06 Calend 01'!D59),(MOD((111-'V06 Calend 01'!C59),6)=0),(((111-'V06 Calend 01'!C59)/6)&lt;='V06 Calend 01'!E59)),IF((111=('V06 Calend 01'!C59+(6*'V06 Calend 01'!E59))),('V06 Calend 01'!H59-('V06 Calend 01'!I59*('V06 Calend 01'!E59-1))),'V06 Calend 01'!I59),0))+IF((111='V06 Calend 01'!D59),'V06 Calend 01'!J59,0))</f>
        <v>0</v>
      </c>
      <c r="DT59" s="2">
        <f>((IF((112='V06 Calend 01'!C59),('V06 Calend 01'!F59+'V06 Calend 01'!G59),0)+IF(AND(('V06 Calend 01'!E59&gt;0),(112&gt;'V06 Calend 01'!C59),(112&lt;'V06 Calend 01'!D59),(MOD((112-'V06 Calend 01'!C59),6)=0),(((112-'V06 Calend 01'!C59)/6)&lt;='V06 Calend 01'!E59)),IF((112=('V06 Calend 01'!C59+(6*'V06 Calend 01'!E59))),('V06 Calend 01'!H59-('V06 Calend 01'!I59*('V06 Calend 01'!E59-1))),'V06 Calend 01'!I59),0))+IF((112='V06 Calend 01'!D59),'V06 Calend 01'!J59,0))</f>
        <v>0</v>
      </c>
      <c r="DU59" s="2">
        <f>((IF((113='V06 Calend 01'!C59),('V06 Calend 01'!F59+'V06 Calend 01'!G59),0)+IF(AND(('V06 Calend 01'!E59&gt;0),(113&gt;'V06 Calend 01'!C59),(113&lt;'V06 Calend 01'!D59),(MOD((113-'V06 Calend 01'!C59),6)=0),(((113-'V06 Calend 01'!C59)/6)&lt;='V06 Calend 01'!E59)),IF((113=('V06 Calend 01'!C59+(6*'V06 Calend 01'!E59))),('V06 Calend 01'!H59-('V06 Calend 01'!I59*('V06 Calend 01'!E59-1))),'V06 Calend 01'!I59),0))+IF((113='V06 Calend 01'!D59),'V06 Calend 01'!J59,0))</f>
        <v>0</v>
      </c>
      <c r="DV59" s="2">
        <f>((IF((114='V06 Calend 01'!C59),('V06 Calend 01'!F59+'V06 Calend 01'!G59),0)+IF(AND(('V06 Calend 01'!E59&gt;0),(114&gt;'V06 Calend 01'!C59),(114&lt;'V06 Calend 01'!D59),(MOD((114-'V06 Calend 01'!C59),6)=0),(((114-'V06 Calend 01'!C59)/6)&lt;='V06 Calend 01'!E59)),IF((114=('V06 Calend 01'!C59+(6*'V06 Calend 01'!E59))),('V06 Calend 01'!H59-('V06 Calend 01'!I59*('V06 Calend 01'!E59-1))),'V06 Calend 01'!I59),0))+IF((114='V06 Calend 01'!D59),'V06 Calend 01'!J59,0))</f>
        <v>0</v>
      </c>
      <c r="DW59" s="2">
        <f>((IF((115='V06 Calend 01'!C59),('V06 Calend 01'!F59+'V06 Calend 01'!G59),0)+IF(AND(('V06 Calend 01'!E59&gt;0),(115&gt;'V06 Calend 01'!C59),(115&lt;'V06 Calend 01'!D59),(MOD((115-'V06 Calend 01'!C59),6)=0),(((115-'V06 Calend 01'!C59)/6)&lt;='V06 Calend 01'!E59)),IF((115=('V06 Calend 01'!C59+(6*'V06 Calend 01'!E59))),('V06 Calend 01'!H59-('V06 Calend 01'!I59*('V06 Calend 01'!E59-1))),'V06 Calend 01'!I59),0))+IF((115='V06 Calend 01'!D59),'V06 Calend 01'!J59,0))</f>
        <v>0</v>
      </c>
      <c r="DX59" s="2">
        <f>((IF((116='V06 Calend 01'!C59),('V06 Calend 01'!F59+'V06 Calend 01'!G59),0)+IF(AND(('V06 Calend 01'!E59&gt;0),(116&gt;'V06 Calend 01'!C59),(116&lt;'V06 Calend 01'!D59),(MOD((116-'V06 Calend 01'!C59),6)=0),(((116-'V06 Calend 01'!C59)/6)&lt;='V06 Calend 01'!E59)),IF((116=('V06 Calend 01'!C59+(6*'V06 Calend 01'!E59))),('V06 Calend 01'!H59-('V06 Calend 01'!I59*('V06 Calend 01'!E59-1))),'V06 Calend 01'!I59),0))+IF((116='V06 Calend 01'!D59),'V06 Calend 01'!J59,0))</f>
        <v>0</v>
      </c>
      <c r="DY59" s="2">
        <f>((IF((117='V06 Calend 01'!C59),('V06 Calend 01'!F59+'V06 Calend 01'!G59),0)+IF(AND(('V06 Calend 01'!E59&gt;0),(117&gt;'V06 Calend 01'!C59),(117&lt;'V06 Calend 01'!D59),(MOD((117-'V06 Calend 01'!C59),6)=0),(((117-'V06 Calend 01'!C59)/6)&lt;='V06 Calend 01'!E59)),IF((117=('V06 Calend 01'!C59+(6*'V06 Calend 01'!E59))),('V06 Calend 01'!H59-('V06 Calend 01'!I59*('V06 Calend 01'!E59-1))),'V06 Calend 01'!I59),0))+IF((117='V06 Calend 01'!D59),'V06 Calend 01'!J59,0))</f>
        <v>0</v>
      </c>
      <c r="DZ59" s="2">
        <f>((IF((118='V06 Calend 01'!C59),('V06 Calend 01'!F59+'V06 Calend 01'!G59),0)+IF(AND(('V06 Calend 01'!E59&gt;0),(118&gt;'V06 Calend 01'!C59),(118&lt;'V06 Calend 01'!D59),(MOD((118-'V06 Calend 01'!C59),6)=0),(((118-'V06 Calend 01'!C59)/6)&lt;='V06 Calend 01'!E59)),IF((118=('V06 Calend 01'!C59+(6*'V06 Calend 01'!E59))),('V06 Calend 01'!H59-('V06 Calend 01'!I59*('V06 Calend 01'!E59-1))),'V06 Calend 01'!I59),0))+IF((118='V06 Calend 01'!D59),'V06 Calend 01'!J59,0))</f>
        <v>0</v>
      </c>
      <c r="EA59" s="2">
        <f>((IF((119='V06 Calend 01'!C59),('V06 Calend 01'!F59+'V06 Calend 01'!G59),0)+IF(AND(('V06 Calend 01'!E59&gt;0),(119&gt;'V06 Calend 01'!C59),(119&lt;'V06 Calend 01'!D59),(MOD((119-'V06 Calend 01'!C59),6)=0),(((119-'V06 Calend 01'!C59)/6)&lt;='V06 Calend 01'!E59)),IF((119=('V06 Calend 01'!C59+(6*'V06 Calend 01'!E59))),('V06 Calend 01'!H59-('V06 Calend 01'!I59*('V06 Calend 01'!E59-1))),'V06 Calend 01'!I59),0))+IF((119='V06 Calend 01'!D59),'V06 Calend 01'!J59,0))</f>
        <v>0</v>
      </c>
      <c r="EB59" s="2">
        <f>((IF((120='V06 Calend 01'!C59),('V06 Calend 01'!F59+'V06 Calend 01'!G59),0)+IF(AND(('V06 Calend 01'!E59&gt;0),(120&gt;'V06 Calend 01'!C59),(120&lt;'V06 Calend 01'!D59),(MOD((120-'V06 Calend 01'!C59),6)=0),(((120-'V06 Calend 01'!C59)/6)&lt;='V06 Calend 01'!E59)),IF((120=('V06 Calend 01'!C59+(6*'V06 Calend 01'!E59))),('V06 Calend 01'!H59-('V06 Calend 01'!I59*('V06 Calend 01'!E59-1))),'V06 Calend 01'!I59),0))+IF((120='V06 Calend 01'!D59),'V06 Calend 01'!J59,0))</f>
        <v>0</v>
      </c>
      <c r="EC59" s="2">
        <f>((IF((121='V06 Calend 01'!C59),('V06 Calend 01'!F59+'V06 Calend 01'!G59),0)+IF(AND(('V06 Calend 01'!E59&gt;0),(121&gt;'V06 Calend 01'!C59),(121&lt;'V06 Calend 01'!D59),(MOD((121-'V06 Calend 01'!C59),6)=0),(((121-'V06 Calend 01'!C59)/6)&lt;='V06 Calend 01'!E59)),IF((121=('V06 Calend 01'!C59+(6*'V06 Calend 01'!E59))),('V06 Calend 01'!H59-('V06 Calend 01'!I59*('V06 Calend 01'!E59-1))),'V06 Calend 01'!I59),0))+IF((121='V06 Calend 01'!D59),'V06 Calend 01'!J59,0))</f>
        <v>0</v>
      </c>
      <c r="ED59" s="2">
        <f>((IF((122='V06 Calend 01'!C59),('V06 Calend 01'!F59+'V06 Calend 01'!G59),0)+IF(AND(('V06 Calend 01'!E59&gt;0),(122&gt;'V06 Calend 01'!C59),(122&lt;'V06 Calend 01'!D59),(MOD((122-'V06 Calend 01'!C59),6)=0),(((122-'V06 Calend 01'!C59)/6)&lt;='V06 Calend 01'!E59)),IF((122=('V06 Calend 01'!C59+(6*'V06 Calend 01'!E59))),('V06 Calend 01'!H59-('V06 Calend 01'!I59*('V06 Calend 01'!E59-1))),'V06 Calend 01'!I59),0))+IF((122='V06 Calend 01'!D59),'V06 Calend 01'!J59,0))</f>
        <v>0</v>
      </c>
      <c r="EE59" s="2">
        <f>((IF((123='V06 Calend 01'!C59),('V06 Calend 01'!F59+'V06 Calend 01'!G59),0)+IF(AND(('V06 Calend 01'!E59&gt;0),(123&gt;'V06 Calend 01'!C59),(123&lt;'V06 Calend 01'!D59),(MOD((123-'V06 Calend 01'!C59),6)=0),(((123-'V06 Calend 01'!C59)/6)&lt;='V06 Calend 01'!E59)),IF((123=('V06 Calend 01'!C59+(6*'V06 Calend 01'!E59))),('V06 Calend 01'!H59-('V06 Calend 01'!I59*('V06 Calend 01'!E59-1))),'V06 Calend 01'!I59),0))+IF((123='V06 Calend 01'!D59),'V06 Calend 01'!J59,0))</f>
        <v>0</v>
      </c>
      <c r="EF59" s="2">
        <f>((IF((124='V06 Calend 01'!C59),('V06 Calend 01'!F59+'V06 Calend 01'!G59),0)+IF(AND(('V06 Calend 01'!E59&gt;0),(124&gt;'V06 Calend 01'!C59),(124&lt;'V06 Calend 01'!D59),(MOD((124-'V06 Calend 01'!C59),6)=0),(((124-'V06 Calend 01'!C59)/6)&lt;='V06 Calend 01'!E59)),IF((124=('V06 Calend 01'!C59+(6*'V06 Calend 01'!E59))),('V06 Calend 01'!H59-('V06 Calend 01'!I59*('V06 Calend 01'!E59-1))),'V06 Calend 01'!I59),0))+IF((124='V06 Calend 01'!D59),'V06 Calend 01'!J59,0))</f>
        <v>0</v>
      </c>
      <c r="EG59" s="2">
        <f>((IF((125='V06 Calend 01'!C59),('V06 Calend 01'!F59+'V06 Calend 01'!G59),0)+IF(AND(('V06 Calend 01'!E59&gt;0),(125&gt;'V06 Calend 01'!C59),(125&lt;'V06 Calend 01'!D59),(MOD((125-'V06 Calend 01'!C59),6)=0),(((125-'V06 Calend 01'!C59)/6)&lt;='V06 Calend 01'!E59)),IF((125=('V06 Calend 01'!C59+(6*'V06 Calend 01'!E59))),('V06 Calend 01'!H59-('V06 Calend 01'!I59*('V06 Calend 01'!E59-1))),'V06 Calend 01'!I59),0))+IF((125='V06 Calend 01'!D59),'V06 Calend 01'!J59,0))</f>
        <v>0</v>
      </c>
      <c r="EH59" s="2">
        <f>((IF((126='V06 Calend 01'!C59),('V06 Calend 01'!F59+'V06 Calend 01'!G59),0)+IF(AND(('V06 Calend 01'!E59&gt;0),(126&gt;'V06 Calend 01'!C59),(126&lt;'V06 Calend 01'!D59),(MOD((126-'V06 Calend 01'!C59),6)=0),(((126-'V06 Calend 01'!C59)/6)&lt;='V06 Calend 01'!E59)),IF((126=('V06 Calend 01'!C59+(6*'V06 Calend 01'!E59))),('V06 Calend 01'!H59-('V06 Calend 01'!I59*('V06 Calend 01'!E59-1))),'V06 Calend 01'!I59),0))+IF((126='V06 Calend 01'!D59),'V06 Calend 01'!J59,0))</f>
        <v>0</v>
      </c>
      <c r="EI59" s="2">
        <f>((IF((127='V06 Calend 01'!C59),('V06 Calend 01'!F59+'V06 Calend 01'!G59),0)+IF(AND(('V06 Calend 01'!E59&gt;0),(127&gt;'V06 Calend 01'!C59),(127&lt;'V06 Calend 01'!D59),(MOD((127-'V06 Calend 01'!C59),6)=0),(((127-'V06 Calend 01'!C59)/6)&lt;='V06 Calend 01'!E59)),IF((127=('V06 Calend 01'!C59+(6*'V06 Calend 01'!E59))),('V06 Calend 01'!H59-('V06 Calend 01'!I59*('V06 Calend 01'!E59-1))),'V06 Calend 01'!I59),0))+IF((127='V06 Calend 01'!D59),'V06 Calend 01'!J59,0))</f>
        <v>0</v>
      </c>
      <c r="EJ59" s="2">
        <f>((IF((128='V06 Calend 01'!C59),('V06 Calend 01'!F59+'V06 Calend 01'!G59),0)+IF(AND(('V06 Calend 01'!E59&gt;0),(128&gt;'V06 Calend 01'!C59),(128&lt;'V06 Calend 01'!D59),(MOD((128-'V06 Calend 01'!C59),6)=0),(((128-'V06 Calend 01'!C59)/6)&lt;='V06 Calend 01'!E59)),IF((128=('V06 Calend 01'!C59+(6*'V06 Calend 01'!E59))),('V06 Calend 01'!H59-('V06 Calend 01'!I59*('V06 Calend 01'!E59-1))),'V06 Calend 01'!I59),0))+IF((128='V06 Calend 01'!D59),'V06 Calend 01'!J59,0))</f>
        <v>0</v>
      </c>
      <c r="EK59" s="2">
        <f>((IF((129='V06 Calend 01'!C59),('V06 Calend 01'!F59+'V06 Calend 01'!G59),0)+IF(AND(('V06 Calend 01'!E59&gt;0),(129&gt;'V06 Calend 01'!C59),(129&lt;'V06 Calend 01'!D59),(MOD((129-'V06 Calend 01'!C59),6)=0),(((129-'V06 Calend 01'!C59)/6)&lt;='V06 Calend 01'!E59)),IF((129=('V06 Calend 01'!C59+(6*'V06 Calend 01'!E59))),('V06 Calend 01'!H59-('V06 Calend 01'!I59*('V06 Calend 01'!E59-1))),'V06 Calend 01'!I59),0))+IF((129='V06 Calend 01'!D59),'V06 Calend 01'!J59,0))</f>
        <v>0</v>
      </c>
      <c r="EL59" s="2">
        <f>((IF((130='V06 Calend 01'!C59),('V06 Calend 01'!F59+'V06 Calend 01'!G59),0)+IF(AND(('V06 Calend 01'!E59&gt;0),(130&gt;'V06 Calend 01'!C59),(130&lt;'V06 Calend 01'!D59),(MOD((130-'V06 Calend 01'!C59),6)=0),(((130-'V06 Calend 01'!C59)/6)&lt;='V06 Calend 01'!E59)),IF((130=('V06 Calend 01'!C59+(6*'V06 Calend 01'!E59))),('V06 Calend 01'!H59-('V06 Calend 01'!I59*('V06 Calend 01'!E59-1))),'V06 Calend 01'!I59),0))+IF((130='V06 Calend 01'!D59),'V06 Calend 01'!J59,0))</f>
        <v>0</v>
      </c>
      <c r="EM59" s="2">
        <f>((IF((131='V06 Calend 01'!C59),('V06 Calend 01'!F59+'V06 Calend 01'!G59),0)+IF(AND(('V06 Calend 01'!E59&gt;0),(131&gt;'V06 Calend 01'!C59),(131&lt;'V06 Calend 01'!D59),(MOD((131-'V06 Calend 01'!C59),6)=0),(((131-'V06 Calend 01'!C59)/6)&lt;='V06 Calend 01'!E59)),IF((131=('V06 Calend 01'!C59+(6*'V06 Calend 01'!E59))),('V06 Calend 01'!H59-('V06 Calend 01'!I59*('V06 Calend 01'!E59-1))),'V06 Calend 01'!I59),0))+IF((131='V06 Calend 01'!D59),'V06 Calend 01'!J59,0))</f>
        <v>0</v>
      </c>
      <c r="EN59" s="2">
        <f>((IF((132='V06 Calend 01'!C59),('V06 Calend 01'!F59+'V06 Calend 01'!G59),0)+IF(AND(('V06 Calend 01'!E59&gt;0),(132&gt;'V06 Calend 01'!C59),(132&lt;'V06 Calend 01'!D59),(MOD((132-'V06 Calend 01'!C59),6)=0),(((132-'V06 Calend 01'!C59)/6)&lt;='V06 Calend 01'!E59)),IF((132=('V06 Calend 01'!C59+(6*'V06 Calend 01'!E59))),('V06 Calend 01'!H59-('V06 Calend 01'!I59*('V06 Calend 01'!E59-1))),'V06 Calend 01'!I59),0))+IF((132='V06 Calend 01'!D59),'V06 Calend 01'!J59,0))</f>
        <v>0</v>
      </c>
      <c r="EO59" s="2">
        <f>((IF((133='V06 Calend 01'!C59),('V06 Calend 01'!F59+'V06 Calend 01'!G59),0)+IF(AND(('V06 Calend 01'!E59&gt;0),(133&gt;'V06 Calend 01'!C59),(133&lt;'V06 Calend 01'!D59),(MOD((133-'V06 Calend 01'!C59),6)=0),(((133-'V06 Calend 01'!C59)/6)&lt;='V06 Calend 01'!E59)),IF((133=('V06 Calend 01'!C59+(6*'V06 Calend 01'!E59))),('V06 Calend 01'!H59-('V06 Calend 01'!I59*('V06 Calend 01'!E59-1))),'V06 Calend 01'!I59),0))+IF((133='V06 Calend 01'!D59),'V06 Calend 01'!J59,0))</f>
        <v>0</v>
      </c>
      <c r="EP59" s="2">
        <f>((IF((134='V06 Calend 01'!C59),('V06 Calend 01'!F59+'V06 Calend 01'!G59),0)+IF(AND(('V06 Calend 01'!E59&gt;0),(134&gt;'V06 Calend 01'!C59),(134&lt;'V06 Calend 01'!D59),(MOD((134-'V06 Calend 01'!C59),6)=0),(((134-'V06 Calend 01'!C59)/6)&lt;='V06 Calend 01'!E59)),IF((134=('V06 Calend 01'!C59+(6*'V06 Calend 01'!E59))),('V06 Calend 01'!H59-('V06 Calend 01'!I59*('V06 Calend 01'!E59-1))),'V06 Calend 01'!I59),0))+IF((134='V06 Calend 01'!D59),'V06 Calend 01'!J59,0))</f>
        <v>0</v>
      </c>
      <c r="EQ59" s="2">
        <f>((IF((135='V06 Calend 01'!C59),('V06 Calend 01'!F59+'V06 Calend 01'!G59),0)+IF(AND(('V06 Calend 01'!E59&gt;0),(135&gt;'V06 Calend 01'!C59),(135&lt;'V06 Calend 01'!D59),(MOD((135-'V06 Calend 01'!C59),6)=0),(((135-'V06 Calend 01'!C59)/6)&lt;='V06 Calend 01'!E59)),IF((135=('V06 Calend 01'!C59+(6*'V06 Calend 01'!E59))),('V06 Calend 01'!H59-('V06 Calend 01'!I59*('V06 Calend 01'!E59-1))),'V06 Calend 01'!I59),0))+IF((135='V06 Calend 01'!D59),'V06 Calend 01'!J59,0))</f>
        <v>0</v>
      </c>
      <c r="ER59" s="2">
        <f>((IF((136='V06 Calend 01'!C59),('V06 Calend 01'!F59+'V06 Calend 01'!G59),0)+IF(AND(('V06 Calend 01'!E59&gt;0),(136&gt;'V06 Calend 01'!C59),(136&lt;'V06 Calend 01'!D59),(MOD((136-'V06 Calend 01'!C59),6)=0),(((136-'V06 Calend 01'!C59)/6)&lt;='V06 Calend 01'!E59)),IF((136=('V06 Calend 01'!C59+(6*'V06 Calend 01'!E59))),('V06 Calend 01'!H59-('V06 Calend 01'!I59*('V06 Calend 01'!E59-1))),'V06 Calend 01'!I59),0))+IF((136='V06 Calend 01'!D59),'V06 Calend 01'!J59,0))</f>
        <v>0</v>
      </c>
      <c r="ES59" s="2">
        <f>((IF((137='V06 Calend 01'!C59),('V06 Calend 01'!F59+'V06 Calend 01'!G59),0)+IF(AND(('V06 Calend 01'!E59&gt;0),(137&gt;'V06 Calend 01'!C59),(137&lt;'V06 Calend 01'!D59),(MOD((137-'V06 Calend 01'!C59),6)=0),(((137-'V06 Calend 01'!C59)/6)&lt;='V06 Calend 01'!E59)),IF((137=('V06 Calend 01'!C59+(6*'V06 Calend 01'!E59))),('V06 Calend 01'!H59-('V06 Calend 01'!I59*('V06 Calend 01'!E59-1))),'V06 Calend 01'!I59),0))+IF((137='V06 Calend 01'!D59),'V06 Calend 01'!J59,0))</f>
        <v>0</v>
      </c>
      <c r="ET59" s="2">
        <f>((IF((138='V06 Calend 01'!C59),('V06 Calend 01'!F59+'V06 Calend 01'!G59),0)+IF(AND(('V06 Calend 01'!E59&gt;0),(138&gt;'V06 Calend 01'!C59),(138&lt;'V06 Calend 01'!D59),(MOD((138-'V06 Calend 01'!C59),6)=0),(((138-'V06 Calend 01'!C59)/6)&lt;='V06 Calend 01'!E59)),IF((138=('V06 Calend 01'!C59+(6*'V06 Calend 01'!E59))),('V06 Calend 01'!H59-('V06 Calend 01'!I59*('V06 Calend 01'!E59-1))),'V06 Calend 01'!I59),0))+IF((138='V06 Calend 01'!D59),'V06 Calend 01'!J59,0))</f>
        <v>0</v>
      </c>
      <c r="EU59" s="2">
        <f>((IF((139='V06 Calend 01'!C59),('V06 Calend 01'!F59+'V06 Calend 01'!G59),0)+IF(AND(('V06 Calend 01'!E59&gt;0),(139&gt;'V06 Calend 01'!C59),(139&lt;'V06 Calend 01'!D59),(MOD((139-'V06 Calend 01'!C59),6)=0),(((139-'V06 Calend 01'!C59)/6)&lt;='V06 Calend 01'!E59)),IF((139=('V06 Calend 01'!C59+(6*'V06 Calend 01'!E59))),('V06 Calend 01'!H59-('V06 Calend 01'!I59*('V06 Calend 01'!E59-1))),'V06 Calend 01'!I59),0))+IF((139='V06 Calend 01'!D59),'V06 Calend 01'!J59,0))</f>
        <v>0</v>
      </c>
      <c r="EV59" s="2">
        <f>((IF((140='V06 Calend 01'!C59),('V06 Calend 01'!F59+'V06 Calend 01'!G59),0)+IF(AND(('V06 Calend 01'!E59&gt;0),(140&gt;'V06 Calend 01'!C59),(140&lt;'V06 Calend 01'!D59),(MOD((140-'V06 Calend 01'!C59),6)=0),(((140-'V06 Calend 01'!C59)/6)&lt;='V06 Calend 01'!E59)),IF((140=('V06 Calend 01'!C59+(6*'V06 Calend 01'!E59))),('V06 Calend 01'!H59-('V06 Calend 01'!I59*('V06 Calend 01'!E59-1))),'V06 Calend 01'!I59),0))+IF((140='V06 Calend 01'!D59),'V06 Calend 01'!J59,0))</f>
        <v>0</v>
      </c>
      <c r="EW59" s="2">
        <f>((IF((141='V06 Calend 01'!C59),('V06 Calend 01'!F59+'V06 Calend 01'!G59),0)+IF(AND(('V06 Calend 01'!E59&gt;0),(141&gt;'V06 Calend 01'!C59),(141&lt;'V06 Calend 01'!D59),(MOD((141-'V06 Calend 01'!C59),6)=0),(((141-'V06 Calend 01'!C59)/6)&lt;='V06 Calend 01'!E59)),IF((141=('V06 Calend 01'!C59+(6*'V06 Calend 01'!E59))),('V06 Calend 01'!H59-('V06 Calend 01'!I59*('V06 Calend 01'!E59-1))),'V06 Calend 01'!I59),0))+IF((141='V06 Calend 01'!D59),'V06 Calend 01'!J59,0))</f>
        <v>0</v>
      </c>
      <c r="EX59" s="2">
        <f>((IF((142='V06 Calend 01'!C59),('V06 Calend 01'!F59+'V06 Calend 01'!G59),0)+IF(AND(('V06 Calend 01'!E59&gt;0),(142&gt;'V06 Calend 01'!C59),(142&lt;'V06 Calend 01'!D59),(MOD((142-'V06 Calend 01'!C59),6)=0),(((142-'V06 Calend 01'!C59)/6)&lt;='V06 Calend 01'!E59)),IF((142=('V06 Calend 01'!C59+(6*'V06 Calend 01'!E59))),('V06 Calend 01'!H59-('V06 Calend 01'!I59*('V06 Calend 01'!E59-1))),'V06 Calend 01'!I59),0))+IF((142='V06 Calend 01'!D59),'V06 Calend 01'!J59,0))</f>
        <v>0</v>
      </c>
      <c r="EY59" s="2">
        <f>((IF((143='V06 Calend 01'!C59),('V06 Calend 01'!F59+'V06 Calend 01'!G59),0)+IF(AND(('V06 Calend 01'!E59&gt;0),(143&gt;'V06 Calend 01'!C59),(143&lt;'V06 Calend 01'!D59),(MOD((143-'V06 Calend 01'!C59),6)=0),(((143-'V06 Calend 01'!C59)/6)&lt;='V06 Calend 01'!E59)),IF((143=('V06 Calend 01'!C59+(6*'V06 Calend 01'!E59))),('V06 Calend 01'!H59-('V06 Calend 01'!I59*('V06 Calend 01'!E59-1))),'V06 Calend 01'!I59),0))+IF((143='V06 Calend 01'!D59),'V06 Calend 01'!J59,0))</f>
        <v>0</v>
      </c>
      <c r="EZ59" s="2">
        <f>((IF((144='V06 Calend 01'!C59),('V06 Calend 01'!F59+'V06 Calend 01'!G59),0)+IF(AND(('V06 Calend 01'!E59&gt;0),(144&gt;'V06 Calend 01'!C59),(144&lt;'V06 Calend 01'!D59),(MOD((144-'V06 Calend 01'!C59),6)=0),(((144-'V06 Calend 01'!C59)/6)&lt;='V06 Calend 01'!E59)),IF((144=('V06 Calend 01'!C59+(6*'V06 Calend 01'!E59))),('V06 Calend 01'!H59-('V06 Calend 01'!I59*('V06 Calend 01'!E59-1))),'V06 Calend 01'!I59),0))+IF((144='V06 Calend 01'!D59),'V06 Calend 01'!J59,0))</f>
        <v>0</v>
      </c>
      <c r="FA59" s="2">
        <f>((IF((145='V06 Calend 01'!C59),('V06 Calend 01'!F59+'V06 Calend 01'!G59),0)+IF(AND(('V06 Calend 01'!E59&gt;0),(145&gt;'V06 Calend 01'!C59),(145&lt;'V06 Calend 01'!D59),(MOD((145-'V06 Calend 01'!C59),6)=0),(((145-'V06 Calend 01'!C59)/6)&lt;='V06 Calend 01'!E59)),IF((145=('V06 Calend 01'!C59+(6*'V06 Calend 01'!E59))),('V06 Calend 01'!H59-('V06 Calend 01'!I59*('V06 Calend 01'!E59-1))),'V06 Calend 01'!I59),0))+IF((145='V06 Calend 01'!D59),'V06 Calend 01'!J59,0))</f>
        <v>0</v>
      </c>
      <c r="FB59" s="2">
        <f>((IF((146='V06 Calend 01'!C59),('V06 Calend 01'!F59+'V06 Calend 01'!G59),0)+IF(AND(('V06 Calend 01'!E59&gt;0),(146&gt;'V06 Calend 01'!C59),(146&lt;'V06 Calend 01'!D59),(MOD((146-'V06 Calend 01'!C59),6)=0),(((146-'V06 Calend 01'!C59)/6)&lt;='V06 Calend 01'!E59)),IF((146=('V06 Calend 01'!C59+(6*'V06 Calend 01'!E59))),('V06 Calend 01'!H59-('V06 Calend 01'!I59*('V06 Calend 01'!E59-1))),'V06 Calend 01'!I59),0))+IF((146='V06 Calend 01'!D59),'V06 Calend 01'!J59,0))</f>
        <v>0</v>
      </c>
      <c r="FC59" s="2">
        <f>((IF((147='V06 Calend 01'!C59),('V06 Calend 01'!F59+'V06 Calend 01'!G59),0)+IF(AND(('V06 Calend 01'!E59&gt;0),(147&gt;'V06 Calend 01'!C59),(147&lt;'V06 Calend 01'!D59),(MOD((147-'V06 Calend 01'!C59),6)=0),(((147-'V06 Calend 01'!C59)/6)&lt;='V06 Calend 01'!E59)),IF((147=('V06 Calend 01'!C59+(6*'V06 Calend 01'!E59))),('V06 Calend 01'!H59-('V06 Calend 01'!I59*('V06 Calend 01'!E59-1))),'V06 Calend 01'!I59),0))+IF((147='V06 Calend 01'!D59),'V06 Calend 01'!J59,0))</f>
        <v>0</v>
      </c>
      <c r="FD59" s="2">
        <f>((IF((148='V06 Calend 01'!C59),('V06 Calend 01'!F59+'V06 Calend 01'!G59),0)+IF(AND(('V06 Calend 01'!E59&gt;0),(148&gt;'V06 Calend 01'!C59),(148&lt;'V06 Calend 01'!D59),(MOD((148-'V06 Calend 01'!C59),6)=0),(((148-'V06 Calend 01'!C59)/6)&lt;='V06 Calend 01'!E59)),IF((148=('V06 Calend 01'!C59+(6*'V06 Calend 01'!E59))),('V06 Calend 01'!H59-('V06 Calend 01'!I59*('V06 Calend 01'!E59-1))),'V06 Calend 01'!I59),0))+IF((148='V06 Calend 01'!D59),'V06 Calend 01'!J59,0))</f>
        <v>0</v>
      </c>
      <c r="FE59" s="2">
        <f>((IF((149='V06 Calend 01'!C59),('V06 Calend 01'!F59+'V06 Calend 01'!G59),0)+IF(AND(('V06 Calend 01'!E59&gt;0),(149&gt;'V06 Calend 01'!C59),(149&lt;'V06 Calend 01'!D59),(MOD((149-'V06 Calend 01'!C59),6)=0),(((149-'V06 Calend 01'!C59)/6)&lt;='V06 Calend 01'!E59)),IF((149=('V06 Calend 01'!C59+(6*'V06 Calend 01'!E59))),('V06 Calend 01'!H59-('V06 Calend 01'!I59*('V06 Calend 01'!E59-1))),'V06 Calend 01'!I59),0))+IF((149='V06 Calend 01'!D59),'V06 Calend 01'!J59,0))</f>
        <v>0</v>
      </c>
      <c r="FF59" s="2">
        <f>((IF((150='V06 Calend 01'!C59),('V06 Calend 01'!F59+'V06 Calend 01'!G59),0)+IF(AND(('V06 Calend 01'!E59&gt;0),(150&gt;'V06 Calend 01'!C59),(150&lt;'V06 Calend 01'!D59),(MOD((150-'V06 Calend 01'!C59),6)=0),(((150-'V06 Calend 01'!C59)/6)&lt;='V06 Calend 01'!E59)),IF((150=('V06 Calend 01'!C59+(6*'V06 Calend 01'!E59))),('V06 Calend 01'!H59-('V06 Calend 01'!I59*('V06 Calend 01'!E59-1))),'V06 Calend 01'!I59),0))+IF((150='V06 Calend 01'!D59),'V06 Calend 01'!J59,0))</f>
        <v>0</v>
      </c>
      <c r="FG59" s="2">
        <f>((IF((151='V06 Calend 01'!C59),('V06 Calend 01'!F59+'V06 Calend 01'!G59),0)+IF(AND(('V06 Calend 01'!E59&gt;0),(151&gt;'V06 Calend 01'!C59),(151&lt;'V06 Calend 01'!D59),(MOD((151-'V06 Calend 01'!C59),6)=0),(((151-'V06 Calend 01'!C59)/6)&lt;='V06 Calend 01'!E59)),IF((151=('V06 Calend 01'!C59+(6*'V06 Calend 01'!E59))),('V06 Calend 01'!H59-('V06 Calend 01'!I59*('V06 Calend 01'!E59-1))),'V06 Calend 01'!I59),0))+IF((151='V06 Calend 01'!D59),'V06 Calend 01'!J59,0))</f>
        <v>0</v>
      </c>
      <c r="FH59" s="2">
        <f>((IF((152='V06 Calend 01'!C59),('V06 Calend 01'!F59+'V06 Calend 01'!G59),0)+IF(AND(('V06 Calend 01'!E59&gt;0),(152&gt;'V06 Calend 01'!C59),(152&lt;'V06 Calend 01'!D59),(MOD((152-'V06 Calend 01'!C59),6)=0),(((152-'V06 Calend 01'!C59)/6)&lt;='V06 Calend 01'!E59)),IF((152=('V06 Calend 01'!C59+(6*'V06 Calend 01'!E59))),('V06 Calend 01'!H59-('V06 Calend 01'!I59*('V06 Calend 01'!E59-1))),'V06 Calend 01'!I59),0))+IF((152='V06 Calend 01'!D59),'V06 Calend 01'!J59,0))</f>
        <v>0</v>
      </c>
      <c r="FI59" s="2">
        <f>((IF((153='V06 Calend 01'!C59),('V06 Calend 01'!F59+'V06 Calend 01'!G59),0)+IF(AND(('V06 Calend 01'!E59&gt;0),(153&gt;'V06 Calend 01'!C59),(153&lt;'V06 Calend 01'!D59),(MOD((153-'V06 Calend 01'!C59),6)=0),(((153-'V06 Calend 01'!C59)/6)&lt;='V06 Calend 01'!E59)),IF((153=('V06 Calend 01'!C59+(6*'V06 Calend 01'!E59))),('V06 Calend 01'!H59-('V06 Calend 01'!I59*('V06 Calend 01'!E59-1))),'V06 Calend 01'!I59),0))+IF((153='V06 Calend 01'!D59),'V06 Calend 01'!J59,0))</f>
        <v>0</v>
      </c>
      <c r="FJ59" s="2">
        <f>((IF((154='V06 Calend 01'!C59),('V06 Calend 01'!F59+'V06 Calend 01'!G59),0)+IF(AND(('V06 Calend 01'!E59&gt;0),(154&gt;'V06 Calend 01'!C59),(154&lt;'V06 Calend 01'!D59),(MOD((154-'V06 Calend 01'!C59),6)=0),(((154-'V06 Calend 01'!C59)/6)&lt;='V06 Calend 01'!E59)),IF((154=('V06 Calend 01'!C59+(6*'V06 Calend 01'!E59))),('V06 Calend 01'!H59-('V06 Calend 01'!I59*('V06 Calend 01'!E59-1))),'V06 Calend 01'!I59),0))+IF((154='V06 Calend 01'!D59),'V06 Calend 01'!J59,0))</f>
        <v>0</v>
      </c>
      <c r="FK59" s="2">
        <f>((IF((155='V06 Calend 01'!C59),('V06 Calend 01'!F59+'V06 Calend 01'!G59),0)+IF(AND(('V06 Calend 01'!E59&gt;0),(155&gt;'V06 Calend 01'!C59),(155&lt;'V06 Calend 01'!D59),(MOD((155-'V06 Calend 01'!C59),6)=0),(((155-'V06 Calend 01'!C59)/6)&lt;='V06 Calend 01'!E59)),IF((155=('V06 Calend 01'!C59+(6*'V06 Calend 01'!E59))),('V06 Calend 01'!H59-('V06 Calend 01'!I59*('V06 Calend 01'!E59-1))),'V06 Calend 01'!I59),0))+IF((155='V06 Calend 01'!D59),'V06 Calend 01'!J59,0))</f>
        <v>0</v>
      </c>
      <c r="FL59" s="2">
        <f>((IF((156='V06 Calend 01'!C59),('V06 Calend 01'!F59+'V06 Calend 01'!G59),0)+IF(AND(('V06 Calend 01'!E59&gt;0),(156&gt;'V06 Calend 01'!C59),(156&lt;'V06 Calend 01'!D59),(MOD((156-'V06 Calend 01'!C59),6)=0),(((156-'V06 Calend 01'!C59)/6)&lt;='V06 Calend 01'!E59)),IF((156=('V06 Calend 01'!C59+(6*'V06 Calend 01'!E59))),('V06 Calend 01'!H59-('V06 Calend 01'!I59*('V06 Calend 01'!E59-1))),'V06 Calend 01'!I59),0))+IF((156='V06 Calend 01'!D59),'V06 Calend 01'!J59,0))</f>
        <v>0</v>
      </c>
      <c r="FM59" s="2">
        <f>((IF((157='V06 Calend 01'!C59),('V06 Calend 01'!F59+'V06 Calend 01'!G59),0)+IF(AND(('V06 Calend 01'!E59&gt;0),(157&gt;'V06 Calend 01'!C59),(157&lt;'V06 Calend 01'!D59),(MOD((157-'V06 Calend 01'!C59),6)=0),(((157-'V06 Calend 01'!C59)/6)&lt;='V06 Calend 01'!E59)),IF((157=('V06 Calend 01'!C59+(6*'V06 Calend 01'!E59))),('V06 Calend 01'!H59-('V06 Calend 01'!I59*('V06 Calend 01'!E59-1))),'V06 Calend 01'!I59),0))+IF((157='V06 Calend 01'!D59),'V06 Calend 01'!J59,0))</f>
        <v>0</v>
      </c>
      <c r="FN59" s="2">
        <f>((IF((158='V06 Calend 01'!C59),('V06 Calend 01'!F59+'V06 Calend 01'!G59),0)+IF(AND(('V06 Calend 01'!E59&gt;0),(158&gt;'V06 Calend 01'!C59),(158&lt;'V06 Calend 01'!D59),(MOD((158-'V06 Calend 01'!C59),6)=0),(((158-'V06 Calend 01'!C59)/6)&lt;='V06 Calend 01'!E59)),IF((158=('V06 Calend 01'!C59+(6*'V06 Calend 01'!E59))),('V06 Calend 01'!H59-('V06 Calend 01'!I59*('V06 Calend 01'!E59-1))),'V06 Calend 01'!I59),0))+IF((158='V06 Calend 01'!D59),'V06 Calend 01'!J59,0))</f>
        <v>0</v>
      </c>
      <c r="FO59" s="2">
        <f>((IF((159='V06 Calend 01'!C59),('V06 Calend 01'!F59+'V06 Calend 01'!G59),0)+IF(AND(('V06 Calend 01'!E59&gt;0),(159&gt;'V06 Calend 01'!C59),(159&lt;'V06 Calend 01'!D59),(MOD((159-'V06 Calend 01'!C59),6)=0),(((159-'V06 Calend 01'!C59)/6)&lt;='V06 Calend 01'!E59)),IF((159=('V06 Calend 01'!C59+(6*'V06 Calend 01'!E59))),('V06 Calend 01'!H59-('V06 Calend 01'!I59*('V06 Calend 01'!E59-1))),'V06 Calend 01'!I59),0))+IF((159='V06 Calend 01'!D59),'V06 Calend 01'!J59,0))</f>
        <v>0</v>
      </c>
      <c r="FP59" s="2">
        <f>((IF((160='V06 Calend 01'!C59),('V06 Calend 01'!F59+'V06 Calend 01'!G59),0)+IF(AND(('V06 Calend 01'!E59&gt;0),(160&gt;'V06 Calend 01'!C59),(160&lt;'V06 Calend 01'!D59),(MOD((160-'V06 Calend 01'!C59),6)=0),(((160-'V06 Calend 01'!C59)/6)&lt;='V06 Calend 01'!E59)),IF((160=('V06 Calend 01'!C59+(6*'V06 Calend 01'!E59))),('V06 Calend 01'!H59-('V06 Calend 01'!I59*('V06 Calend 01'!E59-1))),'V06 Calend 01'!I59),0))+IF((160='V06 Calend 01'!D59),'V06 Calend 01'!J59,0))</f>
        <v>0</v>
      </c>
      <c r="FQ59" s="2">
        <f>((IF((161='V06 Calend 01'!C59),('V06 Calend 01'!F59+'V06 Calend 01'!G59),0)+IF(AND(('V06 Calend 01'!E59&gt;0),(161&gt;'V06 Calend 01'!C59),(161&lt;'V06 Calend 01'!D59),(MOD((161-'V06 Calend 01'!C59),6)=0),(((161-'V06 Calend 01'!C59)/6)&lt;='V06 Calend 01'!E59)),IF((161=('V06 Calend 01'!C59+(6*'V06 Calend 01'!E59))),('V06 Calend 01'!H59-('V06 Calend 01'!I59*('V06 Calend 01'!E59-1))),'V06 Calend 01'!I59),0))+IF((161='V06 Calend 01'!D59),'V06 Calend 01'!J59,0))</f>
        <v>0</v>
      </c>
      <c r="FR59" s="2">
        <f>((IF((162='V06 Calend 01'!C59),('V06 Calend 01'!F59+'V06 Calend 01'!G59),0)+IF(AND(('V06 Calend 01'!E59&gt;0),(162&gt;'V06 Calend 01'!C59),(162&lt;'V06 Calend 01'!D59),(MOD((162-'V06 Calend 01'!C59),6)=0),(((162-'V06 Calend 01'!C59)/6)&lt;='V06 Calend 01'!E59)),IF((162=('V06 Calend 01'!C59+(6*'V06 Calend 01'!E59))),('V06 Calend 01'!H59-('V06 Calend 01'!I59*('V06 Calend 01'!E59-1))),'V06 Calend 01'!I59),0))+IF((162='V06 Calend 01'!D59),'V06 Calend 01'!J59,0))</f>
        <v>0</v>
      </c>
      <c r="FS59" s="2">
        <f>((IF((163='V06 Calend 01'!C59),('V06 Calend 01'!F59+'V06 Calend 01'!G59),0)+IF(AND(('V06 Calend 01'!E59&gt;0),(163&gt;'V06 Calend 01'!C59),(163&lt;'V06 Calend 01'!D59),(MOD((163-'V06 Calend 01'!C59),6)=0),(((163-'V06 Calend 01'!C59)/6)&lt;='V06 Calend 01'!E59)),IF((163=('V06 Calend 01'!C59+(6*'V06 Calend 01'!E59))),('V06 Calend 01'!H59-('V06 Calend 01'!I59*('V06 Calend 01'!E59-1))),'V06 Calend 01'!I59),0))+IF((163='V06 Calend 01'!D59),'V06 Calend 01'!J59,0))</f>
        <v>0</v>
      </c>
      <c r="FT59" s="2">
        <f>((IF((164='V06 Calend 01'!C59),('V06 Calend 01'!F59+'V06 Calend 01'!G59),0)+IF(AND(('V06 Calend 01'!E59&gt;0),(164&gt;'V06 Calend 01'!C59),(164&lt;'V06 Calend 01'!D59),(MOD((164-'V06 Calend 01'!C59),6)=0),(((164-'V06 Calend 01'!C59)/6)&lt;='V06 Calend 01'!E59)),IF((164=('V06 Calend 01'!C59+(6*'V06 Calend 01'!E59))),('V06 Calend 01'!H59-('V06 Calend 01'!I59*('V06 Calend 01'!E59-1))),'V06 Calend 01'!I59),0))+IF((164='V06 Calend 01'!D59),'V06 Calend 01'!J59,0))</f>
        <v>0</v>
      </c>
      <c r="FU59" s="2">
        <f>((IF((165='V06 Calend 01'!C59),('V06 Calend 01'!F59+'V06 Calend 01'!G59),0)+IF(AND(('V06 Calend 01'!E59&gt;0),(165&gt;'V06 Calend 01'!C59),(165&lt;'V06 Calend 01'!D59),(MOD((165-'V06 Calend 01'!C59),6)=0),(((165-'V06 Calend 01'!C59)/6)&lt;='V06 Calend 01'!E59)),IF((165=('V06 Calend 01'!C59+(6*'V06 Calend 01'!E59))),('V06 Calend 01'!H59-('V06 Calend 01'!I59*('V06 Calend 01'!E59-1))),'V06 Calend 01'!I59),0))+IF((165='V06 Calend 01'!D59),'V06 Calend 01'!J59,0))</f>
        <v>0</v>
      </c>
      <c r="FV59" s="2">
        <f>((IF((166='V06 Calend 01'!C59),('V06 Calend 01'!F59+'V06 Calend 01'!G59),0)+IF(AND(('V06 Calend 01'!E59&gt;0),(166&gt;'V06 Calend 01'!C59),(166&lt;'V06 Calend 01'!D59),(MOD((166-'V06 Calend 01'!C59),6)=0),(((166-'V06 Calend 01'!C59)/6)&lt;='V06 Calend 01'!E59)),IF((166=('V06 Calend 01'!C59+(6*'V06 Calend 01'!E59))),('V06 Calend 01'!H59-('V06 Calend 01'!I59*('V06 Calend 01'!E59-1))),'V06 Calend 01'!I59),0))+IF((166='V06 Calend 01'!D59),'V06 Calend 01'!J59,0))</f>
        <v>0</v>
      </c>
      <c r="FW59" s="2">
        <f>((IF((167='V06 Calend 01'!C59),('V06 Calend 01'!F59+'V06 Calend 01'!G59),0)+IF(AND(('V06 Calend 01'!E59&gt;0),(167&gt;'V06 Calend 01'!C59),(167&lt;'V06 Calend 01'!D59),(MOD((167-'V06 Calend 01'!C59),6)=0),(((167-'V06 Calend 01'!C59)/6)&lt;='V06 Calend 01'!E59)),IF((167=('V06 Calend 01'!C59+(6*'V06 Calend 01'!E59))),('V06 Calend 01'!H59-('V06 Calend 01'!I59*('V06 Calend 01'!E59-1))),'V06 Calend 01'!I59),0))+IF((167='V06 Calend 01'!D59),'V06 Calend 01'!J59,0))</f>
        <v>0</v>
      </c>
      <c r="FX59" s="2">
        <f>((IF((168='V06 Calend 01'!C59),('V06 Calend 01'!F59+'V06 Calend 01'!G59),0)+IF(AND(('V06 Calend 01'!E59&gt;0),(168&gt;'V06 Calend 01'!C59),(168&lt;'V06 Calend 01'!D59),(MOD((168-'V06 Calend 01'!C59),6)=0),(((168-'V06 Calend 01'!C59)/6)&lt;='V06 Calend 01'!E59)),IF((168=('V06 Calend 01'!C59+(6*'V06 Calend 01'!E59))),('V06 Calend 01'!H59-('V06 Calend 01'!I59*('V06 Calend 01'!E59-1))),'V06 Calend 01'!I59),0))+IF((168='V06 Calend 01'!D59),'V06 Calend 01'!J59,0))</f>
        <v>0</v>
      </c>
      <c r="FY59" s="2">
        <f>((IF((169='V06 Calend 01'!C59),('V06 Calend 01'!F59+'V06 Calend 01'!G59),0)+IF(AND(('V06 Calend 01'!E59&gt;0),(169&gt;'V06 Calend 01'!C59),(169&lt;'V06 Calend 01'!D59),(MOD((169-'V06 Calend 01'!C59),6)=0),(((169-'V06 Calend 01'!C59)/6)&lt;='V06 Calend 01'!E59)),IF((169=('V06 Calend 01'!C59+(6*'V06 Calend 01'!E59))),('V06 Calend 01'!H59-('V06 Calend 01'!I59*('V06 Calend 01'!E59-1))),'V06 Calend 01'!I59),0))+IF((169='V06 Calend 01'!D59),'V06 Calend 01'!J59,0))</f>
        <v>0</v>
      </c>
      <c r="FZ59" s="2">
        <f>((IF((170='V06 Calend 01'!C59),('V06 Calend 01'!F59+'V06 Calend 01'!G59),0)+IF(AND(('V06 Calend 01'!E59&gt;0),(170&gt;'V06 Calend 01'!C59),(170&lt;'V06 Calend 01'!D59),(MOD((170-'V06 Calend 01'!C59),6)=0),(((170-'V06 Calend 01'!C59)/6)&lt;='V06 Calend 01'!E59)),IF((170=('V06 Calend 01'!C59+(6*'V06 Calend 01'!E59))),('V06 Calend 01'!H59-('V06 Calend 01'!I59*('V06 Calend 01'!E59-1))),'V06 Calend 01'!I59),0))+IF((170='V06 Calend 01'!D59),'V06 Calend 01'!J59,0))</f>
        <v>0</v>
      </c>
      <c r="GA59" s="2">
        <f>((IF((171='V06 Calend 01'!C59),('V06 Calend 01'!F59+'V06 Calend 01'!G59),0)+IF(AND(('V06 Calend 01'!E59&gt;0),(171&gt;'V06 Calend 01'!C59),(171&lt;'V06 Calend 01'!D59),(MOD((171-'V06 Calend 01'!C59),6)=0),(((171-'V06 Calend 01'!C59)/6)&lt;='V06 Calend 01'!E59)),IF((171=('V06 Calend 01'!C59+(6*'V06 Calend 01'!E59))),('V06 Calend 01'!H59-('V06 Calend 01'!I59*('V06 Calend 01'!E59-1))),'V06 Calend 01'!I59),0))+IF((171='V06 Calend 01'!D59),'V06 Calend 01'!J59,0))</f>
        <v>0</v>
      </c>
      <c r="GB59" s="2">
        <f>((IF((172='V06 Calend 01'!C59),('V06 Calend 01'!F59+'V06 Calend 01'!G59),0)+IF(AND(('V06 Calend 01'!E59&gt;0),(172&gt;'V06 Calend 01'!C59),(172&lt;'V06 Calend 01'!D59),(MOD((172-'V06 Calend 01'!C59),6)=0),(((172-'V06 Calend 01'!C59)/6)&lt;='V06 Calend 01'!E59)),IF((172=('V06 Calend 01'!C59+(6*'V06 Calend 01'!E59))),('V06 Calend 01'!H59-('V06 Calend 01'!I59*('V06 Calend 01'!E59-1))),'V06 Calend 01'!I59),0))+IF((172='V06 Calend 01'!D59),'V06 Calend 01'!J59,0))</f>
        <v>0</v>
      </c>
      <c r="GC59" s="2">
        <f>((IF((173='V06 Calend 01'!C59),('V06 Calend 01'!F59+'V06 Calend 01'!G59),0)+IF(AND(('V06 Calend 01'!E59&gt;0),(173&gt;'V06 Calend 01'!C59),(173&lt;'V06 Calend 01'!D59),(MOD((173-'V06 Calend 01'!C59),6)=0),(((173-'V06 Calend 01'!C59)/6)&lt;='V06 Calend 01'!E59)),IF((173=('V06 Calend 01'!C59+(6*'V06 Calend 01'!E59))),('V06 Calend 01'!H59-('V06 Calend 01'!I59*('V06 Calend 01'!E59-1))),'V06 Calend 01'!I59),0))+IF((173='V06 Calend 01'!D59),'V06 Calend 01'!J59,0))</f>
        <v>0</v>
      </c>
      <c r="GD59" s="2">
        <f>((IF((174='V06 Calend 01'!C59),('V06 Calend 01'!F59+'V06 Calend 01'!G59),0)+IF(AND(('V06 Calend 01'!E59&gt;0),(174&gt;'V06 Calend 01'!C59),(174&lt;'V06 Calend 01'!D59),(MOD((174-'V06 Calend 01'!C59),6)=0),(((174-'V06 Calend 01'!C59)/6)&lt;='V06 Calend 01'!E59)),IF((174=('V06 Calend 01'!C59+(6*'V06 Calend 01'!E59))),('V06 Calend 01'!H59-('V06 Calend 01'!I59*('V06 Calend 01'!E59-1))),'V06 Calend 01'!I59),0))+IF((174='V06 Calend 01'!D59),'V06 Calend 01'!J59,0))</f>
        <v>0</v>
      </c>
      <c r="GE59" s="2">
        <f>((IF((175='V06 Calend 01'!C59),('V06 Calend 01'!F59+'V06 Calend 01'!G59),0)+IF(AND(('V06 Calend 01'!E59&gt;0),(175&gt;'V06 Calend 01'!C59),(175&lt;'V06 Calend 01'!D59),(MOD((175-'V06 Calend 01'!C59),6)=0),(((175-'V06 Calend 01'!C59)/6)&lt;='V06 Calend 01'!E59)),IF((175=('V06 Calend 01'!C59+(6*'V06 Calend 01'!E59))),('V06 Calend 01'!H59-('V06 Calend 01'!I59*('V06 Calend 01'!E59-1))),'V06 Calend 01'!I59),0))+IF((175='V06 Calend 01'!D59),'V06 Calend 01'!J59,0))</f>
        <v>0</v>
      </c>
      <c r="GF59" s="2">
        <f>((IF((176='V06 Calend 01'!C59),('V06 Calend 01'!F59+'V06 Calend 01'!G59),0)+IF(AND(('V06 Calend 01'!E59&gt;0),(176&gt;'V06 Calend 01'!C59),(176&lt;'V06 Calend 01'!D59),(MOD((176-'V06 Calend 01'!C59),6)=0),(((176-'V06 Calend 01'!C59)/6)&lt;='V06 Calend 01'!E59)),IF((176=('V06 Calend 01'!C59+(6*'V06 Calend 01'!E59))),('V06 Calend 01'!H59-('V06 Calend 01'!I59*('V06 Calend 01'!E59-1))),'V06 Calend 01'!I59),0))+IF((176='V06 Calend 01'!D59),'V06 Calend 01'!J59,0))</f>
        <v>0</v>
      </c>
      <c r="GG59" s="2">
        <f>((IF((177='V06 Calend 01'!C59),('V06 Calend 01'!F59+'V06 Calend 01'!G59),0)+IF(AND(('V06 Calend 01'!E59&gt;0),(177&gt;'V06 Calend 01'!C59),(177&lt;'V06 Calend 01'!D59),(MOD((177-'V06 Calend 01'!C59),6)=0),(((177-'V06 Calend 01'!C59)/6)&lt;='V06 Calend 01'!E59)),IF((177=('V06 Calend 01'!C59+(6*'V06 Calend 01'!E59))),('V06 Calend 01'!H59-('V06 Calend 01'!I59*('V06 Calend 01'!E59-1))),'V06 Calend 01'!I59),0))+IF((177='V06 Calend 01'!D59),'V06 Calend 01'!J59,0))</f>
        <v>0</v>
      </c>
      <c r="GH59" s="2">
        <f>((IF((178='V06 Calend 01'!C59),('V06 Calend 01'!F59+'V06 Calend 01'!G59),0)+IF(AND(('V06 Calend 01'!E59&gt;0),(178&gt;'V06 Calend 01'!C59),(178&lt;'V06 Calend 01'!D59),(MOD((178-'V06 Calend 01'!C59),6)=0),(((178-'V06 Calend 01'!C59)/6)&lt;='V06 Calend 01'!E59)),IF((178=('V06 Calend 01'!C59+(6*'V06 Calend 01'!E59))),('V06 Calend 01'!H59-('V06 Calend 01'!I59*('V06 Calend 01'!E59-1))),'V06 Calend 01'!I59),0))+IF((178='V06 Calend 01'!D59),'V06 Calend 01'!J59,0))</f>
        <v>0</v>
      </c>
      <c r="GI59" s="2">
        <f>((IF((179='V06 Calend 01'!C59),('V06 Calend 01'!F59+'V06 Calend 01'!G59),0)+IF(AND(('V06 Calend 01'!E59&gt;0),(179&gt;'V06 Calend 01'!C59),(179&lt;'V06 Calend 01'!D59),(MOD((179-'V06 Calend 01'!C59),6)=0),(((179-'V06 Calend 01'!C59)/6)&lt;='V06 Calend 01'!E59)),IF((179=('V06 Calend 01'!C59+(6*'V06 Calend 01'!E59))),('V06 Calend 01'!H59-('V06 Calend 01'!I59*('V06 Calend 01'!E59-1))),'V06 Calend 01'!I59),0))+IF((179='V06 Calend 01'!D59),'V06 Calend 01'!J59,0))</f>
        <v>0</v>
      </c>
      <c r="GJ59" s="2">
        <f>((IF((180='V06 Calend 01'!C59),('V06 Calend 01'!F59+'V06 Calend 01'!G59),0)+IF(AND(('V06 Calend 01'!E59&gt;0),(180&gt;'V06 Calend 01'!C59),(180&lt;'V06 Calend 01'!D59),(MOD((180-'V06 Calend 01'!C59),6)=0),(((180-'V06 Calend 01'!C59)/6)&lt;='V06 Calend 01'!E59)),IF((180=('V06 Calend 01'!C59+(6*'V06 Calend 01'!E59))),('V06 Calend 01'!H59-('V06 Calend 01'!I59*('V06 Calend 01'!E59-1))),'V06 Calend 01'!I59),0))+IF((180='V06 Calend 01'!D59),'V06 Calend 01'!J59,0))</f>
        <v>0</v>
      </c>
    </row>
    <row r="60" spans="1:192">
      <c r="A60" s="3" t="str">
        <f>'V06 Unidades'!$A$60</f>
        <v>706</v>
      </c>
      <c r="B60" s="2">
        <f>'V06 Unidades'!$H$60</f>
        <v>545358.4</v>
      </c>
      <c r="C60" s="4">
        <f>('V06 Unidades'!$I$60+'V06 Controlos'!$B$37)</f>
        <v>10</v>
      </c>
      <c r="D60" s="4">
        <f>IF(('V06 Controlos'!$B$38&gt;0),MAX(('V06 Unidades'!$L$60+'V06 Controlos'!$B$37),(30+'V06 Controlos'!$B$38)),('V06 Unidades'!$L$60+'V06 Controlos'!$B$37))</f>
        <v>29</v>
      </c>
      <c r="E60" s="4">
        <f>MAX(0,INT(((('V06 Calend 01'!D60-'V06 Calend 01'!C60)-1)/6)))</f>
        <v>3</v>
      </c>
      <c r="F60" s="2">
        <f>ROUND(('V06 Calend 01'!B60*0.05),2)</f>
        <v>27267.92</v>
      </c>
      <c r="G60" s="2">
        <f>ROUND(('V06 Calend 01'!B60*0.2),2)</f>
        <v>109071.68</v>
      </c>
      <c r="H60" s="2">
        <f>ROUND(('V06 Calend 01'!B60*0.55),2)</f>
        <v>299947.12</v>
      </c>
      <c r="I60" s="2">
        <f>ROUND(('V06 Calend 01'!H60/MAX(1,'V06 Calend 01'!E60)),2)</f>
        <v>99982.37</v>
      </c>
      <c r="J60" s="2">
        <f>((('V06 Calend 01'!B60-'V06 Calend 01'!F60)-'V06 Calend 01'!G60)-'V06 Calend 01'!H60)</f>
        <v>109071.68000000005</v>
      </c>
      <c r="K60" s="2">
        <f>('V06 Calend 01'!B60*0.025)</f>
        <v>13633.960000000001</v>
      </c>
      <c r="L60" t="s">
        <v>378</v>
      </c>
      <c r="M60" s="2">
        <f>((IF((1='V06 Calend 01'!C60),('V06 Calend 01'!F60+'V06 Calend 01'!G60),0)+IF(AND(('V06 Calend 01'!E60&gt;0),(1&gt;'V06 Calend 01'!C60),(1&lt;'V06 Calend 01'!D60),(MOD((1-'V06 Calend 01'!C60),6)=0),(((1-'V06 Calend 01'!C60)/6)&lt;='V06 Calend 01'!E60)),IF((1=('V06 Calend 01'!C60+(6*'V06 Calend 01'!E60))),('V06 Calend 01'!H60-('V06 Calend 01'!I60*('V06 Calend 01'!E60-1))),'V06 Calend 01'!I60),0))+IF((1='V06 Calend 01'!D60),'V06 Calend 01'!J60,0))</f>
        <v>0</v>
      </c>
      <c r="N60" s="2">
        <f>((IF((2='V06 Calend 01'!C60),('V06 Calend 01'!F60+'V06 Calend 01'!G60),0)+IF(AND(('V06 Calend 01'!E60&gt;0),(2&gt;'V06 Calend 01'!C60),(2&lt;'V06 Calend 01'!D60),(MOD((2-'V06 Calend 01'!C60),6)=0),(((2-'V06 Calend 01'!C60)/6)&lt;='V06 Calend 01'!E60)),IF((2=('V06 Calend 01'!C60+(6*'V06 Calend 01'!E60))),('V06 Calend 01'!H60-('V06 Calend 01'!I60*('V06 Calend 01'!E60-1))),'V06 Calend 01'!I60),0))+IF((2='V06 Calend 01'!D60),'V06 Calend 01'!J60,0))</f>
        <v>0</v>
      </c>
      <c r="O60" s="2">
        <f>((IF((3='V06 Calend 01'!C60),('V06 Calend 01'!F60+'V06 Calend 01'!G60),0)+IF(AND(('V06 Calend 01'!E60&gt;0),(3&gt;'V06 Calend 01'!C60),(3&lt;'V06 Calend 01'!D60),(MOD((3-'V06 Calend 01'!C60),6)=0),(((3-'V06 Calend 01'!C60)/6)&lt;='V06 Calend 01'!E60)),IF((3=('V06 Calend 01'!C60+(6*'V06 Calend 01'!E60))),('V06 Calend 01'!H60-('V06 Calend 01'!I60*('V06 Calend 01'!E60-1))),'V06 Calend 01'!I60),0))+IF((3='V06 Calend 01'!D60),'V06 Calend 01'!J60,0))</f>
        <v>0</v>
      </c>
      <c r="P60" s="2">
        <f>((IF((4='V06 Calend 01'!C60),('V06 Calend 01'!F60+'V06 Calend 01'!G60),0)+IF(AND(('V06 Calend 01'!E60&gt;0),(4&gt;'V06 Calend 01'!C60),(4&lt;'V06 Calend 01'!D60),(MOD((4-'V06 Calend 01'!C60),6)=0),(((4-'V06 Calend 01'!C60)/6)&lt;='V06 Calend 01'!E60)),IF((4=('V06 Calend 01'!C60+(6*'V06 Calend 01'!E60))),('V06 Calend 01'!H60-('V06 Calend 01'!I60*('V06 Calend 01'!E60-1))),'V06 Calend 01'!I60),0))+IF((4='V06 Calend 01'!D60),'V06 Calend 01'!J60,0))</f>
        <v>0</v>
      </c>
      <c r="Q60" s="2">
        <f>((IF((5='V06 Calend 01'!C60),('V06 Calend 01'!F60+'V06 Calend 01'!G60),0)+IF(AND(('V06 Calend 01'!E60&gt;0),(5&gt;'V06 Calend 01'!C60),(5&lt;'V06 Calend 01'!D60),(MOD((5-'V06 Calend 01'!C60),6)=0),(((5-'V06 Calend 01'!C60)/6)&lt;='V06 Calend 01'!E60)),IF((5=('V06 Calend 01'!C60+(6*'V06 Calend 01'!E60))),('V06 Calend 01'!H60-('V06 Calend 01'!I60*('V06 Calend 01'!E60-1))),'V06 Calend 01'!I60),0))+IF((5='V06 Calend 01'!D60),'V06 Calend 01'!J60,0))</f>
        <v>0</v>
      </c>
      <c r="R60" s="2">
        <f>((IF((6='V06 Calend 01'!C60),('V06 Calend 01'!F60+'V06 Calend 01'!G60),0)+IF(AND(('V06 Calend 01'!E60&gt;0),(6&gt;'V06 Calend 01'!C60),(6&lt;'V06 Calend 01'!D60),(MOD((6-'V06 Calend 01'!C60),6)=0),(((6-'V06 Calend 01'!C60)/6)&lt;='V06 Calend 01'!E60)),IF((6=('V06 Calend 01'!C60+(6*'V06 Calend 01'!E60))),('V06 Calend 01'!H60-('V06 Calend 01'!I60*('V06 Calend 01'!E60-1))),'V06 Calend 01'!I60),0))+IF((6='V06 Calend 01'!D60),'V06 Calend 01'!J60,0))</f>
        <v>0</v>
      </c>
      <c r="S60" s="2">
        <f>((IF((7='V06 Calend 01'!C60),('V06 Calend 01'!F60+'V06 Calend 01'!G60),0)+IF(AND(('V06 Calend 01'!E60&gt;0),(7&gt;'V06 Calend 01'!C60),(7&lt;'V06 Calend 01'!D60),(MOD((7-'V06 Calend 01'!C60),6)=0),(((7-'V06 Calend 01'!C60)/6)&lt;='V06 Calend 01'!E60)),IF((7=('V06 Calend 01'!C60+(6*'V06 Calend 01'!E60))),('V06 Calend 01'!H60-('V06 Calend 01'!I60*('V06 Calend 01'!E60-1))),'V06 Calend 01'!I60),0))+IF((7='V06 Calend 01'!D60),'V06 Calend 01'!J60,0))</f>
        <v>0</v>
      </c>
      <c r="T60" s="2">
        <f>((IF((8='V06 Calend 01'!C60),('V06 Calend 01'!F60+'V06 Calend 01'!G60),0)+IF(AND(('V06 Calend 01'!E60&gt;0),(8&gt;'V06 Calend 01'!C60),(8&lt;'V06 Calend 01'!D60),(MOD((8-'V06 Calend 01'!C60),6)=0),(((8-'V06 Calend 01'!C60)/6)&lt;='V06 Calend 01'!E60)),IF((8=('V06 Calend 01'!C60+(6*'V06 Calend 01'!E60))),('V06 Calend 01'!H60-('V06 Calend 01'!I60*('V06 Calend 01'!E60-1))),'V06 Calend 01'!I60),0))+IF((8='V06 Calend 01'!D60),'V06 Calend 01'!J60,0))</f>
        <v>0</v>
      </c>
      <c r="U60" s="2">
        <f>((IF((9='V06 Calend 01'!C60),('V06 Calend 01'!F60+'V06 Calend 01'!G60),0)+IF(AND(('V06 Calend 01'!E60&gt;0),(9&gt;'V06 Calend 01'!C60),(9&lt;'V06 Calend 01'!D60),(MOD((9-'V06 Calend 01'!C60),6)=0),(((9-'V06 Calend 01'!C60)/6)&lt;='V06 Calend 01'!E60)),IF((9=('V06 Calend 01'!C60+(6*'V06 Calend 01'!E60))),('V06 Calend 01'!H60-('V06 Calend 01'!I60*('V06 Calend 01'!E60-1))),'V06 Calend 01'!I60),0))+IF((9='V06 Calend 01'!D60),'V06 Calend 01'!J60,0))</f>
        <v>0</v>
      </c>
      <c r="V60" s="2">
        <f>((IF((10='V06 Calend 01'!C60),('V06 Calend 01'!F60+'V06 Calend 01'!G60),0)+IF(AND(('V06 Calend 01'!E60&gt;0),(10&gt;'V06 Calend 01'!C60),(10&lt;'V06 Calend 01'!D60),(MOD((10-'V06 Calend 01'!C60),6)=0),(((10-'V06 Calend 01'!C60)/6)&lt;='V06 Calend 01'!E60)),IF((10=('V06 Calend 01'!C60+(6*'V06 Calend 01'!E60))),('V06 Calend 01'!H60-('V06 Calend 01'!I60*('V06 Calend 01'!E60-1))),'V06 Calend 01'!I60),0))+IF((10='V06 Calend 01'!D60),'V06 Calend 01'!J60,0))</f>
        <v>136339.59999999998</v>
      </c>
      <c r="W60" s="2">
        <f>((IF((11='V06 Calend 01'!C60),('V06 Calend 01'!F60+'V06 Calend 01'!G60),0)+IF(AND(('V06 Calend 01'!E60&gt;0),(11&gt;'V06 Calend 01'!C60),(11&lt;'V06 Calend 01'!D60),(MOD((11-'V06 Calend 01'!C60),6)=0),(((11-'V06 Calend 01'!C60)/6)&lt;='V06 Calend 01'!E60)),IF((11=('V06 Calend 01'!C60+(6*'V06 Calend 01'!E60))),('V06 Calend 01'!H60-('V06 Calend 01'!I60*('V06 Calend 01'!E60-1))),'V06 Calend 01'!I60),0))+IF((11='V06 Calend 01'!D60),'V06 Calend 01'!J60,0))</f>
        <v>0</v>
      </c>
      <c r="X60" s="2">
        <f>((IF((12='V06 Calend 01'!C60),('V06 Calend 01'!F60+'V06 Calend 01'!G60),0)+IF(AND(('V06 Calend 01'!E60&gt;0),(12&gt;'V06 Calend 01'!C60),(12&lt;'V06 Calend 01'!D60),(MOD((12-'V06 Calend 01'!C60),6)=0),(((12-'V06 Calend 01'!C60)/6)&lt;='V06 Calend 01'!E60)),IF((12=('V06 Calend 01'!C60+(6*'V06 Calend 01'!E60))),('V06 Calend 01'!H60-('V06 Calend 01'!I60*('V06 Calend 01'!E60-1))),'V06 Calend 01'!I60),0))+IF((12='V06 Calend 01'!D60),'V06 Calend 01'!J60,0))</f>
        <v>0</v>
      </c>
      <c r="Y60" s="2">
        <f>((IF((13='V06 Calend 01'!C60),('V06 Calend 01'!F60+'V06 Calend 01'!G60),0)+IF(AND(('V06 Calend 01'!E60&gt;0),(13&gt;'V06 Calend 01'!C60),(13&lt;'V06 Calend 01'!D60),(MOD((13-'V06 Calend 01'!C60),6)=0),(((13-'V06 Calend 01'!C60)/6)&lt;='V06 Calend 01'!E60)),IF((13=('V06 Calend 01'!C60+(6*'V06 Calend 01'!E60))),('V06 Calend 01'!H60-('V06 Calend 01'!I60*('V06 Calend 01'!E60-1))),'V06 Calend 01'!I60),0))+IF((13='V06 Calend 01'!D60),'V06 Calend 01'!J60,0))</f>
        <v>0</v>
      </c>
      <c r="Z60" s="2">
        <f>((IF((14='V06 Calend 01'!C60),('V06 Calend 01'!F60+'V06 Calend 01'!G60),0)+IF(AND(('V06 Calend 01'!E60&gt;0),(14&gt;'V06 Calend 01'!C60),(14&lt;'V06 Calend 01'!D60),(MOD((14-'V06 Calend 01'!C60),6)=0),(((14-'V06 Calend 01'!C60)/6)&lt;='V06 Calend 01'!E60)),IF((14=('V06 Calend 01'!C60+(6*'V06 Calend 01'!E60))),('V06 Calend 01'!H60-('V06 Calend 01'!I60*('V06 Calend 01'!E60-1))),'V06 Calend 01'!I60),0))+IF((14='V06 Calend 01'!D60),'V06 Calend 01'!J60,0))</f>
        <v>0</v>
      </c>
      <c r="AA60" s="2">
        <f>((IF((15='V06 Calend 01'!C60),('V06 Calend 01'!F60+'V06 Calend 01'!G60),0)+IF(AND(('V06 Calend 01'!E60&gt;0),(15&gt;'V06 Calend 01'!C60),(15&lt;'V06 Calend 01'!D60),(MOD((15-'V06 Calend 01'!C60),6)=0),(((15-'V06 Calend 01'!C60)/6)&lt;='V06 Calend 01'!E60)),IF((15=('V06 Calend 01'!C60+(6*'V06 Calend 01'!E60))),('V06 Calend 01'!H60-('V06 Calend 01'!I60*('V06 Calend 01'!E60-1))),'V06 Calend 01'!I60),0))+IF((15='V06 Calend 01'!D60),'V06 Calend 01'!J60,0))</f>
        <v>0</v>
      </c>
      <c r="AB60" s="2">
        <f>((IF((16='V06 Calend 01'!C60),('V06 Calend 01'!F60+'V06 Calend 01'!G60),0)+IF(AND(('V06 Calend 01'!E60&gt;0),(16&gt;'V06 Calend 01'!C60),(16&lt;'V06 Calend 01'!D60),(MOD((16-'V06 Calend 01'!C60),6)=0),(((16-'V06 Calend 01'!C60)/6)&lt;='V06 Calend 01'!E60)),IF((16=('V06 Calend 01'!C60+(6*'V06 Calend 01'!E60))),('V06 Calend 01'!H60-('V06 Calend 01'!I60*('V06 Calend 01'!E60-1))),'V06 Calend 01'!I60),0))+IF((16='V06 Calend 01'!D60),'V06 Calend 01'!J60,0))</f>
        <v>99982.37</v>
      </c>
      <c r="AC60" s="2">
        <f>((IF((17='V06 Calend 01'!C60),('V06 Calend 01'!F60+'V06 Calend 01'!G60),0)+IF(AND(('V06 Calend 01'!E60&gt;0),(17&gt;'V06 Calend 01'!C60),(17&lt;'V06 Calend 01'!D60),(MOD((17-'V06 Calend 01'!C60),6)=0),(((17-'V06 Calend 01'!C60)/6)&lt;='V06 Calend 01'!E60)),IF((17=('V06 Calend 01'!C60+(6*'V06 Calend 01'!E60))),('V06 Calend 01'!H60-('V06 Calend 01'!I60*('V06 Calend 01'!E60-1))),'V06 Calend 01'!I60),0))+IF((17='V06 Calend 01'!D60),'V06 Calend 01'!J60,0))</f>
        <v>0</v>
      </c>
      <c r="AD60" s="2">
        <f>((IF((18='V06 Calend 01'!C60),('V06 Calend 01'!F60+'V06 Calend 01'!G60),0)+IF(AND(('V06 Calend 01'!E60&gt;0),(18&gt;'V06 Calend 01'!C60),(18&lt;'V06 Calend 01'!D60),(MOD((18-'V06 Calend 01'!C60),6)=0),(((18-'V06 Calend 01'!C60)/6)&lt;='V06 Calend 01'!E60)),IF((18=('V06 Calend 01'!C60+(6*'V06 Calend 01'!E60))),('V06 Calend 01'!H60-('V06 Calend 01'!I60*('V06 Calend 01'!E60-1))),'V06 Calend 01'!I60),0))+IF((18='V06 Calend 01'!D60),'V06 Calend 01'!J60,0))</f>
        <v>0</v>
      </c>
      <c r="AE60" s="2">
        <f>((IF((19='V06 Calend 01'!C60),('V06 Calend 01'!F60+'V06 Calend 01'!G60),0)+IF(AND(('V06 Calend 01'!E60&gt;0),(19&gt;'V06 Calend 01'!C60),(19&lt;'V06 Calend 01'!D60),(MOD((19-'V06 Calend 01'!C60),6)=0),(((19-'V06 Calend 01'!C60)/6)&lt;='V06 Calend 01'!E60)),IF((19=('V06 Calend 01'!C60+(6*'V06 Calend 01'!E60))),('V06 Calend 01'!H60-('V06 Calend 01'!I60*('V06 Calend 01'!E60-1))),'V06 Calend 01'!I60),0))+IF((19='V06 Calend 01'!D60),'V06 Calend 01'!J60,0))</f>
        <v>0</v>
      </c>
      <c r="AF60" s="2">
        <f>((IF((20='V06 Calend 01'!C60),('V06 Calend 01'!F60+'V06 Calend 01'!G60),0)+IF(AND(('V06 Calend 01'!E60&gt;0),(20&gt;'V06 Calend 01'!C60),(20&lt;'V06 Calend 01'!D60),(MOD((20-'V06 Calend 01'!C60),6)=0),(((20-'V06 Calend 01'!C60)/6)&lt;='V06 Calend 01'!E60)),IF((20=('V06 Calend 01'!C60+(6*'V06 Calend 01'!E60))),('V06 Calend 01'!H60-('V06 Calend 01'!I60*('V06 Calend 01'!E60-1))),'V06 Calend 01'!I60),0))+IF((20='V06 Calend 01'!D60),'V06 Calend 01'!J60,0))</f>
        <v>0</v>
      </c>
      <c r="AG60" s="2">
        <f>((IF((21='V06 Calend 01'!C60),('V06 Calend 01'!F60+'V06 Calend 01'!G60),0)+IF(AND(('V06 Calend 01'!E60&gt;0),(21&gt;'V06 Calend 01'!C60),(21&lt;'V06 Calend 01'!D60),(MOD((21-'V06 Calend 01'!C60),6)=0),(((21-'V06 Calend 01'!C60)/6)&lt;='V06 Calend 01'!E60)),IF((21=('V06 Calend 01'!C60+(6*'V06 Calend 01'!E60))),('V06 Calend 01'!H60-('V06 Calend 01'!I60*('V06 Calend 01'!E60-1))),'V06 Calend 01'!I60),0))+IF((21='V06 Calend 01'!D60),'V06 Calend 01'!J60,0))</f>
        <v>0</v>
      </c>
      <c r="AH60" s="2">
        <f>((IF((22='V06 Calend 01'!C60),('V06 Calend 01'!F60+'V06 Calend 01'!G60),0)+IF(AND(('V06 Calend 01'!E60&gt;0),(22&gt;'V06 Calend 01'!C60),(22&lt;'V06 Calend 01'!D60),(MOD((22-'V06 Calend 01'!C60),6)=0),(((22-'V06 Calend 01'!C60)/6)&lt;='V06 Calend 01'!E60)),IF((22=('V06 Calend 01'!C60+(6*'V06 Calend 01'!E60))),('V06 Calend 01'!H60-('V06 Calend 01'!I60*('V06 Calend 01'!E60-1))),'V06 Calend 01'!I60),0))+IF((22='V06 Calend 01'!D60),'V06 Calend 01'!J60,0))</f>
        <v>99982.37</v>
      </c>
      <c r="AI60" s="2">
        <f>((IF((23='V06 Calend 01'!C60),('V06 Calend 01'!F60+'V06 Calend 01'!G60),0)+IF(AND(('V06 Calend 01'!E60&gt;0),(23&gt;'V06 Calend 01'!C60),(23&lt;'V06 Calend 01'!D60),(MOD((23-'V06 Calend 01'!C60),6)=0),(((23-'V06 Calend 01'!C60)/6)&lt;='V06 Calend 01'!E60)),IF((23=('V06 Calend 01'!C60+(6*'V06 Calend 01'!E60))),('V06 Calend 01'!H60-('V06 Calend 01'!I60*('V06 Calend 01'!E60-1))),'V06 Calend 01'!I60),0))+IF((23='V06 Calend 01'!D60),'V06 Calend 01'!J60,0))</f>
        <v>0</v>
      </c>
      <c r="AJ60" s="2">
        <f>((IF((24='V06 Calend 01'!C60),('V06 Calend 01'!F60+'V06 Calend 01'!G60),0)+IF(AND(('V06 Calend 01'!E60&gt;0),(24&gt;'V06 Calend 01'!C60),(24&lt;'V06 Calend 01'!D60),(MOD((24-'V06 Calend 01'!C60),6)=0),(((24-'V06 Calend 01'!C60)/6)&lt;='V06 Calend 01'!E60)),IF((24=('V06 Calend 01'!C60+(6*'V06 Calend 01'!E60))),('V06 Calend 01'!H60-('V06 Calend 01'!I60*('V06 Calend 01'!E60-1))),'V06 Calend 01'!I60),0))+IF((24='V06 Calend 01'!D60),'V06 Calend 01'!J60,0))</f>
        <v>0</v>
      </c>
      <c r="AK60" s="2">
        <f>((IF((25='V06 Calend 01'!C60),('V06 Calend 01'!F60+'V06 Calend 01'!G60),0)+IF(AND(('V06 Calend 01'!E60&gt;0),(25&gt;'V06 Calend 01'!C60),(25&lt;'V06 Calend 01'!D60),(MOD((25-'V06 Calend 01'!C60),6)=0),(((25-'V06 Calend 01'!C60)/6)&lt;='V06 Calend 01'!E60)),IF((25=('V06 Calend 01'!C60+(6*'V06 Calend 01'!E60))),('V06 Calend 01'!H60-('V06 Calend 01'!I60*('V06 Calend 01'!E60-1))),'V06 Calend 01'!I60),0))+IF((25='V06 Calend 01'!D60),'V06 Calend 01'!J60,0))</f>
        <v>0</v>
      </c>
      <c r="AL60" s="2">
        <f>((IF((26='V06 Calend 01'!C60),('V06 Calend 01'!F60+'V06 Calend 01'!G60),0)+IF(AND(('V06 Calend 01'!E60&gt;0),(26&gt;'V06 Calend 01'!C60),(26&lt;'V06 Calend 01'!D60),(MOD((26-'V06 Calend 01'!C60),6)=0),(((26-'V06 Calend 01'!C60)/6)&lt;='V06 Calend 01'!E60)),IF((26=('V06 Calend 01'!C60+(6*'V06 Calend 01'!E60))),('V06 Calend 01'!H60-('V06 Calend 01'!I60*('V06 Calend 01'!E60-1))),'V06 Calend 01'!I60),0))+IF((26='V06 Calend 01'!D60),'V06 Calend 01'!J60,0))</f>
        <v>0</v>
      </c>
      <c r="AM60" s="2">
        <f>((IF((27='V06 Calend 01'!C60),('V06 Calend 01'!F60+'V06 Calend 01'!G60),0)+IF(AND(('V06 Calend 01'!E60&gt;0),(27&gt;'V06 Calend 01'!C60),(27&lt;'V06 Calend 01'!D60),(MOD((27-'V06 Calend 01'!C60),6)=0),(((27-'V06 Calend 01'!C60)/6)&lt;='V06 Calend 01'!E60)),IF((27=('V06 Calend 01'!C60+(6*'V06 Calend 01'!E60))),('V06 Calend 01'!H60-('V06 Calend 01'!I60*('V06 Calend 01'!E60-1))),'V06 Calend 01'!I60),0))+IF((27='V06 Calend 01'!D60),'V06 Calend 01'!J60,0))</f>
        <v>0</v>
      </c>
      <c r="AN60" s="2">
        <f>((IF((28='V06 Calend 01'!C60),('V06 Calend 01'!F60+'V06 Calend 01'!G60),0)+IF(AND(('V06 Calend 01'!E60&gt;0),(28&gt;'V06 Calend 01'!C60),(28&lt;'V06 Calend 01'!D60),(MOD((28-'V06 Calend 01'!C60),6)=0),(((28-'V06 Calend 01'!C60)/6)&lt;='V06 Calend 01'!E60)),IF((28=('V06 Calend 01'!C60+(6*'V06 Calend 01'!E60))),('V06 Calend 01'!H60-('V06 Calend 01'!I60*('V06 Calend 01'!E60-1))),'V06 Calend 01'!I60),0))+IF((28='V06 Calend 01'!D60),'V06 Calend 01'!J60,0))</f>
        <v>99982.38</v>
      </c>
      <c r="AO60" s="2">
        <f>((IF((29='V06 Calend 01'!C60),('V06 Calend 01'!F60+'V06 Calend 01'!G60),0)+IF(AND(('V06 Calend 01'!E60&gt;0),(29&gt;'V06 Calend 01'!C60),(29&lt;'V06 Calend 01'!D60),(MOD((29-'V06 Calend 01'!C60),6)=0),(((29-'V06 Calend 01'!C60)/6)&lt;='V06 Calend 01'!E60)),IF((29=('V06 Calend 01'!C60+(6*'V06 Calend 01'!E60))),('V06 Calend 01'!H60-('V06 Calend 01'!I60*('V06 Calend 01'!E60-1))),'V06 Calend 01'!I60),0))+IF((29='V06 Calend 01'!D60),'V06 Calend 01'!J60,0))</f>
        <v>109071.68000000005</v>
      </c>
      <c r="AP60" s="2">
        <f>((IF((30='V06 Calend 01'!C60),('V06 Calend 01'!F60+'V06 Calend 01'!G60),0)+IF(AND(('V06 Calend 01'!E60&gt;0),(30&gt;'V06 Calend 01'!C60),(30&lt;'V06 Calend 01'!D60),(MOD((30-'V06 Calend 01'!C60),6)=0),(((30-'V06 Calend 01'!C60)/6)&lt;='V06 Calend 01'!E60)),IF((30=('V06 Calend 01'!C60+(6*'V06 Calend 01'!E60))),('V06 Calend 01'!H60-('V06 Calend 01'!I60*('V06 Calend 01'!E60-1))),'V06 Calend 01'!I60),0))+IF((30='V06 Calend 01'!D60),'V06 Calend 01'!J60,0))</f>
        <v>0</v>
      </c>
      <c r="AQ60" s="2">
        <f>((IF((31='V06 Calend 01'!C60),('V06 Calend 01'!F60+'V06 Calend 01'!G60),0)+IF(AND(('V06 Calend 01'!E60&gt;0),(31&gt;'V06 Calend 01'!C60),(31&lt;'V06 Calend 01'!D60),(MOD((31-'V06 Calend 01'!C60),6)=0),(((31-'V06 Calend 01'!C60)/6)&lt;='V06 Calend 01'!E60)),IF((31=('V06 Calend 01'!C60+(6*'V06 Calend 01'!E60))),('V06 Calend 01'!H60-('V06 Calend 01'!I60*('V06 Calend 01'!E60-1))),'V06 Calend 01'!I60),0))+IF((31='V06 Calend 01'!D60),'V06 Calend 01'!J60,0))</f>
        <v>0</v>
      </c>
      <c r="AR60" s="2">
        <f>((IF((32='V06 Calend 01'!C60),('V06 Calend 01'!F60+'V06 Calend 01'!G60),0)+IF(AND(('V06 Calend 01'!E60&gt;0),(32&gt;'V06 Calend 01'!C60),(32&lt;'V06 Calend 01'!D60),(MOD((32-'V06 Calend 01'!C60),6)=0),(((32-'V06 Calend 01'!C60)/6)&lt;='V06 Calend 01'!E60)),IF((32=('V06 Calend 01'!C60+(6*'V06 Calend 01'!E60))),('V06 Calend 01'!H60-('V06 Calend 01'!I60*('V06 Calend 01'!E60-1))),'V06 Calend 01'!I60),0))+IF((32='V06 Calend 01'!D60),'V06 Calend 01'!J60,0))</f>
        <v>0</v>
      </c>
      <c r="AS60" s="2">
        <f>((IF((33='V06 Calend 01'!C60),('V06 Calend 01'!F60+'V06 Calend 01'!G60),0)+IF(AND(('V06 Calend 01'!E60&gt;0),(33&gt;'V06 Calend 01'!C60),(33&lt;'V06 Calend 01'!D60),(MOD((33-'V06 Calend 01'!C60),6)=0),(((33-'V06 Calend 01'!C60)/6)&lt;='V06 Calend 01'!E60)),IF((33=('V06 Calend 01'!C60+(6*'V06 Calend 01'!E60))),('V06 Calend 01'!H60-('V06 Calend 01'!I60*('V06 Calend 01'!E60-1))),'V06 Calend 01'!I60),0))+IF((33='V06 Calend 01'!D60),'V06 Calend 01'!J60,0))</f>
        <v>0</v>
      </c>
      <c r="AT60" s="2">
        <f>((IF((34='V06 Calend 01'!C60),('V06 Calend 01'!F60+'V06 Calend 01'!G60),0)+IF(AND(('V06 Calend 01'!E60&gt;0),(34&gt;'V06 Calend 01'!C60),(34&lt;'V06 Calend 01'!D60),(MOD((34-'V06 Calend 01'!C60),6)=0),(((34-'V06 Calend 01'!C60)/6)&lt;='V06 Calend 01'!E60)),IF((34=('V06 Calend 01'!C60+(6*'V06 Calend 01'!E60))),('V06 Calend 01'!H60-('V06 Calend 01'!I60*('V06 Calend 01'!E60-1))),'V06 Calend 01'!I60),0))+IF((34='V06 Calend 01'!D60),'V06 Calend 01'!J60,0))</f>
        <v>0</v>
      </c>
      <c r="AU60" s="2">
        <f>((IF((35='V06 Calend 01'!C60),('V06 Calend 01'!F60+'V06 Calend 01'!G60),0)+IF(AND(('V06 Calend 01'!E60&gt;0),(35&gt;'V06 Calend 01'!C60),(35&lt;'V06 Calend 01'!D60),(MOD((35-'V06 Calend 01'!C60),6)=0),(((35-'V06 Calend 01'!C60)/6)&lt;='V06 Calend 01'!E60)),IF((35=('V06 Calend 01'!C60+(6*'V06 Calend 01'!E60))),('V06 Calend 01'!H60-('V06 Calend 01'!I60*('V06 Calend 01'!E60-1))),'V06 Calend 01'!I60),0))+IF((35='V06 Calend 01'!D60),'V06 Calend 01'!J60,0))</f>
        <v>0</v>
      </c>
      <c r="AV60" s="2">
        <f>((IF((36='V06 Calend 01'!C60),('V06 Calend 01'!F60+'V06 Calend 01'!G60),0)+IF(AND(('V06 Calend 01'!E60&gt;0),(36&gt;'V06 Calend 01'!C60),(36&lt;'V06 Calend 01'!D60),(MOD((36-'V06 Calend 01'!C60),6)=0),(((36-'V06 Calend 01'!C60)/6)&lt;='V06 Calend 01'!E60)),IF((36=('V06 Calend 01'!C60+(6*'V06 Calend 01'!E60))),('V06 Calend 01'!H60-('V06 Calend 01'!I60*('V06 Calend 01'!E60-1))),'V06 Calend 01'!I60),0))+IF((36='V06 Calend 01'!D60),'V06 Calend 01'!J60,0))</f>
        <v>0</v>
      </c>
      <c r="AW60" s="2">
        <f>((IF((37='V06 Calend 01'!C60),('V06 Calend 01'!F60+'V06 Calend 01'!G60),0)+IF(AND(('V06 Calend 01'!E60&gt;0),(37&gt;'V06 Calend 01'!C60),(37&lt;'V06 Calend 01'!D60),(MOD((37-'V06 Calend 01'!C60),6)=0),(((37-'V06 Calend 01'!C60)/6)&lt;='V06 Calend 01'!E60)),IF((37=('V06 Calend 01'!C60+(6*'V06 Calend 01'!E60))),('V06 Calend 01'!H60-('V06 Calend 01'!I60*('V06 Calend 01'!E60-1))),'V06 Calend 01'!I60),0))+IF((37='V06 Calend 01'!D60),'V06 Calend 01'!J60,0))</f>
        <v>0</v>
      </c>
      <c r="AX60" s="2">
        <f>((IF((38='V06 Calend 01'!C60),('V06 Calend 01'!F60+'V06 Calend 01'!G60),0)+IF(AND(('V06 Calend 01'!E60&gt;0),(38&gt;'V06 Calend 01'!C60),(38&lt;'V06 Calend 01'!D60),(MOD((38-'V06 Calend 01'!C60),6)=0),(((38-'V06 Calend 01'!C60)/6)&lt;='V06 Calend 01'!E60)),IF((38=('V06 Calend 01'!C60+(6*'V06 Calend 01'!E60))),('V06 Calend 01'!H60-('V06 Calend 01'!I60*('V06 Calend 01'!E60-1))),'V06 Calend 01'!I60),0))+IF((38='V06 Calend 01'!D60),'V06 Calend 01'!J60,0))</f>
        <v>0</v>
      </c>
      <c r="AY60" s="2">
        <f>((IF((39='V06 Calend 01'!C60),('V06 Calend 01'!F60+'V06 Calend 01'!G60),0)+IF(AND(('V06 Calend 01'!E60&gt;0),(39&gt;'V06 Calend 01'!C60),(39&lt;'V06 Calend 01'!D60),(MOD((39-'V06 Calend 01'!C60),6)=0),(((39-'V06 Calend 01'!C60)/6)&lt;='V06 Calend 01'!E60)),IF((39=('V06 Calend 01'!C60+(6*'V06 Calend 01'!E60))),('V06 Calend 01'!H60-('V06 Calend 01'!I60*('V06 Calend 01'!E60-1))),'V06 Calend 01'!I60),0))+IF((39='V06 Calend 01'!D60),'V06 Calend 01'!J60,0))</f>
        <v>0</v>
      </c>
      <c r="AZ60" s="2">
        <f>((IF((40='V06 Calend 01'!C60),('V06 Calend 01'!F60+'V06 Calend 01'!G60),0)+IF(AND(('V06 Calend 01'!E60&gt;0),(40&gt;'V06 Calend 01'!C60),(40&lt;'V06 Calend 01'!D60),(MOD((40-'V06 Calend 01'!C60),6)=0),(((40-'V06 Calend 01'!C60)/6)&lt;='V06 Calend 01'!E60)),IF((40=('V06 Calend 01'!C60+(6*'V06 Calend 01'!E60))),('V06 Calend 01'!H60-('V06 Calend 01'!I60*('V06 Calend 01'!E60-1))),'V06 Calend 01'!I60),0))+IF((40='V06 Calend 01'!D60),'V06 Calend 01'!J60,0))</f>
        <v>0</v>
      </c>
      <c r="BA60" s="2">
        <f>((IF((41='V06 Calend 01'!C60),('V06 Calend 01'!F60+'V06 Calend 01'!G60),0)+IF(AND(('V06 Calend 01'!E60&gt;0),(41&gt;'V06 Calend 01'!C60),(41&lt;'V06 Calend 01'!D60),(MOD((41-'V06 Calend 01'!C60),6)=0),(((41-'V06 Calend 01'!C60)/6)&lt;='V06 Calend 01'!E60)),IF((41=('V06 Calend 01'!C60+(6*'V06 Calend 01'!E60))),('V06 Calend 01'!H60-('V06 Calend 01'!I60*('V06 Calend 01'!E60-1))),'V06 Calend 01'!I60),0))+IF((41='V06 Calend 01'!D60),'V06 Calend 01'!J60,0))</f>
        <v>0</v>
      </c>
      <c r="BB60" s="2">
        <f>((IF((42='V06 Calend 01'!C60),('V06 Calend 01'!F60+'V06 Calend 01'!G60),0)+IF(AND(('V06 Calend 01'!E60&gt;0),(42&gt;'V06 Calend 01'!C60),(42&lt;'V06 Calend 01'!D60),(MOD((42-'V06 Calend 01'!C60),6)=0),(((42-'V06 Calend 01'!C60)/6)&lt;='V06 Calend 01'!E60)),IF((42=('V06 Calend 01'!C60+(6*'V06 Calend 01'!E60))),('V06 Calend 01'!H60-('V06 Calend 01'!I60*('V06 Calend 01'!E60-1))),'V06 Calend 01'!I60),0))+IF((42='V06 Calend 01'!D60),'V06 Calend 01'!J60,0))</f>
        <v>0</v>
      </c>
      <c r="BC60" s="2">
        <f>((IF((43='V06 Calend 01'!C60),('V06 Calend 01'!F60+'V06 Calend 01'!G60),0)+IF(AND(('V06 Calend 01'!E60&gt;0),(43&gt;'V06 Calend 01'!C60),(43&lt;'V06 Calend 01'!D60),(MOD((43-'V06 Calend 01'!C60),6)=0),(((43-'V06 Calend 01'!C60)/6)&lt;='V06 Calend 01'!E60)),IF((43=('V06 Calend 01'!C60+(6*'V06 Calend 01'!E60))),('V06 Calend 01'!H60-('V06 Calend 01'!I60*('V06 Calend 01'!E60-1))),'V06 Calend 01'!I60),0))+IF((43='V06 Calend 01'!D60),'V06 Calend 01'!J60,0))</f>
        <v>0</v>
      </c>
      <c r="BD60" s="2">
        <f>((IF((44='V06 Calend 01'!C60),('V06 Calend 01'!F60+'V06 Calend 01'!G60),0)+IF(AND(('V06 Calend 01'!E60&gt;0),(44&gt;'V06 Calend 01'!C60),(44&lt;'V06 Calend 01'!D60),(MOD((44-'V06 Calend 01'!C60),6)=0),(((44-'V06 Calend 01'!C60)/6)&lt;='V06 Calend 01'!E60)),IF((44=('V06 Calend 01'!C60+(6*'V06 Calend 01'!E60))),('V06 Calend 01'!H60-('V06 Calend 01'!I60*('V06 Calend 01'!E60-1))),'V06 Calend 01'!I60),0))+IF((44='V06 Calend 01'!D60),'V06 Calend 01'!J60,0))</f>
        <v>0</v>
      </c>
      <c r="BE60" s="2">
        <f>((IF((45='V06 Calend 01'!C60),('V06 Calend 01'!F60+'V06 Calend 01'!G60),0)+IF(AND(('V06 Calend 01'!E60&gt;0),(45&gt;'V06 Calend 01'!C60),(45&lt;'V06 Calend 01'!D60),(MOD((45-'V06 Calend 01'!C60),6)=0),(((45-'V06 Calend 01'!C60)/6)&lt;='V06 Calend 01'!E60)),IF((45=('V06 Calend 01'!C60+(6*'V06 Calend 01'!E60))),('V06 Calend 01'!H60-('V06 Calend 01'!I60*('V06 Calend 01'!E60-1))),'V06 Calend 01'!I60),0))+IF((45='V06 Calend 01'!D60),'V06 Calend 01'!J60,0))</f>
        <v>0</v>
      </c>
      <c r="BF60" s="2">
        <f>((IF((46='V06 Calend 01'!C60),('V06 Calend 01'!F60+'V06 Calend 01'!G60),0)+IF(AND(('V06 Calend 01'!E60&gt;0),(46&gt;'V06 Calend 01'!C60),(46&lt;'V06 Calend 01'!D60),(MOD((46-'V06 Calend 01'!C60),6)=0),(((46-'V06 Calend 01'!C60)/6)&lt;='V06 Calend 01'!E60)),IF((46=('V06 Calend 01'!C60+(6*'V06 Calend 01'!E60))),('V06 Calend 01'!H60-('V06 Calend 01'!I60*('V06 Calend 01'!E60-1))),'V06 Calend 01'!I60),0))+IF((46='V06 Calend 01'!D60),'V06 Calend 01'!J60,0))</f>
        <v>0</v>
      </c>
      <c r="BG60" s="2">
        <f>((IF((47='V06 Calend 01'!C60),('V06 Calend 01'!F60+'V06 Calend 01'!G60),0)+IF(AND(('V06 Calend 01'!E60&gt;0),(47&gt;'V06 Calend 01'!C60),(47&lt;'V06 Calend 01'!D60),(MOD((47-'V06 Calend 01'!C60),6)=0),(((47-'V06 Calend 01'!C60)/6)&lt;='V06 Calend 01'!E60)),IF((47=('V06 Calend 01'!C60+(6*'V06 Calend 01'!E60))),('V06 Calend 01'!H60-('V06 Calend 01'!I60*('V06 Calend 01'!E60-1))),'V06 Calend 01'!I60),0))+IF((47='V06 Calend 01'!D60),'V06 Calend 01'!J60,0))</f>
        <v>0</v>
      </c>
      <c r="BH60" s="2">
        <f>((IF((48='V06 Calend 01'!C60),('V06 Calend 01'!F60+'V06 Calend 01'!G60),0)+IF(AND(('V06 Calend 01'!E60&gt;0),(48&gt;'V06 Calend 01'!C60),(48&lt;'V06 Calend 01'!D60),(MOD((48-'V06 Calend 01'!C60),6)=0),(((48-'V06 Calend 01'!C60)/6)&lt;='V06 Calend 01'!E60)),IF((48=('V06 Calend 01'!C60+(6*'V06 Calend 01'!E60))),('V06 Calend 01'!H60-('V06 Calend 01'!I60*('V06 Calend 01'!E60-1))),'V06 Calend 01'!I60),0))+IF((48='V06 Calend 01'!D60),'V06 Calend 01'!J60,0))</f>
        <v>0</v>
      </c>
      <c r="BI60" s="2">
        <f>((IF((49='V06 Calend 01'!C60),('V06 Calend 01'!F60+'V06 Calend 01'!G60),0)+IF(AND(('V06 Calend 01'!E60&gt;0),(49&gt;'V06 Calend 01'!C60),(49&lt;'V06 Calend 01'!D60),(MOD((49-'V06 Calend 01'!C60),6)=0),(((49-'V06 Calend 01'!C60)/6)&lt;='V06 Calend 01'!E60)),IF((49=('V06 Calend 01'!C60+(6*'V06 Calend 01'!E60))),('V06 Calend 01'!H60-('V06 Calend 01'!I60*('V06 Calend 01'!E60-1))),'V06 Calend 01'!I60),0))+IF((49='V06 Calend 01'!D60),'V06 Calend 01'!J60,0))</f>
        <v>0</v>
      </c>
      <c r="BJ60" s="2">
        <f>((IF((50='V06 Calend 01'!C60),('V06 Calend 01'!F60+'V06 Calend 01'!G60),0)+IF(AND(('V06 Calend 01'!E60&gt;0),(50&gt;'V06 Calend 01'!C60),(50&lt;'V06 Calend 01'!D60),(MOD((50-'V06 Calend 01'!C60),6)=0),(((50-'V06 Calend 01'!C60)/6)&lt;='V06 Calend 01'!E60)),IF((50=('V06 Calend 01'!C60+(6*'V06 Calend 01'!E60))),('V06 Calend 01'!H60-('V06 Calend 01'!I60*('V06 Calend 01'!E60-1))),'V06 Calend 01'!I60),0))+IF((50='V06 Calend 01'!D60),'V06 Calend 01'!J60,0))</f>
        <v>0</v>
      </c>
      <c r="BK60" s="2">
        <f>((IF((51='V06 Calend 01'!C60),('V06 Calend 01'!F60+'V06 Calend 01'!G60),0)+IF(AND(('V06 Calend 01'!E60&gt;0),(51&gt;'V06 Calend 01'!C60),(51&lt;'V06 Calend 01'!D60),(MOD((51-'V06 Calend 01'!C60),6)=0),(((51-'V06 Calend 01'!C60)/6)&lt;='V06 Calend 01'!E60)),IF((51=('V06 Calend 01'!C60+(6*'V06 Calend 01'!E60))),('V06 Calend 01'!H60-('V06 Calend 01'!I60*('V06 Calend 01'!E60-1))),'V06 Calend 01'!I60),0))+IF((51='V06 Calend 01'!D60),'V06 Calend 01'!J60,0))</f>
        <v>0</v>
      </c>
      <c r="BL60" s="2">
        <f>((IF((52='V06 Calend 01'!C60),('V06 Calend 01'!F60+'V06 Calend 01'!G60),0)+IF(AND(('V06 Calend 01'!E60&gt;0),(52&gt;'V06 Calend 01'!C60),(52&lt;'V06 Calend 01'!D60),(MOD((52-'V06 Calend 01'!C60),6)=0),(((52-'V06 Calend 01'!C60)/6)&lt;='V06 Calend 01'!E60)),IF((52=('V06 Calend 01'!C60+(6*'V06 Calend 01'!E60))),('V06 Calend 01'!H60-('V06 Calend 01'!I60*('V06 Calend 01'!E60-1))),'V06 Calend 01'!I60),0))+IF((52='V06 Calend 01'!D60),'V06 Calend 01'!J60,0))</f>
        <v>0</v>
      </c>
      <c r="BM60" s="2">
        <f>((IF((53='V06 Calend 01'!C60),('V06 Calend 01'!F60+'V06 Calend 01'!G60),0)+IF(AND(('V06 Calend 01'!E60&gt;0),(53&gt;'V06 Calend 01'!C60),(53&lt;'V06 Calend 01'!D60),(MOD((53-'V06 Calend 01'!C60),6)=0),(((53-'V06 Calend 01'!C60)/6)&lt;='V06 Calend 01'!E60)),IF((53=('V06 Calend 01'!C60+(6*'V06 Calend 01'!E60))),('V06 Calend 01'!H60-('V06 Calend 01'!I60*('V06 Calend 01'!E60-1))),'V06 Calend 01'!I60),0))+IF((53='V06 Calend 01'!D60),'V06 Calend 01'!J60,0))</f>
        <v>0</v>
      </c>
      <c r="BN60" s="2">
        <f>((IF((54='V06 Calend 01'!C60),('V06 Calend 01'!F60+'V06 Calend 01'!G60),0)+IF(AND(('V06 Calend 01'!E60&gt;0),(54&gt;'V06 Calend 01'!C60),(54&lt;'V06 Calend 01'!D60),(MOD((54-'V06 Calend 01'!C60),6)=0),(((54-'V06 Calend 01'!C60)/6)&lt;='V06 Calend 01'!E60)),IF((54=('V06 Calend 01'!C60+(6*'V06 Calend 01'!E60))),('V06 Calend 01'!H60-('V06 Calend 01'!I60*('V06 Calend 01'!E60-1))),'V06 Calend 01'!I60),0))+IF((54='V06 Calend 01'!D60),'V06 Calend 01'!J60,0))</f>
        <v>0</v>
      </c>
      <c r="BO60" s="2">
        <f>((IF((55='V06 Calend 01'!C60),('V06 Calend 01'!F60+'V06 Calend 01'!G60),0)+IF(AND(('V06 Calend 01'!E60&gt;0),(55&gt;'V06 Calend 01'!C60),(55&lt;'V06 Calend 01'!D60),(MOD((55-'V06 Calend 01'!C60),6)=0),(((55-'V06 Calend 01'!C60)/6)&lt;='V06 Calend 01'!E60)),IF((55=('V06 Calend 01'!C60+(6*'V06 Calend 01'!E60))),('V06 Calend 01'!H60-('V06 Calend 01'!I60*('V06 Calend 01'!E60-1))),'V06 Calend 01'!I60),0))+IF((55='V06 Calend 01'!D60),'V06 Calend 01'!J60,0))</f>
        <v>0</v>
      </c>
      <c r="BP60" s="2">
        <f>((IF((56='V06 Calend 01'!C60),('V06 Calend 01'!F60+'V06 Calend 01'!G60),0)+IF(AND(('V06 Calend 01'!E60&gt;0),(56&gt;'V06 Calend 01'!C60),(56&lt;'V06 Calend 01'!D60),(MOD((56-'V06 Calend 01'!C60),6)=0),(((56-'V06 Calend 01'!C60)/6)&lt;='V06 Calend 01'!E60)),IF((56=('V06 Calend 01'!C60+(6*'V06 Calend 01'!E60))),('V06 Calend 01'!H60-('V06 Calend 01'!I60*('V06 Calend 01'!E60-1))),'V06 Calend 01'!I60),0))+IF((56='V06 Calend 01'!D60),'V06 Calend 01'!J60,0))</f>
        <v>0</v>
      </c>
      <c r="BQ60" s="2">
        <f>((IF((57='V06 Calend 01'!C60),('V06 Calend 01'!F60+'V06 Calend 01'!G60),0)+IF(AND(('V06 Calend 01'!E60&gt;0),(57&gt;'V06 Calend 01'!C60),(57&lt;'V06 Calend 01'!D60),(MOD((57-'V06 Calend 01'!C60),6)=0),(((57-'V06 Calend 01'!C60)/6)&lt;='V06 Calend 01'!E60)),IF((57=('V06 Calend 01'!C60+(6*'V06 Calend 01'!E60))),('V06 Calend 01'!H60-('V06 Calend 01'!I60*('V06 Calend 01'!E60-1))),'V06 Calend 01'!I60),0))+IF((57='V06 Calend 01'!D60),'V06 Calend 01'!J60,0))</f>
        <v>0</v>
      </c>
      <c r="BR60" s="2">
        <f>((IF((58='V06 Calend 01'!C60),('V06 Calend 01'!F60+'V06 Calend 01'!G60),0)+IF(AND(('V06 Calend 01'!E60&gt;0),(58&gt;'V06 Calend 01'!C60),(58&lt;'V06 Calend 01'!D60),(MOD((58-'V06 Calend 01'!C60),6)=0),(((58-'V06 Calend 01'!C60)/6)&lt;='V06 Calend 01'!E60)),IF((58=('V06 Calend 01'!C60+(6*'V06 Calend 01'!E60))),('V06 Calend 01'!H60-('V06 Calend 01'!I60*('V06 Calend 01'!E60-1))),'V06 Calend 01'!I60),0))+IF((58='V06 Calend 01'!D60),'V06 Calend 01'!J60,0))</f>
        <v>0</v>
      </c>
      <c r="BS60" s="2">
        <f>((IF((59='V06 Calend 01'!C60),('V06 Calend 01'!F60+'V06 Calend 01'!G60),0)+IF(AND(('V06 Calend 01'!E60&gt;0),(59&gt;'V06 Calend 01'!C60),(59&lt;'V06 Calend 01'!D60),(MOD((59-'V06 Calend 01'!C60),6)=0),(((59-'V06 Calend 01'!C60)/6)&lt;='V06 Calend 01'!E60)),IF((59=('V06 Calend 01'!C60+(6*'V06 Calend 01'!E60))),('V06 Calend 01'!H60-('V06 Calend 01'!I60*('V06 Calend 01'!E60-1))),'V06 Calend 01'!I60),0))+IF((59='V06 Calend 01'!D60),'V06 Calend 01'!J60,0))</f>
        <v>0</v>
      </c>
      <c r="BT60" s="2">
        <f>((IF((60='V06 Calend 01'!C60),('V06 Calend 01'!F60+'V06 Calend 01'!G60),0)+IF(AND(('V06 Calend 01'!E60&gt;0),(60&gt;'V06 Calend 01'!C60),(60&lt;'V06 Calend 01'!D60),(MOD((60-'V06 Calend 01'!C60),6)=0),(((60-'V06 Calend 01'!C60)/6)&lt;='V06 Calend 01'!E60)),IF((60=('V06 Calend 01'!C60+(6*'V06 Calend 01'!E60))),('V06 Calend 01'!H60-('V06 Calend 01'!I60*('V06 Calend 01'!E60-1))),'V06 Calend 01'!I60),0))+IF((60='V06 Calend 01'!D60),'V06 Calend 01'!J60,0))</f>
        <v>0</v>
      </c>
      <c r="BU60" s="2">
        <f>((IF((61='V06 Calend 01'!C60),('V06 Calend 01'!F60+'V06 Calend 01'!G60),0)+IF(AND(('V06 Calend 01'!E60&gt;0),(61&gt;'V06 Calend 01'!C60),(61&lt;'V06 Calend 01'!D60),(MOD((61-'V06 Calend 01'!C60),6)=0),(((61-'V06 Calend 01'!C60)/6)&lt;='V06 Calend 01'!E60)),IF((61=('V06 Calend 01'!C60+(6*'V06 Calend 01'!E60))),('V06 Calend 01'!H60-('V06 Calend 01'!I60*('V06 Calend 01'!E60-1))),'V06 Calend 01'!I60),0))+IF((61='V06 Calend 01'!D60),'V06 Calend 01'!J60,0))</f>
        <v>0</v>
      </c>
      <c r="BV60" s="2">
        <f>((IF((62='V06 Calend 01'!C60),('V06 Calend 01'!F60+'V06 Calend 01'!G60),0)+IF(AND(('V06 Calend 01'!E60&gt;0),(62&gt;'V06 Calend 01'!C60),(62&lt;'V06 Calend 01'!D60),(MOD((62-'V06 Calend 01'!C60),6)=0),(((62-'V06 Calend 01'!C60)/6)&lt;='V06 Calend 01'!E60)),IF((62=('V06 Calend 01'!C60+(6*'V06 Calend 01'!E60))),('V06 Calend 01'!H60-('V06 Calend 01'!I60*('V06 Calend 01'!E60-1))),'V06 Calend 01'!I60),0))+IF((62='V06 Calend 01'!D60),'V06 Calend 01'!J60,0))</f>
        <v>0</v>
      </c>
      <c r="BW60" s="2">
        <f>((IF((63='V06 Calend 01'!C60),('V06 Calend 01'!F60+'V06 Calend 01'!G60),0)+IF(AND(('V06 Calend 01'!E60&gt;0),(63&gt;'V06 Calend 01'!C60),(63&lt;'V06 Calend 01'!D60),(MOD((63-'V06 Calend 01'!C60),6)=0),(((63-'V06 Calend 01'!C60)/6)&lt;='V06 Calend 01'!E60)),IF((63=('V06 Calend 01'!C60+(6*'V06 Calend 01'!E60))),('V06 Calend 01'!H60-('V06 Calend 01'!I60*('V06 Calend 01'!E60-1))),'V06 Calend 01'!I60),0))+IF((63='V06 Calend 01'!D60),'V06 Calend 01'!J60,0))</f>
        <v>0</v>
      </c>
      <c r="BX60" s="2">
        <f>((IF((64='V06 Calend 01'!C60),('V06 Calend 01'!F60+'V06 Calend 01'!G60),0)+IF(AND(('V06 Calend 01'!E60&gt;0),(64&gt;'V06 Calend 01'!C60),(64&lt;'V06 Calend 01'!D60),(MOD((64-'V06 Calend 01'!C60),6)=0),(((64-'V06 Calend 01'!C60)/6)&lt;='V06 Calend 01'!E60)),IF((64=('V06 Calend 01'!C60+(6*'V06 Calend 01'!E60))),('V06 Calend 01'!H60-('V06 Calend 01'!I60*('V06 Calend 01'!E60-1))),'V06 Calend 01'!I60),0))+IF((64='V06 Calend 01'!D60),'V06 Calend 01'!J60,0))</f>
        <v>0</v>
      </c>
      <c r="BY60" s="2">
        <f>((IF((65='V06 Calend 01'!C60),('V06 Calend 01'!F60+'V06 Calend 01'!G60),0)+IF(AND(('V06 Calend 01'!E60&gt;0),(65&gt;'V06 Calend 01'!C60),(65&lt;'V06 Calend 01'!D60),(MOD((65-'V06 Calend 01'!C60),6)=0),(((65-'V06 Calend 01'!C60)/6)&lt;='V06 Calend 01'!E60)),IF((65=('V06 Calend 01'!C60+(6*'V06 Calend 01'!E60))),('V06 Calend 01'!H60-('V06 Calend 01'!I60*('V06 Calend 01'!E60-1))),'V06 Calend 01'!I60),0))+IF((65='V06 Calend 01'!D60),'V06 Calend 01'!J60,0))</f>
        <v>0</v>
      </c>
      <c r="BZ60" s="2">
        <f>((IF((66='V06 Calend 01'!C60),('V06 Calend 01'!F60+'V06 Calend 01'!G60),0)+IF(AND(('V06 Calend 01'!E60&gt;0),(66&gt;'V06 Calend 01'!C60),(66&lt;'V06 Calend 01'!D60),(MOD((66-'V06 Calend 01'!C60),6)=0),(((66-'V06 Calend 01'!C60)/6)&lt;='V06 Calend 01'!E60)),IF((66=('V06 Calend 01'!C60+(6*'V06 Calend 01'!E60))),('V06 Calend 01'!H60-('V06 Calend 01'!I60*('V06 Calend 01'!E60-1))),'V06 Calend 01'!I60),0))+IF((66='V06 Calend 01'!D60),'V06 Calend 01'!J60,0))</f>
        <v>0</v>
      </c>
      <c r="CA60" s="2">
        <f>((IF((67='V06 Calend 01'!C60),('V06 Calend 01'!F60+'V06 Calend 01'!G60),0)+IF(AND(('V06 Calend 01'!E60&gt;0),(67&gt;'V06 Calend 01'!C60),(67&lt;'V06 Calend 01'!D60),(MOD((67-'V06 Calend 01'!C60),6)=0),(((67-'V06 Calend 01'!C60)/6)&lt;='V06 Calend 01'!E60)),IF((67=('V06 Calend 01'!C60+(6*'V06 Calend 01'!E60))),('V06 Calend 01'!H60-('V06 Calend 01'!I60*('V06 Calend 01'!E60-1))),'V06 Calend 01'!I60),0))+IF((67='V06 Calend 01'!D60),'V06 Calend 01'!J60,0))</f>
        <v>0</v>
      </c>
      <c r="CB60" s="2">
        <f>((IF((68='V06 Calend 01'!C60),('V06 Calend 01'!F60+'V06 Calend 01'!G60),0)+IF(AND(('V06 Calend 01'!E60&gt;0),(68&gt;'V06 Calend 01'!C60),(68&lt;'V06 Calend 01'!D60),(MOD((68-'V06 Calend 01'!C60),6)=0),(((68-'V06 Calend 01'!C60)/6)&lt;='V06 Calend 01'!E60)),IF((68=('V06 Calend 01'!C60+(6*'V06 Calend 01'!E60))),('V06 Calend 01'!H60-('V06 Calend 01'!I60*('V06 Calend 01'!E60-1))),'V06 Calend 01'!I60),0))+IF((68='V06 Calend 01'!D60),'V06 Calend 01'!J60,0))</f>
        <v>0</v>
      </c>
      <c r="CC60" s="2">
        <f>((IF((69='V06 Calend 01'!C60),('V06 Calend 01'!F60+'V06 Calend 01'!G60),0)+IF(AND(('V06 Calend 01'!E60&gt;0),(69&gt;'V06 Calend 01'!C60),(69&lt;'V06 Calend 01'!D60),(MOD((69-'V06 Calend 01'!C60),6)=0),(((69-'V06 Calend 01'!C60)/6)&lt;='V06 Calend 01'!E60)),IF((69=('V06 Calend 01'!C60+(6*'V06 Calend 01'!E60))),('V06 Calend 01'!H60-('V06 Calend 01'!I60*('V06 Calend 01'!E60-1))),'V06 Calend 01'!I60),0))+IF((69='V06 Calend 01'!D60),'V06 Calend 01'!J60,0))</f>
        <v>0</v>
      </c>
      <c r="CD60" s="2">
        <f>((IF((70='V06 Calend 01'!C60),('V06 Calend 01'!F60+'V06 Calend 01'!G60),0)+IF(AND(('V06 Calend 01'!E60&gt;0),(70&gt;'V06 Calend 01'!C60),(70&lt;'V06 Calend 01'!D60),(MOD((70-'V06 Calend 01'!C60),6)=0),(((70-'V06 Calend 01'!C60)/6)&lt;='V06 Calend 01'!E60)),IF((70=('V06 Calend 01'!C60+(6*'V06 Calend 01'!E60))),('V06 Calend 01'!H60-('V06 Calend 01'!I60*('V06 Calend 01'!E60-1))),'V06 Calend 01'!I60),0))+IF((70='V06 Calend 01'!D60),'V06 Calend 01'!J60,0))</f>
        <v>0</v>
      </c>
      <c r="CE60" s="2">
        <f>((IF((71='V06 Calend 01'!C60),('V06 Calend 01'!F60+'V06 Calend 01'!G60),0)+IF(AND(('V06 Calend 01'!E60&gt;0),(71&gt;'V06 Calend 01'!C60),(71&lt;'V06 Calend 01'!D60),(MOD((71-'V06 Calend 01'!C60),6)=0),(((71-'V06 Calend 01'!C60)/6)&lt;='V06 Calend 01'!E60)),IF((71=('V06 Calend 01'!C60+(6*'V06 Calend 01'!E60))),('V06 Calend 01'!H60-('V06 Calend 01'!I60*('V06 Calend 01'!E60-1))),'V06 Calend 01'!I60),0))+IF((71='V06 Calend 01'!D60),'V06 Calend 01'!J60,0))</f>
        <v>0</v>
      </c>
      <c r="CF60" s="2">
        <f>((IF((72='V06 Calend 01'!C60),('V06 Calend 01'!F60+'V06 Calend 01'!G60),0)+IF(AND(('V06 Calend 01'!E60&gt;0),(72&gt;'V06 Calend 01'!C60),(72&lt;'V06 Calend 01'!D60),(MOD((72-'V06 Calend 01'!C60),6)=0),(((72-'V06 Calend 01'!C60)/6)&lt;='V06 Calend 01'!E60)),IF((72=('V06 Calend 01'!C60+(6*'V06 Calend 01'!E60))),('V06 Calend 01'!H60-('V06 Calend 01'!I60*('V06 Calend 01'!E60-1))),'V06 Calend 01'!I60),0))+IF((72='V06 Calend 01'!D60),'V06 Calend 01'!J60,0))</f>
        <v>0</v>
      </c>
      <c r="CG60" s="2">
        <f>((IF((73='V06 Calend 01'!C60),('V06 Calend 01'!F60+'V06 Calend 01'!G60),0)+IF(AND(('V06 Calend 01'!E60&gt;0),(73&gt;'V06 Calend 01'!C60),(73&lt;'V06 Calend 01'!D60),(MOD((73-'V06 Calend 01'!C60),6)=0),(((73-'V06 Calend 01'!C60)/6)&lt;='V06 Calend 01'!E60)),IF((73=('V06 Calend 01'!C60+(6*'V06 Calend 01'!E60))),('V06 Calend 01'!H60-('V06 Calend 01'!I60*('V06 Calend 01'!E60-1))),'V06 Calend 01'!I60),0))+IF((73='V06 Calend 01'!D60),'V06 Calend 01'!J60,0))</f>
        <v>0</v>
      </c>
      <c r="CH60" s="2">
        <f>((IF((74='V06 Calend 01'!C60),('V06 Calend 01'!F60+'V06 Calend 01'!G60),0)+IF(AND(('V06 Calend 01'!E60&gt;0),(74&gt;'V06 Calend 01'!C60),(74&lt;'V06 Calend 01'!D60),(MOD((74-'V06 Calend 01'!C60),6)=0),(((74-'V06 Calend 01'!C60)/6)&lt;='V06 Calend 01'!E60)),IF((74=('V06 Calend 01'!C60+(6*'V06 Calend 01'!E60))),('V06 Calend 01'!H60-('V06 Calend 01'!I60*('V06 Calend 01'!E60-1))),'V06 Calend 01'!I60),0))+IF((74='V06 Calend 01'!D60),'V06 Calend 01'!J60,0))</f>
        <v>0</v>
      </c>
      <c r="CI60" s="2">
        <f>((IF((75='V06 Calend 01'!C60),('V06 Calend 01'!F60+'V06 Calend 01'!G60),0)+IF(AND(('V06 Calend 01'!E60&gt;0),(75&gt;'V06 Calend 01'!C60),(75&lt;'V06 Calend 01'!D60),(MOD((75-'V06 Calend 01'!C60),6)=0),(((75-'V06 Calend 01'!C60)/6)&lt;='V06 Calend 01'!E60)),IF((75=('V06 Calend 01'!C60+(6*'V06 Calend 01'!E60))),('V06 Calend 01'!H60-('V06 Calend 01'!I60*('V06 Calend 01'!E60-1))),'V06 Calend 01'!I60),0))+IF((75='V06 Calend 01'!D60),'V06 Calend 01'!J60,0))</f>
        <v>0</v>
      </c>
      <c r="CJ60" s="2">
        <f>((IF((76='V06 Calend 01'!C60),('V06 Calend 01'!F60+'V06 Calend 01'!G60),0)+IF(AND(('V06 Calend 01'!E60&gt;0),(76&gt;'V06 Calend 01'!C60),(76&lt;'V06 Calend 01'!D60),(MOD((76-'V06 Calend 01'!C60),6)=0),(((76-'V06 Calend 01'!C60)/6)&lt;='V06 Calend 01'!E60)),IF((76=('V06 Calend 01'!C60+(6*'V06 Calend 01'!E60))),('V06 Calend 01'!H60-('V06 Calend 01'!I60*('V06 Calend 01'!E60-1))),'V06 Calend 01'!I60),0))+IF((76='V06 Calend 01'!D60),'V06 Calend 01'!J60,0))</f>
        <v>0</v>
      </c>
      <c r="CK60" s="2">
        <f>((IF((77='V06 Calend 01'!C60),('V06 Calend 01'!F60+'V06 Calend 01'!G60),0)+IF(AND(('V06 Calend 01'!E60&gt;0),(77&gt;'V06 Calend 01'!C60),(77&lt;'V06 Calend 01'!D60),(MOD((77-'V06 Calend 01'!C60),6)=0),(((77-'V06 Calend 01'!C60)/6)&lt;='V06 Calend 01'!E60)),IF((77=('V06 Calend 01'!C60+(6*'V06 Calend 01'!E60))),('V06 Calend 01'!H60-('V06 Calend 01'!I60*('V06 Calend 01'!E60-1))),'V06 Calend 01'!I60),0))+IF((77='V06 Calend 01'!D60),'V06 Calend 01'!J60,0))</f>
        <v>0</v>
      </c>
      <c r="CL60" s="2">
        <f>((IF((78='V06 Calend 01'!C60),('V06 Calend 01'!F60+'V06 Calend 01'!G60),0)+IF(AND(('V06 Calend 01'!E60&gt;0),(78&gt;'V06 Calend 01'!C60),(78&lt;'V06 Calend 01'!D60),(MOD((78-'V06 Calend 01'!C60),6)=0),(((78-'V06 Calend 01'!C60)/6)&lt;='V06 Calend 01'!E60)),IF((78=('V06 Calend 01'!C60+(6*'V06 Calend 01'!E60))),('V06 Calend 01'!H60-('V06 Calend 01'!I60*('V06 Calend 01'!E60-1))),'V06 Calend 01'!I60),0))+IF((78='V06 Calend 01'!D60),'V06 Calend 01'!J60,0))</f>
        <v>0</v>
      </c>
      <c r="CM60" s="2">
        <f>((IF((79='V06 Calend 01'!C60),('V06 Calend 01'!F60+'V06 Calend 01'!G60),0)+IF(AND(('V06 Calend 01'!E60&gt;0),(79&gt;'V06 Calend 01'!C60),(79&lt;'V06 Calend 01'!D60),(MOD((79-'V06 Calend 01'!C60),6)=0),(((79-'V06 Calend 01'!C60)/6)&lt;='V06 Calend 01'!E60)),IF((79=('V06 Calend 01'!C60+(6*'V06 Calend 01'!E60))),('V06 Calend 01'!H60-('V06 Calend 01'!I60*('V06 Calend 01'!E60-1))),'V06 Calend 01'!I60),0))+IF((79='V06 Calend 01'!D60),'V06 Calend 01'!J60,0))</f>
        <v>0</v>
      </c>
      <c r="CN60" s="2">
        <f>((IF((80='V06 Calend 01'!C60),('V06 Calend 01'!F60+'V06 Calend 01'!G60),0)+IF(AND(('V06 Calend 01'!E60&gt;0),(80&gt;'V06 Calend 01'!C60),(80&lt;'V06 Calend 01'!D60),(MOD((80-'V06 Calend 01'!C60),6)=0),(((80-'V06 Calend 01'!C60)/6)&lt;='V06 Calend 01'!E60)),IF((80=('V06 Calend 01'!C60+(6*'V06 Calend 01'!E60))),('V06 Calend 01'!H60-('V06 Calend 01'!I60*('V06 Calend 01'!E60-1))),'V06 Calend 01'!I60),0))+IF((80='V06 Calend 01'!D60),'V06 Calend 01'!J60,0))</f>
        <v>0</v>
      </c>
      <c r="CO60" s="2">
        <f>((IF((81='V06 Calend 01'!C60),('V06 Calend 01'!F60+'V06 Calend 01'!G60),0)+IF(AND(('V06 Calend 01'!E60&gt;0),(81&gt;'V06 Calend 01'!C60),(81&lt;'V06 Calend 01'!D60),(MOD((81-'V06 Calend 01'!C60),6)=0),(((81-'V06 Calend 01'!C60)/6)&lt;='V06 Calend 01'!E60)),IF((81=('V06 Calend 01'!C60+(6*'V06 Calend 01'!E60))),('V06 Calend 01'!H60-('V06 Calend 01'!I60*('V06 Calend 01'!E60-1))),'V06 Calend 01'!I60),0))+IF((81='V06 Calend 01'!D60),'V06 Calend 01'!J60,0))</f>
        <v>0</v>
      </c>
      <c r="CP60" s="2">
        <f>((IF((82='V06 Calend 01'!C60),('V06 Calend 01'!F60+'V06 Calend 01'!G60),0)+IF(AND(('V06 Calend 01'!E60&gt;0),(82&gt;'V06 Calend 01'!C60),(82&lt;'V06 Calend 01'!D60),(MOD((82-'V06 Calend 01'!C60),6)=0),(((82-'V06 Calend 01'!C60)/6)&lt;='V06 Calend 01'!E60)),IF((82=('V06 Calend 01'!C60+(6*'V06 Calend 01'!E60))),('V06 Calend 01'!H60-('V06 Calend 01'!I60*('V06 Calend 01'!E60-1))),'V06 Calend 01'!I60),0))+IF((82='V06 Calend 01'!D60),'V06 Calend 01'!J60,0))</f>
        <v>0</v>
      </c>
      <c r="CQ60" s="2">
        <f>((IF((83='V06 Calend 01'!C60),('V06 Calend 01'!F60+'V06 Calend 01'!G60),0)+IF(AND(('V06 Calend 01'!E60&gt;0),(83&gt;'V06 Calend 01'!C60),(83&lt;'V06 Calend 01'!D60),(MOD((83-'V06 Calend 01'!C60),6)=0),(((83-'V06 Calend 01'!C60)/6)&lt;='V06 Calend 01'!E60)),IF((83=('V06 Calend 01'!C60+(6*'V06 Calend 01'!E60))),('V06 Calend 01'!H60-('V06 Calend 01'!I60*('V06 Calend 01'!E60-1))),'V06 Calend 01'!I60),0))+IF((83='V06 Calend 01'!D60),'V06 Calend 01'!J60,0))</f>
        <v>0</v>
      </c>
      <c r="CR60" s="2">
        <f>((IF((84='V06 Calend 01'!C60),('V06 Calend 01'!F60+'V06 Calend 01'!G60),0)+IF(AND(('V06 Calend 01'!E60&gt;0),(84&gt;'V06 Calend 01'!C60),(84&lt;'V06 Calend 01'!D60),(MOD((84-'V06 Calend 01'!C60),6)=0),(((84-'V06 Calend 01'!C60)/6)&lt;='V06 Calend 01'!E60)),IF((84=('V06 Calend 01'!C60+(6*'V06 Calend 01'!E60))),('V06 Calend 01'!H60-('V06 Calend 01'!I60*('V06 Calend 01'!E60-1))),'V06 Calend 01'!I60),0))+IF((84='V06 Calend 01'!D60),'V06 Calend 01'!J60,0))</f>
        <v>0</v>
      </c>
      <c r="CS60" s="2">
        <f>((IF((85='V06 Calend 01'!C60),('V06 Calend 01'!F60+'V06 Calend 01'!G60),0)+IF(AND(('V06 Calend 01'!E60&gt;0),(85&gt;'V06 Calend 01'!C60),(85&lt;'V06 Calend 01'!D60),(MOD((85-'V06 Calend 01'!C60),6)=0),(((85-'V06 Calend 01'!C60)/6)&lt;='V06 Calend 01'!E60)),IF((85=('V06 Calend 01'!C60+(6*'V06 Calend 01'!E60))),('V06 Calend 01'!H60-('V06 Calend 01'!I60*('V06 Calend 01'!E60-1))),'V06 Calend 01'!I60),0))+IF((85='V06 Calend 01'!D60),'V06 Calend 01'!J60,0))</f>
        <v>0</v>
      </c>
      <c r="CT60" s="2">
        <f>((IF((86='V06 Calend 01'!C60),('V06 Calend 01'!F60+'V06 Calend 01'!G60),0)+IF(AND(('V06 Calend 01'!E60&gt;0),(86&gt;'V06 Calend 01'!C60),(86&lt;'V06 Calend 01'!D60),(MOD((86-'V06 Calend 01'!C60),6)=0),(((86-'V06 Calend 01'!C60)/6)&lt;='V06 Calend 01'!E60)),IF((86=('V06 Calend 01'!C60+(6*'V06 Calend 01'!E60))),('V06 Calend 01'!H60-('V06 Calend 01'!I60*('V06 Calend 01'!E60-1))),'V06 Calend 01'!I60),0))+IF((86='V06 Calend 01'!D60),'V06 Calend 01'!J60,0))</f>
        <v>0</v>
      </c>
      <c r="CU60" s="2">
        <f>((IF((87='V06 Calend 01'!C60),('V06 Calend 01'!F60+'V06 Calend 01'!G60),0)+IF(AND(('V06 Calend 01'!E60&gt;0),(87&gt;'V06 Calend 01'!C60),(87&lt;'V06 Calend 01'!D60),(MOD((87-'V06 Calend 01'!C60),6)=0),(((87-'V06 Calend 01'!C60)/6)&lt;='V06 Calend 01'!E60)),IF((87=('V06 Calend 01'!C60+(6*'V06 Calend 01'!E60))),('V06 Calend 01'!H60-('V06 Calend 01'!I60*('V06 Calend 01'!E60-1))),'V06 Calend 01'!I60),0))+IF((87='V06 Calend 01'!D60),'V06 Calend 01'!J60,0))</f>
        <v>0</v>
      </c>
      <c r="CV60" s="2">
        <f>((IF((88='V06 Calend 01'!C60),('V06 Calend 01'!F60+'V06 Calend 01'!G60),0)+IF(AND(('V06 Calend 01'!E60&gt;0),(88&gt;'V06 Calend 01'!C60),(88&lt;'V06 Calend 01'!D60),(MOD((88-'V06 Calend 01'!C60),6)=0),(((88-'V06 Calend 01'!C60)/6)&lt;='V06 Calend 01'!E60)),IF((88=('V06 Calend 01'!C60+(6*'V06 Calend 01'!E60))),('V06 Calend 01'!H60-('V06 Calend 01'!I60*('V06 Calend 01'!E60-1))),'V06 Calend 01'!I60),0))+IF((88='V06 Calend 01'!D60),'V06 Calend 01'!J60,0))</f>
        <v>0</v>
      </c>
      <c r="CW60" s="2">
        <f>((IF((89='V06 Calend 01'!C60),('V06 Calend 01'!F60+'V06 Calend 01'!G60),0)+IF(AND(('V06 Calend 01'!E60&gt;0),(89&gt;'V06 Calend 01'!C60),(89&lt;'V06 Calend 01'!D60),(MOD((89-'V06 Calend 01'!C60),6)=0),(((89-'V06 Calend 01'!C60)/6)&lt;='V06 Calend 01'!E60)),IF((89=('V06 Calend 01'!C60+(6*'V06 Calend 01'!E60))),('V06 Calend 01'!H60-('V06 Calend 01'!I60*('V06 Calend 01'!E60-1))),'V06 Calend 01'!I60),0))+IF((89='V06 Calend 01'!D60),'V06 Calend 01'!J60,0))</f>
        <v>0</v>
      </c>
      <c r="CX60" s="2">
        <f>((IF((90='V06 Calend 01'!C60),('V06 Calend 01'!F60+'V06 Calend 01'!G60),0)+IF(AND(('V06 Calend 01'!E60&gt;0),(90&gt;'V06 Calend 01'!C60),(90&lt;'V06 Calend 01'!D60),(MOD((90-'V06 Calend 01'!C60),6)=0),(((90-'V06 Calend 01'!C60)/6)&lt;='V06 Calend 01'!E60)),IF((90=('V06 Calend 01'!C60+(6*'V06 Calend 01'!E60))),('V06 Calend 01'!H60-('V06 Calend 01'!I60*('V06 Calend 01'!E60-1))),'V06 Calend 01'!I60),0))+IF((90='V06 Calend 01'!D60),'V06 Calend 01'!J60,0))</f>
        <v>0</v>
      </c>
      <c r="CY60" s="2">
        <f>((IF((91='V06 Calend 01'!C60),('V06 Calend 01'!F60+'V06 Calend 01'!G60),0)+IF(AND(('V06 Calend 01'!E60&gt;0),(91&gt;'V06 Calend 01'!C60),(91&lt;'V06 Calend 01'!D60),(MOD((91-'V06 Calend 01'!C60),6)=0),(((91-'V06 Calend 01'!C60)/6)&lt;='V06 Calend 01'!E60)),IF((91=('V06 Calend 01'!C60+(6*'V06 Calend 01'!E60))),('V06 Calend 01'!H60-('V06 Calend 01'!I60*('V06 Calend 01'!E60-1))),'V06 Calend 01'!I60),0))+IF((91='V06 Calend 01'!D60),'V06 Calend 01'!J60,0))</f>
        <v>0</v>
      </c>
      <c r="CZ60" s="2">
        <f>((IF((92='V06 Calend 01'!C60),('V06 Calend 01'!F60+'V06 Calend 01'!G60),0)+IF(AND(('V06 Calend 01'!E60&gt;0),(92&gt;'V06 Calend 01'!C60),(92&lt;'V06 Calend 01'!D60),(MOD((92-'V06 Calend 01'!C60),6)=0),(((92-'V06 Calend 01'!C60)/6)&lt;='V06 Calend 01'!E60)),IF((92=('V06 Calend 01'!C60+(6*'V06 Calend 01'!E60))),('V06 Calend 01'!H60-('V06 Calend 01'!I60*('V06 Calend 01'!E60-1))),'V06 Calend 01'!I60),0))+IF((92='V06 Calend 01'!D60),'V06 Calend 01'!J60,0))</f>
        <v>0</v>
      </c>
      <c r="DA60" s="2">
        <f>((IF((93='V06 Calend 01'!C60),('V06 Calend 01'!F60+'V06 Calend 01'!G60),0)+IF(AND(('V06 Calend 01'!E60&gt;0),(93&gt;'V06 Calend 01'!C60),(93&lt;'V06 Calend 01'!D60),(MOD((93-'V06 Calend 01'!C60),6)=0),(((93-'V06 Calend 01'!C60)/6)&lt;='V06 Calend 01'!E60)),IF((93=('V06 Calend 01'!C60+(6*'V06 Calend 01'!E60))),('V06 Calend 01'!H60-('V06 Calend 01'!I60*('V06 Calend 01'!E60-1))),'V06 Calend 01'!I60),0))+IF((93='V06 Calend 01'!D60),'V06 Calend 01'!J60,0))</f>
        <v>0</v>
      </c>
      <c r="DB60" s="2">
        <f>((IF((94='V06 Calend 01'!C60),('V06 Calend 01'!F60+'V06 Calend 01'!G60),0)+IF(AND(('V06 Calend 01'!E60&gt;0),(94&gt;'V06 Calend 01'!C60),(94&lt;'V06 Calend 01'!D60),(MOD((94-'V06 Calend 01'!C60),6)=0),(((94-'V06 Calend 01'!C60)/6)&lt;='V06 Calend 01'!E60)),IF((94=('V06 Calend 01'!C60+(6*'V06 Calend 01'!E60))),('V06 Calend 01'!H60-('V06 Calend 01'!I60*('V06 Calend 01'!E60-1))),'V06 Calend 01'!I60),0))+IF((94='V06 Calend 01'!D60),'V06 Calend 01'!J60,0))</f>
        <v>0</v>
      </c>
      <c r="DC60" s="2">
        <f>((IF((95='V06 Calend 01'!C60),('V06 Calend 01'!F60+'V06 Calend 01'!G60),0)+IF(AND(('V06 Calend 01'!E60&gt;0),(95&gt;'V06 Calend 01'!C60),(95&lt;'V06 Calend 01'!D60),(MOD((95-'V06 Calend 01'!C60),6)=0),(((95-'V06 Calend 01'!C60)/6)&lt;='V06 Calend 01'!E60)),IF((95=('V06 Calend 01'!C60+(6*'V06 Calend 01'!E60))),('V06 Calend 01'!H60-('V06 Calend 01'!I60*('V06 Calend 01'!E60-1))),'V06 Calend 01'!I60),0))+IF((95='V06 Calend 01'!D60),'V06 Calend 01'!J60,0))</f>
        <v>0</v>
      </c>
      <c r="DD60" s="2">
        <f>((IF((96='V06 Calend 01'!C60),('V06 Calend 01'!F60+'V06 Calend 01'!G60),0)+IF(AND(('V06 Calend 01'!E60&gt;0),(96&gt;'V06 Calend 01'!C60),(96&lt;'V06 Calend 01'!D60),(MOD((96-'V06 Calend 01'!C60),6)=0),(((96-'V06 Calend 01'!C60)/6)&lt;='V06 Calend 01'!E60)),IF((96=('V06 Calend 01'!C60+(6*'V06 Calend 01'!E60))),('V06 Calend 01'!H60-('V06 Calend 01'!I60*('V06 Calend 01'!E60-1))),'V06 Calend 01'!I60),0))+IF((96='V06 Calend 01'!D60),'V06 Calend 01'!J60,0))</f>
        <v>0</v>
      </c>
      <c r="DE60" s="2">
        <f>((IF((97='V06 Calend 01'!C60),('V06 Calend 01'!F60+'V06 Calend 01'!G60),0)+IF(AND(('V06 Calend 01'!E60&gt;0),(97&gt;'V06 Calend 01'!C60),(97&lt;'V06 Calend 01'!D60),(MOD((97-'V06 Calend 01'!C60),6)=0),(((97-'V06 Calend 01'!C60)/6)&lt;='V06 Calend 01'!E60)),IF((97=('V06 Calend 01'!C60+(6*'V06 Calend 01'!E60))),('V06 Calend 01'!H60-('V06 Calend 01'!I60*('V06 Calend 01'!E60-1))),'V06 Calend 01'!I60),0))+IF((97='V06 Calend 01'!D60),'V06 Calend 01'!J60,0))</f>
        <v>0</v>
      </c>
      <c r="DF60" s="2">
        <f>((IF((98='V06 Calend 01'!C60),('V06 Calend 01'!F60+'V06 Calend 01'!G60),0)+IF(AND(('V06 Calend 01'!E60&gt;0),(98&gt;'V06 Calend 01'!C60),(98&lt;'V06 Calend 01'!D60),(MOD((98-'V06 Calend 01'!C60),6)=0),(((98-'V06 Calend 01'!C60)/6)&lt;='V06 Calend 01'!E60)),IF((98=('V06 Calend 01'!C60+(6*'V06 Calend 01'!E60))),('V06 Calend 01'!H60-('V06 Calend 01'!I60*('V06 Calend 01'!E60-1))),'V06 Calend 01'!I60),0))+IF((98='V06 Calend 01'!D60),'V06 Calend 01'!J60,0))</f>
        <v>0</v>
      </c>
      <c r="DG60" s="2">
        <f>((IF((99='V06 Calend 01'!C60),('V06 Calend 01'!F60+'V06 Calend 01'!G60),0)+IF(AND(('V06 Calend 01'!E60&gt;0),(99&gt;'V06 Calend 01'!C60),(99&lt;'V06 Calend 01'!D60),(MOD((99-'V06 Calend 01'!C60),6)=0),(((99-'V06 Calend 01'!C60)/6)&lt;='V06 Calend 01'!E60)),IF((99=('V06 Calend 01'!C60+(6*'V06 Calend 01'!E60))),('V06 Calend 01'!H60-('V06 Calend 01'!I60*('V06 Calend 01'!E60-1))),'V06 Calend 01'!I60),0))+IF((99='V06 Calend 01'!D60),'V06 Calend 01'!J60,0))</f>
        <v>0</v>
      </c>
      <c r="DH60" s="2">
        <f>((IF((100='V06 Calend 01'!C60),('V06 Calend 01'!F60+'V06 Calend 01'!G60),0)+IF(AND(('V06 Calend 01'!E60&gt;0),(100&gt;'V06 Calend 01'!C60),(100&lt;'V06 Calend 01'!D60),(MOD((100-'V06 Calend 01'!C60),6)=0),(((100-'V06 Calend 01'!C60)/6)&lt;='V06 Calend 01'!E60)),IF((100=('V06 Calend 01'!C60+(6*'V06 Calend 01'!E60))),('V06 Calend 01'!H60-('V06 Calend 01'!I60*('V06 Calend 01'!E60-1))),'V06 Calend 01'!I60),0))+IF((100='V06 Calend 01'!D60),'V06 Calend 01'!J60,0))</f>
        <v>0</v>
      </c>
      <c r="DI60" s="2">
        <f>((IF((101='V06 Calend 01'!C60),('V06 Calend 01'!F60+'V06 Calend 01'!G60),0)+IF(AND(('V06 Calend 01'!E60&gt;0),(101&gt;'V06 Calend 01'!C60),(101&lt;'V06 Calend 01'!D60),(MOD((101-'V06 Calend 01'!C60),6)=0),(((101-'V06 Calend 01'!C60)/6)&lt;='V06 Calend 01'!E60)),IF((101=('V06 Calend 01'!C60+(6*'V06 Calend 01'!E60))),('V06 Calend 01'!H60-('V06 Calend 01'!I60*('V06 Calend 01'!E60-1))),'V06 Calend 01'!I60),0))+IF((101='V06 Calend 01'!D60),'V06 Calend 01'!J60,0))</f>
        <v>0</v>
      </c>
      <c r="DJ60" s="2">
        <f>((IF((102='V06 Calend 01'!C60),('V06 Calend 01'!F60+'V06 Calend 01'!G60),0)+IF(AND(('V06 Calend 01'!E60&gt;0),(102&gt;'V06 Calend 01'!C60),(102&lt;'V06 Calend 01'!D60),(MOD((102-'V06 Calend 01'!C60),6)=0),(((102-'V06 Calend 01'!C60)/6)&lt;='V06 Calend 01'!E60)),IF((102=('V06 Calend 01'!C60+(6*'V06 Calend 01'!E60))),('V06 Calend 01'!H60-('V06 Calend 01'!I60*('V06 Calend 01'!E60-1))),'V06 Calend 01'!I60),0))+IF((102='V06 Calend 01'!D60),'V06 Calend 01'!J60,0))</f>
        <v>0</v>
      </c>
      <c r="DK60" s="2">
        <f>((IF((103='V06 Calend 01'!C60),('V06 Calend 01'!F60+'V06 Calend 01'!G60),0)+IF(AND(('V06 Calend 01'!E60&gt;0),(103&gt;'V06 Calend 01'!C60),(103&lt;'V06 Calend 01'!D60),(MOD((103-'V06 Calend 01'!C60),6)=0),(((103-'V06 Calend 01'!C60)/6)&lt;='V06 Calend 01'!E60)),IF((103=('V06 Calend 01'!C60+(6*'V06 Calend 01'!E60))),('V06 Calend 01'!H60-('V06 Calend 01'!I60*('V06 Calend 01'!E60-1))),'V06 Calend 01'!I60),0))+IF((103='V06 Calend 01'!D60),'V06 Calend 01'!J60,0))</f>
        <v>0</v>
      </c>
      <c r="DL60" s="2">
        <f>((IF((104='V06 Calend 01'!C60),('V06 Calend 01'!F60+'V06 Calend 01'!G60),0)+IF(AND(('V06 Calend 01'!E60&gt;0),(104&gt;'V06 Calend 01'!C60),(104&lt;'V06 Calend 01'!D60),(MOD((104-'V06 Calend 01'!C60),6)=0),(((104-'V06 Calend 01'!C60)/6)&lt;='V06 Calend 01'!E60)),IF((104=('V06 Calend 01'!C60+(6*'V06 Calend 01'!E60))),('V06 Calend 01'!H60-('V06 Calend 01'!I60*('V06 Calend 01'!E60-1))),'V06 Calend 01'!I60),0))+IF((104='V06 Calend 01'!D60),'V06 Calend 01'!J60,0))</f>
        <v>0</v>
      </c>
      <c r="DM60" s="2">
        <f>((IF((105='V06 Calend 01'!C60),('V06 Calend 01'!F60+'V06 Calend 01'!G60),0)+IF(AND(('V06 Calend 01'!E60&gt;0),(105&gt;'V06 Calend 01'!C60),(105&lt;'V06 Calend 01'!D60),(MOD((105-'V06 Calend 01'!C60),6)=0),(((105-'V06 Calend 01'!C60)/6)&lt;='V06 Calend 01'!E60)),IF((105=('V06 Calend 01'!C60+(6*'V06 Calend 01'!E60))),('V06 Calend 01'!H60-('V06 Calend 01'!I60*('V06 Calend 01'!E60-1))),'V06 Calend 01'!I60),0))+IF((105='V06 Calend 01'!D60),'V06 Calend 01'!J60,0))</f>
        <v>0</v>
      </c>
      <c r="DN60" s="2">
        <f>((IF((106='V06 Calend 01'!C60),('V06 Calend 01'!F60+'V06 Calend 01'!G60),0)+IF(AND(('V06 Calend 01'!E60&gt;0),(106&gt;'V06 Calend 01'!C60),(106&lt;'V06 Calend 01'!D60),(MOD((106-'V06 Calend 01'!C60),6)=0),(((106-'V06 Calend 01'!C60)/6)&lt;='V06 Calend 01'!E60)),IF((106=('V06 Calend 01'!C60+(6*'V06 Calend 01'!E60))),('V06 Calend 01'!H60-('V06 Calend 01'!I60*('V06 Calend 01'!E60-1))),'V06 Calend 01'!I60),0))+IF((106='V06 Calend 01'!D60),'V06 Calend 01'!J60,0))</f>
        <v>0</v>
      </c>
      <c r="DO60" s="2">
        <f>((IF((107='V06 Calend 01'!C60),('V06 Calend 01'!F60+'V06 Calend 01'!G60),0)+IF(AND(('V06 Calend 01'!E60&gt;0),(107&gt;'V06 Calend 01'!C60),(107&lt;'V06 Calend 01'!D60),(MOD((107-'V06 Calend 01'!C60),6)=0),(((107-'V06 Calend 01'!C60)/6)&lt;='V06 Calend 01'!E60)),IF((107=('V06 Calend 01'!C60+(6*'V06 Calend 01'!E60))),('V06 Calend 01'!H60-('V06 Calend 01'!I60*('V06 Calend 01'!E60-1))),'V06 Calend 01'!I60),0))+IF((107='V06 Calend 01'!D60),'V06 Calend 01'!J60,0))</f>
        <v>0</v>
      </c>
      <c r="DP60" s="2">
        <f>((IF((108='V06 Calend 01'!C60),('V06 Calend 01'!F60+'V06 Calend 01'!G60),0)+IF(AND(('V06 Calend 01'!E60&gt;0),(108&gt;'V06 Calend 01'!C60),(108&lt;'V06 Calend 01'!D60),(MOD((108-'V06 Calend 01'!C60),6)=0),(((108-'V06 Calend 01'!C60)/6)&lt;='V06 Calend 01'!E60)),IF((108=('V06 Calend 01'!C60+(6*'V06 Calend 01'!E60))),('V06 Calend 01'!H60-('V06 Calend 01'!I60*('V06 Calend 01'!E60-1))),'V06 Calend 01'!I60),0))+IF((108='V06 Calend 01'!D60),'V06 Calend 01'!J60,0))</f>
        <v>0</v>
      </c>
      <c r="DQ60" s="2">
        <f>((IF((109='V06 Calend 01'!C60),('V06 Calend 01'!F60+'V06 Calend 01'!G60),0)+IF(AND(('V06 Calend 01'!E60&gt;0),(109&gt;'V06 Calend 01'!C60),(109&lt;'V06 Calend 01'!D60),(MOD((109-'V06 Calend 01'!C60),6)=0),(((109-'V06 Calend 01'!C60)/6)&lt;='V06 Calend 01'!E60)),IF((109=('V06 Calend 01'!C60+(6*'V06 Calend 01'!E60))),('V06 Calend 01'!H60-('V06 Calend 01'!I60*('V06 Calend 01'!E60-1))),'V06 Calend 01'!I60),0))+IF((109='V06 Calend 01'!D60),'V06 Calend 01'!J60,0))</f>
        <v>0</v>
      </c>
      <c r="DR60" s="2">
        <f>((IF((110='V06 Calend 01'!C60),('V06 Calend 01'!F60+'V06 Calend 01'!G60),0)+IF(AND(('V06 Calend 01'!E60&gt;0),(110&gt;'V06 Calend 01'!C60),(110&lt;'V06 Calend 01'!D60),(MOD((110-'V06 Calend 01'!C60),6)=0),(((110-'V06 Calend 01'!C60)/6)&lt;='V06 Calend 01'!E60)),IF((110=('V06 Calend 01'!C60+(6*'V06 Calend 01'!E60))),('V06 Calend 01'!H60-('V06 Calend 01'!I60*('V06 Calend 01'!E60-1))),'V06 Calend 01'!I60),0))+IF((110='V06 Calend 01'!D60),'V06 Calend 01'!J60,0))</f>
        <v>0</v>
      </c>
      <c r="DS60" s="2">
        <f>((IF((111='V06 Calend 01'!C60),('V06 Calend 01'!F60+'V06 Calend 01'!G60),0)+IF(AND(('V06 Calend 01'!E60&gt;0),(111&gt;'V06 Calend 01'!C60),(111&lt;'V06 Calend 01'!D60),(MOD((111-'V06 Calend 01'!C60),6)=0),(((111-'V06 Calend 01'!C60)/6)&lt;='V06 Calend 01'!E60)),IF((111=('V06 Calend 01'!C60+(6*'V06 Calend 01'!E60))),('V06 Calend 01'!H60-('V06 Calend 01'!I60*('V06 Calend 01'!E60-1))),'V06 Calend 01'!I60),0))+IF((111='V06 Calend 01'!D60),'V06 Calend 01'!J60,0))</f>
        <v>0</v>
      </c>
      <c r="DT60" s="2">
        <f>((IF((112='V06 Calend 01'!C60),('V06 Calend 01'!F60+'V06 Calend 01'!G60),0)+IF(AND(('V06 Calend 01'!E60&gt;0),(112&gt;'V06 Calend 01'!C60),(112&lt;'V06 Calend 01'!D60),(MOD((112-'V06 Calend 01'!C60),6)=0),(((112-'V06 Calend 01'!C60)/6)&lt;='V06 Calend 01'!E60)),IF((112=('V06 Calend 01'!C60+(6*'V06 Calend 01'!E60))),('V06 Calend 01'!H60-('V06 Calend 01'!I60*('V06 Calend 01'!E60-1))),'V06 Calend 01'!I60),0))+IF((112='V06 Calend 01'!D60),'V06 Calend 01'!J60,0))</f>
        <v>0</v>
      </c>
      <c r="DU60" s="2">
        <f>((IF((113='V06 Calend 01'!C60),('V06 Calend 01'!F60+'V06 Calend 01'!G60),0)+IF(AND(('V06 Calend 01'!E60&gt;0),(113&gt;'V06 Calend 01'!C60),(113&lt;'V06 Calend 01'!D60),(MOD((113-'V06 Calend 01'!C60),6)=0),(((113-'V06 Calend 01'!C60)/6)&lt;='V06 Calend 01'!E60)),IF((113=('V06 Calend 01'!C60+(6*'V06 Calend 01'!E60))),('V06 Calend 01'!H60-('V06 Calend 01'!I60*('V06 Calend 01'!E60-1))),'V06 Calend 01'!I60),0))+IF((113='V06 Calend 01'!D60),'V06 Calend 01'!J60,0))</f>
        <v>0</v>
      </c>
      <c r="DV60" s="2">
        <f>((IF((114='V06 Calend 01'!C60),('V06 Calend 01'!F60+'V06 Calend 01'!G60),0)+IF(AND(('V06 Calend 01'!E60&gt;0),(114&gt;'V06 Calend 01'!C60),(114&lt;'V06 Calend 01'!D60),(MOD((114-'V06 Calend 01'!C60),6)=0),(((114-'V06 Calend 01'!C60)/6)&lt;='V06 Calend 01'!E60)),IF((114=('V06 Calend 01'!C60+(6*'V06 Calend 01'!E60))),('V06 Calend 01'!H60-('V06 Calend 01'!I60*('V06 Calend 01'!E60-1))),'V06 Calend 01'!I60),0))+IF((114='V06 Calend 01'!D60),'V06 Calend 01'!J60,0))</f>
        <v>0</v>
      </c>
      <c r="DW60" s="2">
        <f>((IF((115='V06 Calend 01'!C60),('V06 Calend 01'!F60+'V06 Calend 01'!G60),0)+IF(AND(('V06 Calend 01'!E60&gt;0),(115&gt;'V06 Calend 01'!C60),(115&lt;'V06 Calend 01'!D60),(MOD((115-'V06 Calend 01'!C60),6)=0),(((115-'V06 Calend 01'!C60)/6)&lt;='V06 Calend 01'!E60)),IF((115=('V06 Calend 01'!C60+(6*'V06 Calend 01'!E60))),('V06 Calend 01'!H60-('V06 Calend 01'!I60*('V06 Calend 01'!E60-1))),'V06 Calend 01'!I60),0))+IF((115='V06 Calend 01'!D60),'V06 Calend 01'!J60,0))</f>
        <v>0</v>
      </c>
      <c r="DX60" s="2">
        <f>((IF((116='V06 Calend 01'!C60),('V06 Calend 01'!F60+'V06 Calend 01'!G60),0)+IF(AND(('V06 Calend 01'!E60&gt;0),(116&gt;'V06 Calend 01'!C60),(116&lt;'V06 Calend 01'!D60),(MOD((116-'V06 Calend 01'!C60),6)=0),(((116-'V06 Calend 01'!C60)/6)&lt;='V06 Calend 01'!E60)),IF((116=('V06 Calend 01'!C60+(6*'V06 Calend 01'!E60))),('V06 Calend 01'!H60-('V06 Calend 01'!I60*('V06 Calend 01'!E60-1))),'V06 Calend 01'!I60),0))+IF((116='V06 Calend 01'!D60),'V06 Calend 01'!J60,0))</f>
        <v>0</v>
      </c>
      <c r="DY60" s="2">
        <f>((IF((117='V06 Calend 01'!C60),('V06 Calend 01'!F60+'V06 Calend 01'!G60),0)+IF(AND(('V06 Calend 01'!E60&gt;0),(117&gt;'V06 Calend 01'!C60),(117&lt;'V06 Calend 01'!D60),(MOD((117-'V06 Calend 01'!C60),6)=0),(((117-'V06 Calend 01'!C60)/6)&lt;='V06 Calend 01'!E60)),IF((117=('V06 Calend 01'!C60+(6*'V06 Calend 01'!E60))),('V06 Calend 01'!H60-('V06 Calend 01'!I60*('V06 Calend 01'!E60-1))),'V06 Calend 01'!I60),0))+IF((117='V06 Calend 01'!D60),'V06 Calend 01'!J60,0))</f>
        <v>0</v>
      </c>
      <c r="DZ60" s="2">
        <f>((IF((118='V06 Calend 01'!C60),('V06 Calend 01'!F60+'V06 Calend 01'!G60),0)+IF(AND(('V06 Calend 01'!E60&gt;0),(118&gt;'V06 Calend 01'!C60),(118&lt;'V06 Calend 01'!D60),(MOD((118-'V06 Calend 01'!C60),6)=0),(((118-'V06 Calend 01'!C60)/6)&lt;='V06 Calend 01'!E60)),IF((118=('V06 Calend 01'!C60+(6*'V06 Calend 01'!E60))),('V06 Calend 01'!H60-('V06 Calend 01'!I60*('V06 Calend 01'!E60-1))),'V06 Calend 01'!I60),0))+IF((118='V06 Calend 01'!D60),'V06 Calend 01'!J60,0))</f>
        <v>0</v>
      </c>
      <c r="EA60" s="2">
        <f>((IF((119='V06 Calend 01'!C60),('V06 Calend 01'!F60+'V06 Calend 01'!G60),0)+IF(AND(('V06 Calend 01'!E60&gt;0),(119&gt;'V06 Calend 01'!C60),(119&lt;'V06 Calend 01'!D60),(MOD((119-'V06 Calend 01'!C60),6)=0),(((119-'V06 Calend 01'!C60)/6)&lt;='V06 Calend 01'!E60)),IF((119=('V06 Calend 01'!C60+(6*'V06 Calend 01'!E60))),('V06 Calend 01'!H60-('V06 Calend 01'!I60*('V06 Calend 01'!E60-1))),'V06 Calend 01'!I60),0))+IF((119='V06 Calend 01'!D60),'V06 Calend 01'!J60,0))</f>
        <v>0</v>
      </c>
      <c r="EB60" s="2">
        <f>((IF((120='V06 Calend 01'!C60),('V06 Calend 01'!F60+'V06 Calend 01'!G60),0)+IF(AND(('V06 Calend 01'!E60&gt;0),(120&gt;'V06 Calend 01'!C60),(120&lt;'V06 Calend 01'!D60),(MOD((120-'V06 Calend 01'!C60),6)=0),(((120-'V06 Calend 01'!C60)/6)&lt;='V06 Calend 01'!E60)),IF((120=('V06 Calend 01'!C60+(6*'V06 Calend 01'!E60))),('V06 Calend 01'!H60-('V06 Calend 01'!I60*('V06 Calend 01'!E60-1))),'V06 Calend 01'!I60),0))+IF((120='V06 Calend 01'!D60),'V06 Calend 01'!J60,0))</f>
        <v>0</v>
      </c>
      <c r="EC60" s="2">
        <f>((IF((121='V06 Calend 01'!C60),('V06 Calend 01'!F60+'V06 Calend 01'!G60),0)+IF(AND(('V06 Calend 01'!E60&gt;0),(121&gt;'V06 Calend 01'!C60),(121&lt;'V06 Calend 01'!D60),(MOD((121-'V06 Calend 01'!C60),6)=0),(((121-'V06 Calend 01'!C60)/6)&lt;='V06 Calend 01'!E60)),IF((121=('V06 Calend 01'!C60+(6*'V06 Calend 01'!E60))),('V06 Calend 01'!H60-('V06 Calend 01'!I60*('V06 Calend 01'!E60-1))),'V06 Calend 01'!I60),0))+IF((121='V06 Calend 01'!D60),'V06 Calend 01'!J60,0))</f>
        <v>0</v>
      </c>
      <c r="ED60" s="2">
        <f>((IF((122='V06 Calend 01'!C60),('V06 Calend 01'!F60+'V06 Calend 01'!G60),0)+IF(AND(('V06 Calend 01'!E60&gt;0),(122&gt;'V06 Calend 01'!C60),(122&lt;'V06 Calend 01'!D60),(MOD((122-'V06 Calend 01'!C60),6)=0),(((122-'V06 Calend 01'!C60)/6)&lt;='V06 Calend 01'!E60)),IF((122=('V06 Calend 01'!C60+(6*'V06 Calend 01'!E60))),('V06 Calend 01'!H60-('V06 Calend 01'!I60*('V06 Calend 01'!E60-1))),'V06 Calend 01'!I60),0))+IF((122='V06 Calend 01'!D60),'V06 Calend 01'!J60,0))</f>
        <v>0</v>
      </c>
      <c r="EE60" s="2">
        <f>((IF((123='V06 Calend 01'!C60),('V06 Calend 01'!F60+'V06 Calend 01'!G60),0)+IF(AND(('V06 Calend 01'!E60&gt;0),(123&gt;'V06 Calend 01'!C60),(123&lt;'V06 Calend 01'!D60),(MOD((123-'V06 Calend 01'!C60),6)=0),(((123-'V06 Calend 01'!C60)/6)&lt;='V06 Calend 01'!E60)),IF((123=('V06 Calend 01'!C60+(6*'V06 Calend 01'!E60))),('V06 Calend 01'!H60-('V06 Calend 01'!I60*('V06 Calend 01'!E60-1))),'V06 Calend 01'!I60),0))+IF((123='V06 Calend 01'!D60),'V06 Calend 01'!J60,0))</f>
        <v>0</v>
      </c>
      <c r="EF60" s="2">
        <f>((IF((124='V06 Calend 01'!C60),('V06 Calend 01'!F60+'V06 Calend 01'!G60),0)+IF(AND(('V06 Calend 01'!E60&gt;0),(124&gt;'V06 Calend 01'!C60),(124&lt;'V06 Calend 01'!D60),(MOD((124-'V06 Calend 01'!C60),6)=0),(((124-'V06 Calend 01'!C60)/6)&lt;='V06 Calend 01'!E60)),IF((124=('V06 Calend 01'!C60+(6*'V06 Calend 01'!E60))),('V06 Calend 01'!H60-('V06 Calend 01'!I60*('V06 Calend 01'!E60-1))),'V06 Calend 01'!I60),0))+IF((124='V06 Calend 01'!D60),'V06 Calend 01'!J60,0))</f>
        <v>0</v>
      </c>
      <c r="EG60" s="2">
        <f>((IF((125='V06 Calend 01'!C60),('V06 Calend 01'!F60+'V06 Calend 01'!G60),0)+IF(AND(('V06 Calend 01'!E60&gt;0),(125&gt;'V06 Calend 01'!C60),(125&lt;'V06 Calend 01'!D60),(MOD((125-'V06 Calend 01'!C60),6)=0),(((125-'V06 Calend 01'!C60)/6)&lt;='V06 Calend 01'!E60)),IF((125=('V06 Calend 01'!C60+(6*'V06 Calend 01'!E60))),('V06 Calend 01'!H60-('V06 Calend 01'!I60*('V06 Calend 01'!E60-1))),'V06 Calend 01'!I60),0))+IF((125='V06 Calend 01'!D60),'V06 Calend 01'!J60,0))</f>
        <v>0</v>
      </c>
      <c r="EH60" s="2">
        <f>((IF((126='V06 Calend 01'!C60),('V06 Calend 01'!F60+'V06 Calend 01'!G60),0)+IF(AND(('V06 Calend 01'!E60&gt;0),(126&gt;'V06 Calend 01'!C60),(126&lt;'V06 Calend 01'!D60),(MOD((126-'V06 Calend 01'!C60),6)=0),(((126-'V06 Calend 01'!C60)/6)&lt;='V06 Calend 01'!E60)),IF((126=('V06 Calend 01'!C60+(6*'V06 Calend 01'!E60))),('V06 Calend 01'!H60-('V06 Calend 01'!I60*('V06 Calend 01'!E60-1))),'V06 Calend 01'!I60),0))+IF((126='V06 Calend 01'!D60),'V06 Calend 01'!J60,0))</f>
        <v>0</v>
      </c>
      <c r="EI60" s="2">
        <f>((IF((127='V06 Calend 01'!C60),('V06 Calend 01'!F60+'V06 Calend 01'!G60),0)+IF(AND(('V06 Calend 01'!E60&gt;0),(127&gt;'V06 Calend 01'!C60),(127&lt;'V06 Calend 01'!D60),(MOD((127-'V06 Calend 01'!C60),6)=0),(((127-'V06 Calend 01'!C60)/6)&lt;='V06 Calend 01'!E60)),IF((127=('V06 Calend 01'!C60+(6*'V06 Calend 01'!E60))),('V06 Calend 01'!H60-('V06 Calend 01'!I60*('V06 Calend 01'!E60-1))),'V06 Calend 01'!I60),0))+IF((127='V06 Calend 01'!D60),'V06 Calend 01'!J60,0))</f>
        <v>0</v>
      </c>
      <c r="EJ60" s="2">
        <f>((IF((128='V06 Calend 01'!C60),('V06 Calend 01'!F60+'V06 Calend 01'!G60),0)+IF(AND(('V06 Calend 01'!E60&gt;0),(128&gt;'V06 Calend 01'!C60),(128&lt;'V06 Calend 01'!D60),(MOD((128-'V06 Calend 01'!C60),6)=0),(((128-'V06 Calend 01'!C60)/6)&lt;='V06 Calend 01'!E60)),IF((128=('V06 Calend 01'!C60+(6*'V06 Calend 01'!E60))),('V06 Calend 01'!H60-('V06 Calend 01'!I60*('V06 Calend 01'!E60-1))),'V06 Calend 01'!I60),0))+IF((128='V06 Calend 01'!D60),'V06 Calend 01'!J60,0))</f>
        <v>0</v>
      </c>
      <c r="EK60" s="2">
        <f>((IF((129='V06 Calend 01'!C60),('V06 Calend 01'!F60+'V06 Calend 01'!G60),0)+IF(AND(('V06 Calend 01'!E60&gt;0),(129&gt;'V06 Calend 01'!C60),(129&lt;'V06 Calend 01'!D60),(MOD((129-'V06 Calend 01'!C60),6)=0),(((129-'V06 Calend 01'!C60)/6)&lt;='V06 Calend 01'!E60)),IF((129=('V06 Calend 01'!C60+(6*'V06 Calend 01'!E60))),('V06 Calend 01'!H60-('V06 Calend 01'!I60*('V06 Calend 01'!E60-1))),'V06 Calend 01'!I60),0))+IF((129='V06 Calend 01'!D60),'V06 Calend 01'!J60,0))</f>
        <v>0</v>
      </c>
      <c r="EL60" s="2">
        <f>((IF((130='V06 Calend 01'!C60),('V06 Calend 01'!F60+'V06 Calend 01'!G60),0)+IF(AND(('V06 Calend 01'!E60&gt;0),(130&gt;'V06 Calend 01'!C60),(130&lt;'V06 Calend 01'!D60),(MOD((130-'V06 Calend 01'!C60),6)=0),(((130-'V06 Calend 01'!C60)/6)&lt;='V06 Calend 01'!E60)),IF((130=('V06 Calend 01'!C60+(6*'V06 Calend 01'!E60))),('V06 Calend 01'!H60-('V06 Calend 01'!I60*('V06 Calend 01'!E60-1))),'V06 Calend 01'!I60),0))+IF((130='V06 Calend 01'!D60),'V06 Calend 01'!J60,0))</f>
        <v>0</v>
      </c>
      <c r="EM60" s="2">
        <f>((IF((131='V06 Calend 01'!C60),('V06 Calend 01'!F60+'V06 Calend 01'!G60),0)+IF(AND(('V06 Calend 01'!E60&gt;0),(131&gt;'V06 Calend 01'!C60),(131&lt;'V06 Calend 01'!D60),(MOD((131-'V06 Calend 01'!C60),6)=0),(((131-'V06 Calend 01'!C60)/6)&lt;='V06 Calend 01'!E60)),IF((131=('V06 Calend 01'!C60+(6*'V06 Calend 01'!E60))),('V06 Calend 01'!H60-('V06 Calend 01'!I60*('V06 Calend 01'!E60-1))),'V06 Calend 01'!I60),0))+IF((131='V06 Calend 01'!D60),'V06 Calend 01'!J60,0))</f>
        <v>0</v>
      </c>
      <c r="EN60" s="2">
        <f>((IF((132='V06 Calend 01'!C60),('V06 Calend 01'!F60+'V06 Calend 01'!G60),0)+IF(AND(('V06 Calend 01'!E60&gt;0),(132&gt;'V06 Calend 01'!C60),(132&lt;'V06 Calend 01'!D60),(MOD((132-'V06 Calend 01'!C60),6)=0),(((132-'V06 Calend 01'!C60)/6)&lt;='V06 Calend 01'!E60)),IF((132=('V06 Calend 01'!C60+(6*'V06 Calend 01'!E60))),('V06 Calend 01'!H60-('V06 Calend 01'!I60*('V06 Calend 01'!E60-1))),'V06 Calend 01'!I60),0))+IF((132='V06 Calend 01'!D60),'V06 Calend 01'!J60,0))</f>
        <v>0</v>
      </c>
      <c r="EO60" s="2">
        <f>((IF((133='V06 Calend 01'!C60),('V06 Calend 01'!F60+'V06 Calend 01'!G60),0)+IF(AND(('V06 Calend 01'!E60&gt;0),(133&gt;'V06 Calend 01'!C60),(133&lt;'V06 Calend 01'!D60),(MOD((133-'V06 Calend 01'!C60),6)=0),(((133-'V06 Calend 01'!C60)/6)&lt;='V06 Calend 01'!E60)),IF((133=('V06 Calend 01'!C60+(6*'V06 Calend 01'!E60))),('V06 Calend 01'!H60-('V06 Calend 01'!I60*('V06 Calend 01'!E60-1))),'V06 Calend 01'!I60),0))+IF((133='V06 Calend 01'!D60),'V06 Calend 01'!J60,0))</f>
        <v>0</v>
      </c>
      <c r="EP60" s="2">
        <f>((IF((134='V06 Calend 01'!C60),('V06 Calend 01'!F60+'V06 Calend 01'!G60),0)+IF(AND(('V06 Calend 01'!E60&gt;0),(134&gt;'V06 Calend 01'!C60),(134&lt;'V06 Calend 01'!D60),(MOD((134-'V06 Calend 01'!C60),6)=0),(((134-'V06 Calend 01'!C60)/6)&lt;='V06 Calend 01'!E60)),IF((134=('V06 Calend 01'!C60+(6*'V06 Calend 01'!E60))),('V06 Calend 01'!H60-('V06 Calend 01'!I60*('V06 Calend 01'!E60-1))),'V06 Calend 01'!I60),0))+IF((134='V06 Calend 01'!D60),'V06 Calend 01'!J60,0))</f>
        <v>0</v>
      </c>
      <c r="EQ60" s="2">
        <f>((IF((135='V06 Calend 01'!C60),('V06 Calend 01'!F60+'V06 Calend 01'!G60),0)+IF(AND(('V06 Calend 01'!E60&gt;0),(135&gt;'V06 Calend 01'!C60),(135&lt;'V06 Calend 01'!D60),(MOD((135-'V06 Calend 01'!C60),6)=0),(((135-'V06 Calend 01'!C60)/6)&lt;='V06 Calend 01'!E60)),IF((135=('V06 Calend 01'!C60+(6*'V06 Calend 01'!E60))),('V06 Calend 01'!H60-('V06 Calend 01'!I60*('V06 Calend 01'!E60-1))),'V06 Calend 01'!I60),0))+IF((135='V06 Calend 01'!D60),'V06 Calend 01'!J60,0))</f>
        <v>0</v>
      </c>
      <c r="ER60" s="2">
        <f>((IF((136='V06 Calend 01'!C60),('V06 Calend 01'!F60+'V06 Calend 01'!G60),0)+IF(AND(('V06 Calend 01'!E60&gt;0),(136&gt;'V06 Calend 01'!C60),(136&lt;'V06 Calend 01'!D60),(MOD((136-'V06 Calend 01'!C60),6)=0),(((136-'V06 Calend 01'!C60)/6)&lt;='V06 Calend 01'!E60)),IF((136=('V06 Calend 01'!C60+(6*'V06 Calend 01'!E60))),('V06 Calend 01'!H60-('V06 Calend 01'!I60*('V06 Calend 01'!E60-1))),'V06 Calend 01'!I60),0))+IF((136='V06 Calend 01'!D60),'V06 Calend 01'!J60,0))</f>
        <v>0</v>
      </c>
      <c r="ES60" s="2">
        <f>((IF((137='V06 Calend 01'!C60),('V06 Calend 01'!F60+'V06 Calend 01'!G60),0)+IF(AND(('V06 Calend 01'!E60&gt;0),(137&gt;'V06 Calend 01'!C60),(137&lt;'V06 Calend 01'!D60),(MOD((137-'V06 Calend 01'!C60),6)=0),(((137-'V06 Calend 01'!C60)/6)&lt;='V06 Calend 01'!E60)),IF((137=('V06 Calend 01'!C60+(6*'V06 Calend 01'!E60))),('V06 Calend 01'!H60-('V06 Calend 01'!I60*('V06 Calend 01'!E60-1))),'V06 Calend 01'!I60),0))+IF((137='V06 Calend 01'!D60),'V06 Calend 01'!J60,0))</f>
        <v>0</v>
      </c>
      <c r="ET60" s="2">
        <f>((IF((138='V06 Calend 01'!C60),('V06 Calend 01'!F60+'V06 Calend 01'!G60),0)+IF(AND(('V06 Calend 01'!E60&gt;0),(138&gt;'V06 Calend 01'!C60),(138&lt;'V06 Calend 01'!D60),(MOD((138-'V06 Calend 01'!C60),6)=0),(((138-'V06 Calend 01'!C60)/6)&lt;='V06 Calend 01'!E60)),IF((138=('V06 Calend 01'!C60+(6*'V06 Calend 01'!E60))),('V06 Calend 01'!H60-('V06 Calend 01'!I60*('V06 Calend 01'!E60-1))),'V06 Calend 01'!I60),0))+IF((138='V06 Calend 01'!D60),'V06 Calend 01'!J60,0))</f>
        <v>0</v>
      </c>
      <c r="EU60" s="2">
        <f>((IF((139='V06 Calend 01'!C60),('V06 Calend 01'!F60+'V06 Calend 01'!G60),0)+IF(AND(('V06 Calend 01'!E60&gt;0),(139&gt;'V06 Calend 01'!C60),(139&lt;'V06 Calend 01'!D60),(MOD((139-'V06 Calend 01'!C60),6)=0),(((139-'V06 Calend 01'!C60)/6)&lt;='V06 Calend 01'!E60)),IF((139=('V06 Calend 01'!C60+(6*'V06 Calend 01'!E60))),('V06 Calend 01'!H60-('V06 Calend 01'!I60*('V06 Calend 01'!E60-1))),'V06 Calend 01'!I60),0))+IF((139='V06 Calend 01'!D60),'V06 Calend 01'!J60,0))</f>
        <v>0</v>
      </c>
      <c r="EV60" s="2">
        <f>((IF((140='V06 Calend 01'!C60),('V06 Calend 01'!F60+'V06 Calend 01'!G60),0)+IF(AND(('V06 Calend 01'!E60&gt;0),(140&gt;'V06 Calend 01'!C60),(140&lt;'V06 Calend 01'!D60),(MOD((140-'V06 Calend 01'!C60),6)=0),(((140-'V06 Calend 01'!C60)/6)&lt;='V06 Calend 01'!E60)),IF((140=('V06 Calend 01'!C60+(6*'V06 Calend 01'!E60))),('V06 Calend 01'!H60-('V06 Calend 01'!I60*('V06 Calend 01'!E60-1))),'V06 Calend 01'!I60),0))+IF((140='V06 Calend 01'!D60),'V06 Calend 01'!J60,0))</f>
        <v>0</v>
      </c>
      <c r="EW60" s="2">
        <f>((IF((141='V06 Calend 01'!C60),('V06 Calend 01'!F60+'V06 Calend 01'!G60),0)+IF(AND(('V06 Calend 01'!E60&gt;0),(141&gt;'V06 Calend 01'!C60),(141&lt;'V06 Calend 01'!D60),(MOD((141-'V06 Calend 01'!C60),6)=0),(((141-'V06 Calend 01'!C60)/6)&lt;='V06 Calend 01'!E60)),IF((141=('V06 Calend 01'!C60+(6*'V06 Calend 01'!E60))),('V06 Calend 01'!H60-('V06 Calend 01'!I60*('V06 Calend 01'!E60-1))),'V06 Calend 01'!I60),0))+IF((141='V06 Calend 01'!D60),'V06 Calend 01'!J60,0))</f>
        <v>0</v>
      </c>
      <c r="EX60" s="2">
        <f>((IF((142='V06 Calend 01'!C60),('V06 Calend 01'!F60+'V06 Calend 01'!G60),0)+IF(AND(('V06 Calend 01'!E60&gt;0),(142&gt;'V06 Calend 01'!C60),(142&lt;'V06 Calend 01'!D60),(MOD((142-'V06 Calend 01'!C60),6)=0),(((142-'V06 Calend 01'!C60)/6)&lt;='V06 Calend 01'!E60)),IF((142=('V06 Calend 01'!C60+(6*'V06 Calend 01'!E60))),('V06 Calend 01'!H60-('V06 Calend 01'!I60*('V06 Calend 01'!E60-1))),'V06 Calend 01'!I60),0))+IF((142='V06 Calend 01'!D60),'V06 Calend 01'!J60,0))</f>
        <v>0</v>
      </c>
      <c r="EY60" s="2">
        <f>((IF((143='V06 Calend 01'!C60),('V06 Calend 01'!F60+'V06 Calend 01'!G60),0)+IF(AND(('V06 Calend 01'!E60&gt;0),(143&gt;'V06 Calend 01'!C60),(143&lt;'V06 Calend 01'!D60),(MOD((143-'V06 Calend 01'!C60),6)=0),(((143-'V06 Calend 01'!C60)/6)&lt;='V06 Calend 01'!E60)),IF((143=('V06 Calend 01'!C60+(6*'V06 Calend 01'!E60))),('V06 Calend 01'!H60-('V06 Calend 01'!I60*('V06 Calend 01'!E60-1))),'V06 Calend 01'!I60),0))+IF((143='V06 Calend 01'!D60),'V06 Calend 01'!J60,0))</f>
        <v>0</v>
      </c>
      <c r="EZ60" s="2">
        <f>((IF((144='V06 Calend 01'!C60),('V06 Calend 01'!F60+'V06 Calend 01'!G60),0)+IF(AND(('V06 Calend 01'!E60&gt;0),(144&gt;'V06 Calend 01'!C60),(144&lt;'V06 Calend 01'!D60),(MOD((144-'V06 Calend 01'!C60),6)=0),(((144-'V06 Calend 01'!C60)/6)&lt;='V06 Calend 01'!E60)),IF((144=('V06 Calend 01'!C60+(6*'V06 Calend 01'!E60))),('V06 Calend 01'!H60-('V06 Calend 01'!I60*('V06 Calend 01'!E60-1))),'V06 Calend 01'!I60),0))+IF((144='V06 Calend 01'!D60),'V06 Calend 01'!J60,0))</f>
        <v>0</v>
      </c>
      <c r="FA60" s="2">
        <f>((IF((145='V06 Calend 01'!C60),('V06 Calend 01'!F60+'V06 Calend 01'!G60),0)+IF(AND(('V06 Calend 01'!E60&gt;0),(145&gt;'V06 Calend 01'!C60),(145&lt;'V06 Calend 01'!D60),(MOD((145-'V06 Calend 01'!C60),6)=0),(((145-'V06 Calend 01'!C60)/6)&lt;='V06 Calend 01'!E60)),IF((145=('V06 Calend 01'!C60+(6*'V06 Calend 01'!E60))),('V06 Calend 01'!H60-('V06 Calend 01'!I60*('V06 Calend 01'!E60-1))),'V06 Calend 01'!I60),0))+IF((145='V06 Calend 01'!D60),'V06 Calend 01'!J60,0))</f>
        <v>0</v>
      </c>
      <c r="FB60" s="2">
        <f>((IF((146='V06 Calend 01'!C60),('V06 Calend 01'!F60+'V06 Calend 01'!G60),0)+IF(AND(('V06 Calend 01'!E60&gt;0),(146&gt;'V06 Calend 01'!C60),(146&lt;'V06 Calend 01'!D60),(MOD((146-'V06 Calend 01'!C60),6)=0),(((146-'V06 Calend 01'!C60)/6)&lt;='V06 Calend 01'!E60)),IF((146=('V06 Calend 01'!C60+(6*'V06 Calend 01'!E60))),('V06 Calend 01'!H60-('V06 Calend 01'!I60*('V06 Calend 01'!E60-1))),'V06 Calend 01'!I60),0))+IF((146='V06 Calend 01'!D60),'V06 Calend 01'!J60,0))</f>
        <v>0</v>
      </c>
      <c r="FC60" s="2">
        <f>((IF((147='V06 Calend 01'!C60),('V06 Calend 01'!F60+'V06 Calend 01'!G60),0)+IF(AND(('V06 Calend 01'!E60&gt;0),(147&gt;'V06 Calend 01'!C60),(147&lt;'V06 Calend 01'!D60),(MOD((147-'V06 Calend 01'!C60),6)=0),(((147-'V06 Calend 01'!C60)/6)&lt;='V06 Calend 01'!E60)),IF((147=('V06 Calend 01'!C60+(6*'V06 Calend 01'!E60))),('V06 Calend 01'!H60-('V06 Calend 01'!I60*('V06 Calend 01'!E60-1))),'V06 Calend 01'!I60),0))+IF((147='V06 Calend 01'!D60),'V06 Calend 01'!J60,0))</f>
        <v>0</v>
      </c>
      <c r="FD60" s="2">
        <f>((IF((148='V06 Calend 01'!C60),('V06 Calend 01'!F60+'V06 Calend 01'!G60),0)+IF(AND(('V06 Calend 01'!E60&gt;0),(148&gt;'V06 Calend 01'!C60),(148&lt;'V06 Calend 01'!D60),(MOD((148-'V06 Calend 01'!C60),6)=0),(((148-'V06 Calend 01'!C60)/6)&lt;='V06 Calend 01'!E60)),IF((148=('V06 Calend 01'!C60+(6*'V06 Calend 01'!E60))),('V06 Calend 01'!H60-('V06 Calend 01'!I60*('V06 Calend 01'!E60-1))),'V06 Calend 01'!I60),0))+IF((148='V06 Calend 01'!D60),'V06 Calend 01'!J60,0))</f>
        <v>0</v>
      </c>
      <c r="FE60" s="2">
        <f>((IF((149='V06 Calend 01'!C60),('V06 Calend 01'!F60+'V06 Calend 01'!G60),0)+IF(AND(('V06 Calend 01'!E60&gt;0),(149&gt;'V06 Calend 01'!C60),(149&lt;'V06 Calend 01'!D60),(MOD((149-'V06 Calend 01'!C60),6)=0),(((149-'V06 Calend 01'!C60)/6)&lt;='V06 Calend 01'!E60)),IF((149=('V06 Calend 01'!C60+(6*'V06 Calend 01'!E60))),('V06 Calend 01'!H60-('V06 Calend 01'!I60*('V06 Calend 01'!E60-1))),'V06 Calend 01'!I60),0))+IF((149='V06 Calend 01'!D60),'V06 Calend 01'!J60,0))</f>
        <v>0</v>
      </c>
      <c r="FF60" s="2">
        <f>((IF((150='V06 Calend 01'!C60),('V06 Calend 01'!F60+'V06 Calend 01'!G60),0)+IF(AND(('V06 Calend 01'!E60&gt;0),(150&gt;'V06 Calend 01'!C60),(150&lt;'V06 Calend 01'!D60),(MOD((150-'V06 Calend 01'!C60),6)=0),(((150-'V06 Calend 01'!C60)/6)&lt;='V06 Calend 01'!E60)),IF((150=('V06 Calend 01'!C60+(6*'V06 Calend 01'!E60))),('V06 Calend 01'!H60-('V06 Calend 01'!I60*('V06 Calend 01'!E60-1))),'V06 Calend 01'!I60),0))+IF((150='V06 Calend 01'!D60),'V06 Calend 01'!J60,0))</f>
        <v>0</v>
      </c>
      <c r="FG60" s="2">
        <f>((IF((151='V06 Calend 01'!C60),('V06 Calend 01'!F60+'V06 Calend 01'!G60),0)+IF(AND(('V06 Calend 01'!E60&gt;0),(151&gt;'V06 Calend 01'!C60),(151&lt;'V06 Calend 01'!D60),(MOD((151-'V06 Calend 01'!C60),6)=0),(((151-'V06 Calend 01'!C60)/6)&lt;='V06 Calend 01'!E60)),IF((151=('V06 Calend 01'!C60+(6*'V06 Calend 01'!E60))),('V06 Calend 01'!H60-('V06 Calend 01'!I60*('V06 Calend 01'!E60-1))),'V06 Calend 01'!I60),0))+IF((151='V06 Calend 01'!D60),'V06 Calend 01'!J60,0))</f>
        <v>0</v>
      </c>
      <c r="FH60" s="2">
        <f>((IF((152='V06 Calend 01'!C60),('V06 Calend 01'!F60+'V06 Calend 01'!G60),0)+IF(AND(('V06 Calend 01'!E60&gt;0),(152&gt;'V06 Calend 01'!C60),(152&lt;'V06 Calend 01'!D60),(MOD((152-'V06 Calend 01'!C60),6)=0),(((152-'V06 Calend 01'!C60)/6)&lt;='V06 Calend 01'!E60)),IF((152=('V06 Calend 01'!C60+(6*'V06 Calend 01'!E60))),('V06 Calend 01'!H60-('V06 Calend 01'!I60*('V06 Calend 01'!E60-1))),'V06 Calend 01'!I60),0))+IF((152='V06 Calend 01'!D60),'V06 Calend 01'!J60,0))</f>
        <v>0</v>
      </c>
      <c r="FI60" s="2">
        <f>((IF((153='V06 Calend 01'!C60),('V06 Calend 01'!F60+'V06 Calend 01'!G60),0)+IF(AND(('V06 Calend 01'!E60&gt;0),(153&gt;'V06 Calend 01'!C60),(153&lt;'V06 Calend 01'!D60),(MOD((153-'V06 Calend 01'!C60),6)=0),(((153-'V06 Calend 01'!C60)/6)&lt;='V06 Calend 01'!E60)),IF((153=('V06 Calend 01'!C60+(6*'V06 Calend 01'!E60))),('V06 Calend 01'!H60-('V06 Calend 01'!I60*('V06 Calend 01'!E60-1))),'V06 Calend 01'!I60),0))+IF((153='V06 Calend 01'!D60),'V06 Calend 01'!J60,0))</f>
        <v>0</v>
      </c>
      <c r="FJ60" s="2">
        <f>((IF((154='V06 Calend 01'!C60),('V06 Calend 01'!F60+'V06 Calend 01'!G60),0)+IF(AND(('V06 Calend 01'!E60&gt;0),(154&gt;'V06 Calend 01'!C60),(154&lt;'V06 Calend 01'!D60),(MOD((154-'V06 Calend 01'!C60),6)=0),(((154-'V06 Calend 01'!C60)/6)&lt;='V06 Calend 01'!E60)),IF((154=('V06 Calend 01'!C60+(6*'V06 Calend 01'!E60))),('V06 Calend 01'!H60-('V06 Calend 01'!I60*('V06 Calend 01'!E60-1))),'V06 Calend 01'!I60),0))+IF((154='V06 Calend 01'!D60),'V06 Calend 01'!J60,0))</f>
        <v>0</v>
      </c>
      <c r="FK60" s="2">
        <f>((IF((155='V06 Calend 01'!C60),('V06 Calend 01'!F60+'V06 Calend 01'!G60),0)+IF(AND(('V06 Calend 01'!E60&gt;0),(155&gt;'V06 Calend 01'!C60),(155&lt;'V06 Calend 01'!D60),(MOD((155-'V06 Calend 01'!C60),6)=0),(((155-'V06 Calend 01'!C60)/6)&lt;='V06 Calend 01'!E60)),IF((155=('V06 Calend 01'!C60+(6*'V06 Calend 01'!E60))),('V06 Calend 01'!H60-('V06 Calend 01'!I60*('V06 Calend 01'!E60-1))),'V06 Calend 01'!I60),0))+IF((155='V06 Calend 01'!D60),'V06 Calend 01'!J60,0))</f>
        <v>0</v>
      </c>
      <c r="FL60" s="2">
        <f>((IF((156='V06 Calend 01'!C60),('V06 Calend 01'!F60+'V06 Calend 01'!G60),0)+IF(AND(('V06 Calend 01'!E60&gt;0),(156&gt;'V06 Calend 01'!C60),(156&lt;'V06 Calend 01'!D60),(MOD((156-'V06 Calend 01'!C60),6)=0),(((156-'V06 Calend 01'!C60)/6)&lt;='V06 Calend 01'!E60)),IF((156=('V06 Calend 01'!C60+(6*'V06 Calend 01'!E60))),('V06 Calend 01'!H60-('V06 Calend 01'!I60*('V06 Calend 01'!E60-1))),'V06 Calend 01'!I60),0))+IF((156='V06 Calend 01'!D60),'V06 Calend 01'!J60,0))</f>
        <v>0</v>
      </c>
      <c r="FM60" s="2">
        <f>((IF((157='V06 Calend 01'!C60),('V06 Calend 01'!F60+'V06 Calend 01'!G60),0)+IF(AND(('V06 Calend 01'!E60&gt;0),(157&gt;'V06 Calend 01'!C60),(157&lt;'V06 Calend 01'!D60),(MOD((157-'V06 Calend 01'!C60),6)=0),(((157-'V06 Calend 01'!C60)/6)&lt;='V06 Calend 01'!E60)),IF((157=('V06 Calend 01'!C60+(6*'V06 Calend 01'!E60))),('V06 Calend 01'!H60-('V06 Calend 01'!I60*('V06 Calend 01'!E60-1))),'V06 Calend 01'!I60),0))+IF((157='V06 Calend 01'!D60),'V06 Calend 01'!J60,0))</f>
        <v>0</v>
      </c>
      <c r="FN60" s="2">
        <f>((IF((158='V06 Calend 01'!C60),('V06 Calend 01'!F60+'V06 Calend 01'!G60),0)+IF(AND(('V06 Calend 01'!E60&gt;0),(158&gt;'V06 Calend 01'!C60),(158&lt;'V06 Calend 01'!D60),(MOD((158-'V06 Calend 01'!C60),6)=0),(((158-'V06 Calend 01'!C60)/6)&lt;='V06 Calend 01'!E60)),IF((158=('V06 Calend 01'!C60+(6*'V06 Calend 01'!E60))),('V06 Calend 01'!H60-('V06 Calend 01'!I60*('V06 Calend 01'!E60-1))),'V06 Calend 01'!I60),0))+IF((158='V06 Calend 01'!D60),'V06 Calend 01'!J60,0))</f>
        <v>0</v>
      </c>
      <c r="FO60" s="2">
        <f>((IF((159='V06 Calend 01'!C60),('V06 Calend 01'!F60+'V06 Calend 01'!G60),0)+IF(AND(('V06 Calend 01'!E60&gt;0),(159&gt;'V06 Calend 01'!C60),(159&lt;'V06 Calend 01'!D60),(MOD((159-'V06 Calend 01'!C60),6)=0),(((159-'V06 Calend 01'!C60)/6)&lt;='V06 Calend 01'!E60)),IF((159=('V06 Calend 01'!C60+(6*'V06 Calend 01'!E60))),('V06 Calend 01'!H60-('V06 Calend 01'!I60*('V06 Calend 01'!E60-1))),'V06 Calend 01'!I60),0))+IF((159='V06 Calend 01'!D60),'V06 Calend 01'!J60,0))</f>
        <v>0</v>
      </c>
      <c r="FP60" s="2">
        <f>((IF((160='V06 Calend 01'!C60),('V06 Calend 01'!F60+'V06 Calend 01'!G60),0)+IF(AND(('V06 Calend 01'!E60&gt;0),(160&gt;'V06 Calend 01'!C60),(160&lt;'V06 Calend 01'!D60),(MOD((160-'V06 Calend 01'!C60),6)=0),(((160-'V06 Calend 01'!C60)/6)&lt;='V06 Calend 01'!E60)),IF((160=('V06 Calend 01'!C60+(6*'V06 Calend 01'!E60))),('V06 Calend 01'!H60-('V06 Calend 01'!I60*('V06 Calend 01'!E60-1))),'V06 Calend 01'!I60),0))+IF((160='V06 Calend 01'!D60),'V06 Calend 01'!J60,0))</f>
        <v>0</v>
      </c>
      <c r="FQ60" s="2">
        <f>((IF((161='V06 Calend 01'!C60),('V06 Calend 01'!F60+'V06 Calend 01'!G60),0)+IF(AND(('V06 Calend 01'!E60&gt;0),(161&gt;'V06 Calend 01'!C60),(161&lt;'V06 Calend 01'!D60),(MOD((161-'V06 Calend 01'!C60),6)=0),(((161-'V06 Calend 01'!C60)/6)&lt;='V06 Calend 01'!E60)),IF((161=('V06 Calend 01'!C60+(6*'V06 Calend 01'!E60))),('V06 Calend 01'!H60-('V06 Calend 01'!I60*('V06 Calend 01'!E60-1))),'V06 Calend 01'!I60),0))+IF((161='V06 Calend 01'!D60),'V06 Calend 01'!J60,0))</f>
        <v>0</v>
      </c>
      <c r="FR60" s="2">
        <f>((IF((162='V06 Calend 01'!C60),('V06 Calend 01'!F60+'V06 Calend 01'!G60),0)+IF(AND(('V06 Calend 01'!E60&gt;0),(162&gt;'V06 Calend 01'!C60),(162&lt;'V06 Calend 01'!D60),(MOD((162-'V06 Calend 01'!C60),6)=0),(((162-'V06 Calend 01'!C60)/6)&lt;='V06 Calend 01'!E60)),IF((162=('V06 Calend 01'!C60+(6*'V06 Calend 01'!E60))),('V06 Calend 01'!H60-('V06 Calend 01'!I60*('V06 Calend 01'!E60-1))),'V06 Calend 01'!I60),0))+IF((162='V06 Calend 01'!D60),'V06 Calend 01'!J60,0))</f>
        <v>0</v>
      </c>
      <c r="FS60" s="2">
        <f>((IF((163='V06 Calend 01'!C60),('V06 Calend 01'!F60+'V06 Calend 01'!G60),0)+IF(AND(('V06 Calend 01'!E60&gt;0),(163&gt;'V06 Calend 01'!C60),(163&lt;'V06 Calend 01'!D60),(MOD((163-'V06 Calend 01'!C60),6)=0),(((163-'V06 Calend 01'!C60)/6)&lt;='V06 Calend 01'!E60)),IF((163=('V06 Calend 01'!C60+(6*'V06 Calend 01'!E60))),('V06 Calend 01'!H60-('V06 Calend 01'!I60*('V06 Calend 01'!E60-1))),'V06 Calend 01'!I60),0))+IF((163='V06 Calend 01'!D60),'V06 Calend 01'!J60,0))</f>
        <v>0</v>
      </c>
      <c r="FT60" s="2">
        <f>((IF((164='V06 Calend 01'!C60),('V06 Calend 01'!F60+'V06 Calend 01'!G60),0)+IF(AND(('V06 Calend 01'!E60&gt;0),(164&gt;'V06 Calend 01'!C60),(164&lt;'V06 Calend 01'!D60),(MOD((164-'V06 Calend 01'!C60),6)=0),(((164-'V06 Calend 01'!C60)/6)&lt;='V06 Calend 01'!E60)),IF((164=('V06 Calend 01'!C60+(6*'V06 Calend 01'!E60))),('V06 Calend 01'!H60-('V06 Calend 01'!I60*('V06 Calend 01'!E60-1))),'V06 Calend 01'!I60),0))+IF((164='V06 Calend 01'!D60),'V06 Calend 01'!J60,0))</f>
        <v>0</v>
      </c>
      <c r="FU60" s="2">
        <f>((IF((165='V06 Calend 01'!C60),('V06 Calend 01'!F60+'V06 Calend 01'!G60),0)+IF(AND(('V06 Calend 01'!E60&gt;0),(165&gt;'V06 Calend 01'!C60),(165&lt;'V06 Calend 01'!D60),(MOD((165-'V06 Calend 01'!C60),6)=0),(((165-'V06 Calend 01'!C60)/6)&lt;='V06 Calend 01'!E60)),IF((165=('V06 Calend 01'!C60+(6*'V06 Calend 01'!E60))),('V06 Calend 01'!H60-('V06 Calend 01'!I60*('V06 Calend 01'!E60-1))),'V06 Calend 01'!I60),0))+IF((165='V06 Calend 01'!D60),'V06 Calend 01'!J60,0))</f>
        <v>0</v>
      </c>
      <c r="FV60" s="2">
        <f>((IF((166='V06 Calend 01'!C60),('V06 Calend 01'!F60+'V06 Calend 01'!G60),0)+IF(AND(('V06 Calend 01'!E60&gt;0),(166&gt;'V06 Calend 01'!C60),(166&lt;'V06 Calend 01'!D60),(MOD((166-'V06 Calend 01'!C60),6)=0),(((166-'V06 Calend 01'!C60)/6)&lt;='V06 Calend 01'!E60)),IF((166=('V06 Calend 01'!C60+(6*'V06 Calend 01'!E60))),('V06 Calend 01'!H60-('V06 Calend 01'!I60*('V06 Calend 01'!E60-1))),'V06 Calend 01'!I60),0))+IF((166='V06 Calend 01'!D60),'V06 Calend 01'!J60,0))</f>
        <v>0</v>
      </c>
      <c r="FW60" s="2">
        <f>((IF((167='V06 Calend 01'!C60),('V06 Calend 01'!F60+'V06 Calend 01'!G60),0)+IF(AND(('V06 Calend 01'!E60&gt;0),(167&gt;'V06 Calend 01'!C60),(167&lt;'V06 Calend 01'!D60),(MOD((167-'V06 Calend 01'!C60),6)=0),(((167-'V06 Calend 01'!C60)/6)&lt;='V06 Calend 01'!E60)),IF((167=('V06 Calend 01'!C60+(6*'V06 Calend 01'!E60))),('V06 Calend 01'!H60-('V06 Calend 01'!I60*('V06 Calend 01'!E60-1))),'V06 Calend 01'!I60),0))+IF((167='V06 Calend 01'!D60),'V06 Calend 01'!J60,0))</f>
        <v>0</v>
      </c>
      <c r="FX60" s="2">
        <f>((IF((168='V06 Calend 01'!C60),('V06 Calend 01'!F60+'V06 Calend 01'!G60),0)+IF(AND(('V06 Calend 01'!E60&gt;0),(168&gt;'V06 Calend 01'!C60),(168&lt;'V06 Calend 01'!D60),(MOD((168-'V06 Calend 01'!C60),6)=0),(((168-'V06 Calend 01'!C60)/6)&lt;='V06 Calend 01'!E60)),IF((168=('V06 Calend 01'!C60+(6*'V06 Calend 01'!E60))),('V06 Calend 01'!H60-('V06 Calend 01'!I60*('V06 Calend 01'!E60-1))),'V06 Calend 01'!I60),0))+IF((168='V06 Calend 01'!D60),'V06 Calend 01'!J60,0))</f>
        <v>0</v>
      </c>
      <c r="FY60" s="2">
        <f>((IF((169='V06 Calend 01'!C60),('V06 Calend 01'!F60+'V06 Calend 01'!G60),0)+IF(AND(('V06 Calend 01'!E60&gt;0),(169&gt;'V06 Calend 01'!C60),(169&lt;'V06 Calend 01'!D60),(MOD((169-'V06 Calend 01'!C60),6)=0),(((169-'V06 Calend 01'!C60)/6)&lt;='V06 Calend 01'!E60)),IF((169=('V06 Calend 01'!C60+(6*'V06 Calend 01'!E60))),('V06 Calend 01'!H60-('V06 Calend 01'!I60*('V06 Calend 01'!E60-1))),'V06 Calend 01'!I60),0))+IF((169='V06 Calend 01'!D60),'V06 Calend 01'!J60,0))</f>
        <v>0</v>
      </c>
      <c r="FZ60" s="2">
        <f>((IF((170='V06 Calend 01'!C60),('V06 Calend 01'!F60+'V06 Calend 01'!G60),0)+IF(AND(('V06 Calend 01'!E60&gt;0),(170&gt;'V06 Calend 01'!C60),(170&lt;'V06 Calend 01'!D60),(MOD((170-'V06 Calend 01'!C60),6)=0),(((170-'V06 Calend 01'!C60)/6)&lt;='V06 Calend 01'!E60)),IF((170=('V06 Calend 01'!C60+(6*'V06 Calend 01'!E60))),('V06 Calend 01'!H60-('V06 Calend 01'!I60*('V06 Calend 01'!E60-1))),'V06 Calend 01'!I60),0))+IF((170='V06 Calend 01'!D60),'V06 Calend 01'!J60,0))</f>
        <v>0</v>
      </c>
      <c r="GA60" s="2">
        <f>((IF((171='V06 Calend 01'!C60),('V06 Calend 01'!F60+'V06 Calend 01'!G60),0)+IF(AND(('V06 Calend 01'!E60&gt;0),(171&gt;'V06 Calend 01'!C60),(171&lt;'V06 Calend 01'!D60),(MOD((171-'V06 Calend 01'!C60),6)=0),(((171-'V06 Calend 01'!C60)/6)&lt;='V06 Calend 01'!E60)),IF((171=('V06 Calend 01'!C60+(6*'V06 Calend 01'!E60))),('V06 Calend 01'!H60-('V06 Calend 01'!I60*('V06 Calend 01'!E60-1))),'V06 Calend 01'!I60),0))+IF((171='V06 Calend 01'!D60),'V06 Calend 01'!J60,0))</f>
        <v>0</v>
      </c>
      <c r="GB60" s="2">
        <f>((IF((172='V06 Calend 01'!C60),('V06 Calend 01'!F60+'V06 Calend 01'!G60),0)+IF(AND(('V06 Calend 01'!E60&gt;0),(172&gt;'V06 Calend 01'!C60),(172&lt;'V06 Calend 01'!D60),(MOD((172-'V06 Calend 01'!C60),6)=0),(((172-'V06 Calend 01'!C60)/6)&lt;='V06 Calend 01'!E60)),IF((172=('V06 Calend 01'!C60+(6*'V06 Calend 01'!E60))),('V06 Calend 01'!H60-('V06 Calend 01'!I60*('V06 Calend 01'!E60-1))),'V06 Calend 01'!I60),0))+IF((172='V06 Calend 01'!D60),'V06 Calend 01'!J60,0))</f>
        <v>0</v>
      </c>
      <c r="GC60" s="2">
        <f>((IF((173='V06 Calend 01'!C60),('V06 Calend 01'!F60+'V06 Calend 01'!G60),0)+IF(AND(('V06 Calend 01'!E60&gt;0),(173&gt;'V06 Calend 01'!C60),(173&lt;'V06 Calend 01'!D60),(MOD((173-'V06 Calend 01'!C60),6)=0),(((173-'V06 Calend 01'!C60)/6)&lt;='V06 Calend 01'!E60)),IF((173=('V06 Calend 01'!C60+(6*'V06 Calend 01'!E60))),('V06 Calend 01'!H60-('V06 Calend 01'!I60*('V06 Calend 01'!E60-1))),'V06 Calend 01'!I60),0))+IF((173='V06 Calend 01'!D60),'V06 Calend 01'!J60,0))</f>
        <v>0</v>
      </c>
      <c r="GD60" s="2">
        <f>((IF((174='V06 Calend 01'!C60),('V06 Calend 01'!F60+'V06 Calend 01'!G60),0)+IF(AND(('V06 Calend 01'!E60&gt;0),(174&gt;'V06 Calend 01'!C60),(174&lt;'V06 Calend 01'!D60),(MOD((174-'V06 Calend 01'!C60),6)=0),(((174-'V06 Calend 01'!C60)/6)&lt;='V06 Calend 01'!E60)),IF((174=('V06 Calend 01'!C60+(6*'V06 Calend 01'!E60))),('V06 Calend 01'!H60-('V06 Calend 01'!I60*('V06 Calend 01'!E60-1))),'V06 Calend 01'!I60),0))+IF((174='V06 Calend 01'!D60),'V06 Calend 01'!J60,0))</f>
        <v>0</v>
      </c>
      <c r="GE60" s="2">
        <f>((IF((175='V06 Calend 01'!C60),('V06 Calend 01'!F60+'V06 Calend 01'!G60),0)+IF(AND(('V06 Calend 01'!E60&gt;0),(175&gt;'V06 Calend 01'!C60),(175&lt;'V06 Calend 01'!D60),(MOD((175-'V06 Calend 01'!C60),6)=0),(((175-'V06 Calend 01'!C60)/6)&lt;='V06 Calend 01'!E60)),IF((175=('V06 Calend 01'!C60+(6*'V06 Calend 01'!E60))),('V06 Calend 01'!H60-('V06 Calend 01'!I60*('V06 Calend 01'!E60-1))),'V06 Calend 01'!I60),0))+IF((175='V06 Calend 01'!D60),'V06 Calend 01'!J60,0))</f>
        <v>0</v>
      </c>
      <c r="GF60" s="2">
        <f>((IF((176='V06 Calend 01'!C60),('V06 Calend 01'!F60+'V06 Calend 01'!G60),0)+IF(AND(('V06 Calend 01'!E60&gt;0),(176&gt;'V06 Calend 01'!C60),(176&lt;'V06 Calend 01'!D60),(MOD((176-'V06 Calend 01'!C60),6)=0),(((176-'V06 Calend 01'!C60)/6)&lt;='V06 Calend 01'!E60)),IF((176=('V06 Calend 01'!C60+(6*'V06 Calend 01'!E60))),('V06 Calend 01'!H60-('V06 Calend 01'!I60*('V06 Calend 01'!E60-1))),'V06 Calend 01'!I60),0))+IF((176='V06 Calend 01'!D60),'V06 Calend 01'!J60,0))</f>
        <v>0</v>
      </c>
      <c r="GG60" s="2">
        <f>((IF((177='V06 Calend 01'!C60),('V06 Calend 01'!F60+'V06 Calend 01'!G60),0)+IF(AND(('V06 Calend 01'!E60&gt;0),(177&gt;'V06 Calend 01'!C60),(177&lt;'V06 Calend 01'!D60),(MOD((177-'V06 Calend 01'!C60),6)=0),(((177-'V06 Calend 01'!C60)/6)&lt;='V06 Calend 01'!E60)),IF((177=('V06 Calend 01'!C60+(6*'V06 Calend 01'!E60))),('V06 Calend 01'!H60-('V06 Calend 01'!I60*('V06 Calend 01'!E60-1))),'V06 Calend 01'!I60),0))+IF((177='V06 Calend 01'!D60),'V06 Calend 01'!J60,0))</f>
        <v>0</v>
      </c>
      <c r="GH60" s="2">
        <f>((IF((178='V06 Calend 01'!C60),('V06 Calend 01'!F60+'V06 Calend 01'!G60),0)+IF(AND(('V06 Calend 01'!E60&gt;0),(178&gt;'V06 Calend 01'!C60),(178&lt;'V06 Calend 01'!D60),(MOD((178-'V06 Calend 01'!C60),6)=0),(((178-'V06 Calend 01'!C60)/6)&lt;='V06 Calend 01'!E60)),IF((178=('V06 Calend 01'!C60+(6*'V06 Calend 01'!E60))),('V06 Calend 01'!H60-('V06 Calend 01'!I60*('V06 Calend 01'!E60-1))),'V06 Calend 01'!I60),0))+IF((178='V06 Calend 01'!D60),'V06 Calend 01'!J60,0))</f>
        <v>0</v>
      </c>
      <c r="GI60" s="2">
        <f>((IF((179='V06 Calend 01'!C60),('V06 Calend 01'!F60+'V06 Calend 01'!G60),0)+IF(AND(('V06 Calend 01'!E60&gt;0),(179&gt;'V06 Calend 01'!C60),(179&lt;'V06 Calend 01'!D60),(MOD((179-'V06 Calend 01'!C60),6)=0),(((179-'V06 Calend 01'!C60)/6)&lt;='V06 Calend 01'!E60)),IF((179=('V06 Calend 01'!C60+(6*'V06 Calend 01'!E60))),('V06 Calend 01'!H60-('V06 Calend 01'!I60*('V06 Calend 01'!E60-1))),'V06 Calend 01'!I60),0))+IF((179='V06 Calend 01'!D60),'V06 Calend 01'!J60,0))</f>
        <v>0</v>
      </c>
      <c r="GJ60" s="2">
        <f>((IF((180='V06 Calend 01'!C60),('V06 Calend 01'!F60+'V06 Calend 01'!G60),0)+IF(AND(('V06 Calend 01'!E60&gt;0),(180&gt;'V06 Calend 01'!C60),(180&lt;'V06 Calend 01'!D60),(MOD((180-'V06 Calend 01'!C60),6)=0),(((180-'V06 Calend 01'!C60)/6)&lt;='V06 Calend 01'!E60)),IF((180=('V06 Calend 01'!C60+(6*'V06 Calend 01'!E60))),('V06 Calend 01'!H60-('V06 Calend 01'!I60*('V06 Calend 01'!E60-1))),'V06 Calend 01'!I60),0))+IF((180='V06 Calend 01'!D60),'V06 Calend 01'!J60,0))</f>
        <v>0</v>
      </c>
    </row>
    <row r="61" spans="1:192">
      <c r="A61" s="3" t="str">
        <f>'V06 Unidades'!$A$61</f>
        <v>707</v>
      </c>
      <c r="B61" s="2">
        <f>'V06 Unidades'!$H$61</f>
        <v>337968.59</v>
      </c>
      <c r="C61" s="4">
        <f>('V06 Unidades'!$I$61+'V06 Controlos'!$B$37)</f>
        <v>13</v>
      </c>
      <c r="D61" s="4">
        <f>IF(('V06 Controlos'!$B$38&gt;0),MAX(('V06 Unidades'!$L$61+'V06 Controlos'!$B$37),(30+'V06 Controlos'!$B$38)),('V06 Unidades'!$L$61+'V06 Controlos'!$B$37))</f>
        <v>30</v>
      </c>
      <c r="E61" s="4">
        <f>MAX(0,INT(((('V06 Calend 01'!D61-'V06 Calend 01'!C61)-1)/6)))</f>
        <v>2</v>
      </c>
      <c r="F61" s="2">
        <f>ROUND(('V06 Calend 01'!B61*0.05),2)</f>
        <v>16898.43</v>
      </c>
      <c r="G61" s="2">
        <f>ROUND(('V06 Calend 01'!B61*0.2),2)</f>
        <v>67593.72</v>
      </c>
      <c r="H61" s="2">
        <f>ROUND(('V06 Calend 01'!B61*0.55),2)</f>
        <v>185882.72</v>
      </c>
      <c r="I61" s="2">
        <f>ROUND(('V06 Calend 01'!H61/MAX(1,'V06 Calend 01'!E61)),2)</f>
        <v>92941.36</v>
      </c>
      <c r="J61" s="2">
        <f>((('V06 Calend 01'!B61-'V06 Calend 01'!F61)-'V06 Calend 01'!G61)-'V06 Calend 01'!H61)</f>
        <v>67593.72000000003</v>
      </c>
      <c r="K61" s="2">
        <f>('V06 Calend 01'!B61*0.025)</f>
        <v>8449.214750000001</v>
      </c>
      <c r="L61" t="s">
        <v>378</v>
      </c>
      <c r="M61" s="2">
        <f>((IF((1='V06 Calend 01'!C61),('V06 Calend 01'!F61+'V06 Calend 01'!G61),0)+IF(AND(('V06 Calend 01'!E61&gt;0),(1&gt;'V06 Calend 01'!C61),(1&lt;'V06 Calend 01'!D61),(MOD((1-'V06 Calend 01'!C61),6)=0),(((1-'V06 Calend 01'!C61)/6)&lt;='V06 Calend 01'!E61)),IF((1=('V06 Calend 01'!C61+(6*'V06 Calend 01'!E61))),('V06 Calend 01'!H61-('V06 Calend 01'!I61*('V06 Calend 01'!E61-1))),'V06 Calend 01'!I61),0))+IF((1='V06 Calend 01'!D61),'V06 Calend 01'!J61,0))</f>
        <v>0</v>
      </c>
      <c r="N61" s="2">
        <f>((IF((2='V06 Calend 01'!C61),('V06 Calend 01'!F61+'V06 Calend 01'!G61),0)+IF(AND(('V06 Calend 01'!E61&gt;0),(2&gt;'V06 Calend 01'!C61),(2&lt;'V06 Calend 01'!D61),(MOD((2-'V06 Calend 01'!C61),6)=0),(((2-'V06 Calend 01'!C61)/6)&lt;='V06 Calend 01'!E61)),IF((2=('V06 Calend 01'!C61+(6*'V06 Calend 01'!E61))),('V06 Calend 01'!H61-('V06 Calend 01'!I61*('V06 Calend 01'!E61-1))),'V06 Calend 01'!I61),0))+IF((2='V06 Calend 01'!D61),'V06 Calend 01'!J61,0))</f>
        <v>0</v>
      </c>
      <c r="O61" s="2">
        <f>((IF((3='V06 Calend 01'!C61),('V06 Calend 01'!F61+'V06 Calend 01'!G61),0)+IF(AND(('V06 Calend 01'!E61&gt;0),(3&gt;'V06 Calend 01'!C61),(3&lt;'V06 Calend 01'!D61),(MOD((3-'V06 Calend 01'!C61),6)=0),(((3-'V06 Calend 01'!C61)/6)&lt;='V06 Calend 01'!E61)),IF((3=('V06 Calend 01'!C61+(6*'V06 Calend 01'!E61))),('V06 Calend 01'!H61-('V06 Calend 01'!I61*('V06 Calend 01'!E61-1))),'V06 Calend 01'!I61),0))+IF((3='V06 Calend 01'!D61),'V06 Calend 01'!J61,0))</f>
        <v>0</v>
      </c>
      <c r="P61" s="2">
        <f>((IF((4='V06 Calend 01'!C61),('V06 Calend 01'!F61+'V06 Calend 01'!G61),0)+IF(AND(('V06 Calend 01'!E61&gt;0),(4&gt;'V06 Calend 01'!C61),(4&lt;'V06 Calend 01'!D61),(MOD((4-'V06 Calend 01'!C61),6)=0),(((4-'V06 Calend 01'!C61)/6)&lt;='V06 Calend 01'!E61)),IF((4=('V06 Calend 01'!C61+(6*'V06 Calend 01'!E61))),('V06 Calend 01'!H61-('V06 Calend 01'!I61*('V06 Calend 01'!E61-1))),'V06 Calend 01'!I61),0))+IF((4='V06 Calend 01'!D61),'V06 Calend 01'!J61,0))</f>
        <v>0</v>
      </c>
      <c r="Q61" s="2">
        <f>((IF((5='V06 Calend 01'!C61),('V06 Calend 01'!F61+'V06 Calend 01'!G61),0)+IF(AND(('V06 Calend 01'!E61&gt;0),(5&gt;'V06 Calend 01'!C61),(5&lt;'V06 Calend 01'!D61),(MOD((5-'V06 Calend 01'!C61),6)=0),(((5-'V06 Calend 01'!C61)/6)&lt;='V06 Calend 01'!E61)),IF((5=('V06 Calend 01'!C61+(6*'V06 Calend 01'!E61))),('V06 Calend 01'!H61-('V06 Calend 01'!I61*('V06 Calend 01'!E61-1))),'V06 Calend 01'!I61),0))+IF((5='V06 Calend 01'!D61),'V06 Calend 01'!J61,0))</f>
        <v>0</v>
      </c>
      <c r="R61" s="2">
        <f>((IF((6='V06 Calend 01'!C61),('V06 Calend 01'!F61+'V06 Calend 01'!G61),0)+IF(AND(('V06 Calend 01'!E61&gt;0),(6&gt;'V06 Calend 01'!C61),(6&lt;'V06 Calend 01'!D61),(MOD((6-'V06 Calend 01'!C61),6)=0),(((6-'V06 Calend 01'!C61)/6)&lt;='V06 Calend 01'!E61)),IF((6=('V06 Calend 01'!C61+(6*'V06 Calend 01'!E61))),('V06 Calend 01'!H61-('V06 Calend 01'!I61*('V06 Calend 01'!E61-1))),'V06 Calend 01'!I61),0))+IF((6='V06 Calend 01'!D61),'V06 Calend 01'!J61,0))</f>
        <v>0</v>
      </c>
      <c r="S61" s="2">
        <f>((IF((7='V06 Calend 01'!C61),('V06 Calend 01'!F61+'V06 Calend 01'!G61),0)+IF(AND(('V06 Calend 01'!E61&gt;0),(7&gt;'V06 Calend 01'!C61),(7&lt;'V06 Calend 01'!D61),(MOD((7-'V06 Calend 01'!C61),6)=0),(((7-'V06 Calend 01'!C61)/6)&lt;='V06 Calend 01'!E61)),IF((7=('V06 Calend 01'!C61+(6*'V06 Calend 01'!E61))),('V06 Calend 01'!H61-('V06 Calend 01'!I61*('V06 Calend 01'!E61-1))),'V06 Calend 01'!I61),0))+IF((7='V06 Calend 01'!D61),'V06 Calend 01'!J61,0))</f>
        <v>0</v>
      </c>
      <c r="T61" s="2">
        <f>((IF((8='V06 Calend 01'!C61),('V06 Calend 01'!F61+'V06 Calend 01'!G61),0)+IF(AND(('V06 Calend 01'!E61&gt;0),(8&gt;'V06 Calend 01'!C61),(8&lt;'V06 Calend 01'!D61),(MOD((8-'V06 Calend 01'!C61),6)=0),(((8-'V06 Calend 01'!C61)/6)&lt;='V06 Calend 01'!E61)),IF((8=('V06 Calend 01'!C61+(6*'V06 Calend 01'!E61))),('V06 Calend 01'!H61-('V06 Calend 01'!I61*('V06 Calend 01'!E61-1))),'V06 Calend 01'!I61),0))+IF((8='V06 Calend 01'!D61),'V06 Calend 01'!J61,0))</f>
        <v>0</v>
      </c>
      <c r="U61" s="2">
        <f>((IF((9='V06 Calend 01'!C61),('V06 Calend 01'!F61+'V06 Calend 01'!G61),0)+IF(AND(('V06 Calend 01'!E61&gt;0),(9&gt;'V06 Calend 01'!C61),(9&lt;'V06 Calend 01'!D61),(MOD((9-'V06 Calend 01'!C61),6)=0),(((9-'V06 Calend 01'!C61)/6)&lt;='V06 Calend 01'!E61)),IF((9=('V06 Calend 01'!C61+(6*'V06 Calend 01'!E61))),('V06 Calend 01'!H61-('V06 Calend 01'!I61*('V06 Calend 01'!E61-1))),'V06 Calend 01'!I61),0))+IF((9='V06 Calend 01'!D61),'V06 Calend 01'!J61,0))</f>
        <v>0</v>
      </c>
      <c r="V61" s="2">
        <f>((IF((10='V06 Calend 01'!C61),('V06 Calend 01'!F61+'V06 Calend 01'!G61),0)+IF(AND(('V06 Calend 01'!E61&gt;0),(10&gt;'V06 Calend 01'!C61),(10&lt;'V06 Calend 01'!D61),(MOD((10-'V06 Calend 01'!C61),6)=0),(((10-'V06 Calend 01'!C61)/6)&lt;='V06 Calend 01'!E61)),IF((10=('V06 Calend 01'!C61+(6*'V06 Calend 01'!E61))),('V06 Calend 01'!H61-('V06 Calend 01'!I61*('V06 Calend 01'!E61-1))),'V06 Calend 01'!I61),0))+IF((10='V06 Calend 01'!D61),'V06 Calend 01'!J61,0))</f>
        <v>0</v>
      </c>
      <c r="W61" s="2">
        <f>((IF((11='V06 Calend 01'!C61),('V06 Calend 01'!F61+'V06 Calend 01'!G61),0)+IF(AND(('V06 Calend 01'!E61&gt;0),(11&gt;'V06 Calend 01'!C61),(11&lt;'V06 Calend 01'!D61),(MOD((11-'V06 Calend 01'!C61),6)=0),(((11-'V06 Calend 01'!C61)/6)&lt;='V06 Calend 01'!E61)),IF((11=('V06 Calend 01'!C61+(6*'V06 Calend 01'!E61))),('V06 Calend 01'!H61-('V06 Calend 01'!I61*('V06 Calend 01'!E61-1))),'V06 Calend 01'!I61),0))+IF((11='V06 Calend 01'!D61),'V06 Calend 01'!J61,0))</f>
        <v>0</v>
      </c>
      <c r="X61" s="2">
        <f>((IF((12='V06 Calend 01'!C61),('V06 Calend 01'!F61+'V06 Calend 01'!G61),0)+IF(AND(('V06 Calend 01'!E61&gt;0),(12&gt;'V06 Calend 01'!C61),(12&lt;'V06 Calend 01'!D61),(MOD((12-'V06 Calend 01'!C61),6)=0),(((12-'V06 Calend 01'!C61)/6)&lt;='V06 Calend 01'!E61)),IF((12=('V06 Calend 01'!C61+(6*'V06 Calend 01'!E61))),('V06 Calend 01'!H61-('V06 Calend 01'!I61*('V06 Calend 01'!E61-1))),'V06 Calend 01'!I61),0))+IF((12='V06 Calend 01'!D61),'V06 Calend 01'!J61,0))</f>
        <v>0</v>
      </c>
      <c r="Y61" s="2">
        <f>((IF((13='V06 Calend 01'!C61),('V06 Calend 01'!F61+'V06 Calend 01'!G61),0)+IF(AND(('V06 Calend 01'!E61&gt;0),(13&gt;'V06 Calend 01'!C61),(13&lt;'V06 Calend 01'!D61),(MOD((13-'V06 Calend 01'!C61),6)=0),(((13-'V06 Calend 01'!C61)/6)&lt;='V06 Calend 01'!E61)),IF((13=('V06 Calend 01'!C61+(6*'V06 Calend 01'!E61))),('V06 Calend 01'!H61-('V06 Calend 01'!I61*('V06 Calend 01'!E61-1))),'V06 Calend 01'!I61),0))+IF((13='V06 Calend 01'!D61),'V06 Calend 01'!J61,0))</f>
        <v>84492.15</v>
      </c>
      <c r="Z61" s="2">
        <f>((IF((14='V06 Calend 01'!C61),('V06 Calend 01'!F61+'V06 Calend 01'!G61),0)+IF(AND(('V06 Calend 01'!E61&gt;0),(14&gt;'V06 Calend 01'!C61),(14&lt;'V06 Calend 01'!D61),(MOD((14-'V06 Calend 01'!C61),6)=0),(((14-'V06 Calend 01'!C61)/6)&lt;='V06 Calend 01'!E61)),IF((14=('V06 Calend 01'!C61+(6*'V06 Calend 01'!E61))),('V06 Calend 01'!H61-('V06 Calend 01'!I61*('V06 Calend 01'!E61-1))),'V06 Calend 01'!I61),0))+IF((14='V06 Calend 01'!D61),'V06 Calend 01'!J61,0))</f>
        <v>0</v>
      </c>
      <c r="AA61" s="2">
        <f>((IF((15='V06 Calend 01'!C61),('V06 Calend 01'!F61+'V06 Calend 01'!G61),0)+IF(AND(('V06 Calend 01'!E61&gt;0),(15&gt;'V06 Calend 01'!C61),(15&lt;'V06 Calend 01'!D61),(MOD((15-'V06 Calend 01'!C61),6)=0),(((15-'V06 Calend 01'!C61)/6)&lt;='V06 Calend 01'!E61)),IF((15=('V06 Calend 01'!C61+(6*'V06 Calend 01'!E61))),('V06 Calend 01'!H61-('V06 Calend 01'!I61*('V06 Calend 01'!E61-1))),'V06 Calend 01'!I61),0))+IF((15='V06 Calend 01'!D61),'V06 Calend 01'!J61,0))</f>
        <v>0</v>
      </c>
      <c r="AB61" s="2">
        <f>((IF((16='V06 Calend 01'!C61),('V06 Calend 01'!F61+'V06 Calend 01'!G61),0)+IF(AND(('V06 Calend 01'!E61&gt;0),(16&gt;'V06 Calend 01'!C61),(16&lt;'V06 Calend 01'!D61),(MOD((16-'V06 Calend 01'!C61),6)=0),(((16-'V06 Calend 01'!C61)/6)&lt;='V06 Calend 01'!E61)),IF((16=('V06 Calend 01'!C61+(6*'V06 Calend 01'!E61))),('V06 Calend 01'!H61-('V06 Calend 01'!I61*('V06 Calend 01'!E61-1))),'V06 Calend 01'!I61),0))+IF((16='V06 Calend 01'!D61),'V06 Calend 01'!J61,0))</f>
        <v>0</v>
      </c>
      <c r="AC61" s="2">
        <f>((IF((17='V06 Calend 01'!C61),('V06 Calend 01'!F61+'V06 Calend 01'!G61),0)+IF(AND(('V06 Calend 01'!E61&gt;0),(17&gt;'V06 Calend 01'!C61),(17&lt;'V06 Calend 01'!D61),(MOD((17-'V06 Calend 01'!C61),6)=0),(((17-'V06 Calend 01'!C61)/6)&lt;='V06 Calend 01'!E61)),IF((17=('V06 Calend 01'!C61+(6*'V06 Calend 01'!E61))),('V06 Calend 01'!H61-('V06 Calend 01'!I61*('V06 Calend 01'!E61-1))),'V06 Calend 01'!I61),0))+IF((17='V06 Calend 01'!D61),'V06 Calend 01'!J61,0))</f>
        <v>0</v>
      </c>
      <c r="AD61" s="2">
        <f>((IF((18='V06 Calend 01'!C61),('V06 Calend 01'!F61+'V06 Calend 01'!G61),0)+IF(AND(('V06 Calend 01'!E61&gt;0),(18&gt;'V06 Calend 01'!C61),(18&lt;'V06 Calend 01'!D61),(MOD((18-'V06 Calend 01'!C61),6)=0),(((18-'V06 Calend 01'!C61)/6)&lt;='V06 Calend 01'!E61)),IF((18=('V06 Calend 01'!C61+(6*'V06 Calend 01'!E61))),('V06 Calend 01'!H61-('V06 Calend 01'!I61*('V06 Calend 01'!E61-1))),'V06 Calend 01'!I61),0))+IF((18='V06 Calend 01'!D61),'V06 Calend 01'!J61,0))</f>
        <v>0</v>
      </c>
      <c r="AE61" s="2">
        <f>((IF((19='V06 Calend 01'!C61),('V06 Calend 01'!F61+'V06 Calend 01'!G61),0)+IF(AND(('V06 Calend 01'!E61&gt;0),(19&gt;'V06 Calend 01'!C61),(19&lt;'V06 Calend 01'!D61),(MOD((19-'V06 Calend 01'!C61),6)=0),(((19-'V06 Calend 01'!C61)/6)&lt;='V06 Calend 01'!E61)),IF((19=('V06 Calend 01'!C61+(6*'V06 Calend 01'!E61))),('V06 Calend 01'!H61-('V06 Calend 01'!I61*('V06 Calend 01'!E61-1))),'V06 Calend 01'!I61),0))+IF((19='V06 Calend 01'!D61),'V06 Calend 01'!J61,0))</f>
        <v>92941.36</v>
      </c>
      <c r="AF61" s="2">
        <f>((IF((20='V06 Calend 01'!C61),('V06 Calend 01'!F61+'V06 Calend 01'!G61),0)+IF(AND(('V06 Calend 01'!E61&gt;0),(20&gt;'V06 Calend 01'!C61),(20&lt;'V06 Calend 01'!D61),(MOD((20-'V06 Calend 01'!C61),6)=0),(((20-'V06 Calend 01'!C61)/6)&lt;='V06 Calend 01'!E61)),IF((20=('V06 Calend 01'!C61+(6*'V06 Calend 01'!E61))),('V06 Calend 01'!H61-('V06 Calend 01'!I61*('V06 Calend 01'!E61-1))),'V06 Calend 01'!I61),0))+IF((20='V06 Calend 01'!D61),'V06 Calend 01'!J61,0))</f>
        <v>0</v>
      </c>
      <c r="AG61" s="2">
        <f>((IF((21='V06 Calend 01'!C61),('V06 Calend 01'!F61+'V06 Calend 01'!G61),0)+IF(AND(('V06 Calend 01'!E61&gt;0),(21&gt;'V06 Calend 01'!C61),(21&lt;'V06 Calend 01'!D61),(MOD((21-'V06 Calend 01'!C61),6)=0),(((21-'V06 Calend 01'!C61)/6)&lt;='V06 Calend 01'!E61)),IF((21=('V06 Calend 01'!C61+(6*'V06 Calend 01'!E61))),('V06 Calend 01'!H61-('V06 Calend 01'!I61*('V06 Calend 01'!E61-1))),'V06 Calend 01'!I61),0))+IF((21='V06 Calend 01'!D61),'V06 Calend 01'!J61,0))</f>
        <v>0</v>
      </c>
      <c r="AH61" s="2">
        <f>((IF((22='V06 Calend 01'!C61),('V06 Calend 01'!F61+'V06 Calend 01'!G61),0)+IF(AND(('V06 Calend 01'!E61&gt;0),(22&gt;'V06 Calend 01'!C61),(22&lt;'V06 Calend 01'!D61),(MOD((22-'V06 Calend 01'!C61),6)=0),(((22-'V06 Calend 01'!C61)/6)&lt;='V06 Calend 01'!E61)),IF((22=('V06 Calend 01'!C61+(6*'V06 Calend 01'!E61))),('V06 Calend 01'!H61-('V06 Calend 01'!I61*('V06 Calend 01'!E61-1))),'V06 Calend 01'!I61),0))+IF((22='V06 Calend 01'!D61),'V06 Calend 01'!J61,0))</f>
        <v>0</v>
      </c>
      <c r="AI61" s="2">
        <f>((IF((23='V06 Calend 01'!C61),('V06 Calend 01'!F61+'V06 Calend 01'!G61),0)+IF(AND(('V06 Calend 01'!E61&gt;0),(23&gt;'V06 Calend 01'!C61),(23&lt;'V06 Calend 01'!D61),(MOD((23-'V06 Calend 01'!C61),6)=0),(((23-'V06 Calend 01'!C61)/6)&lt;='V06 Calend 01'!E61)),IF((23=('V06 Calend 01'!C61+(6*'V06 Calend 01'!E61))),('V06 Calend 01'!H61-('V06 Calend 01'!I61*('V06 Calend 01'!E61-1))),'V06 Calend 01'!I61),0))+IF((23='V06 Calend 01'!D61),'V06 Calend 01'!J61,0))</f>
        <v>0</v>
      </c>
      <c r="AJ61" s="2">
        <f>((IF((24='V06 Calend 01'!C61),('V06 Calend 01'!F61+'V06 Calend 01'!G61),0)+IF(AND(('V06 Calend 01'!E61&gt;0),(24&gt;'V06 Calend 01'!C61),(24&lt;'V06 Calend 01'!D61),(MOD((24-'V06 Calend 01'!C61),6)=0),(((24-'V06 Calend 01'!C61)/6)&lt;='V06 Calend 01'!E61)),IF((24=('V06 Calend 01'!C61+(6*'V06 Calend 01'!E61))),('V06 Calend 01'!H61-('V06 Calend 01'!I61*('V06 Calend 01'!E61-1))),'V06 Calend 01'!I61),0))+IF((24='V06 Calend 01'!D61),'V06 Calend 01'!J61,0))</f>
        <v>0</v>
      </c>
      <c r="AK61" s="2">
        <f>((IF((25='V06 Calend 01'!C61),('V06 Calend 01'!F61+'V06 Calend 01'!G61),0)+IF(AND(('V06 Calend 01'!E61&gt;0),(25&gt;'V06 Calend 01'!C61),(25&lt;'V06 Calend 01'!D61),(MOD((25-'V06 Calend 01'!C61),6)=0),(((25-'V06 Calend 01'!C61)/6)&lt;='V06 Calend 01'!E61)),IF((25=('V06 Calend 01'!C61+(6*'V06 Calend 01'!E61))),('V06 Calend 01'!H61-('V06 Calend 01'!I61*('V06 Calend 01'!E61-1))),'V06 Calend 01'!I61),0))+IF((25='V06 Calend 01'!D61),'V06 Calend 01'!J61,0))</f>
        <v>92941.36</v>
      </c>
      <c r="AL61" s="2">
        <f>((IF((26='V06 Calend 01'!C61),('V06 Calend 01'!F61+'V06 Calend 01'!G61),0)+IF(AND(('V06 Calend 01'!E61&gt;0),(26&gt;'V06 Calend 01'!C61),(26&lt;'V06 Calend 01'!D61),(MOD((26-'V06 Calend 01'!C61),6)=0),(((26-'V06 Calend 01'!C61)/6)&lt;='V06 Calend 01'!E61)),IF((26=('V06 Calend 01'!C61+(6*'V06 Calend 01'!E61))),('V06 Calend 01'!H61-('V06 Calend 01'!I61*('V06 Calend 01'!E61-1))),'V06 Calend 01'!I61),0))+IF((26='V06 Calend 01'!D61),'V06 Calend 01'!J61,0))</f>
        <v>0</v>
      </c>
      <c r="AM61" s="2">
        <f>((IF((27='V06 Calend 01'!C61),('V06 Calend 01'!F61+'V06 Calend 01'!G61),0)+IF(AND(('V06 Calend 01'!E61&gt;0),(27&gt;'V06 Calend 01'!C61),(27&lt;'V06 Calend 01'!D61),(MOD((27-'V06 Calend 01'!C61),6)=0),(((27-'V06 Calend 01'!C61)/6)&lt;='V06 Calend 01'!E61)),IF((27=('V06 Calend 01'!C61+(6*'V06 Calend 01'!E61))),('V06 Calend 01'!H61-('V06 Calend 01'!I61*('V06 Calend 01'!E61-1))),'V06 Calend 01'!I61),0))+IF((27='V06 Calend 01'!D61),'V06 Calend 01'!J61,0))</f>
        <v>0</v>
      </c>
      <c r="AN61" s="2">
        <f>((IF((28='V06 Calend 01'!C61),('V06 Calend 01'!F61+'V06 Calend 01'!G61),0)+IF(AND(('V06 Calend 01'!E61&gt;0),(28&gt;'V06 Calend 01'!C61),(28&lt;'V06 Calend 01'!D61),(MOD((28-'V06 Calend 01'!C61),6)=0),(((28-'V06 Calend 01'!C61)/6)&lt;='V06 Calend 01'!E61)),IF((28=('V06 Calend 01'!C61+(6*'V06 Calend 01'!E61))),('V06 Calend 01'!H61-('V06 Calend 01'!I61*('V06 Calend 01'!E61-1))),'V06 Calend 01'!I61),0))+IF((28='V06 Calend 01'!D61),'V06 Calend 01'!J61,0))</f>
        <v>0</v>
      </c>
      <c r="AO61" s="2">
        <f>((IF((29='V06 Calend 01'!C61),('V06 Calend 01'!F61+'V06 Calend 01'!G61),0)+IF(AND(('V06 Calend 01'!E61&gt;0),(29&gt;'V06 Calend 01'!C61),(29&lt;'V06 Calend 01'!D61),(MOD((29-'V06 Calend 01'!C61),6)=0),(((29-'V06 Calend 01'!C61)/6)&lt;='V06 Calend 01'!E61)),IF((29=('V06 Calend 01'!C61+(6*'V06 Calend 01'!E61))),('V06 Calend 01'!H61-('V06 Calend 01'!I61*('V06 Calend 01'!E61-1))),'V06 Calend 01'!I61),0))+IF((29='V06 Calend 01'!D61),'V06 Calend 01'!J61,0))</f>
        <v>0</v>
      </c>
      <c r="AP61" s="2">
        <f>((IF((30='V06 Calend 01'!C61),('V06 Calend 01'!F61+'V06 Calend 01'!G61),0)+IF(AND(('V06 Calend 01'!E61&gt;0),(30&gt;'V06 Calend 01'!C61),(30&lt;'V06 Calend 01'!D61),(MOD((30-'V06 Calend 01'!C61),6)=0),(((30-'V06 Calend 01'!C61)/6)&lt;='V06 Calend 01'!E61)),IF((30=('V06 Calend 01'!C61+(6*'V06 Calend 01'!E61))),('V06 Calend 01'!H61-('V06 Calend 01'!I61*('V06 Calend 01'!E61-1))),'V06 Calend 01'!I61),0))+IF((30='V06 Calend 01'!D61),'V06 Calend 01'!J61,0))</f>
        <v>67593.72000000003</v>
      </c>
      <c r="AQ61" s="2">
        <f>((IF((31='V06 Calend 01'!C61),('V06 Calend 01'!F61+'V06 Calend 01'!G61),0)+IF(AND(('V06 Calend 01'!E61&gt;0),(31&gt;'V06 Calend 01'!C61),(31&lt;'V06 Calend 01'!D61),(MOD((31-'V06 Calend 01'!C61),6)=0),(((31-'V06 Calend 01'!C61)/6)&lt;='V06 Calend 01'!E61)),IF((31=('V06 Calend 01'!C61+(6*'V06 Calend 01'!E61))),('V06 Calend 01'!H61-('V06 Calend 01'!I61*('V06 Calend 01'!E61-1))),'V06 Calend 01'!I61),0))+IF((31='V06 Calend 01'!D61),'V06 Calend 01'!J61,0))</f>
        <v>0</v>
      </c>
      <c r="AR61" s="2">
        <f>((IF((32='V06 Calend 01'!C61),('V06 Calend 01'!F61+'V06 Calend 01'!G61),0)+IF(AND(('V06 Calend 01'!E61&gt;0),(32&gt;'V06 Calend 01'!C61),(32&lt;'V06 Calend 01'!D61),(MOD((32-'V06 Calend 01'!C61),6)=0),(((32-'V06 Calend 01'!C61)/6)&lt;='V06 Calend 01'!E61)),IF((32=('V06 Calend 01'!C61+(6*'V06 Calend 01'!E61))),('V06 Calend 01'!H61-('V06 Calend 01'!I61*('V06 Calend 01'!E61-1))),'V06 Calend 01'!I61),0))+IF((32='V06 Calend 01'!D61),'V06 Calend 01'!J61,0))</f>
        <v>0</v>
      </c>
      <c r="AS61" s="2">
        <f>((IF((33='V06 Calend 01'!C61),('V06 Calend 01'!F61+'V06 Calend 01'!G61),0)+IF(AND(('V06 Calend 01'!E61&gt;0),(33&gt;'V06 Calend 01'!C61),(33&lt;'V06 Calend 01'!D61),(MOD((33-'V06 Calend 01'!C61),6)=0),(((33-'V06 Calend 01'!C61)/6)&lt;='V06 Calend 01'!E61)),IF((33=('V06 Calend 01'!C61+(6*'V06 Calend 01'!E61))),('V06 Calend 01'!H61-('V06 Calend 01'!I61*('V06 Calend 01'!E61-1))),'V06 Calend 01'!I61),0))+IF((33='V06 Calend 01'!D61),'V06 Calend 01'!J61,0))</f>
        <v>0</v>
      </c>
      <c r="AT61" s="2">
        <f>((IF((34='V06 Calend 01'!C61),('V06 Calend 01'!F61+'V06 Calend 01'!G61),0)+IF(AND(('V06 Calend 01'!E61&gt;0),(34&gt;'V06 Calend 01'!C61),(34&lt;'V06 Calend 01'!D61),(MOD((34-'V06 Calend 01'!C61),6)=0),(((34-'V06 Calend 01'!C61)/6)&lt;='V06 Calend 01'!E61)),IF((34=('V06 Calend 01'!C61+(6*'V06 Calend 01'!E61))),('V06 Calend 01'!H61-('V06 Calend 01'!I61*('V06 Calend 01'!E61-1))),'V06 Calend 01'!I61),0))+IF((34='V06 Calend 01'!D61),'V06 Calend 01'!J61,0))</f>
        <v>0</v>
      </c>
      <c r="AU61" s="2">
        <f>((IF((35='V06 Calend 01'!C61),('V06 Calend 01'!F61+'V06 Calend 01'!G61),0)+IF(AND(('V06 Calend 01'!E61&gt;0),(35&gt;'V06 Calend 01'!C61),(35&lt;'V06 Calend 01'!D61),(MOD((35-'V06 Calend 01'!C61),6)=0),(((35-'V06 Calend 01'!C61)/6)&lt;='V06 Calend 01'!E61)),IF((35=('V06 Calend 01'!C61+(6*'V06 Calend 01'!E61))),('V06 Calend 01'!H61-('V06 Calend 01'!I61*('V06 Calend 01'!E61-1))),'V06 Calend 01'!I61),0))+IF((35='V06 Calend 01'!D61),'V06 Calend 01'!J61,0))</f>
        <v>0</v>
      </c>
      <c r="AV61" s="2">
        <f>((IF((36='V06 Calend 01'!C61),('V06 Calend 01'!F61+'V06 Calend 01'!G61),0)+IF(AND(('V06 Calend 01'!E61&gt;0),(36&gt;'V06 Calend 01'!C61),(36&lt;'V06 Calend 01'!D61),(MOD((36-'V06 Calend 01'!C61),6)=0),(((36-'V06 Calend 01'!C61)/6)&lt;='V06 Calend 01'!E61)),IF((36=('V06 Calend 01'!C61+(6*'V06 Calend 01'!E61))),('V06 Calend 01'!H61-('V06 Calend 01'!I61*('V06 Calend 01'!E61-1))),'V06 Calend 01'!I61),0))+IF((36='V06 Calend 01'!D61),'V06 Calend 01'!J61,0))</f>
        <v>0</v>
      </c>
      <c r="AW61" s="2">
        <f>((IF((37='V06 Calend 01'!C61),('V06 Calend 01'!F61+'V06 Calend 01'!G61),0)+IF(AND(('V06 Calend 01'!E61&gt;0),(37&gt;'V06 Calend 01'!C61),(37&lt;'V06 Calend 01'!D61),(MOD((37-'V06 Calend 01'!C61),6)=0),(((37-'V06 Calend 01'!C61)/6)&lt;='V06 Calend 01'!E61)),IF((37=('V06 Calend 01'!C61+(6*'V06 Calend 01'!E61))),('V06 Calend 01'!H61-('V06 Calend 01'!I61*('V06 Calend 01'!E61-1))),'V06 Calend 01'!I61),0))+IF((37='V06 Calend 01'!D61),'V06 Calend 01'!J61,0))</f>
        <v>0</v>
      </c>
      <c r="AX61" s="2">
        <f>((IF((38='V06 Calend 01'!C61),('V06 Calend 01'!F61+'V06 Calend 01'!G61),0)+IF(AND(('V06 Calend 01'!E61&gt;0),(38&gt;'V06 Calend 01'!C61),(38&lt;'V06 Calend 01'!D61),(MOD((38-'V06 Calend 01'!C61),6)=0),(((38-'V06 Calend 01'!C61)/6)&lt;='V06 Calend 01'!E61)),IF((38=('V06 Calend 01'!C61+(6*'V06 Calend 01'!E61))),('V06 Calend 01'!H61-('V06 Calend 01'!I61*('V06 Calend 01'!E61-1))),'V06 Calend 01'!I61),0))+IF((38='V06 Calend 01'!D61),'V06 Calend 01'!J61,0))</f>
        <v>0</v>
      </c>
      <c r="AY61" s="2">
        <f>((IF((39='V06 Calend 01'!C61),('V06 Calend 01'!F61+'V06 Calend 01'!G61),0)+IF(AND(('V06 Calend 01'!E61&gt;0),(39&gt;'V06 Calend 01'!C61),(39&lt;'V06 Calend 01'!D61),(MOD((39-'V06 Calend 01'!C61),6)=0),(((39-'V06 Calend 01'!C61)/6)&lt;='V06 Calend 01'!E61)),IF((39=('V06 Calend 01'!C61+(6*'V06 Calend 01'!E61))),('V06 Calend 01'!H61-('V06 Calend 01'!I61*('V06 Calend 01'!E61-1))),'V06 Calend 01'!I61),0))+IF((39='V06 Calend 01'!D61),'V06 Calend 01'!J61,0))</f>
        <v>0</v>
      </c>
      <c r="AZ61" s="2">
        <f>((IF((40='V06 Calend 01'!C61),('V06 Calend 01'!F61+'V06 Calend 01'!G61),0)+IF(AND(('V06 Calend 01'!E61&gt;0),(40&gt;'V06 Calend 01'!C61),(40&lt;'V06 Calend 01'!D61),(MOD((40-'V06 Calend 01'!C61),6)=0),(((40-'V06 Calend 01'!C61)/6)&lt;='V06 Calend 01'!E61)),IF((40=('V06 Calend 01'!C61+(6*'V06 Calend 01'!E61))),('V06 Calend 01'!H61-('V06 Calend 01'!I61*('V06 Calend 01'!E61-1))),'V06 Calend 01'!I61),0))+IF((40='V06 Calend 01'!D61),'V06 Calend 01'!J61,0))</f>
        <v>0</v>
      </c>
      <c r="BA61" s="2">
        <f>((IF((41='V06 Calend 01'!C61),('V06 Calend 01'!F61+'V06 Calend 01'!G61),0)+IF(AND(('V06 Calend 01'!E61&gt;0),(41&gt;'V06 Calend 01'!C61),(41&lt;'V06 Calend 01'!D61),(MOD((41-'V06 Calend 01'!C61),6)=0),(((41-'V06 Calend 01'!C61)/6)&lt;='V06 Calend 01'!E61)),IF((41=('V06 Calend 01'!C61+(6*'V06 Calend 01'!E61))),('V06 Calend 01'!H61-('V06 Calend 01'!I61*('V06 Calend 01'!E61-1))),'V06 Calend 01'!I61),0))+IF((41='V06 Calend 01'!D61),'V06 Calend 01'!J61,0))</f>
        <v>0</v>
      </c>
      <c r="BB61" s="2">
        <f>((IF((42='V06 Calend 01'!C61),('V06 Calend 01'!F61+'V06 Calend 01'!G61),0)+IF(AND(('V06 Calend 01'!E61&gt;0),(42&gt;'V06 Calend 01'!C61),(42&lt;'V06 Calend 01'!D61),(MOD((42-'V06 Calend 01'!C61),6)=0),(((42-'V06 Calend 01'!C61)/6)&lt;='V06 Calend 01'!E61)),IF((42=('V06 Calend 01'!C61+(6*'V06 Calend 01'!E61))),('V06 Calend 01'!H61-('V06 Calend 01'!I61*('V06 Calend 01'!E61-1))),'V06 Calend 01'!I61),0))+IF((42='V06 Calend 01'!D61),'V06 Calend 01'!J61,0))</f>
        <v>0</v>
      </c>
      <c r="BC61" s="2">
        <f>((IF((43='V06 Calend 01'!C61),('V06 Calend 01'!F61+'V06 Calend 01'!G61),0)+IF(AND(('V06 Calend 01'!E61&gt;0),(43&gt;'V06 Calend 01'!C61),(43&lt;'V06 Calend 01'!D61),(MOD((43-'V06 Calend 01'!C61),6)=0),(((43-'V06 Calend 01'!C61)/6)&lt;='V06 Calend 01'!E61)),IF((43=('V06 Calend 01'!C61+(6*'V06 Calend 01'!E61))),('V06 Calend 01'!H61-('V06 Calend 01'!I61*('V06 Calend 01'!E61-1))),'V06 Calend 01'!I61),0))+IF((43='V06 Calend 01'!D61),'V06 Calend 01'!J61,0))</f>
        <v>0</v>
      </c>
      <c r="BD61" s="2">
        <f>((IF((44='V06 Calend 01'!C61),('V06 Calend 01'!F61+'V06 Calend 01'!G61),0)+IF(AND(('V06 Calend 01'!E61&gt;0),(44&gt;'V06 Calend 01'!C61),(44&lt;'V06 Calend 01'!D61),(MOD((44-'V06 Calend 01'!C61),6)=0),(((44-'V06 Calend 01'!C61)/6)&lt;='V06 Calend 01'!E61)),IF((44=('V06 Calend 01'!C61+(6*'V06 Calend 01'!E61))),('V06 Calend 01'!H61-('V06 Calend 01'!I61*('V06 Calend 01'!E61-1))),'V06 Calend 01'!I61),0))+IF((44='V06 Calend 01'!D61),'V06 Calend 01'!J61,0))</f>
        <v>0</v>
      </c>
      <c r="BE61" s="2">
        <f>((IF((45='V06 Calend 01'!C61),('V06 Calend 01'!F61+'V06 Calend 01'!G61),0)+IF(AND(('V06 Calend 01'!E61&gt;0),(45&gt;'V06 Calend 01'!C61),(45&lt;'V06 Calend 01'!D61),(MOD((45-'V06 Calend 01'!C61),6)=0),(((45-'V06 Calend 01'!C61)/6)&lt;='V06 Calend 01'!E61)),IF((45=('V06 Calend 01'!C61+(6*'V06 Calend 01'!E61))),('V06 Calend 01'!H61-('V06 Calend 01'!I61*('V06 Calend 01'!E61-1))),'V06 Calend 01'!I61),0))+IF((45='V06 Calend 01'!D61),'V06 Calend 01'!J61,0))</f>
        <v>0</v>
      </c>
      <c r="BF61" s="2">
        <f>((IF((46='V06 Calend 01'!C61),('V06 Calend 01'!F61+'V06 Calend 01'!G61),0)+IF(AND(('V06 Calend 01'!E61&gt;0),(46&gt;'V06 Calend 01'!C61),(46&lt;'V06 Calend 01'!D61),(MOD((46-'V06 Calend 01'!C61),6)=0),(((46-'V06 Calend 01'!C61)/6)&lt;='V06 Calend 01'!E61)),IF((46=('V06 Calend 01'!C61+(6*'V06 Calend 01'!E61))),('V06 Calend 01'!H61-('V06 Calend 01'!I61*('V06 Calend 01'!E61-1))),'V06 Calend 01'!I61),0))+IF((46='V06 Calend 01'!D61),'V06 Calend 01'!J61,0))</f>
        <v>0</v>
      </c>
      <c r="BG61" s="2">
        <f>((IF((47='V06 Calend 01'!C61),('V06 Calend 01'!F61+'V06 Calend 01'!G61),0)+IF(AND(('V06 Calend 01'!E61&gt;0),(47&gt;'V06 Calend 01'!C61),(47&lt;'V06 Calend 01'!D61),(MOD((47-'V06 Calend 01'!C61),6)=0),(((47-'V06 Calend 01'!C61)/6)&lt;='V06 Calend 01'!E61)),IF((47=('V06 Calend 01'!C61+(6*'V06 Calend 01'!E61))),('V06 Calend 01'!H61-('V06 Calend 01'!I61*('V06 Calend 01'!E61-1))),'V06 Calend 01'!I61),0))+IF((47='V06 Calend 01'!D61),'V06 Calend 01'!J61,0))</f>
        <v>0</v>
      </c>
      <c r="BH61" s="2">
        <f>((IF((48='V06 Calend 01'!C61),('V06 Calend 01'!F61+'V06 Calend 01'!G61),0)+IF(AND(('V06 Calend 01'!E61&gt;0),(48&gt;'V06 Calend 01'!C61),(48&lt;'V06 Calend 01'!D61),(MOD((48-'V06 Calend 01'!C61),6)=0),(((48-'V06 Calend 01'!C61)/6)&lt;='V06 Calend 01'!E61)),IF((48=('V06 Calend 01'!C61+(6*'V06 Calend 01'!E61))),('V06 Calend 01'!H61-('V06 Calend 01'!I61*('V06 Calend 01'!E61-1))),'V06 Calend 01'!I61),0))+IF((48='V06 Calend 01'!D61),'V06 Calend 01'!J61,0))</f>
        <v>0</v>
      </c>
      <c r="BI61" s="2">
        <f>((IF((49='V06 Calend 01'!C61),('V06 Calend 01'!F61+'V06 Calend 01'!G61),0)+IF(AND(('V06 Calend 01'!E61&gt;0),(49&gt;'V06 Calend 01'!C61),(49&lt;'V06 Calend 01'!D61),(MOD((49-'V06 Calend 01'!C61),6)=0),(((49-'V06 Calend 01'!C61)/6)&lt;='V06 Calend 01'!E61)),IF((49=('V06 Calend 01'!C61+(6*'V06 Calend 01'!E61))),('V06 Calend 01'!H61-('V06 Calend 01'!I61*('V06 Calend 01'!E61-1))),'V06 Calend 01'!I61),0))+IF((49='V06 Calend 01'!D61),'V06 Calend 01'!J61,0))</f>
        <v>0</v>
      </c>
      <c r="BJ61" s="2">
        <f>((IF((50='V06 Calend 01'!C61),('V06 Calend 01'!F61+'V06 Calend 01'!G61),0)+IF(AND(('V06 Calend 01'!E61&gt;0),(50&gt;'V06 Calend 01'!C61),(50&lt;'V06 Calend 01'!D61),(MOD((50-'V06 Calend 01'!C61),6)=0),(((50-'V06 Calend 01'!C61)/6)&lt;='V06 Calend 01'!E61)),IF((50=('V06 Calend 01'!C61+(6*'V06 Calend 01'!E61))),('V06 Calend 01'!H61-('V06 Calend 01'!I61*('V06 Calend 01'!E61-1))),'V06 Calend 01'!I61),0))+IF((50='V06 Calend 01'!D61),'V06 Calend 01'!J61,0))</f>
        <v>0</v>
      </c>
      <c r="BK61" s="2">
        <f>((IF((51='V06 Calend 01'!C61),('V06 Calend 01'!F61+'V06 Calend 01'!G61),0)+IF(AND(('V06 Calend 01'!E61&gt;0),(51&gt;'V06 Calend 01'!C61),(51&lt;'V06 Calend 01'!D61),(MOD((51-'V06 Calend 01'!C61),6)=0),(((51-'V06 Calend 01'!C61)/6)&lt;='V06 Calend 01'!E61)),IF((51=('V06 Calend 01'!C61+(6*'V06 Calend 01'!E61))),('V06 Calend 01'!H61-('V06 Calend 01'!I61*('V06 Calend 01'!E61-1))),'V06 Calend 01'!I61),0))+IF((51='V06 Calend 01'!D61),'V06 Calend 01'!J61,0))</f>
        <v>0</v>
      </c>
      <c r="BL61" s="2">
        <f>((IF((52='V06 Calend 01'!C61),('V06 Calend 01'!F61+'V06 Calend 01'!G61),0)+IF(AND(('V06 Calend 01'!E61&gt;0),(52&gt;'V06 Calend 01'!C61),(52&lt;'V06 Calend 01'!D61),(MOD((52-'V06 Calend 01'!C61),6)=0),(((52-'V06 Calend 01'!C61)/6)&lt;='V06 Calend 01'!E61)),IF((52=('V06 Calend 01'!C61+(6*'V06 Calend 01'!E61))),('V06 Calend 01'!H61-('V06 Calend 01'!I61*('V06 Calend 01'!E61-1))),'V06 Calend 01'!I61),0))+IF((52='V06 Calend 01'!D61),'V06 Calend 01'!J61,0))</f>
        <v>0</v>
      </c>
      <c r="BM61" s="2">
        <f>((IF((53='V06 Calend 01'!C61),('V06 Calend 01'!F61+'V06 Calend 01'!G61),0)+IF(AND(('V06 Calend 01'!E61&gt;0),(53&gt;'V06 Calend 01'!C61),(53&lt;'V06 Calend 01'!D61),(MOD((53-'V06 Calend 01'!C61),6)=0),(((53-'V06 Calend 01'!C61)/6)&lt;='V06 Calend 01'!E61)),IF((53=('V06 Calend 01'!C61+(6*'V06 Calend 01'!E61))),('V06 Calend 01'!H61-('V06 Calend 01'!I61*('V06 Calend 01'!E61-1))),'V06 Calend 01'!I61),0))+IF((53='V06 Calend 01'!D61),'V06 Calend 01'!J61,0))</f>
        <v>0</v>
      </c>
      <c r="BN61" s="2">
        <f>((IF((54='V06 Calend 01'!C61),('V06 Calend 01'!F61+'V06 Calend 01'!G61),0)+IF(AND(('V06 Calend 01'!E61&gt;0),(54&gt;'V06 Calend 01'!C61),(54&lt;'V06 Calend 01'!D61),(MOD((54-'V06 Calend 01'!C61),6)=0),(((54-'V06 Calend 01'!C61)/6)&lt;='V06 Calend 01'!E61)),IF((54=('V06 Calend 01'!C61+(6*'V06 Calend 01'!E61))),('V06 Calend 01'!H61-('V06 Calend 01'!I61*('V06 Calend 01'!E61-1))),'V06 Calend 01'!I61),0))+IF((54='V06 Calend 01'!D61),'V06 Calend 01'!J61,0))</f>
        <v>0</v>
      </c>
      <c r="BO61" s="2">
        <f>((IF((55='V06 Calend 01'!C61),('V06 Calend 01'!F61+'V06 Calend 01'!G61),0)+IF(AND(('V06 Calend 01'!E61&gt;0),(55&gt;'V06 Calend 01'!C61),(55&lt;'V06 Calend 01'!D61),(MOD((55-'V06 Calend 01'!C61),6)=0),(((55-'V06 Calend 01'!C61)/6)&lt;='V06 Calend 01'!E61)),IF((55=('V06 Calend 01'!C61+(6*'V06 Calend 01'!E61))),('V06 Calend 01'!H61-('V06 Calend 01'!I61*('V06 Calend 01'!E61-1))),'V06 Calend 01'!I61),0))+IF((55='V06 Calend 01'!D61),'V06 Calend 01'!J61,0))</f>
        <v>0</v>
      </c>
      <c r="BP61" s="2">
        <f>((IF((56='V06 Calend 01'!C61),('V06 Calend 01'!F61+'V06 Calend 01'!G61),0)+IF(AND(('V06 Calend 01'!E61&gt;0),(56&gt;'V06 Calend 01'!C61),(56&lt;'V06 Calend 01'!D61),(MOD((56-'V06 Calend 01'!C61),6)=0),(((56-'V06 Calend 01'!C61)/6)&lt;='V06 Calend 01'!E61)),IF((56=('V06 Calend 01'!C61+(6*'V06 Calend 01'!E61))),('V06 Calend 01'!H61-('V06 Calend 01'!I61*('V06 Calend 01'!E61-1))),'V06 Calend 01'!I61),0))+IF((56='V06 Calend 01'!D61),'V06 Calend 01'!J61,0))</f>
        <v>0</v>
      </c>
      <c r="BQ61" s="2">
        <f>((IF((57='V06 Calend 01'!C61),('V06 Calend 01'!F61+'V06 Calend 01'!G61),0)+IF(AND(('V06 Calend 01'!E61&gt;0),(57&gt;'V06 Calend 01'!C61),(57&lt;'V06 Calend 01'!D61),(MOD((57-'V06 Calend 01'!C61),6)=0),(((57-'V06 Calend 01'!C61)/6)&lt;='V06 Calend 01'!E61)),IF((57=('V06 Calend 01'!C61+(6*'V06 Calend 01'!E61))),('V06 Calend 01'!H61-('V06 Calend 01'!I61*('V06 Calend 01'!E61-1))),'V06 Calend 01'!I61),0))+IF((57='V06 Calend 01'!D61),'V06 Calend 01'!J61,0))</f>
        <v>0</v>
      </c>
      <c r="BR61" s="2">
        <f>((IF((58='V06 Calend 01'!C61),('V06 Calend 01'!F61+'V06 Calend 01'!G61),0)+IF(AND(('V06 Calend 01'!E61&gt;0),(58&gt;'V06 Calend 01'!C61),(58&lt;'V06 Calend 01'!D61),(MOD((58-'V06 Calend 01'!C61),6)=0),(((58-'V06 Calend 01'!C61)/6)&lt;='V06 Calend 01'!E61)),IF((58=('V06 Calend 01'!C61+(6*'V06 Calend 01'!E61))),('V06 Calend 01'!H61-('V06 Calend 01'!I61*('V06 Calend 01'!E61-1))),'V06 Calend 01'!I61),0))+IF((58='V06 Calend 01'!D61),'V06 Calend 01'!J61,0))</f>
        <v>0</v>
      </c>
      <c r="BS61" s="2">
        <f>((IF((59='V06 Calend 01'!C61),('V06 Calend 01'!F61+'V06 Calend 01'!G61),0)+IF(AND(('V06 Calend 01'!E61&gt;0),(59&gt;'V06 Calend 01'!C61),(59&lt;'V06 Calend 01'!D61),(MOD((59-'V06 Calend 01'!C61),6)=0),(((59-'V06 Calend 01'!C61)/6)&lt;='V06 Calend 01'!E61)),IF((59=('V06 Calend 01'!C61+(6*'V06 Calend 01'!E61))),('V06 Calend 01'!H61-('V06 Calend 01'!I61*('V06 Calend 01'!E61-1))),'V06 Calend 01'!I61),0))+IF((59='V06 Calend 01'!D61),'V06 Calend 01'!J61,0))</f>
        <v>0</v>
      </c>
      <c r="BT61" s="2">
        <f>((IF((60='V06 Calend 01'!C61),('V06 Calend 01'!F61+'V06 Calend 01'!G61),0)+IF(AND(('V06 Calend 01'!E61&gt;0),(60&gt;'V06 Calend 01'!C61),(60&lt;'V06 Calend 01'!D61),(MOD((60-'V06 Calend 01'!C61),6)=0),(((60-'V06 Calend 01'!C61)/6)&lt;='V06 Calend 01'!E61)),IF((60=('V06 Calend 01'!C61+(6*'V06 Calend 01'!E61))),('V06 Calend 01'!H61-('V06 Calend 01'!I61*('V06 Calend 01'!E61-1))),'V06 Calend 01'!I61),0))+IF((60='V06 Calend 01'!D61),'V06 Calend 01'!J61,0))</f>
        <v>0</v>
      </c>
      <c r="BU61" s="2">
        <f>((IF((61='V06 Calend 01'!C61),('V06 Calend 01'!F61+'V06 Calend 01'!G61),0)+IF(AND(('V06 Calend 01'!E61&gt;0),(61&gt;'V06 Calend 01'!C61),(61&lt;'V06 Calend 01'!D61),(MOD((61-'V06 Calend 01'!C61),6)=0),(((61-'V06 Calend 01'!C61)/6)&lt;='V06 Calend 01'!E61)),IF((61=('V06 Calend 01'!C61+(6*'V06 Calend 01'!E61))),('V06 Calend 01'!H61-('V06 Calend 01'!I61*('V06 Calend 01'!E61-1))),'V06 Calend 01'!I61),0))+IF((61='V06 Calend 01'!D61),'V06 Calend 01'!J61,0))</f>
        <v>0</v>
      </c>
      <c r="BV61" s="2">
        <f>((IF((62='V06 Calend 01'!C61),('V06 Calend 01'!F61+'V06 Calend 01'!G61),0)+IF(AND(('V06 Calend 01'!E61&gt;0),(62&gt;'V06 Calend 01'!C61),(62&lt;'V06 Calend 01'!D61),(MOD((62-'V06 Calend 01'!C61),6)=0),(((62-'V06 Calend 01'!C61)/6)&lt;='V06 Calend 01'!E61)),IF((62=('V06 Calend 01'!C61+(6*'V06 Calend 01'!E61))),('V06 Calend 01'!H61-('V06 Calend 01'!I61*('V06 Calend 01'!E61-1))),'V06 Calend 01'!I61),0))+IF((62='V06 Calend 01'!D61),'V06 Calend 01'!J61,0))</f>
        <v>0</v>
      </c>
      <c r="BW61" s="2">
        <f>((IF((63='V06 Calend 01'!C61),('V06 Calend 01'!F61+'V06 Calend 01'!G61),0)+IF(AND(('V06 Calend 01'!E61&gt;0),(63&gt;'V06 Calend 01'!C61),(63&lt;'V06 Calend 01'!D61),(MOD((63-'V06 Calend 01'!C61),6)=0),(((63-'V06 Calend 01'!C61)/6)&lt;='V06 Calend 01'!E61)),IF((63=('V06 Calend 01'!C61+(6*'V06 Calend 01'!E61))),('V06 Calend 01'!H61-('V06 Calend 01'!I61*('V06 Calend 01'!E61-1))),'V06 Calend 01'!I61),0))+IF((63='V06 Calend 01'!D61),'V06 Calend 01'!J61,0))</f>
        <v>0</v>
      </c>
      <c r="BX61" s="2">
        <f>((IF((64='V06 Calend 01'!C61),('V06 Calend 01'!F61+'V06 Calend 01'!G61),0)+IF(AND(('V06 Calend 01'!E61&gt;0),(64&gt;'V06 Calend 01'!C61),(64&lt;'V06 Calend 01'!D61),(MOD((64-'V06 Calend 01'!C61),6)=0),(((64-'V06 Calend 01'!C61)/6)&lt;='V06 Calend 01'!E61)),IF((64=('V06 Calend 01'!C61+(6*'V06 Calend 01'!E61))),('V06 Calend 01'!H61-('V06 Calend 01'!I61*('V06 Calend 01'!E61-1))),'V06 Calend 01'!I61),0))+IF((64='V06 Calend 01'!D61),'V06 Calend 01'!J61,0))</f>
        <v>0</v>
      </c>
      <c r="BY61" s="2">
        <f>((IF((65='V06 Calend 01'!C61),('V06 Calend 01'!F61+'V06 Calend 01'!G61),0)+IF(AND(('V06 Calend 01'!E61&gt;0),(65&gt;'V06 Calend 01'!C61),(65&lt;'V06 Calend 01'!D61),(MOD((65-'V06 Calend 01'!C61),6)=0),(((65-'V06 Calend 01'!C61)/6)&lt;='V06 Calend 01'!E61)),IF((65=('V06 Calend 01'!C61+(6*'V06 Calend 01'!E61))),('V06 Calend 01'!H61-('V06 Calend 01'!I61*('V06 Calend 01'!E61-1))),'V06 Calend 01'!I61),0))+IF((65='V06 Calend 01'!D61),'V06 Calend 01'!J61,0))</f>
        <v>0</v>
      </c>
      <c r="BZ61" s="2">
        <f>((IF((66='V06 Calend 01'!C61),('V06 Calend 01'!F61+'V06 Calend 01'!G61),0)+IF(AND(('V06 Calend 01'!E61&gt;0),(66&gt;'V06 Calend 01'!C61),(66&lt;'V06 Calend 01'!D61),(MOD((66-'V06 Calend 01'!C61),6)=0),(((66-'V06 Calend 01'!C61)/6)&lt;='V06 Calend 01'!E61)),IF((66=('V06 Calend 01'!C61+(6*'V06 Calend 01'!E61))),('V06 Calend 01'!H61-('V06 Calend 01'!I61*('V06 Calend 01'!E61-1))),'V06 Calend 01'!I61),0))+IF((66='V06 Calend 01'!D61),'V06 Calend 01'!J61,0))</f>
        <v>0</v>
      </c>
      <c r="CA61" s="2">
        <f>((IF((67='V06 Calend 01'!C61),('V06 Calend 01'!F61+'V06 Calend 01'!G61),0)+IF(AND(('V06 Calend 01'!E61&gt;0),(67&gt;'V06 Calend 01'!C61),(67&lt;'V06 Calend 01'!D61),(MOD((67-'V06 Calend 01'!C61),6)=0),(((67-'V06 Calend 01'!C61)/6)&lt;='V06 Calend 01'!E61)),IF((67=('V06 Calend 01'!C61+(6*'V06 Calend 01'!E61))),('V06 Calend 01'!H61-('V06 Calend 01'!I61*('V06 Calend 01'!E61-1))),'V06 Calend 01'!I61),0))+IF((67='V06 Calend 01'!D61),'V06 Calend 01'!J61,0))</f>
        <v>0</v>
      </c>
      <c r="CB61" s="2">
        <f>((IF((68='V06 Calend 01'!C61),('V06 Calend 01'!F61+'V06 Calend 01'!G61),0)+IF(AND(('V06 Calend 01'!E61&gt;0),(68&gt;'V06 Calend 01'!C61),(68&lt;'V06 Calend 01'!D61),(MOD((68-'V06 Calend 01'!C61),6)=0),(((68-'V06 Calend 01'!C61)/6)&lt;='V06 Calend 01'!E61)),IF((68=('V06 Calend 01'!C61+(6*'V06 Calend 01'!E61))),('V06 Calend 01'!H61-('V06 Calend 01'!I61*('V06 Calend 01'!E61-1))),'V06 Calend 01'!I61),0))+IF((68='V06 Calend 01'!D61),'V06 Calend 01'!J61,0))</f>
        <v>0</v>
      </c>
      <c r="CC61" s="2">
        <f>((IF((69='V06 Calend 01'!C61),('V06 Calend 01'!F61+'V06 Calend 01'!G61),0)+IF(AND(('V06 Calend 01'!E61&gt;0),(69&gt;'V06 Calend 01'!C61),(69&lt;'V06 Calend 01'!D61),(MOD((69-'V06 Calend 01'!C61),6)=0),(((69-'V06 Calend 01'!C61)/6)&lt;='V06 Calend 01'!E61)),IF((69=('V06 Calend 01'!C61+(6*'V06 Calend 01'!E61))),('V06 Calend 01'!H61-('V06 Calend 01'!I61*('V06 Calend 01'!E61-1))),'V06 Calend 01'!I61),0))+IF((69='V06 Calend 01'!D61),'V06 Calend 01'!J61,0))</f>
        <v>0</v>
      </c>
      <c r="CD61" s="2">
        <f>((IF((70='V06 Calend 01'!C61),('V06 Calend 01'!F61+'V06 Calend 01'!G61),0)+IF(AND(('V06 Calend 01'!E61&gt;0),(70&gt;'V06 Calend 01'!C61),(70&lt;'V06 Calend 01'!D61),(MOD((70-'V06 Calend 01'!C61),6)=0),(((70-'V06 Calend 01'!C61)/6)&lt;='V06 Calend 01'!E61)),IF((70=('V06 Calend 01'!C61+(6*'V06 Calend 01'!E61))),('V06 Calend 01'!H61-('V06 Calend 01'!I61*('V06 Calend 01'!E61-1))),'V06 Calend 01'!I61),0))+IF((70='V06 Calend 01'!D61),'V06 Calend 01'!J61,0))</f>
        <v>0</v>
      </c>
      <c r="CE61" s="2">
        <f>((IF((71='V06 Calend 01'!C61),('V06 Calend 01'!F61+'V06 Calend 01'!G61),0)+IF(AND(('V06 Calend 01'!E61&gt;0),(71&gt;'V06 Calend 01'!C61),(71&lt;'V06 Calend 01'!D61),(MOD((71-'V06 Calend 01'!C61),6)=0),(((71-'V06 Calend 01'!C61)/6)&lt;='V06 Calend 01'!E61)),IF((71=('V06 Calend 01'!C61+(6*'V06 Calend 01'!E61))),('V06 Calend 01'!H61-('V06 Calend 01'!I61*('V06 Calend 01'!E61-1))),'V06 Calend 01'!I61),0))+IF((71='V06 Calend 01'!D61),'V06 Calend 01'!J61,0))</f>
        <v>0</v>
      </c>
      <c r="CF61" s="2">
        <f>((IF((72='V06 Calend 01'!C61),('V06 Calend 01'!F61+'V06 Calend 01'!G61),0)+IF(AND(('V06 Calend 01'!E61&gt;0),(72&gt;'V06 Calend 01'!C61),(72&lt;'V06 Calend 01'!D61),(MOD((72-'V06 Calend 01'!C61),6)=0),(((72-'V06 Calend 01'!C61)/6)&lt;='V06 Calend 01'!E61)),IF((72=('V06 Calend 01'!C61+(6*'V06 Calend 01'!E61))),('V06 Calend 01'!H61-('V06 Calend 01'!I61*('V06 Calend 01'!E61-1))),'V06 Calend 01'!I61),0))+IF((72='V06 Calend 01'!D61),'V06 Calend 01'!J61,0))</f>
        <v>0</v>
      </c>
      <c r="CG61" s="2">
        <f>((IF((73='V06 Calend 01'!C61),('V06 Calend 01'!F61+'V06 Calend 01'!G61),0)+IF(AND(('V06 Calend 01'!E61&gt;0),(73&gt;'V06 Calend 01'!C61),(73&lt;'V06 Calend 01'!D61),(MOD((73-'V06 Calend 01'!C61),6)=0),(((73-'V06 Calend 01'!C61)/6)&lt;='V06 Calend 01'!E61)),IF((73=('V06 Calend 01'!C61+(6*'V06 Calend 01'!E61))),('V06 Calend 01'!H61-('V06 Calend 01'!I61*('V06 Calend 01'!E61-1))),'V06 Calend 01'!I61),0))+IF((73='V06 Calend 01'!D61),'V06 Calend 01'!J61,0))</f>
        <v>0</v>
      </c>
      <c r="CH61" s="2">
        <f>((IF((74='V06 Calend 01'!C61),('V06 Calend 01'!F61+'V06 Calend 01'!G61),0)+IF(AND(('V06 Calend 01'!E61&gt;0),(74&gt;'V06 Calend 01'!C61),(74&lt;'V06 Calend 01'!D61),(MOD((74-'V06 Calend 01'!C61),6)=0),(((74-'V06 Calend 01'!C61)/6)&lt;='V06 Calend 01'!E61)),IF((74=('V06 Calend 01'!C61+(6*'V06 Calend 01'!E61))),('V06 Calend 01'!H61-('V06 Calend 01'!I61*('V06 Calend 01'!E61-1))),'V06 Calend 01'!I61),0))+IF((74='V06 Calend 01'!D61),'V06 Calend 01'!J61,0))</f>
        <v>0</v>
      </c>
      <c r="CI61" s="2">
        <f>((IF((75='V06 Calend 01'!C61),('V06 Calend 01'!F61+'V06 Calend 01'!G61),0)+IF(AND(('V06 Calend 01'!E61&gt;0),(75&gt;'V06 Calend 01'!C61),(75&lt;'V06 Calend 01'!D61),(MOD((75-'V06 Calend 01'!C61),6)=0),(((75-'V06 Calend 01'!C61)/6)&lt;='V06 Calend 01'!E61)),IF((75=('V06 Calend 01'!C61+(6*'V06 Calend 01'!E61))),('V06 Calend 01'!H61-('V06 Calend 01'!I61*('V06 Calend 01'!E61-1))),'V06 Calend 01'!I61),0))+IF((75='V06 Calend 01'!D61),'V06 Calend 01'!J61,0))</f>
        <v>0</v>
      </c>
      <c r="CJ61" s="2">
        <f>((IF((76='V06 Calend 01'!C61),('V06 Calend 01'!F61+'V06 Calend 01'!G61),0)+IF(AND(('V06 Calend 01'!E61&gt;0),(76&gt;'V06 Calend 01'!C61),(76&lt;'V06 Calend 01'!D61),(MOD((76-'V06 Calend 01'!C61),6)=0),(((76-'V06 Calend 01'!C61)/6)&lt;='V06 Calend 01'!E61)),IF((76=('V06 Calend 01'!C61+(6*'V06 Calend 01'!E61))),('V06 Calend 01'!H61-('V06 Calend 01'!I61*('V06 Calend 01'!E61-1))),'V06 Calend 01'!I61),0))+IF((76='V06 Calend 01'!D61),'V06 Calend 01'!J61,0))</f>
        <v>0</v>
      </c>
      <c r="CK61" s="2">
        <f>((IF((77='V06 Calend 01'!C61),('V06 Calend 01'!F61+'V06 Calend 01'!G61),0)+IF(AND(('V06 Calend 01'!E61&gt;0),(77&gt;'V06 Calend 01'!C61),(77&lt;'V06 Calend 01'!D61),(MOD((77-'V06 Calend 01'!C61),6)=0),(((77-'V06 Calend 01'!C61)/6)&lt;='V06 Calend 01'!E61)),IF((77=('V06 Calend 01'!C61+(6*'V06 Calend 01'!E61))),('V06 Calend 01'!H61-('V06 Calend 01'!I61*('V06 Calend 01'!E61-1))),'V06 Calend 01'!I61),0))+IF((77='V06 Calend 01'!D61),'V06 Calend 01'!J61,0))</f>
        <v>0</v>
      </c>
      <c r="CL61" s="2">
        <f>((IF((78='V06 Calend 01'!C61),('V06 Calend 01'!F61+'V06 Calend 01'!G61),0)+IF(AND(('V06 Calend 01'!E61&gt;0),(78&gt;'V06 Calend 01'!C61),(78&lt;'V06 Calend 01'!D61),(MOD((78-'V06 Calend 01'!C61),6)=0),(((78-'V06 Calend 01'!C61)/6)&lt;='V06 Calend 01'!E61)),IF((78=('V06 Calend 01'!C61+(6*'V06 Calend 01'!E61))),('V06 Calend 01'!H61-('V06 Calend 01'!I61*('V06 Calend 01'!E61-1))),'V06 Calend 01'!I61),0))+IF((78='V06 Calend 01'!D61),'V06 Calend 01'!J61,0))</f>
        <v>0</v>
      </c>
      <c r="CM61" s="2">
        <f>((IF((79='V06 Calend 01'!C61),('V06 Calend 01'!F61+'V06 Calend 01'!G61),0)+IF(AND(('V06 Calend 01'!E61&gt;0),(79&gt;'V06 Calend 01'!C61),(79&lt;'V06 Calend 01'!D61),(MOD((79-'V06 Calend 01'!C61),6)=0),(((79-'V06 Calend 01'!C61)/6)&lt;='V06 Calend 01'!E61)),IF((79=('V06 Calend 01'!C61+(6*'V06 Calend 01'!E61))),('V06 Calend 01'!H61-('V06 Calend 01'!I61*('V06 Calend 01'!E61-1))),'V06 Calend 01'!I61),0))+IF((79='V06 Calend 01'!D61),'V06 Calend 01'!J61,0))</f>
        <v>0</v>
      </c>
      <c r="CN61" s="2">
        <f>((IF((80='V06 Calend 01'!C61),('V06 Calend 01'!F61+'V06 Calend 01'!G61),0)+IF(AND(('V06 Calend 01'!E61&gt;0),(80&gt;'V06 Calend 01'!C61),(80&lt;'V06 Calend 01'!D61),(MOD((80-'V06 Calend 01'!C61),6)=0),(((80-'V06 Calend 01'!C61)/6)&lt;='V06 Calend 01'!E61)),IF((80=('V06 Calend 01'!C61+(6*'V06 Calend 01'!E61))),('V06 Calend 01'!H61-('V06 Calend 01'!I61*('V06 Calend 01'!E61-1))),'V06 Calend 01'!I61),0))+IF((80='V06 Calend 01'!D61),'V06 Calend 01'!J61,0))</f>
        <v>0</v>
      </c>
      <c r="CO61" s="2">
        <f>((IF((81='V06 Calend 01'!C61),('V06 Calend 01'!F61+'V06 Calend 01'!G61),0)+IF(AND(('V06 Calend 01'!E61&gt;0),(81&gt;'V06 Calend 01'!C61),(81&lt;'V06 Calend 01'!D61),(MOD((81-'V06 Calend 01'!C61),6)=0),(((81-'V06 Calend 01'!C61)/6)&lt;='V06 Calend 01'!E61)),IF((81=('V06 Calend 01'!C61+(6*'V06 Calend 01'!E61))),('V06 Calend 01'!H61-('V06 Calend 01'!I61*('V06 Calend 01'!E61-1))),'V06 Calend 01'!I61),0))+IF((81='V06 Calend 01'!D61),'V06 Calend 01'!J61,0))</f>
        <v>0</v>
      </c>
      <c r="CP61" s="2">
        <f>((IF((82='V06 Calend 01'!C61),('V06 Calend 01'!F61+'V06 Calend 01'!G61),0)+IF(AND(('V06 Calend 01'!E61&gt;0),(82&gt;'V06 Calend 01'!C61),(82&lt;'V06 Calend 01'!D61),(MOD((82-'V06 Calend 01'!C61),6)=0),(((82-'V06 Calend 01'!C61)/6)&lt;='V06 Calend 01'!E61)),IF((82=('V06 Calend 01'!C61+(6*'V06 Calend 01'!E61))),('V06 Calend 01'!H61-('V06 Calend 01'!I61*('V06 Calend 01'!E61-1))),'V06 Calend 01'!I61),0))+IF((82='V06 Calend 01'!D61),'V06 Calend 01'!J61,0))</f>
        <v>0</v>
      </c>
      <c r="CQ61" s="2">
        <f>((IF((83='V06 Calend 01'!C61),('V06 Calend 01'!F61+'V06 Calend 01'!G61),0)+IF(AND(('V06 Calend 01'!E61&gt;0),(83&gt;'V06 Calend 01'!C61),(83&lt;'V06 Calend 01'!D61),(MOD((83-'V06 Calend 01'!C61),6)=0),(((83-'V06 Calend 01'!C61)/6)&lt;='V06 Calend 01'!E61)),IF((83=('V06 Calend 01'!C61+(6*'V06 Calend 01'!E61))),('V06 Calend 01'!H61-('V06 Calend 01'!I61*('V06 Calend 01'!E61-1))),'V06 Calend 01'!I61),0))+IF((83='V06 Calend 01'!D61),'V06 Calend 01'!J61,0))</f>
        <v>0</v>
      </c>
      <c r="CR61" s="2">
        <f>((IF((84='V06 Calend 01'!C61),('V06 Calend 01'!F61+'V06 Calend 01'!G61),0)+IF(AND(('V06 Calend 01'!E61&gt;0),(84&gt;'V06 Calend 01'!C61),(84&lt;'V06 Calend 01'!D61),(MOD((84-'V06 Calend 01'!C61),6)=0),(((84-'V06 Calend 01'!C61)/6)&lt;='V06 Calend 01'!E61)),IF((84=('V06 Calend 01'!C61+(6*'V06 Calend 01'!E61))),('V06 Calend 01'!H61-('V06 Calend 01'!I61*('V06 Calend 01'!E61-1))),'V06 Calend 01'!I61),0))+IF((84='V06 Calend 01'!D61),'V06 Calend 01'!J61,0))</f>
        <v>0</v>
      </c>
      <c r="CS61" s="2">
        <f>((IF((85='V06 Calend 01'!C61),('V06 Calend 01'!F61+'V06 Calend 01'!G61),0)+IF(AND(('V06 Calend 01'!E61&gt;0),(85&gt;'V06 Calend 01'!C61),(85&lt;'V06 Calend 01'!D61),(MOD((85-'V06 Calend 01'!C61),6)=0),(((85-'V06 Calend 01'!C61)/6)&lt;='V06 Calend 01'!E61)),IF((85=('V06 Calend 01'!C61+(6*'V06 Calend 01'!E61))),('V06 Calend 01'!H61-('V06 Calend 01'!I61*('V06 Calend 01'!E61-1))),'V06 Calend 01'!I61),0))+IF((85='V06 Calend 01'!D61),'V06 Calend 01'!J61,0))</f>
        <v>0</v>
      </c>
      <c r="CT61" s="2">
        <f>((IF((86='V06 Calend 01'!C61),('V06 Calend 01'!F61+'V06 Calend 01'!G61),0)+IF(AND(('V06 Calend 01'!E61&gt;0),(86&gt;'V06 Calend 01'!C61),(86&lt;'V06 Calend 01'!D61),(MOD((86-'V06 Calend 01'!C61),6)=0),(((86-'V06 Calend 01'!C61)/6)&lt;='V06 Calend 01'!E61)),IF((86=('V06 Calend 01'!C61+(6*'V06 Calend 01'!E61))),('V06 Calend 01'!H61-('V06 Calend 01'!I61*('V06 Calend 01'!E61-1))),'V06 Calend 01'!I61),0))+IF((86='V06 Calend 01'!D61),'V06 Calend 01'!J61,0))</f>
        <v>0</v>
      </c>
      <c r="CU61" s="2">
        <f>((IF((87='V06 Calend 01'!C61),('V06 Calend 01'!F61+'V06 Calend 01'!G61),0)+IF(AND(('V06 Calend 01'!E61&gt;0),(87&gt;'V06 Calend 01'!C61),(87&lt;'V06 Calend 01'!D61),(MOD((87-'V06 Calend 01'!C61),6)=0),(((87-'V06 Calend 01'!C61)/6)&lt;='V06 Calend 01'!E61)),IF((87=('V06 Calend 01'!C61+(6*'V06 Calend 01'!E61))),('V06 Calend 01'!H61-('V06 Calend 01'!I61*('V06 Calend 01'!E61-1))),'V06 Calend 01'!I61),0))+IF((87='V06 Calend 01'!D61),'V06 Calend 01'!J61,0))</f>
        <v>0</v>
      </c>
      <c r="CV61" s="2">
        <f>((IF((88='V06 Calend 01'!C61),('V06 Calend 01'!F61+'V06 Calend 01'!G61),0)+IF(AND(('V06 Calend 01'!E61&gt;0),(88&gt;'V06 Calend 01'!C61),(88&lt;'V06 Calend 01'!D61),(MOD((88-'V06 Calend 01'!C61),6)=0),(((88-'V06 Calend 01'!C61)/6)&lt;='V06 Calend 01'!E61)),IF((88=('V06 Calend 01'!C61+(6*'V06 Calend 01'!E61))),('V06 Calend 01'!H61-('V06 Calend 01'!I61*('V06 Calend 01'!E61-1))),'V06 Calend 01'!I61),0))+IF((88='V06 Calend 01'!D61),'V06 Calend 01'!J61,0))</f>
        <v>0</v>
      </c>
      <c r="CW61" s="2">
        <f>((IF((89='V06 Calend 01'!C61),('V06 Calend 01'!F61+'V06 Calend 01'!G61),0)+IF(AND(('V06 Calend 01'!E61&gt;0),(89&gt;'V06 Calend 01'!C61),(89&lt;'V06 Calend 01'!D61),(MOD((89-'V06 Calend 01'!C61),6)=0),(((89-'V06 Calend 01'!C61)/6)&lt;='V06 Calend 01'!E61)),IF((89=('V06 Calend 01'!C61+(6*'V06 Calend 01'!E61))),('V06 Calend 01'!H61-('V06 Calend 01'!I61*('V06 Calend 01'!E61-1))),'V06 Calend 01'!I61),0))+IF((89='V06 Calend 01'!D61),'V06 Calend 01'!J61,0))</f>
        <v>0</v>
      </c>
      <c r="CX61" s="2">
        <f>((IF((90='V06 Calend 01'!C61),('V06 Calend 01'!F61+'V06 Calend 01'!G61),0)+IF(AND(('V06 Calend 01'!E61&gt;0),(90&gt;'V06 Calend 01'!C61),(90&lt;'V06 Calend 01'!D61),(MOD((90-'V06 Calend 01'!C61),6)=0),(((90-'V06 Calend 01'!C61)/6)&lt;='V06 Calend 01'!E61)),IF((90=('V06 Calend 01'!C61+(6*'V06 Calend 01'!E61))),('V06 Calend 01'!H61-('V06 Calend 01'!I61*('V06 Calend 01'!E61-1))),'V06 Calend 01'!I61),0))+IF((90='V06 Calend 01'!D61),'V06 Calend 01'!J61,0))</f>
        <v>0</v>
      </c>
      <c r="CY61" s="2">
        <f>((IF((91='V06 Calend 01'!C61),('V06 Calend 01'!F61+'V06 Calend 01'!G61),0)+IF(AND(('V06 Calend 01'!E61&gt;0),(91&gt;'V06 Calend 01'!C61),(91&lt;'V06 Calend 01'!D61),(MOD((91-'V06 Calend 01'!C61),6)=0),(((91-'V06 Calend 01'!C61)/6)&lt;='V06 Calend 01'!E61)),IF((91=('V06 Calend 01'!C61+(6*'V06 Calend 01'!E61))),('V06 Calend 01'!H61-('V06 Calend 01'!I61*('V06 Calend 01'!E61-1))),'V06 Calend 01'!I61),0))+IF((91='V06 Calend 01'!D61),'V06 Calend 01'!J61,0))</f>
        <v>0</v>
      </c>
      <c r="CZ61" s="2">
        <f>((IF((92='V06 Calend 01'!C61),('V06 Calend 01'!F61+'V06 Calend 01'!G61),0)+IF(AND(('V06 Calend 01'!E61&gt;0),(92&gt;'V06 Calend 01'!C61),(92&lt;'V06 Calend 01'!D61),(MOD((92-'V06 Calend 01'!C61),6)=0),(((92-'V06 Calend 01'!C61)/6)&lt;='V06 Calend 01'!E61)),IF((92=('V06 Calend 01'!C61+(6*'V06 Calend 01'!E61))),('V06 Calend 01'!H61-('V06 Calend 01'!I61*('V06 Calend 01'!E61-1))),'V06 Calend 01'!I61),0))+IF((92='V06 Calend 01'!D61),'V06 Calend 01'!J61,0))</f>
        <v>0</v>
      </c>
      <c r="DA61" s="2">
        <f>((IF((93='V06 Calend 01'!C61),('V06 Calend 01'!F61+'V06 Calend 01'!G61),0)+IF(AND(('V06 Calend 01'!E61&gt;0),(93&gt;'V06 Calend 01'!C61),(93&lt;'V06 Calend 01'!D61),(MOD((93-'V06 Calend 01'!C61),6)=0),(((93-'V06 Calend 01'!C61)/6)&lt;='V06 Calend 01'!E61)),IF((93=('V06 Calend 01'!C61+(6*'V06 Calend 01'!E61))),('V06 Calend 01'!H61-('V06 Calend 01'!I61*('V06 Calend 01'!E61-1))),'V06 Calend 01'!I61),0))+IF((93='V06 Calend 01'!D61),'V06 Calend 01'!J61,0))</f>
        <v>0</v>
      </c>
      <c r="DB61" s="2">
        <f>((IF((94='V06 Calend 01'!C61),('V06 Calend 01'!F61+'V06 Calend 01'!G61),0)+IF(AND(('V06 Calend 01'!E61&gt;0),(94&gt;'V06 Calend 01'!C61),(94&lt;'V06 Calend 01'!D61),(MOD((94-'V06 Calend 01'!C61),6)=0),(((94-'V06 Calend 01'!C61)/6)&lt;='V06 Calend 01'!E61)),IF((94=('V06 Calend 01'!C61+(6*'V06 Calend 01'!E61))),('V06 Calend 01'!H61-('V06 Calend 01'!I61*('V06 Calend 01'!E61-1))),'V06 Calend 01'!I61),0))+IF((94='V06 Calend 01'!D61),'V06 Calend 01'!J61,0))</f>
        <v>0</v>
      </c>
      <c r="DC61" s="2">
        <f>((IF((95='V06 Calend 01'!C61),('V06 Calend 01'!F61+'V06 Calend 01'!G61),0)+IF(AND(('V06 Calend 01'!E61&gt;0),(95&gt;'V06 Calend 01'!C61),(95&lt;'V06 Calend 01'!D61),(MOD((95-'V06 Calend 01'!C61),6)=0),(((95-'V06 Calend 01'!C61)/6)&lt;='V06 Calend 01'!E61)),IF((95=('V06 Calend 01'!C61+(6*'V06 Calend 01'!E61))),('V06 Calend 01'!H61-('V06 Calend 01'!I61*('V06 Calend 01'!E61-1))),'V06 Calend 01'!I61),0))+IF((95='V06 Calend 01'!D61),'V06 Calend 01'!J61,0))</f>
        <v>0</v>
      </c>
      <c r="DD61" s="2">
        <f>((IF((96='V06 Calend 01'!C61),('V06 Calend 01'!F61+'V06 Calend 01'!G61),0)+IF(AND(('V06 Calend 01'!E61&gt;0),(96&gt;'V06 Calend 01'!C61),(96&lt;'V06 Calend 01'!D61),(MOD((96-'V06 Calend 01'!C61),6)=0),(((96-'V06 Calend 01'!C61)/6)&lt;='V06 Calend 01'!E61)),IF((96=('V06 Calend 01'!C61+(6*'V06 Calend 01'!E61))),('V06 Calend 01'!H61-('V06 Calend 01'!I61*('V06 Calend 01'!E61-1))),'V06 Calend 01'!I61),0))+IF((96='V06 Calend 01'!D61),'V06 Calend 01'!J61,0))</f>
        <v>0</v>
      </c>
      <c r="DE61" s="2">
        <f>((IF((97='V06 Calend 01'!C61),('V06 Calend 01'!F61+'V06 Calend 01'!G61),0)+IF(AND(('V06 Calend 01'!E61&gt;0),(97&gt;'V06 Calend 01'!C61),(97&lt;'V06 Calend 01'!D61),(MOD((97-'V06 Calend 01'!C61),6)=0),(((97-'V06 Calend 01'!C61)/6)&lt;='V06 Calend 01'!E61)),IF((97=('V06 Calend 01'!C61+(6*'V06 Calend 01'!E61))),('V06 Calend 01'!H61-('V06 Calend 01'!I61*('V06 Calend 01'!E61-1))),'V06 Calend 01'!I61),0))+IF((97='V06 Calend 01'!D61),'V06 Calend 01'!J61,0))</f>
        <v>0</v>
      </c>
      <c r="DF61" s="2">
        <f>((IF((98='V06 Calend 01'!C61),('V06 Calend 01'!F61+'V06 Calend 01'!G61),0)+IF(AND(('V06 Calend 01'!E61&gt;0),(98&gt;'V06 Calend 01'!C61),(98&lt;'V06 Calend 01'!D61),(MOD((98-'V06 Calend 01'!C61),6)=0),(((98-'V06 Calend 01'!C61)/6)&lt;='V06 Calend 01'!E61)),IF((98=('V06 Calend 01'!C61+(6*'V06 Calend 01'!E61))),('V06 Calend 01'!H61-('V06 Calend 01'!I61*('V06 Calend 01'!E61-1))),'V06 Calend 01'!I61),0))+IF((98='V06 Calend 01'!D61),'V06 Calend 01'!J61,0))</f>
        <v>0</v>
      </c>
      <c r="DG61" s="2">
        <f>((IF((99='V06 Calend 01'!C61),('V06 Calend 01'!F61+'V06 Calend 01'!G61),0)+IF(AND(('V06 Calend 01'!E61&gt;0),(99&gt;'V06 Calend 01'!C61),(99&lt;'V06 Calend 01'!D61),(MOD((99-'V06 Calend 01'!C61),6)=0),(((99-'V06 Calend 01'!C61)/6)&lt;='V06 Calend 01'!E61)),IF((99=('V06 Calend 01'!C61+(6*'V06 Calend 01'!E61))),('V06 Calend 01'!H61-('V06 Calend 01'!I61*('V06 Calend 01'!E61-1))),'V06 Calend 01'!I61),0))+IF((99='V06 Calend 01'!D61),'V06 Calend 01'!J61,0))</f>
        <v>0</v>
      </c>
      <c r="DH61" s="2">
        <f>((IF((100='V06 Calend 01'!C61),('V06 Calend 01'!F61+'V06 Calend 01'!G61),0)+IF(AND(('V06 Calend 01'!E61&gt;0),(100&gt;'V06 Calend 01'!C61),(100&lt;'V06 Calend 01'!D61),(MOD((100-'V06 Calend 01'!C61),6)=0),(((100-'V06 Calend 01'!C61)/6)&lt;='V06 Calend 01'!E61)),IF((100=('V06 Calend 01'!C61+(6*'V06 Calend 01'!E61))),('V06 Calend 01'!H61-('V06 Calend 01'!I61*('V06 Calend 01'!E61-1))),'V06 Calend 01'!I61),0))+IF((100='V06 Calend 01'!D61),'V06 Calend 01'!J61,0))</f>
        <v>0</v>
      </c>
      <c r="DI61" s="2">
        <f>((IF((101='V06 Calend 01'!C61),('V06 Calend 01'!F61+'V06 Calend 01'!G61),0)+IF(AND(('V06 Calend 01'!E61&gt;0),(101&gt;'V06 Calend 01'!C61),(101&lt;'V06 Calend 01'!D61),(MOD((101-'V06 Calend 01'!C61),6)=0),(((101-'V06 Calend 01'!C61)/6)&lt;='V06 Calend 01'!E61)),IF((101=('V06 Calend 01'!C61+(6*'V06 Calend 01'!E61))),('V06 Calend 01'!H61-('V06 Calend 01'!I61*('V06 Calend 01'!E61-1))),'V06 Calend 01'!I61),0))+IF((101='V06 Calend 01'!D61),'V06 Calend 01'!J61,0))</f>
        <v>0</v>
      </c>
      <c r="DJ61" s="2">
        <f>((IF((102='V06 Calend 01'!C61),('V06 Calend 01'!F61+'V06 Calend 01'!G61),0)+IF(AND(('V06 Calend 01'!E61&gt;0),(102&gt;'V06 Calend 01'!C61),(102&lt;'V06 Calend 01'!D61),(MOD((102-'V06 Calend 01'!C61),6)=0),(((102-'V06 Calend 01'!C61)/6)&lt;='V06 Calend 01'!E61)),IF((102=('V06 Calend 01'!C61+(6*'V06 Calend 01'!E61))),('V06 Calend 01'!H61-('V06 Calend 01'!I61*('V06 Calend 01'!E61-1))),'V06 Calend 01'!I61),0))+IF((102='V06 Calend 01'!D61),'V06 Calend 01'!J61,0))</f>
        <v>0</v>
      </c>
      <c r="DK61" s="2">
        <f>((IF((103='V06 Calend 01'!C61),('V06 Calend 01'!F61+'V06 Calend 01'!G61),0)+IF(AND(('V06 Calend 01'!E61&gt;0),(103&gt;'V06 Calend 01'!C61),(103&lt;'V06 Calend 01'!D61),(MOD((103-'V06 Calend 01'!C61),6)=0),(((103-'V06 Calend 01'!C61)/6)&lt;='V06 Calend 01'!E61)),IF((103=('V06 Calend 01'!C61+(6*'V06 Calend 01'!E61))),('V06 Calend 01'!H61-('V06 Calend 01'!I61*('V06 Calend 01'!E61-1))),'V06 Calend 01'!I61),0))+IF((103='V06 Calend 01'!D61),'V06 Calend 01'!J61,0))</f>
        <v>0</v>
      </c>
      <c r="DL61" s="2">
        <f>((IF((104='V06 Calend 01'!C61),('V06 Calend 01'!F61+'V06 Calend 01'!G61),0)+IF(AND(('V06 Calend 01'!E61&gt;0),(104&gt;'V06 Calend 01'!C61),(104&lt;'V06 Calend 01'!D61),(MOD((104-'V06 Calend 01'!C61),6)=0),(((104-'V06 Calend 01'!C61)/6)&lt;='V06 Calend 01'!E61)),IF((104=('V06 Calend 01'!C61+(6*'V06 Calend 01'!E61))),('V06 Calend 01'!H61-('V06 Calend 01'!I61*('V06 Calend 01'!E61-1))),'V06 Calend 01'!I61),0))+IF((104='V06 Calend 01'!D61),'V06 Calend 01'!J61,0))</f>
        <v>0</v>
      </c>
      <c r="DM61" s="2">
        <f>((IF((105='V06 Calend 01'!C61),('V06 Calend 01'!F61+'V06 Calend 01'!G61),0)+IF(AND(('V06 Calend 01'!E61&gt;0),(105&gt;'V06 Calend 01'!C61),(105&lt;'V06 Calend 01'!D61),(MOD((105-'V06 Calend 01'!C61),6)=0),(((105-'V06 Calend 01'!C61)/6)&lt;='V06 Calend 01'!E61)),IF((105=('V06 Calend 01'!C61+(6*'V06 Calend 01'!E61))),('V06 Calend 01'!H61-('V06 Calend 01'!I61*('V06 Calend 01'!E61-1))),'V06 Calend 01'!I61),0))+IF((105='V06 Calend 01'!D61),'V06 Calend 01'!J61,0))</f>
        <v>0</v>
      </c>
      <c r="DN61" s="2">
        <f>((IF((106='V06 Calend 01'!C61),('V06 Calend 01'!F61+'V06 Calend 01'!G61),0)+IF(AND(('V06 Calend 01'!E61&gt;0),(106&gt;'V06 Calend 01'!C61),(106&lt;'V06 Calend 01'!D61),(MOD((106-'V06 Calend 01'!C61),6)=0),(((106-'V06 Calend 01'!C61)/6)&lt;='V06 Calend 01'!E61)),IF((106=('V06 Calend 01'!C61+(6*'V06 Calend 01'!E61))),('V06 Calend 01'!H61-('V06 Calend 01'!I61*('V06 Calend 01'!E61-1))),'V06 Calend 01'!I61),0))+IF((106='V06 Calend 01'!D61),'V06 Calend 01'!J61,0))</f>
        <v>0</v>
      </c>
      <c r="DO61" s="2">
        <f>((IF((107='V06 Calend 01'!C61),('V06 Calend 01'!F61+'V06 Calend 01'!G61),0)+IF(AND(('V06 Calend 01'!E61&gt;0),(107&gt;'V06 Calend 01'!C61),(107&lt;'V06 Calend 01'!D61),(MOD((107-'V06 Calend 01'!C61),6)=0),(((107-'V06 Calend 01'!C61)/6)&lt;='V06 Calend 01'!E61)),IF((107=('V06 Calend 01'!C61+(6*'V06 Calend 01'!E61))),('V06 Calend 01'!H61-('V06 Calend 01'!I61*('V06 Calend 01'!E61-1))),'V06 Calend 01'!I61),0))+IF((107='V06 Calend 01'!D61),'V06 Calend 01'!J61,0))</f>
        <v>0</v>
      </c>
      <c r="DP61" s="2">
        <f>((IF((108='V06 Calend 01'!C61),('V06 Calend 01'!F61+'V06 Calend 01'!G61),0)+IF(AND(('V06 Calend 01'!E61&gt;0),(108&gt;'V06 Calend 01'!C61),(108&lt;'V06 Calend 01'!D61),(MOD((108-'V06 Calend 01'!C61),6)=0),(((108-'V06 Calend 01'!C61)/6)&lt;='V06 Calend 01'!E61)),IF((108=('V06 Calend 01'!C61+(6*'V06 Calend 01'!E61))),('V06 Calend 01'!H61-('V06 Calend 01'!I61*('V06 Calend 01'!E61-1))),'V06 Calend 01'!I61),0))+IF((108='V06 Calend 01'!D61),'V06 Calend 01'!J61,0))</f>
        <v>0</v>
      </c>
      <c r="DQ61" s="2">
        <f>((IF((109='V06 Calend 01'!C61),('V06 Calend 01'!F61+'V06 Calend 01'!G61),0)+IF(AND(('V06 Calend 01'!E61&gt;0),(109&gt;'V06 Calend 01'!C61),(109&lt;'V06 Calend 01'!D61),(MOD((109-'V06 Calend 01'!C61),6)=0),(((109-'V06 Calend 01'!C61)/6)&lt;='V06 Calend 01'!E61)),IF((109=('V06 Calend 01'!C61+(6*'V06 Calend 01'!E61))),('V06 Calend 01'!H61-('V06 Calend 01'!I61*('V06 Calend 01'!E61-1))),'V06 Calend 01'!I61),0))+IF((109='V06 Calend 01'!D61),'V06 Calend 01'!J61,0))</f>
        <v>0</v>
      </c>
      <c r="DR61" s="2">
        <f>((IF((110='V06 Calend 01'!C61),('V06 Calend 01'!F61+'V06 Calend 01'!G61),0)+IF(AND(('V06 Calend 01'!E61&gt;0),(110&gt;'V06 Calend 01'!C61),(110&lt;'V06 Calend 01'!D61),(MOD((110-'V06 Calend 01'!C61),6)=0),(((110-'V06 Calend 01'!C61)/6)&lt;='V06 Calend 01'!E61)),IF((110=('V06 Calend 01'!C61+(6*'V06 Calend 01'!E61))),('V06 Calend 01'!H61-('V06 Calend 01'!I61*('V06 Calend 01'!E61-1))),'V06 Calend 01'!I61),0))+IF((110='V06 Calend 01'!D61),'V06 Calend 01'!J61,0))</f>
        <v>0</v>
      </c>
      <c r="DS61" s="2">
        <f>((IF((111='V06 Calend 01'!C61),('V06 Calend 01'!F61+'V06 Calend 01'!G61),0)+IF(AND(('V06 Calend 01'!E61&gt;0),(111&gt;'V06 Calend 01'!C61),(111&lt;'V06 Calend 01'!D61),(MOD((111-'V06 Calend 01'!C61),6)=0),(((111-'V06 Calend 01'!C61)/6)&lt;='V06 Calend 01'!E61)),IF((111=('V06 Calend 01'!C61+(6*'V06 Calend 01'!E61))),('V06 Calend 01'!H61-('V06 Calend 01'!I61*('V06 Calend 01'!E61-1))),'V06 Calend 01'!I61),0))+IF((111='V06 Calend 01'!D61),'V06 Calend 01'!J61,0))</f>
        <v>0</v>
      </c>
      <c r="DT61" s="2">
        <f>((IF((112='V06 Calend 01'!C61),('V06 Calend 01'!F61+'V06 Calend 01'!G61),0)+IF(AND(('V06 Calend 01'!E61&gt;0),(112&gt;'V06 Calend 01'!C61),(112&lt;'V06 Calend 01'!D61),(MOD((112-'V06 Calend 01'!C61),6)=0),(((112-'V06 Calend 01'!C61)/6)&lt;='V06 Calend 01'!E61)),IF((112=('V06 Calend 01'!C61+(6*'V06 Calend 01'!E61))),('V06 Calend 01'!H61-('V06 Calend 01'!I61*('V06 Calend 01'!E61-1))),'V06 Calend 01'!I61),0))+IF((112='V06 Calend 01'!D61),'V06 Calend 01'!J61,0))</f>
        <v>0</v>
      </c>
      <c r="DU61" s="2">
        <f>((IF((113='V06 Calend 01'!C61),('V06 Calend 01'!F61+'V06 Calend 01'!G61),0)+IF(AND(('V06 Calend 01'!E61&gt;0),(113&gt;'V06 Calend 01'!C61),(113&lt;'V06 Calend 01'!D61),(MOD((113-'V06 Calend 01'!C61),6)=0),(((113-'V06 Calend 01'!C61)/6)&lt;='V06 Calend 01'!E61)),IF((113=('V06 Calend 01'!C61+(6*'V06 Calend 01'!E61))),('V06 Calend 01'!H61-('V06 Calend 01'!I61*('V06 Calend 01'!E61-1))),'V06 Calend 01'!I61),0))+IF((113='V06 Calend 01'!D61),'V06 Calend 01'!J61,0))</f>
        <v>0</v>
      </c>
      <c r="DV61" s="2">
        <f>((IF((114='V06 Calend 01'!C61),('V06 Calend 01'!F61+'V06 Calend 01'!G61),0)+IF(AND(('V06 Calend 01'!E61&gt;0),(114&gt;'V06 Calend 01'!C61),(114&lt;'V06 Calend 01'!D61),(MOD((114-'V06 Calend 01'!C61),6)=0),(((114-'V06 Calend 01'!C61)/6)&lt;='V06 Calend 01'!E61)),IF((114=('V06 Calend 01'!C61+(6*'V06 Calend 01'!E61))),('V06 Calend 01'!H61-('V06 Calend 01'!I61*('V06 Calend 01'!E61-1))),'V06 Calend 01'!I61),0))+IF((114='V06 Calend 01'!D61),'V06 Calend 01'!J61,0))</f>
        <v>0</v>
      </c>
      <c r="DW61" s="2">
        <f>((IF((115='V06 Calend 01'!C61),('V06 Calend 01'!F61+'V06 Calend 01'!G61),0)+IF(AND(('V06 Calend 01'!E61&gt;0),(115&gt;'V06 Calend 01'!C61),(115&lt;'V06 Calend 01'!D61),(MOD((115-'V06 Calend 01'!C61),6)=0),(((115-'V06 Calend 01'!C61)/6)&lt;='V06 Calend 01'!E61)),IF((115=('V06 Calend 01'!C61+(6*'V06 Calend 01'!E61))),('V06 Calend 01'!H61-('V06 Calend 01'!I61*('V06 Calend 01'!E61-1))),'V06 Calend 01'!I61),0))+IF((115='V06 Calend 01'!D61),'V06 Calend 01'!J61,0))</f>
        <v>0</v>
      </c>
      <c r="DX61" s="2">
        <f>((IF((116='V06 Calend 01'!C61),('V06 Calend 01'!F61+'V06 Calend 01'!G61),0)+IF(AND(('V06 Calend 01'!E61&gt;0),(116&gt;'V06 Calend 01'!C61),(116&lt;'V06 Calend 01'!D61),(MOD((116-'V06 Calend 01'!C61),6)=0),(((116-'V06 Calend 01'!C61)/6)&lt;='V06 Calend 01'!E61)),IF((116=('V06 Calend 01'!C61+(6*'V06 Calend 01'!E61))),('V06 Calend 01'!H61-('V06 Calend 01'!I61*('V06 Calend 01'!E61-1))),'V06 Calend 01'!I61),0))+IF((116='V06 Calend 01'!D61),'V06 Calend 01'!J61,0))</f>
        <v>0</v>
      </c>
      <c r="DY61" s="2">
        <f>((IF((117='V06 Calend 01'!C61),('V06 Calend 01'!F61+'V06 Calend 01'!G61),0)+IF(AND(('V06 Calend 01'!E61&gt;0),(117&gt;'V06 Calend 01'!C61),(117&lt;'V06 Calend 01'!D61),(MOD((117-'V06 Calend 01'!C61),6)=0),(((117-'V06 Calend 01'!C61)/6)&lt;='V06 Calend 01'!E61)),IF((117=('V06 Calend 01'!C61+(6*'V06 Calend 01'!E61))),('V06 Calend 01'!H61-('V06 Calend 01'!I61*('V06 Calend 01'!E61-1))),'V06 Calend 01'!I61),0))+IF((117='V06 Calend 01'!D61),'V06 Calend 01'!J61,0))</f>
        <v>0</v>
      </c>
      <c r="DZ61" s="2">
        <f>((IF((118='V06 Calend 01'!C61),('V06 Calend 01'!F61+'V06 Calend 01'!G61),0)+IF(AND(('V06 Calend 01'!E61&gt;0),(118&gt;'V06 Calend 01'!C61),(118&lt;'V06 Calend 01'!D61),(MOD((118-'V06 Calend 01'!C61),6)=0),(((118-'V06 Calend 01'!C61)/6)&lt;='V06 Calend 01'!E61)),IF((118=('V06 Calend 01'!C61+(6*'V06 Calend 01'!E61))),('V06 Calend 01'!H61-('V06 Calend 01'!I61*('V06 Calend 01'!E61-1))),'V06 Calend 01'!I61),0))+IF((118='V06 Calend 01'!D61),'V06 Calend 01'!J61,0))</f>
        <v>0</v>
      </c>
      <c r="EA61" s="2">
        <f>((IF((119='V06 Calend 01'!C61),('V06 Calend 01'!F61+'V06 Calend 01'!G61),0)+IF(AND(('V06 Calend 01'!E61&gt;0),(119&gt;'V06 Calend 01'!C61),(119&lt;'V06 Calend 01'!D61),(MOD((119-'V06 Calend 01'!C61),6)=0),(((119-'V06 Calend 01'!C61)/6)&lt;='V06 Calend 01'!E61)),IF((119=('V06 Calend 01'!C61+(6*'V06 Calend 01'!E61))),('V06 Calend 01'!H61-('V06 Calend 01'!I61*('V06 Calend 01'!E61-1))),'V06 Calend 01'!I61),0))+IF((119='V06 Calend 01'!D61),'V06 Calend 01'!J61,0))</f>
        <v>0</v>
      </c>
      <c r="EB61" s="2">
        <f>((IF((120='V06 Calend 01'!C61),('V06 Calend 01'!F61+'V06 Calend 01'!G61),0)+IF(AND(('V06 Calend 01'!E61&gt;0),(120&gt;'V06 Calend 01'!C61),(120&lt;'V06 Calend 01'!D61),(MOD((120-'V06 Calend 01'!C61),6)=0),(((120-'V06 Calend 01'!C61)/6)&lt;='V06 Calend 01'!E61)),IF((120=('V06 Calend 01'!C61+(6*'V06 Calend 01'!E61))),('V06 Calend 01'!H61-('V06 Calend 01'!I61*('V06 Calend 01'!E61-1))),'V06 Calend 01'!I61),0))+IF((120='V06 Calend 01'!D61),'V06 Calend 01'!J61,0))</f>
        <v>0</v>
      </c>
      <c r="EC61" s="2">
        <f>((IF((121='V06 Calend 01'!C61),('V06 Calend 01'!F61+'V06 Calend 01'!G61),0)+IF(AND(('V06 Calend 01'!E61&gt;0),(121&gt;'V06 Calend 01'!C61),(121&lt;'V06 Calend 01'!D61),(MOD((121-'V06 Calend 01'!C61),6)=0),(((121-'V06 Calend 01'!C61)/6)&lt;='V06 Calend 01'!E61)),IF((121=('V06 Calend 01'!C61+(6*'V06 Calend 01'!E61))),('V06 Calend 01'!H61-('V06 Calend 01'!I61*('V06 Calend 01'!E61-1))),'V06 Calend 01'!I61),0))+IF((121='V06 Calend 01'!D61),'V06 Calend 01'!J61,0))</f>
        <v>0</v>
      </c>
      <c r="ED61" s="2">
        <f>((IF((122='V06 Calend 01'!C61),('V06 Calend 01'!F61+'V06 Calend 01'!G61),0)+IF(AND(('V06 Calend 01'!E61&gt;0),(122&gt;'V06 Calend 01'!C61),(122&lt;'V06 Calend 01'!D61),(MOD((122-'V06 Calend 01'!C61),6)=0),(((122-'V06 Calend 01'!C61)/6)&lt;='V06 Calend 01'!E61)),IF((122=('V06 Calend 01'!C61+(6*'V06 Calend 01'!E61))),('V06 Calend 01'!H61-('V06 Calend 01'!I61*('V06 Calend 01'!E61-1))),'V06 Calend 01'!I61),0))+IF((122='V06 Calend 01'!D61),'V06 Calend 01'!J61,0))</f>
        <v>0</v>
      </c>
      <c r="EE61" s="2">
        <f>((IF((123='V06 Calend 01'!C61),('V06 Calend 01'!F61+'V06 Calend 01'!G61),0)+IF(AND(('V06 Calend 01'!E61&gt;0),(123&gt;'V06 Calend 01'!C61),(123&lt;'V06 Calend 01'!D61),(MOD((123-'V06 Calend 01'!C61),6)=0),(((123-'V06 Calend 01'!C61)/6)&lt;='V06 Calend 01'!E61)),IF((123=('V06 Calend 01'!C61+(6*'V06 Calend 01'!E61))),('V06 Calend 01'!H61-('V06 Calend 01'!I61*('V06 Calend 01'!E61-1))),'V06 Calend 01'!I61),0))+IF((123='V06 Calend 01'!D61),'V06 Calend 01'!J61,0))</f>
        <v>0</v>
      </c>
      <c r="EF61" s="2">
        <f>((IF((124='V06 Calend 01'!C61),('V06 Calend 01'!F61+'V06 Calend 01'!G61),0)+IF(AND(('V06 Calend 01'!E61&gt;0),(124&gt;'V06 Calend 01'!C61),(124&lt;'V06 Calend 01'!D61),(MOD((124-'V06 Calend 01'!C61),6)=0),(((124-'V06 Calend 01'!C61)/6)&lt;='V06 Calend 01'!E61)),IF((124=('V06 Calend 01'!C61+(6*'V06 Calend 01'!E61))),('V06 Calend 01'!H61-('V06 Calend 01'!I61*('V06 Calend 01'!E61-1))),'V06 Calend 01'!I61),0))+IF((124='V06 Calend 01'!D61),'V06 Calend 01'!J61,0))</f>
        <v>0</v>
      </c>
      <c r="EG61" s="2">
        <f>((IF((125='V06 Calend 01'!C61),('V06 Calend 01'!F61+'V06 Calend 01'!G61),0)+IF(AND(('V06 Calend 01'!E61&gt;0),(125&gt;'V06 Calend 01'!C61),(125&lt;'V06 Calend 01'!D61),(MOD((125-'V06 Calend 01'!C61),6)=0),(((125-'V06 Calend 01'!C61)/6)&lt;='V06 Calend 01'!E61)),IF((125=('V06 Calend 01'!C61+(6*'V06 Calend 01'!E61))),('V06 Calend 01'!H61-('V06 Calend 01'!I61*('V06 Calend 01'!E61-1))),'V06 Calend 01'!I61),0))+IF((125='V06 Calend 01'!D61),'V06 Calend 01'!J61,0))</f>
        <v>0</v>
      </c>
      <c r="EH61" s="2">
        <f>((IF((126='V06 Calend 01'!C61),('V06 Calend 01'!F61+'V06 Calend 01'!G61),0)+IF(AND(('V06 Calend 01'!E61&gt;0),(126&gt;'V06 Calend 01'!C61),(126&lt;'V06 Calend 01'!D61),(MOD((126-'V06 Calend 01'!C61),6)=0),(((126-'V06 Calend 01'!C61)/6)&lt;='V06 Calend 01'!E61)),IF((126=('V06 Calend 01'!C61+(6*'V06 Calend 01'!E61))),('V06 Calend 01'!H61-('V06 Calend 01'!I61*('V06 Calend 01'!E61-1))),'V06 Calend 01'!I61),0))+IF((126='V06 Calend 01'!D61),'V06 Calend 01'!J61,0))</f>
        <v>0</v>
      </c>
      <c r="EI61" s="2">
        <f>((IF((127='V06 Calend 01'!C61),('V06 Calend 01'!F61+'V06 Calend 01'!G61),0)+IF(AND(('V06 Calend 01'!E61&gt;0),(127&gt;'V06 Calend 01'!C61),(127&lt;'V06 Calend 01'!D61),(MOD((127-'V06 Calend 01'!C61),6)=0),(((127-'V06 Calend 01'!C61)/6)&lt;='V06 Calend 01'!E61)),IF((127=('V06 Calend 01'!C61+(6*'V06 Calend 01'!E61))),('V06 Calend 01'!H61-('V06 Calend 01'!I61*('V06 Calend 01'!E61-1))),'V06 Calend 01'!I61),0))+IF((127='V06 Calend 01'!D61),'V06 Calend 01'!J61,0))</f>
        <v>0</v>
      </c>
      <c r="EJ61" s="2">
        <f>((IF((128='V06 Calend 01'!C61),('V06 Calend 01'!F61+'V06 Calend 01'!G61),0)+IF(AND(('V06 Calend 01'!E61&gt;0),(128&gt;'V06 Calend 01'!C61),(128&lt;'V06 Calend 01'!D61),(MOD((128-'V06 Calend 01'!C61),6)=0),(((128-'V06 Calend 01'!C61)/6)&lt;='V06 Calend 01'!E61)),IF((128=('V06 Calend 01'!C61+(6*'V06 Calend 01'!E61))),('V06 Calend 01'!H61-('V06 Calend 01'!I61*('V06 Calend 01'!E61-1))),'V06 Calend 01'!I61),0))+IF((128='V06 Calend 01'!D61),'V06 Calend 01'!J61,0))</f>
        <v>0</v>
      </c>
      <c r="EK61" s="2">
        <f>((IF((129='V06 Calend 01'!C61),('V06 Calend 01'!F61+'V06 Calend 01'!G61),0)+IF(AND(('V06 Calend 01'!E61&gt;0),(129&gt;'V06 Calend 01'!C61),(129&lt;'V06 Calend 01'!D61),(MOD((129-'V06 Calend 01'!C61),6)=0),(((129-'V06 Calend 01'!C61)/6)&lt;='V06 Calend 01'!E61)),IF((129=('V06 Calend 01'!C61+(6*'V06 Calend 01'!E61))),('V06 Calend 01'!H61-('V06 Calend 01'!I61*('V06 Calend 01'!E61-1))),'V06 Calend 01'!I61),0))+IF((129='V06 Calend 01'!D61),'V06 Calend 01'!J61,0))</f>
        <v>0</v>
      </c>
      <c r="EL61" s="2">
        <f>((IF((130='V06 Calend 01'!C61),('V06 Calend 01'!F61+'V06 Calend 01'!G61),0)+IF(AND(('V06 Calend 01'!E61&gt;0),(130&gt;'V06 Calend 01'!C61),(130&lt;'V06 Calend 01'!D61),(MOD((130-'V06 Calend 01'!C61),6)=0),(((130-'V06 Calend 01'!C61)/6)&lt;='V06 Calend 01'!E61)),IF((130=('V06 Calend 01'!C61+(6*'V06 Calend 01'!E61))),('V06 Calend 01'!H61-('V06 Calend 01'!I61*('V06 Calend 01'!E61-1))),'V06 Calend 01'!I61),0))+IF((130='V06 Calend 01'!D61),'V06 Calend 01'!J61,0))</f>
        <v>0</v>
      </c>
      <c r="EM61" s="2">
        <f>((IF((131='V06 Calend 01'!C61),('V06 Calend 01'!F61+'V06 Calend 01'!G61),0)+IF(AND(('V06 Calend 01'!E61&gt;0),(131&gt;'V06 Calend 01'!C61),(131&lt;'V06 Calend 01'!D61),(MOD((131-'V06 Calend 01'!C61),6)=0),(((131-'V06 Calend 01'!C61)/6)&lt;='V06 Calend 01'!E61)),IF((131=('V06 Calend 01'!C61+(6*'V06 Calend 01'!E61))),('V06 Calend 01'!H61-('V06 Calend 01'!I61*('V06 Calend 01'!E61-1))),'V06 Calend 01'!I61),0))+IF((131='V06 Calend 01'!D61),'V06 Calend 01'!J61,0))</f>
        <v>0</v>
      </c>
      <c r="EN61" s="2">
        <f>((IF((132='V06 Calend 01'!C61),('V06 Calend 01'!F61+'V06 Calend 01'!G61),0)+IF(AND(('V06 Calend 01'!E61&gt;0),(132&gt;'V06 Calend 01'!C61),(132&lt;'V06 Calend 01'!D61),(MOD((132-'V06 Calend 01'!C61),6)=0),(((132-'V06 Calend 01'!C61)/6)&lt;='V06 Calend 01'!E61)),IF((132=('V06 Calend 01'!C61+(6*'V06 Calend 01'!E61))),('V06 Calend 01'!H61-('V06 Calend 01'!I61*('V06 Calend 01'!E61-1))),'V06 Calend 01'!I61),0))+IF((132='V06 Calend 01'!D61),'V06 Calend 01'!J61,0))</f>
        <v>0</v>
      </c>
      <c r="EO61" s="2">
        <f>((IF((133='V06 Calend 01'!C61),('V06 Calend 01'!F61+'V06 Calend 01'!G61),0)+IF(AND(('V06 Calend 01'!E61&gt;0),(133&gt;'V06 Calend 01'!C61),(133&lt;'V06 Calend 01'!D61),(MOD((133-'V06 Calend 01'!C61),6)=0),(((133-'V06 Calend 01'!C61)/6)&lt;='V06 Calend 01'!E61)),IF((133=('V06 Calend 01'!C61+(6*'V06 Calend 01'!E61))),('V06 Calend 01'!H61-('V06 Calend 01'!I61*('V06 Calend 01'!E61-1))),'V06 Calend 01'!I61),0))+IF((133='V06 Calend 01'!D61),'V06 Calend 01'!J61,0))</f>
        <v>0</v>
      </c>
      <c r="EP61" s="2">
        <f>((IF((134='V06 Calend 01'!C61),('V06 Calend 01'!F61+'V06 Calend 01'!G61),0)+IF(AND(('V06 Calend 01'!E61&gt;0),(134&gt;'V06 Calend 01'!C61),(134&lt;'V06 Calend 01'!D61),(MOD((134-'V06 Calend 01'!C61),6)=0),(((134-'V06 Calend 01'!C61)/6)&lt;='V06 Calend 01'!E61)),IF((134=('V06 Calend 01'!C61+(6*'V06 Calend 01'!E61))),('V06 Calend 01'!H61-('V06 Calend 01'!I61*('V06 Calend 01'!E61-1))),'V06 Calend 01'!I61),0))+IF((134='V06 Calend 01'!D61),'V06 Calend 01'!J61,0))</f>
        <v>0</v>
      </c>
      <c r="EQ61" s="2">
        <f>((IF((135='V06 Calend 01'!C61),('V06 Calend 01'!F61+'V06 Calend 01'!G61),0)+IF(AND(('V06 Calend 01'!E61&gt;0),(135&gt;'V06 Calend 01'!C61),(135&lt;'V06 Calend 01'!D61),(MOD((135-'V06 Calend 01'!C61),6)=0),(((135-'V06 Calend 01'!C61)/6)&lt;='V06 Calend 01'!E61)),IF((135=('V06 Calend 01'!C61+(6*'V06 Calend 01'!E61))),('V06 Calend 01'!H61-('V06 Calend 01'!I61*('V06 Calend 01'!E61-1))),'V06 Calend 01'!I61),0))+IF((135='V06 Calend 01'!D61),'V06 Calend 01'!J61,0))</f>
        <v>0</v>
      </c>
      <c r="ER61" s="2">
        <f>((IF((136='V06 Calend 01'!C61),('V06 Calend 01'!F61+'V06 Calend 01'!G61),0)+IF(AND(('V06 Calend 01'!E61&gt;0),(136&gt;'V06 Calend 01'!C61),(136&lt;'V06 Calend 01'!D61),(MOD((136-'V06 Calend 01'!C61),6)=0),(((136-'V06 Calend 01'!C61)/6)&lt;='V06 Calend 01'!E61)),IF((136=('V06 Calend 01'!C61+(6*'V06 Calend 01'!E61))),('V06 Calend 01'!H61-('V06 Calend 01'!I61*('V06 Calend 01'!E61-1))),'V06 Calend 01'!I61),0))+IF((136='V06 Calend 01'!D61),'V06 Calend 01'!J61,0))</f>
        <v>0</v>
      </c>
      <c r="ES61" s="2">
        <f>((IF((137='V06 Calend 01'!C61),('V06 Calend 01'!F61+'V06 Calend 01'!G61),0)+IF(AND(('V06 Calend 01'!E61&gt;0),(137&gt;'V06 Calend 01'!C61),(137&lt;'V06 Calend 01'!D61),(MOD((137-'V06 Calend 01'!C61),6)=0),(((137-'V06 Calend 01'!C61)/6)&lt;='V06 Calend 01'!E61)),IF((137=('V06 Calend 01'!C61+(6*'V06 Calend 01'!E61))),('V06 Calend 01'!H61-('V06 Calend 01'!I61*('V06 Calend 01'!E61-1))),'V06 Calend 01'!I61),0))+IF((137='V06 Calend 01'!D61),'V06 Calend 01'!J61,0))</f>
        <v>0</v>
      </c>
      <c r="ET61" s="2">
        <f>((IF((138='V06 Calend 01'!C61),('V06 Calend 01'!F61+'V06 Calend 01'!G61),0)+IF(AND(('V06 Calend 01'!E61&gt;0),(138&gt;'V06 Calend 01'!C61),(138&lt;'V06 Calend 01'!D61),(MOD((138-'V06 Calend 01'!C61),6)=0),(((138-'V06 Calend 01'!C61)/6)&lt;='V06 Calend 01'!E61)),IF((138=('V06 Calend 01'!C61+(6*'V06 Calend 01'!E61))),('V06 Calend 01'!H61-('V06 Calend 01'!I61*('V06 Calend 01'!E61-1))),'V06 Calend 01'!I61),0))+IF((138='V06 Calend 01'!D61),'V06 Calend 01'!J61,0))</f>
        <v>0</v>
      </c>
      <c r="EU61" s="2">
        <f>((IF((139='V06 Calend 01'!C61),('V06 Calend 01'!F61+'V06 Calend 01'!G61),0)+IF(AND(('V06 Calend 01'!E61&gt;0),(139&gt;'V06 Calend 01'!C61),(139&lt;'V06 Calend 01'!D61),(MOD((139-'V06 Calend 01'!C61),6)=0),(((139-'V06 Calend 01'!C61)/6)&lt;='V06 Calend 01'!E61)),IF((139=('V06 Calend 01'!C61+(6*'V06 Calend 01'!E61))),('V06 Calend 01'!H61-('V06 Calend 01'!I61*('V06 Calend 01'!E61-1))),'V06 Calend 01'!I61),0))+IF((139='V06 Calend 01'!D61),'V06 Calend 01'!J61,0))</f>
        <v>0</v>
      </c>
      <c r="EV61" s="2">
        <f>((IF((140='V06 Calend 01'!C61),('V06 Calend 01'!F61+'V06 Calend 01'!G61),0)+IF(AND(('V06 Calend 01'!E61&gt;0),(140&gt;'V06 Calend 01'!C61),(140&lt;'V06 Calend 01'!D61),(MOD((140-'V06 Calend 01'!C61),6)=0),(((140-'V06 Calend 01'!C61)/6)&lt;='V06 Calend 01'!E61)),IF((140=('V06 Calend 01'!C61+(6*'V06 Calend 01'!E61))),('V06 Calend 01'!H61-('V06 Calend 01'!I61*('V06 Calend 01'!E61-1))),'V06 Calend 01'!I61),0))+IF((140='V06 Calend 01'!D61),'V06 Calend 01'!J61,0))</f>
        <v>0</v>
      </c>
      <c r="EW61" s="2">
        <f>((IF((141='V06 Calend 01'!C61),('V06 Calend 01'!F61+'V06 Calend 01'!G61),0)+IF(AND(('V06 Calend 01'!E61&gt;0),(141&gt;'V06 Calend 01'!C61),(141&lt;'V06 Calend 01'!D61),(MOD((141-'V06 Calend 01'!C61),6)=0),(((141-'V06 Calend 01'!C61)/6)&lt;='V06 Calend 01'!E61)),IF((141=('V06 Calend 01'!C61+(6*'V06 Calend 01'!E61))),('V06 Calend 01'!H61-('V06 Calend 01'!I61*('V06 Calend 01'!E61-1))),'V06 Calend 01'!I61),0))+IF((141='V06 Calend 01'!D61),'V06 Calend 01'!J61,0))</f>
        <v>0</v>
      </c>
      <c r="EX61" s="2">
        <f>((IF((142='V06 Calend 01'!C61),('V06 Calend 01'!F61+'V06 Calend 01'!G61),0)+IF(AND(('V06 Calend 01'!E61&gt;0),(142&gt;'V06 Calend 01'!C61),(142&lt;'V06 Calend 01'!D61),(MOD((142-'V06 Calend 01'!C61),6)=0),(((142-'V06 Calend 01'!C61)/6)&lt;='V06 Calend 01'!E61)),IF((142=('V06 Calend 01'!C61+(6*'V06 Calend 01'!E61))),('V06 Calend 01'!H61-('V06 Calend 01'!I61*('V06 Calend 01'!E61-1))),'V06 Calend 01'!I61),0))+IF((142='V06 Calend 01'!D61),'V06 Calend 01'!J61,0))</f>
        <v>0</v>
      </c>
      <c r="EY61" s="2">
        <f>((IF((143='V06 Calend 01'!C61),('V06 Calend 01'!F61+'V06 Calend 01'!G61),0)+IF(AND(('V06 Calend 01'!E61&gt;0),(143&gt;'V06 Calend 01'!C61),(143&lt;'V06 Calend 01'!D61),(MOD((143-'V06 Calend 01'!C61),6)=0),(((143-'V06 Calend 01'!C61)/6)&lt;='V06 Calend 01'!E61)),IF((143=('V06 Calend 01'!C61+(6*'V06 Calend 01'!E61))),('V06 Calend 01'!H61-('V06 Calend 01'!I61*('V06 Calend 01'!E61-1))),'V06 Calend 01'!I61),0))+IF((143='V06 Calend 01'!D61),'V06 Calend 01'!J61,0))</f>
        <v>0</v>
      </c>
      <c r="EZ61" s="2">
        <f>((IF((144='V06 Calend 01'!C61),('V06 Calend 01'!F61+'V06 Calend 01'!G61),0)+IF(AND(('V06 Calend 01'!E61&gt;0),(144&gt;'V06 Calend 01'!C61),(144&lt;'V06 Calend 01'!D61),(MOD((144-'V06 Calend 01'!C61),6)=0),(((144-'V06 Calend 01'!C61)/6)&lt;='V06 Calend 01'!E61)),IF((144=('V06 Calend 01'!C61+(6*'V06 Calend 01'!E61))),('V06 Calend 01'!H61-('V06 Calend 01'!I61*('V06 Calend 01'!E61-1))),'V06 Calend 01'!I61),0))+IF((144='V06 Calend 01'!D61),'V06 Calend 01'!J61,0))</f>
        <v>0</v>
      </c>
      <c r="FA61" s="2">
        <f>((IF((145='V06 Calend 01'!C61),('V06 Calend 01'!F61+'V06 Calend 01'!G61),0)+IF(AND(('V06 Calend 01'!E61&gt;0),(145&gt;'V06 Calend 01'!C61),(145&lt;'V06 Calend 01'!D61),(MOD((145-'V06 Calend 01'!C61),6)=0),(((145-'V06 Calend 01'!C61)/6)&lt;='V06 Calend 01'!E61)),IF((145=('V06 Calend 01'!C61+(6*'V06 Calend 01'!E61))),('V06 Calend 01'!H61-('V06 Calend 01'!I61*('V06 Calend 01'!E61-1))),'V06 Calend 01'!I61),0))+IF((145='V06 Calend 01'!D61),'V06 Calend 01'!J61,0))</f>
        <v>0</v>
      </c>
      <c r="FB61" s="2">
        <f>((IF((146='V06 Calend 01'!C61),('V06 Calend 01'!F61+'V06 Calend 01'!G61),0)+IF(AND(('V06 Calend 01'!E61&gt;0),(146&gt;'V06 Calend 01'!C61),(146&lt;'V06 Calend 01'!D61),(MOD((146-'V06 Calend 01'!C61),6)=0),(((146-'V06 Calend 01'!C61)/6)&lt;='V06 Calend 01'!E61)),IF((146=('V06 Calend 01'!C61+(6*'V06 Calend 01'!E61))),('V06 Calend 01'!H61-('V06 Calend 01'!I61*('V06 Calend 01'!E61-1))),'V06 Calend 01'!I61),0))+IF((146='V06 Calend 01'!D61),'V06 Calend 01'!J61,0))</f>
        <v>0</v>
      </c>
      <c r="FC61" s="2">
        <f>((IF((147='V06 Calend 01'!C61),('V06 Calend 01'!F61+'V06 Calend 01'!G61),0)+IF(AND(('V06 Calend 01'!E61&gt;0),(147&gt;'V06 Calend 01'!C61),(147&lt;'V06 Calend 01'!D61),(MOD((147-'V06 Calend 01'!C61),6)=0),(((147-'V06 Calend 01'!C61)/6)&lt;='V06 Calend 01'!E61)),IF((147=('V06 Calend 01'!C61+(6*'V06 Calend 01'!E61))),('V06 Calend 01'!H61-('V06 Calend 01'!I61*('V06 Calend 01'!E61-1))),'V06 Calend 01'!I61),0))+IF((147='V06 Calend 01'!D61),'V06 Calend 01'!J61,0))</f>
        <v>0</v>
      </c>
      <c r="FD61" s="2">
        <f>((IF((148='V06 Calend 01'!C61),('V06 Calend 01'!F61+'V06 Calend 01'!G61),0)+IF(AND(('V06 Calend 01'!E61&gt;0),(148&gt;'V06 Calend 01'!C61),(148&lt;'V06 Calend 01'!D61),(MOD((148-'V06 Calend 01'!C61),6)=0),(((148-'V06 Calend 01'!C61)/6)&lt;='V06 Calend 01'!E61)),IF((148=('V06 Calend 01'!C61+(6*'V06 Calend 01'!E61))),('V06 Calend 01'!H61-('V06 Calend 01'!I61*('V06 Calend 01'!E61-1))),'V06 Calend 01'!I61),0))+IF((148='V06 Calend 01'!D61),'V06 Calend 01'!J61,0))</f>
        <v>0</v>
      </c>
      <c r="FE61" s="2">
        <f>((IF((149='V06 Calend 01'!C61),('V06 Calend 01'!F61+'V06 Calend 01'!G61),0)+IF(AND(('V06 Calend 01'!E61&gt;0),(149&gt;'V06 Calend 01'!C61),(149&lt;'V06 Calend 01'!D61),(MOD((149-'V06 Calend 01'!C61),6)=0),(((149-'V06 Calend 01'!C61)/6)&lt;='V06 Calend 01'!E61)),IF((149=('V06 Calend 01'!C61+(6*'V06 Calend 01'!E61))),('V06 Calend 01'!H61-('V06 Calend 01'!I61*('V06 Calend 01'!E61-1))),'V06 Calend 01'!I61),0))+IF((149='V06 Calend 01'!D61),'V06 Calend 01'!J61,0))</f>
        <v>0</v>
      </c>
      <c r="FF61" s="2">
        <f>((IF((150='V06 Calend 01'!C61),('V06 Calend 01'!F61+'V06 Calend 01'!G61),0)+IF(AND(('V06 Calend 01'!E61&gt;0),(150&gt;'V06 Calend 01'!C61),(150&lt;'V06 Calend 01'!D61),(MOD((150-'V06 Calend 01'!C61),6)=0),(((150-'V06 Calend 01'!C61)/6)&lt;='V06 Calend 01'!E61)),IF((150=('V06 Calend 01'!C61+(6*'V06 Calend 01'!E61))),('V06 Calend 01'!H61-('V06 Calend 01'!I61*('V06 Calend 01'!E61-1))),'V06 Calend 01'!I61),0))+IF((150='V06 Calend 01'!D61),'V06 Calend 01'!J61,0))</f>
        <v>0</v>
      </c>
      <c r="FG61" s="2">
        <f>((IF((151='V06 Calend 01'!C61),('V06 Calend 01'!F61+'V06 Calend 01'!G61),0)+IF(AND(('V06 Calend 01'!E61&gt;0),(151&gt;'V06 Calend 01'!C61),(151&lt;'V06 Calend 01'!D61),(MOD((151-'V06 Calend 01'!C61),6)=0),(((151-'V06 Calend 01'!C61)/6)&lt;='V06 Calend 01'!E61)),IF((151=('V06 Calend 01'!C61+(6*'V06 Calend 01'!E61))),('V06 Calend 01'!H61-('V06 Calend 01'!I61*('V06 Calend 01'!E61-1))),'V06 Calend 01'!I61),0))+IF((151='V06 Calend 01'!D61),'V06 Calend 01'!J61,0))</f>
        <v>0</v>
      </c>
      <c r="FH61" s="2">
        <f>((IF((152='V06 Calend 01'!C61),('V06 Calend 01'!F61+'V06 Calend 01'!G61),0)+IF(AND(('V06 Calend 01'!E61&gt;0),(152&gt;'V06 Calend 01'!C61),(152&lt;'V06 Calend 01'!D61),(MOD((152-'V06 Calend 01'!C61),6)=0),(((152-'V06 Calend 01'!C61)/6)&lt;='V06 Calend 01'!E61)),IF((152=('V06 Calend 01'!C61+(6*'V06 Calend 01'!E61))),('V06 Calend 01'!H61-('V06 Calend 01'!I61*('V06 Calend 01'!E61-1))),'V06 Calend 01'!I61),0))+IF((152='V06 Calend 01'!D61),'V06 Calend 01'!J61,0))</f>
        <v>0</v>
      </c>
      <c r="FI61" s="2">
        <f>((IF((153='V06 Calend 01'!C61),('V06 Calend 01'!F61+'V06 Calend 01'!G61),0)+IF(AND(('V06 Calend 01'!E61&gt;0),(153&gt;'V06 Calend 01'!C61),(153&lt;'V06 Calend 01'!D61),(MOD((153-'V06 Calend 01'!C61),6)=0),(((153-'V06 Calend 01'!C61)/6)&lt;='V06 Calend 01'!E61)),IF((153=('V06 Calend 01'!C61+(6*'V06 Calend 01'!E61))),('V06 Calend 01'!H61-('V06 Calend 01'!I61*('V06 Calend 01'!E61-1))),'V06 Calend 01'!I61),0))+IF((153='V06 Calend 01'!D61),'V06 Calend 01'!J61,0))</f>
        <v>0</v>
      </c>
      <c r="FJ61" s="2">
        <f>((IF((154='V06 Calend 01'!C61),('V06 Calend 01'!F61+'V06 Calend 01'!G61),0)+IF(AND(('V06 Calend 01'!E61&gt;0),(154&gt;'V06 Calend 01'!C61),(154&lt;'V06 Calend 01'!D61),(MOD((154-'V06 Calend 01'!C61),6)=0),(((154-'V06 Calend 01'!C61)/6)&lt;='V06 Calend 01'!E61)),IF((154=('V06 Calend 01'!C61+(6*'V06 Calend 01'!E61))),('V06 Calend 01'!H61-('V06 Calend 01'!I61*('V06 Calend 01'!E61-1))),'V06 Calend 01'!I61),0))+IF((154='V06 Calend 01'!D61),'V06 Calend 01'!J61,0))</f>
        <v>0</v>
      </c>
      <c r="FK61" s="2">
        <f>((IF((155='V06 Calend 01'!C61),('V06 Calend 01'!F61+'V06 Calend 01'!G61),0)+IF(AND(('V06 Calend 01'!E61&gt;0),(155&gt;'V06 Calend 01'!C61),(155&lt;'V06 Calend 01'!D61),(MOD((155-'V06 Calend 01'!C61),6)=0),(((155-'V06 Calend 01'!C61)/6)&lt;='V06 Calend 01'!E61)),IF((155=('V06 Calend 01'!C61+(6*'V06 Calend 01'!E61))),('V06 Calend 01'!H61-('V06 Calend 01'!I61*('V06 Calend 01'!E61-1))),'V06 Calend 01'!I61),0))+IF((155='V06 Calend 01'!D61),'V06 Calend 01'!J61,0))</f>
        <v>0</v>
      </c>
      <c r="FL61" s="2">
        <f>((IF((156='V06 Calend 01'!C61),('V06 Calend 01'!F61+'V06 Calend 01'!G61),0)+IF(AND(('V06 Calend 01'!E61&gt;0),(156&gt;'V06 Calend 01'!C61),(156&lt;'V06 Calend 01'!D61),(MOD((156-'V06 Calend 01'!C61),6)=0),(((156-'V06 Calend 01'!C61)/6)&lt;='V06 Calend 01'!E61)),IF((156=('V06 Calend 01'!C61+(6*'V06 Calend 01'!E61))),('V06 Calend 01'!H61-('V06 Calend 01'!I61*('V06 Calend 01'!E61-1))),'V06 Calend 01'!I61),0))+IF((156='V06 Calend 01'!D61),'V06 Calend 01'!J61,0))</f>
        <v>0</v>
      </c>
      <c r="FM61" s="2">
        <f>((IF((157='V06 Calend 01'!C61),('V06 Calend 01'!F61+'V06 Calend 01'!G61),0)+IF(AND(('V06 Calend 01'!E61&gt;0),(157&gt;'V06 Calend 01'!C61),(157&lt;'V06 Calend 01'!D61),(MOD((157-'V06 Calend 01'!C61),6)=0),(((157-'V06 Calend 01'!C61)/6)&lt;='V06 Calend 01'!E61)),IF((157=('V06 Calend 01'!C61+(6*'V06 Calend 01'!E61))),('V06 Calend 01'!H61-('V06 Calend 01'!I61*('V06 Calend 01'!E61-1))),'V06 Calend 01'!I61),0))+IF((157='V06 Calend 01'!D61),'V06 Calend 01'!J61,0))</f>
        <v>0</v>
      </c>
      <c r="FN61" s="2">
        <f>((IF((158='V06 Calend 01'!C61),('V06 Calend 01'!F61+'V06 Calend 01'!G61),0)+IF(AND(('V06 Calend 01'!E61&gt;0),(158&gt;'V06 Calend 01'!C61),(158&lt;'V06 Calend 01'!D61),(MOD((158-'V06 Calend 01'!C61),6)=0),(((158-'V06 Calend 01'!C61)/6)&lt;='V06 Calend 01'!E61)),IF((158=('V06 Calend 01'!C61+(6*'V06 Calend 01'!E61))),('V06 Calend 01'!H61-('V06 Calend 01'!I61*('V06 Calend 01'!E61-1))),'V06 Calend 01'!I61),0))+IF((158='V06 Calend 01'!D61),'V06 Calend 01'!J61,0))</f>
        <v>0</v>
      </c>
      <c r="FO61" s="2">
        <f>((IF((159='V06 Calend 01'!C61),('V06 Calend 01'!F61+'V06 Calend 01'!G61),0)+IF(AND(('V06 Calend 01'!E61&gt;0),(159&gt;'V06 Calend 01'!C61),(159&lt;'V06 Calend 01'!D61),(MOD((159-'V06 Calend 01'!C61),6)=0),(((159-'V06 Calend 01'!C61)/6)&lt;='V06 Calend 01'!E61)),IF((159=('V06 Calend 01'!C61+(6*'V06 Calend 01'!E61))),('V06 Calend 01'!H61-('V06 Calend 01'!I61*('V06 Calend 01'!E61-1))),'V06 Calend 01'!I61),0))+IF((159='V06 Calend 01'!D61),'V06 Calend 01'!J61,0))</f>
        <v>0</v>
      </c>
      <c r="FP61" s="2">
        <f>((IF((160='V06 Calend 01'!C61),('V06 Calend 01'!F61+'V06 Calend 01'!G61),0)+IF(AND(('V06 Calend 01'!E61&gt;0),(160&gt;'V06 Calend 01'!C61),(160&lt;'V06 Calend 01'!D61),(MOD((160-'V06 Calend 01'!C61),6)=0),(((160-'V06 Calend 01'!C61)/6)&lt;='V06 Calend 01'!E61)),IF((160=('V06 Calend 01'!C61+(6*'V06 Calend 01'!E61))),('V06 Calend 01'!H61-('V06 Calend 01'!I61*('V06 Calend 01'!E61-1))),'V06 Calend 01'!I61),0))+IF((160='V06 Calend 01'!D61),'V06 Calend 01'!J61,0))</f>
        <v>0</v>
      </c>
      <c r="FQ61" s="2">
        <f>((IF((161='V06 Calend 01'!C61),('V06 Calend 01'!F61+'V06 Calend 01'!G61),0)+IF(AND(('V06 Calend 01'!E61&gt;0),(161&gt;'V06 Calend 01'!C61),(161&lt;'V06 Calend 01'!D61),(MOD((161-'V06 Calend 01'!C61),6)=0),(((161-'V06 Calend 01'!C61)/6)&lt;='V06 Calend 01'!E61)),IF((161=('V06 Calend 01'!C61+(6*'V06 Calend 01'!E61))),('V06 Calend 01'!H61-('V06 Calend 01'!I61*('V06 Calend 01'!E61-1))),'V06 Calend 01'!I61),0))+IF((161='V06 Calend 01'!D61),'V06 Calend 01'!J61,0))</f>
        <v>0</v>
      </c>
      <c r="FR61" s="2">
        <f>((IF((162='V06 Calend 01'!C61),('V06 Calend 01'!F61+'V06 Calend 01'!G61),0)+IF(AND(('V06 Calend 01'!E61&gt;0),(162&gt;'V06 Calend 01'!C61),(162&lt;'V06 Calend 01'!D61),(MOD((162-'V06 Calend 01'!C61),6)=0),(((162-'V06 Calend 01'!C61)/6)&lt;='V06 Calend 01'!E61)),IF((162=('V06 Calend 01'!C61+(6*'V06 Calend 01'!E61))),('V06 Calend 01'!H61-('V06 Calend 01'!I61*('V06 Calend 01'!E61-1))),'V06 Calend 01'!I61),0))+IF((162='V06 Calend 01'!D61),'V06 Calend 01'!J61,0))</f>
        <v>0</v>
      </c>
      <c r="FS61" s="2">
        <f>((IF((163='V06 Calend 01'!C61),('V06 Calend 01'!F61+'V06 Calend 01'!G61),0)+IF(AND(('V06 Calend 01'!E61&gt;0),(163&gt;'V06 Calend 01'!C61),(163&lt;'V06 Calend 01'!D61),(MOD((163-'V06 Calend 01'!C61),6)=0),(((163-'V06 Calend 01'!C61)/6)&lt;='V06 Calend 01'!E61)),IF((163=('V06 Calend 01'!C61+(6*'V06 Calend 01'!E61))),('V06 Calend 01'!H61-('V06 Calend 01'!I61*('V06 Calend 01'!E61-1))),'V06 Calend 01'!I61),0))+IF((163='V06 Calend 01'!D61),'V06 Calend 01'!J61,0))</f>
        <v>0</v>
      </c>
      <c r="FT61" s="2">
        <f>((IF((164='V06 Calend 01'!C61),('V06 Calend 01'!F61+'V06 Calend 01'!G61),0)+IF(AND(('V06 Calend 01'!E61&gt;0),(164&gt;'V06 Calend 01'!C61),(164&lt;'V06 Calend 01'!D61),(MOD((164-'V06 Calend 01'!C61),6)=0),(((164-'V06 Calend 01'!C61)/6)&lt;='V06 Calend 01'!E61)),IF((164=('V06 Calend 01'!C61+(6*'V06 Calend 01'!E61))),('V06 Calend 01'!H61-('V06 Calend 01'!I61*('V06 Calend 01'!E61-1))),'V06 Calend 01'!I61),0))+IF((164='V06 Calend 01'!D61),'V06 Calend 01'!J61,0))</f>
        <v>0</v>
      </c>
      <c r="FU61" s="2">
        <f>((IF((165='V06 Calend 01'!C61),('V06 Calend 01'!F61+'V06 Calend 01'!G61),0)+IF(AND(('V06 Calend 01'!E61&gt;0),(165&gt;'V06 Calend 01'!C61),(165&lt;'V06 Calend 01'!D61),(MOD((165-'V06 Calend 01'!C61),6)=0),(((165-'V06 Calend 01'!C61)/6)&lt;='V06 Calend 01'!E61)),IF((165=('V06 Calend 01'!C61+(6*'V06 Calend 01'!E61))),('V06 Calend 01'!H61-('V06 Calend 01'!I61*('V06 Calend 01'!E61-1))),'V06 Calend 01'!I61),0))+IF((165='V06 Calend 01'!D61),'V06 Calend 01'!J61,0))</f>
        <v>0</v>
      </c>
      <c r="FV61" s="2">
        <f>((IF((166='V06 Calend 01'!C61),('V06 Calend 01'!F61+'V06 Calend 01'!G61),0)+IF(AND(('V06 Calend 01'!E61&gt;0),(166&gt;'V06 Calend 01'!C61),(166&lt;'V06 Calend 01'!D61),(MOD((166-'V06 Calend 01'!C61),6)=0),(((166-'V06 Calend 01'!C61)/6)&lt;='V06 Calend 01'!E61)),IF((166=('V06 Calend 01'!C61+(6*'V06 Calend 01'!E61))),('V06 Calend 01'!H61-('V06 Calend 01'!I61*('V06 Calend 01'!E61-1))),'V06 Calend 01'!I61),0))+IF((166='V06 Calend 01'!D61),'V06 Calend 01'!J61,0))</f>
        <v>0</v>
      </c>
      <c r="FW61" s="2">
        <f>((IF((167='V06 Calend 01'!C61),('V06 Calend 01'!F61+'V06 Calend 01'!G61),0)+IF(AND(('V06 Calend 01'!E61&gt;0),(167&gt;'V06 Calend 01'!C61),(167&lt;'V06 Calend 01'!D61),(MOD((167-'V06 Calend 01'!C61),6)=0),(((167-'V06 Calend 01'!C61)/6)&lt;='V06 Calend 01'!E61)),IF((167=('V06 Calend 01'!C61+(6*'V06 Calend 01'!E61))),('V06 Calend 01'!H61-('V06 Calend 01'!I61*('V06 Calend 01'!E61-1))),'V06 Calend 01'!I61),0))+IF((167='V06 Calend 01'!D61),'V06 Calend 01'!J61,0))</f>
        <v>0</v>
      </c>
      <c r="FX61" s="2">
        <f>((IF((168='V06 Calend 01'!C61),('V06 Calend 01'!F61+'V06 Calend 01'!G61),0)+IF(AND(('V06 Calend 01'!E61&gt;0),(168&gt;'V06 Calend 01'!C61),(168&lt;'V06 Calend 01'!D61),(MOD((168-'V06 Calend 01'!C61),6)=0),(((168-'V06 Calend 01'!C61)/6)&lt;='V06 Calend 01'!E61)),IF((168=('V06 Calend 01'!C61+(6*'V06 Calend 01'!E61))),('V06 Calend 01'!H61-('V06 Calend 01'!I61*('V06 Calend 01'!E61-1))),'V06 Calend 01'!I61),0))+IF((168='V06 Calend 01'!D61),'V06 Calend 01'!J61,0))</f>
        <v>0</v>
      </c>
      <c r="FY61" s="2">
        <f>((IF((169='V06 Calend 01'!C61),('V06 Calend 01'!F61+'V06 Calend 01'!G61),0)+IF(AND(('V06 Calend 01'!E61&gt;0),(169&gt;'V06 Calend 01'!C61),(169&lt;'V06 Calend 01'!D61),(MOD((169-'V06 Calend 01'!C61),6)=0),(((169-'V06 Calend 01'!C61)/6)&lt;='V06 Calend 01'!E61)),IF((169=('V06 Calend 01'!C61+(6*'V06 Calend 01'!E61))),('V06 Calend 01'!H61-('V06 Calend 01'!I61*('V06 Calend 01'!E61-1))),'V06 Calend 01'!I61),0))+IF((169='V06 Calend 01'!D61),'V06 Calend 01'!J61,0))</f>
        <v>0</v>
      </c>
      <c r="FZ61" s="2">
        <f>((IF((170='V06 Calend 01'!C61),('V06 Calend 01'!F61+'V06 Calend 01'!G61),0)+IF(AND(('V06 Calend 01'!E61&gt;0),(170&gt;'V06 Calend 01'!C61),(170&lt;'V06 Calend 01'!D61),(MOD((170-'V06 Calend 01'!C61),6)=0),(((170-'V06 Calend 01'!C61)/6)&lt;='V06 Calend 01'!E61)),IF((170=('V06 Calend 01'!C61+(6*'V06 Calend 01'!E61))),('V06 Calend 01'!H61-('V06 Calend 01'!I61*('V06 Calend 01'!E61-1))),'V06 Calend 01'!I61),0))+IF((170='V06 Calend 01'!D61),'V06 Calend 01'!J61,0))</f>
        <v>0</v>
      </c>
      <c r="GA61" s="2">
        <f>((IF((171='V06 Calend 01'!C61),('V06 Calend 01'!F61+'V06 Calend 01'!G61),0)+IF(AND(('V06 Calend 01'!E61&gt;0),(171&gt;'V06 Calend 01'!C61),(171&lt;'V06 Calend 01'!D61),(MOD((171-'V06 Calend 01'!C61),6)=0),(((171-'V06 Calend 01'!C61)/6)&lt;='V06 Calend 01'!E61)),IF((171=('V06 Calend 01'!C61+(6*'V06 Calend 01'!E61))),('V06 Calend 01'!H61-('V06 Calend 01'!I61*('V06 Calend 01'!E61-1))),'V06 Calend 01'!I61),0))+IF((171='V06 Calend 01'!D61),'V06 Calend 01'!J61,0))</f>
        <v>0</v>
      </c>
      <c r="GB61" s="2">
        <f>((IF((172='V06 Calend 01'!C61),('V06 Calend 01'!F61+'V06 Calend 01'!G61),0)+IF(AND(('V06 Calend 01'!E61&gt;0),(172&gt;'V06 Calend 01'!C61),(172&lt;'V06 Calend 01'!D61),(MOD((172-'V06 Calend 01'!C61),6)=0),(((172-'V06 Calend 01'!C61)/6)&lt;='V06 Calend 01'!E61)),IF((172=('V06 Calend 01'!C61+(6*'V06 Calend 01'!E61))),('V06 Calend 01'!H61-('V06 Calend 01'!I61*('V06 Calend 01'!E61-1))),'V06 Calend 01'!I61),0))+IF((172='V06 Calend 01'!D61),'V06 Calend 01'!J61,0))</f>
        <v>0</v>
      </c>
      <c r="GC61" s="2">
        <f>((IF((173='V06 Calend 01'!C61),('V06 Calend 01'!F61+'V06 Calend 01'!G61),0)+IF(AND(('V06 Calend 01'!E61&gt;0),(173&gt;'V06 Calend 01'!C61),(173&lt;'V06 Calend 01'!D61),(MOD((173-'V06 Calend 01'!C61),6)=0),(((173-'V06 Calend 01'!C61)/6)&lt;='V06 Calend 01'!E61)),IF((173=('V06 Calend 01'!C61+(6*'V06 Calend 01'!E61))),('V06 Calend 01'!H61-('V06 Calend 01'!I61*('V06 Calend 01'!E61-1))),'V06 Calend 01'!I61),0))+IF((173='V06 Calend 01'!D61),'V06 Calend 01'!J61,0))</f>
        <v>0</v>
      </c>
      <c r="GD61" s="2">
        <f>((IF((174='V06 Calend 01'!C61),('V06 Calend 01'!F61+'V06 Calend 01'!G61),0)+IF(AND(('V06 Calend 01'!E61&gt;0),(174&gt;'V06 Calend 01'!C61),(174&lt;'V06 Calend 01'!D61),(MOD((174-'V06 Calend 01'!C61),6)=0),(((174-'V06 Calend 01'!C61)/6)&lt;='V06 Calend 01'!E61)),IF((174=('V06 Calend 01'!C61+(6*'V06 Calend 01'!E61))),('V06 Calend 01'!H61-('V06 Calend 01'!I61*('V06 Calend 01'!E61-1))),'V06 Calend 01'!I61),0))+IF((174='V06 Calend 01'!D61),'V06 Calend 01'!J61,0))</f>
        <v>0</v>
      </c>
      <c r="GE61" s="2">
        <f>((IF((175='V06 Calend 01'!C61),('V06 Calend 01'!F61+'V06 Calend 01'!G61),0)+IF(AND(('V06 Calend 01'!E61&gt;0),(175&gt;'V06 Calend 01'!C61),(175&lt;'V06 Calend 01'!D61),(MOD((175-'V06 Calend 01'!C61),6)=0),(((175-'V06 Calend 01'!C61)/6)&lt;='V06 Calend 01'!E61)),IF((175=('V06 Calend 01'!C61+(6*'V06 Calend 01'!E61))),('V06 Calend 01'!H61-('V06 Calend 01'!I61*('V06 Calend 01'!E61-1))),'V06 Calend 01'!I61),0))+IF((175='V06 Calend 01'!D61),'V06 Calend 01'!J61,0))</f>
        <v>0</v>
      </c>
      <c r="GF61" s="2">
        <f>((IF((176='V06 Calend 01'!C61),('V06 Calend 01'!F61+'V06 Calend 01'!G61),0)+IF(AND(('V06 Calend 01'!E61&gt;0),(176&gt;'V06 Calend 01'!C61),(176&lt;'V06 Calend 01'!D61),(MOD((176-'V06 Calend 01'!C61),6)=0),(((176-'V06 Calend 01'!C61)/6)&lt;='V06 Calend 01'!E61)),IF((176=('V06 Calend 01'!C61+(6*'V06 Calend 01'!E61))),('V06 Calend 01'!H61-('V06 Calend 01'!I61*('V06 Calend 01'!E61-1))),'V06 Calend 01'!I61),0))+IF((176='V06 Calend 01'!D61),'V06 Calend 01'!J61,0))</f>
        <v>0</v>
      </c>
      <c r="GG61" s="2">
        <f>((IF((177='V06 Calend 01'!C61),('V06 Calend 01'!F61+'V06 Calend 01'!G61),0)+IF(AND(('V06 Calend 01'!E61&gt;0),(177&gt;'V06 Calend 01'!C61),(177&lt;'V06 Calend 01'!D61),(MOD((177-'V06 Calend 01'!C61),6)=0),(((177-'V06 Calend 01'!C61)/6)&lt;='V06 Calend 01'!E61)),IF((177=('V06 Calend 01'!C61+(6*'V06 Calend 01'!E61))),('V06 Calend 01'!H61-('V06 Calend 01'!I61*('V06 Calend 01'!E61-1))),'V06 Calend 01'!I61),0))+IF((177='V06 Calend 01'!D61),'V06 Calend 01'!J61,0))</f>
        <v>0</v>
      </c>
      <c r="GH61" s="2">
        <f>((IF((178='V06 Calend 01'!C61),('V06 Calend 01'!F61+'V06 Calend 01'!G61),0)+IF(AND(('V06 Calend 01'!E61&gt;0),(178&gt;'V06 Calend 01'!C61),(178&lt;'V06 Calend 01'!D61),(MOD((178-'V06 Calend 01'!C61),6)=0),(((178-'V06 Calend 01'!C61)/6)&lt;='V06 Calend 01'!E61)),IF((178=('V06 Calend 01'!C61+(6*'V06 Calend 01'!E61))),('V06 Calend 01'!H61-('V06 Calend 01'!I61*('V06 Calend 01'!E61-1))),'V06 Calend 01'!I61),0))+IF((178='V06 Calend 01'!D61),'V06 Calend 01'!J61,0))</f>
        <v>0</v>
      </c>
      <c r="GI61" s="2">
        <f>((IF((179='V06 Calend 01'!C61),('V06 Calend 01'!F61+'V06 Calend 01'!G61),0)+IF(AND(('V06 Calend 01'!E61&gt;0),(179&gt;'V06 Calend 01'!C61),(179&lt;'V06 Calend 01'!D61),(MOD((179-'V06 Calend 01'!C61),6)=0),(((179-'V06 Calend 01'!C61)/6)&lt;='V06 Calend 01'!E61)),IF((179=('V06 Calend 01'!C61+(6*'V06 Calend 01'!E61))),('V06 Calend 01'!H61-('V06 Calend 01'!I61*('V06 Calend 01'!E61-1))),'V06 Calend 01'!I61),0))+IF((179='V06 Calend 01'!D61),'V06 Calend 01'!J61,0))</f>
        <v>0</v>
      </c>
      <c r="GJ61" s="2">
        <f>((IF((180='V06 Calend 01'!C61),('V06 Calend 01'!F61+'V06 Calend 01'!G61),0)+IF(AND(('V06 Calend 01'!E61&gt;0),(180&gt;'V06 Calend 01'!C61),(180&lt;'V06 Calend 01'!D61),(MOD((180-'V06 Calend 01'!C61),6)=0),(((180-'V06 Calend 01'!C61)/6)&lt;='V06 Calend 01'!E61)),IF((180=('V06 Calend 01'!C61+(6*'V06 Calend 01'!E61))),('V06 Calend 01'!H61-('V06 Calend 01'!I61*('V06 Calend 01'!E61-1))),'V06 Calend 01'!I61),0))+IF((180='V06 Calend 01'!D61),'V06 Calend 01'!J61,0))</f>
        <v>0</v>
      </c>
    </row>
    <row r="62" spans="1:192">
      <c r="A62" s="3" t="str">
        <f>'V06 Unidades'!$A$62</f>
        <v>708</v>
      </c>
      <c r="B62" s="2">
        <f>'V06 Unidades'!$H$62</f>
        <v>337968.59</v>
      </c>
      <c r="C62" s="4">
        <f>('V06 Unidades'!$I$62+'V06 Controlos'!$B$37)</f>
        <v>13</v>
      </c>
      <c r="D62" s="4">
        <f>IF(('V06 Controlos'!$B$38&gt;0),MAX(('V06 Unidades'!$L$62+'V06 Controlos'!$B$37),(30+'V06 Controlos'!$B$38)),('V06 Unidades'!$L$62+'V06 Controlos'!$B$37))</f>
        <v>28</v>
      </c>
      <c r="E62" s="4">
        <f>MAX(0,INT(((('V06 Calend 01'!D62-'V06 Calend 01'!C62)-1)/6)))</f>
        <v>2</v>
      </c>
      <c r="F62" s="2">
        <f>ROUND(('V06 Calend 01'!B62*0.05),2)</f>
        <v>16898.43</v>
      </c>
      <c r="G62" s="2">
        <f>ROUND(('V06 Calend 01'!B62*0.2),2)</f>
        <v>67593.72</v>
      </c>
      <c r="H62" s="2">
        <f>ROUND(('V06 Calend 01'!B62*0.55),2)</f>
        <v>185882.72</v>
      </c>
      <c r="I62" s="2">
        <f>ROUND(('V06 Calend 01'!H62/MAX(1,'V06 Calend 01'!E62)),2)</f>
        <v>92941.36</v>
      </c>
      <c r="J62" s="2">
        <f>((('V06 Calend 01'!B62-'V06 Calend 01'!F62)-'V06 Calend 01'!G62)-'V06 Calend 01'!H62)</f>
        <v>67593.72000000003</v>
      </c>
      <c r="K62" s="2">
        <f>('V06 Calend 01'!B62*0.025)</f>
        <v>8449.214750000001</v>
      </c>
      <c r="L62" t="s">
        <v>378</v>
      </c>
      <c r="M62" s="2">
        <f>((IF((1='V06 Calend 01'!C62),('V06 Calend 01'!F62+'V06 Calend 01'!G62),0)+IF(AND(('V06 Calend 01'!E62&gt;0),(1&gt;'V06 Calend 01'!C62),(1&lt;'V06 Calend 01'!D62),(MOD((1-'V06 Calend 01'!C62),6)=0),(((1-'V06 Calend 01'!C62)/6)&lt;='V06 Calend 01'!E62)),IF((1=('V06 Calend 01'!C62+(6*'V06 Calend 01'!E62))),('V06 Calend 01'!H62-('V06 Calend 01'!I62*('V06 Calend 01'!E62-1))),'V06 Calend 01'!I62),0))+IF((1='V06 Calend 01'!D62),'V06 Calend 01'!J62,0))</f>
        <v>0</v>
      </c>
      <c r="N62" s="2">
        <f>((IF((2='V06 Calend 01'!C62),('V06 Calend 01'!F62+'V06 Calend 01'!G62),0)+IF(AND(('V06 Calend 01'!E62&gt;0),(2&gt;'V06 Calend 01'!C62),(2&lt;'V06 Calend 01'!D62),(MOD((2-'V06 Calend 01'!C62),6)=0),(((2-'V06 Calend 01'!C62)/6)&lt;='V06 Calend 01'!E62)),IF((2=('V06 Calend 01'!C62+(6*'V06 Calend 01'!E62))),('V06 Calend 01'!H62-('V06 Calend 01'!I62*('V06 Calend 01'!E62-1))),'V06 Calend 01'!I62),0))+IF((2='V06 Calend 01'!D62),'V06 Calend 01'!J62,0))</f>
        <v>0</v>
      </c>
      <c r="O62" s="2">
        <f>((IF((3='V06 Calend 01'!C62),('V06 Calend 01'!F62+'V06 Calend 01'!G62),0)+IF(AND(('V06 Calend 01'!E62&gt;0),(3&gt;'V06 Calend 01'!C62),(3&lt;'V06 Calend 01'!D62),(MOD((3-'V06 Calend 01'!C62),6)=0),(((3-'V06 Calend 01'!C62)/6)&lt;='V06 Calend 01'!E62)),IF((3=('V06 Calend 01'!C62+(6*'V06 Calend 01'!E62))),('V06 Calend 01'!H62-('V06 Calend 01'!I62*('V06 Calend 01'!E62-1))),'V06 Calend 01'!I62),0))+IF((3='V06 Calend 01'!D62),'V06 Calend 01'!J62,0))</f>
        <v>0</v>
      </c>
      <c r="P62" s="2">
        <f>((IF((4='V06 Calend 01'!C62),('V06 Calend 01'!F62+'V06 Calend 01'!G62),0)+IF(AND(('V06 Calend 01'!E62&gt;0),(4&gt;'V06 Calend 01'!C62),(4&lt;'V06 Calend 01'!D62),(MOD((4-'V06 Calend 01'!C62),6)=0),(((4-'V06 Calend 01'!C62)/6)&lt;='V06 Calend 01'!E62)),IF((4=('V06 Calend 01'!C62+(6*'V06 Calend 01'!E62))),('V06 Calend 01'!H62-('V06 Calend 01'!I62*('V06 Calend 01'!E62-1))),'V06 Calend 01'!I62),0))+IF((4='V06 Calend 01'!D62),'V06 Calend 01'!J62,0))</f>
        <v>0</v>
      </c>
      <c r="Q62" s="2">
        <f>((IF((5='V06 Calend 01'!C62),('V06 Calend 01'!F62+'V06 Calend 01'!G62),0)+IF(AND(('V06 Calend 01'!E62&gt;0),(5&gt;'V06 Calend 01'!C62),(5&lt;'V06 Calend 01'!D62),(MOD((5-'V06 Calend 01'!C62),6)=0),(((5-'V06 Calend 01'!C62)/6)&lt;='V06 Calend 01'!E62)),IF((5=('V06 Calend 01'!C62+(6*'V06 Calend 01'!E62))),('V06 Calend 01'!H62-('V06 Calend 01'!I62*('V06 Calend 01'!E62-1))),'V06 Calend 01'!I62),0))+IF((5='V06 Calend 01'!D62),'V06 Calend 01'!J62,0))</f>
        <v>0</v>
      </c>
      <c r="R62" s="2">
        <f>((IF((6='V06 Calend 01'!C62),('V06 Calend 01'!F62+'V06 Calend 01'!G62),0)+IF(AND(('V06 Calend 01'!E62&gt;0),(6&gt;'V06 Calend 01'!C62),(6&lt;'V06 Calend 01'!D62),(MOD((6-'V06 Calend 01'!C62),6)=0),(((6-'V06 Calend 01'!C62)/6)&lt;='V06 Calend 01'!E62)),IF((6=('V06 Calend 01'!C62+(6*'V06 Calend 01'!E62))),('V06 Calend 01'!H62-('V06 Calend 01'!I62*('V06 Calend 01'!E62-1))),'V06 Calend 01'!I62),0))+IF((6='V06 Calend 01'!D62),'V06 Calend 01'!J62,0))</f>
        <v>0</v>
      </c>
      <c r="S62" s="2">
        <f>((IF((7='V06 Calend 01'!C62),('V06 Calend 01'!F62+'V06 Calend 01'!G62),0)+IF(AND(('V06 Calend 01'!E62&gt;0),(7&gt;'V06 Calend 01'!C62),(7&lt;'V06 Calend 01'!D62),(MOD((7-'V06 Calend 01'!C62),6)=0),(((7-'V06 Calend 01'!C62)/6)&lt;='V06 Calend 01'!E62)),IF((7=('V06 Calend 01'!C62+(6*'V06 Calend 01'!E62))),('V06 Calend 01'!H62-('V06 Calend 01'!I62*('V06 Calend 01'!E62-1))),'V06 Calend 01'!I62),0))+IF((7='V06 Calend 01'!D62),'V06 Calend 01'!J62,0))</f>
        <v>0</v>
      </c>
      <c r="T62" s="2">
        <f>((IF((8='V06 Calend 01'!C62),('V06 Calend 01'!F62+'V06 Calend 01'!G62),0)+IF(AND(('V06 Calend 01'!E62&gt;0),(8&gt;'V06 Calend 01'!C62),(8&lt;'V06 Calend 01'!D62),(MOD((8-'V06 Calend 01'!C62),6)=0),(((8-'V06 Calend 01'!C62)/6)&lt;='V06 Calend 01'!E62)),IF((8=('V06 Calend 01'!C62+(6*'V06 Calend 01'!E62))),('V06 Calend 01'!H62-('V06 Calend 01'!I62*('V06 Calend 01'!E62-1))),'V06 Calend 01'!I62),0))+IF((8='V06 Calend 01'!D62),'V06 Calend 01'!J62,0))</f>
        <v>0</v>
      </c>
      <c r="U62" s="2">
        <f>((IF((9='V06 Calend 01'!C62),('V06 Calend 01'!F62+'V06 Calend 01'!G62),0)+IF(AND(('V06 Calend 01'!E62&gt;0),(9&gt;'V06 Calend 01'!C62),(9&lt;'V06 Calend 01'!D62),(MOD((9-'V06 Calend 01'!C62),6)=0),(((9-'V06 Calend 01'!C62)/6)&lt;='V06 Calend 01'!E62)),IF((9=('V06 Calend 01'!C62+(6*'V06 Calend 01'!E62))),('V06 Calend 01'!H62-('V06 Calend 01'!I62*('V06 Calend 01'!E62-1))),'V06 Calend 01'!I62),0))+IF((9='V06 Calend 01'!D62),'V06 Calend 01'!J62,0))</f>
        <v>0</v>
      </c>
      <c r="V62" s="2">
        <f>((IF((10='V06 Calend 01'!C62),('V06 Calend 01'!F62+'V06 Calend 01'!G62),0)+IF(AND(('V06 Calend 01'!E62&gt;0),(10&gt;'V06 Calend 01'!C62),(10&lt;'V06 Calend 01'!D62),(MOD((10-'V06 Calend 01'!C62),6)=0),(((10-'V06 Calend 01'!C62)/6)&lt;='V06 Calend 01'!E62)),IF((10=('V06 Calend 01'!C62+(6*'V06 Calend 01'!E62))),('V06 Calend 01'!H62-('V06 Calend 01'!I62*('V06 Calend 01'!E62-1))),'V06 Calend 01'!I62),0))+IF((10='V06 Calend 01'!D62),'V06 Calend 01'!J62,0))</f>
        <v>0</v>
      </c>
      <c r="W62" s="2">
        <f>((IF((11='V06 Calend 01'!C62),('V06 Calend 01'!F62+'V06 Calend 01'!G62),0)+IF(AND(('V06 Calend 01'!E62&gt;0),(11&gt;'V06 Calend 01'!C62),(11&lt;'V06 Calend 01'!D62),(MOD((11-'V06 Calend 01'!C62),6)=0),(((11-'V06 Calend 01'!C62)/6)&lt;='V06 Calend 01'!E62)),IF((11=('V06 Calend 01'!C62+(6*'V06 Calend 01'!E62))),('V06 Calend 01'!H62-('V06 Calend 01'!I62*('V06 Calend 01'!E62-1))),'V06 Calend 01'!I62),0))+IF((11='V06 Calend 01'!D62),'V06 Calend 01'!J62,0))</f>
        <v>0</v>
      </c>
      <c r="X62" s="2">
        <f>((IF((12='V06 Calend 01'!C62),('V06 Calend 01'!F62+'V06 Calend 01'!G62),0)+IF(AND(('V06 Calend 01'!E62&gt;0),(12&gt;'V06 Calend 01'!C62),(12&lt;'V06 Calend 01'!D62),(MOD((12-'V06 Calend 01'!C62),6)=0),(((12-'V06 Calend 01'!C62)/6)&lt;='V06 Calend 01'!E62)),IF((12=('V06 Calend 01'!C62+(6*'V06 Calend 01'!E62))),('V06 Calend 01'!H62-('V06 Calend 01'!I62*('V06 Calend 01'!E62-1))),'V06 Calend 01'!I62),0))+IF((12='V06 Calend 01'!D62),'V06 Calend 01'!J62,0))</f>
        <v>0</v>
      </c>
      <c r="Y62" s="2">
        <f>((IF((13='V06 Calend 01'!C62),('V06 Calend 01'!F62+'V06 Calend 01'!G62),0)+IF(AND(('V06 Calend 01'!E62&gt;0),(13&gt;'V06 Calend 01'!C62),(13&lt;'V06 Calend 01'!D62),(MOD((13-'V06 Calend 01'!C62),6)=0),(((13-'V06 Calend 01'!C62)/6)&lt;='V06 Calend 01'!E62)),IF((13=('V06 Calend 01'!C62+(6*'V06 Calend 01'!E62))),('V06 Calend 01'!H62-('V06 Calend 01'!I62*('V06 Calend 01'!E62-1))),'V06 Calend 01'!I62),0))+IF((13='V06 Calend 01'!D62),'V06 Calend 01'!J62,0))</f>
        <v>84492.15</v>
      </c>
      <c r="Z62" s="2">
        <f>((IF((14='V06 Calend 01'!C62),('V06 Calend 01'!F62+'V06 Calend 01'!G62),0)+IF(AND(('V06 Calend 01'!E62&gt;0),(14&gt;'V06 Calend 01'!C62),(14&lt;'V06 Calend 01'!D62),(MOD((14-'V06 Calend 01'!C62),6)=0),(((14-'V06 Calend 01'!C62)/6)&lt;='V06 Calend 01'!E62)),IF((14=('V06 Calend 01'!C62+(6*'V06 Calend 01'!E62))),('V06 Calend 01'!H62-('V06 Calend 01'!I62*('V06 Calend 01'!E62-1))),'V06 Calend 01'!I62),0))+IF((14='V06 Calend 01'!D62),'V06 Calend 01'!J62,0))</f>
        <v>0</v>
      </c>
      <c r="AA62" s="2">
        <f>((IF((15='V06 Calend 01'!C62),('V06 Calend 01'!F62+'V06 Calend 01'!G62),0)+IF(AND(('V06 Calend 01'!E62&gt;0),(15&gt;'V06 Calend 01'!C62),(15&lt;'V06 Calend 01'!D62),(MOD((15-'V06 Calend 01'!C62),6)=0),(((15-'V06 Calend 01'!C62)/6)&lt;='V06 Calend 01'!E62)),IF((15=('V06 Calend 01'!C62+(6*'V06 Calend 01'!E62))),('V06 Calend 01'!H62-('V06 Calend 01'!I62*('V06 Calend 01'!E62-1))),'V06 Calend 01'!I62),0))+IF((15='V06 Calend 01'!D62),'V06 Calend 01'!J62,0))</f>
        <v>0</v>
      </c>
      <c r="AB62" s="2">
        <f>((IF((16='V06 Calend 01'!C62),('V06 Calend 01'!F62+'V06 Calend 01'!G62),0)+IF(AND(('V06 Calend 01'!E62&gt;0),(16&gt;'V06 Calend 01'!C62),(16&lt;'V06 Calend 01'!D62),(MOD((16-'V06 Calend 01'!C62),6)=0),(((16-'V06 Calend 01'!C62)/6)&lt;='V06 Calend 01'!E62)),IF((16=('V06 Calend 01'!C62+(6*'V06 Calend 01'!E62))),('V06 Calend 01'!H62-('V06 Calend 01'!I62*('V06 Calend 01'!E62-1))),'V06 Calend 01'!I62),0))+IF((16='V06 Calend 01'!D62),'V06 Calend 01'!J62,0))</f>
        <v>0</v>
      </c>
      <c r="AC62" s="2">
        <f>((IF((17='V06 Calend 01'!C62),('V06 Calend 01'!F62+'V06 Calend 01'!G62),0)+IF(AND(('V06 Calend 01'!E62&gt;0),(17&gt;'V06 Calend 01'!C62),(17&lt;'V06 Calend 01'!D62),(MOD((17-'V06 Calend 01'!C62),6)=0),(((17-'V06 Calend 01'!C62)/6)&lt;='V06 Calend 01'!E62)),IF((17=('V06 Calend 01'!C62+(6*'V06 Calend 01'!E62))),('V06 Calend 01'!H62-('V06 Calend 01'!I62*('V06 Calend 01'!E62-1))),'V06 Calend 01'!I62),0))+IF((17='V06 Calend 01'!D62),'V06 Calend 01'!J62,0))</f>
        <v>0</v>
      </c>
      <c r="AD62" s="2">
        <f>((IF((18='V06 Calend 01'!C62),('V06 Calend 01'!F62+'V06 Calend 01'!G62),0)+IF(AND(('V06 Calend 01'!E62&gt;0),(18&gt;'V06 Calend 01'!C62),(18&lt;'V06 Calend 01'!D62),(MOD((18-'V06 Calend 01'!C62),6)=0),(((18-'V06 Calend 01'!C62)/6)&lt;='V06 Calend 01'!E62)),IF((18=('V06 Calend 01'!C62+(6*'V06 Calend 01'!E62))),('V06 Calend 01'!H62-('V06 Calend 01'!I62*('V06 Calend 01'!E62-1))),'V06 Calend 01'!I62),0))+IF((18='V06 Calend 01'!D62),'V06 Calend 01'!J62,0))</f>
        <v>0</v>
      </c>
      <c r="AE62" s="2">
        <f>((IF((19='V06 Calend 01'!C62),('V06 Calend 01'!F62+'V06 Calend 01'!G62),0)+IF(AND(('V06 Calend 01'!E62&gt;0),(19&gt;'V06 Calend 01'!C62),(19&lt;'V06 Calend 01'!D62),(MOD((19-'V06 Calend 01'!C62),6)=0),(((19-'V06 Calend 01'!C62)/6)&lt;='V06 Calend 01'!E62)),IF((19=('V06 Calend 01'!C62+(6*'V06 Calend 01'!E62))),('V06 Calend 01'!H62-('V06 Calend 01'!I62*('V06 Calend 01'!E62-1))),'V06 Calend 01'!I62),0))+IF((19='V06 Calend 01'!D62),'V06 Calend 01'!J62,0))</f>
        <v>92941.36</v>
      </c>
      <c r="AF62" s="2">
        <f>((IF((20='V06 Calend 01'!C62),('V06 Calend 01'!F62+'V06 Calend 01'!G62),0)+IF(AND(('V06 Calend 01'!E62&gt;0),(20&gt;'V06 Calend 01'!C62),(20&lt;'V06 Calend 01'!D62),(MOD((20-'V06 Calend 01'!C62),6)=0),(((20-'V06 Calend 01'!C62)/6)&lt;='V06 Calend 01'!E62)),IF((20=('V06 Calend 01'!C62+(6*'V06 Calend 01'!E62))),('V06 Calend 01'!H62-('V06 Calend 01'!I62*('V06 Calend 01'!E62-1))),'V06 Calend 01'!I62),0))+IF((20='V06 Calend 01'!D62),'V06 Calend 01'!J62,0))</f>
        <v>0</v>
      </c>
      <c r="AG62" s="2">
        <f>((IF((21='V06 Calend 01'!C62),('V06 Calend 01'!F62+'V06 Calend 01'!G62),0)+IF(AND(('V06 Calend 01'!E62&gt;0),(21&gt;'V06 Calend 01'!C62),(21&lt;'V06 Calend 01'!D62),(MOD((21-'V06 Calend 01'!C62),6)=0),(((21-'V06 Calend 01'!C62)/6)&lt;='V06 Calend 01'!E62)),IF((21=('V06 Calend 01'!C62+(6*'V06 Calend 01'!E62))),('V06 Calend 01'!H62-('V06 Calend 01'!I62*('V06 Calend 01'!E62-1))),'V06 Calend 01'!I62),0))+IF((21='V06 Calend 01'!D62),'V06 Calend 01'!J62,0))</f>
        <v>0</v>
      </c>
      <c r="AH62" s="2">
        <f>((IF((22='V06 Calend 01'!C62),('V06 Calend 01'!F62+'V06 Calend 01'!G62),0)+IF(AND(('V06 Calend 01'!E62&gt;0),(22&gt;'V06 Calend 01'!C62),(22&lt;'V06 Calend 01'!D62),(MOD((22-'V06 Calend 01'!C62),6)=0),(((22-'V06 Calend 01'!C62)/6)&lt;='V06 Calend 01'!E62)),IF((22=('V06 Calend 01'!C62+(6*'V06 Calend 01'!E62))),('V06 Calend 01'!H62-('V06 Calend 01'!I62*('V06 Calend 01'!E62-1))),'V06 Calend 01'!I62),0))+IF((22='V06 Calend 01'!D62),'V06 Calend 01'!J62,0))</f>
        <v>0</v>
      </c>
      <c r="AI62" s="2">
        <f>((IF((23='V06 Calend 01'!C62),('V06 Calend 01'!F62+'V06 Calend 01'!G62),0)+IF(AND(('V06 Calend 01'!E62&gt;0),(23&gt;'V06 Calend 01'!C62),(23&lt;'V06 Calend 01'!D62),(MOD((23-'V06 Calend 01'!C62),6)=0),(((23-'V06 Calend 01'!C62)/6)&lt;='V06 Calend 01'!E62)),IF((23=('V06 Calend 01'!C62+(6*'V06 Calend 01'!E62))),('V06 Calend 01'!H62-('V06 Calend 01'!I62*('V06 Calend 01'!E62-1))),'V06 Calend 01'!I62),0))+IF((23='V06 Calend 01'!D62),'V06 Calend 01'!J62,0))</f>
        <v>0</v>
      </c>
      <c r="AJ62" s="2">
        <f>((IF((24='V06 Calend 01'!C62),('V06 Calend 01'!F62+'V06 Calend 01'!G62),0)+IF(AND(('V06 Calend 01'!E62&gt;0),(24&gt;'V06 Calend 01'!C62),(24&lt;'V06 Calend 01'!D62),(MOD((24-'V06 Calend 01'!C62),6)=0),(((24-'V06 Calend 01'!C62)/6)&lt;='V06 Calend 01'!E62)),IF((24=('V06 Calend 01'!C62+(6*'V06 Calend 01'!E62))),('V06 Calend 01'!H62-('V06 Calend 01'!I62*('V06 Calend 01'!E62-1))),'V06 Calend 01'!I62),0))+IF((24='V06 Calend 01'!D62),'V06 Calend 01'!J62,0))</f>
        <v>0</v>
      </c>
      <c r="AK62" s="2">
        <f>((IF((25='V06 Calend 01'!C62),('V06 Calend 01'!F62+'V06 Calend 01'!G62),0)+IF(AND(('V06 Calend 01'!E62&gt;0),(25&gt;'V06 Calend 01'!C62),(25&lt;'V06 Calend 01'!D62),(MOD((25-'V06 Calend 01'!C62),6)=0),(((25-'V06 Calend 01'!C62)/6)&lt;='V06 Calend 01'!E62)),IF((25=('V06 Calend 01'!C62+(6*'V06 Calend 01'!E62))),('V06 Calend 01'!H62-('V06 Calend 01'!I62*('V06 Calend 01'!E62-1))),'V06 Calend 01'!I62),0))+IF((25='V06 Calend 01'!D62),'V06 Calend 01'!J62,0))</f>
        <v>92941.36</v>
      </c>
      <c r="AL62" s="2">
        <f>((IF((26='V06 Calend 01'!C62),('V06 Calend 01'!F62+'V06 Calend 01'!G62),0)+IF(AND(('V06 Calend 01'!E62&gt;0),(26&gt;'V06 Calend 01'!C62),(26&lt;'V06 Calend 01'!D62),(MOD((26-'V06 Calend 01'!C62),6)=0),(((26-'V06 Calend 01'!C62)/6)&lt;='V06 Calend 01'!E62)),IF((26=('V06 Calend 01'!C62+(6*'V06 Calend 01'!E62))),('V06 Calend 01'!H62-('V06 Calend 01'!I62*('V06 Calend 01'!E62-1))),'V06 Calend 01'!I62),0))+IF((26='V06 Calend 01'!D62),'V06 Calend 01'!J62,0))</f>
        <v>0</v>
      </c>
      <c r="AM62" s="2">
        <f>((IF((27='V06 Calend 01'!C62),('V06 Calend 01'!F62+'V06 Calend 01'!G62),0)+IF(AND(('V06 Calend 01'!E62&gt;0),(27&gt;'V06 Calend 01'!C62),(27&lt;'V06 Calend 01'!D62),(MOD((27-'V06 Calend 01'!C62),6)=0),(((27-'V06 Calend 01'!C62)/6)&lt;='V06 Calend 01'!E62)),IF((27=('V06 Calend 01'!C62+(6*'V06 Calend 01'!E62))),('V06 Calend 01'!H62-('V06 Calend 01'!I62*('V06 Calend 01'!E62-1))),'V06 Calend 01'!I62),0))+IF((27='V06 Calend 01'!D62),'V06 Calend 01'!J62,0))</f>
        <v>0</v>
      </c>
      <c r="AN62" s="2">
        <f>((IF((28='V06 Calend 01'!C62),('V06 Calend 01'!F62+'V06 Calend 01'!G62),0)+IF(AND(('V06 Calend 01'!E62&gt;0),(28&gt;'V06 Calend 01'!C62),(28&lt;'V06 Calend 01'!D62),(MOD((28-'V06 Calend 01'!C62),6)=0),(((28-'V06 Calend 01'!C62)/6)&lt;='V06 Calend 01'!E62)),IF((28=('V06 Calend 01'!C62+(6*'V06 Calend 01'!E62))),('V06 Calend 01'!H62-('V06 Calend 01'!I62*('V06 Calend 01'!E62-1))),'V06 Calend 01'!I62),0))+IF((28='V06 Calend 01'!D62),'V06 Calend 01'!J62,0))</f>
        <v>67593.72000000003</v>
      </c>
      <c r="AO62" s="2">
        <f>((IF((29='V06 Calend 01'!C62),('V06 Calend 01'!F62+'V06 Calend 01'!G62),0)+IF(AND(('V06 Calend 01'!E62&gt;0),(29&gt;'V06 Calend 01'!C62),(29&lt;'V06 Calend 01'!D62),(MOD((29-'V06 Calend 01'!C62),6)=0),(((29-'V06 Calend 01'!C62)/6)&lt;='V06 Calend 01'!E62)),IF((29=('V06 Calend 01'!C62+(6*'V06 Calend 01'!E62))),('V06 Calend 01'!H62-('V06 Calend 01'!I62*('V06 Calend 01'!E62-1))),'V06 Calend 01'!I62),0))+IF((29='V06 Calend 01'!D62),'V06 Calend 01'!J62,0))</f>
        <v>0</v>
      </c>
      <c r="AP62" s="2">
        <f>((IF((30='V06 Calend 01'!C62),('V06 Calend 01'!F62+'V06 Calend 01'!G62),0)+IF(AND(('V06 Calend 01'!E62&gt;0),(30&gt;'V06 Calend 01'!C62),(30&lt;'V06 Calend 01'!D62),(MOD((30-'V06 Calend 01'!C62),6)=0),(((30-'V06 Calend 01'!C62)/6)&lt;='V06 Calend 01'!E62)),IF((30=('V06 Calend 01'!C62+(6*'V06 Calend 01'!E62))),('V06 Calend 01'!H62-('V06 Calend 01'!I62*('V06 Calend 01'!E62-1))),'V06 Calend 01'!I62),0))+IF((30='V06 Calend 01'!D62),'V06 Calend 01'!J62,0))</f>
        <v>0</v>
      </c>
      <c r="AQ62" s="2">
        <f>((IF((31='V06 Calend 01'!C62),('V06 Calend 01'!F62+'V06 Calend 01'!G62),0)+IF(AND(('V06 Calend 01'!E62&gt;0),(31&gt;'V06 Calend 01'!C62),(31&lt;'V06 Calend 01'!D62),(MOD((31-'V06 Calend 01'!C62),6)=0),(((31-'V06 Calend 01'!C62)/6)&lt;='V06 Calend 01'!E62)),IF((31=('V06 Calend 01'!C62+(6*'V06 Calend 01'!E62))),('V06 Calend 01'!H62-('V06 Calend 01'!I62*('V06 Calend 01'!E62-1))),'V06 Calend 01'!I62),0))+IF((31='V06 Calend 01'!D62),'V06 Calend 01'!J62,0))</f>
        <v>0</v>
      </c>
      <c r="AR62" s="2">
        <f>((IF((32='V06 Calend 01'!C62),('V06 Calend 01'!F62+'V06 Calend 01'!G62),0)+IF(AND(('V06 Calend 01'!E62&gt;0),(32&gt;'V06 Calend 01'!C62),(32&lt;'V06 Calend 01'!D62),(MOD((32-'V06 Calend 01'!C62),6)=0),(((32-'V06 Calend 01'!C62)/6)&lt;='V06 Calend 01'!E62)),IF((32=('V06 Calend 01'!C62+(6*'V06 Calend 01'!E62))),('V06 Calend 01'!H62-('V06 Calend 01'!I62*('V06 Calend 01'!E62-1))),'V06 Calend 01'!I62),0))+IF((32='V06 Calend 01'!D62),'V06 Calend 01'!J62,0))</f>
        <v>0</v>
      </c>
      <c r="AS62" s="2">
        <f>((IF((33='V06 Calend 01'!C62),('V06 Calend 01'!F62+'V06 Calend 01'!G62),0)+IF(AND(('V06 Calend 01'!E62&gt;0),(33&gt;'V06 Calend 01'!C62),(33&lt;'V06 Calend 01'!D62),(MOD((33-'V06 Calend 01'!C62),6)=0),(((33-'V06 Calend 01'!C62)/6)&lt;='V06 Calend 01'!E62)),IF((33=('V06 Calend 01'!C62+(6*'V06 Calend 01'!E62))),('V06 Calend 01'!H62-('V06 Calend 01'!I62*('V06 Calend 01'!E62-1))),'V06 Calend 01'!I62),0))+IF((33='V06 Calend 01'!D62),'V06 Calend 01'!J62,0))</f>
        <v>0</v>
      </c>
      <c r="AT62" s="2">
        <f>((IF((34='V06 Calend 01'!C62),('V06 Calend 01'!F62+'V06 Calend 01'!G62),0)+IF(AND(('V06 Calend 01'!E62&gt;0),(34&gt;'V06 Calend 01'!C62),(34&lt;'V06 Calend 01'!D62),(MOD((34-'V06 Calend 01'!C62),6)=0),(((34-'V06 Calend 01'!C62)/6)&lt;='V06 Calend 01'!E62)),IF((34=('V06 Calend 01'!C62+(6*'V06 Calend 01'!E62))),('V06 Calend 01'!H62-('V06 Calend 01'!I62*('V06 Calend 01'!E62-1))),'V06 Calend 01'!I62),0))+IF((34='V06 Calend 01'!D62),'V06 Calend 01'!J62,0))</f>
        <v>0</v>
      </c>
      <c r="AU62" s="2">
        <f>((IF((35='V06 Calend 01'!C62),('V06 Calend 01'!F62+'V06 Calend 01'!G62),0)+IF(AND(('V06 Calend 01'!E62&gt;0),(35&gt;'V06 Calend 01'!C62),(35&lt;'V06 Calend 01'!D62),(MOD((35-'V06 Calend 01'!C62),6)=0),(((35-'V06 Calend 01'!C62)/6)&lt;='V06 Calend 01'!E62)),IF((35=('V06 Calend 01'!C62+(6*'V06 Calend 01'!E62))),('V06 Calend 01'!H62-('V06 Calend 01'!I62*('V06 Calend 01'!E62-1))),'V06 Calend 01'!I62),0))+IF((35='V06 Calend 01'!D62),'V06 Calend 01'!J62,0))</f>
        <v>0</v>
      </c>
      <c r="AV62" s="2">
        <f>((IF((36='V06 Calend 01'!C62),('V06 Calend 01'!F62+'V06 Calend 01'!G62),0)+IF(AND(('V06 Calend 01'!E62&gt;0),(36&gt;'V06 Calend 01'!C62),(36&lt;'V06 Calend 01'!D62),(MOD((36-'V06 Calend 01'!C62),6)=0),(((36-'V06 Calend 01'!C62)/6)&lt;='V06 Calend 01'!E62)),IF((36=('V06 Calend 01'!C62+(6*'V06 Calend 01'!E62))),('V06 Calend 01'!H62-('V06 Calend 01'!I62*('V06 Calend 01'!E62-1))),'V06 Calend 01'!I62),0))+IF((36='V06 Calend 01'!D62),'V06 Calend 01'!J62,0))</f>
        <v>0</v>
      </c>
      <c r="AW62" s="2">
        <f>((IF((37='V06 Calend 01'!C62),('V06 Calend 01'!F62+'V06 Calend 01'!G62),0)+IF(AND(('V06 Calend 01'!E62&gt;0),(37&gt;'V06 Calend 01'!C62),(37&lt;'V06 Calend 01'!D62),(MOD((37-'V06 Calend 01'!C62),6)=0),(((37-'V06 Calend 01'!C62)/6)&lt;='V06 Calend 01'!E62)),IF((37=('V06 Calend 01'!C62+(6*'V06 Calend 01'!E62))),('V06 Calend 01'!H62-('V06 Calend 01'!I62*('V06 Calend 01'!E62-1))),'V06 Calend 01'!I62),0))+IF((37='V06 Calend 01'!D62),'V06 Calend 01'!J62,0))</f>
        <v>0</v>
      </c>
      <c r="AX62" s="2">
        <f>((IF((38='V06 Calend 01'!C62),('V06 Calend 01'!F62+'V06 Calend 01'!G62),0)+IF(AND(('V06 Calend 01'!E62&gt;0),(38&gt;'V06 Calend 01'!C62),(38&lt;'V06 Calend 01'!D62),(MOD((38-'V06 Calend 01'!C62),6)=0),(((38-'V06 Calend 01'!C62)/6)&lt;='V06 Calend 01'!E62)),IF((38=('V06 Calend 01'!C62+(6*'V06 Calend 01'!E62))),('V06 Calend 01'!H62-('V06 Calend 01'!I62*('V06 Calend 01'!E62-1))),'V06 Calend 01'!I62),0))+IF((38='V06 Calend 01'!D62),'V06 Calend 01'!J62,0))</f>
        <v>0</v>
      </c>
      <c r="AY62" s="2">
        <f>((IF((39='V06 Calend 01'!C62),('V06 Calend 01'!F62+'V06 Calend 01'!G62),0)+IF(AND(('V06 Calend 01'!E62&gt;0),(39&gt;'V06 Calend 01'!C62),(39&lt;'V06 Calend 01'!D62),(MOD((39-'V06 Calend 01'!C62),6)=0),(((39-'V06 Calend 01'!C62)/6)&lt;='V06 Calend 01'!E62)),IF((39=('V06 Calend 01'!C62+(6*'V06 Calend 01'!E62))),('V06 Calend 01'!H62-('V06 Calend 01'!I62*('V06 Calend 01'!E62-1))),'V06 Calend 01'!I62),0))+IF((39='V06 Calend 01'!D62),'V06 Calend 01'!J62,0))</f>
        <v>0</v>
      </c>
      <c r="AZ62" s="2">
        <f>((IF((40='V06 Calend 01'!C62),('V06 Calend 01'!F62+'V06 Calend 01'!G62),0)+IF(AND(('V06 Calend 01'!E62&gt;0),(40&gt;'V06 Calend 01'!C62),(40&lt;'V06 Calend 01'!D62),(MOD((40-'V06 Calend 01'!C62),6)=0),(((40-'V06 Calend 01'!C62)/6)&lt;='V06 Calend 01'!E62)),IF((40=('V06 Calend 01'!C62+(6*'V06 Calend 01'!E62))),('V06 Calend 01'!H62-('V06 Calend 01'!I62*('V06 Calend 01'!E62-1))),'V06 Calend 01'!I62),0))+IF((40='V06 Calend 01'!D62),'V06 Calend 01'!J62,0))</f>
        <v>0</v>
      </c>
      <c r="BA62" s="2">
        <f>((IF((41='V06 Calend 01'!C62),('V06 Calend 01'!F62+'V06 Calend 01'!G62),0)+IF(AND(('V06 Calend 01'!E62&gt;0),(41&gt;'V06 Calend 01'!C62),(41&lt;'V06 Calend 01'!D62),(MOD((41-'V06 Calend 01'!C62),6)=0),(((41-'V06 Calend 01'!C62)/6)&lt;='V06 Calend 01'!E62)),IF((41=('V06 Calend 01'!C62+(6*'V06 Calend 01'!E62))),('V06 Calend 01'!H62-('V06 Calend 01'!I62*('V06 Calend 01'!E62-1))),'V06 Calend 01'!I62),0))+IF((41='V06 Calend 01'!D62),'V06 Calend 01'!J62,0))</f>
        <v>0</v>
      </c>
      <c r="BB62" s="2">
        <f>((IF((42='V06 Calend 01'!C62),('V06 Calend 01'!F62+'V06 Calend 01'!G62),0)+IF(AND(('V06 Calend 01'!E62&gt;0),(42&gt;'V06 Calend 01'!C62),(42&lt;'V06 Calend 01'!D62),(MOD((42-'V06 Calend 01'!C62),6)=0),(((42-'V06 Calend 01'!C62)/6)&lt;='V06 Calend 01'!E62)),IF((42=('V06 Calend 01'!C62+(6*'V06 Calend 01'!E62))),('V06 Calend 01'!H62-('V06 Calend 01'!I62*('V06 Calend 01'!E62-1))),'V06 Calend 01'!I62),0))+IF((42='V06 Calend 01'!D62),'V06 Calend 01'!J62,0))</f>
        <v>0</v>
      </c>
      <c r="BC62" s="2">
        <f>((IF((43='V06 Calend 01'!C62),('V06 Calend 01'!F62+'V06 Calend 01'!G62),0)+IF(AND(('V06 Calend 01'!E62&gt;0),(43&gt;'V06 Calend 01'!C62),(43&lt;'V06 Calend 01'!D62),(MOD((43-'V06 Calend 01'!C62),6)=0),(((43-'V06 Calend 01'!C62)/6)&lt;='V06 Calend 01'!E62)),IF((43=('V06 Calend 01'!C62+(6*'V06 Calend 01'!E62))),('V06 Calend 01'!H62-('V06 Calend 01'!I62*('V06 Calend 01'!E62-1))),'V06 Calend 01'!I62),0))+IF((43='V06 Calend 01'!D62),'V06 Calend 01'!J62,0))</f>
        <v>0</v>
      </c>
      <c r="BD62" s="2">
        <f>((IF((44='V06 Calend 01'!C62),('V06 Calend 01'!F62+'V06 Calend 01'!G62),0)+IF(AND(('V06 Calend 01'!E62&gt;0),(44&gt;'V06 Calend 01'!C62),(44&lt;'V06 Calend 01'!D62),(MOD((44-'V06 Calend 01'!C62),6)=0),(((44-'V06 Calend 01'!C62)/6)&lt;='V06 Calend 01'!E62)),IF((44=('V06 Calend 01'!C62+(6*'V06 Calend 01'!E62))),('V06 Calend 01'!H62-('V06 Calend 01'!I62*('V06 Calend 01'!E62-1))),'V06 Calend 01'!I62),0))+IF((44='V06 Calend 01'!D62),'V06 Calend 01'!J62,0))</f>
        <v>0</v>
      </c>
      <c r="BE62" s="2">
        <f>((IF((45='V06 Calend 01'!C62),('V06 Calend 01'!F62+'V06 Calend 01'!G62),0)+IF(AND(('V06 Calend 01'!E62&gt;0),(45&gt;'V06 Calend 01'!C62),(45&lt;'V06 Calend 01'!D62),(MOD((45-'V06 Calend 01'!C62),6)=0),(((45-'V06 Calend 01'!C62)/6)&lt;='V06 Calend 01'!E62)),IF((45=('V06 Calend 01'!C62+(6*'V06 Calend 01'!E62))),('V06 Calend 01'!H62-('V06 Calend 01'!I62*('V06 Calend 01'!E62-1))),'V06 Calend 01'!I62),0))+IF((45='V06 Calend 01'!D62),'V06 Calend 01'!J62,0))</f>
        <v>0</v>
      </c>
      <c r="BF62" s="2">
        <f>((IF((46='V06 Calend 01'!C62),('V06 Calend 01'!F62+'V06 Calend 01'!G62),0)+IF(AND(('V06 Calend 01'!E62&gt;0),(46&gt;'V06 Calend 01'!C62),(46&lt;'V06 Calend 01'!D62),(MOD((46-'V06 Calend 01'!C62),6)=0),(((46-'V06 Calend 01'!C62)/6)&lt;='V06 Calend 01'!E62)),IF((46=('V06 Calend 01'!C62+(6*'V06 Calend 01'!E62))),('V06 Calend 01'!H62-('V06 Calend 01'!I62*('V06 Calend 01'!E62-1))),'V06 Calend 01'!I62),0))+IF((46='V06 Calend 01'!D62),'V06 Calend 01'!J62,0))</f>
        <v>0</v>
      </c>
      <c r="BG62" s="2">
        <f>((IF((47='V06 Calend 01'!C62),('V06 Calend 01'!F62+'V06 Calend 01'!G62),0)+IF(AND(('V06 Calend 01'!E62&gt;0),(47&gt;'V06 Calend 01'!C62),(47&lt;'V06 Calend 01'!D62),(MOD((47-'V06 Calend 01'!C62),6)=0),(((47-'V06 Calend 01'!C62)/6)&lt;='V06 Calend 01'!E62)),IF((47=('V06 Calend 01'!C62+(6*'V06 Calend 01'!E62))),('V06 Calend 01'!H62-('V06 Calend 01'!I62*('V06 Calend 01'!E62-1))),'V06 Calend 01'!I62),0))+IF((47='V06 Calend 01'!D62),'V06 Calend 01'!J62,0))</f>
        <v>0</v>
      </c>
      <c r="BH62" s="2">
        <f>((IF((48='V06 Calend 01'!C62),('V06 Calend 01'!F62+'V06 Calend 01'!G62),0)+IF(AND(('V06 Calend 01'!E62&gt;0),(48&gt;'V06 Calend 01'!C62),(48&lt;'V06 Calend 01'!D62),(MOD((48-'V06 Calend 01'!C62),6)=0),(((48-'V06 Calend 01'!C62)/6)&lt;='V06 Calend 01'!E62)),IF((48=('V06 Calend 01'!C62+(6*'V06 Calend 01'!E62))),('V06 Calend 01'!H62-('V06 Calend 01'!I62*('V06 Calend 01'!E62-1))),'V06 Calend 01'!I62),0))+IF((48='V06 Calend 01'!D62),'V06 Calend 01'!J62,0))</f>
        <v>0</v>
      </c>
      <c r="BI62" s="2">
        <f>((IF((49='V06 Calend 01'!C62),('V06 Calend 01'!F62+'V06 Calend 01'!G62),0)+IF(AND(('V06 Calend 01'!E62&gt;0),(49&gt;'V06 Calend 01'!C62),(49&lt;'V06 Calend 01'!D62),(MOD((49-'V06 Calend 01'!C62),6)=0),(((49-'V06 Calend 01'!C62)/6)&lt;='V06 Calend 01'!E62)),IF((49=('V06 Calend 01'!C62+(6*'V06 Calend 01'!E62))),('V06 Calend 01'!H62-('V06 Calend 01'!I62*('V06 Calend 01'!E62-1))),'V06 Calend 01'!I62),0))+IF((49='V06 Calend 01'!D62),'V06 Calend 01'!J62,0))</f>
        <v>0</v>
      </c>
      <c r="BJ62" s="2">
        <f>((IF((50='V06 Calend 01'!C62),('V06 Calend 01'!F62+'V06 Calend 01'!G62),0)+IF(AND(('V06 Calend 01'!E62&gt;0),(50&gt;'V06 Calend 01'!C62),(50&lt;'V06 Calend 01'!D62),(MOD((50-'V06 Calend 01'!C62),6)=0),(((50-'V06 Calend 01'!C62)/6)&lt;='V06 Calend 01'!E62)),IF((50=('V06 Calend 01'!C62+(6*'V06 Calend 01'!E62))),('V06 Calend 01'!H62-('V06 Calend 01'!I62*('V06 Calend 01'!E62-1))),'V06 Calend 01'!I62),0))+IF((50='V06 Calend 01'!D62),'V06 Calend 01'!J62,0))</f>
        <v>0</v>
      </c>
      <c r="BK62" s="2">
        <f>((IF((51='V06 Calend 01'!C62),('V06 Calend 01'!F62+'V06 Calend 01'!G62),0)+IF(AND(('V06 Calend 01'!E62&gt;0),(51&gt;'V06 Calend 01'!C62),(51&lt;'V06 Calend 01'!D62),(MOD((51-'V06 Calend 01'!C62),6)=0),(((51-'V06 Calend 01'!C62)/6)&lt;='V06 Calend 01'!E62)),IF((51=('V06 Calend 01'!C62+(6*'V06 Calend 01'!E62))),('V06 Calend 01'!H62-('V06 Calend 01'!I62*('V06 Calend 01'!E62-1))),'V06 Calend 01'!I62),0))+IF((51='V06 Calend 01'!D62),'V06 Calend 01'!J62,0))</f>
        <v>0</v>
      </c>
      <c r="BL62" s="2">
        <f>((IF((52='V06 Calend 01'!C62),('V06 Calend 01'!F62+'V06 Calend 01'!G62),0)+IF(AND(('V06 Calend 01'!E62&gt;0),(52&gt;'V06 Calend 01'!C62),(52&lt;'V06 Calend 01'!D62),(MOD((52-'V06 Calend 01'!C62),6)=0),(((52-'V06 Calend 01'!C62)/6)&lt;='V06 Calend 01'!E62)),IF((52=('V06 Calend 01'!C62+(6*'V06 Calend 01'!E62))),('V06 Calend 01'!H62-('V06 Calend 01'!I62*('V06 Calend 01'!E62-1))),'V06 Calend 01'!I62),0))+IF((52='V06 Calend 01'!D62),'V06 Calend 01'!J62,0))</f>
        <v>0</v>
      </c>
      <c r="BM62" s="2">
        <f>((IF((53='V06 Calend 01'!C62),('V06 Calend 01'!F62+'V06 Calend 01'!G62),0)+IF(AND(('V06 Calend 01'!E62&gt;0),(53&gt;'V06 Calend 01'!C62),(53&lt;'V06 Calend 01'!D62),(MOD((53-'V06 Calend 01'!C62),6)=0),(((53-'V06 Calend 01'!C62)/6)&lt;='V06 Calend 01'!E62)),IF((53=('V06 Calend 01'!C62+(6*'V06 Calend 01'!E62))),('V06 Calend 01'!H62-('V06 Calend 01'!I62*('V06 Calend 01'!E62-1))),'V06 Calend 01'!I62),0))+IF((53='V06 Calend 01'!D62),'V06 Calend 01'!J62,0))</f>
        <v>0</v>
      </c>
      <c r="BN62" s="2">
        <f>((IF((54='V06 Calend 01'!C62),('V06 Calend 01'!F62+'V06 Calend 01'!G62),0)+IF(AND(('V06 Calend 01'!E62&gt;0),(54&gt;'V06 Calend 01'!C62),(54&lt;'V06 Calend 01'!D62),(MOD((54-'V06 Calend 01'!C62),6)=0),(((54-'V06 Calend 01'!C62)/6)&lt;='V06 Calend 01'!E62)),IF((54=('V06 Calend 01'!C62+(6*'V06 Calend 01'!E62))),('V06 Calend 01'!H62-('V06 Calend 01'!I62*('V06 Calend 01'!E62-1))),'V06 Calend 01'!I62),0))+IF((54='V06 Calend 01'!D62),'V06 Calend 01'!J62,0))</f>
        <v>0</v>
      </c>
      <c r="BO62" s="2">
        <f>((IF((55='V06 Calend 01'!C62),('V06 Calend 01'!F62+'V06 Calend 01'!G62),0)+IF(AND(('V06 Calend 01'!E62&gt;0),(55&gt;'V06 Calend 01'!C62),(55&lt;'V06 Calend 01'!D62),(MOD((55-'V06 Calend 01'!C62),6)=0),(((55-'V06 Calend 01'!C62)/6)&lt;='V06 Calend 01'!E62)),IF((55=('V06 Calend 01'!C62+(6*'V06 Calend 01'!E62))),('V06 Calend 01'!H62-('V06 Calend 01'!I62*('V06 Calend 01'!E62-1))),'V06 Calend 01'!I62),0))+IF((55='V06 Calend 01'!D62),'V06 Calend 01'!J62,0))</f>
        <v>0</v>
      </c>
      <c r="BP62" s="2">
        <f>((IF((56='V06 Calend 01'!C62),('V06 Calend 01'!F62+'V06 Calend 01'!G62),0)+IF(AND(('V06 Calend 01'!E62&gt;0),(56&gt;'V06 Calend 01'!C62),(56&lt;'V06 Calend 01'!D62),(MOD((56-'V06 Calend 01'!C62),6)=0),(((56-'V06 Calend 01'!C62)/6)&lt;='V06 Calend 01'!E62)),IF((56=('V06 Calend 01'!C62+(6*'V06 Calend 01'!E62))),('V06 Calend 01'!H62-('V06 Calend 01'!I62*('V06 Calend 01'!E62-1))),'V06 Calend 01'!I62),0))+IF((56='V06 Calend 01'!D62),'V06 Calend 01'!J62,0))</f>
        <v>0</v>
      </c>
      <c r="BQ62" s="2">
        <f>((IF((57='V06 Calend 01'!C62),('V06 Calend 01'!F62+'V06 Calend 01'!G62),0)+IF(AND(('V06 Calend 01'!E62&gt;0),(57&gt;'V06 Calend 01'!C62),(57&lt;'V06 Calend 01'!D62),(MOD((57-'V06 Calend 01'!C62),6)=0),(((57-'V06 Calend 01'!C62)/6)&lt;='V06 Calend 01'!E62)),IF((57=('V06 Calend 01'!C62+(6*'V06 Calend 01'!E62))),('V06 Calend 01'!H62-('V06 Calend 01'!I62*('V06 Calend 01'!E62-1))),'V06 Calend 01'!I62),0))+IF((57='V06 Calend 01'!D62),'V06 Calend 01'!J62,0))</f>
        <v>0</v>
      </c>
      <c r="BR62" s="2">
        <f>((IF((58='V06 Calend 01'!C62),('V06 Calend 01'!F62+'V06 Calend 01'!G62),0)+IF(AND(('V06 Calend 01'!E62&gt;0),(58&gt;'V06 Calend 01'!C62),(58&lt;'V06 Calend 01'!D62),(MOD((58-'V06 Calend 01'!C62),6)=0),(((58-'V06 Calend 01'!C62)/6)&lt;='V06 Calend 01'!E62)),IF((58=('V06 Calend 01'!C62+(6*'V06 Calend 01'!E62))),('V06 Calend 01'!H62-('V06 Calend 01'!I62*('V06 Calend 01'!E62-1))),'V06 Calend 01'!I62),0))+IF((58='V06 Calend 01'!D62),'V06 Calend 01'!J62,0))</f>
        <v>0</v>
      </c>
      <c r="BS62" s="2">
        <f>((IF((59='V06 Calend 01'!C62),('V06 Calend 01'!F62+'V06 Calend 01'!G62),0)+IF(AND(('V06 Calend 01'!E62&gt;0),(59&gt;'V06 Calend 01'!C62),(59&lt;'V06 Calend 01'!D62),(MOD((59-'V06 Calend 01'!C62),6)=0),(((59-'V06 Calend 01'!C62)/6)&lt;='V06 Calend 01'!E62)),IF((59=('V06 Calend 01'!C62+(6*'V06 Calend 01'!E62))),('V06 Calend 01'!H62-('V06 Calend 01'!I62*('V06 Calend 01'!E62-1))),'V06 Calend 01'!I62),0))+IF((59='V06 Calend 01'!D62),'V06 Calend 01'!J62,0))</f>
        <v>0</v>
      </c>
      <c r="BT62" s="2">
        <f>((IF((60='V06 Calend 01'!C62),('V06 Calend 01'!F62+'V06 Calend 01'!G62),0)+IF(AND(('V06 Calend 01'!E62&gt;0),(60&gt;'V06 Calend 01'!C62),(60&lt;'V06 Calend 01'!D62),(MOD((60-'V06 Calend 01'!C62),6)=0),(((60-'V06 Calend 01'!C62)/6)&lt;='V06 Calend 01'!E62)),IF((60=('V06 Calend 01'!C62+(6*'V06 Calend 01'!E62))),('V06 Calend 01'!H62-('V06 Calend 01'!I62*('V06 Calend 01'!E62-1))),'V06 Calend 01'!I62),0))+IF((60='V06 Calend 01'!D62),'V06 Calend 01'!J62,0))</f>
        <v>0</v>
      </c>
      <c r="BU62" s="2">
        <f>((IF((61='V06 Calend 01'!C62),('V06 Calend 01'!F62+'V06 Calend 01'!G62),0)+IF(AND(('V06 Calend 01'!E62&gt;0),(61&gt;'V06 Calend 01'!C62),(61&lt;'V06 Calend 01'!D62),(MOD((61-'V06 Calend 01'!C62),6)=0),(((61-'V06 Calend 01'!C62)/6)&lt;='V06 Calend 01'!E62)),IF((61=('V06 Calend 01'!C62+(6*'V06 Calend 01'!E62))),('V06 Calend 01'!H62-('V06 Calend 01'!I62*('V06 Calend 01'!E62-1))),'V06 Calend 01'!I62),0))+IF((61='V06 Calend 01'!D62),'V06 Calend 01'!J62,0))</f>
        <v>0</v>
      </c>
      <c r="BV62" s="2">
        <f>((IF((62='V06 Calend 01'!C62),('V06 Calend 01'!F62+'V06 Calend 01'!G62),0)+IF(AND(('V06 Calend 01'!E62&gt;0),(62&gt;'V06 Calend 01'!C62),(62&lt;'V06 Calend 01'!D62),(MOD((62-'V06 Calend 01'!C62),6)=0),(((62-'V06 Calend 01'!C62)/6)&lt;='V06 Calend 01'!E62)),IF((62=('V06 Calend 01'!C62+(6*'V06 Calend 01'!E62))),('V06 Calend 01'!H62-('V06 Calend 01'!I62*('V06 Calend 01'!E62-1))),'V06 Calend 01'!I62),0))+IF((62='V06 Calend 01'!D62),'V06 Calend 01'!J62,0))</f>
        <v>0</v>
      </c>
      <c r="BW62" s="2">
        <f>((IF((63='V06 Calend 01'!C62),('V06 Calend 01'!F62+'V06 Calend 01'!G62),0)+IF(AND(('V06 Calend 01'!E62&gt;0),(63&gt;'V06 Calend 01'!C62),(63&lt;'V06 Calend 01'!D62),(MOD((63-'V06 Calend 01'!C62),6)=0),(((63-'V06 Calend 01'!C62)/6)&lt;='V06 Calend 01'!E62)),IF((63=('V06 Calend 01'!C62+(6*'V06 Calend 01'!E62))),('V06 Calend 01'!H62-('V06 Calend 01'!I62*('V06 Calend 01'!E62-1))),'V06 Calend 01'!I62),0))+IF((63='V06 Calend 01'!D62),'V06 Calend 01'!J62,0))</f>
        <v>0</v>
      </c>
      <c r="BX62" s="2">
        <f>((IF((64='V06 Calend 01'!C62),('V06 Calend 01'!F62+'V06 Calend 01'!G62),0)+IF(AND(('V06 Calend 01'!E62&gt;0),(64&gt;'V06 Calend 01'!C62),(64&lt;'V06 Calend 01'!D62),(MOD((64-'V06 Calend 01'!C62),6)=0),(((64-'V06 Calend 01'!C62)/6)&lt;='V06 Calend 01'!E62)),IF((64=('V06 Calend 01'!C62+(6*'V06 Calend 01'!E62))),('V06 Calend 01'!H62-('V06 Calend 01'!I62*('V06 Calend 01'!E62-1))),'V06 Calend 01'!I62),0))+IF((64='V06 Calend 01'!D62),'V06 Calend 01'!J62,0))</f>
        <v>0</v>
      </c>
      <c r="BY62" s="2">
        <f>((IF((65='V06 Calend 01'!C62),('V06 Calend 01'!F62+'V06 Calend 01'!G62),0)+IF(AND(('V06 Calend 01'!E62&gt;0),(65&gt;'V06 Calend 01'!C62),(65&lt;'V06 Calend 01'!D62),(MOD((65-'V06 Calend 01'!C62),6)=0),(((65-'V06 Calend 01'!C62)/6)&lt;='V06 Calend 01'!E62)),IF((65=('V06 Calend 01'!C62+(6*'V06 Calend 01'!E62))),('V06 Calend 01'!H62-('V06 Calend 01'!I62*('V06 Calend 01'!E62-1))),'V06 Calend 01'!I62),0))+IF((65='V06 Calend 01'!D62),'V06 Calend 01'!J62,0))</f>
        <v>0</v>
      </c>
      <c r="BZ62" s="2">
        <f>((IF((66='V06 Calend 01'!C62),('V06 Calend 01'!F62+'V06 Calend 01'!G62),0)+IF(AND(('V06 Calend 01'!E62&gt;0),(66&gt;'V06 Calend 01'!C62),(66&lt;'V06 Calend 01'!D62),(MOD((66-'V06 Calend 01'!C62),6)=0),(((66-'V06 Calend 01'!C62)/6)&lt;='V06 Calend 01'!E62)),IF((66=('V06 Calend 01'!C62+(6*'V06 Calend 01'!E62))),('V06 Calend 01'!H62-('V06 Calend 01'!I62*('V06 Calend 01'!E62-1))),'V06 Calend 01'!I62),0))+IF((66='V06 Calend 01'!D62),'V06 Calend 01'!J62,0))</f>
        <v>0</v>
      </c>
      <c r="CA62" s="2">
        <f>((IF((67='V06 Calend 01'!C62),('V06 Calend 01'!F62+'V06 Calend 01'!G62),0)+IF(AND(('V06 Calend 01'!E62&gt;0),(67&gt;'V06 Calend 01'!C62),(67&lt;'V06 Calend 01'!D62),(MOD((67-'V06 Calend 01'!C62),6)=0),(((67-'V06 Calend 01'!C62)/6)&lt;='V06 Calend 01'!E62)),IF((67=('V06 Calend 01'!C62+(6*'V06 Calend 01'!E62))),('V06 Calend 01'!H62-('V06 Calend 01'!I62*('V06 Calend 01'!E62-1))),'V06 Calend 01'!I62),0))+IF((67='V06 Calend 01'!D62),'V06 Calend 01'!J62,0))</f>
        <v>0</v>
      </c>
      <c r="CB62" s="2">
        <f>((IF((68='V06 Calend 01'!C62),('V06 Calend 01'!F62+'V06 Calend 01'!G62),0)+IF(AND(('V06 Calend 01'!E62&gt;0),(68&gt;'V06 Calend 01'!C62),(68&lt;'V06 Calend 01'!D62),(MOD((68-'V06 Calend 01'!C62),6)=0),(((68-'V06 Calend 01'!C62)/6)&lt;='V06 Calend 01'!E62)),IF((68=('V06 Calend 01'!C62+(6*'V06 Calend 01'!E62))),('V06 Calend 01'!H62-('V06 Calend 01'!I62*('V06 Calend 01'!E62-1))),'V06 Calend 01'!I62),0))+IF((68='V06 Calend 01'!D62),'V06 Calend 01'!J62,0))</f>
        <v>0</v>
      </c>
      <c r="CC62" s="2">
        <f>((IF((69='V06 Calend 01'!C62),('V06 Calend 01'!F62+'V06 Calend 01'!G62),0)+IF(AND(('V06 Calend 01'!E62&gt;0),(69&gt;'V06 Calend 01'!C62),(69&lt;'V06 Calend 01'!D62),(MOD((69-'V06 Calend 01'!C62),6)=0),(((69-'V06 Calend 01'!C62)/6)&lt;='V06 Calend 01'!E62)),IF((69=('V06 Calend 01'!C62+(6*'V06 Calend 01'!E62))),('V06 Calend 01'!H62-('V06 Calend 01'!I62*('V06 Calend 01'!E62-1))),'V06 Calend 01'!I62),0))+IF((69='V06 Calend 01'!D62),'V06 Calend 01'!J62,0))</f>
        <v>0</v>
      </c>
      <c r="CD62" s="2">
        <f>((IF((70='V06 Calend 01'!C62),('V06 Calend 01'!F62+'V06 Calend 01'!G62),0)+IF(AND(('V06 Calend 01'!E62&gt;0),(70&gt;'V06 Calend 01'!C62),(70&lt;'V06 Calend 01'!D62),(MOD((70-'V06 Calend 01'!C62),6)=0),(((70-'V06 Calend 01'!C62)/6)&lt;='V06 Calend 01'!E62)),IF((70=('V06 Calend 01'!C62+(6*'V06 Calend 01'!E62))),('V06 Calend 01'!H62-('V06 Calend 01'!I62*('V06 Calend 01'!E62-1))),'V06 Calend 01'!I62),0))+IF((70='V06 Calend 01'!D62),'V06 Calend 01'!J62,0))</f>
        <v>0</v>
      </c>
      <c r="CE62" s="2">
        <f>((IF((71='V06 Calend 01'!C62),('V06 Calend 01'!F62+'V06 Calend 01'!G62),0)+IF(AND(('V06 Calend 01'!E62&gt;0),(71&gt;'V06 Calend 01'!C62),(71&lt;'V06 Calend 01'!D62),(MOD((71-'V06 Calend 01'!C62),6)=0),(((71-'V06 Calend 01'!C62)/6)&lt;='V06 Calend 01'!E62)),IF((71=('V06 Calend 01'!C62+(6*'V06 Calend 01'!E62))),('V06 Calend 01'!H62-('V06 Calend 01'!I62*('V06 Calend 01'!E62-1))),'V06 Calend 01'!I62),0))+IF((71='V06 Calend 01'!D62),'V06 Calend 01'!J62,0))</f>
        <v>0</v>
      </c>
      <c r="CF62" s="2">
        <f>((IF((72='V06 Calend 01'!C62),('V06 Calend 01'!F62+'V06 Calend 01'!G62),0)+IF(AND(('V06 Calend 01'!E62&gt;0),(72&gt;'V06 Calend 01'!C62),(72&lt;'V06 Calend 01'!D62),(MOD((72-'V06 Calend 01'!C62),6)=0),(((72-'V06 Calend 01'!C62)/6)&lt;='V06 Calend 01'!E62)),IF((72=('V06 Calend 01'!C62+(6*'V06 Calend 01'!E62))),('V06 Calend 01'!H62-('V06 Calend 01'!I62*('V06 Calend 01'!E62-1))),'V06 Calend 01'!I62),0))+IF((72='V06 Calend 01'!D62),'V06 Calend 01'!J62,0))</f>
        <v>0</v>
      </c>
      <c r="CG62" s="2">
        <f>((IF((73='V06 Calend 01'!C62),('V06 Calend 01'!F62+'V06 Calend 01'!G62),0)+IF(AND(('V06 Calend 01'!E62&gt;0),(73&gt;'V06 Calend 01'!C62),(73&lt;'V06 Calend 01'!D62),(MOD((73-'V06 Calend 01'!C62),6)=0),(((73-'V06 Calend 01'!C62)/6)&lt;='V06 Calend 01'!E62)),IF((73=('V06 Calend 01'!C62+(6*'V06 Calend 01'!E62))),('V06 Calend 01'!H62-('V06 Calend 01'!I62*('V06 Calend 01'!E62-1))),'V06 Calend 01'!I62),0))+IF((73='V06 Calend 01'!D62),'V06 Calend 01'!J62,0))</f>
        <v>0</v>
      </c>
      <c r="CH62" s="2">
        <f>((IF((74='V06 Calend 01'!C62),('V06 Calend 01'!F62+'V06 Calend 01'!G62),0)+IF(AND(('V06 Calend 01'!E62&gt;0),(74&gt;'V06 Calend 01'!C62),(74&lt;'V06 Calend 01'!D62),(MOD((74-'V06 Calend 01'!C62),6)=0),(((74-'V06 Calend 01'!C62)/6)&lt;='V06 Calend 01'!E62)),IF((74=('V06 Calend 01'!C62+(6*'V06 Calend 01'!E62))),('V06 Calend 01'!H62-('V06 Calend 01'!I62*('V06 Calend 01'!E62-1))),'V06 Calend 01'!I62),0))+IF((74='V06 Calend 01'!D62),'V06 Calend 01'!J62,0))</f>
        <v>0</v>
      </c>
      <c r="CI62" s="2">
        <f>((IF((75='V06 Calend 01'!C62),('V06 Calend 01'!F62+'V06 Calend 01'!G62),0)+IF(AND(('V06 Calend 01'!E62&gt;0),(75&gt;'V06 Calend 01'!C62),(75&lt;'V06 Calend 01'!D62),(MOD((75-'V06 Calend 01'!C62),6)=0),(((75-'V06 Calend 01'!C62)/6)&lt;='V06 Calend 01'!E62)),IF((75=('V06 Calend 01'!C62+(6*'V06 Calend 01'!E62))),('V06 Calend 01'!H62-('V06 Calend 01'!I62*('V06 Calend 01'!E62-1))),'V06 Calend 01'!I62),0))+IF((75='V06 Calend 01'!D62),'V06 Calend 01'!J62,0))</f>
        <v>0</v>
      </c>
      <c r="CJ62" s="2">
        <f>((IF((76='V06 Calend 01'!C62),('V06 Calend 01'!F62+'V06 Calend 01'!G62),0)+IF(AND(('V06 Calend 01'!E62&gt;0),(76&gt;'V06 Calend 01'!C62),(76&lt;'V06 Calend 01'!D62),(MOD((76-'V06 Calend 01'!C62),6)=0),(((76-'V06 Calend 01'!C62)/6)&lt;='V06 Calend 01'!E62)),IF((76=('V06 Calend 01'!C62+(6*'V06 Calend 01'!E62))),('V06 Calend 01'!H62-('V06 Calend 01'!I62*('V06 Calend 01'!E62-1))),'V06 Calend 01'!I62),0))+IF((76='V06 Calend 01'!D62),'V06 Calend 01'!J62,0))</f>
        <v>0</v>
      </c>
      <c r="CK62" s="2">
        <f>((IF((77='V06 Calend 01'!C62),('V06 Calend 01'!F62+'V06 Calend 01'!G62),0)+IF(AND(('V06 Calend 01'!E62&gt;0),(77&gt;'V06 Calend 01'!C62),(77&lt;'V06 Calend 01'!D62),(MOD((77-'V06 Calend 01'!C62),6)=0),(((77-'V06 Calend 01'!C62)/6)&lt;='V06 Calend 01'!E62)),IF((77=('V06 Calend 01'!C62+(6*'V06 Calend 01'!E62))),('V06 Calend 01'!H62-('V06 Calend 01'!I62*('V06 Calend 01'!E62-1))),'V06 Calend 01'!I62),0))+IF((77='V06 Calend 01'!D62),'V06 Calend 01'!J62,0))</f>
        <v>0</v>
      </c>
      <c r="CL62" s="2">
        <f>((IF((78='V06 Calend 01'!C62),('V06 Calend 01'!F62+'V06 Calend 01'!G62),0)+IF(AND(('V06 Calend 01'!E62&gt;0),(78&gt;'V06 Calend 01'!C62),(78&lt;'V06 Calend 01'!D62),(MOD((78-'V06 Calend 01'!C62),6)=0),(((78-'V06 Calend 01'!C62)/6)&lt;='V06 Calend 01'!E62)),IF((78=('V06 Calend 01'!C62+(6*'V06 Calend 01'!E62))),('V06 Calend 01'!H62-('V06 Calend 01'!I62*('V06 Calend 01'!E62-1))),'V06 Calend 01'!I62),0))+IF((78='V06 Calend 01'!D62),'V06 Calend 01'!J62,0))</f>
        <v>0</v>
      </c>
      <c r="CM62" s="2">
        <f>((IF((79='V06 Calend 01'!C62),('V06 Calend 01'!F62+'V06 Calend 01'!G62),0)+IF(AND(('V06 Calend 01'!E62&gt;0),(79&gt;'V06 Calend 01'!C62),(79&lt;'V06 Calend 01'!D62),(MOD((79-'V06 Calend 01'!C62),6)=0),(((79-'V06 Calend 01'!C62)/6)&lt;='V06 Calend 01'!E62)),IF((79=('V06 Calend 01'!C62+(6*'V06 Calend 01'!E62))),('V06 Calend 01'!H62-('V06 Calend 01'!I62*('V06 Calend 01'!E62-1))),'V06 Calend 01'!I62),0))+IF((79='V06 Calend 01'!D62),'V06 Calend 01'!J62,0))</f>
        <v>0</v>
      </c>
      <c r="CN62" s="2">
        <f>((IF((80='V06 Calend 01'!C62),('V06 Calend 01'!F62+'V06 Calend 01'!G62),0)+IF(AND(('V06 Calend 01'!E62&gt;0),(80&gt;'V06 Calend 01'!C62),(80&lt;'V06 Calend 01'!D62),(MOD((80-'V06 Calend 01'!C62),6)=0),(((80-'V06 Calend 01'!C62)/6)&lt;='V06 Calend 01'!E62)),IF((80=('V06 Calend 01'!C62+(6*'V06 Calend 01'!E62))),('V06 Calend 01'!H62-('V06 Calend 01'!I62*('V06 Calend 01'!E62-1))),'V06 Calend 01'!I62),0))+IF((80='V06 Calend 01'!D62),'V06 Calend 01'!J62,0))</f>
        <v>0</v>
      </c>
      <c r="CO62" s="2">
        <f>((IF((81='V06 Calend 01'!C62),('V06 Calend 01'!F62+'V06 Calend 01'!G62),0)+IF(AND(('V06 Calend 01'!E62&gt;0),(81&gt;'V06 Calend 01'!C62),(81&lt;'V06 Calend 01'!D62),(MOD((81-'V06 Calend 01'!C62),6)=0),(((81-'V06 Calend 01'!C62)/6)&lt;='V06 Calend 01'!E62)),IF((81=('V06 Calend 01'!C62+(6*'V06 Calend 01'!E62))),('V06 Calend 01'!H62-('V06 Calend 01'!I62*('V06 Calend 01'!E62-1))),'V06 Calend 01'!I62),0))+IF((81='V06 Calend 01'!D62),'V06 Calend 01'!J62,0))</f>
        <v>0</v>
      </c>
      <c r="CP62" s="2">
        <f>((IF((82='V06 Calend 01'!C62),('V06 Calend 01'!F62+'V06 Calend 01'!G62),0)+IF(AND(('V06 Calend 01'!E62&gt;0),(82&gt;'V06 Calend 01'!C62),(82&lt;'V06 Calend 01'!D62),(MOD((82-'V06 Calend 01'!C62),6)=0),(((82-'V06 Calend 01'!C62)/6)&lt;='V06 Calend 01'!E62)),IF((82=('V06 Calend 01'!C62+(6*'V06 Calend 01'!E62))),('V06 Calend 01'!H62-('V06 Calend 01'!I62*('V06 Calend 01'!E62-1))),'V06 Calend 01'!I62),0))+IF((82='V06 Calend 01'!D62),'V06 Calend 01'!J62,0))</f>
        <v>0</v>
      </c>
      <c r="CQ62" s="2">
        <f>((IF((83='V06 Calend 01'!C62),('V06 Calend 01'!F62+'V06 Calend 01'!G62),0)+IF(AND(('V06 Calend 01'!E62&gt;0),(83&gt;'V06 Calend 01'!C62),(83&lt;'V06 Calend 01'!D62),(MOD((83-'V06 Calend 01'!C62),6)=0),(((83-'V06 Calend 01'!C62)/6)&lt;='V06 Calend 01'!E62)),IF((83=('V06 Calend 01'!C62+(6*'V06 Calend 01'!E62))),('V06 Calend 01'!H62-('V06 Calend 01'!I62*('V06 Calend 01'!E62-1))),'V06 Calend 01'!I62),0))+IF((83='V06 Calend 01'!D62),'V06 Calend 01'!J62,0))</f>
        <v>0</v>
      </c>
      <c r="CR62" s="2">
        <f>((IF((84='V06 Calend 01'!C62),('V06 Calend 01'!F62+'V06 Calend 01'!G62),0)+IF(AND(('V06 Calend 01'!E62&gt;0),(84&gt;'V06 Calend 01'!C62),(84&lt;'V06 Calend 01'!D62),(MOD((84-'V06 Calend 01'!C62),6)=0),(((84-'V06 Calend 01'!C62)/6)&lt;='V06 Calend 01'!E62)),IF((84=('V06 Calend 01'!C62+(6*'V06 Calend 01'!E62))),('V06 Calend 01'!H62-('V06 Calend 01'!I62*('V06 Calend 01'!E62-1))),'V06 Calend 01'!I62),0))+IF((84='V06 Calend 01'!D62),'V06 Calend 01'!J62,0))</f>
        <v>0</v>
      </c>
      <c r="CS62" s="2">
        <f>((IF((85='V06 Calend 01'!C62),('V06 Calend 01'!F62+'V06 Calend 01'!G62),0)+IF(AND(('V06 Calend 01'!E62&gt;0),(85&gt;'V06 Calend 01'!C62),(85&lt;'V06 Calend 01'!D62),(MOD((85-'V06 Calend 01'!C62),6)=0),(((85-'V06 Calend 01'!C62)/6)&lt;='V06 Calend 01'!E62)),IF((85=('V06 Calend 01'!C62+(6*'V06 Calend 01'!E62))),('V06 Calend 01'!H62-('V06 Calend 01'!I62*('V06 Calend 01'!E62-1))),'V06 Calend 01'!I62),0))+IF((85='V06 Calend 01'!D62),'V06 Calend 01'!J62,0))</f>
        <v>0</v>
      </c>
      <c r="CT62" s="2">
        <f>((IF((86='V06 Calend 01'!C62),('V06 Calend 01'!F62+'V06 Calend 01'!G62),0)+IF(AND(('V06 Calend 01'!E62&gt;0),(86&gt;'V06 Calend 01'!C62),(86&lt;'V06 Calend 01'!D62),(MOD((86-'V06 Calend 01'!C62),6)=0),(((86-'V06 Calend 01'!C62)/6)&lt;='V06 Calend 01'!E62)),IF((86=('V06 Calend 01'!C62+(6*'V06 Calend 01'!E62))),('V06 Calend 01'!H62-('V06 Calend 01'!I62*('V06 Calend 01'!E62-1))),'V06 Calend 01'!I62),0))+IF((86='V06 Calend 01'!D62),'V06 Calend 01'!J62,0))</f>
        <v>0</v>
      </c>
      <c r="CU62" s="2">
        <f>((IF((87='V06 Calend 01'!C62),('V06 Calend 01'!F62+'V06 Calend 01'!G62),0)+IF(AND(('V06 Calend 01'!E62&gt;0),(87&gt;'V06 Calend 01'!C62),(87&lt;'V06 Calend 01'!D62),(MOD((87-'V06 Calend 01'!C62),6)=0),(((87-'V06 Calend 01'!C62)/6)&lt;='V06 Calend 01'!E62)),IF((87=('V06 Calend 01'!C62+(6*'V06 Calend 01'!E62))),('V06 Calend 01'!H62-('V06 Calend 01'!I62*('V06 Calend 01'!E62-1))),'V06 Calend 01'!I62),0))+IF((87='V06 Calend 01'!D62),'V06 Calend 01'!J62,0))</f>
        <v>0</v>
      </c>
      <c r="CV62" s="2">
        <f>((IF((88='V06 Calend 01'!C62),('V06 Calend 01'!F62+'V06 Calend 01'!G62),0)+IF(AND(('V06 Calend 01'!E62&gt;0),(88&gt;'V06 Calend 01'!C62),(88&lt;'V06 Calend 01'!D62),(MOD((88-'V06 Calend 01'!C62),6)=0),(((88-'V06 Calend 01'!C62)/6)&lt;='V06 Calend 01'!E62)),IF((88=('V06 Calend 01'!C62+(6*'V06 Calend 01'!E62))),('V06 Calend 01'!H62-('V06 Calend 01'!I62*('V06 Calend 01'!E62-1))),'V06 Calend 01'!I62),0))+IF((88='V06 Calend 01'!D62),'V06 Calend 01'!J62,0))</f>
        <v>0</v>
      </c>
      <c r="CW62" s="2">
        <f>((IF((89='V06 Calend 01'!C62),('V06 Calend 01'!F62+'V06 Calend 01'!G62),0)+IF(AND(('V06 Calend 01'!E62&gt;0),(89&gt;'V06 Calend 01'!C62),(89&lt;'V06 Calend 01'!D62),(MOD((89-'V06 Calend 01'!C62),6)=0),(((89-'V06 Calend 01'!C62)/6)&lt;='V06 Calend 01'!E62)),IF((89=('V06 Calend 01'!C62+(6*'V06 Calend 01'!E62))),('V06 Calend 01'!H62-('V06 Calend 01'!I62*('V06 Calend 01'!E62-1))),'V06 Calend 01'!I62),0))+IF((89='V06 Calend 01'!D62),'V06 Calend 01'!J62,0))</f>
        <v>0</v>
      </c>
      <c r="CX62" s="2">
        <f>((IF((90='V06 Calend 01'!C62),('V06 Calend 01'!F62+'V06 Calend 01'!G62),0)+IF(AND(('V06 Calend 01'!E62&gt;0),(90&gt;'V06 Calend 01'!C62),(90&lt;'V06 Calend 01'!D62),(MOD((90-'V06 Calend 01'!C62),6)=0),(((90-'V06 Calend 01'!C62)/6)&lt;='V06 Calend 01'!E62)),IF((90=('V06 Calend 01'!C62+(6*'V06 Calend 01'!E62))),('V06 Calend 01'!H62-('V06 Calend 01'!I62*('V06 Calend 01'!E62-1))),'V06 Calend 01'!I62),0))+IF((90='V06 Calend 01'!D62),'V06 Calend 01'!J62,0))</f>
        <v>0</v>
      </c>
      <c r="CY62" s="2">
        <f>((IF((91='V06 Calend 01'!C62),('V06 Calend 01'!F62+'V06 Calend 01'!G62),0)+IF(AND(('V06 Calend 01'!E62&gt;0),(91&gt;'V06 Calend 01'!C62),(91&lt;'V06 Calend 01'!D62),(MOD((91-'V06 Calend 01'!C62),6)=0),(((91-'V06 Calend 01'!C62)/6)&lt;='V06 Calend 01'!E62)),IF((91=('V06 Calend 01'!C62+(6*'V06 Calend 01'!E62))),('V06 Calend 01'!H62-('V06 Calend 01'!I62*('V06 Calend 01'!E62-1))),'V06 Calend 01'!I62),0))+IF((91='V06 Calend 01'!D62),'V06 Calend 01'!J62,0))</f>
        <v>0</v>
      </c>
      <c r="CZ62" s="2">
        <f>((IF((92='V06 Calend 01'!C62),('V06 Calend 01'!F62+'V06 Calend 01'!G62),0)+IF(AND(('V06 Calend 01'!E62&gt;0),(92&gt;'V06 Calend 01'!C62),(92&lt;'V06 Calend 01'!D62),(MOD((92-'V06 Calend 01'!C62),6)=0),(((92-'V06 Calend 01'!C62)/6)&lt;='V06 Calend 01'!E62)),IF((92=('V06 Calend 01'!C62+(6*'V06 Calend 01'!E62))),('V06 Calend 01'!H62-('V06 Calend 01'!I62*('V06 Calend 01'!E62-1))),'V06 Calend 01'!I62),0))+IF((92='V06 Calend 01'!D62),'V06 Calend 01'!J62,0))</f>
        <v>0</v>
      </c>
      <c r="DA62" s="2">
        <f>((IF((93='V06 Calend 01'!C62),('V06 Calend 01'!F62+'V06 Calend 01'!G62),0)+IF(AND(('V06 Calend 01'!E62&gt;0),(93&gt;'V06 Calend 01'!C62),(93&lt;'V06 Calend 01'!D62),(MOD((93-'V06 Calend 01'!C62),6)=0),(((93-'V06 Calend 01'!C62)/6)&lt;='V06 Calend 01'!E62)),IF((93=('V06 Calend 01'!C62+(6*'V06 Calend 01'!E62))),('V06 Calend 01'!H62-('V06 Calend 01'!I62*('V06 Calend 01'!E62-1))),'V06 Calend 01'!I62),0))+IF((93='V06 Calend 01'!D62),'V06 Calend 01'!J62,0))</f>
        <v>0</v>
      </c>
      <c r="DB62" s="2">
        <f>((IF((94='V06 Calend 01'!C62),('V06 Calend 01'!F62+'V06 Calend 01'!G62),0)+IF(AND(('V06 Calend 01'!E62&gt;0),(94&gt;'V06 Calend 01'!C62),(94&lt;'V06 Calend 01'!D62),(MOD((94-'V06 Calend 01'!C62),6)=0),(((94-'V06 Calend 01'!C62)/6)&lt;='V06 Calend 01'!E62)),IF((94=('V06 Calend 01'!C62+(6*'V06 Calend 01'!E62))),('V06 Calend 01'!H62-('V06 Calend 01'!I62*('V06 Calend 01'!E62-1))),'V06 Calend 01'!I62),0))+IF((94='V06 Calend 01'!D62),'V06 Calend 01'!J62,0))</f>
        <v>0</v>
      </c>
      <c r="DC62" s="2">
        <f>((IF((95='V06 Calend 01'!C62),('V06 Calend 01'!F62+'V06 Calend 01'!G62),0)+IF(AND(('V06 Calend 01'!E62&gt;0),(95&gt;'V06 Calend 01'!C62),(95&lt;'V06 Calend 01'!D62),(MOD((95-'V06 Calend 01'!C62),6)=0),(((95-'V06 Calend 01'!C62)/6)&lt;='V06 Calend 01'!E62)),IF((95=('V06 Calend 01'!C62+(6*'V06 Calend 01'!E62))),('V06 Calend 01'!H62-('V06 Calend 01'!I62*('V06 Calend 01'!E62-1))),'V06 Calend 01'!I62),0))+IF((95='V06 Calend 01'!D62),'V06 Calend 01'!J62,0))</f>
        <v>0</v>
      </c>
      <c r="DD62" s="2">
        <f>((IF((96='V06 Calend 01'!C62),('V06 Calend 01'!F62+'V06 Calend 01'!G62),0)+IF(AND(('V06 Calend 01'!E62&gt;0),(96&gt;'V06 Calend 01'!C62),(96&lt;'V06 Calend 01'!D62),(MOD((96-'V06 Calend 01'!C62),6)=0),(((96-'V06 Calend 01'!C62)/6)&lt;='V06 Calend 01'!E62)),IF((96=('V06 Calend 01'!C62+(6*'V06 Calend 01'!E62))),('V06 Calend 01'!H62-('V06 Calend 01'!I62*('V06 Calend 01'!E62-1))),'V06 Calend 01'!I62),0))+IF((96='V06 Calend 01'!D62),'V06 Calend 01'!J62,0))</f>
        <v>0</v>
      </c>
      <c r="DE62" s="2">
        <f>((IF((97='V06 Calend 01'!C62),('V06 Calend 01'!F62+'V06 Calend 01'!G62),0)+IF(AND(('V06 Calend 01'!E62&gt;0),(97&gt;'V06 Calend 01'!C62),(97&lt;'V06 Calend 01'!D62),(MOD((97-'V06 Calend 01'!C62),6)=0),(((97-'V06 Calend 01'!C62)/6)&lt;='V06 Calend 01'!E62)),IF((97=('V06 Calend 01'!C62+(6*'V06 Calend 01'!E62))),('V06 Calend 01'!H62-('V06 Calend 01'!I62*('V06 Calend 01'!E62-1))),'V06 Calend 01'!I62),0))+IF((97='V06 Calend 01'!D62),'V06 Calend 01'!J62,0))</f>
        <v>0</v>
      </c>
      <c r="DF62" s="2">
        <f>((IF((98='V06 Calend 01'!C62),('V06 Calend 01'!F62+'V06 Calend 01'!G62),0)+IF(AND(('V06 Calend 01'!E62&gt;0),(98&gt;'V06 Calend 01'!C62),(98&lt;'V06 Calend 01'!D62),(MOD((98-'V06 Calend 01'!C62),6)=0),(((98-'V06 Calend 01'!C62)/6)&lt;='V06 Calend 01'!E62)),IF((98=('V06 Calend 01'!C62+(6*'V06 Calend 01'!E62))),('V06 Calend 01'!H62-('V06 Calend 01'!I62*('V06 Calend 01'!E62-1))),'V06 Calend 01'!I62),0))+IF((98='V06 Calend 01'!D62),'V06 Calend 01'!J62,0))</f>
        <v>0</v>
      </c>
      <c r="DG62" s="2">
        <f>((IF((99='V06 Calend 01'!C62),('V06 Calend 01'!F62+'V06 Calend 01'!G62),0)+IF(AND(('V06 Calend 01'!E62&gt;0),(99&gt;'V06 Calend 01'!C62),(99&lt;'V06 Calend 01'!D62),(MOD((99-'V06 Calend 01'!C62),6)=0),(((99-'V06 Calend 01'!C62)/6)&lt;='V06 Calend 01'!E62)),IF((99=('V06 Calend 01'!C62+(6*'V06 Calend 01'!E62))),('V06 Calend 01'!H62-('V06 Calend 01'!I62*('V06 Calend 01'!E62-1))),'V06 Calend 01'!I62),0))+IF((99='V06 Calend 01'!D62),'V06 Calend 01'!J62,0))</f>
        <v>0</v>
      </c>
      <c r="DH62" s="2">
        <f>((IF((100='V06 Calend 01'!C62),('V06 Calend 01'!F62+'V06 Calend 01'!G62),0)+IF(AND(('V06 Calend 01'!E62&gt;0),(100&gt;'V06 Calend 01'!C62),(100&lt;'V06 Calend 01'!D62),(MOD((100-'V06 Calend 01'!C62),6)=0),(((100-'V06 Calend 01'!C62)/6)&lt;='V06 Calend 01'!E62)),IF((100=('V06 Calend 01'!C62+(6*'V06 Calend 01'!E62))),('V06 Calend 01'!H62-('V06 Calend 01'!I62*('V06 Calend 01'!E62-1))),'V06 Calend 01'!I62),0))+IF((100='V06 Calend 01'!D62),'V06 Calend 01'!J62,0))</f>
        <v>0</v>
      </c>
      <c r="DI62" s="2">
        <f>((IF((101='V06 Calend 01'!C62),('V06 Calend 01'!F62+'V06 Calend 01'!G62),0)+IF(AND(('V06 Calend 01'!E62&gt;0),(101&gt;'V06 Calend 01'!C62),(101&lt;'V06 Calend 01'!D62),(MOD((101-'V06 Calend 01'!C62),6)=0),(((101-'V06 Calend 01'!C62)/6)&lt;='V06 Calend 01'!E62)),IF((101=('V06 Calend 01'!C62+(6*'V06 Calend 01'!E62))),('V06 Calend 01'!H62-('V06 Calend 01'!I62*('V06 Calend 01'!E62-1))),'V06 Calend 01'!I62),0))+IF((101='V06 Calend 01'!D62),'V06 Calend 01'!J62,0))</f>
        <v>0</v>
      </c>
      <c r="DJ62" s="2">
        <f>((IF((102='V06 Calend 01'!C62),('V06 Calend 01'!F62+'V06 Calend 01'!G62),0)+IF(AND(('V06 Calend 01'!E62&gt;0),(102&gt;'V06 Calend 01'!C62),(102&lt;'V06 Calend 01'!D62),(MOD((102-'V06 Calend 01'!C62),6)=0),(((102-'V06 Calend 01'!C62)/6)&lt;='V06 Calend 01'!E62)),IF((102=('V06 Calend 01'!C62+(6*'V06 Calend 01'!E62))),('V06 Calend 01'!H62-('V06 Calend 01'!I62*('V06 Calend 01'!E62-1))),'V06 Calend 01'!I62),0))+IF((102='V06 Calend 01'!D62),'V06 Calend 01'!J62,0))</f>
        <v>0</v>
      </c>
      <c r="DK62" s="2">
        <f>((IF((103='V06 Calend 01'!C62),('V06 Calend 01'!F62+'V06 Calend 01'!G62),0)+IF(AND(('V06 Calend 01'!E62&gt;0),(103&gt;'V06 Calend 01'!C62),(103&lt;'V06 Calend 01'!D62),(MOD((103-'V06 Calend 01'!C62),6)=0),(((103-'V06 Calend 01'!C62)/6)&lt;='V06 Calend 01'!E62)),IF((103=('V06 Calend 01'!C62+(6*'V06 Calend 01'!E62))),('V06 Calend 01'!H62-('V06 Calend 01'!I62*('V06 Calend 01'!E62-1))),'V06 Calend 01'!I62),0))+IF((103='V06 Calend 01'!D62),'V06 Calend 01'!J62,0))</f>
        <v>0</v>
      </c>
      <c r="DL62" s="2">
        <f>((IF((104='V06 Calend 01'!C62),('V06 Calend 01'!F62+'V06 Calend 01'!G62),0)+IF(AND(('V06 Calend 01'!E62&gt;0),(104&gt;'V06 Calend 01'!C62),(104&lt;'V06 Calend 01'!D62),(MOD((104-'V06 Calend 01'!C62),6)=0),(((104-'V06 Calend 01'!C62)/6)&lt;='V06 Calend 01'!E62)),IF((104=('V06 Calend 01'!C62+(6*'V06 Calend 01'!E62))),('V06 Calend 01'!H62-('V06 Calend 01'!I62*('V06 Calend 01'!E62-1))),'V06 Calend 01'!I62),0))+IF((104='V06 Calend 01'!D62),'V06 Calend 01'!J62,0))</f>
        <v>0</v>
      </c>
      <c r="DM62" s="2">
        <f>((IF((105='V06 Calend 01'!C62),('V06 Calend 01'!F62+'V06 Calend 01'!G62),0)+IF(AND(('V06 Calend 01'!E62&gt;0),(105&gt;'V06 Calend 01'!C62),(105&lt;'V06 Calend 01'!D62),(MOD((105-'V06 Calend 01'!C62),6)=0),(((105-'V06 Calend 01'!C62)/6)&lt;='V06 Calend 01'!E62)),IF((105=('V06 Calend 01'!C62+(6*'V06 Calend 01'!E62))),('V06 Calend 01'!H62-('V06 Calend 01'!I62*('V06 Calend 01'!E62-1))),'V06 Calend 01'!I62),0))+IF((105='V06 Calend 01'!D62),'V06 Calend 01'!J62,0))</f>
        <v>0</v>
      </c>
      <c r="DN62" s="2">
        <f>((IF((106='V06 Calend 01'!C62),('V06 Calend 01'!F62+'V06 Calend 01'!G62),0)+IF(AND(('V06 Calend 01'!E62&gt;0),(106&gt;'V06 Calend 01'!C62),(106&lt;'V06 Calend 01'!D62),(MOD((106-'V06 Calend 01'!C62),6)=0),(((106-'V06 Calend 01'!C62)/6)&lt;='V06 Calend 01'!E62)),IF((106=('V06 Calend 01'!C62+(6*'V06 Calend 01'!E62))),('V06 Calend 01'!H62-('V06 Calend 01'!I62*('V06 Calend 01'!E62-1))),'V06 Calend 01'!I62),0))+IF((106='V06 Calend 01'!D62),'V06 Calend 01'!J62,0))</f>
        <v>0</v>
      </c>
      <c r="DO62" s="2">
        <f>((IF((107='V06 Calend 01'!C62),('V06 Calend 01'!F62+'V06 Calend 01'!G62),0)+IF(AND(('V06 Calend 01'!E62&gt;0),(107&gt;'V06 Calend 01'!C62),(107&lt;'V06 Calend 01'!D62),(MOD((107-'V06 Calend 01'!C62),6)=0),(((107-'V06 Calend 01'!C62)/6)&lt;='V06 Calend 01'!E62)),IF((107=('V06 Calend 01'!C62+(6*'V06 Calend 01'!E62))),('V06 Calend 01'!H62-('V06 Calend 01'!I62*('V06 Calend 01'!E62-1))),'V06 Calend 01'!I62),0))+IF((107='V06 Calend 01'!D62),'V06 Calend 01'!J62,0))</f>
        <v>0</v>
      </c>
      <c r="DP62" s="2">
        <f>((IF((108='V06 Calend 01'!C62),('V06 Calend 01'!F62+'V06 Calend 01'!G62),0)+IF(AND(('V06 Calend 01'!E62&gt;0),(108&gt;'V06 Calend 01'!C62),(108&lt;'V06 Calend 01'!D62),(MOD((108-'V06 Calend 01'!C62),6)=0),(((108-'V06 Calend 01'!C62)/6)&lt;='V06 Calend 01'!E62)),IF((108=('V06 Calend 01'!C62+(6*'V06 Calend 01'!E62))),('V06 Calend 01'!H62-('V06 Calend 01'!I62*('V06 Calend 01'!E62-1))),'V06 Calend 01'!I62),0))+IF((108='V06 Calend 01'!D62),'V06 Calend 01'!J62,0))</f>
        <v>0</v>
      </c>
      <c r="DQ62" s="2">
        <f>((IF((109='V06 Calend 01'!C62),('V06 Calend 01'!F62+'V06 Calend 01'!G62),0)+IF(AND(('V06 Calend 01'!E62&gt;0),(109&gt;'V06 Calend 01'!C62),(109&lt;'V06 Calend 01'!D62),(MOD((109-'V06 Calend 01'!C62),6)=0),(((109-'V06 Calend 01'!C62)/6)&lt;='V06 Calend 01'!E62)),IF((109=('V06 Calend 01'!C62+(6*'V06 Calend 01'!E62))),('V06 Calend 01'!H62-('V06 Calend 01'!I62*('V06 Calend 01'!E62-1))),'V06 Calend 01'!I62),0))+IF((109='V06 Calend 01'!D62),'V06 Calend 01'!J62,0))</f>
        <v>0</v>
      </c>
      <c r="DR62" s="2">
        <f>((IF((110='V06 Calend 01'!C62),('V06 Calend 01'!F62+'V06 Calend 01'!G62),0)+IF(AND(('V06 Calend 01'!E62&gt;0),(110&gt;'V06 Calend 01'!C62),(110&lt;'V06 Calend 01'!D62),(MOD((110-'V06 Calend 01'!C62),6)=0),(((110-'V06 Calend 01'!C62)/6)&lt;='V06 Calend 01'!E62)),IF((110=('V06 Calend 01'!C62+(6*'V06 Calend 01'!E62))),('V06 Calend 01'!H62-('V06 Calend 01'!I62*('V06 Calend 01'!E62-1))),'V06 Calend 01'!I62),0))+IF((110='V06 Calend 01'!D62),'V06 Calend 01'!J62,0))</f>
        <v>0</v>
      </c>
      <c r="DS62" s="2">
        <f>((IF((111='V06 Calend 01'!C62),('V06 Calend 01'!F62+'V06 Calend 01'!G62),0)+IF(AND(('V06 Calend 01'!E62&gt;0),(111&gt;'V06 Calend 01'!C62),(111&lt;'V06 Calend 01'!D62),(MOD((111-'V06 Calend 01'!C62),6)=0),(((111-'V06 Calend 01'!C62)/6)&lt;='V06 Calend 01'!E62)),IF((111=('V06 Calend 01'!C62+(6*'V06 Calend 01'!E62))),('V06 Calend 01'!H62-('V06 Calend 01'!I62*('V06 Calend 01'!E62-1))),'V06 Calend 01'!I62),0))+IF((111='V06 Calend 01'!D62),'V06 Calend 01'!J62,0))</f>
        <v>0</v>
      </c>
      <c r="DT62" s="2">
        <f>((IF((112='V06 Calend 01'!C62),('V06 Calend 01'!F62+'V06 Calend 01'!G62),0)+IF(AND(('V06 Calend 01'!E62&gt;0),(112&gt;'V06 Calend 01'!C62),(112&lt;'V06 Calend 01'!D62),(MOD((112-'V06 Calend 01'!C62),6)=0),(((112-'V06 Calend 01'!C62)/6)&lt;='V06 Calend 01'!E62)),IF((112=('V06 Calend 01'!C62+(6*'V06 Calend 01'!E62))),('V06 Calend 01'!H62-('V06 Calend 01'!I62*('V06 Calend 01'!E62-1))),'V06 Calend 01'!I62),0))+IF((112='V06 Calend 01'!D62),'V06 Calend 01'!J62,0))</f>
        <v>0</v>
      </c>
      <c r="DU62" s="2">
        <f>((IF((113='V06 Calend 01'!C62),('V06 Calend 01'!F62+'V06 Calend 01'!G62),0)+IF(AND(('V06 Calend 01'!E62&gt;0),(113&gt;'V06 Calend 01'!C62),(113&lt;'V06 Calend 01'!D62),(MOD((113-'V06 Calend 01'!C62),6)=0),(((113-'V06 Calend 01'!C62)/6)&lt;='V06 Calend 01'!E62)),IF((113=('V06 Calend 01'!C62+(6*'V06 Calend 01'!E62))),('V06 Calend 01'!H62-('V06 Calend 01'!I62*('V06 Calend 01'!E62-1))),'V06 Calend 01'!I62),0))+IF((113='V06 Calend 01'!D62),'V06 Calend 01'!J62,0))</f>
        <v>0</v>
      </c>
      <c r="DV62" s="2">
        <f>((IF((114='V06 Calend 01'!C62),('V06 Calend 01'!F62+'V06 Calend 01'!G62),0)+IF(AND(('V06 Calend 01'!E62&gt;0),(114&gt;'V06 Calend 01'!C62),(114&lt;'V06 Calend 01'!D62),(MOD((114-'V06 Calend 01'!C62),6)=0),(((114-'V06 Calend 01'!C62)/6)&lt;='V06 Calend 01'!E62)),IF((114=('V06 Calend 01'!C62+(6*'V06 Calend 01'!E62))),('V06 Calend 01'!H62-('V06 Calend 01'!I62*('V06 Calend 01'!E62-1))),'V06 Calend 01'!I62),0))+IF((114='V06 Calend 01'!D62),'V06 Calend 01'!J62,0))</f>
        <v>0</v>
      </c>
      <c r="DW62" s="2">
        <f>((IF((115='V06 Calend 01'!C62),('V06 Calend 01'!F62+'V06 Calend 01'!G62),0)+IF(AND(('V06 Calend 01'!E62&gt;0),(115&gt;'V06 Calend 01'!C62),(115&lt;'V06 Calend 01'!D62),(MOD((115-'V06 Calend 01'!C62),6)=0),(((115-'V06 Calend 01'!C62)/6)&lt;='V06 Calend 01'!E62)),IF((115=('V06 Calend 01'!C62+(6*'V06 Calend 01'!E62))),('V06 Calend 01'!H62-('V06 Calend 01'!I62*('V06 Calend 01'!E62-1))),'V06 Calend 01'!I62),0))+IF((115='V06 Calend 01'!D62),'V06 Calend 01'!J62,0))</f>
        <v>0</v>
      </c>
      <c r="DX62" s="2">
        <f>((IF((116='V06 Calend 01'!C62),('V06 Calend 01'!F62+'V06 Calend 01'!G62),0)+IF(AND(('V06 Calend 01'!E62&gt;0),(116&gt;'V06 Calend 01'!C62),(116&lt;'V06 Calend 01'!D62),(MOD((116-'V06 Calend 01'!C62),6)=0),(((116-'V06 Calend 01'!C62)/6)&lt;='V06 Calend 01'!E62)),IF((116=('V06 Calend 01'!C62+(6*'V06 Calend 01'!E62))),('V06 Calend 01'!H62-('V06 Calend 01'!I62*('V06 Calend 01'!E62-1))),'V06 Calend 01'!I62),0))+IF((116='V06 Calend 01'!D62),'V06 Calend 01'!J62,0))</f>
        <v>0</v>
      </c>
      <c r="DY62" s="2">
        <f>((IF((117='V06 Calend 01'!C62),('V06 Calend 01'!F62+'V06 Calend 01'!G62),0)+IF(AND(('V06 Calend 01'!E62&gt;0),(117&gt;'V06 Calend 01'!C62),(117&lt;'V06 Calend 01'!D62),(MOD((117-'V06 Calend 01'!C62),6)=0),(((117-'V06 Calend 01'!C62)/6)&lt;='V06 Calend 01'!E62)),IF((117=('V06 Calend 01'!C62+(6*'V06 Calend 01'!E62))),('V06 Calend 01'!H62-('V06 Calend 01'!I62*('V06 Calend 01'!E62-1))),'V06 Calend 01'!I62),0))+IF((117='V06 Calend 01'!D62),'V06 Calend 01'!J62,0))</f>
        <v>0</v>
      </c>
      <c r="DZ62" s="2">
        <f>((IF((118='V06 Calend 01'!C62),('V06 Calend 01'!F62+'V06 Calend 01'!G62),0)+IF(AND(('V06 Calend 01'!E62&gt;0),(118&gt;'V06 Calend 01'!C62),(118&lt;'V06 Calend 01'!D62),(MOD((118-'V06 Calend 01'!C62),6)=0),(((118-'V06 Calend 01'!C62)/6)&lt;='V06 Calend 01'!E62)),IF((118=('V06 Calend 01'!C62+(6*'V06 Calend 01'!E62))),('V06 Calend 01'!H62-('V06 Calend 01'!I62*('V06 Calend 01'!E62-1))),'V06 Calend 01'!I62),0))+IF((118='V06 Calend 01'!D62),'V06 Calend 01'!J62,0))</f>
        <v>0</v>
      </c>
      <c r="EA62" s="2">
        <f>((IF((119='V06 Calend 01'!C62),('V06 Calend 01'!F62+'V06 Calend 01'!G62),0)+IF(AND(('V06 Calend 01'!E62&gt;0),(119&gt;'V06 Calend 01'!C62),(119&lt;'V06 Calend 01'!D62),(MOD((119-'V06 Calend 01'!C62),6)=0),(((119-'V06 Calend 01'!C62)/6)&lt;='V06 Calend 01'!E62)),IF((119=('V06 Calend 01'!C62+(6*'V06 Calend 01'!E62))),('V06 Calend 01'!H62-('V06 Calend 01'!I62*('V06 Calend 01'!E62-1))),'V06 Calend 01'!I62),0))+IF((119='V06 Calend 01'!D62),'V06 Calend 01'!J62,0))</f>
        <v>0</v>
      </c>
      <c r="EB62" s="2">
        <f>((IF((120='V06 Calend 01'!C62),('V06 Calend 01'!F62+'V06 Calend 01'!G62),0)+IF(AND(('V06 Calend 01'!E62&gt;0),(120&gt;'V06 Calend 01'!C62),(120&lt;'V06 Calend 01'!D62),(MOD((120-'V06 Calend 01'!C62),6)=0),(((120-'V06 Calend 01'!C62)/6)&lt;='V06 Calend 01'!E62)),IF((120=('V06 Calend 01'!C62+(6*'V06 Calend 01'!E62))),('V06 Calend 01'!H62-('V06 Calend 01'!I62*('V06 Calend 01'!E62-1))),'V06 Calend 01'!I62),0))+IF((120='V06 Calend 01'!D62),'V06 Calend 01'!J62,0))</f>
        <v>0</v>
      </c>
      <c r="EC62" s="2">
        <f>((IF((121='V06 Calend 01'!C62),('V06 Calend 01'!F62+'V06 Calend 01'!G62),0)+IF(AND(('V06 Calend 01'!E62&gt;0),(121&gt;'V06 Calend 01'!C62),(121&lt;'V06 Calend 01'!D62),(MOD((121-'V06 Calend 01'!C62),6)=0),(((121-'V06 Calend 01'!C62)/6)&lt;='V06 Calend 01'!E62)),IF((121=('V06 Calend 01'!C62+(6*'V06 Calend 01'!E62))),('V06 Calend 01'!H62-('V06 Calend 01'!I62*('V06 Calend 01'!E62-1))),'V06 Calend 01'!I62),0))+IF((121='V06 Calend 01'!D62),'V06 Calend 01'!J62,0))</f>
        <v>0</v>
      </c>
      <c r="ED62" s="2">
        <f>((IF((122='V06 Calend 01'!C62),('V06 Calend 01'!F62+'V06 Calend 01'!G62),0)+IF(AND(('V06 Calend 01'!E62&gt;0),(122&gt;'V06 Calend 01'!C62),(122&lt;'V06 Calend 01'!D62),(MOD((122-'V06 Calend 01'!C62),6)=0),(((122-'V06 Calend 01'!C62)/6)&lt;='V06 Calend 01'!E62)),IF((122=('V06 Calend 01'!C62+(6*'V06 Calend 01'!E62))),('V06 Calend 01'!H62-('V06 Calend 01'!I62*('V06 Calend 01'!E62-1))),'V06 Calend 01'!I62),0))+IF((122='V06 Calend 01'!D62),'V06 Calend 01'!J62,0))</f>
        <v>0</v>
      </c>
      <c r="EE62" s="2">
        <f>((IF((123='V06 Calend 01'!C62),('V06 Calend 01'!F62+'V06 Calend 01'!G62),0)+IF(AND(('V06 Calend 01'!E62&gt;0),(123&gt;'V06 Calend 01'!C62),(123&lt;'V06 Calend 01'!D62),(MOD((123-'V06 Calend 01'!C62),6)=0),(((123-'V06 Calend 01'!C62)/6)&lt;='V06 Calend 01'!E62)),IF((123=('V06 Calend 01'!C62+(6*'V06 Calend 01'!E62))),('V06 Calend 01'!H62-('V06 Calend 01'!I62*('V06 Calend 01'!E62-1))),'V06 Calend 01'!I62),0))+IF((123='V06 Calend 01'!D62),'V06 Calend 01'!J62,0))</f>
        <v>0</v>
      </c>
      <c r="EF62" s="2">
        <f>((IF((124='V06 Calend 01'!C62),('V06 Calend 01'!F62+'V06 Calend 01'!G62),0)+IF(AND(('V06 Calend 01'!E62&gt;0),(124&gt;'V06 Calend 01'!C62),(124&lt;'V06 Calend 01'!D62),(MOD((124-'V06 Calend 01'!C62),6)=0),(((124-'V06 Calend 01'!C62)/6)&lt;='V06 Calend 01'!E62)),IF((124=('V06 Calend 01'!C62+(6*'V06 Calend 01'!E62))),('V06 Calend 01'!H62-('V06 Calend 01'!I62*('V06 Calend 01'!E62-1))),'V06 Calend 01'!I62),0))+IF((124='V06 Calend 01'!D62),'V06 Calend 01'!J62,0))</f>
        <v>0</v>
      </c>
      <c r="EG62" s="2">
        <f>((IF((125='V06 Calend 01'!C62),('V06 Calend 01'!F62+'V06 Calend 01'!G62),0)+IF(AND(('V06 Calend 01'!E62&gt;0),(125&gt;'V06 Calend 01'!C62),(125&lt;'V06 Calend 01'!D62),(MOD((125-'V06 Calend 01'!C62),6)=0),(((125-'V06 Calend 01'!C62)/6)&lt;='V06 Calend 01'!E62)),IF((125=('V06 Calend 01'!C62+(6*'V06 Calend 01'!E62))),('V06 Calend 01'!H62-('V06 Calend 01'!I62*('V06 Calend 01'!E62-1))),'V06 Calend 01'!I62),0))+IF((125='V06 Calend 01'!D62),'V06 Calend 01'!J62,0))</f>
        <v>0</v>
      </c>
      <c r="EH62" s="2">
        <f>((IF((126='V06 Calend 01'!C62),('V06 Calend 01'!F62+'V06 Calend 01'!G62),0)+IF(AND(('V06 Calend 01'!E62&gt;0),(126&gt;'V06 Calend 01'!C62),(126&lt;'V06 Calend 01'!D62),(MOD((126-'V06 Calend 01'!C62),6)=0),(((126-'V06 Calend 01'!C62)/6)&lt;='V06 Calend 01'!E62)),IF((126=('V06 Calend 01'!C62+(6*'V06 Calend 01'!E62))),('V06 Calend 01'!H62-('V06 Calend 01'!I62*('V06 Calend 01'!E62-1))),'V06 Calend 01'!I62),0))+IF((126='V06 Calend 01'!D62),'V06 Calend 01'!J62,0))</f>
        <v>0</v>
      </c>
      <c r="EI62" s="2">
        <f>((IF((127='V06 Calend 01'!C62),('V06 Calend 01'!F62+'V06 Calend 01'!G62),0)+IF(AND(('V06 Calend 01'!E62&gt;0),(127&gt;'V06 Calend 01'!C62),(127&lt;'V06 Calend 01'!D62),(MOD((127-'V06 Calend 01'!C62),6)=0),(((127-'V06 Calend 01'!C62)/6)&lt;='V06 Calend 01'!E62)),IF((127=('V06 Calend 01'!C62+(6*'V06 Calend 01'!E62))),('V06 Calend 01'!H62-('V06 Calend 01'!I62*('V06 Calend 01'!E62-1))),'V06 Calend 01'!I62),0))+IF((127='V06 Calend 01'!D62),'V06 Calend 01'!J62,0))</f>
        <v>0</v>
      </c>
      <c r="EJ62" s="2">
        <f>((IF((128='V06 Calend 01'!C62),('V06 Calend 01'!F62+'V06 Calend 01'!G62),0)+IF(AND(('V06 Calend 01'!E62&gt;0),(128&gt;'V06 Calend 01'!C62),(128&lt;'V06 Calend 01'!D62),(MOD((128-'V06 Calend 01'!C62),6)=0),(((128-'V06 Calend 01'!C62)/6)&lt;='V06 Calend 01'!E62)),IF((128=('V06 Calend 01'!C62+(6*'V06 Calend 01'!E62))),('V06 Calend 01'!H62-('V06 Calend 01'!I62*('V06 Calend 01'!E62-1))),'V06 Calend 01'!I62),0))+IF((128='V06 Calend 01'!D62),'V06 Calend 01'!J62,0))</f>
        <v>0</v>
      </c>
      <c r="EK62" s="2">
        <f>((IF((129='V06 Calend 01'!C62),('V06 Calend 01'!F62+'V06 Calend 01'!G62),0)+IF(AND(('V06 Calend 01'!E62&gt;0),(129&gt;'V06 Calend 01'!C62),(129&lt;'V06 Calend 01'!D62),(MOD((129-'V06 Calend 01'!C62),6)=0),(((129-'V06 Calend 01'!C62)/6)&lt;='V06 Calend 01'!E62)),IF((129=('V06 Calend 01'!C62+(6*'V06 Calend 01'!E62))),('V06 Calend 01'!H62-('V06 Calend 01'!I62*('V06 Calend 01'!E62-1))),'V06 Calend 01'!I62),0))+IF((129='V06 Calend 01'!D62),'V06 Calend 01'!J62,0))</f>
        <v>0</v>
      </c>
      <c r="EL62" s="2">
        <f>((IF((130='V06 Calend 01'!C62),('V06 Calend 01'!F62+'V06 Calend 01'!G62),0)+IF(AND(('V06 Calend 01'!E62&gt;0),(130&gt;'V06 Calend 01'!C62),(130&lt;'V06 Calend 01'!D62),(MOD((130-'V06 Calend 01'!C62),6)=0),(((130-'V06 Calend 01'!C62)/6)&lt;='V06 Calend 01'!E62)),IF((130=('V06 Calend 01'!C62+(6*'V06 Calend 01'!E62))),('V06 Calend 01'!H62-('V06 Calend 01'!I62*('V06 Calend 01'!E62-1))),'V06 Calend 01'!I62),0))+IF((130='V06 Calend 01'!D62),'V06 Calend 01'!J62,0))</f>
        <v>0</v>
      </c>
      <c r="EM62" s="2">
        <f>((IF((131='V06 Calend 01'!C62),('V06 Calend 01'!F62+'V06 Calend 01'!G62),0)+IF(AND(('V06 Calend 01'!E62&gt;0),(131&gt;'V06 Calend 01'!C62),(131&lt;'V06 Calend 01'!D62),(MOD((131-'V06 Calend 01'!C62),6)=0),(((131-'V06 Calend 01'!C62)/6)&lt;='V06 Calend 01'!E62)),IF((131=('V06 Calend 01'!C62+(6*'V06 Calend 01'!E62))),('V06 Calend 01'!H62-('V06 Calend 01'!I62*('V06 Calend 01'!E62-1))),'V06 Calend 01'!I62),0))+IF((131='V06 Calend 01'!D62),'V06 Calend 01'!J62,0))</f>
        <v>0</v>
      </c>
      <c r="EN62" s="2">
        <f>((IF((132='V06 Calend 01'!C62),('V06 Calend 01'!F62+'V06 Calend 01'!G62),0)+IF(AND(('V06 Calend 01'!E62&gt;0),(132&gt;'V06 Calend 01'!C62),(132&lt;'V06 Calend 01'!D62),(MOD((132-'V06 Calend 01'!C62),6)=0),(((132-'V06 Calend 01'!C62)/6)&lt;='V06 Calend 01'!E62)),IF((132=('V06 Calend 01'!C62+(6*'V06 Calend 01'!E62))),('V06 Calend 01'!H62-('V06 Calend 01'!I62*('V06 Calend 01'!E62-1))),'V06 Calend 01'!I62),0))+IF((132='V06 Calend 01'!D62),'V06 Calend 01'!J62,0))</f>
        <v>0</v>
      </c>
      <c r="EO62" s="2">
        <f>((IF((133='V06 Calend 01'!C62),('V06 Calend 01'!F62+'V06 Calend 01'!G62),0)+IF(AND(('V06 Calend 01'!E62&gt;0),(133&gt;'V06 Calend 01'!C62),(133&lt;'V06 Calend 01'!D62),(MOD((133-'V06 Calend 01'!C62),6)=0),(((133-'V06 Calend 01'!C62)/6)&lt;='V06 Calend 01'!E62)),IF((133=('V06 Calend 01'!C62+(6*'V06 Calend 01'!E62))),('V06 Calend 01'!H62-('V06 Calend 01'!I62*('V06 Calend 01'!E62-1))),'V06 Calend 01'!I62),0))+IF((133='V06 Calend 01'!D62),'V06 Calend 01'!J62,0))</f>
        <v>0</v>
      </c>
      <c r="EP62" s="2">
        <f>((IF((134='V06 Calend 01'!C62),('V06 Calend 01'!F62+'V06 Calend 01'!G62),0)+IF(AND(('V06 Calend 01'!E62&gt;0),(134&gt;'V06 Calend 01'!C62),(134&lt;'V06 Calend 01'!D62),(MOD((134-'V06 Calend 01'!C62),6)=0),(((134-'V06 Calend 01'!C62)/6)&lt;='V06 Calend 01'!E62)),IF((134=('V06 Calend 01'!C62+(6*'V06 Calend 01'!E62))),('V06 Calend 01'!H62-('V06 Calend 01'!I62*('V06 Calend 01'!E62-1))),'V06 Calend 01'!I62),0))+IF((134='V06 Calend 01'!D62),'V06 Calend 01'!J62,0))</f>
        <v>0</v>
      </c>
      <c r="EQ62" s="2">
        <f>((IF((135='V06 Calend 01'!C62),('V06 Calend 01'!F62+'V06 Calend 01'!G62),0)+IF(AND(('V06 Calend 01'!E62&gt;0),(135&gt;'V06 Calend 01'!C62),(135&lt;'V06 Calend 01'!D62),(MOD((135-'V06 Calend 01'!C62),6)=0),(((135-'V06 Calend 01'!C62)/6)&lt;='V06 Calend 01'!E62)),IF((135=('V06 Calend 01'!C62+(6*'V06 Calend 01'!E62))),('V06 Calend 01'!H62-('V06 Calend 01'!I62*('V06 Calend 01'!E62-1))),'V06 Calend 01'!I62),0))+IF((135='V06 Calend 01'!D62),'V06 Calend 01'!J62,0))</f>
        <v>0</v>
      </c>
      <c r="ER62" s="2">
        <f>((IF((136='V06 Calend 01'!C62),('V06 Calend 01'!F62+'V06 Calend 01'!G62),0)+IF(AND(('V06 Calend 01'!E62&gt;0),(136&gt;'V06 Calend 01'!C62),(136&lt;'V06 Calend 01'!D62),(MOD((136-'V06 Calend 01'!C62),6)=0),(((136-'V06 Calend 01'!C62)/6)&lt;='V06 Calend 01'!E62)),IF((136=('V06 Calend 01'!C62+(6*'V06 Calend 01'!E62))),('V06 Calend 01'!H62-('V06 Calend 01'!I62*('V06 Calend 01'!E62-1))),'V06 Calend 01'!I62),0))+IF((136='V06 Calend 01'!D62),'V06 Calend 01'!J62,0))</f>
        <v>0</v>
      </c>
      <c r="ES62" s="2">
        <f>((IF((137='V06 Calend 01'!C62),('V06 Calend 01'!F62+'V06 Calend 01'!G62),0)+IF(AND(('V06 Calend 01'!E62&gt;0),(137&gt;'V06 Calend 01'!C62),(137&lt;'V06 Calend 01'!D62),(MOD((137-'V06 Calend 01'!C62),6)=0),(((137-'V06 Calend 01'!C62)/6)&lt;='V06 Calend 01'!E62)),IF((137=('V06 Calend 01'!C62+(6*'V06 Calend 01'!E62))),('V06 Calend 01'!H62-('V06 Calend 01'!I62*('V06 Calend 01'!E62-1))),'V06 Calend 01'!I62),0))+IF((137='V06 Calend 01'!D62),'V06 Calend 01'!J62,0))</f>
        <v>0</v>
      </c>
      <c r="ET62" s="2">
        <f>((IF((138='V06 Calend 01'!C62),('V06 Calend 01'!F62+'V06 Calend 01'!G62),0)+IF(AND(('V06 Calend 01'!E62&gt;0),(138&gt;'V06 Calend 01'!C62),(138&lt;'V06 Calend 01'!D62),(MOD((138-'V06 Calend 01'!C62),6)=0),(((138-'V06 Calend 01'!C62)/6)&lt;='V06 Calend 01'!E62)),IF((138=('V06 Calend 01'!C62+(6*'V06 Calend 01'!E62))),('V06 Calend 01'!H62-('V06 Calend 01'!I62*('V06 Calend 01'!E62-1))),'V06 Calend 01'!I62),0))+IF((138='V06 Calend 01'!D62),'V06 Calend 01'!J62,0))</f>
        <v>0</v>
      </c>
      <c r="EU62" s="2">
        <f>((IF((139='V06 Calend 01'!C62),('V06 Calend 01'!F62+'V06 Calend 01'!G62),0)+IF(AND(('V06 Calend 01'!E62&gt;0),(139&gt;'V06 Calend 01'!C62),(139&lt;'V06 Calend 01'!D62),(MOD((139-'V06 Calend 01'!C62),6)=0),(((139-'V06 Calend 01'!C62)/6)&lt;='V06 Calend 01'!E62)),IF((139=('V06 Calend 01'!C62+(6*'V06 Calend 01'!E62))),('V06 Calend 01'!H62-('V06 Calend 01'!I62*('V06 Calend 01'!E62-1))),'V06 Calend 01'!I62),0))+IF((139='V06 Calend 01'!D62),'V06 Calend 01'!J62,0))</f>
        <v>0</v>
      </c>
      <c r="EV62" s="2">
        <f>((IF((140='V06 Calend 01'!C62),('V06 Calend 01'!F62+'V06 Calend 01'!G62),0)+IF(AND(('V06 Calend 01'!E62&gt;0),(140&gt;'V06 Calend 01'!C62),(140&lt;'V06 Calend 01'!D62),(MOD((140-'V06 Calend 01'!C62),6)=0),(((140-'V06 Calend 01'!C62)/6)&lt;='V06 Calend 01'!E62)),IF((140=('V06 Calend 01'!C62+(6*'V06 Calend 01'!E62))),('V06 Calend 01'!H62-('V06 Calend 01'!I62*('V06 Calend 01'!E62-1))),'V06 Calend 01'!I62),0))+IF((140='V06 Calend 01'!D62),'V06 Calend 01'!J62,0))</f>
        <v>0</v>
      </c>
      <c r="EW62" s="2">
        <f>((IF((141='V06 Calend 01'!C62),('V06 Calend 01'!F62+'V06 Calend 01'!G62),0)+IF(AND(('V06 Calend 01'!E62&gt;0),(141&gt;'V06 Calend 01'!C62),(141&lt;'V06 Calend 01'!D62),(MOD((141-'V06 Calend 01'!C62),6)=0),(((141-'V06 Calend 01'!C62)/6)&lt;='V06 Calend 01'!E62)),IF((141=('V06 Calend 01'!C62+(6*'V06 Calend 01'!E62))),('V06 Calend 01'!H62-('V06 Calend 01'!I62*('V06 Calend 01'!E62-1))),'V06 Calend 01'!I62),0))+IF((141='V06 Calend 01'!D62),'V06 Calend 01'!J62,0))</f>
        <v>0</v>
      </c>
      <c r="EX62" s="2">
        <f>((IF((142='V06 Calend 01'!C62),('V06 Calend 01'!F62+'V06 Calend 01'!G62),0)+IF(AND(('V06 Calend 01'!E62&gt;0),(142&gt;'V06 Calend 01'!C62),(142&lt;'V06 Calend 01'!D62),(MOD((142-'V06 Calend 01'!C62),6)=0),(((142-'V06 Calend 01'!C62)/6)&lt;='V06 Calend 01'!E62)),IF((142=('V06 Calend 01'!C62+(6*'V06 Calend 01'!E62))),('V06 Calend 01'!H62-('V06 Calend 01'!I62*('V06 Calend 01'!E62-1))),'V06 Calend 01'!I62),0))+IF((142='V06 Calend 01'!D62),'V06 Calend 01'!J62,0))</f>
        <v>0</v>
      </c>
      <c r="EY62" s="2">
        <f>((IF((143='V06 Calend 01'!C62),('V06 Calend 01'!F62+'V06 Calend 01'!G62),0)+IF(AND(('V06 Calend 01'!E62&gt;0),(143&gt;'V06 Calend 01'!C62),(143&lt;'V06 Calend 01'!D62),(MOD((143-'V06 Calend 01'!C62),6)=0),(((143-'V06 Calend 01'!C62)/6)&lt;='V06 Calend 01'!E62)),IF((143=('V06 Calend 01'!C62+(6*'V06 Calend 01'!E62))),('V06 Calend 01'!H62-('V06 Calend 01'!I62*('V06 Calend 01'!E62-1))),'V06 Calend 01'!I62),0))+IF((143='V06 Calend 01'!D62),'V06 Calend 01'!J62,0))</f>
        <v>0</v>
      </c>
      <c r="EZ62" s="2">
        <f>((IF((144='V06 Calend 01'!C62),('V06 Calend 01'!F62+'V06 Calend 01'!G62),0)+IF(AND(('V06 Calend 01'!E62&gt;0),(144&gt;'V06 Calend 01'!C62),(144&lt;'V06 Calend 01'!D62),(MOD((144-'V06 Calend 01'!C62),6)=0),(((144-'V06 Calend 01'!C62)/6)&lt;='V06 Calend 01'!E62)),IF((144=('V06 Calend 01'!C62+(6*'V06 Calend 01'!E62))),('V06 Calend 01'!H62-('V06 Calend 01'!I62*('V06 Calend 01'!E62-1))),'V06 Calend 01'!I62),0))+IF((144='V06 Calend 01'!D62),'V06 Calend 01'!J62,0))</f>
        <v>0</v>
      </c>
      <c r="FA62" s="2">
        <f>((IF((145='V06 Calend 01'!C62),('V06 Calend 01'!F62+'V06 Calend 01'!G62),0)+IF(AND(('V06 Calend 01'!E62&gt;0),(145&gt;'V06 Calend 01'!C62),(145&lt;'V06 Calend 01'!D62),(MOD((145-'V06 Calend 01'!C62),6)=0),(((145-'V06 Calend 01'!C62)/6)&lt;='V06 Calend 01'!E62)),IF((145=('V06 Calend 01'!C62+(6*'V06 Calend 01'!E62))),('V06 Calend 01'!H62-('V06 Calend 01'!I62*('V06 Calend 01'!E62-1))),'V06 Calend 01'!I62),0))+IF((145='V06 Calend 01'!D62),'V06 Calend 01'!J62,0))</f>
        <v>0</v>
      </c>
      <c r="FB62" s="2">
        <f>((IF((146='V06 Calend 01'!C62),('V06 Calend 01'!F62+'V06 Calend 01'!G62),0)+IF(AND(('V06 Calend 01'!E62&gt;0),(146&gt;'V06 Calend 01'!C62),(146&lt;'V06 Calend 01'!D62),(MOD((146-'V06 Calend 01'!C62),6)=0),(((146-'V06 Calend 01'!C62)/6)&lt;='V06 Calend 01'!E62)),IF((146=('V06 Calend 01'!C62+(6*'V06 Calend 01'!E62))),('V06 Calend 01'!H62-('V06 Calend 01'!I62*('V06 Calend 01'!E62-1))),'V06 Calend 01'!I62),0))+IF((146='V06 Calend 01'!D62),'V06 Calend 01'!J62,0))</f>
        <v>0</v>
      </c>
      <c r="FC62" s="2">
        <f>((IF((147='V06 Calend 01'!C62),('V06 Calend 01'!F62+'V06 Calend 01'!G62),0)+IF(AND(('V06 Calend 01'!E62&gt;0),(147&gt;'V06 Calend 01'!C62),(147&lt;'V06 Calend 01'!D62),(MOD((147-'V06 Calend 01'!C62),6)=0),(((147-'V06 Calend 01'!C62)/6)&lt;='V06 Calend 01'!E62)),IF((147=('V06 Calend 01'!C62+(6*'V06 Calend 01'!E62))),('V06 Calend 01'!H62-('V06 Calend 01'!I62*('V06 Calend 01'!E62-1))),'V06 Calend 01'!I62),0))+IF((147='V06 Calend 01'!D62),'V06 Calend 01'!J62,0))</f>
        <v>0</v>
      </c>
      <c r="FD62" s="2">
        <f>((IF((148='V06 Calend 01'!C62),('V06 Calend 01'!F62+'V06 Calend 01'!G62),0)+IF(AND(('V06 Calend 01'!E62&gt;0),(148&gt;'V06 Calend 01'!C62),(148&lt;'V06 Calend 01'!D62),(MOD((148-'V06 Calend 01'!C62),6)=0),(((148-'V06 Calend 01'!C62)/6)&lt;='V06 Calend 01'!E62)),IF((148=('V06 Calend 01'!C62+(6*'V06 Calend 01'!E62))),('V06 Calend 01'!H62-('V06 Calend 01'!I62*('V06 Calend 01'!E62-1))),'V06 Calend 01'!I62),0))+IF((148='V06 Calend 01'!D62),'V06 Calend 01'!J62,0))</f>
        <v>0</v>
      </c>
      <c r="FE62" s="2">
        <f>((IF((149='V06 Calend 01'!C62),('V06 Calend 01'!F62+'V06 Calend 01'!G62),0)+IF(AND(('V06 Calend 01'!E62&gt;0),(149&gt;'V06 Calend 01'!C62),(149&lt;'V06 Calend 01'!D62),(MOD((149-'V06 Calend 01'!C62),6)=0),(((149-'V06 Calend 01'!C62)/6)&lt;='V06 Calend 01'!E62)),IF((149=('V06 Calend 01'!C62+(6*'V06 Calend 01'!E62))),('V06 Calend 01'!H62-('V06 Calend 01'!I62*('V06 Calend 01'!E62-1))),'V06 Calend 01'!I62),0))+IF((149='V06 Calend 01'!D62),'V06 Calend 01'!J62,0))</f>
        <v>0</v>
      </c>
      <c r="FF62" s="2">
        <f>((IF((150='V06 Calend 01'!C62),('V06 Calend 01'!F62+'V06 Calend 01'!G62),0)+IF(AND(('V06 Calend 01'!E62&gt;0),(150&gt;'V06 Calend 01'!C62),(150&lt;'V06 Calend 01'!D62),(MOD((150-'V06 Calend 01'!C62),6)=0),(((150-'V06 Calend 01'!C62)/6)&lt;='V06 Calend 01'!E62)),IF((150=('V06 Calend 01'!C62+(6*'V06 Calend 01'!E62))),('V06 Calend 01'!H62-('V06 Calend 01'!I62*('V06 Calend 01'!E62-1))),'V06 Calend 01'!I62),0))+IF((150='V06 Calend 01'!D62),'V06 Calend 01'!J62,0))</f>
        <v>0</v>
      </c>
      <c r="FG62" s="2">
        <f>((IF((151='V06 Calend 01'!C62),('V06 Calend 01'!F62+'V06 Calend 01'!G62),0)+IF(AND(('V06 Calend 01'!E62&gt;0),(151&gt;'V06 Calend 01'!C62),(151&lt;'V06 Calend 01'!D62),(MOD((151-'V06 Calend 01'!C62),6)=0),(((151-'V06 Calend 01'!C62)/6)&lt;='V06 Calend 01'!E62)),IF((151=('V06 Calend 01'!C62+(6*'V06 Calend 01'!E62))),('V06 Calend 01'!H62-('V06 Calend 01'!I62*('V06 Calend 01'!E62-1))),'V06 Calend 01'!I62),0))+IF((151='V06 Calend 01'!D62),'V06 Calend 01'!J62,0))</f>
        <v>0</v>
      </c>
      <c r="FH62" s="2">
        <f>((IF((152='V06 Calend 01'!C62),('V06 Calend 01'!F62+'V06 Calend 01'!G62),0)+IF(AND(('V06 Calend 01'!E62&gt;0),(152&gt;'V06 Calend 01'!C62),(152&lt;'V06 Calend 01'!D62),(MOD((152-'V06 Calend 01'!C62),6)=0),(((152-'V06 Calend 01'!C62)/6)&lt;='V06 Calend 01'!E62)),IF((152=('V06 Calend 01'!C62+(6*'V06 Calend 01'!E62))),('V06 Calend 01'!H62-('V06 Calend 01'!I62*('V06 Calend 01'!E62-1))),'V06 Calend 01'!I62),0))+IF((152='V06 Calend 01'!D62),'V06 Calend 01'!J62,0))</f>
        <v>0</v>
      </c>
      <c r="FI62" s="2">
        <f>((IF((153='V06 Calend 01'!C62),('V06 Calend 01'!F62+'V06 Calend 01'!G62),0)+IF(AND(('V06 Calend 01'!E62&gt;0),(153&gt;'V06 Calend 01'!C62),(153&lt;'V06 Calend 01'!D62),(MOD((153-'V06 Calend 01'!C62),6)=0),(((153-'V06 Calend 01'!C62)/6)&lt;='V06 Calend 01'!E62)),IF((153=('V06 Calend 01'!C62+(6*'V06 Calend 01'!E62))),('V06 Calend 01'!H62-('V06 Calend 01'!I62*('V06 Calend 01'!E62-1))),'V06 Calend 01'!I62),0))+IF((153='V06 Calend 01'!D62),'V06 Calend 01'!J62,0))</f>
        <v>0</v>
      </c>
      <c r="FJ62" s="2">
        <f>((IF((154='V06 Calend 01'!C62),('V06 Calend 01'!F62+'V06 Calend 01'!G62),0)+IF(AND(('V06 Calend 01'!E62&gt;0),(154&gt;'V06 Calend 01'!C62),(154&lt;'V06 Calend 01'!D62),(MOD((154-'V06 Calend 01'!C62),6)=0),(((154-'V06 Calend 01'!C62)/6)&lt;='V06 Calend 01'!E62)),IF((154=('V06 Calend 01'!C62+(6*'V06 Calend 01'!E62))),('V06 Calend 01'!H62-('V06 Calend 01'!I62*('V06 Calend 01'!E62-1))),'V06 Calend 01'!I62),0))+IF((154='V06 Calend 01'!D62),'V06 Calend 01'!J62,0))</f>
        <v>0</v>
      </c>
      <c r="FK62" s="2">
        <f>((IF((155='V06 Calend 01'!C62),('V06 Calend 01'!F62+'V06 Calend 01'!G62),0)+IF(AND(('V06 Calend 01'!E62&gt;0),(155&gt;'V06 Calend 01'!C62),(155&lt;'V06 Calend 01'!D62),(MOD((155-'V06 Calend 01'!C62),6)=0),(((155-'V06 Calend 01'!C62)/6)&lt;='V06 Calend 01'!E62)),IF((155=('V06 Calend 01'!C62+(6*'V06 Calend 01'!E62))),('V06 Calend 01'!H62-('V06 Calend 01'!I62*('V06 Calend 01'!E62-1))),'V06 Calend 01'!I62),0))+IF((155='V06 Calend 01'!D62),'V06 Calend 01'!J62,0))</f>
        <v>0</v>
      </c>
      <c r="FL62" s="2">
        <f>((IF((156='V06 Calend 01'!C62),('V06 Calend 01'!F62+'V06 Calend 01'!G62),0)+IF(AND(('V06 Calend 01'!E62&gt;0),(156&gt;'V06 Calend 01'!C62),(156&lt;'V06 Calend 01'!D62),(MOD((156-'V06 Calend 01'!C62),6)=0),(((156-'V06 Calend 01'!C62)/6)&lt;='V06 Calend 01'!E62)),IF((156=('V06 Calend 01'!C62+(6*'V06 Calend 01'!E62))),('V06 Calend 01'!H62-('V06 Calend 01'!I62*('V06 Calend 01'!E62-1))),'V06 Calend 01'!I62),0))+IF((156='V06 Calend 01'!D62),'V06 Calend 01'!J62,0))</f>
        <v>0</v>
      </c>
      <c r="FM62" s="2">
        <f>((IF((157='V06 Calend 01'!C62),('V06 Calend 01'!F62+'V06 Calend 01'!G62),0)+IF(AND(('V06 Calend 01'!E62&gt;0),(157&gt;'V06 Calend 01'!C62),(157&lt;'V06 Calend 01'!D62),(MOD((157-'V06 Calend 01'!C62),6)=0),(((157-'V06 Calend 01'!C62)/6)&lt;='V06 Calend 01'!E62)),IF((157=('V06 Calend 01'!C62+(6*'V06 Calend 01'!E62))),('V06 Calend 01'!H62-('V06 Calend 01'!I62*('V06 Calend 01'!E62-1))),'V06 Calend 01'!I62),0))+IF((157='V06 Calend 01'!D62),'V06 Calend 01'!J62,0))</f>
        <v>0</v>
      </c>
      <c r="FN62" s="2">
        <f>((IF((158='V06 Calend 01'!C62),('V06 Calend 01'!F62+'V06 Calend 01'!G62),0)+IF(AND(('V06 Calend 01'!E62&gt;0),(158&gt;'V06 Calend 01'!C62),(158&lt;'V06 Calend 01'!D62),(MOD((158-'V06 Calend 01'!C62),6)=0),(((158-'V06 Calend 01'!C62)/6)&lt;='V06 Calend 01'!E62)),IF((158=('V06 Calend 01'!C62+(6*'V06 Calend 01'!E62))),('V06 Calend 01'!H62-('V06 Calend 01'!I62*('V06 Calend 01'!E62-1))),'V06 Calend 01'!I62),0))+IF((158='V06 Calend 01'!D62),'V06 Calend 01'!J62,0))</f>
        <v>0</v>
      </c>
      <c r="FO62" s="2">
        <f>((IF((159='V06 Calend 01'!C62),('V06 Calend 01'!F62+'V06 Calend 01'!G62),0)+IF(AND(('V06 Calend 01'!E62&gt;0),(159&gt;'V06 Calend 01'!C62),(159&lt;'V06 Calend 01'!D62),(MOD((159-'V06 Calend 01'!C62),6)=0),(((159-'V06 Calend 01'!C62)/6)&lt;='V06 Calend 01'!E62)),IF((159=('V06 Calend 01'!C62+(6*'V06 Calend 01'!E62))),('V06 Calend 01'!H62-('V06 Calend 01'!I62*('V06 Calend 01'!E62-1))),'V06 Calend 01'!I62),0))+IF((159='V06 Calend 01'!D62),'V06 Calend 01'!J62,0))</f>
        <v>0</v>
      </c>
      <c r="FP62" s="2">
        <f>((IF((160='V06 Calend 01'!C62),('V06 Calend 01'!F62+'V06 Calend 01'!G62),0)+IF(AND(('V06 Calend 01'!E62&gt;0),(160&gt;'V06 Calend 01'!C62),(160&lt;'V06 Calend 01'!D62),(MOD((160-'V06 Calend 01'!C62),6)=0),(((160-'V06 Calend 01'!C62)/6)&lt;='V06 Calend 01'!E62)),IF((160=('V06 Calend 01'!C62+(6*'V06 Calend 01'!E62))),('V06 Calend 01'!H62-('V06 Calend 01'!I62*('V06 Calend 01'!E62-1))),'V06 Calend 01'!I62),0))+IF((160='V06 Calend 01'!D62),'V06 Calend 01'!J62,0))</f>
        <v>0</v>
      </c>
      <c r="FQ62" s="2">
        <f>((IF((161='V06 Calend 01'!C62),('V06 Calend 01'!F62+'V06 Calend 01'!G62),0)+IF(AND(('V06 Calend 01'!E62&gt;0),(161&gt;'V06 Calend 01'!C62),(161&lt;'V06 Calend 01'!D62),(MOD((161-'V06 Calend 01'!C62),6)=0),(((161-'V06 Calend 01'!C62)/6)&lt;='V06 Calend 01'!E62)),IF((161=('V06 Calend 01'!C62+(6*'V06 Calend 01'!E62))),('V06 Calend 01'!H62-('V06 Calend 01'!I62*('V06 Calend 01'!E62-1))),'V06 Calend 01'!I62),0))+IF((161='V06 Calend 01'!D62),'V06 Calend 01'!J62,0))</f>
        <v>0</v>
      </c>
      <c r="FR62" s="2">
        <f>((IF((162='V06 Calend 01'!C62),('V06 Calend 01'!F62+'V06 Calend 01'!G62),0)+IF(AND(('V06 Calend 01'!E62&gt;0),(162&gt;'V06 Calend 01'!C62),(162&lt;'V06 Calend 01'!D62),(MOD((162-'V06 Calend 01'!C62),6)=0),(((162-'V06 Calend 01'!C62)/6)&lt;='V06 Calend 01'!E62)),IF((162=('V06 Calend 01'!C62+(6*'V06 Calend 01'!E62))),('V06 Calend 01'!H62-('V06 Calend 01'!I62*('V06 Calend 01'!E62-1))),'V06 Calend 01'!I62),0))+IF((162='V06 Calend 01'!D62),'V06 Calend 01'!J62,0))</f>
        <v>0</v>
      </c>
      <c r="FS62" s="2">
        <f>((IF((163='V06 Calend 01'!C62),('V06 Calend 01'!F62+'V06 Calend 01'!G62),0)+IF(AND(('V06 Calend 01'!E62&gt;0),(163&gt;'V06 Calend 01'!C62),(163&lt;'V06 Calend 01'!D62),(MOD((163-'V06 Calend 01'!C62),6)=0),(((163-'V06 Calend 01'!C62)/6)&lt;='V06 Calend 01'!E62)),IF((163=('V06 Calend 01'!C62+(6*'V06 Calend 01'!E62))),('V06 Calend 01'!H62-('V06 Calend 01'!I62*('V06 Calend 01'!E62-1))),'V06 Calend 01'!I62),0))+IF((163='V06 Calend 01'!D62),'V06 Calend 01'!J62,0))</f>
        <v>0</v>
      </c>
      <c r="FT62" s="2">
        <f>((IF((164='V06 Calend 01'!C62),('V06 Calend 01'!F62+'V06 Calend 01'!G62),0)+IF(AND(('V06 Calend 01'!E62&gt;0),(164&gt;'V06 Calend 01'!C62),(164&lt;'V06 Calend 01'!D62),(MOD((164-'V06 Calend 01'!C62),6)=0),(((164-'V06 Calend 01'!C62)/6)&lt;='V06 Calend 01'!E62)),IF((164=('V06 Calend 01'!C62+(6*'V06 Calend 01'!E62))),('V06 Calend 01'!H62-('V06 Calend 01'!I62*('V06 Calend 01'!E62-1))),'V06 Calend 01'!I62),0))+IF((164='V06 Calend 01'!D62),'V06 Calend 01'!J62,0))</f>
        <v>0</v>
      </c>
      <c r="FU62" s="2">
        <f>((IF((165='V06 Calend 01'!C62),('V06 Calend 01'!F62+'V06 Calend 01'!G62),0)+IF(AND(('V06 Calend 01'!E62&gt;0),(165&gt;'V06 Calend 01'!C62),(165&lt;'V06 Calend 01'!D62),(MOD((165-'V06 Calend 01'!C62),6)=0),(((165-'V06 Calend 01'!C62)/6)&lt;='V06 Calend 01'!E62)),IF((165=('V06 Calend 01'!C62+(6*'V06 Calend 01'!E62))),('V06 Calend 01'!H62-('V06 Calend 01'!I62*('V06 Calend 01'!E62-1))),'V06 Calend 01'!I62),0))+IF((165='V06 Calend 01'!D62),'V06 Calend 01'!J62,0))</f>
        <v>0</v>
      </c>
      <c r="FV62" s="2">
        <f>((IF((166='V06 Calend 01'!C62),('V06 Calend 01'!F62+'V06 Calend 01'!G62),0)+IF(AND(('V06 Calend 01'!E62&gt;0),(166&gt;'V06 Calend 01'!C62),(166&lt;'V06 Calend 01'!D62),(MOD((166-'V06 Calend 01'!C62),6)=0),(((166-'V06 Calend 01'!C62)/6)&lt;='V06 Calend 01'!E62)),IF((166=('V06 Calend 01'!C62+(6*'V06 Calend 01'!E62))),('V06 Calend 01'!H62-('V06 Calend 01'!I62*('V06 Calend 01'!E62-1))),'V06 Calend 01'!I62),0))+IF((166='V06 Calend 01'!D62),'V06 Calend 01'!J62,0))</f>
        <v>0</v>
      </c>
      <c r="FW62" s="2">
        <f>((IF((167='V06 Calend 01'!C62),('V06 Calend 01'!F62+'V06 Calend 01'!G62),0)+IF(AND(('V06 Calend 01'!E62&gt;0),(167&gt;'V06 Calend 01'!C62),(167&lt;'V06 Calend 01'!D62),(MOD((167-'V06 Calend 01'!C62),6)=0),(((167-'V06 Calend 01'!C62)/6)&lt;='V06 Calend 01'!E62)),IF((167=('V06 Calend 01'!C62+(6*'V06 Calend 01'!E62))),('V06 Calend 01'!H62-('V06 Calend 01'!I62*('V06 Calend 01'!E62-1))),'V06 Calend 01'!I62),0))+IF((167='V06 Calend 01'!D62),'V06 Calend 01'!J62,0))</f>
        <v>0</v>
      </c>
      <c r="FX62" s="2">
        <f>((IF((168='V06 Calend 01'!C62),('V06 Calend 01'!F62+'V06 Calend 01'!G62),0)+IF(AND(('V06 Calend 01'!E62&gt;0),(168&gt;'V06 Calend 01'!C62),(168&lt;'V06 Calend 01'!D62),(MOD((168-'V06 Calend 01'!C62),6)=0),(((168-'V06 Calend 01'!C62)/6)&lt;='V06 Calend 01'!E62)),IF((168=('V06 Calend 01'!C62+(6*'V06 Calend 01'!E62))),('V06 Calend 01'!H62-('V06 Calend 01'!I62*('V06 Calend 01'!E62-1))),'V06 Calend 01'!I62),0))+IF((168='V06 Calend 01'!D62),'V06 Calend 01'!J62,0))</f>
        <v>0</v>
      </c>
      <c r="FY62" s="2">
        <f>((IF((169='V06 Calend 01'!C62),('V06 Calend 01'!F62+'V06 Calend 01'!G62),0)+IF(AND(('V06 Calend 01'!E62&gt;0),(169&gt;'V06 Calend 01'!C62),(169&lt;'V06 Calend 01'!D62),(MOD((169-'V06 Calend 01'!C62),6)=0),(((169-'V06 Calend 01'!C62)/6)&lt;='V06 Calend 01'!E62)),IF((169=('V06 Calend 01'!C62+(6*'V06 Calend 01'!E62))),('V06 Calend 01'!H62-('V06 Calend 01'!I62*('V06 Calend 01'!E62-1))),'V06 Calend 01'!I62),0))+IF((169='V06 Calend 01'!D62),'V06 Calend 01'!J62,0))</f>
        <v>0</v>
      </c>
      <c r="FZ62" s="2">
        <f>((IF((170='V06 Calend 01'!C62),('V06 Calend 01'!F62+'V06 Calend 01'!G62),0)+IF(AND(('V06 Calend 01'!E62&gt;0),(170&gt;'V06 Calend 01'!C62),(170&lt;'V06 Calend 01'!D62),(MOD((170-'V06 Calend 01'!C62),6)=0),(((170-'V06 Calend 01'!C62)/6)&lt;='V06 Calend 01'!E62)),IF((170=('V06 Calend 01'!C62+(6*'V06 Calend 01'!E62))),('V06 Calend 01'!H62-('V06 Calend 01'!I62*('V06 Calend 01'!E62-1))),'V06 Calend 01'!I62),0))+IF((170='V06 Calend 01'!D62),'V06 Calend 01'!J62,0))</f>
        <v>0</v>
      </c>
      <c r="GA62" s="2">
        <f>((IF((171='V06 Calend 01'!C62),('V06 Calend 01'!F62+'V06 Calend 01'!G62),0)+IF(AND(('V06 Calend 01'!E62&gt;0),(171&gt;'V06 Calend 01'!C62),(171&lt;'V06 Calend 01'!D62),(MOD((171-'V06 Calend 01'!C62),6)=0),(((171-'V06 Calend 01'!C62)/6)&lt;='V06 Calend 01'!E62)),IF((171=('V06 Calend 01'!C62+(6*'V06 Calend 01'!E62))),('V06 Calend 01'!H62-('V06 Calend 01'!I62*('V06 Calend 01'!E62-1))),'V06 Calend 01'!I62),0))+IF((171='V06 Calend 01'!D62),'V06 Calend 01'!J62,0))</f>
        <v>0</v>
      </c>
      <c r="GB62" s="2">
        <f>((IF((172='V06 Calend 01'!C62),('V06 Calend 01'!F62+'V06 Calend 01'!G62),0)+IF(AND(('V06 Calend 01'!E62&gt;0),(172&gt;'V06 Calend 01'!C62),(172&lt;'V06 Calend 01'!D62),(MOD((172-'V06 Calend 01'!C62),6)=0),(((172-'V06 Calend 01'!C62)/6)&lt;='V06 Calend 01'!E62)),IF((172=('V06 Calend 01'!C62+(6*'V06 Calend 01'!E62))),('V06 Calend 01'!H62-('V06 Calend 01'!I62*('V06 Calend 01'!E62-1))),'V06 Calend 01'!I62),0))+IF((172='V06 Calend 01'!D62),'V06 Calend 01'!J62,0))</f>
        <v>0</v>
      </c>
      <c r="GC62" s="2">
        <f>((IF((173='V06 Calend 01'!C62),('V06 Calend 01'!F62+'V06 Calend 01'!G62),0)+IF(AND(('V06 Calend 01'!E62&gt;0),(173&gt;'V06 Calend 01'!C62),(173&lt;'V06 Calend 01'!D62),(MOD((173-'V06 Calend 01'!C62),6)=0),(((173-'V06 Calend 01'!C62)/6)&lt;='V06 Calend 01'!E62)),IF((173=('V06 Calend 01'!C62+(6*'V06 Calend 01'!E62))),('V06 Calend 01'!H62-('V06 Calend 01'!I62*('V06 Calend 01'!E62-1))),'V06 Calend 01'!I62),0))+IF((173='V06 Calend 01'!D62),'V06 Calend 01'!J62,0))</f>
        <v>0</v>
      </c>
      <c r="GD62" s="2">
        <f>((IF((174='V06 Calend 01'!C62),('V06 Calend 01'!F62+'V06 Calend 01'!G62),0)+IF(AND(('V06 Calend 01'!E62&gt;0),(174&gt;'V06 Calend 01'!C62),(174&lt;'V06 Calend 01'!D62),(MOD((174-'V06 Calend 01'!C62),6)=0),(((174-'V06 Calend 01'!C62)/6)&lt;='V06 Calend 01'!E62)),IF((174=('V06 Calend 01'!C62+(6*'V06 Calend 01'!E62))),('V06 Calend 01'!H62-('V06 Calend 01'!I62*('V06 Calend 01'!E62-1))),'V06 Calend 01'!I62),0))+IF((174='V06 Calend 01'!D62),'V06 Calend 01'!J62,0))</f>
        <v>0</v>
      </c>
      <c r="GE62" s="2">
        <f>((IF((175='V06 Calend 01'!C62),('V06 Calend 01'!F62+'V06 Calend 01'!G62),0)+IF(AND(('V06 Calend 01'!E62&gt;0),(175&gt;'V06 Calend 01'!C62),(175&lt;'V06 Calend 01'!D62),(MOD((175-'V06 Calend 01'!C62),6)=0),(((175-'V06 Calend 01'!C62)/6)&lt;='V06 Calend 01'!E62)),IF((175=('V06 Calend 01'!C62+(6*'V06 Calend 01'!E62))),('V06 Calend 01'!H62-('V06 Calend 01'!I62*('V06 Calend 01'!E62-1))),'V06 Calend 01'!I62),0))+IF((175='V06 Calend 01'!D62),'V06 Calend 01'!J62,0))</f>
        <v>0</v>
      </c>
      <c r="GF62" s="2">
        <f>((IF((176='V06 Calend 01'!C62),('V06 Calend 01'!F62+'V06 Calend 01'!G62),0)+IF(AND(('V06 Calend 01'!E62&gt;0),(176&gt;'V06 Calend 01'!C62),(176&lt;'V06 Calend 01'!D62),(MOD((176-'V06 Calend 01'!C62),6)=0),(((176-'V06 Calend 01'!C62)/6)&lt;='V06 Calend 01'!E62)),IF((176=('V06 Calend 01'!C62+(6*'V06 Calend 01'!E62))),('V06 Calend 01'!H62-('V06 Calend 01'!I62*('V06 Calend 01'!E62-1))),'V06 Calend 01'!I62),0))+IF((176='V06 Calend 01'!D62),'V06 Calend 01'!J62,0))</f>
        <v>0</v>
      </c>
      <c r="GG62" s="2">
        <f>((IF((177='V06 Calend 01'!C62),('V06 Calend 01'!F62+'V06 Calend 01'!G62),0)+IF(AND(('V06 Calend 01'!E62&gt;0),(177&gt;'V06 Calend 01'!C62),(177&lt;'V06 Calend 01'!D62),(MOD((177-'V06 Calend 01'!C62),6)=0),(((177-'V06 Calend 01'!C62)/6)&lt;='V06 Calend 01'!E62)),IF((177=('V06 Calend 01'!C62+(6*'V06 Calend 01'!E62))),('V06 Calend 01'!H62-('V06 Calend 01'!I62*('V06 Calend 01'!E62-1))),'V06 Calend 01'!I62),0))+IF((177='V06 Calend 01'!D62),'V06 Calend 01'!J62,0))</f>
        <v>0</v>
      </c>
      <c r="GH62" s="2">
        <f>((IF((178='V06 Calend 01'!C62),('V06 Calend 01'!F62+'V06 Calend 01'!G62),0)+IF(AND(('V06 Calend 01'!E62&gt;0),(178&gt;'V06 Calend 01'!C62),(178&lt;'V06 Calend 01'!D62),(MOD((178-'V06 Calend 01'!C62),6)=0),(((178-'V06 Calend 01'!C62)/6)&lt;='V06 Calend 01'!E62)),IF((178=('V06 Calend 01'!C62+(6*'V06 Calend 01'!E62))),('V06 Calend 01'!H62-('V06 Calend 01'!I62*('V06 Calend 01'!E62-1))),'V06 Calend 01'!I62),0))+IF((178='V06 Calend 01'!D62),'V06 Calend 01'!J62,0))</f>
        <v>0</v>
      </c>
      <c r="GI62" s="2">
        <f>((IF((179='V06 Calend 01'!C62),('V06 Calend 01'!F62+'V06 Calend 01'!G62),0)+IF(AND(('V06 Calend 01'!E62&gt;0),(179&gt;'V06 Calend 01'!C62),(179&lt;'V06 Calend 01'!D62),(MOD((179-'V06 Calend 01'!C62),6)=0),(((179-'V06 Calend 01'!C62)/6)&lt;='V06 Calend 01'!E62)),IF((179=('V06 Calend 01'!C62+(6*'V06 Calend 01'!E62))),('V06 Calend 01'!H62-('V06 Calend 01'!I62*('V06 Calend 01'!E62-1))),'V06 Calend 01'!I62),0))+IF((179='V06 Calend 01'!D62),'V06 Calend 01'!J62,0))</f>
        <v>0</v>
      </c>
      <c r="GJ62" s="2">
        <f>((IF((180='V06 Calend 01'!C62),('V06 Calend 01'!F62+'V06 Calend 01'!G62),0)+IF(AND(('V06 Calend 01'!E62&gt;0),(180&gt;'V06 Calend 01'!C62),(180&lt;'V06 Calend 01'!D62),(MOD((180-'V06 Calend 01'!C62),6)=0),(((180-'V06 Calend 01'!C62)/6)&lt;='V06 Calend 01'!E62)),IF((180=('V06 Calend 01'!C62+(6*'V06 Calend 01'!E62))),('V06 Calend 01'!H62-('V06 Calend 01'!I62*('V06 Calend 01'!E62-1))),'V06 Calend 01'!I62),0))+IF((180='V06 Calend 01'!D62),'V06 Calend 01'!J62,0))</f>
        <v>0</v>
      </c>
    </row>
    <row r="63" spans="1:192">
      <c r="A63" s="3" t="str">
        <f>'V06 Unidades'!$A$63</f>
        <v>709</v>
      </c>
      <c r="B63" s="2">
        <f>'V06 Unidades'!$H$63</f>
        <v>537677.3</v>
      </c>
      <c r="C63" s="4">
        <f>('V06 Unidades'!$I$63+'V06 Controlos'!$B$37)</f>
        <v>13</v>
      </c>
      <c r="D63" s="4">
        <f>IF(('V06 Controlos'!$B$38&gt;0),MAX(('V06 Unidades'!$L$63+'V06 Controlos'!$B$37),(30+'V06 Controlos'!$B$38)),('V06 Unidades'!$L$63+'V06 Controlos'!$B$37))</f>
        <v>29</v>
      </c>
      <c r="E63" s="4">
        <f>MAX(0,INT(((('V06 Calend 01'!D63-'V06 Calend 01'!C63)-1)/6)))</f>
        <v>2</v>
      </c>
      <c r="F63" s="2">
        <f>ROUND(('V06 Calend 01'!B63*0.05),2)</f>
        <v>26883.87</v>
      </c>
      <c r="G63" s="2">
        <f>ROUND(('V06 Calend 01'!B63*0.2),2)</f>
        <v>107535.46</v>
      </c>
      <c r="H63" s="2">
        <f>ROUND(('V06 Calend 01'!B63*0.55),2)</f>
        <v>295722.52</v>
      </c>
      <c r="I63" s="2">
        <f>ROUND(('V06 Calend 01'!H63/MAX(1,'V06 Calend 01'!E63)),2)</f>
        <v>147861.26</v>
      </c>
      <c r="J63" s="2">
        <f>((('V06 Calend 01'!B63-'V06 Calend 01'!F63)-'V06 Calend 01'!G63)-'V06 Calend 01'!H63)</f>
        <v>107535.45000000001</v>
      </c>
      <c r="K63" s="2">
        <f>('V06 Calend 01'!B63*0.025)</f>
        <v>13441.932500000003</v>
      </c>
      <c r="L63" t="s">
        <v>378</v>
      </c>
      <c r="M63" s="2">
        <f>((IF((1='V06 Calend 01'!C63),('V06 Calend 01'!F63+'V06 Calend 01'!G63),0)+IF(AND(('V06 Calend 01'!E63&gt;0),(1&gt;'V06 Calend 01'!C63),(1&lt;'V06 Calend 01'!D63),(MOD((1-'V06 Calend 01'!C63),6)=0),(((1-'V06 Calend 01'!C63)/6)&lt;='V06 Calend 01'!E63)),IF((1=('V06 Calend 01'!C63+(6*'V06 Calend 01'!E63))),('V06 Calend 01'!H63-('V06 Calend 01'!I63*('V06 Calend 01'!E63-1))),'V06 Calend 01'!I63),0))+IF((1='V06 Calend 01'!D63),'V06 Calend 01'!J63,0))</f>
        <v>0</v>
      </c>
      <c r="N63" s="2">
        <f>((IF((2='V06 Calend 01'!C63),('V06 Calend 01'!F63+'V06 Calend 01'!G63),0)+IF(AND(('V06 Calend 01'!E63&gt;0),(2&gt;'V06 Calend 01'!C63),(2&lt;'V06 Calend 01'!D63),(MOD((2-'V06 Calend 01'!C63),6)=0),(((2-'V06 Calend 01'!C63)/6)&lt;='V06 Calend 01'!E63)),IF((2=('V06 Calend 01'!C63+(6*'V06 Calend 01'!E63))),('V06 Calend 01'!H63-('V06 Calend 01'!I63*('V06 Calend 01'!E63-1))),'V06 Calend 01'!I63),0))+IF((2='V06 Calend 01'!D63),'V06 Calend 01'!J63,0))</f>
        <v>0</v>
      </c>
      <c r="O63" s="2">
        <f>((IF((3='V06 Calend 01'!C63),('V06 Calend 01'!F63+'V06 Calend 01'!G63),0)+IF(AND(('V06 Calend 01'!E63&gt;0),(3&gt;'V06 Calend 01'!C63),(3&lt;'V06 Calend 01'!D63),(MOD((3-'V06 Calend 01'!C63),6)=0),(((3-'V06 Calend 01'!C63)/6)&lt;='V06 Calend 01'!E63)),IF((3=('V06 Calend 01'!C63+(6*'V06 Calend 01'!E63))),('V06 Calend 01'!H63-('V06 Calend 01'!I63*('V06 Calend 01'!E63-1))),'V06 Calend 01'!I63),0))+IF((3='V06 Calend 01'!D63),'V06 Calend 01'!J63,0))</f>
        <v>0</v>
      </c>
      <c r="P63" s="2">
        <f>((IF((4='V06 Calend 01'!C63),('V06 Calend 01'!F63+'V06 Calend 01'!G63),0)+IF(AND(('V06 Calend 01'!E63&gt;0),(4&gt;'V06 Calend 01'!C63),(4&lt;'V06 Calend 01'!D63),(MOD((4-'V06 Calend 01'!C63),6)=0),(((4-'V06 Calend 01'!C63)/6)&lt;='V06 Calend 01'!E63)),IF((4=('V06 Calend 01'!C63+(6*'V06 Calend 01'!E63))),('V06 Calend 01'!H63-('V06 Calend 01'!I63*('V06 Calend 01'!E63-1))),'V06 Calend 01'!I63),0))+IF((4='V06 Calend 01'!D63),'V06 Calend 01'!J63,0))</f>
        <v>0</v>
      </c>
      <c r="Q63" s="2">
        <f>((IF((5='V06 Calend 01'!C63),('V06 Calend 01'!F63+'V06 Calend 01'!G63),0)+IF(AND(('V06 Calend 01'!E63&gt;0),(5&gt;'V06 Calend 01'!C63),(5&lt;'V06 Calend 01'!D63),(MOD((5-'V06 Calend 01'!C63),6)=0),(((5-'V06 Calend 01'!C63)/6)&lt;='V06 Calend 01'!E63)),IF((5=('V06 Calend 01'!C63+(6*'V06 Calend 01'!E63))),('V06 Calend 01'!H63-('V06 Calend 01'!I63*('V06 Calend 01'!E63-1))),'V06 Calend 01'!I63),0))+IF((5='V06 Calend 01'!D63),'V06 Calend 01'!J63,0))</f>
        <v>0</v>
      </c>
      <c r="R63" s="2">
        <f>((IF((6='V06 Calend 01'!C63),('V06 Calend 01'!F63+'V06 Calend 01'!G63),0)+IF(AND(('V06 Calend 01'!E63&gt;0),(6&gt;'V06 Calend 01'!C63),(6&lt;'V06 Calend 01'!D63),(MOD((6-'V06 Calend 01'!C63),6)=0),(((6-'V06 Calend 01'!C63)/6)&lt;='V06 Calend 01'!E63)),IF((6=('V06 Calend 01'!C63+(6*'V06 Calend 01'!E63))),('V06 Calend 01'!H63-('V06 Calend 01'!I63*('V06 Calend 01'!E63-1))),'V06 Calend 01'!I63),0))+IF((6='V06 Calend 01'!D63),'V06 Calend 01'!J63,0))</f>
        <v>0</v>
      </c>
      <c r="S63" s="2">
        <f>((IF((7='V06 Calend 01'!C63),('V06 Calend 01'!F63+'V06 Calend 01'!G63),0)+IF(AND(('V06 Calend 01'!E63&gt;0),(7&gt;'V06 Calend 01'!C63),(7&lt;'V06 Calend 01'!D63),(MOD((7-'V06 Calend 01'!C63),6)=0),(((7-'V06 Calend 01'!C63)/6)&lt;='V06 Calend 01'!E63)),IF((7=('V06 Calend 01'!C63+(6*'V06 Calend 01'!E63))),('V06 Calend 01'!H63-('V06 Calend 01'!I63*('V06 Calend 01'!E63-1))),'V06 Calend 01'!I63),0))+IF((7='V06 Calend 01'!D63),'V06 Calend 01'!J63,0))</f>
        <v>0</v>
      </c>
      <c r="T63" s="2">
        <f>((IF((8='V06 Calend 01'!C63),('V06 Calend 01'!F63+'V06 Calend 01'!G63),0)+IF(AND(('V06 Calend 01'!E63&gt;0),(8&gt;'V06 Calend 01'!C63),(8&lt;'V06 Calend 01'!D63),(MOD((8-'V06 Calend 01'!C63),6)=0),(((8-'V06 Calend 01'!C63)/6)&lt;='V06 Calend 01'!E63)),IF((8=('V06 Calend 01'!C63+(6*'V06 Calend 01'!E63))),('V06 Calend 01'!H63-('V06 Calend 01'!I63*('V06 Calend 01'!E63-1))),'V06 Calend 01'!I63),0))+IF((8='V06 Calend 01'!D63),'V06 Calend 01'!J63,0))</f>
        <v>0</v>
      </c>
      <c r="U63" s="2">
        <f>((IF((9='V06 Calend 01'!C63),('V06 Calend 01'!F63+'V06 Calend 01'!G63),0)+IF(AND(('V06 Calend 01'!E63&gt;0),(9&gt;'V06 Calend 01'!C63),(9&lt;'V06 Calend 01'!D63),(MOD((9-'V06 Calend 01'!C63),6)=0),(((9-'V06 Calend 01'!C63)/6)&lt;='V06 Calend 01'!E63)),IF((9=('V06 Calend 01'!C63+(6*'V06 Calend 01'!E63))),('V06 Calend 01'!H63-('V06 Calend 01'!I63*('V06 Calend 01'!E63-1))),'V06 Calend 01'!I63),0))+IF((9='V06 Calend 01'!D63),'V06 Calend 01'!J63,0))</f>
        <v>0</v>
      </c>
      <c r="V63" s="2">
        <f>((IF((10='V06 Calend 01'!C63),('V06 Calend 01'!F63+'V06 Calend 01'!G63),0)+IF(AND(('V06 Calend 01'!E63&gt;0),(10&gt;'V06 Calend 01'!C63),(10&lt;'V06 Calend 01'!D63),(MOD((10-'V06 Calend 01'!C63),6)=0),(((10-'V06 Calend 01'!C63)/6)&lt;='V06 Calend 01'!E63)),IF((10=('V06 Calend 01'!C63+(6*'V06 Calend 01'!E63))),('V06 Calend 01'!H63-('V06 Calend 01'!I63*('V06 Calend 01'!E63-1))),'V06 Calend 01'!I63),0))+IF((10='V06 Calend 01'!D63),'V06 Calend 01'!J63,0))</f>
        <v>0</v>
      </c>
      <c r="W63" s="2">
        <f>((IF((11='V06 Calend 01'!C63),('V06 Calend 01'!F63+'V06 Calend 01'!G63),0)+IF(AND(('V06 Calend 01'!E63&gt;0),(11&gt;'V06 Calend 01'!C63),(11&lt;'V06 Calend 01'!D63),(MOD((11-'V06 Calend 01'!C63),6)=0),(((11-'V06 Calend 01'!C63)/6)&lt;='V06 Calend 01'!E63)),IF((11=('V06 Calend 01'!C63+(6*'V06 Calend 01'!E63))),('V06 Calend 01'!H63-('V06 Calend 01'!I63*('V06 Calend 01'!E63-1))),'V06 Calend 01'!I63),0))+IF((11='V06 Calend 01'!D63),'V06 Calend 01'!J63,0))</f>
        <v>0</v>
      </c>
      <c r="X63" s="2">
        <f>((IF((12='V06 Calend 01'!C63),('V06 Calend 01'!F63+'V06 Calend 01'!G63),0)+IF(AND(('V06 Calend 01'!E63&gt;0),(12&gt;'V06 Calend 01'!C63),(12&lt;'V06 Calend 01'!D63),(MOD((12-'V06 Calend 01'!C63),6)=0),(((12-'V06 Calend 01'!C63)/6)&lt;='V06 Calend 01'!E63)),IF((12=('V06 Calend 01'!C63+(6*'V06 Calend 01'!E63))),('V06 Calend 01'!H63-('V06 Calend 01'!I63*('V06 Calend 01'!E63-1))),'V06 Calend 01'!I63),0))+IF((12='V06 Calend 01'!D63),'V06 Calend 01'!J63,0))</f>
        <v>0</v>
      </c>
      <c r="Y63" s="2">
        <f>((IF((13='V06 Calend 01'!C63),('V06 Calend 01'!F63+'V06 Calend 01'!G63),0)+IF(AND(('V06 Calend 01'!E63&gt;0),(13&gt;'V06 Calend 01'!C63),(13&lt;'V06 Calend 01'!D63),(MOD((13-'V06 Calend 01'!C63),6)=0),(((13-'V06 Calend 01'!C63)/6)&lt;='V06 Calend 01'!E63)),IF((13=('V06 Calend 01'!C63+(6*'V06 Calend 01'!E63))),('V06 Calend 01'!H63-('V06 Calend 01'!I63*('V06 Calend 01'!E63-1))),'V06 Calend 01'!I63),0))+IF((13='V06 Calend 01'!D63),'V06 Calend 01'!J63,0))</f>
        <v>134419.33000000002</v>
      </c>
      <c r="Z63" s="2">
        <f>((IF((14='V06 Calend 01'!C63),('V06 Calend 01'!F63+'V06 Calend 01'!G63),0)+IF(AND(('V06 Calend 01'!E63&gt;0),(14&gt;'V06 Calend 01'!C63),(14&lt;'V06 Calend 01'!D63),(MOD((14-'V06 Calend 01'!C63),6)=0),(((14-'V06 Calend 01'!C63)/6)&lt;='V06 Calend 01'!E63)),IF((14=('V06 Calend 01'!C63+(6*'V06 Calend 01'!E63))),('V06 Calend 01'!H63-('V06 Calend 01'!I63*('V06 Calend 01'!E63-1))),'V06 Calend 01'!I63),0))+IF((14='V06 Calend 01'!D63),'V06 Calend 01'!J63,0))</f>
        <v>0</v>
      </c>
      <c r="AA63" s="2">
        <f>((IF((15='V06 Calend 01'!C63),('V06 Calend 01'!F63+'V06 Calend 01'!G63),0)+IF(AND(('V06 Calend 01'!E63&gt;0),(15&gt;'V06 Calend 01'!C63),(15&lt;'V06 Calend 01'!D63),(MOD((15-'V06 Calend 01'!C63),6)=0),(((15-'V06 Calend 01'!C63)/6)&lt;='V06 Calend 01'!E63)),IF((15=('V06 Calend 01'!C63+(6*'V06 Calend 01'!E63))),('V06 Calend 01'!H63-('V06 Calend 01'!I63*('V06 Calend 01'!E63-1))),'V06 Calend 01'!I63),0))+IF((15='V06 Calend 01'!D63),'V06 Calend 01'!J63,0))</f>
        <v>0</v>
      </c>
      <c r="AB63" s="2">
        <f>((IF((16='V06 Calend 01'!C63),('V06 Calend 01'!F63+'V06 Calend 01'!G63),0)+IF(AND(('V06 Calend 01'!E63&gt;0),(16&gt;'V06 Calend 01'!C63),(16&lt;'V06 Calend 01'!D63),(MOD((16-'V06 Calend 01'!C63),6)=0),(((16-'V06 Calend 01'!C63)/6)&lt;='V06 Calend 01'!E63)),IF((16=('V06 Calend 01'!C63+(6*'V06 Calend 01'!E63))),('V06 Calend 01'!H63-('V06 Calend 01'!I63*('V06 Calend 01'!E63-1))),'V06 Calend 01'!I63),0))+IF((16='V06 Calend 01'!D63),'V06 Calend 01'!J63,0))</f>
        <v>0</v>
      </c>
      <c r="AC63" s="2">
        <f>((IF((17='V06 Calend 01'!C63),('V06 Calend 01'!F63+'V06 Calend 01'!G63),0)+IF(AND(('V06 Calend 01'!E63&gt;0),(17&gt;'V06 Calend 01'!C63),(17&lt;'V06 Calend 01'!D63),(MOD((17-'V06 Calend 01'!C63),6)=0),(((17-'V06 Calend 01'!C63)/6)&lt;='V06 Calend 01'!E63)),IF((17=('V06 Calend 01'!C63+(6*'V06 Calend 01'!E63))),('V06 Calend 01'!H63-('V06 Calend 01'!I63*('V06 Calend 01'!E63-1))),'V06 Calend 01'!I63),0))+IF((17='V06 Calend 01'!D63),'V06 Calend 01'!J63,0))</f>
        <v>0</v>
      </c>
      <c r="AD63" s="2">
        <f>((IF((18='V06 Calend 01'!C63),('V06 Calend 01'!F63+'V06 Calend 01'!G63),0)+IF(AND(('V06 Calend 01'!E63&gt;0),(18&gt;'V06 Calend 01'!C63),(18&lt;'V06 Calend 01'!D63),(MOD((18-'V06 Calend 01'!C63),6)=0),(((18-'V06 Calend 01'!C63)/6)&lt;='V06 Calend 01'!E63)),IF((18=('V06 Calend 01'!C63+(6*'V06 Calend 01'!E63))),('V06 Calend 01'!H63-('V06 Calend 01'!I63*('V06 Calend 01'!E63-1))),'V06 Calend 01'!I63),0))+IF((18='V06 Calend 01'!D63),'V06 Calend 01'!J63,0))</f>
        <v>0</v>
      </c>
      <c r="AE63" s="2">
        <f>((IF((19='V06 Calend 01'!C63),('V06 Calend 01'!F63+'V06 Calend 01'!G63),0)+IF(AND(('V06 Calend 01'!E63&gt;0),(19&gt;'V06 Calend 01'!C63),(19&lt;'V06 Calend 01'!D63),(MOD((19-'V06 Calend 01'!C63),6)=0),(((19-'V06 Calend 01'!C63)/6)&lt;='V06 Calend 01'!E63)),IF((19=('V06 Calend 01'!C63+(6*'V06 Calend 01'!E63))),('V06 Calend 01'!H63-('V06 Calend 01'!I63*('V06 Calend 01'!E63-1))),'V06 Calend 01'!I63),0))+IF((19='V06 Calend 01'!D63),'V06 Calend 01'!J63,0))</f>
        <v>147861.26</v>
      </c>
      <c r="AF63" s="2">
        <f>((IF((20='V06 Calend 01'!C63),('V06 Calend 01'!F63+'V06 Calend 01'!G63),0)+IF(AND(('V06 Calend 01'!E63&gt;0),(20&gt;'V06 Calend 01'!C63),(20&lt;'V06 Calend 01'!D63),(MOD((20-'V06 Calend 01'!C63),6)=0),(((20-'V06 Calend 01'!C63)/6)&lt;='V06 Calend 01'!E63)),IF((20=('V06 Calend 01'!C63+(6*'V06 Calend 01'!E63))),('V06 Calend 01'!H63-('V06 Calend 01'!I63*('V06 Calend 01'!E63-1))),'V06 Calend 01'!I63),0))+IF((20='V06 Calend 01'!D63),'V06 Calend 01'!J63,0))</f>
        <v>0</v>
      </c>
      <c r="AG63" s="2">
        <f>((IF((21='V06 Calend 01'!C63),('V06 Calend 01'!F63+'V06 Calend 01'!G63),0)+IF(AND(('V06 Calend 01'!E63&gt;0),(21&gt;'V06 Calend 01'!C63),(21&lt;'V06 Calend 01'!D63),(MOD((21-'V06 Calend 01'!C63),6)=0),(((21-'V06 Calend 01'!C63)/6)&lt;='V06 Calend 01'!E63)),IF((21=('V06 Calend 01'!C63+(6*'V06 Calend 01'!E63))),('V06 Calend 01'!H63-('V06 Calend 01'!I63*('V06 Calend 01'!E63-1))),'V06 Calend 01'!I63),0))+IF((21='V06 Calend 01'!D63),'V06 Calend 01'!J63,0))</f>
        <v>0</v>
      </c>
      <c r="AH63" s="2">
        <f>((IF((22='V06 Calend 01'!C63),('V06 Calend 01'!F63+'V06 Calend 01'!G63),0)+IF(AND(('V06 Calend 01'!E63&gt;0),(22&gt;'V06 Calend 01'!C63),(22&lt;'V06 Calend 01'!D63),(MOD((22-'V06 Calend 01'!C63),6)=0),(((22-'V06 Calend 01'!C63)/6)&lt;='V06 Calend 01'!E63)),IF((22=('V06 Calend 01'!C63+(6*'V06 Calend 01'!E63))),('V06 Calend 01'!H63-('V06 Calend 01'!I63*('V06 Calend 01'!E63-1))),'V06 Calend 01'!I63),0))+IF((22='V06 Calend 01'!D63),'V06 Calend 01'!J63,0))</f>
        <v>0</v>
      </c>
      <c r="AI63" s="2">
        <f>((IF((23='V06 Calend 01'!C63),('V06 Calend 01'!F63+'V06 Calend 01'!G63),0)+IF(AND(('V06 Calend 01'!E63&gt;0),(23&gt;'V06 Calend 01'!C63),(23&lt;'V06 Calend 01'!D63),(MOD((23-'V06 Calend 01'!C63),6)=0),(((23-'V06 Calend 01'!C63)/6)&lt;='V06 Calend 01'!E63)),IF((23=('V06 Calend 01'!C63+(6*'V06 Calend 01'!E63))),('V06 Calend 01'!H63-('V06 Calend 01'!I63*('V06 Calend 01'!E63-1))),'V06 Calend 01'!I63),0))+IF((23='V06 Calend 01'!D63),'V06 Calend 01'!J63,0))</f>
        <v>0</v>
      </c>
      <c r="AJ63" s="2">
        <f>((IF((24='V06 Calend 01'!C63),('V06 Calend 01'!F63+'V06 Calend 01'!G63),0)+IF(AND(('V06 Calend 01'!E63&gt;0),(24&gt;'V06 Calend 01'!C63),(24&lt;'V06 Calend 01'!D63),(MOD((24-'V06 Calend 01'!C63),6)=0),(((24-'V06 Calend 01'!C63)/6)&lt;='V06 Calend 01'!E63)),IF((24=('V06 Calend 01'!C63+(6*'V06 Calend 01'!E63))),('V06 Calend 01'!H63-('V06 Calend 01'!I63*('V06 Calend 01'!E63-1))),'V06 Calend 01'!I63),0))+IF((24='V06 Calend 01'!D63),'V06 Calend 01'!J63,0))</f>
        <v>0</v>
      </c>
      <c r="AK63" s="2">
        <f>((IF((25='V06 Calend 01'!C63),('V06 Calend 01'!F63+'V06 Calend 01'!G63),0)+IF(AND(('V06 Calend 01'!E63&gt;0),(25&gt;'V06 Calend 01'!C63),(25&lt;'V06 Calend 01'!D63),(MOD((25-'V06 Calend 01'!C63),6)=0),(((25-'V06 Calend 01'!C63)/6)&lt;='V06 Calend 01'!E63)),IF((25=('V06 Calend 01'!C63+(6*'V06 Calend 01'!E63))),('V06 Calend 01'!H63-('V06 Calend 01'!I63*('V06 Calend 01'!E63-1))),'V06 Calend 01'!I63),0))+IF((25='V06 Calend 01'!D63),'V06 Calend 01'!J63,0))</f>
        <v>147861.26</v>
      </c>
      <c r="AL63" s="2">
        <f>((IF((26='V06 Calend 01'!C63),('V06 Calend 01'!F63+'V06 Calend 01'!G63),0)+IF(AND(('V06 Calend 01'!E63&gt;0),(26&gt;'V06 Calend 01'!C63),(26&lt;'V06 Calend 01'!D63),(MOD((26-'V06 Calend 01'!C63),6)=0),(((26-'V06 Calend 01'!C63)/6)&lt;='V06 Calend 01'!E63)),IF((26=('V06 Calend 01'!C63+(6*'V06 Calend 01'!E63))),('V06 Calend 01'!H63-('V06 Calend 01'!I63*('V06 Calend 01'!E63-1))),'V06 Calend 01'!I63),0))+IF((26='V06 Calend 01'!D63),'V06 Calend 01'!J63,0))</f>
        <v>0</v>
      </c>
      <c r="AM63" s="2">
        <f>((IF((27='V06 Calend 01'!C63),('V06 Calend 01'!F63+'V06 Calend 01'!G63),0)+IF(AND(('V06 Calend 01'!E63&gt;0),(27&gt;'V06 Calend 01'!C63),(27&lt;'V06 Calend 01'!D63),(MOD((27-'V06 Calend 01'!C63),6)=0),(((27-'V06 Calend 01'!C63)/6)&lt;='V06 Calend 01'!E63)),IF((27=('V06 Calend 01'!C63+(6*'V06 Calend 01'!E63))),('V06 Calend 01'!H63-('V06 Calend 01'!I63*('V06 Calend 01'!E63-1))),'V06 Calend 01'!I63),0))+IF((27='V06 Calend 01'!D63),'V06 Calend 01'!J63,0))</f>
        <v>0</v>
      </c>
      <c r="AN63" s="2">
        <f>((IF((28='V06 Calend 01'!C63),('V06 Calend 01'!F63+'V06 Calend 01'!G63),0)+IF(AND(('V06 Calend 01'!E63&gt;0),(28&gt;'V06 Calend 01'!C63),(28&lt;'V06 Calend 01'!D63),(MOD((28-'V06 Calend 01'!C63),6)=0),(((28-'V06 Calend 01'!C63)/6)&lt;='V06 Calend 01'!E63)),IF((28=('V06 Calend 01'!C63+(6*'V06 Calend 01'!E63))),('V06 Calend 01'!H63-('V06 Calend 01'!I63*('V06 Calend 01'!E63-1))),'V06 Calend 01'!I63),0))+IF((28='V06 Calend 01'!D63),'V06 Calend 01'!J63,0))</f>
        <v>0</v>
      </c>
      <c r="AO63" s="2">
        <f>((IF((29='V06 Calend 01'!C63),('V06 Calend 01'!F63+'V06 Calend 01'!G63),0)+IF(AND(('V06 Calend 01'!E63&gt;0),(29&gt;'V06 Calend 01'!C63),(29&lt;'V06 Calend 01'!D63),(MOD((29-'V06 Calend 01'!C63),6)=0),(((29-'V06 Calend 01'!C63)/6)&lt;='V06 Calend 01'!E63)),IF((29=('V06 Calend 01'!C63+(6*'V06 Calend 01'!E63))),('V06 Calend 01'!H63-('V06 Calend 01'!I63*('V06 Calend 01'!E63-1))),'V06 Calend 01'!I63),0))+IF((29='V06 Calend 01'!D63),'V06 Calend 01'!J63,0))</f>
        <v>107535.45000000001</v>
      </c>
      <c r="AP63" s="2">
        <f>((IF((30='V06 Calend 01'!C63),('V06 Calend 01'!F63+'V06 Calend 01'!G63),0)+IF(AND(('V06 Calend 01'!E63&gt;0),(30&gt;'V06 Calend 01'!C63),(30&lt;'V06 Calend 01'!D63),(MOD((30-'V06 Calend 01'!C63),6)=0),(((30-'V06 Calend 01'!C63)/6)&lt;='V06 Calend 01'!E63)),IF((30=('V06 Calend 01'!C63+(6*'V06 Calend 01'!E63))),('V06 Calend 01'!H63-('V06 Calend 01'!I63*('V06 Calend 01'!E63-1))),'V06 Calend 01'!I63),0))+IF((30='V06 Calend 01'!D63),'V06 Calend 01'!J63,0))</f>
        <v>0</v>
      </c>
      <c r="AQ63" s="2">
        <f>((IF((31='V06 Calend 01'!C63),('V06 Calend 01'!F63+'V06 Calend 01'!G63),0)+IF(AND(('V06 Calend 01'!E63&gt;0),(31&gt;'V06 Calend 01'!C63),(31&lt;'V06 Calend 01'!D63),(MOD((31-'V06 Calend 01'!C63),6)=0),(((31-'V06 Calend 01'!C63)/6)&lt;='V06 Calend 01'!E63)),IF((31=('V06 Calend 01'!C63+(6*'V06 Calend 01'!E63))),('V06 Calend 01'!H63-('V06 Calend 01'!I63*('V06 Calend 01'!E63-1))),'V06 Calend 01'!I63),0))+IF((31='V06 Calend 01'!D63),'V06 Calend 01'!J63,0))</f>
        <v>0</v>
      </c>
      <c r="AR63" s="2">
        <f>((IF((32='V06 Calend 01'!C63),('V06 Calend 01'!F63+'V06 Calend 01'!G63),0)+IF(AND(('V06 Calend 01'!E63&gt;0),(32&gt;'V06 Calend 01'!C63),(32&lt;'V06 Calend 01'!D63),(MOD((32-'V06 Calend 01'!C63),6)=0),(((32-'V06 Calend 01'!C63)/6)&lt;='V06 Calend 01'!E63)),IF((32=('V06 Calend 01'!C63+(6*'V06 Calend 01'!E63))),('V06 Calend 01'!H63-('V06 Calend 01'!I63*('V06 Calend 01'!E63-1))),'V06 Calend 01'!I63),0))+IF((32='V06 Calend 01'!D63),'V06 Calend 01'!J63,0))</f>
        <v>0</v>
      </c>
      <c r="AS63" s="2">
        <f>((IF((33='V06 Calend 01'!C63),('V06 Calend 01'!F63+'V06 Calend 01'!G63),0)+IF(AND(('V06 Calend 01'!E63&gt;0),(33&gt;'V06 Calend 01'!C63),(33&lt;'V06 Calend 01'!D63),(MOD((33-'V06 Calend 01'!C63),6)=0),(((33-'V06 Calend 01'!C63)/6)&lt;='V06 Calend 01'!E63)),IF((33=('V06 Calend 01'!C63+(6*'V06 Calend 01'!E63))),('V06 Calend 01'!H63-('V06 Calend 01'!I63*('V06 Calend 01'!E63-1))),'V06 Calend 01'!I63),0))+IF((33='V06 Calend 01'!D63),'V06 Calend 01'!J63,0))</f>
        <v>0</v>
      </c>
      <c r="AT63" s="2">
        <f>((IF((34='V06 Calend 01'!C63),('V06 Calend 01'!F63+'V06 Calend 01'!G63),0)+IF(AND(('V06 Calend 01'!E63&gt;0),(34&gt;'V06 Calend 01'!C63),(34&lt;'V06 Calend 01'!D63),(MOD((34-'V06 Calend 01'!C63),6)=0),(((34-'V06 Calend 01'!C63)/6)&lt;='V06 Calend 01'!E63)),IF((34=('V06 Calend 01'!C63+(6*'V06 Calend 01'!E63))),('V06 Calend 01'!H63-('V06 Calend 01'!I63*('V06 Calend 01'!E63-1))),'V06 Calend 01'!I63),0))+IF((34='V06 Calend 01'!D63),'V06 Calend 01'!J63,0))</f>
        <v>0</v>
      </c>
      <c r="AU63" s="2">
        <f>((IF((35='V06 Calend 01'!C63),('V06 Calend 01'!F63+'V06 Calend 01'!G63),0)+IF(AND(('V06 Calend 01'!E63&gt;0),(35&gt;'V06 Calend 01'!C63),(35&lt;'V06 Calend 01'!D63),(MOD((35-'V06 Calend 01'!C63),6)=0),(((35-'V06 Calend 01'!C63)/6)&lt;='V06 Calend 01'!E63)),IF((35=('V06 Calend 01'!C63+(6*'V06 Calend 01'!E63))),('V06 Calend 01'!H63-('V06 Calend 01'!I63*('V06 Calend 01'!E63-1))),'V06 Calend 01'!I63),0))+IF((35='V06 Calend 01'!D63),'V06 Calend 01'!J63,0))</f>
        <v>0</v>
      </c>
      <c r="AV63" s="2">
        <f>((IF((36='V06 Calend 01'!C63),('V06 Calend 01'!F63+'V06 Calend 01'!G63),0)+IF(AND(('V06 Calend 01'!E63&gt;0),(36&gt;'V06 Calend 01'!C63),(36&lt;'V06 Calend 01'!D63),(MOD((36-'V06 Calend 01'!C63),6)=0),(((36-'V06 Calend 01'!C63)/6)&lt;='V06 Calend 01'!E63)),IF((36=('V06 Calend 01'!C63+(6*'V06 Calend 01'!E63))),('V06 Calend 01'!H63-('V06 Calend 01'!I63*('V06 Calend 01'!E63-1))),'V06 Calend 01'!I63),0))+IF((36='V06 Calend 01'!D63),'V06 Calend 01'!J63,0))</f>
        <v>0</v>
      </c>
      <c r="AW63" s="2">
        <f>((IF((37='V06 Calend 01'!C63),('V06 Calend 01'!F63+'V06 Calend 01'!G63),0)+IF(AND(('V06 Calend 01'!E63&gt;0),(37&gt;'V06 Calend 01'!C63),(37&lt;'V06 Calend 01'!D63),(MOD((37-'V06 Calend 01'!C63),6)=0),(((37-'V06 Calend 01'!C63)/6)&lt;='V06 Calend 01'!E63)),IF((37=('V06 Calend 01'!C63+(6*'V06 Calend 01'!E63))),('V06 Calend 01'!H63-('V06 Calend 01'!I63*('V06 Calend 01'!E63-1))),'V06 Calend 01'!I63),0))+IF((37='V06 Calend 01'!D63),'V06 Calend 01'!J63,0))</f>
        <v>0</v>
      </c>
      <c r="AX63" s="2">
        <f>((IF((38='V06 Calend 01'!C63),('V06 Calend 01'!F63+'V06 Calend 01'!G63),0)+IF(AND(('V06 Calend 01'!E63&gt;0),(38&gt;'V06 Calend 01'!C63),(38&lt;'V06 Calend 01'!D63),(MOD((38-'V06 Calend 01'!C63),6)=0),(((38-'V06 Calend 01'!C63)/6)&lt;='V06 Calend 01'!E63)),IF((38=('V06 Calend 01'!C63+(6*'V06 Calend 01'!E63))),('V06 Calend 01'!H63-('V06 Calend 01'!I63*('V06 Calend 01'!E63-1))),'V06 Calend 01'!I63),0))+IF((38='V06 Calend 01'!D63),'V06 Calend 01'!J63,0))</f>
        <v>0</v>
      </c>
      <c r="AY63" s="2">
        <f>((IF((39='V06 Calend 01'!C63),('V06 Calend 01'!F63+'V06 Calend 01'!G63),0)+IF(AND(('V06 Calend 01'!E63&gt;0),(39&gt;'V06 Calend 01'!C63),(39&lt;'V06 Calend 01'!D63),(MOD((39-'V06 Calend 01'!C63),6)=0),(((39-'V06 Calend 01'!C63)/6)&lt;='V06 Calend 01'!E63)),IF((39=('V06 Calend 01'!C63+(6*'V06 Calend 01'!E63))),('V06 Calend 01'!H63-('V06 Calend 01'!I63*('V06 Calend 01'!E63-1))),'V06 Calend 01'!I63),0))+IF((39='V06 Calend 01'!D63),'V06 Calend 01'!J63,0))</f>
        <v>0</v>
      </c>
      <c r="AZ63" s="2">
        <f>((IF((40='V06 Calend 01'!C63),('V06 Calend 01'!F63+'V06 Calend 01'!G63),0)+IF(AND(('V06 Calend 01'!E63&gt;0),(40&gt;'V06 Calend 01'!C63),(40&lt;'V06 Calend 01'!D63),(MOD((40-'V06 Calend 01'!C63),6)=0),(((40-'V06 Calend 01'!C63)/6)&lt;='V06 Calend 01'!E63)),IF((40=('V06 Calend 01'!C63+(6*'V06 Calend 01'!E63))),('V06 Calend 01'!H63-('V06 Calend 01'!I63*('V06 Calend 01'!E63-1))),'V06 Calend 01'!I63),0))+IF((40='V06 Calend 01'!D63),'V06 Calend 01'!J63,0))</f>
        <v>0</v>
      </c>
      <c r="BA63" s="2">
        <f>((IF((41='V06 Calend 01'!C63),('V06 Calend 01'!F63+'V06 Calend 01'!G63),0)+IF(AND(('V06 Calend 01'!E63&gt;0),(41&gt;'V06 Calend 01'!C63),(41&lt;'V06 Calend 01'!D63),(MOD((41-'V06 Calend 01'!C63),6)=0),(((41-'V06 Calend 01'!C63)/6)&lt;='V06 Calend 01'!E63)),IF((41=('V06 Calend 01'!C63+(6*'V06 Calend 01'!E63))),('V06 Calend 01'!H63-('V06 Calend 01'!I63*('V06 Calend 01'!E63-1))),'V06 Calend 01'!I63),0))+IF((41='V06 Calend 01'!D63),'V06 Calend 01'!J63,0))</f>
        <v>0</v>
      </c>
      <c r="BB63" s="2">
        <f>((IF((42='V06 Calend 01'!C63),('V06 Calend 01'!F63+'V06 Calend 01'!G63),0)+IF(AND(('V06 Calend 01'!E63&gt;0),(42&gt;'V06 Calend 01'!C63),(42&lt;'V06 Calend 01'!D63),(MOD((42-'V06 Calend 01'!C63),6)=0),(((42-'V06 Calend 01'!C63)/6)&lt;='V06 Calend 01'!E63)),IF((42=('V06 Calend 01'!C63+(6*'V06 Calend 01'!E63))),('V06 Calend 01'!H63-('V06 Calend 01'!I63*('V06 Calend 01'!E63-1))),'V06 Calend 01'!I63),0))+IF((42='V06 Calend 01'!D63),'V06 Calend 01'!J63,0))</f>
        <v>0</v>
      </c>
      <c r="BC63" s="2">
        <f>((IF((43='V06 Calend 01'!C63),('V06 Calend 01'!F63+'V06 Calend 01'!G63),0)+IF(AND(('V06 Calend 01'!E63&gt;0),(43&gt;'V06 Calend 01'!C63),(43&lt;'V06 Calend 01'!D63),(MOD((43-'V06 Calend 01'!C63),6)=0),(((43-'V06 Calend 01'!C63)/6)&lt;='V06 Calend 01'!E63)),IF((43=('V06 Calend 01'!C63+(6*'V06 Calend 01'!E63))),('V06 Calend 01'!H63-('V06 Calend 01'!I63*('V06 Calend 01'!E63-1))),'V06 Calend 01'!I63),0))+IF((43='V06 Calend 01'!D63),'V06 Calend 01'!J63,0))</f>
        <v>0</v>
      </c>
      <c r="BD63" s="2">
        <f>((IF((44='V06 Calend 01'!C63),('V06 Calend 01'!F63+'V06 Calend 01'!G63),0)+IF(AND(('V06 Calend 01'!E63&gt;0),(44&gt;'V06 Calend 01'!C63),(44&lt;'V06 Calend 01'!D63),(MOD((44-'V06 Calend 01'!C63),6)=0),(((44-'V06 Calend 01'!C63)/6)&lt;='V06 Calend 01'!E63)),IF((44=('V06 Calend 01'!C63+(6*'V06 Calend 01'!E63))),('V06 Calend 01'!H63-('V06 Calend 01'!I63*('V06 Calend 01'!E63-1))),'V06 Calend 01'!I63),0))+IF((44='V06 Calend 01'!D63),'V06 Calend 01'!J63,0))</f>
        <v>0</v>
      </c>
      <c r="BE63" s="2">
        <f>((IF((45='V06 Calend 01'!C63),('V06 Calend 01'!F63+'V06 Calend 01'!G63),0)+IF(AND(('V06 Calend 01'!E63&gt;0),(45&gt;'V06 Calend 01'!C63),(45&lt;'V06 Calend 01'!D63),(MOD((45-'V06 Calend 01'!C63),6)=0),(((45-'V06 Calend 01'!C63)/6)&lt;='V06 Calend 01'!E63)),IF((45=('V06 Calend 01'!C63+(6*'V06 Calend 01'!E63))),('V06 Calend 01'!H63-('V06 Calend 01'!I63*('V06 Calend 01'!E63-1))),'V06 Calend 01'!I63),0))+IF((45='V06 Calend 01'!D63),'V06 Calend 01'!J63,0))</f>
        <v>0</v>
      </c>
      <c r="BF63" s="2">
        <f>((IF((46='V06 Calend 01'!C63),('V06 Calend 01'!F63+'V06 Calend 01'!G63),0)+IF(AND(('V06 Calend 01'!E63&gt;0),(46&gt;'V06 Calend 01'!C63),(46&lt;'V06 Calend 01'!D63),(MOD((46-'V06 Calend 01'!C63),6)=0),(((46-'V06 Calend 01'!C63)/6)&lt;='V06 Calend 01'!E63)),IF((46=('V06 Calend 01'!C63+(6*'V06 Calend 01'!E63))),('V06 Calend 01'!H63-('V06 Calend 01'!I63*('V06 Calend 01'!E63-1))),'V06 Calend 01'!I63),0))+IF((46='V06 Calend 01'!D63),'V06 Calend 01'!J63,0))</f>
        <v>0</v>
      </c>
      <c r="BG63" s="2">
        <f>((IF((47='V06 Calend 01'!C63),('V06 Calend 01'!F63+'V06 Calend 01'!G63),0)+IF(AND(('V06 Calend 01'!E63&gt;0),(47&gt;'V06 Calend 01'!C63),(47&lt;'V06 Calend 01'!D63),(MOD((47-'V06 Calend 01'!C63),6)=0),(((47-'V06 Calend 01'!C63)/6)&lt;='V06 Calend 01'!E63)),IF((47=('V06 Calend 01'!C63+(6*'V06 Calend 01'!E63))),('V06 Calend 01'!H63-('V06 Calend 01'!I63*('V06 Calend 01'!E63-1))),'V06 Calend 01'!I63),0))+IF((47='V06 Calend 01'!D63),'V06 Calend 01'!J63,0))</f>
        <v>0</v>
      </c>
      <c r="BH63" s="2">
        <f>((IF((48='V06 Calend 01'!C63),('V06 Calend 01'!F63+'V06 Calend 01'!G63),0)+IF(AND(('V06 Calend 01'!E63&gt;0),(48&gt;'V06 Calend 01'!C63),(48&lt;'V06 Calend 01'!D63),(MOD((48-'V06 Calend 01'!C63),6)=0),(((48-'V06 Calend 01'!C63)/6)&lt;='V06 Calend 01'!E63)),IF((48=('V06 Calend 01'!C63+(6*'V06 Calend 01'!E63))),('V06 Calend 01'!H63-('V06 Calend 01'!I63*('V06 Calend 01'!E63-1))),'V06 Calend 01'!I63),0))+IF((48='V06 Calend 01'!D63),'V06 Calend 01'!J63,0))</f>
        <v>0</v>
      </c>
      <c r="BI63" s="2">
        <f>((IF((49='V06 Calend 01'!C63),('V06 Calend 01'!F63+'V06 Calend 01'!G63),0)+IF(AND(('V06 Calend 01'!E63&gt;0),(49&gt;'V06 Calend 01'!C63),(49&lt;'V06 Calend 01'!D63),(MOD((49-'V06 Calend 01'!C63),6)=0),(((49-'V06 Calend 01'!C63)/6)&lt;='V06 Calend 01'!E63)),IF((49=('V06 Calend 01'!C63+(6*'V06 Calend 01'!E63))),('V06 Calend 01'!H63-('V06 Calend 01'!I63*('V06 Calend 01'!E63-1))),'V06 Calend 01'!I63),0))+IF((49='V06 Calend 01'!D63),'V06 Calend 01'!J63,0))</f>
        <v>0</v>
      </c>
      <c r="BJ63" s="2">
        <f>((IF((50='V06 Calend 01'!C63),('V06 Calend 01'!F63+'V06 Calend 01'!G63),0)+IF(AND(('V06 Calend 01'!E63&gt;0),(50&gt;'V06 Calend 01'!C63),(50&lt;'V06 Calend 01'!D63),(MOD((50-'V06 Calend 01'!C63),6)=0),(((50-'V06 Calend 01'!C63)/6)&lt;='V06 Calend 01'!E63)),IF((50=('V06 Calend 01'!C63+(6*'V06 Calend 01'!E63))),('V06 Calend 01'!H63-('V06 Calend 01'!I63*('V06 Calend 01'!E63-1))),'V06 Calend 01'!I63),0))+IF((50='V06 Calend 01'!D63),'V06 Calend 01'!J63,0))</f>
        <v>0</v>
      </c>
      <c r="BK63" s="2">
        <f>((IF((51='V06 Calend 01'!C63),('V06 Calend 01'!F63+'V06 Calend 01'!G63),0)+IF(AND(('V06 Calend 01'!E63&gt;0),(51&gt;'V06 Calend 01'!C63),(51&lt;'V06 Calend 01'!D63),(MOD((51-'V06 Calend 01'!C63),6)=0),(((51-'V06 Calend 01'!C63)/6)&lt;='V06 Calend 01'!E63)),IF((51=('V06 Calend 01'!C63+(6*'V06 Calend 01'!E63))),('V06 Calend 01'!H63-('V06 Calend 01'!I63*('V06 Calend 01'!E63-1))),'V06 Calend 01'!I63),0))+IF((51='V06 Calend 01'!D63),'V06 Calend 01'!J63,0))</f>
        <v>0</v>
      </c>
      <c r="BL63" s="2">
        <f>((IF((52='V06 Calend 01'!C63),('V06 Calend 01'!F63+'V06 Calend 01'!G63),0)+IF(AND(('V06 Calend 01'!E63&gt;0),(52&gt;'V06 Calend 01'!C63),(52&lt;'V06 Calend 01'!D63),(MOD((52-'V06 Calend 01'!C63),6)=0),(((52-'V06 Calend 01'!C63)/6)&lt;='V06 Calend 01'!E63)),IF((52=('V06 Calend 01'!C63+(6*'V06 Calend 01'!E63))),('V06 Calend 01'!H63-('V06 Calend 01'!I63*('V06 Calend 01'!E63-1))),'V06 Calend 01'!I63),0))+IF((52='V06 Calend 01'!D63),'V06 Calend 01'!J63,0))</f>
        <v>0</v>
      </c>
      <c r="BM63" s="2">
        <f>((IF((53='V06 Calend 01'!C63),('V06 Calend 01'!F63+'V06 Calend 01'!G63),0)+IF(AND(('V06 Calend 01'!E63&gt;0),(53&gt;'V06 Calend 01'!C63),(53&lt;'V06 Calend 01'!D63),(MOD((53-'V06 Calend 01'!C63),6)=0),(((53-'V06 Calend 01'!C63)/6)&lt;='V06 Calend 01'!E63)),IF((53=('V06 Calend 01'!C63+(6*'V06 Calend 01'!E63))),('V06 Calend 01'!H63-('V06 Calend 01'!I63*('V06 Calend 01'!E63-1))),'V06 Calend 01'!I63),0))+IF((53='V06 Calend 01'!D63),'V06 Calend 01'!J63,0))</f>
        <v>0</v>
      </c>
      <c r="BN63" s="2">
        <f>((IF((54='V06 Calend 01'!C63),('V06 Calend 01'!F63+'V06 Calend 01'!G63),0)+IF(AND(('V06 Calend 01'!E63&gt;0),(54&gt;'V06 Calend 01'!C63),(54&lt;'V06 Calend 01'!D63),(MOD((54-'V06 Calend 01'!C63),6)=0),(((54-'V06 Calend 01'!C63)/6)&lt;='V06 Calend 01'!E63)),IF((54=('V06 Calend 01'!C63+(6*'V06 Calend 01'!E63))),('V06 Calend 01'!H63-('V06 Calend 01'!I63*('V06 Calend 01'!E63-1))),'V06 Calend 01'!I63),0))+IF((54='V06 Calend 01'!D63),'V06 Calend 01'!J63,0))</f>
        <v>0</v>
      </c>
      <c r="BO63" s="2">
        <f>((IF((55='V06 Calend 01'!C63),('V06 Calend 01'!F63+'V06 Calend 01'!G63),0)+IF(AND(('V06 Calend 01'!E63&gt;0),(55&gt;'V06 Calend 01'!C63),(55&lt;'V06 Calend 01'!D63),(MOD((55-'V06 Calend 01'!C63),6)=0),(((55-'V06 Calend 01'!C63)/6)&lt;='V06 Calend 01'!E63)),IF((55=('V06 Calend 01'!C63+(6*'V06 Calend 01'!E63))),('V06 Calend 01'!H63-('V06 Calend 01'!I63*('V06 Calend 01'!E63-1))),'V06 Calend 01'!I63),0))+IF((55='V06 Calend 01'!D63),'V06 Calend 01'!J63,0))</f>
        <v>0</v>
      </c>
      <c r="BP63" s="2">
        <f>((IF((56='V06 Calend 01'!C63),('V06 Calend 01'!F63+'V06 Calend 01'!G63),0)+IF(AND(('V06 Calend 01'!E63&gt;0),(56&gt;'V06 Calend 01'!C63),(56&lt;'V06 Calend 01'!D63),(MOD((56-'V06 Calend 01'!C63),6)=0),(((56-'V06 Calend 01'!C63)/6)&lt;='V06 Calend 01'!E63)),IF((56=('V06 Calend 01'!C63+(6*'V06 Calend 01'!E63))),('V06 Calend 01'!H63-('V06 Calend 01'!I63*('V06 Calend 01'!E63-1))),'V06 Calend 01'!I63),0))+IF((56='V06 Calend 01'!D63),'V06 Calend 01'!J63,0))</f>
        <v>0</v>
      </c>
      <c r="BQ63" s="2">
        <f>((IF((57='V06 Calend 01'!C63),('V06 Calend 01'!F63+'V06 Calend 01'!G63),0)+IF(AND(('V06 Calend 01'!E63&gt;0),(57&gt;'V06 Calend 01'!C63),(57&lt;'V06 Calend 01'!D63),(MOD((57-'V06 Calend 01'!C63),6)=0),(((57-'V06 Calend 01'!C63)/6)&lt;='V06 Calend 01'!E63)),IF((57=('V06 Calend 01'!C63+(6*'V06 Calend 01'!E63))),('V06 Calend 01'!H63-('V06 Calend 01'!I63*('V06 Calend 01'!E63-1))),'V06 Calend 01'!I63),0))+IF((57='V06 Calend 01'!D63),'V06 Calend 01'!J63,0))</f>
        <v>0</v>
      </c>
      <c r="BR63" s="2">
        <f>((IF((58='V06 Calend 01'!C63),('V06 Calend 01'!F63+'V06 Calend 01'!G63),0)+IF(AND(('V06 Calend 01'!E63&gt;0),(58&gt;'V06 Calend 01'!C63),(58&lt;'V06 Calend 01'!D63),(MOD((58-'V06 Calend 01'!C63),6)=0),(((58-'V06 Calend 01'!C63)/6)&lt;='V06 Calend 01'!E63)),IF((58=('V06 Calend 01'!C63+(6*'V06 Calend 01'!E63))),('V06 Calend 01'!H63-('V06 Calend 01'!I63*('V06 Calend 01'!E63-1))),'V06 Calend 01'!I63),0))+IF((58='V06 Calend 01'!D63),'V06 Calend 01'!J63,0))</f>
        <v>0</v>
      </c>
      <c r="BS63" s="2">
        <f>((IF((59='V06 Calend 01'!C63),('V06 Calend 01'!F63+'V06 Calend 01'!G63),0)+IF(AND(('V06 Calend 01'!E63&gt;0),(59&gt;'V06 Calend 01'!C63),(59&lt;'V06 Calend 01'!D63),(MOD((59-'V06 Calend 01'!C63),6)=0),(((59-'V06 Calend 01'!C63)/6)&lt;='V06 Calend 01'!E63)),IF((59=('V06 Calend 01'!C63+(6*'V06 Calend 01'!E63))),('V06 Calend 01'!H63-('V06 Calend 01'!I63*('V06 Calend 01'!E63-1))),'V06 Calend 01'!I63),0))+IF((59='V06 Calend 01'!D63),'V06 Calend 01'!J63,0))</f>
        <v>0</v>
      </c>
      <c r="BT63" s="2">
        <f>((IF((60='V06 Calend 01'!C63),('V06 Calend 01'!F63+'V06 Calend 01'!G63),0)+IF(AND(('V06 Calend 01'!E63&gt;0),(60&gt;'V06 Calend 01'!C63),(60&lt;'V06 Calend 01'!D63),(MOD((60-'V06 Calend 01'!C63),6)=0),(((60-'V06 Calend 01'!C63)/6)&lt;='V06 Calend 01'!E63)),IF((60=('V06 Calend 01'!C63+(6*'V06 Calend 01'!E63))),('V06 Calend 01'!H63-('V06 Calend 01'!I63*('V06 Calend 01'!E63-1))),'V06 Calend 01'!I63),0))+IF((60='V06 Calend 01'!D63),'V06 Calend 01'!J63,0))</f>
        <v>0</v>
      </c>
      <c r="BU63" s="2">
        <f>((IF((61='V06 Calend 01'!C63),('V06 Calend 01'!F63+'V06 Calend 01'!G63),0)+IF(AND(('V06 Calend 01'!E63&gt;0),(61&gt;'V06 Calend 01'!C63),(61&lt;'V06 Calend 01'!D63),(MOD((61-'V06 Calend 01'!C63),6)=0),(((61-'V06 Calend 01'!C63)/6)&lt;='V06 Calend 01'!E63)),IF((61=('V06 Calend 01'!C63+(6*'V06 Calend 01'!E63))),('V06 Calend 01'!H63-('V06 Calend 01'!I63*('V06 Calend 01'!E63-1))),'V06 Calend 01'!I63),0))+IF((61='V06 Calend 01'!D63),'V06 Calend 01'!J63,0))</f>
        <v>0</v>
      </c>
      <c r="BV63" s="2">
        <f>((IF((62='V06 Calend 01'!C63),('V06 Calend 01'!F63+'V06 Calend 01'!G63),0)+IF(AND(('V06 Calend 01'!E63&gt;0),(62&gt;'V06 Calend 01'!C63),(62&lt;'V06 Calend 01'!D63),(MOD((62-'V06 Calend 01'!C63),6)=0),(((62-'V06 Calend 01'!C63)/6)&lt;='V06 Calend 01'!E63)),IF((62=('V06 Calend 01'!C63+(6*'V06 Calend 01'!E63))),('V06 Calend 01'!H63-('V06 Calend 01'!I63*('V06 Calend 01'!E63-1))),'V06 Calend 01'!I63),0))+IF((62='V06 Calend 01'!D63),'V06 Calend 01'!J63,0))</f>
        <v>0</v>
      </c>
      <c r="BW63" s="2">
        <f>((IF((63='V06 Calend 01'!C63),('V06 Calend 01'!F63+'V06 Calend 01'!G63),0)+IF(AND(('V06 Calend 01'!E63&gt;0),(63&gt;'V06 Calend 01'!C63),(63&lt;'V06 Calend 01'!D63),(MOD((63-'V06 Calend 01'!C63),6)=0),(((63-'V06 Calend 01'!C63)/6)&lt;='V06 Calend 01'!E63)),IF((63=('V06 Calend 01'!C63+(6*'V06 Calend 01'!E63))),('V06 Calend 01'!H63-('V06 Calend 01'!I63*('V06 Calend 01'!E63-1))),'V06 Calend 01'!I63),0))+IF((63='V06 Calend 01'!D63),'V06 Calend 01'!J63,0))</f>
        <v>0</v>
      </c>
      <c r="BX63" s="2">
        <f>((IF((64='V06 Calend 01'!C63),('V06 Calend 01'!F63+'V06 Calend 01'!G63),0)+IF(AND(('V06 Calend 01'!E63&gt;0),(64&gt;'V06 Calend 01'!C63),(64&lt;'V06 Calend 01'!D63),(MOD((64-'V06 Calend 01'!C63),6)=0),(((64-'V06 Calend 01'!C63)/6)&lt;='V06 Calend 01'!E63)),IF((64=('V06 Calend 01'!C63+(6*'V06 Calend 01'!E63))),('V06 Calend 01'!H63-('V06 Calend 01'!I63*('V06 Calend 01'!E63-1))),'V06 Calend 01'!I63),0))+IF((64='V06 Calend 01'!D63),'V06 Calend 01'!J63,0))</f>
        <v>0</v>
      </c>
      <c r="BY63" s="2">
        <f>((IF((65='V06 Calend 01'!C63),('V06 Calend 01'!F63+'V06 Calend 01'!G63),0)+IF(AND(('V06 Calend 01'!E63&gt;0),(65&gt;'V06 Calend 01'!C63),(65&lt;'V06 Calend 01'!D63),(MOD((65-'V06 Calend 01'!C63),6)=0),(((65-'V06 Calend 01'!C63)/6)&lt;='V06 Calend 01'!E63)),IF((65=('V06 Calend 01'!C63+(6*'V06 Calend 01'!E63))),('V06 Calend 01'!H63-('V06 Calend 01'!I63*('V06 Calend 01'!E63-1))),'V06 Calend 01'!I63),0))+IF((65='V06 Calend 01'!D63),'V06 Calend 01'!J63,0))</f>
        <v>0</v>
      </c>
      <c r="BZ63" s="2">
        <f>((IF((66='V06 Calend 01'!C63),('V06 Calend 01'!F63+'V06 Calend 01'!G63),0)+IF(AND(('V06 Calend 01'!E63&gt;0),(66&gt;'V06 Calend 01'!C63),(66&lt;'V06 Calend 01'!D63),(MOD((66-'V06 Calend 01'!C63),6)=0),(((66-'V06 Calend 01'!C63)/6)&lt;='V06 Calend 01'!E63)),IF((66=('V06 Calend 01'!C63+(6*'V06 Calend 01'!E63))),('V06 Calend 01'!H63-('V06 Calend 01'!I63*('V06 Calend 01'!E63-1))),'V06 Calend 01'!I63),0))+IF((66='V06 Calend 01'!D63),'V06 Calend 01'!J63,0))</f>
        <v>0</v>
      </c>
      <c r="CA63" s="2">
        <f>((IF((67='V06 Calend 01'!C63),('V06 Calend 01'!F63+'V06 Calend 01'!G63),0)+IF(AND(('V06 Calend 01'!E63&gt;0),(67&gt;'V06 Calend 01'!C63),(67&lt;'V06 Calend 01'!D63),(MOD((67-'V06 Calend 01'!C63),6)=0),(((67-'V06 Calend 01'!C63)/6)&lt;='V06 Calend 01'!E63)),IF((67=('V06 Calend 01'!C63+(6*'V06 Calend 01'!E63))),('V06 Calend 01'!H63-('V06 Calend 01'!I63*('V06 Calend 01'!E63-1))),'V06 Calend 01'!I63),0))+IF((67='V06 Calend 01'!D63),'V06 Calend 01'!J63,0))</f>
        <v>0</v>
      </c>
      <c r="CB63" s="2">
        <f>((IF((68='V06 Calend 01'!C63),('V06 Calend 01'!F63+'V06 Calend 01'!G63),0)+IF(AND(('V06 Calend 01'!E63&gt;0),(68&gt;'V06 Calend 01'!C63),(68&lt;'V06 Calend 01'!D63),(MOD((68-'V06 Calend 01'!C63),6)=0),(((68-'V06 Calend 01'!C63)/6)&lt;='V06 Calend 01'!E63)),IF((68=('V06 Calend 01'!C63+(6*'V06 Calend 01'!E63))),('V06 Calend 01'!H63-('V06 Calend 01'!I63*('V06 Calend 01'!E63-1))),'V06 Calend 01'!I63),0))+IF((68='V06 Calend 01'!D63),'V06 Calend 01'!J63,0))</f>
        <v>0</v>
      </c>
      <c r="CC63" s="2">
        <f>((IF((69='V06 Calend 01'!C63),('V06 Calend 01'!F63+'V06 Calend 01'!G63),0)+IF(AND(('V06 Calend 01'!E63&gt;0),(69&gt;'V06 Calend 01'!C63),(69&lt;'V06 Calend 01'!D63),(MOD((69-'V06 Calend 01'!C63),6)=0),(((69-'V06 Calend 01'!C63)/6)&lt;='V06 Calend 01'!E63)),IF((69=('V06 Calend 01'!C63+(6*'V06 Calend 01'!E63))),('V06 Calend 01'!H63-('V06 Calend 01'!I63*('V06 Calend 01'!E63-1))),'V06 Calend 01'!I63),0))+IF((69='V06 Calend 01'!D63),'V06 Calend 01'!J63,0))</f>
        <v>0</v>
      </c>
      <c r="CD63" s="2">
        <f>((IF((70='V06 Calend 01'!C63),('V06 Calend 01'!F63+'V06 Calend 01'!G63),0)+IF(AND(('V06 Calend 01'!E63&gt;0),(70&gt;'V06 Calend 01'!C63),(70&lt;'V06 Calend 01'!D63),(MOD((70-'V06 Calend 01'!C63),6)=0),(((70-'V06 Calend 01'!C63)/6)&lt;='V06 Calend 01'!E63)),IF((70=('V06 Calend 01'!C63+(6*'V06 Calend 01'!E63))),('V06 Calend 01'!H63-('V06 Calend 01'!I63*('V06 Calend 01'!E63-1))),'V06 Calend 01'!I63),0))+IF((70='V06 Calend 01'!D63),'V06 Calend 01'!J63,0))</f>
        <v>0</v>
      </c>
      <c r="CE63" s="2">
        <f>((IF((71='V06 Calend 01'!C63),('V06 Calend 01'!F63+'V06 Calend 01'!G63),0)+IF(AND(('V06 Calend 01'!E63&gt;0),(71&gt;'V06 Calend 01'!C63),(71&lt;'V06 Calend 01'!D63),(MOD((71-'V06 Calend 01'!C63),6)=0),(((71-'V06 Calend 01'!C63)/6)&lt;='V06 Calend 01'!E63)),IF((71=('V06 Calend 01'!C63+(6*'V06 Calend 01'!E63))),('V06 Calend 01'!H63-('V06 Calend 01'!I63*('V06 Calend 01'!E63-1))),'V06 Calend 01'!I63),0))+IF((71='V06 Calend 01'!D63),'V06 Calend 01'!J63,0))</f>
        <v>0</v>
      </c>
      <c r="CF63" s="2">
        <f>((IF((72='V06 Calend 01'!C63),('V06 Calend 01'!F63+'V06 Calend 01'!G63),0)+IF(AND(('V06 Calend 01'!E63&gt;0),(72&gt;'V06 Calend 01'!C63),(72&lt;'V06 Calend 01'!D63),(MOD((72-'V06 Calend 01'!C63),6)=0),(((72-'V06 Calend 01'!C63)/6)&lt;='V06 Calend 01'!E63)),IF((72=('V06 Calend 01'!C63+(6*'V06 Calend 01'!E63))),('V06 Calend 01'!H63-('V06 Calend 01'!I63*('V06 Calend 01'!E63-1))),'V06 Calend 01'!I63),0))+IF((72='V06 Calend 01'!D63),'V06 Calend 01'!J63,0))</f>
        <v>0</v>
      </c>
      <c r="CG63" s="2">
        <f>((IF((73='V06 Calend 01'!C63),('V06 Calend 01'!F63+'V06 Calend 01'!G63),0)+IF(AND(('V06 Calend 01'!E63&gt;0),(73&gt;'V06 Calend 01'!C63),(73&lt;'V06 Calend 01'!D63),(MOD((73-'V06 Calend 01'!C63),6)=0),(((73-'V06 Calend 01'!C63)/6)&lt;='V06 Calend 01'!E63)),IF((73=('V06 Calend 01'!C63+(6*'V06 Calend 01'!E63))),('V06 Calend 01'!H63-('V06 Calend 01'!I63*('V06 Calend 01'!E63-1))),'V06 Calend 01'!I63),0))+IF((73='V06 Calend 01'!D63),'V06 Calend 01'!J63,0))</f>
        <v>0</v>
      </c>
      <c r="CH63" s="2">
        <f>((IF((74='V06 Calend 01'!C63),('V06 Calend 01'!F63+'V06 Calend 01'!G63),0)+IF(AND(('V06 Calend 01'!E63&gt;0),(74&gt;'V06 Calend 01'!C63),(74&lt;'V06 Calend 01'!D63),(MOD((74-'V06 Calend 01'!C63),6)=0),(((74-'V06 Calend 01'!C63)/6)&lt;='V06 Calend 01'!E63)),IF((74=('V06 Calend 01'!C63+(6*'V06 Calend 01'!E63))),('V06 Calend 01'!H63-('V06 Calend 01'!I63*('V06 Calend 01'!E63-1))),'V06 Calend 01'!I63),0))+IF((74='V06 Calend 01'!D63),'V06 Calend 01'!J63,0))</f>
        <v>0</v>
      </c>
      <c r="CI63" s="2">
        <f>((IF((75='V06 Calend 01'!C63),('V06 Calend 01'!F63+'V06 Calend 01'!G63),0)+IF(AND(('V06 Calend 01'!E63&gt;0),(75&gt;'V06 Calend 01'!C63),(75&lt;'V06 Calend 01'!D63),(MOD((75-'V06 Calend 01'!C63),6)=0),(((75-'V06 Calend 01'!C63)/6)&lt;='V06 Calend 01'!E63)),IF((75=('V06 Calend 01'!C63+(6*'V06 Calend 01'!E63))),('V06 Calend 01'!H63-('V06 Calend 01'!I63*('V06 Calend 01'!E63-1))),'V06 Calend 01'!I63),0))+IF((75='V06 Calend 01'!D63),'V06 Calend 01'!J63,0))</f>
        <v>0</v>
      </c>
      <c r="CJ63" s="2">
        <f>((IF((76='V06 Calend 01'!C63),('V06 Calend 01'!F63+'V06 Calend 01'!G63),0)+IF(AND(('V06 Calend 01'!E63&gt;0),(76&gt;'V06 Calend 01'!C63),(76&lt;'V06 Calend 01'!D63),(MOD((76-'V06 Calend 01'!C63),6)=0),(((76-'V06 Calend 01'!C63)/6)&lt;='V06 Calend 01'!E63)),IF((76=('V06 Calend 01'!C63+(6*'V06 Calend 01'!E63))),('V06 Calend 01'!H63-('V06 Calend 01'!I63*('V06 Calend 01'!E63-1))),'V06 Calend 01'!I63),0))+IF((76='V06 Calend 01'!D63),'V06 Calend 01'!J63,0))</f>
        <v>0</v>
      </c>
      <c r="CK63" s="2">
        <f>((IF((77='V06 Calend 01'!C63),('V06 Calend 01'!F63+'V06 Calend 01'!G63),0)+IF(AND(('V06 Calend 01'!E63&gt;0),(77&gt;'V06 Calend 01'!C63),(77&lt;'V06 Calend 01'!D63),(MOD((77-'V06 Calend 01'!C63),6)=0),(((77-'V06 Calend 01'!C63)/6)&lt;='V06 Calend 01'!E63)),IF((77=('V06 Calend 01'!C63+(6*'V06 Calend 01'!E63))),('V06 Calend 01'!H63-('V06 Calend 01'!I63*('V06 Calend 01'!E63-1))),'V06 Calend 01'!I63),0))+IF((77='V06 Calend 01'!D63),'V06 Calend 01'!J63,0))</f>
        <v>0</v>
      </c>
      <c r="CL63" s="2">
        <f>((IF((78='V06 Calend 01'!C63),('V06 Calend 01'!F63+'V06 Calend 01'!G63),0)+IF(AND(('V06 Calend 01'!E63&gt;0),(78&gt;'V06 Calend 01'!C63),(78&lt;'V06 Calend 01'!D63),(MOD((78-'V06 Calend 01'!C63),6)=0),(((78-'V06 Calend 01'!C63)/6)&lt;='V06 Calend 01'!E63)),IF((78=('V06 Calend 01'!C63+(6*'V06 Calend 01'!E63))),('V06 Calend 01'!H63-('V06 Calend 01'!I63*('V06 Calend 01'!E63-1))),'V06 Calend 01'!I63),0))+IF((78='V06 Calend 01'!D63),'V06 Calend 01'!J63,0))</f>
        <v>0</v>
      </c>
      <c r="CM63" s="2">
        <f>((IF((79='V06 Calend 01'!C63),('V06 Calend 01'!F63+'V06 Calend 01'!G63),0)+IF(AND(('V06 Calend 01'!E63&gt;0),(79&gt;'V06 Calend 01'!C63),(79&lt;'V06 Calend 01'!D63),(MOD((79-'V06 Calend 01'!C63),6)=0),(((79-'V06 Calend 01'!C63)/6)&lt;='V06 Calend 01'!E63)),IF((79=('V06 Calend 01'!C63+(6*'V06 Calend 01'!E63))),('V06 Calend 01'!H63-('V06 Calend 01'!I63*('V06 Calend 01'!E63-1))),'V06 Calend 01'!I63),0))+IF((79='V06 Calend 01'!D63),'V06 Calend 01'!J63,0))</f>
        <v>0</v>
      </c>
      <c r="CN63" s="2">
        <f>((IF((80='V06 Calend 01'!C63),('V06 Calend 01'!F63+'V06 Calend 01'!G63),0)+IF(AND(('V06 Calend 01'!E63&gt;0),(80&gt;'V06 Calend 01'!C63),(80&lt;'V06 Calend 01'!D63),(MOD((80-'V06 Calend 01'!C63),6)=0),(((80-'V06 Calend 01'!C63)/6)&lt;='V06 Calend 01'!E63)),IF((80=('V06 Calend 01'!C63+(6*'V06 Calend 01'!E63))),('V06 Calend 01'!H63-('V06 Calend 01'!I63*('V06 Calend 01'!E63-1))),'V06 Calend 01'!I63),0))+IF((80='V06 Calend 01'!D63),'V06 Calend 01'!J63,0))</f>
        <v>0</v>
      </c>
      <c r="CO63" s="2">
        <f>((IF((81='V06 Calend 01'!C63),('V06 Calend 01'!F63+'V06 Calend 01'!G63),0)+IF(AND(('V06 Calend 01'!E63&gt;0),(81&gt;'V06 Calend 01'!C63),(81&lt;'V06 Calend 01'!D63),(MOD((81-'V06 Calend 01'!C63),6)=0),(((81-'V06 Calend 01'!C63)/6)&lt;='V06 Calend 01'!E63)),IF((81=('V06 Calend 01'!C63+(6*'V06 Calend 01'!E63))),('V06 Calend 01'!H63-('V06 Calend 01'!I63*('V06 Calend 01'!E63-1))),'V06 Calend 01'!I63),0))+IF((81='V06 Calend 01'!D63),'V06 Calend 01'!J63,0))</f>
        <v>0</v>
      </c>
      <c r="CP63" s="2">
        <f>((IF((82='V06 Calend 01'!C63),('V06 Calend 01'!F63+'V06 Calend 01'!G63),0)+IF(AND(('V06 Calend 01'!E63&gt;0),(82&gt;'V06 Calend 01'!C63),(82&lt;'V06 Calend 01'!D63),(MOD((82-'V06 Calend 01'!C63),6)=0),(((82-'V06 Calend 01'!C63)/6)&lt;='V06 Calend 01'!E63)),IF((82=('V06 Calend 01'!C63+(6*'V06 Calend 01'!E63))),('V06 Calend 01'!H63-('V06 Calend 01'!I63*('V06 Calend 01'!E63-1))),'V06 Calend 01'!I63),0))+IF((82='V06 Calend 01'!D63),'V06 Calend 01'!J63,0))</f>
        <v>0</v>
      </c>
      <c r="CQ63" s="2">
        <f>((IF((83='V06 Calend 01'!C63),('V06 Calend 01'!F63+'V06 Calend 01'!G63),0)+IF(AND(('V06 Calend 01'!E63&gt;0),(83&gt;'V06 Calend 01'!C63),(83&lt;'V06 Calend 01'!D63),(MOD((83-'V06 Calend 01'!C63),6)=0),(((83-'V06 Calend 01'!C63)/6)&lt;='V06 Calend 01'!E63)),IF((83=('V06 Calend 01'!C63+(6*'V06 Calend 01'!E63))),('V06 Calend 01'!H63-('V06 Calend 01'!I63*('V06 Calend 01'!E63-1))),'V06 Calend 01'!I63),0))+IF((83='V06 Calend 01'!D63),'V06 Calend 01'!J63,0))</f>
        <v>0</v>
      </c>
      <c r="CR63" s="2">
        <f>((IF((84='V06 Calend 01'!C63),('V06 Calend 01'!F63+'V06 Calend 01'!G63),0)+IF(AND(('V06 Calend 01'!E63&gt;0),(84&gt;'V06 Calend 01'!C63),(84&lt;'V06 Calend 01'!D63),(MOD((84-'V06 Calend 01'!C63),6)=0),(((84-'V06 Calend 01'!C63)/6)&lt;='V06 Calend 01'!E63)),IF((84=('V06 Calend 01'!C63+(6*'V06 Calend 01'!E63))),('V06 Calend 01'!H63-('V06 Calend 01'!I63*('V06 Calend 01'!E63-1))),'V06 Calend 01'!I63),0))+IF((84='V06 Calend 01'!D63),'V06 Calend 01'!J63,0))</f>
        <v>0</v>
      </c>
      <c r="CS63" s="2">
        <f>((IF((85='V06 Calend 01'!C63),('V06 Calend 01'!F63+'V06 Calend 01'!G63),0)+IF(AND(('V06 Calend 01'!E63&gt;0),(85&gt;'V06 Calend 01'!C63),(85&lt;'V06 Calend 01'!D63),(MOD((85-'V06 Calend 01'!C63),6)=0),(((85-'V06 Calend 01'!C63)/6)&lt;='V06 Calend 01'!E63)),IF((85=('V06 Calend 01'!C63+(6*'V06 Calend 01'!E63))),('V06 Calend 01'!H63-('V06 Calend 01'!I63*('V06 Calend 01'!E63-1))),'V06 Calend 01'!I63),0))+IF((85='V06 Calend 01'!D63),'V06 Calend 01'!J63,0))</f>
        <v>0</v>
      </c>
      <c r="CT63" s="2">
        <f>((IF((86='V06 Calend 01'!C63),('V06 Calend 01'!F63+'V06 Calend 01'!G63),0)+IF(AND(('V06 Calend 01'!E63&gt;0),(86&gt;'V06 Calend 01'!C63),(86&lt;'V06 Calend 01'!D63),(MOD((86-'V06 Calend 01'!C63),6)=0),(((86-'V06 Calend 01'!C63)/6)&lt;='V06 Calend 01'!E63)),IF((86=('V06 Calend 01'!C63+(6*'V06 Calend 01'!E63))),('V06 Calend 01'!H63-('V06 Calend 01'!I63*('V06 Calend 01'!E63-1))),'V06 Calend 01'!I63),0))+IF((86='V06 Calend 01'!D63),'V06 Calend 01'!J63,0))</f>
        <v>0</v>
      </c>
      <c r="CU63" s="2">
        <f>((IF((87='V06 Calend 01'!C63),('V06 Calend 01'!F63+'V06 Calend 01'!G63),0)+IF(AND(('V06 Calend 01'!E63&gt;0),(87&gt;'V06 Calend 01'!C63),(87&lt;'V06 Calend 01'!D63),(MOD((87-'V06 Calend 01'!C63),6)=0),(((87-'V06 Calend 01'!C63)/6)&lt;='V06 Calend 01'!E63)),IF((87=('V06 Calend 01'!C63+(6*'V06 Calend 01'!E63))),('V06 Calend 01'!H63-('V06 Calend 01'!I63*('V06 Calend 01'!E63-1))),'V06 Calend 01'!I63),0))+IF((87='V06 Calend 01'!D63),'V06 Calend 01'!J63,0))</f>
        <v>0</v>
      </c>
      <c r="CV63" s="2">
        <f>((IF((88='V06 Calend 01'!C63),('V06 Calend 01'!F63+'V06 Calend 01'!G63),0)+IF(AND(('V06 Calend 01'!E63&gt;0),(88&gt;'V06 Calend 01'!C63),(88&lt;'V06 Calend 01'!D63),(MOD((88-'V06 Calend 01'!C63),6)=0),(((88-'V06 Calend 01'!C63)/6)&lt;='V06 Calend 01'!E63)),IF((88=('V06 Calend 01'!C63+(6*'V06 Calend 01'!E63))),('V06 Calend 01'!H63-('V06 Calend 01'!I63*('V06 Calend 01'!E63-1))),'V06 Calend 01'!I63),0))+IF((88='V06 Calend 01'!D63),'V06 Calend 01'!J63,0))</f>
        <v>0</v>
      </c>
      <c r="CW63" s="2">
        <f>((IF((89='V06 Calend 01'!C63),('V06 Calend 01'!F63+'V06 Calend 01'!G63),0)+IF(AND(('V06 Calend 01'!E63&gt;0),(89&gt;'V06 Calend 01'!C63),(89&lt;'V06 Calend 01'!D63),(MOD((89-'V06 Calend 01'!C63),6)=0),(((89-'V06 Calend 01'!C63)/6)&lt;='V06 Calend 01'!E63)),IF((89=('V06 Calend 01'!C63+(6*'V06 Calend 01'!E63))),('V06 Calend 01'!H63-('V06 Calend 01'!I63*('V06 Calend 01'!E63-1))),'V06 Calend 01'!I63),0))+IF((89='V06 Calend 01'!D63),'V06 Calend 01'!J63,0))</f>
        <v>0</v>
      </c>
      <c r="CX63" s="2">
        <f>((IF((90='V06 Calend 01'!C63),('V06 Calend 01'!F63+'V06 Calend 01'!G63),0)+IF(AND(('V06 Calend 01'!E63&gt;0),(90&gt;'V06 Calend 01'!C63),(90&lt;'V06 Calend 01'!D63),(MOD((90-'V06 Calend 01'!C63),6)=0),(((90-'V06 Calend 01'!C63)/6)&lt;='V06 Calend 01'!E63)),IF((90=('V06 Calend 01'!C63+(6*'V06 Calend 01'!E63))),('V06 Calend 01'!H63-('V06 Calend 01'!I63*('V06 Calend 01'!E63-1))),'V06 Calend 01'!I63),0))+IF((90='V06 Calend 01'!D63),'V06 Calend 01'!J63,0))</f>
        <v>0</v>
      </c>
      <c r="CY63" s="2">
        <f>((IF((91='V06 Calend 01'!C63),('V06 Calend 01'!F63+'V06 Calend 01'!G63),0)+IF(AND(('V06 Calend 01'!E63&gt;0),(91&gt;'V06 Calend 01'!C63),(91&lt;'V06 Calend 01'!D63),(MOD((91-'V06 Calend 01'!C63),6)=0),(((91-'V06 Calend 01'!C63)/6)&lt;='V06 Calend 01'!E63)),IF((91=('V06 Calend 01'!C63+(6*'V06 Calend 01'!E63))),('V06 Calend 01'!H63-('V06 Calend 01'!I63*('V06 Calend 01'!E63-1))),'V06 Calend 01'!I63),0))+IF((91='V06 Calend 01'!D63),'V06 Calend 01'!J63,0))</f>
        <v>0</v>
      </c>
      <c r="CZ63" s="2">
        <f>((IF((92='V06 Calend 01'!C63),('V06 Calend 01'!F63+'V06 Calend 01'!G63),0)+IF(AND(('V06 Calend 01'!E63&gt;0),(92&gt;'V06 Calend 01'!C63),(92&lt;'V06 Calend 01'!D63),(MOD((92-'V06 Calend 01'!C63),6)=0),(((92-'V06 Calend 01'!C63)/6)&lt;='V06 Calend 01'!E63)),IF((92=('V06 Calend 01'!C63+(6*'V06 Calend 01'!E63))),('V06 Calend 01'!H63-('V06 Calend 01'!I63*('V06 Calend 01'!E63-1))),'V06 Calend 01'!I63),0))+IF((92='V06 Calend 01'!D63),'V06 Calend 01'!J63,0))</f>
        <v>0</v>
      </c>
      <c r="DA63" s="2">
        <f>((IF((93='V06 Calend 01'!C63),('V06 Calend 01'!F63+'V06 Calend 01'!G63),0)+IF(AND(('V06 Calend 01'!E63&gt;0),(93&gt;'V06 Calend 01'!C63),(93&lt;'V06 Calend 01'!D63),(MOD((93-'V06 Calend 01'!C63),6)=0),(((93-'V06 Calend 01'!C63)/6)&lt;='V06 Calend 01'!E63)),IF((93=('V06 Calend 01'!C63+(6*'V06 Calend 01'!E63))),('V06 Calend 01'!H63-('V06 Calend 01'!I63*('V06 Calend 01'!E63-1))),'V06 Calend 01'!I63),0))+IF((93='V06 Calend 01'!D63),'V06 Calend 01'!J63,0))</f>
        <v>0</v>
      </c>
      <c r="DB63" s="2">
        <f>((IF((94='V06 Calend 01'!C63),('V06 Calend 01'!F63+'V06 Calend 01'!G63),0)+IF(AND(('V06 Calend 01'!E63&gt;0),(94&gt;'V06 Calend 01'!C63),(94&lt;'V06 Calend 01'!D63),(MOD((94-'V06 Calend 01'!C63),6)=0),(((94-'V06 Calend 01'!C63)/6)&lt;='V06 Calend 01'!E63)),IF((94=('V06 Calend 01'!C63+(6*'V06 Calend 01'!E63))),('V06 Calend 01'!H63-('V06 Calend 01'!I63*('V06 Calend 01'!E63-1))),'V06 Calend 01'!I63),0))+IF((94='V06 Calend 01'!D63),'V06 Calend 01'!J63,0))</f>
        <v>0</v>
      </c>
      <c r="DC63" s="2">
        <f>((IF((95='V06 Calend 01'!C63),('V06 Calend 01'!F63+'V06 Calend 01'!G63),0)+IF(AND(('V06 Calend 01'!E63&gt;0),(95&gt;'V06 Calend 01'!C63),(95&lt;'V06 Calend 01'!D63),(MOD((95-'V06 Calend 01'!C63),6)=0),(((95-'V06 Calend 01'!C63)/6)&lt;='V06 Calend 01'!E63)),IF((95=('V06 Calend 01'!C63+(6*'V06 Calend 01'!E63))),('V06 Calend 01'!H63-('V06 Calend 01'!I63*('V06 Calend 01'!E63-1))),'V06 Calend 01'!I63),0))+IF((95='V06 Calend 01'!D63),'V06 Calend 01'!J63,0))</f>
        <v>0</v>
      </c>
      <c r="DD63" s="2">
        <f>((IF((96='V06 Calend 01'!C63),('V06 Calend 01'!F63+'V06 Calend 01'!G63),0)+IF(AND(('V06 Calend 01'!E63&gt;0),(96&gt;'V06 Calend 01'!C63),(96&lt;'V06 Calend 01'!D63),(MOD((96-'V06 Calend 01'!C63),6)=0),(((96-'V06 Calend 01'!C63)/6)&lt;='V06 Calend 01'!E63)),IF((96=('V06 Calend 01'!C63+(6*'V06 Calend 01'!E63))),('V06 Calend 01'!H63-('V06 Calend 01'!I63*('V06 Calend 01'!E63-1))),'V06 Calend 01'!I63),0))+IF((96='V06 Calend 01'!D63),'V06 Calend 01'!J63,0))</f>
        <v>0</v>
      </c>
      <c r="DE63" s="2">
        <f>((IF((97='V06 Calend 01'!C63),('V06 Calend 01'!F63+'V06 Calend 01'!G63),0)+IF(AND(('V06 Calend 01'!E63&gt;0),(97&gt;'V06 Calend 01'!C63),(97&lt;'V06 Calend 01'!D63),(MOD((97-'V06 Calend 01'!C63),6)=0),(((97-'V06 Calend 01'!C63)/6)&lt;='V06 Calend 01'!E63)),IF((97=('V06 Calend 01'!C63+(6*'V06 Calend 01'!E63))),('V06 Calend 01'!H63-('V06 Calend 01'!I63*('V06 Calend 01'!E63-1))),'V06 Calend 01'!I63),0))+IF((97='V06 Calend 01'!D63),'V06 Calend 01'!J63,0))</f>
        <v>0</v>
      </c>
      <c r="DF63" s="2">
        <f>((IF((98='V06 Calend 01'!C63),('V06 Calend 01'!F63+'V06 Calend 01'!G63),0)+IF(AND(('V06 Calend 01'!E63&gt;0),(98&gt;'V06 Calend 01'!C63),(98&lt;'V06 Calend 01'!D63),(MOD((98-'V06 Calend 01'!C63),6)=0),(((98-'V06 Calend 01'!C63)/6)&lt;='V06 Calend 01'!E63)),IF((98=('V06 Calend 01'!C63+(6*'V06 Calend 01'!E63))),('V06 Calend 01'!H63-('V06 Calend 01'!I63*('V06 Calend 01'!E63-1))),'V06 Calend 01'!I63),0))+IF((98='V06 Calend 01'!D63),'V06 Calend 01'!J63,0))</f>
        <v>0</v>
      </c>
      <c r="DG63" s="2">
        <f>((IF((99='V06 Calend 01'!C63),('V06 Calend 01'!F63+'V06 Calend 01'!G63),0)+IF(AND(('V06 Calend 01'!E63&gt;0),(99&gt;'V06 Calend 01'!C63),(99&lt;'V06 Calend 01'!D63),(MOD((99-'V06 Calend 01'!C63),6)=0),(((99-'V06 Calend 01'!C63)/6)&lt;='V06 Calend 01'!E63)),IF((99=('V06 Calend 01'!C63+(6*'V06 Calend 01'!E63))),('V06 Calend 01'!H63-('V06 Calend 01'!I63*('V06 Calend 01'!E63-1))),'V06 Calend 01'!I63),0))+IF((99='V06 Calend 01'!D63),'V06 Calend 01'!J63,0))</f>
        <v>0</v>
      </c>
      <c r="DH63" s="2">
        <f>((IF((100='V06 Calend 01'!C63),('V06 Calend 01'!F63+'V06 Calend 01'!G63),0)+IF(AND(('V06 Calend 01'!E63&gt;0),(100&gt;'V06 Calend 01'!C63),(100&lt;'V06 Calend 01'!D63),(MOD((100-'V06 Calend 01'!C63),6)=0),(((100-'V06 Calend 01'!C63)/6)&lt;='V06 Calend 01'!E63)),IF((100=('V06 Calend 01'!C63+(6*'V06 Calend 01'!E63))),('V06 Calend 01'!H63-('V06 Calend 01'!I63*('V06 Calend 01'!E63-1))),'V06 Calend 01'!I63),0))+IF((100='V06 Calend 01'!D63),'V06 Calend 01'!J63,0))</f>
        <v>0</v>
      </c>
      <c r="DI63" s="2">
        <f>((IF((101='V06 Calend 01'!C63),('V06 Calend 01'!F63+'V06 Calend 01'!G63),0)+IF(AND(('V06 Calend 01'!E63&gt;0),(101&gt;'V06 Calend 01'!C63),(101&lt;'V06 Calend 01'!D63),(MOD((101-'V06 Calend 01'!C63),6)=0),(((101-'V06 Calend 01'!C63)/6)&lt;='V06 Calend 01'!E63)),IF((101=('V06 Calend 01'!C63+(6*'V06 Calend 01'!E63))),('V06 Calend 01'!H63-('V06 Calend 01'!I63*('V06 Calend 01'!E63-1))),'V06 Calend 01'!I63),0))+IF((101='V06 Calend 01'!D63),'V06 Calend 01'!J63,0))</f>
        <v>0</v>
      </c>
      <c r="DJ63" s="2">
        <f>((IF((102='V06 Calend 01'!C63),('V06 Calend 01'!F63+'V06 Calend 01'!G63),0)+IF(AND(('V06 Calend 01'!E63&gt;0),(102&gt;'V06 Calend 01'!C63),(102&lt;'V06 Calend 01'!D63),(MOD((102-'V06 Calend 01'!C63),6)=0),(((102-'V06 Calend 01'!C63)/6)&lt;='V06 Calend 01'!E63)),IF((102=('V06 Calend 01'!C63+(6*'V06 Calend 01'!E63))),('V06 Calend 01'!H63-('V06 Calend 01'!I63*('V06 Calend 01'!E63-1))),'V06 Calend 01'!I63),0))+IF((102='V06 Calend 01'!D63),'V06 Calend 01'!J63,0))</f>
        <v>0</v>
      </c>
      <c r="DK63" s="2">
        <f>((IF((103='V06 Calend 01'!C63),('V06 Calend 01'!F63+'V06 Calend 01'!G63),0)+IF(AND(('V06 Calend 01'!E63&gt;0),(103&gt;'V06 Calend 01'!C63),(103&lt;'V06 Calend 01'!D63),(MOD((103-'V06 Calend 01'!C63),6)=0),(((103-'V06 Calend 01'!C63)/6)&lt;='V06 Calend 01'!E63)),IF((103=('V06 Calend 01'!C63+(6*'V06 Calend 01'!E63))),('V06 Calend 01'!H63-('V06 Calend 01'!I63*('V06 Calend 01'!E63-1))),'V06 Calend 01'!I63),0))+IF((103='V06 Calend 01'!D63),'V06 Calend 01'!J63,0))</f>
        <v>0</v>
      </c>
      <c r="DL63" s="2">
        <f>((IF((104='V06 Calend 01'!C63),('V06 Calend 01'!F63+'V06 Calend 01'!G63),0)+IF(AND(('V06 Calend 01'!E63&gt;0),(104&gt;'V06 Calend 01'!C63),(104&lt;'V06 Calend 01'!D63),(MOD((104-'V06 Calend 01'!C63),6)=0),(((104-'V06 Calend 01'!C63)/6)&lt;='V06 Calend 01'!E63)),IF((104=('V06 Calend 01'!C63+(6*'V06 Calend 01'!E63))),('V06 Calend 01'!H63-('V06 Calend 01'!I63*('V06 Calend 01'!E63-1))),'V06 Calend 01'!I63),0))+IF((104='V06 Calend 01'!D63),'V06 Calend 01'!J63,0))</f>
        <v>0</v>
      </c>
      <c r="DM63" s="2">
        <f>((IF((105='V06 Calend 01'!C63),('V06 Calend 01'!F63+'V06 Calend 01'!G63),0)+IF(AND(('V06 Calend 01'!E63&gt;0),(105&gt;'V06 Calend 01'!C63),(105&lt;'V06 Calend 01'!D63),(MOD((105-'V06 Calend 01'!C63),6)=0),(((105-'V06 Calend 01'!C63)/6)&lt;='V06 Calend 01'!E63)),IF((105=('V06 Calend 01'!C63+(6*'V06 Calend 01'!E63))),('V06 Calend 01'!H63-('V06 Calend 01'!I63*('V06 Calend 01'!E63-1))),'V06 Calend 01'!I63),0))+IF((105='V06 Calend 01'!D63),'V06 Calend 01'!J63,0))</f>
        <v>0</v>
      </c>
      <c r="DN63" s="2">
        <f>((IF((106='V06 Calend 01'!C63),('V06 Calend 01'!F63+'V06 Calend 01'!G63),0)+IF(AND(('V06 Calend 01'!E63&gt;0),(106&gt;'V06 Calend 01'!C63),(106&lt;'V06 Calend 01'!D63),(MOD((106-'V06 Calend 01'!C63),6)=0),(((106-'V06 Calend 01'!C63)/6)&lt;='V06 Calend 01'!E63)),IF((106=('V06 Calend 01'!C63+(6*'V06 Calend 01'!E63))),('V06 Calend 01'!H63-('V06 Calend 01'!I63*('V06 Calend 01'!E63-1))),'V06 Calend 01'!I63),0))+IF((106='V06 Calend 01'!D63),'V06 Calend 01'!J63,0))</f>
        <v>0</v>
      </c>
      <c r="DO63" s="2">
        <f>((IF((107='V06 Calend 01'!C63),('V06 Calend 01'!F63+'V06 Calend 01'!G63),0)+IF(AND(('V06 Calend 01'!E63&gt;0),(107&gt;'V06 Calend 01'!C63),(107&lt;'V06 Calend 01'!D63),(MOD((107-'V06 Calend 01'!C63),6)=0),(((107-'V06 Calend 01'!C63)/6)&lt;='V06 Calend 01'!E63)),IF((107=('V06 Calend 01'!C63+(6*'V06 Calend 01'!E63))),('V06 Calend 01'!H63-('V06 Calend 01'!I63*('V06 Calend 01'!E63-1))),'V06 Calend 01'!I63),0))+IF((107='V06 Calend 01'!D63),'V06 Calend 01'!J63,0))</f>
        <v>0</v>
      </c>
      <c r="DP63" s="2">
        <f>((IF((108='V06 Calend 01'!C63),('V06 Calend 01'!F63+'V06 Calend 01'!G63),0)+IF(AND(('V06 Calend 01'!E63&gt;0),(108&gt;'V06 Calend 01'!C63),(108&lt;'V06 Calend 01'!D63),(MOD((108-'V06 Calend 01'!C63),6)=0),(((108-'V06 Calend 01'!C63)/6)&lt;='V06 Calend 01'!E63)),IF((108=('V06 Calend 01'!C63+(6*'V06 Calend 01'!E63))),('V06 Calend 01'!H63-('V06 Calend 01'!I63*('V06 Calend 01'!E63-1))),'V06 Calend 01'!I63),0))+IF((108='V06 Calend 01'!D63),'V06 Calend 01'!J63,0))</f>
        <v>0</v>
      </c>
      <c r="DQ63" s="2">
        <f>((IF((109='V06 Calend 01'!C63),('V06 Calend 01'!F63+'V06 Calend 01'!G63),0)+IF(AND(('V06 Calend 01'!E63&gt;0),(109&gt;'V06 Calend 01'!C63),(109&lt;'V06 Calend 01'!D63),(MOD((109-'V06 Calend 01'!C63),6)=0),(((109-'V06 Calend 01'!C63)/6)&lt;='V06 Calend 01'!E63)),IF((109=('V06 Calend 01'!C63+(6*'V06 Calend 01'!E63))),('V06 Calend 01'!H63-('V06 Calend 01'!I63*('V06 Calend 01'!E63-1))),'V06 Calend 01'!I63),0))+IF((109='V06 Calend 01'!D63),'V06 Calend 01'!J63,0))</f>
        <v>0</v>
      </c>
      <c r="DR63" s="2">
        <f>((IF((110='V06 Calend 01'!C63),('V06 Calend 01'!F63+'V06 Calend 01'!G63),0)+IF(AND(('V06 Calend 01'!E63&gt;0),(110&gt;'V06 Calend 01'!C63),(110&lt;'V06 Calend 01'!D63),(MOD((110-'V06 Calend 01'!C63),6)=0),(((110-'V06 Calend 01'!C63)/6)&lt;='V06 Calend 01'!E63)),IF((110=('V06 Calend 01'!C63+(6*'V06 Calend 01'!E63))),('V06 Calend 01'!H63-('V06 Calend 01'!I63*('V06 Calend 01'!E63-1))),'V06 Calend 01'!I63),0))+IF((110='V06 Calend 01'!D63),'V06 Calend 01'!J63,0))</f>
        <v>0</v>
      </c>
      <c r="DS63" s="2">
        <f>((IF((111='V06 Calend 01'!C63),('V06 Calend 01'!F63+'V06 Calend 01'!G63),0)+IF(AND(('V06 Calend 01'!E63&gt;0),(111&gt;'V06 Calend 01'!C63),(111&lt;'V06 Calend 01'!D63),(MOD((111-'V06 Calend 01'!C63),6)=0),(((111-'V06 Calend 01'!C63)/6)&lt;='V06 Calend 01'!E63)),IF((111=('V06 Calend 01'!C63+(6*'V06 Calend 01'!E63))),('V06 Calend 01'!H63-('V06 Calend 01'!I63*('V06 Calend 01'!E63-1))),'V06 Calend 01'!I63),0))+IF((111='V06 Calend 01'!D63),'V06 Calend 01'!J63,0))</f>
        <v>0</v>
      </c>
      <c r="DT63" s="2">
        <f>((IF((112='V06 Calend 01'!C63),('V06 Calend 01'!F63+'V06 Calend 01'!G63),0)+IF(AND(('V06 Calend 01'!E63&gt;0),(112&gt;'V06 Calend 01'!C63),(112&lt;'V06 Calend 01'!D63),(MOD((112-'V06 Calend 01'!C63),6)=0),(((112-'V06 Calend 01'!C63)/6)&lt;='V06 Calend 01'!E63)),IF((112=('V06 Calend 01'!C63+(6*'V06 Calend 01'!E63))),('V06 Calend 01'!H63-('V06 Calend 01'!I63*('V06 Calend 01'!E63-1))),'V06 Calend 01'!I63),0))+IF((112='V06 Calend 01'!D63),'V06 Calend 01'!J63,0))</f>
        <v>0</v>
      </c>
      <c r="DU63" s="2">
        <f>((IF((113='V06 Calend 01'!C63),('V06 Calend 01'!F63+'V06 Calend 01'!G63),0)+IF(AND(('V06 Calend 01'!E63&gt;0),(113&gt;'V06 Calend 01'!C63),(113&lt;'V06 Calend 01'!D63),(MOD((113-'V06 Calend 01'!C63),6)=0),(((113-'V06 Calend 01'!C63)/6)&lt;='V06 Calend 01'!E63)),IF((113=('V06 Calend 01'!C63+(6*'V06 Calend 01'!E63))),('V06 Calend 01'!H63-('V06 Calend 01'!I63*('V06 Calend 01'!E63-1))),'V06 Calend 01'!I63),0))+IF((113='V06 Calend 01'!D63),'V06 Calend 01'!J63,0))</f>
        <v>0</v>
      </c>
      <c r="DV63" s="2">
        <f>((IF((114='V06 Calend 01'!C63),('V06 Calend 01'!F63+'V06 Calend 01'!G63),0)+IF(AND(('V06 Calend 01'!E63&gt;0),(114&gt;'V06 Calend 01'!C63),(114&lt;'V06 Calend 01'!D63),(MOD((114-'V06 Calend 01'!C63),6)=0),(((114-'V06 Calend 01'!C63)/6)&lt;='V06 Calend 01'!E63)),IF((114=('V06 Calend 01'!C63+(6*'V06 Calend 01'!E63))),('V06 Calend 01'!H63-('V06 Calend 01'!I63*('V06 Calend 01'!E63-1))),'V06 Calend 01'!I63),0))+IF((114='V06 Calend 01'!D63),'V06 Calend 01'!J63,0))</f>
        <v>0</v>
      </c>
      <c r="DW63" s="2">
        <f>((IF((115='V06 Calend 01'!C63),('V06 Calend 01'!F63+'V06 Calend 01'!G63),0)+IF(AND(('V06 Calend 01'!E63&gt;0),(115&gt;'V06 Calend 01'!C63),(115&lt;'V06 Calend 01'!D63),(MOD((115-'V06 Calend 01'!C63),6)=0),(((115-'V06 Calend 01'!C63)/6)&lt;='V06 Calend 01'!E63)),IF((115=('V06 Calend 01'!C63+(6*'V06 Calend 01'!E63))),('V06 Calend 01'!H63-('V06 Calend 01'!I63*('V06 Calend 01'!E63-1))),'V06 Calend 01'!I63),0))+IF((115='V06 Calend 01'!D63),'V06 Calend 01'!J63,0))</f>
        <v>0</v>
      </c>
      <c r="DX63" s="2">
        <f>((IF((116='V06 Calend 01'!C63),('V06 Calend 01'!F63+'V06 Calend 01'!G63),0)+IF(AND(('V06 Calend 01'!E63&gt;0),(116&gt;'V06 Calend 01'!C63),(116&lt;'V06 Calend 01'!D63),(MOD((116-'V06 Calend 01'!C63),6)=0),(((116-'V06 Calend 01'!C63)/6)&lt;='V06 Calend 01'!E63)),IF((116=('V06 Calend 01'!C63+(6*'V06 Calend 01'!E63))),('V06 Calend 01'!H63-('V06 Calend 01'!I63*('V06 Calend 01'!E63-1))),'V06 Calend 01'!I63),0))+IF((116='V06 Calend 01'!D63),'V06 Calend 01'!J63,0))</f>
        <v>0</v>
      </c>
      <c r="DY63" s="2">
        <f>((IF((117='V06 Calend 01'!C63),('V06 Calend 01'!F63+'V06 Calend 01'!G63),0)+IF(AND(('V06 Calend 01'!E63&gt;0),(117&gt;'V06 Calend 01'!C63),(117&lt;'V06 Calend 01'!D63),(MOD((117-'V06 Calend 01'!C63),6)=0),(((117-'V06 Calend 01'!C63)/6)&lt;='V06 Calend 01'!E63)),IF((117=('V06 Calend 01'!C63+(6*'V06 Calend 01'!E63))),('V06 Calend 01'!H63-('V06 Calend 01'!I63*('V06 Calend 01'!E63-1))),'V06 Calend 01'!I63),0))+IF((117='V06 Calend 01'!D63),'V06 Calend 01'!J63,0))</f>
        <v>0</v>
      </c>
      <c r="DZ63" s="2">
        <f>((IF((118='V06 Calend 01'!C63),('V06 Calend 01'!F63+'V06 Calend 01'!G63),0)+IF(AND(('V06 Calend 01'!E63&gt;0),(118&gt;'V06 Calend 01'!C63),(118&lt;'V06 Calend 01'!D63),(MOD((118-'V06 Calend 01'!C63),6)=0),(((118-'V06 Calend 01'!C63)/6)&lt;='V06 Calend 01'!E63)),IF((118=('V06 Calend 01'!C63+(6*'V06 Calend 01'!E63))),('V06 Calend 01'!H63-('V06 Calend 01'!I63*('V06 Calend 01'!E63-1))),'V06 Calend 01'!I63),0))+IF((118='V06 Calend 01'!D63),'V06 Calend 01'!J63,0))</f>
        <v>0</v>
      </c>
      <c r="EA63" s="2">
        <f>((IF((119='V06 Calend 01'!C63),('V06 Calend 01'!F63+'V06 Calend 01'!G63),0)+IF(AND(('V06 Calend 01'!E63&gt;0),(119&gt;'V06 Calend 01'!C63),(119&lt;'V06 Calend 01'!D63),(MOD((119-'V06 Calend 01'!C63),6)=0),(((119-'V06 Calend 01'!C63)/6)&lt;='V06 Calend 01'!E63)),IF((119=('V06 Calend 01'!C63+(6*'V06 Calend 01'!E63))),('V06 Calend 01'!H63-('V06 Calend 01'!I63*('V06 Calend 01'!E63-1))),'V06 Calend 01'!I63),0))+IF((119='V06 Calend 01'!D63),'V06 Calend 01'!J63,0))</f>
        <v>0</v>
      </c>
      <c r="EB63" s="2">
        <f>((IF((120='V06 Calend 01'!C63),('V06 Calend 01'!F63+'V06 Calend 01'!G63),0)+IF(AND(('V06 Calend 01'!E63&gt;0),(120&gt;'V06 Calend 01'!C63),(120&lt;'V06 Calend 01'!D63),(MOD((120-'V06 Calend 01'!C63),6)=0),(((120-'V06 Calend 01'!C63)/6)&lt;='V06 Calend 01'!E63)),IF((120=('V06 Calend 01'!C63+(6*'V06 Calend 01'!E63))),('V06 Calend 01'!H63-('V06 Calend 01'!I63*('V06 Calend 01'!E63-1))),'V06 Calend 01'!I63),0))+IF((120='V06 Calend 01'!D63),'V06 Calend 01'!J63,0))</f>
        <v>0</v>
      </c>
      <c r="EC63" s="2">
        <f>((IF((121='V06 Calend 01'!C63),('V06 Calend 01'!F63+'V06 Calend 01'!G63),0)+IF(AND(('V06 Calend 01'!E63&gt;0),(121&gt;'V06 Calend 01'!C63),(121&lt;'V06 Calend 01'!D63),(MOD((121-'V06 Calend 01'!C63),6)=0),(((121-'V06 Calend 01'!C63)/6)&lt;='V06 Calend 01'!E63)),IF((121=('V06 Calend 01'!C63+(6*'V06 Calend 01'!E63))),('V06 Calend 01'!H63-('V06 Calend 01'!I63*('V06 Calend 01'!E63-1))),'V06 Calend 01'!I63),0))+IF((121='V06 Calend 01'!D63),'V06 Calend 01'!J63,0))</f>
        <v>0</v>
      </c>
      <c r="ED63" s="2">
        <f>((IF((122='V06 Calend 01'!C63),('V06 Calend 01'!F63+'V06 Calend 01'!G63),0)+IF(AND(('V06 Calend 01'!E63&gt;0),(122&gt;'V06 Calend 01'!C63),(122&lt;'V06 Calend 01'!D63),(MOD((122-'V06 Calend 01'!C63),6)=0),(((122-'V06 Calend 01'!C63)/6)&lt;='V06 Calend 01'!E63)),IF((122=('V06 Calend 01'!C63+(6*'V06 Calend 01'!E63))),('V06 Calend 01'!H63-('V06 Calend 01'!I63*('V06 Calend 01'!E63-1))),'V06 Calend 01'!I63),0))+IF((122='V06 Calend 01'!D63),'V06 Calend 01'!J63,0))</f>
        <v>0</v>
      </c>
      <c r="EE63" s="2">
        <f>((IF((123='V06 Calend 01'!C63),('V06 Calend 01'!F63+'V06 Calend 01'!G63),0)+IF(AND(('V06 Calend 01'!E63&gt;0),(123&gt;'V06 Calend 01'!C63),(123&lt;'V06 Calend 01'!D63),(MOD((123-'V06 Calend 01'!C63),6)=0),(((123-'V06 Calend 01'!C63)/6)&lt;='V06 Calend 01'!E63)),IF((123=('V06 Calend 01'!C63+(6*'V06 Calend 01'!E63))),('V06 Calend 01'!H63-('V06 Calend 01'!I63*('V06 Calend 01'!E63-1))),'V06 Calend 01'!I63),0))+IF((123='V06 Calend 01'!D63),'V06 Calend 01'!J63,0))</f>
        <v>0</v>
      </c>
      <c r="EF63" s="2">
        <f>((IF((124='V06 Calend 01'!C63),('V06 Calend 01'!F63+'V06 Calend 01'!G63),0)+IF(AND(('V06 Calend 01'!E63&gt;0),(124&gt;'V06 Calend 01'!C63),(124&lt;'V06 Calend 01'!D63),(MOD((124-'V06 Calend 01'!C63),6)=0),(((124-'V06 Calend 01'!C63)/6)&lt;='V06 Calend 01'!E63)),IF((124=('V06 Calend 01'!C63+(6*'V06 Calend 01'!E63))),('V06 Calend 01'!H63-('V06 Calend 01'!I63*('V06 Calend 01'!E63-1))),'V06 Calend 01'!I63),0))+IF((124='V06 Calend 01'!D63),'V06 Calend 01'!J63,0))</f>
        <v>0</v>
      </c>
      <c r="EG63" s="2">
        <f>((IF((125='V06 Calend 01'!C63),('V06 Calend 01'!F63+'V06 Calend 01'!G63),0)+IF(AND(('V06 Calend 01'!E63&gt;0),(125&gt;'V06 Calend 01'!C63),(125&lt;'V06 Calend 01'!D63),(MOD((125-'V06 Calend 01'!C63),6)=0),(((125-'V06 Calend 01'!C63)/6)&lt;='V06 Calend 01'!E63)),IF((125=('V06 Calend 01'!C63+(6*'V06 Calend 01'!E63))),('V06 Calend 01'!H63-('V06 Calend 01'!I63*('V06 Calend 01'!E63-1))),'V06 Calend 01'!I63),0))+IF((125='V06 Calend 01'!D63),'V06 Calend 01'!J63,0))</f>
        <v>0</v>
      </c>
      <c r="EH63" s="2">
        <f>((IF((126='V06 Calend 01'!C63),('V06 Calend 01'!F63+'V06 Calend 01'!G63),0)+IF(AND(('V06 Calend 01'!E63&gt;0),(126&gt;'V06 Calend 01'!C63),(126&lt;'V06 Calend 01'!D63),(MOD((126-'V06 Calend 01'!C63),6)=0),(((126-'V06 Calend 01'!C63)/6)&lt;='V06 Calend 01'!E63)),IF((126=('V06 Calend 01'!C63+(6*'V06 Calend 01'!E63))),('V06 Calend 01'!H63-('V06 Calend 01'!I63*('V06 Calend 01'!E63-1))),'V06 Calend 01'!I63),0))+IF((126='V06 Calend 01'!D63),'V06 Calend 01'!J63,0))</f>
        <v>0</v>
      </c>
      <c r="EI63" s="2">
        <f>((IF((127='V06 Calend 01'!C63),('V06 Calend 01'!F63+'V06 Calend 01'!G63),0)+IF(AND(('V06 Calend 01'!E63&gt;0),(127&gt;'V06 Calend 01'!C63),(127&lt;'V06 Calend 01'!D63),(MOD((127-'V06 Calend 01'!C63),6)=0),(((127-'V06 Calend 01'!C63)/6)&lt;='V06 Calend 01'!E63)),IF((127=('V06 Calend 01'!C63+(6*'V06 Calend 01'!E63))),('V06 Calend 01'!H63-('V06 Calend 01'!I63*('V06 Calend 01'!E63-1))),'V06 Calend 01'!I63),0))+IF((127='V06 Calend 01'!D63),'V06 Calend 01'!J63,0))</f>
        <v>0</v>
      </c>
      <c r="EJ63" s="2">
        <f>((IF((128='V06 Calend 01'!C63),('V06 Calend 01'!F63+'V06 Calend 01'!G63),0)+IF(AND(('V06 Calend 01'!E63&gt;0),(128&gt;'V06 Calend 01'!C63),(128&lt;'V06 Calend 01'!D63),(MOD((128-'V06 Calend 01'!C63),6)=0),(((128-'V06 Calend 01'!C63)/6)&lt;='V06 Calend 01'!E63)),IF((128=('V06 Calend 01'!C63+(6*'V06 Calend 01'!E63))),('V06 Calend 01'!H63-('V06 Calend 01'!I63*('V06 Calend 01'!E63-1))),'V06 Calend 01'!I63),0))+IF((128='V06 Calend 01'!D63),'V06 Calend 01'!J63,0))</f>
        <v>0</v>
      </c>
      <c r="EK63" s="2">
        <f>((IF((129='V06 Calend 01'!C63),('V06 Calend 01'!F63+'V06 Calend 01'!G63),0)+IF(AND(('V06 Calend 01'!E63&gt;0),(129&gt;'V06 Calend 01'!C63),(129&lt;'V06 Calend 01'!D63),(MOD((129-'V06 Calend 01'!C63),6)=0),(((129-'V06 Calend 01'!C63)/6)&lt;='V06 Calend 01'!E63)),IF((129=('V06 Calend 01'!C63+(6*'V06 Calend 01'!E63))),('V06 Calend 01'!H63-('V06 Calend 01'!I63*('V06 Calend 01'!E63-1))),'V06 Calend 01'!I63),0))+IF((129='V06 Calend 01'!D63),'V06 Calend 01'!J63,0))</f>
        <v>0</v>
      </c>
      <c r="EL63" s="2">
        <f>((IF((130='V06 Calend 01'!C63),('V06 Calend 01'!F63+'V06 Calend 01'!G63),0)+IF(AND(('V06 Calend 01'!E63&gt;0),(130&gt;'V06 Calend 01'!C63),(130&lt;'V06 Calend 01'!D63),(MOD((130-'V06 Calend 01'!C63),6)=0),(((130-'V06 Calend 01'!C63)/6)&lt;='V06 Calend 01'!E63)),IF((130=('V06 Calend 01'!C63+(6*'V06 Calend 01'!E63))),('V06 Calend 01'!H63-('V06 Calend 01'!I63*('V06 Calend 01'!E63-1))),'V06 Calend 01'!I63),0))+IF((130='V06 Calend 01'!D63),'V06 Calend 01'!J63,0))</f>
        <v>0</v>
      </c>
      <c r="EM63" s="2">
        <f>((IF((131='V06 Calend 01'!C63),('V06 Calend 01'!F63+'V06 Calend 01'!G63),0)+IF(AND(('V06 Calend 01'!E63&gt;0),(131&gt;'V06 Calend 01'!C63),(131&lt;'V06 Calend 01'!D63),(MOD((131-'V06 Calend 01'!C63),6)=0),(((131-'V06 Calend 01'!C63)/6)&lt;='V06 Calend 01'!E63)),IF((131=('V06 Calend 01'!C63+(6*'V06 Calend 01'!E63))),('V06 Calend 01'!H63-('V06 Calend 01'!I63*('V06 Calend 01'!E63-1))),'V06 Calend 01'!I63),0))+IF((131='V06 Calend 01'!D63),'V06 Calend 01'!J63,0))</f>
        <v>0</v>
      </c>
      <c r="EN63" s="2">
        <f>((IF((132='V06 Calend 01'!C63),('V06 Calend 01'!F63+'V06 Calend 01'!G63),0)+IF(AND(('V06 Calend 01'!E63&gt;0),(132&gt;'V06 Calend 01'!C63),(132&lt;'V06 Calend 01'!D63),(MOD((132-'V06 Calend 01'!C63),6)=0),(((132-'V06 Calend 01'!C63)/6)&lt;='V06 Calend 01'!E63)),IF((132=('V06 Calend 01'!C63+(6*'V06 Calend 01'!E63))),('V06 Calend 01'!H63-('V06 Calend 01'!I63*('V06 Calend 01'!E63-1))),'V06 Calend 01'!I63),0))+IF((132='V06 Calend 01'!D63),'V06 Calend 01'!J63,0))</f>
        <v>0</v>
      </c>
      <c r="EO63" s="2">
        <f>((IF((133='V06 Calend 01'!C63),('V06 Calend 01'!F63+'V06 Calend 01'!G63),0)+IF(AND(('V06 Calend 01'!E63&gt;0),(133&gt;'V06 Calend 01'!C63),(133&lt;'V06 Calend 01'!D63),(MOD((133-'V06 Calend 01'!C63),6)=0),(((133-'V06 Calend 01'!C63)/6)&lt;='V06 Calend 01'!E63)),IF((133=('V06 Calend 01'!C63+(6*'V06 Calend 01'!E63))),('V06 Calend 01'!H63-('V06 Calend 01'!I63*('V06 Calend 01'!E63-1))),'V06 Calend 01'!I63),0))+IF((133='V06 Calend 01'!D63),'V06 Calend 01'!J63,0))</f>
        <v>0</v>
      </c>
      <c r="EP63" s="2">
        <f>((IF((134='V06 Calend 01'!C63),('V06 Calend 01'!F63+'V06 Calend 01'!G63),0)+IF(AND(('V06 Calend 01'!E63&gt;0),(134&gt;'V06 Calend 01'!C63),(134&lt;'V06 Calend 01'!D63),(MOD((134-'V06 Calend 01'!C63),6)=0),(((134-'V06 Calend 01'!C63)/6)&lt;='V06 Calend 01'!E63)),IF((134=('V06 Calend 01'!C63+(6*'V06 Calend 01'!E63))),('V06 Calend 01'!H63-('V06 Calend 01'!I63*('V06 Calend 01'!E63-1))),'V06 Calend 01'!I63),0))+IF((134='V06 Calend 01'!D63),'V06 Calend 01'!J63,0))</f>
        <v>0</v>
      </c>
      <c r="EQ63" s="2">
        <f>((IF((135='V06 Calend 01'!C63),('V06 Calend 01'!F63+'V06 Calend 01'!G63),0)+IF(AND(('V06 Calend 01'!E63&gt;0),(135&gt;'V06 Calend 01'!C63),(135&lt;'V06 Calend 01'!D63),(MOD((135-'V06 Calend 01'!C63),6)=0),(((135-'V06 Calend 01'!C63)/6)&lt;='V06 Calend 01'!E63)),IF((135=('V06 Calend 01'!C63+(6*'V06 Calend 01'!E63))),('V06 Calend 01'!H63-('V06 Calend 01'!I63*('V06 Calend 01'!E63-1))),'V06 Calend 01'!I63),0))+IF((135='V06 Calend 01'!D63),'V06 Calend 01'!J63,0))</f>
        <v>0</v>
      </c>
      <c r="ER63" s="2">
        <f>((IF((136='V06 Calend 01'!C63),('V06 Calend 01'!F63+'V06 Calend 01'!G63),0)+IF(AND(('V06 Calend 01'!E63&gt;0),(136&gt;'V06 Calend 01'!C63),(136&lt;'V06 Calend 01'!D63),(MOD((136-'V06 Calend 01'!C63),6)=0),(((136-'V06 Calend 01'!C63)/6)&lt;='V06 Calend 01'!E63)),IF((136=('V06 Calend 01'!C63+(6*'V06 Calend 01'!E63))),('V06 Calend 01'!H63-('V06 Calend 01'!I63*('V06 Calend 01'!E63-1))),'V06 Calend 01'!I63),0))+IF((136='V06 Calend 01'!D63),'V06 Calend 01'!J63,0))</f>
        <v>0</v>
      </c>
      <c r="ES63" s="2">
        <f>((IF((137='V06 Calend 01'!C63),('V06 Calend 01'!F63+'V06 Calend 01'!G63),0)+IF(AND(('V06 Calend 01'!E63&gt;0),(137&gt;'V06 Calend 01'!C63),(137&lt;'V06 Calend 01'!D63),(MOD((137-'V06 Calend 01'!C63),6)=0),(((137-'V06 Calend 01'!C63)/6)&lt;='V06 Calend 01'!E63)),IF((137=('V06 Calend 01'!C63+(6*'V06 Calend 01'!E63))),('V06 Calend 01'!H63-('V06 Calend 01'!I63*('V06 Calend 01'!E63-1))),'V06 Calend 01'!I63),0))+IF((137='V06 Calend 01'!D63),'V06 Calend 01'!J63,0))</f>
        <v>0</v>
      </c>
      <c r="ET63" s="2">
        <f>((IF((138='V06 Calend 01'!C63),('V06 Calend 01'!F63+'V06 Calend 01'!G63),0)+IF(AND(('V06 Calend 01'!E63&gt;0),(138&gt;'V06 Calend 01'!C63),(138&lt;'V06 Calend 01'!D63),(MOD((138-'V06 Calend 01'!C63),6)=0),(((138-'V06 Calend 01'!C63)/6)&lt;='V06 Calend 01'!E63)),IF((138=('V06 Calend 01'!C63+(6*'V06 Calend 01'!E63))),('V06 Calend 01'!H63-('V06 Calend 01'!I63*('V06 Calend 01'!E63-1))),'V06 Calend 01'!I63),0))+IF((138='V06 Calend 01'!D63),'V06 Calend 01'!J63,0))</f>
        <v>0</v>
      </c>
      <c r="EU63" s="2">
        <f>((IF((139='V06 Calend 01'!C63),('V06 Calend 01'!F63+'V06 Calend 01'!G63),0)+IF(AND(('V06 Calend 01'!E63&gt;0),(139&gt;'V06 Calend 01'!C63),(139&lt;'V06 Calend 01'!D63),(MOD((139-'V06 Calend 01'!C63),6)=0),(((139-'V06 Calend 01'!C63)/6)&lt;='V06 Calend 01'!E63)),IF((139=('V06 Calend 01'!C63+(6*'V06 Calend 01'!E63))),('V06 Calend 01'!H63-('V06 Calend 01'!I63*('V06 Calend 01'!E63-1))),'V06 Calend 01'!I63),0))+IF((139='V06 Calend 01'!D63),'V06 Calend 01'!J63,0))</f>
        <v>0</v>
      </c>
      <c r="EV63" s="2">
        <f>((IF((140='V06 Calend 01'!C63),('V06 Calend 01'!F63+'V06 Calend 01'!G63),0)+IF(AND(('V06 Calend 01'!E63&gt;0),(140&gt;'V06 Calend 01'!C63),(140&lt;'V06 Calend 01'!D63),(MOD((140-'V06 Calend 01'!C63),6)=0),(((140-'V06 Calend 01'!C63)/6)&lt;='V06 Calend 01'!E63)),IF((140=('V06 Calend 01'!C63+(6*'V06 Calend 01'!E63))),('V06 Calend 01'!H63-('V06 Calend 01'!I63*('V06 Calend 01'!E63-1))),'V06 Calend 01'!I63),0))+IF((140='V06 Calend 01'!D63),'V06 Calend 01'!J63,0))</f>
        <v>0</v>
      </c>
      <c r="EW63" s="2">
        <f>((IF((141='V06 Calend 01'!C63),('V06 Calend 01'!F63+'V06 Calend 01'!G63),0)+IF(AND(('V06 Calend 01'!E63&gt;0),(141&gt;'V06 Calend 01'!C63),(141&lt;'V06 Calend 01'!D63),(MOD((141-'V06 Calend 01'!C63),6)=0),(((141-'V06 Calend 01'!C63)/6)&lt;='V06 Calend 01'!E63)),IF((141=('V06 Calend 01'!C63+(6*'V06 Calend 01'!E63))),('V06 Calend 01'!H63-('V06 Calend 01'!I63*('V06 Calend 01'!E63-1))),'V06 Calend 01'!I63),0))+IF((141='V06 Calend 01'!D63),'V06 Calend 01'!J63,0))</f>
        <v>0</v>
      </c>
      <c r="EX63" s="2">
        <f>((IF((142='V06 Calend 01'!C63),('V06 Calend 01'!F63+'V06 Calend 01'!G63),0)+IF(AND(('V06 Calend 01'!E63&gt;0),(142&gt;'V06 Calend 01'!C63),(142&lt;'V06 Calend 01'!D63),(MOD((142-'V06 Calend 01'!C63),6)=0),(((142-'V06 Calend 01'!C63)/6)&lt;='V06 Calend 01'!E63)),IF((142=('V06 Calend 01'!C63+(6*'V06 Calend 01'!E63))),('V06 Calend 01'!H63-('V06 Calend 01'!I63*('V06 Calend 01'!E63-1))),'V06 Calend 01'!I63),0))+IF((142='V06 Calend 01'!D63),'V06 Calend 01'!J63,0))</f>
        <v>0</v>
      </c>
      <c r="EY63" s="2">
        <f>((IF((143='V06 Calend 01'!C63),('V06 Calend 01'!F63+'V06 Calend 01'!G63),0)+IF(AND(('V06 Calend 01'!E63&gt;0),(143&gt;'V06 Calend 01'!C63),(143&lt;'V06 Calend 01'!D63),(MOD((143-'V06 Calend 01'!C63),6)=0),(((143-'V06 Calend 01'!C63)/6)&lt;='V06 Calend 01'!E63)),IF((143=('V06 Calend 01'!C63+(6*'V06 Calend 01'!E63))),('V06 Calend 01'!H63-('V06 Calend 01'!I63*('V06 Calend 01'!E63-1))),'V06 Calend 01'!I63),0))+IF((143='V06 Calend 01'!D63),'V06 Calend 01'!J63,0))</f>
        <v>0</v>
      </c>
      <c r="EZ63" s="2">
        <f>((IF((144='V06 Calend 01'!C63),('V06 Calend 01'!F63+'V06 Calend 01'!G63),0)+IF(AND(('V06 Calend 01'!E63&gt;0),(144&gt;'V06 Calend 01'!C63),(144&lt;'V06 Calend 01'!D63),(MOD((144-'V06 Calend 01'!C63),6)=0),(((144-'V06 Calend 01'!C63)/6)&lt;='V06 Calend 01'!E63)),IF((144=('V06 Calend 01'!C63+(6*'V06 Calend 01'!E63))),('V06 Calend 01'!H63-('V06 Calend 01'!I63*('V06 Calend 01'!E63-1))),'V06 Calend 01'!I63),0))+IF((144='V06 Calend 01'!D63),'V06 Calend 01'!J63,0))</f>
        <v>0</v>
      </c>
      <c r="FA63" s="2">
        <f>((IF((145='V06 Calend 01'!C63),('V06 Calend 01'!F63+'V06 Calend 01'!G63),0)+IF(AND(('V06 Calend 01'!E63&gt;0),(145&gt;'V06 Calend 01'!C63),(145&lt;'V06 Calend 01'!D63),(MOD((145-'V06 Calend 01'!C63),6)=0),(((145-'V06 Calend 01'!C63)/6)&lt;='V06 Calend 01'!E63)),IF((145=('V06 Calend 01'!C63+(6*'V06 Calend 01'!E63))),('V06 Calend 01'!H63-('V06 Calend 01'!I63*('V06 Calend 01'!E63-1))),'V06 Calend 01'!I63),0))+IF((145='V06 Calend 01'!D63),'V06 Calend 01'!J63,0))</f>
        <v>0</v>
      </c>
      <c r="FB63" s="2">
        <f>((IF((146='V06 Calend 01'!C63),('V06 Calend 01'!F63+'V06 Calend 01'!G63),0)+IF(AND(('V06 Calend 01'!E63&gt;0),(146&gt;'V06 Calend 01'!C63),(146&lt;'V06 Calend 01'!D63),(MOD((146-'V06 Calend 01'!C63),6)=0),(((146-'V06 Calend 01'!C63)/6)&lt;='V06 Calend 01'!E63)),IF((146=('V06 Calend 01'!C63+(6*'V06 Calend 01'!E63))),('V06 Calend 01'!H63-('V06 Calend 01'!I63*('V06 Calend 01'!E63-1))),'V06 Calend 01'!I63),0))+IF((146='V06 Calend 01'!D63),'V06 Calend 01'!J63,0))</f>
        <v>0</v>
      </c>
      <c r="FC63" s="2">
        <f>((IF((147='V06 Calend 01'!C63),('V06 Calend 01'!F63+'V06 Calend 01'!G63),0)+IF(AND(('V06 Calend 01'!E63&gt;0),(147&gt;'V06 Calend 01'!C63),(147&lt;'V06 Calend 01'!D63),(MOD((147-'V06 Calend 01'!C63),6)=0),(((147-'V06 Calend 01'!C63)/6)&lt;='V06 Calend 01'!E63)),IF((147=('V06 Calend 01'!C63+(6*'V06 Calend 01'!E63))),('V06 Calend 01'!H63-('V06 Calend 01'!I63*('V06 Calend 01'!E63-1))),'V06 Calend 01'!I63),0))+IF((147='V06 Calend 01'!D63),'V06 Calend 01'!J63,0))</f>
        <v>0</v>
      </c>
      <c r="FD63" s="2">
        <f>((IF((148='V06 Calend 01'!C63),('V06 Calend 01'!F63+'V06 Calend 01'!G63),0)+IF(AND(('V06 Calend 01'!E63&gt;0),(148&gt;'V06 Calend 01'!C63),(148&lt;'V06 Calend 01'!D63),(MOD((148-'V06 Calend 01'!C63),6)=0),(((148-'V06 Calend 01'!C63)/6)&lt;='V06 Calend 01'!E63)),IF((148=('V06 Calend 01'!C63+(6*'V06 Calend 01'!E63))),('V06 Calend 01'!H63-('V06 Calend 01'!I63*('V06 Calend 01'!E63-1))),'V06 Calend 01'!I63),0))+IF((148='V06 Calend 01'!D63),'V06 Calend 01'!J63,0))</f>
        <v>0</v>
      </c>
      <c r="FE63" s="2">
        <f>((IF((149='V06 Calend 01'!C63),('V06 Calend 01'!F63+'V06 Calend 01'!G63),0)+IF(AND(('V06 Calend 01'!E63&gt;0),(149&gt;'V06 Calend 01'!C63),(149&lt;'V06 Calend 01'!D63),(MOD((149-'V06 Calend 01'!C63),6)=0),(((149-'V06 Calend 01'!C63)/6)&lt;='V06 Calend 01'!E63)),IF((149=('V06 Calend 01'!C63+(6*'V06 Calend 01'!E63))),('V06 Calend 01'!H63-('V06 Calend 01'!I63*('V06 Calend 01'!E63-1))),'V06 Calend 01'!I63),0))+IF((149='V06 Calend 01'!D63),'V06 Calend 01'!J63,0))</f>
        <v>0</v>
      </c>
      <c r="FF63" s="2">
        <f>((IF((150='V06 Calend 01'!C63),('V06 Calend 01'!F63+'V06 Calend 01'!G63),0)+IF(AND(('V06 Calend 01'!E63&gt;0),(150&gt;'V06 Calend 01'!C63),(150&lt;'V06 Calend 01'!D63),(MOD((150-'V06 Calend 01'!C63),6)=0),(((150-'V06 Calend 01'!C63)/6)&lt;='V06 Calend 01'!E63)),IF((150=('V06 Calend 01'!C63+(6*'V06 Calend 01'!E63))),('V06 Calend 01'!H63-('V06 Calend 01'!I63*('V06 Calend 01'!E63-1))),'V06 Calend 01'!I63),0))+IF((150='V06 Calend 01'!D63),'V06 Calend 01'!J63,0))</f>
        <v>0</v>
      </c>
      <c r="FG63" s="2">
        <f>((IF((151='V06 Calend 01'!C63),('V06 Calend 01'!F63+'V06 Calend 01'!G63),0)+IF(AND(('V06 Calend 01'!E63&gt;0),(151&gt;'V06 Calend 01'!C63),(151&lt;'V06 Calend 01'!D63),(MOD((151-'V06 Calend 01'!C63),6)=0),(((151-'V06 Calend 01'!C63)/6)&lt;='V06 Calend 01'!E63)),IF((151=('V06 Calend 01'!C63+(6*'V06 Calend 01'!E63))),('V06 Calend 01'!H63-('V06 Calend 01'!I63*('V06 Calend 01'!E63-1))),'V06 Calend 01'!I63),0))+IF((151='V06 Calend 01'!D63),'V06 Calend 01'!J63,0))</f>
        <v>0</v>
      </c>
      <c r="FH63" s="2">
        <f>((IF((152='V06 Calend 01'!C63),('V06 Calend 01'!F63+'V06 Calend 01'!G63),0)+IF(AND(('V06 Calend 01'!E63&gt;0),(152&gt;'V06 Calend 01'!C63),(152&lt;'V06 Calend 01'!D63),(MOD((152-'V06 Calend 01'!C63),6)=0),(((152-'V06 Calend 01'!C63)/6)&lt;='V06 Calend 01'!E63)),IF((152=('V06 Calend 01'!C63+(6*'V06 Calend 01'!E63))),('V06 Calend 01'!H63-('V06 Calend 01'!I63*('V06 Calend 01'!E63-1))),'V06 Calend 01'!I63),0))+IF((152='V06 Calend 01'!D63),'V06 Calend 01'!J63,0))</f>
        <v>0</v>
      </c>
      <c r="FI63" s="2">
        <f>((IF((153='V06 Calend 01'!C63),('V06 Calend 01'!F63+'V06 Calend 01'!G63),0)+IF(AND(('V06 Calend 01'!E63&gt;0),(153&gt;'V06 Calend 01'!C63),(153&lt;'V06 Calend 01'!D63),(MOD((153-'V06 Calend 01'!C63),6)=0),(((153-'V06 Calend 01'!C63)/6)&lt;='V06 Calend 01'!E63)),IF((153=('V06 Calend 01'!C63+(6*'V06 Calend 01'!E63))),('V06 Calend 01'!H63-('V06 Calend 01'!I63*('V06 Calend 01'!E63-1))),'V06 Calend 01'!I63),0))+IF((153='V06 Calend 01'!D63),'V06 Calend 01'!J63,0))</f>
        <v>0</v>
      </c>
      <c r="FJ63" s="2">
        <f>((IF((154='V06 Calend 01'!C63),('V06 Calend 01'!F63+'V06 Calend 01'!G63),0)+IF(AND(('V06 Calend 01'!E63&gt;0),(154&gt;'V06 Calend 01'!C63),(154&lt;'V06 Calend 01'!D63),(MOD((154-'V06 Calend 01'!C63),6)=0),(((154-'V06 Calend 01'!C63)/6)&lt;='V06 Calend 01'!E63)),IF((154=('V06 Calend 01'!C63+(6*'V06 Calend 01'!E63))),('V06 Calend 01'!H63-('V06 Calend 01'!I63*('V06 Calend 01'!E63-1))),'V06 Calend 01'!I63),0))+IF((154='V06 Calend 01'!D63),'V06 Calend 01'!J63,0))</f>
        <v>0</v>
      </c>
      <c r="FK63" s="2">
        <f>((IF((155='V06 Calend 01'!C63),('V06 Calend 01'!F63+'V06 Calend 01'!G63),0)+IF(AND(('V06 Calend 01'!E63&gt;0),(155&gt;'V06 Calend 01'!C63),(155&lt;'V06 Calend 01'!D63),(MOD((155-'V06 Calend 01'!C63),6)=0),(((155-'V06 Calend 01'!C63)/6)&lt;='V06 Calend 01'!E63)),IF((155=('V06 Calend 01'!C63+(6*'V06 Calend 01'!E63))),('V06 Calend 01'!H63-('V06 Calend 01'!I63*('V06 Calend 01'!E63-1))),'V06 Calend 01'!I63),0))+IF((155='V06 Calend 01'!D63),'V06 Calend 01'!J63,0))</f>
        <v>0</v>
      </c>
      <c r="FL63" s="2">
        <f>((IF((156='V06 Calend 01'!C63),('V06 Calend 01'!F63+'V06 Calend 01'!G63),0)+IF(AND(('V06 Calend 01'!E63&gt;0),(156&gt;'V06 Calend 01'!C63),(156&lt;'V06 Calend 01'!D63),(MOD((156-'V06 Calend 01'!C63),6)=0),(((156-'V06 Calend 01'!C63)/6)&lt;='V06 Calend 01'!E63)),IF((156=('V06 Calend 01'!C63+(6*'V06 Calend 01'!E63))),('V06 Calend 01'!H63-('V06 Calend 01'!I63*('V06 Calend 01'!E63-1))),'V06 Calend 01'!I63),0))+IF((156='V06 Calend 01'!D63),'V06 Calend 01'!J63,0))</f>
        <v>0</v>
      </c>
      <c r="FM63" s="2">
        <f>((IF((157='V06 Calend 01'!C63),('V06 Calend 01'!F63+'V06 Calend 01'!G63),0)+IF(AND(('V06 Calend 01'!E63&gt;0),(157&gt;'V06 Calend 01'!C63),(157&lt;'V06 Calend 01'!D63),(MOD((157-'V06 Calend 01'!C63),6)=0),(((157-'V06 Calend 01'!C63)/6)&lt;='V06 Calend 01'!E63)),IF((157=('V06 Calend 01'!C63+(6*'V06 Calend 01'!E63))),('V06 Calend 01'!H63-('V06 Calend 01'!I63*('V06 Calend 01'!E63-1))),'V06 Calend 01'!I63),0))+IF((157='V06 Calend 01'!D63),'V06 Calend 01'!J63,0))</f>
        <v>0</v>
      </c>
      <c r="FN63" s="2">
        <f>((IF((158='V06 Calend 01'!C63),('V06 Calend 01'!F63+'V06 Calend 01'!G63),0)+IF(AND(('V06 Calend 01'!E63&gt;0),(158&gt;'V06 Calend 01'!C63),(158&lt;'V06 Calend 01'!D63),(MOD((158-'V06 Calend 01'!C63),6)=0),(((158-'V06 Calend 01'!C63)/6)&lt;='V06 Calend 01'!E63)),IF((158=('V06 Calend 01'!C63+(6*'V06 Calend 01'!E63))),('V06 Calend 01'!H63-('V06 Calend 01'!I63*('V06 Calend 01'!E63-1))),'V06 Calend 01'!I63),0))+IF((158='V06 Calend 01'!D63),'V06 Calend 01'!J63,0))</f>
        <v>0</v>
      </c>
      <c r="FO63" s="2">
        <f>((IF((159='V06 Calend 01'!C63),('V06 Calend 01'!F63+'V06 Calend 01'!G63),0)+IF(AND(('V06 Calend 01'!E63&gt;0),(159&gt;'V06 Calend 01'!C63),(159&lt;'V06 Calend 01'!D63),(MOD((159-'V06 Calend 01'!C63),6)=0),(((159-'V06 Calend 01'!C63)/6)&lt;='V06 Calend 01'!E63)),IF((159=('V06 Calend 01'!C63+(6*'V06 Calend 01'!E63))),('V06 Calend 01'!H63-('V06 Calend 01'!I63*('V06 Calend 01'!E63-1))),'V06 Calend 01'!I63),0))+IF((159='V06 Calend 01'!D63),'V06 Calend 01'!J63,0))</f>
        <v>0</v>
      </c>
      <c r="FP63" s="2">
        <f>((IF((160='V06 Calend 01'!C63),('V06 Calend 01'!F63+'V06 Calend 01'!G63),0)+IF(AND(('V06 Calend 01'!E63&gt;0),(160&gt;'V06 Calend 01'!C63),(160&lt;'V06 Calend 01'!D63),(MOD((160-'V06 Calend 01'!C63),6)=0),(((160-'V06 Calend 01'!C63)/6)&lt;='V06 Calend 01'!E63)),IF((160=('V06 Calend 01'!C63+(6*'V06 Calend 01'!E63))),('V06 Calend 01'!H63-('V06 Calend 01'!I63*('V06 Calend 01'!E63-1))),'V06 Calend 01'!I63),0))+IF((160='V06 Calend 01'!D63),'V06 Calend 01'!J63,0))</f>
        <v>0</v>
      </c>
      <c r="FQ63" s="2">
        <f>((IF((161='V06 Calend 01'!C63),('V06 Calend 01'!F63+'V06 Calend 01'!G63),0)+IF(AND(('V06 Calend 01'!E63&gt;0),(161&gt;'V06 Calend 01'!C63),(161&lt;'V06 Calend 01'!D63),(MOD((161-'V06 Calend 01'!C63),6)=0),(((161-'V06 Calend 01'!C63)/6)&lt;='V06 Calend 01'!E63)),IF((161=('V06 Calend 01'!C63+(6*'V06 Calend 01'!E63))),('V06 Calend 01'!H63-('V06 Calend 01'!I63*('V06 Calend 01'!E63-1))),'V06 Calend 01'!I63),0))+IF((161='V06 Calend 01'!D63),'V06 Calend 01'!J63,0))</f>
        <v>0</v>
      </c>
      <c r="FR63" s="2">
        <f>((IF((162='V06 Calend 01'!C63),('V06 Calend 01'!F63+'V06 Calend 01'!G63),0)+IF(AND(('V06 Calend 01'!E63&gt;0),(162&gt;'V06 Calend 01'!C63),(162&lt;'V06 Calend 01'!D63),(MOD((162-'V06 Calend 01'!C63),6)=0),(((162-'V06 Calend 01'!C63)/6)&lt;='V06 Calend 01'!E63)),IF((162=('V06 Calend 01'!C63+(6*'V06 Calend 01'!E63))),('V06 Calend 01'!H63-('V06 Calend 01'!I63*('V06 Calend 01'!E63-1))),'V06 Calend 01'!I63),0))+IF((162='V06 Calend 01'!D63),'V06 Calend 01'!J63,0))</f>
        <v>0</v>
      </c>
      <c r="FS63" s="2">
        <f>((IF((163='V06 Calend 01'!C63),('V06 Calend 01'!F63+'V06 Calend 01'!G63),0)+IF(AND(('V06 Calend 01'!E63&gt;0),(163&gt;'V06 Calend 01'!C63),(163&lt;'V06 Calend 01'!D63),(MOD((163-'V06 Calend 01'!C63),6)=0),(((163-'V06 Calend 01'!C63)/6)&lt;='V06 Calend 01'!E63)),IF((163=('V06 Calend 01'!C63+(6*'V06 Calend 01'!E63))),('V06 Calend 01'!H63-('V06 Calend 01'!I63*('V06 Calend 01'!E63-1))),'V06 Calend 01'!I63),0))+IF((163='V06 Calend 01'!D63),'V06 Calend 01'!J63,0))</f>
        <v>0</v>
      </c>
      <c r="FT63" s="2">
        <f>((IF((164='V06 Calend 01'!C63),('V06 Calend 01'!F63+'V06 Calend 01'!G63),0)+IF(AND(('V06 Calend 01'!E63&gt;0),(164&gt;'V06 Calend 01'!C63),(164&lt;'V06 Calend 01'!D63),(MOD((164-'V06 Calend 01'!C63),6)=0),(((164-'V06 Calend 01'!C63)/6)&lt;='V06 Calend 01'!E63)),IF((164=('V06 Calend 01'!C63+(6*'V06 Calend 01'!E63))),('V06 Calend 01'!H63-('V06 Calend 01'!I63*('V06 Calend 01'!E63-1))),'V06 Calend 01'!I63),0))+IF((164='V06 Calend 01'!D63),'V06 Calend 01'!J63,0))</f>
        <v>0</v>
      </c>
      <c r="FU63" s="2">
        <f>((IF((165='V06 Calend 01'!C63),('V06 Calend 01'!F63+'V06 Calend 01'!G63),0)+IF(AND(('V06 Calend 01'!E63&gt;0),(165&gt;'V06 Calend 01'!C63),(165&lt;'V06 Calend 01'!D63),(MOD((165-'V06 Calend 01'!C63),6)=0),(((165-'V06 Calend 01'!C63)/6)&lt;='V06 Calend 01'!E63)),IF((165=('V06 Calend 01'!C63+(6*'V06 Calend 01'!E63))),('V06 Calend 01'!H63-('V06 Calend 01'!I63*('V06 Calend 01'!E63-1))),'V06 Calend 01'!I63),0))+IF((165='V06 Calend 01'!D63),'V06 Calend 01'!J63,0))</f>
        <v>0</v>
      </c>
      <c r="FV63" s="2">
        <f>((IF((166='V06 Calend 01'!C63),('V06 Calend 01'!F63+'V06 Calend 01'!G63),0)+IF(AND(('V06 Calend 01'!E63&gt;0),(166&gt;'V06 Calend 01'!C63),(166&lt;'V06 Calend 01'!D63),(MOD((166-'V06 Calend 01'!C63),6)=0),(((166-'V06 Calend 01'!C63)/6)&lt;='V06 Calend 01'!E63)),IF((166=('V06 Calend 01'!C63+(6*'V06 Calend 01'!E63))),('V06 Calend 01'!H63-('V06 Calend 01'!I63*('V06 Calend 01'!E63-1))),'V06 Calend 01'!I63),0))+IF((166='V06 Calend 01'!D63),'V06 Calend 01'!J63,0))</f>
        <v>0</v>
      </c>
      <c r="FW63" s="2">
        <f>((IF((167='V06 Calend 01'!C63),('V06 Calend 01'!F63+'V06 Calend 01'!G63),0)+IF(AND(('V06 Calend 01'!E63&gt;0),(167&gt;'V06 Calend 01'!C63),(167&lt;'V06 Calend 01'!D63),(MOD((167-'V06 Calend 01'!C63),6)=0),(((167-'V06 Calend 01'!C63)/6)&lt;='V06 Calend 01'!E63)),IF((167=('V06 Calend 01'!C63+(6*'V06 Calend 01'!E63))),('V06 Calend 01'!H63-('V06 Calend 01'!I63*('V06 Calend 01'!E63-1))),'V06 Calend 01'!I63),0))+IF((167='V06 Calend 01'!D63),'V06 Calend 01'!J63,0))</f>
        <v>0</v>
      </c>
      <c r="FX63" s="2">
        <f>((IF((168='V06 Calend 01'!C63),('V06 Calend 01'!F63+'V06 Calend 01'!G63),0)+IF(AND(('V06 Calend 01'!E63&gt;0),(168&gt;'V06 Calend 01'!C63),(168&lt;'V06 Calend 01'!D63),(MOD((168-'V06 Calend 01'!C63),6)=0),(((168-'V06 Calend 01'!C63)/6)&lt;='V06 Calend 01'!E63)),IF((168=('V06 Calend 01'!C63+(6*'V06 Calend 01'!E63))),('V06 Calend 01'!H63-('V06 Calend 01'!I63*('V06 Calend 01'!E63-1))),'V06 Calend 01'!I63),0))+IF((168='V06 Calend 01'!D63),'V06 Calend 01'!J63,0))</f>
        <v>0</v>
      </c>
      <c r="FY63" s="2">
        <f>((IF((169='V06 Calend 01'!C63),('V06 Calend 01'!F63+'V06 Calend 01'!G63),0)+IF(AND(('V06 Calend 01'!E63&gt;0),(169&gt;'V06 Calend 01'!C63),(169&lt;'V06 Calend 01'!D63),(MOD((169-'V06 Calend 01'!C63),6)=0),(((169-'V06 Calend 01'!C63)/6)&lt;='V06 Calend 01'!E63)),IF((169=('V06 Calend 01'!C63+(6*'V06 Calend 01'!E63))),('V06 Calend 01'!H63-('V06 Calend 01'!I63*('V06 Calend 01'!E63-1))),'V06 Calend 01'!I63),0))+IF((169='V06 Calend 01'!D63),'V06 Calend 01'!J63,0))</f>
        <v>0</v>
      </c>
      <c r="FZ63" s="2">
        <f>((IF((170='V06 Calend 01'!C63),('V06 Calend 01'!F63+'V06 Calend 01'!G63),0)+IF(AND(('V06 Calend 01'!E63&gt;0),(170&gt;'V06 Calend 01'!C63),(170&lt;'V06 Calend 01'!D63),(MOD((170-'V06 Calend 01'!C63),6)=0),(((170-'V06 Calend 01'!C63)/6)&lt;='V06 Calend 01'!E63)),IF((170=('V06 Calend 01'!C63+(6*'V06 Calend 01'!E63))),('V06 Calend 01'!H63-('V06 Calend 01'!I63*('V06 Calend 01'!E63-1))),'V06 Calend 01'!I63),0))+IF((170='V06 Calend 01'!D63),'V06 Calend 01'!J63,0))</f>
        <v>0</v>
      </c>
      <c r="GA63" s="2">
        <f>((IF((171='V06 Calend 01'!C63),('V06 Calend 01'!F63+'V06 Calend 01'!G63),0)+IF(AND(('V06 Calend 01'!E63&gt;0),(171&gt;'V06 Calend 01'!C63),(171&lt;'V06 Calend 01'!D63),(MOD((171-'V06 Calend 01'!C63),6)=0),(((171-'V06 Calend 01'!C63)/6)&lt;='V06 Calend 01'!E63)),IF((171=('V06 Calend 01'!C63+(6*'V06 Calend 01'!E63))),('V06 Calend 01'!H63-('V06 Calend 01'!I63*('V06 Calend 01'!E63-1))),'V06 Calend 01'!I63),0))+IF((171='V06 Calend 01'!D63),'V06 Calend 01'!J63,0))</f>
        <v>0</v>
      </c>
      <c r="GB63" s="2">
        <f>((IF((172='V06 Calend 01'!C63),('V06 Calend 01'!F63+'V06 Calend 01'!G63),0)+IF(AND(('V06 Calend 01'!E63&gt;0),(172&gt;'V06 Calend 01'!C63),(172&lt;'V06 Calend 01'!D63),(MOD((172-'V06 Calend 01'!C63),6)=0),(((172-'V06 Calend 01'!C63)/6)&lt;='V06 Calend 01'!E63)),IF((172=('V06 Calend 01'!C63+(6*'V06 Calend 01'!E63))),('V06 Calend 01'!H63-('V06 Calend 01'!I63*('V06 Calend 01'!E63-1))),'V06 Calend 01'!I63),0))+IF((172='V06 Calend 01'!D63),'V06 Calend 01'!J63,0))</f>
        <v>0</v>
      </c>
      <c r="GC63" s="2">
        <f>((IF((173='V06 Calend 01'!C63),('V06 Calend 01'!F63+'V06 Calend 01'!G63),0)+IF(AND(('V06 Calend 01'!E63&gt;0),(173&gt;'V06 Calend 01'!C63),(173&lt;'V06 Calend 01'!D63),(MOD((173-'V06 Calend 01'!C63),6)=0),(((173-'V06 Calend 01'!C63)/6)&lt;='V06 Calend 01'!E63)),IF((173=('V06 Calend 01'!C63+(6*'V06 Calend 01'!E63))),('V06 Calend 01'!H63-('V06 Calend 01'!I63*('V06 Calend 01'!E63-1))),'V06 Calend 01'!I63),0))+IF((173='V06 Calend 01'!D63),'V06 Calend 01'!J63,0))</f>
        <v>0</v>
      </c>
      <c r="GD63" s="2">
        <f>((IF((174='V06 Calend 01'!C63),('V06 Calend 01'!F63+'V06 Calend 01'!G63),0)+IF(AND(('V06 Calend 01'!E63&gt;0),(174&gt;'V06 Calend 01'!C63),(174&lt;'V06 Calend 01'!D63),(MOD((174-'V06 Calend 01'!C63),6)=0),(((174-'V06 Calend 01'!C63)/6)&lt;='V06 Calend 01'!E63)),IF((174=('V06 Calend 01'!C63+(6*'V06 Calend 01'!E63))),('V06 Calend 01'!H63-('V06 Calend 01'!I63*('V06 Calend 01'!E63-1))),'V06 Calend 01'!I63),0))+IF((174='V06 Calend 01'!D63),'V06 Calend 01'!J63,0))</f>
        <v>0</v>
      </c>
      <c r="GE63" s="2">
        <f>((IF((175='V06 Calend 01'!C63),('V06 Calend 01'!F63+'V06 Calend 01'!G63),0)+IF(AND(('V06 Calend 01'!E63&gt;0),(175&gt;'V06 Calend 01'!C63),(175&lt;'V06 Calend 01'!D63),(MOD((175-'V06 Calend 01'!C63),6)=0),(((175-'V06 Calend 01'!C63)/6)&lt;='V06 Calend 01'!E63)),IF((175=('V06 Calend 01'!C63+(6*'V06 Calend 01'!E63))),('V06 Calend 01'!H63-('V06 Calend 01'!I63*('V06 Calend 01'!E63-1))),'V06 Calend 01'!I63),0))+IF((175='V06 Calend 01'!D63),'V06 Calend 01'!J63,0))</f>
        <v>0</v>
      </c>
      <c r="GF63" s="2">
        <f>((IF((176='V06 Calend 01'!C63),('V06 Calend 01'!F63+'V06 Calend 01'!G63),0)+IF(AND(('V06 Calend 01'!E63&gt;0),(176&gt;'V06 Calend 01'!C63),(176&lt;'V06 Calend 01'!D63),(MOD((176-'V06 Calend 01'!C63),6)=0),(((176-'V06 Calend 01'!C63)/6)&lt;='V06 Calend 01'!E63)),IF((176=('V06 Calend 01'!C63+(6*'V06 Calend 01'!E63))),('V06 Calend 01'!H63-('V06 Calend 01'!I63*('V06 Calend 01'!E63-1))),'V06 Calend 01'!I63),0))+IF((176='V06 Calend 01'!D63),'V06 Calend 01'!J63,0))</f>
        <v>0</v>
      </c>
      <c r="GG63" s="2">
        <f>((IF((177='V06 Calend 01'!C63),('V06 Calend 01'!F63+'V06 Calend 01'!G63),0)+IF(AND(('V06 Calend 01'!E63&gt;0),(177&gt;'V06 Calend 01'!C63),(177&lt;'V06 Calend 01'!D63),(MOD((177-'V06 Calend 01'!C63),6)=0),(((177-'V06 Calend 01'!C63)/6)&lt;='V06 Calend 01'!E63)),IF((177=('V06 Calend 01'!C63+(6*'V06 Calend 01'!E63))),('V06 Calend 01'!H63-('V06 Calend 01'!I63*('V06 Calend 01'!E63-1))),'V06 Calend 01'!I63),0))+IF((177='V06 Calend 01'!D63),'V06 Calend 01'!J63,0))</f>
        <v>0</v>
      </c>
      <c r="GH63" s="2">
        <f>((IF((178='V06 Calend 01'!C63),('V06 Calend 01'!F63+'V06 Calend 01'!G63),0)+IF(AND(('V06 Calend 01'!E63&gt;0),(178&gt;'V06 Calend 01'!C63),(178&lt;'V06 Calend 01'!D63),(MOD((178-'V06 Calend 01'!C63),6)=0),(((178-'V06 Calend 01'!C63)/6)&lt;='V06 Calend 01'!E63)),IF((178=('V06 Calend 01'!C63+(6*'V06 Calend 01'!E63))),('V06 Calend 01'!H63-('V06 Calend 01'!I63*('V06 Calend 01'!E63-1))),'V06 Calend 01'!I63),0))+IF((178='V06 Calend 01'!D63),'V06 Calend 01'!J63,0))</f>
        <v>0</v>
      </c>
      <c r="GI63" s="2">
        <f>((IF((179='V06 Calend 01'!C63),('V06 Calend 01'!F63+'V06 Calend 01'!G63),0)+IF(AND(('V06 Calend 01'!E63&gt;0),(179&gt;'V06 Calend 01'!C63),(179&lt;'V06 Calend 01'!D63),(MOD((179-'V06 Calend 01'!C63),6)=0),(((179-'V06 Calend 01'!C63)/6)&lt;='V06 Calend 01'!E63)),IF((179=('V06 Calend 01'!C63+(6*'V06 Calend 01'!E63))),('V06 Calend 01'!H63-('V06 Calend 01'!I63*('V06 Calend 01'!E63-1))),'V06 Calend 01'!I63),0))+IF((179='V06 Calend 01'!D63),'V06 Calend 01'!J63,0))</f>
        <v>0</v>
      </c>
      <c r="GJ63" s="2">
        <f>((IF((180='V06 Calend 01'!C63),('V06 Calend 01'!F63+'V06 Calend 01'!G63),0)+IF(AND(('V06 Calend 01'!E63&gt;0),(180&gt;'V06 Calend 01'!C63),(180&lt;'V06 Calend 01'!D63),(MOD((180-'V06 Calend 01'!C63),6)=0),(((180-'V06 Calend 01'!C63)/6)&lt;='V06 Calend 01'!E63)),IF((180=('V06 Calend 01'!C63+(6*'V06 Calend 01'!E63))),('V06 Calend 01'!H63-('V06 Calend 01'!I63*('V06 Calend 01'!E63-1))),'V06 Calend 01'!I63),0))+IF((180='V06 Calend 01'!D63),'V06 Calend 01'!J63,0))</f>
        <v>0</v>
      </c>
    </row>
    <row r="64" spans="1:192">
      <c r="A64" s="3" t="str">
        <f>'V06 Unidades'!$A$64</f>
        <v>710</v>
      </c>
      <c r="B64" s="2">
        <f>'V06 Unidades'!$H$64</f>
        <v>737386.01</v>
      </c>
      <c r="C64" s="4">
        <f>('V06 Unidades'!$I$64+'V06 Controlos'!$B$37)</f>
        <v>13</v>
      </c>
      <c r="D64" s="4">
        <f>IF(('V06 Controlos'!$B$38&gt;0),MAX(('V06 Unidades'!$L$64+'V06 Controlos'!$B$37),(30+'V06 Controlos'!$B$38)),('V06 Unidades'!$L$64+'V06 Controlos'!$B$37))</f>
        <v>30</v>
      </c>
      <c r="E64" s="4">
        <f>MAX(0,INT(((('V06 Calend 01'!D64-'V06 Calend 01'!C64)-1)/6)))</f>
        <v>2</v>
      </c>
      <c r="F64" s="2">
        <f>ROUND(('V06 Calend 01'!B64*0.05),2)</f>
        <v>36869.3</v>
      </c>
      <c r="G64" s="2">
        <f>ROUND(('V06 Calend 01'!B64*0.2),2)</f>
        <v>147477.2</v>
      </c>
      <c r="H64" s="2">
        <f>ROUND(('V06 Calend 01'!B64*0.55),2)</f>
        <v>405562.31</v>
      </c>
      <c r="I64" s="2">
        <f>ROUND(('V06 Calend 01'!H64/MAX(1,'V06 Calend 01'!E64)),2)</f>
        <v>202781.16</v>
      </c>
      <c r="J64" s="2">
        <f>((('V06 Calend 01'!B64-'V06 Calend 01'!F64)-'V06 Calend 01'!G64)-'V06 Calend 01'!H64)</f>
        <v>147477.2</v>
      </c>
      <c r="K64" s="2">
        <f>('V06 Calend 01'!B64*0.025)</f>
        <v>18434.650250000002</v>
      </c>
      <c r="L64" t="s">
        <v>378</v>
      </c>
      <c r="M64" s="2">
        <f>((IF((1='V06 Calend 01'!C64),('V06 Calend 01'!F64+'V06 Calend 01'!G64),0)+IF(AND(('V06 Calend 01'!E64&gt;0),(1&gt;'V06 Calend 01'!C64),(1&lt;'V06 Calend 01'!D64),(MOD((1-'V06 Calend 01'!C64),6)=0),(((1-'V06 Calend 01'!C64)/6)&lt;='V06 Calend 01'!E64)),IF((1=('V06 Calend 01'!C64+(6*'V06 Calend 01'!E64))),('V06 Calend 01'!H64-('V06 Calend 01'!I64*('V06 Calend 01'!E64-1))),'V06 Calend 01'!I64),0))+IF((1='V06 Calend 01'!D64),'V06 Calend 01'!J64,0))</f>
        <v>0</v>
      </c>
      <c r="N64" s="2">
        <f>((IF((2='V06 Calend 01'!C64),('V06 Calend 01'!F64+'V06 Calend 01'!G64),0)+IF(AND(('V06 Calend 01'!E64&gt;0),(2&gt;'V06 Calend 01'!C64),(2&lt;'V06 Calend 01'!D64),(MOD((2-'V06 Calend 01'!C64),6)=0),(((2-'V06 Calend 01'!C64)/6)&lt;='V06 Calend 01'!E64)),IF((2=('V06 Calend 01'!C64+(6*'V06 Calend 01'!E64))),('V06 Calend 01'!H64-('V06 Calend 01'!I64*('V06 Calend 01'!E64-1))),'V06 Calend 01'!I64),0))+IF((2='V06 Calend 01'!D64),'V06 Calend 01'!J64,0))</f>
        <v>0</v>
      </c>
      <c r="O64" s="2">
        <f>((IF((3='V06 Calend 01'!C64),('V06 Calend 01'!F64+'V06 Calend 01'!G64),0)+IF(AND(('V06 Calend 01'!E64&gt;0),(3&gt;'V06 Calend 01'!C64),(3&lt;'V06 Calend 01'!D64),(MOD((3-'V06 Calend 01'!C64),6)=0),(((3-'V06 Calend 01'!C64)/6)&lt;='V06 Calend 01'!E64)),IF((3=('V06 Calend 01'!C64+(6*'V06 Calend 01'!E64))),('V06 Calend 01'!H64-('V06 Calend 01'!I64*('V06 Calend 01'!E64-1))),'V06 Calend 01'!I64),0))+IF((3='V06 Calend 01'!D64),'V06 Calend 01'!J64,0))</f>
        <v>0</v>
      </c>
      <c r="P64" s="2">
        <f>((IF((4='V06 Calend 01'!C64),('V06 Calend 01'!F64+'V06 Calend 01'!G64),0)+IF(AND(('V06 Calend 01'!E64&gt;0),(4&gt;'V06 Calend 01'!C64),(4&lt;'V06 Calend 01'!D64),(MOD((4-'V06 Calend 01'!C64),6)=0),(((4-'V06 Calend 01'!C64)/6)&lt;='V06 Calend 01'!E64)),IF((4=('V06 Calend 01'!C64+(6*'V06 Calend 01'!E64))),('V06 Calend 01'!H64-('V06 Calend 01'!I64*('V06 Calend 01'!E64-1))),'V06 Calend 01'!I64),0))+IF((4='V06 Calend 01'!D64),'V06 Calend 01'!J64,0))</f>
        <v>0</v>
      </c>
      <c r="Q64" s="2">
        <f>((IF((5='V06 Calend 01'!C64),('V06 Calend 01'!F64+'V06 Calend 01'!G64),0)+IF(AND(('V06 Calend 01'!E64&gt;0),(5&gt;'V06 Calend 01'!C64),(5&lt;'V06 Calend 01'!D64),(MOD((5-'V06 Calend 01'!C64),6)=0),(((5-'V06 Calend 01'!C64)/6)&lt;='V06 Calend 01'!E64)),IF((5=('V06 Calend 01'!C64+(6*'V06 Calend 01'!E64))),('V06 Calend 01'!H64-('V06 Calend 01'!I64*('V06 Calend 01'!E64-1))),'V06 Calend 01'!I64),0))+IF((5='V06 Calend 01'!D64),'V06 Calend 01'!J64,0))</f>
        <v>0</v>
      </c>
      <c r="R64" s="2">
        <f>((IF((6='V06 Calend 01'!C64),('V06 Calend 01'!F64+'V06 Calend 01'!G64),0)+IF(AND(('V06 Calend 01'!E64&gt;0),(6&gt;'V06 Calend 01'!C64),(6&lt;'V06 Calend 01'!D64),(MOD((6-'V06 Calend 01'!C64),6)=0),(((6-'V06 Calend 01'!C64)/6)&lt;='V06 Calend 01'!E64)),IF((6=('V06 Calend 01'!C64+(6*'V06 Calend 01'!E64))),('V06 Calend 01'!H64-('V06 Calend 01'!I64*('V06 Calend 01'!E64-1))),'V06 Calend 01'!I64),0))+IF((6='V06 Calend 01'!D64),'V06 Calend 01'!J64,0))</f>
        <v>0</v>
      </c>
      <c r="S64" s="2">
        <f>((IF((7='V06 Calend 01'!C64),('V06 Calend 01'!F64+'V06 Calend 01'!G64),0)+IF(AND(('V06 Calend 01'!E64&gt;0),(7&gt;'V06 Calend 01'!C64),(7&lt;'V06 Calend 01'!D64),(MOD((7-'V06 Calend 01'!C64),6)=0),(((7-'V06 Calend 01'!C64)/6)&lt;='V06 Calend 01'!E64)),IF((7=('V06 Calend 01'!C64+(6*'V06 Calend 01'!E64))),('V06 Calend 01'!H64-('V06 Calend 01'!I64*('V06 Calend 01'!E64-1))),'V06 Calend 01'!I64),0))+IF((7='V06 Calend 01'!D64),'V06 Calend 01'!J64,0))</f>
        <v>0</v>
      </c>
      <c r="T64" s="2">
        <f>((IF((8='V06 Calend 01'!C64),('V06 Calend 01'!F64+'V06 Calend 01'!G64),0)+IF(AND(('V06 Calend 01'!E64&gt;0),(8&gt;'V06 Calend 01'!C64),(8&lt;'V06 Calend 01'!D64),(MOD((8-'V06 Calend 01'!C64),6)=0),(((8-'V06 Calend 01'!C64)/6)&lt;='V06 Calend 01'!E64)),IF((8=('V06 Calend 01'!C64+(6*'V06 Calend 01'!E64))),('V06 Calend 01'!H64-('V06 Calend 01'!I64*('V06 Calend 01'!E64-1))),'V06 Calend 01'!I64),0))+IF((8='V06 Calend 01'!D64),'V06 Calend 01'!J64,0))</f>
        <v>0</v>
      </c>
      <c r="U64" s="2">
        <f>((IF((9='V06 Calend 01'!C64),('V06 Calend 01'!F64+'V06 Calend 01'!G64),0)+IF(AND(('V06 Calend 01'!E64&gt;0),(9&gt;'V06 Calend 01'!C64),(9&lt;'V06 Calend 01'!D64),(MOD((9-'V06 Calend 01'!C64),6)=0),(((9-'V06 Calend 01'!C64)/6)&lt;='V06 Calend 01'!E64)),IF((9=('V06 Calend 01'!C64+(6*'V06 Calend 01'!E64))),('V06 Calend 01'!H64-('V06 Calend 01'!I64*('V06 Calend 01'!E64-1))),'V06 Calend 01'!I64),0))+IF((9='V06 Calend 01'!D64),'V06 Calend 01'!J64,0))</f>
        <v>0</v>
      </c>
      <c r="V64" s="2">
        <f>((IF((10='V06 Calend 01'!C64),('V06 Calend 01'!F64+'V06 Calend 01'!G64),0)+IF(AND(('V06 Calend 01'!E64&gt;0),(10&gt;'V06 Calend 01'!C64),(10&lt;'V06 Calend 01'!D64),(MOD((10-'V06 Calend 01'!C64),6)=0),(((10-'V06 Calend 01'!C64)/6)&lt;='V06 Calend 01'!E64)),IF((10=('V06 Calend 01'!C64+(6*'V06 Calend 01'!E64))),('V06 Calend 01'!H64-('V06 Calend 01'!I64*('V06 Calend 01'!E64-1))),'V06 Calend 01'!I64),0))+IF((10='V06 Calend 01'!D64),'V06 Calend 01'!J64,0))</f>
        <v>0</v>
      </c>
      <c r="W64" s="2">
        <f>((IF((11='V06 Calend 01'!C64),('V06 Calend 01'!F64+'V06 Calend 01'!G64),0)+IF(AND(('V06 Calend 01'!E64&gt;0),(11&gt;'V06 Calend 01'!C64),(11&lt;'V06 Calend 01'!D64),(MOD((11-'V06 Calend 01'!C64),6)=0),(((11-'V06 Calend 01'!C64)/6)&lt;='V06 Calend 01'!E64)),IF((11=('V06 Calend 01'!C64+(6*'V06 Calend 01'!E64))),('V06 Calend 01'!H64-('V06 Calend 01'!I64*('V06 Calend 01'!E64-1))),'V06 Calend 01'!I64),0))+IF((11='V06 Calend 01'!D64),'V06 Calend 01'!J64,0))</f>
        <v>0</v>
      </c>
      <c r="X64" s="2">
        <f>((IF((12='V06 Calend 01'!C64),('V06 Calend 01'!F64+'V06 Calend 01'!G64),0)+IF(AND(('V06 Calend 01'!E64&gt;0),(12&gt;'V06 Calend 01'!C64),(12&lt;'V06 Calend 01'!D64),(MOD((12-'V06 Calend 01'!C64),6)=0),(((12-'V06 Calend 01'!C64)/6)&lt;='V06 Calend 01'!E64)),IF((12=('V06 Calend 01'!C64+(6*'V06 Calend 01'!E64))),('V06 Calend 01'!H64-('V06 Calend 01'!I64*('V06 Calend 01'!E64-1))),'V06 Calend 01'!I64),0))+IF((12='V06 Calend 01'!D64),'V06 Calend 01'!J64,0))</f>
        <v>0</v>
      </c>
      <c r="Y64" s="2">
        <f>((IF((13='V06 Calend 01'!C64),('V06 Calend 01'!F64+'V06 Calend 01'!G64),0)+IF(AND(('V06 Calend 01'!E64&gt;0),(13&gt;'V06 Calend 01'!C64),(13&lt;'V06 Calend 01'!D64),(MOD((13-'V06 Calend 01'!C64),6)=0),(((13-'V06 Calend 01'!C64)/6)&lt;='V06 Calend 01'!E64)),IF((13=('V06 Calend 01'!C64+(6*'V06 Calend 01'!E64))),('V06 Calend 01'!H64-('V06 Calend 01'!I64*('V06 Calend 01'!E64-1))),'V06 Calend 01'!I64),0))+IF((13='V06 Calend 01'!D64),'V06 Calend 01'!J64,0))</f>
        <v>184346.5</v>
      </c>
      <c r="Z64" s="2">
        <f>((IF((14='V06 Calend 01'!C64),('V06 Calend 01'!F64+'V06 Calend 01'!G64),0)+IF(AND(('V06 Calend 01'!E64&gt;0),(14&gt;'V06 Calend 01'!C64),(14&lt;'V06 Calend 01'!D64),(MOD((14-'V06 Calend 01'!C64),6)=0),(((14-'V06 Calend 01'!C64)/6)&lt;='V06 Calend 01'!E64)),IF((14=('V06 Calend 01'!C64+(6*'V06 Calend 01'!E64))),('V06 Calend 01'!H64-('V06 Calend 01'!I64*('V06 Calend 01'!E64-1))),'V06 Calend 01'!I64),0))+IF((14='V06 Calend 01'!D64),'V06 Calend 01'!J64,0))</f>
        <v>0</v>
      </c>
      <c r="AA64" s="2">
        <f>((IF((15='V06 Calend 01'!C64),('V06 Calend 01'!F64+'V06 Calend 01'!G64),0)+IF(AND(('V06 Calend 01'!E64&gt;0),(15&gt;'V06 Calend 01'!C64),(15&lt;'V06 Calend 01'!D64),(MOD((15-'V06 Calend 01'!C64),6)=0),(((15-'V06 Calend 01'!C64)/6)&lt;='V06 Calend 01'!E64)),IF((15=('V06 Calend 01'!C64+(6*'V06 Calend 01'!E64))),('V06 Calend 01'!H64-('V06 Calend 01'!I64*('V06 Calend 01'!E64-1))),'V06 Calend 01'!I64),0))+IF((15='V06 Calend 01'!D64),'V06 Calend 01'!J64,0))</f>
        <v>0</v>
      </c>
      <c r="AB64" s="2">
        <f>((IF((16='V06 Calend 01'!C64),('V06 Calend 01'!F64+'V06 Calend 01'!G64),0)+IF(AND(('V06 Calend 01'!E64&gt;0),(16&gt;'V06 Calend 01'!C64),(16&lt;'V06 Calend 01'!D64),(MOD((16-'V06 Calend 01'!C64),6)=0),(((16-'V06 Calend 01'!C64)/6)&lt;='V06 Calend 01'!E64)),IF((16=('V06 Calend 01'!C64+(6*'V06 Calend 01'!E64))),('V06 Calend 01'!H64-('V06 Calend 01'!I64*('V06 Calend 01'!E64-1))),'V06 Calend 01'!I64),0))+IF((16='V06 Calend 01'!D64),'V06 Calend 01'!J64,0))</f>
        <v>0</v>
      </c>
      <c r="AC64" s="2">
        <f>((IF((17='V06 Calend 01'!C64),('V06 Calend 01'!F64+'V06 Calend 01'!G64),0)+IF(AND(('V06 Calend 01'!E64&gt;0),(17&gt;'V06 Calend 01'!C64),(17&lt;'V06 Calend 01'!D64),(MOD((17-'V06 Calend 01'!C64),6)=0),(((17-'V06 Calend 01'!C64)/6)&lt;='V06 Calend 01'!E64)),IF((17=('V06 Calend 01'!C64+(6*'V06 Calend 01'!E64))),('V06 Calend 01'!H64-('V06 Calend 01'!I64*('V06 Calend 01'!E64-1))),'V06 Calend 01'!I64),0))+IF((17='V06 Calend 01'!D64),'V06 Calend 01'!J64,0))</f>
        <v>0</v>
      </c>
      <c r="AD64" s="2">
        <f>((IF((18='V06 Calend 01'!C64),('V06 Calend 01'!F64+'V06 Calend 01'!G64),0)+IF(AND(('V06 Calend 01'!E64&gt;0),(18&gt;'V06 Calend 01'!C64),(18&lt;'V06 Calend 01'!D64),(MOD((18-'V06 Calend 01'!C64),6)=0),(((18-'V06 Calend 01'!C64)/6)&lt;='V06 Calend 01'!E64)),IF((18=('V06 Calend 01'!C64+(6*'V06 Calend 01'!E64))),('V06 Calend 01'!H64-('V06 Calend 01'!I64*('V06 Calend 01'!E64-1))),'V06 Calend 01'!I64),0))+IF((18='V06 Calend 01'!D64),'V06 Calend 01'!J64,0))</f>
        <v>0</v>
      </c>
      <c r="AE64" s="2">
        <f>((IF((19='V06 Calend 01'!C64),('V06 Calend 01'!F64+'V06 Calend 01'!G64),0)+IF(AND(('V06 Calend 01'!E64&gt;0),(19&gt;'V06 Calend 01'!C64),(19&lt;'V06 Calend 01'!D64),(MOD((19-'V06 Calend 01'!C64),6)=0),(((19-'V06 Calend 01'!C64)/6)&lt;='V06 Calend 01'!E64)),IF((19=('V06 Calend 01'!C64+(6*'V06 Calend 01'!E64))),('V06 Calend 01'!H64-('V06 Calend 01'!I64*('V06 Calend 01'!E64-1))),'V06 Calend 01'!I64),0))+IF((19='V06 Calend 01'!D64),'V06 Calend 01'!J64,0))</f>
        <v>202781.16</v>
      </c>
      <c r="AF64" s="2">
        <f>((IF((20='V06 Calend 01'!C64),('V06 Calend 01'!F64+'V06 Calend 01'!G64),0)+IF(AND(('V06 Calend 01'!E64&gt;0),(20&gt;'V06 Calend 01'!C64),(20&lt;'V06 Calend 01'!D64),(MOD((20-'V06 Calend 01'!C64),6)=0),(((20-'V06 Calend 01'!C64)/6)&lt;='V06 Calend 01'!E64)),IF((20=('V06 Calend 01'!C64+(6*'V06 Calend 01'!E64))),('V06 Calend 01'!H64-('V06 Calend 01'!I64*('V06 Calend 01'!E64-1))),'V06 Calend 01'!I64),0))+IF((20='V06 Calend 01'!D64),'V06 Calend 01'!J64,0))</f>
        <v>0</v>
      </c>
      <c r="AG64" s="2">
        <f>((IF((21='V06 Calend 01'!C64),('V06 Calend 01'!F64+'V06 Calend 01'!G64),0)+IF(AND(('V06 Calend 01'!E64&gt;0),(21&gt;'V06 Calend 01'!C64),(21&lt;'V06 Calend 01'!D64),(MOD((21-'V06 Calend 01'!C64),6)=0),(((21-'V06 Calend 01'!C64)/6)&lt;='V06 Calend 01'!E64)),IF((21=('V06 Calend 01'!C64+(6*'V06 Calend 01'!E64))),('V06 Calend 01'!H64-('V06 Calend 01'!I64*('V06 Calend 01'!E64-1))),'V06 Calend 01'!I64),0))+IF((21='V06 Calend 01'!D64),'V06 Calend 01'!J64,0))</f>
        <v>0</v>
      </c>
      <c r="AH64" s="2">
        <f>((IF((22='V06 Calend 01'!C64),('V06 Calend 01'!F64+'V06 Calend 01'!G64),0)+IF(AND(('V06 Calend 01'!E64&gt;0),(22&gt;'V06 Calend 01'!C64),(22&lt;'V06 Calend 01'!D64),(MOD((22-'V06 Calend 01'!C64),6)=0),(((22-'V06 Calend 01'!C64)/6)&lt;='V06 Calend 01'!E64)),IF((22=('V06 Calend 01'!C64+(6*'V06 Calend 01'!E64))),('V06 Calend 01'!H64-('V06 Calend 01'!I64*('V06 Calend 01'!E64-1))),'V06 Calend 01'!I64),0))+IF((22='V06 Calend 01'!D64),'V06 Calend 01'!J64,0))</f>
        <v>0</v>
      </c>
      <c r="AI64" s="2">
        <f>((IF((23='V06 Calend 01'!C64),('V06 Calend 01'!F64+'V06 Calend 01'!G64),0)+IF(AND(('V06 Calend 01'!E64&gt;0),(23&gt;'V06 Calend 01'!C64),(23&lt;'V06 Calend 01'!D64),(MOD((23-'V06 Calend 01'!C64),6)=0),(((23-'V06 Calend 01'!C64)/6)&lt;='V06 Calend 01'!E64)),IF((23=('V06 Calend 01'!C64+(6*'V06 Calend 01'!E64))),('V06 Calend 01'!H64-('V06 Calend 01'!I64*('V06 Calend 01'!E64-1))),'V06 Calend 01'!I64),0))+IF((23='V06 Calend 01'!D64),'V06 Calend 01'!J64,0))</f>
        <v>0</v>
      </c>
      <c r="AJ64" s="2">
        <f>((IF((24='V06 Calend 01'!C64),('V06 Calend 01'!F64+'V06 Calend 01'!G64),0)+IF(AND(('V06 Calend 01'!E64&gt;0),(24&gt;'V06 Calend 01'!C64),(24&lt;'V06 Calend 01'!D64),(MOD((24-'V06 Calend 01'!C64),6)=0),(((24-'V06 Calend 01'!C64)/6)&lt;='V06 Calend 01'!E64)),IF((24=('V06 Calend 01'!C64+(6*'V06 Calend 01'!E64))),('V06 Calend 01'!H64-('V06 Calend 01'!I64*('V06 Calend 01'!E64-1))),'V06 Calend 01'!I64),0))+IF((24='V06 Calend 01'!D64),'V06 Calend 01'!J64,0))</f>
        <v>0</v>
      </c>
      <c r="AK64" s="2">
        <f>((IF((25='V06 Calend 01'!C64),('V06 Calend 01'!F64+'V06 Calend 01'!G64),0)+IF(AND(('V06 Calend 01'!E64&gt;0),(25&gt;'V06 Calend 01'!C64),(25&lt;'V06 Calend 01'!D64),(MOD((25-'V06 Calend 01'!C64),6)=0),(((25-'V06 Calend 01'!C64)/6)&lt;='V06 Calend 01'!E64)),IF((25=('V06 Calend 01'!C64+(6*'V06 Calend 01'!E64))),('V06 Calend 01'!H64-('V06 Calend 01'!I64*('V06 Calend 01'!E64-1))),'V06 Calend 01'!I64),0))+IF((25='V06 Calend 01'!D64),'V06 Calend 01'!J64,0))</f>
        <v>202781.15</v>
      </c>
      <c r="AL64" s="2">
        <f>((IF((26='V06 Calend 01'!C64),('V06 Calend 01'!F64+'V06 Calend 01'!G64),0)+IF(AND(('V06 Calend 01'!E64&gt;0),(26&gt;'V06 Calend 01'!C64),(26&lt;'V06 Calend 01'!D64),(MOD((26-'V06 Calend 01'!C64),6)=0),(((26-'V06 Calend 01'!C64)/6)&lt;='V06 Calend 01'!E64)),IF((26=('V06 Calend 01'!C64+(6*'V06 Calend 01'!E64))),('V06 Calend 01'!H64-('V06 Calend 01'!I64*('V06 Calend 01'!E64-1))),'V06 Calend 01'!I64),0))+IF((26='V06 Calend 01'!D64),'V06 Calend 01'!J64,0))</f>
        <v>0</v>
      </c>
      <c r="AM64" s="2">
        <f>((IF((27='V06 Calend 01'!C64),('V06 Calend 01'!F64+'V06 Calend 01'!G64),0)+IF(AND(('V06 Calend 01'!E64&gt;0),(27&gt;'V06 Calend 01'!C64),(27&lt;'V06 Calend 01'!D64),(MOD((27-'V06 Calend 01'!C64),6)=0),(((27-'V06 Calend 01'!C64)/6)&lt;='V06 Calend 01'!E64)),IF((27=('V06 Calend 01'!C64+(6*'V06 Calend 01'!E64))),('V06 Calend 01'!H64-('V06 Calend 01'!I64*('V06 Calend 01'!E64-1))),'V06 Calend 01'!I64),0))+IF((27='V06 Calend 01'!D64),'V06 Calend 01'!J64,0))</f>
        <v>0</v>
      </c>
      <c r="AN64" s="2">
        <f>((IF((28='V06 Calend 01'!C64),('V06 Calend 01'!F64+'V06 Calend 01'!G64),0)+IF(AND(('V06 Calend 01'!E64&gt;0),(28&gt;'V06 Calend 01'!C64),(28&lt;'V06 Calend 01'!D64),(MOD((28-'V06 Calend 01'!C64),6)=0),(((28-'V06 Calend 01'!C64)/6)&lt;='V06 Calend 01'!E64)),IF((28=('V06 Calend 01'!C64+(6*'V06 Calend 01'!E64))),('V06 Calend 01'!H64-('V06 Calend 01'!I64*('V06 Calend 01'!E64-1))),'V06 Calend 01'!I64),0))+IF((28='V06 Calend 01'!D64),'V06 Calend 01'!J64,0))</f>
        <v>0</v>
      </c>
      <c r="AO64" s="2">
        <f>((IF((29='V06 Calend 01'!C64),('V06 Calend 01'!F64+'V06 Calend 01'!G64),0)+IF(AND(('V06 Calend 01'!E64&gt;0),(29&gt;'V06 Calend 01'!C64),(29&lt;'V06 Calend 01'!D64),(MOD((29-'V06 Calend 01'!C64),6)=0),(((29-'V06 Calend 01'!C64)/6)&lt;='V06 Calend 01'!E64)),IF((29=('V06 Calend 01'!C64+(6*'V06 Calend 01'!E64))),('V06 Calend 01'!H64-('V06 Calend 01'!I64*('V06 Calend 01'!E64-1))),'V06 Calend 01'!I64),0))+IF((29='V06 Calend 01'!D64),'V06 Calend 01'!J64,0))</f>
        <v>0</v>
      </c>
      <c r="AP64" s="2">
        <f>((IF((30='V06 Calend 01'!C64),('V06 Calend 01'!F64+'V06 Calend 01'!G64),0)+IF(AND(('V06 Calend 01'!E64&gt;0),(30&gt;'V06 Calend 01'!C64),(30&lt;'V06 Calend 01'!D64),(MOD((30-'V06 Calend 01'!C64),6)=0),(((30-'V06 Calend 01'!C64)/6)&lt;='V06 Calend 01'!E64)),IF((30=('V06 Calend 01'!C64+(6*'V06 Calend 01'!E64))),('V06 Calend 01'!H64-('V06 Calend 01'!I64*('V06 Calend 01'!E64-1))),'V06 Calend 01'!I64),0))+IF((30='V06 Calend 01'!D64),'V06 Calend 01'!J64,0))</f>
        <v>147477.2</v>
      </c>
      <c r="AQ64" s="2">
        <f>((IF((31='V06 Calend 01'!C64),('V06 Calend 01'!F64+'V06 Calend 01'!G64),0)+IF(AND(('V06 Calend 01'!E64&gt;0),(31&gt;'V06 Calend 01'!C64),(31&lt;'V06 Calend 01'!D64),(MOD((31-'V06 Calend 01'!C64),6)=0),(((31-'V06 Calend 01'!C64)/6)&lt;='V06 Calend 01'!E64)),IF((31=('V06 Calend 01'!C64+(6*'V06 Calend 01'!E64))),('V06 Calend 01'!H64-('V06 Calend 01'!I64*('V06 Calend 01'!E64-1))),'V06 Calend 01'!I64),0))+IF((31='V06 Calend 01'!D64),'V06 Calend 01'!J64,0))</f>
        <v>0</v>
      </c>
      <c r="AR64" s="2">
        <f>((IF((32='V06 Calend 01'!C64),('V06 Calend 01'!F64+'V06 Calend 01'!G64),0)+IF(AND(('V06 Calend 01'!E64&gt;0),(32&gt;'V06 Calend 01'!C64),(32&lt;'V06 Calend 01'!D64),(MOD((32-'V06 Calend 01'!C64),6)=0),(((32-'V06 Calend 01'!C64)/6)&lt;='V06 Calend 01'!E64)),IF((32=('V06 Calend 01'!C64+(6*'V06 Calend 01'!E64))),('V06 Calend 01'!H64-('V06 Calend 01'!I64*('V06 Calend 01'!E64-1))),'V06 Calend 01'!I64),0))+IF((32='V06 Calend 01'!D64),'V06 Calend 01'!J64,0))</f>
        <v>0</v>
      </c>
      <c r="AS64" s="2">
        <f>((IF((33='V06 Calend 01'!C64),('V06 Calend 01'!F64+'V06 Calend 01'!G64),0)+IF(AND(('V06 Calend 01'!E64&gt;0),(33&gt;'V06 Calend 01'!C64),(33&lt;'V06 Calend 01'!D64),(MOD((33-'V06 Calend 01'!C64),6)=0),(((33-'V06 Calend 01'!C64)/6)&lt;='V06 Calend 01'!E64)),IF((33=('V06 Calend 01'!C64+(6*'V06 Calend 01'!E64))),('V06 Calend 01'!H64-('V06 Calend 01'!I64*('V06 Calend 01'!E64-1))),'V06 Calend 01'!I64),0))+IF((33='V06 Calend 01'!D64),'V06 Calend 01'!J64,0))</f>
        <v>0</v>
      </c>
      <c r="AT64" s="2">
        <f>((IF((34='V06 Calend 01'!C64),('V06 Calend 01'!F64+'V06 Calend 01'!G64),0)+IF(AND(('V06 Calend 01'!E64&gt;0),(34&gt;'V06 Calend 01'!C64),(34&lt;'V06 Calend 01'!D64),(MOD((34-'V06 Calend 01'!C64),6)=0),(((34-'V06 Calend 01'!C64)/6)&lt;='V06 Calend 01'!E64)),IF((34=('V06 Calend 01'!C64+(6*'V06 Calend 01'!E64))),('V06 Calend 01'!H64-('V06 Calend 01'!I64*('V06 Calend 01'!E64-1))),'V06 Calend 01'!I64),0))+IF((34='V06 Calend 01'!D64),'V06 Calend 01'!J64,0))</f>
        <v>0</v>
      </c>
      <c r="AU64" s="2">
        <f>((IF((35='V06 Calend 01'!C64),('V06 Calend 01'!F64+'V06 Calend 01'!G64),0)+IF(AND(('V06 Calend 01'!E64&gt;0),(35&gt;'V06 Calend 01'!C64),(35&lt;'V06 Calend 01'!D64),(MOD((35-'V06 Calend 01'!C64),6)=0),(((35-'V06 Calend 01'!C64)/6)&lt;='V06 Calend 01'!E64)),IF((35=('V06 Calend 01'!C64+(6*'V06 Calend 01'!E64))),('V06 Calend 01'!H64-('V06 Calend 01'!I64*('V06 Calend 01'!E64-1))),'V06 Calend 01'!I64),0))+IF((35='V06 Calend 01'!D64),'V06 Calend 01'!J64,0))</f>
        <v>0</v>
      </c>
      <c r="AV64" s="2">
        <f>((IF((36='V06 Calend 01'!C64),('V06 Calend 01'!F64+'V06 Calend 01'!G64),0)+IF(AND(('V06 Calend 01'!E64&gt;0),(36&gt;'V06 Calend 01'!C64),(36&lt;'V06 Calend 01'!D64),(MOD((36-'V06 Calend 01'!C64),6)=0),(((36-'V06 Calend 01'!C64)/6)&lt;='V06 Calend 01'!E64)),IF((36=('V06 Calend 01'!C64+(6*'V06 Calend 01'!E64))),('V06 Calend 01'!H64-('V06 Calend 01'!I64*('V06 Calend 01'!E64-1))),'V06 Calend 01'!I64),0))+IF((36='V06 Calend 01'!D64),'V06 Calend 01'!J64,0))</f>
        <v>0</v>
      </c>
      <c r="AW64" s="2">
        <f>((IF((37='V06 Calend 01'!C64),('V06 Calend 01'!F64+'V06 Calend 01'!G64),0)+IF(AND(('V06 Calend 01'!E64&gt;0),(37&gt;'V06 Calend 01'!C64),(37&lt;'V06 Calend 01'!D64),(MOD((37-'V06 Calend 01'!C64),6)=0),(((37-'V06 Calend 01'!C64)/6)&lt;='V06 Calend 01'!E64)),IF((37=('V06 Calend 01'!C64+(6*'V06 Calend 01'!E64))),('V06 Calend 01'!H64-('V06 Calend 01'!I64*('V06 Calend 01'!E64-1))),'V06 Calend 01'!I64),0))+IF((37='V06 Calend 01'!D64),'V06 Calend 01'!J64,0))</f>
        <v>0</v>
      </c>
      <c r="AX64" s="2">
        <f>((IF((38='V06 Calend 01'!C64),('V06 Calend 01'!F64+'V06 Calend 01'!G64),0)+IF(AND(('V06 Calend 01'!E64&gt;0),(38&gt;'V06 Calend 01'!C64),(38&lt;'V06 Calend 01'!D64),(MOD((38-'V06 Calend 01'!C64),6)=0),(((38-'V06 Calend 01'!C64)/6)&lt;='V06 Calend 01'!E64)),IF((38=('V06 Calend 01'!C64+(6*'V06 Calend 01'!E64))),('V06 Calend 01'!H64-('V06 Calend 01'!I64*('V06 Calend 01'!E64-1))),'V06 Calend 01'!I64),0))+IF((38='V06 Calend 01'!D64),'V06 Calend 01'!J64,0))</f>
        <v>0</v>
      </c>
      <c r="AY64" s="2">
        <f>((IF((39='V06 Calend 01'!C64),('V06 Calend 01'!F64+'V06 Calend 01'!G64),0)+IF(AND(('V06 Calend 01'!E64&gt;0),(39&gt;'V06 Calend 01'!C64),(39&lt;'V06 Calend 01'!D64),(MOD((39-'V06 Calend 01'!C64),6)=0),(((39-'V06 Calend 01'!C64)/6)&lt;='V06 Calend 01'!E64)),IF((39=('V06 Calend 01'!C64+(6*'V06 Calend 01'!E64))),('V06 Calend 01'!H64-('V06 Calend 01'!I64*('V06 Calend 01'!E64-1))),'V06 Calend 01'!I64),0))+IF((39='V06 Calend 01'!D64),'V06 Calend 01'!J64,0))</f>
        <v>0</v>
      </c>
      <c r="AZ64" s="2">
        <f>((IF((40='V06 Calend 01'!C64),('V06 Calend 01'!F64+'V06 Calend 01'!G64),0)+IF(AND(('V06 Calend 01'!E64&gt;0),(40&gt;'V06 Calend 01'!C64),(40&lt;'V06 Calend 01'!D64),(MOD((40-'V06 Calend 01'!C64),6)=0),(((40-'V06 Calend 01'!C64)/6)&lt;='V06 Calend 01'!E64)),IF((40=('V06 Calend 01'!C64+(6*'V06 Calend 01'!E64))),('V06 Calend 01'!H64-('V06 Calend 01'!I64*('V06 Calend 01'!E64-1))),'V06 Calend 01'!I64),0))+IF((40='V06 Calend 01'!D64),'V06 Calend 01'!J64,0))</f>
        <v>0</v>
      </c>
      <c r="BA64" s="2">
        <f>((IF((41='V06 Calend 01'!C64),('V06 Calend 01'!F64+'V06 Calend 01'!G64),0)+IF(AND(('V06 Calend 01'!E64&gt;0),(41&gt;'V06 Calend 01'!C64),(41&lt;'V06 Calend 01'!D64),(MOD((41-'V06 Calend 01'!C64),6)=0),(((41-'V06 Calend 01'!C64)/6)&lt;='V06 Calend 01'!E64)),IF((41=('V06 Calend 01'!C64+(6*'V06 Calend 01'!E64))),('V06 Calend 01'!H64-('V06 Calend 01'!I64*('V06 Calend 01'!E64-1))),'V06 Calend 01'!I64),0))+IF((41='V06 Calend 01'!D64),'V06 Calend 01'!J64,0))</f>
        <v>0</v>
      </c>
      <c r="BB64" s="2">
        <f>((IF((42='V06 Calend 01'!C64),('V06 Calend 01'!F64+'V06 Calend 01'!G64),0)+IF(AND(('V06 Calend 01'!E64&gt;0),(42&gt;'V06 Calend 01'!C64),(42&lt;'V06 Calend 01'!D64),(MOD((42-'V06 Calend 01'!C64),6)=0),(((42-'V06 Calend 01'!C64)/6)&lt;='V06 Calend 01'!E64)),IF((42=('V06 Calend 01'!C64+(6*'V06 Calend 01'!E64))),('V06 Calend 01'!H64-('V06 Calend 01'!I64*('V06 Calend 01'!E64-1))),'V06 Calend 01'!I64),0))+IF((42='V06 Calend 01'!D64),'V06 Calend 01'!J64,0))</f>
        <v>0</v>
      </c>
      <c r="BC64" s="2">
        <f>((IF((43='V06 Calend 01'!C64),('V06 Calend 01'!F64+'V06 Calend 01'!G64),0)+IF(AND(('V06 Calend 01'!E64&gt;0),(43&gt;'V06 Calend 01'!C64),(43&lt;'V06 Calend 01'!D64),(MOD((43-'V06 Calend 01'!C64),6)=0),(((43-'V06 Calend 01'!C64)/6)&lt;='V06 Calend 01'!E64)),IF((43=('V06 Calend 01'!C64+(6*'V06 Calend 01'!E64))),('V06 Calend 01'!H64-('V06 Calend 01'!I64*('V06 Calend 01'!E64-1))),'V06 Calend 01'!I64),0))+IF((43='V06 Calend 01'!D64),'V06 Calend 01'!J64,0))</f>
        <v>0</v>
      </c>
      <c r="BD64" s="2">
        <f>((IF((44='V06 Calend 01'!C64),('V06 Calend 01'!F64+'V06 Calend 01'!G64),0)+IF(AND(('V06 Calend 01'!E64&gt;0),(44&gt;'V06 Calend 01'!C64),(44&lt;'V06 Calend 01'!D64),(MOD((44-'V06 Calend 01'!C64),6)=0),(((44-'V06 Calend 01'!C64)/6)&lt;='V06 Calend 01'!E64)),IF((44=('V06 Calend 01'!C64+(6*'V06 Calend 01'!E64))),('V06 Calend 01'!H64-('V06 Calend 01'!I64*('V06 Calend 01'!E64-1))),'V06 Calend 01'!I64),0))+IF((44='V06 Calend 01'!D64),'V06 Calend 01'!J64,0))</f>
        <v>0</v>
      </c>
      <c r="BE64" s="2">
        <f>((IF((45='V06 Calend 01'!C64),('V06 Calend 01'!F64+'V06 Calend 01'!G64),0)+IF(AND(('V06 Calend 01'!E64&gt;0),(45&gt;'V06 Calend 01'!C64),(45&lt;'V06 Calend 01'!D64),(MOD((45-'V06 Calend 01'!C64),6)=0),(((45-'V06 Calend 01'!C64)/6)&lt;='V06 Calend 01'!E64)),IF((45=('V06 Calend 01'!C64+(6*'V06 Calend 01'!E64))),('V06 Calend 01'!H64-('V06 Calend 01'!I64*('V06 Calend 01'!E64-1))),'V06 Calend 01'!I64),0))+IF((45='V06 Calend 01'!D64),'V06 Calend 01'!J64,0))</f>
        <v>0</v>
      </c>
      <c r="BF64" s="2">
        <f>((IF((46='V06 Calend 01'!C64),('V06 Calend 01'!F64+'V06 Calend 01'!G64),0)+IF(AND(('V06 Calend 01'!E64&gt;0),(46&gt;'V06 Calend 01'!C64),(46&lt;'V06 Calend 01'!D64),(MOD((46-'V06 Calend 01'!C64),6)=0),(((46-'V06 Calend 01'!C64)/6)&lt;='V06 Calend 01'!E64)),IF((46=('V06 Calend 01'!C64+(6*'V06 Calend 01'!E64))),('V06 Calend 01'!H64-('V06 Calend 01'!I64*('V06 Calend 01'!E64-1))),'V06 Calend 01'!I64),0))+IF((46='V06 Calend 01'!D64),'V06 Calend 01'!J64,0))</f>
        <v>0</v>
      </c>
      <c r="BG64" s="2">
        <f>((IF((47='V06 Calend 01'!C64),('V06 Calend 01'!F64+'V06 Calend 01'!G64),0)+IF(AND(('V06 Calend 01'!E64&gt;0),(47&gt;'V06 Calend 01'!C64),(47&lt;'V06 Calend 01'!D64),(MOD((47-'V06 Calend 01'!C64),6)=0),(((47-'V06 Calend 01'!C64)/6)&lt;='V06 Calend 01'!E64)),IF((47=('V06 Calend 01'!C64+(6*'V06 Calend 01'!E64))),('V06 Calend 01'!H64-('V06 Calend 01'!I64*('V06 Calend 01'!E64-1))),'V06 Calend 01'!I64),0))+IF((47='V06 Calend 01'!D64),'V06 Calend 01'!J64,0))</f>
        <v>0</v>
      </c>
      <c r="BH64" s="2">
        <f>((IF((48='V06 Calend 01'!C64),('V06 Calend 01'!F64+'V06 Calend 01'!G64),0)+IF(AND(('V06 Calend 01'!E64&gt;0),(48&gt;'V06 Calend 01'!C64),(48&lt;'V06 Calend 01'!D64),(MOD((48-'V06 Calend 01'!C64),6)=0),(((48-'V06 Calend 01'!C64)/6)&lt;='V06 Calend 01'!E64)),IF((48=('V06 Calend 01'!C64+(6*'V06 Calend 01'!E64))),('V06 Calend 01'!H64-('V06 Calend 01'!I64*('V06 Calend 01'!E64-1))),'V06 Calend 01'!I64),0))+IF((48='V06 Calend 01'!D64),'V06 Calend 01'!J64,0))</f>
        <v>0</v>
      </c>
      <c r="BI64" s="2">
        <f>((IF((49='V06 Calend 01'!C64),('V06 Calend 01'!F64+'V06 Calend 01'!G64),0)+IF(AND(('V06 Calend 01'!E64&gt;0),(49&gt;'V06 Calend 01'!C64),(49&lt;'V06 Calend 01'!D64),(MOD((49-'V06 Calend 01'!C64),6)=0),(((49-'V06 Calend 01'!C64)/6)&lt;='V06 Calend 01'!E64)),IF((49=('V06 Calend 01'!C64+(6*'V06 Calend 01'!E64))),('V06 Calend 01'!H64-('V06 Calend 01'!I64*('V06 Calend 01'!E64-1))),'V06 Calend 01'!I64),0))+IF((49='V06 Calend 01'!D64),'V06 Calend 01'!J64,0))</f>
        <v>0</v>
      </c>
      <c r="BJ64" s="2">
        <f>((IF((50='V06 Calend 01'!C64),('V06 Calend 01'!F64+'V06 Calend 01'!G64),0)+IF(AND(('V06 Calend 01'!E64&gt;0),(50&gt;'V06 Calend 01'!C64),(50&lt;'V06 Calend 01'!D64),(MOD((50-'V06 Calend 01'!C64),6)=0),(((50-'V06 Calend 01'!C64)/6)&lt;='V06 Calend 01'!E64)),IF((50=('V06 Calend 01'!C64+(6*'V06 Calend 01'!E64))),('V06 Calend 01'!H64-('V06 Calend 01'!I64*('V06 Calend 01'!E64-1))),'V06 Calend 01'!I64),0))+IF((50='V06 Calend 01'!D64),'V06 Calend 01'!J64,0))</f>
        <v>0</v>
      </c>
      <c r="BK64" s="2">
        <f>((IF((51='V06 Calend 01'!C64),('V06 Calend 01'!F64+'V06 Calend 01'!G64),0)+IF(AND(('V06 Calend 01'!E64&gt;0),(51&gt;'V06 Calend 01'!C64),(51&lt;'V06 Calend 01'!D64),(MOD((51-'V06 Calend 01'!C64),6)=0),(((51-'V06 Calend 01'!C64)/6)&lt;='V06 Calend 01'!E64)),IF((51=('V06 Calend 01'!C64+(6*'V06 Calend 01'!E64))),('V06 Calend 01'!H64-('V06 Calend 01'!I64*('V06 Calend 01'!E64-1))),'V06 Calend 01'!I64),0))+IF((51='V06 Calend 01'!D64),'V06 Calend 01'!J64,0))</f>
        <v>0</v>
      </c>
      <c r="BL64" s="2">
        <f>((IF((52='V06 Calend 01'!C64),('V06 Calend 01'!F64+'V06 Calend 01'!G64),0)+IF(AND(('V06 Calend 01'!E64&gt;0),(52&gt;'V06 Calend 01'!C64),(52&lt;'V06 Calend 01'!D64),(MOD((52-'V06 Calend 01'!C64),6)=0),(((52-'V06 Calend 01'!C64)/6)&lt;='V06 Calend 01'!E64)),IF((52=('V06 Calend 01'!C64+(6*'V06 Calend 01'!E64))),('V06 Calend 01'!H64-('V06 Calend 01'!I64*('V06 Calend 01'!E64-1))),'V06 Calend 01'!I64),0))+IF((52='V06 Calend 01'!D64),'V06 Calend 01'!J64,0))</f>
        <v>0</v>
      </c>
      <c r="BM64" s="2">
        <f>((IF((53='V06 Calend 01'!C64),('V06 Calend 01'!F64+'V06 Calend 01'!G64),0)+IF(AND(('V06 Calend 01'!E64&gt;0),(53&gt;'V06 Calend 01'!C64),(53&lt;'V06 Calend 01'!D64),(MOD((53-'V06 Calend 01'!C64),6)=0),(((53-'V06 Calend 01'!C64)/6)&lt;='V06 Calend 01'!E64)),IF((53=('V06 Calend 01'!C64+(6*'V06 Calend 01'!E64))),('V06 Calend 01'!H64-('V06 Calend 01'!I64*('V06 Calend 01'!E64-1))),'V06 Calend 01'!I64),0))+IF((53='V06 Calend 01'!D64),'V06 Calend 01'!J64,0))</f>
        <v>0</v>
      </c>
      <c r="BN64" s="2">
        <f>((IF((54='V06 Calend 01'!C64),('V06 Calend 01'!F64+'V06 Calend 01'!G64),0)+IF(AND(('V06 Calend 01'!E64&gt;0),(54&gt;'V06 Calend 01'!C64),(54&lt;'V06 Calend 01'!D64),(MOD((54-'V06 Calend 01'!C64),6)=0),(((54-'V06 Calend 01'!C64)/6)&lt;='V06 Calend 01'!E64)),IF((54=('V06 Calend 01'!C64+(6*'V06 Calend 01'!E64))),('V06 Calend 01'!H64-('V06 Calend 01'!I64*('V06 Calend 01'!E64-1))),'V06 Calend 01'!I64),0))+IF((54='V06 Calend 01'!D64),'V06 Calend 01'!J64,0))</f>
        <v>0</v>
      </c>
      <c r="BO64" s="2">
        <f>((IF((55='V06 Calend 01'!C64),('V06 Calend 01'!F64+'V06 Calend 01'!G64),0)+IF(AND(('V06 Calend 01'!E64&gt;0),(55&gt;'V06 Calend 01'!C64),(55&lt;'V06 Calend 01'!D64),(MOD((55-'V06 Calend 01'!C64),6)=0),(((55-'V06 Calend 01'!C64)/6)&lt;='V06 Calend 01'!E64)),IF((55=('V06 Calend 01'!C64+(6*'V06 Calend 01'!E64))),('V06 Calend 01'!H64-('V06 Calend 01'!I64*('V06 Calend 01'!E64-1))),'V06 Calend 01'!I64),0))+IF((55='V06 Calend 01'!D64),'V06 Calend 01'!J64,0))</f>
        <v>0</v>
      </c>
      <c r="BP64" s="2">
        <f>((IF((56='V06 Calend 01'!C64),('V06 Calend 01'!F64+'V06 Calend 01'!G64),0)+IF(AND(('V06 Calend 01'!E64&gt;0),(56&gt;'V06 Calend 01'!C64),(56&lt;'V06 Calend 01'!D64),(MOD((56-'V06 Calend 01'!C64),6)=0),(((56-'V06 Calend 01'!C64)/6)&lt;='V06 Calend 01'!E64)),IF((56=('V06 Calend 01'!C64+(6*'V06 Calend 01'!E64))),('V06 Calend 01'!H64-('V06 Calend 01'!I64*('V06 Calend 01'!E64-1))),'V06 Calend 01'!I64),0))+IF((56='V06 Calend 01'!D64),'V06 Calend 01'!J64,0))</f>
        <v>0</v>
      </c>
      <c r="BQ64" s="2">
        <f>((IF((57='V06 Calend 01'!C64),('V06 Calend 01'!F64+'V06 Calend 01'!G64),0)+IF(AND(('V06 Calend 01'!E64&gt;0),(57&gt;'V06 Calend 01'!C64),(57&lt;'V06 Calend 01'!D64),(MOD((57-'V06 Calend 01'!C64),6)=0),(((57-'V06 Calend 01'!C64)/6)&lt;='V06 Calend 01'!E64)),IF((57=('V06 Calend 01'!C64+(6*'V06 Calend 01'!E64))),('V06 Calend 01'!H64-('V06 Calend 01'!I64*('V06 Calend 01'!E64-1))),'V06 Calend 01'!I64),0))+IF((57='V06 Calend 01'!D64),'V06 Calend 01'!J64,0))</f>
        <v>0</v>
      </c>
      <c r="BR64" s="2">
        <f>((IF((58='V06 Calend 01'!C64),('V06 Calend 01'!F64+'V06 Calend 01'!G64),0)+IF(AND(('V06 Calend 01'!E64&gt;0),(58&gt;'V06 Calend 01'!C64),(58&lt;'V06 Calend 01'!D64),(MOD((58-'V06 Calend 01'!C64),6)=0),(((58-'V06 Calend 01'!C64)/6)&lt;='V06 Calend 01'!E64)),IF((58=('V06 Calend 01'!C64+(6*'V06 Calend 01'!E64))),('V06 Calend 01'!H64-('V06 Calend 01'!I64*('V06 Calend 01'!E64-1))),'V06 Calend 01'!I64),0))+IF((58='V06 Calend 01'!D64),'V06 Calend 01'!J64,0))</f>
        <v>0</v>
      </c>
      <c r="BS64" s="2">
        <f>((IF((59='V06 Calend 01'!C64),('V06 Calend 01'!F64+'V06 Calend 01'!G64),0)+IF(AND(('V06 Calend 01'!E64&gt;0),(59&gt;'V06 Calend 01'!C64),(59&lt;'V06 Calend 01'!D64),(MOD((59-'V06 Calend 01'!C64),6)=0),(((59-'V06 Calend 01'!C64)/6)&lt;='V06 Calend 01'!E64)),IF((59=('V06 Calend 01'!C64+(6*'V06 Calend 01'!E64))),('V06 Calend 01'!H64-('V06 Calend 01'!I64*('V06 Calend 01'!E64-1))),'V06 Calend 01'!I64),0))+IF((59='V06 Calend 01'!D64),'V06 Calend 01'!J64,0))</f>
        <v>0</v>
      </c>
      <c r="BT64" s="2">
        <f>((IF((60='V06 Calend 01'!C64),('V06 Calend 01'!F64+'V06 Calend 01'!G64),0)+IF(AND(('V06 Calend 01'!E64&gt;0),(60&gt;'V06 Calend 01'!C64),(60&lt;'V06 Calend 01'!D64),(MOD((60-'V06 Calend 01'!C64),6)=0),(((60-'V06 Calend 01'!C64)/6)&lt;='V06 Calend 01'!E64)),IF((60=('V06 Calend 01'!C64+(6*'V06 Calend 01'!E64))),('V06 Calend 01'!H64-('V06 Calend 01'!I64*('V06 Calend 01'!E64-1))),'V06 Calend 01'!I64),0))+IF((60='V06 Calend 01'!D64),'V06 Calend 01'!J64,0))</f>
        <v>0</v>
      </c>
      <c r="BU64" s="2">
        <f>((IF((61='V06 Calend 01'!C64),('V06 Calend 01'!F64+'V06 Calend 01'!G64),0)+IF(AND(('V06 Calend 01'!E64&gt;0),(61&gt;'V06 Calend 01'!C64),(61&lt;'V06 Calend 01'!D64),(MOD((61-'V06 Calend 01'!C64),6)=0),(((61-'V06 Calend 01'!C64)/6)&lt;='V06 Calend 01'!E64)),IF((61=('V06 Calend 01'!C64+(6*'V06 Calend 01'!E64))),('V06 Calend 01'!H64-('V06 Calend 01'!I64*('V06 Calend 01'!E64-1))),'V06 Calend 01'!I64),0))+IF((61='V06 Calend 01'!D64),'V06 Calend 01'!J64,0))</f>
        <v>0</v>
      </c>
      <c r="BV64" s="2">
        <f>((IF((62='V06 Calend 01'!C64),('V06 Calend 01'!F64+'V06 Calend 01'!G64),0)+IF(AND(('V06 Calend 01'!E64&gt;0),(62&gt;'V06 Calend 01'!C64),(62&lt;'V06 Calend 01'!D64),(MOD((62-'V06 Calend 01'!C64),6)=0),(((62-'V06 Calend 01'!C64)/6)&lt;='V06 Calend 01'!E64)),IF((62=('V06 Calend 01'!C64+(6*'V06 Calend 01'!E64))),('V06 Calend 01'!H64-('V06 Calend 01'!I64*('V06 Calend 01'!E64-1))),'V06 Calend 01'!I64),0))+IF((62='V06 Calend 01'!D64),'V06 Calend 01'!J64,0))</f>
        <v>0</v>
      </c>
      <c r="BW64" s="2">
        <f>((IF((63='V06 Calend 01'!C64),('V06 Calend 01'!F64+'V06 Calend 01'!G64),0)+IF(AND(('V06 Calend 01'!E64&gt;0),(63&gt;'V06 Calend 01'!C64),(63&lt;'V06 Calend 01'!D64),(MOD((63-'V06 Calend 01'!C64),6)=0),(((63-'V06 Calend 01'!C64)/6)&lt;='V06 Calend 01'!E64)),IF((63=('V06 Calend 01'!C64+(6*'V06 Calend 01'!E64))),('V06 Calend 01'!H64-('V06 Calend 01'!I64*('V06 Calend 01'!E64-1))),'V06 Calend 01'!I64),0))+IF((63='V06 Calend 01'!D64),'V06 Calend 01'!J64,0))</f>
        <v>0</v>
      </c>
      <c r="BX64" s="2">
        <f>((IF((64='V06 Calend 01'!C64),('V06 Calend 01'!F64+'V06 Calend 01'!G64),0)+IF(AND(('V06 Calend 01'!E64&gt;0),(64&gt;'V06 Calend 01'!C64),(64&lt;'V06 Calend 01'!D64),(MOD((64-'V06 Calend 01'!C64),6)=0),(((64-'V06 Calend 01'!C64)/6)&lt;='V06 Calend 01'!E64)),IF((64=('V06 Calend 01'!C64+(6*'V06 Calend 01'!E64))),('V06 Calend 01'!H64-('V06 Calend 01'!I64*('V06 Calend 01'!E64-1))),'V06 Calend 01'!I64),0))+IF((64='V06 Calend 01'!D64),'V06 Calend 01'!J64,0))</f>
        <v>0</v>
      </c>
      <c r="BY64" s="2">
        <f>((IF((65='V06 Calend 01'!C64),('V06 Calend 01'!F64+'V06 Calend 01'!G64),0)+IF(AND(('V06 Calend 01'!E64&gt;0),(65&gt;'V06 Calend 01'!C64),(65&lt;'V06 Calend 01'!D64),(MOD((65-'V06 Calend 01'!C64),6)=0),(((65-'V06 Calend 01'!C64)/6)&lt;='V06 Calend 01'!E64)),IF((65=('V06 Calend 01'!C64+(6*'V06 Calend 01'!E64))),('V06 Calend 01'!H64-('V06 Calend 01'!I64*('V06 Calend 01'!E64-1))),'V06 Calend 01'!I64),0))+IF((65='V06 Calend 01'!D64),'V06 Calend 01'!J64,0))</f>
        <v>0</v>
      </c>
      <c r="BZ64" s="2">
        <f>((IF((66='V06 Calend 01'!C64),('V06 Calend 01'!F64+'V06 Calend 01'!G64),0)+IF(AND(('V06 Calend 01'!E64&gt;0),(66&gt;'V06 Calend 01'!C64),(66&lt;'V06 Calend 01'!D64),(MOD((66-'V06 Calend 01'!C64),6)=0),(((66-'V06 Calend 01'!C64)/6)&lt;='V06 Calend 01'!E64)),IF((66=('V06 Calend 01'!C64+(6*'V06 Calend 01'!E64))),('V06 Calend 01'!H64-('V06 Calend 01'!I64*('V06 Calend 01'!E64-1))),'V06 Calend 01'!I64),0))+IF((66='V06 Calend 01'!D64),'V06 Calend 01'!J64,0))</f>
        <v>0</v>
      </c>
      <c r="CA64" s="2">
        <f>((IF((67='V06 Calend 01'!C64),('V06 Calend 01'!F64+'V06 Calend 01'!G64),0)+IF(AND(('V06 Calend 01'!E64&gt;0),(67&gt;'V06 Calend 01'!C64),(67&lt;'V06 Calend 01'!D64),(MOD((67-'V06 Calend 01'!C64),6)=0),(((67-'V06 Calend 01'!C64)/6)&lt;='V06 Calend 01'!E64)),IF((67=('V06 Calend 01'!C64+(6*'V06 Calend 01'!E64))),('V06 Calend 01'!H64-('V06 Calend 01'!I64*('V06 Calend 01'!E64-1))),'V06 Calend 01'!I64),0))+IF((67='V06 Calend 01'!D64),'V06 Calend 01'!J64,0))</f>
        <v>0</v>
      </c>
      <c r="CB64" s="2">
        <f>((IF((68='V06 Calend 01'!C64),('V06 Calend 01'!F64+'V06 Calend 01'!G64),0)+IF(AND(('V06 Calend 01'!E64&gt;0),(68&gt;'V06 Calend 01'!C64),(68&lt;'V06 Calend 01'!D64),(MOD((68-'V06 Calend 01'!C64),6)=0),(((68-'V06 Calend 01'!C64)/6)&lt;='V06 Calend 01'!E64)),IF((68=('V06 Calend 01'!C64+(6*'V06 Calend 01'!E64))),('V06 Calend 01'!H64-('V06 Calend 01'!I64*('V06 Calend 01'!E64-1))),'V06 Calend 01'!I64),0))+IF((68='V06 Calend 01'!D64),'V06 Calend 01'!J64,0))</f>
        <v>0</v>
      </c>
      <c r="CC64" s="2">
        <f>((IF((69='V06 Calend 01'!C64),('V06 Calend 01'!F64+'V06 Calend 01'!G64),0)+IF(AND(('V06 Calend 01'!E64&gt;0),(69&gt;'V06 Calend 01'!C64),(69&lt;'V06 Calend 01'!D64),(MOD((69-'V06 Calend 01'!C64),6)=0),(((69-'V06 Calend 01'!C64)/6)&lt;='V06 Calend 01'!E64)),IF((69=('V06 Calend 01'!C64+(6*'V06 Calend 01'!E64))),('V06 Calend 01'!H64-('V06 Calend 01'!I64*('V06 Calend 01'!E64-1))),'V06 Calend 01'!I64),0))+IF((69='V06 Calend 01'!D64),'V06 Calend 01'!J64,0))</f>
        <v>0</v>
      </c>
      <c r="CD64" s="2">
        <f>((IF((70='V06 Calend 01'!C64),('V06 Calend 01'!F64+'V06 Calend 01'!G64),0)+IF(AND(('V06 Calend 01'!E64&gt;0),(70&gt;'V06 Calend 01'!C64),(70&lt;'V06 Calend 01'!D64),(MOD((70-'V06 Calend 01'!C64),6)=0),(((70-'V06 Calend 01'!C64)/6)&lt;='V06 Calend 01'!E64)),IF((70=('V06 Calend 01'!C64+(6*'V06 Calend 01'!E64))),('V06 Calend 01'!H64-('V06 Calend 01'!I64*('V06 Calend 01'!E64-1))),'V06 Calend 01'!I64),0))+IF((70='V06 Calend 01'!D64),'V06 Calend 01'!J64,0))</f>
        <v>0</v>
      </c>
      <c r="CE64" s="2">
        <f>((IF((71='V06 Calend 01'!C64),('V06 Calend 01'!F64+'V06 Calend 01'!G64),0)+IF(AND(('V06 Calend 01'!E64&gt;0),(71&gt;'V06 Calend 01'!C64),(71&lt;'V06 Calend 01'!D64),(MOD((71-'V06 Calend 01'!C64),6)=0),(((71-'V06 Calend 01'!C64)/6)&lt;='V06 Calend 01'!E64)),IF((71=('V06 Calend 01'!C64+(6*'V06 Calend 01'!E64))),('V06 Calend 01'!H64-('V06 Calend 01'!I64*('V06 Calend 01'!E64-1))),'V06 Calend 01'!I64),0))+IF((71='V06 Calend 01'!D64),'V06 Calend 01'!J64,0))</f>
        <v>0</v>
      </c>
      <c r="CF64" s="2">
        <f>((IF((72='V06 Calend 01'!C64),('V06 Calend 01'!F64+'V06 Calend 01'!G64),0)+IF(AND(('V06 Calend 01'!E64&gt;0),(72&gt;'V06 Calend 01'!C64),(72&lt;'V06 Calend 01'!D64),(MOD((72-'V06 Calend 01'!C64),6)=0),(((72-'V06 Calend 01'!C64)/6)&lt;='V06 Calend 01'!E64)),IF((72=('V06 Calend 01'!C64+(6*'V06 Calend 01'!E64))),('V06 Calend 01'!H64-('V06 Calend 01'!I64*('V06 Calend 01'!E64-1))),'V06 Calend 01'!I64),0))+IF((72='V06 Calend 01'!D64),'V06 Calend 01'!J64,0))</f>
        <v>0</v>
      </c>
      <c r="CG64" s="2">
        <f>((IF((73='V06 Calend 01'!C64),('V06 Calend 01'!F64+'V06 Calend 01'!G64),0)+IF(AND(('V06 Calend 01'!E64&gt;0),(73&gt;'V06 Calend 01'!C64),(73&lt;'V06 Calend 01'!D64),(MOD((73-'V06 Calend 01'!C64),6)=0),(((73-'V06 Calend 01'!C64)/6)&lt;='V06 Calend 01'!E64)),IF((73=('V06 Calend 01'!C64+(6*'V06 Calend 01'!E64))),('V06 Calend 01'!H64-('V06 Calend 01'!I64*('V06 Calend 01'!E64-1))),'V06 Calend 01'!I64),0))+IF((73='V06 Calend 01'!D64),'V06 Calend 01'!J64,0))</f>
        <v>0</v>
      </c>
      <c r="CH64" s="2">
        <f>((IF((74='V06 Calend 01'!C64),('V06 Calend 01'!F64+'V06 Calend 01'!G64),0)+IF(AND(('V06 Calend 01'!E64&gt;0),(74&gt;'V06 Calend 01'!C64),(74&lt;'V06 Calend 01'!D64),(MOD((74-'V06 Calend 01'!C64),6)=0),(((74-'V06 Calend 01'!C64)/6)&lt;='V06 Calend 01'!E64)),IF((74=('V06 Calend 01'!C64+(6*'V06 Calend 01'!E64))),('V06 Calend 01'!H64-('V06 Calend 01'!I64*('V06 Calend 01'!E64-1))),'V06 Calend 01'!I64),0))+IF((74='V06 Calend 01'!D64),'V06 Calend 01'!J64,0))</f>
        <v>0</v>
      </c>
      <c r="CI64" s="2">
        <f>((IF((75='V06 Calend 01'!C64),('V06 Calend 01'!F64+'V06 Calend 01'!G64),0)+IF(AND(('V06 Calend 01'!E64&gt;0),(75&gt;'V06 Calend 01'!C64),(75&lt;'V06 Calend 01'!D64),(MOD((75-'V06 Calend 01'!C64),6)=0),(((75-'V06 Calend 01'!C64)/6)&lt;='V06 Calend 01'!E64)),IF((75=('V06 Calend 01'!C64+(6*'V06 Calend 01'!E64))),('V06 Calend 01'!H64-('V06 Calend 01'!I64*('V06 Calend 01'!E64-1))),'V06 Calend 01'!I64),0))+IF((75='V06 Calend 01'!D64),'V06 Calend 01'!J64,0))</f>
        <v>0</v>
      </c>
      <c r="CJ64" s="2">
        <f>((IF((76='V06 Calend 01'!C64),('V06 Calend 01'!F64+'V06 Calend 01'!G64),0)+IF(AND(('V06 Calend 01'!E64&gt;0),(76&gt;'V06 Calend 01'!C64),(76&lt;'V06 Calend 01'!D64),(MOD((76-'V06 Calend 01'!C64),6)=0),(((76-'V06 Calend 01'!C64)/6)&lt;='V06 Calend 01'!E64)),IF((76=('V06 Calend 01'!C64+(6*'V06 Calend 01'!E64))),('V06 Calend 01'!H64-('V06 Calend 01'!I64*('V06 Calend 01'!E64-1))),'V06 Calend 01'!I64),0))+IF((76='V06 Calend 01'!D64),'V06 Calend 01'!J64,0))</f>
        <v>0</v>
      </c>
      <c r="CK64" s="2">
        <f>((IF((77='V06 Calend 01'!C64),('V06 Calend 01'!F64+'V06 Calend 01'!G64),0)+IF(AND(('V06 Calend 01'!E64&gt;0),(77&gt;'V06 Calend 01'!C64),(77&lt;'V06 Calend 01'!D64),(MOD((77-'V06 Calend 01'!C64),6)=0),(((77-'V06 Calend 01'!C64)/6)&lt;='V06 Calend 01'!E64)),IF((77=('V06 Calend 01'!C64+(6*'V06 Calend 01'!E64))),('V06 Calend 01'!H64-('V06 Calend 01'!I64*('V06 Calend 01'!E64-1))),'V06 Calend 01'!I64),0))+IF((77='V06 Calend 01'!D64),'V06 Calend 01'!J64,0))</f>
        <v>0</v>
      </c>
      <c r="CL64" s="2">
        <f>((IF((78='V06 Calend 01'!C64),('V06 Calend 01'!F64+'V06 Calend 01'!G64),0)+IF(AND(('V06 Calend 01'!E64&gt;0),(78&gt;'V06 Calend 01'!C64),(78&lt;'V06 Calend 01'!D64),(MOD((78-'V06 Calend 01'!C64),6)=0),(((78-'V06 Calend 01'!C64)/6)&lt;='V06 Calend 01'!E64)),IF((78=('V06 Calend 01'!C64+(6*'V06 Calend 01'!E64))),('V06 Calend 01'!H64-('V06 Calend 01'!I64*('V06 Calend 01'!E64-1))),'V06 Calend 01'!I64),0))+IF((78='V06 Calend 01'!D64),'V06 Calend 01'!J64,0))</f>
        <v>0</v>
      </c>
      <c r="CM64" s="2">
        <f>((IF((79='V06 Calend 01'!C64),('V06 Calend 01'!F64+'V06 Calend 01'!G64),0)+IF(AND(('V06 Calend 01'!E64&gt;0),(79&gt;'V06 Calend 01'!C64),(79&lt;'V06 Calend 01'!D64),(MOD((79-'V06 Calend 01'!C64),6)=0),(((79-'V06 Calend 01'!C64)/6)&lt;='V06 Calend 01'!E64)),IF((79=('V06 Calend 01'!C64+(6*'V06 Calend 01'!E64))),('V06 Calend 01'!H64-('V06 Calend 01'!I64*('V06 Calend 01'!E64-1))),'V06 Calend 01'!I64),0))+IF((79='V06 Calend 01'!D64),'V06 Calend 01'!J64,0))</f>
        <v>0</v>
      </c>
      <c r="CN64" s="2">
        <f>((IF((80='V06 Calend 01'!C64),('V06 Calend 01'!F64+'V06 Calend 01'!G64),0)+IF(AND(('V06 Calend 01'!E64&gt;0),(80&gt;'V06 Calend 01'!C64),(80&lt;'V06 Calend 01'!D64),(MOD((80-'V06 Calend 01'!C64),6)=0),(((80-'V06 Calend 01'!C64)/6)&lt;='V06 Calend 01'!E64)),IF((80=('V06 Calend 01'!C64+(6*'V06 Calend 01'!E64))),('V06 Calend 01'!H64-('V06 Calend 01'!I64*('V06 Calend 01'!E64-1))),'V06 Calend 01'!I64),0))+IF((80='V06 Calend 01'!D64),'V06 Calend 01'!J64,0))</f>
        <v>0</v>
      </c>
      <c r="CO64" s="2">
        <f>((IF((81='V06 Calend 01'!C64),('V06 Calend 01'!F64+'V06 Calend 01'!G64),0)+IF(AND(('V06 Calend 01'!E64&gt;0),(81&gt;'V06 Calend 01'!C64),(81&lt;'V06 Calend 01'!D64),(MOD((81-'V06 Calend 01'!C64),6)=0),(((81-'V06 Calend 01'!C64)/6)&lt;='V06 Calend 01'!E64)),IF((81=('V06 Calend 01'!C64+(6*'V06 Calend 01'!E64))),('V06 Calend 01'!H64-('V06 Calend 01'!I64*('V06 Calend 01'!E64-1))),'V06 Calend 01'!I64),0))+IF((81='V06 Calend 01'!D64),'V06 Calend 01'!J64,0))</f>
        <v>0</v>
      </c>
      <c r="CP64" s="2">
        <f>((IF((82='V06 Calend 01'!C64),('V06 Calend 01'!F64+'V06 Calend 01'!G64),0)+IF(AND(('V06 Calend 01'!E64&gt;0),(82&gt;'V06 Calend 01'!C64),(82&lt;'V06 Calend 01'!D64),(MOD((82-'V06 Calend 01'!C64),6)=0),(((82-'V06 Calend 01'!C64)/6)&lt;='V06 Calend 01'!E64)),IF((82=('V06 Calend 01'!C64+(6*'V06 Calend 01'!E64))),('V06 Calend 01'!H64-('V06 Calend 01'!I64*('V06 Calend 01'!E64-1))),'V06 Calend 01'!I64),0))+IF((82='V06 Calend 01'!D64),'V06 Calend 01'!J64,0))</f>
        <v>0</v>
      </c>
      <c r="CQ64" s="2">
        <f>((IF((83='V06 Calend 01'!C64),('V06 Calend 01'!F64+'V06 Calend 01'!G64),0)+IF(AND(('V06 Calend 01'!E64&gt;0),(83&gt;'V06 Calend 01'!C64),(83&lt;'V06 Calend 01'!D64),(MOD((83-'V06 Calend 01'!C64),6)=0),(((83-'V06 Calend 01'!C64)/6)&lt;='V06 Calend 01'!E64)),IF((83=('V06 Calend 01'!C64+(6*'V06 Calend 01'!E64))),('V06 Calend 01'!H64-('V06 Calend 01'!I64*('V06 Calend 01'!E64-1))),'V06 Calend 01'!I64),0))+IF((83='V06 Calend 01'!D64),'V06 Calend 01'!J64,0))</f>
        <v>0</v>
      </c>
      <c r="CR64" s="2">
        <f>((IF((84='V06 Calend 01'!C64),('V06 Calend 01'!F64+'V06 Calend 01'!G64),0)+IF(AND(('V06 Calend 01'!E64&gt;0),(84&gt;'V06 Calend 01'!C64),(84&lt;'V06 Calend 01'!D64),(MOD((84-'V06 Calend 01'!C64),6)=0),(((84-'V06 Calend 01'!C64)/6)&lt;='V06 Calend 01'!E64)),IF((84=('V06 Calend 01'!C64+(6*'V06 Calend 01'!E64))),('V06 Calend 01'!H64-('V06 Calend 01'!I64*('V06 Calend 01'!E64-1))),'V06 Calend 01'!I64),0))+IF((84='V06 Calend 01'!D64),'V06 Calend 01'!J64,0))</f>
        <v>0</v>
      </c>
      <c r="CS64" s="2">
        <f>((IF((85='V06 Calend 01'!C64),('V06 Calend 01'!F64+'V06 Calend 01'!G64),0)+IF(AND(('V06 Calend 01'!E64&gt;0),(85&gt;'V06 Calend 01'!C64),(85&lt;'V06 Calend 01'!D64),(MOD((85-'V06 Calend 01'!C64),6)=0),(((85-'V06 Calend 01'!C64)/6)&lt;='V06 Calend 01'!E64)),IF((85=('V06 Calend 01'!C64+(6*'V06 Calend 01'!E64))),('V06 Calend 01'!H64-('V06 Calend 01'!I64*('V06 Calend 01'!E64-1))),'V06 Calend 01'!I64),0))+IF((85='V06 Calend 01'!D64),'V06 Calend 01'!J64,0))</f>
        <v>0</v>
      </c>
      <c r="CT64" s="2">
        <f>((IF((86='V06 Calend 01'!C64),('V06 Calend 01'!F64+'V06 Calend 01'!G64),0)+IF(AND(('V06 Calend 01'!E64&gt;0),(86&gt;'V06 Calend 01'!C64),(86&lt;'V06 Calend 01'!D64),(MOD((86-'V06 Calend 01'!C64),6)=0),(((86-'V06 Calend 01'!C64)/6)&lt;='V06 Calend 01'!E64)),IF((86=('V06 Calend 01'!C64+(6*'V06 Calend 01'!E64))),('V06 Calend 01'!H64-('V06 Calend 01'!I64*('V06 Calend 01'!E64-1))),'V06 Calend 01'!I64),0))+IF((86='V06 Calend 01'!D64),'V06 Calend 01'!J64,0))</f>
        <v>0</v>
      </c>
      <c r="CU64" s="2">
        <f>((IF((87='V06 Calend 01'!C64),('V06 Calend 01'!F64+'V06 Calend 01'!G64),0)+IF(AND(('V06 Calend 01'!E64&gt;0),(87&gt;'V06 Calend 01'!C64),(87&lt;'V06 Calend 01'!D64),(MOD((87-'V06 Calend 01'!C64),6)=0),(((87-'V06 Calend 01'!C64)/6)&lt;='V06 Calend 01'!E64)),IF((87=('V06 Calend 01'!C64+(6*'V06 Calend 01'!E64))),('V06 Calend 01'!H64-('V06 Calend 01'!I64*('V06 Calend 01'!E64-1))),'V06 Calend 01'!I64),0))+IF((87='V06 Calend 01'!D64),'V06 Calend 01'!J64,0))</f>
        <v>0</v>
      </c>
      <c r="CV64" s="2">
        <f>((IF((88='V06 Calend 01'!C64),('V06 Calend 01'!F64+'V06 Calend 01'!G64),0)+IF(AND(('V06 Calend 01'!E64&gt;0),(88&gt;'V06 Calend 01'!C64),(88&lt;'V06 Calend 01'!D64),(MOD((88-'V06 Calend 01'!C64),6)=0),(((88-'V06 Calend 01'!C64)/6)&lt;='V06 Calend 01'!E64)),IF((88=('V06 Calend 01'!C64+(6*'V06 Calend 01'!E64))),('V06 Calend 01'!H64-('V06 Calend 01'!I64*('V06 Calend 01'!E64-1))),'V06 Calend 01'!I64),0))+IF((88='V06 Calend 01'!D64),'V06 Calend 01'!J64,0))</f>
        <v>0</v>
      </c>
      <c r="CW64" s="2">
        <f>((IF((89='V06 Calend 01'!C64),('V06 Calend 01'!F64+'V06 Calend 01'!G64),0)+IF(AND(('V06 Calend 01'!E64&gt;0),(89&gt;'V06 Calend 01'!C64),(89&lt;'V06 Calend 01'!D64),(MOD((89-'V06 Calend 01'!C64),6)=0),(((89-'V06 Calend 01'!C64)/6)&lt;='V06 Calend 01'!E64)),IF((89=('V06 Calend 01'!C64+(6*'V06 Calend 01'!E64))),('V06 Calend 01'!H64-('V06 Calend 01'!I64*('V06 Calend 01'!E64-1))),'V06 Calend 01'!I64),0))+IF((89='V06 Calend 01'!D64),'V06 Calend 01'!J64,0))</f>
        <v>0</v>
      </c>
      <c r="CX64" s="2">
        <f>((IF((90='V06 Calend 01'!C64),('V06 Calend 01'!F64+'V06 Calend 01'!G64),0)+IF(AND(('V06 Calend 01'!E64&gt;0),(90&gt;'V06 Calend 01'!C64),(90&lt;'V06 Calend 01'!D64),(MOD((90-'V06 Calend 01'!C64),6)=0),(((90-'V06 Calend 01'!C64)/6)&lt;='V06 Calend 01'!E64)),IF((90=('V06 Calend 01'!C64+(6*'V06 Calend 01'!E64))),('V06 Calend 01'!H64-('V06 Calend 01'!I64*('V06 Calend 01'!E64-1))),'V06 Calend 01'!I64),0))+IF((90='V06 Calend 01'!D64),'V06 Calend 01'!J64,0))</f>
        <v>0</v>
      </c>
      <c r="CY64" s="2">
        <f>((IF((91='V06 Calend 01'!C64),('V06 Calend 01'!F64+'V06 Calend 01'!G64),0)+IF(AND(('V06 Calend 01'!E64&gt;0),(91&gt;'V06 Calend 01'!C64),(91&lt;'V06 Calend 01'!D64),(MOD((91-'V06 Calend 01'!C64),6)=0),(((91-'V06 Calend 01'!C64)/6)&lt;='V06 Calend 01'!E64)),IF((91=('V06 Calend 01'!C64+(6*'V06 Calend 01'!E64))),('V06 Calend 01'!H64-('V06 Calend 01'!I64*('V06 Calend 01'!E64-1))),'V06 Calend 01'!I64),0))+IF((91='V06 Calend 01'!D64),'V06 Calend 01'!J64,0))</f>
        <v>0</v>
      </c>
      <c r="CZ64" s="2">
        <f>((IF((92='V06 Calend 01'!C64),('V06 Calend 01'!F64+'V06 Calend 01'!G64),0)+IF(AND(('V06 Calend 01'!E64&gt;0),(92&gt;'V06 Calend 01'!C64),(92&lt;'V06 Calend 01'!D64),(MOD((92-'V06 Calend 01'!C64),6)=0),(((92-'V06 Calend 01'!C64)/6)&lt;='V06 Calend 01'!E64)),IF((92=('V06 Calend 01'!C64+(6*'V06 Calend 01'!E64))),('V06 Calend 01'!H64-('V06 Calend 01'!I64*('V06 Calend 01'!E64-1))),'V06 Calend 01'!I64),0))+IF((92='V06 Calend 01'!D64),'V06 Calend 01'!J64,0))</f>
        <v>0</v>
      </c>
      <c r="DA64" s="2">
        <f>((IF((93='V06 Calend 01'!C64),('V06 Calend 01'!F64+'V06 Calend 01'!G64),0)+IF(AND(('V06 Calend 01'!E64&gt;0),(93&gt;'V06 Calend 01'!C64),(93&lt;'V06 Calend 01'!D64),(MOD((93-'V06 Calend 01'!C64),6)=0),(((93-'V06 Calend 01'!C64)/6)&lt;='V06 Calend 01'!E64)),IF((93=('V06 Calend 01'!C64+(6*'V06 Calend 01'!E64))),('V06 Calend 01'!H64-('V06 Calend 01'!I64*('V06 Calend 01'!E64-1))),'V06 Calend 01'!I64),0))+IF((93='V06 Calend 01'!D64),'V06 Calend 01'!J64,0))</f>
        <v>0</v>
      </c>
      <c r="DB64" s="2">
        <f>((IF((94='V06 Calend 01'!C64),('V06 Calend 01'!F64+'V06 Calend 01'!G64),0)+IF(AND(('V06 Calend 01'!E64&gt;0),(94&gt;'V06 Calend 01'!C64),(94&lt;'V06 Calend 01'!D64),(MOD((94-'V06 Calend 01'!C64),6)=0),(((94-'V06 Calend 01'!C64)/6)&lt;='V06 Calend 01'!E64)),IF((94=('V06 Calend 01'!C64+(6*'V06 Calend 01'!E64))),('V06 Calend 01'!H64-('V06 Calend 01'!I64*('V06 Calend 01'!E64-1))),'V06 Calend 01'!I64),0))+IF((94='V06 Calend 01'!D64),'V06 Calend 01'!J64,0))</f>
        <v>0</v>
      </c>
      <c r="DC64" s="2">
        <f>((IF((95='V06 Calend 01'!C64),('V06 Calend 01'!F64+'V06 Calend 01'!G64),0)+IF(AND(('V06 Calend 01'!E64&gt;0),(95&gt;'V06 Calend 01'!C64),(95&lt;'V06 Calend 01'!D64),(MOD((95-'V06 Calend 01'!C64),6)=0),(((95-'V06 Calend 01'!C64)/6)&lt;='V06 Calend 01'!E64)),IF((95=('V06 Calend 01'!C64+(6*'V06 Calend 01'!E64))),('V06 Calend 01'!H64-('V06 Calend 01'!I64*('V06 Calend 01'!E64-1))),'V06 Calend 01'!I64),0))+IF((95='V06 Calend 01'!D64),'V06 Calend 01'!J64,0))</f>
        <v>0</v>
      </c>
      <c r="DD64" s="2">
        <f>((IF((96='V06 Calend 01'!C64),('V06 Calend 01'!F64+'V06 Calend 01'!G64),0)+IF(AND(('V06 Calend 01'!E64&gt;0),(96&gt;'V06 Calend 01'!C64),(96&lt;'V06 Calend 01'!D64),(MOD((96-'V06 Calend 01'!C64),6)=0),(((96-'V06 Calend 01'!C64)/6)&lt;='V06 Calend 01'!E64)),IF((96=('V06 Calend 01'!C64+(6*'V06 Calend 01'!E64))),('V06 Calend 01'!H64-('V06 Calend 01'!I64*('V06 Calend 01'!E64-1))),'V06 Calend 01'!I64),0))+IF((96='V06 Calend 01'!D64),'V06 Calend 01'!J64,0))</f>
        <v>0</v>
      </c>
      <c r="DE64" s="2">
        <f>((IF((97='V06 Calend 01'!C64),('V06 Calend 01'!F64+'V06 Calend 01'!G64),0)+IF(AND(('V06 Calend 01'!E64&gt;0),(97&gt;'V06 Calend 01'!C64),(97&lt;'V06 Calend 01'!D64),(MOD((97-'V06 Calend 01'!C64),6)=0),(((97-'V06 Calend 01'!C64)/6)&lt;='V06 Calend 01'!E64)),IF((97=('V06 Calend 01'!C64+(6*'V06 Calend 01'!E64))),('V06 Calend 01'!H64-('V06 Calend 01'!I64*('V06 Calend 01'!E64-1))),'V06 Calend 01'!I64),0))+IF((97='V06 Calend 01'!D64),'V06 Calend 01'!J64,0))</f>
        <v>0</v>
      </c>
      <c r="DF64" s="2">
        <f>((IF((98='V06 Calend 01'!C64),('V06 Calend 01'!F64+'V06 Calend 01'!G64),0)+IF(AND(('V06 Calend 01'!E64&gt;0),(98&gt;'V06 Calend 01'!C64),(98&lt;'V06 Calend 01'!D64),(MOD((98-'V06 Calend 01'!C64),6)=0),(((98-'V06 Calend 01'!C64)/6)&lt;='V06 Calend 01'!E64)),IF((98=('V06 Calend 01'!C64+(6*'V06 Calend 01'!E64))),('V06 Calend 01'!H64-('V06 Calend 01'!I64*('V06 Calend 01'!E64-1))),'V06 Calend 01'!I64),0))+IF((98='V06 Calend 01'!D64),'V06 Calend 01'!J64,0))</f>
        <v>0</v>
      </c>
      <c r="DG64" s="2">
        <f>((IF((99='V06 Calend 01'!C64),('V06 Calend 01'!F64+'V06 Calend 01'!G64),0)+IF(AND(('V06 Calend 01'!E64&gt;0),(99&gt;'V06 Calend 01'!C64),(99&lt;'V06 Calend 01'!D64),(MOD((99-'V06 Calend 01'!C64),6)=0),(((99-'V06 Calend 01'!C64)/6)&lt;='V06 Calend 01'!E64)),IF((99=('V06 Calend 01'!C64+(6*'V06 Calend 01'!E64))),('V06 Calend 01'!H64-('V06 Calend 01'!I64*('V06 Calend 01'!E64-1))),'V06 Calend 01'!I64),0))+IF((99='V06 Calend 01'!D64),'V06 Calend 01'!J64,0))</f>
        <v>0</v>
      </c>
      <c r="DH64" s="2">
        <f>((IF((100='V06 Calend 01'!C64),('V06 Calend 01'!F64+'V06 Calend 01'!G64),0)+IF(AND(('V06 Calend 01'!E64&gt;0),(100&gt;'V06 Calend 01'!C64),(100&lt;'V06 Calend 01'!D64),(MOD((100-'V06 Calend 01'!C64),6)=0),(((100-'V06 Calend 01'!C64)/6)&lt;='V06 Calend 01'!E64)),IF((100=('V06 Calend 01'!C64+(6*'V06 Calend 01'!E64))),('V06 Calend 01'!H64-('V06 Calend 01'!I64*('V06 Calend 01'!E64-1))),'V06 Calend 01'!I64),0))+IF((100='V06 Calend 01'!D64),'V06 Calend 01'!J64,0))</f>
        <v>0</v>
      </c>
      <c r="DI64" s="2">
        <f>((IF((101='V06 Calend 01'!C64),('V06 Calend 01'!F64+'V06 Calend 01'!G64),0)+IF(AND(('V06 Calend 01'!E64&gt;0),(101&gt;'V06 Calend 01'!C64),(101&lt;'V06 Calend 01'!D64),(MOD((101-'V06 Calend 01'!C64),6)=0),(((101-'V06 Calend 01'!C64)/6)&lt;='V06 Calend 01'!E64)),IF((101=('V06 Calend 01'!C64+(6*'V06 Calend 01'!E64))),('V06 Calend 01'!H64-('V06 Calend 01'!I64*('V06 Calend 01'!E64-1))),'V06 Calend 01'!I64),0))+IF((101='V06 Calend 01'!D64),'V06 Calend 01'!J64,0))</f>
        <v>0</v>
      </c>
      <c r="DJ64" s="2">
        <f>((IF((102='V06 Calend 01'!C64),('V06 Calend 01'!F64+'V06 Calend 01'!G64),0)+IF(AND(('V06 Calend 01'!E64&gt;0),(102&gt;'V06 Calend 01'!C64),(102&lt;'V06 Calend 01'!D64),(MOD((102-'V06 Calend 01'!C64),6)=0),(((102-'V06 Calend 01'!C64)/6)&lt;='V06 Calend 01'!E64)),IF((102=('V06 Calend 01'!C64+(6*'V06 Calend 01'!E64))),('V06 Calend 01'!H64-('V06 Calend 01'!I64*('V06 Calend 01'!E64-1))),'V06 Calend 01'!I64),0))+IF((102='V06 Calend 01'!D64),'V06 Calend 01'!J64,0))</f>
        <v>0</v>
      </c>
      <c r="DK64" s="2">
        <f>((IF((103='V06 Calend 01'!C64),('V06 Calend 01'!F64+'V06 Calend 01'!G64),0)+IF(AND(('V06 Calend 01'!E64&gt;0),(103&gt;'V06 Calend 01'!C64),(103&lt;'V06 Calend 01'!D64),(MOD((103-'V06 Calend 01'!C64),6)=0),(((103-'V06 Calend 01'!C64)/6)&lt;='V06 Calend 01'!E64)),IF((103=('V06 Calend 01'!C64+(6*'V06 Calend 01'!E64))),('V06 Calend 01'!H64-('V06 Calend 01'!I64*('V06 Calend 01'!E64-1))),'V06 Calend 01'!I64),0))+IF((103='V06 Calend 01'!D64),'V06 Calend 01'!J64,0))</f>
        <v>0</v>
      </c>
      <c r="DL64" s="2">
        <f>((IF((104='V06 Calend 01'!C64),('V06 Calend 01'!F64+'V06 Calend 01'!G64),0)+IF(AND(('V06 Calend 01'!E64&gt;0),(104&gt;'V06 Calend 01'!C64),(104&lt;'V06 Calend 01'!D64),(MOD((104-'V06 Calend 01'!C64),6)=0),(((104-'V06 Calend 01'!C64)/6)&lt;='V06 Calend 01'!E64)),IF((104=('V06 Calend 01'!C64+(6*'V06 Calend 01'!E64))),('V06 Calend 01'!H64-('V06 Calend 01'!I64*('V06 Calend 01'!E64-1))),'V06 Calend 01'!I64),0))+IF((104='V06 Calend 01'!D64),'V06 Calend 01'!J64,0))</f>
        <v>0</v>
      </c>
      <c r="DM64" s="2">
        <f>((IF((105='V06 Calend 01'!C64),('V06 Calend 01'!F64+'V06 Calend 01'!G64),0)+IF(AND(('V06 Calend 01'!E64&gt;0),(105&gt;'V06 Calend 01'!C64),(105&lt;'V06 Calend 01'!D64),(MOD((105-'V06 Calend 01'!C64),6)=0),(((105-'V06 Calend 01'!C64)/6)&lt;='V06 Calend 01'!E64)),IF((105=('V06 Calend 01'!C64+(6*'V06 Calend 01'!E64))),('V06 Calend 01'!H64-('V06 Calend 01'!I64*('V06 Calend 01'!E64-1))),'V06 Calend 01'!I64),0))+IF((105='V06 Calend 01'!D64),'V06 Calend 01'!J64,0))</f>
        <v>0</v>
      </c>
      <c r="DN64" s="2">
        <f>((IF((106='V06 Calend 01'!C64),('V06 Calend 01'!F64+'V06 Calend 01'!G64),0)+IF(AND(('V06 Calend 01'!E64&gt;0),(106&gt;'V06 Calend 01'!C64),(106&lt;'V06 Calend 01'!D64),(MOD((106-'V06 Calend 01'!C64),6)=0),(((106-'V06 Calend 01'!C64)/6)&lt;='V06 Calend 01'!E64)),IF((106=('V06 Calend 01'!C64+(6*'V06 Calend 01'!E64))),('V06 Calend 01'!H64-('V06 Calend 01'!I64*('V06 Calend 01'!E64-1))),'V06 Calend 01'!I64),0))+IF((106='V06 Calend 01'!D64),'V06 Calend 01'!J64,0))</f>
        <v>0</v>
      </c>
      <c r="DO64" s="2">
        <f>((IF((107='V06 Calend 01'!C64),('V06 Calend 01'!F64+'V06 Calend 01'!G64),0)+IF(AND(('V06 Calend 01'!E64&gt;0),(107&gt;'V06 Calend 01'!C64),(107&lt;'V06 Calend 01'!D64),(MOD((107-'V06 Calend 01'!C64),6)=0),(((107-'V06 Calend 01'!C64)/6)&lt;='V06 Calend 01'!E64)),IF((107=('V06 Calend 01'!C64+(6*'V06 Calend 01'!E64))),('V06 Calend 01'!H64-('V06 Calend 01'!I64*('V06 Calend 01'!E64-1))),'V06 Calend 01'!I64),0))+IF((107='V06 Calend 01'!D64),'V06 Calend 01'!J64,0))</f>
        <v>0</v>
      </c>
      <c r="DP64" s="2">
        <f>((IF((108='V06 Calend 01'!C64),('V06 Calend 01'!F64+'V06 Calend 01'!G64),0)+IF(AND(('V06 Calend 01'!E64&gt;0),(108&gt;'V06 Calend 01'!C64),(108&lt;'V06 Calend 01'!D64),(MOD((108-'V06 Calend 01'!C64),6)=0),(((108-'V06 Calend 01'!C64)/6)&lt;='V06 Calend 01'!E64)),IF((108=('V06 Calend 01'!C64+(6*'V06 Calend 01'!E64))),('V06 Calend 01'!H64-('V06 Calend 01'!I64*('V06 Calend 01'!E64-1))),'V06 Calend 01'!I64),0))+IF((108='V06 Calend 01'!D64),'V06 Calend 01'!J64,0))</f>
        <v>0</v>
      </c>
      <c r="DQ64" s="2">
        <f>((IF((109='V06 Calend 01'!C64),('V06 Calend 01'!F64+'V06 Calend 01'!G64),0)+IF(AND(('V06 Calend 01'!E64&gt;0),(109&gt;'V06 Calend 01'!C64),(109&lt;'V06 Calend 01'!D64),(MOD((109-'V06 Calend 01'!C64),6)=0),(((109-'V06 Calend 01'!C64)/6)&lt;='V06 Calend 01'!E64)),IF((109=('V06 Calend 01'!C64+(6*'V06 Calend 01'!E64))),('V06 Calend 01'!H64-('V06 Calend 01'!I64*('V06 Calend 01'!E64-1))),'V06 Calend 01'!I64),0))+IF((109='V06 Calend 01'!D64),'V06 Calend 01'!J64,0))</f>
        <v>0</v>
      </c>
      <c r="DR64" s="2">
        <f>((IF((110='V06 Calend 01'!C64),('V06 Calend 01'!F64+'V06 Calend 01'!G64),0)+IF(AND(('V06 Calend 01'!E64&gt;0),(110&gt;'V06 Calend 01'!C64),(110&lt;'V06 Calend 01'!D64),(MOD((110-'V06 Calend 01'!C64),6)=0),(((110-'V06 Calend 01'!C64)/6)&lt;='V06 Calend 01'!E64)),IF((110=('V06 Calend 01'!C64+(6*'V06 Calend 01'!E64))),('V06 Calend 01'!H64-('V06 Calend 01'!I64*('V06 Calend 01'!E64-1))),'V06 Calend 01'!I64),0))+IF((110='V06 Calend 01'!D64),'V06 Calend 01'!J64,0))</f>
        <v>0</v>
      </c>
      <c r="DS64" s="2">
        <f>((IF((111='V06 Calend 01'!C64),('V06 Calend 01'!F64+'V06 Calend 01'!G64),0)+IF(AND(('V06 Calend 01'!E64&gt;0),(111&gt;'V06 Calend 01'!C64),(111&lt;'V06 Calend 01'!D64),(MOD((111-'V06 Calend 01'!C64),6)=0),(((111-'V06 Calend 01'!C64)/6)&lt;='V06 Calend 01'!E64)),IF((111=('V06 Calend 01'!C64+(6*'V06 Calend 01'!E64))),('V06 Calend 01'!H64-('V06 Calend 01'!I64*('V06 Calend 01'!E64-1))),'V06 Calend 01'!I64),0))+IF((111='V06 Calend 01'!D64),'V06 Calend 01'!J64,0))</f>
        <v>0</v>
      </c>
      <c r="DT64" s="2">
        <f>((IF((112='V06 Calend 01'!C64),('V06 Calend 01'!F64+'V06 Calend 01'!G64),0)+IF(AND(('V06 Calend 01'!E64&gt;0),(112&gt;'V06 Calend 01'!C64),(112&lt;'V06 Calend 01'!D64),(MOD((112-'V06 Calend 01'!C64),6)=0),(((112-'V06 Calend 01'!C64)/6)&lt;='V06 Calend 01'!E64)),IF((112=('V06 Calend 01'!C64+(6*'V06 Calend 01'!E64))),('V06 Calend 01'!H64-('V06 Calend 01'!I64*('V06 Calend 01'!E64-1))),'V06 Calend 01'!I64),0))+IF((112='V06 Calend 01'!D64),'V06 Calend 01'!J64,0))</f>
        <v>0</v>
      </c>
      <c r="DU64" s="2">
        <f>((IF((113='V06 Calend 01'!C64),('V06 Calend 01'!F64+'V06 Calend 01'!G64),0)+IF(AND(('V06 Calend 01'!E64&gt;0),(113&gt;'V06 Calend 01'!C64),(113&lt;'V06 Calend 01'!D64),(MOD((113-'V06 Calend 01'!C64),6)=0),(((113-'V06 Calend 01'!C64)/6)&lt;='V06 Calend 01'!E64)),IF((113=('V06 Calend 01'!C64+(6*'V06 Calend 01'!E64))),('V06 Calend 01'!H64-('V06 Calend 01'!I64*('V06 Calend 01'!E64-1))),'V06 Calend 01'!I64),0))+IF((113='V06 Calend 01'!D64),'V06 Calend 01'!J64,0))</f>
        <v>0</v>
      </c>
      <c r="DV64" s="2">
        <f>((IF((114='V06 Calend 01'!C64),('V06 Calend 01'!F64+'V06 Calend 01'!G64),0)+IF(AND(('V06 Calend 01'!E64&gt;0),(114&gt;'V06 Calend 01'!C64),(114&lt;'V06 Calend 01'!D64),(MOD((114-'V06 Calend 01'!C64),6)=0),(((114-'V06 Calend 01'!C64)/6)&lt;='V06 Calend 01'!E64)),IF((114=('V06 Calend 01'!C64+(6*'V06 Calend 01'!E64))),('V06 Calend 01'!H64-('V06 Calend 01'!I64*('V06 Calend 01'!E64-1))),'V06 Calend 01'!I64),0))+IF((114='V06 Calend 01'!D64),'V06 Calend 01'!J64,0))</f>
        <v>0</v>
      </c>
      <c r="DW64" s="2">
        <f>((IF((115='V06 Calend 01'!C64),('V06 Calend 01'!F64+'V06 Calend 01'!G64),0)+IF(AND(('V06 Calend 01'!E64&gt;0),(115&gt;'V06 Calend 01'!C64),(115&lt;'V06 Calend 01'!D64),(MOD((115-'V06 Calend 01'!C64),6)=0),(((115-'V06 Calend 01'!C64)/6)&lt;='V06 Calend 01'!E64)),IF((115=('V06 Calend 01'!C64+(6*'V06 Calend 01'!E64))),('V06 Calend 01'!H64-('V06 Calend 01'!I64*('V06 Calend 01'!E64-1))),'V06 Calend 01'!I64),0))+IF((115='V06 Calend 01'!D64),'V06 Calend 01'!J64,0))</f>
        <v>0</v>
      </c>
      <c r="DX64" s="2">
        <f>((IF((116='V06 Calend 01'!C64),('V06 Calend 01'!F64+'V06 Calend 01'!G64),0)+IF(AND(('V06 Calend 01'!E64&gt;0),(116&gt;'V06 Calend 01'!C64),(116&lt;'V06 Calend 01'!D64),(MOD((116-'V06 Calend 01'!C64),6)=0),(((116-'V06 Calend 01'!C64)/6)&lt;='V06 Calend 01'!E64)),IF((116=('V06 Calend 01'!C64+(6*'V06 Calend 01'!E64))),('V06 Calend 01'!H64-('V06 Calend 01'!I64*('V06 Calend 01'!E64-1))),'V06 Calend 01'!I64),0))+IF((116='V06 Calend 01'!D64),'V06 Calend 01'!J64,0))</f>
        <v>0</v>
      </c>
      <c r="DY64" s="2">
        <f>((IF((117='V06 Calend 01'!C64),('V06 Calend 01'!F64+'V06 Calend 01'!G64),0)+IF(AND(('V06 Calend 01'!E64&gt;0),(117&gt;'V06 Calend 01'!C64),(117&lt;'V06 Calend 01'!D64),(MOD((117-'V06 Calend 01'!C64),6)=0),(((117-'V06 Calend 01'!C64)/6)&lt;='V06 Calend 01'!E64)),IF((117=('V06 Calend 01'!C64+(6*'V06 Calend 01'!E64))),('V06 Calend 01'!H64-('V06 Calend 01'!I64*('V06 Calend 01'!E64-1))),'V06 Calend 01'!I64),0))+IF((117='V06 Calend 01'!D64),'V06 Calend 01'!J64,0))</f>
        <v>0</v>
      </c>
      <c r="DZ64" s="2">
        <f>((IF((118='V06 Calend 01'!C64),('V06 Calend 01'!F64+'V06 Calend 01'!G64),0)+IF(AND(('V06 Calend 01'!E64&gt;0),(118&gt;'V06 Calend 01'!C64),(118&lt;'V06 Calend 01'!D64),(MOD((118-'V06 Calend 01'!C64),6)=0),(((118-'V06 Calend 01'!C64)/6)&lt;='V06 Calend 01'!E64)),IF((118=('V06 Calend 01'!C64+(6*'V06 Calend 01'!E64))),('V06 Calend 01'!H64-('V06 Calend 01'!I64*('V06 Calend 01'!E64-1))),'V06 Calend 01'!I64),0))+IF((118='V06 Calend 01'!D64),'V06 Calend 01'!J64,0))</f>
        <v>0</v>
      </c>
      <c r="EA64" s="2">
        <f>((IF((119='V06 Calend 01'!C64),('V06 Calend 01'!F64+'V06 Calend 01'!G64),0)+IF(AND(('V06 Calend 01'!E64&gt;0),(119&gt;'V06 Calend 01'!C64),(119&lt;'V06 Calend 01'!D64),(MOD((119-'V06 Calend 01'!C64),6)=0),(((119-'V06 Calend 01'!C64)/6)&lt;='V06 Calend 01'!E64)),IF((119=('V06 Calend 01'!C64+(6*'V06 Calend 01'!E64))),('V06 Calend 01'!H64-('V06 Calend 01'!I64*('V06 Calend 01'!E64-1))),'V06 Calend 01'!I64),0))+IF((119='V06 Calend 01'!D64),'V06 Calend 01'!J64,0))</f>
        <v>0</v>
      </c>
      <c r="EB64" s="2">
        <f>((IF((120='V06 Calend 01'!C64),('V06 Calend 01'!F64+'V06 Calend 01'!G64),0)+IF(AND(('V06 Calend 01'!E64&gt;0),(120&gt;'V06 Calend 01'!C64),(120&lt;'V06 Calend 01'!D64),(MOD((120-'V06 Calend 01'!C64),6)=0),(((120-'V06 Calend 01'!C64)/6)&lt;='V06 Calend 01'!E64)),IF((120=('V06 Calend 01'!C64+(6*'V06 Calend 01'!E64))),('V06 Calend 01'!H64-('V06 Calend 01'!I64*('V06 Calend 01'!E64-1))),'V06 Calend 01'!I64),0))+IF((120='V06 Calend 01'!D64),'V06 Calend 01'!J64,0))</f>
        <v>0</v>
      </c>
      <c r="EC64" s="2">
        <f>((IF((121='V06 Calend 01'!C64),('V06 Calend 01'!F64+'V06 Calend 01'!G64),0)+IF(AND(('V06 Calend 01'!E64&gt;0),(121&gt;'V06 Calend 01'!C64),(121&lt;'V06 Calend 01'!D64),(MOD((121-'V06 Calend 01'!C64),6)=0),(((121-'V06 Calend 01'!C64)/6)&lt;='V06 Calend 01'!E64)),IF((121=('V06 Calend 01'!C64+(6*'V06 Calend 01'!E64))),('V06 Calend 01'!H64-('V06 Calend 01'!I64*('V06 Calend 01'!E64-1))),'V06 Calend 01'!I64),0))+IF((121='V06 Calend 01'!D64),'V06 Calend 01'!J64,0))</f>
        <v>0</v>
      </c>
      <c r="ED64" s="2">
        <f>((IF((122='V06 Calend 01'!C64),('V06 Calend 01'!F64+'V06 Calend 01'!G64),0)+IF(AND(('V06 Calend 01'!E64&gt;0),(122&gt;'V06 Calend 01'!C64),(122&lt;'V06 Calend 01'!D64),(MOD((122-'V06 Calend 01'!C64),6)=0),(((122-'V06 Calend 01'!C64)/6)&lt;='V06 Calend 01'!E64)),IF((122=('V06 Calend 01'!C64+(6*'V06 Calend 01'!E64))),('V06 Calend 01'!H64-('V06 Calend 01'!I64*('V06 Calend 01'!E64-1))),'V06 Calend 01'!I64),0))+IF((122='V06 Calend 01'!D64),'V06 Calend 01'!J64,0))</f>
        <v>0</v>
      </c>
      <c r="EE64" s="2">
        <f>((IF((123='V06 Calend 01'!C64),('V06 Calend 01'!F64+'V06 Calend 01'!G64),0)+IF(AND(('V06 Calend 01'!E64&gt;0),(123&gt;'V06 Calend 01'!C64),(123&lt;'V06 Calend 01'!D64),(MOD((123-'V06 Calend 01'!C64),6)=0),(((123-'V06 Calend 01'!C64)/6)&lt;='V06 Calend 01'!E64)),IF((123=('V06 Calend 01'!C64+(6*'V06 Calend 01'!E64))),('V06 Calend 01'!H64-('V06 Calend 01'!I64*('V06 Calend 01'!E64-1))),'V06 Calend 01'!I64),0))+IF((123='V06 Calend 01'!D64),'V06 Calend 01'!J64,0))</f>
        <v>0</v>
      </c>
      <c r="EF64" s="2">
        <f>((IF((124='V06 Calend 01'!C64),('V06 Calend 01'!F64+'V06 Calend 01'!G64),0)+IF(AND(('V06 Calend 01'!E64&gt;0),(124&gt;'V06 Calend 01'!C64),(124&lt;'V06 Calend 01'!D64),(MOD((124-'V06 Calend 01'!C64),6)=0),(((124-'V06 Calend 01'!C64)/6)&lt;='V06 Calend 01'!E64)),IF((124=('V06 Calend 01'!C64+(6*'V06 Calend 01'!E64))),('V06 Calend 01'!H64-('V06 Calend 01'!I64*('V06 Calend 01'!E64-1))),'V06 Calend 01'!I64),0))+IF((124='V06 Calend 01'!D64),'V06 Calend 01'!J64,0))</f>
        <v>0</v>
      </c>
      <c r="EG64" s="2">
        <f>((IF((125='V06 Calend 01'!C64),('V06 Calend 01'!F64+'V06 Calend 01'!G64),0)+IF(AND(('V06 Calend 01'!E64&gt;0),(125&gt;'V06 Calend 01'!C64),(125&lt;'V06 Calend 01'!D64),(MOD((125-'V06 Calend 01'!C64),6)=0),(((125-'V06 Calend 01'!C64)/6)&lt;='V06 Calend 01'!E64)),IF((125=('V06 Calend 01'!C64+(6*'V06 Calend 01'!E64))),('V06 Calend 01'!H64-('V06 Calend 01'!I64*('V06 Calend 01'!E64-1))),'V06 Calend 01'!I64),0))+IF((125='V06 Calend 01'!D64),'V06 Calend 01'!J64,0))</f>
        <v>0</v>
      </c>
      <c r="EH64" s="2">
        <f>((IF((126='V06 Calend 01'!C64),('V06 Calend 01'!F64+'V06 Calend 01'!G64),0)+IF(AND(('V06 Calend 01'!E64&gt;0),(126&gt;'V06 Calend 01'!C64),(126&lt;'V06 Calend 01'!D64),(MOD((126-'V06 Calend 01'!C64),6)=0),(((126-'V06 Calend 01'!C64)/6)&lt;='V06 Calend 01'!E64)),IF((126=('V06 Calend 01'!C64+(6*'V06 Calend 01'!E64))),('V06 Calend 01'!H64-('V06 Calend 01'!I64*('V06 Calend 01'!E64-1))),'V06 Calend 01'!I64),0))+IF((126='V06 Calend 01'!D64),'V06 Calend 01'!J64,0))</f>
        <v>0</v>
      </c>
      <c r="EI64" s="2">
        <f>((IF((127='V06 Calend 01'!C64),('V06 Calend 01'!F64+'V06 Calend 01'!G64),0)+IF(AND(('V06 Calend 01'!E64&gt;0),(127&gt;'V06 Calend 01'!C64),(127&lt;'V06 Calend 01'!D64),(MOD((127-'V06 Calend 01'!C64),6)=0),(((127-'V06 Calend 01'!C64)/6)&lt;='V06 Calend 01'!E64)),IF((127=('V06 Calend 01'!C64+(6*'V06 Calend 01'!E64))),('V06 Calend 01'!H64-('V06 Calend 01'!I64*('V06 Calend 01'!E64-1))),'V06 Calend 01'!I64),0))+IF((127='V06 Calend 01'!D64),'V06 Calend 01'!J64,0))</f>
        <v>0</v>
      </c>
      <c r="EJ64" s="2">
        <f>((IF((128='V06 Calend 01'!C64),('V06 Calend 01'!F64+'V06 Calend 01'!G64),0)+IF(AND(('V06 Calend 01'!E64&gt;0),(128&gt;'V06 Calend 01'!C64),(128&lt;'V06 Calend 01'!D64),(MOD((128-'V06 Calend 01'!C64),6)=0),(((128-'V06 Calend 01'!C64)/6)&lt;='V06 Calend 01'!E64)),IF((128=('V06 Calend 01'!C64+(6*'V06 Calend 01'!E64))),('V06 Calend 01'!H64-('V06 Calend 01'!I64*('V06 Calend 01'!E64-1))),'V06 Calend 01'!I64),0))+IF((128='V06 Calend 01'!D64),'V06 Calend 01'!J64,0))</f>
        <v>0</v>
      </c>
      <c r="EK64" s="2">
        <f>((IF((129='V06 Calend 01'!C64),('V06 Calend 01'!F64+'V06 Calend 01'!G64),0)+IF(AND(('V06 Calend 01'!E64&gt;0),(129&gt;'V06 Calend 01'!C64),(129&lt;'V06 Calend 01'!D64),(MOD((129-'V06 Calend 01'!C64),6)=0),(((129-'V06 Calend 01'!C64)/6)&lt;='V06 Calend 01'!E64)),IF((129=('V06 Calend 01'!C64+(6*'V06 Calend 01'!E64))),('V06 Calend 01'!H64-('V06 Calend 01'!I64*('V06 Calend 01'!E64-1))),'V06 Calend 01'!I64),0))+IF((129='V06 Calend 01'!D64),'V06 Calend 01'!J64,0))</f>
        <v>0</v>
      </c>
      <c r="EL64" s="2">
        <f>((IF((130='V06 Calend 01'!C64),('V06 Calend 01'!F64+'V06 Calend 01'!G64),0)+IF(AND(('V06 Calend 01'!E64&gt;0),(130&gt;'V06 Calend 01'!C64),(130&lt;'V06 Calend 01'!D64),(MOD((130-'V06 Calend 01'!C64),6)=0),(((130-'V06 Calend 01'!C64)/6)&lt;='V06 Calend 01'!E64)),IF((130=('V06 Calend 01'!C64+(6*'V06 Calend 01'!E64))),('V06 Calend 01'!H64-('V06 Calend 01'!I64*('V06 Calend 01'!E64-1))),'V06 Calend 01'!I64),0))+IF((130='V06 Calend 01'!D64),'V06 Calend 01'!J64,0))</f>
        <v>0</v>
      </c>
      <c r="EM64" s="2">
        <f>((IF((131='V06 Calend 01'!C64),('V06 Calend 01'!F64+'V06 Calend 01'!G64),0)+IF(AND(('V06 Calend 01'!E64&gt;0),(131&gt;'V06 Calend 01'!C64),(131&lt;'V06 Calend 01'!D64),(MOD((131-'V06 Calend 01'!C64),6)=0),(((131-'V06 Calend 01'!C64)/6)&lt;='V06 Calend 01'!E64)),IF((131=('V06 Calend 01'!C64+(6*'V06 Calend 01'!E64))),('V06 Calend 01'!H64-('V06 Calend 01'!I64*('V06 Calend 01'!E64-1))),'V06 Calend 01'!I64),0))+IF((131='V06 Calend 01'!D64),'V06 Calend 01'!J64,0))</f>
        <v>0</v>
      </c>
      <c r="EN64" s="2">
        <f>((IF((132='V06 Calend 01'!C64),('V06 Calend 01'!F64+'V06 Calend 01'!G64),0)+IF(AND(('V06 Calend 01'!E64&gt;0),(132&gt;'V06 Calend 01'!C64),(132&lt;'V06 Calend 01'!D64),(MOD((132-'V06 Calend 01'!C64),6)=0),(((132-'V06 Calend 01'!C64)/6)&lt;='V06 Calend 01'!E64)),IF((132=('V06 Calend 01'!C64+(6*'V06 Calend 01'!E64))),('V06 Calend 01'!H64-('V06 Calend 01'!I64*('V06 Calend 01'!E64-1))),'V06 Calend 01'!I64),0))+IF((132='V06 Calend 01'!D64),'V06 Calend 01'!J64,0))</f>
        <v>0</v>
      </c>
      <c r="EO64" s="2">
        <f>((IF((133='V06 Calend 01'!C64),('V06 Calend 01'!F64+'V06 Calend 01'!G64),0)+IF(AND(('V06 Calend 01'!E64&gt;0),(133&gt;'V06 Calend 01'!C64),(133&lt;'V06 Calend 01'!D64),(MOD((133-'V06 Calend 01'!C64),6)=0),(((133-'V06 Calend 01'!C64)/6)&lt;='V06 Calend 01'!E64)),IF((133=('V06 Calend 01'!C64+(6*'V06 Calend 01'!E64))),('V06 Calend 01'!H64-('V06 Calend 01'!I64*('V06 Calend 01'!E64-1))),'V06 Calend 01'!I64),0))+IF((133='V06 Calend 01'!D64),'V06 Calend 01'!J64,0))</f>
        <v>0</v>
      </c>
      <c r="EP64" s="2">
        <f>((IF((134='V06 Calend 01'!C64),('V06 Calend 01'!F64+'V06 Calend 01'!G64),0)+IF(AND(('V06 Calend 01'!E64&gt;0),(134&gt;'V06 Calend 01'!C64),(134&lt;'V06 Calend 01'!D64),(MOD((134-'V06 Calend 01'!C64),6)=0),(((134-'V06 Calend 01'!C64)/6)&lt;='V06 Calend 01'!E64)),IF((134=('V06 Calend 01'!C64+(6*'V06 Calend 01'!E64))),('V06 Calend 01'!H64-('V06 Calend 01'!I64*('V06 Calend 01'!E64-1))),'V06 Calend 01'!I64),0))+IF((134='V06 Calend 01'!D64),'V06 Calend 01'!J64,0))</f>
        <v>0</v>
      </c>
      <c r="EQ64" s="2">
        <f>((IF((135='V06 Calend 01'!C64),('V06 Calend 01'!F64+'V06 Calend 01'!G64),0)+IF(AND(('V06 Calend 01'!E64&gt;0),(135&gt;'V06 Calend 01'!C64),(135&lt;'V06 Calend 01'!D64),(MOD((135-'V06 Calend 01'!C64),6)=0),(((135-'V06 Calend 01'!C64)/6)&lt;='V06 Calend 01'!E64)),IF((135=('V06 Calend 01'!C64+(6*'V06 Calend 01'!E64))),('V06 Calend 01'!H64-('V06 Calend 01'!I64*('V06 Calend 01'!E64-1))),'V06 Calend 01'!I64),0))+IF((135='V06 Calend 01'!D64),'V06 Calend 01'!J64,0))</f>
        <v>0</v>
      </c>
      <c r="ER64" s="2">
        <f>((IF((136='V06 Calend 01'!C64),('V06 Calend 01'!F64+'V06 Calend 01'!G64),0)+IF(AND(('V06 Calend 01'!E64&gt;0),(136&gt;'V06 Calend 01'!C64),(136&lt;'V06 Calend 01'!D64),(MOD((136-'V06 Calend 01'!C64),6)=0),(((136-'V06 Calend 01'!C64)/6)&lt;='V06 Calend 01'!E64)),IF((136=('V06 Calend 01'!C64+(6*'V06 Calend 01'!E64))),('V06 Calend 01'!H64-('V06 Calend 01'!I64*('V06 Calend 01'!E64-1))),'V06 Calend 01'!I64),0))+IF((136='V06 Calend 01'!D64),'V06 Calend 01'!J64,0))</f>
        <v>0</v>
      </c>
      <c r="ES64" s="2">
        <f>((IF((137='V06 Calend 01'!C64),('V06 Calend 01'!F64+'V06 Calend 01'!G64),0)+IF(AND(('V06 Calend 01'!E64&gt;0),(137&gt;'V06 Calend 01'!C64),(137&lt;'V06 Calend 01'!D64),(MOD((137-'V06 Calend 01'!C64),6)=0),(((137-'V06 Calend 01'!C64)/6)&lt;='V06 Calend 01'!E64)),IF((137=('V06 Calend 01'!C64+(6*'V06 Calend 01'!E64))),('V06 Calend 01'!H64-('V06 Calend 01'!I64*('V06 Calend 01'!E64-1))),'V06 Calend 01'!I64),0))+IF((137='V06 Calend 01'!D64),'V06 Calend 01'!J64,0))</f>
        <v>0</v>
      </c>
      <c r="ET64" s="2">
        <f>((IF((138='V06 Calend 01'!C64),('V06 Calend 01'!F64+'V06 Calend 01'!G64),0)+IF(AND(('V06 Calend 01'!E64&gt;0),(138&gt;'V06 Calend 01'!C64),(138&lt;'V06 Calend 01'!D64),(MOD((138-'V06 Calend 01'!C64),6)=0),(((138-'V06 Calend 01'!C64)/6)&lt;='V06 Calend 01'!E64)),IF((138=('V06 Calend 01'!C64+(6*'V06 Calend 01'!E64))),('V06 Calend 01'!H64-('V06 Calend 01'!I64*('V06 Calend 01'!E64-1))),'V06 Calend 01'!I64),0))+IF((138='V06 Calend 01'!D64),'V06 Calend 01'!J64,0))</f>
        <v>0</v>
      </c>
      <c r="EU64" s="2">
        <f>((IF((139='V06 Calend 01'!C64),('V06 Calend 01'!F64+'V06 Calend 01'!G64),0)+IF(AND(('V06 Calend 01'!E64&gt;0),(139&gt;'V06 Calend 01'!C64),(139&lt;'V06 Calend 01'!D64),(MOD((139-'V06 Calend 01'!C64),6)=0),(((139-'V06 Calend 01'!C64)/6)&lt;='V06 Calend 01'!E64)),IF((139=('V06 Calend 01'!C64+(6*'V06 Calend 01'!E64))),('V06 Calend 01'!H64-('V06 Calend 01'!I64*('V06 Calend 01'!E64-1))),'V06 Calend 01'!I64),0))+IF((139='V06 Calend 01'!D64),'V06 Calend 01'!J64,0))</f>
        <v>0</v>
      </c>
      <c r="EV64" s="2">
        <f>((IF((140='V06 Calend 01'!C64),('V06 Calend 01'!F64+'V06 Calend 01'!G64),0)+IF(AND(('V06 Calend 01'!E64&gt;0),(140&gt;'V06 Calend 01'!C64),(140&lt;'V06 Calend 01'!D64),(MOD((140-'V06 Calend 01'!C64),6)=0),(((140-'V06 Calend 01'!C64)/6)&lt;='V06 Calend 01'!E64)),IF((140=('V06 Calend 01'!C64+(6*'V06 Calend 01'!E64))),('V06 Calend 01'!H64-('V06 Calend 01'!I64*('V06 Calend 01'!E64-1))),'V06 Calend 01'!I64),0))+IF((140='V06 Calend 01'!D64),'V06 Calend 01'!J64,0))</f>
        <v>0</v>
      </c>
      <c r="EW64" s="2">
        <f>((IF((141='V06 Calend 01'!C64),('V06 Calend 01'!F64+'V06 Calend 01'!G64),0)+IF(AND(('V06 Calend 01'!E64&gt;0),(141&gt;'V06 Calend 01'!C64),(141&lt;'V06 Calend 01'!D64),(MOD((141-'V06 Calend 01'!C64),6)=0),(((141-'V06 Calend 01'!C64)/6)&lt;='V06 Calend 01'!E64)),IF((141=('V06 Calend 01'!C64+(6*'V06 Calend 01'!E64))),('V06 Calend 01'!H64-('V06 Calend 01'!I64*('V06 Calend 01'!E64-1))),'V06 Calend 01'!I64),0))+IF((141='V06 Calend 01'!D64),'V06 Calend 01'!J64,0))</f>
        <v>0</v>
      </c>
      <c r="EX64" s="2">
        <f>((IF((142='V06 Calend 01'!C64),('V06 Calend 01'!F64+'V06 Calend 01'!G64),0)+IF(AND(('V06 Calend 01'!E64&gt;0),(142&gt;'V06 Calend 01'!C64),(142&lt;'V06 Calend 01'!D64),(MOD((142-'V06 Calend 01'!C64),6)=0),(((142-'V06 Calend 01'!C64)/6)&lt;='V06 Calend 01'!E64)),IF((142=('V06 Calend 01'!C64+(6*'V06 Calend 01'!E64))),('V06 Calend 01'!H64-('V06 Calend 01'!I64*('V06 Calend 01'!E64-1))),'V06 Calend 01'!I64),0))+IF((142='V06 Calend 01'!D64),'V06 Calend 01'!J64,0))</f>
        <v>0</v>
      </c>
      <c r="EY64" s="2">
        <f>((IF((143='V06 Calend 01'!C64),('V06 Calend 01'!F64+'V06 Calend 01'!G64),0)+IF(AND(('V06 Calend 01'!E64&gt;0),(143&gt;'V06 Calend 01'!C64),(143&lt;'V06 Calend 01'!D64),(MOD((143-'V06 Calend 01'!C64),6)=0),(((143-'V06 Calend 01'!C64)/6)&lt;='V06 Calend 01'!E64)),IF((143=('V06 Calend 01'!C64+(6*'V06 Calend 01'!E64))),('V06 Calend 01'!H64-('V06 Calend 01'!I64*('V06 Calend 01'!E64-1))),'V06 Calend 01'!I64),0))+IF((143='V06 Calend 01'!D64),'V06 Calend 01'!J64,0))</f>
        <v>0</v>
      </c>
      <c r="EZ64" s="2">
        <f>((IF((144='V06 Calend 01'!C64),('V06 Calend 01'!F64+'V06 Calend 01'!G64),0)+IF(AND(('V06 Calend 01'!E64&gt;0),(144&gt;'V06 Calend 01'!C64),(144&lt;'V06 Calend 01'!D64),(MOD((144-'V06 Calend 01'!C64),6)=0),(((144-'V06 Calend 01'!C64)/6)&lt;='V06 Calend 01'!E64)),IF((144=('V06 Calend 01'!C64+(6*'V06 Calend 01'!E64))),('V06 Calend 01'!H64-('V06 Calend 01'!I64*('V06 Calend 01'!E64-1))),'V06 Calend 01'!I64),0))+IF((144='V06 Calend 01'!D64),'V06 Calend 01'!J64,0))</f>
        <v>0</v>
      </c>
      <c r="FA64" s="2">
        <f>((IF((145='V06 Calend 01'!C64),('V06 Calend 01'!F64+'V06 Calend 01'!G64),0)+IF(AND(('V06 Calend 01'!E64&gt;0),(145&gt;'V06 Calend 01'!C64),(145&lt;'V06 Calend 01'!D64),(MOD((145-'V06 Calend 01'!C64),6)=0),(((145-'V06 Calend 01'!C64)/6)&lt;='V06 Calend 01'!E64)),IF((145=('V06 Calend 01'!C64+(6*'V06 Calend 01'!E64))),('V06 Calend 01'!H64-('V06 Calend 01'!I64*('V06 Calend 01'!E64-1))),'V06 Calend 01'!I64),0))+IF((145='V06 Calend 01'!D64),'V06 Calend 01'!J64,0))</f>
        <v>0</v>
      </c>
      <c r="FB64" s="2">
        <f>((IF((146='V06 Calend 01'!C64),('V06 Calend 01'!F64+'V06 Calend 01'!G64),0)+IF(AND(('V06 Calend 01'!E64&gt;0),(146&gt;'V06 Calend 01'!C64),(146&lt;'V06 Calend 01'!D64),(MOD((146-'V06 Calend 01'!C64),6)=0),(((146-'V06 Calend 01'!C64)/6)&lt;='V06 Calend 01'!E64)),IF((146=('V06 Calend 01'!C64+(6*'V06 Calend 01'!E64))),('V06 Calend 01'!H64-('V06 Calend 01'!I64*('V06 Calend 01'!E64-1))),'V06 Calend 01'!I64),0))+IF((146='V06 Calend 01'!D64),'V06 Calend 01'!J64,0))</f>
        <v>0</v>
      </c>
      <c r="FC64" s="2">
        <f>((IF((147='V06 Calend 01'!C64),('V06 Calend 01'!F64+'V06 Calend 01'!G64),0)+IF(AND(('V06 Calend 01'!E64&gt;0),(147&gt;'V06 Calend 01'!C64),(147&lt;'V06 Calend 01'!D64),(MOD((147-'V06 Calend 01'!C64),6)=0),(((147-'V06 Calend 01'!C64)/6)&lt;='V06 Calend 01'!E64)),IF((147=('V06 Calend 01'!C64+(6*'V06 Calend 01'!E64))),('V06 Calend 01'!H64-('V06 Calend 01'!I64*('V06 Calend 01'!E64-1))),'V06 Calend 01'!I64),0))+IF((147='V06 Calend 01'!D64),'V06 Calend 01'!J64,0))</f>
        <v>0</v>
      </c>
      <c r="FD64" s="2">
        <f>((IF((148='V06 Calend 01'!C64),('V06 Calend 01'!F64+'V06 Calend 01'!G64),0)+IF(AND(('V06 Calend 01'!E64&gt;0),(148&gt;'V06 Calend 01'!C64),(148&lt;'V06 Calend 01'!D64),(MOD((148-'V06 Calend 01'!C64),6)=0),(((148-'V06 Calend 01'!C64)/6)&lt;='V06 Calend 01'!E64)),IF((148=('V06 Calend 01'!C64+(6*'V06 Calend 01'!E64))),('V06 Calend 01'!H64-('V06 Calend 01'!I64*('V06 Calend 01'!E64-1))),'V06 Calend 01'!I64),0))+IF((148='V06 Calend 01'!D64),'V06 Calend 01'!J64,0))</f>
        <v>0</v>
      </c>
      <c r="FE64" s="2">
        <f>((IF((149='V06 Calend 01'!C64),('V06 Calend 01'!F64+'V06 Calend 01'!G64),0)+IF(AND(('V06 Calend 01'!E64&gt;0),(149&gt;'V06 Calend 01'!C64),(149&lt;'V06 Calend 01'!D64),(MOD((149-'V06 Calend 01'!C64),6)=0),(((149-'V06 Calend 01'!C64)/6)&lt;='V06 Calend 01'!E64)),IF((149=('V06 Calend 01'!C64+(6*'V06 Calend 01'!E64))),('V06 Calend 01'!H64-('V06 Calend 01'!I64*('V06 Calend 01'!E64-1))),'V06 Calend 01'!I64),0))+IF((149='V06 Calend 01'!D64),'V06 Calend 01'!J64,0))</f>
        <v>0</v>
      </c>
      <c r="FF64" s="2">
        <f>((IF((150='V06 Calend 01'!C64),('V06 Calend 01'!F64+'V06 Calend 01'!G64),0)+IF(AND(('V06 Calend 01'!E64&gt;0),(150&gt;'V06 Calend 01'!C64),(150&lt;'V06 Calend 01'!D64),(MOD((150-'V06 Calend 01'!C64),6)=0),(((150-'V06 Calend 01'!C64)/6)&lt;='V06 Calend 01'!E64)),IF((150=('V06 Calend 01'!C64+(6*'V06 Calend 01'!E64))),('V06 Calend 01'!H64-('V06 Calend 01'!I64*('V06 Calend 01'!E64-1))),'V06 Calend 01'!I64),0))+IF((150='V06 Calend 01'!D64),'V06 Calend 01'!J64,0))</f>
        <v>0</v>
      </c>
      <c r="FG64" s="2">
        <f>((IF((151='V06 Calend 01'!C64),('V06 Calend 01'!F64+'V06 Calend 01'!G64),0)+IF(AND(('V06 Calend 01'!E64&gt;0),(151&gt;'V06 Calend 01'!C64),(151&lt;'V06 Calend 01'!D64),(MOD((151-'V06 Calend 01'!C64),6)=0),(((151-'V06 Calend 01'!C64)/6)&lt;='V06 Calend 01'!E64)),IF((151=('V06 Calend 01'!C64+(6*'V06 Calend 01'!E64))),('V06 Calend 01'!H64-('V06 Calend 01'!I64*('V06 Calend 01'!E64-1))),'V06 Calend 01'!I64),0))+IF((151='V06 Calend 01'!D64),'V06 Calend 01'!J64,0))</f>
        <v>0</v>
      </c>
      <c r="FH64" s="2">
        <f>((IF((152='V06 Calend 01'!C64),('V06 Calend 01'!F64+'V06 Calend 01'!G64),0)+IF(AND(('V06 Calend 01'!E64&gt;0),(152&gt;'V06 Calend 01'!C64),(152&lt;'V06 Calend 01'!D64),(MOD((152-'V06 Calend 01'!C64),6)=0),(((152-'V06 Calend 01'!C64)/6)&lt;='V06 Calend 01'!E64)),IF((152=('V06 Calend 01'!C64+(6*'V06 Calend 01'!E64))),('V06 Calend 01'!H64-('V06 Calend 01'!I64*('V06 Calend 01'!E64-1))),'V06 Calend 01'!I64),0))+IF((152='V06 Calend 01'!D64),'V06 Calend 01'!J64,0))</f>
        <v>0</v>
      </c>
      <c r="FI64" s="2">
        <f>((IF((153='V06 Calend 01'!C64),('V06 Calend 01'!F64+'V06 Calend 01'!G64),0)+IF(AND(('V06 Calend 01'!E64&gt;0),(153&gt;'V06 Calend 01'!C64),(153&lt;'V06 Calend 01'!D64),(MOD((153-'V06 Calend 01'!C64),6)=0),(((153-'V06 Calend 01'!C64)/6)&lt;='V06 Calend 01'!E64)),IF((153=('V06 Calend 01'!C64+(6*'V06 Calend 01'!E64))),('V06 Calend 01'!H64-('V06 Calend 01'!I64*('V06 Calend 01'!E64-1))),'V06 Calend 01'!I64),0))+IF((153='V06 Calend 01'!D64),'V06 Calend 01'!J64,0))</f>
        <v>0</v>
      </c>
      <c r="FJ64" s="2">
        <f>((IF((154='V06 Calend 01'!C64),('V06 Calend 01'!F64+'V06 Calend 01'!G64),0)+IF(AND(('V06 Calend 01'!E64&gt;0),(154&gt;'V06 Calend 01'!C64),(154&lt;'V06 Calend 01'!D64),(MOD((154-'V06 Calend 01'!C64),6)=0),(((154-'V06 Calend 01'!C64)/6)&lt;='V06 Calend 01'!E64)),IF((154=('V06 Calend 01'!C64+(6*'V06 Calend 01'!E64))),('V06 Calend 01'!H64-('V06 Calend 01'!I64*('V06 Calend 01'!E64-1))),'V06 Calend 01'!I64),0))+IF((154='V06 Calend 01'!D64),'V06 Calend 01'!J64,0))</f>
        <v>0</v>
      </c>
      <c r="FK64" s="2">
        <f>((IF((155='V06 Calend 01'!C64),('V06 Calend 01'!F64+'V06 Calend 01'!G64),0)+IF(AND(('V06 Calend 01'!E64&gt;0),(155&gt;'V06 Calend 01'!C64),(155&lt;'V06 Calend 01'!D64),(MOD((155-'V06 Calend 01'!C64),6)=0),(((155-'V06 Calend 01'!C64)/6)&lt;='V06 Calend 01'!E64)),IF((155=('V06 Calend 01'!C64+(6*'V06 Calend 01'!E64))),('V06 Calend 01'!H64-('V06 Calend 01'!I64*('V06 Calend 01'!E64-1))),'V06 Calend 01'!I64),0))+IF((155='V06 Calend 01'!D64),'V06 Calend 01'!J64,0))</f>
        <v>0</v>
      </c>
      <c r="FL64" s="2">
        <f>((IF((156='V06 Calend 01'!C64),('V06 Calend 01'!F64+'V06 Calend 01'!G64),0)+IF(AND(('V06 Calend 01'!E64&gt;0),(156&gt;'V06 Calend 01'!C64),(156&lt;'V06 Calend 01'!D64),(MOD((156-'V06 Calend 01'!C64),6)=0),(((156-'V06 Calend 01'!C64)/6)&lt;='V06 Calend 01'!E64)),IF((156=('V06 Calend 01'!C64+(6*'V06 Calend 01'!E64))),('V06 Calend 01'!H64-('V06 Calend 01'!I64*('V06 Calend 01'!E64-1))),'V06 Calend 01'!I64),0))+IF((156='V06 Calend 01'!D64),'V06 Calend 01'!J64,0))</f>
        <v>0</v>
      </c>
      <c r="FM64" s="2">
        <f>((IF((157='V06 Calend 01'!C64),('V06 Calend 01'!F64+'V06 Calend 01'!G64),0)+IF(AND(('V06 Calend 01'!E64&gt;0),(157&gt;'V06 Calend 01'!C64),(157&lt;'V06 Calend 01'!D64),(MOD((157-'V06 Calend 01'!C64),6)=0),(((157-'V06 Calend 01'!C64)/6)&lt;='V06 Calend 01'!E64)),IF((157=('V06 Calend 01'!C64+(6*'V06 Calend 01'!E64))),('V06 Calend 01'!H64-('V06 Calend 01'!I64*('V06 Calend 01'!E64-1))),'V06 Calend 01'!I64),0))+IF((157='V06 Calend 01'!D64),'V06 Calend 01'!J64,0))</f>
        <v>0</v>
      </c>
      <c r="FN64" s="2">
        <f>((IF((158='V06 Calend 01'!C64),('V06 Calend 01'!F64+'V06 Calend 01'!G64),0)+IF(AND(('V06 Calend 01'!E64&gt;0),(158&gt;'V06 Calend 01'!C64),(158&lt;'V06 Calend 01'!D64),(MOD((158-'V06 Calend 01'!C64),6)=0),(((158-'V06 Calend 01'!C64)/6)&lt;='V06 Calend 01'!E64)),IF((158=('V06 Calend 01'!C64+(6*'V06 Calend 01'!E64))),('V06 Calend 01'!H64-('V06 Calend 01'!I64*('V06 Calend 01'!E64-1))),'V06 Calend 01'!I64),0))+IF((158='V06 Calend 01'!D64),'V06 Calend 01'!J64,0))</f>
        <v>0</v>
      </c>
      <c r="FO64" s="2">
        <f>((IF((159='V06 Calend 01'!C64),('V06 Calend 01'!F64+'V06 Calend 01'!G64),0)+IF(AND(('V06 Calend 01'!E64&gt;0),(159&gt;'V06 Calend 01'!C64),(159&lt;'V06 Calend 01'!D64),(MOD((159-'V06 Calend 01'!C64),6)=0),(((159-'V06 Calend 01'!C64)/6)&lt;='V06 Calend 01'!E64)),IF((159=('V06 Calend 01'!C64+(6*'V06 Calend 01'!E64))),('V06 Calend 01'!H64-('V06 Calend 01'!I64*('V06 Calend 01'!E64-1))),'V06 Calend 01'!I64),0))+IF((159='V06 Calend 01'!D64),'V06 Calend 01'!J64,0))</f>
        <v>0</v>
      </c>
      <c r="FP64" s="2">
        <f>((IF((160='V06 Calend 01'!C64),('V06 Calend 01'!F64+'V06 Calend 01'!G64),0)+IF(AND(('V06 Calend 01'!E64&gt;0),(160&gt;'V06 Calend 01'!C64),(160&lt;'V06 Calend 01'!D64),(MOD((160-'V06 Calend 01'!C64),6)=0),(((160-'V06 Calend 01'!C64)/6)&lt;='V06 Calend 01'!E64)),IF((160=('V06 Calend 01'!C64+(6*'V06 Calend 01'!E64))),('V06 Calend 01'!H64-('V06 Calend 01'!I64*('V06 Calend 01'!E64-1))),'V06 Calend 01'!I64),0))+IF((160='V06 Calend 01'!D64),'V06 Calend 01'!J64,0))</f>
        <v>0</v>
      </c>
      <c r="FQ64" s="2">
        <f>((IF((161='V06 Calend 01'!C64),('V06 Calend 01'!F64+'V06 Calend 01'!G64),0)+IF(AND(('V06 Calend 01'!E64&gt;0),(161&gt;'V06 Calend 01'!C64),(161&lt;'V06 Calend 01'!D64),(MOD((161-'V06 Calend 01'!C64),6)=0),(((161-'V06 Calend 01'!C64)/6)&lt;='V06 Calend 01'!E64)),IF((161=('V06 Calend 01'!C64+(6*'V06 Calend 01'!E64))),('V06 Calend 01'!H64-('V06 Calend 01'!I64*('V06 Calend 01'!E64-1))),'V06 Calend 01'!I64),0))+IF((161='V06 Calend 01'!D64),'V06 Calend 01'!J64,0))</f>
        <v>0</v>
      </c>
      <c r="FR64" s="2">
        <f>((IF((162='V06 Calend 01'!C64),('V06 Calend 01'!F64+'V06 Calend 01'!G64),0)+IF(AND(('V06 Calend 01'!E64&gt;0),(162&gt;'V06 Calend 01'!C64),(162&lt;'V06 Calend 01'!D64),(MOD((162-'V06 Calend 01'!C64),6)=0),(((162-'V06 Calend 01'!C64)/6)&lt;='V06 Calend 01'!E64)),IF((162=('V06 Calend 01'!C64+(6*'V06 Calend 01'!E64))),('V06 Calend 01'!H64-('V06 Calend 01'!I64*('V06 Calend 01'!E64-1))),'V06 Calend 01'!I64),0))+IF((162='V06 Calend 01'!D64),'V06 Calend 01'!J64,0))</f>
        <v>0</v>
      </c>
      <c r="FS64" s="2">
        <f>((IF((163='V06 Calend 01'!C64),('V06 Calend 01'!F64+'V06 Calend 01'!G64),0)+IF(AND(('V06 Calend 01'!E64&gt;0),(163&gt;'V06 Calend 01'!C64),(163&lt;'V06 Calend 01'!D64),(MOD((163-'V06 Calend 01'!C64),6)=0),(((163-'V06 Calend 01'!C64)/6)&lt;='V06 Calend 01'!E64)),IF((163=('V06 Calend 01'!C64+(6*'V06 Calend 01'!E64))),('V06 Calend 01'!H64-('V06 Calend 01'!I64*('V06 Calend 01'!E64-1))),'V06 Calend 01'!I64),0))+IF((163='V06 Calend 01'!D64),'V06 Calend 01'!J64,0))</f>
        <v>0</v>
      </c>
      <c r="FT64" s="2">
        <f>((IF((164='V06 Calend 01'!C64),('V06 Calend 01'!F64+'V06 Calend 01'!G64),0)+IF(AND(('V06 Calend 01'!E64&gt;0),(164&gt;'V06 Calend 01'!C64),(164&lt;'V06 Calend 01'!D64),(MOD((164-'V06 Calend 01'!C64),6)=0),(((164-'V06 Calend 01'!C64)/6)&lt;='V06 Calend 01'!E64)),IF((164=('V06 Calend 01'!C64+(6*'V06 Calend 01'!E64))),('V06 Calend 01'!H64-('V06 Calend 01'!I64*('V06 Calend 01'!E64-1))),'V06 Calend 01'!I64),0))+IF((164='V06 Calend 01'!D64),'V06 Calend 01'!J64,0))</f>
        <v>0</v>
      </c>
      <c r="FU64" s="2">
        <f>((IF((165='V06 Calend 01'!C64),('V06 Calend 01'!F64+'V06 Calend 01'!G64),0)+IF(AND(('V06 Calend 01'!E64&gt;0),(165&gt;'V06 Calend 01'!C64),(165&lt;'V06 Calend 01'!D64),(MOD((165-'V06 Calend 01'!C64),6)=0),(((165-'V06 Calend 01'!C64)/6)&lt;='V06 Calend 01'!E64)),IF((165=('V06 Calend 01'!C64+(6*'V06 Calend 01'!E64))),('V06 Calend 01'!H64-('V06 Calend 01'!I64*('V06 Calend 01'!E64-1))),'V06 Calend 01'!I64),0))+IF((165='V06 Calend 01'!D64),'V06 Calend 01'!J64,0))</f>
        <v>0</v>
      </c>
      <c r="FV64" s="2">
        <f>((IF((166='V06 Calend 01'!C64),('V06 Calend 01'!F64+'V06 Calend 01'!G64),0)+IF(AND(('V06 Calend 01'!E64&gt;0),(166&gt;'V06 Calend 01'!C64),(166&lt;'V06 Calend 01'!D64),(MOD((166-'V06 Calend 01'!C64),6)=0),(((166-'V06 Calend 01'!C64)/6)&lt;='V06 Calend 01'!E64)),IF((166=('V06 Calend 01'!C64+(6*'V06 Calend 01'!E64))),('V06 Calend 01'!H64-('V06 Calend 01'!I64*('V06 Calend 01'!E64-1))),'V06 Calend 01'!I64),0))+IF((166='V06 Calend 01'!D64),'V06 Calend 01'!J64,0))</f>
        <v>0</v>
      </c>
      <c r="FW64" s="2">
        <f>((IF((167='V06 Calend 01'!C64),('V06 Calend 01'!F64+'V06 Calend 01'!G64),0)+IF(AND(('V06 Calend 01'!E64&gt;0),(167&gt;'V06 Calend 01'!C64),(167&lt;'V06 Calend 01'!D64),(MOD((167-'V06 Calend 01'!C64),6)=0),(((167-'V06 Calend 01'!C64)/6)&lt;='V06 Calend 01'!E64)),IF((167=('V06 Calend 01'!C64+(6*'V06 Calend 01'!E64))),('V06 Calend 01'!H64-('V06 Calend 01'!I64*('V06 Calend 01'!E64-1))),'V06 Calend 01'!I64),0))+IF((167='V06 Calend 01'!D64),'V06 Calend 01'!J64,0))</f>
        <v>0</v>
      </c>
      <c r="FX64" s="2">
        <f>((IF((168='V06 Calend 01'!C64),('V06 Calend 01'!F64+'V06 Calend 01'!G64),0)+IF(AND(('V06 Calend 01'!E64&gt;0),(168&gt;'V06 Calend 01'!C64),(168&lt;'V06 Calend 01'!D64),(MOD((168-'V06 Calend 01'!C64),6)=0),(((168-'V06 Calend 01'!C64)/6)&lt;='V06 Calend 01'!E64)),IF((168=('V06 Calend 01'!C64+(6*'V06 Calend 01'!E64))),('V06 Calend 01'!H64-('V06 Calend 01'!I64*('V06 Calend 01'!E64-1))),'V06 Calend 01'!I64),0))+IF((168='V06 Calend 01'!D64),'V06 Calend 01'!J64,0))</f>
        <v>0</v>
      </c>
      <c r="FY64" s="2">
        <f>((IF((169='V06 Calend 01'!C64),('V06 Calend 01'!F64+'V06 Calend 01'!G64),0)+IF(AND(('V06 Calend 01'!E64&gt;0),(169&gt;'V06 Calend 01'!C64),(169&lt;'V06 Calend 01'!D64),(MOD((169-'V06 Calend 01'!C64),6)=0),(((169-'V06 Calend 01'!C64)/6)&lt;='V06 Calend 01'!E64)),IF((169=('V06 Calend 01'!C64+(6*'V06 Calend 01'!E64))),('V06 Calend 01'!H64-('V06 Calend 01'!I64*('V06 Calend 01'!E64-1))),'V06 Calend 01'!I64),0))+IF((169='V06 Calend 01'!D64),'V06 Calend 01'!J64,0))</f>
        <v>0</v>
      </c>
      <c r="FZ64" s="2">
        <f>((IF((170='V06 Calend 01'!C64),('V06 Calend 01'!F64+'V06 Calend 01'!G64),0)+IF(AND(('V06 Calend 01'!E64&gt;0),(170&gt;'V06 Calend 01'!C64),(170&lt;'V06 Calend 01'!D64),(MOD((170-'V06 Calend 01'!C64),6)=0),(((170-'V06 Calend 01'!C64)/6)&lt;='V06 Calend 01'!E64)),IF((170=('V06 Calend 01'!C64+(6*'V06 Calend 01'!E64))),('V06 Calend 01'!H64-('V06 Calend 01'!I64*('V06 Calend 01'!E64-1))),'V06 Calend 01'!I64),0))+IF((170='V06 Calend 01'!D64),'V06 Calend 01'!J64,0))</f>
        <v>0</v>
      </c>
      <c r="GA64" s="2">
        <f>((IF((171='V06 Calend 01'!C64),('V06 Calend 01'!F64+'V06 Calend 01'!G64),0)+IF(AND(('V06 Calend 01'!E64&gt;0),(171&gt;'V06 Calend 01'!C64),(171&lt;'V06 Calend 01'!D64),(MOD((171-'V06 Calend 01'!C64),6)=0),(((171-'V06 Calend 01'!C64)/6)&lt;='V06 Calend 01'!E64)),IF((171=('V06 Calend 01'!C64+(6*'V06 Calend 01'!E64))),('V06 Calend 01'!H64-('V06 Calend 01'!I64*('V06 Calend 01'!E64-1))),'V06 Calend 01'!I64),0))+IF((171='V06 Calend 01'!D64),'V06 Calend 01'!J64,0))</f>
        <v>0</v>
      </c>
      <c r="GB64" s="2">
        <f>((IF((172='V06 Calend 01'!C64),('V06 Calend 01'!F64+'V06 Calend 01'!G64),0)+IF(AND(('V06 Calend 01'!E64&gt;0),(172&gt;'V06 Calend 01'!C64),(172&lt;'V06 Calend 01'!D64),(MOD((172-'V06 Calend 01'!C64),6)=0),(((172-'V06 Calend 01'!C64)/6)&lt;='V06 Calend 01'!E64)),IF((172=('V06 Calend 01'!C64+(6*'V06 Calend 01'!E64))),('V06 Calend 01'!H64-('V06 Calend 01'!I64*('V06 Calend 01'!E64-1))),'V06 Calend 01'!I64),0))+IF((172='V06 Calend 01'!D64),'V06 Calend 01'!J64,0))</f>
        <v>0</v>
      </c>
      <c r="GC64" s="2">
        <f>((IF((173='V06 Calend 01'!C64),('V06 Calend 01'!F64+'V06 Calend 01'!G64),0)+IF(AND(('V06 Calend 01'!E64&gt;0),(173&gt;'V06 Calend 01'!C64),(173&lt;'V06 Calend 01'!D64),(MOD((173-'V06 Calend 01'!C64),6)=0),(((173-'V06 Calend 01'!C64)/6)&lt;='V06 Calend 01'!E64)),IF((173=('V06 Calend 01'!C64+(6*'V06 Calend 01'!E64))),('V06 Calend 01'!H64-('V06 Calend 01'!I64*('V06 Calend 01'!E64-1))),'V06 Calend 01'!I64),0))+IF((173='V06 Calend 01'!D64),'V06 Calend 01'!J64,0))</f>
        <v>0</v>
      </c>
      <c r="GD64" s="2">
        <f>((IF((174='V06 Calend 01'!C64),('V06 Calend 01'!F64+'V06 Calend 01'!G64),0)+IF(AND(('V06 Calend 01'!E64&gt;0),(174&gt;'V06 Calend 01'!C64),(174&lt;'V06 Calend 01'!D64),(MOD((174-'V06 Calend 01'!C64),6)=0),(((174-'V06 Calend 01'!C64)/6)&lt;='V06 Calend 01'!E64)),IF((174=('V06 Calend 01'!C64+(6*'V06 Calend 01'!E64))),('V06 Calend 01'!H64-('V06 Calend 01'!I64*('V06 Calend 01'!E64-1))),'V06 Calend 01'!I64),0))+IF((174='V06 Calend 01'!D64),'V06 Calend 01'!J64,0))</f>
        <v>0</v>
      </c>
      <c r="GE64" s="2">
        <f>((IF((175='V06 Calend 01'!C64),('V06 Calend 01'!F64+'V06 Calend 01'!G64),0)+IF(AND(('V06 Calend 01'!E64&gt;0),(175&gt;'V06 Calend 01'!C64),(175&lt;'V06 Calend 01'!D64),(MOD((175-'V06 Calend 01'!C64),6)=0),(((175-'V06 Calend 01'!C64)/6)&lt;='V06 Calend 01'!E64)),IF((175=('V06 Calend 01'!C64+(6*'V06 Calend 01'!E64))),('V06 Calend 01'!H64-('V06 Calend 01'!I64*('V06 Calend 01'!E64-1))),'V06 Calend 01'!I64),0))+IF((175='V06 Calend 01'!D64),'V06 Calend 01'!J64,0))</f>
        <v>0</v>
      </c>
      <c r="GF64" s="2">
        <f>((IF((176='V06 Calend 01'!C64),('V06 Calend 01'!F64+'V06 Calend 01'!G64),0)+IF(AND(('V06 Calend 01'!E64&gt;0),(176&gt;'V06 Calend 01'!C64),(176&lt;'V06 Calend 01'!D64),(MOD((176-'V06 Calend 01'!C64),6)=0),(((176-'V06 Calend 01'!C64)/6)&lt;='V06 Calend 01'!E64)),IF((176=('V06 Calend 01'!C64+(6*'V06 Calend 01'!E64))),('V06 Calend 01'!H64-('V06 Calend 01'!I64*('V06 Calend 01'!E64-1))),'V06 Calend 01'!I64),0))+IF((176='V06 Calend 01'!D64),'V06 Calend 01'!J64,0))</f>
        <v>0</v>
      </c>
      <c r="GG64" s="2">
        <f>((IF((177='V06 Calend 01'!C64),('V06 Calend 01'!F64+'V06 Calend 01'!G64),0)+IF(AND(('V06 Calend 01'!E64&gt;0),(177&gt;'V06 Calend 01'!C64),(177&lt;'V06 Calend 01'!D64),(MOD((177-'V06 Calend 01'!C64),6)=0),(((177-'V06 Calend 01'!C64)/6)&lt;='V06 Calend 01'!E64)),IF((177=('V06 Calend 01'!C64+(6*'V06 Calend 01'!E64))),('V06 Calend 01'!H64-('V06 Calend 01'!I64*('V06 Calend 01'!E64-1))),'V06 Calend 01'!I64),0))+IF((177='V06 Calend 01'!D64),'V06 Calend 01'!J64,0))</f>
        <v>0</v>
      </c>
      <c r="GH64" s="2">
        <f>((IF((178='V06 Calend 01'!C64),('V06 Calend 01'!F64+'V06 Calend 01'!G64),0)+IF(AND(('V06 Calend 01'!E64&gt;0),(178&gt;'V06 Calend 01'!C64),(178&lt;'V06 Calend 01'!D64),(MOD((178-'V06 Calend 01'!C64),6)=0),(((178-'V06 Calend 01'!C64)/6)&lt;='V06 Calend 01'!E64)),IF((178=('V06 Calend 01'!C64+(6*'V06 Calend 01'!E64))),('V06 Calend 01'!H64-('V06 Calend 01'!I64*('V06 Calend 01'!E64-1))),'V06 Calend 01'!I64),0))+IF((178='V06 Calend 01'!D64),'V06 Calend 01'!J64,0))</f>
        <v>0</v>
      </c>
      <c r="GI64" s="2">
        <f>((IF((179='V06 Calend 01'!C64),('V06 Calend 01'!F64+'V06 Calend 01'!G64),0)+IF(AND(('V06 Calend 01'!E64&gt;0),(179&gt;'V06 Calend 01'!C64),(179&lt;'V06 Calend 01'!D64),(MOD((179-'V06 Calend 01'!C64),6)=0),(((179-'V06 Calend 01'!C64)/6)&lt;='V06 Calend 01'!E64)),IF((179=('V06 Calend 01'!C64+(6*'V06 Calend 01'!E64))),('V06 Calend 01'!H64-('V06 Calend 01'!I64*('V06 Calend 01'!E64-1))),'V06 Calend 01'!I64),0))+IF((179='V06 Calend 01'!D64),'V06 Calend 01'!J64,0))</f>
        <v>0</v>
      </c>
      <c r="GJ64" s="2">
        <f>((IF((180='V06 Calend 01'!C64),('V06 Calend 01'!F64+'V06 Calend 01'!G64),0)+IF(AND(('V06 Calend 01'!E64&gt;0),(180&gt;'V06 Calend 01'!C64),(180&lt;'V06 Calend 01'!D64),(MOD((180-'V06 Calend 01'!C64),6)=0),(((180-'V06 Calend 01'!C64)/6)&lt;='V06 Calend 01'!E64)),IF((180=('V06 Calend 01'!C64+(6*'V06 Calend 01'!E64))),('V06 Calend 01'!H64-('V06 Calend 01'!I64*('V06 Calend 01'!E64-1))),'V06 Calend 01'!I64),0))+IF((180='V06 Calend 01'!D64),'V06 Calend 01'!J64,0))</f>
        <v>0</v>
      </c>
    </row>
    <row r="65" spans="1:192">
      <c r="A65" s="3" t="str">
        <f>'V06 Unidades'!$A$65</f>
        <v>801</v>
      </c>
      <c r="B65" s="2">
        <f>'V06 Unidades'!$H$65</f>
        <v>825872.33</v>
      </c>
      <c r="C65" s="4">
        <f>('V06 Unidades'!$I$65+'V06 Controlos'!$B$37)</f>
        <v>16</v>
      </c>
      <c r="D65" s="4">
        <f>IF(('V06 Controlos'!$B$38&gt;0),MAX(('V06 Unidades'!$L$65+'V06 Controlos'!$B$37),(30+'V06 Controlos'!$B$38)),('V06 Unidades'!$L$65+'V06 Controlos'!$B$37))</f>
        <v>28</v>
      </c>
      <c r="E65" s="4">
        <f>MAX(0,INT(((('V06 Calend 01'!D65-'V06 Calend 01'!C65)-1)/6)))</f>
        <v>1</v>
      </c>
      <c r="F65" s="2">
        <f>ROUND(('V06 Calend 01'!B65*0.05),2)</f>
        <v>41293.62</v>
      </c>
      <c r="G65" s="2">
        <f>ROUND(('V06 Calend 01'!B65*0.2),2)</f>
        <v>165174.47</v>
      </c>
      <c r="H65" s="2">
        <f>ROUND(('V06 Calend 01'!B65*0.55),2)</f>
        <v>454229.78</v>
      </c>
      <c r="I65" s="2">
        <f>ROUND(('V06 Calend 01'!H65/MAX(1,'V06 Calend 01'!E65)),2)</f>
        <v>454229.78</v>
      </c>
      <c r="J65" s="2">
        <f>((('V06 Calend 01'!B65-'V06 Calend 01'!F65)-'V06 Calend 01'!G65)-'V06 Calend 01'!H65)</f>
        <v>165174.45999999996</v>
      </c>
      <c r="K65" s="2">
        <f>('V06 Calend 01'!B65*0.025)</f>
        <v>20646.808250000002</v>
      </c>
      <c r="L65" t="s">
        <v>378</v>
      </c>
      <c r="M65" s="2">
        <f>((IF((1='V06 Calend 01'!C65),('V06 Calend 01'!F65+'V06 Calend 01'!G65),0)+IF(AND(('V06 Calend 01'!E65&gt;0),(1&gt;'V06 Calend 01'!C65),(1&lt;'V06 Calend 01'!D65),(MOD((1-'V06 Calend 01'!C65),6)=0),(((1-'V06 Calend 01'!C65)/6)&lt;='V06 Calend 01'!E65)),IF((1=('V06 Calend 01'!C65+(6*'V06 Calend 01'!E65))),('V06 Calend 01'!H65-('V06 Calend 01'!I65*('V06 Calend 01'!E65-1))),'V06 Calend 01'!I65),0))+IF((1='V06 Calend 01'!D65),'V06 Calend 01'!J65,0))</f>
        <v>0</v>
      </c>
      <c r="N65" s="2">
        <f>((IF((2='V06 Calend 01'!C65),('V06 Calend 01'!F65+'V06 Calend 01'!G65),0)+IF(AND(('V06 Calend 01'!E65&gt;0),(2&gt;'V06 Calend 01'!C65),(2&lt;'V06 Calend 01'!D65),(MOD((2-'V06 Calend 01'!C65),6)=0),(((2-'V06 Calend 01'!C65)/6)&lt;='V06 Calend 01'!E65)),IF((2=('V06 Calend 01'!C65+(6*'V06 Calend 01'!E65))),('V06 Calend 01'!H65-('V06 Calend 01'!I65*('V06 Calend 01'!E65-1))),'V06 Calend 01'!I65),0))+IF((2='V06 Calend 01'!D65),'V06 Calend 01'!J65,0))</f>
        <v>0</v>
      </c>
      <c r="O65" s="2">
        <f>((IF((3='V06 Calend 01'!C65),('V06 Calend 01'!F65+'V06 Calend 01'!G65),0)+IF(AND(('V06 Calend 01'!E65&gt;0),(3&gt;'V06 Calend 01'!C65),(3&lt;'V06 Calend 01'!D65),(MOD((3-'V06 Calend 01'!C65),6)=0),(((3-'V06 Calend 01'!C65)/6)&lt;='V06 Calend 01'!E65)),IF((3=('V06 Calend 01'!C65+(6*'V06 Calend 01'!E65))),('V06 Calend 01'!H65-('V06 Calend 01'!I65*('V06 Calend 01'!E65-1))),'V06 Calend 01'!I65),0))+IF((3='V06 Calend 01'!D65),'V06 Calend 01'!J65,0))</f>
        <v>0</v>
      </c>
      <c r="P65" s="2">
        <f>((IF((4='V06 Calend 01'!C65),('V06 Calend 01'!F65+'V06 Calend 01'!G65),0)+IF(AND(('V06 Calend 01'!E65&gt;0),(4&gt;'V06 Calend 01'!C65),(4&lt;'V06 Calend 01'!D65),(MOD((4-'V06 Calend 01'!C65),6)=0),(((4-'V06 Calend 01'!C65)/6)&lt;='V06 Calend 01'!E65)),IF((4=('V06 Calend 01'!C65+(6*'V06 Calend 01'!E65))),('V06 Calend 01'!H65-('V06 Calend 01'!I65*('V06 Calend 01'!E65-1))),'V06 Calend 01'!I65),0))+IF((4='V06 Calend 01'!D65),'V06 Calend 01'!J65,0))</f>
        <v>0</v>
      </c>
      <c r="Q65" s="2">
        <f>((IF((5='V06 Calend 01'!C65),('V06 Calend 01'!F65+'V06 Calend 01'!G65),0)+IF(AND(('V06 Calend 01'!E65&gt;0),(5&gt;'V06 Calend 01'!C65),(5&lt;'V06 Calend 01'!D65),(MOD((5-'V06 Calend 01'!C65),6)=0),(((5-'V06 Calend 01'!C65)/6)&lt;='V06 Calend 01'!E65)),IF((5=('V06 Calend 01'!C65+(6*'V06 Calend 01'!E65))),('V06 Calend 01'!H65-('V06 Calend 01'!I65*('V06 Calend 01'!E65-1))),'V06 Calend 01'!I65),0))+IF((5='V06 Calend 01'!D65),'V06 Calend 01'!J65,0))</f>
        <v>0</v>
      </c>
      <c r="R65" s="2">
        <f>((IF((6='V06 Calend 01'!C65),('V06 Calend 01'!F65+'V06 Calend 01'!G65),0)+IF(AND(('V06 Calend 01'!E65&gt;0),(6&gt;'V06 Calend 01'!C65),(6&lt;'V06 Calend 01'!D65),(MOD((6-'V06 Calend 01'!C65),6)=0),(((6-'V06 Calend 01'!C65)/6)&lt;='V06 Calend 01'!E65)),IF((6=('V06 Calend 01'!C65+(6*'V06 Calend 01'!E65))),('V06 Calend 01'!H65-('V06 Calend 01'!I65*('V06 Calend 01'!E65-1))),'V06 Calend 01'!I65),0))+IF((6='V06 Calend 01'!D65),'V06 Calend 01'!J65,0))</f>
        <v>0</v>
      </c>
      <c r="S65" s="2">
        <f>((IF((7='V06 Calend 01'!C65),('V06 Calend 01'!F65+'V06 Calend 01'!G65),0)+IF(AND(('V06 Calend 01'!E65&gt;0),(7&gt;'V06 Calend 01'!C65),(7&lt;'V06 Calend 01'!D65),(MOD((7-'V06 Calend 01'!C65),6)=0),(((7-'V06 Calend 01'!C65)/6)&lt;='V06 Calend 01'!E65)),IF((7=('V06 Calend 01'!C65+(6*'V06 Calend 01'!E65))),('V06 Calend 01'!H65-('V06 Calend 01'!I65*('V06 Calend 01'!E65-1))),'V06 Calend 01'!I65),0))+IF((7='V06 Calend 01'!D65),'V06 Calend 01'!J65,0))</f>
        <v>0</v>
      </c>
      <c r="T65" s="2">
        <f>((IF((8='V06 Calend 01'!C65),('V06 Calend 01'!F65+'V06 Calend 01'!G65),0)+IF(AND(('V06 Calend 01'!E65&gt;0),(8&gt;'V06 Calend 01'!C65),(8&lt;'V06 Calend 01'!D65),(MOD((8-'V06 Calend 01'!C65),6)=0),(((8-'V06 Calend 01'!C65)/6)&lt;='V06 Calend 01'!E65)),IF((8=('V06 Calend 01'!C65+(6*'V06 Calend 01'!E65))),('V06 Calend 01'!H65-('V06 Calend 01'!I65*('V06 Calend 01'!E65-1))),'V06 Calend 01'!I65),0))+IF((8='V06 Calend 01'!D65),'V06 Calend 01'!J65,0))</f>
        <v>0</v>
      </c>
      <c r="U65" s="2">
        <f>((IF((9='V06 Calend 01'!C65),('V06 Calend 01'!F65+'V06 Calend 01'!G65),0)+IF(AND(('V06 Calend 01'!E65&gt;0),(9&gt;'V06 Calend 01'!C65),(9&lt;'V06 Calend 01'!D65),(MOD((9-'V06 Calend 01'!C65),6)=0),(((9-'V06 Calend 01'!C65)/6)&lt;='V06 Calend 01'!E65)),IF((9=('V06 Calend 01'!C65+(6*'V06 Calend 01'!E65))),('V06 Calend 01'!H65-('V06 Calend 01'!I65*('V06 Calend 01'!E65-1))),'V06 Calend 01'!I65),0))+IF((9='V06 Calend 01'!D65),'V06 Calend 01'!J65,0))</f>
        <v>0</v>
      </c>
      <c r="V65" s="2">
        <f>((IF((10='V06 Calend 01'!C65),('V06 Calend 01'!F65+'V06 Calend 01'!G65),0)+IF(AND(('V06 Calend 01'!E65&gt;0),(10&gt;'V06 Calend 01'!C65),(10&lt;'V06 Calend 01'!D65),(MOD((10-'V06 Calend 01'!C65),6)=0),(((10-'V06 Calend 01'!C65)/6)&lt;='V06 Calend 01'!E65)),IF((10=('V06 Calend 01'!C65+(6*'V06 Calend 01'!E65))),('V06 Calend 01'!H65-('V06 Calend 01'!I65*('V06 Calend 01'!E65-1))),'V06 Calend 01'!I65),0))+IF((10='V06 Calend 01'!D65),'V06 Calend 01'!J65,0))</f>
        <v>0</v>
      </c>
      <c r="W65" s="2">
        <f>((IF((11='V06 Calend 01'!C65),('V06 Calend 01'!F65+'V06 Calend 01'!G65),0)+IF(AND(('V06 Calend 01'!E65&gt;0),(11&gt;'V06 Calend 01'!C65),(11&lt;'V06 Calend 01'!D65),(MOD((11-'V06 Calend 01'!C65),6)=0),(((11-'V06 Calend 01'!C65)/6)&lt;='V06 Calend 01'!E65)),IF((11=('V06 Calend 01'!C65+(6*'V06 Calend 01'!E65))),('V06 Calend 01'!H65-('V06 Calend 01'!I65*('V06 Calend 01'!E65-1))),'V06 Calend 01'!I65),0))+IF((11='V06 Calend 01'!D65),'V06 Calend 01'!J65,0))</f>
        <v>0</v>
      </c>
      <c r="X65" s="2">
        <f>((IF((12='V06 Calend 01'!C65),('V06 Calend 01'!F65+'V06 Calend 01'!G65),0)+IF(AND(('V06 Calend 01'!E65&gt;0),(12&gt;'V06 Calend 01'!C65),(12&lt;'V06 Calend 01'!D65),(MOD((12-'V06 Calend 01'!C65),6)=0),(((12-'V06 Calend 01'!C65)/6)&lt;='V06 Calend 01'!E65)),IF((12=('V06 Calend 01'!C65+(6*'V06 Calend 01'!E65))),('V06 Calend 01'!H65-('V06 Calend 01'!I65*('V06 Calend 01'!E65-1))),'V06 Calend 01'!I65),0))+IF((12='V06 Calend 01'!D65),'V06 Calend 01'!J65,0))</f>
        <v>0</v>
      </c>
      <c r="Y65" s="2">
        <f>((IF((13='V06 Calend 01'!C65),('V06 Calend 01'!F65+'V06 Calend 01'!G65),0)+IF(AND(('V06 Calend 01'!E65&gt;0),(13&gt;'V06 Calend 01'!C65),(13&lt;'V06 Calend 01'!D65),(MOD((13-'V06 Calend 01'!C65),6)=0),(((13-'V06 Calend 01'!C65)/6)&lt;='V06 Calend 01'!E65)),IF((13=('V06 Calend 01'!C65+(6*'V06 Calend 01'!E65))),('V06 Calend 01'!H65-('V06 Calend 01'!I65*('V06 Calend 01'!E65-1))),'V06 Calend 01'!I65),0))+IF((13='V06 Calend 01'!D65),'V06 Calend 01'!J65,0))</f>
        <v>0</v>
      </c>
      <c r="Z65" s="2">
        <f>((IF((14='V06 Calend 01'!C65),('V06 Calend 01'!F65+'V06 Calend 01'!G65),0)+IF(AND(('V06 Calend 01'!E65&gt;0),(14&gt;'V06 Calend 01'!C65),(14&lt;'V06 Calend 01'!D65),(MOD((14-'V06 Calend 01'!C65),6)=0),(((14-'V06 Calend 01'!C65)/6)&lt;='V06 Calend 01'!E65)),IF((14=('V06 Calend 01'!C65+(6*'V06 Calend 01'!E65))),('V06 Calend 01'!H65-('V06 Calend 01'!I65*('V06 Calend 01'!E65-1))),'V06 Calend 01'!I65),0))+IF((14='V06 Calend 01'!D65),'V06 Calend 01'!J65,0))</f>
        <v>0</v>
      </c>
      <c r="AA65" s="2">
        <f>((IF((15='V06 Calend 01'!C65),('V06 Calend 01'!F65+'V06 Calend 01'!G65),0)+IF(AND(('V06 Calend 01'!E65&gt;0),(15&gt;'V06 Calend 01'!C65),(15&lt;'V06 Calend 01'!D65),(MOD((15-'V06 Calend 01'!C65),6)=0),(((15-'V06 Calend 01'!C65)/6)&lt;='V06 Calend 01'!E65)),IF((15=('V06 Calend 01'!C65+(6*'V06 Calend 01'!E65))),('V06 Calend 01'!H65-('V06 Calend 01'!I65*('V06 Calend 01'!E65-1))),'V06 Calend 01'!I65),0))+IF((15='V06 Calend 01'!D65),'V06 Calend 01'!J65,0))</f>
        <v>0</v>
      </c>
      <c r="AB65" s="2">
        <f>((IF((16='V06 Calend 01'!C65),('V06 Calend 01'!F65+'V06 Calend 01'!G65),0)+IF(AND(('V06 Calend 01'!E65&gt;0),(16&gt;'V06 Calend 01'!C65),(16&lt;'V06 Calend 01'!D65),(MOD((16-'V06 Calend 01'!C65),6)=0),(((16-'V06 Calend 01'!C65)/6)&lt;='V06 Calend 01'!E65)),IF((16=('V06 Calend 01'!C65+(6*'V06 Calend 01'!E65))),('V06 Calend 01'!H65-('V06 Calend 01'!I65*('V06 Calend 01'!E65-1))),'V06 Calend 01'!I65),0))+IF((16='V06 Calend 01'!D65),'V06 Calend 01'!J65,0))</f>
        <v>206468.09</v>
      </c>
      <c r="AC65" s="2">
        <f>((IF((17='V06 Calend 01'!C65),('V06 Calend 01'!F65+'V06 Calend 01'!G65),0)+IF(AND(('V06 Calend 01'!E65&gt;0),(17&gt;'V06 Calend 01'!C65),(17&lt;'V06 Calend 01'!D65),(MOD((17-'V06 Calend 01'!C65),6)=0),(((17-'V06 Calend 01'!C65)/6)&lt;='V06 Calend 01'!E65)),IF((17=('V06 Calend 01'!C65+(6*'V06 Calend 01'!E65))),('V06 Calend 01'!H65-('V06 Calend 01'!I65*('V06 Calend 01'!E65-1))),'V06 Calend 01'!I65),0))+IF((17='V06 Calend 01'!D65),'V06 Calend 01'!J65,0))</f>
        <v>0</v>
      </c>
      <c r="AD65" s="2">
        <f>((IF((18='V06 Calend 01'!C65),('V06 Calend 01'!F65+'V06 Calend 01'!G65),0)+IF(AND(('V06 Calend 01'!E65&gt;0),(18&gt;'V06 Calend 01'!C65),(18&lt;'V06 Calend 01'!D65),(MOD((18-'V06 Calend 01'!C65),6)=0),(((18-'V06 Calend 01'!C65)/6)&lt;='V06 Calend 01'!E65)),IF((18=('V06 Calend 01'!C65+(6*'V06 Calend 01'!E65))),('V06 Calend 01'!H65-('V06 Calend 01'!I65*('V06 Calend 01'!E65-1))),'V06 Calend 01'!I65),0))+IF((18='V06 Calend 01'!D65),'V06 Calend 01'!J65,0))</f>
        <v>0</v>
      </c>
      <c r="AE65" s="2">
        <f>((IF((19='V06 Calend 01'!C65),('V06 Calend 01'!F65+'V06 Calend 01'!G65),0)+IF(AND(('V06 Calend 01'!E65&gt;0),(19&gt;'V06 Calend 01'!C65),(19&lt;'V06 Calend 01'!D65),(MOD((19-'V06 Calend 01'!C65),6)=0),(((19-'V06 Calend 01'!C65)/6)&lt;='V06 Calend 01'!E65)),IF((19=('V06 Calend 01'!C65+(6*'V06 Calend 01'!E65))),('V06 Calend 01'!H65-('V06 Calend 01'!I65*('V06 Calend 01'!E65-1))),'V06 Calend 01'!I65),0))+IF((19='V06 Calend 01'!D65),'V06 Calend 01'!J65,0))</f>
        <v>0</v>
      </c>
      <c r="AF65" s="2">
        <f>((IF((20='V06 Calend 01'!C65),('V06 Calend 01'!F65+'V06 Calend 01'!G65),0)+IF(AND(('V06 Calend 01'!E65&gt;0),(20&gt;'V06 Calend 01'!C65),(20&lt;'V06 Calend 01'!D65),(MOD((20-'V06 Calend 01'!C65),6)=0),(((20-'V06 Calend 01'!C65)/6)&lt;='V06 Calend 01'!E65)),IF((20=('V06 Calend 01'!C65+(6*'V06 Calend 01'!E65))),('V06 Calend 01'!H65-('V06 Calend 01'!I65*('V06 Calend 01'!E65-1))),'V06 Calend 01'!I65),0))+IF((20='V06 Calend 01'!D65),'V06 Calend 01'!J65,0))</f>
        <v>0</v>
      </c>
      <c r="AG65" s="2">
        <f>((IF((21='V06 Calend 01'!C65),('V06 Calend 01'!F65+'V06 Calend 01'!G65),0)+IF(AND(('V06 Calend 01'!E65&gt;0),(21&gt;'V06 Calend 01'!C65),(21&lt;'V06 Calend 01'!D65),(MOD((21-'V06 Calend 01'!C65),6)=0),(((21-'V06 Calend 01'!C65)/6)&lt;='V06 Calend 01'!E65)),IF((21=('V06 Calend 01'!C65+(6*'V06 Calend 01'!E65))),('V06 Calend 01'!H65-('V06 Calend 01'!I65*('V06 Calend 01'!E65-1))),'V06 Calend 01'!I65),0))+IF((21='V06 Calend 01'!D65),'V06 Calend 01'!J65,0))</f>
        <v>0</v>
      </c>
      <c r="AH65" s="2">
        <f>((IF((22='V06 Calend 01'!C65),('V06 Calend 01'!F65+'V06 Calend 01'!G65),0)+IF(AND(('V06 Calend 01'!E65&gt;0),(22&gt;'V06 Calend 01'!C65),(22&lt;'V06 Calend 01'!D65),(MOD((22-'V06 Calend 01'!C65),6)=0),(((22-'V06 Calend 01'!C65)/6)&lt;='V06 Calend 01'!E65)),IF((22=('V06 Calend 01'!C65+(6*'V06 Calend 01'!E65))),('V06 Calend 01'!H65-('V06 Calend 01'!I65*('V06 Calend 01'!E65-1))),'V06 Calend 01'!I65),0))+IF((22='V06 Calend 01'!D65),'V06 Calend 01'!J65,0))</f>
        <v>454229.78</v>
      </c>
      <c r="AI65" s="2">
        <f>((IF((23='V06 Calend 01'!C65),('V06 Calend 01'!F65+'V06 Calend 01'!G65),0)+IF(AND(('V06 Calend 01'!E65&gt;0),(23&gt;'V06 Calend 01'!C65),(23&lt;'V06 Calend 01'!D65),(MOD((23-'V06 Calend 01'!C65),6)=0),(((23-'V06 Calend 01'!C65)/6)&lt;='V06 Calend 01'!E65)),IF((23=('V06 Calend 01'!C65+(6*'V06 Calend 01'!E65))),('V06 Calend 01'!H65-('V06 Calend 01'!I65*('V06 Calend 01'!E65-1))),'V06 Calend 01'!I65),0))+IF((23='V06 Calend 01'!D65),'V06 Calend 01'!J65,0))</f>
        <v>0</v>
      </c>
      <c r="AJ65" s="2">
        <f>((IF((24='V06 Calend 01'!C65),('V06 Calend 01'!F65+'V06 Calend 01'!G65),0)+IF(AND(('V06 Calend 01'!E65&gt;0),(24&gt;'V06 Calend 01'!C65),(24&lt;'V06 Calend 01'!D65),(MOD((24-'V06 Calend 01'!C65),6)=0),(((24-'V06 Calend 01'!C65)/6)&lt;='V06 Calend 01'!E65)),IF((24=('V06 Calend 01'!C65+(6*'V06 Calend 01'!E65))),('V06 Calend 01'!H65-('V06 Calend 01'!I65*('V06 Calend 01'!E65-1))),'V06 Calend 01'!I65),0))+IF((24='V06 Calend 01'!D65),'V06 Calend 01'!J65,0))</f>
        <v>0</v>
      </c>
      <c r="AK65" s="2">
        <f>((IF((25='V06 Calend 01'!C65),('V06 Calend 01'!F65+'V06 Calend 01'!G65),0)+IF(AND(('V06 Calend 01'!E65&gt;0),(25&gt;'V06 Calend 01'!C65),(25&lt;'V06 Calend 01'!D65),(MOD((25-'V06 Calend 01'!C65),6)=0),(((25-'V06 Calend 01'!C65)/6)&lt;='V06 Calend 01'!E65)),IF((25=('V06 Calend 01'!C65+(6*'V06 Calend 01'!E65))),('V06 Calend 01'!H65-('V06 Calend 01'!I65*('V06 Calend 01'!E65-1))),'V06 Calend 01'!I65),0))+IF((25='V06 Calend 01'!D65),'V06 Calend 01'!J65,0))</f>
        <v>0</v>
      </c>
      <c r="AL65" s="2">
        <f>((IF((26='V06 Calend 01'!C65),('V06 Calend 01'!F65+'V06 Calend 01'!G65),0)+IF(AND(('V06 Calend 01'!E65&gt;0),(26&gt;'V06 Calend 01'!C65),(26&lt;'V06 Calend 01'!D65),(MOD((26-'V06 Calend 01'!C65),6)=0),(((26-'V06 Calend 01'!C65)/6)&lt;='V06 Calend 01'!E65)),IF((26=('V06 Calend 01'!C65+(6*'V06 Calend 01'!E65))),('V06 Calend 01'!H65-('V06 Calend 01'!I65*('V06 Calend 01'!E65-1))),'V06 Calend 01'!I65),0))+IF((26='V06 Calend 01'!D65),'V06 Calend 01'!J65,0))</f>
        <v>0</v>
      </c>
      <c r="AM65" s="2">
        <f>((IF((27='V06 Calend 01'!C65),('V06 Calend 01'!F65+'V06 Calend 01'!G65),0)+IF(AND(('V06 Calend 01'!E65&gt;0),(27&gt;'V06 Calend 01'!C65),(27&lt;'V06 Calend 01'!D65),(MOD((27-'V06 Calend 01'!C65),6)=0),(((27-'V06 Calend 01'!C65)/6)&lt;='V06 Calend 01'!E65)),IF((27=('V06 Calend 01'!C65+(6*'V06 Calend 01'!E65))),('V06 Calend 01'!H65-('V06 Calend 01'!I65*('V06 Calend 01'!E65-1))),'V06 Calend 01'!I65),0))+IF((27='V06 Calend 01'!D65),'V06 Calend 01'!J65,0))</f>
        <v>0</v>
      </c>
      <c r="AN65" s="2">
        <f>((IF((28='V06 Calend 01'!C65),('V06 Calend 01'!F65+'V06 Calend 01'!G65),0)+IF(AND(('V06 Calend 01'!E65&gt;0),(28&gt;'V06 Calend 01'!C65),(28&lt;'V06 Calend 01'!D65),(MOD((28-'V06 Calend 01'!C65),6)=0),(((28-'V06 Calend 01'!C65)/6)&lt;='V06 Calend 01'!E65)),IF((28=('V06 Calend 01'!C65+(6*'V06 Calend 01'!E65))),('V06 Calend 01'!H65-('V06 Calend 01'!I65*('V06 Calend 01'!E65-1))),'V06 Calend 01'!I65),0))+IF((28='V06 Calend 01'!D65),'V06 Calend 01'!J65,0))</f>
        <v>165174.45999999996</v>
      </c>
      <c r="AO65" s="2">
        <f>((IF((29='V06 Calend 01'!C65),('V06 Calend 01'!F65+'V06 Calend 01'!G65),0)+IF(AND(('V06 Calend 01'!E65&gt;0),(29&gt;'V06 Calend 01'!C65),(29&lt;'V06 Calend 01'!D65),(MOD((29-'V06 Calend 01'!C65),6)=0),(((29-'V06 Calend 01'!C65)/6)&lt;='V06 Calend 01'!E65)),IF((29=('V06 Calend 01'!C65+(6*'V06 Calend 01'!E65))),('V06 Calend 01'!H65-('V06 Calend 01'!I65*('V06 Calend 01'!E65-1))),'V06 Calend 01'!I65),0))+IF((29='V06 Calend 01'!D65),'V06 Calend 01'!J65,0))</f>
        <v>0</v>
      </c>
      <c r="AP65" s="2">
        <f>((IF((30='V06 Calend 01'!C65),('V06 Calend 01'!F65+'V06 Calend 01'!G65),0)+IF(AND(('V06 Calend 01'!E65&gt;0),(30&gt;'V06 Calend 01'!C65),(30&lt;'V06 Calend 01'!D65),(MOD((30-'V06 Calend 01'!C65),6)=0),(((30-'V06 Calend 01'!C65)/6)&lt;='V06 Calend 01'!E65)),IF((30=('V06 Calend 01'!C65+(6*'V06 Calend 01'!E65))),('V06 Calend 01'!H65-('V06 Calend 01'!I65*('V06 Calend 01'!E65-1))),'V06 Calend 01'!I65),0))+IF((30='V06 Calend 01'!D65),'V06 Calend 01'!J65,0))</f>
        <v>0</v>
      </c>
      <c r="AQ65" s="2">
        <f>((IF((31='V06 Calend 01'!C65),('V06 Calend 01'!F65+'V06 Calend 01'!G65),0)+IF(AND(('V06 Calend 01'!E65&gt;0),(31&gt;'V06 Calend 01'!C65),(31&lt;'V06 Calend 01'!D65),(MOD((31-'V06 Calend 01'!C65),6)=0),(((31-'V06 Calend 01'!C65)/6)&lt;='V06 Calend 01'!E65)),IF((31=('V06 Calend 01'!C65+(6*'V06 Calend 01'!E65))),('V06 Calend 01'!H65-('V06 Calend 01'!I65*('V06 Calend 01'!E65-1))),'V06 Calend 01'!I65),0))+IF((31='V06 Calend 01'!D65),'V06 Calend 01'!J65,0))</f>
        <v>0</v>
      </c>
      <c r="AR65" s="2">
        <f>((IF((32='V06 Calend 01'!C65),('V06 Calend 01'!F65+'V06 Calend 01'!G65),0)+IF(AND(('V06 Calend 01'!E65&gt;0),(32&gt;'V06 Calend 01'!C65),(32&lt;'V06 Calend 01'!D65),(MOD((32-'V06 Calend 01'!C65),6)=0),(((32-'V06 Calend 01'!C65)/6)&lt;='V06 Calend 01'!E65)),IF((32=('V06 Calend 01'!C65+(6*'V06 Calend 01'!E65))),('V06 Calend 01'!H65-('V06 Calend 01'!I65*('V06 Calend 01'!E65-1))),'V06 Calend 01'!I65),0))+IF((32='V06 Calend 01'!D65),'V06 Calend 01'!J65,0))</f>
        <v>0</v>
      </c>
      <c r="AS65" s="2">
        <f>((IF((33='V06 Calend 01'!C65),('V06 Calend 01'!F65+'V06 Calend 01'!G65),0)+IF(AND(('V06 Calend 01'!E65&gt;0),(33&gt;'V06 Calend 01'!C65),(33&lt;'V06 Calend 01'!D65),(MOD((33-'V06 Calend 01'!C65),6)=0),(((33-'V06 Calend 01'!C65)/6)&lt;='V06 Calend 01'!E65)),IF((33=('V06 Calend 01'!C65+(6*'V06 Calend 01'!E65))),('V06 Calend 01'!H65-('V06 Calend 01'!I65*('V06 Calend 01'!E65-1))),'V06 Calend 01'!I65),0))+IF((33='V06 Calend 01'!D65),'V06 Calend 01'!J65,0))</f>
        <v>0</v>
      </c>
      <c r="AT65" s="2">
        <f>((IF((34='V06 Calend 01'!C65),('V06 Calend 01'!F65+'V06 Calend 01'!G65),0)+IF(AND(('V06 Calend 01'!E65&gt;0),(34&gt;'V06 Calend 01'!C65),(34&lt;'V06 Calend 01'!D65),(MOD((34-'V06 Calend 01'!C65),6)=0),(((34-'V06 Calend 01'!C65)/6)&lt;='V06 Calend 01'!E65)),IF((34=('V06 Calend 01'!C65+(6*'V06 Calend 01'!E65))),('V06 Calend 01'!H65-('V06 Calend 01'!I65*('V06 Calend 01'!E65-1))),'V06 Calend 01'!I65),0))+IF((34='V06 Calend 01'!D65),'V06 Calend 01'!J65,0))</f>
        <v>0</v>
      </c>
      <c r="AU65" s="2">
        <f>((IF((35='V06 Calend 01'!C65),('V06 Calend 01'!F65+'V06 Calend 01'!G65),0)+IF(AND(('V06 Calend 01'!E65&gt;0),(35&gt;'V06 Calend 01'!C65),(35&lt;'V06 Calend 01'!D65),(MOD((35-'V06 Calend 01'!C65),6)=0),(((35-'V06 Calend 01'!C65)/6)&lt;='V06 Calend 01'!E65)),IF((35=('V06 Calend 01'!C65+(6*'V06 Calend 01'!E65))),('V06 Calend 01'!H65-('V06 Calend 01'!I65*('V06 Calend 01'!E65-1))),'V06 Calend 01'!I65),0))+IF((35='V06 Calend 01'!D65),'V06 Calend 01'!J65,0))</f>
        <v>0</v>
      </c>
      <c r="AV65" s="2">
        <f>((IF((36='V06 Calend 01'!C65),('V06 Calend 01'!F65+'V06 Calend 01'!G65),0)+IF(AND(('V06 Calend 01'!E65&gt;0),(36&gt;'V06 Calend 01'!C65),(36&lt;'V06 Calend 01'!D65),(MOD((36-'V06 Calend 01'!C65),6)=0),(((36-'V06 Calend 01'!C65)/6)&lt;='V06 Calend 01'!E65)),IF((36=('V06 Calend 01'!C65+(6*'V06 Calend 01'!E65))),('V06 Calend 01'!H65-('V06 Calend 01'!I65*('V06 Calend 01'!E65-1))),'V06 Calend 01'!I65),0))+IF((36='V06 Calend 01'!D65),'V06 Calend 01'!J65,0))</f>
        <v>0</v>
      </c>
      <c r="AW65" s="2">
        <f>((IF((37='V06 Calend 01'!C65),('V06 Calend 01'!F65+'V06 Calend 01'!G65),0)+IF(AND(('V06 Calend 01'!E65&gt;0),(37&gt;'V06 Calend 01'!C65),(37&lt;'V06 Calend 01'!D65),(MOD((37-'V06 Calend 01'!C65),6)=0),(((37-'V06 Calend 01'!C65)/6)&lt;='V06 Calend 01'!E65)),IF((37=('V06 Calend 01'!C65+(6*'V06 Calend 01'!E65))),('V06 Calend 01'!H65-('V06 Calend 01'!I65*('V06 Calend 01'!E65-1))),'V06 Calend 01'!I65),0))+IF((37='V06 Calend 01'!D65),'V06 Calend 01'!J65,0))</f>
        <v>0</v>
      </c>
      <c r="AX65" s="2">
        <f>((IF((38='V06 Calend 01'!C65),('V06 Calend 01'!F65+'V06 Calend 01'!G65),0)+IF(AND(('V06 Calend 01'!E65&gt;0),(38&gt;'V06 Calend 01'!C65),(38&lt;'V06 Calend 01'!D65),(MOD((38-'V06 Calend 01'!C65),6)=0),(((38-'V06 Calend 01'!C65)/6)&lt;='V06 Calend 01'!E65)),IF((38=('V06 Calend 01'!C65+(6*'V06 Calend 01'!E65))),('V06 Calend 01'!H65-('V06 Calend 01'!I65*('V06 Calend 01'!E65-1))),'V06 Calend 01'!I65),0))+IF((38='V06 Calend 01'!D65),'V06 Calend 01'!J65,0))</f>
        <v>0</v>
      </c>
      <c r="AY65" s="2">
        <f>((IF((39='V06 Calend 01'!C65),('V06 Calend 01'!F65+'V06 Calend 01'!G65),0)+IF(AND(('V06 Calend 01'!E65&gt;0),(39&gt;'V06 Calend 01'!C65),(39&lt;'V06 Calend 01'!D65),(MOD((39-'V06 Calend 01'!C65),6)=0),(((39-'V06 Calend 01'!C65)/6)&lt;='V06 Calend 01'!E65)),IF((39=('V06 Calend 01'!C65+(6*'V06 Calend 01'!E65))),('V06 Calend 01'!H65-('V06 Calend 01'!I65*('V06 Calend 01'!E65-1))),'V06 Calend 01'!I65),0))+IF((39='V06 Calend 01'!D65),'V06 Calend 01'!J65,0))</f>
        <v>0</v>
      </c>
      <c r="AZ65" s="2">
        <f>((IF((40='V06 Calend 01'!C65),('V06 Calend 01'!F65+'V06 Calend 01'!G65),0)+IF(AND(('V06 Calend 01'!E65&gt;0),(40&gt;'V06 Calend 01'!C65),(40&lt;'V06 Calend 01'!D65),(MOD((40-'V06 Calend 01'!C65),6)=0),(((40-'V06 Calend 01'!C65)/6)&lt;='V06 Calend 01'!E65)),IF((40=('V06 Calend 01'!C65+(6*'V06 Calend 01'!E65))),('V06 Calend 01'!H65-('V06 Calend 01'!I65*('V06 Calend 01'!E65-1))),'V06 Calend 01'!I65),0))+IF((40='V06 Calend 01'!D65),'V06 Calend 01'!J65,0))</f>
        <v>0</v>
      </c>
      <c r="BA65" s="2">
        <f>((IF((41='V06 Calend 01'!C65),('V06 Calend 01'!F65+'V06 Calend 01'!G65),0)+IF(AND(('V06 Calend 01'!E65&gt;0),(41&gt;'V06 Calend 01'!C65),(41&lt;'V06 Calend 01'!D65),(MOD((41-'V06 Calend 01'!C65),6)=0),(((41-'V06 Calend 01'!C65)/6)&lt;='V06 Calend 01'!E65)),IF((41=('V06 Calend 01'!C65+(6*'V06 Calend 01'!E65))),('V06 Calend 01'!H65-('V06 Calend 01'!I65*('V06 Calend 01'!E65-1))),'V06 Calend 01'!I65),0))+IF((41='V06 Calend 01'!D65),'V06 Calend 01'!J65,0))</f>
        <v>0</v>
      </c>
      <c r="BB65" s="2">
        <f>((IF((42='V06 Calend 01'!C65),('V06 Calend 01'!F65+'V06 Calend 01'!G65),0)+IF(AND(('V06 Calend 01'!E65&gt;0),(42&gt;'V06 Calend 01'!C65),(42&lt;'V06 Calend 01'!D65),(MOD((42-'V06 Calend 01'!C65),6)=0),(((42-'V06 Calend 01'!C65)/6)&lt;='V06 Calend 01'!E65)),IF((42=('V06 Calend 01'!C65+(6*'V06 Calend 01'!E65))),('V06 Calend 01'!H65-('V06 Calend 01'!I65*('V06 Calend 01'!E65-1))),'V06 Calend 01'!I65),0))+IF((42='V06 Calend 01'!D65),'V06 Calend 01'!J65,0))</f>
        <v>0</v>
      </c>
      <c r="BC65" s="2">
        <f>((IF((43='V06 Calend 01'!C65),('V06 Calend 01'!F65+'V06 Calend 01'!G65),0)+IF(AND(('V06 Calend 01'!E65&gt;0),(43&gt;'V06 Calend 01'!C65),(43&lt;'V06 Calend 01'!D65),(MOD((43-'V06 Calend 01'!C65),6)=0),(((43-'V06 Calend 01'!C65)/6)&lt;='V06 Calend 01'!E65)),IF((43=('V06 Calend 01'!C65+(6*'V06 Calend 01'!E65))),('V06 Calend 01'!H65-('V06 Calend 01'!I65*('V06 Calend 01'!E65-1))),'V06 Calend 01'!I65),0))+IF((43='V06 Calend 01'!D65),'V06 Calend 01'!J65,0))</f>
        <v>0</v>
      </c>
      <c r="BD65" s="2">
        <f>((IF((44='V06 Calend 01'!C65),('V06 Calend 01'!F65+'V06 Calend 01'!G65),0)+IF(AND(('V06 Calend 01'!E65&gt;0),(44&gt;'V06 Calend 01'!C65),(44&lt;'V06 Calend 01'!D65),(MOD((44-'V06 Calend 01'!C65),6)=0),(((44-'V06 Calend 01'!C65)/6)&lt;='V06 Calend 01'!E65)),IF((44=('V06 Calend 01'!C65+(6*'V06 Calend 01'!E65))),('V06 Calend 01'!H65-('V06 Calend 01'!I65*('V06 Calend 01'!E65-1))),'V06 Calend 01'!I65),0))+IF((44='V06 Calend 01'!D65),'V06 Calend 01'!J65,0))</f>
        <v>0</v>
      </c>
      <c r="BE65" s="2">
        <f>((IF((45='V06 Calend 01'!C65),('V06 Calend 01'!F65+'V06 Calend 01'!G65),0)+IF(AND(('V06 Calend 01'!E65&gt;0),(45&gt;'V06 Calend 01'!C65),(45&lt;'V06 Calend 01'!D65),(MOD((45-'V06 Calend 01'!C65),6)=0),(((45-'V06 Calend 01'!C65)/6)&lt;='V06 Calend 01'!E65)),IF((45=('V06 Calend 01'!C65+(6*'V06 Calend 01'!E65))),('V06 Calend 01'!H65-('V06 Calend 01'!I65*('V06 Calend 01'!E65-1))),'V06 Calend 01'!I65),0))+IF((45='V06 Calend 01'!D65),'V06 Calend 01'!J65,0))</f>
        <v>0</v>
      </c>
      <c r="BF65" s="2">
        <f>((IF((46='V06 Calend 01'!C65),('V06 Calend 01'!F65+'V06 Calend 01'!G65),0)+IF(AND(('V06 Calend 01'!E65&gt;0),(46&gt;'V06 Calend 01'!C65),(46&lt;'V06 Calend 01'!D65),(MOD((46-'V06 Calend 01'!C65),6)=0),(((46-'V06 Calend 01'!C65)/6)&lt;='V06 Calend 01'!E65)),IF((46=('V06 Calend 01'!C65+(6*'V06 Calend 01'!E65))),('V06 Calend 01'!H65-('V06 Calend 01'!I65*('V06 Calend 01'!E65-1))),'V06 Calend 01'!I65),0))+IF((46='V06 Calend 01'!D65),'V06 Calend 01'!J65,0))</f>
        <v>0</v>
      </c>
      <c r="BG65" s="2">
        <f>((IF((47='V06 Calend 01'!C65),('V06 Calend 01'!F65+'V06 Calend 01'!G65),0)+IF(AND(('V06 Calend 01'!E65&gt;0),(47&gt;'V06 Calend 01'!C65),(47&lt;'V06 Calend 01'!D65),(MOD((47-'V06 Calend 01'!C65),6)=0),(((47-'V06 Calend 01'!C65)/6)&lt;='V06 Calend 01'!E65)),IF((47=('V06 Calend 01'!C65+(6*'V06 Calend 01'!E65))),('V06 Calend 01'!H65-('V06 Calend 01'!I65*('V06 Calend 01'!E65-1))),'V06 Calend 01'!I65),0))+IF((47='V06 Calend 01'!D65),'V06 Calend 01'!J65,0))</f>
        <v>0</v>
      </c>
      <c r="BH65" s="2">
        <f>((IF((48='V06 Calend 01'!C65),('V06 Calend 01'!F65+'V06 Calend 01'!G65),0)+IF(AND(('V06 Calend 01'!E65&gt;0),(48&gt;'V06 Calend 01'!C65),(48&lt;'V06 Calend 01'!D65),(MOD((48-'V06 Calend 01'!C65),6)=0),(((48-'V06 Calend 01'!C65)/6)&lt;='V06 Calend 01'!E65)),IF((48=('V06 Calend 01'!C65+(6*'V06 Calend 01'!E65))),('V06 Calend 01'!H65-('V06 Calend 01'!I65*('V06 Calend 01'!E65-1))),'V06 Calend 01'!I65),0))+IF((48='V06 Calend 01'!D65),'V06 Calend 01'!J65,0))</f>
        <v>0</v>
      </c>
      <c r="BI65" s="2">
        <f>((IF((49='V06 Calend 01'!C65),('V06 Calend 01'!F65+'V06 Calend 01'!G65),0)+IF(AND(('V06 Calend 01'!E65&gt;0),(49&gt;'V06 Calend 01'!C65),(49&lt;'V06 Calend 01'!D65),(MOD((49-'V06 Calend 01'!C65),6)=0),(((49-'V06 Calend 01'!C65)/6)&lt;='V06 Calend 01'!E65)),IF((49=('V06 Calend 01'!C65+(6*'V06 Calend 01'!E65))),('V06 Calend 01'!H65-('V06 Calend 01'!I65*('V06 Calend 01'!E65-1))),'V06 Calend 01'!I65),0))+IF((49='V06 Calend 01'!D65),'V06 Calend 01'!J65,0))</f>
        <v>0</v>
      </c>
      <c r="BJ65" s="2">
        <f>((IF((50='V06 Calend 01'!C65),('V06 Calend 01'!F65+'V06 Calend 01'!G65),0)+IF(AND(('V06 Calend 01'!E65&gt;0),(50&gt;'V06 Calend 01'!C65),(50&lt;'V06 Calend 01'!D65),(MOD((50-'V06 Calend 01'!C65),6)=0),(((50-'V06 Calend 01'!C65)/6)&lt;='V06 Calend 01'!E65)),IF((50=('V06 Calend 01'!C65+(6*'V06 Calend 01'!E65))),('V06 Calend 01'!H65-('V06 Calend 01'!I65*('V06 Calend 01'!E65-1))),'V06 Calend 01'!I65),0))+IF((50='V06 Calend 01'!D65),'V06 Calend 01'!J65,0))</f>
        <v>0</v>
      </c>
      <c r="BK65" s="2">
        <f>((IF((51='V06 Calend 01'!C65),('V06 Calend 01'!F65+'V06 Calend 01'!G65),0)+IF(AND(('V06 Calend 01'!E65&gt;0),(51&gt;'V06 Calend 01'!C65),(51&lt;'V06 Calend 01'!D65),(MOD((51-'V06 Calend 01'!C65),6)=0),(((51-'V06 Calend 01'!C65)/6)&lt;='V06 Calend 01'!E65)),IF((51=('V06 Calend 01'!C65+(6*'V06 Calend 01'!E65))),('V06 Calend 01'!H65-('V06 Calend 01'!I65*('V06 Calend 01'!E65-1))),'V06 Calend 01'!I65),0))+IF((51='V06 Calend 01'!D65),'V06 Calend 01'!J65,0))</f>
        <v>0</v>
      </c>
      <c r="BL65" s="2">
        <f>((IF((52='V06 Calend 01'!C65),('V06 Calend 01'!F65+'V06 Calend 01'!G65),0)+IF(AND(('V06 Calend 01'!E65&gt;0),(52&gt;'V06 Calend 01'!C65),(52&lt;'V06 Calend 01'!D65),(MOD((52-'V06 Calend 01'!C65),6)=0),(((52-'V06 Calend 01'!C65)/6)&lt;='V06 Calend 01'!E65)),IF((52=('V06 Calend 01'!C65+(6*'V06 Calend 01'!E65))),('V06 Calend 01'!H65-('V06 Calend 01'!I65*('V06 Calend 01'!E65-1))),'V06 Calend 01'!I65),0))+IF((52='V06 Calend 01'!D65),'V06 Calend 01'!J65,0))</f>
        <v>0</v>
      </c>
      <c r="BM65" s="2">
        <f>((IF((53='V06 Calend 01'!C65),('V06 Calend 01'!F65+'V06 Calend 01'!G65),0)+IF(AND(('V06 Calend 01'!E65&gt;0),(53&gt;'V06 Calend 01'!C65),(53&lt;'V06 Calend 01'!D65),(MOD((53-'V06 Calend 01'!C65),6)=0),(((53-'V06 Calend 01'!C65)/6)&lt;='V06 Calend 01'!E65)),IF((53=('V06 Calend 01'!C65+(6*'V06 Calend 01'!E65))),('V06 Calend 01'!H65-('V06 Calend 01'!I65*('V06 Calend 01'!E65-1))),'V06 Calend 01'!I65),0))+IF((53='V06 Calend 01'!D65),'V06 Calend 01'!J65,0))</f>
        <v>0</v>
      </c>
      <c r="BN65" s="2">
        <f>((IF((54='V06 Calend 01'!C65),('V06 Calend 01'!F65+'V06 Calend 01'!G65),0)+IF(AND(('V06 Calend 01'!E65&gt;0),(54&gt;'V06 Calend 01'!C65),(54&lt;'V06 Calend 01'!D65),(MOD((54-'V06 Calend 01'!C65),6)=0),(((54-'V06 Calend 01'!C65)/6)&lt;='V06 Calend 01'!E65)),IF((54=('V06 Calend 01'!C65+(6*'V06 Calend 01'!E65))),('V06 Calend 01'!H65-('V06 Calend 01'!I65*('V06 Calend 01'!E65-1))),'V06 Calend 01'!I65),0))+IF((54='V06 Calend 01'!D65),'V06 Calend 01'!J65,0))</f>
        <v>0</v>
      </c>
      <c r="BO65" s="2">
        <f>((IF((55='V06 Calend 01'!C65),('V06 Calend 01'!F65+'V06 Calend 01'!G65),0)+IF(AND(('V06 Calend 01'!E65&gt;0),(55&gt;'V06 Calend 01'!C65),(55&lt;'V06 Calend 01'!D65),(MOD((55-'V06 Calend 01'!C65),6)=0),(((55-'V06 Calend 01'!C65)/6)&lt;='V06 Calend 01'!E65)),IF((55=('V06 Calend 01'!C65+(6*'V06 Calend 01'!E65))),('V06 Calend 01'!H65-('V06 Calend 01'!I65*('V06 Calend 01'!E65-1))),'V06 Calend 01'!I65),0))+IF((55='V06 Calend 01'!D65),'V06 Calend 01'!J65,0))</f>
        <v>0</v>
      </c>
      <c r="BP65" s="2">
        <f>((IF((56='V06 Calend 01'!C65),('V06 Calend 01'!F65+'V06 Calend 01'!G65),0)+IF(AND(('V06 Calend 01'!E65&gt;0),(56&gt;'V06 Calend 01'!C65),(56&lt;'V06 Calend 01'!D65),(MOD((56-'V06 Calend 01'!C65),6)=0),(((56-'V06 Calend 01'!C65)/6)&lt;='V06 Calend 01'!E65)),IF((56=('V06 Calend 01'!C65+(6*'V06 Calend 01'!E65))),('V06 Calend 01'!H65-('V06 Calend 01'!I65*('V06 Calend 01'!E65-1))),'V06 Calend 01'!I65),0))+IF((56='V06 Calend 01'!D65),'V06 Calend 01'!J65,0))</f>
        <v>0</v>
      </c>
      <c r="BQ65" s="2">
        <f>((IF((57='V06 Calend 01'!C65),('V06 Calend 01'!F65+'V06 Calend 01'!G65),0)+IF(AND(('V06 Calend 01'!E65&gt;0),(57&gt;'V06 Calend 01'!C65),(57&lt;'V06 Calend 01'!D65),(MOD((57-'V06 Calend 01'!C65),6)=0),(((57-'V06 Calend 01'!C65)/6)&lt;='V06 Calend 01'!E65)),IF((57=('V06 Calend 01'!C65+(6*'V06 Calend 01'!E65))),('V06 Calend 01'!H65-('V06 Calend 01'!I65*('V06 Calend 01'!E65-1))),'V06 Calend 01'!I65),0))+IF((57='V06 Calend 01'!D65),'V06 Calend 01'!J65,0))</f>
        <v>0</v>
      </c>
      <c r="BR65" s="2">
        <f>((IF((58='V06 Calend 01'!C65),('V06 Calend 01'!F65+'V06 Calend 01'!G65),0)+IF(AND(('V06 Calend 01'!E65&gt;0),(58&gt;'V06 Calend 01'!C65),(58&lt;'V06 Calend 01'!D65),(MOD((58-'V06 Calend 01'!C65),6)=0),(((58-'V06 Calend 01'!C65)/6)&lt;='V06 Calend 01'!E65)),IF((58=('V06 Calend 01'!C65+(6*'V06 Calend 01'!E65))),('V06 Calend 01'!H65-('V06 Calend 01'!I65*('V06 Calend 01'!E65-1))),'V06 Calend 01'!I65),0))+IF((58='V06 Calend 01'!D65),'V06 Calend 01'!J65,0))</f>
        <v>0</v>
      </c>
      <c r="BS65" s="2">
        <f>((IF((59='V06 Calend 01'!C65),('V06 Calend 01'!F65+'V06 Calend 01'!G65),0)+IF(AND(('V06 Calend 01'!E65&gt;0),(59&gt;'V06 Calend 01'!C65),(59&lt;'V06 Calend 01'!D65),(MOD((59-'V06 Calend 01'!C65),6)=0),(((59-'V06 Calend 01'!C65)/6)&lt;='V06 Calend 01'!E65)),IF((59=('V06 Calend 01'!C65+(6*'V06 Calend 01'!E65))),('V06 Calend 01'!H65-('V06 Calend 01'!I65*('V06 Calend 01'!E65-1))),'V06 Calend 01'!I65),0))+IF((59='V06 Calend 01'!D65),'V06 Calend 01'!J65,0))</f>
        <v>0</v>
      </c>
      <c r="BT65" s="2">
        <f>((IF((60='V06 Calend 01'!C65),('V06 Calend 01'!F65+'V06 Calend 01'!G65),0)+IF(AND(('V06 Calend 01'!E65&gt;0),(60&gt;'V06 Calend 01'!C65),(60&lt;'V06 Calend 01'!D65),(MOD((60-'V06 Calend 01'!C65),6)=0),(((60-'V06 Calend 01'!C65)/6)&lt;='V06 Calend 01'!E65)),IF((60=('V06 Calend 01'!C65+(6*'V06 Calend 01'!E65))),('V06 Calend 01'!H65-('V06 Calend 01'!I65*('V06 Calend 01'!E65-1))),'V06 Calend 01'!I65),0))+IF((60='V06 Calend 01'!D65),'V06 Calend 01'!J65,0))</f>
        <v>0</v>
      </c>
      <c r="BU65" s="2">
        <f>((IF((61='V06 Calend 01'!C65),('V06 Calend 01'!F65+'V06 Calend 01'!G65),0)+IF(AND(('V06 Calend 01'!E65&gt;0),(61&gt;'V06 Calend 01'!C65),(61&lt;'V06 Calend 01'!D65),(MOD((61-'V06 Calend 01'!C65),6)=0),(((61-'V06 Calend 01'!C65)/6)&lt;='V06 Calend 01'!E65)),IF((61=('V06 Calend 01'!C65+(6*'V06 Calend 01'!E65))),('V06 Calend 01'!H65-('V06 Calend 01'!I65*('V06 Calend 01'!E65-1))),'V06 Calend 01'!I65),0))+IF((61='V06 Calend 01'!D65),'V06 Calend 01'!J65,0))</f>
        <v>0</v>
      </c>
      <c r="BV65" s="2">
        <f>((IF((62='V06 Calend 01'!C65),('V06 Calend 01'!F65+'V06 Calend 01'!G65),0)+IF(AND(('V06 Calend 01'!E65&gt;0),(62&gt;'V06 Calend 01'!C65),(62&lt;'V06 Calend 01'!D65),(MOD((62-'V06 Calend 01'!C65),6)=0),(((62-'V06 Calend 01'!C65)/6)&lt;='V06 Calend 01'!E65)),IF((62=('V06 Calend 01'!C65+(6*'V06 Calend 01'!E65))),('V06 Calend 01'!H65-('V06 Calend 01'!I65*('V06 Calend 01'!E65-1))),'V06 Calend 01'!I65),0))+IF((62='V06 Calend 01'!D65),'V06 Calend 01'!J65,0))</f>
        <v>0</v>
      </c>
      <c r="BW65" s="2">
        <f>((IF((63='V06 Calend 01'!C65),('V06 Calend 01'!F65+'V06 Calend 01'!G65),0)+IF(AND(('V06 Calend 01'!E65&gt;0),(63&gt;'V06 Calend 01'!C65),(63&lt;'V06 Calend 01'!D65),(MOD((63-'V06 Calend 01'!C65),6)=0),(((63-'V06 Calend 01'!C65)/6)&lt;='V06 Calend 01'!E65)),IF((63=('V06 Calend 01'!C65+(6*'V06 Calend 01'!E65))),('V06 Calend 01'!H65-('V06 Calend 01'!I65*('V06 Calend 01'!E65-1))),'V06 Calend 01'!I65),0))+IF((63='V06 Calend 01'!D65),'V06 Calend 01'!J65,0))</f>
        <v>0</v>
      </c>
      <c r="BX65" s="2">
        <f>((IF((64='V06 Calend 01'!C65),('V06 Calend 01'!F65+'V06 Calend 01'!G65),0)+IF(AND(('V06 Calend 01'!E65&gt;0),(64&gt;'V06 Calend 01'!C65),(64&lt;'V06 Calend 01'!D65),(MOD((64-'V06 Calend 01'!C65),6)=0),(((64-'V06 Calend 01'!C65)/6)&lt;='V06 Calend 01'!E65)),IF((64=('V06 Calend 01'!C65+(6*'V06 Calend 01'!E65))),('V06 Calend 01'!H65-('V06 Calend 01'!I65*('V06 Calend 01'!E65-1))),'V06 Calend 01'!I65),0))+IF((64='V06 Calend 01'!D65),'V06 Calend 01'!J65,0))</f>
        <v>0</v>
      </c>
      <c r="BY65" s="2">
        <f>((IF((65='V06 Calend 01'!C65),('V06 Calend 01'!F65+'V06 Calend 01'!G65),0)+IF(AND(('V06 Calend 01'!E65&gt;0),(65&gt;'V06 Calend 01'!C65),(65&lt;'V06 Calend 01'!D65),(MOD((65-'V06 Calend 01'!C65),6)=0),(((65-'V06 Calend 01'!C65)/6)&lt;='V06 Calend 01'!E65)),IF((65=('V06 Calend 01'!C65+(6*'V06 Calend 01'!E65))),('V06 Calend 01'!H65-('V06 Calend 01'!I65*('V06 Calend 01'!E65-1))),'V06 Calend 01'!I65),0))+IF((65='V06 Calend 01'!D65),'V06 Calend 01'!J65,0))</f>
        <v>0</v>
      </c>
      <c r="BZ65" s="2">
        <f>((IF((66='V06 Calend 01'!C65),('V06 Calend 01'!F65+'V06 Calend 01'!G65),0)+IF(AND(('V06 Calend 01'!E65&gt;0),(66&gt;'V06 Calend 01'!C65),(66&lt;'V06 Calend 01'!D65),(MOD((66-'V06 Calend 01'!C65),6)=0),(((66-'V06 Calend 01'!C65)/6)&lt;='V06 Calend 01'!E65)),IF((66=('V06 Calend 01'!C65+(6*'V06 Calend 01'!E65))),('V06 Calend 01'!H65-('V06 Calend 01'!I65*('V06 Calend 01'!E65-1))),'V06 Calend 01'!I65),0))+IF((66='V06 Calend 01'!D65),'V06 Calend 01'!J65,0))</f>
        <v>0</v>
      </c>
      <c r="CA65" s="2">
        <f>((IF((67='V06 Calend 01'!C65),('V06 Calend 01'!F65+'V06 Calend 01'!G65),0)+IF(AND(('V06 Calend 01'!E65&gt;0),(67&gt;'V06 Calend 01'!C65),(67&lt;'V06 Calend 01'!D65),(MOD((67-'V06 Calend 01'!C65),6)=0),(((67-'V06 Calend 01'!C65)/6)&lt;='V06 Calend 01'!E65)),IF((67=('V06 Calend 01'!C65+(6*'V06 Calend 01'!E65))),('V06 Calend 01'!H65-('V06 Calend 01'!I65*('V06 Calend 01'!E65-1))),'V06 Calend 01'!I65),0))+IF((67='V06 Calend 01'!D65),'V06 Calend 01'!J65,0))</f>
        <v>0</v>
      </c>
      <c r="CB65" s="2">
        <f>((IF((68='V06 Calend 01'!C65),('V06 Calend 01'!F65+'V06 Calend 01'!G65),0)+IF(AND(('V06 Calend 01'!E65&gt;0),(68&gt;'V06 Calend 01'!C65),(68&lt;'V06 Calend 01'!D65),(MOD((68-'V06 Calend 01'!C65),6)=0),(((68-'V06 Calend 01'!C65)/6)&lt;='V06 Calend 01'!E65)),IF((68=('V06 Calend 01'!C65+(6*'V06 Calend 01'!E65))),('V06 Calend 01'!H65-('V06 Calend 01'!I65*('V06 Calend 01'!E65-1))),'V06 Calend 01'!I65),0))+IF((68='V06 Calend 01'!D65),'V06 Calend 01'!J65,0))</f>
        <v>0</v>
      </c>
      <c r="CC65" s="2">
        <f>((IF((69='V06 Calend 01'!C65),('V06 Calend 01'!F65+'V06 Calend 01'!G65),0)+IF(AND(('V06 Calend 01'!E65&gt;0),(69&gt;'V06 Calend 01'!C65),(69&lt;'V06 Calend 01'!D65),(MOD((69-'V06 Calend 01'!C65),6)=0),(((69-'V06 Calend 01'!C65)/6)&lt;='V06 Calend 01'!E65)),IF((69=('V06 Calend 01'!C65+(6*'V06 Calend 01'!E65))),('V06 Calend 01'!H65-('V06 Calend 01'!I65*('V06 Calend 01'!E65-1))),'V06 Calend 01'!I65),0))+IF((69='V06 Calend 01'!D65),'V06 Calend 01'!J65,0))</f>
        <v>0</v>
      </c>
      <c r="CD65" s="2">
        <f>((IF((70='V06 Calend 01'!C65),('V06 Calend 01'!F65+'V06 Calend 01'!G65),0)+IF(AND(('V06 Calend 01'!E65&gt;0),(70&gt;'V06 Calend 01'!C65),(70&lt;'V06 Calend 01'!D65),(MOD((70-'V06 Calend 01'!C65),6)=0),(((70-'V06 Calend 01'!C65)/6)&lt;='V06 Calend 01'!E65)),IF((70=('V06 Calend 01'!C65+(6*'V06 Calend 01'!E65))),('V06 Calend 01'!H65-('V06 Calend 01'!I65*('V06 Calend 01'!E65-1))),'V06 Calend 01'!I65),0))+IF((70='V06 Calend 01'!D65),'V06 Calend 01'!J65,0))</f>
        <v>0</v>
      </c>
      <c r="CE65" s="2">
        <f>((IF((71='V06 Calend 01'!C65),('V06 Calend 01'!F65+'V06 Calend 01'!G65),0)+IF(AND(('V06 Calend 01'!E65&gt;0),(71&gt;'V06 Calend 01'!C65),(71&lt;'V06 Calend 01'!D65),(MOD((71-'V06 Calend 01'!C65),6)=0),(((71-'V06 Calend 01'!C65)/6)&lt;='V06 Calend 01'!E65)),IF((71=('V06 Calend 01'!C65+(6*'V06 Calend 01'!E65))),('V06 Calend 01'!H65-('V06 Calend 01'!I65*('V06 Calend 01'!E65-1))),'V06 Calend 01'!I65),0))+IF((71='V06 Calend 01'!D65),'V06 Calend 01'!J65,0))</f>
        <v>0</v>
      </c>
      <c r="CF65" s="2">
        <f>((IF((72='V06 Calend 01'!C65),('V06 Calend 01'!F65+'V06 Calend 01'!G65),0)+IF(AND(('V06 Calend 01'!E65&gt;0),(72&gt;'V06 Calend 01'!C65),(72&lt;'V06 Calend 01'!D65),(MOD((72-'V06 Calend 01'!C65),6)=0),(((72-'V06 Calend 01'!C65)/6)&lt;='V06 Calend 01'!E65)),IF((72=('V06 Calend 01'!C65+(6*'V06 Calend 01'!E65))),('V06 Calend 01'!H65-('V06 Calend 01'!I65*('V06 Calend 01'!E65-1))),'V06 Calend 01'!I65),0))+IF((72='V06 Calend 01'!D65),'V06 Calend 01'!J65,0))</f>
        <v>0</v>
      </c>
      <c r="CG65" s="2">
        <f>((IF((73='V06 Calend 01'!C65),('V06 Calend 01'!F65+'V06 Calend 01'!G65),0)+IF(AND(('V06 Calend 01'!E65&gt;0),(73&gt;'V06 Calend 01'!C65),(73&lt;'V06 Calend 01'!D65),(MOD((73-'V06 Calend 01'!C65),6)=0),(((73-'V06 Calend 01'!C65)/6)&lt;='V06 Calend 01'!E65)),IF((73=('V06 Calend 01'!C65+(6*'V06 Calend 01'!E65))),('V06 Calend 01'!H65-('V06 Calend 01'!I65*('V06 Calend 01'!E65-1))),'V06 Calend 01'!I65),0))+IF((73='V06 Calend 01'!D65),'V06 Calend 01'!J65,0))</f>
        <v>0</v>
      </c>
      <c r="CH65" s="2">
        <f>((IF((74='V06 Calend 01'!C65),('V06 Calend 01'!F65+'V06 Calend 01'!G65),0)+IF(AND(('V06 Calend 01'!E65&gt;0),(74&gt;'V06 Calend 01'!C65),(74&lt;'V06 Calend 01'!D65),(MOD((74-'V06 Calend 01'!C65),6)=0),(((74-'V06 Calend 01'!C65)/6)&lt;='V06 Calend 01'!E65)),IF((74=('V06 Calend 01'!C65+(6*'V06 Calend 01'!E65))),('V06 Calend 01'!H65-('V06 Calend 01'!I65*('V06 Calend 01'!E65-1))),'V06 Calend 01'!I65),0))+IF((74='V06 Calend 01'!D65),'V06 Calend 01'!J65,0))</f>
        <v>0</v>
      </c>
      <c r="CI65" s="2">
        <f>((IF((75='V06 Calend 01'!C65),('V06 Calend 01'!F65+'V06 Calend 01'!G65),0)+IF(AND(('V06 Calend 01'!E65&gt;0),(75&gt;'V06 Calend 01'!C65),(75&lt;'V06 Calend 01'!D65),(MOD((75-'V06 Calend 01'!C65),6)=0),(((75-'V06 Calend 01'!C65)/6)&lt;='V06 Calend 01'!E65)),IF((75=('V06 Calend 01'!C65+(6*'V06 Calend 01'!E65))),('V06 Calend 01'!H65-('V06 Calend 01'!I65*('V06 Calend 01'!E65-1))),'V06 Calend 01'!I65),0))+IF((75='V06 Calend 01'!D65),'V06 Calend 01'!J65,0))</f>
        <v>0</v>
      </c>
      <c r="CJ65" s="2">
        <f>((IF((76='V06 Calend 01'!C65),('V06 Calend 01'!F65+'V06 Calend 01'!G65),0)+IF(AND(('V06 Calend 01'!E65&gt;0),(76&gt;'V06 Calend 01'!C65),(76&lt;'V06 Calend 01'!D65),(MOD((76-'V06 Calend 01'!C65),6)=0),(((76-'V06 Calend 01'!C65)/6)&lt;='V06 Calend 01'!E65)),IF((76=('V06 Calend 01'!C65+(6*'V06 Calend 01'!E65))),('V06 Calend 01'!H65-('V06 Calend 01'!I65*('V06 Calend 01'!E65-1))),'V06 Calend 01'!I65),0))+IF((76='V06 Calend 01'!D65),'V06 Calend 01'!J65,0))</f>
        <v>0</v>
      </c>
      <c r="CK65" s="2">
        <f>((IF((77='V06 Calend 01'!C65),('V06 Calend 01'!F65+'V06 Calend 01'!G65),0)+IF(AND(('V06 Calend 01'!E65&gt;0),(77&gt;'V06 Calend 01'!C65),(77&lt;'V06 Calend 01'!D65),(MOD((77-'V06 Calend 01'!C65),6)=0),(((77-'V06 Calend 01'!C65)/6)&lt;='V06 Calend 01'!E65)),IF((77=('V06 Calend 01'!C65+(6*'V06 Calend 01'!E65))),('V06 Calend 01'!H65-('V06 Calend 01'!I65*('V06 Calend 01'!E65-1))),'V06 Calend 01'!I65),0))+IF((77='V06 Calend 01'!D65),'V06 Calend 01'!J65,0))</f>
        <v>0</v>
      </c>
      <c r="CL65" s="2">
        <f>((IF((78='V06 Calend 01'!C65),('V06 Calend 01'!F65+'V06 Calend 01'!G65),0)+IF(AND(('V06 Calend 01'!E65&gt;0),(78&gt;'V06 Calend 01'!C65),(78&lt;'V06 Calend 01'!D65),(MOD((78-'V06 Calend 01'!C65),6)=0),(((78-'V06 Calend 01'!C65)/6)&lt;='V06 Calend 01'!E65)),IF((78=('V06 Calend 01'!C65+(6*'V06 Calend 01'!E65))),('V06 Calend 01'!H65-('V06 Calend 01'!I65*('V06 Calend 01'!E65-1))),'V06 Calend 01'!I65),0))+IF((78='V06 Calend 01'!D65),'V06 Calend 01'!J65,0))</f>
        <v>0</v>
      </c>
      <c r="CM65" s="2">
        <f>((IF((79='V06 Calend 01'!C65),('V06 Calend 01'!F65+'V06 Calend 01'!G65),0)+IF(AND(('V06 Calend 01'!E65&gt;0),(79&gt;'V06 Calend 01'!C65),(79&lt;'V06 Calend 01'!D65),(MOD((79-'V06 Calend 01'!C65),6)=0),(((79-'V06 Calend 01'!C65)/6)&lt;='V06 Calend 01'!E65)),IF((79=('V06 Calend 01'!C65+(6*'V06 Calend 01'!E65))),('V06 Calend 01'!H65-('V06 Calend 01'!I65*('V06 Calend 01'!E65-1))),'V06 Calend 01'!I65),0))+IF((79='V06 Calend 01'!D65),'V06 Calend 01'!J65,0))</f>
        <v>0</v>
      </c>
      <c r="CN65" s="2">
        <f>((IF((80='V06 Calend 01'!C65),('V06 Calend 01'!F65+'V06 Calend 01'!G65),0)+IF(AND(('V06 Calend 01'!E65&gt;0),(80&gt;'V06 Calend 01'!C65),(80&lt;'V06 Calend 01'!D65),(MOD((80-'V06 Calend 01'!C65),6)=0),(((80-'V06 Calend 01'!C65)/6)&lt;='V06 Calend 01'!E65)),IF((80=('V06 Calend 01'!C65+(6*'V06 Calend 01'!E65))),('V06 Calend 01'!H65-('V06 Calend 01'!I65*('V06 Calend 01'!E65-1))),'V06 Calend 01'!I65),0))+IF((80='V06 Calend 01'!D65),'V06 Calend 01'!J65,0))</f>
        <v>0</v>
      </c>
      <c r="CO65" s="2">
        <f>((IF((81='V06 Calend 01'!C65),('V06 Calend 01'!F65+'V06 Calend 01'!G65),0)+IF(AND(('V06 Calend 01'!E65&gt;0),(81&gt;'V06 Calend 01'!C65),(81&lt;'V06 Calend 01'!D65),(MOD((81-'V06 Calend 01'!C65),6)=0),(((81-'V06 Calend 01'!C65)/6)&lt;='V06 Calend 01'!E65)),IF((81=('V06 Calend 01'!C65+(6*'V06 Calend 01'!E65))),('V06 Calend 01'!H65-('V06 Calend 01'!I65*('V06 Calend 01'!E65-1))),'V06 Calend 01'!I65),0))+IF((81='V06 Calend 01'!D65),'V06 Calend 01'!J65,0))</f>
        <v>0</v>
      </c>
      <c r="CP65" s="2">
        <f>((IF((82='V06 Calend 01'!C65),('V06 Calend 01'!F65+'V06 Calend 01'!G65),0)+IF(AND(('V06 Calend 01'!E65&gt;0),(82&gt;'V06 Calend 01'!C65),(82&lt;'V06 Calend 01'!D65),(MOD((82-'V06 Calend 01'!C65),6)=0),(((82-'V06 Calend 01'!C65)/6)&lt;='V06 Calend 01'!E65)),IF((82=('V06 Calend 01'!C65+(6*'V06 Calend 01'!E65))),('V06 Calend 01'!H65-('V06 Calend 01'!I65*('V06 Calend 01'!E65-1))),'V06 Calend 01'!I65),0))+IF((82='V06 Calend 01'!D65),'V06 Calend 01'!J65,0))</f>
        <v>0</v>
      </c>
      <c r="CQ65" s="2">
        <f>((IF((83='V06 Calend 01'!C65),('V06 Calend 01'!F65+'V06 Calend 01'!G65),0)+IF(AND(('V06 Calend 01'!E65&gt;0),(83&gt;'V06 Calend 01'!C65),(83&lt;'V06 Calend 01'!D65),(MOD((83-'V06 Calend 01'!C65),6)=0),(((83-'V06 Calend 01'!C65)/6)&lt;='V06 Calend 01'!E65)),IF((83=('V06 Calend 01'!C65+(6*'V06 Calend 01'!E65))),('V06 Calend 01'!H65-('V06 Calend 01'!I65*('V06 Calend 01'!E65-1))),'V06 Calend 01'!I65),0))+IF((83='V06 Calend 01'!D65),'V06 Calend 01'!J65,0))</f>
        <v>0</v>
      </c>
      <c r="CR65" s="2">
        <f>((IF((84='V06 Calend 01'!C65),('V06 Calend 01'!F65+'V06 Calend 01'!G65),0)+IF(AND(('V06 Calend 01'!E65&gt;0),(84&gt;'V06 Calend 01'!C65),(84&lt;'V06 Calend 01'!D65),(MOD((84-'V06 Calend 01'!C65),6)=0),(((84-'V06 Calend 01'!C65)/6)&lt;='V06 Calend 01'!E65)),IF((84=('V06 Calend 01'!C65+(6*'V06 Calend 01'!E65))),('V06 Calend 01'!H65-('V06 Calend 01'!I65*('V06 Calend 01'!E65-1))),'V06 Calend 01'!I65),0))+IF((84='V06 Calend 01'!D65),'V06 Calend 01'!J65,0))</f>
        <v>0</v>
      </c>
      <c r="CS65" s="2">
        <f>((IF((85='V06 Calend 01'!C65),('V06 Calend 01'!F65+'V06 Calend 01'!G65),0)+IF(AND(('V06 Calend 01'!E65&gt;0),(85&gt;'V06 Calend 01'!C65),(85&lt;'V06 Calend 01'!D65),(MOD((85-'V06 Calend 01'!C65),6)=0),(((85-'V06 Calend 01'!C65)/6)&lt;='V06 Calend 01'!E65)),IF((85=('V06 Calend 01'!C65+(6*'V06 Calend 01'!E65))),('V06 Calend 01'!H65-('V06 Calend 01'!I65*('V06 Calend 01'!E65-1))),'V06 Calend 01'!I65),0))+IF((85='V06 Calend 01'!D65),'V06 Calend 01'!J65,0))</f>
        <v>0</v>
      </c>
      <c r="CT65" s="2">
        <f>((IF((86='V06 Calend 01'!C65),('V06 Calend 01'!F65+'V06 Calend 01'!G65),0)+IF(AND(('V06 Calend 01'!E65&gt;0),(86&gt;'V06 Calend 01'!C65),(86&lt;'V06 Calend 01'!D65),(MOD((86-'V06 Calend 01'!C65),6)=0),(((86-'V06 Calend 01'!C65)/6)&lt;='V06 Calend 01'!E65)),IF((86=('V06 Calend 01'!C65+(6*'V06 Calend 01'!E65))),('V06 Calend 01'!H65-('V06 Calend 01'!I65*('V06 Calend 01'!E65-1))),'V06 Calend 01'!I65),0))+IF((86='V06 Calend 01'!D65),'V06 Calend 01'!J65,0))</f>
        <v>0</v>
      </c>
      <c r="CU65" s="2">
        <f>((IF((87='V06 Calend 01'!C65),('V06 Calend 01'!F65+'V06 Calend 01'!G65),0)+IF(AND(('V06 Calend 01'!E65&gt;0),(87&gt;'V06 Calend 01'!C65),(87&lt;'V06 Calend 01'!D65),(MOD((87-'V06 Calend 01'!C65),6)=0),(((87-'V06 Calend 01'!C65)/6)&lt;='V06 Calend 01'!E65)),IF((87=('V06 Calend 01'!C65+(6*'V06 Calend 01'!E65))),('V06 Calend 01'!H65-('V06 Calend 01'!I65*('V06 Calend 01'!E65-1))),'V06 Calend 01'!I65),0))+IF((87='V06 Calend 01'!D65),'V06 Calend 01'!J65,0))</f>
        <v>0</v>
      </c>
      <c r="CV65" s="2">
        <f>((IF((88='V06 Calend 01'!C65),('V06 Calend 01'!F65+'V06 Calend 01'!G65),0)+IF(AND(('V06 Calend 01'!E65&gt;0),(88&gt;'V06 Calend 01'!C65),(88&lt;'V06 Calend 01'!D65),(MOD((88-'V06 Calend 01'!C65),6)=0),(((88-'V06 Calend 01'!C65)/6)&lt;='V06 Calend 01'!E65)),IF((88=('V06 Calend 01'!C65+(6*'V06 Calend 01'!E65))),('V06 Calend 01'!H65-('V06 Calend 01'!I65*('V06 Calend 01'!E65-1))),'V06 Calend 01'!I65),0))+IF((88='V06 Calend 01'!D65),'V06 Calend 01'!J65,0))</f>
        <v>0</v>
      </c>
      <c r="CW65" s="2">
        <f>((IF((89='V06 Calend 01'!C65),('V06 Calend 01'!F65+'V06 Calend 01'!G65),0)+IF(AND(('V06 Calend 01'!E65&gt;0),(89&gt;'V06 Calend 01'!C65),(89&lt;'V06 Calend 01'!D65),(MOD((89-'V06 Calend 01'!C65),6)=0),(((89-'V06 Calend 01'!C65)/6)&lt;='V06 Calend 01'!E65)),IF((89=('V06 Calend 01'!C65+(6*'V06 Calend 01'!E65))),('V06 Calend 01'!H65-('V06 Calend 01'!I65*('V06 Calend 01'!E65-1))),'V06 Calend 01'!I65),0))+IF((89='V06 Calend 01'!D65),'V06 Calend 01'!J65,0))</f>
        <v>0</v>
      </c>
      <c r="CX65" s="2">
        <f>((IF((90='V06 Calend 01'!C65),('V06 Calend 01'!F65+'V06 Calend 01'!G65),0)+IF(AND(('V06 Calend 01'!E65&gt;0),(90&gt;'V06 Calend 01'!C65),(90&lt;'V06 Calend 01'!D65),(MOD((90-'V06 Calend 01'!C65),6)=0),(((90-'V06 Calend 01'!C65)/6)&lt;='V06 Calend 01'!E65)),IF((90=('V06 Calend 01'!C65+(6*'V06 Calend 01'!E65))),('V06 Calend 01'!H65-('V06 Calend 01'!I65*('V06 Calend 01'!E65-1))),'V06 Calend 01'!I65),0))+IF((90='V06 Calend 01'!D65),'V06 Calend 01'!J65,0))</f>
        <v>0</v>
      </c>
      <c r="CY65" s="2">
        <f>((IF((91='V06 Calend 01'!C65),('V06 Calend 01'!F65+'V06 Calend 01'!G65),0)+IF(AND(('V06 Calend 01'!E65&gt;0),(91&gt;'V06 Calend 01'!C65),(91&lt;'V06 Calend 01'!D65),(MOD((91-'V06 Calend 01'!C65),6)=0),(((91-'V06 Calend 01'!C65)/6)&lt;='V06 Calend 01'!E65)),IF((91=('V06 Calend 01'!C65+(6*'V06 Calend 01'!E65))),('V06 Calend 01'!H65-('V06 Calend 01'!I65*('V06 Calend 01'!E65-1))),'V06 Calend 01'!I65),0))+IF((91='V06 Calend 01'!D65),'V06 Calend 01'!J65,0))</f>
        <v>0</v>
      </c>
      <c r="CZ65" s="2">
        <f>((IF((92='V06 Calend 01'!C65),('V06 Calend 01'!F65+'V06 Calend 01'!G65),0)+IF(AND(('V06 Calend 01'!E65&gt;0),(92&gt;'V06 Calend 01'!C65),(92&lt;'V06 Calend 01'!D65),(MOD((92-'V06 Calend 01'!C65),6)=0),(((92-'V06 Calend 01'!C65)/6)&lt;='V06 Calend 01'!E65)),IF((92=('V06 Calend 01'!C65+(6*'V06 Calend 01'!E65))),('V06 Calend 01'!H65-('V06 Calend 01'!I65*('V06 Calend 01'!E65-1))),'V06 Calend 01'!I65),0))+IF((92='V06 Calend 01'!D65),'V06 Calend 01'!J65,0))</f>
        <v>0</v>
      </c>
      <c r="DA65" s="2">
        <f>((IF((93='V06 Calend 01'!C65),('V06 Calend 01'!F65+'V06 Calend 01'!G65),0)+IF(AND(('V06 Calend 01'!E65&gt;0),(93&gt;'V06 Calend 01'!C65),(93&lt;'V06 Calend 01'!D65),(MOD((93-'V06 Calend 01'!C65),6)=0),(((93-'V06 Calend 01'!C65)/6)&lt;='V06 Calend 01'!E65)),IF((93=('V06 Calend 01'!C65+(6*'V06 Calend 01'!E65))),('V06 Calend 01'!H65-('V06 Calend 01'!I65*('V06 Calend 01'!E65-1))),'V06 Calend 01'!I65),0))+IF((93='V06 Calend 01'!D65),'V06 Calend 01'!J65,0))</f>
        <v>0</v>
      </c>
      <c r="DB65" s="2">
        <f>((IF((94='V06 Calend 01'!C65),('V06 Calend 01'!F65+'V06 Calend 01'!G65),0)+IF(AND(('V06 Calend 01'!E65&gt;0),(94&gt;'V06 Calend 01'!C65),(94&lt;'V06 Calend 01'!D65),(MOD((94-'V06 Calend 01'!C65),6)=0),(((94-'V06 Calend 01'!C65)/6)&lt;='V06 Calend 01'!E65)),IF((94=('V06 Calend 01'!C65+(6*'V06 Calend 01'!E65))),('V06 Calend 01'!H65-('V06 Calend 01'!I65*('V06 Calend 01'!E65-1))),'V06 Calend 01'!I65),0))+IF((94='V06 Calend 01'!D65),'V06 Calend 01'!J65,0))</f>
        <v>0</v>
      </c>
      <c r="DC65" s="2">
        <f>((IF((95='V06 Calend 01'!C65),('V06 Calend 01'!F65+'V06 Calend 01'!G65),0)+IF(AND(('V06 Calend 01'!E65&gt;0),(95&gt;'V06 Calend 01'!C65),(95&lt;'V06 Calend 01'!D65),(MOD((95-'V06 Calend 01'!C65),6)=0),(((95-'V06 Calend 01'!C65)/6)&lt;='V06 Calend 01'!E65)),IF((95=('V06 Calend 01'!C65+(6*'V06 Calend 01'!E65))),('V06 Calend 01'!H65-('V06 Calend 01'!I65*('V06 Calend 01'!E65-1))),'V06 Calend 01'!I65),0))+IF((95='V06 Calend 01'!D65),'V06 Calend 01'!J65,0))</f>
        <v>0</v>
      </c>
      <c r="DD65" s="2">
        <f>((IF((96='V06 Calend 01'!C65),('V06 Calend 01'!F65+'V06 Calend 01'!G65),0)+IF(AND(('V06 Calend 01'!E65&gt;0),(96&gt;'V06 Calend 01'!C65),(96&lt;'V06 Calend 01'!D65),(MOD((96-'V06 Calend 01'!C65),6)=0),(((96-'V06 Calend 01'!C65)/6)&lt;='V06 Calend 01'!E65)),IF((96=('V06 Calend 01'!C65+(6*'V06 Calend 01'!E65))),('V06 Calend 01'!H65-('V06 Calend 01'!I65*('V06 Calend 01'!E65-1))),'V06 Calend 01'!I65),0))+IF((96='V06 Calend 01'!D65),'V06 Calend 01'!J65,0))</f>
        <v>0</v>
      </c>
      <c r="DE65" s="2">
        <f>((IF((97='V06 Calend 01'!C65),('V06 Calend 01'!F65+'V06 Calend 01'!G65),0)+IF(AND(('V06 Calend 01'!E65&gt;0),(97&gt;'V06 Calend 01'!C65),(97&lt;'V06 Calend 01'!D65),(MOD((97-'V06 Calend 01'!C65),6)=0),(((97-'V06 Calend 01'!C65)/6)&lt;='V06 Calend 01'!E65)),IF((97=('V06 Calend 01'!C65+(6*'V06 Calend 01'!E65))),('V06 Calend 01'!H65-('V06 Calend 01'!I65*('V06 Calend 01'!E65-1))),'V06 Calend 01'!I65),0))+IF((97='V06 Calend 01'!D65),'V06 Calend 01'!J65,0))</f>
        <v>0</v>
      </c>
      <c r="DF65" s="2">
        <f>((IF((98='V06 Calend 01'!C65),('V06 Calend 01'!F65+'V06 Calend 01'!G65),0)+IF(AND(('V06 Calend 01'!E65&gt;0),(98&gt;'V06 Calend 01'!C65),(98&lt;'V06 Calend 01'!D65),(MOD((98-'V06 Calend 01'!C65),6)=0),(((98-'V06 Calend 01'!C65)/6)&lt;='V06 Calend 01'!E65)),IF((98=('V06 Calend 01'!C65+(6*'V06 Calend 01'!E65))),('V06 Calend 01'!H65-('V06 Calend 01'!I65*('V06 Calend 01'!E65-1))),'V06 Calend 01'!I65),0))+IF((98='V06 Calend 01'!D65),'V06 Calend 01'!J65,0))</f>
        <v>0</v>
      </c>
      <c r="DG65" s="2">
        <f>((IF((99='V06 Calend 01'!C65),('V06 Calend 01'!F65+'V06 Calend 01'!G65),0)+IF(AND(('V06 Calend 01'!E65&gt;0),(99&gt;'V06 Calend 01'!C65),(99&lt;'V06 Calend 01'!D65),(MOD((99-'V06 Calend 01'!C65),6)=0),(((99-'V06 Calend 01'!C65)/6)&lt;='V06 Calend 01'!E65)),IF((99=('V06 Calend 01'!C65+(6*'V06 Calend 01'!E65))),('V06 Calend 01'!H65-('V06 Calend 01'!I65*('V06 Calend 01'!E65-1))),'V06 Calend 01'!I65),0))+IF((99='V06 Calend 01'!D65),'V06 Calend 01'!J65,0))</f>
        <v>0</v>
      </c>
      <c r="DH65" s="2">
        <f>((IF((100='V06 Calend 01'!C65),('V06 Calend 01'!F65+'V06 Calend 01'!G65),0)+IF(AND(('V06 Calend 01'!E65&gt;0),(100&gt;'V06 Calend 01'!C65),(100&lt;'V06 Calend 01'!D65),(MOD((100-'V06 Calend 01'!C65),6)=0),(((100-'V06 Calend 01'!C65)/6)&lt;='V06 Calend 01'!E65)),IF((100=('V06 Calend 01'!C65+(6*'V06 Calend 01'!E65))),('V06 Calend 01'!H65-('V06 Calend 01'!I65*('V06 Calend 01'!E65-1))),'V06 Calend 01'!I65),0))+IF((100='V06 Calend 01'!D65),'V06 Calend 01'!J65,0))</f>
        <v>0</v>
      </c>
      <c r="DI65" s="2">
        <f>((IF((101='V06 Calend 01'!C65),('V06 Calend 01'!F65+'V06 Calend 01'!G65),0)+IF(AND(('V06 Calend 01'!E65&gt;0),(101&gt;'V06 Calend 01'!C65),(101&lt;'V06 Calend 01'!D65),(MOD((101-'V06 Calend 01'!C65),6)=0),(((101-'V06 Calend 01'!C65)/6)&lt;='V06 Calend 01'!E65)),IF((101=('V06 Calend 01'!C65+(6*'V06 Calend 01'!E65))),('V06 Calend 01'!H65-('V06 Calend 01'!I65*('V06 Calend 01'!E65-1))),'V06 Calend 01'!I65),0))+IF((101='V06 Calend 01'!D65),'V06 Calend 01'!J65,0))</f>
        <v>0</v>
      </c>
      <c r="DJ65" s="2">
        <f>((IF((102='V06 Calend 01'!C65),('V06 Calend 01'!F65+'V06 Calend 01'!G65),0)+IF(AND(('V06 Calend 01'!E65&gt;0),(102&gt;'V06 Calend 01'!C65),(102&lt;'V06 Calend 01'!D65),(MOD((102-'V06 Calend 01'!C65),6)=0),(((102-'V06 Calend 01'!C65)/6)&lt;='V06 Calend 01'!E65)),IF((102=('V06 Calend 01'!C65+(6*'V06 Calend 01'!E65))),('V06 Calend 01'!H65-('V06 Calend 01'!I65*('V06 Calend 01'!E65-1))),'V06 Calend 01'!I65),0))+IF((102='V06 Calend 01'!D65),'V06 Calend 01'!J65,0))</f>
        <v>0</v>
      </c>
      <c r="DK65" s="2">
        <f>((IF((103='V06 Calend 01'!C65),('V06 Calend 01'!F65+'V06 Calend 01'!G65),0)+IF(AND(('V06 Calend 01'!E65&gt;0),(103&gt;'V06 Calend 01'!C65),(103&lt;'V06 Calend 01'!D65),(MOD((103-'V06 Calend 01'!C65),6)=0),(((103-'V06 Calend 01'!C65)/6)&lt;='V06 Calend 01'!E65)),IF((103=('V06 Calend 01'!C65+(6*'V06 Calend 01'!E65))),('V06 Calend 01'!H65-('V06 Calend 01'!I65*('V06 Calend 01'!E65-1))),'V06 Calend 01'!I65),0))+IF((103='V06 Calend 01'!D65),'V06 Calend 01'!J65,0))</f>
        <v>0</v>
      </c>
      <c r="DL65" s="2">
        <f>((IF((104='V06 Calend 01'!C65),('V06 Calend 01'!F65+'V06 Calend 01'!G65),0)+IF(AND(('V06 Calend 01'!E65&gt;0),(104&gt;'V06 Calend 01'!C65),(104&lt;'V06 Calend 01'!D65),(MOD((104-'V06 Calend 01'!C65),6)=0),(((104-'V06 Calend 01'!C65)/6)&lt;='V06 Calend 01'!E65)),IF((104=('V06 Calend 01'!C65+(6*'V06 Calend 01'!E65))),('V06 Calend 01'!H65-('V06 Calend 01'!I65*('V06 Calend 01'!E65-1))),'V06 Calend 01'!I65),0))+IF((104='V06 Calend 01'!D65),'V06 Calend 01'!J65,0))</f>
        <v>0</v>
      </c>
      <c r="DM65" s="2">
        <f>((IF((105='V06 Calend 01'!C65),('V06 Calend 01'!F65+'V06 Calend 01'!G65),0)+IF(AND(('V06 Calend 01'!E65&gt;0),(105&gt;'V06 Calend 01'!C65),(105&lt;'V06 Calend 01'!D65),(MOD((105-'V06 Calend 01'!C65),6)=0),(((105-'V06 Calend 01'!C65)/6)&lt;='V06 Calend 01'!E65)),IF((105=('V06 Calend 01'!C65+(6*'V06 Calend 01'!E65))),('V06 Calend 01'!H65-('V06 Calend 01'!I65*('V06 Calend 01'!E65-1))),'V06 Calend 01'!I65),0))+IF((105='V06 Calend 01'!D65),'V06 Calend 01'!J65,0))</f>
        <v>0</v>
      </c>
      <c r="DN65" s="2">
        <f>((IF((106='V06 Calend 01'!C65),('V06 Calend 01'!F65+'V06 Calend 01'!G65),0)+IF(AND(('V06 Calend 01'!E65&gt;0),(106&gt;'V06 Calend 01'!C65),(106&lt;'V06 Calend 01'!D65),(MOD((106-'V06 Calend 01'!C65),6)=0),(((106-'V06 Calend 01'!C65)/6)&lt;='V06 Calend 01'!E65)),IF((106=('V06 Calend 01'!C65+(6*'V06 Calend 01'!E65))),('V06 Calend 01'!H65-('V06 Calend 01'!I65*('V06 Calend 01'!E65-1))),'V06 Calend 01'!I65),0))+IF((106='V06 Calend 01'!D65),'V06 Calend 01'!J65,0))</f>
        <v>0</v>
      </c>
      <c r="DO65" s="2">
        <f>((IF((107='V06 Calend 01'!C65),('V06 Calend 01'!F65+'V06 Calend 01'!G65),0)+IF(AND(('V06 Calend 01'!E65&gt;0),(107&gt;'V06 Calend 01'!C65),(107&lt;'V06 Calend 01'!D65),(MOD((107-'V06 Calend 01'!C65),6)=0),(((107-'V06 Calend 01'!C65)/6)&lt;='V06 Calend 01'!E65)),IF((107=('V06 Calend 01'!C65+(6*'V06 Calend 01'!E65))),('V06 Calend 01'!H65-('V06 Calend 01'!I65*('V06 Calend 01'!E65-1))),'V06 Calend 01'!I65),0))+IF((107='V06 Calend 01'!D65),'V06 Calend 01'!J65,0))</f>
        <v>0</v>
      </c>
      <c r="DP65" s="2">
        <f>((IF((108='V06 Calend 01'!C65),('V06 Calend 01'!F65+'V06 Calend 01'!G65),0)+IF(AND(('V06 Calend 01'!E65&gt;0),(108&gt;'V06 Calend 01'!C65),(108&lt;'V06 Calend 01'!D65),(MOD((108-'V06 Calend 01'!C65),6)=0),(((108-'V06 Calend 01'!C65)/6)&lt;='V06 Calend 01'!E65)),IF((108=('V06 Calend 01'!C65+(6*'V06 Calend 01'!E65))),('V06 Calend 01'!H65-('V06 Calend 01'!I65*('V06 Calend 01'!E65-1))),'V06 Calend 01'!I65),0))+IF((108='V06 Calend 01'!D65),'V06 Calend 01'!J65,0))</f>
        <v>0</v>
      </c>
      <c r="DQ65" s="2">
        <f>((IF((109='V06 Calend 01'!C65),('V06 Calend 01'!F65+'V06 Calend 01'!G65),0)+IF(AND(('V06 Calend 01'!E65&gt;0),(109&gt;'V06 Calend 01'!C65),(109&lt;'V06 Calend 01'!D65),(MOD((109-'V06 Calend 01'!C65),6)=0),(((109-'V06 Calend 01'!C65)/6)&lt;='V06 Calend 01'!E65)),IF((109=('V06 Calend 01'!C65+(6*'V06 Calend 01'!E65))),('V06 Calend 01'!H65-('V06 Calend 01'!I65*('V06 Calend 01'!E65-1))),'V06 Calend 01'!I65),0))+IF((109='V06 Calend 01'!D65),'V06 Calend 01'!J65,0))</f>
        <v>0</v>
      </c>
      <c r="DR65" s="2">
        <f>((IF((110='V06 Calend 01'!C65),('V06 Calend 01'!F65+'V06 Calend 01'!G65),0)+IF(AND(('V06 Calend 01'!E65&gt;0),(110&gt;'V06 Calend 01'!C65),(110&lt;'V06 Calend 01'!D65),(MOD((110-'V06 Calend 01'!C65),6)=0),(((110-'V06 Calend 01'!C65)/6)&lt;='V06 Calend 01'!E65)),IF((110=('V06 Calend 01'!C65+(6*'V06 Calend 01'!E65))),('V06 Calend 01'!H65-('V06 Calend 01'!I65*('V06 Calend 01'!E65-1))),'V06 Calend 01'!I65),0))+IF((110='V06 Calend 01'!D65),'V06 Calend 01'!J65,0))</f>
        <v>0</v>
      </c>
      <c r="DS65" s="2">
        <f>((IF((111='V06 Calend 01'!C65),('V06 Calend 01'!F65+'V06 Calend 01'!G65),0)+IF(AND(('V06 Calend 01'!E65&gt;0),(111&gt;'V06 Calend 01'!C65),(111&lt;'V06 Calend 01'!D65),(MOD((111-'V06 Calend 01'!C65),6)=0),(((111-'V06 Calend 01'!C65)/6)&lt;='V06 Calend 01'!E65)),IF((111=('V06 Calend 01'!C65+(6*'V06 Calend 01'!E65))),('V06 Calend 01'!H65-('V06 Calend 01'!I65*('V06 Calend 01'!E65-1))),'V06 Calend 01'!I65),0))+IF((111='V06 Calend 01'!D65),'V06 Calend 01'!J65,0))</f>
        <v>0</v>
      </c>
      <c r="DT65" s="2">
        <f>((IF((112='V06 Calend 01'!C65),('V06 Calend 01'!F65+'V06 Calend 01'!G65),0)+IF(AND(('V06 Calend 01'!E65&gt;0),(112&gt;'V06 Calend 01'!C65),(112&lt;'V06 Calend 01'!D65),(MOD((112-'V06 Calend 01'!C65),6)=0),(((112-'V06 Calend 01'!C65)/6)&lt;='V06 Calend 01'!E65)),IF((112=('V06 Calend 01'!C65+(6*'V06 Calend 01'!E65))),('V06 Calend 01'!H65-('V06 Calend 01'!I65*('V06 Calend 01'!E65-1))),'V06 Calend 01'!I65),0))+IF((112='V06 Calend 01'!D65),'V06 Calend 01'!J65,0))</f>
        <v>0</v>
      </c>
      <c r="DU65" s="2">
        <f>((IF((113='V06 Calend 01'!C65),('V06 Calend 01'!F65+'V06 Calend 01'!G65),0)+IF(AND(('V06 Calend 01'!E65&gt;0),(113&gt;'V06 Calend 01'!C65),(113&lt;'V06 Calend 01'!D65),(MOD((113-'V06 Calend 01'!C65),6)=0),(((113-'V06 Calend 01'!C65)/6)&lt;='V06 Calend 01'!E65)),IF((113=('V06 Calend 01'!C65+(6*'V06 Calend 01'!E65))),('V06 Calend 01'!H65-('V06 Calend 01'!I65*('V06 Calend 01'!E65-1))),'V06 Calend 01'!I65),0))+IF((113='V06 Calend 01'!D65),'V06 Calend 01'!J65,0))</f>
        <v>0</v>
      </c>
      <c r="DV65" s="2">
        <f>((IF((114='V06 Calend 01'!C65),('V06 Calend 01'!F65+'V06 Calend 01'!G65),0)+IF(AND(('V06 Calend 01'!E65&gt;0),(114&gt;'V06 Calend 01'!C65),(114&lt;'V06 Calend 01'!D65),(MOD((114-'V06 Calend 01'!C65),6)=0),(((114-'V06 Calend 01'!C65)/6)&lt;='V06 Calend 01'!E65)),IF((114=('V06 Calend 01'!C65+(6*'V06 Calend 01'!E65))),('V06 Calend 01'!H65-('V06 Calend 01'!I65*('V06 Calend 01'!E65-1))),'V06 Calend 01'!I65),0))+IF((114='V06 Calend 01'!D65),'V06 Calend 01'!J65,0))</f>
        <v>0</v>
      </c>
      <c r="DW65" s="2">
        <f>((IF((115='V06 Calend 01'!C65),('V06 Calend 01'!F65+'V06 Calend 01'!G65),0)+IF(AND(('V06 Calend 01'!E65&gt;0),(115&gt;'V06 Calend 01'!C65),(115&lt;'V06 Calend 01'!D65),(MOD((115-'V06 Calend 01'!C65),6)=0),(((115-'V06 Calend 01'!C65)/6)&lt;='V06 Calend 01'!E65)),IF((115=('V06 Calend 01'!C65+(6*'V06 Calend 01'!E65))),('V06 Calend 01'!H65-('V06 Calend 01'!I65*('V06 Calend 01'!E65-1))),'V06 Calend 01'!I65),0))+IF((115='V06 Calend 01'!D65),'V06 Calend 01'!J65,0))</f>
        <v>0</v>
      </c>
      <c r="DX65" s="2">
        <f>((IF((116='V06 Calend 01'!C65),('V06 Calend 01'!F65+'V06 Calend 01'!G65),0)+IF(AND(('V06 Calend 01'!E65&gt;0),(116&gt;'V06 Calend 01'!C65),(116&lt;'V06 Calend 01'!D65),(MOD((116-'V06 Calend 01'!C65),6)=0),(((116-'V06 Calend 01'!C65)/6)&lt;='V06 Calend 01'!E65)),IF((116=('V06 Calend 01'!C65+(6*'V06 Calend 01'!E65))),('V06 Calend 01'!H65-('V06 Calend 01'!I65*('V06 Calend 01'!E65-1))),'V06 Calend 01'!I65),0))+IF((116='V06 Calend 01'!D65),'V06 Calend 01'!J65,0))</f>
        <v>0</v>
      </c>
      <c r="DY65" s="2">
        <f>((IF((117='V06 Calend 01'!C65),('V06 Calend 01'!F65+'V06 Calend 01'!G65),0)+IF(AND(('V06 Calend 01'!E65&gt;0),(117&gt;'V06 Calend 01'!C65),(117&lt;'V06 Calend 01'!D65),(MOD((117-'V06 Calend 01'!C65),6)=0),(((117-'V06 Calend 01'!C65)/6)&lt;='V06 Calend 01'!E65)),IF((117=('V06 Calend 01'!C65+(6*'V06 Calend 01'!E65))),('V06 Calend 01'!H65-('V06 Calend 01'!I65*('V06 Calend 01'!E65-1))),'V06 Calend 01'!I65),0))+IF((117='V06 Calend 01'!D65),'V06 Calend 01'!J65,0))</f>
        <v>0</v>
      </c>
      <c r="DZ65" s="2">
        <f>((IF((118='V06 Calend 01'!C65),('V06 Calend 01'!F65+'V06 Calend 01'!G65),0)+IF(AND(('V06 Calend 01'!E65&gt;0),(118&gt;'V06 Calend 01'!C65),(118&lt;'V06 Calend 01'!D65),(MOD((118-'V06 Calend 01'!C65),6)=0),(((118-'V06 Calend 01'!C65)/6)&lt;='V06 Calend 01'!E65)),IF((118=('V06 Calend 01'!C65+(6*'V06 Calend 01'!E65))),('V06 Calend 01'!H65-('V06 Calend 01'!I65*('V06 Calend 01'!E65-1))),'V06 Calend 01'!I65),0))+IF((118='V06 Calend 01'!D65),'V06 Calend 01'!J65,0))</f>
        <v>0</v>
      </c>
      <c r="EA65" s="2">
        <f>((IF((119='V06 Calend 01'!C65),('V06 Calend 01'!F65+'V06 Calend 01'!G65),0)+IF(AND(('V06 Calend 01'!E65&gt;0),(119&gt;'V06 Calend 01'!C65),(119&lt;'V06 Calend 01'!D65),(MOD((119-'V06 Calend 01'!C65),6)=0),(((119-'V06 Calend 01'!C65)/6)&lt;='V06 Calend 01'!E65)),IF((119=('V06 Calend 01'!C65+(6*'V06 Calend 01'!E65))),('V06 Calend 01'!H65-('V06 Calend 01'!I65*('V06 Calend 01'!E65-1))),'V06 Calend 01'!I65),0))+IF((119='V06 Calend 01'!D65),'V06 Calend 01'!J65,0))</f>
        <v>0</v>
      </c>
      <c r="EB65" s="2">
        <f>((IF((120='V06 Calend 01'!C65),('V06 Calend 01'!F65+'V06 Calend 01'!G65),0)+IF(AND(('V06 Calend 01'!E65&gt;0),(120&gt;'V06 Calend 01'!C65),(120&lt;'V06 Calend 01'!D65),(MOD((120-'V06 Calend 01'!C65),6)=0),(((120-'V06 Calend 01'!C65)/6)&lt;='V06 Calend 01'!E65)),IF((120=('V06 Calend 01'!C65+(6*'V06 Calend 01'!E65))),('V06 Calend 01'!H65-('V06 Calend 01'!I65*('V06 Calend 01'!E65-1))),'V06 Calend 01'!I65),0))+IF((120='V06 Calend 01'!D65),'V06 Calend 01'!J65,0))</f>
        <v>0</v>
      </c>
      <c r="EC65" s="2">
        <f>((IF((121='V06 Calend 01'!C65),('V06 Calend 01'!F65+'V06 Calend 01'!G65),0)+IF(AND(('V06 Calend 01'!E65&gt;0),(121&gt;'V06 Calend 01'!C65),(121&lt;'V06 Calend 01'!D65),(MOD((121-'V06 Calend 01'!C65),6)=0),(((121-'V06 Calend 01'!C65)/6)&lt;='V06 Calend 01'!E65)),IF((121=('V06 Calend 01'!C65+(6*'V06 Calend 01'!E65))),('V06 Calend 01'!H65-('V06 Calend 01'!I65*('V06 Calend 01'!E65-1))),'V06 Calend 01'!I65),0))+IF((121='V06 Calend 01'!D65),'V06 Calend 01'!J65,0))</f>
        <v>0</v>
      </c>
      <c r="ED65" s="2">
        <f>((IF((122='V06 Calend 01'!C65),('V06 Calend 01'!F65+'V06 Calend 01'!G65),0)+IF(AND(('V06 Calend 01'!E65&gt;0),(122&gt;'V06 Calend 01'!C65),(122&lt;'V06 Calend 01'!D65),(MOD((122-'V06 Calend 01'!C65),6)=0),(((122-'V06 Calend 01'!C65)/6)&lt;='V06 Calend 01'!E65)),IF((122=('V06 Calend 01'!C65+(6*'V06 Calend 01'!E65))),('V06 Calend 01'!H65-('V06 Calend 01'!I65*('V06 Calend 01'!E65-1))),'V06 Calend 01'!I65),0))+IF((122='V06 Calend 01'!D65),'V06 Calend 01'!J65,0))</f>
        <v>0</v>
      </c>
      <c r="EE65" s="2">
        <f>((IF((123='V06 Calend 01'!C65),('V06 Calend 01'!F65+'V06 Calend 01'!G65),0)+IF(AND(('V06 Calend 01'!E65&gt;0),(123&gt;'V06 Calend 01'!C65),(123&lt;'V06 Calend 01'!D65),(MOD((123-'V06 Calend 01'!C65),6)=0),(((123-'V06 Calend 01'!C65)/6)&lt;='V06 Calend 01'!E65)),IF((123=('V06 Calend 01'!C65+(6*'V06 Calend 01'!E65))),('V06 Calend 01'!H65-('V06 Calend 01'!I65*('V06 Calend 01'!E65-1))),'V06 Calend 01'!I65),0))+IF((123='V06 Calend 01'!D65),'V06 Calend 01'!J65,0))</f>
        <v>0</v>
      </c>
      <c r="EF65" s="2">
        <f>((IF((124='V06 Calend 01'!C65),('V06 Calend 01'!F65+'V06 Calend 01'!G65),0)+IF(AND(('V06 Calend 01'!E65&gt;0),(124&gt;'V06 Calend 01'!C65),(124&lt;'V06 Calend 01'!D65),(MOD((124-'V06 Calend 01'!C65),6)=0),(((124-'V06 Calend 01'!C65)/6)&lt;='V06 Calend 01'!E65)),IF((124=('V06 Calend 01'!C65+(6*'V06 Calend 01'!E65))),('V06 Calend 01'!H65-('V06 Calend 01'!I65*('V06 Calend 01'!E65-1))),'V06 Calend 01'!I65),0))+IF((124='V06 Calend 01'!D65),'V06 Calend 01'!J65,0))</f>
        <v>0</v>
      </c>
      <c r="EG65" s="2">
        <f>((IF((125='V06 Calend 01'!C65),('V06 Calend 01'!F65+'V06 Calend 01'!G65),0)+IF(AND(('V06 Calend 01'!E65&gt;0),(125&gt;'V06 Calend 01'!C65),(125&lt;'V06 Calend 01'!D65),(MOD((125-'V06 Calend 01'!C65),6)=0),(((125-'V06 Calend 01'!C65)/6)&lt;='V06 Calend 01'!E65)),IF((125=('V06 Calend 01'!C65+(6*'V06 Calend 01'!E65))),('V06 Calend 01'!H65-('V06 Calend 01'!I65*('V06 Calend 01'!E65-1))),'V06 Calend 01'!I65),0))+IF((125='V06 Calend 01'!D65),'V06 Calend 01'!J65,0))</f>
        <v>0</v>
      </c>
      <c r="EH65" s="2">
        <f>((IF((126='V06 Calend 01'!C65),('V06 Calend 01'!F65+'V06 Calend 01'!G65),0)+IF(AND(('V06 Calend 01'!E65&gt;0),(126&gt;'V06 Calend 01'!C65),(126&lt;'V06 Calend 01'!D65),(MOD((126-'V06 Calend 01'!C65),6)=0),(((126-'V06 Calend 01'!C65)/6)&lt;='V06 Calend 01'!E65)),IF((126=('V06 Calend 01'!C65+(6*'V06 Calend 01'!E65))),('V06 Calend 01'!H65-('V06 Calend 01'!I65*('V06 Calend 01'!E65-1))),'V06 Calend 01'!I65),0))+IF((126='V06 Calend 01'!D65),'V06 Calend 01'!J65,0))</f>
        <v>0</v>
      </c>
      <c r="EI65" s="2">
        <f>((IF((127='V06 Calend 01'!C65),('V06 Calend 01'!F65+'V06 Calend 01'!G65),0)+IF(AND(('V06 Calend 01'!E65&gt;0),(127&gt;'V06 Calend 01'!C65),(127&lt;'V06 Calend 01'!D65),(MOD((127-'V06 Calend 01'!C65),6)=0),(((127-'V06 Calend 01'!C65)/6)&lt;='V06 Calend 01'!E65)),IF((127=('V06 Calend 01'!C65+(6*'V06 Calend 01'!E65))),('V06 Calend 01'!H65-('V06 Calend 01'!I65*('V06 Calend 01'!E65-1))),'V06 Calend 01'!I65),0))+IF((127='V06 Calend 01'!D65),'V06 Calend 01'!J65,0))</f>
        <v>0</v>
      </c>
      <c r="EJ65" s="2">
        <f>((IF((128='V06 Calend 01'!C65),('V06 Calend 01'!F65+'V06 Calend 01'!G65),0)+IF(AND(('V06 Calend 01'!E65&gt;0),(128&gt;'V06 Calend 01'!C65),(128&lt;'V06 Calend 01'!D65),(MOD((128-'V06 Calend 01'!C65),6)=0),(((128-'V06 Calend 01'!C65)/6)&lt;='V06 Calend 01'!E65)),IF((128=('V06 Calend 01'!C65+(6*'V06 Calend 01'!E65))),('V06 Calend 01'!H65-('V06 Calend 01'!I65*('V06 Calend 01'!E65-1))),'V06 Calend 01'!I65),0))+IF((128='V06 Calend 01'!D65),'V06 Calend 01'!J65,0))</f>
        <v>0</v>
      </c>
      <c r="EK65" s="2">
        <f>((IF((129='V06 Calend 01'!C65),('V06 Calend 01'!F65+'V06 Calend 01'!G65),0)+IF(AND(('V06 Calend 01'!E65&gt;0),(129&gt;'V06 Calend 01'!C65),(129&lt;'V06 Calend 01'!D65),(MOD((129-'V06 Calend 01'!C65),6)=0),(((129-'V06 Calend 01'!C65)/6)&lt;='V06 Calend 01'!E65)),IF((129=('V06 Calend 01'!C65+(6*'V06 Calend 01'!E65))),('V06 Calend 01'!H65-('V06 Calend 01'!I65*('V06 Calend 01'!E65-1))),'V06 Calend 01'!I65),0))+IF((129='V06 Calend 01'!D65),'V06 Calend 01'!J65,0))</f>
        <v>0</v>
      </c>
      <c r="EL65" s="2">
        <f>((IF((130='V06 Calend 01'!C65),('V06 Calend 01'!F65+'V06 Calend 01'!G65),0)+IF(AND(('V06 Calend 01'!E65&gt;0),(130&gt;'V06 Calend 01'!C65),(130&lt;'V06 Calend 01'!D65),(MOD((130-'V06 Calend 01'!C65),6)=0),(((130-'V06 Calend 01'!C65)/6)&lt;='V06 Calend 01'!E65)),IF((130=('V06 Calend 01'!C65+(6*'V06 Calend 01'!E65))),('V06 Calend 01'!H65-('V06 Calend 01'!I65*('V06 Calend 01'!E65-1))),'V06 Calend 01'!I65),0))+IF((130='V06 Calend 01'!D65),'V06 Calend 01'!J65,0))</f>
        <v>0</v>
      </c>
      <c r="EM65" s="2">
        <f>((IF((131='V06 Calend 01'!C65),('V06 Calend 01'!F65+'V06 Calend 01'!G65),0)+IF(AND(('V06 Calend 01'!E65&gt;0),(131&gt;'V06 Calend 01'!C65),(131&lt;'V06 Calend 01'!D65),(MOD((131-'V06 Calend 01'!C65),6)=0),(((131-'V06 Calend 01'!C65)/6)&lt;='V06 Calend 01'!E65)),IF((131=('V06 Calend 01'!C65+(6*'V06 Calend 01'!E65))),('V06 Calend 01'!H65-('V06 Calend 01'!I65*('V06 Calend 01'!E65-1))),'V06 Calend 01'!I65),0))+IF((131='V06 Calend 01'!D65),'V06 Calend 01'!J65,0))</f>
        <v>0</v>
      </c>
      <c r="EN65" s="2">
        <f>((IF((132='V06 Calend 01'!C65),('V06 Calend 01'!F65+'V06 Calend 01'!G65),0)+IF(AND(('V06 Calend 01'!E65&gt;0),(132&gt;'V06 Calend 01'!C65),(132&lt;'V06 Calend 01'!D65),(MOD((132-'V06 Calend 01'!C65),6)=0),(((132-'V06 Calend 01'!C65)/6)&lt;='V06 Calend 01'!E65)),IF((132=('V06 Calend 01'!C65+(6*'V06 Calend 01'!E65))),('V06 Calend 01'!H65-('V06 Calend 01'!I65*('V06 Calend 01'!E65-1))),'V06 Calend 01'!I65),0))+IF((132='V06 Calend 01'!D65),'V06 Calend 01'!J65,0))</f>
        <v>0</v>
      </c>
      <c r="EO65" s="2">
        <f>((IF((133='V06 Calend 01'!C65),('V06 Calend 01'!F65+'V06 Calend 01'!G65),0)+IF(AND(('V06 Calend 01'!E65&gt;0),(133&gt;'V06 Calend 01'!C65),(133&lt;'V06 Calend 01'!D65),(MOD((133-'V06 Calend 01'!C65),6)=0),(((133-'V06 Calend 01'!C65)/6)&lt;='V06 Calend 01'!E65)),IF((133=('V06 Calend 01'!C65+(6*'V06 Calend 01'!E65))),('V06 Calend 01'!H65-('V06 Calend 01'!I65*('V06 Calend 01'!E65-1))),'V06 Calend 01'!I65),0))+IF((133='V06 Calend 01'!D65),'V06 Calend 01'!J65,0))</f>
        <v>0</v>
      </c>
      <c r="EP65" s="2">
        <f>((IF((134='V06 Calend 01'!C65),('V06 Calend 01'!F65+'V06 Calend 01'!G65),0)+IF(AND(('V06 Calend 01'!E65&gt;0),(134&gt;'V06 Calend 01'!C65),(134&lt;'V06 Calend 01'!D65),(MOD((134-'V06 Calend 01'!C65),6)=0),(((134-'V06 Calend 01'!C65)/6)&lt;='V06 Calend 01'!E65)),IF((134=('V06 Calend 01'!C65+(6*'V06 Calend 01'!E65))),('V06 Calend 01'!H65-('V06 Calend 01'!I65*('V06 Calend 01'!E65-1))),'V06 Calend 01'!I65),0))+IF((134='V06 Calend 01'!D65),'V06 Calend 01'!J65,0))</f>
        <v>0</v>
      </c>
      <c r="EQ65" s="2">
        <f>((IF((135='V06 Calend 01'!C65),('V06 Calend 01'!F65+'V06 Calend 01'!G65),0)+IF(AND(('V06 Calend 01'!E65&gt;0),(135&gt;'V06 Calend 01'!C65),(135&lt;'V06 Calend 01'!D65),(MOD((135-'V06 Calend 01'!C65),6)=0),(((135-'V06 Calend 01'!C65)/6)&lt;='V06 Calend 01'!E65)),IF((135=('V06 Calend 01'!C65+(6*'V06 Calend 01'!E65))),('V06 Calend 01'!H65-('V06 Calend 01'!I65*('V06 Calend 01'!E65-1))),'V06 Calend 01'!I65),0))+IF((135='V06 Calend 01'!D65),'V06 Calend 01'!J65,0))</f>
        <v>0</v>
      </c>
      <c r="ER65" s="2">
        <f>((IF((136='V06 Calend 01'!C65),('V06 Calend 01'!F65+'V06 Calend 01'!G65),0)+IF(AND(('V06 Calend 01'!E65&gt;0),(136&gt;'V06 Calend 01'!C65),(136&lt;'V06 Calend 01'!D65),(MOD((136-'V06 Calend 01'!C65),6)=0),(((136-'V06 Calend 01'!C65)/6)&lt;='V06 Calend 01'!E65)),IF((136=('V06 Calend 01'!C65+(6*'V06 Calend 01'!E65))),('V06 Calend 01'!H65-('V06 Calend 01'!I65*('V06 Calend 01'!E65-1))),'V06 Calend 01'!I65),0))+IF((136='V06 Calend 01'!D65),'V06 Calend 01'!J65,0))</f>
        <v>0</v>
      </c>
      <c r="ES65" s="2">
        <f>((IF((137='V06 Calend 01'!C65),('V06 Calend 01'!F65+'V06 Calend 01'!G65),0)+IF(AND(('V06 Calend 01'!E65&gt;0),(137&gt;'V06 Calend 01'!C65),(137&lt;'V06 Calend 01'!D65),(MOD((137-'V06 Calend 01'!C65),6)=0),(((137-'V06 Calend 01'!C65)/6)&lt;='V06 Calend 01'!E65)),IF((137=('V06 Calend 01'!C65+(6*'V06 Calend 01'!E65))),('V06 Calend 01'!H65-('V06 Calend 01'!I65*('V06 Calend 01'!E65-1))),'V06 Calend 01'!I65),0))+IF((137='V06 Calend 01'!D65),'V06 Calend 01'!J65,0))</f>
        <v>0</v>
      </c>
      <c r="ET65" s="2">
        <f>((IF((138='V06 Calend 01'!C65),('V06 Calend 01'!F65+'V06 Calend 01'!G65),0)+IF(AND(('V06 Calend 01'!E65&gt;0),(138&gt;'V06 Calend 01'!C65),(138&lt;'V06 Calend 01'!D65),(MOD((138-'V06 Calend 01'!C65),6)=0),(((138-'V06 Calend 01'!C65)/6)&lt;='V06 Calend 01'!E65)),IF((138=('V06 Calend 01'!C65+(6*'V06 Calend 01'!E65))),('V06 Calend 01'!H65-('V06 Calend 01'!I65*('V06 Calend 01'!E65-1))),'V06 Calend 01'!I65),0))+IF((138='V06 Calend 01'!D65),'V06 Calend 01'!J65,0))</f>
        <v>0</v>
      </c>
      <c r="EU65" s="2">
        <f>((IF((139='V06 Calend 01'!C65),('V06 Calend 01'!F65+'V06 Calend 01'!G65),0)+IF(AND(('V06 Calend 01'!E65&gt;0),(139&gt;'V06 Calend 01'!C65),(139&lt;'V06 Calend 01'!D65),(MOD((139-'V06 Calend 01'!C65),6)=0),(((139-'V06 Calend 01'!C65)/6)&lt;='V06 Calend 01'!E65)),IF((139=('V06 Calend 01'!C65+(6*'V06 Calend 01'!E65))),('V06 Calend 01'!H65-('V06 Calend 01'!I65*('V06 Calend 01'!E65-1))),'V06 Calend 01'!I65),0))+IF((139='V06 Calend 01'!D65),'V06 Calend 01'!J65,0))</f>
        <v>0</v>
      </c>
      <c r="EV65" s="2">
        <f>((IF((140='V06 Calend 01'!C65),('V06 Calend 01'!F65+'V06 Calend 01'!G65),0)+IF(AND(('V06 Calend 01'!E65&gt;0),(140&gt;'V06 Calend 01'!C65),(140&lt;'V06 Calend 01'!D65),(MOD((140-'V06 Calend 01'!C65),6)=0),(((140-'V06 Calend 01'!C65)/6)&lt;='V06 Calend 01'!E65)),IF((140=('V06 Calend 01'!C65+(6*'V06 Calend 01'!E65))),('V06 Calend 01'!H65-('V06 Calend 01'!I65*('V06 Calend 01'!E65-1))),'V06 Calend 01'!I65),0))+IF((140='V06 Calend 01'!D65),'V06 Calend 01'!J65,0))</f>
        <v>0</v>
      </c>
      <c r="EW65" s="2">
        <f>((IF((141='V06 Calend 01'!C65),('V06 Calend 01'!F65+'V06 Calend 01'!G65),0)+IF(AND(('V06 Calend 01'!E65&gt;0),(141&gt;'V06 Calend 01'!C65),(141&lt;'V06 Calend 01'!D65),(MOD((141-'V06 Calend 01'!C65),6)=0),(((141-'V06 Calend 01'!C65)/6)&lt;='V06 Calend 01'!E65)),IF((141=('V06 Calend 01'!C65+(6*'V06 Calend 01'!E65))),('V06 Calend 01'!H65-('V06 Calend 01'!I65*('V06 Calend 01'!E65-1))),'V06 Calend 01'!I65),0))+IF((141='V06 Calend 01'!D65),'V06 Calend 01'!J65,0))</f>
        <v>0</v>
      </c>
      <c r="EX65" s="2">
        <f>((IF((142='V06 Calend 01'!C65),('V06 Calend 01'!F65+'V06 Calend 01'!G65),0)+IF(AND(('V06 Calend 01'!E65&gt;0),(142&gt;'V06 Calend 01'!C65),(142&lt;'V06 Calend 01'!D65),(MOD((142-'V06 Calend 01'!C65),6)=0),(((142-'V06 Calend 01'!C65)/6)&lt;='V06 Calend 01'!E65)),IF((142=('V06 Calend 01'!C65+(6*'V06 Calend 01'!E65))),('V06 Calend 01'!H65-('V06 Calend 01'!I65*('V06 Calend 01'!E65-1))),'V06 Calend 01'!I65),0))+IF((142='V06 Calend 01'!D65),'V06 Calend 01'!J65,0))</f>
        <v>0</v>
      </c>
      <c r="EY65" s="2">
        <f>((IF((143='V06 Calend 01'!C65),('V06 Calend 01'!F65+'V06 Calend 01'!G65),0)+IF(AND(('V06 Calend 01'!E65&gt;0),(143&gt;'V06 Calend 01'!C65),(143&lt;'V06 Calend 01'!D65),(MOD((143-'V06 Calend 01'!C65),6)=0),(((143-'V06 Calend 01'!C65)/6)&lt;='V06 Calend 01'!E65)),IF((143=('V06 Calend 01'!C65+(6*'V06 Calend 01'!E65))),('V06 Calend 01'!H65-('V06 Calend 01'!I65*('V06 Calend 01'!E65-1))),'V06 Calend 01'!I65),0))+IF((143='V06 Calend 01'!D65),'V06 Calend 01'!J65,0))</f>
        <v>0</v>
      </c>
      <c r="EZ65" s="2">
        <f>((IF((144='V06 Calend 01'!C65),('V06 Calend 01'!F65+'V06 Calend 01'!G65),0)+IF(AND(('V06 Calend 01'!E65&gt;0),(144&gt;'V06 Calend 01'!C65),(144&lt;'V06 Calend 01'!D65),(MOD((144-'V06 Calend 01'!C65),6)=0),(((144-'V06 Calend 01'!C65)/6)&lt;='V06 Calend 01'!E65)),IF((144=('V06 Calend 01'!C65+(6*'V06 Calend 01'!E65))),('V06 Calend 01'!H65-('V06 Calend 01'!I65*('V06 Calend 01'!E65-1))),'V06 Calend 01'!I65),0))+IF((144='V06 Calend 01'!D65),'V06 Calend 01'!J65,0))</f>
        <v>0</v>
      </c>
      <c r="FA65" s="2">
        <f>((IF((145='V06 Calend 01'!C65),('V06 Calend 01'!F65+'V06 Calend 01'!G65),0)+IF(AND(('V06 Calend 01'!E65&gt;0),(145&gt;'V06 Calend 01'!C65),(145&lt;'V06 Calend 01'!D65),(MOD((145-'V06 Calend 01'!C65),6)=0),(((145-'V06 Calend 01'!C65)/6)&lt;='V06 Calend 01'!E65)),IF((145=('V06 Calend 01'!C65+(6*'V06 Calend 01'!E65))),('V06 Calend 01'!H65-('V06 Calend 01'!I65*('V06 Calend 01'!E65-1))),'V06 Calend 01'!I65),0))+IF((145='V06 Calend 01'!D65),'V06 Calend 01'!J65,0))</f>
        <v>0</v>
      </c>
      <c r="FB65" s="2">
        <f>((IF((146='V06 Calend 01'!C65),('V06 Calend 01'!F65+'V06 Calend 01'!G65),0)+IF(AND(('V06 Calend 01'!E65&gt;0),(146&gt;'V06 Calend 01'!C65),(146&lt;'V06 Calend 01'!D65),(MOD((146-'V06 Calend 01'!C65),6)=0),(((146-'V06 Calend 01'!C65)/6)&lt;='V06 Calend 01'!E65)),IF((146=('V06 Calend 01'!C65+(6*'V06 Calend 01'!E65))),('V06 Calend 01'!H65-('V06 Calend 01'!I65*('V06 Calend 01'!E65-1))),'V06 Calend 01'!I65),0))+IF((146='V06 Calend 01'!D65),'V06 Calend 01'!J65,0))</f>
        <v>0</v>
      </c>
      <c r="FC65" s="2">
        <f>((IF((147='V06 Calend 01'!C65),('V06 Calend 01'!F65+'V06 Calend 01'!G65),0)+IF(AND(('V06 Calend 01'!E65&gt;0),(147&gt;'V06 Calend 01'!C65),(147&lt;'V06 Calend 01'!D65),(MOD((147-'V06 Calend 01'!C65),6)=0),(((147-'V06 Calend 01'!C65)/6)&lt;='V06 Calend 01'!E65)),IF((147=('V06 Calend 01'!C65+(6*'V06 Calend 01'!E65))),('V06 Calend 01'!H65-('V06 Calend 01'!I65*('V06 Calend 01'!E65-1))),'V06 Calend 01'!I65),0))+IF((147='V06 Calend 01'!D65),'V06 Calend 01'!J65,0))</f>
        <v>0</v>
      </c>
      <c r="FD65" s="2">
        <f>((IF((148='V06 Calend 01'!C65),('V06 Calend 01'!F65+'V06 Calend 01'!G65),0)+IF(AND(('V06 Calend 01'!E65&gt;0),(148&gt;'V06 Calend 01'!C65),(148&lt;'V06 Calend 01'!D65),(MOD((148-'V06 Calend 01'!C65),6)=0),(((148-'V06 Calend 01'!C65)/6)&lt;='V06 Calend 01'!E65)),IF((148=('V06 Calend 01'!C65+(6*'V06 Calend 01'!E65))),('V06 Calend 01'!H65-('V06 Calend 01'!I65*('V06 Calend 01'!E65-1))),'V06 Calend 01'!I65),0))+IF((148='V06 Calend 01'!D65),'V06 Calend 01'!J65,0))</f>
        <v>0</v>
      </c>
      <c r="FE65" s="2">
        <f>((IF((149='V06 Calend 01'!C65),('V06 Calend 01'!F65+'V06 Calend 01'!G65),0)+IF(AND(('V06 Calend 01'!E65&gt;0),(149&gt;'V06 Calend 01'!C65),(149&lt;'V06 Calend 01'!D65),(MOD((149-'V06 Calend 01'!C65),6)=0),(((149-'V06 Calend 01'!C65)/6)&lt;='V06 Calend 01'!E65)),IF((149=('V06 Calend 01'!C65+(6*'V06 Calend 01'!E65))),('V06 Calend 01'!H65-('V06 Calend 01'!I65*('V06 Calend 01'!E65-1))),'V06 Calend 01'!I65),0))+IF((149='V06 Calend 01'!D65),'V06 Calend 01'!J65,0))</f>
        <v>0</v>
      </c>
      <c r="FF65" s="2">
        <f>((IF((150='V06 Calend 01'!C65),('V06 Calend 01'!F65+'V06 Calend 01'!G65),0)+IF(AND(('V06 Calend 01'!E65&gt;0),(150&gt;'V06 Calend 01'!C65),(150&lt;'V06 Calend 01'!D65),(MOD((150-'V06 Calend 01'!C65),6)=0),(((150-'V06 Calend 01'!C65)/6)&lt;='V06 Calend 01'!E65)),IF((150=('V06 Calend 01'!C65+(6*'V06 Calend 01'!E65))),('V06 Calend 01'!H65-('V06 Calend 01'!I65*('V06 Calend 01'!E65-1))),'V06 Calend 01'!I65),0))+IF((150='V06 Calend 01'!D65),'V06 Calend 01'!J65,0))</f>
        <v>0</v>
      </c>
      <c r="FG65" s="2">
        <f>((IF((151='V06 Calend 01'!C65),('V06 Calend 01'!F65+'V06 Calend 01'!G65),0)+IF(AND(('V06 Calend 01'!E65&gt;0),(151&gt;'V06 Calend 01'!C65),(151&lt;'V06 Calend 01'!D65),(MOD((151-'V06 Calend 01'!C65),6)=0),(((151-'V06 Calend 01'!C65)/6)&lt;='V06 Calend 01'!E65)),IF((151=('V06 Calend 01'!C65+(6*'V06 Calend 01'!E65))),('V06 Calend 01'!H65-('V06 Calend 01'!I65*('V06 Calend 01'!E65-1))),'V06 Calend 01'!I65),0))+IF((151='V06 Calend 01'!D65),'V06 Calend 01'!J65,0))</f>
        <v>0</v>
      </c>
      <c r="FH65" s="2">
        <f>((IF((152='V06 Calend 01'!C65),('V06 Calend 01'!F65+'V06 Calend 01'!G65),0)+IF(AND(('V06 Calend 01'!E65&gt;0),(152&gt;'V06 Calend 01'!C65),(152&lt;'V06 Calend 01'!D65),(MOD((152-'V06 Calend 01'!C65),6)=0),(((152-'V06 Calend 01'!C65)/6)&lt;='V06 Calend 01'!E65)),IF((152=('V06 Calend 01'!C65+(6*'V06 Calend 01'!E65))),('V06 Calend 01'!H65-('V06 Calend 01'!I65*('V06 Calend 01'!E65-1))),'V06 Calend 01'!I65),0))+IF((152='V06 Calend 01'!D65),'V06 Calend 01'!J65,0))</f>
        <v>0</v>
      </c>
      <c r="FI65" s="2">
        <f>((IF((153='V06 Calend 01'!C65),('V06 Calend 01'!F65+'V06 Calend 01'!G65),0)+IF(AND(('V06 Calend 01'!E65&gt;0),(153&gt;'V06 Calend 01'!C65),(153&lt;'V06 Calend 01'!D65),(MOD((153-'V06 Calend 01'!C65),6)=0),(((153-'V06 Calend 01'!C65)/6)&lt;='V06 Calend 01'!E65)),IF((153=('V06 Calend 01'!C65+(6*'V06 Calend 01'!E65))),('V06 Calend 01'!H65-('V06 Calend 01'!I65*('V06 Calend 01'!E65-1))),'V06 Calend 01'!I65),0))+IF((153='V06 Calend 01'!D65),'V06 Calend 01'!J65,0))</f>
        <v>0</v>
      </c>
      <c r="FJ65" s="2">
        <f>((IF((154='V06 Calend 01'!C65),('V06 Calend 01'!F65+'V06 Calend 01'!G65),0)+IF(AND(('V06 Calend 01'!E65&gt;0),(154&gt;'V06 Calend 01'!C65),(154&lt;'V06 Calend 01'!D65),(MOD((154-'V06 Calend 01'!C65),6)=0),(((154-'V06 Calend 01'!C65)/6)&lt;='V06 Calend 01'!E65)),IF((154=('V06 Calend 01'!C65+(6*'V06 Calend 01'!E65))),('V06 Calend 01'!H65-('V06 Calend 01'!I65*('V06 Calend 01'!E65-1))),'V06 Calend 01'!I65),0))+IF((154='V06 Calend 01'!D65),'V06 Calend 01'!J65,0))</f>
        <v>0</v>
      </c>
      <c r="FK65" s="2">
        <f>((IF((155='V06 Calend 01'!C65),('V06 Calend 01'!F65+'V06 Calend 01'!G65),0)+IF(AND(('V06 Calend 01'!E65&gt;0),(155&gt;'V06 Calend 01'!C65),(155&lt;'V06 Calend 01'!D65),(MOD((155-'V06 Calend 01'!C65),6)=0),(((155-'V06 Calend 01'!C65)/6)&lt;='V06 Calend 01'!E65)),IF((155=('V06 Calend 01'!C65+(6*'V06 Calend 01'!E65))),('V06 Calend 01'!H65-('V06 Calend 01'!I65*('V06 Calend 01'!E65-1))),'V06 Calend 01'!I65),0))+IF((155='V06 Calend 01'!D65),'V06 Calend 01'!J65,0))</f>
        <v>0</v>
      </c>
      <c r="FL65" s="2">
        <f>((IF((156='V06 Calend 01'!C65),('V06 Calend 01'!F65+'V06 Calend 01'!G65),0)+IF(AND(('V06 Calend 01'!E65&gt;0),(156&gt;'V06 Calend 01'!C65),(156&lt;'V06 Calend 01'!D65),(MOD((156-'V06 Calend 01'!C65),6)=0),(((156-'V06 Calend 01'!C65)/6)&lt;='V06 Calend 01'!E65)),IF((156=('V06 Calend 01'!C65+(6*'V06 Calend 01'!E65))),('V06 Calend 01'!H65-('V06 Calend 01'!I65*('V06 Calend 01'!E65-1))),'V06 Calend 01'!I65),0))+IF((156='V06 Calend 01'!D65),'V06 Calend 01'!J65,0))</f>
        <v>0</v>
      </c>
      <c r="FM65" s="2">
        <f>((IF((157='V06 Calend 01'!C65),('V06 Calend 01'!F65+'V06 Calend 01'!G65),0)+IF(AND(('V06 Calend 01'!E65&gt;0),(157&gt;'V06 Calend 01'!C65),(157&lt;'V06 Calend 01'!D65),(MOD((157-'V06 Calend 01'!C65),6)=0),(((157-'V06 Calend 01'!C65)/6)&lt;='V06 Calend 01'!E65)),IF((157=('V06 Calend 01'!C65+(6*'V06 Calend 01'!E65))),('V06 Calend 01'!H65-('V06 Calend 01'!I65*('V06 Calend 01'!E65-1))),'V06 Calend 01'!I65),0))+IF((157='V06 Calend 01'!D65),'V06 Calend 01'!J65,0))</f>
        <v>0</v>
      </c>
      <c r="FN65" s="2">
        <f>((IF((158='V06 Calend 01'!C65),('V06 Calend 01'!F65+'V06 Calend 01'!G65),0)+IF(AND(('V06 Calend 01'!E65&gt;0),(158&gt;'V06 Calend 01'!C65),(158&lt;'V06 Calend 01'!D65),(MOD((158-'V06 Calend 01'!C65),6)=0),(((158-'V06 Calend 01'!C65)/6)&lt;='V06 Calend 01'!E65)),IF((158=('V06 Calend 01'!C65+(6*'V06 Calend 01'!E65))),('V06 Calend 01'!H65-('V06 Calend 01'!I65*('V06 Calend 01'!E65-1))),'V06 Calend 01'!I65),0))+IF((158='V06 Calend 01'!D65),'V06 Calend 01'!J65,0))</f>
        <v>0</v>
      </c>
      <c r="FO65" s="2">
        <f>((IF((159='V06 Calend 01'!C65),('V06 Calend 01'!F65+'V06 Calend 01'!G65),0)+IF(AND(('V06 Calend 01'!E65&gt;0),(159&gt;'V06 Calend 01'!C65),(159&lt;'V06 Calend 01'!D65),(MOD((159-'V06 Calend 01'!C65),6)=0),(((159-'V06 Calend 01'!C65)/6)&lt;='V06 Calend 01'!E65)),IF((159=('V06 Calend 01'!C65+(6*'V06 Calend 01'!E65))),('V06 Calend 01'!H65-('V06 Calend 01'!I65*('V06 Calend 01'!E65-1))),'V06 Calend 01'!I65),0))+IF((159='V06 Calend 01'!D65),'V06 Calend 01'!J65,0))</f>
        <v>0</v>
      </c>
      <c r="FP65" s="2">
        <f>((IF((160='V06 Calend 01'!C65),('V06 Calend 01'!F65+'V06 Calend 01'!G65),0)+IF(AND(('V06 Calend 01'!E65&gt;0),(160&gt;'V06 Calend 01'!C65),(160&lt;'V06 Calend 01'!D65),(MOD((160-'V06 Calend 01'!C65),6)=0),(((160-'V06 Calend 01'!C65)/6)&lt;='V06 Calend 01'!E65)),IF((160=('V06 Calend 01'!C65+(6*'V06 Calend 01'!E65))),('V06 Calend 01'!H65-('V06 Calend 01'!I65*('V06 Calend 01'!E65-1))),'V06 Calend 01'!I65),0))+IF((160='V06 Calend 01'!D65),'V06 Calend 01'!J65,0))</f>
        <v>0</v>
      </c>
      <c r="FQ65" s="2">
        <f>((IF((161='V06 Calend 01'!C65),('V06 Calend 01'!F65+'V06 Calend 01'!G65),0)+IF(AND(('V06 Calend 01'!E65&gt;0),(161&gt;'V06 Calend 01'!C65),(161&lt;'V06 Calend 01'!D65),(MOD((161-'V06 Calend 01'!C65),6)=0),(((161-'V06 Calend 01'!C65)/6)&lt;='V06 Calend 01'!E65)),IF((161=('V06 Calend 01'!C65+(6*'V06 Calend 01'!E65))),('V06 Calend 01'!H65-('V06 Calend 01'!I65*('V06 Calend 01'!E65-1))),'V06 Calend 01'!I65),0))+IF((161='V06 Calend 01'!D65),'V06 Calend 01'!J65,0))</f>
        <v>0</v>
      </c>
      <c r="FR65" s="2">
        <f>((IF((162='V06 Calend 01'!C65),('V06 Calend 01'!F65+'V06 Calend 01'!G65),0)+IF(AND(('V06 Calend 01'!E65&gt;0),(162&gt;'V06 Calend 01'!C65),(162&lt;'V06 Calend 01'!D65),(MOD((162-'V06 Calend 01'!C65),6)=0),(((162-'V06 Calend 01'!C65)/6)&lt;='V06 Calend 01'!E65)),IF((162=('V06 Calend 01'!C65+(6*'V06 Calend 01'!E65))),('V06 Calend 01'!H65-('V06 Calend 01'!I65*('V06 Calend 01'!E65-1))),'V06 Calend 01'!I65),0))+IF((162='V06 Calend 01'!D65),'V06 Calend 01'!J65,0))</f>
        <v>0</v>
      </c>
      <c r="FS65" s="2">
        <f>((IF((163='V06 Calend 01'!C65),('V06 Calend 01'!F65+'V06 Calend 01'!G65),0)+IF(AND(('V06 Calend 01'!E65&gt;0),(163&gt;'V06 Calend 01'!C65),(163&lt;'V06 Calend 01'!D65),(MOD((163-'V06 Calend 01'!C65),6)=0),(((163-'V06 Calend 01'!C65)/6)&lt;='V06 Calend 01'!E65)),IF((163=('V06 Calend 01'!C65+(6*'V06 Calend 01'!E65))),('V06 Calend 01'!H65-('V06 Calend 01'!I65*('V06 Calend 01'!E65-1))),'V06 Calend 01'!I65),0))+IF((163='V06 Calend 01'!D65),'V06 Calend 01'!J65,0))</f>
        <v>0</v>
      </c>
      <c r="FT65" s="2">
        <f>((IF((164='V06 Calend 01'!C65),('V06 Calend 01'!F65+'V06 Calend 01'!G65),0)+IF(AND(('V06 Calend 01'!E65&gt;0),(164&gt;'V06 Calend 01'!C65),(164&lt;'V06 Calend 01'!D65),(MOD((164-'V06 Calend 01'!C65),6)=0),(((164-'V06 Calend 01'!C65)/6)&lt;='V06 Calend 01'!E65)),IF((164=('V06 Calend 01'!C65+(6*'V06 Calend 01'!E65))),('V06 Calend 01'!H65-('V06 Calend 01'!I65*('V06 Calend 01'!E65-1))),'V06 Calend 01'!I65),0))+IF((164='V06 Calend 01'!D65),'V06 Calend 01'!J65,0))</f>
        <v>0</v>
      </c>
      <c r="FU65" s="2">
        <f>((IF((165='V06 Calend 01'!C65),('V06 Calend 01'!F65+'V06 Calend 01'!G65),0)+IF(AND(('V06 Calend 01'!E65&gt;0),(165&gt;'V06 Calend 01'!C65),(165&lt;'V06 Calend 01'!D65),(MOD((165-'V06 Calend 01'!C65),6)=0),(((165-'V06 Calend 01'!C65)/6)&lt;='V06 Calend 01'!E65)),IF((165=('V06 Calend 01'!C65+(6*'V06 Calend 01'!E65))),('V06 Calend 01'!H65-('V06 Calend 01'!I65*('V06 Calend 01'!E65-1))),'V06 Calend 01'!I65),0))+IF((165='V06 Calend 01'!D65),'V06 Calend 01'!J65,0))</f>
        <v>0</v>
      </c>
      <c r="FV65" s="2">
        <f>((IF((166='V06 Calend 01'!C65),('V06 Calend 01'!F65+'V06 Calend 01'!G65),0)+IF(AND(('V06 Calend 01'!E65&gt;0),(166&gt;'V06 Calend 01'!C65),(166&lt;'V06 Calend 01'!D65),(MOD((166-'V06 Calend 01'!C65),6)=0),(((166-'V06 Calend 01'!C65)/6)&lt;='V06 Calend 01'!E65)),IF((166=('V06 Calend 01'!C65+(6*'V06 Calend 01'!E65))),('V06 Calend 01'!H65-('V06 Calend 01'!I65*('V06 Calend 01'!E65-1))),'V06 Calend 01'!I65),0))+IF((166='V06 Calend 01'!D65),'V06 Calend 01'!J65,0))</f>
        <v>0</v>
      </c>
      <c r="FW65" s="2">
        <f>((IF((167='V06 Calend 01'!C65),('V06 Calend 01'!F65+'V06 Calend 01'!G65),0)+IF(AND(('V06 Calend 01'!E65&gt;0),(167&gt;'V06 Calend 01'!C65),(167&lt;'V06 Calend 01'!D65),(MOD((167-'V06 Calend 01'!C65),6)=0),(((167-'V06 Calend 01'!C65)/6)&lt;='V06 Calend 01'!E65)),IF((167=('V06 Calend 01'!C65+(6*'V06 Calend 01'!E65))),('V06 Calend 01'!H65-('V06 Calend 01'!I65*('V06 Calend 01'!E65-1))),'V06 Calend 01'!I65),0))+IF((167='V06 Calend 01'!D65),'V06 Calend 01'!J65,0))</f>
        <v>0</v>
      </c>
      <c r="FX65" s="2">
        <f>((IF((168='V06 Calend 01'!C65),('V06 Calend 01'!F65+'V06 Calend 01'!G65),0)+IF(AND(('V06 Calend 01'!E65&gt;0),(168&gt;'V06 Calend 01'!C65),(168&lt;'V06 Calend 01'!D65),(MOD((168-'V06 Calend 01'!C65),6)=0),(((168-'V06 Calend 01'!C65)/6)&lt;='V06 Calend 01'!E65)),IF((168=('V06 Calend 01'!C65+(6*'V06 Calend 01'!E65))),('V06 Calend 01'!H65-('V06 Calend 01'!I65*('V06 Calend 01'!E65-1))),'V06 Calend 01'!I65),0))+IF((168='V06 Calend 01'!D65),'V06 Calend 01'!J65,0))</f>
        <v>0</v>
      </c>
      <c r="FY65" s="2">
        <f>((IF((169='V06 Calend 01'!C65),('V06 Calend 01'!F65+'V06 Calend 01'!G65),0)+IF(AND(('V06 Calend 01'!E65&gt;0),(169&gt;'V06 Calend 01'!C65),(169&lt;'V06 Calend 01'!D65),(MOD((169-'V06 Calend 01'!C65),6)=0),(((169-'V06 Calend 01'!C65)/6)&lt;='V06 Calend 01'!E65)),IF((169=('V06 Calend 01'!C65+(6*'V06 Calend 01'!E65))),('V06 Calend 01'!H65-('V06 Calend 01'!I65*('V06 Calend 01'!E65-1))),'V06 Calend 01'!I65),0))+IF((169='V06 Calend 01'!D65),'V06 Calend 01'!J65,0))</f>
        <v>0</v>
      </c>
      <c r="FZ65" s="2">
        <f>((IF((170='V06 Calend 01'!C65),('V06 Calend 01'!F65+'V06 Calend 01'!G65),0)+IF(AND(('V06 Calend 01'!E65&gt;0),(170&gt;'V06 Calend 01'!C65),(170&lt;'V06 Calend 01'!D65),(MOD((170-'V06 Calend 01'!C65),6)=0),(((170-'V06 Calend 01'!C65)/6)&lt;='V06 Calend 01'!E65)),IF((170=('V06 Calend 01'!C65+(6*'V06 Calend 01'!E65))),('V06 Calend 01'!H65-('V06 Calend 01'!I65*('V06 Calend 01'!E65-1))),'V06 Calend 01'!I65),0))+IF((170='V06 Calend 01'!D65),'V06 Calend 01'!J65,0))</f>
        <v>0</v>
      </c>
      <c r="GA65" s="2">
        <f>((IF((171='V06 Calend 01'!C65),('V06 Calend 01'!F65+'V06 Calend 01'!G65),0)+IF(AND(('V06 Calend 01'!E65&gt;0),(171&gt;'V06 Calend 01'!C65),(171&lt;'V06 Calend 01'!D65),(MOD((171-'V06 Calend 01'!C65),6)=0),(((171-'V06 Calend 01'!C65)/6)&lt;='V06 Calend 01'!E65)),IF((171=('V06 Calend 01'!C65+(6*'V06 Calend 01'!E65))),('V06 Calend 01'!H65-('V06 Calend 01'!I65*('V06 Calend 01'!E65-1))),'V06 Calend 01'!I65),0))+IF((171='V06 Calend 01'!D65),'V06 Calend 01'!J65,0))</f>
        <v>0</v>
      </c>
      <c r="GB65" s="2">
        <f>((IF((172='V06 Calend 01'!C65),('V06 Calend 01'!F65+'V06 Calend 01'!G65),0)+IF(AND(('V06 Calend 01'!E65&gt;0),(172&gt;'V06 Calend 01'!C65),(172&lt;'V06 Calend 01'!D65),(MOD((172-'V06 Calend 01'!C65),6)=0),(((172-'V06 Calend 01'!C65)/6)&lt;='V06 Calend 01'!E65)),IF((172=('V06 Calend 01'!C65+(6*'V06 Calend 01'!E65))),('V06 Calend 01'!H65-('V06 Calend 01'!I65*('V06 Calend 01'!E65-1))),'V06 Calend 01'!I65),0))+IF((172='V06 Calend 01'!D65),'V06 Calend 01'!J65,0))</f>
        <v>0</v>
      </c>
      <c r="GC65" s="2">
        <f>((IF((173='V06 Calend 01'!C65),('V06 Calend 01'!F65+'V06 Calend 01'!G65),0)+IF(AND(('V06 Calend 01'!E65&gt;0),(173&gt;'V06 Calend 01'!C65),(173&lt;'V06 Calend 01'!D65),(MOD((173-'V06 Calend 01'!C65),6)=0),(((173-'V06 Calend 01'!C65)/6)&lt;='V06 Calend 01'!E65)),IF((173=('V06 Calend 01'!C65+(6*'V06 Calend 01'!E65))),('V06 Calend 01'!H65-('V06 Calend 01'!I65*('V06 Calend 01'!E65-1))),'V06 Calend 01'!I65),0))+IF((173='V06 Calend 01'!D65),'V06 Calend 01'!J65,0))</f>
        <v>0</v>
      </c>
      <c r="GD65" s="2">
        <f>((IF((174='V06 Calend 01'!C65),('V06 Calend 01'!F65+'V06 Calend 01'!G65),0)+IF(AND(('V06 Calend 01'!E65&gt;0),(174&gt;'V06 Calend 01'!C65),(174&lt;'V06 Calend 01'!D65),(MOD((174-'V06 Calend 01'!C65),6)=0),(((174-'V06 Calend 01'!C65)/6)&lt;='V06 Calend 01'!E65)),IF((174=('V06 Calend 01'!C65+(6*'V06 Calend 01'!E65))),('V06 Calend 01'!H65-('V06 Calend 01'!I65*('V06 Calend 01'!E65-1))),'V06 Calend 01'!I65),0))+IF((174='V06 Calend 01'!D65),'V06 Calend 01'!J65,0))</f>
        <v>0</v>
      </c>
      <c r="GE65" s="2">
        <f>((IF((175='V06 Calend 01'!C65),('V06 Calend 01'!F65+'V06 Calend 01'!G65),0)+IF(AND(('V06 Calend 01'!E65&gt;0),(175&gt;'V06 Calend 01'!C65),(175&lt;'V06 Calend 01'!D65),(MOD((175-'V06 Calend 01'!C65),6)=0),(((175-'V06 Calend 01'!C65)/6)&lt;='V06 Calend 01'!E65)),IF((175=('V06 Calend 01'!C65+(6*'V06 Calend 01'!E65))),('V06 Calend 01'!H65-('V06 Calend 01'!I65*('V06 Calend 01'!E65-1))),'V06 Calend 01'!I65),0))+IF((175='V06 Calend 01'!D65),'V06 Calend 01'!J65,0))</f>
        <v>0</v>
      </c>
      <c r="GF65" s="2">
        <f>((IF((176='V06 Calend 01'!C65),('V06 Calend 01'!F65+'V06 Calend 01'!G65),0)+IF(AND(('V06 Calend 01'!E65&gt;0),(176&gt;'V06 Calend 01'!C65),(176&lt;'V06 Calend 01'!D65),(MOD((176-'V06 Calend 01'!C65),6)=0),(((176-'V06 Calend 01'!C65)/6)&lt;='V06 Calend 01'!E65)),IF((176=('V06 Calend 01'!C65+(6*'V06 Calend 01'!E65))),('V06 Calend 01'!H65-('V06 Calend 01'!I65*('V06 Calend 01'!E65-1))),'V06 Calend 01'!I65),0))+IF((176='V06 Calend 01'!D65),'V06 Calend 01'!J65,0))</f>
        <v>0</v>
      </c>
      <c r="GG65" s="2">
        <f>((IF((177='V06 Calend 01'!C65),('V06 Calend 01'!F65+'V06 Calend 01'!G65),0)+IF(AND(('V06 Calend 01'!E65&gt;0),(177&gt;'V06 Calend 01'!C65),(177&lt;'V06 Calend 01'!D65),(MOD((177-'V06 Calend 01'!C65),6)=0),(((177-'V06 Calend 01'!C65)/6)&lt;='V06 Calend 01'!E65)),IF((177=('V06 Calend 01'!C65+(6*'V06 Calend 01'!E65))),('V06 Calend 01'!H65-('V06 Calend 01'!I65*('V06 Calend 01'!E65-1))),'V06 Calend 01'!I65),0))+IF((177='V06 Calend 01'!D65),'V06 Calend 01'!J65,0))</f>
        <v>0</v>
      </c>
      <c r="GH65" s="2">
        <f>((IF((178='V06 Calend 01'!C65),('V06 Calend 01'!F65+'V06 Calend 01'!G65),0)+IF(AND(('V06 Calend 01'!E65&gt;0),(178&gt;'V06 Calend 01'!C65),(178&lt;'V06 Calend 01'!D65),(MOD((178-'V06 Calend 01'!C65),6)=0),(((178-'V06 Calend 01'!C65)/6)&lt;='V06 Calend 01'!E65)),IF((178=('V06 Calend 01'!C65+(6*'V06 Calend 01'!E65))),('V06 Calend 01'!H65-('V06 Calend 01'!I65*('V06 Calend 01'!E65-1))),'V06 Calend 01'!I65),0))+IF((178='V06 Calend 01'!D65),'V06 Calend 01'!J65,0))</f>
        <v>0</v>
      </c>
      <c r="GI65" s="2">
        <f>((IF((179='V06 Calend 01'!C65),('V06 Calend 01'!F65+'V06 Calend 01'!G65),0)+IF(AND(('V06 Calend 01'!E65&gt;0),(179&gt;'V06 Calend 01'!C65),(179&lt;'V06 Calend 01'!D65),(MOD((179-'V06 Calend 01'!C65),6)=0),(((179-'V06 Calend 01'!C65)/6)&lt;='V06 Calend 01'!E65)),IF((179=('V06 Calend 01'!C65+(6*'V06 Calend 01'!E65))),('V06 Calend 01'!H65-('V06 Calend 01'!I65*('V06 Calend 01'!E65-1))),'V06 Calend 01'!I65),0))+IF((179='V06 Calend 01'!D65),'V06 Calend 01'!J65,0))</f>
        <v>0</v>
      </c>
      <c r="GJ65" s="2">
        <f>((IF((180='V06 Calend 01'!C65),('V06 Calend 01'!F65+'V06 Calend 01'!G65),0)+IF(AND(('V06 Calend 01'!E65&gt;0),(180&gt;'V06 Calend 01'!C65),(180&lt;'V06 Calend 01'!D65),(MOD((180-'V06 Calend 01'!C65),6)=0),(((180-'V06 Calend 01'!C65)/6)&lt;='V06 Calend 01'!E65)),IF((180=('V06 Calend 01'!C65+(6*'V06 Calend 01'!E65))),('V06 Calend 01'!H65-('V06 Calend 01'!I65*('V06 Calend 01'!E65-1))),'V06 Calend 01'!I65),0))+IF((180='V06 Calend 01'!D65),'V06 Calend 01'!J65,0))</f>
        <v>0</v>
      </c>
    </row>
    <row r="66" spans="1:192">
      <c r="A66" s="3" t="str">
        <f>'V06 Unidades'!$A$66</f>
        <v>802</v>
      </c>
      <c r="B66" s="2">
        <f>'V06 Unidades'!$H$66</f>
        <v>602198.58</v>
      </c>
      <c r="C66" s="4">
        <f>('V06 Unidades'!$I$66+'V06 Controlos'!$B$37)</f>
        <v>16</v>
      </c>
      <c r="D66" s="4">
        <f>IF(('V06 Controlos'!$B$38&gt;0),MAX(('V06 Unidades'!$L$66+'V06 Controlos'!$B$37),(30+'V06 Controlos'!$B$38)),('V06 Unidades'!$L$66+'V06 Controlos'!$B$37))</f>
        <v>29</v>
      </c>
      <c r="E66" s="4">
        <f>MAX(0,INT(((('V06 Calend 01'!D66-'V06 Calend 01'!C66)-1)/6)))</f>
        <v>2</v>
      </c>
      <c r="F66" s="2">
        <f>ROUND(('V06 Calend 01'!B66*0.05),2)</f>
        <v>30109.93</v>
      </c>
      <c r="G66" s="2">
        <f>ROUND(('V06 Calend 01'!B66*0.2),2)</f>
        <v>120439.72</v>
      </c>
      <c r="H66" s="2">
        <f>ROUND(('V06 Calend 01'!B66*0.55),2)</f>
        <v>331209.22</v>
      </c>
      <c r="I66" s="2">
        <f>ROUND(('V06 Calend 01'!H66/MAX(1,'V06 Calend 01'!E66)),2)</f>
        <v>165604.61</v>
      </c>
      <c r="J66" s="2">
        <f>((('V06 Calend 01'!B66-'V06 Calend 01'!F66)-'V06 Calend 01'!G66)-'V06 Calend 01'!H66)</f>
        <v>120439.70999999996</v>
      </c>
      <c r="K66" s="2">
        <f>('V06 Calend 01'!B66*0.025)</f>
        <v>15054.9645</v>
      </c>
      <c r="L66" t="s">
        <v>378</v>
      </c>
      <c r="M66" s="2">
        <f>((IF((1='V06 Calend 01'!C66),('V06 Calend 01'!F66+'V06 Calend 01'!G66),0)+IF(AND(('V06 Calend 01'!E66&gt;0),(1&gt;'V06 Calend 01'!C66),(1&lt;'V06 Calend 01'!D66),(MOD((1-'V06 Calend 01'!C66),6)=0),(((1-'V06 Calend 01'!C66)/6)&lt;='V06 Calend 01'!E66)),IF((1=('V06 Calend 01'!C66+(6*'V06 Calend 01'!E66))),('V06 Calend 01'!H66-('V06 Calend 01'!I66*('V06 Calend 01'!E66-1))),'V06 Calend 01'!I66),0))+IF((1='V06 Calend 01'!D66),'V06 Calend 01'!J66,0))</f>
        <v>0</v>
      </c>
      <c r="N66" s="2">
        <f>((IF((2='V06 Calend 01'!C66),('V06 Calend 01'!F66+'V06 Calend 01'!G66),0)+IF(AND(('V06 Calend 01'!E66&gt;0),(2&gt;'V06 Calend 01'!C66),(2&lt;'V06 Calend 01'!D66),(MOD((2-'V06 Calend 01'!C66),6)=0),(((2-'V06 Calend 01'!C66)/6)&lt;='V06 Calend 01'!E66)),IF((2=('V06 Calend 01'!C66+(6*'V06 Calend 01'!E66))),('V06 Calend 01'!H66-('V06 Calend 01'!I66*('V06 Calend 01'!E66-1))),'V06 Calend 01'!I66),0))+IF((2='V06 Calend 01'!D66),'V06 Calend 01'!J66,0))</f>
        <v>0</v>
      </c>
      <c r="O66" s="2">
        <f>((IF((3='V06 Calend 01'!C66),('V06 Calend 01'!F66+'V06 Calend 01'!G66),0)+IF(AND(('V06 Calend 01'!E66&gt;0),(3&gt;'V06 Calend 01'!C66),(3&lt;'V06 Calend 01'!D66),(MOD((3-'V06 Calend 01'!C66),6)=0),(((3-'V06 Calend 01'!C66)/6)&lt;='V06 Calend 01'!E66)),IF((3=('V06 Calend 01'!C66+(6*'V06 Calend 01'!E66))),('V06 Calend 01'!H66-('V06 Calend 01'!I66*('V06 Calend 01'!E66-1))),'V06 Calend 01'!I66),0))+IF((3='V06 Calend 01'!D66),'V06 Calend 01'!J66,0))</f>
        <v>0</v>
      </c>
      <c r="P66" s="2">
        <f>((IF((4='V06 Calend 01'!C66),('V06 Calend 01'!F66+'V06 Calend 01'!G66),0)+IF(AND(('V06 Calend 01'!E66&gt;0),(4&gt;'V06 Calend 01'!C66),(4&lt;'V06 Calend 01'!D66),(MOD((4-'V06 Calend 01'!C66),6)=0),(((4-'V06 Calend 01'!C66)/6)&lt;='V06 Calend 01'!E66)),IF((4=('V06 Calend 01'!C66+(6*'V06 Calend 01'!E66))),('V06 Calend 01'!H66-('V06 Calend 01'!I66*('V06 Calend 01'!E66-1))),'V06 Calend 01'!I66),0))+IF((4='V06 Calend 01'!D66),'V06 Calend 01'!J66,0))</f>
        <v>0</v>
      </c>
      <c r="Q66" s="2">
        <f>((IF((5='V06 Calend 01'!C66),('V06 Calend 01'!F66+'V06 Calend 01'!G66),0)+IF(AND(('V06 Calend 01'!E66&gt;0),(5&gt;'V06 Calend 01'!C66),(5&lt;'V06 Calend 01'!D66),(MOD((5-'V06 Calend 01'!C66),6)=0),(((5-'V06 Calend 01'!C66)/6)&lt;='V06 Calend 01'!E66)),IF((5=('V06 Calend 01'!C66+(6*'V06 Calend 01'!E66))),('V06 Calend 01'!H66-('V06 Calend 01'!I66*('V06 Calend 01'!E66-1))),'V06 Calend 01'!I66),0))+IF((5='V06 Calend 01'!D66),'V06 Calend 01'!J66,0))</f>
        <v>0</v>
      </c>
      <c r="R66" s="2">
        <f>((IF((6='V06 Calend 01'!C66),('V06 Calend 01'!F66+'V06 Calend 01'!G66),0)+IF(AND(('V06 Calend 01'!E66&gt;0),(6&gt;'V06 Calend 01'!C66),(6&lt;'V06 Calend 01'!D66),(MOD((6-'V06 Calend 01'!C66),6)=0),(((6-'V06 Calend 01'!C66)/6)&lt;='V06 Calend 01'!E66)),IF((6=('V06 Calend 01'!C66+(6*'V06 Calend 01'!E66))),('V06 Calend 01'!H66-('V06 Calend 01'!I66*('V06 Calend 01'!E66-1))),'V06 Calend 01'!I66),0))+IF((6='V06 Calend 01'!D66),'V06 Calend 01'!J66,0))</f>
        <v>0</v>
      </c>
      <c r="S66" s="2">
        <f>((IF((7='V06 Calend 01'!C66),('V06 Calend 01'!F66+'V06 Calend 01'!G66),0)+IF(AND(('V06 Calend 01'!E66&gt;0),(7&gt;'V06 Calend 01'!C66),(7&lt;'V06 Calend 01'!D66),(MOD((7-'V06 Calend 01'!C66),6)=0),(((7-'V06 Calend 01'!C66)/6)&lt;='V06 Calend 01'!E66)),IF((7=('V06 Calend 01'!C66+(6*'V06 Calend 01'!E66))),('V06 Calend 01'!H66-('V06 Calend 01'!I66*('V06 Calend 01'!E66-1))),'V06 Calend 01'!I66),0))+IF((7='V06 Calend 01'!D66),'V06 Calend 01'!J66,0))</f>
        <v>0</v>
      </c>
      <c r="T66" s="2">
        <f>((IF((8='V06 Calend 01'!C66),('V06 Calend 01'!F66+'V06 Calend 01'!G66),0)+IF(AND(('V06 Calend 01'!E66&gt;0),(8&gt;'V06 Calend 01'!C66),(8&lt;'V06 Calend 01'!D66),(MOD((8-'V06 Calend 01'!C66),6)=0),(((8-'V06 Calend 01'!C66)/6)&lt;='V06 Calend 01'!E66)),IF((8=('V06 Calend 01'!C66+(6*'V06 Calend 01'!E66))),('V06 Calend 01'!H66-('V06 Calend 01'!I66*('V06 Calend 01'!E66-1))),'V06 Calend 01'!I66),0))+IF((8='V06 Calend 01'!D66),'V06 Calend 01'!J66,0))</f>
        <v>0</v>
      </c>
      <c r="U66" s="2">
        <f>((IF((9='V06 Calend 01'!C66),('V06 Calend 01'!F66+'V06 Calend 01'!G66),0)+IF(AND(('V06 Calend 01'!E66&gt;0),(9&gt;'V06 Calend 01'!C66),(9&lt;'V06 Calend 01'!D66),(MOD((9-'V06 Calend 01'!C66),6)=0),(((9-'V06 Calend 01'!C66)/6)&lt;='V06 Calend 01'!E66)),IF((9=('V06 Calend 01'!C66+(6*'V06 Calend 01'!E66))),('V06 Calend 01'!H66-('V06 Calend 01'!I66*('V06 Calend 01'!E66-1))),'V06 Calend 01'!I66),0))+IF((9='V06 Calend 01'!D66),'V06 Calend 01'!J66,0))</f>
        <v>0</v>
      </c>
      <c r="V66" s="2">
        <f>((IF((10='V06 Calend 01'!C66),('V06 Calend 01'!F66+'V06 Calend 01'!G66),0)+IF(AND(('V06 Calend 01'!E66&gt;0),(10&gt;'V06 Calend 01'!C66),(10&lt;'V06 Calend 01'!D66),(MOD((10-'V06 Calend 01'!C66),6)=0),(((10-'V06 Calend 01'!C66)/6)&lt;='V06 Calend 01'!E66)),IF((10=('V06 Calend 01'!C66+(6*'V06 Calend 01'!E66))),('V06 Calend 01'!H66-('V06 Calend 01'!I66*('V06 Calend 01'!E66-1))),'V06 Calend 01'!I66),0))+IF((10='V06 Calend 01'!D66),'V06 Calend 01'!J66,0))</f>
        <v>0</v>
      </c>
      <c r="W66" s="2">
        <f>((IF((11='V06 Calend 01'!C66),('V06 Calend 01'!F66+'V06 Calend 01'!G66),0)+IF(AND(('V06 Calend 01'!E66&gt;0),(11&gt;'V06 Calend 01'!C66),(11&lt;'V06 Calend 01'!D66),(MOD((11-'V06 Calend 01'!C66),6)=0),(((11-'V06 Calend 01'!C66)/6)&lt;='V06 Calend 01'!E66)),IF((11=('V06 Calend 01'!C66+(6*'V06 Calend 01'!E66))),('V06 Calend 01'!H66-('V06 Calend 01'!I66*('V06 Calend 01'!E66-1))),'V06 Calend 01'!I66),0))+IF((11='V06 Calend 01'!D66),'V06 Calend 01'!J66,0))</f>
        <v>0</v>
      </c>
      <c r="X66" s="2">
        <f>((IF((12='V06 Calend 01'!C66),('V06 Calend 01'!F66+'V06 Calend 01'!G66),0)+IF(AND(('V06 Calend 01'!E66&gt;0),(12&gt;'V06 Calend 01'!C66),(12&lt;'V06 Calend 01'!D66),(MOD((12-'V06 Calend 01'!C66),6)=0),(((12-'V06 Calend 01'!C66)/6)&lt;='V06 Calend 01'!E66)),IF((12=('V06 Calend 01'!C66+(6*'V06 Calend 01'!E66))),('V06 Calend 01'!H66-('V06 Calend 01'!I66*('V06 Calend 01'!E66-1))),'V06 Calend 01'!I66),0))+IF((12='V06 Calend 01'!D66),'V06 Calend 01'!J66,0))</f>
        <v>0</v>
      </c>
      <c r="Y66" s="2">
        <f>((IF((13='V06 Calend 01'!C66),('V06 Calend 01'!F66+'V06 Calend 01'!G66),0)+IF(AND(('V06 Calend 01'!E66&gt;0),(13&gt;'V06 Calend 01'!C66),(13&lt;'V06 Calend 01'!D66),(MOD((13-'V06 Calend 01'!C66),6)=0),(((13-'V06 Calend 01'!C66)/6)&lt;='V06 Calend 01'!E66)),IF((13=('V06 Calend 01'!C66+(6*'V06 Calend 01'!E66))),('V06 Calend 01'!H66-('V06 Calend 01'!I66*('V06 Calend 01'!E66-1))),'V06 Calend 01'!I66),0))+IF((13='V06 Calend 01'!D66),'V06 Calend 01'!J66,0))</f>
        <v>0</v>
      </c>
      <c r="Z66" s="2">
        <f>((IF((14='V06 Calend 01'!C66),('V06 Calend 01'!F66+'V06 Calend 01'!G66),0)+IF(AND(('V06 Calend 01'!E66&gt;0),(14&gt;'V06 Calend 01'!C66),(14&lt;'V06 Calend 01'!D66),(MOD((14-'V06 Calend 01'!C66),6)=0),(((14-'V06 Calend 01'!C66)/6)&lt;='V06 Calend 01'!E66)),IF((14=('V06 Calend 01'!C66+(6*'V06 Calend 01'!E66))),('V06 Calend 01'!H66-('V06 Calend 01'!I66*('V06 Calend 01'!E66-1))),'V06 Calend 01'!I66),0))+IF((14='V06 Calend 01'!D66),'V06 Calend 01'!J66,0))</f>
        <v>0</v>
      </c>
      <c r="AA66" s="2">
        <f>((IF((15='V06 Calend 01'!C66),('V06 Calend 01'!F66+'V06 Calend 01'!G66),0)+IF(AND(('V06 Calend 01'!E66&gt;0),(15&gt;'V06 Calend 01'!C66),(15&lt;'V06 Calend 01'!D66),(MOD((15-'V06 Calend 01'!C66),6)=0),(((15-'V06 Calend 01'!C66)/6)&lt;='V06 Calend 01'!E66)),IF((15=('V06 Calend 01'!C66+(6*'V06 Calend 01'!E66))),('V06 Calend 01'!H66-('V06 Calend 01'!I66*('V06 Calend 01'!E66-1))),'V06 Calend 01'!I66),0))+IF((15='V06 Calend 01'!D66),'V06 Calend 01'!J66,0))</f>
        <v>0</v>
      </c>
      <c r="AB66" s="2">
        <f>((IF((16='V06 Calend 01'!C66),('V06 Calend 01'!F66+'V06 Calend 01'!G66),0)+IF(AND(('V06 Calend 01'!E66&gt;0),(16&gt;'V06 Calend 01'!C66),(16&lt;'V06 Calend 01'!D66),(MOD((16-'V06 Calend 01'!C66),6)=0),(((16-'V06 Calend 01'!C66)/6)&lt;='V06 Calend 01'!E66)),IF((16=('V06 Calend 01'!C66+(6*'V06 Calend 01'!E66))),('V06 Calend 01'!H66-('V06 Calend 01'!I66*('V06 Calend 01'!E66-1))),'V06 Calend 01'!I66),0))+IF((16='V06 Calend 01'!D66),'V06 Calend 01'!J66,0))</f>
        <v>150549.65</v>
      </c>
      <c r="AC66" s="2">
        <f>((IF((17='V06 Calend 01'!C66),('V06 Calend 01'!F66+'V06 Calend 01'!G66),0)+IF(AND(('V06 Calend 01'!E66&gt;0),(17&gt;'V06 Calend 01'!C66),(17&lt;'V06 Calend 01'!D66),(MOD((17-'V06 Calend 01'!C66),6)=0),(((17-'V06 Calend 01'!C66)/6)&lt;='V06 Calend 01'!E66)),IF((17=('V06 Calend 01'!C66+(6*'V06 Calend 01'!E66))),('V06 Calend 01'!H66-('V06 Calend 01'!I66*('V06 Calend 01'!E66-1))),'V06 Calend 01'!I66),0))+IF((17='V06 Calend 01'!D66),'V06 Calend 01'!J66,0))</f>
        <v>0</v>
      </c>
      <c r="AD66" s="2">
        <f>((IF((18='V06 Calend 01'!C66),('V06 Calend 01'!F66+'V06 Calend 01'!G66),0)+IF(AND(('V06 Calend 01'!E66&gt;0),(18&gt;'V06 Calend 01'!C66),(18&lt;'V06 Calend 01'!D66),(MOD((18-'V06 Calend 01'!C66),6)=0),(((18-'V06 Calend 01'!C66)/6)&lt;='V06 Calend 01'!E66)),IF((18=('V06 Calend 01'!C66+(6*'V06 Calend 01'!E66))),('V06 Calend 01'!H66-('V06 Calend 01'!I66*('V06 Calend 01'!E66-1))),'V06 Calend 01'!I66),0))+IF((18='V06 Calend 01'!D66),'V06 Calend 01'!J66,0))</f>
        <v>0</v>
      </c>
      <c r="AE66" s="2">
        <f>((IF((19='V06 Calend 01'!C66),('V06 Calend 01'!F66+'V06 Calend 01'!G66),0)+IF(AND(('V06 Calend 01'!E66&gt;0),(19&gt;'V06 Calend 01'!C66),(19&lt;'V06 Calend 01'!D66),(MOD((19-'V06 Calend 01'!C66),6)=0),(((19-'V06 Calend 01'!C66)/6)&lt;='V06 Calend 01'!E66)),IF((19=('V06 Calend 01'!C66+(6*'V06 Calend 01'!E66))),('V06 Calend 01'!H66-('V06 Calend 01'!I66*('V06 Calend 01'!E66-1))),'V06 Calend 01'!I66),0))+IF((19='V06 Calend 01'!D66),'V06 Calend 01'!J66,0))</f>
        <v>0</v>
      </c>
      <c r="AF66" s="2">
        <f>((IF((20='V06 Calend 01'!C66),('V06 Calend 01'!F66+'V06 Calend 01'!G66),0)+IF(AND(('V06 Calend 01'!E66&gt;0),(20&gt;'V06 Calend 01'!C66),(20&lt;'V06 Calend 01'!D66),(MOD((20-'V06 Calend 01'!C66),6)=0),(((20-'V06 Calend 01'!C66)/6)&lt;='V06 Calend 01'!E66)),IF((20=('V06 Calend 01'!C66+(6*'V06 Calend 01'!E66))),('V06 Calend 01'!H66-('V06 Calend 01'!I66*('V06 Calend 01'!E66-1))),'V06 Calend 01'!I66),0))+IF((20='V06 Calend 01'!D66),'V06 Calend 01'!J66,0))</f>
        <v>0</v>
      </c>
      <c r="AG66" s="2">
        <f>((IF((21='V06 Calend 01'!C66),('V06 Calend 01'!F66+'V06 Calend 01'!G66),0)+IF(AND(('V06 Calend 01'!E66&gt;0),(21&gt;'V06 Calend 01'!C66),(21&lt;'V06 Calend 01'!D66),(MOD((21-'V06 Calend 01'!C66),6)=0),(((21-'V06 Calend 01'!C66)/6)&lt;='V06 Calend 01'!E66)),IF((21=('V06 Calend 01'!C66+(6*'V06 Calend 01'!E66))),('V06 Calend 01'!H66-('V06 Calend 01'!I66*('V06 Calend 01'!E66-1))),'V06 Calend 01'!I66),0))+IF((21='V06 Calend 01'!D66),'V06 Calend 01'!J66,0))</f>
        <v>0</v>
      </c>
      <c r="AH66" s="2">
        <f>((IF((22='V06 Calend 01'!C66),('V06 Calend 01'!F66+'V06 Calend 01'!G66),0)+IF(AND(('V06 Calend 01'!E66&gt;0),(22&gt;'V06 Calend 01'!C66),(22&lt;'V06 Calend 01'!D66),(MOD((22-'V06 Calend 01'!C66),6)=0),(((22-'V06 Calend 01'!C66)/6)&lt;='V06 Calend 01'!E66)),IF((22=('V06 Calend 01'!C66+(6*'V06 Calend 01'!E66))),('V06 Calend 01'!H66-('V06 Calend 01'!I66*('V06 Calend 01'!E66-1))),'V06 Calend 01'!I66),0))+IF((22='V06 Calend 01'!D66),'V06 Calend 01'!J66,0))</f>
        <v>165604.61</v>
      </c>
      <c r="AI66" s="2">
        <f>((IF((23='V06 Calend 01'!C66),('V06 Calend 01'!F66+'V06 Calend 01'!G66),0)+IF(AND(('V06 Calend 01'!E66&gt;0),(23&gt;'V06 Calend 01'!C66),(23&lt;'V06 Calend 01'!D66),(MOD((23-'V06 Calend 01'!C66),6)=0),(((23-'V06 Calend 01'!C66)/6)&lt;='V06 Calend 01'!E66)),IF((23=('V06 Calend 01'!C66+(6*'V06 Calend 01'!E66))),('V06 Calend 01'!H66-('V06 Calend 01'!I66*('V06 Calend 01'!E66-1))),'V06 Calend 01'!I66),0))+IF((23='V06 Calend 01'!D66),'V06 Calend 01'!J66,0))</f>
        <v>0</v>
      </c>
      <c r="AJ66" s="2">
        <f>((IF((24='V06 Calend 01'!C66),('V06 Calend 01'!F66+'V06 Calend 01'!G66),0)+IF(AND(('V06 Calend 01'!E66&gt;0),(24&gt;'V06 Calend 01'!C66),(24&lt;'V06 Calend 01'!D66),(MOD((24-'V06 Calend 01'!C66),6)=0),(((24-'V06 Calend 01'!C66)/6)&lt;='V06 Calend 01'!E66)),IF((24=('V06 Calend 01'!C66+(6*'V06 Calend 01'!E66))),('V06 Calend 01'!H66-('V06 Calend 01'!I66*('V06 Calend 01'!E66-1))),'V06 Calend 01'!I66),0))+IF((24='V06 Calend 01'!D66),'V06 Calend 01'!J66,0))</f>
        <v>0</v>
      </c>
      <c r="AK66" s="2">
        <f>((IF((25='V06 Calend 01'!C66),('V06 Calend 01'!F66+'V06 Calend 01'!G66),0)+IF(AND(('V06 Calend 01'!E66&gt;0),(25&gt;'V06 Calend 01'!C66),(25&lt;'V06 Calend 01'!D66),(MOD((25-'V06 Calend 01'!C66),6)=0),(((25-'V06 Calend 01'!C66)/6)&lt;='V06 Calend 01'!E66)),IF((25=('V06 Calend 01'!C66+(6*'V06 Calend 01'!E66))),('V06 Calend 01'!H66-('V06 Calend 01'!I66*('V06 Calend 01'!E66-1))),'V06 Calend 01'!I66),0))+IF((25='V06 Calend 01'!D66),'V06 Calend 01'!J66,0))</f>
        <v>0</v>
      </c>
      <c r="AL66" s="2">
        <f>((IF((26='V06 Calend 01'!C66),('V06 Calend 01'!F66+'V06 Calend 01'!G66),0)+IF(AND(('V06 Calend 01'!E66&gt;0),(26&gt;'V06 Calend 01'!C66),(26&lt;'V06 Calend 01'!D66),(MOD((26-'V06 Calend 01'!C66),6)=0),(((26-'V06 Calend 01'!C66)/6)&lt;='V06 Calend 01'!E66)),IF((26=('V06 Calend 01'!C66+(6*'V06 Calend 01'!E66))),('V06 Calend 01'!H66-('V06 Calend 01'!I66*('V06 Calend 01'!E66-1))),'V06 Calend 01'!I66),0))+IF((26='V06 Calend 01'!D66),'V06 Calend 01'!J66,0))</f>
        <v>0</v>
      </c>
      <c r="AM66" s="2">
        <f>((IF((27='V06 Calend 01'!C66),('V06 Calend 01'!F66+'V06 Calend 01'!G66),0)+IF(AND(('V06 Calend 01'!E66&gt;0),(27&gt;'V06 Calend 01'!C66),(27&lt;'V06 Calend 01'!D66),(MOD((27-'V06 Calend 01'!C66),6)=0),(((27-'V06 Calend 01'!C66)/6)&lt;='V06 Calend 01'!E66)),IF((27=('V06 Calend 01'!C66+(6*'V06 Calend 01'!E66))),('V06 Calend 01'!H66-('V06 Calend 01'!I66*('V06 Calend 01'!E66-1))),'V06 Calend 01'!I66),0))+IF((27='V06 Calend 01'!D66),'V06 Calend 01'!J66,0))</f>
        <v>0</v>
      </c>
      <c r="AN66" s="2">
        <f>((IF((28='V06 Calend 01'!C66),('V06 Calend 01'!F66+'V06 Calend 01'!G66),0)+IF(AND(('V06 Calend 01'!E66&gt;0),(28&gt;'V06 Calend 01'!C66),(28&lt;'V06 Calend 01'!D66),(MOD((28-'V06 Calend 01'!C66),6)=0),(((28-'V06 Calend 01'!C66)/6)&lt;='V06 Calend 01'!E66)),IF((28=('V06 Calend 01'!C66+(6*'V06 Calend 01'!E66))),('V06 Calend 01'!H66-('V06 Calend 01'!I66*('V06 Calend 01'!E66-1))),'V06 Calend 01'!I66),0))+IF((28='V06 Calend 01'!D66),'V06 Calend 01'!J66,0))</f>
        <v>165604.61</v>
      </c>
      <c r="AO66" s="2">
        <f>((IF((29='V06 Calend 01'!C66),('V06 Calend 01'!F66+'V06 Calend 01'!G66),0)+IF(AND(('V06 Calend 01'!E66&gt;0),(29&gt;'V06 Calend 01'!C66),(29&lt;'V06 Calend 01'!D66),(MOD((29-'V06 Calend 01'!C66),6)=0),(((29-'V06 Calend 01'!C66)/6)&lt;='V06 Calend 01'!E66)),IF((29=('V06 Calend 01'!C66+(6*'V06 Calend 01'!E66))),('V06 Calend 01'!H66-('V06 Calend 01'!I66*('V06 Calend 01'!E66-1))),'V06 Calend 01'!I66),0))+IF((29='V06 Calend 01'!D66),'V06 Calend 01'!J66,0))</f>
        <v>120439.70999999996</v>
      </c>
      <c r="AP66" s="2">
        <f>((IF((30='V06 Calend 01'!C66),('V06 Calend 01'!F66+'V06 Calend 01'!G66),0)+IF(AND(('V06 Calend 01'!E66&gt;0),(30&gt;'V06 Calend 01'!C66),(30&lt;'V06 Calend 01'!D66),(MOD((30-'V06 Calend 01'!C66),6)=0),(((30-'V06 Calend 01'!C66)/6)&lt;='V06 Calend 01'!E66)),IF((30=('V06 Calend 01'!C66+(6*'V06 Calend 01'!E66))),('V06 Calend 01'!H66-('V06 Calend 01'!I66*('V06 Calend 01'!E66-1))),'V06 Calend 01'!I66),0))+IF((30='V06 Calend 01'!D66),'V06 Calend 01'!J66,0))</f>
        <v>0</v>
      </c>
      <c r="AQ66" s="2">
        <f>((IF((31='V06 Calend 01'!C66),('V06 Calend 01'!F66+'V06 Calend 01'!G66),0)+IF(AND(('V06 Calend 01'!E66&gt;0),(31&gt;'V06 Calend 01'!C66),(31&lt;'V06 Calend 01'!D66),(MOD((31-'V06 Calend 01'!C66),6)=0),(((31-'V06 Calend 01'!C66)/6)&lt;='V06 Calend 01'!E66)),IF((31=('V06 Calend 01'!C66+(6*'V06 Calend 01'!E66))),('V06 Calend 01'!H66-('V06 Calend 01'!I66*('V06 Calend 01'!E66-1))),'V06 Calend 01'!I66),0))+IF((31='V06 Calend 01'!D66),'V06 Calend 01'!J66,0))</f>
        <v>0</v>
      </c>
      <c r="AR66" s="2">
        <f>((IF((32='V06 Calend 01'!C66),('V06 Calend 01'!F66+'V06 Calend 01'!G66),0)+IF(AND(('V06 Calend 01'!E66&gt;0),(32&gt;'V06 Calend 01'!C66),(32&lt;'V06 Calend 01'!D66),(MOD((32-'V06 Calend 01'!C66),6)=0),(((32-'V06 Calend 01'!C66)/6)&lt;='V06 Calend 01'!E66)),IF((32=('V06 Calend 01'!C66+(6*'V06 Calend 01'!E66))),('V06 Calend 01'!H66-('V06 Calend 01'!I66*('V06 Calend 01'!E66-1))),'V06 Calend 01'!I66),0))+IF((32='V06 Calend 01'!D66),'V06 Calend 01'!J66,0))</f>
        <v>0</v>
      </c>
      <c r="AS66" s="2">
        <f>((IF((33='V06 Calend 01'!C66),('V06 Calend 01'!F66+'V06 Calend 01'!G66),0)+IF(AND(('V06 Calend 01'!E66&gt;0),(33&gt;'V06 Calend 01'!C66),(33&lt;'V06 Calend 01'!D66),(MOD((33-'V06 Calend 01'!C66),6)=0),(((33-'V06 Calend 01'!C66)/6)&lt;='V06 Calend 01'!E66)),IF((33=('V06 Calend 01'!C66+(6*'V06 Calend 01'!E66))),('V06 Calend 01'!H66-('V06 Calend 01'!I66*('V06 Calend 01'!E66-1))),'V06 Calend 01'!I66),0))+IF((33='V06 Calend 01'!D66),'V06 Calend 01'!J66,0))</f>
        <v>0</v>
      </c>
      <c r="AT66" s="2">
        <f>((IF((34='V06 Calend 01'!C66),('V06 Calend 01'!F66+'V06 Calend 01'!G66),0)+IF(AND(('V06 Calend 01'!E66&gt;0),(34&gt;'V06 Calend 01'!C66),(34&lt;'V06 Calend 01'!D66),(MOD((34-'V06 Calend 01'!C66),6)=0),(((34-'V06 Calend 01'!C66)/6)&lt;='V06 Calend 01'!E66)),IF((34=('V06 Calend 01'!C66+(6*'V06 Calend 01'!E66))),('V06 Calend 01'!H66-('V06 Calend 01'!I66*('V06 Calend 01'!E66-1))),'V06 Calend 01'!I66),0))+IF((34='V06 Calend 01'!D66),'V06 Calend 01'!J66,0))</f>
        <v>0</v>
      </c>
      <c r="AU66" s="2">
        <f>((IF((35='V06 Calend 01'!C66),('V06 Calend 01'!F66+'V06 Calend 01'!G66),0)+IF(AND(('V06 Calend 01'!E66&gt;0),(35&gt;'V06 Calend 01'!C66),(35&lt;'V06 Calend 01'!D66),(MOD((35-'V06 Calend 01'!C66),6)=0),(((35-'V06 Calend 01'!C66)/6)&lt;='V06 Calend 01'!E66)),IF((35=('V06 Calend 01'!C66+(6*'V06 Calend 01'!E66))),('V06 Calend 01'!H66-('V06 Calend 01'!I66*('V06 Calend 01'!E66-1))),'V06 Calend 01'!I66),0))+IF((35='V06 Calend 01'!D66),'V06 Calend 01'!J66,0))</f>
        <v>0</v>
      </c>
      <c r="AV66" s="2">
        <f>((IF((36='V06 Calend 01'!C66),('V06 Calend 01'!F66+'V06 Calend 01'!G66),0)+IF(AND(('V06 Calend 01'!E66&gt;0),(36&gt;'V06 Calend 01'!C66),(36&lt;'V06 Calend 01'!D66),(MOD((36-'V06 Calend 01'!C66),6)=0),(((36-'V06 Calend 01'!C66)/6)&lt;='V06 Calend 01'!E66)),IF((36=('V06 Calend 01'!C66+(6*'V06 Calend 01'!E66))),('V06 Calend 01'!H66-('V06 Calend 01'!I66*('V06 Calend 01'!E66-1))),'V06 Calend 01'!I66),0))+IF((36='V06 Calend 01'!D66),'V06 Calend 01'!J66,0))</f>
        <v>0</v>
      </c>
      <c r="AW66" s="2">
        <f>((IF((37='V06 Calend 01'!C66),('V06 Calend 01'!F66+'V06 Calend 01'!G66),0)+IF(AND(('V06 Calend 01'!E66&gt;0),(37&gt;'V06 Calend 01'!C66),(37&lt;'V06 Calend 01'!D66),(MOD((37-'V06 Calend 01'!C66),6)=0),(((37-'V06 Calend 01'!C66)/6)&lt;='V06 Calend 01'!E66)),IF((37=('V06 Calend 01'!C66+(6*'V06 Calend 01'!E66))),('V06 Calend 01'!H66-('V06 Calend 01'!I66*('V06 Calend 01'!E66-1))),'V06 Calend 01'!I66),0))+IF((37='V06 Calend 01'!D66),'V06 Calend 01'!J66,0))</f>
        <v>0</v>
      </c>
      <c r="AX66" s="2">
        <f>((IF((38='V06 Calend 01'!C66),('V06 Calend 01'!F66+'V06 Calend 01'!G66),0)+IF(AND(('V06 Calend 01'!E66&gt;0),(38&gt;'V06 Calend 01'!C66),(38&lt;'V06 Calend 01'!D66),(MOD((38-'V06 Calend 01'!C66),6)=0),(((38-'V06 Calend 01'!C66)/6)&lt;='V06 Calend 01'!E66)),IF((38=('V06 Calend 01'!C66+(6*'V06 Calend 01'!E66))),('V06 Calend 01'!H66-('V06 Calend 01'!I66*('V06 Calend 01'!E66-1))),'V06 Calend 01'!I66),0))+IF((38='V06 Calend 01'!D66),'V06 Calend 01'!J66,0))</f>
        <v>0</v>
      </c>
      <c r="AY66" s="2">
        <f>((IF((39='V06 Calend 01'!C66),('V06 Calend 01'!F66+'V06 Calend 01'!G66),0)+IF(AND(('V06 Calend 01'!E66&gt;0),(39&gt;'V06 Calend 01'!C66),(39&lt;'V06 Calend 01'!D66),(MOD((39-'V06 Calend 01'!C66),6)=0),(((39-'V06 Calend 01'!C66)/6)&lt;='V06 Calend 01'!E66)),IF((39=('V06 Calend 01'!C66+(6*'V06 Calend 01'!E66))),('V06 Calend 01'!H66-('V06 Calend 01'!I66*('V06 Calend 01'!E66-1))),'V06 Calend 01'!I66),0))+IF((39='V06 Calend 01'!D66),'V06 Calend 01'!J66,0))</f>
        <v>0</v>
      </c>
      <c r="AZ66" s="2">
        <f>((IF((40='V06 Calend 01'!C66),('V06 Calend 01'!F66+'V06 Calend 01'!G66),0)+IF(AND(('V06 Calend 01'!E66&gt;0),(40&gt;'V06 Calend 01'!C66),(40&lt;'V06 Calend 01'!D66),(MOD((40-'V06 Calend 01'!C66),6)=0),(((40-'V06 Calend 01'!C66)/6)&lt;='V06 Calend 01'!E66)),IF((40=('V06 Calend 01'!C66+(6*'V06 Calend 01'!E66))),('V06 Calend 01'!H66-('V06 Calend 01'!I66*('V06 Calend 01'!E66-1))),'V06 Calend 01'!I66),0))+IF((40='V06 Calend 01'!D66),'V06 Calend 01'!J66,0))</f>
        <v>0</v>
      </c>
      <c r="BA66" s="2">
        <f>((IF((41='V06 Calend 01'!C66),('V06 Calend 01'!F66+'V06 Calend 01'!G66),0)+IF(AND(('V06 Calend 01'!E66&gt;0),(41&gt;'V06 Calend 01'!C66),(41&lt;'V06 Calend 01'!D66),(MOD((41-'V06 Calend 01'!C66),6)=0),(((41-'V06 Calend 01'!C66)/6)&lt;='V06 Calend 01'!E66)),IF((41=('V06 Calend 01'!C66+(6*'V06 Calend 01'!E66))),('V06 Calend 01'!H66-('V06 Calend 01'!I66*('V06 Calend 01'!E66-1))),'V06 Calend 01'!I66),0))+IF((41='V06 Calend 01'!D66),'V06 Calend 01'!J66,0))</f>
        <v>0</v>
      </c>
      <c r="BB66" s="2">
        <f>((IF((42='V06 Calend 01'!C66),('V06 Calend 01'!F66+'V06 Calend 01'!G66),0)+IF(AND(('V06 Calend 01'!E66&gt;0),(42&gt;'V06 Calend 01'!C66),(42&lt;'V06 Calend 01'!D66),(MOD((42-'V06 Calend 01'!C66),6)=0),(((42-'V06 Calend 01'!C66)/6)&lt;='V06 Calend 01'!E66)),IF((42=('V06 Calend 01'!C66+(6*'V06 Calend 01'!E66))),('V06 Calend 01'!H66-('V06 Calend 01'!I66*('V06 Calend 01'!E66-1))),'V06 Calend 01'!I66),0))+IF((42='V06 Calend 01'!D66),'V06 Calend 01'!J66,0))</f>
        <v>0</v>
      </c>
      <c r="BC66" s="2">
        <f>((IF((43='V06 Calend 01'!C66),('V06 Calend 01'!F66+'V06 Calend 01'!G66),0)+IF(AND(('V06 Calend 01'!E66&gt;0),(43&gt;'V06 Calend 01'!C66),(43&lt;'V06 Calend 01'!D66),(MOD((43-'V06 Calend 01'!C66),6)=0),(((43-'V06 Calend 01'!C66)/6)&lt;='V06 Calend 01'!E66)),IF((43=('V06 Calend 01'!C66+(6*'V06 Calend 01'!E66))),('V06 Calend 01'!H66-('V06 Calend 01'!I66*('V06 Calend 01'!E66-1))),'V06 Calend 01'!I66),0))+IF((43='V06 Calend 01'!D66),'V06 Calend 01'!J66,0))</f>
        <v>0</v>
      </c>
      <c r="BD66" s="2">
        <f>((IF((44='V06 Calend 01'!C66),('V06 Calend 01'!F66+'V06 Calend 01'!G66),0)+IF(AND(('V06 Calend 01'!E66&gt;0),(44&gt;'V06 Calend 01'!C66),(44&lt;'V06 Calend 01'!D66),(MOD((44-'V06 Calend 01'!C66),6)=0),(((44-'V06 Calend 01'!C66)/6)&lt;='V06 Calend 01'!E66)),IF((44=('V06 Calend 01'!C66+(6*'V06 Calend 01'!E66))),('V06 Calend 01'!H66-('V06 Calend 01'!I66*('V06 Calend 01'!E66-1))),'V06 Calend 01'!I66),0))+IF((44='V06 Calend 01'!D66),'V06 Calend 01'!J66,0))</f>
        <v>0</v>
      </c>
      <c r="BE66" s="2">
        <f>((IF((45='V06 Calend 01'!C66),('V06 Calend 01'!F66+'V06 Calend 01'!G66),0)+IF(AND(('V06 Calend 01'!E66&gt;0),(45&gt;'V06 Calend 01'!C66),(45&lt;'V06 Calend 01'!D66),(MOD((45-'V06 Calend 01'!C66),6)=0),(((45-'V06 Calend 01'!C66)/6)&lt;='V06 Calend 01'!E66)),IF((45=('V06 Calend 01'!C66+(6*'V06 Calend 01'!E66))),('V06 Calend 01'!H66-('V06 Calend 01'!I66*('V06 Calend 01'!E66-1))),'V06 Calend 01'!I66),0))+IF((45='V06 Calend 01'!D66),'V06 Calend 01'!J66,0))</f>
        <v>0</v>
      </c>
      <c r="BF66" s="2">
        <f>((IF((46='V06 Calend 01'!C66),('V06 Calend 01'!F66+'V06 Calend 01'!G66),0)+IF(AND(('V06 Calend 01'!E66&gt;0),(46&gt;'V06 Calend 01'!C66),(46&lt;'V06 Calend 01'!D66),(MOD((46-'V06 Calend 01'!C66),6)=0),(((46-'V06 Calend 01'!C66)/6)&lt;='V06 Calend 01'!E66)),IF((46=('V06 Calend 01'!C66+(6*'V06 Calend 01'!E66))),('V06 Calend 01'!H66-('V06 Calend 01'!I66*('V06 Calend 01'!E66-1))),'V06 Calend 01'!I66),0))+IF((46='V06 Calend 01'!D66),'V06 Calend 01'!J66,0))</f>
        <v>0</v>
      </c>
      <c r="BG66" s="2">
        <f>((IF((47='V06 Calend 01'!C66),('V06 Calend 01'!F66+'V06 Calend 01'!G66),0)+IF(AND(('V06 Calend 01'!E66&gt;0),(47&gt;'V06 Calend 01'!C66),(47&lt;'V06 Calend 01'!D66),(MOD((47-'V06 Calend 01'!C66),6)=0),(((47-'V06 Calend 01'!C66)/6)&lt;='V06 Calend 01'!E66)),IF((47=('V06 Calend 01'!C66+(6*'V06 Calend 01'!E66))),('V06 Calend 01'!H66-('V06 Calend 01'!I66*('V06 Calend 01'!E66-1))),'V06 Calend 01'!I66),0))+IF((47='V06 Calend 01'!D66),'V06 Calend 01'!J66,0))</f>
        <v>0</v>
      </c>
      <c r="BH66" s="2">
        <f>((IF((48='V06 Calend 01'!C66),('V06 Calend 01'!F66+'V06 Calend 01'!G66),0)+IF(AND(('V06 Calend 01'!E66&gt;0),(48&gt;'V06 Calend 01'!C66),(48&lt;'V06 Calend 01'!D66),(MOD((48-'V06 Calend 01'!C66),6)=0),(((48-'V06 Calend 01'!C66)/6)&lt;='V06 Calend 01'!E66)),IF((48=('V06 Calend 01'!C66+(6*'V06 Calend 01'!E66))),('V06 Calend 01'!H66-('V06 Calend 01'!I66*('V06 Calend 01'!E66-1))),'V06 Calend 01'!I66),0))+IF((48='V06 Calend 01'!D66),'V06 Calend 01'!J66,0))</f>
        <v>0</v>
      </c>
      <c r="BI66" s="2">
        <f>((IF((49='V06 Calend 01'!C66),('V06 Calend 01'!F66+'V06 Calend 01'!G66),0)+IF(AND(('V06 Calend 01'!E66&gt;0),(49&gt;'V06 Calend 01'!C66),(49&lt;'V06 Calend 01'!D66),(MOD((49-'V06 Calend 01'!C66),6)=0),(((49-'V06 Calend 01'!C66)/6)&lt;='V06 Calend 01'!E66)),IF((49=('V06 Calend 01'!C66+(6*'V06 Calend 01'!E66))),('V06 Calend 01'!H66-('V06 Calend 01'!I66*('V06 Calend 01'!E66-1))),'V06 Calend 01'!I66),0))+IF((49='V06 Calend 01'!D66),'V06 Calend 01'!J66,0))</f>
        <v>0</v>
      </c>
      <c r="BJ66" s="2">
        <f>((IF((50='V06 Calend 01'!C66),('V06 Calend 01'!F66+'V06 Calend 01'!G66),0)+IF(AND(('V06 Calend 01'!E66&gt;0),(50&gt;'V06 Calend 01'!C66),(50&lt;'V06 Calend 01'!D66),(MOD((50-'V06 Calend 01'!C66),6)=0),(((50-'V06 Calend 01'!C66)/6)&lt;='V06 Calend 01'!E66)),IF((50=('V06 Calend 01'!C66+(6*'V06 Calend 01'!E66))),('V06 Calend 01'!H66-('V06 Calend 01'!I66*('V06 Calend 01'!E66-1))),'V06 Calend 01'!I66),0))+IF((50='V06 Calend 01'!D66),'V06 Calend 01'!J66,0))</f>
        <v>0</v>
      </c>
      <c r="BK66" s="2">
        <f>((IF((51='V06 Calend 01'!C66),('V06 Calend 01'!F66+'V06 Calend 01'!G66),0)+IF(AND(('V06 Calend 01'!E66&gt;0),(51&gt;'V06 Calend 01'!C66),(51&lt;'V06 Calend 01'!D66),(MOD((51-'V06 Calend 01'!C66),6)=0),(((51-'V06 Calend 01'!C66)/6)&lt;='V06 Calend 01'!E66)),IF((51=('V06 Calend 01'!C66+(6*'V06 Calend 01'!E66))),('V06 Calend 01'!H66-('V06 Calend 01'!I66*('V06 Calend 01'!E66-1))),'V06 Calend 01'!I66),0))+IF((51='V06 Calend 01'!D66),'V06 Calend 01'!J66,0))</f>
        <v>0</v>
      </c>
      <c r="BL66" s="2">
        <f>((IF((52='V06 Calend 01'!C66),('V06 Calend 01'!F66+'V06 Calend 01'!G66),0)+IF(AND(('V06 Calend 01'!E66&gt;0),(52&gt;'V06 Calend 01'!C66),(52&lt;'V06 Calend 01'!D66),(MOD((52-'V06 Calend 01'!C66),6)=0),(((52-'V06 Calend 01'!C66)/6)&lt;='V06 Calend 01'!E66)),IF((52=('V06 Calend 01'!C66+(6*'V06 Calend 01'!E66))),('V06 Calend 01'!H66-('V06 Calend 01'!I66*('V06 Calend 01'!E66-1))),'V06 Calend 01'!I66),0))+IF((52='V06 Calend 01'!D66),'V06 Calend 01'!J66,0))</f>
        <v>0</v>
      </c>
      <c r="BM66" s="2">
        <f>((IF((53='V06 Calend 01'!C66),('V06 Calend 01'!F66+'V06 Calend 01'!G66),0)+IF(AND(('V06 Calend 01'!E66&gt;0),(53&gt;'V06 Calend 01'!C66),(53&lt;'V06 Calend 01'!D66),(MOD((53-'V06 Calend 01'!C66),6)=0),(((53-'V06 Calend 01'!C66)/6)&lt;='V06 Calend 01'!E66)),IF((53=('V06 Calend 01'!C66+(6*'V06 Calend 01'!E66))),('V06 Calend 01'!H66-('V06 Calend 01'!I66*('V06 Calend 01'!E66-1))),'V06 Calend 01'!I66),0))+IF((53='V06 Calend 01'!D66),'V06 Calend 01'!J66,0))</f>
        <v>0</v>
      </c>
      <c r="BN66" s="2">
        <f>((IF((54='V06 Calend 01'!C66),('V06 Calend 01'!F66+'V06 Calend 01'!G66),0)+IF(AND(('V06 Calend 01'!E66&gt;0),(54&gt;'V06 Calend 01'!C66),(54&lt;'V06 Calend 01'!D66),(MOD((54-'V06 Calend 01'!C66),6)=0),(((54-'V06 Calend 01'!C66)/6)&lt;='V06 Calend 01'!E66)),IF((54=('V06 Calend 01'!C66+(6*'V06 Calend 01'!E66))),('V06 Calend 01'!H66-('V06 Calend 01'!I66*('V06 Calend 01'!E66-1))),'V06 Calend 01'!I66),0))+IF((54='V06 Calend 01'!D66),'V06 Calend 01'!J66,0))</f>
        <v>0</v>
      </c>
      <c r="BO66" s="2">
        <f>((IF((55='V06 Calend 01'!C66),('V06 Calend 01'!F66+'V06 Calend 01'!G66),0)+IF(AND(('V06 Calend 01'!E66&gt;0),(55&gt;'V06 Calend 01'!C66),(55&lt;'V06 Calend 01'!D66),(MOD((55-'V06 Calend 01'!C66),6)=0),(((55-'V06 Calend 01'!C66)/6)&lt;='V06 Calend 01'!E66)),IF((55=('V06 Calend 01'!C66+(6*'V06 Calend 01'!E66))),('V06 Calend 01'!H66-('V06 Calend 01'!I66*('V06 Calend 01'!E66-1))),'V06 Calend 01'!I66),0))+IF((55='V06 Calend 01'!D66),'V06 Calend 01'!J66,0))</f>
        <v>0</v>
      </c>
      <c r="BP66" s="2">
        <f>((IF((56='V06 Calend 01'!C66),('V06 Calend 01'!F66+'V06 Calend 01'!G66),0)+IF(AND(('V06 Calend 01'!E66&gt;0),(56&gt;'V06 Calend 01'!C66),(56&lt;'V06 Calend 01'!D66),(MOD((56-'V06 Calend 01'!C66),6)=0),(((56-'V06 Calend 01'!C66)/6)&lt;='V06 Calend 01'!E66)),IF((56=('V06 Calend 01'!C66+(6*'V06 Calend 01'!E66))),('V06 Calend 01'!H66-('V06 Calend 01'!I66*('V06 Calend 01'!E66-1))),'V06 Calend 01'!I66),0))+IF((56='V06 Calend 01'!D66),'V06 Calend 01'!J66,0))</f>
        <v>0</v>
      </c>
      <c r="BQ66" s="2">
        <f>((IF((57='V06 Calend 01'!C66),('V06 Calend 01'!F66+'V06 Calend 01'!G66),0)+IF(AND(('V06 Calend 01'!E66&gt;0),(57&gt;'V06 Calend 01'!C66),(57&lt;'V06 Calend 01'!D66),(MOD((57-'V06 Calend 01'!C66),6)=0),(((57-'V06 Calend 01'!C66)/6)&lt;='V06 Calend 01'!E66)),IF((57=('V06 Calend 01'!C66+(6*'V06 Calend 01'!E66))),('V06 Calend 01'!H66-('V06 Calend 01'!I66*('V06 Calend 01'!E66-1))),'V06 Calend 01'!I66),0))+IF((57='V06 Calend 01'!D66),'V06 Calend 01'!J66,0))</f>
        <v>0</v>
      </c>
      <c r="BR66" s="2">
        <f>((IF((58='V06 Calend 01'!C66),('V06 Calend 01'!F66+'V06 Calend 01'!G66),0)+IF(AND(('V06 Calend 01'!E66&gt;0),(58&gt;'V06 Calend 01'!C66),(58&lt;'V06 Calend 01'!D66),(MOD((58-'V06 Calend 01'!C66),6)=0),(((58-'V06 Calend 01'!C66)/6)&lt;='V06 Calend 01'!E66)),IF((58=('V06 Calend 01'!C66+(6*'V06 Calend 01'!E66))),('V06 Calend 01'!H66-('V06 Calend 01'!I66*('V06 Calend 01'!E66-1))),'V06 Calend 01'!I66),0))+IF((58='V06 Calend 01'!D66),'V06 Calend 01'!J66,0))</f>
        <v>0</v>
      </c>
      <c r="BS66" s="2">
        <f>((IF((59='V06 Calend 01'!C66),('V06 Calend 01'!F66+'V06 Calend 01'!G66),0)+IF(AND(('V06 Calend 01'!E66&gt;0),(59&gt;'V06 Calend 01'!C66),(59&lt;'V06 Calend 01'!D66),(MOD((59-'V06 Calend 01'!C66),6)=0),(((59-'V06 Calend 01'!C66)/6)&lt;='V06 Calend 01'!E66)),IF((59=('V06 Calend 01'!C66+(6*'V06 Calend 01'!E66))),('V06 Calend 01'!H66-('V06 Calend 01'!I66*('V06 Calend 01'!E66-1))),'V06 Calend 01'!I66),0))+IF((59='V06 Calend 01'!D66),'V06 Calend 01'!J66,0))</f>
        <v>0</v>
      </c>
      <c r="BT66" s="2">
        <f>((IF((60='V06 Calend 01'!C66),('V06 Calend 01'!F66+'V06 Calend 01'!G66),0)+IF(AND(('V06 Calend 01'!E66&gt;0),(60&gt;'V06 Calend 01'!C66),(60&lt;'V06 Calend 01'!D66),(MOD((60-'V06 Calend 01'!C66),6)=0),(((60-'V06 Calend 01'!C66)/6)&lt;='V06 Calend 01'!E66)),IF((60=('V06 Calend 01'!C66+(6*'V06 Calend 01'!E66))),('V06 Calend 01'!H66-('V06 Calend 01'!I66*('V06 Calend 01'!E66-1))),'V06 Calend 01'!I66),0))+IF((60='V06 Calend 01'!D66),'V06 Calend 01'!J66,0))</f>
        <v>0</v>
      </c>
      <c r="BU66" s="2">
        <f>((IF((61='V06 Calend 01'!C66),('V06 Calend 01'!F66+'V06 Calend 01'!G66),0)+IF(AND(('V06 Calend 01'!E66&gt;0),(61&gt;'V06 Calend 01'!C66),(61&lt;'V06 Calend 01'!D66),(MOD((61-'V06 Calend 01'!C66),6)=0),(((61-'V06 Calend 01'!C66)/6)&lt;='V06 Calend 01'!E66)),IF((61=('V06 Calend 01'!C66+(6*'V06 Calend 01'!E66))),('V06 Calend 01'!H66-('V06 Calend 01'!I66*('V06 Calend 01'!E66-1))),'V06 Calend 01'!I66),0))+IF((61='V06 Calend 01'!D66),'V06 Calend 01'!J66,0))</f>
        <v>0</v>
      </c>
      <c r="BV66" s="2">
        <f>((IF((62='V06 Calend 01'!C66),('V06 Calend 01'!F66+'V06 Calend 01'!G66),0)+IF(AND(('V06 Calend 01'!E66&gt;0),(62&gt;'V06 Calend 01'!C66),(62&lt;'V06 Calend 01'!D66),(MOD((62-'V06 Calend 01'!C66),6)=0),(((62-'V06 Calend 01'!C66)/6)&lt;='V06 Calend 01'!E66)),IF((62=('V06 Calend 01'!C66+(6*'V06 Calend 01'!E66))),('V06 Calend 01'!H66-('V06 Calend 01'!I66*('V06 Calend 01'!E66-1))),'V06 Calend 01'!I66),0))+IF((62='V06 Calend 01'!D66),'V06 Calend 01'!J66,0))</f>
        <v>0</v>
      </c>
      <c r="BW66" s="2">
        <f>((IF((63='V06 Calend 01'!C66),('V06 Calend 01'!F66+'V06 Calend 01'!G66),0)+IF(AND(('V06 Calend 01'!E66&gt;0),(63&gt;'V06 Calend 01'!C66),(63&lt;'V06 Calend 01'!D66),(MOD((63-'V06 Calend 01'!C66),6)=0),(((63-'V06 Calend 01'!C66)/6)&lt;='V06 Calend 01'!E66)),IF((63=('V06 Calend 01'!C66+(6*'V06 Calend 01'!E66))),('V06 Calend 01'!H66-('V06 Calend 01'!I66*('V06 Calend 01'!E66-1))),'V06 Calend 01'!I66),0))+IF((63='V06 Calend 01'!D66),'V06 Calend 01'!J66,0))</f>
        <v>0</v>
      </c>
      <c r="BX66" s="2">
        <f>((IF((64='V06 Calend 01'!C66),('V06 Calend 01'!F66+'V06 Calend 01'!G66),0)+IF(AND(('V06 Calend 01'!E66&gt;0),(64&gt;'V06 Calend 01'!C66),(64&lt;'V06 Calend 01'!D66),(MOD((64-'V06 Calend 01'!C66),6)=0),(((64-'V06 Calend 01'!C66)/6)&lt;='V06 Calend 01'!E66)),IF((64=('V06 Calend 01'!C66+(6*'V06 Calend 01'!E66))),('V06 Calend 01'!H66-('V06 Calend 01'!I66*('V06 Calend 01'!E66-1))),'V06 Calend 01'!I66),0))+IF((64='V06 Calend 01'!D66),'V06 Calend 01'!J66,0))</f>
        <v>0</v>
      </c>
      <c r="BY66" s="2">
        <f>((IF((65='V06 Calend 01'!C66),('V06 Calend 01'!F66+'V06 Calend 01'!G66),0)+IF(AND(('V06 Calend 01'!E66&gt;0),(65&gt;'V06 Calend 01'!C66),(65&lt;'V06 Calend 01'!D66),(MOD((65-'V06 Calend 01'!C66),6)=0),(((65-'V06 Calend 01'!C66)/6)&lt;='V06 Calend 01'!E66)),IF((65=('V06 Calend 01'!C66+(6*'V06 Calend 01'!E66))),('V06 Calend 01'!H66-('V06 Calend 01'!I66*('V06 Calend 01'!E66-1))),'V06 Calend 01'!I66),0))+IF((65='V06 Calend 01'!D66),'V06 Calend 01'!J66,0))</f>
        <v>0</v>
      </c>
      <c r="BZ66" s="2">
        <f>((IF((66='V06 Calend 01'!C66),('V06 Calend 01'!F66+'V06 Calend 01'!G66),0)+IF(AND(('V06 Calend 01'!E66&gt;0),(66&gt;'V06 Calend 01'!C66),(66&lt;'V06 Calend 01'!D66),(MOD((66-'V06 Calend 01'!C66),6)=0),(((66-'V06 Calend 01'!C66)/6)&lt;='V06 Calend 01'!E66)),IF((66=('V06 Calend 01'!C66+(6*'V06 Calend 01'!E66))),('V06 Calend 01'!H66-('V06 Calend 01'!I66*('V06 Calend 01'!E66-1))),'V06 Calend 01'!I66),0))+IF((66='V06 Calend 01'!D66),'V06 Calend 01'!J66,0))</f>
        <v>0</v>
      </c>
      <c r="CA66" s="2">
        <f>((IF((67='V06 Calend 01'!C66),('V06 Calend 01'!F66+'V06 Calend 01'!G66),0)+IF(AND(('V06 Calend 01'!E66&gt;0),(67&gt;'V06 Calend 01'!C66),(67&lt;'V06 Calend 01'!D66),(MOD((67-'V06 Calend 01'!C66),6)=0),(((67-'V06 Calend 01'!C66)/6)&lt;='V06 Calend 01'!E66)),IF((67=('V06 Calend 01'!C66+(6*'V06 Calend 01'!E66))),('V06 Calend 01'!H66-('V06 Calend 01'!I66*('V06 Calend 01'!E66-1))),'V06 Calend 01'!I66),0))+IF((67='V06 Calend 01'!D66),'V06 Calend 01'!J66,0))</f>
        <v>0</v>
      </c>
      <c r="CB66" s="2">
        <f>((IF((68='V06 Calend 01'!C66),('V06 Calend 01'!F66+'V06 Calend 01'!G66),0)+IF(AND(('V06 Calend 01'!E66&gt;0),(68&gt;'V06 Calend 01'!C66),(68&lt;'V06 Calend 01'!D66),(MOD((68-'V06 Calend 01'!C66),6)=0),(((68-'V06 Calend 01'!C66)/6)&lt;='V06 Calend 01'!E66)),IF((68=('V06 Calend 01'!C66+(6*'V06 Calend 01'!E66))),('V06 Calend 01'!H66-('V06 Calend 01'!I66*('V06 Calend 01'!E66-1))),'V06 Calend 01'!I66),0))+IF((68='V06 Calend 01'!D66),'V06 Calend 01'!J66,0))</f>
        <v>0</v>
      </c>
      <c r="CC66" s="2">
        <f>((IF((69='V06 Calend 01'!C66),('V06 Calend 01'!F66+'V06 Calend 01'!G66),0)+IF(AND(('V06 Calend 01'!E66&gt;0),(69&gt;'V06 Calend 01'!C66),(69&lt;'V06 Calend 01'!D66),(MOD((69-'V06 Calend 01'!C66),6)=0),(((69-'V06 Calend 01'!C66)/6)&lt;='V06 Calend 01'!E66)),IF((69=('V06 Calend 01'!C66+(6*'V06 Calend 01'!E66))),('V06 Calend 01'!H66-('V06 Calend 01'!I66*('V06 Calend 01'!E66-1))),'V06 Calend 01'!I66),0))+IF((69='V06 Calend 01'!D66),'V06 Calend 01'!J66,0))</f>
        <v>0</v>
      </c>
      <c r="CD66" s="2">
        <f>((IF((70='V06 Calend 01'!C66),('V06 Calend 01'!F66+'V06 Calend 01'!G66),0)+IF(AND(('V06 Calend 01'!E66&gt;0),(70&gt;'V06 Calend 01'!C66),(70&lt;'V06 Calend 01'!D66),(MOD((70-'V06 Calend 01'!C66),6)=0),(((70-'V06 Calend 01'!C66)/6)&lt;='V06 Calend 01'!E66)),IF((70=('V06 Calend 01'!C66+(6*'V06 Calend 01'!E66))),('V06 Calend 01'!H66-('V06 Calend 01'!I66*('V06 Calend 01'!E66-1))),'V06 Calend 01'!I66),0))+IF((70='V06 Calend 01'!D66),'V06 Calend 01'!J66,0))</f>
        <v>0</v>
      </c>
      <c r="CE66" s="2">
        <f>((IF((71='V06 Calend 01'!C66),('V06 Calend 01'!F66+'V06 Calend 01'!G66),0)+IF(AND(('V06 Calend 01'!E66&gt;0),(71&gt;'V06 Calend 01'!C66),(71&lt;'V06 Calend 01'!D66),(MOD((71-'V06 Calend 01'!C66),6)=0),(((71-'V06 Calend 01'!C66)/6)&lt;='V06 Calend 01'!E66)),IF((71=('V06 Calend 01'!C66+(6*'V06 Calend 01'!E66))),('V06 Calend 01'!H66-('V06 Calend 01'!I66*('V06 Calend 01'!E66-1))),'V06 Calend 01'!I66),0))+IF((71='V06 Calend 01'!D66),'V06 Calend 01'!J66,0))</f>
        <v>0</v>
      </c>
      <c r="CF66" s="2">
        <f>((IF((72='V06 Calend 01'!C66),('V06 Calend 01'!F66+'V06 Calend 01'!G66),0)+IF(AND(('V06 Calend 01'!E66&gt;0),(72&gt;'V06 Calend 01'!C66),(72&lt;'V06 Calend 01'!D66),(MOD((72-'V06 Calend 01'!C66),6)=0),(((72-'V06 Calend 01'!C66)/6)&lt;='V06 Calend 01'!E66)),IF((72=('V06 Calend 01'!C66+(6*'V06 Calend 01'!E66))),('V06 Calend 01'!H66-('V06 Calend 01'!I66*('V06 Calend 01'!E66-1))),'V06 Calend 01'!I66),0))+IF((72='V06 Calend 01'!D66),'V06 Calend 01'!J66,0))</f>
        <v>0</v>
      </c>
      <c r="CG66" s="2">
        <f>((IF((73='V06 Calend 01'!C66),('V06 Calend 01'!F66+'V06 Calend 01'!G66),0)+IF(AND(('V06 Calend 01'!E66&gt;0),(73&gt;'V06 Calend 01'!C66),(73&lt;'V06 Calend 01'!D66),(MOD((73-'V06 Calend 01'!C66),6)=0),(((73-'V06 Calend 01'!C66)/6)&lt;='V06 Calend 01'!E66)),IF((73=('V06 Calend 01'!C66+(6*'V06 Calend 01'!E66))),('V06 Calend 01'!H66-('V06 Calend 01'!I66*('V06 Calend 01'!E66-1))),'V06 Calend 01'!I66),0))+IF((73='V06 Calend 01'!D66),'V06 Calend 01'!J66,0))</f>
        <v>0</v>
      </c>
      <c r="CH66" s="2">
        <f>((IF((74='V06 Calend 01'!C66),('V06 Calend 01'!F66+'V06 Calend 01'!G66),0)+IF(AND(('V06 Calend 01'!E66&gt;0),(74&gt;'V06 Calend 01'!C66),(74&lt;'V06 Calend 01'!D66),(MOD((74-'V06 Calend 01'!C66),6)=0),(((74-'V06 Calend 01'!C66)/6)&lt;='V06 Calend 01'!E66)),IF((74=('V06 Calend 01'!C66+(6*'V06 Calend 01'!E66))),('V06 Calend 01'!H66-('V06 Calend 01'!I66*('V06 Calend 01'!E66-1))),'V06 Calend 01'!I66),0))+IF((74='V06 Calend 01'!D66),'V06 Calend 01'!J66,0))</f>
        <v>0</v>
      </c>
      <c r="CI66" s="2">
        <f>((IF((75='V06 Calend 01'!C66),('V06 Calend 01'!F66+'V06 Calend 01'!G66),0)+IF(AND(('V06 Calend 01'!E66&gt;0),(75&gt;'V06 Calend 01'!C66),(75&lt;'V06 Calend 01'!D66),(MOD((75-'V06 Calend 01'!C66),6)=0),(((75-'V06 Calend 01'!C66)/6)&lt;='V06 Calend 01'!E66)),IF((75=('V06 Calend 01'!C66+(6*'V06 Calend 01'!E66))),('V06 Calend 01'!H66-('V06 Calend 01'!I66*('V06 Calend 01'!E66-1))),'V06 Calend 01'!I66),0))+IF((75='V06 Calend 01'!D66),'V06 Calend 01'!J66,0))</f>
        <v>0</v>
      </c>
      <c r="CJ66" s="2">
        <f>((IF((76='V06 Calend 01'!C66),('V06 Calend 01'!F66+'V06 Calend 01'!G66),0)+IF(AND(('V06 Calend 01'!E66&gt;0),(76&gt;'V06 Calend 01'!C66),(76&lt;'V06 Calend 01'!D66),(MOD((76-'V06 Calend 01'!C66),6)=0),(((76-'V06 Calend 01'!C66)/6)&lt;='V06 Calend 01'!E66)),IF((76=('V06 Calend 01'!C66+(6*'V06 Calend 01'!E66))),('V06 Calend 01'!H66-('V06 Calend 01'!I66*('V06 Calend 01'!E66-1))),'V06 Calend 01'!I66),0))+IF((76='V06 Calend 01'!D66),'V06 Calend 01'!J66,0))</f>
        <v>0</v>
      </c>
      <c r="CK66" s="2">
        <f>((IF((77='V06 Calend 01'!C66),('V06 Calend 01'!F66+'V06 Calend 01'!G66),0)+IF(AND(('V06 Calend 01'!E66&gt;0),(77&gt;'V06 Calend 01'!C66),(77&lt;'V06 Calend 01'!D66),(MOD((77-'V06 Calend 01'!C66),6)=0),(((77-'V06 Calend 01'!C66)/6)&lt;='V06 Calend 01'!E66)),IF((77=('V06 Calend 01'!C66+(6*'V06 Calend 01'!E66))),('V06 Calend 01'!H66-('V06 Calend 01'!I66*('V06 Calend 01'!E66-1))),'V06 Calend 01'!I66),0))+IF((77='V06 Calend 01'!D66),'V06 Calend 01'!J66,0))</f>
        <v>0</v>
      </c>
      <c r="CL66" s="2">
        <f>((IF((78='V06 Calend 01'!C66),('V06 Calend 01'!F66+'V06 Calend 01'!G66),0)+IF(AND(('V06 Calend 01'!E66&gt;0),(78&gt;'V06 Calend 01'!C66),(78&lt;'V06 Calend 01'!D66),(MOD((78-'V06 Calend 01'!C66),6)=0),(((78-'V06 Calend 01'!C66)/6)&lt;='V06 Calend 01'!E66)),IF((78=('V06 Calend 01'!C66+(6*'V06 Calend 01'!E66))),('V06 Calend 01'!H66-('V06 Calend 01'!I66*('V06 Calend 01'!E66-1))),'V06 Calend 01'!I66),0))+IF((78='V06 Calend 01'!D66),'V06 Calend 01'!J66,0))</f>
        <v>0</v>
      </c>
      <c r="CM66" s="2">
        <f>((IF((79='V06 Calend 01'!C66),('V06 Calend 01'!F66+'V06 Calend 01'!G66),0)+IF(AND(('V06 Calend 01'!E66&gt;0),(79&gt;'V06 Calend 01'!C66),(79&lt;'V06 Calend 01'!D66),(MOD((79-'V06 Calend 01'!C66),6)=0),(((79-'V06 Calend 01'!C66)/6)&lt;='V06 Calend 01'!E66)),IF((79=('V06 Calend 01'!C66+(6*'V06 Calend 01'!E66))),('V06 Calend 01'!H66-('V06 Calend 01'!I66*('V06 Calend 01'!E66-1))),'V06 Calend 01'!I66),0))+IF((79='V06 Calend 01'!D66),'V06 Calend 01'!J66,0))</f>
        <v>0</v>
      </c>
      <c r="CN66" s="2">
        <f>((IF((80='V06 Calend 01'!C66),('V06 Calend 01'!F66+'V06 Calend 01'!G66),0)+IF(AND(('V06 Calend 01'!E66&gt;0),(80&gt;'V06 Calend 01'!C66),(80&lt;'V06 Calend 01'!D66),(MOD((80-'V06 Calend 01'!C66),6)=0),(((80-'V06 Calend 01'!C66)/6)&lt;='V06 Calend 01'!E66)),IF((80=('V06 Calend 01'!C66+(6*'V06 Calend 01'!E66))),('V06 Calend 01'!H66-('V06 Calend 01'!I66*('V06 Calend 01'!E66-1))),'V06 Calend 01'!I66),0))+IF((80='V06 Calend 01'!D66),'V06 Calend 01'!J66,0))</f>
        <v>0</v>
      </c>
      <c r="CO66" s="2">
        <f>((IF((81='V06 Calend 01'!C66),('V06 Calend 01'!F66+'V06 Calend 01'!G66),0)+IF(AND(('V06 Calend 01'!E66&gt;0),(81&gt;'V06 Calend 01'!C66),(81&lt;'V06 Calend 01'!D66),(MOD((81-'V06 Calend 01'!C66),6)=0),(((81-'V06 Calend 01'!C66)/6)&lt;='V06 Calend 01'!E66)),IF((81=('V06 Calend 01'!C66+(6*'V06 Calend 01'!E66))),('V06 Calend 01'!H66-('V06 Calend 01'!I66*('V06 Calend 01'!E66-1))),'V06 Calend 01'!I66),0))+IF((81='V06 Calend 01'!D66),'V06 Calend 01'!J66,0))</f>
        <v>0</v>
      </c>
      <c r="CP66" s="2">
        <f>((IF((82='V06 Calend 01'!C66),('V06 Calend 01'!F66+'V06 Calend 01'!G66),0)+IF(AND(('V06 Calend 01'!E66&gt;0),(82&gt;'V06 Calend 01'!C66),(82&lt;'V06 Calend 01'!D66),(MOD((82-'V06 Calend 01'!C66),6)=0),(((82-'V06 Calend 01'!C66)/6)&lt;='V06 Calend 01'!E66)),IF((82=('V06 Calend 01'!C66+(6*'V06 Calend 01'!E66))),('V06 Calend 01'!H66-('V06 Calend 01'!I66*('V06 Calend 01'!E66-1))),'V06 Calend 01'!I66),0))+IF((82='V06 Calend 01'!D66),'V06 Calend 01'!J66,0))</f>
        <v>0</v>
      </c>
      <c r="CQ66" s="2">
        <f>((IF((83='V06 Calend 01'!C66),('V06 Calend 01'!F66+'V06 Calend 01'!G66),0)+IF(AND(('V06 Calend 01'!E66&gt;0),(83&gt;'V06 Calend 01'!C66),(83&lt;'V06 Calend 01'!D66),(MOD((83-'V06 Calend 01'!C66),6)=0),(((83-'V06 Calend 01'!C66)/6)&lt;='V06 Calend 01'!E66)),IF((83=('V06 Calend 01'!C66+(6*'V06 Calend 01'!E66))),('V06 Calend 01'!H66-('V06 Calend 01'!I66*('V06 Calend 01'!E66-1))),'V06 Calend 01'!I66),0))+IF((83='V06 Calend 01'!D66),'V06 Calend 01'!J66,0))</f>
        <v>0</v>
      </c>
      <c r="CR66" s="2">
        <f>((IF((84='V06 Calend 01'!C66),('V06 Calend 01'!F66+'V06 Calend 01'!G66),0)+IF(AND(('V06 Calend 01'!E66&gt;0),(84&gt;'V06 Calend 01'!C66),(84&lt;'V06 Calend 01'!D66),(MOD((84-'V06 Calend 01'!C66),6)=0),(((84-'V06 Calend 01'!C66)/6)&lt;='V06 Calend 01'!E66)),IF((84=('V06 Calend 01'!C66+(6*'V06 Calend 01'!E66))),('V06 Calend 01'!H66-('V06 Calend 01'!I66*('V06 Calend 01'!E66-1))),'V06 Calend 01'!I66),0))+IF((84='V06 Calend 01'!D66),'V06 Calend 01'!J66,0))</f>
        <v>0</v>
      </c>
      <c r="CS66" s="2">
        <f>((IF((85='V06 Calend 01'!C66),('V06 Calend 01'!F66+'V06 Calend 01'!G66),0)+IF(AND(('V06 Calend 01'!E66&gt;0),(85&gt;'V06 Calend 01'!C66),(85&lt;'V06 Calend 01'!D66),(MOD((85-'V06 Calend 01'!C66),6)=0),(((85-'V06 Calend 01'!C66)/6)&lt;='V06 Calend 01'!E66)),IF((85=('V06 Calend 01'!C66+(6*'V06 Calend 01'!E66))),('V06 Calend 01'!H66-('V06 Calend 01'!I66*('V06 Calend 01'!E66-1))),'V06 Calend 01'!I66),0))+IF((85='V06 Calend 01'!D66),'V06 Calend 01'!J66,0))</f>
        <v>0</v>
      </c>
      <c r="CT66" s="2">
        <f>((IF((86='V06 Calend 01'!C66),('V06 Calend 01'!F66+'V06 Calend 01'!G66),0)+IF(AND(('V06 Calend 01'!E66&gt;0),(86&gt;'V06 Calend 01'!C66),(86&lt;'V06 Calend 01'!D66),(MOD((86-'V06 Calend 01'!C66),6)=0),(((86-'V06 Calend 01'!C66)/6)&lt;='V06 Calend 01'!E66)),IF((86=('V06 Calend 01'!C66+(6*'V06 Calend 01'!E66))),('V06 Calend 01'!H66-('V06 Calend 01'!I66*('V06 Calend 01'!E66-1))),'V06 Calend 01'!I66),0))+IF((86='V06 Calend 01'!D66),'V06 Calend 01'!J66,0))</f>
        <v>0</v>
      </c>
      <c r="CU66" s="2">
        <f>((IF((87='V06 Calend 01'!C66),('V06 Calend 01'!F66+'V06 Calend 01'!G66),0)+IF(AND(('V06 Calend 01'!E66&gt;0),(87&gt;'V06 Calend 01'!C66),(87&lt;'V06 Calend 01'!D66),(MOD((87-'V06 Calend 01'!C66),6)=0),(((87-'V06 Calend 01'!C66)/6)&lt;='V06 Calend 01'!E66)),IF((87=('V06 Calend 01'!C66+(6*'V06 Calend 01'!E66))),('V06 Calend 01'!H66-('V06 Calend 01'!I66*('V06 Calend 01'!E66-1))),'V06 Calend 01'!I66),0))+IF((87='V06 Calend 01'!D66),'V06 Calend 01'!J66,0))</f>
        <v>0</v>
      </c>
      <c r="CV66" s="2">
        <f>((IF((88='V06 Calend 01'!C66),('V06 Calend 01'!F66+'V06 Calend 01'!G66),0)+IF(AND(('V06 Calend 01'!E66&gt;0),(88&gt;'V06 Calend 01'!C66),(88&lt;'V06 Calend 01'!D66),(MOD((88-'V06 Calend 01'!C66),6)=0),(((88-'V06 Calend 01'!C66)/6)&lt;='V06 Calend 01'!E66)),IF((88=('V06 Calend 01'!C66+(6*'V06 Calend 01'!E66))),('V06 Calend 01'!H66-('V06 Calend 01'!I66*('V06 Calend 01'!E66-1))),'V06 Calend 01'!I66),0))+IF((88='V06 Calend 01'!D66),'V06 Calend 01'!J66,0))</f>
        <v>0</v>
      </c>
      <c r="CW66" s="2">
        <f>((IF((89='V06 Calend 01'!C66),('V06 Calend 01'!F66+'V06 Calend 01'!G66),0)+IF(AND(('V06 Calend 01'!E66&gt;0),(89&gt;'V06 Calend 01'!C66),(89&lt;'V06 Calend 01'!D66),(MOD((89-'V06 Calend 01'!C66),6)=0),(((89-'V06 Calend 01'!C66)/6)&lt;='V06 Calend 01'!E66)),IF((89=('V06 Calend 01'!C66+(6*'V06 Calend 01'!E66))),('V06 Calend 01'!H66-('V06 Calend 01'!I66*('V06 Calend 01'!E66-1))),'V06 Calend 01'!I66),0))+IF((89='V06 Calend 01'!D66),'V06 Calend 01'!J66,0))</f>
        <v>0</v>
      </c>
      <c r="CX66" s="2">
        <f>((IF((90='V06 Calend 01'!C66),('V06 Calend 01'!F66+'V06 Calend 01'!G66),0)+IF(AND(('V06 Calend 01'!E66&gt;0),(90&gt;'V06 Calend 01'!C66),(90&lt;'V06 Calend 01'!D66),(MOD((90-'V06 Calend 01'!C66),6)=0),(((90-'V06 Calend 01'!C66)/6)&lt;='V06 Calend 01'!E66)),IF((90=('V06 Calend 01'!C66+(6*'V06 Calend 01'!E66))),('V06 Calend 01'!H66-('V06 Calend 01'!I66*('V06 Calend 01'!E66-1))),'V06 Calend 01'!I66),0))+IF((90='V06 Calend 01'!D66),'V06 Calend 01'!J66,0))</f>
        <v>0</v>
      </c>
      <c r="CY66" s="2">
        <f>((IF((91='V06 Calend 01'!C66),('V06 Calend 01'!F66+'V06 Calend 01'!G66),0)+IF(AND(('V06 Calend 01'!E66&gt;0),(91&gt;'V06 Calend 01'!C66),(91&lt;'V06 Calend 01'!D66),(MOD((91-'V06 Calend 01'!C66),6)=0),(((91-'V06 Calend 01'!C66)/6)&lt;='V06 Calend 01'!E66)),IF((91=('V06 Calend 01'!C66+(6*'V06 Calend 01'!E66))),('V06 Calend 01'!H66-('V06 Calend 01'!I66*('V06 Calend 01'!E66-1))),'V06 Calend 01'!I66),0))+IF((91='V06 Calend 01'!D66),'V06 Calend 01'!J66,0))</f>
        <v>0</v>
      </c>
      <c r="CZ66" s="2">
        <f>((IF((92='V06 Calend 01'!C66),('V06 Calend 01'!F66+'V06 Calend 01'!G66),0)+IF(AND(('V06 Calend 01'!E66&gt;0),(92&gt;'V06 Calend 01'!C66),(92&lt;'V06 Calend 01'!D66),(MOD((92-'V06 Calend 01'!C66),6)=0),(((92-'V06 Calend 01'!C66)/6)&lt;='V06 Calend 01'!E66)),IF((92=('V06 Calend 01'!C66+(6*'V06 Calend 01'!E66))),('V06 Calend 01'!H66-('V06 Calend 01'!I66*('V06 Calend 01'!E66-1))),'V06 Calend 01'!I66),0))+IF((92='V06 Calend 01'!D66),'V06 Calend 01'!J66,0))</f>
        <v>0</v>
      </c>
      <c r="DA66" s="2">
        <f>((IF((93='V06 Calend 01'!C66),('V06 Calend 01'!F66+'V06 Calend 01'!G66),0)+IF(AND(('V06 Calend 01'!E66&gt;0),(93&gt;'V06 Calend 01'!C66),(93&lt;'V06 Calend 01'!D66),(MOD((93-'V06 Calend 01'!C66),6)=0),(((93-'V06 Calend 01'!C66)/6)&lt;='V06 Calend 01'!E66)),IF((93=('V06 Calend 01'!C66+(6*'V06 Calend 01'!E66))),('V06 Calend 01'!H66-('V06 Calend 01'!I66*('V06 Calend 01'!E66-1))),'V06 Calend 01'!I66),0))+IF((93='V06 Calend 01'!D66),'V06 Calend 01'!J66,0))</f>
        <v>0</v>
      </c>
      <c r="DB66" s="2">
        <f>((IF((94='V06 Calend 01'!C66),('V06 Calend 01'!F66+'V06 Calend 01'!G66),0)+IF(AND(('V06 Calend 01'!E66&gt;0),(94&gt;'V06 Calend 01'!C66),(94&lt;'V06 Calend 01'!D66),(MOD((94-'V06 Calend 01'!C66),6)=0),(((94-'V06 Calend 01'!C66)/6)&lt;='V06 Calend 01'!E66)),IF((94=('V06 Calend 01'!C66+(6*'V06 Calend 01'!E66))),('V06 Calend 01'!H66-('V06 Calend 01'!I66*('V06 Calend 01'!E66-1))),'V06 Calend 01'!I66),0))+IF((94='V06 Calend 01'!D66),'V06 Calend 01'!J66,0))</f>
        <v>0</v>
      </c>
      <c r="DC66" s="2">
        <f>((IF((95='V06 Calend 01'!C66),('V06 Calend 01'!F66+'V06 Calend 01'!G66),0)+IF(AND(('V06 Calend 01'!E66&gt;0),(95&gt;'V06 Calend 01'!C66),(95&lt;'V06 Calend 01'!D66),(MOD((95-'V06 Calend 01'!C66),6)=0),(((95-'V06 Calend 01'!C66)/6)&lt;='V06 Calend 01'!E66)),IF((95=('V06 Calend 01'!C66+(6*'V06 Calend 01'!E66))),('V06 Calend 01'!H66-('V06 Calend 01'!I66*('V06 Calend 01'!E66-1))),'V06 Calend 01'!I66),0))+IF((95='V06 Calend 01'!D66),'V06 Calend 01'!J66,0))</f>
        <v>0</v>
      </c>
      <c r="DD66" s="2">
        <f>((IF((96='V06 Calend 01'!C66),('V06 Calend 01'!F66+'V06 Calend 01'!G66),0)+IF(AND(('V06 Calend 01'!E66&gt;0),(96&gt;'V06 Calend 01'!C66),(96&lt;'V06 Calend 01'!D66),(MOD((96-'V06 Calend 01'!C66),6)=0),(((96-'V06 Calend 01'!C66)/6)&lt;='V06 Calend 01'!E66)),IF((96=('V06 Calend 01'!C66+(6*'V06 Calend 01'!E66))),('V06 Calend 01'!H66-('V06 Calend 01'!I66*('V06 Calend 01'!E66-1))),'V06 Calend 01'!I66),0))+IF((96='V06 Calend 01'!D66),'V06 Calend 01'!J66,0))</f>
        <v>0</v>
      </c>
      <c r="DE66" s="2">
        <f>((IF((97='V06 Calend 01'!C66),('V06 Calend 01'!F66+'V06 Calend 01'!G66),0)+IF(AND(('V06 Calend 01'!E66&gt;0),(97&gt;'V06 Calend 01'!C66),(97&lt;'V06 Calend 01'!D66),(MOD((97-'V06 Calend 01'!C66),6)=0),(((97-'V06 Calend 01'!C66)/6)&lt;='V06 Calend 01'!E66)),IF((97=('V06 Calend 01'!C66+(6*'V06 Calend 01'!E66))),('V06 Calend 01'!H66-('V06 Calend 01'!I66*('V06 Calend 01'!E66-1))),'V06 Calend 01'!I66),0))+IF((97='V06 Calend 01'!D66),'V06 Calend 01'!J66,0))</f>
        <v>0</v>
      </c>
      <c r="DF66" s="2">
        <f>((IF((98='V06 Calend 01'!C66),('V06 Calend 01'!F66+'V06 Calend 01'!G66),0)+IF(AND(('V06 Calend 01'!E66&gt;0),(98&gt;'V06 Calend 01'!C66),(98&lt;'V06 Calend 01'!D66),(MOD((98-'V06 Calend 01'!C66),6)=0),(((98-'V06 Calend 01'!C66)/6)&lt;='V06 Calend 01'!E66)),IF((98=('V06 Calend 01'!C66+(6*'V06 Calend 01'!E66))),('V06 Calend 01'!H66-('V06 Calend 01'!I66*('V06 Calend 01'!E66-1))),'V06 Calend 01'!I66),0))+IF((98='V06 Calend 01'!D66),'V06 Calend 01'!J66,0))</f>
        <v>0</v>
      </c>
      <c r="DG66" s="2">
        <f>((IF((99='V06 Calend 01'!C66),('V06 Calend 01'!F66+'V06 Calend 01'!G66),0)+IF(AND(('V06 Calend 01'!E66&gt;0),(99&gt;'V06 Calend 01'!C66),(99&lt;'V06 Calend 01'!D66),(MOD((99-'V06 Calend 01'!C66),6)=0),(((99-'V06 Calend 01'!C66)/6)&lt;='V06 Calend 01'!E66)),IF((99=('V06 Calend 01'!C66+(6*'V06 Calend 01'!E66))),('V06 Calend 01'!H66-('V06 Calend 01'!I66*('V06 Calend 01'!E66-1))),'V06 Calend 01'!I66),0))+IF((99='V06 Calend 01'!D66),'V06 Calend 01'!J66,0))</f>
        <v>0</v>
      </c>
      <c r="DH66" s="2">
        <f>((IF((100='V06 Calend 01'!C66),('V06 Calend 01'!F66+'V06 Calend 01'!G66),0)+IF(AND(('V06 Calend 01'!E66&gt;0),(100&gt;'V06 Calend 01'!C66),(100&lt;'V06 Calend 01'!D66),(MOD((100-'V06 Calend 01'!C66),6)=0),(((100-'V06 Calend 01'!C66)/6)&lt;='V06 Calend 01'!E66)),IF((100=('V06 Calend 01'!C66+(6*'V06 Calend 01'!E66))),('V06 Calend 01'!H66-('V06 Calend 01'!I66*('V06 Calend 01'!E66-1))),'V06 Calend 01'!I66),0))+IF((100='V06 Calend 01'!D66),'V06 Calend 01'!J66,0))</f>
        <v>0</v>
      </c>
      <c r="DI66" s="2">
        <f>((IF((101='V06 Calend 01'!C66),('V06 Calend 01'!F66+'V06 Calend 01'!G66),0)+IF(AND(('V06 Calend 01'!E66&gt;0),(101&gt;'V06 Calend 01'!C66),(101&lt;'V06 Calend 01'!D66),(MOD((101-'V06 Calend 01'!C66),6)=0),(((101-'V06 Calend 01'!C66)/6)&lt;='V06 Calend 01'!E66)),IF((101=('V06 Calend 01'!C66+(6*'V06 Calend 01'!E66))),('V06 Calend 01'!H66-('V06 Calend 01'!I66*('V06 Calend 01'!E66-1))),'V06 Calend 01'!I66),0))+IF((101='V06 Calend 01'!D66),'V06 Calend 01'!J66,0))</f>
        <v>0</v>
      </c>
      <c r="DJ66" s="2">
        <f>((IF((102='V06 Calend 01'!C66),('V06 Calend 01'!F66+'V06 Calend 01'!G66),0)+IF(AND(('V06 Calend 01'!E66&gt;0),(102&gt;'V06 Calend 01'!C66),(102&lt;'V06 Calend 01'!D66),(MOD((102-'V06 Calend 01'!C66),6)=0),(((102-'V06 Calend 01'!C66)/6)&lt;='V06 Calend 01'!E66)),IF((102=('V06 Calend 01'!C66+(6*'V06 Calend 01'!E66))),('V06 Calend 01'!H66-('V06 Calend 01'!I66*('V06 Calend 01'!E66-1))),'V06 Calend 01'!I66),0))+IF((102='V06 Calend 01'!D66),'V06 Calend 01'!J66,0))</f>
        <v>0</v>
      </c>
      <c r="DK66" s="2">
        <f>((IF((103='V06 Calend 01'!C66),('V06 Calend 01'!F66+'V06 Calend 01'!G66),0)+IF(AND(('V06 Calend 01'!E66&gt;0),(103&gt;'V06 Calend 01'!C66),(103&lt;'V06 Calend 01'!D66),(MOD((103-'V06 Calend 01'!C66),6)=0),(((103-'V06 Calend 01'!C66)/6)&lt;='V06 Calend 01'!E66)),IF((103=('V06 Calend 01'!C66+(6*'V06 Calend 01'!E66))),('V06 Calend 01'!H66-('V06 Calend 01'!I66*('V06 Calend 01'!E66-1))),'V06 Calend 01'!I66),0))+IF((103='V06 Calend 01'!D66),'V06 Calend 01'!J66,0))</f>
        <v>0</v>
      </c>
      <c r="DL66" s="2">
        <f>((IF((104='V06 Calend 01'!C66),('V06 Calend 01'!F66+'V06 Calend 01'!G66),0)+IF(AND(('V06 Calend 01'!E66&gt;0),(104&gt;'V06 Calend 01'!C66),(104&lt;'V06 Calend 01'!D66),(MOD((104-'V06 Calend 01'!C66),6)=0),(((104-'V06 Calend 01'!C66)/6)&lt;='V06 Calend 01'!E66)),IF((104=('V06 Calend 01'!C66+(6*'V06 Calend 01'!E66))),('V06 Calend 01'!H66-('V06 Calend 01'!I66*('V06 Calend 01'!E66-1))),'V06 Calend 01'!I66),0))+IF((104='V06 Calend 01'!D66),'V06 Calend 01'!J66,0))</f>
        <v>0</v>
      </c>
      <c r="DM66" s="2">
        <f>((IF((105='V06 Calend 01'!C66),('V06 Calend 01'!F66+'V06 Calend 01'!G66),0)+IF(AND(('V06 Calend 01'!E66&gt;0),(105&gt;'V06 Calend 01'!C66),(105&lt;'V06 Calend 01'!D66),(MOD((105-'V06 Calend 01'!C66),6)=0),(((105-'V06 Calend 01'!C66)/6)&lt;='V06 Calend 01'!E66)),IF((105=('V06 Calend 01'!C66+(6*'V06 Calend 01'!E66))),('V06 Calend 01'!H66-('V06 Calend 01'!I66*('V06 Calend 01'!E66-1))),'V06 Calend 01'!I66),0))+IF((105='V06 Calend 01'!D66),'V06 Calend 01'!J66,0))</f>
        <v>0</v>
      </c>
      <c r="DN66" s="2">
        <f>((IF((106='V06 Calend 01'!C66),('V06 Calend 01'!F66+'V06 Calend 01'!G66),0)+IF(AND(('V06 Calend 01'!E66&gt;0),(106&gt;'V06 Calend 01'!C66),(106&lt;'V06 Calend 01'!D66),(MOD((106-'V06 Calend 01'!C66),6)=0),(((106-'V06 Calend 01'!C66)/6)&lt;='V06 Calend 01'!E66)),IF((106=('V06 Calend 01'!C66+(6*'V06 Calend 01'!E66))),('V06 Calend 01'!H66-('V06 Calend 01'!I66*('V06 Calend 01'!E66-1))),'V06 Calend 01'!I66),0))+IF((106='V06 Calend 01'!D66),'V06 Calend 01'!J66,0))</f>
        <v>0</v>
      </c>
      <c r="DO66" s="2">
        <f>((IF((107='V06 Calend 01'!C66),('V06 Calend 01'!F66+'V06 Calend 01'!G66),0)+IF(AND(('V06 Calend 01'!E66&gt;0),(107&gt;'V06 Calend 01'!C66),(107&lt;'V06 Calend 01'!D66),(MOD((107-'V06 Calend 01'!C66),6)=0),(((107-'V06 Calend 01'!C66)/6)&lt;='V06 Calend 01'!E66)),IF((107=('V06 Calend 01'!C66+(6*'V06 Calend 01'!E66))),('V06 Calend 01'!H66-('V06 Calend 01'!I66*('V06 Calend 01'!E66-1))),'V06 Calend 01'!I66),0))+IF((107='V06 Calend 01'!D66),'V06 Calend 01'!J66,0))</f>
        <v>0</v>
      </c>
      <c r="DP66" s="2">
        <f>((IF((108='V06 Calend 01'!C66),('V06 Calend 01'!F66+'V06 Calend 01'!G66),0)+IF(AND(('V06 Calend 01'!E66&gt;0),(108&gt;'V06 Calend 01'!C66),(108&lt;'V06 Calend 01'!D66),(MOD((108-'V06 Calend 01'!C66),6)=0),(((108-'V06 Calend 01'!C66)/6)&lt;='V06 Calend 01'!E66)),IF((108=('V06 Calend 01'!C66+(6*'V06 Calend 01'!E66))),('V06 Calend 01'!H66-('V06 Calend 01'!I66*('V06 Calend 01'!E66-1))),'V06 Calend 01'!I66),0))+IF((108='V06 Calend 01'!D66),'V06 Calend 01'!J66,0))</f>
        <v>0</v>
      </c>
      <c r="DQ66" s="2">
        <f>((IF((109='V06 Calend 01'!C66),('V06 Calend 01'!F66+'V06 Calend 01'!G66),0)+IF(AND(('V06 Calend 01'!E66&gt;0),(109&gt;'V06 Calend 01'!C66),(109&lt;'V06 Calend 01'!D66),(MOD((109-'V06 Calend 01'!C66),6)=0),(((109-'V06 Calend 01'!C66)/6)&lt;='V06 Calend 01'!E66)),IF((109=('V06 Calend 01'!C66+(6*'V06 Calend 01'!E66))),('V06 Calend 01'!H66-('V06 Calend 01'!I66*('V06 Calend 01'!E66-1))),'V06 Calend 01'!I66),0))+IF((109='V06 Calend 01'!D66),'V06 Calend 01'!J66,0))</f>
        <v>0</v>
      </c>
      <c r="DR66" s="2">
        <f>((IF((110='V06 Calend 01'!C66),('V06 Calend 01'!F66+'V06 Calend 01'!G66),0)+IF(AND(('V06 Calend 01'!E66&gt;0),(110&gt;'V06 Calend 01'!C66),(110&lt;'V06 Calend 01'!D66),(MOD((110-'V06 Calend 01'!C66),6)=0),(((110-'V06 Calend 01'!C66)/6)&lt;='V06 Calend 01'!E66)),IF((110=('V06 Calend 01'!C66+(6*'V06 Calend 01'!E66))),('V06 Calend 01'!H66-('V06 Calend 01'!I66*('V06 Calend 01'!E66-1))),'V06 Calend 01'!I66),0))+IF((110='V06 Calend 01'!D66),'V06 Calend 01'!J66,0))</f>
        <v>0</v>
      </c>
      <c r="DS66" s="2">
        <f>((IF((111='V06 Calend 01'!C66),('V06 Calend 01'!F66+'V06 Calend 01'!G66),0)+IF(AND(('V06 Calend 01'!E66&gt;0),(111&gt;'V06 Calend 01'!C66),(111&lt;'V06 Calend 01'!D66),(MOD((111-'V06 Calend 01'!C66),6)=0),(((111-'V06 Calend 01'!C66)/6)&lt;='V06 Calend 01'!E66)),IF((111=('V06 Calend 01'!C66+(6*'V06 Calend 01'!E66))),('V06 Calend 01'!H66-('V06 Calend 01'!I66*('V06 Calend 01'!E66-1))),'V06 Calend 01'!I66),0))+IF((111='V06 Calend 01'!D66),'V06 Calend 01'!J66,0))</f>
        <v>0</v>
      </c>
      <c r="DT66" s="2">
        <f>((IF((112='V06 Calend 01'!C66),('V06 Calend 01'!F66+'V06 Calend 01'!G66),0)+IF(AND(('V06 Calend 01'!E66&gt;0),(112&gt;'V06 Calend 01'!C66),(112&lt;'V06 Calend 01'!D66),(MOD((112-'V06 Calend 01'!C66),6)=0),(((112-'V06 Calend 01'!C66)/6)&lt;='V06 Calend 01'!E66)),IF((112=('V06 Calend 01'!C66+(6*'V06 Calend 01'!E66))),('V06 Calend 01'!H66-('V06 Calend 01'!I66*('V06 Calend 01'!E66-1))),'V06 Calend 01'!I66),0))+IF((112='V06 Calend 01'!D66),'V06 Calend 01'!J66,0))</f>
        <v>0</v>
      </c>
      <c r="DU66" s="2">
        <f>((IF((113='V06 Calend 01'!C66),('V06 Calend 01'!F66+'V06 Calend 01'!G66),0)+IF(AND(('V06 Calend 01'!E66&gt;0),(113&gt;'V06 Calend 01'!C66),(113&lt;'V06 Calend 01'!D66),(MOD((113-'V06 Calend 01'!C66),6)=0),(((113-'V06 Calend 01'!C66)/6)&lt;='V06 Calend 01'!E66)),IF((113=('V06 Calend 01'!C66+(6*'V06 Calend 01'!E66))),('V06 Calend 01'!H66-('V06 Calend 01'!I66*('V06 Calend 01'!E66-1))),'V06 Calend 01'!I66),0))+IF((113='V06 Calend 01'!D66),'V06 Calend 01'!J66,0))</f>
        <v>0</v>
      </c>
      <c r="DV66" s="2">
        <f>((IF((114='V06 Calend 01'!C66),('V06 Calend 01'!F66+'V06 Calend 01'!G66),0)+IF(AND(('V06 Calend 01'!E66&gt;0),(114&gt;'V06 Calend 01'!C66),(114&lt;'V06 Calend 01'!D66),(MOD((114-'V06 Calend 01'!C66),6)=0),(((114-'V06 Calend 01'!C66)/6)&lt;='V06 Calend 01'!E66)),IF((114=('V06 Calend 01'!C66+(6*'V06 Calend 01'!E66))),('V06 Calend 01'!H66-('V06 Calend 01'!I66*('V06 Calend 01'!E66-1))),'V06 Calend 01'!I66),0))+IF((114='V06 Calend 01'!D66),'V06 Calend 01'!J66,0))</f>
        <v>0</v>
      </c>
      <c r="DW66" s="2">
        <f>((IF((115='V06 Calend 01'!C66),('V06 Calend 01'!F66+'V06 Calend 01'!G66),0)+IF(AND(('V06 Calend 01'!E66&gt;0),(115&gt;'V06 Calend 01'!C66),(115&lt;'V06 Calend 01'!D66),(MOD((115-'V06 Calend 01'!C66),6)=0),(((115-'V06 Calend 01'!C66)/6)&lt;='V06 Calend 01'!E66)),IF((115=('V06 Calend 01'!C66+(6*'V06 Calend 01'!E66))),('V06 Calend 01'!H66-('V06 Calend 01'!I66*('V06 Calend 01'!E66-1))),'V06 Calend 01'!I66),0))+IF((115='V06 Calend 01'!D66),'V06 Calend 01'!J66,0))</f>
        <v>0</v>
      </c>
      <c r="DX66" s="2">
        <f>((IF((116='V06 Calend 01'!C66),('V06 Calend 01'!F66+'V06 Calend 01'!G66),0)+IF(AND(('V06 Calend 01'!E66&gt;0),(116&gt;'V06 Calend 01'!C66),(116&lt;'V06 Calend 01'!D66),(MOD((116-'V06 Calend 01'!C66),6)=0),(((116-'V06 Calend 01'!C66)/6)&lt;='V06 Calend 01'!E66)),IF((116=('V06 Calend 01'!C66+(6*'V06 Calend 01'!E66))),('V06 Calend 01'!H66-('V06 Calend 01'!I66*('V06 Calend 01'!E66-1))),'V06 Calend 01'!I66),0))+IF((116='V06 Calend 01'!D66),'V06 Calend 01'!J66,0))</f>
        <v>0</v>
      </c>
      <c r="DY66" s="2">
        <f>((IF((117='V06 Calend 01'!C66),('V06 Calend 01'!F66+'V06 Calend 01'!G66),0)+IF(AND(('V06 Calend 01'!E66&gt;0),(117&gt;'V06 Calend 01'!C66),(117&lt;'V06 Calend 01'!D66),(MOD((117-'V06 Calend 01'!C66),6)=0),(((117-'V06 Calend 01'!C66)/6)&lt;='V06 Calend 01'!E66)),IF((117=('V06 Calend 01'!C66+(6*'V06 Calend 01'!E66))),('V06 Calend 01'!H66-('V06 Calend 01'!I66*('V06 Calend 01'!E66-1))),'V06 Calend 01'!I66),0))+IF((117='V06 Calend 01'!D66),'V06 Calend 01'!J66,0))</f>
        <v>0</v>
      </c>
      <c r="DZ66" s="2">
        <f>((IF((118='V06 Calend 01'!C66),('V06 Calend 01'!F66+'V06 Calend 01'!G66),0)+IF(AND(('V06 Calend 01'!E66&gt;0),(118&gt;'V06 Calend 01'!C66),(118&lt;'V06 Calend 01'!D66),(MOD((118-'V06 Calend 01'!C66),6)=0),(((118-'V06 Calend 01'!C66)/6)&lt;='V06 Calend 01'!E66)),IF((118=('V06 Calend 01'!C66+(6*'V06 Calend 01'!E66))),('V06 Calend 01'!H66-('V06 Calend 01'!I66*('V06 Calend 01'!E66-1))),'V06 Calend 01'!I66),0))+IF((118='V06 Calend 01'!D66),'V06 Calend 01'!J66,0))</f>
        <v>0</v>
      </c>
      <c r="EA66" s="2">
        <f>((IF((119='V06 Calend 01'!C66),('V06 Calend 01'!F66+'V06 Calend 01'!G66),0)+IF(AND(('V06 Calend 01'!E66&gt;0),(119&gt;'V06 Calend 01'!C66),(119&lt;'V06 Calend 01'!D66),(MOD((119-'V06 Calend 01'!C66),6)=0),(((119-'V06 Calend 01'!C66)/6)&lt;='V06 Calend 01'!E66)),IF((119=('V06 Calend 01'!C66+(6*'V06 Calend 01'!E66))),('V06 Calend 01'!H66-('V06 Calend 01'!I66*('V06 Calend 01'!E66-1))),'V06 Calend 01'!I66),0))+IF((119='V06 Calend 01'!D66),'V06 Calend 01'!J66,0))</f>
        <v>0</v>
      </c>
      <c r="EB66" s="2">
        <f>((IF((120='V06 Calend 01'!C66),('V06 Calend 01'!F66+'V06 Calend 01'!G66),0)+IF(AND(('V06 Calend 01'!E66&gt;0),(120&gt;'V06 Calend 01'!C66),(120&lt;'V06 Calend 01'!D66),(MOD((120-'V06 Calend 01'!C66),6)=0),(((120-'V06 Calend 01'!C66)/6)&lt;='V06 Calend 01'!E66)),IF((120=('V06 Calend 01'!C66+(6*'V06 Calend 01'!E66))),('V06 Calend 01'!H66-('V06 Calend 01'!I66*('V06 Calend 01'!E66-1))),'V06 Calend 01'!I66),0))+IF((120='V06 Calend 01'!D66),'V06 Calend 01'!J66,0))</f>
        <v>0</v>
      </c>
      <c r="EC66" s="2">
        <f>((IF((121='V06 Calend 01'!C66),('V06 Calend 01'!F66+'V06 Calend 01'!G66),0)+IF(AND(('V06 Calend 01'!E66&gt;0),(121&gt;'V06 Calend 01'!C66),(121&lt;'V06 Calend 01'!D66),(MOD((121-'V06 Calend 01'!C66),6)=0),(((121-'V06 Calend 01'!C66)/6)&lt;='V06 Calend 01'!E66)),IF((121=('V06 Calend 01'!C66+(6*'V06 Calend 01'!E66))),('V06 Calend 01'!H66-('V06 Calend 01'!I66*('V06 Calend 01'!E66-1))),'V06 Calend 01'!I66),0))+IF((121='V06 Calend 01'!D66),'V06 Calend 01'!J66,0))</f>
        <v>0</v>
      </c>
      <c r="ED66" s="2">
        <f>((IF((122='V06 Calend 01'!C66),('V06 Calend 01'!F66+'V06 Calend 01'!G66),0)+IF(AND(('V06 Calend 01'!E66&gt;0),(122&gt;'V06 Calend 01'!C66),(122&lt;'V06 Calend 01'!D66),(MOD((122-'V06 Calend 01'!C66),6)=0),(((122-'V06 Calend 01'!C66)/6)&lt;='V06 Calend 01'!E66)),IF((122=('V06 Calend 01'!C66+(6*'V06 Calend 01'!E66))),('V06 Calend 01'!H66-('V06 Calend 01'!I66*('V06 Calend 01'!E66-1))),'V06 Calend 01'!I66),0))+IF((122='V06 Calend 01'!D66),'V06 Calend 01'!J66,0))</f>
        <v>0</v>
      </c>
      <c r="EE66" s="2">
        <f>((IF((123='V06 Calend 01'!C66),('V06 Calend 01'!F66+'V06 Calend 01'!G66),0)+IF(AND(('V06 Calend 01'!E66&gt;0),(123&gt;'V06 Calend 01'!C66),(123&lt;'V06 Calend 01'!D66),(MOD((123-'V06 Calend 01'!C66),6)=0),(((123-'V06 Calend 01'!C66)/6)&lt;='V06 Calend 01'!E66)),IF((123=('V06 Calend 01'!C66+(6*'V06 Calend 01'!E66))),('V06 Calend 01'!H66-('V06 Calend 01'!I66*('V06 Calend 01'!E66-1))),'V06 Calend 01'!I66),0))+IF((123='V06 Calend 01'!D66),'V06 Calend 01'!J66,0))</f>
        <v>0</v>
      </c>
      <c r="EF66" s="2">
        <f>((IF((124='V06 Calend 01'!C66),('V06 Calend 01'!F66+'V06 Calend 01'!G66),0)+IF(AND(('V06 Calend 01'!E66&gt;0),(124&gt;'V06 Calend 01'!C66),(124&lt;'V06 Calend 01'!D66),(MOD((124-'V06 Calend 01'!C66),6)=0),(((124-'V06 Calend 01'!C66)/6)&lt;='V06 Calend 01'!E66)),IF((124=('V06 Calend 01'!C66+(6*'V06 Calend 01'!E66))),('V06 Calend 01'!H66-('V06 Calend 01'!I66*('V06 Calend 01'!E66-1))),'V06 Calend 01'!I66),0))+IF((124='V06 Calend 01'!D66),'V06 Calend 01'!J66,0))</f>
        <v>0</v>
      </c>
      <c r="EG66" s="2">
        <f>((IF((125='V06 Calend 01'!C66),('V06 Calend 01'!F66+'V06 Calend 01'!G66),0)+IF(AND(('V06 Calend 01'!E66&gt;0),(125&gt;'V06 Calend 01'!C66),(125&lt;'V06 Calend 01'!D66),(MOD((125-'V06 Calend 01'!C66),6)=0),(((125-'V06 Calend 01'!C66)/6)&lt;='V06 Calend 01'!E66)),IF((125=('V06 Calend 01'!C66+(6*'V06 Calend 01'!E66))),('V06 Calend 01'!H66-('V06 Calend 01'!I66*('V06 Calend 01'!E66-1))),'V06 Calend 01'!I66),0))+IF((125='V06 Calend 01'!D66),'V06 Calend 01'!J66,0))</f>
        <v>0</v>
      </c>
      <c r="EH66" s="2">
        <f>((IF((126='V06 Calend 01'!C66),('V06 Calend 01'!F66+'V06 Calend 01'!G66),0)+IF(AND(('V06 Calend 01'!E66&gt;0),(126&gt;'V06 Calend 01'!C66),(126&lt;'V06 Calend 01'!D66),(MOD((126-'V06 Calend 01'!C66),6)=0),(((126-'V06 Calend 01'!C66)/6)&lt;='V06 Calend 01'!E66)),IF((126=('V06 Calend 01'!C66+(6*'V06 Calend 01'!E66))),('V06 Calend 01'!H66-('V06 Calend 01'!I66*('V06 Calend 01'!E66-1))),'V06 Calend 01'!I66),0))+IF((126='V06 Calend 01'!D66),'V06 Calend 01'!J66,0))</f>
        <v>0</v>
      </c>
      <c r="EI66" s="2">
        <f>((IF((127='V06 Calend 01'!C66),('V06 Calend 01'!F66+'V06 Calend 01'!G66),0)+IF(AND(('V06 Calend 01'!E66&gt;0),(127&gt;'V06 Calend 01'!C66),(127&lt;'V06 Calend 01'!D66),(MOD((127-'V06 Calend 01'!C66),6)=0),(((127-'V06 Calend 01'!C66)/6)&lt;='V06 Calend 01'!E66)),IF((127=('V06 Calend 01'!C66+(6*'V06 Calend 01'!E66))),('V06 Calend 01'!H66-('V06 Calend 01'!I66*('V06 Calend 01'!E66-1))),'V06 Calend 01'!I66),0))+IF((127='V06 Calend 01'!D66),'V06 Calend 01'!J66,0))</f>
        <v>0</v>
      </c>
      <c r="EJ66" s="2">
        <f>((IF((128='V06 Calend 01'!C66),('V06 Calend 01'!F66+'V06 Calend 01'!G66),0)+IF(AND(('V06 Calend 01'!E66&gt;0),(128&gt;'V06 Calend 01'!C66),(128&lt;'V06 Calend 01'!D66),(MOD((128-'V06 Calend 01'!C66),6)=0),(((128-'V06 Calend 01'!C66)/6)&lt;='V06 Calend 01'!E66)),IF((128=('V06 Calend 01'!C66+(6*'V06 Calend 01'!E66))),('V06 Calend 01'!H66-('V06 Calend 01'!I66*('V06 Calend 01'!E66-1))),'V06 Calend 01'!I66),0))+IF((128='V06 Calend 01'!D66),'V06 Calend 01'!J66,0))</f>
        <v>0</v>
      </c>
      <c r="EK66" s="2">
        <f>((IF((129='V06 Calend 01'!C66),('V06 Calend 01'!F66+'V06 Calend 01'!G66),0)+IF(AND(('V06 Calend 01'!E66&gt;0),(129&gt;'V06 Calend 01'!C66),(129&lt;'V06 Calend 01'!D66),(MOD((129-'V06 Calend 01'!C66),6)=0),(((129-'V06 Calend 01'!C66)/6)&lt;='V06 Calend 01'!E66)),IF((129=('V06 Calend 01'!C66+(6*'V06 Calend 01'!E66))),('V06 Calend 01'!H66-('V06 Calend 01'!I66*('V06 Calend 01'!E66-1))),'V06 Calend 01'!I66),0))+IF((129='V06 Calend 01'!D66),'V06 Calend 01'!J66,0))</f>
        <v>0</v>
      </c>
      <c r="EL66" s="2">
        <f>((IF((130='V06 Calend 01'!C66),('V06 Calend 01'!F66+'V06 Calend 01'!G66),0)+IF(AND(('V06 Calend 01'!E66&gt;0),(130&gt;'V06 Calend 01'!C66),(130&lt;'V06 Calend 01'!D66),(MOD((130-'V06 Calend 01'!C66),6)=0),(((130-'V06 Calend 01'!C66)/6)&lt;='V06 Calend 01'!E66)),IF((130=('V06 Calend 01'!C66+(6*'V06 Calend 01'!E66))),('V06 Calend 01'!H66-('V06 Calend 01'!I66*('V06 Calend 01'!E66-1))),'V06 Calend 01'!I66),0))+IF((130='V06 Calend 01'!D66),'V06 Calend 01'!J66,0))</f>
        <v>0</v>
      </c>
      <c r="EM66" s="2">
        <f>((IF((131='V06 Calend 01'!C66),('V06 Calend 01'!F66+'V06 Calend 01'!G66),0)+IF(AND(('V06 Calend 01'!E66&gt;0),(131&gt;'V06 Calend 01'!C66),(131&lt;'V06 Calend 01'!D66),(MOD((131-'V06 Calend 01'!C66),6)=0),(((131-'V06 Calend 01'!C66)/6)&lt;='V06 Calend 01'!E66)),IF((131=('V06 Calend 01'!C66+(6*'V06 Calend 01'!E66))),('V06 Calend 01'!H66-('V06 Calend 01'!I66*('V06 Calend 01'!E66-1))),'V06 Calend 01'!I66),0))+IF((131='V06 Calend 01'!D66),'V06 Calend 01'!J66,0))</f>
        <v>0</v>
      </c>
      <c r="EN66" s="2">
        <f>((IF((132='V06 Calend 01'!C66),('V06 Calend 01'!F66+'V06 Calend 01'!G66),0)+IF(AND(('V06 Calend 01'!E66&gt;0),(132&gt;'V06 Calend 01'!C66),(132&lt;'V06 Calend 01'!D66),(MOD((132-'V06 Calend 01'!C66),6)=0),(((132-'V06 Calend 01'!C66)/6)&lt;='V06 Calend 01'!E66)),IF((132=('V06 Calend 01'!C66+(6*'V06 Calend 01'!E66))),('V06 Calend 01'!H66-('V06 Calend 01'!I66*('V06 Calend 01'!E66-1))),'V06 Calend 01'!I66),0))+IF((132='V06 Calend 01'!D66),'V06 Calend 01'!J66,0))</f>
        <v>0</v>
      </c>
      <c r="EO66" s="2">
        <f>((IF((133='V06 Calend 01'!C66),('V06 Calend 01'!F66+'V06 Calend 01'!G66),0)+IF(AND(('V06 Calend 01'!E66&gt;0),(133&gt;'V06 Calend 01'!C66),(133&lt;'V06 Calend 01'!D66),(MOD((133-'V06 Calend 01'!C66),6)=0),(((133-'V06 Calend 01'!C66)/6)&lt;='V06 Calend 01'!E66)),IF((133=('V06 Calend 01'!C66+(6*'V06 Calend 01'!E66))),('V06 Calend 01'!H66-('V06 Calend 01'!I66*('V06 Calend 01'!E66-1))),'V06 Calend 01'!I66),0))+IF((133='V06 Calend 01'!D66),'V06 Calend 01'!J66,0))</f>
        <v>0</v>
      </c>
      <c r="EP66" s="2">
        <f>((IF((134='V06 Calend 01'!C66),('V06 Calend 01'!F66+'V06 Calend 01'!G66),0)+IF(AND(('V06 Calend 01'!E66&gt;0),(134&gt;'V06 Calend 01'!C66),(134&lt;'V06 Calend 01'!D66),(MOD((134-'V06 Calend 01'!C66),6)=0),(((134-'V06 Calend 01'!C66)/6)&lt;='V06 Calend 01'!E66)),IF((134=('V06 Calend 01'!C66+(6*'V06 Calend 01'!E66))),('V06 Calend 01'!H66-('V06 Calend 01'!I66*('V06 Calend 01'!E66-1))),'V06 Calend 01'!I66),0))+IF((134='V06 Calend 01'!D66),'V06 Calend 01'!J66,0))</f>
        <v>0</v>
      </c>
      <c r="EQ66" s="2">
        <f>((IF((135='V06 Calend 01'!C66),('V06 Calend 01'!F66+'V06 Calend 01'!G66),0)+IF(AND(('V06 Calend 01'!E66&gt;0),(135&gt;'V06 Calend 01'!C66),(135&lt;'V06 Calend 01'!D66),(MOD((135-'V06 Calend 01'!C66),6)=0),(((135-'V06 Calend 01'!C66)/6)&lt;='V06 Calend 01'!E66)),IF((135=('V06 Calend 01'!C66+(6*'V06 Calend 01'!E66))),('V06 Calend 01'!H66-('V06 Calend 01'!I66*('V06 Calend 01'!E66-1))),'V06 Calend 01'!I66),0))+IF((135='V06 Calend 01'!D66),'V06 Calend 01'!J66,0))</f>
        <v>0</v>
      </c>
      <c r="ER66" s="2">
        <f>((IF((136='V06 Calend 01'!C66),('V06 Calend 01'!F66+'V06 Calend 01'!G66),0)+IF(AND(('V06 Calend 01'!E66&gt;0),(136&gt;'V06 Calend 01'!C66),(136&lt;'V06 Calend 01'!D66),(MOD((136-'V06 Calend 01'!C66),6)=0),(((136-'V06 Calend 01'!C66)/6)&lt;='V06 Calend 01'!E66)),IF((136=('V06 Calend 01'!C66+(6*'V06 Calend 01'!E66))),('V06 Calend 01'!H66-('V06 Calend 01'!I66*('V06 Calend 01'!E66-1))),'V06 Calend 01'!I66),0))+IF((136='V06 Calend 01'!D66),'V06 Calend 01'!J66,0))</f>
        <v>0</v>
      </c>
      <c r="ES66" s="2">
        <f>((IF((137='V06 Calend 01'!C66),('V06 Calend 01'!F66+'V06 Calend 01'!G66),0)+IF(AND(('V06 Calend 01'!E66&gt;0),(137&gt;'V06 Calend 01'!C66),(137&lt;'V06 Calend 01'!D66),(MOD((137-'V06 Calend 01'!C66),6)=0),(((137-'V06 Calend 01'!C66)/6)&lt;='V06 Calend 01'!E66)),IF((137=('V06 Calend 01'!C66+(6*'V06 Calend 01'!E66))),('V06 Calend 01'!H66-('V06 Calend 01'!I66*('V06 Calend 01'!E66-1))),'V06 Calend 01'!I66),0))+IF((137='V06 Calend 01'!D66),'V06 Calend 01'!J66,0))</f>
        <v>0</v>
      </c>
      <c r="ET66" s="2">
        <f>((IF((138='V06 Calend 01'!C66),('V06 Calend 01'!F66+'V06 Calend 01'!G66),0)+IF(AND(('V06 Calend 01'!E66&gt;0),(138&gt;'V06 Calend 01'!C66),(138&lt;'V06 Calend 01'!D66),(MOD((138-'V06 Calend 01'!C66),6)=0),(((138-'V06 Calend 01'!C66)/6)&lt;='V06 Calend 01'!E66)),IF((138=('V06 Calend 01'!C66+(6*'V06 Calend 01'!E66))),('V06 Calend 01'!H66-('V06 Calend 01'!I66*('V06 Calend 01'!E66-1))),'V06 Calend 01'!I66),0))+IF((138='V06 Calend 01'!D66),'V06 Calend 01'!J66,0))</f>
        <v>0</v>
      </c>
      <c r="EU66" s="2">
        <f>((IF((139='V06 Calend 01'!C66),('V06 Calend 01'!F66+'V06 Calend 01'!G66),0)+IF(AND(('V06 Calend 01'!E66&gt;0),(139&gt;'V06 Calend 01'!C66),(139&lt;'V06 Calend 01'!D66),(MOD((139-'V06 Calend 01'!C66),6)=0),(((139-'V06 Calend 01'!C66)/6)&lt;='V06 Calend 01'!E66)),IF((139=('V06 Calend 01'!C66+(6*'V06 Calend 01'!E66))),('V06 Calend 01'!H66-('V06 Calend 01'!I66*('V06 Calend 01'!E66-1))),'V06 Calend 01'!I66),0))+IF((139='V06 Calend 01'!D66),'V06 Calend 01'!J66,0))</f>
        <v>0</v>
      </c>
      <c r="EV66" s="2">
        <f>((IF((140='V06 Calend 01'!C66),('V06 Calend 01'!F66+'V06 Calend 01'!G66),0)+IF(AND(('V06 Calend 01'!E66&gt;0),(140&gt;'V06 Calend 01'!C66),(140&lt;'V06 Calend 01'!D66),(MOD((140-'V06 Calend 01'!C66),6)=0),(((140-'V06 Calend 01'!C66)/6)&lt;='V06 Calend 01'!E66)),IF((140=('V06 Calend 01'!C66+(6*'V06 Calend 01'!E66))),('V06 Calend 01'!H66-('V06 Calend 01'!I66*('V06 Calend 01'!E66-1))),'V06 Calend 01'!I66),0))+IF((140='V06 Calend 01'!D66),'V06 Calend 01'!J66,0))</f>
        <v>0</v>
      </c>
      <c r="EW66" s="2">
        <f>((IF((141='V06 Calend 01'!C66),('V06 Calend 01'!F66+'V06 Calend 01'!G66),0)+IF(AND(('V06 Calend 01'!E66&gt;0),(141&gt;'V06 Calend 01'!C66),(141&lt;'V06 Calend 01'!D66),(MOD((141-'V06 Calend 01'!C66),6)=0),(((141-'V06 Calend 01'!C66)/6)&lt;='V06 Calend 01'!E66)),IF((141=('V06 Calend 01'!C66+(6*'V06 Calend 01'!E66))),('V06 Calend 01'!H66-('V06 Calend 01'!I66*('V06 Calend 01'!E66-1))),'V06 Calend 01'!I66),0))+IF((141='V06 Calend 01'!D66),'V06 Calend 01'!J66,0))</f>
        <v>0</v>
      </c>
      <c r="EX66" s="2">
        <f>((IF((142='V06 Calend 01'!C66),('V06 Calend 01'!F66+'V06 Calend 01'!G66),0)+IF(AND(('V06 Calend 01'!E66&gt;0),(142&gt;'V06 Calend 01'!C66),(142&lt;'V06 Calend 01'!D66),(MOD((142-'V06 Calend 01'!C66),6)=0),(((142-'V06 Calend 01'!C66)/6)&lt;='V06 Calend 01'!E66)),IF((142=('V06 Calend 01'!C66+(6*'V06 Calend 01'!E66))),('V06 Calend 01'!H66-('V06 Calend 01'!I66*('V06 Calend 01'!E66-1))),'V06 Calend 01'!I66),0))+IF((142='V06 Calend 01'!D66),'V06 Calend 01'!J66,0))</f>
        <v>0</v>
      </c>
      <c r="EY66" s="2">
        <f>((IF((143='V06 Calend 01'!C66),('V06 Calend 01'!F66+'V06 Calend 01'!G66),0)+IF(AND(('V06 Calend 01'!E66&gt;0),(143&gt;'V06 Calend 01'!C66),(143&lt;'V06 Calend 01'!D66),(MOD((143-'V06 Calend 01'!C66),6)=0),(((143-'V06 Calend 01'!C66)/6)&lt;='V06 Calend 01'!E66)),IF((143=('V06 Calend 01'!C66+(6*'V06 Calend 01'!E66))),('V06 Calend 01'!H66-('V06 Calend 01'!I66*('V06 Calend 01'!E66-1))),'V06 Calend 01'!I66),0))+IF((143='V06 Calend 01'!D66),'V06 Calend 01'!J66,0))</f>
        <v>0</v>
      </c>
      <c r="EZ66" s="2">
        <f>((IF((144='V06 Calend 01'!C66),('V06 Calend 01'!F66+'V06 Calend 01'!G66),0)+IF(AND(('V06 Calend 01'!E66&gt;0),(144&gt;'V06 Calend 01'!C66),(144&lt;'V06 Calend 01'!D66),(MOD((144-'V06 Calend 01'!C66),6)=0),(((144-'V06 Calend 01'!C66)/6)&lt;='V06 Calend 01'!E66)),IF((144=('V06 Calend 01'!C66+(6*'V06 Calend 01'!E66))),('V06 Calend 01'!H66-('V06 Calend 01'!I66*('V06 Calend 01'!E66-1))),'V06 Calend 01'!I66),0))+IF((144='V06 Calend 01'!D66),'V06 Calend 01'!J66,0))</f>
        <v>0</v>
      </c>
      <c r="FA66" s="2">
        <f>((IF((145='V06 Calend 01'!C66),('V06 Calend 01'!F66+'V06 Calend 01'!G66),0)+IF(AND(('V06 Calend 01'!E66&gt;0),(145&gt;'V06 Calend 01'!C66),(145&lt;'V06 Calend 01'!D66),(MOD((145-'V06 Calend 01'!C66),6)=0),(((145-'V06 Calend 01'!C66)/6)&lt;='V06 Calend 01'!E66)),IF((145=('V06 Calend 01'!C66+(6*'V06 Calend 01'!E66))),('V06 Calend 01'!H66-('V06 Calend 01'!I66*('V06 Calend 01'!E66-1))),'V06 Calend 01'!I66),0))+IF((145='V06 Calend 01'!D66),'V06 Calend 01'!J66,0))</f>
        <v>0</v>
      </c>
      <c r="FB66" s="2">
        <f>((IF((146='V06 Calend 01'!C66),('V06 Calend 01'!F66+'V06 Calend 01'!G66),0)+IF(AND(('V06 Calend 01'!E66&gt;0),(146&gt;'V06 Calend 01'!C66),(146&lt;'V06 Calend 01'!D66),(MOD((146-'V06 Calend 01'!C66),6)=0),(((146-'V06 Calend 01'!C66)/6)&lt;='V06 Calend 01'!E66)),IF((146=('V06 Calend 01'!C66+(6*'V06 Calend 01'!E66))),('V06 Calend 01'!H66-('V06 Calend 01'!I66*('V06 Calend 01'!E66-1))),'V06 Calend 01'!I66),0))+IF((146='V06 Calend 01'!D66),'V06 Calend 01'!J66,0))</f>
        <v>0</v>
      </c>
      <c r="FC66" s="2">
        <f>((IF((147='V06 Calend 01'!C66),('V06 Calend 01'!F66+'V06 Calend 01'!G66),0)+IF(AND(('V06 Calend 01'!E66&gt;0),(147&gt;'V06 Calend 01'!C66),(147&lt;'V06 Calend 01'!D66),(MOD((147-'V06 Calend 01'!C66),6)=0),(((147-'V06 Calend 01'!C66)/6)&lt;='V06 Calend 01'!E66)),IF((147=('V06 Calend 01'!C66+(6*'V06 Calend 01'!E66))),('V06 Calend 01'!H66-('V06 Calend 01'!I66*('V06 Calend 01'!E66-1))),'V06 Calend 01'!I66),0))+IF((147='V06 Calend 01'!D66),'V06 Calend 01'!J66,0))</f>
        <v>0</v>
      </c>
      <c r="FD66" s="2">
        <f>((IF((148='V06 Calend 01'!C66),('V06 Calend 01'!F66+'V06 Calend 01'!G66),0)+IF(AND(('V06 Calend 01'!E66&gt;0),(148&gt;'V06 Calend 01'!C66),(148&lt;'V06 Calend 01'!D66),(MOD((148-'V06 Calend 01'!C66),6)=0),(((148-'V06 Calend 01'!C66)/6)&lt;='V06 Calend 01'!E66)),IF((148=('V06 Calend 01'!C66+(6*'V06 Calend 01'!E66))),('V06 Calend 01'!H66-('V06 Calend 01'!I66*('V06 Calend 01'!E66-1))),'V06 Calend 01'!I66),0))+IF((148='V06 Calend 01'!D66),'V06 Calend 01'!J66,0))</f>
        <v>0</v>
      </c>
      <c r="FE66" s="2">
        <f>((IF((149='V06 Calend 01'!C66),('V06 Calend 01'!F66+'V06 Calend 01'!G66),0)+IF(AND(('V06 Calend 01'!E66&gt;0),(149&gt;'V06 Calend 01'!C66),(149&lt;'V06 Calend 01'!D66),(MOD((149-'V06 Calend 01'!C66),6)=0),(((149-'V06 Calend 01'!C66)/6)&lt;='V06 Calend 01'!E66)),IF((149=('V06 Calend 01'!C66+(6*'V06 Calend 01'!E66))),('V06 Calend 01'!H66-('V06 Calend 01'!I66*('V06 Calend 01'!E66-1))),'V06 Calend 01'!I66),0))+IF((149='V06 Calend 01'!D66),'V06 Calend 01'!J66,0))</f>
        <v>0</v>
      </c>
      <c r="FF66" s="2">
        <f>((IF((150='V06 Calend 01'!C66),('V06 Calend 01'!F66+'V06 Calend 01'!G66),0)+IF(AND(('V06 Calend 01'!E66&gt;0),(150&gt;'V06 Calend 01'!C66),(150&lt;'V06 Calend 01'!D66),(MOD((150-'V06 Calend 01'!C66),6)=0),(((150-'V06 Calend 01'!C66)/6)&lt;='V06 Calend 01'!E66)),IF((150=('V06 Calend 01'!C66+(6*'V06 Calend 01'!E66))),('V06 Calend 01'!H66-('V06 Calend 01'!I66*('V06 Calend 01'!E66-1))),'V06 Calend 01'!I66),0))+IF((150='V06 Calend 01'!D66),'V06 Calend 01'!J66,0))</f>
        <v>0</v>
      </c>
      <c r="FG66" s="2">
        <f>((IF((151='V06 Calend 01'!C66),('V06 Calend 01'!F66+'V06 Calend 01'!G66),0)+IF(AND(('V06 Calend 01'!E66&gt;0),(151&gt;'V06 Calend 01'!C66),(151&lt;'V06 Calend 01'!D66),(MOD((151-'V06 Calend 01'!C66),6)=0),(((151-'V06 Calend 01'!C66)/6)&lt;='V06 Calend 01'!E66)),IF((151=('V06 Calend 01'!C66+(6*'V06 Calend 01'!E66))),('V06 Calend 01'!H66-('V06 Calend 01'!I66*('V06 Calend 01'!E66-1))),'V06 Calend 01'!I66),0))+IF((151='V06 Calend 01'!D66),'V06 Calend 01'!J66,0))</f>
        <v>0</v>
      </c>
      <c r="FH66" s="2">
        <f>((IF((152='V06 Calend 01'!C66),('V06 Calend 01'!F66+'V06 Calend 01'!G66),0)+IF(AND(('V06 Calend 01'!E66&gt;0),(152&gt;'V06 Calend 01'!C66),(152&lt;'V06 Calend 01'!D66),(MOD((152-'V06 Calend 01'!C66),6)=0),(((152-'V06 Calend 01'!C66)/6)&lt;='V06 Calend 01'!E66)),IF((152=('V06 Calend 01'!C66+(6*'V06 Calend 01'!E66))),('V06 Calend 01'!H66-('V06 Calend 01'!I66*('V06 Calend 01'!E66-1))),'V06 Calend 01'!I66),0))+IF((152='V06 Calend 01'!D66),'V06 Calend 01'!J66,0))</f>
        <v>0</v>
      </c>
      <c r="FI66" s="2">
        <f>((IF((153='V06 Calend 01'!C66),('V06 Calend 01'!F66+'V06 Calend 01'!G66),0)+IF(AND(('V06 Calend 01'!E66&gt;0),(153&gt;'V06 Calend 01'!C66),(153&lt;'V06 Calend 01'!D66),(MOD((153-'V06 Calend 01'!C66),6)=0),(((153-'V06 Calend 01'!C66)/6)&lt;='V06 Calend 01'!E66)),IF((153=('V06 Calend 01'!C66+(6*'V06 Calend 01'!E66))),('V06 Calend 01'!H66-('V06 Calend 01'!I66*('V06 Calend 01'!E66-1))),'V06 Calend 01'!I66),0))+IF((153='V06 Calend 01'!D66),'V06 Calend 01'!J66,0))</f>
        <v>0</v>
      </c>
      <c r="FJ66" s="2">
        <f>((IF((154='V06 Calend 01'!C66),('V06 Calend 01'!F66+'V06 Calend 01'!G66),0)+IF(AND(('V06 Calend 01'!E66&gt;0),(154&gt;'V06 Calend 01'!C66),(154&lt;'V06 Calend 01'!D66),(MOD((154-'V06 Calend 01'!C66),6)=0),(((154-'V06 Calend 01'!C66)/6)&lt;='V06 Calend 01'!E66)),IF((154=('V06 Calend 01'!C66+(6*'V06 Calend 01'!E66))),('V06 Calend 01'!H66-('V06 Calend 01'!I66*('V06 Calend 01'!E66-1))),'V06 Calend 01'!I66),0))+IF((154='V06 Calend 01'!D66),'V06 Calend 01'!J66,0))</f>
        <v>0</v>
      </c>
      <c r="FK66" s="2">
        <f>((IF((155='V06 Calend 01'!C66),('V06 Calend 01'!F66+'V06 Calend 01'!G66),0)+IF(AND(('V06 Calend 01'!E66&gt;0),(155&gt;'V06 Calend 01'!C66),(155&lt;'V06 Calend 01'!D66),(MOD((155-'V06 Calend 01'!C66),6)=0),(((155-'V06 Calend 01'!C66)/6)&lt;='V06 Calend 01'!E66)),IF((155=('V06 Calend 01'!C66+(6*'V06 Calend 01'!E66))),('V06 Calend 01'!H66-('V06 Calend 01'!I66*('V06 Calend 01'!E66-1))),'V06 Calend 01'!I66),0))+IF((155='V06 Calend 01'!D66),'V06 Calend 01'!J66,0))</f>
        <v>0</v>
      </c>
      <c r="FL66" s="2">
        <f>((IF((156='V06 Calend 01'!C66),('V06 Calend 01'!F66+'V06 Calend 01'!G66),0)+IF(AND(('V06 Calend 01'!E66&gt;0),(156&gt;'V06 Calend 01'!C66),(156&lt;'V06 Calend 01'!D66),(MOD((156-'V06 Calend 01'!C66),6)=0),(((156-'V06 Calend 01'!C66)/6)&lt;='V06 Calend 01'!E66)),IF((156=('V06 Calend 01'!C66+(6*'V06 Calend 01'!E66))),('V06 Calend 01'!H66-('V06 Calend 01'!I66*('V06 Calend 01'!E66-1))),'V06 Calend 01'!I66),0))+IF((156='V06 Calend 01'!D66),'V06 Calend 01'!J66,0))</f>
        <v>0</v>
      </c>
      <c r="FM66" s="2">
        <f>((IF((157='V06 Calend 01'!C66),('V06 Calend 01'!F66+'V06 Calend 01'!G66),0)+IF(AND(('V06 Calend 01'!E66&gt;0),(157&gt;'V06 Calend 01'!C66),(157&lt;'V06 Calend 01'!D66),(MOD((157-'V06 Calend 01'!C66),6)=0),(((157-'V06 Calend 01'!C66)/6)&lt;='V06 Calend 01'!E66)),IF((157=('V06 Calend 01'!C66+(6*'V06 Calend 01'!E66))),('V06 Calend 01'!H66-('V06 Calend 01'!I66*('V06 Calend 01'!E66-1))),'V06 Calend 01'!I66),0))+IF((157='V06 Calend 01'!D66),'V06 Calend 01'!J66,0))</f>
        <v>0</v>
      </c>
      <c r="FN66" s="2">
        <f>((IF((158='V06 Calend 01'!C66),('V06 Calend 01'!F66+'V06 Calend 01'!G66),0)+IF(AND(('V06 Calend 01'!E66&gt;0),(158&gt;'V06 Calend 01'!C66),(158&lt;'V06 Calend 01'!D66),(MOD((158-'V06 Calend 01'!C66),6)=0),(((158-'V06 Calend 01'!C66)/6)&lt;='V06 Calend 01'!E66)),IF((158=('V06 Calend 01'!C66+(6*'V06 Calend 01'!E66))),('V06 Calend 01'!H66-('V06 Calend 01'!I66*('V06 Calend 01'!E66-1))),'V06 Calend 01'!I66),0))+IF((158='V06 Calend 01'!D66),'V06 Calend 01'!J66,0))</f>
        <v>0</v>
      </c>
      <c r="FO66" s="2">
        <f>((IF((159='V06 Calend 01'!C66),('V06 Calend 01'!F66+'V06 Calend 01'!G66),0)+IF(AND(('V06 Calend 01'!E66&gt;0),(159&gt;'V06 Calend 01'!C66),(159&lt;'V06 Calend 01'!D66),(MOD((159-'V06 Calend 01'!C66),6)=0),(((159-'V06 Calend 01'!C66)/6)&lt;='V06 Calend 01'!E66)),IF((159=('V06 Calend 01'!C66+(6*'V06 Calend 01'!E66))),('V06 Calend 01'!H66-('V06 Calend 01'!I66*('V06 Calend 01'!E66-1))),'V06 Calend 01'!I66),0))+IF((159='V06 Calend 01'!D66),'V06 Calend 01'!J66,0))</f>
        <v>0</v>
      </c>
      <c r="FP66" s="2">
        <f>((IF((160='V06 Calend 01'!C66),('V06 Calend 01'!F66+'V06 Calend 01'!G66),0)+IF(AND(('V06 Calend 01'!E66&gt;0),(160&gt;'V06 Calend 01'!C66),(160&lt;'V06 Calend 01'!D66),(MOD((160-'V06 Calend 01'!C66),6)=0),(((160-'V06 Calend 01'!C66)/6)&lt;='V06 Calend 01'!E66)),IF((160=('V06 Calend 01'!C66+(6*'V06 Calend 01'!E66))),('V06 Calend 01'!H66-('V06 Calend 01'!I66*('V06 Calend 01'!E66-1))),'V06 Calend 01'!I66),0))+IF((160='V06 Calend 01'!D66),'V06 Calend 01'!J66,0))</f>
        <v>0</v>
      </c>
      <c r="FQ66" s="2">
        <f>((IF((161='V06 Calend 01'!C66),('V06 Calend 01'!F66+'V06 Calend 01'!G66),0)+IF(AND(('V06 Calend 01'!E66&gt;0),(161&gt;'V06 Calend 01'!C66),(161&lt;'V06 Calend 01'!D66),(MOD((161-'V06 Calend 01'!C66),6)=0),(((161-'V06 Calend 01'!C66)/6)&lt;='V06 Calend 01'!E66)),IF((161=('V06 Calend 01'!C66+(6*'V06 Calend 01'!E66))),('V06 Calend 01'!H66-('V06 Calend 01'!I66*('V06 Calend 01'!E66-1))),'V06 Calend 01'!I66),0))+IF((161='V06 Calend 01'!D66),'V06 Calend 01'!J66,0))</f>
        <v>0</v>
      </c>
      <c r="FR66" s="2">
        <f>((IF((162='V06 Calend 01'!C66),('V06 Calend 01'!F66+'V06 Calend 01'!G66),0)+IF(AND(('V06 Calend 01'!E66&gt;0),(162&gt;'V06 Calend 01'!C66),(162&lt;'V06 Calend 01'!D66),(MOD((162-'V06 Calend 01'!C66),6)=0),(((162-'V06 Calend 01'!C66)/6)&lt;='V06 Calend 01'!E66)),IF((162=('V06 Calend 01'!C66+(6*'V06 Calend 01'!E66))),('V06 Calend 01'!H66-('V06 Calend 01'!I66*('V06 Calend 01'!E66-1))),'V06 Calend 01'!I66),0))+IF((162='V06 Calend 01'!D66),'V06 Calend 01'!J66,0))</f>
        <v>0</v>
      </c>
      <c r="FS66" s="2">
        <f>((IF((163='V06 Calend 01'!C66),('V06 Calend 01'!F66+'V06 Calend 01'!G66),0)+IF(AND(('V06 Calend 01'!E66&gt;0),(163&gt;'V06 Calend 01'!C66),(163&lt;'V06 Calend 01'!D66),(MOD((163-'V06 Calend 01'!C66),6)=0),(((163-'V06 Calend 01'!C66)/6)&lt;='V06 Calend 01'!E66)),IF((163=('V06 Calend 01'!C66+(6*'V06 Calend 01'!E66))),('V06 Calend 01'!H66-('V06 Calend 01'!I66*('V06 Calend 01'!E66-1))),'V06 Calend 01'!I66),0))+IF((163='V06 Calend 01'!D66),'V06 Calend 01'!J66,0))</f>
        <v>0</v>
      </c>
      <c r="FT66" s="2">
        <f>((IF((164='V06 Calend 01'!C66),('V06 Calend 01'!F66+'V06 Calend 01'!G66),0)+IF(AND(('V06 Calend 01'!E66&gt;0),(164&gt;'V06 Calend 01'!C66),(164&lt;'V06 Calend 01'!D66),(MOD((164-'V06 Calend 01'!C66),6)=0),(((164-'V06 Calend 01'!C66)/6)&lt;='V06 Calend 01'!E66)),IF((164=('V06 Calend 01'!C66+(6*'V06 Calend 01'!E66))),('V06 Calend 01'!H66-('V06 Calend 01'!I66*('V06 Calend 01'!E66-1))),'V06 Calend 01'!I66),0))+IF((164='V06 Calend 01'!D66),'V06 Calend 01'!J66,0))</f>
        <v>0</v>
      </c>
      <c r="FU66" s="2">
        <f>((IF((165='V06 Calend 01'!C66),('V06 Calend 01'!F66+'V06 Calend 01'!G66),0)+IF(AND(('V06 Calend 01'!E66&gt;0),(165&gt;'V06 Calend 01'!C66),(165&lt;'V06 Calend 01'!D66),(MOD((165-'V06 Calend 01'!C66),6)=0),(((165-'V06 Calend 01'!C66)/6)&lt;='V06 Calend 01'!E66)),IF((165=('V06 Calend 01'!C66+(6*'V06 Calend 01'!E66))),('V06 Calend 01'!H66-('V06 Calend 01'!I66*('V06 Calend 01'!E66-1))),'V06 Calend 01'!I66),0))+IF((165='V06 Calend 01'!D66),'V06 Calend 01'!J66,0))</f>
        <v>0</v>
      </c>
      <c r="FV66" s="2">
        <f>((IF((166='V06 Calend 01'!C66),('V06 Calend 01'!F66+'V06 Calend 01'!G66),0)+IF(AND(('V06 Calend 01'!E66&gt;0),(166&gt;'V06 Calend 01'!C66),(166&lt;'V06 Calend 01'!D66),(MOD((166-'V06 Calend 01'!C66),6)=0),(((166-'V06 Calend 01'!C66)/6)&lt;='V06 Calend 01'!E66)),IF((166=('V06 Calend 01'!C66+(6*'V06 Calend 01'!E66))),('V06 Calend 01'!H66-('V06 Calend 01'!I66*('V06 Calend 01'!E66-1))),'V06 Calend 01'!I66),0))+IF((166='V06 Calend 01'!D66),'V06 Calend 01'!J66,0))</f>
        <v>0</v>
      </c>
      <c r="FW66" s="2">
        <f>((IF((167='V06 Calend 01'!C66),('V06 Calend 01'!F66+'V06 Calend 01'!G66),0)+IF(AND(('V06 Calend 01'!E66&gt;0),(167&gt;'V06 Calend 01'!C66),(167&lt;'V06 Calend 01'!D66),(MOD((167-'V06 Calend 01'!C66),6)=0),(((167-'V06 Calend 01'!C66)/6)&lt;='V06 Calend 01'!E66)),IF((167=('V06 Calend 01'!C66+(6*'V06 Calend 01'!E66))),('V06 Calend 01'!H66-('V06 Calend 01'!I66*('V06 Calend 01'!E66-1))),'V06 Calend 01'!I66),0))+IF((167='V06 Calend 01'!D66),'V06 Calend 01'!J66,0))</f>
        <v>0</v>
      </c>
      <c r="FX66" s="2">
        <f>((IF((168='V06 Calend 01'!C66),('V06 Calend 01'!F66+'V06 Calend 01'!G66),0)+IF(AND(('V06 Calend 01'!E66&gt;0),(168&gt;'V06 Calend 01'!C66),(168&lt;'V06 Calend 01'!D66),(MOD((168-'V06 Calend 01'!C66),6)=0),(((168-'V06 Calend 01'!C66)/6)&lt;='V06 Calend 01'!E66)),IF((168=('V06 Calend 01'!C66+(6*'V06 Calend 01'!E66))),('V06 Calend 01'!H66-('V06 Calend 01'!I66*('V06 Calend 01'!E66-1))),'V06 Calend 01'!I66),0))+IF((168='V06 Calend 01'!D66),'V06 Calend 01'!J66,0))</f>
        <v>0</v>
      </c>
      <c r="FY66" s="2">
        <f>((IF((169='V06 Calend 01'!C66),('V06 Calend 01'!F66+'V06 Calend 01'!G66),0)+IF(AND(('V06 Calend 01'!E66&gt;0),(169&gt;'V06 Calend 01'!C66),(169&lt;'V06 Calend 01'!D66),(MOD((169-'V06 Calend 01'!C66),6)=0),(((169-'V06 Calend 01'!C66)/6)&lt;='V06 Calend 01'!E66)),IF((169=('V06 Calend 01'!C66+(6*'V06 Calend 01'!E66))),('V06 Calend 01'!H66-('V06 Calend 01'!I66*('V06 Calend 01'!E66-1))),'V06 Calend 01'!I66),0))+IF((169='V06 Calend 01'!D66),'V06 Calend 01'!J66,0))</f>
        <v>0</v>
      </c>
      <c r="FZ66" s="2">
        <f>((IF((170='V06 Calend 01'!C66),('V06 Calend 01'!F66+'V06 Calend 01'!G66),0)+IF(AND(('V06 Calend 01'!E66&gt;0),(170&gt;'V06 Calend 01'!C66),(170&lt;'V06 Calend 01'!D66),(MOD((170-'V06 Calend 01'!C66),6)=0),(((170-'V06 Calend 01'!C66)/6)&lt;='V06 Calend 01'!E66)),IF((170=('V06 Calend 01'!C66+(6*'V06 Calend 01'!E66))),('V06 Calend 01'!H66-('V06 Calend 01'!I66*('V06 Calend 01'!E66-1))),'V06 Calend 01'!I66),0))+IF((170='V06 Calend 01'!D66),'V06 Calend 01'!J66,0))</f>
        <v>0</v>
      </c>
      <c r="GA66" s="2">
        <f>((IF((171='V06 Calend 01'!C66),('V06 Calend 01'!F66+'V06 Calend 01'!G66),0)+IF(AND(('V06 Calend 01'!E66&gt;0),(171&gt;'V06 Calend 01'!C66),(171&lt;'V06 Calend 01'!D66),(MOD((171-'V06 Calend 01'!C66),6)=0),(((171-'V06 Calend 01'!C66)/6)&lt;='V06 Calend 01'!E66)),IF((171=('V06 Calend 01'!C66+(6*'V06 Calend 01'!E66))),('V06 Calend 01'!H66-('V06 Calend 01'!I66*('V06 Calend 01'!E66-1))),'V06 Calend 01'!I66),0))+IF((171='V06 Calend 01'!D66),'V06 Calend 01'!J66,0))</f>
        <v>0</v>
      </c>
      <c r="GB66" s="2">
        <f>((IF((172='V06 Calend 01'!C66),('V06 Calend 01'!F66+'V06 Calend 01'!G66),0)+IF(AND(('V06 Calend 01'!E66&gt;0),(172&gt;'V06 Calend 01'!C66),(172&lt;'V06 Calend 01'!D66),(MOD((172-'V06 Calend 01'!C66),6)=0),(((172-'V06 Calend 01'!C66)/6)&lt;='V06 Calend 01'!E66)),IF((172=('V06 Calend 01'!C66+(6*'V06 Calend 01'!E66))),('V06 Calend 01'!H66-('V06 Calend 01'!I66*('V06 Calend 01'!E66-1))),'V06 Calend 01'!I66),0))+IF((172='V06 Calend 01'!D66),'V06 Calend 01'!J66,0))</f>
        <v>0</v>
      </c>
      <c r="GC66" s="2">
        <f>((IF((173='V06 Calend 01'!C66),('V06 Calend 01'!F66+'V06 Calend 01'!G66),0)+IF(AND(('V06 Calend 01'!E66&gt;0),(173&gt;'V06 Calend 01'!C66),(173&lt;'V06 Calend 01'!D66),(MOD((173-'V06 Calend 01'!C66),6)=0),(((173-'V06 Calend 01'!C66)/6)&lt;='V06 Calend 01'!E66)),IF((173=('V06 Calend 01'!C66+(6*'V06 Calend 01'!E66))),('V06 Calend 01'!H66-('V06 Calend 01'!I66*('V06 Calend 01'!E66-1))),'V06 Calend 01'!I66),0))+IF((173='V06 Calend 01'!D66),'V06 Calend 01'!J66,0))</f>
        <v>0</v>
      </c>
      <c r="GD66" s="2">
        <f>((IF((174='V06 Calend 01'!C66),('V06 Calend 01'!F66+'V06 Calend 01'!G66),0)+IF(AND(('V06 Calend 01'!E66&gt;0),(174&gt;'V06 Calend 01'!C66),(174&lt;'V06 Calend 01'!D66),(MOD((174-'V06 Calend 01'!C66),6)=0),(((174-'V06 Calend 01'!C66)/6)&lt;='V06 Calend 01'!E66)),IF((174=('V06 Calend 01'!C66+(6*'V06 Calend 01'!E66))),('V06 Calend 01'!H66-('V06 Calend 01'!I66*('V06 Calend 01'!E66-1))),'V06 Calend 01'!I66),0))+IF((174='V06 Calend 01'!D66),'V06 Calend 01'!J66,0))</f>
        <v>0</v>
      </c>
      <c r="GE66" s="2">
        <f>((IF((175='V06 Calend 01'!C66),('V06 Calend 01'!F66+'V06 Calend 01'!G66),0)+IF(AND(('V06 Calend 01'!E66&gt;0),(175&gt;'V06 Calend 01'!C66),(175&lt;'V06 Calend 01'!D66),(MOD((175-'V06 Calend 01'!C66),6)=0),(((175-'V06 Calend 01'!C66)/6)&lt;='V06 Calend 01'!E66)),IF((175=('V06 Calend 01'!C66+(6*'V06 Calend 01'!E66))),('V06 Calend 01'!H66-('V06 Calend 01'!I66*('V06 Calend 01'!E66-1))),'V06 Calend 01'!I66),0))+IF((175='V06 Calend 01'!D66),'V06 Calend 01'!J66,0))</f>
        <v>0</v>
      </c>
      <c r="GF66" s="2">
        <f>((IF((176='V06 Calend 01'!C66),('V06 Calend 01'!F66+'V06 Calend 01'!G66),0)+IF(AND(('V06 Calend 01'!E66&gt;0),(176&gt;'V06 Calend 01'!C66),(176&lt;'V06 Calend 01'!D66),(MOD((176-'V06 Calend 01'!C66),6)=0),(((176-'V06 Calend 01'!C66)/6)&lt;='V06 Calend 01'!E66)),IF((176=('V06 Calend 01'!C66+(6*'V06 Calend 01'!E66))),('V06 Calend 01'!H66-('V06 Calend 01'!I66*('V06 Calend 01'!E66-1))),'V06 Calend 01'!I66),0))+IF((176='V06 Calend 01'!D66),'V06 Calend 01'!J66,0))</f>
        <v>0</v>
      </c>
      <c r="GG66" s="2">
        <f>((IF((177='V06 Calend 01'!C66),('V06 Calend 01'!F66+'V06 Calend 01'!G66),0)+IF(AND(('V06 Calend 01'!E66&gt;0),(177&gt;'V06 Calend 01'!C66),(177&lt;'V06 Calend 01'!D66),(MOD((177-'V06 Calend 01'!C66),6)=0),(((177-'V06 Calend 01'!C66)/6)&lt;='V06 Calend 01'!E66)),IF((177=('V06 Calend 01'!C66+(6*'V06 Calend 01'!E66))),('V06 Calend 01'!H66-('V06 Calend 01'!I66*('V06 Calend 01'!E66-1))),'V06 Calend 01'!I66),0))+IF((177='V06 Calend 01'!D66),'V06 Calend 01'!J66,0))</f>
        <v>0</v>
      </c>
      <c r="GH66" s="2">
        <f>((IF((178='V06 Calend 01'!C66),('V06 Calend 01'!F66+'V06 Calend 01'!G66),0)+IF(AND(('V06 Calend 01'!E66&gt;0),(178&gt;'V06 Calend 01'!C66),(178&lt;'V06 Calend 01'!D66),(MOD((178-'V06 Calend 01'!C66),6)=0),(((178-'V06 Calend 01'!C66)/6)&lt;='V06 Calend 01'!E66)),IF((178=('V06 Calend 01'!C66+(6*'V06 Calend 01'!E66))),('V06 Calend 01'!H66-('V06 Calend 01'!I66*('V06 Calend 01'!E66-1))),'V06 Calend 01'!I66),0))+IF((178='V06 Calend 01'!D66),'V06 Calend 01'!J66,0))</f>
        <v>0</v>
      </c>
      <c r="GI66" s="2">
        <f>((IF((179='V06 Calend 01'!C66),('V06 Calend 01'!F66+'V06 Calend 01'!G66),0)+IF(AND(('V06 Calend 01'!E66&gt;0),(179&gt;'V06 Calend 01'!C66),(179&lt;'V06 Calend 01'!D66),(MOD((179-'V06 Calend 01'!C66),6)=0),(((179-'V06 Calend 01'!C66)/6)&lt;='V06 Calend 01'!E66)),IF((179=('V06 Calend 01'!C66+(6*'V06 Calend 01'!E66))),('V06 Calend 01'!H66-('V06 Calend 01'!I66*('V06 Calend 01'!E66-1))),'V06 Calend 01'!I66),0))+IF((179='V06 Calend 01'!D66),'V06 Calend 01'!J66,0))</f>
        <v>0</v>
      </c>
      <c r="GJ66" s="2">
        <f>((IF((180='V06 Calend 01'!C66),('V06 Calend 01'!F66+'V06 Calend 01'!G66),0)+IF(AND(('V06 Calend 01'!E66&gt;0),(180&gt;'V06 Calend 01'!C66),(180&lt;'V06 Calend 01'!D66),(MOD((180-'V06 Calend 01'!C66),6)=0),(((180-'V06 Calend 01'!C66)/6)&lt;='V06 Calend 01'!E66)),IF((180=('V06 Calend 01'!C66+(6*'V06 Calend 01'!E66))),('V06 Calend 01'!H66-('V06 Calend 01'!I66*('V06 Calend 01'!E66-1))),'V06 Calend 01'!I66),0))+IF((180='V06 Calend 01'!D66),'V06 Calend 01'!J66,0))</f>
        <v>0</v>
      </c>
    </row>
    <row r="67" spans="1:192">
      <c r="A67" s="3" t="str">
        <f>'V06 Unidades'!$A$67</f>
        <v>803</v>
      </c>
      <c r="B67" s="2">
        <f>'V06 Unidades'!$H$67</f>
        <v>378524.82</v>
      </c>
      <c r="C67" s="4">
        <f>('V06 Unidades'!$I$67+'V06 Controlos'!$B$37)</f>
        <v>16</v>
      </c>
      <c r="D67" s="4">
        <f>IF(('V06 Controlos'!$B$38&gt;0),MAX(('V06 Unidades'!$L$67+'V06 Controlos'!$B$37),(30+'V06 Controlos'!$B$38)),('V06 Unidades'!$L$67+'V06 Controlos'!$B$37))</f>
        <v>30</v>
      </c>
      <c r="E67" s="4">
        <f>MAX(0,INT(((('V06 Calend 01'!D67-'V06 Calend 01'!C67)-1)/6)))</f>
        <v>2</v>
      </c>
      <c r="F67" s="2">
        <f>ROUND(('V06 Calend 01'!B67*0.05),2)</f>
        <v>18926.24</v>
      </c>
      <c r="G67" s="2">
        <f>ROUND(('V06 Calend 01'!B67*0.2),2)</f>
        <v>75704.96</v>
      </c>
      <c r="H67" s="2">
        <f>ROUND(('V06 Calend 01'!B67*0.55),2)</f>
        <v>208188.65</v>
      </c>
      <c r="I67" s="2">
        <f>ROUND(('V06 Calend 01'!H67/MAX(1,'V06 Calend 01'!E67)),2)</f>
        <v>104094.33</v>
      </c>
      <c r="J67" s="2">
        <f>((('V06 Calend 01'!B67-'V06 Calend 01'!F67)-'V06 Calend 01'!G67)-'V06 Calend 01'!H67)</f>
        <v>75704.97</v>
      </c>
      <c r="K67" s="2">
        <f>('V06 Calend 01'!B67*0.025)</f>
        <v>9463.1205</v>
      </c>
      <c r="L67" t="s">
        <v>378</v>
      </c>
      <c r="M67" s="2">
        <f>((IF((1='V06 Calend 01'!C67),('V06 Calend 01'!F67+'V06 Calend 01'!G67),0)+IF(AND(('V06 Calend 01'!E67&gt;0),(1&gt;'V06 Calend 01'!C67),(1&lt;'V06 Calend 01'!D67),(MOD((1-'V06 Calend 01'!C67),6)=0),(((1-'V06 Calend 01'!C67)/6)&lt;='V06 Calend 01'!E67)),IF((1=('V06 Calend 01'!C67+(6*'V06 Calend 01'!E67))),('V06 Calend 01'!H67-('V06 Calend 01'!I67*('V06 Calend 01'!E67-1))),'V06 Calend 01'!I67),0))+IF((1='V06 Calend 01'!D67),'V06 Calend 01'!J67,0))</f>
        <v>0</v>
      </c>
      <c r="N67" s="2">
        <f>((IF((2='V06 Calend 01'!C67),('V06 Calend 01'!F67+'V06 Calend 01'!G67),0)+IF(AND(('V06 Calend 01'!E67&gt;0),(2&gt;'V06 Calend 01'!C67),(2&lt;'V06 Calend 01'!D67),(MOD((2-'V06 Calend 01'!C67),6)=0),(((2-'V06 Calend 01'!C67)/6)&lt;='V06 Calend 01'!E67)),IF((2=('V06 Calend 01'!C67+(6*'V06 Calend 01'!E67))),('V06 Calend 01'!H67-('V06 Calend 01'!I67*('V06 Calend 01'!E67-1))),'V06 Calend 01'!I67),0))+IF((2='V06 Calend 01'!D67),'V06 Calend 01'!J67,0))</f>
        <v>0</v>
      </c>
      <c r="O67" s="2">
        <f>((IF((3='V06 Calend 01'!C67),('V06 Calend 01'!F67+'V06 Calend 01'!G67),0)+IF(AND(('V06 Calend 01'!E67&gt;0),(3&gt;'V06 Calend 01'!C67),(3&lt;'V06 Calend 01'!D67),(MOD((3-'V06 Calend 01'!C67),6)=0),(((3-'V06 Calend 01'!C67)/6)&lt;='V06 Calend 01'!E67)),IF((3=('V06 Calend 01'!C67+(6*'V06 Calend 01'!E67))),('V06 Calend 01'!H67-('V06 Calend 01'!I67*('V06 Calend 01'!E67-1))),'V06 Calend 01'!I67),0))+IF((3='V06 Calend 01'!D67),'V06 Calend 01'!J67,0))</f>
        <v>0</v>
      </c>
      <c r="P67" s="2">
        <f>((IF((4='V06 Calend 01'!C67),('V06 Calend 01'!F67+'V06 Calend 01'!G67),0)+IF(AND(('V06 Calend 01'!E67&gt;0),(4&gt;'V06 Calend 01'!C67),(4&lt;'V06 Calend 01'!D67),(MOD((4-'V06 Calend 01'!C67),6)=0),(((4-'V06 Calend 01'!C67)/6)&lt;='V06 Calend 01'!E67)),IF((4=('V06 Calend 01'!C67+(6*'V06 Calend 01'!E67))),('V06 Calend 01'!H67-('V06 Calend 01'!I67*('V06 Calend 01'!E67-1))),'V06 Calend 01'!I67),0))+IF((4='V06 Calend 01'!D67),'V06 Calend 01'!J67,0))</f>
        <v>0</v>
      </c>
      <c r="Q67" s="2">
        <f>((IF((5='V06 Calend 01'!C67),('V06 Calend 01'!F67+'V06 Calend 01'!G67),0)+IF(AND(('V06 Calend 01'!E67&gt;0),(5&gt;'V06 Calend 01'!C67),(5&lt;'V06 Calend 01'!D67),(MOD((5-'V06 Calend 01'!C67),6)=0),(((5-'V06 Calend 01'!C67)/6)&lt;='V06 Calend 01'!E67)),IF((5=('V06 Calend 01'!C67+(6*'V06 Calend 01'!E67))),('V06 Calend 01'!H67-('V06 Calend 01'!I67*('V06 Calend 01'!E67-1))),'V06 Calend 01'!I67),0))+IF((5='V06 Calend 01'!D67),'V06 Calend 01'!J67,0))</f>
        <v>0</v>
      </c>
      <c r="R67" s="2">
        <f>((IF((6='V06 Calend 01'!C67),('V06 Calend 01'!F67+'V06 Calend 01'!G67),0)+IF(AND(('V06 Calend 01'!E67&gt;0),(6&gt;'V06 Calend 01'!C67),(6&lt;'V06 Calend 01'!D67),(MOD((6-'V06 Calend 01'!C67),6)=0),(((6-'V06 Calend 01'!C67)/6)&lt;='V06 Calend 01'!E67)),IF((6=('V06 Calend 01'!C67+(6*'V06 Calend 01'!E67))),('V06 Calend 01'!H67-('V06 Calend 01'!I67*('V06 Calend 01'!E67-1))),'V06 Calend 01'!I67),0))+IF((6='V06 Calend 01'!D67),'V06 Calend 01'!J67,0))</f>
        <v>0</v>
      </c>
      <c r="S67" s="2">
        <f>((IF((7='V06 Calend 01'!C67),('V06 Calend 01'!F67+'V06 Calend 01'!G67),0)+IF(AND(('V06 Calend 01'!E67&gt;0),(7&gt;'V06 Calend 01'!C67),(7&lt;'V06 Calend 01'!D67),(MOD((7-'V06 Calend 01'!C67),6)=0),(((7-'V06 Calend 01'!C67)/6)&lt;='V06 Calend 01'!E67)),IF((7=('V06 Calend 01'!C67+(6*'V06 Calend 01'!E67))),('V06 Calend 01'!H67-('V06 Calend 01'!I67*('V06 Calend 01'!E67-1))),'V06 Calend 01'!I67),0))+IF((7='V06 Calend 01'!D67),'V06 Calend 01'!J67,0))</f>
        <v>0</v>
      </c>
      <c r="T67" s="2">
        <f>((IF((8='V06 Calend 01'!C67),('V06 Calend 01'!F67+'V06 Calend 01'!G67),0)+IF(AND(('V06 Calend 01'!E67&gt;0),(8&gt;'V06 Calend 01'!C67),(8&lt;'V06 Calend 01'!D67),(MOD((8-'V06 Calend 01'!C67),6)=0),(((8-'V06 Calend 01'!C67)/6)&lt;='V06 Calend 01'!E67)),IF((8=('V06 Calend 01'!C67+(6*'V06 Calend 01'!E67))),('V06 Calend 01'!H67-('V06 Calend 01'!I67*('V06 Calend 01'!E67-1))),'V06 Calend 01'!I67),0))+IF((8='V06 Calend 01'!D67),'V06 Calend 01'!J67,0))</f>
        <v>0</v>
      </c>
      <c r="U67" s="2">
        <f>((IF((9='V06 Calend 01'!C67),('V06 Calend 01'!F67+'V06 Calend 01'!G67),0)+IF(AND(('V06 Calend 01'!E67&gt;0),(9&gt;'V06 Calend 01'!C67),(9&lt;'V06 Calend 01'!D67),(MOD((9-'V06 Calend 01'!C67),6)=0),(((9-'V06 Calend 01'!C67)/6)&lt;='V06 Calend 01'!E67)),IF((9=('V06 Calend 01'!C67+(6*'V06 Calend 01'!E67))),('V06 Calend 01'!H67-('V06 Calend 01'!I67*('V06 Calend 01'!E67-1))),'V06 Calend 01'!I67),0))+IF((9='V06 Calend 01'!D67),'V06 Calend 01'!J67,0))</f>
        <v>0</v>
      </c>
      <c r="V67" s="2">
        <f>((IF((10='V06 Calend 01'!C67),('V06 Calend 01'!F67+'V06 Calend 01'!G67),0)+IF(AND(('V06 Calend 01'!E67&gt;0),(10&gt;'V06 Calend 01'!C67),(10&lt;'V06 Calend 01'!D67),(MOD((10-'V06 Calend 01'!C67),6)=0),(((10-'V06 Calend 01'!C67)/6)&lt;='V06 Calend 01'!E67)),IF((10=('V06 Calend 01'!C67+(6*'V06 Calend 01'!E67))),('V06 Calend 01'!H67-('V06 Calend 01'!I67*('V06 Calend 01'!E67-1))),'V06 Calend 01'!I67),0))+IF((10='V06 Calend 01'!D67),'V06 Calend 01'!J67,0))</f>
        <v>0</v>
      </c>
      <c r="W67" s="2">
        <f>((IF((11='V06 Calend 01'!C67),('V06 Calend 01'!F67+'V06 Calend 01'!G67),0)+IF(AND(('V06 Calend 01'!E67&gt;0),(11&gt;'V06 Calend 01'!C67),(11&lt;'V06 Calend 01'!D67),(MOD((11-'V06 Calend 01'!C67),6)=0),(((11-'V06 Calend 01'!C67)/6)&lt;='V06 Calend 01'!E67)),IF((11=('V06 Calend 01'!C67+(6*'V06 Calend 01'!E67))),('V06 Calend 01'!H67-('V06 Calend 01'!I67*('V06 Calend 01'!E67-1))),'V06 Calend 01'!I67),0))+IF((11='V06 Calend 01'!D67),'V06 Calend 01'!J67,0))</f>
        <v>0</v>
      </c>
      <c r="X67" s="2">
        <f>((IF((12='V06 Calend 01'!C67),('V06 Calend 01'!F67+'V06 Calend 01'!G67),0)+IF(AND(('V06 Calend 01'!E67&gt;0),(12&gt;'V06 Calend 01'!C67),(12&lt;'V06 Calend 01'!D67),(MOD((12-'V06 Calend 01'!C67),6)=0),(((12-'V06 Calend 01'!C67)/6)&lt;='V06 Calend 01'!E67)),IF((12=('V06 Calend 01'!C67+(6*'V06 Calend 01'!E67))),('V06 Calend 01'!H67-('V06 Calend 01'!I67*('V06 Calend 01'!E67-1))),'V06 Calend 01'!I67),0))+IF((12='V06 Calend 01'!D67),'V06 Calend 01'!J67,0))</f>
        <v>0</v>
      </c>
      <c r="Y67" s="2">
        <f>((IF((13='V06 Calend 01'!C67),('V06 Calend 01'!F67+'V06 Calend 01'!G67),0)+IF(AND(('V06 Calend 01'!E67&gt;0),(13&gt;'V06 Calend 01'!C67),(13&lt;'V06 Calend 01'!D67),(MOD((13-'V06 Calend 01'!C67),6)=0),(((13-'V06 Calend 01'!C67)/6)&lt;='V06 Calend 01'!E67)),IF((13=('V06 Calend 01'!C67+(6*'V06 Calend 01'!E67))),('V06 Calend 01'!H67-('V06 Calend 01'!I67*('V06 Calend 01'!E67-1))),'V06 Calend 01'!I67),0))+IF((13='V06 Calend 01'!D67),'V06 Calend 01'!J67,0))</f>
        <v>0</v>
      </c>
      <c r="Z67" s="2">
        <f>((IF((14='V06 Calend 01'!C67),('V06 Calend 01'!F67+'V06 Calend 01'!G67),0)+IF(AND(('V06 Calend 01'!E67&gt;0),(14&gt;'V06 Calend 01'!C67),(14&lt;'V06 Calend 01'!D67),(MOD((14-'V06 Calend 01'!C67),6)=0),(((14-'V06 Calend 01'!C67)/6)&lt;='V06 Calend 01'!E67)),IF((14=('V06 Calend 01'!C67+(6*'V06 Calend 01'!E67))),('V06 Calend 01'!H67-('V06 Calend 01'!I67*('V06 Calend 01'!E67-1))),'V06 Calend 01'!I67),0))+IF((14='V06 Calend 01'!D67),'V06 Calend 01'!J67,0))</f>
        <v>0</v>
      </c>
      <c r="AA67" s="2">
        <f>((IF((15='V06 Calend 01'!C67),('V06 Calend 01'!F67+'V06 Calend 01'!G67),0)+IF(AND(('V06 Calend 01'!E67&gt;0),(15&gt;'V06 Calend 01'!C67),(15&lt;'V06 Calend 01'!D67),(MOD((15-'V06 Calend 01'!C67),6)=0),(((15-'V06 Calend 01'!C67)/6)&lt;='V06 Calend 01'!E67)),IF((15=('V06 Calend 01'!C67+(6*'V06 Calend 01'!E67))),('V06 Calend 01'!H67-('V06 Calend 01'!I67*('V06 Calend 01'!E67-1))),'V06 Calend 01'!I67),0))+IF((15='V06 Calend 01'!D67),'V06 Calend 01'!J67,0))</f>
        <v>0</v>
      </c>
      <c r="AB67" s="2">
        <f>((IF((16='V06 Calend 01'!C67),('V06 Calend 01'!F67+'V06 Calend 01'!G67),0)+IF(AND(('V06 Calend 01'!E67&gt;0),(16&gt;'V06 Calend 01'!C67),(16&lt;'V06 Calend 01'!D67),(MOD((16-'V06 Calend 01'!C67),6)=0),(((16-'V06 Calend 01'!C67)/6)&lt;='V06 Calend 01'!E67)),IF((16=('V06 Calend 01'!C67+(6*'V06 Calend 01'!E67))),('V06 Calend 01'!H67-('V06 Calend 01'!I67*('V06 Calend 01'!E67-1))),'V06 Calend 01'!I67),0))+IF((16='V06 Calend 01'!D67),'V06 Calend 01'!J67,0))</f>
        <v>94631.20000000001</v>
      </c>
      <c r="AC67" s="2">
        <f>((IF((17='V06 Calend 01'!C67),('V06 Calend 01'!F67+'V06 Calend 01'!G67),0)+IF(AND(('V06 Calend 01'!E67&gt;0),(17&gt;'V06 Calend 01'!C67),(17&lt;'V06 Calend 01'!D67),(MOD((17-'V06 Calend 01'!C67),6)=0),(((17-'V06 Calend 01'!C67)/6)&lt;='V06 Calend 01'!E67)),IF((17=('V06 Calend 01'!C67+(6*'V06 Calend 01'!E67))),('V06 Calend 01'!H67-('V06 Calend 01'!I67*('V06 Calend 01'!E67-1))),'V06 Calend 01'!I67),0))+IF((17='V06 Calend 01'!D67),'V06 Calend 01'!J67,0))</f>
        <v>0</v>
      </c>
      <c r="AD67" s="2">
        <f>((IF((18='V06 Calend 01'!C67),('V06 Calend 01'!F67+'V06 Calend 01'!G67),0)+IF(AND(('V06 Calend 01'!E67&gt;0),(18&gt;'V06 Calend 01'!C67),(18&lt;'V06 Calend 01'!D67),(MOD((18-'V06 Calend 01'!C67),6)=0),(((18-'V06 Calend 01'!C67)/6)&lt;='V06 Calend 01'!E67)),IF((18=('V06 Calend 01'!C67+(6*'V06 Calend 01'!E67))),('V06 Calend 01'!H67-('V06 Calend 01'!I67*('V06 Calend 01'!E67-1))),'V06 Calend 01'!I67),0))+IF((18='V06 Calend 01'!D67),'V06 Calend 01'!J67,0))</f>
        <v>0</v>
      </c>
      <c r="AE67" s="2">
        <f>((IF((19='V06 Calend 01'!C67),('V06 Calend 01'!F67+'V06 Calend 01'!G67),0)+IF(AND(('V06 Calend 01'!E67&gt;0),(19&gt;'V06 Calend 01'!C67),(19&lt;'V06 Calend 01'!D67),(MOD((19-'V06 Calend 01'!C67),6)=0),(((19-'V06 Calend 01'!C67)/6)&lt;='V06 Calend 01'!E67)),IF((19=('V06 Calend 01'!C67+(6*'V06 Calend 01'!E67))),('V06 Calend 01'!H67-('V06 Calend 01'!I67*('V06 Calend 01'!E67-1))),'V06 Calend 01'!I67),0))+IF((19='V06 Calend 01'!D67),'V06 Calend 01'!J67,0))</f>
        <v>0</v>
      </c>
      <c r="AF67" s="2">
        <f>((IF((20='V06 Calend 01'!C67),('V06 Calend 01'!F67+'V06 Calend 01'!G67),0)+IF(AND(('V06 Calend 01'!E67&gt;0),(20&gt;'V06 Calend 01'!C67),(20&lt;'V06 Calend 01'!D67),(MOD((20-'V06 Calend 01'!C67),6)=0),(((20-'V06 Calend 01'!C67)/6)&lt;='V06 Calend 01'!E67)),IF((20=('V06 Calend 01'!C67+(6*'V06 Calend 01'!E67))),('V06 Calend 01'!H67-('V06 Calend 01'!I67*('V06 Calend 01'!E67-1))),'V06 Calend 01'!I67),0))+IF((20='V06 Calend 01'!D67),'V06 Calend 01'!J67,0))</f>
        <v>0</v>
      </c>
      <c r="AG67" s="2">
        <f>((IF((21='V06 Calend 01'!C67),('V06 Calend 01'!F67+'V06 Calend 01'!G67),0)+IF(AND(('V06 Calend 01'!E67&gt;0),(21&gt;'V06 Calend 01'!C67),(21&lt;'V06 Calend 01'!D67),(MOD((21-'V06 Calend 01'!C67),6)=0),(((21-'V06 Calend 01'!C67)/6)&lt;='V06 Calend 01'!E67)),IF((21=('V06 Calend 01'!C67+(6*'V06 Calend 01'!E67))),('V06 Calend 01'!H67-('V06 Calend 01'!I67*('V06 Calend 01'!E67-1))),'V06 Calend 01'!I67),0))+IF((21='V06 Calend 01'!D67),'V06 Calend 01'!J67,0))</f>
        <v>0</v>
      </c>
      <c r="AH67" s="2">
        <f>((IF((22='V06 Calend 01'!C67),('V06 Calend 01'!F67+'V06 Calend 01'!G67),0)+IF(AND(('V06 Calend 01'!E67&gt;0),(22&gt;'V06 Calend 01'!C67),(22&lt;'V06 Calend 01'!D67),(MOD((22-'V06 Calend 01'!C67),6)=0),(((22-'V06 Calend 01'!C67)/6)&lt;='V06 Calend 01'!E67)),IF((22=('V06 Calend 01'!C67+(6*'V06 Calend 01'!E67))),('V06 Calend 01'!H67-('V06 Calend 01'!I67*('V06 Calend 01'!E67-1))),'V06 Calend 01'!I67),0))+IF((22='V06 Calend 01'!D67),'V06 Calend 01'!J67,0))</f>
        <v>104094.33</v>
      </c>
      <c r="AI67" s="2">
        <f>((IF((23='V06 Calend 01'!C67),('V06 Calend 01'!F67+'V06 Calend 01'!G67),0)+IF(AND(('V06 Calend 01'!E67&gt;0),(23&gt;'V06 Calend 01'!C67),(23&lt;'V06 Calend 01'!D67),(MOD((23-'V06 Calend 01'!C67),6)=0),(((23-'V06 Calend 01'!C67)/6)&lt;='V06 Calend 01'!E67)),IF((23=('V06 Calend 01'!C67+(6*'V06 Calend 01'!E67))),('V06 Calend 01'!H67-('V06 Calend 01'!I67*('V06 Calend 01'!E67-1))),'V06 Calend 01'!I67),0))+IF((23='V06 Calend 01'!D67),'V06 Calend 01'!J67,0))</f>
        <v>0</v>
      </c>
      <c r="AJ67" s="2">
        <f>((IF((24='V06 Calend 01'!C67),('V06 Calend 01'!F67+'V06 Calend 01'!G67),0)+IF(AND(('V06 Calend 01'!E67&gt;0),(24&gt;'V06 Calend 01'!C67),(24&lt;'V06 Calend 01'!D67),(MOD((24-'V06 Calend 01'!C67),6)=0),(((24-'V06 Calend 01'!C67)/6)&lt;='V06 Calend 01'!E67)),IF((24=('V06 Calend 01'!C67+(6*'V06 Calend 01'!E67))),('V06 Calend 01'!H67-('V06 Calend 01'!I67*('V06 Calend 01'!E67-1))),'V06 Calend 01'!I67),0))+IF((24='V06 Calend 01'!D67),'V06 Calend 01'!J67,0))</f>
        <v>0</v>
      </c>
      <c r="AK67" s="2">
        <f>((IF((25='V06 Calend 01'!C67),('V06 Calend 01'!F67+'V06 Calend 01'!G67),0)+IF(AND(('V06 Calend 01'!E67&gt;0),(25&gt;'V06 Calend 01'!C67),(25&lt;'V06 Calend 01'!D67),(MOD((25-'V06 Calend 01'!C67),6)=0),(((25-'V06 Calend 01'!C67)/6)&lt;='V06 Calend 01'!E67)),IF((25=('V06 Calend 01'!C67+(6*'V06 Calend 01'!E67))),('V06 Calend 01'!H67-('V06 Calend 01'!I67*('V06 Calend 01'!E67-1))),'V06 Calend 01'!I67),0))+IF((25='V06 Calend 01'!D67),'V06 Calend 01'!J67,0))</f>
        <v>0</v>
      </c>
      <c r="AL67" s="2">
        <f>((IF((26='V06 Calend 01'!C67),('V06 Calend 01'!F67+'V06 Calend 01'!G67),0)+IF(AND(('V06 Calend 01'!E67&gt;0),(26&gt;'V06 Calend 01'!C67),(26&lt;'V06 Calend 01'!D67),(MOD((26-'V06 Calend 01'!C67),6)=0),(((26-'V06 Calend 01'!C67)/6)&lt;='V06 Calend 01'!E67)),IF((26=('V06 Calend 01'!C67+(6*'V06 Calend 01'!E67))),('V06 Calend 01'!H67-('V06 Calend 01'!I67*('V06 Calend 01'!E67-1))),'V06 Calend 01'!I67),0))+IF((26='V06 Calend 01'!D67),'V06 Calend 01'!J67,0))</f>
        <v>0</v>
      </c>
      <c r="AM67" s="2">
        <f>((IF((27='V06 Calend 01'!C67),('V06 Calend 01'!F67+'V06 Calend 01'!G67),0)+IF(AND(('V06 Calend 01'!E67&gt;0),(27&gt;'V06 Calend 01'!C67),(27&lt;'V06 Calend 01'!D67),(MOD((27-'V06 Calend 01'!C67),6)=0),(((27-'V06 Calend 01'!C67)/6)&lt;='V06 Calend 01'!E67)),IF((27=('V06 Calend 01'!C67+(6*'V06 Calend 01'!E67))),('V06 Calend 01'!H67-('V06 Calend 01'!I67*('V06 Calend 01'!E67-1))),'V06 Calend 01'!I67),0))+IF((27='V06 Calend 01'!D67),'V06 Calend 01'!J67,0))</f>
        <v>0</v>
      </c>
      <c r="AN67" s="2">
        <f>((IF((28='V06 Calend 01'!C67),('V06 Calend 01'!F67+'V06 Calend 01'!G67),0)+IF(AND(('V06 Calend 01'!E67&gt;0),(28&gt;'V06 Calend 01'!C67),(28&lt;'V06 Calend 01'!D67),(MOD((28-'V06 Calend 01'!C67),6)=0),(((28-'V06 Calend 01'!C67)/6)&lt;='V06 Calend 01'!E67)),IF((28=('V06 Calend 01'!C67+(6*'V06 Calend 01'!E67))),('V06 Calend 01'!H67-('V06 Calend 01'!I67*('V06 Calend 01'!E67-1))),'V06 Calend 01'!I67),0))+IF((28='V06 Calend 01'!D67),'V06 Calend 01'!J67,0))</f>
        <v>104094.31999999999</v>
      </c>
      <c r="AO67" s="2">
        <f>((IF((29='V06 Calend 01'!C67),('V06 Calend 01'!F67+'V06 Calend 01'!G67),0)+IF(AND(('V06 Calend 01'!E67&gt;0),(29&gt;'V06 Calend 01'!C67),(29&lt;'V06 Calend 01'!D67),(MOD((29-'V06 Calend 01'!C67),6)=0),(((29-'V06 Calend 01'!C67)/6)&lt;='V06 Calend 01'!E67)),IF((29=('V06 Calend 01'!C67+(6*'V06 Calend 01'!E67))),('V06 Calend 01'!H67-('V06 Calend 01'!I67*('V06 Calend 01'!E67-1))),'V06 Calend 01'!I67),0))+IF((29='V06 Calend 01'!D67),'V06 Calend 01'!J67,0))</f>
        <v>0</v>
      </c>
      <c r="AP67" s="2">
        <f>((IF((30='V06 Calend 01'!C67),('V06 Calend 01'!F67+'V06 Calend 01'!G67),0)+IF(AND(('V06 Calend 01'!E67&gt;0),(30&gt;'V06 Calend 01'!C67),(30&lt;'V06 Calend 01'!D67),(MOD((30-'V06 Calend 01'!C67),6)=0),(((30-'V06 Calend 01'!C67)/6)&lt;='V06 Calend 01'!E67)),IF((30=('V06 Calend 01'!C67+(6*'V06 Calend 01'!E67))),('V06 Calend 01'!H67-('V06 Calend 01'!I67*('V06 Calend 01'!E67-1))),'V06 Calend 01'!I67),0))+IF((30='V06 Calend 01'!D67),'V06 Calend 01'!J67,0))</f>
        <v>75704.97</v>
      </c>
      <c r="AQ67" s="2">
        <f>((IF((31='V06 Calend 01'!C67),('V06 Calend 01'!F67+'V06 Calend 01'!G67),0)+IF(AND(('V06 Calend 01'!E67&gt;0),(31&gt;'V06 Calend 01'!C67),(31&lt;'V06 Calend 01'!D67),(MOD((31-'V06 Calend 01'!C67),6)=0),(((31-'V06 Calend 01'!C67)/6)&lt;='V06 Calend 01'!E67)),IF((31=('V06 Calend 01'!C67+(6*'V06 Calend 01'!E67))),('V06 Calend 01'!H67-('V06 Calend 01'!I67*('V06 Calend 01'!E67-1))),'V06 Calend 01'!I67),0))+IF((31='V06 Calend 01'!D67),'V06 Calend 01'!J67,0))</f>
        <v>0</v>
      </c>
      <c r="AR67" s="2">
        <f>((IF((32='V06 Calend 01'!C67),('V06 Calend 01'!F67+'V06 Calend 01'!G67),0)+IF(AND(('V06 Calend 01'!E67&gt;0),(32&gt;'V06 Calend 01'!C67),(32&lt;'V06 Calend 01'!D67),(MOD((32-'V06 Calend 01'!C67),6)=0),(((32-'V06 Calend 01'!C67)/6)&lt;='V06 Calend 01'!E67)),IF((32=('V06 Calend 01'!C67+(6*'V06 Calend 01'!E67))),('V06 Calend 01'!H67-('V06 Calend 01'!I67*('V06 Calend 01'!E67-1))),'V06 Calend 01'!I67),0))+IF((32='V06 Calend 01'!D67),'V06 Calend 01'!J67,0))</f>
        <v>0</v>
      </c>
      <c r="AS67" s="2">
        <f>((IF((33='V06 Calend 01'!C67),('V06 Calend 01'!F67+'V06 Calend 01'!G67),0)+IF(AND(('V06 Calend 01'!E67&gt;0),(33&gt;'V06 Calend 01'!C67),(33&lt;'V06 Calend 01'!D67),(MOD((33-'V06 Calend 01'!C67),6)=0),(((33-'V06 Calend 01'!C67)/6)&lt;='V06 Calend 01'!E67)),IF((33=('V06 Calend 01'!C67+(6*'V06 Calend 01'!E67))),('V06 Calend 01'!H67-('V06 Calend 01'!I67*('V06 Calend 01'!E67-1))),'V06 Calend 01'!I67),0))+IF((33='V06 Calend 01'!D67),'V06 Calend 01'!J67,0))</f>
        <v>0</v>
      </c>
      <c r="AT67" s="2">
        <f>((IF((34='V06 Calend 01'!C67),('V06 Calend 01'!F67+'V06 Calend 01'!G67),0)+IF(AND(('V06 Calend 01'!E67&gt;0),(34&gt;'V06 Calend 01'!C67),(34&lt;'V06 Calend 01'!D67),(MOD((34-'V06 Calend 01'!C67),6)=0),(((34-'V06 Calend 01'!C67)/6)&lt;='V06 Calend 01'!E67)),IF((34=('V06 Calend 01'!C67+(6*'V06 Calend 01'!E67))),('V06 Calend 01'!H67-('V06 Calend 01'!I67*('V06 Calend 01'!E67-1))),'V06 Calend 01'!I67),0))+IF((34='V06 Calend 01'!D67),'V06 Calend 01'!J67,0))</f>
        <v>0</v>
      </c>
      <c r="AU67" s="2">
        <f>((IF((35='V06 Calend 01'!C67),('V06 Calend 01'!F67+'V06 Calend 01'!G67),0)+IF(AND(('V06 Calend 01'!E67&gt;0),(35&gt;'V06 Calend 01'!C67),(35&lt;'V06 Calend 01'!D67),(MOD((35-'V06 Calend 01'!C67),6)=0),(((35-'V06 Calend 01'!C67)/6)&lt;='V06 Calend 01'!E67)),IF((35=('V06 Calend 01'!C67+(6*'V06 Calend 01'!E67))),('V06 Calend 01'!H67-('V06 Calend 01'!I67*('V06 Calend 01'!E67-1))),'V06 Calend 01'!I67),0))+IF((35='V06 Calend 01'!D67),'V06 Calend 01'!J67,0))</f>
        <v>0</v>
      </c>
      <c r="AV67" s="2">
        <f>((IF((36='V06 Calend 01'!C67),('V06 Calend 01'!F67+'V06 Calend 01'!G67),0)+IF(AND(('V06 Calend 01'!E67&gt;0),(36&gt;'V06 Calend 01'!C67),(36&lt;'V06 Calend 01'!D67),(MOD((36-'V06 Calend 01'!C67),6)=0),(((36-'V06 Calend 01'!C67)/6)&lt;='V06 Calend 01'!E67)),IF((36=('V06 Calend 01'!C67+(6*'V06 Calend 01'!E67))),('V06 Calend 01'!H67-('V06 Calend 01'!I67*('V06 Calend 01'!E67-1))),'V06 Calend 01'!I67),0))+IF((36='V06 Calend 01'!D67),'V06 Calend 01'!J67,0))</f>
        <v>0</v>
      </c>
      <c r="AW67" s="2">
        <f>((IF((37='V06 Calend 01'!C67),('V06 Calend 01'!F67+'V06 Calend 01'!G67),0)+IF(AND(('V06 Calend 01'!E67&gt;0),(37&gt;'V06 Calend 01'!C67),(37&lt;'V06 Calend 01'!D67),(MOD((37-'V06 Calend 01'!C67),6)=0),(((37-'V06 Calend 01'!C67)/6)&lt;='V06 Calend 01'!E67)),IF((37=('V06 Calend 01'!C67+(6*'V06 Calend 01'!E67))),('V06 Calend 01'!H67-('V06 Calend 01'!I67*('V06 Calend 01'!E67-1))),'V06 Calend 01'!I67),0))+IF((37='V06 Calend 01'!D67),'V06 Calend 01'!J67,0))</f>
        <v>0</v>
      </c>
      <c r="AX67" s="2">
        <f>((IF((38='V06 Calend 01'!C67),('V06 Calend 01'!F67+'V06 Calend 01'!G67),0)+IF(AND(('V06 Calend 01'!E67&gt;0),(38&gt;'V06 Calend 01'!C67),(38&lt;'V06 Calend 01'!D67),(MOD((38-'V06 Calend 01'!C67),6)=0),(((38-'V06 Calend 01'!C67)/6)&lt;='V06 Calend 01'!E67)),IF((38=('V06 Calend 01'!C67+(6*'V06 Calend 01'!E67))),('V06 Calend 01'!H67-('V06 Calend 01'!I67*('V06 Calend 01'!E67-1))),'V06 Calend 01'!I67),0))+IF((38='V06 Calend 01'!D67),'V06 Calend 01'!J67,0))</f>
        <v>0</v>
      </c>
      <c r="AY67" s="2">
        <f>((IF((39='V06 Calend 01'!C67),('V06 Calend 01'!F67+'V06 Calend 01'!G67),0)+IF(AND(('V06 Calend 01'!E67&gt;0),(39&gt;'V06 Calend 01'!C67),(39&lt;'V06 Calend 01'!D67),(MOD((39-'V06 Calend 01'!C67),6)=0),(((39-'V06 Calend 01'!C67)/6)&lt;='V06 Calend 01'!E67)),IF((39=('V06 Calend 01'!C67+(6*'V06 Calend 01'!E67))),('V06 Calend 01'!H67-('V06 Calend 01'!I67*('V06 Calend 01'!E67-1))),'V06 Calend 01'!I67),0))+IF((39='V06 Calend 01'!D67),'V06 Calend 01'!J67,0))</f>
        <v>0</v>
      </c>
      <c r="AZ67" s="2">
        <f>((IF((40='V06 Calend 01'!C67),('V06 Calend 01'!F67+'V06 Calend 01'!G67),0)+IF(AND(('V06 Calend 01'!E67&gt;0),(40&gt;'V06 Calend 01'!C67),(40&lt;'V06 Calend 01'!D67),(MOD((40-'V06 Calend 01'!C67),6)=0),(((40-'V06 Calend 01'!C67)/6)&lt;='V06 Calend 01'!E67)),IF((40=('V06 Calend 01'!C67+(6*'V06 Calend 01'!E67))),('V06 Calend 01'!H67-('V06 Calend 01'!I67*('V06 Calend 01'!E67-1))),'V06 Calend 01'!I67),0))+IF((40='V06 Calend 01'!D67),'V06 Calend 01'!J67,0))</f>
        <v>0</v>
      </c>
      <c r="BA67" s="2">
        <f>((IF((41='V06 Calend 01'!C67),('V06 Calend 01'!F67+'V06 Calend 01'!G67),0)+IF(AND(('V06 Calend 01'!E67&gt;0),(41&gt;'V06 Calend 01'!C67),(41&lt;'V06 Calend 01'!D67),(MOD((41-'V06 Calend 01'!C67),6)=0),(((41-'V06 Calend 01'!C67)/6)&lt;='V06 Calend 01'!E67)),IF((41=('V06 Calend 01'!C67+(6*'V06 Calend 01'!E67))),('V06 Calend 01'!H67-('V06 Calend 01'!I67*('V06 Calend 01'!E67-1))),'V06 Calend 01'!I67),0))+IF((41='V06 Calend 01'!D67),'V06 Calend 01'!J67,0))</f>
        <v>0</v>
      </c>
      <c r="BB67" s="2">
        <f>((IF((42='V06 Calend 01'!C67),('V06 Calend 01'!F67+'V06 Calend 01'!G67),0)+IF(AND(('V06 Calend 01'!E67&gt;0),(42&gt;'V06 Calend 01'!C67),(42&lt;'V06 Calend 01'!D67),(MOD((42-'V06 Calend 01'!C67),6)=0),(((42-'V06 Calend 01'!C67)/6)&lt;='V06 Calend 01'!E67)),IF((42=('V06 Calend 01'!C67+(6*'V06 Calend 01'!E67))),('V06 Calend 01'!H67-('V06 Calend 01'!I67*('V06 Calend 01'!E67-1))),'V06 Calend 01'!I67),0))+IF((42='V06 Calend 01'!D67),'V06 Calend 01'!J67,0))</f>
        <v>0</v>
      </c>
      <c r="BC67" s="2">
        <f>((IF((43='V06 Calend 01'!C67),('V06 Calend 01'!F67+'V06 Calend 01'!G67),0)+IF(AND(('V06 Calend 01'!E67&gt;0),(43&gt;'V06 Calend 01'!C67),(43&lt;'V06 Calend 01'!D67),(MOD((43-'V06 Calend 01'!C67),6)=0),(((43-'V06 Calend 01'!C67)/6)&lt;='V06 Calend 01'!E67)),IF((43=('V06 Calend 01'!C67+(6*'V06 Calend 01'!E67))),('V06 Calend 01'!H67-('V06 Calend 01'!I67*('V06 Calend 01'!E67-1))),'V06 Calend 01'!I67),0))+IF((43='V06 Calend 01'!D67),'V06 Calend 01'!J67,0))</f>
        <v>0</v>
      </c>
      <c r="BD67" s="2">
        <f>((IF((44='V06 Calend 01'!C67),('V06 Calend 01'!F67+'V06 Calend 01'!G67),0)+IF(AND(('V06 Calend 01'!E67&gt;0),(44&gt;'V06 Calend 01'!C67),(44&lt;'V06 Calend 01'!D67),(MOD((44-'V06 Calend 01'!C67),6)=0),(((44-'V06 Calend 01'!C67)/6)&lt;='V06 Calend 01'!E67)),IF((44=('V06 Calend 01'!C67+(6*'V06 Calend 01'!E67))),('V06 Calend 01'!H67-('V06 Calend 01'!I67*('V06 Calend 01'!E67-1))),'V06 Calend 01'!I67),0))+IF((44='V06 Calend 01'!D67),'V06 Calend 01'!J67,0))</f>
        <v>0</v>
      </c>
      <c r="BE67" s="2">
        <f>((IF((45='V06 Calend 01'!C67),('V06 Calend 01'!F67+'V06 Calend 01'!G67),0)+IF(AND(('V06 Calend 01'!E67&gt;0),(45&gt;'V06 Calend 01'!C67),(45&lt;'V06 Calend 01'!D67),(MOD((45-'V06 Calend 01'!C67),6)=0),(((45-'V06 Calend 01'!C67)/6)&lt;='V06 Calend 01'!E67)),IF((45=('V06 Calend 01'!C67+(6*'V06 Calend 01'!E67))),('V06 Calend 01'!H67-('V06 Calend 01'!I67*('V06 Calend 01'!E67-1))),'V06 Calend 01'!I67),0))+IF((45='V06 Calend 01'!D67),'V06 Calend 01'!J67,0))</f>
        <v>0</v>
      </c>
      <c r="BF67" s="2">
        <f>((IF((46='V06 Calend 01'!C67),('V06 Calend 01'!F67+'V06 Calend 01'!G67),0)+IF(AND(('V06 Calend 01'!E67&gt;0),(46&gt;'V06 Calend 01'!C67),(46&lt;'V06 Calend 01'!D67),(MOD((46-'V06 Calend 01'!C67),6)=0),(((46-'V06 Calend 01'!C67)/6)&lt;='V06 Calend 01'!E67)),IF((46=('V06 Calend 01'!C67+(6*'V06 Calend 01'!E67))),('V06 Calend 01'!H67-('V06 Calend 01'!I67*('V06 Calend 01'!E67-1))),'V06 Calend 01'!I67),0))+IF((46='V06 Calend 01'!D67),'V06 Calend 01'!J67,0))</f>
        <v>0</v>
      </c>
      <c r="BG67" s="2">
        <f>((IF((47='V06 Calend 01'!C67),('V06 Calend 01'!F67+'V06 Calend 01'!G67),0)+IF(AND(('V06 Calend 01'!E67&gt;0),(47&gt;'V06 Calend 01'!C67),(47&lt;'V06 Calend 01'!D67),(MOD((47-'V06 Calend 01'!C67),6)=0),(((47-'V06 Calend 01'!C67)/6)&lt;='V06 Calend 01'!E67)),IF((47=('V06 Calend 01'!C67+(6*'V06 Calend 01'!E67))),('V06 Calend 01'!H67-('V06 Calend 01'!I67*('V06 Calend 01'!E67-1))),'V06 Calend 01'!I67),0))+IF((47='V06 Calend 01'!D67),'V06 Calend 01'!J67,0))</f>
        <v>0</v>
      </c>
      <c r="BH67" s="2">
        <f>((IF((48='V06 Calend 01'!C67),('V06 Calend 01'!F67+'V06 Calend 01'!G67),0)+IF(AND(('V06 Calend 01'!E67&gt;0),(48&gt;'V06 Calend 01'!C67),(48&lt;'V06 Calend 01'!D67),(MOD((48-'V06 Calend 01'!C67),6)=0),(((48-'V06 Calend 01'!C67)/6)&lt;='V06 Calend 01'!E67)),IF((48=('V06 Calend 01'!C67+(6*'V06 Calend 01'!E67))),('V06 Calend 01'!H67-('V06 Calend 01'!I67*('V06 Calend 01'!E67-1))),'V06 Calend 01'!I67),0))+IF((48='V06 Calend 01'!D67),'V06 Calend 01'!J67,0))</f>
        <v>0</v>
      </c>
      <c r="BI67" s="2">
        <f>((IF((49='V06 Calend 01'!C67),('V06 Calend 01'!F67+'V06 Calend 01'!G67),0)+IF(AND(('V06 Calend 01'!E67&gt;0),(49&gt;'V06 Calend 01'!C67),(49&lt;'V06 Calend 01'!D67),(MOD((49-'V06 Calend 01'!C67),6)=0),(((49-'V06 Calend 01'!C67)/6)&lt;='V06 Calend 01'!E67)),IF((49=('V06 Calend 01'!C67+(6*'V06 Calend 01'!E67))),('V06 Calend 01'!H67-('V06 Calend 01'!I67*('V06 Calend 01'!E67-1))),'V06 Calend 01'!I67),0))+IF((49='V06 Calend 01'!D67),'V06 Calend 01'!J67,0))</f>
        <v>0</v>
      </c>
      <c r="BJ67" s="2">
        <f>((IF((50='V06 Calend 01'!C67),('V06 Calend 01'!F67+'V06 Calend 01'!G67),0)+IF(AND(('V06 Calend 01'!E67&gt;0),(50&gt;'V06 Calend 01'!C67),(50&lt;'V06 Calend 01'!D67),(MOD((50-'V06 Calend 01'!C67),6)=0),(((50-'V06 Calend 01'!C67)/6)&lt;='V06 Calend 01'!E67)),IF((50=('V06 Calend 01'!C67+(6*'V06 Calend 01'!E67))),('V06 Calend 01'!H67-('V06 Calend 01'!I67*('V06 Calend 01'!E67-1))),'V06 Calend 01'!I67),0))+IF((50='V06 Calend 01'!D67),'V06 Calend 01'!J67,0))</f>
        <v>0</v>
      </c>
      <c r="BK67" s="2">
        <f>((IF((51='V06 Calend 01'!C67),('V06 Calend 01'!F67+'V06 Calend 01'!G67),0)+IF(AND(('V06 Calend 01'!E67&gt;0),(51&gt;'V06 Calend 01'!C67),(51&lt;'V06 Calend 01'!D67),(MOD((51-'V06 Calend 01'!C67),6)=0),(((51-'V06 Calend 01'!C67)/6)&lt;='V06 Calend 01'!E67)),IF((51=('V06 Calend 01'!C67+(6*'V06 Calend 01'!E67))),('V06 Calend 01'!H67-('V06 Calend 01'!I67*('V06 Calend 01'!E67-1))),'V06 Calend 01'!I67),0))+IF((51='V06 Calend 01'!D67),'V06 Calend 01'!J67,0))</f>
        <v>0</v>
      </c>
      <c r="BL67" s="2">
        <f>((IF((52='V06 Calend 01'!C67),('V06 Calend 01'!F67+'V06 Calend 01'!G67),0)+IF(AND(('V06 Calend 01'!E67&gt;0),(52&gt;'V06 Calend 01'!C67),(52&lt;'V06 Calend 01'!D67),(MOD((52-'V06 Calend 01'!C67),6)=0),(((52-'V06 Calend 01'!C67)/6)&lt;='V06 Calend 01'!E67)),IF((52=('V06 Calend 01'!C67+(6*'V06 Calend 01'!E67))),('V06 Calend 01'!H67-('V06 Calend 01'!I67*('V06 Calend 01'!E67-1))),'V06 Calend 01'!I67),0))+IF((52='V06 Calend 01'!D67),'V06 Calend 01'!J67,0))</f>
        <v>0</v>
      </c>
      <c r="BM67" s="2">
        <f>((IF((53='V06 Calend 01'!C67),('V06 Calend 01'!F67+'V06 Calend 01'!G67),0)+IF(AND(('V06 Calend 01'!E67&gt;0),(53&gt;'V06 Calend 01'!C67),(53&lt;'V06 Calend 01'!D67),(MOD((53-'V06 Calend 01'!C67),6)=0),(((53-'V06 Calend 01'!C67)/6)&lt;='V06 Calend 01'!E67)),IF((53=('V06 Calend 01'!C67+(6*'V06 Calend 01'!E67))),('V06 Calend 01'!H67-('V06 Calend 01'!I67*('V06 Calend 01'!E67-1))),'V06 Calend 01'!I67),0))+IF((53='V06 Calend 01'!D67),'V06 Calend 01'!J67,0))</f>
        <v>0</v>
      </c>
      <c r="BN67" s="2">
        <f>((IF((54='V06 Calend 01'!C67),('V06 Calend 01'!F67+'V06 Calend 01'!G67),0)+IF(AND(('V06 Calend 01'!E67&gt;0),(54&gt;'V06 Calend 01'!C67),(54&lt;'V06 Calend 01'!D67),(MOD((54-'V06 Calend 01'!C67),6)=0),(((54-'V06 Calend 01'!C67)/6)&lt;='V06 Calend 01'!E67)),IF((54=('V06 Calend 01'!C67+(6*'V06 Calend 01'!E67))),('V06 Calend 01'!H67-('V06 Calend 01'!I67*('V06 Calend 01'!E67-1))),'V06 Calend 01'!I67),0))+IF((54='V06 Calend 01'!D67),'V06 Calend 01'!J67,0))</f>
        <v>0</v>
      </c>
      <c r="BO67" s="2">
        <f>((IF((55='V06 Calend 01'!C67),('V06 Calend 01'!F67+'V06 Calend 01'!G67),0)+IF(AND(('V06 Calend 01'!E67&gt;0),(55&gt;'V06 Calend 01'!C67),(55&lt;'V06 Calend 01'!D67),(MOD((55-'V06 Calend 01'!C67),6)=0),(((55-'V06 Calend 01'!C67)/6)&lt;='V06 Calend 01'!E67)),IF((55=('V06 Calend 01'!C67+(6*'V06 Calend 01'!E67))),('V06 Calend 01'!H67-('V06 Calend 01'!I67*('V06 Calend 01'!E67-1))),'V06 Calend 01'!I67),0))+IF((55='V06 Calend 01'!D67),'V06 Calend 01'!J67,0))</f>
        <v>0</v>
      </c>
      <c r="BP67" s="2">
        <f>((IF((56='V06 Calend 01'!C67),('V06 Calend 01'!F67+'V06 Calend 01'!G67),0)+IF(AND(('V06 Calend 01'!E67&gt;0),(56&gt;'V06 Calend 01'!C67),(56&lt;'V06 Calend 01'!D67),(MOD((56-'V06 Calend 01'!C67),6)=0),(((56-'V06 Calend 01'!C67)/6)&lt;='V06 Calend 01'!E67)),IF((56=('V06 Calend 01'!C67+(6*'V06 Calend 01'!E67))),('V06 Calend 01'!H67-('V06 Calend 01'!I67*('V06 Calend 01'!E67-1))),'V06 Calend 01'!I67),0))+IF((56='V06 Calend 01'!D67),'V06 Calend 01'!J67,0))</f>
        <v>0</v>
      </c>
      <c r="BQ67" s="2">
        <f>((IF((57='V06 Calend 01'!C67),('V06 Calend 01'!F67+'V06 Calend 01'!G67),0)+IF(AND(('V06 Calend 01'!E67&gt;0),(57&gt;'V06 Calend 01'!C67),(57&lt;'V06 Calend 01'!D67),(MOD((57-'V06 Calend 01'!C67),6)=0),(((57-'V06 Calend 01'!C67)/6)&lt;='V06 Calend 01'!E67)),IF((57=('V06 Calend 01'!C67+(6*'V06 Calend 01'!E67))),('V06 Calend 01'!H67-('V06 Calend 01'!I67*('V06 Calend 01'!E67-1))),'V06 Calend 01'!I67),0))+IF((57='V06 Calend 01'!D67),'V06 Calend 01'!J67,0))</f>
        <v>0</v>
      </c>
      <c r="BR67" s="2">
        <f>((IF((58='V06 Calend 01'!C67),('V06 Calend 01'!F67+'V06 Calend 01'!G67),0)+IF(AND(('V06 Calend 01'!E67&gt;0),(58&gt;'V06 Calend 01'!C67),(58&lt;'V06 Calend 01'!D67),(MOD((58-'V06 Calend 01'!C67),6)=0),(((58-'V06 Calend 01'!C67)/6)&lt;='V06 Calend 01'!E67)),IF((58=('V06 Calend 01'!C67+(6*'V06 Calend 01'!E67))),('V06 Calend 01'!H67-('V06 Calend 01'!I67*('V06 Calend 01'!E67-1))),'V06 Calend 01'!I67),0))+IF((58='V06 Calend 01'!D67),'V06 Calend 01'!J67,0))</f>
        <v>0</v>
      </c>
      <c r="BS67" s="2">
        <f>((IF((59='V06 Calend 01'!C67),('V06 Calend 01'!F67+'V06 Calend 01'!G67),0)+IF(AND(('V06 Calend 01'!E67&gt;0),(59&gt;'V06 Calend 01'!C67),(59&lt;'V06 Calend 01'!D67),(MOD((59-'V06 Calend 01'!C67),6)=0),(((59-'V06 Calend 01'!C67)/6)&lt;='V06 Calend 01'!E67)),IF((59=('V06 Calend 01'!C67+(6*'V06 Calend 01'!E67))),('V06 Calend 01'!H67-('V06 Calend 01'!I67*('V06 Calend 01'!E67-1))),'V06 Calend 01'!I67),0))+IF((59='V06 Calend 01'!D67),'V06 Calend 01'!J67,0))</f>
        <v>0</v>
      </c>
      <c r="BT67" s="2">
        <f>((IF((60='V06 Calend 01'!C67),('V06 Calend 01'!F67+'V06 Calend 01'!G67),0)+IF(AND(('V06 Calend 01'!E67&gt;0),(60&gt;'V06 Calend 01'!C67),(60&lt;'V06 Calend 01'!D67),(MOD((60-'V06 Calend 01'!C67),6)=0),(((60-'V06 Calend 01'!C67)/6)&lt;='V06 Calend 01'!E67)),IF((60=('V06 Calend 01'!C67+(6*'V06 Calend 01'!E67))),('V06 Calend 01'!H67-('V06 Calend 01'!I67*('V06 Calend 01'!E67-1))),'V06 Calend 01'!I67),0))+IF((60='V06 Calend 01'!D67),'V06 Calend 01'!J67,0))</f>
        <v>0</v>
      </c>
      <c r="BU67" s="2">
        <f>((IF((61='V06 Calend 01'!C67),('V06 Calend 01'!F67+'V06 Calend 01'!G67),0)+IF(AND(('V06 Calend 01'!E67&gt;0),(61&gt;'V06 Calend 01'!C67),(61&lt;'V06 Calend 01'!D67),(MOD((61-'V06 Calend 01'!C67),6)=0),(((61-'V06 Calend 01'!C67)/6)&lt;='V06 Calend 01'!E67)),IF((61=('V06 Calend 01'!C67+(6*'V06 Calend 01'!E67))),('V06 Calend 01'!H67-('V06 Calend 01'!I67*('V06 Calend 01'!E67-1))),'V06 Calend 01'!I67),0))+IF((61='V06 Calend 01'!D67),'V06 Calend 01'!J67,0))</f>
        <v>0</v>
      </c>
      <c r="BV67" s="2">
        <f>((IF((62='V06 Calend 01'!C67),('V06 Calend 01'!F67+'V06 Calend 01'!G67),0)+IF(AND(('V06 Calend 01'!E67&gt;0),(62&gt;'V06 Calend 01'!C67),(62&lt;'V06 Calend 01'!D67),(MOD((62-'V06 Calend 01'!C67),6)=0),(((62-'V06 Calend 01'!C67)/6)&lt;='V06 Calend 01'!E67)),IF((62=('V06 Calend 01'!C67+(6*'V06 Calend 01'!E67))),('V06 Calend 01'!H67-('V06 Calend 01'!I67*('V06 Calend 01'!E67-1))),'V06 Calend 01'!I67),0))+IF((62='V06 Calend 01'!D67),'V06 Calend 01'!J67,0))</f>
        <v>0</v>
      </c>
      <c r="BW67" s="2">
        <f>((IF((63='V06 Calend 01'!C67),('V06 Calend 01'!F67+'V06 Calend 01'!G67),0)+IF(AND(('V06 Calend 01'!E67&gt;0),(63&gt;'V06 Calend 01'!C67),(63&lt;'V06 Calend 01'!D67),(MOD((63-'V06 Calend 01'!C67),6)=0),(((63-'V06 Calend 01'!C67)/6)&lt;='V06 Calend 01'!E67)),IF((63=('V06 Calend 01'!C67+(6*'V06 Calend 01'!E67))),('V06 Calend 01'!H67-('V06 Calend 01'!I67*('V06 Calend 01'!E67-1))),'V06 Calend 01'!I67),0))+IF((63='V06 Calend 01'!D67),'V06 Calend 01'!J67,0))</f>
        <v>0</v>
      </c>
      <c r="BX67" s="2">
        <f>((IF((64='V06 Calend 01'!C67),('V06 Calend 01'!F67+'V06 Calend 01'!G67),0)+IF(AND(('V06 Calend 01'!E67&gt;0),(64&gt;'V06 Calend 01'!C67),(64&lt;'V06 Calend 01'!D67),(MOD((64-'V06 Calend 01'!C67),6)=0),(((64-'V06 Calend 01'!C67)/6)&lt;='V06 Calend 01'!E67)),IF((64=('V06 Calend 01'!C67+(6*'V06 Calend 01'!E67))),('V06 Calend 01'!H67-('V06 Calend 01'!I67*('V06 Calend 01'!E67-1))),'V06 Calend 01'!I67),0))+IF((64='V06 Calend 01'!D67),'V06 Calend 01'!J67,0))</f>
        <v>0</v>
      </c>
      <c r="BY67" s="2">
        <f>((IF((65='V06 Calend 01'!C67),('V06 Calend 01'!F67+'V06 Calend 01'!G67),0)+IF(AND(('V06 Calend 01'!E67&gt;0),(65&gt;'V06 Calend 01'!C67),(65&lt;'V06 Calend 01'!D67),(MOD((65-'V06 Calend 01'!C67),6)=0),(((65-'V06 Calend 01'!C67)/6)&lt;='V06 Calend 01'!E67)),IF((65=('V06 Calend 01'!C67+(6*'V06 Calend 01'!E67))),('V06 Calend 01'!H67-('V06 Calend 01'!I67*('V06 Calend 01'!E67-1))),'V06 Calend 01'!I67),0))+IF((65='V06 Calend 01'!D67),'V06 Calend 01'!J67,0))</f>
        <v>0</v>
      </c>
      <c r="BZ67" s="2">
        <f>((IF((66='V06 Calend 01'!C67),('V06 Calend 01'!F67+'V06 Calend 01'!G67),0)+IF(AND(('V06 Calend 01'!E67&gt;0),(66&gt;'V06 Calend 01'!C67),(66&lt;'V06 Calend 01'!D67),(MOD((66-'V06 Calend 01'!C67),6)=0),(((66-'V06 Calend 01'!C67)/6)&lt;='V06 Calend 01'!E67)),IF((66=('V06 Calend 01'!C67+(6*'V06 Calend 01'!E67))),('V06 Calend 01'!H67-('V06 Calend 01'!I67*('V06 Calend 01'!E67-1))),'V06 Calend 01'!I67),0))+IF((66='V06 Calend 01'!D67),'V06 Calend 01'!J67,0))</f>
        <v>0</v>
      </c>
      <c r="CA67" s="2">
        <f>((IF((67='V06 Calend 01'!C67),('V06 Calend 01'!F67+'V06 Calend 01'!G67),0)+IF(AND(('V06 Calend 01'!E67&gt;0),(67&gt;'V06 Calend 01'!C67),(67&lt;'V06 Calend 01'!D67),(MOD((67-'V06 Calend 01'!C67),6)=0),(((67-'V06 Calend 01'!C67)/6)&lt;='V06 Calend 01'!E67)),IF((67=('V06 Calend 01'!C67+(6*'V06 Calend 01'!E67))),('V06 Calend 01'!H67-('V06 Calend 01'!I67*('V06 Calend 01'!E67-1))),'V06 Calend 01'!I67),0))+IF((67='V06 Calend 01'!D67),'V06 Calend 01'!J67,0))</f>
        <v>0</v>
      </c>
      <c r="CB67" s="2">
        <f>((IF((68='V06 Calend 01'!C67),('V06 Calend 01'!F67+'V06 Calend 01'!G67),0)+IF(AND(('V06 Calend 01'!E67&gt;0),(68&gt;'V06 Calend 01'!C67),(68&lt;'V06 Calend 01'!D67),(MOD((68-'V06 Calend 01'!C67),6)=0),(((68-'V06 Calend 01'!C67)/6)&lt;='V06 Calend 01'!E67)),IF((68=('V06 Calend 01'!C67+(6*'V06 Calend 01'!E67))),('V06 Calend 01'!H67-('V06 Calend 01'!I67*('V06 Calend 01'!E67-1))),'V06 Calend 01'!I67),0))+IF((68='V06 Calend 01'!D67),'V06 Calend 01'!J67,0))</f>
        <v>0</v>
      </c>
      <c r="CC67" s="2">
        <f>((IF((69='V06 Calend 01'!C67),('V06 Calend 01'!F67+'V06 Calend 01'!G67),0)+IF(AND(('V06 Calend 01'!E67&gt;0),(69&gt;'V06 Calend 01'!C67),(69&lt;'V06 Calend 01'!D67),(MOD((69-'V06 Calend 01'!C67),6)=0),(((69-'V06 Calend 01'!C67)/6)&lt;='V06 Calend 01'!E67)),IF((69=('V06 Calend 01'!C67+(6*'V06 Calend 01'!E67))),('V06 Calend 01'!H67-('V06 Calend 01'!I67*('V06 Calend 01'!E67-1))),'V06 Calend 01'!I67),0))+IF((69='V06 Calend 01'!D67),'V06 Calend 01'!J67,0))</f>
        <v>0</v>
      </c>
      <c r="CD67" s="2">
        <f>((IF((70='V06 Calend 01'!C67),('V06 Calend 01'!F67+'V06 Calend 01'!G67),0)+IF(AND(('V06 Calend 01'!E67&gt;0),(70&gt;'V06 Calend 01'!C67),(70&lt;'V06 Calend 01'!D67),(MOD((70-'V06 Calend 01'!C67),6)=0),(((70-'V06 Calend 01'!C67)/6)&lt;='V06 Calend 01'!E67)),IF((70=('V06 Calend 01'!C67+(6*'V06 Calend 01'!E67))),('V06 Calend 01'!H67-('V06 Calend 01'!I67*('V06 Calend 01'!E67-1))),'V06 Calend 01'!I67),0))+IF((70='V06 Calend 01'!D67),'V06 Calend 01'!J67,0))</f>
        <v>0</v>
      </c>
      <c r="CE67" s="2">
        <f>((IF((71='V06 Calend 01'!C67),('V06 Calend 01'!F67+'V06 Calend 01'!G67),0)+IF(AND(('V06 Calend 01'!E67&gt;0),(71&gt;'V06 Calend 01'!C67),(71&lt;'V06 Calend 01'!D67),(MOD((71-'V06 Calend 01'!C67),6)=0),(((71-'V06 Calend 01'!C67)/6)&lt;='V06 Calend 01'!E67)),IF((71=('V06 Calend 01'!C67+(6*'V06 Calend 01'!E67))),('V06 Calend 01'!H67-('V06 Calend 01'!I67*('V06 Calend 01'!E67-1))),'V06 Calend 01'!I67),0))+IF((71='V06 Calend 01'!D67),'V06 Calend 01'!J67,0))</f>
        <v>0</v>
      </c>
      <c r="CF67" s="2">
        <f>((IF((72='V06 Calend 01'!C67),('V06 Calend 01'!F67+'V06 Calend 01'!G67),0)+IF(AND(('V06 Calend 01'!E67&gt;0),(72&gt;'V06 Calend 01'!C67),(72&lt;'V06 Calend 01'!D67),(MOD((72-'V06 Calend 01'!C67),6)=0),(((72-'V06 Calend 01'!C67)/6)&lt;='V06 Calend 01'!E67)),IF((72=('V06 Calend 01'!C67+(6*'V06 Calend 01'!E67))),('V06 Calend 01'!H67-('V06 Calend 01'!I67*('V06 Calend 01'!E67-1))),'V06 Calend 01'!I67),0))+IF((72='V06 Calend 01'!D67),'V06 Calend 01'!J67,0))</f>
        <v>0</v>
      </c>
      <c r="CG67" s="2">
        <f>((IF((73='V06 Calend 01'!C67),('V06 Calend 01'!F67+'V06 Calend 01'!G67),0)+IF(AND(('V06 Calend 01'!E67&gt;0),(73&gt;'V06 Calend 01'!C67),(73&lt;'V06 Calend 01'!D67),(MOD((73-'V06 Calend 01'!C67),6)=0),(((73-'V06 Calend 01'!C67)/6)&lt;='V06 Calend 01'!E67)),IF((73=('V06 Calend 01'!C67+(6*'V06 Calend 01'!E67))),('V06 Calend 01'!H67-('V06 Calend 01'!I67*('V06 Calend 01'!E67-1))),'V06 Calend 01'!I67),0))+IF((73='V06 Calend 01'!D67),'V06 Calend 01'!J67,0))</f>
        <v>0</v>
      </c>
      <c r="CH67" s="2">
        <f>((IF((74='V06 Calend 01'!C67),('V06 Calend 01'!F67+'V06 Calend 01'!G67),0)+IF(AND(('V06 Calend 01'!E67&gt;0),(74&gt;'V06 Calend 01'!C67),(74&lt;'V06 Calend 01'!D67),(MOD((74-'V06 Calend 01'!C67),6)=0),(((74-'V06 Calend 01'!C67)/6)&lt;='V06 Calend 01'!E67)),IF((74=('V06 Calend 01'!C67+(6*'V06 Calend 01'!E67))),('V06 Calend 01'!H67-('V06 Calend 01'!I67*('V06 Calend 01'!E67-1))),'V06 Calend 01'!I67),0))+IF((74='V06 Calend 01'!D67),'V06 Calend 01'!J67,0))</f>
        <v>0</v>
      </c>
      <c r="CI67" s="2">
        <f>((IF((75='V06 Calend 01'!C67),('V06 Calend 01'!F67+'V06 Calend 01'!G67),0)+IF(AND(('V06 Calend 01'!E67&gt;0),(75&gt;'V06 Calend 01'!C67),(75&lt;'V06 Calend 01'!D67),(MOD((75-'V06 Calend 01'!C67),6)=0),(((75-'V06 Calend 01'!C67)/6)&lt;='V06 Calend 01'!E67)),IF((75=('V06 Calend 01'!C67+(6*'V06 Calend 01'!E67))),('V06 Calend 01'!H67-('V06 Calend 01'!I67*('V06 Calend 01'!E67-1))),'V06 Calend 01'!I67),0))+IF((75='V06 Calend 01'!D67),'V06 Calend 01'!J67,0))</f>
        <v>0</v>
      </c>
      <c r="CJ67" s="2">
        <f>((IF((76='V06 Calend 01'!C67),('V06 Calend 01'!F67+'V06 Calend 01'!G67),0)+IF(AND(('V06 Calend 01'!E67&gt;0),(76&gt;'V06 Calend 01'!C67),(76&lt;'V06 Calend 01'!D67),(MOD((76-'V06 Calend 01'!C67),6)=0),(((76-'V06 Calend 01'!C67)/6)&lt;='V06 Calend 01'!E67)),IF((76=('V06 Calend 01'!C67+(6*'V06 Calend 01'!E67))),('V06 Calend 01'!H67-('V06 Calend 01'!I67*('V06 Calend 01'!E67-1))),'V06 Calend 01'!I67),0))+IF((76='V06 Calend 01'!D67),'V06 Calend 01'!J67,0))</f>
        <v>0</v>
      </c>
      <c r="CK67" s="2">
        <f>((IF((77='V06 Calend 01'!C67),('V06 Calend 01'!F67+'V06 Calend 01'!G67),0)+IF(AND(('V06 Calend 01'!E67&gt;0),(77&gt;'V06 Calend 01'!C67),(77&lt;'V06 Calend 01'!D67),(MOD((77-'V06 Calend 01'!C67),6)=0),(((77-'V06 Calend 01'!C67)/6)&lt;='V06 Calend 01'!E67)),IF((77=('V06 Calend 01'!C67+(6*'V06 Calend 01'!E67))),('V06 Calend 01'!H67-('V06 Calend 01'!I67*('V06 Calend 01'!E67-1))),'V06 Calend 01'!I67),0))+IF((77='V06 Calend 01'!D67),'V06 Calend 01'!J67,0))</f>
        <v>0</v>
      </c>
      <c r="CL67" s="2">
        <f>((IF((78='V06 Calend 01'!C67),('V06 Calend 01'!F67+'V06 Calend 01'!G67),0)+IF(AND(('V06 Calend 01'!E67&gt;0),(78&gt;'V06 Calend 01'!C67),(78&lt;'V06 Calend 01'!D67),(MOD((78-'V06 Calend 01'!C67),6)=0),(((78-'V06 Calend 01'!C67)/6)&lt;='V06 Calend 01'!E67)),IF((78=('V06 Calend 01'!C67+(6*'V06 Calend 01'!E67))),('V06 Calend 01'!H67-('V06 Calend 01'!I67*('V06 Calend 01'!E67-1))),'V06 Calend 01'!I67),0))+IF((78='V06 Calend 01'!D67),'V06 Calend 01'!J67,0))</f>
        <v>0</v>
      </c>
      <c r="CM67" s="2">
        <f>((IF((79='V06 Calend 01'!C67),('V06 Calend 01'!F67+'V06 Calend 01'!G67),0)+IF(AND(('V06 Calend 01'!E67&gt;0),(79&gt;'V06 Calend 01'!C67),(79&lt;'V06 Calend 01'!D67),(MOD((79-'V06 Calend 01'!C67),6)=0),(((79-'V06 Calend 01'!C67)/6)&lt;='V06 Calend 01'!E67)),IF((79=('V06 Calend 01'!C67+(6*'V06 Calend 01'!E67))),('V06 Calend 01'!H67-('V06 Calend 01'!I67*('V06 Calend 01'!E67-1))),'V06 Calend 01'!I67),0))+IF((79='V06 Calend 01'!D67),'V06 Calend 01'!J67,0))</f>
        <v>0</v>
      </c>
      <c r="CN67" s="2">
        <f>((IF((80='V06 Calend 01'!C67),('V06 Calend 01'!F67+'V06 Calend 01'!G67),0)+IF(AND(('V06 Calend 01'!E67&gt;0),(80&gt;'V06 Calend 01'!C67),(80&lt;'V06 Calend 01'!D67),(MOD((80-'V06 Calend 01'!C67),6)=0),(((80-'V06 Calend 01'!C67)/6)&lt;='V06 Calend 01'!E67)),IF((80=('V06 Calend 01'!C67+(6*'V06 Calend 01'!E67))),('V06 Calend 01'!H67-('V06 Calend 01'!I67*('V06 Calend 01'!E67-1))),'V06 Calend 01'!I67),0))+IF((80='V06 Calend 01'!D67),'V06 Calend 01'!J67,0))</f>
        <v>0</v>
      </c>
      <c r="CO67" s="2">
        <f>((IF((81='V06 Calend 01'!C67),('V06 Calend 01'!F67+'V06 Calend 01'!G67),0)+IF(AND(('V06 Calend 01'!E67&gt;0),(81&gt;'V06 Calend 01'!C67),(81&lt;'V06 Calend 01'!D67),(MOD((81-'V06 Calend 01'!C67),6)=0),(((81-'V06 Calend 01'!C67)/6)&lt;='V06 Calend 01'!E67)),IF((81=('V06 Calend 01'!C67+(6*'V06 Calend 01'!E67))),('V06 Calend 01'!H67-('V06 Calend 01'!I67*('V06 Calend 01'!E67-1))),'V06 Calend 01'!I67),0))+IF((81='V06 Calend 01'!D67),'V06 Calend 01'!J67,0))</f>
        <v>0</v>
      </c>
      <c r="CP67" s="2">
        <f>((IF((82='V06 Calend 01'!C67),('V06 Calend 01'!F67+'V06 Calend 01'!G67),0)+IF(AND(('V06 Calend 01'!E67&gt;0),(82&gt;'V06 Calend 01'!C67),(82&lt;'V06 Calend 01'!D67),(MOD((82-'V06 Calend 01'!C67),6)=0),(((82-'V06 Calend 01'!C67)/6)&lt;='V06 Calend 01'!E67)),IF((82=('V06 Calend 01'!C67+(6*'V06 Calend 01'!E67))),('V06 Calend 01'!H67-('V06 Calend 01'!I67*('V06 Calend 01'!E67-1))),'V06 Calend 01'!I67),0))+IF((82='V06 Calend 01'!D67),'V06 Calend 01'!J67,0))</f>
        <v>0</v>
      </c>
      <c r="CQ67" s="2">
        <f>((IF((83='V06 Calend 01'!C67),('V06 Calend 01'!F67+'V06 Calend 01'!G67),0)+IF(AND(('V06 Calend 01'!E67&gt;0),(83&gt;'V06 Calend 01'!C67),(83&lt;'V06 Calend 01'!D67),(MOD((83-'V06 Calend 01'!C67),6)=0),(((83-'V06 Calend 01'!C67)/6)&lt;='V06 Calend 01'!E67)),IF((83=('V06 Calend 01'!C67+(6*'V06 Calend 01'!E67))),('V06 Calend 01'!H67-('V06 Calend 01'!I67*('V06 Calend 01'!E67-1))),'V06 Calend 01'!I67),0))+IF((83='V06 Calend 01'!D67),'V06 Calend 01'!J67,0))</f>
        <v>0</v>
      </c>
      <c r="CR67" s="2">
        <f>((IF((84='V06 Calend 01'!C67),('V06 Calend 01'!F67+'V06 Calend 01'!G67),0)+IF(AND(('V06 Calend 01'!E67&gt;0),(84&gt;'V06 Calend 01'!C67),(84&lt;'V06 Calend 01'!D67),(MOD((84-'V06 Calend 01'!C67),6)=0),(((84-'V06 Calend 01'!C67)/6)&lt;='V06 Calend 01'!E67)),IF((84=('V06 Calend 01'!C67+(6*'V06 Calend 01'!E67))),('V06 Calend 01'!H67-('V06 Calend 01'!I67*('V06 Calend 01'!E67-1))),'V06 Calend 01'!I67),0))+IF((84='V06 Calend 01'!D67),'V06 Calend 01'!J67,0))</f>
        <v>0</v>
      </c>
      <c r="CS67" s="2">
        <f>((IF((85='V06 Calend 01'!C67),('V06 Calend 01'!F67+'V06 Calend 01'!G67),0)+IF(AND(('V06 Calend 01'!E67&gt;0),(85&gt;'V06 Calend 01'!C67),(85&lt;'V06 Calend 01'!D67),(MOD((85-'V06 Calend 01'!C67),6)=0),(((85-'V06 Calend 01'!C67)/6)&lt;='V06 Calend 01'!E67)),IF((85=('V06 Calend 01'!C67+(6*'V06 Calend 01'!E67))),('V06 Calend 01'!H67-('V06 Calend 01'!I67*('V06 Calend 01'!E67-1))),'V06 Calend 01'!I67),0))+IF((85='V06 Calend 01'!D67),'V06 Calend 01'!J67,0))</f>
        <v>0</v>
      </c>
      <c r="CT67" s="2">
        <f>((IF((86='V06 Calend 01'!C67),('V06 Calend 01'!F67+'V06 Calend 01'!G67),0)+IF(AND(('V06 Calend 01'!E67&gt;0),(86&gt;'V06 Calend 01'!C67),(86&lt;'V06 Calend 01'!D67),(MOD((86-'V06 Calend 01'!C67),6)=0),(((86-'V06 Calend 01'!C67)/6)&lt;='V06 Calend 01'!E67)),IF((86=('V06 Calend 01'!C67+(6*'V06 Calend 01'!E67))),('V06 Calend 01'!H67-('V06 Calend 01'!I67*('V06 Calend 01'!E67-1))),'V06 Calend 01'!I67),0))+IF((86='V06 Calend 01'!D67),'V06 Calend 01'!J67,0))</f>
        <v>0</v>
      </c>
      <c r="CU67" s="2">
        <f>((IF((87='V06 Calend 01'!C67),('V06 Calend 01'!F67+'V06 Calend 01'!G67),0)+IF(AND(('V06 Calend 01'!E67&gt;0),(87&gt;'V06 Calend 01'!C67),(87&lt;'V06 Calend 01'!D67),(MOD((87-'V06 Calend 01'!C67),6)=0),(((87-'V06 Calend 01'!C67)/6)&lt;='V06 Calend 01'!E67)),IF((87=('V06 Calend 01'!C67+(6*'V06 Calend 01'!E67))),('V06 Calend 01'!H67-('V06 Calend 01'!I67*('V06 Calend 01'!E67-1))),'V06 Calend 01'!I67),0))+IF((87='V06 Calend 01'!D67),'V06 Calend 01'!J67,0))</f>
        <v>0</v>
      </c>
      <c r="CV67" s="2">
        <f>((IF((88='V06 Calend 01'!C67),('V06 Calend 01'!F67+'V06 Calend 01'!G67),0)+IF(AND(('V06 Calend 01'!E67&gt;0),(88&gt;'V06 Calend 01'!C67),(88&lt;'V06 Calend 01'!D67),(MOD((88-'V06 Calend 01'!C67),6)=0),(((88-'V06 Calend 01'!C67)/6)&lt;='V06 Calend 01'!E67)),IF((88=('V06 Calend 01'!C67+(6*'V06 Calend 01'!E67))),('V06 Calend 01'!H67-('V06 Calend 01'!I67*('V06 Calend 01'!E67-1))),'V06 Calend 01'!I67),0))+IF((88='V06 Calend 01'!D67),'V06 Calend 01'!J67,0))</f>
        <v>0</v>
      </c>
      <c r="CW67" s="2">
        <f>((IF((89='V06 Calend 01'!C67),('V06 Calend 01'!F67+'V06 Calend 01'!G67),0)+IF(AND(('V06 Calend 01'!E67&gt;0),(89&gt;'V06 Calend 01'!C67),(89&lt;'V06 Calend 01'!D67),(MOD((89-'V06 Calend 01'!C67),6)=0),(((89-'V06 Calend 01'!C67)/6)&lt;='V06 Calend 01'!E67)),IF((89=('V06 Calend 01'!C67+(6*'V06 Calend 01'!E67))),('V06 Calend 01'!H67-('V06 Calend 01'!I67*('V06 Calend 01'!E67-1))),'V06 Calend 01'!I67),0))+IF((89='V06 Calend 01'!D67),'V06 Calend 01'!J67,0))</f>
        <v>0</v>
      </c>
      <c r="CX67" s="2">
        <f>((IF((90='V06 Calend 01'!C67),('V06 Calend 01'!F67+'V06 Calend 01'!G67),0)+IF(AND(('V06 Calend 01'!E67&gt;0),(90&gt;'V06 Calend 01'!C67),(90&lt;'V06 Calend 01'!D67),(MOD((90-'V06 Calend 01'!C67),6)=0),(((90-'V06 Calend 01'!C67)/6)&lt;='V06 Calend 01'!E67)),IF((90=('V06 Calend 01'!C67+(6*'V06 Calend 01'!E67))),('V06 Calend 01'!H67-('V06 Calend 01'!I67*('V06 Calend 01'!E67-1))),'V06 Calend 01'!I67),0))+IF((90='V06 Calend 01'!D67),'V06 Calend 01'!J67,0))</f>
        <v>0</v>
      </c>
      <c r="CY67" s="2">
        <f>((IF((91='V06 Calend 01'!C67),('V06 Calend 01'!F67+'V06 Calend 01'!G67),0)+IF(AND(('V06 Calend 01'!E67&gt;0),(91&gt;'V06 Calend 01'!C67),(91&lt;'V06 Calend 01'!D67),(MOD((91-'V06 Calend 01'!C67),6)=0),(((91-'V06 Calend 01'!C67)/6)&lt;='V06 Calend 01'!E67)),IF((91=('V06 Calend 01'!C67+(6*'V06 Calend 01'!E67))),('V06 Calend 01'!H67-('V06 Calend 01'!I67*('V06 Calend 01'!E67-1))),'V06 Calend 01'!I67),0))+IF((91='V06 Calend 01'!D67),'V06 Calend 01'!J67,0))</f>
        <v>0</v>
      </c>
      <c r="CZ67" s="2">
        <f>((IF((92='V06 Calend 01'!C67),('V06 Calend 01'!F67+'V06 Calend 01'!G67),0)+IF(AND(('V06 Calend 01'!E67&gt;0),(92&gt;'V06 Calend 01'!C67),(92&lt;'V06 Calend 01'!D67),(MOD((92-'V06 Calend 01'!C67),6)=0),(((92-'V06 Calend 01'!C67)/6)&lt;='V06 Calend 01'!E67)),IF((92=('V06 Calend 01'!C67+(6*'V06 Calend 01'!E67))),('V06 Calend 01'!H67-('V06 Calend 01'!I67*('V06 Calend 01'!E67-1))),'V06 Calend 01'!I67),0))+IF((92='V06 Calend 01'!D67),'V06 Calend 01'!J67,0))</f>
        <v>0</v>
      </c>
      <c r="DA67" s="2">
        <f>((IF((93='V06 Calend 01'!C67),('V06 Calend 01'!F67+'V06 Calend 01'!G67),0)+IF(AND(('V06 Calend 01'!E67&gt;0),(93&gt;'V06 Calend 01'!C67),(93&lt;'V06 Calend 01'!D67),(MOD((93-'V06 Calend 01'!C67),6)=0),(((93-'V06 Calend 01'!C67)/6)&lt;='V06 Calend 01'!E67)),IF((93=('V06 Calend 01'!C67+(6*'V06 Calend 01'!E67))),('V06 Calend 01'!H67-('V06 Calend 01'!I67*('V06 Calend 01'!E67-1))),'V06 Calend 01'!I67),0))+IF((93='V06 Calend 01'!D67),'V06 Calend 01'!J67,0))</f>
        <v>0</v>
      </c>
      <c r="DB67" s="2">
        <f>((IF((94='V06 Calend 01'!C67),('V06 Calend 01'!F67+'V06 Calend 01'!G67),0)+IF(AND(('V06 Calend 01'!E67&gt;0),(94&gt;'V06 Calend 01'!C67),(94&lt;'V06 Calend 01'!D67),(MOD((94-'V06 Calend 01'!C67),6)=0),(((94-'V06 Calend 01'!C67)/6)&lt;='V06 Calend 01'!E67)),IF((94=('V06 Calend 01'!C67+(6*'V06 Calend 01'!E67))),('V06 Calend 01'!H67-('V06 Calend 01'!I67*('V06 Calend 01'!E67-1))),'V06 Calend 01'!I67),0))+IF((94='V06 Calend 01'!D67),'V06 Calend 01'!J67,0))</f>
        <v>0</v>
      </c>
      <c r="DC67" s="2">
        <f>((IF((95='V06 Calend 01'!C67),('V06 Calend 01'!F67+'V06 Calend 01'!G67),0)+IF(AND(('V06 Calend 01'!E67&gt;0),(95&gt;'V06 Calend 01'!C67),(95&lt;'V06 Calend 01'!D67),(MOD((95-'V06 Calend 01'!C67),6)=0),(((95-'V06 Calend 01'!C67)/6)&lt;='V06 Calend 01'!E67)),IF((95=('V06 Calend 01'!C67+(6*'V06 Calend 01'!E67))),('V06 Calend 01'!H67-('V06 Calend 01'!I67*('V06 Calend 01'!E67-1))),'V06 Calend 01'!I67),0))+IF((95='V06 Calend 01'!D67),'V06 Calend 01'!J67,0))</f>
        <v>0</v>
      </c>
      <c r="DD67" s="2">
        <f>((IF((96='V06 Calend 01'!C67),('V06 Calend 01'!F67+'V06 Calend 01'!G67),0)+IF(AND(('V06 Calend 01'!E67&gt;0),(96&gt;'V06 Calend 01'!C67),(96&lt;'V06 Calend 01'!D67),(MOD((96-'V06 Calend 01'!C67),6)=0),(((96-'V06 Calend 01'!C67)/6)&lt;='V06 Calend 01'!E67)),IF((96=('V06 Calend 01'!C67+(6*'V06 Calend 01'!E67))),('V06 Calend 01'!H67-('V06 Calend 01'!I67*('V06 Calend 01'!E67-1))),'V06 Calend 01'!I67),0))+IF((96='V06 Calend 01'!D67),'V06 Calend 01'!J67,0))</f>
        <v>0</v>
      </c>
      <c r="DE67" s="2">
        <f>((IF((97='V06 Calend 01'!C67),('V06 Calend 01'!F67+'V06 Calend 01'!G67),0)+IF(AND(('V06 Calend 01'!E67&gt;0),(97&gt;'V06 Calend 01'!C67),(97&lt;'V06 Calend 01'!D67),(MOD((97-'V06 Calend 01'!C67),6)=0),(((97-'V06 Calend 01'!C67)/6)&lt;='V06 Calend 01'!E67)),IF((97=('V06 Calend 01'!C67+(6*'V06 Calend 01'!E67))),('V06 Calend 01'!H67-('V06 Calend 01'!I67*('V06 Calend 01'!E67-1))),'V06 Calend 01'!I67),0))+IF((97='V06 Calend 01'!D67),'V06 Calend 01'!J67,0))</f>
        <v>0</v>
      </c>
      <c r="DF67" s="2">
        <f>((IF((98='V06 Calend 01'!C67),('V06 Calend 01'!F67+'V06 Calend 01'!G67),0)+IF(AND(('V06 Calend 01'!E67&gt;0),(98&gt;'V06 Calend 01'!C67),(98&lt;'V06 Calend 01'!D67),(MOD((98-'V06 Calend 01'!C67),6)=0),(((98-'V06 Calend 01'!C67)/6)&lt;='V06 Calend 01'!E67)),IF((98=('V06 Calend 01'!C67+(6*'V06 Calend 01'!E67))),('V06 Calend 01'!H67-('V06 Calend 01'!I67*('V06 Calend 01'!E67-1))),'V06 Calend 01'!I67),0))+IF((98='V06 Calend 01'!D67),'V06 Calend 01'!J67,0))</f>
        <v>0</v>
      </c>
      <c r="DG67" s="2">
        <f>((IF((99='V06 Calend 01'!C67),('V06 Calend 01'!F67+'V06 Calend 01'!G67),0)+IF(AND(('V06 Calend 01'!E67&gt;0),(99&gt;'V06 Calend 01'!C67),(99&lt;'V06 Calend 01'!D67),(MOD((99-'V06 Calend 01'!C67),6)=0),(((99-'V06 Calend 01'!C67)/6)&lt;='V06 Calend 01'!E67)),IF((99=('V06 Calend 01'!C67+(6*'V06 Calend 01'!E67))),('V06 Calend 01'!H67-('V06 Calend 01'!I67*('V06 Calend 01'!E67-1))),'V06 Calend 01'!I67),0))+IF((99='V06 Calend 01'!D67),'V06 Calend 01'!J67,0))</f>
        <v>0</v>
      </c>
      <c r="DH67" s="2">
        <f>((IF((100='V06 Calend 01'!C67),('V06 Calend 01'!F67+'V06 Calend 01'!G67),0)+IF(AND(('V06 Calend 01'!E67&gt;0),(100&gt;'V06 Calend 01'!C67),(100&lt;'V06 Calend 01'!D67),(MOD((100-'V06 Calend 01'!C67),6)=0),(((100-'V06 Calend 01'!C67)/6)&lt;='V06 Calend 01'!E67)),IF((100=('V06 Calend 01'!C67+(6*'V06 Calend 01'!E67))),('V06 Calend 01'!H67-('V06 Calend 01'!I67*('V06 Calend 01'!E67-1))),'V06 Calend 01'!I67),0))+IF((100='V06 Calend 01'!D67),'V06 Calend 01'!J67,0))</f>
        <v>0</v>
      </c>
      <c r="DI67" s="2">
        <f>((IF((101='V06 Calend 01'!C67),('V06 Calend 01'!F67+'V06 Calend 01'!G67),0)+IF(AND(('V06 Calend 01'!E67&gt;0),(101&gt;'V06 Calend 01'!C67),(101&lt;'V06 Calend 01'!D67),(MOD((101-'V06 Calend 01'!C67),6)=0),(((101-'V06 Calend 01'!C67)/6)&lt;='V06 Calend 01'!E67)),IF((101=('V06 Calend 01'!C67+(6*'V06 Calend 01'!E67))),('V06 Calend 01'!H67-('V06 Calend 01'!I67*('V06 Calend 01'!E67-1))),'V06 Calend 01'!I67),0))+IF((101='V06 Calend 01'!D67),'V06 Calend 01'!J67,0))</f>
        <v>0</v>
      </c>
      <c r="DJ67" s="2">
        <f>((IF((102='V06 Calend 01'!C67),('V06 Calend 01'!F67+'V06 Calend 01'!G67),0)+IF(AND(('V06 Calend 01'!E67&gt;0),(102&gt;'V06 Calend 01'!C67),(102&lt;'V06 Calend 01'!D67),(MOD((102-'V06 Calend 01'!C67),6)=0),(((102-'V06 Calend 01'!C67)/6)&lt;='V06 Calend 01'!E67)),IF((102=('V06 Calend 01'!C67+(6*'V06 Calend 01'!E67))),('V06 Calend 01'!H67-('V06 Calend 01'!I67*('V06 Calend 01'!E67-1))),'V06 Calend 01'!I67),0))+IF((102='V06 Calend 01'!D67),'V06 Calend 01'!J67,0))</f>
        <v>0</v>
      </c>
      <c r="DK67" s="2">
        <f>((IF((103='V06 Calend 01'!C67),('V06 Calend 01'!F67+'V06 Calend 01'!G67),0)+IF(AND(('V06 Calend 01'!E67&gt;0),(103&gt;'V06 Calend 01'!C67),(103&lt;'V06 Calend 01'!D67),(MOD((103-'V06 Calend 01'!C67),6)=0),(((103-'V06 Calend 01'!C67)/6)&lt;='V06 Calend 01'!E67)),IF((103=('V06 Calend 01'!C67+(6*'V06 Calend 01'!E67))),('V06 Calend 01'!H67-('V06 Calend 01'!I67*('V06 Calend 01'!E67-1))),'V06 Calend 01'!I67),0))+IF((103='V06 Calend 01'!D67),'V06 Calend 01'!J67,0))</f>
        <v>0</v>
      </c>
      <c r="DL67" s="2">
        <f>((IF((104='V06 Calend 01'!C67),('V06 Calend 01'!F67+'V06 Calend 01'!G67),0)+IF(AND(('V06 Calend 01'!E67&gt;0),(104&gt;'V06 Calend 01'!C67),(104&lt;'V06 Calend 01'!D67),(MOD((104-'V06 Calend 01'!C67),6)=0),(((104-'V06 Calend 01'!C67)/6)&lt;='V06 Calend 01'!E67)),IF((104=('V06 Calend 01'!C67+(6*'V06 Calend 01'!E67))),('V06 Calend 01'!H67-('V06 Calend 01'!I67*('V06 Calend 01'!E67-1))),'V06 Calend 01'!I67),0))+IF((104='V06 Calend 01'!D67),'V06 Calend 01'!J67,0))</f>
        <v>0</v>
      </c>
      <c r="DM67" s="2">
        <f>((IF((105='V06 Calend 01'!C67),('V06 Calend 01'!F67+'V06 Calend 01'!G67),0)+IF(AND(('V06 Calend 01'!E67&gt;0),(105&gt;'V06 Calend 01'!C67),(105&lt;'V06 Calend 01'!D67),(MOD((105-'V06 Calend 01'!C67),6)=0),(((105-'V06 Calend 01'!C67)/6)&lt;='V06 Calend 01'!E67)),IF((105=('V06 Calend 01'!C67+(6*'V06 Calend 01'!E67))),('V06 Calend 01'!H67-('V06 Calend 01'!I67*('V06 Calend 01'!E67-1))),'V06 Calend 01'!I67),0))+IF((105='V06 Calend 01'!D67),'V06 Calend 01'!J67,0))</f>
        <v>0</v>
      </c>
      <c r="DN67" s="2">
        <f>((IF((106='V06 Calend 01'!C67),('V06 Calend 01'!F67+'V06 Calend 01'!G67),0)+IF(AND(('V06 Calend 01'!E67&gt;0),(106&gt;'V06 Calend 01'!C67),(106&lt;'V06 Calend 01'!D67),(MOD((106-'V06 Calend 01'!C67),6)=0),(((106-'V06 Calend 01'!C67)/6)&lt;='V06 Calend 01'!E67)),IF((106=('V06 Calend 01'!C67+(6*'V06 Calend 01'!E67))),('V06 Calend 01'!H67-('V06 Calend 01'!I67*('V06 Calend 01'!E67-1))),'V06 Calend 01'!I67),0))+IF((106='V06 Calend 01'!D67),'V06 Calend 01'!J67,0))</f>
        <v>0</v>
      </c>
      <c r="DO67" s="2">
        <f>((IF((107='V06 Calend 01'!C67),('V06 Calend 01'!F67+'V06 Calend 01'!G67),0)+IF(AND(('V06 Calend 01'!E67&gt;0),(107&gt;'V06 Calend 01'!C67),(107&lt;'V06 Calend 01'!D67),(MOD((107-'V06 Calend 01'!C67),6)=0),(((107-'V06 Calend 01'!C67)/6)&lt;='V06 Calend 01'!E67)),IF((107=('V06 Calend 01'!C67+(6*'V06 Calend 01'!E67))),('V06 Calend 01'!H67-('V06 Calend 01'!I67*('V06 Calend 01'!E67-1))),'V06 Calend 01'!I67),0))+IF((107='V06 Calend 01'!D67),'V06 Calend 01'!J67,0))</f>
        <v>0</v>
      </c>
      <c r="DP67" s="2">
        <f>((IF((108='V06 Calend 01'!C67),('V06 Calend 01'!F67+'V06 Calend 01'!G67),0)+IF(AND(('V06 Calend 01'!E67&gt;0),(108&gt;'V06 Calend 01'!C67),(108&lt;'V06 Calend 01'!D67),(MOD((108-'V06 Calend 01'!C67),6)=0),(((108-'V06 Calend 01'!C67)/6)&lt;='V06 Calend 01'!E67)),IF((108=('V06 Calend 01'!C67+(6*'V06 Calend 01'!E67))),('V06 Calend 01'!H67-('V06 Calend 01'!I67*('V06 Calend 01'!E67-1))),'V06 Calend 01'!I67),0))+IF((108='V06 Calend 01'!D67),'V06 Calend 01'!J67,0))</f>
        <v>0</v>
      </c>
      <c r="DQ67" s="2">
        <f>((IF((109='V06 Calend 01'!C67),('V06 Calend 01'!F67+'V06 Calend 01'!G67),0)+IF(AND(('V06 Calend 01'!E67&gt;0),(109&gt;'V06 Calend 01'!C67),(109&lt;'V06 Calend 01'!D67),(MOD((109-'V06 Calend 01'!C67),6)=0),(((109-'V06 Calend 01'!C67)/6)&lt;='V06 Calend 01'!E67)),IF((109=('V06 Calend 01'!C67+(6*'V06 Calend 01'!E67))),('V06 Calend 01'!H67-('V06 Calend 01'!I67*('V06 Calend 01'!E67-1))),'V06 Calend 01'!I67),0))+IF((109='V06 Calend 01'!D67),'V06 Calend 01'!J67,0))</f>
        <v>0</v>
      </c>
      <c r="DR67" s="2">
        <f>((IF((110='V06 Calend 01'!C67),('V06 Calend 01'!F67+'V06 Calend 01'!G67),0)+IF(AND(('V06 Calend 01'!E67&gt;0),(110&gt;'V06 Calend 01'!C67),(110&lt;'V06 Calend 01'!D67),(MOD((110-'V06 Calend 01'!C67),6)=0),(((110-'V06 Calend 01'!C67)/6)&lt;='V06 Calend 01'!E67)),IF((110=('V06 Calend 01'!C67+(6*'V06 Calend 01'!E67))),('V06 Calend 01'!H67-('V06 Calend 01'!I67*('V06 Calend 01'!E67-1))),'V06 Calend 01'!I67),0))+IF((110='V06 Calend 01'!D67),'V06 Calend 01'!J67,0))</f>
        <v>0</v>
      </c>
      <c r="DS67" s="2">
        <f>((IF((111='V06 Calend 01'!C67),('V06 Calend 01'!F67+'V06 Calend 01'!G67),0)+IF(AND(('V06 Calend 01'!E67&gt;0),(111&gt;'V06 Calend 01'!C67),(111&lt;'V06 Calend 01'!D67),(MOD((111-'V06 Calend 01'!C67),6)=0),(((111-'V06 Calend 01'!C67)/6)&lt;='V06 Calend 01'!E67)),IF((111=('V06 Calend 01'!C67+(6*'V06 Calend 01'!E67))),('V06 Calend 01'!H67-('V06 Calend 01'!I67*('V06 Calend 01'!E67-1))),'V06 Calend 01'!I67),0))+IF((111='V06 Calend 01'!D67),'V06 Calend 01'!J67,0))</f>
        <v>0</v>
      </c>
      <c r="DT67" s="2">
        <f>((IF((112='V06 Calend 01'!C67),('V06 Calend 01'!F67+'V06 Calend 01'!G67),0)+IF(AND(('V06 Calend 01'!E67&gt;0),(112&gt;'V06 Calend 01'!C67),(112&lt;'V06 Calend 01'!D67),(MOD((112-'V06 Calend 01'!C67),6)=0),(((112-'V06 Calend 01'!C67)/6)&lt;='V06 Calend 01'!E67)),IF((112=('V06 Calend 01'!C67+(6*'V06 Calend 01'!E67))),('V06 Calend 01'!H67-('V06 Calend 01'!I67*('V06 Calend 01'!E67-1))),'V06 Calend 01'!I67),0))+IF((112='V06 Calend 01'!D67),'V06 Calend 01'!J67,0))</f>
        <v>0</v>
      </c>
      <c r="DU67" s="2">
        <f>((IF((113='V06 Calend 01'!C67),('V06 Calend 01'!F67+'V06 Calend 01'!G67),0)+IF(AND(('V06 Calend 01'!E67&gt;0),(113&gt;'V06 Calend 01'!C67),(113&lt;'V06 Calend 01'!D67),(MOD((113-'V06 Calend 01'!C67),6)=0),(((113-'V06 Calend 01'!C67)/6)&lt;='V06 Calend 01'!E67)),IF((113=('V06 Calend 01'!C67+(6*'V06 Calend 01'!E67))),('V06 Calend 01'!H67-('V06 Calend 01'!I67*('V06 Calend 01'!E67-1))),'V06 Calend 01'!I67),0))+IF((113='V06 Calend 01'!D67),'V06 Calend 01'!J67,0))</f>
        <v>0</v>
      </c>
      <c r="DV67" s="2">
        <f>((IF((114='V06 Calend 01'!C67),('V06 Calend 01'!F67+'V06 Calend 01'!G67),0)+IF(AND(('V06 Calend 01'!E67&gt;0),(114&gt;'V06 Calend 01'!C67),(114&lt;'V06 Calend 01'!D67),(MOD((114-'V06 Calend 01'!C67),6)=0),(((114-'V06 Calend 01'!C67)/6)&lt;='V06 Calend 01'!E67)),IF((114=('V06 Calend 01'!C67+(6*'V06 Calend 01'!E67))),('V06 Calend 01'!H67-('V06 Calend 01'!I67*('V06 Calend 01'!E67-1))),'V06 Calend 01'!I67),0))+IF((114='V06 Calend 01'!D67),'V06 Calend 01'!J67,0))</f>
        <v>0</v>
      </c>
      <c r="DW67" s="2">
        <f>((IF((115='V06 Calend 01'!C67),('V06 Calend 01'!F67+'V06 Calend 01'!G67),0)+IF(AND(('V06 Calend 01'!E67&gt;0),(115&gt;'V06 Calend 01'!C67),(115&lt;'V06 Calend 01'!D67),(MOD((115-'V06 Calend 01'!C67),6)=0),(((115-'V06 Calend 01'!C67)/6)&lt;='V06 Calend 01'!E67)),IF((115=('V06 Calend 01'!C67+(6*'V06 Calend 01'!E67))),('V06 Calend 01'!H67-('V06 Calend 01'!I67*('V06 Calend 01'!E67-1))),'V06 Calend 01'!I67),0))+IF((115='V06 Calend 01'!D67),'V06 Calend 01'!J67,0))</f>
        <v>0</v>
      </c>
      <c r="DX67" s="2">
        <f>((IF((116='V06 Calend 01'!C67),('V06 Calend 01'!F67+'V06 Calend 01'!G67),0)+IF(AND(('V06 Calend 01'!E67&gt;0),(116&gt;'V06 Calend 01'!C67),(116&lt;'V06 Calend 01'!D67),(MOD((116-'V06 Calend 01'!C67),6)=0),(((116-'V06 Calend 01'!C67)/6)&lt;='V06 Calend 01'!E67)),IF((116=('V06 Calend 01'!C67+(6*'V06 Calend 01'!E67))),('V06 Calend 01'!H67-('V06 Calend 01'!I67*('V06 Calend 01'!E67-1))),'V06 Calend 01'!I67),0))+IF((116='V06 Calend 01'!D67),'V06 Calend 01'!J67,0))</f>
        <v>0</v>
      </c>
      <c r="DY67" s="2">
        <f>((IF((117='V06 Calend 01'!C67),('V06 Calend 01'!F67+'V06 Calend 01'!G67),0)+IF(AND(('V06 Calend 01'!E67&gt;0),(117&gt;'V06 Calend 01'!C67),(117&lt;'V06 Calend 01'!D67),(MOD((117-'V06 Calend 01'!C67),6)=0),(((117-'V06 Calend 01'!C67)/6)&lt;='V06 Calend 01'!E67)),IF((117=('V06 Calend 01'!C67+(6*'V06 Calend 01'!E67))),('V06 Calend 01'!H67-('V06 Calend 01'!I67*('V06 Calend 01'!E67-1))),'V06 Calend 01'!I67),0))+IF((117='V06 Calend 01'!D67),'V06 Calend 01'!J67,0))</f>
        <v>0</v>
      </c>
      <c r="DZ67" s="2">
        <f>((IF((118='V06 Calend 01'!C67),('V06 Calend 01'!F67+'V06 Calend 01'!G67),0)+IF(AND(('V06 Calend 01'!E67&gt;0),(118&gt;'V06 Calend 01'!C67),(118&lt;'V06 Calend 01'!D67),(MOD((118-'V06 Calend 01'!C67),6)=0),(((118-'V06 Calend 01'!C67)/6)&lt;='V06 Calend 01'!E67)),IF((118=('V06 Calend 01'!C67+(6*'V06 Calend 01'!E67))),('V06 Calend 01'!H67-('V06 Calend 01'!I67*('V06 Calend 01'!E67-1))),'V06 Calend 01'!I67),0))+IF((118='V06 Calend 01'!D67),'V06 Calend 01'!J67,0))</f>
        <v>0</v>
      </c>
      <c r="EA67" s="2">
        <f>((IF((119='V06 Calend 01'!C67),('V06 Calend 01'!F67+'V06 Calend 01'!G67),0)+IF(AND(('V06 Calend 01'!E67&gt;0),(119&gt;'V06 Calend 01'!C67),(119&lt;'V06 Calend 01'!D67),(MOD((119-'V06 Calend 01'!C67),6)=0),(((119-'V06 Calend 01'!C67)/6)&lt;='V06 Calend 01'!E67)),IF((119=('V06 Calend 01'!C67+(6*'V06 Calend 01'!E67))),('V06 Calend 01'!H67-('V06 Calend 01'!I67*('V06 Calend 01'!E67-1))),'V06 Calend 01'!I67),0))+IF((119='V06 Calend 01'!D67),'V06 Calend 01'!J67,0))</f>
        <v>0</v>
      </c>
      <c r="EB67" s="2">
        <f>((IF((120='V06 Calend 01'!C67),('V06 Calend 01'!F67+'V06 Calend 01'!G67),0)+IF(AND(('V06 Calend 01'!E67&gt;0),(120&gt;'V06 Calend 01'!C67),(120&lt;'V06 Calend 01'!D67),(MOD((120-'V06 Calend 01'!C67),6)=0),(((120-'V06 Calend 01'!C67)/6)&lt;='V06 Calend 01'!E67)),IF((120=('V06 Calend 01'!C67+(6*'V06 Calend 01'!E67))),('V06 Calend 01'!H67-('V06 Calend 01'!I67*('V06 Calend 01'!E67-1))),'V06 Calend 01'!I67),0))+IF((120='V06 Calend 01'!D67),'V06 Calend 01'!J67,0))</f>
        <v>0</v>
      </c>
      <c r="EC67" s="2">
        <f>((IF((121='V06 Calend 01'!C67),('V06 Calend 01'!F67+'V06 Calend 01'!G67),0)+IF(AND(('V06 Calend 01'!E67&gt;0),(121&gt;'V06 Calend 01'!C67),(121&lt;'V06 Calend 01'!D67),(MOD((121-'V06 Calend 01'!C67),6)=0),(((121-'V06 Calend 01'!C67)/6)&lt;='V06 Calend 01'!E67)),IF((121=('V06 Calend 01'!C67+(6*'V06 Calend 01'!E67))),('V06 Calend 01'!H67-('V06 Calend 01'!I67*('V06 Calend 01'!E67-1))),'V06 Calend 01'!I67),0))+IF((121='V06 Calend 01'!D67),'V06 Calend 01'!J67,0))</f>
        <v>0</v>
      </c>
      <c r="ED67" s="2">
        <f>((IF((122='V06 Calend 01'!C67),('V06 Calend 01'!F67+'V06 Calend 01'!G67),0)+IF(AND(('V06 Calend 01'!E67&gt;0),(122&gt;'V06 Calend 01'!C67),(122&lt;'V06 Calend 01'!D67),(MOD((122-'V06 Calend 01'!C67),6)=0),(((122-'V06 Calend 01'!C67)/6)&lt;='V06 Calend 01'!E67)),IF((122=('V06 Calend 01'!C67+(6*'V06 Calend 01'!E67))),('V06 Calend 01'!H67-('V06 Calend 01'!I67*('V06 Calend 01'!E67-1))),'V06 Calend 01'!I67),0))+IF((122='V06 Calend 01'!D67),'V06 Calend 01'!J67,0))</f>
        <v>0</v>
      </c>
      <c r="EE67" s="2">
        <f>((IF((123='V06 Calend 01'!C67),('V06 Calend 01'!F67+'V06 Calend 01'!G67),0)+IF(AND(('V06 Calend 01'!E67&gt;0),(123&gt;'V06 Calend 01'!C67),(123&lt;'V06 Calend 01'!D67),(MOD((123-'V06 Calend 01'!C67),6)=0),(((123-'V06 Calend 01'!C67)/6)&lt;='V06 Calend 01'!E67)),IF((123=('V06 Calend 01'!C67+(6*'V06 Calend 01'!E67))),('V06 Calend 01'!H67-('V06 Calend 01'!I67*('V06 Calend 01'!E67-1))),'V06 Calend 01'!I67),0))+IF((123='V06 Calend 01'!D67),'V06 Calend 01'!J67,0))</f>
        <v>0</v>
      </c>
      <c r="EF67" s="2">
        <f>((IF((124='V06 Calend 01'!C67),('V06 Calend 01'!F67+'V06 Calend 01'!G67),0)+IF(AND(('V06 Calend 01'!E67&gt;0),(124&gt;'V06 Calend 01'!C67),(124&lt;'V06 Calend 01'!D67),(MOD((124-'V06 Calend 01'!C67),6)=0),(((124-'V06 Calend 01'!C67)/6)&lt;='V06 Calend 01'!E67)),IF((124=('V06 Calend 01'!C67+(6*'V06 Calend 01'!E67))),('V06 Calend 01'!H67-('V06 Calend 01'!I67*('V06 Calend 01'!E67-1))),'V06 Calend 01'!I67),0))+IF((124='V06 Calend 01'!D67),'V06 Calend 01'!J67,0))</f>
        <v>0</v>
      </c>
      <c r="EG67" s="2">
        <f>((IF((125='V06 Calend 01'!C67),('V06 Calend 01'!F67+'V06 Calend 01'!G67),0)+IF(AND(('V06 Calend 01'!E67&gt;0),(125&gt;'V06 Calend 01'!C67),(125&lt;'V06 Calend 01'!D67),(MOD((125-'V06 Calend 01'!C67),6)=0),(((125-'V06 Calend 01'!C67)/6)&lt;='V06 Calend 01'!E67)),IF((125=('V06 Calend 01'!C67+(6*'V06 Calend 01'!E67))),('V06 Calend 01'!H67-('V06 Calend 01'!I67*('V06 Calend 01'!E67-1))),'V06 Calend 01'!I67),0))+IF((125='V06 Calend 01'!D67),'V06 Calend 01'!J67,0))</f>
        <v>0</v>
      </c>
      <c r="EH67" s="2">
        <f>((IF((126='V06 Calend 01'!C67),('V06 Calend 01'!F67+'V06 Calend 01'!G67),0)+IF(AND(('V06 Calend 01'!E67&gt;0),(126&gt;'V06 Calend 01'!C67),(126&lt;'V06 Calend 01'!D67),(MOD((126-'V06 Calend 01'!C67),6)=0),(((126-'V06 Calend 01'!C67)/6)&lt;='V06 Calend 01'!E67)),IF((126=('V06 Calend 01'!C67+(6*'V06 Calend 01'!E67))),('V06 Calend 01'!H67-('V06 Calend 01'!I67*('V06 Calend 01'!E67-1))),'V06 Calend 01'!I67),0))+IF((126='V06 Calend 01'!D67),'V06 Calend 01'!J67,0))</f>
        <v>0</v>
      </c>
      <c r="EI67" s="2">
        <f>((IF((127='V06 Calend 01'!C67),('V06 Calend 01'!F67+'V06 Calend 01'!G67),0)+IF(AND(('V06 Calend 01'!E67&gt;0),(127&gt;'V06 Calend 01'!C67),(127&lt;'V06 Calend 01'!D67),(MOD((127-'V06 Calend 01'!C67),6)=0),(((127-'V06 Calend 01'!C67)/6)&lt;='V06 Calend 01'!E67)),IF((127=('V06 Calend 01'!C67+(6*'V06 Calend 01'!E67))),('V06 Calend 01'!H67-('V06 Calend 01'!I67*('V06 Calend 01'!E67-1))),'V06 Calend 01'!I67),0))+IF((127='V06 Calend 01'!D67),'V06 Calend 01'!J67,0))</f>
        <v>0</v>
      </c>
      <c r="EJ67" s="2">
        <f>((IF((128='V06 Calend 01'!C67),('V06 Calend 01'!F67+'V06 Calend 01'!G67),0)+IF(AND(('V06 Calend 01'!E67&gt;0),(128&gt;'V06 Calend 01'!C67),(128&lt;'V06 Calend 01'!D67),(MOD((128-'V06 Calend 01'!C67),6)=0),(((128-'V06 Calend 01'!C67)/6)&lt;='V06 Calend 01'!E67)),IF((128=('V06 Calend 01'!C67+(6*'V06 Calend 01'!E67))),('V06 Calend 01'!H67-('V06 Calend 01'!I67*('V06 Calend 01'!E67-1))),'V06 Calend 01'!I67),0))+IF((128='V06 Calend 01'!D67),'V06 Calend 01'!J67,0))</f>
        <v>0</v>
      </c>
      <c r="EK67" s="2">
        <f>((IF((129='V06 Calend 01'!C67),('V06 Calend 01'!F67+'V06 Calend 01'!G67),0)+IF(AND(('V06 Calend 01'!E67&gt;0),(129&gt;'V06 Calend 01'!C67),(129&lt;'V06 Calend 01'!D67),(MOD((129-'V06 Calend 01'!C67),6)=0),(((129-'V06 Calend 01'!C67)/6)&lt;='V06 Calend 01'!E67)),IF((129=('V06 Calend 01'!C67+(6*'V06 Calend 01'!E67))),('V06 Calend 01'!H67-('V06 Calend 01'!I67*('V06 Calend 01'!E67-1))),'V06 Calend 01'!I67),0))+IF((129='V06 Calend 01'!D67),'V06 Calend 01'!J67,0))</f>
        <v>0</v>
      </c>
      <c r="EL67" s="2">
        <f>((IF((130='V06 Calend 01'!C67),('V06 Calend 01'!F67+'V06 Calend 01'!G67),0)+IF(AND(('V06 Calend 01'!E67&gt;0),(130&gt;'V06 Calend 01'!C67),(130&lt;'V06 Calend 01'!D67),(MOD((130-'V06 Calend 01'!C67),6)=0),(((130-'V06 Calend 01'!C67)/6)&lt;='V06 Calend 01'!E67)),IF((130=('V06 Calend 01'!C67+(6*'V06 Calend 01'!E67))),('V06 Calend 01'!H67-('V06 Calend 01'!I67*('V06 Calend 01'!E67-1))),'V06 Calend 01'!I67),0))+IF((130='V06 Calend 01'!D67),'V06 Calend 01'!J67,0))</f>
        <v>0</v>
      </c>
      <c r="EM67" s="2">
        <f>((IF((131='V06 Calend 01'!C67),('V06 Calend 01'!F67+'V06 Calend 01'!G67),0)+IF(AND(('V06 Calend 01'!E67&gt;0),(131&gt;'V06 Calend 01'!C67),(131&lt;'V06 Calend 01'!D67),(MOD((131-'V06 Calend 01'!C67),6)=0),(((131-'V06 Calend 01'!C67)/6)&lt;='V06 Calend 01'!E67)),IF((131=('V06 Calend 01'!C67+(6*'V06 Calend 01'!E67))),('V06 Calend 01'!H67-('V06 Calend 01'!I67*('V06 Calend 01'!E67-1))),'V06 Calend 01'!I67),0))+IF((131='V06 Calend 01'!D67),'V06 Calend 01'!J67,0))</f>
        <v>0</v>
      </c>
      <c r="EN67" s="2">
        <f>((IF((132='V06 Calend 01'!C67),('V06 Calend 01'!F67+'V06 Calend 01'!G67),0)+IF(AND(('V06 Calend 01'!E67&gt;0),(132&gt;'V06 Calend 01'!C67),(132&lt;'V06 Calend 01'!D67),(MOD((132-'V06 Calend 01'!C67),6)=0),(((132-'V06 Calend 01'!C67)/6)&lt;='V06 Calend 01'!E67)),IF((132=('V06 Calend 01'!C67+(6*'V06 Calend 01'!E67))),('V06 Calend 01'!H67-('V06 Calend 01'!I67*('V06 Calend 01'!E67-1))),'V06 Calend 01'!I67),0))+IF((132='V06 Calend 01'!D67),'V06 Calend 01'!J67,0))</f>
        <v>0</v>
      </c>
      <c r="EO67" s="2">
        <f>((IF((133='V06 Calend 01'!C67),('V06 Calend 01'!F67+'V06 Calend 01'!G67),0)+IF(AND(('V06 Calend 01'!E67&gt;0),(133&gt;'V06 Calend 01'!C67),(133&lt;'V06 Calend 01'!D67),(MOD((133-'V06 Calend 01'!C67),6)=0),(((133-'V06 Calend 01'!C67)/6)&lt;='V06 Calend 01'!E67)),IF((133=('V06 Calend 01'!C67+(6*'V06 Calend 01'!E67))),('V06 Calend 01'!H67-('V06 Calend 01'!I67*('V06 Calend 01'!E67-1))),'V06 Calend 01'!I67),0))+IF((133='V06 Calend 01'!D67),'V06 Calend 01'!J67,0))</f>
        <v>0</v>
      </c>
      <c r="EP67" s="2">
        <f>((IF((134='V06 Calend 01'!C67),('V06 Calend 01'!F67+'V06 Calend 01'!G67),0)+IF(AND(('V06 Calend 01'!E67&gt;0),(134&gt;'V06 Calend 01'!C67),(134&lt;'V06 Calend 01'!D67),(MOD((134-'V06 Calend 01'!C67),6)=0),(((134-'V06 Calend 01'!C67)/6)&lt;='V06 Calend 01'!E67)),IF((134=('V06 Calend 01'!C67+(6*'V06 Calend 01'!E67))),('V06 Calend 01'!H67-('V06 Calend 01'!I67*('V06 Calend 01'!E67-1))),'V06 Calend 01'!I67),0))+IF((134='V06 Calend 01'!D67),'V06 Calend 01'!J67,0))</f>
        <v>0</v>
      </c>
      <c r="EQ67" s="2">
        <f>((IF((135='V06 Calend 01'!C67),('V06 Calend 01'!F67+'V06 Calend 01'!G67),0)+IF(AND(('V06 Calend 01'!E67&gt;0),(135&gt;'V06 Calend 01'!C67),(135&lt;'V06 Calend 01'!D67),(MOD((135-'V06 Calend 01'!C67),6)=0),(((135-'V06 Calend 01'!C67)/6)&lt;='V06 Calend 01'!E67)),IF((135=('V06 Calend 01'!C67+(6*'V06 Calend 01'!E67))),('V06 Calend 01'!H67-('V06 Calend 01'!I67*('V06 Calend 01'!E67-1))),'V06 Calend 01'!I67),0))+IF((135='V06 Calend 01'!D67),'V06 Calend 01'!J67,0))</f>
        <v>0</v>
      </c>
      <c r="ER67" s="2">
        <f>((IF((136='V06 Calend 01'!C67),('V06 Calend 01'!F67+'V06 Calend 01'!G67),0)+IF(AND(('V06 Calend 01'!E67&gt;0),(136&gt;'V06 Calend 01'!C67),(136&lt;'V06 Calend 01'!D67),(MOD((136-'V06 Calend 01'!C67),6)=0),(((136-'V06 Calend 01'!C67)/6)&lt;='V06 Calend 01'!E67)),IF((136=('V06 Calend 01'!C67+(6*'V06 Calend 01'!E67))),('V06 Calend 01'!H67-('V06 Calend 01'!I67*('V06 Calend 01'!E67-1))),'V06 Calend 01'!I67),0))+IF((136='V06 Calend 01'!D67),'V06 Calend 01'!J67,0))</f>
        <v>0</v>
      </c>
      <c r="ES67" s="2">
        <f>((IF((137='V06 Calend 01'!C67),('V06 Calend 01'!F67+'V06 Calend 01'!G67),0)+IF(AND(('V06 Calend 01'!E67&gt;0),(137&gt;'V06 Calend 01'!C67),(137&lt;'V06 Calend 01'!D67),(MOD((137-'V06 Calend 01'!C67),6)=0),(((137-'V06 Calend 01'!C67)/6)&lt;='V06 Calend 01'!E67)),IF((137=('V06 Calend 01'!C67+(6*'V06 Calend 01'!E67))),('V06 Calend 01'!H67-('V06 Calend 01'!I67*('V06 Calend 01'!E67-1))),'V06 Calend 01'!I67),0))+IF((137='V06 Calend 01'!D67),'V06 Calend 01'!J67,0))</f>
        <v>0</v>
      </c>
      <c r="ET67" s="2">
        <f>((IF((138='V06 Calend 01'!C67),('V06 Calend 01'!F67+'V06 Calend 01'!G67),0)+IF(AND(('V06 Calend 01'!E67&gt;0),(138&gt;'V06 Calend 01'!C67),(138&lt;'V06 Calend 01'!D67),(MOD((138-'V06 Calend 01'!C67),6)=0),(((138-'V06 Calend 01'!C67)/6)&lt;='V06 Calend 01'!E67)),IF((138=('V06 Calend 01'!C67+(6*'V06 Calend 01'!E67))),('V06 Calend 01'!H67-('V06 Calend 01'!I67*('V06 Calend 01'!E67-1))),'V06 Calend 01'!I67),0))+IF((138='V06 Calend 01'!D67),'V06 Calend 01'!J67,0))</f>
        <v>0</v>
      </c>
      <c r="EU67" s="2">
        <f>((IF((139='V06 Calend 01'!C67),('V06 Calend 01'!F67+'V06 Calend 01'!G67),0)+IF(AND(('V06 Calend 01'!E67&gt;0),(139&gt;'V06 Calend 01'!C67),(139&lt;'V06 Calend 01'!D67),(MOD((139-'V06 Calend 01'!C67),6)=0),(((139-'V06 Calend 01'!C67)/6)&lt;='V06 Calend 01'!E67)),IF((139=('V06 Calend 01'!C67+(6*'V06 Calend 01'!E67))),('V06 Calend 01'!H67-('V06 Calend 01'!I67*('V06 Calend 01'!E67-1))),'V06 Calend 01'!I67),0))+IF((139='V06 Calend 01'!D67),'V06 Calend 01'!J67,0))</f>
        <v>0</v>
      </c>
      <c r="EV67" s="2">
        <f>((IF((140='V06 Calend 01'!C67),('V06 Calend 01'!F67+'V06 Calend 01'!G67),0)+IF(AND(('V06 Calend 01'!E67&gt;0),(140&gt;'V06 Calend 01'!C67),(140&lt;'V06 Calend 01'!D67),(MOD((140-'V06 Calend 01'!C67),6)=0),(((140-'V06 Calend 01'!C67)/6)&lt;='V06 Calend 01'!E67)),IF((140=('V06 Calend 01'!C67+(6*'V06 Calend 01'!E67))),('V06 Calend 01'!H67-('V06 Calend 01'!I67*('V06 Calend 01'!E67-1))),'V06 Calend 01'!I67),0))+IF((140='V06 Calend 01'!D67),'V06 Calend 01'!J67,0))</f>
        <v>0</v>
      </c>
      <c r="EW67" s="2">
        <f>((IF((141='V06 Calend 01'!C67),('V06 Calend 01'!F67+'V06 Calend 01'!G67),0)+IF(AND(('V06 Calend 01'!E67&gt;0),(141&gt;'V06 Calend 01'!C67),(141&lt;'V06 Calend 01'!D67),(MOD((141-'V06 Calend 01'!C67),6)=0),(((141-'V06 Calend 01'!C67)/6)&lt;='V06 Calend 01'!E67)),IF((141=('V06 Calend 01'!C67+(6*'V06 Calend 01'!E67))),('V06 Calend 01'!H67-('V06 Calend 01'!I67*('V06 Calend 01'!E67-1))),'V06 Calend 01'!I67),0))+IF((141='V06 Calend 01'!D67),'V06 Calend 01'!J67,0))</f>
        <v>0</v>
      </c>
      <c r="EX67" s="2">
        <f>((IF((142='V06 Calend 01'!C67),('V06 Calend 01'!F67+'V06 Calend 01'!G67),0)+IF(AND(('V06 Calend 01'!E67&gt;0),(142&gt;'V06 Calend 01'!C67),(142&lt;'V06 Calend 01'!D67),(MOD((142-'V06 Calend 01'!C67),6)=0),(((142-'V06 Calend 01'!C67)/6)&lt;='V06 Calend 01'!E67)),IF((142=('V06 Calend 01'!C67+(6*'V06 Calend 01'!E67))),('V06 Calend 01'!H67-('V06 Calend 01'!I67*('V06 Calend 01'!E67-1))),'V06 Calend 01'!I67),0))+IF((142='V06 Calend 01'!D67),'V06 Calend 01'!J67,0))</f>
        <v>0</v>
      </c>
      <c r="EY67" s="2">
        <f>((IF((143='V06 Calend 01'!C67),('V06 Calend 01'!F67+'V06 Calend 01'!G67),0)+IF(AND(('V06 Calend 01'!E67&gt;0),(143&gt;'V06 Calend 01'!C67),(143&lt;'V06 Calend 01'!D67),(MOD((143-'V06 Calend 01'!C67),6)=0),(((143-'V06 Calend 01'!C67)/6)&lt;='V06 Calend 01'!E67)),IF((143=('V06 Calend 01'!C67+(6*'V06 Calend 01'!E67))),('V06 Calend 01'!H67-('V06 Calend 01'!I67*('V06 Calend 01'!E67-1))),'V06 Calend 01'!I67),0))+IF((143='V06 Calend 01'!D67),'V06 Calend 01'!J67,0))</f>
        <v>0</v>
      </c>
      <c r="EZ67" s="2">
        <f>((IF((144='V06 Calend 01'!C67),('V06 Calend 01'!F67+'V06 Calend 01'!G67),0)+IF(AND(('V06 Calend 01'!E67&gt;0),(144&gt;'V06 Calend 01'!C67),(144&lt;'V06 Calend 01'!D67),(MOD((144-'V06 Calend 01'!C67),6)=0),(((144-'V06 Calend 01'!C67)/6)&lt;='V06 Calend 01'!E67)),IF((144=('V06 Calend 01'!C67+(6*'V06 Calend 01'!E67))),('V06 Calend 01'!H67-('V06 Calend 01'!I67*('V06 Calend 01'!E67-1))),'V06 Calend 01'!I67),0))+IF((144='V06 Calend 01'!D67),'V06 Calend 01'!J67,0))</f>
        <v>0</v>
      </c>
      <c r="FA67" s="2">
        <f>((IF((145='V06 Calend 01'!C67),('V06 Calend 01'!F67+'V06 Calend 01'!G67),0)+IF(AND(('V06 Calend 01'!E67&gt;0),(145&gt;'V06 Calend 01'!C67),(145&lt;'V06 Calend 01'!D67),(MOD((145-'V06 Calend 01'!C67),6)=0),(((145-'V06 Calend 01'!C67)/6)&lt;='V06 Calend 01'!E67)),IF((145=('V06 Calend 01'!C67+(6*'V06 Calend 01'!E67))),('V06 Calend 01'!H67-('V06 Calend 01'!I67*('V06 Calend 01'!E67-1))),'V06 Calend 01'!I67),0))+IF((145='V06 Calend 01'!D67),'V06 Calend 01'!J67,0))</f>
        <v>0</v>
      </c>
      <c r="FB67" s="2">
        <f>((IF((146='V06 Calend 01'!C67),('V06 Calend 01'!F67+'V06 Calend 01'!G67),0)+IF(AND(('V06 Calend 01'!E67&gt;0),(146&gt;'V06 Calend 01'!C67),(146&lt;'V06 Calend 01'!D67),(MOD((146-'V06 Calend 01'!C67),6)=0),(((146-'V06 Calend 01'!C67)/6)&lt;='V06 Calend 01'!E67)),IF((146=('V06 Calend 01'!C67+(6*'V06 Calend 01'!E67))),('V06 Calend 01'!H67-('V06 Calend 01'!I67*('V06 Calend 01'!E67-1))),'V06 Calend 01'!I67),0))+IF((146='V06 Calend 01'!D67),'V06 Calend 01'!J67,0))</f>
        <v>0</v>
      </c>
      <c r="FC67" s="2">
        <f>((IF((147='V06 Calend 01'!C67),('V06 Calend 01'!F67+'V06 Calend 01'!G67),0)+IF(AND(('V06 Calend 01'!E67&gt;0),(147&gt;'V06 Calend 01'!C67),(147&lt;'V06 Calend 01'!D67),(MOD((147-'V06 Calend 01'!C67),6)=0),(((147-'V06 Calend 01'!C67)/6)&lt;='V06 Calend 01'!E67)),IF((147=('V06 Calend 01'!C67+(6*'V06 Calend 01'!E67))),('V06 Calend 01'!H67-('V06 Calend 01'!I67*('V06 Calend 01'!E67-1))),'V06 Calend 01'!I67),0))+IF((147='V06 Calend 01'!D67),'V06 Calend 01'!J67,0))</f>
        <v>0</v>
      </c>
      <c r="FD67" s="2">
        <f>((IF((148='V06 Calend 01'!C67),('V06 Calend 01'!F67+'V06 Calend 01'!G67),0)+IF(AND(('V06 Calend 01'!E67&gt;0),(148&gt;'V06 Calend 01'!C67),(148&lt;'V06 Calend 01'!D67),(MOD((148-'V06 Calend 01'!C67),6)=0),(((148-'V06 Calend 01'!C67)/6)&lt;='V06 Calend 01'!E67)),IF((148=('V06 Calend 01'!C67+(6*'V06 Calend 01'!E67))),('V06 Calend 01'!H67-('V06 Calend 01'!I67*('V06 Calend 01'!E67-1))),'V06 Calend 01'!I67),0))+IF((148='V06 Calend 01'!D67),'V06 Calend 01'!J67,0))</f>
        <v>0</v>
      </c>
      <c r="FE67" s="2">
        <f>((IF((149='V06 Calend 01'!C67),('V06 Calend 01'!F67+'V06 Calend 01'!G67),0)+IF(AND(('V06 Calend 01'!E67&gt;0),(149&gt;'V06 Calend 01'!C67),(149&lt;'V06 Calend 01'!D67),(MOD((149-'V06 Calend 01'!C67),6)=0),(((149-'V06 Calend 01'!C67)/6)&lt;='V06 Calend 01'!E67)),IF((149=('V06 Calend 01'!C67+(6*'V06 Calend 01'!E67))),('V06 Calend 01'!H67-('V06 Calend 01'!I67*('V06 Calend 01'!E67-1))),'V06 Calend 01'!I67),0))+IF((149='V06 Calend 01'!D67),'V06 Calend 01'!J67,0))</f>
        <v>0</v>
      </c>
      <c r="FF67" s="2">
        <f>((IF((150='V06 Calend 01'!C67),('V06 Calend 01'!F67+'V06 Calend 01'!G67),0)+IF(AND(('V06 Calend 01'!E67&gt;0),(150&gt;'V06 Calend 01'!C67),(150&lt;'V06 Calend 01'!D67),(MOD((150-'V06 Calend 01'!C67),6)=0),(((150-'V06 Calend 01'!C67)/6)&lt;='V06 Calend 01'!E67)),IF((150=('V06 Calend 01'!C67+(6*'V06 Calend 01'!E67))),('V06 Calend 01'!H67-('V06 Calend 01'!I67*('V06 Calend 01'!E67-1))),'V06 Calend 01'!I67),0))+IF((150='V06 Calend 01'!D67),'V06 Calend 01'!J67,0))</f>
        <v>0</v>
      </c>
      <c r="FG67" s="2">
        <f>((IF((151='V06 Calend 01'!C67),('V06 Calend 01'!F67+'V06 Calend 01'!G67),0)+IF(AND(('V06 Calend 01'!E67&gt;0),(151&gt;'V06 Calend 01'!C67),(151&lt;'V06 Calend 01'!D67),(MOD((151-'V06 Calend 01'!C67),6)=0),(((151-'V06 Calend 01'!C67)/6)&lt;='V06 Calend 01'!E67)),IF((151=('V06 Calend 01'!C67+(6*'V06 Calend 01'!E67))),('V06 Calend 01'!H67-('V06 Calend 01'!I67*('V06 Calend 01'!E67-1))),'V06 Calend 01'!I67),0))+IF((151='V06 Calend 01'!D67),'V06 Calend 01'!J67,0))</f>
        <v>0</v>
      </c>
      <c r="FH67" s="2">
        <f>((IF((152='V06 Calend 01'!C67),('V06 Calend 01'!F67+'V06 Calend 01'!G67),0)+IF(AND(('V06 Calend 01'!E67&gt;0),(152&gt;'V06 Calend 01'!C67),(152&lt;'V06 Calend 01'!D67),(MOD((152-'V06 Calend 01'!C67),6)=0),(((152-'V06 Calend 01'!C67)/6)&lt;='V06 Calend 01'!E67)),IF((152=('V06 Calend 01'!C67+(6*'V06 Calend 01'!E67))),('V06 Calend 01'!H67-('V06 Calend 01'!I67*('V06 Calend 01'!E67-1))),'V06 Calend 01'!I67),0))+IF((152='V06 Calend 01'!D67),'V06 Calend 01'!J67,0))</f>
        <v>0</v>
      </c>
      <c r="FI67" s="2">
        <f>((IF((153='V06 Calend 01'!C67),('V06 Calend 01'!F67+'V06 Calend 01'!G67),0)+IF(AND(('V06 Calend 01'!E67&gt;0),(153&gt;'V06 Calend 01'!C67),(153&lt;'V06 Calend 01'!D67),(MOD((153-'V06 Calend 01'!C67),6)=0),(((153-'V06 Calend 01'!C67)/6)&lt;='V06 Calend 01'!E67)),IF((153=('V06 Calend 01'!C67+(6*'V06 Calend 01'!E67))),('V06 Calend 01'!H67-('V06 Calend 01'!I67*('V06 Calend 01'!E67-1))),'V06 Calend 01'!I67),0))+IF((153='V06 Calend 01'!D67),'V06 Calend 01'!J67,0))</f>
        <v>0</v>
      </c>
      <c r="FJ67" s="2">
        <f>((IF((154='V06 Calend 01'!C67),('V06 Calend 01'!F67+'V06 Calend 01'!G67),0)+IF(AND(('V06 Calend 01'!E67&gt;0),(154&gt;'V06 Calend 01'!C67),(154&lt;'V06 Calend 01'!D67),(MOD((154-'V06 Calend 01'!C67),6)=0),(((154-'V06 Calend 01'!C67)/6)&lt;='V06 Calend 01'!E67)),IF((154=('V06 Calend 01'!C67+(6*'V06 Calend 01'!E67))),('V06 Calend 01'!H67-('V06 Calend 01'!I67*('V06 Calend 01'!E67-1))),'V06 Calend 01'!I67),0))+IF((154='V06 Calend 01'!D67),'V06 Calend 01'!J67,0))</f>
        <v>0</v>
      </c>
      <c r="FK67" s="2">
        <f>((IF((155='V06 Calend 01'!C67),('V06 Calend 01'!F67+'V06 Calend 01'!G67),0)+IF(AND(('V06 Calend 01'!E67&gt;0),(155&gt;'V06 Calend 01'!C67),(155&lt;'V06 Calend 01'!D67),(MOD((155-'V06 Calend 01'!C67),6)=0),(((155-'V06 Calend 01'!C67)/6)&lt;='V06 Calend 01'!E67)),IF((155=('V06 Calend 01'!C67+(6*'V06 Calend 01'!E67))),('V06 Calend 01'!H67-('V06 Calend 01'!I67*('V06 Calend 01'!E67-1))),'V06 Calend 01'!I67),0))+IF((155='V06 Calend 01'!D67),'V06 Calend 01'!J67,0))</f>
        <v>0</v>
      </c>
      <c r="FL67" s="2">
        <f>((IF((156='V06 Calend 01'!C67),('V06 Calend 01'!F67+'V06 Calend 01'!G67),0)+IF(AND(('V06 Calend 01'!E67&gt;0),(156&gt;'V06 Calend 01'!C67),(156&lt;'V06 Calend 01'!D67),(MOD((156-'V06 Calend 01'!C67),6)=0),(((156-'V06 Calend 01'!C67)/6)&lt;='V06 Calend 01'!E67)),IF((156=('V06 Calend 01'!C67+(6*'V06 Calend 01'!E67))),('V06 Calend 01'!H67-('V06 Calend 01'!I67*('V06 Calend 01'!E67-1))),'V06 Calend 01'!I67),0))+IF((156='V06 Calend 01'!D67),'V06 Calend 01'!J67,0))</f>
        <v>0</v>
      </c>
      <c r="FM67" s="2">
        <f>((IF((157='V06 Calend 01'!C67),('V06 Calend 01'!F67+'V06 Calend 01'!G67),0)+IF(AND(('V06 Calend 01'!E67&gt;0),(157&gt;'V06 Calend 01'!C67),(157&lt;'V06 Calend 01'!D67),(MOD((157-'V06 Calend 01'!C67),6)=0),(((157-'V06 Calend 01'!C67)/6)&lt;='V06 Calend 01'!E67)),IF((157=('V06 Calend 01'!C67+(6*'V06 Calend 01'!E67))),('V06 Calend 01'!H67-('V06 Calend 01'!I67*('V06 Calend 01'!E67-1))),'V06 Calend 01'!I67),0))+IF((157='V06 Calend 01'!D67),'V06 Calend 01'!J67,0))</f>
        <v>0</v>
      </c>
      <c r="FN67" s="2">
        <f>((IF((158='V06 Calend 01'!C67),('V06 Calend 01'!F67+'V06 Calend 01'!G67),0)+IF(AND(('V06 Calend 01'!E67&gt;0),(158&gt;'V06 Calend 01'!C67),(158&lt;'V06 Calend 01'!D67),(MOD((158-'V06 Calend 01'!C67),6)=0),(((158-'V06 Calend 01'!C67)/6)&lt;='V06 Calend 01'!E67)),IF((158=('V06 Calend 01'!C67+(6*'V06 Calend 01'!E67))),('V06 Calend 01'!H67-('V06 Calend 01'!I67*('V06 Calend 01'!E67-1))),'V06 Calend 01'!I67),0))+IF((158='V06 Calend 01'!D67),'V06 Calend 01'!J67,0))</f>
        <v>0</v>
      </c>
      <c r="FO67" s="2">
        <f>((IF((159='V06 Calend 01'!C67),('V06 Calend 01'!F67+'V06 Calend 01'!G67),0)+IF(AND(('V06 Calend 01'!E67&gt;0),(159&gt;'V06 Calend 01'!C67),(159&lt;'V06 Calend 01'!D67),(MOD((159-'V06 Calend 01'!C67),6)=0),(((159-'V06 Calend 01'!C67)/6)&lt;='V06 Calend 01'!E67)),IF((159=('V06 Calend 01'!C67+(6*'V06 Calend 01'!E67))),('V06 Calend 01'!H67-('V06 Calend 01'!I67*('V06 Calend 01'!E67-1))),'V06 Calend 01'!I67),0))+IF((159='V06 Calend 01'!D67),'V06 Calend 01'!J67,0))</f>
        <v>0</v>
      </c>
      <c r="FP67" s="2">
        <f>((IF((160='V06 Calend 01'!C67),('V06 Calend 01'!F67+'V06 Calend 01'!G67),0)+IF(AND(('V06 Calend 01'!E67&gt;0),(160&gt;'V06 Calend 01'!C67),(160&lt;'V06 Calend 01'!D67),(MOD((160-'V06 Calend 01'!C67),6)=0),(((160-'V06 Calend 01'!C67)/6)&lt;='V06 Calend 01'!E67)),IF((160=('V06 Calend 01'!C67+(6*'V06 Calend 01'!E67))),('V06 Calend 01'!H67-('V06 Calend 01'!I67*('V06 Calend 01'!E67-1))),'V06 Calend 01'!I67),0))+IF((160='V06 Calend 01'!D67),'V06 Calend 01'!J67,0))</f>
        <v>0</v>
      </c>
      <c r="FQ67" s="2">
        <f>((IF((161='V06 Calend 01'!C67),('V06 Calend 01'!F67+'V06 Calend 01'!G67),0)+IF(AND(('V06 Calend 01'!E67&gt;0),(161&gt;'V06 Calend 01'!C67),(161&lt;'V06 Calend 01'!D67),(MOD((161-'V06 Calend 01'!C67),6)=0),(((161-'V06 Calend 01'!C67)/6)&lt;='V06 Calend 01'!E67)),IF((161=('V06 Calend 01'!C67+(6*'V06 Calend 01'!E67))),('V06 Calend 01'!H67-('V06 Calend 01'!I67*('V06 Calend 01'!E67-1))),'V06 Calend 01'!I67),0))+IF((161='V06 Calend 01'!D67),'V06 Calend 01'!J67,0))</f>
        <v>0</v>
      </c>
      <c r="FR67" s="2">
        <f>((IF((162='V06 Calend 01'!C67),('V06 Calend 01'!F67+'V06 Calend 01'!G67),0)+IF(AND(('V06 Calend 01'!E67&gt;0),(162&gt;'V06 Calend 01'!C67),(162&lt;'V06 Calend 01'!D67),(MOD((162-'V06 Calend 01'!C67),6)=0),(((162-'V06 Calend 01'!C67)/6)&lt;='V06 Calend 01'!E67)),IF((162=('V06 Calend 01'!C67+(6*'V06 Calend 01'!E67))),('V06 Calend 01'!H67-('V06 Calend 01'!I67*('V06 Calend 01'!E67-1))),'V06 Calend 01'!I67),0))+IF((162='V06 Calend 01'!D67),'V06 Calend 01'!J67,0))</f>
        <v>0</v>
      </c>
      <c r="FS67" s="2">
        <f>((IF((163='V06 Calend 01'!C67),('V06 Calend 01'!F67+'V06 Calend 01'!G67),0)+IF(AND(('V06 Calend 01'!E67&gt;0),(163&gt;'V06 Calend 01'!C67),(163&lt;'V06 Calend 01'!D67),(MOD((163-'V06 Calend 01'!C67),6)=0),(((163-'V06 Calend 01'!C67)/6)&lt;='V06 Calend 01'!E67)),IF((163=('V06 Calend 01'!C67+(6*'V06 Calend 01'!E67))),('V06 Calend 01'!H67-('V06 Calend 01'!I67*('V06 Calend 01'!E67-1))),'V06 Calend 01'!I67),0))+IF((163='V06 Calend 01'!D67),'V06 Calend 01'!J67,0))</f>
        <v>0</v>
      </c>
      <c r="FT67" s="2">
        <f>((IF((164='V06 Calend 01'!C67),('V06 Calend 01'!F67+'V06 Calend 01'!G67),0)+IF(AND(('V06 Calend 01'!E67&gt;0),(164&gt;'V06 Calend 01'!C67),(164&lt;'V06 Calend 01'!D67),(MOD((164-'V06 Calend 01'!C67),6)=0),(((164-'V06 Calend 01'!C67)/6)&lt;='V06 Calend 01'!E67)),IF((164=('V06 Calend 01'!C67+(6*'V06 Calend 01'!E67))),('V06 Calend 01'!H67-('V06 Calend 01'!I67*('V06 Calend 01'!E67-1))),'V06 Calend 01'!I67),0))+IF((164='V06 Calend 01'!D67),'V06 Calend 01'!J67,0))</f>
        <v>0</v>
      </c>
      <c r="FU67" s="2">
        <f>((IF((165='V06 Calend 01'!C67),('V06 Calend 01'!F67+'V06 Calend 01'!G67),0)+IF(AND(('V06 Calend 01'!E67&gt;0),(165&gt;'V06 Calend 01'!C67),(165&lt;'V06 Calend 01'!D67),(MOD((165-'V06 Calend 01'!C67),6)=0),(((165-'V06 Calend 01'!C67)/6)&lt;='V06 Calend 01'!E67)),IF((165=('V06 Calend 01'!C67+(6*'V06 Calend 01'!E67))),('V06 Calend 01'!H67-('V06 Calend 01'!I67*('V06 Calend 01'!E67-1))),'V06 Calend 01'!I67),0))+IF((165='V06 Calend 01'!D67),'V06 Calend 01'!J67,0))</f>
        <v>0</v>
      </c>
      <c r="FV67" s="2">
        <f>((IF((166='V06 Calend 01'!C67),('V06 Calend 01'!F67+'V06 Calend 01'!G67),0)+IF(AND(('V06 Calend 01'!E67&gt;0),(166&gt;'V06 Calend 01'!C67),(166&lt;'V06 Calend 01'!D67),(MOD((166-'V06 Calend 01'!C67),6)=0),(((166-'V06 Calend 01'!C67)/6)&lt;='V06 Calend 01'!E67)),IF((166=('V06 Calend 01'!C67+(6*'V06 Calend 01'!E67))),('V06 Calend 01'!H67-('V06 Calend 01'!I67*('V06 Calend 01'!E67-1))),'V06 Calend 01'!I67),0))+IF((166='V06 Calend 01'!D67),'V06 Calend 01'!J67,0))</f>
        <v>0</v>
      </c>
      <c r="FW67" s="2">
        <f>((IF((167='V06 Calend 01'!C67),('V06 Calend 01'!F67+'V06 Calend 01'!G67),0)+IF(AND(('V06 Calend 01'!E67&gt;0),(167&gt;'V06 Calend 01'!C67),(167&lt;'V06 Calend 01'!D67),(MOD((167-'V06 Calend 01'!C67),6)=0),(((167-'V06 Calend 01'!C67)/6)&lt;='V06 Calend 01'!E67)),IF((167=('V06 Calend 01'!C67+(6*'V06 Calend 01'!E67))),('V06 Calend 01'!H67-('V06 Calend 01'!I67*('V06 Calend 01'!E67-1))),'V06 Calend 01'!I67),0))+IF((167='V06 Calend 01'!D67),'V06 Calend 01'!J67,0))</f>
        <v>0</v>
      </c>
      <c r="FX67" s="2">
        <f>((IF((168='V06 Calend 01'!C67),('V06 Calend 01'!F67+'V06 Calend 01'!G67),0)+IF(AND(('V06 Calend 01'!E67&gt;0),(168&gt;'V06 Calend 01'!C67),(168&lt;'V06 Calend 01'!D67),(MOD((168-'V06 Calend 01'!C67),6)=0),(((168-'V06 Calend 01'!C67)/6)&lt;='V06 Calend 01'!E67)),IF((168=('V06 Calend 01'!C67+(6*'V06 Calend 01'!E67))),('V06 Calend 01'!H67-('V06 Calend 01'!I67*('V06 Calend 01'!E67-1))),'V06 Calend 01'!I67),0))+IF((168='V06 Calend 01'!D67),'V06 Calend 01'!J67,0))</f>
        <v>0</v>
      </c>
      <c r="FY67" s="2">
        <f>((IF((169='V06 Calend 01'!C67),('V06 Calend 01'!F67+'V06 Calend 01'!G67),0)+IF(AND(('V06 Calend 01'!E67&gt;0),(169&gt;'V06 Calend 01'!C67),(169&lt;'V06 Calend 01'!D67),(MOD((169-'V06 Calend 01'!C67),6)=0),(((169-'V06 Calend 01'!C67)/6)&lt;='V06 Calend 01'!E67)),IF((169=('V06 Calend 01'!C67+(6*'V06 Calend 01'!E67))),('V06 Calend 01'!H67-('V06 Calend 01'!I67*('V06 Calend 01'!E67-1))),'V06 Calend 01'!I67),0))+IF((169='V06 Calend 01'!D67),'V06 Calend 01'!J67,0))</f>
        <v>0</v>
      </c>
      <c r="FZ67" s="2">
        <f>((IF((170='V06 Calend 01'!C67),('V06 Calend 01'!F67+'V06 Calend 01'!G67),0)+IF(AND(('V06 Calend 01'!E67&gt;0),(170&gt;'V06 Calend 01'!C67),(170&lt;'V06 Calend 01'!D67),(MOD((170-'V06 Calend 01'!C67),6)=0),(((170-'V06 Calend 01'!C67)/6)&lt;='V06 Calend 01'!E67)),IF((170=('V06 Calend 01'!C67+(6*'V06 Calend 01'!E67))),('V06 Calend 01'!H67-('V06 Calend 01'!I67*('V06 Calend 01'!E67-1))),'V06 Calend 01'!I67),0))+IF((170='V06 Calend 01'!D67),'V06 Calend 01'!J67,0))</f>
        <v>0</v>
      </c>
      <c r="GA67" s="2">
        <f>((IF((171='V06 Calend 01'!C67),('V06 Calend 01'!F67+'V06 Calend 01'!G67),0)+IF(AND(('V06 Calend 01'!E67&gt;0),(171&gt;'V06 Calend 01'!C67),(171&lt;'V06 Calend 01'!D67),(MOD((171-'V06 Calend 01'!C67),6)=0),(((171-'V06 Calend 01'!C67)/6)&lt;='V06 Calend 01'!E67)),IF((171=('V06 Calend 01'!C67+(6*'V06 Calend 01'!E67))),('V06 Calend 01'!H67-('V06 Calend 01'!I67*('V06 Calend 01'!E67-1))),'V06 Calend 01'!I67),0))+IF((171='V06 Calend 01'!D67),'V06 Calend 01'!J67,0))</f>
        <v>0</v>
      </c>
      <c r="GB67" s="2">
        <f>((IF((172='V06 Calend 01'!C67),('V06 Calend 01'!F67+'V06 Calend 01'!G67),0)+IF(AND(('V06 Calend 01'!E67&gt;0),(172&gt;'V06 Calend 01'!C67),(172&lt;'V06 Calend 01'!D67),(MOD((172-'V06 Calend 01'!C67),6)=0),(((172-'V06 Calend 01'!C67)/6)&lt;='V06 Calend 01'!E67)),IF((172=('V06 Calend 01'!C67+(6*'V06 Calend 01'!E67))),('V06 Calend 01'!H67-('V06 Calend 01'!I67*('V06 Calend 01'!E67-1))),'V06 Calend 01'!I67),0))+IF((172='V06 Calend 01'!D67),'V06 Calend 01'!J67,0))</f>
        <v>0</v>
      </c>
      <c r="GC67" s="2">
        <f>((IF((173='V06 Calend 01'!C67),('V06 Calend 01'!F67+'V06 Calend 01'!G67),0)+IF(AND(('V06 Calend 01'!E67&gt;0),(173&gt;'V06 Calend 01'!C67),(173&lt;'V06 Calend 01'!D67),(MOD((173-'V06 Calend 01'!C67),6)=0),(((173-'V06 Calend 01'!C67)/6)&lt;='V06 Calend 01'!E67)),IF((173=('V06 Calend 01'!C67+(6*'V06 Calend 01'!E67))),('V06 Calend 01'!H67-('V06 Calend 01'!I67*('V06 Calend 01'!E67-1))),'V06 Calend 01'!I67),0))+IF((173='V06 Calend 01'!D67),'V06 Calend 01'!J67,0))</f>
        <v>0</v>
      </c>
      <c r="GD67" s="2">
        <f>((IF((174='V06 Calend 01'!C67),('V06 Calend 01'!F67+'V06 Calend 01'!G67),0)+IF(AND(('V06 Calend 01'!E67&gt;0),(174&gt;'V06 Calend 01'!C67),(174&lt;'V06 Calend 01'!D67),(MOD((174-'V06 Calend 01'!C67),6)=0),(((174-'V06 Calend 01'!C67)/6)&lt;='V06 Calend 01'!E67)),IF((174=('V06 Calend 01'!C67+(6*'V06 Calend 01'!E67))),('V06 Calend 01'!H67-('V06 Calend 01'!I67*('V06 Calend 01'!E67-1))),'V06 Calend 01'!I67),0))+IF((174='V06 Calend 01'!D67),'V06 Calend 01'!J67,0))</f>
        <v>0</v>
      </c>
      <c r="GE67" s="2">
        <f>((IF((175='V06 Calend 01'!C67),('V06 Calend 01'!F67+'V06 Calend 01'!G67),0)+IF(AND(('V06 Calend 01'!E67&gt;0),(175&gt;'V06 Calend 01'!C67),(175&lt;'V06 Calend 01'!D67),(MOD((175-'V06 Calend 01'!C67),6)=0),(((175-'V06 Calend 01'!C67)/6)&lt;='V06 Calend 01'!E67)),IF((175=('V06 Calend 01'!C67+(6*'V06 Calend 01'!E67))),('V06 Calend 01'!H67-('V06 Calend 01'!I67*('V06 Calend 01'!E67-1))),'V06 Calend 01'!I67),0))+IF((175='V06 Calend 01'!D67),'V06 Calend 01'!J67,0))</f>
        <v>0</v>
      </c>
      <c r="GF67" s="2">
        <f>((IF((176='V06 Calend 01'!C67),('V06 Calend 01'!F67+'V06 Calend 01'!G67),0)+IF(AND(('V06 Calend 01'!E67&gt;0),(176&gt;'V06 Calend 01'!C67),(176&lt;'V06 Calend 01'!D67),(MOD((176-'V06 Calend 01'!C67),6)=0),(((176-'V06 Calend 01'!C67)/6)&lt;='V06 Calend 01'!E67)),IF((176=('V06 Calend 01'!C67+(6*'V06 Calend 01'!E67))),('V06 Calend 01'!H67-('V06 Calend 01'!I67*('V06 Calend 01'!E67-1))),'V06 Calend 01'!I67),0))+IF((176='V06 Calend 01'!D67),'V06 Calend 01'!J67,0))</f>
        <v>0</v>
      </c>
      <c r="GG67" s="2">
        <f>((IF((177='V06 Calend 01'!C67),('V06 Calend 01'!F67+'V06 Calend 01'!G67),0)+IF(AND(('V06 Calend 01'!E67&gt;0),(177&gt;'V06 Calend 01'!C67),(177&lt;'V06 Calend 01'!D67),(MOD((177-'V06 Calend 01'!C67),6)=0),(((177-'V06 Calend 01'!C67)/6)&lt;='V06 Calend 01'!E67)),IF((177=('V06 Calend 01'!C67+(6*'V06 Calend 01'!E67))),('V06 Calend 01'!H67-('V06 Calend 01'!I67*('V06 Calend 01'!E67-1))),'V06 Calend 01'!I67),0))+IF((177='V06 Calend 01'!D67),'V06 Calend 01'!J67,0))</f>
        <v>0</v>
      </c>
      <c r="GH67" s="2">
        <f>((IF((178='V06 Calend 01'!C67),('V06 Calend 01'!F67+'V06 Calend 01'!G67),0)+IF(AND(('V06 Calend 01'!E67&gt;0),(178&gt;'V06 Calend 01'!C67),(178&lt;'V06 Calend 01'!D67),(MOD((178-'V06 Calend 01'!C67),6)=0),(((178-'V06 Calend 01'!C67)/6)&lt;='V06 Calend 01'!E67)),IF((178=('V06 Calend 01'!C67+(6*'V06 Calend 01'!E67))),('V06 Calend 01'!H67-('V06 Calend 01'!I67*('V06 Calend 01'!E67-1))),'V06 Calend 01'!I67),0))+IF((178='V06 Calend 01'!D67),'V06 Calend 01'!J67,0))</f>
        <v>0</v>
      </c>
      <c r="GI67" s="2">
        <f>((IF((179='V06 Calend 01'!C67),('V06 Calend 01'!F67+'V06 Calend 01'!G67),0)+IF(AND(('V06 Calend 01'!E67&gt;0),(179&gt;'V06 Calend 01'!C67),(179&lt;'V06 Calend 01'!D67),(MOD((179-'V06 Calend 01'!C67),6)=0),(((179-'V06 Calend 01'!C67)/6)&lt;='V06 Calend 01'!E67)),IF((179=('V06 Calend 01'!C67+(6*'V06 Calend 01'!E67))),('V06 Calend 01'!H67-('V06 Calend 01'!I67*('V06 Calend 01'!E67-1))),'V06 Calend 01'!I67),0))+IF((179='V06 Calend 01'!D67),'V06 Calend 01'!J67,0))</f>
        <v>0</v>
      </c>
      <c r="GJ67" s="2">
        <f>((IF((180='V06 Calend 01'!C67),('V06 Calend 01'!F67+'V06 Calend 01'!G67),0)+IF(AND(('V06 Calend 01'!E67&gt;0),(180&gt;'V06 Calend 01'!C67),(180&lt;'V06 Calend 01'!D67),(MOD((180-'V06 Calend 01'!C67),6)=0),(((180-'V06 Calend 01'!C67)/6)&lt;='V06 Calend 01'!E67)),IF((180=('V06 Calend 01'!C67+(6*'V06 Calend 01'!E67))),('V06 Calend 01'!H67-('V06 Calend 01'!I67*('V06 Calend 01'!E67-1))),'V06 Calend 01'!I67),0))+IF((180='V06 Calend 01'!D67),'V06 Calend 01'!J67,0))</f>
        <v>0</v>
      </c>
    </row>
    <row r="68" spans="1:192">
      <c r="A68" s="3" t="str">
        <f>'V06 Unidades'!$A$68</f>
        <v>804</v>
      </c>
      <c r="B68" s="2">
        <f>'V06 Unidades'!$H$68</f>
        <v>378524.82</v>
      </c>
      <c r="C68" s="4">
        <f>('V06 Unidades'!$I$68+'V06 Controlos'!$B$37)</f>
        <v>16</v>
      </c>
      <c r="D68" s="4">
        <f>IF(('V06 Controlos'!$B$38&gt;0),MAX(('V06 Unidades'!$L$68+'V06 Controlos'!$B$37),(30+'V06 Controlos'!$B$38)),('V06 Unidades'!$L$68+'V06 Controlos'!$B$37))</f>
        <v>28</v>
      </c>
      <c r="E68" s="4">
        <f>MAX(0,INT(((('V06 Calend 01'!D68-'V06 Calend 01'!C68)-1)/6)))</f>
        <v>1</v>
      </c>
      <c r="F68" s="2">
        <f>ROUND(('V06 Calend 01'!B68*0.05),2)</f>
        <v>18926.24</v>
      </c>
      <c r="G68" s="2">
        <f>ROUND(('V06 Calend 01'!B68*0.2),2)</f>
        <v>75704.96</v>
      </c>
      <c r="H68" s="2">
        <f>ROUND(('V06 Calend 01'!B68*0.55),2)</f>
        <v>208188.65</v>
      </c>
      <c r="I68" s="2">
        <f>ROUND(('V06 Calend 01'!H68/MAX(1,'V06 Calend 01'!E68)),2)</f>
        <v>208188.65</v>
      </c>
      <c r="J68" s="2">
        <f>((('V06 Calend 01'!B68-'V06 Calend 01'!F68)-'V06 Calend 01'!G68)-'V06 Calend 01'!H68)</f>
        <v>75704.97</v>
      </c>
      <c r="K68" s="2">
        <f>('V06 Calend 01'!B68*0.025)</f>
        <v>9463.1205</v>
      </c>
      <c r="L68" t="s">
        <v>378</v>
      </c>
      <c r="M68" s="2">
        <f>((IF((1='V06 Calend 01'!C68),('V06 Calend 01'!F68+'V06 Calend 01'!G68),0)+IF(AND(('V06 Calend 01'!E68&gt;0),(1&gt;'V06 Calend 01'!C68),(1&lt;'V06 Calend 01'!D68),(MOD((1-'V06 Calend 01'!C68),6)=0),(((1-'V06 Calend 01'!C68)/6)&lt;='V06 Calend 01'!E68)),IF((1=('V06 Calend 01'!C68+(6*'V06 Calend 01'!E68))),('V06 Calend 01'!H68-('V06 Calend 01'!I68*('V06 Calend 01'!E68-1))),'V06 Calend 01'!I68),0))+IF((1='V06 Calend 01'!D68),'V06 Calend 01'!J68,0))</f>
        <v>0</v>
      </c>
      <c r="N68" s="2">
        <f>((IF((2='V06 Calend 01'!C68),('V06 Calend 01'!F68+'V06 Calend 01'!G68),0)+IF(AND(('V06 Calend 01'!E68&gt;0),(2&gt;'V06 Calend 01'!C68),(2&lt;'V06 Calend 01'!D68),(MOD((2-'V06 Calend 01'!C68),6)=0),(((2-'V06 Calend 01'!C68)/6)&lt;='V06 Calend 01'!E68)),IF((2=('V06 Calend 01'!C68+(6*'V06 Calend 01'!E68))),('V06 Calend 01'!H68-('V06 Calend 01'!I68*('V06 Calend 01'!E68-1))),'V06 Calend 01'!I68),0))+IF((2='V06 Calend 01'!D68),'V06 Calend 01'!J68,0))</f>
        <v>0</v>
      </c>
      <c r="O68" s="2">
        <f>((IF((3='V06 Calend 01'!C68),('V06 Calend 01'!F68+'V06 Calend 01'!G68),0)+IF(AND(('V06 Calend 01'!E68&gt;0),(3&gt;'V06 Calend 01'!C68),(3&lt;'V06 Calend 01'!D68),(MOD((3-'V06 Calend 01'!C68),6)=0),(((3-'V06 Calend 01'!C68)/6)&lt;='V06 Calend 01'!E68)),IF((3=('V06 Calend 01'!C68+(6*'V06 Calend 01'!E68))),('V06 Calend 01'!H68-('V06 Calend 01'!I68*('V06 Calend 01'!E68-1))),'V06 Calend 01'!I68),0))+IF((3='V06 Calend 01'!D68),'V06 Calend 01'!J68,0))</f>
        <v>0</v>
      </c>
      <c r="P68" s="2">
        <f>((IF((4='V06 Calend 01'!C68),('V06 Calend 01'!F68+'V06 Calend 01'!G68),0)+IF(AND(('V06 Calend 01'!E68&gt;0),(4&gt;'V06 Calend 01'!C68),(4&lt;'V06 Calend 01'!D68),(MOD((4-'V06 Calend 01'!C68),6)=0),(((4-'V06 Calend 01'!C68)/6)&lt;='V06 Calend 01'!E68)),IF((4=('V06 Calend 01'!C68+(6*'V06 Calend 01'!E68))),('V06 Calend 01'!H68-('V06 Calend 01'!I68*('V06 Calend 01'!E68-1))),'V06 Calend 01'!I68),0))+IF((4='V06 Calend 01'!D68),'V06 Calend 01'!J68,0))</f>
        <v>0</v>
      </c>
      <c r="Q68" s="2">
        <f>((IF((5='V06 Calend 01'!C68),('V06 Calend 01'!F68+'V06 Calend 01'!G68),0)+IF(AND(('V06 Calend 01'!E68&gt;0),(5&gt;'V06 Calend 01'!C68),(5&lt;'V06 Calend 01'!D68),(MOD((5-'V06 Calend 01'!C68),6)=0),(((5-'V06 Calend 01'!C68)/6)&lt;='V06 Calend 01'!E68)),IF((5=('V06 Calend 01'!C68+(6*'V06 Calend 01'!E68))),('V06 Calend 01'!H68-('V06 Calend 01'!I68*('V06 Calend 01'!E68-1))),'V06 Calend 01'!I68),0))+IF((5='V06 Calend 01'!D68),'V06 Calend 01'!J68,0))</f>
        <v>0</v>
      </c>
      <c r="R68" s="2">
        <f>((IF((6='V06 Calend 01'!C68),('V06 Calend 01'!F68+'V06 Calend 01'!G68),0)+IF(AND(('V06 Calend 01'!E68&gt;0),(6&gt;'V06 Calend 01'!C68),(6&lt;'V06 Calend 01'!D68),(MOD((6-'V06 Calend 01'!C68),6)=0),(((6-'V06 Calend 01'!C68)/6)&lt;='V06 Calend 01'!E68)),IF((6=('V06 Calend 01'!C68+(6*'V06 Calend 01'!E68))),('V06 Calend 01'!H68-('V06 Calend 01'!I68*('V06 Calend 01'!E68-1))),'V06 Calend 01'!I68),0))+IF((6='V06 Calend 01'!D68),'V06 Calend 01'!J68,0))</f>
        <v>0</v>
      </c>
      <c r="S68" s="2">
        <f>((IF((7='V06 Calend 01'!C68),('V06 Calend 01'!F68+'V06 Calend 01'!G68),0)+IF(AND(('V06 Calend 01'!E68&gt;0),(7&gt;'V06 Calend 01'!C68),(7&lt;'V06 Calend 01'!D68),(MOD((7-'V06 Calend 01'!C68),6)=0),(((7-'V06 Calend 01'!C68)/6)&lt;='V06 Calend 01'!E68)),IF((7=('V06 Calend 01'!C68+(6*'V06 Calend 01'!E68))),('V06 Calend 01'!H68-('V06 Calend 01'!I68*('V06 Calend 01'!E68-1))),'V06 Calend 01'!I68),0))+IF((7='V06 Calend 01'!D68),'V06 Calend 01'!J68,0))</f>
        <v>0</v>
      </c>
      <c r="T68" s="2">
        <f>((IF((8='V06 Calend 01'!C68),('V06 Calend 01'!F68+'V06 Calend 01'!G68),0)+IF(AND(('V06 Calend 01'!E68&gt;0),(8&gt;'V06 Calend 01'!C68),(8&lt;'V06 Calend 01'!D68),(MOD((8-'V06 Calend 01'!C68),6)=0),(((8-'V06 Calend 01'!C68)/6)&lt;='V06 Calend 01'!E68)),IF((8=('V06 Calend 01'!C68+(6*'V06 Calend 01'!E68))),('V06 Calend 01'!H68-('V06 Calend 01'!I68*('V06 Calend 01'!E68-1))),'V06 Calend 01'!I68),0))+IF((8='V06 Calend 01'!D68),'V06 Calend 01'!J68,0))</f>
        <v>0</v>
      </c>
      <c r="U68" s="2">
        <f>((IF((9='V06 Calend 01'!C68),('V06 Calend 01'!F68+'V06 Calend 01'!G68),0)+IF(AND(('V06 Calend 01'!E68&gt;0),(9&gt;'V06 Calend 01'!C68),(9&lt;'V06 Calend 01'!D68),(MOD((9-'V06 Calend 01'!C68),6)=0),(((9-'V06 Calend 01'!C68)/6)&lt;='V06 Calend 01'!E68)),IF((9=('V06 Calend 01'!C68+(6*'V06 Calend 01'!E68))),('V06 Calend 01'!H68-('V06 Calend 01'!I68*('V06 Calend 01'!E68-1))),'V06 Calend 01'!I68),0))+IF((9='V06 Calend 01'!D68),'V06 Calend 01'!J68,0))</f>
        <v>0</v>
      </c>
      <c r="V68" s="2">
        <f>((IF((10='V06 Calend 01'!C68),('V06 Calend 01'!F68+'V06 Calend 01'!G68),0)+IF(AND(('V06 Calend 01'!E68&gt;0),(10&gt;'V06 Calend 01'!C68),(10&lt;'V06 Calend 01'!D68),(MOD((10-'V06 Calend 01'!C68),6)=0),(((10-'V06 Calend 01'!C68)/6)&lt;='V06 Calend 01'!E68)),IF((10=('V06 Calend 01'!C68+(6*'V06 Calend 01'!E68))),('V06 Calend 01'!H68-('V06 Calend 01'!I68*('V06 Calend 01'!E68-1))),'V06 Calend 01'!I68),0))+IF((10='V06 Calend 01'!D68),'V06 Calend 01'!J68,0))</f>
        <v>0</v>
      </c>
      <c r="W68" s="2">
        <f>((IF((11='V06 Calend 01'!C68),('V06 Calend 01'!F68+'V06 Calend 01'!G68),0)+IF(AND(('V06 Calend 01'!E68&gt;0),(11&gt;'V06 Calend 01'!C68),(11&lt;'V06 Calend 01'!D68),(MOD((11-'V06 Calend 01'!C68),6)=0),(((11-'V06 Calend 01'!C68)/6)&lt;='V06 Calend 01'!E68)),IF((11=('V06 Calend 01'!C68+(6*'V06 Calend 01'!E68))),('V06 Calend 01'!H68-('V06 Calend 01'!I68*('V06 Calend 01'!E68-1))),'V06 Calend 01'!I68),0))+IF((11='V06 Calend 01'!D68),'V06 Calend 01'!J68,0))</f>
        <v>0</v>
      </c>
      <c r="X68" s="2">
        <f>((IF((12='V06 Calend 01'!C68),('V06 Calend 01'!F68+'V06 Calend 01'!G68),0)+IF(AND(('V06 Calend 01'!E68&gt;0),(12&gt;'V06 Calend 01'!C68),(12&lt;'V06 Calend 01'!D68),(MOD((12-'V06 Calend 01'!C68),6)=0),(((12-'V06 Calend 01'!C68)/6)&lt;='V06 Calend 01'!E68)),IF((12=('V06 Calend 01'!C68+(6*'V06 Calend 01'!E68))),('V06 Calend 01'!H68-('V06 Calend 01'!I68*('V06 Calend 01'!E68-1))),'V06 Calend 01'!I68),0))+IF((12='V06 Calend 01'!D68),'V06 Calend 01'!J68,0))</f>
        <v>0</v>
      </c>
      <c r="Y68" s="2">
        <f>((IF((13='V06 Calend 01'!C68),('V06 Calend 01'!F68+'V06 Calend 01'!G68),0)+IF(AND(('V06 Calend 01'!E68&gt;0),(13&gt;'V06 Calend 01'!C68),(13&lt;'V06 Calend 01'!D68),(MOD((13-'V06 Calend 01'!C68),6)=0),(((13-'V06 Calend 01'!C68)/6)&lt;='V06 Calend 01'!E68)),IF((13=('V06 Calend 01'!C68+(6*'V06 Calend 01'!E68))),('V06 Calend 01'!H68-('V06 Calend 01'!I68*('V06 Calend 01'!E68-1))),'V06 Calend 01'!I68),0))+IF((13='V06 Calend 01'!D68),'V06 Calend 01'!J68,0))</f>
        <v>0</v>
      </c>
      <c r="Z68" s="2">
        <f>((IF((14='V06 Calend 01'!C68),('V06 Calend 01'!F68+'V06 Calend 01'!G68),0)+IF(AND(('V06 Calend 01'!E68&gt;0),(14&gt;'V06 Calend 01'!C68),(14&lt;'V06 Calend 01'!D68),(MOD((14-'V06 Calend 01'!C68),6)=0),(((14-'V06 Calend 01'!C68)/6)&lt;='V06 Calend 01'!E68)),IF((14=('V06 Calend 01'!C68+(6*'V06 Calend 01'!E68))),('V06 Calend 01'!H68-('V06 Calend 01'!I68*('V06 Calend 01'!E68-1))),'V06 Calend 01'!I68),0))+IF((14='V06 Calend 01'!D68),'V06 Calend 01'!J68,0))</f>
        <v>0</v>
      </c>
      <c r="AA68" s="2">
        <f>((IF((15='V06 Calend 01'!C68),('V06 Calend 01'!F68+'V06 Calend 01'!G68),0)+IF(AND(('V06 Calend 01'!E68&gt;0),(15&gt;'V06 Calend 01'!C68),(15&lt;'V06 Calend 01'!D68),(MOD((15-'V06 Calend 01'!C68),6)=0),(((15-'V06 Calend 01'!C68)/6)&lt;='V06 Calend 01'!E68)),IF((15=('V06 Calend 01'!C68+(6*'V06 Calend 01'!E68))),('V06 Calend 01'!H68-('V06 Calend 01'!I68*('V06 Calend 01'!E68-1))),'V06 Calend 01'!I68),0))+IF((15='V06 Calend 01'!D68),'V06 Calend 01'!J68,0))</f>
        <v>0</v>
      </c>
      <c r="AB68" s="2">
        <f>((IF((16='V06 Calend 01'!C68),('V06 Calend 01'!F68+'V06 Calend 01'!G68),0)+IF(AND(('V06 Calend 01'!E68&gt;0),(16&gt;'V06 Calend 01'!C68),(16&lt;'V06 Calend 01'!D68),(MOD((16-'V06 Calend 01'!C68),6)=0),(((16-'V06 Calend 01'!C68)/6)&lt;='V06 Calend 01'!E68)),IF((16=('V06 Calend 01'!C68+(6*'V06 Calend 01'!E68))),('V06 Calend 01'!H68-('V06 Calend 01'!I68*('V06 Calend 01'!E68-1))),'V06 Calend 01'!I68),0))+IF((16='V06 Calend 01'!D68),'V06 Calend 01'!J68,0))</f>
        <v>94631.20000000001</v>
      </c>
      <c r="AC68" s="2">
        <f>((IF((17='V06 Calend 01'!C68),('V06 Calend 01'!F68+'V06 Calend 01'!G68),0)+IF(AND(('V06 Calend 01'!E68&gt;0),(17&gt;'V06 Calend 01'!C68),(17&lt;'V06 Calend 01'!D68),(MOD((17-'V06 Calend 01'!C68),6)=0),(((17-'V06 Calend 01'!C68)/6)&lt;='V06 Calend 01'!E68)),IF((17=('V06 Calend 01'!C68+(6*'V06 Calend 01'!E68))),('V06 Calend 01'!H68-('V06 Calend 01'!I68*('V06 Calend 01'!E68-1))),'V06 Calend 01'!I68),0))+IF((17='V06 Calend 01'!D68),'V06 Calend 01'!J68,0))</f>
        <v>0</v>
      </c>
      <c r="AD68" s="2">
        <f>((IF((18='V06 Calend 01'!C68),('V06 Calend 01'!F68+'V06 Calend 01'!G68),0)+IF(AND(('V06 Calend 01'!E68&gt;0),(18&gt;'V06 Calend 01'!C68),(18&lt;'V06 Calend 01'!D68),(MOD((18-'V06 Calend 01'!C68),6)=0),(((18-'V06 Calend 01'!C68)/6)&lt;='V06 Calend 01'!E68)),IF((18=('V06 Calend 01'!C68+(6*'V06 Calend 01'!E68))),('V06 Calend 01'!H68-('V06 Calend 01'!I68*('V06 Calend 01'!E68-1))),'V06 Calend 01'!I68),0))+IF((18='V06 Calend 01'!D68),'V06 Calend 01'!J68,0))</f>
        <v>0</v>
      </c>
      <c r="AE68" s="2">
        <f>((IF((19='V06 Calend 01'!C68),('V06 Calend 01'!F68+'V06 Calend 01'!G68),0)+IF(AND(('V06 Calend 01'!E68&gt;0),(19&gt;'V06 Calend 01'!C68),(19&lt;'V06 Calend 01'!D68),(MOD((19-'V06 Calend 01'!C68),6)=0),(((19-'V06 Calend 01'!C68)/6)&lt;='V06 Calend 01'!E68)),IF((19=('V06 Calend 01'!C68+(6*'V06 Calend 01'!E68))),('V06 Calend 01'!H68-('V06 Calend 01'!I68*('V06 Calend 01'!E68-1))),'V06 Calend 01'!I68),0))+IF((19='V06 Calend 01'!D68),'V06 Calend 01'!J68,0))</f>
        <v>0</v>
      </c>
      <c r="AF68" s="2">
        <f>((IF((20='V06 Calend 01'!C68),('V06 Calend 01'!F68+'V06 Calend 01'!G68),0)+IF(AND(('V06 Calend 01'!E68&gt;0),(20&gt;'V06 Calend 01'!C68),(20&lt;'V06 Calend 01'!D68),(MOD((20-'V06 Calend 01'!C68),6)=0),(((20-'V06 Calend 01'!C68)/6)&lt;='V06 Calend 01'!E68)),IF((20=('V06 Calend 01'!C68+(6*'V06 Calend 01'!E68))),('V06 Calend 01'!H68-('V06 Calend 01'!I68*('V06 Calend 01'!E68-1))),'V06 Calend 01'!I68),0))+IF((20='V06 Calend 01'!D68),'V06 Calend 01'!J68,0))</f>
        <v>0</v>
      </c>
      <c r="AG68" s="2">
        <f>((IF((21='V06 Calend 01'!C68),('V06 Calend 01'!F68+'V06 Calend 01'!G68),0)+IF(AND(('V06 Calend 01'!E68&gt;0),(21&gt;'V06 Calend 01'!C68),(21&lt;'V06 Calend 01'!D68),(MOD((21-'V06 Calend 01'!C68),6)=0),(((21-'V06 Calend 01'!C68)/6)&lt;='V06 Calend 01'!E68)),IF((21=('V06 Calend 01'!C68+(6*'V06 Calend 01'!E68))),('V06 Calend 01'!H68-('V06 Calend 01'!I68*('V06 Calend 01'!E68-1))),'V06 Calend 01'!I68),0))+IF((21='V06 Calend 01'!D68),'V06 Calend 01'!J68,0))</f>
        <v>0</v>
      </c>
      <c r="AH68" s="2">
        <f>((IF((22='V06 Calend 01'!C68),('V06 Calend 01'!F68+'V06 Calend 01'!G68),0)+IF(AND(('V06 Calend 01'!E68&gt;0),(22&gt;'V06 Calend 01'!C68),(22&lt;'V06 Calend 01'!D68),(MOD((22-'V06 Calend 01'!C68),6)=0),(((22-'V06 Calend 01'!C68)/6)&lt;='V06 Calend 01'!E68)),IF((22=('V06 Calend 01'!C68+(6*'V06 Calend 01'!E68))),('V06 Calend 01'!H68-('V06 Calend 01'!I68*('V06 Calend 01'!E68-1))),'V06 Calend 01'!I68),0))+IF((22='V06 Calend 01'!D68),'V06 Calend 01'!J68,0))</f>
        <v>208188.65</v>
      </c>
      <c r="AI68" s="2">
        <f>((IF((23='V06 Calend 01'!C68),('V06 Calend 01'!F68+'V06 Calend 01'!G68),0)+IF(AND(('V06 Calend 01'!E68&gt;0),(23&gt;'V06 Calend 01'!C68),(23&lt;'V06 Calend 01'!D68),(MOD((23-'V06 Calend 01'!C68),6)=0),(((23-'V06 Calend 01'!C68)/6)&lt;='V06 Calend 01'!E68)),IF((23=('V06 Calend 01'!C68+(6*'V06 Calend 01'!E68))),('V06 Calend 01'!H68-('V06 Calend 01'!I68*('V06 Calend 01'!E68-1))),'V06 Calend 01'!I68),0))+IF((23='V06 Calend 01'!D68),'V06 Calend 01'!J68,0))</f>
        <v>0</v>
      </c>
      <c r="AJ68" s="2">
        <f>((IF((24='V06 Calend 01'!C68),('V06 Calend 01'!F68+'V06 Calend 01'!G68),0)+IF(AND(('V06 Calend 01'!E68&gt;0),(24&gt;'V06 Calend 01'!C68),(24&lt;'V06 Calend 01'!D68),(MOD((24-'V06 Calend 01'!C68),6)=0),(((24-'V06 Calend 01'!C68)/6)&lt;='V06 Calend 01'!E68)),IF((24=('V06 Calend 01'!C68+(6*'V06 Calend 01'!E68))),('V06 Calend 01'!H68-('V06 Calend 01'!I68*('V06 Calend 01'!E68-1))),'V06 Calend 01'!I68),0))+IF((24='V06 Calend 01'!D68),'V06 Calend 01'!J68,0))</f>
        <v>0</v>
      </c>
      <c r="AK68" s="2">
        <f>((IF((25='V06 Calend 01'!C68),('V06 Calend 01'!F68+'V06 Calend 01'!G68),0)+IF(AND(('V06 Calend 01'!E68&gt;0),(25&gt;'V06 Calend 01'!C68),(25&lt;'V06 Calend 01'!D68),(MOD((25-'V06 Calend 01'!C68),6)=0),(((25-'V06 Calend 01'!C68)/6)&lt;='V06 Calend 01'!E68)),IF((25=('V06 Calend 01'!C68+(6*'V06 Calend 01'!E68))),('V06 Calend 01'!H68-('V06 Calend 01'!I68*('V06 Calend 01'!E68-1))),'V06 Calend 01'!I68),0))+IF((25='V06 Calend 01'!D68),'V06 Calend 01'!J68,0))</f>
        <v>0</v>
      </c>
      <c r="AL68" s="2">
        <f>((IF((26='V06 Calend 01'!C68),('V06 Calend 01'!F68+'V06 Calend 01'!G68),0)+IF(AND(('V06 Calend 01'!E68&gt;0),(26&gt;'V06 Calend 01'!C68),(26&lt;'V06 Calend 01'!D68),(MOD((26-'V06 Calend 01'!C68),6)=0),(((26-'V06 Calend 01'!C68)/6)&lt;='V06 Calend 01'!E68)),IF((26=('V06 Calend 01'!C68+(6*'V06 Calend 01'!E68))),('V06 Calend 01'!H68-('V06 Calend 01'!I68*('V06 Calend 01'!E68-1))),'V06 Calend 01'!I68),0))+IF((26='V06 Calend 01'!D68),'V06 Calend 01'!J68,0))</f>
        <v>0</v>
      </c>
      <c r="AM68" s="2">
        <f>((IF((27='V06 Calend 01'!C68),('V06 Calend 01'!F68+'V06 Calend 01'!G68),0)+IF(AND(('V06 Calend 01'!E68&gt;0),(27&gt;'V06 Calend 01'!C68),(27&lt;'V06 Calend 01'!D68),(MOD((27-'V06 Calend 01'!C68),6)=0),(((27-'V06 Calend 01'!C68)/6)&lt;='V06 Calend 01'!E68)),IF((27=('V06 Calend 01'!C68+(6*'V06 Calend 01'!E68))),('V06 Calend 01'!H68-('V06 Calend 01'!I68*('V06 Calend 01'!E68-1))),'V06 Calend 01'!I68),0))+IF((27='V06 Calend 01'!D68),'V06 Calend 01'!J68,0))</f>
        <v>0</v>
      </c>
      <c r="AN68" s="2">
        <f>((IF((28='V06 Calend 01'!C68),('V06 Calend 01'!F68+'V06 Calend 01'!G68),0)+IF(AND(('V06 Calend 01'!E68&gt;0),(28&gt;'V06 Calend 01'!C68),(28&lt;'V06 Calend 01'!D68),(MOD((28-'V06 Calend 01'!C68),6)=0),(((28-'V06 Calend 01'!C68)/6)&lt;='V06 Calend 01'!E68)),IF((28=('V06 Calend 01'!C68+(6*'V06 Calend 01'!E68))),('V06 Calend 01'!H68-('V06 Calend 01'!I68*('V06 Calend 01'!E68-1))),'V06 Calend 01'!I68),0))+IF((28='V06 Calend 01'!D68),'V06 Calend 01'!J68,0))</f>
        <v>75704.97</v>
      </c>
      <c r="AO68" s="2">
        <f>((IF((29='V06 Calend 01'!C68),('V06 Calend 01'!F68+'V06 Calend 01'!G68),0)+IF(AND(('V06 Calend 01'!E68&gt;0),(29&gt;'V06 Calend 01'!C68),(29&lt;'V06 Calend 01'!D68),(MOD((29-'V06 Calend 01'!C68),6)=0),(((29-'V06 Calend 01'!C68)/6)&lt;='V06 Calend 01'!E68)),IF((29=('V06 Calend 01'!C68+(6*'V06 Calend 01'!E68))),('V06 Calend 01'!H68-('V06 Calend 01'!I68*('V06 Calend 01'!E68-1))),'V06 Calend 01'!I68),0))+IF((29='V06 Calend 01'!D68),'V06 Calend 01'!J68,0))</f>
        <v>0</v>
      </c>
      <c r="AP68" s="2">
        <f>((IF((30='V06 Calend 01'!C68),('V06 Calend 01'!F68+'V06 Calend 01'!G68),0)+IF(AND(('V06 Calend 01'!E68&gt;0),(30&gt;'V06 Calend 01'!C68),(30&lt;'V06 Calend 01'!D68),(MOD((30-'V06 Calend 01'!C68),6)=0),(((30-'V06 Calend 01'!C68)/6)&lt;='V06 Calend 01'!E68)),IF((30=('V06 Calend 01'!C68+(6*'V06 Calend 01'!E68))),('V06 Calend 01'!H68-('V06 Calend 01'!I68*('V06 Calend 01'!E68-1))),'V06 Calend 01'!I68),0))+IF((30='V06 Calend 01'!D68),'V06 Calend 01'!J68,0))</f>
        <v>0</v>
      </c>
      <c r="AQ68" s="2">
        <f>((IF((31='V06 Calend 01'!C68),('V06 Calend 01'!F68+'V06 Calend 01'!G68),0)+IF(AND(('V06 Calend 01'!E68&gt;0),(31&gt;'V06 Calend 01'!C68),(31&lt;'V06 Calend 01'!D68),(MOD((31-'V06 Calend 01'!C68),6)=0),(((31-'V06 Calend 01'!C68)/6)&lt;='V06 Calend 01'!E68)),IF((31=('V06 Calend 01'!C68+(6*'V06 Calend 01'!E68))),('V06 Calend 01'!H68-('V06 Calend 01'!I68*('V06 Calend 01'!E68-1))),'V06 Calend 01'!I68),0))+IF((31='V06 Calend 01'!D68),'V06 Calend 01'!J68,0))</f>
        <v>0</v>
      </c>
      <c r="AR68" s="2">
        <f>((IF((32='V06 Calend 01'!C68),('V06 Calend 01'!F68+'V06 Calend 01'!G68),0)+IF(AND(('V06 Calend 01'!E68&gt;0),(32&gt;'V06 Calend 01'!C68),(32&lt;'V06 Calend 01'!D68),(MOD((32-'V06 Calend 01'!C68),6)=0),(((32-'V06 Calend 01'!C68)/6)&lt;='V06 Calend 01'!E68)),IF((32=('V06 Calend 01'!C68+(6*'V06 Calend 01'!E68))),('V06 Calend 01'!H68-('V06 Calend 01'!I68*('V06 Calend 01'!E68-1))),'V06 Calend 01'!I68),0))+IF((32='V06 Calend 01'!D68),'V06 Calend 01'!J68,0))</f>
        <v>0</v>
      </c>
      <c r="AS68" s="2">
        <f>((IF((33='V06 Calend 01'!C68),('V06 Calend 01'!F68+'V06 Calend 01'!G68),0)+IF(AND(('V06 Calend 01'!E68&gt;0),(33&gt;'V06 Calend 01'!C68),(33&lt;'V06 Calend 01'!D68),(MOD((33-'V06 Calend 01'!C68),6)=0),(((33-'V06 Calend 01'!C68)/6)&lt;='V06 Calend 01'!E68)),IF((33=('V06 Calend 01'!C68+(6*'V06 Calend 01'!E68))),('V06 Calend 01'!H68-('V06 Calend 01'!I68*('V06 Calend 01'!E68-1))),'V06 Calend 01'!I68),0))+IF((33='V06 Calend 01'!D68),'V06 Calend 01'!J68,0))</f>
        <v>0</v>
      </c>
      <c r="AT68" s="2">
        <f>((IF((34='V06 Calend 01'!C68),('V06 Calend 01'!F68+'V06 Calend 01'!G68),0)+IF(AND(('V06 Calend 01'!E68&gt;0),(34&gt;'V06 Calend 01'!C68),(34&lt;'V06 Calend 01'!D68),(MOD((34-'V06 Calend 01'!C68),6)=0),(((34-'V06 Calend 01'!C68)/6)&lt;='V06 Calend 01'!E68)),IF((34=('V06 Calend 01'!C68+(6*'V06 Calend 01'!E68))),('V06 Calend 01'!H68-('V06 Calend 01'!I68*('V06 Calend 01'!E68-1))),'V06 Calend 01'!I68),0))+IF((34='V06 Calend 01'!D68),'V06 Calend 01'!J68,0))</f>
        <v>0</v>
      </c>
      <c r="AU68" s="2">
        <f>((IF((35='V06 Calend 01'!C68),('V06 Calend 01'!F68+'V06 Calend 01'!G68),0)+IF(AND(('V06 Calend 01'!E68&gt;0),(35&gt;'V06 Calend 01'!C68),(35&lt;'V06 Calend 01'!D68),(MOD((35-'V06 Calend 01'!C68),6)=0),(((35-'V06 Calend 01'!C68)/6)&lt;='V06 Calend 01'!E68)),IF((35=('V06 Calend 01'!C68+(6*'V06 Calend 01'!E68))),('V06 Calend 01'!H68-('V06 Calend 01'!I68*('V06 Calend 01'!E68-1))),'V06 Calend 01'!I68),0))+IF((35='V06 Calend 01'!D68),'V06 Calend 01'!J68,0))</f>
        <v>0</v>
      </c>
      <c r="AV68" s="2">
        <f>((IF((36='V06 Calend 01'!C68),('V06 Calend 01'!F68+'V06 Calend 01'!G68),0)+IF(AND(('V06 Calend 01'!E68&gt;0),(36&gt;'V06 Calend 01'!C68),(36&lt;'V06 Calend 01'!D68),(MOD((36-'V06 Calend 01'!C68),6)=0),(((36-'V06 Calend 01'!C68)/6)&lt;='V06 Calend 01'!E68)),IF((36=('V06 Calend 01'!C68+(6*'V06 Calend 01'!E68))),('V06 Calend 01'!H68-('V06 Calend 01'!I68*('V06 Calend 01'!E68-1))),'V06 Calend 01'!I68),0))+IF((36='V06 Calend 01'!D68),'V06 Calend 01'!J68,0))</f>
        <v>0</v>
      </c>
      <c r="AW68" s="2">
        <f>((IF((37='V06 Calend 01'!C68),('V06 Calend 01'!F68+'V06 Calend 01'!G68),0)+IF(AND(('V06 Calend 01'!E68&gt;0),(37&gt;'V06 Calend 01'!C68),(37&lt;'V06 Calend 01'!D68),(MOD((37-'V06 Calend 01'!C68),6)=0),(((37-'V06 Calend 01'!C68)/6)&lt;='V06 Calend 01'!E68)),IF((37=('V06 Calend 01'!C68+(6*'V06 Calend 01'!E68))),('V06 Calend 01'!H68-('V06 Calend 01'!I68*('V06 Calend 01'!E68-1))),'V06 Calend 01'!I68),0))+IF((37='V06 Calend 01'!D68),'V06 Calend 01'!J68,0))</f>
        <v>0</v>
      </c>
      <c r="AX68" s="2">
        <f>((IF((38='V06 Calend 01'!C68),('V06 Calend 01'!F68+'V06 Calend 01'!G68),0)+IF(AND(('V06 Calend 01'!E68&gt;0),(38&gt;'V06 Calend 01'!C68),(38&lt;'V06 Calend 01'!D68),(MOD((38-'V06 Calend 01'!C68),6)=0),(((38-'V06 Calend 01'!C68)/6)&lt;='V06 Calend 01'!E68)),IF((38=('V06 Calend 01'!C68+(6*'V06 Calend 01'!E68))),('V06 Calend 01'!H68-('V06 Calend 01'!I68*('V06 Calend 01'!E68-1))),'V06 Calend 01'!I68),0))+IF((38='V06 Calend 01'!D68),'V06 Calend 01'!J68,0))</f>
        <v>0</v>
      </c>
      <c r="AY68" s="2">
        <f>((IF((39='V06 Calend 01'!C68),('V06 Calend 01'!F68+'V06 Calend 01'!G68),0)+IF(AND(('V06 Calend 01'!E68&gt;0),(39&gt;'V06 Calend 01'!C68),(39&lt;'V06 Calend 01'!D68),(MOD((39-'V06 Calend 01'!C68),6)=0),(((39-'V06 Calend 01'!C68)/6)&lt;='V06 Calend 01'!E68)),IF((39=('V06 Calend 01'!C68+(6*'V06 Calend 01'!E68))),('V06 Calend 01'!H68-('V06 Calend 01'!I68*('V06 Calend 01'!E68-1))),'V06 Calend 01'!I68),0))+IF((39='V06 Calend 01'!D68),'V06 Calend 01'!J68,0))</f>
        <v>0</v>
      </c>
      <c r="AZ68" s="2">
        <f>((IF((40='V06 Calend 01'!C68),('V06 Calend 01'!F68+'V06 Calend 01'!G68),0)+IF(AND(('V06 Calend 01'!E68&gt;0),(40&gt;'V06 Calend 01'!C68),(40&lt;'V06 Calend 01'!D68),(MOD((40-'V06 Calend 01'!C68),6)=0),(((40-'V06 Calend 01'!C68)/6)&lt;='V06 Calend 01'!E68)),IF((40=('V06 Calend 01'!C68+(6*'V06 Calend 01'!E68))),('V06 Calend 01'!H68-('V06 Calend 01'!I68*('V06 Calend 01'!E68-1))),'V06 Calend 01'!I68),0))+IF((40='V06 Calend 01'!D68),'V06 Calend 01'!J68,0))</f>
        <v>0</v>
      </c>
      <c r="BA68" s="2">
        <f>((IF((41='V06 Calend 01'!C68),('V06 Calend 01'!F68+'V06 Calend 01'!G68),0)+IF(AND(('V06 Calend 01'!E68&gt;0),(41&gt;'V06 Calend 01'!C68),(41&lt;'V06 Calend 01'!D68),(MOD((41-'V06 Calend 01'!C68),6)=0),(((41-'V06 Calend 01'!C68)/6)&lt;='V06 Calend 01'!E68)),IF((41=('V06 Calend 01'!C68+(6*'V06 Calend 01'!E68))),('V06 Calend 01'!H68-('V06 Calend 01'!I68*('V06 Calend 01'!E68-1))),'V06 Calend 01'!I68),0))+IF((41='V06 Calend 01'!D68),'V06 Calend 01'!J68,0))</f>
        <v>0</v>
      </c>
      <c r="BB68" s="2">
        <f>((IF((42='V06 Calend 01'!C68),('V06 Calend 01'!F68+'V06 Calend 01'!G68),0)+IF(AND(('V06 Calend 01'!E68&gt;0),(42&gt;'V06 Calend 01'!C68),(42&lt;'V06 Calend 01'!D68),(MOD((42-'V06 Calend 01'!C68),6)=0),(((42-'V06 Calend 01'!C68)/6)&lt;='V06 Calend 01'!E68)),IF((42=('V06 Calend 01'!C68+(6*'V06 Calend 01'!E68))),('V06 Calend 01'!H68-('V06 Calend 01'!I68*('V06 Calend 01'!E68-1))),'V06 Calend 01'!I68),0))+IF((42='V06 Calend 01'!D68),'V06 Calend 01'!J68,0))</f>
        <v>0</v>
      </c>
      <c r="BC68" s="2">
        <f>((IF((43='V06 Calend 01'!C68),('V06 Calend 01'!F68+'V06 Calend 01'!G68),0)+IF(AND(('V06 Calend 01'!E68&gt;0),(43&gt;'V06 Calend 01'!C68),(43&lt;'V06 Calend 01'!D68),(MOD((43-'V06 Calend 01'!C68),6)=0),(((43-'V06 Calend 01'!C68)/6)&lt;='V06 Calend 01'!E68)),IF((43=('V06 Calend 01'!C68+(6*'V06 Calend 01'!E68))),('V06 Calend 01'!H68-('V06 Calend 01'!I68*('V06 Calend 01'!E68-1))),'V06 Calend 01'!I68),0))+IF((43='V06 Calend 01'!D68),'V06 Calend 01'!J68,0))</f>
        <v>0</v>
      </c>
      <c r="BD68" s="2">
        <f>((IF((44='V06 Calend 01'!C68),('V06 Calend 01'!F68+'V06 Calend 01'!G68),0)+IF(AND(('V06 Calend 01'!E68&gt;0),(44&gt;'V06 Calend 01'!C68),(44&lt;'V06 Calend 01'!D68),(MOD((44-'V06 Calend 01'!C68),6)=0),(((44-'V06 Calend 01'!C68)/6)&lt;='V06 Calend 01'!E68)),IF((44=('V06 Calend 01'!C68+(6*'V06 Calend 01'!E68))),('V06 Calend 01'!H68-('V06 Calend 01'!I68*('V06 Calend 01'!E68-1))),'V06 Calend 01'!I68),0))+IF((44='V06 Calend 01'!D68),'V06 Calend 01'!J68,0))</f>
        <v>0</v>
      </c>
      <c r="BE68" s="2">
        <f>((IF((45='V06 Calend 01'!C68),('V06 Calend 01'!F68+'V06 Calend 01'!G68),0)+IF(AND(('V06 Calend 01'!E68&gt;0),(45&gt;'V06 Calend 01'!C68),(45&lt;'V06 Calend 01'!D68),(MOD((45-'V06 Calend 01'!C68),6)=0),(((45-'V06 Calend 01'!C68)/6)&lt;='V06 Calend 01'!E68)),IF((45=('V06 Calend 01'!C68+(6*'V06 Calend 01'!E68))),('V06 Calend 01'!H68-('V06 Calend 01'!I68*('V06 Calend 01'!E68-1))),'V06 Calend 01'!I68),0))+IF((45='V06 Calend 01'!D68),'V06 Calend 01'!J68,0))</f>
        <v>0</v>
      </c>
      <c r="BF68" s="2">
        <f>((IF((46='V06 Calend 01'!C68),('V06 Calend 01'!F68+'V06 Calend 01'!G68),0)+IF(AND(('V06 Calend 01'!E68&gt;0),(46&gt;'V06 Calend 01'!C68),(46&lt;'V06 Calend 01'!D68),(MOD((46-'V06 Calend 01'!C68),6)=0),(((46-'V06 Calend 01'!C68)/6)&lt;='V06 Calend 01'!E68)),IF((46=('V06 Calend 01'!C68+(6*'V06 Calend 01'!E68))),('V06 Calend 01'!H68-('V06 Calend 01'!I68*('V06 Calend 01'!E68-1))),'V06 Calend 01'!I68),0))+IF((46='V06 Calend 01'!D68),'V06 Calend 01'!J68,0))</f>
        <v>0</v>
      </c>
      <c r="BG68" s="2">
        <f>((IF((47='V06 Calend 01'!C68),('V06 Calend 01'!F68+'V06 Calend 01'!G68),0)+IF(AND(('V06 Calend 01'!E68&gt;0),(47&gt;'V06 Calend 01'!C68),(47&lt;'V06 Calend 01'!D68),(MOD((47-'V06 Calend 01'!C68),6)=0),(((47-'V06 Calend 01'!C68)/6)&lt;='V06 Calend 01'!E68)),IF((47=('V06 Calend 01'!C68+(6*'V06 Calend 01'!E68))),('V06 Calend 01'!H68-('V06 Calend 01'!I68*('V06 Calend 01'!E68-1))),'V06 Calend 01'!I68),0))+IF((47='V06 Calend 01'!D68),'V06 Calend 01'!J68,0))</f>
        <v>0</v>
      </c>
      <c r="BH68" s="2">
        <f>((IF((48='V06 Calend 01'!C68),('V06 Calend 01'!F68+'V06 Calend 01'!G68),0)+IF(AND(('V06 Calend 01'!E68&gt;0),(48&gt;'V06 Calend 01'!C68),(48&lt;'V06 Calend 01'!D68),(MOD((48-'V06 Calend 01'!C68),6)=0),(((48-'V06 Calend 01'!C68)/6)&lt;='V06 Calend 01'!E68)),IF((48=('V06 Calend 01'!C68+(6*'V06 Calend 01'!E68))),('V06 Calend 01'!H68-('V06 Calend 01'!I68*('V06 Calend 01'!E68-1))),'V06 Calend 01'!I68),0))+IF((48='V06 Calend 01'!D68),'V06 Calend 01'!J68,0))</f>
        <v>0</v>
      </c>
      <c r="BI68" s="2">
        <f>((IF((49='V06 Calend 01'!C68),('V06 Calend 01'!F68+'V06 Calend 01'!G68),0)+IF(AND(('V06 Calend 01'!E68&gt;0),(49&gt;'V06 Calend 01'!C68),(49&lt;'V06 Calend 01'!D68),(MOD((49-'V06 Calend 01'!C68),6)=0),(((49-'V06 Calend 01'!C68)/6)&lt;='V06 Calend 01'!E68)),IF((49=('V06 Calend 01'!C68+(6*'V06 Calend 01'!E68))),('V06 Calend 01'!H68-('V06 Calend 01'!I68*('V06 Calend 01'!E68-1))),'V06 Calend 01'!I68),0))+IF((49='V06 Calend 01'!D68),'V06 Calend 01'!J68,0))</f>
        <v>0</v>
      </c>
      <c r="BJ68" s="2">
        <f>((IF((50='V06 Calend 01'!C68),('V06 Calend 01'!F68+'V06 Calend 01'!G68),0)+IF(AND(('V06 Calend 01'!E68&gt;0),(50&gt;'V06 Calend 01'!C68),(50&lt;'V06 Calend 01'!D68),(MOD((50-'V06 Calend 01'!C68),6)=0),(((50-'V06 Calend 01'!C68)/6)&lt;='V06 Calend 01'!E68)),IF((50=('V06 Calend 01'!C68+(6*'V06 Calend 01'!E68))),('V06 Calend 01'!H68-('V06 Calend 01'!I68*('V06 Calend 01'!E68-1))),'V06 Calend 01'!I68),0))+IF((50='V06 Calend 01'!D68),'V06 Calend 01'!J68,0))</f>
        <v>0</v>
      </c>
      <c r="BK68" s="2">
        <f>((IF((51='V06 Calend 01'!C68),('V06 Calend 01'!F68+'V06 Calend 01'!G68),0)+IF(AND(('V06 Calend 01'!E68&gt;0),(51&gt;'V06 Calend 01'!C68),(51&lt;'V06 Calend 01'!D68),(MOD((51-'V06 Calend 01'!C68),6)=0),(((51-'V06 Calend 01'!C68)/6)&lt;='V06 Calend 01'!E68)),IF((51=('V06 Calend 01'!C68+(6*'V06 Calend 01'!E68))),('V06 Calend 01'!H68-('V06 Calend 01'!I68*('V06 Calend 01'!E68-1))),'V06 Calend 01'!I68),0))+IF((51='V06 Calend 01'!D68),'V06 Calend 01'!J68,0))</f>
        <v>0</v>
      </c>
      <c r="BL68" s="2">
        <f>((IF((52='V06 Calend 01'!C68),('V06 Calend 01'!F68+'V06 Calend 01'!G68),0)+IF(AND(('V06 Calend 01'!E68&gt;0),(52&gt;'V06 Calend 01'!C68),(52&lt;'V06 Calend 01'!D68),(MOD((52-'V06 Calend 01'!C68),6)=0),(((52-'V06 Calend 01'!C68)/6)&lt;='V06 Calend 01'!E68)),IF((52=('V06 Calend 01'!C68+(6*'V06 Calend 01'!E68))),('V06 Calend 01'!H68-('V06 Calend 01'!I68*('V06 Calend 01'!E68-1))),'V06 Calend 01'!I68),0))+IF((52='V06 Calend 01'!D68),'V06 Calend 01'!J68,0))</f>
        <v>0</v>
      </c>
      <c r="BM68" s="2">
        <f>((IF((53='V06 Calend 01'!C68),('V06 Calend 01'!F68+'V06 Calend 01'!G68),0)+IF(AND(('V06 Calend 01'!E68&gt;0),(53&gt;'V06 Calend 01'!C68),(53&lt;'V06 Calend 01'!D68),(MOD((53-'V06 Calend 01'!C68),6)=0),(((53-'V06 Calend 01'!C68)/6)&lt;='V06 Calend 01'!E68)),IF((53=('V06 Calend 01'!C68+(6*'V06 Calend 01'!E68))),('V06 Calend 01'!H68-('V06 Calend 01'!I68*('V06 Calend 01'!E68-1))),'V06 Calend 01'!I68),0))+IF((53='V06 Calend 01'!D68),'V06 Calend 01'!J68,0))</f>
        <v>0</v>
      </c>
      <c r="BN68" s="2">
        <f>((IF((54='V06 Calend 01'!C68),('V06 Calend 01'!F68+'V06 Calend 01'!G68),0)+IF(AND(('V06 Calend 01'!E68&gt;0),(54&gt;'V06 Calend 01'!C68),(54&lt;'V06 Calend 01'!D68),(MOD((54-'V06 Calend 01'!C68),6)=0),(((54-'V06 Calend 01'!C68)/6)&lt;='V06 Calend 01'!E68)),IF((54=('V06 Calend 01'!C68+(6*'V06 Calend 01'!E68))),('V06 Calend 01'!H68-('V06 Calend 01'!I68*('V06 Calend 01'!E68-1))),'V06 Calend 01'!I68),0))+IF((54='V06 Calend 01'!D68),'V06 Calend 01'!J68,0))</f>
        <v>0</v>
      </c>
      <c r="BO68" s="2">
        <f>((IF((55='V06 Calend 01'!C68),('V06 Calend 01'!F68+'V06 Calend 01'!G68),0)+IF(AND(('V06 Calend 01'!E68&gt;0),(55&gt;'V06 Calend 01'!C68),(55&lt;'V06 Calend 01'!D68),(MOD((55-'V06 Calend 01'!C68),6)=0),(((55-'V06 Calend 01'!C68)/6)&lt;='V06 Calend 01'!E68)),IF((55=('V06 Calend 01'!C68+(6*'V06 Calend 01'!E68))),('V06 Calend 01'!H68-('V06 Calend 01'!I68*('V06 Calend 01'!E68-1))),'V06 Calend 01'!I68),0))+IF((55='V06 Calend 01'!D68),'V06 Calend 01'!J68,0))</f>
        <v>0</v>
      </c>
      <c r="BP68" s="2">
        <f>((IF((56='V06 Calend 01'!C68),('V06 Calend 01'!F68+'V06 Calend 01'!G68),0)+IF(AND(('V06 Calend 01'!E68&gt;0),(56&gt;'V06 Calend 01'!C68),(56&lt;'V06 Calend 01'!D68),(MOD((56-'V06 Calend 01'!C68),6)=0),(((56-'V06 Calend 01'!C68)/6)&lt;='V06 Calend 01'!E68)),IF((56=('V06 Calend 01'!C68+(6*'V06 Calend 01'!E68))),('V06 Calend 01'!H68-('V06 Calend 01'!I68*('V06 Calend 01'!E68-1))),'V06 Calend 01'!I68),0))+IF((56='V06 Calend 01'!D68),'V06 Calend 01'!J68,0))</f>
        <v>0</v>
      </c>
      <c r="BQ68" s="2">
        <f>((IF((57='V06 Calend 01'!C68),('V06 Calend 01'!F68+'V06 Calend 01'!G68),0)+IF(AND(('V06 Calend 01'!E68&gt;0),(57&gt;'V06 Calend 01'!C68),(57&lt;'V06 Calend 01'!D68),(MOD((57-'V06 Calend 01'!C68),6)=0),(((57-'V06 Calend 01'!C68)/6)&lt;='V06 Calend 01'!E68)),IF((57=('V06 Calend 01'!C68+(6*'V06 Calend 01'!E68))),('V06 Calend 01'!H68-('V06 Calend 01'!I68*('V06 Calend 01'!E68-1))),'V06 Calend 01'!I68),0))+IF((57='V06 Calend 01'!D68),'V06 Calend 01'!J68,0))</f>
        <v>0</v>
      </c>
      <c r="BR68" s="2">
        <f>((IF((58='V06 Calend 01'!C68),('V06 Calend 01'!F68+'V06 Calend 01'!G68),0)+IF(AND(('V06 Calend 01'!E68&gt;0),(58&gt;'V06 Calend 01'!C68),(58&lt;'V06 Calend 01'!D68),(MOD((58-'V06 Calend 01'!C68),6)=0),(((58-'V06 Calend 01'!C68)/6)&lt;='V06 Calend 01'!E68)),IF((58=('V06 Calend 01'!C68+(6*'V06 Calend 01'!E68))),('V06 Calend 01'!H68-('V06 Calend 01'!I68*('V06 Calend 01'!E68-1))),'V06 Calend 01'!I68),0))+IF((58='V06 Calend 01'!D68),'V06 Calend 01'!J68,0))</f>
        <v>0</v>
      </c>
      <c r="BS68" s="2">
        <f>((IF((59='V06 Calend 01'!C68),('V06 Calend 01'!F68+'V06 Calend 01'!G68),0)+IF(AND(('V06 Calend 01'!E68&gt;0),(59&gt;'V06 Calend 01'!C68),(59&lt;'V06 Calend 01'!D68),(MOD((59-'V06 Calend 01'!C68),6)=0),(((59-'V06 Calend 01'!C68)/6)&lt;='V06 Calend 01'!E68)),IF((59=('V06 Calend 01'!C68+(6*'V06 Calend 01'!E68))),('V06 Calend 01'!H68-('V06 Calend 01'!I68*('V06 Calend 01'!E68-1))),'V06 Calend 01'!I68),0))+IF((59='V06 Calend 01'!D68),'V06 Calend 01'!J68,0))</f>
        <v>0</v>
      </c>
      <c r="BT68" s="2">
        <f>((IF((60='V06 Calend 01'!C68),('V06 Calend 01'!F68+'V06 Calend 01'!G68),0)+IF(AND(('V06 Calend 01'!E68&gt;0),(60&gt;'V06 Calend 01'!C68),(60&lt;'V06 Calend 01'!D68),(MOD((60-'V06 Calend 01'!C68),6)=0),(((60-'V06 Calend 01'!C68)/6)&lt;='V06 Calend 01'!E68)),IF((60=('V06 Calend 01'!C68+(6*'V06 Calend 01'!E68))),('V06 Calend 01'!H68-('V06 Calend 01'!I68*('V06 Calend 01'!E68-1))),'V06 Calend 01'!I68),0))+IF((60='V06 Calend 01'!D68),'V06 Calend 01'!J68,0))</f>
        <v>0</v>
      </c>
      <c r="BU68" s="2">
        <f>((IF((61='V06 Calend 01'!C68),('V06 Calend 01'!F68+'V06 Calend 01'!G68),0)+IF(AND(('V06 Calend 01'!E68&gt;0),(61&gt;'V06 Calend 01'!C68),(61&lt;'V06 Calend 01'!D68),(MOD((61-'V06 Calend 01'!C68),6)=0),(((61-'V06 Calend 01'!C68)/6)&lt;='V06 Calend 01'!E68)),IF((61=('V06 Calend 01'!C68+(6*'V06 Calend 01'!E68))),('V06 Calend 01'!H68-('V06 Calend 01'!I68*('V06 Calend 01'!E68-1))),'V06 Calend 01'!I68),0))+IF((61='V06 Calend 01'!D68),'V06 Calend 01'!J68,0))</f>
        <v>0</v>
      </c>
      <c r="BV68" s="2">
        <f>((IF((62='V06 Calend 01'!C68),('V06 Calend 01'!F68+'V06 Calend 01'!G68),0)+IF(AND(('V06 Calend 01'!E68&gt;0),(62&gt;'V06 Calend 01'!C68),(62&lt;'V06 Calend 01'!D68),(MOD((62-'V06 Calend 01'!C68),6)=0),(((62-'V06 Calend 01'!C68)/6)&lt;='V06 Calend 01'!E68)),IF((62=('V06 Calend 01'!C68+(6*'V06 Calend 01'!E68))),('V06 Calend 01'!H68-('V06 Calend 01'!I68*('V06 Calend 01'!E68-1))),'V06 Calend 01'!I68),0))+IF((62='V06 Calend 01'!D68),'V06 Calend 01'!J68,0))</f>
        <v>0</v>
      </c>
      <c r="BW68" s="2">
        <f>((IF((63='V06 Calend 01'!C68),('V06 Calend 01'!F68+'V06 Calend 01'!G68),0)+IF(AND(('V06 Calend 01'!E68&gt;0),(63&gt;'V06 Calend 01'!C68),(63&lt;'V06 Calend 01'!D68),(MOD((63-'V06 Calend 01'!C68),6)=0),(((63-'V06 Calend 01'!C68)/6)&lt;='V06 Calend 01'!E68)),IF((63=('V06 Calend 01'!C68+(6*'V06 Calend 01'!E68))),('V06 Calend 01'!H68-('V06 Calend 01'!I68*('V06 Calend 01'!E68-1))),'V06 Calend 01'!I68),0))+IF((63='V06 Calend 01'!D68),'V06 Calend 01'!J68,0))</f>
        <v>0</v>
      </c>
      <c r="BX68" s="2">
        <f>((IF((64='V06 Calend 01'!C68),('V06 Calend 01'!F68+'V06 Calend 01'!G68),0)+IF(AND(('V06 Calend 01'!E68&gt;0),(64&gt;'V06 Calend 01'!C68),(64&lt;'V06 Calend 01'!D68),(MOD((64-'V06 Calend 01'!C68),6)=0),(((64-'V06 Calend 01'!C68)/6)&lt;='V06 Calend 01'!E68)),IF((64=('V06 Calend 01'!C68+(6*'V06 Calend 01'!E68))),('V06 Calend 01'!H68-('V06 Calend 01'!I68*('V06 Calend 01'!E68-1))),'V06 Calend 01'!I68),0))+IF((64='V06 Calend 01'!D68),'V06 Calend 01'!J68,0))</f>
        <v>0</v>
      </c>
      <c r="BY68" s="2">
        <f>((IF((65='V06 Calend 01'!C68),('V06 Calend 01'!F68+'V06 Calend 01'!G68),0)+IF(AND(('V06 Calend 01'!E68&gt;0),(65&gt;'V06 Calend 01'!C68),(65&lt;'V06 Calend 01'!D68),(MOD((65-'V06 Calend 01'!C68),6)=0),(((65-'V06 Calend 01'!C68)/6)&lt;='V06 Calend 01'!E68)),IF((65=('V06 Calend 01'!C68+(6*'V06 Calend 01'!E68))),('V06 Calend 01'!H68-('V06 Calend 01'!I68*('V06 Calend 01'!E68-1))),'V06 Calend 01'!I68),0))+IF((65='V06 Calend 01'!D68),'V06 Calend 01'!J68,0))</f>
        <v>0</v>
      </c>
      <c r="BZ68" s="2">
        <f>((IF((66='V06 Calend 01'!C68),('V06 Calend 01'!F68+'V06 Calend 01'!G68),0)+IF(AND(('V06 Calend 01'!E68&gt;0),(66&gt;'V06 Calend 01'!C68),(66&lt;'V06 Calend 01'!D68),(MOD((66-'V06 Calend 01'!C68),6)=0),(((66-'V06 Calend 01'!C68)/6)&lt;='V06 Calend 01'!E68)),IF((66=('V06 Calend 01'!C68+(6*'V06 Calend 01'!E68))),('V06 Calend 01'!H68-('V06 Calend 01'!I68*('V06 Calend 01'!E68-1))),'V06 Calend 01'!I68),0))+IF((66='V06 Calend 01'!D68),'V06 Calend 01'!J68,0))</f>
        <v>0</v>
      </c>
      <c r="CA68" s="2">
        <f>((IF((67='V06 Calend 01'!C68),('V06 Calend 01'!F68+'V06 Calend 01'!G68),0)+IF(AND(('V06 Calend 01'!E68&gt;0),(67&gt;'V06 Calend 01'!C68),(67&lt;'V06 Calend 01'!D68),(MOD((67-'V06 Calend 01'!C68),6)=0),(((67-'V06 Calend 01'!C68)/6)&lt;='V06 Calend 01'!E68)),IF((67=('V06 Calend 01'!C68+(6*'V06 Calend 01'!E68))),('V06 Calend 01'!H68-('V06 Calend 01'!I68*('V06 Calend 01'!E68-1))),'V06 Calend 01'!I68),0))+IF((67='V06 Calend 01'!D68),'V06 Calend 01'!J68,0))</f>
        <v>0</v>
      </c>
      <c r="CB68" s="2">
        <f>((IF((68='V06 Calend 01'!C68),('V06 Calend 01'!F68+'V06 Calend 01'!G68),0)+IF(AND(('V06 Calend 01'!E68&gt;0),(68&gt;'V06 Calend 01'!C68),(68&lt;'V06 Calend 01'!D68),(MOD((68-'V06 Calend 01'!C68),6)=0),(((68-'V06 Calend 01'!C68)/6)&lt;='V06 Calend 01'!E68)),IF((68=('V06 Calend 01'!C68+(6*'V06 Calend 01'!E68))),('V06 Calend 01'!H68-('V06 Calend 01'!I68*('V06 Calend 01'!E68-1))),'V06 Calend 01'!I68),0))+IF((68='V06 Calend 01'!D68),'V06 Calend 01'!J68,0))</f>
        <v>0</v>
      </c>
      <c r="CC68" s="2">
        <f>((IF((69='V06 Calend 01'!C68),('V06 Calend 01'!F68+'V06 Calend 01'!G68),0)+IF(AND(('V06 Calend 01'!E68&gt;0),(69&gt;'V06 Calend 01'!C68),(69&lt;'V06 Calend 01'!D68),(MOD((69-'V06 Calend 01'!C68),6)=0),(((69-'V06 Calend 01'!C68)/6)&lt;='V06 Calend 01'!E68)),IF((69=('V06 Calend 01'!C68+(6*'V06 Calend 01'!E68))),('V06 Calend 01'!H68-('V06 Calend 01'!I68*('V06 Calend 01'!E68-1))),'V06 Calend 01'!I68),0))+IF((69='V06 Calend 01'!D68),'V06 Calend 01'!J68,0))</f>
        <v>0</v>
      </c>
      <c r="CD68" s="2">
        <f>((IF((70='V06 Calend 01'!C68),('V06 Calend 01'!F68+'V06 Calend 01'!G68),0)+IF(AND(('V06 Calend 01'!E68&gt;0),(70&gt;'V06 Calend 01'!C68),(70&lt;'V06 Calend 01'!D68),(MOD((70-'V06 Calend 01'!C68),6)=0),(((70-'V06 Calend 01'!C68)/6)&lt;='V06 Calend 01'!E68)),IF((70=('V06 Calend 01'!C68+(6*'V06 Calend 01'!E68))),('V06 Calend 01'!H68-('V06 Calend 01'!I68*('V06 Calend 01'!E68-1))),'V06 Calend 01'!I68),0))+IF((70='V06 Calend 01'!D68),'V06 Calend 01'!J68,0))</f>
        <v>0</v>
      </c>
      <c r="CE68" s="2">
        <f>((IF((71='V06 Calend 01'!C68),('V06 Calend 01'!F68+'V06 Calend 01'!G68),0)+IF(AND(('V06 Calend 01'!E68&gt;0),(71&gt;'V06 Calend 01'!C68),(71&lt;'V06 Calend 01'!D68),(MOD((71-'V06 Calend 01'!C68),6)=0),(((71-'V06 Calend 01'!C68)/6)&lt;='V06 Calend 01'!E68)),IF((71=('V06 Calend 01'!C68+(6*'V06 Calend 01'!E68))),('V06 Calend 01'!H68-('V06 Calend 01'!I68*('V06 Calend 01'!E68-1))),'V06 Calend 01'!I68),0))+IF((71='V06 Calend 01'!D68),'V06 Calend 01'!J68,0))</f>
        <v>0</v>
      </c>
      <c r="CF68" s="2">
        <f>((IF((72='V06 Calend 01'!C68),('V06 Calend 01'!F68+'V06 Calend 01'!G68),0)+IF(AND(('V06 Calend 01'!E68&gt;0),(72&gt;'V06 Calend 01'!C68),(72&lt;'V06 Calend 01'!D68),(MOD((72-'V06 Calend 01'!C68),6)=0),(((72-'V06 Calend 01'!C68)/6)&lt;='V06 Calend 01'!E68)),IF((72=('V06 Calend 01'!C68+(6*'V06 Calend 01'!E68))),('V06 Calend 01'!H68-('V06 Calend 01'!I68*('V06 Calend 01'!E68-1))),'V06 Calend 01'!I68),0))+IF((72='V06 Calend 01'!D68),'V06 Calend 01'!J68,0))</f>
        <v>0</v>
      </c>
      <c r="CG68" s="2">
        <f>((IF((73='V06 Calend 01'!C68),('V06 Calend 01'!F68+'V06 Calend 01'!G68),0)+IF(AND(('V06 Calend 01'!E68&gt;0),(73&gt;'V06 Calend 01'!C68),(73&lt;'V06 Calend 01'!D68),(MOD((73-'V06 Calend 01'!C68),6)=0),(((73-'V06 Calend 01'!C68)/6)&lt;='V06 Calend 01'!E68)),IF((73=('V06 Calend 01'!C68+(6*'V06 Calend 01'!E68))),('V06 Calend 01'!H68-('V06 Calend 01'!I68*('V06 Calend 01'!E68-1))),'V06 Calend 01'!I68),0))+IF((73='V06 Calend 01'!D68),'V06 Calend 01'!J68,0))</f>
        <v>0</v>
      </c>
      <c r="CH68" s="2">
        <f>((IF((74='V06 Calend 01'!C68),('V06 Calend 01'!F68+'V06 Calend 01'!G68),0)+IF(AND(('V06 Calend 01'!E68&gt;0),(74&gt;'V06 Calend 01'!C68),(74&lt;'V06 Calend 01'!D68),(MOD((74-'V06 Calend 01'!C68),6)=0),(((74-'V06 Calend 01'!C68)/6)&lt;='V06 Calend 01'!E68)),IF((74=('V06 Calend 01'!C68+(6*'V06 Calend 01'!E68))),('V06 Calend 01'!H68-('V06 Calend 01'!I68*('V06 Calend 01'!E68-1))),'V06 Calend 01'!I68),0))+IF((74='V06 Calend 01'!D68),'V06 Calend 01'!J68,0))</f>
        <v>0</v>
      </c>
      <c r="CI68" s="2">
        <f>((IF((75='V06 Calend 01'!C68),('V06 Calend 01'!F68+'V06 Calend 01'!G68),0)+IF(AND(('V06 Calend 01'!E68&gt;0),(75&gt;'V06 Calend 01'!C68),(75&lt;'V06 Calend 01'!D68),(MOD((75-'V06 Calend 01'!C68),6)=0),(((75-'V06 Calend 01'!C68)/6)&lt;='V06 Calend 01'!E68)),IF((75=('V06 Calend 01'!C68+(6*'V06 Calend 01'!E68))),('V06 Calend 01'!H68-('V06 Calend 01'!I68*('V06 Calend 01'!E68-1))),'V06 Calend 01'!I68),0))+IF((75='V06 Calend 01'!D68),'V06 Calend 01'!J68,0))</f>
        <v>0</v>
      </c>
      <c r="CJ68" s="2">
        <f>((IF((76='V06 Calend 01'!C68),('V06 Calend 01'!F68+'V06 Calend 01'!G68),0)+IF(AND(('V06 Calend 01'!E68&gt;0),(76&gt;'V06 Calend 01'!C68),(76&lt;'V06 Calend 01'!D68),(MOD((76-'V06 Calend 01'!C68),6)=0),(((76-'V06 Calend 01'!C68)/6)&lt;='V06 Calend 01'!E68)),IF((76=('V06 Calend 01'!C68+(6*'V06 Calend 01'!E68))),('V06 Calend 01'!H68-('V06 Calend 01'!I68*('V06 Calend 01'!E68-1))),'V06 Calend 01'!I68),0))+IF((76='V06 Calend 01'!D68),'V06 Calend 01'!J68,0))</f>
        <v>0</v>
      </c>
      <c r="CK68" s="2">
        <f>((IF((77='V06 Calend 01'!C68),('V06 Calend 01'!F68+'V06 Calend 01'!G68),0)+IF(AND(('V06 Calend 01'!E68&gt;0),(77&gt;'V06 Calend 01'!C68),(77&lt;'V06 Calend 01'!D68),(MOD((77-'V06 Calend 01'!C68),6)=0),(((77-'V06 Calend 01'!C68)/6)&lt;='V06 Calend 01'!E68)),IF((77=('V06 Calend 01'!C68+(6*'V06 Calend 01'!E68))),('V06 Calend 01'!H68-('V06 Calend 01'!I68*('V06 Calend 01'!E68-1))),'V06 Calend 01'!I68),0))+IF((77='V06 Calend 01'!D68),'V06 Calend 01'!J68,0))</f>
        <v>0</v>
      </c>
      <c r="CL68" s="2">
        <f>((IF((78='V06 Calend 01'!C68),('V06 Calend 01'!F68+'V06 Calend 01'!G68),0)+IF(AND(('V06 Calend 01'!E68&gt;0),(78&gt;'V06 Calend 01'!C68),(78&lt;'V06 Calend 01'!D68),(MOD((78-'V06 Calend 01'!C68),6)=0),(((78-'V06 Calend 01'!C68)/6)&lt;='V06 Calend 01'!E68)),IF((78=('V06 Calend 01'!C68+(6*'V06 Calend 01'!E68))),('V06 Calend 01'!H68-('V06 Calend 01'!I68*('V06 Calend 01'!E68-1))),'V06 Calend 01'!I68),0))+IF((78='V06 Calend 01'!D68),'V06 Calend 01'!J68,0))</f>
        <v>0</v>
      </c>
      <c r="CM68" s="2">
        <f>((IF((79='V06 Calend 01'!C68),('V06 Calend 01'!F68+'V06 Calend 01'!G68),0)+IF(AND(('V06 Calend 01'!E68&gt;0),(79&gt;'V06 Calend 01'!C68),(79&lt;'V06 Calend 01'!D68),(MOD((79-'V06 Calend 01'!C68),6)=0),(((79-'V06 Calend 01'!C68)/6)&lt;='V06 Calend 01'!E68)),IF((79=('V06 Calend 01'!C68+(6*'V06 Calend 01'!E68))),('V06 Calend 01'!H68-('V06 Calend 01'!I68*('V06 Calend 01'!E68-1))),'V06 Calend 01'!I68),0))+IF((79='V06 Calend 01'!D68),'V06 Calend 01'!J68,0))</f>
        <v>0</v>
      </c>
      <c r="CN68" s="2">
        <f>((IF((80='V06 Calend 01'!C68),('V06 Calend 01'!F68+'V06 Calend 01'!G68),0)+IF(AND(('V06 Calend 01'!E68&gt;0),(80&gt;'V06 Calend 01'!C68),(80&lt;'V06 Calend 01'!D68),(MOD((80-'V06 Calend 01'!C68),6)=0),(((80-'V06 Calend 01'!C68)/6)&lt;='V06 Calend 01'!E68)),IF((80=('V06 Calend 01'!C68+(6*'V06 Calend 01'!E68))),('V06 Calend 01'!H68-('V06 Calend 01'!I68*('V06 Calend 01'!E68-1))),'V06 Calend 01'!I68),0))+IF((80='V06 Calend 01'!D68),'V06 Calend 01'!J68,0))</f>
        <v>0</v>
      </c>
      <c r="CO68" s="2">
        <f>((IF((81='V06 Calend 01'!C68),('V06 Calend 01'!F68+'V06 Calend 01'!G68),0)+IF(AND(('V06 Calend 01'!E68&gt;0),(81&gt;'V06 Calend 01'!C68),(81&lt;'V06 Calend 01'!D68),(MOD((81-'V06 Calend 01'!C68),6)=0),(((81-'V06 Calend 01'!C68)/6)&lt;='V06 Calend 01'!E68)),IF((81=('V06 Calend 01'!C68+(6*'V06 Calend 01'!E68))),('V06 Calend 01'!H68-('V06 Calend 01'!I68*('V06 Calend 01'!E68-1))),'V06 Calend 01'!I68),0))+IF((81='V06 Calend 01'!D68),'V06 Calend 01'!J68,0))</f>
        <v>0</v>
      </c>
      <c r="CP68" s="2">
        <f>((IF((82='V06 Calend 01'!C68),('V06 Calend 01'!F68+'V06 Calend 01'!G68),0)+IF(AND(('V06 Calend 01'!E68&gt;0),(82&gt;'V06 Calend 01'!C68),(82&lt;'V06 Calend 01'!D68),(MOD((82-'V06 Calend 01'!C68),6)=0),(((82-'V06 Calend 01'!C68)/6)&lt;='V06 Calend 01'!E68)),IF((82=('V06 Calend 01'!C68+(6*'V06 Calend 01'!E68))),('V06 Calend 01'!H68-('V06 Calend 01'!I68*('V06 Calend 01'!E68-1))),'V06 Calend 01'!I68),0))+IF((82='V06 Calend 01'!D68),'V06 Calend 01'!J68,0))</f>
        <v>0</v>
      </c>
      <c r="CQ68" s="2">
        <f>((IF((83='V06 Calend 01'!C68),('V06 Calend 01'!F68+'V06 Calend 01'!G68),0)+IF(AND(('V06 Calend 01'!E68&gt;0),(83&gt;'V06 Calend 01'!C68),(83&lt;'V06 Calend 01'!D68),(MOD((83-'V06 Calend 01'!C68),6)=0),(((83-'V06 Calend 01'!C68)/6)&lt;='V06 Calend 01'!E68)),IF((83=('V06 Calend 01'!C68+(6*'V06 Calend 01'!E68))),('V06 Calend 01'!H68-('V06 Calend 01'!I68*('V06 Calend 01'!E68-1))),'V06 Calend 01'!I68),0))+IF((83='V06 Calend 01'!D68),'V06 Calend 01'!J68,0))</f>
        <v>0</v>
      </c>
      <c r="CR68" s="2">
        <f>((IF((84='V06 Calend 01'!C68),('V06 Calend 01'!F68+'V06 Calend 01'!G68),0)+IF(AND(('V06 Calend 01'!E68&gt;0),(84&gt;'V06 Calend 01'!C68),(84&lt;'V06 Calend 01'!D68),(MOD((84-'V06 Calend 01'!C68),6)=0),(((84-'V06 Calend 01'!C68)/6)&lt;='V06 Calend 01'!E68)),IF((84=('V06 Calend 01'!C68+(6*'V06 Calend 01'!E68))),('V06 Calend 01'!H68-('V06 Calend 01'!I68*('V06 Calend 01'!E68-1))),'V06 Calend 01'!I68),0))+IF((84='V06 Calend 01'!D68),'V06 Calend 01'!J68,0))</f>
        <v>0</v>
      </c>
      <c r="CS68" s="2">
        <f>((IF((85='V06 Calend 01'!C68),('V06 Calend 01'!F68+'V06 Calend 01'!G68),0)+IF(AND(('V06 Calend 01'!E68&gt;0),(85&gt;'V06 Calend 01'!C68),(85&lt;'V06 Calend 01'!D68),(MOD((85-'V06 Calend 01'!C68),6)=0),(((85-'V06 Calend 01'!C68)/6)&lt;='V06 Calend 01'!E68)),IF((85=('V06 Calend 01'!C68+(6*'V06 Calend 01'!E68))),('V06 Calend 01'!H68-('V06 Calend 01'!I68*('V06 Calend 01'!E68-1))),'V06 Calend 01'!I68),0))+IF((85='V06 Calend 01'!D68),'V06 Calend 01'!J68,0))</f>
        <v>0</v>
      </c>
      <c r="CT68" s="2">
        <f>((IF((86='V06 Calend 01'!C68),('V06 Calend 01'!F68+'V06 Calend 01'!G68),0)+IF(AND(('V06 Calend 01'!E68&gt;0),(86&gt;'V06 Calend 01'!C68),(86&lt;'V06 Calend 01'!D68),(MOD((86-'V06 Calend 01'!C68),6)=0),(((86-'V06 Calend 01'!C68)/6)&lt;='V06 Calend 01'!E68)),IF((86=('V06 Calend 01'!C68+(6*'V06 Calend 01'!E68))),('V06 Calend 01'!H68-('V06 Calend 01'!I68*('V06 Calend 01'!E68-1))),'V06 Calend 01'!I68),0))+IF((86='V06 Calend 01'!D68),'V06 Calend 01'!J68,0))</f>
        <v>0</v>
      </c>
      <c r="CU68" s="2">
        <f>((IF((87='V06 Calend 01'!C68),('V06 Calend 01'!F68+'V06 Calend 01'!G68),0)+IF(AND(('V06 Calend 01'!E68&gt;0),(87&gt;'V06 Calend 01'!C68),(87&lt;'V06 Calend 01'!D68),(MOD((87-'V06 Calend 01'!C68),6)=0),(((87-'V06 Calend 01'!C68)/6)&lt;='V06 Calend 01'!E68)),IF((87=('V06 Calend 01'!C68+(6*'V06 Calend 01'!E68))),('V06 Calend 01'!H68-('V06 Calend 01'!I68*('V06 Calend 01'!E68-1))),'V06 Calend 01'!I68),0))+IF((87='V06 Calend 01'!D68),'V06 Calend 01'!J68,0))</f>
        <v>0</v>
      </c>
      <c r="CV68" s="2">
        <f>((IF((88='V06 Calend 01'!C68),('V06 Calend 01'!F68+'V06 Calend 01'!G68),0)+IF(AND(('V06 Calend 01'!E68&gt;0),(88&gt;'V06 Calend 01'!C68),(88&lt;'V06 Calend 01'!D68),(MOD((88-'V06 Calend 01'!C68),6)=0),(((88-'V06 Calend 01'!C68)/6)&lt;='V06 Calend 01'!E68)),IF((88=('V06 Calend 01'!C68+(6*'V06 Calend 01'!E68))),('V06 Calend 01'!H68-('V06 Calend 01'!I68*('V06 Calend 01'!E68-1))),'V06 Calend 01'!I68),0))+IF((88='V06 Calend 01'!D68),'V06 Calend 01'!J68,0))</f>
        <v>0</v>
      </c>
      <c r="CW68" s="2">
        <f>((IF((89='V06 Calend 01'!C68),('V06 Calend 01'!F68+'V06 Calend 01'!G68),0)+IF(AND(('V06 Calend 01'!E68&gt;0),(89&gt;'V06 Calend 01'!C68),(89&lt;'V06 Calend 01'!D68),(MOD((89-'V06 Calend 01'!C68),6)=0),(((89-'V06 Calend 01'!C68)/6)&lt;='V06 Calend 01'!E68)),IF((89=('V06 Calend 01'!C68+(6*'V06 Calend 01'!E68))),('V06 Calend 01'!H68-('V06 Calend 01'!I68*('V06 Calend 01'!E68-1))),'V06 Calend 01'!I68),0))+IF((89='V06 Calend 01'!D68),'V06 Calend 01'!J68,0))</f>
        <v>0</v>
      </c>
      <c r="CX68" s="2">
        <f>((IF((90='V06 Calend 01'!C68),('V06 Calend 01'!F68+'V06 Calend 01'!G68),0)+IF(AND(('V06 Calend 01'!E68&gt;0),(90&gt;'V06 Calend 01'!C68),(90&lt;'V06 Calend 01'!D68),(MOD((90-'V06 Calend 01'!C68),6)=0),(((90-'V06 Calend 01'!C68)/6)&lt;='V06 Calend 01'!E68)),IF((90=('V06 Calend 01'!C68+(6*'V06 Calend 01'!E68))),('V06 Calend 01'!H68-('V06 Calend 01'!I68*('V06 Calend 01'!E68-1))),'V06 Calend 01'!I68),0))+IF((90='V06 Calend 01'!D68),'V06 Calend 01'!J68,0))</f>
        <v>0</v>
      </c>
      <c r="CY68" s="2">
        <f>((IF((91='V06 Calend 01'!C68),('V06 Calend 01'!F68+'V06 Calend 01'!G68),0)+IF(AND(('V06 Calend 01'!E68&gt;0),(91&gt;'V06 Calend 01'!C68),(91&lt;'V06 Calend 01'!D68),(MOD((91-'V06 Calend 01'!C68),6)=0),(((91-'V06 Calend 01'!C68)/6)&lt;='V06 Calend 01'!E68)),IF((91=('V06 Calend 01'!C68+(6*'V06 Calend 01'!E68))),('V06 Calend 01'!H68-('V06 Calend 01'!I68*('V06 Calend 01'!E68-1))),'V06 Calend 01'!I68),0))+IF((91='V06 Calend 01'!D68),'V06 Calend 01'!J68,0))</f>
        <v>0</v>
      </c>
      <c r="CZ68" s="2">
        <f>((IF((92='V06 Calend 01'!C68),('V06 Calend 01'!F68+'V06 Calend 01'!G68),0)+IF(AND(('V06 Calend 01'!E68&gt;0),(92&gt;'V06 Calend 01'!C68),(92&lt;'V06 Calend 01'!D68),(MOD((92-'V06 Calend 01'!C68),6)=0),(((92-'V06 Calend 01'!C68)/6)&lt;='V06 Calend 01'!E68)),IF((92=('V06 Calend 01'!C68+(6*'V06 Calend 01'!E68))),('V06 Calend 01'!H68-('V06 Calend 01'!I68*('V06 Calend 01'!E68-1))),'V06 Calend 01'!I68),0))+IF((92='V06 Calend 01'!D68),'V06 Calend 01'!J68,0))</f>
        <v>0</v>
      </c>
      <c r="DA68" s="2">
        <f>((IF((93='V06 Calend 01'!C68),('V06 Calend 01'!F68+'V06 Calend 01'!G68),0)+IF(AND(('V06 Calend 01'!E68&gt;0),(93&gt;'V06 Calend 01'!C68),(93&lt;'V06 Calend 01'!D68),(MOD((93-'V06 Calend 01'!C68),6)=0),(((93-'V06 Calend 01'!C68)/6)&lt;='V06 Calend 01'!E68)),IF((93=('V06 Calend 01'!C68+(6*'V06 Calend 01'!E68))),('V06 Calend 01'!H68-('V06 Calend 01'!I68*('V06 Calend 01'!E68-1))),'V06 Calend 01'!I68),0))+IF((93='V06 Calend 01'!D68),'V06 Calend 01'!J68,0))</f>
        <v>0</v>
      </c>
      <c r="DB68" s="2">
        <f>((IF((94='V06 Calend 01'!C68),('V06 Calend 01'!F68+'V06 Calend 01'!G68),0)+IF(AND(('V06 Calend 01'!E68&gt;0),(94&gt;'V06 Calend 01'!C68),(94&lt;'V06 Calend 01'!D68),(MOD((94-'V06 Calend 01'!C68),6)=0),(((94-'V06 Calend 01'!C68)/6)&lt;='V06 Calend 01'!E68)),IF((94=('V06 Calend 01'!C68+(6*'V06 Calend 01'!E68))),('V06 Calend 01'!H68-('V06 Calend 01'!I68*('V06 Calend 01'!E68-1))),'V06 Calend 01'!I68),0))+IF((94='V06 Calend 01'!D68),'V06 Calend 01'!J68,0))</f>
        <v>0</v>
      </c>
      <c r="DC68" s="2">
        <f>((IF((95='V06 Calend 01'!C68),('V06 Calend 01'!F68+'V06 Calend 01'!G68),0)+IF(AND(('V06 Calend 01'!E68&gt;0),(95&gt;'V06 Calend 01'!C68),(95&lt;'V06 Calend 01'!D68),(MOD((95-'V06 Calend 01'!C68),6)=0),(((95-'V06 Calend 01'!C68)/6)&lt;='V06 Calend 01'!E68)),IF((95=('V06 Calend 01'!C68+(6*'V06 Calend 01'!E68))),('V06 Calend 01'!H68-('V06 Calend 01'!I68*('V06 Calend 01'!E68-1))),'V06 Calend 01'!I68),0))+IF((95='V06 Calend 01'!D68),'V06 Calend 01'!J68,0))</f>
        <v>0</v>
      </c>
      <c r="DD68" s="2">
        <f>((IF((96='V06 Calend 01'!C68),('V06 Calend 01'!F68+'V06 Calend 01'!G68),0)+IF(AND(('V06 Calend 01'!E68&gt;0),(96&gt;'V06 Calend 01'!C68),(96&lt;'V06 Calend 01'!D68),(MOD((96-'V06 Calend 01'!C68),6)=0),(((96-'V06 Calend 01'!C68)/6)&lt;='V06 Calend 01'!E68)),IF((96=('V06 Calend 01'!C68+(6*'V06 Calend 01'!E68))),('V06 Calend 01'!H68-('V06 Calend 01'!I68*('V06 Calend 01'!E68-1))),'V06 Calend 01'!I68),0))+IF((96='V06 Calend 01'!D68),'V06 Calend 01'!J68,0))</f>
        <v>0</v>
      </c>
      <c r="DE68" s="2">
        <f>((IF((97='V06 Calend 01'!C68),('V06 Calend 01'!F68+'V06 Calend 01'!G68),0)+IF(AND(('V06 Calend 01'!E68&gt;0),(97&gt;'V06 Calend 01'!C68),(97&lt;'V06 Calend 01'!D68),(MOD((97-'V06 Calend 01'!C68),6)=0),(((97-'V06 Calend 01'!C68)/6)&lt;='V06 Calend 01'!E68)),IF((97=('V06 Calend 01'!C68+(6*'V06 Calend 01'!E68))),('V06 Calend 01'!H68-('V06 Calend 01'!I68*('V06 Calend 01'!E68-1))),'V06 Calend 01'!I68),0))+IF((97='V06 Calend 01'!D68),'V06 Calend 01'!J68,0))</f>
        <v>0</v>
      </c>
      <c r="DF68" s="2">
        <f>((IF((98='V06 Calend 01'!C68),('V06 Calend 01'!F68+'V06 Calend 01'!G68),0)+IF(AND(('V06 Calend 01'!E68&gt;0),(98&gt;'V06 Calend 01'!C68),(98&lt;'V06 Calend 01'!D68),(MOD((98-'V06 Calend 01'!C68),6)=0),(((98-'V06 Calend 01'!C68)/6)&lt;='V06 Calend 01'!E68)),IF((98=('V06 Calend 01'!C68+(6*'V06 Calend 01'!E68))),('V06 Calend 01'!H68-('V06 Calend 01'!I68*('V06 Calend 01'!E68-1))),'V06 Calend 01'!I68),0))+IF((98='V06 Calend 01'!D68),'V06 Calend 01'!J68,0))</f>
        <v>0</v>
      </c>
      <c r="DG68" s="2">
        <f>((IF((99='V06 Calend 01'!C68),('V06 Calend 01'!F68+'V06 Calend 01'!G68),0)+IF(AND(('V06 Calend 01'!E68&gt;0),(99&gt;'V06 Calend 01'!C68),(99&lt;'V06 Calend 01'!D68),(MOD((99-'V06 Calend 01'!C68),6)=0),(((99-'V06 Calend 01'!C68)/6)&lt;='V06 Calend 01'!E68)),IF((99=('V06 Calend 01'!C68+(6*'V06 Calend 01'!E68))),('V06 Calend 01'!H68-('V06 Calend 01'!I68*('V06 Calend 01'!E68-1))),'V06 Calend 01'!I68),0))+IF((99='V06 Calend 01'!D68),'V06 Calend 01'!J68,0))</f>
        <v>0</v>
      </c>
      <c r="DH68" s="2">
        <f>((IF((100='V06 Calend 01'!C68),('V06 Calend 01'!F68+'V06 Calend 01'!G68),0)+IF(AND(('V06 Calend 01'!E68&gt;0),(100&gt;'V06 Calend 01'!C68),(100&lt;'V06 Calend 01'!D68),(MOD((100-'V06 Calend 01'!C68),6)=0),(((100-'V06 Calend 01'!C68)/6)&lt;='V06 Calend 01'!E68)),IF((100=('V06 Calend 01'!C68+(6*'V06 Calend 01'!E68))),('V06 Calend 01'!H68-('V06 Calend 01'!I68*('V06 Calend 01'!E68-1))),'V06 Calend 01'!I68),0))+IF((100='V06 Calend 01'!D68),'V06 Calend 01'!J68,0))</f>
        <v>0</v>
      </c>
      <c r="DI68" s="2">
        <f>((IF((101='V06 Calend 01'!C68),('V06 Calend 01'!F68+'V06 Calend 01'!G68),0)+IF(AND(('V06 Calend 01'!E68&gt;0),(101&gt;'V06 Calend 01'!C68),(101&lt;'V06 Calend 01'!D68),(MOD((101-'V06 Calend 01'!C68),6)=0),(((101-'V06 Calend 01'!C68)/6)&lt;='V06 Calend 01'!E68)),IF((101=('V06 Calend 01'!C68+(6*'V06 Calend 01'!E68))),('V06 Calend 01'!H68-('V06 Calend 01'!I68*('V06 Calend 01'!E68-1))),'V06 Calend 01'!I68),0))+IF((101='V06 Calend 01'!D68),'V06 Calend 01'!J68,0))</f>
        <v>0</v>
      </c>
      <c r="DJ68" s="2">
        <f>((IF((102='V06 Calend 01'!C68),('V06 Calend 01'!F68+'V06 Calend 01'!G68),0)+IF(AND(('V06 Calend 01'!E68&gt;0),(102&gt;'V06 Calend 01'!C68),(102&lt;'V06 Calend 01'!D68),(MOD((102-'V06 Calend 01'!C68),6)=0),(((102-'V06 Calend 01'!C68)/6)&lt;='V06 Calend 01'!E68)),IF((102=('V06 Calend 01'!C68+(6*'V06 Calend 01'!E68))),('V06 Calend 01'!H68-('V06 Calend 01'!I68*('V06 Calend 01'!E68-1))),'V06 Calend 01'!I68),0))+IF((102='V06 Calend 01'!D68),'V06 Calend 01'!J68,0))</f>
        <v>0</v>
      </c>
      <c r="DK68" s="2">
        <f>((IF((103='V06 Calend 01'!C68),('V06 Calend 01'!F68+'V06 Calend 01'!G68),0)+IF(AND(('V06 Calend 01'!E68&gt;0),(103&gt;'V06 Calend 01'!C68),(103&lt;'V06 Calend 01'!D68),(MOD((103-'V06 Calend 01'!C68),6)=0),(((103-'V06 Calend 01'!C68)/6)&lt;='V06 Calend 01'!E68)),IF((103=('V06 Calend 01'!C68+(6*'V06 Calend 01'!E68))),('V06 Calend 01'!H68-('V06 Calend 01'!I68*('V06 Calend 01'!E68-1))),'V06 Calend 01'!I68),0))+IF((103='V06 Calend 01'!D68),'V06 Calend 01'!J68,0))</f>
        <v>0</v>
      </c>
      <c r="DL68" s="2">
        <f>((IF((104='V06 Calend 01'!C68),('V06 Calend 01'!F68+'V06 Calend 01'!G68),0)+IF(AND(('V06 Calend 01'!E68&gt;0),(104&gt;'V06 Calend 01'!C68),(104&lt;'V06 Calend 01'!D68),(MOD((104-'V06 Calend 01'!C68),6)=0),(((104-'V06 Calend 01'!C68)/6)&lt;='V06 Calend 01'!E68)),IF((104=('V06 Calend 01'!C68+(6*'V06 Calend 01'!E68))),('V06 Calend 01'!H68-('V06 Calend 01'!I68*('V06 Calend 01'!E68-1))),'V06 Calend 01'!I68),0))+IF((104='V06 Calend 01'!D68),'V06 Calend 01'!J68,0))</f>
        <v>0</v>
      </c>
      <c r="DM68" s="2">
        <f>((IF((105='V06 Calend 01'!C68),('V06 Calend 01'!F68+'V06 Calend 01'!G68),0)+IF(AND(('V06 Calend 01'!E68&gt;0),(105&gt;'V06 Calend 01'!C68),(105&lt;'V06 Calend 01'!D68),(MOD((105-'V06 Calend 01'!C68),6)=0),(((105-'V06 Calend 01'!C68)/6)&lt;='V06 Calend 01'!E68)),IF((105=('V06 Calend 01'!C68+(6*'V06 Calend 01'!E68))),('V06 Calend 01'!H68-('V06 Calend 01'!I68*('V06 Calend 01'!E68-1))),'V06 Calend 01'!I68),0))+IF((105='V06 Calend 01'!D68),'V06 Calend 01'!J68,0))</f>
        <v>0</v>
      </c>
      <c r="DN68" s="2">
        <f>((IF((106='V06 Calend 01'!C68),('V06 Calend 01'!F68+'V06 Calend 01'!G68),0)+IF(AND(('V06 Calend 01'!E68&gt;0),(106&gt;'V06 Calend 01'!C68),(106&lt;'V06 Calend 01'!D68),(MOD((106-'V06 Calend 01'!C68),6)=0),(((106-'V06 Calend 01'!C68)/6)&lt;='V06 Calend 01'!E68)),IF((106=('V06 Calend 01'!C68+(6*'V06 Calend 01'!E68))),('V06 Calend 01'!H68-('V06 Calend 01'!I68*('V06 Calend 01'!E68-1))),'V06 Calend 01'!I68),0))+IF((106='V06 Calend 01'!D68),'V06 Calend 01'!J68,0))</f>
        <v>0</v>
      </c>
      <c r="DO68" s="2">
        <f>((IF((107='V06 Calend 01'!C68),('V06 Calend 01'!F68+'V06 Calend 01'!G68),0)+IF(AND(('V06 Calend 01'!E68&gt;0),(107&gt;'V06 Calend 01'!C68),(107&lt;'V06 Calend 01'!D68),(MOD((107-'V06 Calend 01'!C68),6)=0),(((107-'V06 Calend 01'!C68)/6)&lt;='V06 Calend 01'!E68)),IF((107=('V06 Calend 01'!C68+(6*'V06 Calend 01'!E68))),('V06 Calend 01'!H68-('V06 Calend 01'!I68*('V06 Calend 01'!E68-1))),'V06 Calend 01'!I68),0))+IF((107='V06 Calend 01'!D68),'V06 Calend 01'!J68,0))</f>
        <v>0</v>
      </c>
      <c r="DP68" s="2">
        <f>((IF((108='V06 Calend 01'!C68),('V06 Calend 01'!F68+'V06 Calend 01'!G68),0)+IF(AND(('V06 Calend 01'!E68&gt;0),(108&gt;'V06 Calend 01'!C68),(108&lt;'V06 Calend 01'!D68),(MOD((108-'V06 Calend 01'!C68),6)=0),(((108-'V06 Calend 01'!C68)/6)&lt;='V06 Calend 01'!E68)),IF((108=('V06 Calend 01'!C68+(6*'V06 Calend 01'!E68))),('V06 Calend 01'!H68-('V06 Calend 01'!I68*('V06 Calend 01'!E68-1))),'V06 Calend 01'!I68),0))+IF((108='V06 Calend 01'!D68),'V06 Calend 01'!J68,0))</f>
        <v>0</v>
      </c>
      <c r="DQ68" s="2">
        <f>((IF((109='V06 Calend 01'!C68),('V06 Calend 01'!F68+'V06 Calend 01'!G68),0)+IF(AND(('V06 Calend 01'!E68&gt;0),(109&gt;'V06 Calend 01'!C68),(109&lt;'V06 Calend 01'!D68),(MOD((109-'V06 Calend 01'!C68),6)=0),(((109-'V06 Calend 01'!C68)/6)&lt;='V06 Calend 01'!E68)),IF((109=('V06 Calend 01'!C68+(6*'V06 Calend 01'!E68))),('V06 Calend 01'!H68-('V06 Calend 01'!I68*('V06 Calend 01'!E68-1))),'V06 Calend 01'!I68),0))+IF((109='V06 Calend 01'!D68),'V06 Calend 01'!J68,0))</f>
        <v>0</v>
      </c>
      <c r="DR68" s="2">
        <f>((IF((110='V06 Calend 01'!C68),('V06 Calend 01'!F68+'V06 Calend 01'!G68),0)+IF(AND(('V06 Calend 01'!E68&gt;0),(110&gt;'V06 Calend 01'!C68),(110&lt;'V06 Calend 01'!D68),(MOD((110-'V06 Calend 01'!C68),6)=0),(((110-'V06 Calend 01'!C68)/6)&lt;='V06 Calend 01'!E68)),IF((110=('V06 Calend 01'!C68+(6*'V06 Calend 01'!E68))),('V06 Calend 01'!H68-('V06 Calend 01'!I68*('V06 Calend 01'!E68-1))),'V06 Calend 01'!I68),0))+IF((110='V06 Calend 01'!D68),'V06 Calend 01'!J68,0))</f>
        <v>0</v>
      </c>
      <c r="DS68" s="2">
        <f>((IF((111='V06 Calend 01'!C68),('V06 Calend 01'!F68+'V06 Calend 01'!G68),0)+IF(AND(('V06 Calend 01'!E68&gt;0),(111&gt;'V06 Calend 01'!C68),(111&lt;'V06 Calend 01'!D68),(MOD((111-'V06 Calend 01'!C68),6)=0),(((111-'V06 Calend 01'!C68)/6)&lt;='V06 Calend 01'!E68)),IF((111=('V06 Calend 01'!C68+(6*'V06 Calend 01'!E68))),('V06 Calend 01'!H68-('V06 Calend 01'!I68*('V06 Calend 01'!E68-1))),'V06 Calend 01'!I68),0))+IF((111='V06 Calend 01'!D68),'V06 Calend 01'!J68,0))</f>
        <v>0</v>
      </c>
      <c r="DT68" s="2">
        <f>((IF((112='V06 Calend 01'!C68),('V06 Calend 01'!F68+'V06 Calend 01'!G68),0)+IF(AND(('V06 Calend 01'!E68&gt;0),(112&gt;'V06 Calend 01'!C68),(112&lt;'V06 Calend 01'!D68),(MOD((112-'V06 Calend 01'!C68),6)=0),(((112-'V06 Calend 01'!C68)/6)&lt;='V06 Calend 01'!E68)),IF((112=('V06 Calend 01'!C68+(6*'V06 Calend 01'!E68))),('V06 Calend 01'!H68-('V06 Calend 01'!I68*('V06 Calend 01'!E68-1))),'V06 Calend 01'!I68),0))+IF((112='V06 Calend 01'!D68),'V06 Calend 01'!J68,0))</f>
        <v>0</v>
      </c>
      <c r="DU68" s="2">
        <f>((IF((113='V06 Calend 01'!C68),('V06 Calend 01'!F68+'V06 Calend 01'!G68),0)+IF(AND(('V06 Calend 01'!E68&gt;0),(113&gt;'V06 Calend 01'!C68),(113&lt;'V06 Calend 01'!D68),(MOD((113-'V06 Calend 01'!C68),6)=0),(((113-'V06 Calend 01'!C68)/6)&lt;='V06 Calend 01'!E68)),IF((113=('V06 Calend 01'!C68+(6*'V06 Calend 01'!E68))),('V06 Calend 01'!H68-('V06 Calend 01'!I68*('V06 Calend 01'!E68-1))),'V06 Calend 01'!I68),0))+IF((113='V06 Calend 01'!D68),'V06 Calend 01'!J68,0))</f>
        <v>0</v>
      </c>
      <c r="DV68" s="2">
        <f>((IF((114='V06 Calend 01'!C68),('V06 Calend 01'!F68+'V06 Calend 01'!G68),0)+IF(AND(('V06 Calend 01'!E68&gt;0),(114&gt;'V06 Calend 01'!C68),(114&lt;'V06 Calend 01'!D68),(MOD((114-'V06 Calend 01'!C68),6)=0),(((114-'V06 Calend 01'!C68)/6)&lt;='V06 Calend 01'!E68)),IF((114=('V06 Calend 01'!C68+(6*'V06 Calend 01'!E68))),('V06 Calend 01'!H68-('V06 Calend 01'!I68*('V06 Calend 01'!E68-1))),'V06 Calend 01'!I68),0))+IF((114='V06 Calend 01'!D68),'V06 Calend 01'!J68,0))</f>
        <v>0</v>
      </c>
      <c r="DW68" s="2">
        <f>((IF((115='V06 Calend 01'!C68),('V06 Calend 01'!F68+'V06 Calend 01'!G68),0)+IF(AND(('V06 Calend 01'!E68&gt;0),(115&gt;'V06 Calend 01'!C68),(115&lt;'V06 Calend 01'!D68),(MOD((115-'V06 Calend 01'!C68),6)=0),(((115-'V06 Calend 01'!C68)/6)&lt;='V06 Calend 01'!E68)),IF((115=('V06 Calend 01'!C68+(6*'V06 Calend 01'!E68))),('V06 Calend 01'!H68-('V06 Calend 01'!I68*('V06 Calend 01'!E68-1))),'V06 Calend 01'!I68),0))+IF((115='V06 Calend 01'!D68),'V06 Calend 01'!J68,0))</f>
        <v>0</v>
      </c>
      <c r="DX68" s="2">
        <f>((IF((116='V06 Calend 01'!C68),('V06 Calend 01'!F68+'V06 Calend 01'!G68),0)+IF(AND(('V06 Calend 01'!E68&gt;0),(116&gt;'V06 Calend 01'!C68),(116&lt;'V06 Calend 01'!D68),(MOD((116-'V06 Calend 01'!C68),6)=0),(((116-'V06 Calend 01'!C68)/6)&lt;='V06 Calend 01'!E68)),IF((116=('V06 Calend 01'!C68+(6*'V06 Calend 01'!E68))),('V06 Calend 01'!H68-('V06 Calend 01'!I68*('V06 Calend 01'!E68-1))),'V06 Calend 01'!I68),0))+IF((116='V06 Calend 01'!D68),'V06 Calend 01'!J68,0))</f>
        <v>0</v>
      </c>
      <c r="DY68" s="2">
        <f>((IF((117='V06 Calend 01'!C68),('V06 Calend 01'!F68+'V06 Calend 01'!G68),0)+IF(AND(('V06 Calend 01'!E68&gt;0),(117&gt;'V06 Calend 01'!C68),(117&lt;'V06 Calend 01'!D68),(MOD((117-'V06 Calend 01'!C68),6)=0),(((117-'V06 Calend 01'!C68)/6)&lt;='V06 Calend 01'!E68)),IF((117=('V06 Calend 01'!C68+(6*'V06 Calend 01'!E68))),('V06 Calend 01'!H68-('V06 Calend 01'!I68*('V06 Calend 01'!E68-1))),'V06 Calend 01'!I68),0))+IF((117='V06 Calend 01'!D68),'V06 Calend 01'!J68,0))</f>
        <v>0</v>
      </c>
      <c r="DZ68" s="2">
        <f>((IF((118='V06 Calend 01'!C68),('V06 Calend 01'!F68+'V06 Calend 01'!G68),0)+IF(AND(('V06 Calend 01'!E68&gt;0),(118&gt;'V06 Calend 01'!C68),(118&lt;'V06 Calend 01'!D68),(MOD((118-'V06 Calend 01'!C68),6)=0),(((118-'V06 Calend 01'!C68)/6)&lt;='V06 Calend 01'!E68)),IF((118=('V06 Calend 01'!C68+(6*'V06 Calend 01'!E68))),('V06 Calend 01'!H68-('V06 Calend 01'!I68*('V06 Calend 01'!E68-1))),'V06 Calend 01'!I68),0))+IF((118='V06 Calend 01'!D68),'V06 Calend 01'!J68,0))</f>
        <v>0</v>
      </c>
      <c r="EA68" s="2">
        <f>((IF((119='V06 Calend 01'!C68),('V06 Calend 01'!F68+'V06 Calend 01'!G68),0)+IF(AND(('V06 Calend 01'!E68&gt;0),(119&gt;'V06 Calend 01'!C68),(119&lt;'V06 Calend 01'!D68),(MOD((119-'V06 Calend 01'!C68),6)=0),(((119-'V06 Calend 01'!C68)/6)&lt;='V06 Calend 01'!E68)),IF((119=('V06 Calend 01'!C68+(6*'V06 Calend 01'!E68))),('V06 Calend 01'!H68-('V06 Calend 01'!I68*('V06 Calend 01'!E68-1))),'V06 Calend 01'!I68),0))+IF((119='V06 Calend 01'!D68),'V06 Calend 01'!J68,0))</f>
        <v>0</v>
      </c>
      <c r="EB68" s="2">
        <f>((IF((120='V06 Calend 01'!C68),('V06 Calend 01'!F68+'V06 Calend 01'!G68),0)+IF(AND(('V06 Calend 01'!E68&gt;0),(120&gt;'V06 Calend 01'!C68),(120&lt;'V06 Calend 01'!D68),(MOD((120-'V06 Calend 01'!C68),6)=0),(((120-'V06 Calend 01'!C68)/6)&lt;='V06 Calend 01'!E68)),IF((120=('V06 Calend 01'!C68+(6*'V06 Calend 01'!E68))),('V06 Calend 01'!H68-('V06 Calend 01'!I68*('V06 Calend 01'!E68-1))),'V06 Calend 01'!I68),0))+IF((120='V06 Calend 01'!D68),'V06 Calend 01'!J68,0))</f>
        <v>0</v>
      </c>
      <c r="EC68" s="2">
        <f>((IF((121='V06 Calend 01'!C68),('V06 Calend 01'!F68+'V06 Calend 01'!G68),0)+IF(AND(('V06 Calend 01'!E68&gt;0),(121&gt;'V06 Calend 01'!C68),(121&lt;'V06 Calend 01'!D68),(MOD((121-'V06 Calend 01'!C68),6)=0),(((121-'V06 Calend 01'!C68)/6)&lt;='V06 Calend 01'!E68)),IF((121=('V06 Calend 01'!C68+(6*'V06 Calend 01'!E68))),('V06 Calend 01'!H68-('V06 Calend 01'!I68*('V06 Calend 01'!E68-1))),'V06 Calend 01'!I68),0))+IF((121='V06 Calend 01'!D68),'V06 Calend 01'!J68,0))</f>
        <v>0</v>
      </c>
      <c r="ED68" s="2">
        <f>((IF((122='V06 Calend 01'!C68),('V06 Calend 01'!F68+'V06 Calend 01'!G68),0)+IF(AND(('V06 Calend 01'!E68&gt;0),(122&gt;'V06 Calend 01'!C68),(122&lt;'V06 Calend 01'!D68),(MOD((122-'V06 Calend 01'!C68),6)=0),(((122-'V06 Calend 01'!C68)/6)&lt;='V06 Calend 01'!E68)),IF((122=('V06 Calend 01'!C68+(6*'V06 Calend 01'!E68))),('V06 Calend 01'!H68-('V06 Calend 01'!I68*('V06 Calend 01'!E68-1))),'V06 Calend 01'!I68),0))+IF((122='V06 Calend 01'!D68),'V06 Calend 01'!J68,0))</f>
        <v>0</v>
      </c>
      <c r="EE68" s="2">
        <f>((IF((123='V06 Calend 01'!C68),('V06 Calend 01'!F68+'V06 Calend 01'!G68),0)+IF(AND(('V06 Calend 01'!E68&gt;0),(123&gt;'V06 Calend 01'!C68),(123&lt;'V06 Calend 01'!D68),(MOD((123-'V06 Calend 01'!C68),6)=0),(((123-'V06 Calend 01'!C68)/6)&lt;='V06 Calend 01'!E68)),IF((123=('V06 Calend 01'!C68+(6*'V06 Calend 01'!E68))),('V06 Calend 01'!H68-('V06 Calend 01'!I68*('V06 Calend 01'!E68-1))),'V06 Calend 01'!I68),0))+IF((123='V06 Calend 01'!D68),'V06 Calend 01'!J68,0))</f>
        <v>0</v>
      </c>
      <c r="EF68" s="2">
        <f>((IF((124='V06 Calend 01'!C68),('V06 Calend 01'!F68+'V06 Calend 01'!G68),0)+IF(AND(('V06 Calend 01'!E68&gt;0),(124&gt;'V06 Calend 01'!C68),(124&lt;'V06 Calend 01'!D68),(MOD((124-'V06 Calend 01'!C68),6)=0),(((124-'V06 Calend 01'!C68)/6)&lt;='V06 Calend 01'!E68)),IF((124=('V06 Calend 01'!C68+(6*'V06 Calend 01'!E68))),('V06 Calend 01'!H68-('V06 Calend 01'!I68*('V06 Calend 01'!E68-1))),'V06 Calend 01'!I68),0))+IF((124='V06 Calend 01'!D68),'V06 Calend 01'!J68,0))</f>
        <v>0</v>
      </c>
      <c r="EG68" s="2">
        <f>((IF((125='V06 Calend 01'!C68),('V06 Calend 01'!F68+'V06 Calend 01'!G68),0)+IF(AND(('V06 Calend 01'!E68&gt;0),(125&gt;'V06 Calend 01'!C68),(125&lt;'V06 Calend 01'!D68),(MOD((125-'V06 Calend 01'!C68),6)=0),(((125-'V06 Calend 01'!C68)/6)&lt;='V06 Calend 01'!E68)),IF((125=('V06 Calend 01'!C68+(6*'V06 Calend 01'!E68))),('V06 Calend 01'!H68-('V06 Calend 01'!I68*('V06 Calend 01'!E68-1))),'V06 Calend 01'!I68),0))+IF((125='V06 Calend 01'!D68),'V06 Calend 01'!J68,0))</f>
        <v>0</v>
      </c>
      <c r="EH68" s="2">
        <f>((IF((126='V06 Calend 01'!C68),('V06 Calend 01'!F68+'V06 Calend 01'!G68),0)+IF(AND(('V06 Calend 01'!E68&gt;0),(126&gt;'V06 Calend 01'!C68),(126&lt;'V06 Calend 01'!D68),(MOD((126-'V06 Calend 01'!C68),6)=0),(((126-'V06 Calend 01'!C68)/6)&lt;='V06 Calend 01'!E68)),IF((126=('V06 Calend 01'!C68+(6*'V06 Calend 01'!E68))),('V06 Calend 01'!H68-('V06 Calend 01'!I68*('V06 Calend 01'!E68-1))),'V06 Calend 01'!I68),0))+IF((126='V06 Calend 01'!D68),'V06 Calend 01'!J68,0))</f>
        <v>0</v>
      </c>
      <c r="EI68" s="2">
        <f>((IF((127='V06 Calend 01'!C68),('V06 Calend 01'!F68+'V06 Calend 01'!G68),0)+IF(AND(('V06 Calend 01'!E68&gt;0),(127&gt;'V06 Calend 01'!C68),(127&lt;'V06 Calend 01'!D68),(MOD((127-'V06 Calend 01'!C68),6)=0),(((127-'V06 Calend 01'!C68)/6)&lt;='V06 Calend 01'!E68)),IF((127=('V06 Calend 01'!C68+(6*'V06 Calend 01'!E68))),('V06 Calend 01'!H68-('V06 Calend 01'!I68*('V06 Calend 01'!E68-1))),'V06 Calend 01'!I68),0))+IF((127='V06 Calend 01'!D68),'V06 Calend 01'!J68,0))</f>
        <v>0</v>
      </c>
      <c r="EJ68" s="2">
        <f>((IF((128='V06 Calend 01'!C68),('V06 Calend 01'!F68+'V06 Calend 01'!G68),0)+IF(AND(('V06 Calend 01'!E68&gt;0),(128&gt;'V06 Calend 01'!C68),(128&lt;'V06 Calend 01'!D68),(MOD((128-'V06 Calend 01'!C68),6)=0),(((128-'V06 Calend 01'!C68)/6)&lt;='V06 Calend 01'!E68)),IF((128=('V06 Calend 01'!C68+(6*'V06 Calend 01'!E68))),('V06 Calend 01'!H68-('V06 Calend 01'!I68*('V06 Calend 01'!E68-1))),'V06 Calend 01'!I68),0))+IF((128='V06 Calend 01'!D68),'V06 Calend 01'!J68,0))</f>
        <v>0</v>
      </c>
      <c r="EK68" s="2">
        <f>((IF((129='V06 Calend 01'!C68),('V06 Calend 01'!F68+'V06 Calend 01'!G68),0)+IF(AND(('V06 Calend 01'!E68&gt;0),(129&gt;'V06 Calend 01'!C68),(129&lt;'V06 Calend 01'!D68),(MOD((129-'V06 Calend 01'!C68),6)=0),(((129-'V06 Calend 01'!C68)/6)&lt;='V06 Calend 01'!E68)),IF((129=('V06 Calend 01'!C68+(6*'V06 Calend 01'!E68))),('V06 Calend 01'!H68-('V06 Calend 01'!I68*('V06 Calend 01'!E68-1))),'V06 Calend 01'!I68),0))+IF((129='V06 Calend 01'!D68),'V06 Calend 01'!J68,0))</f>
        <v>0</v>
      </c>
      <c r="EL68" s="2">
        <f>((IF((130='V06 Calend 01'!C68),('V06 Calend 01'!F68+'V06 Calend 01'!G68),0)+IF(AND(('V06 Calend 01'!E68&gt;0),(130&gt;'V06 Calend 01'!C68),(130&lt;'V06 Calend 01'!D68),(MOD((130-'V06 Calend 01'!C68),6)=0),(((130-'V06 Calend 01'!C68)/6)&lt;='V06 Calend 01'!E68)),IF((130=('V06 Calend 01'!C68+(6*'V06 Calend 01'!E68))),('V06 Calend 01'!H68-('V06 Calend 01'!I68*('V06 Calend 01'!E68-1))),'V06 Calend 01'!I68),0))+IF((130='V06 Calend 01'!D68),'V06 Calend 01'!J68,0))</f>
        <v>0</v>
      </c>
      <c r="EM68" s="2">
        <f>((IF((131='V06 Calend 01'!C68),('V06 Calend 01'!F68+'V06 Calend 01'!G68),0)+IF(AND(('V06 Calend 01'!E68&gt;0),(131&gt;'V06 Calend 01'!C68),(131&lt;'V06 Calend 01'!D68),(MOD((131-'V06 Calend 01'!C68),6)=0),(((131-'V06 Calend 01'!C68)/6)&lt;='V06 Calend 01'!E68)),IF((131=('V06 Calend 01'!C68+(6*'V06 Calend 01'!E68))),('V06 Calend 01'!H68-('V06 Calend 01'!I68*('V06 Calend 01'!E68-1))),'V06 Calend 01'!I68),0))+IF((131='V06 Calend 01'!D68),'V06 Calend 01'!J68,0))</f>
        <v>0</v>
      </c>
      <c r="EN68" s="2">
        <f>((IF((132='V06 Calend 01'!C68),('V06 Calend 01'!F68+'V06 Calend 01'!G68),0)+IF(AND(('V06 Calend 01'!E68&gt;0),(132&gt;'V06 Calend 01'!C68),(132&lt;'V06 Calend 01'!D68),(MOD((132-'V06 Calend 01'!C68),6)=0),(((132-'V06 Calend 01'!C68)/6)&lt;='V06 Calend 01'!E68)),IF((132=('V06 Calend 01'!C68+(6*'V06 Calend 01'!E68))),('V06 Calend 01'!H68-('V06 Calend 01'!I68*('V06 Calend 01'!E68-1))),'V06 Calend 01'!I68),0))+IF((132='V06 Calend 01'!D68),'V06 Calend 01'!J68,0))</f>
        <v>0</v>
      </c>
      <c r="EO68" s="2">
        <f>((IF((133='V06 Calend 01'!C68),('V06 Calend 01'!F68+'V06 Calend 01'!G68),0)+IF(AND(('V06 Calend 01'!E68&gt;0),(133&gt;'V06 Calend 01'!C68),(133&lt;'V06 Calend 01'!D68),(MOD((133-'V06 Calend 01'!C68),6)=0),(((133-'V06 Calend 01'!C68)/6)&lt;='V06 Calend 01'!E68)),IF((133=('V06 Calend 01'!C68+(6*'V06 Calend 01'!E68))),('V06 Calend 01'!H68-('V06 Calend 01'!I68*('V06 Calend 01'!E68-1))),'V06 Calend 01'!I68),0))+IF((133='V06 Calend 01'!D68),'V06 Calend 01'!J68,0))</f>
        <v>0</v>
      </c>
      <c r="EP68" s="2">
        <f>((IF((134='V06 Calend 01'!C68),('V06 Calend 01'!F68+'V06 Calend 01'!G68),0)+IF(AND(('V06 Calend 01'!E68&gt;0),(134&gt;'V06 Calend 01'!C68),(134&lt;'V06 Calend 01'!D68),(MOD((134-'V06 Calend 01'!C68),6)=0),(((134-'V06 Calend 01'!C68)/6)&lt;='V06 Calend 01'!E68)),IF((134=('V06 Calend 01'!C68+(6*'V06 Calend 01'!E68))),('V06 Calend 01'!H68-('V06 Calend 01'!I68*('V06 Calend 01'!E68-1))),'V06 Calend 01'!I68),0))+IF((134='V06 Calend 01'!D68),'V06 Calend 01'!J68,0))</f>
        <v>0</v>
      </c>
      <c r="EQ68" s="2">
        <f>((IF((135='V06 Calend 01'!C68),('V06 Calend 01'!F68+'V06 Calend 01'!G68),0)+IF(AND(('V06 Calend 01'!E68&gt;0),(135&gt;'V06 Calend 01'!C68),(135&lt;'V06 Calend 01'!D68),(MOD((135-'V06 Calend 01'!C68),6)=0),(((135-'V06 Calend 01'!C68)/6)&lt;='V06 Calend 01'!E68)),IF((135=('V06 Calend 01'!C68+(6*'V06 Calend 01'!E68))),('V06 Calend 01'!H68-('V06 Calend 01'!I68*('V06 Calend 01'!E68-1))),'V06 Calend 01'!I68),0))+IF((135='V06 Calend 01'!D68),'V06 Calend 01'!J68,0))</f>
        <v>0</v>
      </c>
      <c r="ER68" s="2">
        <f>((IF((136='V06 Calend 01'!C68),('V06 Calend 01'!F68+'V06 Calend 01'!G68),0)+IF(AND(('V06 Calend 01'!E68&gt;0),(136&gt;'V06 Calend 01'!C68),(136&lt;'V06 Calend 01'!D68),(MOD((136-'V06 Calend 01'!C68),6)=0),(((136-'V06 Calend 01'!C68)/6)&lt;='V06 Calend 01'!E68)),IF((136=('V06 Calend 01'!C68+(6*'V06 Calend 01'!E68))),('V06 Calend 01'!H68-('V06 Calend 01'!I68*('V06 Calend 01'!E68-1))),'V06 Calend 01'!I68),0))+IF((136='V06 Calend 01'!D68),'V06 Calend 01'!J68,0))</f>
        <v>0</v>
      </c>
      <c r="ES68" s="2">
        <f>((IF((137='V06 Calend 01'!C68),('V06 Calend 01'!F68+'V06 Calend 01'!G68),0)+IF(AND(('V06 Calend 01'!E68&gt;0),(137&gt;'V06 Calend 01'!C68),(137&lt;'V06 Calend 01'!D68),(MOD((137-'V06 Calend 01'!C68),6)=0),(((137-'V06 Calend 01'!C68)/6)&lt;='V06 Calend 01'!E68)),IF((137=('V06 Calend 01'!C68+(6*'V06 Calend 01'!E68))),('V06 Calend 01'!H68-('V06 Calend 01'!I68*('V06 Calend 01'!E68-1))),'V06 Calend 01'!I68),0))+IF((137='V06 Calend 01'!D68),'V06 Calend 01'!J68,0))</f>
        <v>0</v>
      </c>
      <c r="ET68" s="2">
        <f>((IF((138='V06 Calend 01'!C68),('V06 Calend 01'!F68+'V06 Calend 01'!G68),0)+IF(AND(('V06 Calend 01'!E68&gt;0),(138&gt;'V06 Calend 01'!C68),(138&lt;'V06 Calend 01'!D68),(MOD((138-'V06 Calend 01'!C68),6)=0),(((138-'V06 Calend 01'!C68)/6)&lt;='V06 Calend 01'!E68)),IF((138=('V06 Calend 01'!C68+(6*'V06 Calend 01'!E68))),('V06 Calend 01'!H68-('V06 Calend 01'!I68*('V06 Calend 01'!E68-1))),'V06 Calend 01'!I68),0))+IF((138='V06 Calend 01'!D68),'V06 Calend 01'!J68,0))</f>
        <v>0</v>
      </c>
      <c r="EU68" s="2">
        <f>((IF((139='V06 Calend 01'!C68),('V06 Calend 01'!F68+'V06 Calend 01'!G68),0)+IF(AND(('V06 Calend 01'!E68&gt;0),(139&gt;'V06 Calend 01'!C68),(139&lt;'V06 Calend 01'!D68),(MOD((139-'V06 Calend 01'!C68),6)=0),(((139-'V06 Calend 01'!C68)/6)&lt;='V06 Calend 01'!E68)),IF((139=('V06 Calend 01'!C68+(6*'V06 Calend 01'!E68))),('V06 Calend 01'!H68-('V06 Calend 01'!I68*('V06 Calend 01'!E68-1))),'V06 Calend 01'!I68),0))+IF((139='V06 Calend 01'!D68),'V06 Calend 01'!J68,0))</f>
        <v>0</v>
      </c>
      <c r="EV68" s="2">
        <f>((IF((140='V06 Calend 01'!C68),('V06 Calend 01'!F68+'V06 Calend 01'!G68),0)+IF(AND(('V06 Calend 01'!E68&gt;0),(140&gt;'V06 Calend 01'!C68),(140&lt;'V06 Calend 01'!D68),(MOD((140-'V06 Calend 01'!C68),6)=0),(((140-'V06 Calend 01'!C68)/6)&lt;='V06 Calend 01'!E68)),IF((140=('V06 Calend 01'!C68+(6*'V06 Calend 01'!E68))),('V06 Calend 01'!H68-('V06 Calend 01'!I68*('V06 Calend 01'!E68-1))),'V06 Calend 01'!I68),0))+IF((140='V06 Calend 01'!D68),'V06 Calend 01'!J68,0))</f>
        <v>0</v>
      </c>
      <c r="EW68" s="2">
        <f>((IF((141='V06 Calend 01'!C68),('V06 Calend 01'!F68+'V06 Calend 01'!G68),0)+IF(AND(('V06 Calend 01'!E68&gt;0),(141&gt;'V06 Calend 01'!C68),(141&lt;'V06 Calend 01'!D68),(MOD((141-'V06 Calend 01'!C68),6)=0),(((141-'V06 Calend 01'!C68)/6)&lt;='V06 Calend 01'!E68)),IF((141=('V06 Calend 01'!C68+(6*'V06 Calend 01'!E68))),('V06 Calend 01'!H68-('V06 Calend 01'!I68*('V06 Calend 01'!E68-1))),'V06 Calend 01'!I68),0))+IF((141='V06 Calend 01'!D68),'V06 Calend 01'!J68,0))</f>
        <v>0</v>
      </c>
      <c r="EX68" s="2">
        <f>((IF((142='V06 Calend 01'!C68),('V06 Calend 01'!F68+'V06 Calend 01'!G68),0)+IF(AND(('V06 Calend 01'!E68&gt;0),(142&gt;'V06 Calend 01'!C68),(142&lt;'V06 Calend 01'!D68),(MOD((142-'V06 Calend 01'!C68),6)=0),(((142-'V06 Calend 01'!C68)/6)&lt;='V06 Calend 01'!E68)),IF((142=('V06 Calend 01'!C68+(6*'V06 Calend 01'!E68))),('V06 Calend 01'!H68-('V06 Calend 01'!I68*('V06 Calend 01'!E68-1))),'V06 Calend 01'!I68),0))+IF((142='V06 Calend 01'!D68),'V06 Calend 01'!J68,0))</f>
        <v>0</v>
      </c>
      <c r="EY68" s="2">
        <f>((IF((143='V06 Calend 01'!C68),('V06 Calend 01'!F68+'V06 Calend 01'!G68),0)+IF(AND(('V06 Calend 01'!E68&gt;0),(143&gt;'V06 Calend 01'!C68),(143&lt;'V06 Calend 01'!D68),(MOD((143-'V06 Calend 01'!C68),6)=0),(((143-'V06 Calend 01'!C68)/6)&lt;='V06 Calend 01'!E68)),IF((143=('V06 Calend 01'!C68+(6*'V06 Calend 01'!E68))),('V06 Calend 01'!H68-('V06 Calend 01'!I68*('V06 Calend 01'!E68-1))),'V06 Calend 01'!I68),0))+IF((143='V06 Calend 01'!D68),'V06 Calend 01'!J68,0))</f>
        <v>0</v>
      </c>
      <c r="EZ68" s="2">
        <f>((IF((144='V06 Calend 01'!C68),('V06 Calend 01'!F68+'V06 Calend 01'!G68),0)+IF(AND(('V06 Calend 01'!E68&gt;0),(144&gt;'V06 Calend 01'!C68),(144&lt;'V06 Calend 01'!D68),(MOD((144-'V06 Calend 01'!C68),6)=0),(((144-'V06 Calend 01'!C68)/6)&lt;='V06 Calend 01'!E68)),IF((144=('V06 Calend 01'!C68+(6*'V06 Calend 01'!E68))),('V06 Calend 01'!H68-('V06 Calend 01'!I68*('V06 Calend 01'!E68-1))),'V06 Calend 01'!I68),0))+IF((144='V06 Calend 01'!D68),'V06 Calend 01'!J68,0))</f>
        <v>0</v>
      </c>
      <c r="FA68" s="2">
        <f>((IF((145='V06 Calend 01'!C68),('V06 Calend 01'!F68+'V06 Calend 01'!G68),0)+IF(AND(('V06 Calend 01'!E68&gt;0),(145&gt;'V06 Calend 01'!C68),(145&lt;'V06 Calend 01'!D68),(MOD((145-'V06 Calend 01'!C68),6)=0),(((145-'V06 Calend 01'!C68)/6)&lt;='V06 Calend 01'!E68)),IF((145=('V06 Calend 01'!C68+(6*'V06 Calend 01'!E68))),('V06 Calend 01'!H68-('V06 Calend 01'!I68*('V06 Calend 01'!E68-1))),'V06 Calend 01'!I68),0))+IF((145='V06 Calend 01'!D68),'V06 Calend 01'!J68,0))</f>
        <v>0</v>
      </c>
      <c r="FB68" s="2">
        <f>((IF((146='V06 Calend 01'!C68),('V06 Calend 01'!F68+'V06 Calend 01'!G68),0)+IF(AND(('V06 Calend 01'!E68&gt;0),(146&gt;'V06 Calend 01'!C68),(146&lt;'V06 Calend 01'!D68),(MOD((146-'V06 Calend 01'!C68),6)=0),(((146-'V06 Calend 01'!C68)/6)&lt;='V06 Calend 01'!E68)),IF((146=('V06 Calend 01'!C68+(6*'V06 Calend 01'!E68))),('V06 Calend 01'!H68-('V06 Calend 01'!I68*('V06 Calend 01'!E68-1))),'V06 Calend 01'!I68),0))+IF((146='V06 Calend 01'!D68),'V06 Calend 01'!J68,0))</f>
        <v>0</v>
      </c>
      <c r="FC68" s="2">
        <f>((IF((147='V06 Calend 01'!C68),('V06 Calend 01'!F68+'V06 Calend 01'!G68),0)+IF(AND(('V06 Calend 01'!E68&gt;0),(147&gt;'V06 Calend 01'!C68),(147&lt;'V06 Calend 01'!D68),(MOD((147-'V06 Calend 01'!C68),6)=0),(((147-'V06 Calend 01'!C68)/6)&lt;='V06 Calend 01'!E68)),IF((147=('V06 Calend 01'!C68+(6*'V06 Calend 01'!E68))),('V06 Calend 01'!H68-('V06 Calend 01'!I68*('V06 Calend 01'!E68-1))),'V06 Calend 01'!I68),0))+IF((147='V06 Calend 01'!D68),'V06 Calend 01'!J68,0))</f>
        <v>0</v>
      </c>
      <c r="FD68" s="2">
        <f>((IF((148='V06 Calend 01'!C68),('V06 Calend 01'!F68+'V06 Calend 01'!G68),0)+IF(AND(('V06 Calend 01'!E68&gt;0),(148&gt;'V06 Calend 01'!C68),(148&lt;'V06 Calend 01'!D68),(MOD((148-'V06 Calend 01'!C68),6)=0),(((148-'V06 Calend 01'!C68)/6)&lt;='V06 Calend 01'!E68)),IF((148=('V06 Calend 01'!C68+(6*'V06 Calend 01'!E68))),('V06 Calend 01'!H68-('V06 Calend 01'!I68*('V06 Calend 01'!E68-1))),'V06 Calend 01'!I68),0))+IF((148='V06 Calend 01'!D68),'V06 Calend 01'!J68,0))</f>
        <v>0</v>
      </c>
      <c r="FE68" s="2">
        <f>((IF((149='V06 Calend 01'!C68),('V06 Calend 01'!F68+'V06 Calend 01'!G68),0)+IF(AND(('V06 Calend 01'!E68&gt;0),(149&gt;'V06 Calend 01'!C68),(149&lt;'V06 Calend 01'!D68),(MOD((149-'V06 Calend 01'!C68),6)=0),(((149-'V06 Calend 01'!C68)/6)&lt;='V06 Calend 01'!E68)),IF((149=('V06 Calend 01'!C68+(6*'V06 Calend 01'!E68))),('V06 Calend 01'!H68-('V06 Calend 01'!I68*('V06 Calend 01'!E68-1))),'V06 Calend 01'!I68),0))+IF((149='V06 Calend 01'!D68),'V06 Calend 01'!J68,0))</f>
        <v>0</v>
      </c>
      <c r="FF68" s="2">
        <f>((IF((150='V06 Calend 01'!C68),('V06 Calend 01'!F68+'V06 Calend 01'!G68),0)+IF(AND(('V06 Calend 01'!E68&gt;0),(150&gt;'V06 Calend 01'!C68),(150&lt;'V06 Calend 01'!D68),(MOD((150-'V06 Calend 01'!C68),6)=0),(((150-'V06 Calend 01'!C68)/6)&lt;='V06 Calend 01'!E68)),IF((150=('V06 Calend 01'!C68+(6*'V06 Calend 01'!E68))),('V06 Calend 01'!H68-('V06 Calend 01'!I68*('V06 Calend 01'!E68-1))),'V06 Calend 01'!I68),0))+IF((150='V06 Calend 01'!D68),'V06 Calend 01'!J68,0))</f>
        <v>0</v>
      </c>
      <c r="FG68" s="2">
        <f>((IF((151='V06 Calend 01'!C68),('V06 Calend 01'!F68+'V06 Calend 01'!G68),0)+IF(AND(('V06 Calend 01'!E68&gt;0),(151&gt;'V06 Calend 01'!C68),(151&lt;'V06 Calend 01'!D68),(MOD((151-'V06 Calend 01'!C68),6)=0),(((151-'V06 Calend 01'!C68)/6)&lt;='V06 Calend 01'!E68)),IF((151=('V06 Calend 01'!C68+(6*'V06 Calend 01'!E68))),('V06 Calend 01'!H68-('V06 Calend 01'!I68*('V06 Calend 01'!E68-1))),'V06 Calend 01'!I68),0))+IF((151='V06 Calend 01'!D68),'V06 Calend 01'!J68,0))</f>
        <v>0</v>
      </c>
      <c r="FH68" s="2">
        <f>((IF((152='V06 Calend 01'!C68),('V06 Calend 01'!F68+'V06 Calend 01'!G68),0)+IF(AND(('V06 Calend 01'!E68&gt;0),(152&gt;'V06 Calend 01'!C68),(152&lt;'V06 Calend 01'!D68),(MOD((152-'V06 Calend 01'!C68),6)=0),(((152-'V06 Calend 01'!C68)/6)&lt;='V06 Calend 01'!E68)),IF((152=('V06 Calend 01'!C68+(6*'V06 Calend 01'!E68))),('V06 Calend 01'!H68-('V06 Calend 01'!I68*('V06 Calend 01'!E68-1))),'V06 Calend 01'!I68),0))+IF((152='V06 Calend 01'!D68),'V06 Calend 01'!J68,0))</f>
        <v>0</v>
      </c>
      <c r="FI68" s="2">
        <f>((IF((153='V06 Calend 01'!C68),('V06 Calend 01'!F68+'V06 Calend 01'!G68),0)+IF(AND(('V06 Calend 01'!E68&gt;0),(153&gt;'V06 Calend 01'!C68),(153&lt;'V06 Calend 01'!D68),(MOD((153-'V06 Calend 01'!C68),6)=0),(((153-'V06 Calend 01'!C68)/6)&lt;='V06 Calend 01'!E68)),IF((153=('V06 Calend 01'!C68+(6*'V06 Calend 01'!E68))),('V06 Calend 01'!H68-('V06 Calend 01'!I68*('V06 Calend 01'!E68-1))),'V06 Calend 01'!I68),0))+IF((153='V06 Calend 01'!D68),'V06 Calend 01'!J68,0))</f>
        <v>0</v>
      </c>
      <c r="FJ68" s="2">
        <f>((IF((154='V06 Calend 01'!C68),('V06 Calend 01'!F68+'V06 Calend 01'!G68),0)+IF(AND(('V06 Calend 01'!E68&gt;0),(154&gt;'V06 Calend 01'!C68),(154&lt;'V06 Calend 01'!D68),(MOD((154-'V06 Calend 01'!C68),6)=0),(((154-'V06 Calend 01'!C68)/6)&lt;='V06 Calend 01'!E68)),IF((154=('V06 Calend 01'!C68+(6*'V06 Calend 01'!E68))),('V06 Calend 01'!H68-('V06 Calend 01'!I68*('V06 Calend 01'!E68-1))),'V06 Calend 01'!I68),0))+IF((154='V06 Calend 01'!D68),'V06 Calend 01'!J68,0))</f>
        <v>0</v>
      </c>
      <c r="FK68" s="2">
        <f>((IF((155='V06 Calend 01'!C68),('V06 Calend 01'!F68+'V06 Calend 01'!G68),0)+IF(AND(('V06 Calend 01'!E68&gt;0),(155&gt;'V06 Calend 01'!C68),(155&lt;'V06 Calend 01'!D68),(MOD((155-'V06 Calend 01'!C68),6)=0),(((155-'V06 Calend 01'!C68)/6)&lt;='V06 Calend 01'!E68)),IF((155=('V06 Calend 01'!C68+(6*'V06 Calend 01'!E68))),('V06 Calend 01'!H68-('V06 Calend 01'!I68*('V06 Calend 01'!E68-1))),'V06 Calend 01'!I68),0))+IF((155='V06 Calend 01'!D68),'V06 Calend 01'!J68,0))</f>
        <v>0</v>
      </c>
      <c r="FL68" s="2">
        <f>((IF((156='V06 Calend 01'!C68),('V06 Calend 01'!F68+'V06 Calend 01'!G68),0)+IF(AND(('V06 Calend 01'!E68&gt;0),(156&gt;'V06 Calend 01'!C68),(156&lt;'V06 Calend 01'!D68),(MOD((156-'V06 Calend 01'!C68),6)=0),(((156-'V06 Calend 01'!C68)/6)&lt;='V06 Calend 01'!E68)),IF((156=('V06 Calend 01'!C68+(6*'V06 Calend 01'!E68))),('V06 Calend 01'!H68-('V06 Calend 01'!I68*('V06 Calend 01'!E68-1))),'V06 Calend 01'!I68),0))+IF((156='V06 Calend 01'!D68),'V06 Calend 01'!J68,0))</f>
        <v>0</v>
      </c>
      <c r="FM68" s="2">
        <f>((IF((157='V06 Calend 01'!C68),('V06 Calend 01'!F68+'V06 Calend 01'!G68),0)+IF(AND(('V06 Calend 01'!E68&gt;0),(157&gt;'V06 Calend 01'!C68),(157&lt;'V06 Calend 01'!D68),(MOD((157-'V06 Calend 01'!C68),6)=0),(((157-'V06 Calend 01'!C68)/6)&lt;='V06 Calend 01'!E68)),IF((157=('V06 Calend 01'!C68+(6*'V06 Calend 01'!E68))),('V06 Calend 01'!H68-('V06 Calend 01'!I68*('V06 Calend 01'!E68-1))),'V06 Calend 01'!I68),0))+IF((157='V06 Calend 01'!D68),'V06 Calend 01'!J68,0))</f>
        <v>0</v>
      </c>
      <c r="FN68" s="2">
        <f>((IF((158='V06 Calend 01'!C68),('V06 Calend 01'!F68+'V06 Calend 01'!G68),0)+IF(AND(('V06 Calend 01'!E68&gt;0),(158&gt;'V06 Calend 01'!C68),(158&lt;'V06 Calend 01'!D68),(MOD((158-'V06 Calend 01'!C68),6)=0),(((158-'V06 Calend 01'!C68)/6)&lt;='V06 Calend 01'!E68)),IF((158=('V06 Calend 01'!C68+(6*'V06 Calend 01'!E68))),('V06 Calend 01'!H68-('V06 Calend 01'!I68*('V06 Calend 01'!E68-1))),'V06 Calend 01'!I68),0))+IF((158='V06 Calend 01'!D68),'V06 Calend 01'!J68,0))</f>
        <v>0</v>
      </c>
      <c r="FO68" s="2">
        <f>((IF((159='V06 Calend 01'!C68),('V06 Calend 01'!F68+'V06 Calend 01'!G68),0)+IF(AND(('V06 Calend 01'!E68&gt;0),(159&gt;'V06 Calend 01'!C68),(159&lt;'V06 Calend 01'!D68),(MOD((159-'V06 Calend 01'!C68),6)=0),(((159-'V06 Calend 01'!C68)/6)&lt;='V06 Calend 01'!E68)),IF((159=('V06 Calend 01'!C68+(6*'V06 Calend 01'!E68))),('V06 Calend 01'!H68-('V06 Calend 01'!I68*('V06 Calend 01'!E68-1))),'V06 Calend 01'!I68),0))+IF((159='V06 Calend 01'!D68),'V06 Calend 01'!J68,0))</f>
        <v>0</v>
      </c>
      <c r="FP68" s="2">
        <f>((IF((160='V06 Calend 01'!C68),('V06 Calend 01'!F68+'V06 Calend 01'!G68),0)+IF(AND(('V06 Calend 01'!E68&gt;0),(160&gt;'V06 Calend 01'!C68),(160&lt;'V06 Calend 01'!D68),(MOD((160-'V06 Calend 01'!C68),6)=0),(((160-'V06 Calend 01'!C68)/6)&lt;='V06 Calend 01'!E68)),IF((160=('V06 Calend 01'!C68+(6*'V06 Calend 01'!E68))),('V06 Calend 01'!H68-('V06 Calend 01'!I68*('V06 Calend 01'!E68-1))),'V06 Calend 01'!I68),0))+IF((160='V06 Calend 01'!D68),'V06 Calend 01'!J68,0))</f>
        <v>0</v>
      </c>
      <c r="FQ68" s="2">
        <f>((IF((161='V06 Calend 01'!C68),('V06 Calend 01'!F68+'V06 Calend 01'!G68),0)+IF(AND(('V06 Calend 01'!E68&gt;0),(161&gt;'V06 Calend 01'!C68),(161&lt;'V06 Calend 01'!D68),(MOD((161-'V06 Calend 01'!C68),6)=0),(((161-'V06 Calend 01'!C68)/6)&lt;='V06 Calend 01'!E68)),IF((161=('V06 Calend 01'!C68+(6*'V06 Calend 01'!E68))),('V06 Calend 01'!H68-('V06 Calend 01'!I68*('V06 Calend 01'!E68-1))),'V06 Calend 01'!I68),0))+IF((161='V06 Calend 01'!D68),'V06 Calend 01'!J68,0))</f>
        <v>0</v>
      </c>
      <c r="FR68" s="2">
        <f>((IF((162='V06 Calend 01'!C68),('V06 Calend 01'!F68+'V06 Calend 01'!G68),0)+IF(AND(('V06 Calend 01'!E68&gt;0),(162&gt;'V06 Calend 01'!C68),(162&lt;'V06 Calend 01'!D68),(MOD((162-'V06 Calend 01'!C68),6)=0),(((162-'V06 Calend 01'!C68)/6)&lt;='V06 Calend 01'!E68)),IF((162=('V06 Calend 01'!C68+(6*'V06 Calend 01'!E68))),('V06 Calend 01'!H68-('V06 Calend 01'!I68*('V06 Calend 01'!E68-1))),'V06 Calend 01'!I68),0))+IF((162='V06 Calend 01'!D68),'V06 Calend 01'!J68,0))</f>
        <v>0</v>
      </c>
      <c r="FS68" s="2">
        <f>((IF((163='V06 Calend 01'!C68),('V06 Calend 01'!F68+'V06 Calend 01'!G68),0)+IF(AND(('V06 Calend 01'!E68&gt;0),(163&gt;'V06 Calend 01'!C68),(163&lt;'V06 Calend 01'!D68),(MOD((163-'V06 Calend 01'!C68),6)=0),(((163-'V06 Calend 01'!C68)/6)&lt;='V06 Calend 01'!E68)),IF((163=('V06 Calend 01'!C68+(6*'V06 Calend 01'!E68))),('V06 Calend 01'!H68-('V06 Calend 01'!I68*('V06 Calend 01'!E68-1))),'V06 Calend 01'!I68),0))+IF((163='V06 Calend 01'!D68),'V06 Calend 01'!J68,0))</f>
        <v>0</v>
      </c>
      <c r="FT68" s="2">
        <f>((IF((164='V06 Calend 01'!C68),('V06 Calend 01'!F68+'V06 Calend 01'!G68),0)+IF(AND(('V06 Calend 01'!E68&gt;0),(164&gt;'V06 Calend 01'!C68),(164&lt;'V06 Calend 01'!D68),(MOD((164-'V06 Calend 01'!C68),6)=0),(((164-'V06 Calend 01'!C68)/6)&lt;='V06 Calend 01'!E68)),IF((164=('V06 Calend 01'!C68+(6*'V06 Calend 01'!E68))),('V06 Calend 01'!H68-('V06 Calend 01'!I68*('V06 Calend 01'!E68-1))),'V06 Calend 01'!I68),0))+IF((164='V06 Calend 01'!D68),'V06 Calend 01'!J68,0))</f>
        <v>0</v>
      </c>
      <c r="FU68" s="2">
        <f>((IF((165='V06 Calend 01'!C68),('V06 Calend 01'!F68+'V06 Calend 01'!G68),0)+IF(AND(('V06 Calend 01'!E68&gt;0),(165&gt;'V06 Calend 01'!C68),(165&lt;'V06 Calend 01'!D68),(MOD((165-'V06 Calend 01'!C68),6)=0),(((165-'V06 Calend 01'!C68)/6)&lt;='V06 Calend 01'!E68)),IF((165=('V06 Calend 01'!C68+(6*'V06 Calend 01'!E68))),('V06 Calend 01'!H68-('V06 Calend 01'!I68*('V06 Calend 01'!E68-1))),'V06 Calend 01'!I68),0))+IF((165='V06 Calend 01'!D68),'V06 Calend 01'!J68,0))</f>
        <v>0</v>
      </c>
      <c r="FV68" s="2">
        <f>((IF((166='V06 Calend 01'!C68),('V06 Calend 01'!F68+'V06 Calend 01'!G68),0)+IF(AND(('V06 Calend 01'!E68&gt;0),(166&gt;'V06 Calend 01'!C68),(166&lt;'V06 Calend 01'!D68),(MOD((166-'V06 Calend 01'!C68),6)=0),(((166-'V06 Calend 01'!C68)/6)&lt;='V06 Calend 01'!E68)),IF((166=('V06 Calend 01'!C68+(6*'V06 Calend 01'!E68))),('V06 Calend 01'!H68-('V06 Calend 01'!I68*('V06 Calend 01'!E68-1))),'V06 Calend 01'!I68),0))+IF((166='V06 Calend 01'!D68),'V06 Calend 01'!J68,0))</f>
        <v>0</v>
      </c>
      <c r="FW68" s="2">
        <f>((IF((167='V06 Calend 01'!C68),('V06 Calend 01'!F68+'V06 Calend 01'!G68),0)+IF(AND(('V06 Calend 01'!E68&gt;0),(167&gt;'V06 Calend 01'!C68),(167&lt;'V06 Calend 01'!D68),(MOD((167-'V06 Calend 01'!C68),6)=0),(((167-'V06 Calend 01'!C68)/6)&lt;='V06 Calend 01'!E68)),IF((167=('V06 Calend 01'!C68+(6*'V06 Calend 01'!E68))),('V06 Calend 01'!H68-('V06 Calend 01'!I68*('V06 Calend 01'!E68-1))),'V06 Calend 01'!I68),0))+IF((167='V06 Calend 01'!D68),'V06 Calend 01'!J68,0))</f>
        <v>0</v>
      </c>
      <c r="FX68" s="2">
        <f>((IF((168='V06 Calend 01'!C68),('V06 Calend 01'!F68+'V06 Calend 01'!G68),0)+IF(AND(('V06 Calend 01'!E68&gt;0),(168&gt;'V06 Calend 01'!C68),(168&lt;'V06 Calend 01'!D68),(MOD((168-'V06 Calend 01'!C68),6)=0),(((168-'V06 Calend 01'!C68)/6)&lt;='V06 Calend 01'!E68)),IF((168=('V06 Calend 01'!C68+(6*'V06 Calend 01'!E68))),('V06 Calend 01'!H68-('V06 Calend 01'!I68*('V06 Calend 01'!E68-1))),'V06 Calend 01'!I68),0))+IF((168='V06 Calend 01'!D68),'V06 Calend 01'!J68,0))</f>
        <v>0</v>
      </c>
      <c r="FY68" s="2">
        <f>((IF((169='V06 Calend 01'!C68),('V06 Calend 01'!F68+'V06 Calend 01'!G68),0)+IF(AND(('V06 Calend 01'!E68&gt;0),(169&gt;'V06 Calend 01'!C68),(169&lt;'V06 Calend 01'!D68),(MOD((169-'V06 Calend 01'!C68),6)=0),(((169-'V06 Calend 01'!C68)/6)&lt;='V06 Calend 01'!E68)),IF((169=('V06 Calend 01'!C68+(6*'V06 Calend 01'!E68))),('V06 Calend 01'!H68-('V06 Calend 01'!I68*('V06 Calend 01'!E68-1))),'V06 Calend 01'!I68),0))+IF((169='V06 Calend 01'!D68),'V06 Calend 01'!J68,0))</f>
        <v>0</v>
      </c>
      <c r="FZ68" s="2">
        <f>((IF((170='V06 Calend 01'!C68),('V06 Calend 01'!F68+'V06 Calend 01'!G68),0)+IF(AND(('V06 Calend 01'!E68&gt;0),(170&gt;'V06 Calend 01'!C68),(170&lt;'V06 Calend 01'!D68),(MOD((170-'V06 Calend 01'!C68),6)=0),(((170-'V06 Calend 01'!C68)/6)&lt;='V06 Calend 01'!E68)),IF((170=('V06 Calend 01'!C68+(6*'V06 Calend 01'!E68))),('V06 Calend 01'!H68-('V06 Calend 01'!I68*('V06 Calend 01'!E68-1))),'V06 Calend 01'!I68),0))+IF((170='V06 Calend 01'!D68),'V06 Calend 01'!J68,0))</f>
        <v>0</v>
      </c>
      <c r="GA68" s="2">
        <f>((IF((171='V06 Calend 01'!C68),('V06 Calend 01'!F68+'V06 Calend 01'!G68),0)+IF(AND(('V06 Calend 01'!E68&gt;0),(171&gt;'V06 Calend 01'!C68),(171&lt;'V06 Calend 01'!D68),(MOD((171-'V06 Calend 01'!C68),6)=0),(((171-'V06 Calend 01'!C68)/6)&lt;='V06 Calend 01'!E68)),IF((171=('V06 Calend 01'!C68+(6*'V06 Calend 01'!E68))),('V06 Calend 01'!H68-('V06 Calend 01'!I68*('V06 Calend 01'!E68-1))),'V06 Calend 01'!I68),0))+IF((171='V06 Calend 01'!D68),'V06 Calend 01'!J68,0))</f>
        <v>0</v>
      </c>
      <c r="GB68" s="2">
        <f>((IF((172='V06 Calend 01'!C68),('V06 Calend 01'!F68+'V06 Calend 01'!G68),0)+IF(AND(('V06 Calend 01'!E68&gt;0),(172&gt;'V06 Calend 01'!C68),(172&lt;'V06 Calend 01'!D68),(MOD((172-'V06 Calend 01'!C68),6)=0),(((172-'V06 Calend 01'!C68)/6)&lt;='V06 Calend 01'!E68)),IF((172=('V06 Calend 01'!C68+(6*'V06 Calend 01'!E68))),('V06 Calend 01'!H68-('V06 Calend 01'!I68*('V06 Calend 01'!E68-1))),'V06 Calend 01'!I68),0))+IF((172='V06 Calend 01'!D68),'V06 Calend 01'!J68,0))</f>
        <v>0</v>
      </c>
      <c r="GC68" s="2">
        <f>((IF((173='V06 Calend 01'!C68),('V06 Calend 01'!F68+'V06 Calend 01'!G68),0)+IF(AND(('V06 Calend 01'!E68&gt;0),(173&gt;'V06 Calend 01'!C68),(173&lt;'V06 Calend 01'!D68),(MOD((173-'V06 Calend 01'!C68),6)=0),(((173-'V06 Calend 01'!C68)/6)&lt;='V06 Calend 01'!E68)),IF((173=('V06 Calend 01'!C68+(6*'V06 Calend 01'!E68))),('V06 Calend 01'!H68-('V06 Calend 01'!I68*('V06 Calend 01'!E68-1))),'V06 Calend 01'!I68),0))+IF((173='V06 Calend 01'!D68),'V06 Calend 01'!J68,0))</f>
        <v>0</v>
      </c>
      <c r="GD68" s="2">
        <f>((IF((174='V06 Calend 01'!C68),('V06 Calend 01'!F68+'V06 Calend 01'!G68),0)+IF(AND(('V06 Calend 01'!E68&gt;0),(174&gt;'V06 Calend 01'!C68),(174&lt;'V06 Calend 01'!D68),(MOD((174-'V06 Calend 01'!C68),6)=0),(((174-'V06 Calend 01'!C68)/6)&lt;='V06 Calend 01'!E68)),IF((174=('V06 Calend 01'!C68+(6*'V06 Calend 01'!E68))),('V06 Calend 01'!H68-('V06 Calend 01'!I68*('V06 Calend 01'!E68-1))),'V06 Calend 01'!I68),0))+IF((174='V06 Calend 01'!D68),'V06 Calend 01'!J68,0))</f>
        <v>0</v>
      </c>
      <c r="GE68" s="2">
        <f>((IF((175='V06 Calend 01'!C68),('V06 Calend 01'!F68+'V06 Calend 01'!G68),0)+IF(AND(('V06 Calend 01'!E68&gt;0),(175&gt;'V06 Calend 01'!C68),(175&lt;'V06 Calend 01'!D68),(MOD((175-'V06 Calend 01'!C68),6)=0),(((175-'V06 Calend 01'!C68)/6)&lt;='V06 Calend 01'!E68)),IF((175=('V06 Calend 01'!C68+(6*'V06 Calend 01'!E68))),('V06 Calend 01'!H68-('V06 Calend 01'!I68*('V06 Calend 01'!E68-1))),'V06 Calend 01'!I68),0))+IF((175='V06 Calend 01'!D68),'V06 Calend 01'!J68,0))</f>
        <v>0</v>
      </c>
      <c r="GF68" s="2">
        <f>((IF((176='V06 Calend 01'!C68),('V06 Calend 01'!F68+'V06 Calend 01'!G68),0)+IF(AND(('V06 Calend 01'!E68&gt;0),(176&gt;'V06 Calend 01'!C68),(176&lt;'V06 Calend 01'!D68),(MOD((176-'V06 Calend 01'!C68),6)=0),(((176-'V06 Calend 01'!C68)/6)&lt;='V06 Calend 01'!E68)),IF((176=('V06 Calend 01'!C68+(6*'V06 Calend 01'!E68))),('V06 Calend 01'!H68-('V06 Calend 01'!I68*('V06 Calend 01'!E68-1))),'V06 Calend 01'!I68),0))+IF((176='V06 Calend 01'!D68),'V06 Calend 01'!J68,0))</f>
        <v>0</v>
      </c>
      <c r="GG68" s="2">
        <f>((IF((177='V06 Calend 01'!C68),('V06 Calend 01'!F68+'V06 Calend 01'!G68),0)+IF(AND(('V06 Calend 01'!E68&gt;0),(177&gt;'V06 Calend 01'!C68),(177&lt;'V06 Calend 01'!D68),(MOD((177-'V06 Calend 01'!C68),6)=0),(((177-'V06 Calend 01'!C68)/6)&lt;='V06 Calend 01'!E68)),IF((177=('V06 Calend 01'!C68+(6*'V06 Calend 01'!E68))),('V06 Calend 01'!H68-('V06 Calend 01'!I68*('V06 Calend 01'!E68-1))),'V06 Calend 01'!I68),0))+IF((177='V06 Calend 01'!D68),'V06 Calend 01'!J68,0))</f>
        <v>0</v>
      </c>
      <c r="GH68" s="2">
        <f>((IF((178='V06 Calend 01'!C68),('V06 Calend 01'!F68+'V06 Calend 01'!G68),0)+IF(AND(('V06 Calend 01'!E68&gt;0),(178&gt;'V06 Calend 01'!C68),(178&lt;'V06 Calend 01'!D68),(MOD((178-'V06 Calend 01'!C68),6)=0),(((178-'V06 Calend 01'!C68)/6)&lt;='V06 Calend 01'!E68)),IF((178=('V06 Calend 01'!C68+(6*'V06 Calend 01'!E68))),('V06 Calend 01'!H68-('V06 Calend 01'!I68*('V06 Calend 01'!E68-1))),'V06 Calend 01'!I68),0))+IF((178='V06 Calend 01'!D68),'V06 Calend 01'!J68,0))</f>
        <v>0</v>
      </c>
      <c r="GI68" s="2">
        <f>((IF((179='V06 Calend 01'!C68),('V06 Calend 01'!F68+'V06 Calend 01'!G68),0)+IF(AND(('V06 Calend 01'!E68&gt;0),(179&gt;'V06 Calend 01'!C68),(179&lt;'V06 Calend 01'!D68),(MOD((179-'V06 Calend 01'!C68),6)=0),(((179-'V06 Calend 01'!C68)/6)&lt;='V06 Calend 01'!E68)),IF((179=('V06 Calend 01'!C68+(6*'V06 Calend 01'!E68))),('V06 Calend 01'!H68-('V06 Calend 01'!I68*('V06 Calend 01'!E68-1))),'V06 Calend 01'!I68),0))+IF((179='V06 Calend 01'!D68),'V06 Calend 01'!J68,0))</f>
        <v>0</v>
      </c>
      <c r="GJ68" s="2">
        <f>((IF((180='V06 Calend 01'!C68),('V06 Calend 01'!F68+'V06 Calend 01'!G68),0)+IF(AND(('V06 Calend 01'!E68&gt;0),(180&gt;'V06 Calend 01'!C68),(180&lt;'V06 Calend 01'!D68),(MOD((180-'V06 Calend 01'!C68),6)=0),(((180-'V06 Calend 01'!C68)/6)&lt;='V06 Calend 01'!E68)),IF((180=('V06 Calend 01'!C68+(6*'V06 Calend 01'!E68))),('V06 Calend 01'!H68-('V06 Calend 01'!I68*('V06 Calend 01'!E68-1))),'V06 Calend 01'!I68),0))+IF((180='V06 Calend 01'!D68),'V06 Calend 01'!J68,0))</f>
        <v>0</v>
      </c>
    </row>
    <row r="69" spans="1:192">
      <c r="A69" s="3" t="str">
        <f>'V06 Unidades'!$A$69</f>
        <v>805</v>
      </c>
      <c r="B69" s="2">
        <f>'V06 Unidades'!$H$69</f>
        <v>602198.58</v>
      </c>
      <c r="C69" s="4">
        <f>('V06 Unidades'!$I$69+'V06 Controlos'!$B$37)</f>
        <v>19</v>
      </c>
      <c r="D69" s="4">
        <f>IF(('V06 Controlos'!$B$38&gt;0),MAX(('V06 Unidades'!$L$69+'V06 Controlos'!$B$37),(30+'V06 Controlos'!$B$38)),('V06 Unidades'!$L$69+'V06 Controlos'!$B$37))</f>
        <v>29</v>
      </c>
      <c r="E69" s="4">
        <f>MAX(0,INT(((('V06 Calend 01'!D69-'V06 Calend 01'!C69)-1)/6)))</f>
        <v>1</v>
      </c>
      <c r="F69" s="2">
        <f>ROUND(('V06 Calend 01'!B69*0.05),2)</f>
        <v>30109.93</v>
      </c>
      <c r="G69" s="2">
        <f>ROUND(('V06 Calend 01'!B69*0.2),2)</f>
        <v>120439.72</v>
      </c>
      <c r="H69" s="2">
        <f>ROUND(('V06 Calend 01'!B69*0.55),2)</f>
        <v>331209.22</v>
      </c>
      <c r="I69" s="2">
        <f>ROUND(('V06 Calend 01'!H69/MAX(1,'V06 Calend 01'!E69)),2)</f>
        <v>331209.22</v>
      </c>
      <c r="J69" s="2">
        <f>((('V06 Calend 01'!B69-'V06 Calend 01'!F69)-'V06 Calend 01'!G69)-'V06 Calend 01'!H69)</f>
        <v>120439.70999999996</v>
      </c>
      <c r="K69" s="2">
        <f>('V06 Calend 01'!B69*0.025)</f>
        <v>15054.9645</v>
      </c>
      <c r="L69" t="s">
        <v>378</v>
      </c>
      <c r="M69" s="2">
        <f>((IF((1='V06 Calend 01'!C69),('V06 Calend 01'!F69+'V06 Calend 01'!G69),0)+IF(AND(('V06 Calend 01'!E69&gt;0),(1&gt;'V06 Calend 01'!C69),(1&lt;'V06 Calend 01'!D69),(MOD((1-'V06 Calend 01'!C69),6)=0),(((1-'V06 Calend 01'!C69)/6)&lt;='V06 Calend 01'!E69)),IF((1=('V06 Calend 01'!C69+(6*'V06 Calend 01'!E69))),('V06 Calend 01'!H69-('V06 Calend 01'!I69*('V06 Calend 01'!E69-1))),'V06 Calend 01'!I69),0))+IF((1='V06 Calend 01'!D69),'V06 Calend 01'!J69,0))</f>
        <v>0</v>
      </c>
      <c r="N69" s="2">
        <f>((IF((2='V06 Calend 01'!C69),('V06 Calend 01'!F69+'V06 Calend 01'!G69),0)+IF(AND(('V06 Calend 01'!E69&gt;0),(2&gt;'V06 Calend 01'!C69),(2&lt;'V06 Calend 01'!D69),(MOD((2-'V06 Calend 01'!C69),6)=0),(((2-'V06 Calend 01'!C69)/6)&lt;='V06 Calend 01'!E69)),IF((2=('V06 Calend 01'!C69+(6*'V06 Calend 01'!E69))),('V06 Calend 01'!H69-('V06 Calend 01'!I69*('V06 Calend 01'!E69-1))),'V06 Calend 01'!I69),0))+IF((2='V06 Calend 01'!D69),'V06 Calend 01'!J69,0))</f>
        <v>0</v>
      </c>
      <c r="O69" s="2">
        <f>((IF((3='V06 Calend 01'!C69),('V06 Calend 01'!F69+'V06 Calend 01'!G69),0)+IF(AND(('V06 Calend 01'!E69&gt;0),(3&gt;'V06 Calend 01'!C69),(3&lt;'V06 Calend 01'!D69),(MOD((3-'V06 Calend 01'!C69),6)=0),(((3-'V06 Calend 01'!C69)/6)&lt;='V06 Calend 01'!E69)),IF((3=('V06 Calend 01'!C69+(6*'V06 Calend 01'!E69))),('V06 Calend 01'!H69-('V06 Calend 01'!I69*('V06 Calend 01'!E69-1))),'V06 Calend 01'!I69),0))+IF((3='V06 Calend 01'!D69),'V06 Calend 01'!J69,0))</f>
        <v>0</v>
      </c>
      <c r="P69" s="2">
        <f>((IF((4='V06 Calend 01'!C69),('V06 Calend 01'!F69+'V06 Calend 01'!G69),0)+IF(AND(('V06 Calend 01'!E69&gt;0),(4&gt;'V06 Calend 01'!C69),(4&lt;'V06 Calend 01'!D69),(MOD((4-'V06 Calend 01'!C69),6)=0),(((4-'V06 Calend 01'!C69)/6)&lt;='V06 Calend 01'!E69)),IF((4=('V06 Calend 01'!C69+(6*'V06 Calend 01'!E69))),('V06 Calend 01'!H69-('V06 Calend 01'!I69*('V06 Calend 01'!E69-1))),'V06 Calend 01'!I69),0))+IF((4='V06 Calend 01'!D69),'V06 Calend 01'!J69,0))</f>
        <v>0</v>
      </c>
      <c r="Q69" s="2">
        <f>((IF((5='V06 Calend 01'!C69),('V06 Calend 01'!F69+'V06 Calend 01'!G69),0)+IF(AND(('V06 Calend 01'!E69&gt;0),(5&gt;'V06 Calend 01'!C69),(5&lt;'V06 Calend 01'!D69),(MOD((5-'V06 Calend 01'!C69),6)=0),(((5-'V06 Calend 01'!C69)/6)&lt;='V06 Calend 01'!E69)),IF((5=('V06 Calend 01'!C69+(6*'V06 Calend 01'!E69))),('V06 Calend 01'!H69-('V06 Calend 01'!I69*('V06 Calend 01'!E69-1))),'V06 Calend 01'!I69),0))+IF((5='V06 Calend 01'!D69),'V06 Calend 01'!J69,0))</f>
        <v>0</v>
      </c>
      <c r="R69" s="2">
        <f>((IF((6='V06 Calend 01'!C69),('V06 Calend 01'!F69+'V06 Calend 01'!G69),0)+IF(AND(('V06 Calend 01'!E69&gt;0),(6&gt;'V06 Calend 01'!C69),(6&lt;'V06 Calend 01'!D69),(MOD((6-'V06 Calend 01'!C69),6)=0),(((6-'V06 Calend 01'!C69)/6)&lt;='V06 Calend 01'!E69)),IF((6=('V06 Calend 01'!C69+(6*'V06 Calend 01'!E69))),('V06 Calend 01'!H69-('V06 Calend 01'!I69*('V06 Calend 01'!E69-1))),'V06 Calend 01'!I69),0))+IF((6='V06 Calend 01'!D69),'V06 Calend 01'!J69,0))</f>
        <v>0</v>
      </c>
      <c r="S69" s="2">
        <f>((IF((7='V06 Calend 01'!C69),('V06 Calend 01'!F69+'V06 Calend 01'!G69),0)+IF(AND(('V06 Calend 01'!E69&gt;0),(7&gt;'V06 Calend 01'!C69),(7&lt;'V06 Calend 01'!D69),(MOD((7-'V06 Calend 01'!C69),6)=0),(((7-'V06 Calend 01'!C69)/6)&lt;='V06 Calend 01'!E69)),IF((7=('V06 Calend 01'!C69+(6*'V06 Calend 01'!E69))),('V06 Calend 01'!H69-('V06 Calend 01'!I69*('V06 Calend 01'!E69-1))),'V06 Calend 01'!I69),0))+IF((7='V06 Calend 01'!D69),'V06 Calend 01'!J69,0))</f>
        <v>0</v>
      </c>
      <c r="T69" s="2">
        <f>((IF((8='V06 Calend 01'!C69),('V06 Calend 01'!F69+'V06 Calend 01'!G69),0)+IF(AND(('V06 Calend 01'!E69&gt;0),(8&gt;'V06 Calend 01'!C69),(8&lt;'V06 Calend 01'!D69),(MOD((8-'V06 Calend 01'!C69),6)=0),(((8-'V06 Calend 01'!C69)/6)&lt;='V06 Calend 01'!E69)),IF((8=('V06 Calend 01'!C69+(6*'V06 Calend 01'!E69))),('V06 Calend 01'!H69-('V06 Calend 01'!I69*('V06 Calend 01'!E69-1))),'V06 Calend 01'!I69),0))+IF((8='V06 Calend 01'!D69),'V06 Calend 01'!J69,0))</f>
        <v>0</v>
      </c>
      <c r="U69" s="2">
        <f>((IF((9='V06 Calend 01'!C69),('V06 Calend 01'!F69+'V06 Calend 01'!G69),0)+IF(AND(('V06 Calend 01'!E69&gt;0),(9&gt;'V06 Calend 01'!C69),(9&lt;'V06 Calend 01'!D69),(MOD((9-'V06 Calend 01'!C69),6)=0),(((9-'V06 Calend 01'!C69)/6)&lt;='V06 Calend 01'!E69)),IF((9=('V06 Calend 01'!C69+(6*'V06 Calend 01'!E69))),('V06 Calend 01'!H69-('V06 Calend 01'!I69*('V06 Calend 01'!E69-1))),'V06 Calend 01'!I69),0))+IF((9='V06 Calend 01'!D69),'V06 Calend 01'!J69,0))</f>
        <v>0</v>
      </c>
      <c r="V69" s="2">
        <f>((IF((10='V06 Calend 01'!C69),('V06 Calend 01'!F69+'V06 Calend 01'!G69),0)+IF(AND(('V06 Calend 01'!E69&gt;0),(10&gt;'V06 Calend 01'!C69),(10&lt;'V06 Calend 01'!D69),(MOD((10-'V06 Calend 01'!C69),6)=0),(((10-'V06 Calend 01'!C69)/6)&lt;='V06 Calend 01'!E69)),IF((10=('V06 Calend 01'!C69+(6*'V06 Calend 01'!E69))),('V06 Calend 01'!H69-('V06 Calend 01'!I69*('V06 Calend 01'!E69-1))),'V06 Calend 01'!I69),0))+IF((10='V06 Calend 01'!D69),'V06 Calend 01'!J69,0))</f>
        <v>0</v>
      </c>
      <c r="W69" s="2">
        <f>((IF((11='V06 Calend 01'!C69),('V06 Calend 01'!F69+'V06 Calend 01'!G69),0)+IF(AND(('V06 Calend 01'!E69&gt;0),(11&gt;'V06 Calend 01'!C69),(11&lt;'V06 Calend 01'!D69),(MOD((11-'V06 Calend 01'!C69),6)=0),(((11-'V06 Calend 01'!C69)/6)&lt;='V06 Calend 01'!E69)),IF((11=('V06 Calend 01'!C69+(6*'V06 Calend 01'!E69))),('V06 Calend 01'!H69-('V06 Calend 01'!I69*('V06 Calend 01'!E69-1))),'V06 Calend 01'!I69),0))+IF((11='V06 Calend 01'!D69),'V06 Calend 01'!J69,0))</f>
        <v>0</v>
      </c>
      <c r="X69" s="2">
        <f>((IF((12='V06 Calend 01'!C69),('V06 Calend 01'!F69+'V06 Calend 01'!G69),0)+IF(AND(('V06 Calend 01'!E69&gt;0),(12&gt;'V06 Calend 01'!C69),(12&lt;'V06 Calend 01'!D69),(MOD((12-'V06 Calend 01'!C69),6)=0),(((12-'V06 Calend 01'!C69)/6)&lt;='V06 Calend 01'!E69)),IF((12=('V06 Calend 01'!C69+(6*'V06 Calend 01'!E69))),('V06 Calend 01'!H69-('V06 Calend 01'!I69*('V06 Calend 01'!E69-1))),'V06 Calend 01'!I69),0))+IF((12='V06 Calend 01'!D69),'V06 Calend 01'!J69,0))</f>
        <v>0</v>
      </c>
      <c r="Y69" s="2">
        <f>((IF((13='V06 Calend 01'!C69),('V06 Calend 01'!F69+'V06 Calend 01'!G69),0)+IF(AND(('V06 Calend 01'!E69&gt;0),(13&gt;'V06 Calend 01'!C69),(13&lt;'V06 Calend 01'!D69),(MOD((13-'V06 Calend 01'!C69),6)=0),(((13-'V06 Calend 01'!C69)/6)&lt;='V06 Calend 01'!E69)),IF((13=('V06 Calend 01'!C69+(6*'V06 Calend 01'!E69))),('V06 Calend 01'!H69-('V06 Calend 01'!I69*('V06 Calend 01'!E69-1))),'V06 Calend 01'!I69),0))+IF((13='V06 Calend 01'!D69),'V06 Calend 01'!J69,0))</f>
        <v>0</v>
      </c>
      <c r="Z69" s="2">
        <f>((IF((14='V06 Calend 01'!C69),('V06 Calend 01'!F69+'V06 Calend 01'!G69),0)+IF(AND(('V06 Calend 01'!E69&gt;0),(14&gt;'V06 Calend 01'!C69),(14&lt;'V06 Calend 01'!D69),(MOD((14-'V06 Calend 01'!C69),6)=0),(((14-'V06 Calend 01'!C69)/6)&lt;='V06 Calend 01'!E69)),IF((14=('V06 Calend 01'!C69+(6*'V06 Calend 01'!E69))),('V06 Calend 01'!H69-('V06 Calend 01'!I69*('V06 Calend 01'!E69-1))),'V06 Calend 01'!I69),0))+IF((14='V06 Calend 01'!D69),'V06 Calend 01'!J69,0))</f>
        <v>0</v>
      </c>
      <c r="AA69" s="2">
        <f>((IF((15='V06 Calend 01'!C69),('V06 Calend 01'!F69+'V06 Calend 01'!G69),0)+IF(AND(('V06 Calend 01'!E69&gt;0),(15&gt;'V06 Calend 01'!C69),(15&lt;'V06 Calend 01'!D69),(MOD((15-'V06 Calend 01'!C69),6)=0),(((15-'V06 Calend 01'!C69)/6)&lt;='V06 Calend 01'!E69)),IF((15=('V06 Calend 01'!C69+(6*'V06 Calend 01'!E69))),('V06 Calend 01'!H69-('V06 Calend 01'!I69*('V06 Calend 01'!E69-1))),'V06 Calend 01'!I69),0))+IF((15='V06 Calend 01'!D69),'V06 Calend 01'!J69,0))</f>
        <v>0</v>
      </c>
      <c r="AB69" s="2">
        <f>((IF((16='V06 Calend 01'!C69),('V06 Calend 01'!F69+'V06 Calend 01'!G69),0)+IF(AND(('V06 Calend 01'!E69&gt;0),(16&gt;'V06 Calend 01'!C69),(16&lt;'V06 Calend 01'!D69),(MOD((16-'V06 Calend 01'!C69),6)=0),(((16-'V06 Calend 01'!C69)/6)&lt;='V06 Calend 01'!E69)),IF((16=('V06 Calend 01'!C69+(6*'V06 Calend 01'!E69))),('V06 Calend 01'!H69-('V06 Calend 01'!I69*('V06 Calend 01'!E69-1))),'V06 Calend 01'!I69),0))+IF((16='V06 Calend 01'!D69),'V06 Calend 01'!J69,0))</f>
        <v>0</v>
      </c>
      <c r="AC69" s="2">
        <f>((IF((17='V06 Calend 01'!C69),('V06 Calend 01'!F69+'V06 Calend 01'!G69),0)+IF(AND(('V06 Calend 01'!E69&gt;0),(17&gt;'V06 Calend 01'!C69),(17&lt;'V06 Calend 01'!D69),(MOD((17-'V06 Calend 01'!C69),6)=0),(((17-'V06 Calend 01'!C69)/6)&lt;='V06 Calend 01'!E69)),IF((17=('V06 Calend 01'!C69+(6*'V06 Calend 01'!E69))),('V06 Calend 01'!H69-('V06 Calend 01'!I69*('V06 Calend 01'!E69-1))),'V06 Calend 01'!I69),0))+IF((17='V06 Calend 01'!D69),'V06 Calend 01'!J69,0))</f>
        <v>0</v>
      </c>
      <c r="AD69" s="2">
        <f>((IF((18='V06 Calend 01'!C69),('V06 Calend 01'!F69+'V06 Calend 01'!G69),0)+IF(AND(('V06 Calend 01'!E69&gt;0),(18&gt;'V06 Calend 01'!C69),(18&lt;'V06 Calend 01'!D69),(MOD((18-'V06 Calend 01'!C69),6)=0),(((18-'V06 Calend 01'!C69)/6)&lt;='V06 Calend 01'!E69)),IF((18=('V06 Calend 01'!C69+(6*'V06 Calend 01'!E69))),('V06 Calend 01'!H69-('V06 Calend 01'!I69*('V06 Calend 01'!E69-1))),'V06 Calend 01'!I69),0))+IF((18='V06 Calend 01'!D69),'V06 Calend 01'!J69,0))</f>
        <v>0</v>
      </c>
      <c r="AE69" s="2">
        <f>((IF((19='V06 Calend 01'!C69),('V06 Calend 01'!F69+'V06 Calend 01'!G69),0)+IF(AND(('V06 Calend 01'!E69&gt;0),(19&gt;'V06 Calend 01'!C69),(19&lt;'V06 Calend 01'!D69),(MOD((19-'V06 Calend 01'!C69),6)=0),(((19-'V06 Calend 01'!C69)/6)&lt;='V06 Calend 01'!E69)),IF((19=('V06 Calend 01'!C69+(6*'V06 Calend 01'!E69))),('V06 Calend 01'!H69-('V06 Calend 01'!I69*('V06 Calend 01'!E69-1))),'V06 Calend 01'!I69),0))+IF((19='V06 Calend 01'!D69),'V06 Calend 01'!J69,0))</f>
        <v>150549.65</v>
      </c>
      <c r="AF69" s="2">
        <f>((IF((20='V06 Calend 01'!C69),('V06 Calend 01'!F69+'V06 Calend 01'!G69),0)+IF(AND(('V06 Calend 01'!E69&gt;0),(20&gt;'V06 Calend 01'!C69),(20&lt;'V06 Calend 01'!D69),(MOD((20-'V06 Calend 01'!C69),6)=0),(((20-'V06 Calend 01'!C69)/6)&lt;='V06 Calend 01'!E69)),IF((20=('V06 Calend 01'!C69+(6*'V06 Calend 01'!E69))),('V06 Calend 01'!H69-('V06 Calend 01'!I69*('V06 Calend 01'!E69-1))),'V06 Calend 01'!I69),0))+IF((20='V06 Calend 01'!D69),'V06 Calend 01'!J69,0))</f>
        <v>0</v>
      </c>
      <c r="AG69" s="2">
        <f>((IF((21='V06 Calend 01'!C69),('V06 Calend 01'!F69+'V06 Calend 01'!G69),0)+IF(AND(('V06 Calend 01'!E69&gt;0),(21&gt;'V06 Calend 01'!C69),(21&lt;'V06 Calend 01'!D69),(MOD((21-'V06 Calend 01'!C69),6)=0),(((21-'V06 Calend 01'!C69)/6)&lt;='V06 Calend 01'!E69)),IF((21=('V06 Calend 01'!C69+(6*'V06 Calend 01'!E69))),('V06 Calend 01'!H69-('V06 Calend 01'!I69*('V06 Calend 01'!E69-1))),'V06 Calend 01'!I69),0))+IF((21='V06 Calend 01'!D69),'V06 Calend 01'!J69,0))</f>
        <v>0</v>
      </c>
      <c r="AH69" s="2">
        <f>((IF((22='V06 Calend 01'!C69),('V06 Calend 01'!F69+'V06 Calend 01'!G69),0)+IF(AND(('V06 Calend 01'!E69&gt;0),(22&gt;'V06 Calend 01'!C69),(22&lt;'V06 Calend 01'!D69),(MOD((22-'V06 Calend 01'!C69),6)=0),(((22-'V06 Calend 01'!C69)/6)&lt;='V06 Calend 01'!E69)),IF((22=('V06 Calend 01'!C69+(6*'V06 Calend 01'!E69))),('V06 Calend 01'!H69-('V06 Calend 01'!I69*('V06 Calend 01'!E69-1))),'V06 Calend 01'!I69),0))+IF((22='V06 Calend 01'!D69),'V06 Calend 01'!J69,0))</f>
        <v>0</v>
      </c>
      <c r="AI69" s="2">
        <f>((IF((23='V06 Calend 01'!C69),('V06 Calend 01'!F69+'V06 Calend 01'!G69),0)+IF(AND(('V06 Calend 01'!E69&gt;0),(23&gt;'V06 Calend 01'!C69),(23&lt;'V06 Calend 01'!D69),(MOD((23-'V06 Calend 01'!C69),6)=0),(((23-'V06 Calend 01'!C69)/6)&lt;='V06 Calend 01'!E69)),IF((23=('V06 Calend 01'!C69+(6*'V06 Calend 01'!E69))),('V06 Calend 01'!H69-('V06 Calend 01'!I69*('V06 Calend 01'!E69-1))),'V06 Calend 01'!I69),0))+IF((23='V06 Calend 01'!D69),'V06 Calend 01'!J69,0))</f>
        <v>0</v>
      </c>
      <c r="AJ69" s="2">
        <f>((IF((24='V06 Calend 01'!C69),('V06 Calend 01'!F69+'V06 Calend 01'!G69),0)+IF(AND(('V06 Calend 01'!E69&gt;0),(24&gt;'V06 Calend 01'!C69),(24&lt;'V06 Calend 01'!D69),(MOD((24-'V06 Calend 01'!C69),6)=0),(((24-'V06 Calend 01'!C69)/6)&lt;='V06 Calend 01'!E69)),IF((24=('V06 Calend 01'!C69+(6*'V06 Calend 01'!E69))),('V06 Calend 01'!H69-('V06 Calend 01'!I69*('V06 Calend 01'!E69-1))),'V06 Calend 01'!I69),0))+IF((24='V06 Calend 01'!D69),'V06 Calend 01'!J69,0))</f>
        <v>0</v>
      </c>
      <c r="AK69" s="2">
        <f>((IF((25='V06 Calend 01'!C69),('V06 Calend 01'!F69+'V06 Calend 01'!G69),0)+IF(AND(('V06 Calend 01'!E69&gt;0),(25&gt;'V06 Calend 01'!C69),(25&lt;'V06 Calend 01'!D69),(MOD((25-'V06 Calend 01'!C69),6)=0),(((25-'V06 Calend 01'!C69)/6)&lt;='V06 Calend 01'!E69)),IF((25=('V06 Calend 01'!C69+(6*'V06 Calend 01'!E69))),('V06 Calend 01'!H69-('V06 Calend 01'!I69*('V06 Calend 01'!E69-1))),'V06 Calend 01'!I69),0))+IF((25='V06 Calend 01'!D69),'V06 Calend 01'!J69,0))</f>
        <v>331209.22</v>
      </c>
      <c r="AL69" s="2">
        <f>((IF((26='V06 Calend 01'!C69),('V06 Calend 01'!F69+'V06 Calend 01'!G69),0)+IF(AND(('V06 Calend 01'!E69&gt;0),(26&gt;'V06 Calend 01'!C69),(26&lt;'V06 Calend 01'!D69),(MOD((26-'V06 Calend 01'!C69),6)=0),(((26-'V06 Calend 01'!C69)/6)&lt;='V06 Calend 01'!E69)),IF((26=('V06 Calend 01'!C69+(6*'V06 Calend 01'!E69))),('V06 Calend 01'!H69-('V06 Calend 01'!I69*('V06 Calend 01'!E69-1))),'V06 Calend 01'!I69),0))+IF((26='V06 Calend 01'!D69),'V06 Calend 01'!J69,0))</f>
        <v>0</v>
      </c>
      <c r="AM69" s="2">
        <f>((IF((27='V06 Calend 01'!C69),('V06 Calend 01'!F69+'V06 Calend 01'!G69),0)+IF(AND(('V06 Calend 01'!E69&gt;0),(27&gt;'V06 Calend 01'!C69),(27&lt;'V06 Calend 01'!D69),(MOD((27-'V06 Calend 01'!C69),6)=0),(((27-'V06 Calend 01'!C69)/6)&lt;='V06 Calend 01'!E69)),IF((27=('V06 Calend 01'!C69+(6*'V06 Calend 01'!E69))),('V06 Calend 01'!H69-('V06 Calend 01'!I69*('V06 Calend 01'!E69-1))),'V06 Calend 01'!I69),0))+IF((27='V06 Calend 01'!D69),'V06 Calend 01'!J69,0))</f>
        <v>0</v>
      </c>
      <c r="AN69" s="2">
        <f>((IF((28='V06 Calend 01'!C69),('V06 Calend 01'!F69+'V06 Calend 01'!G69),0)+IF(AND(('V06 Calend 01'!E69&gt;0),(28&gt;'V06 Calend 01'!C69),(28&lt;'V06 Calend 01'!D69),(MOD((28-'V06 Calend 01'!C69),6)=0),(((28-'V06 Calend 01'!C69)/6)&lt;='V06 Calend 01'!E69)),IF((28=('V06 Calend 01'!C69+(6*'V06 Calend 01'!E69))),('V06 Calend 01'!H69-('V06 Calend 01'!I69*('V06 Calend 01'!E69-1))),'V06 Calend 01'!I69),0))+IF((28='V06 Calend 01'!D69),'V06 Calend 01'!J69,0))</f>
        <v>0</v>
      </c>
      <c r="AO69" s="2">
        <f>((IF((29='V06 Calend 01'!C69),('V06 Calend 01'!F69+'V06 Calend 01'!G69),0)+IF(AND(('V06 Calend 01'!E69&gt;0),(29&gt;'V06 Calend 01'!C69),(29&lt;'V06 Calend 01'!D69),(MOD((29-'V06 Calend 01'!C69),6)=0),(((29-'V06 Calend 01'!C69)/6)&lt;='V06 Calend 01'!E69)),IF((29=('V06 Calend 01'!C69+(6*'V06 Calend 01'!E69))),('V06 Calend 01'!H69-('V06 Calend 01'!I69*('V06 Calend 01'!E69-1))),'V06 Calend 01'!I69),0))+IF((29='V06 Calend 01'!D69),'V06 Calend 01'!J69,0))</f>
        <v>120439.70999999996</v>
      </c>
      <c r="AP69" s="2">
        <f>((IF((30='V06 Calend 01'!C69),('V06 Calend 01'!F69+'V06 Calend 01'!G69),0)+IF(AND(('V06 Calend 01'!E69&gt;0),(30&gt;'V06 Calend 01'!C69),(30&lt;'V06 Calend 01'!D69),(MOD((30-'V06 Calend 01'!C69),6)=0),(((30-'V06 Calend 01'!C69)/6)&lt;='V06 Calend 01'!E69)),IF((30=('V06 Calend 01'!C69+(6*'V06 Calend 01'!E69))),('V06 Calend 01'!H69-('V06 Calend 01'!I69*('V06 Calend 01'!E69-1))),'V06 Calend 01'!I69),0))+IF((30='V06 Calend 01'!D69),'V06 Calend 01'!J69,0))</f>
        <v>0</v>
      </c>
      <c r="AQ69" s="2">
        <f>((IF((31='V06 Calend 01'!C69),('V06 Calend 01'!F69+'V06 Calend 01'!G69),0)+IF(AND(('V06 Calend 01'!E69&gt;0),(31&gt;'V06 Calend 01'!C69),(31&lt;'V06 Calend 01'!D69),(MOD((31-'V06 Calend 01'!C69),6)=0),(((31-'V06 Calend 01'!C69)/6)&lt;='V06 Calend 01'!E69)),IF((31=('V06 Calend 01'!C69+(6*'V06 Calend 01'!E69))),('V06 Calend 01'!H69-('V06 Calend 01'!I69*('V06 Calend 01'!E69-1))),'V06 Calend 01'!I69),0))+IF((31='V06 Calend 01'!D69),'V06 Calend 01'!J69,0))</f>
        <v>0</v>
      </c>
      <c r="AR69" s="2">
        <f>((IF((32='V06 Calend 01'!C69),('V06 Calend 01'!F69+'V06 Calend 01'!G69),0)+IF(AND(('V06 Calend 01'!E69&gt;0),(32&gt;'V06 Calend 01'!C69),(32&lt;'V06 Calend 01'!D69),(MOD((32-'V06 Calend 01'!C69),6)=0),(((32-'V06 Calend 01'!C69)/6)&lt;='V06 Calend 01'!E69)),IF((32=('V06 Calend 01'!C69+(6*'V06 Calend 01'!E69))),('V06 Calend 01'!H69-('V06 Calend 01'!I69*('V06 Calend 01'!E69-1))),'V06 Calend 01'!I69),0))+IF((32='V06 Calend 01'!D69),'V06 Calend 01'!J69,0))</f>
        <v>0</v>
      </c>
      <c r="AS69" s="2">
        <f>((IF((33='V06 Calend 01'!C69),('V06 Calend 01'!F69+'V06 Calend 01'!G69),0)+IF(AND(('V06 Calend 01'!E69&gt;0),(33&gt;'V06 Calend 01'!C69),(33&lt;'V06 Calend 01'!D69),(MOD((33-'V06 Calend 01'!C69),6)=0),(((33-'V06 Calend 01'!C69)/6)&lt;='V06 Calend 01'!E69)),IF((33=('V06 Calend 01'!C69+(6*'V06 Calend 01'!E69))),('V06 Calend 01'!H69-('V06 Calend 01'!I69*('V06 Calend 01'!E69-1))),'V06 Calend 01'!I69),0))+IF((33='V06 Calend 01'!D69),'V06 Calend 01'!J69,0))</f>
        <v>0</v>
      </c>
      <c r="AT69" s="2">
        <f>((IF((34='V06 Calend 01'!C69),('V06 Calend 01'!F69+'V06 Calend 01'!G69),0)+IF(AND(('V06 Calend 01'!E69&gt;0),(34&gt;'V06 Calend 01'!C69),(34&lt;'V06 Calend 01'!D69),(MOD((34-'V06 Calend 01'!C69),6)=0),(((34-'V06 Calend 01'!C69)/6)&lt;='V06 Calend 01'!E69)),IF((34=('V06 Calend 01'!C69+(6*'V06 Calend 01'!E69))),('V06 Calend 01'!H69-('V06 Calend 01'!I69*('V06 Calend 01'!E69-1))),'V06 Calend 01'!I69),0))+IF((34='V06 Calend 01'!D69),'V06 Calend 01'!J69,0))</f>
        <v>0</v>
      </c>
      <c r="AU69" s="2">
        <f>((IF((35='V06 Calend 01'!C69),('V06 Calend 01'!F69+'V06 Calend 01'!G69),0)+IF(AND(('V06 Calend 01'!E69&gt;0),(35&gt;'V06 Calend 01'!C69),(35&lt;'V06 Calend 01'!D69),(MOD((35-'V06 Calend 01'!C69),6)=0),(((35-'V06 Calend 01'!C69)/6)&lt;='V06 Calend 01'!E69)),IF((35=('V06 Calend 01'!C69+(6*'V06 Calend 01'!E69))),('V06 Calend 01'!H69-('V06 Calend 01'!I69*('V06 Calend 01'!E69-1))),'V06 Calend 01'!I69),0))+IF((35='V06 Calend 01'!D69),'V06 Calend 01'!J69,0))</f>
        <v>0</v>
      </c>
      <c r="AV69" s="2">
        <f>((IF((36='V06 Calend 01'!C69),('V06 Calend 01'!F69+'V06 Calend 01'!G69),0)+IF(AND(('V06 Calend 01'!E69&gt;0),(36&gt;'V06 Calend 01'!C69),(36&lt;'V06 Calend 01'!D69),(MOD((36-'V06 Calend 01'!C69),6)=0),(((36-'V06 Calend 01'!C69)/6)&lt;='V06 Calend 01'!E69)),IF((36=('V06 Calend 01'!C69+(6*'V06 Calend 01'!E69))),('V06 Calend 01'!H69-('V06 Calend 01'!I69*('V06 Calend 01'!E69-1))),'V06 Calend 01'!I69),0))+IF((36='V06 Calend 01'!D69),'V06 Calend 01'!J69,0))</f>
        <v>0</v>
      </c>
      <c r="AW69" s="2">
        <f>((IF((37='V06 Calend 01'!C69),('V06 Calend 01'!F69+'V06 Calend 01'!G69),0)+IF(AND(('V06 Calend 01'!E69&gt;0),(37&gt;'V06 Calend 01'!C69),(37&lt;'V06 Calend 01'!D69),(MOD((37-'V06 Calend 01'!C69),6)=0),(((37-'V06 Calend 01'!C69)/6)&lt;='V06 Calend 01'!E69)),IF((37=('V06 Calend 01'!C69+(6*'V06 Calend 01'!E69))),('V06 Calend 01'!H69-('V06 Calend 01'!I69*('V06 Calend 01'!E69-1))),'V06 Calend 01'!I69),0))+IF((37='V06 Calend 01'!D69),'V06 Calend 01'!J69,0))</f>
        <v>0</v>
      </c>
      <c r="AX69" s="2">
        <f>((IF((38='V06 Calend 01'!C69),('V06 Calend 01'!F69+'V06 Calend 01'!G69),0)+IF(AND(('V06 Calend 01'!E69&gt;0),(38&gt;'V06 Calend 01'!C69),(38&lt;'V06 Calend 01'!D69),(MOD((38-'V06 Calend 01'!C69),6)=0),(((38-'V06 Calend 01'!C69)/6)&lt;='V06 Calend 01'!E69)),IF((38=('V06 Calend 01'!C69+(6*'V06 Calend 01'!E69))),('V06 Calend 01'!H69-('V06 Calend 01'!I69*('V06 Calend 01'!E69-1))),'V06 Calend 01'!I69),0))+IF((38='V06 Calend 01'!D69),'V06 Calend 01'!J69,0))</f>
        <v>0</v>
      </c>
      <c r="AY69" s="2">
        <f>((IF((39='V06 Calend 01'!C69),('V06 Calend 01'!F69+'V06 Calend 01'!G69),0)+IF(AND(('V06 Calend 01'!E69&gt;0),(39&gt;'V06 Calend 01'!C69),(39&lt;'V06 Calend 01'!D69),(MOD((39-'V06 Calend 01'!C69),6)=0),(((39-'V06 Calend 01'!C69)/6)&lt;='V06 Calend 01'!E69)),IF((39=('V06 Calend 01'!C69+(6*'V06 Calend 01'!E69))),('V06 Calend 01'!H69-('V06 Calend 01'!I69*('V06 Calend 01'!E69-1))),'V06 Calend 01'!I69),0))+IF((39='V06 Calend 01'!D69),'V06 Calend 01'!J69,0))</f>
        <v>0</v>
      </c>
      <c r="AZ69" s="2">
        <f>((IF((40='V06 Calend 01'!C69),('V06 Calend 01'!F69+'V06 Calend 01'!G69),0)+IF(AND(('V06 Calend 01'!E69&gt;0),(40&gt;'V06 Calend 01'!C69),(40&lt;'V06 Calend 01'!D69),(MOD((40-'V06 Calend 01'!C69),6)=0),(((40-'V06 Calend 01'!C69)/6)&lt;='V06 Calend 01'!E69)),IF((40=('V06 Calend 01'!C69+(6*'V06 Calend 01'!E69))),('V06 Calend 01'!H69-('V06 Calend 01'!I69*('V06 Calend 01'!E69-1))),'V06 Calend 01'!I69),0))+IF((40='V06 Calend 01'!D69),'V06 Calend 01'!J69,0))</f>
        <v>0</v>
      </c>
      <c r="BA69" s="2">
        <f>((IF((41='V06 Calend 01'!C69),('V06 Calend 01'!F69+'V06 Calend 01'!G69),0)+IF(AND(('V06 Calend 01'!E69&gt;0),(41&gt;'V06 Calend 01'!C69),(41&lt;'V06 Calend 01'!D69),(MOD((41-'V06 Calend 01'!C69),6)=0),(((41-'V06 Calend 01'!C69)/6)&lt;='V06 Calend 01'!E69)),IF((41=('V06 Calend 01'!C69+(6*'V06 Calend 01'!E69))),('V06 Calend 01'!H69-('V06 Calend 01'!I69*('V06 Calend 01'!E69-1))),'V06 Calend 01'!I69),0))+IF((41='V06 Calend 01'!D69),'V06 Calend 01'!J69,0))</f>
        <v>0</v>
      </c>
      <c r="BB69" s="2">
        <f>((IF((42='V06 Calend 01'!C69),('V06 Calend 01'!F69+'V06 Calend 01'!G69),0)+IF(AND(('V06 Calend 01'!E69&gt;0),(42&gt;'V06 Calend 01'!C69),(42&lt;'V06 Calend 01'!D69),(MOD((42-'V06 Calend 01'!C69),6)=0),(((42-'V06 Calend 01'!C69)/6)&lt;='V06 Calend 01'!E69)),IF((42=('V06 Calend 01'!C69+(6*'V06 Calend 01'!E69))),('V06 Calend 01'!H69-('V06 Calend 01'!I69*('V06 Calend 01'!E69-1))),'V06 Calend 01'!I69),0))+IF((42='V06 Calend 01'!D69),'V06 Calend 01'!J69,0))</f>
        <v>0</v>
      </c>
      <c r="BC69" s="2">
        <f>((IF((43='V06 Calend 01'!C69),('V06 Calend 01'!F69+'V06 Calend 01'!G69),0)+IF(AND(('V06 Calend 01'!E69&gt;0),(43&gt;'V06 Calend 01'!C69),(43&lt;'V06 Calend 01'!D69),(MOD((43-'V06 Calend 01'!C69),6)=0),(((43-'V06 Calend 01'!C69)/6)&lt;='V06 Calend 01'!E69)),IF((43=('V06 Calend 01'!C69+(6*'V06 Calend 01'!E69))),('V06 Calend 01'!H69-('V06 Calend 01'!I69*('V06 Calend 01'!E69-1))),'V06 Calend 01'!I69),0))+IF((43='V06 Calend 01'!D69),'V06 Calend 01'!J69,0))</f>
        <v>0</v>
      </c>
      <c r="BD69" s="2">
        <f>((IF((44='V06 Calend 01'!C69),('V06 Calend 01'!F69+'V06 Calend 01'!G69),0)+IF(AND(('V06 Calend 01'!E69&gt;0),(44&gt;'V06 Calend 01'!C69),(44&lt;'V06 Calend 01'!D69),(MOD((44-'V06 Calend 01'!C69),6)=0),(((44-'V06 Calend 01'!C69)/6)&lt;='V06 Calend 01'!E69)),IF((44=('V06 Calend 01'!C69+(6*'V06 Calend 01'!E69))),('V06 Calend 01'!H69-('V06 Calend 01'!I69*('V06 Calend 01'!E69-1))),'V06 Calend 01'!I69),0))+IF((44='V06 Calend 01'!D69),'V06 Calend 01'!J69,0))</f>
        <v>0</v>
      </c>
      <c r="BE69" s="2">
        <f>((IF((45='V06 Calend 01'!C69),('V06 Calend 01'!F69+'V06 Calend 01'!G69),0)+IF(AND(('V06 Calend 01'!E69&gt;0),(45&gt;'V06 Calend 01'!C69),(45&lt;'V06 Calend 01'!D69),(MOD((45-'V06 Calend 01'!C69),6)=0),(((45-'V06 Calend 01'!C69)/6)&lt;='V06 Calend 01'!E69)),IF((45=('V06 Calend 01'!C69+(6*'V06 Calend 01'!E69))),('V06 Calend 01'!H69-('V06 Calend 01'!I69*('V06 Calend 01'!E69-1))),'V06 Calend 01'!I69),0))+IF((45='V06 Calend 01'!D69),'V06 Calend 01'!J69,0))</f>
        <v>0</v>
      </c>
      <c r="BF69" s="2">
        <f>((IF((46='V06 Calend 01'!C69),('V06 Calend 01'!F69+'V06 Calend 01'!G69),0)+IF(AND(('V06 Calend 01'!E69&gt;0),(46&gt;'V06 Calend 01'!C69),(46&lt;'V06 Calend 01'!D69),(MOD((46-'V06 Calend 01'!C69),6)=0),(((46-'V06 Calend 01'!C69)/6)&lt;='V06 Calend 01'!E69)),IF((46=('V06 Calend 01'!C69+(6*'V06 Calend 01'!E69))),('V06 Calend 01'!H69-('V06 Calend 01'!I69*('V06 Calend 01'!E69-1))),'V06 Calend 01'!I69),0))+IF((46='V06 Calend 01'!D69),'V06 Calend 01'!J69,0))</f>
        <v>0</v>
      </c>
      <c r="BG69" s="2">
        <f>((IF((47='V06 Calend 01'!C69),('V06 Calend 01'!F69+'V06 Calend 01'!G69),0)+IF(AND(('V06 Calend 01'!E69&gt;0),(47&gt;'V06 Calend 01'!C69),(47&lt;'V06 Calend 01'!D69),(MOD((47-'V06 Calend 01'!C69),6)=0),(((47-'V06 Calend 01'!C69)/6)&lt;='V06 Calend 01'!E69)),IF((47=('V06 Calend 01'!C69+(6*'V06 Calend 01'!E69))),('V06 Calend 01'!H69-('V06 Calend 01'!I69*('V06 Calend 01'!E69-1))),'V06 Calend 01'!I69),0))+IF((47='V06 Calend 01'!D69),'V06 Calend 01'!J69,0))</f>
        <v>0</v>
      </c>
      <c r="BH69" s="2">
        <f>((IF((48='V06 Calend 01'!C69),('V06 Calend 01'!F69+'V06 Calend 01'!G69),0)+IF(AND(('V06 Calend 01'!E69&gt;0),(48&gt;'V06 Calend 01'!C69),(48&lt;'V06 Calend 01'!D69),(MOD((48-'V06 Calend 01'!C69),6)=0),(((48-'V06 Calend 01'!C69)/6)&lt;='V06 Calend 01'!E69)),IF((48=('V06 Calend 01'!C69+(6*'V06 Calend 01'!E69))),('V06 Calend 01'!H69-('V06 Calend 01'!I69*('V06 Calend 01'!E69-1))),'V06 Calend 01'!I69),0))+IF((48='V06 Calend 01'!D69),'V06 Calend 01'!J69,0))</f>
        <v>0</v>
      </c>
      <c r="BI69" s="2">
        <f>((IF((49='V06 Calend 01'!C69),('V06 Calend 01'!F69+'V06 Calend 01'!G69),0)+IF(AND(('V06 Calend 01'!E69&gt;0),(49&gt;'V06 Calend 01'!C69),(49&lt;'V06 Calend 01'!D69),(MOD((49-'V06 Calend 01'!C69),6)=0),(((49-'V06 Calend 01'!C69)/6)&lt;='V06 Calend 01'!E69)),IF((49=('V06 Calend 01'!C69+(6*'V06 Calend 01'!E69))),('V06 Calend 01'!H69-('V06 Calend 01'!I69*('V06 Calend 01'!E69-1))),'V06 Calend 01'!I69),0))+IF((49='V06 Calend 01'!D69),'V06 Calend 01'!J69,0))</f>
        <v>0</v>
      </c>
      <c r="BJ69" s="2">
        <f>((IF((50='V06 Calend 01'!C69),('V06 Calend 01'!F69+'V06 Calend 01'!G69),0)+IF(AND(('V06 Calend 01'!E69&gt;0),(50&gt;'V06 Calend 01'!C69),(50&lt;'V06 Calend 01'!D69),(MOD((50-'V06 Calend 01'!C69),6)=0),(((50-'V06 Calend 01'!C69)/6)&lt;='V06 Calend 01'!E69)),IF((50=('V06 Calend 01'!C69+(6*'V06 Calend 01'!E69))),('V06 Calend 01'!H69-('V06 Calend 01'!I69*('V06 Calend 01'!E69-1))),'V06 Calend 01'!I69),0))+IF((50='V06 Calend 01'!D69),'V06 Calend 01'!J69,0))</f>
        <v>0</v>
      </c>
      <c r="BK69" s="2">
        <f>((IF((51='V06 Calend 01'!C69),('V06 Calend 01'!F69+'V06 Calend 01'!G69),0)+IF(AND(('V06 Calend 01'!E69&gt;0),(51&gt;'V06 Calend 01'!C69),(51&lt;'V06 Calend 01'!D69),(MOD((51-'V06 Calend 01'!C69),6)=0),(((51-'V06 Calend 01'!C69)/6)&lt;='V06 Calend 01'!E69)),IF((51=('V06 Calend 01'!C69+(6*'V06 Calend 01'!E69))),('V06 Calend 01'!H69-('V06 Calend 01'!I69*('V06 Calend 01'!E69-1))),'V06 Calend 01'!I69),0))+IF((51='V06 Calend 01'!D69),'V06 Calend 01'!J69,0))</f>
        <v>0</v>
      </c>
      <c r="BL69" s="2">
        <f>((IF((52='V06 Calend 01'!C69),('V06 Calend 01'!F69+'V06 Calend 01'!G69),0)+IF(AND(('V06 Calend 01'!E69&gt;0),(52&gt;'V06 Calend 01'!C69),(52&lt;'V06 Calend 01'!D69),(MOD((52-'V06 Calend 01'!C69),6)=0),(((52-'V06 Calend 01'!C69)/6)&lt;='V06 Calend 01'!E69)),IF((52=('V06 Calend 01'!C69+(6*'V06 Calend 01'!E69))),('V06 Calend 01'!H69-('V06 Calend 01'!I69*('V06 Calend 01'!E69-1))),'V06 Calend 01'!I69),0))+IF((52='V06 Calend 01'!D69),'V06 Calend 01'!J69,0))</f>
        <v>0</v>
      </c>
      <c r="BM69" s="2">
        <f>((IF((53='V06 Calend 01'!C69),('V06 Calend 01'!F69+'V06 Calend 01'!G69),0)+IF(AND(('V06 Calend 01'!E69&gt;0),(53&gt;'V06 Calend 01'!C69),(53&lt;'V06 Calend 01'!D69),(MOD((53-'V06 Calend 01'!C69),6)=0),(((53-'V06 Calend 01'!C69)/6)&lt;='V06 Calend 01'!E69)),IF((53=('V06 Calend 01'!C69+(6*'V06 Calend 01'!E69))),('V06 Calend 01'!H69-('V06 Calend 01'!I69*('V06 Calend 01'!E69-1))),'V06 Calend 01'!I69),0))+IF((53='V06 Calend 01'!D69),'V06 Calend 01'!J69,0))</f>
        <v>0</v>
      </c>
      <c r="BN69" s="2">
        <f>((IF((54='V06 Calend 01'!C69),('V06 Calend 01'!F69+'V06 Calend 01'!G69),0)+IF(AND(('V06 Calend 01'!E69&gt;0),(54&gt;'V06 Calend 01'!C69),(54&lt;'V06 Calend 01'!D69),(MOD((54-'V06 Calend 01'!C69),6)=0),(((54-'V06 Calend 01'!C69)/6)&lt;='V06 Calend 01'!E69)),IF((54=('V06 Calend 01'!C69+(6*'V06 Calend 01'!E69))),('V06 Calend 01'!H69-('V06 Calend 01'!I69*('V06 Calend 01'!E69-1))),'V06 Calend 01'!I69),0))+IF((54='V06 Calend 01'!D69),'V06 Calend 01'!J69,0))</f>
        <v>0</v>
      </c>
      <c r="BO69" s="2">
        <f>((IF((55='V06 Calend 01'!C69),('V06 Calend 01'!F69+'V06 Calend 01'!G69),0)+IF(AND(('V06 Calend 01'!E69&gt;0),(55&gt;'V06 Calend 01'!C69),(55&lt;'V06 Calend 01'!D69),(MOD((55-'V06 Calend 01'!C69),6)=0),(((55-'V06 Calend 01'!C69)/6)&lt;='V06 Calend 01'!E69)),IF((55=('V06 Calend 01'!C69+(6*'V06 Calend 01'!E69))),('V06 Calend 01'!H69-('V06 Calend 01'!I69*('V06 Calend 01'!E69-1))),'V06 Calend 01'!I69),0))+IF((55='V06 Calend 01'!D69),'V06 Calend 01'!J69,0))</f>
        <v>0</v>
      </c>
      <c r="BP69" s="2">
        <f>((IF((56='V06 Calend 01'!C69),('V06 Calend 01'!F69+'V06 Calend 01'!G69),0)+IF(AND(('V06 Calend 01'!E69&gt;0),(56&gt;'V06 Calend 01'!C69),(56&lt;'V06 Calend 01'!D69),(MOD((56-'V06 Calend 01'!C69),6)=0),(((56-'V06 Calend 01'!C69)/6)&lt;='V06 Calend 01'!E69)),IF((56=('V06 Calend 01'!C69+(6*'V06 Calend 01'!E69))),('V06 Calend 01'!H69-('V06 Calend 01'!I69*('V06 Calend 01'!E69-1))),'V06 Calend 01'!I69),0))+IF((56='V06 Calend 01'!D69),'V06 Calend 01'!J69,0))</f>
        <v>0</v>
      </c>
      <c r="BQ69" s="2">
        <f>((IF((57='V06 Calend 01'!C69),('V06 Calend 01'!F69+'V06 Calend 01'!G69),0)+IF(AND(('V06 Calend 01'!E69&gt;0),(57&gt;'V06 Calend 01'!C69),(57&lt;'V06 Calend 01'!D69),(MOD((57-'V06 Calend 01'!C69),6)=0),(((57-'V06 Calend 01'!C69)/6)&lt;='V06 Calend 01'!E69)),IF((57=('V06 Calend 01'!C69+(6*'V06 Calend 01'!E69))),('V06 Calend 01'!H69-('V06 Calend 01'!I69*('V06 Calend 01'!E69-1))),'V06 Calend 01'!I69),0))+IF((57='V06 Calend 01'!D69),'V06 Calend 01'!J69,0))</f>
        <v>0</v>
      </c>
      <c r="BR69" s="2">
        <f>((IF((58='V06 Calend 01'!C69),('V06 Calend 01'!F69+'V06 Calend 01'!G69),0)+IF(AND(('V06 Calend 01'!E69&gt;0),(58&gt;'V06 Calend 01'!C69),(58&lt;'V06 Calend 01'!D69),(MOD((58-'V06 Calend 01'!C69),6)=0),(((58-'V06 Calend 01'!C69)/6)&lt;='V06 Calend 01'!E69)),IF((58=('V06 Calend 01'!C69+(6*'V06 Calend 01'!E69))),('V06 Calend 01'!H69-('V06 Calend 01'!I69*('V06 Calend 01'!E69-1))),'V06 Calend 01'!I69),0))+IF((58='V06 Calend 01'!D69),'V06 Calend 01'!J69,0))</f>
        <v>0</v>
      </c>
      <c r="BS69" s="2">
        <f>((IF((59='V06 Calend 01'!C69),('V06 Calend 01'!F69+'V06 Calend 01'!G69),0)+IF(AND(('V06 Calend 01'!E69&gt;0),(59&gt;'V06 Calend 01'!C69),(59&lt;'V06 Calend 01'!D69),(MOD((59-'V06 Calend 01'!C69),6)=0),(((59-'V06 Calend 01'!C69)/6)&lt;='V06 Calend 01'!E69)),IF((59=('V06 Calend 01'!C69+(6*'V06 Calend 01'!E69))),('V06 Calend 01'!H69-('V06 Calend 01'!I69*('V06 Calend 01'!E69-1))),'V06 Calend 01'!I69),0))+IF((59='V06 Calend 01'!D69),'V06 Calend 01'!J69,0))</f>
        <v>0</v>
      </c>
      <c r="BT69" s="2">
        <f>((IF((60='V06 Calend 01'!C69),('V06 Calend 01'!F69+'V06 Calend 01'!G69),0)+IF(AND(('V06 Calend 01'!E69&gt;0),(60&gt;'V06 Calend 01'!C69),(60&lt;'V06 Calend 01'!D69),(MOD((60-'V06 Calend 01'!C69),6)=0),(((60-'V06 Calend 01'!C69)/6)&lt;='V06 Calend 01'!E69)),IF((60=('V06 Calend 01'!C69+(6*'V06 Calend 01'!E69))),('V06 Calend 01'!H69-('V06 Calend 01'!I69*('V06 Calend 01'!E69-1))),'V06 Calend 01'!I69),0))+IF((60='V06 Calend 01'!D69),'V06 Calend 01'!J69,0))</f>
        <v>0</v>
      </c>
      <c r="BU69" s="2">
        <f>((IF((61='V06 Calend 01'!C69),('V06 Calend 01'!F69+'V06 Calend 01'!G69),0)+IF(AND(('V06 Calend 01'!E69&gt;0),(61&gt;'V06 Calend 01'!C69),(61&lt;'V06 Calend 01'!D69),(MOD((61-'V06 Calend 01'!C69),6)=0),(((61-'V06 Calend 01'!C69)/6)&lt;='V06 Calend 01'!E69)),IF((61=('V06 Calend 01'!C69+(6*'V06 Calend 01'!E69))),('V06 Calend 01'!H69-('V06 Calend 01'!I69*('V06 Calend 01'!E69-1))),'V06 Calend 01'!I69),0))+IF((61='V06 Calend 01'!D69),'V06 Calend 01'!J69,0))</f>
        <v>0</v>
      </c>
      <c r="BV69" s="2">
        <f>((IF((62='V06 Calend 01'!C69),('V06 Calend 01'!F69+'V06 Calend 01'!G69),0)+IF(AND(('V06 Calend 01'!E69&gt;0),(62&gt;'V06 Calend 01'!C69),(62&lt;'V06 Calend 01'!D69),(MOD((62-'V06 Calend 01'!C69),6)=0),(((62-'V06 Calend 01'!C69)/6)&lt;='V06 Calend 01'!E69)),IF((62=('V06 Calend 01'!C69+(6*'V06 Calend 01'!E69))),('V06 Calend 01'!H69-('V06 Calend 01'!I69*('V06 Calend 01'!E69-1))),'V06 Calend 01'!I69),0))+IF((62='V06 Calend 01'!D69),'V06 Calend 01'!J69,0))</f>
        <v>0</v>
      </c>
      <c r="BW69" s="2">
        <f>((IF((63='V06 Calend 01'!C69),('V06 Calend 01'!F69+'V06 Calend 01'!G69),0)+IF(AND(('V06 Calend 01'!E69&gt;0),(63&gt;'V06 Calend 01'!C69),(63&lt;'V06 Calend 01'!D69),(MOD((63-'V06 Calend 01'!C69),6)=0),(((63-'V06 Calend 01'!C69)/6)&lt;='V06 Calend 01'!E69)),IF((63=('V06 Calend 01'!C69+(6*'V06 Calend 01'!E69))),('V06 Calend 01'!H69-('V06 Calend 01'!I69*('V06 Calend 01'!E69-1))),'V06 Calend 01'!I69),0))+IF((63='V06 Calend 01'!D69),'V06 Calend 01'!J69,0))</f>
        <v>0</v>
      </c>
      <c r="BX69" s="2">
        <f>((IF((64='V06 Calend 01'!C69),('V06 Calend 01'!F69+'V06 Calend 01'!G69),0)+IF(AND(('V06 Calend 01'!E69&gt;0),(64&gt;'V06 Calend 01'!C69),(64&lt;'V06 Calend 01'!D69),(MOD((64-'V06 Calend 01'!C69),6)=0),(((64-'V06 Calend 01'!C69)/6)&lt;='V06 Calend 01'!E69)),IF((64=('V06 Calend 01'!C69+(6*'V06 Calend 01'!E69))),('V06 Calend 01'!H69-('V06 Calend 01'!I69*('V06 Calend 01'!E69-1))),'V06 Calend 01'!I69),0))+IF((64='V06 Calend 01'!D69),'V06 Calend 01'!J69,0))</f>
        <v>0</v>
      </c>
      <c r="BY69" s="2">
        <f>((IF((65='V06 Calend 01'!C69),('V06 Calend 01'!F69+'V06 Calend 01'!G69),0)+IF(AND(('V06 Calend 01'!E69&gt;0),(65&gt;'V06 Calend 01'!C69),(65&lt;'V06 Calend 01'!D69),(MOD((65-'V06 Calend 01'!C69),6)=0),(((65-'V06 Calend 01'!C69)/6)&lt;='V06 Calend 01'!E69)),IF((65=('V06 Calend 01'!C69+(6*'V06 Calend 01'!E69))),('V06 Calend 01'!H69-('V06 Calend 01'!I69*('V06 Calend 01'!E69-1))),'V06 Calend 01'!I69),0))+IF((65='V06 Calend 01'!D69),'V06 Calend 01'!J69,0))</f>
        <v>0</v>
      </c>
      <c r="BZ69" s="2">
        <f>((IF((66='V06 Calend 01'!C69),('V06 Calend 01'!F69+'V06 Calend 01'!G69),0)+IF(AND(('V06 Calend 01'!E69&gt;0),(66&gt;'V06 Calend 01'!C69),(66&lt;'V06 Calend 01'!D69),(MOD((66-'V06 Calend 01'!C69),6)=0),(((66-'V06 Calend 01'!C69)/6)&lt;='V06 Calend 01'!E69)),IF((66=('V06 Calend 01'!C69+(6*'V06 Calend 01'!E69))),('V06 Calend 01'!H69-('V06 Calend 01'!I69*('V06 Calend 01'!E69-1))),'V06 Calend 01'!I69),0))+IF((66='V06 Calend 01'!D69),'V06 Calend 01'!J69,0))</f>
        <v>0</v>
      </c>
      <c r="CA69" s="2">
        <f>((IF((67='V06 Calend 01'!C69),('V06 Calend 01'!F69+'V06 Calend 01'!G69),0)+IF(AND(('V06 Calend 01'!E69&gt;0),(67&gt;'V06 Calend 01'!C69),(67&lt;'V06 Calend 01'!D69),(MOD((67-'V06 Calend 01'!C69),6)=0),(((67-'V06 Calend 01'!C69)/6)&lt;='V06 Calend 01'!E69)),IF((67=('V06 Calend 01'!C69+(6*'V06 Calend 01'!E69))),('V06 Calend 01'!H69-('V06 Calend 01'!I69*('V06 Calend 01'!E69-1))),'V06 Calend 01'!I69),0))+IF((67='V06 Calend 01'!D69),'V06 Calend 01'!J69,0))</f>
        <v>0</v>
      </c>
      <c r="CB69" s="2">
        <f>((IF((68='V06 Calend 01'!C69),('V06 Calend 01'!F69+'V06 Calend 01'!G69),0)+IF(AND(('V06 Calend 01'!E69&gt;0),(68&gt;'V06 Calend 01'!C69),(68&lt;'V06 Calend 01'!D69),(MOD((68-'V06 Calend 01'!C69),6)=0),(((68-'V06 Calend 01'!C69)/6)&lt;='V06 Calend 01'!E69)),IF((68=('V06 Calend 01'!C69+(6*'V06 Calend 01'!E69))),('V06 Calend 01'!H69-('V06 Calend 01'!I69*('V06 Calend 01'!E69-1))),'V06 Calend 01'!I69),0))+IF((68='V06 Calend 01'!D69),'V06 Calend 01'!J69,0))</f>
        <v>0</v>
      </c>
      <c r="CC69" s="2">
        <f>((IF((69='V06 Calend 01'!C69),('V06 Calend 01'!F69+'V06 Calend 01'!G69),0)+IF(AND(('V06 Calend 01'!E69&gt;0),(69&gt;'V06 Calend 01'!C69),(69&lt;'V06 Calend 01'!D69),(MOD((69-'V06 Calend 01'!C69),6)=0),(((69-'V06 Calend 01'!C69)/6)&lt;='V06 Calend 01'!E69)),IF((69=('V06 Calend 01'!C69+(6*'V06 Calend 01'!E69))),('V06 Calend 01'!H69-('V06 Calend 01'!I69*('V06 Calend 01'!E69-1))),'V06 Calend 01'!I69),0))+IF((69='V06 Calend 01'!D69),'V06 Calend 01'!J69,0))</f>
        <v>0</v>
      </c>
      <c r="CD69" s="2">
        <f>((IF((70='V06 Calend 01'!C69),('V06 Calend 01'!F69+'V06 Calend 01'!G69),0)+IF(AND(('V06 Calend 01'!E69&gt;0),(70&gt;'V06 Calend 01'!C69),(70&lt;'V06 Calend 01'!D69),(MOD((70-'V06 Calend 01'!C69),6)=0),(((70-'V06 Calend 01'!C69)/6)&lt;='V06 Calend 01'!E69)),IF((70=('V06 Calend 01'!C69+(6*'V06 Calend 01'!E69))),('V06 Calend 01'!H69-('V06 Calend 01'!I69*('V06 Calend 01'!E69-1))),'V06 Calend 01'!I69),0))+IF((70='V06 Calend 01'!D69),'V06 Calend 01'!J69,0))</f>
        <v>0</v>
      </c>
      <c r="CE69" s="2">
        <f>((IF((71='V06 Calend 01'!C69),('V06 Calend 01'!F69+'V06 Calend 01'!G69),0)+IF(AND(('V06 Calend 01'!E69&gt;0),(71&gt;'V06 Calend 01'!C69),(71&lt;'V06 Calend 01'!D69),(MOD((71-'V06 Calend 01'!C69),6)=0),(((71-'V06 Calend 01'!C69)/6)&lt;='V06 Calend 01'!E69)),IF((71=('V06 Calend 01'!C69+(6*'V06 Calend 01'!E69))),('V06 Calend 01'!H69-('V06 Calend 01'!I69*('V06 Calend 01'!E69-1))),'V06 Calend 01'!I69),0))+IF((71='V06 Calend 01'!D69),'V06 Calend 01'!J69,0))</f>
        <v>0</v>
      </c>
      <c r="CF69" s="2">
        <f>((IF((72='V06 Calend 01'!C69),('V06 Calend 01'!F69+'V06 Calend 01'!G69),0)+IF(AND(('V06 Calend 01'!E69&gt;0),(72&gt;'V06 Calend 01'!C69),(72&lt;'V06 Calend 01'!D69),(MOD((72-'V06 Calend 01'!C69),6)=0),(((72-'V06 Calend 01'!C69)/6)&lt;='V06 Calend 01'!E69)),IF((72=('V06 Calend 01'!C69+(6*'V06 Calend 01'!E69))),('V06 Calend 01'!H69-('V06 Calend 01'!I69*('V06 Calend 01'!E69-1))),'V06 Calend 01'!I69),0))+IF((72='V06 Calend 01'!D69),'V06 Calend 01'!J69,0))</f>
        <v>0</v>
      </c>
      <c r="CG69" s="2">
        <f>((IF((73='V06 Calend 01'!C69),('V06 Calend 01'!F69+'V06 Calend 01'!G69),0)+IF(AND(('V06 Calend 01'!E69&gt;0),(73&gt;'V06 Calend 01'!C69),(73&lt;'V06 Calend 01'!D69),(MOD((73-'V06 Calend 01'!C69),6)=0),(((73-'V06 Calend 01'!C69)/6)&lt;='V06 Calend 01'!E69)),IF((73=('V06 Calend 01'!C69+(6*'V06 Calend 01'!E69))),('V06 Calend 01'!H69-('V06 Calend 01'!I69*('V06 Calend 01'!E69-1))),'V06 Calend 01'!I69),0))+IF((73='V06 Calend 01'!D69),'V06 Calend 01'!J69,0))</f>
        <v>0</v>
      </c>
      <c r="CH69" s="2">
        <f>((IF((74='V06 Calend 01'!C69),('V06 Calend 01'!F69+'V06 Calend 01'!G69),0)+IF(AND(('V06 Calend 01'!E69&gt;0),(74&gt;'V06 Calend 01'!C69),(74&lt;'V06 Calend 01'!D69),(MOD((74-'V06 Calend 01'!C69),6)=0),(((74-'V06 Calend 01'!C69)/6)&lt;='V06 Calend 01'!E69)),IF((74=('V06 Calend 01'!C69+(6*'V06 Calend 01'!E69))),('V06 Calend 01'!H69-('V06 Calend 01'!I69*('V06 Calend 01'!E69-1))),'V06 Calend 01'!I69),0))+IF((74='V06 Calend 01'!D69),'V06 Calend 01'!J69,0))</f>
        <v>0</v>
      </c>
      <c r="CI69" s="2">
        <f>((IF((75='V06 Calend 01'!C69),('V06 Calend 01'!F69+'V06 Calend 01'!G69),0)+IF(AND(('V06 Calend 01'!E69&gt;0),(75&gt;'V06 Calend 01'!C69),(75&lt;'V06 Calend 01'!D69),(MOD((75-'V06 Calend 01'!C69),6)=0),(((75-'V06 Calend 01'!C69)/6)&lt;='V06 Calend 01'!E69)),IF((75=('V06 Calend 01'!C69+(6*'V06 Calend 01'!E69))),('V06 Calend 01'!H69-('V06 Calend 01'!I69*('V06 Calend 01'!E69-1))),'V06 Calend 01'!I69),0))+IF((75='V06 Calend 01'!D69),'V06 Calend 01'!J69,0))</f>
        <v>0</v>
      </c>
      <c r="CJ69" s="2">
        <f>((IF((76='V06 Calend 01'!C69),('V06 Calend 01'!F69+'V06 Calend 01'!G69),0)+IF(AND(('V06 Calend 01'!E69&gt;0),(76&gt;'V06 Calend 01'!C69),(76&lt;'V06 Calend 01'!D69),(MOD((76-'V06 Calend 01'!C69),6)=0),(((76-'V06 Calend 01'!C69)/6)&lt;='V06 Calend 01'!E69)),IF((76=('V06 Calend 01'!C69+(6*'V06 Calend 01'!E69))),('V06 Calend 01'!H69-('V06 Calend 01'!I69*('V06 Calend 01'!E69-1))),'V06 Calend 01'!I69),0))+IF((76='V06 Calend 01'!D69),'V06 Calend 01'!J69,0))</f>
        <v>0</v>
      </c>
      <c r="CK69" s="2">
        <f>((IF((77='V06 Calend 01'!C69),('V06 Calend 01'!F69+'V06 Calend 01'!G69),0)+IF(AND(('V06 Calend 01'!E69&gt;0),(77&gt;'V06 Calend 01'!C69),(77&lt;'V06 Calend 01'!D69),(MOD((77-'V06 Calend 01'!C69),6)=0),(((77-'V06 Calend 01'!C69)/6)&lt;='V06 Calend 01'!E69)),IF((77=('V06 Calend 01'!C69+(6*'V06 Calend 01'!E69))),('V06 Calend 01'!H69-('V06 Calend 01'!I69*('V06 Calend 01'!E69-1))),'V06 Calend 01'!I69),0))+IF((77='V06 Calend 01'!D69),'V06 Calend 01'!J69,0))</f>
        <v>0</v>
      </c>
      <c r="CL69" s="2">
        <f>((IF((78='V06 Calend 01'!C69),('V06 Calend 01'!F69+'V06 Calend 01'!G69),0)+IF(AND(('V06 Calend 01'!E69&gt;0),(78&gt;'V06 Calend 01'!C69),(78&lt;'V06 Calend 01'!D69),(MOD((78-'V06 Calend 01'!C69),6)=0),(((78-'V06 Calend 01'!C69)/6)&lt;='V06 Calend 01'!E69)),IF((78=('V06 Calend 01'!C69+(6*'V06 Calend 01'!E69))),('V06 Calend 01'!H69-('V06 Calend 01'!I69*('V06 Calend 01'!E69-1))),'V06 Calend 01'!I69),0))+IF((78='V06 Calend 01'!D69),'V06 Calend 01'!J69,0))</f>
        <v>0</v>
      </c>
      <c r="CM69" s="2">
        <f>((IF((79='V06 Calend 01'!C69),('V06 Calend 01'!F69+'V06 Calend 01'!G69),0)+IF(AND(('V06 Calend 01'!E69&gt;0),(79&gt;'V06 Calend 01'!C69),(79&lt;'V06 Calend 01'!D69),(MOD((79-'V06 Calend 01'!C69),6)=0),(((79-'V06 Calend 01'!C69)/6)&lt;='V06 Calend 01'!E69)),IF((79=('V06 Calend 01'!C69+(6*'V06 Calend 01'!E69))),('V06 Calend 01'!H69-('V06 Calend 01'!I69*('V06 Calend 01'!E69-1))),'V06 Calend 01'!I69),0))+IF((79='V06 Calend 01'!D69),'V06 Calend 01'!J69,0))</f>
        <v>0</v>
      </c>
      <c r="CN69" s="2">
        <f>((IF((80='V06 Calend 01'!C69),('V06 Calend 01'!F69+'V06 Calend 01'!G69),0)+IF(AND(('V06 Calend 01'!E69&gt;0),(80&gt;'V06 Calend 01'!C69),(80&lt;'V06 Calend 01'!D69),(MOD((80-'V06 Calend 01'!C69),6)=0),(((80-'V06 Calend 01'!C69)/6)&lt;='V06 Calend 01'!E69)),IF((80=('V06 Calend 01'!C69+(6*'V06 Calend 01'!E69))),('V06 Calend 01'!H69-('V06 Calend 01'!I69*('V06 Calend 01'!E69-1))),'V06 Calend 01'!I69),0))+IF((80='V06 Calend 01'!D69),'V06 Calend 01'!J69,0))</f>
        <v>0</v>
      </c>
      <c r="CO69" s="2">
        <f>((IF((81='V06 Calend 01'!C69),('V06 Calend 01'!F69+'V06 Calend 01'!G69),0)+IF(AND(('V06 Calend 01'!E69&gt;0),(81&gt;'V06 Calend 01'!C69),(81&lt;'V06 Calend 01'!D69),(MOD((81-'V06 Calend 01'!C69),6)=0),(((81-'V06 Calend 01'!C69)/6)&lt;='V06 Calend 01'!E69)),IF((81=('V06 Calend 01'!C69+(6*'V06 Calend 01'!E69))),('V06 Calend 01'!H69-('V06 Calend 01'!I69*('V06 Calend 01'!E69-1))),'V06 Calend 01'!I69),0))+IF((81='V06 Calend 01'!D69),'V06 Calend 01'!J69,0))</f>
        <v>0</v>
      </c>
      <c r="CP69" s="2">
        <f>((IF((82='V06 Calend 01'!C69),('V06 Calend 01'!F69+'V06 Calend 01'!G69),0)+IF(AND(('V06 Calend 01'!E69&gt;0),(82&gt;'V06 Calend 01'!C69),(82&lt;'V06 Calend 01'!D69),(MOD((82-'V06 Calend 01'!C69),6)=0),(((82-'V06 Calend 01'!C69)/6)&lt;='V06 Calend 01'!E69)),IF((82=('V06 Calend 01'!C69+(6*'V06 Calend 01'!E69))),('V06 Calend 01'!H69-('V06 Calend 01'!I69*('V06 Calend 01'!E69-1))),'V06 Calend 01'!I69),0))+IF((82='V06 Calend 01'!D69),'V06 Calend 01'!J69,0))</f>
        <v>0</v>
      </c>
      <c r="CQ69" s="2">
        <f>((IF((83='V06 Calend 01'!C69),('V06 Calend 01'!F69+'V06 Calend 01'!G69),0)+IF(AND(('V06 Calend 01'!E69&gt;0),(83&gt;'V06 Calend 01'!C69),(83&lt;'V06 Calend 01'!D69),(MOD((83-'V06 Calend 01'!C69),6)=0),(((83-'V06 Calend 01'!C69)/6)&lt;='V06 Calend 01'!E69)),IF((83=('V06 Calend 01'!C69+(6*'V06 Calend 01'!E69))),('V06 Calend 01'!H69-('V06 Calend 01'!I69*('V06 Calend 01'!E69-1))),'V06 Calend 01'!I69),0))+IF((83='V06 Calend 01'!D69),'V06 Calend 01'!J69,0))</f>
        <v>0</v>
      </c>
      <c r="CR69" s="2">
        <f>((IF((84='V06 Calend 01'!C69),('V06 Calend 01'!F69+'V06 Calend 01'!G69),0)+IF(AND(('V06 Calend 01'!E69&gt;0),(84&gt;'V06 Calend 01'!C69),(84&lt;'V06 Calend 01'!D69),(MOD((84-'V06 Calend 01'!C69),6)=0),(((84-'V06 Calend 01'!C69)/6)&lt;='V06 Calend 01'!E69)),IF((84=('V06 Calend 01'!C69+(6*'V06 Calend 01'!E69))),('V06 Calend 01'!H69-('V06 Calend 01'!I69*('V06 Calend 01'!E69-1))),'V06 Calend 01'!I69),0))+IF((84='V06 Calend 01'!D69),'V06 Calend 01'!J69,0))</f>
        <v>0</v>
      </c>
      <c r="CS69" s="2">
        <f>((IF((85='V06 Calend 01'!C69),('V06 Calend 01'!F69+'V06 Calend 01'!G69),0)+IF(AND(('V06 Calend 01'!E69&gt;0),(85&gt;'V06 Calend 01'!C69),(85&lt;'V06 Calend 01'!D69),(MOD((85-'V06 Calend 01'!C69),6)=0),(((85-'V06 Calend 01'!C69)/6)&lt;='V06 Calend 01'!E69)),IF((85=('V06 Calend 01'!C69+(6*'V06 Calend 01'!E69))),('V06 Calend 01'!H69-('V06 Calend 01'!I69*('V06 Calend 01'!E69-1))),'V06 Calend 01'!I69),0))+IF((85='V06 Calend 01'!D69),'V06 Calend 01'!J69,0))</f>
        <v>0</v>
      </c>
      <c r="CT69" s="2">
        <f>((IF((86='V06 Calend 01'!C69),('V06 Calend 01'!F69+'V06 Calend 01'!G69),0)+IF(AND(('V06 Calend 01'!E69&gt;0),(86&gt;'V06 Calend 01'!C69),(86&lt;'V06 Calend 01'!D69),(MOD((86-'V06 Calend 01'!C69),6)=0),(((86-'V06 Calend 01'!C69)/6)&lt;='V06 Calend 01'!E69)),IF((86=('V06 Calend 01'!C69+(6*'V06 Calend 01'!E69))),('V06 Calend 01'!H69-('V06 Calend 01'!I69*('V06 Calend 01'!E69-1))),'V06 Calend 01'!I69),0))+IF((86='V06 Calend 01'!D69),'V06 Calend 01'!J69,0))</f>
        <v>0</v>
      </c>
      <c r="CU69" s="2">
        <f>((IF((87='V06 Calend 01'!C69),('V06 Calend 01'!F69+'V06 Calend 01'!G69),0)+IF(AND(('V06 Calend 01'!E69&gt;0),(87&gt;'V06 Calend 01'!C69),(87&lt;'V06 Calend 01'!D69),(MOD((87-'V06 Calend 01'!C69),6)=0),(((87-'V06 Calend 01'!C69)/6)&lt;='V06 Calend 01'!E69)),IF((87=('V06 Calend 01'!C69+(6*'V06 Calend 01'!E69))),('V06 Calend 01'!H69-('V06 Calend 01'!I69*('V06 Calend 01'!E69-1))),'V06 Calend 01'!I69),0))+IF((87='V06 Calend 01'!D69),'V06 Calend 01'!J69,0))</f>
        <v>0</v>
      </c>
      <c r="CV69" s="2">
        <f>((IF((88='V06 Calend 01'!C69),('V06 Calend 01'!F69+'V06 Calend 01'!G69),0)+IF(AND(('V06 Calend 01'!E69&gt;0),(88&gt;'V06 Calend 01'!C69),(88&lt;'V06 Calend 01'!D69),(MOD((88-'V06 Calend 01'!C69),6)=0),(((88-'V06 Calend 01'!C69)/6)&lt;='V06 Calend 01'!E69)),IF((88=('V06 Calend 01'!C69+(6*'V06 Calend 01'!E69))),('V06 Calend 01'!H69-('V06 Calend 01'!I69*('V06 Calend 01'!E69-1))),'V06 Calend 01'!I69),0))+IF((88='V06 Calend 01'!D69),'V06 Calend 01'!J69,0))</f>
        <v>0</v>
      </c>
      <c r="CW69" s="2">
        <f>((IF((89='V06 Calend 01'!C69),('V06 Calend 01'!F69+'V06 Calend 01'!G69),0)+IF(AND(('V06 Calend 01'!E69&gt;0),(89&gt;'V06 Calend 01'!C69),(89&lt;'V06 Calend 01'!D69),(MOD((89-'V06 Calend 01'!C69),6)=0),(((89-'V06 Calend 01'!C69)/6)&lt;='V06 Calend 01'!E69)),IF((89=('V06 Calend 01'!C69+(6*'V06 Calend 01'!E69))),('V06 Calend 01'!H69-('V06 Calend 01'!I69*('V06 Calend 01'!E69-1))),'V06 Calend 01'!I69),0))+IF((89='V06 Calend 01'!D69),'V06 Calend 01'!J69,0))</f>
        <v>0</v>
      </c>
      <c r="CX69" s="2">
        <f>((IF((90='V06 Calend 01'!C69),('V06 Calend 01'!F69+'V06 Calend 01'!G69),0)+IF(AND(('V06 Calend 01'!E69&gt;0),(90&gt;'V06 Calend 01'!C69),(90&lt;'V06 Calend 01'!D69),(MOD((90-'V06 Calend 01'!C69),6)=0),(((90-'V06 Calend 01'!C69)/6)&lt;='V06 Calend 01'!E69)),IF((90=('V06 Calend 01'!C69+(6*'V06 Calend 01'!E69))),('V06 Calend 01'!H69-('V06 Calend 01'!I69*('V06 Calend 01'!E69-1))),'V06 Calend 01'!I69),0))+IF((90='V06 Calend 01'!D69),'V06 Calend 01'!J69,0))</f>
        <v>0</v>
      </c>
      <c r="CY69" s="2">
        <f>((IF((91='V06 Calend 01'!C69),('V06 Calend 01'!F69+'V06 Calend 01'!G69),0)+IF(AND(('V06 Calend 01'!E69&gt;0),(91&gt;'V06 Calend 01'!C69),(91&lt;'V06 Calend 01'!D69),(MOD((91-'V06 Calend 01'!C69),6)=0),(((91-'V06 Calend 01'!C69)/6)&lt;='V06 Calend 01'!E69)),IF((91=('V06 Calend 01'!C69+(6*'V06 Calend 01'!E69))),('V06 Calend 01'!H69-('V06 Calend 01'!I69*('V06 Calend 01'!E69-1))),'V06 Calend 01'!I69),0))+IF((91='V06 Calend 01'!D69),'V06 Calend 01'!J69,0))</f>
        <v>0</v>
      </c>
      <c r="CZ69" s="2">
        <f>((IF((92='V06 Calend 01'!C69),('V06 Calend 01'!F69+'V06 Calend 01'!G69),0)+IF(AND(('V06 Calend 01'!E69&gt;0),(92&gt;'V06 Calend 01'!C69),(92&lt;'V06 Calend 01'!D69),(MOD((92-'V06 Calend 01'!C69),6)=0),(((92-'V06 Calend 01'!C69)/6)&lt;='V06 Calend 01'!E69)),IF((92=('V06 Calend 01'!C69+(6*'V06 Calend 01'!E69))),('V06 Calend 01'!H69-('V06 Calend 01'!I69*('V06 Calend 01'!E69-1))),'V06 Calend 01'!I69),0))+IF((92='V06 Calend 01'!D69),'V06 Calend 01'!J69,0))</f>
        <v>0</v>
      </c>
      <c r="DA69" s="2">
        <f>((IF((93='V06 Calend 01'!C69),('V06 Calend 01'!F69+'V06 Calend 01'!G69),0)+IF(AND(('V06 Calend 01'!E69&gt;0),(93&gt;'V06 Calend 01'!C69),(93&lt;'V06 Calend 01'!D69),(MOD((93-'V06 Calend 01'!C69),6)=0),(((93-'V06 Calend 01'!C69)/6)&lt;='V06 Calend 01'!E69)),IF((93=('V06 Calend 01'!C69+(6*'V06 Calend 01'!E69))),('V06 Calend 01'!H69-('V06 Calend 01'!I69*('V06 Calend 01'!E69-1))),'V06 Calend 01'!I69),0))+IF((93='V06 Calend 01'!D69),'V06 Calend 01'!J69,0))</f>
        <v>0</v>
      </c>
      <c r="DB69" s="2">
        <f>((IF((94='V06 Calend 01'!C69),('V06 Calend 01'!F69+'V06 Calend 01'!G69),0)+IF(AND(('V06 Calend 01'!E69&gt;0),(94&gt;'V06 Calend 01'!C69),(94&lt;'V06 Calend 01'!D69),(MOD((94-'V06 Calend 01'!C69),6)=0),(((94-'V06 Calend 01'!C69)/6)&lt;='V06 Calend 01'!E69)),IF((94=('V06 Calend 01'!C69+(6*'V06 Calend 01'!E69))),('V06 Calend 01'!H69-('V06 Calend 01'!I69*('V06 Calend 01'!E69-1))),'V06 Calend 01'!I69),0))+IF((94='V06 Calend 01'!D69),'V06 Calend 01'!J69,0))</f>
        <v>0</v>
      </c>
      <c r="DC69" s="2">
        <f>((IF((95='V06 Calend 01'!C69),('V06 Calend 01'!F69+'V06 Calend 01'!G69),0)+IF(AND(('V06 Calend 01'!E69&gt;0),(95&gt;'V06 Calend 01'!C69),(95&lt;'V06 Calend 01'!D69),(MOD((95-'V06 Calend 01'!C69),6)=0),(((95-'V06 Calend 01'!C69)/6)&lt;='V06 Calend 01'!E69)),IF((95=('V06 Calend 01'!C69+(6*'V06 Calend 01'!E69))),('V06 Calend 01'!H69-('V06 Calend 01'!I69*('V06 Calend 01'!E69-1))),'V06 Calend 01'!I69),0))+IF((95='V06 Calend 01'!D69),'V06 Calend 01'!J69,0))</f>
        <v>0</v>
      </c>
      <c r="DD69" s="2">
        <f>((IF((96='V06 Calend 01'!C69),('V06 Calend 01'!F69+'V06 Calend 01'!G69),0)+IF(AND(('V06 Calend 01'!E69&gt;0),(96&gt;'V06 Calend 01'!C69),(96&lt;'V06 Calend 01'!D69),(MOD((96-'V06 Calend 01'!C69),6)=0),(((96-'V06 Calend 01'!C69)/6)&lt;='V06 Calend 01'!E69)),IF((96=('V06 Calend 01'!C69+(6*'V06 Calend 01'!E69))),('V06 Calend 01'!H69-('V06 Calend 01'!I69*('V06 Calend 01'!E69-1))),'V06 Calend 01'!I69),0))+IF((96='V06 Calend 01'!D69),'V06 Calend 01'!J69,0))</f>
        <v>0</v>
      </c>
      <c r="DE69" s="2">
        <f>((IF((97='V06 Calend 01'!C69),('V06 Calend 01'!F69+'V06 Calend 01'!G69),0)+IF(AND(('V06 Calend 01'!E69&gt;0),(97&gt;'V06 Calend 01'!C69),(97&lt;'V06 Calend 01'!D69),(MOD((97-'V06 Calend 01'!C69),6)=0),(((97-'V06 Calend 01'!C69)/6)&lt;='V06 Calend 01'!E69)),IF((97=('V06 Calend 01'!C69+(6*'V06 Calend 01'!E69))),('V06 Calend 01'!H69-('V06 Calend 01'!I69*('V06 Calend 01'!E69-1))),'V06 Calend 01'!I69),0))+IF((97='V06 Calend 01'!D69),'V06 Calend 01'!J69,0))</f>
        <v>0</v>
      </c>
      <c r="DF69" s="2">
        <f>((IF((98='V06 Calend 01'!C69),('V06 Calend 01'!F69+'V06 Calend 01'!G69),0)+IF(AND(('V06 Calend 01'!E69&gt;0),(98&gt;'V06 Calend 01'!C69),(98&lt;'V06 Calend 01'!D69),(MOD((98-'V06 Calend 01'!C69),6)=0),(((98-'V06 Calend 01'!C69)/6)&lt;='V06 Calend 01'!E69)),IF((98=('V06 Calend 01'!C69+(6*'V06 Calend 01'!E69))),('V06 Calend 01'!H69-('V06 Calend 01'!I69*('V06 Calend 01'!E69-1))),'V06 Calend 01'!I69),0))+IF((98='V06 Calend 01'!D69),'V06 Calend 01'!J69,0))</f>
        <v>0</v>
      </c>
      <c r="DG69" s="2">
        <f>((IF((99='V06 Calend 01'!C69),('V06 Calend 01'!F69+'V06 Calend 01'!G69),0)+IF(AND(('V06 Calend 01'!E69&gt;0),(99&gt;'V06 Calend 01'!C69),(99&lt;'V06 Calend 01'!D69),(MOD((99-'V06 Calend 01'!C69),6)=0),(((99-'V06 Calend 01'!C69)/6)&lt;='V06 Calend 01'!E69)),IF((99=('V06 Calend 01'!C69+(6*'V06 Calend 01'!E69))),('V06 Calend 01'!H69-('V06 Calend 01'!I69*('V06 Calend 01'!E69-1))),'V06 Calend 01'!I69),0))+IF((99='V06 Calend 01'!D69),'V06 Calend 01'!J69,0))</f>
        <v>0</v>
      </c>
      <c r="DH69" s="2">
        <f>((IF((100='V06 Calend 01'!C69),('V06 Calend 01'!F69+'V06 Calend 01'!G69),0)+IF(AND(('V06 Calend 01'!E69&gt;0),(100&gt;'V06 Calend 01'!C69),(100&lt;'V06 Calend 01'!D69),(MOD((100-'V06 Calend 01'!C69),6)=0),(((100-'V06 Calend 01'!C69)/6)&lt;='V06 Calend 01'!E69)),IF((100=('V06 Calend 01'!C69+(6*'V06 Calend 01'!E69))),('V06 Calend 01'!H69-('V06 Calend 01'!I69*('V06 Calend 01'!E69-1))),'V06 Calend 01'!I69),0))+IF((100='V06 Calend 01'!D69),'V06 Calend 01'!J69,0))</f>
        <v>0</v>
      </c>
      <c r="DI69" s="2">
        <f>((IF((101='V06 Calend 01'!C69),('V06 Calend 01'!F69+'V06 Calend 01'!G69),0)+IF(AND(('V06 Calend 01'!E69&gt;0),(101&gt;'V06 Calend 01'!C69),(101&lt;'V06 Calend 01'!D69),(MOD((101-'V06 Calend 01'!C69),6)=0),(((101-'V06 Calend 01'!C69)/6)&lt;='V06 Calend 01'!E69)),IF((101=('V06 Calend 01'!C69+(6*'V06 Calend 01'!E69))),('V06 Calend 01'!H69-('V06 Calend 01'!I69*('V06 Calend 01'!E69-1))),'V06 Calend 01'!I69),0))+IF((101='V06 Calend 01'!D69),'V06 Calend 01'!J69,0))</f>
        <v>0</v>
      </c>
      <c r="DJ69" s="2">
        <f>((IF((102='V06 Calend 01'!C69),('V06 Calend 01'!F69+'V06 Calend 01'!G69),0)+IF(AND(('V06 Calend 01'!E69&gt;0),(102&gt;'V06 Calend 01'!C69),(102&lt;'V06 Calend 01'!D69),(MOD((102-'V06 Calend 01'!C69),6)=0),(((102-'V06 Calend 01'!C69)/6)&lt;='V06 Calend 01'!E69)),IF((102=('V06 Calend 01'!C69+(6*'V06 Calend 01'!E69))),('V06 Calend 01'!H69-('V06 Calend 01'!I69*('V06 Calend 01'!E69-1))),'V06 Calend 01'!I69),0))+IF((102='V06 Calend 01'!D69),'V06 Calend 01'!J69,0))</f>
        <v>0</v>
      </c>
      <c r="DK69" s="2">
        <f>((IF((103='V06 Calend 01'!C69),('V06 Calend 01'!F69+'V06 Calend 01'!G69),0)+IF(AND(('V06 Calend 01'!E69&gt;0),(103&gt;'V06 Calend 01'!C69),(103&lt;'V06 Calend 01'!D69),(MOD((103-'V06 Calend 01'!C69),6)=0),(((103-'V06 Calend 01'!C69)/6)&lt;='V06 Calend 01'!E69)),IF((103=('V06 Calend 01'!C69+(6*'V06 Calend 01'!E69))),('V06 Calend 01'!H69-('V06 Calend 01'!I69*('V06 Calend 01'!E69-1))),'V06 Calend 01'!I69),0))+IF((103='V06 Calend 01'!D69),'V06 Calend 01'!J69,0))</f>
        <v>0</v>
      </c>
      <c r="DL69" s="2">
        <f>((IF((104='V06 Calend 01'!C69),('V06 Calend 01'!F69+'V06 Calend 01'!G69),0)+IF(AND(('V06 Calend 01'!E69&gt;0),(104&gt;'V06 Calend 01'!C69),(104&lt;'V06 Calend 01'!D69),(MOD((104-'V06 Calend 01'!C69),6)=0),(((104-'V06 Calend 01'!C69)/6)&lt;='V06 Calend 01'!E69)),IF((104=('V06 Calend 01'!C69+(6*'V06 Calend 01'!E69))),('V06 Calend 01'!H69-('V06 Calend 01'!I69*('V06 Calend 01'!E69-1))),'V06 Calend 01'!I69),0))+IF((104='V06 Calend 01'!D69),'V06 Calend 01'!J69,0))</f>
        <v>0</v>
      </c>
      <c r="DM69" s="2">
        <f>((IF((105='V06 Calend 01'!C69),('V06 Calend 01'!F69+'V06 Calend 01'!G69),0)+IF(AND(('V06 Calend 01'!E69&gt;0),(105&gt;'V06 Calend 01'!C69),(105&lt;'V06 Calend 01'!D69),(MOD((105-'V06 Calend 01'!C69),6)=0),(((105-'V06 Calend 01'!C69)/6)&lt;='V06 Calend 01'!E69)),IF((105=('V06 Calend 01'!C69+(6*'V06 Calend 01'!E69))),('V06 Calend 01'!H69-('V06 Calend 01'!I69*('V06 Calend 01'!E69-1))),'V06 Calend 01'!I69),0))+IF((105='V06 Calend 01'!D69),'V06 Calend 01'!J69,0))</f>
        <v>0</v>
      </c>
      <c r="DN69" s="2">
        <f>((IF((106='V06 Calend 01'!C69),('V06 Calend 01'!F69+'V06 Calend 01'!G69),0)+IF(AND(('V06 Calend 01'!E69&gt;0),(106&gt;'V06 Calend 01'!C69),(106&lt;'V06 Calend 01'!D69),(MOD((106-'V06 Calend 01'!C69),6)=0),(((106-'V06 Calend 01'!C69)/6)&lt;='V06 Calend 01'!E69)),IF((106=('V06 Calend 01'!C69+(6*'V06 Calend 01'!E69))),('V06 Calend 01'!H69-('V06 Calend 01'!I69*('V06 Calend 01'!E69-1))),'V06 Calend 01'!I69),0))+IF((106='V06 Calend 01'!D69),'V06 Calend 01'!J69,0))</f>
        <v>0</v>
      </c>
      <c r="DO69" s="2">
        <f>((IF((107='V06 Calend 01'!C69),('V06 Calend 01'!F69+'V06 Calend 01'!G69),0)+IF(AND(('V06 Calend 01'!E69&gt;0),(107&gt;'V06 Calend 01'!C69),(107&lt;'V06 Calend 01'!D69),(MOD((107-'V06 Calend 01'!C69),6)=0),(((107-'V06 Calend 01'!C69)/6)&lt;='V06 Calend 01'!E69)),IF((107=('V06 Calend 01'!C69+(6*'V06 Calend 01'!E69))),('V06 Calend 01'!H69-('V06 Calend 01'!I69*('V06 Calend 01'!E69-1))),'V06 Calend 01'!I69),0))+IF((107='V06 Calend 01'!D69),'V06 Calend 01'!J69,0))</f>
        <v>0</v>
      </c>
      <c r="DP69" s="2">
        <f>((IF((108='V06 Calend 01'!C69),('V06 Calend 01'!F69+'V06 Calend 01'!G69),0)+IF(AND(('V06 Calend 01'!E69&gt;0),(108&gt;'V06 Calend 01'!C69),(108&lt;'V06 Calend 01'!D69),(MOD((108-'V06 Calend 01'!C69),6)=0),(((108-'V06 Calend 01'!C69)/6)&lt;='V06 Calend 01'!E69)),IF((108=('V06 Calend 01'!C69+(6*'V06 Calend 01'!E69))),('V06 Calend 01'!H69-('V06 Calend 01'!I69*('V06 Calend 01'!E69-1))),'V06 Calend 01'!I69),0))+IF((108='V06 Calend 01'!D69),'V06 Calend 01'!J69,0))</f>
        <v>0</v>
      </c>
      <c r="DQ69" s="2">
        <f>((IF((109='V06 Calend 01'!C69),('V06 Calend 01'!F69+'V06 Calend 01'!G69),0)+IF(AND(('V06 Calend 01'!E69&gt;0),(109&gt;'V06 Calend 01'!C69),(109&lt;'V06 Calend 01'!D69),(MOD((109-'V06 Calend 01'!C69),6)=0),(((109-'V06 Calend 01'!C69)/6)&lt;='V06 Calend 01'!E69)),IF((109=('V06 Calend 01'!C69+(6*'V06 Calend 01'!E69))),('V06 Calend 01'!H69-('V06 Calend 01'!I69*('V06 Calend 01'!E69-1))),'V06 Calend 01'!I69),0))+IF((109='V06 Calend 01'!D69),'V06 Calend 01'!J69,0))</f>
        <v>0</v>
      </c>
      <c r="DR69" s="2">
        <f>((IF((110='V06 Calend 01'!C69),('V06 Calend 01'!F69+'V06 Calend 01'!G69),0)+IF(AND(('V06 Calend 01'!E69&gt;0),(110&gt;'V06 Calend 01'!C69),(110&lt;'V06 Calend 01'!D69),(MOD((110-'V06 Calend 01'!C69),6)=0),(((110-'V06 Calend 01'!C69)/6)&lt;='V06 Calend 01'!E69)),IF((110=('V06 Calend 01'!C69+(6*'V06 Calend 01'!E69))),('V06 Calend 01'!H69-('V06 Calend 01'!I69*('V06 Calend 01'!E69-1))),'V06 Calend 01'!I69),0))+IF((110='V06 Calend 01'!D69),'V06 Calend 01'!J69,0))</f>
        <v>0</v>
      </c>
      <c r="DS69" s="2">
        <f>((IF((111='V06 Calend 01'!C69),('V06 Calend 01'!F69+'V06 Calend 01'!G69),0)+IF(AND(('V06 Calend 01'!E69&gt;0),(111&gt;'V06 Calend 01'!C69),(111&lt;'V06 Calend 01'!D69),(MOD((111-'V06 Calend 01'!C69),6)=0),(((111-'V06 Calend 01'!C69)/6)&lt;='V06 Calend 01'!E69)),IF((111=('V06 Calend 01'!C69+(6*'V06 Calend 01'!E69))),('V06 Calend 01'!H69-('V06 Calend 01'!I69*('V06 Calend 01'!E69-1))),'V06 Calend 01'!I69),0))+IF((111='V06 Calend 01'!D69),'V06 Calend 01'!J69,0))</f>
        <v>0</v>
      </c>
      <c r="DT69" s="2">
        <f>((IF((112='V06 Calend 01'!C69),('V06 Calend 01'!F69+'V06 Calend 01'!G69),0)+IF(AND(('V06 Calend 01'!E69&gt;0),(112&gt;'V06 Calend 01'!C69),(112&lt;'V06 Calend 01'!D69),(MOD((112-'V06 Calend 01'!C69),6)=0),(((112-'V06 Calend 01'!C69)/6)&lt;='V06 Calend 01'!E69)),IF((112=('V06 Calend 01'!C69+(6*'V06 Calend 01'!E69))),('V06 Calend 01'!H69-('V06 Calend 01'!I69*('V06 Calend 01'!E69-1))),'V06 Calend 01'!I69),0))+IF((112='V06 Calend 01'!D69),'V06 Calend 01'!J69,0))</f>
        <v>0</v>
      </c>
      <c r="DU69" s="2">
        <f>((IF((113='V06 Calend 01'!C69),('V06 Calend 01'!F69+'V06 Calend 01'!G69),0)+IF(AND(('V06 Calend 01'!E69&gt;0),(113&gt;'V06 Calend 01'!C69),(113&lt;'V06 Calend 01'!D69),(MOD((113-'V06 Calend 01'!C69),6)=0),(((113-'V06 Calend 01'!C69)/6)&lt;='V06 Calend 01'!E69)),IF((113=('V06 Calend 01'!C69+(6*'V06 Calend 01'!E69))),('V06 Calend 01'!H69-('V06 Calend 01'!I69*('V06 Calend 01'!E69-1))),'V06 Calend 01'!I69),0))+IF((113='V06 Calend 01'!D69),'V06 Calend 01'!J69,0))</f>
        <v>0</v>
      </c>
      <c r="DV69" s="2">
        <f>((IF((114='V06 Calend 01'!C69),('V06 Calend 01'!F69+'V06 Calend 01'!G69),0)+IF(AND(('V06 Calend 01'!E69&gt;0),(114&gt;'V06 Calend 01'!C69),(114&lt;'V06 Calend 01'!D69),(MOD((114-'V06 Calend 01'!C69),6)=0),(((114-'V06 Calend 01'!C69)/6)&lt;='V06 Calend 01'!E69)),IF((114=('V06 Calend 01'!C69+(6*'V06 Calend 01'!E69))),('V06 Calend 01'!H69-('V06 Calend 01'!I69*('V06 Calend 01'!E69-1))),'V06 Calend 01'!I69),0))+IF((114='V06 Calend 01'!D69),'V06 Calend 01'!J69,0))</f>
        <v>0</v>
      </c>
      <c r="DW69" s="2">
        <f>((IF((115='V06 Calend 01'!C69),('V06 Calend 01'!F69+'V06 Calend 01'!G69),0)+IF(AND(('V06 Calend 01'!E69&gt;0),(115&gt;'V06 Calend 01'!C69),(115&lt;'V06 Calend 01'!D69),(MOD((115-'V06 Calend 01'!C69),6)=0),(((115-'V06 Calend 01'!C69)/6)&lt;='V06 Calend 01'!E69)),IF((115=('V06 Calend 01'!C69+(6*'V06 Calend 01'!E69))),('V06 Calend 01'!H69-('V06 Calend 01'!I69*('V06 Calend 01'!E69-1))),'V06 Calend 01'!I69),0))+IF((115='V06 Calend 01'!D69),'V06 Calend 01'!J69,0))</f>
        <v>0</v>
      </c>
      <c r="DX69" s="2">
        <f>((IF((116='V06 Calend 01'!C69),('V06 Calend 01'!F69+'V06 Calend 01'!G69),0)+IF(AND(('V06 Calend 01'!E69&gt;0),(116&gt;'V06 Calend 01'!C69),(116&lt;'V06 Calend 01'!D69),(MOD((116-'V06 Calend 01'!C69),6)=0),(((116-'V06 Calend 01'!C69)/6)&lt;='V06 Calend 01'!E69)),IF((116=('V06 Calend 01'!C69+(6*'V06 Calend 01'!E69))),('V06 Calend 01'!H69-('V06 Calend 01'!I69*('V06 Calend 01'!E69-1))),'V06 Calend 01'!I69),0))+IF((116='V06 Calend 01'!D69),'V06 Calend 01'!J69,0))</f>
        <v>0</v>
      </c>
      <c r="DY69" s="2">
        <f>((IF((117='V06 Calend 01'!C69),('V06 Calend 01'!F69+'V06 Calend 01'!G69),0)+IF(AND(('V06 Calend 01'!E69&gt;0),(117&gt;'V06 Calend 01'!C69),(117&lt;'V06 Calend 01'!D69),(MOD((117-'V06 Calend 01'!C69),6)=0),(((117-'V06 Calend 01'!C69)/6)&lt;='V06 Calend 01'!E69)),IF((117=('V06 Calend 01'!C69+(6*'V06 Calend 01'!E69))),('V06 Calend 01'!H69-('V06 Calend 01'!I69*('V06 Calend 01'!E69-1))),'V06 Calend 01'!I69),0))+IF((117='V06 Calend 01'!D69),'V06 Calend 01'!J69,0))</f>
        <v>0</v>
      </c>
      <c r="DZ69" s="2">
        <f>((IF((118='V06 Calend 01'!C69),('V06 Calend 01'!F69+'V06 Calend 01'!G69),0)+IF(AND(('V06 Calend 01'!E69&gt;0),(118&gt;'V06 Calend 01'!C69),(118&lt;'V06 Calend 01'!D69),(MOD((118-'V06 Calend 01'!C69),6)=0),(((118-'V06 Calend 01'!C69)/6)&lt;='V06 Calend 01'!E69)),IF((118=('V06 Calend 01'!C69+(6*'V06 Calend 01'!E69))),('V06 Calend 01'!H69-('V06 Calend 01'!I69*('V06 Calend 01'!E69-1))),'V06 Calend 01'!I69),0))+IF((118='V06 Calend 01'!D69),'V06 Calend 01'!J69,0))</f>
        <v>0</v>
      </c>
      <c r="EA69" s="2">
        <f>((IF((119='V06 Calend 01'!C69),('V06 Calend 01'!F69+'V06 Calend 01'!G69),0)+IF(AND(('V06 Calend 01'!E69&gt;0),(119&gt;'V06 Calend 01'!C69),(119&lt;'V06 Calend 01'!D69),(MOD((119-'V06 Calend 01'!C69),6)=0),(((119-'V06 Calend 01'!C69)/6)&lt;='V06 Calend 01'!E69)),IF((119=('V06 Calend 01'!C69+(6*'V06 Calend 01'!E69))),('V06 Calend 01'!H69-('V06 Calend 01'!I69*('V06 Calend 01'!E69-1))),'V06 Calend 01'!I69),0))+IF((119='V06 Calend 01'!D69),'V06 Calend 01'!J69,0))</f>
        <v>0</v>
      </c>
      <c r="EB69" s="2">
        <f>((IF((120='V06 Calend 01'!C69),('V06 Calend 01'!F69+'V06 Calend 01'!G69),0)+IF(AND(('V06 Calend 01'!E69&gt;0),(120&gt;'V06 Calend 01'!C69),(120&lt;'V06 Calend 01'!D69),(MOD((120-'V06 Calend 01'!C69),6)=0),(((120-'V06 Calend 01'!C69)/6)&lt;='V06 Calend 01'!E69)),IF((120=('V06 Calend 01'!C69+(6*'V06 Calend 01'!E69))),('V06 Calend 01'!H69-('V06 Calend 01'!I69*('V06 Calend 01'!E69-1))),'V06 Calend 01'!I69),0))+IF((120='V06 Calend 01'!D69),'V06 Calend 01'!J69,0))</f>
        <v>0</v>
      </c>
      <c r="EC69" s="2">
        <f>((IF((121='V06 Calend 01'!C69),('V06 Calend 01'!F69+'V06 Calend 01'!G69),0)+IF(AND(('V06 Calend 01'!E69&gt;0),(121&gt;'V06 Calend 01'!C69),(121&lt;'V06 Calend 01'!D69),(MOD((121-'V06 Calend 01'!C69),6)=0),(((121-'V06 Calend 01'!C69)/6)&lt;='V06 Calend 01'!E69)),IF((121=('V06 Calend 01'!C69+(6*'V06 Calend 01'!E69))),('V06 Calend 01'!H69-('V06 Calend 01'!I69*('V06 Calend 01'!E69-1))),'V06 Calend 01'!I69),0))+IF((121='V06 Calend 01'!D69),'V06 Calend 01'!J69,0))</f>
        <v>0</v>
      </c>
      <c r="ED69" s="2">
        <f>((IF((122='V06 Calend 01'!C69),('V06 Calend 01'!F69+'V06 Calend 01'!G69),0)+IF(AND(('V06 Calend 01'!E69&gt;0),(122&gt;'V06 Calend 01'!C69),(122&lt;'V06 Calend 01'!D69),(MOD((122-'V06 Calend 01'!C69),6)=0),(((122-'V06 Calend 01'!C69)/6)&lt;='V06 Calend 01'!E69)),IF((122=('V06 Calend 01'!C69+(6*'V06 Calend 01'!E69))),('V06 Calend 01'!H69-('V06 Calend 01'!I69*('V06 Calend 01'!E69-1))),'V06 Calend 01'!I69),0))+IF((122='V06 Calend 01'!D69),'V06 Calend 01'!J69,0))</f>
        <v>0</v>
      </c>
      <c r="EE69" s="2">
        <f>((IF((123='V06 Calend 01'!C69),('V06 Calend 01'!F69+'V06 Calend 01'!G69),0)+IF(AND(('V06 Calend 01'!E69&gt;0),(123&gt;'V06 Calend 01'!C69),(123&lt;'V06 Calend 01'!D69),(MOD((123-'V06 Calend 01'!C69),6)=0),(((123-'V06 Calend 01'!C69)/6)&lt;='V06 Calend 01'!E69)),IF((123=('V06 Calend 01'!C69+(6*'V06 Calend 01'!E69))),('V06 Calend 01'!H69-('V06 Calend 01'!I69*('V06 Calend 01'!E69-1))),'V06 Calend 01'!I69),0))+IF((123='V06 Calend 01'!D69),'V06 Calend 01'!J69,0))</f>
        <v>0</v>
      </c>
      <c r="EF69" s="2">
        <f>((IF((124='V06 Calend 01'!C69),('V06 Calend 01'!F69+'V06 Calend 01'!G69),0)+IF(AND(('V06 Calend 01'!E69&gt;0),(124&gt;'V06 Calend 01'!C69),(124&lt;'V06 Calend 01'!D69),(MOD((124-'V06 Calend 01'!C69),6)=0),(((124-'V06 Calend 01'!C69)/6)&lt;='V06 Calend 01'!E69)),IF((124=('V06 Calend 01'!C69+(6*'V06 Calend 01'!E69))),('V06 Calend 01'!H69-('V06 Calend 01'!I69*('V06 Calend 01'!E69-1))),'V06 Calend 01'!I69),0))+IF((124='V06 Calend 01'!D69),'V06 Calend 01'!J69,0))</f>
        <v>0</v>
      </c>
      <c r="EG69" s="2">
        <f>((IF((125='V06 Calend 01'!C69),('V06 Calend 01'!F69+'V06 Calend 01'!G69),0)+IF(AND(('V06 Calend 01'!E69&gt;0),(125&gt;'V06 Calend 01'!C69),(125&lt;'V06 Calend 01'!D69),(MOD((125-'V06 Calend 01'!C69),6)=0),(((125-'V06 Calend 01'!C69)/6)&lt;='V06 Calend 01'!E69)),IF((125=('V06 Calend 01'!C69+(6*'V06 Calend 01'!E69))),('V06 Calend 01'!H69-('V06 Calend 01'!I69*('V06 Calend 01'!E69-1))),'V06 Calend 01'!I69),0))+IF((125='V06 Calend 01'!D69),'V06 Calend 01'!J69,0))</f>
        <v>0</v>
      </c>
      <c r="EH69" s="2">
        <f>((IF((126='V06 Calend 01'!C69),('V06 Calend 01'!F69+'V06 Calend 01'!G69),0)+IF(AND(('V06 Calend 01'!E69&gt;0),(126&gt;'V06 Calend 01'!C69),(126&lt;'V06 Calend 01'!D69),(MOD((126-'V06 Calend 01'!C69),6)=0),(((126-'V06 Calend 01'!C69)/6)&lt;='V06 Calend 01'!E69)),IF((126=('V06 Calend 01'!C69+(6*'V06 Calend 01'!E69))),('V06 Calend 01'!H69-('V06 Calend 01'!I69*('V06 Calend 01'!E69-1))),'V06 Calend 01'!I69),0))+IF((126='V06 Calend 01'!D69),'V06 Calend 01'!J69,0))</f>
        <v>0</v>
      </c>
      <c r="EI69" s="2">
        <f>((IF((127='V06 Calend 01'!C69),('V06 Calend 01'!F69+'V06 Calend 01'!G69),0)+IF(AND(('V06 Calend 01'!E69&gt;0),(127&gt;'V06 Calend 01'!C69),(127&lt;'V06 Calend 01'!D69),(MOD((127-'V06 Calend 01'!C69),6)=0),(((127-'V06 Calend 01'!C69)/6)&lt;='V06 Calend 01'!E69)),IF((127=('V06 Calend 01'!C69+(6*'V06 Calend 01'!E69))),('V06 Calend 01'!H69-('V06 Calend 01'!I69*('V06 Calend 01'!E69-1))),'V06 Calend 01'!I69),0))+IF((127='V06 Calend 01'!D69),'V06 Calend 01'!J69,0))</f>
        <v>0</v>
      </c>
      <c r="EJ69" s="2">
        <f>((IF((128='V06 Calend 01'!C69),('V06 Calend 01'!F69+'V06 Calend 01'!G69),0)+IF(AND(('V06 Calend 01'!E69&gt;0),(128&gt;'V06 Calend 01'!C69),(128&lt;'V06 Calend 01'!D69),(MOD((128-'V06 Calend 01'!C69),6)=0),(((128-'V06 Calend 01'!C69)/6)&lt;='V06 Calend 01'!E69)),IF((128=('V06 Calend 01'!C69+(6*'V06 Calend 01'!E69))),('V06 Calend 01'!H69-('V06 Calend 01'!I69*('V06 Calend 01'!E69-1))),'V06 Calend 01'!I69),0))+IF((128='V06 Calend 01'!D69),'V06 Calend 01'!J69,0))</f>
        <v>0</v>
      </c>
      <c r="EK69" s="2">
        <f>((IF((129='V06 Calend 01'!C69),('V06 Calend 01'!F69+'V06 Calend 01'!G69),0)+IF(AND(('V06 Calend 01'!E69&gt;0),(129&gt;'V06 Calend 01'!C69),(129&lt;'V06 Calend 01'!D69),(MOD((129-'V06 Calend 01'!C69),6)=0),(((129-'V06 Calend 01'!C69)/6)&lt;='V06 Calend 01'!E69)),IF((129=('V06 Calend 01'!C69+(6*'V06 Calend 01'!E69))),('V06 Calend 01'!H69-('V06 Calend 01'!I69*('V06 Calend 01'!E69-1))),'V06 Calend 01'!I69),0))+IF((129='V06 Calend 01'!D69),'V06 Calend 01'!J69,0))</f>
        <v>0</v>
      </c>
      <c r="EL69" s="2">
        <f>((IF((130='V06 Calend 01'!C69),('V06 Calend 01'!F69+'V06 Calend 01'!G69),0)+IF(AND(('V06 Calend 01'!E69&gt;0),(130&gt;'V06 Calend 01'!C69),(130&lt;'V06 Calend 01'!D69),(MOD((130-'V06 Calend 01'!C69),6)=0),(((130-'V06 Calend 01'!C69)/6)&lt;='V06 Calend 01'!E69)),IF((130=('V06 Calend 01'!C69+(6*'V06 Calend 01'!E69))),('V06 Calend 01'!H69-('V06 Calend 01'!I69*('V06 Calend 01'!E69-1))),'V06 Calend 01'!I69),0))+IF((130='V06 Calend 01'!D69),'V06 Calend 01'!J69,0))</f>
        <v>0</v>
      </c>
      <c r="EM69" s="2">
        <f>((IF((131='V06 Calend 01'!C69),('V06 Calend 01'!F69+'V06 Calend 01'!G69),0)+IF(AND(('V06 Calend 01'!E69&gt;0),(131&gt;'V06 Calend 01'!C69),(131&lt;'V06 Calend 01'!D69),(MOD((131-'V06 Calend 01'!C69),6)=0),(((131-'V06 Calend 01'!C69)/6)&lt;='V06 Calend 01'!E69)),IF((131=('V06 Calend 01'!C69+(6*'V06 Calend 01'!E69))),('V06 Calend 01'!H69-('V06 Calend 01'!I69*('V06 Calend 01'!E69-1))),'V06 Calend 01'!I69),0))+IF((131='V06 Calend 01'!D69),'V06 Calend 01'!J69,0))</f>
        <v>0</v>
      </c>
      <c r="EN69" s="2">
        <f>((IF((132='V06 Calend 01'!C69),('V06 Calend 01'!F69+'V06 Calend 01'!G69),0)+IF(AND(('V06 Calend 01'!E69&gt;0),(132&gt;'V06 Calend 01'!C69),(132&lt;'V06 Calend 01'!D69),(MOD((132-'V06 Calend 01'!C69),6)=0),(((132-'V06 Calend 01'!C69)/6)&lt;='V06 Calend 01'!E69)),IF((132=('V06 Calend 01'!C69+(6*'V06 Calend 01'!E69))),('V06 Calend 01'!H69-('V06 Calend 01'!I69*('V06 Calend 01'!E69-1))),'V06 Calend 01'!I69),0))+IF((132='V06 Calend 01'!D69),'V06 Calend 01'!J69,0))</f>
        <v>0</v>
      </c>
      <c r="EO69" s="2">
        <f>((IF((133='V06 Calend 01'!C69),('V06 Calend 01'!F69+'V06 Calend 01'!G69),0)+IF(AND(('V06 Calend 01'!E69&gt;0),(133&gt;'V06 Calend 01'!C69),(133&lt;'V06 Calend 01'!D69),(MOD((133-'V06 Calend 01'!C69),6)=0),(((133-'V06 Calend 01'!C69)/6)&lt;='V06 Calend 01'!E69)),IF((133=('V06 Calend 01'!C69+(6*'V06 Calend 01'!E69))),('V06 Calend 01'!H69-('V06 Calend 01'!I69*('V06 Calend 01'!E69-1))),'V06 Calend 01'!I69),0))+IF((133='V06 Calend 01'!D69),'V06 Calend 01'!J69,0))</f>
        <v>0</v>
      </c>
      <c r="EP69" s="2">
        <f>((IF((134='V06 Calend 01'!C69),('V06 Calend 01'!F69+'V06 Calend 01'!G69),0)+IF(AND(('V06 Calend 01'!E69&gt;0),(134&gt;'V06 Calend 01'!C69),(134&lt;'V06 Calend 01'!D69),(MOD((134-'V06 Calend 01'!C69),6)=0),(((134-'V06 Calend 01'!C69)/6)&lt;='V06 Calend 01'!E69)),IF((134=('V06 Calend 01'!C69+(6*'V06 Calend 01'!E69))),('V06 Calend 01'!H69-('V06 Calend 01'!I69*('V06 Calend 01'!E69-1))),'V06 Calend 01'!I69),0))+IF((134='V06 Calend 01'!D69),'V06 Calend 01'!J69,0))</f>
        <v>0</v>
      </c>
      <c r="EQ69" s="2">
        <f>((IF((135='V06 Calend 01'!C69),('V06 Calend 01'!F69+'V06 Calend 01'!G69),0)+IF(AND(('V06 Calend 01'!E69&gt;0),(135&gt;'V06 Calend 01'!C69),(135&lt;'V06 Calend 01'!D69),(MOD((135-'V06 Calend 01'!C69),6)=0),(((135-'V06 Calend 01'!C69)/6)&lt;='V06 Calend 01'!E69)),IF((135=('V06 Calend 01'!C69+(6*'V06 Calend 01'!E69))),('V06 Calend 01'!H69-('V06 Calend 01'!I69*('V06 Calend 01'!E69-1))),'V06 Calend 01'!I69),0))+IF((135='V06 Calend 01'!D69),'V06 Calend 01'!J69,0))</f>
        <v>0</v>
      </c>
      <c r="ER69" s="2">
        <f>((IF((136='V06 Calend 01'!C69),('V06 Calend 01'!F69+'V06 Calend 01'!G69),0)+IF(AND(('V06 Calend 01'!E69&gt;0),(136&gt;'V06 Calend 01'!C69),(136&lt;'V06 Calend 01'!D69),(MOD((136-'V06 Calend 01'!C69),6)=0),(((136-'V06 Calend 01'!C69)/6)&lt;='V06 Calend 01'!E69)),IF((136=('V06 Calend 01'!C69+(6*'V06 Calend 01'!E69))),('V06 Calend 01'!H69-('V06 Calend 01'!I69*('V06 Calend 01'!E69-1))),'V06 Calend 01'!I69),0))+IF((136='V06 Calend 01'!D69),'V06 Calend 01'!J69,0))</f>
        <v>0</v>
      </c>
      <c r="ES69" s="2">
        <f>((IF((137='V06 Calend 01'!C69),('V06 Calend 01'!F69+'V06 Calend 01'!G69),0)+IF(AND(('V06 Calend 01'!E69&gt;0),(137&gt;'V06 Calend 01'!C69),(137&lt;'V06 Calend 01'!D69),(MOD((137-'V06 Calend 01'!C69),6)=0),(((137-'V06 Calend 01'!C69)/6)&lt;='V06 Calend 01'!E69)),IF((137=('V06 Calend 01'!C69+(6*'V06 Calend 01'!E69))),('V06 Calend 01'!H69-('V06 Calend 01'!I69*('V06 Calend 01'!E69-1))),'V06 Calend 01'!I69),0))+IF((137='V06 Calend 01'!D69),'V06 Calend 01'!J69,0))</f>
        <v>0</v>
      </c>
      <c r="ET69" s="2">
        <f>((IF((138='V06 Calend 01'!C69),('V06 Calend 01'!F69+'V06 Calend 01'!G69),0)+IF(AND(('V06 Calend 01'!E69&gt;0),(138&gt;'V06 Calend 01'!C69),(138&lt;'V06 Calend 01'!D69),(MOD((138-'V06 Calend 01'!C69),6)=0),(((138-'V06 Calend 01'!C69)/6)&lt;='V06 Calend 01'!E69)),IF((138=('V06 Calend 01'!C69+(6*'V06 Calend 01'!E69))),('V06 Calend 01'!H69-('V06 Calend 01'!I69*('V06 Calend 01'!E69-1))),'V06 Calend 01'!I69),0))+IF((138='V06 Calend 01'!D69),'V06 Calend 01'!J69,0))</f>
        <v>0</v>
      </c>
      <c r="EU69" s="2">
        <f>((IF((139='V06 Calend 01'!C69),('V06 Calend 01'!F69+'V06 Calend 01'!G69),0)+IF(AND(('V06 Calend 01'!E69&gt;0),(139&gt;'V06 Calend 01'!C69),(139&lt;'V06 Calend 01'!D69),(MOD((139-'V06 Calend 01'!C69),6)=0),(((139-'V06 Calend 01'!C69)/6)&lt;='V06 Calend 01'!E69)),IF((139=('V06 Calend 01'!C69+(6*'V06 Calend 01'!E69))),('V06 Calend 01'!H69-('V06 Calend 01'!I69*('V06 Calend 01'!E69-1))),'V06 Calend 01'!I69),0))+IF((139='V06 Calend 01'!D69),'V06 Calend 01'!J69,0))</f>
        <v>0</v>
      </c>
      <c r="EV69" s="2">
        <f>((IF((140='V06 Calend 01'!C69),('V06 Calend 01'!F69+'V06 Calend 01'!G69),0)+IF(AND(('V06 Calend 01'!E69&gt;0),(140&gt;'V06 Calend 01'!C69),(140&lt;'V06 Calend 01'!D69),(MOD((140-'V06 Calend 01'!C69),6)=0),(((140-'V06 Calend 01'!C69)/6)&lt;='V06 Calend 01'!E69)),IF((140=('V06 Calend 01'!C69+(6*'V06 Calend 01'!E69))),('V06 Calend 01'!H69-('V06 Calend 01'!I69*('V06 Calend 01'!E69-1))),'V06 Calend 01'!I69),0))+IF((140='V06 Calend 01'!D69),'V06 Calend 01'!J69,0))</f>
        <v>0</v>
      </c>
      <c r="EW69" s="2">
        <f>((IF((141='V06 Calend 01'!C69),('V06 Calend 01'!F69+'V06 Calend 01'!G69),0)+IF(AND(('V06 Calend 01'!E69&gt;0),(141&gt;'V06 Calend 01'!C69),(141&lt;'V06 Calend 01'!D69),(MOD((141-'V06 Calend 01'!C69),6)=0),(((141-'V06 Calend 01'!C69)/6)&lt;='V06 Calend 01'!E69)),IF((141=('V06 Calend 01'!C69+(6*'V06 Calend 01'!E69))),('V06 Calend 01'!H69-('V06 Calend 01'!I69*('V06 Calend 01'!E69-1))),'V06 Calend 01'!I69),0))+IF((141='V06 Calend 01'!D69),'V06 Calend 01'!J69,0))</f>
        <v>0</v>
      </c>
      <c r="EX69" s="2">
        <f>((IF((142='V06 Calend 01'!C69),('V06 Calend 01'!F69+'V06 Calend 01'!G69),0)+IF(AND(('V06 Calend 01'!E69&gt;0),(142&gt;'V06 Calend 01'!C69),(142&lt;'V06 Calend 01'!D69),(MOD((142-'V06 Calend 01'!C69),6)=0),(((142-'V06 Calend 01'!C69)/6)&lt;='V06 Calend 01'!E69)),IF((142=('V06 Calend 01'!C69+(6*'V06 Calend 01'!E69))),('V06 Calend 01'!H69-('V06 Calend 01'!I69*('V06 Calend 01'!E69-1))),'V06 Calend 01'!I69),0))+IF((142='V06 Calend 01'!D69),'V06 Calend 01'!J69,0))</f>
        <v>0</v>
      </c>
      <c r="EY69" s="2">
        <f>((IF((143='V06 Calend 01'!C69),('V06 Calend 01'!F69+'V06 Calend 01'!G69),0)+IF(AND(('V06 Calend 01'!E69&gt;0),(143&gt;'V06 Calend 01'!C69),(143&lt;'V06 Calend 01'!D69),(MOD((143-'V06 Calend 01'!C69),6)=0),(((143-'V06 Calend 01'!C69)/6)&lt;='V06 Calend 01'!E69)),IF((143=('V06 Calend 01'!C69+(6*'V06 Calend 01'!E69))),('V06 Calend 01'!H69-('V06 Calend 01'!I69*('V06 Calend 01'!E69-1))),'V06 Calend 01'!I69),0))+IF((143='V06 Calend 01'!D69),'V06 Calend 01'!J69,0))</f>
        <v>0</v>
      </c>
      <c r="EZ69" s="2">
        <f>((IF((144='V06 Calend 01'!C69),('V06 Calend 01'!F69+'V06 Calend 01'!G69),0)+IF(AND(('V06 Calend 01'!E69&gt;0),(144&gt;'V06 Calend 01'!C69),(144&lt;'V06 Calend 01'!D69),(MOD((144-'V06 Calend 01'!C69),6)=0),(((144-'V06 Calend 01'!C69)/6)&lt;='V06 Calend 01'!E69)),IF((144=('V06 Calend 01'!C69+(6*'V06 Calend 01'!E69))),('V06 Calend 01'!H69-('V06 Calend 01'!I69*('V06 Calend 01'!E69-1))),'V06 Calend 01'!I69),0))+IF((144='V06 Calend 01'!D69),'V06 Calend 01'!J69,0))</f>
        <v>0</v>
      </c>
      <c r="FA69" s="2">
        <f>((IF((145='V06 Calend 01'!C69),('V06 Calend 01'!F69+'V06 Calend 01'!G69),0)+IF(AND(('V06 Calend 01'!E69&gt;0),(145&gt;'V06 Calend 01'!C69),(145&lt;'V06 Calend 01'!D69),(MOD((145-'V06 Calend 01'!C69),6)=0),(((145-'V06 Calend 01'!C69)/6)&lt;='V06 Calend 01'!E69)),IF((145=('V06 Calend 01'!C69+(6*'V06 Calend 01'!E69))),('V06 Calend 01'!H69-('V06 Calend 01'!I69*('V06 Calend 01'!E69-1))),'V06 Calend 01'!I69),0))+IF((145='V06 Calend 01'!D69),'V06 Calend 01'!J69,0))</f>
        <v>0</v>
      </c>
      <c r="FB69" s="2">
        <f>((IF((146='V06 Calend 01'!C69),('V06 Calend 01'!F69+'V06 Calend 01'!G69),0)+IF(AND(('V06 Calend 01'!E69&gt;0),(146&gt;'V06 Calend 01'!C69),(146&lt;'V06 Calend 01'!D69),(MOD((146-'V06 Calend 01'!C69),6)=0),(((146-'V06 Calend 01'!C69)/6)&lt;='V06 Calend 01'!E69)),IF((146=('V06 Calend 01'!C69+(6*'V06 Calend 01'!E69))),('V06 Calend 01'!H69-('V06 Calend 01'!I69*('V06 Calend 01'!E69-1))),'V06 Calend 01'!I69),0))+IF((146='V06 Calend 01'!D69),'V06 Calend 01'!J69,0))</f>
        <v>0</v>
      </c>
      <c r="FC69" s="2">
        <f>((IF((147='V06 Calend 01'!C69),('V06 Calend 01'!F69+'V06 Calend 01'!G69),0)+IF(AND(('V06 Calend 01'!E69&gt;0),(147&gt;'V06 Calend 01'!C69),(147&lt;'V06 Calend 01'!D69),(MOD((147-'V06 Calend 01'!C69),6)=0),(((147-'V06 Calend 01'!C69)/6)&lt;='V06 Calend 01'!E69)),IF((147=('V06 Calend 01'!C69+(6*'V06 Calend 01'!E69))),('V06 Calend 01'!H69-('V06 Calend 01'!I69*('V06 Calend 01'!E69-1))),'V06 Calend 01'!I69),0))+IF((147='V06 Calend 01'!D69),'V06 Calend 01'!J69,0))</f>
        <v>0</v>
      </c>
      <c r="FD69" s="2">
        <f>((IF((148='V06 Calend 01'!C69),('V06 Calend 01'!F69+'V06 Calend 01'!G69),0)+IF(AND(('V06 Calend 01'!E69&gt;0),(148&gt;'V06 Calend 01'!C69),(148&lt;'V06 Calend 01'!D69),(MOD((148-'V06 Calend 01'!C69),6)=0),(((148-'V06 Calend 01'!C69)/6)&lt;='V06 Calend 01'!E69)),IF((148=('V06 Calend 01'!C69+(6*'V06 Calend 01'!E69))),('V06 Calend 01'!H69-('V06 Calend 01'!I69*('V06 Calend 01'!E69-1))),'V06 Calend 01'!I69),0))+IF((148='V06 Calend 01'!D69),'V06 Calend 01'!J69,0))</f>
        <v>0</v>
      </c>
      <c r="FE69" s="2">
        <f>((IF((149='V06 Calend 01'!C69),('V06 Calend 01'!F69+'V06 Calend 01'!G69),0)+IF(AND(('V06 Calend 01'!E69&gt;0),(149&gt;'V06 Calend 01'!C69),(149&lt;'V06 Calend 01'!D69),(MOD((149-'V06 Calend 01'!C69),6)=0),(((149-'V06 Calend 01'!C69)/6)&lt;='V06 Calend 01'!E69)),IF((149=('V06 Calend 01'!C69+(6*'V06 Calend 01'!E69))),('V06 Calend 01'!H69-('V06 Calend 01'!I69*('V06 Calend 01'!E69-1))),'V06 Calend 01'!I69),0))+IF((149='V06 Calend 01'!D69),'V06 Calend 01'!J69,0))</f>
        <v>0</v>
      </c>
      <c r="FF69" s="2">
        <f>((IF((150='V06 Calend 01'!C69),('V06 Calend 01'!F69+'V06 Calend 01'!G69),0)+IF(AND(('V06 Calend 01'!E69&gt;0),(150&gt;'V06 Calend 01'!C69),(150&lt;'V06 Calend 01'!D69),(MOD((150-'V06 Calend 01'!C69),6)=0),(((150-'V06 Calend 01'!C69)/6)&lt;='V06 Calend 01'!E69)),IF((150=('V06 Calend 01'!C69+(6*'V06 Calend 01'!E69))),('V06 Calend 01'!H69-('V06 Calend 01'!I69*('V06 Calend 01'!E69-1))),'V06 Calend 01'!I69),0))+IF((150='V06 Calend 01'!D69),'V06 Calend 01'!J69,0))</f>
        <v>0</v>
      </c>
      <c r="FG69" s="2">
        <f>((IF((151='V06 Calend 01'!C69),('V06 Calend 01'!F69+'V06 Calend 01'!G69),0)+IF(AND(('V06 Calend 01'!E69&gt;0),(151&gt;'V06 Calend 01'!C69),(151&lt;'V06 Calend 01'!D69),(MOD((151-'V06 Calend 01'!C69),6)=0),(((151-'V06 Calend 01'!C69)/6)&lt;='V06 Calend 01'!E69)),IF((151=('V06 Calend 01'!C69+(6*'V06 Calend 01'!E69))),('V06 Calend 01'!H69-('V06 Calend 01'!I69*('V06 Calend 01'!E69-1))),'V06 Calend 01'!I69),0))+IF((151='V06 Calend 01'!D69),'V06 Calend 01'!J69,0))</f>
        <v>0</v>
      </c>
      <c r="FH69" s="2">
        <f>((IF((152='V06 Calend 01'!C69),('V06 Calend 01'!F69+'V06 Calend 01'!G69),0)+IF(AND(('V06 Calend 01'!E69&gt;0),(152&gt;'V06 Calend 01'!C69),(152&lt;'V06 Calend 01'!D69),(MOD((152-'V06 Calend 01'!C69),6)=0),(((152-'V06 Calend 01'!C69)/6)&lt;='V06 Calend 01'!E69)),IF((152=('V06 Calend 01'!C69+(6*'V06 Calend 01'!E69))),('V06 Calend 01'!H69-('V06 Calend 01'!I69*('V06 Calend 01'!E69-1))),'V06 Calend 01'!I69),0))+IF((152='V06 Calend 01'!D69),'V06 Calend 01'!J69,0))</f>
        <v>0</v>
      </c>
      <c r="FI69" s="2">
        <f>((IF((153='V06 Calend 01'!C69),('V06 Calend 01'!F69+'V06 Calend 01'!G69),0)+IF(AND(('V06 Calend 01'!E69&gt;0),(153&gt;'V06 Calend 01'!C69),(153&lt;'V06 Calend 01'!D69),(MOD((153-'V06 Calend 01'!C69),6)=0),(((153-'V06 Calend 01'!C69)/6)&lt;='V06 Calend 01'!E69)),IF((153=('V06 Calend 01'!C69+(6*'V06 Calend 01'!E69))),('V06 Calend 01'!H69-('V06 Calend 01'!I69*('V06 Calend 01'!E69-1))),'V06 Calend 01'!I69),0))+IF((153='V06 Calend 01'!D69),'V06 Calend 01'!J69,0))</f>
        <v>0</v>
      </c>
      <c r="FJ69" s="2">
        <f>((IF((154='V06 Calend 01'!C69),('V06 Calend 01'!F69+'V06 Calend 01'!G69),0)+IF(AND(('V06 Calend 01'!E69&gt;0),(154&gt;'V06 Calend 01'!C69),(154&lt;'V06 Calend 01'!D69),(MOD((154-'V06 Calend 01'!C69),6)=0),(((154-'V06 Calend 01'!C69)/6)&lt;='V06 Calend 01'!E69)),IF((154=('V06 Calend 01'!C69+(6*'V06 Calend 01'!E69))),('V06 Calend 01'!H69-('V06 Calend 01'!I69*('V06 Calend 01'!E69-1))),'V06 Calend 01'!I69),0))+IF((154='V06 Calend 01'!D69),'V06 Calend 01'!J69,0))</f>
        <v>0</v>
      </c>
      <c r="FK69" s="2">
        <f>((IF((155='V06 Calend 01'!C69),('V06 Calend 01'!F69+'V06 Calend 01'!G69),0)+IF(AND(('V06 Calend 01'!E69&gt;0),(155&gt;'V06 Calend 01'!C69),(155&lt;'V06 Calend 01'!D69),(MOD((155-'V06 Calend 01'!C69),6)=0),(((155-'V06 Calend 01'!C69)/6)&lt;='V06 Calend 01'!E69)),IF((155=('V06 Calend 01'!C69+(6*'V06 Calend 01'!E69))),('V06 Calend 01'!H69-('V06 Calend 01'!I69*('V06 Calend 01'!E69-1))),'V06 Calend 01'!I69),0))+IF((155='V06 Calend 01'!D69),'V06 Calend 01'!J69,0))</f>
        <v>0</v>
      </c>
      <c r="FL69" s="2">
        <f>((IF((156='V06 Calend 01'!C69),('V06 Calend 01'!F69+'V06 Calend 01'!G69),0)+IF(AND(('V06 Calend 01'!E69&gt;0),(156&gt;'V06 Calend 01'!C69),(156&lt;'V06 Calend 01'!D69),(MOD((156-'V06 Calend 01'!C69),6)=0),(((156-'V06 Calend 01'!C69)/6)&lt;='V06 Calend 01'!E69)),IF((156=('V06 Calend 01'!C69+(6*'V06 Calend 01'!E69))),('V06 Calend 01'!H69-('V06 Calend 01'!I69*('V06 Calend 01'!E69-1))),'V06 Calend 01'!I69),0))+IF((156='V06 Calend 01'!D69),'V06 Calend 01'!J69,0))</f>
        <v>0</v>
      </c>
      <c r="FM69" s="2">
        <f>((IF((157='V06 Calend 01'!C69),('V06 Calend 01'!F69+'V06 Calend 01'!G69),0)+IF(AND(('V06 Calend 01'!E69&gt;0),(157&gt;'V06 Calend 01'!C69),(157&lt;'V06 Calend 01'!D69),(MOD((157-'V06 Calend 01'!C69),6)=0),(((157-'V06 Calend 01'!C69)/6)&lt;='V06 Calend 01'!E69)),IF((157=('V06 Calend 01'!C69+(6*'V06 Calend 01'!E69))),('V06 Calend 01'!H69-('V06 Calend 01'!I69*('V06 Calend 01'!E69-1))),'V06 Calend 01'!I69),0))+IF((157='V06 Calend 01'!D69),'V06 Calend 01'!J69,0))</f>
        <v>0</v>
      </c>
      <c r="FN69" s="2">
        <f>((IF((158='V06 Calend 01'!C69),('V06 Calend 01'!F69+'V06 Calend 01'!G69),0)+IF(AND(('V06 Calend 01'!E69&gt;0),(158&gt;'V06 Calend 01'!C69),(158&lt;'V06 Calend 01'!D69),(MOD((158-'V06 Calend 01'!C69),6)=0),(((158-'V06 Calend 01'!C69)/6)&lt;='V06 Calend 01'!E69)),IF((158=('V06 Calend 01'!C69+(6*'V06 Calend 01'!E69))),('V06 Calend 01'!H69-('V06 Calend 01'!I69*('V06 Calend 01'!E69-1))),'V06 Calend 01'!I69),0))+IF((158='V06 Calend 01'!D69),'V06 Calend 01'!J69,0))</f>
        <v>0</v>
      </c>
      <c r="FO69" s="2">
        <f>((IF((159='V06 Calend 01'!C69),('V06 Calend 01'!F69+'V06 Calend 01'!G69),0)+IF(AND(('V06 Calend 01'!E69&gt;0),(159&gt;'V06 Calend 01'!C69),(159&lt;'V06 Calend 01'!D69),(MOD((159-'V06 Calend 01'!C69),6)=0),(((159-'V06 Calend 01'!C69)/6)&lt;='V06 Calend 01'!E69)),IF((159=('V06 Calend 01'!C69+(6*'V06 Calend 01'!E69))),('V06 Calend 01'!H69-('V06 Calend 01'!I69*('V06 Calend 01'!E69-1))),'V06 Calend 01'!I69),0))+IF((159='V06 Calend 01'!D69),'V06 Calend 01'!J69,0))</f>
        <v>0</v>
      </c>
      <c r="FP69" s="2">
        <f>((IF((160='V06 Calend 01'!C69),('V06 Calend 01'!F69+'V06 Calend 01'!G69),0)+IF(AND(('V06 Calend 01'!E69&gt;0),(160&gt;'V06 Calend 01'!C69),(160&lt;'V06 Calend 01'!D69),(MOD((160-'V06 Calend 01'!C69),6)=0),(((160-'V06 Calend 01'!C69)/6)&lt;='V06 Calend 01'!E69)),IF((160=('V06 Calend 01'!C69+(6*'V06 Calend 01'!E69))),('V06 Calend 01'!H69-('V06 Calend 01'!I69*('V06 Calend 01'!E69-1))),'V06 Calend 01'!I69),0))+IF((160='V06 Calend 01'!D69),'V06 Calend 01'!J69,0))</f>
        <v>0</v>
      </c>
      <c r="FQ69" s="2">
        <f>((IF((161='V06 Calend 01'!C69),('V06 Calend 01'!F69+'V06 Calend 01'!G69),0)+IF(AND(('V06 Calend 01'!E69&gt;0),(161&gt;'V06 Calend 01'!C69),(161&lt;'V06 Calend 01'!D69),(MOD((161-'V06 Calend 01'!C69),6)=0),(((161-'V06 Calend 01'!C69)/6)&lt;='V06 Calend 01'!E69)),IF((161=('V06 Calend 01'!C69+(6*'V06 Calend 01'!E69))),('V06 Calend 01'!H69-('V06 Calend 01'!I69*('V06 Calend 01'!E69-1))),'V06 Calend 01'!I69),0))+IF((161='V06 Calend 01'!D69),'V06 Calend 01'!J69,0))</f>
        <v>0</v>
      </c>
      <c r="FR69" s="2">
        <f>((IF((162='V06 Calend 01'!C69),('V06 Calend 01'!F69+'V06 Calend 01'!G69),0)+IF(AND(('V06 Calend 01'!E69&gt;0),(162&gt;'V06 Calend 01'!C69),(162&lt;'V06 Calend 01'!D69),(MOD((162-'V06 Calend 01'!C69),6)=0),(((162-'V06 Calend 01'!C69)/6)&lt;='V06 Calend 01'!E69)),IF((162=('V06 Calend 01'!C69+(6*'V06 Calend 01'!E69))),('V06 Calend 01'!H69-('V06 Calend 01'!I69*('V06 Calend 01'!E69-1))),'V06 Calend 01'!I69),0))+IF((162='V06 Calend 01'!D69),'V06 Calend 01'!J69,0))</f>
        <v>0</v>
      </c>
      <c r="FS69" s="2">
        <f>((IF((163='V06 Calend 01'!C69),('V06 Calend 01'!F69+'V06 Calend 01'!G69),0)+IF(AND(('V06 Calend 01'!E69&gt;0),(163&gt;'V06 Calend 01'!C69),(163&lt;'V06 Calend 01'!D69),(MOD((163-'V06 Calend 01'!C69),6)=0),(((163-'V06 Calend 01'!C69)/6)&lt;='V06 Calend 01'!E69)),IF((163=('V06 Calend 01'!C69+(6*'V06 Calend 01'!E69))),('V06 Calend 01'!H69-('V06 Calend 01'!I69*('V06 Calend 01'!E69-1))),'V06 Calend 01'!I69),0))+IF((163='V06 Calend 01'!D69),'V06 Calend 01'!J69,0))</f>
        <v>0</v>
      </c>
      <c r="FT69" s="2">
        <f>((IF((164='V06 Calend 01'!C69),('V06 Calend 01'!F69+'V06 Calend 01'!G69),0)+IF(AND(('V06 Calend 01'!E69&gt;0),(164&gt;'V06 Calend 01'!C69),(164&lt;'V06 Calend 01'!D69),(MOD((164-'V06 Calend 01'!C69),6)=0),(((164-'V06 Calend 01'!C69)/6)&lt;='V06 Calend 01'!E69)),IF((164=('V06 Calend 01'!C69+(6*'V06 Calend 01'!E69))),('V06 Calend 01'!H69-('V06 Calend 01'!I69*('V06 Calend 01'!E69-1))),'V06 Calend 01'!I69),0))+IF((164='V06 Calend 01'!D69),'V06 Calend 01'!J69,0))</f>
        <v>0</v>
      </c>
      <c r="FU69" s="2">
        <f>((IF((165='V06 Calend 01'!C69),('V06 Calend 01'!F69+'V06 Calend 01'!G69),0)+IF(AND(('V06 Calend 01'!E69&gt;0),(165&gt;'V06 Calend 01'!C69),(165&lt;'V06 Calend 01'!D69),(MOD((165-'V06 Calend 01'!C69),6)=0),(((165-'V06 Calend 01'!C69)/6)&lt;='V06 Calend 01'!E69)),IF((165=('V06 Calend 01'!C69+(6*'V06 Calend 01'!E69))),('V06 Calend 01'!H69-('V06 Calend 01'!I69*('V06 Calend 01'!E69-1))),'V06 Calend 01'!I69),0))+IF((165='V06 Calend 01'!D69),'V06 Calend 01'!J69,0))</f>
        <v>0</v>
      </c>
      <c r="FV69" s="2">
        <f>((IF((166='V06 Calend 01'!C69),('V06 Calend 01'!F69+'V06 Calend 01'!G69),0)+IF(AND(('V06 Calend 01'!E69&gt;0),(166&gt;'V06 Calend 01'!C69),(166&lt;'V06 Calend 01'!D69),(MOD((166-'V06 Calend 01'!C69),6)=0),(((166-'V06 Calend 01'!C69)/6)&lt;='V06 Calend 01'!E69)),IF((166=('V06 Calend 01'!C69+(6*'V06 Calend 01'!E69))),('V06 Calend 01'!H69-('V06 Calend 01'!I69*('V06 Calend 01'!E69-1))),'V06 Calend 01'!I69),0))+IF((166='V06 Calend 01'!D69),'V06 Calend 01'!J69,0))</f>
        <v>0</v>
      </c>
      <c r="FW69" s="2">
        <f>((IF((167='V06 Calend 01'!C69),('V06 Calend 01'!F69+'V06 Calend 01'!G69),0)+IF(AND(('V06 Calend 01'!E69&gt;0),(167&gt;'V06 Calend 01'!C69),(167&lt;'V06 Calend 01'!D69),(MOD((167-'V06 Calend 01'!C69),6)=0),(((167-'V06 Calend 01'!C69)/6)&lt;='V06 Calend 01'!E69)),IF((167=('V06 Calend 01'!C69+(6*'V06 Calend 01'!E69))),('V06 Calend 01'!H69-('V06 Calend 01'!I69*('V06 Calend 01'!E69-1))),'V06 Calend 01'!I69),0))+IF((167='V06 Calend 01'!D69),'V06 Calend 01'!J69,0))</f>
        <v>0</v>
      </c>
      <c r="FX69" s="2">
        <f>((IF((168='V06 Calend 01'!C69),('V06 Calend 01'!F69+'V06 Calend 01'!G69),0)+IF(AND(('V06 Calend 01'!E69&gt;0),(168&gt;'V06 Calend 01'!C69),(168&lt;'V06 Calend 01'!D69),(MOD((168-'V06 Calend 01'!C69),6)=0),(((168-'V06 Calend 01'!C69)/6)&lt;='V06 Calend 01'!E69)),IF((168=('V06 Calend 01'!C69+(6*'V06 Calend 01'!E69))),('V06 Calend 01'!H69-('V06 Calend 01'!I69*('V06 Calend 01'!E69-1))),'V06 Calend 01'!I69),0))+IF((168='V06 Calend 01'!D69),'V06 Calend 01'!J69,0))</f>
        <v>0</v>
      </c>
      <c r="FY69" s="2">
        <f>((IF((169='V06 Calend 01'!C69),('V06 Calend 01'!F69+'V06 Calend 01'!G69),0)+IF(AND(('V06 Calend 01'!E69&gt;0),(169&gt;'V06 Calend 01'!C69),(169&lt;'V06 Calend 01'!D69),(MOD((169-'V06 Calend 01'!C69),6)=0),(((169-'V06 Calend 01'!C69)/6)&lt;='V06 Calend 01'!E69)),IF((169=('V06 Calend 01'!C69+(6*'V06 Calend 01'!E69))),('V06 Calend 01'!H69-('V06 Calend 01'!I69*('V06 Calend 01'!E69-1))),'V06 Calend 01'!I69),0))+IF((169='V06 Calend 01'!D69),'V06 Calend 01'!J69,0))</f>
        <v>0</v>
      </c>
      <c r="FZ69" s="2">
        <f>((IF((170='V06 Calend 01'!C69),('V06 Calend 01'!F69+'V06 Calend 01'!G69),0)+IF(AND(('V06 Calend 01'!E69&gt;0),(170&gt;'V06 Calend 01'!C69),(170&lt;'V06 Calend 01'!D69),(MOD((170-'V06 Calend 01'!C69),6)=0),(((170-'V06 Calend 01'!C69)/6)&lt;='V06 Calend 01'!E69)),IF((170=('V06 Calend 01'!C69+(6*'V06 Calend 01'!E69))),('V06 Calend 01'!H69-('V06 Calend 01'!I69*('V06 Calend 01'!E69-1))),'V06 Calend 01'!I69),0))+IF((170='V06 Calend 01'!D69),'V06 Calend 01'!J69,0))</f>
        <v>0</v>
      </c>
      <c r="GA69" s="2">
        <f>((IF((171='V06 Calend 01'!C69),('V06 Calend 01'!F69+'V06 Calend 01'!G69),0)+IF(AND(('V06 Calend 01'!E69&gt;0),(171&gt;'V06 Calend 01'!C69),(171&lt;'V06 Calend 01'!D69),(MOD((171-'V06 Calend 01'!C69),6)=0),(((171-'V06 Calend 01'!C69)/6)&lt;='V06 Calend 01'!E69)),IF((171=('V06 Calend 01'!C69+(6*'V06 Calend 01'!E69))),('V06 Calend 01'!H69-('V06 Calend 01'!I69*('V06 Calend 01'!E69-1))),'V06 Calend 01'!I69),0))+IF((171='V06 Calend 01'!D69),'V06 Calend 01'!J69,0))</f>
        <v>0</v>
      </c>
      <c r="GB69" s="2">
        <f>((IF((172='V06 Calend 01'!C69),('V06 Calend 01'!F69+'V06 Calend 01'!G69),0)+IF(AND(('V06 Calend 01'!E69&gt;0),(172&gt;'V06 Calend 01'!C69),(172&lt;'V06 Calend 01'!D69),(MOD((172-'V06 Calend 01'!C69),6)=0),(((172-'V06 Calend 01'!C69)/6)&lt;='V06 Calend 01'!E69)),IF((172=('V06 Calend 01'!C69+(6*'V06 Calend 01'!E69))),('V06 Calend 01'!H69-('V06 Calend 01'!I69*('V06 Calend 01'!E69-1))),'V06 Calend 01'!I69),0))+IF((172='V06 Calend 01'!D69),'V06 Calend 01'!J69,0))</f>
        <v>0</v>
      </c>
      <c r="GC69" s="2">
        <f>((IF((173='V06 Calend 01'!C69),('V06 Calend 01'!F69+'V06 Calend 01'!G69),0)+IF(AND(('V06 Calend 01'!E69&gt;0),(173&gt;'V06 Calend 01'!C69),(173&lt;'V06 Calend 01'!D69),(MOD((173-'V06 Calend 01'!C69),6)=0),(((173-'V06 Calend 01'!C69)/6)&lt;='V06 Calend 01'!E69)),IF((173=('V06 Calend 01'!C69+(6*'V06 Calend 01'!E69))),('V06 Calend 01'!H69-('V06 Calend 01'!I69*('V06 Calend 01'!E69-1))),'V06 Calend 01'!I69),0))+IF((173='V06 Calend 01'!D69),'V06 Calend 01'!J69,0))</f>
        <v>0</v>
      </c>
      <c r="GD69" s="2">
        <f>((IF((174='V06 Calend 01'!C69),('V06 Calend 01'!F69+'V06 Calend 01'!G69),0)+IF(AND(('V06 Calend 01'!E69&gt;0),(174&gt;'V06 Calend 01'!C69),(174&lt;'V06 Calend 01'!D69),(MOD((174-'V06 Calend 01'!C69),6)=0),(((174-'V06 Calend 01'!C69)/6)&lt;='V06 Calend 01'!E69)),IF((174=('V06 Calend 01'!C69+(6*'V06 Calend 01'!E69))),('V06 Calend 01'!H69-('V06 Calend 01'!I69*('V06 Calend 01'!E69-1))),'V06 Calend 01'!I69),0))+IF((174='V06 Calend 01'!D69),'V06 Calend 01'!J69,0))</f>
        <v>0</v>
      </c>
      <c r="GE69" s="2">
        <f>((IF((175='V06 Calend 01'!C69),('V06 Calend 01'!F69+'V06 Calend 01'!G69),0)+IF(AND(('V06 Calend 01'!E69&gt;0),(175&gt;'V06 Calend 01'!C69),(175&lt;'V06 Calend 01'!D69),(MOD((175-'V06 Calend 01'!C69),6)=0),(((175-'V06 Calend 01'!C69)/6)&lt;='V06 Calend 01'!E69)),IF((175=('V06 Calend 01'!C69+(6*'V06 Calend 01'!E69))),('V06 Calend 01'!H69-('V06 Calend 01'!I69*('V06 Calend 01'!E69-1))),'V06 Calend 01'!I69),0))+IF((175='V06 Calend 01'!D69),'V06 Calend 01'!J69,0))</f>
        <v>0</v>
      </c>
      <c r="GF69" s="2">
        <f>((IF((176='V06 Calend 01'!C69),('V06 Calend 01'!F69+'V06 Calend 01'!G69),0)+IF(AND(('V06 Calend 01'!E69&gt;0),(176&gt;'V06 Calend 01'!C69),(176&lt;'V06 Calend 01'!D69),(MOD((176-'V06 Calend 01'!C69),6)=0),(((176-'V06 Calend 01'!C69)/6)&lt;='V06 Calend 01'!E69)),IF((176=('V06 Calend 01'!C69+(6*'V06 Calend 01'!E69))),('V06 Calend 01'!H69-('V06 Calend 01'!I69*('V06 Calend 01'!E69-1))),'V06 Calend 01'!I69),0))+IF((176='V06 Calend 01'!D69),'V06 Calend 01'!J69,0))</f>
        <v>0</v>
      </c>
      <c r="GG69" s="2">
        <f>((IF((177='V06 Calend 01'!C69),('V06 Calend 01'!F69+'V06 Calend 01'!G69),0)+IF(AND(('V06 Calend 01'!E69&gt;0),(177&gt;'V06 Calend 01'!C69),(177&lt;'V06 Calend 01'!D69),(MOD((177-'V06 Calend 01'!C69),6)=0),(((177-'V06 Calend 01'!C69)/6)&lt;='V06 Calend 01'!E69)),IF((177=('V06 Calend 01'!C69+(6*'V06 Calend 01'!E69))),('V06 Calend 01'!H69-('V06 Calend 01'!I69*('V06 Calend 01'!E69-1))),'V06 Calend 01'!I69),0))+IF((177='V06 Calend 01'!D69),'V06 Calend 01'!J69,0))</f>
        <v>0</v>
      </c>
      <c r="GH69" s="2">
        <f>((IF((178='V06 Calend 01'!C69),('V06 Calend 01'!F69+'V06 Calend 01'!G69),0)+IF(AND(('V06 Calend 01'!E69&gt;0),(178&gt;'V06 Calend 01'!C69),(178&lt;'V06 Calend 01'!D69),(MOD((178-'V06 Calend 01'!C69),6)=0),(((178-'V06 Calend 01'!C69)/6)&lt;='V06 Calend 01'!E69)),IF((178=('V06 Calend 01'!C69+(6*'V06 Calend 01'!E69))),('V06 Calend 01'!H69-('V06 Calend 01'!I69*('V06 Calend 01'!E69-1))),'V06 Calend 01'!I69),0))+IF((178='V06 Calend 01'!D69),'V06 Calend 01'!J69,0))</f>
        <v>0</v>
      </c>
      <c r="GI69" s="2">
        <f>((IF((179='V06 Calend 01'!C69),('V06 Calend 01'!F69+'V06 Calend 01'!G69),0)+IF(AND(('V06 Calend 01'!E69&gt;0),(179&gt;'V06 Calend 01'!C69),(179&lt;'V06 Calend 01'!D69),(MOD((179-'V06 Calend 01'!C69),6)=0),(((179-'V06 Calend 01'!C69)/6)&lt;='V06 Calend 01'!E69)),IF((179=('V06 Calend 01'!C69+(6*'V06 Calend 01'!E69))),('V06 Calend 01'!H69-('V06 Calend 01'!I69*('V06 Calend 01'!E69-1))),'V06 Calend 01'!I69),0))+IF((179='V06 Calend 01'!D69),'V06 Calend 01'!J69,0))</f>
        <v>0</v>
      </c>
      <c r="GJ69" s="2">
        <f>((IF((180='V06 Calend 01'!C69),('V06 Calend 01'!F69+'V06 Calend 01'!G69),0)+IF(AND(('V06 Calend 01'!E69&gt;0),(180&gt;'V06 Calend 01'!C69),(180&lt;'V06 Calend 01'!D69),(MOD((180-'V06 Calend 01'!C69),6)=0),(((180-'V06 Calend 01'!C69)/6)&lt;='V06 Calend 01'!E69)),IF((180=('V06 Calend 01'!C69+(6*'V06 Calend 01'!E69))),('V06 Calend 01'!H69-('V06 Calend 01'!I69*('V06 Calend 01'!E69-1))),'V06 Calend 01'!I69),0))+IF((180='V06 Calend 01'!D69),'V06 Calend 01'!J69,0))</f>
        <v>0</v>
      </c>
    </row>
    <row r="70" spans="1:192">
      <c r="A70" s="3" t="str">
        <f>'V06 Unidades'!$A$70</f>
        <v>806</v>
      </c>
      <c r="B70" s="2">
        <f>'V06 Unidades'!$H$70</f>
        <v>610801.41</v>
      </c>
      <c r="C70" s="4">
        <f>('V06 Unidades'!$I$70+'V06 Controlos'!$B$37)</f>
        <v>19</v>
      </c>
      <c r="D70" s="4">
        <f>IF(('V06 Controlos'!$B$38&gt;0),MAX(('V06 Unidades'!$L$70+'V06 Controlos'!$B$37),(30+'V06 Controlos'!$B$38)),('V06 Unidades'!$L$70+'V06 Controlos'!$B$37))</f>
        <v>30</v>
      </c>
      <c r="E70" s="4">
        <f>MAX(0,INT(((('V06 Calend 01'!D70-'V06 Calend 01'!C70)-1)/6)))</f>
        <v>1</v>
      </c>
      <c r="F70" s="2">
        <f>ROUND(('V06 Calend 01'!B70*0.05),2)</f>
        <v>30540.07</v>
      </c>
      <c r="G70" s="2">
        <f>ROUND(('V06 Calend 01'!B70*0.2),2)</f>
        <v>122160.28</v>
      </c>
      <c r="H70" s="2">
        <f>ROUND(('V06 Calend 01'!B70*0.55),2)</f>
        <v>335940.78</v>
      </c>
      <c r="I70" s="2">
        <f>ROUND(('V06 Calend 01'!H70/MAX(1,'V06 Calend 01'!E70)),2)</f>
        <v>335940.78</v>
      </c>
      <c r="J70" s="2">
        <f>((('V06 Calend 01'!B70-'V06 Calend 01'!F70)-'V06 Calend 01'!G70)-'V06 Calend 01'!H70)</f>
        <v>122160.28000000003</v>
      </c>
      <c r="K70" s="2">
        <f>('V06 Calend 01'!B70*0.025)</f>
        <v>15270.03525</v>
      </c>
      <c r="L70" t="s">
        <v>378</v>
      </c>
      <c r="M70" s="2">
        <f>((IF((1='V06 Calend 01'!C70),('V06 Calend 01'!F70+'V06 Calend 01'!G70),0)+IF(AND(('V06 Calend 01'!E70&gt;0),(1&gt;'V06 Calend 01'!C70),(1&lt;'V06 Calend 01'!D70),(MOD((1-'V06 Calend 01'!C70),6)=0),(((1-'V06 Calend 01'!C70)/6)&lt;='V06 Calend 01'!E70)),IF((1=('V06 Calend 01'!C70+(6*'V06 Calend 01'!E70))),('V06 Calend 01'!H70-('V06 Calend 01'!I70*('V06 Calend 01'!E70-1))),'V06 Calend 01'!I70),0))+IF((1='V06 Calend 01'!D70),'V06 Calend 01'!J70,0))</f>
        <v>0</v>
      </c>
      <c r="N70" s="2">
        <f>((IF((2='V06 Calend 01'!C70),('V06 Calend 01'!F70+'V06 Calend 01'!G70),0)+IF(AND(('V06 Calend 01'!E70&gt;0),(2&gt;'V06 Calend 01'!C70),(2&lt;'V06 Calend 01'!D70),(MOD((2-'V06 Calend 01'!C70),6)=0),(((2-'V06 Calend 01'!C70)/6)&lt;='V06 Calend 01'!E70)),IF((2=('V06 Calend 01'!C70+(6*'V06 Calend 01'!E70))),('V06 Calend 01'!H70-('V06 Calend 01'!I70*('V06 Calend 01'!E70-1))),'V06 Calend 01'!I70),0))+IF((2='V06 Calend 01'!D70),'V06 Calend 01'!J70,0))</f>
        <v>0</v>
      </c>
      <c r="O70" s="2">
        <f>((IF((3='V06 Calend 01'!C70),('V06 Calend 01'!F70+'V06 Calend 01'!G70),0)+IF(AND(('V06 Calend 01'!E70&gt;0),(3&gt;'V06 Calend 01'!C70),(3&lt;'V06 Calend 01'!D70),(MOD((3-'V06 Calend 01'!C70),6)=0),(((3-'V06 Calend 01'!C70)/6)&lt;='V06 Calend 01'!E70)),IF((3=('V06 Calend 01'!C70+(6*'V06 Calend 01'!E70))),('V06 Calend 01'!H70-('V06 Calend 01'!I70*('V06 Calend 01'!E70-1))),'V06 Calend 01'!I70),0))+IF((3='V06 Calend 01'!D70),'V06 Calend 01'!J70,0))</f>
        <v>0</v>
      </c>
      <c r="P70" s="2">
        <f>((IF((4='V06 Calend 01'!C70),('V06 Calend 01'!F70+'V06 Calend 01'!G70),0)+IF(AND(('V06 Calend 01'!E70&gt;0),(4&gt;'V06 Calend 01'!C70),(4&lt;'V06 Calend 01'!D70),(MOD((4-'V06 Calend 01'!C70),6)=0),(((4-'V06 Calend 01'!C70)/6)&lt;='V06 Calend 01'!E70)),IF((4=('V06 Calend 01'!C70+(6*'V06 Calend 01'!E70))),('V06 Calend 01'!H70-('V06 Calend 01'!I70*('V06 Calend 01'!E70-1))),'V06 Calend 01'!I70),0))+IF((4='V06 Calend 01'!D70),'V06 Calend 01'!J70,0))</f>
        <v>0</v>
      </c>
      <c r="Q70" s="2">
        <f>((IF((5='V06 Calend 01'!C70),('V06 Calend 01'!F70+'V06 Calend 01'!G70),0)+IF(AND(('V06 Calend 01'!E70&gt;0),(5&gt;'V06 Calend 01'!C70),(5&lt;'V06 Calend 01'!D70),(MOD((5-'V06 Calend 01'!C70),6)=0),(((5-'V06 Calend 01'!C70)/6)&lt;='V06 Calend 01'!E70)),IF((5=('V06 Calend 01'!C70+(6*'V06 Calend 01'!E70))),('V06 Calend 01'!H70-('V06 Calend 01'!I70*('V06 Calend 01'!E70-1))),'V06 Calend 01'!I70),0))+IF((5='V06 Calend 01'!D70),'V06 Calend 01'!J70,0))</f>
        <v>0</v>
      </c>
      <c r="R70" s="2">
        <f>((IF((6='V06 Calend 01'!C70),('V06 Calend 01'!F70+'V06 Calend 01'!G70),0)+IF(AND(('V06 Calend 01'!E70&gt;0),(6&gt;'V06 Calend 01'!C70),(6&lt;'V06 Calend 01'!D70),(MOD((6-'V06 Calend 01'!C70),6)=0),(((6-'V06 Calend 01'!C70)/6)&lt;='V06 Calend 01'!E70)),IF((6=('V06 Calend 01'!C70+(6*'V06 Calend 01'!E70))),('V06 Calend 01'!H70-('V06 Calend 01'!I70*('V06 Calend 01'!E70-1))),'V06 Calend 01'!I70),0))+IF((6='V06 Calend 01'!D70),'V06 Calend 01'!J70,0))</f>
        <v>0</v>
      </c>
      <c r="S70" s="2">
        <f>((IF((7='V06 Calend 01'!C70),('V06 Calend 01'!F70+'V06 Calend 01'!G70),0)+IF(AND(('V06 Calend 01'!E70&gt;0),(7&gt;'V06 Calend 01'!C70),(7&lt;'V06 Calend 01'!D70),(MOD((7-'V06 Calend 01'!C70),6)=0),(((7-'V06 Calend 01'!C70)/6)&lt;='V06 Calend 01'!E70)),IF((7=('V06 Calend 01'!C70+(6*'V06 Calend 01'!E70))),('V06 Calend 01'!H70-('V06 Calend 01'!I70*('V06 Calend 01'!E70-1))),'V06 Calend 01'!I70),0))+IF((7='V06 Calend 01'!D70),'V06 Calend 01'!J70,0))</f>
        <v>0</v>
      </c>
      <c r="T70" s="2">
        <f>((IF((8='V06 Calend 01'!C70),('V06 Calend 01'!F70+'V06 Calend 01'!G70),0)+IF(AND(('V06 Calend 01'!E70&gt;0),(8&gt;'V06 Calend 01'!C70),(8&lt;'V06 Calend 01'!D70),(MOD((8-'V06 Calend 01'!C70),6)=0),(((8-'V06 Calend 01'!C70)/6)&lt;='V06 Calend 01'!E70)),IF((8=('V06 Calend 01'!C70+(6*'V06 Calend 01'!E70))),('V06 Calend 01'!H70-('V06 Calend 01'!I70*('V06 Calend 01'!E70-1))),'V06 Calend 01'!I70),0))+IF((8='V06 Calend 01'!D70),'V06 Calend 01'!J70,0))</f>
        <v>0</v>
      </c>
      <c r="U70" s="2">
        <f>((IF((9='V06 Calend 01'!C70),('V06 Calend 01'!F70+'V06 Calend 01'!G70),0)+IF(AND(('V06 Calend 01'!E70&gt;0),(9&gt;'V06 Calend 01'!C70),(9&lt;'V06 Calend 01'!D70),(MOD((9-'V06 Calend 01'!C70),6)=0),(((9-'V06 Calend 01'!C70)/6)&lt;='V06 Calend 01'!E70)),IF((9=('V06 Calend 01'!C70+(6*'V06 Calend 01'!E70))),('V06 Calend 01'!H70-('V06 Calend 01'!I70*('V06 Calend 01'!E70-1))),'V06 Calend 01'!I70),0))+IF((9='V06 Calend 01'!D70),'V06 Calend 01'!J70,0))</f>
        <v>0</v>
      </c>
      <c r="V70" s="2">
        <f>((IF((10='V06 Calend 01'!C70),('V06 Calend 01'!F70+'V06 Calend 01'!G70),0)+IF(AND(('V06 Calend 01'!E70&gt;0),(10&gt;'V06 Calend 01'!C70),(10&lt;'V06 Calend 01'!D70),(MOD((10-'V06 Calend 01'!C70),6)=0),(((10-'V06 Calend 01'!C70)/6)&lt;='V06 Calend 01'!E70)),IF((10=('V06 Calend 01'!C70+(6*'V06 Calend 01'!E70))),('V06 Calend 01'!H70-('V06 Calend 01'!I70*('V06 Calend 01'!E70-1))),'V06 Calend 01'!I70),0))+IF((10='V06 Calend 01'!D70),'V06 Calend 01'!J70,0))</f>
        <v>0</v>
      </c>
      <c r="W70" s="2">
        <f>((IF((11='V06 Calend 01'!C70),('V06 Calend 01'!F70+'V06 Calend 01'!G70),0)+IF(AND(('V06 Calend 01'!E70&gt;0),(11&gt;'V06 Calend 01'!C70),(11&lt;'V06 Calend 01'!D70),(MOD((11-'V06 Calend 01'!C70),6)=0),(((11-'V06 Calend 01'!C70)/6)&lt;='V06 Calend 01'!E70)),IF((11=('V06 Calend 01'!C70+(6*'V06 Calend 01'!E70))),('V06 Calend 01'!H70-('V06 Calend 01'!I70*('V06 Calend 01'!E70-1))),'V06 Calend 01'!I70),0))+IF((11='V06 Calend 01'!D70),'V06 Calend 01'!J70,0))</f>
        <v>0</v>
      </c>
      <c r="X70" s="2">
        <f>((IF((12='V06 Calend 01'!C70),('V06 Calend 01'!F70+'V06 Calend 01'!G70),0)+IF(AND(('V06 Calend 01'!E70&gt;0),(12&gt;'V06 Calend 01'!C70),(12&lt;'V06 Calend 01'!D70),(MOD((12-'V06 Calend 01'!C70),6)=0),(((12-'V06 Calend 01'!C70)/6)&lt;='V06 Calend 01'!E70)),IF((12=('V06 Calend 01'!C70+(6*'V06 Calend 01'!E70))),('V06 Calend 01'!H70-('V06 Calend 01'!I70*('V06 Calend 01'!E70-1))),'V06 Calend 01'!I70),0))+IF((12='V06 Calend 01'!D70),'V06 Calend 01'!J70,0))</f>
        <v>0</v>
      </c>
      <c r="Y70" s="2">
        <f>((IF((13='V06 Calend 01'!C70),('V06 Calend 01'!F70+'V06 Calend 01'!G70),0)+IF(AND(('V06 Calend 01'!E70&gt;0),(13&gt;'V06 Calend 01'!C70),(13&lt;'V06 Calend 01'!D70),(MOD((13-'V06 Calend 01'!C70),6)=0),(((13-'V06 Calend 01'!C70)/6)&lt;='V06 Calend 01'!E70)),IF((13=('V06 Calend 01'!C70+(6*'V06 Calend 01'!E70))),('V06 Calend 01'!H70-('V06 Calend 01'!I70*('V06 Calend 01'!E70-1))),'V06 Calend 01'!I70),0))+IF((13='V06 Calend 01'!D70),'V06 Calend 01'!J70,0))</f>
        <v>0</v>
      </c>
      <c r="Z70" s="2">
        <f>((IF((14='V06 Calend 01'!C70),('V06 Calend 01'!F70+'V06 Calend 01'!G70),0)+IF(AND(('V06 Calend 01'!E70&gt;0),(14&gt;'V06 Calend 01'!C70),(14&lt;'V06 Calend 01'!D70),(MOD((14-'V06 Calend 01'!C70),6)=0),(((14-'V06 Calend 01'!C70)/6)&lt;='V06 Calend 01'!E70)),IF((14=('V06 Calend 01'!C70+(6*'V06 Calend 01'!E70))),('V06 Calend 01'!H70-('V06 Calend 01'!I70*('V06 Calend 01'!E70-1))),'V06 Calend 01'!I70),0))+IF((14='V06 Calend 01'!D70),'V06 Calend 01'!J70,0))</f>
        <v>0</v>
      </c>
      <c r="AA70" s="2">
        <f>((IF((15='V06 Calend 01'!C70),('V06 Calend 01'!F70+'V06 Calend 01'!G70),0)+IF(AND(('V06 Calend 01'!E70&gt;0),(15&gt;'V06 Calend 01'!C70),(15&lt;'V06 Calend 01'!D70),(MOD((15-'V06 Calend 01'!C70),6)=0),(((15-'V06 Calend 01'!C70)/6)&lt;='V06 Calend 01'!E70)),IF((15=('V06 Calend 01'!C70+(6*'V06 Calend 01'!E70))),('V06 Calend 01'!H70-('V06 Calend 01'!I70*('V06 Calend 01'!E70-1))),'V06 Calend 01'!I70),0))+IF((15='V06 Calend 01'!D70),'V06 Calend 01'!J70,0))</f>
        <v>0</v>
      </c>
      <c r="AB70" s="2">
        <f>((IF((16='V06 Calend 01'!C70),('V06 Calend 01'!F70+'V06 Calend 01'!G70),0)+IF(AND(('V06 Calend 01'!E70&gt;0),(16&gt;'V06 Calend 01'!C70),(16&lt;'V06 Calend 01'!D70),(MOD((16-'V06 Calend 01'!C70),6)=0),(((16-'V06 Calend 01'!C70)/6)&lt;='V06 Calend 01'!E70)),IF((16=('V06 Calend 01'!C70+(6*'V06 Calend 01'!E70))),('V06 Calend 01'!H70-('V06 Calend 01'!I70*('V06 Calend 01'!E70-1))),'V06 Calend 01'!I70),0))+IF((16='V06 Calend 01'!D70),'V06 Calend 01'!J70,0))</f>
        <v>0</v>
      </c>
      <c r="AC70" s="2">
        <f>((IF((17='V06 Calend 01'!C70),('V06 Calend 01'!F70+'V06 Calend 01'!G70),0)+IF(AND(('V06 Calend 01'!E70&gt;0),(17&gt;'V06 Calend 01'!C70),(17&lt;'V06 Calend 01'!D70),(MOD((17-'V06 Calend 01'!C70),6)=0),(((17-'V06 Calend 01'!C70)/6)&lt;='V06 Calend 01'!E70)),IF((17=('V06 Calend 01'!C70+(6*'V06 Calend 01'!E70))),('V06 Calend 01'!H70-('V06 Calend 01'!I70*('V06 Calend 01'!E70-1))),'V06 Calend 01'!I70),0))+IF((17='V06 Calend 01'!D70),'V06 Calend 01'!J70,0))</f>
        <v>0</v>
      </c>
      <c r="AD70" s="2">
        <f>((IF((18='V06 Calend 01'!C70),('V06 Calend 01'!F70+'V06 Calend 01'!G70),0)+IF(AND(('V06 Calend 01'!E70&gt;0),(18&gt;'V06 Calend 01'!C70),(18&lt;'V06 Calend 01'!D70),(MOD((18-'V06 Calend 01'!C70),6)=0),(((18-'V06 Calend 01'!C70)/6)&lt;='V06 Calend 01'!E70)),IF((18=('V06 Calend 01'!C70+(6*'V06 Calend 01'!E70))),('V06 Calend 01'!H70-('V06 Calend 01'!I70*('V06 Calend 01'!E70-1))),'V06 Calend 01'!I70),0))+IF((18='V06 Calend 01'!D70),'V06 Calend 01'!J70,0))</f>
        <v>0</v>
      </c>
      <c r="AE70" s="2">
        <f>((IF((19='V06 Calend 01'!C70),('V06 Calend 01'!F70+'V06 Calend 01'!G70),0)+IF(AND(('V06 Calend 01'!E70&gt;0),(19&gt;'V06 Calend 01'!C70),(19&lt;'V06 Calend 01'!D70),(MOD((19-'V06 Calend 01'!C70),6)=0),(((19-'V06 Calend 01'!C70)/6)&lt;='V06 Calend 01'!E70)),IF((19=('V06 Calend 01'!C70+(6*'V06 Calend 01'!E70))),('V06 Calend 01'!H70-('V06 Calend 01'!I70*('V06 Calend 01'!E70-1))),'V06 Calend 01'!I70),0))+IF((19='V06 Calend 01'!D70),'V06 Calend 01'!J70,0))</f>
        <v>152700.35</v>
      </c>
      <c r="AF70" s="2">
        <f>((IF((20='V06 Calend 01'!C70),('V06 Calend 01'!F70+'V06 Calend 01'!G70),0)+IF(AND(('V06 Calend 01'!E70&gt;0),(20&gt;'V06 Calend 01'!C70),(20&lt;'V06 Calend 01'!D70),(MOD((20-'V06 Calend 01'!C70),6)=0),(((20-'V06 Calend 01'!C70)/6)&lt;='V06 Calend 01'!E70)),IF((20=('V06 Calend 01'!C70+(6*'V06 Calend 01'!E70))),('V06 Calend 01'!H70-('V06 Calend 01'!I70*('V06 Calend 01'!E70-1))),'V06 Calend 01'!I70),0))+IF((20='V06 Calend 01'!D70),'V06 Calend 01'!J70,0))</f>
        <v>0</v>
      </c>
      <c r="AG70" s="2">
        <f>((IF((21='V06 Calend 01'!C70),('V06 Calend 01'!F70+'V06 Calend 01'!G70),0)+IF(AND(('V06 Calend 01'!E70&gt;0),(21&gt;'V06 Calend 01'!C70),(21&lt;'V06 Calend 01'!D70),(MOD((21-'V06 Calend 01'!C70),6)=0),(((21-'V06 Calend 01'!C70)/6)&lt;='V06 Calend 01'!E70)),IF((21=('V06 Calend 01'!C70+(6*'V06 Calend 01'!E70))),('V06 Calend 01'!H70-('V06 Calend 01'!I70*('V06 Calend 01'!E70-1))),'V06 Calend 01'!I70),0))+IF((21='V06 Calend 01'!D70),'V06 Calend 01'!J70,0))</f>
        <v>0</v>
      </c>
      <c r="AH70" s="2">
        <f>((IF((22='V06 Calend 01'!C70),('V06 Calend 01'!F70+'V06 Calend 01'!G70),0)+IF(AND(('V06 Calend 01'!E70&gt;0),(22&gt;'V06 Calend 01'!C70),(22&lt;'V06 Calend 01'!D70),(MOD((22-'V06 Calend 01'!C70),6)=0),(((22-'V06 Calend 01'!C70)/6)&lt;='V06 Calend 01'!E70)),IF((22=('V06 Calend 01'!C70+(6*'V06 Calend 01'!E70))),('V06 Calend 01'!H70-('V06 Calend 01'!I70*('V06 Calend 01'!E70-1))),'V06 Calend 01'!I70),0))+IF((22='V06 Calend 01'!D70),'V06 Calend 01'!J70,0))</f>
        <v>0</v>
      </c>
      <c r="AI70" s="2">
        <f>((IF((23='V06 Calend 01'!C70),('V06 Calend 01'!F70+'V06 Calend 01'!G70),0)+IF(AND(('V06 Calend 01'!E70&gt;0),(23&gt;'V06 Calend 01'!C70),(23&lt;'V06 Calend 01'!D70),(MOD((23-'V06 Calend 01'!C70),6)=0),(((23-'V06 Calend 01'!C70)/6)&lt;='V06 Calend 01'!E70)),IF((23=('V06 Calend 01'!C70+(6*'V06 Calend 01'!E70))),('V06 Calend 01'!H70-('V06 Calend 01'!I70*('V06 Calend 01'!E70-1))),'V06 Calend 01'!I70),0))+IF((23='V06 Calend 01'!D70),'V06 Calend 01'!J70,0))</f>
        <v>0</v>
      </c>
      <c r="AJ70" s="2">
        <f>((IF((24='V06 Calend 01'!C70),('V06 Calend 01'!F70+'V06 Calend 01'!G70),0)+IF(AND(('V06 Calend 01'!E70&gt;0),(24&gt;'V06 Calend 01'!C70),(24&lt;'V06 Calend 01'!D70),(MOD((24-'V06 Calend 01'!C70),6)=0),(((24-'V06 Calend 01'!C70)/6)&lt;='V06 Calend 01'!E70)),IF((24=('V06 Calend 01'!C70+(6*'V06 Calend 01'!E70))),('V06 Calend 01'!H70-('V06 Calend 01'!I70*('V06 Calend 01'!E70-1))),'V06 Calend 01'!I70),0))+IF((24='V06 Calend 01'!D70),'V06 Calend 01'!J70,0))</f>
        <v>0</v>
      </c>
      <c r="AK70" s="2">
        <f>((IF((25='V06 Calend 01'!C70),('V06 Calend 01'!F70+'V06 Calend 01'!G70),0)+IF(AND(('V06 Calend 01'!E70&gt;0),(25&gt;'V06 Calend 01'!C70),(25&lt;'V06 Calend 01'!D70),(MOD((25-'V06 Calend 01'!C70),6)=0),(((25-'V06 Calend 01'!C70)/6)&lt;='V06 Calend 01'!E70)),IF((25=('V06 Calend 01'!C70+(6*'V06 Calend 01'!E70))),('V06 Calend 01'!H70-('V06 Calend 01'!I70*('V06 Calend 01'!E70-1))),'V06 Calend 01'!I70),0))+IF((25='V06 Calend 01'!D70),'V06 Calend 01'!J70,0))</f>
        <v>335940.78</v>
      </c>
      <c r="AL70" s="2">
        <f>((IF((26='V06 Calend 01'!C70),('V06 Calend 01'!F70+'V06 Calend 01'!G70),0)+IF(AND(('V06 Calend 01'!E70&gt;0),(26&gt;'V06 Calend 01'!C70),(26&lt;'V06 Calend 01'!D70),(MOD((26-'V06 Calend 01'!C70),6)=0),(((26-'V06 Calend 01'!C70)/6)&lt;='V06 Calend 01'!E70)),IF((26=('V06 Calend 01'!C70+(6*'V06 Calend 01'!E70))),('V06 Calend 01'!H70-('V06 Calend 01'!I70*('V06 Calend 01'!E70-1))),'V06 Calend 01'!I70),0))+IF((26='V06 Calend 01'!D70),'V06 Calend 01'!J70,0))</f>
        <v>0</v>
      </c>
      <c r="AM70" s="2">
        <f>((IF((27='V06 Calend 01'!C70),('V06 Calend 01'!F70+'V06 Calend 01'!G70),0)+IF(AND(('V06 Calend 01'!E70&gt;0),(27&gt;'V06 Calend 01'!C70),(27&lt;'V06 Calend 01'!D70),(MOD((27-'V06 Calend 01'!C70),6)=0),(((27-'V06 Calend 01'!C70)/6)&lt;='V06 Calend 01'!E70)),IF((27=('V06 Calend 01'!C70+(6*'V06 Calend 01'!E70))),('V06 Calend 01'!H70-('V06 Calend 01'!I70*('V06 Calend 01'!E70-1))),'V06 Calend 01'!I70),0))+IF((27='V06 Calend 01'!D70),'V06 Calend 01'!J70,0))</f>
        <v>0</v>
      </c>
      <c r="AN70" s="2">
        <f>((IF((28='V06 Calend 01'!C70),('V06 Calend 01'!F70+'V06 Calend 01'!G70),0)+IF(AND(('V06 Calend 01'!E70&gt;0),(28&gt;'V06 Calend 01'!C70),(28&lt;'V06 Calend 01'!D70),(MOD((28-'V06 Calend 01'!C70),6)=0),(((28-'V06 Calend 01'!C70)/6)&lt;='V06 Calend 01'!E70)),IF((28=('V06 Calend 01'!C70+(6*'V06 Calend 01'!E70))),('V06 Calend 01'!H70-('V06 Calend 01'!I70*('V06 Calend 01'!E70-1))),'V06 Calend 01'!I70),0))+IF((28='V06 Calend 01'!D70),'V06 Calend 01'!J70,0))</f>
        <v>0</v>
      </c>
      <c r="AO70" s="2">
        <f>((IF((29='V06 Calend 01'!C70),('V06 Calend 01'!F70+'V06 Calend 01'!G70),0)+IF(AND(('V06 Calend 01'!E70&gt;0),(29&gt;'V06 Calend 01'!C70),(29&lt;'V06 Calend 01'!D70),(MOD((29-'V06 Calend 01'!C70),6)=0),(((29-'V06 Calend 01'!C70)/6)&lt;='V06 Calend 01'!E70)),IF((29=('V06 Calend 01'!C70+(6*'V06 Calend 01'!E70))),('V06 Calend 01'!H70-('V06 Calend 01'!I70*('V06 Calend 01'!E70-1))),'V06 Calend 01'!I70),0))+IF((29='V06 Calend 01'!D70),'V06 Calend 01'!J70,0))</f>
        <v>0</v>
      </c>
      <c r="AP70" s="2">
        <f>((IF((30='V06 Calend 01'!C70),('V06 Calend 01'!F70+'V06 Calend 01'!G70),0)+IF(AND(('V06 Calend 01'!E70&gt;0),(30&gt;'V06 Calend 01'!C70),(30&lt;'V06 Calend 01'!D70),(MOD((30-'V06 Calend 01'!C70),6)=0),(((30-'V06 Calend 01'!C70)/6)&lt;='V06 Calend 01'!E70)),IF((30=('V06 Calend 01'!C70+(6*'V06 Calend 01'!E70))),('V06 Calend 01'!H70-('V06 Calend 01'!I70*('V06 Calend 01'!E70-1))),'V06 Calend 01'!I70),0))+IF((30='V06 Calend 01'!D70),'V06 Calend 01'!J70,0))</f>
        <v>122160.28000000003</v>
      </c>
      <c r="AQ70" s="2">
        <f>((IF((31='V06 Calend 01'!C70),('V06 Calend 01'!F70+'V06 Calend 01'!G70),0)+IF(AND(('V06 Calend 01'!E70&gt;0),(31&gt;'V06 Calend 01'!C70),(31&lt;'V06 Calend 01'!D70),(MOD((31-'V06 Calend 01'!C70),6)=0),(((31-'V06 Calend 01'!C70)/6)&lt;='V06 Calend 01'!E70)),IF((31=('V06 Calend 01'!C70+(6*'V06 Calend 01'!E70))),('V06 Calend 01'!H70-('V06 Calend 01'!I70*('V06 Calend 01'!E70-1))),'V06 Calend 01'!I70),0))+IF((31='V06 Calend 01'!D70),'V06 Calend 01'!J70,0))</f>
        <v>0</v>
      </c>
      <c r="AR70" s="2">
        <f>((IF((32='V06 Calend 01'!C70),('V06 Calend 01'!F70+'V06 Calend 01'!G70),0)+IF(AND(('V06 Calend 01'!E70&gt;0),(32&gt;'V06 Calend 01'!C70),(32&lt;'V06 Calend 01'!D70),(MOD((32-'V06 Calend 01'!C70),6)=0),(((32-'V06 Calend 01'!C70)/6)&lt;='V06 Calend 01'!E70)),IF((32=('V06 Calend 01'!C70+(6*'V06 Calend 01'!E70))),('V06 Calend 01'!H70-('V06 Calend 01'!I70*('V06 Calend 01'!E70-1))),'V06 Calend 01'!I70),0))+IF((32='V06 Calend 01'!D70),'V06 Calend 01'!J70,0))</f>
        <v>0</v>
      </c>
      <c r="AS70" s="2">
        <f>((IF((33='V06 Calend 01'!C70),('V06 Calend 01'!F70+'V06 Calend 01'!G70),0)+IF(AND(('V06 Calend 01'!E70&gt;0),(33&gt;'V06 Calend 01'!C70),(33&lt;'V06 Calend 01'!D70),(MOD((33-'V06 Calend 01'!C70),6)=0),(((33-'V06 Calend 01'!C70)/6)&lt;='V06 Calend 01'!E70)),IF((33=('V06 Calend 01'!C70+(6*'V06 Calend 01'!E70))),('V06 Calend 01'!H70-('V06 Calend 01'!I70*('V06 Calend 01'!E70-1))),'V06 Calend 01'!I70),0))+IF((33='V06 Calend 01'!D70),'V06 Calend 01'!J70,0))</f>
        <v>0</v>
      </c>
      <c r="AT70" s="2">
        <f>((IF((34='V06 Calend 01'!C70),('V06 Calend 01'!F70+'V06 Calend 01'!G70),0)+IF(AND(('V06 Calend 01'!E70&gt;0),(34&gt;'V06 Calend 01'!C70),(34&lt;'V06 Calend 01'!D70),(MOD((34-'V06 Calend 01'!C70),6)=0),(((34-'V06 Calend 01'!C70)/6)&lt;='V06 Calend 01'!E70)),IF((34=('V06 Calend 01'!C70+(6*'V06 Calend 01'!E70))),('V06 Calend 01'!H70-('V06 Calend 01'!I70*('V06 Calend 01'!E70-1))),'V06 Calend 01'!I70),0))+IF((34='V06 Calend 01'!D70),'V06 Calend 01'!J70,0))</f>
        <v>0</v>
      </c>
      <c r="AU70" s="2">
        <f>((IF((35='V06 Calend 01'!C70),('V06 Calend 01'!F70+'V06 Calend 01'!G70),0)+IF(AND(('V06 Calend 01'!E70&gt;0),(35&gt;'V06 Calend 01'!C70),(35&lt;'V06 Calend 01'!D70),(MOD((35-'V06 Calend 01'!C70),6)=0),(((35-'V06 Calend 01'!C70)/6)&lt;='V06 Calend 01'!E70)),IF((35=('V06 Calend 01'!C70+(6*'V06 Calend 01'!E70))),('V06 Calend 01'!H70-('V06 Calend 01'!I70*('V06 Calend 01'!E70-1))),'V06 Calend 01'!I70),0))+IF((35='V06 Calend 01'!D70),'V06 Calend 01'!J70,0))</f>
        <v>0</v>
      </c>
      <c r="AV70" s="2">
        <f>((IF((36='V06 Calend 01'!C70),('V06 Calend 01'!F70+'V06 Calend 01'!G70),0)+IF(AND(('V06 Calend 01'!E70&gt;0),(36&gt;'V06 Calend 01'!C70),(36&lt;'V06 Calend 01'!D70),(MOD((36-'V06 Calend 01'!C70),6)=0),(((36-'V06 Calend 01'!C70)/6)&lt;='V06 Calend 01'!E70)),IF((36=('V06 Calend 01'!C70+(6*'V06 Calend 01'!E70))),('V06 Calend 01'!H70-('V06 Calend 01'!I70*('V06 Calend 01'!E70-1))),'V06 Calend 01'!I70),0))+IF((36='V06 Calend 01'!D70),'V06 Calend 01'!J70,0))</f>
        <v>0</v>
      </c>
      <c r="AW70" s="2">
        <f>((IF((37='V06 Calend 01'!C70),('V06 Calend 01'!F70+'V06 Calend 01'!G70),0)+IF(AND(('V06 Calend 01'!E70&gt;0),(37&gt;'V06 Calend 01'!C70),(37&lt;'V06 Calend 01'!D70),(MOD((37-'V06 Calend 01'!C70),6)=0),(((37-'V06 Calend 01'!C70)/6)&lt;='V06 Calend 01'!E70)),IF((37=('V06 Calend 01'!C70+(6*'V06 Calend 01'!E70))),('V06 Calend 01'!H70-('V06 Calend 01'!I70*('V06 Calend 01'!E70-1))),'V06 Calend 01'!I70),0))+IF((37='V06 Calend 01'!D70),'V06 Calend 01'!J70,0))</f>
        <v>0</v>
      </c>
      <c r="AX70" s="2">
        <f>((IF((38='V06 Calend 01'!C70),('V06 Calend 01'!F70+'V06 Calend 01'!G70),0)+IF(AND(('V06 Calend 01'!E70&gt;0),(38&gt;'V06 Calend 01'!C70),(38&lt;'V06 Calend 01'!D70),(MOD((38-'V06 Calend 01'!C70),6)=0),(((38-'V06 Calend 01'!C70)/6)&lt;='V06 Calend 01'!E70)),IF((38=('V06 Calend 01'!C70+(6*'V06 Calend 01'!E70))),('V06 Calend 01'!H70-('V06 Calend 01'!I70*('V06 Calend 01'!E70-1))),'V06 Calend 01'!I70),0))+IF((38='V06 Calend 01'!D70),'V06 Calend 01'!J70,0))</f>
        <v>0</v>
      </c>
      <c r="AY70" s="2">
        <f>((IF((39='V06 Calend 01'!C70),('V06 Calend 01'!F70+'V06 Calend 01'!G70),0)+IF(AND(('V06 Calend 01'!E70&gt;0),(39&gt;'V06 Calend 01'!C70),(39&lt;'V06 Calend 01'!D70),(MOD((39-'V06 Calend 01'!C70),6)=0),(((39-'V06 Calend 01'!C70)/6)&lt;='V06 Calend 01'!E70)),IF((39=('V06 Calend 01'!C70+(6*'V06 Calend 01'!E70))),('V06 Calend 01'!H70-('V06 Calend 01'!I70*('V06 Calend 01'!E70-1))),'V06 Calend 01'!I70),0))+IF((39='V06 Calend 01'!D70),'V06 Calend 01'!J70,0))</f>
        <v>0</v>
      </c>
      <c r="AZ70" s="2">
        <f>((IF((40='V06 Calend 01'!C70),('V06 Calend 01'!F70+'V06 Calend 01'!G70),0)+IF(AND(('V06 Calend 01'!E70&gt;0),(40&gt;'V06 Calend 01'!C70),(40&lt;'V06 Calend 01'!D70),(MOD((40-'V06 Calend 01'!C70),6)=0),(((40-'V06 Calend 01'!C70)/6)&lt;='V06 Calend 01'!E70)),IF((40=('V06 Calend 01'!C70+(6*'V06 Calend 01'!E70))),('V06 Calend 01'!H70-('V06 Calend 01'!I70*('V06 Calend 01'!E70-1))),'V06 Calend 01'!I70),0))+IF((40='V06 Calend 01'!D70),'V06 Calend 01'!J70,0))</f>
        <v>0</v>
      </c>
      <c r="BA70" s="2">
        <f>((IF((41='V06 Calend 01'!C70),('V06 Calend 01'!F70+'V06 Calend 01'!G70),0)+IF(AND(('V06 Calend 01'!E70&gt;0),(41&gt;'V06 Calend 01'!C70),(41&lt;'V06 Calend 01'!D70),(MOD((41-'V06 Calend 01'!C70),6)=0),(((41-'V06 Calend 01'!C70)/6)&lt;='V06 Calend 01'!E70)),IF((41=('V06 Calend 01'!C70+(6*'V06 Calend 01'!E70))),('V06 Calend 01'!H70-('V06 Calend 01'!I70*('V06 Calend 01'!E70-1))),'V06 Calend 01'!I70),0))+IF((41='V06 Calend 01'!D70),'V06 Calend 01'!J70,0))</f>
        <v>0</v>
      </c>
      <c r="BB70" s="2">
        <f>((IF((42='V06 Calend 01'!C70),('V06 Calend 01'!F70+'V06 Calend 01'!G70),0)+IF(AND(('V06 Calend 01'!E70&gt;0),(42&gt;'V06 Calend 01'!C70),(42&lt;'V06 Calend 01'!D70),(MOD((42-'V06 Calend 01'!C70),6)=0),(((42-'V06 Calend 01'!C70)/6)&lt;='V06 Calend 01'!E70)),IF((42=('V06 Calend 01'!C70+(6*'V06 Calend 01'!E70))),('V06 Calend 01'!H70-('V06 Calend 01'!I70*('V06 Calend 01'!E70-1))),'V06 Calend 01'!I70),0))+IF((42='V06 Calend 01'!D70),'V06 Calend 01'!J70,0))</f>
        <v>0</v>
      </c>
      <c r="BC70" s="2">
        <f>((IF((43='V06 Calend 01'!C70),('V06 Calend 01'!F70+'V06 Calend 01'!G70),0)+IF(AND(('V06 Calend 01'!E70&gt;0),(43&gt;'V06 Calend 01'!C70),(43&lt;'V06 Calend 01'!D70),(MOD((43-'V06 Calend 01'!C70),6)=0),(((43-'V06 Calend 01'!C70)/6)&lt;='V06 Calend 01'!E70)),IF((43=('V06 Calend 01'!C70+(6*'V06 Calend 01'!E70))),('V06 Calend 01'!H70-('V06 Calend 01'!I70*('V06 Calend 01'!E70-1))),'V06 Calend 01'!I70),0))+IF((43='V06 Calend 01'!D70),'V06 Calend 01'!J70,0))</f>
        <v>0</v>
      </c>
      <c r="BD70" s="2">
        <f>((IF((44='V06 Calend 01'!C70),('V06 Calend 01'!F70+'V06 Calend 01'!G70),0)+IF(AND(('V06 Calend 01'!E70&gt;0),(44&gt;'V06 Calend 01'!C70),(44&lt;'V06 Calend 01'!D70),(MOD((44-'V06 Calend 01'!C70),6)=0),(((44-'V06 Calend 01'!C70)/6)&lt;='V06 Calend 01'!E70)),IF((44=('V06 Calend 01'!C70+(6*'V06 Calend 01'!E70))),('V06 Calend 01'!H70-('V06 Calend 01'!I70*('V06 Calend 01'!E70-1))),'V06 Calend 01'!I70),0))+IF((44='V06 Calend 01'!D70),'V06 Calend 01'!J70,0))</f>
        <v>0</v>
      </c>
      <c r="BE70" s="2">
        <f>((IF((45='V06 Calend 01'!C70),('V06 Calend 01'!F70+'V06 Calend 01'!G70),0)+IF(AND(('V06 Calend 01'!E70&gt;0),(45&gt;'V06 Calend 01'!C70),(45&lt;'V06 Calend 01'!D70),(MOD((45-'V06 Calend 01'!C70),6)=0),(((45-'V06 Calend 01'!C70)/6)&lt;='V06 Calend 01'!E70)),IF((45=('V06 Calend 01'!C70+(6*'V06 Calend 01'!E70))),('V06 Calend 01'!H70-('V06 Calend 01'!I70*('V06 Calend 01'!E70-1))),'V06 Calend 01'!I70),0))+IF((45='V06 Calend 01'!D70),'V06 Calend 01'!J70,0))</f>
        <v>0</v>
      </c>
      <c r="BF70" s="2">
        <f>((IF((46='V06 Calend 01'!C70),('V06 Calend 01'!F70+'V06 Calend 01'!G70),0)+IF(AND(('V06 Calend 01'!E70&gt;0),(46&gt;'V06 Calend 01'!C70),(46&lt;'V06 Calend 01'!D70),(MOD((46-'V06 Calend 01'!C70),6)=0),(((46-'V06 Calend 01'!C70)/6)&lt;='V06 Calend 01'!E70)),IF((46=('V06 Calend 01'!C70+(6*'V06 Calend 01'!E70))),('V06 Calend 01'!H70-('V06 Calend 01'!I70*('V06 Calend 01'!E70-1))),'V06 Calend 01'!I70),0))+IF((46='V06 Calend 01'!D70),'V06 Calend 01'!J70,0))</f>
        <v>0</v>
      </c>
      <c r="BG70" s="2">
        <f>((IF((47='V06 Calend 01'!C70),('V06 Calend 01'!F70+'V06 Calend 01'!G70),0)+IF(AND(('V06 Calend 01'!E70&gt;0),(47&gt;'V06 Calend 01'!C70),(47&lt;'V06 Calend 01'!D70),(MOD((47-'V06 Calend 01'!C70),6)=0),(((47-'V06 Calend 01'!C70)/6)&lt;='V06 Calend 01'!E70)),IF((47=('V06 Calend 01'!C70+(6*'V06 Calend 01'!E70))),('V06 Calend 01'!H70-('V06 Calend 01'!I70*('V06 Calend 01'!E70-1))),'V06 Calend 01'!I70),0))+IF((47='V06 Calend 01'!D70),'V06 Calend 01'!J70,0))</f>
        <v>0</v>
      </c>
      <c r="BH70" s="2">
        <f>((IF((48='V06 Calend 01'!C70),('V06 Calend 01'!F70+'V06 Calend 01'!G70),0)+IF(AND(('V06 Calend 01'!E70&gt;0),(48&gt;'V06 Calend 01'!C70),(48&lt;'V06 Calend 01'!D70),(MOD((48-'V06 Calend 01'!C70),6)=0),(((48-'V06 Calend 01'!C70)/6)&lt;='V06 Calend 01'!E70)),IF((48=('V06 Calend 01'!C70+(6*'V06 Calend 01'!E70))),('V06 Calend 01'!H70-('V06 Calend 01'!I70*('V06 Calend 01'!E70-1))),'V06 Calend 01'!I70),0))+IF((48='V06 Calend 01'!D70),'V06 Calend 01'!J70,0))</f>
        <v>0</v>
      </c>
      <c r="BI70" s="2">
        <f>((IF((49='V06 Calend 01'!C70),('V06 Calend 01'!F70+'V06 Calend 01'!G70),0)+IF(AND(('V06 Calend 01'!E70&gt;0),(49&gt;'V06 Calend 01'!C70),(49&lt;'V06 Calend 01'!D70),(MOD((49-'V06 Calend 01'!C70),6)=0),(((49-'V06 Calend 01'!C70)/6)&lt;='V06 Calend 01'!E70)),IF((49=('V06 Calend 01'!C70+(6*'V06 Calend 01'!E70))),('V06 Calend 01'!H70-('V06 Calend 01'!I70*('V06 Calend 01'!E70-1))),'V06 Calend 01'!I70),0))+IF((49='V06 Calend 01'!D70),'V06 Calend 01'!J70,0))</f>
        <v>0</v>
      </c>
      <c r="BJ70" s="2">
        <f>((IF((50='V06 Calend 01'!C70),('V06 Calend 01'!F70+'V06 Calend 01'!G70),0)+IF(AND(('V06 Calend 01'!E70&gt;0),(50&gt;'V06 Calend 01'!C70),(50&lt;'V06 Calend 01'!D70),(MOD((50-'V06 Calend 01'!C70),6)=0),(((50-'V06 Calend 01'!C70)/6)&lt;='V06 Calend 01'!E70)),IF((50=('V06 Calend 01'!C70+(6*'V06 Calend 01'!E70))),('V06 Calend 01'!H70-('V06 Calend 01'!I70*('V06 Calend 01'!E70-1))),'V06 Calend 01'!I70),0))+IF((50='V06 Calend 01'!D70),'V06 Calend 01'!J70,0))</f>
        <v>0</v>
      </c>
      <c r="BK70" s="2">
        <f>((IF((51='V06 Calend 01'!C70),('V06 Calend 01'!F70+'V06 Calend 01'!G70),0)+IF(AND(('V06 Calend 01'!E70&gt;0),(51&gt;'V06 Calend 01'!C70),(51&lt;'V06 Calend 01'!D70),(MOD((51-'V06 Calend 01'!C70),6)=0),(((51-'V06 Calend 01'!C70)/6)&lt;='V06 Calend 01'!E70)),IF((51=('V06 Calend 01'!C70+(6*'V06 Calend 01'!E70))),('V06 Calend 01'!H70-('V06 Calend 01'!I70*('V06 Calend 01'!E70-1))),'V06 Calend 01'!I70),0))+IF((51='V06 Calend 01'!D70),'V06 Calend 01'!J70,0))</f>
        <v>0</v>
      </c>
      <c r="BL70" s="2">
        <f>((IF((52='V06 Calend 01'!C70),('V06 Calend 01'!F70+'V06 Calend 01'!G70),0)+IF(AND(('V06 Calend 01'!E70&gt;0),(52&gt;'V06 Calend 01'!C70),(52&lt;'V06 Calend 01'!D70),(MOD((52-'V06 Calend 01'!C70),6)=0),(((52-'V06 Calend 01'!C70)/6)&lt;='V06 Calend 01'!E70)),IF((52=('V06 Calend 01'!C70+(6*'V06 Calend 01'!E70))),('V06 Calend 01'!H70-('V06 Calend 01'!I70*('V06 Calend 01'!E70-1))),'V06 Calend 01'!I70),0))+IF((52='V06 Calend 01'!D70),'V06 Calend 01'!J70,0))</f>
        <v>0</v>
      </c>
      <c r="BM70" s="2">
        <f>((IF((53='V06 Calend 01'!C70),('V06 Calend 01'!F70+'V06 Calend 01'!G70),0)+IF(AND(('V06 Calend 01'!E70&gt;0),(53&gt;'V06 Calend 01'!C70),(53&lt;'V06 Calend 01'!D70),(MOD((53-'V06 Calend 01'!C70),6)=0),(((53-'V06 Calend 01'!C70)/6)&lt;='V06 Calend 01'!E70)),IF((53=('V06 Calend 01'!C70+(6*'V06 Calend 01'!E70))),('V06 Calend 01'!H70-('V06 Calend 01'!I70*('V06 Calend 01'!E70-1))),'V06 Calend 01'!I70),0))+IF((53='V06 Calend 01'!D70),'V06 Calend 01'!J70,0))</f>
        <v>0</v>
      </c>
      <c r="BN70" s="2">
        <f>((IF((54='V06 Calend 01'!C70),('V06 Calend 01'!F70+'V06 Calend 01'!G70),0)+IF(AND(('V06 Calend 01'!E70&gt;0),(54&gt;'V06 Calend 01'!C70),(54&lt;'V06 Calend 01'!D70),(MOD((54-'V06 Calend 01'!C70),6)=0),(((54-'V06 Calend 01'!C70)/6)&lt;='V06 Calend 01'!E70)),IF((54=('V06 Calend 01'!C70+(6*'V06 Calend 01'!E70))),('V06 Calend 01'!H70-('V06 Calend 01'!I70*('V06 Calend 01'!E70-1))),'V06 Calend 01'!I70),0))+IF((54='V06 Calend 01'!D70),'V06 Calend 01'!J70,0))</f>
        <v>0</v>
      </c>
      <c r="BO70" s="2">
        <f>((IF((55='V06 Calend 01'!C70),('V06 Calend 01'!F70+'V06 Calend 01'!G70),0)+IF(AND(('V06 Calend 01'!E70&gt;0),(55&gt;'V06 Calend 01'!C70),(55&lt;'V06 Calend 01'!D70),(MOD((55-'V06 Calend 01'!C70),6)=0),(((55-'V06 Calend 01'!C70)/6)&lt;='V06 Calend 01'!E70)),IF((55=('V06 Calend 01'!C70+(6*'V06 Calend 01'!E70))),('V06 Calend 01'!H70-('V06 Calend 01'!I70*('V06 Calend 01'!E70-1))),'V06 Calend 01'!I70),0))+IF((55='V06 Calend 01'!D70),'V06 Calend 01'!J70,0))</f>
        <v>0</v>
      </c>
      <c r="BP70" s="2">
        <f>((IF((56='V06 Calend 01'!C70),('V06 Calend 01'!F70+'V06 Calend 01'!G70),0)+IF(AND(('V06 Calend 01'!E70&gt;0),(56&gt;'V06 Calend 01'!C70),(56&lt;'V06 Calend 01'!D70),(MOD((56-'V06 Calend 01'!C70),6)=0),(((56-'V06 Calend 01'!C70)/6)&lt;='V06 Calend 01'!E70)),IF((56=('V06 Calend 01'!C70+(6*'V06 Calend 01'!E70))),('V06 Calend 01'!H70-('V06 Calend 01'!I70*('V06 Calend 01'!E70-1))),'V06 Calend 01'!I70),0))+IF((56='V06 Calend 01'!D70),'V06 Calend 01'!J70,0))</f>
        <v>0</v>
      </c>
      <c r="BQ70" s="2">
        <f>((IF((57='V06 Calend 01'!C70),('V06 Calend 01'!F70+'V06 Calend 01'!G70),0)+IF(AND(('V06 Calend 01'!E70&gt;0),(57&gt;'V06 Calend 01'!C70),(57&lt;'V06 Calend 01'!D70),(MOD((57-'V06 Calend 01'!C70),6)=0),(((57-'V06 Calend 01'!C70)/6)&lt;='V06 Calend 01'!E70)),IF((57=('V06 Calend 01'!C70+(6*'V06 Calend 01'!E70))),('V06 Calend 01'!H70-('V06 Calend 01'!I70*('V06 Calend 01'!E70-1))),'V06 Calend 01'!I70),0))+IF((57='V06 Calend 01'!D70),'V06 Calend 01'!J70,0))</f>
        <v>0</v>
      </c>
      <c r="BR70" s="2">
        <f>((IF((58='V06 Calend 01'!C70),('V06 Calend 01'!F70+'V06 Calend 01'!G70),0)+IF(AND(('V06 Calend 01'!E70&gt;0),(58&gt;'V06 Calend 01'!C70),(58&lt;'V06 Calend 01'!D70),(MOD((58-'V06 Calend 01'!C70),6)=0),(((58-'V06 Calend 01'!C70)/6)&lt;='V06 Calend 01'!E70)),IF((58=('V06 Calend 01'!C70+(6*'V06 Calend 01'!E70))),('V06 Calend 01'!H70-('V06 Calend 01'!I70*('V06 Calend 01'!E70-1))),'V06 Calend 01'!I70),0))+IF((58='V06 Calend 01'!D70),'V06 Calend 01'!J70,0))</f>
        <v>0</v>
      </c>
      <c r="BS70" s="2">
        <f>((IF((59='V06 Calend 01'!C70),('V06 Calend 01'!F70+'V06 Calend 01'!G70),0)+IF(AND(('V06 Calend 01'!E70&gt;0),(59&gt;'V06 Calend 01'!C70),(59&lt;'V06 Calend 01'!D70),(MOD((59-'V06 Calend 01'!C70),6)=0),(((59-'V06 Calend 01'!C70)/6)&lt;='V06 Calend 01'!E70)),IF((59=('V06 Calend 01'!C70+(6*'V06 Calend 01'!E70))),('V06 Calend 01'!H70-('V06 Calend 01'!I70*('V06 Calend 01'!E70-1))),'V06 Calend 01'!I70),0))+IF((59='V06 Calend 01'!D70),'V06 Calend 01'!J70,0))</f>
        <v>0</v>
      </c>
      <c r="BT70" s="2">
        <f>((IF((60='V06 Calend 01'!C70),('V06 Calend 01'!F70+'V06 Calend 01'!G70),0)+IF(AND(('V06 Calend 01'!E70&gt;0),(60&gt;'V06 Calend 01'!C70),(60&lt;'V06 Calend 01'!D70),(MOD((60-'V06 Calend 01'!C70),6)=0),(((60-'V06 Calend 01'!C70)/6)&lt;='V06 Calend 01'!E70)),IF((60=('V06 Calend 01'!C70+(6*'V06 Calend 01'!E70))),('V06 Calend 01'!H70-('V06 Calend 01'!I70*('V06 Calend 01'!E70-1))),'V06 Calend 01'!I70),0))+IF((60='V06 Calend 01'!D70),'V06 Calend 01'!J70,0))</f>
        <v>0</v>
      </c>
      <c r="BU70" s="2">
        <f>((IF((61='V06 Calend 01'!C70),('V06 Calend 01'!F70+'V06 Calend 01'!G70),0)+IF(AND(('V06 Calend 01'!E70&gt;0),(61&gt;'V06 Calend 01'!C70),(61&lt;'V06 Calend 01'!D70),(MOD((61-'V06 Calend 01'!C70),6)=0),(((61-'V06 Calend 01'!C70)/6)&lt;='V06 Calend 01'!E70)),IF((61=('V06 Calend 01'!C70+(6*'V06 Calend 01'!E70))),('V06 Calend 01'!H70-('V06 Calend 01'!I70*('V06 Calend 01'!E70-1))),'V06 Calend 01'!I70),0))+IF((61='V06 Calend 01'!D70),'V06 Calend 01'!J70,0))</f>
        <v>0</v>
      </c>
      <c r="BV70" s="2">
        <f>((IF((62='V06 Calend 01'!C70),('V06 Calend 01'!F70+'V06 Calend 01'!G70),0)+IF(AND(('V06 Calend 01'!E70&gt;0),(62&gt;'V06 Calend 01'!C70),(62&lt;'V06 Calend 01'!D70),(MOD((62-'V06 Calend 01'!C70),6)=0),(((62-'V06 Calend 01'!C70)/6)&lt;='V06 Calend 01'!E70)),IF((62=('V06 Calend 01'!C70+(6*'V06 Calend 01'!E70))),('V06 Calend 01'!H70-('V06 Calend 01'!I70*('V06 Calend 01'!E70-1))),'V06 Calend 01'!I70),0))+IF((62='V06 Calend 01'!D70),'V06 Calend 01'!J70,0))</f>
        <v>0</v>
      </c>
      <c r="BW70" s="2">
        <f>((IF((63='V06 Calend 01'!C70),('V06 Calend 01'!F70+'V06 Calend 01'!G70),0)+IF(AND(('V06 Calend 01'!E70&gt;0),(63&gt;'V06 Calend 01'!C70),(63&lt;'V06 Calend 01'!D70),(MOD((63-'V06 Calend 01'!C70),6)=0),(((63-'V06 Calend 01'!C70)/6)&lt;='V06 Calend 01'!E70)),IF((63=('V06 Calend 01'!C70+(6*'V06 Calend 01'!E70))),('V06 Calend 01'!H70-('V06 Calend 01'!I70*('V06 Calend 01'!E70-1))),'V06 Calend 01'!I70),0))+IF((63='V06 Calend 01'!D70),'V06 Calend 01'!J70,0))</f>
        <v>0</v>
      </c>
      <c r="BX70" s="2">
        <f>((IF((64='V06 Calend 01'!C70),('V06 Calend 01'!F70+'V06 Calend 01'!G70),0)+IF(AND(('V06 Calend 01'!E70&gt;0),(64&gt;'V06 Calend 01'!C70),(64&lt;'V06 Calend 01'!D70),(MOD((64-'V06 Calend 01'!C70),6)=0),(((64-'V06 Calend 01'!C70)/6)&lt;='V06 Calend 01'!E70)),IF((64=('V06 Calend 01'!C70+(6*'V06 Calend 01'!E70))),('V06 Calend 01'!H70-('V06 Calend 01'!I70*('V06 Calend 01'!E70-1))),'V06 Calend 01'!I70),0))+IF((64='V06 Calend 01'!D70),'V06 Calend 01'!J70,0))</f>
        <v>0</v>
      </c>
      <c r="BY70" s="2">
        <f>((IF((65='V06 Calend 01'!C70),('V06 Calend 01'!F70+'V06 Calend 01'!G70),0)+IF(AND(('V06 Calend 01'!E70&gt;0),(65&gt;'V06 Calend 01'!C70),(65&lt;'V06 Calend 01'!D70),(MOD((65-'V06 Calend 01'!C70),6)=0),(((65-'V06 Calend 01'!C70)/6)&lt;='V06 Calend 01'!E70)),IF((65=('V06 Calend 01'!C70+(6*'V06 Calend 01'!E70))),('V06 Calend 01'!H70-('V06 Calend 01'!I70*('V06 Calend 01'!E70-1))),'V06 Calend 01'!I70),0))+IF((65='V06 Calend 01'!D70),'V06 Calend 01'!J70,0))</f>
        <v>0</v>
      </c>
      <c r="BZ70" s="2">
        <f>((IF((66='V06 Calend 01'!C70),('V06 Calend 01'!F70+'V06 Calend 01'!G70),0)+IF(AND(('V06 Calend 01'!E70&gt;0),(66&gt;'V06 Calend 01'!C70),(66&lt;'V06 Calend 01'!D70),(MOD((66-'V06 Calend 01'!C70),6)=0),(((66-'V06 Calend 01'!C70)/6)&lt;='V06 Calend 01'!E70)),IF((66=('V06 Calend 01'!C70+(6*'V06 Calend 01'!E70))),('V06 Calend 01'!H70-('V06 Calend 01'!I70*('V06 Calend 01'!E70-1))),'V06 Calend 01'!I70),0))+IF((66='V06 Calend 01'!D70),'V06 Calend 01'!J70,0))</f>
        <v>0</v>
      </c>
      <c r="CA70" s="2">
        <f>((IF((67='V06 Calend 01'!C70),('V06 Calend 01'!F70+'V06 Calend 01'!G70),0)+IF(AND(('V06 Calend 01'!E70&gt;0),(67&gt;'V06 Calend 01'!C70),(67&lt;'V06 Calend 01'!D70),(MOD((67-'V06 Calend 01'!C70),6)=0),(((67-'V06 Calend 01'!C70)/6)&lt;='V06 Calend 01'!E70)),IF((67=('V06 Calend 01'!C70+(6*'V06 Calend 01'!E70))),('V06 Calend 01'!H70-('V06 Calend 01'!I70*('V06 Calend 01'!E70-1))),'V06 Calend 01'!I70),0))+IF((67='V06 Calend 01'!D70),'V06 Calend 01'!J70,0))</f>
        <v>0</v>
      </c>
      <c r="CB70" s="2">
        <f>((IF((68='V06 Calend 01'!C70),('V06 Calend 01'!F70+'V06 Calend 01'!G70),0)+IF(AND(('V06 Calend 01'!E70&gt;0),(68&gt;'V06 Calend 01'!C70),(68&lt;'V06 Calend 01'!D70),(MOD((68-'V06 Calend 01'!C70),6)=0),(((68-'V06 Calend 01'!C70)/6)&lt;='V06 Calend 01'!E70)),IF((68=('V06 Calend 01'!C70+(6*'V06 Calend 01'!E70))),('V06 Calend 01'!H70-('V06 Calend 01'!I70*('V06 Calend 01'!E70-1))),'V06 Calend 01'!I70),0))+IF((68='V06 Calend 01'!D70),'V06 Calend 01'!J70,0))</f>
        <v>0</v>
      </c>
      <c r="CC70" s="2">
        <f>((IF((69='V06 Calend 01'!C70),('V06 Calend 01'!F70+'V06 Calend 01'!G70),0)+IF(AND(('V06 Calend 01'!E70&gt;0),(69&gt;'V06 Calend 01'!C70),(69&lt;'V06 Calend 01'!D70),(MOD((69-'V06 Calend 01'!C70),6)=0),(((69-'V06 Calend 01'!C70)/6)&lt;='V06 Calend 01'!E70)),IF((69=('V06 Calend 01'!C70+(6*'V06 Calend 01'!E70))),('V06 Calend 01'!H70-('V06 Calend 01'!I70*('V06 Calend 01'!E70-1))),'V06 Calend 01'!I70),0))+IF((69='V06 Calend 01'!D70),'V06 Calend 01'!J70,0))</f>
        <v>0</v>
      </c>
      <c r="CD70" s="2">
        <f>((IF((70='V06 Calend 01'!C70),('V06 Calend 01'!F70+'V06 Calend 01'!G70),0)+IF(AND(('V06 Calend 01'!E70&gt;0),(70&gt;'V06 Calend 01'!C70),(70&lt;'V06 Calend 01'!D70),(MOD((70-'V06 Calend 01'!C70),6)=0),(((70-'V06 Calend 01'!C70)/6)&lt;='V06 Calend 01'!E70)),IF((70=('V06 Calend 01'!C70+(6*'V06 Calend 01'!E70))),('V06 Calend 01'!H70-('V06 Calend 01'!I70*('V06 Calend 01'!E70-1))),'V06 Calend 01'!I70),0))+IF((70='V06 Calend 01'!D70),'V06 Calend 01'!J70,0))</f>
        <v>0</v>
      </c>
      <c r="CE70" s="2">
        <f>((IF((71='V06 Calend 01'!C70),('V06 Calend 01'!F70+'V06 Calend 01'!G70),0)+IF(AND(('V06 Calend 01'!E70&gt;0),(71&gt;'V06 Calend 01'!C70),(71&lt;'V06 Calend 01'!D70),(MOD((71-'V06 Calend 01'!C70),6)=0),(((71-'V06 Calend 01'!C70)/6)&lt;='V06 Calend 01'!E70)),IF((71=('V06 Calend 01'!C70+(6*'V06 Calend 01'!E70))),('V06 Calend 01'!H70-('V06 Calend 01'!I70*('V06 Calend 01'!E70-1))),'V06 Calend 01'!I70),0))+IF((71='V06 Calend 01'!D70),'V06 Calend 01'!J70,0))</f>
        <v>0</v>
      </c>
      <c r="CF70" s="2">
        <f>((IF((72='V06 Calend 01'!C70),('V06 Calend 01'!F70+'V06 Calend 01'!G70),0)+IF(AND(('V06 Calend 01'!E70&gt;0),(72&gt;'V06 Calend 01'!C70),(72&lt;'V06 Calend 01'!D70),(MOD((72-'V06 Calend 01'!C70),6)=0),(((72-'V06 Calend 01'!C70)/6)&lt;='V06 Calend 01'!E70)),IF((72=('V06 Calend 01'!C70+(6*'V06 Calend 01'!E70))),('V06 Calend 01'!H70-('V06 Calend 01'!I70*('V06 Calend 01'!E70-1))),'V06 Calend 01'!I70),0))+IF((72='V06 Calend 01'!D70),'V06 Calend 01'!J70,0))</f>
        <v>0</v>
      </c>
      <c r="CG70" s="2">
        <f>((IF((73='V06 Calend 01'!C70),('V06 Calend 01'!F70+'V06 Calend 01'!G70),0)+IF(AND(('V06 Calend 01'!E70&gt;0),(73&gt;'V06 Calend 01'!C70),(73&lt;'V06 Calend 01'!D70),(MOD((73-'V06 Calend 01'!C70),6)=0),(((73-'V06 Calend 01'!C70)/6)&lt;='V06 Calend 01'!E70)),IF((73=('V06 Calend 01'!C70+(6*'V06 Calend 01'!E70))),('V06 Calend 01'!H70-('V06 Calend 01'!I70*('V06 Calend 01'!E70-1))),'V06 Calend 01'!I70),0))+IF((73='V06 Calend 01'!D70),'V06 Calend 01'!J70,0))</f>
        <v>0</v>
      </c>
      <c r="CH70" s="2">
        <f>((IF((74='V06 Calend 01'!C70),('V06 Calend 01'!F70+'V06 Calend 01'!G70),0)+IF(AND(('V06 Calend 01'!E70&gt;0),(74&gt;'V06 Calend 01'!C70),(74&lt;'V06 Calend 01'!D70),(MOD((74-'V06 Calend 01'!C70),6)=0),(((74-'V06 Calend 01'!C70)/6)&lt;='V06 Calend 01'!E70)),IF((74=('V06 Calend 01'!C70+(6*'V06 Calend 01'!E70))),('V06 Calend 01'!H70-('V06 Calend 01'!I70*('V06 Calend 01'!E70-1))),'V06 Calend 01'!I70),0))+IF((74='V06 Calend 01'!D70),'V06 Calend 01'!J70,0))</f>
        <v>0</v>
      </c>
      <c r="CI70" s="2">
        <f>((IF((75='V06 Calend 01'!C70),('V06 Calend 01'!F70+'V06 Calend 01'!G70),0)+IF(AND(('V06 Calend 01'!E70&gt;0),(75&gt;'V06 Calend 01'!C70),(75&lt;'V06 Calend 01'!D70),(MOD((75-'V06 Calend 01'!C70),6)=0),(((75-'V06 Calend 01'!C70)/6)&lt;='V06 Calend 01'!E70)),IF((75=('V06 Calend 01'!C70+(6*'V06 Calend 01'!E70))),('V06 Calend 01'!H70-('V06 Calend 01'!I70*('V06 Calend 01'!E70-1))),'V06 Calend 01'!I70),0))+IF((75='V06 Calend 01'!D70),'V06 Calend 01'!J70,0))</f>
        <v>0</v>
      </c>
      <c r="CJ70" s="2">
        <f>((IF((76='V06 Calend 01'!C70),('V06 Calend 01'!F70+'V06 Calend 01'!G70),0)+IF(AND(('V06 Calend 01'!E70&gt;0),(76&gt;'V06 Calend 01'!C70),(76&lt;'V06 Calend 01'!D70),(MOD((76-'V06 Calend 01'!C70),6)=0),(((76-'V06 Calend 01'!C70)/6)&lt;='V06 Calend 01'!E70)),IF((76=('V06 Calend 01'!C70+(6*'V06 Calend 01'!E70))),('V06 Calend 01'!H70-('V06 Calend 01'!I70*('V06 Calend 01'!E70-1))),'V06 Calend 01'!I70),0))+IF((76='V06 Calend 01'!D70),'V06 Calend 01'!J70,0))</f>
        <v>0</v>
      </c>
      <c r="CK70" s="2">
        <f>((IF((77='V06 Calend 01'!C70),('V06 Calend 01'!F70+'V06 Calend 01'!G70),0)+IF(AND(('V06 Calend 01'!E70&gt;0),(77&gt;'V06 Calend 01'!C70),(77&lt;'V06 Calend 01'!D70),(MOD((77-'V06 Calend 01'!C70),6)=0),(((77-'V06 Calend 01'!C70)/6)&lt;='V06 Calend 01'!E70)),IF((77=('V06 Calend 01'!C70+(6*'V06 Calend 01'!E70))),('V06 Calend 01'!H70-('V06 Calend 01'!I70*('V06 Calend 01'!E70-1))),'V06 Calend 01'!I70),0))+IF((77='V06 Calend 01'!D70),'V06 Calend 01'!J70,0))</f>
        <v>0</v>
      </c>
      <c r="CL70" s="2">
        <f>((IF((78='V06 Calend 01'!C70),('V06 Calend 01'!F70+'V06 Calend 01'!G70),0)+IF(AND(('V06 Calend 01'!E70&gt;0),(78&gt;'V06 Calend 01'!C70),(78&lt;'V06 Calend 01'!D70),(MOD((78-'V06 Calend 01'!C70),6)=0),(((78-'V06 Calend 01'!C70)/6)&lt;='V06 Calend 01'!E70)),IF((78=('V06 Calend 01'!C70+(6*'V06 Calend 01'!E70))),('V06 Calend 01'!H70-('V06 Calend 01'!I70*('V06 Calend 01'!E70-1))),'V06 Calend 01'!I70),0))+IF((78='V06 Calend 01'!D70),'V06 Calend 01'!J70,0))</f>
        <v>0</v>
      </c>
      <c r="CM70" s="2">
        <f>((IF((79='V06 Calend 01'!C70),('V06 Calend 01'!F70+'V06 Calend 01'!G70),0)+IF(AND(('V06 Calend 01'!E70&gt;0),(79&gt;'V06 Calend 01'!C70),(79&lt;'V06 Calend 01'!D70),(MOD((79-'V06 Calend 01'!C70),6)=0),(((79-'V06 Calend 01'!C70)/6)&lt;='V06 Calend 01'!E70)),IF((79=('V06 Calend 01'!C70+(6*'V06 Calend 01'!E70))),('V06 Calend 01'!H70-('V06 Calend 01'!I70*('V06 Calend 01'!E70-1))),'V06 Calend 01'!I70),0))+IF((79='V06 Calend 01'!D70),'V06 Calend 01'!J70,0))</f>
        <v>0</v>
      </c>
      <c r="CN70" s="2">
        <f>((IF((80='V06 Calend 01'!C70),('V06 Calend 01'!F70+'V06 Calend 01'!G70),0)+IF(AND(('V06 Calend 01'!E70&gt;0),(80&gt;'V06 Calend 01'!C70),(80&lt;'V06 Calend 01'!D70),(MOD((80-'V06 Calend 01'!C70),6)=0),(((80-'V06 Calend 01'!C70)/6)&lt;='V06 Calend 01'!E70)),IF((80=('V06 Calend 01'!C70+(6*'V06 Calend 01'!E70))),('V06 Calend 01'!H70-('V06 Calend 01'!I70*('V06 Calend 01'!E70-1))),'V06 Calend 01'!I70),0))+IF((80='V06 Calend 01'!D70),'V06 Calend 01'!J70,0))</f>
        <v>0</v>
      </c>
      <c r="CO70" s="2">
        <f>((IF((81='V06 Calend 01'!C70),('V06 Calend 01'!F70+'V06 Calend 01'!G70),0)+IF(AND(('V06 Calend 01'!E70&gt;0),(81&gt;'V06 Calend 01'!C70),(81&lt;'V06 Calend 01'!D70),(MOD((81-'V06 Calend 01'!C70),6)=0),(((81-'V06 Calend 01'!C70)/6)&lt;='V06 Calend 01'!E70)),IF((81=('V06 Calend 01'!C70+(6*'V06 Calend 01'!E70))),('V06 Calend 01'!H70-('V06 Calend 01'!I70*('V06 Calend 01'!E70-1))),'V06 Calend 01'!I70),0))+IF((81='V06 Calend 01'!D70),'V06 Calend 01'!J70,0))</f>
        <v>0</v>
      </c>
      <c r="CP70" s="2">
        <f>((IF((82='V06 Calend 01'!C70),('V06 Calend 01'!F70+'V06 Calend 01'!G70),0)+IF(AND(('V06 Calend 01'!E70&gt;0),(82&gt;'V06 Calend 01'!C70),(82&lt;'V06 Calend 01'!D70),(MOD((82-'V06 Calend 01'!C70),6)=0),(((82-'V06 Calend 01'!C70)/6)&lt;='V06 Calend 01'!E70)),IF((82=('V06 Calend 01'!C70+(6*'V06 Calend 01'!E70))),('V06 Calend 01'!H70-('V06 Calend 01'!I70*('V06 Calend 01'!E70-1))),'V06 Calend 01'!I70),0))+IF((82='V06 Calend 01'!D70),'V06 Calend 01'!J70,0))</f>
        <v>0</v>
      </c>
      <c r="CQ70" s="2">
        <f>((IF((83='V06 Calend 01'!C70),('V06 Calend 01'!F70+'V06 Calend 01'!G70),0)+IF(AND(('V06 Calend 01'!E70&gt;0),(83&gt;'V06 Calend 01'!C70),(83&lt;'V06 Calend 01'!D70),(MOD((83-'V06 Calend 01'!C70),6)=0),(((83-'V06 Calend 01'!C70)/6)&lt;='V06 Calend 01'!E70)),IF((83=('V06 Calend 01'!C70+(6*'V06 Calend 01'!E70))),('V06 Calend 01'!H70-('V06 Calend 01'!I70*('V06 Calend 01'!E70-1))),'V06 Calend 01'!I70),0))+IF((83='V06 Calend 01'!D70),'V06 Calend 01'!J70,0))</f>
        <v>0</v>
      </c>
      <c r="CR70" s="2">
        <f>((IF((84='V06 Calend 01'!C70),('V06 Calend 01'!F70+'V06 Calend 01'!G70),0)+IF(AND(('V06 Calend 01'!E70&gt;0),(84&gt;'V06 Calend 01'!C70),(84&lt;'V06 Calend 01'!D70),(MOD((84-'V06 Calend 01'!C70),6)=0),(((84-'V06 Calend 01'!C70)/6)&lt;='V06 Calend 01'!E70)),IF((84=('V06 Calend 01'!C70+(6*'V06 Calend 01'!E70))),('V06 Calend 01'!H70-('V06 Calend 01'!I70*('V06 Calend 01'!E70-1))),'V06 Calend 01'!I70),0))+IF((84='V06 Calend 01'!D70),'V06 Calend 01'!J70,0))</f>
        <v>0</v>
      </c>
      <c r="CS70" s="2">
        <f>((IF((85='V06 Calend 01'!C70),('V06 Calend 01'!F70+'V06 Calend 01'!G70),0)+IF(AND(('V06 Calend 01'!E70&gt;0),(85&gt;'V06 Calend 01'!C70),(85&lt;'V06 Calend 01'!D70),(MOD((85-'V06 Calend 01'!C70),6)=0),(((85-'V06 Calend 01'!C70)/6)&lt;='V06 Calend 01'!E70)),IF((85=('V06 Calend 01'!C70+(6*'V06 Calend 01'!E70))),('V06 Calend 01'!H70-('V06 Calend 01'!I70*('V06 Calend 01'!E70-1))),'V06 Calend 01'!I70),0))+IF((85='V06 Calend 01'!D70),'V06 Calend 01'!J70,0))</f>
        <v>0</v>
      </c>
      <c r="CT70" s="2">
        <f>((IF((86='V06 Calend 01'!C70),('V06 Calend 01'!F70+'V06 Calend 01'!G70),0)+IF(AND(('V06 Calend 01'!E70&gt;0),(86&gt;'V06 Calend 01'!C70),(86&lt;'V06 Calend 01'!D70),(MOD((86-'V06 Calend 01'!C70),6)=0),(((86-'V06 Calend 01'!C70)/6)&lt;='V06 Calend 01'!E70)),IF((86=('V06 Calend 01'!C70+(6*'V06 Calend 01'!E70))),('V06 Calend 01'!H70-('V06 Calend 01'!I70*('V06 Calend 01'!E70-1))),'V06 Calend 01'!I70),0))+IF((86='V06 Calend 01'!D70),'V06 Calend 01'!J70,0))</f>
        <v>0</v>
      </c>
      <c r="CU70" s="2">
        <f>((IF((87='V06 Calend 01'!C70),('V06 Calend 01'!F70+'V06 Calend 01'!G70),0)+IF(AND(('V06 Calend 01'!E70&gt;0),(87&gt;'V06 Calend 01'!C70),(87&lt;'V06 Calend 01'!D70),(MOD((87-'V06 Calend 01'!C70),6)=0),(((87-'V06 Calend 01'!C70)/6)&lt;='V06 Calend 01'!E70)),IF((87=('V06 Calend 01'!C70+(6*'V06 Calend 01'!E70))),('V06 Calend 01'!H70-('V06 Calend 01'!I70*('V06 Calend 01'!E70-1))),'V06 Calend 01'!I70),0))+IF((87='V06 Calend 01'!D70),'V06 Calend 01'!J70,0))</f>
        <v>0</v>
      </c>
      <c r="CV70" s="2">
        <f>((IF((88='V06 Calend 01'!C70),('V06 Calend 01'!F70+'V06 Calend 01'!G70),0)+IF(AND(('V06 Calend 01'!E70&gt;0),(88&gt;'V06 Calend 01'!C70),(88&lt;'V06 Calend 01'!D70),(MOD((88-'V06 Calend 01'!C70),6)=0),(((88-'V06 Calend 01'!C70)/6)&lt;='V06 Calend 01'!E70)),IF((88=('V06 Calend 01'!C70+(6*'V06 Calend 01'!E70))),('V06 Calend 01'!H70-('V06 Calend 01'!I70*('V06 Calend 01'!E70-1))),'V06 Calend 01'!I70),0))+IF((88='V06 Calend 01'!D70),'V06 Calend 01'!J70,0))</f>
        <v>0</v>
      </c>
      <c r="CW70" s="2">
        <f>((IF((89='V06 Calend 01'!C70),('V06 Calend 01'!F70+'V06 Calend 01'!G70),0)+IF(AND(('V06 Calend 01'!E70&gt;0),(89&gt;'V06 Calend 01'!C70),(89&lt;'V06 Calend 01'!D70),(MOD((89-'V06 Calend 01'!C70),6)=0),(((89-'V06 Calend 01'!C70)/6)&lt;='V06 Calend 01'!E70)),IF((89=('V06 Calend 01'!C70+(6*'V06 Calend 01'!E70))),('V06 Calend 01'!H70-('V06 Calend 01'!I70*('V06 Calend 01'!E70-1))),'V06 Calend 01'!I70),0))+IF((89='V06 Calend 01'!D70),'V06 Calend 01'!J70,0))</f>
        <v>0</v>
      </c>
      <c r="CX70" s="2">
        <f>((IF((90='V06 Calend 01'!C70),('V06 Calend 01'!F70+'V06 Calend 01'!G70),0)+IF(AND(('V06 Calend 01'!E70&gt;0),(90&gt;'V06 Calend 01'!C70),(90&lt;'V06 Calend 01'!D70),(MOD((90-'V06 Calend 01'!C70),6)=0),(((90-'V06 Calend 01'!C70)/6)&lt;='V06 Calend 01'!E70)),IF((90=('V06 Calend 01'!C70+(6*'V06 Calend 01'!E70))),('V06 Calend 01'!H70-('V06 Calend 01'!I70*('V06 Calend 01'!E70-1))),'V06 Calend 01'!I70),0))+IF((90='V06 Calend 01'!D70),'V06 Calend 01'!J70,0))</f>
        <v>0</v>
      </c>
      <c r="CY70" s="2">
        <f>((IF((91='V06 Calend 01'!C70),('V06 Calend 01'!F70+'V06 Calend 01'!G70),0)+IF(AND(('V06 Calend 01'!E70&gt;0),(91&gt;'V06 Calend 01'!C70),(91&lt;'V06 Calend 01'!D70),(MOD((91-'V06 Calend 01'!C70),6)=0),(((91-'V06 Calend 01'!C70)/6)&lt;='V06 Calend 01'!E70)),IF((91=('V06 Calend 01'!C70+(6*'V06 Calend 01'!E70))),('V06 Calend 01'!H70-('V06 Calend 01'!I70*('V06 Calend 01'!E70-1))),'V06 Calend 01'!I70),0))+IF((91='V06 Calend 01'!D70),'V06 Calend 01'!J70,0))</f>
        <v>0</v>
      </c>
      <c r="CZ70" s="2">
        <f>((IF((92='V06 Calend 01'!C70),('V06 Calend 01'!F70+'V06 Calend 01'!G70),0)+IF(AND(('V06 Calend 01'!E70&gt;0),(92&gt;'V06 Calend 01'!C70),(92&lt;'V06 Calend 01'!D70),(MOD((92-'V06 Calend 01'!C70),6)=0),(((92-'V06 Calend 01'!C70)/6)&lt;='V06 Calend 01'!E70)),IF((92=('V06 Calend 01'!C70+(6*'V06 Calend 01'!E70))),('V06 Calend 01'!H70-('V06 Calend 01'!I70*('V06 Calend 01'!E70-1))),'V06 Calend 01'!I70),0))+IF((92='V06 Calend 01'!D70),'V06 Calend 01'!J70,0))</f>
        <v>0</v>
      </c>
      <c r="DA70" s="2">
        <f>((IF((93='V06 Calend 01'!C70),('V06 Calend 01'!F70+'V06 Calend 01'!G70),0)+IF(AND(('V06 Calend 01'!E70&gt;0),(93&gt;'V06 Calend 01'!C70),(93&lt;'V06 Calend 01'!D70),(MOD((93-'V06 Calend 01'!C70),6)=0),(((93-'V06 Calend 01'!C70)/6)&lt;='V06 Calend 01'!E70)),IF((93=('V06 Calend 01'!C70+(6*'V06 Calend 01'!E70))),('V06 Calend 01'!H70-('V06 Calend 01'!I70*('V06 Calend 01'!E70-1))),'V06 Calend 01'!I70),0))+IF((93='V06 Calend 01'!D70),'V06 Calend 01'!J70,0))</f>
        <v>0</v>
      </c>
      <c r="DB70" s="2">
        <f>((IF((94='V06 Calend 01'!C70),('V06 Calend 01'!F70+'V06 Calend 01'!G70),0)+IF(AND(('V06 Calend 01'!E70&gt;0),(94&gt;'V06 Calend 01'!C70),(94&lt;'V06 Calend 01'!D70),(MOD((94-'V06 Calend 01'!C70),6)=0),(((94-'V06 Calend 01'!C70)/6)&lt;='V06 Calend 01'!E70)),IF((94=('V06 Calend 01'!C70+(6*'V06 Calend 01'!E70))),('V06 Calend 01'!H70-('V06 Calend 01'!I70*('V06 Calend 01'!E70-1))),'V06 Calend 01'!I70),0))+IF((94='V06 Calend 01'!D70),'V06 Calend 01'!J70,0))</f>
        <v>0</v>
      </c>
      <c r="DC70" s="2">
        <f>((IF((95='V06 Calend 01'!C70),('V06 Calend 01'!F70+'V06 Calend 01'!G70),0)+IF(AND(('V06 Calend 01'!E70&gt;0),(95&gt;'V06 Calend 01'!C70),(95&lt;'V06 Calend 01'!D70),(MOD((95-'V06 Calend 01'!C70),6)=0),(((95-'V06 Calend 01'!C70)/6)&lt;='V06 Calend 01'!E70)),IF((95=('V06 Calend 01'!C70+(6*'V06 Calend 01'!E70))),('V06 Calend 01'!H70-('V06 Calend 01'!I70*('V06 Calend 01'!E70-1))),'V06 Calend 01'!I70),0))+IF((95='V06 Calend 01'!D70),'V06 Calend 01'!J70,0))</f>
        <v>0</v>
      </c>
      <c r="DD70" s="2">
        <f>((IF((96='V06 Calend 01'!C70),('V06 Calend 01'!F70+'V06 Calend 01'!G70),0)+IF(AND(('V06 Calend 01'!E70&gt;0),(96&gt;'V06 Calend 01'!C70),(96&lt;'V06 Calend 01'!D70),(MOD((96-'V06 Calend 01'!C70),6)=0),(((96-'V06 Calend 01'!C70)/6)&lt;='V06 Calend 01'!E70)),IF((96=('V06 Calend 01'!C70+(6*'V06 Calend 01'!E70))),('V06 Calend 01'!H70-('V06 Calend 01'!I70*('V06 Calend 01'!E70-1))),'V06 Calend 01'!I70),0))+IF((96='V06 Calend 01'!D70),'V06 Calend 01'!J70,0))</f>
        <v>0</v>
      </c>
      <c r="DE70" s="2">
        <f>((IF((97='V06 Calend 01'!C70),('V06 Calend 01'!F70+'V06 Calend 01'!G70),0)+IF(AND(('V06 Calend 01'!E70&gt;0),(97&gt;'V06 Calend 01'!C70),(97&lt;'V06 Calend 01'!D70),(MOD((97-'V06 Calend 01'!C70),6)=0),(((97-'V06 Calend 01'!C70)/6)&lt;='V06 Calend 01'!E70)),IF((97=('V06 Calend 01'!C70+(6*'V06 Calend 01'!E70))),('V06 Calend 01'!H70-('V06 Calend 01'!I70*('V06 Calend 01'!E70-1))),'V06 Calend 01'!I70),0))+IF((97='V06 Calend 01'!D70),'V06 Calend 01'!J70,0))</f>
        <v>0</v>
      </c>
      <c r="DF70" s="2">
        <f>((IF((98='V06 Calend 01'!C70),('V06 Calend 01'!F70+'V06 Calend 01'!G70),0)+IF(AND(('V06 Calend 01'!E70&gt;0),(98&gt;'V06 Calend 01'!C70),(98&lt;'V06 Calend 01'!D70),(MOD((98-'V06 Calend 01'!C70),6)=0),(((98-'V06 Calend 01'!C70)/6)&lt;='V06 Calend 01'!E70)),IF((98=('V06 Calend 01'!C70+(6*'V06 Calend 01'!E70))),('V06 Calend 01'!H70-('V06 Calend 01'!I70*('V06 Calend 01'!E70-1))),'V06 Calend 01'!I70),0))+IF((98='V06 Calend 01'!D70),'V06 Calend 01'!J70,0))</f>
        <v>0</v>
      </c>
      <c r="DG70" s="2">
        <f>((IF((99='V06 Calend 01'!C70),('V06 Calend 01'!F70+'V06 Calend 01'!G70),0)+IF(AND(('V06 Calend 01'!E70&gt;0),(99&gt;'V06 Calend 01'!C70),(99&lt;'V06 Calend 01'!D70),(MOD((99-'V06 Calend 01'!C70),6)=0),(((99-'V06 Calend 01'!C70)/6)&lt;='V06 Calend 01'!E70)),IF((99=('V06 Calend 01'!C70+(6*'V06 Calend 01'!E70))),('V06 Calend 01'!H70-('V06 Calend 01'!I70*('V06 Calend 01'!E70-1))),'V06 Calend 01'!I70),0))+IF((99='V06 Calend 01'!D70),'V06 Calend 01'!J70,0))</f>
        <v>0</v>
      </c>
      <c r="DH70" s="2">
        <f>((IF((100='V06 Calend 01'!C70),('V06 Calend 01'!F70+'V06 Calend 01'!G70),0)+IF(AND(('V06 Calend 01'!E70&gt;0),(100&gt;'V06 Calend 01'!C70),(100&lt;'V06 Calend 01'!D70),(MOD((100-'V06 Calend 01'!C70),6)=0),(((100-'V06 Calend 01'!C70)/6)&lt;='V06 Calend 01'!E70)),IF((100=('V06 Calend 01'!C70+(6*'V06 Calend 01'!E70))),('V06 Calend 01'!H70-('V06 Calend 01'!I70*('V06 Calend 01'!E70-1))),'V06 Calend 01'!I70),0))+IF((100='V06 Calend 01'!D70),'V06 Calend 01'!J70,0))</f>
        <v>0</v>
      </c>
      <c r="DI70" s="2">
        <f>((IF((101='V06 Calend 01'!C70),('V06 Calend 01'!F70+'V06 Calend 01'!G70),0)+IF(AND(('V06 Calend 01'!E70&gt;0),(101&gt;'V06 Calend 01'!C70),(101&lt;'V06 Calend 01'!D70),(MOD((101-'V06 Calend 01'!C70),6)=0),(((101-'V06 Calend 01'!C70)/6)&lt;='V06 Calend 01'!E70)),IF((101=('V06 Calend 01'!C70+(6*'V06 Calend 01'!E70))),('V06 Calend 01'!H70-('V06 Calend 01'!I70*('V06 Calend 01'!E70-1))),'V06 Calend 01'!I70),0))+IF((101='V06 Calend 01'!D70),'V06 Calend 01'!J70,0))</f>
        <v>0</v>
      </c>
      <c r="DJ70" s="2">
        <f>((IF((102='V06 Calend 01'!C70),('V06 Calend 01'!F70+'V06 Calend 01'!G70),0)+IF(AND(('V06 Calend 01'!E70&gt;0),(102&gt;'V06 Calend 01'!C70),(102&lt;'V06 Calend 01'!D70),(MOD((102-'V06 Calend 01'!C70),6)=0),(((102-'V06 Calend 01'!C70)/6)&lt;='V06 Calend 01'!E70)),IF((102=('V06 Calend 01'!C70+(6*'V06 Calend 01'!E70))),('V06 Calend 01'!H70-('V06 Calend 01'!I70*('V06 Calend 01'!E70-1))),'V06 Calend 01'!I70),0))+IF((102='V06 Calend 01'!D70),'V06 Calend 01'!J70,0))</f>
        <v>0</v>
      </c>
      <c r="DK70" s="2">
        <f>((IF((103='V06 Calend 01'!C70),('V06 Calend 01'!F70+'V06 Calend 01'!G70),0)+IF(AND(('V06 Calend 01'!E70&gt;0),(103&gt;'V06 Calend 01'!C70),(103&lt;'V06 Calend 01'!D70),(MOD((103-'V06 Calend 01'!C70),6)=0),(((103-'V06 Calend 01'!C70)/6)&lt;='V06 Calend 01'!E70)),IF((103=('V06 Calend 01'!C70+(6*'V06 Calend 01'!E70))),('V06 Calend 01'!H70-('V06 Calend 01'!I70*('V06 Calend 01'!E70-1))),'V06 Calend 01'!I70),0))+IF((103='V06 Calend 01'!D70),'V06 Calend 01'!J70,0))</f>
        <v>0</v>
      </c>
      <c r="DL70" s="2">
        <f>((IF((104='V06 Calend 01'!C70),('V06 Calend 01'!F70+'V06 Calend 01'!G70),0)+IF(AND(('V06 Calend 01'!E70&gt;0),(104&gt;'V06 Calend 01'!C70),(104&lt;'V06 Calend 01'!D70),(MOD((104-'V06 Calend 01'!C70),6)=0),(((104-'V06 Calend 01'!C70)/6)&lt;='V06 Calend 01'!E70)),IF((104=('V06 Calend 01'!C70+(6*'V06 Calend 01'!E70))),('V06 Calend 01'!H70-('V06 Calend 01'!I70*('V06 Calend 01'!E70-1))),'V06 Calend 01'!I70),0))+IF((104='V06 Calend 01'!D70),'V06 Calend 01'!J70,0))</f>
        <v>0</v>
      </c>
      <c r="DM70" s="2">
        <f>((IF((105='V06 Calend 01'!C70),('V06 Calend 01'!F70+'V06 Calend 01'!G70),0)+IF(AND(('V06 Calend 01'!E70&gt;0),(105&gt;'V06 Calend 01'!C70),(105&lt;'V06 Calend 01'!D70),(MOD((105-'V06 Calend 01'!C70),6)=0),(((105-'V06 Calend 01'!C70)/6)&lt;='V06 Calend 01'!E70)),IF((105=('V06 Calend 01'!C70+(6*'V06 Calend 01'!E70))),('V06 Calend 01'!H70-('V06 Calend 01'!I70*('V06 Calend 01'!E70-1))),'V06 Calend 01'!I70),0))+IF((105='V06 Calend 01'!D70),'V06 Calend 01'!J70,0))</f>
        <v>0</v>
      </c>
      <c r="DN70" s="2">
        <f>((IF((106='V06 Calend 01'!C70),('V06 Calend 01'!F70+'V06 Calend 01'!G70),0)+IF(AND(('V06 Calend 01'!E70&gt;0),(106&gt;'V06 Calend 01'!C70),(106&lt;'V06 Calend 01'!D70),(MOD((106-'V06 Calend 01'!C70),6)=0),(((106-'V06 Calend 01'!C70)/6)&lt;='V06 Calend 01'!E70)),IF((106=('V06 Calend 01'!C70+(6*'V06 Calend 01'!E70))),('V06 Calend 01'!H70-('V06 Calend 01'!I70*('V06 Calend 01'!E70-1))),'V06 Calend 01'!I70),0))+IF((106='V06 Calend 01'!D70),'V06 Calend 01'!J70,0))</f>
        <v>0</v>
      </c>
      <c r="DO70" s="2">
        <f>((IF((107='V06 Calend 01'!C70),('V06 Calend 01'!F70+'V06 Calend 01'!G70),0)+IF(AND(('V06 Calend 01'!E70&gt;0),(107&gt;'V06 Calend 01'!C70),(107&lt;'V06 Calend 01'!D70),(MOD((107-'V06 Calend 01'!C70),6)=0),(((107-'V06 Calend 01'!C70)/6)&lt;='V06 Calend 01'!E70)),IF((107=('V06 Calend 01'!C70+(6*'V06 Calend 01'!E70))),('V06 Calend 01'!H70-('V06 Calend 01'!I70*('V06 Calend 01'!E70-1))),'V06 Calend 01'!I70),0))+IF((107='V06 Calend 01'!D70),'V06 Calend 01'!J70,0))</f>
        <v>0</v>
      </c>
      <c r="DP70" s="2">
        <f>((IF((108='V06 Calend 01'!C70),('V06 Calend 01'!F70+'V06 Calend 01'!G70),0)+IF(AND(('V06 Calend 01'!E70&gt;0),(108&gt;'V06 Calend 01'!C70),(108&lt;'V06 Calend 01'!D70),(MOD((108-'V06 Calend 01'!C70),6)=0),(((108-'V06 Calend 01'!C70)/6)&lt;='V06 Calend 01'!E70)),IF((108=('V06 Calend 01'!C70+(6*'V06 Calend 01'!E70))),('V06 Calend 01'!H70-('V06 Calend 01'!I70*('V06 Calend 01'!E70-1))),'V06 Calend 01'!I70),0))+IF((108='V06 Calend 01'!D70),'V06 Calend 01'!J70,0))</f>
        <v>0</v>
      </c>
      <c r="DQ70" s="2">
        <f>((IF((109='V06 Calend 01'!C70),('V06 Calend 01'!F70+'V06 Calend 01'!G70),0)+IF(AND(('V06 Calend 01'!E70&gt;0),(109&gt;'V06 Calend 01'!C70),(109&lt;'V06 Calend 01'!D70),(MOD((109-'V06 Calend 01'!C70),6)=0),(((109-'V06 Calend 01'!C70)/6)&lt;='V06 Calend 01'!E70)),IF((109=('V06 Calend 01'!C70+(6*'V06 Calend 01'!E70))),('V06 Calend 01'!H70-('V06 Calend 01'!I70*('V06 Calend 01'!E70-1))),'V06 Calend 01'!I70),0))+IF((109='V06 Calend 01'!D70),'V06 Calend 01'!J70,0))</f>
        <v>0</v>
      </c>
      <c r="DR70" s="2">
        <f>((IF((110='V06 Calend 01'!C70),('V06 Calend 01'!F70+'V06 Calend 01'!G70),0)+IF(AND(('V06 Calend 01'!E70&gt;0),(110&gt;'V06 Calend 01'!C70),(110&lt;'V06 Calend 01'!D70),(MOD((110-'V06 Calend 01'!C70),6)=0),(((110-'V06 Calend 01'!C70)/6)&lt;='V06 Calend 01'!E70)),IF((110=('V06 Calend 01'!C70+(6*'V06 Calend 01'!E70))),('V06 Calend 01'!H70-('V06 Calend 01'!I70*('V06 Calend 01'!E70-1))),'V06 Calend 01'!I70),0))+IF((110='V06 Calend 01'!D70),'V06 Calend 01'!J70,0))</f>
        <v>0</v>
      </c>
      <c r="DS70" s="2">
        <f>((IF((111='V06 Calend 01'!C70),('V06 Calend 01'!F70+'V06 Calend 01'!G70),0)+IF(AND(('V06 Calend 01'!E70&gt;0),(111&gt;'V06 Calend 01'!C70),(111&lt;'V06 Calend 01'!D70),(MOD((111-'V06 Calend 01'!C70),6)=0),(((111-'V06 Calend 01'!C70)/6)&lt;='V06 Calend 01'!E70)),IF((111=('V06 Calend 01'!C70+(6*'V06 Calend 01'!E70))),('V06 Calend 01'!H70-('V06 Calend 01'!I70*('V06 Calend 01'!E70-1))),'V06 Calend 01'!I70),0))+IF((111='V06 Calend 01'!D70),'V06 Calend 01'!J70,0))</f>
        <v>0</v>
      </c>
      <c r="DT70" s="2">
        <f>((IF((112='V06 Calend 01'!C70),('V06 Calend 01'!F70+'V06 Calend 01'!G70),0)+IF(AND(('V06 Calend 01'!E70&gt;0),(112&gt;'V06 Calend 01'!C70),(112&lt;'V06 Calend 01'!D70),(MOD((112-'V06 Calend 01'!C70),6)=0),(((112-'V06 Calend 01'!C70)/6)&lt;='V06 Calend 01'!E70)),IF((112=('V06 Calend 01'!C70+(6*'V06 Calend 01'!E70))),('V06 Calend 01'!H70-('V06 Calend 01'!I70*('V06 Calend 01'!E70-1))),'V06 Calend 01'!I70),0))+IF((112='V06 Calend 01'!D70),'V06 Calend 01'!J70,0))</f>
        <v>0</v>
      </c>
      <c r="DU70" s="2">
        <f>((IF((113='V06 Calend 01'!C70),('V06 Calend 01'!F70+'V06 Calend 01'!G70),0)+IF(AND(('V06 Calend 01'!E70&gt;0),(113&gt;'V06 Calend 01'!C70),(113&lt;'V06 Calend 01'!D70),(MOD((113-'V06 Calend 01'!C70),6)=0),(((113-'V06 Calend 01'!C70)/6)&lt;='V06 Calend 01'!E70)),IF((113=('V06 Calend 01'!C70+(6*'V06 Calend 01'!E70))),('V06 Calend 01'!H70-('V06 Calend 01'!I70*('V06 Calend 01'!E70-1))),'V06 Calend 01'!I70),0))+IF((113='V06 Calend 01'!D70),'V06 Calend 01'!J70,0))</f>
        <v>0</v>
      </c>
      <c r="DV70" s="2">
        <f>((IF((114='V06 Calend 01'!C70),('V06 Calend 01'!F70+'V06 Calend 01'!G70),0)+IF(AND(('V06 Calend 01'!E70&gt;0),(114&gt;'V06 Calend 01'!C70),(114&lt;'V06 Calend 01'!D70),(MOD((114-'V06 Calend 01'!C70),6)=0),(((114-'V06 Calend 01'!C70)/6)&lt;='V06 Calend 01'!E70)),IF((114=('V06 Calend 01'!C70+(6*'V06 Calend 01'!E70))),('V06 Calend 01'!H70-('V06 Calend 01'!I70*('V06 Calend 01'!E70-1))),'V06 Calend 01'!I70),0))+IF((114='V06 Calend 01'!D70),'V06 Calend 01'!J70,0))</f>
        <v>0</v>
      </c>
      <c r="DW70" s="2">
        <f>((IF((115='V06 Calend 01'!C70),('V06 Calend 01'!F70+'V06 Calend 01'!G70),0)+IF(AND(('V06 Calend 01'!E70&gt;0),(115&gt;'V06 Calend 01'!C70),(115&lt;'V06 Calend 01'!D70),(MOD((115-'V06 Calend 01'!C70),6)=0),(((115-'V06 Calend 01'!C70)/6)&lt;='V06 Calend 01'!E70)),IF((115=('V06 Calend 01'!C70+(6*'V06 Calend 01'!E70))),('V06 Calend 01'!H70-('V06 Calend 01'!I70*('V06 Calend 01'!E70-1))),'V06 Calend 01'!I70),0))+IF((115='V06 Calend 01'!D70),'V06 Calend 01'!J70,0))</f>
        <v>0</v>
      </c>
      <c r="DX70" s="2">
        <f>((IF((116='V06 Calend 01'!C70),('V06 Calend 01'!F70+'V06 Calend 01'!G70),0)+IF(AND(('V06 Calend 01'!E70&gt;0),(116&gt;'V06 Calend 01'!C70),(116&lt;'V06 Calend 01'!D70),(MOD((116-'V06 Calend 01'!C70),6)=0),(((116-'V06 Calend 01'!C70)/6)&lt;='V06 Calend 01'!E70)),IF((116=('V06 Calend 01'!C70+(6*'V06 Calend 01'!E70))),('V06 Calend 01'!H70-('V06 Calend 01'!I70*('V06 Calend 01'!E70-1))),'V06 Calend 01'!I70),0))+IF((116='V06 Calend 01'!D70),'V06 Calend 01'!J70,0))</f>
        <v>0</v>
      </c>
      <c r="DY70" s="2">
        <f>((IF((117='V06 Calend 01'!C70),('V06 Calend 01'!F70+'V06 Calend 01'!G70),0)+IF(AND(('V06 Calend 01'!E70&gt;0),(117&gt;'V06 Calend 01'!C70),(117&lt;'V06 Calend 01'!D70),(MOD((117-'V06 Calend 01'!C70),6)=0),(((117-'V06 Calend 01'!C70)/6)&lt;='V06 Calend 01'!E70)),IF((117=('V06 Calend 01'!C70+(6*'V06 Calend 01'!E70))),('V06 Calend 01'!H70-('V06 Calend 01'!I70*('V06 Calend 01'!E70-1))),'V06 Calend 01'!I70),0))+IF((117='V06 Calend 01'!D70),'V06 Calend 01'!J70,0))</f>
        <v>0</v>
      </c>
      <c r="DZ70" s="2">
        <f>((IF((118='V06 Calend 01'!C70),('V06 Calend 01'!F70+'V06 Calend 01'!G70),0)+IF(AND(('V06 Calend 01'!E70&gt;0),(118&gt;'V06 Calend 01'!C70),(118&lt;'V06 Calend 01'!D70),(MOD((118-'V06 Calend 01'!C70),6)=0),(((118-'V06 Calend 01'!C70)/6)&lt;='V06 Calend 01'!E70)),IF((118=('V06 Calend 01'!C70+(6*'V06 Calend 01'!E70))),('V06 Calend 01'!H70-('V06 Calend 01'!I70*('V06 Calend 01'!E70-1))),'V06 Calend 01'!I70),0))+IF((118='V06 Calend 01'!D70),'V06 Calend 01'!J70,0))</f>
        <v>0</v>
      </c>
      <c r="EA70" s="2">
        <f>((IF((119='V06 Calend 01'!C70),('V06 Calend 01'!F70+'V06 Calend 01'!G70),0)+IF(AND(('V06 Calend 01'!E70&gt;0),(119&gt;'V06 Calend 01'!C70),(119&lt;'V06 Calend 01'!D70),(MOD((119-'V06 Calend 01'!C70),6)=0),(((119-'V06 Calend 01'!C70)/6)&lt;='V06 Calend 01'!E70)),IF((119=('V06 Calend 01'!C70+(6*'V06 Calend 01'!E70))),('V06 Calend 01'!H70-('V06 Calend 01'!I70*('V06 Calend 01'!E70-1))),'V06 Calend 01'!I70),0))+IF((119='V06 Calend 01'!D70),'V06 Calend 01'!J70,0))</f>
        <v>0</v>
      </c>
      <c r="EB70" s="2">
        <f>((IF((120='V06 Calend 01'!C70),('V06 Calend 01'!F70+'V06 Calend 01'!G70),0)+IF(AND(('V06 Calend 01'!E70&gt;0),(120&gt;'V06 Calend 01'!C70),(120&lt;'V06 Calend 01'!D70),(MOD((120-'V06 Calend 01'!C70),6)=0),(((120-'V06 Calend 01'!C70)/6)&lt;='V06 Calend 01'!E70)),IF((120=('V06 Calend 01'!C70+(6*'V06 Calend 01'!E70))),('V06 Calend 01'!H70-('V06 Calend 01'!I70*('V06 Calend 01'!E70-1))),'V06 Calend 01'!I70),0))+IF((120='V06 Calend 01'!D70),'V06 Calend 01'!J70,0))</f>
        <v>0</v>
      </c>
      <c r="EC70" s="2">
        <f>((IF((121='V06 Calend 01'!C70),('V06 Calend 01'!F70+'V06 Calend 01'!G70),0)+IF(AND(('V06 Calend 01'!E70&gt;0),(121&gt;'V06 Calend 01'!C70),(121&lt;'V06 Calend 01'!D70),(MOD((121-'V06 Calend 01'!C70),6)=0),(((121-'V06 Calend 01'!C70)/6)&lt;='V06 Calend 01'!E70)),IF((121=('V06 Calend 01'!C70+(6*'V06 Calend 01'!E70))),('V06 Calend 01'!H70-('V06 Calend 01'!I70*('V06 Calend 01'!E70-1))),'V06 Calend 01'!I70),0))+IF((121='V06 Calend 01'!D70),'V06 Calend 01'!J70,0))</f>
        <v>0</v>
      </c>
      <c r="ED70" s="2">
        <f>((IF((122='V06 Calend 01'!C70),('V06 Calend 01'!F70+'V06 Calend 01'!G70),0)+IF(AND(('V06 Calend 01'!E70&gt;0),(122&gt;'V06 Calend 01'!C70),(122&lt;'V06 Calend 01'!D70),(MOD((122-'V06 Calend 01'!C70),6)=0),(((122-'V06 Calend 01'!C70)/6)&lt;='V06 Calend 01'!E70)),IF((122=('V06 Calend 01'!C70+(6*'V06 Calend 01'!E70))),('V06 Calend 01'!H70-('V06 Calend 01'!I70*('V06 Calend 01'!E70-1))),'V06 Calend 01'!I70),0))+IF((122='V06 Calend 01'!D70),'V06 Calend 01'!J70,0))</f>
        <v>0</v>
      </c>
      <c r="EE70" s="2">
        <f>((IF((123='V06 Calend 01'!C70),('V06 Calend 01'!F70+'V06 Calend 01'!G70),0)+IF(AND(('V06 Calend 01'!E70&gt;0),(123&gt;'V06 Calend 01'!C70),(123&lt;'V06 Calend 01'!D70),(MOD((123-'V06 Calend 01'!C70),6)=0),(((123-'V06 Calend 01'!C70)/6)&lt;='V06 Calend 01'!E70)),IF((123=('V06 Calend 01'!C70+(6*'V06 Calend 01'!E70))),('V06 Calend 01'!H70-('V06 Calend 01'!I70*('V06 Calend 01'!E70-1))),'V06 Calend 01'!I70),0))+IF((123='V06 Calend 01'!D70),'V06 Calend 01'!J70,0))</f>
        <v>0</v>
      </c>
      <c r="EF70" s="2">
        <f>((IF((124='V06 Calend 01'!C70),('V06 Calend 01'!F70+'V06 Calend 01'!G70),0)+IF(AND(('V06 Calend 01'!E70&gt;0),(124&gt;'V06 Calend 01'!C70),(124&lt;'V06 Calend 01'!D70),(MOD((124-'V06 Calend 01'!C70),6)=0),(((124-'V06 Calend 01'!C70)/6)&lt;='V06 Calend 01'!E70)),IF((124=('V06 Calend 01'!C70+(6*'V06 Calend 01'!E70))),('V06 Calend 01'!H70-('V06 Calend 01'!I70*('V06 Calend 01'!E70-1))),'V06 Calend 01'!I70),0))+IF((124='V06 Calend 01'!D70),'V06 Calend 01'!J70,0))</f>
        <v>0</v>
      </c>
      <c r="EG70" s="2">
        <f>((IF((125='V06 Calend 01'!C70),('V06 Calend 01'!F70+'V06 Calend 01'!G70),0)+IF(AND(('V06 Calend 01'!E70&gt;0),(125&gt;'V06 Calend 01'!C70),(125&lt;'V06 Calend 01'!D70),(MOD((125-'V06 Calend 01'!C70),6)=0),(((125-'V06 Calend 01'!C70)/6)&lt;='V06 Calend 01'!E70)),IF((125=('V06 Calend 01'!C70+(6*'V06 Calend 01'!E70))),('V06 Calend 01'!H70-('V06 Calend 01'!I70*('V06 Calend 01'!E70-1))),'V06 Calend 01'!I70),0))+IF((125='V06 Calend 01'!D70),'V06 Calend 01'!J70,0))</f>
        <v>0</v>
      </c>
      <c r="EH70" s="2">
        <f>((IF((126='V06 Calend 01'!C70),('V06 Calend 01'!F70+'V06 Calend 01'!G70),0)+IF(AND(('V06 Calend 01'!E70&gt;0),(126&gt;'V06 Calend 01'!C70),(126&lt;'V06 Calend 01'!D70),(MOD((126-'V06 Calend 01'!C70),6)=0),(((126-'V06 Calend 01'!C70)/6)&lt;='V06 Calend 01'!E70)),IF((126=('V06 Calend 01'!C70+(6*'V06 Calend 01'!E70))),('V06 Calend 01'!H70-('V06 Calend 01'!I70*('V06 Calend 01'!E70-1))),'V06 Calend 01'!I70),0))+IF((126='V06 Calend 01'!D70),'V06 Calend 01'!J70,0))</f>
        <v>0</v>
      </c>
      <c r="EI70" s="2">
        <f>((IF((127='V06 Calend 01'!C70),('V06 Calend 01'!F70+'V06 Calend 01'!G70),0)+IF(AND(('V06 Calend 01'!E70&gt;0),(127&gt;'V06 Calend 01'!C70),(127&lt;'V06 Calend 01'!D70),(MOD((127-'V06 Calend 01'!C70),6)=0),(((127-'V06 Calend 01'!C70)/6)&lt;='V06 Calend 01'!E70)),IF((127=('V06 Calend 01'!C70+(6*'V06 Calend 01'!E70))),('V06 Calend 01'!H70-('V06 Calend 01'!I70*('V06 Calend 01'!E70-1))),'V06 Calend 01'!I70),0))+IF((127='V06 Calend 01'!D70),'V06 Calend 01'!J70,0))</f>
        <v>0</v>
      </c>
      <c r="EJ70" s="2">
        <f>((IF((128='V06 Calend 01'!C70),('V06 Calend 01'!F70+'V06 Calend 01'!G70),0)+IF(AND(('V06 Calend 01'!E70&gt;0),(128&gt;'V06 Calend 01'!C70),(128&lt;'V06 Calend 01'!D70),(MOD((128-'V06 Calend 01'!C70),6)=0),(((128-'V06 Calend 01'!C70)/6)&lt;='V06 Calend 01'!E70)),IF((128=('V06 Calend 01'!C70+(6*'V06 Calend 01'!E70))),('V06 Calend 01'!H70-('V06 Calend 01'!I70*('V06 Calend 01'!E70-1))),'V06 Calend 01'!I70),0))+IF((128='V06 Calend 01'!D70),'V06 Calend 01'!J70,0))</f>
        <v>0</v>
      </c>
      <c r="EK70" s="2">
        <f>((IF((129='V06 Calend 01'!C70),('V06 Calend 01'!F70+'V06 Calend 01'!G70),0)+IF(AND(('V06 Calend 01'!E70&gt;0),(129&gt;'V06 Calend 01'!C70),(129&lt;'V06 Calend 01'!D70),(MOD((129-'V06 Calend 01'!C70),6)=0),(((129-'V06 Calend 01'!C70)/6)&lt;='V06 Calend 01'!E70)),IF((129=('V06 Calend 01'!C70+(6*'V06 Calend 01'!E70))),('V06 Calend 01'!H70-('V06 Calend 01'!I70*('V06 Calend 01'!E70-1))),'V06 Calend 01'!I70),0))+IF((129='V06 Calend 01'!D70),'V06 Calend 01'!J70,0))</f>
        <v>0</v>
      </c>
      <c r="EL70" s="2">
        <f>((IF((130='V06 Calend 01'!C70),('V06 Calend 01'!F70+'V06 Calend 01'!G70),0)+IF(AND(('V06 Calend 01'!E70&gt;0),(130&gt;'V06 Calend 01'!C70),(130&lt;'V06 Calend 01'!D70),(MOD((130-'V06 Calend 01'!C70),6)=0),(((130-'V06 Calend 01'!C70)/6)&lt;='V06 Calend 01'!E70)),IF((130=('V06 Calend 01'!C70+(6*'V06 Calend 01'!E70))),('V06 Calend 01'!H70-('V06 Calend 01'!I70*('V06 Calend 01'!E70-1))),'V06 Calend 01'!I70),0))+IF((130='V06 Calend 01'!D70),'V06 Calend 01'!J70,0))</f>
        <v>0</v>
      </c>
      <c r="EM70" s="2">
        <f>((IF((131='V06 Calend 01'!C70),('V06 Calend 01'!F70+'V06 Calend 01'!G70),0)+IF(AND(('V06 Calend 01'!E70&gt;0),(131&gt;'V06 Calend 01'!C70),(131&lt;'V06 Calend 01'!D70),(MOD((131-'V06 Calend 01'!C70),6)=0),(((131-'V06 Calend 01'!C70)/6)&lt;='V06 Calend 01'!E70)),IF((131=('V06 Calend 01'!C70+(6*'V06 Calend 01'!E70))),('V06 Calend 01'!H70-('V06 Calend 01'!I70*('V06 Calend 01'!E70-1))),'V06 Calend 01'!I70),0))+IF((131='V06 Calend 01'!D70),'V06 Calend 01'!J70,0))</f>
        <v>0</v>
      </c>
      <c r="EN70" s="2">
        <f>((IF((132='V06 Calend 01'!C70),('V06 Calend 01'!F70+'V06 Calend 01'!G70),0)+IF(AND(('V06 Calend 01'!E70&gt;0),(132&gt;'V06 Calend 01'!C70),(132&lt;'V06 Calend 01'!D70),(MOD((132-'V06 Calend 01'!C70),6)=0),(((132-'V06 Calend 01'!C70)/6)&lt;='V06 Calend 01'!E70)),IF((132=('V06 Calend 01'!C70+(6*'V06 Calend 01'!E70))),('V06 Calend 01'!H70-('V06 Calend 01'!I70*('V06 Calend 01'!E70-1))),'V06 Calend 01'!I70),0))+IF((132='V06 Calend 01'!D70),'V06 Calend 01'!J70,0))</f>
        <v>0</v>
      </c>
      <c r="EO70" s="2">
        <f>((IF((133='V06 Calend 01'!C70),('V06 Calend 01'!F70+'V06 Calend 01'!G70),0)+IF(AND(('V06 Calend 01'!E70&gt;0),(133&gt;'V06 Calend 01'!C70),(133&lt;'V06 Calend 01'!D70),(MOD((133-'V06 Calend 01'!C70),6)=0),(((133-'V06 Calend 01'!C70)/6)&lt;='V06 Calend 01'!E70)),IF((133=('V06 Calend 01'!C70+(6*'V06 Calend 01'!E70))),('V06 Calend 01'!H70-('V06 Calend 01'!I70*('V06 Calend 01'!E70-1))),'V06 Calend 01'!I70),0))+IF((133='V06 Calend 01'!D70),'V06 Calend 01'!J70,0))</f>
        <v>0</v>
      </c>
      <c r="EP70" s="2">
        <f>((IF((134='V06 Calend 01'!C70),('V06 Calend 01'!F70+'V06 Calend 01'!G70),0)+IF(AND(('V06 Calend 01'!E70&gt;0),(134&gt;'V06 Calend 01'!C70),(134&lt;'V06 Calend 01'!D70),(MOD((134-'V06 Calend 01'!C70),6)=0),(((134-'V06 Calend 01'!C70)/6)&lt;='V06 Calend 01'!E70)),IF((134=('V06 Calend 01'!C70+(6*'V06 Calend 01'!E70))),('V06 Calend 01'!H70-('V06 Calend 01'!I70*('V06 Calend 01'!E70-1))),'V06 Calend 01'!I70),0))+IF((134='V06 Calend 01'!D70),'V06 Calend 01'!J70,0))</f>
        <v>0</v>
      </c>
      <c r="EQ70" s="2">
        <f>((IF((135='V06 Calend 01'!C70),('V06 Calend 01'!F70+'V06 Calend 01'!G70),0)+IF(AND(('V06 Calend 01'!E70&gt;0),(135&gt;'V06 Calend 01'!C70),(135&lt;'V06 Calend 01'!D70),(MOD((135-'V06 Calend 01'!C70),6)=0),(((135-'V06 Calend 01'!C70)/6)&lt;='V06 Calend 01'!E70)),IF((135=('V06 Calend 01'!C70+(6*'V06 Calend 01'!E70))),('V06 Calend 01'!H70-('V06 Calend 01'!I70*('V06 Calend 01'!E70-1))),'V06 Calend 01'!I70),0))+IF((135='V06 Calend 01'!D70),'V06 Calend 01'!J70,0))</f>
        <v>0</v>
      </c>
      <c r="ER70" s="2">
        <f>((IF((136='V06 Calend 01'!C70),('V06 Calend 01'!F70+'V06 Calend 01'!G70),0)+IF(AND(('V06 Calend 01'!E70&gt;0),(136&gt;'V06 Calend 01'!C70),(136&lt;'V06 Calend 01'!D70),(MOD((136-'V06 Calend 01'!C70),6)=0),(((136-'V06 Calend 01'!C70)/6)&lt;='V06 Calend 01'!E70)),IF((136=('V06 Calend 01'!C70+(6*'V06 Calend 01'!E70))),('V06 Calend 01'!H70-('V06 Calend 01'!I70*('V06 Calend 01'!E70-1))),'V06 Calend 01'!I70),0))+IF((136='V06 Calend 01'!D70),'V06 Calend 01'!J70,0))</f>
        <v>0</v>
      </c>
      <c r="ES70" s="2">
        <f>((IF((137='V06 Calend 01'!C70),('V06 Calend 01'!F70+'V06 Calend 01'!G70),0)+IF(AND(('V06 Calend 01'!E70&gt;0),(137&gt;'V06 Calend 01'!C70),(137&lt;'V06 Calend 01'!D70),(MOD((137-'V06 Calend 01'!C70),6)=0),(((137-'V06 Calend 01'!C70)/6)&lt;='V06 Calend 01'!E70)),IF((137=('V06 Calend 01'!C70+(6*'V06 Calend 01'!E70))),('V06 Calend 01'!H70-('V06 Calend 01'!I70*('V06 Calend 01'!E70-1))),'V06 Calend 01'!I70),0))+IF((137='V06 Calend 01'!D70),'V06 Calend 01'!J70,0))</f>
        <v>0</v>
      </c>
      <c r="ET70" s="2">
        <f>((IF((138='V06 Calend 01'!C70),('V06 Calend 01'!F70+'V06 Calend 01'!G70),0)+IF(AND(('V06 Calend 01'!E70&gt;0),(138&gt;'V06 Calend 01'!C70),(138&lt;'V06 Calend 01'!D70),(MOD((138-'V06 Calend 01'!C70),6)=0),(((138-'V06 Calend 01'!C70)/6)&lt;='V06 Calend 01'!E70)),IF((138=('V06 Calend 01'!C70+(6*'V06 Calend 01'!E70))),('V06 Calend 01'!H70-('V06 Calend 01'!I70*('V06 Calend 01'!E70-1))),'V06 Calend 01'!I70),0))+IF((138='V06 Calend 01'!D70),'V06 Calend 01'!J70,0))</f>
        <v>0</v>
      </c>
      <c r="EU70" s="2">
        <f>((IF((139='V06 Calend 01'!C70),('V06 Calend 01'!F70+'V06 Calend 01'!G70),0)+IF(AND(('V06 Calend 01'!E70&gt;0),(139&gt;'V06 Calend 01'!C70),(139&lt;'V06 Calend 01'!D70),(MOD((139-'V06 Calend 01'!C70),6)=0),(((139-'V06 Calend 01'!C70)/6)&lt;='V06 Calend 01'!E70)),IF((139=('V06 Calend 01'!C70+(6*'V06 Calend 01'!E70))),('V06 Calend 01'!H70-('V06 Calend 01'!I70*('V06 Calend 01'!E70-1))),'V06 Calend 01'!I70),0))+IF((139='V06 Calend 01'!D70),'V06 Calend 01'!J70,0))</f>
        <v>0</v>
      </c>
      <c r="EV70" s="2">
        <f>((IF((140='V06 Calend 01'!C70),('V06 Calend 01'!F70+'V06 Calend 01'!G70),0)+IF(AND(('V06 Calend 01'!E70&gt;0),(140&gt;'V06 Calend 01'!C70),(140&lt;'V06 Calend 01'!D70),(MOD((140-'V06 Calend 01'!C70),6)=0),(((140-'V06 Calend 01'!C70)/6)&lt;='V06 Calend 01'!E70)),IF((140=('V06 Calend 01'!C70+(6*'V06 Calend 01'!E70))),('V06 Calend 01'!H70-('V06 Calend 01'!I70*('V06 Calend 01'!E70-1))),'V06 Calend 01'!I70),0))+IF((140='V06 Calend 01'!D70),'V06 Calend 01'!J70,0))</f>
        <v>0</v>
      </c>
      <c r="EW70" s="2">
        <f>((IF((141='V06 Calend 01'!C70),('V06 Calend 01'!F70+'V06 Calend 01'!G70),0)+IF(AND(('V06 Calend 01'!E70&gt;0),(141&gt;'V06 Calend 01'!C70),(141&lt;'V06 Calend 01'!D70),(MOD((141-'V06 Calend 01'!C70),6)=0),(((141-'V06 Calend 01'!C70)/6)&lt;='V06 Calend 01'!E70)),IF((141=('V06 Calend 01'!C70+(6*'V06 Calend 01'!E70))),('V06 Calend 01'!H70-('V06 Calend 01'!I70*('V06 Calend 01'!E70-1))),'V06 Calend 01'!I70),0))+IF((141='V06 Calend 01'!D70),'V06 Calend 01'!J70,0))</f>
        <v>0</v>
      </c>
      <c r="EX70" s="2">
        <f>((IF((142='V06 Calend 01'!C70),('V06 Calend 01'!F70+'V06 Calend 01'!G70),0)+IF(AND(('V06 Calend 01'!E70&gt;0),(142&gt;'V06 Calend 01'!C70),(142&lt;'V06 Calend 01'!D70),(MOD((142-'V06 Calend 01'!C70),6)=0),(((142-'V06 Calend 01'!C70)/6)&lt;='V06 Calend 01'!E70)),IF((142=('V06 Calend 01'!C70+(6*'V06 Calend 01'!E70))),('V06 Calend 01'!H70-('V06 Calend 01'!I70*('V06 Calend 01'!E70-1))),'V06 Calend 01'!I70),0))+IF((142='V06 Calend 01'!D70),'V06 Calend 01'!J70,0))</f>
        <v>0</v>
      </c>
      <c r="EY70" s="2">
        <f>((IF((143='V06 Calend 01'!C70),('V06 Calend 01'!F70+'V06 Calend 01'!G70),0)+IF(AND(('V06 Calend 01'!E70&gt;0),(143&gt;'V06 Calend 01'!C70),(143&lt;'V06 Calend 01'!D70),(MOD((143-'V06 Calend 01'!C70),6)=0),(((143-'V06 Calend 01'!C70)/6)&lt;='V06 Calend 01'!E70)),IF((143=('V06 Calend 01'!C70+(6*'V06 Calend 01'!E70))),('V06 Calend 01'!H70-('V06 Calend 01'!I70*('V06 Calend 01'!E70-1))),'V06 Calend 01'!I70),0))+IF((143='V06 Calend 01'!D70),'V06 Calend 01'!J70,0))</f>
        <v>0</v>
      </c>
      <c r="EZ70" s="2">
        <f>((IF((144='V06 Calend 01'!C70),('V06 Calend 01'!F70+'V06 Calend 01'!G70),0)+IF(AND(('V06 Calend 01'!E70&gt;0),(144&gt;'V06 Calend 01'!C70),(144&lt;'V06 Calend 01'!D70),(MOD((144-'V06 Calend 01'!C70),6)=0),(((144-'V06 Calend 01'!C70)/6)&lt;='V06 Calend 01'!E70)),IF((144=('V06 Calend 01'!C70+(6*'V06 Calend 01'!E70))),('V06 Calend 01'!H70-('V06 Calend 01'!I70*('V06 Calend 01'!E70-1))),'V06 Calend 01'!I70),0))+IF((144='V06 Calend 01'!D70),'V06 Calend 01'!J70,0))</f>
        <v>0</v>
      </c>
      <c r="FA70" s="2">
        <f>((IF((145='V06 Calend 01'!C70),('V06 Calend 01'!F70+'V06 Calend 01'!G70),0)+IF(AND(('V06 Calend 01'!E70&gt;0),(145&gt;'V06 Calend 01'!C70),(145&lt;'V06 Calend 01'!D70),(MOD((145-'V06 Calend 01'!C70),6)=0),(((145-'V06 Calend 01'!C70)/6)&lt;='V06 Calend 01'!E70)),IF((145=('V06 Calend 01'!C70+(6*'V06 Calend 01'!E70))),('V06 Calend 01'!H70-('V06 Calend 01'!I70*('V06 Calend 01'!E70-1))),'V06 Calend 01'!I70),0))+IF((145='V06 Calend 01'!D70),'V06 Calend 01'!J70,0))</f>
        <v>0</v>
      </c>
      <c r="FB70" s="2">
        <f>((IF((146='V06 Calend 01'!C70),('V06 Calend 01'!F70+'V06 Calend 01'!G70),0)+IF(AND(('V06 Calend 01'!E70&gt;0),(146&gt;'V06 Calend 01'!C70),(146&lt;'V06 Calend 01'!D70),(MOD((146-'V06 Calend 01'!C70),6)=0),(((146-'V06 Calend 01'!C70)/6)&lt;='V06 Calend 01'!E70)),IF((146=('V06 Calend 01'!C70+(6*'V06 Calend 01'!E70))),('V06 Calend 01'!H70-('V06 Calend 01'!I70*('V06 Calend 01'!E70-1))),'V06 Calend 01'!I70),0))+IF((146='V06 Calend 01'!D70),'V06 Calend 01'!J70,0))</f>
        <v>0</v>
      </c>
      <c r="FC70" s="2">
        <f>((IF((147='V06 Calend 01'!C70),('V06 Calend 01'!F70+'V06 Calend 01'!G70),0)+IF(AND(('V06 Calend 01'!E70&gt;0),(147&gt;'V06 Calend 01'!C70),(147&lt;'V06 Calend 01'!D70),(MOD((147-'V06 Calend 01'!C70),6)=0),(((147-'V06 Calend 01'!C70)/6)&lt;='V06 Calend 01'!E70)),IF((147=('V06 Calend 01'!C70+(6*'V06 Calend 01'!E70))),('V06 Calend 01'!H70-('V06 Calend 01'!I70*('V06 Calend 01'!E70-1))),'V06 Calend 01'!I70),0))+IF((147='V06 Calend 01'!D70),'V06 Calend 01'!J70,0))</f>
        <v>0</v>
      </c>
      <c r="FD70" s="2">
        <f>((IF((148='V06 Calend 01'!C70),('V06 Calend 01'!F70+'V06 Calend 01'!G70),0)+IF(AND(('V06 Calend 01'!E70&gt;0),(148&gt;'V06 Calend 01'!C70),(148&lt;'V06 Calend 01'!D70),(MOD((148-'V06 Calend 01'!C70),6)=0),(((148-'V06 Calend 01'!C70)/6)&lt;='V06 Calend 01'!E70)),IF((148=('V06 Calend 01'!C70+(6*'V06 Calend 01'!E70))),('V06 Calend 01'!H70-('V06 Calend 01'!I70*('V06 Calend 01'!E70-1))),'V06 Calend 01'!I70),0))+IF((148='V06 Calend 01'!D70),'V06 Calend 01'!J70,0))</f>
        <v>0</v>
      </c>
      <c r="FE70" s="2">
        <f>((IF((149='V06 Calend 01'!C70),('V06 Calend 01'!F70+'V06 Calend 01'!G70),0)+IF(AND(('V06 Calend 01'!E70&gt;0),(149&gt;'V06 Calend 01'!C70),(149&lt;'V06 Calend 01'!D70),(MOD((149-'V06 Calend 01'!C70),6)=0),(((149-'V06 Calend 01'!C70)/6)&lt;='V06 Calend 01'!E70)),IF((149=('V06 Calend 01'!C70+(6*'V06 Calend 01'!E70))),('V06 Calend 01'!H70-('V06 Calend 01'!I70*('V06 Calend 01'!E70-1))),'V06 Calend 01'!I70),0))+IF((149='V06 Calend 01'!D70),'V06 Calend 01'!J70,0))</f>
        <v>0</v>
      </c>
      <c r="FF70" s="2">
        <f>((IF((150='V06 Calend 01'!C70),('V06 Calend 01'!F70+'V06 Calend 01'!G70),0)+IF(AND(('V06 Calend 01'!E70&gt;0),(150&gt;'V06 Calend 01'!C70),(150&lt;'V06 Calend 01'!D70),(MOD((150-'V06 Calend 01'!C70),6)=0),(((150-'V06 Calend 01'!C70)/6)&lt;='V06 Calend 01'!E70)),IF((150=('V06 Calend 01'!C70+(6*'V06 Calend 01'!E70))),('V06 Calend 01'!H70-('V06 Calend 01'!I70*('V06 Calend 01'!E70-1))),'V06 Calend 01'!I70),0))+IF((150='V06 Calend 01'!D70),'V06 Calend 01'!J70,0))</f>
        <v>0</v>
      </c>
      <c r="FG70" s="2">
        <f>((IF((151='V06 Calend 01'!C70),('V06 Calend 01'!F70+'V06 Calend 01'!G70),0)+IF(AND(('V06 Calend 01'!E70&gt;0),(151&gt;'V06 Calend 01'!C70),(151&lt;'V06 Calend 01'!D70),(MOD((151-'V06 Calend 01'!C70),6)=0),(((151-'V06 Calend 01'!C70)/6)&lt;='V06 Calend 01'!E70)),IF((151=('V06 Calend 01'!C70+(6*'V06 Calend 01'!E70))),('V06 Calend 01'!H70-('V06 Calend 01'!I70*('V06 Calend 01'!E70-1))),'V06 Calend 01'!I70),0))+IF((151='V06 Calend 01'!D70),'V06 Calend 01'!J70,0))</f>
        <v>0</v>
      </c>
      <c r="FH70" s="2">
        <f>((IF((152='V06 Calend 01'!C70),('V06 Calend 01'!F70+'V06 Calend 01'!G70),0)+IF(AND(('V06 Calend 01'!E70&gt;0),(152&gt;'V06 Calend 01'!C70),(152&lt;'V06 Calend 01'!D70),(MOD((152-'V06 Calend 01'!C70),6)=0),(((152-'V06 Calend 01'!C70)/6)&lt;='V06 Calend 01'!E70)),IF((152=('V06 Calend 01'!C70+(6*'V06 Calend 01'!E70))),('V06 Calend 01'!H70-('V06 Calend 01'!I70*('V06 Calend 01'!E70-1))),'V06 Calend 01'!I70),0))+IF((152='V06 Calend 01'!D70),'V06 Calend 01'!J70,0))</f>
        <v>0</v>
      </c>
      <c r="FI70" s="2">
        <f>((IF((153='V06 Calend 01'!C70),('V06 Calend 01'!F70+'V06 Calend 01'!G70),0)+IF(AND(('V06 Calend 01'!E70&gt;0),(153&gt;'V06 Calend 01'!C70),(153&lt;'V06 Calend 01'!D70),(MOD((153-'V06 Calend 01'!C70),6)=0),(((153-'V06 Calend 01'!C70)/6)&lt;='V06 Calend 01'!E70)),IF((153=('V06 Calend 01'!C70+(6*'V06 Calend 01'!E70))),('V06 Calend 01'!H70-('V06 Calend 01'!I70*('V06 Calend 01'!E70-1))),'V06 Calend 01'!I70),0))+IF((153='V06 Calend 01'!D70),'V06 Calend 01'!J70,0))</f>
        <v>0</v>
      </c>
      <c r="FJ70" s="2">
        <f>((IF((154='V06 Calend 01'!C70),('V06 Calend 01'!F70+'V06 Calend 01'!G70),0)+IF(AND(('V06 Calend 01'!E70&gt;0),(154&gt;'V06 Calend 01'!C70),(154&lt;'V06 Calend 01'!D70),(MOD((154-'V06 Calend 01'!C70),6)=0),(((154-'V06 Calend 01'!C70)/6)&lt;='V06 Calend 01'!E70)),IF((154=('V06 Calend 01'!C70+(6*'V06 Calend 01'!E70))),('V06 Calend 01'!H70-('V06 Calend 01'!I70*('V06 Calend 01'!E70-1))),'V06 Calend 01'!I70),0))+IF((154='V06 Calend 01'!D70),'V06 Calend 01'!J70,0))</f>
        <v>0</v>
      </c>
      <c r="FK70" s="2">
        <f>((IF((155='V06 Calend 01'!C70),('V06 Calend 01'!F70+'V06 Calend 01'!G70),0)+IF(AND(('V06 Calend 01'!E70&gt;0),(155&gt;'V06 Calend 01'!C70),(155&lt;'V06 Calend 01'!D70),(MOD((155-'V06 Calend 01'!C70),6)=0),(((155-'V06 Calend 01'!C70)/6)&lt;='V06 Calend 01'!E70)),IF((155=('V06 Calend 01'!C70+(6*'V06 Calend 01'!E70))),('V06 Calend 01'!H70-('V06 Calend 01'!I70*('V06 Calend 01'!E70-1))),'V06 Calend 01'!I70),0))+IF((155='V06 Calend 01'!D70),'V06 Calend 01'!J70,0))</f>
        <v>0</v>
      </c>
      <c r="FL70" s="2">
        <f>((IF((156='V06 Calend 01'!C70),('V06 Calend 01'!F70+'V06 Calend 01'!G70),0)+IF(AND(('V06 Calend 01'!E70&gt;0),(156&gt;'V06 Calend 01'!C70),(156&lt;'V06 Calend 01'!D70),(MOD((156-'V06 Calend 01'!C70),6)=0),(((156-'V06 Calend 01'!C70)/6)&lt;='V06 Calend 01'!E70)),IF((156=('V06 Calend 01'!C70+(6*'V06 Calend 01'!E70))),('V06 Calend 01'!H70-('V06 Calend 01'!I70*('V06 Calend 01'!E70-1))),'V06 Calend 01'!I70),0))+IF((156='V06 Calend 01'!D70),'V06 Calend 01'!J70,0))</f>
        <v>0</v>
      </c>
      <c r="FM70" s="2">
        <f>((IF((157='V06 Calend 01'!C70),('V06 Calend 01'!F70+'V06 Calend 01'!G70),0)+IF(AND(('V06 Calend 01'!E70&gt;0),(157&gt;'V06 Calend 01'!C70),(157&lt;'V06 Calend 01'!D70),(MOD((157-'V06 Calend 01'!C70),6)=0),(((157-'V06 Calend 01'!C70)/6)&lt;='V06 Calend 01'!E70)),IF((157=('V06 Calend 01'!C70+(6*'V06 Calend 01'!E70))),('V06 Calend 01'!H70-('V06 Calend 01'!I70*('V06 Calend 01'!E70-1))),'V06 Calend 01'!I70),0))+IF((157='V06 Calend 01'!D70),'V06 Calend 01'!J70,0))</f>
        <v>0</v>
      </c>
      <c r="FN70" s="2">
        <f>((IF((158='V06 Calend 01'!C70),('V06 Calend 01'!F70+'V06 Calend 01'!G70),0)+IF(AND(('V06 Calend 01'!E70&gt;0),(158&gt;'V06 Calend 01'!C70),(158&lt;'V06 Calend 01'!D70),(MOD((158-'V06 Calend 01'!C70),6)=0),(((158-'V06 Calend 01'!C70)/6)&lt;='V06 Calend 01'!E70)),IF((158=('V06 Calend 01'!C70+(6*'V06 Calend 01'!E70))),('V06 Calend 01'!H70-('V06 Calend 01'!I70*('V06 Calend 01'!E70-1))),'V06 Calend 01'!I70),0))+IF((158='V06 Calend 01'!D70),'V06 Calend 01'!J70,0))</f>
        <v>0</v>
      </c>
      <c r="FO70" s="2">
        <f>((IF((159='V06 Calend 01'!C70),('V06 Calend 01'!F70+'V06 Calend 01'!G70),0)+IF(AND(('V06 Calend 01'!E70&gt;0),(159&gt;'V06 Calend 01'!C70),(159&lt;'V06 Calend 01'!D70),(MOD((159-'V06 Calend 01'!C70),6)=0),(((159-'V06 Calend 01'!C70)/6)&lt;='V06 Calend 01'!E70)),IF((159=('V06 Calend 01'!C70+(6*'V06 Calend 01'!E70))),('V06 Calend 01'!H70-('V06 Calend 01'!I70*('V06 Calend 01'!E70-1))),'V06 Calend 01'!I70),0))+IF((159='V06 Calend 01'!D70),'V06 Calend 01'!J70,0))</f>
        <v>0</v>
      </c>
      <c r="FP70" s="2">
        <f>((IF((160='V06 Calend 01'!C70),('V06 Calend 01'!F70+'V06 Calend 01'!G70),0)+IF(AND(('V06 Calend 01'!E70&gt;0),(160&gt;'V06 Calend 01'!C70),(160&lt;'V06 Calend 01'!D70),(MOD((160-'V06 Calend 01'!C70),6)=0),(((160-'V06 Calend 01'!C70)/6)&lt;='V06 Calend 01'!E70)),IF((160=('V06 Calend 01'!C70+(6*'V06 Calend 01'!E70))),('V06 Calend 01'!H70-('V06 Calend 01'!I70*('V06 Calend 01'!E70-1))),'V06 Calend 01'!I70),0))+IF((160='V06 Calend 01'!D70),'V06 Calend 01'!J70,0))</f>
        <v>0</v>
      </c>
      <c r="FQ70" s="2">
        <f>((IF((161='V06 Calend 01'!C70),('V06 Calend 01'!F70+'V06 Calend 01'!G70),0)+IF(AND(('V06 Calend 01'!E70&gt;0),(161&gt;'V06 Calend 01'!C70),(161&lt;'V06 Calend 01'!D70),(MOD((161-'V06 Calend 01'!C70),6)=0),(((161-'V06 Calend 01'!C70)/6)&lt;='V06 Calend 01'!E70)),IF((161=('V06 Calend 01'!C70+(6*'V06 Calend 01'!E70))),('V06 Calend 01'!H70-('V06 Calend 01'!I70*('V06 Calend 01'!E70-1))),'V06 Calend 01'!I70),0))+IF((161='V06 Calend 01'!D70),'V06 Calend 01'!J70,0))</f>
        <v>0</v>
      </c>
      <c r="FR70" s="2">
        <f>((IF((162='V06 Calend 01'!C70),('V06 Calend 01'!F70+'V06 Calend 01'!G70),0)+IF(AND(('V06 Calend 01'!E70&gt;0),(162&gt;'V06 Calend 01'!C70),(162&lt;'V06 Calend 01'!D70),(MOD((162-'V06 Calend 01'!C70),6)=0),(((162-'V06 Calend 01'!C70)/6)&lt;='V06 Calend 01'!E70)),IF((162=('V06 Calend 01'!C70+(6*'V06 Calend 01'!E70))),('V06 Calend 01'!H70-('V06 Calend 01'!I70*('V06 Calend 01'!E70-1))),'V06 Calend 01'!I70),0))+IF((162='V06 Calend 01'!D70),'V06 Calend 01'!J70,0))</f>
        <v>0</v>
      </c>
      <c r="FS70" s="2">
        <f>((IF((163='V06 Calend 01'!C70),('V06 Calend 01'!F70+'V06 Calend 01'!G70),0)+IF(AND(('V06 Calend 01'!E70&gt;0),(163&gt;'V06 Calend 01'!C70),(163&lt;'V06 Calend 01'!D70),(MOD((163-'V06 Calend 01'!C70),6)=0),(((163-'V06 Calend 01'!C70)/6)&lt;='V06 Calend 01'!E70)),IF((163=('V06 Calend 01'!C70+(6*'V06 Calend 01'!E70))),('V06 Calend 01'!H70-('V06 Calend 01'!I70*('V06 Calend 01'!E70-1))),'V06 Calend 01'!I70),0))+IF((163='V06 Calend 01'!D70),'V06 Calend 01'!J70,0))</f>
        <v>0</v>
      </c>
      <c r="FT70" s="2">
        <f>((IF((164='V06 Calend 01'!C70),('V06 Calend 01'!F70+'V06 Calend 01'!G70),0)+IF(AND(('V06 Calend 01'!E70&gt;0),(164&gt;'V06 Calend 01'!C70),(164&lt;'V06 Calend 01'!D70),(MOD((164-'V06 Calend 01'!C70),6)=0),(((164-'V06 Calend 01'!C70)/6)&lt;='V06 Calend 01'!E70)),IF((164=('V06 Calend 01'!C70+(6*'V06 Calend 01'!E70))),('V06 Calend 01'!H70-('V06 Calend 01'!I70*('V06 Calend 01'!E70-1))),'V06 Calend 01'!I70),0))+IF((164='V06 Calend 01'!D70),'V06 Calend 01'!J70,0))</f>
        <v>0</v>
      </c>
      <c r="FU70" s="2">
        <f>((IF((165='V06 Calend 01'!C70),('V06 Calend 01'!F70+'V06 Calend 01'!G70),0)+IF(AND(('V06 Calend 01'!E70&gt;0),(165&gt;'V06 Calend 01'!C70),(165&lt;'V06 Calend 01'!D70),(MOD((165-'V06 Calend 01'!C70),6)=0),(((165-'V06 Calend 01'!C70)/6)&lt;='V06 Calend 01'!E70)),IF((165=('V06 Calend 01'!C70+(6*'V06 Calend 01'!E70))),('V06 Calend 01'!H70-('V06 Calend 01'!I70*('V06 Calend 01'!E70-1))),'V06 Calend 01'!I70),0))+IF((165='V06 Calend 01'!D70),'V06 Calend 01'!J70,0))</f>
        <v>0</v>
      </c>
      <c r="FV70" s="2">
        <f>((IF((166='V06 Calend 01'!C70),('V06 Calend 01'!F70+'V06 Calend 01'!G70),0)+IF(AND(('V06 Calend 01'!E70&gt;0),(166&gt;'V06 Calend 01'!C70),(166&lt;'V06 Calend 01'!D70),(MOD((166-'V06 Calend 01'!C70),6)=0),(((166-'V06 Calend 01'!C70)/6)&lt;='V06 Calend 01'!E70)),IF((166=('V06 Calend 01'!C70+(6*'V06 Calend 01'!E70))),('V06 Calend 01'!H70-('V06 Calend 01'!I70*('V06 Calend 01'!E70-1))),'V06 Calend 01'!I70),0))+IF((166='V06 Calend 01'!D70),'V06 Calend 01'!J70,0))</f>
        <v>0</v>
      </c>
      <c r="FW70" s="2">
        <f>((IF((167='V06 Calend 01'!C70),('V06 Calend 01'!F70+'V06 Calend 01'!G70),0)+IF(AND(('V06 Calend 01'!E70&gt;0),(167&gt;'V06 Calend 01'!C70),(167&lt;'V06 Calend 01'!D70),(MOD((167-'V06 Calend 01'!C70),6)=0),(((167-'V06 Calend 01'!C70)/6)&lt;='V06 Calend 01'!E70)),IF((167=('V06 Calend 01'!C70+(6*'V06 Calend 01'!E70))),('V06 Calend 01'!H70-('V06 Calend 01'!I70*('V06 Calend 01'!E70-1))),'V06 Calend 01'!I70),0))+IF((167='V06 Calend 01'!D70),'V06 Calend 01'!J70,0))</f>
        <v>0</v>
      </c>
      <c r="FX70" s="2">
        <f>((IF((168='V06 Calend 01'!C70),('V06 Calend 01'!F70+'V06 Calend 01'!G70),0)+IF(AND(('V06 Calend 01'!E70&gt;0),(168&gt;'V06 Calend 01'!C70),(168&lt;'V06 Calend 01'!D70),(MOD((168-'V06 Calend 01'!C70),6)=0),(((168-'V06 Calend 01'!C70)/6)&lt;='V06 Calend 01'!E70)),IF((168=('V06 Calend 01'!C70+(6*'V06 Calend 01'!E70))),('V06 Calend 01'!H70-('V06 Calend 01'!I70*('V06 Calend 01'!E70-1))),'V06 Calend 01'!I70),0))+IF((168='V06 Calend 01'!D70),'V06 Calend 01'!J70,0))</f>
        <v>0</v>
      </c>
      <c r="FY70" s="2">
        <f>((IF((169='V06 Calend 01'!C70),('V06 Calend 01'!F70+'V06 Calend 01'!G70),0)+IF(AND(('V06 Calend 01'!E70&gt;0),(169&gt;'V06 Calend 01'!C70),(169&lt;'V06 Calend 01'!D70),(MOD((169-'V06 Calend 01'!C70),6)=0),(((169-'V06 Calend 01'!C70)/6)&lt;='V06 Calend 01'!E70)),IF((169=('V06 Calend 01'!C70+(6*'V06 Calend 01'!E70))),('V06 Calend 01'!H70-('V06 Calend 01'!I70*('V06 Calend 01'!E70-1))),'V06 Calend 01'!I70),0))+IF((169='V06 Calend 01'!D70),'V06 Calend 01'!J70,0))</f>
        <v>0</v>
      </c>
      <c r="FZ70" s="2">
        <f>((IF((170='V06 Calend 01'!C70),('V06 Calend 01'!F70+'V06 Calend 01'!G70),0)+IF(AND(('V06 Calend 01'!E70&gt;0),(170&gt;'V06 Calend 01'!C70),(170&lt;'V06 Calend 01'!D70),(MOD((170-'V06 Calend 01'!C70),6)=0),(((170-'V06 Calend 01'!C70)/6)&lt;='V06 Calend 01'!E70)),IF((170=('V06 Calend 01'!C70+(6*'V06 Calend 01'!E70))),('V06 Calend 01'!H70-('V06 Calend 01'!I70*('V06 Calend 01'!E70-1))),'V06 Calend 01'!I70),0))+IF((170='V06 Calend 01'!D70),'V06 Calend 01'!J70,0))</f>
        <v>0</v>
      </c>
      <c r="GA70" s="2">
        <f>((IF((171='V06 Calend 01'!C70),('V06 Calend 01'!F70+'V06 Calend 01'!G70),0)+IF(AND(('V06 Calend 01'!E70&gt;0),(171&gt;'V06 Calend 01'!C70),(171&lt;'V06 Calend 01'!D70),(MOD((171-'V06 Calend 01'!C70),6)=0),(((171-'V06 Calend 01'!C70)/6)&lt;='V06 Calend 01'!E70)),IF((171=('V06 Calend 01'!C70+(6*'V06 Calend 01'!E70))),('V06 Calend 01'!H70-('V06 Calend 01'!I70*('V06 Calend 01'!E70-1))),'V06 Calend 01'!I70),0))+IF((171='V06 Calend 01'!D70),'V06 Calend 01'!J70,0))</f>
        <v>0</v>
      </c>
      <c r="GB70" s="2">
        <f>((IF((172='V06 Calend 01'!C70),('V06 Calend 01'!F70+'V06 Calend 01'!G70),0)+IF(AND(('V06 Calend 01'!E70&gt;0),(172&gt;'V06 Calend 01'!C70),(172&lt;'V06 Calend 01'!D70),(MOD((172-'V06 Calend 01'!C70),6)=0),(((172-'V06 Calend 01'!C70)/6)&lt;='V06 Calend 01'!E70)),IF((172=('V06 Calend 01'!C70+(6*'V06 Calend 01'!E70))),('V06 Calend 01'!H70-('V06 Calend 01'!I70*('V06 Calend 01'!E70-1))),'V06 Calend 01'!I70),0))+IF((172='V06 Calend 01'!D70),'V06 Calend 01'!J70,0))</f>
        <v>0</v>
      </c>
      <c r="GC70" s="2">
        <f>((IF((173='V06 Calend 01'!C70),('V06 Calend 01'!F70+'V06 Calend 01'!G70),0)+IF(AND(('V06 Calend 01'!E70&gt;0),(173&gt;'V06 Calend 01'!C70),(173&lt;'V06 Calend 01'!D70),(MOD((173-'V06 Calend 01'!C70),6)=0),(((173-'V06 Calend 01'!C70)/6)&lt;='V06 Calend 01'!E70)),IF((173=('V06 Calend 01'!C70+(6*'V06 Calend 01'!E70))),('V06 Calend 01'!H70-('V06 Calend 01'!I70*('V06 Calend 01'!E70-1))),'V06 Calend 01'!I70),0))+IF((173='V06 Calend 01'!D70),'V06 Calend 01'!J70,0))</f>
        <v>0</v>
      </c>
      <c r="GD70" s="2">
        <f>((IF((174='V06 Calend 01'!C70),('V06 Calend 01'!F70+'V06 Calend 01'!G70),0)+IF(AND(('V06 Calend 01'!E70&gt;0),(174&gt;'V06 Calend 01'!C70),(174&lt;'V06 Calend 01'!D70),(MOD((174-'V06 Calend 01'!C70),6)=0),(((174-'V06 Calend 01'!C70)/6)&lt;='V06 Calend 01'!E70)),IF((174=('V06 Calend 01'!C70+(6*'V06 Calend 01'!E70))),('V06 Calend 01'!H70-('V06 Calend 01'!I70*('V06 Calend 01'!E70-1))),'V06 Calend 01'!I70),0))+IF((174='V06 Calend 01'!D70),'V06 Calend 01'!J70,0))</f>
        <v>0</v>
      </c>
      <c r="GE70" s="2">
        <f>((IF((175='V06 Calend 01'!C70),('V06 Calend 01'!F70+'V06 Calend 01'!G70),0)+IF(AND(('V06 Calend 01'!E70&gt;0),(175&gt;'V06 Calend 01'!C70),(175&lt;'V06 Calend 01'!D70),(MOD((175-'V06 Calend 01'!C70),6)=0),(((175-'V06 Calend 01'!C70)/6)&lt;='V06 Calend 01'!E70)),IF((175=('V06 Calend 01'!C70+(6*'V06 Calend 01'!E70))),('V06 Calend 01'!H70-('V06 Calend 01'!I70*('V06 Calend 01'!E70-1))),'V06 Calend 01'!I70),0))+IF((175='V06 Calend 01'!D70),'V06 Calend 01'!J70,0))</f>
        <v>0</v>
      </c>
      <c r="GF70" s="2">
        <f>((IF((176='V06 Calend 01'!C70),('V06 Calend 01'!F70+'V06 Calend 01'!G70),0)+IF(AND(('V06 Calend 01'!E70&gt;0),(176&gt;'V06 Calend 01'!C70),(176&lt;'V06 Calend 01'!D70),(MOD((176-'V06 Calend 01'!C70),6)=0),(((176-'V06 Calend 01'!C70)/6)&lt;='V06 Calend 01'!E70)),IF((176=('V06 Calend 01'!C70+(6*'V06 Calend 01'!E70))),('V06 Calend 01'!H70-('V06 Calend 01'!I70*('V06 Calend 01'!E70-1))),'V06 Calend 01'!I70),0))+IF((176='V06 Calend 01'!D70),'V06 Calend 01'!J70,0))</f>
        <v>0</v>
      </c>
      <c r="GG70" s="2">
        <f>((IF((177='V06 Calend 01'!C70),('V06 Calend 01'!F70+'V06 Calend 01'!G70),0)+IF(AND(('V06 Calend 01'!E70&gt;0),(177&gt;'V06 Calend 01'!C70),(177&lt;'V06 Calend 01'!D70),(MOD((177-'V06 Calend 01'!C70),6)=0),(((177-'V06 Calend 01'!C70)/6)&lt;='V06 Calend 01'!E70)),IF((177=('V06 Calend 01'!C70+(6*'V06 Calend 01'!E70))),('V06 Calend 01'!H70-('V06 Calend 01'!I70*('V06 Calend 01'!E70-1))),'V06 Calend 01'!I70),0))+IF((177='V06 Calend 01'!D70),'V06 Calend 01'!J70,0))</f>
        <v>0</v>
      </c>
      <c r="GH70" s="2">
        <f>((IF((178='V06 Calend 01'!C70),('V06 Calend 01'!F70+'V06 Calend 01'!G70),0)+IF(AND(('V06 Calend 01'!E70&gt;0),(178&gt;'V06 Calend 01'!C70),(178&lt;'V06 Calend 01'!D70),(MOD((178-'V06 Calend 01'!C70),6)=0),(((178-'V06 Calend 01'!C70)/6)&lt;='V06 Calend 01'!E70)),IF((178=('V06 Calend 01'!C70+(6*'V06 Calend 01'!E70))),('V06 Calend 01'!H70-('V06 Calend 01'!I70*('V06 Calend 01'!E70-1))),'V06 Calend 01'!I70),0))+IF((178='V06 Calend 01'!D70),'V06 Calend 01'!J70,0))</f>
        <v>0</v>
      </c>
      <c r="GI70" s="2">
        <f>((IF((179='V06 Calend 01'!C70),('V06 Calend 01'!F70+'V06 Calend 01'!G70),0)+IF(AND(('V06 Calend 01'!E70&gt;0),(179&gt;'V06 Calend 01'!C70),(179&lt;'V06 Calend 01'!D70),(MOD((179-'V06 Calend 01'!C70),6)=0),(((179-'V06 Calend 01'!C70)/6)&lt;='V06 Calend 01'!E70)),IF((179=('V06 Calend 01'!C70+(6*'V06 Calend 01'!E70))),('V06 Calend 01'!H70-('V06 Calend 01'!I70*('V06 Calend 01'!E70-1))),'V06 Calend 01'!I70),0))+IF((179='V06 Calend 01'!D70),'V06 Calend 01'!J70,0))</f>
        <v>0</v>
      </c>
      <c r="GJ70" s="2">
        <f>((IF((180='V06 Calend 01'!C70),('V06 Calend 01'!F70+'V06 Calend 01'!G70),0)+IF(AND(('V06 Calend 01'!E70&gt;0),(180&gt;'V06 Calend 01'!C70),(180&lt;'V06 Calend 01'!D70),(MOD((180-'V06 Calend 01'!C70),6)=0),(((180-'V06 Calend 01'!C70)/6)&lt;='V06 Calend 01'!E70)),IF((180=('V06 Calend 01'!C70+(6*'V06 Calend 01'!E70))),('V06 Calend 01'!H70-('V06 Calend 01'!I70*('V06 Calend 01'!E70-1))),'V06 Calend 01'!I70),0))+IF((180='V06 Calend 01'!D70),'V06 Calend 01'!J70,0))</f>
        <v>0</v>
      </c>
    </row>
    <row r="71" spans="1:192">
      <c r="A71" s="3" t="str">
        <f>'V06 Unidades'!$A$71</f>
        <v>807</v>
      </c>
      <c r="B71" s="2">
        <f>'V06 Unidades'!$H$71</f>
        <v>378524.82</v>
      </c>
      <c r="C71" s="4">
        <f>('V06 Unidades'!$I$71+'V06 Controlos'!$B$37)</f>
        <v>19</v>
      </c>
      <c r="D71" s="4">
        <f>IF(('V06 Controlos'!$B$38&gt;0),MAX(('V06 Unidades'!$L$71+'V06 Controlos'!$B$37),(30+'V06 Controlos'!$B$38)),('V06 Unidades'!$L$71+'V06 Controlos'!$B$37))</f>
        <v>28</v>
      </c>
      <c r="E71" s="4">
        <f>MAX(0,INT(((('V06 Calend 01'!D71-'V06 Calend 01'!C71)-1)/6)))</f>
        <v>1</v>
      </c>
      <c r="F71" s="2">
        <f>ROUND(('V06 Calend 01'!B71*0.05),2)</f>
        <v>18926.24</v>
      </c>
      <c r="G71" s="2">
        <f>ROUND(('V06 Calend 01'!B71*0.2),2)</f>
        <v>75704.96</v>
      </c>
      <c r="H71" s="2">
        <f>ROUND(('V06 Calend 01'!B71*0.55),2)</f>
        <v>208188.65</v>
      </c>
      <c r="I71" s="2">
        <f>ROUND(('V06 Calend 01'!H71/MAX(1,'V06 Calend 01'!E71)),2)</f>
        <v>208188.65</v>
      </c>
      <c r="J71" s="2">
        <f>((('V06 Calend 01'!B71-'V06 Calend 01'!F71)-'V06 Calend 01'!G71)-'V06 Calend 01'!H71)</f>
        <v>75704.97</v>
      </c>
      <c r="K71" s="2">
        <f>('V06 Calend 01'!B71*0.025)</f>
        <v>9463.1205</v>
      </c>
      <c r="L71" t="s">
        <v>378</v>
      </c>
      <c r="M71" s="2">
        <f>((IF((1='V06 Calend 01'!C71),('V06 Calend 01'!F71+'V06 Calend 01'!G71),0)+IF(AND(('V06 Calend 01'!E71&gt;0),(1&gt;'V06 Calend 01'!C71),(1&lt;'V06 Calend 01'!D71),(MOD((1-'V06 Calend 01'!C71),6)=0),(((1-'V06 Calend 01'!C71)/6)&lt;='V06 Calend 01'!E71)),IF((1=('V06 Calend 01'!C71+(6*'V06 Calend 01'!E71))),('V06 Calend 01'!H71-('V06 Calend 01'!I71*('V06 Calend 01'!E71-1))),'V06 Calend 01'!I71),0))+IF((1='V06 Calend 01'!D71),'V06 Calend 01'!J71,0))</f>
        <v>0</v>
      </c>
      <c r="N71" s="2">
        <f>((IF((2='V06 Calend 01'!C71),('V06 Calend 01'!F71+'V06 Calend 01'!G71),0)+IF(AND(('V06 Calend 01'!E71&gt;0),(2&gt;'V06 Calend 01'!C71),(2&lt;'V06 Calend 01'!D71),(MOD((2-'V06 Calend 01'!C71),6)=0),(((2-'V06 Calend 01'!C71)/6)&lt;='V06 Calend 01'!E71)),IF((2=('V06 Calend 01'!C71+(6*'V06 Calend 01'!E71))),('V06 Calend 01'!H71-('V06 Calend 01'!I71*('V06 Calend 01'!E71-1))),'V06 Calend 01'!I71),0))+IF((2='V06 Calend 01'!D71),'V06 Calend 01'!J71,0))</f>
        <v>0</v>
      </c>
      <c r="O71" s="2">
        <f>((IF((3='V06 Calend 01'!C71),('V06 Calend 01'!F71+'V06 Calend 01'!G71),0)+IF(AND(('V06 Calend 01'!E71&gt;0),(3&gt;'V06 Calend 01'!C71),(3&lt;'V06 Calend 01'!D71),(MOD((3-'V06 Calend 01'!C71),6)=0),(((3-'V06 Calend 01'!C71)/6)&lt;='V06 Calend 01'!E71)),IF((3=('V06 Calend 01'!C71+(6*'V06 Calend 01'!E71))),('V06 Calend 01'!H71-('V06 Calend 01'!I71*('V06 Calend 01'!E71-1))),'V06 Calend 01'!I71),0))+IF((3='V06 Calend 01'!D71),'V06 Calend 01'!J71,0))</f>
        <v>0</v>
      </c>
      <c r="P71" s="2">
        <f>((IF((4='V06 Calend 01'!C71),('V06 Calend 01'!F71+'V06 Calend 01'!G71),0)+IF(AND(('V06 Calend 01'!E71&gt;0),(4&gt;'V06 Calend 01'!C71),(4&lt;'V06 Calend 01'!D71),(MOD((4-'V06 Calend 01'!C71),6)=0),(((4-'V06 Calend 01'!C71)/6)&lt;='V06 Calend 01'!E71)),IF((4=('V06 Calend 01'!C71+(6*'V06 Calend 01'!E71))),('V06 Calend 01'!H71-('V06 Calend 01'!I71*('V06 Calend 01'!E71-1))),'V06 Calend 01'!I71),0))+IF((4='V06 Calend 01'!D71),'V06 Calend 01'!J71,0))</f>
        <v>0</v>
      </c>
      <c r="Q71" s="2">
        <f>((IF((5='V06 Calend 01'!C71),('V06 Calend 01'!F71+'V06 Calend 01'!G71),0)+IF(AND(('V06 Calend 01'!E71&gt;0),(5&gt;'V06 Calend 01'!C71),(5&lt;'V06 Calend 01'!D71),(MOD((5-'V06 Calend 01'!C71),6)=0),(((5-'V06 Calend 01'!C71)/6)&lt;='V06 Calend 01'!E71)),IF((5=('V06 Calend 01'!C71+(6*'V06 Calend 01'!E71))),('V06 Calend 01'!H71-('V06 Calend 01'!I71*('V06 Calend 01'!E71-1))),'V06 Calend 01'!I71),0))+IF((5='V06 Calend 01'!D71),'V06 Calend 01'!J71,0))</f>
        <v>0</v>
      </c>
      <c r="R71" s="2">
        <f>((IF((6='V06 Calend 01'!C71),('V06 Calend 01'!F71+'V06 Calend 01'!G71),0)+IF(AND(('V06 Calend 01'!E71&gt;0),(6&gt;'V06 Calend 01'!C71),(6&lt;'V06 Calend 01'!D71),(MOD((6-'V06 Calend 01'!C71),6)=0),(((6-'V06 Calend 01'!C71)/6)&lt;='V06 Calend 01'!E71)),IF((6=('V06 Calend 01'!C71+(6*'V06 Calend 01'!E71))),('V06 Calend 01'!H71-('V06 Calend 01'!I71*('V06 Calend 01'!E71-1))),'V06 Calend 01'!I71),0))+IF((6='V06 Calend 01'!D71),'V06 Calend 01'!J71,0))</f>
        <v>0</v>
      </c>
      <c r="S71" s="2">
        <f>((IF((7='V06 Calend 01'!C71),('V06 Calend 01'!F71+'V06 Calend 01'!G71),0)+IF(AND(('V06 Calend 01'!E71&gt;0),(7&gt;'V06 Calend 01'!C71),(7&lt;'V06 Calend 01'!D71),(MOD((7-'V06 Calend 01'!C71),6)=0),(((7-'V06 Calend 01'!C71)/6)&lt;='V06 Calend 01'!E71)),IF((7=('V06 Calend 01'!C71+(6*'V06 Calend 01'!E71))),('V06 Calend 01'!H71-('V06 Calend 01'!I71*('V06 Calend 01'!E71-1))),'V06 Calend 01'!I71),0))+IF((7='V06 Calend 01'!D71),'V06 Calend 01'!J71,0))</f>
        <v>0</v>
      </c>
      <c r="T71" s="2">
        <f>((IF((8='V06 Calend 01'!C71),('V06 Calend 01'!F71+'V06 Calend 01'!G71),0)+IF(AND(('V06 Calend 01'!E71&gt;0),(8&gt;'V06 Calend 01'!C71),(8&lt;'V06 Calend 01'!D71),(MOD((8-'V06 Calend 01'!C71),6)=0),(((8-'V06 Calend 01'!C71)/6)&lt;='V06 Calend 01'!E71)),IF((8=('V06 Calend 01'!C71+(6*'V06 Calend 01'!E71))),('V06 Calend 01'!H71-('V06 Calend 01'!I71*('V06 Calend 01'!E71-1))),'V06 Calend 01'!I71),0))+IF((8='V06 Calend 01'!D71),'V06 Calend 01'!J71,0))</f>
        <v>0</v>
      </c>
      <c r="U71" s="2">
        <f>((IF((9='V06 Calend 01'!C71),('V06 Calend 01'!F71+'V06 Calend 01'!G71),0)+IF(AND(('V06 Calend 01'!E71&gt;0),(9&gt;'V06 Calend 01'!C71),(9&lt;'V06 Calend 01'!D71),(MOD((9-'V06 Calend 01'!C71),6)=0),(((9-'V06 Calend 01'!C71)/6)&lt;='V06 Calend 01'!E71)),IF((9=('V06 Calend 01'!C71+(6*'V06 Calend 01'!E71))),('V06 Calend 01'!H71-('V06 Calend 01'!I71*('V06 Calend 01'!E71-1))),'V06 Calend 01'!I71),0))+IF((9='V06 Calend 01'!D71),'V06 Calend 01'!J71,0))</f>
        <v>0</v>
      </c>
      <c r="V71" s="2">
        <f>((IF((10='V06 Calend 01'!C71),('V06 Calend 01'!F71+'V06 Calend 01'!G71),0)+IF(AND(('V06 Calend 01'!E71&gt;0),(10&gt;'V06 Calend 01'!C71),(10&lt;'V06 Calend 01'!D71),(MOD((10-'V06 Calend 01'!C71),6)=0),(((10-'V06 Calend 01'!C71)/6)&lt;='V06 Calend 01'!E71)),IF((10=('V06 Calend 01'!C71+(6*'V06 Calend 01'!E71))),('V06 Calend 01'!H71-('V06 Calend 01'!I71*('V06 Calend 01'!E71-1))),'V06 Calend 01'!I71),0))+IF((10='V06 Calend 01'!D71),'V06 Calend 01'!J71,0))</f>
        <v>0</v>
      </c>
      <c r="W71" s="2">
        <f>((IF((11='V06 Calend 01'!C71),('V06 Calend 01'!F71+'V06 Calend 01'!G71),0)+IF(AND(('V06 Calend 01'!E71&gt;0),(11&gt;'V06 Calend 01'!C71),(11&lt;'V06 Calend 01'!D71),(MOD((11-'V06 Calend 01'!C71),6)=0),(((11-'V06 Calend 01'!C71)/6)&lt;='V06 Calend 01'!E71)),IF((11=('V06 Calend 01'!C71+(6*'V06 Calend 01'!E71))),('V06 Calend 01'!H71-('V06 Calend 01'!I71*('V06 Calend 01'!E71-1))),'V06 Calend 01'!I71),0))+IF((11='V06 Calend 01'!D71),'V06 Calend 01'!J71,0))</f>
        <v>0</v>
      </c>
      <c r="X71" s="2">
        <f>((IF((12='V06 Calend 01'!C71),('V06 Calend 01'!F71+'V06 Calend 01'!G71),0)+IF(AND(('V06 Calend 01'!E71&gt;0),(12&gt;'V06 Calend 01'!C71),(12&lt;'V06 Calend 01'!D71),(MOD((12-'V06 Calend 01'!C71),6)=0),(((12-'V06 Calend 01'!C71)/6)&lt;='V06 Calend 01'!E71)),IF((12=('V06 Calend 01'!C71+(6*'V06 Calend 01'!E71))),('V06 Calend 01'!H71-('V06 Calend 01'!I71*('V06 Calend 01'!E71-1))),'V06 Calend 01'!I71),0))+IF((12='V06 Calend 01'!D71),'V06 Calend 01'!J71,0))</f>
        <v>0</v>
      </c>
      <c r="Y71" s="2">
        <f>((IF((13='V06 Calend 01'!C71),('V06 Calend 01'!F71+'V06 Calend 01'!G71),0)+IF(AND(('V06 Calend 01'!E71&gt;0),(13&gt;'V06 Calend 01'!C71),(13&lt;'V06 Calend 01'!D71),(MOD((13-'V06 Calend 01'!C71),6)=0),(((13-'V06 Calend 01'!C71)/6)&lt;='V06 Calend 01'!E71)),IF((13=('V06 Calend 01'!C71+(6*'V06 Calend 01'!E71))),('V06 Calend 01'!H71-('V06 Calend 01'!I71*('V06 Calend 01'!E71-1))),'V06 Calend 01'!I71),0))+IF((13='V06 Calend 01'!D71),'V06 Calend 01'!J71,0))</f>
        <v>0</v>
      </c>
      <c r="Z71" s="2">
        <f>((IF((14='V06 Calend 01'!C71),('V06 Calend 01'!F71+'V06 Calend 01'!G71),0)+IF(AND(('V06 Calend 01'!E71&gt;0),(14&gt;'V06 Calend 01'!C71),(14&lt;'V06 Calend 01'!D71),(MOD((14-'V06 Calend 01'!C71),6)=0),(((14-'V06 Calend 01'!C71)/6)&lt;='V06 Calend 01'!E71)),IF((14=('V06 Calend 01'!C71+(6*'V06 Calend 01'!E71))),('V06 Calend 01'!H71-('V06 Calend 01'!I71*('V06 Calend 01'!E71-1))),'V06 Calend 01'!I71),0))+IF((14='V06 Calend 01'!D71),'V06 Calend 01'!J71,0))</f>
        <v>0</v>
      </c>
      <c r="AA71" s="2">
        <f>((IF((15='V06 Calend 01'!C71),('V06 Calend 01'!F71+'V06 Calend 01'!G71),0)+IF(AND(('V06 Calend 01'!E71&gt;0),(15&gt;'V06 Calend 01'!C71),(15&lt;'V06 Calend 01'!D71),(MOD((15-'V06 Calend 01'!C71),6)=0),(((15-'V06 Calend 01'!C71)/6)&lt;='V06 Calend 01'!E71)),IF((15=('V06 Calend 01'!C71+(6*'V06 Calend 01'!E71))),('V06 Calend 01'!H71-('V06 Calend 01'!I71*('V06 Calend 01'!E71-1))),'V06 Calend 01'!I71),0))+IF((15='V06 Calend 01'!D71),'V06 Calend 01'!J71,0))</f>
        <v>0</v>
      </c>
      <c r="AB71" s="2">
        <f>((IF((16='V06 Calend 01'!C71),('V06 Calend 01'!F71+'V06 Calend 01'!G71),0)+IF(AND(('V06 Calend 01'!E71&gt;0),(16&gt;'V06 Calend 01'!C71),(16&lt;'V06 Calend 01'!D71),(MOD((16-'V06 Calend 01'!C71),6)=0),(((16-'V06 Calend 01'!C71)/6)&lt;='V06 Calend 01'!E71)),IF((16=('V06 Calend 01'!C71+(6*'V06 Calend 01'!E71))),('V06 Calend 01'!H71-('V06 Calend 01'!I71*('V06 Calend 01'!E71-1))),'V06 Calend 01'!I71),0))+IF((16='V06 Calend 01'!D71),'V06 Calend 01'!J71,0))</f>
        <v>0</v>
      </c>
      <c r="AC71" s="2">
        <f>((IF((17='V06 Calend 01'!C71),('V06 Calend 01'!F71+'V06 Calend 01'!G71),0)+IF(AND(('V06 Calend 01'!E71&gt;0),(17&gt;'V06 Calend 01'!C71),(17&lt;'V06 Calend 01'!D71),(MOD((17-'V06 Calend 01'!C71),6)=0),(((17-'V06 Calend 01'!C71)/6)&lt;='V06 Calend 01'!E71)),IF((17=('V06 Calend 01'!C71+(6*'V06 Calend 01'!E71))),('V06 Calend 01'!H71-('V06 Calend 01'!I71*('V06 Calend 01'!E71-1))),'V06 Calend 01'!I71),0))+IF((17='V06 Calend 01'!D71),'V06 Calend 01'!J71,0))</f>
        <v>0</v>
      </c>
      <c r="AD71" s="2">
        <f>((IF((18='V06 Calend 01'!C71),('V06 Calend 01'!F71+'V06 Calend 01'!G71),0)+IF(AND(('V06 Calend 01'!E71&gt;0),(18&gt;'V06 Calend 01'!C71),(18&lt;'V06 Calend 01'!D71),(MOD((18-'V06 Calend 01'!C71),6)=0),(((18-'V06 Calend 01'!C71)/6)&lt;='V06 Calend 01'!E71)),IF((18=('V06 Calend 01'!C71+(6*'V06 Calend 01'!E71))),('V06 Calend 01'!H71-('V06 Calend 01'!I71*('V06 Calend 01'!E71-1))),'V06 Calend 01'!I71),0))+IF((18='V06 Calend 01'!D71),'V06 Calend 01'!J71,0))</f>
        <v>0</v>
      </c>
      <c r="AE71" s="2">
        <f>((IF((19='V06 Calend 01'!C71),('V06 Calend 01'!F71+'V06 Calend 01'!G71),0)+IF(AND(('V06 Calend 01'!E71&gt;0),(19&gt;'V06 Calend 01'!C71),(19&lt;'V06 Calend 01'!D71),(MOD((19-'V06 Calend 01'!C71),6)=0),(((19-'V06 Calend 01'!C71)/6)&lt;='V06 Calend 01'!E71)),IF((19=('V06 Calend 01'!C71+(6*'V06 Calend 01'!E71))),('V06 Calend 01'!H71-('V06 Calend 01'!I71*('V06 Calend 01'!E71-1))),'V06 Calend 01'!I71),0))+IF((19='V06 Calend 01'!D71),'V06 Calend 01'!J71,0))</f>
        <v>94631.20000000001</v>
      </c>
      <c r="AF71" s="2">
        <f>((IF((20='V06 Calend 01'!C71),('V06 Calend 01'!F71+'V06 Calend 01'!G71),0)+IF(AND(('V06 Calend 01'!E71&gt;0),(20&gt;'V06 Calend 01'!C71),(20&lt;'V06 Calend 01'!D71),(MOD((20-'V06 Calend 01'!C71),6)=0),(((20-'V06 Calend 01'!C71)/6)&lt;='V06 Calend 01'!E71)),IF((20=('V06 Calend 01'!C71+(6*'V06 Calend 01'!E71))),('V06 Calend 01'!H71-('V06 Calend 01'!I71*('V06 Calend 01'!E71-1))),'V06 Calend 01'!I71),0))+IF((20='V06 Calend 01'!D71),'V06 Calend 01'!J71,0))</f>
        <v>0</v>
      </c>
      <c r="AG71" s="2">
        <f>((IF((21='V06 Calend 01'!C71),('V06 Calend 01'!F71+'V06 Calend 01'!G71),0)+IF(AND(('V06 Calend 01'!E71&gt;0),(21&gt;'V06 Calend 01'!C71),(21&lt;'V06 Calend 01'!D71),(MOD((21-'V06 Calend 01'!C71),6)=0),(((21-'V06 Calend 01'!C71)/6)&lt;='V06 Calend 01'!E71)),IF((21=('V06 Calend 01'!C71+(6*'V06 Calend 01'!E71))),('V06 Calend 01'!H71-('V06 Calend 01'!I71*('V06 Calend 01'!E71-1))),'V06 Calend 01'!I71),0))+IF((21='V06 Calend 01'!D71),'V06 Calend 01'!J71,0))</f>
        <v>0</v>
      </c>
      <c r="AH71" s="2">
        <f>((IF((22='V06 Calend 01'!C71),('V06 Calend 01'!F71+'V06 Calend 01'!G71),0)+IF(AND(('V06 Calend 01'!E71&gt;0),(22&gt;'V06 Calend 01'!C71),(22&lt;'V06 Calend 01'!D71),(MOD((22-'V06 Calend 01'!C71),6)=0),(((22-'V06 Calend 01'!C71)/6)&lt;='V06 Calend 01'!E71)),IF((22=('V06 Calend 01'!C71+(6*'V06 Calend 01'!E71))),('V06 Calend 01'!H71-('V06 Calend 01'!I71*('V06 Calend 01'!E71-1))),'V06 Calend 01'!I71),0))+IF((22='V06 Calend 01'!D71),'V06 Calend 01'!J71,0))</f>
        <v>0</v>
      </c>
      <c r="AI71" s="2">
        <f>((IF((23='V06 Calend 01'!C71),('V06 Calend 01'!F71+'V06 Calend 01'!G71),0)+IF(AND(('V06 Calend 01'!E71&gt;0),(23&gt;'V06 Calend 01'!C71),(23&lt;'V06 Calend 01'!D71),(MOD((23-'V06 Calend 01'!C71),6)=0),(((23-'V06 Calend 01'!C71)/6)&lt;='V06 Calend 01'!E71)),IF((23=('V06 Calend 01'!C71+(6*'V06 Calend 01'!E71))),('V06 Calend 01'!H71-('V06 Calend 01'!I71*('V06 Calend 01'!E71-1))),'V06 Calend 01'!I71),0))+IF((23='V06 Calend 01'!D71),'V06 Calend 01'!J71,0))</f>
        <v>0</v>
      </c>
      <c r="AJ71" s="2">
        <f>((IF((24='V06 Calend 01'!C71),('V06 Calend 01'!F71+'V06 Calend 01'!G71),0)+IF(AND(('V06 Calend 01'!E71&gt;0),(24&gt;'V06 Calend 01'!C71),(24&lt;'V06 Calend 01'!D71),(MOD((24-'V06 Calend 01'!C71),6)=0),(((24-'V06 Calend 01'!C71)/6)&lt;='V06 Calend 01'!E71)),IF((24=('V06 Calend 01'!C71+(6*'V06 Calend 01'!E71))),('V06 Calend 01'!H71-('V06 Calend 01'!I71*('V06 Calend 01'!E71-1))),'V06 Calend 01'!I71),0))+IF((24='V06 Calend 01'!D71),'V06 Calend 01'!J71,0))</f>
        <v>0</v>
      </c>
      <c r="AK71" s="2">
        <f>((IF((25='V06 Calend 01'!C71),('V06 Calend 01'!F71+'V06 Calend 01'!G71),0)+IF(AND(('V06 Calend 01'!E71&gt;0),(25&gt;'V06 Calend 01'!C71),(25&lt;'V06 Calend 01'!D71),(MOD((25-'V06 Calend 01'!C71),6)=0),(((25-'V06 Calend 01'!C71)/6)&lt;='V06 Calend 01'!E71)),IF((25=('V06 Calend 01'!C71+(6*'V06 Calend 01'!E71))),('V06 Calend 01'!H71-('V06 Calend 01'!I71*('V06 Calend 01'!E71-1))),'V06 Calend 01'!I71),0))+IF((25='V06 Calend 01'!D71),'V06 Calend 01'!J71,0))</f>
        <v>208188.65</v>
      </c>
      <c r="AL71" s="2">
        <f>((IF((26='V06 Calend 01'!C71),('V06 Calend 01'!F71+'V06 Calend 01'!G71),0)+IF(AND(('V06 Calend 01'!E71&gt;0),(26&gt;'V06 Calend 01'!C71),(26&lt;'V06 Calend 01'!D71),(MOD((26-'V06 Calend 01'!C71),6)=0),(((26-'V06 Calend 01'!C71)/6)&lt;='V06 Calend 01'!E71)),IF((26=('V06 Calend 01'!C71+(6*'V06 Calend 01'!E71))),('V06 Calend 01'!H71-('V06 Calend 01'!I71*('V06 Calend 01'!E71-1))),'V06 Calend 01'!I71),0))+IF((26='V06 Calend 01'!D71),'V06 Calend 01'!J71,0))</f>
        <v>0</v>
      </c>
      <c r="AM71" s="2">
        <f>((IF((27='V06 Calend 01'!C71),('V06 Calend 01'!F71+'V06 Calend 01'!G71),0)+IF(AND(('V06 Calend 01'!E71&gt;0),(27&gt;'V06 Calend 01'!C71),(27&lt;'V06 Calend 01'!D71),(MOD((27-'V06 Calend 01'!C71),6)=0),(((27-'V06 Calend 01'!C71)/6)&lt;='V06 Calend 01'!E71)),IF((27=('V06 Calend 01'!C71+(6*'V06 Calend 01'!E71))),('V06 Calend 01'!H71-('V06 Calend 01'!I71*('V06 Calend 01'!E71-1))),'V06 Calend 01'!I71),0))+IF((27='V06 Calend 01'!D71),'V06 Calend 01'!J71,0))</f>
        <v>0</v>
      </c>
      <c r="AN71" s="2">
        <f>((IF((28='V06 Calend 01'!C71),('V06 Calend 01'!F71+'V06 Calend 01'!G71),0)+IF(AND(('V06 Calend 01'!E71&gt;0),(28&gt;'V06 Calend 01'!C71),(28&lt;'V06 Calend 01'!D71),(MOD((28-'V06 Calend 01'!C71),6)=0),(((28-'V06 Calend 01'!C71)/6)&lt;='V06 Calend 01'!E71)),IF((28=('V06 Calend 01'!C71+(6*'V06 Calend 01'!E71))),('V06 Calend 01'!H71-('V06 Calend 01'!I71*('V06 Calend 01'!E71-1))),'V06 Calend 01'!I71),0))+IF((28='V06 Calend 01'!D71),'V06 Calend 01'!J71,0))</f>
        <v>75704.97</v>
      </c>
      <c r="AO71" s="2">
        <f>((IF((29='V06 Calend 01'!C71),('V06 Calend 01'!F71+'V06 Calend 01'!G71),0)+IF(AND(('V06 Calend 01'!E71&gt;0),(29&gt;'V06 Calend 01'!C71),(29&lt;'V06 Calend 01'!D71),(MOD((29-'V06 Calend 01'!C71),6)=0),(((29-'V06 Calend 01'!C71)/6)&lt;='V06 Calend 01'!E71)),IF((29=('V06 Calend 01'!C71+(6*'V06 Calend 01'!E71))),('V06 Calend 01'!H71-('V06 Calend 01'!I71*('V06 Calend 01'!E71-1))),'V06 Calend 01'!I71),0))+IF((29='V06 Calend 01'!D71),'V06 Calend 01'!J71,0))</f>
        <v>0</v>
      </c>
      <c r="AP71" s="2">
        <f>((IF((30='V06 Calend 01'!C71),('V06 Calend 01'!F71+'V06 Calend 01'!G71),0)+IF(AND(('V06 Calend 01'!E71&gt;0),(30&gt;'V06 Calend 01'!C71),(30&lt;'V06 Calend 01'!D71),(MOD((30-'V06 Calend 01'!C71),6)=0),(((30-'V06 Calend 01'!C71)/6)&lt;='V06 Calend 01'!E71)),IF((30=('V06 Calend 01'!C71+(6*'V06 Calend 01'!E71))),('V06 Calend 01'!H71-('V06 Calend 01'!I71*('V06 Calend 01'!E71-1))),'V06 Calend 01'!I71),0))+IF((30='V06 Calend 01'!D71),'V06 Calend 01'!J71,0))</f>
        <v>0</v>
      </c>
      <c r="AQ71" s="2">
        <f>((IF((31='V06 Calend 01'!C71),('V06 Calend 01'!F71+'V06 Calend 01'!G71),0)+IF(AND(('V06 Calend 01'!E71&gt;0),(31&gt;'V06 Calend 01'!C71),(31&lt;'V06 Calend 01'!D71),(MOD((31-'V06 Calend 01'!C71),6)=0),(((31-'V06 Calend 01'!C71)/6)&lt;='V06 Calend 01'!E71)),IF((31=('V06 Calend 01'!C71+(6*'V06 Calend 01'!E71))),('V06 Calend 01'!H71-('V06 Calend 01'!I71*('V06 Calend 01'!E71-1))),'V06 Calend 01'!I71),0))+IF((31='V06 Calend 01'!D71),'V06 Calend 01'!J71,0))</f>
        <v>0</v>
      </c>
      <c r="AR71" s="2">
        <f>((IF((32='V06 Calend 01'!C71),('V06 Calend 01'!F71+'V06 Calend 01'!G71),0)+IF(AND(('V06 Calend 01'!E71&gt;0),(32&gt;'V06 Calend 01'!C71),(32&lt;'V06 Calend 01'!D71),(MOD((32-'V06 Calend 01'!C71),6)=0),(((32-'V06 Calend 01'!C71)/6)&lt;='V06 Calend 01'!E71)),IF((32=('V06 Calend 01'!C71+(6*'V06 Calend 01'!E71))),('V06 Calend 01'!H71-('V06 Calend 01'!I71*('V06 Calend 01'!E71-1))),'V06 Calend 01'!I71),0))+IF((32='V06 Calend 01'!D71),'V06 Calend 01'!J71,0))</f>
        <v>0</v>
      </c>
      <c r="AS71" s="2">
        <f>((IF((33='V06 Calend 01'!C71),('V06 Calend 01'!F71+'V06 Calend 01'!G71),0)+IF(AND(('V06 Calend 01'!E71&gt;0),(33&gt;'V06 Calend 01'!C71),(33&lt;'V06 Calend 01'!D71),(MOD((33-'V06 Calend 01'!C71),6)=0),(((33-'V06 Calend 01'!C71)/6)&lt;='V06 Calend 01'!E71)),IF((33=('V06 Calend 01'!C71+(6*'V06 Calend 01'!E71))),('V06 Calend 01'!H71-('V06 Calend 01'!I71*('V06 Calend 01'!E71-1))),'V06 Calend 01'!I71),0))+IF((33='V06 Calend 01'!D71),'V06 Calend 01'!J71,0))</f>
        <v>0</v>
      </c>
      <c r="AT71" s="2">
        <f>((IF((34='V06 Calend 01'!C71),('V06 Calend 01'!F71+'V06 Calend 01'!G71),0)+IF(AND(('V06 Calend 01'!E71&gt;0),(34&gt;'V06 Calend 01'!C71),(34&lt;'V06 Calend 01'!D71),(MOD((34-'V06 Calend 01'!C71),6)=0),(((34-'V06 Calend 01'!C71)/6)&lt;='V06 Calend 01'!E71)),IF((34=('V06 Calend 01'!C71+(6*'V06 Calend 01'!E71))),('V06 Calend 01'!H71-('V06 Calend 01'!I71*('V06 Calend 01'!E71-1))),'V06 Calend 01'!I71),0))+IF((34='V06 Calend 01'!D71),'V06 Calend 01'!J71,0))</f>
        <v>0</v>
      </c>
      <c r="AU71" s="2">
        <f>((IF((35='V06 Calend 01'!C71),('V06 Calend 01'!F71+'V06 Calend 01'!G71),0)+IF(AND(('V06 Calend 01'!E71&gt;0),(35&gt;'V06 Calend 01'!C71),(35&lt;'V06 Calend 01'!D71),(MOD((35-'V06 Calend 01'!C71),6)=0),(((35-'V06 Calend 01'!C71)/6)&lt;='V06 Calend 01'!E71)),IF((35=('V06 Calend 01'!C71+(6*'V06 Calend 01'!E71))),('V06 Calend 01'!H71-('V06 Calend 01'!I71*('V06 Calend 01'!E71-1))),'V06 Calend 01'!I71),0))+IF((35='V06 Calend 01'!D71),'V06 Calend 01'!J71,0))</f>
        <v>0</v>
      </c>
      <c r="AV71" s="2">
        <f>((IF((36='V06 Calend 01'!C71),('V06 Calend 01'!F71+'V06 Calend 01'!G71),0)+IF(AND(('V06 Calend 01'!E71&gt;0),(36&gt;'V06 Calend 01'!C71),(36&lt;'V06 Calend 01'!D71),(MOD((36-'V06 Calend 01'!C71),6)=0),(((36-'V06 Calend 01'!C71)/6)&lt;='V06 Calend 01'!E71)),IF((36=('V06 Calend 01'!C71+(6*'V06 Calend 01'!E71))),('V06 Calend 01'!H71-('V06 Calend 01'!I71*('V06 Calend 01'!E71-1))),'V06 Calend 01'!I71),0))+IF((36='V06 Calend 01'!D71),'V06 Calend 01'!J71,0))</f>
        <v>0</v>
      </c>
      <c r="AW71" s="2">
        <f>((IF((37='V06 Calend 01'!C71),('V06 Calend 01'!F71+'V06 Calend 01'!G71),0)+IF(AND(('V06 Calend 01'!E71&gt;0),(37&gt;'V06 Calend 01'!C71),(37&lt;'V06 Calend 01'!D71),(MOD((37-'V06 Calend 01'!C71),6)=0),(((37-'V06 Calend 01'!C71)/6)&lt;='V06 Calend 01'!E71)),IF((37=('V06 Calend 01'!C71+(6*'V06 Calend 01'!E71))),('V06 Calend 01'!H71-('V06 Calend 01'!I71*('V06 Calend 01'!E71-1))),'V06 Calend 01'!I71),0))+IF((37='V06 Calend 01'!D71),'V06 Calend 01'!J71,0))</f>
        <v>0</v>
      </c>
      <c r="AX71" s="2">
        <f>((IF((38='V06 Calend 01'!C71),('V06 Calend 01'!F71+'V06 Calend 01'!G71),0)+IF(AND(('V06 Calend 01'!E71&gt;0),(38&gt;'V06 Calend 01'!C71),(38&lt;'V06 Calend 01'!D71),(MOD((38-'V06 Calend 01'!C71),6)=0),(((38-'V06 Calend 01'!C71)/6)&lt;='V06 Calend 01'!E71)),IF((38=('V06 Calend 01'!C71+(6*'V06 Calend 01'!E71))),('V06 Calend 01'!H71-('V06 Calend 01'!I71*('V06 Calend 01'!E71-1))),'V06 Calend 01'!I71),0))+IF((38='V06 Calend 01'!D71),'V06 Calend 01'!J71,0))</f>
        <v>0</v>
      </c>
      <c r="AY71" s="2">
        <f>((IF((39='V06 Calend 01'!C71),('V06 Calend 01'!F71+'V06 Calend 01'!G71),0)+IF(AND(('V06 Calend 01'!E71&gt;0),(39&gt;'V06 Calend 01'!C71),(39&lt;'V06 Calend 01'!D71),(MOD((39-'V06 Calend 01'!C71),6)=0),(((39-'V06 Calend 01'!C71)/6)&lt;='V06 Calend 01'!E71)),IF((39=('V06 Calend 01'!C71+(6*'V06 Calend 01'!E71))),('V06 Calend 01'!H71-('V06 Calend 01'!I71*('V06 Calend 01'!E71-1))),'V06 Calend 01'!I71),0))+IF((39='V06 Calend 01'!D71),'V06 Calend 01'!J71,0))</f>
        <v>0</v>
      </c>
      <c r="AZ71" s="2">
        <f>((IF((40='V06 Calend 01'!C71),('V06 Calend 01'!F71+'V06 Calend 01'!G71),0)+IF(AND(('V06 Calend 01'!E71&gt;0),(40&gt;'V06 Calend 01'!C71),(40&lt;'V06 Calend 01'!D71),(MOD((40-'V06 Calend 01'!C71),6)=0),(((40-'V06 Calend 01'!C71)/6)&lt;='V06 Calend 01'!E71)),IF((40=('V06 Calend 01'!C71+(6*'V06 Calend 01'!E71))),('V06 Calend 01'!H71-('V06 Calend 01'!I71*('V06 Calend 01'!E71-1))),'V06 Calend 01'!I71),0))+IF((40='V06 Calend 01'!D71),'V06 Calend 01'!J71,0))</f>
        <v>0</v>
      </c>
      <c r="BA71" s="2">
        <f>((IF((41='V06 Calend 01'!C71),('V06 Calend 01'!F71+'V06 Calend 01'!G71),0)+IF(AND(('V06 Calend 01'!E71&gt;0),(41&gt;'V06 Calend 01'!C71),(41&lt;'V06 Calend 01'!D71),(MOD((41-'V06 Calend 01'!C71),6)=0),(((41-'V06 Calend 01'!C71)/6)&lt;='V06 Calend 01'!E71)),IF((41=('V06 Calend 01'!C71+(6*'V06 Calend 01'!E71))),('V06 Calend 01'!H71-('V06 Calend 01'!I71*('V06 Calend 01'!E71-1))),'V06 Calend 01'!I71),0))+IF((41='V06 Calend 01'!D71),'V06 Calend 01'!J71,0))</f>
        <v>0</v>
      </c>
      <c r="BB71" s="2">
        <f>((IF((42='V06 Calend 01'!C71),('V06 Calend 01'!F71+'V06 Calend 01'!G71),0)+IF(AND(('V06 Calend 01'!E71&gt;0),(42&gt;'V06 Calend 01'!C71),(42&lt;'V06 Calend 01'!D71),(MOD((42-'V06 Calend 01'!C71),6)=0),(((42-'V06 Calend 01'!C71)/6)&lt;='V06 Calend 01'!E71)),IF((42=('V06 Calend 01'!C71+(6*'V06 Calend 01'!E71))),('V06 Calend 01'!H71-('V06 Calend 01'!I71*('V06 Calend 01'!E71-1))),'V06 Calend 01'!I71),0))+IF((42='V06 Calend 01'!D71),'V06 Calend 01'!J71,0))</f>
        <v>0</v>
      </c>
      <c r="BC71" s="2">
        <f>((IF((43='V06 Calend 01'!C71),('V06 Calend 01'!F71+'V06 Calend 01'!G71),0)+IF(AND(('V06 Calend 01'!E71&gt;0),(43&gt;'V06 Calend 01'!C71),(43&lt;'V06 Calend 01'!D71),(MOD((43-'V06 Calend 01'!C71),6)=0),(((43-'V06 Calend 01'!C71)/6)&lt;='V06 Calend 01'!E71)),IF((43=('V06 Calend 01'!C71+(6*'V06 Calend 01'!E71))),('V06 Calend 01'!H71-('V06 Calend 01'!I71*('V06 Calend 01'!E71-1))),'V06 Calend 01'!I71),0))+IF((43='V06 Calend 01'!D71),'V06 Calend 01'!J71,0))</f>
        <v>0</v>
      </c>
      <c r="BD71" s="2">
        <f>((IF((44='V06 Calend 01'!C71),('V06 Calend 01'!F71+'V06 Calend 01'!G71),0)+IF(AND(('V06 Calend 01'!E71&gt;0),(44&gt;'V06 Calend 01'!C71),(44&lt;'V06 Calend 01'!D71),(MOD((44-'V06 Calend 01'!C71),6)=0),(((44-'V06 Calend 01'!C71)/6)&lt;='V06 Calend 01'!E71)),IF((44=('V06 Calend 01'!C71+(6*'V06 Calend 01'!E71))),('V06 Calend 01'!H71-('V06 Calend 01'!I71*('V06 Calend 01'!E71-1))),'V06 Calend 01'!I71),0))+IF((44='V06 Calend 01'!D71),'V06 Calend 01'!J71,0))</f>
        <v>0</v>
      </c>
      <c r="BE71" s="2">
        <f>((IF((45='V06 Calend 01'!C71),('V06 Calend 01'!F71+'V06 Calend 01'!G71),0)+IF(AND(('V06 Calend 01'!E71&gt;0),(45&gt;'V06 Calend 01'!C71),(45&lt;'V06 Calend 01'!D71),(MOD((45-'V06 Calend 01'!C71),6)=0),(((45-'V06 Calend 01'!C71)/6)&lt;='V06 Calend 01'!E71)),IF((45=('V06 Calend 01'!C71+(6*'V06 Calend 01'!E71))),('V06 Calend 01'!H71-('V06 Calend 01'!I71*('V06 Calend 01'!E71-1))),'V06 Calend 01'!I71),0))+IF((45='V06 Calend 01'!D71),'V06 Calend 01'!J71,0))</f>
        <v>0</v>
      </c>
      <c r="BF71" s="2">
        <f>((IF((46='V06 Calend 01'!C71),('V06 Calend 01'!F71+'V06 Calend 01'!G71),0)+IF(AND(('V06 Calend 01'!E71&gt;0),(46&gt;'V06 Calend 01'!C71),(46&lt;'V06 Calend 01'!D71),(MOD((46-'V06 Calend 01'!C71),6)=0),(((46-'V06 Calend 01'!C71)/6)&lt;='V06 Calend 01'!E71)),IF((46=('V06 Calend 01'!C71+(6*'V06 Calend 01'!E71))),('V06 Calend 01'!H71-('V06 Calend 01'!I71*('V06 Calend 01'!E71-1))),'V06 Calend 01'!I71),0))+IF((46='V06 Calend 01'!D71),'V06 Calend 01'!J71,0))</f>
        <v>0</v>
      </c>
      <c r="BG71" s="2">
        <f>((IF((47='V06 Calend 01'!C71),('V06 Calend 01'!F71+'V06 Calend 01'!G71),0)+IF(AND(('V06 Calend 01'!E71&gt;0),(47&gt;'V06 Calend 01'!C71),(47&lt;'V06 Calend 01'!D71),(MOD((47-'V06 Calend 01'!C71),6)=0),(((47-'V06 Calend 01'!C71)/6)&lt;='V06 Calend 01'!E71)),IF((47=('V06 Calend 01'!C71+(6*'V06 Calend 01'!E71))),('V06 Calend 01'!H71-('V06 Calend 01'!I71*('V06 Calend 01'!E71-1))),'V06 Calend 01'!I71),0))+IF((47='V06 Calend 01'!D71),'V06 Calend 01'!J71,0))</f>
        <v>0</v>
      </c>
      <c r="BH71" s="2">
        <f>((IF((48='V06 Calend 01'!C71),('V06 Calend 01'!F71+'V06 Calend 01'!G71),0)+IF(AND(('V06 Calend 01'!E71&gt;0),(48&gt;'V06 Calend 01'!C71),(48&lt;'V06 Calend 01'!D71),(MOD((48-'V06 Calend 01'!C71),6)=0),(((48-'V06 Calend 01'!C71)/6)&lt;='V06 Calend 01'!E71)),IF((48=('V06 Calend 01'!C71+(6*'V06 Calend 01'!E71))),('V06 Calend 01'!H71-('V06 Calend 01'!I71*('V06 Calend 01'!E71-1))),'V06 Calend 01'!I71),0))+IF((48='V06 Calend 01'!D71),'V06 Calend 01'!J71,0))</f>
        <v>0</v>
      </c>
      <c r="BI71" s="2">
        <f>((IF((49='V06 Calend 01'!C71),('V06 Calend 01'!F71+'V06 Calend 01'!G71),0)+IF(AND(('V06 Calend 01'!E71&gt;0),(49&gt;'V06 Calend 01'!C71),(49&lt;'V06 Calend 01'!D71),(MOD((49-'V06 Calend 01'!C71),6)=0),(((49-'V06 Calend 01'!C71)/6)&lt;='V06 Calend 01'!E71)),IF((49=('V06 Calend 01'!C71+(6*'V06 Calend 01'!E71))),('V06 Calend 01'!H71-('V06 Calend 01'!I71*('V06 Calend 01'!E71-1))),'V06 Calend 01'!I71),0))+IF((49='V06 Calend 01'!D71),'V06 Calend 01'!J71,0))</f>
        <v>0</v>
      </c>
      <c r="BJ71" s="2">
        <f>((IF((50='V06 Calend 01'!C71),('V06 Calend 01'!F71+'V06 Calend 01'!G71),0)+IF(AND(('V06 Calend 01'!E71&gt;0),(50&gt;'V06 Calend 01'!C71),(50&lt;'V06 Calend 01'!D71),(MOD((50-'V06 Calend 01'!C71),6)=0),(((50-'V06 Calend 01'!C71)/6)&lt;='V06 Calend 01'!E71)),IF((50=('V06 Calend 01'!C71+(6*'V06 Calend 01'!E71))),('V06 Calend 01'!H71-('V06 Calend 01'!I71*('V06 Calend 01'!E71-1))),'V06 Calend 01'!I71),0))+IF((50='V06 Calend 01'!D71),'V06 Calend 01'!J71,0))</f>
        <v>0</v>
      </c>
      <c r="BK71" s="2">
        <f>((IF((51='V06 Calend 01'!C71),('V06 Calend 01'!F71+'V06 Calend 01'!G71),0)+IF(AND(('V06 Calend 01'!E71&gt;0),(51&gt;'V06 Calend 01'!C71),(51&lt;'V06 Calend 01'!D71),(MOD((51-'V06 Calend 01'!C71),6)=0),(((51-'V06 Calend 01'!C71)/6)&lt;='V06 Calend 01'!E71)),IF((51=('V06 Calend 01'!C71+(6*'V06 Calend 01'!E71))),('V06 Calend 01'!H71-('V06 Calend 01'!I71*('V06 Calend 01'!E71-1))),'V06 Calend 01'!I71),0))+IF((51='V06 Calend 01'!D71),'V06 Calend 01'!J71,0))</f>
        <v>0</v>
      </c>
      <c r="BL71" s="2">
        <f>((IF((52='V06 Calend 01'!C71),('V06 Calend 01'!F71+'V06 Calend 01'!G71),0)+IF(AND(('V06 Calend 01'!E71&gt;0),(52&gt;'V06 Calend 01'!C71),(52&lt;'V06 Calend 01'!D71),(MOD((52-'V06 Calend 01'!C71),6)=0),(((52-'V06 Calend 01'!C71)/6)&lt;='V06 Calend 01'!E71)),IF((52=('V06 Calend 01'!C71+(6*'V06 Calend 01'!E71))),('V06 Calend 01'!H71-('V06 Calend 01'!I71*('V06 Calend 01'!E71-1))),'V06 Calend 01'!I71),0))+IF((52='V06 Calend 01'!D71),'V06 Calend 01'!J71,0))</f>
        <v>0</v>
      </c>
      <c r="BM71" s="2">
        <f>((IF((53='V06 Calend 01'!C71),('V06 Calend 01'!F71+'V06 Calend 01'!G71),0)+IF(AND(('V06 Calend 01'!E71&gt;0),(53&gt;'V06 Calend 01'!C71),(53&lt;'V06 Calend 01'!D71),(MOD((53-'V06 Calend 01'!C71),6)=0),(((53-'V06 Calend 01'!C71)/6)&lt;='V06 Calend 01'!E71)),IF((53=('V06 Calend 01'!C71+(6*'V06 Calend 01'!E71))),('V06 Calend 01'!H71-('V06 Calend 01'!I71*('V06 Calend 01'!E71-1))),'V06 Calend 01'!I71),0))+IF((53='V06 Calend 01'!D71),'V06 Calend 01'!J71,0))</f>
        <v>0</v>
      </c>
      <c r="BN71" s="2">
        <f>((IF((54='V06 Calend 01'!C71),('V06 Calend 01'!F71+'V06 Calend 01'!G71),0)+IF(AND(('V06 Calend 01'!E71&gt;0),(54&gt;'V06 Calend 01'!C71),(54&lt;'V06 Calend 01'!D71),(MOD((54-'V06 Calend 01'!C71),6)=0),(((54-'V06 Calend 01'!C71)/6)&lt;='V06 Calend 01'!E71)),IF((54=('V06 Calend 01'!C71+(6*'V06 Calend 01'!E71))),('V06 Calend 01'!H71-('V06 Calend 01'!I71*('V06 Calend 01'!E71-1))),'V06 Calend 01'!I71),0))+IF((54='V06 Calend 01'!D71),'V06 Calend 01'!J71,0))</f>
        <v>0</v>
      </c>
      <c r="BO71" s="2">
        <f>((IF((55='V06 Calend 01'!C71),('V06 Calend 01'!F71+'V06 Calend 01'!G71),0)+IF(AND(('V06 Calend 01'!E71&gt;0),(55&gt;'V06 Calend 01'!C71),(55&lt;'V06 Calend 01'!D71),(MOD((55-'V06 Calend 01'!C71),6)=0),(((55-'V06 Calend 01'!C71)/6)&lt;='V06 Calend 01'!E71)),IF((55=('V06 Calend 01'!C71+(6*'V06 Calend 01'!E71))),('V06 Calend 01'!H71-('V06 Calend 01'!I71*('V06 Calend 01'!E71-1))),'V06 Calend 01'!I71),0))+IF((55='V06 Calend 01'!D71),'V06 Calend 01'!J71,0))</f>
        <v>0</v>
      </c>
      <c r="BP71" s="2">
        <f>((IF((56='V06 Calend 01'!C71),('V06 Calend 01'!F71+'V06 Calend 01'!G71),0)+IF(AND(('V06 Calend 01'!E71&gt;0),(56&gt;'V06 Calend 01'!C71),(56&lt;'V06 Calend 01'!D71),(MOD((56-'V06 Calend 01'!C71),6)=0),(((56-'V06 Calend 01'!C71)/6)&lt;='V06 Calend 01'!E71)),IF((56=('V06 Calend 01'!C71+(6*'V06 Calend 01'!E71))),('V06 Calend 01'!H71-('V06 Calend 01'!I71*('V06 Calend 01'!E71-1))),'V06 Calend 01'!I71),0))+IF((56='V06 Calend 01'!D71),'V06 Calend 01'!J71,0))</f>
        <v>0</v>
      </c>
      <c r="BQ71" s="2">
        <f>((IF((57='V06 Calend 01'!C71),('V06 Calend 01'!F71+'V06 Calend 01'!G71),0)+IF(AND(('V06 Calend 01'!E71&gt;0),(57&gt;'V06 Calend 01'!C71),(57&lt;'V06 Calend 01'!D71),(MOD((57-'V06 Calend 01'!C71),6)=0),(((57-'V06 Calend 01'!C71)/6)&lt;='V06 Calend 01'!E71)),IF((57=('V06 Calend 01'!C71+(6*'V06 Calend 01'!E71))),('V06 Calend 01'!H71-('V06 Calend 01'!I71*('V06 Calend 01'!E71-1))),'V06 Calend 01'!I71),0))+IF((57='V06 Calend 01'!D71),'V06 Calend 01'!J71,0))</f>
        <v>0</v>
      </c>
      <c r="BR71" s="2">
        <f>((IF((58='V06 Calend 01'!C71),('V06 Calend 01'!F71+'V06 Calend 01'!G71),0)+IF(AND(('V06 Calend 01'!E71&gt;0),(58&gt;'V06 Calend 01'!C71),(58&lt;'V06 Calend 01'!D71),(MOD((58-'V06 Calend 01'!C71),6)=0),(((58-'V06 Calend 01'!C71)/6)&lt;='V06 Calend 01'!E71)),IF((58=('V06 Calend 01'!C71+(6*'V06 Calend 01'!E71))),('V06 Calend 01'!H71-('V06 Calend 01'!I71*('V06 Calend 01'!E71-1))),'V06 Calend 01'!I71),0))+IF((58='V06 Calend 01'!D71),'V06 Calend 01'!J71,0))</f>
        <v>0</v>
      </c>
      <c r="BS71" s="2">
        <f>((IF((59='V06 Calend 01'!C71),('V06 Calend 01'!F71+'V06 Calend 01'!G71),0)+IF(AND(('V06 Calend 01'!E71&gt;0),(59&gt;'V06 Calend 01'!C71),(59&lt;'V06 Calend 01'!D71),(MOD((59-'V06 Calend 01'!C71),6)=0),(((59-'V06 Calend 01'!C71)/6)&lt;='V06 Calend 01'!E71)),IF((59=('V06 Calend 01'!C71+(6*'V06 Calend 01'!E71))),('V06 Calend 01'!H71-('V06 Calend 01'!I71*('V06 Calend 01'!E71-1))),'V06 Calend 01'!I71),0))+IF((59='V06 Calend 01'!D71),'V06 Calend 01'!J71,0))</f>
        <v>0</v>
      </c>
      <c r="BT71" s="2">
        <f>((IF((60='V06 Calend 01'!C71),('V06 Calend 01'!F71+'V06 Calend 01'!G71),0)+IF(AND(('V06 Calend 01'!E71&gt;0),(60&gt;'V06 Calend 01'!C71),(60&lt;'V06 Calend 01'!D71),(MOD((60-'V06 Calend 01'!C71),6)=0),(((60-'V06 Calend 01'!C71)/6)&lt;='V06 Calend 01'!E71)),IF((60=('V06 Calend 01'!C71+(6*'V06 Calend 01'!E71))),('V06 Calend 01'!H71-('V06 Calend 01'!I71*('V06 Calend 01'!E71-1))),'V06 Calend 01'!I71),0))+IF((60='V06 Calend 01'!D71),'V06 Calend 01'!J71,0))</f>
        <v>0</v>
      </c>
      <c r="BU71" s="2">
        <f>((IF((61='V06 Calend 01'!C71),('V06 Calend 01'!F71+'V06 Calend 01'!G71),0)+IF(AND(('V06 Calend 01'!E71&gt;0),(61&gt;'V06 Calend 01'!C71),(61&lt;'V06 Calend 01'!D71),(MOD((61-'V06 Calend 01'!C71),6)=0),(((61-'V06 Calend 01'!C71)/6)&lt;='V06 Calend 01'!E71)),IF((61=('V06 Calend 01'!C71+(6*'V06 Calend 01'!E71))),('V06 Calend 01'!H71-('V06 Calend 01'!I71*('V06 Calend 01'!E71-1))),'V06 Calend 01'!I71),0))+IF((61='V06 Calend 01'!D71),'V06 Calend 01'!J71,0))</f>
        <v>0</v>
      </c>
      <c r="BV71" s="2">
        <f>((IF((62='V06 Calend 01'!C71),('V06 Calend 01'!F71+'V06 Calend 01'!G71),0)+IF(AND(('V06 Calend 01'!E71&gt;0),(62&gt;'V06 Calend 01'!C71),(62&lt;'V06 Calend 01'!D71),(MOD((62-'V06 Calend 01'!C71),6)=0),(((62-'V06 Calend 01'!C71)/6)&lt;='V06 Calend 01'!E71)),IF((62=('V06 Calend 01'!C71+(6*'V06 Calend 01'!E71))),('V06 Calend 01'!H71-('V06 Calend 01'!I71*('V06 Calend 01'!E71-1))),'V06 Calend 01'!I71),0))+IF((62='V06 Calend 01'!D71),'V06 Calend 01'!J71,0))</f>
        <v>0</v>
      </c>
      <c r="BW71" s="2">
        <f>((IF((63='V06 Calend 01'!C71),('V06 Calend 01'!F71+'V06 Calend 01'!G71),0)+IF(AND(('V06 Calend 01'!E71&gt;0),(63&gt;'V06 Calend 01'!C71),(63&lt;'V06 Calend 01'!D71),(MOD((63-'V06 Calend 01'!C71),6)=0),(((63-'V06 Calend 01'!C71)/6)&lt;='V06 Calend 01'!E71)),IF((63=('V06 Calend 01'!C71+(6*'V06 Calend 01'!E71))),('V06 Calend 01'!H71-('V06 Calend 01'!I71*('V06 Calend 01'!E71-1))),'V06 Calend 01'!I71),0))+IF((63='V06 Calend 01'!D71),'V06 Calend 01'!J71,0))</f>
        <v>0</v>
      </c>
      <c r="BX71" s="2">
        <f>((IF((64='V06 Calend 01'!C71),('V06 Calend 01'!F71+'V06 Calend 01'!G71),0)+IF(AND(('V06 Calend 01'!E71&gt;0),(64&gt;'V06 Calend 01'!C71),(64&lt;'V06 Calend 01'!D71),(MOD((64-'V06 Calend 01'!C71),6)=0),(((64-'V06 Calend 01'!C71)/6)&lt;='V06 Calend 01'!E71)),IF((64=('V06 Calend 01'!C71+(6*'V06 Calend 01'!E71))),('V06 Calend 01'!H71-('V06 Calend 01'!I71*('V06 Calend 01'!E71-1))),'V06 Calend 01'!I71),0))+IF((64='V06 Calend 01'!D71),'V06 Calend 01'!J71,0))</f>
        <v>0</v>
      </c>
      <c r="BY71" s="2">
        <f>((IF((65='V06 Calend 01'!C71),('V06 Calend 01'!F71+'V06 Calend 01'!G71),0)+IF(AND(('V06 Calend 01'!E71&gt;0),(65&gt;'V06 Calend 01'!C71),(65&lt;'V06 Calend 01'!D71),(MOD((65-'V06 Calend 01'!C71),6)=0),(((65-'V06 Calend 01'!C71)/6)&lt;='V06 Calend 01'!E71)),IF((65=('V06 Calend 01'!C71+(6*'V06 Calend 01'!E71))),('V06 Calend 01'!H71-('V06 Calend 01'!I71*('V06 Calend 01'!E71-1))),'V06 Calend 01'!I71),0))+IF((65='V06 Calend 01'!D71),'V06 Calend 01'!J71,0))</f>
        <v>0</v>
      </c>
      <c r="BZ71" s="2">
        <f>((IF((66='V06 Calend 01'!C71),('V06 Calend 01'!F71+'V06 Calend 01'!G71),0)+IF(AND(('V06 Calend 01'!E71&gt;0),(66&gt;'V06 Calend 01'!C71),(66&lt;'V06 Calend 01'!D71),(MOD((66-'V06 Calend 01'!C71),6)=0),(((66-'V06 Calend 01'!C71)/6)&lt;='V06 Calend 01'!E71)),IF((66=('V06 Calend 01'!C71+(6*'V06 Calend 01'!E71))),('V06 Calend 01'!H71-('V06 Calend 01'!I71*('V06 Calend 01'!E71-1))),'V06 Calend 01'!I71),0))+IF((66='V06 Calend 01'!D71),'V06 Calend 01'!J71,0))</f>
        <v>0</v>
      </c>
      <c r="CA71" s="2">
        <f>((IF((67='V06 Calend 01'!C71),('V06 Calend 01'!F71+'V06 Calend 01'!G71),0)+IF(AND(('V06 Calend 01'!E71&gt;0),(67&gt;'V06 Calend 01'!C71),(67&lt;'V06 Calend 01'!D71),(MOD((67-'V06 Calend 01'!C71),6)=0),(((67-'V06 Calend 01'!C71)/6)&lt;='V06 Calend 01'!E71)),IF((67=('V06 Calend 01'!C71+(6*'V06 Calend 01'!E71))),('V06 Calend 01'!H71-('V06 Calend 01'!I71*('V06 Calend 01'!E71-1))),'V06 Calend 01'!I71),0))+IF((67='V06 Calend 01'!D71),'V06 Calend 01'!J71,0))</f>
        <v>0</v>
      </c>
      <c r="CB71" s="2">
        <f>((IF((68='V06 Calend 01'!C71),('V06 Calend 01'!F71+'V06 Calend 01'!G71),0)+IF(AND(('V06 Calend 01'!E71&gt;0),(68&gt;'V06 Calend 01'!C71),(68&lt;'V06 Calend 01'!D71),(MOD((68-'V06 Calend 01'!C71),6)=0),(((68-'V06 Calend 01'!C71)/6)&lt;='V06 Calend 01'!E71)),IF((68=('V06 Calend 01'!C71+(6*'V06 Calend 01'!E71))),('V06 Calend 01'!H71-('V06 Calend 01'!I71*('V06 Calend 01'!E71-1))),'V06 Calend 01'!I71),0))+IF((68='V06 Calend 01'!D71),'V06 Calend 01'!J71,0))</f>
        <v>0</v>
      </c>
      <c r="CC71" s="2">
        <f>((IF((69='V06 Calend 01'!C71),('V06 Calend 01'!F71+'V06 Calend 01'!G71),0)+IF(AND(('V06 Calend 01'!E71&gt;0),(69&gt;'V06 Calend 01'!C71),(69&lt;'V06 Calend 01'!D71),(MOD((69-'V06 Calend 01'!C71),6)=0),(((69-'V06 Calend 01'!C71)/6)&lt;='V06 Calend 01'!E71)),IF((69=('V06 Calend 01'!C71+(6*'V06 Calend 01'!E71))),('V06 Calend 01'!H71-('V06 Calend 01'!I71*('V06 Calend 01'!E71-1))),'V06 Calend 01'!I71),0))+IF((69='V06 Calend 01'!D71),'V06 Calend 01'!J71,0))</f>
        <v>0</v>
      </c>
      <c r="CD71" s="2">
        <f>((IF((70='V06 Calend 01'!C71),('V06 Calend 01'!F71+'V06 Calend 01'!G71),0)+IF(AND(('V06 Calend 01'!E71&gt;0),(70&gt;'V06 Calend 01'!C71),(70&lt;'V06 Calend 01'!D71),(MOD((70-'V06 Calend 01'!C71),6)=0),(((70-'V06 Calend 01'!C71)/6)&lt;='V06 Calend 01'!E71)),IF((70=('V06 Calend 01'!C71+(6*'V06 Calend 01'!E71))),('V06 Calend 01'!H71-('V06 Calend 01'!I71*('V06 Calend 01'!E71-1))),'V06 Calend 01'!I71),0))+IF((70='V06 Calend 01'!D71),'V06 Calend 01'!J71,0))</f>
        <v>0</v>
      </c>
      <c r="CE71" s="2">
        <f>((IF((71='V06 Calend 01'!C71),('V06 Calend 01'!F71+'V06 Calend 01'!G71),0)+IF(AND(('V06 Calend 01'!E71&gt;0),(71&gt;'V06 Calend 01'!C71),(71&lt;'V06 Calend 01'!D71),(MOD((71-'V06 Calend 01'!C71),6)=0),(((71-'V06 Calend 01'!C71)/6)&lt;='V06 Calend 01'!E71)),IF((71=('V06 Calend 01'!C71+(6*'V06 Calend 01'!E71))),('V06 Calend 01'!H71-('V06 Calend 01'!I71*('V06 Calend 01'!E71-1))),'V06 Calend 01'!I71),0))+IF((71='V06 Calend 01'!D71),'V06 Calend 01'!J71,0))</f>
        <v>0</v>
      </c>
      <c r="CF71" s="2">
        <f>((IF((72='V06 Calend 01'!C71),('V06 Calend 01'!F71+'V06 Calend 01'!G71),0)+IF(AND(('V06 Calend 01'!E71&gt;0),(72&gt;'V06 Calend 01'!C71),(72&lt;'V06 Calend 01'!D71),(MOD((72-'V06 Calend 01'!C71),6)=0),(((72-'V06 Calend 01'!C71)/6)&lt;='V06 Calend 01'!E71)),IF((72=('V06 Calend 01'!C71+(6*'V06 Calend 01'!E71))),('V06 Calend 01'!H71-('V06 Calend 01'!I71*('V06 Calend 01'!E71-1))),'V06 Calend 01'!I71),0))+IF((72='V06 Calend 01'!D71),'V06 Calend 01'!J71,0))</f>
        <v>0</v>
      </c>
      <c r="CG71" s="2">
        <f>((IF((73='V06 Calend 01'!C71),('V06 Calend 01'!F71+'V06 Calend 01'!G71),0)+IF(AND(('V06 Calend 01'!E71&gt;0),(73&gt;'V06 Calend 01'!C71),(73&lt;'V06 Calend 01'!D71),(MOD((73-'V06 Calend 01'!C71),6)=0),(((73-'V06 Calend 01'!C71)/6)&lt;='V06 Calend 01'!E71)),IF((73=('V06 Calend 01'!C71+(6*'V06 Calend 01'!E71))),('V06 Calend 01'!H71-('V06 Calend 01'!I71*('V06 Calend 01'!E71-1))),'V06 Calend 01'!I71),0))+IF((73='V06 Calend 01'!D71),'V06 Calend 01'!J71,0))</f>
        <v>0</v>
      </c>
      <c r="CH71" s="2">
        <f>((IF((74='V06 Calend 01'!C71),('V06 Calend 01'!F71+'V06 Calend 01'!G71),0)+IF(AND(('V06 Calend 01'!E71&gt;0),(74&gt;'V06 Calend 01'!C71),(74&lt;'V06 Calend 01'!D71),(MOD((74-'V06 Calend 01'!C71),6)=0),(((74-'V06 Calend 01'!C71)/6)&lt;='V06 Calend 01'!E71)),IF((74=('V06 Calend 01'!C71+(6*'V06 Calend 01'!E71))),('V06 Calend 01'!H71-('V06 Calend 01'!I71*('V06 Calend 01'!E71-1))),'V06 Calend 01'!I71),0))+IF((74='V06 Calend 01'!D71),'V06 Calend 01'!J71,0))</f>
        <v>0</v>
      </c>
      <c r="CI71" s="2">
        <f>((IF((75='V06 Calend 01'!C71),('V06 Calend 01'!F71+'V06 Calend 01'!G71),0)+IF(AND(('V06 Calend 01'!E71&gt;0),(75&gt;'V06 Calend 01'!C71),(75&lt;'V06 Calend 01'!D71),(MOD((75-'V06 Calend 01'!C71),6)=0),(((75-'V06 Calend 01'!C71)/6)&lt;='V06 Calend 01'!E71)),IF((75=('V06 Calend 01'!C71+(6*'V06 Calend 01'!E71))),('V06 Calend 01'!H71-('V06 Calend 01'!I71*('V06 Calend 01'!E71-1))),'V06 Calend 01'!I71),0))+IF((75='V06 Calend 01'!D71),'V06 Calend 01'!J71,0))</f>
        <v>0</v>
      </c>
      <c r="CJ71" s="2">
        <f>((IF((76='V06 Calend 01'!C71),('V06 Calend 01'!F71+'V06 Calend 01'!G71),0)+IF(AND(('V06 Calend 01'!E71&gt;0),(76&gt;'V06 Calend 01'!C71),(76&lt;'V06 Calend 01'!D71),(MOD((76-'V06 Calend 01'!C71),6)=0),(((76-'V06 Calend 01'!C71)/6)&lt;='V06 Calend 01'!E71)),IF((76=('V06 Calend 01'!C71+(6*'V06 Calend 01'!E71))),('V06 Calend 01'!H71-('V06 Calend 01'!I71*('V06 Calend 01'!E71-1))),'V06 Calend 01'!I71),0))+IF((76='V06 Calend 01'!D71),'V06 Calend 01'!J71,0))</f>
        <v>0</v>
      </c>
      <c r="CK71" s="2">
        <f>((IF((77='V06 Calend 01'!C71),('V06 Calend 01'!F71+'V06 Calend 01'!G71),0)+IF(AND(('V06 Calend 01'!E71&gt;0),(77&gt;'V06 Calend 01'!C71),(77&lt;'V06 Calend 01'!D71),(MOD((77-'V06 Calend 01'!C71),6)=0),(((77-'V06 Calend 01'!C71)/6)&lt;='V06 Calend 01'!E71)),IF((77=('V06 Calend 01'!C71+(6*'V06 Calend 01'!E71))),('V06 Calend 01'!H71-('V06 Calend 01'!I71*('V06 Calend 01'!E71-1))),'V06 Calend 01'!I71),0))+IF((77='V06 Calend 01'!D71),'V06 Calend 01'!J71,0))</f>
        <v>0</v>
      </c>
      <c r="CL71" s="2">
        <f>((IF((78='V06 Calend 01'!C71),('V06 Calend 01'!F71+'V06 Calend 01'!G71),0)+IF(AND(('V06 Calend 01'!E71&gt;0),(78&gt;'V06 Calend 01'!C71),(78&lt;'V06 Calend 01'!D71),(MOD((78-'V06 Calend 01'!C71),6)=0),(((78-'V06 Calend 01'!C71)/6)&lt;='V06 Calend 01'!E71)),IF((78=('V06 Calend 01'!C71+(6*'V06 Calend 01'!E71))),('V06 Calend 01'!H71-('V06 Calend 01'!I71*('V06 Calend 01'!E71-1))),'V06 Calend 01'!I71),0))+IF((78='V06 Calend 01'!D71),'V06 Calend 01'!J71,0))</f>
        <v>0</v>
      </c>
      <c r="CM71" s="2">
        <f>((IF((79='V06 Calend 01'!C71),('V06 Calend 01'!F71+'V06 Calend 01'!G71),0)+IF(AND(('V06 Calend 01'!E71&gt;0),(79&gt;'V06 Calend 01'!C71),(79&lt;'V06 Calend 01'!D71),(MOD((79-'V06 Calend 01'!C71),6)=0),(((79-'V06 Calend 01'!C71)/6)&lt;='V06 Calend 01'!E71)),IF((79=('V06 Calend 01'!C71+(6*'V06 Calend 01'!E71))),('V06 Calend 01'!H71-('V06 Calend 01'!I71*('V06 Calend 01'!E71-1))),'V06 Calend 01'!I71),0))+IF((79='V06 Calend 01'!D71),'V06 Calend 01'!J71,0))</f>
        <v>0</v>
      </c>
      <c r="CN71" s="2">
        <f>((IF((80='V06 Calend 01'!C71),('V06 Calend 01'!F71+'V06 Calend 01'!G71),0)+IF(AND(('V06 Calend 01'!E71&gt;0),(80&gt;'V06 Calend 01'!C71),(80&lt;'V06 Calend 01'!D71),(MOD((80-'V06 Calend 01'!C71),6)=0),(((80-'V06 Calend 01'!C71)/6)&lt;='V06 Calend 01'!E71)),IF((80=('V06 Calend 01'!C71+(6*'V06 Calend 01'!E71))),('V06 Calend 01'!H71-('V06 Calend 01'!I71*('V06 Calend 01'!E71-1))),'V06 Calend 01'!I71),0))+IF((80='V06 Calend 01'!D71),'V06 Calend 01'!J71,0))</f>
        <v>0</v>
      </c>
      <c r="CO71" s="2">
        <f>((IF((81='V06 Calend 01'!C71),('V06 Calend 01'!F71+'V06 Calend 01'!G71),0)+IF(AND(('V06 Calend 01'!E71&gt;0),(81&gt;'V06 Calend 01'!C71),(81&lt;'V06 Calend 01'!D71),(MOD((81-'V06 Calend 01'!C71),6)=0),(((81-'V06 Calend 01'!C71)/6)&lt;='V06 Calend 01'!E71)),IF((81=('V06 Calend 01'!C71+(6*'V06 Calend 01'!E71))),('V06 Calend 01'!H71-('V06 Calend 01'!I71*('V06 Calend 01'!E71-1))),'V06 Calend 01'!I71),0))+IF((81='V06 Calend 01'!D71),'V06 Calend 01'!J71,0))</f>
        <v>0</v>
      </c>
      <c r="CP71" s="2">
        <f>((IF((82='V06 Calend 01'!C71),('V06 Calend 01'!F71+'V06 Calend 01'!G71),0)+IF(AND(('V06 Calend 01'!E71&gt;0),(82&gt;'V06 Calend 01'!C71),(82&lt;'V06 Calend 01'!D71),(MOD((82-'V06 Calend 01'!C71),6)=0),(((82-'V06 Calend 01'!C71)/6)&lt;='V06 Calend 01'!E71)),IF((82=('V06 Calend 01'!C71+(6*'V06 Calend 01'!E71))),('V06 Calend 01'!H71-('V06 Calend 01'!I71*('V06 Calend 01'!E71-1))),'V06 Calend 01'!I71),0))+IF((82='V06 Calend 01'!D71),'V06 Calend 01'!J71,0))</f>
        <v>0</v>
      </c>
      <c r="CQ71" s="2">
        <f>((IF((83='V06 Calend 01'!C71),('V06 Calend 01'!F71+'V06 Calend 01'!G71),0)+IF(AND(('V06 Calend 01'!E71&gt;0),(83&gt;'V06 Calend 01'!C71),(83&lt;'V06 Calend 01'!D71),(MOD((83-'V06 Calend 01'!C71),6)=0),(((83-'V06 Calend 01'!C71)/6)&lt;='V06 Calend 01'!E71)),IF((83=('V06 Calend 01'!C71+(6*'V06 Calend 01'!E71))),('V06 Calend 01'!H71-('V06 Calend 01'!I71*('V06 Calend 01'!E71-1))),'V06 Calend 01'!I71),0))+IF((83='V06 Calend 01'!D71),'V06 Calend 01'!J71,0))</f>
        <v>0</v>
      </c>
      <c r="CR71" s="2">
        <f>((IF((84='V06 Calend 01'!C71),('V06 Calend 01'!F71+'V06 Calend 01'!G71),0)+IF(AND(('V06 Calend 01'!E71&gt;0),(84&gt;'V06 Calend 01'!C71),(84&lt;'V06 Calend 01'!D71),(MOD((84-'V06 Calend 01'!C71),6)=0),(((84-'V06 Calend 01'!C71)/6)&lt;='V06 Calend 01'!E71)),IF((84=('V06 Calend 01'!C71+(6*'V06 Calend 01'!E71))),('V06 Calend 01'!H71-('V06 Calend 01'!I71*('V06 Calend 01'!E71-1))),'V06 Calend 01'!I71),0))+IF((84='V06 Calend 01'!D71),'V06 Calend 01'!J71,0))</f>
        <v>0</v>
      </c>
      <c r="CS71" s="2">
        <f>((IF((85='V06 Calend 01'!C71),('V06 Calend 01'!F71+'V06 Calend 01'!G71),0)+IF(AND(('V06 Calend 01'!E71&gt;0),(85&gt;'V06 Calend 01'!C71),(85&lt;'V06 Calend 01'!D71),(MOD((85-'V06 Calend 01'!C71),6)=0),(((85-'V06 Calend 01'!C71)/6)&lt;='V06 Calend 01'!E71)),IF((85=('V06 Calend 01'!C71+(6*'V06 Calend 01'!E71))),('V06 Calend 01'!H71-('V06 Calend 01'!I71*('V06 Calend 01'!E71-1))),'V06 Calend 01'!I71),0))+IF((85='V06 Calend 01'!D71),'V06 Calend 01'!J71,0))</f>
        <v>0</v>
      </c>
      <c r="CT71" s="2">
        <f>((IF((86='V06 Calend 01'!C71),('V06 Calend 01'!F71+'V06 Calend 01'!G71),0)+IF(AND(('V06 Calend 01'!E71&gt;0),(86&gt;'V06 Calend 01'!C71),(86&lt;'V06 Calend 01'!D71),(MOD((86-'V06 Calend 01'!C71),6)=0),(((86-'V06 Calend 01'!C71)/6)&lt;='V06 Calend 01'!E71)),IF((86=('V06 Calend 01'!C71+(6*'V06 Calend 01'!E71))),('V06 Calend 01'!H71-('V06 Calend 01'!I71*('V06 Calend 01'!E71-1))),'V06 Calend 01'!I71),0))+IF((86='V06 Calend 01'!D71),'V06 Calend 01'!J71,0))</f>
        <v>0</v>
      </c>
      <c r="CU71" s="2">
        <f>((IF((87='V06 Calend 01'!C71),('V06 Calend 01'!F71+'V06 Calend 01'!G71),0)+IF(AND(('V06 Calend 01'!E71&gt;0),(87&gt;'V06 Calend 01'!C71),(87&lt;'V06 Calend 01'!D71),(MOD((87-'V06 Calend 01'!C71),6)=0),(((87-'V06 Calend 01'!C71)/6)&lt;='V06 Calend 01'!E71)),IF((87=('V06 Calend 01'!C71+(6*'V06 Calend 01'!E71))),('V06 Calend 01'!H71-('V06 Calend 01'!I71*('V06 Calend 01'!E71-1))),'V06 Calend 01'!I71),0))+IF((87='V06 Calend 01'!D71),'V06 Calend 01'!J71,0))</f>
        <v>0</v>
      </c>
      <c r="CV71" s="2">
        <f>((IF((88='V06 Calend 01'!C71),('V06 Calend 01'!F71+'V06 Calend 01'!G71),0)+IF(AND(('V06 Calend 01'!E71&gt;0),(88&gt;'V06 Calend 01'!C71),(88&lt;'V06 Calend 01'!D71),(MOD((88-'V06 Calend 01'!C71),6)=0),(((88-'V06 Calend 01'!C71)/6)&lt;='V06 Calend 01'!E71)),IF((88=('V06 Calend 01'!C71+(6*'V06 Calend 01'!E71))),('V06 Calend 01'!H71-('V06 Calend 01'!I71*('V06 Calend 01'!E71-1))),'V06 Calend 01'!I71),0))+IF((88='V06 Calend 01'!D71),'V06 Calend 01'!J71,0))</f>
        <v>0</v>
      </c>
      <c r="CW71" s="2">
        <f>((IF((89='V06 Calend 01'!C71),('V06 Calend 01'!F71+'V06 Calend 01'!G71),0)+IF(AND(('V06 Calend 01'!E71&gt;0),(89&gt;'V06 Calend 01'!C71),(89&lt;'V06 Calend 01'!D71),(MOD((89-'V06 Calend 01'!C71),6)=0),(((89-'V06 Calend 01'!C71)/6)&lt;='V06 Calend 01'!E71)),IF((89=('V06 Calend 01'!C71+(6*'V06 Calend 01'!E71))),('V06 Calend 01'!H71-('V06 Calend 01'!I71*('V06 Calend 01'!E71-1))),'V06 Calend 01'!I71),0))+IF((89='V06 Calend 01'!D71),'V06 Calend 01'!J71,0))</f>
        <v>0</v>
      </c>
      <c r="CX71" s="2">
        <f>((IF((90='V06 Calend 01'!C71),('V06 Calend 01'!F71+'V06 Calend 01'!G71),0)+IF(AND(('V06 Calend 01'!E71&gt;0),(90&gt;'V06 Calend 01'!C71),(90&lt;'V06 Calend 01'!D71),(MOD((90-'V06 Calend 01'!C71),6)=0),(((90-'V06 Calend 01'!C71)/6)&lt;='V06 Calend 01'!E71)),IF((90=('V06 Calend 01'!C71+(6*'V06 Calend 01'!E71))),('V06 Calend 01'!H71-('V06 Calend 01'!I71*('V06 Calend 01'!E71-1))),'V06 Calend 01'!I71),0))+IF((90='V06 Calend 01'!D71),'V06 Calend 01'!J71,0))</f>
        <v>0</v>
      </c>
      <c r="CY71" s="2">
        <f>((IF((91='V06 Calend 01'!C71),('V06 Calend 01'!F71+'V06 Calend 01'!G71),0)+IF(AND(('V06 Calend 01'!E71&gt;0),(91&gt;'V06 Calend 01'!C71),(91&lt;'V06 Calend 01'!D71),(MOD((91-'V06 Calend 01'!C71),6)=0),(((91-'V06 Calend 01'!C71)/6)&lt;='V06 Calend 01'!E71)),IF((91=('V06 Calend 01'!C71+(6*'V06 Calend 01'!E71))),('V06 Calend 01'!H71-('V06 Calend 01'!I71*('V06 Calend 01'!E71-1))),'V06 Calend 01'!I71),0))+IF((91='V06 Calend 01'!D71),'V06 Calend 01'!J71,0))</f>
        <v>0</v>
      </c>
      <c r="CZ71" s="2">
        <f>((IF((92='V06 Calend 01'!C71),('V06 Calend 01'!F71+'V06 Calend 01'!G71),0)+IF(AND(('V06 Calend 01'!E71&gt;0),(92&gt;'V06 Calend 01'!C71),(92&lt;'V06 Calend 01'!D71),(MOD((92-'V06 Calend 01'!C71),6)=0),(((92-'V06 Calend 01'!C71)/6)&lt;='V06 Calend 01'!E71)),IF((92=('V06 Calend 01'!C71+(6*'V06 Calend 01'!E71))),('V06 Calend 01'!H71-('V06 Calend 01'!I71*('V06 Calend 01'!E71-1))),'V06 Calend 01'!I71),0))+IF((92='V06 Calend 01'!D71),'V06 Calend 01'!J71,0))</f>
        <v>0</v>
      </c>
      <c r="DA71" s="2">
        <f>((IF((93='V06 Calend 01'!C71),('V06 Calend 01'!F71+'V06 Calend 01'!G71),0)+IF(AND(('V06 Calend 01'!E71&gt;0),(93&gt;'V06 Calend 01'!C71),(93&lt;'V06 Calend 01'!D71),(MOD((93-'V06 Calend 01'!C71),6)=0),(((93-'V06 Calend 01'!C71)/6)&lt;='V06 Calend 01'!E71)),IF((93=('V06 Calend 01'!C71+(6*'V06 Calend 01'!E71))),('V06 Calend 01'!H71-('V06 Calend 01'!I71*('V06 Calend 01'!E71-1))),'V06 Calend 01'!I71),0))+IF((93='V06 Calend 01'!D71),'V06 Calend 01'!J71,0))</f>
        <v>0</v>
      </c>
      <c r="DB71" s="2">
        <f>((IF((94='V06 Calend 01'!C71),('V06 Calend 01'!F71+'V06 Calend 01'!G71),0)+IF(AND(('V06 Calend 01'!E71&gt;0),(94&gt;'V06 Calend 01'!C71),(94&lt;'V06 Calend 01'!D71),(MOD((94-'V06 Calend 01'!C71),6)=0),(((94-'V06 Calend 01'!C71)/6)&lt;='V06 Calend 01'!E71)),IF((94=('V06 Calend 01'!C71+(6*'V06 Calend 01'!E71))),('V06 Calend 01'!H71-('V06 Calend 01'!I71*('V06 Calend 01'!E71-1))),'V06 Calend 01'!I71),0))+IF((94='V06 Calend 01'!D71),'V06 Calend 01'!J71,0))</f>
        <v>0</v>
      </c>
      <c r="DC71" s="2">
        <f>((IF((95='V06 Calend 01'!C71),('V06 Calend 01'!F71+'V06 Calend 01'!G71),0)+IF(AND(('V06 Calend 01'!E71&gt;0),(95&gt;'V06 Calend 01'!C71),(95&lt;'V06 Calend 01'!D71),(MOD((95-'V06 Calend 01'!C71),6)=0),(((95-'V06 Calend 01'!C71)/6)&lt;='V06 Calend 01'!E71)),IF((95=('V06 Calend 01'!C71+(6*'V06 Calend 01'!E71))),('V06 Calend 01'!H71-('V06 Calend 01'!I71*('V06 Calend 01'!E71-1))),'V06 Calend 01'!I71),0))+IF((95='V06 Calend 01'!D71),'V06 Calend 01'!J71,0))</f>
        <v>0</v>
      </c>
      <c r="DD71" s="2">
        <f>((IF((96='V06 Calend 01'!C71),('V06 Calend 01'!F71+'V06 Calend 01'!G71),0)+IF(AND(('V06 Calend 01'!E71&gt;0),(96&gt;'V06 Calend 01'!C71),(96&lt;'V06 Calend 01'!D71),(MOD((96-'V06 Calend 01'!C71),6)=0),(((96-'V06 Calend 01'!C71)/6)&lt;='V06 Calend 01'!E71)),IF((96=('V06 Calend 01'!C71+(6*'V06 Calend 01'!E71))),('V06 Calend 01'!H71-('V06 Calend 01'!I71*('V06 Calend 01'!E71-1))),'V06 Calend 01'!I71),0))+IF((96='V06 Calend 01'!D71),'V06 Calend 01'!J71,0))</f>
        <v>0</v>
      </c>
      <c r="DE71" s="2">
        <f>((IF((97='V06 Calend 01'!C71),('V06 Calend 01'!F71+'V06 Calend 01'!G71),0)+IF(AND(('V06 Calend 01'!E71&gt;0),(97&gt;'V06 Calend 01'!C71),(97&lt;'V06 Calend 01'!D71),(MOD((97-'V06 Calend 01'!C71),6)=0),(((97-'V06 Calend 01'!C71)/6)&lt;='V06 Calend 01'!E71)),IF((97=('V06 Calend 01'!C71+(6*'V06 Calend 01'!E71))),('V06 Calend 01'!H71-('V06 Calend 01'!I71*('V06 Calend 01'!E71-1))),'V06 Calend 01'!I71),0))+IF((97='V06 Calend 01'!D71),'V06 Calend 01'!J71,0))</f>
        <v>0</v>
      </c>
      <c r="DF71" s="2">
        <f>((IF((98='V06 Calend 01'!C71),('V06 Calend 01'!F71+'V06 Calend 01'!G71),0)+IF(AND(('V06 Calend 01'!E71&gt;0),(98&gt;'V06 Calend 01'!C71),(98&lt;'V06 Calend 01'!D71),(MOD((98-'V06 Calend 01'!C71),6)=0),(((98-'V06 Calend 01'!C71)/6)&lt;='V06 Calend 01'!E71)),IF((98=('V06 Calend 01'!C71+(6*'V06 Calend 01'!E71))),('V06 Calend 01'!H71-('V06 Calend 01'!I71*('V06 Calend 01'!E71-1))),'V06 Calend 01'!I71),0))+IF((98='V06 Calend 01'!D71),'V06 Calend 01'!J71,0))</f>
        <v>0</v>
      </c>
      <c r="DG71" s="2">
        <f>((IF((99='V06 Calend 01'!C71),('V06 Calend 01'!F71+'V06 Calend 01'!G71),0)+IF(AND(('V06 Calend 01'!E71&gt;0),(99&gt;'V06 Calend 01'!C71),(99&lt;'V06 Calend 01'!D71),(MOD((99-'V06 Calend 01'!C71),6)=0),(((99-'V06 Calend 01'!C71)/6)&lt;='V06 Calend 01'!E71)),IF((99=('V06 Calend 01'!C71+(6*'V06 Calend 01'!E71))),('V06 Calend 01'!H71-('V06 Calend 01'!I71*('V06 Calend 01'!E71-1))),'V06 Calend 01'!I71),0))+IF((99='V06 Calend 01'!D71),'V06 Calend 01'!J71,0))</f>
        <v>0</v>
      </c>
      <c r="DH71" s="2">
        <f>((IF((100='V06 Calend 01'!C71),('V06 Calend 01'!F71+'V06 Calend 01'!G71),0)+IF(AND(('V06 Calend 01'!E71&gt;0),(100&gt;'V06 Calend 01'!C71),(100&lt;'V06 Calend 01'!D71),(MOD((100-'V06 Calend 01'!C71),6)=0),(((100-'V06 Calend 01'!C71)/6)&lt;='V06 Calend 01'!E71)),IF((100=('V06 Calend 01'!C71+(6*'V06 Calend 01'!E71))),('V06 Calend 01'!H71-('V06 Calend 01'!I71*('V06 Calend 01'!E71-1))),'V06 Calend 01'!I71),0))+IF((100='V06 Calend 01'!D71),'V06 Calend 01'!J71,0))</f>
        <v>0</v>
      </c>
      <c r="DI71" s="2">
        <f>((IF((101='V06 Calend 01'!C71),('V06 Calend 01'!F71+'V06 Calend 01'!G71),0)+IF(AND(('V06 Calend 01'!E71&gt;0),(101&gt;'V06 Calend 01'!C71),(101&lt;'V06 Calend 01'!D71),(MOD((101-'V06 Calend 01'!C71),6)=0),(((101-'V06 Calend 01'!C71)/6)&lt;='V06 Calend 01'!E71)),IF((101=('V06 Calend 01'!C71+(6*'V06 Calend 01'!E71))),('V06 Calend 01'!H71-('V06 Calend 01'!I71*('V06 Calend 01'!E71-1))),'V06 Calend 01'!I71),0))+IF((101='V06 Calend 01'!D71),'V06 Calend 01'!J71,0))</f>
        <v>0</v>
      </c>
      <c r="DJ71" s="2">
        <f>((IF((102='V06 Calend 01'!C71),('V06 Calend 01'!F71+'V06 Calend 01'!G71),0)+IF(AND(('V06 Calend 01'!E71&gt;0),(102&gt;'V06 Calend 01'!C71),(102&lt;'V06 Calend 01'!D71),(MOD((102-'V06 Calend 01'!C71),6)=0),(((102-'V06 Calend 01'!C71)/6)&lt;='V06 Calend 01'!E71)),IF((102=('V06 Calend 01'!C71+(6*'V06 Calend 01'!E71))),('V06 Calend 01'!H71-('V06 Calend 01'!I71*('V06 Calend 01'!E71-1))),'V06 Calend 01'!I71),0))+IF((102='V06 Calend 01'!D71),'V06 Calend 01'!J71,0))</f>
        <v>0</v>
      </c>
      <c r="DK71" s="2">
        <f>((IF((103='V06 Calend 01'!C71),('V06 Calend 01'!F71+'V06 Calend 01'!G71),0)+IF(AND(('V06 Calend 01'!E71&gt;0),(103&gt;'V06 Calend 01'!C71),(103&lt;'V06 Calend 01'!D71),(MOD((103-'V06 Calend 01'!C71),6)=0),(((103-'V06 Calend 01'!C71)/6)&lt;='V06 Calend 01'!E71)),IF((103=('V06 Calend 01'!C71+(6*'V06 Calend 01'!E71))),('V06 Calend 01'!H71-('V06 Calend 01'!I71*('V06 Calend 01'!E71-1))),'V06 Calend 01'!I71),0))+IF((103='V06 Calend 01'!D71),'V06 Calend 01'!J71,0))</f>
        <v>0</v>
      </c>
      <c r="DL71" s="2">
        <f>((IF((104='V06 Calend 01'!C71),('V06 Calend 01'!F71+'V06 Calend 01'!G71),0)+IF(AND(('V06 Calend 01'!E71&gt;0),(104&gt;'V06 Calend 01'!C71),(104&lt;'V06 Calend 01'!D71),(MOD((104-'V06 Calend 01'!C71),6)=0),(((104-'V06 Calend 01'!C71)/6)&lt;='V06 Calend 01'!E71)),IF((104=('V06 Calend 01'!C71+(6*'V06 Calend 01'!E71))),('V06 Calend 01'!H71-('V06 Calend 01'!I71*('V06 Calend 01'!E71-1))),'V06 Calend 01'!I71),0))+IF((104='V06 Calend 01'!D71),'V06 Calend 01'!J71,0))</f>
        <v>0</v>
      </c>
      <c r="DM71" s="2">
        <f>((IF((105='V06 Calend 01'!C71),('V06 Calend 01'!F71+'V06 Calend 01'!G71),0)+IF(AND(('V06 Calend 01'!E71&gt;0),(105&gt;'V06 Calend 01'!C71),(105&lt;'V06 Calend 01'!D71),(MOD((105-'V06 Calend 01'!C71),6)=0),(((105-'V06 Calend 01'!C71)/6)&lt;='V06 Calend 01'!E71)),IF((105=('V06 Calend 01'!C71+(6*'V06 Calend 01'!E71))),('V06 Calend 01'!H71-('V06 Calend 01'!I71*('V06 Calend 01'!E71-1))),'V06 Calend 01'!I71),0))+IF((105='V06 Calend 01'!D71),'V06 Calend 01'!J71,0))</f>
        <v>0</v>
      </c>
      <c r="DN71" s="2">
        <f>((IF((106='V06 Calend 01'!C71),('V06 Calend 01'!F71+'V06 Calend 01'!G71),0)+IF(AND(('V06 Calend 01'!E71&gt;0),(106&gt;'V06 Calend 01'!C71),(106&lt;'V06 Calend 01'!D71),(MOD((106-'V06 Calend 01'!C71),6)=0),(((106-'V06 Calend 01'!C71)/6)&lt;='V06 Calend 01'!E71)),IF((106=('V06 Calend 01'!C71+(6*'V06 Calend 01'!E71))),('V06 Calend 01'!H71-('V06 Calend 01'!I71*('V06 Calend 01'!E71-1))),'V06 Calend 01'!I71),0))+IF((106='V06 Calend 01'!D71),'V06 Calend 01'!J71,0))</f>
        <v>0</v>
      </c>
      <c r="DO71" s="2">
        <f>((IF((107='V06 Calend 01'!C71),('V06 Calend 01'!F71+'V06 Calend 01'!G71),0)+IF(AND(('V06 Calend 01'!E71&gt;0),(107&gt;'V06 Calend 01'!C71),(107&lt;'V06 Calend 01'!D71),(MOD((107-'V06 Calend 01'!C71),6)=0),(((107-'V06 Calend 01'!C71)/6)&lt;='V06 Calend 01'!E71)),IF((107=('V06 Calend 01'!C71+(6*'V06 Calend 01'!E71))),('V06 Calend 01'!H71-('V06 Calend 01'!I71*('V06 Calend 01'!E71-1))),'V06 Calend 01'!I71),0))+IF((107='V06 Calend 01'!D71),'V06 Calend 01'!J71,0))</f>
        <v>0</v>
      </c>
      <c r="DP71" s="2">
        <f>((IF((108='V06 Calend 01'!C71),('V06 Calend 01'!F71+'V06 Calend 01'!G71),0)+IF(AND(('V06 Calend 01'!E71&gt;0),(108&gt;'V06 Calend 01'!C71),(108&lt;'V06 Calend 01'!D71),(MOD((108-'V06 Calend 01'!C71),6)=0),(((108-'V06 Calend 01'!C71)/6)&lt;='V06 Calend 01'!E71)),IF((108=('V06 Calend 01'!C71+(6*'V06 Calend 01'!E71))),('V06 Calend 01'!H71-('V06 Calend 01'!I71*('V06 Calend 01'!E71-1))),'V06 Calend 01'!I71),0))+IF((108='V06 Calend 01'!D71),'V06 Calend 01'!J71,0))</f>
        <v>0</v>
      </c>
      <c r="DQ71" s="2">
        <f>((IF((109='V06 Calend 01'!C71),('V06 Calend 01'!F71+'V06 Calend 01'!G71),0)+IF(AND(('V06 Calend 01'!E71&gt;0),(109&gt;'V06 Calend 01'!C71),(109&lt;'V06 Calend 01'!D71),(MOD((109-'V06 Calend 01'!C71),6)=0),(((109-'V06 Calend 01'!C71)/6)&lt;='V06 Calend 01'!E71)),IF((109=('V06 Calend 01'!C71+(6*'V06 Calend 01'!E71))),('V06 Calend 01'!H71-('V06 Calend 01'!I71*('V06 Calend 01'!E71-1))),'V06 Calend 01'!I71),0))+IF((109='V06 Calend 01'!D71),'V06 Calend 01'!J71,0))</f>
        <v>0</v>
      </c>
      <c r="DR71" s="2">
        <f>((IF((110='V06 Calend 01'!C71),('V06 Calend 01'!F71+'V06 Calend 01'!G71),0)+IF(AND(('V06 Calend 01'!E71&gt;0),(110&gt;'V06 Calend 01'!C71),(110&lt;'V06 Calend 01'!D71),(MOD((110-'V06 Calend 01'!C71),6)=0),(((110-'V06 Calend 01'!C71)/6)&lt;='V06 Calend 01'!E71)),IF((110=('V06 Calend 01'!C71+(6*'V06 Calend 01'!E71))),('V06 Calend 01'!H71-('V06 Calend 01'!I71*('V06 Calend 01'!E71-1))),'V06 Calend 01'!I71),0))+IF((110='V06 Calend 01'!D71),'V06 Calend 01'!J71,0))</f>
        <v>0</v>
      </c>
      <c r="DS71" s="2">
        <f>((IF((111='V06 Calend 01'!C71),('V06 Calend 01'!F71+'V06 Calend 01'!G71),0)+IF(AND(('V06 Calend 01'!E71&gt;0),(111&gt;'V06 Calend 01'!C71),(111&lt;'V06 Calend 01'!D71),(MOD((111-'V06 Calend 01'!C71),6)=0),(((111-'V06 Calend 01'!C71)/6)&lt;='V06 Calend 01'!E71)),IF((111=('V06 Calend 01'!C71+(6*'V06 Calend 01'!E71))),('V06 Calend 01'!H71-('V06 Calend 01'!I71*('V06 Calend 01'!E71-1))),'V06 Calend 01'!I71),0))+IF((111='V06 Calend 01'!D71),'V06 Calend 01'!J71,0))</f>
        <v>0</v>
      </c>
      <c r="DT71" s="2">
        <f>((IF((112='V06 Calend 01'!C71),('V06 Calend 01'!F71+'V06 Calend 01'!G71),0)+IF(AND(('V06 Calend 01'!E71&gt;0),(112&gt;'V06 Calend 01'!C71),(112&lt;'V06 Calend 01'!D71),(MOD((112-'V06 Calend 01'!C71),6)=0),(((112-'V06 Calend 01'!C71)/6)&lt;='V06 Calend 01'!E71)),IF((112=('V06 Calend 01'!C71+(6*'V06 Calend 01'!E71))),('V06 Calend 01'!H71-('V06 Calend 01'!I71*('V06 Calend 01'!E71-1))),'V06 Calend 01'!I71),0))+IF((112='V06 Calend 01'!D71),'V06 Calend 01'!J71,0))</f>
        <v>0</v>
      </c>
      <c r="DU71" s="2">
        <f>((IF((113='V06 Calend 01'!C71),('V06 Calend 01'!F71+'V06 Calend 01'!G71),0)+IF(AND(('V06 Calend 01'!E71&gt;0),(113&gt;'V06 Calend 01'!C71),(113&lt;'V06 Calend 01'!D71),(MOD((113-'V06 Calend 01'!C71),6)=0),(((113-'V06 Calend 01'!C71)/6)&lt;='V06 Calend 01'!E71)),IF((113=('V06 Calend 01'!C71+(6*'V06 Calend 01'!E71))),('V06 Calend 01'!H71-('V06 Calend 01'!I71*('V06 Calend 01'!E71-1))),'V06 Calend 01'!I71),0))+IF((113='V06 Calend 01'!D71),'V06 Calend 01'!J71,0))</f>
        <v>0</v>
      </c>
      <c r="DV71" s="2">
        <f>((IF((114='V06 Calend 01'!C71),('V06 Calend 01'!F71+'V06 Calend 01'!G71),0)+IF(AND(('V06 Calend 01'!E71&gt;0),(114&gt;'V06 Calend 01'!C71),(114&lt;'V06 Calend 01'!D71),(MOD((114-'V06 Calend 01'!C71),6)=0),(((114-'V06 Calend 01'!C71)/6)&lt;='V06 Calend 01'!E71)),IF((114=('V06 Calend 01'!C71+(6*'V06 Calend 01'!E71))),('V06 Calend 01'!H71-('V06 Calend 01'!I71*('V06 Calend 01'!E71-1))),'V06 Calend 01'!I71),0))+IF((114='V06 Calend 01'!D71),'V06 Calend 01'!J71,0))</f>
        <v>0</v>
      </c>
      <c r="DW71" s="2">
        <f>((IF((115='V06 Calend 01'!C71),('V06 Calend 01'!F71+'V06 Calend 01'!G71),0)+IF(AND(('V06 Calend 01'!E71&gt;0),(115&gt;'V06 Calend 01'!C71),(115&lt;'V06 Calend 01'!D71),(MOD((115-'V06 Calend 01'!C71),6)=0),(((115-'V06 Calend 01'!C71)/6)&lt;='V06 Calend 01'!E71)),IF((115=('V06 Calend 01'!C71+(6*'V06 Calend 01'!E71))),('V06 Calend 01'!H71-('V06 Calend 01'!I71*('V06 Calend 01'!E71-1))),'V06 Calend 01'!I71),0))+IF((115='V06 Calend 01'!D71),'V06 Calend 01'!J71,0))</f>
        <v>0</v>
      </c>
      <c r="DX71" s="2">
        <f>((IF((116='V06 Calend 01'!C71),('V06 Calend 01'!F71+'V06 Calend 01'!G71),0)+IF(AND(('V06 Calend 01'!E71&gt;0),(116&gt;'V06 Calend 01'!C71),(116&lt;'V06 Calend 01'!D71),(MOD((116-'V06 Calend 01'!C71),6)=0),(((116-'V06 Calend 01'!C71)/6)&lt;='V06 Calend 01'!E71)),IF((116=('V06 Calend 01'!C71+(6*'V06 Calend 01'!E71))),('V06 Calend 01'!H71-('V06 Calend 01'!I71*('V06 Calend 01'!E71-1))),'V06 Calend 01'!I71),0))+IF((116='V06 Calend 01'!D71),'V06 Calend 01'!J71,0))</f>
        <v>0</v>
      </c>
      <c r="DY71" s="2">
        <f>((IF((117='V06 Calend 01'!C71),('V06 Calend 01'!F71+'V06 Calend 01'!G71),0)+IF(AND(('V06 Calend 01'!E71&gt;0),(117&gt;'V06 Calend 01'!C71),(117&lt;'V06 Calend 01'!D71),(MOD((117-'V06 Calend 01'!C71),6)=0),(((117-'V06 Calend 01'!C71)/6)&lt;='V06 Calend 01'!E71)),IF((117=('V06 Calend 01'!C71+(6*'V06 Calend 01'!E71))),('V06 Calend 01'!H71-('V06 Calend 01'!I71*('V06 Calend 01'!E71-1))),'V06 Calend 01'!I71),0))+IF((117='V06 Calend 01'!D71),'V06 Calend 01'!J71,0))</f>
        <v>0</v>
      </c>
      <c r="DZ71" s="2">
        <f>((IF((118='V06 Calend 01'!C71),('V06 Calend 01'!F71+'V06 Calend 01'!G71),0)+IF(AND(('V06 Calend 01'!E71&gt;0),(118&gt;'V06 Calend 01'!C71),(118&lt;'V06 Calend 01'!D71),(MOD((118-'V06 Calend 01'!C71),6)=0),(((118-'V06 Calend 01'!C71)/6)&lt;='V06 Calend 01'!E71)),IF((118=('V06 Calend 01'!C71+(6*'V06 Calend 01'!E71))),('V06 Calend 01'!H71-('V06 Calend 01'!I71*('V06 Calend 01'!E71-1))),'V06 Calend 01'!I71),0))+IF((118='V06 Calend 01'!D71),'V06 Calend 01'!J71,0))</f>
        <v>0</v>
      </c>
      <c r="EA71" s="2">
        <f>((IF((119='V06 Calend 01'!C71),('V06 Calend 01'!F71+'V06 Calend 01'!G71),0)+IF(AND(('V06 Calend 01'!E71&gt;0),(119&gt;'V06 Calend 01'!C71),(119&lt;'V06 Calend 01'!D71),(MOD((119-'V06 Calend 01'!C71),6)=0),(((119-'V06 Calend 01'!C71)/6)&lt;='V06 Calend 01'!E71)),IF((119=('V06 Calend 01'!C71+(6*'V06 Calend 01'!E71))),('V06 Calend 01'!H71-('V06 Calend 01'!I71*('V06 Calend 01'!E71-1))),'V06 Calend 01'!I71),0))+IF((119='V06 Calend 01'!D71),'V06 Calend 01'!J71,0))</f>
        <v>0</v>
      </c>
      <c r="EB71" s="2">
        <f>((IF((120='V06 Calend 01'!C71),('V06 Calend 01'!F71+'V06 Calend 01'!G71),0)+IF(AND(('V06 Calend 01'!E71&gt;0),(120&gt;'V06 Calend 01'!C71),(120&lt;'V06 Calend 01'!D71),(MOD((120-'V06 Calend 01'!C71),6)=0),(((120-'V06 Calend 01'!C71)/6)&lt;='V06 Calend 01'!E71)),IF((120=('V06 Calend 01'!C71+(6*'V06 Calend 01'!E71))),('V06 Calend 01'!H71-('V06 Calend 01'!I71*('V06 Calend 01'!E71-1))),'V06 Calend 01'!I71),0))+IF((120='V06 Calend 01'!D71),'V06 Calend 01'!J71,0))</f>
        <v>0</v>
      </c>
      <c r="EC71" s="2">
        <f>((IF((121='V06 Calend 01'!C71),('V06 Calend 01'!F71+'V06 Calend 01'!G71),0)+IF(AND(('V06 Calend 01'!E71&gt;0),(121&gt;'V06 Calend 01'!C71),(121&lt;'V06 Calend 01'!D71),(MOD((121-'V06 Calend 01'!C71),6)=0),(((121-'V06 Calend 01'!C71)/6)&lt;='V06 Calend 01'!E71)),IF((121=('V06 Calend 01'!C71+(6*'V06 Calend 01'!E71))),('V06 Calend 01'!H71-('V06 Calend 01'!I71*('V06 Calend 01'!E71-1))),'V06 Calend 01'!I71),0))+IF((121='V06 Calend 01'!D71),'V06 Calend 01'!J71,0))</f>
        <v>0</v>
      </c>
      <c r="ED71" s="2">
        <f>((IF((122='V06 Calend 01'!C71),('V06 Calend 01'!F71+'V06 Calend 01'!G71),0)+IF(AND(('V06 Calend 01'!E71&gt;0),(122&gt;'V06 Calend 01'!C71),(122&lt;'V06 Calend 01'!D71),(MOD((122-'V06 Calend 01'!C71),6)=0),(((122-'V06 Calend 01'!C71)/6)&lt;='V06 Calend 01'!E71)),IF((122=('V06 Calend 01'!C71+(6*'V06 Calend 01'!E71))),('V06 Calend 01'!H71-('V06 Calend 01'!I71*('V06 Calend 01'!E71-1))),'V06 Calend 01'!I71),0))+IF((122='V06 Calend 01'!D71),'V06 Calend 01'!J71,0))</f>
        <v>0</v>
      </c>
      <c r="EE71" s="2">
        <f>((IF((123='V06 Calend 01'!C71),('V06 Calend 01'!F71+'V06 Calend 01'!G71),0)+IF(AND(('V06 Calend 01'!E71&gt;0),(123&gt;'V06 Calend 01'!C71),(123&lt;'V06 Calend 01'!D71),(MOD((123-'V06 Calend 01'!C71),6)=0),(((123-'V06 Calend 01'!C71)/6)&lt;='V06 Calend 01'!E71)),IF((123=('V06 Calend 01'!C71+(6*'V06 Calend 01'!E71))),('V06 Calend 01'!H71-('V06 Calend 01'!I71*('V06 Calend 01'!E71-1))),'V06 Calend 01'!I71),0))+IF((123='V06 Calend 01'!D71),'V06 Calend 01'!J71,0))</f>
        <v>0</v>
      </c>
      <c r="EF71" s="2">
        <f>((IF((124='V06 Calend 01'!C71),('V06 Calend 01'!F71+'V06 Calend 01'!G71),0)+IF(AND(('V06 Calend 01'!E71&gt;0),(124&gt;'V06 Calend 01'!C71),(124&lt;'V06 Calend 01'!D71),(MOD((124-'V06 Calend 01'!C71),6)=0),(((124-'V06 Calend 01'!C71)/6)&lt;='V06 Calend 01'!E71)),IF((124=('V06 Calend 01'!C71+(6*'V06 Calend 01'!E71))),('V06 Calend 01'!H71-('V06 Calend 01'!I71*('V06 Calend 01'!E71-1))),'V06 Calend 01'!I71),0))+IF((124='V06 Calend 01'!D71),'V06 Calend 01'!J71,0))</f>
        <v>0</v>
      </c>
      <c r="EG71" s="2">
        <f>((IF((125='V06 Calend 01'!C71),('V06 Calend 01'!F71+'V06 Calend 01'!G71),0)+IF(AND(('V06 Calend 01'!E71&gt;0),(125&gt;'V06 Calend 01'!C71),(125&lt;'V06 Calend 01'!D71),(MOD((125-'V06 Calend 01'!C71),6)=0),(((125-'V06 Calend 01'!C71)/6)&lt;='V06 Calend 01'!E71)),IF((125=('V06 Calend 01'!C71+(6*'V06 Calend 01'!E71))),('V06 Calend 01'!H71-('V06 Calend 01'!I71*('V06 Calend 01'!E71-1))),'V06 Calend 01'!I71),0))+IF((125='V06 Calend 01'!D71),'V06 Calend 01'!J71,0))</f>
        <v>0</v>
      </c>
      <c r="EH71" s="2">
        <f>((IF((126='V06 Calend 01'!C71),('V06 Calend 01'!F71+'V06 Calend 01'!G71),0)+IF(AND(('V06 Calend 01'!E71&gt;0),(126&gt;'V06 Calend 01'!C71),(126&lt;'V06 Calend 01'!D71),(MOD((126-'V06 Calend 01'!C71),6)=0),(((126-'V06 Calend 01'!C71)/6)&lt;='V06 Calend 01'!E71)),IF((126=('V06 Calend 01'!C71+(6*'V06 Calend 01'!E71))),('V06 Calend 01'!H71-('V06 Calend 01'!I71*('V06 Calend 01'!E71-1))),'V06 Calend 01'!I71),0))+IF((126='V06 Calend 01'!D71),'V06 Calend 01'!J71,0))</f>
        <v>0</v>
      </c>
      <c r="EI71" s="2">
        <f>((IF((127='V06 Calend 01'!C71),('V06 Calend 01'!F71+'V06 Calend 01'!G71),0)+IF(AND(('V06 Calend 01'!E71&gt;0),(127&gt;'V06 Calend 01'!C71),(127&lt;'V06 Calend 01'!D71),(MOD((127-'V06 Calend 01'!C71),6)=0),(((127-'V06 Calend 01'!C71)/6)&lt;='V06 Calend 01'!E71)),IF((127=('V06 Calend 01'!C71+(6*'V06 Calend 01'!E71))),('V06 Calend 01'!H71-('V06 Calend 01'!I71*('V06 Calend 01'!E71-1))),'V06 Calend 01'!I71),0))+IF((127='V06 Calend 01'!D71),'V06 Calend 01'!J71,0))</f>
        <v>0</v>
      </c>
      <c r="EJ71" s="2">
        <f>((IF((128='V06 Calend 01'!C71),('V06 Calend 01'!F71+'V06 Calend 01'!G71),0)+IF(AND(('V06 Calend 01'!E71&gt;0),(128&gt;'V06 Calend 01'!C71),(128&lt;'V06 Calend 01'!D71),(MOD((128-'V06 Calend 01'!C71),6)=0),(((128-'V06 Calend 01'!C71)/6)&lt;='V06 Calend 01'!E71)),IF((128=('V06 Calend 01'!C71+(6*'V06 Calend 01'!E71))),('V06 Calend 01'!H71-('V06 Calend 01'!I71*('V06 Calend 01'!E71-1))),'V06 Calend 01'!I71),0))+IF((128='V06 Calend 01'!D71),'V06 Calend 01'!J71,0))</f>
        <v>0</v>
      </c>
      <c r="EK71" s="2">
        <f>((IF((129='V06 Calend 01'!C71),('V06 Calend 01'!F71+'V06 Calend 01'!G71),0)+IF(AND(('V06 Calend 01'!E71&gt;0),(129&gt;'V06 Calend 01'!C71),(129&lt;'V06 Calend 01'!D71),(MOD((129-'V06 Calend 01'!C71),6)=0),(((129-'V06 Calend 01'!C71)/6)&lt;='V06 Calend 01'!E71)),IF((129=('V06 Calend 01'!C71+(6*'V06 Calend 01'!E71))),('V06 Calend 01'!H71-('V06 Calend 01'!I71*('V06 Calend 01'!E71-1))),'V06 Calend 01'!I71),0))+IF((129='V06 Calend 01'!D71),'V06 Calend 01'!J71,0))</f>
        <v>0</v>
      </c>
      <c r="EL71" s="2">
        <f>((IF((130='V06 Calend 01'!C71),('V06 Calend 01'!F71+'V06 Calend 01'!G71),0)+IF(AND(('V06 Calend 01'!E71&gt;0),(130&gt;'V06 Calend 01'!C71),(130&lt;'V06 Calend 01'!D71),(MOD((130-'V06 Calend 01'!C71),6)=0),(((130-'V06 Calend 01'!C71)/6)&lt;='V06 Calend 01'!E71)),IF((130=('V06 Calend 01'!C71+(6*'V06 Calend 01'!E71))),('V06 Calend 01'!H71-('V06 Calend 01'!I71*('V06 Calend 01'!E71-1))),'V06 Calend 01'!I71),0))+IF((130='V06 Calend 01'!D71),'V06 Calend 01'!J71,0))</f>
        <v>0</v>
      </c>
      <c r="EM71" s="2">
        <f>((IF((131='V06 Calend 01'!C71),('V06 Calend 01'!F71+'V06 Calend 01'!G71),0)+IF(AND(('V06 Calend 01'!E71&gt;0),(131&gt;'V06 Calend 01'!C71),(131&lt;'V06 Calend 01'!D71),(MOD((131-'V06 Calend 01'!C71),6)=0),(((131-'V06 Calend 01'!C71)/6)&lt;='V06 Calend 01'!E71)),IF((131=('V06 Calend 01'!C71+(6*'V06 Calend 01'!E71))),('V06 Calend 01'!H71-('V06 Calend 01'!I71*('V06 Calend 01'!E71-1))),'V06 Calend 01'!I71),0))+IF((131='V06 Calend 01'!D71),'V06 Calend 01'!J71,0))</f>
        <v>0</v>
      </c>
      <c r="EN71" s="2">
        <f>((IF((132='V06 Calend 01'!C71),('V06 Calend 01'!F71+'V06 Calend 01'!G71),0)+IF(AND(('V06 Calend 01'!E71&gt;0),(132&gt;'V06 Calend 01'!C71),(132&lt;'V06 Calend 01'!D71),(MOD((132-'V06 Calend 01'!C71),6)=0),(((132-'V06 Calend 01'!C71)/6)&lt;='V06 Calend 01'!E71)),IF((132=('V06 Calend 01'!C71+(6*'V06 Calend 01'!E71))),('V06 Calend 01'!H71-('V06 Calend 01'!I71*('V06 Calend 01'!E71-1))),'V06 Calend 01'!I71),0))+IF((132='V06 Calend 01'!D71),'V06 Calend 01'!J71,0))</f>
        <v>0</v>
      </c>
      <c r="EO71" s="2">
        <f>((IF((133='V06 Calend 01'!C71),('V06 Calend 01'!F71+'V06 Calend 01'!G71),0)+IF(AND(('V06 Calend 01'!E71&gt;0),(133&gt;'V06 Calend 01'!C71),(133&lt;'V06 Calend 01'!D71),(MOD((133-'V06 Calend 01'!C71),6)=0),(((133-'V06 Calend 01'!C71)/6)&lt;='V06 Calend 01'!E71)),IF((133=('V06 Calend 01'!C71+(6*'V06 Calend 01'!E71))),('V06 Calend 01'!H71-('V06 Calend 01'!I71*('V06 Calend 01'!E71-1))),'V06 Calend 01'!I71),0))+IF((133='V06 Calend 01'!D71),'V06 Calend 01'!J71,0))</f>
        <v>0</v>
      </c>
      <c r="EP71" s="2">
        <f>((IF((134='V06 Calend 01'!C71),('V06 Calend 01'!F71+'V06 Calend 01'!G71),0)+IF(AND(('V06 Calend 01'!E71&gt;0),(134&gt;'V06 Calend 01'!C71),(134&lt;'V06 Calend 01'!D71),(MOD((134-'V06 Calend 01'!C71),6)=0),(((134-'V06 Calend 01'!C71)/6)&lt;='V06 Calend 01'!E71)),IF((134=('V06 Calend 01'!C71+(6*'V06 Calend 01'!E71))),('V06 Calend 01'!H71-('V06 Calend 01'!I71*('V06 Calend 01'!E71-1))),'V06 Calend 01'!I71),0))+IF((134='V06 Calend 01'!D71),'V06 Calend 01'!J71,0))</f>
        <v>0</v>
      </c>
      <c r="EQ71" s="2">
        <f>((IF((135='V06 Calend 01'!C71),('V06 Calend 01'!F71+'V06 Calend 01'!G71),0)+IF(AND(('V06 Calend 01'!E71&gt;0),(135&gt;'V06 Calend 01'!C71),(135&lt;'V06 Calend 01'!D71),(MOD((135-'V06 Calend 01'!C71),6)=0),(((135-'V06 Calend 01'!C71)/6)&lt;='V06 Calend 01'!E71)),IF((135=('V06 Calend 01'!C71+(6*'V06 Calend 01'!E71))),('V06 Calend 01'!H71-('V06 Calend 01'!I71*('V06 Calend 01'!E71-1))),'V06 Calend 01'!I71),0))+IF((135='V06 Calend 01'!D71),'V06 Calend 01'!J71,0))</f>
        <v>0</v>
      </c>
      <c r="ER71" s="2">
        <f>((IF((136='V06 Calend 01'!C71),('V06 Calend 01'!F71+'V06 Calend 01'!G71),0)+IF(AND(('V06 Calend 01'!E71&gt;0),(136&gt;'V06 Calend 01'!C71),(136&lt;'V06 Calend 01'!D71),(MOD((136-'V06 Calend 01'!C71),6)=0),(((136-'V06 Calend 01'!C71)/6)&lt;='V06 Calend 01'!E71)),IF((136=('V06 Calend 01'!C71+(6*'V06 Calend 01'!E71))),('V06 Calend 01'!H71-('V06 Calend 01'!I71*('V06 Calend 01'!E71-1))),'V06 Calend 01'!I71),0))+IF((136='V06 Calend 01'!D71),'V06 Calend 01'!J71,0))</f>
        <v>0</v>
      </c>
      <c r="ES71" s="2">
        <f>((IF((137='V06 Calend 01'!C71),('V06 Calend 01'!F71+'V06 Calend 01'!G71),0)+IF(AND(('V06 Calend 01'!E71&gt;0),(137&gt;'V06 Calend 01'!C71),(137&lt;'V06 Calend 01'!D71),(MOD((137-'V06 Calend 01'!C71),6)=0),(((137-'V06 Calend 01'!C71)/6)&lt;='V06 Calend 01'!E71)),IF((137=('V06 Calend 01'!C71+(6*'V06 Calend 01'!E71))),('V06 Calend 01'!H71-('V06 Calend 01'!I71*('V06 Calend 01'!E71-1))),'V06 Calend 01'!I71),0))+IF((137='V06 Calend 01'!D71),'V06 Calend 01'!J71,0))</f>
        <v>0</v>
      </c>
      <c r="ET71" s="2">
        <f>((IF((138='V06 Calend 01'!C71),('V06 Calend 01'!F71+'V06 Calend 01'!G71),0)+IF(AND(('V06 Calend 01'!E71&gt;0),(138&gt;'V06 Calend 01'!C71),(138&lt;'V06 Calend 01'!D71),(MOD((138-'V06 Calend 01'!C71),6)=0),(((138-'V06 Calend 01'!C71)/6)&lt;='V06 Calend 01'!E71)),IF((138=('V06 Calend 01'!C71+(6*'V06 Calend 01'!E71))),('V06 Calend 01'!H71-('V06 Calend 01'!I71*('V06 Calend 01'!E71-1))),'V06 Calend 01'!I71),0))+IF((138='V06 Calend 01'!D71),'V06 Calend 01'!J71,0))</f>
        <v>0</v>
      </c>
      <c r="EU71" s="2">
        <f>((IF((139='V06 Calend 01'!C71),('V06 Calend 01'!F71+'V06 Calend 01'!G71),0)+IF(AND(('V06 Calend 01'!E71&gt;0),(139&gt;'V06 Calend 01'!C71),(139&lt;'V06 Calend 01'!D71),(MOD((139-'V06 Calend 01'!C71),6)=0),(((139-'V06 Calend 01'!C71)/6)&lt;='V06 Calend 01'!E71)),IF((139=('V06 Calend 01'!C71+(6*'V06 Calend 01'!E71))),('V06 Calend 01'!H71-('V06 Calend 01'!I71*('V06 Calend 01'!E71-1))),'V06 Calend 01'!I71),0))+IF((139='V06 Calend 01'!D71),'V06 Calend 01'!J71,0))</f>
        <v>0</v>
      </c>
      <c r="EV71" s="2">
        <f>((IF((140='V06 Calend 01'!C71),('V06 Calend 01'!F71+'V06 Calend 01'!G71),0)+IF(AND(('V06 Calend 01'!E71&gt;0),(140&gt;'V06 Calend 01'!C71),(140&lt;'V06 Calend 01'!D71),(MOD((140-'V06 Calend 01'!C71),6)=0),(((140-'V06 Calend 01'!C71)/6)&lt;='V06 Calend 01'!E71)),IF((140=('V06 Calend 01'!C71+(6*'V06 Calend 01'!E71))),('V06 Calend 01'!H71-('V06 Calend 01'!I71*('V06 Calend 01'!E71-1))),'V06 Calend 01'!I71),0))+IF((140='V06 Calend 01'!D71),'V06 Calend 01'!J71,0))</f>
        <v>0</v>
      </c>
      <c r="EW71" s="2">
        <f>((IF((141='V06 Calend 01'!C71),('V06 Calend 01'!F71+'V06 Calend 01'!G71),0)+IF(AND(('V06 Calend 01'!E71&gt;0),(141&gt;'V06 Calend 01'!C71),(141&lt;'V06 Calend 01'!D71),(MOD((141-'V06 Calend 01'!C71),6)=0),(((141-'V06 Calend 01'!C71)/6)&lt;='V06 Calend 01'!E71)),IF((141=('V06 Calend 01'!C71+(6*'V06 Calend 01'!E71))),('V06 Calend 01'!H71-('V06 Calend 01'!I71*('V06 Calend 01'!E71-1))),'V06 Calend 01'!I71),0))+IF((141='V06 Calend 01'!D71),'V06 Calend 01'!J71,0))</f>
        <v>0</v>
      </c>
      <c r="EX71" s="2">
        <f>((IF((142='V06 Calend 01'!C71),('V06 Calend 01'!F71+'V06 Calend 01'!G71),0)+IF(AND(('V06 Calend 01'!E71&gt;0),(142&gt;'V06 Calend 01'!C71),(142&lt;'V06 Calend 01'!D71),(MOD((142-'V06 Calend 01'!C71),6)=0),(((142-'V06 Calend 01'!C71)/6)&lt;='V06 Calend 01'!E71)),IF((142=('V06 Calend 01'!C71+(6*'V06 Calend 01'!E71))),('V06 Calend 01'!H71-('V06 Calend 01'!I71*('V06 Calend 01'!E71-1))),'V06 Calend 01'!I71),0))+IF((142='V06 Calend 01'!D71),'V06 Calend 01'!J71,0))</f>
        <v>0</v>
      </c>
      <c r="EY71" s="2">
        <f>((IF((143='V06 Calend 01'!C71),('V06 Calend 01'!F71+'V06 Calend 01'!G71),0)+IF(AND(('V06 Calend 01'!E71&gt;0),(143&gt;'V06 Calend 01'!C71),(143&lt;'V06 Calend 01'!D71),(MOD((143-'V06 Calend 01'!C71),6)=0),(((143-'V06 Calend 01'!C71)/6)&lt;='V06 Calend 01'!E71)),IF((143=('V06 Calend 01'!C71+(6*'V06 Calend 01'!E71))),('V06 Calend 01'!H71-('V06 Calend 01'!I71*('V06 Calend 01'!E71-1))),'V06 Calend 01'!I71),0))+IF((143='V06 Calend 01'!D71),'V06 Calend 01'!J71,0))</f>
        <v>0</v>
      </c>
      <c r="EZ71" s="2">
        <f>((IF((144='V06 Calend 01'!C71),('V06 Calend 01'!F71+'V06 Calend 01'!G71),0)+IF(AND(('V06 Calend 01'!E71&gt;0),(144&gt;'V06 Calend 01'!C71),(144&lt;'V06 Calend 01'!D71),(MOD((144-'V06 Calend 01'!C71),6)=0),(((144-'V06 Calend 01'!C71)/6)&lt;='V06 Calend 01'!E71)),IF((144=('V06 Calend 01'!C71+(6*'V06 Calend 01'!E71))),('V06 Calend 01'!H71-('V06 Calend 01'!I71*('V06 Calend 01'!E71-1))),'V06 Calend 01'!I71),0))+IF((144='V06 Calend 01'!D71),'V06 Calend 01'!J71,0))</f>
        <v>0</v>
      </c>
      <c r="FA71" s="2">
        <f>((IF((145='V06 Calend 01'!C71),('V06 Calend 01'!F71+'V06 Calend 01'!G71),0)+IF(AND(('V06 Calend 01'!E71&gt;0),(145&gt;'V06 Calend 01'!C71),(145&lt;'V06 Calend 01'!D71),(MOD((145-'V06 Calend 01'!C71),6)=0),(((145-'V06 Calend 01'!C71)/6)&lt;='V06 Calend 01'!E71)),IF((145=('V06 Calend 01'!C71+(6*'V06 Calend 01'!E71))),('V06 Calend 01'!H71-('V06 Calend 01'!I71*('V06 Calend 01'!E71-1))),'V06 Calend 01'!I71),0))+IF((145='V06 Calend 01'!D71),'V06 Calend 01'!J71,0))</f>
        <v>0</v>
      </c>
      <c r="FB71" s="2">
        <f>((IF((146='V06 Calend 01'!C71),('V06 Calend 01'!F71+'V06 Calend 01'!G71),0)+IF(AND(('V06 Calend 01'!E71&gt;0),(146&gt;'V06 Calend 01'!C71),(146&lt;'V06 Calend 01'!D71),(MOD((146-'V06 Calend 01'!C71),6)=0),(((146-'V06 Calend 01'!C71)/6)&lt;='V06 Calend 01'!E71)),IF((146=('V06 Calend 01'!C71+(6*'V06 Calend 01'!E71))),('V06 Calend 01'!H71-('V06 Calend 01'!I71*('V06 Calend 01'!E71-1))),'V06 Calend 01'!I71),0))+IF((146='V06 Calend 01'!D71),'V06 Calend 01'!J71,0))</f>
        <v>0</v>
      </c>
      <c r="FC71" s="2">
        <f>((IF((147='V06 Calend 01'!C71),('V06 Calend 01'!F71+'V06 Calend 01'!G71),0)+IF(AND(('V06 Calend 01'!E71&gt;0),(147&gt;'V06 Calend 01'!C71),(147&lt;'V06 Calend 01'!D71),(MOD((147-'V06 Calend 01'!C71),6)=0),(((147-'V06 Calend 01'!C71)/6)&lt;='V06 Calend 01'!E71)),IF((147=('V06 Calend 01'!C71+(6*'V06 Calend 01'!E71))),('V06 Calend 01'!H71-('V06 Calend 01'!I71*('V06 Calend 01'!E71-1))),'V06 Calend 01'!I71),0))+IF((147='V06 Calend 01'!D71),'V06 Calend 01'!J71,0))</f>
        <v>0</v>
      </c>
      <c r="FD71" s="2">
        <f>((IF((148='V06 Calend 01'!C71),('V06 Calend 01'!F71+'V06 Calend 01'!G71),0)+IF(AND(('V06 Calend 01'!E71&gt;0),(148&gt;'V06 Calend 01'!C71),(148&lt;'V06 Calend 01'!D71),(MOD((148-'V06 Calend 01'!C71),6)=0),(((148-'V06 Calend 01'!C71)/6)&lt;='V06 Calend 01'!E71)),IF((148=('V06 Calend 01'!C71+(6*'V06 Calend 01'!E71))),('V06 Calend 01'!H71-('V06 Calend 01'!I71*('V06 Calend 01'!E71-1))),'V06 Calend 01'!I71),0))+IF((148='V06 Calend 01'!D71),'V06 Calend 01'!J71,0))</f>
        <v>0</v>
      </c>
      <c r="FE71" s="2">
        <f>((IF((149='V06 Calend 01'!C71),('V06 Calend 01'!F71+'V06 Calend 01'!G71),0)+IF(AND(('V06 Calend 01'!E71&gt;0),(149&gt;'V06 Calend 01'!C71),(149&lt;'V06 Calend 01'!D71),(MOD((149-'V06 Calend 01'!C71),6)=0),(((149-'V06 Calend 01'!C71)/6)&lt;='V06 Calend 01'!E71)),IF((149=('V06 Calend 01'!C71+(6*'V06 Calend 01'!E71))),('V06 Calend 01'!H71-('V06 Calend 01'!I71*('V06 Calend 01'!E71-1))),'V06 Calend 01'!I71),0))+IF((149='V06 Calend 01'!D71),'V06 Calend 01'!J71,0))</f>
        <v>0</v>
      </c>
      <c r="FF71" s="2">
        <f>((IF((150='V06 Calend 01'!C71),('V06 Calend 01'!F71+'V06 Calend 01'!G71),0)+IF(AND(('V06 Calend 01'!E71&gt;0),(150&gt;'V06 Calend 01'!C71),(150&lt;'V06 Calend 01'!D71),(MOD((150-'V06 Calend 01'!C71),6)=0),(((150-'V06 Calend 01'!C71)/6)&lt;='V06 Calend 01'!E71)),IF((150=('V06 Calend 01'!C71+(6*'V06 Calend 01'!E71))),('V06 Calend 01'!H71-('V06 Calend 01'!I71*('V06 Calend 01'!E71-1))),'V06 Calend 01'!I71),0))+IF((150='V06 Calend 01'!D71),'V06 Calend 01'!J71,0))</f>
        <v>0</v>
      </c>
      <c r="FG71" s="2">
        <f>((IF((151='V06 Calend 01'!C71),('V06 Calend 01'!F71+'V06 Calend 01'!G71),0)+IF(AND(('V06 Calend 01'!E71&gt;0),(151&gt;'V06 Calend 01'!C71),(151&lt;'V06 Calend 01'!D71),(MOD((151-'V06 Calend 01'!C71),6)=0),(((151-'V06 Calend 01'!C71)/6)&lt;='V06 Calend 01'!E71)),IF((151=('V06 Calend 01'!C71+(6*'V06 Calend 01'!E71))),('V06 Calend 01'!H71-('V06 Calend 01'!I71*('V06 Calend 01'!E71-1))),'V06 Calend 01'!I71),0))+IF((151='V06 Calend 01'!D71),'V06 Calend 01'!J71,0))</f>
        <v>0</v>
      </c>
      <c r="FH71" s="2">
        <f>((IF((152='V06 Calend 01'!C71),('V06 Calend 01'!F71+'V06 Calend 01'!G71),0)+IF(AND(('V06 Calend 01'!E71&gt;0),(152&gt;'V06 Calend 01'!C71),(152&lt;'V06 Calend 01'!D71),(MOD((152-'V06 Calend 01'!C71),6)=0),(((152-'V06 Calend 01'!C71)/6)&lt;='V06 Calend 01'!E71)),IF((152=('V06 Calend 01'!C71+(6*'V06 Calend 01'!E71))),('V06 Calend 01'!H71-('V06 Calend 01'!I71*('V06 Calend 01'!E71-1))),'V06 Calend 01'!I71),0))+IF((152='V06 Calend 01'!D71),'V06 Calend 01'!J71,0))</f>
        <v>0</v>
      </c>
      <c r="FI71" s="2">
        <f>((IF((153='V06 Calend 01'!C71),('V06 Calend 01'!F71+'V06 Calend 01'!G71),0)+IF(AND(('V06 Calend 01'!E71&gt;0),(153&gt;'V06 Calend 01'!C71),(153&lt;'V06 Calend 01'!D71),(MOD((153-'V06 Calend 01'!C71),6)=0),(((153-'V06 Calend 01'!C71)/6)&lt;='V06 Calend 01'!E71)),IF((153=('V06 Calend 01'!C71+(6*'V06 Calend 01'!E71))),('V06 Calend 01'!H71-('V06 Calend 01'!I71*('V06 Calend 01'!E71-1))),'V06 Calend 01'!I71),0))+IF((153='V06 Calend 01'!D71),'V06 Calend 01'!J71,0))</f>
        <v>0</v>
      </c>
      <c r="FJ71" s="2">
        <f>((IF((154='V06 Calend 01'!C71),('V06 Calend 01'!F71+'V06 Calend 01'!G71),0)+IF(AND(('V06 Calend 01'!E71&gt;0),(154&gt;'V06 Calend 01'!C71),(154&lt;'V06 Calend 01'!D71),(MOD((154-'V06 Calend 01'!C71),6)=0),(((154-'V06 Calend 01'!C71)/6)&lt;='V06 Calend 01'!E71)),IF((154=('V06 Calend 01'!C71+(6*'V06 Calend 01'!E71))),('V06 Calend 01'!H71-('V06 Calend 01'!I71*('V06 Calend 01'!E71-1))),'V06 Calend 01'!I71),0))+IF((154='V06 Calend 01'!D71),'V06 Calend 01'!J71,0))</f>
        <v>0</v>
      </c>
      <c r="FK71" s="2">
        <f>((IF((155='V06 Calend 01'!C71),('V06 Calend 01'!F71+'V06 Calend 01'!G71),0)+IF(AND(('V06 Calend 01'!E71&gt;0),(155&gt;'V06 Calend 01'!C71),(155&lt;'V06 Calend 01'!D71),(MOD((155-'V06 Calend 01'!C71),6)=0),(((155-'V06 Calend 01'!C71)/6)&lt;='V06 Calend 01'!E71)),IF((155=('V06 Calend 01'!C71+(6*'V06 Calend 01'!E71))),('V06 Calend 01'!H71-('V06 Calend 01'!I71*('V06 Calend 01'!E71-1))),'V06 Calend 01'!I71),0))+IF((155='V06 Calend 01'!D71),'V06 Calend 01'!J71,0))</f>
        <v>0</v>
      </c>
      <c r="FL71" s="2">
        <f>((IF((156='V06 Calend 01'!C71),('V06 Calend 01'!F71+'V06 Calend 01'!G71),0)+IF(AND(('V06 Calend 01'!E71&gt;0),(156&gt;'V06 Calend 01'!C71),(156&lt;'V06 Calend 01'!D71),(MOD((156-'V06 Calend 01'!C71),6)=0),(((156-'V06 Calend 01'!C71)/6)&lt;='V06 Calend 01'!E71)),IF((156=('V06 Calend 01'!C71+(6*'V06 Calend 01'!E71))),('V06 Calend 01'!H71-('V06 Calend 01'!I71*('V06 Calend 01'!E71-1))),'V06 Calend 01'!I71),0))+IF((156='V06 Calend 01'!D71),'V06 Calend 01'!J71,0))</f>
        <v>0</v>
      </c>
      <c r="FM71" s="2">
        <f>((IF((157='V06 Calend 01'!C71),('V06 Calend 01'!F71+'V06 Calend 01'!G71),0)+IF(AND(('V06 Calend 01'!E71&gt;0),(157&gt;'V06 Calend 01'!C71),(157&lt;'V06 Calend 01'!D71),(MOD((157-'V06 Calend 01'!C71),6)=0),(((157-'V06 Calend 01'!C71)/6)&lt;='V06 Calend 01'!E71)),IF((157=('V06 Calend 01'!C71+(6*'V06 Calend 01'!E71))),('V06 Calend 01'!H71-('V06 Calend 01'!I71*('V06 Calend 01'!E71-1))),'V06 Calend 01'!I71),0))+IF((157='V06 Calend 01'!D71),'V06 Calend 01'!J71,0))</f>
        <v>0</v>
      </c>
      <c r="FN71" s="2">
        <f>((IF((158='V06 Calend 01'!C71),('V06 Calend 01'!F71+'V06 Calend 01'!G71),0)+IF(AND(('V06 Calend 01'!E71&gt;0),(158&gt;'V06 Calend 01'!C71),(158&lt;'V06 Calend 01'!D71),(MOD((158-'V06 Calend 01'!C71),6)=0),(((158-'V06 Calend 01'!C71)/6)&lt;='V06 Calend 01'!E71)),IF((158=('V06 Calend 01'!C71+(6*'V06 Calend 01'!E71))),('V06 Calend 01'!H71-('V06 Calend 01'!I71*('V06 Calend 01'!E71-1))),'V06 Calend 01'!I71),0))+IF((158='V06 Calend 01'!D71),'V06 Calend 01'!J71,0))</f>
        <v>0</v>
      </c>
      <c r="FO71" s="2">
        <f>((IF((159='V06 Calend 01'!C71),('V06 Calend 01'!F71+'V06 Calend 01'!G71),0)+IF(AND(('V06 Calend 01'!E71&gt;0),(159&gt;'V06 Calend 01'!C71),(159&lt;'V06 Calend 01'!D71),(MOD((159-'V06 Calend 01'!C71),6)=0),(((159-'V06 Calend 01'!C71)/6)&lt;='V06 Calend 01'!E71)),IF((159=('V06 Calend 01'!C71+(6*'V06 Calend 01'!E71))),('V06 Calend 01'!H71-('V06 Calend 01'!I71*('V06 Calend 01'!E71-1))),'V06 Calend 01'!I71),0))+IF((159='V06 Calend 01'!D71),'V06 Calend 01'!J71,0))</f>
        <v>0</v>
      </c>
      <c r="FP71" s="2">
        <f>((IF((160='V06 Calend 01'!C71),('V06 Calend 01'!F71+'V06 Calend 01'!G71),0)+IF(AND(('V06 Calend 01'!E71&gt;0),(160&gt;'V06 Calend 01'!C71),(160&lt;'V06 Calend 01'!D71),(MOD((160-'V06 Calend 01'!C71),6)=0),(((160-'V06 Calend 01'!C71)/6)&lt;='V06 Calend 01'!E71)),IF((160=('V06 Calend 01'!C71+(6*'V06 Calend 01'!E71))),('V06 Calend 01'!H71-('V06 Calend 01'!I71*('V06 Calend 01'!E71-1))),'V06 Calend 01'!I71),0))+IF((160='V06 Calend 01'!D71),'V06 Calend 01'!J71,0))</f>
        <v>0</v>
      </c>
      <c r="FQ71" s="2">
        <f>((IF((161='V06 Calend 01'!C71),('V06 Calend 01'!F71+'V06 Calend 01'!G71),0)+IF(AND(('V06 Calend 01'!E71&gt;0),(161&gt;'V06 Calend 01'!C71),(161&lt;'V06 Calend 01'!D71),(MOD((161-'V06 Calend 01'!C71),6)=0),(((161-'V06 Calend 01'!C71)/6)&lt;='V06 Calend 01'!E71)),IF((161=('V06 Calend 01'!C71+(6*'V06 Calend 01'!E71))),('V06 Calend 01'!H71-('V06 Calend 01'!I71*('V06 Calend 01'!E71-1))),'V06 Calend 01'!I71),0))+IF((161='V06 Calend 01'!D71),'V06 Calend 01'!J71,0))</f>
        <v>0</v>
      </c>
      <c r="FR71" s="2">
        <f>((IF((162='V06 Calend 01'!C71),('V06 Calend 01'!F71+'V06 Calend 01'!G71),0)+IF(AND(('V06 Calend 01'!E71&gt;0),(162&gt;'V06 Calend 01'!C71),(162&lt;'V06 Calend 01'!D71),(MOD((162-'V06 Calend 01'!C71),6)=0),(((162-'V06 Calend 01'!C71)/6)&lt;='V06 Calend 01'!E71)),IF((162=('V06 Calend 01'!C71+(6*'V06 Calend 01'!E71))),('V06 Calend 01'!H71-('V06 Calend 01'!I71*('V06 Calend 01'!E71-1))),'V06 Calend 01'!I71),0))+IF((162='V06 Calend 01'!D71),'V06 Calend 01'!J71,0))</f>
        <v>0</v>
      </c>
      <c r="FS71" s="2">
        <f>((IF((163='V06 Calend 01'!C71),('V06 Calend 01'!F71+'V06 Calend 01'!G71),0)+IF(AND(('V06 Calend 01'!E71&gt;0),(163&gt;'V06 Calend 01'!C71),(163&lt;'V06 Calend 01'!D71),(MOD((163-'V06 Calend 01'!C71),6)=0),(((163-'V06 Calend 01'!C71)/6)&lt;='V06 Calend 01'!E71)),IF((163=('V06 Calend 01'!C71+(6*'V06 Calend 01'!E71))),('V06 Calend 01'!H71-('V06 Calend 01'!I71*('V06 Calend 01'!E71-1))),'V06 Calend 01'!I71),0))+IF((163='V06 Calend 01'!D71),'V06 Calend 01'!J71,0))</f>
        <v>0</v>
      </c>
      <c r="FT71" s="2">
        <f>((IF((164='V06 Calend 01'!C71),('V06 Calend 01'!F71+'V06 Calend 01'!G71),0)+IF(AND(('V06 Calend 01'!E71&gt;0),(164&gt;'V06 Calend 01'!C71),(164&lt;'V06 Calend 01'!D71),(MOD((164-'V06 Calend 01'!C71),6)=0),(((164-'V06 Calend 01'!C71)/6)&lt;='V06 Calend 01'!E71)),IF((164=('V06 Calend 01'!C71+(6*'V06 Calend 01'!E71))),('V06 Calend 01'!H71-('V06 Calend 01'!I71*('V06 Calend 01'!E71-1))),'V06 Calend 01'!I71),0))+IF((164='V06 Calend 01'!D71),'V06 Calend 01'!J71,0))</f>
        <v>0</v>
      </c>
      <c r="FU71" s="2">
        <f>((IF((165='V06 Calend 01'!C71),('V06 Calend 01'!F71+'V06 Calend 01'!G71),0)+IF(AND(('V06 Calend 01'!E71&gt;0),(165&gt;'V06 Calend 01'!C71),(165&lt;'V06 Calend 01'!D71),(MOD((165-'V06 Calend 01'!C71),6)=0),(((165-'V06 Calend 01'!C71)/6)&lt;='V06 Calend 01'!E71)),IF((165=('V06 Calend 01'!C71+(6*'V06 Calend 01'!E71))),('V06 Calend 01'!H71-('V06 Calend 01'!I71*('V06 Calend 01'!E71-1))),'V06 Calend 01'!I71),0))+IF((165='V06 Calend 01'!D71),'V06 Calend 01'!J71,0))</f>
        <v>0</v>
      </c>
      <c r="FV71" s="2">
        <f>((IF((166='V06 Calend 01'!C71),('V06 Calend 01'!F71+'V06 Calend 01'!G71),0)+IF(AND(('V06 Calend 01'!E71&gt;0),(166&gt;'V06 Calend 01'!C71),(166&lt;'V06 Calend 01'!D71),(MOD((166-'V06 Calend 01'!C71),6)=0),(((166-'V06 Calend 01'!C71)/6)&lt;='V06 Calend 01'!E71)),IF((166=('V06 Calend 01'!C71+(6*'V06 Calend 01'!E71))),('V06 Calend 01'!H71-('V06 Calend 01'!I71*('V06 Calend 01'!E71-1))),'V06 Calend 01'!I71),0))+IF((166='V06 Calend 01'!D71),'V06 Calend 01'!J71,0))</f>
        <v>0</v>
      </c>
      <c r="FW71" s="2">
        <f>((IF((167='V06 Calend 01'!C71),('V06 Calend 01'!F71+'V06 Calend 01'!G71),0)+IF(AND(('V06 Calend 01'!E71&gt;0),(167&gt;'V06 Calend 01'!C71),(167&lt;'V06 Calend 01'!D71),(MOD((167-'V06 Calend 01'!C71),6)=0),(((167-'V06 Calend 01'!C71)/6)&lt;='V06 Calend 01'!E71)),IF((167=('V06 Calend 01'!C71+(6*'V06 Calend 01'!E71))),('V06 Calend 01'!H71-('V06 Calend 01'!I71*('V06 Calend 01'!E71-1))),'V06 Calend 01'!I71),0))+IF((167='V06 Calend 01'!D71),'V06 Calend 01'!J71,0))</f>
        <v>0</v>
      </c>
      <c r="FX71" s="2">
        <f>((IF((168='V06 Calend 01'!C71),('V06 Calend 01'!F71+'V06 Calend 01'!G71),0)+IF(AND(('V06 Calend 01'!E71&gt;0),(168&gt;'V06 Calend 01'!C71),(168&lt;'V06 Calend 01'!D71),(MOD((168-'V06 Calend 01'!C71),6)=0),(((168-'V06 Calend 01'!C71)/6)&lt;='V06 Calend 01'!E71)),IF((168=('V06 Calend 01'!C71+(6*'V06 Calend 01'!E71))),('V06 Calend 01'!H71-('V06 Calend 01'!I71*('V06 Calend 01'!E71-1))),'V06 Calend 01'!I71),0))+IF((168='V06 Calend 01'!D71),'V06 Calend 01'!J71,0))</f>
        <v>0</v>
      </c>
      <c r="FY71" s="2">
        <f>((IF((169='V06 Calend 01'!C71),('V06 Calend 01'!F71+'V06 Calend 01'!G71),0)+IF(AND(('V06 Calend 01'!E71&gt;0),(169&gt;'V06 Calend 01'!C71),(169&lt;'V06 Calend 01'!D71),(MOD((169-'V06 Calend 01'!C71),6)=0),(((169-'V06 Calend 01'!C71)/6)&lt;='V06 Calend 01'!E71)),IF((169=('V06 Calend 01'!C71+(6*'V06 Calend 01'!E71))),('V06 Calend 01'!H71-('V06 Calend 01'!I71*('V06 Calend 01'!E71-1))),'V06 Calend 01'!I71),0))+IF((169='V06 Calend 01'!D71),'V06 Calend 01'!J71,0))</f>
        <v>0</v>
      </c>
      <c r="FZ71" s="2">
        <f>((IF((170='V06 Calend 01'!C71),('V06 Calend 01'!F71+'V06 Calend 01'!G71),0)+IF(AND(('V06 Calend 01'!E71&gt;0),(170&gt;'V06 Calend 01'!C71),(170&lt;'V06 Calend 01'!D71),(MOD((170-'V06 Calend 01'!C71),6)=0),(((170-'V06 Calend 01'!C71)/6)&lt;='V06 Calend 01'!E71)),IF((170=('V06 Calend 01'!C71+(6*'V06 Calend 01'!E71))),('V06 Calend 01'!H71-('V06 Calend 01'!I71*('V06 Calend 01'!E71-1))),'V06 Calend 01'!I71),0))+IF((170='V06 Calend 01'!D71),'V06 Calend 01'!J71,0))</f>
        <v>0</v>
      </c>
      <c r="GA71" s="2">
        <f>((IF((171='V06 Calend 01'!C71),('V06 Calend 01'!F71+'V06 Calend 01'!G71),0)+IF(AND(('V06 Calend 01'!E71&gt;0),(171&gt;'V06 Calend 01'!C71),(171&lt;'V06 Calend 01'!D71),(MOD((171-'V06 Calend 01'!C71),6)=0),(((171-'V06 Calend 01'!C71)/6)&lt;='V06 Calend 01'!E71)),IF((171=('V06 Calend 01'!C71+(6*'V06 Calend 01'!E71))),('V06 Calend 01'!H71-('V06 Calend 01'!I71*('V06 Calend 01'!E71-1))),'V06 Calend 01'!I71),0))+IF((171='V06 Calend 01'!D71),'V06 Calend 01'!J71,0))</f>
        <v>0</v>
      </c>
      <c r="GB71" s="2">
        <f>((IF((172='V06 Calend 01'!C71),('V06 Calend 01'!F71+'V06 Calend 01'!G71),0)+IF(AND(('V06 Calend 01'!E71&gt;0),(172&gt;'V06 Calend 01'!C71),(172&lt;'V06 Calend 01'!D71),(MOD((172-'V06 Calend 01'!C71),6)=0),(((172-'V06 Calend 01'!C71)/6)&lt;='V06 Calend 01'!E71)),IF((172=('V06 Calend 01'!C71+(6*'V06 Calend 01'!E71))),('V06 Calend 01'!H71-('V06 Calend 01'!I71*('V06 Calend 01'!E71-1))),'V06 Calend 01'!I71),0))+IF((172='V06 Calend 01'!D71),'V06 Calend 01'!J71,0))</f>
        <v>0</v>
      </c>
      <c r="GC71" s="2">
        <f>((IF((173='V06 Calend 01'!C71),('V06 Calend 01'!F71+'V06 Calend 01'!G71),0)+IF(AND(('V06 Calend 01'!E71&gt;0),(173&gt;'V06 Calend 01'!C71),(173&lt;'V06 Calend 01'!D71),(MOD((173-'V06 Calend 01'!C71),6)=0),(((173-'V06 Calend 01'!C71)/6)&lt;='V06 Calend 01'!E71)),IF((173=('V06 Calend 01'!C71+(6*'V06 Calend 01'!E71))),('V06 Calend 01'!H71-('V06 Calend 01'!I71*('V06 Calend 01'!E71-1))),'V06 Calend 01'!I71),0))+IF((173='V06 Calend 01'!D71),'V06 Calend 01'!J71,0))</f>
        <v>0</v>
      </c>
      <c r="GD71" s="2">
        <f>((IF((174='V06 Calend 01'!C71),('V06 Calend 01'!F71+'V06 Calend 01'!G71),0)+IF(AND(('V06 Calend 01'!E71&gt;0),(174&gt;'V06 Calend 01'!C71),(174&lt;'V06 Calend 01'!D71),(MOD((174-'V06 Calend 01'!C71),6)=0),(((174-'V06 Calend 01'!C71)/6)&lt;='V06 Calend 01'!E71)),IF((174=('V06 Calend 01'!C71+(6*'V06 Calend 01'!E71))),('V06 Calend 01'!H71-('V06 Calend 01'!I71*('V06 Calend 01'!E71-1))),'V06 Calend 01'!I71),0))+IF((174='V06 Calend 01'!D71),'V06 Calend 01'!J71,0))</f>
        <v>0</v>
      </c>
      <c r="GE71" s="2">
        <f>((IF((175='V06 Calend 01'!C71),('V06 Calend 01'!F71+'V06 Calend 01'!G71),0)+IF(AND(('V06 Calend 01'!E71&gt;0),(175&gt;'V06 Calend 01'!C71),(175&lt;'V06 Calend 01'!D71),(MOD((175-'V06 Calend 01'!C71),6)=0),(((175-'V06 Calend 01'!C71)/6)&lt;='V06 Calend 01'!E71)),IF((175=('V06 Calend 01'!C71+(6*'V06 Calend 01'!E71))),('V06 Calend 01'!H71-('V06 Calend 01'!I71*('V06 Calend 01'!E71-1))),'V06 Calend 01'!I71),0))+IF((175='V06 Calend 01'!D71),'V06 Calend 01'!J71,0))</f>
        <v>0</v>
      </c>
      <c r="GF71" s="2">
        <f>((IF((176='V06 Calend 01'!C71),('V06 Calend 01'!F71+'V06 Calend 01'!G71),0)+IF(AND(('V06 Calend 01'!E71&gt;0),(176&gt;'V06 Calend 01'!C71),(176&lt;'V06 Calend 01'!D71),(MOD((176-'V06 Calend 01'!C71),6)=0),(((176-'V06 Calend 01'!C71)/6)&lt;='V06 Calend 01'!E71)),IF((176=('V06 Calend 01'!C71+(6*'V06 Calend 01'!E71))),('V06 Calend 01'!H71-('V06 Calend 01'!I71*('V06 Calend 01'!E71-1))),'V06 Calend 01'!I71),0))+IF((176='V06 Calend 01'!D71),'V06 Calend 01'!J71,0))</f>
        <v>0</v>
      </c>
      <c r="GG71" s="2">
        <f>((IF((177='V06 Calend 01'!C71),('V06 Calend 01'!F71+'V06 Calend 01'!G71),0)+IF(AND(('V06 Calend 01'!E71&gt;0),(177&gt;'V06 Calend 01'!C71),(177&lt;'V06 Calend 01'!D71),(MOD((177-'V06 Calend 01'!C71),6)=0),(((177-'V06 Calend 01'!C71)/6)&lt;='V06 Calend 01'!E71)),IF((177=('V06 Calend 01'!C71+(6*'V06 Calend 01'!E71))),('V06 Calend 01'!H71-('V06 Calend 01'!I71*('V06 Calend 01'!E71-1))),'V06 Calend 01'!I71),0))+IF((177='V06 Calend 01'!D71),'V06 Calend 01'!J71,0))</f>
        <v>0</v>
      </c>
      <c r="GH71" s="2">
        <f>((IF((178='V06 Calend 01'!C71),('V06 Calend 01'!F71+'V06 Calend 01'!G71),0)+IF(AND(('V06 Calend 01'!E71&gt;0),(178&gt;'V06 Calend 01'!C71),(178&lt;'V06 Calend 01'!D71),(MOD((178-'V06 Calend 01'!C71),6)=0),(((178-'V06 Calend 01'!C71)/6)&lt;='V06 Calend 01'!E71)),IF((178=('V06 Calend 01'!C71+(6*'V06 Calend 01'!E71))),('V06 Calend 01'!H71-('V06 Calend 01'!I71*('V06 Calend 01'!E71-1))),'V06 Calend 01'!I71),0))+IF((178='V06 Calend 01'!D71),'V06 Calend 01'!J71,0))</f>
        <v>0</v>
      </c>
      <c r="GI71" s="2">
        <f>((IF((179='V06 Calend 01'!C71),('V06 Calend 01'!F71+'V06 Calend 01'!G71),0)+IF(AND(('V06 Calend 01'!E71&gt;0),(179&gt;'V06 Calend 01'!C71),(179&lt;'V06 Calend 01'!D71),(MOD((179-'V06 Calend 01'!C71),6)=0),(((179-'V06 Calend 01'!C71)/6)&lt;='V06 Calend 01'!E71)),IF((179=('V06 Calend 01'!C71+(6*'V06 Calend 01'!E71))),('V06 Calend 01'!H71-('V06 Calend 01'!I71*('V06 Calend 01'!E71-1))),'V06 Calend 01'!I71),0))+IF((179='V06 Calend 01'!D71),'V06 Calend 01'!J71,0))</f>
        <v>0</v>
      </c>
      <c r="GJ71" s="2">
        <f>((IF((180='V06 Calend 01'!C71),('V06 Calend 01'!F71+'V06 Calend 01'!G71),0)+IF(AND(('V06 Calend 01'!E71&gt;0),(180&gt;'V06 Calend 01'!C71),(180&lt;'V06 Calend 01'!D71),(MOD((180-'V06 Calend 01'!C71),6)=0),(((180-'V06 Calend 01'!C71)/6)&lt;='V06 Calend 01'!E71)),IF((180=('V06 Calend 01'!C71+(6*'V06 Calend 01'!E71))),('V06 Calend 01'!H71-('V06 Calend 01'!I71*('V06 Calend 01'!E71-1))),'V06 Calend 01'!I71),0))+IF((180='V06 Calend 01'!D71),'V06 Calend 01'!J71,0))</f>
        <v>0</v>
      </c>
    </row>
    <row r="72" spans="1:192">
      <c r="A72" s="3" t="str">
        <f>'V06 Unidades'!$A$72</f>
        <v>808</v>
      </c>
      <c r="B72" s="2">
        <f>'V06 Unidades'!$H$72</f>
        <v>378524.82</v>
      </c>
      <c r="C72" s="4">
        <f>('V06 Unidades'!$I$72+'V06 Controlos'!$B$37)</f>
        <v>19</v>
      </c>
      <c r="D72" s="4">
        <f>IF(('V06 Controlos'!$B$38&gt;0),MAX(('V06 Unidades'!$L$72+'V06 Controlos'!$B$37),(30+'V06 Controlos'!$B$38)),('V06 Unidades'!$L$72+'V06 Controlos'!$B$37))</f>
        <v>29</v>
      </c>
      <c r="E72" s="4">
        <f>MAX(0,INT(((('V06 Calend 01'!D72-'V06 Calend 01'!C72)-1)/6)))</f>
        <v>1</v>
      </c>
      <c r="F72" s="2">
        <f>ROUND(('V06 Calend 01'!B72*0.05),2)</f>
        <v>18926.24</v>
      </c>
      <c r="G72" s="2">
        <f>ROUND(('V06 Calend 01'!B72*0.2),2)</f>
        <v>75704.96</v>
      </c>
      <c r="H72" s="2">
        <f>ROUND(('V06 Calend 01'!B72*0.55),2)</f>
        <v>208188.65</v>
      </c>
      <c r="I72" s="2">
        <f>ROUND(('V06 Calend 01'!H72/MAX(1,'V06 Calend 01'!E72)),2)</f>
        <v>208188.65</v>
      </c>
      <c r="J72" s="2">
        <f>((('V06 Calend 01'!B72-'V06 Calend 01'!F72)-'V06 Calend 01'!G72)-'V06 Calend 01'!H72)</f>
        <v>75704.97</v>
      </c>
      <c r="K72" s="2">
        <f>('V06 Calend 01'!B72*0.025)</f>
        <v>9463.1205</v>
      </c>
      <c r="L72" t="s">
        <v>378</v>
      </c>
      <c r="M72" s="2">
        <f>((IF((1='V06 Calend 01'!C72),('V06 Calend 01'!F72+'V06 Calend 01'!G72),0)+IF(AND(('V06 Calend 01'!E72&gt;0),(1&gt;'V06 Calend 01'!C72),(1&lt;'V06 Calend 01'!D72),(MOD((1-'V06 Calend 01'!C72),6)=0),(((1-'V06 Calend 01'!C72)/6)&lt;='V06 Calend 01'!E72)),IF((1=('V06 Calend 01'!C72+(6*'V06 Calend 01'!E72))),('V06 Calend 01'!H72-('V06 Calend 01'!I72*('V06 Calend 01'!E72-1))),'V06 Calend 01'!I72),0))+IF((1='V06 Calend 01'!D72),'V06 Calend 01'!J72,0))</f>
        <v>0</v>
      </c>
      <c r="N72" s="2">
        <f>((IF((2='V06 Calend 01'!C72),('V06 Calend 01'!F72+'V06 Calend 01'!G72),0)+IF(AND(('V06 Calend 01'!E72&gt;0),(2&gt;'V06 Calend 01'!C72),(2&lt;'V06 Calend 01'!D72),(MOD((2-'V06 Calend 01'!C72),6)=0),(((2-'V06 Calend 01'!C72)/6)&lt;='V06 Calend 01'!E72)),IF((2=('V06 Calend 01'!C72+(6*'V06 Calend 01'!E72))),('V06 Calend 01'!H72-('V06 Calend 01'!I72*('V06 Calend 01'!E72-1))),'V06 Calend 01'!I72),0))+IF((2='V06 Calend 01'!D72),'V06 Calend 01'!J72,0))</f>
        <v>0</v>
      </c>
      <c r="O72" s="2">
        <f>((IF((3='V06 Calend 01'!C72),('V06 Calend 01'!F72+'V06 Calend 01'!G72),0)+IF(AND(('V06 Calend 01'!E72&gt;0),(3&gt;'V06 Calend 01'!C72),(3&lt;'V06 Calend 01'!D72),(MOD((3-'V06 Calend 01'!C72),6)=0),(((3-'V06 Calend 01'!C72)/6)&lt;='V06 Calend 01'!E72)),IF((3=('V06 Calend 01'!C72+(6*'V06 Calend 01'!E72))),('V06 Calend 01'!H72-('V06 Calend 01'!I72*('V06 Calend 01'!E72-1))),'V06 Calend 01'!I72),0))+IF((3='V06 Calend 01'!D72),'V06 Calend 01'!J72,0))</f>
        <v>0</v>
      </c>
      <c r="P72" s="2">
        <f>((IF((4='V06 Calend 01'!C72),('V06 Calend 01'!F72+'V06 Calend 01'!G72),0)+IF(AND(('V06 Calend 01'!E72&gt;0),(4&gt;'V06 Calend 01'!C72),(4&lt;'V06 Calend 01'!D72),(MOD((4-'V06 Calend 01'!C72),6)=0),(((4-'V06 Calend 01'!C72)/6)&lt;='V06 Calend 01'!E72)),IF((4=('V06 Calend 01'!C72+(6*'V06 Calend 01'!E72))),('V06 Calend 01'!H72-('V06 Calend 01'!I72*('V06 Calend 01'!E72-1))),'V06 Calend 01'!I72),0))+IF((4='V06 Calend 01'!D72),'V06 Calend 01'!J72,0))</f>
        <v>0</v>
      </c>
      <c r="Q72" s="2">
        <f>((IF((5='V06 Calend 01'!C72),('V06 Calend 01'!F72+'V06 Calend 01'!G72),0)+IF(AND(('V06 Calend 01'!E72&gt;0),(5&gt;'V06 Calend 01'!C72),(5&lt;'V06 Calend 01'!D72),(MOD((5-'V06 Calend 01'!C72),6)=0),(((5-'V06 Calend 01'!C72)/6)&lt;='V06 Calend 01'!E72)),IF((5=('V06 Calend 01'!C72+(6*'V06 Calend 01'!E72))),('V06 Calend 01'!H72-('V06 Calend 01'!I72*('V06 Calend 01'!E72-1))),'V06 Calend 01'!I72),0))+IF((5='V06 Calend 01'!D72),'V06 Calend 01'!J72,0))</f>
        <v>0</v>
      </c>
      <c r="R72" s="2">
        <f>((IF((6='V06 Calend 01'!C72),('V06 Calend 01'!F72+'V06 Calend 01'!G72),0)+IF(AND(('V06 Calend 01'!E72&gt;0),(6&gt;'V06 Calend 01'!C72),(6&lt;'V06 Calend 01'!D72),(MOD((6-'V06 Calend 01'!C72),6)=0),(((6-'V06 Calend 01'!C72)/6)&lt;='V06 Calend 01'!E72)),IF((6=('V06 Calend 01'!C72+(6*'V06 Calend 01'!E72))),('V06 Calend 01'!H72-('V06 Calend 01'!I72*('V06 Calend 01'!E72-1))),'V06 Calend 01'!I72),0))+IF((6='V06 Calend 01'!D72),'V06 Calend 01'!J72,0))</f>
        <v>0</v>
      </c>
      <c r="S72" s="2">
        <f>((IF((7='V06 Calend 01'!C72),('V06 Calend 01'!F72+'V06 Calend 01'!G72),0)+IF(AND(('V06 Calend 01'!E72&gt;0),(7&gt;'V06 Calend 01'!C72),(7&lt;'V06 Calend 01'!D72),(MOD((7-'V06 Calend 01'!C72),6)=0),(((7-'V06 Calend 01'!C72)/6)&lt;='V06 Calend 01'!E72)),IF((7=('V06 Calend 01'!C72+(6*'V06 Calend 01'!E72))),('V06 Calend 01'!H72-('V06 Calend 01'!I72*('V06 Calend 01'!E72-1))),'V06 Calend 01'!I72),0))+IF((7='V06 Calend 01'!D72),'V06 Calend 01'!J72,0))</f>
        <v>0</v>
      </c>
      <c r="T72" s="2">
        <f>((IF((8='V06 Calend 01'!C72),('V06 Calend 01'!F72+'V06 Calend 01'!G72),0)+IF(AND(('V06 Calend 01'!E72&gt;0),(8&gt;'V06 Calend 01'!C72),(8&lt;'V06 Calend 01'!D72),(MOD((8-'V06 Calend 01'!C72),6)=0),(((8-'V06 Calend 01'!C72)/6)&lt;='V06 Calend 01'!E72)),IF((8=('V06 Calend 01'!C72+(6*'V06 Calend 01'!E72))),('V06 Calend 01'!H72-('V06 Calend 01'!I72*('V06 Calend 01'!E72-1))),'V06 Calend 01'!I72),0))+IF((8='V06 Calend 01'!D72),'V06 Calend 01'!J72,0))</f>
        <v>0</v>
      </c>
      <c r="U72" s="2">
        <f>((IF((9='V06 Calend 01'!C72),('V06 Calend 01'!F72+'V06 Calend 01'!G72),0)+IF(AND(('V06 Calend 01'!E72&gt;0),(9&gt;'V06 Calend 01'!C72),(9&lt;'V06 Calend 01'!D72),(MOD((9-'V06 Calend 01'!C72),6)=0),(((9-'V06 Calend 01'!C72)/6)&lt;='V06 Calend 01'!E72)),IF((9=('V06 Calend 01'!C72+(6*'V06 Calend 01'!E72))),('V06 Calend 01'!H72-('V06 Calend 01'!I72*('V06 Calend 01'!E72-1))),'V06 Calend 01'!I72),0))+IF((9='V06 Calend 01'!D72),'V06 Calend 01'!J72,0))</f>
        <v>0</v>
      </c>
      <c r="V72" s="2">
        <f>((IF((10='V06 Calend 01'!C72),('V06 Calend 01'!F72+'V06 Calend 01'!G72),0)+IF(AND(('V06 Calend 01'!E72&gt;0),(10&gt;'V06 Calend 01'!C72),(10&lt;'V06 Calend 01'!D72),(MOD((10-'V06 Calend 01'!C72),6)=0),(((10-'V06 Calend 01'!C72)/6)&lt;='V06 Calend 01'!E72)),IF((10=('V06 Calend 01'!C72+(6*'V06 Calend 01'!E72))),('V06 Calend 01'!H72-('V06 Calend 01'!I72*('V06 Calend 01'!E72-1))),'V06 Calend 01'!I72),0))+IF((10='V06 Calend 01'!D72),'V06 Calend 01'!J72,0))</f>
        <v>0</v>
      </c>
      <c r="W72" s="2">
        <f>((IF((11='V06 Calend 01'!C72),('V06 Calend 01'!F72+'V06 Calend 01'!G72),0)+IF(AND(('V06 Calend 01'!E72&gt;0),(11&gt;'V06 Calend 01'!C72),(11&lt;'V06 Calend 01'!D72),(MOD((11-'V06 Calend 01'!C72),6)=0),(((11-'V06 Calend 01'!C72)/6)&lt;='V06 Calend 01'!E72)),IF((11=('V06 Calend 01'!C72+(6*'V06 Calend 01'!E72))),('V06 Calend 01'!H72-('V06 Calend 01'!I72*('V06 Calend 01'!E72-1))),'V06 Calend 01'!I72),0))+IF((11='V06 Calend 01'!D72),'V06 Calend 01'!J72,0))</f>
        <v>0</v>
      </c>
      <c r="X72" s="2">
        <f>((IF((12='V06 Calend 01'!C72),('V06 Calend 01'!F72+'V06 Calend 01'!G72),0)+IF(AND(('V06 Calend 01'!E72&gt;0),(12&gt;'V06 Calend 01'!C72),(12&lt;'V06 Calend 01'!D72),(MOD((12-'V06 Calend 01'!C72),6)=0),(((12-'V06 Calend 01'!C72)/6)&lt;='V06 Calend 01'!E72)),IF((12=('V06 Calend 01'!C72+(6*'V06 Calend 01'!E72))),('V06 Calend 01'!H72-('V06 Calend 01'!I72*('V06 Calend 01'!E72-1))),'V06 Calend 01'!I72),0))+IF((12='V06 Calend 01'!D72),'V06 Calend 01'!J72,0))</f>
        <v>0</v>
      </c>
      <c r="Y72" s="2">
        <f>((IF((13='V06 Calend 01'!C72),('V06 Calend 01'!F72+'V06 Calend 01'!G72),0)+IF(AND(('V06 Calend 01'!E72&gt;0),(13&gt;'V06 Calend 01'!C72),(13&lt;'V06 Calend 01'!D72),(MOD((13-'V06 Calend 01'!C72),6)=0),(((13-'V06 Calend 01'!C72)/6)&lt;='V06 Calend 01'!E72)),IF((13=('V06 Calend 01'!C72+(6*'V06 Calend 01'!E72))),('V06 Calend 01'!H72-('V06 Calend 01'!I72*('V06 Calend 01'!E72-1))),'V06 Calend 01'!I72),0))+IF((13='V06 Calend 01'!D72),'V06 Calend 01'!J72,0))</f>
        <v>0</v>
      </c>
      <c r="Z72" s="2">
        <f>((IF((14='V06 Calend 01'!C72),('V06 Calend 01'!F72+'V06 Calend 01'!G72),0)+IF(AND(('V06 Calend 01'!E72&gt;0),(14&gt;'V06 Calend 01'!C72),(14&lt;'V06 Calend 01'!D72),(MOD((14-'V06 Calend 01'!C72),6)=0),(((14-'V06 Calend 01'!C72)/6)&lt;='V06 Calend 01'!E72)),IF((14=('V06 Calend 01'!C72+(6*'V06 Calend 01'!E72))),('V06 Calend 01'!H72-('V06 Calend 01'!I72*('V06 Calend 01'!E72-1))),'V06 Calend 01'!I72),0))+IF((14='V06 Calend 01'!D72),'V06 Calend 01'!J72,0))</f>
        <v>0</v>
      </c>
      <c r="AA72" s="2">
        <f>((IF((15='V06 Calend 01'!C72),('V06 Calend 01'!F72+'V06 Calend 01'!G72),0)+IF(AND(('V06 Calend 01'!E72&gt;0),(15&gt;'V06 Calend 01'!C72),(15&lt;'V06 Calend 01'!D72),(MOD((15-'V06 Calend 01'!C72),6)=0),(((15-'V06 Calend 01'!C72)/6)&lt;='V06 Calend 01'!E72)),IF((15=('V06 Calend 01'!C72+(6*'V06 Calend 01'!E72))),('V06 Calend 01'!H72-('V06 Calend 01'!I72*('V06 Calend 01'!E72-1))),'V06 Calend 01'!I72),0))+IF((15='V06 Calend 01'!D72),'V06 Calend 01'!J72,0))</f>
        <v>0</v>
      </c>
      <c r="AB72" s="2">
        <f>((IF((16='V06 Calend 01'!C72),('V06 Calend 01'!F72+'V06 Calend 01'!G72),0)+IF(AND(('V06 Calend 01'!E72&gt;0),(16&gt;'V06 Calend 01'!C72),(16&lt;'V06 Calend 01'!D72),(MOD((16-'V06 Calend 01'!C72),6)=0),(((16-'V06 Calend 01'!C72)/6)&lt;='V06 Calend 01'!E72)),IF((16=('V06 Calend 01'!C72+(6*'V06 Calend 01'!E72))),('V06 Calend 01'!H72-('V06 Calend 01'!I72*('V06 Calend 01'!E72-1))),'V06 Calend 01'!I72),0))+IF((16='V06 Calend 01'!D72),'V06 Calend 01'!J72,0))</f>
        <v>0</v>
      </c>
      <c r="AC72" s="2">
        <f>((IF((17='V06 Calend 01'!C72),('V06 Calend 01'!F72+'V06 Calend 01'!G72),0)+IF(AND(('V06 Calend 01'!E72&gt;0),(17&gt;'V06 Calend 01'!C72),(17&lt;'V06 Calend 01'!D72),(MOD((17-'V06 Calend 01'!C72),6)=0),(((17-'V06 Calend 01'!C72)/6)&lt;='V06 Calend 01'!E72)),IF((17=('V06 Calend 01'!C72+(6*'V06 Calend 01'!E72))),('V06 Calend 01'!H72-('V06 Calend 01'!I72*('V06 Calend 01'!E72-1))),'V06 Calend 01'!I72),0))+IF((17='V06 Calend 01'!D72),'V06 Calend 01'!J72,0))</f>
        <v>0</v>
      </c>
      <c r="AD72" s="2">
        <f>((IF((18='V06 Calend 01'!C72),('V06 Calend 01'!F72+'V06 Calend 01'!G72),0)+IF(AND(('V06 Calend 01'!E72&gt;0),(18&gt;'V06 Calend 01'!C72),(18&lt;'V06 Calend 01'!D72),(MOD((18-'V06 Calend 01'!C72),6)=0),(((18-'V06 Calend 01'!C72)/6)&lt;='V06 Calend 01'!E72)),IF((18=('V06 Calend 01'!C72+(6*'V06 Calend 01'!E72))),('V06 Calend 01'!H72-('V06 Calend 01'!I72*('V06 Calend 01'!E72-1))),'V06 Calend 01'!I72),0))+IF((18='V06 Calend 01'!D72),'V06 Calend 01'!J72,0))</f>
        <v>0</v>
      </c>
      <c r="AE72" s="2">
        <f>((IF((19='V06 Calend 01'!C72),('V06 Calend 01'!F72+'V06 Calend 01'!G72),0)+IF(AND(('V06 Calend 01'!E72&gt;0),(19&gt;'V06 Calend 01'!C72),(19&lt;'V06 Calend 01'!D72),(MOD((19-'V06 Calend 01'!C72),6)=0),(((19-'V06 Calend 01'!C72)/6)&lt;='V06 Calend 01'!E72)),IF((19=('V06 Calend 01'!C72+(6*'V06 Calend 01'!E72))),('V06 Calend 01'!H72-('V06 Calend 01'!I72*('V06 Calend 01'!E72-1))),'V06 Calend 01'!I72),0))+IF((19='V06 Calend 01'!D72),'V06 Calend 01'!J72,0))</f>
        <v>94631.20000000001</v>
      </c>
      <c r="AF72" s="2">
        <f>((IF((20='V06 Calend 01'!C72),('V06 Calend 01'!F72+'V06 Calend 01'!G72),0)+IF(AND(('V06 Calend 01'!E72&gt;0),(20&gt;'V06 Calend 01'!C72),(20&lt;'V06 Calend 01'!D72),(MOD((20-'V06 Calend 01'!C72),6)=0),(((20-'V06 Calend 01'!C72)/6)&lt;='V06 Calend 01'!E72)),IF((20=('V06 Calend 01'!C72+(6*'V06 Calend 01'!E72))),('V06 Calend 01'!H72-('V06 Calend 01'!I72*('V06 Calend 01'!E72-1))),'V06 Calend 01'!I72),0))+IF((20='V06 Calend 01'!D72),'V06 Calend 01'!J72,0))</f>
        <v>0</v>
      </c>
      <c r="AG72" s="2">
        <f>((IF((21='V06 Calend 01'!C72),('V06 Calend 01'!F72+'V06 Calend 01'!G72),0)+IF(AND(('V06 Calend 01'!E72&gt;0),(21&gt;'V06 Calend 01'!C72),(21&lt;'V06 Calend 01'!D72),(MOD((21-'V06 Calend 01'!C72),6)=0),(((21-'V06 Calend 01'!C72)/6)&lt;='V06 Calend 01'!E72)),IF((21=('V06 Calend 01'!C72+(6*'V06 Calend 01'!E72))),('V06 Calend 01'!H72-('V06 Calend 01'!I72*('V06 Calend 01'!E72-1))),'V06 Calend 01'!I72),0))+IF((21='V06 Calend 01'!D72),'V06 Calend 01'!J72,0))</f>
        <v>0</v>
      </c>
      <c r="AH72" s="2">
        <f>((IF((22='V06 Calend 01'!C72),('V06 Calend 01'!F72+'V06 Calend 01'!G72),0)+IF(AND(('V06 Calend 01'!E72&gt;0),(22&gt;'V06 Calend 01'!C72),(22&lt;'V06 Calend 01'!D72),(MOD((22-'V06 Calend 01'!C72),6)=0),(((22-'V06 Calend 01'!C72)/6)&lt;='V06 Calend 01'!E72)),IF((22=('V06 Calend 01'!C72+(6*'V06 Calend 01'!E72))),('V06 Calend 01'!H72-('V06 Calend 01'!I72*('V06 Calend 01'!E72-1))),'V06 Calend 01'!I72),0))+IF((22='V06 Calend 01'!D72),'V06 Calend 01'!J72,0))</f>
        <v>0</v>
      </c>
      <c r="AI72" s="2">
        <f>((IF((23='V06 Calend 01'!C72),('V06 Calend 01'!F72+'V06 Calend 01'!G72),0)+IF(AND(('V06 Calend 01'!E72&gt;0),(23&gt;'V06 Calend 01'!C72),(23&lt;'V06 Calend 01'!D72),(MOD((23-'V06 Calend 01'!C72),6)=0),(((23-'V06 Calend 01'!C72)/6)&lt;='V06 Calend 01'!E72)),IF((23=('V06 Calend 01'!C72+(6*'V06 Calend 01'!E72))),('V06 Calend 01'!H72-('V06 Calend 01'!I72*('V06 Calend 01'!E72-1))),'V06 Calend 01'!I72),0))+IF((23='V06 Calend 01'!D72),'V06 Calend 01'!J72,0))</f>
        <v>0</v>
      </c>
      <c r="AJ72" s="2">
        <f>((IF((24='V06 Calend 01'!C72),('V06 Calend 01'!F72+'V06 Calend 01'!G72),0)+IF(AND(('V06 Calend 01'!E72&gt;0),(24&gt;'V06 Calend 01'!C72),(24&lt;'V06 Calend 01'!D72),(MOD((24-'V06 Calend 01'!C72),6)=0),(((24-'V06 Calend 01'!C72)/6)&lt;='V06 Calend 01'!E72)),IF((24=('V06 Calend 01'!C72+(6*'V06 Calend 01'!E72))),('V06 Calend 01'!H72-('V06 Calend 01'!I72*('V06 Calend 01'!E72-1))),'V06 Calend 01'!I72),0))+IF((24='V06 Calend 01'!D72),'V06 Calend 01'!J72,0))</f>
        <v>0</v>
      </c>
      <c r="AK72" s="2">
        <f>((IF((25='V06 Calend 01'!C72),('V06 Calend 01'!F72+'V06 Calend 01'!G72),0)+IF(AND(('V06 Calend 01'!E72&gt;0),(25&gt;'V06 Calend 01'!C72),(25&lt;'V06 Calend 01'!D72),(MOD((25-'V06 Calend 01'!C72),6)=0),(((25-'V06 Calend 01'!C72)/6)&lt;='V06 Calend 01'!E72)),IF((25=('V06 Calend 01'!C72+(6*'V06 Calend 01'!E72))),('V06 Calend 01'!H72-('V06 Calend 01'!I72*('V06 Calend 01'!E72-1))),'V06 Calend 01'!I72),0))+IF((25='V06 Calend 01'!D72),'V06 Calend 01'!J72,0))</f>
        <v>208188.65</v>
      </c>
      <c r="AL72" s="2">
        <f>((IF((26='V06 Calend 01'!C72),('V06 Calend 01'!F72+'V06 Calend 01'!G72),0)+IF(AND(('V06 Calend 01'!E72&gt;0),(26&gt;'V06 Calend 01'!C72),(26&lt;'V06 Calend 01'!D72),(MOD((26-'V06 Calend 01'!C72),6)=0),(((26-'V06 Calend 01'!C72)/6)&lt;='V06 Calend 01'!E72)),IF((26=('V06 Calend 01'!C72+(6*'V06 Calend 01'!E72))),('V06 Calend 01'!H72-('V06 Calend 01'!I72*('V06 Calend 01'!E72-1))),'V06 Calend 01'!I72),0))+IF((26='V06 Calend 01'!D72),'V06 Calend 01'!J72,0))</f>
        <v>0</v>
      </c>
      <c r="AM72" s="2">
        <f>((IF((27='V06 Calend 01'!C72),('V06 Calend 01'!F72+'V06 Calend 01'!G72),0)+IF(AND(('V06 Calend 01'!E72&gt;0),(27&gt;'V06 Calend 01'!C72),(27&lt;'V06 Calend 01'!D72),(MOD((27-'V06 Calend 01'!C72),6)=0),(((27-'V06 Calend 01'!C72)/6)&lt;='V06 Calend 01'!E72)),IF((27=('V06 Calend 01'!C72+(6*'V06 Calend 01'!E72))),('V06 Calend 01'!H72-('V06 Calend 01'!I72*('V06 Calend 01'!E72-1))),'V06 Calend 01'!I72),0))+IF((27='V06 Calend 01'!D72),'V06 Calend 01'!J72,0))</f>
        <v>0</v>
      </c>
      <c r="AN72" s="2">
        <f>((IF((28='V06 Calend 01'!C72),('V06 Calend 01'!F72+'V06 Calend 01'!G72),0)+IF(AND(('V06 Calend 01'!E72&gt;0),(28&gt;'V06 Calend 01'!C72),(28&lt;'V06 Calend 01'!D72),(MOD((28-'V06 Calend 01'!C72),6)=0),(((28-'V06 Calend 01'!C72)/6)&lt;='V06 Calend 01'!E72)),IF((28=('V06 Calend 01'!C72+(6*'V06 Calend 01'!E72))),('V06 Calend 01'!H72-('V06 Calend 01'!I72*('V06 Calend 01'!E72-1))),'V06 Calend 01'!I72),0))+IF((28='V06 Calend 01'!D72),'V06 Calend 01'!J72,0))</f>
        <v>0</v>
      </c>
      <c r="AO72" s="2">
        <f>((IF((29='V06 Calend 01'!C72),('V06 Calend 01'!F72+'V06 Calend 01'!G72),0)+IF(AND(('V06 Calend 01'!E72&gt;0),(29&gt;'V06 Calend 01'!C72),(29&lt;'V06 Calend 01'!D72),(MOD((29-'V06 Calend 01'!C72),6)=0),(((29-'V06 Calend 01'!C72)/6)&lt;='V06 Calend 01'!E72)),IF((29=('V06 Calend 01'!C72+(6*'V06 Calend 01'!E72))),('V06 Calend 01'!H72-('V06 Calend 01'!I72*('V06 Calend 01'!E72-1))),'V06 Calend 01'!I72),0))+IF((29='V06 Calend 01'!D72),'V06 Calend 01'!J72,0))</f>
        <v>75704.97</v>
      </c>
      <c r="AP72" s="2">
        <f>((IF((30='V06 Calend 01'!C72),('V06 Calend 01'!F72+'V06 Calend 01'!G72),0)+IF(AND(('V06 Calend 01'!E72&gt;0),(30&gt;'V06 Calend 01'!C72),(30&lt;'V06 Calend 01'!D72),(MOD((30-'V06 Calend 01'!C72),6)=0),(((30-'V06 Calend 01'!C72)/6)&lt;='V06 Calend 01'!E72)),IF((30=('V06 Calend 01'!C72+(6*'V06 Calend 01'!E72))),('V06 Calend 01'!H72-('V06 Calend 01'!I72*('V06 Calend 01'!E72-1))),'V06 Calend 01'!I72),0))+IF((30='V06 Calend 01'!D72),'V06 Calend 01'!J72,0))</f>
        <v>0</v>
      </c>
      <c r="AQ72" s="2">
        <f>((IF((31='V06 Calend 01'!C72),('V06 Calend 01'!F72+'V06 Calend 01'!G72),0)+IF(AND(('V06 Calend 01'!E72&gt;0),(31&gt;'V06 Calend 01'!C72),(31&lt;'V06 Calend 01'!D72),(MOD((31-'V06 Calend 01'!C72),6)=0),(((31-'V06 Calend 01'!C72)/6)&lt;='V06 Calend 01'!E72)),IF((31=('V06 Calend 01'!C72+(6*'V06 Calend 01'!E72))),('V06 Calend 01'!H72-('V06 Calend 01'!I72*('V06 Calend 01'!E72-1))),'V06 Calend 01'!I72),0))+IF((31='V06 Calend 01'!D72),'V06 Calend 01'!J72,0))</f>
        <v>0</v>
      </c>
      <c r="AR72" s="2">
        <f>((IF((32='V06 Calend 01'!C72),('V06 Calend 01'!F72+'V06 Calend 01'!G72),0)+IF(AND(('V06 Calend 01'!E72&gt;0),(32&gt;'V06 Calend 01'!C72),(32&lt;'V06 Calend 01'!D72),(MOD((32-'V06 Calend 01'!C72),6)=0),(((32-'V06 Calend 01'!C72)/6)&lt;='V06 Calend 01'!E72)),IF((32=('V06 Calend 01'!C72+(6*'V06 Calend 01'!E72))),('V06 Calend 01'!H72-('V06 Calend 01'!I72*('V06 Calend 01'!E72-1))),'V06 Calend 01'!I72),0))+IF((32='V06 Calend 01'!D72),'V06 Calend 01'!J72,0))</f>
        <v>0</v>
      </c>
      <c r="AS72" s="2">
        <f>((IF((33='V06 Calend 01'!C72),('V06 Calend 01'!F72+'V06 Calend 01'!G72),0)+IF(AND(('V06 Calend 01'!E72&gt;0),(33&gt;'V06 Calend 01'!C72),(33&lt;'V06 Calend 01'!D72),(MOD((33-'V06 Calend 01'!C72),6)=0),(((33-'V06 Calend 01'!C72)/6)&lt;='V06 Calend 01'!E72)),IF((33=('V06 Calend 01'!C72+(6*'V06 Calend 01'!E72))),('V06 Calend 01'!H72-('V06 Calend 01'!I72*('V06 Calend 01'!E72-1))),'V06 Calend 01'!I72),0))+IF((33='V06 Calend 01'!D72),'V06 Calend 01'!J72,0))</f>
        <v>0</v>
      </c>
      <c r="AT72" s="2">
        <f>((IF((34='V06 Calend 01'!C72),('V06 Calend 01'!F72+'V06 Calend 01'!G72),0)+IF(AND(('V06 Calend 01'!E72&gt;0),(34&gt;'V06 Calend 01'!C72),(34&lt;'V06 Calend 01'!D72),(MOD((34-'V06 Calend 01'!C72),6)=0),(((34-'V06 Calend 01'!C72)/6)&lt;='V06 Calend 01'!E72)),IF((34=('V06 Calend 01'!C72+(6*'V06 Calend 01'!E72))),('V06 Calend 01'!H72-('V06 Calend 01'!I72*('V06 Calend 01'!E72-1))),'V06 Calend 01'!I72),0))+IF((34='V06 Calend 01'!D72),'V06 Calend 01'!J72,0))</f>
        <v>0</v>
      </c>
      <c r="AU72" s="2">
        <f>((IF((35='V06 Calend 01'!C72),('V06 Calend 01'!F72+'V06 Calend 01'!G72),0)+IF(AND(('V06 Calend 01'!E72&gt;0),(35&gt;'V06 Calend 01'!C72),(35&lt;'V06 Calend 01'!D72),(MOD((35-'V06 Calend 01'!C72),6)=0),(((35-'V06 Calend 01'!C72)/6)&lt;='V06 Calend 01'!E72)),IF((35=('V06 Calend 01'!C72+(6*'V06 Calend 01'!E72))),('V06 Calend 01'!H72-('V06 Calend 01'!I72*('V06 Calend 01'!E72-1))),'V06 Calend 01'!I72),0))+IF((35='V06 Calend 01'!D72),'V06 Calend 01'!J72,0))</f>
        <v>0</v>
      </c>
      <c r="AV72" s="2">
        <f>((IF((36='V06 Calend 01'!C72),('V06 Calend 01'!F72+'V06 Calend 01'!G72),0)+IF(AND(('V06 Calend 01'!E72&gt;0),(36&gt;'V06 Calend 01'!C72),(36&lt;'V06 Calend 01'!D72),(MOD((36-'V06 Calend 01'!C72),6)=0),(((36-'V06 Calend 01'!C72)/6)&lt;='V06 Calend 01'!E72)),IF((36=('V06 Calend 01'!C72+(6*'V06 Calend 01'!E72))),('V06 Calend 01'!H72-('V06 Calend 01'!I72*('V06 Calend 01'!E72-1))),'V06 Calend 01'!I72),0))+IF((36='V06 Calend 01'!D72),'V06 Calend 01'!J72,0))</f>
        <v>0</v>
      </c>
      <c r="AW72" s="2">
        <f>((IF((37='V06 Calend 01'!C72),('V06 Calend 01'!F72+'V06 Calend 01'!G72),0)+IF(AND(('V06 Calend 01'!E72&gt;0),(37&gt;'V06 Calend 01'!C72),(37&lt;'V06 Calend 01'!D72),(MOD((37-'V06 Calend 01'!C72),6)=0),(((37-'V06 Calend 01'!C72)/6)&lt;='V06 Calend 01'!E72)),IF((37=('V06 Calend 01'!C72+(6*'V06 Calend 01'!E72))),('V06 Calend 01'!H72-('V06 Calend 01'!I72*('V06 Calend 01'!E72-1))),'V06 Calend 01'!I72),0))+IF((37='V06 Calend 01'!D72),'V06 Calend 01'!J72,0))</f>
        <v>0</v>
      </c>
      <c r="AX72" s="2">
        <f>((IF((38='V06 Calend 01'!C72),('V06 Calend 01'!F72+'V06 Calend 01'!G72),0)+IF(AND(('V06 Calend 01'!E72&gt;0),(38&gt;'V06 Calend 01'!C72),(38&lt;'V06 Calend 01'!D72),(MOD((38-'V06 Calend 01'!C72),6)=0),(((38-'V06 Calend 01'!C72)/6)&lt;='V06 Calend 01'!E72)),IF((38=('V06 Calend 01'!C72+(6*'V06 Calend 01'!E72))),('V06 Calend 01'!H72-('V06 Calend 01'!I72*('V06 Calend 01'!E72-1))),'V06 Calend 01'!I72),0))+IF((38='V06 Calend 01'!D72),'V06 Calend 01'!J72,0))</f>
        <v>0</v>
      </c>
      <c r="AY72" s="2">
        <f>((IF((39='V06 Calend 01'!C72),('V06 Calend 01'!F72+'V06 Calend 01'!G72),0)+IF(AND(('V06 Calend 01'!E72&gt;0),(39&gt;'V06 Calend 01'!C72),(39&lt;'V06 Calend 01'!D72),(MOD((39-'V06 Calend 01'!C72),6)=0),(((39-'V06 Calend 01'!C72)/6)&lt;='V06 Calend 01'!E72)),IF((39=('V06 Calend 01'!C72+(6*'V06 Calend 01'!E72))),('V06 Calend 01'!H72-('V06 Calend 01'!I72*('V06 Calend 01'!E72-1))),'V06 Calend 01'!I72),0))+IF((39='V06 Calend 01'!D72),'V06 Calend 01'!J72,0))</f>
        <v>0</v>
      </c>
      <c r="AZ72" s="2">
        <f>((IF((40='V06 Calend 01'!C72),('V06 Calend 01'!F72+'V06 Calend 01'!G72),0)+IF(AND(('V06 Calend 01'!E72&gt;0),(40&gt;'V06 Calend 01'!C72),(40&lt;'V06 Calend 01'!D72),(MOD((40-'V06 Calend 01'!C72),6)=0),(((40-'V06 Calend 01'!C72)/6)&lt;='V06 Calend 01'!E72)),IF((40=('V06 Calend 01'!C72+(6*'V06 Calend 01'!E72))),('V06 Calend 01'!H72-('V06 Calend 01'!I72*('V06 Calend 01'!E72-1))),'V06 Calend 01'!I72),0))+IF((40='V06 Calend 01'!D72),'V06 Calend 01'!J72,0))</f>
        <v>0</v>
      </c>
      <c r="BA72" s="2">
        <f>((IF((41='V06 Calend 01'!C72),('V06 Calend 01'!F72+'V06 Calend 01'!G72),0)+IF(AND(('V06 Calend 01'!E72&gt;0),(41&gt;'V06 Calend 01'!C72),(41&lt;'V06 Calend 01'!D72),(MOD((41-'V06 Calend 01'!C72),6)=0),(((41-'V06 Calend 01'!C72)/6)&lt;='V06 Calend 01'!E72)),IF((41=('V06 Calend 01'!C72+(6*'V06 Calend 01'!E72))),('V06 Calend 01'!H72-('V06 Calend 01'!I72*('V06 Calend 01'!E72-1))),'V06 Calend 01'!I72),0))+IF((41='V06 Calend 01'!D72),'V06 Calend 01'!J72,0))</f>
        <v>0</v>
      </c>
      <c r="BB72" s="2">
        <f>((IF((42='V06 Calend 01'!C72),('V06 Calend 01'!F72+'V06 Calend 01'!G72),0)+IF(AND(('V06 Calend 01'!E72&gt;0),(42&gt;'V06 Calend 01'!C72),(42&lt;'V06 Calend 01'!D72),(MOD((42-'V06 Calend 01'!C72),6)=0),(((42-'V06 Calend 01'!C72)/6)&lt;='V06 Calend 01'!E72)),IF((42=('V06 Calend 01'!C72+(6*'V06 Calend 01'!E72))),('V06 Calend 01'!H72-('V06 Calend 01'!I72*('V06 Calend 01'!E72-1))),'V06 Calend 01'!I72),0))+IF((42='V06 Calend 01'!D72),'V06 Calend 01'!J72,0))</f>
        <v>0</v>
      </c>
      <c r="BC72" s="2">
        <f>((IF((43='V06 Calend 01'!C72),('V06 Calend 01'!F72+'V06 Calend 01'!G72),0)+IF(AND(('V06 Calend 01'!E72&gt;0),(43&gt;'V06 Calend 01'!C72),(43&lt;'V06 Calend 01'!D72),(MOD((43-'V06 Calend 01'!C72),6)=0),(((43-'V06 Calend 01'!C72)/6)&lt;='V06 Calend 01'!E72)),IF((43=('V06 Calend 01'!C72+(6*'V06 Calend 01'!E72))),('V06 Calend 01'!H72-('V06 Calend 01'!I72*('V06 Calend 01'!E72-1))),'V06 Calend 01'!I72),0))+IF((43='V06 Calend 01'!D72),'V06 Calend 01'!J72,0))</f>
        <v>0</v>
      </c>
      <c r="BD72" s="2">
        <f>((IF((44='V06 Calend 01'!C72),('V06 Calend 01'!F72+'V06 Calend 01'!G72),0)+IF(AND(('V06 Calend 01'!E72&gt;0),(44&gt;'V06 Calend 01'!C72),(44&lt;'V06 Calend 01'!D72),(MOD((44-'V06 Calend 01'!C72),6)=0),(((44-'V06 Calend 01'!C72)/6)&lt;='V06 Calend 01'!E72)),IF((44=('V06 Calend 01'!C72+(6*'V06 Calend 01'!E72))),('V06 Calend 01'!H72-('V06 Calend 01'!I72*('V06 Calend 01'!E72-1))),'V06 Calend 01'!I72),0))+IF((44='V06 Calend 01'!D72),'V06 Calend 01'!J72,0))</f>
        <v>0</v>
      </c>
      <c r="BE72" s="2">
        <f>((IF((45='V06 Calend 01'!C72),('V06 Calend 01'!F72+'V06 Calend 01'!G72),0)+IF(AND(('V06 Calend 01'!E72&gt;0),(45&gt;'V06 Calend 01'!C72),(45&lt;'V06 Calend 01'!D72),(MOD((45-'V06 Calend 01'!C72),6)=0),(((45-'V06 Calend 01'!C72)/6)&lt;='V06 Calend 01'!E72)),IF((45=('V06 Calend 01'!C72+(6*'V06 Calend 01'!E72))),('V06 Calend 01'!H72-('V06 Calend 01'!I72*('V06 Calend 01'!E72-1))),'V06 Calend 01'!I72),0))+IF((45='V06 Calend 01'!D72),'V06 Calend 01'!J72,0))</f>
        <v>0</v>
      </c>
      <c r="BF72" s="2">
        <f>((IF((46='V06 Calend 01'!C72),('V06 Calend 01'!F72+'V06 Calend 01'!G72),0)+IF(AND(('V06 Calend 01'!E72&gt;0),(46&gt;'V06 Calend 01'!C72),(46&lt;'V06 Calend 01'!D72),(MOD((46-'V06 Calend 01'!C72),6)=0),(((46-'V06 Calend 01'!C72)/6)&lt;='V06 Calend 01'!E72)),IF((46=('V06 Calend 01'!C72+(6*'V06 Calend 01'!E72))),('V06 Calend 01'!H72-('V06 Calend 01'!I72*('V06 Calend 01'!E72-1))),'V06 Calend 01'!I72),0))+IF((46='V06 Calend 01'!D72),'V06 Calend 01'!J72,0))</f>
        <v>0</v>
      </c>
      <c r="BG72" s="2">
        <f>((IF((47='V06 Calend 01'!C72),('V06 Calend 01'!F72+'V06 Calend 01'!G72),0)+IF(AND(('V06 Calend 01'!E72&gt;0),(47&gt;'V06 Calend 01'!C72),(47&lt;'V06 Calend 01'!D72),(MOD((47-'V06 Calend 01'!C72),6)=0),(((47-'V06 Calend 01'!C72)/6)&lt;='V06 Calend 01'!E72)),IF((47=('V06 Calend 01'!C72+(6*'V06 Calend 01'!E72))),('V06 Calend 01'!H72-('V06 Calend 01'!I72*('V06 Calend 01'!E72-1))),'V06 Calend 01'!I72),0))+IF((47='V06 Calend 01'!D72),'V06 Calend 01'!J72,0))</f>
        <v>0</v>
      </c>
      <c r="BH72" s="2">
        <f>((IF((48='V06 Calend 01'!C72),('V06 Calend 01'!F72+'V06 Calend 01'!G72),0)+IF(AND(('V06 Calend 01'!E72&gt;0),(48&gt;'V06 Calend 01'!C72),(48&lt;'V06 Calend 01'!D72),(MOD((48-'V06 Calend 01'!C72),6)=0),(((48-'V06 Calend 01'!C72)/6)&lt;='V06 Calend 01'!E72)),IF((48=('V06 Calend 01'!C72+(6*'V06 Calend 01'!E72))),('V06 Calend 01'!H72-('V06 Calend 01'!I72*('V06 Calend 01'!E72-1))),'V06 Calend 01'!I72),0))+IF((48='V06 Calend 01'!D72),'V06 Calend 01'!J72,0))</f>
        <v>0</v>
      </c>
      <c r="BI72" s="2">
        <f>((IF((49='V06 Calend 01'!C72),('V06 Calend 01'!F72+'V06 Calend 01'!G72),0)+IF(AND(('V06 Calend 01'!E72&gt;0),(49&gt;'V06 Calend 01'!C72),(49&lt;'V06 Calend 01'!D72),(MOD((49-'V06 Calend 01'!C72),6)=0),(((49-'V06 Calend 01'!C72)/6)&lt;='V06 Calend 01'!E72)),IF((49=('V06 Calend 01'!C72+(6*'V06 Calend 01'!E72))),('V06 Calend 01'!H72-('V06 Calend 01'!I72*('V06 Calend 01'!E72-1))),'V06 Calend 01'!I72),0))+IF((49='V06 Calend 01'!D72),'V06 Calend 01'!J72,0))</f>
        <v>0</v>
      </c>
      <c r="BJ72" s="2">
        <f>((IF((50='V06 Calend 01'!C72),('V06 Calend 01'!F72+'V06 Calend 01'!G72),0)+IF(AND(('V06 Calend 01'!E72&gt;0),(50&gt;'V06 Calend 01'!C72),(50&lt;'V06 Calend 01'!D72),(MOD((50-'V06 Calend 01'!C72),6)=0),(((50-'V06 Calend 01'!C72)/6)&lt;='V06 Calend 01'!E72)),IF((50=('V06 Calend 01'!C72+(6*'V06 Calend 01'!E72))),('V06 Calend 01'!H72-('V06 Calend 01'!I72*('V06 Calend 01'!E72-1))),'V06 Calend 01'!I72),0))+IF((50='V06 Calend 01'!D72),'V06 Calend 01'!J72,0))</f>
        <v>0</v>
      </c>
      <c r="BK72" s="2">
        <f>((IF((51='V06 Calend 01'!C72),('V06 Calend 01'!F72+'V06 Calend 01'!G72),0)+IF(AND(('V06 Calend 01'!E72&gt;0),(51&gt;'V06 Calend 01'!C72),(51&lt;'V06 Calend 01'!D72),(MOD((51-'V06 Calend 01'!C72),6)=0),(((51-'V06 Calend 01'!C72)/6)&lt;='V06 Calend 01'!E72)),IF((51=('V06 Calend 01'!C72+(6*'V06 Calend 01'!E72))),('V06 Calend 01'!H72-('V06 Calend 01'!I72*('V06 Calend 01'!E72-1))),'V06 Calend 01'!I72),0))+IF((51='V06 Calend 01'!D72),'V06 Calend 01'!J72,0))</f>
        <v>0</v>
      </c>
      <c r="BL72" s="2">
        <f>((IF((52='V06 Calend 01'!C72),('V06 Calend 01'!F72+'V06 Calend 01'!G72),0)+IF(AND(('V06 Calend 01'!E72&gt;0),(52&gt;'V06 Calend 01'!C72),(52&lt;'V06 Calend 01'!D72),(MOD((52-'V06 Calend 01'!C72),6)=0),(((52-'V06 Calend 01'!C72)/6)&lt;='V06 Calend 01'!E72)),IF((52=('V06 Calend 01'!C72+(6*'V06 Calend 01'!E72))),('V06 Calend 01'!H72-('V06 Calend 01'!I72*('V06 Calend 01'!E72-1))),'V06 Calend 01'!I72),0))+IF((52='V06 Calend 01'!D72),'V06 Calend 01'!J72,0))</f>
        <v>0</v>
      </c>
      <c r="BM72" s="2">
        <f>((IF((53='V06 Calend 01'!C72),('V06 Calend 01'!F72+'V06 Calend 01'!G72),0)+IF(AND(('V06 Calend 01'!E72&gt;0),(53&gt;'V06 Calend 01'!C72),(53&lt;'V06 Calend 01'!D72),(MOD((53-'V06 Calend 01'!C72),6)=0),(((53-'V06 Calend 01'!C72)/6)&lt;='V06 Calend 01'!E72)),IF((53=('V06 Calend 01'!C72+(6*'V06 Calend 01'!E72))),('V06 Calend 01'!H72-('V06 Calend 01'!I72*('V06 Calend 01'!E72-1))),'V06 Calend 01'!I72),0))+IF((53='V06 Calend 01'!D72),'V06 Calend 01'!J72,0))</f>
        <v>0</v>
      </c>
      <c r="BN72" s="2">
        <f>((IF((54='V06 Calend 01'!C72),('V06 Calend 01'!F72+'V06 Calend 01'!G72),0)+IF(AND(('V06 Calend 01'!E72&gt;0),(54&gt;'V06 Calend 01'!C72),(54&lt;'V06 Calend 01'!D72),(MOD((54-'V06 Calend 01'!C72),6)=0),(((54-'V06 Calend 01'!C72)/6)&lt;='V06 Calend 01'!E72)),IF((54=('V06 Calend 01'!C72+(6*'V06 Calend 01'!E72))),('V06 Calend 01'!H72-('V06 Calend 01'!I72*('V06 Calend 01'!E72-1))),'V06 Calend 01'!I72),0))+IF((54='V06 Calend 01'!D72),'V06 Calend 01'!J72,0))</f>
        <v>0</v>
      </c>
      <c r="BO72" s="2">
        <f>((IF((55='V06 Calend 01'!C72),('V06 Calend 01'!F72+'V06 Calend 01'!G72),0)+IF(AND(('V06 Calend 01'!E72&gt;0),(55&gt;'V06 Calend 01'!C72),(55&lt;'V06 Calend 01'!D72),(MOD((55-'V06 Calend 01'!C72),6)=0),(((55-'V06 Calend 01'!C72)/6)&lt;='V06 Calend 01'!E72)),IF((55=('V06 Calend 01'!C72+(6*'V06 Calend 01'!E72))),('V06 Calend 01'!H72-('V06 Calend 01'!I72*('V06 Calend 01'!E72-1))),'V06 Calend 01'!I72),0))+IF((55='V06 Calend 01'!D72),'V06 Calend 01'!J72,0))</f>
        <v>0</v>
      </c>
      <c r="BP72" s="2">
        <f>((IF((56='V06 Calend 01'!C72),('V06 Calend 01'!F72+'V06 Calend 01'!G72),0)+IF(AND(('V06 Calend 01'!E72&gt;0),(56&gt;'V06 Calend 01'!C72),(56&lt;'V06 Calend 01'!D72),(MOD((56-'V06 Calend 01'!C72),6)=0),(((56-'V06 Calend 01'!C72)/6)&lt;='V06 Calend 01'!E72)),IF((56=('V06 Calend 01'!C72+(6*'V06 Calend 01'!E72))),('V06 Calend 01'!H72-('V06 Calend 01'!I72*('V06 Calend 01'!E72-1))),'V06 Calend 01'!I72),0))+IF((56='V06 Calend 01'!D72),'V06 Calend 01'!J72,0))</f>
        <v>0</v>
      </c>
      <c r="BQ72" s="2">
        <f>((IF((57='V06 Calend 01'!C72),('V06 Calend 01'!F72+'V06 Calend 01'!G72),0)+IF(AND(('V06 Calend 01'!E72&gt;0),(57&gt;'V06 Calend 01'!C72),(57&lt;'V06 Calend 01'!D72),(MOD((57-'V06 Calend 01'!C72),6)=0),(((57-'V06 Calend 01'!C72)/6)&lt;='V06 Calend 01'!E72)),IF((57=('V06 Calend 01'!C72+(6*'V06 Calend 01'!E72))),('V06 Calend 01'!H72-('V06 Calend 01'!I72*('V06 Calend 01'!E72-1))),'V06 Calend 01'!I72),0))+IF((57='V06 Calend 01'!D72),'V06 Calend 01'!J72,0))</f>
        <v>0</v>
      </c>
      <c r="BR72" s="2">
        <f>((IF((58='V06 Calend 01'!C72),('V06 Calend 01'!F72+'V06 Calend 01'!G72),0)+IF(AND(('V06 Calend 01'!E72&gt;0),(58&gt;'V06 Calend 01'!C72),(58&lt;'V06 Calend 01'!D72),(MOD((58-'V06 Calend 01'!C72),6)=0),(((58-'V06 Calend 01'!C72)/6)&lt;='V06 Calend 01'!E72)),IF((58=('V06 Calend 01'!C72+(6*'V06 Calend 01'!E72))),('V06 Calend 01'!H72-('V06 Calend 01'!I72*('V06 Calend 01'!E72-1))),'V06 Calend 01'!I72),0))+IF((58='V06 Calend 01'!D72),'V06 Calend 01'!J72,0))</f>
        <v>0</v>
      </c>
      <c r="BS72" s="2">
        <f>((IF((59='V06 Calend 01'!C72),('V06 Calend 01'!F72+'V06 Calend 01'!G72),0)+IF(AND(('V06 Calend 01'!E72&gt;0),(59&gt;'V06 Calend 01'!C72),(59&lt;'V06 Calend 01'!D72),(MOD((59-'V06 Calend 01'!C72),6)=0),(((59-'V06 Calend 01'!C72)/6)&lt;='V06 Calend 01'!E72)),IF((59=('V06 Calend 01'!C72+(6*'V06 Calend 01'!E72))),('V06 Calend 01'!H72-('V06 Calend 01'!I72*('V06 Calend 01'!E72-1))),'V06 Calend 01'!I72),0))+IF((59='V06 Calend 01'!D72),'V06 Calend 01'!J72,0))</f>
        <v>0</v>
      </c>
      <c r="BT72" s="2">
        <f>((IF((60='V06 Calend 01'!C72),('V06 Calend 01'!F72+'V06 Calend 01'!G72),0)+IF(AND(('V06 Calend 01'!E72&gt;0),(60&gt;'V06 Calend 01'!C72),(60&lt;'V06 Calend 01'!D72),(MOD((60-'V06 Calend 01'!C72),6)=0),(((60-'V06 Calend 01'!C72)/6)&lt;='V06 Calend 01'!E72)),IF((60=('V06 Calend 01'!C72+(6*'V06 Calend 01'!E72))),('V06 Calend 01'!H72-('V06 Calend 01'!I72*('V06 Calend 01'!E72-1))),'V06 Calend 01'!I72),0))+IF((60='V06 Calend 01'!D72),'V06 Calend 01'!J72,0))</f>
        <v>0</v>
      </c>
      <c r="BU72" s="2">
        <f>((IF((61='V06 Calend 01'!C72),('V06 Calend 01'!F72+'V06 Calend 01'!G72),0)+IF(AND(('V06 Calend 01'!E72&gt;0),(61&gt;'V06 Calend 01'!C72),(61&lt;'V06 Calend 01'!D72),(MOD((61-'V06 Calend 01'!C72),6)=0),(((61-'V06 Calend 01'!C72)/6)&lt;='V06 Calend 01'!E72)),IF((61=('V06 Calend 01'!C72+(6*'V06 Calend 01'!E72))),('V06 Calend 01'!H72-('V06 Calend 01'!I72*('V06 Calend 01'!E72-1))),'V06 Calend 01'!I72),0))+IF((61='V06 Calend 01'!D72),'V06 Calend 01'!J72,0))</f>
        <v>0</v>
      </c>
      <c r="BV72" s="2">
        <f>((IF((62='V06 Calend 01'!C72),('V06 Calend 01'!F72+'V06 Calend 01'!G72),0)+IF(AND(('V06 Calend 01'!E72&gt;0),(62&gt;'V06 Calend 01'!C72),(62&lt;'V06 Calend 01'!D72),(MOD((62-'V06 Calend 01'!C72),6)=0),(((62-'V06 Calend 01'!C72)/6)&lt;='V06 Calend 01'!E72)),IF((62=('V06 Calend 01'!C72+(6*'V06 Calend 01'!E72))),('V06 Calend 01'!H72-('V06 Calend 01'!I72*('V06 Calend 01'!E72-1))),'V06 Calend 01'!I72),0))+IF((62='V06 Calend 01'!D72),'V06 Calend 01'!J72,0))</f>
        <v>0</v>
      </c>
      <c r="BW72" s="2">
        <f>((IF((63='V06 Calend 01'!C72),('V06 Calend 01'!F72+'V06 Calend 01'!G72),0)+IF(AND(('V06 Calend 01'!E72&gt;0),(63&gt;'V06 Calend 01'!C72),(63&lt;'V06 Calend 01'!D72),(MOD((63-'V06 Calend 01'!C72),6)=0),(((63-'V06 Calend 01'!C72)/6)&lt;='V06 Calend 01'!E72)),IF((63=('V06 Calend 01'!C72+(6*'V06 Calend 01'!E72))),('V06 Calend 01'!H72-('V06 Calend 01'!I72*('V06 Calend 01'!E72-1))),'V06 Calend 01'!I72),0))+IF((63='V06 Calend 01'!D72),'V06 Calend 01'!J72,0))</f>
        <v>0</v>
      </c>
      <c r="BX72" s="2">
        <f>((IF((64='V06 Calend 01'!C72),('V06 Calend 01'!F72+'V06 Calend 01'!G72),0)+IF(AND(('V06 Calend 01'!E72&gt;0),(64&gt;'V06 Calend 01'!C72),(64&lt;'V06 Calend 01'!D72),(MOD((64-'V06 Calend 01'!C72),6)=0),(((64-'V06 Calend 01'!C72)/6)&lt;='V06 Calend 01'!E72)),IF((64=('V06 Calend 01'!C72+(6*'V06 Calend 01'!E72))),('V06 Calend 01'!H72-('V06 Calend 01'!I72*('V06 Calend 01'!E72-1))),'V06 Calend 01'!I72),0))+IF((64='V06 Calend 01'!D72),'V06 Calend 01'!J72,0))</f>
        <v>0</v>
      </c>
      <c r="BY72" s="2">
        <f>((IF((65='V06 Calend 01'!C72),('V06 Calend 01'!F72+'V06 Calend 01'!G72),0)+IF(AND(('V06 Calend 01'!E72&gt;0),(65&gt;'V06 Calend 01'!C72),(65&lt;'V06 Calend 01'!D72),(MOD((65-'V06 Calend 01'!C72),6)=0),(((65-'V06 Calend 01'!C72)/6)&lt;='V06 Calend 01'!E72)),IF((65=('V06 Calend 01'!C72+(6*'V06 Calend 01'!E72))),('V06 Calend 01'!H72-('V06 Calend 01'!I72*('V06 Calend 01'!E72-1))),'V06 Calend 01'!I72),0))+IF((65='V06 Calend 01'!D72),'V06 Calend 01'!J72,0))</f>
        <v>0</v>
      </c>
      <c r="BZ72" s="2">
        <f>((IF((66='V06 Calend 01'!C72),('V06 Calend 01'!F72+'V06 Calend 01'!G72),0)+IF(AND(('V06 Calend 01'!E72&gt;0),(66&gt;'V06 Calend 01'!C72),(66&lt;'V06 Calend 01'!D72),(MOD((66-'V06 Calend 01'!C72),6)=0),(((66-'V06 Calend 01'!C72)/6)&lt;='V06 Calend 01'!E72)),IF((66=('V06 Calend 01'!C72+(6*'V06 Calend 01'!E72))),('V06 Calend 01'!H72-('V06 Calend 01'!I72*('V06 Calend 01'!E72-1))),'V06 Calend 01'!I72),0))+IF((66='V06 Calend 01'!D72),'V06 Calend 01'!J72,0))</f>
        <v>0</v>
      </c>
      <c r="CA72" s="2">
        <f>((IF((67='V06 Calend 01'!C72),('V06 Calend 01'!F72+'V06 Calend 01'!G72),0)+IF(AND(('V06 Calend 01'!E72&gt;0),(67&gt;'V06 Calend 01'!C72),(67&lt;'V06 Calend 01'!D72),(MOD((67-'V06 Calend 01'!C72),6)=0),(((67-'V06 Calend 01'!C72)/6)&lt;='V06 Calend 01'!E72)),IF((67=('V06 Calend 01'!C72+(6*'V06 Calend 01'!E72))),('V06 Calend 01'!H72-('V06 Calend 01'!I72*('V06 Calend 01'!E72-1))),'V06 Calend 01'!I72),0))+IF((67='V06 Calend 01'!D72),'V06 Calend 01'!J72,0))</f>
        <v>0</v>
      </c>
      <c r="CB72" s="2">
        <f>((IF((68='V06 Calend 01'!C72),('V06 Calend 01'!F72+'V06 Calend 01'!G72),0)+IF(AND(('V06 Calend 01'!E72&gt;0),(68&gt;'V06 Calend 01'!C72),(68&lt;'V06 Calend 01'!D72),(MOD((68-'V06 Calend 01'!C72),6)=0),(((68-'V06 Calend 01'!C72)/6)&lt;='V06 Calend 01'!E72)),IF((68=('V06 Calend 01'!C72+(6*'V06 Calend 01'!E72))),('V06 Calend 01'!H72-('V06 Calend 01'!I72*('V06 Calend 01'!E72-1))),'V06 Calend 01'!I72),0))+IF((68='V06 Calend 01'!D72),'V06 Calend 01'!J72,0))</f>
        <v>0</v>
      </c>
      <c r="CC72" s="2">
        <f>((IF((69='V06 Calend 01'!C72),('V06 Calend 01'!F72+'V06 Calend 01'!G72),0)+IF(AND(('V06 Calend 01'!E72&gt;0),(69&gt;'V06 Calend 01'!C72),(69&lt;'V06 Calend 01'!D72),(MOD((69-'V06 Calend 01'!C72),6)=0),(((69-'V06 Calend 01'!C72)/6)&lt;='V06 Calend 01'!E72)),IF((69=('V06 Calend 01'!C72+(6*'V06 Calend 01'!E72))),('V06 Calend 01'!H72-('V06 Calend 01'!I72*('V06 Calend 01'!E72-1))),'V06 Calend 01'!I72),0))+IF((69='V06 Calend 01'!D72),'V06 Calend 01'!J72,0))</f>
        <v>0</v>
      </c>
      <c r="CD72" s="2">
        <f>((IF((70='V06 Calend 01'!C72),('V06 Calend 01'!F72+'V06 Calend 01'!G72),0)+IF(AND(('V06 Calend 01'!E72&gt;0),(70&gt;'V06 Calend 01'!C72),(70&lt;'V06 Calend 01'!D72),(MOD((70-'V06 Calend 01'!C72),6)=0),(((70-'V06 Calend 01'!C72)/6)&lt;='V06 Calend 01'!E72)),IF((70=('V06 Calend 01'!C72+(6*'V06 Calend 01'!E72))),('V06 Calend 01'!H72-('V06 Calend 01'!I72*('V06 Calend 01'!E72-1))),'V06 Calend 01'!I72),0))+IF((70='V06 Calend 01'!D72),'V06 Calend 01'!J72,0))</f>
        <v>0</v>
      </c>
      <c r="CE72" s="2">
        <f>((IF((71='V06 Calend 01'!C72),('V06 Calend 01'!F72+'V06 Calend 01'!G72),0)+IF(AND(('V06 Calend 01'!E72&gt;0),(71&gt;'V06 Calend 01'!C72),(71&lt;'V06 Calend 01'!D72),(MOD((71-'V06 Calend 01'!C72),6)=0),(((71-'V06 Calend 01'!C72)/6)&lt;='V06 Calend 01'!E72)),IF((71=('V06 Calend 01'!C72+(6*'V06 Calend 01'!E72))),('V06 Calend 01'!H72-('V06 Calend 01'!I72*('V06 Calend 01'!E72-1))),'V06 Calend 01'!I72),0))+IF((71='V06 Calend 01'!D72),'V06 Calend 01'!J72,0))</f>
        <v>0</v>
      </c>
      <c r="CF72" s="2">
        <f>((IF((72='V06 Calend 01'!C72),('V06 Calend 01'!F72+'V06 Calend 01'!G72),0)+IF(AND(('V06 Calend 01'!E72&gt;0),(72&gt;'V06 Calend 01'!C72),(72&lt;'V06 Calend 01'!D72),(MOD((72-'V06 Calend 01'!C72),6)=0),(((72-'V06 Calend 01'!C72)/6)&lt;='V06 Calend 01'!E72)),IF((72=('V06 Calend 01'!C72+(6*'V06 Calend 01'!E72))),('V06 Calend 01'!H72-('V06 Calend 01'!I72*('V06 Calend 01'!E72-1))),'V06 Calend 01'!I72),0))+IF((72='V06 Calend 01'!D72),'V06 Calend 01'!J72,0))</f>
        <v>0</v>
      </c>
      <c r="CG72" s="2">
        <f>((IF((73='V06 Calend 01'!C72),('V06 Calend 01'!F72+'V06 Calend 01'!G72),0)+IF(AND(('V06 Calend 01'!E72&gt;0),(73&gt;'V06 Calend 01'!C72),(73&lt;'V06 Calend 01'!D72),(MOD((73-'V06 Calend 01'!C72),6)=0),(((73-'V06 Calend 01'!C72)/6)&lt;='V06 Calend 01'!E72)),IF((73=('V06 Calend 01'!C72+(6*'V06 Calend 01'!E72))),('V06 Calend 01'!H72-('V06 Calend 01'!I72*('V06 Calend 01'!E72-1))),'V06 Calend 01'!I72),0))+IF((73='V06 Calend 01'!D72),'V06 Calend 01'!J72,0))</f>
        <v>0</v>
      </c>
      <c r="CH72" s="2">
        <f>((IF((74='V06 Calend 01'!C72),('V06 Calend 01'!F72+'V06 Calend 01'!G72),0)+IF(AND(('V06 Calend 01'!E72&gt;0),(74&gt;'V06 Calend 01'!C72),(74&lt;'V06 Calend 01'!D72),(MOD((74-'V06 Calend 01'!C72),6)=0),(((74-'V06 Calend 01'!C72)/6)&lt;='V06 Calend 01'!E72)),IF((74=('V06 Calend 01'!C72+(6*'V06 Calend 01'!E72))),('V06 Calend 01'!H72-('V06 Calend 01'!I72*('V06 Calend 01'!E72-1))),'V06 Calend 01'!I72),0))+IF((74='V06 Calend 01'!D72),'V06 Calend 01'!J72,0))</f>
        <v>0</v>
      </c>
      <c r="CI72" s="2">
        <f>((IF((75='V06 Calend 01'!C72),('V06 Calend 01'!F72+'V06 Calend 01'!G72),0)+IF(AND(('V06 Calend 01'!E72&gt;0),(75&gt;'V06 Calend 01'!C72),(75&lt;'V06 Calend 01'!D72),(MOD((75-'V06 Calend 01'!C72),6)=0),(((75-'V06 Calend 01'!C72)/6)&lt;='V06 Calend 01'!E72)),IF((75=('V06 Calend 01'!C72+(6*'V06 Calend 01'!E72))),('V06 Calend 01'!H72-('V06 Calend 01'!I72*('V06 Calend 01'!E72-1))),'V06 Calend 01'!I72),0))+IF((75='V06 Calend 01'!D72),'V06 Calend 01'!J72,0))</f>
        <v>0</v>
      </c>
      <c r="CJ72" s="2">
        <f>((IF((76='V06 Calend 01'!C72),('V06 Calend 01'!F72+'V06 Calend 01'!G72),0)+IF(AND(('V06 Calend 01'!E72&gt;0),(76&gt;'V06 Calend 01'!C72),(76&lt;'V06 Calend 01'!D72),(MOD((76-'V06 Calend 01'!C72),6)=0),(((76-'V06 Calend 01'!C72)/6)&lt;='V06 Calend 01'!E72)),IF((76=('V06 Calend 01'!C72+(6*'V06 Calend 01'!E72))),('V06 Calend 01'!H72-('V06 Calend 01'!I72*('V06 Calend 01'!E72-1))),'V06 Calend 01'!I72),0))+IF((76='V06 Calend 01'!D72),'V06 Calend 01'!J72,0))</f>
        <v>0</v>
      </c>
      <c r="CK72" s="2">
        <f>((IF((77='V06 Calend 01'!C72),('V06 Calend 01'!F72+'V06 Calend 01'!G72),0)+IF(AND(('V06 Calend 01'!E72&gt;0),(77&gt;'V06 Calend 01'!C72),(77&lt;'V06 Calend 01'!D72),(MOD((77-'V06 Calend 01'!C72),6)=0),(((77-'V06 Calend 01'!C72)/6)&lt;='V06 Calend 01'!E72)),IF((77=('V06 Calend 01'!C72+(6*'V06 Calend 01'!E72))),('V06 Calend 01'!H72-('V06 Calend 01'!I72*('V06 Calend 01'!E72-1))),'V06 Calend 01'!I72),0))+IF((77='V06 Calend 01'!D72),'V06 Calend 01'!J72,0))</f>
        <v>0</v>
      </c>
      <c r="CL72" s="2">
        <f>((IF((78='V06 Calend 01'!C72),('V06 Calend 01'!F72+'V06 Calend 01'!G72),0)+IF(AND(('V06 Calend 01'!E72&gt;0),(78&gt;'V06 Calend 01'!C72),(78&lt;'V06 Calend 01'!D72),(MOD((78-'V06 Calend 01'!C72),6)=0),(((78-'V06 Calend 01'!C72)/6)&lt;='V06 Calend 01'!E72)),IF((78=('V06 Calend 01'!C72+(6*'V06 Calend 01'!E72))),('V06 Calend 01'!H72-('V06 Calend 01'!I72*('V06 Calend 01'!E72-1))),'V06 Calend 01'!I72),0))+IF((78='V06 Calend 01'!D72),'V06 Calend 01'!J72,0))</f>
        <v>0</v>
      </c>
      <c r="CM72" s="2">
        <f>((IF((79='V06 Calend 01'!C72),('V06 Calend 01'!F72+'V06 Calend 01'!G72),0)+IF(AND(('V06 Calend 01'!E72&gt;0),(79&gt;'V06 Calend 01'!C72),(79&lt;'V06 Calend 01'!D72),(MOD((79-'V06 Calend 01'!C72),6)=0),(((79-'V06 Calend 01'!C72)/6)&lt;='V06 Calend 01'!E72)),IF((79=('V06 Calend 01'!C72+(6*'V06 Calend 01'!E72))),('V06 Calend 01'!H72-('V06 Calend 01'!I72*('V06 Calend 01'!E72-1))),'V06 Calend 01'!I72),0))+IF((79='V06 Calend 01'!D72),'V06 Calend 01'!J72,0))</f>
        <v>0</v>
      </c>
      <c r="CN72" s="2">
        <f>((IF((80='V06 Calend 01'!C72),('V06 Calend 01'!F72+'V06 Calend 01'!G72),0)+IF(AND(('V06 Calend 01'!E72&gt;0),(80&gt;'V06 Calend 01'!C72),(80&lt;'V06 Calend 01'!D72),(MOD((80-'V06 Calend 01'!C72),6)=0),(((80-'V06 Calend 01'!C72)/6)&lt;='V06 Calend 01'!E72)),IF((80=('V06 Calend 01'!C72+(6*'V06 Calend 01'!E72))),('V06 Calend 01'!H72-('V06 Calend 01'!I72*('V06 Calend 01'!E72-1))),'V06 Calend 01'!I72),0))+IF((80='V06 Calend 01'!D72),'V06 Calend 01'!J72,0))</f>
        <v>0</v>
      </c>
      <c r="CO72" s="2">
        <f>((IF((81='V06 Calend 01'!C72),('V06 Calend 01'!F72+'V06 Calend 01'!G72),0)+IF(AND(('V06 Calend 01'!E72&gt;0),(81&gt;'V06 Calend 01'!C72),(81&lt;'V06 Calend 01'!D72),(MOD((81-'V06 Calend 01'!C72),6)=0),(((81-'V06 Calend 01'!C72)/6)&lt;='V06 Calend 01'!E72)),IF((81=('V06 Calend 01'!C72+(6*'V06 Calend 01'!E72))),('V06 Calend 01'!H72-('V06 Calend 01'!I72*('V06 Calend 01'!E72-1))),'V06 Calend 01'!I72),0))+IF((81='V06 Calend 01'!D72),'V06 Calend 01'!J72,0))</f>
        <v>0</v>
      </c>
      <c r="CP72" s="2">
        <f>((IF((82='V06 Calend 01'!C72),('V06 Calend 01'!F72+'V06 Calend 01'!G72),0)+IF(AND(('V06 Calend 01'!E72&gt;0),(82&gt;'V06 Calend 01'!C72),(82&lt;'V06 Calend 01'!D72),(MOD((82-'V06 Calend 01'!C72),6)=0),(((82-'V06 Calend 01'!C72)/6)&lt;='V06 Calend 01'!E72)),IF((82=('V06 Calend 01'!C72+(6*'V06 Calend 01'!E72))),('V06 Calend 01'!H72-('V06 Calend 01'!I72*('V06 Calend 01'!E72-1))),'V06 Calend 01'!I72),0))+IF((82='V06 Calend 01'!D72),'V06 Calend 01'!J72,0))</f>
        <v>0</v>
      </c>
      <c r="CQ72" s="2">
        <f>((IF((83='V06 Calend 01'!C72),('V06 Calend 01'!F72+'V06 Calend 01'!G72),0)+IF(AND(('V06 Calend 01'!E72&gt;0),(83&gt;'V06 Calend 01'!C72),(83&lt;'V06 Calend 01'!D72),(MOD((83-'V06 Calend 01'!C72),6)=0),(((83-'V06 Calend 01'!C72)/6)&lt;='V06 Calend 01'!E72)),IF((83=('V06 Calend 01'!C72+(6*'V06 Calend 01'!E72))),('V06 Calend 01'!H72-('V06 Calend 01'!I72*('V06 Calend 01'!E72-1))),'V06 Calend 01'!I72),0))+IF((83='V06 Calend 01'!D72),'V06 Calend 01'!J72,0))</f>
        <v>0</v>
      </c>
      <c r="CR72" s="2">
        <f>((IF((84='V06 Calend 01'!C72),('V06 Calend 01'!F72+'V06 Calend 01'!G72),0)+IF(AND(('V06 Calend 01'!E72&gt;0),(84&gt;'V06 Calend 01'!C72),(84&lt;'V06 Calend 01'!D72),(MOD((84-'V06 Calend 01'!C72),6)=0),(((84-'V06 Calend 01'!C72)/6)&lt;='V06 Calend 01'!E72)),IF((84=('V06 Calend 01'!C72+(6*'V06 Calend 01'!E72))),('V06 Calend 01'!H72-('V06 Calend 01'!I72*('V06 Calend 01'!E72-1))),'V06 Calend 01'!I72),0))+IF((84='V06 Calend 01'!D72),'V06 Calend 01'!J72,0))</f>
        <v>0</v>
      </c>
      <c r="CS72" s="2">
        <f>((IF((85='V06 Calend 01'!C72),('V06 Calend 01'!F72+'V06 Calend 01'!G72),0)+IF(AND(('V06 Calend 01'!E72&gt;0),(85&gt;'V06 Calend 01'!C72),(85&lt;'V06 Calend 01'!D72),(MOD((85-'V06 Calend 01'!C72),6)=0),(((85-'V06 Calend 01'!C72)/6)&lt;='V06 Calend 01'!E72)),IF((85=('V06 Calend 01'!C72+(6*'V06 Calend 01'!E72))),('V06 Calend 01'!H72-('V06 Calend 01'!I72*('V06 Calend 01'!E72-1))),'V06 Calend 01'!I72),0))+IF((85='V06 Calend 01'!D72),'V06 Calend 01'!J72,0))</f>
        <v>0</v>
      </c>
      <c r="CT72" s="2">
        <f>((IF((86='V06 Calend 01'!C72),('V06 Calend 01'!F72+'V06 Calend 01'!G72),0)+IF(AND(('V06 Calend 01'!E72&gt;0),(86&gt;'V06 Calend 01'!C72),(86&lt;'V06 Calend 01'!D72),(MOD((86-'V06 Calend 01'!C72),6)=0),(((86-'V06 Calend 01'!C72)/6)&lt;='V06 Calend 01'!E72)),IF((86=('V06 Calend 01'!C72+(6*'V06 Calend 01'!E72))),('V06 Calend 01'!H72-('V06 Calend 01'!I72*('V06 Calend 01'!E72-1))),'V06 Calend 01'!I72),0))+IF((86='V06 Calend 01'!D72),'V06 Calend 01'!J72,0))</f>
        <v>0</v>
      </c>
      <c r="CU72" s="2">
        <f>((IF((87='V06 Calend 01'!C72),('V06 Calend 01'!F72+'V06 Calend 01'!G72),0)+IF(AND(('V06 Calend 01'!E72&gt;0),(87&gt;'V06 Calend 01'!C72),(87&lt;'V06 Calend 01'!D72),(MOD((87-'V06 Calend 01'!C72),6)=0),(((87-'V06 Calend 01'!C72)/6)&lt;='V06 Calend 01'!E72)),IF((87=('V06 Calend 01'!C72+(6*'V06 Calend 01'!E72))),('V06 Calend 01'!H72-('V06 Calend 01'!I72*('V06 Calend 01'!E72-1))),'V06 Calend 01'!I72),0))+IF((87='V06 Calend 01'!D72),'V06 Calend 01'!J72,0))</f>
        <v>0</v>
      </c>
      <c r="CV72" s="2">
        <f>((IF((88='V06 Calend 01'!C72),('V06 Calend 01'!F72+'V06 Calend 01'!G72),0)+IF(AND(('V06 Calend 01'!E72&gt;0),(88&gt;'V06 Calend 01'!C72),(88&lt;'V06 Calend 01'!D72),(MOD((88-'V06 Calend 01'!C72),6)=0),(((88-'V06 Calend 01'!C72)/6)&lt;='V06 Calend 01'!E72)),IF((88=('V06 Calend 01'!C72+(6*'V06 Calend 01'!E72))),('V06 Calend 01'!H72-('V06 Calend 01'!I72*('V06 Calend 01'!E72-1))),'V06 Calend 01'!I72),0))+IF((88='V06 Calend 01'!D72),'V06 Calend 01'!J72,0))</f>
        <v>0</v>
      </c>
      <c r="CW72" s="2">
        <f>((IF((89='V06 Calend 01'!C72),('V06 Calend 01'!F72+'V06 Calend 01'!G72),0)+IF(AND(('V06 Calend 01'!E72&gt;0),(89&gt;'V06 Calend 01'!C72),(89&lt;'V06 Calend 01'!D72),(MOD((89-'V06 Calend 01'!C72),6)=0),(((89-'V06 Calend 01'!C72)/6)&lt;='V06 Calend 01'!E72)),IF((89=('V06 Calend 01'!C72+(6*'V06 Calend 01'!E72))),('V06 Calend 01'!H72-('V06 Calend 01'!I72*('V06 Calend 01'!E72-1))),'V06 Calend 01'!I72),0))+IF((89='V06 Calend 01'!D72),'V06 Calend 01'!J72,0))</f>
        <v>0</v>
      </c>
      <c r="CX72" s="2">
        <f>((IF((90='V06 Calend 01'!C72),('V06 Calend 01'!F72+'V06 Calend 01'!G72),0)+IF(AND(('V06 Calend 01'!E72&gt;0),(90&gt;'V06 Calend 01'!C72),(90&lt;'V06 Calend 01'!D72),(MOD((90-'V06 Calend 01'!C72),6)=0),(((90-'V06 Calend 01'!C72)/6)&lt;='V06 Calend 01'!E72)),IF((90=('V06 Calend 01'!C72+(6*'V06 Calend 01'!E72))),('V06 Calend 01'!H72-('V06 Calend 01'!I72*('V06 Calend 01'!E72-1))),'V06 Calend 01'!I72),0))+IF((90='V06 Calend 01'!D72),'V06 Calend 01'!J72,0))</f>
        <v>0</v>
      </c>
      <c r="CY72" s="2">
        <f>((IF((91='V06 Calend 01'!C72),('V06 Calend 01'!F72+'V06 Calend 01'!G72),0)+IF(AND(('V06 Calend 01'!E72&gt;0),(91&gt;'V06 Calend 01'!C72),(91&lt;'V06 Calend 01'!D72),(MOD((91-'V06 Calend 01'!C72),6)=0),(((91-'V06 Calend 01'!C72)/6)&lt;='V06 Calend 01'!E72)),IF((91=('V06 Calend 01'!C72+(6*'V06 Calend 01'!E72))),('V06 Calend 01'!H72-('V06 Calend 01'!I72*('V06 Calend 01'!E72-1))),'V06 Calend 01'!I72),0))+IF((91='V06 Calend 01'!D72),'V06 Calend 01'!J72,0))</f>
        <v>0</v>
      </c>
      <c r="CZ72" s="2">
        <f>((IF((92='V06 Calend 01'!C72),('V06 Calend 01'!F72+'V06 Calend 01'!G72),0)+IF(AND(('V06 Calend 01'!E72&gt;0),(92&gt;'V06 Calend 01'!C72),(92&lt;'V06 Calend 01'!D72),(MOD((92-'V06 Calend 01'!C72),6)=0),(((92-'V06 Calend 01'!C72)/6)&lt;='V06 Calend 01'!E72)),IF((92=('V06 Calend 01'!C72+(6*'V06 Calend 01'!E72))),('V06 Calend 01'!H72-('V06 Calend 01'!I72*('V06 Calend 01'!E72-1))),'V06 Calend 01'!I72),0))+IF((92='V06 Calend 01'!D72),'V06 Calend 01'!J72,0))</f>
        <v>0</v>
      </c>
      <c r="DA72" s="2">
        <f>((IF((93='V06 Calend 01'!C72),('V06 Calend 01'!F72+'V06 Calend 01'!G72),0)+IF(AND(('V06 Calend 01'!E72&gt;0),(93&gt;'V06 Calend 01'!C72),(93&lt;'V06 Calend 01'!D72),(MOD((93-'V06 Calend 01'!C72),6)=0),(((93-'V06 Calend 01'!C72)/6)&lt;='V06 Calend 01'!E72)),IF((93=('V06 Calend 01'!C72+(6*'V06 Calend 01'!E72))),('V06 Calend 01'!H72-('V06 Calend 01'!I72*('V06 Calend 01'!E72-1))),'V06 Calend 01'!I72),0))+IF((93='V06 Calend 01'!D72),'V06 Calend 01'!J72,0))</f>
        <v>0</v>
      </c>
      <c r="DB72" s="2">
        <f>((IF((94='V06 Calend 01'!C72),('V06 Calend 01'!F72+'V06 Calend 01'!G72),0)+IF(AND(('V06 Calend 01'!E72&gt;0),(94&gt;'V06 Calend 01'!C72),(94&lt;'V06 Calend 01'!D72),(MOD((94-'V06 Calend 01'!C72),6)=0),(((94-'V06 Calend 01'!C72)/6)&lt;='V06 Calend 01'!E72)),IF((94=('V06 Calend 01'!C72+(6*'V06 Calend 01'!E72))),('V06 Calend 01'!H72-('V06 Calend 01'!I72*('V06 Calend 01'!E72-1))),'V06 Calend 01'!I72),0))+IF((94='V06 Calend 01'!D72),'V06 Calend 01'!J72,0))</f>
        <v>0</v>
      </c>
      <c r="DC72" s="2">
        <f>((IF((95='V06 Calend 01'!C72),('V06 Calend 01'!F72+'V06 Calend 01'!G72),0)+IF(AND(('V06 Calend 01'!E72&gt;0),(95&gt;'V06 Calend 01'!C72),(95&lt;'V06 Calend 01'!D72),(MOD((95-'V06 Calend 01'!C72),6)=0),(((95-'V06 Calend 01'!C72)/6)&lt;='V06 Calend 01'!E72)),IF((95=('V06 Calend 01'!C72+(6*'V06 Calend 01'!E72))),('V06 Calend 01'!H72-('V06 Calend 01'!I72*('V06 Calend 01'!E72-1))),'V06 Calend 01'!I72),0))+IF((95='V06 Calend 01'!D72),'V06 Calend 01'!J72,0))</f>
        <v>0</v>
      </c>
      <c r="DD72" s="2">
        <f>((IF((96='V06 Calend 01'!C72),('V06 Calend 01'!F72+'V06 Calend 01'!G72),0)+IF(AND(('V06 Calend 01'!E72&gt;0),(96&gt;'V06 Calend 01'!C72),(96&lt;'V06 Calend 01'!D72),(MOD((96-'V06 Calend 01'!C72),6)=0),(((96-'V06 Calend 01'!C72)/6)&lt;='V06 Calend 01'!E72)),IF((96=('V06 Calend 01'!C72+(6*'V06 Calend 01'!E72))),('V06 Calend 01'!H72-('V06 Calend 01'!I72*('V06 Calend 01'!E72-1))),'V06 Calend 01'!I72),0))+IF((96='V06 Calend 01'!D72),'V06 Calend 01'!J72,0))</f>
        <v>0</v>
      </c>
      <c r="DE72" s="2">
        <f>((IF((97='V06 Calend 01'!C72),('V06 Calend 01'!F72+'V06 Calend 01'!G72),0)+IF(AND(('V06 Calend 01'!E72&gt;0),(97&gt;'V06 Calend 01'!C72),(97&lt;'V06 Calend 01'!D72),(MOD((97-'V06 Calend 01'!C72),6)=0),(((97-'V06 Calend 01'!C72)/6)&lt;='V06 Calend 01'!E72)),IF((97=('V06 Calend 01'!C72+(6*'V06 Calend 01'!E72))),('V06 Calend 01'!H72-('V06 Calend 01'!I72*('V06 Calend 01'!E72-1))),'V06 Calend 01'!I72),0))+IF((97='V06 Calend 01'!D72),'V06 Calend 01'!J72,0))</f>
        <v>0</v>
      </c>
      <c r="DF72" s="2">
        <f>((IF((98='V06 Calend 01'!C72),('V06 Calend 01'!F72+'V06 Calend 01'!G72),0)+IF(AND(('V06 Calend 01'!E72&gt;0),(98&gt;'V06 Calend 01'!C72),(98&lt;'V06 Calend 01'!D72),(MOD((98-'V06 Calend 01'!C72),6)=0),(((98-'V06 Calend 01'!C72)/6)&lt;='V06 Calend 01'!E72)),IF((98=('V06 Calend 01'!C72+(6*'V06 Calend 01'!E72))),('V06 Calend 01'!H72-('V06 Calend 01'!I72*('V06 Calend 01'!E72-1))),'V06 Calend 01'!I72),0))+IF((98='V06 Calend 01'!D72),'V06 Calend 01'!J72,0))</f>
        <v>0</v>
      </c>
      <c r="DG72" s="2">
        <f>((IF((99='V06 Calend 01'!C72),('V06 Calend 01'!F72+'V06 Calend 01'!G72),0)+IF(AND(('V06 Calend 01'!E72&gt;0),(99&gt;'V06 Calend 01'!C72),(99&lt;'V06 Calend 01'!D72),(MOD((99-'V06 Calend 01'!C72),6)=0),(((99-'V06 Calend 01'!C72)/6)&lt;='V06 Calend 01'!E72)),IF((99=('V06 Calend 01'!C72+(6*'V06 Calend 01'!E72))),('V06 Calend 01'!H72-('V06 Calend 01'!I72*('V06 Calend 01'!E72-1))),'V06 Calend 01'!I72),0))+IF((99='V06 Calend 01'!D72),'V06 Calend 01'!J72,0))</f>
        <v>0</v>
      </c>
      <c r="DH72" s="2">
        <f>((IF((100='V06 Calend 01'!C72),('V06 Calend 01'!F72+'V06 Calend 01'!G72),0)+IF(AND(('V06 Calend 01'!E72&gt;0),(100&gt;'V06 Calend 01'!C72),(100&lt;'V06 Calend 01'!D72),(MOD((100-'V06 Calend 01'!C72),6)=0),(((100-'V06 Calend 01'!C72)/6)&lt;='V06 Calend 01'!E72)),IF((100=('V06 Calend 01'!C72+(6*'V06 Calend 01'!E72))),('V06 Calend 01'!H72-('V06 Calend 01'!I72*('V06 Calend 01'!E72-1))),'V06 Calend 01'!I72),0))+IF((100='V06 Calend 01'!D72),'V06 Calend 01'!J72,0))</f>
        <v>0</v>
      </c>
      <c r="DI72" s="2">
        <f>((IF((101='V06 Calend 01'!C72),('V06 Calend 01'!F72+'V06 Calend 01'!G72),0)+IF(AND(('V06 Calend 01'!E72&gt;0),(101&gt;'V06 Calend 01'!C72),(101&lt;'V06 Calend 01'!D72),(MOD((101-'V06 Calend 01'!C72),6)=0),(((101-'V06 Calend 01'!C72)/6)&lt;='V06 Calend 01'!E72)),IF((101=('V06 Calend 01'!C72+(6*'V06 Calend 01'!E72))),('V06 Calend 01'!H72-('V06 Calend 01'!I72*('V06 Calend 01'!E72-1))),'V06 Calend 01'!I72),0))+IF((101='V06 Calend 01'!D72),'V06 Calend 01'!J72,0))</f>
        <v>0</v>
      </c>
      <c r="DJ72" s="2">
        <f>((IF((102='V06 Calend 01'!C72),('V06 Calend 01'!F72+'V06 Calend 01'!G72),0)+IF(AND(('V06 Calend 01'!E72&gt;0),(102&gt;'V06 Calend 01'!C72),(102&lt;'V06 Calend 01'!D72),(MOD((102-'V06 Calend 01'!C72),6)=0),(((102-'V06 Calend 01'!C72)/6)&lt;='V06 Calend 01'!E72)),IF((102=('V06 Calend 01'!C72+(6*'V06 Calend 01'!E72))),('V06 Calend 01'!H72-('V06 Calend 01'!I72*('V06 Calend 01'!E72-1))),'V06 Calend 01'!I72),0))+IF((102='V06 Calend 01'!D72),'V06 Calend 01'!J72,0))</f>
        <v>0</v>
      </c>
      <c r="DK72" s="2">
        <f>((IF((103='V06 Calend 01'!C72),('V06 Calend 01'!F72+'V06 Calend 01'!G72),0)+IF(AND(('V06 Calend 01'!E72&gt;0),(103&gt;'V06 Calend 01'!C72),(103&lt;'V06 Calend 01'!D72),(MOD((103-'V06 Calend 01'!C72),6)=0),(((103-'V06 Calend 01'!C72)/6)&lt;='V06 Calend 01'!E72)),IF((103=('V06 Calend 01'!C72+(6*'V06 Calend 01'!E72))),('V06 Calend 01'!H72-('V06 Calend 01'!I72*('V06 Calend 01'!E72-1))),'V06 Calend 01'!I72),0))+IF((103='V06 Calend 01'!D72),'V06 Calend 01'!J72,0))</f>
        <v>0</v>
      </c>
      <c r="DL72" s="2">
        <f>((IF((104='V06 Calend 01'!C72),('V06 Calend 01'!F72+'V06 Calend 01'!G72),0)+IF(AND(('V06 Calend 01'!E72&gt;0),(104&gt;'V06 Calend 01'!C72),(104&lt;'V06 Calend 01'!D72),(MOD((104-'V06 Calend 01'!C72),6)=0),(((104-'V06 Calend 01'!C72)/6)&lt;='V06 Calend 01'!E72)),IF((104=('V06 Calend 01'!C72+(6*'V06 Calend 01'!E72))),('V06 Calend 01'!H72-('V06 Calend 01'!I72*('V06 Calend 01'!E72-1))),'V06 Calend 01'!I72),0))+IF((104='V06 Calend 01'!D72),'V06 Calend 01'!J72,0))</f>
        <v>0</v>
      </c>
      <c r="DM72" s="2">
        <f>((IF((105='V06 Calend 01'!C72),('V06 Calend 01'!F72+'V06 Calend 01'!G72),0)+IF(AND(('V06 Calend 01'!E72&gt;0),(105&gt;'V06 Calend 01'!C72),(105&lt;'V06 Calend 01'!D72),(MOD((105-'V06 Calend 01'!C72),6)=0),(((105-'V06 Calend 01'!C72)/6)&lt;='V06 Calend 01'!E72)),IF((105=('V06 Calend 01'!C72+(6*'V06 Calend 01'!E72))),('V06 Calend 01'!H72-('V06 Calend 01'!I72*('V06 Calend 01'!E72-1))),'V06 Calend 01'!I72),0))+IF((105='V06 Calend 01'!D72),'V06 Calend 01'!J72,0))</f>
        <v>0</v>
      </c>
      <c r="DN72" s="2">
        <f>((IF((106='V06 Calend 01'!C72),('V06 Calend 01'!F72+'V06 Calend 01'!G72),0)+IF(AND(('V06 Calend 01'!E72&gt;0),(106&gt;'V06 Calend 01'!C72),(106&lt;'V06 Calend 01'!D72),(MOD((106-'V06 Calend 01'!C72),6)=0),(((106-'V06 Calend 01'!C72)/6)&lt;='V06 Calend 01'!E72)),IF((106=('V06 Calend 01'!C72+(6*'V06 Calend 01'!E72))),('V06 Calend 01'!H72-('V06 Calend 01'!I72*('V06 Calend 01'!E72-1))),'V06 Calend 01'!I72),0))+IF((106='V06 Calend 01'!D72),'V06 Calend 01'!J72,0))</f>
        <v>0</v>
      </c>
      <c r="DO72" s="2">
        <f>((IF((107='V06 Calend 01'!C72),('V06 Calend 01'!F72+'V06 Calend 01'!G72),0)+IF(AND(('V06 Calend 01'!E72&gt;0),(107&gt;'V06 Calend 01'!C72),(107&lt;'V06 Calend 01'!D72),(MOD((107-'V06 Calend 01'!C72),6)=0),(((107-'V06 Calend 01'!C72)/6)&lt;='V06 Calend 01'!E72)),IF((107=('V06 Calend 01'!C72+(6*'V06 Calend 01'!E72))),('V06 Calend 01'!H72-('V06 Calend 01'!I72*('V06 Calend 01'!E72-1))),'V06 Calend 01'!I72),0))+IF((107='V06 Calend 01'!D72),'V06 Calend 01'!J72,0))</f>
        <v>0</v>
      </c>
      <c r="DP72" s="2">
        <f>((IF((108='V06 Calend 01'!C72),('V06 Calend 01'!F72+'V06 Calend 01'!G72),0)+IF(AND(('V06 Calend 01'!E72&gt;0),(108&gt;'V06 Calend 01'!C72),(108&lt;'V06 Calend 01'!D72),(MOD((108-'V06 Calend 01'!C72),6)=0),(((108-'V06 Calend 01'!C72)/6)&lt;='V06 Calend 01'!E72)),IF((108=('V06 Calend 01'!C72+(6*'V06 Calend 01'!E72))),('V06 Calend 01'!H72-('V06 Calend 01'!I72*('V06 Calend 01'!E72-1))),'V06 Calend 01'!I72),0))+IF((108='V06 Calend 01'!D72),'V06 Calend 01'!J72,0))</f>
        <v>0</v>
      </c>
      <c r="DQ72" s="2">
        <f>((IF((109='V06 Calend 01'!C72),('V06 Calend 01'!F72+'V06 Calend 01'!G72),0)+IF(AND(('V06 Calend 01'!E72&gt;0),(109&gt;'V06 Calend 01'!C72),(109&lt;'V06 Calend 01'!D72),(MOD((109-'V06 Calend 01'!C72),6)=0),(((109-'V06 Calend 01'!C72)/6)&lt;='V06 Calend 01'!E72)),IF((109=('V06 Calend 01'!C72+(6*'V06 Calend 01'!E72))),('V06 Calend 01'!H72-('V06 Calend 01'!I72*('V06 Calend 01'!E72-1))),'V06 Calend 01'!I72),0))+IF((109='V06 Calend 01'!D72),'V06 Calend 01'!J72,0))</f>
        <v>0</v>
      </c>
      <c r="DR72" s="2">
        <f>((IF((110='V06 Calend 01'!C72),('V06 Calend 01'!F72+'V06 Calend 01'!G72),0)+IF(AND(('V06 Calend 01'!E72&gt;0),(110&gt;'V06 Calend 01'!C72),(110&lt;'V06 Calend 01'!D72),(MOD((110-'V06 Calend 01'!C72),6)=0),(((110-'V06 Calend 01'!C72)/6)&lt;='V06 Calend 01'!E72)),IF((110=('V06 Calend 01'!C72+(6*'V06 Calend 01'!E72))),('V06 Calend 01'!H72-('V06 Calend 01'!I72*('V06 Calend 01'!E72-1))),'V06 Calend 01'!I72),0))+IF((110='V06 Calend 01'!D72),'V06 Calend 01'!J72,0))</f>
        <v>0</v>
      </c>
      <c r="DS72" s="2">
        <f>((IF((111='V06 Calend 01'!C72),('V06 Calend 01'!F72+'V06 Calend 01'!G72),0)+IF(AND(('V06 Calend 01'!E72&gt;0),(111&gt;'V06 Calend 01'!C72),(111&lt;'V06 Calend 01'!D72),(MOD((111-'V06 Calend 01'!C72),6)=0),(((111-'V06 Calend 01'!C72)/6)&lt;='V06 Calend 01'!E72)),IF((111=('V06 Calend 01'!C72+(6*'V06 Calend 01'!E72))),('V06 Calend 01'!H72-('V06 Calend 01'!I72*('V06 Calend 01'!E72-1))),'V06 Calend 01'!I72),0))+IF((111='V06 Calend 01'!D72),'V06 Calend 01'!J72,0))</f>
        <v>0</v>
      </c>
      <c r="DT72" s="2">
        <f>((IF((112='V06 Calend 01'!C72),('V06 Calend 01'!F72+'V06 Calend 01'!G72),0)+IF(AND(('V06 Calend 01'!E72&gt;0),(112&gt;'V06 Calend 01'!C72),(112&lt;'V06 Calend 01'!D72),(MOD((112-'V06 Calend 01'!C72),6)=0),(((112-'V06 Calend 01'!C72)/6)&lt;='V06 Calend 01'!E72)),IF((112=('V06 Calend 01'!C72+(6*'V06 Calend 01'!E72))),('V06 Calend 01'!H72-('V06 Calend 01'!I72*('V06 Calend 01'!E72-1))),'V06 Calend 01'!I72),0))+IF((112='V06 Calend 01'!D72),'V06 Calend 01'!J72,0))</f>
        <v>0</v>
      </c>
      <c r="DU72" s="2">
        <f>((IF((113='V06 Calend 01'!C72),('V06 Calend 01'!F72+'V06 Calend 01'!G72),0)+IF(AND(('V06 Calend 01'!E72&gt;0),(113&gt;'V06 Calend 01'!C72),(113&lt;'V06 Calend 01'!D72),(MOD((113-'V06 Calend 01'!C72),6)=0),(((113-'V06 Calend 01'!C72)/6)&lt;='V06 Calend 01'!E72)),IF((113=('V06 Calend 01'!C72+(6*'V06 Calend 01'!E72))),('V06 Calend 01'!H72-('V06 Calend 01'!I72*('V06 Calend 01'!E72-1))),'V06 Calend 01'!I72),0))+IF((113='V06 Calend 01'!D72),'V06 Calend 01'!J72,0))</f>
        <v>0</v>
      </c>
      <c r="DV72" s="2">
        <f>((IF((114='V06 Calend 01'!C72),('V06 Calend 01'!F72+'V06 Calend 01'!G72),0)+IF(AND(('V06 Calend 01'!E72&gt;0),(114&gt;'V06 Calend 01'!C72),(114&lt;'V06 Calend 01'!D72),(MOD((114-'V06 Calend 01'!C72),6)=0),(((114-'V06 Calend 01'!C72)/6)&lt;='V06 Calend 01'!E72)),IF((114=('V06 Calend 01'!C72+(6*'V06 Calend 01'!E72))),('V06 Calend 01'!H72-('V06 Calend 01'!I72*('V06 Calend 01'!E72-1))),'V06 Calend 01'!I72),0))+IF((114='V06 Calend 01'!D72),'V06 Calend 01'!J72,0))</f>
        <v>0</v>
      </c>
      <c r="DW72" s="2">
        <f>((IF((115='V06 Calend 01'!C72),('V06 Calend 01'!F72+'V06 Calend 01'!G72),0)+IF(AND(('V06 Calend 01'!E72&gt;0),(115&gt;'V06 Calend 01'!C72),(115&lt;'V06 Calend 01'!D72),(MOD((115-'V06 Calend 01'!C72),6)=0),(((115-'V06 Calend 01'!C72)/6)&lt;='V06 Calend 01'!E72)),IF((115=('V06 Calend 01'!C72+(6*'V06 Calend 01'!E72))),('V06 Calend 01'!H72-('V06 Calend 01'!I72*('V06 Calend 01'!E72-1))),'V06 Calend 01'!I72),0))+IF((115='V06 Calend 01'!D72),'V06 Calend 01'!J72,0))</f>
        <v>0</v>
      </c>
      <c r="DX72" s="2">
        <f>((IF((116='V06 Calend 01'!C72),('V06 Calend 01'!F72+'V06 Calend 01'!G72),0)+IF(AND(('V06 Calend 01'!E72&gt;0),(116&gt;'V06 Calend 01'!C72),(116&lt;'V06 Calend 01'!D72),(MOD((116-'V06 Calend 01'!C72),6)=0),(((116-'V06 Calend 01'!C72)/6)&lt;='V06 Calend 01'!E72)),IF((116=('V06 Calend 01'!C72+(6*'V06 Calend 01'!E72))),('V06 Calend 01'!H72-('V06 Calend 01'!I72*('V06 Calend 01'!E72-1))),'V06 Calend 01'!I72),0))+IF((116='V06 Calend 01'!D72),'V06 Calend 01'!J72,0))</f>
        <v>0</v>
      </c>
      <c r="DY72" s="2">
        <f>((IF((117='V06 Calend 01'!C72),('V06 Calend 01'!F72+'V06 Calend 01'!G72),0)+IF(AND(('V06 Calend 01'!E72&gt;0),(117&gt;'V06 Calend 01'!C72),(117&lt;'V06 Calend 01'!D72),(MOD((117-'V06 Calend 01'!C72),6)=0),(((117-'V06 Calend 01'!C72)/6)&lt;='V06 Calend 01'!E72)),IF((117=('V06 Calend 01'!C72+(6*'V06 Calend 01'!E72))),('V06 Calend 01'!H72-('V06 Calend 01'!I72*('V06 Calend 01'!E72-1))),'V06 Calend 01'!I72),0))+IF((117='V06 Calend 01'!D72),'V06 Calend 01'!J72,0))</f>
        <v>0</v>
      </c>
      <c r="DZ72" s="2">
        <f>((IF((118='V06 Calend 01'!C72),('V06 Calend 01'!F72+'V06 Calend 01'!G72),0)+IF(AND(('V06 Calend 01'!E72&gt;0),(118&gt;'V06 Calend 01'!C72),(118&lt;'V06 Calend 01'!D72),(MOD((118-'V06 Calend 01'!C72),6)=0),(((118-'V06 Calend 01'!C72)/6)&lt;='V06 Calend 01'!E72)),IF((118=('V06 Calend 01'!C72+(6*'V06 Calend 01'!E72))),('V06 Calend 01'!H72-('V06 Calend 01'!I72*('V06 Calend 01'!E72-1))),'V06 Calend 01'!I72),0))+IF((118='V06 Calend 01'!D72),'V06 Calend 01'!J72,0))</f>
        <v>0</v>
      </c>
      <c r="EA72" s="2">
        <f>((IF((119='V06 Calend 01'!C72),('V06 Calend 01'!F72+'V06 Calend 01'!G72),0)+IF(AND(('V06 Calend 01'!E72&gt;0),(119&gt;'V06 Calend 01'!C72),(119&lt;'V06 Calend 01'!D72),(MOD((119-'V06 Calend 01'!C72),6)=0),(((119-'V06 Calend 01'!C72)/6)&lt;='V06 Calend 01'!E72)),IF((119=('V06 Calend 01'!C72+(6*'V06 Calend 01'!E72))),('V06 Calend 01'!H72-('V06 Calend 01'!I72*('V06 Calend 01'!E72-1))),'V06 Calend 01'!I72),0))+IF((119='V06 Calend 01'!D72),'V06 Calend 01'!J72,0))</f>
        <v>0</v>
      </c>
      <c r="EB72" s="2">
        <f>((IF((120='V06 Calend 01'!C72),('V06 Calend 01'!F72+'V06 Calend 01'!G72),0)+IF(AND(('V06 Calend 01'!E72&gt;0),(120&gt;'V06 Calend 01'!C72),(120&lt;'V06 Calend 01'!D72),(MOD((120-'V06 Calend 01'!C72),6)=0),(((120-'V06 Calend 01'!C72)/6)&lt;='V06 Calend 01'!E72)),IF((120=('V06 Calend 01'!C72+(6*'V06 Calend 01'!E72))),('V06 Calend 01'!H72-('V06 Calend 01'!I72*('V06 Calend 01'!E72-1))),'V06 Calend 01'!I72),0))+IF((120='V06 Calend 01'!D72),'V06 Calend 01'!J72,0))</f>
        <v>0</v>
      </c>
      <c r="EC72" s="2">
        <f>((IF((121='V06 Calend 01'!C72),('V06 Calend 01'!F72+'V06 Calend 01'!G72),0)+IF(AND(('V06 Calend 01'!E72&gt;0),(121&gt;'V06 Calend 01'!C72),(121&lt;'V06 Calend 01'!D72),(MOD((121-'V06 Calend 01'!C72),6)=0),(((121-'V06 Calend 01'!C72)/6)&lt;='V06 Calend 01'!E72)),IF((121=('V06 Calend 01'!C72+(6*'V06 Calend 01'!E72))),('V06 Calend 01'!H72-('V06 Calend 01'!I72*('V06 Calend 01'!E72-1))),'V06 Calend 01'!I72),0))+IF((121='V06 Calend 01'!D72),'V06 Calend 01'!J72,0))</f>
        <v>0</v>
      </c>
      <c r="ED72" s="2">
        <f>((IF((122='V06 Calend 01'!C72),('V06 Calend 01'!F72+'V06 Calend 01'!G72),0)+IF(AND(('V06 Calend 01'!E72&gt;0),(122&gt;'V06 Calend 01'!C72),(122&lt;'V06 Calend 01'!D72),(MOD((122-'V06 Calend 01'!C72),6)=0),(((122-'V06 Calend 01'!C72)/6)&lt;='V06 Calend 01'!E72)),IF((122=('V06 Calend 01'!C72+(6*'V06 Calend 01'!E72))),('V06 Calend 01'!H72-('V06 Calend 01'!I72*('V06 Calend 01'!E72-1))),'V06 Calend 01'!I72),0))+IF((122='V06 Calend 01'!D72),'V06 Calend 01'!J72,0))</f>
        <v>0</v>
      </c>
      <c r="EE72" s="2">
        <f>((IF((123='V06 Calend 01'!C72),('V06 Calend 01'!F72+'V06 Calend 01'!G72),0)+IF(AND(('V06 Calend 01'!E72&gt;0),(123&gt;'V06 Calend 01'!C72),(123&lt;'V06 Calend 01'!D72),(MOD((123-'V06 Calend 01'!C72),6)=0),(((123-'V06 Calend 01'!C72)/6)&lt;='V06 Calend 01'!E72)),IF((123=('V06 Calend 01'!C72+(6*'V06 Calend 01'!E72))),('V06 Calend 01'!H72-('V06 Calend 01'!I72*('V06 Calend 01'!E72-1))),'V06 Calend 01'!I72),0))+IF((123='V06 Calend 01'!D72),'V06 Calend 01'!J72,0))</f>
        <v>0</v>
      </c>
      <c r="EF72" s="2">
        <f>((IF((124='V06 Calend 01'!C72),('V06 Calend 01'!F72+'V06 Calend 01'!G72),0)+IF(AND(('V06 Calend 01'!E72&gt;0),(124&gt;'V06 Calend 01'!C72),(124&lt;'V06 Calend 01'!D72),(MOD((124-'V06 Calend 01'!C72),6)=0),(((124-'V06 Calend 01'!C72)/6)&lt;='V06 Calend 01'!E72)),IF((124=('V06 Calend 01'!C72+(6*'V06 Calend 01'!E72))),('V06 Calend 01'!H72-('V06 Calend 01'!I72*('V06 Calend 01'!E72-1))),'V06 Calend 01'!I72),0))+IF((124='V06 Calend 01'!D72),'V06 Calend 01'!J72,0))</f>
        <v>0</v>
      </c>
      <c r="EG72" s="2">
        <f>((IF((125='V06 Calend 01'!C72),('V06 Calend 01'!F72+'V06 Calend 01'!G72),0)+IF(AND(('V06 Calend 01'!E72&gt;0),(125&gt;'V06 Calend 01'!C72),(125&lt;'V06 Calend 01'!D72),(MOD((125-'V06 Calend 01'!C72),6)=0),(((125-'V06 Calend 01'!C72)/6)&lt;='V06 Calend 01'!E72)),IF((125=('V06 Calend 01'!C72+(6*'V06 Calend 01'!E72))),('V06 Calend 01'!H72-('V06 Calend 01'!I72*('V06 Calend 01'!E72-1))),'V06 Calend 01'!I72),0))+IF((125='V06 Calend 01'!D72),'V06 Calend 01'!J72,0))</f>
        <v>0</v>
      </c>
      <c r="EH72" s="2">
        <f>((IF((126='V06 Calend 01'!C72),('V06 Calend 01'!F72+'V06 Calend 01'!G72),0)+IF(AND(('V06 Calend 01'!E72&gt;0),(126&gt;'V06 Calend 01'!C72),(126&lt;'V06 Calend 01'!D72),(MOD((126-'V06 Calend 01'!C72),6)=0),(((126-'V06 Calend 01'!C72)/6)&lt;='V06 Calend 01'!E72)),IF((126=('V06 Calend 01'!C72+(6*'V06 Calend 01'!E72))),('V06 Calend 01'!H72-('V06 Calend 01'!I72*('V06 Calend 01'!E72-1))),'V06 Calend 01'!I72),0))+IF((126='V06 Calend 01'!D72),'V06 Calend 01'!J72,0))</f>
        <v>0</v>
      </c>
      <c r="EI72" s="2">
        <f>((IF((127='V06 Calend 01'!C72),('V06 Calend 01'!F72+'V06 Calend 01'!G72),0)+IF(AND(('V06 Calend 01'!E72&gt;0),(127&gt;'V06 Calend 01'!C72),(127&lt;'V06 Calend 01'!D72),(MOD((127-'V06 Calend 01'!C72),6)=0),(((127-'V06 Calend 01'!C72)/6)&lt;='V06 Calend 01'!E72)),IF((127=('V06 Calend 01'!C72+(6*'V06 Calend 01'!E72))),('V06 Calend 01'!H72-('V06 Calend 01'!I72*('V06 Calend 01'!E72-1))),'V06 Calend 01'!I72),0))+IF((127='V06 Calend 01'!D72),'V06 Calend 01'!J72,0))</f>
        <v>0</v>
      </c>
      <c r="EJ72" s="2">
        <f>((IF((128='V06 Calend 01'!C72),('V06 Calend 01'!F72+'V06 Calend 01'!G72),0)+IF(AND(('V06 Calend 01'!E72&gt;0),(128&gt;'V06 Calend 01'!C72),(128&lt;'V06 Calend 01'!D72),(MOD((128-'V06 Calend 01'!C72),6)=0),(((128-'V06 Calend 01'!C72)/6)&lt;='V06 Calend 01'!E72)),IF((128=('V06 Calend 01'!C72+(6*'V06 Calend 01'!E72))),('V06 Calend 01'!H72-('V06 Calend 01'!I72*('V06 Calend 01'!E72-1))),'V06 Calend 01'!I72),0))+IF((128='V06 Calend 01'!D72),'V06 Calend 01'!J72,0))</f>
        <v>0</v>
      </c>
      <c r="EK72" s="2">
        <f>((IF((129='V06 Calend 01'!C72),('V06 Calend 01'!F72+'V06 Calend 01'!G72),0)+IF(AND(('V06 Calend 01'!E72&gt;0),(129&gt;'V06 Calend 01'!C72),(129&lt;'V06 Calend 01'!D72),(MOD((129-'V06 Calend 01'!C72),6)=0),(((129-'V06 Calend 01'!C72)/6)&lt;='V06 Calend 01'!E72)),IF((129=('V06 Calend 01'!C72+(6*'V06 Calend 01'!E72))),('V06 Calend 01'!H72-('V06 Calend 01'!I72*('V06 Calend 01'!E72-1))),'V06 Calend 01'!I72),0))+IF((129='V06 Calend 01'!D72),'V06 Calend 01'!J72,0))</f>
        <v>0</v>
      </c>
      <c r="EL72" s="2">
        <f>((IF((130='V06 Calend 01'!C72),('V06 Calend 01'!F72+'V06 Calend 01'!G72),0)+IF(AND(('V06 Calend 01'!E72&gt;0),(130&gt;'V06 Calend 01'!C72),(130&lt;'V06 Calend 01'!D72),(MOD((130-'V06 Calend 01'!C72),6)=0),(((130-'V06 Calend 01'!C72)/6)&lt;='V06 Calend 01'!E72)),IF((130=('V06 Calend 01'!C72+(6*'V06 Calend 01'!E72))),('V06 Calend 01'!H72-('V06 Calend 01'!I72*('V06 Calend 01'!E72-1))),'V06 Calend 01'!I72),0))+IF((130='V06 Calend 01'!D72),'V06 Calend 01'!J72,0))</f>
        <v>0</v>
      </c>
      <c r="EM72" s="2">
        <f>((IF((131='V06 Calend 01'!C72),('V06 Calend 01'!F72+'V06 Calend 01'!G72),0)+IF(AND(('V06 Calend 01'!E72&gt;0),(131&gt;'V06 Calend 01'!C72),(131&lt;'V06 Calend 01'!D72),(MOD((131-'V06 Calend 01'!C72),6)=0),(((131-'V06 Calend 01'!C72)/6)&lt;='V06 Calend 01'!E72)),IF((131=('V06 Calend 01'!C72+(6*'V06 Calend 01'!E72))),('V06 Calend 01'!H72-('V06 Calend 01'!I72*('V06 Calend 01'!E72-1))),'V06 Calend 01'!I72),0))+IF((131='V06 Calend 01'!D72),'V06 Calend 01'!J72,0))</f>
        <v>0</v>
      </c>
      <c r="EN72" s="2">
        <f>((IF((132='V06 Calend 01'!C72),('V06 Calend 01'!F72+'V06 Calend 01'!G72),0)+IF(AND(('V06 Calend 01'!E72&gt;0),(132&gt;'V06 Calend 01'!C72),(132&lt;'V06 Calend 01'!D72),(MOD((132-'V06 Calend 01'!C72),6)=0),(((132-'V06 Calend 01'!C72)/6)&lt;='V06 Calend 01'!E72)),IF((132=('V06 Calend 01'!C72+(6*'V06 Calend 01'!E72))),('V06 Calend 01'!H72-('V06 Calend 01'!I72*('V06 Calend 01'!E72-1))),'V06 Calend 01'!I72),0))+IF((132='V06 Calend 01'!D72),'V06 Calend 01'!J72,0))</f>
        <v>0</v>
      </c>
      <c r="EO72" s="2">
        <f>((IF((133='V06 Calend 01'!C72),('V06 Calend 01'!F72+'V06 Calend 01'!G72),0)+IF(AND(('V06 Calend 01'!E72&gt;0),(133&gt;'V06 Calend 01'!C72),(133&lt;'V06 Calend 01'!D72),(MOD((133-'V06 Calend 01'!C72),6)=0),(((133-'V06 Calend 01'!C72)/6)&lt;='V06 Calend 01'!E72)),IF((133=('V06 Calend 01'!C72+(6*'V06 Calend 01'!E72))),('V06 Calend 01'!H72-('V06 Calend 01'!I72*('V06 Calend 01'!E72-1))),'V06 Calend 01'!I72),0))+IF((133='V06 Calend 01'!D72),'V06 Calend 01'!J72,0))</f>
        <v>0</v>
      </c>
      <c r="EP72" s="2">
        <f>((IF((134='V06 Calend 01'!C72),('V06 Calend 01'!F72+'V06 Calend 01'!G72),0)+IF(AND(('V06 Calend 01'!E72&gt;0),(134&gt;'V06 Calend 01'!C72),(134&lt;'V06 Calend 01'!D72),(MOD((134-'V06 Calend 01'!C72),6)=0),(((134-'V06 Calend 01'!C72)/6)&lt;='V06 Calend 01'!E72)),IF((134=('V06 Calend 01'!C72+(6*'V06 Calend 01'!E72))),('V06 Calend 01'!H72-('V06 Calend 01'!I72*('V06 Calend 01'!E72-1))),'V06 Calend 01'!I72),0))+IF((134='V06 Calend 01'!D72),'V06 Calend 01'!J72,0))</f>
        <v>0</v>
      </c>
      <c r="EQ72" s="2">
        <f>((IF((135='V06 Calend 01'!C72),('V06 Calend 01'!F72+'V06 Calend 01'!G72),0)+IF(AND(('V06 Calend 01'!E72&gt;0),(135&gt;'V06 Calend 01'!C72),(135&lt;'V06 Calend 01'!D72),(MOD((135-'V06 Calend 01'!C72),6)=0),(((135-'V06 Calend 01'!C72)/6)&lt;='V06 Calend 01'!E72)),IF((135=('V06 Calend 01'!C72+(6*'V06 Calend 01'!E72))),('V06 Calend 01'!H72-('V06 Calend 01'!I72*('V06 Calend 01'!E72-1))),'V06 Calend 01'!I72),0))+IF((135='V06 Calend 01'!D72),'V06 Calend 01'!J72,0))</f>
        <v>0</v>
      </c>
      <c r="ER72" s="2">
        <f>((IF((136='V06 Calend 01'!C72),('V06 Calend 01'!F72+'V06 Calend 01'!G72),0)+IF(AND(('V06 Calend 01'!E72&gt;0),(136&gt;'V06 Calend 01'!C72),(136&lt;'V06 Calend 01'!D72),(MOD((136-'V06 Calend 01'!C72),6)=0),(((136-'V06 Calend 01'!C72)/6)&lt;='V06 Calend 01'!E72)),IF((136=('V06 Calend 01'!C72+(6*'V06 Calend 01'!E72))),('V06 Calend 01'!H72-('V06 Calend 01'!I72*('V06 Calend 01'!E72-1))),'V06 Calend 01'!I72),0))+IF((136='V06 Calend 01'!D72),'V06 Calend 01'!J72,0))</f>
        <v>0</v>
      </c>
      <c r="ES72" s="2">
        <f>((IF((137='V06 Calend 01'!C72),('V06 Calend 01'!F72+'V06 Calend 01'!G72),0)+IF(AND(('V06 Calend 01'!E72&gt;0),(137&gt;'V06 Calend 01'!C72),(137&lt;'V06 Calend 01'!D72),(MOD((137-'V06 Calend 01'!C72),6)=0),(((137-'V06 Calend 01'!C72)/6)&lt;='V06 Calend 01'!E72)),IF((137=('V06 Calend 01'!C72+(6*'V06 Calend 01'!E72))),('V06 Calend 01'!H72-('V06 Calend 01'!I72*('V06 Calend 01'!E72-1))),'V06 Calend 01'!I72),0))+IF((137='V06 Calend 01'!D72),'V06 Calend 01'!J72,0))</f>
        <v>0</v>
      </c>
      <c r="ET72" s="2">
        <f>((IF((138='V06 Calend 01'!C72),('V06 Calend 01'!F72+'V06 Calend 01'!G72),0)+IF(AND(('V06 Calend 01'!E72&gt;0),(138&gt;'V06 Calend 01'!C72),(138&lt;'V06 Calend 01'!D72),(MOD((138-'V06 Calend 01'!C72),6)=0),(((138-'V06 Calend 01'!C72)/6)&lt;='V06 Calend 01'!E72)),IF((138=('V06 Calend 01'!C72+(6*'V06 Calend 01'!E72))),('V06 Calend 01'!H72-('V06 Calend 01'!I72*('V06 Calend 01'!E72-1))),'V06 Calend 01'!I72),0))+IF((138='V06 Calend 01'!D72),'V06 Calend 01'!J72,0))</f>
        <v>0</v>
      </c>
      <c r="EU72" s="2">
        <f>((IF((139='V06 Calend 01'!C72),('V06 Calend 01'!F72+'V06 Calend 01'!G72),0)+IF(AND(('V06 Calend 01'!E72&gt;0),(139&gt;'V06 Calend 01'!C72),(139&lt;'V06 Calend 01'!D72),(MOD((139-'V06 Calend 01'!C72),6)=0),(((139-'V06 Calend 01'!C72)/6)&lt;='V06 Calend 01'!E72)),IF((139=('V06 Calend 01'!C72+(6*'V06 Calend 01'!E72))),('V06 Calend 01'!H72-('V06 Calend 01'!I72*('V06 Calend 01'!E72-1))),'V06 Calend 01'!I72),0))+IF((139='V06 Calend 01'!D72),'V06 Calend 01'!J72,0))</f>
        <v>0</v>
      </c>
      <c r="EV72" s="2">
        <f>((IF((140='V06 Calend 01'!C72),('V06 Calend 01'!F72+'V06 Calend 01'!G72),0)+IF(AND(('V06 Calend 01'!E72&gt;0),(140&gt;'V06 Calend 01'!C72),(140&lt;'V06 Calend 01'!D72),(MOD((140-'V06 Calend 01'!C72),6)=0),(((140-'V06 Calend 01'!C72)/6)&lt;='V06 Calend 01'!E72)),IF((140=('V06 Calend 01'!C72+(6*'V06 Calend 01'!E72))),('V06 Calend 01'!H72-('V06 Calend 01'!I72*('V06 Calend 01'!E72-1))),'V06 Calend 01'!I72),0))+IF((140='V06 Calend 01'!D72),'V06 Calend 01'!J72,0))</f>
        <v>0</v>
      </c>
      <c r="EW72" s="2">
        <f>((IF((141='V06 Calend 01'!C72),('V06 Calend 01'!F72+'V06 Calend 01'!G72),0)+IF(AND(('V06 Calend 01'!E72&gt;0),(141&gt;'V06 Calend 01'!C72),(141&lt;'V06 Calend 01'!D72),(MOD((141-'V06 Calend 01'!C72),6)=0),(((141-'V06 Calend 01'!C72)/6)&lt;='V06 Calend 01'!E72)),IF((141=('V06 Calend 01'!C72+(6*'V06 Calend 01'!E72))),('V06 Calend 01'!H72-('V06 Calend 01'!I72*('V06 Calend 01'!E72-1))),'V06 Calend 01'!I72),0))+IF((141='V06 Calend 01'!D72),'V06 Calend 01'!J72,0))</f>
        <v>0</v>
      </c>
      <c r="EX72" s="2">
        <f>((IF((142='V06 Calend 01'!C72),('V06 Calend 01'!F72+'V06 Calend 01'!G72),0)+IF(AND(('V06 Calend 01'!E72&gt;0),(142&gt;'V06 Calend 01'!C72),(142&lt;'V06 Calend 01'!D72),(MOD((142-'V06 Calend 01'!C72),6)=0),(((142-'V06 Calend 01'!C72)/6)&lt;='V06 Calend 01'!E72)),IF((142=('V06 Calend 01'!C72+(6*'V06 Calend 01'!E72))),('V06 Calend 01'!H72-('V06 Calend 01'!I72*('V06 Calend 01'!E72-1))),'V06 Calend 01'!I72),0))+IF((142='V06 Calend 01'!D72),'V06 Calend 01'!J72,0))</f>
        <v>0</v>
      </c>
      <c r="EY72" s="2">
        <f>((IF((143='V06 Calend 01'!C72),('V06 Calend 01'!F72+'V06 Calend 01'!G72),0)+IF(AND(('V06 Calend 01'!E72&gt;0),(143&gt;'V06 Calend 01'!C72),(143&lt;'V06 Calend 01'!D72),(MOD((143-'V06 Calend 01'!C72),6)=0),(((143-'V06 Calend 01'!C72)/6)&lt;='V06 Calend 01'!E72)),IF((143=('V06 Calend 01'!C72+(6*'V06 Calend 01'!E72))),('V06 Calend 01'!H72-('V06 Calend 01'!I72*('V06 Calend 01'!E72-1))),'V06 Calend 01'!I72),0))+IF((143='V06 Calend 01'!D72),'V06 Calend 01'!J72,0))</f>
        <v>0</v>
      </c>
      <c r="EZ72" s="2">
        <f>((IF((144='V06 Calend 01'!C72),('V06 Calend 01'!F72+'V06 Calend 01'!G72),0)+IF(AND(('V06 Calend 01'!E72&gt;0),(144&gt;'V06 Calend 01'!C72),(144&lt;'V06 Calend 01'!D72),(MOD((144-'V06 Calend 01'!C72),6)=0),(((144-'V06 Calend 01'!C72)/6)&lt;='V06 Calend 01'!E72)),IF((144=('V06 Calend 01'!C72+(6*'V06 Calend 01'!E72))),('V06 Calend 01'!H72-('V06 Calend 01'!I72*('V06 Calend 01'!E72-1))),'V06 Calend 01'!I72),0))+IF((144='V06 Calend 01'!D72),'V06 Calend 01'!J72,0))</f>
        <v>0</v>
      </c>
      <c r="FA72" s="2">
        <f>((IF((145='V06 Calend 01'!C72),('V06 Calend 01'!F72+'V06 Calend 01'!G72),0)+IF(AND(('V06 Calend 01'!E72&gt;0),(145&gt;'V06 Calend 01'!C72),(145&lt;'V06 Calend 01'!D72),(MOD((145-'V06 Calend 01'!C72),6)=0),(((145-'V06 Calend 01'!C72)/6)&lt;='V06 Calend 01'!E72)),IF((145=('V06 Calend 01'!C72+(6*'V06 Calend 01'!E72))),('V06 Calend 01'!H72-('V06 Calend 01'!I72*('V06 Calend 01'!E72-1))),'V06 Calend 01'!I72),0))+IF((145='V06 Calend 01'!D72),'V06 Calend 01'!J72,0))</f>
        <v>0</v>
      </c>
      <c r="FB72" s="2">
        <f>((IF((146='V06 Calend 01'!C72),('V06 Calend 01'!F72+'V06 Calend 01'!G72),0)+IF(AND(('V06 Calend 01'!E72&gt;0),(146&gt;'V06 Calend 01'!C72),(146&lt;'V06 Calend 01'!D72),(MOD((146-'V06 Calend 01'!C72),6)=0),(((146-'V06 Calend 01'!C72)/6)&lt;='V06 Calend 01'!E72)),IF((146=('V06 Calend 01'!C72+(6*'V06 Calend 01'!E72))),('V06 Calend 01'!H72-('V06 Calend 01'!I72*('V06 Calend 01'!E72-1))),'V06 Calend 01'!I72),0))+IF((146='V06 Calend 01'!D72),'V06 Calend 01'!J72,0))</f>
        <v>0</v>
      </c>
      <c r="FC72" s="2">
        <f>((IF((147='V06 Calend 01'!C72),('V06 Calend 01'!F72+'V06 Calend 01'!G72),0)+IF(AND(('V06 Calend 01'!E72&gt;0),(147&gt;'V06 Calend 01'!C72),(147&lt;'V06 Calend 01'!D72),(MOD((147-'V06 Calend 01'!C72),6)=0),(((147-'V06 Calend 01'!C72)/6)&lt;='V06 Calend 01'!E72)),IF((147=('V06 Calend 01'!C72+(6*'V06 Calend 01'!E72))),('V06 Calend 01'!H72-('V06 Calend 01'!I72*('V06 Calend 01'!E72-1))),'V06 Calend 01'!I72),0))+IF((147='V06 Calend 01'!D72),'V06 Calend 01'!J72,0))</f>
        <v>0</v>
      </c>
      <c r="FD72" s="2">
        <f>((IF((148='V06 Calend 01'!C72),('V06 Calend 01'!F72+'V06 Calend 01'!G72),0)+IF(AND(('V06 Calend 01'!E72&gt;0),(148&gt;'V06 Calend 01'!C72),(148&lt;'V06 Calend 01'!D72),(MOD((148-'V06 Calend 01'!C72),6)=0),(((148-'V06 Calend 01'!C72)/6)&lt;='V06 Calend 01'!E72)),IF((148=('V06 Calend 01'!C72+(6*'V06 Calend 01'!E72))),('V06 Calend 01'!H72-('V06 Calend 01'!I72*('V06 Calend 01'!E72-1))),'V06 Calend 01'!I72),0))+IF((148='V06 Calend 01'!D72),'V06 Calend 01'!J72,0))</f>
        <v>0</v>
      </c>
      <c r="FE72" s="2">
        <f>((IF((149='V06 Calend 01'!C72),('V06 Calend 01'!F72+'V06 Calend 01'!G72),0)+IF(AND(('V06 Calend 01'!E72&gt;0),(149&gt;'V06 Calend 01'!C72),(149&lt;'V06 Calend 01'!D72),(MOD((149-'V06 Calend 01'!C72),6)=0),(((149-'V06 Calend 01'!C72)/6)&lt;='V06 Calend 01'!E72)),IF((149=('V06 Calend 01'!C72+(6*'V06 Calend 01'!E72))),('V06 Calend 01'!H72-('V06 Calend 01'!I72*('V06 Calend 01'!E72-1))),'V06 Calend 01'!I72),0))+IF((149='V06 Calend 01'!D72),'V06 Calend 01'!J72,0))</f>
        <v>0</v>
      </c>
      <c r="FF72" s="2">
        <f>((IF((150='V06 Calend 01'!C72),('V06 Calend 01'!F72+'V06 Calend 01'!G72),0)+IF(AND(('V06 Calend 01'!E72&gt;0),(150&gt;'V06 Calend 01'!C72),(150&lt;'V06 Calend 01'!D72),(MOD((150-'V06 Calend 01'!C72),6)=0),(((150-'V06 Calend 01'!C72)/6)&lt;='V06 Calend 01'!E72)),IF((150=('V06 Calend 01'!C72+(6*'V06 Calend 01'!E72))),('V06 Calend 01'!H72-('V06 Calend 01'!I72*('V06 Calend 01'!E72-1))),'V06 Calend 01'!I72),0))+IF((150='V06 Calend 01'!D72),'V06 Calend 01'!J72,0))</f>
        <v>0</v>
      </c>
      <c r="FG72" s="2">
        <f>((IF((151='V06 Calend 01'!C72),('V06 Calend 01'!F72+'V06 Calend 01'!G72),0)+IF(AND(('V06 Calend 01'!E72&gt;0),(151&gt;'V06 Calend 01'!C72),(151&lt;'V06 Calend 01'!D72),(MOD((151-'V06 Calend 01'!C72),6)=0),(((151-'V06 Calend 01'!C72)/6)&lt;='V06 Calend 01'!E72)),IF((151=('V06 Calend 01'!C72+(6*'V06 Calend 01'!E72))),('V06 Calend 01'!H72-('V06 Calend 01'!I72*('V06 Calend 01'!E72-1))),'V06 Calend 01'!I72),0))+IF((151='V06 Calend 01'!D72),'V06 Calend 01'!J72,0))</f>
        <v>0</v>
      </c>
      <c r="FH72" s="2">
        <f>((IF((152='V06 Calend 01'!C72),('V06 Calend 01'!F72+'V06 Calend 01'!G72),0)+IF(AND(('V06 Calend 01'!E72&gt;0),(152&gt;'V06 Calend 01'!C72),(152&lt;'V06 Calend 01'!D72),(MOD((152-'V06 Calend 01'!C72),6)=0),(((152-'V06 Calend 01'!C72)/6)&lt;='V06 Calend 01'!E72)),IF((152=('V06 Calend 01'!C72+(6*'V06 Calend 01'!E72))),('V06 Calend 01'!H72-('V06 Calend 01'!I72*('V06 Calend 01'!E72-1))),'V06 Calend 01'!I72),0))+IF((152='V06 Calend 01'!D72),'V06 Calend 01'!J72,0))</f>
        <v>0</v>
      </c>
      <c r="FI72" s="2">
        <f>((IF((153='V06 Calend 01'!C72),('V06 Calend 01'!F72+'V06 Calend 01'!G72),0)+IF(AND(('V06 Calend 01'!E72&gt;0),(153&gt;'V06 Calend 01'!C72),(153&lt;'V06 Calend 01'!D72),(MOD((153-'V06 Calend 01'!C72),6)=0),(((153-'V06 Calend 01'!C72)/6)&lt;='V06 Calend 01'!E72)),IF((153=('V06 Calend 01'!C72+(6*'V06 Calend 01'!E72))),('V06 Calend 01'!H72-('V06 Calend 01'!I72*('V06 Calend 01'!E72-1))),'V06 Calend 01'!I72),0))+IF((153='V06 Calend 01'!D72),'V06 Calend 01'!J72,0))</f>
        <v>0</v>
      </c>
      <c r="FJ72" s="2">
        <f>((IF((154='V06 Calend 01'!C72),('V06 Calend 01'!F72+'V06 Calend 01'!G72),0)+IF(AND(('V06 Calend 01'!E72&gt;0),(154&gt;'V06 Calend 01'!C72),(154&lt;'V06 Calend 01'!D72),(MOD((154-'V06 Calend 01'!C72),6)=0),(((154-'V06 Calend 01'!C72)/6)&lt;='V06 Calend 01'!E72)),IF((154=('V06 Calend 01'!C72+(6*'V06 Calend 01'!E72))),('V06 Calend 01'!H72-('V06 Calend 01'!I72*('V06 Calend 01'!E72-1))),'V06 Calend 01'!I72),0))+IF((154='V06 Calend 01'!D72),'V06 Calend 01'!J72,0))</f>
        <v>0</v>
      </c>
      <c r="FK72" s="2">
        <f>((IF((155='V06 Calend 01'!C72),('V06 Calend 01'!F72+'V06 Calend 01'!G72),0)+IF(AND(('V06 Calend 01'!E72&gt;0),(155&gt;'V06 Calend 01'!C72),(155&lt;'V06 Calend 01'!D72),(MOD((155-'V06 Calend 01'!C72),6)=0),(((155-'V06 Calend 01'!C72)/6)&lt;='V06 Calend 01'!E72)),IF((155=('V06 Calend 01'!C72+(6*'V06 Calend 01'!E72))),('V06 Calend 01'!H72-('V06 Calend 01'!I72*('V06 Calend 01'!E72-1))),'V06 Calend 01'!I72),0))+IF((155='V06 Calend 01'!D72),'V06 Calend 01'!J72,0))</f>
        <v>0</v>
      </c>
      <c r="FL72" s="2">
        <f>((IF((156='V06 Calend 01'!C72),('V06 Calend 01'!F72+'V06 Calend 01'!G72),0)+IF(AND(('V06 Calend 01'!E72&gt;0),(156&gt;'V06 Calend 01'!C72),(156&lt;'V06 Calend 01'!D72),(MOD((156-'V06 Calend 01'!C72),6)=0),(((156-'V06 Calend 01'!C72)/6)&lt;='V06 Calend 01'!E72)),IF((156=('V06 Calend 01'!C72+(6*'V06 Calend 01'!E72))),('V06 Calend 01'!H72-('V06 Calend 01'!I72*('V06 Calend 01'!E72-1))),'V06 Calend 01'!I72),0))+IF((156='V06 Calend 01'!D72),'V06 Calend 01'!J72,0))</f>
        <v>0</v>
      </c>
      <c r="FM72" s="2">
        <f>((IF((157='V06 Calend 01'!C72),('V06 Calend 01'!F72+'V06 Calend 01'!G72),0)+IF(AND(('V06 Calend 01'!E72&gt;0),(157&gt;'V06 Calend 01'!C72),(157&lt;'V06 Calend 01'!D72),(MOD((157-'V06 Calend 01'!C72),6)=0),(((157-'V06 Calend 01'!C72)/6)&lt;='V06 Calend 01'!E72)),IF((157=('V06 Calend 01'!C72+(6*'V06 Calend 01'!E72))),('V06 Calend 01'!H72-('V06 Calend 01'!I72*('V06 Calend 01'!E72-1))),'V06 Calend 01'!I72),0))+IF((157='V06 Calend 01'!D72),'V06 Calend 01'!J72,0))</f>
        <v>0</v>
      </c>
      <c r="FN72" s="2">
        <f>((IF((158='V06 Calend 01'!C72),('V06 Calend 01'!F72+'V06 Calend 01'!G72),0)+IF(AND(('V06 Calend 01'!E72&gt;0),(158&gt;'V06 Calend 01'!C72),(158&lt;'V06 Calend 01'!D72),(MOD((158-'V06 Calend 01'!C72),6)=0),(((158-'V06 Calend 01'!C72)/6)&lt;='V06 Calend 01'!E72)),IF((158=('V06 Calend 01'!C72+(6*'V06 Calend 01'!E72))),('V06 Calend 01'!H72-('V06 Calend 01'!I72*('V06 Calend 01'!E72-1))),'V06 Calend 01'!I72),0))+IF((158='V06 Calend 01'!D72),'V06 Calend 01'!J72,0))</f>
        <v>0</v>
      </c>
      <c r="FO72" s="2">
        <f>((IF((159='V06 Calend 01'!C72),('V06 Calend 01'!F72+'V06 Calend 01'!G72),0)+IF(AND(('V06 Calend 01'!E72&gt;0),(159&gt;'V06 Calend 01'!C72),(159&lt;'V06 Calend 01'!D72),(MOD((159-'V06 Calend 01'!C72),6)=0),(((159-'V06 Calend 01'!C72)/6)&lt;='V06 Calend 01'!E72)),IF((159=('V06 Calend 01'!C72+(6*'V06 Calend 01'!E72))),('V06 Calend 01'!H72-('V06 Calend 01'!I72*('V06 Calend 01'!E72-1))),'V06 Calend 01'!I72),0))+IF((159='V06 Calend 01'!D72),'V06 Calend 01'!J72,0))</f>
        <v>0</v>
      </c>
      <c r="FP72" s="2">
        <f>((IF((160='V06 Calend 01'!C72),('V06 Calend 01'!F72+'V06 Calend 01'!G72),0)+IF(AND(('V06 Calend 01'!E72&gt;0),(160&gt;'V06 Calend 01'!C72),(160&lt;'V06 Calend 01'!D72),(MOD((160-'V06 Calend 01'!C72),6)=0),(((160-'V06 Calend 01'!C72)/6)&lt;='V06 Calend 01'!E72)),IF((160=('V06 Calend 01'!C72+(6*'V06 Calend 01'!E72))),('V06 Calend 01'!H72-('V06 Calend 01'!I72*('V06 Calend 01'!E72-1))),'V06 Calend 01'!I72),0))+IF((160='V06 Calend 01'!D72),'V06 Calend 01'!J72,0))</f>
        <v>0</v>
      </c>
      <c r="FQ72" s="2">
        <f>((IF((161='V06 Calend 01'!C72),('V06 Calend 01'!F72+'V06 Calend 01'!G72),0)+IF(AND(('V06 Calend 01'!E72&gt;0),(161&gt;'V06 Calend 01'!C72),(161&lt;'V06 Calend 01'!D72),(MOD((161-'V06 Calend 01'!C72),6)=0),(((161-'V06 Calend 01'!C72)/6)&lt;='V06 Calend 01'!E72)),IF((161=('V06 Calend 01'!C72+(6*'V06 Calend 01'!E72))),('V06 Calend 01'!H72-('V06 Calend 01'!I72*('V06 Calend 01'!E72-1))),'V06 Calend 01'!I72),0))+IF((161='V06 Calend 01'!D72),'V06 Calend 01'!J72,0))</f>
        <v>0</v>
      </c>
      <c r="FR72" s="2">
        <f>((IF((162='V06 Calend 01'!C72),('V06 Calend 01'!F72+'V06 Calend 01'!G72),0)+IF(AND(('V06 Calend 01'!E72&gt;0),(162&gt;'V06 Calend 01'!C72),(162&lt;'V06 Calend 01'!D72),(MOD((162-'V06 Calend 01'!C72),6)=0),(((162-'V06 Calend 01'!C72)/6)&lt;='V06 Calend 01'!E72)),IF((162=('V06 Calend 01'!C72+(6*'V06 Calend 01'!E72))),('V06 Calend 01'!H72-('V06 Calend 01'!I72*('V06 Calend 01'!E72-1))),'V06 Calend 01'!I72),0))+IF((162='V06 Calend 01'!D72),'V06 Calend 01'!J72,0))</f>
        <v>0</v>
      </c>
      <c r="FS72" s="2">
        <f>((IF((163='V06 Calend 01'!C72),('V06 Calend 01'!F72+'V06 Calend 01'!G72),0)+IF(AND(('V06 Calend 01'!E72&gt;0),(163&gt;'V06 Calend 01'!C72),(163&lt;'V06 Calend 01'!D72),(MOD((163-'V06 Calend 01'!C72),6)=0),(((163-'V06 Calend 01'!C72)/6)&lt;='V06 Calend 01'!E72)),IF((163=('V06 Calend 01'!C72+(6*'V06 Calend 01'!E72))),('V06 Calend 01'!H72-('V06 Calend 01'!I72*('V06 Calend 01'!E72-1))),'V06 Calend 01'!I72),0))+IF((163='V06 Calend 01'!D72),'V06 Calend 01'!J72,0))</f>
        <v>0</v>
      </c>
      <c r="FT72" s="2">
        <f>((IF((164='V06 Calend 01'!C72),('V06 Calend 01'!F72+'V06 Calend 01'!G72),0)+IF(AND(('V06 Calend 01'!E72&gt;0),(164&gt;'V06 Calend 01'!C72),(164&lt;'V06 Calend 01'!D72),(MOD((164-'V06 Calend 01'!C72),6)=0),(((164-'V06 Calend 01'!C72)/6)&lt;='V06 Calend 01'!E72)),IF((164=('V06 Calend 01'!C72+(6*'V06 Calend 01'!E72))),('V06 Calend 01'!H72-('V06 Calend 01'!I72*('V06 Calend 01'!E72-1))),'V06 Calend 01'!I72),0))+IF((164='V06 Calend 01'!D72),'V06 Calend 01'!J72,0))</f>
        <v>0</v>
      </c>
      <c r="FU72" s="2">
        <f>((IF((165='V06 Calend 01'!C72),('V06 Calend 01'!F72+'V06 Calend 01'!G72),0)+IF(AND(('V06 Calend 01'!E72&gt;0),(165&gt;'V06 Calend 01'!C72),(165&lt;'V06 Calend 01'!D72),(MOD((165-'V06 Calend 01'!C72),6)=0),(((165-'V06 Calend 01'!C72)/6)&lt;='V06 Calend 01'!E72)),IF((165=('V06 Calend 01'!C72+(6*'V06 Calend 01'!E72))),('V06 Calend 01'!H72-('V06 Calend 01'!I72*('V06 Calend 01'!E72-1))),'V06 Calend 01'!I72),0))+IF((165='V06 Calend 01'!D72),'V06 Calend 01'!J72,0))</f>
        <v>0</v>
      </c>
      <c r="FV72" s="2">
        <f>((IF((166='V06 Calend 01'!C72),('V06 Calend 01'!F72+'V06 Calend 01'!G72),0)+IF(AND(('V06 Calend 01'!E72&gt;0),(166&gt;'V06 Calend 01'!C72),(166&lt;'V06 Calend 01'!D72),(MOD((166-'V06 Calend 01'!C72),6)=0),(((166-'V06 Calend 01'!C72)/6)&lt;='V06 Calend 01'!E72)),IF((166=('V06 Calend 01'!C72+(6*'V06 Calend 01'!E72))),('V06 Calend 01'!H72-('V06 Calend 01'!I72*('V06 Calend 01'!E72-1))),'V06 Calend 01'!I72),0))+IF((166='V06 Calend 01'!D72),'V06 Calend 01'!J72,0))</f>
        <v>0</v>
      </c>
      <c r="FW72" s="2">
        <f>((IF((167='V06 Calend 01'!C72),('V06 Calend 01'!F72+'V06 Calend 01'!G72),0)+IF(AND(('V06 Calend 01'!E72&gt;0),(167&gt;'V06 Calend 01'!C72),(167&lt;'V06 Calend 01'!D72),(MOD((167-'V06 Calend 01'!C72),6)=0),(((167-'V06 Calend 01'!C72)/6)&lt;='V06 Calend 01'!E72)),IF((167=('V06 Calend 01'!C72+(6*'V06 Calend 01'!E72))),('V06 Calend 01'!H72-('V06 Calend 01'!I72*('V06 Calend 01'!E72-1))),'V06 Calend 01'!I72),0))+IF((167='V06 Calend 01'!D72),'V06 Calend 01'!J72,0))</f>
        <v>0</v>
      </c>
      <c r="FX72" s="2">
        <f>((IF((168='V06 Calend 01'!C72),('V06 Calend 01'!F72+'V06 Calend 01'!G72),0)+IF(AND(('V06 Calend 01'!E72&gt;0),(168&gt;'V06 Calend 01'!C72),(168&lt;'V06 Calend 01'!D72),(MOD((168-'V06 Calend 01'!C72),6)=0),(((168-'V06 Calend 01'!C72)/6)&lt;='V06 Calend 01'!E72)),IF((168=('V06 Calend 01'!C72+(6*'V06 Calend 01'!E72))),('V06 Calend 01'!H72-('V06 Calend 01'!I72*('V06 Calend 01'!E72-1))),'V06 Calend 01'!I72),0))+IF((168='V06 Calend 01'!D72),'V06 Calend 01'!J72,0))</f>
        <v>0</v>
      </c>
      <c r="FY72" s="2">
        <f>((IF((169='V06 Calend 01'!C72),('V06 Calend 01'!F72+'V06 Calend 01'!G72),0)+IF(AND(('V06 Calend 01'!E72&gt;0),(169&gt;'V06 Calend 01'!C72),(169&lt;'V06 Calend 01'!D72),(MOD((169-'V06 Calend 01'!C72),6)=0),(((169-'V06 Calend 01'!C72)/6)&lt;='V06 Calend 01'!E72)),IF((169=('V06 Calend 01'!C72+(6*'V06 Calend 01'!E72))),('V06 Calend 01'!H72-('V06 Calend 01'!I72*('V06 Calend 01'!E72-1))),'V06 Calend 01'!I72),0))+IF((169='V06 Calend 01'!D72),'V06 Calend 01'!J72,0))</f>
        <v>0</v>
      </c>
      <c r="FZ72" s="2">
        <f>((IF((170='V06 Calend 01'!C72),('V06 Calend 01'!F72+'V06 Calend 01'!G72),0)+IF(AND(('V06 Calend 01'!E72&gt;0),(170&gt;'V06 Calend 01'!C72),(170&lt;'V06 Calend 01'!D72),(MOD((170-'V06 Calend 01'!C72),6)=0),(((170-'V06 Calend 01'!C72)/6)&lt;='V06 Calend 01'!E72)),IF((170=('V06 Calend 01'!C72+(6*'V06 Calend 01'!E72))),('V06 Calend 01'!H72-('V06 Calend 01'!I72*('V06 Calend 01'!E72-1))),'V06 Calend 01'!I72),0))+IF((170='V06 Calend 01'!D72),'V06 Calend 01'!J72,0))</f>
        <v>0</v>
      </c>
      <c r="GA72" s="2">
        <f>((IF((171='V06 Calend 01'!C72),('V06 Calend 01'!F72+'V06 Calend 01'!G72),0)+IF(AND(('V06 Calend 01'!E72&gt;0),(171&gt;'V06 Calend 01'!C72),(171&lt;'V06 Calend 01'!D72),(MOD((171-'V06 Calend 01'!C72),6)=0),(((171-'V06 Calend 01'!C72)/6)&lt;='V06 Calend 01'!E72)),IF((171=('V06 Calend 01'!C72+(6*'V06 Calend 01'!E72))),('V06 Calend 01'!H72-('V06 Calend 01'!I72*('V06 Calend 01'!E72-1))),'V06 Calend 01'!I72),0))+IF((171='V06 Calend 01'!D72),'V06 Calend 01'!J72,0))</f>
        <v>0</v>
      </c>
      <c r="GB72" s="2">
        <f>((IF((172='V06 Calend 01'!C72),('V06 Calend 01'!F72+'V06 Calend 01'!G72),0)+IF(AND(('V06 Calend 01'!E72&gt;0),(172&gt;'V06 Calend 01'!C72),(172&lt;'V06 Calend 01'!D72),(MOD((172-'V06 Calend 01'!C72),6)=0),(((172-'V06 Calend 01'!C72)/6)&lt;='V06 Calend 01'!E72)),IF((172=('V06 Calend 01'!C72+(6*'V06 Calend 01'!E72))),('V06 Calend 01'!H72-('V06 Calend 01'!I72*('V06 Calend 01'!E72-1))),'V06 Calend 01'!I72),0))+IF((172='V06 Calend 01'!D72),'V06 Calend 01'!J72,0))</f>
        <v>0</v>
      </c>
      <c r="GC72" s="2">
        <f>((IF((173='V06 Calend 01'!C72),('V06 Calend 01'!F72+'V06 Calend 01'!G72),0)+IF(AND(('V06 Calend 01'!E72&gt;0),(173&gt;'V06 Calend 01'!C72),(173&lt;'V06 Calend 01'!D72),(MOD((173-'V06 Calend 01'!C72),6)=0),(((173-'V06 Calend 01'!C72)/6)&lt;='V06 Calend 01'!E72)),IF((173=('V06 Calend 01'!C72+(6*'V06 Calend 01'!E72))),('V06 Calend 01'!H72-('V06 Calend 01'!I72*('V06 Calend 01'!E72-1))),'V06 Calend 01'!I72),0))+IF((173='V06 Calend 01'!D72),'V06 Calend 01'!J72,0))</f>
        <v>0</v>
      </c>
      <c r="GD72" s="2">
        <f>((IF((174='V06 Calend 01'!C72),('V06 Calend 01'!F72+'V06 Calend 01'!G72),0)+IF(AND(('V06 Calend 01'!E72&gt;0),(174&gt;'V06 Calend 01'!C72),(174&lt;'V06 Calend 01'!D72),(MOD((174-'V06 Calend 01'!C72),6)=0),(((174-'V06 Calend 01'!C72)/6)&lt;='V06 Calend 01'!E72)),IF((174=('V06 Calend 01'!C72+(6*'V06 Calend 01'!E72))),('V06 Calend 01'!H72-('V06 Calend 01'!I72*('V06 Calend 01'!E72-1))),'V06 Calend 01'!I72),0))+IF((174='V06 Calend 01'!D72),'V06 Calend 01'!J72,0))</f>
        <v>0</v>
      </c>
      <c r="GE72" s="2">
        <f>((IF((175='V06 Calend 01'!C72),('V06 Calend 01'!F72+'V06 Calend 01'!G72),0)+IF(AND(('V06 Calend 01'!E72&gt;0),(175&gt;'V06 Calend 01'!C72),(175&lt;'V06 Calend 01'!D72),(MOD((175-'V06 Calend 01'!C72),6)=0),(((175-'V06 Calend 01'!C72)/6)&lt;='V06 Calend 01'!E72)),IF((175=('V06 Calend 01'!C72+(6*'V06 Calend 01'!E72))),('V06 Calend 01'!H72-('V06 Calend 01'!I72*('V06 Calend 01'!E72-1))),'V06 Calend 01'!I72),0))+IF((175='V06 Calend 01'!D72),'V06 Calend 01'!J72,0))</f>
        <v>0</v>
      </c>
      <c r="GF72" s="2">
        <f>((IF((176='V06 Calend 01'!C72),('V06 Calend 01'!F72+'V06 Calend 01'!G72),0)+IF(AND(('V06 Calend 01'!E72&gt;0),(176&gt;'V06 Calend 01'!C72),(176&lt;'V06 Calend 01'!D72),(MOD((176-'V06 Calend 01'!C72),6)=0),(((176-'V06 Calend 01'!C72)/6)&lt;='V06 Calend 01'!E72)),IF((176=('V06 Calend 01'!C72+(6*'V06 Calend 01'!E72))),('V06 Calend 01'!H72-('V06 Calend 01'!I72*('V06 Calend 01'!E72-1))),'V06 Calend 01'!I72),0))+IF((176='V06 Calend 01'!D72),'V06 Calend 01'!J72,0))</f>
        <v>0</v>
      </c>
      <c r="GG72" s="2">
        <f>((IF((177='V06 Calend 01'!C72),('V06 Calend 01'!F72+'V06 Calend 01'!G72),0)+IF(AND(('V06 Calend 01'!E72&gt;0),(177&gt;'V06 Calend 01'!C72),(177&lt;'V06 Calend 01'!D72),(MOD((177-'V06 Calend 01'!C72),6)=0),(((177-'V06 Calend 01'!C72)/6)&lt;='V06 Calend 01'!E72)),IF((177=('V06 Calend 01'!C72+(6*'V06 Calend 01'!E72))),('V06 Calend 01'!H72-('V06 Calend 01'!I72*('V06 Calend 01'!E72-1))),'V06 Calend 01'!I72),0))+IF((177='V06 Calend 01'!D72),'V06 Calend 01'!J72,0))</f>
        <v>0</v>
      </c>
      <c r="GH72" s="2">
        <f>((IF((178='V06 Calend 01'!C72),('V06 Calend 01'!F72+'V06 Calend 01'!G72),0)+IF(AND(('V06 Calend 01'!E72&gt;0),(178&gt;'V06 Calend 01'!C72),(178&lt;'V06 Calend 01'!D72),(MOD((178-'V06 Calend 01'!C72),6)=0),(((178-'V06 Calend 01'!C72)/6)&lt;='V06 Calend 01'!E72)),IF((178=('V06 Calend 01'!C72+(6*'V06 Calend 01'!E72))),('V06 Calend 01'!H72-('V06 Calend 01'!I72*('V06 Calend 01'!E72-1))),'V06 Calend 01'!I72),0))+IF((178='V06 Calend 01'!D72),'V06 Calend 01'!J72,0))</f>
        <v>0</v>
      </c>
      <c r="GI72" s="2">
        <f>((IF((179='V06 Calend 01'!C72),('V06 Calend 01'!F72+'V06 Calend 01'!G72),0)+IF(AND(('V06 Calend 01'!E72&gt;0),(179&gt;'V06 Calend 01'!C72),(179&lt;'V06 Calend 01'!D72),(MOD((179-'V06 Calend 01'!C72),6)=0),(((179-'V06 Calend 01'!C72)/6)&lt;='V06 Calend 01'!E72)),IF((179=('V06 Calend 01'!C72+(6*'V06 Calend 01'!E72))),('V06 Calend 01'!H72-('V06 Calend 01'!I72*('V06 Calend 01'!E72-1))),'V06 Calend 01'!I72),0))+IF((179='V06 Calend 01'!D72),'V06 Calend 01'!J72,0))</f>
        <v>0</v>
      </c>
      <c r="GJ72" s="2">
        <f>((IF((180='V06 Calend 01'!C72),('V06 Calend 01'!F72+'V06 Calend 01'!G72),0)+IF(AND(('V06 Calend 01'!E72&gt;0),(180&gt;'V06 Calend 01'!C72),(180&lt;'V06 Calend 01'!D72),(MOD((180-'V06 Calend 01'!C72),6)=0),(((180-'V06 Calend 01'!C72)/6)&lt;='V06 Calend 01'!E72)),IF((180=('V06 Calend 01'!C72+(6*'V06 Calend 01'!E72))),('V06 Calend 01'!H72-('V06 Calend 01'!I72*('V06 Calend 01'!E72-1))),'V06 Calend 01'!I72),0))+IF((180='V06 Calend 01'!D72),'V06 Calend 01'!J72,0))</f>
        <v>0</v>
      </c>
    </row>
    <row r="73" spans="1:192">
      <c r="A73" s="3" t="str">
        <f>'V06 Unidades'!$A$73</f>
        <v>809</v>
      </c>
      <c r="B73" s="2">
        <f>'V06 Unidades'!$H$73</f>
        <v>602198.58</v>
      </c>
      <c r="C73" s="4">
        <f>('V06 Unidades'!$I$73+'V06 Controlos'!$B$37)</f>
        <v>22</v>
      </c>
      <c r="D73" s="4">
        <f>IF(('V06 Controlos'!$B$38&gt;0),MAX(('V06 Unidades'!$L$73+'V06 Controlos'!$B$37),(30+'V06 Controlos'!$B$38)),('V06 Unidades'!$L$73+'V06 Controlos'!$B$37))</f>
        <v>30</v>
      </c>
      <c r="E73" s="4">
        <f>MAX(0,INT(((('V06 Calend 01'!D73-'V06 Calend 01'!C73)-1)/6)))</f>
        <v>1</v>
      </c>
      <c r="F73" s="2">
        <f>ROUND(('V06 Calend 01'!B73*0.05),2)</f>
        <v>30109.93</v>
      </c>
      <c r="G73" s="2">
        <f>ROUND(('V06 Calend 01'!B73*0.2),2)</f>
        <v>120439.72</v>
      </c>
      <c r="H73" s="2">
        <f>ROUND(('V06 Calend 01'!B73*0.55),2)</f>
        <v>331209.22</v>
      </c>
      <c r="I73" s="2">
        <f>ROUND(('V06 Calend 01'!H73/MAX(1,'V06 Calend 01'!E73)),2)</f>
        <v>331209.22</v>
      </c>
      <c r="J73" s="2">
        <f>((('V06 Calend 01'!B73-'V06 Calend 01'!F73)-'V06 Calend 01'!G73)-'V06 Calend 01'!H73)</f>
        <v>120439.70999999996</v>
      </c>
      <c r="K73" s="2">
        <f>('V06 Calend 01'!B73*0.025)</f>
        <v>15054.9645</v>
      </c>
      <c r="L73" t="s">
        <v>378</v>
      </c>
      <c r="M73" s="2">
        <f>((IF((1='V06 Calend 01'!C73),('V06 Calend 01'!F73+'V06 Calend 01'!G73),0)+IF(AND(('V06 Calend 01'!E73&gt;0),(1&gt;'V06 Calend 01'!C73),(1&lt;'V06 Calend 01'!D73),(MOD((1-'V06 Calend 01'!C73),6)=0),(((1-'V06 Calend 01'!C73)/6)&lt;='V06 Calend 01'!E73)),IF((1=('V06 Calend 01'!C73+(6*'V06 Calend 01'!E73))),('V06 Calend 01'!H73-('V06 Calend 01'!I73*('V06 Calend 01'!E73-1))),'V06 Calend 01'!I73),0))+IF((1='V06 Calend 01'!D73),'V06 Calend 01'!J73,0))</f>
        <v>0</v>
      </c>
      <c r="N73" s="2">
        <f>((IF((2='V06 Calend 01'!C73),('V06 Calend 01'!F73+'V06 Calend 01'!G73),0)+IF(AND(('V06 Calend 01'!E73&gt;0),(2&gt;'V06 Calend 01'!C73),(2&lt;'V06 Calend 01'!D73),(MOD((2-'V06 Calend 01'!C73),6)=0),(((2-'V06 Calend 01'!C73)/6)&lt;='V06 Calend 01'!E73)),IF((2=('V06 Calend 01'!C73+(6*'V06 Calend 01'!E73))),('V06 Calend 01'!H73-('V06 Calend 01'!I73*('V06 Calend 01'!E73-1))),'V06 Calend 01'!I73),0))+IF((2='V06 Calend 01'!D73),'V06 Calend 01'!J73,0))</f>
        <v>0</v>
      </c>
      <c r="O73" s="2">
        <f>((IF((3='V06 Calend 01'!C73),('V06 Calend 01'!F73+'V06 Calend 01'!G73),0)+IF(AND(('V06 Calend 01'!E73&gt;0),(3&gt;'V06 Calend 01'!C73),(3&lt;'V06 Calend 01'!D73),(MOD((3-'V06 Calend 01'!C73),6)=0),(((3-'V06 Calend 01'!C73)/6)&lt;='V06 Calend 01'!E73)),IF((3=('V06 Calend 01'!C73+(6*'V06 Calend 01'!E73))),('V06 Calend 01'!H73-('V06 Calend 01'!I73*('V06 Calend 01'!E73-1))),'V06 Calend 01'!I73),0))+IF((3='V06 Calend 01'!D73),'V06 Calend 01'!J73,0))</f>
        <v>0</v>
      </c>
      <c r="P73" s="2">
        <f>((IF((4='V06 Calend 01'!C73),('V06 Calend 01'!F73+'V06 Calend 01'!G73),0)+IF(AND(('V06 Calend 01'!E73&gt;0),(4&gt;'V06 Calend 01'!C73),(4&lt;'V06 Calend 01'!D73),(MOD((4-'V06 Calend 01'!C73),6)=0),(((4-'V06 Calend 01'!C73)/6)&lt;='V06 Calend 01'!E73)),IF((4=('V06 Calend 01'!C73+(6*'V06 Calend 01'!E73))),('V06 Calend 01'!H73-('V06 Calend 01'!I73*('V06 Calend 01'!E73-1))),'V06 Calend 01'!I73),0))+IF((4='V06 Calend 01'!D73),'V06 Calend 01'!J73,0))</f>
        <v>0</v>
      </c>
      <c r="Q73" s="2">
        <f>((IF((5='V06 Calend 01'!C73),('V06 Calend 01'!F73+'V06 Calend 01'!G73),0)+IF(AND(('V06 Calend 01'!E73&gt;0),(5&gt;'V06 Calend 01'!C73),(5&lt;'V06 Calend 01'!D73),(MOD((5-'V06 Calend 01'!C73),6)=0),(((5-'V06 Calend 01'!C73)/6)&lt;='V06 Calend 01'!E73)),IF((5=('V06 Calend 01'!C73+(6*'V06 Calend 01'!E73))),('V06 Calend 01'!H73-('V06 Calend 01'!I73*('V06 Calend 01'!E73-1))),'V06 Calend 01'!I73),0))+IF((5='V06 Calend 01'!D73),'V06 Calend 01'!J73,0))</f>
        <v>0</v>
      </c>
      <c r="R73" s="2">
        <f>((IF((6='V06 Calend 01'!C73),('V06 Calend 01'!F73+'V06 Calend 01'!G73),0)+IF(AND(('V06 Calend 01'!E73&gt;0),(6&gt;'V06 Calend 01'!C73),(6&lt;'V06 Calend 01'!D73),(MOD((6-'V06 Calend 01'!C73),6)=0),(((6-'V06 Calend 01'!C73)/6)&lt;='V06 Calend 01'!E73)),IF((6=('V06 Calend 01'!C73+(6*'V06 Calend 01'!E73))),('V06 Calend 01'!H73-('V06 Calend 01'!I73*('V06 Calend 01'!E73-1))),'V06 Calend 01'!I73),0))+IF((6='V06 Calend 01'!D73),'V06 Calend 01'!J73,0))</f>
        <v>0</v>
      </c>
      <c r="S73" s="2">
        <f>((IF((7='V06 Calend 01'!C73),('V06 Calend 01'!F73+'V06 Calend 01'!G73),0)+IF(AND(('V06 Calend 01'!E73&gt;0),(7&gt;'V06 Calend 01'!C73),(7&lt;'V06 Calend 01'!D73),(MOD((7-'V06 Calend 01'!C73),6)=0),(((7-'V06 Calend 01'!C73)/6)&lt;='V06 Calend 01'!E73)),IF((7=('V06 Calend 01'!C73+(6*'V06 Calend 01'!E73))),('V06 Calend 01'!H73-('V06 Calend 01'!I73*('V06 Calend 01'!E73-1))),'V06 Calend 01'!I73),0))+IF((7='V06 Calend 01'!D73),'V06 Calend 01'!J73,0))</f>
        <v>0</v>
      </c>
      <c r="T73" s="2">
        <f>((IF((8='V06 Calend 01'!C73),('V06 Calend 01'!F73+'V06 Calend 01'!G73),0)+IF(AND(('V06 Calend 01'!E73&gt;0),(8&gt;'V06 Calend 01'!C73),(8&lt;'V06 Calend 01'!D73),(MOD((8-'V06 Calend 01'!C73),6)=0),(((8-'V06 Calend 01'!C73)/6)&lt;='V06 Calend 01'!E73)),IF((8=('V06 Calend 01'!C73+(6*'V06 Calend 01'!E73))),('V06 Calend 01'!H73-('V06 Calend 01'!I73*('V06 Calend 01'!E73-1))),'V06 Calend 01'!I73),0))+IF((8='V06 Calend 01'!D73),'V06 Calend 01'!J73,0))</f>
        <v>0</v>
      </c>
      <c r="U73" s="2">
        <f>((IF((9='V06 Calend 01'!C73),('V06 Calend 01'!F73+'V06 Calend 01'!G73),0)+IF(AND(('V06 Calend 01'!E73&gt;0),(9&gt;'V06 Calend 01'!C73),(9&lt;'V06 Calend 01'!D73),(MOD((9-'V06 Calend 01'!C73),6)=0),(((9-'V06 Calend 01'!C73)/6)&lt;='V06 Calend 01'!E73)),IF((9=('V06 Calend 01'!C73+(6*'V06 Calend 01'!E73))),('V06 Calend 01'!H73-('V06 Calend 01'!I73*('V06 Calend 01'!E73-1))),'V06 Calend 01'!I73),0))+IF((9='V06 Calend 01'!D73),'V06 Calend 01'!J73,0))</f>
        <v>0</v>
      </c>
      <c r="V73" s="2">
        <f>((IF((10='V06 Calend 01'!C73),('V06 Calend 01'!F73+'V06 Calend 01'!G73),0)+IF(AND(('V06 Calend 01'!E73&gt;0),(10&gt;'V06 Calend 01'!C73),(10&lt;'V06 Calend 01'!D73),(MOD((10-'V06 Calend 01'!C73),6)=0),(((10-'V06 Calend 01'!C73)/6)&lt;='V06 Calend 01'!E73)),IF((10=('V06 Calend 01'!C73+(6*'V06 Calend 01'!E73))),('V06 Calend 01'!H73-('V06 Calend 01'!I73*('V06 Calend 01'!E73-1))),'V06 Calend 01'!I73),0))+IF((10='V06 Calend 01'!D73),'V06 Calend 01'!J73,0))</f>
        <v>0</v>
      </c>
      <c r="W73" s="2">
        <f>((IF((11='V06 Calend 01'!C73),('V06 Calend 01'!F73+'V06 Calend 01'!G73),0)+IF(AND(('V06 Calend 01'!E73&gt;0),(11&gt;'V06 Calend 01'!C73),(11&lt;'V06 Calend 01'!D73),(MOD((11-'V06 Calend 01'!C73),6)=0),(((11-'V06 Calend 01'!C73)/6)&lt;='V06 Calend 01'!E73)),IF((11=('V06 Calend 01'!C73+(6*'V06 Calend 01'!E73))),('V06 Calend 01'!H73-('V06 Calend 01'!I73*('V06 Calend 01'!E73-1))),'V06 Calend 01'!I73),0))+IF((11='V06 Calend 01'!D73),'V06 Calend 01'!J73,0))</f>
        <v>0</v>
      </c>
      <c r="X73" s="2">
        <f>((IF((12='V06 Calend 01'!C73),('V06 Calend 01'!F73+'V06 Calend 01'!G73),0)+IF(AND(('V06 Calend 01'!E73&gt;0),(12&gt;'V06 Calend 01'!C73),(12&lt;'V06 Calend 01'!D73),(MOD((12-'V06 Calend 01'!C73),6)=0),(((12-'V06 Calend 01'!C73)/6)&lt;='V06 Calend 01'!E73)),IF((12=('V06 Calend 01'!C73+(6*'V06 Calend 01'!E73))),('V06 Calend 01'!H73-('V06 Calend 01'!I73*('V06 Calend 01'!E73-1))),'V06 Calend 01'!I73),0))+IF((12='V06 Calend 01'!D73),'V06 Calend 01'!J73,0))</f>
        <v>0</v>
      </c>
      <c r="Y73" s="2">
        <f>((IF((13='V06 Calend 01'!C73),('V06 Calend 01'!F73+'V06 Calend 01'!G73),0)+IF(AND(('V06 Calend 01'!E73&gt;0),(13&gt;'V06 Calend 01'!C73),(13&lt;'V06 Calend 01'!D73),(MOD((13-'V06 Calend 01'!C73),6)=0),(((13-'V06 Calend 01'!C73)/6)&lt;='V06 Calend 01'!E73)),IF((13=('V06 Calend 01'!C73+(6*'V06 Calend 01'!E73))),('V06 Calend 01'!H73-('V06 Calend 01'!I73*('V06 Calend 01'!E73-1))),'V06 Calend 01'!I73),0))+IF((13='V06 Calend 01'!D73),'V06 Calend 01'!J73,0))</f>
        <v>0</v>
      </c>
      <c r="Z73" s="2">
        <f>((IF((14='V06 Calend 01'!C73),('V06 Calend 01'!F73+'V06 Calend 01'!G73),0)+IF(AND(('V06 Calend 01'!E73&gt;0),(14&gt;'V06 Calend 01'!C73),(14&lt;'V06 Calend 01'!D73),(MOD((14-'V06 Calend 01'!C73),6)=0),(((14-'V06 Calend 01'!C73)/6)&lt;='V06 Calend 01'!E73)),IF((14=('V06 Calend 01'!C73+(6*'V06 Calend 01'!E73))),('V06 Calend 01'!H73-('V06 Calend 01'!I73*('V06 Calend 01'!E73-1))),'V06 Calend 01'!I73),0))+IF((14='V06 Calend 01'!D73),'V06 Calend 01'!J73,0))</f>
        <v>0</v>
      </c>
      <c r="AA73" s="2">
        <f>((IF((15='V06 Calend 01'!C73),('V06 Calend 01'!F73+'V06 Calend 01'!G73),0)+IF(AND(('V06 Calend 01'!E73&gt;0),(15&gt;'V06 Calend 01'!C73),(15&lt;'V06 Calend 01'!D73),(MOD((15-'V06 Calend 01'!C73),6)=0),(((15-'V06 Calend 01'!C73)/6)&lt;='V06 Calend 01'!E73)),IF((15=('V06 Calend 01'!C73+(6*'V06 Calend 01'!E73))),('V06 Calend 01'!H73-('V06 Calend 01'!I73*('V06 Calend 01'!E73-1))),'V06 Calend 01'!I73),0))+IF((15='V06 Calend 01'!D73),'V06 Calend 01'!J73,0))</f>
        <v>0</v>
      </c>
      <c r="AB73" s="2">
        <f>((IF((16='V06 Calend 01'!C73),('V06 Calend 01'!F73+'V06 Calend 01'!G73),0)+IF(AND(('V06 Calend 01'!E73&gt;0),(16&gt;'V06 Calend 01'!C73),(16&lt;'V06 Calend 01'!D73),(MOD((16-'V06 Calend 01'!C73),6)=0),(((16-'V06 Calend 01'!C73)/6)&lt;='V06 Calend 01'!E73)),IF((16=('V06 Calend 01'!C73+(6*'V06 Calend 01'!E73))),('V06 Calend 01'!H73-('V06 Calend 01'!I73*('V06 Calend 01'!E73-1))),'V06 Calend 01'!I73),0))+IF((16='V06 Calend 01'!D73),'V06 Calend 01'!J73,0))</f>
        <v>0</v>
      </c>
      <c r="AC73" s="2">
        <f>((IF((17='V06 Calend 01'!C73),('V06 Calend 01'!F73+'V06 Calend 01'!G73),0)+IF(AND(('V06 Calend 01'!E73&gt;0),(17&gt;'V06 Calend 01'!C73),(17&lt;'V06 Calend 01'!D73),(MOD((17-'V06 Calend 01'!C73),6)=0),(((17-'V06 Calend 01'!C73)/6)&lt;='V06 Calend 01'!E73)),IF((17=('V06 Calend 01'!C73+(6*'V06 Calend 01'!E73))),('V06 Calend 01'!H73-('V06 Calend 01'!I73*('V06 Calend 01'!E73-1))),'V06 Calend 01'!I73),0))+IF((17='V06 Calend 01'!D73),'V06 Calend 01'!J73,0))</f>
        <v>0</v>
      </c>
      <c r="AD73" s="2">
        <f>((IF((18='V06 Calend 01'!C73),('V06 Calend 01'!F73+'V06 Calend 01'!G73),0)+IF(AND(('V06 Calend 01'!E73&gt;0),(18&gt;'V06 Calend 01'!C73),(18&lt;'V06 Calend 01'!D73),(MOD((18-'V06 Calend 01'!C73),6)=0),(((18-'V06 Calend 01'!C73)/6)&lt;='V06 Calend 01'!E73)),IF((18=('V06 Calend 01'!C73+(6*'V06 Calend 01'!E73))),('V06 Calend 01'!H73-('V06 Calend 01'!I73*('V06 Calend 01'!E73-1))),'V06 Calend 01'!I73),0))+IF((18='V06 Calend 01'!D73),'V06 Calend 01'!J73,0))</f>
        <v>0</v>
      </c>
      <c r="AE73" s="2">
        <f>((IF((19='V06 Calend 01'!C73),('V06 Calend 01'!F73+'V06 Calend 01'!G73),0)+IF(AND(('V06 Calend 01'!E73&gt;0),(19&gt;'V06 Calend 01'!C73),(19&lt;'V06 Calend 01'!D73),(MOD((19-'V06 Calend 01'!C73),6)=0),(((19-'V06 Calend 01'!C73)/6)&lt;='V06 Calend 01'!E73)),IF((19=('V06 Calend 01'!C73+(6*'V06 Calend 01'!E73))),('V06 Calend 01'!H73-('V06 Calend 01'!I73*('V06 Calend 01'!E73-1))),'V06 Calend 01'!I73),0))+IF((19='V06 Calend 01'!D73),'V06 Calend 01'!J73,0))</f>
        <v>0</v>
      </c>
      <c r="AF73" s="2">
        <f>((IF((20='V06 Calend 01'!C73),('V06 Calend 01'!F73+'V06 Calend 01'!G73),0)+IF(AND(('V06 Calend 01'!E73&gt;0),(20&gt;'V06 Calend 01'!C73),(20&lt;'V06 Calend 01'!D73),(MOD((20-'V06 Calend 01'!C73),6)=0),(((20-'V06 Calend 01'!C73)/6)&lt;='V06 Calend 01'!E73)),IF((20=('V06 Calend 01'!C73+(6*'V06 Calend 01'!E73))),('V06 Calend 01'!H73-('V06 Calend 01'!I73*('V06 Calend 01'!E73-1))),'V06 Calend 01'!I73),0))+IF((20='V06 Calend 01'!D73),'V06 Calend 01'!J73,0))</f>
        <v>0</v>
      </c>
      <c r="AG73" s="2">
        <f>((IF((21='V06 Calend 01'!C73),('V06 Calend 01'!F73+'V06 Calend 01'!G73),0)+IF(AND(('V06 Calend 01'!E73&gt;0),(21&gt;'V06 Calend 01'!C73),(21&lt;'V06 Calend 01'!D73),(MOD((21-'V06 Calend 01'!C73),6)=0),(((21-'V06 Calend 01'!C73)/6)&lt;='V06 Calend 01'!E73)),IF((21=('V06 Calend 01'!C73+(6*'V06 Calend 01'!E73))),('V06 Calend 01'!H73-('V06 Calend 01'!I73*('V06 Calend 01'!E73-1))),'V06 Calend 01'!I73),0))+IF((21='V06 Calend 01'!D73),'V06 Calend 01'!J73,0))</f>
        <v>0</v>
      </c>
      <c r="AH73" s="2">
        <f>((IF((22='V06 Calend 01'!C73),('V06 Calend 01'!F73+'V06 Calend 01'!G73),0)+IF(AND(('V06 Calend 01'!E73&gt;0),(22&gt;'V06 Calend 01'!C73),(22&lt;'V06 Calend 01'!D73),(MOD((22-'V06 Calend 01'!C73),6)=0),(((22-'V06 Calend 01'!C73)/6)&lt;='V06 Calend 01'!E73)),IF((22=('V06 Calend 01'!C73+(6*'V06 Calend 01'!E73))),('V06 Calend 01'!H73-('V06 Calend 01'!I73*('V06 Calend 01'!E73-1))),'V06 Calend 01'!I73),0))+IF((22='V06 Calend 01'!D73),'V06 Calend 01'!J73,0))</f>
        <v>150549.65</v>
      </c>
      <c r="AI73" s="2">
        <f>((IF((23='V06 Calend 01'!C73),('V06 Calend 01'!F73+'V06 Calend 01'!G73),0)+IF(AND(('V06 Calend 01'!E73&gt;0),(23&gt;'V06 Calend 01'!C73),(23&lt;'V06 Calend 01'!D73),(MOD((23-'V06 Calend 01'!C73),6)=0),(((23-'V06 Calend 01'!C73)/6)&lt;='V06 Calend 01'!E73)),IF((23=('V06 Calend 01'!C73+(6*'V06 Calend 01'!E73))),('V06 Calend 01'!H73-('V06 Calend 01'!I73*('V06 Calend 01'!E73-1))),'V06 Calend 01'!I73),0))+IF((23='V06 Calend 01'!D73),'V06 Calend 01'!J73,0))</f>
        <v>0</v>
      </c>
      <c r="AJ73" s="2">
        <f>((IF((24='V06 Calend 01'!C73),('V06 Calend 01'!F73+'V06 Calend 01'!G73),0)+IF(AND(('V06 Calend 01'!E73&gt;0),(24&gt;'V06 Calend 01'!C73),(24&lt;'V06 Calend 01'!D73),(MOD((24-'V06 Calend 01'!C73),6)=0),(((24-'V06 Calend 01'!C73)/6)&lt;='V06 Calend 01'!E73)),IF((24=('V06 Calend 01'!C73+(6*'V06 Calend 01'!E73))),('V06 Calend 01'!H73-('V06 Calend 01'!I73*('V06 Calend 01'!E73-1))),'V06 Calend 01'!I73),0))+IF((24='V06 Calend 01'!D73),'V06 Calend 01'!J73,0))</f>
        <v>0</v>
      </c>
      <c r="AK73" s="2">
        <f>((IF((25='V06 Calend 01'!C73),('V06 Calend 01'!F73+'V06 Calend 01'!G73),0)+IF(AND(('V06 Calend 01'!E73&gt;0),(25&gt;'V06 Calend 01'!C73),(25&lt;'V06 Calend 01'!D73),(MOD((25-'V06 Calend 01'!C73),6)=0),(((25-'V06 Calend 01'!C73)/6)&lt;='V06 Calend 01'!E73)),IF((25=('V06 Calend 01'!C73+(6*'V06 Calend 01'!E73))),('V06 Calend 01'!H73-('V06 Calend 01'!I73*('V06 Calend 01'!E73-1))),'V06 Calend 01'!I73),0))+IF((25='V06 Calend 01'!D73),'V06 Calend 01'!J73,0))</f>
        <v>0</v>
      </c>
      <c r="AL73" s="2">
        <f>((IF((26='V06 Calend 01'!C73),('V06 Calend 01'!F73+'V06 Calend 01'!G73),0)+IF(AND(('V06 Calend 01'!E73&gt;0),(26&gt;'V06 Calend 01'!C73),(26&lt;'V06 Calend 01'!D73),(MOD((26-'V06 Calend 01'!C73),6)=0),(((26-'V06 Calend 01'!C73)/6)&lt;='V06 Calend 01'!E73)),IF((26=('V06 Calend 01'!C73+(6*'V06 Calend 01'!E73))),('V06 Calend 01'!H73-('V06 Calend 01'!I73*('V06 Calend 01'!E73-1))),'V06 Calend 01'!I73),0))+IF((26='V06 Calend 01'!D73),'V06 Calend 01'!J73,0))</f>
        <v>0</v>
      </c>
      <c r="AM73" s="2">
        <f>((IF((27='V06 Calend 01'!C73),('V06 Calend 01'!F73+'V06 Calend 01'!G73),0)+IF(AND(('V06 Calend 01'!E73&gt;0),(27&gt;'V06 Calend 01'!C73),(27&lt;'V06 Calend 01'!D73),(MOD((27-'V06 Calend 01'!C73),6)=0),(((27-'V06 Calend 01'!C73)/6)&lt;='V06 Calend 01'!E73)),IF((27=('V06 Calend 01'!C73+(6*'V06 Calend 01'!E73))),('V06 Calend 01'!H73-('V06 Calend 01'!I73*('V06 Calend 01'!E73-1))),'V06 Calend 01'!I73),0))+IF((27='V06 Calend 01'!D73),'V06 Calend 01'!J73,0))</f>
        <v>0</v>
      </c>
      <c r="AN73" s="2">
        <f>((IF((28='V06 Calend 01'!C73),('V06 Calend 01'!F73+'V06 Calend 01'!G73),0)+IF(AND(('V06 Calend 01'!E73&gt;0),(28&gt;'V06 Calend 01'!C73),(28&lt;'V06 Calend 01'!D73),(MOD((28-'V06 Calend 01'!C73),6)=0),(((28-'V06 Calend 01'!C73)/6)&lt;='V06 Calend 01'!E73)),IF((28=('V06 Calend 01'!C73+(6*'V06 Calend 01'!E73))),('V06 Calend 01'!H73-('V06 Calend 01'!I73*('V06 Calend 01'!E73-1))),'V06 Calend 01'!I73),0))+IF((28='V06 Calend 01'!D73),'V06 Calend 01'!J73,0))</f>
        <v>331209.22</v>
      </c>
      <c r="AO73" s="2">
        <f>((IF((29='V06 Calend 01'!C73),('V06 Calend 01'!F73+'V06 Calend 01'!G73),0)+IF(AND(('V06 Calend 01'!E73&gt;0),(29&gt;'V06 Calend 01'!C73),(29&lt;'V06 Calend 01'!D73),(MOD((29-'V06 Calend 01'!C73),6)=0),(((29-'V06 Calend 01'!C73)/6)&lt;='V06 Calend 01'!E73)),IF((29=('V06 Calend 01'!C73+(6*'V06 Calend 01'!E73))),('V06 Calend 01'!H73-('V06 Calend 01'!I73*('V06 Calend 01'!E73-1))),'V06 Calend 01'!I73),0))+IF((29='V06 Calend 01'!D73),'V06 Calend 01'!J73,0))</f>
        <v>0</v>
      </c>
      <c r="AP73" s="2">
        <f>((IF((30='V06 Calend 01'!C73),('V06 Calend 01'!F73+'V06 Calend 01'!G73),0)+IF(AND(('V06 Calend 01'!E73&gt;0),(30&gt;'V06 Calend 01'!C73),(30&lt;'V06 Calend 01'!D73),(MOD((30-'V06 Calend 01'!C73),6)=0),(((30-'V06 Calend 01'!C73)/6)&lt;='V06 Calend 01'!E73)),IF((30=('V06 Calend 01'!C73+(6*'V06 Calend 01'!E73))),('V06 Calend 01'!H73-('V06 Calend 01'!I73*('V06 Calend 01'!E73-1))),'V06 Calend 01'!I73),0))+IF((30='V06 Calend 01'!D73),'V06 Calend 01'!J73,0))</f>
        <v>120439.70999999996</v>
      </c>
      <c r="AQ73" s="2">
        <f>((IF((31='V06 Calend 01'!C73),('V06 Calend 01'!F73+'V06 Calend 01'!G73),0)+IF(AND(('V06 Calend 01'!E73&gt;0),(31&gt;'V06 Calend 01'!C73),(31&lt;'V06 Calend 01'!D73),(MOD((31-'V06 Calend 01'!C73),6)=0),(((31-'V06 Calend 01'!C73)/6)&lt;='V06 Calend 01'!E73)),IF((31=('V06 Calend 01'!C73+(6*'V06 Calend 01'!E73))),('V06 Calend 01'!H73-('V06 Calend 01'!I73*('V06 Calend 01'!E73-1))),'V06 Calend 01'!I73),0))+IF((31='V06 Calend 01'!D73),'V06 Calend 01'!J73,0))</f>
        <v>0</v>
      </c>
      <c r="AR73" s="2">
        <f>((IF((32='V06 Calend 01'!C73),('V06 Calend 01'!F73+'V06 Calend 01'!G73),0)+IF(AND(('V06 Calend 01'!E73&gt;0),(32&gt;'V06 Calend 01'!C73),(32&lt;'V06 Calend 01'!D73),(MOD((32-'V06 Calend 01'!C73),6)=0),(((32-'V06 Calend 01'!C73)/6)&lt;='V06 Calend 01'!E73)),IF((32=('V06 Calend 01'!C73+(6*'V06 Calend 01'!E73))),('V06 Calend 01'!H73-('V06 Calend 01'!I73*('V06 Calend 01'!E73-1))),'V06 Calend 01'!I73),0))+IF((32='V06 Calend 01'!D73),'V06 Calend 01'!J73,0))</f>
        <v>0</v>
      </c>
      <c r="AS73" s="2">
        <f>((IF((33='V06 Calend 01'!C73),('V06 Calend 01'!F73+'V06 Calend 01'!G73),0)+IF(AND(('V06 Calend 01'!E73&gt;0),(33&gt;'V06 Calend 01'!C73),(33&lt;'V06 Calend 01'!D73),(MOD((33-'V06 Calend 01'!C73),6)=0),(((33-'V06 Calend 01'!C73)/6)&lt;='V06 Calend 01'!E73)),IF((33=('V06 Calend 01'!C73+(6*'V06 Calend 01'!E73))),('V06 Calend 01'!H73-('V06 Calend 01'!I73*('V06 Calend 01'!E73-1))),'V06 Calend 01'!I73),0))+IF((33='V06 Calend 01'!D73),'V06 Calend 01'!J73,0))</f>
        <v>0</v>
      </c>
      <c r="AT73" s="2">
        <f>((IF((34='V06 Calend 01'!C73),('V06 Calend 01'!F73+'V06 Calend 01'!G73),0)+IF(AND(('V06 Calend 01'!E73&gt;0),(34&gt;'V06 Calend 01'!C73),(34&lt;'V06 Calend 01'!D73),(MOD((34-'V06 Calend 01'!C73),6)=0),(((34-'V06 Calend 01'!C73)/6)&lt;='V06 Calend 01'!E73)),IF((34=('V06 Calend 01'!C73+(6*'V06 Calend 01'!E73))),('V06 Calend 01'!H73-('V06 Calend 01'!I73*('V06 Calend 01'!E73-1))),'V06 Calend 01'!I73),0))+IF((34='V06 Calend 01'!D73),'V06 Calend 01'!J73,0))</f>
        <v>0</v>
      </c>
      <c r="AU73" s="2">
        <f>((IF((35='V06 Calend 01'!C73),('V06 Calend 01'!F73+'V06 Calend 01'!G73),0)+IF(AND(('V06 Calend 01'!E73&gt;0),(35&gt;'V06 Calend 01'!C73),(35&lt;'V06 Calend 01'!D73),(MOD((35-'V06 Calend 01'!C73),6)=0),(((35-'V06 Calend 01'!C73)/6)&lt;='V06 Calend 01'!E73)),IF((35=('V06 Calend 01'!C73+(6*'V06 Calend 01'!E73))),('V06 Calend 01'!H73-('V06 Calend 01'!I73*('V06 Calend 01'!E73-1))),'V06 Calend 01'!I73),0))+IF((35='V06 Calend 01'!D73),'V06 Calend 01'!J73,0))</f>
        <v>0</v>
      </c>
      <c r="AV73" s="2">
        <f>((IF((36='V06 Calend 01'!C73),('V06 Calend 01'!F73+'V06 Calend 01'!G73),0)+IF(AND(('V06 Calend 01'!E73&gt;0),(36&gt;'V06 Calend 01'!C73),(36&lt;'V06 Calend 01'!D73),(MOD((36-'V06 Calend 01'!C73),6)=0),(((36-'V06 Calend 01'!C73)/6)&lt;='V06 Calend 01'!E73)),IF((36=('V06 Calend 01'!C73+(6*'V06 Calend 01'!E73))),('V06 Calend 01'!H73-('V06 Calend 01'!I73*('V06 Calend 01'!E73-1))),'V06 Calend 01'!I73),0))+IF((36='V06 Calend 01'!D73),'V06 Calend 01'!J73,0))</f>
        <v>0</v>
      </c>
      <c r="AW73" s="2">
        <f>((IF((37='V06 Calend 01'!C73),('V06 Calend 01'!F73+'V06 Calend 01'!G73),0)+IF(AND(('V06 Calend 01'!E73&gt;0),(37&gt;'V06 Calend 01'!C73),(37&lt;'V06 Calend 01'!D73),(MOD((37-'V06 Calend 01'!C73),6)=0),(((37-'V06 Calend 01'!C73)/6)&lt;='V06 Calend 01'!E73)),IF((37=('V06 Calend 01'!C73+(6*'V06 Calend 01'!E73))),('V06 Calend 01'!H73-('V06 Calend 01'!I73*('V06 Calend 01'!E73-1))),'V06 Calend 01'!I73),0))+IF((37='V06 Calend 01'!D73),'V06 Calend 01'!J73,0))</f>
        <v>0</v>
      </c>
      <c r="AX73" s="2">
        <f>((IF((38='V06 Calend 01'!C73),('V06 Calend 01'!F73+'V06 Calend 01'!G73),0)+IF(AND(('V06 Calend 01'!E73&gt;0),(38&gt;'V06 Calend 01'!C73),(38&lt;'V06 Calend 01'!D73),(MOD((38-'V06 Calend 01'!C73),6)=0),(((38-'V06 Calend 01'!C73)/6)&lt;='V06 Calend 01'!E73)),IF((38=('V06 Calend 01'!C73+(6*'V06 Calend 01'!E73))),('V06 Calend 01'!H73-('V06 Calend 01'!I73*('V06 Calend 01'!E73-1))),'V06 Calend 01'!I73),0))+IF((38='V06 Calend 01'!D73),'V06 Calend 01'!J73,0))</f>
        <v>0</v>
      </c>
      <c r="AY73" s="2">
        <f>((IF((39='V06 Calend 01'!C73),('V06 Calend 01'!F73+'V06 Calend 01'!G73),0)+IF(AND(('V06 Calend 01'!E73&gt;0),(39&gt;'V06 Calend 01'!C73),(39&lt;'V06 Calend 01'!D73),(MOD((39-'V06 Calend 01'!C73),6)=0),(((39-'V06 Calend 01'!C73)/6)&lt;='V06 Calend 01'!E73)),IF((39=('V06 Calend 01'!C73+(6*'V06 Calend 01'!E73))),('V06 Calend 01'!H73-('V06 Calend 01'!I73*('V06 Calend 01'!E73-1))),'V06 Calend 01'!I73),0))+IF((39='V06 Calend 01'!D73),'V06 Calend 01'!J73,0))</f>
        <v>0</v>
      </c>
      <c r="AZ73" s="2">
        <f>((IF((40='V06 Calend 01'!C73),('V06 Calend 01'!F73+'V06 Calend 01'!G73),0)+IF(AND(('V06 Calend 01'!E73&gt;0),(40&gt;'V06 Calend 01'!C73),(40&lt;'V06 Calend 01'!D73),(MOD((40-'V06 Calend 01'!C73),6)=0),(((40-'V06 Calend 01'!C73)/6)&lt;='V06 Calend 01'!E73)),IF((40=('V06 Calend 01'!C73+(6*'V06 Calend 01'!E73))),('V06 Calend 01'!H73-('V06 Calend 01'!I73*('V06 Calend 01'!E73-1))),'V06 Calend 01'!I73),0))+IF((40='V06 Calend 01'!D73),'V06 Calend 01'!J73,0))</f>
        <v>0</v>
      </c>
      <c r="BA73" s="2">
        <f>((IF((41='V06 Calend 01'!C73),('V06 Calend 01'!F73+'V06 Calend 01'!G73),0)+IF(AND(('V06 Calend 01'!E73&gt;0),(41&gt;'V06 Calend 01'!C73),(41&lt;'V06 Calend 01'!D73),(MOD((41-'V06 Calend 01'!C73),6)=0),(((41-'V06 Calend 01'!C73)/6)&lt;='V06 Calend 01'!E73)),IF((41=('V06 Calend 01'!C73+(6*'V06 Calend 01'!E73))),('V06 Calend 01'!H73-('V06 Calend 01'!I73*('V06 Calend 01'!E73-1))),'V06 Calend 01'!I73),0))+IF((41='V06 Calend 01'!D73),'V06 Calend 01'!J73,0))</f>
        <v>0</v>
      </c>
      <c r="BB73" s="2">
        <f>((IF((42='V06 Calend 01'!C73),('V06 Calend 01'!F73+'V06 Calend 01'!G73),0)+IF(AND(('V06 Calend 01'!E73&gt;0),(42&gt;'V06 Calend 01'!C73),(42&lt;'V06 Calend 01'!D73),(MOD((42-'V06 Calend 01'!C73),6)=0),(((42-'V06 Calend 01'!C73)/6)&lt;='V06 Calend 01'!E73)),IF((42=('V06 Calend 01'!C73+(6*'V06 Calend 01'!E73))),('V06 Calend 01'!H73-('V06 Calend 01'!I73*('V06 Calend 01'!E73-1))),'V06 Calend 01'!I73),0))+IF((42='V06 Calend 01'!D73),'V06 Calend 01'!J73,0))</f>
        <v>0</v>
      </c>
      <c r="BC73" s="2">
        <f>((IF((43='V06 Calend 01'!C73),('V06 Calend 01'!F73+'V06 Calend 01'!G73),0)+IF(AND(('V06 Calend 01'!E73&gt;0),(43&gt;'V06 Calend 01'!C73),(43&lt;'V06 Calend 01'!D73),(MOD((43-'V06 Calend 01'!C73),6)=0),(((43-'V06 Calend 01'!C73)/6)&lt;='V06 Calend 01'!E73)),IF((43=('V06 Calend 01'!C73+(6*'V06 Calend 01'!E73))),('V06 Calend 01'!H73-('V06 Calend 01'!I73*('V06 Calend 01'!E73-1))),'V06 Calend 01'!I73),0))+IF((43='V06 Calend 01'!D73),'V06 Calend 01'!J73,0))</f>
        <v>0</v>
      </c>
      <c r="BD73" s="2">
        <f>((IF((44='V06 Calend 01'!C73),('V06 Calend 01'!F73+'V06 Calend 01'!G73),0)+IF(AND(('V06 Calend 01'!E73&gt;0),(44&gt;'V06 Calend 01'!C73),(44&lt;'V06 Calend 01'!D73),(MOD((44-'V06 Calend 01'!C73),6)=0),(((44-'V06 Calend 01'!C73)/6)&lt;='V06 Calend 01'!E73)),IF((44=('V06 Calend 01'!C73+(6*'V06 Calend 01'!E73))),('V06 Calend 01'!H73-('V06 Calend 01'!I73*('V06 Calend 01'!E73-1))),'V06 Calend 01'!I73),0))+IF((44='V06 Calend 01'!D73),'V06 Calend 01'!J73,0))</f>
        <v>0</v>
      </c>
      <c r="BE73" s="2">
        <f>((IF((45='V06 Calend 01'!C73),('V06 Calend 01'!F73+'V06 Calend 01'!G73),0)+IF(AND(('V06 Calend 01'!E73&gt;0),(45&gt;'V06 Calend 01'!C73),(45&lt;'V06 Calend 01'!D73),(MOD((45-'V06 Calend 01'!C73),6)=0),(((45-'V06 Calend 01'!C73)/6)&lt;='V06 Calend 01'!E73)),IF((45=('V06 Calend 01'!C73+(6*'V06 Calend 01'!E73))),('V06 Calend 01'!H73-('V06 Calend 01'!I73*('V06 Calend 01'!E73-1))),'V06 Calend 01'!I73),0))+IF((45='V06 Calend 01'!D73),'V06 Calend 01'!J73,0))</f>
        <v>0</v>
      </c>
      <c r="BF73" s="2">
        <f>((IF((46='V06 Calend 01'!C73),('V06 Calend 01'!F73+'V06 Calend 01'!G73),0)+IF(AND(('V06 Calend 01'!E73&gt;0),(46&gt;'V06 Calend 01'!C73),(46&lt;'V06 Calend 01'!D73),(MOD((46-'V06 Calend 01'!C73),6)=0),(((46-'V06 Calend 01'!C73)/6)&lt;='V06 Calend 01'!E73)),IF((46=('V06 Calend 01'!C73+(6*'V06 Calend 01'!E73))),('V06 Calend 01'!H73-('V06 Calend 01'!I73*('V06 Calend 01'!E73-1))),'V06 Calend 01'!I73),0))+IF((46='V06 Calend 01'!D73),'V06 Calend 01'!J73,0))</f>
        <v>0</v>
      </c>
      <c r="BG73" s="2">
        <f>((IF((47='V06 Calend 01'!C73),('V06 Calend 01'!F73+'V06 Calend 01'!G73),0)+IF(AND(('V06 Calend 01'!E73&gt;0),(47&gt;'V06 Calend 01'!C73),(47&lt;'V06 Calend 01'!D73),(MOD((47-'V06 Calend 01'!C73),6)=0),(((47-'V06 Calend 01'!C73)/6)&lt;='V06 Calend 01'!E73)),IF((47=('V06 Calend 01'!C73+(6*'V06 Calend 01'!E73))),('V06 Calend 01'!H73-('V06 Calend 01'!I73*('V06 Calend 01'!E73-1))),'V06 Calend 01'!I73),0))+IF((47='V06 Calend 01'!D73),'V06 Calend 01'!J73,0))</f>
        <v>0</v>
      </c>
      <c r="BH73" s="2">
        <f>((IF((48='V06 Calend 01'!C73),('V06 Calend 01'!F73+'V06 Calend 01'!G73),0)+IF(AND(('V06 Calend 01'!E73&gt;0),(48&gt;'V06 Calend 01'!C73),(48&lt;'V06 Calend 01'!D73),(MOD((48-'V06 Calend 01'!C73),6)=0),(((48-'V06 Calend 01'!C73)/6)&lt;='V06 Calend 01'!E73)),IF((48=('V06 Calend 01'!C73+(6*'V06 Calend 01'!E73))),('V06 Calend 01'!H73-('V06 Calend 01'!I73*('V06 Calend 01'!E73-1))),'V06 Calend 01'!I73),0))+IF((48='V06 Calend 01'!D73),'V06 Calend 01'!J73,0))</f>
        <v>0</v>
      </c>
      <c r="BI73" s="2">
        <f>((IF((49='V06 Calend 01'!C73),('V06 Calend 01'!F73+'V06 Calend 01'!G73),0)+IF(AND(('V06 Calend 01'!E73&gt;0),(49&gt;'V06 Calend 01'!C73),(49&lt;'V06 Calend 01'!D73),(MOD((49-'V06 Calend 01'!C73),6)=0),(((49-'V06 Calend 01'!C73)/6)&lt;='V06 Calend 01'!E73)),IF((49=('V06 Calend 01'!C73+(6*'V06 Calend 01'!E73))),('V06 Calend 01'!H73-('V06 Calend 01'!I73*('V06 Calend 01'!E73-1))),'V06 Calend 01'!I73),0))+IF((49='V06 Calend 01'!D73),'V06 Calend 01'!J73,0))</f>
        <v>0</v>
      </c>
      <c r="BJ73" s="2">
        <f>((IF((50='V06 Calend 01'!C73),('V06 Calend 01'!F73+'V06 Calend 01'!G73),0)+IF(AND(('V06 Calend 01'!E73&gt;0),(50&gt;'V06 Calend 01'!C73),(50&lt;'V06 Calend 01'!D73),(MOD((50-'V06 Calend 01'!C73),6)=0),(((50-'V06 Calend 01'!C73)/6)&lt;='V06 Calend 01'!E73)),IF((50=('V06 Calend 01'!C73+(6*'V06 Calend 01'!E73))),('V06 Calend 01'!H73-('V06 Calend 01'!I73*('V06 Calend 01'!E73-1))),'V06 Calend 01'!I73),0))+IF((50='V06 Calend 01'!D73),'V06 Calend 01'!J73,0))</f>
        <v>0</v>
      </c>
      <c r="BK73" s="2">
        <f>((IF((51='V06 Calend 01'!C73),('V06 Calend 01'!F73+'V06 Calend 01'!G73),0)+IF(AND(('V06 Calend 01'!E73&gt;0),(51&gt;'V06 Calend 01'!C73),(51&lt;'V06 Calend 01'!D73),(MOD((51-'V06 Calend 01'!C73),6)=0),(((51-'V06 Calend 01'!C73)/6)&lt;='V06 Calend 01'!E73)),IF((51=('V06 Calend 01'!C73+(6*'V06 Calend 01'!E73))),('V06 Calend 01'!H73-('V06 Calend 01'!I73*('V06 Calend 01'!E73-1))),'V06 Calend 01'!I73),0))+IF((51='V06 Calend 01'!D73),'V06 Calend 01'!J73,0))</f>
        <v>0</v>
      </c>
      <c r="BL73" s="2">
        <f>((IF((52='V06 Calend 01'!C73),('V06 Calend 01'!F73+'V06 Calend 01'!G73),0)+IF(AND(('V06 Calend 01'!E73&gt;0),(52&gt;'V06 Calend 01'!C73),(52&lt;'V06 Calend 01'!D73),(MOD((52-'V06 Calend 01'!C73),6)=0),(((52-'V06 Calend 01'!C73)/6)&lt;='V06 Calend 01'!E73)),IF((52=('V06 Calend 01'!C73+(6*'V06 Calend 01'!E73))),('V06 Calend 01'!H73-('V06 Calend 01'!I73*('V06 Calend 01'!E73-1))),'V06 Calend 01'!I73),0))+IF((52='V06 Calend 01'!D73),'V06 Calend 01'!J73,0))</f>
        <v>0</v>
      </c>
      <c r="BM73" s="2">
        <f>((IF((53='V06 Calend 01'!C73),('V06 Calend 01'!F73+'V06 Calend 01'!G73),0)+IF(AND(('V06 Calend 01'!E73&gt;0),(53&gt;'V06 Calend 01'!C73),(53&lt;'V06 Calend 01'!D73),(MOD((53-'V06 Calend 01'!C73),6)=0),(((53-'V06 Calend 01'!C73)/6)&lt;='V06 Calend 01'!E73)),IF((53=('V06 Calend 01'!C73+(6*'V06 Calend 01'!E73))),('V06 Calend 01'!H73-('V06 Calend 01'!I73*('V06 Calend 01'!E73-1))),'V06 Calend 01'!I73),0))+IF((53='V06 Calend 01'!D73),'V06 Calend 01'!J73,0))</f>
        <v>0</v>
      </c>
      <c r="BN73" s="2">
        <f>((IF((54='V06 Calend 01'!C73),('V06 Calend 01'!F73+'V06 Calend 01'!G73),0)+IF(AND(('V06 Calend 01'!E73&gt;0),(54&gt;'V06 Calend 01'!C73),(54&lt;'V06 Calend 01'!D73),(MOD((54-'V06 Calend 01'!C73),6)=0),(((54-'V06 Calend 01'!C73)/6)&lt;='V06 Calend 01'!E73)),IF((54=('V06 Calend 01'!C73+(6*'V06 Calend 01'!E73))),('V06 Calend 01'!H73-('V06 Calend 01'!I73*('V06 Calend 01'!E73-1))),'V06 Calend 01'!I73),0))+IF((54='V06 Calend 01'!D73),'V06 Calend 01'!J73,0))</f>
        <v>0</v>
      </c>
      <c r="BO73" s="2">
        <f>((IF((55='V06 Calend 01'!C73),('V06 Calend 01'!F73+'V06 Calend 01'!G73),0)+IF(AND(('V06 Calend 01'!E73&gt;0),(55&gt;'V06 Calend 01'!C73),(55&lt;'V06 Calend 01'!D73),(MOD((55-'V06 Calend 01'!C73),6)=0),(((55-'V06 Calend 01'!C73)/6)&lt;='V06 Calend 01'!E73)),IF((55=('V06 Calend 01'!C73+(6*'V06 Calend 01'!E73))),('V06 Calend 01'!H73-('V06 Calend 01'!I73*('V06 Calend 01'!E73-1))),'V06 Calend 01'!I73),0))+IF((55='V06 Calend 01'!D73),'V06 Calend 01'!J73,0))</f>
        <v>0</v>
      </c>
      <c r="BP73" s="2">
        <f>((IF((56='V06 Calend 01'!C73),('V06 Calend 01'!F73+'V06 Calend 01'!G73),0)+IF(AND(('V06 Calend 01'!E73&gt;0),(56&gt;'V06 Calend 01'!C73),(56&lt;'V06 Calend 01'!D73),(MOD((56-'V06 Calend 01'!C73),6)=0),(((56-'V06 Calend 01'!C73)/6)&lt;='V06 Calend 01'!E73)),IF((56=('V06 Calend 01'!C73+(6*'V06 Calend 01'!E73))),('V06 Calend 01'!H73-('V06 Calend 01'!I73*('V06 Calend 01'!E73-1))),'V06 Calend 01'!I73),0))+IF((56='V06 Calend 01'!D73),'V06 Calend 01'!J73,0))</f>
        <v>0</v>
      </c>
      <c r="BQ73" s="2">
        <f>((IF((57='V06 Calend 01'!C73),('V06 Calend 01'!F73+'V06 Calend 01'!G73),0)+IF(AND(('V06 Calend 01'!E73&gt;0),(57&gt;'V06 Calend 01'!C73),(57&lt;'V06 Calend 01'!D73),(MOD((57-'V06 Calend 01'!C73),6)=0),(((57-'V06 Calend 01'!C73)/6)&lt;='V06 Calend 01'!E73)),IF((57=('V06 Calend 01'!C73+(6*'V06 Calend 01'!E73))),('V06 Calend 01'!H73-('V06 Calend 01'!I73*('V06 Calend 01'!E73-1))),'V06 Calend 01'!I73),0))+IF((57='V06 Calend 01'!D73),'V06 Calend 01'!J73,0))</f>
        <v>0</v>
      </c>
      <c r="BR73" s="2">
        <f>((IF((58='V06 Calend 01'!C73),('V06 Calend 01'!F73+'V06 Calend 01'!G73),0)+IF(AND(('V06 Calend 01'!E73&gt;0),(58&gt;'V06 Calend 01'!C73),(58&lt;'V06 Calend 01'!D73),(MOD((58-'V06 Calend 01'!C73),6)=0),(((58-'V06 Calend 01'!C73)/6)&lt;='V06 Calend 01'!E73)),IF((58=('V06 Calend 01'!C73+(6*'V06 Calend 01'!E73))),('V06 Calend 01'!H73-('V06 Calend 01'!I73*('V06 Calend 01'!E73-1))),'V06 Calend 01'!I73),0))+IF((58='V06 Calend 01'!D73),'V06 Calend 01'!J73,0))</f>
        <v>0</v>
      </c>
      <c r="BS73" s="2">
        <f>((IF((59='V06 Calend 01'!C73),('V06 Calend 01'!F73+'V06 Calend 01'!G73),0)+IF(AND(('V06 Calend 01'!E73&gt;0),(59&gt;'V06 Calend 01'!C73),(59&lt;'V06 Calend 01'!D73),(MOD((59-'V06 Calend 01'!C73),6)=0),(((59-'V06 Calend 01'!C73)/6)&lt;='V06 Calend 01'!E73)),IF((59=('V06 Calend 01'!C73+(6*'V06 Calend 01'!E73))),('V06 Calend 01'!H73-('V06 Calend 01'!I73*('V06 Calend 01'!E73-1))),'V06 Calend 01'!I73),0))+IF((59='V06 Calend 01'!D73),'V06 Calend 01'!J73,0))</f>
        <v>0</v>
      </c>
      <c r="BT73" s="2">
        <f>((IF((60='V06 Calend 01'!C73),('V06 Calend 01'!F73+'V06 Calend 01'!G73),0)+IF(AND(('V06 Calend 01'!E73&gt;0),(60&gt;'V06 Calend 01'!C73),(60&lt;'V06 Calend 01'!D73),(MOD((60-'V06 Calend 01'!C73),6)=0),(((60-'V06 Calend 01'!C73)/6)&lt;='V06 Calend 01'!E73)),IF((60=('V06 Calend 01'!C73+(6*'V06 Calend 01'!E73))),('V06 Calend 01'!H73-('V06 Calend 01'!I73*('V06 Calend 01'!E73-1))),'V06 Calend 01'!I73),0))+IF((60='V06 Calend 01'!D73),'V06 Calend 01'!J73,0))</f>
        <v>0</v>
      </c>
      <c r="BU73" s="2">
        <f>((IF((61='V06 Calend 01'!C73),('V06 Calend 01'!F73+'V06 Calend 01'!G73),0)+IF(AND(('V06 Calend 01'!E73&gt;0),(61&gt;'V06 Calend 01'!C73),(61&lt;'V06 Calend 01'!D73),(MOD((61-'V06 Calend 01'!C73),6)=0),(((61-'V06 Calend 01'!C73)/6)&lt;='V06 Calend 01'!E73)),IF((61=('V06 Calend 01'!C73+(6*'V06 Calend 01'!E73))),('V06 Calend 01'!H73-('V06 Calend 01'!I73*('V06 Calend 01'!E73-1))),'V06 Calend 01'!I73),0))+IF((61='V06 Calend 01'!D73),'V06 Calend 01'!J73,0))</f>
        <v>0</v>
      </c>
      <c r="BV73" s="2">
        <f>((IF((62='V06 Calend 01'!C73),('V06 Calend 01'!F73+'V06 Calend 01'!G73),0)+IF(AND(('V06 Calend 01'!E73&gt;0),(62&gt;'V06 Calend 01'!C73),(62&lt;'V06 Calend 01'!D73),(MOD((62-'V06 Calend 01'!C73),6)=0),(((62-'V06 Calend 01'!C73)/6)&lt;='V06 Calend 01'!E73)),IF((62=('V06 Calend 01'!C73+(6*'V06 Calend 01'!E73))),('V06 Calend 01'!H73-('V06 Calend 01'!I73*('V06 Calend 01'!E73-1))),'V06 Calend 01'!I73),0))+IF((62='V06 Calend 01'!D73),'V06 Calend 01'!J73,0))</f>
        <v>0</v>
      </c>
      <c r="BW73" s="2">
        <f>((IF((63='V06 Calend 01'!C73),('V06 Calend 01'!F73+'V06 Calend 01'!G73),0)+IF(AND(('V06 Calend 01'!E73&gt;0),(63&gt;'V06 Calend 01'!C73),(63&lt;'V06 Calend 01'!D73),(MOD((63-'V06 Calend 01'!C73),6)=0),(((63-'V06 Calend 01'!C73)/6)&lt;='V06 Calend 01'!E73)),IF((63=('V06 Calend 01'!C73+(6*'V06 Calend 01'!E73))),('V06 Calend 01'!H73-('V06 Calend 01'!I73*('V06 Calend 01'!E73-1))),'V06 Calend 01'!I73),0))+IF((63='V06 Calend 01'!D73),'V06 Calend 01'!J73,0))</f>
        <v>0</v>
      </c>
      <c r="BX73" s="2">
        <f>((IF((64='V06 Calend 01'!C73),('V06 Calend 01'!F73+'V06 Calend 01'!G73),0)+IF(AND(('V06 Calend 01'!E73&gt;0),(64&gt;'V06 Calend 01'!C73),(64&lt;'V06 Calend 01'!D73),(MOD((64-'V06 Calend 01'!C73),6)=0),(((64-'V06 Calend 01'!C73)/6)&lt;='V06 Calend 01'!E73)),IF((64=('V06 Calend 01'!C73+(6*'V06 Calend 01'!E73))),('V06 Calend 01'!H73-('V06 Calend 01'!I73*('V06 Calend 01'!E73-1))),'V06 Calend 01'!I73),0))+IF((64='V06 Calend 01'!D73),'V06 Calend 01'!J73,0))</f>
        <v>0</v>
      </c>
      <c r="BY73" s="2">
        <f>((IF((65='V06 Calend 01'!C73),('V06 Calend 01'!F73+'V06 Calend 01'!G73),0)+IF(AND(('V06 Calend 01'!E73&gt;0),(65&gt;'V06 Calend 01'!C73),(65&lt;'V06 Calend 01'!D73),(MOD((65-'V06 Calend 01'!C73),6)=0),(((65-'V06 Calend 01'!C73)/6)&lt;='V06 Calend 01'!E73)),IF((65=('V06 Calend 01'!C73+(6*'V06 Calend 01'!E73))),('V06 Calend 01'!H73-('V06 Calend 01'!I73*('V06 Calend 01'!E73-1))),'V06 Calend 01'!I73),0))+IF((65='V06 Calend 01'!D73),'V06 Calend 01'!J73,0))</f>
        <v>0</v>
      </c>
      <c r="BZ73" s="2">
        <f>((IF((66='V06 Calend 01'!C73),('V06 Calend 01'!F73+'V06 Calend 01'!G73),0)+IF(AND(('V06 Calend 01'!E73&gt;0),(66&gt;'V06 Calend 01'!C73),(66&lt;'V06 Calend 01'!D73),(MOD((66-'V06 Calend 01'!C73),6)=0),(((66-'V06 Calend 01'!C73)/6)&lt;='V06 Calend 01'!E73)),IF((66=('V06 Calend 01'!C73+(6*'V06 Calend 01'!E73))),('V06 Calend 01'!H73-('V06 Calend 01'!I73*('V06 Calend 01'!E73-1))),'V06 Calend 01'!I73),0))+IF((66='V06 Calend 01'!D73),'V06 Calend 01'!J73,0))</f>
        <v>0</v>
      </c>
      <c r="CA73" s="2">
        <f>((IF((67='V06 Calend 01'!C73),('V06 Calend 01'!F73+'V06 Calend 01'!G73),0)+IF(AND(('V06 Calend 01'!E73&gt;0),(67&gt;'V06 Calend 01'!C73),(67&lt;'V06 Calend 01'!D73),(MOD((67-'V06 Calend 01'!C73),6)=0),(((67-'V06 Calend 01'!C73)/6)&lt;='V06 Calend 01'!E73)),IF((67=('V06 Calend 01'!C73+(6*'V06 Calend 01'!E73))),('V06 Calend 01'!H73-('V06 Calend 01'!I73*('V06 Calend 01'!E73-1))),'V06 Calend 01'!I73),0))+IF((67='V06 Calend 01'!D73),'V06 Calend 01'!J73,0))</f>
        <v>0</v>
      </c>
      <c r="CB73" s="2">
        <f>((IF((68='V06 Calend 01'!C73),('V06 Calend 01'!F73+'V06 Calend 01'!G73),0)+IF(AND(('V06 Calend 01'!E73&gt;0),(68&gt;'V06 Calend 01'!C73),(68&lt;'V06 Calend 01'!D73),(MOD((68-'V06 Calend 01'!C73),6)=0),(((68-'V06 Calend 01'!C73)/6)&lt;='V06 Calend 01'!E73)),IF((68=('V06 Calend 01'!C73+(6*'V06 Calend 01'!E73))),('V06 Calend 01'!H73-('V06 Calend 01'!I73*('V06 Calend 01'!E73-1))),'V06 Calend 01'!I73),0))+IF((68='V06 Calend 01'!D73),'V06 Calend 01'!J73,0))</f>
        <v>0</v>
      </c>
      <c r="CC73" s="2">
        <f>((IF((69='V06 Calend 01'!C73),('V06 Calend 01'!F73+'V06 Calend 01'!G73),0)+IF(AND(('V06 Calend 01'!E73&gt;0),(69&gt;'V06 Calend 01'!C73),(69&lt;'V06 Calend 01'!D73),(MOD((69-'V06 Calend 01'!C73),6)=0),(((69-'V06 Calend 01'!C73)/6)&lt;='V06 Calend 01'!E73)),IF((69=('V06 Calend 01'!C73+(6*'V06 Calend 01'!E73))),('V06 Calend 01'!H73-('V06 Calend 01'!I73*('V06 Calend 01'!E73-1))),'V06 Calend 01'!I73),0))+IF((69='V06 Calend 01'!D73),'V06 Calend 01'!J73,0))</f>
        <v>0</v>
      </c>
      <c r="CD73" s="2">
        <f>((IF((70='V06 Calend 01'!C73),('V06 Calend 01'!F73+'V06 Calend 01'!G73),0)+IF(AND(('V06 Calend 01'!E73&gt;0),(70&gt;'V06 Calend 01'!C73),(70&lt;'V06 Calend 01'!D73),(MOD((70-'V06 Calend 01'!C73),6)=0),(((70-'V06 Calend 01'!C73)/6)&lt;='V06 Calend 01'!E73)),IF((70=('V06 Calend 01'!C73+(6*'V06 Calend 01'!E73))),('V06 Calend 01'!H73-('V06 Calend 01'!I73*('V06 Calend 01'!E73-1))),'V06 Calend 01'!I73),0))+IF((70='V06 Calend 01'!D73),'V06 Calend 01'!J73,0))</f>
        <v>0</v>
      </c>
      <c r="CE73" s="2">
        <f>((IF((71='V06 Calend 01'!C73),('V06 Calend 01'!F73+'V06 Calend 01'!G73),0)+IF(AND(('V06 Calend 01'!E73&gt;0),(71&gt;'V06 Calend 01'!C73),(71&lt;'V06 Calend 01'!D73),(MOD((71-'V06 Calend 01'!C73),6)=0),(((71-'V06 Calend 01'!C73)/6)&lt;='V06 Calend 01'!E73)),IF((71=('V06 Calend 01'!C73+(6*'V06 Calend 01'!E73))),('V06 Calend 01'!H73-('V06 Calend 01'!I73*('V06 Calend 01'!E73-1))),'V06 Calend 01'!I73),0))+IF((71='V06 Calend 01'!D73),'V06 Calend 01'!J73,0))</f>
        <v>0</v>
      </c>
      <c r="CF73" s="2">
        <f>((IF((72='V06 Calend 01'!C73),('V06 Calend 01'!F73+'V06 Calend 01'!G73),0)+IF(AND(('V06 Calend 01'!E73&gt;0),(72&gt;'V06 Calend 01'!C73),(72&lt;'V06 Calend 01'!D73),(MOD((72-'V06 Calend 01'!C73),6)=0),(((72-'V06 Calend 01'!C73)/6)&lt;='V06 Calend 01'!E73)),IF((72=('V06 Calend 01'!C73+(6*'V06 Calend 01'!E73))),('V06 Calend 01'!H73-('V06 Calend 01'!I73*('V06 Calend 01'!E73-1))),'V06 Calend 01'!I73),0))+IF((72='V06 Calend 01'!D73),'V06 Calend 01'!J73,0))</f>
        <v>0</v>
      </c>
      <c r="CG73" s="2">
        <f>((IF((73='V06 Calend 01'!C73),('V06 Calend 01'!F73+'V06 Calend 01'!G73),0)+IF(AND(('V06 Calend 01'!E73&gt;0),(73&gt;'V06 Calend 01'!C73),(73&lt;'V06 Calend 01'!D73),(MOD((73-'V06 Calend 01'!C73),6)=0),(((73-'V06 Calend 01'!C73)/6)&lt;='V06 Calend 01'!E73)),IF((73=('V06 Calend 01'!C73+(6*'V06 Calend 01'!E73))),('V06 Calend 01'!H73-('V06 Calend 01'!I73*('V06 Calend 01'!E73-1))),'V06 Calend 01'!I73),0))+IF((73='V06 Calend 01'!D73),'V06 Calend 01'!J73,0))</f>
        <v>0</v>
      </c>
      <c r="CH73" s="2">
        <f>((IF((74='V06 Calend 01'!C73),('V06 Calend 01'!F73+'V06 Calend 01'!G73),0)+IF(AND(('V06 Calend 01'!E73&gt;0),(74&gt;'V06 Calend 01'!C73),(74&lt;'V06 Calend 01'!D73),(MOD((74-'V06 Calend 01'!C73),6)=0),(((74-'V06 Calend 01'!C73)/6)&lt;='V06 Calend 01'!E73)),IF((74=('V06 Calend 01'!C73+(6*'V06 Calend 01'!E73))),('V06 Calend 01'!H73-('V06 Calend 01'!I73*('V06 Calend 01'!E73-1))),'V06 Calend 01'!I73),0))+IF((74='V06 Calend 01'!D73),'V06 Calend 01'!J73,0))</f>
        <v>0</v>
      </c>
      <c r="CI73" s="2">
        <f>((IF((75='V06 Calend 01'!C73),('V06 Calend 01'!F73+'V06 Calend 01'!G73),0)+IF(AND(('V06 Calend 01'!E73&gt;0),(75&gt;'V06 Calend 01'!C73),(75&lt;'V06 Calend 01'!D73),(MOD((75-'V06 Calend 01'!C73),6)=0),(((75-'V06 Calend 01'!C73)/6)&lt;='V06 Calend 01'!E73)),IF((75=('V06 Calend 01'!C73+(6*'V06 Calend 01'!E73))),('V06 Calend 01'!H73-('V06 Calend 01'!I73*('V06 Calend 01'!E73-1))),'V06 Calend 01'!I73),0))+IF((75='V06 Calend 01'!D73),'V06 Calend 01'!J73,0))</f>
        <v>0</v>
      </c>
      <c r="CJ73" s="2">
        <f>((IF((76='V06 Calend 01'!C73),('V06 Calend 01'!F73+'V06 Calend 01'!G73),0)+IF(AND(('V06 Calend 01'!E73&gt;0),(76&gt;'V06 Calend 01'!C73),(76&lt;'V06 Calend 01'!D73),(MOD((76-'V06 Calend 01'!C73),6)=0),(((76-'V06 Calend 01'!C73)/6)&lt;='V06 Calend 01'!E73)),IF((76=('V06 Calend 01'!C73+(6*'V06 Calend 01'!E73))),('V06 Calend 01'!H73-('V06 Calend 01'!I73*('V06 Calend 01'!E73-1))),'V06 Calend 01'!I73),0))+IF((76='V06 Calend 01'!D73),'V06 Calend 01'!J73,0))</f>
        <v>0</v>
      </c>
      <c r="CK73" s="2">
        <f>((IF((77='V06 Calend 01'!C73),('V06 Calend 01'!F73+'V06 Calend 01'!G73),0)+IF(AND(('V06 Calend 01'!E73&gt;0),(77&gt;'V06 Calend 01'!C73),(77&lt;'V06 Calend 01'!D73),(MOD((77-'V06 Calend 01'!C73),6)=0),(((77-'V06 Calend 01'!C73)/6)&lt;='V06 Calend 01'!E73)),IF((77=('V06 Calend 01'!C73+(6*'V06 Calend 01'!E73))),('V06 Calend 01'!H73-('V06 Calend 01'!I73*('V06 Calend 01'!E73-1))),'V06 Calend 01'!I73),0))+IF((77='V06 Calend 01'!D73),'V06 Calend 01'!J73,0))</f>
        <v>0</v>
      </c>
      <c r="CL73" s="2">
        <f>((IF((78='V06 Calend 01'!C73),('V06 Calend 01'!F73+'V06 Calend 01'!G73),0)+IF(AND(('V06 Calend 01'!E73&gt;0),(78&gt;'V06 Calend 01'!C73),(78&lt;'V06 Calend 01'!D73),(MOD((78-'V06 Calend 01'!C73),6)=0),(((78-'V06 Calend 01'!C73)/6)&lt;='V06 Calend 01'!E73)),IF((78=('V06 Calend 01'!C73+(6*'V06 Calend 01'!E73))),('V06 Calend 01'!H73-('V06 Calend 01'!I73*('V06 Calend 01'!E73-1))),'V06 Calend 01'!I73),0))+IF((78='V06 Calend 01'!D73),'V06 Calend 01'!J73,0))</f>
        <v>0</v>
      </c>
      <c r="CM73" s="2">
        <f>((IF((79='V06 Calend 01'!C73),('V06 Calend 01'!F73+'V06 Calend 01'!G73),0)+IF(AND(('V06 Calend 01'!E73&gt;0),(79&gt;'V06 Calend 01'!C73),(79&lt;'V06 Calend 01'!D73),(MOD((79-'V06 Calend 01'!C73),6)=0),(((79-'V06 Calend 01'!C73)/6)&lt;='V06 Calend 01'!E73)),IF((79=('V06 Calend 01'!C73+(6*'V06 Calend 01'!E73))),('V06 Calend 01'!H73-('V06 Calend 01'!I73*('V06 Calend 01'!E73-1))),'V06 Calend 01'!I73),0))+IF((79='V06 Calend 01'!D73),'V06 Calend 01'!J73,0))</f>
        <v>0</v>
      </c>
      <c r="CN73" s="2">
        <f>((IF((80='V06 Calend 01'!C73),('V06 Calend 01'!F73+'V06 Calend 01'!G73),0)+IF(AND(('V06 Calend 01'!E73&gt;0),(80&gt;'V06 Calend 01'!C73),(80&lt;'V06 Calend 01'!D73),(MOD((80-'V06 Calend 01'!C73),6)=0),(((80-'V06 Calend 01'!C73)/6)&lt;='V06 Calend 01'!E73)),IF((80=('V06 Calend 01'!C73+(6*'V06 Calend 01'!E73))),('V06 Calend 01'!H73-('V06 Calend 01'!I73*('V06 Calend 01'!E73-1))),'V06 Calend 01'!I73),0))+IF((80='V06 Calend 01'!D73),'V06 Calend 01'!J73,0))</f>
        <v>0</v>
      </c>
      <c r="CO73" s="2">
        <f>((IF((81='V06 Calend 01'!C73),('V06 Calend 01'!F73+'V06 Calend 01'!G73),0)+IF(AND(('V06 Calend 01'!E73&gt;0),(81&gt;'V06 Calend 01'!C73),(81&lt;'V06 Calend 01'!D73),(MOD((81-'V06 Calend 01'!C73),6)=0),(((81-'V06 Calend 01'!C73)/6)&lt;='V06 Calend 01'!E73)),IF((81=('V06 Calend 01'!C73+(6*'V06 Calend 01'!E73))),('V06 Calend 01'!H73-('V06 Calend 01'!I73*('V06 Calend 01'!E73-1))),'V06 Calend 01'!I73),0))+IF((81='V06 Calend 01'!D73),'V06 Calend 01'!J73,0))</f>
        <v>0</v>
      </c>
      <c r="CP73" s="2">
        <f>((IF((82='V06 Calend 01'!C73),('V06 Calend 01'!F73+'V06 Calend 01'!G73),0)+IF(AND(('V06 Calend 01'!E73&gt;0),(82&gt;'V06 Calend 01'!C73),(82&lt;'V06 Calend 01'!D73),(MOD((82-'V06 Calend 01'!C73),6)=0),(((82-'V06 Calend 01'!C73)/6)&lt;='V06 Calend 01'!E73)),IF((82=('V06 Calend 01'!C73+(6*'V06 Calend 01'!E73))),('V06 Calend 01'!H73-('V06 Calend 01'!I73*('V06 Calend 01'!E73-1))),'V06 Calend 01'!I73),0))+IF((82='V06 Calend 01'!D73),'V06 Calend 01'!J73,0))</f>
        <v>0</v>
      </c>
      <c r="CQ73" s="2">
        <f>((IF((83='V06 Calend 01'!C73),('V06 Calend 01'!F73+'V06 Calend 01'!G73),0)+IF(AND(('V06 Calend 01'!E73&gt;0),(83&gt;'V06 Calend 01'!C73),(83&lt;'V06 Calend 01'!D73),(MOD((83-'V06 Calend 01'!C73),6)=0),(((83-'V06 Calend 01'!C73)/6)&lt;='V06 Calend 01'!E73)),IF((83=('V06 Calend 01'!C73+(6*'V06 Calend 01'!E73))),('V06 Calend 01'!H73-('V06 Calend 01'!I73*('V06 Calend 01'!E73-1))),'V06 Calend 01'!I73),0))+IF((83='V06 Calend 01'!D73),'V06 Calend 01'!J73,0))</f>
        <v>0</v>
      </c>
      <c r="CR73" s="2">
        <f>((IF((84='V06 Calend 01'!C73),('V06 Calend 01'!F73+'V06 Calend 01'!G73),0)+IF(AND(('V06 Calend 01'!E73&gt;0),(84&gt;'V06 Calend 01'!C73),(84&lt;'V06 Calend 01'!D73),(MOD((84-'V06 Calend 01'!C73),6)=0),(((84-'V06 Calend 01'!C73)/6)&lt;='V06 Calend 01'!E73)),IF((84=('V06 Calend 01'!C73+(6*'V06 Calend 01'!E73))),('V06 Calend 01'!H73-('V06 Calend 01'!I73*('V06 Calend 01'!E73-1))),'V06 Calend 01'!I73),0))+IF((84='V06 Calend 01'!D73),'V06 Calend 01'!J73,0))</f>
        <v>0</v>
      </c>
      <c r="CS73" s="2">
        <f>((IF((85='V06 Calend 01'!C73),('V06 Calend 01'!F73+'V06 Calend 01'!G73),0)+IF(AND(('V06 Calend 01'!E73&gt;0),(85&gt;'V06 Calend 01'!C73),(85&lt;'V06 Calend 01'!D73),(MOD((85-'V06 Calend 01'!C73),6)=0),(((85-'V06 Calend 01'!C73)/6)&lt;='V06 Calend 01'!E73)),IF((85=('V06 Calend 01'!C73+(6*'V06 Calend 01'!E73))),('V06 Calend 01'!H73-('V06 Calend 01'!I73*('V06 Calend 01'!E73-1))),'V06 Calend 01'!I73),0))+IF((85='V06 Calend 01'!D73),'V06 Calend 01'!J73,0))</f>
        <v>0</v>
      </c>
      <c r="CT73" s="2">
        <f>((IF((86='V06 Calend 01'!C73),('V06 Calend 01'!F73+'V06 Calend 01'!G73),0)+IF(AND(('V06 Calend 01'!E73&gt;0),(86&gt;'V06 Calend 01'!C73),(86&lt;'V06 Calend 01'!D73),(MOD((86-'V06 Calend 01'!C73),6)=0),(((86-'V06 Calend 01'!C73)/6)&lt;='V06 Calend 01'!E73)),IF((86=('V06 Calend 01'!C73+(6*'V06 Calend 01'!E73))),('V06 Calend 01'!H73-('V06 Calend 01'!I73*('V06 Calend 01'!E73-1))),'V06 Calend 01'!I73),0))+IF((86='V06 Calend 01'!D73),'V06 Calend 01'!J73,0))</f>
        <v>0</v>
      </c>
      <c r="CU73" s="2">
        <f>((IF((87='V06 Calend 01'!C73),('V06 Calend 01'!F73+'V06 Calend 01'!G73),0)+IF(AND(('V06 Calend 01'!E73&gt;0),(87&gt;'V06 Calend 01'!C73),(87&lt;'V06 Calend 01'!D73),(MOD((87-'V06 Calend 01'!C73),6)=0),(((87-'V06 Calend 01'!C73)/6)&lt;='V06 Calend 01'!E73)),IF((87=('V06 Calend 01'!C73+(6*'V06 Calend 01'!E73))),('V06 Calend 01'!H73-('V06 Calend 01'!I73*('V06 Calend 01'!E73-1))),'V06 Calend 01'!I73),0))+IF((87='V06 Calend 01'!D73),'V06 Calend 01'!J73,0))</f>
        <v>0</v>
      </c>
      <c r="CV73" s="2">
        <f>((IF((88='V06 Calend 01'!C73),('V06 Calend 01'!F73+'V06 Calend 01'!G73),0)+IF(AND(('V06 Calend 01'!E73&gt;0),(88&gt;'V06 Calend 01'!C73),(88&lt;'V06 Calend 01'!D73),(MOD((88-'V06 Calend 01'!C73),6)=0),(((88-'V06 Calend 01'!C73)/6)&lt;='V06 Calend 01'!E73)),IF((88=('V06 Calend 01'!C73+(6*'V06 Calend 01'!E73))),('V06 Calend 01'!H73-('V06 Calend 01'!I73*('V06 Calend 01'!E73-1))),'V06 Calend 01'!I73),0))+IF((88='V06 Calend 01'!D73),'V06 Calend 01'!J73,0))</f>
        <v>0</v>
      </c>
      <c r="CW73" s="2">
        <f>((IF((89='V06 Calend 01'!C73),('V06 Calend 01'!F73+'V06 Calend 01'!G73),0)+IF(AND(('V06 Calend 01'!E73&gt;0),(89&gt;'V06 Calend 01'!C73),(89&lt;'V06 Calend 01'!D73),(MOD((89-'V06 Calend 01'!C73),6)=0),(((89-'V06 Calend 01'!C73)/6)&lt;='V06 Calend 01'!E73)),IF((89=('V06 Calend 01'!C73+(6*'V06 Calend 01'!E73))),('V06 Calend 01'!H73-('V06 Calend 01'!I73*('V06 Calend 01'!E73-1))),'V06 Calend 01'!I73),0))+IF((89='V06 Calend 01'!D73),'V06 Calend 01'!J73,0))</f>
        <v>0</v>
      </c>
      <c r="CX73" s="2">
        <f>((IF((90='V06 Calend 01'!C73),('V06 Calend 01'!F73+'V06 Calend 01'!G73),0)+IF(AND(('V06 Calend 01'!E73&gt;0),(90&gt;'V06 Calend 01'!C73),(90&lt;'V06 Calend 01'!D73),(MOD((90-'V06 Calend 01'!C73),6)=0),(((90-'V06 Calend 01'!C73)/6)&lt;='V06 Calend 01'!E73)),IF((90=('V06 Calend 01'!C73+(6*'V06 Calend 01'!E73))),('V06 Calend 01'!H73-('V06 Calend 01'!I73*('V06 Calend 01'!E73-1))),'V06 Calend 01'!I73),0))+IF((90='V06 Calend 01'!D73),'V06 Calend 01'!J73,0))</f>
        <v>0</v>
      </c>
      <c r="CY73" s="2">
        <f>((IF((91='V06 Calend 01'!C73),('V06 Calend 01'!F73+'V06 Calend 01'!G73),0)+IF(AND(('V06 Calend 01'!E73&gt;0),(91&gt;'V06 Calend 01'!C73),(91&lt;'V06 Calend 01'!D73),(MOD((91-'V06 Calend 01'!C73),6)=0),(((91-'V06 Calend 01'!C73)/6)&lt;='V06 Calend 01'!E73)),IF((91=('V06 Calend 01'!C73+(6*'V06 Calend 01'!E73))),('V06 Calend 01'!H73-('V06 Calend 01'!I73*('V06 Calend 01'!E73-1))),'V06 Calend 01'!I73),0))+IF((91='V06 Calend 01'!D73),'V06 Calend 01'!J73,0))</f>
        <v>0</v>
      </c>
      <c r="CZ73" s="2">
        <f>((IF((92='V06 Calend 01'!C73),('V06 Calend 01'!F73+'V06 Calend 01'!G73),0)+IF(AND(('V06 Calend 01'!E73&gt;0),(92&gt;'V06 Calend 01'!C73),(92&lt;'V06 Calend 01'!D73),(MOD((92-'V06 Calend 01'!C73),6)=0),(((92-'V06 Calend 01'!C73)/6)&lt;='V06 Calend 01'!E73)),IF((92=('V06 Calend 01'!C73+(6*'V06 Calend 01'!E73))),('V06 Calend 01'!H73-('V06 Calend 01'!I73*('V06 Calend 01'!E73-1))),'V06 Calend 01'!I73),0))+IF((92='V06 Calend 01'!D73),'V06 Calend 01'!J73,0))</f>
        <v>0</v>
      </c>
      <c r="DA73" s="2">
        <f>((IF((93='V06 Calend 01'!C73),('V06 Calend 01'!F73+'V06 Calend 01'!G73),0)+IF(AND(('V06 Calend 01'!E73&gt;0),(93&gt;'V06 Calend 01'!C73),(93&lt;'V06 Calend 01'!D73),(MOD((93-'V06 Calend 01'!C73),6)=0),(((93-'V06 Calend 01'!C73)/6)&lt;='V06 Calend 01'!E73)),IF((93=('V06 Calend 01'!C73+(6*'V06 Calend 01'!E73))),('V06 Calend 01'!H73-('V06 Calend 01'!I73*('V06 Calend 01'!E73-1))),'V06 Calend 01'!I73),0))+IF((93='V06 Calend 01'!D73),'V06 Calend 01'!J73,0))</f>
        <v>0</v>
      </c>
      <c r="DB73" s="2">
        <f>((IF((94='V06 Calend 01'!C73),('V06 Calend 01'!F73+'V06 Calend 01'!G73),0)+IF(AND(('V06 Calend 01'!E73&gt;0),(94&gt;'V06 Calend 01'!C73),(94&lt;'V06 Calend 01'!D73),(MOD((94-'V06 Calend 01'!C73),6)=0),(((94-'V06 Calend 01'!C73)/6)&lt;='V06 Calend 01'!E73)),IF((94=('V06 Calend 01'!C73+(6*'V06 Calend 01'!E73))),('V06 Calend 01'!H73-('V06 Calend 01'!I73*('V06 Calend 01'!E73-1))),'V06 Calend 01'!I73),0))+IF((94='V06 Calend 01'!D73),'V06 Calend 01'!J73,0))</f>
        <v>0</v>
      </c>
      <c r="DC73" s="2">
        <f>((IF((95='V06 Calend 01'!C73),('V06 Calend 01'!F73+'V06 Calend 01'!G73),0)+IF(AND(('V06 Calend 01'!E73&gt;0),(95&gt;'V06 Calend 01'!C73),(95&lt;'V06 Calend 01'!D73),(MOD((95-'V06 Calend 01'!C73),6)=0),(((95-'V06 Calend 01'!C73)/6)&lt;='V06 Calend 01'!E73)),IF((95=('V06 Calend 01'!C73+(6*'V06 Calend 01'!E73))),('V06 Calend 01'!H73-('V06 Calend 01'!I73*('V06 Calend 01'!E73-1))),'V06 Calend 01'!I73),0))+IF((95='V06 Calend 01'!D73),'V06 Calend 01'!J73,0))</f>
        <v>0</v>
      </c>
      <c r="DD73" s="2">
        <f>((IF((96='V06 Calend 01'!C73),('V06 Calend 01'!F73+'V06 Calend 01'!G73),0)+IF(AND(('V06 Calend 01'!E73&gt;0),(96&gt;'V06 Calend 01'!C73),(96&lt;'V06 Calend 01'!D73),(MOD((96-'V06 Calend 01'!C73),6)=0),(((96-'V06 Calend 01'!C73)/6)&lt;='V06 Calend 01'!E73)),IF((96=('V06 Calend 01'!C73+(6*'V06 Calend 01'!E73))),('V06 Calend 01'!H73-('V06 Calend 01'!I73*('V06 Calend 01'!E73-1))),'V06 Calend 01'!I73),0))+IF((96='V06 Calend 01'!D73),'V06 Calend 01'!J73,0))</f>
        <v>0</v>
      </c>
      <c r="DE73" s="2">
        <f>((IF((97='V06 Calend 01'!C73),('V06 Calend 01'!F73+'V06 Calend 01'!G73),0)+IF(AND(('V06 Calend 01'!E73&gt;0),(97&gt;'V06 Calend 01'!C73),(97&lt;'V06 Calend 01'!D73),(MOD((97-'V06 Calend 01'!C73),6)=0),(((97-'V06 Calend 01'!C73)/6)&lt;='V06 Calend 01'!E73)),IF((97=('V06 Calend 01'!C73+(6*'V06 Calend 01'!E73))),('V06 Calend 01'!H73-('V06 Calend 01'!I73*('V06 Calend 01'!E73-1))),'V06 Calend 01'!I73),0))+IF((97='V06 Calend 01'!D73),'V06 Calend 01'!J73,0))</f>
        <v>0</v>
      </c>
      <c r="DF73" s="2">
        <f>((IF((98='V06 Calend 01'!C73),('V06 Calend 01'!F73+'V06 Calend 01'!G73),0)+IF(AND(('V06 Calend 01'!E73&gt;0),(98&gt;'V06 Calend 01'!C73),(98&lt;'V06 Calend 01'!D73),(MOD((98-'V06 Calend 01'!C73),6)=0),(((98-'V06 Calend 01'!C73)/6)&lt;='V06 Calend 01'!E73)),IF((98=('V06 Calend 01'!C73+(6*'V06 Calend 01'!E73))),('V06 Calend 01'!H73-('V06 Calend 01'!I73*('V06 Calend 01'!E73-1))),'V06 Calend 01'!I73),0))+IF((98='V06 Calend 01'!D73),'V06 Calend 01'!J73,0))</f>
        <v>0</v>
      </c>
      <c r="DG73" s="2">
        <f>((IF((99='V06 Calend 01'!C73),('V06 Calend 01'!F73+'V06 Calend 01'!G73),0)+IF(AND(('V06 Calend 01'!E73&gt;0),(99&gt;'V06 Calend 01'!C73),(99&lt;'V06 Calend 01'!D73),(MOD((99-'V06 Calend 01'!C73),6)=0),(((99-'V06 Calend 01'!C73)/6)&lt;='V06 Calend 01'!E73)),IF((99=('V06 Calend 01'!C73+(6*'V06 Calend 01'!E73))),('V06 Calend 01'!H73-('V06 Calend 01'!I73*('V06 Calend 01'!E73-1))),'V06 Calend 01'!I73),0))+IF((99='V06 Calend 01'!D73),'V06 Calend 01'!J73,0))</f>
        <v>0</v>
      </c>
      <c r="DH73" s="2">
        <f>((IF((100='V06 Calend 01'!C73),('V06 Calend 01'!F73+'V06 Calend 01'!G73),0)+IF(AND(('V06 Calend 01'!E73&gt;0),(100&gt;'V06 Calend 01'!C73),(100&lt;'V06 Calend 01'!D73),(MOD((100-'V06 Calend 01'!C73),6)=0),(((100-'V06 Calend 01'!C73)/6)&lt;='V06 Calend 01'!E73)),IF((100=('V06 Calend 01'!C73+(6*'V06 Calend 01'!E73))),('V06 Calend 01'!H73-('V06 Calend 01'!I73*('V06 Calend 01'!E73-1))),'V06 Calend 01'!I73),0))+IF((100='V06 Calend 01'!D73),'V06 Calend 01'!J73,0))</f>
        <v>0</v>
      </c>
      <c r="DI73" s="2">
        <f>((IF((101='V06 Calend 01'!C73),('V06 Calend 01'!F73+'V06 Calend 01'!G73),0)+IF(AND(('V06 Calend 01'!E73&gt;0),(101&gt;'V06 Calend 01'!C73),(101&lt;'V06 Calend 01'!D73),(MOD((101-'V06 Calend 01'!C73),6)=0),(((101-'V06 Calend 01'!C73)/6)&lt;='V06 Calend 01'!E73)),IF((101=('V06 Calend 01'!C73+(6*'V06 Calend 01'!E73))),('V06 Calend 01'!H73-('V06 Calend 01'!I73*('V06 Calend 01'!E73-1))),'V06 Calend 01'!I73),0))+IF((101='V06 Calend 01'!D73),'V06 Calend 01'!J73,0))</f>
        <v>0</v>
      </c>
      <c r="DJ73" s="2">
        <f>((IF((102='V06 Calend 01'!C73),('V06 Calend 01'!F73+'V06 Calend 01'!G73),0)+IF(AND(('V06 Calend 01'!E73&gt;0),(102&gt;'V06 Calend 01'!C73),(102&lt;'V06 Calend 01'!D73),(MOD((102-'V06 Calend 01'!C73),6)=0),(((102-'V06 Calend 01'!C73)/6)&lt;='V06 Calend 01'!E73)),IF((102=('V06 Calend 01'!C73+(6*'V06 Calend 01'!E73))),('V06 Calend 01'!H73-('V06 Calend 01'!I73*('V06 Calend 01'!E73-1))),'V06 Calend 01'!I73),0))+IF((102='V06 Calend 01'!D73),'V06 Calend 01'!J73,0))</f>
        <v>0</v>
      </c>
      <c r="DK73" s="2">
        <f>((IF((103='V06 Calend 01'!C73),('V06 Calend 01'!F73+'V06 Calend 01'!G73),0)+IF(AND(('V06 Calend 01'!E73&gt;0),(103&gt;'V06 Calend 01'!C73),(103&lt;'V06 Calend 01'!D73),(MOD((103-'V06 Calend 01'!C73),6)=0),(((103-'V06 Calend 01'!C73)/6)&lt;='V06 Calend 01'!E73)),IF((103=('V06 Calend 01'!C73+(6*'V06 Calend 01'!E73))),('V06 Calend 01'!H73-('V06 Calend 01'!I73*('V06 Calend 01'!E73-1))),'V06 Calend 01'!I73),0))+IF((103='V06 Calend 01'!D73),'V06 Calend 01'!J73,0))</f>
        <v>0</v>
      </c>
      <c r="DL73" s="2">
        <f>((IF((104='V06 Calend 01'!C73),('V06 Calend 01'!F73+'V06 Calend 01'!G73),0)+IF(AND(('V06 Calend 01'!E73&gt;0),(104&gt;'V06 Calend 01'!C73),(104&lt;'V06 Calend 01'!D73),(MOD((104-'V06 Calend 01'!C73),6)=0),(((104-'V06 Calend 01'!C73)/6)&lt;='V06 Calend 01'!E73)),IF((104=('V06 Calend 01'!C73+(6*'V06 Calend 01'!E73))),('V06 Calend 01'!H73-('V06 Calend 01'!I73*('V06 Calend 01'!E73-1))),'V06 Calend 01'!I73),0))+IF((104='V06 Calend 01'!D73),'V06 Calend 01'!J73,0))</f>
        <v>0</v>
      </c>
      <c r="DM73" s="2">
        <f>((IF((105='V06 Calend 01'!C73),('V06 Calend 01'!F73+'V06 Calend 01'!G73),0)+IF(AND(('V06 Calend 01'!E73&gt;0),(105&gt;'V06 Calend 01'!C73),(105&lt;'V06 Calend 01'!D73),(MOD((105-'V06 Calend 01'!C73),6)=0),(((105-'V06 Calend 01'!C73)/6)&lt;='V06 Calend 01'!E73)),IF((105=('V06 Calend 01'!C73+(6*'V06 Calend 01'!E73))),('V06 Calend 01'!H73-('V06 Calend 01'!I73*('V06 Calend 01'!E73-1))),'V06 Calend 01'!I73),0))+IF((105='V06 Calend 01'!D73),'V06 Calend 01'!J73,0))</f>
        <v>0</v>
      </c>
      <c r="DN73" s="2">
        <f>((IF((106='V06 Calend 01'!C73),('V06 Calend 01'!F73+'V06 Calend 01'!G73),0)+IF(AND(('V06 Calend 01'!E73&gt;0),(106&gt;'V06 Calend 01'!C73),(106&lt;'V06 Calend 01'!D73),(MOD((106-'V06 Calend 01'!C73),6)=0),(((106-'V06 Calend 01'!C73)/6)&lt;='V06 Calend 01'!E73)),IF((106=('V06 Calend 01'!C73+(6*'V06 Calend 01'!E73))),('V06 Calend 01'!H73-('V06 Calend 01'!I73*('V06 Calend 01'!E73-1))),'V06 Calend 01'!I73),0))+IF((106='V06 Calend 01'!D73),'V06 Calend 01'!J73,0))</f>
        <v>0</v>
      </c>
      <c r="DO73" s="2">
        <f>((IF((107='V06 Calend 01'!C73),('V06 Calend 01'!F73+'V06 Calend 01'!G73),0)+IF(AND(('V06 Calend 01'!E73&gt;0),(107&gt;'V06 Calend 01'!C73),(107&lt;'V06 Calend 01'!D73),(MOD((107-'V06 Calend 01'!C73),6)=0),(((107-'V06 Calend 01'!C73)/6)&lt;='V06 Calend 01'!E73)),IF((107=('V06 Calend 01'!C73+(6*'V06 Calend 01'!E73))),('V06 Calend 01'!H73-('V06 Calend 01'!I73*('V06 Calend 01'!E73-1))),'V06 Calend 01'!I73),0))+IF((107='V06 Calend 01'!D73),'V06 Calend 01'!J73,0))</f>
        <v>0</v>
      </c>
      <c r="DP73" s="2">
        <f>((IF((108='V06 Calend 01'!C73),('V06 Calend 01'!F73+'V06 Calend 01'!G73),0)+IF(AND(('V06 Calend 01'!E73&gt;0),(108&gt;'V06 Calend 01'!C73),(108&lt;'V06 Calend 01'!D73),(MOD((108-'V06 Calend 01'!C73),6)=0),(((108-'V06 Calend 01'!C73)/6)&lt;='V06 Calend 01'!E73)),IF((108=('V06 Calend 01'!C73+(6*'V06 Calend 01'!E73))),('V06 Calend 01'!H73-('V06 Calend 01'!I73*('V06 Calend 01'!E73-1))),'V06 Calend 01'!I73),0))+IF((108='V06 Calend 01'!D73),'V06 Calend 01'!J73,0))</f>
        <v>0</v>
      </c>
      <c r="DQ73" s="2">
        <f>((IF((109='V06 Calend 01'!C73),('V06 Calend 01'!F73+'V06 Calend 01'!G73),0)+IF(AND(('V06 Calend 01'!E73&gt;0),(109&gt;'V06 Calend 01'!C73),(109&lt;'V06 Calend 01'!D73),(MOD((109-'V06 Calend 01'!C73),6)=0),(((109-'V06 Calend 01'!C73)/6)&lt;='V06 Calend 01'!E73)),IF((109=('V06 Calend 01'!C73+(6*'V06 Calend 01'!E73))),('V06 Calend 01'!H73-('V06 Calend 01'!I73*('V06 Calend 01'!E73-1))),'V06 Calend 01'!I73),0))+IF((109='V06 Calend 01'!D73),'V06 Calend 01'!J73,0))</f>
        <v>0</v>
      </c>
      <c r="DR73" s="2">
        <f>((IF((110='V06 Calend 01'!C73),('V06 Calend 01'!F73+'V06 Calend 01'!G73),0)+IF(AND(('V06 Calend 01'!E73&gt;0),(110&gt;'V06 Calend 01'!C73),(110&lt;'V06 Calend 01'!D73),(MOD((110-'V06 Calend 01'!C73),6)=0),(((110-'V06 Calend 01'!C73)/6)&lt;='V06 Calend 01'!E73)),IF((110=('V06 Calend 01'!C73+(6*'V06 Calend 01'!E73))),('V06 Calend 01'!H73-('V06 Calend 01'!I73*('V06 Calend 01'!E73-1))),'V06 Calend 01'!I73),0))+IF((110='V06 Calend 01'!D73),'V06 Calend 01'!J73,0))</f>
        <v>0</v>
      </c>
      <c r="DS73" s="2">
        <f>((IF((111='V06 Calend 01'!C73),('V06 Calend 01'!F73+'V06 Calend 01'!G73),0)+IF(AND(('V06 Calend 01'!E73&gt;0),(111&gt;'V06 Calend 01'!C73),(111&lt;'V06 Calend 01'!D73),(MOD((111-'V06 Calend 01'!C73),6)=0),(((111-'V06 Calend 01'!C73)/6)&lt;='V06 Calend 01'!E73)),IF((111=('V06 Calend 01'!C73+(6*'V06 Calend 01'!E73))),('V06 Calend 01'!H73-('V06 Calend 01'!I73*('V06 Calend 01'!E73-1))),'V06 Calend 01'!I73),0))+IF((111='V06 Calend 01'!D73),'V06 Calend 01'!J73,0))</f>
        <v>0</v>
      </c>
      <c r="DT73" s="2">
        <f>((IF((112='V06 Calend 01'!C73),('V06 Calend 01'!F73+'V06 Calend 01'!G73),0)+IF(AND(('V06 Calend 01'!E73&gt;0),(112&gt;'V06 Calend 01'!C73),(112&lt;'V06 Calend 01'!D73),(MOD((112-'V06 Calend 01'!C73),6)=0),(((112-'V06 Calend 01'!C73)/6)&lt;='V06 Calend 01'!E73)),IF((112=('V06 Calend 01'!C73+(6*'V06 Calend 01'!E73))),('V06 Calend 01'!H73-('V06 Calend 01'!I73*('V06 Calend 01'!E73-1))),'V06 Calend 01'!I73),0))+IF((112='V06 Calend 01'!D73),'V06 Calend 01'!J73,0))</f>
        <v>0</v>
      </c>
      <c r="DU73" s="2">
        <f>((IF((113='V06 Calend 01'!C73),('V06 Calend 01'!F73+'V06 Calend 01'!G73),0)+IF(AND(('V06 Calend 01'!E73&gt;0),(113&gt;'V06 Calend 01'!C73),(113&lt;'V06 Calend 01'!D73),(MOD((113-'V06 Calend 01'!C73),6)=0),(((113-'V06 Calend 01'!C73)/6)&lt;='V06 Calend 01'!E73)),IF((113=('V06 Calend 01'!C73+(6*'V06 Calend 01'!E73))),('V06 Calend 01'!H73-('V06 Calend 01'!I73*('V06 Calend 01'!E73-1))),'V06 Calend 01'!I73),0))+IF((113='V06 Calend 01'!D73),'V06 Calend 01'!J73,0))</f>
        <v>0</v>
      </c>
      <c r="DV73" s="2">
        <f>((IF((114='V06 Calend 01'!C73),('V06 Calend 01'!F73+'V06 Calend 01'!G73),0)+IF(AND(('V06 Calend 01'!E73&gt;0),(114&gt;'V06 Calend 01'!C73),(114&lt;'V06 Calend 01'!D73),(MOD((114-'V06 Calend 01'!C73),6)=0),(((114-'V06 Calend 01'!C73)/6)&lt;='V06 Calend 01'!E73)),IF((114=('V06 Calend 01'!C73+(6*'V06 Calend 01'!E73))),('V06 Calend 01'!H73-('V06 Calend 01'!I73*('V06 Calend 01'!E73-1))),'V06 Calend 01'!I73),0))+IF((114='V06 Calend 01'!D73),'V06 Calend 01'!J73,0))</f>
        <v>0</v>
      </c>
      <c r="DW73" s="2">
        <f>((IF((115='V06 Calend 01'!C73),('V06 Calend 01'!F73+'V06 Calend 01'!G73),0)+IF(AND(('V06 Calend 01'!E73&gt;0),(115&gt;'V06 Calend 01'!C73),(115&lt;'V06 Calend 01'!D73),(MOD((115-'V06 Calend 01'!C73),6)=0),(((115-'V06 Calend 01'!C73)/6)&lt;='V06 Calend 01'!E73)),IF((115=('V06 Calend 01'!C73+(6*'V06 Calend 01'!E73))),('V06 Calend 01'!H73-('V06 Calend 01'!I73*('V06 Calend 01'!E73-1))),'V06 Calend 01'!I73),0))+IF((115='V06 Calend 01'!D73),'V06 Calend 01'!J73,0))</f>
        <v>0</v>
      </c>
      <c r="DX73" s="2">
        <f>((IF((116='V06 Calend 01'!C73),('V06 Calend 01'!F73+'V06 Calend 01'!G73),0)+IF(AND(('V06 Calend 01'!E73&gt;0),(116&gt;'V06 Calend 01'!C73),(116&lt;'V06 Calend 01'!D73),(MOD((116-'V06 Calend 01'!C73),6)=0),(((116-'V06 Calend 01'!C73)/6)&lt;='V06 Calend 01'!E73)),IF((116=('V06 Calend 01'!C73+(6*'V06 Calend 01'!E73))),('V06 Calend 01'!H73-('V06 Calend 01'!I73*('V06 Calend 01'!E73-1))),'V06 Calend 01'!I73),0))+IF((116='V06 Calend 01'!D73),'V06 Calend 01'!J73,0))</f>
        <v>0</v>
      </c>
      <c r="DY73" s="2">
        <f>((IF((117='V06 Calend 01'!C73),('V06 Calend 01'!F73+'V06 Calend 01'!G73),0)+IF(AND(('V06 Calend 01'!E73&gt;0),(117&gt;'V06 Calend 01'!C73),(117&lt;'V06 Calend 01'!D73),(MOD((117-'V06 Calend 01'!C73),6)=0),(((117-'V06 Calend 01'!C73)/6)&lt;='V06 Calend 01'!E73)),IF((117=('V06 Calend 01'!C73+(6*'V06 Calend 01'!E73))),('V06 Calend 01'!H73-('V06 Calend 01'!I73*('V06 Calend 01'!E73-1))),'V06 Calend 01'!I73),0))+IF((117='V06 Calend 01'!D73),'V06 Calend 01'!J73,0))</f>
        <v>0</v>
      </c>
      <c r="DZ73" s="2">
        <f>((IF((118='V06 Calend 01'!C73),('V06 Calend 01'!F73+'V06 Calend 01'!G73),0)+IF(AND(('V06 Calend 01'!E73&gt;0),(118&gt;'V06 Calend 01'!C73),(118&lt;'V06 Calend 01'!D73),(MOD((118-'V06 Calend 01'!C73),6)=0),(((118-'V06 Calend 01'!C73)/6)&lt;='V06 Calend 01'!E73)),IF((118=('V06 Calend 01'!C73+(6*'V06 Calend 01'!E73))),('V06 Calend 01'!H73-('V06 Calend 01'!I73*('V06 Calend 01'!E73-1))),'V06 Calend 01'!I73),0))+IF((118='V06 Calend 01'!D73),'V06 Calend 01'!J73,0))</f>
        <v>0</v>
      </c>
      <c r="EA73" s="2">
        <f>((IF((119='V06 Calend 01'!C73),('V06 Calend 01'!F73+'V06 Calend 01'!G73),0)+IF(AND(('V06 Calend 01'!E73&gt;0),(119&gt;'V06 Calend 01'!C73),(119&lt;'V06 Calend 01'!D73),(MOD((119-'V06 Calend 01'!C73),6)=0),(((119-'V06 Calend 01'!C73)/6)&lt;='V06 Calend 01'!E73)),IF((119=('V06 Calend 01'!C73+(6*'V06 Calend 01'!E73))),('V06 Calend 01'!H73-('V06 Calend 01'!I73*('V06 Calend 01'!E73-1))),'V06 Calend 01'!I73),0))+IF((119='V06 Calend 01'!D73),'V06 Calend 01'!J73,0))</f>
        <v>0</v>
      </c>
      <c r="EB73" s="2">
        <f>((IF((120='V06 Calend 01'!C73),('V06 Calend 01'!F73+'V06 Calend 01'!G73),0)+IF(AND(('V06 Calend 01'!E73&gt;0),(120&gt;'V06 Calend 01'!C73),(120&lt;'V06 Calend 01'!D73),(MOD((120-'V06 Calend 01'!C73),6)=0),(((120-'V06 Calend 01'!C73)/6)&lt;='V06 Calend 01'!E73)),IF((120=('V06 Calend 01'!C73+(6*'V06 Calend 01'!E73))),('V06 Calend 01'!H73-('V06 Calend 01'!I73*('V06 Calend 01'!E73-1))),'V06 Calend 01'!I73),0))+IF((120='V06 Calend 01'!D73),'V06 Calend 01'!J73,0))</f>
        <v>0</v>
      </c>
      <c r="EC73" s="2">
        <f>((IF((121='V06 Calend 01'!C73),('V06 Calend 01'!F73+'V06 Calend 01'!G73),0)+IF(AND(('V06 Calend 01'!E73&gt;0),(121&gt;'V06 Calend 01'!C73),(121&lt;'V06 Calend 01'!D73),(MOD((121-'V06 Calend 01'!C73),6)=0),(((121-'V06 Calend 01'!C73)/6)&lt;='V06 Calend 01'!E73)),IF((121=('V06 Calend 01'!C73+(6*'V06 Calend 01'!E73))),('V06 Calend 01'!H73-('V06 Calend 01'!I73*('V06 Calend 01'!E73-1))),'V06 Calend 01'!I73),0))+IF((121='V06 Calend 01'!D73),'V06 Calend 01'!J73,0))</f>
        <v>0</v>
      </c>
      <c r="ED73" s="2">
        <f>((IF((122='V06 Calend 01'!C73),('V06 Calend 01'!F73+'V06 Calend 01'!G73),0)+IF(AND(('V06 Calend 01'!E73&gt;0),(122&gt;'V06 Calend 01'!C73),(122&lt;'V06 Calend 01'!D73),(MOD((122-'V06 Calend 01'!C73),6)=0),(((122-'V06 Calend 01'!C73)/6)&lt;='V06 Calend 01'!E73)),IF((122=('V06 Calend 01'!C73+(6*'V06 Calend 01'!E73))),('V06 Calend 01'!H73-('V06 Calend 01'!I73*('V06 Calend 01'!E73-1))),'V06 Calend 01'!I73),0))+IF((122='V06 Calend 01'!D73),'V06 Calend 01'!J73,0))</f>
        <v>0</v>
      </c>
      <c r="EE73" s="2">
        <f>((IF((123='V06 Calend 01'!C73),('V06 Calend 01'!F73+'V06 Calend 01'!G73),0)+IF(AND(('V06 Calend 01'!E73&gt;0),(123&gt;'V06 Calend 01'!C73),(123&lt;'V06 Calend 01'!D73),(MOD((123-'V06 Calend 01'!C73),6)=0),(((123-'V06 Calend 01'!C73)/6)&lt;='V06 Calend 01'!E73)),IF((123=('V06 Calend 01'!C73+(6*'V06 Calend 01'!E73))),('V06 Calend 01'!H73-('V06 Calend 01'!I73*('V06 Calend 01'!E73-1))),'V06 Calend 01'!I73),0))+IF((123='V06 Calend 01'!D73),'V06 Calend 01'!J73,0))</f>
        <v>0</v>
      </c>
      <c r="EF73" s="2">
        <f>((IF((124='V06 Calend 01'!C73),('V06 Calend 01'!F73+'V06 Calend 01'!G73),0)+IF(AND(('V06 Calend 01'!E73&gt;0),(124&gt;'V06 Calend 01'!C73),(124&lt;'V06 Calend 01'!D73),(MOD((124-'V06 Calend 01'!C73),6)=0),(((124-'V06 Calend 01'!C73)/6)&lt;='V06 Calend 01'!E73)),IF((124=('V06 Calend 01'!C73+(6*'V06 Calend 01'!E73))),('V06 Calend 01'!H73-('V06 Calend 01'!I73*('V06 Calend 01'!E73-1))),'V06 Calend 01'!I73),0))+IF((124='V06 Calend 01'!D73),'V06 Calend 01'!J73,0))</f>
        <v>0</v>
      </c>
      <c r="EG73" s="2">
        <f>((IF((125='V06 Calend 01'!C73),('V06 Calend 01'!F73+'V06 Calend 01'!G73),0)+IF(AND(('V06 Calend 01'!E73&gt;0),(125&gt;'V06 Calend 01'!C73),(125&lt;'V06 Calend 01'!D73),(MOD((125-'V06 Calend 01'!C73),6)=0),(((125-'V06 Calend 01'!C73)/6)&lt;='V06 Calend 01'!E73)),IF((125=('V06 Calend 01'!C73+(6*'V06 Calend 01'!E73))),('V06 Calend 01'!H73-('V06 Calend 01'!I73*('V06 Calend 01'!E73-1))),'V06 Calend 01'!I73),0))+IF((125='V06 Calend 01'!D73),'V06 Calend 01'!J73,0))</f>
        <v>0</v>
      </c>
      <c r="EH73" s="2">
        <f>((IF((126='V06 Calend 01'!C73),('V06 Calend 01'!F73+'V06 Calend 01'!G73),0)+IF(AND(('V06 Calend 01'!E73&gt;0),(126&gt;'V06 Calend 01'!C73),(126&lt;'V06 Calend 01'!D73),(MOD((126-'V06 Calend 01'!C73),6)=0),(((126-'V06 Calend 01'!C73)/6)&lt;='V06 Calend 01'!E73)),IF((126=('V06 Calend 01'!C73+(6*'V06 Calend 01'!E73))),('V06 Calend 01'!H73-('V06 Calend 01'!I73*('V06 Calend 01'!E73-1))),'V06 Calend 01'!I73),0))+IF((126='V06 Calend 01'!D73),'V06 Calend 01'!J73,0))</f>
        <v>0</v>
      </c>
      <c r="EI73" s="2">
        <f>((IF((127='V06 Calend 01'!C73),('V06 Calend 01'!F73+'V06 Calend 01'!G73),0)+IF(AND(('V06 Calend 01'!E73&gt;0),(127&gt;'V06 Calend 01'!C73),(127&lt;'V06 Calend 01'!D73),(MOD((127-'V06 Calend 01'!C73),6)=0),(((127-'V06 Calend 01'!C73)/6)&lt;='V06 Calend 01'!E73)),IF((127=('V06 Calend 01'!C73+(6*'V06 Calend 01'!E73))),('V06 Calend 01'!H73-('V06 Calend 01'!I73*('V06 Calend 01'!E73-1))),'V06 Calend 01'!I73),0))+IF((127='V06 Calend 01'!D73),'V06 Calend 01'!J73,0))</f>
        <v>0</v>
      </c>
      <c r="EJ73" s="2">
        <f>((IF((128='V06 Calend 01'!C73),('V06 Calend 01'!F73+'V06 Calend 01'!G73),0)+IF(AND(('V06 Calend 01'!E73&gt;0),(128&gt;'V06 Calend 01'!C73),(128&lt;'V06 Calend 01'!D73),(MOD((128-'V06 Calend 01'!C73),6)=0),(((128-'V06 Calend 01'!C73)/6)&lt;='V06 Calend 01'!E73)),IF((128=('V06 Calend 01'!C73+(6*'V06 Calend 01'!E73))),('V06 Calend 01'!H73-('V06 Calend 01'!I73*('V06 Calend 01'!E73-1))),'V06 Calend 01'!I73),0))+IF((128='V06 Calend 01'!D73),'V06 Calend 01'!J73,0))</f>
        <v>0</v>
      </c>
      <c r="EK73" s="2">
        <f>((IF((129='V06 Calend 01'!C73),('V06 Calend 01'!F73+'V06 Calend 01'!G73),0)+IF(AND(('V06 Calend 01'!E73&gt;0),(129&gt;'V06 Calend 01'!C73),(129&lt;'V06 Calend 01'!D73),(MOD((129-'V06 Calend 01'!C73),6)=0),(((129-'V06 Calend 01'!C73)/6)&lt;='V06 Calend 01'!E73)),IF((129=('V06 Calend 01'!C73+(6*'V06 Calend 01'!E73))),('V06 Calend 01'!H73-('V06 Calend 01'!I73*('V06 Calend 01'!E73-1))),'V06 Calend 01'!I73),0))+IF((129='V06 Calend 01'!D73),'V06 Calend 01'!J73,0))</f>
        <v>0</v>
      </c>
      <c r="EL73" s="2">
        <f>((IF((130='V06 Calend 01'!C73),('V06 Calend 01'!F73+'V06 Calend 01'!G73),0)+IF(AND(('V06 Calend 01'!E73&gt;0),(130&gt;'V06 Calend 01'!C73),(130&lt;'V06 Calend 01'!D73),(MOD((130-'V06 Calend 01'!C73),6)=0),(((130-'V06 Calend 01'!C73)/6)&lt;='V06 Calend 01'!E73)),IF((130=('V06 Calend 01'!C73+(6*'V06 Calend 01'!E73))),('V06 Calend 01'!H73-('V06 Calend 01'!I73*('V06 Calend 01'!E73-1))),'V06 Calend 01'!I73),0))+IF((130='V06 Calend 01'!D73),'V06 Calend 01'!J73,0))</f>
        <v>0</v>
      </c>
      <c r="EM73" s="2">
        <f>((IF((131='V06 Calend 01'!C73),('V06 Calend 01'!F73+'V06 Calend 01'!G73),0)+IF(AND(('V06 Calend 01'!E73&gt;0),(131&gt;'V06 Calend 01'!C73),(131&lt;'V06 Calend 01'!D73),(MOD((131-'V06 Calend 01'!C73),6)=0),(((131-'V06 Calend 01'!C73)/6)&lt;='V06 Calend 01'!E73)),IF((131=('V06 Calend 01'!C73+(6*'V06 Calend 01'!E73))),('V06 Calend 01'!H73-('V06 Calend 01'!I73*('V06 Calend 01'!E73-1))),'V06 Calend 01'!I73),0))+IF((131='V06 Calend 01'!D73),'V06 Calend 01'!J73,0))</f>
        <v>0</v>
      </c>
      <c r="EN73" s="2">
        <f>((IF((132='V06 Calend 01'!C73),('V06 Calend 01'!F73+'V06 Calend 01'!G73),0)+IF(AND(('V06 Calend 01'!E73&gt;0),(132&gt;'V06 Calend 01'!C73),(132&lt;'V06 Calend 01'!D73),(MOD((132-'V06 Calend 01'!C73),6)=0),(((132-'V06 Calend 01'!C73)/6)&lt;='V06 Calend 01'!E73)),IF((132=('V06 Calend 01'!C73+(6*'V06 Calend 01'!E73))),('V06 Calend 01'!H73-('V06 Calend 01'!I73*('V06 Calend 01'!E73-1))),'V06 Calend 01'!I73),0))+IF((132='V06 Calend 01'!D73),'V06 Calend 01'!J73,0))</f>
        <v>0</v>
      </c>
      <c r="EO73" s="2">
        <f>((IF((133='V06 Calend 01'!C73),('V06 Calend 01'!F73+'V06 Calend 01'!G73),0)+IF(AND(('V06 Calend 01'!E73&gt;0),(133&gt;'V06 Calend 01'!C73),(133&lt;'V06 Calend 01'!D73),(MOD((133-'V06 Calend 01'!C73),6)=0),(((133-'V06 Calend 01'!C73)/6)&lt;='V06 Calend 01'!E73)),IF((133=('V06 Calend 01'!C73+(6*'V06 Calend 01'!E73))),('V06 Calend 01'!H73-('V06 Calend 01'!I73*('V06 Calend 01'!E73-1))),'V06 Calend 01'!I73),0))+IF((133='V06 Calend 01'!D73),'V06 Calend 01'!J73,0))</f>
        <v>0</v>
      </c>
      <c r="EP73" s="2">
        <f>((IF((134='V06 Calend 01'!C73),('V06 Calend 01'!F73+'V06 Calend 01'!G73),0)+IF(AND(('V06 Calend 01'!E73&gt;0),(134&gt;'V06 Calend 01'!C73),(134&lt;'V06 Calend 01'!D73),(MOD((134-'V06 Calend 01'!C73),6)=0),(((134-'V06 Calend 01'!C73)/6)&lt;='V06 Calend 01'!E73)),IF((134=('V06 Calend 01'!C73+(6*'V06 Calend 01'!E73))),('V06 Calend 01'!H73-('V06 Calend 01'!I73*('V06 Calend 01'!E73-1))),'V06 Calend 01'!I73),0))+IF((134='V06 Calend 01'!D73),'V06 Calend 01'!J73,0))</f>
        <v>0</v>
      </c>
      <c r="EQ73" s="2">
        <f>((IF((135='V06 Calend 01'!C73),('V06 Calend 01'!F73+'V06 Calend 01'!G73),0)+IF(AND(('V06 Calend 01'!E73&gt;0),(135&gt;'V06 Calend 01'!C73),(135&lt;'V06 Calend 01'!D73),(MOD((135-'V06 Calend 01'!C73),6)=0),(((135-'V06 Calend 01'!C73)/6)&lt;='V06 Calend 01'!E73)),IF((135=('V06 Calend 01'!C73+(6*'V06 Calend 01'!E73))),('V06 Calend 01'!H73-('V06 Calend 01'!I73*('V06 Calend 01'!E73-1))),'V06 Calend 01'!I73),0))+IF((135='V06 Calend 01'!D73),'V06 Calend 01'!J73,0))</f>
        <v>0</v>
      </c>
      <c r="ER73" s="2">
        <f>((IF((136='V06 Calend 01'!C73),('V06 Calend 01'!F73+'V06 Calend 01'!G73),0)+IF(AND(('V06 Calend 01'!E73&gt;0),(136&gt;'V06 Calend 01'!C73),(136&lt;'V06 Calend 01'!D73),(MOD((136-'V06 Calend 01'!C73),6)=0),(((136-'V06 Calend 01'!C73)/6)&lt;='V06 Calend 01'!E73)),IF((136=('V06 Calend 01'!C73+(6*'V06 Calend 01'!E73))),('V06 Calend 01'!H73-('V06 Calend 01'!I73*('V06 Calend 01'!E73-1))),'V06 Calend 01'!I73),0))+IF((136='V06 Calend 01'!D73),'V06 Calend 01'!J73,0))</f>
        <v>0</v>
      </c>
      <c r="ES73" s="2">
        <f>((IF((137='V06 Calend 01'!C73),('V06 Calend 01'!F73+'V06 Calend 01'!G73),0)+IF(AND(('V06 Calend 01'!E73&gt;0),(137&gt;'V06 Calend 01'!C73),(137&lt;'V06 Calend 01'!D73),(MOD((137-'V06 Calend 01'!C73),6)=0),(((137-'V06 Calend 01'!C73)/6)&lt;='V06 Calend 01'!E73)),IF((137=('V06 Calend 01'!C73+(6*'V06 Calend 01'!E73))),('V06 Calend 01'!H73-('V06 Calend 01'!I73*('V06 Calend 01'!E73-1))),'V06 Calend 01'!I73),0))+IF((137='V06 Calend 01'!D73),'V06 Calend 01'!J73,0))</f>
        <v>0</v>
      </c>
      <c r="ET73" s="2">
        <f>((IF((138='V06 Calend 01'!C73),('V06 Calend 01'!F73+'V06 Calend 01'!G73),0)+IF(AND(('V06 Calend 01'!E73&gt;0),(138&gt;'V06 Calend 01'!C73),(138&lt;'V06 Calend 01'!D73),(MOD((138-'V06 Calend 01'!C73),6)=0),(((138-'V06 Calend 01'!C73)/6)&lt;='V06 Calend 01'!E73)),IF((138=('V06 Calend 01'!C73+(6*'V06 Calend 01'!E73))),('V06 Calend 01'!H73-('V06 Calend 01'!I73*('V06 Calend 01'!E73-1))),'V06 Calend 01'!I73),0))+IF((138='V06 Calend 01'!D73),'V06 Calend 01'!J73,0))</f>
        <v>0</v>
      </c>
      <c r="EU73" s="2">
        <f>((IF((139='V06 Calend 01'!C73),('V06 Calend 01'!F73+'V06 Calend 01'!G73),0)+IF(AND(('V06 Calend 01'!E73&gt;0),(139&gt;'V06 Calend 01'!C73),(139&lt;'V06 Calend 01'!D73),(MOD((139-'V06 Calend 01'!C73),6)=0),(((139-'V06 Calend 01'!C73)/6)&lt;='V06 Calend 01'!E73)),IF((139=('V06 Calend 01'!C73+(6*'V06 Calend 01'!E73))),('V06 Calend 01'!H73-('V06 Calend 01'!I73*('V06 Calend 01'!E73-1))),'V06 Calend 01'!I73),0))+IF((139='V06 Calend 01'!D73),'V06 Calend 01'!J73,0))</f>
        <v>0</v>
      </c>
      <c r="EV73" s="2">
        <f>((IF((140='V06 Calend 01'!C73),('V06 Calend 01'!F73+'V06 Calend 01'!G73),0)+IF(AND(('V06 Calend 01'!E73&gt;0),(140&gt;'V06 Calend 01'!C73),(140&lt;'V06 Calend 01'!D73),(MOD((140-'V06 Calend 01'!C73),6)=0),(((140-'V06 Calend 01'!C73)/6)&lt;='V06 Calend 01'!E73)),IF((140=('V06 Calend 01'!C73+(6*'V06 Calend 01'!E73))),('V06 Calend 01'!H73-('V06 Calend 01'!I73*('V06 Calend 01'!E73-1))),'V06 Calend 01'!I73),0))+IF((140='V06 Calend 01'!D73),'V06 Calend 01'!J73,0))</f>
        <v>0</v>
      </c>
      <c r="EW73" s="2">
        <f>((IF((141='V06 Calend 01'!C73),('V06 Calend 01'!F73+'V06 Calend 01'!G73),0)+IF(AND(('V06 Calend 01'!E73&gt;0),(141&gt;'V06 Calend 01'!C73),(141&lt;'V06 Calend 01'!D73),(MOD((141-'V06 Calend 01'!C73),6)=0),(((141-'V06 Calend 01'!C73)/6)&lt;='V06 Calend 01'!E73)),IF((141=('V06 Calend 01'!C73+(6*'V06 Calend 01'!E73))),('V06 Calend 01'!H73-('V06 Calend 01'!I73*('V06 Calend 01'!E73-1))),'V06 Calend 01'!I73),0))+IF((141='V06 Calend 01'!D73),'V06 Calend 01'!J73,0))</f>
        <v>0</v>
      </c>
      <c r="EX73" s="2">
        <f>((IF((142='V06 Calend 01'!C73),('V06 Calend 01'!F73+'V06 Calend 01'!G73),0)+IF(AND(('V06 Calend 01'!E73&gt;0),(142&gt;'V06 Calend 01'!C73),(142&lt;'V06 Calend 01'!D73),(MOD((142-'V06 Calend 01'!C73),6)=0),(((142-'V06 Calend 01'!C73)/6)&lt;='V06 Calend 01'!E73)),IF((142=('V06 Calend 01'!C73+(6*'V06 Calend 01'!E73))),('V06 Calend 01'!H73-('V06 Calend 01'!I73*('V06 Calend 01'!E73-1))),'V06 Calend 01'!I73),0))+IF((142='V06 Calend 01'!D73),'V06 Calend 01'!J73,0))</f>
        <v>0</v>
      </c>
      <c r="EY73" s="2">
        <f>((IF((143='V06 Calend 01'!C73),('V06 Calend 01'!F73+'V06 Calend 01'!G73),0)+IF(AND(('V06 Calend 01'!E73&gt;0),(143&gt;'V06 Calend 01'!C73),(143&lt;'V06 Calend 01'!D73),(MOD((143-'V06 Calend 01'!C73),6)=0),(((143-'V06 Calend 01'!C73)/6)&lt;='V06 Calend 01'!E73)),IF((143=('V06 Calend 01'!C73+(6*'V06 Calend 01'!E73))),('V06 Calend 01'!H73-('V06 Calend 01'!I73*('V06 Calend 01'!E73-1))),'V06 Calend 01'!I73),0))+IF((143='V06 Calend 01'!D73),'V06 Calend 01'!J73,0))</f>
        <v>0</v>
      </c>
      <c r="EZ73" s="2">
        <f>((IF((144='V06 Calend 01'!C73),('V06 Calend 01'!F73+'V06 Calend 01'!G73),0)+IF(AND(('V06 Calend 01'!E73&gt;0),(144&gt;'V06 Calend 01'!C73),(144&lt;'V06 Calend 01'!D73),(MOD((144-'V06 Calend 01'!C73),6)=0),(((144-'V06 Calend 01'!C73)/6)&lt;='V06 Calend 01'!E73)),IF((144=('V06 Calend 01'!C73+(6*'V06 Calend 01'!E73))),('V06 Calend 01'!H73-('V06 Calend 01'!I73*('V06 Calend 01'!E73-1))),'V06 Calend 01'!I73),0))+IF((144='V06 Calend 01'!D73),'V06 Calend 01'!J73,0))</f>
        <v>0</v>
      </c>
      <c r="FA73" s="2">
        <f>((IF((145='V06 Calend 01'!C73),('V06 Calend 01'!F73+'V06 Calend 01'!G73),0)+IF(AND(('V06 Calend 01'!E73&gt;0),(145&gt;'V06 Calend 01'!C73),(145&lt;'V06 Calend 01'!D73),(MOD((145-'V06 Calend 01'!C73),6)=0),(((145-'V06 Calend 01'!C73)/6)&lt;='V06 Calend 01'!E73)),IF((145=('V06 Calend 01'!C73+(6*'V06 Calend 01'!E73))),('V06 Calend 01'!H73-('V06 Calend 01'!I73*('V06 Calend 01'!E73-1))),'V06 Calend 01'!I73),0))+IF((145='V06 Calend 01'!D73),'V06 Calend 01'!J73,0))</f>
        <v>0</v>
      </c>
      <c r="FB73" s="2">
        <f>((IF((146='V06 Calend 01'!C73),('V06 Calend 01'!F73+'V06 Calend 01'!G73),0)+IF(AND(('V06 Calend 01'!E73&gt;0),(146&gt;'V06 Calend 01'!C73),(146&lt;'V06 Calend 01'!D73),(MOD((146-'V06 Calend 01'!C73),6)=0),(((146-'V06 Calend 01'!C73)/6)&lt;='V06 Calend 01'!E73)),IF((146=('V06 Calend 01'!C73+(6*'V06 Calend 01'!E73))),('V06 Calend 01'!H73-('V06 Calend 01'!I73*('V06 Calend 01'!E73-1))),'V06 Calend 01'!I73),0))+IF((146='V06 Calend 01'!D73),'V06 Calend 01'!J73,0))</f>
        <v>0</v>
      </c>
      <c r="FC73" s="2">
        <f>((IF((147='V06 Calend 01'!C73),('V06 Calend 01'!F73+'V06 Calend 01'!G73),0)+IF(AND(('V06 Calend 01'!E73&gt;0),(147&gt;'V06 Calend 01'!C73),(147&lt;'V06 Calend 01'!D73),(MOD((147-'V06 Calend 01'!C73),6)=0),(((147-'V06 Calend 01'!C73)/6)&lt;='V06 Calend 01'!E73)),IF((147=('V06 Calend 01'!C73+(6*'V06 Calend 01'!E73))),('V06 Calend 01'!H73-('V06 Calend 01'!I73*('V06 Calend 01'!E73-1))),'V06 Calend 01'!I73),0))+IF((147='V06 Calend 01'!D73),'V06 Calend 01'!J73,0))</f>
        <v>0</v>
      </c>
      <c r="FD73" s="2">
        <f>((IF((148='V06 Calend 01'!C73),('V06 Calend 01'!F73+'V06 Calend 01'!G73),0)+IF(AND(('V06 Calend 01'!E73&gt;0),(148&gt;'V06 Calend 01'!C73),(148&lt;'V06 Calend 01'!D73),(MOD((148-'V06 Calend 01'!C73),6)=0),(((148-'V06 Calend 01'!C73)/6)&lt;='V06 Calend 01'!E73)),IF((148=('V06 Calend 01'!C73+(6*'V06 Calend 01'!E73))),('V06 Calend 01'!H73-('V06 Calend 01'!I73*('V06 Calend 01'!E73-1))),'V06 Calend 01'!I73),0))+IF((148='V06 Calend 01'!D73),'V06 Calend 01'!J73,0))</f>
        <v>0</v>
      </c>
      <c r="FE73" s="2">
        <f>((IF((149='V06 Calend 01'!C73),('V06 Calend 01'!F73+'V06 Calend 01'!G73),0)+IF(AND(('V06 Calend 01'!E73&gt;0),(149&gt;'V06 Calend 01'!C73),(149&lt;'V06 Calend 01'!D73),(MOD((149-'V06 Calend 01'!C73),6)=0),(((149-'V06 Calend 01'!C73)/6)&lt;='V06 Calend 01'!E73)),IF((149=('V06 Calend 01'!C73+(6*'V06 Calend 01'!E73))),('V06 Calend 01'!H73-('V06 Calend 01'!I73*('V06 Calend 01'!E73-1))),'V06 Calend 01'!I73),0))+IF((149='V06 Calend 01'!D73),'V06 Calend 01'!J73,0))</f>
        <v>0</v>
      </c>
      <c r="FF73" s="2">
        <f>((IF((150='V06 Calend 01'!C73),('V06 Calend 01'!F73+'V06 Calend 01'!G73),0)+IF(AND(('V06 Calend 01'!E73&gt;0),(150&gt;'V06 Calend 01'!C73),(150&lt;'V06 Calend 01'!D73),(MOD((150-'V06 Calend 01'!C73),6)=0),(((150-'V06 Calend 01'!C73)/6)&lt;='V06 Calend 01'!E73)),IF((150=('V06 Calend 01'!C73+(6*'V06 Calend 01'!E73))),('V06 Calend 01'!H73-('V06 Calend 01'!I73*('V06 Calend 01'!E73-1))),'V06 Calend 01'!I73),0))+IF((150='V06 Calend 01'!D73),'V06 Calend 01'!J73,0))</f>
        <v>0</v>
      </c>
      <c r="FG73" s="2">
        <f>((IF((151='V06 Calend 01'!C73),('V06 Calend 01'!F73+'V06 Calend 01'!G73),0)+IF(AND(('V06 Calend 01'!E73&gt;0),(151&gt;'V06 Calend 01'!C73),(151&lt;'V06 Calend 01'!D73),(MOD((151-'V06 Calend 01'!C73),6)=0),(((151-'V06 Calend 01'!C73)/6)&lt;='V06 Calend 01'!E73)),IF((151=('V06 Calend 01'!C73+(6*'V06 Calend 01'!E73))),('V06 Calend 01'!H73-('V06 Calend 01'!I73*('V06 Calend 01'!E73-1))),'V06 Calend 01'!I73),0))+IF((151='V06 Calend 01'!D73),'V06 Calend 01'!J73,0))</f>
        <v>0</v>
      </c>
      <c r="FH73" s="2">
        <f>((IF((152='V06 Calend 01'!C73),('V06 Calend 01'!F73+'V06 Calend 01'!G73),0)+IF(AND(('V06 Calend 01'!E73&gt;0),(152&gt;'V06 Calend 01'!C73),(152&lt;'V06 Calend 01'!D73),(MOD((152-'V06 Calend 01'!C73),6)=0),(((152-'V06 Calend 01'!C73)/6)&lt;='V06 Calend 01'!E73)),IF((152=('V06 Calend 01'!C73+(6*'V06 Calend 01'!E73))),('V06 Calend 01'!H73-('V06 Calend 01'!I73*('V06 Calend 01'!E73-1))),'V06 Calend 01'!I73),0))+IF((152='V06 Calend 01'!D73),'V06 Calend 01'!J73,0))</f>
        <v>0</v>
      </c>
      <c r="FI73" s="2">
        <f>((IF((153='V06 Calend 01'!C73),('V06 Calend 01'!F73+'V06 Calend 01'!G73),0)+IF(AND(('V06 Calend 01'!E73&gt;0),(153&gt;'V06 Calend 01'!C73),(153&lt;'V06 Calend 01'!D73),(MOD((153-'V06 Calend 01'!C73),6)=0),(((153-'V06 Calend 01'!C73)/6)&lt;='V06 Calend 01'!E73)),IF((153=('V06 Calend 01'!C73+(6*'V06 Calend 01'!E73))),('V06 Calend 01'!H73-('V06 Calend 01'!I73*('V06 Calend 01'!E73-1))),'V06 Calend 01'!I73),0))+IF((153='V06 Calend 01'!D73),'V06 Calend 01'!J73,0))</f>
        <v>0</v>
      </c>
      <c r="FJ73" s="2">
        <f>((IF((154='V06 Calend 01'!C73),('V06 Calend 01'!F73+'V06 Calend 01'!G73),0)+IF(AND(('V06 Calend 01'!E73&gt;0),(154&gt;'V06 Calend 01'!C73),(154&lt;'V06 Calend 01'!D73),(MOD((154-'V06 Calend 01'!C73),6)=0),(((154-'V06 Calend 01'!C73)/6)&lt;='V06 Calend 01'!E73)),IF((154=('V06 Calend 01'!C73+(6*'V06 Calend 01'!E73))),('V06 Calend 01'!H73-('V06 Calend 01'!I73*('V06 Calend 01'!E73-1))),'V06 Calend 01'!I73),0))+IF((154='V06 Calend 01'!D73),'V06 Calend 01'!J73,0))</f>
        <v>0</v>
      </c>
      <c r="FK73" s="2">
        <f>((IF((155='V06 Calend 01'!C73),('V06 Calend 01'!F73+'V06 Calend 01'!G73),0)+IF(AND(('V06 Calend 01'!E73&gt;0),(155&gt;'V06 Calend 01'!C73),(155&lt;'V06 Calend 01'!D73),(MOD((155-'V06 Calend 01'!C73),6)=0),(((155-'V06 Calend 01'!C73)/6)&lt;='V06 Calend 01'!E73)),IF((155=('V06 Calend 01'!C73+(6*'V06 Calend 01'!E73))),('V06 Calend 01'!H73-('V06 Calend 01'!I73*('V06 Calend 01'!E73-1))),'V06 Calend 01'!I73),0))+IF((155='V06 Calend 01'!D73),'V06 Calend 01'!J73,0))</f>
        <v>0</v>
      </c>
      <c r="FL73" s="2">
        <f>((IF((156='V06 Calend 01'!C73),('V06 Calend 01'!F73+'V06 Calend 01'!G73),0)+IF(AND(('V06 Calend 01'!E73&gt;0),(156&gt;'V06 Calend 01'!C73),(156&lt;'V06 Calend 01'!D73),(MOD((156-'V06 Calend 01'!C73),6)=0),(((156-'V06 Calend 01'!C73)/6)&lt;='V06 Calend 01'!E73)),IF((156=('V06 Calend 01'!C73+(6*'V06 Calend 01'!E73))),('V06 Calend 01'!H73-('V06 Calend 01'!I73*('V06 Calend 01'!E73-1))),'V06 Calend 01'!I73),0))+IF((156='V06 Calend 01'!D73),'V06 Calend 01'!J73,0))</f>
        <v>0</v>
      </c>
      <c r="FM73" s="2">
        <f>((IF((157='V06 Calend 01'!C73),('V06 Calend 01'!F73+'V06 Calend 01'!G73),0)+IF(AND(('V06 Calend 01'!E73&gt;0),(157&gt;'V06 Calend 01'!C73),(157&lt;'V06 Calend 01'!D73),(MOD((157-'V06 Calend 01'!C73),6)=0),(((157-'V06 Calend 01'!C73)/6)&lt;='V06 Calend 01'!E73)),IF((157=('V06 Calend 01'!C73+(6*'V06 Calend 01'!E73))),('V06 Calend 01'!H73-('V06 Calend 01'!I73*('V06 Calend 01'!E73-1))),'V06 Calend 01'!I73),0))+IF((157='V06 Calend 01'!D73),'V06 Calend 01'!J73,0))</f>
        <v>0</v>
      </c>
      <c r="FN73" s="2">
        <f>((IF((158='V06 Calend 01'!C73),('V06 Calend 01'!F73+'V06 Calend 01'!G73),0)+IF(AND(('V06 Calend 01'!E73&gt;0),(158&gt;'V06 Calend 01'!C73),(158&lt;'V06 Calend 01'!D73),(MOD((158-'V06 Calend 01'!C73),6)=0),(((158-'V06 Calend 01'!C73)/6)&lt;='V06 Calend 01'!E73)),IF((158=('V06 Calend 01'!C73+(6*'V06 Calend 01'!E73))),('V06 Calend 01'!H73-('V06 Calend 01'!I73*('V06 Calend 01'!E73-1))),'V06 Calend 01'!I73),0))+IF((158='V06 Calend 01'!D73),'V06 Calend 01'!J73,0))</f>
        <v>0</v>
      </c>
      <c r="FO73" s="2">
        <f>((IF((159='V06 Calend 01'!C73),('V06 Calend 01'!F73+'V06 Calend 01'!G73),0)+IF(AND(('V06 Calend 01'!E73&gt;0),(159&gt;'V06 Calend 01'!C73),(159&lt;'V06 Calend 01'!D73),(MOD((159-'V06 Calend 01'!C73),6)=0),(((159-'V06 Calend 01'!C73)/6)&lt;='V06 Calend 01'!E73)),IF((159=('V06 Calend 01'!C73+(6*'V06 Calend 01'!E73))),('V06 Calend 01'!H73-('V06 Calend 01'!I73*('V06 Calend 01'!E73-1))),'V06 Calend 01'!I73),0))+IF((159='V06 Calend 01'!D73),'V06 Calend 01'!J73,0))</f>
        <v>0</v>
      </c>
      <c r="FP73" s="2">
        <f>((IF((160='V06 Calend 01'!C73),('V06 Calend 01'!F73+'V06 Calend 01'!G73),0)+IF(AND(('V06 Calend 01'!E73&gt;0),(160&gt;'V06 Calend 01'!C73),(160&lt;'V06 Calend 01'!D73),(MOD((160-'V06 Calend 01'!C73),6)=0),(((160-'V06 Calend 01'!C73)/6)&lt;='V06 Calend 01'!E73)),IF((160=('V06 Calend 01'!C73+(6*'V06 Calend 01'!E73))),('V06 Calend 01'!H73-('V06 Calend 01'!I73*('V06 Calend 01'!E73-1))),'V06 Calend 01'!I73),0))+IF((160='V06 Calend 01'!D73),'V06 Calend 01'!J73,0))</f>
        <v>0</v>
      </c>
      <c r="FQ73" s="2">
        <f>((IF((161='V06 Calend 01'!C73),('V06 Calend 01'!F73+'V06 Calend 01'!G73),0)+IF(AND(('V06 Calend 01'!E73&gt;0),(161&gt;'V06 Calend 01'!C73),(161&lt;'V06 Calend 01'!D73),(MOD((161-'V06 Calend 01'!C73),6)=0),(((161-'V06 Calend 01'!C73)/6)&lt;='V06 Calend 01'!E73)),IF((161=('V06 Calend 01'!C73+(6*'V06 Calend 01'!E73))),('V06 Calend 01'!H73-('V06 Calend 01'!I73*('V06 Calend 01'!E73-1))),'V06 Calend 01'!I73),0))+IF((161='V06 Calend 01'!D73),'V06 Calend 01'!J73,0))</f>
        <v>0</v>
      </c>
      <c r="FR73" s="2">
        <f>((IF((162='V06 Calend 01'!C73),('V06 Calend 01'!F73+'V06 Calend 01'!G73),0)+IF(AND(('V06 Calend 01'!E73&gt;0),(162&gt;'V06 Calend 01'!C73),(162&lt;'V06 Calend 01'!D73),(MOD((162-'V06 Calend 01'!C73),6)=0),(((162-'V06 Calend 01'!C73)/6)&lt;='V06 Calend 01'!E73)),IF((162=('V06 Calend 01'!C73+(6*'V06 Calend 01'!E73))),('V06 Calend 01'!H73-('V06 Calend 01'!I73*('V06 Calend 01'!E73-1))),'V06 Calend 01'!I73),0))+IF((162='V06 Calend 01'!D73),'V06 Calend 01'!J73,0))</f>
        <v>0</v>
      </c>
      <c r="FS73" s="2">
        <f>((IF((163='V06 Calend 01'!C73),('V06 Calend 01'!F73+'V06 Calend 01'!G73),0)+IF(AND(('V06 Calend 01'!E73&gt;0),(163&gt;'V06 Calend 01'!C73),(163&lt;'V06 Calend 01'!D73),(MOD((163-'V06 Calend 01'!C73),6)=0),(((163-'V06 Calend 01'!C73)/6)&lt;='V06 Calend 01'!E73)),IF((163=('V06 Calend 01'!C73+(6*'V06 Calend 01'!E73))),('V06 Calend 01'!H73-('V06 Calend 01'!I73*('V06 Calend 01'!E73-1))),'V06 Calend 01'!I73),0))+IF((163='V06 Calend 01'!D73),'V06 Calend 01'!J73,0))</f>
        <v>0</v>
      </c>
      <c r="FT73" s="2">
        <f>((IF((164='V06 Calend 01'!C73),('V06 Calend 01'!F73+'V06 Calend 01'!G73),0)+IF(AND(('V06 Calend 01'!E73&gt;0),(164&gt;'V06 Calend 01'!C73),(164&lt;'V06 Calend 01'!D73),(MOD((164-'V06 Calend 01'!C73),6)=0),(((164-'V06 Calend 01'!C73)/6)&lt;='V06 Calend 01'!E73)),IF((164=('V06 Calend 01'!C73+(6*'V06 Calend 01'!E73))),('V06 Calend 01'!H73-('V06 Calend 01'!I73*('V06 Calend 01'!E73-1))),'V06 Calend 01'!I73),0))+IF((164='V06 Calend 01'!D73),'V06 Calend 01'!J73,0))</f>
        <v>0</v>
      </c>
      <c r="FU73" s="2">
        <f>((IF((165='V06 Calend 01'!C73),('V06 Calend 01'!F73+'V06 Calend 01'!G73),0)+IF(AND(('V06 Calend 01'!E73&gt;0),(165&gt;'V06 Calend 01'!C73),(165&lt;'V06 Calend 01'!D73),(MOD((165-'V06 Calend 01'!C73),6)=0),(((165-'V06 Calend 01'!C73)/6)&lt;='V06 Calend 01'!E73)),IF((165=('V06 Calend 01'!C73+(6*'V06 Calend 01'!E73))),('V06 Calend 01'!H73-('V06 Calend 01'!I73*('V06 Calend 01'!E73-1))),'V06 Calend 01'!I73),0))+IF((165='V06 Calend 01'!D73),'V06 Calend 01'!J73,0))</f>
        <v>0</v>
      </c>
      <c r="FV73" s="2">
        <f>((IF((166='V06 Calend 01'!C73),('V06 Calend 01'!F73+'V06 Calend 01'!G73),0)+IF(AND(('V06 Calend 01'!E73&gt;0),(166&gt;'V06 Calend 01'!C73),(166&lt;'V06 Calend 01'!D73),(MOD((166-'V06 Calend 01'!C73),6)=0),(((166-'V06 Calend 01'!C73)/6)&lt;='V06 Calend 01'!E73)),IF((166=('V06 Calend 01'!C73+(6*'V06 Calend 01'!E73))),('V06 Calend 01'!H73-('V06 Calend 01'!I73*('V06 Calend 01'!E73-1))),'V06 Calend 01'!I73),0))+IF((166='V06 Calend 01'!D73),'V06 Calend 01'!J73,0))</f>
        <v>0</v>
      </c>
      <c r="FW73" s="2">
        <f>((IF((167='V06 Calend 01'!C73),('V06 Calend 01'!F73+'V06 Calend 01'!G73),0)+IF(AND(('V06 Calend 01'!E73&gt;0),(167&gt;'V06 Calend 01'!C73),(167&lt;'V06 Calend 01'!D73),(MOD((167-'V06 Calend 01'!C73),6)=0),(((167-'V06 Calend 01'!C73)/6)&lt;='V06 Calend 01'!E73)),IF((167=('V06 Calend 01'!C73+(6*'V06 Calend 01'!E73))),('V06 Calend 01'!H73-('V06 Calend 01'!I73*('V06 Calend 01'!E73-1))),'V06 Calend 01'!I73),0))+IF((167='V06 Calend 01'!D73),'V06 Calend 01'!J73,0))</f>
        <v>0</v>
      </c>
      <c r="FX73" s="2">
        <f>((IF((168='V06 Calend 01'!C73),('V06 Calend 01'!F73+'V06 Calend 01'!G73),0)+IF(AND(('V06 Calend 01'!E73&gt;0),(168&gt;'V06 Calend 01'!C73),(168&lt;'V06 Calend 01'!D73),(MOD((168-'V06 Calend 01'!C73),6)=0),(((168-'V06 Calend 01'!C73)/6)&lt;='V06 Calend 01'!E73)),IF((168=('V06 Calend 01'!C73+(6*'V06 Calend 01'!E73))),('V06 Calend 01'!H73-('V06 Calend 01'!I73*('V06 Calend 01'!E73-1))),'V06 Calend 01'!I73),0))+IF((168='V06 Calend 01'!D73),'V06 Calend 01'!J73,0))</f>
        <v>0</v>
      </c>
      <c r="FY73" s="2">
        <f>((IF((169='V06 Calend 01'!C73),('V06 Calend 01'!F73+'V06 Calend 01'!G73),0)+IF(AND(('V06 Calend 01'!E73&gt;0),(169&gt;'V06 Calend 01'!C73),(169&lt;'V06 Calend 01'!D73),(MOD((169-'V06 Calend 01'!C73),6)=0),(((169-'V06 Calend 01'!C73)/6)&lt;='V06 Calend 01'!E73)),IF((169=('V06 Calend 01'!C73+(6*'V06 Calend 01'!E73))),('V06 Calend 01'!H73-('V06 Calend 01'!I73*('V06 Calend 01'!E73-1))),'V06 Calend 01'!I73),0))+IF((169='V06 Calend 01'!D73),'V06 Calend 01'!J73,0))</f>
        <v>0</v>
      </c>
      <c r="FZ73" s="2">
        <f>((IF((170='V06 Calend 01'!C73),('V06 Calend 01'!F73+'V06 Calend 01'!G73),0)+IF(AND(('V06 Calend 01'!E73&gt;0),(170&gt;'V06 Calend 01'!C73),(170&lt;'V06 Calend 01'!D73),(MOD((170-'V06 Calend 01'!C73),6)=0),(((170-'V06 Calend 01'!C73)/6)&lt;='V06 Calend 01'!E73)),IF((170=('V06 Calend 01'!C73+(6*'V06 Calend 01'!E73))),('V06 Calend 01'!H73-('V06 Calend 01'!I73*('V06 Calend 01'!E73-1))),'V06 Calend 01'!I73),0))+IF((170='V06 Calend 01'!D73),'V06 Calend 01'!J73,0))</f>
        <v>0</v>
      </c>
      <c r="GA73" s="2">
        <f>((IF((171='V06 Calend 01'!C73),('V06 Calend 01'!F73+'V06 Calend 01'!G73),0)+IF(AND(('V06 Calend 01'!E73&gt;0),(171&gt;'V06 Calend 01'!C73),(171&lt;'V06 Calend 01'!D73),(MOD((171-'V06 Calend 01'!C73),6)=0),(((171-'V06 Calend 01'!C73)/6)&lt;='V06 Calend 01'!E73)),IF((171=('V06 Calend 01'!C73+(6*'V06 Calend 01'!E73))),('V06 Calend 01'!H73-('V06 Calend 01'!I73*('V06 Calend 01'!E73-1))),'V06 Calend 01'!I73),0))+IF((171='V06 Calend 01'!D73),'V06 Calend 01'!J73,0))</f>
        <v>0</v>
      </c>
      <c r="GB73" s="2">
        <f>((IF((172='V06 Calend 01'!C73),('V06 Calend 01'!F73+'V06 Calend 01'!G73),0)+IF(AND(('V06 Calend 01'!E73&gt;0),(172&gt;'V06 Calend 01'!C73),(172&lt;'V06 Calend 01'!D73),(MOD((172-'V06 Calend 01'!C73),6)=0),(((172-'V06 Calend 01'!C73)/6)&lt;='V06 Calend 01'!E73)),IF((172=('V06 Calend 01'!C73+(6*'V06 Calend 01'!E73))),('V06 Calend 01'!H73-('V06 Calend 01'!I73*('V06 Calend 01'!E73-1))),'V06 Calend 01'!I73),0))+IF((172='V06 Calend 01'!D73),'V06 Calend 01'!J73,0))</f>
        <v>0</v>
      </c>
      <c r="GC73" s="2">
        <f>((IF((173='V06 Calend 01'!C73),('V06 Calend 01'!F73+'V06 Calend 01'!G73),0)+IF(AND(('V06 Calend 01'!E73&gt;0),(173&gt;'V06 Calend 01'!C73),(173&lt;'V06 Calend 01'!D73),(MOD((173-'V06 Calend 01'!C73),6)=0),(((173-'V06 Calend 01'!C73)/6)&lt;='V06 Calend 01'!E73)),IF((173=('V06 Calend 01'!C73+(6*'V06 Calend 01'!E73))),('V06 Calend 01'!H73-('V06 Calend 01'!I73*('V06 Calend 01'!E73-1))),'V06 Calend 01'!I73),0))+IF((173='V06 Calend 01'!D73),'V06 Calend 01'!J73,0))</f>
        <v>0</v>
      </c>
      <c r="GD73" s="2">
        <f>((IF((174='V06 Calend 01'!C73),('V06 Calend 01'!F73+'V06 Calend 01'!G73),0)+IF(AND(('V06 Calend 01'!E73&gt;0),(174&gt;'V06 Calend 01'!C73),(174&lt;'V06 Calend 01'!D73),(MOD((174-'V06 Calend 01'!C73),6)=0),(((174-'V06 Calend 01'!C73)/6)&lt;='V06 Calend 01'!E73)),IF((174=('V06 Calend 01'!C73+(6*'V06 Calend 01'!E73))),('V06 Calend 01'!H73-('V06 Calend 01'!I73*('V06 Calend 01'!E73-1))),'V06 Calend 01'!I73),0))+IF((174='V06 Calend 01'!D73),'V06 Calend 01'!J73,0))</f>
        <v>0</v>
      </c>
      <c r="GE73" s="2">
        <f>((IF((175='V06 Calend 01'!C73),('V06 Calend 01'!F73+'V06 Calend 01'!G73),0)+IF(AND(('V06 Calend 01'!E73&gt;0),(175&gt;'V06 Calend 01'!C73),(175&lt;'V06 Calend 01'!D73),(MOD((175-'V06 Calend 01'!C73),6)=0),(((175-'V06 Calend 01'!C73)/6)&lt;='V06 Calend 01'!E73)),IF((175=('V06 Calend 01'!C73+(6*'V06 Calend 01'!E73))),('V06 Calend 01'!H73-('V06 Calend 01'!I73*('V06 Calend 01'!E73-1))),'V06 Calend 01'!I73),0))+IF((175='V06 Calend 01'!D73),'V06 Calend 01'!J73,0))</f>
        <v>0</v>
      </c>
      <c r="GF73" s="2">
        <f>((IF((176='V06 Calend 01'!C73),('V06 Calend 01'!F73+'V06 Calend 01'!G73),0)+IF(AND(('V06 Calend 01'!E73&gt;0),(176&gt;'V06 Calend 01'!C73),(176&lt;'V06 Calend 01'!D73),(MOD((176-'V06 Calend 01'!C73),6)=0),(((176-'V06 Calend 01'!C73)/6)&lt;='V06 Calend 01'!E73)),IF((176=('V06 Calend 01'!C73+(6*'V06 Calend 01'!E73))),('V06 Calend 01'!H73-('V06 Calend 01'!I73*('V06 Calend 01'!E73-1))),'V06 Calend 01'!I73),0))+IF((176='V06 Calend 01'!D73),'V06 Calend 01'!J73,0))</f>
        <v>0</v>
      </c>
      <c r="GG73" s="2">
        <f>((IF((177='V06 Calend 01'!C73),('V06 Calend 01'!F73+'V06 Calend 01'!G73),0)+IF(AND(('V06 Calend 01'!E73&gt;0),(177&gt;'V06 Calend 01'!C73),(177&lt;'V06 Calend 01'!D73),(MOD((177-'V06 Calend 01'!C73),6)=0),(((177-'V06 Calend 01'!C73)/6)&lt;='V06 Calend 01'!E73)),IF((177=('V06 Calend 01'!C73+(6*'V06 Calend 01'!E73))),('V06 Calend 01'!H73-('V06 Calend 01'!I73*('V06 Calend 01'!E73-1))),'V06 Calend 01'!I73),0))+IF((177='V06 Calend 01'!D73),'V06 Calend 01'!J73,0))</f>
        <v>0</v>
      </c>
      <c r="GH73" s="2">
        <f>((IF((178='V06 Calend 01'!C73),('V06 Calend 01'!F73+'V06 Calend 01'!G73),0)+IF(AND(('V06 Calend 01'!E73&gt;0),(178&gt;'V06 Calend 01'!C73),(178&lt;'V06 Calend 01'!D73),(MOD((178-'V06 Calend 01'!C73),6)=0),(((178-'V06 Calend 01'!C73)/6)&lt;='V06 Calend 01'!E73)),IF((178=('V06 Calend 01'!C73+(6*'V06 Calend 01'!E73))),('V06 Calend 01'!H73-('V06 Calend 01'!I73*('V06 Calend 01'!E73-1))),'V06 Calend 01'!I73),0))+IF((178='V06 Calend 01'!D73),'V06 Calend 01'!J73,0))</f>
        <v>0</v>
      </c>
      <c r="GI73" s="2">
        <f>((IF((179='V06 Calend 01'!C73),('V06 Calend 01'!F73+'V06 Calend 01'!G73),0)+IF(AND(('V06 Calend 01'!E73&gt;0),(179&gt;'V06 Calend 01'!C73),(179&lt;'V06 Calend 01'!D73),(MOD((179-'V06 Calend 01'!C73),6)=0),(((179-'V06 Calend 01'!C73)/6)&lt;='V06 Calend 01'!E73)),IF((179=('V06 Calend 01'!C73+(6*'V06 Calend 01'!E73))),('V06 Calend 01'!H73-('V06 Calend 01'!I73*('V06 Calend 01'!E73-1))),'V06 Calend 01'!I73),0))+IF((179='V06 Calend 01'!D73),'V06 Calend 01'!J73,0))</f>
        <v>0</v>
      </c>
      <c r="GJ73" s="2">
        <f>((IF((180='V06 Calend 01'!C73),('V06 Calend 01'!F73+'V06 Calend 01'!G73),0)+IF(AND(('V06 Calend 01'!E73&gt;0),(180&gt;'V06 Calend 01'!C73),(180&lt;'V06 Calend 01'!D73),(MOD((180-'V06 Calend 01'!C73),6)=0),(((180-'V06 Calend 01'!C73)/6)&lt;='V06 Calend 01'!E73)),IF((180=('V06 Calend 01'!C73+(6*'V06 Calend 01'!E73))),('V06 Calend 01'!H73-('V06 Calend 01'!I73*('V06 Calend 01'!E73-1))),'V06 Calend 01'!I73),0))+IF((180='V06 Calend 01'!D73),'V06 Calend 01'!J73,0))</f>
        <v>0</v>
      </c>
    </row>
    <row r="74" spans="1:192">
      <c r="A74" s="3" t="str">
        <f>'V06 Unidades'!$A$74</f>
        <v>810</v>
      </c>
      <c r="B74" s="2">
        <f>'V06 Unidades'!$H$74</f>
        <v>825872.33</v>
      </c>
      <c r="C74" s="4">
        <f>('V06 Unidades'!$I$74+'V06 Controlos'!$B$37)</f>
        <v>22</v>
      </c>
      <c r="D74" s="4">
        <f>IF(('V06 Controlos'!$B$38&gt;0),MAX(('V06 Unidades'!$L$74+'V06 Controlos'!$B$37),(30+'V06 Controlos'!$B$38)),('V06 Unidades'!$L$74+'V06 Controlos'!$B$37))</f>
        <v>29</v>
      </c>
      <c r="E74" s="4">
        <f>MAX(0,INT(((('V06 Calend 01'!D74-'V06 Calend 01'!C74)-1)/6)))</f>
        <v>1</v>
      </c>
      <c r="F74" s="2">
        <f>ROUND(('V06 Calend 01'!B74*0.05),2)</f>
        <v>41293.62</v>
      </c>
      <c r="G74" s="2">
        <f>ROUND(('V06 Calend 01'!B74*0.2),2)</f>
        <v>165174.47</v>
      </c>
      <c r="H74" s="2">
        <f>ROUND(('V06 Calend 01'!B74*0.55),2)</f>
        <v>454229.78</v>
      </c>
      <c r="I74" s="2">
        <f>ROUND(('V06 Calend 01'!H74/MAX(1,'V06 Calend 01'!E74)),2)</f>
        <v>454229.78</v>
      </c>
      <c r="J74" s="2">
        <f>((('V06 Calend 01'!B74-'V06 Calend 01'!F74)-'V06 Calend 01'!G74)-'V06 Calend 01'!H74)</f>
        <v>165174.45999999996</v>
      </c>
      <c r="K74" s="2">
        <f>('V06 Calend 01'!B74*0.025)</f>
        <v>20646.808250000002</v>
      </c>
      <c r="L74" t="s">
        <v>378</v>
      </c>
      <c r="M74" s="2">
        <f>((IF((1='V06 Calend 01'!C74),('V06 Calend 01'!F74+'V06 Calend 01'!G74),0)+IF(AND(('V06 Calend 01'!E74&gt;0),(1&gt;'V06 Calend 01'!C74),(1&lt;'V06 Calend 01'!D74),(MOD((1-'V06 Calend 01'!C74),6)=0),(((1-'V06 Calend 01'!C74)/6)&lt;='V06 Calend 01'!E74)),IF((1=('V06 Calend 01'!C74+(6*'V06 Calend 01'!E74))),('V06 Calend 01'!H74-('V06 Calend 01'!I74*('V06 Calend 01'!E74-1))),'V06 Calend 01'!I74),0))+IF((1='V06 Calend 01'!D74),'V06 Calend 01'!J74,0))</f>
        <v>0</v>
      </c>
      <c r="N74" s="2">
        <f>((IF((2='V06 Calend 01'!C74),('V06 Calend 01'!F74+'V06 Calend 01'!G74),0)+IF(AND(('V06 Calend 01'!E74&gt;0),(2&gt;'V06 Calend 01'!C74),(2&lt;'V06 Calend 01'!D74),(MOD((2-'V06 Calend 01'!C74),6)=0),(((2-'V06 Calend 01'!C74)/6)&lt;='V06 Calend 01'!E74)),IF((2=('V06 Calend 01'!C74+(6*'V06 Calend 01'!E74))),('V06 Calend 01'!H74-('V06 Calend 01'!I74*('V06 Calend 01'!E74-1))),'V06 Calend 01'!I74),0))+IF((2='V06 Calend 01'!D74),'V06 Calend 01'!J74,0))</f>
        <v>0</v>
      </c>
      <c r="O74" s="2">
        <f>((IF((3='V06 Calend 01'!C74),('V06 Calend 01'!F74+'V06 Calend 01'!G74),0)+IF(AND(('V06 Calend 01'!E74&gt;0),(3&gt;'V06 Calend 01'!C74),(3&lt;'V06 Calend 01'!D74),(MOD((3-'V06 Calend 01'!C74),6)=0),(((3-'V06 Calend 01'!C74)/6)&lt;='V06 Calend 01'!E74)),IF((3=('V06 Calend 01'!C74+(6*'V06 Calend 01'!E74))),('V06 Calend 01'!H74-('V06 Calend 01'!I74*('V06 Calend 01'!E74-1))),'V06 Calend 01'!I74),0))+IF((3='V06 Calend 01'!D74),'V06 Calend 01'!J74,0))</f>
        <v>0</v>
      </c>
      <c r="P74" s="2">
        <f>((IF((4='V06 Calend 01'!C74),('V06 Calend 01'!F74+'V06 Calend 01'!G74),0)+IF(AND(('V06 Calend 01'!E74&gt;0),(4&gt;'V06 Calend 01'!C74),(4&lt;'V06 Calend 01'!D74),(MOD((4-'V06 Calend 01'!C74),6)=0),(((4-'V06 Calend 01'!C74)/6)&lt;='V06 Calend 01'!E74)),IF((4=('V06 Calend 01'!C74+(6*'V06 Calend 01'!E74))),('V06 Calend 01'!H74-('V06 Calend 01'!I74*('V06 Calend 01'!E74-1))),'V06 Calend 01'!I74),0))+IF((4='V06 Calend 01'!D74),'V06 Calend 01'!J74,0))</f>
        <v>0</v>
      </c>
      <c r="Q74" s="2">
        <f>((IF((5='V06 Calend 01'!C74),('V06 Calend 01'!F74+'V06 Calend 01'!G74),0)+IF(AND(('V06 Calend 01'!E74&gt;0),(5&gt;'V06 Calend 01'!C74),(5&lt;'V06 Calend 01'!D74),(MOD((5-'V06 Calend 01'!C74),6)=0),(((5-'V06 Calend 01'!C74)/6)&lt;='V06 Calend 01'!E74)),IF((5=('V06 Calend 01'!C74+(6*'V06 Calend 01'!E74))),('V06 Calend 01'!H74-('V06 Calend 01'!I74*('V06 Calend 01'!E74-1))),'V06 Calend 01'!I74),0))+IF((5='V06 Calend 01'!D74),'V06 Calend 01'!J74,0))</f>
        <v>0</v>
      </c>
      <c r="R74" s="2">
        <f>((IF((6='V06 Calend 01'!C74),('V06 Calend 01'!F74+'V06 Calend 01'!G74),0)+IF(AND(('V06 Calend 01'!E74&gt;0),(6&gt;'V06 Calend 01'!C74),(6&lt;'V06 Calend 01'!D74),(MOD((6-'V06 Calend 01'!C74),6)=0),(((6-'V06 Calend 01'!C74)/6)&lt;='V06 Calend 01'!E74)),IF((6=('V06 Calend 01'!C74+(6*'V06 Calend 01'!E74))),('V06 Calend 01'!H74-('V06 Calend 01'!I74*('V06 Calend 01'!E74-1))),'V06 Calend 01'!I74),0))+IF((6='V06 Calend 01'!D74),'V06 Calend 01'!J74,0))</f>
        <v>0</v>
      </c>
      <c r="S74" s="2">
        <f>((IF((7='V06 Calend 01'!C74),('V06 Calend 01'!F74+'V06 Calend 01'!G74),0)+IF(AND(('V06 Calend 01'!E74&gt;0),(7&gt;'V06 Calend 01'!C74),(7&lt;'V06 Calend 01'!D74),(MOD((7-'V06 Calend 01'!C74),6)=0),(((7-'V06 Calend 01'!C74)/6)&lt;='V06 Calend 01'!E74)),IF((7=('V06 Calend 01'!C74+(6*'V06 Calend 01'!E74))),('V06 Calend 01'!H74-('V06 Calend 01'!I74*('V06 Calend 01'!E74-1))),'V06 Calend 01'!I74),0))+IF((7='V06 Calend 01'!D74),'V06 Calend 01'!J74,0))</f>
        <v>0</v>
      </c>
      <c r="T74" s="2">
        <f>((IF((8='V06 Calend 01'!C74),('V06 Calend 01'!F74+'V06 Calend 01'!G74),0)+IF(AND(('V06 Calend 01'!E74&gt;0),(8&gt;'V06 Calend 01'!C74),(8&lt;'V06 Calend 01'!D74),(MOD((8-'V06 Calend 01'!C74),6)=0),(((8-'V06 Calend 01'!C74)/6)&lt;='V06 Calend 01'!E74)),IF((8=('V06 Calend 01'!C74+(6*'V06 Calend 01'!E74))),('V06 Calend 01'!H74-('V06 Calend 01'!I74*('V06 Calend 01'!E74-1))),'V06 Calend 01'!I74),0))+IF((8='V06 Calend 01'!D74),'V06 Calend 01'!J74,0))</f>
        <v>0</v>
      </c>
      <c r="U74" s="2">
        <f>((IF((9='V06 Calend 01'!C74),('V06 Calend 01'!F74+'V06 Calend 01'!G74),0)+IF(AND(('V06 Calend 01'!E74&gt;0),(9&gt;'V06 Calend 01'!C74),(9&lt;'V06 Calend 01'!D74),(MOD((9-'V06 Calend 01'!C74),6)=0),(((9-'V06 Calend 01'!C74)/6)&lt;='V06 Calend 01'!E74)),IF((9=('V06 Calend 01'!C74+(6*'V06 Calend 01'!E74))),('V06 Calend 01'!H74-('V06 Calend 01'!I74*('V06 Calend 01'!E74-1))),'V06 Calend 01'!I74),0))+IF((9='V06 Calend 01'!D74),'V06 Calend 01'!J74,0))</f>
        <v>0</v>
      </c>
      <c r="V74" s="2">
        <f>((IF((10='V06 Calend 01'!C74),('V06 Calend 01'!F74+'V06 Calend 01'!G74),0)+IF(AND(('V06 Calend 01'!E74&gt;0),(10&gt;'V06 Calend 01'!C74),(10&lt;'V06 Calend 01'!D74),(MOD((10-'V06 Calend 01'!C74),6)=0),(((10-'V06 Calend 01'!C74)/6)&lt;='V06 Calend 01'!E74)),IF((10=('V06 Calend 01'!C74+(6*'V06 Calend 01'!E74))),('V06 Calend 01'!H74-('V06 Calend 01'!I74*('V06 Calend 01'!E74-1))),'V06 Calend 01'!I74),0))+IF((10='V06 Calend 01'!D74),'V06 Calend 01'!J74,0))</f>
        <v>0</v>
      </c>
      <c r="W74" s="2">
        <f>((IF((11='V06 Calend 01'!C74),('V06 Calend 01'!F74+'V06 Calend 01'!G74),0)+IF(AND(('V06 Calend 01'!E74&gt;0),(11&gt;'V06 Calend 01'!C74),(11&lt;'V06 Calend 01'!D74),(MOD((11-'V06 Calend 01'!C74),6)=0),(((11-'V06 Calend 01'!C74)/6)&lt;='V06 Calend 01'!E74)),IF((11=('V06 Calend 01'!C74+(6*'V06 Calend 01'!E74))),('V06 Calend 01'!H74-('V06 Calend 01'!I74*('V06 Calend 01'!E74-1))),'V06 Calend 01'!I74),0))+IF((11='V06 Calend 01'!D74),'V06 Calend 01'!J74,0))</f>
        <v>0</v>
      </c>
      <c r="X74" s="2">
        <f>((IF((12='V06 Calend 01'!C74),('V06 Calend 01'!F74+'V06 Calend 01'!G74),0)+IF(AND(('V06 Calend 01'!E74&gt;0),(12&gt;'V06 Calend 01'!C74),(12&lt;'V06 Calend 01'!D74),(MOD((12-'V06 Calend 01'!C74),6)=0),(((12-'V06 Calend 01'!C74)/6)&lt;='V06 Calend 01'!E74)),IF((12=('V06 Calend 01'!C74+(6*'V06 Calend 01'!E74))),('V06 Calend 01'!H74-('V06 Calend 01'!I74*('V06 Calend 01'!E74-1))),'V06 Calend 01'!I74),0))+IF((12='V06 Calend 01'!D74),'V06 Calend 01'!J74,0))</f>
        <v>0</v>
      </c>
      <c r="Y74" s="2">
        <f>((IF((13='V06 Calend 01'!C74),('V06 Calend 01'!F74+'V06 Calend 01'!G74),0)+IF(AND(('V06 Calend 01'!E74&gt;0),(13&gt;'V06 Calend 01'!C74),(13&lt;'V06 Calend 01'!D74),(MOD((13-'V06 Calend 01'!C74),6)=0),(((13-'V06 Calend 01'!C74)/6)&lt;='V06 Calend 01'!E74)),IF((13=('V06 Calend 01'!C74+(6*'V06 Calend 01'!E74))),('V06 Calend 01'!H74-('V06 Calend 01'!I74*('V06 Calend 01'!E74-1))),'V06 Calend 01'!I74),0))+IF((13='V06 Calend 01'!D74),'V06 Calend 01'!J74,0))</f>
        <v>0</v>
      </c>
      <c r="Z74" s="2">
        <f>((IF((14='V06 Calend 01'!C74),('V06 Calend 01'!F74+'V06 Calend 01'!G74),0)+IF(AND(('V06 Calend 01'!E74&gt;0),(14&gt;'V06 Calend 01'!C74),(14&lt;'V06 Calend 01'!D74),(MOD((14-'V06 Calend 01'!C74),6)=0),(((14-'V06 Calend 01'!C74)/6)&lt;='V06 Calend 01'!E74)),IF((14=('V06 Calend 01'!C74+(6*'V06 Calend 01'!E74))),('V06 Calend 01'!H74-('V06 Calend 01'!I74*('V06 Calend 01'!E74-1))),'V06 Calend 01'!I74),0))+IF((14='V06 Calend 01'!D74),'V06 Calend 01'!J74,0))</f>
        <v>0</v>
      </c>
      <c r="AA74" s="2">
        <f>((IF((15='V06 Calend 01'!C74),('V06 Calend 01'!F74+'V06 Calend 01'!G74),0)+IF(AND(('V06 Calend 01'!E74&gt;0),(15&gt;'V06 Calend 01'!C74),(15&lt;'V06 Calend 01'!D74),(MOD((15-'V06 Calend 01'!C74),6)=0),(((15-'V06 Calend 01'!C74)/6)&lt;='V06 Calend 01'!E74)),IF((15=('V06 Calend 01'!C74+(6*'V06 Calend 01'!E74))),('V06 Calend 01'!H74-('V06 Calend 01'!I74*('V06 Calend 01'!E74-1))),'V06 Calend 01'!I74),0))+IF((15='V06 Calend 01'!D74),'V06 Calend 01'!J74,0))</f>
        <v>0</v>
      </c>
      <c r="AB74" s="2">
        <f>((IF((16='V06 Calend 01'!C74),('V06 Calend 01'!F74+'V06 Calend 01'!G74),0)+IF(AND(('V06 Calend 01'!E74&gt;0),(16&gt;'V06 Calend 01'!C74),(16&lt;'V06 Calend 01'!D74),(MOD((16-'V06 Calend 01'!C74),6)=0),(((16-'V06 Calend 01'!C74)/6)&lt;='V06 Calend 01'!E74)),IF((16=('V06 Calend 01'!C74+(6*'V06 Calend 01'!E74))),('V06 Calend 01'!H74-('V06 Calend 01'!I74*('V06 Calend 01'!E74-1))),'V06 Calend 01'!I74),0))+IF((16='V06 Calend 01'!D74),'V06 Calend 01'!J74,0))</f>
        <v>0</v>
      </c>
      <c r="AC74" s="2">
        <f>((IF((17='V06 Calend 01'!C74),('V06 Calend 01'!F74+'V06 Calend 01'!G74),0)+IF(AND(('V06 Calend 01'!E74&gt;0),(17&gt;'V06 Calend 01'!C74),(17&lt;'V06 Calend 01'!D74),(MOD((17-'V06 Calend 01'!C74),6)=0),(((17-'V06 Calend 01'!C74)/6)&lt;='V06 Calend 01'!E74)),IF((17=('V06 Calend 01'!C74+(6*'V06 Calend 01'!E74))),('V06 Calend 01'!H74-('V06 Calend 01'!I74*('V06 Calend 01'!E74-1))),'V06 Calend 01'!I74),0))+IF((17='V06 Calend 01'!D74),'V06 Calend 01'!J74,0))</f>
        <v>0</v>
      </c>
      <c r="AD74" s="2">
        <f>((IF((18='V06 Calend 01'!C74),('V06 Calend 01'!F74+'V06 Calend 01'!G74),0)+IF(AND(('V06 Calend 01'!E74&gt;0),(18&gt;'V06 Calend 01'!C74),(18&lt;'V06 Calend 01'!D74),(MOD((18-'V06 Calend 01'!C74),6)=0),(((18-'V06 Calend 01'!C74)/6)&lt;='V06 Calend 01'!E74)),IF((18=('V06 Calend 01'!C74+(6*'V06 Calend 01'!E74))),('V06 Calend 01'!H74-('V06 Calend 01'!I74*('V06 Calend 01'!E74-1))),'V06 Calend 01'!I74),0))+IF((18='V06 Calend 01'!D74),'V06 Calend 01'!J74,0))</f>
        <v>0</v>
      </c>
      <c r="AE74" s="2">
        <f>((IF((19='V06 Calend 01'!C74),('V06 Calend 01'!F74+'V06 Calend 01'!G74),0)+IF(AND(('V06 Calend 01'!E74&gt;0),(19&gt;'V06 Calend 01'!C74),(19&lt;'V06 Calend 01'!D74),(MOD((19-'V06 Calend 01'!C74),6)=0),(((19-'V06 Calend 01'!C74)/6)&lt;='V06 Calend 01'!E74)),IF((19=('V06 Calend 01'!C74+(6*'V06 Calend 01'!E74))),('V06 Calend 01'!H74-('V06 Calend 01'!I74*('V06 Calend 01'!E74-1))),'V06 Calend 01'!I74),0))+IF((19='V06 Calend 01'!D74),'V06 Calend 01'!J74,0))</f>
        <v>0</v>
      </c>
      <c r="AF74" s="2">
        <f>((IF((20='V06 Calend 01'!C74),('V06 Calend 01'!F74+'V06 Calend 01'!G74),0)+IF(AND(('V06 Calend 01'!E74&gt;0),(20&gt;'V06 Calend 01'!C74),(20&lt;'V06 Calend 01'!D74),(MOD((20-'V06 Calend 01'!C74),6)=0),(((20-'V06 Calend 01'!C74)/6)&lt;='V06 Calend 01'!E74)),IF((20=('V06 Calend 01'!C74+(6*'V06 Calend 01'!E74))),('V06 Calend 01'!H74-('V06 Calend 01'!I74*('V06 Calend 01'!E74-1))),'V06 Calend 01'!I74),0))+IF((20='V06 Calend 01'!D74),'V06 Calend 01'!J74,0))</f>
        <v>0</v>
      </c>
      <c r="AG74" s="2">
        <f>((IF((21='V06 Calend 01'!C74),('V06 Calend 01'!F74+'V06 Calend 01'!G74),0)+IF(AND(('V06 Calend 01'!E74&gt;0),(21&gt;'V06 Calend 01'!C74),(21&lt;'V06 Calend 01'!D74),(MOD((21-'V06 Calend 01'!C74),6)=0),(((21-'V06 Calend 01'!C74)/6)&lt;='V06 Calend 01'!E74)),IF((21=('V06 Calend 01'!C74+(6*'V06 Calend 01'!E74))),('V06 Calend 01'!H74-('V06 Calend 01'!I74*('V06 Calend 01'!E74-1))),'V06 Calend 01'!I74),0))+IF((21='V06 Calend 01'!D74),'V06 Calend 01'!J74,0))</f>
        <v>0</v>
      </c>
      <c r="AH74" s="2">
        <f>((IF((22='V06 Calend 01'!C74),('V06 Calend 01'!F74+'V06 Calend 01'!G74),0)+IF(AND(('V06 Calend 01'!E74&gt;0),(22&gt;'V06 Calend 01'!C74),(22&lt;'V06 Calend 01'!D74),(MOD((22-'V06 Calend 01'!C74),6)=0),(((22-'V06 Calend 01'!C74)/6)&lt;='V06 Calend 01'!E74)),IF((22=('V06 Calend 01'!C74+(6*'V06 Calend 01'!E74))),('V06 Calend 01'!H74-('V06 Calend 01'!I74*('V06 Calend 01'!E74-1))),'V06 Calend 01'!I74),0))+IF((22='V06 Calend 01'!D74),'V06 Calend 01'!J74,0))</f>
        <v>206468.09</v>
      </c>
      <c r="AI74" s="2">
        <f>((IF((23='V06 Calend 01'!C74),('V06 Calend 01'!F74+'V06 Calend 01'!G74),0)+IF(AND(('V06 Calend 01'!E74&gt;0),(23&gt;'V06 Calend 01'!C74),(23&lt;'V06 Calend 01'!D74),(MOD((23-'V06 Calend 01'!C74),6)=0),(((23-'V06 Calend 01'!C74)/6)&lt;='V06 Calend 01'!E74)),IF((23=('V06 Calend 01'!C74+(6*'V06 Calend 01'!E74))),('V06 Calend 01'!H74-('V06 Calend 01'!I74*('V06 Calend 01'!E74-1))),'V06 Calend 01'!I74),0))+IF((23='V06 Calend 01'!D74),'V06 Calend 01'!J74,0))</f>
        <v>0</v>
      </c>
      <c r="AJ74" s="2">
        <f>((IF((24='V06 Calend 01'!C74),('V06 Calend 01'!F74+'V06 Calend 01'!G74),0)+IF(AND(('V06 Calend 01'!E74&gt;0),(24&gt;'V06 Calend 01'!C74),(24&lt;'V06 Calend 01'!D74),(MOD((24-'V06 Calend 01'!C74),6)=0),(((24-'V06 Calend 01'!C74)/6)&lt;='V06 Calend 01'!E74)),IF((24=('V06 Calend 01'!C74+(6*'V06 Calend 01'!E74))),('V06 Calend 01'!H74-('V06 Calend 01'!I74*('V06 Calend 01'!E74-1))),'V06 Calend 01'!I74),0))+IF((24='V06 Calend 01'!D74),'V06 Calend 01'!J74,0))</f>
        <v>0</v>
      </c>
      <c r="AK74" s="2">
        <f>((IF((25='V06 Calend 01'!C74),('V06 Calend 01'!F74+'V06 Calend 01'!G74),0)+IF(AND(('V06 Calend 01'!E74&gt;0),(25&gt;'V06 Calend 01'!C74),(25&lt;'V06 Calend 01'!D74),(MOD((25-'V06 Calend 01'!C74),6)=0),(((25-'V06 Calend 01'!C74)/6)&lt;='V06 Calend 01'!E74)),IF((25=('V06 Calend 01'!C74+(6*'V06 Calend 01'!E74))),('V06 Calend 01'!H74-('V06 Calend 01'!I74*('V06 Calend 01'!E74-1))),'V06 Calend 01'!I74),0))+IF((25='V06 Calend 01'!D74),'V06 Calend 01'!J74,0))</f>
        <v>0</v>
      </c>
      <c r="AL74" s="2">
        <f>((IF((26='V06 Calend 01'!C74),('V06 Calend 01'!F74+'V06 Calend 01'!G74),0)+IF(AND(('V06 Calend 01'!E74&gt;0),(26&gt;'V06 Calend 01'!C74),(26&lt;'V06 Calend 01'!D74),(MOD((26-'V06 Calend 01'!C74),6)=0),(((26-'V06 Calend 01'!C74)/6)&lt;='V06 Calend 01'!E74)),IF((26=('V06 Calend 01'!C74+(6*'V06 Calend 01'!E74))),('V06 Calend 01'!H74-('V06 Calend 01'!I74*('V06 Calend 01'!E74-1))),'V06 Calend 01'!I74),0))+IF((26='V06 Calend 01'!D74),'V06 Calend 01'!J74,0))</f>
        <v>0</v>
      </c>
      <c r="AM74" s="2">
        <f>((IF((27='V06 Calend 01'!C74),('V06 Calend 01'!F74+'V06 Calend 01'!G74),0)+IF(AND(('V06 Calend 01'!E74&gt;0),(27&gt;'V06 Calend 01'!C74),(27&lt;'V06 Calend 01'!D74),(MOD((27-'V06 Calend 01'!C74),6)=0),(((27-'V06 Calend 01'!C74)/6)&lt;='V06 Calend 01'!E74)),IF((27=('V06 Calend 01'!C74+(6*'V06 Calend 01'!E74))),('V06 Calend 01'!H74-('V06 Calend 01'!I74*('V06 Calend 01'!E74-1))),'V06 Calend 01'!I74),0))+IF((27='V06 Calend 01'!D74),'V06 Calend 01'!J74,0))</f>
        <v>0</v>
      </c>
      <c r="AN74" s="2">
        <f>((IF((28='V06 Calend 01'!C74),('V06 Calend 01'!F74+'V06 Calend 01'!G74),0)+IF(AND(('V06 Calend 01'!E74&gt;0),(28&gt;'V06 Calend 01'!C74),(28&lt;'V06 Calend 01'!D74),(MOD((28-'V06 Calend 01'!C74),6)=0),(((28-'V06 Calend 01'!C74)/6)&lt;='V06 Calend 01'!E74)),IF((28=('V06 Calend 01'!C74+(6*'V06 Calend 01'!E74))),('V06 Calend 01'!H74-('V06 Calend 01'!I74*('V06 Calend 01'!E74-1))),'V06 Calend 01'!I74),0))+IF((28='V06 Calend 01'!D74),'V06 Calend 01'!J74,0))</f>
        <v>454229.78</v>
      </c>
      <c r="AO74" s="2">
        <f>((IF((29='V06 Calend 01'!C74),('V06 Calend 01'!F74+'V06 Calend 01'!G74),0)+IF(AND(('V06 Calend 01'!E74&gt;0),(29&gt;'V06 Calend 01'!C74),(29&lt;'V06 Calend 01'!D74),(MOD((29-'V06 Calend 01'!C74),6)=0),(((29-'V06 Calend 01'!C74)/6)&lt;='V06 Calend 01'!E74)),IF((29=('V06 Calend 01'!C74+(6*'V06 Calend 01'!E74))),('V06 Calend 01'!H74-('V06 Calend 01'!I74*('V06 Calend 01'!E74-1))),'V06 Calend 01'!I74),0))+IF((29='V06 Calend 01'!D74),'V06 Calend 01'!J74,0))</f>
        <v>165174.45999999996</v>
      </c>
      <c r="AP74" s="2">
        <f>((IF((30='V06 Calend 01'!C74),('V06 Calend 01'!F74+'V06 Calend 01'!G74),0)+IF(AND(('V06 Calend 01'!E74&gt;0),(30&gt;'V06 Calend 01'!C74),(30&lt;'V06 Calend 01'!D74),(MOD((30-'V06 Calend 01'!C74),6)=0),(((30-'V06 Calend 01'!C74)/6)&lt;='V06 Calend 01'!E74)),IF((30=('V06 Calend 01'!C74+(6*'V06 Calend 01'!E74))),('V06 Calend 01'!H74-('V06 Calend 01'!I74*('V06 Calend 01'!E74-1))),'V06 Calend 01'!I74),0))+IF((30='V06 Calend 01'!D74),'V06 Calend 01'!J74,0))</f>
        <v>0</v>
      </c>
      <c r="AQ74" s="2">
        <f>((IF((31='V06 Calend 01'!C74),('V06 Calend 01'!F74+'V06 Calend 01'!G74),0)+IF(AND(('V06 Calend 01'!E74&gt;0),(31&gt;'V06 Calend 01'!C74),(31&lt;'V06 Calend 01'!D74),(MOD((31-'V06 Calend 01'!C74),6)=0),(((31-'V06 Calend 01'!C74)/6)&lt;='V06 Calend 01'!E74)),IF((31=('V06 Calend 01'!C74+(6*'V06 Calend 01'!E74))),('V06 Calend 01'!H74-('V06 Calend 01'!I74*('V06 Calend 01'!E74-1))),'V06 Calend 01'!I74),0))+IF((31='V06 Calend 01'!D74),'V06 Calend 01'!J74,0))</f>
        <v>0</v>
      </c>
      <c r="AR74" s="2">
        <f>((IF((32='V06 Calend 01'!C74),('V06 Calend 01'!F74+'V06 Calend 01'!G74),0)+IF(AND(('V06 Calend 01'!E74&gt;0),(32&gt;'V06 Calend 01'!C74),(32&lt;'V06 Calend 01'!D74),(MOD((32-'V06 Calend 01'!C74),6)=0),(((32-'V06 Calend 01'!C74)/6)&lt;='V06 Calend 01'!E74)),IF((32=('V06 Calend 01'!C74+(6*'V06 Calend 01'!E74))),('V06 Calend 01'!H74-('V06 Calend 01'!I74*('V06 Calend 01'!E74-1))),'V06 Calend 01'!I74),0))+IF((32='V06 Calend 01'!D74),'V06 Calend 01'!J74,0))</f>
        <v>0</v>
      </c>
      <c r="AS74" s="2">
        <f>((IF((33='V06 Calend 01'!C74),('V06 Calend 01'!F74+'V06 Calend 01'!G74),0)+IF(AND(('V06 Calend 01'!E74&gt;0),(33&gt;'V06 Calend 01'!C74),(33&lt;'V06 Calend 01'!D74),(MOD((33-'V06 Calend 01'!C74),6)=0),(((33-'V06 Calend 01'!C74)/6)&lt;='V06 Calend 01'!E74)),IF((33=('V06 Calend 01'!C74+(6*'V06 Calend 01'!E74))),('V06 Calend 01'!H74-('V06 Calend 01'!I74*('V06 Calend 01'!E74-1))),'V06 Calend 01'!I74),0))+IF((33='V06 Calend 01'!D74),'V06 Calend 01'!J74,0))</f>
        <v>0</v>
      </c>
      <c r="AT74" s="2">
        <f>((IF((34='V06 Calend 01'!C74),('V06 Calend 01'!F74+'V06 Calend 01'!G74),0)+IF(AND(('V06 Calend 01'!E74&gt;0),(34&gt;'V06 Calend 01'!C74),(34&lt;'V06 Calend 01'!D74),(MOD((34-'V06 Calend 01'!C74),6)=0),(((34-'V06 Calend 01'!C74)/6)&lt;='V06 Calend 01'!E74)),IF((34=('V06 Calend 01'!C74+(6*'V06 Calend 01'!E74))),('V06 Calend 01'!H74-('V06 Calend 01'!I74*('V06 Calend 01'!E74-1))),'V06 Calend 01'!I74),0))+IF((34='V06 Calend 01'!D74),'V06 Calend 01'!J74,0))</f>
        <v>0</v>
      </c>
      <c r="AU74" s="2">
        <f>((IF((35='V06 Calend 01'!C74),('V06 Calend 01'!F74+'V06 Calend 01'!G74),0)+IF(AND(('V06 Calend 01'!E74&gt;0),(35&gt;'V06 Calend 01'!C74),(35&lt;'V06 Calend 01'!D74),(MOD((35-'V06 Calend 01'!C74),6)=0),(((35-'V06 Calend 01'!C74)/6)&lt;='V06 Calend 01'!E74)),IF((35=('V06 Calend 01'!C74+(6*'V06 Calend 01'!E74))),('V06 Calend 01'!H74-('V06 Calend 01'!I74*('V06 Calend 01'!E74-1))),'V06 Calend 01'!I74),0))+IF((35='V06 Calend 01'!D74),'V06 Calend 01'!J74,0))</f>
        <v>0</v>
      </c>
      <c r="AV74" s="2">
        <f>((IF((36='V06 Calend 01'!C74),('V06 Calend 01'!F74+'V06 Calend 01'!G74),0)+IF(AND(('V06 Calend 01'!E74&gt;0),(36&gt;'V06 Calend 01'!C74),(36&lt;'V06 Calend 01'!D74),(MOD((36-'V06 Calend 01'!C74),6)=0),(((36-'V06 Calend 01'!C74)/6)&lt;='V06 Calend 01'!E74)),IF((36=('V06 Calend 01'!C74+(6*'V06 Calend 01'!E74))),('V06 Calend 01'!H74-('V06 Calend 01'!I74*('V06 Calend 01'!E74-1))),'V06 Calend 01'!I74),0))+IF((36='V06 Calend 01'!D74),'V06 Calend 01'!J74,0))</f>
        <v>0</v>
      </c>
      <c r="AW74" s="2">
        <f>((IF((37='V06 Calend 01'!C74),('V06 Calend 01'!F74+'V06 Calend 01'!G74),0)+IF(AND(('V06 Calend 01'!E74&gt;0),(37&gt;'V06 Calend 01'!C74),(37&lt;'V06 Calend 01'!D74),(MOD((37-'V06 Calend 01'!C74),6)=0),(((37-'V06 Calend 01'!C74)/6)&lt;='V06 Calend 01'!E74)),IF((37=('V06 Calend 01'!C74+(6*'V06 Calend 01'!E74))),('V06 Calend 01'!H74-('V06 Calend 01'!I74*('V06 Calend 01'!E74-1))),'V06 Calend 01'!I74),0))+IF((37='V06 Calend 01'!D74),'V06 Calend 01'!J74,0))</f>
        <v>0</v>
      </c>
      <c r="AX74" s="2">
        <f>((IF((38='V06 Calend 01'!C74),('V06 Calend 01'!F74+'V06 Calend 01'!G74),0)+IF(AND(('V06 Calend 01'!E74&gt;0),(38&gt;'V06 Calend 01'!C74),(38&lt;'V06 Calend 01'!D74),(MOD((38-'V06 Calend 01'!C74),6)=0),(((38-'V06 Calend 01'!C74)/6)&lt;='V06 Calend 01'!E74)),IF((38=('V06 Calend 01'!C74+(6*'V06 Calend 01'!E74))),('V06 Calend 01'!H74-('V06 Calend 01'!I74*('V06 Calend 01'!E74-1))),'V06 Calend 01'!I74),0))+IF((38='V06 Calend 01'!D74),'V06 Calend 01'!J74,0))</f>
        <v>0</v>
      </c>
      <c r="AY74" s="2">
        <f>((IF((39='V06 Calend 01'!C74),('V06 Calend 01'!F74+'V06 Calend 01'!G74),0)+IF(AND(('V06 Calend 01'!E74&gt;0),(39&gt;'V06 Calend 01'!C74),(39&lt;'V06 Calend 01'!D74),(MOD((39-'V06 Calend 01'!C74),6)=0),(((39-'V06 Calend 01'!C74)/6)&lt;='V06 Calend 01'!E74)),IF((39=('V06 Calend 01'!C74+(6*'V06 Calend 01'!E74))),('V06 Calend 01'!H74-('V06 Calend 01'!I74*('V06 Calend 01'!E74-1))),'V06 Calend 01'!I74),0))+IF((39='V06 Calend 01'!D74),'V06 Calend 01'!J74,0))</f>
        <v>0</v>
      </c>
      <c r="AZ74" s="2">
        <f>((IF((40='V06 Calend 01'!C74),('V06 Calend 01'!F74+'V06 Calend 01'!G74),0)+IF(AND(('V06 Calend 01'!E74&gt;0),(40&gt;'V06 Calend 01'!C74),(40&lt;'V06 Calend 01'!D74),(MOD((40-'V06 Calend 01'!C74),6)=0),(((40-'V06 Calend 01'!C74)/6)&lt;='V06 Calend 01'!E74)),IF((40=('V06 Calend 01'!C74+(6*'V06 Calend 01'!E74))),('V06 Calend 01'!H74-('V06 Calend 01'!I74*('V06 Calend 01'!E74-1))),'V06 Calend 01'!I74),0))+IF((40='V06 Calend 01'!D74),'V06 Calend 01'!J74,0))</f>
        <v>0</v>
      </c>
      <c r="BA74" s="2">
        <f>((IF((41='V06 Calend 01'!C74),('V06 Calend 01'!F74+'V06 Calend 01'!G74),0)+IF(AND(('V06 Calend 01'!E74&gt;0),(41&gt;'V06 Calend 01'!C74),(41&lt;'V06 Calend 01'!D74),(MOD((41-'V06 Calend 01'!C74),6)=0),(((41-'V06 Calend 01'!C74)/6)&lt;='V06 Calend 01'!E74)),IF((41=('V06 Calend 01'!C74+(6*'V06 Calend 01'!E74))),('V06 Calend 01'!H74-('V06 Calend 01'!I74*('V06 Calend 01'!E74-1))),'V06 Calend 01'!I74),0))+IF((41='V06 Calend 01'!D74),'V06 Calend 01'!J74,0))</f>
        <v>0</v>
      </c>
      <c r="BB74" s="2">
        <f>((IF((42='V06 Calend 01'!C74),('V06 Calend 01'!F74+'V06 Calend 01'!G74),0)+IF(AND(('V06 Calend 01'!E74&gt;0),(42&gt;'V06 Calend 01'!C74),(42&lt;'V06 Calend 01'!D74),(MOD((42-'V06 Calend 01'!C74),6)=0),(((42-'V06 Calend 01'!C74)/6)&lt;='V06 Calend 01'!E74)),IF((42=('V06 Calend 01'!C74+(6*'V06 Calend 01'!E74))),('V06 Calend 01'!H74-('V06 Calend 01'!I74*('V06 Calend 01'!E74-1))),'V06 Calend 01'!I74),0))+IF((42='V06 Calend 01'!D74),'V06 Calend 01'!J74,0))</f>
        <v>0</v>
      </c>
      <c r="BC74" s="2">
        <f>((IF((43='V06 Calend 01'!C74),('V06 Calend 01'!F74+'V06 Calend 01'!G74),0)+IF(AND(('V06 Calend 01'!E74&gt;0),(43&gt;'V06 Calend 01'!C74),(43&lt;'V06 Calend 01'!D74),(MOD((43-'V06 Calend 01'!C74),6)=0),(((43-'V06 Calend 01'!C74)/6)&lt;='V06 Calend 01'!E74)),IF((43=('V06 Calend 01'!C74+(6*'V06 Calend 01'!E74))),('V06 Calend 01'!H74-('V06 Calend 01'!I74*('V06 Calend 01'!E74-1))),'V06 Calend 01'!I74),0))+IF((43='V06 Calend 01'!D74),'V06 Calend 01'!J74,0))</f>
        <v>0</v>
      </c>
      <c r="BD74" s="2">
        <f>((IF((44='V06 Calend 01'!C74),('V06 Calend 01'!F74+'V06 Calend 01'!G74),0)+IF(AND(('V06 Calend 01'!E74&gt;0),(44&gt;'V06 Calend 01'!C74),(44&lt;'V06 Calend 01'!D74),(MOD((44-'V06 Calend 01'!C74),6)=0),(((44-'V06 Calend 01'!C74)/6)&lt;='V06 Calend 01'!E74)),IF((44=('V06 Calend 01'!C74+(6*'V06 Calend 01'!E74))),('V06 Calend 01'!H74-('V06 Calend 01'!I74*('V06 Calend 01'!E74-1))),'V06 Calend 01'!I74),0))+IF((44='V06 Calend 01'!D74),'V06 Calend 01'!J74,0))</f>
        <v>0</v>
      </c>
      <c r="BE74" s="2">
        <f>((IF((45='V06 Calend 01'!C74),('V06 Calend 01'!F74+'V06 Calend 01'!G74),0)+IF(AND(('V06 Calend 01'!E74&gt;0),(45&gt;'V06 Calend 01'!C74),(45&lt;'V06 Calend 01'!D74),(MOD((45-'V06 Calend 01'!C74),6)=0),(((45-'V06 Calend 01'!C74)/6)&lt;='V06 Calend 01'!E74)),IF((45=('V06 Calend 01'!C74+(6*'V06 Calend 01'!E74))),('V06 Calend 01'!H74-('V06 Calend 01'!I74*('V06 Calend 01'!E74-1))),'V06 Calend 01'!I74),0))+IF((45='V06 Calend 01'!D74),'V06 Calend 01'!J74,0))</f>
        <v>0</v>
      </c>
      <c r="BF74" s="2">
        <f>((IF((46='V06 Calend 01'!C74),('V06 Calend 01'!F74+'V06 Calend 01'!G74),0)+IF(AND(('V06 Calend 01'!E74&gt;0),(46&gt;'V06 Calend 01'!C74),(46&lt;'V06 Calend 01'!D74),(MOD((46-'V06 Calend 01'!C74),6)=0),(((46-'V06 Calend 01'!C74)/6)&lt;='V06 Calend 01'!E74)),IF((46=('V06 Calend 01'!C74+(6*'V06 Calend 01'!E74))),('V06 Calend 01'!H74-('V06 Calend 01'!I74*('V06 Calend 01'!E74-1))),'V06 Calend 01'!I74),0))+IF((46='V06 Calend 01'!D74),'V06 Calend 01'!J74,0))</f>
        <v>0</v>
      </c>
      <c r="BG74" s="2">
        <f>((IF((47='V06 Calend 01'!C74),('V06 Calend 01'!F74+'V06 Calend 01'!G74),0)+IF(AND(('V06 Calend 01'!E74&gt;0),(47&gt;'V06 Calend 01'!C74),(47&lt;'V06 Calend 01'!D74),(MOD((47-'V06 Calend 01'!C74),6)=0),(((47-'V06 Calend 01'!C74)/6)&lt;='V06 Calend 01'!E74)),IF((47=('V06 Calend 01'!C74+(6*'V06 Calend 01'!E74))),('V06 Calend 01'!H74-('V06 Calend 01'!I74*('V06 Calend 01'!E74-1))),'V06 Calend 01'!I74),0))+IF((47='V06 Calend 01'!D74),'V06 Calend 01'!J74,0))</f>
        <v>0</v>
      </c>
      <c r="BH74" s="2">
        <f>((IF((48='V06 Calend 01'!C74),('V06 Calend 01'!F74+'V06 Calend 01'!G74),0)+IF(AND(('V06 Calend 01'!E74&gt;0),(48&gt;'V06 Calend 01'!C74),(48&lt;'V06 Calend 01'!D74),(MOD((48-'V06 Calend 01'!C74),6)=0),(((48-'V06 Calend 01'!C74)/6)&lt;='V06 Calend 01'!E74)),IF((48=('V06 Calend 01'!C74+(6*'V06 Calend 01'!E74))),('V06 Calend 01'!H74-('V06 Calend 01'!I74*('V06 Calend 01'!E74-1))),'V06 Calend 01'!I74),0))+IF((48='V06 Calend 01'!D74),'V06 Calend 01'!J74,0))</f>
        <v>0</v>
      </c>
      <c r="BI74" s="2">
        <f>((IF((49='V06 Calend 01'!C74),('V06 Calend 01'!F74+'V06 Calend 01'!G74),0)+IF(AND(('V06 Calend 01'!E74&gt;0),(49&gt;'V06 Calend 01'!C74),(49&lt;'V06 Calend 01'!D74),(MOD((49-'V06 Calend 01'!C74),6)=0),(((49-'V06 Calend 01'!C74)/6)&lt;='V06 Calend 01'!E74)),IF((49=('V06 Calend 01'!C74+(6*'V06 Calend 01'!E74))),('V06 Calend 01'!H74-('V06 Calend 01'!I74*('V06 Calend 01'!E74-1))),'V06 Calend 01'!I74),0))+IF((49='V06 Calend 01'!D74),'V06 Calend 01'!J74,0))</f>
        <v>0</v>
      </c>
      <c r="BJ74" s="2">
        <f>((IF((50='V06 Calend 01'!C74),('V06 Calend 01'!F74+'V06 Calend 01'!G74),0)+IF(AND(('V06 Calend 01'!E74&gt;0),(50&gt;'V06 Calend 01'!C74),(50&lt;'V06 Calend 01'!D74),(MOD((50-'V06 Calend 01'!C74),6)=0),(((50-'V06 Calend 01'!C74)/6)&lt;='V06 Calend 01'!E74)),IF((50=('V06 Calend 01'!C74+(6*'V06 Calend 01'!E74))),('V06 Calend 01'!H74-('V06 Calend 01'!I74*('V06 Calend 01'!E74-1))),'V06 Calend 01'!I74),0))+IF((50='V06 Calend 01'!D74),'V06 Calend 01'!J74,0))</f>
        <v>0</v>
      </c>
      <c r="BK74" s="2">
        <f>((IF((51='V06 Calend 01'!C74),('V06 Calend 01'!F74+'V06 Calend 01'!G74),0)+IF(AND(('V06 Calend 01'!E74&gt;0),(51&gt;'V06 Calend 01'!C74),(51&lt;'V06 Calend 01'!D74),(MOD((51-'V06 Calend 01'!C74),6)=0),(((51-'V06 Calend 01'!C74)/6)&lt;='V06 Calend 01'!E74)),IF((51=('V06 Calend 01'!C74+(6*'V06 Calend 01'!E74))),('V06 Calend 01'!H74-('V06 Calend 01'!I74*('V06 Calend 01'!E74-1))),'V06 Calend 01'!I74),0))+IF((51='V06 Calend 01'!D74),'V06 Calend 01'!J74,0))</f>
        <v>0</v>
      </c>
      <c r="BL74" s="2">
        <f>((IF((52='V06 Calend 01'!C74),('V06 Calend 01'!F74+'V06 Calend 01'!G74),0)+IF(AND(('V06 Calend 01'!E74&gt;0),(52&gt;'V06 Calend 01'!C74),(52&lt;'V06 Calend 01'!D74),(MOD((52-'V06 Calend 01'!C74),6)=0),(((52-'V06 Calend 01'!C74)/6)&lt;='V06 Calend 01'!E74)),IF((52=('V06 Calend 01'!C74+(6*'V06 Calend 01'!E74))),('V06 Calend 01'!H74-('V06 Calend 01'!I74*('V06 Calend 01'!E74-1))),'V06 Calend 01'!I74),0))+IF((52='V06 Calend 01'!D74),'V06 Calend 01'!J74,0))</f>
        <v>0</v>
      </c>
      <c r="BM74" s="2">
        <f>((IF((53='V06 Calend 01'!C74),('V06 Calend 01'!F74+'V06 Calend 01'!G74),0)+IF(AND(('V06 Calend 01'!E74&gt;0),(53&gt;'V06 Calend 01'!C74),(53&lt;'V06 Calend 01'!D74),(MOD((53-'V06 Calend 01'!C74),6)=0),(((53-'V06 Calend 01'!C74)/6)&lt;='V06 Calend 01'!E74)),IF((53=('V06 Calend 01'!C74+(6*'V06 Calend 01'!E74))),('V06 Calend 01'!H74-('V06 Calend 01'!I74*('V06 Calend 01'!E74-1))),'V06 Calend 01'!I74),0))+IF((53='V06 Calend 01'!D74),'V06 Calend 01'!J74,0))</f>
        <v>0</v>
      </c>
      <c r="BN74" s="2">
        <f>((IF((54='V06 Calend 01'!C74),('V06 Calend 01'!F74+'V06 Calend 01'!G74),0)+IF(AND(('V06 Calend 01'!E74&gt;0),(54&gt;'V06 Calend 01'!C74),(54&lt;'V06 Calend 01'!D74),(MOD((54-'V06 Calend 01'!C74),6)=0),(((54-'V06 Calend 01'!C74)/6)&lt;='V06 Calend 01'!E74)),IF((54=('V06 Calend 01'!C74+(6*'V06 Calend 01'!E74))),('V06 Calend 01'!H74-('V06 Calend 01'!I74*('V06 Calend 01'!E74-1))),'V06 Calend 01'!I74),0))+IF((54='V06 Calend 01'!D74),'V06 Calend 01'!J74,0))</f>
        <v>0</v>
      </c>
      <c r="BO74" s="2">
        <f>((IF((55='V06 Calend 01'!C74),('V06 Calend 01'!F74+'V06 Calend 01'!G74),0)+IF(AND(('V06 Calend 01'!E74&gt;0),(55&gt;'V06 Calend 01'!C74),(55&lt;'V06 Calend 01'!D74),(MOD((55-'V06 Calend 01'!C74),6)=0),(((55-'V06 Calend 01'!C74)/6)&lt;='V06 Calend 01'!E74)),IF((55=('V06 Calend 01'!C74+(6*'V06 Calend 01'!E74))),('V06 Calend 01'!H74-('V06 Calend 01'!I74*('V06 Calend 01'!E74-1))),'V06 Calend 01'!I74),0))+IF((55='V06 Calend 01'!D74),'V06 Calend 01'!J74,0))</f>
        <v>0</v>
      </c>
      <c r="BP74" s="2">
        <f>((IF((56='V06 Calend 01'!C74),('V06 Calend 01'!F74+'V06 Calend 01'!G74),0)+IF(AND(('V06 Calend 01'!E74&gt;0),(56&gt;'V06 Calend 01'!C74),(56&lt;'V06 Calend 01'!D74),(MOD((56-'V06 Calend 01'!C74),6)=0),(((56-'V06 Calend 01'!C74)/6)&lt;='V06 Calend 01'!E74)),IF((56=('V06 Calend 01'!C74+(6*'V06 Calend 01'!E74))),('V06 Calend 01'!H74-('V06 Calend 01'!I74*('V06 Calend 01'!E74-1))),'V06 Calend 01'!I74),0))+IF((56='V06 Calend 01'!D74),'V06 Calend 01'!J74,0))</f>
        <v>0</v>
      </c>
      <c r="BQ74" s="2">
        <f>((IF((57='V06 Calend 01'!C74),('V06 Calend 01'!F74+'V06 Calend 01'!G74),0)+IF(AND(('V06 Calend 01'!E74&gt;0),(57&gt;'V06 Calend 01'!C74),(57&lt;'V06 Calend 01'!D74),(MOD((57-'V06 Calend 01'!C74),6)=0),(((57-'V06 Calend 01'!C74)/6)&lt;='V06 Calend 01'!E74)),IF((57=('V06 Calend 01'!C74+(6*'V06 Calend 01'!E74))),('V06 Calend 01'!H74-('V06 Calend 01'!I74*('V06 Calend 01'!E74-1))),'V06 Calend 01'!I74),0))+IF((57='V06 Calend 01'!D74),'V06 Calend 01'!J74,0))</f>
        <v>0</v>
      </c>
      <c r="BR74" s="2">
        <f>((IF((58='V06 Calend 01'!C74),('V06 Calend 01'!F74+'V06 Calend 01'!G74),0)+IF(AND(('V06 Calend 01'!E74&gt;0),(58&gt;'V06 Calend 01'!C74),(58&lt;'V06 Calend 01'!D74),(MOD((58-'V06 Calend 01'!C74),6)=0),(((58-'V06 Calend 01'!C74)/6)&lt;='V06 Calend 01'!E74)),IF((58=('V06 Calend 01'!C74+(6*'V06 Calend 01'!E74))),('V06 Calend 01'!H74-('V06 Calend 01'!I74*('V06 Calend 01'!E74-1))),'V06 Calend 01'!I74),0))+IF((58='V06 Calend 01'!D74),'V06 Calend 01'!J74,0))</f>
        <v>0</v>
      </c>
      <c r="BS74" s="2">
        <f>((IF((59='V06 Calend 01'!C74),('V06 Calend 01'!F74+'V06 Calend 01'!G74),0)+IF(AND(('V06 Calend 01'!E74&gt;0),(59&gt;'V06 Calend 01'!C74),(59&lt;'V06 Calend 01'!D74),(MOD((59-'V06 Calend 01'!C74),6)=0),(((59-'V06 Calend 01'!C74)/6)&lt;='V06 Calend 01'!E74)),IF((59=('V06 Calend 01'!C74+(6*'V06 Calend 01'!E74))),('V06 Calend 01'!H74-('V06 Calend 01'!I74*('V06 Calend 01'!E74-1))),'V06 Calend 01'!I74),0))+IF((59='V06 Calend 01'!D74),'V06 Calend 01'!J74,0))</f>
        <v>0</v>
      </c>
      <c r="BT74" s="2">
        <f>((IF((60='V06 Calend 01'!C74),('V06 Calend 01'!F74+'V06 Calend 01'!G74),0)+IF(AND(('V06 Calend 01'!E74&gt;0),(60&gt;'V06 Calend 01'!C74),(60&lt;'V06 Calend 01'!D74),(MOD((60-'V06 Calend 01'!C74),6)=0),(((60-'V06 Calend 01'!C74)/6)&lt;='V06 Calend 01'!E74)),IF((60=('V06 Calend 01'!C74+(6*'V06 Calend 01'!E74))),('V06 Calend 01'!H74-('V06 Calend 01'!I74*('V06 Calend 01'!E74-1))),'V06 Calend 01'!I74),0))+IF((60='V06 Calend 01'!D74),'V06 Calend 01'!J74,0))</f>
        <v>0</v>
      </c>
      <c r="BU74" s="2">
        <f>((IF((61='V06 Calend 01'!C74),('V06 Calend 01'!F74+'V06 Calend 01'!G74),0)+IF(AND(('V06 Calend 01'!E74&gt;0),(61&gt;'V06 Calend 01'!C74),(61&lt;'V06 Calend 01'!D74),(MOD((61-'V06 Calend 01'!C74),6)=0),(((61-'V06 Calend 01'!C74)/6)&lt;='V06 Calend 01'!E74)),IF((61=('V06 Calend 01'!C74+(6*'V06 Calend 01'!E74))),('V06 Calend 01'!H74-('V06 Calend 01'!I74*('V06 Calend 01'!E74-1))),'V06 Calend 01'!I74),0))+IF((61='V06 Calend 01'!D74),'V06 Calend 01'!J74,0))</f>
        <v>0</v>
      </c>
      <c r="BV74" s="2">
        <f>((IF((62='V06 Calend 01'!C74),('V06 Calend 01'!F74+'V06 Calend 01'!G74),0)+IF(AND(('V06 Calend 01'!E74&gt;0),(62&gt;'V06 Calend 01'!C74),(62&lt;'V06 Calend 01'!D74),(MOD((62-'V06 Calend 01'!C74),6)=0),(((62-'V06 Calend 01'!C74)/6)&lt;='V06 Calend 01'!E74)),IF((62=('V06 Calend 01'!C74+(6*'V06 Calend 01'!E74))),('V06 Calend 01'!H74-('V06 Calend 01'!I74*('V06 Calend 01'!E74-1))),'V06 Calend 01'!I74),0))+IF((62='V06 Calend 01'!D74),'V06 Calend 01'!J74,0))</f>
        <v>0</v>
      </c>
      <c r="BW74" s="2">
        <f>((IF((63='V06 Calend 01'!C74),('V06 Calend 01'!F74+'V06 Calend 01'!G74),0)+IF(AND(('V06 Calend 01'!E74&gt;0),(63&gt;'V06 Calend 01'!C74),(63&lt;'V06 Calend 01'!D74),(MOD((63-'V06 Calend 01'!C74),6)=0),(((63-'V06 Calend 01'!C74)/6)&lt;='V06 Calend 01'!E74)),IF((63=('V06 Calend 01'!C74+(6*'V06 Calend 01'!E74))),('V06 Calend 01'!H74-('V06 Calend 01'!I74*('V06 Calend 01'!E74-1))),'V06 Calend 01'!I74),0))+IF((63='V06 Calend 01'!D74),'V06 Calend 01'!J74,0))</f>
        <v>0</v>
      </c>
      <c r="BX74" s="2">
        <f>((IF((64='V06 Calend 01'!C74),('V06 Calend 01'!F74+'V06 Calend 01'!G74),0)+IF(AND(('V06 Calend 01'!E74&gt;0),(64&gt;'V06 Calend 01'!C74),(64&lt;'V06 Calend 01'!D74),(MOD((64-'V06 Calend 01'!C74),6)=0),(((64-'V06 Calend 01'!C74)/6)&lt;='V06 Calend 01'!E74)),IF((64=('V06 Calend 01'!C74+(6*'V06 Calend 01'!E74))),('V06 Calend 01'!H74-('V06 Calend 01'!I74*('V06 Calend 01'!E74-1))),'V06 Calend 01'!I74),0))+IF((64='V06 Calend 01'!D74),'V06 Calend 01'!J74,0))</f>
        <v>0</v>
      </c>
      <c r="BY74" s="2">
        <f>((IF((65='V06 Calend 01'!C74),('V06 Calend 01'!F74+'V06 Calend 01'!G74),0)+IF(AND(('V06 Calend 01'!E74&gt;0),(65&gt;'V06 Calend 01'!C74),(65&lt;'V06 Calend 01'!D74),(MOD((65-'V06 Calend 01'!C74),6)=0),(((65-'V06 Calend 01'!C74)/6)&lt;='V06 Calend 01'!E74)),IF((65=('V06 Calend 01'!C74+(6*'V06 Calend 01'!E74))),('V06 Calend 01'!H74-('V06 Calend 01'!I74*('V06 Calend 01'!E74-1))),'V06 Calend 01'!I74),0))+IF((65='V06 Calend 01'!D74),'V06 Calend 01'!J74,0))</f>
        <v>0</v>
      </c>
      <c r="BZ74" s="2">
        <f>((IF((66='V06 Calend 01'!C74),('V06 Calend 01'!F74+'V06 Calend 01'!G74),0)+IF(AND(('V06 Calend 01'!E74&gt;0),(66&gt;'V06 Calend 01'!C74),(66&lt;'V06 Calend 01'!D74),(MOD((66-'V06 Calend 01'!C74),6)=0),(((66-'V06 Calend 01'!C74)/6)&lt;='V06 Calend 01'!E74)),IF((66=('V06 Calend 01'!C74+(6*'V06 Calend 01'!E74))),('V06 Calend 01'!H74-('V06 Calend 01'!I74*('V06 Calend 01'!E74-1))),'V06 Calend 01'!I74),0))+IF((66='V06 Calend 01'!D74),'V06 Calend 01'!J74,0))</f>
        <v>0</v>
      </c>
      <c r="CA74" s="2">
        <f>((IF((67='V06 Calend 01'!C74),('V06 Calend 01'!F74+'V06 Calend 01'!G74),0)+IF(AND(('V06 Calend 01'!E74&gt;0),(67&gt;'V06 Calend 01'!C74),(67&lt;'V06 Calend 01'!D74),(MOD((67-'V06 Calend 01'!C74),6)=0),(((67-'V06 Calend 01'!C74)/6)&lt;='V06 Calend 01'!E74)),IF((67=('V06 Calend 01'!C74+(6*'V06 Calend 01'!E74))),('V06 Calend 01'!H74-('V06 Calend 01'!I74*('V06 Calend 01'!E74-1))),'V06 Calend 01'!I74),0))+IF((67='V06 Calend 01'!D74),'V06 Calend 01'!J74,0))</f>
        <v>0</v>
      </c>
      <c r="CB74" s="2">
        <f>((IF((68='V06 Calend 01'!C74),('V06 Calend 01'!F74+'V06 Calend 01'!G74),0)+IF(AND(('V06 Calend 01'!E74&gt;0),(68&gt;'V06 Calend 01'!C74),(68&lt;'V06 Calend 01'!D74),(MOD((68-'V06 Calend 01'!C74),6)=0),(((68-'V06 Calend 01'!C74)/6)&lt;='V06 Calend 01'!E74)),IF((68=('V06 Calend 01'!C74+(6*'V06 Calend 01'!E74))),('V06 Calend 01'!H74-('V06 Calend 01'!I74*('V06 Calend 01'!E74-1))),'V06 Calend 01'!I74),0))+IF((68='V06 Calend 01'!D74),'V06 Calend 01'!J74,0))</f>
        <v>0</v>
      </c>
      <c r="CC74" s="2">
        <f>((IF((69='V06 Calend 01'!C74),('V06 Calend 01'!F74+'V06 Calend 01'!G74),0)+IF(AND(('V06 Calend 01'!E74&gt;0),(69&gt;'V06 Calend 01'!C74),(69&lt;'V06 Calend 01'!D74),(MOD((69-'V06 Calend 01'!C74),6)=0),(((69-'V06 Calend 01'!C74)/6)&lt;='V06 Calend 01'!E74)),IF((69=('V06 Calend 01'!C74+(6*'V06 Calend 01'!E74))),('V06 Calend 01'!H74-('V06 Calend 01'!I74*('V06 Calend 01'!E74-1))),'V06 Calend 01'!I74),0))+IF((69='V06 Calend 01'!D74),'V06 Calend 01'!J74,0))</f>
        <v>0</v>
      </c>
      <c r="CD74" s="2">
        <f>((IF((70='V06 Calend 01'!C74),('V06 Calend 01'!F74+'V06 Calend 01'!G74),0)+IF(AND(('V06 Calend 01'!E74&gt;0),(70&gt;'V06 Calend 01'!C74),(70&lt;'V06 Calend 01'!D74),(MOD((70-'V06 Calend 01'!C74),6)=0),(((70-'V06 Calend 01'!C74)/6)&lt;='V06 Calend 01'!E74)),IF((70=('V06 Calend 01'!C74+(6*'V06 Calend 01'!E74))),('V06 Calend 01'!H74-('V06 Calend 01'!I74*('V06 Calend 01'!E74-1))),'V06 Calend 01'!I74),0))+IF((70='V06 Calend 01'!D74),'V06 Calend 01'!J74,0))</f>
        <v>0</v>
      </c>
      <c r="CE74" s="2">
        <f>((IF((71='V06 Calend 01'!C74),('V06 Calend 01'!F74+'V06 Calend 01'!G74),0)+IF(AND(('V06 Calend 01'!E74&gt;0),(71&gt;'V06 Calend 01'!C74),(71&lt;'V06 Calend 01'!D74),(MOD((71-'V06 Calend 01'!C74),6)=0),(((71-'V06 Calend 01'!C74)/6)&lt;='V06 Calend 01'!E74)),IF((71=('V06 Calend 01'!C74+(6*'V06 Calend 01'!E74))),('V06 Calend 01'!H74-('V06 Calend 01'!I74*('V06 Calend 01'!E74-1))),'V06 Calend 01'!I74),0))+IF((71='V06 Calend 01'!D74),'V06 Calend 01'!J74,0))</f>
        <v>0</v>
      </c>
      <c r="CF74" s="2">
        <f>((IF((72='V06 Calend 01'!C74),('V06 Calend 01'!F74+'V06 Calend 01'!G74),0)+IF(AND(('V06 Calend 01'!E74&gt;0),(72&gt;'V06 Calend 01'!C74),(72&lt;'V06 Calend 01'!D74),(MOD((72-'V06 Calend 01'!C74),6)=0),(((72-'V06 Calend 01'!C74)/6)&lt;='V06 Calend 01'!E74)),IF((72=('V06 Calend 01'!C74+(6*'V06 Calend 01'!E74))),('V06 Calend 01'!H74-('V06 Calend 01'!I74*('V06 Calend 01'!E74-1))),'V06 Calend 01'!I74),0))+IF((72='V06 Calend 01'!D74),'V06 Calend 01'!J74,0))</f>
        <v>0</v>
      </c>
      <c r="CG74" s="2">
        <f>((IF((73='V06 Calend 01'!C74),('V06 Calend 01'!F74+'V06 Calend 01'!G74),0)+IF(AND(('V06 Calend 01'!E74&gt;0),(73&gt;'V06 Calend 01'!C74),(73&lt;'V06 Calend 01'!D74),(MOD((73-'V06 Calend 01'!C74),6)=0),(((73-'V06 Calend 01'!C74)/6)&lt;='V06 Calend 01'!E74)),IF((73=('V06 Calend 01'!C74+(6*'V06 Calend 01'!E74))),('V06 Calend 01'!H74-('V06 Calend 01'!I74*('V06 Calend 01'!E74-1))),'V06 Calend 01'!I74),0))+IF((73='V06 Calend 01'!D74),'V06 Calend 01'!J74,0))</f>
        <v>0</v>
      </c>
      <c r="CH74" s="2">
        <f>((IF((74='V06 Calend 01'!C74),('V06 Calend 01'!F74+'V06 Calend 01'!G74),0)+IF(AND(('V06 Calend 01'!E74&gt;0),(74&gt;'V06 Calend 01'!C74),(74&lt;'V06 Calend 01'!D74),(MOD((74-'V06 Calend 01'!C74),6)=0),(((74-'V06 Calend 01'!C74)/6)&lt;='V06 Calend 01'!E74)),IF((74=('V06 Calend 01'!C74+(6*'V06 Calend 01'!E74))),('V06 Calend 01'!H74-('V06 Calend 01'!I74*('V06 Calend 01'!E74-1))),'V06 Calend 01'!I74),0))+IF((74='V06 Calend 01'!D74),'V06 Calend 01'!J74,0))</f>
        <v>0</v>
      </c>
      <c r="CI74" s="2">
        <f>((IF((75='V06 Calend 01'!C74),('V06 Calend 01'!F74+'V06 Calend 01'!G74),0)+IF(AND(('V06 Calend 01'!E74&gt;0),(75&gt;'V06 Calend 01'!C74),(75&lt;'V06 Calend 01'!D74),(MOD((75-'V06 Calend 01'!C74),6)=0),(((75-'V06 Calend 01'!C74)/6)&lt;='V06 Calend 01'!E74)),IF((75=('V06 Calend 01'!C74+(6*'V06 Calend 01'!E74))),('V06 Calend 01'!H74-('V06 Calend 01'!I74*('V06 Calend 01'!E74-1))),'V06 Calend 01'!I74),0))+IF((75='V06 Calend 01'!D74),'V06 Calend 01'!J74,0))</f>
        <v>0</v>
      </c>
      <c r="CJ74" s="2">
        <f>((IF((76='V06 Calend 01'!C74),('V06 Calend 01'!F74+'V06 Calend 01'!G74),0)+IF(AND(('V06 Calend 01'!E74&gt;0),(76&gt;'V06 Calend 01'!C74),(76&lt;'V06 Calend 01'!D74),(MOD((76-'V06 Calend 01'!C74),6)=0),(((76-'V06 Calend 01'!C74)/6)&lt;='V06 Calend 01'!E74)),IF((76=('V06 Calend 01'!C74+(6*'V06 Calend 01'!E74))),('V06 Calend 01'!H74-('V06 Calend 01'!I74*('V06 Calend 01'!E74-1))),'V06 Calend 01'!I74),0))+IF((76='V06 Calend 01'!D74),'V06 Calend 01'!J74,0))</f>
        <v>0</v>
      </c>
      <c r="CK74" s="2">
        <f>((IF((77='V06 Calend 01'!C74),('V06 Calend 01'!F74+'V06 Calend 01'!G74),0)+IF(AND(('V06 Calend 01'!E74&gt;0),(77&gt;'V06 Calend 01'!C74),(77&lt;'V06 Calend 01'!D74),(MOD((77-'V06 Calend 01'!C74),6)=0),(((77-'V06 Calend 01'!C74)/6)&lt;='V06 Calend 01'!E74)),IF((77=('V06 Calend 01'!C74+(6*'V06 Calend 01'!E74))),('V06 Calend 01'!H74-('V06 Calend 01'!I74*('V06 Calend 01'!E74-1))),'V06 Calend 01'!I74),0))+IF((77='V06 Calend 01'!D74),'V06 Calend 01'!J74,0))</f>
        <v>0</v>
      </c>
      <c r="CL74" s="2">
        <f>((IF((78='V06 Calend 01'!C74),('V06 Calend 01'!F74+'V06 Calend 01'!G74),0)+IF(AND(('V06 Calend 01'!E74&gt;0),(78&gt;'V06 Calend 01'!C74),(78&lt;'V06 Calend 01'!D74),(MOD((78-'V06 Calend 01'!C74),6)=0),(((78-'V06 Calend 01'!C74)/6)&lt;='V06 Calend 01'!E74)),IF((78=('V06 Calend 01'!C74+(6*'V06 Calend 01'!E74))),('V06 Calend 01'!H74-('V06 Calend 01'!I74*('V06 Calend 01'!E74-1))),'V06 Calend 01'!I74),0))+IF((78='V06 Calend 01'!D74),'V06 Calend 01'!J74,0))</f>
        <v>0</v>
      </c>
      <c r="CM74" s="2">
        <f>((IF((79='V06 Calend 01'!C74),('V06 Calend 01'!F74+'V06 Calend 01'!G74),0)+IF(AND(('V06 Calend 01'!E74&gt;0),(79&gt;'V06 Calend 01'!C74),(79&lt;'V06 Calend 01'!D74),(MOD((79-'V06 Calend 01'!C74),6)=0),(((79-'V06 Calend 01'!C74)/6)&lt;='V06 Calend 01'!E74)),IF((79=('V06 Calend 01'!C74+(6*'V06 Calend 01'!E74))),('V06 Calend 01'!H74-('V06 Calend 01'!I74*('V06 Calend 01'!E74-1))),'V06 Calend 01'!I74),0))+IF((79='V06 Calend 01'!D74),'V06 Calend 01'!J74,0))</f>
        <v>0</v>
      </c>
      <c r="CN74" s="2">
        <f>((IF((80='V06 Calend 01'!C74),('V06 Calend 01'!F74+'V06 Calend 01'!G74),0)+IF(AND(('V06 Calend 01'!E74&gt;0),(80&gt;'V06 Calend 01'!C74),(80&lt;'V06 Calend 01'!D74),(MOD((80-'V06 Calend 01'!C74),6)=0),(((80-'V06 Calend 01'!C74)/6)&lt;='V06 Calend 01'!E74)),IF((80=('V06 Calend 01'!C74+(6*'V06 Calend 01'!E74))),('V06 Calend 01'!H74-('V06 Calend 01'!I74*('V06 Calend 01'!E74-1))),'V06 Calend 01'!I74),0))+IF((80='V06 Calend 01'!D74),'V06 Calend 01'!J74,0))</f>
        <v>0</v>
      </c>
      <c r="CO74" s="2">
        <f>((IF((81='V06 Calend 01'!C74),('V06 Calend 01'!F74+'V06 Calend 01'!G74),0)+IF(AND(('V06 Calend 01'!E74&gt;0),(81&gt;'V06 Calend 01'!C74),(81&lt;'V06 Calend 01'!D74),(MOD((81-'V06 Calend 01'!C74),6)=0),(((81-'V06 Calend 01'!C74)/6)&lt;='V06 Calend 01'!E74)),IF((81=('V06 Calend 01'!C74+(6*'V06 Calend 01'!E74))),('V06 Calend 01'!H74-('V06 Calend 01'!I74*('V06 Calend 01'!E74-1))),'V06 Calend 01'!I74),0))+IF((81='V06 Calend 01'!D74),'V06 Calend 01'!J74,0))</f>
        <v>0</v>
      </c>
      <c r="CP74" s="2">
        <f>((IF((82='V06 Calend 01'!C74),('V06 Calend 01'!F74+'V06 Calend 01'!G74),0)+IF(AND(('V06 Calend 01'!E74&gt;0),(82&gt;'V06 Calend 01'!C74),(82&lt;'V06 Calend 01'!D74),(MOD((82-'V06 Calend 01'!C74),6)=0),(((82-'V06 Calend 01'!C74)/6)&lt;='V06 Calend 01'!E74)),IF((82=('V06 Calend 01'!C74+(6*'V06 Calend 01'!E74))),('V06 Calend 01'!H74-('V06 Calend 01'!I74*('V06 Calend 01'!E74-1))),'V06 Calend 01'!I74),0))+IF((82='V06 Calend 01'!D74),'V06 Calend 01'!J74,0))</f>
        <v>0</v>
      </c>
      <c r="CQ74" s="2">
        <f>((IF((83='V06 Calend 01'!C74),('V06 Calend 01'!F74+'V06 Calend 01'!G74),0)+IF(AND(('V06 Calend 01'!E74&gt;0),(83&gt;'V06 Calend 01'!C74),(83&lt;'V06 Calend 01'!D74),(MOD((83-'V06 Calend 01'!C74),6)=0),(((83-'V06 Calend 01'!C74)/6)&lt;='V06 Calend 01'!E74)),IF((83=('V06 Calend 01'!C74+(6*'V06 Calend 01'!E74))),('V06 Calend 01'!H74-('V06 Calend 01'!I74*('V06 Calend 01'!E74-1))),'V06 Calend 01'!I74),0))+IF((83='V06 Calend 01'!D74),'V06 Calend 01'!J74,0))</f>
        <v>0</v>
      </c>
      <c r="CR74" s="2">
        <f>((IF((84='V06 Calend 01'!C74),('V06 Calend 01'!F74+'V06 Calend 01'!G74),0)+IF(AND(('V06 Calend 01'!E74&gt;0),(84&gt;'V06 Calend 01'!C74),(84&lt;'V06 Calend 01'!D74),(MOD((84-'V06 Calend 01'!C74),6)=0),(((84-'V06 Calend 01'!C74)/6)&lt;='V06 Calend 01'!E74)),IF((84=('V06 Calend 01'!C74+(6*'V06 Calend 01'!E74))),('V06 Calend 01'!H74-('V06 Calend 01'!I74*('V06 Calend 01'!E74-1))),'V06 Calend 01'!I74),0))+IF((84='V06 Calend 01'!D74),'V06 Calend 01'!J74,0))</f>
        <v>0</v>
      </c>
      <c r="CS74" s="2">
        <f>((IF((85='V06 Calend 01'!C74),('V06 Calend 01'!F74+'V06 Calend 01'!G74),0)+IF(AND(('V06 Calend 01'!E74&gt;0),(85&gt;'V06 Calend 01'!C74),(85&lt;'V06 Calend 01'!D74),(MOD((85-'V06 Calend 01'!C74),6)=0),(((85-'V06 Calend 01'!C74)/6)&lt;='V06 Calend 01'!E74)),IF((85=('V06 Calend 01'!C74+(6*'V06 Calend 01'!E74))),('V06 Calend 01'!H74-('V06 Calend 01'!I74*('V06 Calend 01'!E74-1))),'V06 Calend 01'!I74),0))+IF((85='V06 Calend 01'!D74),'V06 Calend 01'!J74,0))</f>
        <v>0</v>
      </c>
      <c r="CT74" s="2">
        <f>((IF((86='V06 Calend 01'!C74),('V06 Calend 01'!F74+'V06 Calend 01'!G74),0)+IF(AND(('V06 Calend 01'!E74&gt;0),(86&gt;'V06 Calend 01'!C74),(86&lt;'V06 Calend 01'!D74),(MOD((86-'V06 Calend 01'!C74),6)=0),(((86-'V06 Calend 01'!C74)/6)&lt;='V06 Calend 01'!E74)),IF((86=('V06 Calend 01'!C74+(6*'V06 Calend 01'!E74))),('V06 Calend 01'!H74-('V06 Calend 01'!I74*('V06 Calend 01'!E74-1))),'V06 Calend 01'!I74),0))+IF((86='V06 Calend 01'!D74),'V06 Calend 01'!J74,0))</f>
        <v>0</v>
      </c>
      <c r="CU74" s="2">
        <f>((IF((87='V06 Calend 01'!C74),('V06 Calend 01'!F74+'V06 Calend 01'!G74),0)+IF(AND(('V06 Calend 01'!E74&gt;0),(87&gt;'V06 Calend 01'!C74),(87&lt;'V06 Calend 01'!D74),(MOD((87-'V06 Calend 01'!C74),6)=0),(((87-'V06 Calend 01'!C74)/6)&lt;='V06 Calend 01'!E74)),IF((87=('V06 Calend 01'!C74+(6*'V06 Calend 01'!E74))),('V06 Calend 01'!H74-('V06 Calend 01'!I74*('V06 Calend 01'!E74-1))),'V06 Calend 01'!I74),0))+IF((87='V06 Calend 01'!D74),'V06 Calend 01'!J74,0))</f>
        <v>0</v>
      </c>
      <c r="CV74" s="2">
        <f>((IF((88='V06 Calend 01'!C74),('V06 Calend 01'!F74+'V06 Calend 01'!G74),0)+IF(AND(('V06 Calend 01'!E74&gt;0),(88&gt;'V06 Calend 01'!C74),(88&lt;'V06 Calend 01'!D74),(MOD((88-'V06 Calend 01'!C74),6)=0),(((88-'V06 Calend 01'!C74)/6)&lt;='V06 Calend 01'!E74)),IF((88=('V06 Calend 01'!C74+(6*'V06 Calend 01'!E74))),('V06 Calend 01'!H74-('V06 Calend 01'!I74*('V06 Calend 01'!E74-1))),'V06 Calend 01'!I74),0))+IF((88='V06 Calend 01'!D74),'V06 Calend 01'!J74,0))</f>
        <v>0</v>
      </c>
      <c r="CW74" s="2">
        <f>((IF((89='V06 Calend 01'!C74),('V06 Calend 01'!F74+'V06 Calend 01'!G74),0)+IF(AND(('V06 Calend 01'!E74&gt;0),(89&gt;'V06 Calend 01'!C74),(89&lt;'V06 Calend 01'!D74),(MOD((89-'V06 Calend 01'!C74),6)=0),(((89-'V06 Calend 01'!C74)/6)&lt;='V06 Calend 01'!E74)),IF((89=('V06 Calend 01'!C74+(6*'V06 Calend 01'!E74))),('V06 Calend 01'!H74-('V06 Calend 01'!I74*('V06 Calend 01'!E74-1))),'V06 Calend 01'!I74),0))+IF((89='V06 Calend 01'!D74),'V06 Calend 01'!J74,0))</f>
        <v>0</v>
      </c>
      <c r="CX74" s="2">
        <f>((IF((90='V06 Calend 01'!C74),('V06 Calend 01'!F74+'V06 Calend 01'!G74),0)+IF(AND(('V06 Calend 01'!E74&gt;0),(90&gt;'V06 Calend 01'!C74),(90&lt;'V06 Calend 01'!D74),(MOD((90-'V06 Calend 01'!C74),6)=0),(((90-'V06 Calend 01'!C74)/6)&lt;='V06 Calend 01'!E74)),IF((90=('V06 Calend 01'!C74+(6*'V06 Calend 01'!E74))),('V06 Calend 01'!H74-('V06 Calend 01'!I74*('V06 Calend 01'!E74-1))),'V06 Calend 01'!I74),0))+IF((90='V06 Calend 01'!D74),'V06 Calend 01'!J74,0))</f>
        <v>0</v>
      </c>
      <c r="CY74" s="2">
        <f>((IF((91='V06 Calend 01'!C74),('V06 Calend 01'!F74+'V06 Calend 01'!G74),0)+IF(AND(('V06 Calend 01'!E74&gt;0),(91&gt;'V06 Calend 01'!C74),(91&lt;'V06 Calend 01'!D74),(MOD((91-'V06 Calend 01'!C74),6)=0),(((91-'V06 Calend 01'!C74)/6)&lt;='V06 Calend 01'!E74)),IF((91=('V06 Calend 01'!C74+(6*'V06 Calend 01'!E74))),('V06 Calend 01'!H74-('V06 Calend 01'!I74*('V06 Calend 01'!E74-1))),'V06 Calend 01'!I74),0))+IF((91='V06 Calend 01'!D74),'V06 Calend 01'!J74,0))</f>
        <v>0</v>
      </c>
      <c r="CZ74" s="2">
        <f>((IF((92='V06 Calend 01'!C74),('V06 Calend 01'!F74+'V06 Calend 01'!G74),0)+IF(AND(('V06 Calend 01'!E74&gt;0),(92&gt;'V06 Calend 01'!C74),(92&lt;'V06 Calend 01'!D74),(MOD((92-'V06 Calend 01'!C74),6)=0),(((92-'V06 Calend 01'!C74)/6)&lt;='V06 Calend 01'!E74)),IF((92=('V06 Calend 01'!C74+(6*'V06 Calend 01'!E74))),('V06 Calend 01'!H74-('V06 Calend 01'!I74*('V06 Calend 01'!E74-1))),'V06 Calend 01'!I74),0))+IF((92='V06 Calend 01'!D74),'V06 Calend 01'!J74,0))</f>
        <v>0</v>
      </c>
      <c r="DA74" s="2">
        <f>((IF((93='V06 Calend 01'!C74),('V06 Calend 01'!F74+'V06 Calend 01'!G74),0)+IF(AND(('V06 Calend 01'!E74&gt;0),(93&gt;'V06 Calend 01'!C74),(93&lt;'V06 Calend 01'!D74),(MOD((93-'V06 Calend 01'!C74),6)=0),(((93-'V06 Calend 01'!C74)/6)&lt;='V06 Calend 01'!E74)),IF((93=('V06 Calend 01'!C74+(6*'V06 Calend 01'!E74))),('V06 Calend 01'!H74-('V06 Calend 01'!I74*('V06 Calend 01'!E74-1))),'V06 Calend 01'!I74),0))+IF((93='V06 Calend 01'!D74),'V06 Calend 01'!J74,0))</f>
        <v>0</v>
      </c>
      <c r="DB74" s="2">
        <f>((IF((94='V06 Calend 01'!C74),('V06 Calend 01'!F74+'V06 Calend 01'!G74),0)+IF(AND(('V06 Calend 01'!E74&gt;0),(94&gt;'V06 Calend 01'!C74),(94&lt;'V06 Calend 01'!D74),(MOD((94-'V06 Calend 01'!C74),6)=0),(((94-'V06 Calend 01'!C74)/6)&lt;='V06 Calend 01'!E74)),IF((94=('V06 Calend 01'!C74+(6*'V06 Calend 01'!E74))),('V06 Calend 01'!H74-('V06 Calend 01'!I74*('V06 Calend 01'!E74-1))),'V06 Calend 01'!I74),0))+IF((94='V06 Calend 01'!D74),'V06 Calend 01'!J74,0))</f>
        <v>0</v>
      </c>
      <c r="DC74" s="2">
        <f>((IF((95='V06 Calend 01'!C74),('V06 Calend 01'!F74+'V06 Calend 01'!G74),0)+IF(AND(('V06 Calend 01'!E74&gt;0),(95&gt;'V06 Calend 01'!C74),(95&lt;'V06 Calend 01'!D74),(MOD((95-'V06 Calend 01'!C74),6)=0),(((95-'V06 Calend 01'!C74)/6)&lt;='V06 Calend 01'!E74)),IF((95=('V06 Calend 01'!C74+(6*'V06 Calend 01'!E74))),('V06 Calend 01'!H74-('V06 Calend 01'!I74*('V06 Calend 01'!E74-1))),'V06 Calend 01'!I74),0))+IF((95='V06 Calend 01'!D74),'V06 Calend 01'!J74,0))</f>
        <v>0</v>
      </c>
      <c r="DD74" s="2">
        <f>((IF((96='V06 Calend 01'!C74),('V06 Calend 01'!F74+'V06 Calend 01'!G74),0)+IF(AND(('V06 Calend 01'!E74&gt;0),(96&gt;'V06 Calend 01'!C74),(96&lt;'V06 Calend 01'!D74),(MOD((96-'V06 Calend 01'!C74),6)=0),(((96-'V06 Calend 01'!C74)/6)&lt;='V06 Calend 01'!E74)),IF((96=('V06 Calend 01'!C74+(6*'V06 Calend 01'!E74))),('V06 Calend 01'!H74-('V06 Calend 01'!I74*('V06 Calend 01'!E74-1))),'V06 Calend 01'!I74),0))+IF((96='V06 Calend 01'!D74),'V06 Calend 01'!J74,0))</f>
        <v>0</v>
      </c>
      <c r="DE74" s="2">
        <f>((IF((97='V06 Calend 01'!C74),('V06 Calend 01'!F74+'V06 Calend 01'!G74),0)+IF(AND(('V06 Calend 01'!E74&gt;0),(97&gt;'V06 Calend 01'!C74),(97&lt;'V06 Calend 01'!D74),(MOD((97-'V06 Calend 01'!C74),6)=0),(((97-'V06 Calend 01'!C74)/6)&lt;='V06 Calend 01'!E74)),IF((97=('V06 Calend 01'!C74+(6*'V06 Calend 01'!E74))),('V06 Calend 01'!H74-('V06 Calend 01'!I74*('V06 Calend 01'!E74-1))),'V06 Calend 01'!I74),0))+IF((97='V06 Calend 01'!D74),'V06 Calend 01'!J74,0))</f>
        <v>0</v>
      </c>
      <c r="DF74" s="2">
        <f>((IF((98='V06 Calend 01'!C74),('V06 Calend 01'!F74+'V06 Calend 01'!G74),0)+IF(AND(('V06 Calend 01'!E74&gt;0),(98&gt;'V06 Calend 01'!C74),(98&lt;'V06 Calend 01'!D74),(MOD((98-'V06 Calend 01'!C74),6)=0),(((98-'V06 Calend 01'!C74)/6)&lt;='V06 Calend 01'!E74)),IF((98=('V06 Calend 01'!C74+(6*'V06 Calend 01'!E74))),('V06 Calend 01'!H74-('V06 Calend 01'!I74*('V06 Calend 01'!E74-1))),'V06 Calend 01'!I74),0))+IF((98='V06 Calend 01'!D74),'V06 Calend 01'!J74,0))</f>
        <v>0</v>
      </c>
      <c r="DG74" s="2">
        <f>((IF((99='V06 Calend 01'!C74),('V06 Calend 01'!F74+'V06 Calend 01'!G74),0)+IF(AND(('V06 Calend 01'!E74&gt;0),(99&gt;'V06 Calend 01'!C74),(99&lt;'V06 Calend 01'!D74),(MOD((99-'V06 Calend 01'!C74),6)=0),(((99-'V06 Calend 01'!C74)/6)&lt;='V06 Calend 01'!E74)),IF((99=('V06 Calend 01'!C74+(6*'V06 Calend 01'!E74))),('V06 Calend 01'!H74-('V06 Calend 01'!I74*('V06 Calend 01'!E74-1))),'V06 Calend 01'!I74),0))+IF((99='V06 Calend 01'!D74),'V06 Calend 01'!J74,0))</f>
        <v>0</v>
      </c>
      <c r="DH74" s="2">
        <f>((IF((100='V06 Calend 01'!C74),('V06 Calend 01'!F74+'V06 Calend 01'!G74),0)+IF(AND(('V06 Calend 01'!E74&gt;0),(100&gt;'V06 Calend 01'!C74),(100&lt;'V06 Calend 01'!D74),(MOD((100-'V06 Calend 01'!C74),6)=0),(((100-'V06 Calend 01'!C74)/6)&lt;='V06 Calend 01'!E74)),IF((100=('V06 Calend 01'!C74+(6*'V06 Calend 01'!E74))),('V06 Calend 01'!H74-('V06 Calend 01'!I74*('V06 Calend 01'!E74-1))),'V06 Calend 01'!I74),0))+IF((100='V06 Calend 01'!D74),'V06 Calend 01'!J74,0))</f>
        <v>0</v>
      </c>
      <c r="DI74" s="2">
        <f>((IF((101='V06 Calend 01'!C74),('V06 Calend 01'!F74+'V06 Calend 01'!G74),0)+IF(AND(('V06 Calend 01'!E74&gt;0),(101&gt;'V06 Calend 01'!C74),(101&lt;'V06 Calend 01'!D74),(MOD((101-'V06 Calend 01'!C74),6)=0),(((101-'V06 Calend 01'!C74)/6)&lt;='V06 Calend 01'!E74)),IF((101=('V06 Calend 01'!C74+(6*'V06 Calend 01'!E74))),('V06 Calend 01'!H74-('V06 Calend 01'!I74*('V06 Calend 01'!E74-1))),'V06 Calend 01'!I74),0))+IF((101='V06 Calend 01'!D74),'V06 Calend 01'!J74,0))</f>
        <v>0</v>
      </c>
      <c r="DJ74" s="2">
        <f>((IF((102='V06 Calend 01'!C74),('V06 Calend 01'!F74+'V06 Calend 01'!G74),0)+IF(AND(('V06 Calend 01'!E74&gt;0),(102&gt;'V06 Calend 01'!C74),(102&lt;'V06 Calend 01'!D74),(MOD((102-'V06 Calend 01'!C74),6)=0),(((102-'V06 Calend 01'!C74)/6)&lt;='V06 Calend 01'!E74)),IF((102=('V06 Calend 01'!C74+(6*'V06 Calend 01'!E74))),('V06 Calend 01'!H74-('V06 Calend 01'!I74*('V06 Calend 01'!E74-1))),'V06 Calend 01'!I74),0))+IF((102='V06 Calend 01'!D74),'V06 Calend 01'!J74,0))</f>
        <v>0</v>
      </c>
      <c r="DK74" s="2">
        <f>((IF((103='V06 Calend 01'!C74),('V06 Calend 01'!F74+'V06 Calend 01'!G74),0)+IF(AND(('V06 Calend 01'!E74&gt;0),(103&gt;'V06 Calend 01'!C74),(103&lt;'V06 Calend 01'!D74),(MOD((103-'V06 Calend 01'!C74),6)=0),(((103-'V06 Calend 01'!C74)/6)&lt;='V06 Calend 01'!E74)),IF((103=('V06 Calend 01'!C74+(6*'V06 Calend 01'!E74))),('V06 Calend 01'!H74-('V06 Calend 01'!I74*('V06 Calend 01'!E74-1))),'V06 Calend 01'!I74),0))+IF((103='V06 Calend 01'!D74),'V06 Calend 01'!J74,0))</f>
        <v>0</v>
      </c>
      <c r="DL74" s="2">
        <f>((IF((104='V06 Calend 01'!C74),('V06 Calend 01'!F74+'V06 Calend 01'!G74),0)+IF(AND(('V06 Calend 01'!E74&gt;0),(104&gt;'V06 Calend 01'!C74),(104&lt;'V06 Calend 01'!D74),(MOD((104-'V06 Calend 01'!C74),6)=0),(((104-'V06 Calend 01'!C74)/6)&lt;='V06 Calend 01'!E74)),IF((104=('V06 Calend 01'!C74+(6*'V06 Calend 01'!E74))),('V06 Calend 01'!H74-('V06 Calend 01'!I74*('V06 Calend 01'!E74-1))),'V06 Calend 01'!I74),0))+IF((104='V06 Calend 01'!D74),'V06 Calend 01'!J74,0))</f>
        <v>0</v>
      </c>
      <c r="DM74" s="2">
        <f>((IF((105='V06 Calend 01'!C74),('V06 Calend 01'!F74+'V06 Calend 01'!G74),0)+IF(AND(('V06 Calend 01'!E74&gt;0),(105&gt;'V06 Calend 01'!C74),(105&lt;'V06 Calend 01'!D74),(MOD((105-'V06 Calend 01'!C74),6)=0),(((105-'V06 Calend 01'!C74)/6)&lt;='V06 Calend 01'!E74)),IF((105=('V06 Calend 01'!C74+(6*'V06 Calend 01'!E74))),('V06 Calend 01'!H74-('V06 Calend 01'!I74*('V06 Calend 01'!E74-1))),'V06 Calend 01'!I74),0))+IF((105='V06 Calend 01'!D74),'V06 Calend 01'!J74,0))</f>
        <v>0</v>
      </c>
      <c r="DN74" s="2">
        <f>((IF((106='V06 Calend 01'!C74),('V06 Calend 01'!F74+'V06 Calend 01'!G74),0)+IF(AND(('V06 Calend 01'!E74&gt;0),(106&gt;'V06 Calend 01'!C74),(106&lt;'V06 Calend 01'!D74),(MOD((106-'V06 Calend 01'!C74),6)=0),(((106-'V06 Calend 01'!C74)/6)&lt;='V06 Calend 01'!E74)),IF((106=('V06 Calend 01'!C74+(6*'V06 Calend 01'!E74))),('V06 Calend 01'!H74-('V06 Calend 01'!I74*('V06 Calend 01'!E74-1))),'V06 Calend 01'!I74),0))+IF((106='V06 Calend 01'!D74),'V06 Calend 01'!J74,0))</f>
        <v>0</v>
      </c>
      <c r="DO74" s="2">
        <f>((IF((107='V06 Calend 01'!C74),('V06 Calend 01'!F74+'V06 Calend 01'!G74),0)+IF(AND(('V06 Calend 01'!E74&gt;0),(107&gt;'V06 Calend 01'!C74),(107&lt;'V06 Calend 01'!D74),(MOD((107-'V06 Calend 01'!C74),6)=0),(((107-'V06 Calend 01'!C74)/6)&lt;='V06 Calend 01'!E74)),IF((107=('V06 Calend 01'!C74+(6*'V06 Calend 01'!E74))),('V06 Calend 01'!H74-('V06 Calend 01'!I74*('V06 Calend 01'!E74-1))),'V06 Calend 01'!I74),0))+IF((107='V06 Calend 01'!D74),'V06 Calend 01'!J74,0))</f>
        <v>0</v>
      </c>
      <c r="DP74" s="2">
        <f>((IF((108='V06 Calend 01'!C74),('V06 Calend 01'!F74+'V06 Calend 01'!G74),0)+IF(AND(('V06 Calend 01'!E74&gt;0),(108&gt;'V06 Calend 01'!C74),(108&lt;'V06 Calend 01'!D74),(MOD((108-'V06 Calend 01'!C74),6)=0),(((108-'V06 Calend 01'!C74)/6)&lt;='V06 Calend 01'!E74)),IF((108=('V06 Calend 01'!C74+(6*'V06 Calend 01'!E74))),('V06 Calend 01'!H74-('V06 Calend 01'!I74*('V06 Calend 01'!E74-1))),'V06 Calend 01'!I74),0))+IF((108='V06 Calend 01'!D74),'V06 Calend 01'!J74,0))</f>
        <v>0</v>
      </c>
      <c r="DQ74" s="2">
        <f>((IF((109='V06 Calend 01'!C74),('V06 Calend 01'!F74+'V06 Calend 01'!G74),0)+IF(AND(('V06 Calend 01'!E74&gt;0),(109&gt;'V06 Calend 01'!C74),(109&lt;'V06 Calend 01'!D74),(MOD((109-'V06 Calend 01'!C74),6)=0),(((109-'V06 Calend 01'!C74)/6)&lt;='V06 Calend 01'!E74)),IF((109=('V06 Calend 01'!C74+(6*'V06 Calend 01'!E74))),('V06 Calend 01'!H74-('V06 Calend 01'!I74*('V06 Calend 01'!E74-1))),'V06 Calend 01'!I74),0))+IF((109='V06 Calend 01'!D74),'V06 Calend 01'!J74,0))</f>
        <v>0</v>
      </c>
      <c r="DR74" s="2">
        <f>((IF((110='V06 Calend 01'!C74),('V06 Calend 01'!F74+'V06 Calend 01'!G74),0)+IF(AND(('V06 Calend 01'!E74&gt;0),(110&gt;'V06 Calend 01'!C74),(110&lt;'V06 Calend 01'!D74),(MOD((110-'V06 Calend 01'!C74),6)=0),(((110-'V06 Calend 01'!C74)/6)&lt;='V06 Calend 01'!E74)),IF((110=('V06 Calend 01'!C74+(6*'V06 Calend 01'!E74))),('V06 Calend 01'!H74-('V06 Calend 01'!I74*('V06 Calend 01'!E74-1))),'V06 Calend 01'!I74),0))+IF((110='V06 Calend 01'!D74),'V06 Calend 01'!J74,0))</f>
        <v>0</v>
      </c>
      <c r="DS74" s="2">
        <f>((IF((111='V06 Calend 01'!C74),('V06 Calend 01'!F74+'V06 Calend 01'!G74),0)+IF(AND(('V06 Calend 01'!E74&gt;0),(111&gt;'V06 Calend 01'!C74),(111&lt;'V06 Calend 01'!D74),(MOD((111-'V06 Calend 01'!C74),6)=0),(((111-'V06 Calend 01'!C74)/6)&lt;='V06 Calend 01'!E74)),IF((111=('V06 Calend 01'!C74+(6*'V06 Calend 01'!E74))),('V06 Calend 01'!H74-('V06 Calend 01'!I74*('V06 Calend 01'!E74-1))),'V06 Calend 01'!I74),0))+IF((111='V06 Calend 01'!D74),'V06 Calend 01'!J74,0))</f>
        <v>0</v>
      </c>
      <c r="DT74" s="2">
        <f>((IF((112='V06 Calend 01'!C74),('V06 Calend 01'!F74+'V06 Calend 01'!G74),0)+IF(AND(('V06 Calend 01'!E74&gt;0),(112&gt;'V06 Calend 01'!C74),(112&lt;'V06 Calend 01'!D74),(MOD((112-'V06 Calend 01'!C74),6)=0),(((112-'V06 Calend 01'!C74)/6)&lt;='V06 Calend 01'!E74)),IF((112=('V06 Calend 01'!C74+(6*'V06 Calend 01'!E74))),('V06 Calend 01'!H74-('V06 Calend 01'!I74*('V06 Calend 01'!E74-1))),'V06 Calend 01'!I74),0))+IF((112='V06 Calend 01'!D74),'V06 Calend 01'!J74,0))</f>
        <v>0</v>
      </c>
      <c r="DU74" s="2">
        <f>((IF((113='V06 Calend 01'!C74),('V06 Calend 01'!F74+'V06 Calend 01'!G74),0)+IF(AND(('V06 Calend 01'!E74&gt;0),(113&gt;'V06 Calend 01'!C74),(113&lt;'V06 Calend 01'!D74),(MOD((113-'V06 Calend 01'!C74),6)=0),(((113-'V06 Calend 01'!C74)/6)&lt;='V06 Calend 01'!E74)),IF((113=('V06 Calend 01'!C74+(6*'V06 Calend 01'!E74))),('V06 Calend 01'!H74-('V06 Calend 01'!I74*('V06 Calend 01'!E74-1))),'V06 Calend 01'!I74),0))+IF((113='V06 Calend 01'!D74),'V06 Calend 01'!J74,0))</f>
        <v>0</v>
      </c>
      <c r="DV74" s="2">
        <f>((IF((114='V06 Calend 01'!C74),('V06 Calend 01'!F74+'V06 Calend 01'!G74),0)+IF(AND(('V06 Calend 01'!E74&gt;0),(114&gt;'V06 Calend 01'!C74),(114&lt;'V06 Calend 01'!D74),(MOD((114-'V06 Calend 01'!C74),6)=0),(((114-'V06 Calend 01'!C74)/6)&lt;='V06 Calend 01'!E74)),IF((114=('V06 Calend 01'!C74+(6*'V06 Calend 01'!E74))),('V06 Calend 01'!H74-('V06 Calend 01'!I74*('V06 Calend 01'!E74-1))),'V06 Calend 01'!I74),0))+IF((114='V06 Calend 01'!D74),'V06 Calend 01'!J74,0))</f>
        <v>0</v>
      </c>
      <c r="DW74" s="2">
        <f>((IF((115='V06 Calend 01'!C74),('V06 Calend 01'!F74+'V06 Calend 01'!G74),0)+IF(AND(('V06 Calend 01'!E74&gt;0),(115&gt;'V06 Calend 01'!C74),(115&lt;'V06 Calend 01'!D74),(MOD((115-'V06 Calend 01'!C74),6)=0),(((115-'V06 Calend 01'!C74)/6)&lt;='V06 Calend 01'!E74)),IF((115=('V06 Calend 01'!C74+(6*'V06 Calend 01'!E74))),('V06 Calend 01'!H74-('V06 Calend 01'!I74*('V06 Calend 01'!E74-1))),'V06 Calend 01'!I74),0))+IF((115='V06 Calend 01'!D74),'V06 Calend 01'!J74,0))</f>
        <v>0</v>
      </c>
      <c r="DX74" s="2">
        <f>((IF((116='V06 Calend 01'!C74),('V06 Calend 01'!F74+'V06 Calend 01'!G74),0)+IF(AND(('V06 Calend 01'!E74&gt;0),(116&gt;'V06 Calend 01'!C74),(116&lt;'V06 Calend 01'!D74),(MOD((116-'V06 Calend 01'!C74),6)=0),(((116-'V06 Calend 01'!C74)/6)&lt;='V06 Calend 01'!E74)),IF((116=('V06 Calend 01'!C74+(6*'V06 Calend 01'!E74))),('V06 Calend 01'!H74-('V06 Calend 01'!I74*('V06 Calend 01'!E74-1))),'V06 Calend 01'!I74),0))+IF((116='V06 Calend 01'!D74),'V06 Calend 01'!J74,0))</f>
        <v>0</v>
      </c>
      <c r="DY74" s="2">
        <f>((IF((117='V06 Calend 01'!C74),('V06 Calend 01'!F74+'V06 Calend 01'!G74),0)+IF(AND(('V06 Calend 01'!E74&gt;0),(117&gt;'V06 Calend 01'!C74),(117&lt;'V06 Calend 01'!D74),(MOD((117-'V06 Calend 01'!C74),6)=0),(((117-'V06 Calend 01'!C74)/6)&lt;='V06 Calend 01'!E74)),IF((117=('V06 Calend 01'!C74+(6*'V06 Calend 01'!E74))),('V06 Calend 01'!H74-('V06 Calend 01'!I74*('V06 Calend 01'!E74-1))),'V06 Calend 01'!I74),0))+IF((117='V06 Calend 01'!D74),'V06 Calend 01'!J74,0))</f>
        <v>0</v>
      </c>
      <c r="DZ74" s="2">
        <f>((IF((118='V06 Calend 01'!C74),('V06 Calend 01'!F74+'V06 Calend 01'!G74),0)+IF(AND(('V06 Calend 01'!E74&gt;0),(118&gt;'V06 Calend 01'!C74),(118&lt;'V06 Calend 01'!D74),(MOD((118-'V06 Calend 01'!C74),6)=0),(((118-'V06 Calend 01'!C74)/6)&lt;='V06 Calend 01'!E74)),IF((118=('V06 Calend 01'!C74+(6*'V06 Calend 01'!E74))),('V06 Calend 01'!H74-('V06 Calend 01'!I74*('V06 Calend 01'!E74-1))),'V06 Calend 01'!I74),0))+IF((118='V06 Calend 01'!D74),'V06 Calend 01'!J74,0))</f>
        <v>0</v>
      </c>
      <c r="EA74" s="2">
        <f>((IF((119='V06 Calend 01'!C74),('V06 Calend 01'!F74+'V06 Calend 01'!G74),0)+IF(AND(('V06 Calend 01'!E74&gt;0),(119&gt;'V06 Calend 01'!C74),(119&lt;'V06 Calend 01'!D74),(MOD((119-'V06 Calend 01'!C74),6)=0),(((119-'V06 Calend 01'!C74)/6)&lt;='V06 Calend 01'!E74)),IF((119=('V06 Calend 01'!C74+(6*'V06 Calend 01'!E74))),('V06 Calend 01'!H74-('V06 Calend 01'!I74*('V06 Calend 01'!E74-1))),'V06 Calend 01'!I74),0))+IF((119='V06 Calend 01'!D74),'V06 Calend 01'!J74,0))</f>
        <v>0</v>
      </c>
      <c r="EB74" s="2">
        <f>((IF((120='V06 Calend 01'!C74),('V06 Calend 01'!F74+'V06 Calend 01'!G74),0)+IF(AND(('V06 Calend 01'!E74&gt;0),(120&gt;'V06 Calend 01'!C74),(120&lt;'V06 Calend 01'!D74),(MOD((120-'V06 Calend 01'!C74),6)=0),(((120-'V06 Calend 01'!C74)/6)&lt;='V06 Calend 01'!E74)),IF((120=('V06 Calend 01'!C74+(6*'V06 Calend 01'!E74))),('V06 Calend 01'!H74-('V06 Calend 01'!I74*('V06 Calend 01'!E74-1))),'V06 Calend 01'!I74),0))+IF((120='V06 Calend 01'!D74),'V06 Calend 01'!J74,0))</f>
        <v>0</v>
      </c>
      <c r="EC74" s="2">
        <f>((IF((121='V06 Calend 01'!C74),('V06 Calend 01'!F74+'V06 Calend 01'!G74),0)+IF(AND(('V06 Calend 01'!E74&gt;0),(121&gt;'V06 Calend 01'!C74),(121&lt;'V06 Calend 01'!D74),(MOD((121-'V06 Calend 01'!C74),6)=0),(((121-'V06 Calend 01'!C74)/6)&lt;='V06 Calend 01'!E74)),IF((121=('V06 Calend 01'!C74+(6*'V06 Calend 01'!E74))),('V06 Calend 01'!H74-('V06 Calend 01'!I74*('V06 Calend 01'!E74-1))),'V06 Calend 01'!I74),0))+IF((121='V06 Calend 01'!D74),'V06 Calend 01'!J74,0))</f>
        <v>0</v>
      </c>
      <c r="ED74" s="2">
        <f>((IF((122='V06 Calend 01'!C74),('V06 Calend 01'!F74+'V06 Calend 01'!G74),0)+IF(AND(('V06 Calend 01'!E74&gt;0),(122&gt;'V06 Calend 01'!C74),(122&lt;'V06 Calend 01'!D74),(MOD((122-'V06 Calend 01'!C74),6)=0),(((122-'V06 Calend 01'!C74)/6)&lt;='V06 Calend 01'!E74)),IF((122=('V06 Calend 01'!C74+(6*'V06 Calend 01'!E74))),('V06 Calend 01'!H74-('V06 Calend 01'!I74*('V06 Calend 01'!E74-1))),'V06 Calend 01'!I74),0))+IF((122='V06 Calend 01'!D74),'V06 Calend 01'!J74,0))</f>
        <v>0</v>
      </c>
      <c r="EE74" s="2">
        <f>((IF((123='V06 Calend 01'!C74),('V06 Calend 01'!F74+'V06 Calend 01'!G74),0)+IF(AND(('V06 Calend 01'!E74&gt;0),(123&gt;'V06 Calend 01'!C74),(123&lt;'V06 Calend 01'!D74),(MOD((123-'V06 Calend 01'!C74),6)=0),(((123-'V06 Calend 01'!C74)/6)&lt;='V06 Calend 01'!E74)),IF((123=('V06 Calend 01'!C74+(6*'V06 Calend 01'!E74))),('V06 Calend 01'!H74-('V06 Calend 01'!I74*('V06 Calend 01'!E74-1))),'V06 Calend 01'!I74),0))+IF((123='V06 Calend 01'!D74),'V06 Calend 01'!J74,0))</f>
        <v>0</v>
      </c>
      <c r="EF74" s="2">
        <f>((IF((124='V06 Calend 01'!C74),('V06 Calend 01'!F74+'V06 Calend 01'!G74),0)+IF(AND(('V06 Calend 01'!E74&gt;0),(124&gt;'V06 Calend 01'!C74),(124&lt;'V06 Calend 01'!D74),(MOD((124-'V06 Calend 01'!C74),6)=0),(((124-'V06 Calend 01'!C74)/6)&lt;='V06 Calend 01'!E74)),IF((124=('V06 Calend 01'!C74+(6*'V06 Calend 01'!E74))),('V06 Calend 01'!H74-('V06 Calend 01'!I74*('V06 Calend 01'!E74-1))),'V06 Calend 01'!I74),0))+IF((124='V06 Calend 01'!D74),'V06 Calend 01'!J74,0))</f>
        <v>0</v>
      </c>
      <c r="EG74" s="2">
        <f>((IF((125='V06 Calend 01'!C74),('V06 Calend 01'!F74+'V06 Calend 01'!G74),0)+IF(AND(('V06 Calend 01'!E74&gt;0),(125&gt;'V06 Calend 01'!C74),(125&lt;'V06 Calend 01'!D74),(MOD((125-'V06 Calend 01'!C74),6)=0),(((125-'V06 Calend 01'!C74)/6)&lt;='V06 Calend 01'!E74)),IF((125=('V06 Calend 01'!C74+(6*'V06 Calend 01'!E74))),('V06 Calend 01'!H74-('V06 Calend 01'!I74*('V06 Calend 01'!E74-1))),'V06 Calend 01'!I74),0))+IF((125='V06 Calend 01'!D74),'V06 Calend 01'!J74,0))</f>
        <v>0</v>
      </c>
      <c r="EH74" s="2">
        <f>((IF((126='V06 Calend 01'!C74),('V06 Calend 01'!F74+'V06 Calend 01'!G74),0)+IF(AND(('V06 Calend 01'!E74&gt;0),(126&gt;'V06 Calend 01'!C74),(126&lt;'V06 Calend 01'!D74),(MOD((126-'V06 Calend 01'!C74),6)=0),(((126-'V06 Calend 01'!C74)/6)&lt;='V06 Calend 01'!E74)),IF((126=('V06 Calend 01'!C74+(6*'V06 Calend 01'!E74))),('V06 Calend 01'!H74-('V06 Calend 01'!I74*('V06 Calend 01'!E74-1))),'V06 Calend 01'!I74),0))+IF((126='V06 Calend 01'!D74),'V06 Calend 01'!J74,0))</f>
        <v>0</v>
      </c>
      <c r="EI74" s="2">
        <f>((IF((127='V06 Calend 01'!C74),('V06 Calend 01'!F74+'V06 Calend 01'!G74),0)+IF(AND(('V06 Calend 01'!E74&gt;0),(127&gt;'V06 Calend 01'!C74),(127&lt;'V06 Calend 01'!D74),(MOD((127-'V06 Calend 01'!C74),6)=0),(((127-'V06 Calend 01'!C74)/6)&lt;='V06 Calend 01'!E74)),IF((127=('V06 Calend 01'!C74+(6*'V06 Calend 01'!E74))),('V06 Calend 01'!H74-('V06 Calend 01'!I74*('V06 Calend 01'!E74-1))),'V06 Calend 01'!I74),0))+IF((127='V06 Calend 01'!D74),'V06 Calend 01'!J74,0))</f>
        <v>0</v>
      </c>
      <c r="EJ74" s="2">
        <f>((IF((128='V06 Calend 01'!C74),('V06 Calend 01'!F74+'V06 Calend 01'!G74),0)+IF(AND(('V06 Calend 01'!E74&gt;0),(128&gt;'V06 Calend 01'!C74),(128&lt;'V06 Calend 01'!D74),(MOD((128-'V06 Calend 01'!C74),6)=0),(((128-'V06 Calend 01'!C74)/6)&lt;='V06 Calend 01'!E74)),IF((128=('V06 Calend 01'!C74+(6*'V06 Calend 01'!E74))),('V06 Calend 01'!H74-('V06 Calend 01'!I74*('V06 Calend 01'!E74-1))),'V06 Calend 01'!I74),0))+IF((128='V06 Calend 01'!D74),'V06 Calend 01'!J74,0))</f>
        <v>0</v>
      </c>
      <c r="EK74" s="2">
        <f>((IF((129='V06 Calend 01'!C74),('V06 Calend 01'!F74+'V06 Calend 01'!G74),0)+IF(AND(('V06 Calend 01'!E74&gt;0),(129&gt;'V06 Calend 01'!C74),(129&lt;'V06 Calend 01'!D74),(MOD((129-'V06 Calend 01'!C74),6)=0),(((129-'V06 Calend 01'!C74)/6)&lt;='V06 Calend 01'!E74)),IF((129=('V06 Calend 01'!C74+(6*'V06 Calend 01'!E74))),('V06 Calend 01'!H74-('V06 Calend 01'!I74*('V06 Calend 01'!E74-1))),'V06 Calend 01'!I74),0))+IF((129='V06 Calend 01'!D74),'V06 Calend 01'!J74,0))</f>
        <v>0</v>
      </c>
      <c r="EL74" s="2">
        <f>((IF((130='V06 Calend 01'!C74),('V06 Calend 01'!F74+'V06 Calend 01'!G74),0)+IF(AND(('V06 Calend 01'!E74&gt;0),(130&gt;'V06 Calend 01'!C74),(130&lt;'V06 Calend 01'!D74),(MOD((130-'V06 Calend 01'!C74),6)=0),(((130-'V06 Calend 01'!C74)/6)&lt;='V06 Calend 01'!E74)),IF((130=('V06 Calend 01'!C74+(6*'V06 Calend 01'!E74))),('V06 Calend 01'!H74-('V06 Calend 01'!I74*('V06 Calend 01'!E74-1))),'V06 Calend 01'!I74),0))+IF((130='V06 Calend 01'!D74),'V06 Calend 01'!J74,0))</f>
        <v>0</v>
      </c>
      <c r="EM74" s="2">
        <f>((IF((131='V06 Calend 01'!C74),('V06 Calend 01'!F74+'V06 Calend 01'!G74),0)+IF(AND(('V06 Calend 01'!E74&gt;0),(131&gt;'V06 Calend 01'!C74),(131&lt;'V06 Calend 01'!D74),(MOD((131-'V06 Calend 01'!C74),6)=0),(((131-'V06 Calend 01'!C74)/6)&lt;='V06 Calend 01'!E74)),IF((131=('V06 Calend 01'!C74+(6*'V06 Calend 01'!E74))),('V06 Calend 01'!H74-('V06 Calend 01'!I74*('V06 Calend 01'!E74-1))),'V06 Calend 01'!I74),0))+IF((131='V06 Calend 01'!D74),'V06 Calend 01'!J74,0))</f>
        <v>0</v>
      </c>
      <c r="EN74" s="2">
        <f>((IF((132='V06 Calend 01'!C74),('V06 Calend 01'!F74+'V06 Calend 01'!G74),0)+IF(AND(('V06 Calend 01'!E74&gt;0),(132&gt;'V06 Calend 01'!C74),(132&lt;'V06 Calend 01'!D74),(MOD((132-'V06 Calend 01'!C74),6)=0),(((132-'V06 Calend 01'!C74)/6)&lt;='V06 Calend 01'!E74)),IF((132=('V06 Calend 01'!C74+(6*'V06 Calend 01'!E74))),('V06 Calend 01'!H74-('V06 Calend 01'!I74*('V06 Calend 01'!E74-1))),'V06 Calend 01'!I74),0))+IF((132='V06 Calend 01'!D74),'V06 Calend 01'!J74,0))</f>
        <v>0</v>
      </c>
      <c r="EO74" s="2">
        <f>((IF((133='V06 Calend 01'!C74),('V06 Calend 01'!F74+'V06 Calend 01'!G74),0)+IF(AND(('V06 Calend 01'!E74&gt;0),(133&gt;'V06 Calend 01'!C74),(133&lt;'V06 Calend 01'!D74),(MOD((133-'V06 Calend 01'!C74),6)=0),(((133-'V06 Calend 01'!C74)/6)&lt;='V06 Calend 01'!E74)),IF((133=('V06 Calend 01'!C74+(6*'V06 Calend 01'!E74))),('V06 Calend 01'!H74-('V06 Calend 01'!I74*('V06 Calend 01'!E74-1))),'V06 Calend 01'!I74),0))+IF((133='V06 Calend 01'!D74),'V06 Calend 01'!J74,0))</f>
        <v>0</v>
      </c>
      <c r="EP74" s="2">
        <f>((IF((134='V06 Calend 01'!C74),('V06 Calend 01'!F74+'V06 Calend 01'!G74),0)+IF(AND(('V06 Calend 01'!E74&gt;0),(134&gt;'V06 Calend 01'!C74),(134&lt;'V06 Calend 01'!D74),(MOD((134-'V06 Calend 01'!C74),6)=0),(((134-'V06 Calend 01'!C74)/6)&lt;='V06 Calend 01'!E74)),IF((134=('V06 Calend 01'!C74+(6*'V06 Calend 01'!E74))),('V06 Calend 01'!H74-('V06 Calend 01'!I74*('V06 Calend 01'!E74-1))),'V06 Calend 01'!I74),0))+IF((134='V06 Calend 01'!D74),'V06 Calend 01'!J74,0))</f>
        <v>0</v>
      </c>
      <c r="EQ74" s="2">
        <f>((IF((135='V06 Calend 01'!C74),('V06 Calend 01'!F74+'V06 Calend 01'!G74),0)+IF(AND(('V06 Calend 01'!E74&gt;0),(135&gt;'V06 Calend 01'!C74),(135&lt;'V06 Calend 01'!D74),(MOD((135-'V06 Calend 01'!C74),6)=0),(((135-'V06 Calend 01'!C74)/6)&lt;='V06 Calend 01'!E74)),IF((135=('V06 Calend 01'!C74+(6*'V06 Calend 01'!E74))),('V06 Calend 01'!H74-('V06 Calend 01'!I74*('V06 Calend 01'!E74-1))),'V06 Calend 01'!I74),0))+IF((135='V06 Calend 01'!D74),'V06 Calend 01'!J74,0))</f>
        <v>0</v>
      </c>
      <c r="ER74" s="2">
        <f>((IF((136='V06 Calend 01'!C74),('V06 Calend 01'!F74+'V06 Calend 01'!G74),0)+IF(AND(('V06 Calend 01'!E74&gt;0),(136&gt;'V06 Calend 01'!C74),(136&lt;'V06 Calend 01'!D74),(MOD((136-'V06 Calend 01'!C74),6)=0),(((136-'V06 Calend 01'!C74)/6)&lt;='V06 Calend 01'!E74)),IF((136=('V06 Calend 01'!C74+(6*'V06 Calend 01'!E74))),('V06 Calend 01'!H74-('V06 Calend 01'!I74*('V06 Calend 01'!E74-1))),'V06 Calend 01'!I74),0))+IF((136='V06 Calend 01'!D74),'V06 Calend 01'!J74,0))</f>
        <v>0</v>
      </c>
      <c r="ES74" s="2">
        <f>((IF((137='V06 Calend 01'!C74),('V06 Calend 01'!F74+'V06 Calend 01'!G74),0)+IF(AND(('V06 Calend 01'!E74&gt;0),(137&gt;'V06 Calend 01'!C74),(137&lt;'V06 Calend 01'!D74),(MOD((137-'V06 Calend 01'!C74),6)=0),(((137-'V06 Calend 01'!C74)/6)&lt;='V06 Calend 01'!E74)),IF((137=('V06 Calend 01'!C74+(6*'V06 Calend 01'!E74))),('V06 Calend 01'!H74-('V06 Calend 01'!I74*('V06 Calend 01'!E74-1))),'V06 Calend 01'!I74),0))+IF((137='V06 Calend 01'!D74),'V06 Calend 01'!J74,0))</f>
        <v>0</v>
      </c>
      <c r="ET74" s="2">
        <f>((IF((138='V06 Calend 01'!C74),('V06 Calend 01'!F74+'V06 Calend 01'!G74),0)+IF(AND(('V06 Calend 01'!E74&gt;0),(138&gt;'V06 Calend 01'!C74),(138&lt;'V06 Calend 01'!D74),(MOD((138-'V06 Calend 01'!C74),6)=0),(((138-'V06 Calend 01'!C74)/6)&lt;='V06 Calend 01'!E74)),IF((138=('V06 Calend 01'!C74+(6*'V06 Calend 01'!E74))),('V06 Calend 01'!H74-('V06 Calend 01'!I74*('V06 Calend 01'!E74-1))),'V06 Calend 01'!I74),0))+IF((138='V06 Calend 01'!D74),'V06 Calend 01'!J74,0))</f>
        <v>0</v>
      </c>
      <c r="EU74" s="2">
        <f>((IF((139='V06 Calend 01'!C74),('V06 Calend 01'!F74+'V06 Calend 01'!G74),0)+IF(AND(('V06 Calend 01'!E74&gt;0),(139&gt;'V06 Calend 01'!C74),(139&lt;'V06 Calend 01'!D74),(MOD((139-'V06 Calend 01'!C74),6)=0),(((139-'V06 Calend 01'!C74)/6)&lt;='V06 Calend 01'!E74)),IF((139=('V06 Calend 01'!C74+(6*'V06 Calend 01'!E74))),('V06 Calend 01'!H74-('V06 Calend 01'!I74*('V06 Calend 01'!E74-1))),'V06 Calend 01'!I74),0))+IF((139='V06 Calend 01'!D74),'V06 Calend 01'!J74,0))</f>
        <v>0</v>
      </c>
      <c r="EV74" s="2">
        <f>((IF((140='V06 Calend 01'!C74),('V06 Calend 01'!F74+'V06 Calend 01'!G74),0)+IF(AND(('V06 Calend 01'!E74&gt;0),(140&gt;'V06 Calend 01'!C74),(140&lt;'V06 Calend 01'!D74),(MOD((140-'V06 Calend 01'!C74),6)=0),(((140-'V06 Calend 01'!C74)/6)&lt;='V06 Calend 01'!E74)),IF((140=('V06 Calend 01'!C74+(6*'V06 Calend 01'!E74))),('V06 Calend 01'!H74-('V06 Calend 01'!I74*('V06 Calend 01'!E74-1))),'V06 Calend 01'!I74),0))+IF((140='V06 Calend 01'!D74),'V06 Calend 01'!J74,0))</f>
        <v>0</v>
      </c>
      <c r="EW74" s="2">
        <f>((IF((141='V06 Calend 01'!C74),('V06 Calend 01'!F74+'V06 Calend 01'!G74),0)+IF(AND(('V06 Calend 01'!E74&gt;0),(141&gt;'V06 Calend 01'!C74),(141&lt;'V06 Calend 01'!D74),(MOD((141-'V06 Calend 01'!C74),6)=0),(((141-'V06 Calend 01'!C74)/6)&lt;='V06 Calend 01'!E74)),IF((141=('V06 Calend 01'!C74+(6*'V06 Calend 01'!E74))),('V06 Calend 01'!H74-('V06 Calend 01'!I74*('V06 Calend 01'!E74-1))),'V06 Calend 01'!I74),0))+IF((141='V06 Calend 01'!D74),'V06 Calend 01'!J74,0))</f>
        <v>0</v>
      </c>
      <c r="EX74" s="2">
        <f>((IF((142='V06 Calend 01'!C74),('V06 Calend 01'!F74+'V06 Calend 01'!G74),0)+IF(AND(('V06 Calend 01'!E74&gt;0),(142&gt;'V06 Calend 01'!C74),(142&lt;'V06 Calend 01'!D74),(MOD((142-'V06 Calend 01'!C74),6)=0),(((142-'V06 Calend 01'!C74)/6)&lt;='V06 Calend 01'!E74)),IF((142=('V06 Calend 01'!C74+(6*'V06 Calend 01'!E74))),('V06 Calend 01'!H74-('V06 Calend 01'!I74*('V06 Calend 01'!E74-1))),'V06 Calend 01'!I74),0))+IF((142='V06 Calend 01'!D74),'V06 Calend 01'!J74,0))</f>
        <v>0</v>
      </c>
      <c r="EY74" s="2">
        <f>((IF((143='V06 Calend 01'!C74),('V06 Calend 01'!F74+'V06 Calend 01'!G74),0)+IF(AND(('V06 Calend 01'!E74&gt;0),(143&gt;'V06 Calend 01'!C74),(143&lt;'V06 Calend 01'!D74),(MOD((143-'V06 Calend 01'!C74),6)=0),(((143-'V06 Calend 01'!C74)/6)&lt;='V06 Calend 01'!E74)),IF((143=('V06 Calend 01'!C74+(6*'V06 Calend 01'!E74))),('V06 Calend 01'!H74-('V06 Calend 01'!I74*('V06 Calend 01'!E74-1))),'V06 Calend 01'!I74),0))+IF((143='V06 Calend 01'!D74),'V06 Calend 01'!J74,0))</f>
        <v>0</v>
      </c>
      <c r="EZ74" s="2">
        <f>((IF((144='V06 Calend 01'!C74),('V06 Calend 01'!F74+'V06 Calend 01'!G74),0)+IF(AND(('V06 Calend 01'!E74&gt;0),(144&gt;'V06 Calend 01'!C74),(144&lt;'V06 Calend 01'!D74),(MOD((144-'V06 Calend 01'!C74),6)=0),(((144-'V06 Calend 01'!C74)/6)&lt;='V06 Calend 01'!E74)),IF((144=('V06 Calend 01'!C74+(6*'V06 Calend 01'!E74))),('V06 Calend 01'!H74-('V06 Calend 01'!I74*('V06 Calend 01'!E74-1))),'V06 Calend 01'!I74),0))+IF((144='V06 Calend 01'!D74),'V06 Calend 01'!J74,0))</f>
        <v>0</v>
      </c>
      <c r="FA74" s="2">
        <f>((IF((145='V06 Calend 01'!C74),('V06 Calend 01'!F74+'V06 Calend 01'!G74),0)+IF(AND(('V06 Calend 01'!E74&gt;0),(145&gt;'V06 Calend 01'!C74),(145&lt;'V06 Calend 01'!D74),(MOD((145-'V06 Calend 01'!C74),6)=0),(((145-'V06 Calend 01'!C74)/6)&lt;='V06 Calend 01'!E74)),IF((145=('V06 Calend 01'!C74+(6*'V06 Calend 01'!E74))),('V06 Calend 01'!H74-('V06 Calend 01'!I74*('V06 Calend 01'!E74-1))),'V06 Calend 01'!I74),0))+IF((145='V06 Calend 01'!D74),'V06 Calend 01'!J74,0))</f>
        <v>0</v>
      </c>
      <c r="FB74" s="2">
        <f>((IF((146='V06 Calend 01'!C74),('V06 Calend 01'!F74+'V06 Calend 01'!G74),0)+IF(AND(('V06 Calend 01'!E74&gt;0),(146&gt;'V06 Calend 01'!C74),(146&lt;'V06 Calend 01'!D74),(MOD((146-'V06 Calend 01'!C74),6)=0),(((146-'V06 Calend 01'!C74)/6)&lt;='V06 Calend 01'!E74)),IF((146=('V06 Calend 01'!C74+(6*'V06 Calend 01'!E74))),('V06 Calend 01'!H74-('V06 Calend 01'!I74*('V06 Calend 01'!E74-1))),'V06 Calend 01'!I74),0))+IF((146='V06 Calend 01'!D74),'V06 Calend 01'!J74,0))</f>
        <v>0</v>
      </c>
      <c r="FC74" s="2">
        <f>((IF((147='V06 Calend 01'!C74),('V06 Calend 01'!F74+'V06 Calend 01'!G74),0)+IF(AND(('V06 Calend 01'!E74&gt;0),(147&gt;'V06 Calend 01'!C74),(147&lt;'V06 Calend 01'!D74),(MOD((147-'V06 Calend 01'!C74),6)=0),(((147-'V06 Calend 01'!C74)/6)&lt;='V06 Calend 01'!E74)),IF((147=('V06 Calend 01'!C74+(6*'V06 Calend 01'!E74))),('V06 Calend 01'!H74-('V06 Calend 01'!I74*('V06 Calend 01'!E74-1))),'V06 Calend 01'!I74),0))+IF((147='V06 Calend 01'!D74),'V06 Calend 01'!J74,0))</f>
        <v>0</v>
      </c>
      <c r="FD74" s="2">
        <f>((IF((148='V06 Calend 01'!C74),('V06 Calend 01'!F74+'V06 Calend 01'!G74),0)+IF(AND(('V06 Calend 01'!E74&gt;0),(148&gt;'V06 Calend 01'!C74),(148&lt;'V06 Calend 01'!D74),(MOD((148-'V06 Calend 01'!C74),6)=0),(((148-'V06 Calend 01'!C74)/6)&lt;='V06 Calend 01'!E74)),IF((148=('V06 Calend 01'!C74+(6*'V06 Calend 01'!E74))),('V06 Calend 01'!H74-('V06 Calend 01'!I74*('V06 Calend 01'!E74-1))),'V06 Calend 01'!I74),0))+IF((148='V06 Calend 01'!D74),'V06 Calend 01'!J74,0))</f>
        <v>0</v>
      </c>
      <c r="FE74" s="2">
        <f>((IF((149='V06 Calend 01'!C74),('V06 Calend 01'!F74+'V06 Calend 01'!G74),0)+IF(AND(('V06 Calend 01'!E74&gt;0),(149&gt;'V06 Calend 01'!C74),(149&lt;'V06 Calend 01'!D74),(MOD((149-'V06 Calend 01'!C74),6)=0),(((149-'V06 Calend 01'!C74)/6)&lt;='V06 Calend 01'!E74)),IF((149=('V06 Calend 01'!C74+(6*'V06 Calend 01'!E74))),('V06 Calend 01'!H74-('V06 Calend 01'!I74*('V06 Calend 01'!E74-1))),'V06 Calend 01'!I74),0))+IF((149='V06 Calend 01'!D74),'V06 Calend 01'!J74,0))</f>
        <v>0</v>
      </c>
      <c r="FF74" s="2">
        <f>((IF((150='V06 Calend 01'!C74),('V06 Calend 01'!F74+'V06 Calend 01'!G74),0)+IF(AND(('V06 Calend 01'!E74&gt;0),(150&gt;'V06 Calend 01'!C74),(150&lt;'V06 Calend 01'!D74),(MOD((150-'V06 Calend 01'!C74),6)=0),(((150-'V06 Calend 01'!C74)/6)&lt;='V06 Calend 01'!E74)),IF((150=('V06 Calend 01'!C74+(6*'V06 Calend 01'!E74))),('V06 Calend 01'!H74-('V06 Calend 01'!I74*('V06 Calend 01'!E74-1))),'V06 Calend 01'!I74),0))+IF((150='V06 Calend 01'!D74),'V06 Calend 01'!J74,0))</f>
        <v>0</v>
      </c>
      <c r="FG74" s="2">
        <f>((IF((151='V06 Calend 01'!C74),('V06 Calend 01'!F74+'V06 Calend 01'!G74),0)+IF(AND(('V06 Calend 01'!E74&gt;0),(151&gt;'V06 Calend 01'!C74),(151&lt;'V06 Calend 01'!D74),(MOD((151-'V06 Calend 01'!C74),6)=0),(((151-'V06 Calend 01'!C74)/6)&lt;='V06 Calend 01'!E74)),IF((151=('V06 Calend 01'!C74+(6*'V06 Calend 01'!E74))),('V06 Calend 01'!H74-('V06 Calend 01'!I74*('V06 Calend 01'!E74-1))),'V06 Calend 01'!I74),0))+IF((151='V06 Calend 01'!D74),'V06 Calend 01'!J74,0))</f>
        <v>0</v>
      </c>
      <c r="FH74" s="2">
        <f>((IF((152='V06 Calend 01'!C74),('V06 Calend 01'!F74+'V06 Calend 01'!G74),0)+IF(AND(('V06 Calend 01'!E74&gt;0),(152&gt;'V06 Calend 01'!C74),(152&lt;'V06 Calend 01'!D74),(MOD((152-'V06 Calend 01'!C74),6)=0),(((152-'V06 Calend 01'!C74)/6)&lt;='V06 Calend 01'!E74)),IF((152=('V06 Calend 01'!C74+(6*'V06 Calend 01'!E74))),('V06 Calend 01'!H74-('V06 Calend 01'!I74*('V06 Calend 01'!E74-1))),'V06 Calend 01'!I74),0))+IF((152='V06 Calend 01'!D74),'V06 Calend 01'!J74,0))</f>
        <v>0</v>
      </c>
      <c r="FI74" s="2">
        <f>((IF((153='V06 Calend 01'!C74),('V06 Calend 01'!F74+'V06 Calend 01'!G74),0)+IF(AND(('V06 Calend 01'!E74&gt;0),(153&gt;'V06 Calend 01'!C74),(153&lt;'V06 Calend 01'!D74),(MOD((153-'V06 Calend 01'!C74),6)=0),(((153-'V06 Calend 01'!C74)/6)&lt;='V06 Calend 01'!E74)),IF((153=('V06 Calend 01'!C74+(6*'V06 Calend 01'!E74))),('V06 Calend 01'!H74-('V06 Calend 01'!I74*('V06 Calend 01'!E74-1))),'V06 Calend 01'!I74),0))+IF((153='V06 Calend 01'!D74),'V06 Calend 01'!J74,0))</f>
        <v>0</v>
      </c>
      <c r="FJ74" s="2">
        <f>((IF((154='V06 Calend 01'!C74),('V06 Calend 01'!F74+'V06 Calend 01'!G74),0)+IF(AND(('V06 Calend 01'!E74&gt;0),(154&gt;'V06 Calend 01'!C74),(154&lt;'V06 Calend 01'!D74),(MOD((154-'V06 Calend 01'!C74),6)=0),(((154-'V06 Calend 01'!C74)/6)&lt;='V06 Calend 01'!E74)),IF((154=('V06 Calend 01'!C74+(6*'V06 Calend 01'!E74))),('V06 Calend 01'!H74-('V06 Calend 01'!I74*('V06 Calend 01'!E74-1))),'V06 Calend 01'!I74),0))+IF((154='V06 Calend 01'!D74),'V06 Calend 01'!J74,0))</f>
        <v>0</v>
      </c>
      <c r="FK74" s="2">
        <f>((IF((155='V06 Calend 01'!C74),('V06 Calend 01'!F74+'V06 Calend 01'!G74),0)+IF(AND(('V06 Calend 01'!E74&gt;0),(155&gt;'V06 Calend 01'!C74),(155&lt;'V06 Calend 01'!D74),(MOD((155-'V06 Calend 01'!C74),6)=0),(((155-'V06 Calend 01'!C74)/6)&lt;='V06 Calend 01'!E74)),IF((155=('V06 Calend 01'!C74+(6*'V06 Calend 01'!E74))),('V06 Calend 01'!H74-('V06 Calend 01'!I74*('V06 Calend 01'!E74-1))),'V06 Calend 01'!I74),0))+IF((155='V06 Calend 01'!D74),'V06 Calend 01'!J74,0))</f>
        <v>0</v>
      </c>
      <c r="FL74" s="2">
        <f>((IF((156='V06 Calend 01'!C74),('V06 Calend 01'!F74+'V06 Calend 01'!G74),0)+IF(AND(('V06 Calend 01'!E74&gt;0),(156&gt;'V06 Calend 01'!C74),(156&lt;'V06 Calend 01'!D74),(MOD((156-'V06 Calend 01'!C74),6)=0),(((156-'V06 Calend 01'!C74)/6)&lt;='V06 Calend 01'!E74)),IF((156=('V06 Calend 01'!C74+(6*'V06 Calend 01'!E74))),('V06 Calend 01'!H74-('V06 Calend 01'!I74*('V06 Calend 01'!E74-1))),'V06 Calend 01'!I74),0))+IF((156='V06 Calend 01'!D74),'V06 Calend 01'!J74,0))</f>
        <v>0</v>
      </c>
      <c r="FM74" s="2">
        <f>((IF((157='V06 Calend 01'!C74),('V06 Calend 01'!F74+'V06 Calend 01'!G74),0)+IF(AND(('V06 Calend 01'!E74&gt;0),(157&gt;'V06 Calend 01'!C74),(157&lt;'V06 Calend 01'!D74),(MOD((157-'V06 Calend 01'!C74),6)=0),(((157-'V06 Calend 01'!C74)/6)&lt;='V06 Calend 01'!E74)),IF((157=('V06 Calend 01'!C74+(6*'V06 Calend 01'!E74))),('V06 Calend 01'!H74-('V06 Calend 01'!I74*('V06 Calend 01'!E74-1))),'V06 Calend 01'!I74),0))+IF((157='V06 Calend 01'!D74),'V06 Calend 01'!J74,0))</f>
        <v>0</v>
      </c>
      <c r="FN74" s="2">
        <f>((IF((158='V06 Calend 01'!C74),('V06 Calend 01'!F74+'V06 Calend 01'!G74),0)+IF(AND(('V06 Calend 01'!E74&gt;0),(158&gt;'V06 Calend 01'!C74),(158&lt;'V06 Calend 01'!D74),(MOD((158-'V06 Calend 01'!C74),6)=0),(((158-'V06 Calend 01'!C74)/6)&lt;='V06 Calend 01'!E74)),IF((158=('V06 Calend 01'!C74+(6*'V06 Calend 01'!E74))),('V06 Calend 01'!H74-('V06 Calend 01'!I74*('V06 Calend 01'!E74-1))),'V06 Calend 01'!I74),0))+IF((158='V06 Calend 01'!D74),'V06 Calend 01'!J74,0))</f>
        <v>0</v>
      </c>
      <c r="FO74" s="2">
        <f>((IF((159='V06 Calend 01'!C74),('V06 Calend 01'!F74+'V06 Calend 01'!G74),0)+IF(AND(('V06 Calend 01'!E74&gt;0),(159&gt;'V06 Calend 01'!C74),(159&lt;'V06 Calend 01'!D74),(MOD((159-'V06 Calend 01'!C74),6)=0),(((159-'V06 Calend 01'!C74)/6)&lt;='V06 Calend 01'!E74)),IF((159=('V06 Calend 01'!C74+(6*'V06 Calend 01'!E74))),('V06 Calend 01'!H74-('V06 Calend 01'!I74*('V06 Calend 01'!E74-1))),'V06 Calend 01'!I74),0))+IF((159='V06 Calend 01'!D74),'V06 Calend 01'!J74,0))</f>
        <v>0</v>
      </c>
      <c r="FP74" s="2">
        <f>((IF((160='V06 Calend 01'!C74),('V06 Calend 01'!F74+'V06 Calend 01'!G74),0)+IF(AND(('V06 Calend 01'!E74&gt;0),(160&gt;'V06 Calend 01'!C74),(160&lt;'V06 Calend 01'!D74),(MOD((160-'V06 Calend 01'!C74),6)=0),(((160-'V06 Calend 01'!C74)/6)&lt;='V06 Calend 01'!E74)),IF((160=('V06 Calend 01'!C74+(6*'V06 Calend 01'!E74))),('V06 Calend 01'!H74-('V06 Calend 01'!I74*('V06 Calend 01'!E74-1))),'V06 Calend 01'!I74),0))+IF((160='V06 Calend 01'!D74),'V06 Calend 01'!J74,0))</f>
        <v>0</v>
      </c>
      <c r="FQ74" s="2">
        <f>((IF((161='V06 Calend 01'!C74),('V06 Calend 01'!F74+'V06 Calend 01'!G74),0)+IF(AND(('V06 Calend 01'!E74&gt;0),(161&gt;'V06 Calend 01'!C74),(161&lt;'V06 Calend 01'!D74),(MOD((161-'V06 Calend 01'!C74),6)=0),(((161-'V06 Calend 01'!C74)/6)&lt;='V06 Calend 01'!E74)),IF((161=('V06 Calend 01'!C74+(6*'V06 Calend 01'!E74))),('V06 Calend 01'!H74-('V06 Calend 01'!I74*('V06 Calend 01'!E74-1))),'V06 Calend 01'!I74),0))+IF((161='V06 Calend 01'!D74),'V06 Calend 01'!J74,0))</f>
        <v>0</v>
      </c>
      <c r="FR74" s="2">
        <f>((IF((162='V06 Calend 01'!C74),('V06 Calend 01'!F74+'V06 Calend 01'!G74),0)+IF(AND(('V06 Calend 01'!E74&gt;0),(162&gt;'V06 Calend 01'!C74),(162&lt;'V06 Calend 01'!D74),(MOD((162-'V06 Calend 01'!C74),6)=0),(((162-'V06 Calend 01'!C74)/6)&lt;='V06 Calend 01'!E74)),IF((162=('V06 Calend 01'!C74+(6*'V06 Calend 01'!E74))),('V06 Calend 01'!H74-('V06 Calend 01'!I74*('V06 Calend 01'!E74-1))),'V06 Calend 01'!I74),0))+IF((162='V06 Calend 01'!D74),'V06 Calend 01'!J74,0))</f>
        <v>0</v>
      </c>
      <c r="FS74" s="2">
        <f>((IF((163='V06 Calend 01'!C74),('V06 Calend 01'!F74+'V06 Calend 01'!G74),0)+IF(AND(('V06 Calend 01'!E74&gt;0),(163&gt;'V06 Calend 01'!C74),(163&lt;'V06 Calend 01'!D74),(MOD((163-'V06 Calend 01'!C74),6)=0),(((163-'V06 Calend 01'!C74)/6)&lt;='V06 Calend 01'!E74)),IF((163=('V06 Calend 01'!C74+(6*'V06 Calend 01'!E74))),('V06 Calend 01'!H74-('V06 Calend 01'!I74*('V06 Calend 01'!E74-1))),'V06 Calend 01'!I74),0))+IF((163='V06 Calend 01'!D74),'V06 Calend 01'!J74,0))</f>
        <v>0</v>
      </c>
      <c r="FT74" s="2">
        <f>((IF((164='V06 Calend 01'!C74),('V06 Calend 01'!F74+'V06 Calend 01'!G74),0)+IF(AND(('V06 Calend 01'!E74&gt;0),(164&gt;'V06 Calend 01'!C74),(164&lt;'V06 Calend 01'!D74),(MOD((164-'V06 Calend 01'!C74),6)=0),(((164-'V06 Calend 01'!C74)/6)&lt;='V06 Calend 01'!E74)),IF((164=('V06 Calend 01'!C74+(6*'V06 Calend 01'!E74))),('V06 Calend 01'!H74-('V06 Calend 01'!I74*('V06 Calend 01'!E74-1))),'V06 Calend 01'!I74),0))+IF((164='V06 Calend 01'!D74),'V06 Calend 01'!J74,0))</f>
        <v>0</v>
      </c>
      <c r="FU74" s="2">
        <f>((IF((165='V06 Calend 01'!C74),('V06 Calend 01'!F74+'V06 Calend 01'!G74),0)+IF(AND(('V06 Calend 01'!E74&gt;0),(165&gt;'V06 Calend 01'!C74),(165&lt;'V06 Calend 01'!D74),(MOD((165-'V06 Calend 01'!C74),6)=0),(((165-'V06 Calend 01'!C74)/6)&lt;='V06 Calend 01'!E74)),IF((165=('V06 Calend 01'!C74+(6*'V06 Calend 01'!E74))),('V06 Calend 01'!H74-('V06 Calend 01'!I74*('V06 Calend 01'!E74-1))),'V06 Calend 01'!I74),0))+IF((165='V06 Calend 01'!D74),'V06 Calend 01'!J74,0))</f>
        <v>0</v>
      </c>
      <c r="FV74" s="2">
        <f>((IF((166='V06 Calend 01'!C74),('V06 Calend 01'!F74+'V06 Calend 01'!G74),0)+IF(AND(('V06 Calend 01'!E74&gt;0),(166&gt;'V06 Calend 01'!C74),(166&lt;'V06 Calend 01'!D74),(MOD((166-'V06 Calend 01'!C74),6)=0),(((166-'V06 Calend 01'!C74)/6)&lt;='V06 Calend 01'!E74)),IF((166=('V06 Calend 01'!C74+(6*'V06 Calend 01'!E74))),('V06 Calend 01'!H74-('V06 Calend 01'!I74*('V06 Calend 01'!E74-1))),'V06 Calend 01'!I74),0))+IF((166='V06 Calend 01'!D74),'V06 Calend 01'!J74,0))</f>
        <v>0</v>
      </c>
      <c r="FW74" s="2">
        <f>((IF((167='V06 Calend 01'!C74),('V06 Calend 01'!F74+'V06 Calend 01'!G74),0)+IF(AND(('V06 Calend 01'!E74&gt;0),(167&gt;'V06 Calend 01'!C74),(167&lt;'V06 Calend 01'!D74),(MOD((167-'V06 Calend 01'!C74),6)=0),(((167-'V06 Calend 01'!C74)/6)&lt;='V06 Calend 01'!E74)),IF((167=('V06 Calend 01'!C74+(6*'V06 Calend 01'!E74))),('V06 Calend 01'!H74-('V06 Calend 01'!I74*('V06 Calend 01'!E74-1))),'V06 Calend 01'!I74),0))+IF((167='V06 Calend 01'!D74),'V06 Calend 01'!J74,0))</f>
        <v>0</v>
      </c>
      <c r="FX74" s="2">
        <f>((IF((168='V06 Calend 01'!C74),('V06 Calend 01'!F74+'V06 Calend 01'!G74),0)+IF(AND(('V06 Calend 01'!E74&gt;0),(168&gt;'V06 Calend 01'!C74),(168&lt;'V06 Calend 01'!D74),(MOD((168-'V06 Calend 01'!C74),6)=0),(((168-'V06 Calend 01'!C74)/6)&lt;='V06 Calend 01'!E74)),IF((168=('V06 Calend 01'!C74+(6*'V06 Calend 01'!E74))),('V06 Calend 01'!H74-('V06 Calend 01'!I74*('V06 Calend 01'!E74-1))),'V06 Calend 01'!I74),0))+IF((168='V06 Calend 01'!D74),'V06 Calend 01'!J74,0))</f>
        <v>0</v>
      </c>
      <c r="FY74" s="2">
        <f>((IF((169='V06 Calend 01'!C74),('V06 Calend 01'!F74+'V06 Calend 01'!G74),0)+IF(AND(('V06 Calend 01'!E74&gt;0),(169&gt;'V06 Calend 01'!C74),(169&lt;'V06 Calend 01'!D74),(MOD((169-'V06 Calend 01'!C74),6)=0),(((169-'V06 Calend 01'!C74)/6)&lt;='V06 Calend 01'!E74)),IF((169=('V06 Calend 01'!C74+(6*'V06 Calend 01'!E74))),('V06 Calend 01'!H74-('V06 Calend 01'!I74*('V06 Calend 01'!E74-1))),'V06 Calend 01'!I74),0))+IF((169='V06 Calend 01'!D74),'V06 Calend 01'!J74,0))</f>
        <v>0</v>
      </c>
      <c r="FZ74" s="2">
        <f>((IF((170='V06 Calend 01'!C74),('V06 Calend 01'!F74+'V06 Calend 01'!G74),0)+IF(AND(('V06 Calend 01'!E74&gt;0),(170&gt;'V06 Calend 01'!C74),(170&lt;'V06 Calend 01'!D74),(MOD((170-'V06 Calend 01'!C74),6)=0),(((170-'V06 Calend 01'!C74)/6)&lt;='V06 Calend 01'!E74)),IF((170=('V06 Calend 01'!C74+(6*'V06 Calend 01'!E74))),('V06 Calend 01'!H74-('V06 Calend 01'!I74*('V06 Calend 01'!E74-1))),'V06 Calend 01'!I74),0))+IF((170='V06 Calend 01'!D74),'V06 Calend 01'!J74,0))</f>
        <v>0</v>
      </c>
      <c r="GA74" s="2">
        <f>((IF((171='V06 Calend 01'!C74),('V06 Calend 01'!F74+'V06 Calend 01'!G74),0)+IF(AND(('V06 Calend 01'!E74&gt;0),(171&gt;'V06 Calend 01'!C74),(171&lt;'V06 Calend 01'!D74),(MOD((171-'V06 Calend 01'!C74),6)=0),(((171-'V06 Calend 01'!C74)/6)&lt;='V06 Calend 01'!E74)),IF((171=('V06 Calend 01'!C74+(6*'V06 Calend 01'!E74))),('V06 Calend 01'!H74-('V06 Calend 01'!I74*('V06 Calend 01'!E74-1))),'V06 Calend 01'!I74),0))+IF((171='V06 Calend 01'!D74),'V06 Calend 01'!J74,0))</f>
        <v>0</v>
      </c>
      <c r="GB74" s="2">
        <f>((IF((172='V06 Calend 01'!C74),('V06 Calend 01'!F74+'V06 Calend 01'!G74),0)+IF(AND(('V06 Calend 01'!E74&gt;0),(172&gt;'V06 Calend 01'!C74),(172&lt;'V06 Calend 01'!D74),(MOD((172-'V06 Calend 01'!C74),6)=0),(((172-'V06 Calend 01'!C74)/6)&lt;='V06 Calend 01'!E74)),IF((172=('V06 Calend 01'!C74+(6*'V06 Calend 01'!E74))),('V06 Calend 01'!H74-('V06 Calend 01'!I74*('V06 Calend 01'!E74-1))),'V06 Calend 01'!I74),0))+IF((172='V06 Calend 01'!D74),'V06 Calend 01'!J74,0))</f>
        <v>0</v>
      </c>
      <c r="GC74" s="2">
        <f>((IF((173='V06 Calend 01'!C74),('V06 Calend 01'!F74+'V06 Calend 01'!G74),0)+IF(AND(('V06 Calend 01'!E74&gt;0),(173&gt;'V06 Calend 01'!C74),(173&lt;'V06 Calend 01'!D74),(MOD((173-'V06 Calend 01'!C74),6)=0),(((173-'V06 Calend 01'!C74)/6)&lt;='V06 Calend 01'!E74)),IF((173=('V06 Calend 01'!C74+(6*'V06 Calend 01'!E74))),('V06 Calend 01'!H74-('V06 Calend 01'!I74*('V06 Calend 01'!E74-1))),'V06 Calend 01'!I74),0))+IF((173='V06 Calend 01'!D74),'V06 Calend 01'!J74,0))</f>
        <v>0</v>
      </c>
      <c r="GD74" s="2">
        <f>((IF((174='V06 Calend 01'!C74),('V06 Calend 01'!F74+'V06 Calend 01'!G74),0)+IF(AND(('V06 Calend 01'!E74&gt;0),(174&gt;'V06 Calend 01'!C74),(174&lt;'V06 Calend 01'!D74),(MOD((174-'V06 Calend 01'!C74),6)=0),(((174-'V06 Calend 01'!C74)/6)&lt;='V06 Calend 01'!E74)),IF((174=('V06 Calend 01'!C74+(6*'V06 Calend 01'!E74))),('V06 Calend 01'!H74-('V06 Calend 01'!I74*('V06 Calend 01'!E74-1))),'V06 Calend 01'!I74),0))+IF((174='V06 Calend 01'!D74),'V06 Calend 01'!J74,0))</f>
        <v>0</v>
      </c>
      <c r="GE74" s="2">
        <f>((IF((175='V06 Calend 01'!C74),('V06 Calend 01'!F74+'V06 Calend 01'!G74),0)+IF(AND(('V06 Calend 01'!E74&gt;0),(175&gt;'V06 Calend 01'!C74),(175&lt;'V06 Calend 01'!D74),(MOD((175-'V06 Calend 01'!C74),6)=0),(((175-'V06 Calend 01'!C74)/6)&lt;='V06 Calend 01'!E74)),IF((175=('V06 Calend 01'!C74+(6*'V06 Calend 01'!E74))),('V06 Calend 01'!H74-('V06 Calend 01'!I74*('V06 Calend 01'!E74-1))),'V06 Calend 01'!I74),0))+IF((175='V06 Calend 01'!D74),'V06 Calend 01'!J74,0))</f>
        <v>0</v>
      </c>
      <c r="GF74" s="2">
        <f>((IF((176='V06 Calend 01'!C74),('V06 Calend 01'!F74+'V06 Calend 01'!G74),0)+IF(AND(('V06 Calend 01'!E74&gt;0),(176&gt;'V06 Calend 01'!C74),(176&lt;'V06 Calend 01'!D74),(MOD((176-'V06 Calend 01'!C74),6)=0),(((176-'V06 Calend 01'!C74)/6)&lt;='V06 Calend 01'!E74)),IF((176=('V06 Calend 01'!C74+(6*'V06 Calend 01'!E74))),('V06 Calend 01'!H74-('V06 Calend 01'!I74*('V06 Calend 01'!E74-1))),'V06 Calend 01'!I74),0))+IF((176='V06 Calend 01'!D74),'V06 Calend 01'!J74,0))</f>
        <v>0</v>
      </c>
      <c r="GG74" s="2">
        <f>((IF((177='V06 Calend 01'!C74),('V06 Calend 01'!F74+'V06 Calend 01'!G74),0)+IF(AND(('V06 Calend 01'!E74&gt;0),(177&gt;'V06 Calend 01'!C74),(177&lt;'V06 Calend 01'!D74),(MOD((177-'V06 Calend 01'!C74),6)=0),(((177-'V06 Calend 01'!C74)/6)&lt;='V06 Calend 01'!E74)),IF((177=('V06 Calend 01'!C74+(6*'V06 Calend 01'!E74))),('V06 Calend 01'!H74-('V06 Calend 01'!I74*('V06 Calend 01'!E74-1))),'V06 Calend 01'!I74),0))+IF((177='V06 Calend 01'!D74),'V06 Calend 01'!J74,0))</f>
        <v>0</v>
      </c>
      <c r="GH74" s="2">
        <f>((IF((178='V06 Calend 01'!C74),('V06 Calend 01'!F74+'V06 Calend 01'!G74),0)+IF(AND(('V06 Calend 01'!E74&gt;0),(178&gt;'V06 Calend 01'!C74),(178&lt;'V06 Calend 01'!D74),(MOD((178-'V06 Calend 01'!C74),6)=0),(((178-'V06 Calend 01'!C74)/6)&lt;='V06 Calend 01'!E74)),IF((178=('V06 Calend 01'!C74+(6*'V06 Calend 01'!E74))),('V06 Calend 01'!H74-('V06 Calend 01'!I74*('V06 Calend 01'!E74-1))),'V06 Calend 01'!I74),0))+IF((178='V06 Calend 01'!D74),'V06 Calend 01'!J74,0))</f>
        <v>0</v>
      </c>
      <c r="GI74" s="2">
        <f>((IF((179='V06 Calend 01'!C74),('V06 Calend 01'!F74+'V06 Calend 01'!G74),0)+IF(AND(('V06 Calend 01'!E74&gt;0),(179&gt;'V06 Calend 01'!C74),(179&lt;'V06 Calend 01'!D74),(MOD((179-'V06 Calend 01'!C74),6)=0),(((179-'V06 Calend 01'!C74)/6)&lt;='V06 Calend 01'!E74)),IF((179=('V06 Calend 01'!C74+(6*'V06 Calend 01'!E74))),('V06 Calend 01'!H74-('V06 Calend 01'!I74*('V06 Calend 01'!E74-1))),'V06 Calend 01'!I74),0))+IF((179='V06 Calend 01'!D74),'V06 Calend 01'!J74,0))</f>
        <v>0</v>
      </c>
      <c r="GJ74" s="2">
        <f>((IF((180='V06 Calend 01'!C74),('V06 Calend 01'!F74+'V06 Calend 01'!G74),0)+IF(AND(('V06 Calend 01'!E74&gt;0),(180&gt;'V06 Calend 01'!C74),(180&lt;'V06 Calend 01'!D74),(MOD((180-'V06 Calend 01'!C74),6)=0),(((180-'V06 Calend 01'!C74)/6)&lt;='V06 Calend 01'!E74)),IF((180=('V06 Calend 01'!C74+(6*'V06 Calend 01'!E74))),('V06 Calend 01'!H74-('V06 Calend 01'!I74*('V06 Calend 01'!E74-1))),'V06 Calend 01'!I74),0))+IF((180='V06 Calend 01'!D74),'V06 Calend 01'!J74,0))</f>
        <v>0</v>
      </c>
    </row>
    <row r="75" spans="1:192">
      <c r="A75" s="3" t="str">
        <f>'V06 Unidades'!$A$75</f>
        <v>901</v>
      </c>
      <c r="B75" s="2">
        <f>'V06 Unidades'!$H$75</f>
        <v>941494.46</v>
      </c>
      <c r="C75" s="4">
        <f>('V06 Unidades'!$I$75+'V06 Controlos'!$B$37)</f>
        <v>22</v>
      </c>
      <c r="D75" s="4">
        <f>IF(('V06 Controlos'!$B$38&gt;0),MAX(('V06 Unidades'!$L$75+'V06 Controlos'!$B$37),(30+'V06 Controlos'!$B$38)),('V06 Unidades'!$L$75+'V06 Controlos'!$B$37))</f>
        <v>29</v>
      </c>
      <c r="E75" s="4">
        <f>MAX(0,INT(((('V06 Calend 01'!D75-'V06 Calend 01'!C75)-1)/6)))</f>
        <v>1</v>
      </c>
      <c r="F75" s="2">
        <f>ROUND(('V06 Calend 01'!B75*0.05),2)</f>
        <v>47074.72</v>
      </c>
      <c r="G75" s="2">
        <f>ROUND(('V06 Calend 01'!B75*0.2),2)</f>
        <v>188298.89</v>
      </c>
      <c r="H75" s="2">
        <f>ROUND(('V06 Calend 01'!B75*0.55),2)</f>
        <v>517821.95</v>
      </c>
      <c r="I75" s="2">
        <f>ROUND(('V06 Calend 01'!H75/MAX(1,'V06 Calend 01'!E75)),2)</f>
        <v>517821.95</v>
      </c>
      <c r="J75" s="2">
        <f>((('V06 Calend 01'!B75-'V06 Calend 01'!F75)-'V06 Calend 01'!G75)-'V06 Calend 01'!H75)</f>
        <v>188298.89999999997</v>
      </c>
      <c r="K75" s="2">
        <f>('V06 Calend 01'!B75*0.025)</f>
        <v>23537.3615</v>
      </c>
      <c r="L75" t="s">
        <v>378</v>
      </c>
      <c r="M75" s="2">
        <f>((IF((1='V06 Calend 01'!C75),('V06 Calend 01'!F75+'V06 Calend 01'!G75),0)+IF(AND(('V06 Calend 01'!E75&gt;0),(1&gt;'V06 Calend 01'!C75),(1&lt;'V06 Calend 01'!D75),(MOD((1-'V06 Calend 01'!C75),6)=0),(((1-'V06 Calend 01'!C75)/6)&lt;='V06 Calend 01'!E75)),IF((1=('V06 Calend 01'!C75+(6*'V06 Calend 01'!E75))),('V06 Calend 01'!H75-('V06 Calend 01'!I75*('V06 Calend 01'!E75-1))),'V06 Calend 01'!I75),0))+IF((1='V06 Calend 01'!D75),'V06 Calend 01'!J75,0))</f>
        <v>0</v>
      </c>
      <c r="N75" s="2">
        <f>((IF((2='V06 Calend 01'!C75),('V06 Calend 01'!F75+'V06 Calend 01'!G75),0)+IF(AND(('V06 Calend 01'!E75&gt;0),(2&gt;'V06 Calend 01'!C75),(2&lt;'V06 Calend 01'!D75),(MOD((2-'V06 Calend 01'!C75),6)=0),(((2-'V06 Calend 01'!C75)/6)&lt;='V06 Calend 01'!E75)),IF((2=('V06 Calend 01'!C75+(6*'V06 Calend 01'!E75))),('V06 Calend 01'!H75-('V06 Calend 01'!I75*('V06 Calend 01'!E75-1))),'V06 Calend 01'!I75),0))+IF((2='V06 Calend 01'!D75),'V06 Calend 01'!J75,0))</f>
        <v>0</v>
      </c>
      <c r="O75" s="2">
        <f>((IF((3='V06 Calend 01'!C75),('V06 Calend 01'!F75+'V06 Calend 01'!G75),0)+IF(AND(('V06 Calend 01'!E75&gt;0),(3&gt;'V06 Calend 01'!C75),(3&lt;'V06 Calend 01'!D75),(MOD((3-'V06 Calend 01'!C75),6)=0),(((3-'V06 Calend 01'!C75)/6)&lt;='V06 Calend 01'!E75)),IF((3=('V06 Calend 01'!C75+(6*'V06 Calend 01'!E75))),('V06 Calend 01'!H75-('V06 Calend 01'!I75*('V06 Calend 01'!E75-1))),'V06 Calend 01'!I75),0))+IF((3='V06 Calend 01'!D75),'V06 Calend 01'!J75,0))</f>
        <v>0</v>
      </c>
      <c r="P75" s="2">
        <f>((IF((4='V06 Calend 01'!C75),('V06 Calend 01'!F75+'V06 Calend 01'!G75),0)+IF(AND(('V06 Calend 01'!E75&gt;0),(4&gt;'V06 Calend 01'!C75),(4&lt;'V06 Calend 01'!D75),(MOD((4-'V06 Calend 01'!C75),6)=0),(((4-'V06 Calend 01'!C75)/6)&lt;='V06 Calend 01'!E75)),IF((4=('V06 Calend 01'!C75+(6*'V06 Calend 01'!E75))),('V06 Calend 01'!H75-('V06 Calend 01'!I75*('V06 Calend 01'!E75-1))),'V06 Calend 01'!I75),0))+IF((4='V06 Calend 01'!D75),'V06 Calend 01'!J75,0))</f>
        <v>0</v>
      </c>
      <c r="Q75" s="2">
        <f>((IF((5='V06 Calend 01'!C75),('V06 Calend 01'!F75+'V06 Calend 01'!G75),0)+IF(AND(('V06 Calend 01'!E75&gt;0),(5&gt;'V06 Calend 01'!C75),(5&lt;'V06 Calend 01'!D75),(MOD((5-'V06 Calend 01'!C75),6)=0),(((5-'V06 Calend 01'!C75)/6)&lt;='V06 Calend 01'!E75)),IF((5=('V06 Calend 01'!C75+(6*'V06 Calend 01'!E75))),('V06 Calend 01'!H75-('V06 Calend 01'!I75*('V06 Calend 01'!E75-1))),'V06 Calend 01'!I75),0))+IF((5='V06 Calend 01'!D75),'V06 Calend 01'!J75,0))</f>
        <v>0</v>
      </c>
      <c r="R75" s="2">
        <f>((IF((6='V06 Calend 01'!C75),('V06 Calend 01'!F75+'V06 Calend 01'!G75),0)+IF(AND(('V06 Calend 01'!E75&gt;0),(6&gt;'V06 Calend 01'!C75),(6&lt;'V06 Calend 01'!D75),(MOD((6-'V06 Calend 01'!C75),6)=0),(((6-'V06 Calend 01'!C75)/6)&lt;='V06 Calend 01'!E75)),IF((6=('V06 Calend 01'!C75+(6*'V06 Calend 01'!E75))),('V06 Calend 01'!H75-('V06 Calend 01'!I75*('V06 Calend 01'!E75-1))),'V06 Calend 01'!I75),0))+IF((6='V06 Calend 01'!D75),'V06 Calend 01'!J75,0))</f>
        <v>0</v>
      </c>
      <c r="S75" s="2">
        <f>((IF((7='V06 Calend 01'!C75),('V06 Calend 01'!F75+'V06 Calend 01'!G75),0)+IF(AND(('V06 Calend 01'!E75&gt;0),(7&gt;'V06 Calend 01'!C75),(7&lt;'V06 Calend 01'!D75),(MOD((7-'V06 Calend 01'!C75),6)=0),(((7-'V06 Calend 01'!C75)/6)&lt;='V06 Calend 01'!E75)),IF((7=('V06 Calend 01'!C75+(6*'V06 Calend 01'!E75))),('V06 Calend 01'!H75-('V06 Calend 01'!I75*('V06 Calend 01'!E75-1))),'V06 Calend 01'!I75),0))+IF((7='V06 Calend 01'!D75),'V06 Calend 01'!J75,0))</f>
        <v>0</v>
      </c>
      <c r="T75" s="2">
        <f>((IF((8='V06 Calend 01'!C75),('V06 Calend 01'!F75+'V06 Calend 01'!G75),0)+IF(AND(('V06 Calend 01'!E75&gt;0),(8&gt;'V06 Calend 01'!C75),(8&lt;'V06 Calend 01'!D75),(MOD((8-'V06 Calend 01'!C75),6)=0),(((8-'V06 Calend 01'!C75)/6)&lt;='V06 Calend 01'!E75)),IF((8=('V06 Calend 01'!C75+(6*'V06 Calend 01'!E75))),('V06 Calend 01'!H75-('V06 Calend 01'!I75*('V06 Calend 01'!E75-1))),'V06 Calend 01'!I75),0))+IF((8='V06 Calend 01'!D75),'V06 Calend 01'!J75,0))</f>
        <v>0</v>
      </c>
      <c r="U75" s="2">
        <f>((IF((9='V06 Calend 01'!C75),('V06 Calend 01'!F75+'V06 Calend 01'!G75),0)+IF(AND(('V06 Calend 01'!E75&gt;0),(9&gt;'V06 Calend 01'!C75),(9&lt;'V06 Calend 01'!D75),(MOD((9-'V06 Calend 01'!C75),6)=0),(((9-'V06 Calend 01'!C75)/6)&lt;='V06 Calend 01'!E75)),IF((9=('V06 Calend 01'!C75+(6*'V06 Calend 01'!E75))),('V06 Calend 01'!H75-('V06 Calend 01'!I75*('V06 Calend 01'!E75-1))),'V06 Calend 01'!I75),0))+IF((9='V06 Calend 01'!D75),'V06 Calend 01'!J75,0))</f>
        <v>0</v>
      </c>
      <c r="V75" s="2">
        <f>((IF((10='V06 Calend 01'!C75),('V06 Calend 01'!F75+'V06 Calend 01'!G75),0)+IF(AND(('V06 Calend 01'!E75&gt;0),(10&gt;'V06 Calend 01'!C75),(10&lt;'V06 Calend 01'!D75),(MOD((10-'V06 Calend 01'!C75),6)=0),(((10-'V06 Calend 01'!C75)/6)&lt;='V06 Calend 01'!E75)),IF((10=('V06 Calend 01'!C75+(6*'V06 Calend 01'!E75))),('V06 Calend 01'!H75-('V06 Calend 01'!I75*('V06 Calend 01'!E75-1))),'V06 Calend 01'!I75),0))+IF((10='V06 Calend 01'!D75),'V06 Calend 01'!J75,0))</f>
        <v>0</v>
      </c>
      <c r="W75" s="2">
        <f>((IF((11='V06 Calend 01'!C75),('V06 Calend 01'!F75+'V06 Calend 01'!G75),0)+IF(AND(('V06 Calend 01'!E75&gt;0),(11&gt;'V06 Calend 01'!C75),(11&lt;'V06 Calend 01'!D75),(MOD((11-'V06 Calend 01'!C75),6)=0),(((11-'V06 Calend 01'!C75)/6)&lt;='V06 Calend 01'!E75)),IF((11=('V06 Calend 01'!C75+(6*'V06 Calend 01'!E75))),('V06 Calend 01'!H75-('V06 Calend 01'!I75*('V06 Calend 01'!E75-1))),'V06 Calend 01'!I75),0))+IF((11='V06 Calend 01'!D75),'V06 Calend 01'!J75,0))</f>
        <v>0</v>
      </c>
      <c r="X75" s="2">
        <f>((IF((12='V06 Calend 01'!C75),('V06 Calend 01'!F75+'V06 Calend 01'!G75),0)+IF(AND(('V06 Calend 01'!E75&gt;0),(12&gt;'V06 Calend 01'!C75),(12&lt;'V06 Calend 01'!D75),(MOD((12-'V06 Calend 01'!C75),6)=0),(((12-'V06 Calend 01'!C75)/6)&lt;='V06 Calend 01'!E75)),IF((12=('V06 Calend 01'!C75+(6*'V06 Calend 01'!E75))),('V06 Calend 01'!H75-('V06 Calend 01'!I75*('V06 Calend 01'!E75-1))),'V06 Calend 01'!I75),0))+IF((12='V06 Calend 01'!D75),'V06 Calend 01'!J75,0))</f>
        <v>0</v>
      </c>
      <c r="Y75" s="2">
        <f>((IF((13='V06 Calend 01'!C75),('V06 Calend 01'!F75+'V06 Calend 01'!G75),0)+IF(AND(('V06 Calend 01'!E75&gt;0),(13&gt;'V06 Calend 01'!C75),(13&lt;'V06 Calend 01'!D75),(MOD((13-'V06 Calend 01'!C75),6)=0),(((13-'V06 Calend 01'!C75)/6)&lt;='V06 Calend 01'!E75)),IF((13=('V06 Calend 01'!C75+(6*'V06 Calend 01'!E75))),('V06 Calend 01'!H75-('V06 Calend 01'!I75*('V06 Calend 01'!E75-1))),'V06 Calend 01'!I75),0))+IF((13='V06 Calend 01'!D75),'V06 Calend 01'!J75,0))</f>
        <v>0</v>
      </c>
      <c r="Z75" s="2">
        <f>((IF((14='V06 Calend 01'!C75),('V06 Calend 01'!F75+'V06 Calend 01'!G75),0)+IF(AND(('V06 Calend 01'!E75&gt;0),(14&gt;'V06 Calend 01'!C75),(14&lt;'V06 Calend 01'!D75),(MOD((14-'V06 Calend 01'!C75),6)=0),(((14-'V06 Calend 01'!C75)/6)&lt;='V06 Calend 01'!E75)),IF((14=('V06 Calend 01'!C75+(6*'V06 Calend 01'!E75))),('V06 Calend 01'!H75-('V06 Calend 01'!I75*('V06 Calend 01'!E75-1))),'V06 Calend 01'!I75),0))+IF((14='V06 Calend 01'!D75),'V06 Calend 01'!J75,0))</f>
        <v>0</v>
      </c>
      <c r="AA75" s="2">
        <f>((IF((15='V06 Calend 01'!C75),('V06 Calend 01'!F75+'V06 Calend 01'!G75),0)+IF(AND(('V06 Calend 01'!E75&gt;0),(15&gt;'V06 Calend 01'!C75),(15&lt;'V06 Calend 01'!D75),(MOD((15-'V06 Calend 01'!C75),6)=0),(((15-'V06 Calend 01'!C75)/6)&lt;='V06 Calend 01'!E75)),IF((15=('V06 Calend 01'!C75+(6*'V06 Calend 01'!E75))),('V06 Calend 01'!H75-('V06 Calend 01'!I75*('V06 Calend 01'!E75-1))),'V06 Calend 01'!I75),0))+IF((15='V06 Calend 01'!D75),'V06 Calend 01'!J75,0))</f>
        <v>0</v>
      </c>
      <c r="AB75" s="2">
        <f>((IF((16='V06 Calend 01'!C75),('V06 Calend 01'!F75+'V06 Calend 01'!G75),0)+IF(AND(('V06 Calend 01'!E75&gt;0),(16&gt;'V06 Calend 01'!C75),(16&lt;'V06 Calend 01'!D75),(MOD((16-'V06 Calend 01'!C75),6)=0),(((16-'V06 Calend 01'!C75)/6)&lt;='V06 Calend 01'!E75)),IF((16=('V06 Calend 01'!C75+(6*'V06 Calend 01'!E75))),('V06 Calend 01'!H75-('V06 Calend 01'!I75*('V06 Calend 01'!E75-1))),'V06 Calend 01'!I75),0))+IF((16='V06 Calend 01'!D75),'V06 Calend 01'!J75,0))</f>
        <v>0</v>
      </c>
      <c r="AC75" s="2">
        <f>((IF((17='V06 Calend 01'!C75),('V06 Calend 01'!F75+'V06 Calend 01'!G75),0)+IF(AND(('V06 Calend 01'!E75&gt;0),(17&gt;'V06 Calend 01'!C75),(17&lt;'V06 Calend 01'!D75),(MOD((17-'V06 Calend 01'!C75),6)=0),(((17-'V06 Calend 01'!C75)/6)&lt;='V06 Calend 01'!E75)),IF((17=('V06 Calend 01'!C75+(6*'V06 Calend 01'!E75))),('V06 Calend 01'!H75-('V06 Calend 01'!I75*('V06 Calend 01'!E75-1))),'V06 Calend 01'!I75),0))+IF((17='V06 Calend 01'!D75),'V06 Calend 01'!J75,0))</f>
        <v>0</v>
      </c>
      <c r="AD75" s="2">
        <f>((IF((18='V06 Calend 01'!C75),('V06 Calend 01'!F75+'V06 Calend 01'!G75),0)+IF(AND(('V06 Calend 01'!E75&gt;0),(18&gt;'V06 Calend 01'!C75),(18&lt;'V06 Calend 01'!D75),(MOD((18-'V06 Calend 01'!C75),6)=0),(((18-'V06 Calend 01'!C75)/6)&lt;='V06 Calend 01'!E75)),IF((18=('V06 Calend 01'!C75+(6*'V06 Calend 01'!E75))),('V06 Calend 01'!H75-('V06 Calend 01'!I75*('V06 Calend 01'!E75-1))),'V06 Calend 01'!I75),0))+IF((18='V06 Calend 01'!D75),'V06 Calend 01'!J75,0))</f>
        <v>0</v>
      </c>
      <c r="AE75" s="2">
        <f>((IF((19='V06 Calend 01'!C75),('V06 Calend 01'!F75+'V06 Calend 01'!G75),0)+IF(AND(('V06 Calend 01'!E75&gt;0),(19&gt;'V06 Calend 01'!C75),(19&lt;'V06 Calend 01'!D75),(MOD((19-'V06 Calend 01'!C75),6)=0),(((19-'V06 Calend 01'!C75)/6)&lt;='V06 Calend 01'!E75)),IF((19=('V06 Calend 01'!C75+(6*'V06 Calend 01'!E75))),('V06 Calend 01'!H75-('V06 Calend 01'!I75*('V06 Calend 01'!E75-1))),'V06 Calend 01'!I75),0))+IF((19='V06 Calend 01'!D75),'V06 Calend 01'!J75,0))</f>
        <v>0</v>
      </c>
      <c r="AF75" s="2">
        <f>((IF((20='V06 Calend 01'!C75),('V06 Calend 01'!F75+'V06 Calend 01'!G75),0)+IF(AND(('V06 Calend 01'!E75&gt;0),(20&gt;'V06 Calend 01'!C75),(20&lt;'V06 Calend 01'!D75),(MOD((20-'V06 Calend 01'!C75),6)=0),(((20-'V06 Calend 01'!C75)/6)&lt;='V06 Calend 01'!E75)),IF((20=('V06 Calend 01'!C75+(6*'V06 Calend 01'!E75))),('V06 Calend 01'!H75-('V06 Calend 01'!I75*('V06 Calend 01'!E75-1))),'V06 Calend 01'!I75),0))+IF((20='V06 Calend 01'!D75),'V06 Calend 01'!J75,0))</f>
        <v>0</v>
      </c>
      <c r="AG75" s="2">
        <f>((IF((21='V06 Calend 01'!C75),('V06 Calend 01'!F75+'V06 Calend 01'!G75),0)+IF(AND(('V06 Calend 01'!E75&gt;0),(21&gt;'V06 Calend 01'!C75),(21&lt;'V06 Calend 01'!D75),(MOD((21-'V06 Calend 01'!C75),6)=0),(((21-'V06 Calend 01'!C75)/6)&lt;='V06 Calend 01'!E75)),IF((21=('V06 Calend 01'!C75+(6*'V06 Calend 01'!E75))),('V06 Calend 01'!H75-('V06 Calend 01'!I75*('V06 Calend 01'!E75-1))),'V06 Calend 01'!I75),0))+IF((21='V06 Calend 01'!D75),'V06 Calend 01'!J75,0))</f>
        <v>0</v>
      </c>
      <c r="AH75" s="2">
        <f>((IF((22='V06 Calend 01'!C75),('V06 Calend 01'!F75+'V06 Calend 01'!G75),0)+IF(AND(('V06 Calend 01'!E75&gt;0),(22&gt;'V06 Calend 01'!C75),(22&lt;'V06 Calend 01'!D75),(MOD((22-'V06 Calend 01'!C75),6)=0),(((22-'V06 Calend 01'!C75)/6)&lt;='V06 Calend 01'!E75)),IF((22=('V06 Calend 01'!C75+(6*'V06 Calend 01'!E75))),('V06 Calend 01'!H75-('V06 Calend 01'!I75*('V06 Calend 01'!E75-1))),'V06 Calend 01'!I75),0))+IF((22='V06 Calend 01'!D75),'V06 Calend 01'!J75,0))</f>
        <v>235373.61000000002</v>
      </c>
      <c r="AI75" s="2">
        <f>((IF((23='V06 Calend 01'!C75),('V06 Calend 01'!F75+'V06 Calend 01'!G75),0)+IF(AND(('V06 Calend 01'!E75&gt;0),(23&gt;'V06 Calend 01'!C75),(23&lt;'V06 Calend 01'!D75),(MOD((23-'V06 Calend 01'!C75),6)=0),(((23-'V06 Calend 01'!C75)/6)&lt;='V06 Calend 01'!E75)),IF((23=('V06 Calend 01'!C75+(6*'V06 Calend 01'!E75))),('V06 Calend 01'!H75-('V06 Calend 01'!I75*('V06 Calend 01'!E75-1))),'V06 Calend 01'!I75),0))+IF((23='V06 Calend 01'!D75),'V06 Calend 01'!J75,0))</f>
        <v>0</v>
      </c>
      <c r="AJ75" s="2">
        <f>((IF((24='V06 Calend 01'!C75),('V06 Calend 01'!F75+'V06 Calend 01'!G75),0)+IF(AND(('V06 Calend 01'!E75&gt;0),(24&gt;'V06 Calend 01'!C75),(24&lt;'V06 Calend 01'!D75),(MOD((24-'V06 Calend 01'!C75),6)=0),(((24-'V06 Calend 01'!C75)/6)&lt;='V06 Calend 01'!E75)),IF((24=('V06 Calend 01'!C75+(6*'V06 Calend 01'!E75))),('V06 Calend 01'!H75-('V06 Calend 01'!I75*('V06 Calend 01'!E75-1))),'V06 Calend 01'!I75),0))+IF((24='V06 Calend 01'!D75),'V06 Calend 01'!J75,0))</f>
        <v>0</v>
      </c>
      <c r="AK75" s="2">
        <f>((IF((25='V06 Calend 01'!C75),('V06 Calend 01'!F75+'V06 Calend 01'!G75),0)+IF(AND(('V06 Calend 01'!E75&gt;0),(25&gt;'V06 Calend 01'!C75),(25&lt;'V06 Calend 01'!D75),(MOD((25-'V06 Calend 01'!C75),6)=0),(((25-'V06 Calend 01'!C75)/6)&lt;='V06 Calend 01'!E75)),IF((25=('V06 Calend 01'!C75+(6*'V06 Calend 01'!E75))),('V06 Calend 01'!H75-('V06 Calend 01'!I75*('V06 Calend 01'!E75-1))),'V06 Calend 01'!I75),0))+IF((25='V06 Calend 01'!D75),'V06 Calend 01'!J75,0))</f>
        <v>0</v>
      </c>
      <c r="AL75" s="2">
        <f>((IF((26='V06 Calend 01'!C75),('V06 Calend 01'!F75+'V06 Calend 01'!G75),0)+IF(AND(('V06 Calend 01'!E75&gt;0),(26&gt;'V06 Calend 01'!C75),(26&lt;'V06 Calend 01'!D75),(MOD((26-'V06 Calend 01'!C75),6)=0),(((26-'V06 Calend 01'!C75)/6)&lt;='V06 Calend 01'!E75)),IF((26=('V06 Calend 01'!C75+(6*'V06 Calend 01'!E75))),('V06 Calend 01'!H75-('V06 Calend 01'!I75*('V06 Calend 01'!E75-1))),'V06 Calend 01'!I75),0))+IF((26='V06 Calend 01'!D75),'V06 Calend 01'!J75,0))</f>
        <v>0</v>
      </c>
      <c r="AM75" s="2">
        <f>((IF((27='V06 Calend 01'!C75),('V06 Calend 01'!F75+'V06 Calend 01'!G75),0)+IF(AND(('V06 Calend 01'!E75&gt;0),(27&gt;'V06 Calend 01'!C75),(27&lt;'V06 Calend 01'!D75),(MOD((27-'V06 Calend 01'!C75),6)=0),(((27-'V06 Calend 01'!C75)/6)&lt;='V06 Calend 01'!E75)),IF((27=('V06 Calend 01'!C75+(6*'V06 Calend 01'!E75))),('V06 Calend 01'!H75-('V06 Calend 01'!I75*('V06 Calend 01'!E75-1))),'V06 Calend 01'!I75),0))+IF((27='V06 Calend 01'!D75),'V06 Calend 01'!J75,0))</f>
        <v>0</v>
      </c>
      <c r="AN75" s="2">
        <f>((IF((28='V06 Calend 01'!C75),('V06 Calend 01'!F75+'V06 Calend 01'!G75),0)+IF(AND(('V06 Calend 01'!E75&gt;0),(28&gt;'V06 Calend 01'!C75),(28&lt;'V06 Calend 01'!D75),(MOD((28-'V06 Calend 01'!C75),6)=0),(((28-'V06 Calend 01'!C75)/6)&lt;='V06 Calend 01'!E75)),IF((28=('V06 Calend 01'!C75+(6*'V06 Calend 01'!E75))),('V06 Calend 01'!H75-('V06 Calend 01'!I75*('V06 Calend 01'!E75-1))),'V06 Calend 01'!I75),0))+IF((28='V06 Calend 01'!D75),'V06 Calend 01'!J75,0))</f>
        <v>517821.95</v>
      </c>
      <c r="AO75" s="2">
        <f>((IF((29='V06 Calend 01'!C75),('V06 Calend 01'!F75+'V06 Calend 01'!G75),0)+IF(AND(('V06 Calend 01'!E75&gt;0),(29&gt;'V06 Calend 01'!C75),(29&lt;'V06 Calend 01'!D75),(MOD((29-'V06 Calend 01'!C75),6)=0),(((29-'V06 Calend 01'!C75)/6)&lt;='V06 Calend 01'!E75)),IF((29=('V06 Calend 01'!C75+(6*'V06 Calend 01'!E75))),('V06 Calend 01'!H75-('V06 Calend 01'!I75*('V06 Calend 01'!E75-1))),'V06 Calend 01'!I75),0))+IF((29='V06 Calend 01'!D75),'V06 Calend 01'!J75,0))</f>
        <v>188298.89999999997</v>
      </c>
      <c r="AP75" s="2">
        <f>((IF((30='V06 Calend 01'!C75),('V06 Calend 01'!F75+'V06 Calend 01'!G75),0)+IF(AND(('V06 Calend 01'!E75&gt;0),(30&gt;'V06 Calend 01'!C75),(30&lt;'V06 Calend 01'!D75),(MOD((30-'V06 Calend 01'!C75),6)=0),(((30-'V06 Calend 01'!C75)/6)&lt;='V06 Calend 01'!E75)),IF((30=('V06 Calend 01'!C75+(6*'V06 Calend 01'!E75))),('V06 Calend 01'!H75-('V06 Calend 01'!I75*('V06 Calend 01'!E75-1))),'V06 Calend 01'!I75),0))+IF((30='V06 Calend 01'!D75),'V06 Calend 01'!J75,0))</f>
        <v>0</v>
      </c>
      <c r="AQ75" s="2">
        <f>((IF((31='V06 Calend 01'!C75),('V06 Calend 01'!F75+'V06 Calend 01'!G75),0)+IF(AND(('V06 Calend 01'!E75&gt;0),(31&gt;'V06 Calend 01'!C75),(31&lt;'V06 Calend 01'!D75),(MOD((31-'V06 Calend 01'!C75),6)=0),(((31-'V06 Calend 01'!C75)/6)&lt;='V06 Calend 01'!E75)),IF((31=('V06 Calend 01'!C75+(6*'V06 Calend 01'!E75))),('V06 Calend 01'!H75-('V06 Calend 01'!I75*('V06 Calend 01'!E75-1))),'V06 Calend 01'!I75),0))+IF((31='V06 Calend 01'!D75),'V06 Calend 01'!J75,0))</f>
        <v>0</v>
      </c>
      <c r="AR75" s="2">
        <f>((IF((32='V06 Calend 01'!C75),('V06 Calend 01'!F75+'V06 Calend 01'!G75),0)+IF(AND(('V06 Calend 01'!E75&gt;0),(32&gt;'V06 Calend 01'!C75),(32&lt;'V06 Calend 01'!D75),(MOD((32-'V06 Calend 01'!C75),6)=0),(((32-'V06 Calend 01'!C75)/6)&lt;='V06 Calend 01'!E75)),IF((32=('V06 Calend 01'!C75+(6*'V06 Calend 01'!E75))),('V06 Calend 01'!H75-('V06 Calend 01'!I75*('V06 Calend 01'!E75-1))),'V06 Calend 01'!I75),0))+IF((32='V06 Calend 01'!D75),'V06 Calend 01'!J75,0))</f>
        <v>0</v>
      </c>
      <c r="AS75" s="2">
        <f>((IF((33='V06 Calend 01'!C75),('V06 Calend 01'!F75+'V06 Calend 01'!G75),0)+IF(AND(('V06 Calend 01'!E75&gt;0),(33&gt;'V06 Calend 01'!C75),(33&lt;'V06 Calend 01'!D75),(MOD((33-'V06 Calend 01'!C75),6)=0),(((33-'V06 Calend 01'!C75)/6)&lt;='V06 Calend 01'!E75)),IF((33=('V06 Calend 01'!C75+(6*'V06 Calend 01'!E75))),('V06 Calend 01'!H75-('V06 Calend 01'!I75*('V06 Calend 01'!E75-1))),'V06 Calend 01'!I75),0))+IF((33='V06 Calend 01'!D75),'V06 Calend 01'!J75,0))</f>
        <v>0</v>
      </c>
      <c r="AT75" s="2">
        <f>((IF((34='V06 Calend 01'!C75),('V06 Calend 01'!F75+'V06 Calend 01'!G75),0)+IF(AND(('V06 Calend 01'!E75&gt;0),(34&gt;'V06 Calend 01'!C75),(34&lt;'V06 Calend 01'!D75),(MOD((34-'V06 Calend 01'!C75),6)=0),(((34-'V06 Calend 01'!C75)/6)&lt;='V06 Calend 01'!E75)),IF((34=('V06 Calend 01'!C75+(6*'V06 Calend 01'!E75))),('V06 Calend 01'!H75-('V06 Calend 01'!I75*('V06 Calend 01'!E75-1))),'V06 Calend 01'!I75),0))+IF((34='V06 Calend 01'!D75),'V06 Calend 01'!J75,0))</f>
        <v>0</v>
      </c>
      <c r="AU75" s="2">
        <f>((IF((35='V06 Calend 01'!C75),('V06 Calend 01'!F75+'V06 Calend 01'!G75),0)+IF(AND(('V06 Calend 01'!E75&gt;0),(35&gt;'V06 Calend 01'!C75),(35&lt;'V06 Calend 01'!D75),(MOD((35-'V06 Calend 01'!C75),6)=0),(((35-'V06 Calend 01'!C75)/6)&lt;='V06 Calend 01'!E75)),IF((35=('V06 Calend 01'!C75+(6*'V06 Calend 01'!E75))),('V06 Calend 01'!H75-('V06 Calend 01'!I75*('V06 Calend 01'!E75-1))),'V06 Calend 01'!I75),0))+IF((35='V06 Calend 01'!D75),'V06 Calend 01'!J75,0))</f>
        <v>0</v>
      </c>
      <c r="AV75" s="2">
        <f>((IF((36='V06 Calend 01'!C75),('V06 Calend 01'!F75+'V06 Calend 01'!G75),0)+IF(AND(('V06 Calend 01'!E75&gt;0),(36&gt;'V06 Calend 01'!C75),(36&lt;'V06 Calend 01'!D75),(MOD((36-'V06 Calend 01'!C75),6)=0),(((36-'V06 Calend 01'!C75)/6)&lt;='V06 Calend 01'!E75)),IF((36=('V06 Calend 01'!C75+(6*'V06 Calend 01'!E75))),('V06 Calend 01'!H75-('V06 Calend 01'!I75*('V06 Calend 01'!E75-1))),'V06 Calend 01'!I75),0))+IF((36='V06 Calend 01'!D75),'V06 Calend 01'!J75,0))</f>
        <v>0</v>
      </c>
      <c r="AW75" s="2">
        <f>((IF((37='V06 Calend 01'!C75),('V06 Calend 01'!F75+'V06 Calend 01'!G75),0)+IF(AND(('V06 Calend 01'!E75&gt;0),(37&gt;'V06 Calend 01'!C75),(37&lt;'V06 Calend 01'!D75),(MOD((37-'V06 Calend 01'!C75),6)=0),(((37-'V06 Calend 01'!C75)/6)&lt;='V06 Calend 01'!E75)),IF((37=('V06 Calend 01'!C75+(6*'V06 Calend 01'!E75))),('V06 Calend 01'!H75-('V06 Calend 01'!I75*('V06 Calend 01'!E75-1))),'V06 Calend 01'!I75),0))+IF((37='V06 Calend 01'!D75),'V06 Calend 01'!J75,0))</f>
        <v>0</v>
      </c>
      <c r="AX75" s="2">
        <f>((IF((38='V06 Calend 01'!C75),('V06 Calend 01'!F75+'V06 Calend 01'!G75),0)+IF(AND(('V06 Calend 01'!E75&gt;0),(38&gt;'V06 Calend 01'!C75),(38&lt;'V06 Calend 01'!D75),(MOD((38-'V06 Calend 01'!C75),6)=0),(((38-'V06 Calend 01'!C75)/6)&lt;='V06 Calend 01'!E75)),IF((38=('V06 Calend 01'!C75+(6*'V06 Calend 01'!E75))),('V06 Calend 01'!H75-('V06 Calend 01'!I75*('V06 Calend 01'!E75-1))),'V06 Calend 01'!I75),0))+IF((38='V06 Calend 01'!D75),'V06 Calend 01'!J75,0))</f>
        <v>0</v>
      </c>
      <c r="AY75" s="2">
        <f>((IF((39='V06 Calend 01'!C75),('V06 Calend 01'!F75+'V06 Calend 01'!G75),0)+IF(AND(('V06 Calend 01'!E75&gt;0),(39&gt;'V06 Calend 01'!C75),(39&lt;'V06 Calend 01'!D75),(MOD((39-'V06 Calend 01'!C75),6)=0),(((39-'V06 Calend 01'!C75)/6)&lt;='V06 Calend 01'!E75)),IF((39=('V06 Calend 01'!C75+(6*'V06 Calend 01'!E75))),('V06 Calend 01'!H75-('V06 Calend 01'!I75*('V06 Calend 01'!E75-1))),'V06 Calend 01'!I75),0))+IF((39='V06 Calend 01'!D75),'V06 Calend 01'!J75,0))</f>
        <v>0</v>
      </c>
      <c r="AZ75" s="2">
        <f>((IF((40='V06 Calend 01'!C75),('V06 Calend 01'!F75+'V06 Calend 01'!G75),0)+IF(AND(('V06 Calend 01'!E75&gt;0),(40&gt;'V06 Calend 01'!C75),(40&lt;'V06 Calend 01'!D75),(MOD((40-'V06 Calend 01'!C75),6)=0),(((40-'V06 Calend 01'!C75)/6)&lt;='V06 Calend 01'!E75)),IF((40=('V06 Calend 01'!C75+(6*'V06 Calend 01'!E75))),('V06 Calend 01'!H75-('V06 Calend 01'!I75*('V06 Calend 01'!E75-1))),'V06 Calend 01'!I75),0))+IF((40='V06 Calend 01'!D75),'V06 Calend 01'!J75,0))</f>
        <v>0</v>
      </c>
      <c r="BA75" s="2">
        <f>((IF((41='V06 Calend 01'!C75),('V06 Calend 01'!F75+'V06 Calend 01'!G75),0)+IF(AND(('V06 Calend 01'!E75&gt;0),(41&gt;'V06 Calend 01'!C75),(41&lt;'V06 Calend 01'!D75),(MOD((41-'V06 Calend 01'!C75),6)=0),(((41-'V06 Calend 01'!C75)/6)&lt;='V06 Calend 01'!E75)),IF((41=('V06 Calend 01'!C75+(6*'V06 Calend 01'!E75))),('V06 Calend 01'!H75-('V06 Calend 01'!I75*('V06 Calend 01'!E75-1))),'V06 Calend 01'!I75),0))+IF((41='V06 Calend 01'!D75),'V06 Calend 01'!J75,0))</f>
        <v>0</v>
      </c>
      <c r="BB75" s="2">
        <f>((IF((42='V06 Calend 01'!C75),('V06 Calend 01'!F75+'V06 Calend 01'!G75),0)+IF(AND(('V06 Calend 01'!E75&gt;0),(42&gt;'V06 Calend 01'!C75),(42&lt;'V06 Calend 01'!D75),(MOD((42-'V06 Calend 01'!C75),6)=0),(((42-'V06 Calend 01'!C75)/6)&lt;='V06 Calend 01'!E75)),IF((42=('V06 Calend 01'!C75+(6*'V06 Calend 01'!E75))),('V06 Calend 01'!H75-('V06 Calend 01'!I75*('V06 Calend 01'!E75-1))),'V06 Calend 01'!I75),0))+IF((42='V06 Calend 01'!D75),'V06 Calend 01'!J75,0))</f>
        <v>0</v>
      </c>
      <c r="BC75" s="2">
        <f>((IF((43='V06 Calend 01'!C75),('V06 Calend 01'!F75+'V06 Calend 01'!G75),0)+IF(AND(('V06 Calend 01'!E75&gt;0),(43&gt;'V06 Calend 01'!C75),(43&lt;'V06 Calend 01'!D75),(MOD((43-'V06 Calend 01'!C75),6)=0),(((43-'V06 Calend 01'!C75)/6)&lt;='V06 Calend 01'!E75)),IF((43=('V06 Calend 01'!C75+(6*'V06 Calend 01'!E75))),('V06 Calend 01'!H75-('V06 Calend 01'!I75*('V06 Calend 01'!E75-1))),'V06 Calend 01'!I75),0))+IF((43='V06 Calend 01'!D75),'V06 Calend 01'!J75,0))</f>
        <v>0</v>
      </c>
      <c r="BD75" s="2">
        <f>((IF((44='V06 Calend 01'!C75),('V06 Calend 01'!F75+'V06 Calend 01'!G75),0)+IF(AND(('V06 Calend 01'!E75&gt;0),(44&gt;'V06 Calend 01'!C75),(44&lt;'V06 Calend 01'!D75),(MOD((44-'V06 Calend 01'!C75),6)=0),(((44-'V06 Calend 01'!C75)/6)&lt;='V06 Calend 01'!E75)),IF((44=('V06 Calend 01'!C75+(6*'V06 Calend 01'!E75))),('V06 Calend 01'!H75-('V06 Calend 01'!I75*('V06 Calend 01'!E75-1))),'V06 Calend 01'!I75),0))+IF((44='V06 Calend 01'!D75),'V06 Calend 01'!J75,0))</f>
        <v>0</v>
      </c>
      <c r="BE75" s="2">
        <f>((IF((45='V06 Calend 01'!C75),('V06 Calend 01'!F75+'V06 Calend 01'!G75),0)+IF(AND(('V06 Calend 01'!E75&gt;0),(45&gt;'V06 Calend 01'!C75),(45&lt;'V06 Calend 01'!D75),(MOD((45-'V06 Calend 01'!C75),6)=0),(((45-'V06 Calend 01'!C75)/6)&lt;='V06 Calend 01'!E75)),IF((45=('V06 Calend 01'!C75+(6*'V06 Calend 01'!E75))),('V06 Calend 01'!H75-('V06 Calend 01'!I75*('V06 Calend 01'!E75-1))),'V06 Calend 01'!I75),0))+IF((45='V06 Calend 01'!D75),'V06 Calend 01'!J75,0))</f>
        <v>0</v>
      </c>
      <c r="BF75" s="2">
        <f>((IF((46='V06 Calend 01'!C75),('V06 Calend 01'!F75+'V06 Calend 01'!G75),0)+IF(AND(('V06 Calend 01'!E75&gt;0),(46&gt;'V06 Calend 01'!C75),(46&lt;'V06 Calend 01'!D75),(MOD((46-'V06 Calend 01'!C75),6)=0),(((46-'V06 Calend 01'!C75)/6)&lt;='V06 Calend 01'!E75)),IF((46=('V06 Calend 01'!C75+(6*'V06 Calend 01'!E75))),('V06 Calend 01'!H75-('V06 Calend 01'!I75*('V06 Calend 01'!E75-1))),'V06 Calend 01'!I75),0))+IF((46='V06 Calend 01'!D75),'V06 Calend 01'!J75,0))</f>
        <v>0</v>
      </c>
      <c r="BG75" s="2">
        <f>((IF((47='V06 Calend 01'!C75),('V06 Calend 01'!F75+'V06 Calend 01'!G75),0)+IF(AND(('V06 Calend 01'!E75&gt;0),(47&gt;'V06 Calend 01'!C75),(47&lt;'V06 Calend 01'!D75),(MOD((47-'V06 Calend 01'!C75),6)=0),(((47-'V06 Calend 01'!C75)/6)&lt;='V06 Calend 01'!E75)),IF((47=('V06 Calend 01'!C75+(6*'V06 Calend 01'!E75))),('V06 Calend 01'!H75-('V06 Calend 01'!I75*('V06 Calend 01'!E75-1))),'V06 Calend 01'!I75),0))+IF((47='V06 Calend 01'!D75),'V06 Calend 01'!J75,0))</f>
        <v>0</v>
      </c>
      <c r="BH75" s="2">
        <f>((IF((48='V06 Calend 01'!C75),('V06 Calend 01'!F75+'V06 Calend 01'!G75),0)+IF(AND(('V06 Calend 01'!E75&gt;0),(48&gt;'V06 Calend 01'!C75),(48&lt;'V06 Calend 01'!D75),(MOD((48-'V06 Calend 01'!C75),6)=0),(((48-'V06 Calend 01'!C75)/6)&lt;='V06 Calend 01'!E75)),IF((48=('V06 Calend 01'!C75+(6*'V06 Calend 01'!E75))),('V06 Calend 01'!H75-('V06 Calend 01'!I75*('V06 Calend 01'!E75-1))),'V06 Calend 01'!I75),0))+IF((48='V06 Calend 01'!D75),'V06 Calend 01'!J75,0))</f>
        <v>0</v>
      </c>
      <c r="BI75" s="2">
        <f>((IF((49='V06 Calend 01'!C75),('V06 Calend 01'!F75+'V06 Calend 01'!G75),0)+IF(AND(('V06 Calend 01'!E75&gt;0),(49&gt;'V06 Calend 01'!C75),(49&lt;'V06 Calend 01'!D75),(MOD((49-'V06 Calend 01'!C75),6)=0),(((49-'V06 Calend 01'!C75)/6)&lt;='V06 Calend 01'!E75)),IF((49=('V06 Calend 01'!C75+(6*'V06 Calend 01'!E75))),('V06 Calend 01'!H75-('V06 Calend 01'!I75*('V06 Calend 01'!E75-1))),'V06 Calend 01'!I75),0))+IF((49='V06 Calend 01'!D75),'V06 Calend 01'!J75,0))</f>
        <v>0</v>
      </c>
      <c r="BJ75" s="2">
        <f>((IF((50='V06 Calend 01'!C75),('V06 Calend 01'!F75+'V06 Calend 01'!G75),0)+IF(AND(('V06 Calend 01'!E75&gt;0),(50&gt;'V06 Calend 01'!C75),(50&lt;'V06 Calend 01'!D75),(MOD((50-'V06 Calend 01'!C75),6)=0),(((50-'V06 Calend 01'!C75)/6)&lt;='V06 Calend 01'!E75)),IF((50=('V06 Calend 01'!C75+(6*'V06 Calend 01'!E75))),('V06 Calend 01'!H75-('V06 Calend 01'!I75*('V06 Calend 01'!E75-1))),'V06 Calend 01'!I75),0))+IF((50='V06 Calend 01'!D75),'V06 Calend 01'!J75,0))</f>
        <v>0</v>
      </c>
      <c r="BK75" s="2">
        <f>((IF((51='V06 Calend 01'!C75),('V06 Calend 01'!F75+'V06 Calend 01'!G75),0)+IF(AND(('V06 Calend 01'!E75&gt;0),(51&gt;'V06 Calend 01'!C75),(51&lt;'V06 Calend 01'!D75),(MOD((51-'V06 Calend 01'!C75),6)=0),(((51-'V06 Calend 01'!C75)/6)&lt;='V06 Calend 01'!E75)),IF((51=('V06 Calend 01'!C75+(6*'V06 Calend 01'!E75))),('V06 Calend 01'!H75-('V06 Calend 01'!I75*('V06 Calend 01'!E75-1))),'V06 Calend 01'!I75),0))+IF((51='V06 Calend 01'!D75),'V06 Calend 01'!J75,0))</f>
        <v>0</v>
      </c>
      <c r="BL75" s="2">
        <f>((IF((52='V06 Calend 01'!C75),('V06 Calend 01'!F75+'V06 Calend 01'!G75),0)+IF(AND(('V06 Calend 01'!E75&gt;0),(52&gt;'V06 Calend 01'!C75),(52&lt;'V06 Calend 01'!D75),(MOD((52-'V06 Calend 01'!C75),6)=0),(((52-'V06 Calend 01'!C75)/6)&lt;='V06 Calend 01'!E75)),IF((52=('V06 Calend 01'!C75+(6*'V06 Calend 01'!E75))),('V06 Calend 01'!H75-('V06 Calend 01'!I75*('V06 Calend 01'!E75-1))),'V06 Calend 01'!I75),0))+IF((52='V06 Calend 01'!D75),'V06 Calend 01'!J75,0))</f>
        <v>0</v>
      </c>
      <c r="BM75" s="2">
        <f>((IF((53='V06 Calend 01'!C75),('V06 Calend 01'!F75+'V06 Calend 01'!G75),0)+IF(AND(('V06 Calend 01'!E75&gt;0),(53&gt;'V06 Calend 01'!C75),(53&lt;'V06 Calend 01'!D75),(MOD((53-'V06 Calend 01'!C75),6)=0),(((53-'V06 Calend 01'!C75)/6)&lt;='V06 Calend 01'!E75)),IF((53=('V06 Calend 01'!C75+(6*'V06 Calend 01'!E75))),('V06 Calend 01'!H75-('V06 Calend 01'!I75*('V06 Calend 01'!E75-1))),'V06 Calend 01'!I75),0))+IF((53='V06 Calend 01'!D75),'V06 Calend 01'!J75,0))</f>
        <v>0</v>
      </c>
      <c r="BN75" s="2">
        <f>((IF((54='V06 Calend 01'!C75),('V06 Calend 01'!F75+'V06 Calend 01'!G75),0)+IF(AND(('V06 Calend 01'!E75&gt;0),(54&gt;'V06 Calend 01'!C75),(54&lt;'V06 Calend 01'!D75),(MOD((54-'V06 Calend 01'!C75),6)=0),(((54-'V06 Calend 01'!C75)/6)&lt;='V06 Calend 01'!E75)),IF((54=('V06 Calend 01'!C75+(6*'V06 Calend 01'!E75))),('V06 Calend 01'!H75-('V06 Calend 01'!I75*('V06 Calend 01'!E75-1))),'V06 Calend 01'!I75),0))+IF((54='V06 Calend 01'!D75),'V06 Calend 01'!J75,0))</f>
        <v>0</v>
      </c>
      <c r="BO75" s="2">
        <f>((IF((55='V06 Calend 01'!C75),('V06 Calend 01'!F75+'V06 Calend 01'!G75),0)+IF(AND(('V06 Calend 01'!E75&gt;0),(55&gt;'V06 Calend 01'!C75),(55&lt;'V06 Calend 01'!D75),(MOD((55-'V06 Calend 01'!C75),6)=0),(((55-'V06 Calend 01'!C75)/6)&lt;='V06 Calend 01'!E75)),IF((55=('V06 Calend 01'!C75+(6*'V06 Calend 01'!E75))),('V06 Calend 01'!H75-('V06 Calend 01'!I75*('V06 Calend 01'!E75-1))),'V06 Calend 01'!I75),0))+IF((55='V06 Calend 01'!D75),'V06 Calend 01'!J75,0))</f>
        <v>0</v>
      </c>
      <c r="BP75" s="2">
        <f>((IF((56='V06 Calend 01'!C75),('V06 Calend 01'!F75+'V06 Calend 01'!G75),0)+IF(AND(('V06 Calend 01'!E75&gt;0),(56&gt;'V06 Calend 01'!C75),(56&lt;'V06 Calend 01'!D75),(MOD((56-'V06 Calend 01'!C75),6)=0),(((56-'V06 Calend 01'!C75)/6)&lt;='V06 Calend 01'!E75)),IF((56=('V06 Calend 01'!C75+(6*'V06 Calend 01'!E75))),('V06 Calend 01'!H75-('V06 Calend 01'!I75*('V06 Calend 01'!E75-1))),'V06 Calend 01'!I75),0))+IF((56='V06 Calend 01'!D75),'V06 Calend 01'!J75,0))</f>
        <v>0</v>
      </c>
      <c r="BQ75" s="2">
        <f>((IF((57='V06 Calend 01'!C75),('V06 Calend 01'!F75+'V06 Calend 01'!G75),0)+IF(AND(('V06 Calend 01'!E75&gt;0),(57&gt;'V06 Calend 01'!C75),(57&lt;'V06 Calend 01'!D75),(MOD((57-'V06 Calend 01'!C75),6)=0),(((57-'V06 Calend 01'!C75)/6)&lt;='V06 Calend 01'!E75)),IF((57=('V06 Calend 01'!C75+(6*'V06 Calend 01'!E75))),('V06 Calend 01'!H75-('V06 Calend 01'!I75*('V06 Calend 01'!E75-1))),'V06 Calend 01'!I75),0))+IF((57='V06 Calend 01'!D75),'V06 Calend 01'!J75,0))</f>
        <v>0</v>
      </c>
      <c r="BR75" s="2">
        <f>((IF((58='V06 Calend 01'!C75),('V06 Calend 01'!F75+'V06 Calend 01'!G75),0)+IF(AND(('V06 Calend 01'!E75&gt;0),(58&gt;'V06 Calend 01'!C75),(58&lt;'V06 Calend 01'!D75),(MOD((58-'V06 Calend 01'!C75),6)=0),(((58-'V06 Calend 01'!C75)/6)&lt;='V06 Calend 01'!E75)),IF((58=('V06 Calend 01'!C75+(6*'V06 Calend 01'!E75))),('V06 Calend 01'!H75-('V06 Calend 01'!I75*('V06 Calend 01'!E75-1))),'V06 Calend 01'!I75),0))+IF((58='V06 Calend 01'!D75),'V06 Calend 01'!J75,0))</f>
        <v>0</v>
      </c>
      <c r="BS75" s="2">
        <f>((IF((59='V06 Calend 01'!C75),('V06 Calend 01'!F75+'V06 Calend 01'!G75),0)+IF(AND(('V06 Calend 01'!E75&gt;0),(59&gt;'V06 Calend 01'!C75),(59&lt;'V06 Calend 01'!D75),(MOD((59-'V06 Calend 01'!C75),6)=0),(((59-'V06 Calend 01'!C75)/6)&lt;='V06 Calend 01'!E75)),IF((59=('V06 Calend 01'!C75+(6*'V06 Calend 01'!E75))),('V06 Calend 01'!H75-('V06 Calend 01'!I75*('V06 Calend 01'!E75-1))),'V06 Calend 01'!I75),0))+IF((59='V06 Calend 01'!D75),'V06 Calend 01'!J75,0))</f>
        <v>0</v>
      </c>
      <c r="BT75" s="2">
        <f>((IF((60='V06 Calend 01'!C75),('V06 Calend 01'!F75+'V06 Calend 01'!G75),0)+IF(AND(('V06 Calend 01'!E75&gt;0),(60&gt;'V06 Calend 01'!C75),(60&lt;'V06 Calend 01'!D75),(MOD((60-'V06 Calend 01'!C75),6)=0),(((60-'V06 Calend 01'!C75)/6)&lt;='V06 Calend 01'!E75)),IF((60=('V06 Calend 01'!C75+(6*'V06 Calend 01'!E75))),('V06 Calend 01'!H75-('V06 Calend 01'!I75*('V06 Calend 01'!E75-1))),'V06 Calend 01'!I75),0))+IF((60='V06 Calend 01'!D75),'V06 Calend 01'!J75,0))</f>
        <v>0</v>
      </c>
      <c r="BU75" s="2">
        <f>((IF((61='V06 Calend 01'!C75),('V06 Calend 01'!F75+'V06 Calend 01'!G75),0)+IF(AND(('V06 Calend 01'!E75&gt;0),(61&gt;'V06 Calend 01'!C75),(61&lt;'V06 Calend 01'!D75),(MOD((61-'V06 Calend 01'!C75),6)=0),(((61-'V06 Calend 01'!C75)/6)&lt;='V06 Calend 01'!E75)),IF((61=('V06 Calend 01'!C75+(6*'V06 Calend 01'!E75))),('V06 Calend 01'!H75-('V06 Calend 01'!I75*('V06 Calend 01'!E75-1))),'V06 Calend 01'!I75),0))+IF((61='V06 Calend 01'!D75),'V06 Calend 01'!J75,0))</f>
        <v>0</v>
      </c>
      <c r="BV75" s="2">
        <f>((IF((62='V06 Calend 01'!C75),('V06 Calend 01'!F75+'V06 Calend 01'!G75),0)+IF(AND(('V06 Calend 01'!E75&gt;0),(62&gt;'V06 Calend 01'!C75),(62&lt;'V06 Calend 01'!D75),(MOD((62-'V06 Calend 01'!C75),6)=0),(((62-'V06 Calend 01'!C75)/6)&lt;='V06 Calend 01'!E75)),IF((62=('V06 Calend 01'!C75+(6*'V06 Calend 01'!E75))),('V06 Calend 01'!H75-('V06 Calend 01'!I75*('V06 Calend 01'!E75-1))),'V06 Calend 01'!I75),0))+IF((62='V06 Calend 01'!D75),'V06 Calend 01'!J75,0))</f>
        <v>0</v>
      </c>
      <c r="BW75" s="2">
        <f>((IF((63='V06 Calend 01'!C75),('V06 Calend 01'!F75+'V06 Calend 01'!G75),0)+IF(AND(('V06 Calend 01'!E75&gt;0),(63&gt;'V06 Calend 01'!C75),(63&lt;'V06 Calend 01'!D75),(MOD((63-'V06 Calend 01'!C75),6)=0),(((63-'V06 Calend 01'!C75)/6)&lt;='V06 Calend 01'!E75)),IF((63=('V06 Calend 01'!C75+(6*'V06 Calend 01'!E75))),('V06 Calend 01'!H75-('V06 Calend 01'!I75*('V06 Calend 01'!E75-1))),'V06 Calend 01'!I75),0))+IF((63='V06 Calend 01'!D75),'V06 Calend 01'!J75,0))</f>
        <v>0</v>
      </c>
      <c r="BX75" s="2">
        <f>((IF((64='V06 Calend 01'!C75),('V06 Calend 01'!F75+'V06 Calend 01'!G75),0)+IF(AND(('V06 Calend 01'!E75&gt;0),(64&gt;'V06 Calend 01'!C75),(64&lt;'V06 Calend 01'!D75),(MOD((64-'V06 Calend 01'!C75),6)=0),(((64-'V06 Calend 01'!C75)/6)&lt;='V06 Calend 01'!E75)),IF((64=('V06 Calend 01'!C75+(6*'V06 Calend 01'!E75))),('V06 Calend 01'!H75-('V06 Calend 01'!I75*('V06 Calend 01'!E75-1))),'V06 Calend 01'!I75),0))+IF((64='V06 Calend 01'!D75),'V06 Calend 01'!J75,0))</f>
        <v>0</v>
      </c>
      <c r="BY75" s="2">
        <f>((IF((65='V06 Calend 01'!C75),('V06 Calend 01'!F75+'V06 Calend 01'!G75),0)+IF(AND(('V06 Calend 01'!E75&gt;0),(65&gt;'V06 Calend 01'!C75),(65&lt;'V06 Calend 01'!D75),(MOD((65-'V06 Calend 01'!C75),6)=0),(((65-'V06 Calend 01'!C75)/6)&lt;='V06 Calend 01'!E75)),IF((65=('V06 Calend 01'!C75+(6*'V06 Calend 01'!E75))),('V06 Calend 01'!H75-('V06 Calend 01'!I75*('V06 Calend 01'!E75-1))),'V06 Calend 01'!I75),0))+IF((65='V06 Calend 01'!D75),'V06 Calend 01'!J75,0))</f>
        <v>0</v>
      </c>
      <c r="BZ75" s="2">
        <f>((IF((66='V06 Calend 01'!C75),('V06 Calend 01'!F75+'V06 Calend 01'!G75),0)+IF(AND(('V06 Calend 01'!E75&gt;0),(66&gt;'V06 Calend 01'!C75),(66&lt;'V06 Calend 01'!D75),(MOD((66-'V06 Calend 01'!C75),6)=0),(((66-'V06 Calend 01'!C75)/6)&lt;='V06 Calend 01'!E75)),IF((66=('V06 Calend 01'!C75+(6*'V06 Calend 01'!E75))),('V06 Calend 01'!H75-('V06 Calend 01'!I75*('V06 Calend 01'!E75-1))),'V06 Calend 01'!I75),0))+IF((66='V06 Calend 01'!D75),'V06 Calend 01'!J75,0))</f>
        <v>0</v>
      </c>
      <c r="CA75" s="2">
        <f>((IF((67='V06 Calend 01'!C75),('V06 Calend 01'!F75+'V06 Calend 01'!G75),0)+IF(AND(('V06 Calend 01'!E75&gt;0),(67&gt;'V06 Calend 01'!C75),(67&lt;'V06 Calend 01'!D75),(MOD((67-'V06 Calend 01'!C75),6)=0),(((67-'V06 Calend 01'!C75)/6)&lt;='V06 Calend 01'!E75)),IF((67=('V06 Calend 01'!C75+(6*'V06 Calend 01'!E75))),('V06 Calend 01'!H75-('V06 Calend 01'!I75*('V06 Calend 01'!E75-1))),'V06 Calend 01'!I75),0))+IF((67='V06 Calend 01'!D75),'V06 Calend 01'!J75,0))</f>
        <v>0</v>
      </c>
      <c r="CB75" s="2">
        <f>((IF((68='V06 Calend 01'!C75),('V06 Calend 01'!F75+'V06 Calend 01'!G75),0)+IF(AND(('V06 Calend 01'!E75&gt;0),(68&gt;'V06 Calend 01'!C75),(68&lt;'V06 Calend 01'!D75),(MOD((68-'V06 Calend 01'!C75),6)=0),(((68-'V06 Calend 01'!C75)/6)&lt;='V06 Calend 01'!E75)),IF((68=('V06 Calend 01'!C75+(6*'V06 Calend 01'!E75))),('V06 Calend 01'!H75-('V06 Calend 01'!I75*('V06 Calend 01'!E75-1))),'V06 Calend 01'!I75),0))+IF((68='V06 Calend 01'!D75),'V06 Calend 01'!J75,0))</f>
        <v>0</v>
      </c>
      <c r="CC75" s="2">
        <f>((IF((69='V06 Calend 01'!C75),('V06 Calend 01'!F75+'V06 Calend 01'!G75),0)+IF(AND(('V06 Calend 01'!E75&gt;0),(69&gt;'V06 Calend 01'!C75),(69&lt;'V06 Calend 01'!D75),(MOD((69-'V06 Calend 01'!C75),6)=0),(((69-'V06 Calend 01'!C75)/6)&lt;='V06 Calend 01'!E75)),IF((69=('V06 Calend 01'!C75+(6*'V06 Calend 01'!E75))),('V06 Calend 01'!H75-('V06 Calend 01'!I75*('V06 Calend 01'!E75-1))),'V06 Calend 01'!I75),0))+IF((69='V06 Calend 01'!D75),'V06 Calend 01'!J75,0))</f>
        <v>0</v>
      </c>
      <c r="CD75" s="2">
        <f>((IF((70='V06 Calend 01'!C75),('V06 Calend 01'!F75+'V06 Calend 01'!G75),0)+IF(AND(('V06 Calend 01'!E75&gt;0),(70&gt;'V06 Calend 01'!C75),(70&lt;'V06 Calend 01'!D75),(MOD((70-'V06 Calend 01'!C75),6)=0),(((70-'V06 Calend 01'!C75)/6)&lt;='V06 Calend 01'!E75)),IF((70=('V06 Calend 01'!C75+(6*'V06 Calend 01'!E75))),('V06 Calend 01'!H75-('V06 Calend 01'!I75*('V06 Calend 01'!E75-1))),'V06 Calend 01'!I75),0))+IF((70='V06 Calend 01'!D75),'V06 Calend 01'!J75,0))</f>
        <v>0</v>
      </c>
      <c r="CE75" s="2">
        <f>((IF((71='V06 Calend 01'!C75),('V06 Calend 01'!F75+'V06 Calend 01'!G75),0)+IF(AND(('V06 Calend 01'!E75&gt;0),(71&gt;'V06 Calend 01'!C75),(71&lt;'V06 Calend 01'!D75),(MOD((71-'V06 Calend 01'!C75),6)=0),(((71-'V06 Calend 01'!C75)/6)&lt;='V06 Calend 01'!E75)),IF((71=('V06 Calend 01'!C75+(6*'V06 Calend 01'!E75))),('V06 Calend 01'!H75-('V06 Calend 01'!I75*('V06 Calend 01'!E75-1))),'V06 Calend 01'!I75),0))+IF((71='V06 Calend 01'!D75),'V06 Calend 01'!J75,0))</f>
        <v>0</v>
      </c>
      <c r="CF75" s="2">
        <f>((IF((72='V06 Calend 01'!C75),('V06 Calend 01'!F75+'V06 Calend 01'!G75),0)+IF(AND(('V06 Calend 01'!E75&gt;0),(72&gt;'V06 Calend 01'!C75),(72&lt;'V06 Calend 01'!D75),(MOD((72-'V06 Calend 01'!C75),6)=0),(((72-'V06 Calend 01'!C75)/6)&lt;='V06 Calend 01'!E75)),IF((72=('V06 Calend 01'!C75+(6*'V06 Calend 01'!E75))),('V06 Calend 01'!H75-('V06 Calend 01'!I75*('V06 Calend 01'!E75-1))),'V06 Calend 01'!I75),0))+IF((72='V06 Calend 01'!D75),'V06 Calend 01'!J75,0))</f>
        <v>0</v>
      </c>
      <c r="CG75" s="2">
        <f>((IF((73='V06 Calend 01'!C75),('V06 Calend 01'!F75+'V06 Calend 01'!G75),0)+IF(AND(('V06 Calend 01'!E75&gt;0),(73&gt;'V06 Calend 01'!C75),(73&lt;'V06 Calend 01'!D75),(MOD((73-'V06 Calend 01'!C75),6)=0),(((73-'V06 Calend 01'!C75)/6)&lt;='V06 Calend 01'!E75)),IF((73=('V06 Calend 01'!C75+(6*'V06 Calend 01'!E75))),('V06 Calend 01'!H75-('V06 Calend 01'!I75*('V06 Calend 01'!E75-1))),'V06 Calend 01'!I75),0))+IF((73='V06 Calend 01'!D75),'V06 Calend 01'!J75,0))</f>
        <v>0</v>
      </c>
      <c r="CH75" s="2">
        <f>((IF((74='V06 Calend 01'!C75),('V06 Calend 01'!F75+'V06 Calend 01'!G75),0)+IF(AND(('V06 Calend 01'!E75&gt;0),(74&gt;'V06 Calend 01'!C75),(74&lt;'V06 Calend 01'!D75),(MOD((74-'V06 Calend 01'!C75),6)=0),(((74-'V06 Calend 01'!C75)/6)&lt;='V06 Calend 01'!E75)),IF((74=('V06 Calend 01'!C75+(6*'V06 Calend 01'!E75))),('V06 Calend 01'!H75-('V06 Calend 01'!I75*('V06 Calend 01'!E75-1))),'V06 Calend 01'!I75),0))+IF((74='V06 Calend 01'!D75),'V06 Calend 01'!J75,0))</f>
        <v>0</v>
      </c>
      <c r="CI75" s="2">
        <f>((IF((75='V06 Calend 01'!C75),('V06 Calend 01'!F75+'V06 Calend 01'!G75),0)+IF(AND(('V06 Calend 01'!E75&gt;0),(75&gt;'V06 Calend 01'!C75),(75&lt;'V06 Calend 01'!D75),(MOD((75-'V06 Calend 01'!C75),6)=0),(((75-'V06 Calend 01'!C75)/6)&lt;='V06 Calend 01'!E75)),IF((75=('V06 Calend 01'!C75+(6*'V06 Calend 01'!E75))),('V06 Calend 01'!H75-('V06 Calend 01'!I75*('V06 Calend 01'!E75-1))),'V06 Calend 01'!I75),0))+IF((75='V06 Calend 01'!D75),'V06 Calend 01'!J75,0))</f>
        <v>0</v>
      </c>
      <c r="CJ75" s="2">
        <f>((IF((76='V06 Calend 01'!C75),('V06 Calend 01'!F75+'V06 Calend 01'!G75),0)+IF(AND(('V06 Calend 01'!E75&gt;0),(76&gt;'V06 Calend 01'!C75),(76&lt;'V06 Calend 01'!D75),(MOD((76-'V06 Calend 01'!C75),6)=0),(((76-'V06 Calend 01'!C75)/6)&lt;='V06 Calend 01'!E75)),IF((76=('V06 Calend 01'!C75+(6*'V06 Calend 01'!E75))),('V06 Calend 01'!H75-('V06 Calend 01'!I75*('V06 Calend 01'!E75-1))),'V06 Calend 01'!I75),0))+IF((76='V06 Calend 01'!D75),'V06 Calend 01'!J75,0))</f>
        <v>0</v>
      </c>
      <c r="CK75" s="2">
        <f>((IF((77='V06 Calend 01'!C75),('V06 Calend 01'!F75+'V06 Calend 01'!G75),0)+IF(AND(('V06 Calend 01'!E75&gt;0),(77&gt;'V06 Calend 01'!C75),(77&lt;'V06 Calend 01'!D75),(MOD((77-'V06 Calend 01'!C75),6)=0),(((77-'V06 Calend 01'!C75)/6)&lt;='V06 Calend 01'!E75)),IF((77=('V06 Calend 01'!C75+(6*'V06 Calend 01'!E75))),('V06 Calend 01'!H75-('V06 Calend 01'!I75*('V06 Calend 01'!E75-1))),'V06 Calend 01'!I75),0))+IF((77='V06 Calend 01'!D75),'V06 Calend 01'!J75,0))</f>
        <v>0</v>
      </c>
      <c r="CL75" s="2">
        <f>((IF((78='V06 Calend 01'!C75),('V06 Calend 01'!F75+'V06 Calend 01'!G75),0)+IF(AND(('V06 Calend 01'!E75&gt;0),(78&gt;'V06 Calend 01'!C75),(78&lt;'V06 Calend 01'!D75),(MOD((78-'V06 Calend 01'!C75),6)=0),(((78-'V06 Calend 01'!C75)/6)&lt;='V06 Calend 01'!E75)),IF((78=('V06 Calend 01'!C75+(6*'V06 Calend 01'!E75))),('V06 Calend 01'!H75-('V06 Calend 01'!I75*('V06 Calend 01'!E75-1))),'V06 Calend 01'!I75),0))+IF((78='V06 Calend 01'!D75),'V06 Calend 01'!J75,0))</f>
        <v>0</v>
      </c>
      <c r="CM75" s="2">
        <f>((IF((79='V06 Calend 01'!C75),('V06 Calend 01'!F75+'V06 Calend 01'!G75),0)+IF(AND(('V06 Calend 01'!E75&gt;0),(79&gt;'V06 Calend 01'!C75),(79&lt;'V06 Calend 01'!D75),(MOD((79-'V06 Calend 01'!C75),6)=0),(((79-'V06 Calend 01'!C75)/6)&lt;='V06 Calend 01'!E75)),IF((79=('V06 Calend 01'!C75+(6*'V06 Calend 01'!E75))),('V06 Calend 01'!H75-('V06 Calend 01'!I75*('V06 Calend 01'!E75-1))),'V06 Calend 01'!I75),0))+IF((79='V06 Calend 01'!D75),'V06 Calend 01'!J75,0))</f>
        <v>0</v>
      </c>
      <c r="CN75" s="2">
        <f>((IF((80='V06 Calend 01'!C75),('V06 Calend 01'!F75+'V06 Calend 01'!G75),0)+IF(AND(('V06 Calend 01'!E75&gt;0),(80&gt;'V06 Calend 01'!C75),(80&lt;'V06 Calend 01'!D75),(MOD((80-'V06 Calend 01'!C75),6)=0),(((80-'V06 Calend 01'!C75)/6)&lt;='V06 Calend 01'!E75)),IF((80=('V06 Calend 01'!C75+(6*'V06 Calend 01'!E75))),('V06 Calend 01'!H75-('V06 Calend 01'!I75*('V06 Calend 01'!E75-1))),'V06 Calend 01'!I75),0))+IF((80='V06 Calend 01'!D75),'V06 Calend 01'!J75,0))</f>
        <v>0</v>
      </c>
      <c r="CO75" s="2">
        <f>((IF((81='V06 Calend 01'!C75),('V06 Calend 01'!F75+'V06 Calend 01'!G75),0)+IF(AND(('V06 Calend 01'!E75&gt;0),(81&gt;'V06 Calend 01'!C75),(81&lt;'V06 Calend 01'!D75),(MOD((81-'V06 Calend 01'!C75),6)=0),(((81-'V06 Calend 01'!C75)/6)&lt;='V06 Calend 01'!E75)),IF((81=('V06 Calend 01'!C75+(6*'V06 Calend 01'!E75))),('V06 Calend 01'!H75-('V06 Calend 01'!I75*('V06 Calend 01'!E75-1))),'V06 Calend 01'!I75),0))+IF((81='V06 Calend 01'!D75),'V06 Calend 01'!J75,0))</f>
        <v>0</v>
      </c>
      <c r="CP75" s="2">
        <f>((IF((82='V06 Calend 01'!C75),('V06 Calend 01'!F75+'V06 Calend 01'!G75),0)+IF(AND(('V06 Calend 01'!E75&gt;0),(82&gt;'V06 Calend 01'!C75),(82&lt;'V06 Calend 01'!D75),(MOD((82-'V06 Calend 01'!C75),6)=0),(((82-'V06 Calend 01'!C75)/6)&lt;='V06 Calend 01'!E75)),IF((82=('V06 Calend 01'!C75+(6*'V06 Calend 01'!E75))),('V06 Calend 01'!H75-('V06 Calend 01'!I75*('V06 Calend 01'!E75-1))),'V06 Calend 01'!I75),0))+IF((82='V06 Calend 01'!D75),'V06 Calend 01'!J75,0))</f>
        <v>0</v>
      </c>
      <c r="CQ75" s="2">
        <f>((IF((83='V06 Calend 01'!C75),('V06 Calend 01'!F75+'V06 Calend 01'!G75),0)+IF(AND(('V06 Calend 01'!E75&gt;0),(83&gt;'V06 Calend 01'!C75),(83&lt;'V06 Calend 01'!D75),(MOD((83-'V06 Calend 01'!C75),6)=0),(((83-'V06 Calend 01'!C75)/6)&lt;='V06 Calend 01'!E75)),IF((83=('V06 Calend 01'!C75+(6*'V06 Calend 01'!E75))),('V06 Calend 01'!H75-('V06 Calend 01'!I75*('V06 Calend 01'!E75-1))),'V06 Calend 01'!I75),0))+IF((83='V06 Calend 01'!D75),'V06 Calend 01'!J75,0))</f>
        <v>0</v>
      </c>
      <c r="CR75" s="2">
        <f>((IF((84='V06 Calend 01'!C75),('V06 Calend 01'!F75+'V06 Calend 01'!G75),0)+IF(AND(('V06 Calend 01'!E75&gt;0),(84&gt;'V06 Calend 01'!C75),(84&lt;'V06 Calend 01'!D75),(MOD((84-'V06 Calend 01'!C75),6)=0),(((84-'V06 Calend 01'!C75)/6)&lt;='V06 Calend 01'!E75)),IF((84=('V06 Calend 01'!C75+(6*'V06 Calend 01'!E75))),('V06 Calend 01'!H75-('V06 Calend 01'!I75*('V06 Calend 01'!E75-1))),'V06 Calend 01'!I75),0))+IF((84='V06 Calend 01'!D75),'V06 Calend 01'!J75,0))</f>
        <v>0</v>
      </c>
      <c r="CS75" s="2">
        <f>((IF((85='V06 Calend 01'!C75),('V06 Calend 01'!F75+'V06 Calend 01'!G75),0)+IF(AND(('V06 Calend 01'!E75&gt;0),(85&gt;'V06 Calend 01'!C75),(85&lt;'V06 Calend 01'!D75),(MOD((85-'V06 Calend 01'!C75),6)=0),(((85-'V06 Calend 01'!C75)/6)&lt;='V06 Calend 01'!E75)),IF((85=('V06 Calend 01'!C75+(6*'V06 Calend 01'!E75))),('V06 Calend 01'!H75-('V06 Calend 01'!I75*('V06 Calend 01'!E75-1))),'V06 Calend 01'!I75),0))+IF((85='V06 Calend 01'!D75),'V06 Calend 01'!J75,0))</f>
        <v>0</v>
      </c>
      <c r="CT75" s="2">
        <f>((IF((86='V06 Calend 01'!C75),('V06 Calend 01'!F75+'V06 Calend 01'!G75),0)+IF(AND(('V06 Calend 01'!E75&gt;0),(86&gt;'V06 Calend 01'!C75),(86&lt;'V06 Calend 01'!D75),(MOD((86-'V06 Calend 01'!C75),6)=0),(((86-'V06 Calend 01'!C75)/6)&lt;='V06 Calend 01'!E75)),IF((86=('V06 Calend 01'!C75+(6*'V06 Calend 01'!E75))),('V06 Calend 01'!H75-('V06 Calend 01'!I75*('V06 Calend 01'!E75-1))),'V06 Calend 01'!I75),0))+IF((86='V06 Calend 01'!D75),'V06 Calend 01'!J75,0))</f>
        <v>0</v>
      </c>
      <c r="CU75" s="2">
        <f>((IF((87='V06 Calend 01'!C75),('V06 Calend 01'!F75+'V06 Calend 01'!G75),0)+IF(AND(('V06 Calend 01'!E75&gt;0),(87&gt;'V06 Calend 01'!C75),(87&lt;'V06 Calend 01'!D75),(MOD((87-'V06 Calend 01'!C75),6)=0),(((87-'V06 Calend 01'!C75)/6)&lt;='V06 Calend 01'!E75)),IF((87=('V06 Calend 01'!C75+(6*'V06 Calend 01'!E75))),('V06 Calend 01'!H75-('V06 Calend 01'!I75*('V06 Calend 01'!E75-1))),'V06 Calend 01'!I75),0))+IF((87='V06 Calend 01'!D75),'V06 Calend 01'!J75,0))</f>
        <v>0</v>
      </c>
      <c r="CV75" s="2">
        <f>((IF((88='V06 Calend 01'!C75),('V06 Calend 01'!F75+'V06 Calend 01'!G75),0)+IF(AND(('V06 Calend 01'!E75&gt;0),(88&gt;'V06 Calend 01'!C75),(88&lt;'V06 Calend 01'!D75),(MOD((88-'V06 Calend 01'!C75),6)=0),(((88-'V06 Calend 01'!C75)/6)&lt;='V06 Calend 01'!E75)),IF((88=('V06 Calend 01'!C75+(6*'V06 Calend 01'!E75))),('V06 Calend 01'!H75-('V06 Calend 01'!I75*('V06 Calend 01'!E75-1))),'V06 Calend 01'!I75),0))+IF((88='V06 Calend 01'!D75),'V06 Calend 01'!J75,0))</f>
        <v>0</v>
      </c>
      <c r="CW75" s="2">
        <f>((IF((89='V06 Calend 01'!C75),('V06 Calend 01'!F75+'V06 Calend 01'!G75),0)+IF(AND(('V06 Calend 01'!E75&gt;0),(89&gt;'V06 Calend 01'!C75),(89&lt;'V06 Calend 01'!D75),(MOD((89-'V06 Calend 01'!C75),6)=0),(((89-'V06 Calend 01'!C75)/6)&lt;='V06 Calend 01'!E75)),IF((89=('V06 Calend 01'!C75+(6*'V06 Calend 01'!E75))),('V06 Calend 01'!H75-('V06 Calend 01'!I75*('V06 Calend 01'!E75-1))),'V06 Calend 01'!I75),0))+IF((89='V06 Calend 01'!D75),'V06 Calend 01'!J75,0))</f>
        <v>0</v>
      </c>
      <c r="CX75" s="2">
        <f>((IF((90='V06 Calend 01'!C75),('V06 Calend 01'!F75+'V06 Calend 01'!G75),0)+IF(AND(('V06 Calend 01'!E75&gt;0),(90&gt;'V06 Calend 01'!C75),(90&lt;'V06 Calend 01'!D75),(MOD((90-'V06 Calend 01'!C75),6)=0),(((90-'V06 Calend 01'!C75)/6)&lt;='V06 Calend 01'!E75)),IF((90=('V06 Calend 01'!C75+(6*'V06 Calend 01'!E75))),('V06 Calend 01'!H75-('V06 Calend 01'!I75*('V06 Calend 01'!E75-1))),'V06 Calend 01'!I75),0))+IF((90='V06 Calend 01'!D75),'V06 Calend 01'!J75,0))</f>
        <v>0</v>
      </c>
      <c r="CY75" s="2">
        <f>((IF((91='V06 Calend 01'!C75),('V06 Calend 01'!F75+'V06 Calend 01'!G75),0)+IF(AND(('V06 Calend 01'!E75&gt;0),(91&gt;'V06 Calend 01'!C75),(91&lt;'V06 Calend 01'!D75),(MOD((91-'V06 Calend 01'!C75),6)=0),(((91-'V06 Calend 01'!C75)/6)&lt;='V06 Calend 01'!E75)),IF((91=('V06 Calend 01'!C75+(6*'V06 Calend 01'!E75))),('V06 Calend 01'!H75-('V06 Calend 01'!I75*('V06 Calend 01'!E75-1))),'V06 Calend 01'!I75),0))+IF((91='V06 Calend 01'!D75),'V06 Calend 01'!J75,0))</f>
        <v>0</v>
      </c>
      <c r="CZ75" s="2">
        <f>((IF((92='V06 Calend 01'!C75),('V06 Calend 01'!F75+'V06 Calend 01'!G75),0)+IF(AND(('V06 Calend 01'!E75&gt;0),(92&gt;'V06 Calend 01'!C75),(92&lt;'V06 Calend 01'!D75),(MOD((92-'V06 Calend 01'!C75),6)=0),(((92-'V06 Calend 01'!C75)/6)&lt;='V06 Calend 01'!E75)),IF((92=('V06 Calend 01'!C75+(6*'V06 Calend 01'!E75))),('V06 Calend 01'!H75-('V06 Calend 01'!I75*('V06 Calend 01'!E75-1))),'V06 Calend 01'!I75),0))+IF((92='V06 Calend 01'!D75),'V06 Calend 01'!J75,0))</f>
        <v>0</v>
      </c>
      <c r="DA75" s="2">
        <f>((IF((93='V06 Calend 01'!C75),('V06 Calend 01'!F75+'V06 Calend 01'!G75),0)+IF(AND(('V06 Calend 01'!E75&gt;0),(93&gt;'V06 Calend 01'!C75),(93&lt;'V06 Calend 01'!D75),(MOD((93-'V06 Calend 01'!C75),6)=0),(((93-'V06 Calend 01'!C75)/6)&lt;='V06 Calend 01'!E75)),IF((93=('V06 Calend 01'!C75+(6*'V06 Calend 01'!E75))),('V06 Calend 01'!H75-('V06 Calend 01'!I75*('V06 Calend 01'!E75-1))),'V06 Calend 01'!I75),0))+IF((93='V06 Calend 01'!D75),'V06 Calend 01'!J75,0))</f>
        <v>0</v>
      </c>
      <c r="DB75" s="2">
        <f>((IF((94='V06 Calend 01'!C75),('V06 Calend 01'!F75+'V06 Calend 01'!G75),0)+IF(AND(('V06 Calend 01'!E75&gt;0),(94&gt;'V06 Calend 01'!C75),(94&lt;'V06 Calend 01'!D75),(MOD((94-'V06 Calend 01'!C75),6)=0),(((94-'V06 Calend 01'!C75)/6)&lt;='V06 Calend 01'!E75)),IF((94=('V06 Calend 01'!C75+(6*'V06 Calend 01'!E75))),('V06 Calend 01'!H75-('V06 Calend 01'!I75*('V06 Calend 01'!E75-1))),'V06 Calend 01'!I75),0))+IF((94='V06 Calend 01'!D75),'V06 Calend 01'!J75,0))</f>
        <v>0</v>
      </c>
      <c r="DC75" s="2">
        <f>((IF((95='V06 Calend 01'!C75),('V06 Calend 01'!F75+'V06 Calend 01'!G75),0)+IF(AND(('V06 Calend 01'!E75&gt;0),(95&gt;'V06 Calend 01'!C75),(95&lt;'V06 Calend 01'!D75),(MOD((95-'V06 Calend 01'!C75),6)=0),(((95-'V06 Calend 01'!C75)/6)&lt;='V06 Calend 01'!E75)),IF((95=('V06 Calend 01'!C75+(6*'V06 Calend 01'!E75))),('V06 Calend 01'!H75-('V06 Calend 01'!I75*('V06 Calend 01'!E75-1))),'V06 Calend 01'!I75),0))+IF((95='V06 Calend 01'!D75),'V06 Calend 01'!J75,0))</f>
        <v>0</v>
      </c>
      <c r="DD75" s="2">
        <f>((IF((96='V06 Calend 01'!C75),('V06 Calend 01'!F75+'V06 Calend 01'!G75),0)+IF(AND(('V06 Calend 01'!E75&gt;0),(96&gt;'V06 Calend 01'!C75),(96&lt;'V06 Calend 01'!D75),(MOD((96-'V06 Calend 01'!C75),6)=0),(((96-'V06 Calend 01'!C75)/6)&lt;='V06 Calend 01'!E75)),IF((96=('V06 Calend 01'!C75+(6*'V06 Calend 01'!E75))),('V06 Calend 01'!H75-('V06 Calend 01'!I75*('V06 Calend 01'!E75-1))),'V06 Calend 01'!I75),0))+IF((96='V06 Calend 01'!D75),'V06 Calend 01'!J75,0))</f>
        <v>0</v>
      </c>
      <c r="DE75" s="2">
        <f>((IF((97='V06 Calend 01'!C75),('V06 Calend 01'!F75+'V06 Calend 01'!G75),0)+IF(AND(('V06 Calend 01'!E75&gt;0),(97&gt;'V06 Calend 01'!C75),(97&lt;'V06 Calend 01'!D75),(MOD((97-'V06 Calend 01'!C75),6)=0),(((97-'V06 Calend 01'!C75)/6)&lt;='V06 Calend 01'!E75)),IF((97=('V06 Calend 01'!C75+(6*'V06 Calend 01'!E75))),('V06 Calend 01'!H75-('V06 Calend 01'!I75*('V06 Calend 01'!E75-1))),'V06 Calend 01'!I75),0))+IF((97='V06 Calend 01'!D75),'V06 Calend 01'!J75,0))</f>
        <v>0</v>
      </c>
      <c r="DF75" s="2">
        <f>((IF((98='V06 Calend 01'!C75),('V06 Calend 01'!F75+'V06 Calend 01'!G75),0)+IF(AND(('V06 Calend 01'!E75&gt;0),(98&gt;'V06 Calend 01'!C75),(98&lt;'V06 Calend 01'!D75),(MOD((98-'V06 Calend 01'!C75),6)=0),(((98-'V06 Calend 01'!C75)/6)&lt;='V06 Calend 01'!E75)),IF((98=('V06 Calend 01'!C75+(6*'V06 Calend 01'!E75))),('V06 Calend 01'!H75-('V06 Calend 01'!I75*('V06 Calend 01'!E75-1))),'V06 Calend 01'!I75),0))+IF((98='V06 Calend 01'!D75),'V06 Calend 01'!J75,0))</f>
        <v>0</v>
      </c>
      <c r="DG75" s="2">
        <f>((IF((99='V06 Calend 01'!C75),('V06 Calend 01'!F75+'V06 Calend 01'!G75),0)+IF(AND(('V06 Calend 01'!E75&gt;0),(99&gt;'V06 Calend 01'!C75),(99&lt;'V06 Calend 01'!D75),(MOD((99-'V06 Calend 01'!C75),6)=0),(((99-'V06 Calend 01'!C75)/6)&lt;='V06 Calend 01'!E75)),IF((99=('V06 Calend 01'!C75+(6*'V06 Calend 01'!E75))),('V06 Calend 01'!H75-('V06 Calend 01'!I75*('V06 Calend 01'!E75-1))),'V06 Calend 01'!I75),0))+IF((99='V06 Calend 01'!D75),'V06 Calend 01'!J75,0))</f>
        <v>0</v>
      </c>
      <c r="DH75" s="2">
        <f>((IF((100='V06 Calend 01'!C75),('V06 Calend 01'!F75+'V06 Calend 01'!G75),0)+IF(AND(('V06 Calend 01'!E75&gt;0),(100&gt;'V06 Calend 01'!C75),(100&lt;'V06 Calend 01'!D75),(MOD((100-'V06 Calend 01'!C75),6)=0),(((100-'V06 Calend 01'!C75)/6)&lt;='V06 Calend 01'!E75)),IF((100=('V06 Calend 01'!C75+(6*'V06 Calend 01'!E75))),('V06 Calend 01'!H75-('V06 Calend 01'!I75*('V06 Calend 01'!E75-1))),'V06 Calend 01'!I75),0))+IF((100='V06 Calend 01'!D75),'V06 Calend 01'!J75,0))</f>
        <v>0</v>
      </c>
      <c r="DI75" s="2">
        <f>((IF((101='V06 Calend 01'!C75),('V06 Calend 01'!F75+'V06 Calend 01'!G75),0)+IF(AND(('V06 Calend 01'!E75&gt;0),(101&gt;'V06 Calend 01'!C75),(101&lt;'V06 Calend 01'!D75),(MOD((101-'V06 Calend 01'!C75),6)=0),(((101-'V06 Calend 01'!C75)/6)&lt;='V06 Calend 01'!E75)),IF((101=('V06 Calend 01'!C75+(6*'V06 Calend 01'!E75))),('V06 Calend 01'!H75-('V06 Calend 01'!I75*('V06 Calend 01'!E75-1))),'V06 Calend 01'!I75),0))+IF((101='V06 Calend 01'!D75),'V06 Calend 01'!J75,0))</f>
        <v>0</v>
      </c>
      <c r="DJ75" s="2">
        <f>((IF((102='V06 Calend 01'!C75),('V06 Calend 01'!F75+'V06 Calend 01'!G75),0)+IF(AND(('V06 Calend 01'!E75&gt;0),(102&gt;'V06 Calend 01'!C75),(102&lt;'V06 Calend 01'!D75),(MOD((102-'V06 Calend 01'!C75),6)=0),(((102-'V06 Calend 01'!C75)/6)&lt;='V06 Calend 01'!E75)),IF((102=('V06 Calend 01'!C75+(6*'V06 Calend 01'!E75))),('V06 Calend 01'!H75-('V06 Calend 01'!I75*('V06 Calend 01'!E75-1))),'V06 Calend 01'!I75),0))+IF((102='V06 Calend 01'!D75),'V06 Calend 01'!J75,0))</f>
        <v>0</v>
      </c>
      <c r="DK75" s="2">
        <f>((IF((103='V06 Calend 01'!C75),('V06 Calend 01'!F75+'V06 Calend 01'!G75),0)+IF(AND(('V06 Calend 01'!E75&gt;0),(103&gt;'V06 Calend 01'!C75),(103&lt;'V06 Calend 01'!D75),(MOD((103-'V06 Calend 01'!C75),6)=0),(((103-'V06 Calend 01'!C75)/6)&lt;='V06 Calend 01'!E75)),IF((103=('V06 Calend 01'!C75+(6*'V06 Calend 01'!E75))),('V06 Calend 01'!H75-('V06 Calend 01'!I75*('V06 Calend 01'!E75-1))),'V06 Calend 01'!I75),0))+IF((103='V06 Calend 01'!D75),'V06 Calend 01'!J75,0))</f>
        <v>0</v>
      </c>
      <c r="DL75" s="2">
        <f>((IF((104='V06 Calend 01'!C75),('V06 Calend 01'!F75+'V06 Calend 01'!G75),0)+IF(AND(('V06 Calend 01'!E75&gt;0),(104&gt;'V06 Calend 01'!C75),(104&lt;'V06 Calend 01'!D75),(MOD((104-'V06 Calend 01'!C75),6)=0),(((104-'V06 Calend 01'!C75)/6)&lt;='V06 Calend 01'!E75)),IF((104=('V06 Calend 01'!C75+(6*'V06 Calend 01'!E75))),('V06 Calend 01'!H75-('V06 Calend 01'!I75*('V06 Calend 01'!E75-1))),'V06 Calend 01'!I75),0))+IF((104='V06 Calend 01'!D75),'V06 Calend 01'!J75,0))</f>
        <v>0</v>
      </c>
      <c r="DM75" s="2">
        <f>((IF((105='V06 Calend 01'!C75),('V06 Calend 01'!F75+'V06 Calend 01'!G75),0)+IF(AND(('V06 Calend 01'!E75&gt;0),(105&gt;'V06 Calend 01'!C75),(105&lt;'V06 Calend 01'!D75),(MOD((105-'V06 Calend 01'!C75),6)=0),(((105-'V06 Calend 01'!C75)/6)&lt;='V06 Calend 01'!E75)),IF((105=('V06 Calend 01'!C75+(6*'V06 Calend 01'!E75))),('V06 Calend 01'!H75-('V06 Calend 01'!I75*('V06 Calend 01'!E75-1))),'V06 Calend 01'!I75),0))+IF((105='V06 Calend 01'!D75),'V06 Calend 01'!J75,0))</f>
        <v>0</v>
      </c>
      <c r="DN75" s="2">
        <f>((IF((106='V06 Calend 01'!C75),('V06 Calend 01'!F75+'V06 Calend 01'!G75),0)+IF(AND(('V06 Calend 01'!E75&gt;0),(106&gt;'V06 Calend 01'!C75),(106&lt;'V06 Calend 01'!D75),(MOD((106-'V06 Calend 01'!C75),6)=0),(((106-'V06 Calend 01'!C75)/6)&lt;='V06 Calend 01'!E75)),IF((106=('V06 Calend 01'!C75+(6*'V06 Calend 01'!E75))),('V06 Calend 01'!H75-('V06 Calend 01'!I75*('V06 Calend 01'!E75-1))),'V06 Calend 01'!I75),0))+IF((106='V06 Calend 01'!D75),'V06 Calend 01'!J75,0))</f>
        <v>0</v>
      </c>
      <c r="DO75" s="2">
        <f>((IF((107='V06 Calend 01'!C75),('V06 Calend 01'!F75+'V06 Calend 01'!G75),0)+IF(AND(('V06 Calend 01'!E75&gt;0),(107&gt;'V06 Calend 01'!C75),(107&lt;'V06 Calend 01'!D75),(MOD((107-'V06 Calend 01'!C75),6)=0),(((107-'V06 Calend 01'!C75)/6)&lt;='V06 Calend 01'!E75)),IF((107=('V06 Calend 01'!C75+(6*'V06 Calend 01'!E75))),('V06 Calend 01'!H75-('V06 Calend 01'!I75*('V06 Calend 01'!E75-1))),'V06 Calend 01'!I75),0))+IF((107='V06 Calend 01'!D75),'V06 Calend 01'!J75,0))</f>
        <v>0</v>
      </c>
      <c r="DP75" s="2">
        <f>((IF((108='V06 Calend 01'!C75),('V06 Calend 01'!F75+'V06 Calend 01'!G75),0)+IF(AND(('V06 Calend 01'!E75&gt;0),(108&gt;'V06 Calend 01'!C75),(108&lt;'V06 Calend 01'!D75),(MOD((108-'V06 Calend 01'!C75),6)=0),(((108-'V06 Calend 01'!C75)/6)&lt;='V06 Calend 01'!E75)),IF((108=('V06 Calend 01'!C75+(6*'V06 Calend 01'!E75))),('V06 Calend 01'!H75-('V06 Calend 01'!I75*('V06 Calend 01'!E75-1))),'V06 Calend 01'!I75),0))+IF((108='V06 Calend 01'!D75),'V06 Calend 01'!J75,0))</f>
        <v>0</v>
      </c>
      <c r="DQ75" s="2">
        <f>((IF((109='V06 Calend 01'!C75),('V06 Calend 01'!F75+'V06 Calend 01'!G75),0)+IF(AND(('V06 Calend 01'!E75&gt;0),(109&gt;'V06 Calend 01'!C75),(109&lt;'V06 Calend 01'!D75),(MOD((109-'V06 Calend 01'!C75),6)=0),(((109-'V06 Calend 01'!C75)/6)&lt;='V06 Calend 01'!E75)),IF((109=('V06 Calend 01'!C75+(6*'V06 Calend 01'!E75))),('V06 Calend 01'!H75-('V06 Calend 01'!I75*('V06 Calend 01'!E75-1))),'V06 Calend 01'!I75),0))+IF((109='V06 Calend 01'!D75),'V06 Calend 01'!J75,0))</f>
        <v>0</v>
      </c>
      <c r="DR75" s="2">
        <f>((IF((110='V06 Calend 01'!C75),('V06 Calend 01'!F75+'V06 Calend 01'!G75),0)+IF(AND(('V06 Calend 01'!E75&gt;0),(110&gt;'V06 Calend 01'!C75),(110&lt;'V06 Calend 01'!D75),(MOD((110-'V06 Calend 01'!C75),6)=0),(((110-'V06 Calend 01'!C75)/6)&lt;='V06 Calend 01'!E75)),IF((110=('V06 Calend 01'!C75+(6*'V06 Calend 01'!E75))),('V06 Calend 01'!H75-('V06 Calend 01'!I75*('V06 Calend 01'!E75-1))),'V06 Calend 01'!I75),0))+IF((110='V06 Calend 01'!D75),'V06 Calend 01'!J75,0))</f>
        <v>0</v>
      </c>
      <c r="DS75" s="2">
        <f>((IF((111='V06 Calend 01'!C75),('V06 Calend 01'!F75+'V06 Calend 01'!G75),0)+IF(AND(('V06 Calend 01'!E75&gt;0),(111&gt;'V06 Calend 01'!C75),(111&lt;'V06 Calend 01'!D75),(MOD((111-'V06 Calend 01'!C75),6)=0),(((111-'V06 Calend 01'!C75)/6)&lt;='V06 Calend 01'!E75)),IF((111=('V06 Calend 01'!C75+(6*'V06 Calend 01'!E75))),('V06 Calend 01'!H75-('V06 Calend 01'!I75*('V06 Calend 01'!E75-1))),'V06 Calend 01'!I75),0))+IF((111='V06 Calend 01'!D75),'V06 Calend 01'!J75,0))</f>
        <v>0</v>
      </c>
      <c r="DT75" s="2">
        <f>((IF((112='V06 Calend 01'!C75),('V06 Calend 01'!F75+'V06 Calend 01'!G75),0)+IF(AND(('V06 Calend 01'!E75&gt;0),(112&gt;'V06 Calend 01'!C75),(112&lt;'V06 Calend 01'!D75),(MOD((112-'V06 Calend 01'!C75),6)=0),(((112-'V06 Calend 01'!C75)/6)&lt;='V06 Calend 01'!E75)),IF((112=('V06 Calend 01'!C75+(6*'V06 Calend 01'!E75))),('V06 Calend 01'!H75-('V06 Calend 01'!I75*('V06 Calend 01'!E75-1))),'V06 Calend 01'!I75),0))+IF((112='V06 Calend 01'!D75),'V06 Calend 01'!J75,0))</f>
        <v>0</v>
      </c>
      <c r="DU75" s="2">
        <f>((IF((113='V06 Calend 01'!C75),('V06 Calend 01'!F75+'V06 Calend 01'!G75),0)+IF(AND(('V06 Calend 01'!E75&gt;0),(113&gt;'V06 Calend 01'!C75),(113&lt;'V06 Calend 01'!D75),(MOD((113-'V06 Calend 01'!C75),6)=0),(((113-'V06 Calend 01'!C75)/6)&lt;='V06 Calend 01'!E75)),IF((113=('V06 Calend 01'!C75+(6*'V06 Calend 01'!E75))),('V06 Calend 01'!H75-('V06 Calend 01'!I75*('V06 Calend 01'!E75-1))),'V06 Calend 01'!I75),0))+IF((113='V06 Calend 01'!D75),'V06 Calend 01'!J75,0))</f>
        <v>0</v>
      </c>
      <c r="DV75" s="2">
        <f>((IF((114='V06 Calend 01'!C75),('V06 Calend 01'!F75+'V06 Calend 01'!G75),0)+IF(AND(('V06 Calend 01'!E75&gt;0),(114&gt;'V06 Calend 01'!C75),(114&lt;'V06 Calend 01'!D75),(MOD((114-'V06 Calend 01'!C75),6)=0),(((114-'V06 Calend 01'!C75)/6)&lt;='V06 Calend 01'!E75)),IF((114=('V06 Calend 01'!C75+(6*'V06 Calend 01'!E75))),('V06 Calend 01'!H75-('V06 Calend 01'!I75*('V06 Calend 01'!E75-1))),'V06 Calend 01'!I75),0))+IF((114='V06 Calend 01'!D75),'V06 Calend 01'!J75,0))</f>
        <v>0</v>
      </c>
      <c r="DW75" s="2">
        <f>((IF((115='V06 Calend 01'!C75),('V06 Calend 01'!F75+'V06 Calend 01'!G75),0)+IF(AND(('V06 Calend 01'!E75&gt;0),(115&gt;'V06 Calend 01'!C75),(115&lt;'V06 Calend 01'!D75),(MOD((115-'V06 Calend 01'!C75),6)=0),(((115-'V06 Calend 01'!C75)/6)&lt;='V06 Calend 01'!E75)),IF((115=('V06 Calend 01'!C75+(6*'V06 Calend 01'!E75))),('V06 Calend 01'!H75-('V06 Calend 01'!I75*('V06 Calend 01'!E75-1))),'V06 Calend 01'!I75),0))+IF((115='V06 Calend 01'!D75),'V06 Calend 01'!J75,0))</f>
        <v>0</v>
      </c>
      <c r="DX75" s="2">
        <f>((IF((116='V06 Calend 01'!C75),('V06 Calend 01'!F75+'V06 Calend 01'!G75),0)+IF(AND(('V06 Calend 01'!E75&gt;0),(116&gt;'V06 Calend 01'!C75),(116&lt;'V06 Calend 01'!D75),(MOD((116-'V06 Calend 01'!C75),6)=0),(((116-'V06 Calend 01'!C75)/6)&lt;='V06 Calend 01'!E75)),IF((116=('V06 Calend 01'!C75+(6*'V06 Calend 01'!E75))),('V06 Calend 01'!H75-('V06 Calend 01'!I75*('V06 Calend 01'!E75-1))),'V06 Calend 01'!I75),0))+IF((116='V06 Calend 01'!D75),'V06 Calend 01'!J75,0))</f>
        <v>0</v>
      </c>
      <c r="DY75" s="2">
        <f>((IF((117='V06 Calend 01'!C75),('V06 Calend 01'!F75+'V06 Calend 01'!G75),0)+IF(AND(('V06 Calend 01'!E75&gt;0),(117&gt;'V06 Calend 01'!C75),(117&lt;'V06 Calend 01'!D75),(MOD((117-'V06 Calend 01'!C75),6)=0),(((117-'V06 Calend 01'!C75)/6)&lt;='V06 Calend 01'!E75)),IF((117=('V06 Calend 01'!C75+(6*'V06 Calend 01'!E75))),('V06 Calend 01'!H75-('V06 Calend 01'!I75*('V06 Calend 01'!E75-1))),'V06 Calend 01'!I75),0))+IF((117='V06 Calend 01'!D75),'V06 Calend 01'!J75,0))</f>
        <v>0</v>
      </c>
      <c r="DZ75" s="2">
        <f>((IF((118='V06 Calend 01'!C75),('V06 Calend 01'!F75+'V06 Calend 01'!G75),0)+IF(AND(('V06 Calend 01'!E75&gt;0),(118&gt;'V06 Calend 01'!C75),(118&lt;'V06 Calend 01'!D75),(MOD((118-'V06 Calend 01'!C75),6)=0),(((118-'V06 Calend 01'!C75)/6)&lt;='V06 Calend 01'!E75)),IF((118=('V06 Calend 01'!C75+(6*'V06 Calend 01'!E75))),('V06 Calend 01'!H75-('V06 Calend 01'!I75*('V06 Calend 01'!E75-1))),'V06 Calend 01'!I75),0))+IF((118='V06 Calend 01'!D75),'V06 Calend 01'!J75,0))</f>
        <v>0</v>
      </c>
      <c r="EA75" s="2">
        <f>((IF((119='V06 Calend 01'!C75),('V06 Calend 01'!F75+'V06 Calend 01'!G75),0)+IF(AND(('V06 Calend 01'!E75&gt;0),(119&gt;'V06 Calend 01'!C75),(119&lt;'V06 Calend 01'!D75),(MOD((119-'V06 Calend 01'!C75),6)=0),(((119-'V06 Calend 01'!C75)/6)&lt;='V06 Calend 01'!E75)),IF((119=('V06 Calend 01'!C75+(6*'V06 Calend 01'!E75))),('V06 Calend 01'!H75-('V06 Calend 01'!I75*('V06 Calend 01'!E75-1))),'V06 Calend 01'!I75),0))+IF((119='V06 Calend 01'!D75),'V06 Calend 01'!J75,0))</f>
        <v>0</v>
      </c>
      <c r="EB75" s="2">
        <f>((IF((120='V06 Calend 01'!C75),('V06 Calend 01'!F75+'V06 Calend 01'!G75),0)+IF(AND(('V06 Calend 01'!E75&gt;0),(120&gt;'V06 Calend 01'!C75),(120&lt;'V06 Calend 01'!D75),(MOD((120-'V06 Calend 01'!C75),6)=0),(((120-'V06 Calend 01'!C75)/6)&lt;='V06 Calend 01'!E75)),IF((120=('V06 Calend 01'!C75+(6*'V06 Calend 01'!E75))),('V06 Calend 01'!H75-('V06 Calend 01'!I75*('V06 Calend 01'!E75-1))),'V06 Calend 01'!I75),0))+IF((120='V06 Calend 01'!D75),'V06 Calend 01'!J75,0))</f>
        <v>0</v>
      </c>
      <c r="EC75" s="2">
        <f>((IF((121='V06 Calend 01'!C75),('V06 Calend 01'!F75+'V06 Calend 01'!G75),0)+IF(AND(('V06 Calend 01'!E75&gt;0),(121&gt;'V06 Calend 01'!C75),(121&lt;'V06 Calend 01'!D75),(MOD((121-'V06 Calend 01'!C75),6)=0),(((121-'V06 Calend 01'!C75)/6)&lt;='V06 Calend 01'!E75)),IF((121=('V06 Calend 01'!C75+(6*'V06 Calend 01'!E75))),('V06 Calend 01'!H75-('V06 Calend 01'!I75*('V06 Calend 01'!E75-1))),'V06 Calend 01'!I75),0))+IF((121='V06 Calend 01'!D75),'V06 Calend 01'!J75,0))</f>
        <v>0</v>
      </c>
      <c r="ED75" s="2">
        <f>((IF((122='V06 Calend 01'!C75),('V06 Calend 01'!F75+'V06 Calend 01'!G75),0)+IF(AND(('V06 Calend 01'!E75&gt;0),(122&gt;'V06 Calend 01'!C75),(122&lt;'V06 Calend 01'!D75),(MOD((122-'V06 Calend 01'!C75),6)=0),(((122-'V06 Calend 01'!C75)/6)&lt;='V06 Calend 01'!E75)),IF((122=('V06 Calend 01'!C75+(6*'V06 Calend 01'!E75))),('V06 Calend 01'!H75-('V06 Calend 01'!I75*('V06 Calend 01'!E75-1))),'V06 Calend 01'!I75),0))+IF((122='V06 Calend 01'!D75),'V06 Calend 01'!J75,0))</f>
        <v>0</v>
      </c>
      <c r="EE75" s="2">
        <f>((IF((123='V06 Calend 01'!C75),('V06 Calend 01'!F75+'V06 Calend 01'!G75),0)+IF(AND(('V06 Calend 01'!E75&gt;0),(123&gt;'V06 Calend 01'!C75),(123&lt;'V06 Calend 01'!D75),(MOD((123-'V06 Calend 01'!C75),6)=0),(((123-'V06 Calend 01'!C75)/6)&lt;='V06 Calend 01'!E75)),IF((123=('V06 Calend 01'!C75+(6*'V06 Calend 01'!E75))),('V06 Calend 01'!H75-('V06 Calend 01'!I75*('V06 Calend 01'!E75-1))),'V06 Calend 01'!I75),0))+IF((123='V06 Calend 01'!D75),'V06 Calend 01'!J75,0))</f>
        <v>0</v>
      </c>
      <c r="EF75" s="2">
        <f>((IF((124='V06 Calend 01'!C75),('V06 Calend 01'!F75+'V06 Calend 01'!G75),0)+IF(AND(('V06 Calend 01'!E75&gt;0),(124&gt;'V06 Calend 01'!C75),(124&lt;'V06 Calend 01'!D75),(MOD((124-'V06 Calend 01'!C75),6)=0),(((124-'V06 Calend 01'!C75)/6)&lt;='V06 Calend 01'!E75)),IF((124=('V06 Calend 01'!C75+(6*'V06 Calend 01'!E75))),('V06 Calend 01'!H75-('V06 Calend 01'!I75*('V06 Calend 01'!E75-1))),'V06 Calend 01'!I75),0))+IF((124='V06 Calend 01'!D75),'V06 Calend 01'!J75,0))</f>
        <v>0</v>
      </c>
      <c r="EG75" s="2">
        <f>((IF((125='V06 Calend 01'!C75),('V06 Calend 01'!F75+'V06 Calend 01'!G75),0)+IF(AND(('V06 Calend 01'!E75&gt;0),(125&gt;'V06 Calend 01'!C75),(125&lt;'V06 Calend 01'!D75),(MOD((125-'V06 Calend 01'!C75),6)=0),(((125-'V06 Calend 01'!C75)/6)&lt;='V06 Calend 01'!E75)),IF((125=('V06 Calend 01'!C75+(6*'V06 Calend 01'!E75))),('V06 Calend 01'!H75-('V06 Calend 01'!I75*('V06 Calend 01'!E75-1))),'V06 Calend 01'!I75),0))+IF((125='V06 Calend 01'!D75),'V06 Calend 01'!J75,0))</f>
        <v>0</v>
      </c>
      <c r="EH75" s="2">
        <f>((IF((126='V06 Calend 01'!C75),('V06 Calend 01'!F75+'V06 Calend 01'!G75),0)+IF(AND(('V06 Calend 01'!E75&gt;0),(126&gt;'V06 Calend 01'!C75),(126&lt;'V06 Calend 01'!D75),(MOD((126-'V06 Calend 01'!C75),6)=0),(((126-'V06 Calend 01'!C75)/6)&lt;='V06 Calend 01'!E75)),IF((126=('V06 Calend 01'!C75+(6*'V06 Calend 01'!E75))),('V06 Calend 01'!H75-('V06 Calend 01'!I75*('V06 Calend 01'!E75-1))),'V06 Calend 01'!I75),0))+IF((126='V06 Calend 01'!D75),'V06 Calend 01'!J75,0))</f>
        <v>0</v>
      </c>
      <c r="EI75" s="2">
        <f>((IF((127='V06 Calend 01'!C75),('V06 Calend 01'!F75+'V06 Calend 01'!G75),0)+IF(AND(('V06 Calend 01'!E75&gt;0),(127&gt;'V06 Calend 01'!C75),(127&lt;'V06 Calend 01'!D75),(MOD((127-'V06 Calend 01'!C75),6)=0),(((127-'V06 Calend 01'!C75)/6)&lt;='V06 Calend 01'!E75)),IF((127=('V06 Calend 01'!C75+(6*'V06 Calend 01'!E75))),('V06 Calend 01'!H75-('V06 Calend 01'!I75*('V06 Calend 01'!E75-1))),'V06 Calend 01'!I75),0))+IF((127='V06 Calend 01'!D75),'V06 Calend 01'!J75,0))</f>
        <v>0</v>
      </c>
      <c r="EJ75" s="2">
        <f>((IF((128='V06 Calend 01'!C75),('V06 Calend 01'!F75+'V06 Calend 01'!G75),0)+IF(AND(('V06 Calend 01'!E75&gt;0),(128&gt;'V06 Calend 01'!C75),(128&lt;'V06 Calend 01'!D75),(MOD((128-'V06 Calend 01'!C75),6)=0),(((128-'V06 Calend 01'!C75)/6)&lt;='V06 Calend 01'!E75)),IF((128=('V06 Calend 01'!C75+(6*'V06 Calend 01'!E75))),('V06 Calend 01'!H75-('V06 Calend 01'!I75*('V06 Calend 01'!E75-1))),'V06 Calend 01'!I75),0))+IF((128='V06 Calend 01'!D75),'V06 Calend 01'!J75,0))</f>
        <v>0</v>
      </c>
      <c r="EK75" s="2">
        <f>((IF((129='V06 Calend 01'!C75),('V06 Calend 01'!F75+'V06 Calend 01'!G75),0)+IF(AND(('V06 Calend 01'!E75&gt;0),(129&gt;'V06 Calend 01'!C75),(129&lt;'V06 Calend 01'!D75),(MOD((129-'V06 Calend 01'!C75),6)=0),(((129-'V06 Calend 01'!C75)/6)&lt;='V06 Calend 01'!E75)),IF((129=('V06 Calend 01'!C75+(6*'V06 Calend 01'!E75))),('V06 Calend 01'!H75-('V06 Calend 01'!I75*('V06 Calend 01'!E75-1))),'V06 Calend 01'!I75),0))+IF((129='V06 Calend 01'!D75),'V06 Calend 01'!J75,0))</f>
        <v>0</v>
      </c>
      <c r="EL75" s="2">
        <f>((IF((130='V06 Calend 01'!C75),('V06 Calend 01'!F75+'V06 Calend 01'!G75),0)+IF(AND(('V06 Calend 01'!E75&gt;0),(130&gt;'V06 Calend 01'!C75),(130&lt;'V06 Calend 01'!D75),(MOD((130-'V06 Calend 01'!C75),6)=0),(((130-'V06 Calend 01'!C75)/6)&lt;='V06 Calend 01'!E75)),IF((130=('V06 Calend 01'!C75+(6*'V06 Calend 01'!E75))),('V06 Calend 01'!H75-('V06 Calend 01'!I75*('V06 Calend 01'!E75-1))),'V06 Calend 01'!I75),0))+IF((130='V06 Calend 01'!D75),'V06 Calend 01'!J75,0))</f>
        <v>0</v>
      </c>
      <c r="EM75" s="2">
        <f>((IF((131='V06 Calend 01'!C75),('V06 Calend 01'!F75+'V06 Calend 01'!G75),0)+IF(AND(('V06 Calend 01'!E75&gt;0),(131&gt;'V06 Calend 01'!C75),(131&lt;'V06 Calend 01'!D75),(MOD((131-'V06 Calend 01'!C75),6)=0),(((131-'V06 Calend 01'!C75)/6)&lt;='V06 Calend 01'!E75)),IF((131=('V06 Calend 01'!C75+(6*'V06 Calend 01'!E75))),('V06 Calend 01'!H75-('V06 Calend 01'!I75*('V06 Calend 01'!E75-1))),'V06 Calend 01'!I75),0))+IF((131='V06 Calend 01'!D75),'V06 Calend 01'!J75,0))</f>
        <v>0</v>
      </c>
      <c r="EN75" s="2">
        <f>((IF((132='V06 Calend 01'!C75),('V06 Calend 01'!F75+'V06 Calend 01'!G75),0)+IF(AND(('V06 Calend 01'!E75&gt;0),(132&gt;'V06 Calend 01'!C75),(132&lt;'V06 Calend 01'!D75),(MOD((132-'V06 Calend 01'!C75),6)=0),(((132-'V06 Calend 01'!C75)/6)&lt;='V06 Calend 01'!E75)),IF((132=('V06 Calend 01'!C75+(6*'V06 Calend 01'!E75))),('V06 Calend 01'!H75-('V06 Calend 01'!I75*('V06 Calend 01'!E75-1))),'V06 Calend 01'!I75),0))+IF((132='V06 Calend 01'!D75),'V06 Calend 01'!J75,0))</f>
        <v>0</v>
      </c>
      <c r="EO75" s="2">
        <f>((IF((133='V06 Calend 01'!C75),('V06 Calend 01'!F75+'V06 Calend 01'!G75),0)+IF(AND(('V06 Calend 01'!E75&gt;0),(133&gt;'V06 Calend 01'!C75),(133&lt;'V06 Calend 01'!D75),(MOD((133-'V06 Calend 01'!C75),6)=0),(((133-'V06 Calend 01'!C75)/6)&lt;='V06 Calend 01'!E75)),IF((133=('V06 Calend 01'!C75+(6*'V06 Calend 01'!E75))),('V06 Calend 01'!H75-('V06 Calend 01'!I75*('V06 Calend 01'!E75-1))),'V06 Calend 01'!I75),0))+IF((133='V06 Calend 01'!D75),'V06 Calend 01'!J75,0))</f>
        <v>0</v>
      </c>
      <c r="EP75" s="2">
        <f>((IF((134='V06 Calend 01'!C75),('V06 Calend 01'!F75+'V06 Calend 01'!G75),0)+IF(AND(('V06 Calend 01'!E75&gt;0),(134&gt;'V06 Calend 01'!C75),(134&lt;'V06 Calend 01'!D75),(MOD((134-'V06 Calend 01'!C75),6)=0),(((134-'V06 Calend 01'!C75)/6)&lt;='V06 Calend 01'!E75)),IF((134=('V06 Calend 01'!C75+(6*'V06 Calend 01'!E75))),('V06 Calend 01'!H75-('V06 Calend 01'!I75*('V06 Calend 01'!E75-1))),'V06 Calend 01'!I75),0))+IF((134='V06 Calend 01'!D75),'V06 Calend 01'!J75,0))</f>
        <v>0</v>
      </c>
      <c r="EQ75" s="2">
        <f>((IF((135='V06 Calend 01'!C75),('V06 Calend 01'!F75+'V06 Calend 01'!G75),0)+IF(AND(('V06 Calend 01'!E75&gt;0),(135&gt;'V06 Calend 01'!C75),(135&lt;'V06 Calend 01'!D75),(MOD((135-'V06 Calend 01'!C75),6)=0),(((135-'V06 Calend 01'!C75)/6)&lt;='V06 Calend 01'!E75)),IF((135=('V06 Calend 01'!C75+(6*'V06 Calend 01'!E75))),('V06 Calend 01'!H75-('V06 Calend 01'!I75*('V06 Calend 01'!E75-1))),'V06 Calend 01'!I75),0))+IF((135='V06 Calend 01'!D75),'V06 Calend 01'!J75,0))</f>
        <v>0</v>
      </c>
      <c r="ER75" s="2">
        <f>((IF((136='V06 Calend 01'!C75),('V06 Calend 01'!F75+'V06 Calend 01'!G75),0)+IF(AND(('V06 Calend 01'!E75&gt;0),(136&gt;'V06 Calend 01'!C75),(136&lt;'V06 Calend 01'!D75),(MOD((136-'V06 Calend 01'!C75),6)=0),(((136-'V06 Calend 01'!C75)/6)&lt;='V06 Calend 01'!E75)),IF((136=('V06 Calend 01'!C75+(6*'V06 Calend 01'!E75))),('V06 Calend 01'!H75-('V06 Calend 01'!I75*('V06 Calend 01'!E75-1))),'V06 Calend 01'!I75),0))+IF((136='V06 Calend 01'!D75),'V06 Calend 01'!J75,0))</f>
        <v>0</v>
      </c>
      <c r="ES75" s="2">
        <f>((IF((137='V06 Calend 01'!C75),('V06 Calend 01'!F75+'V06 Calend 01'!G75),0)+IF(AND(('V06 Calend 01'!E75&gt;0),(137&gt;'V06 Calend 01'!C75),(137&lt;'V06 Calend 01'!D75),(MOD((137-'V06 Calend 01'!C75),6)=0),(((137-'V06 Calend 01'!C75)/6)&lt;='V06 Calend 01'!E75)),IF((137=('V06 Calend 01'!C75+(6*'V06 Calend 01'!E75))),('V06 Calend 01'!H75-('V06 Calend 01'!I75*('V06 Calend 01'!E75-1))),'V06 Calend 01'!I75),0))+IF((137='V06 Calend 01'!D75),'V06 Calend 01'!J75,0))</f>
        <v>0</v>
      </c>
      <c r="ET75" s="2">
        <f>((IF((138='V06 Calend 01'!C75),('V06 Calend 01'!F75+'V06 Calend 01'!G75),0)+IF(AND(('V06 Calend 01'!E75&gt;0),(138&gt;'V06 Calend 01'!C75),(138&lt;'V06 Calend 01'!D75),(MOD((138-'V06 Calend 01'!C75),6)=0),(((138-'V06 Calend 01'!C75)/6)&lt;='V06 Calend 01'!E75)),IF((138=('V06 Calend 01'!C75+(6*'V06 Calend 01'!E75))),('V06 Calend 01'!H75-('V06 Calend 01'!I75*('V06 Calend 01'!E75-1))),'V06 Calend 01'!I75),0))+IF((138='V06 Calend 01'!D75),'V06 Calend 01'!J75,0))</f>
        <v>0</v>
      </c>
      <c r="EU75" s="2">
        <f>((IF((139='V06 Calend 01'!C75),('V06 Calend 01'!F75+'V06 Calend 01'!G75),0)+IF(AND(('V06 Calend 01'!E75&gt;0),(139&gt;'V06 Calend 01'!C75),(139&lt;'V06 Calend 01'!D75),(MOD((139-'V06 Calend 01'!C75),6)=0),(((139-'V06 Calend 01'!C75)/6)&lt;='V06 Calend 01'!E75)),IF((139=('V06 Calend 01'!C75+(6*'V06 Calend 01'!E75))),('V06 Calend 01'!H75-('V06 Calend 01'!I75*('V06 Calend 01'!E75-1))),'V06 Calend 01'!I75),0))+IF((139='V06 Calend 01'!D75),'V06 Calend 01'!J75,0))</f>
        <v>0</v>
      </c>
      <c r="EV75" s="2">
        <f>((IF((140='V06 Calend 01'!C75),('V06 Calend 01'!F75+'V06 Calend 01'!G75),0)+IF(AND(('V06 Calend 01'!E75&gt;0),(140&gt;'V06 Calend 01'!C75),(140&lt;'V06 Calend 01'!D75),(MOD((140-'V06 Calend 01'!C75),6)=0),(((140-'V06 Calend 01'!C75)/6)&lt;='V06 Calend 01'!E75)),IF((140=('V06 Calend 01'!C75+(6*'V06 Calend 01'!E75))),('V06 Calend 01'!H75-('V06 Calend 01'!I75*('V06 Calend 01'!E75-1))),'V06 Calend 01'!I75),0))+IF((140='V06 Calend 01'!D75),'V06 Calend 01'!J75,0))</f>
        <v>0</v>
      </c>
      <c r="EW75" s="2">
        <f>((IF((141='V06 Calend 01'!C75),('V06 Calend 01'!F75+'V06 Calend 01'!G75),0)+IF(AND(('V06 Calend 01'!E75&gt;0),(141&gt;'V06 Calend 01'!C75),(141&lt;'V06 Calend 01'!D75),(MOD((141-'V06 Calend 01'!C75),6)=0),(((141-'V06 Calend 01'!C75)/6)&lt;='V06 Calend 01'!E75)),IF((141=('V06 Calend 01'!C75+(6*'V06 Calend 01'!E75))),('V06 Calend 01'!H75-('V06 Calend 01'!I75*('V06 Calend 01'!E75-1))),'V06 Calend 01'!I75),0))+IF((141='V06 Calend 01'!D75),'V06 Calend 01'!J75,0))</f>
        <v>0</v>
      </c>
      <c r="EX75" s="2">
        <f>((IF((142='V06 Calend 01'!C75),('V06 Calend 01'!F75+'V06 Calend 01'!G75),0)+IF(AND(('V06 Calend 01'!E75&gt;0),(142&gt;'V06 Calend 01'!C75),(142&lt;'V06 Calend 01'!D75),(MOD((142-'V06 Calend 01'!C75),6)=0),(((142-'V06 Calend 01'!C75)/6)&lt;='V06 Calend 01'!E75)),IF((142=('V06 Calend 01'!C75+(6*'V06 Calend 01'!E75))),('V06 Calend 01'!H75-('V06 Calend 01'!I75*('V06 Calend 01'!E75-1))),'V06 Calend 01'!I75),0))+IF((142='V06 Calend 01'!D75),'V06 Calend 01'!J75,0))</f>
        <v>0</v>
      </c>
      <c r="EY75" s="2">
        <f>((IF((143='V06 Calend 01'!C75),('V06 Calend 01'!F75+'V06 Calend 01'!G75),0)+IF(AND(('V06 Calend 01'!E75&gt;0),(143&gt;'V06 Calend 01'!C75),(143&lt;'V06 Calend 01'!D75),(MOD((143-'V06 Calend 01'!C75),6)=0),(((143-'V06 Calend 01'!C75)/6)&lt;='V06 Calend 01'!E75)),IF((143=('V06 Calend 01'!C75+(6*'V06 Calend 01'!E75))),('V06 Calend 01'!H75-('V06 Calend 01'!I75*('V06 Calend 01'!E75-1))),'V06 Calend 01'!I75),0))+IF((143='V06 Calend 01'!D75),'V06 Calend 01'!J75,0))</f>
        <v>0</v>
      </c>
      <c r="EZ75" s="2">
        <f>((IF((144='V06 Calend 01'!C75),('V06 Calend 01'!F75+'V06 Calend 01'!G75),0)+IF(AND(('V06 Calend 01'!E75&gt;0),(144&gt;'V06 Calend 01'!C75),(144&lt;'V06 Calend 01'!D75),(MOD((144-'V06 Calend 01'!C75),6)=0),(((144-'V06 Calend 01'!C75)/6)&lt;='V06 Calend 01'!E75)),IF((144=('V06 Calend 01'!C75+(6*'V06 Calend 01'!E75))),('V06 Calend 01'!H75-('V06 Calend 01'!I75*('V06 Calend 01'!E75-1))),'V06 Calend 01'!I75),0))+IF((144='V06 Calend 01'!D75),'V06 Calend 01'!J75,0))</f>
        <v>0</v>
      </c>
      <c r="FA75" s="2">
        <f>((IF((145='V06 Calend 01'!C75),('V06 Calend 01'!F75+'V06 Calend 01'!G75),0)+IF(AND(('V06 Calend 01'!E75&gt;0),(145&gt;'V06 Calend 01'!C75),(145&lt;'V06 Calend 01'!D75),(MOD((145-'V06 Calend 01'!C75),6)=0),(((145-'V06 Calend 01'!C75)/6)&lt;='V06 Calend 01'!E75)),IF((145=('V06 Calend 01'!C75+(6*'V06 Calend 01'!E75))),('V06 Calend 01'!H75-('V06 Calend 01'!I75*('V06 Calend 01'!E75-1))),'V06 Calend 01'!I75),0))+IF((145='V06 Calend 01'!D75),'V06 Calend 01'!J75,0))</f>
        <v>0</v>
      </c>
      <c r="FB75" s="2">
        <f>((IF((146='V06 Calend 01'!C75),('V06 Calend 01'!F75+'V06 Calend 01'!G75),0)+IF(AND(('V06 Calend 01'!E75&gt;0),(146&gt;'V06 Calend 01'!C75),(146&lt;'V06 Calend 01'!D75),(MOD((146-'V06 Calend 01'!C75),6)=0),(((146-'V06 Calend 01'!C75)/6)&lt;='V06 Calend 01'!E75)),IF((146=('V06 Calend 01'!C75+(6*'V06 Calend 01'!E75))),('V06 Calend 01'!H75-('V06 Calend 01'!I75*('V06 Calend 01'!E75-1))),'V06 Calend 01'!I75),0))+IF((146='V06 Calend 01'!D75),'V06 Calend 01'!J75,0))</f>
        <v>0</v>
      </c>
      <c r="FC75" s="2">
        <f>((IF((147='V06 Calend 01'!C75),('V06 Calend 01'!F75+'V06 Calend 01'!G75),0)+IF(AND(('V06 Calend 01'!E75&gt;0),(147&gt;'V06 Calend 01'!C75),(147&lt;'V06 Calend 01'!D75),(MOD((147-'V06 Calend 01'!C75),6)=0),(((147-'V06 Calend 01'!C75)/6)&lt;='V06 Calend 01'!E75)),IF((147=('V06 Calend 01'!C75+(6*'V06 Calend 01'!E75))),('V06 Calend 01'!H75-('V06 Calend 01'!I75*('V06 Calend 01'!E75-1))),'V06 Calend 01'!I75),0))+IF((147='V06 Calend 01'!D75),'V06 Calend 01'!J75,0))</f>
        <v>0</v>
      </c>
      <c r="FD75" s="2">
        <f>((IF((148='V06 Calend 01'!C75),('V06 Calend 01'!F75+'V06 Calend 01'!G75),0)+IF(AND(('V06 Calend 01'!E75&gt;0),(148&gt;'V06 Calend 01'!C75),(148&lt;'V06 Calend 01'!D75),(MOD((148-'V06 Calend 01'!C75),6)=0),(((148-'V06 Calend 01'!C75)/6)&lt;='V06 Calend 01'!E75)),IF((148=('V06 Calend 01'!C75+(6*'V06 Calend 01'!E75))),('V06 Calend 01'!H75-('V06 Calend 01'!I75*('V06 Calend 01'!E75-1))),'V06 Calend 01'!I75),0))+IF((148='V06 Calend 01'!D75),'V06 Calend 01'!J75,0))</f>
        <v>0</v>
      </c>
      <c r="FE75" s="2">
        <f>((IF((149='V06 Calend 01'!C75),('V06 Calend 01'!F75+'V06 Calend 01'!G75),0)+IF(AND(('V06 Calend 01'!E75&gt;0),(149&gt;'V06 Calend 01'!C75),(149&lt;'V06 Calend 01'!D75),(MOD((149-'V06 Calend 01'!C75),6)=0),(((149-'V06 Calend 01'!C75)/6)&lt;='V06 Calend 01'!E75)),IF((149=('V06 Calend 01'!C75+(6*'V06 Calend 01'!E75))),('V06 Calend 01'!H75-('V06 Calend 01'!I75*('V06 Calend 01'!E75-1))),'V06 Calend 01'!I75),0))+IF((149='V06 Calend 01'!D75),'V06 Calend 01'!J75,0))</f>
        <v>0</v>
      </c>
      <c r="FF75" s="2">
        <f>((IF((150='V06 Calend 01'!C75),('V06 Calend 01'!F75+'V06 Calend 01'!G75),0)+IF(AND(('V06 Calend 01'!E75&gt;0),(150&gt;'V06 Calend 01'!C75),(150&lt;'V06 Calend 01'!D75),(MOD((150-'V06 Calend 01'!C75),6)=0),(((150-'V06 Calend 01'!C75)/6)&lt;='V06 Calend 01'!E75)),IF((150=('V06 Calend 01'!C75+(6*'V06 Calend 01'!E75))),('V06 Calend 01'!H75-('V06 Calend 01'!I75*('V06 Calend 01'!E75-1))),'V06 Calend 01'!I75),0))+IF((150='V06 Calend 01'!D75),'V06 Calend 01'!J75,0))</f>
        <v>0</v>
      </c>
      <c r="FG75" s="2">
        <f>((IF((151='V06 Calend 01'!C75),('V06 Calend 01'!F75+'V06 Calend 01'!G75),0)+IF(AND(('V06 Calend 01'!E75&gt;0),(151&gt;'V06 Calend 01'!C75),(151&lt;'V06 Calend 01'!D75),(MOD((151-'V06 Calend 01'!C75),6)=0),(((151-'V06 Calend 01'!C75)/6)&lt;='V06 Calend 01'!E75)),IF((151=('V06 Calend 01'!C75+(6*'V06 Calend 01'!E75))),('V06 Calend 01'!H75-('V06 Calend 01'!I75*('V06 Calend 01'!E75-1))),'V06 Calend 01'!I75),0))+IF((151='V06 Calend 01'!D75),'V06 Calend 01'!J75,0))</f>
        <v>0</v>
      </c>
      <c r="FH75" s="2">
        <f>((IF((152='V06 Calend 01'!C75),('V06 Calend 01'!F75+'V06 Calend 01'!G75),0)+IF(AND(('V06 Calend 01'!E75&gt;0),(152&gt;'V06 Calend 01'!C75),(152&lt;'V06 Calend 01'!D75),(MOD((152-'V06 Calend 01'!C75),6)=0),(((152-'V06 Calend 01'!C75)/6)&lt;='V06 Calend 01'!E75)),IF((152=('V06 Calend 01'!C75+(6*'V06 Calend 01'!E75))),('V06 Calend 01'!H75-('V06 Calend 01'!I75*('V06 Calend 01'!E75-1))),'V06 Calend 01'!I75),0))+IF((152='V06 Calend 01'!D75),'V06 Calend 01'!J75,0))</f>
        <v>0</v>
      </c>
      <c r="FI75" s="2">
        <f>((IF((153='V06 Calend 01'!C75),('V06 Calend 01'!F75+'V06 Calend 01'!G75),0)+IF(AND(('V06 Calend 01'!E75&gt;0),(153&gt;'V06 Calend 01'!C75),(153&lt;'V06 Calend 01'!D75),(MOD((153-'V06 Calend 01'!C75),6)=0),(((153-'V06 Calend 01'!C75)/6)&lt;='V06 Calend 01'!E75)),IF((153=('V06 Calend 01'!C75+(6*'V06 Calend 01'!E75))),('V06 Calend 01'!H75-('V06 Calend 01'!I75*('V06 Calend 01'!E75-1))),'V06 Calend 01'!I75),0))+IF((153='V06 Calend 01'!D75),'V06 Calend 01'!J75,0))</f>
        <v>0</v>
      </c>
      <c r="FJ75" s="2">
        <f>((IF((154='V06 Calend 01'!C75),('V06 Calend 01'!F75+'V06 Calend 01'!G75),0)+IF(AND(('V06 Calend 01'!E75&gt;0),(154&gt;'V06 Calend 01'!C75),(154&lt;'V06 Calend 01'!D75),(MOD((154-'V06 Calend 01'!C75),6)=0),(((154-'V06 Calend 01'!C75)/6)&lt;='V06 Calend 01'!E75)),IF((154=('V06 Calend 01'!C75+(6*'V06 Calend 01'!E75))),('V06 Calend 01'!H75-('V06 Calend 01'!I75*('V06 Calend 01'!E75-1))),'V06 Calend 01'!I75),0))+IF((154='V06 Calend 01'!D75),'V06 Calend 01'!J75,0))</f>
        <v>0</v>
      </c>
      <c r="FK75" s="2">
        <f>((IF((155='V06 Calend 01'!C75),('V06 Calend 01'!F75+'V06 Calend 01'!G75),0)+IF(AND(('V06 Calend 01'!E75&gt;0),(155&gt;'V06 Calend 01'!C75),(155&lt;'V06 Calend 01'!D75),(MOD((155-'V06 Calend 01'!C75),6)=0),(((155-'V06 Calend 01'!C75)/6)&lt;='V06 Calend 01'!E75)),IF((155=('V06 Calend 01'!C75+(6*'V06 Calend 01'!E75))),('V06 Calend 01'!H75-('V06 Calend 01'!I75*('V06 Calend 01'!E75-1))),'V06 Calend 01'!I75),0))+IF((155='V06 Calend 01'!D75),'V06 Calend 01'!J75,0))</f>
        <v>0</v>
      </c>
      <c r="FL75" s="2">
        <f>((IF((156='V06 Calend 01'!C75),('V06 Calend 01'!F75+'V06 Calend 01'!G75),0)+IF(AND(('V06 Calend 01'!E75&gt;0),(156&gt;'V06 Calend 01'!C75),(156&lt;'V06 Calend 01'!D75),(MOD((156-'V06 Calend 01'!C75),6)=0),(((156-'V06 Calend 01'!C75)/6)&lt;='V06 Calend 01'!E75)),IF((156=('V06 Calend 01'!C75+(6*'V06 Calend 01'!E75))),('V06 Calend 01'!H75-('V06 Calend 01'!I75*('V06 Calend 01'!E75-1))),'V06 Calend 01'!I75),0))+IF((156='V06 Calend 01'!D75),'V06 Calend 01'!J75,0))</f>
        <v>0</v>
      </c>
      <c r="FM75" s="2">
        <f>((IF((157='V06 Calend 01'!C75),('V06 Calend 01'!F75+'V06 Calend 01'!G75),0)+IF(AND(('V06 Calend 01'!E75&gt;0),(157&gt;'V06 Calend 01'!C75),(157&lt;'V06 Calend 01'!D75),(MOD((157-'V06 Calend 01'!C75),6)=0),(((157-'V06 Calend 01'!C75)/6)&lt;='V06 Calend 01'!E75)),IF((157=('V06 Calend 01'!C75+(6*'V06 Calend 01'!E75))),('V06 Calend 01'!H75-('V06 Calend 01'!I75*('V06 Calend 01'!E75-1))),'V06 Calend 01'!I75),0))+IF((157='V06 Calend 01'!D75),'V06 Calend 01'!J75,0))</f>
        <v>0</v>
      </c>
      <c r="FN75" s="2">
        <f>((IF((158='V06 Calend 01'!C75),('V06 Calend 01'!F75+'V06 Calend 01'!G75),0)+IF(AND(('V06 Calend 01'!E75&gt;0),(158&gt;'V06 Calend 01'!C75),(158&lt;'V06 Calend 01'!D75),(MOD((158-'V06 Calend 01'!C75),6)=0),(((158-'V06 Calend 01'!C75)/6)&lt;='V06 Calend 01'!E75)),IF((158=('V06 Calend 01'!C75+(6*'V06 Calend 01'!E75))),('V06 Calend 01'!H75-('V06 Calend 01'!I75*('V06 Calend 01'!E75-1))),'V06 Calend 01'!I75),0))+IF((158='V06 Calend 01'!D75),'V06 Calend 01'!J75,0))</f>
        <v>0</v>
      </c>
      <c r="FO75" s="2">
        <f>((IF((159='V06 Calend 01'!C75),('V06 Calend 01'!F75+'V06 Calend 01'!G75),0)+IF(AND(('V06 Calend 01'!E75&gt;0),(159&gt;'V06 Calend 01'!C75),(159&lt;'V06 Calend 01'!D75),(MOD((159-'V06 Calend 01'!C75),6)=0),(((159-'V06 Calend 01'!C75)/6)&lt;='V06 Calend 01'!E75)),IF((159=('V06 Calend 01'!C75+(6*'V06 Calend 01'!E75))),('V06 Calend 01'!H75-('V06 Calend 01'!I75*('V06 Calend 01'!E75-1))),'V06 Calend 01'!I75),0))+IF((159='V06 Calend 01'!D75),'V06 Calend 01'!J75,0))</f>
        <v>0</v>
      </c>
      <c r="FP75" s="2">
        <f>((IF((160='V06 Calend 01'!C75),('V06 Calend 01'!F75+'V06 Calend 01'!G75),0)+IF(AND(('V06 Calend 01'!E75&gt;0),(160&gt;'V06 Calend 01'!C75),(160&lt;'V06 Calend 01'!D75),(MOD((160-'V06 Calend 01'!C75),6)=0),(((160-'V06 Calend 01'!C75)/6)&lt;='V06 Calend 01'!E75)),IF((160=('V06 Calend 01'!C75+(6*'V06 Calend 01'!E75))),('V06 Calend 01'!H75-('V06 Calend 01'!I75*('V06 Calend 01'!E75-1))),'V06 Calend 01'!I75),0))+IF((160='V06 Calend 01'!D75),'V06 Calend 01'!J75,0))</f>
        <v>0</v>
      </c>
      <c r="FQ75" s="2">
        <f>((IF((161='V06 Calend 01'!C75),('V06 Calend 01'!F75+'V06 Calend 01'!G75),0)+IF(AND(('V06 Calend 01'!E75&gt;0),(161&gt;'V06 Calend 01'!C75),(161&lt;'V06 Calend 01'!D75),(MOD((161-'V06 Calend 01'!C75),6)=0),(((161-'V06 Calend 01'!C75)/6)&lt;='V06 Calend 01'!E75)),IF((161=('V06 Calend 01'!C75+(6*'V06 Calend 01'!E75))),('V06 Calend 01'!H75-('V06 Calend 01'!I75*('V06 Calend 01'!E75-1))),'V06 Calend 01'!I75),0))+IF((161='V06 Calend 01'!D75),'V06 Calend 01'!J75,0))</f>
        <v>0</v>
      </c>
      <c r="FR75" s="2">
        <f>((IF((162='V06 Calend 01'!C75),('V06 Calend 01'!F75+'V06 Calend 01'!G75),0)+IF(AND(('V06 Calend 01'!E75&gt;0),(162&gt;'V06 Calend 01'!C75),(162&lt;'V06 Calend 01'!D75),(MOD((162-'V06 Calend 01'!C75),6)=0),(((162-'V06 Calend 01'!C75)/6)&lt;='V06 Calend 01'!E75)),IF((162=('V06 Calend 01'!C75+(6*'V06 Calend 01'!E75))),('V06 Calend 01'!H75-('V06 Calend 01'!I75*('V06 Calend 01'!E75-1))),'V06 Calend 01'!I75),0))+IF((162='V06 Calend 01'!D75),'V06 Calend 01'!J75,0))</f>
        <v>0</v>
      </c>
      <c r="FS75" s="2">
        <f>((IF((163='V06 Calend 01'!C75),('V06 Calend 01'!F75+'V06 Calend 01'!G75),0)+IF(AND(('V06 Calend 01'!E75&gt;0),(163&gt;'V06 Calend 01'!C75),(163&lt;'V06 Calend 01'!D75),(MOD((163-'V06 Calend 01'!C75),6)=0),(((163-'V06 Calend 01'!C75)/6)&lt;='V06 Calend 01'!E75)),IF((163=('V06 Calend 01'!C75+(6*'V06 Calend 01'!E75))),('V06 Calend 01'!H75-('V06 Calend 01'!I75*('V06 Calend 01'!E75-1))),'V06 Calend 01'!I75),0))+IF((163='V06 Calend 01'!D75),'V06 Calend 01'!J75,0))</f>
        <v>0</v>
      </c>
      <c r="FT75" s="2">
        <f>((IF((164='V06 Calend 01'!C75),('V06 Calend 01'!F75+'V06 Calend 01'!G75),0)+IF(AND(('V06 Calend 01'!E75&gt;0),(164&gt;'V06 Calend 01'!C75),(164&lt;'V06 Calend 01'!D75),(MOD((164-'V06 Calend 01'!C75),6)=0),(((164-'V06 Calend 01'!C75)/6)&lt;='V06 Calend 01'!E75)),IF((164=('V06 Calend 01'!C75+(6*'V06 Calend 01'!E75))),('V06 Calend 01'!H75-('V06 Calend 01'!I75*('V06 Calend 01'!E75-1))),'V06 Calend 01'!I75),0))+IF((164='V06 Calend 01'!D75),'V06 Calend 01'!J75,0))</f>
        <v>0</v>
      </c>
      <c r="FU75" s="2">
        <f>((IF((165='V06 Calend 01'!C75),('V06 Calend 01'!F75+'V06 Calend 01'!G75),0)+IF(AND(('V06 Calend 01'!E75&gt;0),(165&gt;'V06 Calend 01'!C75),(165&lt;'V06 Calend 01'!D75),(MOD((165-'V06 Calend 01'!C75),6)=0),(((165-'V06 Calend 01'!C75)/6)&lt;='V06 Calend 01'!E75)),IF((165=('V06 Calend 01'!C75+(6*'V06 Calend 01'!E75))),('V06 Calend 01'!H75-('V06 Calend 01'!I75*('V06 Calend 01'!E75-1))),'V06 Calend 01'!I75),0))+IF((165='V06 Calend 01'!D75),'V06 Calend 01'!J75,0))</f>
        <v>0</v>
      </c>
      <c r="FV75" s="2">
        <f>((IF((166='V06 Calend 01'!C75),('V06 Calend 01'!F75+'V06 Calend 01'!G75),0)+IF(AND(('V06 Calend 01'!E75&gt;0),(166&gt;'V06 Calend 01'!C75),(166&lt;'V06 Calend 01'!D75),(MOD((166-'V06 Calend 01'!C75),6)=0),(((166-'V06 Calend 01'!C75)/6)&lt;='V06 Calend 01'!E75)),IF((166=('V06 Calend 01'!C75+(6*'V06 Calend 01'!E75))),('V06 Calend 01'!H75-('V06 Calend 01'!I75*('V06 Calend 01'!E75-1))),'V06 Calend 01'!I75),0))+IF((166='V06 Calend 01'!D75),'V06 Calend 01'!J75,0))</f>
        <v>0</v>
      </c>
      <c r="FW75" s="2">
        <f>((IF((167='V06 Calend 01'!C75),('V06 Calend 01'!F75+'V06 Calend 01'!G75),0)+IF(AND(('V06 Calend 01'!E75&gt;0),(167&gt;'V06 Calend 01'!C75),(167&lt;'V06 Calend 01'!D75),(MOD((167-'V06 Calend 01'!C75),6)=0),(((167-'V06 Calend 01'!C75)/6)&lt;='V06 Calend 01'!E75)),IF((167=('V06 Calend 01'!C75+(6*'V06 Calend 01'!E75))),('V06 Calend 01'!H75-('V06 Calend 01'!I75*('V06 Calend 01'!E75-1))),'V06 Calend 01'!I75),0))+IF((167='V06 Calend 01'!D75),'V06 Calend 01'!J75,0))</f>
        <v>0</v>
      </c>
      <c r="FX75" s="2">
        <f>((IF((168='V06 Calend 01'!C75),('V06 Calend 01'!F75+'V06 Calend 01'!G75),0)+IF(AND(('V06 Calend 01'!E75&gt;0),(168&gt;'V06 Calend 01'!C75),(168&lt;'V06 Calend 01'!D75),(MOD((168-'V06 Calend 01'!C75),6)=0),(((168-'V06 Calend 01'!C75)/6)&lt;='V06 Calend 01'!E75)),IF((168=('V06 Calend 01'!C75+(6*'V06 Calend 01'!E75))),('V06 Calend 01'!H75-('V06 Calend 01'!I75*('V06 Calend 01'!E75-1))),'V06 Calend 01'!I75),0))+IF((168='V06 Calend 01'!D75),'V06 Calend 01'!J75,0))</f>
        <v>0</v>
      </c>
      <c r="FY75" s="2">
        <f>((IF((169='V06 Calend 01'!C75),('V06 Calend 01'!F75+'V06 Calend 01'!G75),0)+IF(AND(('V06 Calend 01'!E75&gt;0),(169&gt;'V06 Calend 01'!C75),(169&lt;'V06 Calend 01'!D75),(MOD((169-'V06 Calend 01'!C75),6)=0),(((169-'V06 Calend 01'!C75)/6)&lt;='V06 Calend 01'!E75)),IF((169=('V06 Calend 01'!C75+(6*'V06 Calend 01'!E75))),('V06 Calend 01'!H75-('V06 Calend 01'!I75*('V06 Calend 01'!E75-1))),'V06 Calend 01'!I75),0))+IF((169='V06 Calend 01'!D75),'V06 Calend 01'!J75,0))</f>
        <v>0</v>
      </c>
      <c r="FZ75" s="2">
        <f>((IF((170='V06 Calend 01'!C75),('V06 Calend 01'!F75+'V06 Calend 01'!G75),0)+IF(AND(('V06 Calend 01'!E75&gt;0),(170&gt;'V06 Calend 01'!C75),(170&lt;'V06 Calend 01'!D75),(MOD((170-'V06 Calend 01'!C75),6)=0),(((170-'V06 Calend 01'!C75)/6)&lt;='V06 Calend 01'!E75)),IF((170=('V06 Calend 01'!C75+(6*'V06 Calend 01'!E75))),('V06 Calend 01'!H75-('V06 Calend 01'!I75*('V06 Calend 01'!E75-1))),'V06 Calend 01'!I75),0))+IF((170='V06 Calend 01'!D75),'V06 Calend 01'!J75,0))</f>
        <v>0</v>
      </c>
      <c r="GA75" s="2">
        <f>((IF((171='V06 Calend 01'!C75),('V06 Calend 01'!F75+'V06 Calend 01'!G75),0)+IF(AND(('V06 Calend 01'!E75&gt;0),(171&gt;'V06 Calend 01'!C75),(171&lt;'V06 Calend 01'!D75),(MOD((171-'V06 Calend 01'!C75),6)=0),(((171-'V06 Calend 01'!C75)/6)&lt;='V06 Calend 01'!E75)),IF((171=('V06 Calend 01'!C75+(6*'V06 Calend 01'!E75))),('V06 Calend 01'!H75-('V06 Calend 01'!I75*('V06 Calend 01'!E75-1))),'V06 Calend 01'!I75),0))+IF((171='V06 Calend 01'!D75),'V06 Calend 01'!J75,0))</f>
        <v>0</v>
      </c>
      <c r="GB75" s="2">
        <f>((IF((172='V06 Calend 01'!C75),('V06 Calend 01'!F75+'V06 Calend 01'!G75),0)+IF(AND(('V06 Calend 01'!E75&gt;0),(172&gt;'V06 Calend 01'!C75),(172&lt;'V06 Calend 01'!D75),(MOD((172-'V06 Calend 01'!C75),6)=0),(((172-'V06 Calend 01'!C75)/6)&lt;='V06 Calend 01'!E75)),IF((172=('V06 Calend 01'!C75+(6*'V06 Calend 01'!E75))),('V06 Calend 01'!H75-('V06 Calend 01'!I75*('V06 Calend 01'!E75-1))),'V06 Calend 01'!I75),0))+IF((172='V06 Calend 01'!D75),'V06 Calend 01'!J75,0))</f>
        <v>0</v>
      </c>
      <c r="GC75" s="2">
        <f>((IF((173='V06 Calend 01'!C75),('V06 Calend 01'!F75+'V06 Calend 01'!G75),0)+IF(AND(('V06 Calend 01'!E75&gt;0),(173&gt;'V06 Calend 01'!C75),(173&lt;'V06 Calend 01'!D75),(MOD((173-'V06 Calend 01'!C75),6)=0),(((173-'V06 Calend 01'!C75)/6)&lt;='V06 Calend 01'!E75)),IF((173=('V06 Calend 01'!C75+(6*'V06 Calend 01'!E75))),('V06 Calend 01'!H75-('V06 Calend 01'!I75*('V06 Calend 01'!E75-1))),'V06 Calend 01'!I75),0))+IF((173='V06 Calend 01'!D75),'V06 Calend 01'!J75,0))</f>
        <v>0</v>
      </c>
      <c r="GD75" s="2">
        <f>((IF((174='V06 Calend 01'!C75),('V06 Calend 01'!F75+'V06 Calend 01'!G75),0)+IF(AND(('V06 Calend 01'!E75&gt;0),(174&gt;'V06 Calend 01'!C75),(174&lt;'V06 Calend 01'!D75),(MOD((174-'V06 Calend 01'!C75),6)=0),(((174-'V06 Calend 01'!C75)/6)&lt;='V06 Calend 01'!E75)),IF((174=('V06 Calend 01'!C75+(6*'V06 Calend 01'!E75))),('V06 Calend 01'!H75-('V06 Calend 01'!I75*('V06 Calend 01'!E75-1))),'V06 Calend 01'!I75),0))+IF((174='V06 Calend 01'!D75),'V06 Calend 01'!J75,0))</f>
        <v>0</v>
      </c>
      <c r="GE75" s="2">
        <f>((IF((175='V06 Calend 01'!C75),('V06 Calend 01'!F75+'V06 Calend 01'!G75),0)+IF(AND(('V06 Calend 01'!E75&gt;0),(175&gt;'V06 Calend 01'!C75),(175&lt;'V06 Calend 01'!D75),(MOD((175-'V06 Calend 01'!C75),6)=0),(((175-'V06 Calend 01'!C75)/6)&lt;='V06 Calend 01'!E75)),IF((175=('V06 Calend 01'!C75+(6*'V06 Calend 01'!E75))),('V06 Calend 01'!H75-('V06 Calend 01'!I75*('V06 Calend 01'!E75-1))),'V06 Calend 01'!I75),0))+IF((175='V06 Calend 01'!D75),'V06 Calend 01'!J75,0))</f>
        <v>0</v>
      </c>
      <c r="GF75" s="2">
        <f>((IF((176='V06 Calend 01'!C75),('V06 Calend 01'!F75+'V06 Calend 01'!G75),0)+IF(AND(('V06 Calend 01'!E75&gt;0),(176&gt;'V06 Calend 01'!C75),(176&lt;'V06 Calend 01'!D75),(MOD((176-'V06 Calend 01'!C75),6)=0),(((176-'V06 Calend 01'!C75)/6)&lt;='V06 Calend 01'!E75)),IF((176=('V06 Calend 01'!C75+(6*'V06 Calend 01'!E75))),('V06 Calend 01'!H75-('V06 Calend 01'!I75*('V06 Calend 01'!E75-1))),'V06 Calend 01'!I75),0))+IF((176='V06 Calend 01'!D75),'V06 Calend 01'!J75,0))</f>
        <v>0</v>
      </c>
      <c r="GG75" s="2">
        <f>((IF((177='V06 Calend 01'!C75),('V06 Calend 01'!F75+'V06 Calend 01'!G75),0)+IF(AND(('V06 Calend 01'!E75&gt;0),(177&gt;'V06 Calend 01'!C75),(177&lt;'V06 Calend 01'!D75),(MOD((177-'V06 Calend 01'!C75),6)=0),(((177-'V06 Calend 01'!C75)/6)&lt;='V06 Calend 01'!E75)),IF((177=('V06 Calend 01'!C75+(6*'V06 Calend 01'!E75))),('V06 Calend 01'!H75-('V06 Calend 01'!I75*('V06 Calend 01'!E75-1))),'V06 Calend 01'!I75),0))+IF((177='V06 Calend 01'!D75),'V06 Calend 01'!J75,0))</f>
        <v>0</v>
      </c>
      <c r="GH75" s="2">
        <f>((IF((178='V06 Calend 01'!C75),('V06 Calend 01'!F75+'V06 Calend 01'!G75),0)+IF(AND(('V06 Calend 01'!E75&gt;0),(178&gt;'V06 Calend 01'!C75),(178&lt;'V06 Calend 01'!D75),(MOD((178-'V06 Calend 01'!C75),6)=0),(((178-'V06 Calend 01'!C75)/6)&lt;='V06 Calend 01'!E75)),IF((178=('V06 Calend 01'!C75+(6*'V06 Calend 01'!E75))),('V06 Calend 01'!H75-('V06 Calend 01'!I75*('V06 Calend 01'!E75-1))),'V06 Calend 01'!I75),0))+IF((178='V06 Calend 01'!D75),'V06 Calend 01'!J75,0))</f>
        <v>0</v>
      </c>
      <c r="GI75" s="2">
        <f>((IF((179='V06 Calend 01'!C75),('V06 Calend 01'!F75+'V06 Calend 01'!G75),0)+IF(AND(('V06 Calend 01'!E75&gt;0),(179&gt;'V06 Calend 01'!C75),(179&lt;'V06 Calend 01'!D75),(MOD((179-'V06 Calend 01'!C75),6)=0),(((179-'V06 Calend 01'!C75)/6)&lt;='V06 Calend 01'!E75)),IF((179=('V06 Calend 01'!C75+(6*'V06 Calend 01'!E75))),('V06 Calend 01'!H75-('V06 Calend 01'!I75*('V06 Calend 01'!E75-1))),'V06 Calend 01'!I75),0))+IF((179='V06 Calend 01'!D75),'V06 Calend 01'!J75,0))</f>
        <v>0</v>
      </c>
      <c r="GJ75" s="2">
        <f>((IF((180='V06 Calend 01'!C75),('V06 Calend 01'!F75+'V06 Calend 01'!G75),0)+IF(AND(('V06 Calend 01'!E75&gt;0),(180&gt;'V06 Calend 01'!C75),(180&lt;'V06 Calend 01'!D75),(MOD((180-'V06 Calend 01'!C75),6)=0),(((180-'V06 Calend 01'!C75)/6)&lt;='V06 Calend 01'!E75)),IF((180=('V06 Calend 01'!C75+(6*'V06 Calend 01'!E75))),('V06 Calend 01'!H75-('V06 Calend 01'!I75*('V06 Calend 01'!E75-1))),'V06 Calend 01'!I75),0))+IF((180='V06 Calend 01'!D75),'V06 Calend 01'!J75,0))</f>
        <v>0</v>
      </c>
    </row>
    <row r="76" spans="1:192">
      <c r="A76" s="3" t="str">
        <f>'V06 Unidades'!$A$76</f>
        <v>902</v>
      </c>
      <c r="B76" s="2">
        <f>'V06 Unidades'!$H$76</f>
        <v>686506.38</v>
      </c>
      <c r="C76" s="4">
        <f>('V06 Unidades'!$I$76+'V06 Controlos'!$B$37)</f>
        <v>22</v>
      </c>
      <c r="D76" s="4">
        <f>IF(('V06 Controlos'!$B$38&gt;0),MAX(('V06 Unidades'!$L$76+'V06 Controlos'!$B$37),(30+'V06 Controlos'!$B$38)),('V06 Unidades'!$L$76+'V06 Controlos'!$B$37))</f>
        <v>30</v>
      </c>
      <c r="E76" s="4">
        <f>MAX(0,INT(((('V06 Calend 01'!D76-'V06 Calend 01'!C76)-1)/6)))</f>
        <v>1</v>
      </c>
      <c r="F76" s="2">
        <f>ROUND(('V06 Calend 01'!B76*0.05),2)</f>
        <v>34325.32</v>
      </c>
      <c r="G76" s="2">
        <f>ROUND(('V06 Calend 01'!B76*0.2),2)</f>
        <v>137301.28</v>
      </c>
      <c r="H76" s="2">
        <f>ROUND(('V06 Calend 01'!B76*0.55),2)</f>
        <v>377578.51</v>
      </c>
      <c r="I76" s="2">
        <f>ROUND(('V06 Calend 01'!H76/MAX(1,'V06 Calend 01'!E76)),2)</f>
        <v>377578.51</v>
      </c>
      <c r="J76" s="2">
        <f>((('V06 Calend 01'!B76-'V06 Calend 01'!F76)-'V06 Calend 01'!G76)-'V06 Calend 01'!H76)</f>
        <v>137301.27000000002</v>
      </c>
      <c r="K76" s="2">
        <f>('V06 Calend 01'!B76*0.025)</f>
        <v>17162.6595</v>
      </c>
      <c r="L76" t="s">
        <v>378</v>
      </c>
      <c r="M76" s="2">
        <f>((IF((1='V06 Calend 01'!C76),('V06 Calend 01'!F76+'V06 Calend 01'!G76),0)+IF(AND(('V06 Calend 01'!E76&gt;0),(1&gt;'V06 Calend 01'!C76),(1&lt;'V06 Calend 01'!D76),(MOD((1-'V06 Calend 01'!C76),6)=0),(((1-'V06 Calend 01'!C76)/6)&lt;='V06 Calend 01'!E76)),IF((1=('V06 Calend 01'!C76+(6*'V06 Calend 01'!E76))),('V06 Calend 01'!H76-('V06 Calend 01'!I76*('V06 Calend 01'!E76-1))),'V06 Calend 01'!I76),0))+IF((1='V06 Calend 01'!D76),'V06 Calend 01'!J76,0))</f>
        <v>0</v>
      </c>
      <c r="N76" s="2">
        <f>((IF((2='V06 Calend 01'!C76),('V06 Calend 01'!F76+'V06 Calend 01'!G76),0)+IF(AND(('V06 Calend 01'!E76&gt;0),(2&gt;'V06 Calend 01'!C76),(2&lt;'V06 Calend 01'!D76),(MOD((2-'V06 Calend 01'!C76),6)=0),(((2-'V06 Calend 01'!C76)/6)&lt;='V06 Calend 01'!E76)),IF((2=('V06 Calend 01'!C76+(6*'V06 Calend 01'!E76))),('V06 Calend 01'!H76-('V06 Calend 01'!I76*('V06 Calend 01'!E76-1))),'V06 Calend 01'!I76),0))+IF((2='V06 Calend 01'!D76),'V06 Calend 01'!J76,0))</f>
        <v>0</v>
      </c>
      <c r="O76" s="2">
        <f>((IF((3='V06 Calend 01'!C76),('V06 Calend 01'!F76+'V06 Calend 01'!G76),0)+IF(AND(('V06 Calend 01'!E76&gt;0),(3&gt;'V06 Calend 01'!C76),(3&lt;'V06 Calend 01'!D76),(MOD((3-'V06 Calend 01'!C76),6)=0),(((3-'V06 Calend 01'!C76)/6)&lt;='V06 Calend 01'!E76)),IF((3=('V06 Calend 01'!C76+(6*'V06 Calend 01'!E76))),('V06 Calend 01'!H76-('V06 Calend 01'!I76*('V06 Calend 01'!E76-1))),'V06 Calend 01'!I76),0))+IF((3='V06 Calend 01'!D76),'V06 Calend 01'!J76,0))</f>
        <v>0</v>
      </c>
      <c r="P76" s="2">
        <f>((IF((4='V06 Calend 01'!C76),('V06 Calend 01'!F76+'V06 Calend 01'!G76),0)+IF(AND(('V06 Calend 01'!E76&gt;0),(4&gt;'V06 Calend 01'!C76),(4&lt;'V06 Calend 01'!D76),(MOD((4-'V06 Calend 01'!C76),6)=0),(((4-'V06 Calend 01'!C76)/6)&lt;='V06 Calend 01'!E76)),IF((4=('V06 Calend 01'!C76+(6*'V06 Calend 01'!E76))),('V06 Calend 01'!H76-('V06 Calend 01'!I76*('V06 Calend 01'!E76-1))),'V06 Calend 01'!I76),0))+IF((4='V06 Calend 01'!D76),'V06 Calend 01'!J76,0))</f>
        <v>0</v>
      </c>
      <c r="Q76" s="2">
        <f>((IF((5='V06 Calend 01'!C76),('V06 Calend 01'!F76+'V06 Calend 01'!G76),0)+IF(AND(('V06 Calend 01'!E76&gt;0),(5&gt;'V06 Calend 01'!C76),(5&lt;'V06 Calend 01'!D76),(MOD((5-'V06 Calend 01'!C76),6)=0),(((5-'V06 Calend 01'!C76)/6)&lt;='V06 Calend 01'!E76)),IF((5=('V06 Calend 01'!C76+(6*'V06 Calend 01'!E76))),('V06 Calend 01'!H76-('V06 Calend 01'!I76*('V06 Calend 01'!E76-1))),'V06 Calend 01'!I76),0))+IF((5='V06 Calend 01'!D76),'V06 Calend 01'!J76,0))</f>
        <v>0</v>
      </c>
      <c r="R76" s="2">
        <f>((IF((6='V06 Calend 01'!C76),('V06 Calend 01'!F76+'V06 Calend 01'!G76),0)+IF(AND(('V06 Calend 01'!E76&gt;0),(6&gt;'V06 Calend 01'!C76),(6&lt;'V06 Calend 01'!D76),(MOD((6-'V06 Calend 01'!C76),6)=0),(((6-'V06 Calend 01'!C76)/6)&lt;='V06 Calend 01'!E76)),IF((6=('V06 Calend 01'!C76+(6*'V06 Calend 01'!E76))),('V06 Calend 01'!H76-('V06 Calend 01'!I76*('V06 Calend 01'!E76-1))),'V06 Calend 01'!I76),0))+IF((6='V06 Calend 01'!D76),'V06 Calend 01'!J76,0))</f>
        <v>0</v>
      </c>
      <c r="S76" s="2">
        <f>((IF((7='V06 Calend 01'!C76),('V06 Calend 01'!F76+'V06 Calend 01'!G76),0)+IF(AND(('V06 Calend 01'!E76&gt;0),(7&gt;'V06 Calend 01'!C76),(7&lt;'V06 Calend 01'!D76),(MOD((7-'V06 Calend 01'!C76),6)=0),(((7-'V06 Calend 01'!C76)/6)&lt;='V06 Calend 01'!E76)),IF((7=('V06 Calend 01'!C76+(6*'V06 Calend 01'!E76))),('V06 Calend 01'!H76-('V06 Calend 01'!I76*('V06 Calend 01'!E76-1))),'V06 Calend 01'!I76),0))+IF((7='V06 Calend 01'!D76),'V06 Calend 01'!J76,0))</f>
        <v>0</v>
      </c>
      <c r="T76" s="2">
        <f>((IF((8='V06 Calend 01'!C76),('V06 Calend 01'!F76+'V06 Calend 01'!G76),0)+IF(AND(('V06 Calend 01'!E76&gt;0),(8&gt;'V06 Calend 01'!C76),(8&lt;'V06 Calend 01'!D76),(MOD((8-'V06 Calend 01'!C76),6)=0),(((8-'V06 Calend 01'!C76)/6)&lt;='V06 Calend 01'!E76)),IF((8=('V06 Calend 01'!C76+(6*'V06 Calend 01'!E76))),('V06 Calend 01'!H76-('V06 Calend 01'!I76*('V06 Calend 01'!E76-1))),'V06 Calend 01'!I76),0))+IF((8='V06 Calend 01'!D76),'V06 Calend 01'!J76,0))</f>
        <v>0</v>
      </c>
      <c r="U76" s="2">
        <f>((IF((9='V06 Calend 01'!C76),('V06 Calend 01'!F76+'V06 Calend 01'!G76),0)+IF(AND(('V06 Calend 01'!E76&gt;0),(9&gt;'V06 Calend 01'!C76),(9&lt;'V06 Calend 01'!D76),(MOD((9-'V06 Calend 01'!C76),6)=0),(((9-'V06 Calend 01'!C76)/6)&lt;='V06 Calend 01'!E76)),IF((9=('V06 Calend 01'!C76+(6*'V06 Calend 01'!E76))),('V06 Calend 01'!H76-('V06 Calend 01'!I76*('V06 Calend 01'!E76-1))),'V06 Calend 01'!I76),0))+IF((9='V06 Calend 01'!D76),'V06 Calend 01'!J76,0))</f>
        <v>0</v>
      </c>
      <c r="V76" s="2">
        <f>((IF((10='V06 Calend 01'!C76),('V06 Calend 01'!F76+'V06 Calend 01'!G76),0)+IF(AND(('V06 Calend 01'!E76&gt;0),(10&gt;'V06 Calend 01'!C76),(10&lt;'V06 Calend 01'!D76),(MOD((10-'V06 Calend 01'!C76),6)=0),(((10-'V06 Calend 01'!C76)/6)&lt;='V06 Calend 01'!E76)),IF((10=('V06 Calend 01'!C76+(6*'V06 Calend 01'!E76))),('V06 Calend 01'!H76-('V06 Calend 01'!I76*('V06 Calend 01'!E76-1))),'V06 Calend 01'!I76),0))+IF((10='V06 Calend 01'!D76),'V06 Calend 01'!J76,0))</f>
        <v>0</v>
      </c>
      <c r="W76" s="2">
        <f>((IF((11='V06 Calend 01'!C76),('V06 Calend 01'!F76+'V06 Calend 01'!G76),0)+IF(AND(('V06 Calend 01'!E76&gt;0),(11&gt;'V06 Calend 01'!C76),(11&lt;'V06 Calend 01'!D76),(MOD((11-'V06 Calend 01'!C76),6)=0),(((11-'V06 Calend 01'!C76)/6)&lt;='V06 Calend 01'!E76)),IF((11=('V06 Calend 01'!C76+(6*'V06 Calend 01'!E76))),('V06 Calend 01'!H76-('V06 Calend 01'!I76*('V06 Calend 01'!E76-1))),'V06 Calend 01'!I76),0))+IF((11='V06 Calend 01'!D76),'V06 Calend 01'!J76,0))</f>
        <v>0</v>
      </c>
      <c r="X76" s="2">
        <f>((IF((12='V06 Calend 01'!C76),('V06 Calend 01'!F76+'V06 Calend 01'!G76),0)+IF(AND(('V06 Calend 01'!E76&gt;0),(12&gt;'V06 Calend 01'!C76),(12&lt;'V06 Calend 01'!D76),(MOD((12-'V06 Calend 01'!C76),6)=0),(((12-'V06 Calend 01'!C76)/6)&lt;='V06 Calend 01'!E76)),IF((12=('V06 Calend 01'!C76+(6*'V06 Calend 01'!E76))),('V06 Calend 01'!H76-('V06 Calend 01'!I76*('V06 Calend 01'!E76-1))),'V06 Calend 01'!I76),0))+IF((12='V06 Calend 01'!D76),'V06 Calend 01'!J76,0))</f>
        <v>0</v>
      </c>
      <c r="Y76" s="2">
        <f>((IF((13='V06 Calend 01'!C76),('V06 Calend 01'!F76+'V06 Calend 01'!G76),0)+IF(AND(('V06 Calend 01'!E76&gt;0),(13&gt;'V06 Calend 01'!C76),(13&lt;'V06 Calend 01'!D76),(MOD((13-'V06 Calend 01'!C76),6)=0),(((13-'V06 Calend 01'!C76)/6)&lt;='V06 Calend 01'!E76)),IF((13=('V06 Calend 01'!C76+(6*'V06 Calend 01'!E76))),('V06 Calend 01'!H76-('V06 Calend 01'!I76*('V06 Calend 01'!E76-1))),'V06 Calend 01'!I76),0))+IF((13='V06 Calend 01'!D76),'V06 Calend 01'!J76,0))</f>
        <v>0</v>
      </c>
      <c r="Z76" s="2">
        <f>((IF((14='V06 Calend 01'!C76),('V06 Calend 01'!F76+'V06 Calend 01'!G76),0)+IF(AND(('V06 Calend 01'!E76&gt;0),(14&gt;'V06 Calend 01'!C76),(14&lt;'V06 Calend 01'!D76),(MOD((14-'V06 Calend 01'!C76),6)=0),(((14-'V06 Calend 01'!C76)/6)&lt;='V06 Calend 01'!E76)),IF((14=('V06 Calend 01'!C76+(6*'V06 Calend 01'!E76))),('V06 Calend 01'!H76-('V06 Calend 01'!I76*('V06 Calend 01'!E76-1))),'V06 Calend 01'!I76),0))+IF((14='V06 Calend 01'!D76),'V06 Calend 01'!J76,0))</f>
        <v>0</v>
      </c>
      <c r="AA76" s="2">
        <f>((IF((15='V06 Calend 01'!C76),('V06 Calend 01'!F76+'V06 Calend 01'!G76),0)+IF(AND(('V06 Calend 01'!E76&gt;0),(15&gt;'V06 Calend 01'!C76),(15&lt;'V06 Calend 01'!D76),(MOD((15-'V06 Calend 01'!C76),6)=0),(((15-'V06 Calend 01'!C76)/6)&lt;='V06 Calend 01'!E76)),IF((15=('V06 Calend 01'!C76+(6*'V06 Calend 01'!E76))),('V06 Calend 01'!H76-('V06 Calend 01'!I76*('V06 Calend 01'!E76-1))),'V06 Calend 01'!I76),0))+IF((15='V06 Calend 01'!D76),'V06 Calend 01'!J76,0))</f>
        <v>0</v>
      </c>
      <c r="AB76" s="2">
        <f>((IF((16='V06 Calend 01'!C76),('V06 Calend 01'!F76+'V06 Calend 01'!G76),0)+IF(AND(('V06 Calend 01'!E76&gt;0),(16&gt;'V06 Calend 01'!C76),(16&lt;'V06 Calend 01'!D76),(MOD((16-'V06 Calend 01'!C76),6)=0),(((16-'V06 Calend 01'!C76)/6)&lt;='V06 Calend 01'!E76)),IF((16=('V06 Calend 01'!C76+(6*'V06 Calend 01'!E76))),('V06 Calend 01'!H76-('V06 Calend 01'!I76*('V06 Calend 01'!E76-1))),'V06 Calend 01'!I76),0))+IF((16='V06 Calend 01'!D76),'V06 Calend 01'!J76,0))</f>
        <v>0</v>
      </c>
      <c r="AC76" s="2">
        <f>((IF((17='V06 Calend 01'!C76),('V06 Calend 01'!F76+'V06 Calend 01'!G76),0)+IF(AND(('V06 Calend 01'!E76&gt;0),(17&gt;'V06 Calend 01'!C76),(17&lt;'V06 Calend 01'!D76),(MOD((17-'V06 Calend 01'!C76),6)=0),(((17-'V06 Calend 01'!C76)/6)&lt;='V06 Calend 01'!E76)),IF((17=('V06 Calend 01'!C76+(6*'V06 Calend 01'!E76))),('V06 Calend 01'!H76-('V06 Calend 01'!I76*('V06 Calend 01'!E76-1))),'V06 Calend 01'!I76),0))+IF((17='V06 Calend 01'!D76),'V06 Calend 01'!J76,0))</f>
        <v>0</v>
      </c>
      <c r="AD76" s="2">
        <f>((IF((18='V06 Calend 01'!C76),('V06 Calend 01'!F76+'V06 Calend 01'!G76),0)+IF(AND(('V06 Calend 01'!E76&gt;0),(18&gt;'V06 Calend 01'!C76),(18&lt;'V06 Calend 01'!D76),(MOD((18-'V06 Calend 01'!C76),6)=0),(((18-'V06 Calend 01'!C76)/6)&lt;='V06 Calend 01'!E76)),IF((18=('V06 Calend 01'!C76+(6*'V06 Calend 01'!E76))),('V06 Calend 01'!H76-('V06 Calend 01'!I76*('V06 Calend 01'!E76-1))),'V06 Calend 01'!I76),0))+IF((18='V06 Calend 01'!D76),'V06 Calend 01'!J76,0))</f>
        <v>0</v>
      </c>
      <c r="AE76" s="2">
        <f>((IF((19='V06 Calend 01'!C76),('V06 Calend 01'!F76+'V06 Calend 01'!G76),0)+IF(AND(('V06 Calend 01'!E76&gt;0),(19&gt;'V06 Calend 01'!C76),(19&lt;'V06 Calend 01'!D76),(MOD((19-'V06 Calend 01'!C76),6)=0),(((19-'V06 Calend 01'!C76)/6)&lt;='V06 Calend 01'!E76)),IF((19=('V06 Calend 01'!C76+(6*'V06 Calend 01'!E76))),('V06 Calend 01'!H76-('V06 Calend 01'!I76*('V06 Calend 01'!E76-1))),'V06 Calend 01'!I76),0))+IF((19='V06 Calend 01'!D76),'V06 Calend 01'!J76,0))</f>
        <v>0</v>
      </c>
      <c r="AF76" s="2">
        <f>((IF((20='V06 Calend 01'!C76),('V06 Calend 01'!F76+'V06 Calend 01'!G76),0)+IF(AND(('V06 Calend 01'!E76&gt;0),(20&gt;'V06 Calend 01'!C76),(20&lt;'V06 Calend 01'!D76),(MOD((20-'V06 Calend 01'!C76),6)=0),(((20-'V06 Calend 01'!C76)/6)&lt;='V06 Calend 01'!E76)),IF((20=('V06 Calend 01'!C76+(6*'V06 Calend 01'!E76))),('V06 Calend 01'!H76-('V06 Calend 01'!I76*('V06 Calend 01'!E76-1))),'V06 Calend 01'!I76),0))+IF((20='V06 Calend 01'!D76),'V06 Calend 01'!J76,0))</f>
        <v>0</v>
      </c>
      <c r="AG76" s="2">
        <f>((IF((21='V06 Calend 01'!C76),('V06 Calend 01'!F76+'V06 Calend 01'!G76),0)+IF(AND(('V06 Calend 01'!E76&gt;0),(21&gt;'V06 Calend 01'!C76),(21&lt;'V06 Calend 01'!D76),(MOD((21-'V06 Calend 01'!C76),6)=0),(((21-'V06 Calend 01'!C76)/6)&lt;='V06 Calend 01'!E76)),IF((21=('V06 Calend 01'!C76+(6*'V06 Calend 01'!E76))),('V06 Calend 01'!H76-('V06 Calend 01'!I76*('V06 Calend 01'!E76-1))),'V06 Calend 01'!I76),0))+IF((21='V06 Calend 01'!D76),'V06 Calend 01'!J76,0))</f>
        <v>0</v>
      </c>
      <c r="AH76" s="2">
        <f>((IF((22='V06 Calend 01'!C76),('V06 Calend 01'!F76+'V06 Calend 01'!G76),0)+IF(AND(('V06 Calend 01'!E76&gt;0),(22&gt;'V06 Calend 01'!C76),(22&lt;'V06 Calend 01'!D76),(MOD((22-'V06 Calend 01'!C76),6)=0),(((22-'V06 Calend 01'!C76)/6)&lt;='V06 Calend 01'!E76)),IF((22=('V06 Calend 01'!C76+(6*'V06 Calend 01'!E76))),('V06 Calend 01'!H76-('V06 Calend 01'!I76*('V06 Calend 01'!E76-1))),'V06 Calend 01'!I76),0))+IF((22='V06 Calend 01'!D76),'V06 Calend 01'!J76,0))</f>
        <v>171626.6</v>
      </c>
      <c r="AI76" s="2">
        <f>((IF((23='V06 Calend 01'!C76),('V06 Calend 01'!F76+'V06 Calend 01'!G76),0)+IF(AND(('V06 Calend 01'!E76&gt;0),(23&gt;'V06 Calend 01'!C76),(23&lt;'V06 Calend 01'!D76),(MOD((23-'V06 Calend 01'!C76),6)=0),(((23-'V06 Calend 01'!C76)/6)&lt;='V06 Calend 01'!E76)),IF((23=('V06 Calend 01'!C76+(6*'V06 Calend 01'!E76))),('V06 Calend 01'!H76-('V06 Calend 01'!I76*('V06 Calend 01'!E76-1))),'V06 Calend 01'!I76),0))+IF((23='V06 Calend 01'!D76),'V06 Calend 01'!J76,0))</f>
        <v>0</v>
      </c>
      <c r="AJ76" s="2">
        <f>((IF((24='V06 Calend 01'!C76),('V06 Calend 01'!F76+'V06 Calend 01'!G76),0)+IF(AND(('V06 Calend 01'!E76&gt;0),(24&gt;'V06 Calend 01'!C76),(24&lt;'V06 Calend 01'!D76),(MOD((24-'V06 Calend 01'!C76),6)=0),(((24-'V06 Calend 01'!C76)/6)&lt;='V06 Calend 01'!E76)),IF((24=('V06 Calend 01'!C76+(6*'V06 Calend 01'!E76))),('V06 Calend 01'!H76-('V06 Calend 01'!I76*('V06 Calend 01'!E76-1))),'V06 Calend 01'!I76),0))+IF((24='V06 Calend 01'!D76),'V06 Calend 01'!J76,0))</f>
        <v>0</v>
      </c>
      <c r="AK76" s="2">
        <f>((IF((25='V06 Calend 01'!C76),('V06 Calend 01'!F76+'V06 Calend 01'!G76),0)+IF(AND(('V06 Calend 01'!E76&gt;0),(25&gt;'V06 Calend 01'!C76),(25&lt;'V06 Calend 01'!D76),(MOD((25-'V06 Calend 01'!C76),6)=0),(((25-'V06 Calend 01'!C76)/6)&lt;='V06 Calend 01'!E76)),IF((25=('V06 Calend 01'!C76+(6*'V06 Calend 01'!E76))),('V06 Calend 01'!H76-('V06 Calend 01'!I76*('V06 Calend 01'!E76-1))),'V06 Calend 01'!I76),0))+IF((25='V06 Calend 01'!D76),'V06 Calend 01'!J76,0))</f>
        <v>0</v>
      </c>
      <c r="AL76" s="2">
        <f>((IF((26='V06 Calend 01'!C76),('V06 Calend 01'!F76+'V06 Calend 01'!G76),0)+IF(AND(('V06 Calend 01'!E76&gt;0),(26&gt;'V06 Calend 01'!C76),(26&lt;'V06 Calend 01'!D76),(MOD((26-'V06 Calend 01'!C76),6)=0),(((26-'V06 Calend 01'!C76)/6)&lt;='V06 Calend 01'!E76)),IF((26=('V06 Calend 01'!C76+(6*'V06 Calend 01'!E76))),('V06 Calend 01'!H76-('V06 Calend 01'!I76*('V06 Calend 01'!E76-1))),'V06 Calend 01'!I76),0))+IF((26='V06 Calend 01'!D76),'V06 Calend 01'!J76,0))</f>
        <v>0</v>
      </c>
      <c r="AM76" s="2">
        <f>((IF((27='V06 Calend 01'!C76),('V06 Calend 01'!F76+'V06 Calend 01'!G76),0)+IF(AND(('V06 Calend 01'!E76&gt;0),(27&gt;'V06 Calend 01'!C76),(27&lt;'V06 Calend 01'!D76),(MOD((27-'V06 Calend 01'!C76),6)=0),(((27-'V06 Calend 01'!C76)/6)&lt;='V06 Calend 01'!E76)),IF((27=('V06 Calend 01'!C76+(6*'V06 Calend 01'!E76))),('V06 Calend 01'!H76-('V06 Calend 01'!I76*('V06 Calend 01'!E76-1))),'V06 Calend 01'!I76),0))+IF((27='V06 Calend 01'!D76),'V06 Calend 01'!J76,0))</f>
        <v>0</v>
      </c>
      <c r="AN76" s="2">
        <f>((IF((28='V06 Calend 01'!C76),('V06 Calend 01'!F76+'V06 Calend 01'!G76),0)+IF(AND(('V06 Calend 01'!E76&gt;0),(28&gt;'V06 Calend 01'!C76),(28&lt;'V06 Calend 01'!D76),(MOD((28-'V06 Calend 01'!C76),6)=0),(((28-'V06 Calend 01'!C76)/6)&lt;='V06 Calend 01'!E76)),IF((28=('V06 Calend 01'!C76+(6*'V06 Calend 01'!E76))),('V06 Calend 01'!H76-('V06 Calend 01'!I76*('V06 Calend 01'!E76-1))),'V06 Calend 01'!I76),0))+IF((28='V06 Calend 01'!D76),'V06 Calend 01'!J76,0))</f>
        <v>377578.51</v>
      </c>
      <c r="AO76" s="2">
        <f>((IF((29='V06 Calend 01'!C76),('V06 Calend 01'!F76+'V06 Calend 01'!G76),0)+IF(AND(('V06 Calend 01'!E76&gt;0),(29&gt;'V06 Calend 01'!C76),(29&lt;'V06 Calend 01'!D76),(MOD((29-'V06 Calend 01'!C76),6)=0),(((29-'V06 Calend 01'!C76)/6)&lt;='V06 Calend 01'!E76)),IF((29=('V06 Calend 01'!C76+(6*'V06 Calend 01'!E76))),('V06 Calend 01'!H76-('V06 Calend 01'!I76*('V06 Calend 01'!E76-1))),'V06 Calend 01'!I76),0))+IF((29='V06 Calend 01'!D76),'V06 Calend 01'!J76,0))</f>
        <v>0</v>
      </c>
      <c r="AP76" s="2">
        <f>((IF((30='V06 Calend 01'!C76),('V06 Calend 01'!F76+'V06 Calend 01'!G76),0)+IF(AND(('V06 Calend 01'!E76&gt;0),(30&gt;'V06 Calend 01'!C76),(30&lt;'V06 Calend 01'!D76),(MOD((30-'V06 Calend 01'!C76),6)=0),(((30-'V06 Calend 01'!C76)/6)&lt;='V06 Calend 01'!E76)),IF((30=('V06 Calend 01'!C76+(6*'V06 Calend 01'!E76))),('V06 Calend 01'!H76-('V06 Calend 01'!I76*('V06 Calend 01'!E76-1))),'V06 Calend 01'!I76),0))+IF((30='V06 Calend 01'!D76),'V06 Calend 01'!J76,0))</f>
        <v>137301.27000000002</v>
      </c>
      <c r="AQ76" s="2">
        <f>((IF((31='V06 Calend 01'!C76),('V06 Calend 01'!F76+'V06 Calend 01'!G76),0)+IF(AND(('V06 Calend 01'!E76&gt;0),(31&gt;'V06 Calend 01'!C76),(31&lt;'V06 Calend 01'!D76),(MOD((31-'V06 Calend 01'!C76),6)=0),(((31-'V06 Calend 01'!C76)/6)&lt;='V06 Calend 01'!E76)),IF((31=('V06 Calend 01'!C76+(6*'V06 Calend 01'!E76))),('V06 Calend 01'!H76-('V06 Calend 01'!I76*('V06 Calend 01'!E76-1))),'V06 Calend 01'!I76),0))+IF((31='V06 Calend 01'!D76),'V06 Calend 01'!J76,0))</f>
        <v>0</v>
      </c>
      <c r="AR76" s="2">
        <f>((IF((32='V06 Calend 01'!C76),('V06 Calend 01'!F76+'V06 Calend 01'!G76),0)+IF(AND(('V06 Calend 01'!E76&gt;0),(32&gt;'V06 Calend 01'!C76),(32&lt;'V06 Calend 01'!D76),(MOD((32-'V06 Calend 01'!C76),6)=0),(((32-'V06 Calend 01'!C76)/6)&lt;='V06 Calend 01'!E76)),IF((32=('V06 Calend 01'!C76+(6*'V06 Calend 01'!E76))),('V06 Calend 01'!H76-('V06 Calend 01'!I76*('V06 Calend 01'!E76-1))),'V06 Calend 01'!I76),0))+IF((32='V06 Calend 01'!D76),'V06 Calend 01'!J76,0))</f>
        <v>0</v>
      </c>
      <c r="AS76" s="2">
        <f>((IF((33='V06 Calend 01'!C76),('V06 Calend 01'!F76+'V06 Calend 01'!G76),0)+IF(AND(('V06 Calend 01'!E76&gt;0),(33&gt;'V06 Calend 01'!C76),(33&lt;'V06 Calend 01'!D76),(MOD((33-'V06 Calend 01'!C76),6)=0),(((33-'V06 Calend 01'!C76)/6)&lt;='V06 Calend 01'!E76)),IF((33=('V06 Calend 01'!C76+(6*'V06 Calend 01'!E76))),('V06 Calend 01'!H76-('V06 Calend 01'!I76*('V06 Calend 01'!E76-1))),'V06 Calend 01'!I76),0))+IF((33='V06 Calend 01'!D76),'V06 Calend 01'!J76,0))</f>
        <v>0</v>
      </c>
      <c r="AT76" s="2">
        <f>((IF((34='V06 Calend 01'!C76),('V06 Calend 01'!F76+'V06 Calend 01'!G76),0)+IF(AND(('V06 Calend 01'!E76&gt;0),(34&gt;'V06 Calend 01'!C76),(34&lt;'V06 Calend 01'!D76),(MOD((34-'V06 Calend 01'!C76),6)=0),(((34-'V06 Calend 01'!C76)/6)&lt;='V06 Calend 01'!E76)),IF((34=('V06 Calend 01'!C76+(6*'V06 Calend 01'!E76))),('V06 Calend 01'!H76-('V06 Calend 01'!I76*('V06 Calend 01'!E76-1))),'V06 Calend 01'!I76),0))+IF((34='V06 Calend 01'!D76),'V06 Calend 01'!J76,0))</f>
        <v>0</v>
      </c>
      <c r="AU76" s="2">
        <f>((IF((35='V06 Calend 01'!C76),('V06 Calend 01'!F76+'V06 Calend 01'!G76),0)+IF(AND(('V06 Calend 01'!E76&gt;0),(35&gt;'V06 Calend 01'!C76),(35&lt;'V06 Calend 01'!D76),(MOD((35-'V06 Calend 01'!C76),6)=0),(((35-'V06 Calend 01'!C76)/6)&lt;='V06 Calend 01'!E76)),IF((35=('V06 Calend 01'!C76+(6*'V06 Calend 01'!E76))),('V06 Calend 01'!H76-('V06 Calend 01'!I76*('V06 Calend 01'!E76-1))),'V06 Calend 01'!I76),0))+IF((35='V06 Calend 01'!D76),'V06 Calend 01'!J76,0))</f>
        <v>0</v>
      </c>
      <c r="AV76" s="2">
        <f>((IF((36='V06 Calend 01'!C76),('V06 Calend 01'!F76+'V06 Calend 01'!G76),0)+IF(AND(('V06 Calend 01'!E76&gt;0),(36&gt;'V06 Calend 01'!C76),(36&lt;'V06 Calend 01'!D76),(MOD((36-'V06 Calend 01'!C76),6)=0),(((36-'V06 Calend 01'!C76)/6)&lt;='V06 Calend 01'!E76)),IF((36=('V06 Calend 01'!C76+(6*'V06 Calend 01'!E76))),('V06 Calend 01'!H76-('V06 Calend 01'!I76*('V06 Calend 01'!E76-1))),'V06 Calend 01'!I76),0))+IF((36='V06 Calend 01'!D76),'V06 Calend 01'!J76,0))</f>
        <v>0</v>
      </c>
      <c r="AW76" s="2">
        <f>((IF((37='V06 Calend 01'!C76),('V06 Calend 01'!F76+'V06 Calend 01'!G76),0)+IF(AND(('V06 Calend 01'!E76&gt;0),(37&gt;'V06 Calend 01'!C76),(37&lt;'V06 Calend 01'!D76),(MOD((37-'V06 Calend 01'!C76),6)=0),(((37-'V06 Calend 01'!C76)/6)&lt;='V06 Calend 01'!E76)),IF((37=('V06 Calend 01'!C76+(6*'V06 Calend 01'!E76))),('V06 Calend 01'!H76-('V06 Calend 01'!I76*('V06 Calend 01'!E76-1))),'V06 Calend 01'!I76),0))+IF((37='V06 Calend 01'!D76),'V06 Calend 01'!J76,0))</f>
        <v>0</v>
      </c>
      <c r="AX76" s="2">
        <f>((IF((38='V06 Calend 01'!C76),('V06 Calend 01'!F76+'V06 Calend 01'!G76),0)+IF(AND(('V06 Calend 01'!E76&gt;0),(38&gt;'V06 Calend 01'!C76),(38&lt;'V06 Calend 01'!D76),(MOD((38-'V06 Calend 01'!C76),6)=0),(((38-'V06 Calend 01'!C76)/6)&lt;='V06 Calend 01'!E76)),IF((38=('V06 Calend 01'!C76+(6*'V06 Calend 01'!E76))),('V06 Calend 01'!H76-('V06 Calend 01'!I76*('V06 Calend 01'!E76-1))),'V06 Calend 01'!I76),0))+IF((38='V06 Calend 01'!D76),'V06 Calend 01'!J76,0))</f>
        <v>0</v>
      </c>
      <c r="AY76" s="2">
        <f>((IF((39='V06 Calend 01'!C76),('V06 Calend 01'!F76+'V06 Calend 01'!G76),0)+IF(AND(('V06 Calend 01'!E76&gt;0),(39&gt;'V06 Calend 01'!C76),(39&lt;'V06 Calend 01'!D76),(MOD((39-'V06 Calend 01'!C76),6)=0),(((39-'V06 Calend 01'!C76)/6)&lt;='V06 Calend 01'!E76)),IF((39=('V06 Calend 01'!C76+(6*'V06 Calend 01'!E76))),('V06 Calend 01'!H76-('V06 Calend 01'!I76*('V06 Calend 01'!E76-1))),'V06 Calend 01'!I76),0))+IF((39='V06 Calend 01'!D76),'V06 Calend 01'!J76,0))</f>
        <v>0</v>
      </c>
      <c r="AZ76" s="2">
        <f>((IF((40='V06 Calend 01'!C76),('V06 Calend 01'!F76+'V06 Calend 01'!G76),0)+IF(AND(('V06 Calend 01'!E76&gt;0),(40&gt;'V06 Calend 01'!C76),(40&lt;'V06 Calend 01'!D76),(MOD((40-'V06 Calend 01'!C76),6)=0),(((40-'V06 Calend 01'!C76)/6)&lt;='V06 Calend 01'!E76)),IF((40=('V06 Calend 01'!C76+(6*'V06 Calend 01'!E76))),('V06 Calend 01'!H76-('V06 Calend 01'!I76*('V06 Calend 01'!E76-1))),'V06 Calend 01'!I76),0))+IF((40='V06 Calend 01'!D76),'V06 Calend 01'!J76,0))</f>
        <v>0</v>
      </c>
      <c r="BA76" s="2">
        <f>((IF((41='V06 Calend 01'!C76),('V06 Calend 01'!F76+'V06 Calend 01'!G76),0)+IF(AND(('V06 Calend 01'!E76&gt;0),(41&gt;'V06 Calend 01'!C76),(41&lt;'V06 Calend 01'!D76),(MOD((41-'V06 Calend 01'!C76),6)=0),(((41-'V06 Calend 01'!C76)/6)&lt;='V06 Calend 01'!E76)),IF((41=('V06 Calend 01'!C76+(6*'V06 Calend 01'!E76))),('V06 Calend 01'!H76-('V06 Calend 01'!I76*('V06 Calend 01'!E76-1))),'V06 Calend 01'!I76),0))+IF((41='V06 Calend 01'!D76),'V06 Calend 01'!J76,0))</f>
        <v>0</v>
      </c>
      <c r="BB76" s="2">
        <f>((IF((42='V06 Calend 01'!C76),('V06 Calend 01'!F76+'V06 Calend 01'!G76),0)+IF(AND(('V06 Calend 01'!E76&gt;0),(42&gt;'V06 Calend 01'!C76),(42&lt;'V06 Calend 01'!D76),(MOD((42-'V06 Calend 01'!C76),6)=0),(((42-'V06 Calend 01'!C76)/6)&lt;='V06 Calend 01'!E76)),IF((42=('V06 Calend 01'!C76+(6*'V06 Calend 01'!E76))),('V06 Calend 01'!H76-('V06 Calend 01'!I76*('V06 Calend 01'!E76-1))),'V06 Calend 01'!I76),0))+IF((42='V06 Calend 01'!D76),'V06 Calend 01'!J76,0))</f>
        <v>0</v>
      </c>
      <c r="BC76" s="2">
        <f>((IF((43='V06 Calend 01'!C76),('V06 Calend 01'!F76+'V06 Calend 01'!G76),0)+IF(AND(('V06 Calend 01'!E76&gt;0),(43&gt;'V06 Calend 01'!C76),(43&lt;'V06 Calend 01'!D76),(MOD((43-'V06 Calend 01'!C76),6)=0),(((43-'V06 Calend 01'!C76)/6)&lt;='V06 Calend 01'!E76)),IF((43=('V06 Calend 01'!C76+(6*'V06 Calend 01'!E76))),('V06 Calend 01'!H76-('V06 Calend 01'!I76*('V06 Calend 01'!E76-1))),'V06 Calend 01'!I76),0))+IF((43='V06 Calend 01'!D76),'V06 Calend 01'!J76,0))</f>
        <v>0</v>
      </c>
      <c r="BD76" s="2">
        <f>((IF((44='V06 Calend 01'!C76),('V06 Calend 01'!F76+'V06 Calend 01'!G76),0)+IF(AND(('V06 Calend 01'!E76&gt;0),(44&gt;'V06 Calend 01'!C76),(44&lt;'V06 Calend 01'!D76),(MOD((44-'V06 Calend 01'!C76),6)=0),(((44-'V06 Calend 01'!C76)/6)&lt;='V06 Calend 01'!E76)),IF((44=('V06 Calend 01'!C76+(6*'V06 Calend 01'!E76))),('V06 Calend 01'!H76-('V06 Calend 01'!I76*('V06 Calend 01'!E76-1))),'V06 Calend 01'!I76),0))+IF((44='V06 Calend 01'!D76),'V06 Calend 01'!J76,0))</f>
        <v>0</v>
      </c>
      <c r="BE76" s="2">
        <f>((IF((45='V06 Calend 01'!C76),('V06 Calend 01'!F76+'V06 Calend 01'!G76),0)+IF(AND(('V06 Calend 01'!E76&gt;0),(45&gt;'V06 Calend 01'!C76),(45&lt;'V06 Calend 01'!D76),(MOD((45-'V06 Calend 01'!C76),6)=0),(((45-'V06 Calend 01'!C76)/6)&lt;='V06 Calend 01'!E76)),IF((45=('V06 Calend 01'!C76+(6*'V06 Calend 01'!E76))),('V06 Calend 01'!H76-('V06 Calend 01'!I76*('V06 Calend 01'!E76-1))),'V06 Calend 01'!I76),0))+IF((45='V06 Calend 01'!D76),'V06 Calend 01'!J76,0))</f>
        <v>0</v>
      </c>
      <c r="BF76" s="2">
        <f>((IF((46='V06 Calend 01'!C76),('V06 Calend 01'!F76+'V06 Calend 01'!G76),0)+IF(AND(('V06 Calend 01'!E76&gt;0),(46&gt;'V06 Calend 01'!C76),(46&lt;'V06 Calend 01'!D76),(MOD((46-'V06 Calend 01'!C76),6)=0),(((46-'V06 Calend 01'!C76)/6)&lt;='V06 Calend 01'!E76)),IF((46=('V06 Calend 01'!C76+(6*'V06 Calend 01'!E76))),('V06 Calend 01'!H76-('V06 Calend 01'!I76*('V06 Calend 01'!E76-1))),'V06 Calend 01'!I76),0))+IF((46='V06 Calend 01'!D76),'V06 Calend 01'!J76,0))</f>
        <v>0</v>
      </c>
      <c r="BG76" s="2">
        <f>((IF((47='V06 Calend 01'!C76),('V06 Calend 01'!F76+'V06 Calend 01'!G76),0)+IF(AND(('V06 Calend 01'!E76&gt;0),(47&gt;'V06 Calend 01'!C76),(47&lt;'V06 Calend 01'!D76),(MOD((47-'V06 Calend 01'!C76),6)=0),(((47-'V06 Calend 01'!C76)/6)&lt;='V06 Calend 01'!E76)),IF((47=('V06 Calend 01'!C76+(6*'V06 Calend 01'!E76))),('V06 Calend 01'!H76-('V06 Calend 01'!I76*('V06 Calend 01'!E76-1))),'V06 Calend 01'!I76),0))+IF((47='V06 Calend 01'!D76),'V06 Calend 01'!J76,0))</f>
        <v>0</v>
      </c>
      <c r="BH76" s="2">
        <f>((IF((48='V06 Calend 01'!C76),('V06 Calend 01'!F76+'V06 Calend 01'!G76),0)+IF(AND(('V06 Calend 01'!E76&gt;0),(48&gt;'V06 Calend 01'!C76),(48&lt;'V06 Calend 01'!D76),(MOD((48-'V06 Calend 01'!C76),6)=0),(((48-'V06 Calend 01'!C76)/6)&lt;='V06 Calend 01'!E76)),IF((48=('V06 Calend 01'!C76+(6*'V06 Calend 01'!E76))),('V06 Calend 01'!H76-('V06 Calend 01'!I76*('V06 Calend 01'!E76-1))),'V06 Calend 01'!I76),0))+IF((48='V06 Calend 01'!D76),'V06 Calend 01'!J76,0))</f>
        <v>0</v>
      </c>
      <c r="BI76" s="2">
        <f>((IF((49='V06 Calend 01'!C76),('V06 Calend 01'!F76+'V06 Calend 01'!G76),0)+IF(AND(('V06 Calend 01'!E76&gt;0),(49&gt;'V06 Calend 01'!C76),(49&lt;'V06 Calend 01'!D76),(MOD((49-'V06 Calend 01'!C76),6)=0),(((49-'V06 Calend 01'!C76)/6)&lt;='V06 Calend 01'!E76)),IF((49=('V06 Calend 01'!C76+(6*'V06 Calend 01'!E76))),('V06 Calend 01'!H76-('V06 Calend 01'!I76*('V06 Calend 01'!E76-1))),'V06 Calend 01'!I76),0))+IF((49='V06 Calend 01'!D76),'V06 Calend 01'!J76,0))</f>
        <v>0</v>
      </c>
      <c r="BJ76" s="2">
        <f>((IF((50='V06 Calend 01'!C76),('V06 Calend 01'!F76+'V06 Calend 01'!G76),0)+IF(AND(('V06 Calend 01'!E76&gt;0),(50&gt;'V06 Calend 01'!C76),(50&lt;'V06 Calend 01'!D76),(MOD((50-'V06 Calend 01'!C76),6)=0),(((50-'V06 Calend 01'!C76)/6)&lt;='V06 Calend 01'!E76)),IF((50=('V06 Calend 01'!C76+(6*'V06 Calend 01'!E76))),('V06 Calend 01'!H76-('V06 Calend 01'!I76*('V06 Calend 01'!E76-1))),'V06 Calend 01'!I76),0))+IF((50='V06 Calend 01'!D76),'V06 Calend 01'!J76,0))</f>
        <v>0</v>
      </c>
      <c r="BK76" s="2">
        <f>((IF((51='V06 Calend 01'!C76),('V06 Calend 01'!F76+'V06 Calend 01'!G76),0)+IF(AND(('V06 Calend 01'!E76&gt;0),(51&gt;'V06 Calend 01'!C76),(51&lt;'V06 Calend 01'!D76),(MOD((51-'V06 Calend 01'!C76),6)=0),(((51-'V06 Calend 01'!C76)/6)&lt;='V06 Calend 01'!E76)),IF((51=('V06 Calend 01'!C76+(6*'V06 Calend 01'!E76))),('V06 Calend 01'!H76-('V06 Calend 01'!I76*('V06 Calend 01'!E76-1))),'V06 Calend 01'!I76),0))+IF((51='V06 Calend 01'!D76),'V06 Calend 01'!J76,0))</f>
        <v>0</v>
      </c>
      <c r="BL76" s="2">
        <f>((IF((52='V06 Calend 01'!C76),('V06 Calend 01'!F76+'V06 Calend 01'!G76),0)+IF(AND(('V06 Calend 01'!E76&gt;0),(52&gt;'V06 Calend 01'!C76),(52&lt;'V06 Calend 01'!D76),(MOD((52-'V06 Calend 01'!C76),6)=0),(((52-'V06 Calend 01'!C76)/6)&lt;='V06 Calend 01'!E76)),IF((52=('V06 Calend 01'!C76+(6*'V06 Calend 01'!E76))),('V06 Calend 01'!H76-('V06 Calend 01'!I76*('V06 Calend 01'!E76-1))),'V06 Calend 01'!I76),0))+IF((52='V06 Calend 01'!D76),'V06 Calend 01'!J76,0))</f>
        <v>0</v>
      </c>
      <c r="BM76" s="2">
        <f>((IF((53='V06 Calend 01'!C76),('V06 Calend 01'!F76+'V06 Calend 01'!G76),0)+IF(AND(('V06 Calend 01'!E76&gt;0),(53&gt;'V06 Calend 01'!C76),(53&lt;'V06 Calend 01'!D76),(MOD((53-'V06 Calend 01'!C76),6)=0),(((53-'V06 Calend 01'!C76)/6)&lt;='V06 Calend 01'!E76)),IF((53=('V06 Calend 01'!C76+(6*'V06 Calend 01'!E76))),('V06 Calend 01'!H76-('V06 Calend 01'!I76*('V06 Calend 01'!E76-1))),'V06 Calend 01'!I76),0))+IF((53='V06 Calend 01'!D76),'V06 Calend 01'!J76,0))</f>
        <v>0</v>
      </c>
      <c r="BN76" s="2">
        <f>((IF((54='V06 Calend 01'!C76),('V06 Calend 01'!F76+'V06 Calend 01'!G76),0)+IF(AND(('V06 Calend 01'!E76&gt;0),(54&gt;'V06 Calend 01'!C76),(54&lt;'V06 Calend 01'!D76),(MOD((54-'V06 Calend 01'!C76),6)=0),(((54-'V06 Calend 01'!C76)/6)&lt;='V06 Calend 01'!E76)),IF((54=('V06 Calend 01'!C76+(6*'V06 Calend 01'!E76))),('V06 Calend 01'!H76-('V06 Calend 01'!I76*('V06 Calend 01'!E76-1))),'V06 Calend 01'!I76),0))+IF((54='V06 Calend 01'!D76),'V06 Calend 01'!J76,0))</f>
        <v>0</v>
      </c>
      <c r="BO76" s="2">
        <f>((IF((55='V06 Calend 01'!C76),('V06 Calend 01'!F76+'V06 Calend 01'!G76),0)+IF(AND(('V06 Calend 01'!E76&gt;0),(55&gt;'V06 Calend 01'!C76),(55&lt;'V06 Calend 01'!D76),(MOD((55-'V06 Calend 01'!C76),6)=0),(((55-'V06 Calend 01'!C76)/6)&lt;='V06 Calend 01'!E76)),IF((55=('V06 Calend 01'!C76+(6*'V06 Calend 01'!E76))),('V06 Calend 01'!H76-('V06 Calend 01'!I76*('V06 Calend 01'!E76-1))),'V06 Calend 01'!I76),0))+IF((55='V06 Calend 01'!D76),'V06 Calend 01'!J76,0))</f>
        <v>0</v>
      </c>
      <c r="BP76" s="2">
        <f>((IF((56='V06 Calend 01'!C76),('V06 Calend 01'!F76+'V06 Calend 01'!G76),0)+IF(AND(('V06 Calend 01'!E76&gt;0),(56&gt;'V06 Calend 01'!C76),(56&lt;'V06 Calend 01'!D76),(MOD((56-'V06 Calend 01'!C76),6)=0),(((56-'V06 Calend 01'!C76)/6)&lt;='V06 Calend 01'!E76)),IF((56=('V06 Calend 01'!C76+(6*'V06 Calend 01'!E76))),('V06 Calend 01'!H76-('V06 Calend 01'!I76*('V06 Calend 01'!E76-1))),'V06 Calend 01'!I76),0))+IF((56='V06 Calend 01'!D76),'V06 Calend 01'!J76,0))</f>
        <v>0</v>
      </c>
      <c r="BQ76" s="2">
        <f>((IF((57='V06 Calend 01'!C76),('V06 Calend 01'!F76+'V06 Calend 01'!G76),0)+IF(AND(('V06 Calend 01'!E76&gt;0),(57&gt;'V06 Calend 01'!C76),(57&lt;'V06 Calend 01'!D76),(MOD((57-'V06 Calend 01'!C76),6)=0),(((57-'V06 Calend 01'!C76)/6)&lt;='V06 Calend 01'!E76)),IF((57=('V06 Calend 01'!C76+(6*'V06 Calend 01'!E76))),('V06 Calend 01'!H76-('V06 Calend 01'!I76*('V06 Calend 01'!E76-1))),'V06 Calend 01'!I76),0))+IF((57='V06 Calend 01'!D76),'V06 Calend 01'!J76,0))</f>
        <v>0</v>
      </c>
      <c r="BR76" s="2">
        <f>((IF((58='V06 Calend 01'!C76),('V06 Calend 01'!F76+'V06 Calend 01'!G76),0)+IF(AND(('V06 Calend 01'!E76&gt;0),(58&gt;'V06 Calend 01'!C76),(58&lt;'V06 Calend 01'!D76),(MOD((58-'V06 Calend 01'!C76),6)=0),(((58-'V06 Calend 01'!C76)/6)&lt;='V06 Calend 01'!E76)),IF((58=('V06 Calend 01'!C76+(6*'V06 Calend 01'!E76))),('V06 Calend 01'!H76-('V06 Calend 01'!I76*('V06 Calend 01'!E76-1))),'V06 Calend 01'!I76),0))+IF((58='V06 Calend 01'!D76),'V06 Calend 01'!J76,0))</f>
        <v>0</v>
      </c>
      <c r="BS76" s="2">
        <f>((IF((59='V06 Calend 01'!C76),('V06 Calend 01'!F76+'V06 Calend 01'!G76),0)+IF(AND(('V06 Calend 01'!E76&gt;0),(59&gt;'V06 Calend 01'!C76),(59&lt;'V06 Calend 01'!D76),(MOD((59-'V06 Calend 01'!C76),6)=0),(((59-'V06 Calend 01'!C76)/6)&lt;='V06 Calend 01'!E76)),IF((59=('V06 Calend 01'!C76+(6*'V06 Calend 01'!E76))),('V06 Calend 01'!H76-('V06 Calend 01'!I76*('V06 Calend 01'!E76-1))),'V06 Calend 01'!I76),0))+IF((59='V06 Calend 01'!D76),'V06 Calend 01'!J76,0))</f>
        <v>0</v>
      </c>
      <c r="BT76" s="2">
        <f>((IF((60='V06 Calend 01'!C76),('V06 Calend 01'!F76+'V06 Calend 01'!G76),0)+IF(AND(('V06 Calend 01'!E76&gt;0),(60&gt;'V06 Calend 01'!C76),(60&lt;'V06 Calend 01'!D76),(MOD((60-'V06 Calend 01'!C76),6)=0),(((60-'V06 Calend 01'!C76)/6)&lt;='V06 Calend 01'!E76)),IF((60=('V06 Calend 01'!C76+(6*'V06 Calend 01'!E76))),('V06 Calend 01'!H76-('V06 Calend 01'!I76*('V06 Calend 01'!E76-1))),'V06 Calend 01'!I76),0))+IF((60='V06 Calend 01'!D76),'V06 Calend 01'!J76,0))</f>
        <v>0</v>
      </c>
      <c r="BU76" s="2">
        <f>((IF((61='V06 Calend 01'!C76),('V06 Calend 01'!F76+'V06 Calend 01'!G76),0)+IF(AND(('V06 Calend 01'!E76&gt;0),(61&gt;'V06 Calend 01'!C76),(61&lt;'V06 Calend 01'!D76),(MOD((61-'V06 Calend 01'!C76),6)=0),(((61-'V06 Calend 01'!C76)/6)&lt;='V06 Calend 01'!E76)),IF((61=('V06 Calend 01'!C76+(6*'V06 Calend 01'!E76))),('V06 Calend 01'!H76-('V06 Calend 01'!I76*('V06 Calend 01'!E76-1))),'V06 Calend 01'!I76),0))+IF((61='V06 Calend 01'!D76),'V06 Calend 01'!J76,0))</f>
        <v>0</v>
      </c>
      <c r="BV76" s="2">
        <f>((IF((62='V06 Calend 01'!C76),('V06 Calend 01'!F76+'V06 Calend 01'!G76),0)+IF(AND(('V06 Calend 01'!E76&gt;0),(62&gt;'V06 Calend 01'!C76),(62&lt;'V06 Calend 01'!D76),(MOD((62-'V06 Calend 01'!C76),6)=0),(((62-'V06 Calend 01'!C76)/6)&lt;='V06 Calend 01'!E76)),IF((62=('V06 Calend 01'!C76+(6*'V06 Calend 01'!E76))),('V06 Calend 01'!H76-('V06 Calend 01'!I76*('V06 Calend 01'!E76-1))),'V06 Calend 01'!I76),0))+IF((62='V06 Calend 01'!D76),'V06 Calend 01'!J76,0))</f>
        <v>0</v>
      </c>
      <c r="BW76" s="2">
        <f>((IF((63='V06 Calend 01'!C76),('V06 Calend 01'!F76+'V06 Calend 01'!G76),0)+IF(AND(('V06 Calend 01'!E76&gt;0),(63&gt;'V06 Calend 01'!C76),(63&lt;'V06 Calend 01'!D76),(MOD((63-'V06 Calend 01'!C76),6)=0),(((63-'V06 Calend 01'!C76)/6)&lt;='V06 Calend 01'!E76)),IF((63=('V06 Calend 01'!C76+(6*'V06 Calend 01'!E76))),('V06 Calend 01'!H76-('V06 Calend 01'!I76*('V06 Calend 01'!E76-1))),'V06 Calend 01'!I76),0))+IF((63='V06 Calend 01'!D76),'V06 Calend 01'!J76,0))</f>
        <v>0</v>
      </c>
      <c r="BX76" s="2">
        <f>((IF((64='V06 Calend 01'!C76),('V06 Calend 01'!F76+'V06 Calend 01'!G76),0)+IF(AND(('V06 Calend 01'!E76&gt;0),(64&gt;'V06 Calend 01'!C76),(64&lt;'V06 Calend 01'!D76),(MOD((64-'V06 Calend 01'!C76),6)=0),(((64-'V06 Calend 01'!C76)/6)&lt;='V06 Calend 01'!E76)),IF((64=('V06 Calend 01'!C76+(6*'V06 Calend 01'!E76))),('V06 Calend 01'!H76-('V06 Calend 01'!I76*('V06 Calend 01'!E76-1))),'V06 Calend 01'!I76),0))+IF((64='V06 Calend 01'!D76),'V06 Calend 01'!J76,0))</f>
        <v>0</v>
      </c>
      <c r="BY76" s="2">
        <f>((IF((65='V06 Calend 01'!C76),('V06 Calend 01'!F76+'V06 Calend 01'!G76),0)+IF(AND(('V06 Calend 01'!E76&gt;0),(65&gt;'V06 Calend 01'!C76),(65&lt;'V06 Calend 01'!D76),(MOD((65-'V06 Calend 01'!C76),6)=0),(((65-'V06 Calend 01'!C76)/6)&lt;='V06 Calend 01'!E76)),IF((65=('V06 Calend 01'!C76+(6*'V06 Calend 01'!E76))),('V06 Calend 01'!H76-('V06 Calend 01'!I76*('V06 Calend 01'!E76-1))),'V06 Calend 01'!I76),0))+IF((65='V06 Calend 01'!D76),'V06 Calend 01'!J76,0))</f>
        <v>0</v>
      </c>
      <c r="BZ76" s="2">
        <f>((IF((66='V06 Calend 01'!C76),('V06 Calend 01'!F76+'V06 Calend 01'!G76),0)+IF(AND(('V06 Calend 01'!E76&gt;0),(66&gt;'V06 Calend 01'!C76),(66&lt;'V06 Calend 01'!D76),(MOD((66-'V06 Calend 01'!C76),6)=0),(((66-'V06 Calend 01'!C76)/6)&lt;='V06 Calend 01'!E76)),IF((66=('V06 Calend 01'!C76+(6*'V06 Calend 01'!E76))),('V06 Calend 01'!H76-('V06 Calend 01'!I76*('V06 Calend 01'!E76-1))),'V06 Calend 01'!I76),0))+IF((66='V06 Calend 01'!D76),'V06 Calend 01'!J76,0))</f>
        <v>0</v>
      </c>
      <c r="CA76" s="2">
        <f>((IF((67='V06 Calend 01'!C76),('V06 Calend 01'!F76+'V06 Calend 01'!G76),0)+IF(AND(('V06 Calend 01'!E76&gt;0),(67&gt;'V06 Calend 01'!C76),(67&lt;'V06 Calend 01'!D76),(MOD((67-'V06 Calend 01'!C76),6)=0),(((67-'V06 Calend 01'!C76)/6)&lt;='V06 Calend 01'!E76)),IF((67=('V06 Calend 01'!C76+(6*'V06 Calend 01'!E76))),('V06 Calend 01'!H76-('V06 Calend 01'!I76*('V06 Calend 01'!E76-1))),'V06 Calend 01'!I76),0))+IF((67='V06 Calend 01'!D76),'V06 Calend 01'!J76,0))</f>
        <v>0</v>
      </c>
      <c r="CB76" s="2">
        <f>((IF((68='V06 Calend 01'!C76),('V06 Calend 01'!F76+'V06 Calend 01'!G76),0)+IF(AND(('V06 Calend 01'!E76&gt;0),(68&gt;'V06 Calend 01'!C76),(68&lt;'V06 Calend 01'!D76),(MOD((68-'V06 Calend 01'!C76),6)=0),(((68-'V06 Calend 01'!C76)/6)&lt;='V06 Calend 01'!E76)),IF((68=('V06 Calend 01'!C76+(6*'V06 Calend 01'!E76))),('V06 Calend 01'!H76-('V06 Calend 01'!I76*('V06 Calend 01'!E76-1))),'V06 Calend 01'!I76),0))+IF((68='V06 Calend 01'!D76),'V06 Calend 01'!J76,0))</f>
        <v>0</v>
      </c>
      <c r="CC76" s="2">
        <f>((IF((69='V06 Calend 01'!C76),('V06 Calend 01'!F76+'V06 Calend 01'!G76),0)+IF(AND(('V06 Calend 01'!E76&gt;0),(69&gt;'V06 Calend 01'!C76),(69&lt;'V06 Calend 01'!D76),(MOD((69-'V06 Calend 01'!C76),6)=0),(((69-'V06 Calend 01'!C76)/6)&lt;='V06 Calend 01'!E76)),IF((69=('V06 Calend 01'!C76+(6*'V06 Calend 01'!E76))),('V06 Calend 01'!H76-('V06 Calend 01'!I76*('V06 Calend 01'!E76-1))),'V06 Calend 01'!I76),0))+IF((69='V06 Calend 01'!D76),'V06 Calend 01'!J76,0))</f>
        <v>0</v>
      </c>
      <c r="CD76" s="2">
        <f>((IF((70='V06 Calend 01'!C76),('V06 Calend 01'!F76+'V06 Calend 01'!G76),0)+IF(AND(('V06 Calend 01'!E76&gt;0),(70&gt;'V06 Calend 01'!C76),(70&lt;'V06 Calend 01'!D76),(MOD((70-'V06 Calend 01'!C76),6)=0),(((70-'V06 Calend 01'!C76)/6)&lt;='V06 Calend 01'!E76)),IF((70=('V06 Calend 01'!C76+(6*'V06 Calend 01'!E76))),('V06 Calend 01'!H76-('V06 Calend 01'!I76*('V06 Calend 01'!E76-1))),'V06 Calend 01'!I76),0))+IF((70='V06 Calend 01'!D76),'V06 Calend 01'!J76,0))</f>
        <v>0</v>
      </c>
      <c r="CE76" s="2">
        <f>((IF((71='V06 Calend 01'!C76),('V06 Calend 01'!F76+'V06 Calend 01'!G76),0)+IF(AND(('V06 Calend 01'!E76&gt;0),(71&gt;'V06 Calend 01'!C76),(71&lt;'V06 Calend 01'!D76),(MOD((71-'V06 Calend 01'!C76),6)=0),(((71-'V06 Calend 01'!C76)/6)&lt;='V06 Calend 01'!E76)),IF((71=('V06 Calend 01'!C76+(6*'V06 Calend 01'!E76))),('V06 Calend 01'!H76-('V06 Calend 01'!I76*('V06 Calend 01'!E76-1))),'V06 Calend 01'!I76),0))+IF((71='V06 Calend 01'!D76),'V06 Calend 01'!J76,0))</f>
        <v>0</v>
      </c>
      <c r="CF76" s="2">
        <f>((IF((72='V06 Calend 01'!C76),('V06 Calend 01'!F76+'V06 Calend 01'!G76),0)+IF(AND(('V06 Calend 01'!E76&gt;0),(72&gt;'V06 Calend 01'!C76),(72&lt;'V06 Calend 01'!D76),(MOD((72-'V06 Calend 01'!C76),6)=0),(((72-'V06 Calend 01'!C76)/6)&lt;='V06 Calend 01'!E76)),IF((72=('V06 Calend 01'!C76+(6*'V06 Calend 01'!E76))),('V06 Calend 01'!H76-('V06 Calend 01'!I76*('V06 Calend 01'!E76-1))),'V06 Calend 01'!I76),0))+IF((72='V06 Calend 01'!D76),'V06 Calend 01'!J76,0))</f>
        <v>0</v>
      </c>
      <c r="CG76" s="2">
        <f>((IF((73='V06 Calend 01'!C76),('V06 Calend 01'!F76+'V06 Calend 01'!G76),0)+IF(AND(('V06 Calend 01'!E76&gt;0),(73&gt;'V06 Calend 01'!C76),(73&lt;'V06 Calend 01'!D76),(MOD((73-'V06 Calend 01'!C76),6)=0),(((73-'V06 Calend 01'!C76)/6)&lt;='V06 Calend 01'!E76)),IF((73=('V06 Calend 01'!C76+(6*'V06 Calend 01'!E76))),('V06 Calend 01'!H76-('V06 Calend 01'!I76*('V06 Calend 01'!E76-1))),'V06 Calend 01'!I76),0))+IF((73='V06 Calend 01'!D76),'V06 Calend 01'!J76,0))</f>
        <v>0</v>
      </c>
      <c r="CH76" s="2">
        <f>((IF((74='V06 Calend 01'!C76),('V06 Calend 01'!F76+'V06 Calend 01'!G76),0)+IF(AND(('V06 Calend 01'!E76&gt;0),(74&gt;'V06 Calend 01'!C76),(74&lt;'V06 Calend 01'!D76),(MOD((74-'V06 Calend 01'!C76),6)=0),(((74-'V06 Calend 01'!C76)/6)&lt;='V06 Calend 01'!E76)),IF((74=('V06 Calend 01'!C76+(6*'V06 Calend 01'!E76))),('V06 Calend 01'!H76-('V06 Calend 01'!I76*('V06 Calend 01'!E76-1))),'V06 Calend 01'!I76),0))+IF((74='V06 Calend 01'!D76),'V06 Calend 01'!J76,0))</f>
        <v>0</v>
      </c>
      <c r="CI76" s="2">
        <f>((IF((75='V06 Calend 01'!C76),('V06 Calend 01'!F76+'V06 Calend 01'!G76),0)+IF(AND(('V06 Calend 01'!E76&gt;0),(75&gt;'V06 Calend 01'!C76),(75&lt;'V06 Calend 01'!D76),(MOD((75-'V06 Calend 01'!C76),6)=0),(((75-'V06 Calend 01'!C76)/6)&lt;='V06 Calend 01'!E76)),IF((75=('V06 Calend 01'!C76+(6*'V06 Calend 01'!E76))),('V06 Calend 01'!H76-('V06 Calend 01'!I76*('V06 Calend 01'!E76-1))),'V06 Calend 01'!I76),0))+IF((75='V06 Calend 01'!D76),'V06 Calend 01'!J76,0))</f>
        <v>0</v>
      </c>
      <c r="CJ76" s="2">
        <f>((IF((76='V06 Calend 01'!C76),('V06 Calend 01'!F76+'V06 Calend 01'!G76),0)+IF(AND(('V06 Calend 01'!E76&gt;0),(76&gt;'V06 Calend 01'!C76),(76&lt;'V06 Calend 01'!D76),(MOD((76-'V06 Calend 01'!C76),6)=0),(((76-'V06 Calend 01'!C76)/6)&lt;='V06 Calend 01'!E76)),IF((76=('V06 Calend 01'!C76+(6*'V06 Calend 01'!E76))),('V06 Calend 01'!H76-('V06 Calend 01'!I76*('V06 Calend 01'!E76-1))),'V06 Calend 01'!I76),0))+IF((76='V06 Calend 01'!D76),'V06 Calend 01'!J76,0))</f>
        <v>0</v>
      </c>
      <c r="CK76" s="2">
        <f>((IF((77='V06 Calend 01'!C76),('V06 Calend 01'!F76+'V06 Calend 01'!G76),0)+IF(AND(('V06 Calend 01'!E76&gt;0),(77&gt;'V06 Calend 01'!C76),(77&lt;'V06 Calend 01'!D76),(MOD((77-'V06 Calend 01'!C76),6)=0),(((77-'V06 Calend 01'!C76)/6)&lt;='V06 Calend 01'!E76)),IF((77=('V06 Calend 01'!C76+(6*'V06 Calend 01'!E76))),('V06 Calend 01'!H76-('V06 Calend 01'!I76*('V06 Calend 01'!E76-1))),'V06 Calend 01'!I76),0))+IF((77='V06 Calend 01'!D76),'V06 Calend 01'!J76,0))</f>
        <v>0</v>
      </c>
      <c r="CL76" s="2">
        <f>((IF((78='V06 Calend 01'!C76),('V06 Calend 01'!F76+'V06 Calend 01'!G76),0)+IF(AND(('V06 Calend 01'!E76&gt;0),(78&gt;'V06 Calend 01'!C76),(78&lt;'V06 Calend 01'!D76),(MOD((78-'V06 Calend 01'!C76),6)=0),(((78-'V06 Calend 01'!C76)/6)&lt;='V06 Calend 01'!E76)),IF((78=('V06 Calend 01'!C76+(6*'V06 Calend 01'!E76))),('V06 Calend 01'!H76-('V06 Calend 01'!I76*('V06 Calend 01'!E76-1))),'V06 Calend 01'!I76),0))+IF((78='V06 Calend 01'!D76),'V06 Calend 01'!J76,0))</f>
        <v>0</v>
      </c>
      <c r="CM76" s="2">
        <f>((IF((79='V06 Calend 01'!C76),('V06 Calend 01'!F76+'V06 Calend 01'!G76),0)+IF(AND(('V06 Calend 01'!E76&gt;0),(79&gt;'V06 Calend 01'!C76),(79&lt;'V06 Calend 01'!D76),(MOD((79-'V06 Calend 01'!C76),6)=0),(((79-'V06 Calend 01'!C76)/6)&lt;='V06 Calend 01'!E76)),IF((79=('V06 Calend 01'!C76+(6*'V06 Calend 01'!E76))),('V06 Calend 01'!H76-('V06 Calend 01'!I76*('V06 Calend 01'!E76-1))),'V06 Calend 01'!I76),0))+IF((79='V06 Calend 01'!D76),'V06 Calend 01'!J76,0))</f>
        <v>0</v>
      </c>
      <c r="CN76" s="2">
        <f>((IF((80='V06 Calend 01'!C76),('V06 Calend 01'!F76+'V06 Calend 01'!G76),0)+IF(AND(('V06 Calend 01'!E76&gt;0),(80&gt;'V06 Calend 01'!C76),(80&lt;'V06 Calend 01'!D76),(MOD((80-'V06 Calend 01'!C76),6)=0),(((80-'V06 Calend 01'!C76)/6)&lt;='V06 Calend 01'!E76)),IF((80=('V06 Calend 01'!C76+(6*'V06 Calend 01'!E76))),('V06 Calend 01'!H76-('V06 Calend 01'!I76*('V06 Calend 01'!E76-1))),'V06 Calend 01'!I76),0))+IF((80='V06 Calend 01'!D76),'V06 Calend 01'!J76,0))</f>
        <v>0</v>
      </c>
      <c r="CO76" s="2">
        <f>((IF((81='V06 Calend 01'!C76),('V06 Calend 01'!F76+'V06 Calend 01'!G76),0)+IF(AND(('V06 Calend 01'!E76&gt;0),(81&gt;'V06 Calend 01'!C76),(81&lt;'V06 Calend 01'!D76),(MOD((81-'V06 Calend 01'!C76),6)=0),(((81-'V06 Calend 01'!C76)/6)&lt;='V06 Calend 01'!E76)),IF((81=('V06 Calend 01'!C76+(6*'V06 Calend 01'!E76))),('V06 Calend 01'!H76-('V06 Calend 01'!I76*('V06 Calend 01'!E76-1))),'V06 Calend 01'!I76),0))+IF((81='V06 Calend 01'!D76),'V06 Calend 01'!J76,0))</f>
        <v>0</v>
      </c>
      <c r="CP76" s="2">
        <f>((IF((82='V06 Calend 01'!C76),('V06 Calend 01'!F76+'V06 Calend 01'!G76),0)+IF(AND(('V06 Calend 01'!E76&gt;0),(82&gt;'V06 Calend 01'!C76),(82&lt;'V06 Calend 01'!D76),(MOD((82-'V06 Calend 01'!C76),6)=0),(((82-'V06 Calend 01'!C76)/6)&lt;='V06 Calend 01'!E76)),IF((82=('V06 Calend 01'!C76+(6*'V06 Calend 01'!E76))),('V06 Calend 01'!H76-('V06 Calend 01'!I76*('V06 Calend 01'!E76-1))),'V06 Calend 01'!I76),0))+IF((82='V06 Calend 01'!D76),'V06 Calend 01'!J76,0))</f>
        <v>0</v>
      </c>
      <c r="CQ76" s="2">
        <f>((IF((83='V06 Calend 01'!C76),('V06 Calend 01'!F76+'V06 Calend 01'!G76),0)+IF(AND(('V06 Calend 01'!E76&gt;0),(83&gt;'V06 Calend 01'!C76),(83&lt;'V06 Calend 01'!D76),(MOD((83-'V06 Calend 01'!C76),6)=0),(((83-'V06 Calend 01'!C76)/6)&lt;='V06 Calend 01'!E76)),IF((83=('V06 Calend 01'!C76+(6*'V06 Calend 01'!E76))),('V06 Calend 01'!H76-('V06 Calend 01'!I76*('V06 Calend 01'!E76-1))),'V06 Calend 01'!I76),0))+IF((83='V06 Calend 01'!D76),'V06 Calend 01'!J76,0))</f>
        <v>0</v>
      </c>
      <c r="CR76" s="2">
        <f>((IF((84='V06 Calend 01'!C76),('V06 Calend 01'!F76+'V06 Calend 01'!G76),0)+IF(AND(('V06 Calend 01'!E76&gt;0),(84&gt;'V06 Calend 01'!C76),(84&lt;'V06 Calend 01'!D76),(MOD((84-'V06 Calend 01'!C76),6)=0),(((84-'V06 Calend 01'!C76)/6)&lt;='V06 Calend 01'!E76)),IF((84=('V06 Calend 01'!C76+(6*'V06 Calend 01'!E76))),('V06 Calend 01'!H76-('V06 Calend 01'!I76*('V06 Calend 01'!E76-1))),'V06 Calend 01'!I76),0))+IF((84='V06 Calend 01'!D76),'V06 Calend 01'!J76,0))</f>
        <v>0</v>
      </c>
      <c r="CS76" s="2">
        <f>((IF((85='V06 Calend 01'!C76),('V06 Calend 01'!F76+'V06 Calend 01'!G76),0)+IF(AND(('V06 Calend 01'!E76&gt;0),(85&gt;'V06 Calend 01'!C76),(85&lt;'V06 Calend 01'!D76),(MOD((85-'V06 Calend 01'!C76),6)=0),(((85-'V06 Calend 01'!C76)/6)&lt;='V06 Calend 01'!E76)),IF((85=('V06 Calend 01'!C76+(6*'V06 Calend 01'!E76))),('V06 Calend 01'!H76-('V06 Calend 01'!I76*('V06 Calend 01'!E76-1))),'V06 Calend 01'!I76),0))+IF((85='V06 Calend 01'!D76),'V06 Calend 01'!J76,0))</f>
        <v>0</v>
      </c>
      <c r="CT76" s="2">
        <f>((IF((86='V06 Calend 01'!C76),('V06 Calend 01'!F76+'V06 Calend 01'!G76),0)+IF(AND(('V06 Calend 01'!E76&gt;0),(86&gt;'V06 Calend 01'!C76),(86&lt;'V06 Calend 01'!D76),(MOD((86-'V06 Calend 01'!C76),6)=0),(((86-'V06 Calend 01'!C76)/6)&lt;='V06 Calend 01'!E76)),IF((86=('V06 Calend 01'!C76+(6*'V06 Calend 01'!E76))),('V06 Calend 01'!H76-('V06 Calend 01'!I76*('V06 Calend 01'!E76-1))),'V06 Calend 01'!I76),0))+IF((86='V06 Calend 01'!D76),'V06 Calend 01'!J76,0))</f>
        <v>0</v>
      </c>
      <c r="CU76" s="2">
        <f>((IF((87='V06 Calend 01'!C76),('V06 Calend 01'!F76+'V06 Calend 01'!G76),0)+IF(AND(('V06 Calend 01'!E76&gt;0),(87&gt;'V06 Calend 01'!C76),(87&lt;'V06 Calend 01'!D76),(MOD((87-'V06 Calend 01'!C76),6)=0),(((87-'V06 Calend 01'!C76)/6)&lt;='V06 Calend 01'!E76)),IF((87=('V06 Calend 01'!C76+(6*'V06 Calend 01'!E76))),('V06 Calend 01'!H76-('V06 Calend 01'!I76*('V06 Calend 01'!E76-1))),'V06 Calend 01'!I76),0))+IF((87='V06 Calend 01'!D76),'V06 Calend 01'!J76,0))</f>
        <v>0</v>
      </c>
      <c r="CV76" s="2">
        <f>((IF((88='V06 Calend 01'!C76),('V06 Calend 01'!F76+'V06 Calend 01'!G76),0)+IF(AND(('V06 Calend 01'!E76&gt;0),(88&gt;'V06 Calend 01'!C76),(88&lt;'V06 Calend 01'!D76),(MOD((88-'V06 Calend 01'!C76),6)=0),(((88-'V06 Calend 01'!C76)/6)&lt;='V06 Calend 01'!E76)),IF((88=('V06 Calend 01'!C76+(6*'V06 Calend 01'!E76))),('V06 Calend 01'!H76-('V06 Calend 01'!I76*('V06 Calend 01'!E76-1))),'V06 Calend 01'!I76),0))+IF((88='V06 Calend 01'!D76),'V06 Calend 01'!J76,0))</f>
        <v>0</v>
      </c>
      <c r="CW76" s="2">
        <f>((IF((89='V06 Calend 01'!C76),('V06 Calend 01'!F76+'V06 Calend 01'!G76),0)+IF(AND(('V06 Calend 01'!E76&gt;0),(89&gt;'V06 Calend 01'!C76),(89&lt;'V06 Calend 01'!D76),(MOD((89-'V06 Calend 01'!C76),6)=0),(((89-'V06 Calend 01'!C76)/6)&lt;='V06 Calend 01'!E76)),IF((89=('V06 Calend 01'!C76+(6*'V06 Calend 01'!E76))),('V06 Calend 01'!H76-('V06 Calend 01'!I76*('V06 Calend 01'!E76-1))),'V06 Calend 01'!I76),0))+IF((89='V06 Calend 01'!D76),'V06 Calend 01'!J76,0))</f>
        <v>0</v>
      </c>
      <c r="CX76" s="2">
        <f>((IF((90='V06 Calend 01'!C76),('V06 Calend 01'!F76+'V06 Calend 01'!G76),0)+IF(AND(('V06 Calend 01'!E76&gt;0),(90&gt;'V06 Calend 01'!C76),(90&lt;'V06 Calend 01'!D76),(MOD((90-'V06 Calend 01'!C76),6)=0),(((90-'V06 Calend 01'!C76)/6)&lt;='V06 Calend 01'!E76)),IF((90=('V06 Calend 01'!C76+(6*'V06 Calend 01'!E76))),('V06 Calend 01'!H76-('V06 Calend 01'!I76*('V06 Calend 01'!E76-1))),'V06 Calend 01'!I76),0))+IF((90='V06 Calend 01'!D76),'V06 Calend 01'!J76,0))</f>
        <v>0</v>
      </c>
      <c r="CY76" s="2">
        <f>((IF((91='V06 Calend 01'!C76),('V06 Calend 01'!F76+'V06 Calend 01'!G76),0)+IF(AND(('V06 Calend 01'!E76&gt;0),(91&gt;'V06 Calend 01'!C76),(91&lt;'V06 Calend 01'!D76),(MOD((91-'V06 Calend 01'!C76),6)=0),(((91-'V06 Calend 01'!C76)/6)&lt;='V06 Calend 01'!E76)),IF((91=('V06 Calend 01'!C76+(6*'V06 Calend 01'!E76))),('V06 Calend 01'!H76-('V06 Calend 01'!I76*('V06 Calend 01'!E76-1))),'V06 Calend 01'!I76),0))+IF((91='V06 Calend 01'!D76),'V06 Calend 01'!J76,0))</f>
        <v>0</v>
      </c>
      <c r="CZ76" s="2">
        <f>((IF((92='V06 Calend 01'!C76),('V06 Calend 01'!F76+'V06 Calend 01'!G76),0)+IF(AND(('V06 Calend 01'!E76&gt;0),(92&gt;'V06 Calend 01'!C76),(92&lt;'V06 Calend 01'!D76),(MOD((92-'V06 Calend 01'!C76),6)=0),(((92-'V06 Calend 01'!C76)/6)&lt;='V06 Calend 01'!E76)),IF((92=('V06 Calend 01'!C76+(6*'V06 Calend 01'!E76))),('V06 Calend 01'!H76-('V06 Calend 01'!I76*('V06 Calend 01'!E76-1))),'V06 Calend 01'!I76),0))+IF((92='V06 Calend 01'!D76),'V06 Calend 01'!J76,0))</f>
        <v>0</v>
      </c>
      <c r="DA76" s="2">
        <f>((IF((93='V06 Calend 01'!C76),('V06 Calend 01'!F76+'V06 Calend 01'!G76),0)+IF(AND(('V06 Calend 01'!E76&gt;0),(93&gt;'V06 Calend 01'!C76),(93&lt;'V06 Calend 01'!D76),(MOD((93-'V06 Calend 01'!C76),6)=0),(((93-'V06 Calend 01'!C76)/6)&lt;='V06 Calend 01'!E76)),IF((93=('V06 Calend 01'!C76+(6*'V06 Calend 01'!E76))),('V06 Calend 01'!H76-('V06 Calend 01'!I76*('V06 Calend 01'!E76-1))),'V06 Calend 01'!I76),0))+IF((93='V06 Calend 01'!D76),'V06 Calend 01'!J76,0))</f>
        <v>0</v>
      </c>
      <c r="DB76" s="2">
        <f>((IF((94='V06 Calend 01'!C76),('V06 Calend 01'!F76+'V06 Calend 01'!G76),0)+IF(AND(('V06 Calend 01'!E76&gt;0),(94&gt;'V06 Calend 01'!C76),(94&lt;'V06 Calend 01'!D76),(MOD((94-'V06 Calend 01'!C76),6)=0),(((94-'V06 Calend 01'!C76)/6)&lt;='V06 Calend 01'!E76)),IF((94=('V06 Calend 01'!C76+(6*'V06 Calend 01'!E76))),('V06 Calend 01'!H76-('V06 Calend 01'!I76*('V06 Calend 01'!E76-1))),'V06 Calend 01'!I76),0))+IF((94='V06 Calend 01'!D76),'V06 Calend 01'!J76,0))</f>
        <v>0</v>
      </c>
      <c r="DC76" s="2">
        <f>((IF((95='V06 Calend 01'!C76),('V06 Calend 01'!F76+'V06 Calend 01'!G76),0)+IF(AND(('V06 Calend 01'!E76&gt;0),(95&gt;'V06 Calend 01'!C76),(95&lt;'V06 Calend 01'!D76),(MOD((95-'V06 Calend 01'!C76),6)=0),(((95-'V06 Calend 01'!C76)/6)&lt;='V06 Calend 01'!E76)),IF((95=('V06 Calend 01'!C76+(6*'V06 Calend 01'!E76))),('V06 Calend 01'!H76-('V06 Calend 01'!I76*('V06 Calend 01'!E76-1))),'V06 Calend 01'!I76),0))+IF((95='V06 Calend 01'!D76),'V06 Calend 01'!J76,0))</f>
        <v>0</v>
      </c>
      <c r="DD76" s="2">
        <f>((IF((96='V06 Calend 01'!C76),('V06 Calend 01'!F76+'V06 Calend 01'!G76),0)+IF(AND(('V06 Calend 01'!E76&gt;0),(96&gt;'V06 Calend 01'!C76),(96&lt;'V06 Calend 01'!D76),(MOD((96-'V06 Calend 01'!C76),6)=0),(((96-'V06 Calend 01'!C76)/6)&lt;='V06 Calend 01'!E76)),IF((96=('V06 Calend 01'!C76+(6*'V06 Calend 01'!E76))),('V06 Calend 01'!H76-('V06 Calend 01'!I76*('V06 Calend 01'!E76-1))),'V06 Calend 01'!I76),0))+IF((96='V06 Calend 01'!D76),'V06 Calend 01'!J76,0))</f>
        <v>0</v>
      </c>
      <c r="DE76" s="2">
        <f>((IF((97='V06 Calend 01'!C76),('V06 Calend 01'!F76+'V06 Calend 01'!G76),0)+IF(AND(('V06 Calend 01'!E76&gt;0),(97&gt;'V06 Calend 01'!C76),(97&lt;'V06 Calend 01'!D76),(MOD((97-'V06 Calend 01'!C76),6)=0),(((97-'V06 Calend 01'!C76)/6)&lt;='V06 Calend 01'!E76)),IF((97=('V06 Calend 01'!C76+(6*'V06 Calend 01'!E76))),('V06 Calend 01'!H76-('V06 Calend 01'!I76*('V06 Calend 01'!E76-1))),'V06 Calend 01'!I76),0))+IF((97='V06 Calend 01'!D76),'V06 Calend 01'!J76,0))</f>
        <v>0</v>
      </c>
      <c r="DF76" s="2">
        <f>((IF((98='V06 Calend 01'!C76),('V06 Calend 01'!F76+'V06 Calend 01'!G76),0)+IF(AND(('V06 Calend 01'!E76&gt;0),(98&gt;'V06 Calend 01'!C76),(98&lt;'V06 Calend 01'!D76),(MOD((98-'V06 Calend 01'!C76),6)=0),(((98-'V06 Calend 01'!C76)/6)&lt;='V06 Calend 01'!E76)),IF((98=('V06 Calend 01'!C76+(6*'V06 Calend 01'!E76))),('V06 Calend 01'!H76-('V06 Calend 01'!I76*('V06 Calend 01'!E76-1))),'V06 Calend 01'!I76),0))+IF((98='V06 Calend 01'!D76),'V06 Calend 01'!J76,0))</f>
        <v>0</v>
      </c>
      <c r="DG76" s="2">
        <f>((IF((99='V06 Calend 01'!C76),('V06 Calend 01'!F76+'V06 Calend 01'!G76),0)+IF(AND(('V06 Calend 01'!E76&gt;0),(99&gt;'V06 Calend 01'!C76),(99&lt;'V06 Calend 01'!D76),(MOD((99-'V06 Calend 01'!C76),6)=0),(((99-'V06 Calend 01'!C76)/6)&lt;='V06 Calend 01'!E76)),IF((99=('V06 Calend 01'!C76+(6*'V06 Calend 01'!E76))),('V06 Calend 01'!H76-('V06 Calend 01'!I76*('V06 Calend 01'!E76-1))),'V06 Calend 01'!I76),0))+IF((99='V06 Calend 01'!D76),'V06 Calend 01'!J76,0))</f>
        <v>0</v>
      </c>
      <c r="DH76" s="2">
        <f>((IF((100='V06 Calend 01'!C76),('V06 Calend 01'!F76+'V06 Calend 01'!G76),0)+IF(AND(('V06 Calend 01'!E76&gt;0),(100&gt;'V06 Calend 01'!C76),(100&lt;'V06 Calend 01'!D76),(MOD((100-'V06 Calend 01'!C76),6)=0),(((100-'V06 Calend 01'!C76)/6)&lt;='V06 Calend 01'!E76)),IF((100=('V06 Calend 01'!C76+(6*'V06 Calend 01'!E76))),('V06 Calend 01'!H76-('V06 Calend 01'!I76*('V06 Calend 01'!E76-1))),'V06 Calend 01'!I76),0))+IF((100='V06 Calend 01'!D76),'V06 Calend 01'!J76,0))</f>
        <v>0</v>
      </c>
      <c r="DI76" s="2">
        <f>((IF((101='V06 Calend 01'!C76),('V06 Calend 01'!F76+'V06 Calend 01'!G76),0)+IF(AND(('V06 Calend 01'!E76&gt;0),(101&gt;'V06 Calend 01'!C76),(101&lt;'V06 Calend 01'!D76),(MOD((101-'V06 Calend 01'!C76),6)=0),(((101-'V06 Calend 01'!C76)/6)&lt;='V06 Calend 01'!E76)),IF((101=('V06 Calend 01'!C76+(6*'V06 Calend 01'!E76))),('V06 Calend 01'!H76-('V06 Calend 01'!I76*('V06 Calend 01'!E76-1))),'V06 Calend 01'!I76),0))+IF((101='V06 Calend 01'!D76),'V06 Calend 01'!J76,0))</f>
        <v>0</v>
      </c>
      <c r="DJ76" s="2">
        <f>((IF((102='V06 Calend 01'!C76),('V06 Calend 01'!F76+'V06 Calend 01'!G76),0)+IF(AND(('V06 Calend 01'!E76&gt;0),(102&gt;'V06 Calend 01'!C76),(102&lt;'V06 Calend 01'!D76),(MOD((102-'V06 Calend 01'!C76),6)=0),(((102-'V06 Calend 01'!C76)/6)&lt;='V06 Calend 01'!E76)),IF((102=('V06 Calend 01'!C76+(6*'V06 Calend 01'!E76))),('V06 Calend 01'!H76-('V06 Calend 01'!I76*('V06 Calend 01'!E76-1))),'V06 Calend 01'!I76),0))+IF((102='V06 Calend 01'!D76),'V06 Calend 01'!J76,0))</f>
        <v>0</v>
      </c>
      <c r="DK76" s="2">
        <f>((IF((103='V06 Calend 01'!C76),('V06 Calend 01'!F76+'V06 Calend 01'!G76),0)+IF(AND(('V06 Calend 01'!E76&gt;0),(103&gt;'V06 Calend 01'!C76),(103&lt;'V06 Calend 01'!D76),(MOD((103-'V06 Calend 01'!C76),6)=0),(((103-'V06 Calend 01'!C76)/6)&lt;='V06 Calend 01'!E76)),IF((103=('V06 Calend 01'!C76+(6*'V06 Calend 01'!E76))),('V06 Calend 01'!H76-('V06 Calend 01'!I76*('V06 Calend 01'!E76-1))),'V06 Calend 01'!I76),0))+IF((103='V06 Calend 01'!D76),'V06 Calend 01'!J76,0))</f>
        <v>0</v>
      </c>
      <c r="DL76" s="2">
        <f>((IF((104='V06 Calend 01'!C76),('V06 Calend 01'!F76+'V06 Calend 01'!G76),0)+IF(AND(('V06 Calend 01'!E76&gt;0),(104&gt;'V06 Calend 01'!C76),(104&lt;'V06 Calend 01'!D76),(MOD((104-'V06 Calend 01'!C76),6)=0),(((104-'V06 Calend 01'!C76)/6)&lt;='V06 Calend 01'!E76)),IF((104=('V06 Calend 01'!C76+(6*'V06 Calend 01'!E76))),('V06 Calend 01'!H76-('V06 Calend 01'!I76*('V06 Calend 01'!E76-1))),'V06 Calend 01'!I76),0))+IF((104='V06 Calend 01'!D76),'V06 Calend 01'!J76,0))</f>
        <v>0</v>
      </c>
      <c r="DM76" s="2">
        <f>((IF((105='V06 Calend 01'!C76),('V06 Calend 01'!F76+'V06 Calend 01'!G76),0)+IF(AND(('V06 Calend 01'!E76&gt;0),(105&gt;'V06 Calend 01'!C76),(105&lt;'V06 Calend 01'!D76),(MOD((105-'V06 Calend 01'!C76),6)=0),(((105-'V06 Calend 01'!C76)/6)&lt;='V06 Calend 01'!E76)),IF((105=('V06 Calend 01'!C76+(6*'V06 Calend 01'!E76))),('V06 Calend 01'!H76-('V06 Calend 01'!I76*('V06 Calend 01'!E76-1))),'V06 Calend 01'!I76),0))+IF((105='V06 Calend 01'!D76),'V06 Calend 01'!J76,0))</f>
        <v>0</v>
      </c>
      <c r="DN76" s="2">
        <f>((IF((106='V06 Calend 01'!C76),('V06 Calend 01'!F76+'V06 Calend 01'!G76),0)+IF(AND(('V06 Calend 01'!E76&gt;0),(106&gt;'V06 Calend 01'!C76),(106&lt;'V06 Calend 01'!D76),(MOD((106-'V06 Calend 01'!C76),6)=0),(((106-'V06 Calend 01'!C76)/6)&lt;='V06 Calend 01'!E76)),IF((106=('V06 Calend 01'!C76+(6*'V06 Calend 01'!E76))),('V06 Calend 01'!H76-('V06 Calend 01'!I76*('V06 Calend 01'!E76-1))),'V06 Calend 01'!I76),0))+IF((106='V06 Calend 01'!D76),'V06 Calend 01'!J76,0))</f>
        <v>0</v>
      </c>
      <c r="DO76" s="2">
        <f>((IF((107='V06 Calend 01'!C76),('V06 Calend 01'!F76+'V06 Calend 01'!G76),0)+IF(AND(('V06 Calend 01'!E76&gt;0),(107&gt;'V06 Calend 01'!C76),(107&lt;'V06 Calend 01'!D76),(MOD((107-'V06 Calend 01'!C76),6)=0),(((107-'V06 Calend 01'!C76)/6)&lt;='V06 Calend 01'!E76)),IF((107=('V06 Calend 01'!C76+(6*'V06 Calend 01'!E76))),('V06 Calend 01'!H76-('V06 Calend 01'!I76*('V06 Calend 01'!E76-1))),'V06 Calend 01'!I76),0))+IF((107='V06 Calend 01'!D76),'V06 Calend 01'!J76,0))</f>
        <v>0</v>
      </c>
      <c r="DP76" s="2">
        <f>((IF((108='V06 Calend 01'!C76),('V06 Calend 01'!F76+'V06 Calend 01'!G76),0)+IF(AND(('V06 Calend 01'!E76&gt;0),(108&gt;'V06 Calend 01'!C76),(108&lt;'V06 Calend 01'!D76),(MOD((108-'V06 Calend 01'!C76),6)=0),(((108-'V06 Calend 01'!C76)/6)&lt;='V06 Calend 01'!E76)),IF((108=('V06 Calend 01'!C76+(6*'V06 Calend 01'!E76))),('V06 Calend 01'!H76-('V06 Calend 01'!I76*('V06 Calend 01'!E76-1))),'V06 Calend 01'!I76),0))+IF((108='V06 Calend 01'!D76),'V06 Calend 01'!J76,0))</f>
        <v>0</v>
      </c>
      <c r="DQ76" s="2">
        <f>((IF((109='V06 Calend 01'!C76),('V06 Calend 01'!F76+'V06 Calend 01'!G76),0)+IF(AND(('V06 Calend 01'!E76&gt;0),(109&gt;'V06 Calend 01'!C76),(109&lt;'V06 Calend 01'!D76),(MOD((109-'V06 Calend 01'!C76),6)=0),(((109-'V06 Calend 01'!C76)/6)&lt;='V06 Calend 01'!E76)),IF((109=('V06 Calend 01'!C76+(6*'V06 Calend 01'!E76))),('V06 Calend 01'!H76-('V06 Calend 01'!I76*('V06 Calend 01'!E76-1))),'V06 Calend 01'!I76),0))+IF((109='V06 Calend 01'!D76),'V06 Calend 01'!J76,0))</f>
        <v>0</v>
      </c>
      <c r="DR76" s="2">
        <f>((IF((110='V06 Calend 01'!C76),('V06 Calend 01'!F76+'V06 Calend 01'!G76),0)+IF(AND(('V06 Calend 01'!E76&gt;0),(110&gt;'V06 Calend 01'!C76),(110&lt;'V06 Calend 01'!D76),(MOD((110-'V06 Calend 01'!C76),6)=0),(((110-'V06 Calend 01'!C76)/6)&lt;='V06 Calend 01'!E76)),IF((110=('V06 Calend 01'!C76+(6*'V06 Calend 01'!E76))),('V06 Calend 01'!H76-('V06 Calend 01'!I76*('V06 Calend 01'!E76-1))),'V06 Calend 01'!I76),0))+IF((110='V06 Calend 01'!D76),'V06 Calend 01'!J76,0))</f>
        <v>0</v>
      </c>
      <c r="DS76" s="2">
        <f>((IF((111='V06 Calend 01'!C76),('V06 Calend 01'!F76+'V06 Calend 01'!G76),0)+IF(AND(('V06 Calend 01'!E76&gt;0),(111&gt;'V06 Calend 01'!C76),(111&lt;'V06 Calend 01'!D76),(MOD((111-'V06 Calend 01'!C76),6)=0),(((111-'V06 Calend 01'!C76)/6)&lt;='V06 Calend 01'!E76)),IF((111=('V06 Calend 01'!C76+(6*'V06 Calend 01'!E76))),('V06 Calend 01'!H76-('V06 Calend 01'!I76*('V06 Calend 01'!E76-1))),'V06 Calend 01'!I76),0))+IF((111='V06 Calend 01'!D76),'V06 Calend 01'!J76,0))</f>
        <v>0</v>
      </c>
      <c r="DT76" s="2">
        <f>((IF((112='V06 Calend 01'!C76),('V06 Calend 01'!F76+'V06 Calend 01'!G76),0)+IF(AND(('V06 Calend 01'!E76&gt;0),(112&gt;'V06 Calend 01'!C76),(112&lt;'V06 Calend 01'!D76),(MOD((112-'V06 Calend 01'!C76),6)=0),(((112-'V06 Calend 01'!C76)/6)&lt;='V06 Calend 01'!E76)),IF((112=('V06 Calend 01'!C76+(6*'V06 Calend 01'!E76))),('V06 Calend 01'!H76-('V06 Calend 01'!I76*('V06 Calend 01'!E76-1))),'V06 Calend 01'!I76),0))+IF((112='V06 Calend 01'!D76),'V06 Calend 01'!J76,0))</f>
        <v>0</v>
      </c>
      <c r="DU76" s="2">
        <f>((IF((113='V06 Calend 01'!C76),('V06 Calend 01'!F76+'V06 Calend 01'!G76),0)+IF(AND(('V06 Calend 01'!E76&gt;0),(113&gt;'V06 Calend 01'!C76),(113&lt;'V06 Calend 01'!D76),(MOD((113-'V06 Calend 01'!C76),6)=0),(((113-'V06 Calend 01'!C76)/6)&lt;='V06 Calend 01'!E76)),IF((113=('V06 Calend 01'!C76+(6*'V06 Calend 01'!E76))),('V06 Calend 01'!H76-('V06 Calend 01'!I76*('V06 Calend 01'!E76-1))),'V06 Calend 01'!I76),0))+IF((113='V06 Calend 01'!D76),'V06 Calend 01'!J76,0))</f>
        <v>0</v>
      </c>
      <c r="DV76" s="2">
        <f>((IF((114='V06 Calend 01'!C76),('V06 Calend 01'!F76+'V06 Calend 01'!G76),0)+IF(AND(('V06 Calend 01'!E76&gt;0),(114&gt;'V06 Calend 01'!C76),(114&lt;'V06 Calend 01'!D76),(MOD((114-'V06 Calend 01'!C76),6)=0),(((114-'V06 Calend 01'!C76)/6)&lt;='V06 Calend 01'!E76)),IF((114=('V06 Calend 01'!C76+(6*'V06 Calend 01'!E76))),('V06 Calend 01'!H76-('V06 Calend 01'!I76*('V06 Calend 01'!E76-1))),'V06 Calend 01'!I76),0))+IF((114='V06 Calend 01'!D76),'V06 Calend 01'!J76,0))</f>
        <v>0</v>
      </c>
      <c r="DW76" s="2">
        <f>((IF((115='V06 Calend 01'!C76),('V06 Calend 01'!F76+'V06 Calend 01'!G76),0)+IF(AND(('V06 Calend 01'!E76&gt;0),(115&gt;'V06 Calend 01'!C76),(115&lt;'V06 Calend 01'!D76),(MOD((115-'V06 Calend 01'!C76),6)=0),(((115-'V06 Calend 01'!C76)/6)&lt;='V06 Calend 01'!E76)),IF((115=('V06 Calend 01'!C76+(6*'V06 Calend 01'!E76))),('V06 Calend 01'!H76-('V06 Calend 01'!I76*('V06 Calend 01'!E76-1))),'V06 Calend 01'!I76),0))+IF((115='V06 Calend 01'!D76),'V06 Calend 01'!J76,0))</f>
        <v>0</v>
      </c>
      <c r="DX76" s="2">
        <f>((IF((116='V06 Calend 01'!C76),('V06 Calend 01'!F76+'V06 Calend 01'!G76),0)+IF(AND(('V06 Calend 01'!E76&gt;0),(116&gt;'V06 Calend 01'!C76),(116&lt;'V06 Calend 01'!D76),(MOD((116-'V06 Calend 01'!C76),6)=0),(((116-'V06 Calend 01'!C76)/6)&lt;='V06 Calend 01'!E76)),IF((116=('V06 Calend 01'!C76+(6*'V06 Calend 01'!E76))),('V06 Calend 01'!H76-('V06 Calend 01'!I76*('V06 Calend 01'!E76-1))),'V06 Calend 01'!I76),0))+IF((116='V06 Calend 01'!D76),'V06 Calend 01'!J76,0))</f>
        <v>0</v>
      </c>
      <c r="DY76" s="2">
        <f>((IF((117='V06 Calend 01'!C76),('V06 Calend 01'!F76+'V06 Calend 01'!G76),0)+IF(AND(('V06 Calend 01'!E76&gt;0),(117&gt;'V06 Calend 01'!C76),(117&lt;'V06 Calend 01'!D76),(MOD((117-'V06 Calend 01'!C76),6)=0),(((117-'V06 Calend 01'!C76)/6)&lt;='V06 Calend 01'!E76)),IF((117=('V06 Calend 01'!C76+(6*'V06 Calend 01'!E76))),('V06 Calend 01'!H76-('V06 Calend 01'!I76*('V06 Calend 01'!E76-1))),'V06 Calend 01'!I76),0))+IF((117='V06 Calend 01'!D76),'V06 Calend 01'!J76,0))</f>
        <v>0</v>
      </c>
      <c r="DZ76" s="2">
        <f>((IF((118='V06 Calend 01'!C76),('V06 Calend 01'!F76+'V06 Calend 01'!G76),0)+IF(AND(('V06 Calend 01'!E76&gt;0),(118&gt;'V06 Calend 01'!C76),(118&lt;'V06 Calend 01'!D76),(MOD((118-'V06 Calend 01'!C76),6)=0),(((118-'V06 Calend 01'!C76)/6)&lt;='V06 Calend 01'!E76)),IF((118=('V06 Calend 01'!C76+(6*'V06 Calend 01'!E76))),('V06 Calend 01'!H76-('V06 Calend 01'!I76*('V06 Calend 01'!E76-1))),'V06 Calend 01'!I76),0))+IF((118='V06 Calend 01'!D76),'V06 Calend 01'!J76,0))</f>
        <v>0</v>
      </c>
      <c r="EA76" s="2">
        <f>((IF((119='V06 Calend 01'!C76),('V06 Calend 01'!F76+'V06 Calend 01'!G76),0)+IF(AND(('V06 Calend 01'!E76&gt;0),(119&gt;'V06 Calend 01'!C76),(119&lt;'V06 Calend 01'!D76),(MOD((119-'V06 Calend 01'!C76),6)=0),(((119-'V06 Calend 01'!C76)/6)&lt;='V06 Calend 01'!E76)),IF((119=('V06 Calend 01'!C76+(6*'V06 Calend 01'!E76))),('V06 Calend 01'!H76-('V06 Calend 01'!I76*('V06 Calend 01'!E76-1))),'V06 Calend 01'!I76),0))+IF((119='V06 Calend 01'!D76),'V06 Calend 01'!J76,0))</f>
        <v>0</v>
      </c>
      <c r="EB76" s="2">
        <f>((IF((120='V06 Calend 01'!C76),('V06 Calend 01'!F76+'V06 Calend 01'!G76),0)+IF(AND(('V06 Calend 01'!E76&gt;0),(120&gt;'V06 Calend 01'!C76),(120&lt;'V06 Calend 01'!D76),(MOD((120-'V06 Calend 01'!C76),6)=0),(((120-'V06 Calend 01'!C76)/6)&lt;='V06 Calend 01'!E76)),IF((120=('V06 Calend 01'!C76+(6*'V06 Calend 01'!E76))),('V06 Calend 01'!H76-('V06 Calend 01'!I76*('V06 Calend 01'!E76-1))),'V06 Calend 01'!I76),0))+IF((120='V06 Calend 01'!D76),'V06 Calend 01'!J76,0))</f>
        <v>0</v>
      </c>
      <c r="EC76" s="2">
        <f>((IF((121='V06 Calend 01'!C76),('V06 Calend 01'!F76+'V06 Calend 01'!G76),0)+IF(AND(('V06 Calend 01'!E76&gt;0),(121&gt;'V06 Calend 01'!C76),(121&lt;'V06 Calend 01'!D76),(MOD((121-'V06 Calend 01'!C76),6)=0),(((121-'V06 Calend 01'!C76)/6)&lt;='V06 Calend 01'!E76)),IF((121=('V06 Calend 01'!C76+(6*'V06 Calend 01'!E76))),('V06 Calend 01'!H76-('V06 Calend 01'!I76*('V06 Calend 01'!E76-1))),'V06 Calend 01'!I76),0))+IF((121='V06 Calend 01'!D76),'V06 Calend 01'!J76,0))</f>
        <v>0</v>
      </c>
      <c r="ED76" s="2">
        <f>((IF((122='V06 Calend 01'!C76),('V06 Calend 01'!F76+'V06 Calend 01'!G76),0)+IF(AND(('V06 Calend 01'!E76&gt;0),(122&gt;'V06 Calend 01'!C76),(122&lt;'V06 Calend 01'!D76),(MOD((122-'V06 Calend 01'!C76),6)=0),(((122-'V06 Calend 01'!C76)/6)&lt;='V06 Calend 01'!E76)),IF((122=('V06 Calend 01'!C76+(6*'V06 Calend 01'!E76))),('V06 Calend 01'!H76-('V06 Calend 01'!I76*('V06 Calend 01'!E76-1))),'V06 Calend 01'!I76),0))+IF((122='V06 Calend 01'!D76),'V06 Calend 01'!J76,0))</f>
        <v>0</v>
      </c>
      <c r="EE76" s="2">
        <f>((IF((123='V06 Calend 01'!C76),('V06 Calend 01'!F76+'V06 Calend 01'!G76),0)+IF(AND(('V06 Calend 01'!E76&gt;0),(123&gt;'V06 Calend 01'!C76),(123&lt;'V06 Calend 01'!D76),(MOD((123-'V06 Calend 01'!C76),6)=0),(((123-'V06 Calend 01'!C76)/6)&lt;='V06 Calend 01'!E76)),IF((123=('V06 Calend 01'!C76+(6*'V06 Calend 01'!E76))),('V06 Calend 01'!H76-('V06 Calend 01'!I76*('V06 Calend 01'!E76-1))),'V06 Calend 01'!I76),0))+IF((123='V06 Calend 01'!D76),'V06 Calend 01'!J76,0))</f>
        <v>0</v>
      </c>
      <c r="EF76" s="2">
        <f>((IF((124='V06 Calend 01'!C76),('V06 Calend 01'!F76+'V06 Calend 01'!G76),0)+IF(AND(('V06 Calend 01'!E76&gt;0),(124&gt;'V06 Calend 01'!C76),(124&lt;'V06 Calend 01'!D76),(MOD((124-'V06 Calend 01'!C76),6)=0),(((124-'V06 Calend 01'!C76)/6)&lt;='V06 Calend 01'!E76)),IF((124=('V06 Calend 01'!C76+(6*'V06 Calend 01'!E76))),('V06 Calend 01'!H76-('V06 Calend 01'!I76*('V06 Calend 01'!E76-1))),'V06 Calend 01'!I76),0))+IF((124='V06 Calend 01'!D76),'V06 Calend 01'!J76,0))</f>
        <v>0</v>
      </c>
      <c r="EG76" s="2">
        <f>((IF((125='V06 Calend 01'!C76),('V06 Calend 01'!F76+'V06 Calend 01'!G76),0)+IF(AND(('V06 Calend 01'!E76&gt;0),(125&gt;'V06 Calend 01'!C76),(125&lt;'V06 Calend 01'!D76),(MOD((125-'V06 Calend 01'!C76),6)=0),(((125-'V06 Calend 01'!C76)/6)&lt;='V06 Calend 01'!E76)),IF((125=('V06 Calend 01'!C76+(6*'V06 Calend 01'!E76))),('V06 Calend 01'!H76-('V06 Calend 01'!I76*('V06 Calend 01'!E76-1))),'V06 Calend 01'!I76),0))+IF((125='V06 Calend 01'!D76),'V06 Calend 01'!J76,0))</f>
        <v>0</v>
      </c>
      <c r="EH76" s="2">
        <f>((IF((126='V06 Calend 01'!C76),('V06 Calend 01'!F76+'V06 Calend 01'!G76),0)+IF(AND(('V06 Calend 01'!E76&gt;0),(126&gt;'V06 Calend 01'!C76),(126&lt;'V06 Calend 01'!D76),(MOD((126-'V06 Calend 01'!C76),6)=0),(((126-'V06 Calend 01'!C76)/6)&lt;='V06 Calend 01'!E76)),IF((126=('V06 Calend 01'!C76+(6*'V06 Calend 01'!E76))),('V06 Calend 01'!H76-('V06 Calend 01'!I76*('V06 Calend 01'!E76-1))),'V06 Calend 01'!I76),0))+IF((126='V06 Calend 01'!D76),'V06 Calend 01'!J76,0))</f>
        <v>0</v>
      </c>
      <c r="EI76" s="2">
        <f>((IF((127='V06 Calend 01'!C76),('V06 Calend 01'!F76+'V06 Calend 01'!G76),0)+IF(AND(('V06 Calend 01'!E76&gt;0),(127&gt;'V06 Calend 01'!C76),(127&lt;'V06 Calend 01'!D76),(MOD((127-'V06 Calend 01'!C76),6)=0),(((127-'V06 Calend 01'!C76)/6)&lt;='V06 Calend 01'!E76)),IF((127=('V06 Calend 01'!C76+(6*'V06 Calend 01'!E76))),('V06 Calend 01'!H76-('V06 Calend 01'!I76*('V06 Calend 01'!E76-1))),'V06 Calend 01'!I76),0))+IF((127='V06 Calend 01'!D76),'V06 Calend 01'!J76,0))</f>
        <v>0</v>
      </c>
      <c r="EJ76" s="2">
        <f>((IF((128='V06 Calend 01'!C76),('V06 Calend 01'!F76+'V06 Calend 01'!G76),0)+IF(AND(('V06 Calend 01'!E76&gt;0),(128&gt;'V06 Calend 01'!C76),(128&lt;'V06 Calend 01'!D76),(MOD((128-'V06 Calend 01'!C76),6)=0),(((128-'V06 Calend 01'!C76)/6)&lt;='V06 Calend 01'!E76)),IF((128=('V06 Calend 01'!C76+(6*'V06 Calend 01'!E76))),('V06 Calend 01'!H76-('V06 Calend 01'!I76*('V06 Calend 01'!E76-1))),'V06 Calend 01'!I76),0))+IF((128='V06 Calend 01'!D76),'V06 Calend 01'!J76,0))</f>
        <v>0</v>
      </c>
      <c r="EK76" s="2">
        <f>((IF((129='V06 Calend 01'!C76),('V06 Calend 01'!F76+'V06 Calend 01'!G76),0)+IF(AND(('V06 Calend 01'!E76&gt;0),(129&gt;'V06 Calend 01'!C76),(129&lt;'V06 Calend 01'!D76),(MOD((129-'V06 Calend 01'!C76),6)=0),(((129-'V06 Calend 01'!C76)/6)&lt;='V06 Calend 01'!E76)),IF((129=('V06 Calend 01'!C76+(6*'V06 Calend 01'!E76))),('V06 Calend 01'!H76-('V06 Calend 01'!I76*('V06 Calend 01'!E76-1))),'V06 Calend 01'!I76),0))+IF((129='V06 Calend 01'!D76),'V06 Calend 01'!J76,0))</f>
        <v>0</v>
      </c>
      <c r="EL76" s="2">
        <f>((IF((130='V06 Calend 01'!C76),('V06 Calend 01'!F76+'V06 Calend 01'!G76),0)+IF(AND(('V06 Calend 01'!E76&gt;0),(130&gt;'V06 Calend 01'!C76),(130&lt;'V06 Calend 01'!D76),(MOD((130-'V06 Calend 01'!C76),6)=0),(((130-'V06 Calend 01'!C76)/6)&lt;='V06 Calend 01'!E76)),IF((130=('V06 Calend 01'!C76+(6*'V06 Calend 01'!E76))),('V06 Calend 01'!H76-('V06 Calend 01'!I76*('V06 Calend 01'!E76-1))),'V06 Calend 01'!I76),0))+IF((130='V06 Calend 01'!D76),'V06 Calend 01'!J76,0))</f>
        <v>0</v>
      </c>
      <c r="EM76" s="2">
        <f>((IF((131='V06 Calend 01'!C76),('V06 Calend 01'!F76+'V06 Calend 01'!G76),0)+IF(AND(('V06 Calend 01'!E76&gt;0),(131&gt;'V06 Calend 01'!C76),(131&lt;'V06 Calend 01'!D76),(MOD((131-'V06 Calend 01'!C76),6)=0),(((131-'V06 Calend 01'!C76)/6)&lt;='V06 Calend 01'!E76)),IF((131=('V06 Calend 01'!C76+(6*'V06 Calend 01'!E76))),('V06 Calend 01'!H76-('V06 Calend 01'!I76*('V06 Calend 01'!E76-1))),'V06 Calend 01'!I76),0))+IF((131='V06 Calend 01'!D76),'V06 Calend 01'!J76,0))</f>
        <v>0</v>
      </c>
      <c r="EN76" s="2">
        <f>((IF((132='V06 Calend 01'!C76),('V06 Calend 01'!F76+'V06 Calend 01'!G76),0)+IF(AND(('V06 Calend 01'!E76&gt;0),(132&gt;'V06 Calend 01'!C76),(132&lt;'V06 Calend 01'!D76),(MOD((132-'V06 Calend 01'!C76),6)=0),(((132-'V06 Calend 01'!C76)/6)&lt;='V06 Calend 01'!E76)),IF((132=('V06 Calend 01'!C76+(6*'V06 Calend 01'!E76))),('V06 Calend 01'!H76-('V06 Calend 01'!I76*('V06 Calend 01'!E76-1))),'V06 Calend 01'!I76),0))+IF((132='V06 Calend 01'!D76),'V06 Calend 01'!J76,0))</f>
        <v>0</v>
      </c>
      <c r="EO76" s="2">
        <f>((IF((133='V06 Calend 01'!C76),('V06 Calend 01'!F76+'V06 Calend 01'!G76),0)+IF(AND(('V06 Calend 01'!E76&gt;0),(133&gt;'V06 Calend 01'!C76),(133&lt;'V06 Calend 01'!D76),(MOD((133-'V06 Calend 01'!C76),6)=0),(((133-'V06 Calend 01'!C76)/6)&lt;='V06 Calend 01'!E76)),IF((133=('V06 Calend 01'!C76+(6*'V06 Calend 01'!E76))),('V06 Calend 01'!H76-('V06 Calend 01'!I76*('V06 Calend 01'!E76-1))),'V06 Calend 01'!I76),0))+IF((133='V06 Calend 01'!D76),'V06 Calend 01'!J76,0))</f>
        <v>0</v>
      </c>
      <c r="EP76" s="2">
        <f>((IF((134='V06 Calend 01'!C76),('V06 Calend 01'!F76+'V06 Calend 01'!G76),0)+IF(AND(('V06 Calend 01'!E76&gt;0),(134&gt;'V06 Calend 01'!C76),(134&lt;'V06 Calend 01'!D76),(MOD((134-'V06 Calend 01'!C76),6)=0),(((134-'V06 Calend 01'!C76)/6)&lt;='V06 Calend 01'!E76)),IF((134=('V06 Calend 01'!C76+(6*'V06 Calend 01'!E76))),('V06 Calend 01'!H76-('V06 Calend 01'!I76*('V06 Calend 01'!E76-1))),'V06 Calend 01'!I76),0))+IF((134='V06 Calend 01'!D76),'V06 Calend 01'!J76,0))</f>
        <v>0</v>
      </c>
      <c r="EQ76" s="2">
        <f>((IF((135='V06 Calend 01'!C76),('V06 Calend 01'!F76+'V06 Calend 01'!G76),0)+IF(AND(('V06 Calend 01'!E76&gt;0),(135&gt;'V06 Calend 01'!C76),(135&lt;'V06 Calend 01'!D76),(MOD((135-'V06 Calend 01'!C76),6)=0),(((135-'V06 Calend 01'!C76)/6)&lt;='V06 Calend 01'!E76)),IF((135=('V06 Calend 01'!C76+(6*'V06 Calend 01'!E76))),('V06 Calend 01'!H76-('V06 Calend 01'!I76*('V06 Calend 01'!E76-1))),'V06 Calend 01'!I76),0))+IF((135='V06 Calend 01'!D76),'V06 Calend 01'!J76,0))</f>
        <v>0</v>
      </c>
      <c r="ER76" s="2">
        <f>((IF((136='V06 Calend 01'!C76),('V06 Calend 01'!F76+'V06 Calend 01'!G76),0)+IF(AND(('V06 Calend 01'!E76&gt;0),(136&gt;'V06 Calend 01'!C76),(136&lt;'V06 Calend 01'!D76),(MOD((136-'V06 Calend 01'!C76),6)=0),(((136-'V06 Calend 01'!C76)/6)&lt;='V06 Calend 01'!E76)),IF((136=('V06 Calend 01'!C76+(6*'V06 Calend 01'!E76))),('V06 Calend 01'!H76-('V06 Calend 01'!I76*('V06 Calend 01'!E76-1))),'V06 Calend 01'!I76),0))+IF((136='V06 Calend 01'!D76),'V06 Calend 01'!J76,0))</f>
        <v>0</v>
      </c>
      <c r="ES76" s="2">
        <f>((IF((137='V06 Calend 01'!C76),('V06 Calend 01'!F76+'V06 Calend 01'!G76),0)+IF(AND(('V06 Calend 01'!E76&gt;0),(137&gt;'V06 Calend 01'!C76),(137&lt;'V06 Calend 01'!D76),(MOD((137-'V06 Calend 01'!C76),6)=0),(((137-'V06 Calend 01'!C76)/6)&lt;='V06 Calend 01'!E76)),IF((137=('V06 Calend 01'!C76+(6*'V06 Calend 01'!E76))),('V06 Calend 01'!H76-('V06 Calend 01'!I76*('V06 Calend 01'!E76-1))),'V06 Calend 01'!I76),0))+IF((137='V06 Calend 01'!D76),'V06 Calend 01'!J76,0))</f>
        <v>0</v>
      </c>
      <c r="ET76" s="2">
        <f>((IF((138='V06 Calend 01'!C76),('V06 Calend 01'!F76+'V06 Calend 01'!G76),0)+IF(AND(('V06 Calend 01'!E76&gt;0),(138&gt;'V06 Calend 01'!C76),(138&lt;'V06 Calend 01'!D76),(MOD((138-'V06 Calend 01'!C76),6)=0),(((138-'V06 Calend 01'!C76)/6)&lt;='V06 Calend 01'!E76)),IF((138=('V06 Calend 01'!C76+(6*'V06 Calend 01'!E76))),('V06 Calend 01'!H76-('V06 Calend 01'!I76*('V06 Calend 01'!E76-1))),'V06 Calend 01'!I76),0))+IF((138='V06 Calend 01'!D76),'V06 Calend 01'!J76,0))</f>
        <v>0</v>
      </c>
      <c r="EU76" s="2">
        <f>((IF((139='V06 Calend 01'!C76),('V06 Calend 01'!F76+'V06 Calend 01'!G76),0)+IF(AND(('V06 Calend 01'!E76&gt;0),(139&gt;'V06 Calend 01'!C76),(139&lt;'V06 Calend 01'!D76),(MOD((139-'V06 Calend 01'!C76),6)=0),(((139-'V06 Calend 01'!C76)/6)&lt;='V06 Calend 01'!E76)),IF((139=('V06 Calend 01'!C76+(6*'V06 Calend 01'!E76))),('V06 Calend 01'!H76-('V06 Calend 01'!I76*('V06 Calend 01'!E76-1))),'V06 Calend 01'!I76),0))+IF((139='V06 Calend 01'!D76),'V06 Calend 01'!J76,0))</f>
        <v>0</v>
      </c>
      <c r="EV76" s="2">
        <f>((IF((140='V06 Calend 01'!C76),('V06 Calend 01'!F76+'V06 Calend 01'!G76),0)+IF(AND(('V06 Calend 01'!E76&gt;0),(140&gt;'V06 Calend 01'!C76),(140&lt;'V06 Calend 01'!D76),(MOD((140-'V06 Calend 01'!C76),6)=0),(((140-'V06 Calend 01'!C76)/6)&lt;='V06 Calend 01'!E76)),IF((140=('V06 Calend 01'!C76+(6*'V06 Calend 01'!E76))),('V06 Calend 01'!H76-('V06 Calend 01'!I76*('V06 Calend 01'!E76-1))),'V06 Calend 01'!I76),0))+IF((140='V06 Calend 01'!D76),'V06 Calend 01'!J76,0))</f>
        <v>0</v>
      </c>
      <c r="EW76" s="2">
        <f>((IF((141='V06 Calend 01'!C76),('V06 Calend 01'!F76+'V06 Calend 01'!G76),0)+IF(AND(('V06 Calend 01'!E76&gt;0),(141&gt;'V06 Calend 01'!C76),(141&lt;'V06 Calend 01'!D76),(MOD((141-'V06 Calend 01'!C76),6)=0),(((141-'V06 Calend 01'!C76)/6)&lt;='V06 Calend 01'!E76)),IF((141=('V06 Calend 01'!C76+(6*'V06 Calend 01'!E76))),('V06 Calend 01'!H76-('V06 Calend 01'!I76*('V06 Calend 01'!E76-1))),'V06 Calend 01'!I76),0))+IF((141='V06 Calend 01'!D76),'V06 Calend 01'!J76,0))</f>
        <v>0</v>
      </c>
      <c r="EX76" s="2">
        <f>((IF((142='V06 Calend 01'!C76),('V06 Calend 01'!F76+'V06 Calend 01'!G76),0)+IF(AND(('V06 Calend 01'!E76&gt;0),(142&gt;'V06 Calend 01'!C76),(142&lt;'V06 Calend 01'!D76),(MOD((142-'V06 Calend 01'!C76),6)=0),(((142-'V06 Calend 01'!C76)/6)&lt;='V06 Calend 01'!E76)),IF((142=('V06 Calend 01'!C76+(6*'V06 Calend 01'!E76))),('V06 Calend 01'!H76-('V06 Calend 01'!I76*('V06 Calend 01'!E76-1))),'V06 Calend 01'!I76),0))+IF((142='V06 Calend 01'!D76),'V06 Calend 01'!J76,0))</f>
        <v>0</v>
      </c>
      <c r="EY76" s="2">
        <f>((IF((143='V06 Calend 01'!C76),('V06 Calend 01'!F76+'V06 Calend 01'!G76),0)+IF(AND(('V06 Calend 01'!E76&gt;0),(143&gt;'V06 Calend 01'!C76),(143&lt;'V06 Calend 01'!D76),(MOD((143-'V06 Calend 01'!C76),6)=0),(((143-'V06 Calend 01'!C76)/6)&lt;='V06 Calend 01'!E76)),IF((143=('V06 Calend 01'!C76+(6*'V06 Calend 01'!E76))),('V06 Calend 01'!H76-('V06 Calend 01'!I76*('V06 Calend 01'!E76-1))),'V06 Calend 01'!I76),0))+IF((143='V06 Calend 01'!D76),'V06 Calend 01'!J76,0))</f>
        <v>0</v>
      </c>
      <c r="EZ76" s="2">
        <f>((IF((144='V06 Calend 01'!C76),('V06 Calend 01'!F76+'V06 Calend 01'!G76),0)+IF(AND(('V06 Calend 01'!E76&gt;0),(144&gt;'V06 Calend 01'!C76),(144&lt;'V06 Calend 01'!D76),(MOD((144-'V06 Calend 01'!C76),6)=0),(((144-'V06 Calend 01'!C76)/6)&lt;='V06 Calend 01'!E76)),IF((144=('V06 Calend 01'!C76+(6*'V06 Calend 01'!E76))),('V06 Calend 01'!H76-('V06 Calend 01'!I76*('V06 Calend 01'!E76-1))),'V06 Calend 01'!I76),0))+IF((144='V06 Calend 01'!D76),'V06 Calend 01'!J76,0))</f>
        <v>0</v>
      </c>
      <c r="FA76" s="2">
        <f>((IF((145='V06 Calend 01'!C76),('V06 Calend 01'!F76+'V06 Calend 01'!G76),0)+IF(AND(('V06 Calend 01'!E76&gt;0),(145&gt;'V06 Calend 01'!C76),(145&lt;'V06 Calend 01'!D76),(MOD((145-'V06 Calend 01'!C76),6)=0),(((145-'V06 Calend 01'!C76)/6)&lt;='V06 Calend 01'!E76)),IF((145=('V06 Calend 01'!C76+(6*'V06 Calend 01'!E76))),('V06 Calend 01'!H76-('V06 Calend 01'!I76*('V06 Calend 01'!E76-1))),'V06 Calend 01'!I76),0))+IF((145='V06 Calend 01'!D76),'V06 Calend 01'!J76,0))</f>
        <v>0</v>
      </c>
      <c r="FB76" s="2">
        <f>((IF((146='V06 Calend 01'!C76),('V06 Calend 01'!F76+'V06 Calend 01'!G76),0)+IF(AND(('V06 Calend 01'!E76&gt;0),(146&gt;'V06 Calend 01'!C76),(146&lt;'V06 Calend 01'!D76),(MOD((146-'V06 Calend 01'!C76),6)=0),(((146-'V06 Calend 01'!C76)/6)&lt;='V06 Calend 01'!E76)),IF((146=('V06 Calend 01'!C76+(6*'V06 Calend 01'!E76))),('V06 Calend 01'!H76-('V06 Calend 01'!I76*('V06 Calend 01'!E76-1))),'V06 Calend 01'!I76),0))+IF((146='V06 Calend 01'!D76),'V06 Calend 01'!J76,0))</f>
        <v>0</v>
      </c>
      <c r="FC76" s="2">
        <f>((IF((147='V06 Calend 01'!C76),('V06 Calend 01'!F76+'V06 Calend 01'!G76),0)+IF(AND(('V06 Calend 01'!E76&gt;0),(147&gt;'V06 Calend 01'!C76),(147&lt;'V06 Calend 01'!D76),(MOD((147-'V06 Calend 01'!C76),6)=0),(((147-'V06 Calend 01'!C76)/6)&lt;='V06 Calend 01'!E76)),IF((147=('V06 Calend 01'!C76+(6*'V06 Calend 01'!E76))),('V06 Calend 01'!H76-('V06 Calend 01'!I76*('V06 Calend 01'!E76-1))),'V06 Calend 01'!I76),0))+IF((147='V06 Calend 01'!D76),'V06 Calend 01'!J76,0))</f>
        <v>0</v>
      </c>
      <c r="FD76" s="2">
        <f>((IF((148='V06 Calend 01'!C76),('V06 Calend 01'!F76+'V06 Calend 01'!G76),0)+IF(AND(('V06 Calend 01'!E76&gt;0),(148&gt;'V06 Calend 01'!C76),(148&lt;'V06 Calend 01'!D76),(MOD((148-'V06 Calend 01'!C76),6)=0),(((148-'V06 Calend 01'!C76)/6)&lt;='V06 Calend 01'!E76)),IF((148=('V06 Calend 01'!C76+(6*'V06 Calend 01'!E76))),('V06 Calend 01'!H76-('V06 Calend 01'!I76*('V06 Calend 01'!E76-1))),'V06 Calend 01'!I76),0))+IF((148='V06 Calend 01'!D76),'V06 Calend 01'!J76,0))</f>
        <v>0</v>
      </c>
      <c r="FE76" s="2">
        <f>((IF((149='V06 Calend 01'!C76),('V06 Calend 01'!F76+'V06 Calend 01'!G76),0)+IF(AND(('V06 Calend 01'!E76&gt;0),(149&gt;'V06 Calend 01'!C76),(149&lt;'V06 Calend 01'!D76),(MOD((149-'V06 Calend 01'!C76),6)=0),(((149-'V06 Calend 01'!C76)/6)&lt;='V06 Calend 01'!E76)),IF((149=('V06 Calend 01'!C76+(6*'V06 Calend 01'!E76))),('V06 Calend 01'!H76-('V06 Calend 01'!I76*('V06 Calend 01'!E76-1))),'V06 Calend 01'!I76),0))+IF((149='V06 Calend 01'!D76),'V06 Calend 01'!J76,0))</f>
        <v>0</v>
      </c>
      <c r="FF76" s="2">
        <f>((IF((150='V06 Calend 01'!C76),('V06 Calend 01'!F76+'V06 Calend 01'!G76),0)+IF(AND(('V06 Calend 01'!E76&gt;0),(150&gt;'V06 Calend 01'!C76),(150&lt;'V06 Calend 01'!D76),(MOD((150-'V06 Calend 01'!C76),6)=0),(((150-'V06 Calend 01'!C76)/6)&lt;='V06 Calend 01'!E76)),IF((150=('V06 Calend 01'!C76+(6*'V06 Calend 01'!E76))),('V06 Calend 01'!H76-('V06 Calend 01'!I76*('V06 Calend 01'!E76-1))),'V06 Calend 01'!I76),0))+IF((150='V06 Calend 01'!D76),'V06 Calend 01'!J76,0))</f>
        <v>0</v>
      </c>
      <c r="FG76" s="2">
        <f>((IF((151='V06 Calend 01'!C76),('V06 Calend 01'!F76+'V06 Calend 01'!G76),0)+IF(AND(('V06 Calend 01'!E76&gt;0),(151&gt;'V06 Calend 01'!C76),(151&lt;'V06 Calend 01'!D76),(MOD((151-'V06 Calend 01'!C76),6)=0),(((151-'V06 Calend 01'!C76)/6)&lt;='V06 Calend 01'!E76)),IF((151=('V06 Calend 01'!C76+(6*'V06 Calend 01'!E76))),('V06 Calend 01'!H76-('V06 Calend 01'!I76*('V06 Calend 01'!E76-1))),'V06 Calend 01'!I76),0))+IF((151='V06 Calend 01'!D76),'V06 Calend 01'!J76,0))</f>
        <v>0</v>
      </c>
      <c r="FH76" s="2">
        <f>((IF((152='V06 Calend 01'!C76),('V06 Calend 01'!F76+'V06 Calend 01'!G76),0)+IF(AND(('V06 Calend 01'!E76&gt;0),(152&gt;'V06 Calend 01'!C76),(152&lt;'V06 Calend 01'!D76),(MOD((152-'V06 Calend 01'!C76),6)=0),(((152-'V06 Calend 01'!C76)/6)&lt;='V06 Calend 01'!E76)),IF((152=('V06 Calend 01'!C76+(6*'V06 Calend 01'!E76))),('V06 Calend 01'!H76-('V06 Calend 01'!I76*('V06 Calend 01'!E76-1))),'V06 Calend 01'!I76),0))+IF((152='V06 Calend 01'!D76),'V06 Calend 01'!J76,0))</f>
        <v>0</v>
      </c>
      <c r="FI76" s="2">
        <f>((IF((153='V06 Calend 01'!C76),('V06 Calend 01'!F76+'V06 Calend 01'!G76),0)+IF(AND(('V06 Calend 01'!E76&gt;0),(153&gt;'V06 Calend 01'!C76),(153&lt;'V06 Calend 01'!D76),(MOD((153-'V06 Calend 01'!C76),6)=0),(((153-'V06 Calend 01'!C76)/6)&lt;='V06 Calend 01'!E76)),IF((153=('V06 Calend 01'!C76+(6*'V06 Calend 01'!E76))),('V06 Calend 01'!H76-('V06 Calend 01'!I76*('V06 Calend 01'!E76-1))),'V06 Calend 01'!I76),0))+IF((153='V06 Calend 01'!D76),'V06 Calend 01'!J76,0))</f>
        <v>0</v>
      </c>
      <c r="FJ76" s="2">
        <f>((IF((154='V06 Calend 01'!C76),('V06 Calend 01'!F76+'V06 Calend 01'!G76),0)+IF(AND(('V06 Calend 01'!E76&gt;0),(154&gt;'V06 Calend 01'!C76),(154&lt;'V06 Calend 01'!D76),(MOD((154-'V06 Calend 01'!C76),6)=0),(((154-'V06 Calend 01'!C76)/6)&lt;='V06 Calend 01'!E76)),IF((154=('V06 Calend 01'!C76+(6*'V06 Calend 01'!E76))),('V06 Calend 01'!H76-('V06 Calend 01'!I76*('V06 Calend 01'!E76-1))),'V06 Calend 01'!I76),0))+IF((154='V06 Calend 01'!D76),'V06 Calend 01'!J76,0))</f>
        <v>0</v>
      </c>
      <c r="FK76" s="2">
        <f>((IF((155='V06 Calend 01'!C76),('V06 Calend 01'!F76+'V06 Calend 01'!G76),0)+IF(AND(('V06 Calend 01'!E76&gt;0),(155&gt;'V06 Calend 01'!C76),(155&lt;'V06 Calend 01'!D76),(MOD((155-'V06 Calend 01'!C76),6)=0),(((155-'V06 Calend 01'!C76)/6)&lt;='V06 Calend 01'!E76)),IF((155=('V06 Calend 01'!C76+(6*'V06 Calend 01'!E76))),('V06 Calend 01'!H76-('V06 Calend 01'!I76*('V06 Calend 01'!E76-1))),'V06 Calend 01'!I76),0))+IF((155='V06 Calend 01'!D76),'V06 Calend 01'!J76,0))</f>
        <v>0</v>
      </c>
      <c r="FL76" s="2">
        <f>((IF((156='V06 Calend 01'!C76),('V06 Calend 01'!F76+'V06 Calend 01'!G76),0)+IF(AND(('V06 Calend 01'!E76&gt;0),(156&gt;'V06 Calend 01'!C76),(156&lt;'V06 Calend 01'!D76),(MOD((156-'V06 Calend 01'!C76),6)=0),(((156-'V06 Calend 01'!C76)/6)&lt;='V06 Calend 01'!E76)),IF((156=('V06 Calend 01'!C76+(6*'V06 Calend 01'!E76))),('V06 Calend 01'!H76-('V06 Calend 01'!I76*('V06 Calend 01'!E76-1))),'V06 Calend 01'!I76),0))+IF((156='V06 Calend 01'!D76),'V06 Calend 01'!J76,0))</f>
        <v>0</v>
      </c>
      <c r="FM76" s="2">
        <f>((IF((157='V06 Calend 01'!C76),('V06 Calend 01'!F76+'V06 Calend 01'!G76),0)+IF(AND(('V06 Calend 01'!E76&gt;0),(157&gt;'V06 Calend 01'!C76),(157&lt;'V06 Calend 01'!D76),(MOD((157-'V06 Calend 01'!C76),6)=0),(((157-'V06 Calend 01'!C76)/6)&lt;='V06 Calend 01'!E76)),IF((157=('V06 Calend 01'!C76+(6*'V06 Calend 01'!E76))),('V06 Calend 01'!H76-('V06 Calend 01'!I76*('V06 Calend 01'!E76-1))),'V06 Calend 01'!I76),0))+IF((157='V06 Calend 01'!D76),'V06 Calend 01'!J76,0))</f>
        <v>0</v>
      </c>
      <c r="FN76" s="2">
        <f>((IF((158='V06 Calend 01'!C76),('V06 Calend 01'!F76+'V06 Calend 01'!G76),0)+IF(AND(('V06 Calend 01'!E76&gt;0),(158&gt;'V06 Calend 01'!C76),(158&lt;'V06 Calend 01'!D76),(MOD((158-'V06 Calend 01'!C76),6)=0),(((158-'V06 Calend 01'!C76)/6)&lt;='V06 Calend 01'!E76)),IF((158=('V06 Calend 01'!C76+(6*'V06 Calend 01'!E76))),('V06 Calend 01'!H76-('V06 Calend 01'!I76*('V06 Calend 01'!E76-1))),'V06 Calend 01'!I76),0))+IF((158='V06 Calend 01'!D76),'V06 Calend 01'!J76,0))</f>
        <v>0</v>
      </c>
      <c r="FO76" s="2">
        <f>((IF((159='V06 Calend 01'!C76),('V06 Calend 01'!F76+'V06 Calend 01'!G76),0)+IF(AND(('V06 Calend 01'!E76&gt;0),(159&gt;'V06 Calend 01'!C76),(159&lt;'V06 Calend 01'!D76),(MOD((159-'V06 Calend 01'!C76),6)=0),(((159-'V06 Calend 01'!C76)/6)&lt;='V06 Calend 01'!E76)),IF((159=('V06 Calend 01'!C76+(6*'V06 Calend 01'!E76))),('V06 Calend 01'!H76-('V06 Calend 01'!I76*('V06 Calend 01'!E76-1))),'V06 Calend 01'!I76),0))+IF((159='V06 Calend 01'!D76),'V06 Calend 01'!J76,0))</f>
        <v>0</v>
      </c>
      <c r="FP76" s="2">
        <f>((IF((160='V06 Calend 01'!C76),('V06 Calend 01'!F76+'V06 Calend 01'!G76),0)+IF(AND(('V06 Calend 01'!E76&gt;0),(160&gt;'V06 Calend 01'!C76),(160&lt;'V06 Calend 01'!D76),(MOD((160-'V06 Calend 01'!C76),6)=0),(((160-'V06 Calend 01'!C76)/6)&lt;='V06 Calend 01'!E76)),IF((160=('V06 Calend 01'!C76+(6*'V06 Calend 01'!E76))),('V06 Calend 01'!H76-('V06 Calend 01'!I76*('V06 Calend 01'!E76-1))),'V06 Calend 01'!I76),0))+IF((160='V06 Calend 01'!D76),'V06 Calend 01'!J76,0))</f>
        <v>0</v>
      </c>
      <c r="FQ76" s="2">
        <f>((IF((161='V06 Calend 01'!C76),('V06 Calend 01'!F76+'V06 Calend 01'!G76),0)+IF(AND(('V06 Calend 01'!E76&gt;0),(161&gt;'V06 Calend 01'!C76),(161&lt;'V06 Calend 01'!D76),(MOD((161-'V06 Calend 01'!C76),6)=0),(((161-'V06 Calend 01'!C76)/6)&lt;='V06 Calend 01'!E76)),IF((161=('V06 Calend 01'!C76+(6*'V06 Calend 01'!E76))),('V06 Calend 01'!H76-('V06 Calend 01'!I76*('V06 Calend 01'!E76-1))),'V06 Calend 01'!I76),0))+IF((161='V06 Calend 01'!D76),'V06 Calend 01'!J76,0))</f>
        <v>0</v>
      </c>
      <c r="FR76" s="2">
        <f>((IF((162='V06 Calend 01'!C76),('V06 Calend 01'!F76+'V06 Calend 01'!G76),0)+IF(AND(('V06 Calend 01'!E76&gt;0),(162&gt;'V06 Calend 01'!C76),(162&lt;'V06 Calend 01'!D76),(MOD((162-'V06 Calend 01'!C76),6)=0),(((162-'V06 Calend 01'!C76)/6)&lt;='V06 Calend 01'!E76)),IF((162=('V06 Calend 01'!C76+(6*'V06 Calend 01'!E76))),('V06 Calend 01'!H76-('V06 Calend 01'!I76*('V06 Calend 01'!E76-1))),'V06 Calend 01'!I76),0))+IF((162='V06 Calend 01'!D76),'V06 Calend 01'!J76,0))</f>
        <v>0</v>
      </c>
      <c r="FS76" s="2">
        <f>((IF((163='V06 Calend 01'!C76),('V06 Calend 01'!F76+'V06 Calend 01'!G76),0)+IF(AND(('V06 Calend 01'!E76&gt;0),(163&gt;'V06 Calend 01'!C76),(163&lt;'V06 Calend 01'!D76),(MOD((163-'V06 Calend 01'!C76),6)=0),(((163-'V06 Calend 01'!C76)/6)&lt;='V06 Calend 01'!E76)),IF((163=('V06 Calend 01'!C76+(6*'V06 Calend 01'!E76))),('V06 Calend 01'!H76-('V06 Calend 01'!I76*('V06 Calend 01'!E76-1))),'V06 Calend 01'!I76),0))+IF((163='V06 Calend 01'!D76),'V06 Calend 01'!J76,0))</f>
        <v>0</v>
      </c>
      <c r="FT76" s="2">
        <f>((IF((164='V06 Calend 01'!C76),('V06 Calend 01'!F76+'V06 Calend 01'!G76),0)+IF(AND(('V06 Calend 01'!E76&gt;0),(164&gt;'V06 Calend 01'!C76),(164&lt;'V06 Calend 01'!D76),(MOD((164-'V06 Calend 01'!C76),6)=0),(((164-'V06 Calend 01'!C76)/6)&lt;='V06 Calend 01'!E76)),IF((164=('V06 Calend 01'!C76+(6*'V06 Calend 01'!E76))),('V06 Calend 01'!H76-('V06 Calend 01'!I76*('V06 Calend 01'!E76-1))),'V06 Calend 01'!I76),0))+IF((164='V06 Calend 01'!D76),'V06 Calend 01'!J76,0))</f>
        <v>0</v>
      </c>
      <c r="FU76" s="2">
        <f>((IF((165='V06 Calend 01'!C76),('V06 Calend 01'!F76+'V06 Calend 01'!G76),0)+IF(AND(('V06 Calend 01'!E76&gt;0),(165&gt;'V06 Calend 01'!C76),(165&lt;'V06 Calend 01'!D76),(MOD((165-'V06 Calend 01'!C76),6)=0),(((165-'V06 Calend 01'!C76)/6)&lt;='V06 Calend 01'!E76)),IF((165=('V06 Calend 01'!C76+(6*'V06 Calend 01'!E76))),('V06 Calend 01'!H76-('V06 Calend 01'!I76*('V06 Calend 01'!E76-1))),'V06 Calend 01'!I76),0))+IF((165='V06 Calend 01'!D76),'V06 Calend 01'!J76,0))</f>
        <v>0</v>
      </c>
      <c r="FV76" s="2">
        <f>((IF((166='V06 Calend 01'!C76),('V06 Calend 01'!F76+'V06 Calend 01'!G76),0)+IF(AND(('V06 Calend 01'!E76&gt;0),(166&gt;'V06 Calend 01'!C76),(166&lt;'V06 Calend 01'!D76),(MOD((166-'V06 Calend 01'!C76),6)=0),(((166-'V06 Calend 01'!C76)/6)&lt;='V06 Calend 01'!E76)),IF((166=('V06 Calend 01'!C76+(6*'V06 Calend 01'!E76))),('V06 Calend 01'!H76-('V06 Calend 01'!I76*('V06 Calend 01'!E76-1))),'V06 Calend 01'!I76),0))+IF((166='V06 Calend 01'!D76),'V06 Calend 01'!J76,0))</f>
        <v>0</v>
      </c>
      <c r="FW76" s="2">
        <f>((IF((167='V06 Calend 01'!C76),('V06 Calend 01'!F76+'V06 Calend 01'!G76),0)+IF(AND(('V06 Calend 01'!E76&gt;0),(167&gt;'V06 Calend 01'!C76),(167&lt;'V06 Calend 01'!D76),(MOD((167-'V06 Calend 01'!C76),6)=0),(((167-'V06 Calend 01'!C76)/6)&lt;='V06 Calend 01'!E76)),IF((167=('V06 Calend 01'!C76+(6*'V06 Calend 01'!E76))),('V06 Calend 01'!H76-('V06 Calend 01'!I76*('V06 Calend 01'!E76-1))),'V06 Calend 01'!I76),0))+IF((167='V06 Calend 01'!D76),'V06 Calend 01'!J76,0))</f>
        <v>0</v>
      </c>
      <c r="FX76" s="2">
        <f>((IF((168='V06 Calend 01'!C76),('V06 Calend 01'!F76+'V06 Calend 01'!G76),0)+IF(AND(('V06 Calend 01'!E76&gt;0),(168&gt;'V06 Calend 01'!C76),(168&lt;'V06 Calend 01'!D76),(MOD((168-'V06 Calend 01'!C76),6)=0),(((168-'V06 Calend 01'!C76)/6)&lt;='V06 Calend 01'!E76)),IF((168=('V06 Calend 01'!C76+(6*'V06 Calend 01'!E76))),('V06 Calend 01'!H76-('V06 Calend 01'!I76*('V06 Calend 01'!E76-1))),'V06 Calend 01'!I76),0))+IF((168='V06 Calend 01'!D76),'V06 Calend 01'!J76,0))</f>
        <v>0</v>
      </c>
      <c r="FY76" s="2">
        <f>((IF((169='V06 Calend 01'!C76),('V06 Calend 01'!F76+'V06 Calend 01'!G76),0)+IF(AND(('V06 Calend 01'!E76&gt;0),(169&gt;'V06 Calend 01'!C76),(169&lt;'V06 Calend 01'!D76),(MOD((169-'V06 Calend 01'!C76),6)=0),(((169-'V06 Calend 01'!C76)/6)&lt;='V06 Calend 01'!E76)),IF((169=('V06 Calend 01'!C76+(6*'V06 Calend 01'!E76))),('V06 Calend 01'!H76-('V06 Calend 01'!I76*('V06 Calend 01'!E76-1))),'V06 Calend 01'!I76),0))+IF((169='V06 Calend 01'!D76),'V06 Calend 01'!J76,0))</f>
        <v>0</v>
      </c>
      <c r="FZ76" s="2">
        <f>((IF((170='V06 Calend 01'!C76),('V06 Calend 01'!F76+'V06 Calend 01'!G76),0)+IF(AND(('V06 Calend 01'!E76&gt;0),(170&gt;'V06 Calend 01'!C76),(170&lt;'V06 Calend 01'!D76),(MOD((170-'V06 Calend 01'!C76),6)=0),(((170-'V06 Calend 01'!C76)/6)&lt;='V06 Calend 01'!E76)),IF((170=('V06 Calend 01'!C76+(6*'V06 Calend 01'!E76))),('V06 Calend 01'!H76-('V06 Calend 01'!I76*('V06 Calend 01'!E76-1))),'V06 Calend 01'!I76),0))+IF((170='V06 Calend 01'!D76),'V06 Calend 01'!J76,0))</f>
        <v>0</v>
      </c>
      <c r="GA76" s="2">
        <f>((IF((171='V06 Calend 01'!C76),('V06 Calend 01'!F76+'V06 Calend 01'!G76),0)+IF(AND(('V06 Calend 01'!E76&gt;0),(171&gt;'V06 Calend 01'!C76),(171&lt;'V06 Calend 01'!D76),(MOD((171-'V06 Calend 01'!C76),6)=0),(((171-'V06 Calend 01'!C76)/6)&lt;='V06 Calend 01'!E76)),IF((171=('V06 Calend 01'!C76+(6*'V06 Calend 01'!E76))),('V06 Calend 01'!H76-('V06 Calend 01'!I76*('V06 Calend 01'!E76-1))),'V06 Calend 01'!I76),0))+IF((171='V06 Calend 01'!D76),'V06 Calend 01'!J76,0))</f>
        <v>0</v>
      </c>
      <c r="GB76" s="2">
        <f>((IF((172='V06 Calend 01'!C76),('V06 Calend 01'!F76+'V06 Calend 01'!G76),0)+IF(AND(('V06 Calend 01'!E76&gt;0),(172&gt;'V06 Calend 01'!C76),(172&lt;'V06 Calend 01'!D76),(MOD((172-'V06 Calend 01'!C76),6)=0),(((172-'V06 Calend 01'!C76)/6)&lt;='V06 Calend 01'!E76)),IF((172=('V06 Calend 01'!C76+(6*'V06 Calend 01'!E76))),('V06 Calend 01'!H76-('V06 Calend 01'!I76*('V06 Calend 01'!E76-1))),'V06 Calend 01'!I76),0))+IF((172='V06 Calend 01'!D76),'V06 Calend 01'!J76,0))</f>
        <v>0</v>
      </c>
      <c r="GC76" s="2">
        <f>((IF((173='V06 Calend 01'!C76),('V06 Calend 01'!F76+'V06 Calend 01'!G76),0)+IF(AND(('V06 Calend 01'!E76&gt;0),(173&gt;'V06 Calend 01'!C76),(173&lt;'V06 Calend 01'!D76),(MOD((173-'V06 Calend 01'!C76),6)=0),(((173-'V06 Calend 01'!C76)/6)&lt;='V06 Calend 01'!E76)),IF((173=('V06 Calend 01'!C76+(6*'V06 Calend 01'!E76))),('V06 Calend 01'!H76-('V06 Calend 01'!I76*('V06 Calend 01'!E76-1))),'V06 Calend 01'!I76),0))+IF((173='V06 Calend 01'!D76),'V06 Calend 01'!J76,0))</f>
        <v>0</v>
      </c>
      <c r="GD76" s="2">
        <f>((IF((174='V06 Calend 01'!C76),('V06 Calend 01'!F76+'V06 Calend 01'!G76),0)+IF(AND(('V06 Calend 01'!E76&gt;0),(174&gt;'V06 Calend 01'!C76),(174&lt;'V06 Calend 01'!D76),(MOD((174-'V06 Calend 01'!C76),6)=0),(((174-'V06 Calend 01'!C76)/6)&lt;='V06 Calend 01'!E76)),IF((174=('V06 Calend 01'!C76+(6*'V06 Calend 01'!E76))),('V06 Calend 01'!H76-('V06 Calend 01'!I76*('V06 Calend 01'!E76-1))),'V06 Calend 01'!I76),0))+IF((174='V06 Calend 01'!D76),'V06 Calend 01'!J76,0))</f>
        <v>0</v>
      </c>
      <c r="GE76" s="2">
        <f>((IF((175='V06 Calend 01'!C76),('V06 Calend 01'!F76+'V06 Calend 01'!G76),0)+IF(AND(('V06 Calend 01'!E76&gt;0),(175&gt;'V06 Calend 01'!C76),(175&lt;'V06 Calend 01'!D76),(MOD((175-'V06 Calend 01'!C76),6)=0),(((175-'V06 Calend 01'!C76)/6)&lt;='V06 Calend 01'!E76)),IF((175=('V06 Calend 01'!C76+(6*'V06 Calend 01'!E76))),('V06 Calend 01'!H76-('V06 Calend 01'!I76*('V06 Calend 01'!E76-1))),'V06 Calend 01'!I76),0))+IF((175='V06 Calend 01'!D76),'V06 Calend 01'!J76,0))</f>
        <v>0</v>
      </c>
      <c r="GF76" s="2">
        <f>((IF((176='V06 Calend 01'!C76),('V06 Calend 01'!F76+'V06 Calend 01'!G76),0)+IF(AND(('V06 Calend 01'!E76&gt;0),(176&gt;'V06 Calend 01'!C76),(176&lt;'V06 Calend 01'!D76),(MOD((176-'V06 Calend 01'!C76),6)=0),(((176-'V06 Calend 01'!C76)/6)&lt;='V06 Calend 01'!E76)),IF((176=('V06 Calend 01'!C76+(6*'V06 Calend 01'!E76))),('V06 Calend 01'!H76-('V06 Calend 01'!I76*('V06 Calend 01'!E76-1))),'V06 Calend 01'!I76),0))+IF((176='V06 Calend 01'!D76),'V06 Calend 01'!J76,0))</f>
        <v>0</v>
      </c>
      <c r="GG76" s="2">
        <f>((IF((177='V06 Calend 01'!C76),('V06 Calend 01'!F76+'V06 Calend 01'!G76),0)+IF(AND(('V06 Calend 01'!E76&gt;0),(177&gt;'V06 Calend 01'!C76),(177&lt;'V06 Calend 01'!D76),(MOD((177-'V06 Calend 01'!C76),6)=0),(((177-'V06 Calend 01'!C76)/6)&lt;='V06 Calend 01'!E76)),IF((177=('V06 Calend 01'!C76+(6*'V06 Calend 01'!E76))),('V06 Calend 01'!H76-('V06 Calend 01'!I76*('V06 Calend 01'!E76-1))),'V06 Calend 01'!I76),0))+IF((177='V06 Calend 01'!D76),'V06 Calend 01'!J76,0))</f>
        <v>0</v>
      </c>
      <c r="GH76" s="2">
        <f>((IF((178='V06 Calend 01'!C76),('V06 Calend 01'!F76+'V06 Calend 01'!G76),0)+IF(AND(('V06 Calend 01'!E76&gt;0),(178&gt;'V06 Calend 01'!C76),(178&lt;'V06 Calend 01'!D76),(MOD((178-'V06 Calend 01'!C76),6)=0),(((178-'V06 Calend 01'!C76)/6)&lt;='V06 Calend 01'!E76)),IF((178=('V06 Calend 01'!C76+(6*'V06 Calend 01'!E76))),('V06 Calend 01'!H76-('V06 Calend 01'!I76*('V06 Calend 01'!E76-1))),'V06 Calend 01'!I76),0))+IF((178='V06 Calend 01'!D76),'V06 Calend 01'!J76,0))</f>
        <v>0</v>
      </c>
      <c r="GI76" s="2">
        <f>((IF((179='V06 Calend 01'!C76),('V06 Calend 01'!F76+'V06 Calend 01'!G76),0)+IF(AND(('V06 Calend 01'!E76&gt;0),(179&gt;'V06 Calend 01'!C76),(179&lt;'V06 Calend 01'!D76),(MOD((179-'V06 Calend 01'!C76),6)=0),(((179-'V06 Calend 01'!C76)/6)&lt;='V06 Calend 01'!E76)),IF((179=('V06 Calend 01'!C76+(6*'V06 Calend 01'!E76))),('V06 Calend 01'!H76-('V06 Calend 01'!I76*('V06 Calend 01'!E76-1))),'V06 Calend 01'!I76),0))+IF((179='V06 Calend 01'!D76),'V06 Calend 01'!J76,0))</f>
        <v>0</v>
      </c>
      <c r="GJ76" s="2">
        <f>((IF((180='V06 Calend 01'!C76),('V06 Calend 01'!F76+'V06 Calend 01'!G76),0)+IF(AND(('V06 Calend 01'!E76&gt;0),(180&gt;'V06 Calend 01'!C76),(180&lt;'V06 Calend 01'!D76),(MOD((180-'V06 Calend 01'!C76),6)=0),(((180-'V06 Calend 01'!C76)/6)&lt;='V06 Calend 01'!E76)),IF((180=('V06 Calend 01'!C76+(6*'V06 Calend 01'!E76))),('V06 Calend 01'!H76-('V06 Calend 01'!I76*('V06 Calend 01'!E76-1))),'V06 Calend 01'!I76),0))+IF((180='V06 Calend 01'!D76),'V06 Calend 01'!J76,0))</f>
        <v>0</v>
      </c>
    </row>
    <row r="77" spans="1:192">
      <c r="A77" s="3" t="str">
        <f>'V06 Unidades'!$A$77</f>
        <v>903</v>
      </c>
      <c r="B77" s="2">
        <f>'V06 Unidades'!$H$77</f>
        <v>431518.29</v>
      </c>
      <c r="C77" s="4">
        <f>('V06 Unidades'!$I$77+'V06 Controlos'!$B$37)</f>
        <v>1</v>
      </c>
      <c r="D77" s="4">
        <f>IF(('V06 Controlos'!$B$38&gt;0),MAX(('V06 Unidades'!$L$77+'V06 Controlos'!$B$37),(30+'V06 Controlos'!$B$38)),('V06 Unidades'!$L$77+'V06 Controlos'!$B$37))</f>
        <v>28</v>
      </c>
      <c r="E77" s="4">
        <f>MAX(0,INT(((('V06 Calend 01'!D77-'V06 Calend 01'!C77)-1)/6)))</f>
        <v>4</v>
      </c>
      <c r="F77" s="2">
        <f>ROUND(('V06 Calend 01'!B77*0.05),2)</f>
        <v>21575.91</v>
      </c>
      <c r="G77" s="2">
        <f>ROUND(('V06 Calend 01'!B77*0.2),2)</f>
        <v>86303.66</v>
      </c>
      <c r="H77" s="2">
        <f>ROUND(('V06 Calend 01'!B77*0.55),2)</f>
        <v>237335.06</v>
      </c>
      <c r="I77" s="2">
        <f>ROUND(('V06 Calend 01'!H77/MAX(1,'V06 Calend 01'!E77)),2)</f>
        <v>59333.77</v>
      </c>
      <c r="J77" s="2">
        <f>((('V06 Calend 01'!B77-'V06 Calend 01'!F77)-'V06 Calend 01'!G77)-'V06 Calend 01'!H77)</f>
        <v>86303.65999999997</v>
      </c>
      <c r="K77" s="2">
        <f>('V06 Calend 01'!B77*0.025)</f>
        <v>10787.95725</v>
      </c>
      <c r="L77" t="s">
        <v>378</v>
      </c>
      <c r="M77" s="2">
        <f>((IF((1='V06 Calend 01'!C77),('V06 Calend 01'!F77+'V06 Calend 01'!G77),0)+IF(AND(('V06 Calend 01'!E77&gt;0),(1&gt;'V06 Calend 01'!C77),(1&lt;'V06 Calend 01'!D77),(MOD((1-'V06 Calend 01'!C77),6)=0),(((1-'V06 Calend 01'!C77)/6)&lt;='V06 Calend 01'!E77)),IF((1=('V06 Calend 01'!C77+(6*'V06 Calend 01'!E77))),('V06 Calend 01'!H77-('V06 Calend 01'!I77*('V06 Calend 01'!E77-1))),'V06 Calend 01'!I77),0))+IF((1='V06 Calend 01'!D77),'V06 Calend 01'!J77,0))</f>
        <v>107879.57</v>
      </c>
      <c r="N77" s="2">
        <f>((IF((2='V06 Calend 01'!C77),('V06 Calend 01'!F77+'V06 Calend 01'!G77),0)+IF(AND(('V06 Calend 01'!E77&gt;0),(2&gt;'V06 Calend 01'!C77),(2&lt;'V06 Calend 01'!D77),(MOD((2-'V06 Calend 01'!C77),6)=0),(((2-'V06 Calend 01'!C77)/6)&lt;='V06 Calend 01'!E77)),IF((2=('V06 Calend 01'!C77+(6*'V06 Calend 01'!E77))),('V06 Calend 01'!H77-('V06 Calend 01'!I77*('V06 Calend 01'!E77-1))),'V06 Calend 01'!I77),0))+IF((2='V06 Calend 01'!D77),'V06 Calend 01'!J77,0))</f>
        <v>0</v>
      </c>
      <c r="O77" s="2">
        <f>((IF((3='V06 Calend 01'!C77),('V06 Calend 01'!F77+'V06 Calend 01'!G77),0)+IF(AND(('V06 Calend 01'!E77&gt;0),(3&gt;'V06 Calend 01'!C77),(3&lt;'V06 Calend 01'!D77),(MOD((3-'V06 Calend 01'!C77),6)=0),(((3-'V06 Calend 01'!C77)/6)&lt;='V06 Calend 01'!E77)),IF((3=('V06 Calend 01'!C77+(6*'V06 Calend 01'!E77))),('V06 Calend 01'!H77-('V06 Calend 01'!I77*('V06 Calend 01'!E77-1))),'V06 Calend 01'!I77),0))+IF((3='V06 Calend 01'!D77),'V06 Calend 01'!J77,0))</f>
        <v>0</v>
      </c>
      <c r="P77" s="2">
        <f>((IF((4='V06 Calend 01'!C77),('V06 Calend 01'!F77+'V06 Calend 01'!G77),0)+IF(AND(('V06 Calend 01'!E77&gt;0),(4&gt;'V06 Calend 01'!C77),(4&lt;'V06 Calend 01'!D77),(MOD((4-'V06 Calend 01'!C77),6)=0),(((4-'V06 Calend 01'!C77)/6)&lt;='V06 Calend 01'!E77)),IF((4=('V06 Calend 01'!C77+(6*'V06 Calend 01'!E77))),('V06 Calend 01'!H77-('V06 Calend 01'!I77*('V06 Calend 01'!E77-1))),'V06 Calend 01'!I77),0))+IF((4='V06 Calend 01'!D77),'V06 Calend 01'!J77,0))</f>
        <v>0</v>
      </c>
      <c r="Q77" s="2">
        <f>((IF((5='V06 Calend 01'!C77),('V06 Calend 01'!F77+'V06 Calend 01'!G77),0)+IF(AND(('V06 Calend 01'!E77&gt;0),(5&gt;'V06 Calend 01'!C77),(5&lt;'V06 Calend 01'!D77),(MOD((5-'V06 Calend 01'!C77),6)=0),(((5-'V06 Calend 01'!C77)/6)&lt;='V06 Calend 01'!E77)),IF((5=('V06 Calend 01'!C77+(6*'V06 Calend 01'!E77))),('V06 Calend 01'!H77-('V06 Calend 01'!I77*('V06 Calend 01'!E77-1))),'V06 Calend 01'!I77),0))+IF((5='V06 Calend 01'!D77),'V06 Calend 01'!J77,0))</f>
        <v>0</v>
      </c>
      <c r="R77" s="2">
        <f>((IF((6='V06 Calend 01'!C77),('V06 Calend 01'!F77+'V06 Calend 01'!G77),0)+IF(AND(('V06 Calend 01'!E77&gt;0),(6&gt;'V06 Calend 01'!C77),(6&lt;'V06 Calend 01'!D77),(MOD((6-'V06 Calend 01'!C77),6)=0),(((6-'V06 Calend 01'!C77)/6)&lt;='V06 Calend 01'!E77)),IF((6=('V06 Calend 01'!C77+(6*'V06 Calend 01'!E77))),('V06 Calend 01'!H77-('V06 Calend 01'!I77*('V06 Calend 01'!E77-1))),'V06 Calend 01'!I77),0))+IF((6='V06 Calend 01'!D77),'V06 Calend 01'!J77,0))</f>
        <v>0</v>
      </c>
      <c r="S77" s="2">
        <f>((IF((7='V06 Calend 01'!C77),('V06 Calend 01'!F77+'V06 Calend 01'!G77),0)+IF(AND(('V06 Calend 01'!E77&gt;0),(7&gt;'V06 Calend 01'!C77),(7&lt;'V06 Calend 01'!D77),(MOD((7-'V06 Calend 01'!C77),6)=0),(((7-'V06 Calend 01'!C77)/6)&lt;='V06 Calend 01'!E77)),IF((7=('V06 Calend 01'!C77+(6*'V06 Calend 01'!E77))),('V06 Calend 01'!H77-('V06 Calend 01'!I77*('V06 Calend 01'!E77-1))),'V06 Calend 01'!I77),0))+IF((7='V06 Calend 01'!D77),'V06 Calend 01'!J77,0))</f>
        <v>59333.77</v>
      </c>
      <c r="T77" s="2">
        <f>((IF((8='V06 Calend 01'!C77),('V06 Calend 01'!F77+'V06 Calend 01'!G77),0)+IF(AND(('V06 Calend 01'!E77&gt;0),(8&gt;'V06 Calend 01'!C77),(8&lt;'V06 Calend 01'!D77),(MOD((8-'V06 Calend 01'!C77),6)=0),(((8-'V06 Calend 01'!C77)/6)&lt;='V06 Calend 01'!E77)),IF((8=('V06 Calend 01'!C77+(6*'V06 Calend 01'!E77))),('V06 Calend 01'!H77-('V06 Calend 01'!I77*('V06 Calend 01'!E77-1))),'V06 Calend 01'!I77),0))+IF((8='V06 Calend 01'!D77),'V06 Calend 01'!J77,0))</f>
        <v>0</v>
      </c>
      <c r="U77" s="2">
        <f>((IF((9='V06 Calend 01'!C77),('V06 Calend 01'!F77+'V06 Calend 01'!G77),0)+IF(AND(('V06 Calend 01'!E77&gt;0),(9&gt;'V06 Calend 01'!C77),(9&lt;'V06 Calend 01'!D77),(MOD((9-'V06 Calend 01'!C77),6)=0),(((9-'V06 Calend 01'!C77)/6)&lt;='V06 Calend 01'!E77)),IF((9=('V06 Calend 01'!C77+(6*'V06 Calend 01'!E77))),('V06 Calend 01'!H77-('V06 Calend 01'!I77*('V06 Calend 01'!E77-1))),'V06 Calend 01'!I77),0))+IF((9='V06 Calend 01'!D77),'V06 Calend 01'!J77,0))</f>
        <v>0</v>
      </c>
      <c r="V77" s="2">
        <f>((IF((10='V06 Calend 01'!C77),('V06 Calend 01'!F77+'V06 Calend 01'!G77),0)+IF(AND(('V06 Calend 01'!E77&gt;0),(10&gt;'V06 Calend 01'!C77),(10&lt;'V06 Calend 01'!D77),(MOD((10-'V06 Calend 01'!C77),6)=0),(((10-'V06 Calend 01'!C77)/6)&lt;='V06 Calend 01'!E77)),IF((10=('V06 Calend 01'!C77+(6*'V06 Calend 01'!E77))),('V06 Calend 01'!H77-('V06 Calend 01'!I77*('V06 Calend 01'!E77-1))),'V06 Calend 01'!I77),0))+IF((10='V06 Calend 01'!D77),'V06 Calend 01'!J77,0))</f>
        <v>0</v>
      </c>
      <c r="W77" s="2">
        <f>((IF((11='V06 Calend 01'!C77),('V06 Calend 01'!F77+'V06 Calend 01'!G77),0)+IF(AND(('V06 Calend 01'!E77&gt;0),(11&gt;'V06 Calend 01'!C77),(11&lt;'V06 Calend 01'!D77),(MOD((11-'V06 Calend 01'!C77),6)=0),(((11-'V06 Calend 01'!C77)/6)&lt;='V06 Calend 01'!E77)),IF((11=('V06 Calend 01'!C77+(6*'V06 Calend 01'!E77))),('V06 Calend 01'!H77-('V06 Calend 01'!I77*('V06 Calend 01'!E77-1))),'V06 Calend 01'!I77),0))+IF((11='V06 Calend 01'!D77),'V06 Calend 01'!J77,0))</f>
        <v>0</v>
      </c>
      <c r="X77" s="2">
        <f>((IF((12='V06 Calend 01'!C77),('V06 Calend 01'!F77+'V06 Calend 01'!G77),0)+IF(AND(('V06 Calend 01'!E77&gt;0),(12&gt;'V06 Calend 01'!C77),(12&lt;'V06 Calend 01'!D77),(MOD((12-'V06 Calend 01'!C77),6)=0),(((12-'V06 Calend 01'!C77)/6)&lt;='V06 Calend 01'!E77)),IF((12=('V06 Calend 01'!C77+(6*'V06 Calend 01'!E77))),('V06 Calend 01'!H77-('V06 Calend 01'!I77*('V06 Calend 01'!E77-1))),'V06 Calend 01'!I77),0))+IF((12='V06 Calend 01'!D77),'V06 Calend 01'!J77,0))</f>
        <v>0</v>
      </c>
      <c r="Y77" s="2">
        <f>((IF((13='V06 Calend 01'!C77),('V06 Calend 01'!F77+'V06 Calend 01'!G77),0)+IF(AND(('V06 Calend 01'!E77&gt;0),(13&gt;'V06 Calend 01'!C77),(13&lt;'V06 Calend 01'!D77),(MOD((13-'V06 Calend 01'!C77),6)=0),(((13-'V06 Calend 01'!C77)/6)&lt;='V06 Calend 01'!E77)),IF((13=('V06 Calend 01'!C77+(6*'V06 Calend 01'!E77))),('V06 Calend 01'!H77-('V06 Calend 01'!I77*('V06 Calend 01'!E77-1))),'V06 Calend 01'!I77),0))+IF((13='V06 Calend 01'!D77),'V06 Calend 01'!J77,0))</f>
        <v>59333.77</v>
      </c>
      <c r="Z77" s="2">
        <f>((IF((14='V06 Calend 01'!C77),('V06 Calend 01'!F77+'V06 Calend 01'!G77),0)+IF(AND(('V06 Calend 01'!E77&gt;0),(14&gt;'V06 Calend 01'!C77),(14&lt;'V06 Calend 01'!D77),(MOD((14-'V06 Calend 01'!C77),6)=0),(((14-'V06 Calend 01'!C77)/6)&lt;='V06 Calend 01'!E77)),IF((14=('V06 Calend 01'!C77+(6*'V06 Calend 01'!E77))),('V06 Calend 01'!H77-('V06 Calend 01'!I77*('V06 Calend 01'!E77-1))),'V06 Calend 01'!I77),0))+IF((14='V06 Calend 01'!D77),'V06 Calend 01'!J77,0))</f>
        <v>0</v>
      </c>
      <c r="AA77" s="2">
        <f>((IF((15='V06 Calend 01'!C77),('V06 Calend 01'!F77+'V06 Calend 01'!G77),0)+IF(AND(('V06 Calend 01'!E77&gt;0),(15&gt;'V06 Calend 01'!C77),(15&lt;'V06 Calend 01'!D77),(MOD((15-'V06 Calend 01'!C77),6)=0),(((15-'V06 Calend 01'!C77)/6)&lt;='V06 Calend 01'!E77)),IF((15=('V06 Calend 01'!C77+(6*'V06 Calend 01'!E77))),('V06 Calend 01'!H77-('V06 Calend 01'!I77*('V06 Calend 01'!E77-1))),'V06 Calend 01'!I77),0))+IF((15='V06 Calend 01'!D77),'V06 Calend 01'!J77,0))</f>
        <v>0</v>
      </c>
      <c r="AB77" s="2">
        <f>((IF((16='V06 Calend 01'!C77),('V06 Calend 01'!F77+'V06 Calend 01'!G77),0)+IF(AND(('V06 Calend 01'!E77&gt;0),(16&gt;'V06 Calend 01'!C77),(16&lt;'V06 Calend 01'!D77),(MOD((16-'V06 Calend 01'!C77),6)=0),(((16-'V06 Calend 01'!C77)/6)&lt;='V06 Calend 01'!E77)),IF((16=('V06 Calend 01'!C77+(6*'V06 Calend 01'!E77))),('V06 Calend 01'!H77-('V06 Calend 01'!I77*('V06 Calend 01'!E77-1))),'V06 Calend 01'!I77),0))+IF((16='V06 Calend 01'!D77),'V06 Calend 01'!J77,0))</f>
        <v>0</v>
      </c>
      <c r="AC77" s="2">
        <f>((IF((17='V06 Calend 01'!C77),('V06 Calend 01'!F77+'V06 Calend 01'!G77),0)+IF(AND(('V06 Calend 01'!E77&gt;0),(17&gt;'V06 Calend 01'!C77),(17&lt;'V06 Calend 01'!D77),(MOD((17-'V06 Calend 01'!C77),6)=0),(((17-'V06 Calend 01'!C77)/6)&lt;='V06 Calend 01'!E77)),IF((17=('V06 Calend 01'!C77+(6*'V06 Calend 01'!E77))),('V06 Calend 01'!H77-('V06 Calend 01'!I77*('V06 Calend 01'!E77-1))),'V06 Calend 01'!I77),0))+IF((17='V06 Calend 01'!D77),'V06 Calend 01'!J77,0))</f>
        <v>0</v>
      </c>
      <c r="AD77" s="2">
        <f>((IF((18='V06 Calend 01'!C77),('V06 Calend 01'!F77+'V06 Calend 01'!G77),0)+IF(AND(('V06 Calend 01'!E77&gt;0),(18&gt;'V06 Calend 01'!C77),(18&lt;'V06 Calend 01'!D77),(MOD((18-'V06 Calend 01'!C77),6)=0),(((18-'V06 Calend 01'!C77)/6)&lt;='V06 Calend 01'!E77)),IF((18=('V06 Calend 01'!C77+(6*'V06 Calend 01'!E77))),('V06 Calend 01'!H77-('V06 Calend 01'!I77*('V06 Calend 01'!E77-1))),'V06 Calend 01'!I77),0))+IF((18='V06 Calend 01'!D77),'V06 Calend 01'!J77,0))</f>
        <v>0</v>
      </c>
      <c r="AE77" s="2">
        <f>((IF((19='V06 Calend 01'!C77),('V06 Calend 01'!F77+'V06 Calend 01'!G77),0)+IF(AND(('V06 Calend 01'!E77&gt;0),(19&gt;'V06 Calend 01'!C77),(19&lt;'V06 Calend 01'!D77),(MOD((19-'V06 Calend 01'!C77),6)=0),(((19-'V06 Calend 01'!C77)/6)&lt;='V06 Calend 01'!E77)),IF((19=('V06 Calend 01'!C77+(6*'V06 Calend 01'!E77))),('V06 Calend 01'!H77-('V06 Calend 01'!I77*('V06 Calend 01'!E77-1))),'V06 Calend 01'!I77),0))+IF((19='V06 Calend 01'!D77),'V06 Calend 01'!J77,0))</f>
        <v>59333.77</v>
      </c>
      <c r="AF77" s="2">
        <f>((IF((20='V06 Calend 01'!C77),('V06 Calend 01'!F77+'V06 Calend 01'!G77),0)+IF(AND(('V06 Calend 01'!E77&gt;0),(20&gt;'V06 Calend 01'!C77),(20&lt;'V06 Calend 01'!D77),(MOD((20-'V06 Calend 01'!C77),6)=0),(((20-'V06 Calend 01'!C77)/6)&lt;='V06 Calend 01'!E77)),IF((20=('V06 Calend 01'!C77+(6*'V06 Calend 01'!E77))),('V06 Calend 01'!H77-('V06 Calend 01'!I77*('V06 Calend 01'!E77-1))),'V06 Calend 01'!I77),0))+IF((20='V06 Calend 01'!D77),'V06 Calend 01'!J77,0))</f>
        <v>0</v>
      </c>
      <c r="AG77" s="2">
        <f>((IF((21='V06 Calend 01'!C77),('V06 Calend 01'!F77+'V06 Calend 01'!G77),0)+IF(AND(('V06 Calend 01'!E77&gt;0),(21&gt;'V06 Calend 01'!C77),(21&lt;'V06 Calend 01'!D77),(MOD((21-'V06 Calend 01'!C77),6)=0),(((21-'V06 Calend 01'!C77)/6)&lt;='V06 Calend 01'!E77)),IF((21=('V06 Calend 01'!C77+(6*'V06 Calend 01'!E77))),('V06 Calend 01'!H77-('V06 Calend 01'!I77*('V06 Calend 01'!E77-1))),'V06 Calend 01'!I77),0))+IF((21='V06 Calend 01'!D77),'V06 Calend 01'!J77,0))</f>
        <v>0</v>
      </c>
      <c r="AH77" s="2">
        <f>((IF((22='V06 Calend 01'!C77),('V06 Calend 01'!F77+'V06 Calend 01'!G77),0)+IF(AND(('V06 Calend 01'!E77&gt;0),(22&gt;'V06 Calend 01'!C77),(22&lt;'V06 Calend 01'!D77),(MOD((22-'V06 Calend 01'!C77),6)=0),(((22-'V06 Calend 01'!C77)/6)&lt;='V06 Calend 01'!E77)),IF((22=('V06 Calend 01'!C77+(6*'V06 Calend 01'!E77))),('V06 Calend 01'!H77-('V06 Calend 01'!I77*('V06 Calend 01'!E77-1))),'V06 Calend 01'!I77),0))+IF((22='V06 Calend 01'!D77),'V06 Calend 01'!J77,0))</f>
        <v>0</v>
      </c>
      <c r="AI77" s="2">
        <f>((IF((23='V06 Calend 01'!C77),('V06 Calend 01'!F77+'V06 Calend 01'!G77),0)+IF(AND(('V06 Calend 01'!E77&gt;0),(23&gt;'V06 Calend 01'!C77),(23&lt;'V06 Calend 01'!D77),(MOD((23-'V06 Calend 01'!C77),6)=0),(((23-'V06 Calend 01'!C77)/6)&lt;='V06 Calend 01'!E77)),IF((23=('V06 Calend 01'!C77+(6*'V06 Calend 01'!E77))),('V06 Calend 01'!H77-('V06 Calend 01'!I77*('V06 Calend 01'!E77-1))),'V06 Calend 01'!I77),0))+IF((23='V06 Calend 01'!D77),'V06 Calend 01'!J77,0))</f>
        <v>0</v>
      </c>
      <c r="AJ77" s="2">
        <f>((IF((24='V06 Calend 01'!C77),('V06 Calend 01'!F77+'V06 Calend 01'!G77),0)+IF(AND(('V06 Calend 01'!E77&gt;0),(24&gt;'V06 Calend 01'!C77),(24&lt;'V06 Calend 01'!D77),(MOD((24-'V06 Calend 01'!C77),6)=0),(((24-'V06 Calend 01'!C77)/6)&lt;='V06 Calend 01'!E77)),IF((24=('V06 Calend 01'!C77+(6*'V06 Calend 01'!E77))),('V06 Calend 01'!H77-('V06 Calend 01'!I77*('V06 Calend 01'!E77-1))),'V06 Calend 01'!I77),0))+IF((24='V06 Calend 01'!D77),'V06 Calend 01'!J77,0))</f>
        <v>0</v>
      </c>
      <c r="AK77" s="2">
        <f>((IF((25='V06 Calend 01'!C77),('V06 Calend 01'!F77+'V06 Calend 01'!G77),0)+IF(AND(('V06 Calend 01'!E77&gt;0),(25&gt;'V06 Calend 01'!C77),(25&lt;'V06 Calend 01'!D77),(MOD((25-'V06 Calend 01'!C77),6)=0),(((25-'V06 Calend 01'!C77)/6)&lt;='V06 Calend 01'!E77)),IF((25=('V06 Calend 01'!C77+(6*'V06 Calend 01'!E77))),('V06 Calend 01'!H77-('V06 Calend 01'!I77*('V06 Calend 01'!E77-1))),'V06 Calend 01'!I77),0))+IF((25='V06 Calend 01'!D77),'V06 Calend 01'!J77,0))</f>
        <v>59333.75</v>
      </c>
      <c r="AL77" s="2">
        <f>((IF((26='V06 Calend 01'!C77),('V06 Calend 01'!F77+'V06 Calend 01'!G77),0)+IF(AND(('V06 Calend 01'!E77&gt;0),(26&gt;'V06 Calend 01'!C77),(26&lt;'V06 Calend 01'!D77),(MOD((26-'V06 Calend 01'!C77),6)=0),(((26-'V06 Calend 01'!C77)/6)&lt;='V06 Calend 01'!E77)),IF((26=('V06 Calend 01'!C77+(6*'V06 Calend 01'!E77))),('V06 Calend 01'!H77-('V06 Calend 01'!I77*('V06 Calend 01'!E77-1))),'V06 Calend 01'!I77),0))+IF((26='V06 Calend 01'!D77),'V06 Calend 01'!J77,0))</f>
        <v>0</v>
      </c>
      <c r="AM77" s="2">
        <f>((IF((27='V06 Calend 01'!C77),('V06 Calend 01'!F77+'V06 Calend 01'!G77),0)+IF(AND(('V06 Calend 01'!E77&gt;0),(27&gt;'V06 Calend 01'!C77),(27&lt;'V06 Calend 01'!D77),(MOD((27-'V06 Calend 01'!C77),6)=0),(((27-'V06 Calend 01'!C77)/6)&lt;='V06 Calend 01'!E77)),IF((27=('V06 Calend 01'!C77+(6*'V06 Calend 01'!E77))),('V06 Calend 01'!H77-('V06 Calend 01'!I77*('V06 Calend 01'!E77-1))),'V06 Calend 01'!I77),0))+IF((27='V06 Calend 01'!D77),'V06 Calend 01'!J77,0))</f>
        <v>0</v>
      </c>
      <c r="AN77" s="2">
        <f>((IF((28='V06 Calend 01'!C77),('V06 Calend 01'!F77+'V06 Calend 01'!G77),0)+IF(AND(('V06 Calend 01'!E77&gt;0),(28&gt;'V06 Calend 01'!C77),(28&lt;'V06 Calend 01'!D77),(MOD((28-'V06 Calend 01'!C77),6)=0),(((28-'V06 Calend 01'!C77)/6)&lt;='V06 Calend 01'!E77)),IF((28=('V06 Calend 01'!C77+(6*'V06 Calend 01'!E77))),('V06 Calend 01'!H77-('V06 Calend 01'!I77*('V06 Calend 01'!E77-1))),'V06 Calend 01'!I77),0))+IF((28='V06 Calend 01'!D77),'V06 Calend 01'!J77,0))</f>
        <v>86303.65999999997</v>
      </c>
      <c r="AO77" s="2">
        <f>((IF((29='V06 Calend 01'!C77),('V06 Calend 01'!F77+'V06 Calend 01'!G77),0)+IF(AND(('V06 Calend 01'!E77&gt;0),(29&gt;'V06 Calend 01'!C77),(29&lt;'V06 Calend 01'!D77),(MOD((29-'V06 Calend 01'!C77),6)=0),(((29-'V06 Calend 01'!C77)/6)&lt;='V06 Calend 01'!E77)),IF((29=('V06 Calend 01'!C77+(6*'V06 Calend 01'!E77))),('V06 Calend 01'!H77-('V06 Calend 01'!I77*('V06 Calend 01'!E77-1))),'V06 Calend 01'!I77),0))+IF((29='V06 Calend 01'!D77),'V06 Calend 01'!J77,0))</f>
        <v>0</v>
      </c>
      <c r="AP77" s="2">
        <f>((IF((30='V06 Calend 01'!C77),('V06 Calend 01'!F77+'V06 Calend 01'!G77),0)+IF(AND(('V06 Calend 01'!E77&gt;0),(30&gt;'V06 Calend 01'!C77),(30&lt;'V06 Calend 01'!D77),(MOD((30-'V06 Calend 01'!C77),6)=0),(((30-'V06 Calend 01'!C77)/6)&lt;='V06 Calend 01'!E77)),IF((30=('V06 Calend 01'!C77+(6*'V06 Calend 01'!E77))),('V06 Calend 01'!H77-('V06 Calend 01'!I77*('V06 Calend 01'!E77-1))),'V06 Calend 01'!I77),0))+IF((30='V06 Calend 01'!D77),'V06 Calend 01'!J77,0))</f>
        <v>0</v>
      </c>
      <c r="AQ77" s="2">
        <f>((IF((31='V06 Calend 01'!C77),('V06 Calend 01'!F77+'V06 Calend 01'!G77),0)+IF(AND(('V06 Calend 01'!E77&gt;0),(31&gt;'V06 Calend 01'!C77),(31&lt;'V06 Calend 01'!D77),(MOD((31-'V06 Calend 01'!C77),6)=0),(((31-'V06 Calend 01'!C77)/6)&lt;='V06 Calend 01'!E77)),IF((31=('V06 Calend 01'!C77+(6*'V06 Calend 01'!E77))),('V06 Calend 01'!H77-('V06 Calend 01'!I77*('V06 Calend 01'!E77-1))),'V06 Calend 01'!I77),0))+IF((31='V06 Calend 01'!D77),'V06 Calend 01'!J77,0))</f>
        <v>0</v>
      </c>
      <c r="AR77" s="2">
        <f>((IF((32='V06 Calend 01'!C77),('V06 Calend 01'!F77+'V06 Calend 01'!G77),0)+IF(AND(('V06 Calend 01'!E77&gt;0),(32&gt;'V06 Calend 01'!C77),(32&lt;'V06 Calend 01'!D77),(MOD((32-'V06 Calend 01'!C77),6)=0),(((32-'V06 Calend 01'!C77)/6)&lt;='V06 Calend 01'!E77)),IF((32=('V06 Calend 01'!C77+(6*'V06 Calend 01'!E77))),('V06 Calend 01'!H77-('V06 Calend 01'!I77*('V06 Calend 01'!E77-1))),'V06 Calend 01'!I77),0))+IF((32='V06 Calend 01'!D77),'V06 Calend 01'!J77,0))</f>
        <v>0</v>
      </c>
      <c r="AS77" s="2">
        <f>((IF((33='V06 Calend 01'!C77),('V06 Calend 01'!F77+'V06 Calend 01'!G77),0)+IF(AND(('V06 Calend 01'!E77&gt;0),(33&gt;'V06 Calend 01'!C77),(33&lt;'V06 Calend 01'!D77),(MOD((33-'V06 Calend 01'!C77),6)=0),(((33-'V06 Calend 01'!C77)/6)&lt;='V06 Calend 01'!E77)),IF((33=('V06 Calend 01'!C77+(6*'V06 Calend 01'!E77))),('V06 Calend 01'!H77-('V06 Calend 01'!I77*('V06 Calend 01'!E77-1))),'V06 Calend 01'!I77),0))+IF((33='V06 Calend 01'!D77),'V06 Calend 01'!J77,0))</f>
        <v>0</v>
      </c>
      <c r="AT77" s="2">
        <f>((IF((34='V06 Calend 01'!C77),('V06 Calend 01'!F77+'V06 Calend 01'!G77),0)+IF(AND(('V06 Calend 01'!E77&gt;0),(34&gt;'V06 Calend 01'!C77),(34&lt;'V06 Calend 01'!D77),(MOD((34-'V06 Calend 01'!C77),6)=0),(((34-'V06 Calend 01'!C77)/6)&lt;='V06 Calend 01'!E77)),IF((34=('V06 Calend 01'!C77+(6*'V06 Calend 01'!E77))),('V06 Calend 01'!H77-('V06 Calend 01'!I77*('V06 Calend 01'!E77-1))),'V06 Calend 01'!I77),0))+IF((34='V06 Calend 01'!D77),'V06 Calend 01'!J77,0))</f>
        <v>0</v>
      </c>
      <c r="AU77" s="2">
        <f>((IF((35='V06 Calend 01'!C77),('V06 Calend 01'!F77+'V06 Calend 01'!G77),0)+IF(AND(('V06 Calend 01'!E77&gt;0),(35&gt;'V06 Calend 01'!C77),(35&lt;'V06 Calend 01'!D77),(MOD((35-'V06 Calend 01'!C77),6)=0),(((35-'V06 Calend 01'!C77)/6)&lt;='V06 Calend 01'!E77)),IF((35=('V06 Calend 01'!C77+(6*'V06 Calend 01'!E77))),('V06 Calend 01'!H77-('V06 Calend 01'!I77*('V06 Calend 01'!E77-1))),'V06 Calend 01'!I77),0))+IF((35='V06 Calend 01'!D77),'V06 Calend 01'!J77,0))</f>
        <v>0</v>
      </c>
      <c r="AV77" s="2">
        <f>((IF((36='V06 Calend 01'!C77),('V06 Calend 01'!F77+'V06 Calend 01'!G77),0)+IF(AND(('V06 Calend 01'!E77&gt;0),(36&gt;'V06 Calend 01'!C77),(36&lt;'V06 Calend 01'!D77),(MOD((36-'V06 Calend 01'!C77),6)=0),(((36-'V06 Calend 01'!C77)/6)&lt;='V06 Calend 01'!E77)),IF((36=('V06 Calend 01'!C77+(6*'V06 Calend 01'!E77))),('V06 Calend 01'!H77-('V06 Calend 01'!I77*('V06 Calend 01'!E77-1))),'V06 Calend 01'!I77),0))+IF((36='V06 Calend 01'!D77),'V06 Calend 01'!J77,0))</f>
        <v>0</v>
      </c>
      <c r="AW77" s="2">
        <f>((IF((37='V06 Calend 01'!C77),('V06 Calend 01'!F77+'V06 Calend 01'!G77),0)+IF(AND(('V06 Calend 01'!E77&gt;0),(37&gt;'V06 Calend 01'!C77),(37&lt;'V06 Calend 01'!D77),(MOD((37-'V06 Calend 01'!C77),6)=0),(((37-'V06 Calend 01'!C77)/6)&lt;='V06 Calend 01'!E77)),IF((37=('V06 Calend 01'!C77+(6*'V06 Calend 01'!E77))),('V06 Calend 01'!H77-('V06 Calend 01'!I77*('V06 Calend 01'!E77-1))),'V06 Calend 01'!I77),0))+IF((37='V06 Calend 01'!D77),'V06 Calend 01'!J77,0))</f>
        <v>0</v>
      </c>
      <c r="AX77" s="2">
        <f>((IF((38='V06 Calend 01'!C77),('V06 Calend 01'!F77+'V06 Calend 01'!G77),0)+IF(AND(('V06 Calend 01'!E77&gt;0),(38&gt;'V06 Calend 01'!C77),(38&lt;'V06 Calend 01'!D77),(MOD((38-'V06 Calend 01'!C77),6)=0),(((38-'V06 Calend 01'!C77)/6)&lt;='V06 Calend 01'!E77)),IF((38=('V06 Calend 01'!C77+(6*'V06 Calend 01'!E77))),('V06 Calend 01'!H77-('V06 Calend 01'!I77*('V06 Calend 01'!E77-1))),'V06 Calend 01'!I77),0))+IF((38='V06 Calend 01'!D77),'V06 Calend 01'!J77,0))</f>
        <v>0</v>
      </c>
      <c r="AY77" s="2">
        <f>((IF((39='V06 Calend 01'!C77),('V06 Calend 01'!F77+'V06 Calend 01'!G77),0)+IF(AND(('V06 Calend 01'!E77&gt;0),(39&gt;'V06 Calend 01'!C77),(39&lt;'V06 Calend 01'!D77),(MOD((39-'V06 Calend 01'!C77),6)=0),(((39-'V06 Calend 01'!C77)/6)&lt;='V06 Calend 01'!E77)),IF((39=('V06 Calend 01'!C77+(6*'V06 Calend 01'!E77))),('V06 Calend 01'!H77-('V06 Calend 01'!I77*('V06 Calend 01'!E77-1))),'V06 Calend 01'!I77),0))+IF((39='V06 Calend 01'!D77),'V06 Calend 01'!J77,0))</f>
        <v>0</v>
      </c>
      <c r="AZ77" s="2">
        <f>((IF((40='V06 Calend 01'!C77),('V06 Calend 01'!F77+'V06 Calend 01'!G77),0)+IF(AND(('V06 Calend 01'!E77&gt;0),(40&gt;'V06 Calend 01'!C77),(40&lt;'V06 Calend 01'!D77),(MOD((40-'V06 Calend 01'!C77),6)=0),(((40-'V06 Calend 01'!C77)/6)&lt;='V06 Calend 01'!E77)),IF((40=('V06 Calend 01'!C77+(6*'V06 Calend 01'!E77))),('V06 Calend 01'!H77-('V06 Calend 01'!I77*('V06 Calend 01'!E77-1))),'V06 Calend 01'!I77),0))+IF((40='V06 Calend 01'!D77),'V06 Calend 01'!J77,0))</f>
        <v>0</v>
      </c>
      <c r="BA77" s="2">
        <f>((IF((41='V06 Calend 01'!C77),('V06 Calend 01'!F77+'V06 Calend 01'!G77),0)+IF(AND(('V06 Calend 01'!E77&gt;0),(41&gt;'V06 Calend 01'!C77),(41&lt;'V06 Calend 01'!D77),(MOD((41-'V06 Calend 01'!C77),6)=0),(((41-'V06 Calend 01'!C77)/6)&lt;='V06 Calend 01'!E77)),IF((41=('V06 Calend 01'!C77+(6*'V06 Calend 01'!E77))),('V06 Calend 01'!H77-('V06 Calend 01'!I77*('V06 Calend 01'!E77-1))),'V06 Calend 01'!I77),0))+IF((41='V06 Calend 01'!D77),'V06 Calend 01'!J77,0))</f>
        <v>0</v>
      </c>
      <c r="BB77" s="2">
        <f>((IF((42='V06 Calend 01'!C77),('V06 Calend 01'!F77+'V06 Calend 01'!G77),0)+IF(AND(('V06 Calend 01'!E77&gt;0),(42&gt;'V06 Calend 01'!C77),(42&lt;'V06 Calend 01'!D77),(MOD((42-'V06 Calend 01'!C77),6)=0),(((42-'V06 Calend 01'!C77)/6)&lt;='V06 Calend 01'!E77)),IF((42=('V06 Calend 01'!C77+(6*'V06 Calend 01'!E77))),('V06 Calend 01'!H77-('V06 Calend 01'!I77*('V06 Calend 01'!E77-1))),'V06 Calend 01'!I77),0))+IF((42='V06 Calend 01'!D77),'V06 Calend 01'!J77,0))</f>
        <v>0</v>
      </c>
      <c r="BC77" s="2">
        <f>((IF((43='V06 Calend 01'!C77),('V06 Calend 01'!F77+'V06 Calend 01'!G77),0)+IF(AND(('V06 Calend 01'!E77&gt;0),(43&gt;'V06 Calend 01'!C77),(43&lt;'V06 Calend 01'!D77),(MOD((43-'V06 Calend 01'!C77),6)=0),(((43-'V06 Calend 01'!C77)/6)&lt;='V06 Calend 01'!E77)),IF((43=('V06 Calend 01'!C77+(6*'V06 Calend 01'!E77))),('V06 Calend 01'!H77-('V06 Calend 01'!I77*('V06 Calend 01'!E77-1))),'V06 Calend 01'!I77),0))+IF((43='V06 Calend 01'!D77),'V06 Calend 01'!J77,0))</f>
        <v>0</v>
      </c>
      <c r="BD77" s="2">
        <f>((IF((44='V06 Calend 01'!C77),('V06 Calend 01'!F77+'V06 Calend 01'!G77),0)+IF(AND(('V06 Calend 01'!E77&gt;0),(44&gt;'V06 Calend 01'!C77),(44&lt;'V06 Calend 01'!D77),(MOD((44-'V06 Calend 01'!C77),6)=0),(((44-'V06 Calend 01'!C77)/6)&lt;='V06 Calend 01'!E77)),IF((44=('V06 Calend 01'!C77+(6*'V06 Calend 01'!E77))),('V06 Calend 01'!H77-('V06 Calend 01'!I77*('V06 Calend 01'!E77-1))),'V06 Calend 01'!I77),0))+IF((44='V06 Calend 01'!D77),'V06 Calend 01'!J77,0))</f>
        <v>0</v>
      </c>
      <c r="BE77" s="2">
        <f>((IF((45='V06 Calend 01'!C77),('V06 Calend 01'!F77+'V06 Calend 01'!G77),0)+IF(AND(('V06 Calend 01'!E77&gt;0),(45&gt;'V06 Calend 01'!C77),(45&lt;'V06 Calend 01'!D77),(MOD((45-'V06 Calend 01'!C77),6)=0),(((45-'V06 Calend 01'!C77)/6)&lt;='V06 Calend 01'!E77)),IF((45=('V06 Calend 01'!C77+(6*'V06 Calend 01'!E77))),('V06 Calend 01'!H77-('V06 Calend 01'!I77*('V06 Calend 01'!E77-1))),'V06 Calend 01'!I77),0))+IF((45='V06 Calend 01'!D77),'V06 Calend 01'!J77,0))</f>
        <v>0</v>
      </c>
      <c r="BF77" s="2">
        <f>((IF((46='V06 Calend 01'!C77),('V06 Calend 01'!F77+'V06 Calend 01'!G77),0)+IF(AND(('V06 Calend 01'!E77&gt;0),(46&gt;'V06 Calend 01'!C77),(46&lt;'V06 Calend 01'!D77),(MOD((46-'V06 Calend 01'!C77),6)=0),(((46-'V06 Calend 01'!C77)/6)&lt;='V06 Calend 01'!E77)),IF((46=('V06 Calend 01'!C77+(6*'V06 Calend 01'!E77))),('V06 Calend 01'!H77-('V06 Calend 01'!I77*('V06 Calend 01'!E77-1))),'V06 Calend 01'!I77),0))+IF((46='V06 Calend 01'!D77),'V06 Calend 01'!J77,0))</f>
        <v>0</v>
      </c>
      <c r="BG77" s="2">
        <f>((IF((47='V06 Calend 01'!C77),('V06 Calend 01'!F77+'V06 Calend 01'!G77),0)+IF(AND(('V06 Calend 01'!E77&gt;0),(47&gt;'V06 Calend 01'!C77),(47&lt;'V06 Calend 01'!D77),(MOD((47-'V06 Calend 01'!C77),6)=0),(((47-'V06 Calend 01'!C77)/6)&lt;='V06 Calend 01'!E77)),IF((47=('V06 Calend 01'!C77+(6*'V06 Calend 01'!E77))),('V06 Calend 01'!H77-('V06 Calend 01'!I77*('V06 Calend 01'!E77-1))),'V06 Calend 01'!I77),0))+IF((47='V06 Calend 01'!D77),'V06 Calend 01'!J77,0))</f>
        <v>0</v>
      </c>
      <c r="BH77" s="2">
        <f>((IF((48='V06 Calend 01'!C77),('V06 Calend 01'!F77+'V06 Calend 01'!G77),0)+IF(AND(('V06 Calend 01'!E77&gt;0),(48&gt;'V06 Calend 01'!C77),(48&lt;'V06 Calend 01'!D77),(MOD((48-'V06 Calend 01'!C77),6)=0),(((48-'V06 Calend 01'!C77)/6)&lt;='V06 Calend 01'!E77)),IF((48=('V06 Calend 01'!C77+(6*'V06 Calend 01'!E77))),('V06 Calend 01'!H77-('V06 Calend 01'!I77*('V06 Calend 01'!E77-1))),'V06 Calend 01'!I77),0))+IF((48='V06 Calend 01'!D77),'V06 Calend 01'!J77,0))</f>
        <v>0</v>
      </c>
      <c r="BI77" s="2">
        <f>((IF((49='V06 Calend 01'!C77),('V06 Calend 01'!F77+'V06 Calend 01'!G77),0)+IF(AND(('V06 Calend 01'!E77&gt;0),(49&gt;'V06 Calend 01'!C77),(49&lt;'V06 Calend 01'!D77),(MOD((49-'V06 Calend 01'!C77),6)=0),(((49-'V06 Calend 01'!C77)/6)&lt;='V06 Calend 01'!E77)),IF((49=('V06 Calend 01'!C77+(6*'V06 Calend 01'!E77))),('V06 Calend 01'!H77-('V06 Calend 01'!I77*('V06 Calend 01'!E77-1))),'V06 Calend 01'!I77),0))+IF((49='V06 Calend 01'!D77),'V06 Calend 01'!J77,0))</f>
        <v>0</v>
      </c>
      <c r="BJ77" s="2">
        <f>((IF((50='V06 Calend 01'!C77),('V06 Calend 01'!F77+'V06 Calend 01'!G77),0)+IF(AND(('V06 Calend 01'!E77&gt;0),(50&gt;'V06 Calend 01'!C77),(50&lt;'V06 Calend 01'!D77),(MOD((50-'V06 Calend 01'!C77),6)=0),(((50-'V06 Calend 01'!C77)/6)&lt;='V06 Calend 01'!E77)),IF((50=('V06 Calend 01'!C77+(6*'V06 Calend 01'!E77))),('V06 Calend 01'!H77-('V06 Calend 01'!I77*('V06 Calend 01'!E77-1))),'V06 Calend 01'!I77),0))+IF((50='V06 Calend 01'!D77),'V06 Calend 01'!J77,0))</f>
        <v>0</v>
      </c>
      <c r="BK77" s="2">
        <f>((IF((51='V06 Calend 01'!C77),('V06 Calend 01'!F77+'V06 Calend 01'!G77),0)+IF(AND(('V06 Calend 01'!E77&gt;0),(51&gt;'V06 Calend 01'!C77),(51&lt;'V06 Calend 01'!D77),(MOD((51-'V06 Calend 01'!C77),6)=0),(((51-'V06 Calend 01'!C77)/6)&lt;='V06 Calend 01'!E77)),IF((51=('V06 Calend 01'!C77+(6*'V06 Calend 01'!E77))),('V06 Calend 01'!H77-('V06 Calend 01'!I77*('V06 Calend 01'!E77-1))),'V06 Calend 01'!I77),0))+IF((51='V06 Calend 01'!D77),'V06 Calend 01'!J77,0))</f>
        <v>0</v>
      </c>
      <c r="BL77" s="2">
        <f>((IF((52='V06 Calend 01'!C77),('V06 Calend 01'!F77+'V06 Calend 01'!G77),0)+IF(AND(('V06 Calend 01'!E77&gt;0),(52&gt;'V06 Calend 01'!C77),(52&lt;'V06 Calend 01'!D77),(MOD((52-'V06 Calend 01'!C77),6)=0),(((52-'V06 Calend 01'!C77)/6)&lt;='V06 Calend 01'!E77)),IF((52=('V06 Calend 01'!C77+(6*'V06 Calend 01'!E77))),('V06 Calend 01'!H77-('V06 Calend 01'!I77*('V06 Calend 01'!E77-1))),'V06 Calend 01'!I77),0))+IF((52='V06 Calend 01'!D77),'V06 Calend 01'!J77,0))</f>
        <v>0</v>
      </c>
      <c r="BM77" s="2">
        <f>((IF((53='V06 Calend 01'!C77),('V06 Calend 01'!F77+'V06 Calend 01'!G77),0)+IF(AND(('V06 Calend 01'!E77&gt;0),(53&gt;'V06 Calend 01'!C77),(53&lt;'V06 Calend 01'!D77),(MOD((53-'V06 Calend 01'!C77),6)=0),(((53-'V06 Calend 01'!C77)/6)&lt;='V06 Calend 01'!E77)),IF((53=('V06 Calend 01'!C77+(6*'V06 Calend 01'!E77))),('V06 Calend 01'!H77-('V06 Calend 01'!I77*('V06 Calend 01'!E77-1))),'V06 Calend 01'!I77),0))+IF((53='V06 Calend 01'!D77),'V06 Calend 01'!J77,0))</f>
        <v>0</v>
      </c>
      <c r="BN77" s="2">
        <f>((IF((54='V06 Calend 01'!C77),('V06 Calend 01'!F77+'V06 Calend 01'!G77),0)+IF(AND(('V06 Calend 01'!E77&gt;0),(54&gt;'V06 Calend 01'!C77),(54&lt;'V06 Calend 01'!D77),(MOD((54-'V06 Calend 01'!C77),6)=0),(((54-'V06 Calend 01'!C77)/6)&lt;='V06 Calend 01'!E77)),IF((54=('V06 Calend 01'!C77+(6*'V06 Calend 01'!E77))),('V06 Calend 01'!H77-('V06 Calend 01'!I77*('V06 Calend 01'!E77-1))),'V06 Calend 01'!I77),0))+IF((54='V06 Calend 01'!D77),'V06 Calend 01'!J77,0))</f>
        <v>0</v>
      </c>
      <c r="BO77" s="2">
        <f>((IF((55='V06 Calend 01'!C77),('V06 Calend 01'!F77+'V06 Calend 01'!G77),0)+IF(AND(('V06 Calend 01'!E77&gt;0),(55&gt;'V06 Calend 01'!C77),(55&lt;'V06 Calend 01'!D77),(MOD((55-'V06 Calend 01'!C77),6)=0),(((55-'V06 Calend 01'!C77)/6)&lt;='V06 Calend 01'!E77)),IF((55=('V06 Calend 01'!C77+(6*'V06 Calend 01'!E77))),('V06 Calend 01'!H77-('V06 Calend 01'!I77*('V06 Calend 01'!E77-1))),'V06 Calend 01'!I77),0))+IF((55='V06 Calend 01'!D77),'V06 Calend 01'!J77,0))</f>
        <v>0</v>
      </c>
      <c r="BP77" s="2">
        <f>((IF((56='V06 Calend 01'!C77),('V06 Calend 01'!F77+'V06 Calend 01'!G77),0)+IF(AND(('V06 Calend 01'!E77&gt;0),(56&gt;'V06 Calend 01'!C77),(56&lt;'V06 Calend 01'!D77),(MOD((56-'V06 Calend 01'!C77),6)=0),(((56-'V06 Calend 01'!C77)/6)&lt;='V06 Calend 01'!E77)),IF((56=('V06 Calend 01'!C77+(6*'V06 Calend 01'!E77))),('V06 Calend 01'!H77-('V06 Calend 01'!I77*('V06 Calend 01'!E77-1))),'V06 Calend 01'!I77),0))+IF((56='V06 Calend 01'!D77),'V06 Calend 01'!J77,0))</f>
        <v>0</v>
      </c>
      <c r="BQ77" s="2">
        <f>((IF((57='V06 Calend 01'!C77),('V06 Calend 01'!F77+'V06 Calend 01'!G77),0)+IF(AND(('V06 Calend 01'!E77&gt;0),(57&gt;'V06 Calend 01'!C77),(57&lt;'V06 Calend 01'!D77),(MOD((57-'V06 Calend 01'!C77),6)=0),(((57-'V06 Calend 01'!C77)/6)&lt;='V06 Calend 01'!E77)),IF((57=('V06 Calend 01'!C77+(6*'V06 Calend 01'!E77))),('V06 Calend 01'!H77-('V06 Calend 01'!I77*('V06 Calend 01'!E77-1))),'V06 Calend 01'!I77),0))+IF((57='V06 Calend 01'!D77),'V06 Calend 01'!J77,0))</f>
        <v>0</v>
      </c>
      <c r="BR77" s="2">
        <f>((IF((58='V06 Calend 01'!C77),('V06 Calend 01'!F77+'V06 Calend 01'!G77),0)+IF(AND(('V06 Calend 01'!E77&gt;0),(58&gt;'V06 Calend 01'!C77),(58&lt;'V06 Calend 01'!D77),(MOD((58-'V06 Calend 01'!C77),6)=0),(((58-'V06 Calend 01'!C77)/6)&lt;='V06 Calend 01'!E77)),IF((58=('V06 Calend 01'!C77+(6*'V06 Calend 01'!E77))),('V06 Calend 01'!H77-('V06 Calend 01'!I77*('V06 Calend 01'!E77-1))),'V06 Calend 01'!I77),0))+IF((58='V06 Calend 01'!D77),'V06 Calend 01'!J77,0))</f>
        <v>0</v>
      </c>
      <c r="BS77" s="2">
        <f>((IF((59='V06 Calend 01'!C77),('V06 Calend 01'!F77+'V06 Calend 01'!G77),0)+IF(AND(('V06 Calend 01'!E77&gt;0),(59&gt;'V06 Calend 01'!C77),(59&lt;'V06 Calend 01'!D77),(MOD((59-'V06 Calend 01'!C77),6)=0),(((59-'V06 Calend 01'!C77)/6)&lt;='V06 Calend 01'!E77)),IF((59=('V06 Calend 01'!C77+(6*'V06 Calend 01'!E77))),('V06 Calend 01'!H77-('V06 Calend 01'!I77*('V06 Calend 01'!E77-1))),'V06 Calend 01'!I77),0))+IF((59='V06 Calend 01'!D77),'V06 Calend 01'!J77,0))</f>
        <v>0</v>
      </c>
      <c r="BT77" s="2">
        <f>((IF((60='V06 Calend 01'!C77),('V06 Calend 01'!F77+'V06 Calend 01'!G77),0)+IF(AND(('V06 Calend 01'!E77&gt;0),(60&gt;'V06 Calend 01'!C77),(60&lt;'V06 Calend 01'!D77),(MOD((60-'V06 Calend 01'!C77),6)=0),(((60-'V06 Calend 01'!C77)/6)&lt;='V06 Calend 01'!E77)),IF((60=('V06 Calend 01'!C77+(6*'V06 Calend 01'!E77))),('V06 Calend 01'!H77-('V06 Calend 01'!I77*('V06 Calend 01'!E77-1))),'V06 Calend 01'!I77),0))+IF((60='V06 Calend 01'!D77),'V06 Calend 01'!J77,0))</f>
        <v>0</v>
      </c>
      <c r="BU77" s="2">
        <f>((IF((61='V06 Calend 01'!C77),('V06 Calend 01'!F77+'V06 Calend 01'!G77),0)+IF(AND(('V06 Calend 01'!E77&gt;0),(61&gt;'V06 Calend 01'!C77),(61&lt;'V06 Calend 01'!D77),(MOD((61-'V06 Calend 01'!C77),6)=0),(((61-'V06 Calend 01'!C77)/6)&lt;='V06 Calend 01'!E77)),IF((61=('V06 Calend 01'!C77+(6*'V06 Calend 01'!E77))),('V06 Calend 01'!H77-('V06 Calend 01'!I77*('V06 Calend 01'!E77-1))),'V06 Calend 01'!I77),0))+IF((61='V06 Calend 01'!D77),'V06 Calend 01'!J77,0))</f>
        <v>0</v>
      </c>
      <c r="BV77" s="2">
        <f>((IF((62='V06 Calend 01'!C77),('V06 Calend 01'!F77+'V06 Calend 01'!G77),0)+IF(AND(('V06 Calend 01'!E77&gt;0),(62&gt;'V06 Calend 01'!C77),(62&lt;'V06 Calend 01'!D77),(MOD((62-'V06 Calend 01'!C77),6)=0),(((62-'V06 Calend 01'!C77)/6)&lt;='V06 Calend 01'!E77)),IF((62=('V06 Calend 01'!C77+(6*'V06 Calend 01'!E77))),('V06 Calend 01'!H77-('V06 Calend 01'!I77*('V06 Calend 01'!E77-1))),'V06 Calend 01'!I77),0))+IF((62='V06 Calend 01'!D77),'V06 Calend 01'!J77,0))</f>
        <v>0</v>
      </c>
      <c r="BW77" s="2">
        <f>((IF((63='V06 Calend 01'!C77),('V06 Calend 01'!F77+'V06 Calend 01'!G77),0)+IF(AND(('V06 Calend 01'!E77&gt;0),(63&gt;'V06 Calend 01'!C77),(63&lt;'V06 Calend 01'!D77),(MOD((63-'V06 Calend 01'!C77),6)=0),(((63-'V06 Calend 01'!C77)/6)&lt;='V06 Calend 01'!E77)),IF((63=('V06 Calend 01'!C77+(6*'V06 Calend 01'!E77))),('V06 Calend 01'!H77-('V06 Calend 01'!I77*('V06 Calend 01'!E77-1))),'V06 Calend 01'!I77),0))+IF((63='V06 Calend 01'!D77),'V06 Calend 01'!J77,0))</f>
        <v>0</v>
      </c>
      <c r="BX77" s="2">
        <f>((IF((64='V06 Calend 01'!C77),('V06 Calend 01'!F77+'V06 Calend 01'!G77),0)+IF(AND(('V06 Calend 01'!E77&gt;0),(64&gt;'V06 Calend 01'!C77),(64&lt;'V06 Calend 01'!D77),(MOD((64-'V06 Calend 01'!C77),6)=0),(((64-'V06 Calend 01'!C77)/6)&lt;='V06 Calend 01'!E77)),IF((64=('V06 Calend 01'!C77+(6*'V06 Calend 01'!E77))),('V06 Calend 01'!H77-('V06 Calend 01'!I77*('V06 Calend 01'!E77-1))),'V06 Calend 01'!I77),0))+IF((64='V06 Calend 01'!D77),'V06 Calend 01'!J77,0))</f>
        <v>0</v>
      </c>
      <c r="BY77" s="2">
        <f>((IF((65='V06 Calend 01'!C77),('V06 Calend 01'!F77+'V06 Calend 01'!G77),0)+IF(AND(('V06 Calend 01'!E77&gt;0),(65&gt;'V06 Calend 01'!C77),(65&lt;'V06 Calend 01'!D77),(MOD((65-'V06 Calend 01'!C77),6)=0),(((65-'V06 Calend 01'!C77)/6)&lt;='V06 Calend 01'!E77)),IF((65=('V06 Calend 01'!C77+(6*'V06 Calend 01'!E77))),('V06 Calend 01'!H77-('V06 Calend 01'!I77*('V06 Calend 01'!E77-1))),'V06 Calend 01'!I77),0))+IF((65='V06 Calend 01'!D77),'V06 Calend 01'!J77,0))</f>
        <v>0</v>
      </c>
      <c r="BZ77" s="2">
        <f>((IF((66='V06 Calend 01'!C77),('V06 Calend 01'!F77+'V06 Calend 01'!G77),0)+IF(AND(('V06 Calend 01'!E77&gt;0),(66&gt;'V06 Calend 01'!C77),(66&lt;'V06 Calend 01'!D77),(MOD((66-'V06 Calend 01'!C77),6)=0),(((66-'V06 Calend 01'!C77)/6)&lt;='V06 Calend 01'!E77)),IF((66=('V06 Calend 01'!C77+(6*'V06 Calend 01'!E77))),('V06 Calend 01'!H77-('V06 Calend 01'!I77*('V06 Calend 01'!E77-1))),'V06 Calend 01'!I77),0))+IF((66='V06 Calend 01'!D77),'V06 Calend 01'!J77,0))</f>
        <v>0</v>
      </c>
      <c r="CA77" s="2">
        <f>((IF((67='V06 Calend 01'!C77),('V06 Calend 01'!F77+'V06 Calend 01'!G77),0)+IF(AND(('V06 Calend 01'!E77&gt;0),(67&gt;'V06 Calend 01'!C77),(67&lt;'V06 Calend 01'!D77),(MOD((67-'V06 Calend 01'!C77),6)=0),(((67-'V06 Calend 01'!C77)/6)&lt;='V06 Calend 01'!E77)),IF((67=('V06 Calend 01'!C77+(6*'V06 Calend 01'!E77))),('V06 Calend 01'!H77-('V06 Calend 01'!I77*('V06 Calend 01'!E77-1))),'V06 Calend 01'!I77),0))+IF((67='V06 Calend 01'!D77),'V06 Calend 01'!J77,0))</f>
        <v>0</v>
      </c>
      <c r="CB77" s="2">
        <f>((IF((68='V06 Calend 01'!C77),('V06 Calend 01'!F77+'V06 Calend 01'!G77),0)+IF(AND(('V06 Calend 01'!E77&gt;0),(68&gt;'V06 Calend 01'!C77),(68&lt;'V06 Calend 01'!D77),(MOD((68-'V06 Calend 01'!C77),6)=0),(((68-'V06 Calend 01'!C77)/6)&lt;='V06 Calend 01'!E77)),IF((68=('V06 Calend 01'!C77+(6*'V06 Calend 01'!E77))),('V06 Calend 01'!H77-('V06 Calend 01'!I77*('V06 Calend 01'!E77-1))),'V06 Calend 01'!I77),0))+IF((68='V06 Calend 01'!D77),'V06 Calend 01'!J77,0))</f>
        <v>0</v>
      </c>
      <c r="CC77" s="2">
        <f>((IF((69='V06 Calend 01'!C77),('V06 Calend 01'!F77+'V06 Calend 01'!G77),0)+IF(AND(('V06 Calend 01'!E77&gt;0),(69&gt;'V06 Calend 01'!C77),(69&lt;'V06 Calend 01'!D77),(MOD((69-'V06 Calend 01'!C77),6)=0),(((69-'V06 Calend 01'!C77)/6)&lt;='V06 Calend 01'!E77)),IF((69=('V06 Calend 01'!C77+(6*'V06 Calend 01'!E77))),('V06 Calend 01'!H77-('V06 Calend 01'!I77*('V06 Calend 01'!E77-1))),'V06 Calend 01'!I77),0))+IF((69='V06 Calend 01'!D77),'V06 Calend 01'!J77,0))</f>
        <v>0</v>
      </c>
      <c r="CD77" s="2">
        <f>((IF((70='V06 Calend 01'!C77),('V06 Calend 01'!F77+'V06 Calend 01'!G77),0)+IF(AND(('V06 Calend 01'!E77&gt;0),(70&gt;'V06 Calend 01'!C77),(70&lt;'V06 Calend 01'!D77),(MOD((70-'V06 Calend 01'!C77),6)=0),(((70-'V06 Calend 01'!C77)/6)&lt;='V06 Calend 01'!E77)),IF((70=('V06 Calend 01'!C77+(6*'V06 Calend 01'!E77))),('V06 Calend 01'!H77-('V06 Calend 01'!I77*('V06 Calend 01'!E77-1))),'V06 Calend 01'!I77),0))+IF((70='V06 Calend 01'!D77),'V06 Calend 01'!J77,0))</f>
        <v>0</v>
      </c>
      <c r="CE77" s="2">
        <f>((IF((71='V06 Calend 01'!C77),('V06 Calend 01'!F77+'V06 Calend 01'!G77),0)+IF(AND(('V06 Calend 01'!E77&gt;0),(71&gt;'V06 Calend 01'!C77),(71&lt;'V06 Calend 01'!D77),(MOD((71-'V06 Calend 01'!C77),6)=0),(((71-'V06 Calend 01'!C77)/6)&lt;='V06 Calend 01'!E77)),IF((71=('V06 Calend 01'!C77+(6*'V06 Calend 01'!E77))),('V06 Calend 01'!H77-('V06 Calend 01'!I77*('V06 Calend 01'!E77-1))),'V06 Calend 01'!I77),0))+IF((71='V06 Calend 01'!D77),'V06 Calend 01'!J77,0))</f>
        <v>0</v>
      </c>
      <c r="CF77" s="2">
        <f>((IF((72='V06 Calend 01'!C77),('V06 Calend 01'!F77+'V06 Calend 01'!G77),0)+IF(AND(('V06 Calend 01'!E77&gt;0),(72&gt;'V06 Calend 01'!C77),(72&lt;'V06 Calend 01'!D77),(MOD((72-'V06 Calend 01'!C77),6)=0),(((72-'V06 Calend 01'!C77)/6)&lt;='V06 Calend 01'!E77)),IF((72=('V06 Calend 01'!C77+(6*'V06 Calend 01'!E77))),('V06 Calend 01'!H77-('V06 Calend 01'!I77*('V06 Calend 01'!E77-1))),'V06 Calend 01'!I77),0))+IF((72='V06 Calend 01'!D77),'V06 Calend 01'!J77,0))</f>
        <v>0</v>
      </c>
      <c r="CG77" s="2">
        <f>((IF((73='V06 Calend 01'!C77),('V06 Calend 01'!F77+'V06 Calend 01'!G77),0)+IF(AND(('V06 Calend 01'!E77&gt;0),(73&gt;'V06 Calend 01'!C77),(73&lt;'V06 Calend 01'!D77),(MOD((73-'V06 Calend 01'!C77),6)=0),(((73-'V06 Calend 01'!C77)/6)&lt;='V06 Calend 01'!E77)),IF((73=('V06 Calend 01'!C77+(6*'V06 Calend 01'!E77))),('V06 Calend 01'!H77-('V06 Calend 01'!I77*('V06 Calend 01'!E77-1))),'V06 Calend 01'!I77),0))+IF((73='V06 Calend 01'!D77),'V06 Calend 01'!J77,0))</f>
        <v>0</v>
      </c>
      <c r="CH77" s="2">
        <f>((IF((74='V06 Calend 01'!C77),('V06 Calend 01'!F77+'V06 Calend 01'!G77),0)+IF(AND(('V06 Calend 01'!E77&gt;0),(74&gt;'V06 Calend 01'!C77),(74&lt;'V06 Calend 01'!D77),(MOD((74-'V06 Calend 01'!C77),6)=0),(((74-'V06 Calend 01'!C77)/6)&lt;='V06 Calend 01'!E77)),IF((74=('V06 Calend 01'!C77+(6*'V06 Calend 01'!E77))),('V06 Calend 01'!H77-('V06 Calend 01'!I77*('V06 Calend 01'!E77-1))),'V06 Calend 01'!I77),0))+IF((74='V06 Calend 01'!D77),'V06 Calend 01'!J77,0))</f>
        <v>0</v>
      </c>
      <c r="CI77" s="2">
        <f>((IF((75='V06 Calend 01'!C77),('V06 Calend 01'!F77+'V06 Calend 01'!G77),0)+IF(AND(('V06 Calend 01'!E77&gt;0),(75&gt;'V06 Calend 01'!C77),(75&lt;'V06 Calend 01'!D77),(MOD((75-'V06 Calend 01'!C77),6)=0),(((75-'V06 Calend 01'!C77)/6)&lt;='V06 Calend 01'!E77)),IF((75=('V06 Calend 01'!C77+(6*'V06 Calend 01'!E77))),('V06 Calend 01'!H77-('V06 Calend 01'!I77*('V06 Calend 01'!E77-1))),'V06 Calend 01'!I77),0))+IF((75='V06 Calend 01'!D77),'V06 Calend 01'!J77,0))</f>
        <v>0</v>
      </c>
      <c r="CJ77" s="2">
        <f>((IF((76='V06 Calend 01'!C77),('V06 Calend 01'!F77+'V06 Calend 01'!G77),0)+IF(AND(('V06 Calend 01'!E77&gt;0),(76&gt;'V06 Calend 01'!C77),(76&lt;'V06 Calend 01'!D77),(MOD((76-'V06 Calend 01'!C77),6)=0),(((76-'V06 Calend 01'!C77)/6)&lt;='V06 Calend 01'!E77)),IF((76=('V06 Calend 01'!C77+(6*'V06 Calend 01'!E77))),('V06 Calend 01'!H77-('V06 Calend 01'!I77*('V06 Calend 01'!E77-1))),'V06 Calend 01'!I77),0))+IF((76='V06 Calend 01'!D77),'V06 Calend 01'!J77,0))</f>
        <v>0</v>
      </c>
      <c r="CK77" s="2">
        <f>((IF((77='V06 Calend 01'!C77),('V06 Calend 01'!F77+'V06 Calend 01'!G77),0)+IF(AND(('V06 Calend 01'!E77&gt;0),(77&gt;'V06 Calend 01'!C77),(77&lt;'V06 Calend 01'!D77),(MOD((77-'V06 Calend 01'!C77),6)=0),(((77-'V06 Calend 01'!C77)/6)&lt;='V06 Calend 01'!E77)),IF((77=('V06 Calend 01'!C77+(6*'V06 Calend 01'!E77))),('V06 Calend 01'!H77-('V06 Calend 01'!I77*('V06 Calend 01'!E77-1))),'V06 Calend 01'!I77),0))+IF((77='V06 Calend 01'!D77),'V06 Calend 01'!J77,0))</f>
        <v>0</v>
      </c>
      <c r="CL77" s="2">
        <f>((IF((78='V06 Calend 01'!C77),('V06 Calend 01'!F77+'V06 Calend 01'!G77),0)+IF(AND(('V06 Calend 01'!E77&gt;0),(78&gt;'V06 Calend 01'!C77),(78&lt;'V06 Calend 01'!D77),(MOD((78-'V06 Calend 01'!C77),6)=0),(((78-'V06 Calend 01'!C77)/6)&lt;='V06 Calend 01'!E77)),IF((78=('V06 Calend 01'!C77+(6*'V06 Calend 01'!E77))),('V06 Calend 01'!H77-('V06 Calend 01'!I77*('V06 Calend 01'!E77-1))),'V06 Calend 01'!I77),0))+IF((78='V06 Calend 01'!D77),'V06 Calend 01'!J77,0))</f>
        <v>0</v>
      </c>
      <c r="CM77" s="2">
        <f>((IF((79='V06 Calend 01'!C77),('V06 Calend 01'!F77+'V06 Calend 01'!G77),0)+IF(AND(('V06 Calend 01'!E77&gt;0),(79&gt;'V06 Calend 01'!C77),(79&lt;'V06 Calend 01'!D77),(MOD((79-'V06 Calend 01'!C77),6)=0),(((79-'V06 Calend 01'!C77)/6)&lt;='V06 Calend 01'!E77)),IF((79=('V06 Calend 01'!C77+(6*'V06 Calend 01'!E77))),('V06 Calend 01'!H77-('V06 Calend 01'!I77*('V06 Calend 01'!E77-1))),'V06 Calend 01'!I77),0))+IF((79='V06 Calend 01'!D77),'V06 Calend 01'!J77,0))</f>
        <v>0</v>
      </c>
      <c r="CN77" s="2">
        <f>((IF((80='V06 Calend 01'!C77),('V06 Calend 01'!F77+'V06 Calend 01'!G77),0)+IF(AND(('V06 Calend 01'!E77&gt;0),(80&gt;'V06 Calend 01'!C77),(80&lt;'V06 Calend 01'!D77),(MOD((80-'V06 Calend 01'!C77),6)=0),(((80-'V06 Calend 01'!C77)/6)&lt;='V06 Calend 01'!E77)),IF((80=('V06 Calend 01'!C77+(6*'V06 Calend 01'!E77))),('V06 Calend 01'!H77-('V06 Calend 01'!I77*('V06 Calend 01'!E77-1))),'V06 Calend 01'!I77),0))+IF((80='V06 Calend 01'!D77),'V06 Calend 01'!J77,0))</f>
        <v>0</v>
      </c>
      <c r="CO77" s="2">
        <f>((IF((81='V06 Calend 01'!C77),('V06 Calend 01'!F77+'V06 Calend 01'!G77),0)+IF(AND(('V06 Calend 01'!E77&gt;0),(81&gt;'V06 Calend 01'!C77),(81&lt;'V06 Calend 01'!D77),(MOD((81-'V06 Calend 01'!C77),6)=0),(((81-'V06 Calend 01'!C77)/6)&lt;='V06 Calend 01'!E77)),IF((81=('V06 Calend 01'!C77+(6*'V06 Calend 01'!E77))),('V06 Calend 01'!H77-('V06 Calend 01'!I77*('V06 Calend 01'!E77-1))),'V06 Calend 01'!I77),0))+IF((81='V06 Calend 01'!D77),'V06 Calend 01'!J77,0))</f>
        <v>0</v>
      </c>
      <c r="CP77" s="2">
        <f>((IF((82='V06 Calend 01'!C77),('V06 Calend 01'!F77+'V06 Calend 01'!G77),0)+IF(AND(('V06 Calend 01'!E77&gt;0),(82&gt;'V06 Calend 01'!C77),(82&lt;'V06 Calend 01'!D77),(MOD((82-'V06 Calend 01'!C77),6)=0),(((82-'V06 Calend 01'!C77)/6)&lt;='V06 Calend 01'!E77)),IF((82=('V06 Calend 01'!C77+(6*'V06 Calend 01'!E77))),('V06 Calend 01'!H77-('V06 Calend 01'!I77*('V06 Calend 01'!E77-1))),'V06 Calend 01'!I77),0))+IF((82='V06 Calend 01'!D77),'V06 Calend 01'!J77,0))</f>
        <v>0</v>
      </c>
      <c r="CQ77" s="2">
        <f>((IF((83='V06 Calend 01'!C77),('V06 Calend 01'!F77+'V06 Calend 01'!G77),0)+IF(AND(('V06 Calend 01'!E77&gt;0),(83&gt;'V06 Calend 01'!C77),(83&lt;'V06 Calend 01'!D77),(MOD((83-'V06 Calend 01'!C77),6)=0),(((83-'V06 Calend 01'!C77)/6)&lt;='V06 Calend 01'!E77)),IF((83=('V06 Calend 01'!C77+(6*'V06 Calend 01'!E77))),('V06 Calend 01'!H77-('V06 Calend 01'!I77*('V06 Calend 01'!E77-1))),'V06 Calend 01'!I77),0))+IF((83='V06 Calend 01'!D77),'V06 Calend 01'!J77,0))</f>
        <v>0</v>
      </c>
      <c r="CR77" s="2">
        <f>((IF((84='V06 Calend 01'!C77),('V06 Calend 01'!F77+'V06 Calend 01'!G77),0)+IF(AND(('V06 Calend 01'!E77&gt;0),(84&gt;'V06 Calend 01'!C77),(84&lt;'V06 Calend 01'!D77),(MOD((84-'V06 Calend 01'!C77),6)=0),(((84-'V06 Calend 01'!C77)/6)&lt;='V06 Calend 01'!E77)),IF((84=('V06 Calend 01'!C77+(6*'V06 Calend 01'!E77))),('V06 Calend 01'!H77-('V06 Calend 01'!I77*('V06 Calend 01'!E77-1))),'V06 Calend 01'!I77),0))+IF((84='V06 Calend 01'!D77),'V06 Calend 01'!J77,0))</f>
        <v>0</v>
      </c>
      <c r="CS77" s="2">
        <f>((IF((85='V06 Calend 01'!C77),('V06 Calend 01'!F77+'V06 Calend 01'!G77),0)+IF(AND(('V06 Calend 01'!E77&gt;0),(85&gt;'V06 Calend 01'!C77),(85&lt;'V06 Calend 01'!D77),(MOD((85-'V06 Calend 01'!C77),6)=0),(((85-'V06 Calend 01'!C77)/6)&lt;='V06 Calend 01'!E77)),IF((85=('V06 Calend 01'!C77+(6*'V06 Calend 01'!E77))),('V06 Calend 01'!H77-('V06 Calend 01'!I77*('V06 Calend 01'!E77-1))),'V06 Calend 01'!I77),0))+IF((85='V06 Calend 01'!D77),'V06 Calend 01'!J77,0))</f>
        <v>0</v>
      </c>
      <c r="CT77" s="2">
        <f>((IF((86='V06 Calend 01'!C77),('V06 Calend 01'!F77+'V06 Calend 01'!G77),0)+IF(AND(('V06 Calend 01'!E77&gt;0),(86&gt;'V06 Calend 01'!C77),(86&lt;'V06 Calend 01'!D77),(MOD((86-'V06 Calend 01'!C77),6)=0),(((86-'V06 Calend 01'!C77)/6)&lt;='V06 Calend 01'!E77)),IF((86=('V06 Calend 01'!C77+(6*'V06 Calend 01'!E77))),('V06 Calend 01'!H77-('V06 Calend 01'!I77*('V06 Calend 01'!E77-1))),'V06 Calend 01'!I77),0))+IF((86='V06 Calend 01'!D77),'V06 Calend 01'!J77,0))</f>
        <v>0</v>
      </c>
      <c r="CU77" s="2">
        <f>((IF((87='V06 Calend 01'!C77),('V06 Calend 01'!F77+'V06 Calend 01'!G77),0)+IF(AND(('V06 Calend 01'!E77&gt;0),(87&gt;'V06 Calend 01'!C77),(87&lt;'V06 Calend 01'!D77),(MOD((87-'V06 Calend 01'!C77),6)=0),(((87-'V06 Calend 01'!C77)/6)&lt;='V06 Calend 01'!E77)),IF((87=('V06 Calend 01'!C77+(6*'V06 Calend 01'!E77))),('V06 Calend 01'!H77-('V06 Calend 01'!I77*('V06 Calend 01'!E77-1))),'V06 Calend 01'!I77),0))+IF((87='V06 Calend 01'!D77),'V06 Calend 01'!J77,0))</f>
        <v>0</v>
      </c>
      <c r="CV77" s="2">
        <f>((IF((88='V06 Calend 01'!C77),('V06 Calend 01'!F77+'V06 Calend 01'!G77),0)+IF(AND(('V06 Calend 01'!E77&gt;0),(88&gt;'V06 Calend 01'!C77),(88&lt;'V06 Calend 01'!D77),(MOD((88-'V06 Calend 01'!C77),6)=0),(((88-'V06 Calend 01'!C77)/6)&lt;='V06 Calend 01'!E77)),IF((88=('V06 Calend 01'!C77+(6*'V06 Calend 01'!E77))),('V06 Calend 01'!H77-('V06 Calend 01'!I77*('V06 Calend 01'!E77-1))),'V06 Calend 01'!I77),0))+IF((88='V06 Calend 01'!D77),'V06 Calend 01'!J77,0))</f>
        <v>0</v>
      </c>
      <c r="CW77" s="2">
        <f>((IF((89='V06 Calend 01'!C77),('V06 Calend 01'!F77+'V06 Calend 01'!G77),0)+IF(AND(('V06 Calend 01'!E77&gt;0),(89&gt;'V06 Calend 01'!C77),(89&lt;'V06 Calend 01'!D77),(MOD((89-'V06 Calend 01'!C77),6)=0),(((89-'V06 Calend 01'!C77)/6)&lt;='V06 Calend 01'!E77)),IF((89=('V06 Calend 01'!C77+(6*'V06 Calend 01'!E77))),('V06 Calend 01'!H77-('V06 Calend 01'!I77*('V06 Calend 01'!E77-1))),'V06 Calend 01'!I77),0))+IF((89='V06 Calend 01'!D77),'V06 Calend 01'!J77,0))</f>
        <v>0</v>
      </c>
      <c r="CX77" s="2">
        <f>((IF((90='V06 Calend 01'!C77),('V06 Calend 01'!F77+'V06 Calend 01'!G77),0)+IF(AND(('V06 Calend 01'!E77&gt;0),(90&gt;'V06 Calend 01'!C77),(90&lt;'V06 Calend 01'!D77),(MOD((90-'V06 Calend 01'!C77),6)=0),(((90-'V06 Calend 01'!C77)/6)&lt;='V06 Calend 01'!E77)),IF((90=('V06 Calend 01'!C77+(6*'V06 Calend 01'!E77))),('V06 Calend 01'!H77-('V06 Calend 01'!I77*('V06 Calend 01'!E77-1))),'V06 Calend 01'!I77),0))+IF((90='V06 Calend 01'!D77),'V06 Calend 01'!J77,0))</f>
        <v>0</v>
      </c>
      <c r="CY77" s="2">
        <f>((IF((91='V06 Calend 01'!C77),('V06 Calend 01'!F77+'V06 Calend 01'!G77),0)+IF(AND(('V06 Calend 01'!E77&gt;0),(91&gt;'V06 Calend 01'!C77),(91&lt;'V06 Calend 01'!D77),(MOD((91-'V06 Calend 01'!C77),6)=0),(((91-'V06 Calend 01'!C77)/6)&lt;='V06 Calend 01'!E77)),IF((91=('V06 Calend 01'!C77+(6*'V06 Calend 01'!E77))),('V06 Calend 01'!H77-('V06 Calend 01'!I77*('V06 Calend 01'!E77-1))),'V06 Calend 01'!I77),0))+IF((91='V06 Calend 01'!D77),'V06 Calend 01'!J77,0))</f>
        <v>0</v>
      </c>
      <c r="CZ77" s="2">
        <f>((IF((92='V06 Calend 01'!C77),('V06 Calend 01'!F77+'V06 Calend 01'!G77),0)+IF(AND(('V06 Calend 01'!E77&gt;0),(92&gt;'V06 Calend 01'!C77),(92&lt;'V06 Calend 01'!D77),(MOD((92-'V06 Calend 01'!C77),6)=0),(((92-'V06 Calend 01'!C77)/6)&lt;='V06 Calend 01'!E77)),IF((92=('V06 Calend 01'!C77+(6*'V06 Calend 01'!E77))),('V06 Calend 01'!H77-('V06 Calend 01'!I77*('V06 Calend 01'!E77-1))),'V06 Calend 01'!I77),0))+IF((92='V06 Calend 01'!D77),'V06 Calend 01'!J77,0))</f>
        <v>0</v>
      </c>
      <c r="DA77" s="2">
        <f>((IF((93='V06 Calend 01'!C77),('V06 Calend 01'!F77+'V06 Calend 01'!G77),0)+IF(AND(('V06 Calend 01'!E77&gt;0),(93&gt;'V06 Calend 01'!C77),(93&lt;'V06 Calend 01'!D77),(MOD((93-'V06 Calend 01'!C77),6)=0),(((93-'V06 Calend 01'!C77)/6)&lt;='V06 Calend 01'!E77)),IF((93=('V06 Calend 01'!C77+(6*'V06 Calend 01'!E77))),('V06 Calend 01'!H77-('V06 Calend 01'!I77*('V06 Calend 01'!E77-1))),'V06 Calend 01'!I77),0))+IF((93='V06 Calend 01'!D77),'V06 Calend 01'!J77,0))</f>
        <v>0</v>
      </c>
      <c r="DB77" s="2">
        <f>((IF((94='V06 Calend 01'!C77),('V06 Calend 01'!F77+'V06 Calend 01'!G77),0)+IF(AND(('V06 Calend 01'!E77&gt;0),(94&gt;'V06 Calend 01'!C77),(94&lt;'V06 Calend 01'!D77),(MOD((94-'V06 Calend 01'!C77),6)=0),(((94-'V06 Calend 01'!C77)/6)&lt;='V06 Calend 01'!E77)),IF((94=('V06 Calend 01'!C77+(6*'V06 Calend 01'!E77))),('V06 Calend 01'!H77-('V06 Calend 01'!I77*('V06 Calend 01'!E77-1))),'V06 Calend 01'!I77),0))+IF((94='V06 Calend 01'!D77),'V06 Calend 01'!J77,0))</f>
        <v>0</v>
      </c>
      <c r="DC77" s="2">
        <f>((IF((95='V06 Calend 01'!C77),('V06 Calend 01'!F77+'V06 Calend 01'!G77),0)+IF(AND(('V06 Calend 01'!E77&gt;0),(95&gt;'V06 Calend 01'!C77),(95&lt;'V06 Calend 01'!D77),(MOD((95-'V06 Calend 01'!C77),6)=0),(((95-'V06 Calend 01'!C77)/6)&lt;='V06 Calend 01'!E77)),IF((95=('V06 Calend 01'!C77+(6*'V06 Calend 01'!E77))),('V06 Calend 01'!H77-('V06 Calend 01'!I77*('V06 Calend 01'!E77-1))),'V06 Calend 01'!I77),0))+IF((95='V06 Calend 01'!D77),'V06 Calend 01'!J77,0))</f>
        <v>0</v>
      </c>
      <c r="DD77" s="2">
        <f>((IF((96='V06 Calend 01'!C77),('V06 Calend 01'!F77+'V06 Calend 01'!G77),0)+IF(AND(('V06 Calend 01'!E77&gt;0),(96&gt;'V06 Calend 01'!C77),(96&lt;'V06 Calend 01'!D77),(MOD((96-'V06 Calend 01'!C77),6)=0),(((96-'V06 Calend 01'!C77)/6)&lt;='V06 Calend 01'!E77)),IF((96=('V06 Calend 01'!C77+(6*'V06 Calend 01'!E77))),('V06 Calend 01'!H77-('V06 Calend 01'!I77*('V06 Calend 01'!E77-1))),'V06 Calend 01'!I77),0))+IF((96='V06 Calend 01'!D77),'V06 Calend 01'!J77,0))</f>
        <v>0</v>
      </c>
      <c r="DE77" s="2">
        <f>((IF((97='V06 Calend 01'!C77),('V06 Calend 01'!F77+'V06 Calend 01'!G77),0)+IF(AND(('V06 Calend 01'!E77&gt;0),(97&gt;'V06 Calend 01'!C77),(97&lt;'V06 Calend 01'!D77),(MOD((97-'V06 Calend 01'!C77),6)=0),(((97-'V06 Calend 01'!C77)/6)&lt;='V06 Calend 01'!E77)),IF((97=('V06 Calend 01'!C77+(6*'V06 Calend 01'!E77))),('V06 Calend 01'!H77-('V06 Calend 01'!I77*('V06 Calend 01'!E77-1))),'V06 Calend 01'!I77),0))+IF((97='V06 Calend 01'!D77),'V06 Calend 01'!J77,0))</f>
        <v>0</v>
      </c>
      <c r="DF77" s="2">
        <f>((IF((98='V06 Calend 01'!C77),('V06 Calend 01'!F77+'V06 Calend 01'!G77),0)+IF(AND(('V06 Calend 01'!E77&gt;0),(98&gt;'V06 Calend 01'!C77),(98&lt;'V06 Calend 01'!D77),(MOD((98-'V06 Calend 01'!C77),6)=0),(((98-'V06 Calend 01'!C77)/6)&lt;='V06 Calend 01'!E77)),IF((98=('V06 Calend 01'!C77+(6*'V06 Calend 01'!E77))),('V06 Calend 01'!H77-('V06 Calend 01'!I77*('V06 Calend 01'!E77-1))),'V06 Calend 01'!I77),0))+IF((98='V06 Calend 01'!D77),'V06 Calend 01'!J77,0))</f>
        <v>0</v>
      </c>
      <c r="DG77" s="2">
        <f>((IF((99='V06 Calend 01'!C77),('V06 Calend 01'!F77+'V06 Calend 01'!G77),0)+IF(AND(('V06 Calend 01'!E77&gt;0),(99&gt;'V06 Calend 01'!C77),(99&lt;'V06 Calend 01'!D77),(MOD((99-'V06 Calend 01'!C77),6)=0),(((99-'V06 Calend 01'!C77)/6)&lt;='V06 Calend 01'!E77)),IF((99=('V06 Calend 01'!C77+(6*'V06 Calend 01'!E77))),('V06 Calend 01'!H77-('V06 Calend 01'!I77*('V06 Calend 01'!E77-1))),'V06 Calend 01'!I77),0))+IF((99='V06 Calend 01'!D77),'V06 Calend 01'!J77,0))</f>
        <v>0</v>
      </c>
      <c r="DH77" s="2">
        <f>((IF((100='V06 Calend 01'!C77),('V06 Calend 01'!F77+'V06 Calend 01'!G77),0)+IF(AND(('V06 Calend 01'!E77&gt;0),(100&gt;'V06 Calend 01'!C77),(100&lt;'V06 Calend 01'!D77),(MOD((100-'V06 Calend 01'!C77),6)=0),(((100-'V06 Calend 01'!C77)/6)&lt;='V06 Calend 01'!E77)),IF((100=('V06 Calend 01'!C77+(6*'V06 Calend 01'!E77))),('V06 Calend 01'!H77-('V06 Calend 01'!I77*('V06 Calend 01'!E77-1))),'V06 Calend 01'!I77),0))+IF((100='V06 Calend 01'!D77),'V06 Calend 01'!J77,0))</f>
        <v>0</v>
      </c>
      <c r="DI77" s="2">
        <f>((IF((101='V06 Calend 01'!C77),('V06 Calend 01'!F77+'V06 Calend 01'!G77),0)+IF(AND(('V06 Calend 01'!E77&gt;0),(101&gt;'V06 Calend 01'!C77),(101&lt;'V06 Calend 01'!D77),(MOD((101-'V06 Calend 01'!C77),6)=0),(((101-'V06 Calend 01'!C77)/6)&lt;='V06 Calend 01'!E77)),IF((101=('V06 Calend 01'!C77+(6*'V06 Calend 01'!E77))),('V06 Calend 01'!H77-('V06 Calend 01'!I77*('V06 Calend 01'!E77-1))),'V06 Calend 01'!I77),0))+IF((101='V06 Calend 01'!D77),'V06 Calend 01'!J77,0))</f>
        <v>0</v>
      </c>
      <c r="DJ77" s="2">
        <f>((IF((102='V06 Calend 01'!C77),('V06 Calend 01'!F77+'V06 Calend 01'!G77),0)+IF(AND(('V06 Calend 01'!E77&gt;0),(102&gt;'V06 Calend 01'!C77),(102&lt;'V06 Calend 01'!D77),(MOD((102-'V06 Calend 01'!C77),6)=0),(((102-'V06 Calend 01'!C77)/6)&lt;='V06 Calend 01'!E77)),IF((102=('V06 Calend 01'!C77+(6*'V06 Calend 01'!E77))),('V06 Calend 01'!H77-('V06 Calend 01'!I77*('V06 Calend 01'!E77-1))),'V06 Calend 01'!I77),0))+IF((102='V06 Calend 01'!D77),'V06 Calend 01'!J77,0))</f>
        <v>0</v>
      </c>
      <c r="DK77" s="2">
        <f>((IF((103='V06 Calend 01'!C77),('V06 Calend 01'!F77+'V06 Calend 01'!G77),0)+IF(AND(('V06 Calend 01'!E77&gt;0),(103&gt;'V06 Calend 01'!C77),(103&lt;'V06 Calend 01'!D77),(MOD((103-'V06 Calend 01'!C77),6)=0),(((103-'V06 Calend 01'!C77)/6)&lt;='V06 Calend 01'!E77)),IF((103=('V06 Calend 01'!C77+(6*'V06 Calend 01'!E77))),('V06 Calend 01'!H77-('V06 Calend 01'!I77*('V06 Calend 01'!E77-1))),'V06 Calend 01'!I77),0))+IF((103='V06 Calend 01'!D77),'V06 Calend 01'!J77,0))</f>
        <v>0</v>
      </c>
      <c r="DL77" s="2">
        <f>((IF((104='V06 Calend 01'!C77),('V06 Calend 01'!F77+'V06 Calend 01'!G77),0)+IF(AND(('V06 Calend 01'!E77&gt;0),(104&gt;'V06 Calend 01'!C77),(104&lt;'V06 Calend 01'!D77),(MOD((104-'V06 Calend 01'!C77),6)=0),(((104-'V06 Calend 01'!C77)/6)&lt;='V06 Calend 01'!E77)),IF((104=('V06 Calend 01'!C77+(6*'V06 Calend 01'!E77))),('V06 Calend 01'!H77-('V06 Calend 01'!I77*('V06 Calend 01'!E77-1))),'V06 Calend 01'!I77),0))+IF((104='V06 Calend 01'!D77),'V06 Calend 01'!J77,0))</f>
        <v>0</v>
      </c>
      <c r="DM77" s="2">
        <f>((IF((105='V06 Calend 01'!C77),('V06 Calend 01'!F77+'V06 Calend 01'!G77),0)+IF(AND(('V06 Calend 01'!E77&gt;0),(105&gt;'V06 Calend 01'!C77),(105&lt;'V06 Calend 01'!D77),(MOD((105-'V06 Calend 01'!C77),6)=0),(((105-'V06 Calend 01'!C77)/6)&lt;='V06 Calend 01'!E77)),IF((105=('V06 Calend 01'!C77+(6*'V06 Calend 01'!E77))),('V06 Calend 01'!H77-('V06 Calend 01'!I77*('V06 Calend 01'!E77-1))),'V06 Calend 01'!I77),0))+IF((105='V06 Calend 01'!D77),'V06 Calend 01'!J77,0))</f>
        <v>0</v>
      </c>
      <c r="DN77" s="2">
        <f>((IF((106='V06 Calend 01'!C77),('V06 Calend 01'!F77+'V06 Calend 01'!G77),0)+IF(AND(('V06 Calend 01'!E77&gt;0),(106&gt;'V06 Calend 01'!C77),(106&lt;'V06 Calend 01'!D77),(MOD((106-'V06 Calend 01'!C77),6)=0),(((106-'V06 Calend 01'!C77)/6)&lt;='V06 Calend 01'!E77)),IF((106=('V06 Calend 01'!C77+(6*'V06 Calend 01'!E77))),('V06 Calend 01'!H77-('V06 Calend 01'!I77*('V06 Calend 01'!E77-1))),'V06 Calend 01'!I77),0))+IF((106='V06 Calend 01'!D77),'V06 Calend 01'!J77,0))</f>
        <v>0</v>
      </c>
      <c r="DO77" s="2">
        <f>((IF((107='V06 Calend 01'!C77),('V06 Calend 01'!F77+'V06 Calend 01'!G77),0)+IF(AND(('V06 Calend 01'!E77&gt;0),(107&gt;'V06 Calend 01'!C77),(107&lt;'V06 Calend 01'!D77),(MOD((107-'V06 Calend 01'!C77),6)=0),(((107-'V06 Calend 01'!C77)/6)&lt;='V06 Calend 01'!E77)),IF((107=('V06 Calend 01'!C77+(6*'V06 Calend 01'!E77))),('V06 Calend 01'!H77-('V06 Calend 01'!I77*('V06 Calend 01'!E77-1))),'V06 Calend 01'!I77),0))+IF((107='V06 Calend 01'!D77),'V06 Calend 01'!J77,0))</f>
        <v>0</v>
      </c>
      <c r="DP77" s="2">
        <f>((IF((108='V06 Calend 01'!C77),('V06 Calend 01'!F77+'V06 Calend 01'!G77),0)+IF(AND(('V06 Calend 01'!E77&gt;0),(108&gt;'V06 Calend 01'!C77),(108&lt;'V06 Calend 01'!D77),(MOD((108-'V06 Calend 01'!C77),6)=0),(((108-'V06 Calend 01'!C77)/6)&lt;='V06 Calend 01'!E77)),IF((108=('V06 Calend 01'!C77+(6*'V06 Calend 01'!E77))),('V06 Calend 01'!H77-('V06 Calend 01'!I77*('V06 Calend 01'!E77-1))),'V06 Calend 01'!I77),0))+IF((108='V06 Calend 01'!D77),'V06 Calend 01'!J77,0))</f>
        <v>0</v>
      </c>
      <c r="DQ77" s="2">
        <f>((IF((109='V06 Calend 01'!C77),('V06 Calend 01'!F77+'V06 Calend 01'!G77),0)+IF(AND(('V06 Calend 01'!E77&gt;0),(109&gt;'V06 Calend 01'!C77),(109&lt;'V06 Calend 01'!D77),(MOD((109-'V06 Calend 01'!C77),6)=0),(((109-'V06 Calend 01'!C77)/6)&lt;='V06 Calend 01'!E77)),IF((109=('V06 Calend 01'!C77+(6*'V06 Calend 01'!E77))),('V06 Calend 01'!H77-('V06 Calend 01'!I77*('V06 Calend 01'!E77-1))),'V06 Calend 01'!I77),0))+IF((109='V06 Calend 01'!D77),'V06 Calend 01'!J77,0))</f>
        <v>0</v>
      </c>
      <c r="DR77" s="2">
        <f>((IF((110='V06 Calend 01'!C77),('V06 Calend 01'!F77+'V06 Calend 01'!G77),0)+IF(AND(('V06 Calend 01'!E77&gt;0),(110&gt;'V06 Calend 01'!C77),(110&lt;'V06 Calend 01'!D77),(MOD((110-'V06 Calend 01'!C77),6)=0),(((110-'V06 Calend 01'!C77)/6)&lt;='V06 Calend 01'!E77)),IF((110=('V06 Calend 01'!C77+(6*'V06 Calend 01'!E77))),('V06 Calend 01'!H77-('V06 Calend 01'!I77*('V06 Calend 01'!E77-1))),'V06 Calend 01'!I77),0))+IF((110='V06 Calend 01'!D77),'V06 Calend 01'!J77,0))</f>
        <v>0</v>
      </c>
      <c r="DS77" s="2">
        <f>((IF((111='V06 Calend 01'!C77),('V06 Calend 01'!F77+'V06 Calend 01'!G77),0)+IF(AND(('V06 Calend 01'!E77&gt;0),(111&gt;'V06 Calend 01'!C77),(111&lt;'V06 Calend 01'!D77),(MOD((111-'V06 Calend 01'!C77),6)=0),(((111-'V06 Calend 01'!C77)/6)&lt;='V06 Calend 01'!E77)),IF((111=('V06 Calend 01'!C77+(6*'V06 Calend 01'!E77))),('V06 Calend 01'!H77-('V06 Calend 01'!I77*('V06 Calend 01'!E77-1))),'V06 Calend 01'!I77),0))+IF((111='V06 Calend 01'!D77),'V06 Calend 01'!J77,0))</f>
        <v>0</v>
      </c>
      <c r="DT77" s="2">
        <f>((IF((112='V06 Calend 01'!C77),('V06 Calend 01'!F77+'V06 Calend 01'!G77),0)+IF(AND(('V06 Calend 01'!E77&gt;0),(112&gt;'V06 Calend 01'!C77),(112&lt;'V06 Calend 01'!D77),(MOD((112-'V06 Calend 01'!C77),6)=0),(((112-'V06 Calend 01'!C77)/6)&lt;='V06 Calend 01'!E77)),IF((112=('V06 Calend 01'!C77+(6*'V06 Calend 01'!E77))),('V06 Calend 01'!H77-('V06 Calend 01'!I77*('V06 Calend 01'!E77-1))),'V06 Calend 01'!I77),0))+IF((112='V06 Calend 01'!D77),'V06 Calend 01'!J77,0))</f>
        <v>0</v>
      </c>
      <c r="DU77" s="2">
        <f>((IF((113='V06 Calend 01'!C77),('V06 Calend 01'!F77+'V06 Calend 01'!G77),0)+IF(AND(('V06 Calend 01'!E77&gt;0),(113&gt;'V06 Calend 01'!C77),(113&lt;'V06 Calend 01'!D77),(MOD((113-'V06 Calend 01'!C77),6)=0),(((113-'V06 Calend 01'!C77)/6)&lt;='V06 Calend 01'!E77)),IF((113=('V06 Calend 01'!C77+(6*'V06 Calend 01'!E77))),('V06 Calend 01'!H77-('V06 Calend 01'!I77*('V06 Calend 01'!E77-1))),'V06 Calend 01'!I77),0))+IF((113='V06 Calend 01'!D77),'V06 Calend 01'!J77,0))</f>
        <v>0</v>
      </c>
      <c r="DV77" s="2">
        <f>((IF((114='V06 Calend 01'!C77),('V06 Calend 01'!F77+'V06 Calend 01'!G77),0)+IF(AND(('V06 Calend 01'!E77&gt;0),(114&gt;'V06 Calend 01'!C77),(114&lt;'V06 Calend 01'!D77),(MOD((114-'V06 Calend 01'!C77),6)=0),(((114-'V06 Calend 01'!C77)/6)&lt;='V06 Calend 01'!E77)),IF((114=('V06 Calend 01'!C77+(6*'V06 Calend 01'!E77))),('V06 Calend 01'!H77-('V06 Calend 01'!I77*('V06 Calend 01'!E77-1))),'V06 Calend 01'!I77),0))+IF((114='V06 Calend 01'!D77),'V06 Calend 01'!J77,0))</f>
        <v>0</v>
      </c>
      <c r="DW77" s="2">
        <f>((IF((115='V06 Calend 01'!C77),('V06 Calend 01'!F77+'V06 Calend 01'!G77),0)+IF(AND(('V06 Calend 01'!E77&gt;0),(115&gt;'V06 Calend 01'!C77),(115&lt;'V06 Calend 01'!D77),(MOD((115-'V06 Calend 01'!C77),6)=0),(((115-'V06 Calend 01'!C77)/6)&lt;='V06 Calend 01'!E77)),IF((115=('V06 Calend 01'!C77+(6*'V06 Calend 01'!E77))),('V06 Calend 01'!H77-('V06 Calend 01'!I77*('V06 Calend 01'!E77-1))),'V06 Calend 01'!I77),0))+IF((115='V06 Calend 01'!D77),'V06 Calend 01'!J77,0))</f>
        <v>0</v>
      </c>
      <c r="DX77" s="2">
        <f>((IF((116='V06 Calend 01'!C77),('V06 Calend 01'!F77+'V06 Calend 01'!G77),0)+IF(AND(('V06 Calend 01'!E77&gt;0),(116&gt;'V06 Calend 01'!C77),(116&lt;'V06 Calend 01'!D77),(MOD((116-'V06 Calend 01'!C77),6)=0),(((116-'V06 Calend 01'!C77)/6)&lt;='V06 Calend 01'!E77)),IF((116=('V06 Calend 01'!C77+(6*'V06 Calend 01'!E77))),('V06 Calend 01'!H77-('V06 Calend 01'!I77*('V06 Calend 01'!E77-1))),'V06 Calend 01'!I77),0))+IF((116='V06 Calend 01'!D77),'V06 Calend 01'!J77,0))</f>
        <v>0</v>
      </c>
      <c r="DY77" s="2">
        <f>((IF((117='V06 Calend 01'!C77),('V06 Calend 01'!F77+'V06 Calend 01'!G77),0)+IF(AND(('V06 Calend 01'!E77&gt;0),(117&gt;'V06 Calend 01'!C77),(117&lt;'V06 Calend 01'!D77),(MOD((117-'V06 Calend 01'!C77),6)=0),(((117-'V06 Calend 01'!C77)/6)&lt;='V06 Calend 01'!E77)),IF((117=('V06 Calend 01'!C77+(6*'V06 Calend 01'!E77))),('V06 Calend 01'!H77-('V06 Calend 01'!I77*('V06 Calend 01'!E77-1))),'V06 Calend 01'!I77),0))+IF((117='V06 Calend 01'!D77),'V06 Calend 01'!J77,0))</f>
        <v>0</v>
      </c>
      <c r="DZ77" s="2">
        <f>((IF((118='V06 Calend 01'!C77),('V06 Calend 01'!F77+'V06 Calend 01'!G77),0)+IF(AND(('V06 Calend 01'!E77&gt;0),(118&gt;'V06 Calend 01'!C77),(118&lt;'V06 Calend 01'!D77),(MOD((118-'V06 Calend 01'!C77),6)=0),(((118-'V06 Calend 01'!C77)/6)&lt;='V06 Calend 01'!E77)),IF((118=('V06 Calend 01'!C77+(6*'V06 Calend 01'!E77))),('V06 Calend 01'!H77-('V06 Calend 01'!I77*('V06 Calend 01'!E77-1))),'V06 Calend 01'!I77),0))+IF((118='V06 Calend 01'!D77),'V06 Calend 01'!J77,0))</f>
        <v>0</v>
      </c>
      <c r="EA77" s="2">
        <f>((IF((119='V06 Calend 01'!C77),('V06 Calend 01'!F77+'V06 Calend 01'!G77),0)+IF(AND(('V06 Calend 01'!E77&gt;0),(119&gt;'V06 Calend 01'!C77),(119&lt;'V06 Calend 01'!D77),(MOD((119-'V06 Calend 01'!C77),6)=0),(((119-'V06 Calend 01'!C77)/6)&lt;='V06 Calend 01'!E77)),IF((119=('V06 Calend 01'!C77+(6*'V06 Calend 01'!E77))),('V06 Calend 01'!H77-('V06 Calend 01'!I77*('V06 Calend 01'!E77-1))),'V06 Calend 01'!I77),0))+IF((119='V06 Calend 01'!D77),'V06 Calend 01'!J77,0))</f>
        <v>0</v>
      </c>
      <c r="EB77" s="2">
        <f>((IF((120='V06 Calend 01'!C77),('V06 Calend 01'!F77+'V06 Calend 01'!G77),0)+IF(AND(('V06 Calend 01'!E77&gt;0),(120&gt;'V06 Calend 01'!C77),(120&lt;'V06 Calend 01'!D77),(MOD((120-'V06 Calend 01'!C77),6)=0),(((120-'V06 Calend 01'!C77)/6)&lt;='V06 Calend 01'!E77)),IF((120=('V06 Calend 01'!C77+(6*'V06 Calend 01'!E77))),('V06 Calend 01'!H77-('V06 Calend 01'!I77*('V06 Calend 01'!E77-1))),'V06 Calend 01'!I77),0))+IF((120='V06 Calend 01'!D77),'V06 Calend 01'!J77,0))</f>
        <v>0</v>
      </c>
      <c r="EC77" s="2">
        <f>((IF((121='V06 Calend 01'!C77),('V06 Calend 01'!F77+'V06 Calend 01'!G77),0)+IF(AND(('V06 Calend 01'!E77&gt;0),(121&gt;'V06 Calend 01'!C77),(121&lt;'V06 Calend 01'!D77),(MOD((121-'V06 Calend 01'!C77),6)=0),(((121-'V06 Calend 01'!C77)/6)&lt;='V06 Calend 01'!E77)),IF((121=('V06 Calend 01'!C77+(6*'V06 Calend 01'!E77))),('V06 Calend 01'!H77-('V06 Calend 01'!I77*('V06 Calend 01'!E77-1))),'V06 Calend 01'!I77),0))+IF((121='V06 Calend 01'!D77),'V06 Calend 01'!J77,0))</f>
        <v>0</v>
      </c>
      <c r="ED77" s="2">
        <f>((IF((122='V06 Calend 01'!C77),('V06 Calend 01'!F77+'V06 Calend 01'!G77),0)+IF(AND(('V06 Calend 01'!E77&gt;0),(122&gt;'V06 Calend 01'!C77),(122&lt;'V06 Calend 01'!D77),(MOD((122-'V06 Calend 01'!C77),6)=0),(((122-'V06 Calend 01'!C77)/6)&lt;='V06 Calend 01'!E77)),IF((122=('V06 Calend 01'!C77+(6*'V06 Calend 01'!E77))),('V06 Calend 01'!H77-('V06 Calend 01'!I77*('V06 Calend 01'!E77-1))),'V06 Calend 01'!I77),0))+IF((122='V06 Calend 01'!D77),'V06 Calend 01'!J77,0))</f>
        <v>0</v>
      </c>
      <c r="EE77" s="2">
        <f>((IF((123='V06 Calend 01'!C77),('V06 Calend 01'!F77+'V06 Calend 01'!G77),0)+IF(AND(('V06 Calend 01'!E77&gt;0),(123&gt;'V06 Calend 01'!C77),(123&lt;'V06 Calend 01'!D77),(MOD((123-'V06 Calend 01'!C77),6)=0),(((123-'V06 Calend 01'!C77)/6)&lt;='V06 Calend 01'!E77)),IF((123=('V06 Calend 01'!C77+(6*'V06 Calend 01'!E77))),('V06 Calend 01'!H77-('V06 Calend 01'!I77*('V06 Calend 01'!E77-1))),'V06 Calend 01'!I77),0))+IF((123='V06 Calend 01'!D77),'V06 Calend 01'!J77,0))</f>
        <v>0</v>
      </c>
      <c r="EF77" s="2">
        <f>((IF((124='V06 Calend 01'!C77),('V06 Calend 01'!F77+'V06 Calend 01'!G77),0)+IF(AND(('V06 Calend 01'!E77&gt;0),(124&gt;'V06 Calend 01'!C77),(124&lt;'V06 Calend 01'!D77),(MOD((124-'V06 Calend 01'!C77),6)=0),(((124-'V06 Calend 01'!C77)/6)&lt;='V06 Calend 01'!E77)),IF((124=('V06 Calend 01'!C77+(6*'V06 Calend 01'!E77))),('V06 Calend 01'!H77-('V06 Calend 01'!I77*('V06 Calend 01'!E77-1))),'V06 Calend 01'!I77),0))+IF((124='V06 Calend 01'!D77),'V06 Calend 01'!J77,0))</f>
        <v>0</v>
      </c>
      <c r="EG77" s="2">
        <f>((IF((125='V06 Calend 01'!C77),('V06 Calend 01'!F77+'V06 Calend 01'!G77),0)+IF(AND(('V06 Calend 01'!E77&gt;0),(125&gt;'V06 Calend 01'!C77),(125&lt;'V06 Calend 01'!D77),(MOD((125-'V06 Calend 01'!C77),6)=0),(((125-'V06 Calend 01'!C77)/6)&lt;='V06 Calend 01'!E77)),IF((125=('V06 Calend 01'!C77+(6*'V06 Calend 01'!E77))),('V06 Calend 01'!H77-('V06 Calend 01'!I77*('V06 Calend 01'!E77-1))),'V06 Calend 01'!I77),0))+IF((125='V06 Calend 01'!D77),'V06 Calend 01'!J77,0))</f>
        <v>0</v>
      </c>
      <c r="EH77" s="2">
        <f>((IF((126='V06 Calend 01'!C77),('V06 Calend 01'!F77+'V06 Calend 01'!G77),0)+IF(AND(('V06 Calend 01'!E77&gt;0),(126&gt;'V06 Calend 01'!C77),(126&lt;'V06 Calend 01'!D77),(MOD((126-'V06 Calend 01'!C77),6)=0),(((126-'V06 Calend 01'!C77)/6)&lt;='V06 Calend 01'!E77)),IF((126=('V06 Calend 01'!C77+(6*'V06 Calend 01'!E77))),('V06 Calend 01'!H77-('V06 Calend 01'!I77*('V06 Calend 01'!E77-1))),'V06 Calend 01'!I77),0))+IF((126='V06 Calend 01'!D77),'V06 Calend 01'!J77,0))</f>
        <v>0</v>
      </c>
      <c r="EI77" s="2">
        <f>((IF((127='V06 Calend 01'!C77),('V06 Calend 01'!F77+'V06 Calend 01'!G77),0)+IF(AND(('V06 Calend 01'!E77&gt;0),(127&gt;'V06 Calend 01'!C77),(127&lt;'V06 Calend 01'!D77),(MOD((127-'V06 Calend 01'!C77),6)=0),(((127-'V06 Calend 01'!C77)/6)&lt;='V06 Calend 01'!E77)),IF((127=('V06 Calend 01'!C77+(6*'V06 Calend 01'!E77))),('V06 Calend 01'!H77-('V06 Calend 01'!I77*('V06 Calend 01'!E77-1))),'V06 Calend 01'!I77),0))+IF((127='V06 Calend 01'!D77),'V06 Calend 01'!J77,0))</f>
        <v>0</v>
      </c>
      <c r="EJ77" s="2">
        <f>((IF((128='V06 Calend 01'!C77),('V06 Calend 01'!F77+'V06 Calend 01'!G77),0)+IF(AND(('V06 Calend 01'!E77&gt;0),(128&gt;'V06 Calend 01'!C77),(128&lt;'V06 Calend 01'!D77),(MOD((128-'V06 Calend 01'!C77),6)=0),(((128-'V06 Calend 01'!C77)/6)&lt;='V06 Calend 01'!E77)),IF((128=('V06 Calend 01'!C77+(6*'V06 Calend 01'!E77))),('V06 Calend 01'!H77-('V06 Calend 01'!I77*('V06 Calend 01'!E77-1))),'V06 Calend 01'!I77),0))+IF((128='V06 Calend 01'!D77),'V06 Calend 01'!J77,0))</f>
        <v>0</v>
      </c>
      <c r="EK77" s="2">
        <f>((IF((129='V06 Calend 01'!C77),('V06 Calend 01'!F77+'V06 Calend 01'!G77),0)+IF(AND(('V06 Calend 01'!E77&gt;0),(129&gt;'V06 Calend 01'!C77),(129&lt;'V06 Calend 01'!D77),(MOD((129-'V06 Calend 01'!C77),6)=0),(((129-'V06 Calend 01'!C77)/6)&lt;='V06 Calend 01'!E77)),IF((129=('V06 Calend 01'!C77+(6*'V06 Calend 01'!E77))),('V06 Calend 01'!H77-('V06 Calend 01'!I77*('V06 Calend 01'!E77-1))),'V06 Calend 01'!I77),0))+IF((129='V06 Calend 01'!D77),'V06 Calend 01'!J77,0))</f>
        <v>0</v>
      </c>
      <c r="EL77" s="2">
        <f>((IF((130='V06 Calend 01'!C77),('V06 Calend 01'!F77+'V06 Calend 01'!G77),0)+IF(AND(('V06 Calend 01'!E77&gt;0),(130&gt;'V06 Calend 01'!C77),(130&lt;'V06 Calend 01'!D77),(MOD((130-'V06 Calend 01'!C77),6)=0),(((130-'V06 Calend 01'!C77)/6)&lt;='V06 Calend 01'!E77)),IF((130=('V06 Calend 01'!C77+(6*'V06 Calend 01'!E77))),('V06 Calend 01'!H77-('V06 Calend 01'!I77*('V06 Calend 01'!E77-1))),'V06 Calend 01'!I77),0))+IF((130='V06 Calend 01'!D77),'V06 Calend 01'!J77,0))</f>
        <v>0</v>
      </c>
      <c r="EM77" s="2">
        <f>((IF((131='V06 Calend 01'!C77),('V06 Calend 01'!F77+'V06 Calend 01'!G77),0)+IF(AND(('V06 Calend 01'!E77&gt;0),(131&gt;'V06 Calend 01'!C77),(131&lt;'V06 Calend 01'!D77),(MOD((131-'V06 Calend 01'!C77),6)=0),(((131-'V06 Calend 01'!C77)/6)&lt;='V06 Calend 01'!E77)),IF((131=('V06 Calend 01'!C77+(6*'V06 Calend 01'!E77))),('V06 Calend 01'!H77-('V06 Calend 01'!I77*('V06 Calend 01'!E77-1))),'V06 Calend 01'!I77),0))+IF((131='V06 Calend 01'!D77),'V06 Calend 01'!J77,0))</f>
        <v>0</v>
      </c>
      <c r="EN77" s="2">
        <f>((IF((132='V06 Calend 01'!C77),('V06 Calend 01'!F77+'V06 Calend 01'!G77),0)+IF(AND(('V06 Calend 01'!E77&gt;0),(132&gt;'V06 Calend 01'!C77),(132&lt;'V06 Calend 01'!D77),(MOD((132-'V06 Calend 01'!C77),6)=0),(((132-'V06 Calend 01'!C77)/6)&lt;='V06 Calend 01'!E77)),IF((132=('V06 Calend 01'!C77+(6*'V06 Calend 01'!E77))),('V06 Calend 01'!H77-('V06 Calend 01'!I77*('V06 Calend 01'!E77-1))),'V06 Calend 01'!I77),0))+IF((132='V06 Calend 01'!D77),'V06 Calend 01'!J77,0))</f>
        <v>0</v>
      </c>
      <c r="EO77" s="2">
        <f>((IF((133='V06 Calend 01'!C77),('V06 Calend 01'!F77+'V06 Calend 01'!G77),0)+IF(AND(('V06 Calend 01'!E77&gt;0),(133&gt;'V06 Calend 01'!C77),(133&lt;'V06 Calend 01'!D77),(MOD((133-'V06 Calend 01'!C77),6)=0),(((133-'V06 Calend 01'!C77)/6)&lt;='V06 Calend 01'!E77)),IF((133=('V06 Calend 01'!C77+(6*'V06 Calend 01'!E77))),('V06 Calend 01'!H77-('V06 Calend 01'!I77*('V06 Calend 01'!E77-1))),'V06 Calend 01'!I77),0))+IF((133='V06 Calend 01'!D77),'V06 Calend 01'!J77,0))</f>
        <v>0</v>
      </c>
      <c r="EP77" s="2">
        <f>((IF((134='V06 Calend 01'!C77),('V06 Calend 01'!F77+'V06 Calend 01'!G77),0)+IF(AND(('V06 Calend 01'!E77&gt;0),(134&gt;'V06 Calend 01'!C77),(134&lt;'V06 Calend 01'!D77),(MOD((134-'V06 Calend 01'!C77),6)=0),(((134-'V06 Calend 01'!C77)/6)&lt;='V06 Calend 01'!E77)),IF((134=('V06 Calend 01'!C77+(6*'V06 Calend 01'!E77))),('V06 Calend 01'!H77-('V06 Calend 01'!I77*('V06 Calend 01'!E77-1))),'V06 Calend 01'!I77),0))+IF((134='V06 Calend 01'!D77),'V06 Calend 01'!J77,0))</f>
        <v>0</v>
      </c>
      <c r="EQ77" s="2">
        <f>((IF((135='V06 Calend 01'!C77),('V06 Calend 01'!F77+'V06 Calend 01'!G77),0)+IF(AND(('V06 Calend 01'!E77&gt;0),(135&gt;'V06 Calend 01'!C77),(135&lt;'V06 Calend 01'!D77),(MOD((135-'V06 Calend 01'!C77),6)=0),(((135-'V06 Calend 01'!C77)/6)&lt;='V06 Calend 01'!E77)),IF((135=('V06 Calend 01'!C77+(6*'V06 Calend 01'!E77))),('V06 Calend 01'!H77-('V06 Calend 01'!I77*('V06 Calend 01'!E77-1))),'V06 Calend 01'!I77),0))+IF((135='V06 Calend 01'!D77),'V06 Calend 01'!J77,0))</f>
        <v>0</v>
      </c>
      <c r="ER77" s="2">
        <f>((IF((136='V06 Calend 01'!C77),('V06 Calend 01'!F77+'V06 Calend 01'!G77),0)+IF(AND(('V06 Calend 01'!E77&gt;0),(136&gt;'V06 Calend 01'!C77),(136&lt;'V06 Calend 01'!D77),(MOD((136-'V06 Calend 01'!C77),6)=0),(((136-'V06 Calend 01'!C77)/6)&lt;='V06 Calend 01'!E77)),IF((136=('V06 Calend 01'!C77+(6*'V06 Calend 01'!E77))),('V06 Calend 01'!H77-('V06 Calend 01'!I77*('V06 Calend 01'!E77-1))),'V06 Calend 01'!I77),0))+IF((136='V06 Calend 01'!D77),'V06 Calend 01'!J77,0))</f>
        <v>0</v>
      </c>
      <c r="ES77" s="2">
        <f>((IF((137='V06 Calend 01'!C77),('V06 Calend 01'!F77+'V06 Calend 01'!G77),0)+IF(AND(('V06 Calend 01'!E77&gt;0),(137&gt;'V06 Calend 01'!C77),(137&lt;'V06 Calend 01'!D77),(MOD((137-'V06 Calend 01'!C77),6)=0),(((137-'V06 Calend 01'!C77)/6)&lt;='V06 Calend 01'!E77)),IF((137=('V06 Calend 01'!C77+(6*'V06 Calend 01'!E77))),('V06 Calend 01'!H77-('V06 Calend 01'!I77*('V06 Calend 01'!E77-1))),'V06 Calend 01'!I77),0))+IF((137='V06 Calend 01'!D77),'V06 Calend 01'!J77,0))</f>
        <v>0</v>
      </c>
      <c r="ET77" s="2">
        <f>((IF((138='V06 Calend 01'!C77),('V06 Calend 01'!F77+'V06 Calend 01'!G77),0)+IF(AND(('V06 Calend 01'!E77&gt;0),(138&gt;'V06 Calend 01'!C77),(138&lt;'V06 Calend 01'!D77),(MOD((138-'V06 Calend 01'!C77),6)=0),(((138-'V06 Calend 01'!C77)/6)&lt;='V06 Calend 01'!E77)),IF((138=('V06 Calend 01'!C77+(6*'V06 Calend 01'!E77))),('V06 Calend 01'!H77-('V06 Calend 01'!I77*('V06 Calend 01'!E77-1))),'V06 Calend 01'!I77),0))+IF((138='V06 Calend 01'!D77),'V06 Calend 01'!J77,0))</f>
        <v>0</v>
      </c>
      <c r="EU77" s="2">
        <f>((IF((139='V06 Calend 01'!C77),('V06 Calend 01'!F77+'V06 Calend 01'!G77),0)+IF(AND(('V06 Calend 01'!E77&gt;0),(139&gt;'V06 Calend 01'!C77),(139&lt;'V06 Calend 01'!D77),(MOD((139-'V06 Calend 01'!C77),6)=0),(((139-'V06 Calend 01'!C77)/6)&lt;='V06 Calend 01'!E77)),IF((139=('V06 Calend 01'!C77+(6*'V06 Calend 01'!E77))),('V06 Calend 01'!H77-('V06 Calend 01'!I77*('V06 Calend 01'!E77-1))),'V06 Calend 01'!I77),0))+IF((139='V06 Calend 01'!D77),'V06 Calend 01'!J77,0))</f>
        <v>0</v>
      </c>
      <c r="EV77" s="2">
        <f>((IF((140='V06 Calend 01'!C77),('V06 Calend 01'!F77+'V06 Calend 01'!G77),0)+IF(AND(('V06 Calend 01'!E77&gt;0),(140&gt;'V06 Calend 01'!C77),(140&lt;'V06 Calend 01'!D77),(MOD((140-'V06 Calend 01'!C77),6)=0),(((140-'V06 Calend 01'!C77)/6)&lt;='V06 Calend 01'!E77)),IF((140=('V06 Calend 01'!C77+(6*'V06 Calend 01'!E77))),('V06 Calend 01'!H77-('V06 Calend 01'!I77*('V06 Calend 01'!E77-1))),'V06 Calend 01'!I77),0))+IF((140='V06 Calend 01'!D77),'V06 Calend 01'!J77,0))</f>
        <v>0</v>
      </c>
      <c r="EW77" s="2">
        <f>((IF((141='V06 Calend 01'!C77),('V06 Calend 01'!F77+'V06 Calend 01'!G77),0)+IF(AND(('V06 Calend 01'!E77&gt;0),(141&gt;'V06 Calend 01'!C77),(141&lt;'V06 Calend 01'!D77),(MOD((141-'V06 Calend 01'!C77),6)=0),(((141-'V06 Calend 01'!C77)/6)&lt;='V06 Calend 01'!E77)),IF((141=('V06 Calend 01'!C77+(6*'V06 Calend 01'!E77))),('V06 Calend 01'!H77-('V06 Calend 01'!I77*('V06 Calend 01'!E77-1))),'V06 Calend 01'!I77),0))+IF((141='V06 Calend 01'!D77),'V06 Calend 01'!J77,0))</f>
        <v>0</v>
      </c>
      <c r="EX77" s="2">
        <f>((IF((142='V06 Calend 01'!C77),('V06 Calend 01'!F77+'V06 Calend 01'!G77),0)+IF(AND(('V06 Calend 01'!E77&gt;0),(142&gt;'V06 Calend 01'!C77),(142&lt;'V06 Calend 01'!D77),(MOD((142-'V06 Calend 01'!C77),6)=0),(((142-'V06 Calend 01'!C77)/6)&lt;='V06 Calend 01'!E77)),IF((142=('V06 Calend 01'!C77+(6*'V06 Calend 01'!E77))),('V06 Calend 01'!H77-('V06 Calend 01'!I77*('V06 Calend 01'!E77-1))),'V06 Calend 01'!I77),0))+IF((142='V06 Calend 01'!D77),'V06 Calend 01'!J77,0))</f>
        <v>0</v>
      </c>
      <c r="EY77" s="2">
        <f>((IF((143='V06 Calend 01'!C77),('V06 Calend 01'!F77+'V06 Calend 01'!G77),0)+IF(AND(('V06 Calend 01'!E77&gt;0),(143&gt;'V06 Calend 01'!C77),(143&lt;'V06 Calend 01'!D77),(MOD((143-'V06 Calend 01'!C77),6)=0),(((143-'V06 Calend 01'!C77)/6)&lt;='V06 Calend 01'!E77)),IF((143=('V06 Calend 01'!C77+(6*'V06 Calend 01'!E77))),('V06 Calend 01'!H77-('V06 Calend 01'!I77*('V06 Calend 01'!E77-1))),'V06 Calend 01'!I77),0))+IF((143='V06 Calend 01'!D77),'V06 Calend 01'!J77,0))</f>
        <v>0</v>
      </c>
      <c r="EZ77" s="2">
        <f>((IF((144='V06 Calend 01'!C77),('V06 Calend 01'!F77+'V06 Calend 01'!G77),0)+IF(AND(('V06 Calend 01'!E77&gt;0),(144&gt;'V06 Calend 01'!C77),(144&lt;'V06 Calend 01'!D77),(MOD((144-'V06 Calend 01'!C77),6)=0),(((144-'V06 Calend 01'!C77)/6)&lt;='V06 Calend 01'!E77)),IF((144=('V06 Calend 01'!C77+(6*'V06 Calend 01'!E77))),('V06 Calend 01'!H77-('V06 Calend 01'!I77*('V06 Calend 01'!E77-1))),'V06 Calend 01'!I77),0))+IF((144='V06 Calend 01'!D77),'V06 Calend 01'!J77,0))</f>
        <v>0</v>
      </c>
      <c r="FA77" s="2">
        <f>((IF((145='V06 Calend 01'!C77),('V06 Calend 01'!F77+'V06 Calend 01'!G77),0)+IF(AND(('V06 Calend 01'!E77&gt;0),(145&gt;'V06 Calend 01'!C77),(145&lt;'V06 Calend 01'!D77),(MOD((145-'V06 Calend 01'!C77),6)=0),(((145-'V06 Calend 01'!C77)/6)&lt;='V06 Calend 01'!E77)),IF((145=('V06 Calend 01'!C77+(6*'V06 Calend 01'!E77))),('V06 Calend 01'!H77-('V06 Calend 01'!I77*('V06 Calend 01'!E77-1))),'V06 Calend 01'!I77),0))+IF((145='V06 Calend 01'!D77),'V06 Calend 01'!J77,0))</f>
        <v>0</v>
      </c>
      <c r="FB77" s="2">
        <f>((IF((146='V06 Calend 01'!C77),('V06 Calend 01'!F77+'V06 Calend 01'!G77),0)+IF(AND(('V06 Calend 01'!E77&gt;0),(146&gt;'V06 Calend 01'!C77),(146&lt;'V06 Calend 01'!D77),(MOD((146-'V06 Calend 01'!C77),6)=0),(((146-'V06 Calend 01'!C77)/6)&lt;='V06 Calend 01'!E77)),IF((146=('V06 Calend 01'!C77+(6*'V06 Calend 01'!E77))),('V06 Calend 01'!H77-('V06 Calend 01'!I77*('V06 Calend 01'!E77-1))),'V06 Calend 01'!I77),0))+IF((146='V06 Calend 01'!D77),'V06 Calend 01'!J77,0))</f>
        <v>0</v>
      </c>
      <c r="FC77" s="2">
        <f>((IF((147='V06 Calend 01'!C77),('V06 Calend 01'!F77+'V06 Calend 01'!G77),0)+IF(AND(('V06 Calend 01'!E77&gt;0),(147&gt;'V06 Calend 01'!C77),(147&lt;'V06 Calend 01'!D77),(MOD((147-'V06 Calend 01'!C77),6)=0),(((147-'V06 Calend 01'!C77)/6)&lt;='V06 Calend 01'!E77)),IF((147=('V06 Calend 01'!C77+(6*'V06 Calend 01'!E77))),('V06 Calend 01'!H77-('V06 Calend 01'!I77*('V06 Calend 01'!E77-1))),'V06 Calend 01'!I77),0))+IF((147='V06 Calend 01'!D77),'V06 Calend 01'!J77,0))</f>
        <v>0</v>
      </c>
      <c r="FD77" s="2">
        <f>((IF((148='V06 Calend 01'!C77),('V06 Calend 01'!F77+'V06 Calend 01'!G77),0)+IF(AND(('V06 Calend 01'!E77&gt;0),(148&gt;'V06 Calend 01'!C77),(148&lt;'V06 Calend 01'!D77),(MOD((148-'V06 Calend 01'!C77),6)=0),(((148-'V06 Calend 01'!C77)/6)&lt;='V06 Calend 01'!E77)),IF((148=('V06 Calend 01'!C77+(6*'V06 Calend 01'!E77))),('V06 Calend 01'!H77-('V06 Calend 01'!I77*('V06 Calend 01'!E77-1))),'V06 Calend 01'!I77),0))+IF((148='V06 Calend 01'!D77),'V06 Calend 01'!J77,0))</f>
        <v>0</v>
      </c>
      <c r="FE77" s="2">
        <f>((IF((149='V06 Calend 01'!C77),('V06 Calend 01'!F77+'V06 Calend 01'!G77),0)+IF(AND(('V06 Calend 01'!E77&gt;0),(149&gt;'V06 Calend 01'!C77),(149&lt;'V06 Calend 01'!D77),(MOD((149-'V06 Calend 01'!C77),6)=0),(((149-'V06 Calend 01'!C77)/6)&lt;='V06 Calend 01'!E77)),IF((149=('V06 Calend 01'!C77+(6*'V06 Calend 01'!E77))),('V06 Calend 01'!H77-('V06 Calend 01'!I77*('V06 Calend 01'!E77-1))),'V06 Calend 01'!I77),0))+IF((149='V06 Calend 01'!D77),'V06 Calend 01'!J77,0))</f>
        <v>0</v>
      </c>
      <c r="FF77" s="2">
        <f>((IF((150='V06 Calend 01'!C77),('V06 Calend 01'!F77+'V06 Calend 01'!G77),0)+IF(AND(('V06 Calend 01'!E77&gt;0),(150&gt;'V06 Calend 01'!C77),(150&lt;'V06 Calend 01'!D77),(MOD((150-'V06 Calend 01'!C77),6)=0),(((150-'V06 Calend 01'!C77)/6)&lt;='V06 Calend 01'!E77)),IF((150=('V06 Calend 01'!C77+(6*'V06 Calend 01'!E77))),('V06 Calend 01'!H77-('V06 Calend 01'!I77*('V06 Calend 01'!E77-1))),'V06 Calend 01'!I77),0))+IF((150='V06 Calend 01'!D77),'V06 Calend 01'!J77,0))</f>
        <v>0</v>
      </c>
      <c r="FG77" s="2">
        <f>((IF((151='V06 Calend 01'!C77),('V06 Calend 01'!F77+'V06 Calend 01'!G77),0)+IF(AND(('V06 Calend 01'!E77&gt;0),(151&gt;'V06 Calend 01'!C77),(151&lt;'V06 Calend 01'!D77),(MOD((151-'V06 Calend 01'!C77),6)=0),(((151-'V06 Calend 01'!C77)/6)&lt;='V06 Calend 01'!E77)),IF((151=('V06 Calend 01'!C77+(6*'V06 Calend 01'!E77))),('V06 Calend 01'!H77-('V06 Calend 01'!I77*('V06 Calend 01'!E77-1))),'V06 Calend 01'!I77),0))+IF((151='V06 Calend 01'!D77),'V06 Calend 01'!J77,0))</f>
        <v>0</v>
      </c>
      <c r="FH77" s="2">
        <f>((IF((152='V06 Calend 01'!C77),('V06 Calend 01'!F77+'V06 Calend 01'!G77),0)+IF(AND(('V06 Calend 01'!E77&gt;0),(152&gt;'V06 Calend 01'!C77),(152&lt;'V06 Calend 01'!D77),(MOD((152-'V06 Calend 01'!C77),6)=0),(((152-'V06 Calend 01'!C77)/6)&lt;='V06 Calend 01'!E77)),IF((152=('V06 Calend 01'!C77+(6*'V06 Calend 01'!E77))),('V06 Calend 01'!H77-('V06 Calend 01'!I77*('V06 Calend 01'!E77-1))),'V06 Calend 01'!I77),0))+IF((152='V06 Calend 01'!D77),'V06 Calend 01'!J77,0))</f>
        <v>0</v>
      </c>
      <c r="FI77" s="2">
        <f>((IF((153='V06 Calend 01'!C77),('V06 Calend 01'!F77+'V06 Calend 01'!G77),0)+IF(AND(('V06 Calend 01'!E77&gt;0),(153&gt;'V06 Calend 01'!C77),(153&lt;'V06 Calend 01'!D77),(MOD((153-'V06 Calend 01'!C77),6)=0),(((153-'V06 Calend 01'!C77)/6)&lt;='V06 Calend 01'!E77)),IF((153=('V06 Calend 01'!C77+(6*'V06 Calend 01'!E77))),('V06 Calend 01'!H77-('V06 Calend 01'!I77*('V06 Calend 01'!E77-1))),'V06 Calend 01'!I77),0))+IF((153='V06 Calend 01'!D77),'V06 Calend 01'!J77,0))</f>
        <v>0</v>
      </c>
      <c r="FJ77" s="2">
        <f>((IF((154='V06 Calend 01'!C77),('V06 Calend 01'!F77+'V06 Calend 01'!G77),0)+IF(AND(('V06 Calend 01'!E77&gt;0),(154&gt;'V06 Calend 01'!C77),(154&lt;'V06 Calend 01'!D77),(MOD((154-'V06 Calend 01'!C77),6)=0),(((154-'V06 Calend 01'!C77)/6)&lt;='V06 Calend 01'!E77)),IF((154=('V06 Calend 01'!C77+(6*'V06 Calend 01'!E77))),('V06 Calend 01'!H77-('V06 Calend 01'!I77*('V06 Calend 01'!E77-1))),'V06 Calend 01'!I77),0))+IF((154='V06 Calend 01'!D77),'V06 Calend 01'!J77,0))</f>
        <v>0</v>
      </c>
      <c r="FK77" s="2">
        <f>((IF((155='V06 Calend 01'!C77),('V06 Calend 01'!F77+'V06 Calend 01'!G77),0)+IF(AND(('V06 Calend 01'!E77&gt;0),(155&gt;'V06 Calend 01'!C77),(155&lt;'V06 Calend 01'!D77),(MOD((155-'V06 Calend 01'!C77),6)=0),(((155-'V06 Calend 01'!C77)/6)&lt;='V06 Calend 01'!E77)),IF((155=('V06 Calend 01'!C77+(6*'V06 Calend 01'!E77))),('V06 Calend 01'!H77-('V06 Calend 01'!I77*('V06 Calend 01'!E77-1))),'V06 Calend 01'!I77),0))+IF((155='V06 Calend 01'!D77),'V06 Calend 01'!J77,0))</f>
        <v>0</v>
      </c>
      <c r="FL77" s="2">
        <f>((IF((156='V06 Calend 01'!C77),('V06 Calend 01'!F77+'V06 Calend 01'!G77),0)+IF(AND(('V06 Calend 01'!E77&gt;0),(156&gt;'V06 Calend 01'!C77),(156&lt;'V06 Calend 01'!D77),(MOD((156-'V06 Calend 01'!C77),6)=0),(((156-'V06 Calend 01'!C77)/6)&lt;='V06 Calend 01'!E77)),IF((156=('V06 Calend 01'!C77+(6*'V06 Calend 01'!E77))),('V06 Calend 01'!H77-('V06 Calend 01'!I77*('V06 Calend 01'!E77-1))),'V06 Calend 01'!I77),0))+IF((156='V06 Calend 01'!D77),'V06 Calend 01'!J77,0))</f>
        <v>0</v>
      </c>
      <c r="FM77" s="2">
        <f>((IF((157='V06 Calend 01'!C77),('V06 Calend 01'!F77+'V06 Calend 01'!G77),0)+IF(AND(('V06 Calend 01'!E77&gt;0),(157&gt;'V06 Calend 01'!C77),(157&lt;'V06 Calend 01'!D77),(MOD((157-'V06 Calend 01'!C77),6)=0),(((157-'V06 Calend 01'!C77)/6)&lt;='V06 Calend 01'!E77)),IF((157=('V06 Calend 01'!C77+(6*'V06 Calend 01'!E77))),('V06 Calend 01'!H77-('V06 Calend 01'!I77*('V06 Calend 01'!E77-1))),'V06 Calend 01'!I77),0))+IF((157='V06 Calend 01'!D77),'V06 Calend 01'!J77,0))</f>
        <v>0</v>
      </c>
      <c r="FN77" s="2">
        <f>((IF((158='V06 Calend 01'!C77),('V06 Calend 01'!F77+'V06 Calend 01'!G77),0)+IF(AND(('V06 Calend 01'!E77&gt;0),(158&gt;'V06 Calend 01'!C77),(158&lt;'V06 Calend 01'!D77),(MOD((158-'V06 Calend 01'!C77),6)=0),(((158-'V06 Calend 01'!C77)/6)&lt;='V06 Calend 01'!E77)),IF((158=('V06 Calend 01'!C77+(6*'V06 Calend 01'!E77))),('V06 Calend 01'!H77-('V06 Calend 01'!I77*('V06 Calend 01'!E77-1))),'V06 Calend 01'!I77),0))+IF((158='V06 Calend 01'!D77),'V06 Calend 01'!J77,0))</f>
        <v>0</v>
      </c>
      <c r="FO77" s="2">
        <f>((IF((159='V06 Calend 01'!C77),('V06 Calend 01'!F77+'V06 Calend 01'!G77),0)+IF(AND(('V06 Calend 01'!E77&gt;0),(159&gt;'V06 Calend 01'!C77),(159&lt;'V06 Calend 01'!D77),(MOD((159-'V06 Calend 01'!C77),6)=0),(((159-'V06 Calend 01'!C77)/6)&lt;='V06 Calend 01'!E77)),IF((159=('V06 Calend 01'!C77+(6*'V06 Calend 01'!E77))),('V06 Calend 01'!H77-('V06 Calend 01'!I77*('V06 Calend 01'!E77-1))),'V06 Calend 01'!I77),0))+IF((159='V06 Calend 01'!D77),'V06 Calend 01'!J77,0))</f>
        <v>0</v>
      </c>
      <c r="FP77" s="2">
        <f>((IF((160='V06 Calend 01'!C77),('V06 Calend 01'!F77+'V06 Calend 01'!G77),0)+IF(AND(('V06 Calend 01'!E77&gt;0),(160&gt;'V06 Calend 01'!C77),(160&lt;'V06 Calend 01'!D77),(MOD((160-'V06 Calend 01'!C77),6)=0),(((160-'V06 Calend 01'!C77)/6)&lt;='V06 Calend 01'!E77)),IF((160=('V06 Calend 01'!C77+(6*'V06 Calend 01'!E77))),('V06 Calend 01'!H77-('V06 Calend 01'!I77*('V06 Calend 01'!E77-1))),'V06 Calend 01'!I77),0))+IF((160='V06 Calend 01'!D77),'V06 Calend 01'!J77,0))</f>
        <v>0</v>
      </c>
      <c r="FQ77" s="2">
        <f>((IF((161='V06 Calend 01'!C77),('V06 Calend 01'!F77+'V06 Calend 01'!G77),0)+IF(AND(('V06 Calend 01'!E77&gt;0),(161&gt;'V06 Calend 01'!C77),(161&lt;'V06 Calend 01'!D77),(MOD((161-'V06 Calend 01'!C77),6)=0),(((161-'V06 Calend 01'!C77)/6)&lt;='V06 Calend 01'!E77)),IF((161=('V06 Calend 01'!C77+(6*'V06 Calend 01'!E77))),('V06 Calend 01'!H77-('V06 Calend 01'!I77*('V06 Calend 01'!E77-1))),'V06 Calend 01'!I77),0))+IF((161='V06 Calend 01'!D77),'V06 Calend 01'!J77,0))</f>
        <v>0</v>
      </c>
      <c r="FR77" s="2">
        <f>((IF((162='V06 Calend 01'!C77),('V06 Calend 01'!F77+'V06 Calend 01'!G77),0)+IF(AND(('V06 Calend 01'!E77&gt;0),(162&gt;'V06 Calend 01'!C77),(162&lt;'V06 Calend 01'!D77),(MOD((162-'V06 Calend 01'!C77),6)=0),(((162-'V06 Calend 01'!C77)/6)&lt;='V06 Calend 01'!E77)),IF((162=('V06 Calend 01'!C77+(6*'V06 Calend 01'!E77))),('V06 Calend 01'!H77-('V06 Calend 01'!I77*('V06 Calend 01'!E77-1))),'V06 Calend 01'!I77),0))+IF((162='V06 Calend 01'!D77),'V06 Calend 01'!J77,0))</f>
        <v>0</v>
      </c>
      <c r="FS77" s="2">
        <f>((IF((163='V06 Calend 01'!C77),('V06 Calend 01'!F77+'V06 Calend 01'!G77),0)+IF(AND(('V06 Calend 01'!E77&gt;0),(163&gt;'V06 Calend 01'!C77),(163&lt;'V06 Calend 01'!D77),(MOD((163-'V06 Calend 01'!C77),6)=0),(((163-'V06 Calend 01'!C77)/6)&lt;='V06 Calend 01'!E77)),IF((163=('V06 Calend 01'!C77+(6*'V06 Calend 01'!E77))),('V06 Calend 01'!H77-('V06 Calend 01'!I77*('V06 Calend 01'!E77-1))),'V06 Calend 01'!I77),0))+IF((163='V06 Calend 01'!D77),'V06 Calend 01'!J77,0))</f>
        <v>0</v>
      </c>
      <c r="FT77" s="2">
        <f>((IF((164='V06 Calend 01'!C77),('V06 Calend 01'!F77+'V06 Calend 01'!G77),0)+IF(AND(('V06 Calend 01'!E77&gt;0),(164&gt;'V06 Calend 01'!C77),(164&lt;'V06 Calend 01'!D77),(MOD((164-'V06 Calend 01'!C77),6)=0),(((164-'V06 Calend 01'!C77)/6)&lt;='V06 Calend 01'!E77)),IF((164=('V06 Calend 01'!C77+(6*'V06 Calend 01'!E77))),('V06 Calend 01'!H77-('V06 Calend 01'!I77*('V06 Calend 01'!E77-1))),'V06 Calend 01'!I77),0))+IF((164='V06 Calend 01'!D77),'V06 Calend 01'!J77,0))</f>
        <v>0</v>
      </c>
      <c r="FU77" s="2">
        <f>((IF((165='V06 Calend 01'!C77),('V06 Calend 01'!F77+'V06 Calend 01'!G77),0)+IF(AND(('V06 Calend 01'!E77&gt;0),(165&gt;'V06 Calend 01'!C77),(165&lt;'V06 Calend 01'!D77),(MOD((165-'V06 Calend 01'!C77),6)=0),(((165-'V06 Calend 01'!C77)/6)&lt;='V06 Calend 01'!E77)),IF((165=('V06 Calend 01'!C77+(6*'V06 Calend 01'!E77))),('V06 Calend 01'!H77-('V06 Calend 01'!I77*('V06 Calend 01'!E77-1))),'V06 Calend 01'!I77),0))+IF((165='V06 Calend 01'!D77),'V06 Calend 01'!J77,0))</f>
        <v>0</v>
      </c>
      <c r="FV77" s="2">
        <f>((IF((166='V06 Calend 01'!C77),('V06 Calend 01'!F77+'V06 Calend 01'!G77),0)+IF(AND(('V06 Calend 01'!E77&gt;0),(166&gt;'V06 Calend 01'!C77),(166&lt;'V06 Calend 01'!D77),(MOD((166-'V06 Calend 01'!C77),6)=0),(((166-'V06 Calend 01'!C77)/6)&lt;='V06 Calend 01'!E77)),IF((166=('V06 Calend 01'!C77+(6*'V06 Calend 01'!E77))),('V06 Calend 01'!H77-('V06 Calend 01'!I77*('V06 Calend 01'!E77-1))),'V06 Calend 01'!I77),0))+IF((166='V06 Calend 01'!D77),'V06 Calend 01'!J77,0))</f>
        <v>0</v>
      </c>
      <c r="FW77" s="2">
        <f>((IF((167='V06 Calend 01'!C77),('V06 Calend 01'!F77+'V06 Calend 01'!G77),0)+IF(AND(('V06 Calend 01'!E77&gt;0),(167&gt;'V06 Calend 01'!C77),(167&lt;'V06 Calend 01'!D77),(MOD((167-'V06 Calend 01'!C77),6)=0),(((167-'V06 Calend 01'!C77)/6)&lt;='V06 Calend 01'!E77)),IF((167=('V06 Calend 01'!C77+(6*'V06 Calend 01'!E77))),('V06 Calend 01'!H77-('V06 Calend 01'!I77*('V06 Calend 01'!E77-1))),'V06 Calend 01'!I77),0))+IF((167='V06 Calend 01'!D77),'V06 Calend 01'!J77,0))</f>
        <v>0</v>
      </c>
      <c r="FX77" s="2">
        <f>((IF((168='V06 Calend 01'!C77),('V06 Calend 01'!F77+'V06 Calend 01'!G77),0)+IF(AND(('V06 Calend 01'!E77&gt;0),(168&gt;'V06 Calend 01'!C77),(168&lt;'V06 Calend 01'!D77),(MOD((168-'V06 Calend 01'!C77),6)=0),(((168-'V06 Calend 01'!C77)/6)&lt;='V06 Calend 01'!E77)),IF((168=('V06 Calend 01'!C77+(6*'V06 Calend 01'!E77))),('V06 Calend 01'!H77-('V06 Calend 01'!I77*('V06 Calend 01'!E77-1))),'V06 Calend 01'!I77),0))+IF((168='V06 Calend 01'!D77),'V06 Calend 01'!J77,0))</f>
        <v>0</v>
      </c>
      <c r="FY77" s="2">
        <f>((IF((169='V06 Calend 01'!C77),('V06 Calend 01'!F77+'V06 Calend 01'!G77),0)+IF(AND(('V06 Calend 01'!E77&gt;0),(169&gt;'V06 Calend 01'!C77),(169&lt;'V06 Calend 01'!D77),(MOD((169-'V06 Calend 01'!C77),6)=0),(((169-'V06 Calend 01'!C77)/6)&lt;='V06 Calend 01'!E77)),IF((169=('V06 Calend 01'!C77+(6*'V06 Calend 01'!E77))),('V06 Calend 01'!H77-('V06 Calend 01'!I77*('V06 Calend 01'!E77-1))),'V06 Calend 01'!I77),0))+IF((169='V06 Calend 01'!D77),'V06 Calend 01'!J77,0))</f>
        <v>0</v>
      </c>
      <c r="FZ77" s="2">
        <f>((IF((170='V06 Calend 01'!C77),('V06 Calend 01'!F77+'V06 Calend 01'!G77),0)+IF(AND(('V06 Calend 01'!E77&gt;0),(170&gt;'V06 Calend 01'!C77),(170&lt;'V06 Calend 01'!D77),(MOD((170-'V06 Calend 01'!C77),6)=0),(((170-'V06 Calend 01'!C77)/6)&lt;='V06 Calend 01'!E77)),IF((170=('V06 Calend 01'!C77+(6*'V06 Calend 01'!E77))),('V06 Calend 01'!H77-('V06 Calend 01'!I77*('V06 Calend 01'!E77-1))),'V06 Calend 01'!I77),0))+IF((170='V06 Calend 01'!D77),'V06 Calend 01'!J77,0))</f>
        <v>0</v>
      </c>
      <c r="GA77" s="2">
        <f>((IF((171='V06 Calend 01'!C77),('V06 Calend 01'!F77+'V06 Calend 01'!G77),0)+IF(AND(('V06 Calend 01'!E77&gt;0),(171&gt;'V06 Calend 01'!C77),(171&lt;'V06 Calend 01'!D77),(MOD((171-'V06 Calend 01'!C77),6)=0),(((171-'V06 Calend 01'!C77)/6)&lt;='V06 Calend 01'!E77)),IF((171=('V06 Calend 01'!C77+(6*'V06 Calend 01'!E77))),('V06 Calend 01'!H77-('V06 Calend 01'!I77*('V06 Calend 01'!E77-1))),'V06 Calend 01'!I77),0))+IF((171='V06 Calend 01'!D77),'V06 Calend 01'!J77,0))</f>
        <v>0</v>
      </c>
      <c r="GB77" s="2">
        <f>((IF((172='V06 Calend 01'!C77),('V06 Calend 01'!F77+'V06 Calend 01'!G77),0)+IF(AND(('V06 Calend 01'!E77&gt;0),(172&gt;'V06 Calend 01'!C77),(172&lt;'V06 Calend 01'!D77),(MOD((172-'V06 Calend 01'!C77),6)=0),(((172-'V06 Calend 01'!C77)/6)&lt;='V06 Calend 01'!E77)),IF((172=('V06 Calend 01'!C77+(6*'V06 Calend 01'!E77))),('V06 Calend 01'!H77-('V06 Calend 01'!I77*('V06 Calend 01'!E77-1))),'V06 Calend 01'!I77),0))+IF((172='V06 Calend 01'!D77),'V06 Calend 01'!J77,0))</f>
        <v>0</v>
      </c>
      <c r="GC77" s="2">
        <f>((IF((173='V06 Calend 01'!C77),('V06 Calend 01'!F77+'V06 Calend 01'!G77),0)+IF(AND(('V06 Calend 01'!E77&gt;0),(173&gt;'V06 Calend 01'!C77),(173&lt;'V06 Calend 01'!D77),(MOD((173-'V06 Calend 01'!C77),6)=0),(((173-'V06 Calend 01'!C77)/6)&lt;='V06 Calend 01'!E77)),IF((173=('V06 Calend 01'!C77+(6*'V06 Calend 01'!E77))),('V06 Calend 01'!H77-('V06 Calend 01'!I77*('V06 Calend 01'!E77-1))),'V06 Calend 01'!I77),0))+IF((173='V06 Calend 01'!D77),'V06 Calend 01'!J77,0))</f>
        <v>0</v>
      </c>
      <c r="GD77" s="2">
        <f>((IF((174='V06 Calend 01'!C77),('V06 Calend 01'!F77+'V06 Calend 01'!G77),0)+IF(AND(('V06 Calend 01'!E77&gt;0),(174&gt;'V06 Calend 01'!C77),(174&lt;'V06 Calend 01'!D77),(MOD((174-'V06 Calend 01'!C77),6)=0),(((174-'V06 Calend 01'!C77)/6)&lt;='V06 Calend 01'!E77)),IF((174=('V06 Calend 01'!C77+(6*'V06 Calend 01'!E77))),('V06 Calend 01'!H77-('V06 Calend 01'!I77*('V06 Calend 01'!E77-1))),'V06 Calend 01'!I77),0))+IF((174='V06 Calend 01'!D77),'V06 Calend 01'!J77,0))</f>
        <v>0</v>
      </c>
      <c r="GE77" s="2">
        <f>((IF((175='V06 Calend 01'!C77),('V06 Calend 01'!F77+'V06 Calend 01'!G77),0)+IF(AND(('V06 Calend 01'!E77&gt;0),(175&gt;'V06 Calend 01'!C77),(175&lt;'V06 Calend 01'!D77),(MOD((175-'V06 Calend 01'!C77),6)=0),(((175-'V06 Calend 01'!C77)/6)&lt;='V06 Calend 01'!E77)),IF((175=('V06 Calend 01'!C77+(6*'V06 Calend 01'!E77))),('V06 Calend 01'!H77-('V06 Calend 01'!I77*('V06 Calend 01'!E77-1))),'V06 Calend 01'!I77),0))+IF((175='V06 Calend 01'!D77),'V06 Calend 01'!J77,0))</f>
        <v>0</v>
      </c>
      <c r="GF77" s="2">
        <f>((IF((176='V06 Calend 01'!C77),('V06 Calend 01'!F77+'V06 Calend 01'!G77),0)+IF(AND(('V06 Calend 01'!E77&gt;0),(176&gt;'V06 Calend 01'!C77),(176&lt;'V06 Calend 01'!D77),(MOD((176-'V06 Calend 01'!C77),6)=0),(((176-'V06 Calend 01'!C77)/6)&lt;='V06 Calend 01'!E77)),IF((176=('V06 Calend 01'!C77+(6*'V06 Calend 01'!E77))),('V06 Calend 01'!H77-('V06 Calend 01'!I77*('V06 Calend 01'!E77-1))),'V06 Calend 01'!I77),0))+IF((176='V06 Calend 01'!D77),'V06 Calend 01'!J77,0))</f>
        <v>0</v>
      </c>
      <c r="GG77" s="2">
        <f>((IF((177='V06 Calend 01'!C77),('V06 Calend 01'!F77+'V06 Calend 01'!G77),0)+IF(AND(('V06 Calend 01'!E77&gt;0),(177&gt;'V06 Calend 01'!C77),(177&lt;'V06 Calend 01'!D77),(MOD((177-'V06 Calend 01'!C77),6)=0),(((177-'V06 Calend 01'!C77)/6)&lt;='V06 Calend 01'!E77)),IF((177=('V06 Calend 01'!C77+(6*'V06 Calend 01'!E77))),('V06 Calend 01'!H77-('V06 Calend 01'!I77*('V06 Calend 01'!E77-1))),'V06 Calend 01'!I77),0))+IF((177='V06 Calend 01'!D77),'V06 Calend 01'!J77,0))</f>
        <v>0</v>
      </c>
      <c r="GH77" s="2">
        <f>((IF((178='V06 Calend 01'!C77),('V06 Calend 01'!F77+'V06 Calend 01'!G77),0)+IF(AND(('V06 Calend 01'!E77&gt;0),(178&gt;'V06 Calend 01'!C77),(178&lt;'V06 Calend 01'!D77),(MOD((178-'V06 Calend 01'!C77),6)=0),(((178-'V06 Calend 01'!C77)/6)&lt;='V06 Calend 01'!E77)),IF((178=('V06 Calend 01'!C77+(6*'V06 Calend 01'!E77))),('V06 Calend 01'!H77-('V06 Calend 01'!I77*('V06 Calend 01'!E77-1))),'V06 Calend 01'!I77),0))+IF((178='V06 Calend 01'!D77),'V06 Calend 01'!J77,0))</f>
        <v>0</v>
      </c>
      <c r="GI77" s="2">
        <f>((IF((179='V06 Calend 01'!C77),('V06 Calend 01'!F77+'V06 Calend 01'!G77),0)+IF(AND(('V06 Calend 01'!E77&gt;0),(179&gt;'V06 Calend 01'!C77),(179&lt;'V06 Calend 01'!D77),(MOD((179-'V06 Calend 01'!C77),6)=0),(((179-'V06 Calend 01'!C77)/6)&lt;='V06 Calend 01'!E77)),IF((179=('V06 Calend 01'!C77+(6*'V06 Calend 01'!E77))),('V06 Calend 01'!H77-('V06 Calend 01'!I77*('V06 Calend 01'!E77-1))),'V06 Calend 01'!I77),0))+IF((179='V06 Calend 01'!D77),'V06 Calend 01'!J77,0))</f>
        <v>0</v>
      </c>
      <c r="GJ77" s="2">
        <f>((IF((180='V06 Calend 01'!C77),('V06 Calend 01'!F77+'V06 Calend 01'!G77),0)+IF(AND(('V06 Calend 01'!E77&gt;0),(180&gt;'V06 Calend 01'!C77),(180&lt;'V06 Calend 01'!D77),(MOD((180-'V06 Calend 01'!C77),6)=0),(((180-'V06 Calend 01'!C77)/6)&lt;='V06 Calend 01'!E77)),IF((180=('V06 Calend 01'!C77+(6*'V06 Calend 01'!E77))),('V06 Calend 01'!H77-('V06 Calend 01'!I77*('V06 Calend 01'!E77-1))),'V06 Calend 01'!I77),0))+IF((180='V06 Calend 01'!D77),'V06 Calend 01'!J77,0))</f>
        <v>0</v>
      </c>
    </row>
    <row r="78" spans="1:192">
      <c r="A78" s="3" t="str">
        <f>'V06 Unidades'!$A$78</f>
        <v>904</v>
      </c>
      <c r="B78" s="2">
        <f>'V06 Unidades'!$H$78</f>
        <v>431518.29</v>
      </c>
      <c r="C78" s="4">
        <f>('V06 Unidades'!$I$78+'V06 Controlos'!$B$37)</f>
        <v>1</v>
      </c>
      <c r="D78" s="4">
        <f>IF(('V06 Controlos'!$B$38&gt;0),MAX(('V06 Unidades'!$L$78+'V06 Controlos'!$B$37),(30+'V06 Controlos'!$B$38)),('V06 Unidades'!$L$78+'V06 Controlos'!$B$37))</f>
        <v>29</v>
      </c>
      <c r="E78" s="4">
        <f>MAX(0,INT(((('V06 Calend 01'!D78-'V06 Calend 01'!C78)-1)/6)))</f>
        <v>4</v>
      </c>
      <c r="F78" s="2">
        <f>ROUND(('V06 Calend 01'!B78*0.05),2)</f>
        <v>21575.91</v>
      </c>
      <c r="G78" s="2">
        <f>ROUND(('V06 Calend 01'!B78*0.2),2)</f>
        <v>86303.66</v>
      </c>
      <c r="H78" s="2">
        <f>ROUND(('V06 Calend 01'!B78*0.55),2)</f>
        <v>237335.06</v>
      </c>
      <c r="I78" s="2">
        <f>ROUND(('V06 Calend 01'!H78/MAX(1,'V06 Calend 01'!E78)),2)</f>
        <v>59333.77</v>
      </c>
      <c r="J78" s="2">
        <f>((('V06 Calend 01'!B78-'V06 Calend 01'!F78)-'V06 Calend 01'!G78)-'V06 Calend 01'!H78)</f>
        <v>86303.65999999997</v>
      </c>
      <c r="K78" s="2">
        <f>('V06 Calend 01'!B78*0.025)</f>
        <v>10787.95725</v>
      </c>
      <c r="L78" t="s">
        <v>378</v>
      </c>
      <c r="M78" s="2">
        <f>((IF((1='V06 Calend 01'!C78),('V06 Calend 01'!F78+'V06 Calend 01'!G78),0)+IF(AND(('V06 Calend 01'!E78&gt;0),(1&gt;'V06 Calend 01'!C78),(1&lt;'V06 Calend 01'!D78),(MOD((1-'V06 Calend 01'!C78),6)=0),(((1-'V06 Calend 01'!C78)/6)&lt;='V06 Calend 01'!E78)),IF((1=('V06 Calend 01'!C78+(6*'V06 Calend 01'!E78))),('V06 Calend 01'!H78-('V06 Calend 01'!I78*('V06 Calend 01'!E78-1))),'V06 Calend 01'!I78),0))+IF((1='V06 Calend 01'!D78),'V06 Calend 01'!J78,0))</f>
        <v>107879.57</v>
      </c>
      <c r="N78" s="2">
        <f>((IF((2='V06 Calend 01'!C78),('V06 Calend 01'!F78+'V06 Calend 01'!G78),0)+IF(AND(('V06 Calend 01'!E78&gt;0),(2&gt;'V06 Calend 01'!C78),(2&lt;'V06 Calend 01'!D78),(MOD((2-'V06 Calend 01'!C78),6)=0),(((2-'V06 Calend 01'!C78)/6)&lt;='V06 Calend 01'!E78)),IF((2=('V06 Calend 01'!C78+(6*'V06 Calend 01'!E78))),('V06 Calend 01'!H78-('V06 Calend 01'!I78*('V06 Calend 01'!E78-1))),'V06 Calend 01'!I78),0))+IF((2='V06 Calend 01'!D78),'V06 Calend 01'!J78,0))</f>
        <v>0</v>
      </c>
      <c r="O78" s="2">
        <f>((IF((3='V06 Calend 01'!C78),('V06 Calend 01'!F78+'V06 Calend 01'!G78),0)+IF(AND(('V06 Calend 01'!E78&gt;0),(3&gt;'V06 Calend 01'!C78),(3&lt;'V06 Calend 01'!D78),(MOD((3-'V06 Calend 01'!C78),6)=0),(((3-'V06 Calend 01'!C78)/6)&lt;='V06 Calend 01'!E78)),IF((3=('V06 Calend 01'!C78+(6*'V06 Calend 01'!E78))),('V06 Calend 01'!H78-('V06 Calend 01'!I78*('V06 Calend 01'!E78-1))),'V06 Calend 01'!I78),0))+IF((3='V06 Calend 01'!D78),'V06 Calend 01'!J78,0))</f>
        <v>0</v>
      </c>
      <c r="P78" s="2">
        <f>((IF((4='V06 Calend 01'!C78),('V06 Calend 01'!F78+'V06 Calend 01'!G78),0)+IF(AND(('V06 Calend 01'!E78&gt;0),(4&gt;'V06 Calend 01'!C78),(4&lt;'V06 Calend 01'!D78),(MOD((4-'V06 Calend 01'!C78),6)=0),(((4-'V06 Calend 01'!C78)/6)&lt;='V06 Calend 01'!E78)),IF((4=('V06 Calend 01'!C78+(6*'V06 Calend 01'!E78))),('V06 Calend 01'!H78-('V06 Calend 01'!I78*('V06 Calend 01'!E78-1))),'V06 Calend 01'!I78),0))+IF((4='V06 Calend 01'!D78),'V06 Calend 01'!J78,0))</f>
        <v>0</v>
      </c>
      <c r="Q78" s="2">
        <f>((IF((5='V06 Calend 01'!C78),('V06 Calend 01'!F78+'V06 Calend 01'!G78),0)+IF(AND(('V06 Calend 01'!E78&gt;0),(5&gt;'V06 Calend 01'!C78),(5&lt;'V06 Calend 01'!D78),(MOD((5-'V06 Calend 01'!C78),6)=0),(((5-'V06 Calend 01'!C78)/6)&lt;='V06 Calend 01'!E78)),IF((5=('V06 Calend 01'!C78+(6*'V06 Calend 01'!E78))),('V06 Calend 01'!H78-('V06 Calend 01'!I78*('V06 Calend 01'!E78-1))),'V06 Calend 01'!I78),0))+IF((5='V06 Calend 01'!D78),'V06 Calend 01'!J78,0))</f>
        <v>0</v>
      </c>
      <c r="R78" s="2">
        <f>((IF((6='V06 Calend 01'!C78),('V06 Calend 01'!F78+'V06 Calend 01'!G78),0)+IF(AND(('V06 Calend 01'!E78&gt;0),(6&gt;'V06 Calend 01'!C78),(6&lt;'V06 Calend 01'!D78),(MOD((6-'V06 Calend 01'!C78),6)=0),(((6-'V06 Calend 01'!C78)/6)&lt;='V06 Calend 01'!E78)),IF((6=('V06 Calend 01'!C78+(6*'V06 Calend 01'!E78))),('V06 Calend 01'!H78-('V06 Calend 01'!I78*('V06 Calend 01'!E78-1))),'V06 Calend 01'!I78),0))+IF((6='V06 Calend 01'!D78),'V06 Calend 01'!J78,0))</f>
        <v>0</v>
      </c>
      <c r="S78" s="2">
        <f>((IF((7='V06 Calend 01'!C78),('V06 Calend 01'!F78+'V06 Calend 01'!G78),0)+IF(AND(('V06 Calend 01'!E78&gt;0),(7&gt;'V06 Calend 01'!C78),(7&lt;'V06 Calend 01'!D78),(MOD((7-'V06 Calend 01'!C78),6)=0),(((7-'V06 Calend 01'!C78)/6)&lt;='V06 Calend 01'!E78)),IF((7=('V06 Calend 01'!C78+(6*'V06 Calend 01'!E78))),('V06 Calend 01'!H78-('V06 Calend 01'!I78*('V06 Calend 01'!E78-1))),'V06 Calend 01'!I78),0))+IF((7='V06 Calend 01'!D78),'V06 Calend 01'!J78,0))</f>
        <v>59333.77</v>
      </c>
      <c r="T78" s="2">
        <f>((IF((8='V06 Calend 01'!C78),('V06 Calend 01'!F78+'V06 Calend 01'!G78),0)+IF(AND(('V06 Calend 01'!E78&gt;0),(8&gt;'V06 Calend 01'!C78),(8&lt;'V06 Calend 01'!D78),(MOD((8-'V06 Calend 01'!C78),6)=0),(((8-'V06 Calend 01'!C78)/6)&lt;='V06 Calend 01'!E78)),IF((8=('V06 Calend 01'!C78+(6*'V06 Calend 01'!E78))),('V06 Calend 01'!H78-('V06 Calend 01'!I78*('V06 Calend 01'!E78-1))),'V06 Calend 01'!I78),0))+IF((8='V06 Calend 01'!D78),'V06 Calend 01'!J78,0))</f>
        <v>0</v>
      </c>
      <c r="U78" s="2">
        <f>((IF((9='V06 Calend 01'!C78),('V06 Calend 01'!F78+'V06 Calend 01'!G78),0)+IF(AND(('V06 Calend 01'!E78&gt;0),(9&gt;'V06 Calend 01'!C78),(9&lt;'V06 Calend 01'!D78),(MOD((9-'V06 Calend 01'!C78),6)=0),(((9-'V06 Calend 01'!C78)/6)&lt;='V06 Calend 01'!E78)),IF((9=('V06 Calend 01'!C78+(6*'V06 Calend 01'!E78))),('V06 Calend 01'!H78-('V06 Calend 01'!I78*('V06 Calend 01'!E78-1))),'V06 Calend 01'!I78),0))+IF((9='V06 Calend 01'!D78),'V06 Calend 01'!J78,0))</f>
        <v>0</v>
      </c>
      <c r="V78" s="2">
        <f>((IF((10='V06 Calend 01'!C78),('V06 Calend 01'!F78+'V06 Calend 01'!G78),0)+IF(AND(('V06 Calend 01'!E78&gt;0),(10&gt;'V06 Calend 01'!C78),(10&lt;'V06 Calend 01'!D78),(MOD((10-'V06 Calend 01'!C78),6)=0),(((10-'V06 Calend 01'!C78)/6)&lt;='V06 Calend 01'!E78)),IF((10=('V06 Calend 01'!C78+(6*'V06 Calend 01'!E78))),('V06 Calend 01'!H78-('V06 Calend 01'!I78*('V06 Calend 01'!E78-1))),'V06 Calend 01'!I78),0))+IF((10='V06 Calend 01'!D78),'V06 Calend 01'!J78,0))</f>
        <v>0</v>
      </c>
      <c r="W78" s="2">
        <f>((IF((11='V06 Calend 01'!C78),('V06 Calend 01'!F78+'V06 Calend 01'!G78),0)+IF(AND(('V06 Calend 01'!E78&gt;0),(11&gt;'V06 Calend 01'!C78),(11&lt;'V06 Calend 01'!D78),(MOD((11-'V06 Calend 01'!C78),6)=0),(((11-'V06 Calend 01'!C78)/6)&lt;='V06 Calend 01'!E78)),IF((11=('V06 Calend 01'!C78+(6*'V06 Calend 01'!E78))),('V06 Calend 01'!H78-('V06 Calend 01'!I78*('V06 Calend 01'!E78-1))),'V06 Calend 01'!I78),0))+IF((11='V06 Calend 01'!D78),'V06 Calend 01'!J78,0))</f>
        <v>0</v>
      </c>
      <c r="X78" s="2">
        <f>((IF((12='V06 Calend 01'!C78),('V06 Calend 01'!F78+'V06 Calend 01'!G78),0)+IF(AND(('V06 Calend 01'!E78&gt;0),(12&gt;'V06 Calend 01'!C78),(12&lt;'V06 Calend 01'!D78),(MOD((12-'V06 Calend 01'!C78),6)=0),(((12-'V06 Calend 01'!C78)/6)&lt;='V06 Calend 01'!E78)),IF((12=('V06 Calend 01'!C78+(6*'V06 Calend 01'!E78))),('V06 Calend 01'!H78-('V06 Calend 01'!I78*('V06 Calend 01'!E78-1))),'V06 Calend 01'!I78),0))+IF((12='V06 Calend 01'!D78),'V06 Calend 01'!J78,0))</f>
        <v>0</v>
      </c>
      <c r="Y78" s="2">
        <f>((IF((13='V06 Calend 01'!C78),('V06 Calend 01'!F78+'V06 Calend 01'!G78),0)+IF(AND(('V06 Calend 01'!E78&gt;0),(13&gt;'V06 Calend 01'!C78),(13&lt;'V06 Calend 01'!D78),(MOD((13-'V06 Calend 01'!C78),6)=0),(((13-'V06 Calend 01'!C78)/6)&lt;='V06 Calend 01'!E78)),IF((13=('V06 Calend 01'!C78+(6*'V06 Calend 01'!E78))),('V06 Calend 01'!H78-('V06 Calend 01'!I78*('V06 Calend 01'!E78-1))),'V06 Calend 01'!I78),0))+IF((13='V06 Calend 01'!D78),'V06 Calend 01'!J78,0))</f>
        <v>59333.77</v>
      </c>
      <c r="Z78" s="2">
        <f>((IF((14='V06 Calend 01'!C78),('V06 Calend 01'!F78+'V06 Calend 01'!G78),0)+IF(AND(('V06 Calend 01'!E78&gt;0),(14&gt;'V06 Calend 01'!C78),(14&lt;'V06 Calend 01'!D78),(MOD((14-'V06 Calend 01'!C78),6)=0),(((14-'V06 Calend 01'!C78)/6)&lt;='V06 Calend 01'!E78)),IF((14=('V06 Calend 01'!C78+(6*'V06 Calend 01'!E78))),('V06 Calend 01'!H78-('V06 Calend 01'!I78*('V06 Calend 01'!E78-1))),'V06 Calend 01'!I78),0))+IF((14='V06 Calend 01'!D78),'V06 Calend 01'!J78,0))</f>
        <v>0</v>
      </c>
      <c r="AA78" s="2">
        <f>((IF((15='V06 Calend 01'!C78),('V06 Calend 01'!F78+'V06 Calend 01'!G78),0)+IF(AND(('V06 Calend 01'!E78&gt;0),(15&gt;'V06 Calend 01'!C78),(15&lt;'V06 Calend 01'!D78),(MOD((15-'V06 Calend 01'!C78),6)=0),(((15-'V06 Calend 01'!C78)/6)&lt;='V06 Calend 01'!E78)),IF((15=('V06 Calend 01'!C78+(6*'V06 Calend 01'!E78))),('V06 Calend 01'!H78-('V06 Calend 01'!I78*('V06 Calend 01'!E78-1))),'V06 Calend 01'!I78),0))+IF((15='V06 Calend 01'!D78),'V06 Calend 01'!J78,0))</f>
        <v>0</v>
      </c>
      <c r="AB78" s="2">
        <f>((IF((16='V06 Calend 01'!C78),('V06 Calend 01'!F78+'V06 Calend 01'!G78),0)+IF(AND(('V06 Calend 01'!E78&gt;0),(16&gt;'V06 Calend 01'!C78),(16&lt;'V06 Calend 01'!D78),(MOD((16-'V06 Calend 01'!C78),6)=0),(((16-'V06 Calend 01'!C78)/6)&lt;='V06 Calend 01'!E78)),IF((16=('V06 Calend 01'!C78+(6*'V06 Calend 01'!E78))),('V06 Calend 01'!H78-('V06 Calend 01'!I78*('V06 Calend 01'!E78-1))),'V06 Calend 01'!I78),0))+IF((16='V06 Calend 01'!D78),'V06 Calend 01'!J78,0))</f>
        <v>0</v>
      </c>
      <c r="AC78" s="2">
        <f>((IF((17='V06 Calend 01'!C78),('V06 Calend 01'!F78+'V06 Calend 01'!G78),0)+IF(AND(('V06 Calend 01'!E78&gt;0),(17&gt;'V06 Calend 01'!C78),(17&lt;'V06 Calend 01'!D78),(MOD((17-'V06 Calend 01'!C78),6)=0),(((17-'V06 Calend 01'!C78)/6)&lt;='V06 Calend 01'!E78)),IF((17=('V06 Calend 01'!C78+(6*'V06 Calend 01'!E78))),('V06 Calend 01'!H78-('V06 Calend 01'!I78*('V06 Calend 01'!E78-1))),'V06 Calend 01'!I78),0))+IF((17='V06 Calend 01'!D78),'V06 Calend 01'!J78,0))</f>
        <v>0</v>
      </c>
      <c r="AD78" s="2">
        <f>((IF((18='V06 Calend 01'!C78),('V06 Calend 01'!F78+'V06 Calend 01'!G78),0)+IF(AND(('V06 Calend 01'!E78&gt;0),(18&gt;'V06 Calend 01'!C78),(18&lt;'V06 Calend 01'!D78),(MOD((18-'V06 Calend 01'!C78),6)=0),(((18-'V06 Calend 01'!C78)/6)&lt;='V06 Calend 01'!E78)),IF((18=('V06 Calend 01'!C78+(6*'V06 Calend 01'!E78))),('V06 Calend 01'!H78-('V06 Calend 01'!I78*('V06 Calend 01'!E78-1))),'V06 Calend 01'!I78),0))+IF((18='V06 Calend 01'!D78),'V06 Calend 01'!J78,0))</f>
        <v>0</v>
      </c>
      <c r="AE78" s="2">
        <f>((IF((19='V06 Calend 01'!C78),('V06 Calend 01'!F78+'V06 Calend 01'!G78),0)+IF(AND(('V06 Calend 01'!E78&gt;0),(19&gt;'V06 Calend 01'!C78),(19&lt;'V06 Calend 01'!D78),(MOD((19-'V06 Calend 01'!C78),6)=0),(((19-'V06 Calend 01'!C78)/6)&lt;='V06 Calend 01'!E78)),IF((19=('V06 Calend 01'!C78+(6*'V06 Calend 01'!E78))),('V06 Calend 01'!H78-('V06 Calend 01'!I78*('V06 Calend 01'!E78-1))),'V06 Calend 01'!I78),0))+IF((19='V06 Calend 01'!D78),'V06 Calend 01'!J78,0))</f>
        <v>59333.77</v>
      </c>
      <c r="AF78" s="2">
        <f>((IF((20='V06 Calend 01'!C78),('V06 Calend 01'!F78+'V06 Calend 01'!G78),0)+IF(AND(('V06 Calend 01'!E78&gt;0),(20&gt;'V06 Calend 01'!C78),(20&lt;'V06 Calend 01'!D78),(MOD((20-'V06 Calend 01'!C78),6)=0),(((20-'V06 Calend 01'!C78)/6)&lt;='V06 Calend 01'!E78)),IF((20=('V06 Calend 01'!C78+(6*'V06 Calend 01'!E78))),('V06 Calend 01'!H78-('V06 Calend 01'!I78*('V06 Calend 01'!E78-1))),'V06 Calend 01'!I78),0))+IF((20='V06 Calend 01'!D78),'V06 Calend 01'!J78,0))</f>
        <v>0</v>
      </c>
      <c r="AG78" s="2">
        <f>((IF((21='V06 Calend 01'!C78),('V06 Calend 01'!F78+'V06 Calend 01'!G78),0)+IF(AND(('V06 Calend 01'!E78&gt;0),(21&gt;'V06 Calend 01'!C78),(21&lt;'V06 Calend 01'!D78),(MOD((21-'V06 Calend 01'!C78),6)=0),(((21-'V06 Calend 01'!C78)/6)&lt;='V06 Calend 01'!E78)),IF((21=('V06 Calend 01'!C78+(6*'V06 Calend 01'!E78))),('V06 Calend 01'!H78-('V06 Calend 01'!I78*('V06 Calend 01'!E78-1))),'V06 Calend 01'!I78),0))+IF((21='V06 Calend 01'!D78),'V06 Calend 01'!J78,0))</f>
        <v>0</v>
      </c>
      <c r="AH78" s="2">
        <f>((IF((22='V06 Calend 01'!C78),('V06 Calend 01'!F78+'V06 Calend 01'!G78),0)+IF(AND(('V06 Calend 01'!E78&gt;0),(22&gt;'V06 Calend 01'!C78),(22&lt;'V06 Calend 01'!D78),(MOD((22-'V06 Calend 01'!C78),6)=0),(((22-'V06 Calend 01'!C78)/6)&lt;='V06 Calend 01'!E78)),IF((22=('V06 Calend 01'!C78+(6*'V06 Calend 01'!E78))),('V06 Calend 01'!H78-('V06 Calend 01'!I78*('V06 Calend 01'!E78-1))),'V06 Calend 01'!I78),0))+IF((22='V06 Calend 01'!D78),'V06 Calend 01'!J78,0))</f>
        <v>0</v>
      </c>
      <c r="AI78" s="2">
        <f>((IF((23='V06 Calend 01'!C78),('V06 Calend 01'!F78+'V06 Calend 01'!G78),0)+IF(AND(('V06 Calend 01'!E78&gt;0),(23&gt;'V06 Calend 01'!C78),(23&lt;'V06 Calend 01'!D78),(MOD((23-'V06 Calend 01'!C78),6)=0),(((23-'V06 Calend 01'!C78)/6)&lt;='V06 Calend 01'!E78)),IF((23=('V06 Calend 01'!C78+(6*'V06 Calend 01'!E78))),('V06 Calend 01'!H78-('V06 Calend 01'!I78*('V06 Calend 01'!E78-1))),'V06 Calend 01'!I78),0))+IF((23='V06 Calend 01'!D78),'V06 Calend 01'!J78,0))</f>
        <v>0</v>
      </c>
      <c r="AJ78" s="2">
        <f>((IF((24='V06 Calend 01'!C78),('V06 Calend 01'!F78+'V06 Calend 01'!G78),0)+IF(AND(('V06 Calend 01'!E78&gt;0),(24&gt;'V06 Calend 01'!C78),(24&lt;'V06 Calend 01'!D78),(MOD((24-'V06 Calend 01'!C78),6)=0),(((24-'V06 Calend 01'!C78)/6)&lt;='V06 Calend 01'!E78)),IF((24=('V06 Calend 01'!C78+(6*'V06 Calend 01'!E78))),('V06 Calend 01'!H78-('V06 Calend 01'!I78*('V06 Calend 01'!E78-1))),'V06 Calend 01'!I78),0))+IF((24='V06 Calend 01'!D78),'V06 Calend 01'!J78,0))</f>
        <v>0</v>
      </c>
      <c r="AK78" s="2">
        <f>((IF((25='V06 Calend 01'!C78),('V06 Calend 01'!F78+'V06 Calend 01'!G78),0)+IF(AND(('V06 Calend 01'!E78&gt;0),(25&gt;'V06 Calend 01'!C78),(25&lt;'V06 Calend 01'!D78),(MOD((25-'V06 Calend 01'!C78),6)=0),(((25-'V06 Calend 01'!C78)/6)&lt;='V06 Calend 01'!E78)),IF((25=('V06 Calend 01'!C78+(6*'V06 Calend 01'!E78))),('V06 Calend 01'!H78-('V06 Calend 01'!I78*('V06 Calend 01'!E78-1))),'V06 Calend 01'!I78),0))+IF((25='V06 Calend 01'!D78),'V06 Calend 01'!J78,0))</f>
        <v>59333.75</v>
      </c>
      <c r="AL78" s="2">
        <f>((IF((26='V06 Calend 01'!C78),('V06 Calend 01'!F78+'V06 Calend 01'!G78),0)+IF(AND(('V06 Calend 01'!E78&gt;0),(26&gt;'V06 Calend 01'!C78),(26&lt;'V06 Calend 01'!D78),(MOD((26-'V06 Calend 01'!C78),6)=0),(((26-'V06 Calend 01'!C78)/6)&lt;='V06 Calend 01'!E78)),IF((26=('V06 Calend 01'!C78+(6*'V06 Calend 01'!E78))),('V06 Calend 01'!H78-('V06 Calend 01'!I78*('V06 Calend 01'!E78-1))),'V06 Calend 01'!I78),0))+IF((26='V06 Calend 01'!D78),'V06 Calend 01'!J78,0))</f>
        <v>0</v>
      </c>
      <c r="AM78" s="2">
        <f>((IF((27='V06 Calend 01'!C78),('V06 Calend 01'!F78+'V06 Calend 01'!G78),0)+IF(AND(('V06 Calend 01'!E78&gt;0),(27&gt;'V06 Calend 01'!C78),(27&lt;'V06 Calend 01'!D78),(MOD((27-'V06 Calend 01'!C78),6)=0),(((27-'V06 Calend 01'!C78)/6)&lt;='V06 Calend 01'!E78)),IF((27=('V06 Calend 01'!C78+(6*'V06 Calend 01'!E78))),('V06 Calend 01'!H78-('V06 Calend 01'!I78*('V06 Calend 01'!E78-1))),'V06 Calend 01'!I78),0))+IF((27='V06 Calend 01'!D78),'V06 Calend 01'!J78,0))</f>
        <v>0</v>
      </c>
      <c r="AN78" s="2">
        <f>((IF((28='V06 Calend 01'!C78),('V06 Calend 01'!F78+'V06 Calend 01'!G78),0)+IF(AND(('V06 Calend 01'!E78&gt;0),(28&gt;'V06 Calend 01'!C78),(28&lt;'V06 Calend 01'!D78),(MOD((28-'V06 Calend 01'!C78),6)=0),(((28-'V06 Calend 01'!C78)/6)&lt;='V06 Calend 01'!E78)),IF((28=('V06 Calend 01'!C78+(6*'V06 Calend 01'!E78))),('V06 Calend 01'!H78-('V06 Calend 01'!I78*('V06 Calend 01'!E78-1))),'V06 Calend 01'!I78),0))+IF((28='V06 Calend 01'!D78),'V06 Calend 01'!J78,0))</f>
        <v>0</v>
      </c>
      <c r="AO78" s="2">
        <f>((IF((29='V06 Calend 01'!C78),('V06 Calend 01'!F78+'V06 Calend 01'!G78),0)+IF(AND(('V06 Calend 01'!E78&gt;0),(29&gt;'V06 Calend 01'!C78),(29&lt;'V06 Calend 01'!D78),(MOD((29-'V06 Calend 01'!C78),6)=0),(((29-'V06 Calend 01'!C78)/6)&lt;='V06 Calend 01'!E78)),IF((29=('V06 Calend 01'!C78+(6*'V06 Calend 01'!E78))),('V06 Calend 01'!H78-('V06 Calend 01'!I78*('V06 Calend 01'!E78-1))),'V06 Calend 01'!I78),0))+IF((29='V06 Calend 01'!D78),'V06 Calend 01'!J78,0))</f>
        <v>86303.65999999997</v>
      </c>
      <c r="AP78" s="2">
        <f>((IF((30='V06 Calend 01'!C78),('V06 Calend 01'!F78+'V06 Calend 01'!G78),0)+IF(AND(('V06 Calend 01'!E78&gt;0),(30&gt;'V06 Calend 01'!C78),(30&lt;'V06 Calend 01'!D78),(MOD((30-'V06 Calend 01'!C78),6)=0),(((30-'V06 Calend 01'!C78)/6)&lt;='V06 Calend 01'!E78)),IF((30=('V06 Calend 01'!C78+(6*'V06 Calend 01'!E78))),('V06 Calend 01'!H78-('V06 Calend 01'!I78*('V06 Calend 01'!E78-1))),'V06 Calend 01'!I78),0))+IF((30='V06 Calend 01'!D78),'V06 Calend 01'!J78,0))</f>
        <v>0</v>
      </c>
      <c r="AQ78" s="2">
        <f>((IF((31='V06 Calend 01'!C78),('V06 Calend 01'!F78+'V06 Calend 01'!G78),0)+IF(AND(('V06 Calend 01'!E78&gt;0),(31&gt;'V06 Calend 01'!C78),(31&lt;'V06 Calend 01'!D78),(MOD((31-'V06 Calend 01'!C78),6)=0),(((31-'V06 Calend 01'!C78)/6)&lt;='V06 Calend 01'!E78)),IF((31=('V06 Calend 01'!C78+(6*'V06 Calend 01'!E78))),('V06 Calend 01'!H78-('V06 Calend 01'!I78*('V06 Calend 01'!E78-1))),'V06 Calend 01'!I78),0))+IF((31='V06 Calend 01'!D78),'V06 Calend 01'!J78,0))</f>
        <v>0</v>
      </c>
      <c r="AR78" s="2">
        <f>((IF((32='V06 Calend 01'!C78),('V06 Calend 01'!F78+'V06 Calend 01'!G78),0)+IF(AND(('V06 Calend 01'!E78&gt;0),(32&gt;'V06 Calend 01'!C78),(32&lt;'V06 Calend 01'!D78),(MOD((32-'V06 Calend 01'!C78),6)=0),(((32-'V06 Calend 01'!C78)/6)&lt;='V06 Calend 01'!E78)),IF((32=('V06 Calend 01'!C78+(6*'V06 Calend 01'!E78))),('V06 Calend 01'!H78-('V06 Calend 01'!I78*('V06 Calend 01'!E78-1))),'V06 Calend 01'!I78),0))+IF((32='V06 Calend 01'!D78),'V06 Calend 01'!J78,0))</f>
        <v>0</v>
      </c>
      <c r="AS78" s="2">
        <f>((IF((33='V06 Calend 01'!C78),('V06 Calend 01'!F78+'V06 Calend 01'!G78),0)+IF(AND(('V06 Calend 01'!E78&gt;0),(33&gt;'V06 Calend 01'!C78),(33&lt;'V06 Calend 01'!D78),(MOD((33-'V06 Calend 01'!C78),6)=0),(((33-'V06 Calend 01'!C78)/6)&lt;='V06 Calend 01'!E78)),IF((33=('V06 Calend 01'!C78+(6*'V06 Calend 01'!E78))),('V06 Calend 01'!H78-('V06 Calend 01'!I78*('V06 Calend 01'!E78-1))),'V06 Calend 01'!I78),0))+IF((33='V06 Calend 01'!D78),'V06 Calend 01'!J78,0))</f>
        <v>0</v>
      </c>
      <c r="AT78" s="2">
        <f>((IF((34='V06 Calend 01'!C78),('V06 Calend 01'!F78+'V06 Calend 01'!G78),0)+IF(AND(('V06 Calend 01'!E78&gt;0),(34&gt;'V06 Calend 01'!C78),(34&lt;'V06 Calend 01'!D78),(MOD((34-'V06 Calend 01'!C78),6)=0),(((34-'V06 Calend 01'!C78)/6)&lt;='V06 Calend 01'!E78)),IF((34=('V06 Calend 01'!C78+(6*'V06 Calend 01'!E78))),('V06 Calend 01'!H78-('V06 Calend 01'!I78*('V06 Calend 01'!E78-1))),'V06 Calend 01'!I78),0))+IF((34='V06 Calend 01'!D78),'V06 Calend 01'!J78,0))</f>
        <v>0</v>
      </c>
      <c r="AU78" s="2">
        <f>((IF((35='V06 Calend 01'!C78),('V06 Calend 01'!F78+'V06 Calend 01'!G78),0)+IF(AND(('V06 Calend 01'!E78&gt;0),(35&gt;'V06 Calend 01'!C78),(35&lt;'V06 Calend 01'!D78),(MOD((35-'V06 Calend 01'!C78),6)=0),(((35-'V06 Calend 01'!C78)/6)&lt;='V06 Calend 01'!E78)),IF((35=('V06 Calend 01'!C78+(6*'V06 Calend 01'!E78))),('V06 Calend 01'!H78-('V06 Calend 01'!I78*('V06 Calend 01'!E78-1))),'V06 Calend 01'!I78),0))+IF((35='V06 Calend 01'!D78),'V06 Calend 01'!J78,0))</f>
        <v>0</v>
      </c>
      <c r="AV78" s="2">
        <f>((IF((36='V06 Calend 01'!C78),('V06 Calend 01'!F78+'V06 Calend 01'!G78),0)+IF(AND(('V06 Calend 01'!E78&gt;0),(36&gt;'V06 Calend 01'!C78),(36&lt;'V06 Calend 01'!D78),(MOD((36-'V06 Calend 01'!C78),6)=0),(((36-'V06 Calend 01'!C78)/6)&lt;='V06 Calend 01'!E78)),IF((36=('V06 Calend 01'!C78+(6*'V06 Calend 01'!E78))),('V06 Calend 01'!H78-('V06 Calend 01'!I78*('V06 Calend 01'!E78-1))),'V06 Calend 01'!I78),0))+IF((36='V06 Calend 01'!D78),'V06 Calend 01'!J78,0))</f>
        <v>0</v>
      </c>
      <c r="AW78" s="2">
        <f>((IF((37='V06 Calend 01'!C78),('V06 Calend 01'!F78+'V06 Calend 01'!G78),0)+IF(AND(('V06 Calend 01'!E78&gt;0),(37&gt;'V06 Calend 01'!C78),(37&lt;'V06 Calend 01'!D78),(MOD((37-'V06 Calend 01'!C78),6)=0),(((37-'V06 Calend 01'!C78)/6)&lt;='V06 Calend 01'!E78)),IF((37=('V06 Calend 01'!C78+(6*'V06 Calend 01'!E78))),('V06 Calend 01'!H78-('V06 Calend 01'!I78*('V06 Calend 01'!E78-1))),'V06 Calend 01'!I78),0))+IF((37='V06 Calend 01'!D78),'V06 Calend 01'!J78,0))</f>
        <v>0</v>
      </c>
      <c r="AX78" s="2">
        <f>((IF((38='V06 Calend 01'!C78),('V06 Calend 01'!F78+'V06 Calend 01'!G78),0)+IF(AND(('V06 Calend 01'!E78&gt;0),(38&gt;'V06 Calend 01'!C78),(38&lt;'V06 Calend 01'!D78),(MOD((38-'V06 Calend 01'!C78),6)=0),(((38-'V06 Calend 01'!C78)/6)&lt;='V06 Calend 01'!E78)),IF((38=('V06 Calend 01'!C78+(6*'V06 Calend 01'!E78))),('V06 Calend 01'!H78-('V06 Calend 01'!I78*('V06 Calend 01'!E78-1))),'V06 Calend 01'!I78),0))+IF((38='V06 Calend 01'!D78),'V06 Calend 01'!J78,0))</f>
        <v>0</v>
      </c>
      <c r="AY78" s="2">
        <f>((IF((39='V06 Calend 01'!C78),('V06 Calend 01'!F78+'V06 Calend 01'!G78),0)+IF(AND(('V06 Calend 01'!E78&gt;0),(39&gt;'V06 Calend 01'!C78),(39&lt;'V06 Calend 01'!D78),(MOD((39-'V06 Calend 01'!C78),6)=0),(((39-'V06 Calend 01'!C78)/6)&lt;='V06 Calend 01'!E78)),IF((39=('V06 Calend 01'!C78+(6*'V06 Calend 01'!E78))),('V06 Calend 01'!H78-('V06 Calend 01'!I78*('V06 Calend 01'!E78-1))),'V06 Calend 01'!I78),0))+IF((39='V06 Calend 01'!D78),'V06 Calend 01'!J78,0))</f>
        <v>0</v>
      </c>
      <c r="AZ78" s="2">
        <f>((IF((40='V06 Calend 01'!C78),('V06 Calend 01'!F78+'V06 Calend 01'!G78),0)+IF(AND(('V06 Calend 01'!E78&gt;0),(40&gt;'V06 Calend 01'!C78),(40&lt;'V06 Calend 01'!D78),(MOD((40-'V06 Calend 01'!C78),6)=0),(((40-'V06 Calend 01'!C78)/6)&lt;='V06 Calend 01'!E78)),IF((40=('V06 Calend 01'!C78+(6*'V06 Calend 01'!E78))),('V06 Calend 01'!H78-('V06 Calend 01'!I78*('V06 Calend 01'!E78-1))),'V06 Calend 01'!I78),0))+IF((40='V06 Calend 01'!D78),'V06 Calend 01'!J78,0))</f>
        <v>0</v>
      </c>
      <c r="BA78" s="2">
        <f>((IF((41='V06 Calend 01'!C78),('V06 Calend 01'!F78+'V06 Calend 01'!G78),0)+IF(AND(('V06 Calend 01'!E78&gt;0),(41&gt;'V06 Calend 01'!C78),(41&lt;'V06 Calend 01'!D78),(MOD((41-'V06 Calend 01'!C78),6)=0),(((41-'V06 Calend 01'!C78)/6)&lt;='V06 Calend 01'!E78)),IF((41=('V06 Calend 01'!C78+(6*'V06 Calend 01'!E78))),('V06 Calend 01'!H78-('V06 Calend 01'!I78*('V06 Calend 01'!E78-1))),'V06 Calend 01'!I78),0))+IF((41='V06 Calend 01'!D78),'V06 Calend 01'!J78,0))</f>
        <v>0</v>
      </c>
      <c r="BB78" s="2">
        <f>((IF((42='V06 Calend 01'!C78),('V06 Calend 01'!F78+'V06 Calend 01'!G78),0)+IF(AND(('V06 Calend 01'!E78&gt;0),(42&gt;'V06 Calend 01'!C78),(42&lt;'V06 Calend 01'!D78),(MOD((42-'V06 Calend 01'!C78),6)=0),(((42-'V06 Calend 01'!C78)/6)&lt;='V06 Calend 01'!E78)),IF((42=('V06 Calend 01'!C78+(6*'V06 Calend 01'!E78))),('V06 Calend 01'!H78-('V06 Calend 01'!I78*('V06 Calend 01'!E78-1))),'V06 Calend 01'!I78),0))+IF((42='V06 Calend 01'!D78),'V06 Calend 01'!J78,0))</f>
        <v>0</v>
      </c>
      <c r="BC78" s="2">
        <f>((IF((43='V06 Calend 01'!C78),('V06 Calend 01'!F78+'V06 Calend 01'!G78),0)+IF(AND(('V06 Calend 01'!E78&gt;0),(43&gt;'V06 Calend 01'!C78),(43&lt;'V06 Calend 01'!D78),(MOD((43-'V06 Calend 01'!C78),6)=0),(((43-'V06 Calend 01'!C78)/6)&lt;='V06 Calend 01'!E78)),IF((43=('V06 Calend 01'!C78+(6*'V06 Calend 01'!E78))),('V06 Calend 01'!H78-('V06 Calend 01'!I78*('V06 Calend 01'!E78-1))),'V06 Calend 01'!I78),0))+IF((43='V06 Calend 01'!D78),'V06 Calend 01'!J78,0))</f>
        <v>0</v>
      </c>
      <c r="BD78" s="2">
        <f>((IF((44='V06 Calend 01'!C78),('V06 Calend 01'!F78+'V06 Calend 01'!G78),0)+IF(AND(('V06 Calend 01'!E78&gt;0),(44&gt;'V06 Calend 01'!C78),(44&lt;'V06 Calend 01'!D78),(MOD((44-'V06 Calend 01'!C78),6)=0),(((44-'V06 Calend 01'!C78)/6)&lt;='V06 Calend 01'!E78)),IF((44=('V06 Calend 01'!C78+(6*'V06 Calend 01'!E78))),('V06 Calend 01'!H78-('V06 Calend 01'!I78*('V06 Calend 01'!E78-1))),'V06 Calend 01'!I78),0))+IF((44='V06 Calend 01'!D78),'V06 Calend 01'!J78,0))</f>
        <v>0</v>
      </c>
      <c r="BE78" s="2">
        <f>((IF((45='V06 Calend 01'!C78),('V06 Calend 01'!F78+'V06 Calend 01'!G78),0)+IF(AND(('V06 Calend 01'!E78&gt;0),(45&gt;'V06 Calend 01'!C78),(45&lt;'V06 Calend 01'!D78),(MOD((45-'V06 Calend 01'!C78),6)=0),(((45-'V06 Calend 01'!C78)/6)&lt;='V06 Calend 01'!E78)),IF((45=('V06 Calend 01'!C78+(6*'V06 Calend 01'!E78))),('V06 Calend 01'!H78-('V06 Calend 01'!I78*('V06 Calend 01'!E78-1))),'V06 Calend 01'!I78),0))+IF((45='V06 Calend 01'!D78),'V06 Calend 01'!J78,0))</f>
        <v>0</v>
      </c>
      <c r="BF78" s="2">
        <f>((IF((46='V06 Calend 01'!C78),('V06 Calend 01'!F78+'V06 Calend 01'!G78),0)+IF(AND(('V06 Calend 01'!E78&gt;0),(46&gt;'V06 Calend 01'!C78),(46&lt;'V06 Calend 01'!D78),(MOD((46-'V06 Calend 01'!C78),6)=0),(((46-'V06 Calend 01'!C78)/6)&lt;='V06 Calend 01'!E78)),IF((46=('V06 Calend 01'!C78+(6*'V06 Calend 01'!E78))),('V06 Calend 01'!H78-('V06 Calend 01'!I78*('V06 Calend 01'!E78-1))),'V06 Calend 01'!I78),0))+IF((46='V06 Calend 01'!D78),'V06 Calend 01'!J78,0))</f>
        <v>0</v>
      </c>
      <c r="BG78" s="2">
        <f>((IF((47='V06 Calend 01'!C78),('V06 Calend 01'!F78+'V06 Calend 01'!G78),0)+IF(AND(('V06 Calend 01'!E78&gt;0),(47&gt;'V06 Calend 01'!C78),(47&lt;'V06 Calend 01'!D78),(MOD((47-'V06 Calend 01'!C78),6)=0),(((47-'V06 Calend 01'!C78)/6)&lt;='V06 Calend 01'!E78)),IF((47=('V06 Calend 01'!C78+(6*'V06 Calend 01'!E78))),('V06 Calend 01'!H78-('V06 Calend 01'!I78*('V06 Calend 01'!E78-1))),'V06 Calend 01'!I78),0))+IF((47='V06 Calend 01'!D78),'V06 Calend 01'!J78,0))</f>
        <v>0</v>
      </c>
      <c r="BH78" s="2">
        <f>((IF((48='V06 Calend 01'!C78),('V06 Calend 01'!F78+'V06 Calend 01'!G78),0)+IF(AND(('V06 Calend 01'!E78&gt;0),(48&gt;'V06 Calend 01'!C78),(48&lt;'V06 Calend 01'!D78),(MOD((48-'V06 Calend 01'!C78),6)=0),(((48-'V06 Calend 01'!C78)/6)&lt;='V06 Calend 01'!E78)),IF((48=('V06 Calend 01'!C78+(6*'V06 Calend 01'!E78))),('V06 Calend 01'!H78-('V06 Calend 01'!I78*('V06 Calend 01'!E78-1))),'V06 Calend 01'!I78),0))+IF((48='V06 Calend 01'!D78),'V06 Calend 01'!J78,0))</f>
        <v>0</v>
      </c>
      <c r="BI78" s="2">
        <f>((IF((49='V06 Calend 01'!C78),('V06 Calend 01'!F78+'V06 Calend 01'!G78),0)+IF(AND(('V06 Calend 01'!E78&gt;0),(49&gt;'V06 Calend 01'!C78),(49&lt;'V06 Calend 01'!D78),(MOD((49-'V06 Calend 01'!C78),6)=0),(((49-'V06 Calend 01'!C78)/6)&lt;='V06 Calend 01'!E78)),IF((49=('V06 Calend 01'!C78+(6*'V06 Calend 01'!E78))),('V06 Calend 01'!H78-('V06 Calend 01'!I78*('V06 Calend 01'!E78-1))),'V06 Calend 01'!I78),0))+IF((49='V06 Calend 01'!D78),'V06 Calend 01'!J78,0))</f>
        <v>0</v>
      </c>
      <c r="BJ78" s="2">
        <f>((IF((50='V06 Calend 01'!C78),('V06 Calend 01'!F78+'V06 Calend 01'!G78),0)+IF(AND(('V06 Calend 01'!E78&gt;0),(50&gt;'V06 Calend 01'!C78),(50&lt;'V06 Calend 01'!D78),(MOD((50-'V06 Calend 01'!C78),6)=0),(((50-'V06 Calend 01'!C78)/6)&lt;='V06 Calend 01'!E78)),IF((50=('V06 Calend 01'!C78+(6*'V06 Calend 01'!E78))),('V06 Calend 01'!H78-('V06 Calend 01'!I78*('V06 Calend 01'!E78-1))),'V06 Calend 01'!I78),0))+IF((50='V06 Calend 01'!D78),'V06 Calend 01'!J78,0))</f>
        <v>0</v>
      </c>
      <c r="BK78" s="2">
        <f>((IF((51='V06 Calend 01'!C78),('V06 Calend 01'!F78+'V06 Calend 01'!G78),0)+IF(AND(('V06 Calend 01'!E78&gt;0),(51&gt;'V06 Calend 01'!C78),(51&lt;'V06 Calend 01'!D78),(MOD((51-'V06 Calend 01'!C78),6)=0),(((51-'V06 Calend 01'!C78)/6)&lt;='V06 Calend 01'!E78)),IF((51=('V06 Calend 01'!C78+(6*'V06 Calend 01'!E78))),('V06 Calend 01'!H78-('V06 Calend 01'!I78*('V06 Calend 01'!E78-1))),'V06 Calend 01'!I78),0))+IF((51='V06 Calend 01'!D78),'V06 Calend 01'!J78,0))</f>
        <v>0</v>
      </c>
      <c r="BL78" s="2">
        <f>((IF((52='V06 Calend 01'!C78),('V06 Calend 01'!F78+'V06 Calend 01'!G78),0)+IF(AND(('V06 Calend 01'!E78&gt;0),(52&gt;'V06 Calend 01'!C78),(52&lt;'V06 Calend 01'!D78),(MOD((52-'V06 Calend 01'!C78),6)=0),(((52-'V06 Calend 01'!C78)/6)&lt;='V06 Calend 01'!E78)),IF((52=('V06 Calend 01'!C78+(6*'V06 Calend 01'!E78))),('V06 Calend 01'!H78-('V06 Calend 01'!I78*('V06 Calend 01'!E78-1))),'V06 Calend 01'!I78),0))+IF((52='V06 Calend 01'!D78),'V06 Calend 01'!J78,0))</f>
        <v>0</v>
      </c>
      <c r="BM78" s="2">
        <f>((IF((53='V06 Calend 01'!C78),('V06 Calend 01'!F78+'V06 Calend 01'!G78),0)+IF(AND(('V06 Calend 01'!E78&gt;0),(53&gt;'V06 Calend 01'!C78),(53&lt;'V06 Calend 01'!D78),(MOD((53-'V06 Calend 01'!C78),6)=0),(((53-'V06 Calend 01'!C78)/6)&lt;='V06 Calend 01'!E78)),IF((53=('V06 Calend 01'!C78+(6*'V06 Calend 01'!E78))),('V06 Calend 01'!H78-('V06 Calend 01'!I78*('V06 Calend 01'!E78-1))),'V06 Calend 01'!I78),0))+IF((53='V06 Calend 01'!D78),'V06 Calend 01'!J78,0))</f>
        <v>0</v>
      </c>
      <c r="BN78" s="2">
        <f>((IF((54='V06 Calend 01'!C78),('V06 Calend 01'!F78+'V06 Calend 01'!G78),0)+IF(AND(('V06 Calend 01'!E78&gt;0),(54&gt;'V06 Calend 01'!C78),(54&lt;'V06 Calend 01'!D78),(MOD((54-'V06 Calend 01'!C78),6)=0),(((54-'V06 Calend 01'!C78)/6)&lt;='V06 Calend 01'!E78)),IF((54=('V06 Calend 01'!C78+(6*'V06 Calend 01'!E78))),('V06 Calend 01'!H78-('V06 Calend 01'!I78*('V06 Calend 01'!E78-1))),'V06 Calend 01'!I78),0))+IF((54='V06 Calend 01'!D78),'V06 Calend 01'!J78,0))</f>
        <v>0</v>
      </c>
      <c r="BO78" s="2">
        <f>((IF((55='V06 Calend 01'!C78),('V06 Calend 01'!F78+'V06 Calend 01'!G78),0)+IF(AND(('V06 Calend 01'!E78&gt;0),(55&gt;'V06 Calend 01'!C78),(55&lt;'V06 Calend 01'!D78),(MOD((55-'V06 Calend 01'!C78),6)=0),(((55-'V06 Calend 01'!C78)/6)&lt;='V06 Calend 01'!E78)),IF((55=('V06 Calend 01'!C78+(6*'V06 Calend 01'!E78))),('V06 Calend 01'!H78-('V06 Calend 01'!I78*('V06 Calend 01'!E78-1))),'V06 Calend 01'!I78),0))+IF((55='V06 Calend 01'!D78),'V06 Calend 01'!J78,0))</f>
        <v>0</v>
      </c>
      <c r="BP78" s="2">
        <f>((IF((56='V06 Calend 01'!C78),('V06 Calend 01'!F78+'V06 Calend 01'!G78),0)+IF(AND(('V06 Calend 01'!E78&gt;0),(56&gt;'V06 Calend 01'!C78),(56&lt;'V06 Calend 01'!D78),(MOD((56-'V06 Calend 01'!C78),6)=0),(((56-'V06 Calend 01'!C78)/6)&lt;='V06 Calend 01'!E78)),IF((56=('V06 Calend 01'!C78+(6*'V06 Calend 01'!E78))),('V06 Calend 01'!H78-('V06 Calend 01'!I78*('V06 Calend 01'!E78-1))),'V06 Calend 01'!I78),0))+IF((56='V06 Calend 01'!D78),'V06 Calend 01'!J78,0))</f>
        <v>0</v>
      </c>
      <c r="BQ78" s="2">
        <f>((IF((57='V06 Calend 01'!C78),('V06 Calend 01'!F78+'V06 Calend 01'!G78),0)+IF(AND(('V06 Calend 01'!E78&gt;0),(57&gt;'V06 Calend 01'!C78),(57&lt;'V06 Calend 01'!D78),(MOD((57-'V06 Calend 01'!C78),6)=0),(((57-'V06 Calend 01'!C78)/6)&lt;='V06 Calend 01'!E78)),IF((57=('V06 Calend 01'!C78+(6*'V06 Calend 01'!E78))),('V06 Calend 01'!H78-('V06 Calend 01'!I78*('V06 Calend 01'!E78-1))),'V06 Calend 01'!I78),0))+IF((57='V06 Calend 01'!D78),'V06 Calend 01'!J78,0))</f>
        <v>0</v>
      </c>
      <c r="BR78" s="2">
        <f>((IF((58='V06 Calend 01'!C78),('V06 Calend 01'!F78+'V06 Calend 01'!G78),0)+IF(AND(('V06 Calend 01'!E78&gt;0),(58&gt;'V06 Calend 01'!C78),(58&lt;'V06 Calend 01'!D78),(MOD((58-'V06 Calend 01'!C78),6)=0),(((58-'V06 Calend 01'!C78)/6)&lt;='V06 Calend 01'!E78)),IF((58=('V06 Calend 01'!C78+(6*'V06 Calend 01'!E78))),('V06 Calend 01'!H78-('V06 Calend 01'!I78*('V06 Calend 01'!E78-1))),'V06 Calend 01'!I78),0))+IF((58='V06 Calend 01'!D78),'V06 Calend 01'!J78,0))</f>
        <v>0</v>
      </c>
      <c r="BS78" s="2">
        <f>((IF((59='V06 Calend 01'!C78),('V06 Calend 01'!F78+'V06 Calend 01'!G78),0)+IF(AND(('V06 Calend 01'!E78&gt;0),(59&gt;'V06 Calend 01'!C78),(59&lt;'V06 Calend 01'!D78),(MOD((59-'V06 Calend 01'!C78),6)=0),(((59-'V06 Calend 01'!C78)/6)&lt;='V06 Calend 01'!E78)),IF((59=('V06 Calend 01'!C78+(6*'V06 Calend 01'!E78))),('V06 Calend 01'!H78-('V06 Calend 01'!I78*('V06 Calend 01'!E78-1))),'V06 Calend 01'!I78),0))+IF((59='V06 Calend 01'!D78),'V06 Calend 01'!J78,0))</f>
        <v>0</v>
      </c>
      <c r="BT78" s="2">
        <f>((IF((60='V06 Calend 01'!C78),('V06 Calend 01'!F78+'V06 Calend 01'!G78),0)+IF(AND(('V06 Calend 01'!E78&gt;0),(60&gt;'V06 Calend 01'!C78),(60&lt;'V06 Calend 01'!D78),(MOD((60-'V06 Calend 01'!C78),6)=0),(((60-'V06 Calend 01'!C78)/6)&lt;='V06 Calend 01'!E78)),IF((60=('V06 Calend 01'!C78+(6*'V06 Calend 01'!E78))),('V06 Calend 01'!H78-('V06 Calend 01'!I78*('V06 Calend 01'!E78-1))),'V06 Calend 01'!I78),0))+IF((60='V06 Calend 01'!D78),'V06 Calend 01'!J78,0))</f>
        <v>0</v>
      </c>
      <c r="BU78" s="2">
        <f>((IF((61='V06 Calend 01'!C78),('V06 Calend 01'!F78+'V06 Calend 01'!G78),0)+IF(AND(('V06 Calend 01'!E78&gt;0),(61&gt;'V06 Calend 01'!C78),(61&lt;'V06 Calend 01'!D78),(MOD((61-'V06 Calend 01'!C78),6)=0),(((61-'V06 Calend 01'!C78)/6)&lt;='V06 Calend 01'!E78)),IF((61=('V06 Calend 01'!C78+(6*'V06 Calend 01'!E78))),('V06 Calend 01'!H78-('V06 Calend 01'!I78*('V06 Calend 01'!E78-1))),'V06 Calend 01'!I78),0))+IF((61='V06 Calend 01'!D78),'V06 Calend 01'!J78,0))</f>
        <v>0</v>
      </c>
      <c r="BV78" s="2">
        <f>((IF((62='V06 Calend 01'!C78),('V06 Calend 01'!F78+'V06 Calend 01'!G78),0)+IF(AND(('V06 Calend 01'!E78&gt;0),(62&gt;'V06 Calend 01'!C78),(62&lt;'V06 Calend 01'!D78),(MOD((62-'V06 Calend 01'!C78),6)=0),(((62-'V06 Calend 01'!C78)/6)&lt;='V06 Calend 01'!E78)),IF((62=('V06 Calend 01'!C78+(6*'V06 Calend 01'!E78))),('V06 Calend 01'!H78-('V06 Calend 01'!I78*('V06 Calend 01'!E78-1))),'V06 Calend 01'!I78),0))+IF((62='V06 Calend 01'!D78),'V06 Calend 01'!J78,0))</f>
        <v>0</v>
      </c>
      <c r="BW78" s="2">
        <f>((IF((63='V06 Calend 01'!C78),('V06 Calend 01'!F78+'V06 Calend 01'!G78),0)+IF(AND(('V06 Calend 01'!E78&gt;0),(63&gt;'V06 Calend 01'!C78),(63&lt;'V06 Calend 01'!D78),(MOD((63-'V06 Calend 01'!C78),6)=0),(((63-'V06 Calend 01'!C78)/6)&lt;='V06 Calend 01'!E78)),IF((63=('V06 Calend 01'!C78+(6*'V06 Calend 01'!E78))),('V06 Calend 01'!H78-('V06 Calend 01'!I78*('V06 Calend 01'!E78-1))),'V06 Calend 01'!I78),0))+IF((63='V06 Calend 01'!D78),'V06 Calend 01'!J78,0))</f>
        <v>0</v>
      </c>
      <c r="BX78" s="2">
        <f>((IF((64='V06 Calend 01'!C78),('V06 Calend 01'!F78+'V06 Calend 01'!G78),0)+IF(AND(('V06 Calend 01'!E78&gt;0),(64&gt;'V06 Calend 01'!C78),(64&lt;'V06 Calend 01'!D78),(MOD((64-'V06 Calend 01'!C78),6)=0),(((64-'V06 Calend 01'!C78)/6)&lt;='V06 Calend 01'!E78)),IF((64=('V06 Calend 01'!C78+(6*'V06 Calend 01'!E78))),('V06 Calend 01'!H78-('V06 Calend 01'!I78*('V06 Calend 01'!E78-1))),'V06 Calend 01'!I78),0))+IF((64='V06 Calend 01'!D78),'V06 Calend 01'!J78,0))</f>
        <v>0</v>
      </c>
      <c r="BY78" s="2">
        <f>((IF((65='V06 Calend 01'!C78),('V06 Calend 01'!F78+'V06 Calend 01'!G78),0)+IF(AND(('V06 Calend 01'!E78&gt;0),(65&gt;'V06 Calend 01'!C78),(65&lt;'V06 Calend 01'!D78),(MOD((65-'V06 Calend 01'!C78),6)=0),(((65-'V06 Calend 01'!C78)/6)&lt;='V06 Calend 01'!E78)),IF((65=('V06 Calend 01'!C78+(6*'V06 Calend 01'!E78))),('V06 Calend 01'!H78-('V06 Calend 01'!I78*('V06 Calend 01'!E78-1))),'V06 Calend 01'!I78),0))+IF((65='V06 Calend 01'!D78),'V06 Calend 01'!J78,0))</f>
        <v>0</v>
      </c>
      <c r="BZ78" s="2">
        <f>((IF((66='V06 Calend 01'!C78),('V06 Calend 01'!F78+'V06 Calend 01'!G78),0)+IF(AND(('V06 Calend 01'!E78&gt;0),(66&gt;'V06 Calend 01'!C78),(66&lt;'V06 Calend 01'!D78),(MOD((66-'V06 Calend 01'!C78),6)=0),(((66-'V06 Calend 01'!C78)/6)&lt;='V06 Calend 01'!E78)),IF((66=('V06 Calend 01'!C78+(6*'V06 Calend 01'!E78))),('V06 Calend 01'!H78-('V06 Calend 01'!I78*('V06 Calend 01'!E78-1))),'V06 Calend 01'!I78),0))+IF((66='V06 Calend 01'!D78),'V06 Calend 01'!J78,0))</f>
        <v>0</v>
      </c>
      <c r="CA78" s="2">
        <f>((IF((67='V06 Calend 01'!C78),('V06 Calend 01'!F78+'V06 Calend 01'!G78),0)+IF(AND(('V06 Calend 01'!E78&gt;0),(67&gt;'V06 Calend 01'!C78),(67&lt;'V06 Calend 01'!D78),(MOD((67-'V06 Calend 01'!C78),6)=0),(((67-'V06 Calend 01'!C78)/6)&lt;='V06 Calend 01'!E78)),IF((67=('V06 Calend 01'!C78+(6*'V06 Calend 01'!E78))),('V06 Calend 01'!H78-('V06 Calend 01'!I78*('V06 Calend 01'!E78-1))),'V06 Calend 01'!I78),0))+IF((67='V06 Calend 01'!D78),'V06 Calend 01'!J78,0))</f>
        <v>0</v>
      </c>
      <c r="CB78" s="2">
        <f>((IF((68='V06 Calend 01'!C78),('V06 Calend 01'!F78+'V06 Calend 01'!G78),0)+IF(AND(('V06 Calend 01'!E78&gt;0),(68&gt;'V06 Calend 01'!C78),(68&lt;'V06 Calend 01'!D78),(MOD((68-'V06 Calend 01'!C78),6)=0),(((68-'V06 Calend 01'!C78)/6)&lt;='V06 Calend 01'!E78)),IF((68=('V06 Calend 01'!C78+(6*'V06 Calend 01'!E78))),('V06 Calend 01'!H78-('V06 Calend 01'!I78*('V06 Calend 01'!E78-1))),'V06 Calend 01'!I78),0))+IF((68='V06 Calend 01'!D78),'V06 Calend 01'!J78,0))</f>
        <v>0</v>
      </c>
      <c r="CC78" s="2">
        <f>((IF((69='V06 Calend 01'!C78),('V06 Calend 01'!F78+'V06 Calend 01'!G78),0)+IF(AND(('V06 Calend 01'!E78&gt;0),(69&gt;'V06 Calend 01'!C78),(69&lt;'V06 Calend 01'!D78),(MOD((69-'V06 Calend 01'!C78),6)=0),(((69-'V06 Calend 01'!C78)/6)&lt;='V06 Calend 01'!E78)),IF((69=('V06 Calend 01'!C78+(6*'V06 Calend 01'!E78))),('V06 Calend 01'!H78-('V06 Calend 01'!I78*('V06 Calend 01'!E78-1))),'V06 Calend 01'!I78),0))+IF((69='V06 Calend 01'!D78),'V06 Calend 01'!J78,0))</f>
        <v>0</v>
      </c>
      <c r="CD78" s="2">
        <f>((IF((70='V06 Calend 01'!C78),('V06 Calend 01'!F78+'V06 Calend 01'!G78),0)+IF(AND(('V06 Calend 01'!E78&gt;0),(70&gt;'V06 Calend 01'!C78),(70&lt;'V06 Calend 01'!D78),(MOD((70-'V06 Calend 01'!C78),6)=0),(((70-'V06 Calend 01'!C78)/6)&lt;='V06 Calend 01'!E78)),IF((70=('V06 Calend 01'!C78+(6*'V06 Calend 01'!E78))),('V06 Calend 01'!H78-('V06 Calend 01'!I78*('V06 Calend 01'!E78-1))),'V06 Calend 01'!I78),0))+IF((70='V06 Calend 01'!D78),'V06 Calend 01'!J78,0))</f>
        <v>0</v>
      </c>
      <c r="CE78" s="2">
        <f>((IF((71='V06 Calend 01'!C78),('V06 Calend 01'!F78+'V06 Calend 01'!G78),0)+IF(AND(('V06 Calend 01'!E78&gt;0),(71&gt;'V06 Calend 01'!C78),(71&lt;'V06 Calend 01'!D78),(MOD((71-'V06 Calend 01'!C78),6)=0),(((71-'V06 Calend 01'!C78)/6)&lt;='V06 Calend 01'!E78)),IF((71=('V06 Calend 01'!C78+(6*'V06 Calend 01'!E78))),('V06 Calend 01'!H78-('V06 Calend 01'!I78*('V06 Calend 01'!E78-1))),'V06 Calend 01'!I78),0))+IF((71='V06 Calend 01'!D78),'V06 Calend 01'!J78,0))</f>
        <v>0</v>
      </c>
      <c r="CF78" s="2">
        <f>((IF((72='V06 Calend 01'!C78),('V06 Calend 01'!F78+'V06 Calend 01'!G78),0)+IF(AND(('V06 Calend 01'!E78&gt;0),(72&gt;'V06 Calend 01'!C78),(72&lt;'V06 Calend 01'!D78),(MOD((72-'V06 Calend 01'!C78),6)=0),(((72-'V06 Calend 01'!C78)/6)&lt;='V06 Calend 01'!E78)),IF((72=('V06 Calend 01'!C78+(6*'V06 Calend 01'!E78))),('V06 Calend 01'!H78-('V06 Calend 01'!I78*('V06 Calend 01'!E78-1))),'V06 Calend 01'!I78),0))+IF((72='V06 Calend 01'!D78),'V06 Calend 01'!J78,0))</f>
        <v>0</v>
      </c>
      <c r="CG78" s="2">
        <f>((IF((73='V06 Calend 01'!C78),('V06 Calend 01'!F78+'V06 Calend 01'!G78),0)+IF(AND(('V06 Calend 01'!E78&gt;0),(73&gt;'V06 Calend 01'!C78),(73&lt;'V06 Calend 01'!D78),(MOD((73-'V06 Calend 01'!C78),6)=0),(((73-'V06 Calend 01'!C78)/6)&lt;='V06 Calend 01'!E78)),IF((73=('V06 Calend 01'!C78+(6*'V06 Calend 01'!E78))),('V06 Calend 01'!H78-('V06 Calend 01'!I78*('V06 Calend 01'!E78-1))),'V06 Calend 01'!I78),0))+IF((73='V06 Calend 01'!D78),'V06 Calend 01'!J78,0))</f>
        <v>0</v>
      </c>
      <c r="CH78" s="2">
        <f>((IF((74='V06 Calend 01'!C78),('V06 Calend 01'!F78+'V06 Calend 01'!G78),0)+IF(AND(('V06 Calend 01'!E78&gt;0),(74&gt;'V06 Calend 01'!C78),(74&lt;'V06 Calend 01'!D78),(MOD((74-'V06 Calend 01'!C78),6)=0),(((74-'V06 Calend 01'!C78)/6)&lt;='V06 Calend 01'!E78)),IF((74=('V06 Calend 01'!C78+(6*'V06 Calend 01'!E78))),('V06 Calend 01'!H78-('V06 Calend 01'!I78*('V06 Calend 01'!E78-1))),'V06 Calend 01'!I78),0))+IF((74='V06 Calend 01'!D78),'V06 Calend 01'!J78,0))</f>
        <v>0</v>
      </c>
      <c r="CI78" s="2">
        <f>((IF((75='V06 Calend 01'!C78),('V06 Calend 01'!F78+'V06 Calend 01'!G78),0)+IF(AND(('V06 Calend 01'!E78&gt;0),(75&gt;'V06 Calend 01'!C78),(75&lt;'V06 Calend 01'!D78),(MOD((75-'V06 Calend 01'!C78),6)=0),(((75-'V06 Calend 01'!C78)/6)&lt;='V06 Calend 01'!E78)),IF((75=('V06 Calend 01'!C78+(6*'V06 Calend 01'!E78))),('V06 Calend 01'!H78-('V06 Calend 01'!I78*('V06 Calend 01'!E78-1))),'V06 Calend 01'!I78),0))+IF((75='V06 Calend 01'!D78),'V06 Calend 01'!J78,0))</f>
        <v>0</v>
      </c>
      <c r="CJ78" s="2">
        <f>((IF((76='V06 Calend 01'!C78),('V06 Calend 01'!F78+'V06 Calend 01'!G78),0)+IF(AND(('V06 Calend 01'!E78&gt;0),(76&gt;'V06 Calend 01'!C78),(76&lt;'V06 Calend 01'!D78),(MOD((76-'V06 Calend 01'!C78),6)=0),(((76-'V06 Calend 01'!C78)/6)&lt;='V06 Calend 01'!E78)),IF((76=('V06 Calend 01'!C78+(6*'V06 Calend 01'!E78))),('V06 Calend 01'!H78-('V06 Calend 01'!I78*('V06 Calend 01'!E78-1))),'V06 Calend 01'!I78),0))+IF((76='V06 Calend 01'!D78),'V06 Calend 01'!J78,0))</f>
        <v>0</v>
      </c>
      <c r="CK78" s="2">
        <f>((IF((77='V06 Calend 01'!C78),('V06 Calend 01'!F78+'V06 Calend 01'!G78),0)+IF(AND(('V06 Calend 01'!E78&gt;0),(77&gt;'V06 Calend 01'!C78),(77&lt;'V06 Calend 01'!D78),(MOD((77-'V06 Calend 01'!C78),6)=0),(((77-'V06 Calend 01'!C78)/6)&lt;='V06 Calend 01'!E78)),IF((77=('V06 Calend 01'!C78+(6*'V06 Calend 01'!E78))),('V06 Calend 01'!H78-('V06 Calend 01'!I78*('V06 Calend 01'!E78-1))),'V06 Calend 01'!I78),0))+IF((77='V06 Calend 01'!D78),'V06 Calend 01'!J78,0))</f>
        <v>0</v>
      </c>
      <c r="CL78" s="2">
        <f>((IF((78='V06 Calend 01'!C78),('V06 Calend 01'!F78+'V06 Calend 01'!G78),0)+IF(AND(('V06 Calend 01'!E78&gt;0),(78&gt;'V06 Calend 01'!C78),(78&lt;'V06 Calend 01'!D78),(MOD((78-'V06 Calend 01'!C78),6)=0),(((78-'V06 Calend 01'!C78)/6)&lt;='V06 Calend 01'!E78)),IF((78=('V06 Calend 01'!C78+(6*'V06 Calend 01'!E78))),('V06 Calend 01'!H78-('V06 Calend 01'!I78*('V06 Calend 01'!E78-1))),'V06 Calend 01'!I78),0))+IF((78='V06 Calend 01'!D78),'V06 Calend 01'!J78,0))</f>
        <v>0</v>
      </c>
      <c r="CM78" s="2">
        <f>((IF((79='V06 Calend 01'!C78),('V06 Calend 01'!F78+'V06 Calend 01'!G78),0)+IF(AND(('V06 Calend 01'!E78&gt;0),(79&gt;'V06 Calend 01'!C78),(79&lt;'V06 Calend 01'!D78),(MOD((79-'V06 Calend 01'!C78),6)=0),(((79-'V06 Calend 01'!C78)/6)&lt;='V06 Calend 01'!E78)),IF((79=('V06 Calend 01'!C78+(6*'V06 Calend 01'!E78))),('V06 Calend 01'!H78-('V06 Calend 01'!I78*('V06 Calend 01'!E78-1))),'V06 Calend 01'!I78),0))+IF((79='V06 Calend 01'!D78),'V06 Calend 01'!J78,0))</f>
        <v>0</v>
      </c>
      <c r="CN78" s="2">
        <f>((IF((80='V06 Calend 01'!C78),('V06 Calend 01'!F78+'V06 Calend 01'!G78),0)+IF(AND(('V06 Calend 01'!E78&gt;0),(80&gt;'V06 Calend 01'!C78),(80&lt;'V06 Calend 01'!D78),(MOD((80-'V06 Calend 01'!C78),6)=0),(((80-'V06 Calend 01'!C78)/6)&lt;='V06 Calend 01'!E78)),IF((80=('V06 Calend 01'!C78+(6*'V06 Calend 01'!E78))),('V06 Calend 01'!H78-('V06 Calend 01'!I78*('V06 Calend 01'!E78-1))),'V06 Calend 01'!I78),0))+IF((80='V06 Calend 01'!D78),'V06 Calend 01'!J78,0))</f>
        <v>0</v>
      </c>
      <c r="CO78" s="2">
        <f>((IF((81='V06 Calend 01'!C78),('V06 Calend 01'!F78+'V06 Calend 01'!G78),0)+IF(AND(('V06 Calend 01'!E78&gt;0),(81&gt;'V06 Calend 01'!C78),(81&lt;'V06 Calend 01'!D78),(MOD((81-'V06 Calend 01'!C78),6)=0),(((81-'V06 Calend 01'!C78)/6)&lt;='V06 Calend 01'!E78)),IF((81=('V06 Calend 01'!C78+(6*'V06 Calend 01'!E78))),('V06 Calend 01'!H78-('V06 Calend 01'!I78*('V06 Calend 01'!E78-1))),'V06 Calend 01'!I78),0))+IF((81='V06 Calend 01'!D78),'V06 Calend 01'!J78,0))</f>
        <v>0</v>
      </c>
      <c r="CP78" s="2">
        <f>((IF((82='V06 Calend 01'!C78),('V06 Calend 01'!F78+'V06 Calend 01'!G78),0)+IF(AND(('V06 Calend 01'!E78&gt;0),(82&gt;'V06 Calend 01'!C78),(82&lt;'V06 Calend 01'!D78),(MOD((82-'V06 Calend 01'!C78),6)=0),(((82-'V06 Calend 01'!C78)/6)&lt;='V06 Calend 01'!E78)),IF((82=('V06 Calend 01'!C78+(6*'V06 Calend 01'!E78))),('V06 Calend 01'!H78-('V06 Calend 01'!I78*('V06 Calend 01'!E78-1))),'V06 Calend 01'!I78),0))+IF((82='V06 Calend 01'!D78),'V06 Calend 01'!J78,0))</f>
        <v>0</v>
      </c>
      <c r="CQ78" s="2">
        <f>((IF((83='V06 Calend 01'!C78),('V06 Calend 01'!F78+'V06 Calend 01'!G78),0)+IF(AND(('V06 Calend 01'!E78&gt;0),(83&gt;'V06 Calend 01'!C78),(83&lt;'V06 Calend 01'!D78),(MOD((83-'V06 Calend 01'!C78),6)=0),(((83-'V06 Calend 01'!C78)/6)&lt;='V06 Calend 01'!E78)),IF((83=('V06 Calend 01'!C78+(6*'V06 Calend 01'!E78))),('V06 Calend 01'!H78-('V06 Calend 01'!I78*('V06 Calend 01'!E78-1))),'V06 Calend 01'!I78),0))+IF((83='V06 Calend 01'!D78),'V06 Calend 01'!J78,0))</f>
        <v>0</v>
      </c>
      <c r="CR78" s="2">
        <f>((IF((84='V06 Calend 01'!C78),('V06 Calend 01'!F78+'V06 Calend 01'!G78),0)+IF(AND(('V06 Calend 01'!E78&gt;0),(84&gt;'V06 Calend 01'!C78),(84&lt;'V06 Calend 01'!D78),(MOD((84-'V06 Calend 01'!C78),6)=0),(((84-'V06 Calend 01'!C78)/6)&lt;='V06 Calend 01'!E78)),IF((84=('V06 Calend 01'!C78+(6*'V06 Calend 01'!E78))),('V06 Calend 01'!H78-('V06 Calend 01'!I78*('V06 Calend 01'!E78-1))),'V06 Calend 01'!I78),0))+IF((84='V06 Calend 01'!D78),'V06 Calend 01'!J78,0))</f>
        <v>0</v>
      </c>
      <c r="CS78" s="2">
        <f>((IF((85='V06 Calend 01'!C78),('V06 Calend 01'!F78+'V06 Calend 01'!G78),0)+IF(AND(('V06 Calend 01'!E78&gt;0),(85&gt;'V06 Calend 01'!C78),(85&lt;'V06 Calend 01'!D78),(MOD((85-'V06 Calend 01'!C78),6)=0),(((85-'V06 Calend 01'!C78)/6)&lt;='V06 Calend 01'!E78)),IF((85=('V06 Calend 01'!C78+(6*'V06 Calend 01'!E78))),('V06 Calend 01'!H78-('V06 Calend 01'!I78*('V06 Calend 01'!E78-1))),'V06 Calend 01'!I78),0))+IF((85='V06 Calend 01'!D78),'V06 Calend 01'!J78,0))</f>
        <v>0</v>
      </c>
      <c r="CT78" s="2">
        <f>((IF((86='V06 Calend 01'!C78),('V06 Calend 01'!F78+'V06 Calend 01'!G78),0)+IF(AND(('V06 Calend 01'!E78&gt;0),(86&gt;'V06 Calend 01'!C78),(86&lt;'V06 Calend 01'!D78),(MOD((86-'V06 Calend 01'!C78),6)=0),(((86-'V06 Calend 01'!C78)/6)&lt;='V06 Calend 01'!E78)),IF((86=('V06 Calend 01'!C78+(6*'V06 Calend 01'!E78))),('V06 Calend 01'!H78-('V06 Calend 01'!I78*('V06 Calend 01'!E78-1))),'V06 Calend 01'!I78),0))+IF((86='V06 Calend 01'!D78),'V06 Calend 01'!J78,0))</f>
        <v>0</v>
      </c>
      <c r="CU78" s="2">
        <f>((IF((87='V06 Calend 01'!C78),('V06 Calend 01'!F78+'V06 Calend 01'!G78),0)+IF(AND(('V06 Calend 01'!E78&gt;0),(87&gt;'V06 Calend 01'!C78),(87&lt;'V06 Calend 01'!D78),(MOD((87-'V06 Calend 01'!C78),6)=0),(((87-'V06 Calend 01'!C78)/6)&lt;='V06 Calend 01'!E78)),IF((87=('V06 Calend 01'!C78+(6*'V06 Calend 01'!E78))),('V06 Calend 01'!H78-('V06 Calend 01'!I78*('V06 Calend 01'!E78-1))),'V06 Calend 01'!I78),0))+IF((87='V06 Calend 01'!D78),'V06 Calend 01'!J78,0))</f>
        <v>0</v>
      </c>
      <c r="CV78" s="2">
        <f>((IF((88='V06 Calend 01'!C78),('V06 Calend 01'!F78+'V06 Calend 01'!G78),0)+IF(AND(('V06 Calend 01'!E78&gt;0),(88&gt;'V06 Calend 01'!C78),(88&lt;'V06 Calend 01'!D78),(MOD((88-'V06 Calend 01'!C78),6)=0),(((88-'V06 Calend 01'!C78)/6)&lt;='V06 Calend 01'!E78)),IF((88=('V06 Calend 01'!C78+(6*'V06 Calend 01'!E78))),('V06 Calend 01'!H78-('V06 Calend 01'!I78*('V06 Calend 01'!E78-1))),'V06 Calend 01'!I78),0))+IF((88='V06 Calend 01'!D78),'V06 Calend 01'!J78,0))</f>
        <v>0</v>
      </c>
      <c r="CW78" s="2">
        <f>((IF((89='V06 Calend 01'!C78),('V06 Calend 01'!F78+'V06 Calend 01'!G78),0)+IF(AND(('V06 Calend 01'!E78&gt;0),(89&gt;'V06 Calend 01'!C78),(89&lt;'V06 Calend 01'!D78),(MOD((89-'V06 Calend 01'!C78),6)=0),(((89-'V06 Calend 01'!C78)/6)&lt;='V06 Calend 01'!E78)),IF((89=('V06 Calend 01'!C78+(6*'V06 Calend 01'!E78))),('V06 Calend 01'!H78-('V06 Calend 01'!I78*('V06 Calend 01'!E78-1))),'V06 Calend 01'!I78),0))+IF((89='V06 Calend 01'!D78),'V06 Calend 01'!J78,0))</f>
        <v>0</v>
      </c>
      <c r="CX78" s="2">
        <f>((IF((90='V06 Calend 01'!C78),('V06 Calend 01'!F78+'V06 Calend 01'!G78),0)+IF(AND(('V06 Calend 01'!E78&gt;0),(90&gt;'V06 Calend 01'!C78),(90&lt;'V06 Calend 01'!D78),(MOD((90-'V06 Calend 01'!C78),6)=0),(((90-'V06 Calend 01'!C78)/6)&lt;='V06 Calend 01'!E78)),IF((90=('V06 Calend 01'!C78+(6*'V06 Calend 01'!E78))),('V06 Calend 01'!H78-('V06 Calend 01'!I78*('V06 Calend 01'!E78-1))),'V06 Calend 01'!I78),0))+IF((90='V06 Calend 01'!D78),'V06 Calend 01'!J78,0))</f>
        <v>0</v>
      </c>
      <c r="CY78" s="2">
        <f>((IF((91='V06 Calend 01'!C78),('V06 Calend 01'!F78+'V06 Calend 01'!G78),0)+IF(AND(('V06 Calend 01'!E78&gt;0),(91&gt;'V06 Calend 01'!C78),(91&lt;'V06 Calend 01'!D78),(MOD((91-'V06 Calend 01'!C78),6)=0),(((91-'V06 Calend 01'!C78)/6)&lt;='V06 Calend 01'!E78)),IF((91=('V06 Calend 01'!C78+(6*'V06 Calend 01'!E78))),('V06 Calend 01'!H78-('V06 Calend 01'!I78*('V06 Calend 01'!E78-1))),'V06 Calend 01'!I78),0))+IF((91='V06 Calend 01'!D78),'V06 Calend 01'!J78,0))</f>
        <v>0</v>
      </c>
      <c r="CZ78" s="2">
        <f>((IF((92='V06 Calend 01'!C78),('V06 Calend 01'!F78+'V06 Calend 01'!G78),0)+IF(AND(('V06 Calend 01'!E78&gt;0),(92&gt;'V06 Calend 01'!C78),(92&lt;'V06 Calend 01'!D78),(MOD((92-'V06 Calend 01'!C78),6)=0),(((92-'V06 Calend 01'!C78)/6)&lt;='V06 Calend 01'!E78)),IF((92=('V06 Calend 01'!C78+(6*'V06 Calend 01'!E78))),('V06 Calend 01'!H78-('V06 Calend 01'!I78*('V06 Calend 01'!E78-1))),'V06 Calend 01'!I78),0))+IF((92='V06 Calend 01'!D78),'V06 Calend 01'!J78,0))</f>
        <v>0</v>
      </c>
      <c r="DA78" s="2">
        <f>((IF((93='V06 Calend 01'!C78),('V06 Calend 01'!F78+'V06 Calend 01'!G78),0)+IF(AND(('V06 Calend 01'!E78&gt;0),(93&gt;'V06 Calend 01'!C78),(93&lt;'V06 Calend 01'!D78),(MOD((93-'V06 Calend 01'!C78),6)=0),(((93-'V06 Calend 01'!C78)/6)&lt;='V06 Calend 01'!E78)),IF((93=('V06 Calend 01'!C78+(6*'V06 Calend 01'!E78))),('V06 Calend 01'!H78-('V06 Calend 01'!I78*('V06 Calend 01'!E78-1))),'V06 Calend 01'!I78),0))+IF((93='V06 Calend 01'!D78),'V06 Calend 01'!J78,0))</f>
        <v>0</v>
      </c>
      <c r="DB78" s="2">
        <f>((IF((94='V06 Calend 01'!C78),('V06 Calend 01'!F78+'V06 Calend 01'!G78),0)+IF(AND(('V06 Calend 01'!E78&gt;0),(94&gt;'V06 Calend 01'!C78),(94&lt;'V06 Calend 01'!D78),(MOD((94-'V06 Calend 01'!C78),6)=0),(((94-'V06 Calend 01'!C78)/6)&lt;='V06 Calend 01'!E78)),IF((94=('V06 Calend 01'!C78+(6*'V06 Calend 01'!E78))),('V06 Calend 01'!H78-('V06 Calend 01'!I78*('V06 Calend 01'!E78-1))),'V06 Calend 01'!I78),0))+IF((94='V06 Calend 01'!D78),'V06 Calend 01'!J78,0))</f>
        <v>0</v>
      </c>
      <c r="DC78" s="2">
        <f>((IF((95='V06 Calend 01'!C78),('V06 Calend 01'!F78+'V06 Calend 01'!G78),0)+IF(AND(('V06 Calend 01'!E78&gt;0),(95&gt;'V06 Calend 01'!C78),(95&lt;'V06 Calend 01'!D78),(MOD((95-'V06 Calend 01'!C78),6)=0),(((95-'V06 Calend 01'!C78)/6)&lt;='V06 Calend 01'!E78)),IF((95=('V06 Calend 01'!C78+(6*'V06 Calend 01'!E78))),('V06 Calend 01'!H78-('V06 Calend 01'!I78*('V06 Calend 01'!E78-1))),'V06 Calend 01'!I78),0))+IF((95='V06 Calend 01'!D78),'V06 Calend 01'!J78,0))</f>
        <v>0</v>
      </c>
      <c r="DD78" s="2">
        <f>((IF((96='V06 Calend 01'!C78),('V06 Calend 01'!F78+'V06 Calend 01'!G78),0)+IF(AND(('V06 Calend 01'!E78&gt;0),(96&gt;'V06 Calend 01'!C78),(96&lt;'V06 Calend 01'!D78),(MOD((96-'V06 Calend 01'!C78),6)=0),(((96-'V06 Calend 01'!C78)/6)&lt;='V06 Calend 01'!E78)),IF((96=('V06 Calend 01'!C78+(6*'V06 Calend 01'!E78))),('V06 Calend 01'!H78-('V06 Calend 01'!I78*('V06 Calend 01'!E78-1))),'V06 Calend 01'!I78),0))+IF((96='V06 Calend 01'!D78),'V06 Calend 01'!J78,0))</f>
        <v>0</v>
      </c>
      <c r="DE78" s="2">
        <f>((IF((97='V06 Calend 01'!C78),('V06 Calend 01'!F78+'V06 Calend 01'!G78),0)+IF(AND(('V06 Calend 01'!E78&gt;0),(97&gt;'V06 Calend 01'!C78),(97&lt;'V06 Calend 01'!D78),(MOD((97-'V06 Calend 01'!C78),6)=0),(((97-'V06 Calend 01'!C78)/6)&lt;='V06 Calend 01'!E78)),IF((97=('V06 Calend 01'!C78+(6*'V06 Calend 01'!E78))),('V06 Calend 01'!H78-('V06 Calend 01'!I78*('V06 Calend 01'!E78-1))),'V06 Calend 01'!I78),0))+IF((97='V06 Calend 01'!D78),'V06 Calend 01'!J78,0))</f>
        <v>0</v>
      </c>
      <c r="DF78" s="2">
        <f>((IF((98='V06 Calend 01'!C78),('V06 Calend 01'!F78+'V06 Calend 01'!G78),0)+IF(AND(('V06 Calend 01'!E78&gt;0),(98&gt;'V06 Calend 01'!C78),(98&lt;'V06 Calend 01'!D78),(MOD((98-'V06 Calend 01'!C78),6)=0),(((98-'V06 Calend 01'!C78)/6)&lt;='V06 Calend 01'!E78)),IF((98=('V06 Calend 01'!C78+(6*'V06 Calend 01'!E78))),('V06 Calend 01'!H78-('V06 Calend 01'!I78*('V06 Calend 01'!E78-1))),'V06 Calend 01'!I78),0))+IF((98='V06 Calend 01'!D78),'V06 Calend 01'!J78,0))</f>
        <v>0</v>
      </c>
      <c r="DG78" s="2">
        <f>((IF((99='V06 Calend 01'!C78),('V06 Calend 01'!F78+'V06 Calend 01'!G78),0)+IF(AND(('V06 Calend 01'!E78&gt;0),(99&gt;'V06 Calend 01'!C78),(99&lt;'V06 Calend 01'!D78),(MOD((99-'V06 Calend 01'!C78),6)=0),(((99-'V06 Calend 01'!C78)/6)&lt;='V06 Calend 01'!E78)),IF((99=('V06 Calend 01'!C78+(6*'V06 Calend 01'!E78))),('V06 Calend 01'!H78-('V06 Calend 01'!I78*('V06 Calend 01'!E78-1))),'V06 Calend 01'!I78),0))+IF((99='V06 Calend 01'!D78),'V06 Calend 01'!J78,0))</f>
        <v>0</v>
      </c>
      <c r="DH78" s="2">
        <f>((IF((100='V06 Calend 01'!C78),('V06 Calend 01'!F78+'V06 Calend 01'!G78),0)+IF(AND(('V06 Calend 01'!E78&gt;0),(100&gt;'V06 Calend 01'!C78),(100&lt;'V06 Calend 01'!D78),(MOD((100-'V06 Calend 01'!C78),6)=0),(((100-'V06 Calend 01'!C78)/6)&lt;='V06 Calend 01'!E78)),IF((100=('V06 Calend 01'!C78+(6*'V06 Calend 01'!E78))),('V06 Calend 01'!H78-('V06 Calend 01'!I78*('V06 Calend 01'!E78-1))),'V06 Calend 01'!I78),0))+IF((100='V06 Calend 01'!D78),'V06 Calend 01'!J78,0))</f>
        <v>0</v>
      </c>
      <c r="DI78" s="2">
        <f>((IF((101='V06 Calend 01'!C78),('V06 Calend 01'!F78+'V06 Calend 01'!G78),0)+IF(AND(('V06 Calend 01'!E78&gt;0),(101&gt;'V06 Calend 01'!C78),(101&lt;'V06 Calend 01'!D78),(MOD((101-'V06 Calend 01'!C78),6)=0),(((101-'V06 Calend 01'!C78)/6)&lt;='V06 Calend 01'!E78)),IF((101=('V06 Calend 01'!C78+(6*'V06 Calend 01'!E78))),('V06 Calend 01'!H78-('V06 Calend 01'!I78*('V06 Calend 01'!E78-1))),'V06 Calend 01'!I78),0))+IF((101='V06 Calend 01'!D78),'V06 Calend 01'!J78,0))</f>
        <v>0</v>
      </c>
      <c r="DJ78" s="2">
        <f>((IF((102='V06 Calend 01'!C78),('V06 Calend 01'!F78+'V06 Calend 01'!G78),0)+IF(AND(('V06 Calend 01'!E78&gt;0),(102&gt;'V06 Calend 01'!C78),(102&lt;'V06 Calend 01'!D78),(MOD((102-'V06 Calend 01'!C78),6)=0),(((102-'V06 Calend 01'!C78)/6)&lt;='V06 Calend 01'!E78)),IF((102=('V06 Calend 01'!C78+(6*'V06 Calend 01'!E78))),('V06 Calend 01'!H78-('V06 Calend 01'!I78*('V06 Calend 01'!E78-1))),'V06 Calend 01'!I78),0))+IF((102='V06 Calend 01'!D78),'V06 Calend 01'!J78,0))</f>
        <v>0</v>
      </c>
      <c r="DK78" s="2">
        <f>((IF((103='V06 Calend 01'!C78),('V06 Calend 01'!F78+'V06 Calend 01'!G78),0)+IF(AND(('V06 Calend 01'!E78&gt;0),(103&gt;'V06 Calend 01'!C78),(103&lt;'V06 Calend 01'!D78),(MOD((103-'V06 Calend 01'!C78),6)=0),(((103-'V06 Calend 01'!C78)/6)&lt;='V06 Calend 01'!E78)),IF((103=('V06 Calend 01'!C78+(6*'V06 Calend 01'!E78))),('V06 Calend 01'!H78-('V06 Calend 01'!I78*('V06 Calend 01'!E78-1))),'V06 Calend 01'!I78),0))+IF((103='V06 Calend 01'!D78),'V06 Calend 01'!J78,0))</f>
        <v>0</v>
      </c>
      <c r="DL78" s="2">
        <f>((IF((104='V06 Calend 01'!C78),('V06 Calend 01'!F78+'V06 Calend 01'!G78),0)+IF(AND(('V06 Calend 01'!E78&gt;0),(104&gt;'V06 Calend 01'!C78),(104&lt;'V06 Calend 01'!D78),(MOD((104-'V06 Calend 01'!C78),6)=0),(((104-'V06 Calend 01'!C78)/6)&lt;='V06 Calend 01'!E78)),IF((104=('V06 Calend 01'!C78+(6*'V06 Calend 01'!E78))),('V06 Calend 01'!H78-('V06 Calend 01'!I78*('V06 Calend 01'!E78-1))),'V06 Calend 01'!I78),0))+IF((104='V06 Calend 01'!D78),'V06 Calend 01'!J78,0))</f>
        <v>0</v>
      </c>
      <c r="DM78" s="2">
        <f>((IF((105='V06 Calend 01'!C78),('V06 Calend 01'!F78+'V06 Calend 01'!G78),0)+IF(AND(('V06 Calend 01'!E78&gt;0),(105&gt;'V06 Calend 01'!C78),(105&lt;'V06 Calend 01'!D78),(MOD((105-'V06 Calend 01'!C78),6)=0),(((105-'V06 Calend 01'!C78)/6)&lt;='V06 Calend 01'!E78)),IF((105=('V06 Calend 01'!C78+(6*'V06 Calend 01'!E78))),('V06 Calend 01'!H78-('V06 Calend 01'!I78*('V06 Calend 01'!E78-1))),'V06 Calend 01'!I78),0))+IF((105='V06 Calend 01'!D78),'V06 Calend 01'!J78,0))</f>
        <v>0</v>
      </c>
      <c r="DN78" s="2">
        <f>((IF((106='V06 Calend 01'!C78),('V06 Calend 01'!F78+'V06 Calend 01'!G78),0)+IF(AND(('V06 Calend 01'!E78&gt;0),(106&gt;'V06 Calend 01'!C78),(106&lt;'V06 Calend 01'!D78),(MOD((106-'V06 Calend 01'!C78),6)=0),(((106-'V06 Calend 01'!C78)/6)&lt;='V06 Calend 01'!E78)),IF((106=('V06 Calend 01'!C78+(6*'V06 Calend 01'!E78))),('V06 Calend 01'!H78-('V06 Calend 01'!I78*('V06 Calend 01'!E78-1))),'V06 Calend 01'!I78),0))+IF((106='V06 Calend 01'!D78),'V06 Calend 01'!J78,0))</f>
        <v>0</v>
      </c>
      <c r="DO78" s="2">
        <f>((IF((107='V06 Calend 01'!C78),('V06 Calend 01'!F78+'V06 Calend 01'!G78),0)+IF(AND(('V06 Calend 01'!E78&gt;0),(107&gt;'V06 Calend 01'!C78),(107&lt;'V06 Calend 01'!D78),(MOD((107-'V06 Calend 01'!C78),6)=0),(((107-'V06 Calend 01'!C78)/6)&lt;='V06 Calend 01'!E78)),IF((107=('V06 Calend 01'!C78+(6*'V06 Calend 01'!E78))),('V06 Calend 01'!H78-('V06 Calend 01'!I78*('V06 Calend 01'!E78-1))),'V06 Calend 01'!I78),0))+IF((107='V06 Calend 01'!D78),'V06 Calend 01'!J78,0))</f>
        <v>0</v>
      </c>
      <c r="DP78" s="2">
        <f>((IF((108='V06 Calend 01'!C78),('V06 Calend 01'!F78+'V06 Calend 01'!G78),0)+IF(AND(('V06 Calend 01'!E78&gt;0),(108&gt;'V06 Calend 01'!C78),(108&lt;'V06 Calend 01'!D78),(MOD((108-'V06 Calend 01'!C78),6)=0),(((108-'V06 Calend 01'!C78)/6)&lt;='V06 Calend 01'!E78)),IF((108=('V06 Calend 01'!C78+(6*'V06 Calend 01'!E78))),('V06 Calend 01'!H78-('V06 Calend 01'!I78*('V06 Calend 01'!E78-1))),'V06 Calend 01'!I78),0))+IF((108='V06 Calend 01'!D78),'V06 Calend 01'!J78,0))</f>
        <v>0</v>
      </c>
      <c r="DQ78" s="2">
        <f>((IF((109='V06 Calend 01'!C78),('V06 Calend 01'!F78+'V06 Calend 01'!G78),0)+IF(AND(('V06 Calend 01'!E78&gt;0),(109&gt;'V06 Calend 01'!C78),(109&lt;'V06 Calend 01'!D78),(MOD((109-'V06 Calend 01'!C78),6)=0),(((109-'V06 Calend 01'!C78)/6)&lt;='V06 Calend 01'!E78)),IF((109=('V06 Calend 01'!C78+(6*'V06 Calend 01'!E78))),('V06 Calend 01'!H78-('V06 Calend 01'!I78*('V06 Calend 01'!E78-1))),'V06 Calend 01'!I78),0))+IF((109='V06 Calend 01'!D78),'V06 Calend 01'!J78,0))</f>
        <v>0</v>
      </c>
      <c r="DR78" s="2">
        <f>((IF((110='V06 Calend 01'!C78),('V06 Calend 01'!F78+'V06 Calend 01'!G78),0)+IF(AND(('V06 Calend 01'!E78&gt;0),(110&gt;'V06 Calend 01'!C78),(110&lt;'V06 Calend 01'!D78),(MOD((110-'V06 Calend 01'!C78),6)=0),(((110-'V06 Calend 01'!C78)/6)&lt;='V06 Calend 01'!E78)),IF((110=('V06 Calend 01'!C78+(6*'V06 Calend 01'!E78))),('V06 Calend 01'!H78-('V06 Calend 01'!I78*('V06 Calend 01'!E78-1))),'V06 Calend 01'!I78),0))+IF((110='V06 Calend 01'!D78),'V06 Calend 01'!J78,0))</f>
        <v>0</v>
      </c>
      <c r="DS78" s="2">
        <f>((IF((111='V06 Calend 01'!C78),('V06 Calend 01'!F78+'V06 Calend 01'!G78),0)+IF(AND(('V06 Calend 01'!E78&gt;0),(111&gt;'V06 Calend 01'!C78),(111&lt;'V06 Calend 01'!D78),(MOD((111-'V06 Calend 01'!C78),6)=0),(((111-'V06 Calend 01'!C78)/6)&lt;='V06 Calend 01'!E78)),IF((111=('V06 Calend 01'!C78+(6*'V06 Calend 01'!E78))),('V06 Calend 01'!H78-('V06 Calend 01'!I78*('V06 Calend 01'!E78-1))),'V06 Calend 01'!I78),0))+IF((111='V06 Calend 01'!D78),'V06 Calend 01'!J78,0))</f>
        <v>0</v>
      </c>
      <c r="DT78" s="2">
        <f>((IF((112='V06 Calend 01'!C78),('V06 Calend 01'!F78+'V06 Calend 01'!G78),0)+IF(AND(('V06 Calend 01'!E78&gt;0),(112&gt;'V06 Calend 01'!C78),(112&lt;'V06 Calend 01'!D78),(MOD((112-'V06 Calend 01'!C78),6)=0),(((112-'V06 Calend 01'!C78)/6)&lt;='V06 Calend 01'!E78)),IF((112=('V06 Calend 01'!C78+(6*'V06 Calend 01'!E78))),('V06 Calend 01'!H78-('V06 Calend 01'!I78*('V06 Calend 01'!E78-1))),'V06 Calend 01'!I78),0))+IF((112='V06 Calend 01'!D78),'V06 Calend 01'!J78,0))</f>
        <v>0</v>
      </c>
      <c r="DU78" s="2">
        <f>((IF((113='V06 Calend 01'!C78),('V06 Calend 01'!F78+'V06 Calend 01'!G78),0)+IF(AND(('V06 Calend 01'!E78&gt;0),(113&gt;'V06 Calend 01'!C78),(113&lt;'V06 Calend 01'!D78),(MOD((113-'V06 Calend 01'!C78),6)=0),(((113-'V06 Calend 01'!C78)/6)&lt;='V06 Calend 01'!E78)),IF((113=('V06 Calend 01'!C78+(6*'V06 Calend 01'!E78))),('V06 Calend 01'!H78-('V06 Calend 01'!I78*('V06 Calend 01'!E78-1))),'V06 Calend 01'!I78),0))+IF((113='V06 Calend 01'!D78),'V06 Calend 01'!J78,0))</f>
        <v>0</v>
      </c>
      <c r="DV78" s="2">
        <f>((IF((114='V06 Calend 01'!C78),('V06 Calend 01'!F78+'V06 Calend 01'!G78),0)+IF(AND(('V06 Calend 01'!E78&gt;0),(114&gt;'V06 Calend 01'!C78),(114&lt;'V06 Calend 01'!D78),(MOD((114-'V06 Calend 01'!C78),6)=0),(((114-'V06 Calend 01'!C78)/6)&lt;='V06 Calend 01'!E78)),IF((114=('V06 Calend 01'!C78+(6*'V06 Calend 01'!E78))),('V06 Calend 01'!H78-('V06 Calend 01'!I78*('V06 Calend 01'!E78-1))),'V06 Calend 01'!I78),0))+IF((114='V06 Calend 01'!D78),'V06 Calend 01'!J78,0))</f>
        <v>0</v>
      </c>
      <c r="DW78" s="2">
        <f>((IF((115='V06 Calend 01'!C78),('V06 Calend 01'!F78+'V06 Calend 01'!G78),0)+IF(AND(('V06 Calend 01'!E78&gt;0),(115&gt;'V06 Calend 01'!C78),(115&lt;'V06 Calend 01'!D78),(MOD((115-'V06 Calend 01'!C78),6)=0),(((115-'V06 Calend 01'!C78)/6)&lt;='V06 Calend 01'!E78)),IF((115=('V06 Calend 01'!C78+(6*'V06 Calend 01'!E78))),('V06 Calend 01'!H78-('V06 Calend 01'!I78*('V06 Calend 01'!E78-1))),'V06 Calend 01'!I78),0))+IF((115='V06 Calend 01'!D78),'V06 Calend 01'!J78,0))</f>
        <v>0</v>
      </c>
      <c r="DX78" s="2">
        <f>((IF((116='V06 Calend 01'!C78),('V06 Calend 01'!F78+'V06 Calend 01'!G78),0)+IF(AND(('V06 Calend 01'!E78&gt;0),(116&gt;'V06 Calend 01'!C78),(116&lt;'V06 Calend 01'!D78),(MOD((116-'V06 Calend 01'!C78),6)=0),(((116-'V06 Calend 01'!C78)/6)&lt;='V06 Calend 01'!E78)),IF((116=('V06 Calend 01'!C78+(6*'V06 Calend 01'!E78))),('V06 Calend 01'!H78-('V06 Calend 01'!I78*('V06 Calend 01'!E78-1))),'V06 Calend 01'!I78),0))+IF((116='V06 Calend 01'!D78),'V06 Calend 01'!J78,0))</f>
        <v>0</v>
      </c>
      <c r="DY78" s="2">
        <f>((IF((117='V06 Calend 01'!C78),('V06 Calend 01'!F78+'V06 Calend 01'!G78),0)+IF(AND(('V06 Calend 01'!E78&gt;0),(117&gt;'V06 Calend 01'!C78),(117&lt;'V06 Calend 01'!D78),(MOD((117-'V06 Calend 01'!C78),6)=0),(((117-'V06 Calend 01'!C78)/6)&lt;='V06 Calend 01'!E78)),IF((117=('V06 Calend 01'!C78+(6*'V06 Calend 01'!E78))),('V06 Calend 01'!H78-('V06 Calend 01'!I78*('V06 Calend 01'!E78-1))),'V06 Calend 01'!I78),0))+IF((117='V06 Calend 01'!D78),'V06 Calend 01'!J78,0))</f>
        <v>0</v>
      </c>
      <c r="DZ78" s="2">
        <f>((IF((118='V06 Calend 01'!C78),('V06 Calend 01'!F78+'V06 Calend 01'!G78),0)+IF(AND(('V06 Calend 01'!E78&gt;0),(118&gt;'V06 Calend 01'!C78),(118&lt;'V06 Calend 01'!D78),(MOD((118-'V06 Calend 01'!C78),6)=0),(((118-'V06 Calend 01'!C78)/6)&lt;='V06 Calend 01'!E78)),IF((118=('V06 Calend 01'!C78+(6*'V06 Calend 01'!E78))),('V06 Calend 01'!H78-('V06 Calend 01'!I78*('V06 Calend 01'!E78-1))),'V06 Calend 01'!I78),0))+IF((118='V06 Calend 01'!D78),'V06 Calend 01'!J78,0))</f>
        <v>0</v>
      </c>
      <c r="EA78" s="2">
        <f>((IF((119='V06 Calend 01'!C78),('V06 Calend 01'!F78+'V06 Calend 01'!G78),0)+IF(AND(('V06 Calend 01'!E78&gt;0),(119&gt;'V06 Calend 01'!C78),(119&lt;'V06 Calend 01'!D78),(MOD((119-'V06 Calend 01'!C78),6)=0),(((119-'V06 Calend 01'!C78)/6)&lt;='V06 Calend 01'!E78)),IF((119=('V06 Calend 01'!C78+(6*'V06 Calend 01'!E78))),('V06 Calend 01'!H78-('V06 Calend 01'!I78*('V06 Calend 01'!E78-1))),'V06 Calend 01'!I78),0))+IF((119='V06 Calend 01'!D78),'V06 Calend 01'!J78,0))</f>
        <v>0</v>
      </c>
      <c r="EB78" s="2">
        <f>((IF((120='V06 Calend 01'!C78),('V06 Calend 01'!F78+'V06 Calend 01'!G78),0)+IF(AND(('V06 Calend 01'!E78&gt;0),(120&gt;'V06 Calend 01'!C78),(120&lt;'V06 Calend 01'!D78),(MOD((120-'V06 Calend 01'!C78),6)=0),(((120-'V06 Calend 01'!C78)/6)&lt;='V06 Calend 01'!E78)),IF((120=('V06 Calend 01'!C78+(6*'V06 Calend 01'!E78))),('V06 Calend 01'!H78-('V06 Calend 01'!I78*('V06 Calend 01'!E78-1))),'V06 Calend 01'!I78),0))+IF((120='V06 Calend 01'!D78),'V06 Calend 01'!J78,0))</f>
        <v>0</v>
      </c>
      <c r="EC78" s="2">
        <f>((IF((121='V06 Calend 01'!C78),('V06 Calend 01'!F78+'V06 Calend 01'!G78),0)+IF(AND(('V06 Calend 01'!E78&gt;0),(121&gt;'V06 Calend 01'!C78),(121&lt;'V06 Calend 01'!D78),(MOD((121-'V06 Calend 01'!C78),6)=0),(((121-'V06 Calend 01'!C78)/6)&lt;='V06 Calend 01'!E78)),IF((121=('V06 Calend 01'!C78+(6*'V06 Calend 01'!E78))),('V06 Calend 01'!H78-('V06 Calend 01'!I78*('V06 Calend 01'!E78-1))),'V06 Calend 01'!I78),0))+IF((121='V06 Calend 01'!D78),'V06 Calend 01'!J78,0))</f>
        <v>0</v>
      </c>
      <c r="ED78" s="2">
        <f>((IF((122='V06 Calend 01'!C78),('V06 Calend 01'!F78+'V06 Calend 01'!G78),0)+IF(AND(('V06 Calend 01'!E78&gt;0),(122&gt;'V06 Calend 01'!C78),(122&lt;'V06 Calend 01'!D78),(MOD((122-'V06 Calend 01'!C78),6)=0),(((122-'V06 Calend 01'!C78)/6)&lt;='V06 Calend 01'!E78)),IF((122=('V06 Calend 01'!C78+(6*'V06 Calend 01'!E78))),('V06 Calend 01'!H78-('V06 Calend 01'!I78*('V06 Calend 01'!E78-1))),'V06 Calend 01'!I78),0))+IF((122='V06 Calend 01'!D78),'V06 Calend 01'!J78,0))</f>
        <v>0</v>
      </c>
      <c r="EE78" s="2">
        <f>((IF((123='V06 Calend 01'!C78),('V06 Calend 01'!F78+'V06 Calend 01'!G78),0)+IF(AND(('V06 Calend 01'!E78&gt;0),(123&gt;'V06 Calend 01'!C78),(123&lt;'V06 Calend 01'!D78),(MOD((123-'V06 Calend 01'!C78),6)=0),(((123-'V06 Calend 01'!C78)/6)&lt;='V06 Calend 01'!E78)),IF((123=('V06 Calend 01'!C78+(6*'V06 Calend 01'!E78))),('V06 Calend 01'!H78-('V06 Calend 01'!I78*('V06 Calend 01'!E78-1))),'V06 Calend 01'!I78),0))+IF((123='V06 Calend 01'!D78),'V06 Calend 01'!J78,0))</f>
        <v>0</v>
      </c>
      <c r="EF78" s="2">
        <f>((IF((124='V06 Calend 01'!C78),('V06 Calend 01'!F78+'V06 Calend 01'!G78),0)+IF(AND(('V06 Calend 01'!E78&gt;0),(124&gt;'V06 Calend 01'!C78),(124&lt;'V06 Calend 01'!D78),(MOD((124-'V06 Calend 01'!C78),6)=0),(((124-'V06 Calend 01'!C78)/6)&lt;='V06 Calend 01'!E78)),IF((124=('V06 Calend 01'!C78+(6*'V06 Calend 01'!E78))),('V06 Calend 01'!H78-('V06 Calend 01'!I78*('V06 Calend 01'!E78-1))),'V06 Calend 01'!I78),0))+IF((124='V06 Calend 01'!D78),'V06 Calend 01'!J78,0))</f>
        <v>0</v>
      </c>
      <c r="EG78" s="2">
        <f>((IF((125='V06 Calend 01'!C78),('V06 Calend 01'!F78+'V06 Calend 01'!G78),0)+IF(AND(('V06 Calend 01'!E78&gt;0),(125&gt;'V06 Calend 01'!C78),(125&lt;'V06 Calend 01'!D78),(MOD((125-'V06 Calend 01'!C78),6)=0),(((125-'V06 Calend 01'!C78)/6)&lt;='V06 Calend 01'!E78)),IF((125=('V06 Calend 01'!C78+(6*'V06 Calend 01'!E78))),('V06 Calend 01'!H78-('V06 Calend 01'!I78*('V06 Calend 01'!E78-1))),'V06 Calend 01'!I78),0))+IF((125='V06 Calend 01'!D78),'V06 Calend 01'!J78,0))</f>
        <v>0</v>
      </c>
      <c r="EH78" s="2">
        <f>((IF((126='V06 Calend 01'!C78),('V06 Calend 01'!F78+'V06 Calend 01'!G78),0)+IF(AND(('V06 Calend 01'!E78&gt;0),(126&gt;'V06 Calend 01'!C78),(126&lt;'V06 Calend 01'!D78),(MOD((126-'V06 Calend 01'!C78),6)=0),(((126-'V06 Calend 01'!C78)/6)&lt;='V06 Calend 01'!E78)),IF((126=('V06 Calend 01'!C78+(6*'V06 Calend 01'!E78))),('V06 Calend 01'!H78-('V06 Calend 01'!I78*('V06 Calend 01'!E78-1))),'V06 Calend 01'!I78),0))+IF((126='V06 Calend 01'!D78),'V06 Calend 01'!J78,0))</f>
        <v>0</v>
      </c>
      <c r="EI78" s="2">
        <f>((IF((127='V06 Calend 01'!C78),('V06 Calend 01'!F78+'V06 Calend 01'!G78),0)+IF(AND(('V06 Calend 01'!E78&gt;0),(127&gt;'V06 Calend 01'!C78),(127&lt;'V06 Calend 01'!D78),(MOD((127-'V06 Calend 01'!C78),6)=0),(((127-'V06 Calend 01'!C78)/6)&lt;='V06 Calend 01'!E78)),IF((127=('V06 Calend 01'!C78+(6*'V06 Calend 01'!E78))),('V06 Calend 01'!H78-('V06 Calend 01'!I78*('V06 Calend 01'!E78-1))),'V06 Calend 01'!I78),0))+IF((127='V06 Calend 01'!D78),'V06 Calend 01'!J78,0))</f>
        <v>0</v>
      </c>
      <c r="EJ78" s="2">
        <f>((IF((128='V06 Calend 01'!C78),('V06 Calend 01'!F78+'V06 Calend 01'!G78),0)+IF(AND(('V06 Calend 01'!E78&gt;0),(128&gt;'V06 Calend 01'!C78),(128&lt;'V06 Calend 01'!D78),(MOD((128-'V06 Calend 01'!C78),6)=0),(((128-'V06 Calend 01'!C78)/6)&lt;='V06 Calend 01'!E78)),IF((128=('V06 Calend 01'!C78+(6*'V06 Calend 01'!E78))),('V06 Calend 01'!H78-('V06 Calend 01'!I78*('V06 Calend 01'!E78-1))),'V06 Calend 01'!I78),0))+IF((128='V06 Calend 01'!D78),'V06 Calend 01'!J78,0))</f>
        <v>0</v>
      </c>
      <c r="EK78" s="2">
        <f>((IF((129='V06 Calend 01'!C78),('V06 Calend 01'!F78+'V06 Calend 01'!G78),0)+IF(AND(('V06 Calend 01'!E78&gt;0),(129&gt;'V06 Calend 01'!C78),(129&lt;'V06 Calend 01'!D78),(MOD((129-'V06 Calend 01'!C78),6)=0),(((129-'V06 Calend 01'!C78)/6)&lt;='V06 Calend 01'!E78)),IF((129=('V06 Calend 01'!C78+(6*'V06 Calend 01'!E78))),('V06 Calend 01'!H78-('V06 Calend 01'!I78*('V06 Calend 01'!E78-1))),'V06 Calend 01'!I78),0))+IF((129='V06 Calend 01'!D78),'V06 Calend 01'!J78,0))</f>
        <v>0</v>
      </c>
      <c r="EL78" s="2">
        <f>((IF((130='V06 Calend 01'!C78),('V06 Calend 01'!F78+'V06 Calend 01'!G78),0)+IF(AND(('V06 Calend 01'!E78&gt;0),(130&gt;'V06 Calend 01'!C78),(130&lt;'V06 Calend 01'!D78),(MOD((130-'V06 Calend 01'!C78),6)=0),(((130-'V06 Calend 01'!C78)/6)&lt;='V06 Calend 01'!E78)),IF((130=('V06 Calend 01'!C78+(6*'V06 Calend 01'!E78))),('V06 Calend 01'!H78-('V06 Calend 01'!I78*('V06 Calend 01'!E78-1))),'V06 Calend 01'!I78),0))+IF((130='V06 Calend 01'!D78),'V06 Calend 01'!J78,0))</f>
        <v>0</v>
      </c>
      <c r="EM78" s="2">
        <f>((IF((131='V06 Calend 01'!C78),('V06 Calend 01'!F78+'V06 Calend 01'!G78),0)+IF(AND(('V06 Calend 01'!E78&gt;0),(131&gt;'V06 Calend 01'!C78),(131&lt;'V06 Calend 01'!D78),(MOD((131-'V06 Calend 01'!C78),6)=0),(((131-'V06 Calend 01'!C78)/6)&lt;='V06 Calend 01'!E78)),IF((131=('V06 Calend 01'!C78+(6*'V06 Calend 01'!E78))),('V06 Calend 01'!H78-('V06 Calend 01'!I78*('V06 Calend 01'!E78-1))),'V06 Calend 01'!I78),0))+IF((131='V06 Calend 01'!D78),'V06 Calend 01'!J78,0))</f>
        <v>0</v>
      </c>
      <c r="EN78" s="2">
        <f>((IF((132='V06 Calend 01'!C78),('V06 Calend 01'!F78+'V06 Calend 01'!G78),0)+IF(AND(('V06 Calend 01'!E78&gt;0),(132&gt;'V06 Calend 01'!C78),(132&lt;'V06 Calend 01'!D78),(MOD((132-'V06 Calend 01'!C78),6)=0),(((132-'V06 Calend 01'!C78)/6)&lt;='V06 Calend 01'!E78)),IF((132=('V06 Calend 01'!C78+(6*'V06 Calend 01'!E78))),('V06 Calend 01'!H78-('V06 Calend 01'!I78*('V06 Calend 01'!E78-1))),'V06 Calend 01'!I78),0))+IF((132='V06 Calend 01'!D78),'V06 Calend 01'!J78,0))</f>
        <v>0</v>
      </c>
      <c r="EO78" s="2">
        <f>((IF((133='V06 Calend 01'!C78),('V06 Calend 01'!F78+'V06 Calend 01'!G78),0)+IF(AND(('V06 Calend 01'!E78&gt;0),(133&gt;'V06 Calend 01'!C78),(133&lt;'V06 Calend 01'!D78),(MOD((133-'V06 Calend 01'!C78),6)=0),(((133-'V06 Calend 01'!C78)/6)&lt;='V06 Calend 01'!E78)),IF((133=('V06 Calend 01'!C78+(6*'V06 Calend 01'!E78))),('V06 Calend 01'!H78-('V06 Calend 01'!I78*('V06 Calend 01'!E78-1))),'V06 Calend 01'!I78),0))+IF((133='V06 Calend 01'!D78),'V06 Calend 01'!J78,0))</f>
        <v>0</v>
      </c>
      <c r="EP78" s="2">
        <f>((IF((134='V06 Calend 01'!C78),('V06 Calend 01'!F78+'V06 Calend 01'!G78),0)+IF(AND(('V06 Calend 01'!E78&gt;0),(134&gt;'V06 Calend 01'!C78),(134&lt;'V06 Calend 01'!D78),(MOD((134-'V06 Calend 01'!C78),6)=0),(((134-'V06 Calend 01'!C78)/6)&lt;='V06 Calend 01'!E78)),IF((134=('V06 Calend 01'!C78+(6*'V06 Calend 01'!E78))),('V06 Calend 01'!H78-('V06 Calend 01'!I78*('V06 Calend 01'!E78-1))),'V06 Calend 01'!I78),0))+IF((134='V06 Calend 01'!D78),'V06 Calend 01'!J78,0))</f>
        <v>0</v>
      </c>
      <c r="EQ78" s="2">
        <f>((IF((135='V06 Calend 01'!C78),('V06 Calend 01'!F78+'V06 Calend 01'!G78),0)+IF(AND(('V06 Calend 01'!E78&gt;0),(135&gt;'V06 Calend 01'!C78),(135&lt;'V06 Calend 01'!D78),(MOD((135-'V06 Calend 01'!C78),6)=0),(((135-'V06 Calend 01'!C78)/6)&lt;='V06 Calend 01'!E78)),IF((135=('V06 Calend 01'!C78+(6*'V06 Calend 01'!E78))),('V06 Calend 01'!H78-('V06 Calend 01'!I78*('V06 Calend 01'!E78-1))),'V06 Calend 01'!I78),0))+IF((135='V06 Calend 01'!D78),'V06 Calend 01'!J78,0))</f>
        <v>0</v>
      </c>
      <c r="ER78" s="2">
        <f>((IF((136='V06 Calend 01'!C78),('V06 Calend 01'!F78+'V06 Calend 01'!G78),0)+IF(AND(('V06 Calend 01'!E78&gt;0),(136&gt;'V06 Calend 01'!C78),(136&lt;'V06 Calend 01'!D78),(MOD((136-'V06 Calend 01'!C78),6)=0),(((136-'V06 Calend 01'!C78)/6)&lt;='V06 Calend 01'!E78)),IF((136=('V06 Calend 01'!C78+(6*'V06 Calend 01'!E78))),('V06 Calend 01'!H78-('V06 Calend 01'!I78*('V06 Calend 01'!E78-1))),'V06 Calend 01'!I78),0))+IF((136='V06 Calend 01'!D78),'V06 Calend 01'!J78,0))</f>
        <v>0</v>
      </c>
      <c r="ES78" s="2">
        <f>((IF((137='V06 Calend 01'!C78),('V06 Calend 01'!F78+'V06 Calend 01'!G78),0)+IF(AND(('V06 Calend 01'!E78&gt;0),(137&gt;'V06 Calend 01'!C78),(137&lt;'V06 Calend 01'!D78),(MOD((137-'V06 Calend 01'!C78),6)=0),(((137-'V06 Calend 01'!C78)/6)&lt;='V06 Calend 01'!E78)),IF((137=('V06 Calend 01'!C78+(6*'V06 Calend 01'!E78))),('V06 Calend 01'!H78-('V06 Calend 01'!I78*('V06 Calend 01'!E78-1))),'V06 Calend 01'!I78),0))+IF((137='V06 Calend 01'!D78),'V06 Calend 01'!J78,0))</f>
        <v>0</v>
      </c>
      <c r="ET78" s="2">
        <f>((IF((138='V06 Calend 01'!C78),('V06 Calend 01'!F78+'V06 Calend 01'!G78),0)+IF(AND(('V06 Calend 01'!E78&gt;0),(138&gt;'V06 Calend 01'!C78),(138&lt;'V06 Calend 01'!D78),(MOD((138-'V06 Calend 01'!C78),6)=0),(((138-'V06 Calend 01'!C78)/6)&lt;='V06 Calend 01'!E78)),IF((138=('V06 Calend 01'!C78+(6*'V06 Calend 01'!E78))),('V06 Calend 01'!H78-('V06 Calend 01'!I78*('V06 Calend 01'!E78-1))),'V06 Calend 01'!I78),0))+IF((138='V06 Calend 01'!D78),'V06 Calend 01'!J78,0))</f>
        <v>0</v>
      </c>
      <c r="EU78" s="2">
        <f>((IF((139='V06 Calend 01'!C78),('V06 Calend 01'!F78+'V06 Calend 01'!G78),0)+IF(AND(('V06 Calend 01'!E78&gt;0),(139&gt;'V06 Calend 01'!C78),(139&lt;'V06 Calend 01'!D78),(MOD((139-'V06 Calend 01'!C78),6)=0),(((139-'V06 Calend 01'!C78)/6)&lt;='V06 Calend 01'!E78)),IF((139=('V06 Calend 01'!C78+(6*'V06 Calend 01'!E78))),('V06 Calend 01'!H78-('V06 Calend 01'!I78*('V06 Calend 01'!E78-1))),'V06 Calend 01'!I78),0))+IF((139='V06 Calend 01'!D78),'V06 Calend 01'!J78,0))</f>
        <v>0</v>
      </c>
      <c r="EV78" s="2">
        <f>((IF((140='V06 Calend 01'!C78),('V06 Calend 01'!F78+'V06 Calend 01'!G78),0)+IF(AND(('V06 Calend 01'!E78&gt;0),(140&gt;'V06 Calend 01'!C78),(140&lt;'V06 Calend 01'!D78),(MOD((140-'V06 Calend 01'!C78),6)=0),(((140-'V06 Calend 01'!C78)/6)&lt;='V06 Calend 01'!E78)),IF((140=('V06 Calend 01'!C78+(6*'V06 Calend 01'!E78))),('V06 Calend 01'!H78-('V06 Calend 01'!I78*('V06 Calend 01'!E78-1))),'V06 Calend 01'!I78),0))+IF((140='V06 Calend 01'!D78),'V06 Calend 01'!J78,0))</f>
        <v>0</v>
      </c>
      <c r="EW78" s="2">
        <f>((IF((141='V06 Calend 01'!C78),('V06 Calend 01'!F78+'V06 Calend 01'!G78),0)+IF(AND(('V06 Calend 01'!E78&gt;0),(141&gt;'V06 Calend 01'!C78),(141&lt;'V06 Calend 01'!D78),(MOD((141-'V06 Calend 01'!C78),6)=0),(((141-'V06 Calend 01'!C78)/6)&lt;='V06 Calend 01'!E78)),IF((141=('V06 Calend 01'!C78+(6*'V06 Calend 01'!E78))),('V06 Calend 01'!H78-('V06 Calend 01'!I78*('V06 Calend 01'!E78-1))),'V06 Calend 01'!I78),0))+IF((141='V06 Calend 01'!D78),'V06 Calend 01'!J78,0))</f>
        <v>0</v>
      </c>
      <c r="EX78" s="2">
        <f>((IF((142='V06 Calend 01'!C78),('V06 Calend 01'!F78+'V06 Calend 01'!G78),0)+IF(AND(('V06 Calend 01'!E78&gt;0),(142&gt;'V06 Calend 01'!C78),(142&lt;'V06 Calend 01'!D78),(MOD((142-'V06 Calend 01'!C78),6)=0),(((142-'V06 Calend 01'!C78)/6)&lt;='V06 Calend 01'!E78)),IF((142=('V06 Calend 01'!C78+(6*'V06 Calend 01'!E78))),('V06 Calend 01'!H78-('V06 Calend 01'!I78*('V06 Calend 01'!E78-1))),'V06 Calend 01'!I78),0))+IF((142='V06 Calend 01'!D78),'V06 Calend 01'!J78,0))</f>
        <v>0</v>
      </c>
      <c r="EY78" s="2">
        <f>((IF((143='V06 Calend 01'!C78),('V06 Calend 01'!F78+'V06 Calend 01'!G78),0)+IF(AND(('V06 Calend 01'!E78&gt;0),(143&gt;'V06 Calend 01'!C78),(143&lt;'V06 Calend 01'!D78),(MOD((143-'V06 Calend 01'!C78),6)=0),(((143-'V06 Calend 01'!C78)/6)&lt;='V06 Calend 01'!E78)),IF((143=('V06 Calend 01'!C78+(6*'V06 Calend 01'!E78))),('V06 Calend 01'!H78-('V06 Calend 01'!I78*('V06 Calend 01'!E78-1))),'V06 Calend 01'!I78),0))+IF((143='V06 Calend 01'!D78),'V06 Calend 01'!J78,0))</f>
        <v>0</v>
      </c>
      <c r="EZ78" s="2">
        <f>((IF((144='V06 Calend 01'!C78),('V06 Calend 01'!F78+'V06 Calend 01'!G78),0)+IF(AND(('V06 Calend 01'!E78&gt;0),(144&gt;'V06 Calend 01'!C78),(144&lt;'V06 Calend 01'!D78),(MOD((144-'V06 Calend 01'!C78),6)=0),(((144-'V06 Calend 01'!C78)/6)&lt;='V06 Calend 01'!E78)),IF((144=('V06 Calend 01'!C78+(6*'V06 Calend 01'!E78))),('V06 Calend 01'!H78-('V06 Calend 01'!I78*('V06 Calend 01'!E78-1))),'V06 Calend 01'!I78),0))+IF((144='V06 Calend 01'!D78),'V06 Calend 01'!J78,0))</f>
        <v>0</v>
      </c>
      <c r="FA78" s="2">
        <f>((IF((145='V06 Calend 01'!C78),('V06 Calend 01'!F78+'V06 Calend 01'!G78),0)+IF(AND(('V06 Calend 01'!E78&gt;0),(145&gt;'V06 Calend 01'!C78),(145&lt;'V06 Calend 01'!D78),(MOD((145-'V06 Calend 01'!C78),6)=0),(((145-'V06 Calend 01'!C78)/6)&lt;='V06 Calend 01'!E78)),IF((145=('V06 Calend 01'!C78+(6*'V06 Calend 01'!E78))),('V06 Calend 01'!H78-('V06 Calend 01'!I78*('V06 Calend 01'!E78-1))),'V06 Calend 01'!I78),0))+IF((145='V06 Calend 01'!D78),'V06 Calend 01'!J78,0))</f>
        <v>0</v>
      </c>
      <c r="FB78" s="2">
        <f>((IF((146='V06 Calend 01'!C78),('V06 Calend 01'!F78+'V06 Calend 01'!G78),0)+IF(AND(('V06 Calend 01'!E78&gt;0),(146&gt;'V06 Calend 01'!C78),(146&lt;'V06 Calend 01'!D78),(MOD((146-'V06 Calend 01'!C78),6)=0),(((146-'V06 Calend 01'!C78)/6)&lt;='V06 Calend 01'!E78)),IF((146=('V06 Calend 01'!C78+(6*'V06 Calend 01'!E78))),('V06 Calend 01'!H78-('V06 Calend 01'!I78*('V06 Calend 01'!E78-1))),'V06 Calend 01'!I78),0))+IF((146='V06 Calend 01'!D78),'V06 Calend 01'!J78,0))</f>
        <v>0</v>
      </c>
      <c r="FC78" s="2">
        <f>((IF((147='V06 Calend 01'!C78),('V06 Calend 01'!F78+'V06 Calend 01'!G78),0)+IF(AND(('V06 Calend 01'!E78&gt;0),(147&gt;'V06 Calend 01'!C78),(147&lt;'V06 Calend 01'!D78),(MOD((147-'V06 Calend 01'!C78),6)=0),(((147-'V06 Calend 01'!C78)/6)&lt;='V06 Calend 01'!E78)),IF((147=('V06 Calend 01'!C78+(6*'V06 Calend 01'!E78))),('V06 Calend 01'!H78-('V06 Calend 01'!I78*('V06 Calend 01'!E78-1))),'V06 Calend 01'!I78),0))+IF((147='V06 Calend 01'!D78),'V06 Calend 01'!J78,0))</f>
        <v>0</v>
      </c>
      <c r="FD78" s="2">
        <f>((IF((148='V06 Calend 01'!C78),('V06 Calend 01'!F78+'V06 Calend 01'!G78),0)+IF(AND(('V06 Calend 01'!E78&gt;0),(148&gt;'V06 Calend 01'!C78),(148&lt;'V06 Calend 01'!D78),(MOD((148-'V06 Calend 01'!C78),6)=0),(((148-'V06 Calend 01'!C78)/6)&lt;='V06 Calend 01'!E78)),IF((148=('V06 Calend 01'!C78+(6*'V06 Calend 01'!E78))),('V06 Calend 01'!H78-('V06 Calend 01'!I78*('V06 Calend 01'!E78-1))),'V06 Calend 01'!I78),0))+IF((148='V06 Calend 01'!D78),'V06 Calend 01'!J78,0))</f>
        <v>0</v>
      </c>
      <c r="FE78" s="2">
        <f>((IF((149='V06 Calend 01'!C78),('V06 Calend 01'!F78+'V06 Calend 01'!G78),0)+IF(AND(('V06 Calend 01'!E78&gt;0),(149&gt;'V06 Calend 01'!C78),(149&lt;'V06 Calend 01'!D78),(MOD((149-'V06 Calend 01'!C78),6)=0),(((149-'V06 Calend 01'!C78)/6)&lt;='V06 Calend 01'!E78)),IF((149=('V06 Calend 01'!C78+(6*'V06 Calend 01'!E78))),('V06 Calend 01'!H78-('V06 Calend 01'!I78*('V06 Calend 01'!E78-1))),'V06 Calend 01'!I78),0))+IF((149='V06 Calend 01'!D78),'V06 Calend 01'!J78,0))</f>
        <v>0</v>
      </c>
      <c r="FF78" s="2">
        <f>((IF((150='V06 Calend 01'!C78),('V06 Calend 01'!F78+'V06 Calend 01'!G78),0)+IF(AND(('V06 Calend 01'!E78&gt;0),(150&gt;'V06 Calend 01'!C78),(150&lt;'V06 Calend 01'!D78),(MOD((150-'V06 Calend 01'!C78),6)=0),(((150-'V06 Calend 01'!C78)/6)&lt;='V06 Calend 01'!E78)),IF((150=('V06 Calend 01'!C78+(6*'V06 Calend 01'!E78))),('V06 Calend 01'!H78-('V06 Calend 01'!I78*('V06 Calend 01'!E78-1))),'V06 Calend 01'!I78),0))+IF((150='V06 Calend 01'!D78),'V06 Calend 01'!J78,0))</f>
        <v>0</v>
      </c>
      <c r="FG78" s="2">
        <f>((IF((151='V06 Calend 01'!C78),('V06 Calend 01'!F78+'V06 Calend 01'!G78),0)+IF(AND(('V06 Calend 01'!E78&gt;0),(151&gt;'V06 Calend 01'!C78),(151&lt;'V06 Calend 01'!D78),(MOD((151-'V06 Calend 01'!C78),6)=0),(((151-'V06 Calend 01'!C78)/6)&lt;='V06 Calend 01'!E78)),IF((151=('V06 Calend 01'!C78+(6*'V06 Calend 01'!E78))),('V06 Calend 01'!H78-('V06 Calend 01'!I78*('V06 Calend 01'!E78-1))),'V06 Calend 01'!I78),0))+IF((151='V06 Calend 01'!D78),'V06 Calend 01'!J78,0))</f>
        <v>0</v>
      </c>
      <c r="FH78" s="2">
        <f>((IF((152='V06 Calend 01'!C78),('V06 Calend 01'!F78+'V06 Calend 01'!G78),0)+IF(AND(('V06 Calend 01'!E78&gt;0),(152&gt;'V06 Calend 01'!C78),(152&lt;'V06 Calend 01'!D78),(MOD((152-'V06 Calend 01'!C78),6)=0),(((152-'V06 Calend 01'!C78)/6)&lt;='V06 Calend 01'!E78)),IF((152=('V06 Calend 01'!C78+(6*'V06 Calend 01'!E78))),('V06 Calend 01'!H78-('V06 Calend 01'!I78*('V06 Calend 01'!E78-1))),'V06 Calend 01'!I78),0))+IF((152='V06 Calend 01'!D78),'V06 Calend 01'!J78,0))</f>
        <v>0</v>
      </c>
      <c r="FI78" s="2">
        <f>((IF((153='V06 Calend 01'!C78),('V06 Calend 01'!F78+'V06 Calend 01'!G78),0)+IF(AND(('V06 Calend 01'!E78&gt;0),(153&gt;'V06 Calend 01'!C78),(153&lt;'V06 Calend 01'!D78),(MOD((153-'V06 Calend 01'!C78),6)=0),(((153-'V06 Calend 01'!C78)/6)&lt;='V06 Calend 01'!E78)),IF((153=('V06 Calend 01'!C78+(6*'V06 Calend 01'!E78))),('V06 Calend 01'!H78-('V06 Calend 01'!I78*('V06 Calend 01'!E78-1))),'V06 Calend 01'!I78),0))+IF((153='V06 Calend 01'!D78),'V06 Calend 01'!J78,0))</f>
        <v>0</v>
      </c>
      <c r="FJ78" s="2">
        <f>((IF((154='V06 Calend 01'!C78),('V06 Calend 01'!F78+'V06 Calend 01'!G78),0)+IF(AND(('V06 Calend 01'!E78&gt;0),(154&gt;'V06 Calend 01'!C78),(154&lt;'V06 Calend 01'!D78),(MOD((154-'V06 Calend 01'!C78),6)=0),(((154-'V06 Calend 01'!C78)/6)&lt;='V06 Calend 01'!E78)),IF((154=('V06 Calend 01'!C78+(6*'V06 Calend 01'!E78))),('V06 Calend 01'!H78-('V06 Calend 01'!I78*('V06 Calend 01'!E78-1))),'V06 Calend 01'!I78),0))+IF((154='V06 Calend 01'!D78),'V06 Calend 01'!J78,0))</f>
        <v>0</v>
      </c>
      <c r="FK78" s="2">
        <f>((IF((155='V06 Calend 01'!C78),('V06 Calend 01'!F78+'V06 Calend 01'!G78),0)+IF(AND(('V06 Calend 01'!E78&gt;0),(155&gt;'V06 Calend 01'!C78),(155&lt;'V06 Calend 01'!D78),(MOD((155-'V06 Calend 01'!C78),6)=0),(((155-'V06 Calend 01'!C78)/6)&lt;='V06 Calend 01'!E78)),IF((155=('V06 Calend 01'!C78+(6*'V06 Calend 01'!E78))),('V06 Calend 01'!H78-('V06 Calend 01'!I78*('V06 Calend 01'!E78-1))),'V06 Calend 01'!I78),0))+IF((155='V06 Calend 01'!D78),'V06 Calend 01'!J78,0))</f>
        <v>0</v>
      </c>
      <c r="FL78" s="2">
        <f>((IF((156='V06 Calend 01'!C78),('V06 Calend 01'!F78+'V06 Calend 01'!G78),0)+IF(AND(('V06 Calend 01'!E78&gt;0),(156&gt;'V06 Calend 01'!C78),(156&lt;'V06 Calend 01'!D78),(MOD((156-'V06 Calend 01'!C78),6)=0),(((156-'V06 Calend 01'!C78)/6)&lt;='V06 Calend 01'!E78)),IF((156=('V06 Calend 01'!C78+(6*'V06 Calend 01'!E78))),('V06 Calend 01'!H78-('V06 Calend 01'!I78*('V06 Calend 01'!E78-1))),'V06 Calend 01'!I78),0))+IF((156='V06 Calend 01'!D78),'V06 Calend 01'!J78,0))</f>
        <v>0</v>
      </c>
      <c r="FM78" s="2">
        <f>((IF((157='V06 Calend 01'!C78),('V06 Calend 01'!F78+'V06 Calend 01'!G78),0)+IF(AND(('V06 Calend 01'!E78&gt;0),(157&gt;'V06 Calend 01'!C78),(157&lt;'V06 Calend 01'!D78),(MOD((157-'V06 Calend 01'!C78),6)=0),(((157-'V06 Calend 01'!C78)/6)&lt;='V06 Calend 01'!E78)),IF((157=('V06 Calend 01'!C78+(6*'V06 Calend 01'!E78))),('V06 Calend 01'!H78-('V06 Calend 01'!I78*('V06 Calend 01'!E78-1))),'V06 Calend 01'!I78),0))+IF((157='V06 Calend 01'!D78),'V06 Calend 01'!J78,0))</f>
        <v>0</v>
      </c>
      <c r="FN78" s="2">
        <f>((IF((158='V06 Calend 01'!C78),('V06 Calend 01'!F78+'V06 Calend 01'!G78),0)+IF(AND(('V06 Calend 01'!E78&gt;0),(158&gt;'V06 Calend 01'!C78),(158&lt;'V06 Calend 01'!D78),(MOD((158-'V06 Calend 01'!C78),6)=0),(((158-'V06 Calend 01'!C78)/6)&lt;='V06 Calend 01'!E78)),IF((158=('V06 Calend 01'!C78+(6*'V06 Calend 01'!E78))),('V06 Calend 01'!H78-('V06 Calend 01'!I78*('V06 Calend 01'!E78-1))),'V06 Calend 01'!I78),0))+IF((158='V06 Calend 01'!D78),'V06 Calend 01'!J78,0))</f>
        <v>0</v>
      </c>
      <c r="FO78" s="2">
        <f>((IF((159='V06 Calend 01'!C78),('V06 Calend 01'!F78+'V06 Calend 01'!G78),0)+IF(AND(('V06 Calend 01'!E78&gt;0),(159&gt;'V06 Calend 01'!C78),(159&lt;'V06 Calend 01'!D78),(MOD((159-'V06 Calend 01'!C78),6)=0),(((159-'V06 Calend 01'!C78)/6)&lt;='V06 Calend 01'!E78)),IF((159=('V06 Calend 01'!C78+(6*'V06 Calend 01'!E78))),('V06 Calend 01'!H78-('V06 Calend 01'!I78*('V06 Calend 01'!E78-1))),'V06 Calend 01'!I78),0))+IF((159='V06 Calend 01'!D78),'V06 Calend 01'!J78,0))</f>
        <v>0</v>
      </c>
      <c r="FP78" s="2">
        <f>((IF((160='V06 Calend 01'!C78),('V06 Calend 01'!F78+'V06 Calend 01'!G78),0)+IF(AND(('V06 Calend 01'!E78&gt;0),(160&gt;'V06 Calend 01'!C78),(160&lt;'V06 Calend 01'!D78),(MOD((160-'V06 Calend 01'!C78),6)=0),(((160-'V06 Calend 01'!C78)/6)&lt;='V06 Calend 01'!E78)),IF((160=('V06 Calend 01'!C78+(6*'V06 Calend 01'!E78))),('V06 Calend 01'!H78-('V06 Calend 01'!I78*('V06 Calend 01'!E78-1))),'V06 Calend 01'!I78),0))+IF((160='V06 Calend 01'!D78),'V06 Calend 01'!J78,0))</f>
        <v>0</v>
      </c>
      <c r="FQ78" s="2">
        <f>((IF((161='V06 Calend 01'!C78),('V06 Calend 01'!F78+'V06 Calend 01'!G78),0)+IF(AND(('V06 Calend 01'!E78&gt;0),(161&gt;'V06 Calend 01'!C78),(161&lt;'V06 Calend 01'!D78),(MOD((161-'V06 Calend 01'!C78),6)=0),(((161-'V06 Calend 01'!C78)/6)&lt;='V06 Calend 01'!E78)),IF((161=('V06 Calend 01'!C78+(6*'V06 Calend 01'!E78))),('V06 Calend 01'!H78-('V06 Calend 01'!I78*('V06 Calend 01'!E78-1))),'V06 Calend 01'!I78),0))+IF((161='V06 Calend 01'!D78),'V06 Calend 01'!J78,0))</f>
        <v>0</v>
      </c>
      <c r="FR78" s="2">
        <f>((IF((162='V06 Calend 01'!C78),('V06 Calend 01'!F78+'V06 Calend 01'!G78),0)+IF(AND(('V06 Calend 01'!E78&gt;0),(162&gt;'V06 Calend 01'!C78),(162&lt;'V06 Calend 01'!D78),(MOD((162-'V06 Calend 01'!C78),6)=0),(((162-'V06 Calend 01'!C78)/6)&lt;='V06 Calend 01'!E78)),IF((162=('V06 Calend 01'!C78+(6*'V06 Calend 01'!E78))),('V06 Calend 01'!H78-('V06 Calend 01'!I78*('V06 Calend 01'!E78-1))),'V06 Calend 01'!I78),0))+IF((162='V06 Calend 01'!D78),'V06 Calend 01'!J78,0))</f>
        <v>0</v>
      </c>
      <c r="FS78" s="2">
        <f>((IF((163='V06 Calend 01'!C78),('V06 Calend 01'!F78+'V06 Calend 01'!G78),0)+IF(AND(('V06 Calend 01'!E78&gt;0),(163&gt;'V06 Calend 01'!C78),(163&lt;'V06 Calend 01'!D78),(MOD((163-'V06 Calend 01'!C78),6)=0),(((163-'V06 Calend 01'!C78)/6)&lt;='V06 Calend 01'!E78)),IF((163=('V06 Calend 01'!C78+(6*'V06 Calend 01'!E78))),('V06 Calend 01'!H78-('V06 Calend 01'!I78*('V06 Calend 01'!E78-1))),'V06 Calend 01'!I78),0))+IF((163='V06 Calend 01'!D78),'V06 Calend 01'!J78,0))</f>
        <v>0</v>
      </c>
      <c r="FT78" s="2">
        <f>((IF((164='V06 Calend 01'!C78),('V06 Calend 01'!F78+'V06 Calend 01'!G78),0)+IF(AND(('V06 Calend 01'!E78&gt;0),(164&gt;'V06 Calend 01'!C78),(164&lt;'V06 Calend 01'!D78),(MOD((164-'V06 Calend 01'!C78),6)=0),(((164-'V06 Calend 01'!C78)/6)&lt;='V06 Calend 01'!E78)),IF((164=('V06 Calend 01'!C78+(6*'V06 Calend 01'!E78))),('V06 Calend 01'!H78-('V06 Calend 01'!I78*('V06 Calend 01'!E78-1))),'V06 Calend 01'!I78),0))+IF((164='V06 Calend 01'!D78),'V06 Calend 01'!J78,0))</f>
        <v>0</v>
      </c>
      <c r="FU78" s="2">
        <f>((IF((165='V06 Calend 01'!C78),('V06 Calend 01'!F78+'V06 Calend 01'!G78),0)+IF(AND(('V06 Calend 01'!E78&gt;0),(165&gt;'V06 Calend 01'!C78),(165&lt;'V06 Calend 01'!D78),(MOD((165-'V06 Calend 01'!C78),6)=0),(((165-'V06 Calend 01'!C78)/6)&lt;='V06 Calend 01'!E78)),IF((165=('V06 Calend 01'!C78+(6*'V06 Calend 01'!E78))),('V06 Calend 01'!H78-('V06 Calend 01'!I78*('V06 Calend 01'!E78-1))),'V06 Calend 01'!I78),0))+IF((165='V06 Calend 01'!D78),'V06 Calend 01'!J78,0))</f>
        <v>0</v>
      </c>
      <c r="FV78" s="2">
        <f>((IF((166='V06 Calend 01'!C78),('V06 Calend 01'!F78+'V06 Calend 01'!G78),0)+IF(AND(('V06 Calend 01'!E78&gt;0),(166&gt;'V06 Calend 01'!C78),(166&lt;'V06 Calend 01'!D78),(MOD((166-'V06 Calend 01'!C78),6)=0),(((166-'V06 Calend 01'!C78)/6)&lt;='V06 Calend 01'!E78)),IF((166=('V06 Calend 01'!C78+(6*'V06 Calend 01'!E78))),('V06 Calend 01'!H78-('V06 Calend 01'!I78*('V06 Calend 01'!E78-1))),'V06 Calend 01'!I78),0))+IF((166='V06 Calend 01'!D78),'V06 Calend 01'!J78,0))</f>
        <v>0</v>
      </c>
      <c r="FW78" s="2">
        <f>((IF((167='V06 Calend 01'!C78),('V06 Calend 01'!F78+'V06 Calend 01'!G78),0)+IF(AND(('V06 Calend 01'!E78&gt;0),(167&gt;'V06 Calend 01'!C78),(167&lt;'V06 Calend 01'!D78),(MOD((167-'V06 Calend 01'!C78),6)=0),(((167-'V06 Calend 01'!C78)/6)&lt;='V06 Calend 01'!E78)),IF((167=('V06 Calend 01'!C78+(6*'V06 Calend 01'!E78))),('V06 Calend 01'!H78-('V06 Calend 01'!I78*('V06 Calend 01'!E78-1))),'V06 Calend 01'!I78),0))+IF((167='V06 Calend 01'!D78),'V06 Calend 01'!J78,0))</f>
        <v>0</v>
      </c>
      <c r="FX78" s="2">
        <f>((IF((168='V06 Calend 01'!C78),('V06 Calend 01'!F78+'V06 Calend 01'!G78),0)+IF(AND(('V06 Calend 01'!E78&gt;0),(168&gt;'V06 Calend 01'!C78),(168&lt;'V06 Calend 01'!D78),(MOD((168-'V06 Calend 01'!C78),6)=0),(((168-'V06 Calend 01'!C78)/6)&lt;='V06 Calend 01'!E78)),IF((168=('V06 Calend 01'!C78+(6*'V06 Calend 01'!E78))),('V06 Calend 01'!H78-('V06 Calend 01'!I78*('V06 Calend 01'!E78-1))),'V06 Calend 01'!I78),0))+IF((168='V06 Calend 01'!D78),'V06 Calend 01'!J78,0))</f>
        <v>0</v>
      </c>
      <c r="FY78" s="2">
        <f>((IF((169='V06 Calend 01'!C78),('V06 Calend 01'!F78+'V06 Calend 01'!G78),0)+IF(AND(('V06 Calend 01'!E78&gt;0),(169&gt;'V06 Calend 01'!C78),(169&lt;'V06 Calend 01'!D78),(MOD((169-'V06 Calend 01'!C78),6)=0),(((169-'V06 Calend 01'!C78)/6)&lt;='V06 Calend 01'!E78)),IF((169=('V06 Calend 01'!C78+(6*'V06 Calend 01'!E78))),('V06 Calend 01'!H78-('V06 Calend 01'!I78*('V06 Calend 01'!E78-1))),'V06 Calend 01'!I78),0))+IF((169='V06 Calend 01'!D78),'V06 Calend 01'!J78,0))</f>
        <v>0</v>
      </c>
      <c r="FZ78" s="2">
        <f>((IF((170='V06 Calend 01'!C78),('V06 Calend 01'!F78+'V06 Calend 01'!G78),0)+IF(AND(('V06 Calend 01'!E78&gt;0),(170&gt;'V06 Calend 01'!C78),(170&lt;'V06 Calend 01'!D78),(MOD((170-'V06 Calend 01'!C78),6)=0),(((170-'V06 Calend 01'!C78)/6)&lt;='V06 Calend 01'!E78)),IF((170=('V06 Calend 01'!C78+(6*'V06 Calend 01'!E78))),('V06 Calend 01'!H78-('V06 Calend 01'!I78*('V06 Calend 01'!E78-1))),'V06 Calend 01'!I78),0))+IF((170='V06 Calend 01'!D78),'V06 Calend 01'!J78,0))</f>
        <v>0</v>
      </c>
      <c r="GA78" s="2">
        <f>((IF((171='V06 Calend 01'!C78),('V06 Calend 01'!F78+'V06 Calend 01'!G78),0)+IF(AND(('V06 Calend 01'!E78&gt;0),(171&gt;'V06 Calend 01'!C78),(171&lt;'V06 Calend 01'!D78),(MOD((171-'V06 Calend 01'!C78),6)=0),(((171-'V06 Calend 01'!C78)/6)&lt;='V06 Calend 01'!E78)),IF((171=('V06 Calend 01'!C78+(6*'V06 Calend 01'!E78))),('V06 Calend 01'!H78-('V06 Calend 01'!I78*('V06 Calend 01'!E78-1))),'V06 Calend 01'!I78),0))+IF((171='V06 Calend 01'!D78),'V06 Calend 01'!J78,0))</f>
        <v>0</v>
      </c>
      <c r="GB78" s="2">
        <f>((IF((172='V06 Calend 01'!C78),('V06 Calend 01'!F78+'V06 Calend 01'!G78),0)+IF(AND(('V06 Calend 01'!E78&gt;0),(172&gt;'V06 Calend 01'!C78),(172&lt;'V06 Calend 01'!D78),(MOD((172-'V06 Calend 01'!C78),6)=0),(((172-'V06 Calend 01'!C78)/6)&lt;='V06 Calend 01'!E78)),IF((172=('V06 Calend 01'!C78+(6*'V06 Calend 01'!E78))),('V06 Calend 01'!H78-('V06 Calend 01'!I78*('V06 Calend 01'!E78-1))),'V06 Calend 01'!I78),0))+IF((172='V06 Calend 01'!D78),'V06 Calend 01'!J78,0))</f>
        <v>0</v>
      </c>
      <c r="GC78" s="2">
        <f>((IF((173='V06 Calend 01'!C78),('V06 Calend 01'!F78+'V06 Calend 01'!G78),0)+IF(AND(('V06 Calend 01'!E78&gt;0),(173&gt;'V06 Calend 01'!C78),(173&lt;'V06 Calend 01'!D78),(MOD((173-'V06 Calend 01'!C78),6)=0),(((173-'V06 Calend 01'!C78)/6)&lt;='V06 Calend 01'!E78)),IF((173=('V06 Calend 01'!C78+(6*'V06 Calend 01'!E78))),('V06 Calend 01'!H78-('V06 Calend 01'!I78*('V06 Calend 01'!E78-1))),'V06 Calend 01'!I78),0))+IF((173='V06 Calend 01'!D78),'V06 Calend 01'!J78,0))</f>
        <v>0</v>
      </c>
      <c r="GD78" s="2">
        <f>((IF((174='V06 Calend 01'!C78),('V06 Calend 01'!F78+'V06 Calend 01'!G78),0)+IF(AND(('V06 Calend 01'!E78&gt;0),(174&gt;'V06 Calend 01'!C78),(174&lt;'V06 Calend 01'!D78),(MOD((174-'V06 Calend 01'!C78),6)=0),(((174-'V06 Calend 01'!C78)/6)&lt;='V06 Calend 01'!E78)),IF((174=('V06 Calend 01'!C78+(6*'V06 Calend 01'!E78))),('V06 Calend 01'!H78-('V06 Calend 01'!I78*('V06 Calend 01'!E78-1))),'V06 Calend 01'!I78),0))+IF((174='V06 Calend 01'!D78),'V06 Calend 01'!J78,0))</f>
        <v>0</v>
      </c>
      <c r="GE78" s="2">
        <f>((IF((175='V06 Calend 01'!C78),('V06 Calend 01'!F78+'V06 Calend 01'!G78),0)+IF(AND(('V06 Calend 01'!E78&gt;0),(175&gt;'V06 Calend 01'!C78),(175&lt;'V06 Calend 01'!D78),(MOD((175-'V06 Calend 01'!C78),6)=0),(((175-'V06 Calend 01'!C78)/6)&lt;='V06 Calend 01'!E78)),IF((175=('V06 Calend 01'!C78+(6*'V06 Calend 01'!E78))),('V06 Calend 01'!H78-('V06 Calend 01'!I78*('V06 Calend 01'!E78-1))),'V06 Calend 01'!I78),0))+IF((175='V06 Calend 01'!D78),'V06 Calend 01'!J78,0))</f>
        <v>0</v>
      </c>
      <c r="GF78" s="2">
        <f>((IF((176='V06 Calend 01'!C78),('V06 Calend 01'!F78+'V06 Calend 01'!G78),0)+IF(AND(('V06 Calend 01'!E78&gt;0),(176&gt;'V06 Calend 01'!C78),(176&lt;'V06 Calend 01'!D78),(MOD((176-'V06 Calend 01'!C78),6)=0),(((176-'V06 Calend 01'!C78)/6)&lt;='V06 Calend 01'!E78)),IF((176=('V06 Calend 01'!C78+(6*'V06 Calend 01'!E78))),('V06 Calend 01'!H78-('V06 Calend 01'!I78*('V06 Calend 01'!E78-1))),'V06 Calend 01'!I78),0))+IF((176='V06 Calend 01'!D78),'V06 Calend 01'!J78,0))</f>
        <v>0</v>
      </c>
      <c r="GG78" s="2">
        <f>((IF((177='V06 Calend 01'!C78),('V06 Calend 01'!F78+'V06 Calend 01'!G78),0)+IF(AND(('V06 Calend 01'!E78&gt;0),(177&gt;'V06 Calend 01'!C78),(177&lt;'V06 Calend 01'!D78),(MOD((177-'V06 Calend 01'!C78),6)=0),(((177-'V06 Calend 01'!C78)/6)&lt;='V06 Calend 01'!E78)),IF((177=('V06 Calend 01'!C78+(6*'V06 Calend 01'!E78))),('V06 Calend 01'!H78-('V06 Calend 01'!I78*('V06 Calend 01'!E78-1))),'V06 Calend 01'!I78),0))+IF((177='V06 Calend 01'!D78),'V06 Calend 01'!J78,0))</f>
        <v>0</v>
      </c>
      <c r="GH78" s="2">
        <f>((IF((178='V06 Calend 01'!C78),('V06 Calend 01'!F78+'V06 Calend 01'!G78),0)+IF(AND(('V06 Calend 01'!E78&gt;0),(178&gt;'V06 Calend 01'!C78),(178&lt;'V06 Calend 01'!D78),(MOD((178-'V06 Calend 01'!C78),6)=0),(((178-'V06 Calend 01'!C78)/6)&lt;='V06 Calend 01'!E78)),IF((178=('V06 Calend 01'!C78+(6*'V06 Calend 01'!E78))),('V06 Calend 01'!H78-('V06 Calend 01'!I78*('V06 Calend 01'!E78-1))),'V06 Calend 01'!I78),0))+IF((178='V06 Calend 01'!D78),'V06 Calend 01'!J78,0))</f>
        <v>0</v>
      </c>
      <c r="GI78" s="2">
        <f>((IF((179='V06 Calend 01'!C78),('V06 Calend 01'!F78+'V06 Calend 01'!G78),0)+IF(AND(('V06 Calend 01'!E78&gt;0),(179&gt;'V06 Calend 01'!C78),(179&lt;'V06 Calend 01'!D78),(MOD((179-'V06 Calend 01'!C78),6)=0),(((179-'V06 Calend 01'!C78)/6)&lt;='V06 Calend 01'!E78)),IF((179=('V06 Calend 01'!C78+(6*'V06 Calend 01'!E78))),('V06 Calend 01'!H78-('V06 Calend 01'!I78*('V06 Calend 01'!E78-1))),'V06 Calend 01'!I78),0))+IF((179='V06 Calend 01'!D78),'V06 Calend 01'!J78,0))</f>
        <v>0</v>
      </c>
      <c r="GJ78" s="2">
        <f>((IF((180='V06 Calend 01'!C78),('V06 Calend 01'!F78+'V06 Calend 01'!G78),0)+IF(AND(('V06 Calend 01'!E78&gt;0),(180&gt;'V06 Calend 01'!C78),(180&lt;'V06 Calend 01'!D78),(MOD((180-'V06 Calend 01'!C78),6)=0),(((180-'V06 Calend 01'!C78)/6)&lt;='V06 Calend 01'!E78)),IF((180=('V06 Calend 01'!C78+(6*'V06 Calend 01'!E78))),('V06 Calend 01'!H78-('V06 Calend 01'!I78*('V06 Calend 01'!E78-1))),'V06 Calend 01'!I78),0))+IF((180='V06 Calend 01'!D78),'V06 Calend 01'!J78,0))</f>
        <v>0</v>
      </c>
    </row>
    <row r="79" spans="1:192">
      <c r="A79" s="3" t="str">
        <f>'V06 Unidades'!$A$79</f>
        <v>905</v>
      </c>
      <c r="B79" s="2">
        <f>'V06 Unidades'!$H$79</f>
        <v>686506.38</v>
      </c>
      <c r="C79" s="4">
        <f>('V06 Unidades'!$I$79+'V06 Controlos'!$B$37)</f>
        <v>1</v>
      </c>
      <c r="D79" s="4">
        <f>IF(('V06 Controlos'!$B$38&gt;0),MAX(('V06 Unidades'!$L$79+'V06 Controlos'!$B$37),(30+'V06 Controlos'!$B$38)),('V06 Unidades'!$L$79+'V06 Controlos'!$B$37))</f>
        <v>30</v>
      </c>
      <c r="E79" s="4">
        <f>MAX(0,INT(((('V06 Calend 01'!D79-'V06 Calend 01'!C79)-1)/6)))</f>
        <v>4</v>
      </c>
      <c r="F79" s="2">
        <f>ROUND(('V06 Calend 01'!B79*0.05),2)</f>
        <v>34325.32</v>
      </c>
      <c r="G79" s="2">
        <f>ROUND(('V06 Calend 01'!B79*0.2),2)</f>
        <v>137301.28</v>
      </c>
      <c r="H79" s="2">
        <f>ROUND(('V06 Calend 01'!B79*0.55),2)</f>
        <v>377578.51</v>
      </c>
      <c r="I79" s="2">
        <f>ROUND(('V06 Calend 01'!H79/MAX(1,'V06 Calend 01'!E79)),2)</f>
        <v>94394.63</v>
      </c>
      <c r="J79" s="2">
        <f>((('V06 Calend 01'!B79-'V06 Calend 01'!F79)-'V06 Calend 01'!G79)-'V06 Calend 01'!H79)</f>
        <v>137301.27000000002</v>
      </c>
      <c r="K79" s="2">
        <f>('V06 Calend 01'!B79*0.025)</f>
        <v>17162.6595</v>
      </c>
      <c r="L79" t="s">
        <v>378</v>
      </c>
      <c r="M79" s="2">
        <f>((IF((1='V06 Calend 01'!C79),('V06 Calend 01'!F79+'V06 Calend 01'!G79),0)+IF(AND(('V06 Calend 01'!E79&gt;0),(1&gt;'V06 Calend 01'!C79),(1&lt;'V06 Calend 01'!D79),(MOD((1-'V06 Calend 01'!C79),6)=0),(((1-'V06 Calend 01'!C79)/6)&lt;='V06 Calend 01'!E79)),IF((1=('V06 Calend 01'!C79+(6*'V06 Calend 01'!E79))),('V06 Calend 01'!H79-('V06 Calend 01'!I79*('V06 Calend 01'!E79-1))),'V06 Calend 01'!I79),0))+IF((1='V06 Calend 01'!D79),'V06 Calend 01'!J79,0))</f>
        <v>171626.6</v>
      </c>
      <c r="N79" s="2">
        <f>((IF((2='V06 Calend 01'!C79),('V06 Calend 01'!F79+'V06 Calend 01'!G79),0)+IF(AND(('V06 Calend 01'!E79&gt;0),(2&gt;'V06 Calend 01'!C79),(2&lt;'V06 Calend 01'!D79),(MOD((2-'V06 Calend 01'!C79),6)=0),(((2-'V06 Calend 01'!C79)/6)&lt;='V06 Calend 01'!E79)),IF((2=('V06 Calend 01'!C79+(6*'V06 Calend 01'!E79))),('V06 Calend 01'!H79-('V06 Calend 01'!I79*('V06 Calend 01'!E79-1))),'V06 Calend 01'!I79),0))+IF((2='V06 Calend 01'!D79),'V06 Calend 01'!J79,0))</f>
        <v>0</v>
      </c>
      <c r="O79" s="2">
        <f>((IF((3='V06 Calend 01'!C79),('V06 Calend 01'!F79+'V06 Calend 01'!G79),0)+IF(AND(('V06 Calend 01'!E79&gt;0),(3&gt;'V06 Calend 01'!C79),(3&lt;'V06 Calend 01'!D79),(MOD((3-'V06 Calend 01'!C79),6)=0),(((3-'V06 Calend 01'!C79)/6)&lt;='V06 Calend 01'!E79)),IF((3=('V06 Calend 01'!C79+(6*'V06 Calend 01'!E79))),('V06 Calend 01'!H79-('V06 Calend 01'!I79*('V06 Calend 01'!E79-1))),'V06 Calend 01'!I79),0))+IF((3='V06 Calend 01'!D79),'V06 Calend 01'!J79,0))</f>
        <v>0</v>
      </c>
      <c r="P79" s="2">
        <f>((IF((4='V06 Calend 01'!C79),('V06 Calend 01'!F79+'V06 Calend 01'!G79),0)+IF(AND(('V06 Calend 01'!E79&gt;0),(4&gt;'V06 Calend 01'!C79),(4&lt;'V06 Calend 01'!D79),(MOD((4-'V06 Calend 01'!C79),6)=0),(((4-'V06 Calend 01'!C79)/6)&lt;='V06 Calend 01'!E79)),IF((4=('V06 Calend 01'!C79+(6*'V06 Calend 01'!E79))),('V06 Calend 01'!H79-('V06 Calend 01'!I79*('V06 Calend 01'!E79-1))),'V06 Calend 01'!I79),0))+IF((4='V06 Calend 01'!D79),'V06 Calend 01'!J79,0))</f>
        <v>0</v>
      </c>
      <c r="Q79" s="2">
        <f>((IF((5='V06 Calend 01'!C79),('V06 Calend 01'!F79+'V06 Calend 01'!G79),0)+IF(AND(('V06 Calend 01'!E79&gt;0),(5&gt;'V06 Calend 01'!C79),(5&lt;'V06 Calend 01'!D79),(MOD((5-'V06 Calend 01'!C79),6)=0),(((5-'V06 Calend 01'!C79)/6)&lt;='V06 Calend 01'!E79)),IF((5=('V06 Calend 01'!C79+(6*'V06 Calend 01'!E79))),('V06 Calend 01'!H79-('V06 Calend 01'!I79*('V06 Calend 01'!E79-1))),'V06 Calend 01'!I79),0))+IF((5='V06 Calend 01'!D79),'V06 Calend 01'!J79,0))</f>
        <v>0</v>
      </c>
      <c r="R79" s="2">
        <f>((IF((6='V06 Calend 01'!C79),('V06 Calend 01'!F79+'V06 Calend 01'!G79),0)+IF(AND(('V06 Calend 01'!E79&gt;0),(6&gt;'V06 Calend 01'!C79),(6&lt;'V06 Calend 01'!D79),(MOD((6-'V06 Calend 01'!C79),6)=0),(((6-'V06 Calend 01'!C79)/6)&lt;='V06 Calend 01'!E79)),IF((6=('V06 Calend 01'!C79+(6*'V06 Calend 01'!E79))),('V06 Calend 01'!H79-('V06 Calend 01'!I79*('V06 Calend 01'!E79-1))),'V06 Calend 01'!I79),0))+IF((6='V06 Calend 01'!D79),'V06 Calend 01'!J79,0))</f>
        <v>0</v>
      </c>
      <c r="S79" s="2">
        <f>((IF((7='V06 Calend 01'!C79),('V06 Calend 01'!F79+'V06 Calend 01'!G79),0)+IF(AND(('V06 Calend 01'!E79&gt;0),(7&gt;'V06 Calend 01'!C79),(7&lt;'V06 Calend 01'!D79),(MOD((7-'V06 Calend 01'!C79),6)=0),(((7-'V06 Calend 01'!C79)/6)&lt;='V06 Calend 01'!E79)),IF((7=('V06 Calend 01'!C79+(6*'V06 Calend 01'!E79))),('V06 Calend 01'!H79-('V06 Calend 01'!I79*('V06 Calend 01'!E79-1))),'V06 Calend 01'!I79),0))+IF((7='V06 Calend 01'!D79),'V06 Calend 01'!J79,0))</f>
        <v>94394.63</v>
      </c>
      <c r="T79" s="2">
        <f>((IF((8='V06 Calend 01'!C79),('V06 Calend 01'!F79+'V06 Calend 01'!G79),0)+IF(AND(('V06 Calend 01'!E79&gt;0),(8&gt;'V06 Calend 01'!C79),(8&lt;'V06 Calend 01'!D79),(MOD((8-'V06 Calend 01'!C79),6)=0),(((8-'V06 Calend 01'!C79)/6)&lt;='V06 Calend 01'!E79)),IF((8=('V06 Calend 01'!C79+(6*'V06 Calend 01'!E79))),('V06 Calend 01'!H79-('V06 Calend 01'!I79*('V06 Calend 01'!E79-1))),'V06 Calend 01'!I79),0))+IF((8='V06 Calend 01'!D79),'V06 Calend 01'!J79,0))</f>
        <v>0</v>
      </c>
      <c r="U79" s="2">
        <f>((IF((9='V06 Calend 01'!C79),('V06 Calend 01'!F79+'V06 Calend 01'!G79),0)+IF(AND(('V06 Calend 01'!E79&gt;0),(9&gt;'V06 Calend 01'!C79),(9&lt;'V06 Calend 01'!D79),(MOD((9-'V06 Calend 01'!C79),6)=0),(((9-'V06 Calend 01'!C79)/6)&lt;='V06 Calend 01'!E79)),IF((9=('V06 Calend 01'!C79+(6*'V06 Calend 01'!E79))),('V06 Calend 01'!H79-('V06 Calend 01'!I79*('V06 Calend 01'!E79-1))),'V06 Calend 01'!I79),0))+IF((9='V06 Calend 01'!D79),'V06 Calend 01'!J79,0))</f>
        <v>0</v>
      </c>
      <c r="V79" s="2">
        <f>((IF((10='V06 Calend 01'!C79),('V06 Calend 01'!F79+'V06 Calend 01'!G79),0)+IF(AND(('V06 Calend 01'!E79&gt;0),(10&gt;'V06 Calend 01'!C79),(10&lt;'V06 Calend 01'!D79),(MOD((10-'V06 Calend 01'!C79),6)=0),(((10-'V06 Calend 01'!C79)/6)&lt;='V06 Calend 01'!E79)),IF((10=('V06 Calend 01'!C79+(6*'V06 Calend 01'!E79))),('V06 Calend 01'!H79-('V06 Calend 01'!I79*('V06 Calend 01'!E79-1))),'V06 Calend 01'!I79),0))+IF((10='V06 Calend 01'!D79),'V06 Calend 01'!J79,0))</f>
        <v>0</v>
      </c>
      <c r="W79" s="2">
        <f>((IF((11='V06 Calend 01'!C79),('V06 Calend 01'!F79+'V06 Calend 01'!G79),0)+IF(AND(('V06 Calend 01'!E79&gt;0),(11&gt;'V06 Calend 01'!C79),(11&lt;'V06 Calend 01'!D79),(MOD((11-'V06 Calend 01'!C79),6)=0),(((11-'V06 Calend 01'!C79)/6)&lt;='V06 Calend 01'!E79)),IF((11=('V06 Calend 01'!C79+(6*'V06 Calend 01'!E79))),('V06 Calend 01'!H79-('V06 Calend 01'!I79*('V06 Calend 01'!E79-1))),'V06 Calend 01'!I79),0))+IF((11='V06 Calend 01'!D79),'V06 Calend 01'!J79,0))</f>
        <v>0</v>
      </c>
      <c r="X79" s="2">
        <f>((IF((12='V06 Calend 01'!C79),('V06 Calend 01'!F79+'V06 Calend 01'!G79),0)+IF(AND(('V06 Calend 01'!E79&gt;0),(12&gt;'V06 Calend 01'!C79),(12&lt;'V06 Calend 01'!D79),(MOD((12-'V06 Calend 01'!C79),6)=0),(((12-'V06 Calend 01'!C79)/6)&lt;='V06 Calend 01'!E79)),IF((12=('V06 Calend 01'!C79+(6*'V06 Calend 01'!E79))),('V06 Calend 01'!H79-('V06 Calend 01'!I79*('V06 Calend 01'!E79-1))),'V06 Calend 01'!I79),0))+IF((12='V06 Calend 01'!D79),'V06 Calend 01'!J79,0))</f>
        <v>0</v>
      </c>
      <c r="Y79" s="2">
        <f>((IF((13='V06 Calend 01'!C79),('V06 Calend 01'!F79+'V06 Calend 01'!G79),0)+IF(AND(('V06 Calend 01'!E79&gt;0),(13&gt;'V06 Calend 01'!C79),(13&lt;'V06 Calend 01'!D79),(MOD((13-'V06 Calend 01'!C79),6)=0),(((13-'V06 Calend 01'!C79)/6)&lt;='V06 Calend 01'!E79)),IF((13=('V06 Calend 01'!C79+(6*'V06 Calend 01'!E79))),('V06 Calend 01'!H79-('V06 Calend 01'!I79*('V06 Calend 01'!E79-1))),'V06 Calend 01'!I79),0))+IF((13='V06 Calend 01'!D79),'V06 Calend 01'!J79,0))</f>
        <v>94394.63</v>
      </c>
      <c r="Z79" s="2">
        <f>((IF((14='V06 Calend 01'!C79),('V06 Calend 01'!F79+'V06 Calend 01'!G79),0)+IF(AND(('V06 Calend 01'!E79&gt;0),(14&gt;'V06 Calend 01'!C79),(14&lt;'V06 Calend 01'!D79),(MOD((14-'V06 Calend 01'!C79),6)=0),(((14-'V06 Calend 01'!C79)/6)&lt;='V06 Calend 01'!E79)),IF((14=('V06 Calend 01'!C79+(6*'V06 Calend 01'!E79))),('V06 Calend 01'!H79-('V06 Calend 01'!I79*('V06 Calend 01'!E79-1))),'V06 Calend 01'!I79),0))+IF((14='V06 Calend 01'!D79),'V06 Calend 01'!J79,0))</f>
        <v>0</v>
      </c>
      <c r="AA79" s="2">
        <f>((IF((15='V06 Calend 01'!C79),('V06 Calend 01'!F79+'V06 Calend 01'!G79),0)+IF(AND(('V06 Calend 01'!E79&gt;0),(15&gt;'V06 Calend 01'!C79),(15&lt;'V06 Calend 01'!D79),(MOD((15-'V06 Calend 01'!C79),6)=0),(((15-'V06 Calend 01'!C79)/6)&lt;='V06 Calend 01'!E79)),IF((15=('V06 Calend 01'!C79+(6*'V06 Calend 01'!E79))),('V06 Calend 01'!H79-('V06 Calend 01'!I79*('V06 Calend 01'!E79-1))),'V06 Calend 01'!I79),0))+IF((15='V06 Calend 01'!D79),'V06 Calend 01'!J79,0))</f>
        <v>0</v>
      </c>
      <c r="AB79" s="2">
        <f>((IF((16='V06 Calend 01'!C79),('V06 Calend 01'!F79+'V06 Calend 01'!G79),0)+IF(AND(('V06 Calend 01'!E79&gt;0),(16&gt;'V06 Calend 01'!C79),(16&lt;'V06 Calend 01'!D79),(MOD((16-'V06 Calend 01'!C79),6)=0),(((16-'V06 Calend 01'!C79)/6)&lt;='V06 Calend 01'!E79)),IF((16=('V06 Calend 01'!C79+(6*'V06 Calend 01'!E79))),('V06 Calend 01'!H79-('V06 Calend 01'!I79*('V06 Calend 01'!E79-1))),'V06 Calend 01'!I79),0))+IF((16='V06 Calend 01'!D79),'V06 Calend 01'!J79,0))</f>
        <v>0</v>
      </c>
      <c r="AC79" s="2">
        <f>((IF((17='V06 Calend 01'!C79),('V06 Calend 01'!F79+'V06 Calend 01'!G79),0)+IF(AND(('V06 Calend 01'!E79&gt;0),(17&gt;'V06 Calend 01'!C79),(17&lt;'V06 Calend 01'!D79),(MOD((17-'V06 Calend 01'!C79),6)=0),(((17-'V06 Calend 01'!C79)/6)&lt;='V06 Calend 01'!E79)),IF((17=('V06 Calend 01'!C79+(6*'V06 Calend 01'!E79))),('V06 Calend 01'!H79-('V06 Calend 01'!I79*('V06 Calend 01'!E79-1))),'V06 Calend 01'!I79),0))+IF((17='V06 Calend 01'!D79),'V06 Calend 01'!J79,0))</f>
        <v>0</v>
      </c>
      <c r="AD79" s="2">
        <f>((IF((18='V06 Calend 01'!C79),('V06 Calend 01'!F79+'V06 Calend 01'!G79),0)+IF(AND(('V06 Calend 01'!E79&gt;0),(18&gt;'V06 Calend 01'!C79),(18&lt;'V06 Calend 01'!D79),(MOD((18-'V06 Calend 01'!C79),6)=0),(((18-'V06 Calend 01'!C79)/6)&lt;='V06 Calend 01'!E79)),IF((18=('V06 Calend 01'!C79+(6*'V06 Calend 01'!E79))),('V06 Calend 01'!H79-('V06 Calend 01'!I79*('V06 Calend 01'!E79-1))),'V06 Calend 01'!I79),0))+IF((18='V06 Calend 01'!D79),'V06 Calend 01'!J79,0))</f>
        <v>0</v>
      </c>
      <c r="AE79" s="2">
        <f>((IF((19='V06 Calend 01'!C79),('V06 Calend 01'!F79+'V06 Calend 01'!G79),0)+IF(AND(('V06 Calend 01'!E79&gt;0),(19&gt;'V06 Calend 01'!C79),(19&lt;'V06 Calend 01'!D79),(MOD((19-'V06 Calend 01'!C79),6)=0),(((19-'V06 Calend 01'!C79)/6)&lt;='V06 Calend 01'!E79)),IF((19=('V06 Calend 01'!C79+(6*'V06 Calend 01'!E79))),('V06 Calend 01'!H79-('V06 Calend 01'!I79*('V06 Calend 01'!E79-1))),'V06 Calend 01'!I79),0))+IF((19='V06 Calend 01'!D79),'V06 Calend 01'!J79,0))</f>
        <v>94394.63</v>
      </c>
      <c r="AF79" s="2">
        <f>((IF((20='V06 Calend 01'!C79),('V06 Calend 01'!F79+'V06 Calend 01'!G79),0)+IF(AND(('V06 Calend 01'!E79&gt;0),(20&gt;'V06 Calend 01'!C79),(20&lt;'V06 Calend 01'!D79),(MOD((20-'V06 Calend 01'!C79),6)=0),(((20-'V06 Calend 01'!C79)/6)&lt;='V06 Calend 01'!E79)),IF((20=('V06 Calend 01'!C79+(6*'V06 Calend 01'!E79))),('V06 Calend 01'!H79-('V06 Calend 01'!I79*('V06 Calend 01'!E79-1))),'V06 Calend 01'!I79),0))+IF((20='V06 Calend 01'!D79),'V06 Calend 01'!J79,0))</f>
        <v>0</v>
      </c>
      <c r="AG79" s="2">
        <f>((IF((21='V06 Calend 01'!C79),('V06 Calend 01'!F79+'V06 Calend 01'!G79),0)+IF(AND(('V06 Calend 01'!E79&gt;0),(21&gt;'V06 Calend 01'!C79),(21&lt;'V06 Calend 01'!D79),(MOD((21-'V06 Calend 01'!C79),6)=0),(((21-'V06 Calend 01'!C79)/6)&lt;='V06 Calend 01'!E79)),IF((21=('V06 Calend 01'!C79+(6*'V06 Calend 01'!E79))),('V06 Calend 01'!H79-('V06 Calend 01'!I79*('V06 Calend 01'!E79-1))),'V06 Calend 01'!I79),0))+IF((21='V06 Calend 01'!D79),'V06 Calend 01'!J79,0))</f>
        <v>0</v>
      </c>
      <c r="AH79" s="2">
        <f>((IF((22='V06 Calend 01'!C79),('V06 Calend 01'!F79+'V06 Calend 01'!G79),0)+IF(AND(('V06 Calend 01'!E79&gt;0),(22&gt;'V06 Calend 01'!C79),(22&lt;'V06 Calend 01'!D79),(MOD((22-'V06 Calend 01'!C79),6)=0),(((22-'V06 Calend 01'!C79)/6)&lt;='V06 Calend 01'!E79)),IF((22=('V06 Calend 01'!C79+(6*'V06 Calend 01'!E79))),('V06 Calend 01'!H79-('V06 Calend 01'!I79*('V06 Calend 01'!E79-1))),'V06 Calend 01'!I79),0))+IF((22='V06 Calend 01'!D79),'V06 Calend 01'!J79,0))</f>
        <v>0</v>
      </c>
      <c r="AI79" s="2">
        <f>((IF((23='V06 Calend 01'!C79),('V06 Calend 01'!F79+'V06 Calend 01'!G79),0)+IF(AND(('V06 Calend 01'!E79&gt;0),(23&gt;'V06 Calend 01'!C79),(23&lt;'V06 Calend 01'!D79),(MOD((23-'V06 Calend 01'!C79),6)=0),(((23-'V06 Calend 01'!C79)/6)&lt;='V06 Calend 01'!E79)),IF((23=('V06 Calend 01'!C79+(6*'V06 Calend 01'!E79))),('V06 Calend 01'!H79-('V06 Calend 01'!I79*('V06 Calend 01'!E79-1))),'V06 Calend 01'!I79),0))+IF((23='V06 Calend 01'!D79),'V06 Calend 01'!J79,0))</f>
        <v>0</v>
      </c>
      <c r="AJ79" s="2">
        <f>((IF((24='V06 Calend 01'!C79),('V06 Calend 01'!F79+'V06 Calend 01'!G79),0)+IF(AND(('V06 Calend 01'!E79&gt;0),(24&gt;'V06 Calend 01'!C79),(24&lt;'V06 Calend 01'!D79),(MOD((24-'V06 Calend 01'!C79),6)=0),(((24-'V06 Calend 01'!C79)/6)&lt;='V06 Calend 01'!E79)),IF((24=('V06 Calend 01'!C79+(6*'V06 Calend 01'!E79))),('V06 Calend 01'!H79-('V06 Calend 01'!I79*('V06 Calend 01'!E79-1))),'V06 Calend 01'!I79),0))+IF((24='V06 Calend 01'!D79),'V06 Calend 01'!J79,0))</f>
        <v>0</v>
      </c>
      <c r="AK79" s="2">
        <f>((IF((25='V06 Calend 01'!C79),('V06 Calend 01'!F79+'V06 Calend 01'!G79),0)+IF(AND(('V06 Calend 01'!E79&gt;0),(25&gt;'V06 Calend 01'!C79),(25&lt;'V06 Calend 01'!D79),(MOD((25-'V06 Calend 01'!C79),6)=0),(((25-'V06 Calend 01'!C79)/6)&lt;='V06 Calend 01'!E79)),IF((25=('V06 Calend 01'!C79+(6*'V06 Calend 01'!E79))),('V06 Calend 01'!H79-('V06 Calend 01'!I79*('V06 Calend 01'!E79-1))),'V06 Calend 01'!I79),0))+IF((25='V06 Calend 01'!D79),'V06 Calend 01'!J79,0))</f>
        <v>94394.62</v>
      </c>
      <c r="AL79" s="2">
        <f>((IF((26='V06 Calend 01'!C79),('V06 Calend 01'!F79+'V06 Calend 01'!G79),0)+IF(AND(('V06 Calend 01'!E79&gt;0),(26&gt;'V06 Calend 01'!C79),(26&lt;'V06 Calend 01'!D79),(MOD((26-'V06 Calend 01'!C79),6)=0),(((26-'V06 Calend 01'!C79)/6)&lt;='V06 Calend 01'!E79)),IF((26=('V06 Calend 01'!C79+(6*'V06 Calend 01'!E79))),('V06 Calend 01'!H79-('V06 Calend 01'!I79*('V06 Calend 01'!E79-1))),'V06 Calend 01'!I79),0))+IF((26='V06 Calend 01'!D79),'V06 Calend 01'!J79,0))</f>
        <v>0</v>
      </c>
      <c r="AM79" s="2">
        <f>((IF((27='V06 Calend 01'!C79),('V06 Calend 01'!F79+'V06 Calend 01'!G79),0)+IF(AND(('V06 Calend 01'!E79&gt;0),(27&gt;'V06 Calend 01'!C79),(27&lt;'V06 Calend 01'!D79),(MOD((27-'V06 Calend 01'!C79),6)=0),(((27-'V06 Calend 01'!C79)/6)&lt;='V06 Calend 01'!E79)),IF((27=('V06 Calend 01'!C79+(6*'V06 Calend 01'!E79))),('V06 Calend 01'!H79-('V06 Calend 01'!I79*('V06 Calend 01'!E79-1))),'V06 Calend 01'!I79),0))+IF((27='V06 Calend 01'!D79),'V06 Calend 01'!J79,0))</f>
        <v>0</v>
      </c>
      <c r="AN79" s="2">
        <f>((IF((28='V06 Calend 01'!C79),('V06 Calend 01'!F79+'V06 Calend 01'!G79),0)+IF(AND(('V06 Calend 01'!E79&gt;0),(28&gt;'V06 Calend 01'!C79),(28&lt;'V06 Calend 01'!D79),(MOD((28-'V06 Calend 01'!C79),6)=0),(((28-'V06 Calend 01'!C79)/6)&lt;='V06 Calend 01'!E79)),IF((28=('V06 Calend 01'!C79+(6*'V06 Calend 01'!E79))),('V06 Calend 01'!H79-('V06 Calend 01'!I79*('V06 Calend 01'!E79-1))),'V06 Calend 01'!I79),0))+IF((28='V06 Calend 01'!D79),'V06 Calend 01'!J79,0))</f>
        <v>0</v>
      </c>
      <c r="AO79" s="2">
        <f>((IF((29='V06 Calend 01'!C79),('V06 Calend 01'!F79+'V06 Calend 01'!G79),0)+IF(AND(('V06 Calend 01'!E79&gt;0),(29&gt;'V06 Calend 01'!C79),(29&lt;'V06 Calend 01'!D79),(MOD((29-'V06 Calend 01'!C79),6)=0),(((29-'V06 Calend 01'!C79)/6)&lt;='V06 Calend 01'!E79)),IF((29=('V06 Calend 01'!C79+(6*'V06 Calend 01'!E79))),('V06 Calend 01'!H79-('V06 Calend 01'!I79*('V06 Calend 01'!E79-1))),'V06 Calend 01'!I79),0))+IF((29='V06 Calend 01'!D79),'V06 Calend 01'!J79,0))</f>
        <v>0</v>
      </c>
      <c r="AP79" s="2">
        <f>((IF((30='V06 Calend 01'!C79),('V06 Calend 01'!F79+'V06 Calend 01'!G79),0)+IF(AND(('V06 Calend 01'!E79&gt;0),(30&gt;'V06 Calend 01'!C79),(30&lt;'V06 Calend 01'!D79),(MOD((30-'V06 Calend 01'!C79),6)=0),(((30-'V06 Calend 01'!C79)/6)&lt;='V06 Calend 01'!E79)),IF((30=('V06 Calend 01'!C79+(6*'V06 Calend 01'!E79))),('V06 Calend 01'!H79-('V06 Calend 01'!I79*('V06 Calend 01'!E79-1))),'V06 Calend 01'!I79),0))+IF((30='V06 Calend 01'!D79),'V06 Calend 01'!J79,0))</f>
        <v>137301.27000000002</v>
      </c>
      <c r="AQ79" s="2">
        <f>((IF((31='V06 Calend 01'!C79),('V06 Calend 01'!F79+'V06 Calend 01'!G79),0)+IF(AND(('V06 Calend 01'!E79&gt;0),(31&gt;'V06 Calend 01'!C79),(31&lt;'V06 Calend 01'!D79),(MOD((31-'V06 Calend 01'!C79),6)=0),(((31-'V06 Calend 01'!C79)/6)&lt;='V06 Calend 01'!E79)),IF((31=('V06 Calend 01'!C79+(6*'V06 Calend 01'!E79))),('V06 Calend 01'!H79-('V06 Calend 01'!I79*('V06 Calend 01'!E79-1))),'V06 Calend 01'!I79),0))+IF((31='V06 Calend 01'!D79),'V06 Calend 01'!J79,0))</f>
        <v>0</v>
      </c>
      <c r="AR79" s="2">
        <f>((IF((32='V06 Calend 01'!C79),('V06 Calend 01'!F79+'V06 Calend 01'!G79),0)+IF(AND(('V06 Calend 01'!E79&gt;0),(32&gt;'V06 Calend 01'!C79),(32&lt;'V06 Calend 01'!D79),(MOD((32-'V06 Calend 01'!C79),6)=0),(((32-'V06 Calend 01'!C79)/6)&lt;='V06 Calend 01'!E79)),IF((32=('V06 Calend 01'!C79+(6*'V06 Calend 01'!E79))),('V06 Calend 01'!H79-('V06 Calend 01'!I79*('V06 Calend 01'!E79-1))),'V06 Calend 01'!I79),0))+IF((32='V06 Calend 01'!D79),'V06 Calend 01'!J79,0))</f>
        <v>0</v>
      </c>
      <c r="AS79" s="2">
        <f>((IF((33='V06 Calend 01'!C79),('V06 Calend 01'!F79+'V06 Calend 01'!G79),0)+IF(AND(('V06 Calend 01'!E79&gt;0),(33&gt;'V06 Calend 01'!C79),(33&lt;'V06 Calend 01'!D79),(MOD((33-'V06 Calend 01'!C79),6)=0),(((33-'V06 Calend 01'!C79)/6)&lt;='V06 Calend 01'!E79)),IF((33=('V06 Calend 01'!C79+(6*'V06 Calend 01'!E79))),('V06 Calend 01'!H79-('V06 Calend 01'!I79*('V06 Calend 01'!E79-1))),'V06 Calend 01'!I79),0))+IF((33='V06 Calend 01'!D79),'V06 Calend 01'!J79,0))</f>
        <v>0</v>
      </c>
      <c r="AT79" s="2">
        <f>((IF((34='V06 Calend 01'!C79),('V06 Calend 01'!F79+'V06 Calend 01'!G79),0)+IF(AND(('V06 Calend 01'!E79&gt;0),(34&gt;'V06 Calend 01'!C79),(34&lt;'V06 Calend 01'!D79),(MOD((34-'V06 Calend 01'!C79),6)=0),(((34-'V06 Calend 01'!C79)/6)&lt;='V06 Calend 01'!E79)),IF((34=('V06 Calend 01'!C79+(6*'V06 Calend 01'!E79))),('V06 Calend 01'!H79-('V06 Calend 01'!I79*('V06 Calend 01'!E79-1))),'V06 Calend 01'!I79),0))+IF((34='V06 Calend 01'!D79),'V06 Calend 01'!J79,0))</f>
        <v>0</v>
      </c>
      <c r="AU79" s="2">
        <f>((IF((35='V06 Calend 01'!C79),('V06 Calend 01'!F79+'V06 Calend 01'!G79),0)+IF(AND(('V06 Calend 01'!E79&gt;0),(35&gt;'V06 Calend 01'!C79),(35&lt;'V06 Calend 01'!D79),(MOD((35-'V06 Calend 01'!C79),6)=0),(((35-'V06 Calend 01'!C79)/6)&lt;='V06 Calend 01'!E79)),IF((35=('V06 Calend 01'!C79+(6*'V06 Calend 01'!E79))),('V06 Calend 01'!H79-('V06 Calend 01'!I79*('V06 Calend 01'!E79-1))),'V06 Calend 01'!I79),0))+IF((35='V06 Calend 01'!D79),'V06 Calend 01'!J79,0))</f>
        <v>0</v>
      </c>
      <c r="AV79" s="2">
        <f>((IF((36='V06 Calend 01'!C79),('V06 Calend 01'!F79+'V06 Calend 01'!G79),0)+IF(AND(('V06 Calend 01'!E79&gt;0),(36&gt;'V06 Calend 01'!C79),(36&lt;'V06 Calend 01'!D79),(MOD((36-'V06 Calend 01'!C79),6)=0),(((36-'V06 Calend 01'!C79)/6)&lt;='V06 Calend 01'!E79)),IF((36=('V06 Calend 01'!C79+(6*'V06 Calend 01'!E79))),('V06 Calend 01'!H79-('V06 Calend 01'!I79*('V06 Calend 01'!E79-1))),'V06 Calend 01'!I79),0))+IF((36='V06 Calend 01'!D79),'V06 Calend 01'!J79,0))</f>
        <v>0</v>
      </c>
      <c r="AW79" s="2">
        <f>((IF((37='V06 Calend 01'!C79),('V06 Calend 01'!F79+'V06 Calend 01'!G79),0)+IF(AND(('V06 Calend 01'!E79&gt;0),(37&gt;'V06 Calend 01'!C79),(37&lt;'V06 Calend 01'!D79),(MOD((37-'V06 Calend 01'!C79),6)=0),(((37-'V06 Calend 01'!C79)/6)&lt;='V06 Calend 01'!E79)),IF((37=('V06 Calend 01'!C79+(6*'V06 Calend 01'!E79))),('V06 Calend 01'!H79-('V06 Calend 01'!I79*('V06 Calend 01'!E79-1))),'V06 Calend 01'!I79),0))+IF((37='V06 Calend 01'!D79),'V06 Calend 01'!J79,0))</f>
        <v>0</v>
      </c>
      <c r="AX79" s="2">
        <f>((IF((38='V06 Calend 01'!C79),('V06 Calend 01'!F79+'V06 Calend 01'!G79),0)+IF(AND(('V06 Calend 01'!E79&gt;0),(38&gt;'V06 Calend 01'!C79),(38&lt;'V06 Calend 01'!D79),(MOD((38-'V06 Calend 01'!C79),6)=0),(((38-'V06 Calend 01'!C79)/6)&lt;='V06 Calend 01'!E79)),IF((38=('V06 Calend 01'!C79+(6*'V06 Calend 01'!E79))),('V06 Calend 01'!H79-('V06 Calend 01'!I79*('V06 Calend 01'!E79-1))),'V06 Calend 01'!I79),0))+IF((38='V06 Calend 01'!D79),'V06 Calend 01'!J79,0))</f>
        <v>0</v>
      </c>
      <c r="AY79" s="2">
        <f>((IF((39='V06 Calend 01'!C79),('V06 Calend 01'!F79+'V06 Calend 01'!G79),0)+IF(AND(('V06 Calend 01'!E79&gt;0),(39&gt;'V06 Calend 01'!C79),(39&lt;'V06 Calend 01'!D79),(MOD((39-'V06 Calend 01'!C79),6)=0),(((39-'V06 Calend 01'!C79)/6)&lt;='V06 Calend 01'!E79)),IF((39=('V06 Calend 01'!C79+(6*'V06 Calend 01'!E79))),('V06 Calend 01'!H79-('V06 Calend 01'!I79*('V06 Calend 01'!E79-1))),'V06 Calend 01'!I79),0))+IF((39='V06 Calend 01'!D79),'V06 Calend 01'!J79,0))</f>
        <v>0</v>
      </c>
      <c r="AZ79" s="2">
        <f>((IF((40='V06 Calend 01'!C79),('V06 Calend 01'!F79+'V06 Calend 01'!G79),0)+IF(AND(('V06 Calend 01'!E79&gt;0),(40&gt;'V06 Calend 01'!C79),(40&lt;'V06 Calend 01'!D79),(MOD((40-'V06 Calend 01'!C79),6)=0),(((40-'V06 Calend 01'!C79)/6)&lt;='V06 Calend 01'!E79)),IF((40=('V06 Calend 01'!C79+(6*'V06 Calend 01'!E79))),('V06 Calend 01'!H79-('V06 Calend 01'!I79*('V06 Calend 01'!E79-1))),'V06 Calend 01'!I79),0))+IF((40='V06 Calend 01'!D79),'V06 Calend 01'!J79,0))</f>
        <v>0</v>
      </c>
      <c r="BA79" s="2">
        <f>((IF((41='V06 Calend 01'!C79),('V06 Calend 01'!F79+'V06 Calend 01'!G79),0)+IF(AND(('V06 Calend 01'!E79&gt;0),(41&gt;'V06 Calend 01'!C79),(41&lt;'V06 Calend 01'!D79),(MOD((41-'V06 Calend 01'!C79),6)=0),(((41-'V06 Calend 01'!C79)/6)&lt;='V06 Calend 01'!E79)),IF((41=('V06 Calend 01'!C79+(6*'V06 Calend 01'!E79))),('V06 Calend 01'!H79-('V06 Calend 01'!I79*('V06 Calend 01'!E79-1))),'V06 Calend 01'!I79),0))+IF((41='V06 Calend 01'!D79),'V06 Calend 01'!J79,0))</f>
        <v>0</v>
      </c>
      <c r="BB79" s="2">
        <f>((IF((42='V06 Calend 01'!C79),('V06 Calend 01'!F79+'V06 Calend 01'!G79),0)+IF(AND(('V06 Calend 01'!E79&gt;0),(42&gt;'V06 Calend 01'!C79),(42&lt;'V06 Calend 01'!D79),(MOD((42-'V06 Calend 01'!C79),6)=0),(((42-'V06 Calend 01'!C79)/6)&lt;='V06 Calend 01'!E79)),IF((42=('V06 Calend 01'!C79+(6*'V06 Calend 01'!E79))),('V06 Calend 01'!H79-('V06 Calend 01'!I79*('V06 Calend 01'!E79-1))),'V06 Calend 01'!I79),0))+IF((42='V06 Calend 01'!D79),'V06 Calend 01'!J79,0))</f>
        <v>0</v>
      </c>
      <c r="BC79" s="2">
        <f>((IF((43='V06 Calend 01'!C79),('V06 Calend 01'!F79+'V06 Calend 01'!G79),0)+IF(AND(('V06 Calend 01'!E79&gt;0),(43&gt;'V06 Calend 01'!C79),(43&lt;'V06 Calend 01'!D79),(MOD((43-'V06 Calend 01'!C79),6)=0),(((43-'V06 Calend 01'!C79)/6)&lt;='V06 Calend 01'!E79)),IF((43=('V06 Calend 01'!C79+(6*'V06 Calend 01'!E79))),('V06 Calend 01'!H79-('V06 Calend 01'!I79*('V06 Calend 01'!E79-1))),'V06 Calend 01'!I79),0))+IF((43='V06 Calend 01'!D79),'V06 Calend 01'!J79,0))</f>
        <v>0</v>
      </c>
      <c r="BD79" s="2">
        <f>((IF((44='V06 Calend 01'!C79),('V06 Calend 01'!F79+'V06 Calend 01'!G79),0)+IF(AND(('V06 Calend 01'!E79&gt;0),(44&gt;'V06 Calend 01'!C79),(44&lt;'V06 Calend 01'!D79),(MOD((44-'V06 Calend 01'!C79),6)=0),(((44-'V06 Calend 01'!C79)/6)&lt;='V06 Calend 01'!E79)),IF((44=('V06 Calend 01'!C79+(6*'V06 Calend 01'!E79))),('V06 Calend 01'!H79-('V06 Calend 01'!I79*('V06 Calend 01'!E79-1))),'V06 Calend 01'!I79),0))+IF((44='V06 Calend 01'!D79),'V06 Calend 01'!J79,0))</f>
        <v>0</v>
      </c>
      <c r="BE79" s="2">
        <f>((IF((45='V06 Calend 01'!C79),('V06 Calend 01'!F79+'V06 Calend 01'!G79),0)+IF(AND(('V06 Calend 01'!E79&gt;0),(45&gt;'V06 Calend 01'!C79),(45&lt;'V06 Calend 01'!D79),(MOD((45-'V06 Calend 01'!C79),6)=0),(((45-'V06 Calend 01'!C79)/6)&lt;='V06 Calend 01'!E79)),IF((45=('V06 Calend 01'!C79+(6*'V06 Calend 01'!E79))),('V06 Calend 01'!H79-('V06 Calend 01'!I79*('V06 Calend 01'!E79-1))),'V06 Calend 01'!I79),0))+IF((45='V06 Calend 01'!D79),'V06 Calend 01'!J79,0))</f>
        <v>0</v>
      </c>
      <c r="BF79" s="2">
        <f>((IF((46='V06 Calend 01'!C79),('V06 Calend 01'!F79+'V06 Calend 01'!G79),0)+IF(AND(('V06 Calend 01'!E79&gt;0),(46&gt;'V06 Calend 01'!C79),(46&lt;'V06 Calend 01'!D79),(MOD((46-'V06 Calend 01'!C79),6)=0),(((46-'V06 Calend 01'!C79)/6)&lt;='V06 Calend 01'!E79)),IF((46=('V06 Calend 01'!C79+(6*'V06 Calend 01'!E79))),('V06 Calend 01'!H79-('V06 Calend 01'!I79*('V06 Calend 01'!E79-1))),'V06 Calend 01'!I79),0))+IF((46='V06 Calend 01'!D79),'V06 Calend 01'!J79,0))</f>
        <v>0</v>
      </c>
      <c r="BG79" s="2">
        <f>((IF((47='V06 Calend 01'!C79),('V06 Calend 01'!F79+'V06 Calend 01'!G79),0)+IF(AND(('V06 Calend 01'!E79&gt;0),(47&gt;'V06 Calend 01'!C79),(47&lt;'V06 Calend 01'!D79),(MOD((47-'V06 Calend 01'!C79),6)=0),(((47-'V06 Calend 01'!C79)/6)&lt;='V06 Calend 01'!E79)),IF((47=('V06 Calend 01'!C79+(6*'V06 Calend 01'!E79))),('V06 Calend 01'!H79-('V06 Calend 01'!I79*('V06 Calend 01'!E79-1))),'V06 Calend 01'!I79),0))+IF((47='V06 Calend 01'!D79),'V06 Calend 01'!J79,0))</f>
        <v>0</v>
      </c>
      <c r="BH79" s="2">
        <f>((IF((48='V06 Calend 01'!C79),('V06 Calend 01'!F79+'V06 Calend 01'!G79),0)+IF(AND(('V06 Calend 01'!E79&gt;0),(48&gt;'V06 Calend 01'!C79),(48&lt;'V06 Calend 01'!D79),(MOD((48-'V06 Calend 01'!C79),6)=0),(((48-'V06 Calend 01'!C79)/6)&lt;='V06 Calend 01'!E79)),IF((48=('V06 Calend 01'!C79+(6*'V06 Calend 01'!E79))),('V06 Calend 01'!H79-('V06 Calend 01'!I79*('V06 Calend 01'!E79-1))),'V06 Calend 01'!I79),0))+IF((48='V06 Calend 01'!D79),'V06 Calend 01'!J79,0))</f>
        <v>0</v>
      </c>
      <c r="BI79" s="2">
        <f>((IF((49='V06 Calend 01'!C79),('V06 Calend 01'!F79+'V06 Calend 01'!G79),0)+IF(AND(('V06 Calend 01'!E79&gt;0),(49&gt;'V06 Calend 01'!C79),(49&lt;'V06 Calend 01'!D79),(MOD((49-'V06 Calend 01'!C79),6)=0),(((49-'V06 Calend 01'!C79)/6)&lt;='V06 Calend 01'!E79)),IF((49=('V06 Calend 01'!C79+(6*'V06 Calend 01'!E79))),('V06 Calend 01'!H79-('V06 Calend 01'!I79*('V06 Calend 01'!E79-1))),'V06 Calend 01'!I79),0))+IF((49='V06 Calend 01'!D79),'V06 Calend 01'!J79,0))</f>
        <v>0</v>
      </c>
      <c r="BJ79" s="2">
        <f>((IF((50='V06 Calend 01'!C79),('V06 Calend 01'!F79+'V06 Calend 01'!G79),0)+IF(AND(('V06 Calend 01'!E79&gt;0),(50&gt;'V06 Calend 01'!C79),(50&lt;'V06 Calend 01'!D79),(MOD((50-'V06 Calend 01'!C79),6)=0),(((50-'V06 Calend 01'!C79)/6)&lt;='V06 Calend 01'!E79)),IF((50=('V06 Calend 01'!C79+(6*'V06 Calend 01'!E79))),('V06 Calend 01'!H79-('V06 Calend 01'!I79*('V06 Calend 01'!E79-1))),'V06 Calend 01'!I79),0))+IF((50='V06 Calend 01'!D79),'V06 Calend 01'!J79,0))</f>
        <v>0</v>
      </c>
      <c r="BK79" s="2">
        <f>((IF((51='V06 Calend 01'!C79),('V06 Calend 01'!F79+'V06 Calend 01'!G79),0)+IF(AND(('V06 Calend 01'!E79&gt;0),(51&gt;'V06 Calend 01'!C79),(51&lt;'V06 Calend 01'!D79),(MOD((51-'V06 Calend 01'!C79),6)=0),(((51-'V06 Calend 01'!C79)/6)&lt;='V06 Calend 01'!E79)),IF((51=('V06 Calend 01'!C79+(6*'V06 Calend 01'!E79))),('V06 Calend 01'!H79-('V06 Calend 01'!I79*('V06 Calend 01'!E79-1))),'V06 Calend 01'!I79),0))+IF((51='V06 Calend 01'!D79),'V06 Calend 01'!J79,0))</f>
        <v>0</v>
      </c>
      <c r="BL79" s="2">
        <f>((IF((52='V06 Calend 01'!C79),('V06 Calend 01'!F79+'V06 Calend 01'!G79),0)+IF(AND(('V06 Calend 01'!E79&gt;0),(52&gt;'V06 Calend 01'!C79),(52&lt;'V06 Calend 01'!D79),(MOD((52-'V06 Calend 01'!C79),6)=0),(((52-'V06 Calend 01'!C79)/6)&lt;='V06 Calend 01'!E79)),IF((52=('V06 Calend 01'!C79+(6*'V06 Calend 01'!E79))),('V06 Calend 01'!H79-('V06 Calend 01'!I79*('V06 Calend 01'!E79-1))),'V06 Calend 01'!I79),0))+IF((52='V06 Calend 01'!D79),'V06 Calend 01'!J79,0))</f>
        <v>0</v>
      </c>
      <c r="BM79" s="2">
        <f>((IF((53='V06 Calend 01'!C79),('V06 Calend 01'!F79+'V06 Calend 01'!G79),0)+IF(AND(('V06 Calend 01'!E79&gt;0),(53&gt;'V06 Calend 01'!C79),(53&lt;'V06 Calend 01'!D79),(MOD((53-'V06 Calend 01'!C79),6)=0),(((53-'V06 Calend 01'!C79)/6)&lt;='V06 Calend 01'!E79)),IF((53=('V06 Calend 01'!C79+(6*'V06 Calend 01'!E79))),('V06 Calend 01'!H79-('V06 Calend 01'!I79*('V06 Calend 01'!E79-1))),'V06 Calend 01'!I79),0))+IF((53='V06 Calend 01'!D79),'V06 Calend 01'!J79,0))</f>
        <v>0</v>
      </c>
      <c r="BN79" s="2">
        <f>((IF((54='V06 Calend 01'!C79),('V06 Calend 01'!F79+'V06 Calend 01'!G79),0)+IF(AND(('V06 Calend 01'!E79&gt;0),(54&gt;'V06 Calend 01'!C79),(54&lt;'V06 Calend 01'!D79),(MOD((54-'V06 Calend 01'!C79),6)=0),(((54-'V06 Calend 01'!C79)/6)&lt;='V06 Calend 01'!E79)),IF((54=('V06 Calend 01'!C79+(6*'V06 Calend 01'!E79))),('V06 Calend 01'!H79-('V06 Calend 01'!I79*('V06 Calend 01'!E79-1))),'V06 Calend 01'!I79),0))+IF((54='V06 Calend 01'!D79),'V06 Calend 01'!J79,0))</f>
        <v>0</v>
      </c>
      <c r="BO79" s="2">
        <f>((IF((55='V06 Calend 01'!C79),('V06 Calend 01'!F79+'V06 Calend 01'!G79),0)+IF(AND(('V06 Calend 01'!E79&gt;0),(55&gt;'V06 Calend 01'!C79),(55&lt;'V06 Calend 01'!D79),(MOD((55-'V06 Calend 01'!C79),6)=0),(((55-'V06 Calend 01'!C79)/6)&lt;='V06 Calend 01'!E79)),IF((55=('V06 Calend 01'!C79+(6*'V06 Calend 01'!E79))),('V06 Calend 01'!H79-('V06 Calend 01'!I79*('V06 Calend 01'!E79-1))),'V06 Calend 01'!I79),0))+IF((55='V06 Calend 01'!D79),'V06 Calend 01'!J79,0))</f>
        <v>0</v>
      </c>
      <c r="BP79" s="2">
        <f>((IF((56='V06 Calend 01'!C79),('V06 Calend 01'!F79+'V06 Calend 01'!G79),0)+IF(AND(('V06 Calend 01'!E79&gt;0),(56&gt;'V06 Calend 01'!C79),(56&lt;'V06 Calend 01'!D79),(MOD((56-'V06 Calend 01'!C79),6)=0),(((56-'V06 Calend 01'!C79)/6)&lt;='V06 Calend 01'!E79)),IF((56=('V06 Calend 01'!C79+(6*'V06 Calend 01'!E79))),('V06 Calend 01'!H79-('V06 Calend 01'!I79*('V06 Calend 01'!E79-1))),'V06 Calend 01'!I79),0))+IF((56='V06 Calend 01'!D79),'V06 Calend 01'!J79,0))</f>
        <v>0</v>
      </c>
      <c r="BQ79" s="2">
        <f>((IF((57='V06 Calend 01'!C79),('V06 Calend 01'!F79+'V06 Calend 01'!G79),0)+IF(AND(('V06 Calend 01'!E79&gt;0),(57&gt;'V06 Calend 01'!C79),(57&lt;'V06 Calend 01'!D79),(MOD((57-'V06 Calend 01'!C79),6)=0),(((57-'V06 Calend 01'!C79)/6)&lt;='V06 Calend 01'!E79)),IF((57=('V06 Calend 01'!C79+(6*'V06 Calend 01'!E79))),('V06 Calend 01'!H79-('V06 Calend 01'!I79*('V06 Calend 01'!E79-1))),'V06 Calend 01'!I79),0))+IF((57='V06 Calend 01'!D79),'V06 Calend 01'!J79,0))</f>
        <v>0</v>
      </c>
      <c r="BR79" s="2">
        <f>((IF((58='V06 Calend 01'!C79),('V06 Calend 01'!F79+'V06 Calend 01'!G79),0)+IF(AND(('V06 Calend 01'!E79&gt;0),(58&gt;'V06 Calend 01'!C79),(58&lt;'V06 Calend 01'!D79),(MOD((58-'V06 Calend 01'!C79),6)=0),(((58-'V06 Calend 01'!C79)/6)&lt;='V06 Calend 01'!E79)),IF((58=('V06 Calend 01'!C79+(6*'V06 Calend 01'!E79))),('V06 Calend 01'!H79-('V06 Calend 01'!I79*('V06 Calend 01'!E79-1))),'V06 Calend 01'!I79),0))+IF((58='V06 Calend 01'!D79),'V06 Calend 01'!J79,0))</f>
        <v>0</v>
      </c>
      <c r="BS79" s="2">
        <f>((IF((59='V06 Calend 01'!C79),('V06 Calend 01'!F79+'V06 Calend 01'!G79),0)+IF(AND(('V06 Calend 01'!E79&gt;0),(59&gt;'V06 Calend 01'!C79),(59&lt;'V06 Calend 01'!D79),(MOD((59-'V06 Calend 01'!C79),6)=0),(((59-'V06 Calend 01'!C79)/6)&lt;='V06 Calend 01'!E79)),IF((59=('V06 Calend 01'!C79+(6*'V06 Calend 01'!E79))),('V06 Calend 01'!H79-('V06 Calend 01'!I79*('V06 Calend 01'!E79-1))),'V06 Calend 01'!I79),0))+IF((59='V06 Calend 01'!D79),'V06 Calend 01'!J79,0))</f>
        <v>0</v>
      </c>
      <c r="BT79" s="2">
        <f>((IF((60='V06 Calend 01'!C79),('V06 Calend 01'!F79+'V06 Calend 01'!G79),0)+IF(AND(('V06 Calend 01'!E79&gt;0),(60&gt;'V06 Calend 01'!C79),(60&lt;'V06 Calend 01'!D79),(MOD((60-'V06 Calend 01'!C79),6)=0),(((60-'V06 Calend 01'!C79)/6)&lt;='V06 Calend 01'!E79)),IF((60=('V06 Calend 01'!C79+(6*'V06 Calend 01'!E79))),('V06 Calend 01'!H79-('V06 Calend 01'!I79*('V06 Calend 01'!E79-1))),'V06 Calend 01'!I79),0))+IF((60='V06 Calend 01'!D79),'V06 Calend 01'!J79,0))</f>
        <v>0</v>
      </c>
      <c r="BU79" s="2">
        <f>((IF((61='V06 Calend 01'!C79),('V06 Calend 01'!F79+'V06 Calend 01'!G79),0)+IF(AND(('V06 Calend 01'!E79&gt;0),(61&gt;'V06 Calend 01'!C79),(61&lt;'V06 Calend 01'!D79),(MOD((61-'V06 Calend 01'!C79),6)=0),(((61-'V06 Calend 01'!C79)/6)&lt;='V06 Calend 01'!E79)),IF((61=('V06 Calend 01'!C79+(6*'V06 Calend 01'!E79))),('V06 Calend 01'!H79-('V06 Calend 01'!I79*('V06 Calend 01'!E79-1))),'V06 Calend 01'!I79),0))+IF((61='V06 Calend 01'!D79),'V06 Calend 01'!J79,0))</f>
        <v>0</v>
      </c>
      <c r="BV79" s="2">
        <f>((IF((62='V06 Calend 01'!C79),('V06 Calend 01'!F79+'V06 Calend 01'!G79),0)+IF(AND(('V06 Calend 01'!E79&gt;0),(62&gt;'V06 Calend 01'!C79),(62&lt;'V06 Calend 01'!D79),(MOD((62-'V06 Calend 01'!C79),6)=0),(((62-'V06 Calend 01'!C79)/6)&lt;='V06 Calend 01'!E79)),IF((62=('V06 Calend 01'!C79+(6*'V06 Calend 01'!E79))),('V06 Calend 01'!H79-('V06 Calend 01'!I79*('V06 Calend 01'!E79-1))),'V06 Calend 01'!I79),0))+IF((62='V06 Calend 01'!D79),'V06 Calend 01'!J79,0))</f>
        <v>0</v>
      </c>
      <c r="BW79" s="2">
        <f>((IF((63='V06 Calend 01'!C79),('V06 Calend 01'!F79+'V06 Calend 01'!G79),0)+IF(AND(('V06 Calend 01'!E79&gt;0),(63&gt;'V06 Calend 01'!C79),(63&lt;'V06 Calend 01'!D79),(MOD((63-'V06 Calend 01'!C79),6)=0),(((63-'V06 Calend 01'!C79)/6)&lt;='V06 Calend 01'!E79)),IF((63=('V06 Calend 01'!C79+(6*'V06 Calend 01'!E79))),('V06 Calend 01'!H79-('V06 Calend 01'!I79*('V06 Calend 01'!E79-1))),'V06 Calend 01'!I79),0))+IF((63='V06 Calend 01'!D79),'V06 Calend 01'!J79,0))</f>
        <v>0</v>
      </c>
      <c r="BX79" s="2">
        <f>((IF((64='V06 Calend 01'!C79),('V06 Calend 01'!F79+'V06 Calend 01'!G79),0)+IF(AND(('V06 Calend 01'!E79&gt;0),(64&gt;'V06 Calend 01'!C79),(64&lt;'V06 Calend 01'!D79),(MOD((64-'V06 Calend 01'!C79),6)=0),(((64-'V06 Calend 01'!C79)/6)&lt;='V06 Calend 01'!E79)),IF((64=('V06 Calend 01'!C79+(6*'V06 Calend 01'!E79))),('V06 Calend 01'!H79-('V06 Calend 01'!I79*('V06 Calend 01'!E79-1))),'V06 Calend 01'!I79),0))+IF((64='V06 Calend 01'!D79),'V06 Calend 01'!J79,0))</f>
        <v>0</v>
      </c>
      <c r="BY79" s="2">
        <f>((IF((65='V06 Calend 01'!C79),('V06 Calend 01'!F79+'V06 Calend 01'!G79),0)+IF(AND(('V06 Calend 01'!E79&gt;0),(65&gt;'V06 Calend 01'!C79),(65&lt;'V06 Calend 01'!D79),(MOD((65-'V06 Calend 01'!C79),6)=0),(((65-'V06 Calend 01'!C79)/6)&lt;='V06 Calend 01'!E79)),IF((65=('V06 Calend 01'!C79+(6*'V06 Calend 01'!E79))),('V06 Calend 01'!H79-('V06 Calend 01'!I79*('V06 Calend 01'!E79-1))),'V06 Calend 01'!I79),0))+IF((65='V06 Calend 01'!D79),'V06 Calend 01'!J79,0))</f>
        <v>0</v>
      </c>
      <c r="BZ79" s="2">
        <f>((IF((66='V06 Calend 01'!C79),('V06 Calend 01'!F79+'V06 Calend 01'!G79),0)+IF(AND(('V06 Calend 01'!E79&gt;0),(66&gt;'V06 Calend 01'!C79),(66&lt;'V06 Calend 01'!D79),(MOD((66-'V06 Calend 01'!C79),6)=0),(((66-'V06 Calend 01'!C79)/6)&lt;='V06 Calend 01'!E79)),IF((66=('V06 Calend 01'!C79+(6*'V06 Calend 01'!E79))),('V06 Calend 01'!H79-('V06 Calend 01'!I79*('V06 Calend 01'!E79-1))),'V06 Calend 01'!I79),0))+IF((66='V06 Calend 01'!D79),'V06 Calend 01'!J79,0))</f>
        <v>0</v>
      </c>
      <c r="CA79" s="2">
        <f>((IF((67='V06 Calend 01'!C79),('V06 Calend 01'!F79+'V06 Calend 01'!G79),0)+IF(AND(('V06 Calend 01'!E79&gt;0),(67&gt;'V06 Calend 01'!C79),(67&lt;'V06 Calend 01'!D79),(MOD((67-'V06 Calend 01'!C79),6)=0),(((67-'V06 Calend 01'!C79)/6)&lt;='V06 Calend 01'!E79)),IF((67=('V06 Calend 01'!C79+(6*'V06 Calend 01'!E79))),('V06 Calend 01'!H79-('V06 Calend 01'!I79*('V06 Calend 01'!E79-1))),'V06 Calend 01'!I79),0))+IF((67='V06 Calend 01'!D79),'V06 Calend 01'!J79,0))</f>
        <v>0</v>
      </c>
      <c r="CB79" s="2">
        <f>((IF((68='V06 Calend 01'!C79),('V06 Calend 01'!F79+'V06 Calend 01'!G79),0)+IF(AND(('V06 Calend 01'!E79&gt;0),(68&gt;'V06 Calend 01'!C79),(68&lt;'V06 Calend 01'!D79),(MOD((68-'V06 Calend 01'!C79),6)=0),(((68-'V06 Calend 01'!C79)/6)&lt;='V06 Calend 01'!E79)),IF((68=('V06 Calend 01'!C79+(6*'V06 Calend 01'!E79))),('V06 Calend 01'!H79-('V06 Calend 01'!I79*('V06 Calend 01'!E79-1))),'V06 Calend 01'!I79),0))+IF((68='V06 Calend 01'!D79),'V06 Calend 01'!J79,0))</f>
        <v>0</v>
      </c>
      <c r="CC79" s="2">
        <f>((IF((69='V06 Calend 01'!C79),('V06 Calend 01'!F79+'V06 Calend 01'!G79),0)+IF(AND(('V06 Calend 01'!E79&gt;0),(69&gt;'V06 Calend 01'!C79),(69&lt;'V06 Calend 01'!D79),(MOD((69-'V06 Calend 01'!C79),6)=0),(((69-'V06 Calend 01'!C79)/6)&lt;='V06 Calend 01'!E79)),IF((69=('V06 Calend 01'!C79+(6*'V06 Calend 01'!E79))),('V06 Calend 01'!H79-('V06 Calend 01'!I79*('V06 Calend 01'!E79-1))),'V06 Calend 01'!I79),0))+IF((69='V06 Calend 01'!D79),'V06 Calend 01'!J79,0))</f>
        <v>0</v>
      </c>
      <c r="CD79" s="2">
        <f>((IF((70='V06 Calend 01'!C79),('V06 Calend 01'!F79+'V06 Calend 01'!G79),0)+IF(AND(('V06 Calend 01'!E79&gt;0),(70&gt;'V06 Calend 01'!C79),(70&lt;'V06 Calend 01'!D79),(MOD((70-'V06 Calend 01'!C79),6)=0),(((70-'V06 Calend 01'!C79)/6)&lt;='V06 Calend 01'!E79)),IF((70=('V06 Calend 01'!C79+(6*'V06 Calend 01'!E79))),('V06 Calend 01'!H79-('V06 Calend 01'!I79*('V06 Calend 01'!E79-1))),'V06 Calend 01'!I79),0))+IF((70='V06 Calend 01'!D79),'V06 Calend 01'!J79,0))</f>
        <v>0</v>
      </c>
      <c r="CE79" s="2">
        <f>((IF((71='V06 Calend 01'!C79),('V06 Calend 01'!F79+'V06 Calend 01'!G79),0)+IF(AND(('V06 Calend 01'!E79&gt;0),(71&gt;'V06 Calend 01'!C79),(71&lt;'V06 Calend 01'!D79),(MOD((71-'V06 Calend 01'!C79),6)=0),(((71-'V06 Calend 01'!C79)/6)&lt;='V06 Calend 01'!E79)),IF((71=('V06 Calend 01'!C79+(6*'V06 Calend 01'!E79))),('V06 Calend 01'!H79-('V06 Calend 01'!I79*('V06 Calend 01'!E79-1))),'V06 Calend 01'!I79),0))+IF((71='V06 Calend 01'!D79),'V06 Calend 01'!J79,0))</f>
        <v>0</v>
      </c>
      <c r="CF79" s="2">
        <f>((IF((72='V06 Calend 01'!C79),('V06 Calend 01'!F79+'V06 Calend 01'!G79),0)+IF(AND(('V06 Calend 01'!E79&gt;0),(72&gt;'V06 Calend 01'!C79),(72&lt;'V06 Calend 01'!D79),(MOD((72-'V06 Calend 01'!C79),6)=0),(((72-'V06 Calend 01'!C79)/6)&lt;='V06 Calend 01'!E79)),IF((72=('V06 Calend 01'!C79+(6*'V06 Calend 01'!E79))),('V06 Calend 01'!H79-('V06 Calend 01'!I79*('V06 Calend 01'!E79-1))),'V06 Calend 01'!I79),0))+IF((72='V06 Calend 01'!D79),'V06 Calend 01'!J79,0))</f>
        <v>0</v>
      </c>
      <c r="CG79" s="2">
        <f>((IF((73='V06 Calend 01'!C79),('V06 Calend 01'!F79+'V06 Calend 01'!G79),0)+IF(AND(('V06 Calend 01'!E79&gt;0),(73&gt;'V06 Calend 01'!C79),(73&lt;'V06 Calend 01'!D79),(MOD((73-'V06 Calend 01'!C79),6)=0),(((73-'V06 Calend 01'!C79)/6)&lt;='V06 Calend 01'!E79)),IF((73=('V06 Calend 01'!C79+(6*'V06 Calend 01'!E79))),('V06 Calend 01'!H79-('V06 Calend 01'!I79*('V06 Calend 01'!E79-1))),'V06 Calend 01'!I79),0))+IF((73='V06 Calend 01'!D79),'V06 Calend 01'!J79,0))</f>
        <v>0</v>
      </c>
      <c r="CH79" s="2">
        <f>((IF((74='V06 Calend 01'!C79),('V06 Calend 01'!F79+'V06 Calend 01'!G79),0)+IF(AND(('V06 Calend 01'!E79&gt;0),(74&gt;'V06 Calend 01'!C79),(74&lt;'V06 Calend 01'!D79),(MOD((74-'V06 Calend 01'!C79),6)=0),(((74-'V06 Calend 01'!C79)/6)&lt;='V06 Calend 01'!E79)),IF((74=('V06 Calend 01'!C79+(6*'V06 Calend 01'!E79))),('V06 Calend 01'!H79-('V06 Calend 01'!I79*('V06 Calend 01'!E79-1))),'V06 Calend 01'!I79),0))+IF((74='V06 Calend 01'!D79),'V06 Calend 01'!J79,0))</f>
        <v>0</v>
      </c>
      <c r="CI79" s="2">
        <f>((IF((75='V06 Calend 01'!C79),('V06 Calend 01'!F79+'V06 Calend 01'!G79),0)+IF(AND(('V06 Calend 01'!E79&gt;0),(75&gt;'V06 Calend 01'!C79),(75&lt;'V06 Calend 01'!D79),(MOD((75-'V06 Calend 01'!C79),6)=0),(((75-'V06 Calend 01'!C79)/6)&lt;='V06 Calend 01'!E79)),IF((75=('V06 Calend 01'!C79+(6*'V06 Calend 01'!E79))),('V06 Calend 01'!H79-('V06 Calend 01'!I79*('V06 Calend 01'!E79-1))),'V06 Calend 01'!I79),0))+IF((75='V06 Calend 01'!D79),'V06 Calend 01'!J79,0))</f>
        <v>0</v>
      </c>
      <c r="CJ79" s="2">
        <f>((IF((76='V06 Calend 01'!C79),('V06 Calend 01'!F79+'V06 Calend 01'!G79),0)+IF(AND(('V06 Calend 01'!E79&gt;0),(76&gt;'V06 Calend 01'!C79),(76&lt;'V06 Calend 01'!D79),(MOD((76-'V06 Calend 01'!C79),6)=0),(((76-'V06 Calend 01'!C79)/6)&lt;='V06 Calend 01'!E79)),IF((76=('V06 Calend 01'!C79+(6*'V06 Calend 01'!E79))),('V06 Calend 01'!H79-('V06 Calend 01'!I79*('V06 Calend 01'!E79-1))),'V06 Calend 01'!I79),0))+IF((76='V06 Calend 01'!D79),'V06 Calend 01'!J79,0))</f>
        <v>0</v>
      </c>
      <c r="CK79" s="2">
        <f>((IF((77='V06 Calend 01'!C79),('V06 Calend 01'!F79+'V06 Calend 01'!G79),0)+IF(AND(('V06 Calend 01'!E79&gt;0),(77&gt;'V06 Calend 01'!C79),(77&lt;'V06 Calend 01'!D79),(MOD((77-'V06 Calend 01'!C79),6)=0),(((77-'V06 Calend 01'!C79)/6)&lt;='V06 Calend 01'!E79)),IF((77=('V06 Calend 01'!C79+(6*'V06 Calend 01'!E79))),('V06 Calend 01'!H79-('V06 Calend 01'!I79*('V06 Calend 01'!E79-1))),'V06 Calend 01'!I79),0))+IF((77='V06 Calend 01'!D79),'V06 Calend 01'!J79,0))</f>
        <v>0</v>
      </c>
      <c r="CL79" s="2">
        <f>((IF((78='V06 Calend 01'!C79),('V06 Calend 01'!F79+'V06 Calend 01'!G79),0)+IF(AND(('V06 Calend 01'!E79&gt;0),(78&gt;'V06 Calend 01'!C79),(78&lt;'V06 Calend 01'!D79),(MOD((78-'V06 Calend 01'!C79),6)=0),(((78-'V06 Calend 01'!C79)/6)&lt;='V06 Calend 01'!E79)),IF((78=('V06 Calend 01'!C79+(6*'V06 Calend 01'!E79))),('V06 Calend 01'!H79-('V06 Calend 01'!I79*('V06 Calend 01'!E79-1))),'V06 Calend 01'!I79),0))+IF((78='V06 Calend 01'!D79),'V06 Calend 01'!J79,0))</f>
        <v>0</v>
      </c>
      <c r="CM79" s="2">
        <f>((IF((79='V06 Calend 01'!C79),('V06 Calend 01'!F79+'V06 Calend 01'!G79),0)+IF(AND(('V06 Calend 01'!E79&gt;0),(79&gt;'V06 Calend 01'!C79),(79&lt;'V06 Calend 01'!D79),(MOD((79-'V06 Calend 01'!C79),6)=0),(((79-'V06 Calend 01'!C79)/6)&lt;='V06 Calend 01'!E79)),IF((79=('V06 Calend 01'!C79+(6*'V06 Calend 01'!E79))),('V06 Calend 01'!H79-('V06 Calend 01'!I79*('V06 Calend 01'!E79-1))),'V06 Calend 01'!I79),0))+IF((79='V06 Calend 01'!D79),'V06 Calend 01'!J79,0))</f>
        <v>0</v>
      </c>
      <c r="CN79" s="2">
        <f>((IF((80='V06 Calend 01'!C79),('V06 Calend 01'!F79+'V06 Calend 01'!G79),0)+IF(AND(('V06 Calend 01'!E79&gt;0),(80&gt;'V06 Calend 01'!C79),(80&lt;'V06 Calend 01'!D79),(MOD((80-'V06 Calend 01'!C79),6)=0),(((80-'V06 Calend 01'!C79)/6)&lt;='V06 Calend 01'!E79)),IF((80=('V06 Calend 01'!C79+(6*'V06 Calend 01'!E79))),('V06 Calend 01'!H79-('V06 Calend 01'!I79*('V06 Calend 01'!E79-1))),'V06 Calend 01'!I79),0))+IF((80='V06 Calend 01'!D79),'V06 Calend 01'!J79,0))</f>
        <v>0</v>
      </c>
      <c r="CO79" s="2">
        <f>((IF((81='V06 Calend 01'!C79),('V06 Calend 01'!F79+'V06 Calend 01'!G79),0)+IF(AND(('V06 Calend 01'!E79&gt;0),(81&gt;'V06 Calend 01'!C79),(81&lt;'V06 Calend 01'!D79),(MOD((81-'V06 Calend 01'!C79),6)=0),(((81-'V06 Calend 01'!C79)/6)&lt;='V06 Calend 01'!E79)),IF((81=('V06 Calend 01'!C79+(6*'V06 Calend 01'!E79))),('V06 Calend 01'!H79-('V06 Calend 01'!I79*('V06 Calend 01'!E79-1))),'V06 Calend 01'!I79),0))+IF((81='V06 Calend 01'!D79),'V06 Calend 01'!J79,0))</f>
        <v>0</v>
      </c>
      <c r="CP79" s="2">
        <f>((IF((82='V06 Calend 01'!C79),('V06 Calend 01'!F79+'V06 Calend 01'!G79),0)+IF(AND(('V06 Calend 01'!E79&gt;0),(82&gt;'V06 Calend 01'!C79),(82&lt;'V06 Calend 01'!D79),(MOD((82-'V06 Calend 01'!C79),6)=0),(((82-'V06 Calend 01'!C79)/6)&lt;='V06 Calend 01'!E79)),IF((82=('V06 Calend 01'!C79+(6*'V06 Calend 01'!E79))),('V06 Calend 01'!H79-('V06 Calend 01'!I79*('V06 Calend 01'!E79-1))),'V06 Calend 01'!I79),0))+IF((82='V06 Calend 01'!D79),'V06 Calend 01'!J79,0))</f>
        <v>0</v>
      </c>
      <c r="CQ79" s="2">
        <f>((IF((83='V06 Calend 01'!C79),('V06 Calend 01'!F79+'V06 Calend 01'!G79),0)+IF(AND(('V06 Calend 01'!E79&gt;0),(83&gt;'V06 Calend 01'!C79),(83&lt;'V06 Calend 01'!D79),(MOD((83-'V06 Calend 01'!C79),6)=0),(((83-'V06 Calend 01'!C79)/6)&lt;='V06 Calend 01'!E79)),IF((83=('V06 Calend 01'!C79+(6*'V06 Calend 01'!E79))),('V06 Calend 01'!H79-('V06 Calend 01'!I79*('V06 Calend 01'!E79-1))),'V06 Calend 01'!I79),0))+IF((83='V06 Calend 01'!D79),'V06 Calend 01'!J79,0))</f>
        <v>0</v>
      </c>
      <c r="CR79" s="2">
        <f>((IF((84='V06 Calend 01'!C79),('V06 Calend 01'!F79+'V06 Calend 01'!G79),0)+IF(AND(('V06 Calend 01'!E79&gt;0),(84&gt;'V06 Calend 01'!C79),(84&lt;'V06 Calend 01'!D79),(MOD((84-'V06 Calend 01'!C79),6)=0),(((84-'V06 Calend 01'!C79)/6)&lt;='V06 Calend 01'!E79)),IF((84=('V06 Calend 01'!C79+(6*'V06 Calend 01'!E79))),('V06 Calend 01'!H79-('V06 Calend 01'!I79*('V06 Calend 01'!E79-1))),'V06 Calend 01'!I79),0))+IF((84='V06 Calend 01'!D79),'V06 Calend 01'!J79,0))</f>
        <v>0</v>
      </c>
      <c r="CS79" s="2">
        <f>((IF((85='V06 Calend 01'!C79),('V06 Calend 01'!F79+'V06 Calend 01'!G79),0)+IF(AND(('V06 Calend 01'!E79&gt;0),(85&gt;'V06 Calend 01'!C79),(85&lt;'V06 Calend 01'!D79),(MOD((85-'V06 Calend 01'!C79),6)=0),(((85-'V06 Calend 01'!C79)/6)&lt;='V06 Calend 01'!E79)),IF((85=('V06 Calend 01'!C79+(6*'V06 Calend 01'!E79))),('V06 Calend 01'!H79-('V06 Calend 01'!I79*('V06 Calend 01'!E79-1))),'V06 Calend 01'!I79),0))+IF((85='V06 Calend 01'!D79),'V06 Calend 01'!J79,0))</f>
        <v>0</v>
      </c>
      <c r="CT79" s="2">
        <f>((IF((86='V06 Calend 01'!C79),('V06 Calend 01'!F79+'V06 Calend 01'!G79),0)+IF(AND(('V06 Calend 01'!E79&gt;0),(86&gt;'V06 Calend 01'!C79),(86&lt;'V06 Calend 01'!D79),(MOD((86-'V06 Calend 01'!C79),6)=0),(((86-'V06 Calend 01'!C79)/6)&lt;='V06 Calend 01'!E79)),IF((86=('V06 Calend 01'!C79+(6*'V06 Calend 01'!E79))),('V06 Calend 01'!H79-('V06 Calend 01'!I79*('V06 Calend 01'!E79-1))),'V06 Calend 01'!I79),0))+IF((86='V06 Calend 01'!D79),'V06 Calend 01'!J79,0))</f>
        <v>0</v>
      </c>
      <c r="CU79" s="2">
        <f>((IF((87='V06 Calend 01'!C79),('V06 Calend 01'!F79+'V06 Calend 01'!G79),0)+IF(AND(('V06 Calend 01'!E79&gt;0),(87&gt;'V06 Calend 01'!C79),(87&lt;'V06 Calend 01'!D79),(MOD((87-'V06 Calend 01'!C79),6)=0),(((87-'V06 Calend 01'!C79)/6)&lt;='V06 Calend 01'!E79)),IF((87=('V06 Calend 01'!C79+(6*'V06 Calend 01'!E79))),('V06 Calend 01'!H79-('V06 Calend 01'!I79*('V06 Calend 01'!E79-1))),'V06 Calend 01'!I79),0))+IF((87='V06 Calend 01'!D79),'V06 Calend 01'!J79,0))</f>
        <v>0</v>
      </c>
      <c r="CV79" s="2">
        <f>((IF((88='V06 Calend 01'!C79),('V06 Calend 01'!F79+'V06 Calend 01'!G79),0)+IF(AND(('V06 Calend 01'!E79&gt;0),(88&gt;'V06 Calend 01'!C79),(88&lt;'V06 Calend 01'!D79),(MOD((88-'V06 Calend 01'!C79),6)=0),(((88-'V06 Calend 01'!C79)/6)&lt;='V06 Calend 01'!E79)),IF((88=('V06 Calend 01'!C79+(6*'V06 Calend 01'!E79))),('V06 Calend 01'!H79-('V06 Calend 01'!I79*('V06 Calend 01'!E79-1))),'V06 Calend 01'!I79),0))+IF((88='V06 Calend 01'!D79),'V06 Calend 01'!J79,0))</f>
        <v>0</v>
      </c>
      <c r="CW79" s="2">
        <f>((IF((89='V06 Calend 01'!C79),('V06 Calend 01'!F79+'V06 Calend 01'!G79),0)+IF(AND(('V06 Calend 01'!E79&gt;0),(89&gt;'V06 Calend 01'!C79),(89&lt;'V06 Calend 01'!D79),(MOD((89-'V06 Calend 01'!C79),6)=0),(((89-'V06 Calend 01'!C79)/6)&lt;='V06 Calend 01'!E79)),IF((89=('V06 Calend 01'!C79+(6*'V06 Calend 01'!E79))),('V06 Calend 01'!H79-('V06 Calend 01'!I79*('V06 Calend 01'!E79-1))),'V06 Calend 01'!I79),0))+IF((89='V06 Calend 01'!D79),'V06 Calend 01'!J79,0))</f>
        <v>0</v>
      </c>
      <c r="CX79" s="2">
        <f>((IF((90='V06 Calend 01'!C79),('V06 Calend 01'!F79+'V06 Calend 01'!G79),0)+IF(AND(('V06 Calend 01'!E79&gt;0),(90&gt;'V06 Calend 01'!C79),(90&lt;'V06 Calend 01'!D79),(MOD((90-'V06 Calend 01'!C79),6)=0),(((90-'V06 Calend 01'!C79)/6)&lt;='V06 Calend 01'!E79)),IF((90=('V06 Calend 01'!C79+(6*'V06 Calend 01'!E79))),('V06 Calend 01'!H79-('V06 Calend 01'!I79*('V06 Calend 01'!E79-1))),'V06 Calend 01'!I79),0))+IF((90='V06 Calend 01'!D79),'V06 Calend 01'!J79,0))</f>
        <v>0</v>
      </c>
      <c r="CY79" s="2">
        <f>((IF((91='V06 Calend 01'!C79),('V06 Calend 01'!F79+'V06 Calend 01'!G79),0)+IF(AND(('V06 Calend 01'!E79&gt;0),(91&gt;'V06 Calend 01'!C79),(91&lt;'V06 Calend 01'!D79),(MOD((91-'V06 Calend 01'!C79),6)=0),(((91-'V06 Calend 01'!C79)/6)&lt;='V06 Calend 01'!E79)),IF((91=('V06 Calend 01'!C79+(6*'V06 Calend 01'!E79))),('V06 Calend 01'!H79-('V06 Calend 01'!I79*('V06 Calend 01'!E79-1))),'V06 Calend 01'!I79),0))+IF((91='V06 Calend 01'!D79),'V06 Calend 01'!J79,0))</f>
        <v>0</v>
      </c>
      <c r="CZ79" s="2">
        <f>((IF((92='V06 Calend 01'!C79),('V06 Calend 01'!F79+'V06 Calend 01'!G79),0)+IF(AND(('V06 Calend 01'!E79&gt;0),(92&gt;'V06 Calend 01'!C79),(92&lt;'V06 Calend 01'!D79),(MOD((92-'V06 Calend 01'!C79),6)=0),(((92-'V06 Calend 01'!C79)/6)&lt;='V06 Calend 01'!E79)),IF((92=('V06 Calend 01'!C79+(6*'V06 Calend 01'!E79))),('V06 Calend 01'!H79-('V06 Calend 01'!I79*('V06 Calend 01'!E79-1))),'V06 Calend 01'!I79),0))+IF((92='V06 Calend 01'!D79),'V06 Calend 01'!J79,0))</f>
        <v>0</v>
      </c>
      <c r="DA79" s="2">
        <f>((IF((93='V06 Calend 01'!C79),('V06 Calend 01'!F79+'V06 Calend 01'!G79),0)+IF(AND(('V06 Calend 01'!E79&gt;0),(93&gt;'V06 Calend 01'!C79),(93&lt;'V06 Calend 01'!D79),(MOD((93-'V06 Calend 01'!C79),6)=0),(((93-'V06 Calend 01'!C79)/6)&lt;='V06 Calend 01'!E79)),IF((93=('V06 Calend 01'!C79+(6*'V06 Calend 01'!E79))),('V06 Calend 01'!H79-('V06 Calend 01'!I79*('V06 Calend 01'!E79-1))),'V06 Calend 01'!I79),0))+IF((93='V06 Calend 01'!D79),'V06 Calend 01'!J79,0))</f>
        <v>0</v>
      </c>
      <c r="DB79" s="2">
        <f>((IF((94='V06 Calend 01'!C79),('V06 Calend 01'!F79+'V06 Calend 01'!G79),0)+IF(AND(('V06 Calend 01'!E79&gt;0),(94&gt;'V06 Calend 01'!C79),(94&lt;'V06 Calend 01'!D79),(MOD((94-'V06 Calend 01'!C79),6)=0),(((94-'V06 Calend 01'!C79)/6)&lt;='V06 Calend 01'!E79)),IF((94=('V06 Calend 01'!C79+(6*'V06 Calend 01'!E79))),('V06 Calend 01'!H79-('V06 Calend 01'!I79*('V06 Calend 01'!E79-1))),'V06 Calend 01'!I79),0))+IF((94='V06 Calend 01'!D79),'V06 Calend 01'!J79,0))</f>
        <v>0</v>
      </c>
      <c r="DC79" s="2">
        <f>((IF((95='V06 Calend 01'!C79),('V06 Calend 01'!F79+'V06 Calend 01'!G79),0)+IF(AND(('V06 Calend 01'!E79&gt;0),(95&gt;'V06 Calend 01'!C79),(95&lt;'V06 Calend 01'!D79),(MOD((95-'V06 Calend 01'!C79),6)=0),(((95-'V06 Calend 01'!C79)/6)&lt;='V06 Calend 01'!E79)),IF((95=('V06 Calend 01'!C79+(6*'V06 Calend 01'!E79))),('V06 Calend 01'!H79-('V06 Calend 01'!I79*('V06 Calend 01'!E79-1))),'V06 Calend 01'!I79),0))+IF((95='V06 Calend 01'!D79),'V06 Calend 01'!J79,0))</f>
        <v>0</v>
      </c>
      <c r="DD79" s="2">
        <f>((IF((96='V06 Calend 01'!C79),('V06 Calend 01'!F79+'V06 Calend 01'!G79),0)+IF(AND(('V06 Calend 01'!E79&gt;0),(96&gt;'V06 Calend 01'!C79),(96&lt;'V06 Calend 01'!D79),(MOD((96-'V06 Calend 01'!C79),6)=0),(((96-'V06 Calend 01'!C79)/6)&lt;='V06 Calend 01'!E79)),IF((96=('V06 Calend 01'!C79+(6*'V06 Calend 01'!E79))),('V06 Calend 01'!H79-('V06 Calend 01'!I79*('V06 Calend 01'!E79-1))),'V06 Calend 01'!I79),0))+IF((96='V06 Calend 01'!D79),'V06 Calend 01'!J79,0))</f>
        <v>0</v>
      </c>
      <c r="DE79" s="2">
        <f>((IF((97='V06 Calend 01'!C79),('V06 Calend 01'!F79+'V06 Calend 01'!G79),0)+IF(AND(('V06 Calend 01'!E79&gt;0),(97&gt;'V06 Calend 01'!C79),(97&lt;'V06 Calend 01'!D79),(MOD((97-'V06 Calend 01'!C79),6)=0),(((97-'V06 Calend 01'!C79)/6)&lt;='V06 Calend 01'!E79)),IF((97=('V06 Calend 01'!C79+(6*'V06 Calend 01'!E79))),('V06 Calend 01'!H79-('V06 Calend 01'!I79*('V06 Calend 01'!E79-1))),'V06 Calend 01'!I79),0))+IF((97='V06 Calend 01'!D79),'V06 Calend 01'!J79,0))</f>
        <v>0</v>
      </c>
      <c r="DF79" s="2">
        <f>((IF((98='V06 Calend 01'!C79),('V06 Calend 01'!F79+'V06 Calend 01'!G79),0)+IF(AND(('V06 Calend 01'!E79&gt;0),(98&gt;'V06 Calend 01'!C79),(98&lt;'V06 Calend 01'!D79),(MOD((98-'V06 Calend 01'!C79),6)=0),(((98-'V06 Calend 01'!C79)/6)&lt;='V06 Calend 01'!E79)),IF((98=('V06 Calend 01'!C79+(6*'V06 Calend 01'!E79))),('V06 Calend 01'!H79-('V06 Calend 01'!I79*('V06 Calend 01'!E79-1))),'V06 Calend 01'!I79),0))+IF((98='V06 Calend 01'!D79),'V06 Calend 01'!J79,0))</f>
        <v>0</v>
      </c>
      <c r="DG79" s="2">
        <f>((IF((99='V06 Calend 01'!C79),('V06 Calend 01'!F79+'V06 Calend 01'!G79),0)+IF(AND(('V06 Calend 01'!E79&gt;0),(99&gt;'V06 Calend 01'!C79),(99&lt;'V06 Calend 01'!D79),(MOD((99-'V06 Calend 01'!C79),6)=0),(((99-'V06 Calend 01'!C79)/6)&lt;='V06 Calend 01'!E79)),IF((99=('V06 Calend 01'!C79+(6*'V06 Calend 01'!E79))),('V06 Calend 01'!H79-('V06 Calend 01'!I79*('V06 Calend 01'!E79-1))),'V06 Calend 01'!I79),0))+IF((99='V06 Calend 01'!D79),'V06 Calend 01'!J79,0))</f>
        <v>0</v>
      </c>
      <c r="DH79" s="2">
        <f>((IF((100='V06 Calend 01'!C79),('V06 Calend 01'!F79+'V06 Calend 01'!G79),0)+IF(AND(('V06 Calend 01'!E79&gt;0),(100&gt;'V06 Calend 01'!C79),(100&lt;'V06 Calend 01'!D79),(MOD((100-'V06 Calend 01'!C79),6)=0),(((100-'V06 Calend 01'!C79)/6)&lt;='V06 Calend 01'!E79)),IF((100=('V06 Calend 01'!C79+(6*'V06 Calend 01'!E79))),('V06 Calend 01'!H79-('V06 Calend 01'!I79*('V06 Calend 01'!E79-1))),'V06 Calend 01'!I79),0))+IF((100='V06 Calend 01'!D79),'V06 Calend 01'!J79,0))</f>
        <v>0</v>
      </c>
      <c r="DI79" s="2">
        <f>((IF((101='V06 Calend 01'!C79),('V06 Calend 01'!F79+'V06 Calend 01'!G79),0)+IF(AND(('V06 Calend 01'!E79&gt;0),(101&gt;'V06 Calend 01'!C79),(101&lt;'V06 Calend 01'!D79),(MOD((101-'V06 Calend 01'!C79),6)=0),(((101-'V06 Calend 01'!C79)/6)&lt;='V06 Calend 01'!E79)),IF((101=('V06 Calend 01'!C79+(6*'V06 Calend 01'!E79))),('V06 Calend 01'!H79-('V06 Calend 01'!I79*('V06 Calend 01'!E79-1))),'V06 Calend 01'!I79),0))+IF((101='V06 Calend 01'!D79),'V06 Calend 01'!J79,0))</f>
        <v>0</v>
      </c>
      <c r="DJ79" s="2">
        <f>((IF((102='V06 Calend 01'!C79),('V06 Calend 01'!F79+'V06 Calend 01'!G79),0)+IF(AND(('V06 Calend 01'!E79&gt;0),(102&gt;'V06 Calend 01'!C79),(102&lt;'V06 Calend 01'!D79),(MOD((102-'V06 Calend 01'!C79),6)=0),(((102-'V06 Calend 01'!C79)/6)&lt;='V06 Calend 01'!E79)),IF((102=('V06 Calend 01'!C79+(6*'V06 Calend 01'!E79))),('V06 Calend 01'!H79-('V06 Calend 01'!I79*('V06 Calend 01'!E79-1))),'V06 Calend 01'!I79),0))+IF((102='V06 Calend 01'!D79),'V06 Calend 01'!J79,0))</f>
        <v>0</v>
      </c>
      <c r="DK79" s="2">
        <f>((IF((103='V06 Calend 01'!C79),('V06 Calend 01'!F79+'V06 Calend 01'!G79),0)+IF(AND(('V06 Calend 01'!E79&gt;0),(103&gt;'V06 Calend 01'!C79),(103&lt;'V06 Calend 01'!D79),(MOD((103-'V06 Calend 01'!C79),6)=0),(((103-'V06 Calend 01'!C79)/6)&lt;='V06 Calend 01'!E79)),IF((103=('V06 Calend 01'!C79+(6*'V06 Calend 01'!E79))),('V06 Calend 01'!H79-('V06 Calend 01'!I79*('V06 Calend 01'!E79-1))),'V06 Calend 01'!I79),0))+IF((103='V06 Calend 01'!D79),'V06 Calend 01'!J79,0))</f>
        <v>0</v>
      </c>
      <c r="DL79" s="2">
        <f>((IF((104='V06 Calend 01'!C79),('V06 Calend 01'!F79+'V06 Calend 01'!G79),0)+IF(AND(('V06 Calend 01'!E79&gt;0),(104&gt;'V06 Calend 01'!C79),(104&lt;'V06 Calend 01'!D79),(MOD((104-'V06 Calend 01'!C79),6)=0),(((104-'V06 Calend 01'!C79)/6)&lt;='V06 Calend 01'!E79)),IF((104=('V06 Calend 01'!C79+(6*'V06 Calend 01'!E79))),('V06 Calend 01'!H79-('V06 Calend 01'!I79*('V06 Calend 01'!E79-1))),'V06 Calend 01'!I79),0))+IF((104='V06 Calend 01'!D79),'V06 Calend 01'!J79,0))</f>
        <v>0</v>
      </c>
      <c r="DM79" s="2">
        <f>((IF((105='V06 Calend 01'!C79),('V06 Calend 01'!F79+'V06 Calend 01'!G79),0)+IF(AND(('V06 Calend 01'!E79&gt;0),(105&gt;'V06 Calend 01'!C79),(105&lt;'V06 Calend 01'!D79),(MOD((105-'V06 Calend 01'!C79),6)=0),(((105-'V06 Calend 01'!C79)/6)&lt;='V06 Calend 01'!E79)),IF((105=('V06 Calend 01'!C79+(6*'V06 Calend 01'!E79))),('V06 Calend 01'!H79-('V06 Calend 01'!I79*('V06 Calend 01'!E79-1))),'V06 Calend 01'!I79),0))+IF((105='V06 Calend 01'!D79),'V06 Calend 01'!J79,0))</f>
        <v>0</v>
      </c>
      <c r="DN79" s="2">
        <f>((IF((106='V06 Calend 01'!C79),('V06 Calend 01'!F79+'V06 Calend 01'!G79),0)+IF(AND(('V06 Calend 01'!E79&gt;0),(106&gt;'V06 Calend 01'!C79),(106&lt;'V06 Calend 01'!D79),(MOD((106-'V06 Calend 01'!C79),6)=0),(((106-'V06 Calend 01'!C79)/6)&lt;='V06 Calend 01'!E79)),IF((106=('V06 Calend 01'!C79+(6*'V06 Calend 01'!E79))),('V06 Calend 01'!H79-('V06 Calend 01'!I79*('V06 Calend 01'!E79-1))),'V06 Calend 01'!I79),0))+IF((106='V06 Calend 01'!D79),'V06 Calend 01'!J79,0))</f>
        <v>0</v>
      </c>
      <c r="DO79" s="2">
        <f>((IF((107='V06 Calend 01'!C79),('V06 Calend 01'!F79+'V06 Calend 01'!G79),0)+IF(AND(('V06 Calend 01'!E79&gt;0),(107&gt;'V06 Calend 01'!C79),(107&lt;'V06 Calend 01'!D79),(MOD((107-'V06 Calend 01'!C79),6)=0),(((107-'V06 Calend 01'!C79)/6)&lt;='V06 Calend 01'!E79)),IF((107=('V06 Calend 01'!C79+(6*'V06 Calend 01'!E79))),('V06 Calend 01'!H79-('V06 Calend 01'!I79*('V06 Calend 01'!E79-1))),'V06 Calend 01'!I79),0))+IF((107='V06 Calend 01'!D79),'V06 Calend 01'!J79,0))</f>
        <v>0</v>
      </c>
      <c r="DP79" s="2">
        <f>((IF((108='V06 Calend 01'!C79),('V06 Calend 01'!F79+'V06 Calend 01'!G79),0)+IF(AND(('V06 Calend 01'!E79&gt;0),(108&gt;'V06 Calend 01'!C79),(108&lt;'V06 Calend 01'!D79),(MOD((108-'V06 Calend 01'!C79),6)=0),(((108-'V06 Calend 01'!C79)/6)&lt;='V06 Calend 01'!E79)),IF((108=('V06 Calend 01'!C79+(6*'V06 Calend 01'!E79))),('V06 Calend 01'!H79-('V06 Calend 01'!I79*('V06 Calend 01'!E79-1))),'V06 Calend 01'!I79),0))+IF((108='V06 Calend 01'!D79),'V06 Calend 01'!J79,0))</f>
        <v>0</v>
      </c>
      <c r="DQ79" s="2">
        <f>((IF((109='V06 Calend 01'!C79),('V06 Calend 01'!F79+'V06 Calend 01'!G79),0)+IF(AND(('V06 Calend 01'!E79&gt;0),(109&gt;'V06 Calend 01'!C79),(109&lt;'V06 Calend 01'!D79),(MOD((109-'V06 Calend 01'!C79),6)=0),(((109-'V06 Calend 01'!C79)/6)&lt;='V06 Calend 01'!E79)),IF((109=('V06 Calend 01'!C79+(6*'V06 Calend 01'!E79))),('V06 Calend 01'!H79-('V06 Calend 01'!I79*('V06 Calend 01'!E79-1))),'V06 Calend 01'!I79),0))+IF((109='V06 Calend 01'!D79),'V06 Calend 01'!J79,0))</f>
        <v>0</v>
      </c>
      <c r="DR79" s="2">
        <f>((IF((110='V06 Calend 01'!C79),('V06 Calend 01'!F79+'V06 Calend 01'!G79),0)+IF(AND(('V06 Calend 01'!E79&gt;0),(110&gt;'V06 Calend 01'!C79),(110&lt;'V06 Calend 01'!D79),(MOD((110-'V06 Calend 01'!C79),6)=0),(((110-'V06 Calend 01'!C79)/6)&lt;='V06 Calend 01'!E79)),IF((110=('V06 Calend 01'!C79+(6*'V06 Calend 01'!E79))),('V06 Calend 01'!H79-('V06 Calend 01'!I79*('V06 Calend 01'!E79-1))),'V06 Calend 01'!I79),0))+IF((110='V06 Calend 01'!D79),'V06 Calend 01'!J79,0))</f>
        <v>0</v>
      </c>
      <c r="DS79" s="2">
        <f>((IF((111='V06 Calend 01'!C79),('V06 Calend 01'!F79+'V06 Calend 01'!G79),0)+IF(AND(('V06 Calend 01'!E79&gt;0),(111&gt;'V06 Calend 01'!C79),(111&lt;'V06 Calend 01'!D79),(MOD((111-'V06 Calend 01'!C79),6)=0),(((111-'V06 Calend 01'!C79)/6)&lt;='V06 Calend 01'!E79)),IF((111=('V06 Calend 01'!C79+(6*'V06 Calend 01'!E79))),('V06 Calend 01'!H79-('V06 Calend 01'!I79*('V06 Calend 01'!E79-1))),'V06 Calend 01'!I79),0))+IF((111='V06 Calend 01'!D79),'V06 Calend 01'!J79,0))</f>
        <v>0</v>
      </c>
      <c r="DT79" s="2">
        <f>((IF((112='V06 Calend 01'!C79),('V06 Calend 01'!F79+'V06 Calend 01'!G79),0)+IF(AND(('V06 Calend 01'!E79&gt;0),(112&gt;'V06 Calend 01'!C79),(112&lt;'V06 Calend 01'!D79),(MOD((112-'V06 Calend 01'!C79),6)=0),(((112-'V06 Calend 01'!C79)/6)&lt;='V06 Calend 01'!E79)),IF((112=('V06 Calend 01'!C79+(6*'V06 Calend 01'!E79))),('V06 Calend 01'!H79-('V06 Calend 01'!I79*('V06 Calend 01'!E79-1))),'V06 Calend 01'!I79),0))+IF((112='V06 Calend 01'!D79),'V06 Calend 01'!J79,0))</f>
        <v>0</v>
      </c>
      <c r="DU79" s="2">
        <f>((IF((113='V06 Calend 01'!C79),('V06 Calend 01'!F79+'V06 Calend 01'!G79),0)+IF(AND(('V06 Calend 01'!E79&gt;0),(113&gt;'V06 Calend 01'!C79),(113&lt;'V06 Calend 01'!D79),(MOD((113-'V06 Calend 01'!C79),6)=0),(((113-'V06 Calend 01'!C79)/6)&lt;='V06 Calend 01'!E79)),IF((113=('V06 Calend 01'!C79+(6*'V06 Calend 01'!E79))),('V06 Calend 01'!H79-('V06 Calend 01'!I79*('V06 Calend 01'!E79-1))),'V06 Calend 01'!I79),0))+IF((113='V06 Calend 01'!D79),'V06 Calend 01'!J79,0))</f>
        <v>0</v>
      </c>
      <c r="DV79" s="2">
        <f>((IF((114='V06 Calend 01'!C79),('V06 Calend 01'!F79+'V06 Calend 01'!G79),0)+IF(AND(('V06 Calend 01'!E79&gt;0),(114&gt;'V06 Calend 01'!C79),(114&lt;'V06 Calend 01'!D79),(MOD((114-'V06 Calend 01'!C79),6)=0),(((114-'V06 Calend 01'!C79)/6)&lt;='V06 Calend 01'!E79)),IF((114=('V06 Calend 01'!C79+(6*'V06 Calend 01'!E79))),('V06 Calend 01'!H79-('V06 Calend 01'!I79*('V06 Calend 01'!E79-1))),'V06 Calend 01'!I79),0))+IF((114='V06 Calend 01'!D79),'V06 Calend 01'!J79,0))</f>
        <v>0</v>
      </c>
      <c r="DW79" s="2">
        <f>((IF((115='V06 Calend 01'!C79),('V06 Calend 01'!F79+'V06 Calend 01'!G79),0)+IF(AND(('V06 Calend 01'!E79&gt;0),(115&gt;'V06 Calend 01'!C79),(115&lt;'V06 Calend 01'!D79),(MOD((115-'V06 Calend 01'!C79),6)=0),(((115-'V06 Calend 01'!C79)/6)&lt;='V06 Calend 01'!E79)),IF((115=('V06 Calend 01'!C79+(6*'V06 Calend 01'!E79))),('V06 Calend 01'!H79-('V06 Calend 01'!I79*('V06 Calend 01'!E79-1))),'V06 Calend 01'!I79),0))+IF((115='V06 Calend 01'!D79),'V06 Calend 01'!J79,0))</f>
        <v>0</v>
      </c>
      <c r="DX79" s="2">
        <f>((IF((116='V06 Calend 01'!C79),('V06 Calend 01'!F79+'V06 Calend 01'!G79),0)+IF(AND(('V06 Calend 01'!E79&gt;0),(116&gt;'V06 Calend 01'!C79),(116&lt;'V06 Calend 01'!D79),(MOD((116-'V06 Calend 01'!C79),6)=0),(((116-'V06 Calend 01'!C79)/6)&lt;='V06 Calend 01'!E79)),IF((116=('V06 Calend 01'!C79+(6*'V06 Calend 01'!E79))),('V06 Calend 01'!H79-('V06 Calend 01'!I79*('V06 Calend 01'!E79-1))),'V06 Calend 01'!I79),0))+IF((116='V06 Calend 01'!D79),'V06 Calend 01'!J79,0))</f>
        <v>0</v>
      </c>
      <c r="DY79" s="2">
        <f>((IF((117='V06 Calend 01'!C79),('V06 Calend 01'!F79+'V06 Calend 01'!G79),0)+IF(AND(('V06 Calend 01'!E79&gt;0),(117&gt;'V06 Calend 01'!C79),(117&lt;'V06 Calend 01'!D79),(MOD((117-'V06 Calend 01'!C79),6)=0),(((117-'V06 Calend 01'!C79)/6)&lt;='V06 Calend 01'!E79)),IF((117=('V06 Calend 01'!C79+(6*'V06 Calend 01'!E79))),('V06 Calend 01'!H79-('V06 Calend 01'!I79*('V06 Calend 01'!E79-1))),'V06 Calend 01'!I79),0))+IF((117='V06 Calend 01'!D79),'V06 Calend 01'!J79,0))</f>
        <v>0</v>
      </c>
      <c r="DZ79" s="2">
        <f>((IF((118='V06 Calend 01'!C79),('V06 Calend 01'!F79+'V06 Calend 01'!G79),0)+IF(AND(('V06 Calend 01'!E79&gt;0),(118&gt;'V06 Calend 01'!C79),(118&lt;'V06 Calend 01'!D79),(MOD((118-'V06 Calend 01'!C79),6)=0),(((118-'V06 Calend 01'!C79)/6)&lt;='V06 Calend 01'!E79)),IF((118=('V06 Calend 01'!C79+(6*'V06 Calend 01'!E79))),('V06 Calend 01'!H79-('V06 Calend 01'!I79*('V06 Calend 01'!E79-1))),'V06 Calend 01'!I79),0))+IF((118='V06 Calend 01'!D79),'V06 Calend 01'!J79,0))</f>
        <v>0</v>
      </c>
      <c r="EA79" s="2">
        <f>((IF((119='V06 Calend 01'!C79),('V06 Calend 01'!F79+'V06 Calend 01'!G79),0)+IF(AND(('V06 Calend 01'!E79&gt;0),(119&gt;'V06 Calend 01'!C79),(119&lt;'V06 Calend 01'!D79),(MOD((119-'V06 Calend 01'!C79),6)=0),(((119-'V06 Calend 01'!C79)/6)&lt;='V06 Calend 01'!E79)),IF((119=('V06 Calend 01'!C79+(6*'V06 Calend 01'!E79))),('V06 Calend 01'!H79-('V06 Calend 01'!I79*('V06 Calend 01'!E79-1))),'V06 Calend 01'!I79),0))+IF((119='V06 Calend 01'!D79),'V06 Calend 01'!J79,0))</f>
        <v>0</v>
      </c>
      <c r="EB79" s="2">
        <f>((IF((120='V06 Calend 01'!C79),('V06 Calend 01'!F79+'V06 Calend 01'!G79),0)+IF(AND(('V06 Calend 01'!E79&gt;0),(120&gt;'V06 Calend 01'!C79),(120&lt;'V06 Calend 01'!D79),(MOD((120-'V06 Calend 01'!C79),6)=0),(((120-'V06 Calend 01'!C79)/6)&lt;='V06 Calend 01'!E79)),IF((120=('V06 Calend 01'!C79+(6*'V06 Calend 01'!E79))),('V06 Calend 01'!H79-('V06 Calend 01'!I79*('V06 Calend 01'!E79-1))),'V06 Calend 01'!I79),0))+IF((120='V06 Calend 01'!D79),'V06 Calend 01'!J79,0))</f>
        <v>0</v>
      </c>
      <c r="EC79" s="2">
        <f>((IF((121='V06 Calend 01'!C79),('V06 Calend 01'!F79+'V06 Calend 01'!G79),0)+IF(AND(('V06 Calend 01'!E79&gt;0),(121&gt;'V06 Calend 01'!C79),(121&lt;'V06 Calend 01'!D79),(MOD((121-'V06 Calend 01'!C79),6)=0),(((121-'V06 Calend 01'!C79)/6)&lt;='V06 Calend 01'!E79)),IF((121=('V06 Calend 01'!C79+(6*'V06 Calend 01'!E79))),('V06 Calend 01'!H79-('V06 Calend 01'!I79*('V06 Calend 01'!E79-1))),'V06 Calend 01'!I79),0))+IF((121='V06 Calend 01'!D79),'V06 Calend 01'!J79,0))</f>
        <v>0</v>
      </c>
      <c r="ED79" s="2">
        <f>((IF((122='V06 Calend 01'!C79),('V06 Calend 01'!F79+'V06 Calend 01'!G79),0)+IF(AND(('V06 Calend 01'!E79&gt;0),(122&gt;'V06 Calend 01'!C79),(122&lt;'V06 Calend 01'!D79),(MOD((122-'V06 Calend 01'!C79),6)=0),(((122-'V06 Calend 01'!C79)/6)&lt;='V06 Calend 01'!E79)),IF((122=('V06 Calend 01'!C79+(6*'V06 Calend 01'!E79))),('V06 Calend 01'!H79-('V06 Calend 01'!I79*('V06 Calend 01'!E79-1))),'V06 Calend 01'!I79),0))+IF((122='V06 Calend 01'!D79),'V06 Calend 01'!J79,0))</f>
        <v>0</v>
      </c>
      <c r="EE79" s="2">
        <f>((IF((123='V06 Calend 01'!C79),('V06 Calend 01'!F79+'V06 Calend 01'!G79),0)+IF(AND(('V06 Calend 01'!E79&gt;0),(123&gt;'V06 Calend 01'!C79),(123&lt;'V06 Calend 01'!D79),(MOD((123-'V06 Calend 01'!C79),6)=0),(((123-'V06 Calend 01'!C79)/6)&lt;='V06 Calend 01'!E79)),IF((123=('V06 Calend 01'!C79+(6*'V06 Calend 01'!E79))),('V06 Calend 01'!H79-('V06 Calend 01'!I79*('V06 Calend 01'!E79-1))),'V06 Calend 01'!I79),0))+IF((123='V06 Calend 01'!D79),'V06 Calend 01'!J79,0))</f>
        <v>0</v>
      </c>
      <c r="EF79" s="2">
        <f>((IF((124='V06 Calend 01'!C79),('V06 Calend 01'!F79+'V06 Calend 01'!G79),0)+IF(AND(('V06 Calend 01'!E79&gt;0),(124&gt;'V06 Calend 01'!C79),(124&lt;'V06 Calend 01'!D79),(MOD((124-'V06 Calend 01'!C79),6)=0),(((124-'V06 Calend 01'!C79)/6)&lt;='V06 Calend 01'!E79)),IF((124=('V06 Calend 01'!C79+(6*'V06 Calend 01'!E79))),('V06 Calend 01'!H79-('V06 Calend 01'!I79*('V06 Calend 01'!E79-1))),'V06 Calend 01'!I79),0))+IF((124='V06 Calend 01'!D79),'V06 Calend 01'!J79,0))</f>
        <v>0</v>
      </c>
      <c r="EG79" s="2">
        <f>((IF((125='V06 Calend 01'!C79),('V06 Calend 01'!F79+'V06 Calend 01'!G79),0)+IF(AND(('V06 Calend 01'!E79&gt;0),(125&gt;'V06 Calend 01'!C79),(125&lt;'V06 Calend 01'!D79),(MOD((125-'V06 Calend 01'!C79),6)=0),(((125-'V06 Calend 01'!C79)/6)&lt;='V06 Calend 01'!E79)),IF((125=('V06 Calend 01'!C79+(6*'V06 Calend 01'!E79))),('V06 Calend 01'!H79-('V06 Calend 01'!I79*('V06 Calend 01'!E79-1))),'V06 Calend 01'!I79),0))+IF((125='V06 Calend 01'!D79),'V06 Calend 01'!J79,0))</f>
        <v>0</v>
      </c>
      <c r="EH79" s="2">
        <f>((IF((126='V06 Calend 01'!C79),('V06 Calend 01'!F79+'V06 Calend 01'!G79),0)+IF(AND(('V06 Calend 01'!E79&gt;0),(126&gt;'V06 Calend 01'!C79),(126&lt;'V06 Calend 01'!D79),(MOD((126-'V06 Calend 01'!C79),6)=0),(((126-'V06 Calend 01'!C79)/6)&lt;='V06 Calend 01'!E79)),IF((126=('V06 Calend 01'!C79+(6*'V06 Calend 01'!E79))),('V06 Calend 01'!H79-('V06 Calend 01'!I79*('V06 Calend 01'!E79-1))),'V06 Calend 01'!I79),0))+IF((126='V06 Calend 01'!D79),'V06 Calend 01'!J79,0))</f>
        <v>0</v>
      </c>
      <c r="EI79" s="2">
        <f>((IF((127='V06 Calend 01'!C79),('V06 Calend 01'!F79+'V06 Calend 01'!G79),0)+IF(AND(('V06 Calend 01'!E79&gt;0),(127&gt;'V06 Calend 01'!C79),(127&lt;'V06 Calend 01'!D79),(MOD((127-'V06 Calend 01'!C79),6)=0),(((127-'V06 Calend 01'!C79)/6)&lt;='V06 Calend 01'!E79)),IF((127=('V06 Calend 01'!C79+(6*'V06 Calend 01'!E79))),('V06 Calend 01'!H79-('V06 Calend 01'!I79*('V06 Calend 01'!E79-1))),'V06 Calend 01'!I79),0))+IF((127='V06 Calend 01'!D79),'V06 Calend 01'!J79,0))</f>
        <v>0</v>
      </c>
      <c r="EJ79" s="2">
        <f>((IF((128='V06 Calend 01'!C79),('V06 Calend 01'!F79+'V06 Calend 01'!G79),0)+IF(AND(('V06 Calend 01'!E79&gt;0),(128&gt;'V06 Calend 01'!C79),(128&lt;'V06 Calend 01'!D79),(MOD((128-'V06 Calend 01'!C79),6)=0),(((128-'V06 Calend 01'!C79)/6)&lt;='V06 Calend 01'!E79)),IF((128=('V06 Calend 01'!C79+(6*'V06 Calend 01'!E79))),('V06 Calend 01'!H79-('V06 Calend 01'!I79*('V06 Calend 01'!E79-1))),'V06 Calend 01'!I79),0))+IF((128='V06 Calend 01'!D79),'V06 Calend 01'!J79,0))</f>
        <v>0</v>
      </c>
      <c r="EK79" s="2">
        <f>((IF((129='V06 Calend 01'!C79),('V06 Calend 01'!F79+'V06 Calend 01'!G79),0)+IF(AND(('V06 Calend 01'!E79&gt;0),(129&gt;'V06 Calend 01'!C79),(129&lt;'V06 Calend 01'!D79),(MOD((129-'V06 Calend 01'!C79),6)=0),(((129-'V06 Calend 01'!C79)/6)&lt;='V06 Calend 01'!E79)),IF((129=('V06 Calend 01'!C79+(6*'V06 Calend 01'!E79))),('V06 Calend 01'!H79-('V06 Calend 01'!I79*('V06 Calend 01'!E79-1))),'V06 Calend 01'!I79),0))+IF((129='V06 Calend 01'!D79),'V06 Calend 01'!J79,0))</f>
        <v>0</v>
      </c>
      <c r="EL79" s="2">
        <f>((IF((130='V06 Calend 01'!C79),('V06 Calend 01'!F79+'V06 Calend 01'!G79),0)+IF(AND(('V06 Calend 01'!E79&gt;0),(130&gt;'V06 Calend 01'!C79),(130&lt;'V06 Calend 01'!D79),(MOD((130-'V06 Calend 01'!C79),6)=0),(((130-'V06 Calend 01'!C79)/6)&lt;='V06 Calend 01'!E79)),IF((130=('V06 Calend 01'!C79+(6*'V06 Calend 01'!E79))),('V06 Calend 01'!H79-('V06 Calend 01'!I79*('V06 Calend 01'!E79-1))),'V06 Calend 01'!I79),0))+IF((130='V06 Calend 01'!D79),'V06 Calend 01'!J79,0))</f>
        <v>0</v>
      </c>
      <c r="EM79" s="2">
        <f>((IF((131='V06 Calend 01'!C79),('V06 Calend 01'!F79+'V06 Calend 01'!G79),0)+IF(AND(('V06 Calend 01'!E79&gt;0),(131&gt;'V06 Calend 01'!C79),(131&lt;'V06 Calend 01'!D79),(MOD((131-'V06 Calend 01'!C79),6)=0),(((131-'V06 Calend 01'!C79)/6)&lt;='V06 Calend 01'!E79)),IF((131=('V06 Calend 01'!C79+(6*'V06 Calend 01'!E79))),('V06 Calend 01'!H79-('V06 Calend 01'!I79*('V06 Calend 01'!E79-1))),'V06 Calend 01'!I79),0))+IF((131='V06 Calend 01'!D79),'V06 Calend 01'!J79,0))</f>
        <v>0</v>
      </c>
      <c r="EN79" s="2">
        <f>((IF((132='V06 Calend 01'!C79),('V06 Calend 01'!F79+'V06 Calend 01'!G79),0)+IF(AND(('V06 Calend 01'!E79&gt;0),(132&gt;'V06 Calend 01'!C79),(132&lt;'V06 Calend 01'!D79),(MOD((132-'V06 Calend 01'!C79),6)=0),(((132-'V06 Calend 01'!C79)/6)&lt;='V06 Calend 01'!E79)),IF((132=('V06 Calend 01'!C79+(6*'V06 Calend 01'!E79))),('V06 Calend 01'!H79-('V06 Calend 01'!I79*('V06 Calend 01'!E79-1))),'V06 Calend 01'!I79),0))+IF((132='V06 Calend 01'!D79),'V06 Calend 01'!J79,0))</f>
        <v>0</v>
      </c>
      <c r="EO79" s="2">
        <f>((IF((133='V06 Calend 01'!C79),('V06 Calend 01'!F79+'V06 Calend 01'!G79),0)+IF(AND(('V06 Calend 01'!E79&gt;0),(133&gt;'V06 Calend 01'!C79),(133&lt;'V06 Calend 01'!D79),(MOD((133-'V06 Calend 01'!C79),6)=0),(((133-'V06 Calend 01'!C79)/6)&lt;='V06 Calend 01'!E79)),IF((133=('V06 Calend 01'!C79+(6*'V06 Calend 01'!E79))),('V06 Calend 01'!H79-('V06 Calend 01'!I79*('V06 Calend 01'!E79-1))),'V06 Calend 01'!I79),0))+IF((133='V06 Calend 01'!D79),'V06 Calend 01'!J79,0))</f>
        <v>0</v>
      </c>
      <c r="EP79" s="2">
        <f>((IF((134='V06 Calend 01'!C79),('V06 Calend 01'!F79+'V06 Calend 01'!G79),0)+IF(AND(('V06 Calend 01'!E79&gt;0),(134&gt;'V06 Calend 01'!C79),(134&lt;'V06 Calend 01'!D79),(MOD((134-'V06 Calend 01'!C79),6)=0),(((134-'V06 Calend 01'!C79)/6)&lt;='V06 Calend 01'!E79)),IF((134=('V06 Calend 01'!C79+(6*'V06 Calend 01'!E79))),('V06 Calend 01'!H79-('V06 Calend 01'!I79*('V06 Calend 01'!E79-1))),'V06 Calend 01'!I79),0))+IF((134='V06 Calend 01'!D79),'V06 Calend 01'!J79,0))</f>
        <v>0</v>
      </c>
      <c r="EQ79" s="2">
        <f>((IF((135='V06 Calend 01'!C79),('V06 Calend 01'!F79+'V06 Calend 01'!G79),0)+IF(AND(('V06 Calend 01'!E79&gt;0),(135&gt;'V06 Calend 01'!C79),(135&lt;'V06 Calend 01'!D79),(MOD((135-'V06 Calend 01'!C79),6)=0),(((135-'V06 Calend 01'!C79)/6)&lt;='V06 Calend 01'!E79)),IF((135=('V06 Calend 01'!C79+(6*'V06 Calend 01'!E79))),('V06 Calend 01'!H79-('V06 Calend 01'!I79*('V06 Calend 01'!E79-1))),'V06 Calend 01'!I79),0))+IF((135='V06 Calend 01'!D79),'V06 Calend 01'!J79,0))</f>
        <v>0</v>
      </c>
      <c r="ER79" s="2">
        <f>((IF((136='V06 Calend 01'!C79),('V06 Calend 01'!F79+'V06 Calend 01'!G79),0)+IF(AND(('V06 Calend 01'!E79&gt;0),(136&gt;'V06 Calend 01'!C79),(136&lt;'V06 Calend 01'!D79),(MOD((136-'V06 Calend 01'!C79),6)=0),(((136-'V06 Calend 01'!C79)/6)&lt;='V06 Calend 01'!E79)),IF((136=('V06 Calend 01'!C79+(6*'V06 Calend 01'!E79))),('V06 Calend 01'!H79-('V06 Calend 01'!I79*('V06 Calend 01'!E79-1))),'V06 Calend 01'!I79),0))+IF((136='V06 Calend 01'!D79),'V06 Calend 01'!J79,0))</f>
        <v>0</v>
      </c>
      <c r="ES79" s="2">
        <f>((IF((137='V06 Calend 01'!C79),('V06 Calend 01'!F79+'V06 Calend 01'!G79),0)+IF(AND(('V06 Calend 01'!E79&gt;0),(137&gt;'V06 Calend 01'!C79),(137&lt;'V06 Calend 01'!D79),(MOD((137-'V06 Calend 01'!C79),6)=0),(((137-'V06 Calend 01'!C79)/6)&lt;='V06 Calend 01'!E79)),IF((137=('V06 Calend 01'!C79+(6*'V06 Calend 01'!E79))),('V06 Calend 01'!H79-('V06 Calend 01'!I79*('V06 Calend 01'!E79-1))),'V06 Calend 01'!I79),0))+IF((137='V06 Calend 01'!D79),'V06 Calend 01'!J79,0))</f>
        <v>0</v>
      </c>
      <c r="ET79" s="2">
        <f>((IF((138='V06 Calend 01'!C79),('V06 Calend 01'!F79+'V06 Calend 01'!G79),0)+IF(AND(('V06 Calend 01'!E79&gt;0),(138&gt;'V06 Calend 01'!C79),(138&lt;'V06 Calend 01'!D79),(MOD((138-'V06 Calend 01'!C79),6)=0),(((138-'V06 Calend 01'!C79)/6)&lt;='V06 Calend 01'!E79)),IF((138=('V06 Calend 01'!C79+(6*'V06 Calend 01'!E79))),('V06 Calend 01'!H79-('V06 Calend 01'!I79*('V06 Calend 01'!E79-1))),'V06 Calend 01'!I79),0))+IF((138='V06 Calend 01'!D79),'V06 Calend 01'!J79,0))</f>
        <v>0</v>
      </c>
      <c r="EU79" s="2">
        <f>((IF((139='V06 Calend 01'!C79),('V06 Calend 01'!F79+'V06 Calend 01'!G79),0)+IF(AND(('V06 Calend 01'!E79&gt;0),(139&gt;'V06 Calend 01'!C79),(139&lt;'V06 Calend 01'!D79),(MOD((139-'V06 Calend 01'!C79),6)=0),(((139-'V06 Calend 01'!C79)/6)&lt;='V06 Calend 01'!E79)),IF((139=('V06 Calend 01'!C79+(6*'V06 Calend 01'!E79))),('V06 Calend 01'!H79-('V06 Calend 01'!I79*('V06 Calend 01'!E79-1))),'V06 Calend 01'!I79),0))+IF((139='V06 Calend 01'!D79),'V06 Calend 01'!J79,0))</f>
        <v>0</v>
      </c>
      <c r="EV79" s="2">
        <f>((IF((140='V06 Calend 01'!C79),('V06 Calend 01'!F79+'V06 Calend 01'!G79),0)+IF(AND(('V06 Calend 01'!E79&gt;0),(140&gt;'V06 Calend 01'!C79),(140&lt;'V06 Calend 01'!D79),(MOD((140-'V06 Calend 01'!C79),6)=0),(((140-'V06 Calend 01'!C79)/6)&lt;='V06 Calend 01'!E79)),IF((140=('V06 Calend 01'!C79+(6*'V06 Calend 01'!E79))),('V06 Calend 01'!H79-('V06 Calend 01'!I79*('V06 Calend 01'!E79-1))),'V06 Calend 01'!I79),0))+IF((140='V06 Calend 01'!D79),'V06 Calend 01'!J79,0))</f>
        <v>0</v>
      </c>
      <c r="EW79" s="2">
        <f>((IF((141='V06 Calend 01'!C79),('V06 Calend 01'!F79+'V06 Calend 01'!G79),0)+IF(AND(('V06 Calend 01'!E79&gt;0),(141&gt;'V06 Calend 01'!C79),(141&lt;'V06 Calend 01'!D79),(MOD((141-'V06 Calend 01'!C79),6)=0),(((141-'V06 Calend 01'!C79)/6)&lt;='V06 Calend 01'!E79)),IF((141=('V06 Calend 01'!C79+(6*'V06 Calend 01'!E79))),('V06 Calend 01'!H79-('V06 Calend 01'!I79*('V06 Calend 01'!E79-1))),'V06 Calend 01'!I79),0))+IF((141='V06 Calend 01'!D79),'V06 Calend 01'!J79,0))</f>
        <v>0</v>
      </c>
      <c r="EX79" s="2">
        <f>((IF((142='V06 Calend 01'!C79),('V06 Calend 01'!F79+'V06 Calend 01'!G79),0)+IF(AND(('V06 Calend 01'!E79&gt;0),(142&gt;'V06 Calend 01'!C79),(142&lt;'V06 Calend 01'!D79),(MOD((142-'V06 Calend 01'!C79),6)=0),(((142-'V06 Calend 01'!C79)/6)&lt;='V06 Calend 01'!E79)),IF((142=('V06 Calend 01'!C79+(6*'V06 Calend 01'!E79))),('V06 Calend 01'!H79-('V06 Calend 01'!I79*('V06 Calend 01'!E79-1))),'V06 Calend 01'!I79),0))+IF((142='V06 Calend 01'!D79),'V06 Calend 01'!J79,0))</f>
        <v>0</v>
      </c>
      <c r="EY79" s="2">
        <f>((IF((143='V06 Calend 01'!C79),('V06 Calend 01'!F79+'V06 Calend 01'!G79),0)+IF(AND(('V06 Calend 01'!E79&gt;0),(143&gt;'V06 Calend 01'!C79),(143&lt;'V06 Calend 01'!D79),(MOD((143-'V06 Calend 01'!C79),6)=0),(((143-'V06 Calend 01'!C79)/6)&lt;='V06 Calend 01'!E79)),IF((143=('V06 Calend 01'!C79+(6*'V06 Calend 01'!E79))),('V06 Calend 01'!H79-('V06 Calend 01'!I79*('V06 Calend 01'!E79-1))),'V06 Calend 01'!I79),0))+IF((143='V06 Calend 01'!D79),'V06 Calend 01'!J79,0))</f>
        <v>0</v>
      </c>
      <c r="EZ79" s="2">
        <f>((IF((144='V06 Calend 01'!C79),('V06 Calend 01'!F79+'V06 Calend 01'!G79),0)+IF(AND(('V06 Calend 01'!E79&gt;0),(144&gt;'V06 Calend 01'!C79),(144&lt;'V06 Calend 01'!D79),(MOD((144-'V06 Calend 01'!C79),6)=0),(((144-'V06 Calend 01'!C79)/6)&lt;='V06 Calend 01'!E79)),IF((144=('V06 Calend 01'!C79+(6*'V06 Calend 01'!E79))),('V06 Calend 01'!H79-('V06 Calend 01'!I79*('V06 Calend 01'!E79-1))),'V06 Calend 01'!I79),0))+IF((144='V06 Calend 01'!D79),'V06 Calend 01'!J79,0))</f>
        <v>0</v>
      </c>
      <c r="FA79" s="2">
        <f>((IF((145='V06 Calend 01'!C79),('V06 Calend 01'!F79+'V06 Calend 01'!G79),0)+IF(AND(('V06 Calend 01'!E79&gt;0),(145&gt;'V06 Calend 01'!C79),(145&lt;'V06 Calend 01'!D79),(MOD((145-'V06 Calend 01'!C79),6)=0),(((145-'V06 Calend 01'!C79)/6)&lt;='V06 Calend 01'!E79)),IF((145=('V06 Calend 01'!C79+(6*'V06 Calend 01'!E79))),('V06 Calend 01'!H79-('V06 Calend 01'!I79*('V06 Calend 01'!E79-1))),'V06 Calend 01'!I79),0))+IF((145='V06 Calend 01'!D79),'V06 Calend 01'!J79,0))</f>
        <v>0</v>
      </c>
      <c r="FB79" s="2">
        <f>((IF((146='V06 Calend 01'!C79),('V06 Calend 01'!F79+'V06 Calend 01'!G79),0)+IF(AND(('V06 Calend 01'!E79&gt;0),(146&gt;'V06 Calend 01'!C79),(146&lt;'V06 Calend 01'!D79),(MOD((146-'V06 Calend 01'!C79),6)=0),(((146-'V06 Calend 01'!C79)/6)&lt;='V06 Calend 01'!E79)),IF((146=('V06 Calend 01'!C79+(6*'V06 Calend 01'!E79))),('V06 Calend 01'!H79-('V06 Calend 01'!I79*('V06 Calend 01'!E79-1))),'V06 Calend 01'!I79),0))+IF((146='V06 Calend 01'!D79),'V06 Calend 01'!J79,0))</f>
        <v>0</v>
      </c>
      <c r="FC79" s="2">
        <f>((IF((147='V06 Calend 01'!C79),('V06 Calend 01'!F79+'V06 Calend 01'!G79),0)+IF(AND(('V06 Calend 01'!E79&gt;0),(147&gt;'V06 Calend 01'!C79),(147&lt;'V06 Calend 01'!D79),(MOD((147-'V06 Calend 01'!C79),6)=0),(((147-'V06 Calend 01'!C79)/6)&lt;='V06 Calend 01'!E79)),IF((147=('V06 Calend 01'!C79+(6*'V06 Calend 01'!E79))),('V06 Calend 01'!H79-('V06 Calend 01'!I79*('V06 Calend 01'!E79-1))),'V06 Calend 01'!I79),0))+IF((147='V06 Calend 01'!D79),'V06 Calend 01'!J79,0))</f>
        <v>0</v>
      </c>
      <c r="FD79" s="2">
        <f>((IF((148='V06 Calend 01'!C79),('V06 Calend 01'!F79+'V06 Calend 01'!G79),0)+IF(AND(('V06 Calend 01'!E79&gt;0),(148&gt;'V06 Calend 01'!C79),(148&lt;'V06 Calend 01'!D79),(MOD((148-'V06 Calend 01'!C79),6)=0),(((148-'V06 Calend 01'!C79)/6)&lt;='V06 Calend 01'!E79)),IF((148=('V06 Calend 01'!C79+(6*'V06 Calend 01'!E79))),('V06 Calend 01'!H79-('V06 Calend 01'!I79*('V06 Calend 01'!E79-1))),'V06 Calend 01'!I79),0))+IF((148='V06 Calend 01'!D79),'V06 Calend 01'!J79,0))</f>
        <v>0</v>
      </c>
      <c r="FE79" s="2">
        <f>((IF((149='V06 Calend 01'!C79),('V06 Calend 01'!F79+'V06 Calend 01'!G79),0)+IF(AND(('V06 Calend 01'!E79&gt;0),(149&gt;'V06 Calend 01'!C79),(149&lt;'V06 Calend 01'!D79),(MOD((149-'V06 Calend 01'!C79),6)=0),(((149-'V06 Calend 01'!C79)/6)&lt;='V06 Calend 01'!E79)),IF((149=('V06 Calend 01'!C79+(6*'V06 Calend 01'!E79))),('V06 Calend 01'!H79-('V06 Calend 01'!I79*('V06 Calend 01'!E79-1))),'V06 Calend 01'!I79),0))+IF((149='V06 Calend 01'!D79),'V06 Calend 01'!J79,0))</f>
        <v>0</v>
      </c>
      <c r="FF79" s="2">
        <f>((IF((150='V06 Calend 01'!C79),('V06 Calend 01'!F79+'V06 Calend 01'!G79),0)+IF(AND(('V06 Calend 01'!E79&gt;0),(150&gt;'V06 Calend 01'!C79),(150&lt;'V06 Calend 01'!D79),(MOD((150-'V06 Calend 01'!C79),6)=0),(((150-'V06 Calend 01'!C79)/6)&lt;='V06 Calend 01'!E79)),IF((150=('V06 Calend 01'!C79+(6*'V06 Calend 01'!E79))),('V06 Calend 01'!H79-('V06 Calend 01'!I79*('V06 Calend 01'!E79-1))),'V06 Calend 01'!I79),0))+IF((150='V06 Calend 01'!D79),'V06 Calend 01'!J79,0))</f>
        <v>0</v>
      </c>
      <c r="FG79" s="2">
        <f>((IF((151='V06 Calend 01'!C79),('V06 Calend 01'!F79+'V06 Calend 01'!G79),0)+IF(AND(('V06 Calend 01'!E79&gt;0),(151&gt;'V06 Calend 01'!C79),(151&lt;'V06 Calend 01'!D79),(MOD((151-'V06 Calend 01'!C79),6)=0),(((151-'V06 Calend 01'!C79)/6)&lt;='V06 Calend 01'!E79)),IF((151=('V06 Calend 01'!C79+(6*'V06 Calend 01'!E79))),('V06 Calend 01'!H79-('V06 Calend 01'!I79*('V06 Calend 01'!E79-1))),'V06 Calend 01'!I79),0))+IF((151='V06 Calend 01'!D79),'V06 Calend 01'!J79,0))</f>
        <v>0</v>
      </c>
      <c r="FH79" s="2">
        <f>((IF((152='V06 Calend 01'!C79),('V06 Calend 01'!F79+'V06 Calend 01'!G79),0)+IF(AND(('V06 Calend 01'!E79&gt;0),(152&gt;'V06 Calend 01'!C79),(152&lt;'V06 Calend 01'!D79),(MOD((152-'V06 Calend 01'!C79),6)=0),(((152-'V06 Calend 01'!C79)/6)&lt;='V06 Calend 01'!E79)),IF((152=('V06 Calend 01'!C79+(6*'V06 Calend 01'!E79))),('V06 Calend 01'!H79-('V06 Calend 01'!I79*('V06 Calend 01'!E79-1))),'V06 Calend 01'!I79),0))+IF((152='V06 Calend 01'!D79),'V06 Calend 01'!J79,0))</f>
        <v>0</v>
      </c>
      <c r="FI79" s="2">
        <f>((IF((153='V06 Calend 01'!C79),('V06 Calend 01'!F79+'V06 Calend 01'!G79),0)+IF(AND(('V06 Calend 01'!E79&gt;0),(153&gt;'V06 Calend 01'!C79),(153&lt;'V06 Calend 01'!D79),(MOD((153-'V06 Calend 01'!C79),6)=0),(((153-'V06 Calend 01'!C79)/6)&lt;='V06 Calend 01'!E79)),IF((153=('V06 Calend 01'!C79+(6*'V06 Calend 01'!E79))),('V06 Calend 01'!H79-('V06 Calend 01'!I79*('V06 Calend 01'!E79-1))),'V06 Calend 01'!I79),0))+IF((153='V06 Calend 01'!D79),'V06 Calend 01'!J79,0))</f>
        <v>0</v>
      </c>
      <c r="FJ79" s="2">
        <f>((IF((154='V06 Calend 01'!C79),('V06 Calend 01'!F79+'V06 Calend 01'!G79),0)+IF(AND(('V06 Calend 01'!E79&gt;0),(154&gt;'V06 Calend 01'!C79),(154&lt;'V06 Calend 01'!D79),(MOD((154-'V06 Calend 01'!C79),6)=0),(((154-'V06 Calend 01'!C79)/6)&lt;='V06 Calend 01'!E79)),IF((154=('V06 Calend 01'!C79+(6*'V06 Calend 01'!E79))),('V06 Calend 01'!H79-('V06 Calend 01'!I79*('V06 Calend 01'!E79-1))),'V06 Calend 01'!I79),0))+IF((154='V06 Calend 01'!D79),'V06 Calend 01'!J79,0))</f>
        <v>0</v>
      </c>
      <c r="FK79" s="2">
        <f>((IF((155='V06 Calend 01'!C79),('V06 Calend 01'!F79+'V06 Calend 01'!G79),0)+IF(AND(('V06 Calend 01'!E79&gt;0),(155&gt;'V06 Calend 01'!C79),(155&lt;'V06 Calend 01'!D79),(MOD((155-'V06 Calend 01'!C79),6)=0),(((155-'V06 Calend 01'!C79)/6)&lt;='V06 Calend 01'!E79)),IF((155=('V06 Calend 01'!C79+(6*'V06 Calend 01'!E79))),('V06 Calend 01'!H79-('V06 Calend 01'!I79*('V06 Calend 01'!E79-1))),'V06 Calend 01'!I79),0))+IF((155='V06 Calend 01'!D79),'V06 Calend 01'!J79,0))</f>
        <v>0</v>
      </c>
      <c r="FL79" s="2">
        <f>((IF((156='V06 Calend 01'!C79),('V06 Calend 01'!F79+'V06 Calend 01'!G79),0)+IF(AND(('V06 Calend 01'!E79&gt;0),(156&gt;'V06 Calend 01'!C79),(156&lt;'V06 Calend 01'!D79),(MOD((156-'V06 Calend 01'!C79),6)=0),(((156-'V06 Calend 01'!C79)/6)&lt;='V06 Calend 01'!E79)),IF((156=('V06 Calend 01'!C79+(6*'V06 Calend 01'!E79))),('V06 Calend 01'!H79-('V06 Calend 01'!I79*('V06 Calend 01'!E79-1))),'V06 Calend 01'!I79),0))+IF((156='V06 Calend 01'!D79),'V06 Calend 01'!J79,0))</f>
        <v>0</v>
      </c>
      <c r="FM79" s="2">
        <f>((IF((157='V06 Calend 01'!C79),('V06 Calend 01'!F79+'V06 Calend 01'!G79),0)+IF(AND(('V06 Calend 01'!E79&gt;0),(157&gt;'V06 Calend 01'!C79),(157&lt;'V06 Calend 01'!D79),(MOD((157-'V06 Calend 01'!C79),6)=0),(((157-'V06 Calend 01'!C79)/6)&lt;='V06 Calend 01'!E79)),IF((157=('V06 Calend 01'!C79+(6*'V06 Calend 01'!E79))),('V06 Calend 01'!H79-('V06 Calend 01'!I79*('V06 Calend 01'!E79-1))),'V06 Calend 01'!I79),0))+IF((157='V06 Calend 01'!D79),'V06 Calend 01'!J79,0))</f>
        <v>0</v>
      </c>
      <c r="FN79" s="2">
        <f>((IF((158='V06 Calend 01'!C79),('V06 Calend 01'!F79+'V06 Calend 01'!G79),0)+IF(AND(('V06 Calend 01'!E79&gt;0),(158&gt;'V06 Calend 01'!C79),(158&lt;'V06 Calend 01'!D79),(MOD((158-'V06 Calend 01'!C79),6)=0),(((158-'V06 Calend 01'!C79)/6)&lt;='V06 Calend 01'!E79)),IF((158=('V06 Calend 01'!C79+(6*'V06 Calend 01'!E79))),('V06 Calend 01'!H79-('V06 Calend 01'!I79*('V06 Calend 01'!E79-1))),'V06 Calend 01'!I79),0))+IF((158='V06 Calend 01'!D79),'V06 Calend 01'!J79,0))</f>
        <v>0</v>
      </c>
      <c r="FO79" s="2">
        <f>((IF((159='V06 Calend 01'!C79),('V06 Calend 01'!F79+'V06 Calend 01'!G79),0)+IF(AND(('V06 Calend 01'!E79&gt;0),(159&gt;'V06 Calend 01'!C79),(159&lt;'V06 Calend 01'!D79),(MOD((159-'V06 Calend 01'!C79),6)=0),(((159-'V06 Calend 01'!C79)/6)&lt;='V06 Calend 01'!E79)),IF((159=('V06 Calend 01'!C79+(6*'V06 Calend 01'!E79))),('V06 Calend 01'!H79-('V06 Calend 01'!I79*('V06 Calend 01'!E79-1))),'V06 Calend 01'!I79),0))+IF((159='V06 Calend 01'!D79),'V06 Calend 01'!J79,0))</f>
        <v>0</v>
      </c>
      <c r="FP79" s="2">
        <f>((IF((160='V06 Calend 01'!C79),('V06 Calend 01'!F79+'V06 Calend 01'!G79),0)+IF(AND(('V06 Calend 01'!E79&gt;0),(160&gt;'V06 Calend 01'!C79),(160&lt;'V06 Calend 01'!D79),(MOD((160-'V06 Calend 01'!C79),6)=0),(((160-'V06 Calend 01'!C79)/6)&lt;='V06 Calend 01'!E79)),IF((160=('V06 Calend 01'!C79+(6*'V06 Calend 01'!E79))),('V06 Calend 01'!H79-('V06 Calend 01'!I79*('V06 Calend 01'!E79-1))),'V06 Calend 01'!I79),0))+IF((160='V06 Calend 01'!D79),'V06 Calend 01'!J79,0))</f>
        <v>0</v>
      </c>
      <c r="FQ79" s="2">
        <f>((IF((161='V06 Calend 01'!C79),('V06 Calend 01'!F79+'V06 Calend 01'!G79),0)+IF(AND(('V06 Calend 01'!E79&gt;0),(161&gt;'V06 Calend 01'!C79),(161&lt;'V06 Calend 01'!D79),(MOD((161-'V06 Calend 01'!C79),6)=0),(((161-'V06 Calend 01'!C79)/6)&lt;='V06 Calend 01'!E79)),IF((161=('V06 Calend 01'!C79+(6*'V06 Calend 01'!E79))),('V06 Calend 01'!H79-('V06 Calend 01'!I79*('V06 Calend 01'!E79-1))),'V06 Calend 01'!I79),0))+IF((161='V06 Calend 01'!D79),'V06 Calend 01'!J79,0))</f>
        <v>0</v>
      </c>
      <c r="FR79" s="2">
        <f>((IF((162='V06 Calend 01'!C79),('V06 Calend 01'!F79+'V06 Calend 01'!G79),0)+IF(AND(('V06 Calend 01'!E79&gt;0),(162&gt;'V06 Calend 01'!C79),(162&lt;'V06 Calend 01'!D79),(MOD((162-'V06 Calend 01'!C79),6)=0),(((162-'V06 Calend 01'!C79)/6)&lt;='V06 Calend 01'!E79)),IF((162=('V06 Calend 01'!C79+(6*'V06 Calend 01'!E79))),('V06 Calend 01'!H79-('V06 Calend 01'!I79*('V06 Calend 01'!E79-1))),'V06 Calend 01'!I79),0))+IF((162='V06 Calend 01'!D79),'V06 Calend 01'!J79,0))</f>
        <v>0</v>
      </c>
      <c r="FS79" s="2">
        <f>((IF((163='V06 Calend 01'!C79),('V06 Calend 01'!F79+'V06 Calend 01'!G79),0)+IF(AND(('V06 Calend 01'!E79&gt;0),(163&gt;'V06 Calend 01'!C79),(163&lt;'V06 Calend 01'!D79),(MOD((163-'V06 Calend 01'!C79),6)=0),(((163-'V06 Calend 01'!C79)/6)&lt;='V06 Calend 01'!E79)),IF((163=('V06 Calend 01'!C79+(6*'V06 Calend 01'!E79))),('V06 Calend 01'!H79-('V06 Calend 01'!I79*('V06 Calend 01'!E79-1))),'V06 Calend 01'!I79),0))+IF((163='V06 Calend 01'!D79),'V06 Calend 01'!J79,0))</f>
        <v>0</v>
      </c>
      <c r="FT79" s="2">
        <f>((IF((164='V06 Calend 01'!C79),('V06 Calend 01'!F79+'V06 Calend 01'!G79),0)+IF(AND(('V06 Calend 01'!E79&gt;0),(164&gt;'V06 Calend 01'!C79),(164&lt;'V06 Calend 01'!D79),(MOD((164-'V06 Calend 01'!C79),6)=0),(((164-'V06 Calend 01'!C79)/6)&lt;='V06 Calend 01'!E79)),IF((164=('V06 Calend 01'!C79+(6*'V06 Calend 01'!E79))),('V06 Calend 01'!H79-('V06 Calend 01'!I79*('V06 Calend 01'!E79-1))),'V06 Calend 01'!I79),0))+IF((164='V06 Calend 01'!D79),'V06 Calend 01'!J79,0))</f>
        <v>0</v>
      </c>
      <c r="FU79" s="2">
        <f>((IF((165='V06 Calend 01'!C79),('V06 Calend 01'!F79+'V06 Calend 01'!G79),0)+IF(AND(('V06 Calend 01'!E79&gt;0),(165&gt;'V06 Calend 01'!C79),(165&lt;'V06 Calend 01'!D79),(MOD((165-'V06 Calend 01'!C79),6)=0),(((165-'V06 Calend 01'!C79)/6)&lt;='V06 Calend 01'!E79)),IF((165=('V06 Calend 01'!C79+(6*'V06 Calend 01'!E79))),('V06 Calend 01'!H79-('V06 Calend 01'!I79*('V06 Calend 01'!E79-1))),'V06 Calend 01'!I79),0))+IF((165='V06 Calend 01'!D79),'V06 Calend 01'!J79,0))</f>
        <v>0</v>
      </c>
      <c r="FV79" s="2">
        <f>((IF((166='V06 Calend 01'!C79),('V06 Calend 01'!F79+'V06 Calend 01'!G79),0)+IF(AND(('V06 Calend 01'!E79&gt;0),(166&gt;'V06 Calend 01'!C79),(166&lt;'V06 Calend 01'!D79),(MOD((166-'V06 Calend 01'!C79),6)=0),(((166-'V06 Calend 01'!C79)/6)&lt;='V06 Calend 01'!E79)),IF((166=('V06 Calend 01'!C79+(6*'V06 Calend 01'!E79))),('V06 Calend 01'!H79-('V06 Calend 01'!I79*('V06 Calend 01'!E79-1))),'V06 Calend 01'!I79),0))+IF((166='V06 Calend 01'!D79),'V06 Calend 01'!J79,0))</f>
        <v>0</v>
      </c>
      <c r="FW79" s="2">
        <f>((IF((167='V06 Calend 01'!C79),('V06 Calend 01'!F79+'V06 Calend 01'!G79),0)+IF(AND(('V06 Calend 01'!E79&gt;0),(167&gt;'V06 Calend 01'!C79),(167&lt;'V06 Calend 01'!D79),(MOD((167-'V06 Calend 01'!C79),6)=0),(((167-'V06 Calend 01'!C79)/6)&lt;='V06 Calend 01'!E79)),IF((167=('V06 Calend 01'!C79+(6*'V06 Calend 01'!E79))),('V06 Calend 01'!H79-('V06 Calend 01'!I79*('V06 Calend 01'!E79-1))),'V06 Calend 01'!I79),0))+IF((167='V06 Calend 01'!D79),'V06 Calend 01'!J79,0))</f>
        <v>0</v>
      </c>
      <c r="FX79" s="2">
        <f>((IF((168='V06 Calend 01'!C79),('V06 Calend 01'!F79+'V06 Calend 01'!G79),0)+IF(AND(('V06 Calend 01'!E79&gt;0),(168&gt;'V06 Calend 01'!C79),(168&lt;'V06 Calend 01'!D79),(MOD((168-'V06 Calend 01'!C79),6)=0),(((168-'V06 Calend 01'!C79)/6)&lt;='V06 Calend 01'!E79)),IF((168=('V06 Calend 01'!C79+(6*'V06 Calend 01'!E79))),('V06 Calend 01'!H79-('V06 Calend 01'!I79*('V06 Calend 01'!E79-1))),'V06 Calend 01'!I79),0))+IF((168='V06 Calend 01'!D79),'V06 Calend 01'!J79,0))</f>
        <v>0</v>
      </c>
      <c r="FY79" s="2">
        <f>((IF((169='V06 Calend 01'!C79),('V06 Calend 01'!F79+'V06 Calend 01'!G79),0)+IF(AND(('V06 Calend 01'!E79&gt;0),(169&gt;'V06 Calend 01'!C79),(169&lt;'V06 Calend 01'!D79),(MOD((169-'V06 Calend 01'!C79),6)=0),(((169-'V06 Calend 01'!C79)/6)&lt;='V06 Calend 01'!E79)),IF((169=('V06 Calend 01'!C79+(6*'V06 Calend 01'!E79))),('V06 Calend 01'!H79-('V06 Calend 01'!I79*('V06 Calend 01'!E79-1))),'V06 Calend 01'!I79),0))+IF((169='V06 Calend 01'!D79),'V06 Calend 01'!J79,0))</f>
        <v>0</v>
      </c>
      <c r="FZ79" s="2">
        <f>((IF((170='V06 Calend 01'!C79),('V06 Calend 01'!F79+'V06 Calend 01'!G79),0)+IF(AND(('V06 Calend 01'!E79&gt;0),(170&gt;'V06 Calend 01'!C79),(170&lt;'V06 Calend 01'!D79),(MOD((170-'V06 Calend 01'!C79),6)=0),(((170-'V06 Calend 01'!C79)/6)&lt;='V06 Calend 01'!E79)),IF((170=('V06 Calend 01'!C79+(6*'V06 Calend 01'!E79))),('V06 Calend 01'!H79-('V06 Calend 01'!I79*('V06 Calend 01'!E79-1))),'V06 Calend 01'!I79),0))+IF((170='V06 Calend 01'!D79),'V06 Calend 01'!J79,0))</f>
        <v>0</v>
      </c>
      <c r="GA79" s="2">
        <f>((IF((171='V06 Calend 01'!C79),('V06 Calend 01'!F79+'V06 Calend 01'!G79),0)+IF(AND(('V06 Calend 01'!E79&gt;0),(171&gt;'V06 Calend 01'!C79),(171&lt;'V06 Calend 01'!D79),(MOD((171-'V06 Calend 01'!C79),6)=0),(((171-'V06 Calend 01'!C79)/6)&lt;='V06 Calend 01'!E79)),IF((171=('V06 Calend 01'!C79+(6*'V06 Calend 01'!E79))),('V06 Calend 01'!H79-('V06 Calend 01'!I79*('V06 Calend 01'!E79-1))),'V06 Calend 01'!I79),0))+IF((171='V06 Calend 01'!D79),'V06 Calend 01'!J79,0))</f>
        <v>0</v>
      </c>
      <c r="GB79" s="2">
        <f>((IF((172='V06 Calend 01'!C79),('V06 Calend 01'!F79+'V06 Calend 01'!G79),0)+IF(AND(('V06 Calend 01'!E79&gt;0),(172&gt;'V06 Calend 01'!C79),(172&lt;'V06 Calend 01'!D79),(MOD((172-'V06 Calend 01'!C79),6)=0),(((172-'V06 Calend 01'!C79)/6)&lt;='V06 Calend 01'!E79)),IF((172=('V06 Calend 01'!C79+(6*'V06 Calend 01'!E79))),('V06 Calend 01'!H79-('V06 Calend 01'!I79*('V06 Calend 01'!E79-1))),'V06 Calend 01'!I79),0))+IF((172='V06 Calend 01'!D79),'V06 Calend 01'!J79,0))</f>
        <v>0</v>
      </c>
      <c r="GC79" s="2">
        <f>((IF((173='V06 Calend 01'!C79),('V06 Calend 01'!F79+'V06 Calend 01'!G79),0)+IF(AND(('V06 Calend 01'!E79&gt;0),(173&gt;'V06 Calend 01'!C79),(173&lt;'V06 Calend 01'!D79),(MOD((173-'V06 Calend 01'!C79),6)=0),(((173-'V06 Calend 01'!C79)/6)&lt;='V06 Calend 01'!E79)),IF((173=('V06 Calend 01'!C79+(6*'V06 Calend 01'!E79))),('V06 Calend 01'!H79-('V06 Calend 01'!I79*('V06 Calend 01'!E79-1))),'V06 Calend 01'!I79),0))+IF((173='V06 Calend 01'!D79),'V06 Calend 01'!J79,0))</f>
        <v>0</v>
      </c>
      <c r="GD79" s="2">
        <f>((IF((174='V06 Calend 01'!C79),('V06 Calend 01'!F79+'V06 Calend 01'!G79),0)+IF(AND(('V06 Calend 01'!E79&gt;0),(174&gt;'V06 Calend 01'!C79),(174&lt;'V06 Calend 01'!D79),(MOD((174-'V06 Calend 01'!C79),6)=0),(((174-'V06 Calend 01'!C79)/6)&lt;='V06 Calend 01'!E79)),IF((174=('V06 Calend 01'!C79+(6*'V06 Calend 01'!E79))),('V06 Calend 01'!H79-('V06 Calend 01'!I79*('V06 Calend 01'!E79-1))),'V06 Calend 01'!I79),0))+IF((174='V06 Calend 01'!D79),'V06 Calend 01'!J79,0))</f>
        <v>0</v>
      </c>
      <c r="GE79" s="2">
        <f>((IF((175='V06 Calend 01'!C79),('V06 Calend 01'!F79+'V06 Calend 01'!G79),0)+IF(AND(('V06 Calend 01'!E79&gt;0),(175&gt;'V06 Calend 01'!C79),(175&lt;'V06 Calend 01'!D79),(MOD((175-'V06 Calend 01'!C79),6)=0),(((175-'V06 Calend 01'!C79)/6)&lt;='V06 Calend 01'!E79)),IF((175=('V06 Calend 01'!C79+(6*'V06 Calend 01'!E79))),('V06 Calend 01'!H79-('V06 Calend 01'!I79*('V06 Calend 01'!E79-1))),'V06 Calend 01'!I79),0))+IF((175='V06 Calend 01'!D79),'V06 Calend 01'!J79,0))</f>
        <v>0</v>
      </c>
      <c r="GF79" s="2">
        <f>((IF((176='V06 Calend 01'!C79),('V06 Calend 01'!F79+'V06 Calend 01'!G79),0)+IF(AND(('V06 Calend 01'!E79&gt;0),(176&gt;'V06 Calend 01'!C79),(176&lt;'V06 Calend 01'!D79),(MOD((176-'V06 Calend 01'!C79),6)=0),(((176-'V06 Calend 01'!C79)/6)&lt;='V06 Calend 01'!E79)),IF((176=('V06 Calend 01'!C79+(6*'V06 Calend 01'!E79))),('V06 Calend 01'!H79-('V06 Calend 01'!I79*('V06 Calend 01'!E79-1))),'V06 Calend 01'!I79),0))+IF((176='V06 Calend 01'!D79),'V06 Calend 01'!J79,0))</f>
        <v>0</v>
      </c>
      <c r="GG79" s="2">
        <f>((IF((177='V06 Calend 01'!C79),('V06 Calend 01'!F79+'V06 Calend 01'!G79),0)+IF(AND(('V06 Calend 01'!E79&gt;0),(177&gt;'V06 Calend 01'!C79),(177&lt;'V06 Calend 01'!D79),(MOD((177-'V06 Calend 01'!C79),6)=0),(((177-'V06 Calend 01'!C79)/6)&lt;='V06 Calend 01'!E79)),IF((177=('V06 Calend 01'!C79+(6*'V06 Calend 01'!E79))),('V06 Calend 01'!H79-('V06 Calend 01'!I79*('V06 Calend 01'!E79-1))),'V06 Calend 01'!I79),0))+IF((177='V06 Calend 01'!D79),'V06 Calend 01'!J79,0))</f>
        <v>0</v>
      </c>
      <c r="GH79" s="2">
        <f>((IF((178='V06 Calend 01'!C79),('V06 Calend 01'!F79+'V06 Calend 01'!G79),0)+IF(AND(('V06 Calend 01'!E79&gt;0),(178&gt;'V06 Calend 01'!C79),(178&lt;'V06 Calend 01'!D79),(MOD((178-'V06 Calend 01'!C79),6)=0),(((178-'V06 Calend 01'!C79)/6)&lt;='V06 Calend 01'!E79)),IF((178=('V06 Calend 01'!C79+(6*'V06 Calend 01'!E79))),('V06 Calend 01'!H79-('V06 Calend 01'!I79*('V06 Calend 01'!E79-1))),'V06 Calend 01'!I79),0))+IF((178='V06 Calend 01'!D79),'V06 Calend 01'!J79,0))</f>
        <v>0</v>
      </c>
      <c r="GI79" s="2">
        <f>((IF((179='V06 Calend 01'!C79),('V06 Calend 01'!F79+'V06 Calend 01'!G79),0)+IF(AND(('V06 Calend 01'!E79&gt;0),(179&gt;'V06 Calend 01'!C79),(179&lt;'V06 Calend 01'!D79),(MOD((179-'V06 Calend 01'!C79),6)=0),(((179-'V06 Calend 01'!C79)/6)&lt;='V06 Calend 01'!E79)),IF((179=('V06 Calend 01'!C79+(6*'V06 Calend 01'!E79))),('V06 Calend 01'!H79-('V06 Calend 01'!I79*('V06 Calend 01'!E79-1))),'V06 Calend 01'!I79),0))+IF((179='V06 Calend 01'!D79),'V06 Calend 01'!J79,0))</f>
        <v>0</v>
      </c>
      <c r="GJ79" s="2">
        <f>((IF((180='V06 Calend 01'!C79),('V06 Calend 01'!F79+'V06 Calend 01'!G79),0)+IF(AND(('V06 Calend 01'!E79&gt;0),(180&gt;'V06 Calend 01'!C79),(180&lt;'V06 Calend 01'!D79),(MOD((180-'V06 Calend 01'!C79),6)=0),(((180-'V06 Calend 01'!C79)/6)&lt;='V06 Calend 01'!E79)),IF((180=('V06 Calend 01'!C79+(6*'V06 Calend 01'!E79))),('V06 Calend 01'!H79-('V06 Calend 01'!I79*('V06 Calend 01'!E79-1))),'V06 Calend 01'!I79),0))+IF((180='V06 Calend 01'!D79),'V06 Calend 01'!J79,0))</f>
        <v>0</v>
      </c>
    </row>
    <row r="80" spans="1:192">
      <c r="A80" s="3" t="str">
        <f>'V06 Unidades'!$A$80</f>
        <v>906</v>
      </c>
      <c r="B80" s="2">
        <f>'V06 Unidades'!$H$80</f>
        <v>696313.61</v>
      </c>
      <c r="C80" s="4">
        <f>('V06 Unidades'!$I$80+'V06 Controlos'!$B$37)</f>
        <v>1</v>
      </c>
      <c r="D80" s="4">
        <f>IF(('V06 Controlos'!$B$38&gt;0),MAX(('V06 Unidades'!$L$80+'V06 Controlos'!$B$37),(30+'V06 Controlos'!$B$38)),('V06 Unidades'!$L$80+'V06 Controlos'!$B$37))</f>
        <v>28</v>
      </c>
      <c r="E80" s="4">
        <f>MAX(0,INT(((('V06 Calend 01'!D80-'V06 Calend 01'!C80)-1)/6)))</f>
        <v>4</v>
      </c>
      <c r="F80" s="2">
        <f>ROUND(('V06 Calend 01'!B80*0.05),2)</f>
        <v>34815.68</v>
      </c>
      <c r="G80" s="2">
        <f>ROUND(('V06 Calend 01'!B80*0.2),2)</f>
        <v>139262.72</v>
      </c>
      <c r="H80" s="2">
        <f>ROUND(('V06 Calend 01'!B80*0.55),2)</f>
        <v>382972.49</v>
      </c>
      <c r="I80" s="2">
        <f>ROUND(('V06 Calend 01'!H80/MAX(1,'V06 Calend 01'!E80)),2)</f>
        <v>95743.12</v>
      </c>
      <c r="J80" s="2">
        <f>((('V06 Calend 01'!B80-'V06 Calend 01'!F80)-'V06 Calend 01'!G80)-'V06 Calend 01'!H80)</f>
        <v>139262.71999999997</v>
      </c>
      <c r="K80" s="2">
        <f>('V06 Calend 01'!B80*0.025)</f>
        <v>17407.84025</v>
      </c>
      <c r="L80" t="s">
        <v>378</v>
      </c>
      <c r="M80" s="2">
        <f>((IF((1='V06 Calend 01'!C80),('V06 Calend 01'!F80+'V06 Calend 01'!G80),0)+IF(AND(('V06 Calend 01'!E80&gt;0),(1&gt;'V06 Calend 01'!C80),(1&lt;'V06 Calend 01'!D80),(MOD((1-'V06 Calend 01'!C80),6)=0),(((1-'V06 Calend 01'!C80)/6)&lt;='V06 Calend 01'!E80)),IF((1=('V06 Calend 01'!C80+(6*'V06 Calend 01'!E80))),('V06 Calend 01'!H80-('V06 Calend 01'!I80*('V06 Calend 01'!E80-1))),'V06 Calend 01'!I80),0))+IF((1='V06 Calend 01'!D80),'V06 Calend 01'!J80,0))</f>
        <v>174078.4</v>
      </c>
      <c r="N80" s="2">
        <f>((IF((2='V06 Calend 01'!C80),('V06 Calend 01'!F80+'V06 Calend 01'!G80),0)+IF(AND(('V06 Calend 01'!E80&gt;0),(2&gt;'V06 Calend 01'!C80),(2&lt;'V06 Calend 01'!D80),(MOD((2-'V06 Calend 01'!C80),6)=0),(((2-'V06 Calend 01'!C80)/6)&lt;='V06 Calend 01'!E80)),IF((2=('V06 Calend 01'!C80+(6*'V06 Calend 01'!E80))),('V06 Calend 01'!H80-('V06 Calend 01'!I80*('V06 Calend 01'!E80-1))),'V06 Calend 01'!I80),0))+IF((2='V06 Calend 01'!D80),'V06 Calend 01'!J80,0))</f>
        <v>0</v>
      </c>
      <c r="O80" s="2">
        <f>((IF((3='V06 Calend 01'!C80),('V06 Calend 01'!F80+'V06 Calend 01'!G80),0)+IF(AND(('V06 Calend 01'!E80&gt;0),(3&gt;'V06 Calend 01'!C80),(3&lt;'V06 Calend 01'!D80),(MOD((3-'V06 Calend 01'!C80),6)=0),(((3-'V06 Calend 01'!C80)/6)&lt;='V06 Calend 01'!E80)),IF((3=('V06 Calend 01'!C80+(6*'V06 Calend 01'!E80))),('V06 Calend 01'!H80-('V06 Calend 01'!I80*('V06 Calend 01'!E80-1))),'V06 Calend 01'!I80),0))+IF((3='V06 Calend 01'!D80),'V06 Calend 01'!J80,0))</f>
        <v>0</v>
      </c>
      <c r="P80" s="2">
        <f>((IF((4='V06 Calend 01'!C80),('V06 Calend 01'!F80+'V06 Calend 01'!G80),0)+IF(AND(('V06 Calend 01'!E80&gt;0),(4&gt;'V06 Calend 01'!C80),(4&lt;'V06 Calend 01'!D80),(MOD((4-'V06 Calend 01'!C80),6)=0),(((4-'V06 Calend 01'!C80)/6)&lt;='V06 Calend 01'!E80)),IF((4=('V06 Calend 01'!C80+(6*'V06 Calend 01'!E80))),('V06 Calend 01'!H80-('V06 Calend 01'!I80*('V06 Calend 01'!E80-1))),'V06 Calend 01'!I80),0))+IF((4='V06 Calend 01'!D80),'V06 Calend 01'!J80,0))</f>
        <v>0</v>
      </c>
      <c r="Q80" s="2">
        <f>((IF((5='V06 Calend 01'!C80),('V06 Calend 01'!F80+'V06 Calend 01'!G80),0)+IF(AND(('V06 Calend 01'!E80&gt;0),(5&gt;'V06 Calend 01'!C80),(5&lt;'V06 Calend 01'!D80),(MOD((5-'V06 Calend 01'!C80),6)=0),(((5-'V06 Calend 01'!C80)/6)&lt;='V06 Calend 01'!E80)),IF((5=('V06 Calend 01'!C80+(6*'V06 Calend 01'!E80))),('V06 Calend 01'!H80-('V06 Calend 01'!I80*('V06 Calend 01'!E80-1))),'V06 Calend 01'!I80),0))+IF((5='V06 Calend 01'!D80),'V06 Calend 01'!J80,0))</f>
        <v>0</v>
      </c>
      <c r="R80" s="2">
        <f>((IF((6='V06 Calend 01'!C80),('V06 Calend 01'!F80+'V06 Calend 01'!G80),0)+IF(AND(('V06 Calend 01'!E80&gt;0),(6&gt;'V06 Calend 01'!C80),(6&lt;'V06 Calend 01'!D80),(MOD((6-'V06 Calend 01'!C80),6)=0),(((6-'V06 Calend 01'!C80)/6)&lt;='V06 Calend 01'!E80)),IF((6=('V06 Calend 01'!C80+(6*'V06 Calend 01'!E80))),('V06 Calend 01'!H80-('V06 Calend 01'!I80*('V06 Calend 01'!E80-1))),'V06 Calend 01'!I80),0))+IF((6='V06 Calend 01'!D80),'V06 Calend 01'!J80,0))</f>
        <v>0</v>
      </c>
      <c r="S80" s="2">
        <f>((IF((7='V06 Calend 01'!C80),('V06 Calend 01'!F80+'V06 Calend 01'!G80),0)+IF(AND(('V06 Calend 01'!E80&gt;0),(7&gt;'V06 Calend 01'!C80),(7&lt;'V06 Calend 01'!D80),(MOD((7-'V06 Calend 01'!C80),6)=0),(((7-'V06 Calend 01'!C80)/6)&lt;='V06 Calend 01'!E80)),IF((7=('V06 Calend 01'!C80+(6*'V06 Calend 01'!E80))),('V06 Calend 01'!H80-('V06 Calend 01'!I80*('V06 Calend 01'!E80-1))),'V06 Calend 01'!I80),0))+IF((7='V06 Calend 01'!D80),'V06 Calend 01'!J80,0))</f>
        <v>95743.12</v>
      </c>
      <c r="T80" s="2">
        <f>((IF((8='V06 Calend 01'!C80),('V06 Calend 01'!F80+'V06 Calend 01'!G80),0)+IF(AND(('V06 Calend 01'!E80&gt;0),(8&gt;'V06 Calend 01'!C80),(8&lt;'V06 Calend 01'!D80),(MOD((8-'V06 Calend 01'!C80),6)=0),(((8-'V06 Calend 01'!C80)/6)&lt;='V06 Calend 01'!E80)),IF((8=('V06 Calend 01'!C80+(6*'V06 Calend 01'!E80))),('V06 Calend 01'!H80-('V06 Calend 01'!I80*('V06 Calend 01'!E80-1))),'V06 Calend 01'!I80),0))+IF((8='V06 Calend 01'!D80),'V06 Calend 01'!J80,0))</f>
        <v>0</v>
      </c>
      <c r="U80" s="2">
        <f>((IF((9='V06 Calend 01'!C80),('V06 Calend 01'!F80+'V06 Calend 01'!G80),0)+IF(AND(('V06 Calend 01'!E80&gt;0),(9&gt;'V06 Calend 01'!C80),(9&lt;'V06 Calend 01'!D80),(MOD((9-'V06 Calend 01'!C80),6)=0),(((9-'V06 Calend 01'!C80)/6)&lt;='V06 Calend 01'!E80)),IF((9=('V06 Calend 01'!C80+(6*'V06 Calend 01'!E80))),('V06 Calend 01'!H80-('V06 Calend 01'!I80*('V06 Calend 01'!E80-1))),'V06 Calend 01'!I80),0))+IF((9='V06 Calend 01'!D80),'V06 Calend 01'!J80,0))</f>
        <v>0</v>
      </c>
      <c r="V80" s="2">
        <f>((IF((10='V06 Calend 01'!C80),('V06 Calend 01'!F80+'V06 Calend 01'!G80),0)+IF(AND(('V06 Calend 01'!E80&gt;0),(10&gt;'V06 Calend 01'!C80),(10&lt;'V06 Calend 01'!D80),(MOD((10-'V06 Calend 01'!C80),6)=0),(((10-'V06 Calend 01'!C80)/6)&lt;='V06 Calend 01'!E80)),IF((10=('V06 Calend 01'!C80+(6*'V06 Calend 01'!E80))),('V06 Calend 01'!H80-('V06 Calend 01'!I80*('V06 Calend 01'!E80-1))),'V06 Calend 01'!I80),0))+IF((10='V06 Calend 01'!D80),'V06 Calend 01'!J80,0))</f>
        <v>0</v>
      </c>
      <c r="W80" s="2">
        <f>((IF((11='V06 Calend 01'!C80),('V06 Calend 01'!F80+'V06 Calend 01'!G80),0)+IF(AND(('V06 Calend 01'!E80&gt;0),(11&gt;'V06 Calend 01'!C80),(11&lt;'V06 Calend 01'!D80),(MOD((11-'V06 Calend 01'!C80),6)=0),(((11-'V06 Calend 01'!C80)/6)&lt;='V06 Calend 01'!E80)),IF((11=('V06 Calend 01'!C80+(6*'V06 Calend 01'!E80))),('V06 Calend 01'!H80-('V06 Calend 01'!I80*('V06 Calend 01'!E80-1))),'V06 Calend 01'!I80),0))+IF((11='V06 Calend 01'!D80),'V06 Calend 01'!J80,0))</f>
        <v>0</v>
      </c>
      <c r="X80" s="2">
        <f>((IF((12='V06 Calend 01'!C80),('V06 Calend 01'!F80+'V06 Calend 01'!G80),0)+IF(AND(('V06 Calend 01'!E80&gt;0),(12&gt;'V06 Calend 01'!C80),(12&lt;'V06 Calend 01'!D80),(MOD((12-'V06 Calend 01'!C80),6)=0),(((12-'V06 Calend 01'!C80)/6)&lt;='V06 Calend 01'!E80)),IF((12=('V06 Calend 01'!C80+(6*'V06 Calend 01'!E80))),('V06 Calend 01'!H80-('V06 Calend 01'!I80*('V06 Calend 01'!E80-1))),'V06 Calend 01'!I80),0))+IF((12='V06 Calend 01'!D80),'V06 Calend 01'!J80,0))</f>
        <v>0</v>
      </c>
      <c r="Y80" s="2">
        <f>((IF((13='V06 Calend 01'!C80),('V06 Calend 01'!F80+'V06 Calend 01'!G80),0)+IF(AND(('V06 Calend 01'!E80&gt;0),(13&gt;'V06 Calend 01'!C80),(13&lt;'V06 Calend 01'!D80),(MOD((13-'V06 Calend 01'!C80),6)=0),(((13-'V06 Calend 01'!C80)/6)&lt;='V06 Calend 01'!E80)),IF((13=('V06 Calend 01'!C80+(6*'V06 Calend 01'!E80))),('V06 Calend 01'!H80-('V06 Calend 01'!I80*('V06 Calend 01'!E80-1))),'V06 Calend 01'!I80),0))+IF((13='V06 Calend 01'!D80),'V06 Calend 01'!J80,0))</f>
        <v>95743.12</v>
      </c>
      <c r="Z80" s="2">
        <f>((IF((14='V06 Calend 01'!C80),('V06 Calend 01'!F80+'V06 Calend 01'!G80),0)+IF(AND(('V06 Calend 01'!E80&gt;0),(14&gt;'V06 Calend 01'!C80),(14&lt;'V06 Calend 01'!D80),(MOD((14-'V06 Calend 01'!C80),6)=0),(((14-'V06 Calend 01'!C80)/6)&lt;='V06 Calend 01'!E80)),IF((14=('V06 Calend 01'!C80+(6*'V06 Calend 01'!E80))),('V06 Calend 01'!H80-('V06 Calend 01'!I80*('V06 Calend 01'!E80-1))),'V06 Calend 01'!I80),0))+IF((14='V06 Calend 01'!D80),'V06 Calend 01'!J80,0))</f>
        <v>0</v>
      </c>
      <c r="AA80" s="2">
        <f>((IF((15='V06 Calend 01'!C80),('V06 Calend 01'!F80+'V06 Calend 01'!G80),0)+IF(AND(('V06 Calend 01'!E80&gt;0),(15&gt;'V06 Calend 01'!C80),(15&lt;'V06 Calend 01'!D80),(MOD((15-'V06 Calend 01'!C80),6)=0),(((15-'V06 Calend 01'!C80)/6)&lt;='V06 Calend 01'!E80)),IF((15=('V06 Calend 01'!C80+(6*'V06 Calend 01'!E80))),('V06 Calend 01'!H80-('V06 Calend 01'!I80*('V06 Calend 01'!E80-1))),'V06 Calend 01'!I80),0))+IF((15='V06 Calend 01'!D80),'V06 Calend 01'!J80,0))</f>
        <v>0</v>
      </c>
      <c r="AB80" s="2">
        <f>((IF((16='V06 Calend 01'!C80),('V06 Calend 01'!F80+'V06 Calend 01'!G80),0)+IF(AND(('V06 Calend 01'!E80&gt;0),(16&gt;'V06 Calend 01'!C80),(16&lt;'V06 Calend 01'!D80),(MOD((16-'V06 Calend 01'!C80),6)=0),(((16-'V06 Calend 01'!C80)/6)&lt;='V06 Calend 01'!E80)),IF((16=('V06 Calend 01'!C80+(6*'V06 Calend 01'!E80))),('V06 Calend 01'!H80-('V06 Calend 01'!I80*('V06 Calend 01'!E80-1))),'V06 Calend 01'!I80),0))+IF((16='V06 Calend 01'!D80),'V06 Calend 01'!J80,0))</f>
        <v>0</v>
      </c>
      <c r="AC80" s="2">
        <f>((IF((17='V06 Calend 01'!C80),('V06 Calend 01'!F80+'V06 Calend 01'!G80),0)+IF(AND(('V06 Calend 01'!E80&gt;0),(17&gt;'V06 Calend 01'!C80),(17&lt;'V06 Calend 01'!D80),(MOD((17-'V06 Calend 01'!C80),6)=0),(((17-'V06 Calend 01'!C80)/6)&lt;='V06 Calend 01'!E80)),IF((17=('V06 Calend 01'!C80+(6*'V06 Calend 01'!E80))),('V06 Calend 01'!H80-('V06 Calend 01'!I80*('V06 Calend 01'!E80-1))),'V06 Calend 01'!I80),0))+IF((17='V06 Calend 01'!D80),'V06 Calend 01'!J80,0))</f>
        <v>0</v>
      </c>
      <c r="AD80" s="2">
        <f>((IF((18='V06 Calend 01'!C80),('V06 Calend 01'!F80+'V06 Calend 01'!G80),0)+IF(AND(('V06 Calend 01'!E80&gt;0),(18&gt;'V06 Calend 01'!C80),(18&lt;'V06 Calend 01'!D80),(MOD((18-'V06 Calend 01'!C80),6)=0),(((18-'V06 Calend 01'!C80)/6)&lt;='V06 Calend 01'!E80)),IF((18=('V06 Calend 01'!C80+(6*'V06 Calend 01'!E80))),('V06 Calend 01'!H80-('V06 Calend 01'!I80*('V06 Calend 01'!E80-1))),'V06 Calend 01'!I80),0))+IF((18='V06 Calend 01'!D80),'V06 Calend 01'!J80,0))</f>
        <v>0</v>
      </c>
      <c r="AE80" s="2">
        <f>((IF((19='V06 Calend 01'!C80),('V06 Calend 01'!F80+'V06 Calend 01'!G80),0)+IF(AND(('V06 Calend 01'!E80&gt;0),(19&gt;'V06 Calend 01'!C80),(19&lt;'V06 Calend 01'!D80),(MOD((19-'V06 Calend 01'!C80),6)=0),(((19-'V06 Calend 01'!C80)/6)&lt;='V06 Calend 01'!E80)),IF((19=('V06 Calend 01'!C80+(6*'V06 Calend 01'!E80))),('V06 Calend 01'!H80-('V06 Calend 01'!I80*('V06 Calend 01'!E80-1))),'V06 Calend 01'!I80),0))+IF((19='V06 Calend 01'!D80),'V06 Calend 01'!J80,0))</f>
        <v>95743.12</v>
      </c>
      <c r="AF80" s="2">
        <f>((IF((20='V06 Calend 01'!C80),('V06 Calend 01'!F80+'V06 Calend 01'!G80),0)+IF(AND(('V06 Calend 01'!E80&gt;0),(20&gt;'V06 Calend 01'!C80),(20&lt;'V06 Calend 01'!D80),(MOD((20-'V06 Calend 01'!C80),6)=0),(((20-'V06 Calend 01'!C80)/6)&lt;='V06 Calend 01'!E80)),IF((20=('V06 Calend 01'!C80+(6*'V06 Calend 01'!E80))),('V06 Calend 01'!H80-('V06 Calend 01'!I80*('V06 Calend 01'!E80-1))),'V06 Calend 01'!I80),0))+IF((20='V06 Calend 01'!D80),'V06 Calend 01'!J80,0))</f>
        <v>0</v>
      </c>
      <c r="AG80" s="2">
        <f>((IF((21='V06 Calend 01'!C80),('V06 Calend 01'!F80+'V06 Calend 01'!G80),0)+IF(AND(('V06 Calend 01'!E80&gt;0),(21&gt;'V06 Calend 01'!C80),(21&lt;'V06 Calend 01'!D80),(MOD((21-'V06 Calend 01'!C80),6)=0),(((21-'V06 Calend 01'!C80)/6)&lt;='V06 Calend 01'!E80)),IF((21=('V06 Calend 01'!C80+(6*'V06 Calend 01'!E80))),('V06 Calend 01'!H80-('V06 Calend 01'!I80*('V06 Calend 01'!E80-1))),'V06 Calend 01'!I80),0))+IF((21='V06 Calend 01'!D80),'V06 Calend 01'!J80,0))</f>
        <v>0</v>
      </c>
      <c r="AH80" s="2">
        <f>((IF((22='V06 Calend 01'!C80),('V06 Calend 01'!F80+'V06 Calend 01'!G80),0)+IF(AND(('V06 Calend 01'!E80&gt;0),(22&gt;'V06 Calend 01'!C80),(22&lt;'V06 Calend 01'!D80),(MOD((22-'V06 Calend 01'!C80),6)=0),(((22-'V06 Calend 01'!C80)/6)&lt;='V06 Calend 01'!E80)),IF((22=('V06 Calend 01'!C80+(6*'V06 Calend 01'!E80))),('V06 Calend 01'!H80-('V06 Calend 01'!I80*('V06 Calend 01'!E80-1))),'V06 Calend 01'!I80),0))+IF((22='V06 Calend 01'!D80),'V06 Calend 01'!J80,0))</f>
        <v>0</v>
      </c>
      <c r="AI80" s="2">
        <f>((IF((23='V06 Calend 01'!C80),('V06 Calend 01'!F80+'V06 Calend 01'!G80),0)+IF(AND(('V06 Calend 01'!E80&gt;0),(23&gt;'V06 Calend 01'!C80),(23&lt;'V06 Calend 01'!D80),(MOD((23-'V06 Calend 01'!C80),6)=0),(((23-'V06 Calend 01'!C80)/6)&lt;='V06 Calend 01'!E80)),IF((23=('V06 Calend 01'!C80+(6*'V06 Calend 01'!E80))),('V06 Calend 01'!H80-('V06 Calend 01'!I80*('V06 Calend 01'!E80-1))),'V06 Calend 01'!I80),0))+IF((23='V06 Calend 01'!D80),'V06 Calend 01'!J80,0))</f>
        <v>0</v>
      </c>
      <c r="AJ80" s="2">
        <f>((IF((24='V06 Calend 01'!C80),('V06 Calend 01'!F80+'V06 Calend 01'!G80),0)+IF(AND(('V06 Calend 01'!E80&gt;0),(24&gt;'V06 Calend 01'!C80),(24&lt;'V06 Calend 01'!D80),(MOD((24-'V06 Calend 01'!C80),6)=0),(((24-'V06 Calend 01'!C80)/6)&lt;='V06 Calend 01'!E80)),IF((24=('V06 Calend 01'!C80+(6*'V06 Calend 01'!E80))),('V06 Calend 01'!H80-('V06 Calend 01'!I80*('V06 Calend 01'!E80-1))),'V06 Calend 01'!I80),0))+IF((24='V06 Calend 01'!D80),'V06 Calend 01'!J80,0))</f>
        <v>0</v>
      </c>
      <c r="AK80" s="2">
        <f>((IF((25='V06 Calend 01'!C80),('V06 Calend 01'!F80+'V06 Calend 01'!G80),0)+IF(AND(('V06 Calend 01'!E80&gt;0),(25&gt;'V06 Calend 01'!C80),(25&lt;'V06 Calend 01'!D80),(MOD((25-'V06 Calend 01'!C80),6)=0),(((25-'V06 Calend 01'!C80)/6)&lt;='V06 Calend 01'!E80)),IF((25=('V06 Calend 01'!C80+(6*'V06 Calend 01'!E80))),('V06 Calend 01'!H80-('V06 Calend 01'!I80*('V06 Calend 01'!E80-1))),'V06 Calend 01'!I80),0))+IF((25='V06 Calend 01'!D80),'V06 Calend 01'!J80,0))</f>
        <v>95743.13</v>
      </c>
      <c r="AL80" s="2">
        <f>((IF((26='V06 Calend 01'!C80),('V06 Calend 01'!F80+'V06 Calend 01'!G80),0)+IF(AND(('V06 Calend 01'!E80&gt;0),(26&gt;'V06 Calend 01'!C80),(26&lt;'V06 Calend 01'!D80),(MOD((26-'V06 Calend 01'!C80),6)=0),(((26-'V06 Calend 01'!C80)/6)&lt;='V06 Calend 01'!E80)),IF((26=('V06 Calend 01'!C80+(6*'V06 Calend 01'!E80))),('V06 Calend 01'!H80-('V06 Calend 01'!I80*('V06 Calend 01'!E80-1))),'V06 Calend 01'!I80),0))+IF((26='V06 Calend 01'!D80),'V06 Calend 01'!J80,0))</f>
        <v>0</v>
      </c>
      <c r="AM80" s="2">
        <f>((IF((27='V06 Calend 01'!C80),('V06 Calend 01'!F80+'V06 Calend 01'!G80),0)+IF(AND(('V06 Calend 01'!E80&gt;0),(27&gt;'V06 Calend 01'!C80),(27&lt;'V06 Calend 01'!D80),(MOD((27-'V06 Calend 01'!C80),6)=0),(((27-'V06 Calend 01'!C80)/6)&lt;='V06 Calend 01'!E80)),IF((27=('V06 Calend 01'!C80+(6*'V06 Calend 01'!E80))),('V06 Calend 01'!H80-('V06 Calend 01'!I80*('V06 Calend 01'!E80-1))),'V06 Calend 01'!I80),0))+IF((27='V06 Calend 01'!D80),'V06 Calend 01'!J80,0))</f>
        <v>0</v>
      </c>
      <c r="AN80" s="2">
        <f>((IF((28='V06 Calend 01'!C80),('V06 Calend 01'!F80+'V06 Calend 01'!G80),0)+IF(AND(('V06 Calend 01'!E80&gt;0),(28&gt;'V06 Calend 01'!C80),(28&lt;'V06 Calend 01'!D80),(MOD((28-'V06 Calend 01'!C80),6)=0),(((28-'V06 Calend 01'!C80)/6)&lt;='V06 Calend 01'!E80)),IF((28=('V06 Calend 01'!C80+(6*'V06 Calend 01'!E80))),('V06 Calend 01'!H80-('V06 Calend 01'!I80*('V06 Calend 01'!E80-1))),'V06 Calend 01'!I80),0))+IF((28='V06 Calend 01'!D80),'V06 Calend 01'!J80,0))</f>
        <v>139262.71999999997</v>
      </c>
      <c r="AO80" s="2">
        <f>((IF((29='V06 Calend 01'!C80),('V06 Calend 01'!F80+'V06 Calend 01'!G80),0)+IF(AND(('V06 Calend 01'!E80&gt;0),(29&gt;'V06 Calend 01'!C80),(29&lt;'V06 Calend 01'!D80),(MOD((29-'V06 Calend 01'!C80),6)=0),(((29-'V06 Calend 01'!C80)/6)&lt;='V06 Calend 01'!E80)),IF((29=('V06 Calend 01'!C80+(6*'V06 Calend 01'!E80))),('V06 Calend 01'!H80-('V06 Calend 01'!I80*('V06 Calend 01'!E80-1))),'V06 Calend 01'!I80),0))+IF((29='V06 Calend 01'!D80),'V06 Calend 01'!J80,0))</f>
        <v>0</v>
      </c>
      <c r="AP80" s="2">
        <f>((IF((30='V06 Calend 01'!C80),('V06 Calend 01'!F80+'V06 Calend 01'!G80),0)+IF(AND(('V06 Calend 01'!E80&gt;0),(30&gt;'V06 Calend 01'!C80),(30&lt;'V06 Calend 01'!D80),(MOD((30-'V06 Calend 01'!C80),6)=0),(((30-'V06 Calend 01'!C80)/6)&lt;='V06 Calend 01'!E80)),IF((30=('V06 Calend 01'!C80+(6*'V06 Calend 01'!E80))),('V06 Calend 01'!H80-('V06 Calend 01'!I80*('V06 Calend 01'!E80-1))),'V06 Calend 01'!I80),0))+IF((30='V06 Calend 01'!D80),'V06 Calend 01'!J80,0))</f>
        <v>0</v>
      </c>
      <c r="AQ80" s="2">
        <f>((IF((31='V06 Calend 01'!C80),('V06 Calend 01'!F80+'V06 Calend 01'!G80),0)+IF(AND(('V06 Calend 01'!E80&gt;0),(31&gt;'V06 Calend 01'!C80),(31&lt;'V06 Calend 01'!D80),(MOD((31-'V06 Calend 01'!C80),6)=0),(((31-'V06 Calend 01'!C80)/6)&lt;='V06 Calend 01'!E80)),IF((31=('V06 Calend 01'!C80+(6*'V06 Calend 01'!E80))),('V06 Calend 01'!H80-('V06 Calend 01'!I80*('V06 Calend 01'!E80-1))),'V06 Calend 01'!I80),0))+IF((31='V06 Calend 01'!D80),'V06 Calend 01'!J80,0))</f>
        <v>0</v>
      </c>
      <c r="AR80" s="2">
        <f>((IF((32='V06 Calend 01'!C80),('V06 Calend 01'!F80+'V06 Calend 01'!G80),0)+IF(AND(('V06 Calend 01'!E80&gt;0),(32&gt;'V06 Calend 01'!C80),(32&lt;'V06 Calend 01'!D80),(MOD((32-'V06 Calend 01'!C80),6)=0),(((32-'V06 Calend 01'!C80)/6)&lt;='V06 Calend 01'!E80)),IF((32=('V06 Calend 01'!C80+(6*'V06 Calend 01'!E80))),('V06 Calend 01'!H80-('V06 Calend 01'!I80*('V06 Calend 01'!E80-1))),'V06 Calend 01'!I80),0))+IF((32='V06 Calend 01'!D80),'V06 Calend 01'!J80,0))</f>
        <v>0</v>
      </c>
      <c r="AS80" s="2">
        <f>((IF((33='V06 Calend 01'!C80),('V06 Calend 01'!F80+'V06 Calend 01'!G80),0)+IF(AND(('V06 Calend 01'!E80&gt;0),(33&gt;'V06 Calend 01'!C80),(33&lt;'V06 Calend 01'!D80),(MOD((33-'V06 Calend 01'!C80),6)=0),(((33-'V06 Calend 01'!C80)/6)&lt;='V06 Calend 01'!E80)),IF((33=('V06 Calend 01'!C80+(6*'V06 Calend 01'!E80))),('V06 Calend 01'!H80-('V06 Calend 01'!I80*('V06 Calend 01'!E80-1))),'V06 Calend 01'!I80),0))+IF((33='V06 Calend 01'!D80),'V06 Calend 01'!J80,0))</f>
        <v>0</v>
      </c>
      <c r="AT80" s="2">
        <f>((IF((34='V06 Calend 01'!C80),('V06 Calend 01'!F80+'V06 Calend 01'!G80),0)+IF(AND(('V06 Calend 01'!E80&gt;0),(34&gt;'V06 Calend 01'!C80),(34&lt;'V06 Calend 01'!D80),(MOD((34-'V06 Calend 01'!C80),6)=0),(((34-'V06 Calend 01'!C80)/6)&lt;='V06 Calend 01'!E80)),IF((34=('V06 Calend 01'!C80+(6*'V06 Calend 01'!E80))),('V06 Calend 01'!H80-('V06 Calend 01'!I80*('V06 Calend 01'!E80-1))),'V06 Calend 01'!I80),0))+IF((34='V06 Calend 01'!D80),'V06 Calend 01'!J80,0))</f>
        <v>0</v>
      </c>
      <c r="AU80" s="2">
        <f>((IF((35='V06 Calend 01'!C80),('V06 Calend 01'!F80+'V06 Calend 01'!G80),0)+IF(AND(('V06 Calend 01'!E80&gt;0),(35&gt;'V06 Calend 01'!C80),(35&lt;'V06 Calend 01'!D80),(MOD((35-'V06 Calend 01'!C80),6)=0),(((35-'V06 Calend 01'!C80)/6)&lt;='V06 Calend 01'!E80)),IF((35=('V06 Calend 01'!C80+(6*'V06 Calend 01'!E80))),('V06 Calend 01'!H80-('V06 Calend 01'!I80*('V06 Calend 01'!E80-1))),'V06 Calend 01'!I80),0))+IF((35='V06 Calend 01'!D80),'V06 Calend 01'!J80,0))</f>
        <v>0</v>
      </c>
      <c r="AV80" s="2">
        <f>((IF((36='V06 Calend 01'!C80),('V06 Calend 01'!F80+'V06 Calend 01'!G80),0)+IF(AND(('V06 Calend 01'!E80&gt;0),(36&gt;'V06 Calend 01'!C80),(36&lt;'V06 Calend 01'!D80),(MOD((36-'V06 Calend 01'!C80),6)=0),(((36-'V06 Calend 01'!C80)/6)&lt;='V06 Calend 01'!E80)),IF((36=('V06 Calend 01'!C80+(6*'V06 Calend 01'!E80))),('V06 Calend 01'!H80-('V06 Calend 01'!I80*('V06 Calend 01'!E80-1))),'V06 Calend 01'!I80),0))+IF((36='V06 Calend 01'!D80),'V06 Calend 01'!J80,0))</f>
        <v>0</v>
      </c>
      <c r="AW80" s="2">
        <f>((IF((37='V06 Calend 01'!C80),('V06 Calend 01'!F80+'V06 Calend 01'!G80),0)+IF(AND(('V06 Calend 01'!E80&gt;0),(37&gt;'V06 Calend 01'!C80),(37&lt;'V06 Calend 01'!D80),(MOD((37-'V06 Calend 01'!C80),6)=0),(((37-'V06 Calend 01'!C80)/6)&lt;='V06 Calend 01'!E80)),IF((37=('V06 Calend 01'!C80+(6*'V06 Calend 01'!E80))),('V06 Calend 01'!H80-('V06 Calend 01'!I80*('V06 Calend 01'!E80-1))),'V06 Calend 01'!I80),0))+IF((37='V06 Calend 01'!D80),'V06 Calend 01'!J80,0))</f>
        <v>0</v>
      </c>
      <c r="AX80" s="2">
        <f>((IF((38='V06 Calend 01'!C80),('V06 Calend 01'!F80+'V06 Calend 01'!G80),0)+IF(AND(('V06 Calend 01'!E80&gt;0),(38&gt;'V06 Calend 01'!C80),(38&lt;'V06 Calend 01'!D80),(MOD((38-'V06 Calend 01'!C80),6)=0),(((38-'V06 Calend 01'!C80)/6)&lt;='V06 Calend 01'!E80)),IF((38=('V06 Calend 01'!C80+(6*'V06 Calend 01'!E80))),('V06 Calend 01'!H80-('V06 Calend 01'!I80*('V06 Calend 01'!E80-1))),'V06 Calend 01'!I80),0))+IF((38='V06 Calend 01'!D80),'V06 Calend 01'!J80,0))</f>
        <v>0</v>
      </c>
      <c r="AY80" s="2">
        <f>((IF((39='V06 Calend 01'!C80),('V06 Calend 01'!F80+'V06 Calend 01'!G80),0)+IF(AND(('V06 Calend 01'!E80&gt;0),(39&gt;'V06 Calend 01'!C80),(39&lt;'V06 Calend 01'!D80),(MOD((39-'V06 Calend 01'!C80),6)=0),(((39-'V06 Calend 01'!C80)/6)&lt;='V06 Calend 01'!E80)),IF((39=('V06 Calend 01'!C80+(6*'V06 Calend 01'!E80))),('V06 Calend 01'!H80-('V06 Calend 01'!I80*('V06 Calend 01'!E80-1))),'V06 Calend 01'!I80),0))+IF((39='V06 Calend 01'!D80),'V06 Calend 01'!J80,0))</f>
        <v>0</v>
      </c>
      <c r="AZ80" s="2">
        <f>((IF((40='V06 Calend 01'!C80),('V06 Calend 01'!F80+'V06 Calend 01'!G80),0)+IF(AND(('V06 Calend 01'!E80&gt;0),(40&gt;'V06 Calend 01'!C80),(40&lt;'V06 Calend 01'!D80),(MOD((40-'V06 Calend 01'!C80),6)=0),(((40-'V06 Calend 01'!C80)/6)&lt;='V06 Calend 01'!E80)),IF((40=('V06 Calend 01'!C80+(6*'V06 Calend 01'!E80))),('V06 Calend 01'!H80-('V06 Calend 01'!I80*('V06 Calend 01'!E80-1))),'V06 Calend 01'!I80),0))+IF((40='V06 Calend 01'!D80),'V06 Calend 01'!J80,0))</f>
        <v>0</v>
      </c>
      <c r="BA80" s="2">
        <f>((IF((41='V06 Calend 01'!C80),('V06 Calend 01'!F80+'V06 Calend 01'!G80),0)+IF(AND(('V06 Calend 01'!E80&gt;0),(41&gt;'V06 Calend 01'!C80),(41&lt;'V06 Calend 01'!D80),(MOD((41-'V06 Calend 01'!C80),6)=0),(((41-'V06 Calend 01'!C80)/6)&lt;='V06 Calend 01'!E80)),IF((41=('V06 Calend 01'!C80+(6*'V06 Calend 01'!E80))),('V06 Calend 01'!H80-('V06 Calend 01'!I80*('V06 Calend 01'!E80-1))),'V06 Calend 01'!I80),0))+IF((41='V06 Calend 01'!D80),'V06 Calend 01'!J80,0))</f>
        <v>0</v>
      </c>
      <c r="BB80" s="2">
        <f>((IF((42='V06 Calend 01'!C80),('V06 Calend 01'!F80+'V06 Calend 01'!G80),0)+IF(AND(('V06 Calend 01'!E80&gt;0),(42&gt;'V06 Calend 01'!C80),(42&lt;'V06 Calend 01'!D80),(MOD((42-'V06 Calend 01'!C80),6)=0),(((42-'V06 Calend 01'!C80)/6)&lt;='V06 Calend 01'!E80)),IF((42=('V06 Calend 01'!C80+(6*'V06 Calend 01'!E80))),('V06 Calend 01'!H80-('V06 Calend 01'!I80*('V06 Calend 01'!E80-1))),'V06 Calend 01'!I80),0))+IF((42='V06 Calend 01'!D80),'V06 Calend 01'!J80,0))</f>
        <v>0</v>
      </c>
      <c r="BC80" s="2">
        <f>((IF((43='V06 Calend 01'!C80),('V06 Calend 01'!F80+'V06 Calend 01'!G80),0)+IF(AND(('V06 Calend 01'!E80&gt;0),(43&gt;'V06 Calend 01'!C80),(43&lt;'V06 Calend 01'!D80),(MOD((43-'V06 Calend 01'!C80),6)=0),(((43-'V06 Calend 01'!C80)/6)&lt;='V06 Calend 01'!E80)),IF((43=('V06 Calend 01'!C80+(6*'V06 Calend 01'!E80))),('V06 Calend 01'!H80-('V06 Calend 01'!I80*('V06 Calend 01'!E80-1))),'V06 Calend 01'!I80),0))+IF((43='V06 Calend 01'!D80),'V06 Calend 01'!J80,0))</f>
        <v>0</v>
      </c>
      <c r="BD80" s="2">
        <f>((IF((44='V06 Calend 01'!C80),('V06 Calend 01'!F80+'V06 Calend 01'!G80),0)+IF(AND(('V06 Calend 01'!E80&gt;0),(44&gt;'V06 Calend 01'!C80),(44&lt;'V06 Calend 01'!D80),(MOD((44-'V06 Calend 01'!C80),6)=0),(((44-'V06 Calend 01'!C80)/6)&lt;='V06 Calend 01'!E80)),IF((44=('V06 Calend 01'!C80+(6*'V06 Calend 01'!E80))),('V06 Calend 01'!H80-('V06 Calend 01'!I80*('V06 Calend 01'!E80-1))),'V06 Calend 01'!I80),0))+IF((44='V06 Calend 01'!D80),'V06 Calend 01'!J80,0))</f>
        <v>0</v>
      </c>
      <c r="BE80" s="2">
        <f>((IF((45='V06 Calend 01'!C80),('V06 Calend 01'!F80+'V06 Calend 01'!G80),0)+IF(AND(('V06 Calend 01'!E80&gt;0),(45&gt;'V06 Calend 01'!C80),(45&lt;'V06 Calend 01'!D80),(MOD((45-'V06 Calend 01'!C80),6)=0),(((45-'V06 Calend 01'!C80)/6)&lt;='V06 Calend 01'!E80)),IF((45=('V06 Calend 01'!C80+(6*'V06 Calend 01'!E80))),('V06 Calend 01'!H80-('V06 Calend 01'!I80*('V06 Calend 01'!E80-1))),'V06 Calend 01'!I80),0))+IF((45='V06 Calend 01'!D80),'V06 Calend 01'!J80,0))</f>
        <v>0</v>
      </c>
      <c r="BF80" s="2">
        <f>((IF((46='V06 Calend 01'!C80),('V06 Calend 01'!F80+'V06 Calend 01'!G80),0)+IF(AND(('V06 Calend 01'!E80&gt;0),(46&gt;'V06 Calend 01'!C80),(46&lt;'V06 Calend 01'!D80),(MOD((46-'V06 Calend 01'!C80),6)=0),(((46-'V06 Calend 01'!C80)/6)&lt;='V06 Calend 01'!E80)),IF((46=('V06 Calend 01'!C80+(6*'V06 Calend 01'!E80))),('V06 Calend 01'!H80-('V06 Calend 01'!I80*('V06 Calend 01'!E80-1))),'V06 Calend 01'!I80),0))+IF((46='V06 Calend 01'!D80),'V06 Calend 01'!J80,0))</f>
        <v>0</v>
      </c>
      <c r="BG80" s="2">
        <f>((IF((47='V06 Calend 01'!C80),('V06 Calend 01'!F80+'V06 Calend 01'!G80),0)+IF(AND(('V06 Calend 01'!E80&gt;0),(47&gt;'V06 Calend 01'!C80),(47&lt;'V06 Calend 01'!D80),(MOD((47-'V06 Calend 01'!C80),6)=0),(((47-'V06 Calend 01'!C80)/6)&lt;='V06 Calend 01'!E80)),IF((47=('V06 Calend 01'!C80+(6*'V06 Calend 01'!E80))),('V06 Calend 01'!H80-('V06 Calend 01'!I80*('V06 Calend 01'!E80-1))),'V06 Calend 01'!I80),0))+IF((47='V06 Calend 01'!D80),'V06 Calend 01'!J80,0))</f>
        <v>0</v>
      </c>
      <c r="BH80" s="2">
        <f>((IF((48='V06 Calend 01'!C80),('V06 Calend 01'!F80+'V06 Calend 01'!G80),0)+IF(AND(('V06 Calend 01'!E80&gt;0),(48&gt;'V06 Calend 01'!C80),(48&lt;'V06 Calend 01'!D80),(MOD((48-'V06 Calend 01'!C80),6)=0),(((48-'V06 Calend 01'!C80)/6)&lt;='V06 Calend 01'!E80)),IF((48=('V06 Calend 01'!C80+(6*'V06 Calend 01'!E80))),('V06 Calend 01'!H80-('V06 Calend 01'!I80*('V06 Calend 01'!E80-1))),'V06 Calend 01'!I80),0))+IF((48='V06 Calend 01'!D80),'V06 Calend 01'!J80,0))</f>
        <v>0</v>
      </c>
      <c r="BI80" s="2">
        <f>((IF((49='V06 Calend 01'!C80),('V06 Calend 01'!F80+'V06 Calend 01'!G80),0)+IF(AND(('V06 Calend 01'!E80&gt;0),(49&gt;'V06 Calend 01'!C80),(49&lt;'V06 Calend 01'!D80),(MOD((49-'V06 Calend 01'!C80),6)=0),(((49-'V06 Calend 01'!C80)/6)&lt;='V06 Calend 01'!E80)),IF((49=('V06 Calend 01'!C80+(6*'V06 Calend 01'!E80))),('V06 Calend 01'!H80-('V06 Calend 01'!I80*('V06 Calend 01'!E80-1))),'V06 Calend 01'!I80),0))+IF((49='V06 Calend 01'!D80),'V06 Calend 01'!J80,0))</f>
        <v>0</v>
      </c>
      <c r="BJ80" s="2">
        <f>((IF((50='V06 Calend 01'!C80),('V06 Calend 01'!F80+'V06 Calend 01'!G80),0)+IF(AND(('V06 Calend 01'!E80&gt;0),(50&gt;'V06 Calend 01'!C80),(50&lt;'V06 Calend 01'!D80),(MOD((50-'V06 Calend 01'!C80),6)=0),(((50-'V06 Calend 01'!C80)/6)&lt;='V06 Calend 01'!E80)),IF((50=('V06 Calend 01'!C80+(6*'V06 Calend 01'!E80))),('V06 Calend 01'!H80-('V06 Calend 01'!I80*('V06 Calend 01'!E80-1))),'V06 Calend 01'!I80),0))+IF((50='V06 Calend 01'!D80),'V06 Calend 01'!J80,0))</f>
        <v>0</v>
      </c>
      <c r="BK80" s="2">
        <f>((IF((51='V06 Calend 01'!C80),('V06 Calend 01'!F80+'V06 Calend 01'!G80),0)+IF(AND(('V06 Calend 01'!E80&gt;0),(51&gt;'V06 Calend 01'!C80),(51&lt;'V06 Calend 01'!D80),(MOD((51-'V06 Calend 01'!C80),6)=0),(((51-'V06 Calend 01'!C80)/6)&lt;='V06 Calend 01'!E80)),IF((51=('V06 Calend 01'!C80+(6*'V06 Calend 01'!E80))),('V06 Calend 01'!H80-('V06 Calend 01'!I80*('V06 Calend 01'!E80-1))),'V06 Calend 01'!I80),0))+IF((51='V06 Calend 01'!D80),'V06 Calend 01'!J80,0))</f>
        <v>0</v>
      </c>
      <c r="BL80" s="2">
        <f>((IF((52='V06 Calend 01'!C80),('V06 Calend 01'!F80+'V06 Calend 01'!G80),0)+IF(AND(('V06 Calend 01'!E80&gt;0),(52&gt;'V06 Calend 01'!C80),(52&lt;'V06 Calend 01'!D80),(MOD((52-'V06 Calend 01'!C80),6)=0),(((52-'V06 Calend 01'!C80)/6)&lt;='V06 Calend 01'!E80)),IF((52=('V06 Calend 01'!C80+(6*'V06 Calend 01'!E80))),('V06 Calend 01'!H80-('V06 Calend 01'!I80*('V06 Calend 01'!E80-1))),'V06 Calend 01'!I80),0))+IF((52='V06 Calend 01'!D80),'V06 Calend 01'!J80,0))</f>
        <v>0</v>
      </c>
      <c r="BM80" s="2">
        <f>((IF((53='V06 Calend 01'!C80),('V06 Calend 01'!F80+'V06 Calend 01'!G80),0)+IF(AND(('V06 Calend 01'!E80&gt;0),(53&gt;'V06 Calend 01'!C80),(53&lt;'V06 Calend 01'!D80),(MOD((53-'V06 Calend 01'!C80),6)=0),(((53-'V06 Calend 01'!C80)/6)&lt;='V06 Calend 01'!E80)),IF((53=('V06 Calend 01'!C80+(6*'V06 Calend 01'!E80))),('V06 Calend 01'!H80-('V06 Calend 01'!I80*('V06 Calend 01'!E80-1))),'V06 Calend 01'!I80),0))+IF((53='V06 Calend 01'!D80),'V06 Calend 01'!J80,0))</f>
        <v>0</v>
      </c>
      <c r="BN80" s="2">
        <f>((IF((54='V06 Calend 01'!C80),('V06 Calend 01'!F80+'V06 Calend 01'!G80),0)+IF(AND(('V06 Calend 01'!E80&gt;0),(54&gt;'V06 Calend 01'!C80),(54&lt;'V06 Calend 01'!D80),(MOD((54-'V06 Calend 01'!C80),6)=0),(((54-'V06 Calend 01'!C80)/6)&lt;='V06 Calend 01'!E80)),IF((54=('V06 Calend 01'!C80+(6*'V06 Calend 01'!E80))),('V06 Calend 01'!H80-('V06 Calend 01'!I80*('V06 Calend 01'!E80-1))),'V06 Calend 01'!I80),0))+IF((54='V06 Calend 01'!D80),'V06 Calend 01'!J80,0))</f>
        <v>0</v>
      </c>
      <c r="BO80" s="2">
        <f>((IF((55='V06 Calend 01'!C80),('V06 Calend 01'!F80+'V06 Calend 01'!G80),0)+IF(AND(('V06 Calend 01'!E80&gt;0),(55&gt;'V06 Calend 01'!C80),(55&lt;'V06 Calend 01'!D80),(MOD((55-'V06 Calend 01'!C80),6)=0),(((55-'V06 Calend 01'!C80)/6)&lt;='V06 Calend 01'!E80)),IF((55=('V06 Calend 01'!C80+(6*'V06 Calend 01'!E80))),('V06 Calend 01'!H80-('V06 Calend 01'!I80*('V06 Calend 01'!E80-1))),'V06 Calend 01'!I80),0))+IF((55='V06 Calend 01'!D80),'V06 Calend 01'!J80,0))</f>
        <v>0</v>
      </c>
      <c r="BP80" s="2">
        <f>((IF((56='V06 Calend 01'!C80),('V06 Calend 01'!F80+'V06 Calend 01'!G80),0)+IF(AND(('V06 Calend 01'!E80&gt;0),(56&gt;'V06 Calend 01'!C80),(56&lt;'V06 Calend 01'!D80),(MOD((56-'V06 Calend 01'!C80),6)=0),(((56-'V06 Calend 01'!C80)/6)&lt;='V06 Calend 01'!E80)),IF((56=('V06 Calend 01'!C80+(6*'V06 Calend 01'!E80))),('V06 Calend 01'!H80-('V06 Calend 01'!I80*('V06 Calend 01'!E80-1))),'V06 Calend 01'!I80),0))+IF((56='V06 Calend 01'!D80),'V06 Calend 01'!J80,0))</f>
        <v>0</v>
      </c>
      <c r="BQ80" s="2">
        <f>((IF((57='V06 Calend 01'!C80),('V06 Calend 01'!F80+'V06 Calend 01'!G80),0)+IF(AND(('V06 Calend 01'!E80&gt;0),(57&gt;'V06 Calend 01'!C80),(57&lt;'V06 Calend 01'!D80),(MOD((57-'V06 Calend 01'!C80),6)=0),(((57-'V06 Calend 01'!C80)/6)&lt;='V06 Calend 01'!E80)),IF((57=('V06 Calend 01'!C80+(6*'V06 Calend 01'!E80))),('V06 Calend 01'!H80-('V06 Calend 01'!I80*('V06 Calend 01'!E80-1))),'V06 Calend 01'!I80),0))+IF((57='V06 Calend 01'!D80),'V06 Calend 01'!J80,0))</f>
        <v>0</v>
      </c>
      <c r="BR80" s="2">
        <f>((IF((58='V06 Calend 01'!C80),('V06 Calend 01'!F80+'V06 Calend 01'!G80),0)+IF(AND(('V06 Calend 01'!E80&gt;0),(58&gt;'V06 Calend 01'!C80),(58&lt;'V06 Calend 01'!D80),(MOD((58-'V06 Calend 01'!C80),6)=0),(((58-'V06 Calend 01'!C80)/6)&lt;='V06 Calend 01'!E80)),IF((58=('V06 Calend 01'!C80+(6*'V06 Calend 01'!E80))),('V06 Calend 01'!H80-('V06 Calend 01'!I80*('V06 Calend 01'!E80-1))),'V06 Calend 01'!I80),0))+IF((58='V06 Calend 01'!D80),'V06 Calend 01'!J80,0))</f>
        <v>0</v>
      </c>
      <c r="BS80" s="2">
        <f>((IF((59='V06 Calend 01'!C80),('V06 Calend 01'!F80+'V06 Calend 01'!G80),0)+IF(AND(('V06 Calend 01'!E80&gt;0),(59&gt;'V06 Calend 01'!C80),(59&lt;'V06 Calend 01'!D80),(MOD((59-'V06 Calend 01'!C80),6)=0),(((59-'V06 Calend 01'!C80)/6)&lt;='V06 Calend 01'!E80)),IF((59=('V06 Calend 01'!C80+(6*'V06 Calend 01'!E80))),('V06 Calend 01'!H80-('V06 Calend 01'!I80*('V06 Calend 01'!E80-1))),'V06 Calend 01'!I80),0))+IF((59='V06 Calend 01'!D80),'V06 Calend 01'!J80,0))</f>
        <v>0</v>
      </c>
      <c r="BT80" s="2">
        <f>((IF((60='V06 Calend 01'!C80),('V06 Calend 01'!F80+'V06 Calend 01'!G80),0)+IF(AND(('V06 Calend 01'!E80&gt;0),(60&gt;'V06 Calend 01'!C80),(60&lt;'V06 Calend 01'!D80),(MOD((60-'V06 Calend 01'!C80),6)=0),(((60-'V06 Calend 01'!C80)/6)&lt;='V06 Calend 01'!E80)),IF((60=('V06 Calend 01'!C80+(6*'V06 Calend 01'!E80))),('V06 Calend 01'!H80-('V06 Calend 01'!I80*('V06 Calend 01'!E80-1))),'V06 Calend 01'!I80),0))+IF((60='V06 Calend 01'!D80),'V06 Calend 01'!J80,0))</f>
        <v>0</v>
      </c>
      <c r="BU80" s="2">
        <f>((IF((61='V06 Calend 01'!C80),('V06 Calend 01'!F80+'V06 Calend 01'!G80),0)+IF(AND(('V06 Calend 01'!E80&gt;0),(61&gt;'V06 Calend 01'!C80),(61&lt;'V06 Calend 01'!D80),(MOD((61-'V06 Calend 01'!C80),6)=0),(((61-'V06 Calend 01'!C80)/6)&lt;='V06 Calend 01'!E80)),IF((61=('V06 Calend 01'!C80+(6*'V06 Calend 01'!E80))),('V06 Calend 01'!H80-('V06 Calend 01'!I80*('V06 Calend 01'!E80-1))),'V06 Calend 01'!I80),0))+IF((61='V06 Calend 01'!D80),'V06 Calend 01'!J80,0))</f>
        <v>0</v>
      </c>
      <c r="BV80" s="2">
        <f>((IF((62='V06 Calend 01'!C80),('V06 Calend 01'!F80+'V06 Calend 01'!G80),0)+IF(AND(('V06 Calend 01'!E80&gt;0),(62&gt;'V06 Calend 01'!C80),(62&lt;'V06 Calend 01'!D80),(MOD((62-'V06 Calend 01'!C80),6)=0),(((62-'V06 Calend 01'!C80)/6)&lt;='V06 Calend 01'!E80)),IF((62=('V06 Calend 01'!C80+(6*'V06 Calend 01'!E80))),('V06 Calend 01'!H80-('V06 Calend 01'!I80*('V06 Calend 01'!E80-1))),'V06 Calend 01'!I80),0))+IF((62='V06 Calend 01'!D80),'V06 Calend 01'!J80,0))</f>
        <v>0</v>
      </c>
      <c r="BW80" s="2">
        <f>((IF((63='V06 Calend 01'!C80),('V06 Calend 01'!F80+'V06 Calend 01'!G80),0)+IF(AND(('V06 Calend 01'!E80&gt;0),(63&gt;'V06 Calend 01'!C80),(63&lt;'V06 Calend 01'!D80),(MOD((63-'V06 Calend 01'!C80),6)=0),(((63-'V06 Calend 01'!C80)/6)&lt;='V06 Calend 01'!E80)),IF((63=('V06 Calend 01'!C80+(6*'V06 Calend 01'!E80))),('V06 Calend 01'!H80-('V06 Calend 01'!I80*('V06 Calend 01'!E80-1))),'V06 Calend 01'!I80),0))+IF((63='V06 Calend 01'!D80),'V06 Calend 01'!J80,0))</f>
        <v>0</v>
      </c>
      <c r="BX80" s="2">
        <f>((IF((64='V06 Calend 01'!C80),('V06 Calend 01'!F80+'V06 Calend 01'!G80),0)+IF(AND(('V06 Calend 01'!E80&gt;0),(64&gt;'V06 Calend 01'!C80),(64&lt;'V06 Calend 01'!D80),(MOD((64-'V06 Calend 01'!C80),6)=0),(((64-'V06 Calend 01'!C80)/6)&lt;='V06 Calend 01'!E80)),IF((64=('V06 Calend 01'!C80+(6*'V06 Calend 01'!E80))),('V06 Calend 01'!H80-('V06 Calend 01'!I80*('V06 Calend 01'!E80-1))),'V06 Calend 01'!I80),0))+IF((64='V06 Calend 01'!D80),'V06 Calend 01'!J80,0))</f>
        <v>0</v>
      </c>
      <c r="BY80" s="2">
        <f>((IF((65='V06 Calend 01'!C80),('V06 Calend 01'!F80+'V06 Calend 01'!G80),0)+IF(AND(('V06 Calend 01'!E80&gt;0),(65&gt;'V06 Calend 01'!C80),(65&lt;'V06 Calend 01'!D80),(MOD((65-'V06 Calend 01'!C80),6)=0),(((65-'V06 Calend 01'!C80)/6)&lt;='V06 Calend 01'!E80)),IF((65=('V06 Calend 01'!C80+(6*'V06 Calend 01'!E80))),('V06 Calend 01'!H80-('V06 Calend 01'!I80*('V06 Calend 01'!E80-1))),'V06 Calend 01'!I80),0))+IF((65='V06 Calend 01'!D80),'V06 Calend 01'!J80,0))</f>
        <v>0</v>
      </c>
      <c r="BZ80" s="2">
        <f>((IF((66='V06 Calend 01'!C80),('V06 Calend 01'!F80+'V06 Calend 01'!G80),0)+IF(AND(('V06 Calend 01'!E80&gt;0),(66&gt;'V06 Calend 01'!C80),(66&lt;'V06 Calend 01'!D80),(MOD((66-'V06 Calend 01'!C80),6)=0),(((66-'V06 Calend 01'!C80)/6)&lt;='V06 Calend 01'!E80)),IF((66=('V06 Calend 01'!C80+(6*'V06 Calend 01'!E80))),('V06 Calend 01'!H80-('V06 Calend 01'!I80*('V06 Calend 01'!E80-1))),'V06 Calend 01'!I80),0))+IF((66='V06 Calend 01'!D80),'V06 Calend 01'!J80,0))</f>
        <v>0</v>
      </c>
      <c r="CA80" s="2">
        <f>((IF((67='V06 Calend 01'!C80),('V06 Calend 01'!F80+'V06 Calend 01'!G80),0)+IF(AND(('V06 Calend 01'!E80&gt;0),(67&gt;'V06 Calend 01'!C80),(67&lt;'V06 Calend 01'!D80),(MOD((67-'V06 Calend 01'!C80),6)=0),(((67-'V06 Calend 01'!C80)/6)&lt;='V06 Calend 01'!E80)),IF((67=('V06 Calend 01'!C80+(6*'V06 Calend 01'!E80))),('V06 Calend 01'!H80-('V06 Calend 01'!I80*('V06 Calend 01'!E80-1))),'V06 Calend 01'!I80),0))+IF((67='V06 Calend 01'!D80),'V06 Calend 01'!J80,0))</f>
        <v>0</v>
      </c>
      <c r="CB80" s="2">
        <f>((IF((68='V06 Calend 01'!C80),('V06 Calend 01'!F80+'V06 Calend 01'!G80),0)+IF(AND(('V06 Calend 01'!E80&gt;0),(68&gt;'V06 Calend 01'!C80),(68&lt;'V06 Calend 01'!D80),(MOD((68-'V06 Calend 01'!C80),6)=0),(((68-'V06 Calend 01'!C80)/6)&lt;='V06 Calend 01'!E80)),IF((68=('V06 Calend 01'!C80+(6*'V06 Calend 01'!E80))),('V06 Calend 01'!H80-('V06 Calend 01'!I80*('V06 Calend 01'!E80-1))),'V06 Calend 01'!I80),0))+IF((68='V06 Calend 01'!D80),'V06 Calend 01'!J80,0))</f>
        <v>0</v>
      </c>
      <c r="CC80" s="2">
        <f>((IF((69='V06 Calend 01'!C80),('V06 Calend 01'!F80+'V06 Calend 01'!G80),0)+IF(AND(('V06 Calend 01'!E80&gt;0),(69&gt;'V06 Calend 01'!C80),(69&lt;'V06 Calend 01'!D80),(MOD((69-'V06 Calend 01'!C80),6)=0),(((69-'V06 Calend 01'!C80)/6)&lt;='V06 Calend 01'!E80)),IF((69=('V06 Calend 01'!C80+(6*'V06 Calend 01'!E80))),('V06 Calend 01'!H80-('V06 Calend 01'!I80*('V06 Calend 01'!E80-1))),'V06 Calend 01'!I80),0))+IF((69='V06 Calend 01'!D80),'V06 Calend 01'!J80,0))</f>
        <v>0</v>
      </c>
      <c r="CD80" s="2">
        <f>((IF((70='V06 Calend 01'!C80),('V06 Calend 01'!F80+'V06 Calend 01'!G80),0)+IF(AND(('V06 Calend 01'!E80&gt;0),(70&gt;'V06 Calend 01'!C80),(70&lt;'V06 Calend 01'!D80),(MOD((70-'V06 Calend 01'!C80),6)=0),(((70-'V06 Calend 01'!C80)/6)&lt;='V06 Calend 01'!E80)),IF((70=('V06 Calend 01'!C80+(6*'V06 Calend 01'!E80))),('V06 Calend 01'!H80-('V06 Calend 01'!I80*('V06 Calend 01'!E80-1))),'V06 Calend 01'!I80),0))+IF((70='V06 Calend 01'!D80),'V06 Calend 01'!J80,0))</f>
        <v>0</v>
      </c>
      <c r="CE80" s="2">
        <f>((IF((71='V06 Calend 01'!C80),('V06 Calend 01'!F80+'V06 Calend 01'!G80),0)+IF(AND(('V06 Calend 01'!E80&gt;0),(71&gt;'V06 Calend 01'!C80),(71&lt;'V06 Calend 01'!D80),(MOD((71-'V06 Calend 01'!C80),6)=0),(((71-'V06 Calend 01'!C80)/6)&lt;='V06 Calend 01'!E80)),IF((71=('V06 Calend 01'!C80+(6*'V06 Calend 01'!E80))),('V06 Calend 01'!H80-('V06 Calend 01'!I80*('V06 Calend 01'!E80-1))),'V06 Calend 01'!I80),0))+IF((71='V06 Calend 01'!D80),'V06 Calend 01'!J80,0))</f>
        <v>0</v>
      </c>
      <c r="CF80" s="2">
        <f>((IF((72='V06 Calend 01'!C80),('V06 Calend 01'!F80+'V06 Calend 01'!G80),0)+IF(AND(('V06 Calend 01'!E80&gt;0),(72&gt;'V06 Calend 01'!C80),(72&lt;'V06 Calend 01'!D80),(MOD((72-'V06 Calend 01'!C80),6)=0),(((72-'V06 Calend 01'!C80)/6)&lt;='V06 Calend 01'!E80)),IF((72=('V06 Calend 01'!C80+(6*'V06 Calend 01'!E80))),('V06 Calend 01'!H80-('V06 Calend 01'!I80*('V06 Calend 01'!E80-1))),'V06 Calend 01'!I80),0))+IF((72='V06 Calend 01'!D80),'V06 Calend 01'!J80,0))</f>
        <v>0</v>
      </c>
      <c r="CG80" s="2">
        <f>((IF((73='V06 Calend 01'!C80),('V06 Calend 01'!F80+'V06 Calend 01'!G80),0)+IF(AND(('V06 Calend 01'!E80&gt;0),(73&gt;'V06 Calend 01'!C80),(73&lt;'V06 Calend 01'!D80),(MOD((73-'V06 Calend 01'!C80),6)=0),(((73-'V06 Calend 01'!C80)/6)&lt;='V06 Calend 01'!E80)),IF((73=('V06 Calend 01'!C80+(6*'V06 Calend 01'!E80))),('V06 Calend 01'!H80-('V06 Calend 01'!I80*('V06 Calend 01'!E80-1))),'V06 Calend 01'!I80),0))+IF((73='V06 Calend 01'!D80),'V06 Calend 01'!J80,0))</f>
        <v>0</v>
      </c>
      <c r="CH80" s="2">
        <f>((IF((74='V06 Calend 01'!C80),('V06 Calend 01'!F80+'V06 Calend 01'!G80),0)+IF(AND(('V06 Calend 01'!E80&gt;0),(74&gt;'V06 Calend 01'!C80),(74&lt;'V06 Calend 01'!D80),(MOD((74-'V06 Calend 01'!C80),6)=0),(((74-'V06 Calend 01'!C80)/6)&lt;='V06 Calend 01'!E80)),IF((74=('V06 Calend 01'!C80+(6*'V06 Calend 01'!E80))),('V06 Calend 01'!H80-('V06 Calend 01'!I80*('V06 Calend 01'!E80-1))),'V06 Calend 01'!I80),0))+IF((74='V06 Calend 01'!D80),'V06 Calend 01'!J80,0))</f>
        <v>0</v>
      </c>
      <c r="CI80" s="2">
        <f>((IF((75='V06 Calend 01'!C80),('V06 Calend 01'!F80+'V06 Calend 01'!G80),0)+IF(AND(('V06 Calend 01'!E80&gt;0),(75&gt;'V06 Calend 01'!C80),(75&lt;'V06 Calend 01'!D80),(MOD((75-'V06 Calend 01'!C80),6)=0),(((75-'V06 Calend 01'!C80)/6)&lt;='V06 Calend 01'!E80)),IF((75=('V06 Calend 01'!C80+(6*'V06 Calend 01'!E80))),('V06 Calend 01'!H80-('V06 Calend 01'!I80*('V06 Calend 01'!E80-1))),'V06 Calend 01'!I80),0))+IF((75='V06 Calend 01'!D80),'V06 Calend 01'!J80,0))</f>
        <v>0</v>
      </c>
      <c r="CJ80" s="2">
        <f>((IF((76='V06 Calend 01'!C80),('V06 Calend 01'!F80+'V06 Calend 01'!G80),0)+IF(AND(('V06 Calend 01'!E80&gt;0),(76&gt;'V06 Calend 01'!C80),(76&lt;'V06 Calend 01'!D80),(MOD((76-'V06 Calend 01'!C80),6)=0),(((76-'V06 Calend 01'!C80)/6)&lt;='V06 Calend 01'!E80)),IF((76=('V06 Calend 01'!C80+(6*'V06 Calend 01'!E80))),('V06 Calend 01'!H80-('V06 Calend 01'!I80*('V06 Calend 01'!E80-1))),'V06 Calend 01'!I80),0))+IF((76='V06 Calend 01'!D80),'V06 Calend 01'!J80,0))</f>
        <v>0</v>
      </c>
      <c r="CK80" s="2">
        <f>((IF((77='V06 Calend 01'!C80),('V06 Calend 01'!F80+'V06 Calend 01'!G80),0)+IF(AND(('V06 Calend 01'!E80&gt;0),(77&gt;'V06 Calend 01'!C80),(77&lt;'V06 Calend 01'!D80),(MOD((77-'V06 Calend 01'!C80),6)=0),(((77-'V06 Calend 01'!C80)/6)&lt;='V06 Calend 01'!E80)),IF((77=('V06 Calend 01'!C80+(6*'V06 Calend 01'!E80))),('V06 Calend 01'!H80-('V06 Calend 01'!I80*('V06 Calend 01'!E80-1))),'V06 Calend 01'!I80),0))+IF((77='V06 Calend 01'!D80),'V06 Calend 01'!J80,0))</f>
        <v>0</v>
      </c>
      <c r="CL80" s="2">
        <f>((IF((78='V06 Calend 01'!C80),('V06 Calend 01'!F80+'V06 Calend 01'!G80),0)+IF(AND(('V06 Calend 01'!E80&gt;0),(78&gt;'V06 Calend 01'!C80),(78&lt;'V06 Calend 01'!D80),(MOD((78-'V06 Calend 01'!C80),6)=0),(((78-'V06 Calend 01'!C80)/6)&lt;='V06 Calend 01'!E80)),IF((78=('V06 Calend 01'!C80+(6*'V06 Calend 01'!E80))),('V06 Calend 01'!H80-('V06 Calend 01'!I80*('V06 Calend 01'!E80-1))),'V06 Calend 01'!I80),0))+IF((78='V06 Calend 01'!D80),'V06 Calend 01'!J80,0))</f>
        <v>0</v>
      </c>
      <c r="CM80" s="2">
        <f>((IF((79='V06 Calend 01'!C80),('V06 Calend 01'!F80+'V06 Calend 01'!G80),0)+IF(AND(('V06 Calend 01'!E80&gt;0),(79&gt;'V06 Calend 01'!C80),(79&lt;'V06 Calend 01'!D80),(MOD((79-'V06 Calend 01'!C80),6)=0),(((79-'V06 Calend 01'!C80)/6)&lt;='V06 Calend 01'!E80)),IF((79=('V06 Calend 01'!C80+(6*'V06 Calend 01'!E80))),('V06 Calend 01'!H80-('V06 Calend 01'!I80*('V06 Calend 01'!E80-1))),'V06 Calend 01'!I80),0))+IF((79='V06 Calend 01'!D80),'V06 Calend 01'!J80,0))</f>
        <v>0</v>
      </c>
      <c r="CN80" s="2">
        <f>((IF((80='V06 Calend 01'!C80),('V06 Calend 01'!F80+'V06 Calend 01'!G80),0)+IF(AND(('V06 Calend 01'!E80&gt;0),(80&gt;'V06 Calend 01'!C80),(80&lt;'V06 Calend 01'!D80),(MOD((80-'V06 Calend 01'!C80),6)=0),(((80-'V06 Calend 01'!C80)/6)&lt;='V06 Calend 01'!E80)),IF((80=('V06 Calend 01'!C80+(6*'V06 Calend 01'!E80))),('V06 Calend 01'!H80-('V06 Calend 01'!I80*('V06 Calend 01'!E80-1))),'V06 Calend 01'!I80),0))+IF((80='V06 Calend 01'!D80),'V06 Calend 01'!J80,0))</f>
        <v>0</v>
      </c>
      <c r="CO80" s="2">
        <f>((IF((81='V06 Calend 01'!C80),('V06 Calend 01'!F80+'V06 Calend 01'!G80),0)+IF(AND(('V06 Calend 01'!E80&gt;0),(81&gt;'V06 Calend 01'!C80),(81&lt;'V06 Calend 01'!D80),(MOD((81-'V06 Calend 01'!C80),6)=0),(((81-'V06 Calend 01'!C80)/6)&lt;='V06 Calend 01'!E80)),IF((81=('V06 Calend 01'!C80+(6*'V06 Calend 01'!E80))),('V06 Calend 01'!H80-('V06 Calend 01'!I80*('V06 Calend 01'!E80-1))),'V06 Calend 01'!I80),0))+IF((81='V06 Calend 01'!D80),'V06 Calend 01'!J80,0))</f>
        <v>0</v>
      </c>
      <c r="CP80" s="2">
        <f>((IF((82='V06 Calend 01'!C80),('V06 Calend 01'!F80+'V06 Calend 01'!G80),0)+IF(AND(('V06 Calend 01'!E80&gt;0),(82&gt;'V06 Calend 01'!C80),(82&lt;'V06 Calend 01'!D80),(MOD((82-'V06 Calend 01'!C80),6)=0),(((82-'V06 Calend 01'!C80)/6)&lt;='V06 Calend 01'!E80)),IF((82=('V06 Calend 01'!C80+(6*'V06 Calend 01'!E80))),('V06 Calend 01'!H80-('V06 Calend 01'!I80*('V06 Calend 01'!E80-1))),'V06 Calend 01'!I80),0))+IF((82='V06 Calend 01'!D80),'V06 Calend 01'!J80,0))</f>
        <v>0</v>
      </c>
      <c r="CQ80" s="2">
        <f>((IF((83='V06 Calend 01'!C80),('V06 Calend 01'!F80+'V06 Calend 01'!G80),0)+IF(AND(('V06 Calend 01'!E80&gt;0),(83&gt;'V06 Calend 01'!C80),(83&lt;'V06 Calend 01'!D80),(MOD((83-'V06 Calend 01'!C80),6)=0),(((83-'V06 Calend 01'!C80)/6)&lt;='V06 Calend 01'!E80)),IF((83=('V06 Calend 01'!C80+(6*'V06 Calend 01'!E80))),('V06 Calend 01'!H80-('V06 Calend 01'!I80*('V06 Calend 01'!E80-1))),'V06 Calend 01'!I80),0))+IF((83='V06 Calend 01'!D80),'V06 Calend 01'!J80,0))</f>
        <v>0</v>
      </c>
      <c r="CR80" s="2">
        <f>((IF((84='V06 Calend 01'!C80),('V06 Calend 01'!F80+'V06 Calend 01'!G80),0)+IF(AND(('V06 Calend 01'!E80&gt;0),(84&gt;'V06 Calend 01'!C80),(84&lt;'V06 Calend 01'!D80),(MOD((84-'V06 Calend 01'!C80),6)=0),(((84-'V06 Calend 01'!C80)/6)&lt;='V06 Calend 01'!E80)),IF((84=('V06 Calend 01'!C80+(6*'V06 Calend 01'!E80))),('V06 Calend 01'!H80-('V06 Calend 01'!I80*('V06 Calend 01'!E80-1))),'V06 Calend 01'!I80),0))+IF((84='V06 Calend 01'!D80),'V06 Calend 01'!J80,0))</f>
        <v>0</v>
      </c>
      <c r="CS80" s="2">
        <f>((IF((85='V06 Calend 01'!C80),('V06 Calend 01'!F80+'V06 Calend 01'!G80),0)+IF(AND(('V06 Calend 01'!E80&gt;0),(85&gt;'V06 Calend 01'!C80),(85&lt;'V06 Calend 01'!D80),(MOD((85-'V06 Calend 01'!C80),6)=0),(((85-'V06 Calend 01'!C80)/6)&lt;='V06 Calend 01'!E80)),IF((85=('V06 Calend 01'!C80+(6*'V06 Calend 01'!E80))),('V06 Calend 01'!H80-('V06 Calend 01'!I80*('V06 Calend 01'!E80-1))),'V06 Calend 01'!I80),0))+IF((85='V06 Calend 01'!D80),'V06 Calend 01'!J80,0))</f>
        <v>0</v>
      </c>
      <c r="CT80" s="2">
        <f>((IF((86='V06 Calend 01'!C80),('V06 Calend 01'!F80+'V06 Calend 01'!G80),0)+IF(AND(('V06 Calend 01'!E80&gt;0),(86&gt;'V06 Calend 01'!C80),(86&lt;'V06 Calend 01'!D80),(MOD((86-'V06 Calend 01'!C80),6)=0),(((86-'V06 Calend 01'!C80)/6)&lt;='V06 Calend 01'!E80)),IF((86=('V06 Calend 01'!C80+(6*'V06 Calend 01'!E80))),('V06 Calend 01'!H80-('V06 Calend 01'!I80*('V06 Calend 01'!E80-1))),'V06 Calend 01'!I80),0))+IF((86='V06 Calend 01'!D80),'V06 Calend 01'!J80,0))</f>
        <v>0</v>
      </c>
      <c r="CU80" s="2">
        <f>((IF((87='V06 Calend 01'!C80),('V06 Calend 01'!F80+'V06 Calend 01'!G80),0)+IF(AND(('V06 Calend 01'!E80&gt;0),(87&gt;'V06 Calend 01'!C80),(87&lt;'V06 Calend 01'!D80),(MOD((87-'V06 Calend 01'!C80),6)=0),(((87-'V06 Calend 01'!C80)/6)&lt;='V06 Calend 01'!E80)),IF((87=('V06 Calend 01'!C80+(6*'V06 Calend 01'!E80))),('V06 Calend 01'!H80-('V06 Calend 01'!I80*('V06 Calend 01'!E80-1))),'V06 Calend 01'!I80),0))+IF((87='V06 Calend 01'!D80),'V06 Calend 01'!J80,0))</f>
        <v>0</v>
      </c>
      <c r="CV80" s="2">
        <f>((IF((88='V06 Calend 01'!C80),('V06 Calend 01'!F80+'V06 Calend 01'!G80),0)+IF(AND(('V06 Calend 01'!E80&gt;0),(88&gt;'V06 Calend 01'!C80),(88&lt;'V06 Calend 01'!D80),(MOD((88-'V06 Calend 01'!C80),6)=0),(((88-'V06 Calend 01'!C80)/6)&lt;='V06 Calend 01'!E80)),IF((88=('V06 Calend 01'!C80+(6*'V06 Calend 01'!E80))),('V06 Calend 01'!H80-('V06 Calend 01'!I80*('V06 Calend 01'!E80-1))),'V06 Calend 01'!I80),0))+IF((88='V06 Calend 01'!D80),'V06 Calend 01'!J80,0))</f>
        <v>0</v>
      </c>
      <c r="CW80" s="2">
        <f>((IF((89='V06 Calend 01'!C80),('V06 Calend 01'!F80+'V06 Calend 01'!G80),0)+IF(AND(('V06 Calend 01'!E80&gt;0),(89&gt;'V06 Calend 01'!C80),(89&lt;'V06 Calend 01'!D80),(MOD((89-'V06 Calend 01'!C80),6)=0),(((89-'V06 Calend 01'!C80)/6)&lt;='V06 Calend 01'!E80)),IF((89=('V06 Calend 01'!C80+(6*'V06 Calend 01'!E80))),('V06 Calend 01'!H80-('V06 Calend 01'!I80*('V06 Calend 01'!E80-1))),'V06 Calend 01'!I80),0))+IF((89='V06 Calend 01'!D80),'V06 Calend 01'!J80,0))</f>
        <v>0</v>
      </c>
      <c r="CX80" s="2">
        <f>((IF((90='V06 Calend 01'!C80),('V06 Calend 01'!F80+'V06 Calend 01'!G80),0)+IF(AND(('V06 Calend 01'!E80&gt;0),(90&gt;'V06 Calend 01'!C80),(90&lt;'V06 Calend 01'!D80),(MOD((90-'V06 Calend 01'!C80),6)=0),(((90-'V06 Calend 01'!C80)/6)&lt;='V06 Calend 01'!E80)),IF((90=('V06 Calend 01'!C80+(6*'V06 Calend 01'!E80))),('V06 Calend 01'!H80-('V06 Calend 01'!I80*('V06 Calend 01'!E80-1))),'V06 Calend 01'!I80),0))+IF((90='V06 Calend 01'!D80),'V06 Calend 01'!J80,0))</f>
        <v>0</v>
      </c>
      <c r="CY80" s="2">
        <f>((IF((91='V06 Calend 01'!C80),('V06 Calend 01'!F80+'V06 Calend 01'!G80),0)+IF(AND(('V06 Calend 01'!E80&gt;0),(91&gt;'V06 Calend 01'!C80),(91&lt;'V06 Calend 01'!D80),(MOD((91-'V06 Calend 01'!C80),6)=0),(((91-'V06 Calend 01'!C80)/6)&lt;='V06 Calend 01'!E80)),IF((91=('V06 Calend 01'!C80+(6*'V06 Calend 01'!E80))),('V06 Calend 01'!H80-('V06 Calend 01'!I80*('V06 Calend 01'!E80-1))),'V06 Calend 01'!I80),0))+IF((91='V06 Calend 01'!D80),'V06 Calend 01'!J80,0))</f>
        <v>0</v>
      </c>
      <c r="CZ80" s="2">
        <f>((IF((92='V06 Calend 01'!C80),('V06 Calend 01'!F80+'V06 Calend 01'!G80),0)+IF(AND(('V06 Calend 01'!E80&gt;0),(92&gt;'V06 Calend 01'!C80),(92&lt;'V06 Calend 01'!D80),(MOD((92-'V06 Calend 01'!C80),6)=0),(((92-'V06 Calend 01'!C80)/6)&lt;='V06 Calend 01'!E80)),IF((92=('V06 Calend 01'!C80+(6*'V06 Calend 01'!E80))),('V06 Calend 01'!H80-('V06 Calend 01'!I80*('V06 Calend 01'!E80-1))),'V06 Calend 01'!I80),0))+IF((92='V06 Calend 01'!D80),'V06 Calend 01'!J80,0))</f>
        <v>0</v>
      </c>
      <c r="DA80" s="2">
        <f>((IF((93='V06 Calend 01'!C80),('V06 Calend 01'!F80+'V06 Calend 01'!G80),0)+IF(AND(('V06 Calend 01'!E80&gt;0),(93&gt;'V06 Calend 01'!C80),(93&lt;'V06 Calend 01'!D80),(MOD((93-'V06 Calend 01'!C80),6)=0),(((93-'V06 Calend 01'!C80)/6)&lt;='V06 Calend 01'!E80)),IF((93=('V06 Calend 01'!C80+(6*'V06 Calend 01'!E80))),('V06 Calend 01'!H80-('V06 Calend 01'!I80*('V06 Calend 01'!E80-1))),'V06 Calend 01'!I80),0))+IF((93='V06 Calend 01'!D80),'V06 Calend 01'!J80,0))</f>
        <v>0</v>
      </c>
      <c r="DB80" s="2">
        <f>((IF((94='V06 Calend 01'!C80),('V06 Calend 01'!F80+'V06 Calend 01'!G80),0)+IF(AND(('V06 Calend 01'!E80&gt;0),(94&gt;'V06 Calend 01'!C80),(94&lt;'V06 Calend 01'!D80),(MOD((94-'V06 Calend 01'!C80),6)=0),(((94-'V06 Calend 01'!C80)/6)&lt;='V06 Calend 01'!E80)),IF((94=('V06 Calend 01'!C80+(6*'V06 Calend 01'!E80))),('V06 Calend 01'!H80-('V06 Calend 01'!I80*('V06 Calend 01'!E80-1))),'V06 Calend 01'!I80),0))+IF((94='V06 Calend 01'!D80),'V06 Calend 01'!J80,0))</f>
        <v>0</v>
      </c>
      <c r="DC80" s="2">
        <f>((IF((95='V06 Calend 01'!C80),('V06 Calend 01'!F80+'V06 Calend 01'!G80),0)+IF(AND(('V06 Calend 01'!E80&gt;0),(95&gt;'V06 Calend 01'!C80),(95&lt;'V06 Calend 01'!D80),(MOD((95-'V06 Calend 01'!C80),6)=0),(((95-'V06 Calend 01'!C80)/6)&lt;='V06 Calend 01'!E80)),IF((95=('V06 Calend 01'!C80+(6*'V06 Calend 01'!E80))),('V06 Calend 01'!H80-('V06 Calend 01'!I80*('V06 Calend 01'!E80-1))),'V06 Calend 01'!I80),0))+IF((95='V06 Calend 01'!D80),'V06 Calend 01'!J80,0))</f>
        <v>0</v>
      </c>
      <c r="DD80" s="2">
        <f>((IF((96='V06 Calend 01'!C80),('V06 Calend 01'!F80+'V06 Calend 01'!G80),0)+IF(AND(('V06 Calend 01'!E80&gt;0),(96&gt;'V06 Calend 01'!C80),(96&lt;'V06 Calend 01'!D80),(MOD((96-'V06 Calend 01'!C80),6)=0),(((96-'V06 Calend 01'!C80)/6)&lt;='V06 Calend 01'!E80)),IF((96=('V06 Calend 01'!C80+(6*'V06 Calend 01'!E80))),('V06 Calend 01'!H80-('V06 Calend 01'!I80*('V06 Calend 01'!E80-1))),'V06 Calend 01'!I80),0))+IF((96='V06 Calend 01'!D80),'V06 Calend 01'!J80,0))</f>
        <v>0</v>
      </c>
      <c r="DE80" s="2">
        <f>((IF((97='V06 Calend 01'!C80),('V06 Calend 01'!F80+'V06 Calend 01'!G80),0)+IF(AND(('V06 Calend 01'!E80&gt;0),(97&gt;'V06 Calend 01'!C80),(97&lt;'V06 Calend 01'!D80),(MOD((97-'V06 Calend 01'!C80),6)=0),(((97-'V06 Calend 01'!C80)/6)&lt;='V06 Calend 01'!E80)),IF((97=('V06 Calend 01'!C80+(6*'V06 Calend 01'!E80))),('V06 Calend 01'!H80-('V06 Calend 01'!I80*('V06 Calend 01'!E80-1))),'V06 Calend 01'!I80),0))+IF((97='V06 Calend 01'!D80),'V06 Calend 01'!J80,0))</f>
        <v>0</v>
      </c>
      <c r="DF80" s="2">
        <f>((IF((98='V06 Calend 01'!C80),('V06 Calend 01'!F80+'V06 Calend 01'!G80),0)+IF(AND(('V06 Calend 01'!E80&gt;0),(98&gt;'V06 Calend 01'!C80),(98&lt;'V06 Calend 01'!D80),(MOD((98-'V06 Calend 01'!C80),6)=0),(((98-'V06 Calend 01'!C80)/6)&lt;='V06 Calend 01'!E80)),IF((98=('V06 Calend 01'!C80+(6*'V06 Calend 01'!E80))),('V06 Calend 01'!H80-('V06 Calend 01'!I80*('V06 Calend 01'!E80-1))),'V06 Calend 01'!I80),0))+IF((98='V06 Calend 01'!D80),'V06 Calend 01'!J80,0))</f>
        <v>0</v>
      </c>
      <c r="DG80" s="2">
        <f>((IF((99='V06 Calend 01'!C80),('V06 Calend 01'!F80+'V06 Calend 01'!G80),0)+IF(AND(('V06 Calend 01'!E80&gt;0),(99&gt;'V06 Calend 01'!C80),(99&lt;'V06 Calend 01'!D80),(MOD((99-'V06 Calend 01'!C80),6)=0),(((99-'V06 Calend 01'!C80)/6)&lt;='V06 Calend 01'!E80)),IF((99=('V06 Calend 01'!C80+(6*'V06 Calend 01'!E80))),('V06 Calend 01'!H80-('V06 Calend 01'!I80*('V06 Calend 01'!E80-1))),'V06 Calend 01'!I80),0))+IF((99='V06 Calend 01'!D80),'V06 Calend 01'!J80,0))</f>
        <v>0</v>
      </c>
      <c r="DH80" s="2">
        <f>((IF((100='V06 Calend 01'!C80),('V06 Calend 01'!F80+'V06 Calend 01'!G80),0)+IF(AND(('V06 Calend 01'!E80&gt;0),(100&gt;'V06 Calend 01'!C80),(100&lt;'V06 Calend 01'!D80),(MOD((100-'V06 Calend 01'!C80),6)=0),(((100-'V06 Calend 01'!C80)/6)&lt;='V06 Calend 01'!E80)),IF((100=('V06 Calend 01'!C80+(6*'V06 Calend 01'!E80))),('V06 Calend 01'!H80-('V06 Calend 01'!I80*('V06 Calend 01'!E80-1))),'V06 Calend 01'!I80),0))+IF((100='V06 Calend 01'!D80),'V06 Calend 01'!J80,0))</f>
        <v>0</v>
      </c>
      <c r="DI80" s="2">
        <f>((IF((101='V06 Calend 01'!C80),('V06 Calend 01'!F80+'V06 Calend 01'!G80),0)+IF(AND(('V06 Calend 01'!E80&gt;0),(101&gt;'V06 Calend 01'!C80),(101&lt;'V06 Calend 01'!D80),(MOD((101-'V06 Calend 01'!C80),6)=0),(((101-'V06 Calend 01'!C80)/6)&lt;='V06 Calend 01'!E80)),IF((101=('V06 Calend 01'!C80+(6*'V06 Calend 01'!E80))),('V06 Calend 01'!H80-('V06 Calend 01'!I80*('V06 Calend 01'!E80-1))),'V06 Calend 01'!I80),0))+IF((101='V06 Calend 01'!D80),'V06 Calend 01'!J80,0))</f>
        <v>0</v>
      </c>
      <c r="DJ80" s="2">
        <f>((IF((102='V06 Calend 01'!C80),('V06 Calend 01'!F80+'V06 Calend 01'!G80),0)+IF(AND(('V06 Calend 01'!E80&gt;0),(102&gt;'V06 Calend 01'!C80),(102&lt;'V06 Calend 01'!D80),(MOD((102-'V06 Calend 01'!C80),6)=0),(((102-'V06 Calend 01'!C80)/6)&lt;='V06 Calend 01'!E80)),IF((102=('V06 Calend 01'!C80+(6*'V06 Calend 01'!E80))),('V06 Calend 01'!H80-('V06 Calend 01'!I80*('V06 Calend 01'!E80-1))),'V06 Calend 01'!I80),0))+IF((102='V06 Calend 01'!D80),'V06 Calend 01'!J80,0))</f>
        <v>0</v>
      </c>
      <c r="DK80" s="2">
        <f>((IF((103='V06 Calend 01'!C80),('V06 Calend 01'!F80+'V06 Calend 01'!G80),0)+IF(AND(('V06 Calend 01'!E80&gt;0),(103&gt;'V06 Calend 01'!C80),(103&lt;'V06 Calend 01'!D80),(MOD((103-'V06 Calend 01'!C80),6)=0),(((103-'V06 Calend 01'!C80)/6)&lt;='V06 Calend 01'!E80)),IF((103=('V06 Calend 01'!C80+(6*'V06 Calend 01'!E80))),('V06 Calend 01'!H80-('V06 Calend 01'!I80*('V06 Calend 01'!E80-1))),'V06 Calend 01'!I80),0))+IF((103='V06 Calend 01'!D80),'V06 Calend 01'!J80,0))</f>
        <v>0</v>
      </c>
      <c r="DL80" s="2">
        <f>((IF((104='V06 Calend 01'!C80),('V06 Calend 01'!F80+'V06 Calend 01'!G80),0)+IF(AND(('V06 Calend 01'!E80&gt;0),(104&gt;'V06 Calend 01'!C80),(104&lt;'V06 Calend 01'!D80),(MOD((104-'V06 Calend 01'!C80),6)=0),(((104-'V06 Calend 01'!C80)/6)&lt;='V06 Calend 01'!E80)),IF((104=('V06 Calend 01'!C80+(6*'V06 Calend 01'!E80))),('V06 Calend 01'!H80-('V06 Calend 01'!I80*('V06 Calend 01'!E80-1))),'V06 Calend 01'!I80),0))+IF((104='V06 Calend 01'!D80),'V06 Calend 01'!J80,0))</f>
        <v>0</v>
      </c>
      <c r="DM80" s="2">
        <f>((IF((105='V06 Calend 01'!C80),('V06 Calend 01'!F80+'V06 Calend 01'!G80),0)+IF(AND(('V06 Calend 01'!E80&gt;0),(105&gt;'V06 Calend 01'!C80),(105&lt;'V06 Calend 01'!D80),(MOD((105-'V06 Calend 01'!C80),6)=0),(((105-'V06 Calend 01'!C80)/6)&lt;='V06 Calend 01'!E80)),IF((105=('V06 Calend 01'!C80+(6*'V06 Calend 01'!E80))),('V06 Calend 01'!H80-('V06 Calend 01'!I80*('V06 Calend 01'!E80-1))),'V06 Calend 01'!I80),0))+IF((105='V06 Calend 01'!D80),'V06 Calend 01'!J80,0))</f>
        <v>0</v>
      </c>
      <c r="DN80" s="2">
        <f>((IF((106='V06 Calend 01'!C80),('V06 Calend 01'!F80+'V06 Calend 01'!G80),0)+IF(AND(('V06 Calend 01'!E80&gt;0),(106&gt;'V06 Calend 01'!C80),(106&lt;'V06 Calend 01'!D80),(MOD((106-'V06 Calend 01'!C80),6)=0),(((106-'V06 Calend 01'!C80)/6)&lt;='V06 Calend 01'!E80)),IF((106=('V06 Calend 01'!C80+(6*'V06 Calend 01'!E80))),('V06 Calend 01'!H80-('V06 Calend 01'!I80*('V06 Calend 01'!E80-1))),'V06 Calend 01'!I80),0))+IF((106='V06 Calend 01'!D80),'V06 Calend 01'!J80,0))</f>
        <v>0</v>
      </c>
      <c r="DO80" s="2">
        <f>((IF((107='V06 Calend 01'!C80),('V06 Calend 01'!F80+'V06 Calend 01'!G80),0)+IF(AND(('V06 Calend 01'!E80&gt;0),(107&gt;'V06 Calend 01'!C80),(107&lt;'V06 Calend 01'!D80),(MOD((107-'V06 Calend 01'!C80),6)=0),(((107-'V06 Calend 01'!C80)/6)&lt;='V06 Calend 01'!E80)),IF((107=('V06 Calend 01'!C80+(6*'V06 Calend 01'!E80))),('V06 Calend 01'!H80-('V06 Calend 01'!I80*('V06 Calend 01'!E80-1))),'V06 Calend 01'!I80),0))+IF((107='V06 Calend 01'!D80),'V06 Calend 01'!J80,0))</f>
        <v>0</v>
      </c>
      <c r="DP80" s="2">
        <f>((IF((108='V06 Calend 01'!C80),('V06 Calend 01'!F80+'V06 Calend 01'!G80),0)+IF(AND(('V06 Calend 01'!E80&gt;0),(108&gt;'V06 Calend 01'!C80),(108&lt;'V06 Calend 01'!D80),(MOD((108-'V06 Calend 01'!C80),6)=0),(((108-'V06 Calend 01'!C80)/6)&lt;='V06 Calend 01'!E80)),IF((108=('V06 Calend 01'!C80+(6*'V06 Calend 01'!E80))),('V06 Calend 01'!H80-('V06 Calend 01'!I80*('V06 Calend 01'!E80-1))),'V06 Calend 01'!I80),0))+IF((108='V06 Calend 01'!D80),'V06 Calend 01'!J80,0))</f>
        <v>0</v>
      </c>
      <c r="DQ80" s="2">
        <f>((IF((109='V06 Calend 01'!C80),('V06 Calend 01'!F80+'V06 Calend 01'!G80),0)+IF(AND(('V06 Calend 01'!E80&gt;0),(109&gt;'V06 Calend 01'!C80),(109&lt;'V06 Calend 01'!D80),(MOD((109-'V06 Calend 01'!C80),6)=0),(((109-'V06 Calend 01'!C80)/6)&lt;='V06 Calend 01'!E80)),IF((109=('V06 Calend 01'!C80+(6*'V06 Calend 01'!E80))),('V06 Calend 01'!H80-('V06 Calend 01'!I80*('V06 Calend 01'!E80-1))),'V06 Calend 01'!I80),0))+IF((109='V06 Calend 01'!D80),'V06 Calend 01'!J80,0))</f>
        <v>0</v>
      </c>
      <c r="DR80" s="2">
        <f>((IF((110='V06 Calend 01'!C80),('V06 Calend 01'!F80+'V06 Calend 01'!G80),0)+IF(AND(('V06 Calend 01'!E80&gt;0),(110&gt;'V06 Calend 01'!C80),(110&lt;'V06 Calend 01'!D80),(MOD((110-'V06 Calend 01'!C80),6)=0),(((110-'V06 Calend 01'!C80)/6)&lt;='V06 Calend 01'!E80)),IF((110=('V06 Calend 01'!C80+(6*'V06 Calend 01'!E80))),('V06 Calend 01'!H80-('V06 Calend 01'!I80*('V06 Calend 01'!E80-1))),'V06 Calend 01'!I80),0))+IF((110='V06 Calend 01'!D80),'V06 Calend 01'!J80,0))</f>
        <v>0</v>
      </c>
      <c r="DS80" s="2">
        <f>((IF((111='V06 Calend 01'!C80),('V06 Calend 01'!F80+'V06 Calend 01'!G80),0)+IF(AND(('V06 Calend 01'!E80&gt;0),(111&gt;'V06 Calend 01'!C80),(111&lt;'V06 Calend 01'!D80),(MOD((111-'V06 Calend 01'!C80),6)=0),(((111-'V06 Calend 01'!C80)/6)&lt;='V06 Calend 01'!E80)),IF((111=('V06 Calend 01'!C80+(6*'V06 Calend 01'!E80))),('V06 Calend 01'!H80-('V06 Calend 01'!I80*('V06 Calend 01'!E80-1))),'V06 Calend 01'!I80),0))+IF((111='V06 Calend 01'!D80),'V06 Calend 01'!J80,0))</f>
        <v>0</v>
      </c>
      <c r="DT80" s="2">
        <f>((IF((112='V06 Calend 01'!C80),('V06 Calend 01'!F80+'V06 Calend 01'!G80),0)+IF(AND(('V06 Calend 01'!E80&gt;0),(112&gt;'V06 Calend 01'!C80),(112&lt;'V06 Calend 01'!D80),(MOD((112-'V06 Calend 01'!C80),6)=0),(((112-'V06 Calend 01'!C80)/6)&lt;='V06 Calend 01'!E80)),IF((112=('V06 Calend 01'!C80+(6*'V06 Calend 01'!E80))),('V06 Calend 01'!H80-('V06 Calend 01'!I80*('V06 Calend 01'!E80-1))),'V06 Calend 01'!I80),0))+IF((112='V06 Calend 01'!D80),'V06 Calend 01'!J80,0))</f>
        <v>0</v>
      </c>
      <c r="DU80" s="2">
        <f>((IF((113='V06 Calend 01'!C80),('V06 Calend 01'!F80+'V06 Calend 01'!G80),0)+IF(AND(('V06 Calend 01'!E80&gt;0),(113&gt;'V06 Calend 01'!C80),(113&lt;'V06 Calend 01'!D80),(MOD((113-'V06 Calend 01'!C80),6)=0),(((113-'V06 Calend 01'!C80)/6)&lt;='V06 Calend 01'!E80)),IF((113=('V06 Calend 01'!C80+(6*'V06 Calend 01'!E80))),('V06 Calend 01'!H80-('V06 Calend 01'!I80*('V06 Calend 01'!E80-1))),'V06 Calend 01'!I80),0))+IF((113='V06 Calend 01'!D80),'V06 Calend 01'!J80,0))</f>
        <v>0</v>
      </c>
      <c r="DV80" s="2">
        <f>((IF((114='V06 Calend 01'!C80),('V06 Calend 01'!F80+'V06 Calend 01'!G80),0)+IF(AND(('V06 Calend 01'!E80&gt;0),(114&gt;'V06 Calend 01'!C80),(114&lt;'V06 Calend 01'!D80),(MOD((114-'V06 Calend 01'!C80),6)=0),(((114-'V06 Calend 01'!C80)/6)&lt;='V06 Calend 01'!E80)),IF((114=('V06 Calend 01'!C80+(6*'V06 Calend 01'!E80))),('V06 Calend 01'!H80-('V06 Calend 01'!I80*('V06 Calend 01'!E80-1))),'V06 Calend 01'!I80),0))+IF((114='V06 Calend 01'!D80),'V06 Calend 01'!J80,0))</f>
        <v>0</v>
      </c>
      <c r="DW80" s="2">
        <f>((IF((115='V06 Calend 01'!C80),('V06 Calend 01'!F80+'V06 Calend 01'!G80),0)+IF(AND(('V06 Calend 01'!E80&gt;0),(115&gt;'V06 Calend 01'!C80),(115&lt;'V06 Calend 01'!D80),(MOD((115-'V06 Calend 01'!C80),6)=0),(((115-'V06 Calend 01'!C80)/6)&lt;='V06 Calend 01'!E80)),IF((115=('V06 Calend 01'!C80+(6*'V06 Calend 01'!E80))),('V06 Calend 01'!H80-('V06 Calend 01'!I80*('V06 Calend 01'!E80-1))),'V06 Calend 01'!I80),0))+IF((115='V06 Calend 01'!D80),'V06 Calend 01'!J80,0))</f>
        <v>0</v>
      </c>
      <c r="DX80" s="2">
        <f>((IF((116='V06 Calend 01'!C80),('V06 Calend 01'!F80+'V06 Calend 01'!G80),0)+IF(AND(('V06 Calend 01'!E80&gt;0),(116&gt;'V06 Calend 01'!C80),(116&lt;'V06 Calend 01'!D80),(MOD((116-'V06 Calend 01'!C80),6)=0),(((116-'V06 Calend 01'!C80)/6)&lt;='V06 Calend 01'!E80)),IF((116=('V06 Calend 01'!C80+(6*'V06 Calend 01'!E80))),('V06 Calend 01'!H80-('V06 Calend 01'!I80*('V06 Calend 01'!E80-1))),'V06 Calend 01'!I80),0))+IF((116='V06 Calend 01'!D80),'V06 Calend 01'!J80,0))</f>
        <v>0</v>
      </c>
      <c r="DY80" s="2">
        <f>((IF((117='V06 Calend 01'!C80),('V06 Calend 01'!F80+'V06 Calend 01'!G80),0)+IF(AND(('V06 Calend 01'!E80&gt;0),(117&gt;'V06 Calend 01'!C80),(117&lt;'V06 Calend 01'!D80),(MOD((117-'V06 Calend 01'!C80),6)=0),(((117-'V06 Calend 01'!C80)/6)&lt;='V06 Calend 01'!E80)),IF((117=('V06 Calend 01'!C80+(6*'V06 Calend 01'!E80))),('V06 Calend 01'!H80-('V06 Calend 01'!I80*('V06 Calend 01'!E80-1))),'V06 Calend 01'!I80),0))+IF((117='V06 Calend 01'!D80),'V06 Calend 01'!J80,0))</f>
        <v>0</v>
      </c>
      <c r="DZ80" s="2">
        <f>((IF((118='V06 Calend 01'!C80),('V06 Calend 01'!F80+'V06 Calend 01'!G80),0)+IF(AND(('V06 Calend 01'!E80&gt;0),(118&gt;'V06 Calend 01'!C80),(118&lt;'V06 Calend 01'!D80),(MOD((118-'V06 Calend 01'!C80),6)=0),(((118-'V06 Calend 01'!C80)/6)&lt;='V06 Calend 01'!E80)),IF((118=('V06 Calend 01'!C80+(6*'V06 Calend 01'!E80))),('V06 Calend 01'!H80-('V06 Calend 01'!I80*('V06 Calend 01'!E80-1))),'V06 Calend 01'!I80),0))+IF((118='V06 Calend 01'!D80),'V06 Calend 01'!J80,0))</f>
        <v>0</v>
      </c>
      <c r="EA80" s="2">
        <f>((IF((119='V06 Calend 01'!C80),('V06 Calend 01'!F80+'V06 Calend 01'!G80),0)+IF(AND(('V06 Calend 01'!E80&gt;0),(119&gt;'V06 Calend 01'!C80),(119&lt;'V06 Calend 01'!D80),(MOD((119-'V06 Calend 01'!C80),6)=0),(((119-'V06 Calend 01'!C80)/6)&lt;='V06 Calend 01'!E80)),IF((119=('V06 Calend 01'!C80+(6*'V06 Calend 01'!E80))),('V06 Calend 01'!H80-('V06 Calend 01'!I80*('V06 Calend 01'!E80-1))),'V06 Calend 01'!I80),0))+IF((119='V06 Calend 01'!D80),'V06 Calend 01'!J80,0))</f>
        <v>0</v>
      </c>
      <c r="EB80" s="2">
        <f>((IF((120='V06 Calend 01'!C80),('V06 Calend 01'!F80+'V06 Calend 01'!G80),0)+IF(AND(('V06 Calend 01'!E80&gt;0),(120&gt;'V06 Calend 01'!C80),(120&lt;'V06 Calend 01'!D80),(MOD((120-'V06 Calend 01'!C80),6)=0),(((120-'V06 Calend 01'!C80)/6)&lt;='V06 Calend 01'!E80)),IF((120=('V06 Calend 01'!C80+(6*'V06 Calend 01'!E80))),('V06 Calend 01'!H80-('V06 Calend 01'!I80*('V06 Calend 01'!E80-1))),'V06 Calend 01'!I80),0))+IF((120='V06 Calend 01'!D80),'V06 Calend 01'!J80,0))</f>
        <v>0</v>
      </c>
      <c r="EC80" s="2">
        <f>((IF((121='V06 Calend 01'!C80),('V06 Calend 01'!F80+'V06 Calend 01'!G80),0)+IF(AND(('V06 Calend 01'!E80&gt;0),(121&gt;'V06 Calend 01'!C80),(121&lt;'V06 Calend 01'!D80),(MOD((121-'V06 Calend 01'!C80),6)=0),(((121-'V06 Calend 01'!C80)/6)&lt;='V06 Calend 01'!E80)),IF((121=('V06 Calend 01'!C80+(6*'V06 Calend 01'!E80))),('V06 Calend 01'!H80-('V06 Calend 01'!I80*('V06 Calend 01'!E80-1))),'V06 Calend 01'!I80),0))+IF((121='V06 Calend 01'!D80),'V06 Calend 01'!J80,0))</f>
        <v>0</v>
      </c>
      <c r="ED80" s="2">
        <f>((IF((122='V06 Calend 01'!C80),('V06 Calend 01'!F80+'V06 Calend 01'!G80),0)+IF(AND(('V06 Calend 01'!E80&gt;0),(122&gt;'V06 Calend 01'!C80),(122&lt;'V06 Calend 01'!D80),(MOD((122-'V06 Calend 01'!C80),6)=0),(((122-'V06 Calend 01'!C80)/6)&lt;='V06 Calend 01'!E80)),IF((122=('V06 Calend 01'!C80+(6*'V06 Calend 01'!E80))),('V06 Calend 01'!H80-('V06 Calend 01'!I80*('V06 Calend 01'!E80-1))),'V06 Calend 01'!I80),0))+IF((122='V06 Calend 01'!D80),'V06 Calend 01'!J80,0))</f>
        <v>0</v>
      </c>
      <c r="EE80" s="2">
        <f>((IF((123='V06 Calend 01'!C80),('V06 Calend 01'!F80+'V06 Calend 01'!G80),0)+IF(AND(('V06 Calend 01'!E80&gt;0),(123&gt;'V06 Calend 01'!C80),(123&lt;'V06 Calend 01'!D80),(MOD((123-'V06 Calend 01'!C80),6)=0),(((123-'V06 Calend 01'!C80)/6)&lt;='V06 Calend 01'!E80)),IF((123=('V06 Calend 01'!C80+(6*'V06 Calend 01'!E80))),('V06 Calend 01'!H80-('V06 Calend 01'!I80*('V06 Calend 01'!E80-1))),'V06 Calend 01'!I80),0))+IF((123='V06 Calend 01'!D80),'V06 Calend 01'!J80,0))</f>
        <v>0</v>
      </c>
      <c r="EF80" s="2">
        <f>((IF((124='V06 Calend 01'!C80),('V06 Calend 01'!F80+'V06 Calend 01'!G80),0)+IF(AND(('V06 Calend 01'!E80&gt;0),(124&gt;'V06 Calend 01'!C80),(124&lt;'V06 Calend 01'!D80),(MOD((124-'V06 Calend 01'!C80),6)=0),(((124-'V06 Calend 01'!C80)/6)&lt;='V06 Calend 01'!E80)),IF((124=('V06 Calend 01'!C80+(6*'V06 Calend 01'!E80))),('V06 Calend 01'!H80-('V06 Calend 01'!I80*('V06 Calend 01'!E80-1))),'V06 Calend 01'!I80),0))+IF((124='V06 Calend 01'!D80),'V06 Calend 01'!J80,0))</f>
        <v>0</v>
      </c>
      <c r="EG80" s="2">
        <f>((IF((125='V06 Calend 01'!C80),('V06 Calend 01'!F80+'V06 Calend 01'!G80),0)+IF(AND(('V06 Calend 01'!E80&gt;0),(125&gt;'V06 Calend 01'!C80),(125&lt;'V06 Calend 01'!D80),(MOD((125-'V06 Calend 01'!C80),6)=0),(((125-'V06 Calend 01'!C80)/6)&lt;='V06 Calend 01'!E80)),IF((125=('V06 Calend 01'!C80+(6*'V06 Calend 01'!E80))),('V06 Calend 01'!H80-('V06 Calend 01'!I80*('V06 Calend 01'!E80-1))),'V06 Calend 01'!I80),0))+IF((125='V06 Calend 01'!D80),'V06 Calend 01'!J80,0))</f>
        <v>0</v>
      </c>
      <c r="EH80" s="2">
        <f>((IF((126='V06 Calend 01'!C80),('V06 Calend 01'!F80+'V06 Calend 01'!G80),0)+IF(AND(('V06 Calend 01'!E80&gt;0),(126&gt;'V06 Calend 01'!C80),(126&lt;'V06 Calend 01'!D80),(MOD((126-'V06 Calend 01'!C80),6)=0),(((126-'V06 Calend 01'!C80)/6)&lt;='V06 Calend 01'!E80)),IF((126=('V06 Calend 01'!C80+(6*'V06 Calend 01'!E80))),('V06 Calend 01'!H80-('V06 Calend 01'!I80*('V06 Calend 01'!E80-1))),'V06 Calend 01'!I80),0))+IF((126='V06 Calend 01'!D80),'V06 Calend 01'!J80,0))</f>
        <v>0</v>
      </c>
      <c r="EI80" s="2">
        <f>((IF((127='V06 Calend 01'!C80),('V06 Calend 01'!F80+'V06 Calend 01'!G80),0)+IF(AND(('V06 Calend 01'!E80&gt;0),(127&gt;'V06 Calend 01'!C80),(127&lt;'V06 Calend 01'!D80),(MOD((127-'V06 Calend 01'!C80),6)=0),(((127-'V06 Calend 01'!C80)/6)&lt;='V06 Calend 01'!E80)),IF((127=('V06 Calend 01'!C80+(6*'V06 Calend 01'!E80))),('V06 Calend 01'!H80-('V06 Calend 01'!I80*('V06 Calend 01'!E80-1))),'V06 Calend 01'!I80),0))+IF((127='V06 Calend 01'!D80),'V06 Calend 01'!J80,0))</f>
        <v>0</v>
      </c>
      <c r="EJ80" s="2">
        <f>((IF((128='V06 Calend 01'!C80),('V06 Calend 01'!F80+'V06 Calend 01'!G80),0)+IF(AND(('V06 Calend 01'!E80&gt;0),(128&gt;'V06 Calend 01'!C80),(128&lt;'V06 Calend 01'!D80),(MOD((128-'V06 Calend 01'!C80),6)=0),(((128-'V06 Calend 01'!C80)/6)&lt;='V06 Calend 01'!E80)),IF((128=('V06 Calend 01'!C80+(6*'V06 Calend 01'!E80))),('V06 Calend 01'!H80-('V06 Calend 01'!I80*('V06 Calend 01'!E80-1))),'V06 Calend 01'!I80),0))+IF((128='V06 Calend 01'!D80),'V06 Calend 01'!J80,0))</f>
        <v>0</v>
      </c>
      <c r="EK80" s="2">
        <f>((IF((129='V06 Calend 01'!C80),('V06 Calend 01'!F80+'V06 Calend 01'!G80),0)+IF(AND(('V06 Calend 01'!E80&gt;0),(129&gt;'V06 Calend 01'!C80),(129&lt;'V06 Calend 01'!D80),(MOD((129-'V06 Calend 01'!C80),6)=0),(((129-'V06 Calend 01'!C80)/6)&lt;='V06 Calend 01'!E80)),IF((129=('V06 Calend 01'!C80+(6*'V06 Calend 01'!E80))),('V06 Calend 01'!H80-('V06 Calend 01'!I80*('V06 Calend 01'!E80-1))),'V06 Calend 01'!I80),0))+IF((129='V06 Calend 01'!D80),'V06 Calend 01'!J80,0))</f>
        <v>0</v>
      </c>
      <c r="EL80" s="2">
        <f>((IF((130='V06 Calend 01'!C80),('V06 Calend 01'!F80+'V06 Calend 01'!G80),0)+IF(AND(('V06 Calend 01'!E80&gt;0),(130&gt;'V06 Calend 01'!C80),(130&lt;'V06 Calend 01'!D80),(MOD((130-'V06 Calend 01'!C80),6)=0),(((130-'V06 Calend 01'!C80)/6)&lt;='V06 Calend 01'!E80)),IF((130=('V06 Calend 01'!C80+(6*'V06 Calend 01'!E80))),('V06 Calend 01'!H80-('V06 Calend 01'!I80*('V06 Calend 01'!E80-1))),'V06 Calend 01'!I80),0))+IF((130='V06 Calend 01'!D80),'V06 Calend 01'!J80,0))</f>
        <v>0</v>
      </c>
      <c r="EM80" s="2">
        <f>((IF((131='V06 Calend 01'!C80),('V06 Calend 01'!F80+'V06 Calend 01'!G80),0)+IF(AND(('V06 Calend 01'!E80&gt;0),(131&gt;'V06 Calend 01'!C80),(131&lt;'V06 Calend 01'!D80),(MOD((131-'V06 Calend 01'!C80),6)=0),(((131-'V06 Calend 01'!C80)/6)&lt;='V06 Calend 01'!E80)),IF((131=('V06 Calend 01'!C80+(6*'V06 Calend 01'!E80))),('V06 Calend 01'!H80-('V06 Calend 01'!I80*('V06 Calend 01'!E80-1))),'V06 Calend 01'!I80),0))+IF((131='V06 Calend 01'!D80),'V06 Calend 01'!J80,0))</f>
        <v>0</v>
      </c>
      <c r="EN80" s="2">
        <f>((IF((132='V06 Calend 01'!C80),('V06 Calend 01'!F80+'V06 Calend 01'!G80),0)+IF(AND(('V06 Calend 01'!E80&gt;0),(132&gt;'V06 Calend 01'!C80),(132&lt;'V06 Calend 01'!D80),(MOD((132-'V06 Calend 01'!C80),6)=0),(((132-'V06 Calend 01'!C80)/6)&lt;='V06 Calend 01'!E80)),IF((132=('V06 Calend 01'!C80+(6*'V06 Calend 01'!E80))),('V06 Calend 01'!H80-('V06 Calend 01'!I80*('V06 Calend 01'!E80-1))),'V06 Calend 01'!I80),0))+IF((132='V06 Calend 01'!D80),'V06 Calend 01'!J80,0))</f>
        <v>0</v>
      </c>
      <c r="EO80" s="2">
        <f>((IF((133='V06 Calend 01'!C80),('V06 Calend 01'!F80+'V06 Calend 01'!G80),0)+IF(AND(('V06 Calend 01'!E80&gt;0),(133&gt;'V06 Calend 01'!C80),(133&lt;'V06 Calend 01'!D80),(MOD((133-'V06 Calend 01'!C80),6)=0),(((133-'V06 Calend 01'!C80)/6)&lt;='V06 Calend 01'!E80)),IF((133=('V06 Calend 01'!C80+(6*'V06 Calend 01'!E80))),('V06 Calend 01'!H80-('V06 Calend 01'!I80*('V06 Calend 01'!E80-1))),'V06 Calend 01'!I80),0))+IF((133='V06 Calend 01'!D80),'V06 Calend 01'!J80,0))</f>
        <v>0</v>
      </c>
      <c r="EP80" s="2">
        <f>((IF((134='V06 Calend 01'!C80),('V06 Calend 01'!F80+'V06 Calend 01'!G80),0)+IF(AND(('V06 Calend 01'!E80&gt;0),(134&gt;'V06 Calend 01'!C80),(134&lt;'V06 Calend 01'!D80),(MOD((134-'V06 Calend 01'!C80),6)=0),(((134-'V06 Calend 01'!C80)/6)&lt;='V06 Calend 01'!E80)),IF((134=('V06 Calend 01'!C80+(6*'V06 Calend 01'!E80))),('V06 Calend 01'!H80-('V06 Calend 01'!I80*('V06 Calend 01'!E80-1))),'V06 Calend 01'!I80),0))+IF((134='V06 Calend 01'!D80),'V06 Calend 01'!J80,0))</f>
        <v>0</v>
      </c>
      <c r="EQ80" s="2">
        <f>((IF((135='V06 Calend 01'!C80),('V06 Calend 01'!F80+'V06 Calend 01'!G80),0)+IF(AND(('V06 Calend 01'!E80&gt;0),(135&gt;'V06 Calend 01'!C80),(135&lt;'V06 Calend 01'!D80),(MOD((135-'V06 Calend 01'!C80),6)=0),(((135-'V06 Calend 01'!C80)/6)&lt;='V06 Calend 01'!E80)),IF((135=('V06 Calend 01'!C80+(6*'V06 Calend 01'!E80))),('V06 Calend 01'!H80-('V06 Calend 01'!I80*('V06 Calend 01'!E80-1))),'V06 Calend 01'!I80),0))+IF((135='V06 Calend 01'!D80),'V06 Calend 01'!J80,0))</f>
        <v>0</v>
      </c>
      <c r="ER80" s="2">
        <f>((IF((136='V06 Calend 01'!C80),('V06 Calend 01'!F80+'V06 Calend 01'!G80),0)+IF(AND(('V06 Calend 01'!E80&gt;0),(136&gt;'V06 Calend 01'!C80),(136&lt;'V06 Calend 01'!D80),(MOD((136-'V06 Calend 01'!C80),6)=0),(((136-'V06 Calend 01'!C80)/6)&lt;='V06 Calend 01'!E80)),IF((136=('V06 Calend 01'!C80+(6*'V06 Calend 01'!E80))),('V06 Calend 01'!H80-('V06 Calend 01'!I80*('V06 Calend 01'!E80-1))),'V06 Calend 01'!I80),0))+IF((136='V06 Calend 01'!D80),'V06 Calend 01'!J80,0))</f>
        <v>0</v>
      </c>
      <c r="ES80" s="2">
        <f>((IF((137='V06 Calend 01'!C80),('V06 Calend 01'!F80+'V06 Calend 01'!G80),0)+IF(AND(('V06 Calend 01'!E80&gt;0),(137&gt;'V06 Calend 01'!C80),(137&lt;'V06 Calend 01'!D80),(MOD((137-'V06 Calend 01'!C80),6)=0),(((137-'V06 Calend 01'!C80)/6)&lt;='V06 Calend 01'!E80)),IF((137=('V06 Calend 01'!C80+(6*'V06 Calend 01'!E80))),('V06 Calend 01'!H80-('V06 Calend 01'!I80*('V06 Calend 01'!E80-1))),'V06 Calend 01'!I80),0))+IF((137='V06 Calend 01'!D80),'V06 Calend 01'!J80,0))</f>
        <v>0</v>
      </c>
      <c r="ET80" s="2">
        <f>((IF((138='V06 Calend 01'!C80),('V06 Calend 01'!F80+'V06 Calend 01'!G80),0)+IF(AND(('V06 Calend 01'!E80&gt;0),(138&gt;'V06 Calend 01'!C80),(138&lt;'V06 Calend 01'!D80),(MOD((138-'V06 Calend 01'!C80),6)=0),(((138-'V06 Calend 01'!C80)/6)&lt;='V06 Calend 01'!E80)),IF((138=('V06 Calend 01'!C80+(6*'V06 Calend 01'!E80))),('V06 Calend 01'!H80-('V06 Calend 01'!I80*('V06 Calend 01'!E80-1))),'V06 Calend 01'!I80),0))+IF((138='V06 Calend 01'!D80),'V06 Calend 01'!J80,0))</f>
        <v>0</v>
      </c>
      <c r="EU80" s="2">
        <f>((IF((139='V06 Calend 01'!C80),('V06 Calend 01'!F80+'V06 Calend 01'!G80),0)+IF(AND(('V06 Calend 01'!E80&gt;0),(139&gt;'V06 Calend 01'!C80),(139&lt;'V06 Calend 01'!D80),(MOD((139-'V06 Calend 01'!C80),6)=0),(((139-'V06 Calend 01'!C80)/6)&lt;='V06 Calend 01'!E80)),IF((139=('V06 Calend 01'!C80+(6*'V06 Calend 01'!E80))),('V06 Calend 01'!H80-('V06 Calend 01'!I80*('V06 Calend 01'!E80-1))),'V06 Calend 01'!I80),0))+IF((139='V06 Calend 01'!D80),'V06 Calend 01'!J80,0))</f>
        <v>0</v>
      </c>
      <c r="EV80" s="2">
        <f>((IF((140='V06 Calend 01'!C80),('V06 Calend 01'!F80+'V06 Calend 01'!G80),0)+IF(AND(('V06 Calend 01'!E80&gt;0),(140&gt;'V06 Calend 01'!C80),(140&lt;'V06 Calend 01'!D80),(MOD((140-'V06 Calend 01'!C80),6)=0),(((140-'V06 Calend 01'!C80)/6)&lt;='V06 Calend 01'!E80)),IF((140=('V06 Calend 01'!C80+(6*'V06 Calend 01'!E80))),('V06 Calend 01'!H80-('V06 Calend 01'!I80*('V06 Calend 01'!E80-1))),'V06 Calend 01'!I80),0))+IF((140='V06 Calend 01'!D80),'V06 Calend 01'!J80,0))</f>
        <v>0</v>
      </c>
      <c r="EW80" s="2">
        <f>((IF((141='V06 Calend 01'!C80),('V06 Calend 01'!F80+'V06 Calend 01'!G80),0)+IF(AND(('V06 Calend 01'!E80&gt;0),(141&gt;'V06 Calend 01'!C80),(141&lt;'V06 Calend 01'!D80),(MOD((141-'V06 Calend 01'!C80),6)=0),(((141-'V06 Calend 01'!C80)/6)&lt;='V06 Calend 01'!E80)),IF((141=('V06 Calend 01'!C80+(6*'V06 Calend 01'!E80))),('V06 Calend 01'!H80-('V06 Calend 01'!I80*('V06 Calend 01'!E80-1))),'V06 Calend 01'!I80),0))+IF((141='V06 Calend 01'!D80),'V06 Calend 01'!J80,0))</f>
        <v>0</v>
      </c>
      <c r="EX80" s="2">
        <f>((IF((142='V06 Calend 01'!C80),('V06 Calend 01'!F80+'V06 Calend 01'!G80),0)+IF(AND(('V06 Calend 01'!E80&gt;0),(142&gt;'V06 Calend 01'!C80),(142&lt;'V06 Calend 01'!D80),(MOD((142-'V06 Calend 01'!C80),6)=0),(((142-'V06 Calend 01'!C80)/6)&lt;='V06 Calend 01'!E80)),IF((142=('V06 Calend 01'!C80+(6*'V06 Calend 01'!E80))),('V06 Calend 01'!H80-('V06 Calend 01'!I80*('V06 Calend 01'!E80-1))),'V06 Calend 01'!I80),0))+IF((142='V06 Calend 01'!D80),'V06 Calend 01'!J80,0))</f>
        <v>0</v>
      </c>
      <c r="EY80" s="2">
        <f>((IF((143='V06 Calend 01'!C80),('V06 Calend 01'!F80+'V06 Calend 01'!G80),0)+IF(AND(('V06 Calend 01'!E80&gt;0),(143&gt;'V06 Calend 01'!C80),(143&lt;'V06 Calend 01'!D80),(MOD((143-'V06 Calend 01'!C80),6)=0),(((143-'V06 Calend 01'!C80)/6)&lt;='V06 Calend 01'!E80)),IF((143=('V06 Calend 01'!C80+(6*'V06 Calend 01'!E80))),('V06 Calend 01'!H80-('V06 Calend 01'!I80*('V06 Calend 01'!E80-1))),'V06 Calend 01'!I80),0))+IF((143='V06 Calend 01'!D80),'V06 Calend 01'!J80,0))</f>
        <v>0</v>
      </c>
      <c r="EZ80" s="2">
        <f>((IF((144='V06 Calend 01'!C80),('V06 Calend 01'!F80+'V06 Calend 01'!G80),0)+IF(AND(('V06 Calend 01'!E80&gt;0),(144&gt;'V06 Calend 01'!C80),(144&lt;'V06 Calend 01'!D80),(MOD((144-'V06 Calend 01'!C80),6)=0),(((144-'V06 Calend 01'!C80)/6)&lt;='V06 Calend 01'!E80)),IF((144=('V06 Calend 01'!C80+(6*'V06 Calend 01'!E80))),('V06 Calend 01'!H80-('V06 Calend 01'!I80*('V06 Calend 01'!E80-1))),'V06 Calend 01'!I80),0))+IF((144='V06 Calend 01'!D80),'V06 Calend 01'!J80,0))</f>
        <v>0</v>
      </c>
      <c r="FA80" s="2">
        <f>((IF((145='V06 Calend 01'!C80),('V06 Calend 01'!F80+'V06 Calend 01'!G80),0)+IF(AND(('V06 Calend 01'!E80&gt;0),(145&gt;'V06 Calend 01'!C80),(145&lt;'V06 Calend 01'!D80),(MOD((145-'V06 Calend 01'!C80),6)=0),(((145-'V06 Calend 01'!C80)/6)&lt;='V06 Calend 01'!E80)),IF((145=('V06 Calend 01'!C80+(6*'V06 Calend 01'!E80))),('V06 Calend 01'!H80-('V06 Calend 01'!I80*('V06 Calend 01'!E80-1))),'V06 Calend 01'!I80),0))+IF((145='V06 Calend 01'!D80),'V06 Calend 01'!J80,0))</f>
        <v>0</v>
      </c>
      <c r="FB80" s="2">
        <f>((IF((146='V06 Calend 01'!C80),('V06 Calend 01'!F80+'V06 Calend 01'!G80),0)+IF(AND(('V06 Calend 01'!E80&gt;0),(146&gt;'V06 Calend 01'!C80),(146&lt;'V06 Calend 01'!D80),(MOD((146-'V06 Calend 01'!C80),6)=0),(((146-'V06 Calend 01'!C80)/6)&lt;='V06 Calend 01'!E80)),IF((146=('V06 Calend 01'!C80+(6*'V06 Calend 01'!E80))),('V06 Calend 01'!H80-('V06 Calend 01'!I80*('V06 Calend 01'!E80-1))),'V06 Calend 01'!I80),0))+IF((146='V06 Calend 01'!D80),'V06 Calend 01'!J80,0))</f>
        <v>0</v>
      </c>
      <c r="FC80" s="2">
        <f>((IF((147='V06 Calend 01'!C80),('V06 Calend 01'!F80+'V06 Calend 01'!G80),0)+IF(AND(('V06 Calend 01'!E80&gt;0),(147&gt;'V06 Calend 01'!C80),(147&lt;'V06 Calend 01'!D80),(MOD((147-'V06 Calend 01'!C80),6)=0),(((147-'V06 Calend 01'!C80)/6)&lt;='V06 Calend 01'!E80)),IF((147=('V06 Calend 01'!C80+(6*'V06 Calend 01'!E80))),('V06 Calend 01'!H80-('V06 Calend 01'!I80*('V06 Calend 01'!E80-1))),'V06 Calend 01'!I80),0))+IF((147='V06 Calend 01'!D80),'V06 Calend 01'!J80,0))</f>
        <v>0</v>
      </c>
      <c r="FD80" s="2">
        <f>((IF((148='V06 Calend 01'!C80),('V06 Calend 01'!F80+'V06 Calend 01'!G80),0)+IF(AND(('V06 Calend 01'!E80&gt;0),(148&gt;'V06 Calend 01'!C80),(148&lt;'V06 Calend 01'!D80),(MOD((148-'V06 Calend 01'!C80),6)=0),(((148-'V06 Calend 01'!C80)/6)&lt;='V06 Calend 01'!E80)),IF((148=('V06 Calend 01'!C80+(6*'V06 Calend 01'!E80))),('V06 Calend 01'!H80-('V06 Calend 01'!I80*('V06 Calend 01'!E80-1))),'V06 Calend 01'!I80),0))+IF((148='V06 Calend 01'!D80),'V06 Calend 01'!J80,0))</f>
        <v>0</v>
      </c>
      <c r="FE80" s="2">
        <f>((IF((149='V06 Calend 01'!C80),('V06 Calend 01'!F80+'V06 Calend 01'!G80),0)+IF(AND(('V06 Calend 01'!E80&gt;0),(149&gt;'V06 Calend 01'!C80),(149&lt;'V06 Calend 01'!D80),(MOD((149-'V06 Calend 01'!C80),6)=0),(((149-'V06 Calend 01'!C80)/6)&lt;='V06 Calend 01'!E80)),IF((149=('V06 Calend 01'!C80+(6*'V06 Calend 01'!E80))),('V06 Calend 01'!H80-('V06 Calend 01'!I80*('V06 Calend 01'!E80-1))),'V06 Calend 01'!I80),0))+IF((149='V06 Calend 01'!D80),'V06 Calend 01'!J80,0))</f>
        <v>0</v>
      </c>
      <c r="FF80" s="2">
        <f>((IF((150='V06 Calend 01'!C80),('V06 Calend 01'!F80+'V06 Calend 01'!G80),0)+IF(AND(('V06 Calend 01'!E80&gt;0),(150&gt;'V06 Calend 01'!C80),(150&lt;'V06 Calend 01'!D80),(MOD((150-'V06 Calend 01'!C80),6)=0),(((150-'V06 Calend 01'!C80)/6)&lt;='V06 Calend 01'!E80)),IF((150=('V06 Calend 01'!C80+(6*'V06 Calend 01'!E80))),('V06 Calend 01'!H80-('V06 Calend 01'!I80*('V06 Calend 01'!E80-1))),'V06 Calend 01'!I80),0))+IF((150='V06 Calend 01'!D80),'V06 Calend 01'!J80,0))</f>
        <v>0</v>
      </c>
      <c r="FG80" s="2">
        <f>((IF((151='V06 Calend 01'!C80),('V06 Calend 01'!F80+'V06 Calend 01'!G80),0)+IF(AND(('V06 Calend 01'!E80&gt;0),(151&gt;'V06 Calend 01'!C80),(151&lt;'V06 Calend 01'!D80),(MOD((151-'V06 Calend 01'!C80),6)=0),(((151-'V06 Calend 01'!C80)/6)&lt;='V06 Calend 01'!E80)),IF((151=('V06 Calend 01'!C80+(6*'V06 Calend 01'!E80))),('V06 Calend 01'!H80-('V06 Calend 01'!I80*('V06 Calend 01'!E80-1))),'V06 Calend 01'!I80),0))+IF((151='V06 Calend 01'!D80),'V06 Calend 01'!J80,0))</f>
        <v>0</v>
      </c>
      <c r="FH80" s="2">
        <f>((IF((152='V06 Calend 01'!C80),('V06 Calend 01'!F80+'V06 Calend 01'!G80),0)+IF(AND(('V06 Calend 01'!E80&gt;0),(152&gt;'V06 Calend 01'!C80),(152&lt;'V06 Calend 01'!D80),(MOD((152-'V06 Calend 01'!C80),6)=0),(((152-'V06 Calend 01'!C80)/6)&lt;='V06 Calend 01'!E80)),IF((152=('V06 Calend 01'!C80+(6*'V06 Calend 01'!E80))),('V06 Calend 01'!H80-('V06 Calend 01'!I80*('V06 Calend 01'!E80-1))),'V06 Calend 01'!I80),0))+IF((152='V06 Calend 01'!D80),'V06 Calend 01'!J80,0))</f>
        <v>0</v>
      </c>
      <c r="FI80" s="2">
        <f>((IF((153='V06 Calend 01'!C80),('V06 Calend 01'!F80+'V06 Calend 01'!G80),0)+IF(AND(('V06 Calend 01'!E80&gt;0),(153&gt;'V06 Calend 01'!C80),(153&lt;'V06 Calend 01'!D80),(MOD((153-'V06 Calend 01'!C80),6)=0),(((153-'V06 Calend 01'!C80)/6)&lt;='V06 Calend 01'!E80)),IF((153=('V06 Calend 01'!C80+(6*'V06 Calend 01'!E80))),('V06 Calend 01'!H80-('V06 Calend 01'!I80*('V06 Calend 01'!E80-1))),'V06 Calend 01'!I80),0))+IF((153='V06 Calend 01'!D80),'V06 Calend 01'!J80,0))</f>
        <v>0</v>
      </c>
      <c r="FJ80" s="2">
        <f>((IF((154='V06 Calend 01'!C80),('V06 Calend 01'!F80+'V06 Calend 01'!G80),0)+IF(AND(('V06 Calend 01'!E80&gt;0),(154&gt;'V06 Calend 01'!C80),(154&lt;'V06 Calend 01'!D80),(MOD((154-'V06 Calend 01'!C80),6)=0),(((154-'V06 Calend 01'!C80)/6)&lt;='V06 Calend 01'!E80)),IF((154=('V06 Calend 01'!C80+(6*'V06 Calend 01'!E80))),('V06 Calend 01'!H80-('V06 Calend 01'!I80*('V06 Calend 01'!E80-1))),'V06 Calend 01'!I80),0))+IF((154='V06 Calend 01'!D80),'V06 Calend 01'!J80,0))</f>
        <v>0</v>
      </c>
      <c r="FK80" s="2">
        <f>((IF((155='V06 Calend 01'!C80),('V06 Calend 01'!F80+'V06 Calend 01'!G80),0)+IF(AND(('V06 Calend 01'!E80&gt;0),(155&gt;'V06 Calend 01'!C80),(155&lt;'V06 Calend 01'!D80),(MOD((155-'V06 Calend 01'!C80),6)=0),(((155-'V06 Calend 01'!C80)/6)&lt;='V06 Calend 01'!E80)),IF((155=('V06 Calend 01'!C80+(6*'V06 Calend 01'!E80))),('V06 Calend 01'!H80-('V06 Calend 01'!I80*('V06 Calend 01'!E80-1))),'V06 Calend 01'!I80),0))+IF((155='V06 Calend 01'!D80),'V06 Calend 01'!J80,0))</f>
        <v>0</v>
      </c>
      <c r="FL80" s="2">
        <f>((IF((156='V06 Calend 01'!C80),('V06 Calend 01'!F80+'V06 Calend 01'!G80),0)+IF(AND(('V06 Calend 01'!E80&gt;0),(156&gt;'V06 Calend 01'!C80),(156&lt;'V06 Calend 01'!D80),(MOD((156-'V06 Calend 01'!C80),6)=0),(((156-'V06 Calend 01'!C80)/6)&lt;='V06 Calend 01'!E80)),IF((156=('V06 Calend 01'!C80+(6*'V06 Calend 01'!E80))),('V06 Calend 01'!H80-('V06 Calend 01'!I80*('V06 Calend 01'!E80-1))),'V06 Calend 01'!I80),0))+IF((156='V06 Calend 01'!D80),'V06 Calend 01'!J80,0))</f>
        <v>0</v>
      </c>
      <c r="FM80" s="2">
        <f>((IF((157='V06 Calend 01'!C80),('V06 Calend 01'!F80+'V06 Calend 01'!G80),0)+IF(AND(('V06 Calend 01'!E80&gt;0),(157&gt;'V06 Calend 01'!C80),(157&lt;'V06 Calend 01'!D80),(MOD((157-'V06 Calend 01'!C80),6)=0),(((157-'V06 Calend 01'!C80)/6)&lt;='V06 Calend 01'!E80)),IF((157=('V06 Calend 01'!C80+(6*'V06 Calend 01'!E80))),('V06 Calend 01'!H80-('V06 Calend 01'!I80*('V06 Calend 01'!E80-1))),'V06 Calend 01'!I80),0))+IF((157='V06 Calend 01'!D80),'V06 Calend 01'!J80,0))</f>
        <v>0</v>
      </c>
      <c r="FN80" s="2">
        <f>((IF((158='V06 Calend 01'!C80),('V06 Calend 01'!F80+'V06 Calend 01'!G80),0)+IF(AND(('V06 Calend 01'!E80&gt;0),(158&gt;'V06 Calend 01'!C80),(158&lt;'V06 Calend 01'!D80),(MOD((158-'V06 Calend 01'!C80),6)=0),(((158-'V06 Calend 01'!C80)/6)&lt;='V06 Calend 01'!E80)),IF((158=('V06 Calend 01'!C80+(6*'V06 Calend 01'!E80))),('V06 Calend 01'!H80-('V06 Calend 01'!I80*('V06 Calend 01'!E80-1))),'V06 Calend 01'!I80),0))+IF((158='V06 Calend 01'!D80),'V06 Calend 01'!J80,0))</f>
        <v>0</v>
      </c>
      <c r="FO80" s="2">
        <f>((IF((159='V06 Calend 01'!C80),('V06 Calend 01'!F80+'V06 Calend 01'!G80),0)+IF(AND(('V06 Calend 01'!E80&gt;0),(159&gt;'V06 Calend 01'!C80),(159&lt;'V06 Calend 01'!D80),(MOD((159-'V06 Calend 01'!C80),6)=0),(((159-'V06 Calend 01'!C80)/6)&lt;='V06 Calend 01'!E80)),IF((159=('V06 Calend 01'!C80+(6*'V06 Calend 01'!E80))),('V06 Calend 01'!H80-('V06 Calend 01'!I80*('V06 Calend 01'!E80-1))),'V06 Calend 01'!I80),0))+IF((159='V06 Calend 01'!D80),'V06 Calend 01'!J80,0))</f>
        <v>0</v>
      </c>
      <c r="FP80" s="2">
        <f>((IF((160='V06 Calend 01'!C80),('V06 Calend 01'!F80+'V06 Calend 01'!G80),0)+IF(AND(('V06 Calend 01'!E80&gt;0),(160&gt;'V06 Calend 01'!C80),(160&lt;'V06 Calend 01'!D80),(MOD((160-'V06 Calend 01'!C80),6)=0),(((160-'V06 Calend 01'!C80)/6)&lt;='V06 Calend 01'!E80)),IF((160=('V06 Calend 01'!C80+(6*'V06 Calend 01'!E80))),('V06 Calend 01'!H80-('V06 Calend 01'!I80*('V06 Calend 01'!E80-1))),'V06 Calend 01'!I80),0))+IF((160='V06 Calend 01'!D80),'V06 Calend 01'!J80,0))</f>
        <v>0</v>
      </c>
      <c r="FQ80" s="2">
        <f>((IF((161='V06 Calend 01'!C80),('V06 Calend 01'!F80+'V06 Calend 01'!G80),0)+IF(AND(('V06 Calend 01'!E80&gt;0),(161&gt;'V06 Calend 01'!C80),(161&lt;'V06 Calend 01'!D80),(MOD((161-'V06 Calend 01'!C80),6)=0),(((161-'V06 Calend 01'!C80)/6)&lt;='V06 Calend 01'!E80)),IF((161=('V06 Calend 01'!C80+(6*'V06 Calend 01'!E80))),('V06 Calend 01'!H80-('V06 Calend 01'!I80*('V06 Calend 01'!E80-1))),'V06 Calend 01'!I80),0))+IF((161='V06 Calend 01'!D80),'V06 Calend 01'!J80,0))</f>
        <v>0</v>
      </c>
      <c r="FR80" s="2">
        <f>((IF((162='V06 Calend 01'!C80),('V06 Calend 01'!F80+'V06 Calend 01'!G80),0)+IF(AND(('V06 Calend 01'!E80&gt;0),(162&gt;'V06 Calend 01'!C80),(162&lt;'V06 Calend 01'!D80),(MOD((162-'V06 Calend 01'!C80),6)=0),(((162-'V06 Calend 01'!C80)/6)&lt;='V06 Calend 01'!E80)),IF((162=('V06 Calend 01'!C80+(6*'V06 Calend 01'!E80))),('V06 Calend 01'!H80-('V06 Calend 01'!I80*('V06 Calend 01'!E80-1))),'V06 Calend 01'!I80),0))+IF((162='V06 Calend 01'!D80),'V06 Calend 01'!J80,0))</f>
        <v>0</v>
      </c>
      <c r="FS80" s="2">
        <f>((IF((163='V06 Calend 01'!C80),('V06 Calend 01'!F80+'V06 Calend 01'!G80),0)+IF(AND(('V06 Calend 01'!E80&gt;0),(163&gt;'V06 Calend 01'!C80),(163&lt;'V06 Calend 01'!D80),(MOD((163-'V06 Calend 01'!C80),6)=0),(((163-'V06 Calend 01'!C80)/6)&lt;='V06 Calend 01'!E80)),IF((163=('V06 Calend 01'!C80+(6*'V06 Calend 01'!E80))),('V06 Calend 01'!H80-('V06 Calend 01'!I80*('V06 Calend 01'!E80-1))),'V06 Calend 01'!I80),0))+IF((163='V06 Calend 01'!D80),'V06 Calend 01'!J80,0))</f>
        <v>0</v>
      </c>
      <c r="FT80" s="2">
        <f>((IF((164='V06 Calend 01'!C80),('V06 Calend 01'!F80+'V06 Calend 01'!G80),0)+IF(AND(('V06 Calend 01'!E80&gt;0),(164&gt;'V06 Calend 01'!C80),(164&lt;'V06 Calend 01'!D80),(MOD((164-'V06 Calend 01'!C80),6)=0),(((164-'V06 Calend 01'!C80)/6)&lt;='V06 Calend 01'!E80)),IF((164=('V06 Calend 01'!C80+(6*'V06 Calend 01'!E80))),('V06 Calend 01'!H80-('V06 Calend 01'!I80*('V06 Calend 01'!E80-1))),'V06 Calend 01'!I80),0))+IF((164='V06 Calend 01'!D80),'V06 Calend 01'!J80,0))</f>
        <v>0</v>
      </c>
      <c r="FU80" s="2">
        <f>((IF((165='V06 Calend 01'!C80),('V06 Calend 01'!F80+'V06 Calend 01'!G80),0)+IF(AND(('V06 Calend 01'!E80&gt;0),(165&gt;'V06 Calend 01'!C80),(165&lt;'V06 Calend 01'!D80),(MOD((165-'V06 Calend 01'!C80),6)=0),(((165-'V06 Calend 01'!C80)/6)&lt;='V06 Calend 01'!E80)),IF((165=('V06 Calend 01'!C80+(6*'V06 Calend 01'!E80))),('V06 Calend 01'!H80-('V06 Calend 01'!I80*('V06 Calend 01'!E80-1))),'V06 Calend 01'!I80),0))+IF((165='V06 Calend 01'!D80),'V06 Calend 01'!J80,0))</f>
        <v>0</v>
      </c>
      <c r="FV80" s="2">
        <f>((IF((166='V06 Calend 01'!C80),('V06 Calend 01'!F80+'V06 Calend 01'!G80),0)+IF(AND(('V06 Calend 01'!E80&gt;0),(166&gt;'V06 Calend 01'!C80),(166&lt;'V06 Calend 01'!D80),(MOD((166-'V06 Calend 01'!C80),6)=0),(((166-'V06 Calend 01'!C80)/6)&lt;='V06 Calend 01'!E80)),IF((166=('V06 Calend 01'!C80+(6*'V06 Calend 01'!E80))),('V06 Calend 01'!H80-('V06 Calend 01'!I80*('V06 Calend 01'!E80-1))),'V06 Calend 01'!I80),0))+IF((166='V06 Calend 01'!D80),'V06 Calend 01'!J80,0))</f>
        <v>0</v>
      </c>
      <c r="FW80" s="2">
        <f>((IF((167='V06 Calend 01'!C80),('V06 Calend 01'!F80+'V06 Calend 01'!G80),0)+IF(AND(('V06 Calend 01'!E80&gt;0),(167&gt;'V06 Calend 01'!C80),(167&lt;'V06 Calend 01'!D80),(MOD((167-'V06 Calend 01'!C80),6)=0),(((167-'V06 Calend 01'!C80)/6)&lt;='V06 Calend 01'!E80)),IF((167=('V06 Calend 01'!C80+(6*'V06 Calend 01'!E80))),('V06 Calend 01'!H80-('V06 Calend 01'!I80*('V06 Calend 01'!E80-1))),'V06 Calend 01'!I80),0))+IF((167='V06 Calend 01'!D80),'V06 Calend 01'!J80,0))</f>
        <v>0</v>
      </c>
      <c r="FX80" s="2">
        <f>((IF((168='V06 Calend 01'!C80),('V06 Calend 01'!F80+'V06 Calend 01'!G80),0)+IF(AND(('V06 Calend 01'!E80&gt;0),(168&gt;'V06 Calend 01'!C80),(168&lt;'V06 Calend 01'!D80),(MOD((168-'V06 Calend 01'!C80),6)=0),(((168-'V06 Calend 01'!C80)/6)&lt;='V06 Calend 01'!E80)),IF((168=('V06 Calend 01'!C80+(6*'V06 Calend 01'!E80))),('V06 Calend 01'!H80-('V06 Calend 01'!I80*('V06 Calend 01'!E80-1))),'V06 Calend 01'!I80),0))+IF((168='V06 Calend 01'!D80),'V06 Calend 01'!J80,0))</f>
        <v>0</v>
      </c>
      <c r="FY80" s="2">
        <f>((IF((169='V06 Calend 01'!C80),('V06 Calend 01'!F80+'V06 Calend 01'!G80),0)+IF(AND(('V06 Calend 01'!E80&gt;0),(169&gt;'V06 Calend 01'!C80),(169&lt;'V06 Calend 01'!D80),(MOD((169-'V06 Calend 01'!C80),6)=0),(((169-'V06 Calend 01'!C80)/6)&lt;='V06 Calend 01'!E80)),IF((169=('V06 Calend 01'!C80+(6*'V06 Calend 01'!E80))),('V06 Calend 01'!H80-('V06 Calend 01'!I80*('V06 Calend 01'!E80-1))),'V06 Calend 01'!I80),0))+IF((169='V06 Calend 01'!D80),'V06 Calend 01'!J80,0))</f>
        <v>0</v>
      </c>
      <c r="FZ80" s="2">
        <f>((IF((170='V06 Calend 01'!C80),('V06 Calend 01'!F80+'V06 Calend 01'!G80),0)+IF(AND(('V06 Calend 01'!E80&gt;0),(170&gt;'V06 Calend 01'!C80),(170&lt;'V06 Calend 01'!D80),(MOD((170-'V06 Calend 01'!C80),6)=0),(((170-'V06 Calend 01'!C80)/6)&lt;='V06 Calend 01'!E80)),IF((170=('V06 Calend 01'!C80+(6*'V06 Calend 01'!E80))),('V06 Calend 01'!H80-('V06 Calend 01'!I80*('V06 Calend 01'!E80-1))),'V06 Calend 01'!I80),0))+IF((170='V06 Calend 01'!D80),'V06 Calend 01'!J80,0))</f>
        <v>0</v>
      </c>
      <c r="GA80" s="2">
        <f>((IF((171='V06 Calend 01'!C80),('V06 Calend 01'!F80+'V06 Calend 01'!G80),0)+IF(AND(('V06 Calend 01'!E80&gt;0),(171&gt;'V06 Calend 01'!C80),(171&lt;'V06 Calend 01'!D80),(MOD((171-'V06 Calend 01'!C80),6)=0),(((171-'V06 Calend 01'!C80)/6)&lt;='V06 Calend 01'!E80)),IF((171=('V06 Calend 01'!C80+(6*'V06 Calend 01'!E80))),('V06 Calend 01'!H80-('V06 Calend 01'!I80*('V06 Calend 01'!E80-1))),'V06 Calend 01'!I80),0))+IF((171='V06 Calend 01'!D80),'V06 Calend 01'!J80,0))</f>
        <v>0</v>
      </c>
      <c r="GB80" s="2">
        <f>((IF((172='V06 Calend 01'!C80),('V06 Calend 01'!F80+'V06 Calend 01'!G80),0)+IF(AND(('V06 Calend 01'!E80&gt;0),(172&gt;'V06 Calend 01'!C80),(172&lt;'V06 Calend 01'!D80),(MOD((172-'V06 Calend 01'!C80),6)=0),(((172-'V06 Calend 01'!C80)/6)&lt;='V06 Calend 01'!E80)),IF((172=('V06 Calend 01'!C80+(6*'V06 Calend 01'!E80))),('V06 Calend 01'!H80-('V06 Calend 01'!I80*('V06 Calend 01'!E80-1))),'V06 Calend 01'!I80),0))+IF((172='V06 Calend 01'!D80),'V06 Calend 01'!J80,0))</f>
        <v>0</v>
      </c>
      <c r="GC80" s="2">
        <f>((IF((173='V06 Calend 01'!C80),('V06 Calend 01'!F80+'V06 Calend 01'!G80),0)+IF(AND(('V06 Calend 01'!E80&gt;0),(173&gt;'V06 Calend 01'!C80),(173&lt;'V06 Calend 01'!D80),(MOD((173-'V06 Calend 01'!C80),6)=0),(((173-'V06 Calend 01'!C80)/6)&lt;='V06 Calend 01'!E80)),IF((173=('V06 Calend 01'!C80+(6*'V06 Calend 01'!E80))),('V06 Calend 01'!H80-('V06 Calend 01'!I80*('V06 Calend 01'!E80-1))),'V06 Calend 01'!I80),0))+IF((173='V06 Calend 01'!D80),'V06 Calend 01'!J80,0))</f>
        <v>0</v>
      </c>
      <c r="GD80" s="2">
        <f>((IF((174='V06 Calend 01'!C80),('V06 Calend 01'!F80+'V06 Calend 01'!G80),0)+IF(AND(('V06 Calend 01'!E80&gt;0),(174&gt;'V06 Calend 01'!C80),(174&lt;'V06 Calend 01'!D80),(MOD((174-'V06 Calend 01'!C80),6)=0),(((174-'V06 Calend 01'!C80)/6)&lt;='V06 Calend 01'!E80)),IF((174=('V06 Calend 01'!C80+(6*'V06 Calend 01'!E80))),('V06 Calend 01'!H80-('V06 Calend 01'!I80*('V06 Calend 01'!E80-1))),'V06 Calend 01'!I80),0))+IF((174='V06 Calend 01'!D80),'V06 Calend 01'!J80,0))</f>
        <v>0</v>
      </c>
      <c r="GE80" s="2">
        <f>((IF((175='V06 Calend 01'!C80),('V06 Calend 01'!F80+'V06 Calend 01'!G80),0)+IF(AND(('V06 Calend 01'!E80&gt;0),(175&gt;'V06 Calend 01'!C80),(175&lt;'V06 Calend 01'!D80),(MOD((175-'V06 Calend 01'!C80),6)=0),(((175-'V06 Calend 01'!C80)/6)&lt;='V06 Calend 01'!E80)),IF((175=('V06 Calend 01'!C80+(6*'V06 Calend 01'!E80))),('V06 Calend 01'!H80-('V06 Calend 01'!I80*('V06 Calend 01'!E80-1))),'V06 Calend 01'!I80),0))+IF((175='V06 Calend 01'!D80),'V06 Calend 01'!J80,0))</f>
        <v>0</v>
      </c>
      <c r="GF80" s="2">
        <f>((IF((176='V06 Calend 01'!C80),('V06 Calend 01'!F80+'V06 Calend 01'!G80),0)+IF(AND(('V06 Calend 01'!E80&gt;0),(176&gt;'V06 Calend 01'!C80),(176&lt;'V06 Calend 01'!D80),(MOD((176-'V06 Calend 01'!C80),6)=0),(((176-'V06 Calend 01'!C80)/6)&lt;='V06 Calend 01'!E80)),IF((176=('V06 Calend 01'!C80+(6*'V06 Calend 01'!E80))),('V06 Calend 01'!H80-('V06 Calend 01'!I80*('V06 Calend 01'!E80-1))),'V06 Calend 01'!I80),0))+IF((176='V06 Calend 01'!D80),'V06 Calend 01'!J80,0))</f>
        <v>0</v>
      </c>
      <c r="GG80" s="2">
        <f>((IF((177='V06 Calend 01'!C80),('V06 Calend 01'!F80+'V06 Calend 01'!G80),0)+IF(AND(('V06 Calend 01'!E80&gt;0),(177&gt;'V06 Calend 01'!C80),(177&lt;'V06 Calend 01'!D80),(MOD((177-'V06 Calend 01'!C80),6)=0),(((177-'V06 Calend 01'!C80)/6)&lt;='V06 Calend 01'!E80)),IF((177=('V06 Calend 01'!C80+(6*'V06 Calend 01'!E80))),('V06 Calend 01'!H80-('V06 Calend 01'!I80*('V06 Calend 01'!E80-1))),'V06 Calend 01'!I80),0))+IF((177='V06 Calend 01'!D80),'V06 Calend 01'!J80,0))</f>
        <v>0</v>
      </c>
      <c r="GH80" s="2">
        <f>((IF((178='V06 Calend 01'!C80),('V06 Calend 01'!F80+'V06 Calend 01'!G80),0)+IF(AND(('V06 Calend 01'!E80&gt;0),(178&gt;'V06 Calend 01'!C80),(178&lt;'V06 Calend 01'!D80),(MOD((178-'V06 Calend 01'!C80),6)=0),(((178-'V06 Calend 01'!C80)/6)&lt;='V06 Calend 01'!E80)),IF((178=('V06 Calend 01'!C80+(6*'V06 Calend 01'!E80))),('V06 Calend 01'!H80-('V06 Calend 01'!I80*('V06 Calend 01'!E80-1))),'V06 Calend 01'!I80),0))+IF((178='V06 Calend 01'!D80),'V06 Calend 01'!J80,0))</f>
        <v>0</v>
      </c>
      <c r="GI80" s="2">
        <f>((IF((179='V06 Calend 01'!C80),('V06 Calend 01'!F80+'V06 Calend 01'!G80),0)+IF(AND(('V06 Calend 01'!E80&gt;0),(179&gt;'V06 Calend 01'!C80),(179&lt;'V06 Calend 01'!D80),(MOD((179-'V06 Calend 01'!C80),6)=0),(((179-'V06 Calend 01'!C80)/6)&lt;='V06 Calend 01'!E80)),IF((179=('V06 Calend 01'!C80+(6*'V06 Calend 01'!E80))),('V06 Calend 01'!H80-('V06 Calend 01'!I80*('V06 Calend 01'!E80-1))),'V06 Calend 01'!I80),0))+IF((179='V06 Calend 01'!D80),'V06 Calend 01'!J80,0))</f>
        <v>0</v>
      </c>
      <c r="GJ80" s="2">
        <f>((IF((180='V06 Calend 01'!C80),('V06 Calend 01'!F80+'V06 Calend 01'!G80),0)+IF(AND(('V06 Calend 01'!E80&gt;0),(180&gt;'V06 Calend 01'!C80),(180&lt;'V06 Calend 01'!D80),(MOD((180-'V06 Calend 01'!C80),6)=0),(((180-'V06 Calend 01'!C80)/6)&lt;='V06 Calend 01'!E80)),IF((180=('V06 Calend 01'!C80+(6*'V06 Calend 01'!E80))),('V06 Calend 01'!H80-('V06 Calend 01'!I80*('V06 Calend 01'!E80-1))),'V06 Calend 01'!I80),0))+IF((180='V06 Calend 01'!D80),'V06 Calend 01'!J80,0))</f>
        <v>0</v>
      </c>
    </row>
    <row r="81" spans="1:192">
      <c r="A81" s="3" t="str">
        <f>'V06 Unidades'!$A$81</f>
        <v>907</v>
      </c>
      <c r="B81" s="2">
        <f>'V06 Unidades'!$H$81</f>
        <v>431518.29</v>
      </c>
      <c r="C81" s="4">
        <f>('V06 Unidades'!$I$81+'V06 Controlos'!$B$37)</f>
        <v>4</v>
      </c>
      <c r="D81" s="4">
        <f>IF(('V06 Controlos'!$B$38&gt;0),MAX(('V06 Unidades'!$L$81+'V06 Controlos'!$B$37),(30+'V06 Controlos'!$B$38)),('V06 Unidades'!$L$81+'V06 Controlos'!$B$37))</f>
        <v>29</v>
      </c>
      <c r="E81" s="4">
        <f>MAX(0,INT(((('V06 Calend 01'!D81-'V06 Calend 01'!C81)-1)/6)))</f>
        <v>4</v>
      </c>
      <c r="F81" s="2">
        <f>ROUND(('V06 Calend 01'!B81*0.05),2)</f>
        <v>21575.91</v>
      </c>
      <c r="G81" s="2">
        <f>ROUND(('V06 Calend 01'!B81*0.2),2)</f>
        <v>86303.66</v>
      </c>
      <c r="H81" s="2">
        <f>ROUND(('V06 Calend 01'!B81*0.55),2)</f>
        <v>237335.06</v>
      </c>
      <c r="I81" s="2">
        <f>ROUND(('V06 Calend 01'!H81/MAX(1,'V06 Calend 01'!E81)),2)</f>
        <v>59333.77</v>
      </c>
      <c r="J81" s="2">
        <f>((('V06 Calend 01'!B81-'V06 Calend 01'!F81)-'V06 Calend 01'!G81)-'V06 Calend 01'!H81)</f>
        <v>86303.65999999997</v>
      </c>
      <c r="K81" s="2">
        <f>('V06 Calend 01'!B81*0.025)</f>
        <v>10787.95725</v>
      </c>
      <c r="L81" t="s">
        <v>378</v>
      </c>
      <c r="M81" s="2">
        <f>((IF((1='V06 Calend 01'!C81),('V06 Calend 01'!F81+'V06 Calend 01'!G81),0)+IF(AND(('V06 Calend 01'!E81&gt;0),(1&gt;'V06 Calend 01'!C81),(1&lt;'V06 Calend 01'!D81),(MOD((1-'V06 Calend 01'!C81),6)=0),(((1-'V06 Calend 01'!C81)/6)&lt;='V06 Calend 01'!E81)),IF((1=('V06 Calend 01'!C81+(6*'V06 Calend 01'!E81))),('V06 Calend 01'!H81-('V06 Calend 01'!I81*('V06 Calend 01'!E81-1))),'V06 Calend 01'!I81),0))+IF((1='V06 Calend 01'!D81),'V06 Calend 01'!J81,0))</f>
        <v>0</v>
      </c>
      <c r="N81" s="2">
        <f>((IF((2='V06 Calend 01'!C81),('V06 Calend 01'!F81+'V06 Calend 01'!G81),0)+IF(AND(('V06 Calend 01'!E81&gt;0),(2&gt;'V06 Calend 01'!C81),(2&lt;'V06 Calend 01'!D81),(MOD((2-'V06 Calend 01'!C81),6)=0),(((2-'V06 Calend 01'!C81)/6)&lt;='V06 Calend 01'!E81)),IF((2=('V06 Calend 01'!C81+(6*'V06 Calend 01'!E81))),('V06 Calend 01'!H81-('V06 Calend 01'!I81*('V06 Calend 01'!E81-1))),'V06 Calend 01'!I81),0))+IF((2='V06 Calend 01'!D81),'V06 Calend 01'!J81,0))</f>
        <v>0</v>
      </c>
      <c r="O81" s="2">
        <f>((IF((3='V06 Calend 01'!C81),('V06 Calend 01'!F81+'V06 Calend 01'!G81),0)+IF(AND(('V06 Calend 01'!E81&gt;0),(3&gt;'V06 Calend 01'!C81),(3&lt;'V06 Calend 01'!D81),(MOD((3-'V06 Calend 01'!C81),6)=0),(((3-'V06 Calend 01'!C81)/6)&lt;='V06 Calend 01'!E81)),IF((3=('V06 Calend 01'!C81+(6*'V06 Calend 01'!E81))),('V06 Calend 01'!H81-('V06 Calend 01'!I81*('V06 Calend 01'!E81-1))),'V06 Calend 01'!I81),0))+IF((3='V06 Calend 01'!D81),'V06 Calend 01'!J81,0))</f>
        <v>0</v>
      </c>
      <c r="P81" s="2">
        <f>((IF((4='V06 Calend 01'!C81),('V06 Calend 01'!F81+'V06 Calend 01'!G81),0)+IF(AND(('V06 Calend 01'!E81&gt;0),(4&gt;'V06 Calend 01'!C81),(4&lt;'V06 Calend 01'!D81),(MOD((4-'V06 Calend 01'!C81),6)=0),(((4-'V06 Calend 01'!C81)/6)&lt;='V06 Calend 01'!E81)),IF((4=('V06 Calend 01'!C81+(6*'V06 Calend 01'!E81))),('V06 Calend 01'!H81-('V06 Calend 01'!I81*('V06 Calend 01'!E81-1))),'V06 Calend 01'!I81),0))+IF((4='V06 Calend 01'!D81),'V06 Calend 01'!J81,0))</f>
        <v>107879.57</v>
      </c>
      <c r="Q81" s="2">
        <f>((IF((5='V06 Calend 01'!C81),('V06 Calend 01'!F81+'V06 Calend 01'!G81),0)+IF(AND(('V06 Calend 01'!E81&gt;0),(5&gt;'V06 Calend 01'!C81),(5&lt;'V06 Calend 01'!D81),(MOD((5-'V06 Calend 01'!C81),6)=0),(((5-'V06 Calend 01'!C81)/6)&lt;='V06 Calend 01'!E81)),IF((5=('V06 Calend 01'!C81+(6*'V06 Calend 01'!E81))),('V06 Calend 01'!H81-('V06 Calend 01'!I81*('V06 Calend 01'!E81-1))),'V06 Calend 01'!I81),0))+IF((5='V06 Calend 01'!D81),'V06 Calend 01'!J81,0))</f>
        <v>0</v>
      </c>
      <c r="R81" s="2">
        <f>((IF((6='V06 Calend 01'!C81),('V06 Calend 01'!F81+'V06 Calend 01'!G81),0)+IF(AND(('V06 Calend 01'!E81&gt;0),(6&gt;'V06 Calend 01'!C81),(6&lt;'V06 Calend 01'!D81),(MOD((6-'V06 Calend 01'!C81),6)=0),(((6-'V06 Calend 01'!C81)/6)&lt;='V06 Calend 01'!E81)),IF((6=('V06 Calend 01'!C81+(6*'V06 Calend 01'!E81))),('V06 Calend 01'!H81-('V06 Calend 01'!I81*('V06 Calend 01'!E81-1))),'V06 Calend 01'!I81),0))+IF((6='V06 Calend 01'!D81),'V06 Calend 01'!J81,0))</f>
        <v>0</v>
      </c>
      <c r="S81" s="2">
        <f>((IF((7='V06 Calend 01'!C81),('V06 Calend 01'!F81+'V06 Calend 01'!G81),0)+IF(AND(('V06 Calend 01'!E81&gt;0),(7&gt;'V06 Calend 01'!C81),(7&lt;'V06 Calend 01'!D81),(MOD((7-'V06 Calend 01'!C81),6)=0),(((7-'V06 Calend 01'!C81)/6)&lt;='V06 Calend 01'!E81)),IF((7=('V06 Calend 01'!C81+(6*'V06 Calend 01'!E81))),('V06 Calend 01'!H81-('V06 Calend 01'!I81*('V06 Calend 01'!E81-1))),'V06 Calend 01'!I81),0))+IF((7='V06 Calend 01'!D81),'V06 Calend 01'!J81,0))</f>
        <v>0</v>
      </c>
      <c r="T81" s="2">
        <f>((IF((8='V06 Calend 01'!C81),('V06 Calend 01'!F81+'V06 Calend 01'!G81),0)+IF(AND(('V06 Calend 01'!E81&gt;0),(8&gt;'V06 Calend 01'!C81),(8&lt;'V06 Calend 01'!D81),(MOD((8-'V06 Calend 01'!C81),6)=0),(((8-'V06 Calend 01'!C81)/6)&lt;='V06 Calend 01'!E81)),IF((8=('V06 Calend 01'!C81+(6*'V06 Calend 01'!E81))),('V06 Calend 01'!H81-('V06 Calend 01'!I81*('V06 Calend 01'!E81-1))),'V06 Calend 01'!I81),0))+IF((8='V06 Calend 01'!D81),'V06 Calend 01'!J81,0))</f>
        <v>0</v>
      </c>
      <c r="U81" s="2">
        <f>((IF((9='V06 Calend 01'!C81),('V06 Calend 01'!F81+'V06 Calend 01'!G81),0)+IF(AND(('V06 Calend 01'!E81&gt;0),(9&gt;'V06 Calend 01'!C81),(9&lt;'V06 Calend 01'!D81),(MOD((9-'V06 Calend 01'!C81),6)=0),(((9-'V06 Calend 01'!C81)/6)&lt;='V06 Calend 01'!E81)),IF((9=('V06 Calend 01'!C81+(6*'V06 Calend 01'!E81))),('V06 Calend 01'!H81-('V06 Calend 01'!I81*('V06 Calend 01'!E81-1))),'V06 Calend 01'!I81),0))+IF((9='V06 Calend 01'!D81),'V06 Calend 01'!J81,0))</f>
        <v>0</v>
      </c>
      <c r="V81" s="2">
        <f>((IF((10='V06 Calend 01'!C81),('V06 Calend 01'!F81+'V06 Calend 01'!G81),0)+IF(AND(('V06 Calend 01'!E81&gt;0),(10&gt;'V06 Calend 01'!C81),(10&lt;'V06 Calend 01'!D81),(MOD((10-'V06 Calend 01'!C81),6)=0),(((10-'V06 Calend 01'!C81)/6)&lt;='V06 Calend 01'!E81)),IF((10=('V06 Calend 01'!C81+(6*'V06 Calend 01'!E81))),('V06 Calend 01'!H81-('V06 Calend 01'!I81*('V06 Calend 01'!E81-1))),'V06 Calend 01'!I81),0))+IF((10='V06 Calend 01'!D81),'V06 Calend 01'!J81,0))</f>
        <v>59333.77</v>
      </c>
      <c r="W81" s="2">
        <f>((IF((11='V06 Calend 01'!C81),('V06 Calend 01'!F81+'V06 Calend 01'!G81),0)+IF(AND(('V06 Calend 01'!E81&gt;0),(11&gt;'V06 Calend 01'!C81),(11&lt;'V06 Calend 01'!D81),(MOD((11-'V06 Calend 01'!C81),6)=0),(((11-'V06 Calend 01'!C81)/6)&lt;='V06 Calend 01'!E81)),IF((11=('V06 Calend 01'!C81+(6*'V06 Calend 01'!E81))),('V06 Calend 01'!H81-('V06 Calend 01'!I81*('V06 Calend 01'!E81-1))),'V06 Calend 01'!I81),0))+IF((11='V06 Calend 01'!D81),'V06 Calend 01'!J81,0))</f>
        <v>0</v>
      </c>
      <c r="X81" s="2">
        <f>((IF((12='V06 Calend 01'!C81),('V06 Calend 01'!F81+'V06 Calend 01'!G81),0)+IF(AND(('V06 Calend 01'!E81&gt;0),(12&gt;'V06 Calend 01'!C81),(12&lt;'V06 Calend 01'!D81),(MOD((12-'V06 Calend 01'!C81),6)=0),(((12-'V06 Calend 01'!C81)/6)&lt;='V06 Calend 01'!E81)),IF((12=('V06 Calend 01'!C81+(6*'V06 Calend 01'!E81))),('V06 Calend 01'!H81-('V06 Calend 01'!I81*('V06 Calend 01'!E81-1))),'V06 Calend 01'!I81),0))+IF((12='V06 Calend 01'!D81),'V06 Calend 01'!J81,0))</f>
        <v>0</v>
      </c>
      <c r="Y81" s="2">
        <f>((IF((13='V06 Calend 01'!C81),('V06 Calend 01'!F81+'V06 Calend 01'!G81),0)+IF(AND(('V06 Calend 01'!E81&gt;0),(13&gt;'V06 Calend 01'!C81),(13&lt;'V06 Calend 01'!D81),(MOD((13-'V06 Calend 01'!C81),6)=0),(((13-'V06 Calend 01'!C81)/6)&lt;='V06 Calend 01'!E81)),IF((13=('V06 Calend 01'!C81+(6*'V06 Calend 01'!E81))),('V06 Calend 01'!H81-('V06 Calend 01'!I81*('V06 Calend 01'!E81-1))),'V06 Calend 01'!I81),0))+IF((13='V06 Calend 01'!D81),'V06 Calend 01'!J81,0))</f>
        <v>0</v>
      </c>
      <c r="Z81" s="2">
        <f>((IF((14='V06 Calend 01'!C81),('V06 Calend 01'!F81+'V06 Calend 01'!G81),0)+IF(AND(('V06 Calend 01'!E81&gt;0),(14&gt;'V06 Calend 01'!C81),(14&lt;'V06 Calend 01'!D81),(MOD((14-'V06 Calend 01'!C81),6)=0),(((14-'V06 Calend 01'!C81)/6)&lt;='V06 Calend 01'!E81)),IF((14=('V06 Calend 01'!C81+(6*'V06 Calend 01'!E81))),('V06 Calend 01'!H81-('V06 Calend 01'!I81*('V06 Calend 01'!E81-1))),'V06 Calend 01'!I81),0))+IF((14='V06 Calend 01'!D81),'V06 Calend 01'!J81,0))</f>
        <v>0</v>
      </c>
      <c r="AA81" s="2">
        <f>((IF((15='V06 Calend 01'!C81),('V06 Calend 01'!F81+'V06 Calend 01'!G81),0)+IF(AND(('V06 Calend 01'!E81&gt;0),(15&gt;'V06 Calend 01'!C81),(15&lt;'V06 Calend 01'!D81),(MOD((15-'V06 Calend 01'!C81),6)=0),(((15-'V06 Calend 01'!C81)/6)&lt;='V06 Calend 01'!E81)),IF((15=('V06 Calend 01'!C81+(6*'V06 Calend 01'!E81))),('V06 Calend 01'!H81-('V06 Calend 01'!I81*('V06 Calend 01'!E81-1))),'V06 Calend 01'!I81),0))+IF((15='V06 Calend 01'!D81),'V06 Calend 01'!J81,0))</f>
        <v>0</v>
      </c>
      <c r="AB81" s="2">
        <f>((IF((16='V06 Calend 01'!C81),('V06 Calend 01'!F81+'V06 Calend 01'!G81),0)+IF(AND(('V06 Calend 01'!E81&gt;0),(16&gt;'V06 Calend 01'!C81),(16&lt;'V06 Calend 01'!D81),(MOD((16-'V06 Calend 01'!C81),6)=0),(((16-'V06 Calend 01'!C81)/6)&lt;='V06 Calend 01'!E81)),IF((16=('V06 Calend 01'!C81+(6*'V06 Calend 01'!E81))),('V06 Calend 01'!H81-('V06 Calend 01'!I81*('V06 Calend 01'!E81-1))),'V06 Calend 01'!I81),0))+IF((16='V06 Calend 01'!D81),'V06 Calend 01'!J81,0))</f>
        <v>59333.77</v>
      </c>
      <c r="AC81" s="2">
        <f>((IF((17='V06 Calend 01'!C81),('V06 Calend 01'!F81+'V06 Calend 01'!G81),0)+IF(AND(('V06 Calend 01'!E81&gt;0),(17&gt;'V06 Calend 01'!C81),(17&lt;'V06 Calend 01'!D81),(MOD((17-'V06 Calend 01'!C81),6)=0),(((17-'V06 Calend 01'!C81)/6)&lt;='V06 Calend 01'!E81)),IF((17=('V06 Calend 01'!C81+(6*'V06 Calend 01'!E81))),('V06 Calend 01'!H81-('V06 Calend 01'!I81*('V06 Calend 01'!E81-1))),'V06 Calend 01'!I81),0))+IF((17='V06 Calend 01'!D81),'V06 Calend 01'!J81,0))</f>
        <v>0</v>
      </c>
      <c r="AD81" s="2">
        <f>((IF((18='V06 Calend 01'!C81),('V06 Calend 01'!F81+'V06 Calend 01'!G81),0)+IF(AND(('V06 Calend 01'!E81&gt;0),(18&gt;'V06 Calend 01'!C81),(18&lt;'V06 Calend 01'!D81),(MOD((18-'V06 Calend 01'!C81),6)=0),(((18-'V06 Calend 01'!C81)/6)&lt;='V06 Calend 01'!E81)),IF((18=('V06 Calend 01'!C81+(6*'V06 Calend 01'!E81))),('V06 Calend 01'!H81-('V06 Calend 01'!I81*('V06 Calend 01'!E81-1))),'V06 Calend 01'!I81),0))+IF((18='V06 Calend 01'!D81),'V06 Calend 01'!J81,0))</f>
        <v>0</v>
      </c>
      <c r="AE81" s="2">
        <f>((IF((19='V06 Calend 01'!C81),('V06 Calend 01'!F81+'V06 Calend 01'!G81),0)+IF(AND(('V06 Calend 01'!E81&gt;0),(19&gt;'V06 Calend 01'!C81),(19&lt;'V06 Calend 01'!D81),(MOD((19-'V06 Calend 01'!C81),6)=0),(((19-'V06 Calend 01'!C81)/6)&lt;='V06 Calend 01'!E81)),IF((19=('V06 Calend 01'!C81+(6*'V06 Calend 01'!E81))),('V06 Calend 01'!H81-('V06 Calend 01'!I81*('V06 Calend 01'!E81-1))),'V06 Calend 01'!I81),0))+IF((19='V06 Calend 01'!D81),'V06 Calend 01'!J81,0))</f>
        <v>0</v>
      </c>
      <c r="AF81" s="2">
        <f>((IF((20='V06 Calend 01'!C81),('V06 Calend 01'!F81+'V06 Calend 01'!G81),0)+IF(AND(('V06 Calend 01'!E81&gt;0),(20&gt;'V06 Calend 01'!C81),(20&lt;'V06 Calend 01'!D81),(MOD((20-'V06 Calend 01'!C81),6)=0),(((20-'V06 Calend 01'!C81)/6)&lt;='V06 Calend 01'!E81)),IF((20=('V06 Calend 01'!C81+(6*'V06 Calend 01'!E81))),('V06 Calend 01'!H81-('V06 Calend 01'!I81*('V06 Calend 01'!E81-1))),'V06 Calend 01'!I81),0))+IF((20='V06 Calend 01'!D81),'V06 Calend 01'!J81,0))</f>
        <v>0</v>
      </c>
      <c r="AG81" s="2">
        <f>((IF((21='V06 Calend 01'!C81),('V06 Calend 01'!F81+'V06 Calend 01'!G81),0)+IF(AND(('V06 Calend 01'!E81&gt;0),(21&gt;'V06 Calend 01'!C81),(21&lt;'V06 Calend 01'!D81),(MOD((21-'V06 Calend 01'!C81),6)=0),(((21-'V06 Calend 01'!C81)/6)&lt;='V06 Calend 01'!E81)),IF((21=('V06 Calend 01'!C81+(6*'V06 Calend 01'!E81))),('V06 Calend 01'!H81-('V06 Calend 01'!I81*('V06 Calend 01'!E81-1))),'V06 Calend 01'!I81),0))+IF((21='V06 Calend 01'!D81),'V06 Calend 01'!J81,0))</f>
        <v>0</v>
      </c>
      <c r="AH81" s="2">
        <f>((IF((22='V06 Calend 01'!C81),('V06 Calend 01'!F81+'V06 Calend 01'!G81),0)+IF(AND(('V06 Calend 01'!E81&gt;0),(22&gt;'V06 Calend 01'!C81),(22&lt;'V06 Calend 01'!D81),(MOD((22-'V06 Calend 01'!C81),6)=0),(((22-'V06 Calend 01'!C81)/6)&lt;='V06 Calend 01'!E81)),IF((22=('V06 Calend 01'!C81+(6*'V06 Calend 01'!E81))),('V06 Calend 01'!H81-('V06 Calend 01'!I81*('V06 Calend 01'!E81-1))),'V06 Calend 01'!I81),0))+IF((22='V06 Calend 01'!D81),'V06 Calend 01'!J81,0))</f>
        <v>59333.77</v>
      </c>
      <c r="AI81" s="2">
        <f>((IF((23='V06 Calend 01'!C81),('V06 Calend 01'!F81+'V06 Calend 01'!G81),0)+IF(AND(('V06 Calend 01'!E81&gt;0),(23&gt;'V06 Calend 01'!C81),(23&lt;'V06 Calend 01'!D81),(MOD((23-'V06 Calend 01'!C81),6)=0),(((23-'V06 Calend 01'!C81)/6)&lt;='V06 Calend 01'!E81)),IF((23=('V06 Calend 01'!C81+(6*'V06 Calend 01'!E81))),('V06 Calend 01'!H81-('V06 Calend 01'!I81*('V06 Calend 01'!E81-1))),'V06 Calend 01'!I81),0))+IF((23='V06 Calend 01'!D81),'V06 Calend 01'!J81,0))</f>
        <v>0</v>
      </c>
      <c r="AJ81" s="2">
        <f>((IF((24='V06 Calend 01'!C81),('V06 Calend 01'!F81+'V06 Calend 01'!G81),0)+IF(AND(('V06 Calend 01'!E81&gt;0),(24&gt;'V06 Calend 01'!C81),(24&lt;'V06 Calend 01'!D81),(MOD((24-'V06 Calend 01'!C81),6)=0),(((24-'V06 Calend 01'!C81)/6)&lt;='V06 Calend 01'!E81)),IF((24=('V06 Calend 01'!C81+(6*'V06 Calend 01'!E81))),('V06 Calend 01'!H81-('V06 Calend 01'!I81*('V06 Calend 01'!E81-1))),'V06 Calend 01'!I81),0))+IF((24='V06 Calend 01'!D81),'V06 Calend 01'!J81,0))</f>
        <v>0</v>
      </c>
      <c r="AK81" s="2">
        <f>((IF((25='V06 Calend 01'!C81),('V06 Calend 01'!F81+'V06 Calend 01'!G81),0)+IF(AND(('V06 Calend 01'!E81&gt;0),(25&gt;'V06 Calend 01'!C81),(25&lt;'V06 Calend 01'!D81),(MOD((25-'V06 Calend 01'!C81),6)=0),(((25-'V06 Calend 01'!C81)/6)&lt;='V06 Calend 01'!E81)),IF((25=('V06 Calend 01'!C81+(6*'V06 Calend 01'!E81))),('V06 Calend 01'!H81-('V06 Calend 01'!I81*('V06 Calend 01'!E81-1))),'V06 Calend 01'!I81),0))+IF((25='V06 Calend 01'!D81),'V06 Calend 01'!J81,0))</f>
        <v>0</v>
      </c>
      <c r="AL81" s="2">
        <f>((IF((26='V06 Calend 01'!C81),('V06 Calend 01'!F81+'V06 Calend 01'!G81),0)+IF(AND(('V06 Calend 01'!E81&gt;0),(26&gt;'V06 Calend 01'!C81),(26&lt;'V06 Calend 01'!D81),(MOD((26-'V06 Calend 01'!C81),6)=0),(((26-'V06 Calend 01'!C81)/6)&lt;='V06 Calend 01'!E81)),IF((26=('V06 Calend 01'!C81+(6*'V06 Calend 01'!E81))),('V06 Calend 01'!H81-('V06 Calend 01'!I81*('V06 Calend 01'!E81-1))),'V06 Calend 01'!I81),0))+IF((26='V06 Calend 01'!D81),'V06 Calend 01'!J81,0))</f>
        <v>0</v>
      </c>
      <c r="AM81" s="2">
        <f>((IF((27='V06 Calend 01'!C81),('V06 Calend 01'!F81+'V06 Calend 01'!G81),0)+IF(AND(('V06 Calend 01'!E81&gt;0),(27&gt;'V06 Calend 01'!C81),(27&lt;'V06 Calend 01'!D81),(MOD((27-'V06 Calend 01'!C81),6)=0),(((27-'V06 Calend 01'!C81)/6)&lt;='V06 Calend 01'!E81)),IF((27=('V06 Calend 01'!C81+(6*'V06 Calend 01'!E81))),('V06 Calend 01'!H81-('V06 Calend 01'!I81*('V06 Calend 01'!E81-1))),'V06 Calend 01'!I81),0))+IF((27='V06 Calend 01'!D81),'V06 Calend 01'!J81,0))</f>
        <v>0</v>
      </c>
      <c r="AN81" s="2">
        <f>((IF((28='V06 Calend 01'!C81),('V06 Calend 01'!F81+'V06 Calend 01'!G81),0)+IF(AND(('V06 Calend 01'!E81&gt;0),(28&gt;'V06 Calend 01'!C81),(28&lt;'V06 Calend 01'!D81),(MOD((28-'V06 Calend 01'!C81),6)=0),(((28-'V06 Calend 01'!C81)/6)&lt;='V06 Calend 01'!E81)),IF((28=('V06 Calend 01'!C81+(6*'V06 Calend 01'!E81))),('V06 Calend 01'!H81-('V06 Calend 01'!I81*('V06 Calend 01'!E81-1))),'V06 Calend 01'!I81),0))+IF((28='V06 Calend 01'!D81),'V06 Calend 01'!J81,0))</f>
        <v>59333.75</v>
      </c>
      <c r="AO81" s="2">
        <f>((IF((29='V06 Calend 01'!C81),('V06 Calend 01'!F81+'V06 Calend 01'!G81),0)+IF(AND(('V06 Calend 01'!E81&gt;0),(29&gt;'V06 Calend 01'!C81),(29&lt;'V06 Calend 01'!D81),(MOD((29-'V06 Calend 01'!C81),6)=0),(((29-'V06 Calend 01'!C81)/6)&lt;='V06 Calend 01'!E81)),IF((29=('V06 Calend 01'!C81+(6*'V06 Calend 01'!E81))),('V06 Calend 01'!H81-('V06 Calend 01'!I81*('V06 Calend 01'!E81-1))),'V06 Calend 01'!I81),0))+IF((29='V06 Calend 01'!D81),'V06 Calend 01'!J81,0))</f>
        <v>86303.65999999997</v>
      </c>
      <c r="AP81" s="2">
        <f>((IF((30='V06 Calend 01'!C81),('V06 Calend 01'!F81+'V06 Calend 01'!G81),0)+IF(AND(('V06 Calend 01'!E81&gt;0),(30&gt;'V06 Calend 01'!C81),(30&lt;'V06 Calend 01'!D81),(MOD((30-'V06 Calend 01'!C81),6)=0),(((30-'V06 Calend 01'!C81)/6)&lt;='V06 Calend 01'!E81)),IF((30=('V06 Calend 01'!C81+(6*'V06 Calend 01'!E81))),('V06 Calend 01'!H81-('V06 Calend 01'!I81*('V06 Calend 01'!E81-1))),'V06 Calend 01'!I81),0))+IF((30='V06 Calend 01'!D81),'V06 Calend 01'!J81,0))</f>
        <v>0</v>
      </c>
      <c r="AQ81" s="2">
        <f>((IF((31='V06 Calend 01'!C81),('V06 Calend 01'!F81+'V06 Calend 01'!G81),0)+IF(AND(('V06 Calend 01'!E81&gt;0),(31&gt;'V06 Calend 01'!C81),(31&lt;'V06 Calend 01'!D81),(MOD((31-'V06 Calend 01'!C81),6)=0),(((31-'V06 Calend 01'!C81)/6)&lt;='V06 Calend 01'!E81)),IF((31=('V06 Calend 01'!C81+(6*'V06 Calend 01'!E81))),('V06 Calend 01'!H81-('V06 Calend 01'!I81*('V06 Calend 01'!E81-1))),'V06 Calend 01'!I81),0))+IF((31='V06 Calend 01'!D81),'V06 Calend 01'!J81,0))</f>
        <v>0</v>
      </c>
      <c r="AR81" s="2">
        <f>((IF((32='V06 Calend 01'!C81),('V06 Calend 01'!F81+'V06 Calend 01'!G81),0)+IF(AND(('V06 Calend 01'!E81&gt;0),(32&gt;'V06 Calend 01'!C81),(32&lt;'V06 Calend 01'!D81),(MOD((32-'V06 Calend 01'!C81),6)=0),(((32-'V06 Calend 01'!C81)/6)&lt;='V06 Calend 01'!E81)),IF((32=('V06 Calend 01'!C81+(6*'V06 Calend 01'!E81))),('V06 Calend 01'!H81-('V06 Calend 01'!I81*('V06 Calend 01'!E81-1))),'V06 Calend 01'!I81),0))+IF((32='V06 Calend 01'!D81),'V06 Calend 01'!J81,0))</f>
        <v>0</v>
      </c>
      <c r="AS81" s="2">
        <f>((IF((33='V06 Calend 01'!C81),('V06 Calend 01'!F81+'V06 Calend 01'!G81),0)+IF(AND(('V06 Calend 01'!E81&gt;0),(33&gt;'V06 Calend 01'!C81),(33&lt;'V06 Calend 01'!D81),(MOD((33-'V06 Calend 01'!C81),6)=0),(((33-'V06 Calend 01'!C81)/6)&lt;='V06 Calend 01'!E81)),IF((33=('V06 Calend 01'!C81+(6*'V06 Calend 01'!E81))),('V06 Calend 01'!H81-('V06 Calend 01'!I81*('V06 Calend 01'!E81-1))),'V06 Calend 01'!I81),0))+IF((33='V06 Calend 01'!D81),'V06 Calend 01'!J81,0))</f>
        <v>0</v>
      </c>
      <c r="AT81" s="2">
        <f>((IF((34='V06 Calend 01'!C81),('V06 Calend 01'!F81+'V06 Calend 01'!G81),0)+IF(AND(('V06 Calend 01'!E81&gt;0),(34&gt;'V06 Calend 01'!C81),(34&lt;'V06 Calend 01'!D81),(MOD((34-'V06 Calend 01'!C81),6)=0),(((34-'V06 Calend 01'!C81)/6)&lt;='V06 Calend 01'!E81)),IF((34=('V06 Calend 01'!C81+(6*'V06 Calend 01'!E81))),('V06 Calend 01'!H81-('V06 Calend 01'!I81*('V06 Calend 01'!E81-1))),'V06 Calend 01'!I81),0))+IF((34='V06 Calend 01'!D81),'V06 Calend 01'!J81,0))</f>
        <v>0</v>
      </c>
      <c r="AU81" s="2">
        <f>((IF((35='V06 Calend 01'!C81),('V06 Calend 01'!F81+'V06 Calend 01'!G81),0)+IF(AND(('V06 Calend 01'!E81&gt;0),(35&gt;'V06 Calend 01'!C81),(35&lt;'V06 Calend 01'!D81),(MOD((35-'V06 Calend 01'!C81),6)=0),(((35-'V06 Calend 01'!C81)/6)&lt;='V06 Calend 01'!E81)),IF((35=('V06 Calend 01'!C81+(6*'V06 Calend 01'!E81))),('V06 Calend 01'!H81-('V06 Calend 01'!I81*('V06 Calend 01'!E81-1))),'V06 Calend 01'!I81),0))+IF((35='V06 Calend 01'!D81),'V06 Calend 01'!J81,0))</f>
        <v>0</v>
      </c>
      <c r="AV81" s="2">
        <f>((IF((36='V06 Calend 01'!C81),('V06 Calend 01'!F81+'V06 Calend 01'!G81),0)+IF(AND(('V06 Calend 01'!E81&gt;0),(36&gt;'V06 Calend 01'!C81),(36&lt;'V06 Calend 01'!D81),(MOD((36-'V06 Calend 01'!C81),6)=0),(((36-'V06 Calend 01'!C81)/6)&lt;='V06 Calend 01'!E81)),IF((36=('V06 Calend 01'!C81+(6*'V06 Calend 01'!E81))),('V06 Calend 01'!H81-('V06 Calend 01'!I81*('V06 Calend 01'!E81-1))),'V06 Calend 01'!I81),0))+IF((36='V06 Calend 01'!D81),'V06 Calend 01'!J81,0))</f>
        <v>0</v>
      </c>
      <c r="AW81" s="2">
        <f>((IF((37='V06 Calend 01'!C81),('V06 Calend 01'!F81+'V06 Calend 01'!G81),0)+IF(AND(('V06 Calend 01'!E81&gt;0),(37&gt;'V06 Calend 01'!C81),(37&lt;'V06 Calend 01'!D81),(MOD((37-'V06 Calend 01'!C81),6)=0),(((37-'V06 Calend 01'!C81)/6)&lt;='V06 Calend 01'!E81)),IF((37=('V06 Calend 01'!C81+(6*'V06 Calend 01'!E81))),('V06 Calend 01'!H81-('V06 Calend 01'!I81*('V06 Calend 01'!E81-1))),'V06 Calend 01'!I81),0))+IF((37='V06 Calend 01'!D81),'V06 Calend 01'!J81,0))</f>
        <v>0</v>
      </c>
      <c r="AX81" s="2">
        <f>((IF((38='V06 Calend 01'!C81),('V06 Calend 01'!F81+'V06 Calend 01'!G81),0)+IF(AND(('V06 Calend 01'!E81&gt;0),(38&gt;'V06 Calend 01'!C81),(38&lt;'V06 Calend 01'!D81),(MOD((38-'V06 Calend 01'!C81),6)=0),(((38-'V06 Calend 01'!C81)/6)&lt;='V06 Calend 01'!E81)),IF((38=('V06 Calend 01'!C81+(6*'V06 Calend 01'!E81))),('V06 Calend 01'!H81-('V06 Calend 01'!I81*('V06 Calend 01'!E81-1))),'V06 Calend 01'!I81),0))+IF((38='V06 Calend 01'!D81),'V06 Calend 01'!J81,0))</f>
        <v>0</v>
      </c>
      <c r="AY81" s="2">
        <f>((IF((39='V06 Calend 01'!C81),('V06 Calend 01'!F81+'V06 Calend 01'!G81),0)+IF(AND(('V06 Calend 01'!E81&gt;0),(39&gt;'V06 Calend 01'!C81),(39&lt;'V06 Calend 01'!D81),(MOD((39-'V06 Calend 01'!C81),6)=0),(((39-'V06 Calend 01'!C81)/6)&lt;='V06 Calend 01'!E81)),IF((39=('V06 Calend 01'!C81+(6*'V06 Calend 01'!E81))),('V06 Calend 01'!H81-('V06 Calend 01'!I81*('V06 Calend 01'!E81-1))),'V06 Calend 01'!I81),0))+IF((39='V06 Calend 01'!D81),'V06 Calend 01'!J81,0))</f>
        <v>0</v>
      </c>
      <c r="AZ81" s="2">
        <f>((IF((40='V06 Calend 01'!C81),('V06 Calend 01'!F81+'V06 Calend 01'!G81),0)+IF(AND(('V06 Calend 01'!E81&gt;0),(40&gt;'V06 Calend 01'!C81),(40&lt;'V06 Calend 01'!D81),(MOD((40-'V06 Calend 01'!C81),6)=0),(((40-'V06 Calend 01'!C81)/6)&lt;='V06 Calend 01'!E81)),IF((40=('V06 Calend 01'!C81+(6*'V06 Calend 01'!E81))),('V06 Calend 01'!H81-('V06 Calend 01'!I81*('V06 Calend 01'!E81-1))),'V06 Calend 01'!I81),0))+IF((40='V06 Calend 01'!D81),'V06 Calend 01'!J81,0))</f>
        <v>0</v>
      </c>
      <c r="BA81" s="2">
        <f>((IF((41='V06 Calend 01'!C81),('V06 Calend 01'!F81+'V06 Calend 01'!G81),0)+IF(AND(('V06 Calend 01'!E81&gt;0),(41&gt;'V06 Calend 01'!C81),(41&lt;'V06 Calend 01'!D81),(MOD((41-'V06 Calend 01'!C81),6)=0),(((41-'V06 Calend 01'!C81)/6)&lt;='V06 Calend 01'!E81)),IF((41=('V06 Calend 01'!C81+(6*'V06 Calend 01'!E81))),('V06 Calend 01'!H81-('V06 Calend 01'!I81*('V06 Calend 01'!E81-1))),'V06 Calend 01'!I81),0))+IF((41='V06 Calend 01'!D81),'V06 Calend 01'!J81,0))</f>
        <v>0</v>
      </c>
      <c r="BB81" s="2">
        <f>((IF((42='V06 Calend 01'!C81),('V06 Calend 01'!F81+'V06 Calend 01'!G81),0)+IF(AND(('V06 Calend 01'!E81&gt;0),(42&gt;'V06 Calend 01'!C81),(42&lt;'V06 Calend 01'!D81),(MOD((42-'V06 Calend 01'!C81),6)=0),(((42-'V06 Calend 01'!C81)/6)&lt;='V06 Calend 01'!E81)),IF((42=('V06 Calend 01'!C81+(6*'V06 Calend 01'!E81))),('V06 Calend 01'!H81-('V06 Calend 01'!I81*('V06 Calend 01'!E81-1))),'V06 Calend 01'!I81),0))+IF((42='V06 Calend 01'!D81),'V06 Calend 01'!J81,0))</f>
        <v>0</v>
      </c>
      <c r="BC81" s="2">
        <f>((IF((43='V06 Calend 01'!C81),('V06 Calend 01'!F81+'V06 Calend 01'!G81),0)+IF(AND(('V06 Calend 01'!E81&gt;0),(43&gt;'V06 Calend 01'!C81),(43&lt;'V06 Calend 01'!D81),(MOD((43-'V06 Calend 01'!C81),6)=0),(((43-'V06 Calend 01'!C81)/6)&lt;='V06 Calend 01'!E81)),IF((43=('V06 Calend 01'!C81+(6*'V06 Calend 01'!E81))),('V06 Calend 01'!H81-('V06 Calend 01'!I81*('V06 Calend 01'!E81-1))),'V06 Calend 01'!I81),0))+IF((43='V06 Calend 01'!D81),'V06 Calend 01'!J81,0))</f>
        <v>0</v>
      </c>
      <c r="BD81" s="2">
        <f>((IF((44='V06 Calend 01'!C81),('V06 Calend 01'!F81+'V06 Calend 01'!G81),0)+IF(AND(('V06 Calend 01'!E81&gt;0),(44&gt;'V06 Calend 01'!C81),(44&lt;'V06 Calend 01'!D81),(MOD((44-'V06 Calend 01'!C81),6)=0),(((44-'V06 Calend 01'!C81)/6)&lt;='V06 Calend 01'!E81)),IF((44=('V06 Calend 01'!C81+(6*'V06 Calend 01'!E81))),('V06 Calend 01'!H81-('V06 Calend 01'!I81*('V06 Calend 01'!E81-1))),'V06 Calend 01'!I81),0))+IF((44='V06 Calend 01'!D81),'V06 Calend 01'!J81,0))</f>
        <v>0</v>
      </c>
      <c r="BE81" s="2">
        <f>((IF((45='V06 Calend 01'!C81),('V06 Calend 01'!F81+'V06 Calend 01'!G81),0)+IF(AND(('V06 Calend 01'!E81&gt;0),(45&gt;'V06 Calend 01'!C81),(45&lt;'V06 Calend 01'!D81),(MOD((45-'V06 Calend 01'!C81),6)=0),(((45-'V06 Calend 01'!C81)/6)&lt;='V06 Calend 01'!E81)),IF((45=('V06 Calend 01'!C81+(6*'V06 Calend 01'!E81))),('V06 Calend 01'!H81-('V06 Calend 01'!I81*('V06 Calend 01'!E81-1))),'V06 Calend 01'!I81),0))+IF((45='V06 Calend 01'!D81),'V06 Calend 01'!J81,0))</f>
        <v>0</v>
      </c>
      <c r="BF81" s="2">
        <f>((IF((46='V06 Calend 01'!C81),('V06 Calend 01'!F81+'V06 Calend 01'!G81),0)+IF(AND(('V06 Calend 01'!E81&gt;0),(46&gt;'V06 Calend 01'!C81),(46&lt;'V06 Calend 01'!D81),(MOD((46-'V06 Calend 01'!C81),6)=0),(((46-'V06 Calend 01'!C81)/6)&lt;='V06 Calend 01'!E81)),IF((46=('V06 Calend 01'!C81+(6*'V06 Calend 01'!E81))),('V06 Calend 01'!H81-('V06 Calend 01'!I81*('V06 Calend 01'!E81-1))),'V06 Calend 01'!I81),0))+IF((46='V06 Calend 01'!D81),'V06 Calend 01'!J81,0))</f>
        <v>0</v>
      </c>
      <c r="BG81" s="2">
        <f>((IF((47='V06 Calend 01'!C81),('V06 Calend 01'!F81+'V06 Calend 01'!G81),0)+IF(AND(('V06 Calend 01'!E81&gt;0),(47&gt;'V06 Calend 01'!C81),(47&lt;'V06 Calend 01'!D81),(MOD((47-'V06 Calend 01'!C81),6)=0),(((47-'V06 Calend 01'!C81)/6)&lt;='V06 Calend 01'!E81)),IF((47=('V06 Calend 01'!C81+(6*'V06 Calend 01'!E81))),('V06 Calend 01'!H81-('V06 Calend 01'!I81*('V06 Calend 01'!E81-1))),'V06 Calend 01'!I81),0))+IF((47='V06 Calend 01'!D81),'V06 Calend 01'!J81,0))</f>
        <v>0</v>
      </c>
      <c r="BH81" s="2">
        <f>((IF((48='V06 Calend 01'!C81),('V06 Calend 01'!F81+'V06 Calend 01'!G81),0)+IF(AND(('V06 Calend 01'!E81&gt;0),(48&gt;'V06 Calend 01'!C81),(48&lt;'V06 Calend 01'!D81),(MOD((48-'V06 Calend 01'!C81),6)=0),(((48-'V06 Calend 01'!C81)/6)&lt;='V06 Calend 01'!E81)),IF((48=('V06 Calend 01'!C81+(6*'V06 Calend 01'!E81))),('V06 Calend 01'!H81-('V06 Calend 01'!I81*('V06 Calend 01'!E81-1))),'V06 Calend 01'!I81),0))+IF((48='V06 Calend 01'!D81),'V06 Calend 01'!J81,0))</f>
        <v>0</v>
      </c>
      <c r="BI81" s="2">
        <f>((IF((49='V06 Calend 01'!C81),('V06 Calend 01'!F81+'V06 Calend 01'!G81),0)+IF(AND(('V06 Calend 01'!E81&gt;0),(49&gt;'V06 Calend 01'!C81),(49&lt;'V06 Calend 01'!D81),(MOD((49-'V06 Calend 01'!C81),6)=0),(((49-'V06 Calend 01'!C81)/6)&lt;='V06 Calend 01'!E81)),IF((49=('V06 Calend 01'!C81+(6*'V06 Calend 01'!E81))),('V06 Calend 01'!H81-('V06 Calend 01'!I81*('V06 Calend 01'!E81-1))),'V06 Calend 01'!I81),0))+IF((49='V06 Calend 01'!D81),'V06 Calend 01'!J81,0))</f>
        <v>0</v>
      </c>
      <c r="BJ81" s="2">
        <f>((IF((50='V06 Calend 01'!C81),('V06 Calend 01'!F81+'V06 Calend 01'!G81),0)+IF(AND(('V06 Calend 01'!E81&gt;0),(50&gt;'V06 Calend 01'!C81),(50&lt;'V06 Calend 01'!D81),(MOD((50-'V06 Calend 01'!C81),6)=0),(((50-'V06 Calend 01'!C81)/6)&lt;='V06 Calend 01'!E81)),IF((50=('V06 Calend 01'!C81+(6*'V06 Calend 01'!E81))),('V06 Calend 01'!H81-('V06 Calend 01'!I81*('V06 Calend 01'!E81-1))),'V06 Calend 01'!I81),0))+IF((50='V06 Calend 01'!D81),'V06 Calend 01'!J81,0))</f>
        <v>0</v>
      </c>
      <c r="BK81" s="2">
        <f>((IF((51='V06 Calend 01'!C81),('V06 Calend 01'!F81+'V06 Calend 01'!G81),0)+IF(AND(('V06 Calend 01'!E81&gt;0),(51&gt;'V06 Calend 01'!C81),(51&lt;'V06 Calend 01'!D81),(MOD((51-'V06 Calend 01'!C81),6)=0),(((51-'V06 Calend 01'!C81)/6)&lt;='V06 Calend 01'!E81)),IF((51=('V06 Calend 01'!C81+(6*'V06 Calend 01'!E81))),('V06 Calend 01'!H81-('V06 Calend 01'!I81*('V06 Calend 01'!E81-1))),'V06 Calend 01'!I81),0))+IF((51='V06 Calend 01'!D81),'V06 Calend 01'!J81,0))</f>
        <v>0</v>
      </c>
      <c r="BL81" s="2">
        <f>((IF((52='V06 Calend 01'!C81),('V06 Calend 01'!F81+'V06 Calend 01'!G81),0)+IF(AND(('V06 Calend 01'!E81&gt;0),(52&gt;'V06 Calend 01'!C81),(52&lt;'V06 Calend 01'!D81),(MOD((52-'V06 Calend 01'!C81),6)=0),(((52-'V06 Calend 01'!C81)/6)&lt;='V06 Calend 01'!E81)),IF((52=('V06 Calend 01'!C81+(6*'V06 Calend 01'!E81))),('V06 Calend 01'!H81-('V06 Calend 01'!I81*('V06 Calend 01'!E81-1))),'V06 Calend 01'!I81),0))+IF((52='V06 Calend 01'!D81),'V06 Calend 01'!J81,0))</f>
        <v>0</v>
      </c>
      <c r="BM81" s="2">
        <f>((IF((53='V06 Calend 01'!C81),('V06 Calend 01'!F81+'V06 Calend 01'!G81),0)+IF(AND(('V06 Calend 01'!E81&gt;0),(53&gt;'V06 Calend 01'!C81),(53&lt;'V06 Calend 01'!D81),(MOD((53-'V06 Calend 01'!C81),6)=0),(((53-'V06 Calend 01'!C81)/6)&lt;='V06 Calend 01'!E81)),IF((53=('V06 Calend 01'!C81+(6*'V06 Calend 01'!E81))),('V06 Calend 01'!H81-('V06 Calend 01'!I81*('V06 Calend 01'!E81-1))),'V06 Calend 01'!I81),0))+IF((53='V06 Calend 01'!D81),'V06 Calend 01'!J81,0))</f>
        <v>0</v>
      </c>
      <c r="BN81" s="2">
        <f>((IF((54='V06 Calend 01'!C81),('V06 Calend 01'!F81+'V06 Calend 01'!G81),0)+IF(AND(('V06 Calend 01'!E81&gt;0),(54&gt;'V06 Calend 01'!C81),(54&lt;'V06 Calend 01'!D81),(MOD((54-'V06 Calend 01'!C81),6)=0),(((54-'V06 Calend 01'!C81)/6)&lt;='V06 Calend 01'!E81)),IF((54=('V06 Calend 01'!C81+(6*'V06 Calend 01'!E81))),('V06 Calend 01'!H81-('V06 Calend 01'!I81*('V06 Calend 01'!E81-1))),'V06 Calend 01'!I81),0))+IF((54='V06 Calend 01'!D81),'V06 Calend 01'!J81,0))</f>
        <v>0</v>
      </c>
      <c r="BO81" s="2">
        <f>((IF((55='V06 Calend 01'!C81),('V06 Calend 01'!F81+'V06 Calend 01'!G81),0)+IF(AND(('V06 Calend 01'!E81&gt;0),(55&gt;'V06 Calend 01'!C81),(55&lt;'V06 Calend 01'!D81),(MOD((55-'V06 Calend 01'!C81),6)=0),(((55-'V06 Calend 01'!C81)/6)&lt;='V06 Calend 01'!E81)),IF((55=('V06 Calend 01'!C81+(6*'V06 Calend 01'!E81))),('V06 Calend 01'!H81-('V06 Calend 01'!I81*('V06 Calend 01'!E81-1))),'V06 Calend 01'!I81),0))+IF((55='V06 Calend 01'!D81),'V06 Calend 01'!J81,0))</f>
        <v>0</v>
      </c>
      <c r="BP81" s="2">
        <f>((IF((56='V06 Calend 01'!C81),('V06 Calend 01'!F81+'V06 Calend 01'!G81),0)+IF(AND(('V06 Calend 01'!E81&gt;0),(56&gt;'V06 Calend 01'!C81),(56&lt;'V06 Calend 01'!D81),(MOD((56-'V06 Calend 01'!C81),6)=0),(((56-'V06 Calend 01'!C81)/6)&lt;='V06 Calend 01'!E81)),IF((56=('V06 Calend 01'!C81+(6*'V06 Calend 01'!E81))),('V06 Calend 01'!H81-('V06 Calend 01'!I81*('V06 Calend 01'!E81-1))),'V06 Calend 01'!I81),0))+IF((56='V06 Calend 01'!D81),'V06 Calend 01'!J81,0))</f>
        <v>0</v>
      </c>
      <c r="BQ81" s="2">
        <f>((IF((57='V06 Calend 01'!C81),('V06 Calend 01'!F81+'V06 Calend 01'!G81),0)+IF(AND(('V06 Calend 01'!E81&gt;0),(57&gt;'V06 Calend 01'!C81),(57&lt;'V06 Calend 01'!D81),(MOD((57-'V06 Calend 01'!C81),6)=0),(((57-'V06 Calend 01'!C81)/6)&lt;='V06 Calend 01'!E81)),IF((57=('V06 Calend 01'!C81+(6*'V06 Calend 01'!E81))),('V06 Calend 01'!H81-('V06 Calend 01'!I81*('V06 Calend 01'!E81-1))),'V06 Calend 01'!I81),0))+IF((57='V06 Calend 01'!D81),'V06 Calend 01'!J81,0))</f>
        <v>0</v>
      </c>
      <c r="BR81" s="2">
        <f>((IF((58='V06 Calend 01'!C81),('V06 Calend 01'!F81+'V06 Calend 01'!G81),0)+IF(AND(('V06 Calend 01'!E81&gt;0),(58&gt;'V06 Calend 01'!C81),(58&lt;'V06 Calend 01'!D81),(MOD((58-'V06 Calend 01'!C81),6)=0),(((58-'V06 Calend 01'!C81)/6)&lt;='V06 Calend 01'!E81)),IF((58=('V06 Calend 01'!C81+(6*'V06 Calend 01'!E81))),('V06 Calend 01'!H81-('V06 Calend 01'!I81*('V06 Calend 01'!E81-1))),'V06 Calend 01'!I81),0))+IF((58='V06 Calend 01'!D81),'V06 Calend 01'!J81,0))</f>
        <v>0</v>
      </c>
      <c r="BS81" s="2">
        <f>((IF((59='V06 Calend 01'!C81),('V06 Calend 01'!F81+'V06 Calend 01'!G81),0)+IF(AND(('V06 Calend 01'!E81&gt;0),(59&gt;'V06 Calend 01'!C81),(59&lt;'V06 Calend 01'!D81),(MOD((59-'V06 Calend 01'!C81),6)=0),(((59-'V06 Calend 01'!C81)/6)&lt;='V06 Calend 01'!E81)),IF((59=('V06 Calend 01'!C81+(6*'V06 Calend 01'!E81))),('V06 Calend 01'!H81-('V06 Calend 01'!I81*('V06 Calend 01'!E81-1))),'V06 Calend 01'!I81),0))+IF((59='V06 Calend 01'!D81),'V06 Calend 01'!J81,0))</f>
        <v>0</v>
      </c>
      <c r="BT81" s="2">
        <f>((IF((60='V06 Calend 01'!C81),('V06 Calend 01'!F81+'V06 Calend 01'!G81),0)+IF(AND(('V06 Calend 01'!E81&gt;0),(60&gt;'V06 Calend 01'!C81),(60&lt;'V06 Calend 01'!D81),(MOD((60-'V06 Calend 01'!C81),6)=0),(((60-'V06 Calend 01'!C81)/6)&lt;='V06 Calend 01'!E81)),IF((60=('V06 Calend 01'!C81+(6*'V06 Calend 01'!E81))),('V06 Calend 01'!H81-('V06 Calend 01'!I81*('V06 Calend 01'!E81-1))),'V06 Calend 01'!I81),0))+IF((60='V06 Calend 01'!D81),'V06 Calend 01'!J81,0))</f>
        <v>0</v>
      </c>
      <c r="BU81" s="2">
        <f>((IF((61='V06 Calend 01'!C81),('V06 Calend 01'!F81+'V06 Calend 01'!G81),0)+IF(AND(('V06 Calend 01'!E81&gt;0),(61&gt;'V06 Calend 01'!C81),(61&lt;'V06 Calend 01'!D81),(MOD((61-'V06 Calend 01'!C81),6)=0),(((61-'V06 Calend 01'!C81)/6)&lt;='V06 Calend 01'!E81)),IF((61=('V06 Calend 01'!C81+(6*'V06 Calend 01'!E81))),('V06 Calend 01'!H81-('V06 Calend 01'!I81*('V06 Calend 01'!E81-1))),'V06 Calend 01'!I81),0))+IF((61='V06 Calend 01'!D81),'V06 Calend 01'!J81,0))</f>
        <v>0</v>
      </c>
      <c r="BV81" s="2">
        <f>((IF((62='V06 Calend 01'!C81),('V06 Calend 01'!F81+'V06 Calend 01'!G81),0)+IF(AND(('V06 Calend 01'!E81&gt;0),(62&gt;'V06 Calend 01'!C81),(62&lt;'V06 Calend 01'!D81),(MOD((62-'V06 Calend 01'!C81),6)=0),(((62-'V06 Calend 01'!C81)/6)&lt;='V06 Calend 01'!E81)),IF((62=('V06 Calend 01'!C81+(6*'V06 Calend 01'!E81))),('V06 Calend 01'!H81-('V06 Calend 01'!I81*('V06 Calend 01'!E81-1))),'V06 Calend 01'!I81),0))+IF((62='V06 Calend 01'!D81),'V06 Calend 01'!J81,0))</f>
        <v>0</v>
      </c>
      <c r="BW81" s="2">
        <f>((IF((63='V06 Calend 01'!C81),('V06 Calend 01'!F81+'V06 Calend 01'!G81),0)+IF(AND(('V06 Calend 01'!E81&gt;0),(63&gt;'V06 Calend 01'!C81),(63&lt;'V06 Calend 01'!D81),(MOD((63-'V06 Calend 01'!C81),6)=0),(((63-'V06 Calend 01'!C81)/6)&lt;='V06 Calend 01'!E81)),IF((63=('V06 Calend 01'!C81+(6*'V06 Calend 01'!E81))),('V06 Calend 01'!H81-('V06 Calend 01'!I81*('V06 Calend 01'!E81-1))),'V06 Calend 01'!I81),0))+IF((63='V06 Calend 01'!D81),'V06 Calend 01'!J81,0))</f>
        <v>0</v>
      </c>
      <c r="BX81" s="2">
        <f>((IF((64='V06 Calend 01'!C81),('V06 Calend 01'!F81+'V06 Calend 01'!G81),0)+IF(AND(('V06 Calend 01'!E81&gt;0),(64&gt;'V06 Calend 01'!C81),(64&lt;'V06 Calend 01'!D81),(MOD((64-'V06 Calend 01'!C81),6)=0),(((64-'V06 Calend 01'!C81)/6)&lt;='V06 Calend 01'!E81)),IF((64=('V06 Calend 01'!C81+(6*'V06 Calend 01'!E81))),('V06 Calend 01'!H81-('V06 Calend 01'!I81*('V06 Calend 01'!E81-1))),'V06 Calend 01'!I81),0))+IF((64='V06 Calend 01'!D81),'V06 Calend 01'!J81,0))</f>
        <v>0</v>
      </c>
      <c r="BY81" s="2">
        <f>((IF((65='V06 Calend 01'!C81),('V06 Calend 01'!F81+'V06 Calend 01'!G81),0)+IF(AND(('V06 Calend 01'!E81&gt;0),(65&gt;'V06 Calend 01'!C81),(65&lt;'V06 Calend 01'!D81),(MOD((65-'V06 Calend 01'!C81),6)=0),(((65-'V06 Calend 01'!C81)/6)&lt;='V06 Calend 01'!E81)),IF((65=('V06 Calend 01'!C81+(6*'V06 Calend 01'!E81))),('V06 Calend 01'!H81-('V06 Calend 01'!I81*('V06 Calend 01'!E81-1))),'V06 Calend 01'!I81),0))+IF((65='V06 Calend 01'!D81),'V06 Calend 01'!J81,0))</f>
        <v>0</v>
      </c>
      <c r="BZ81" s="2">
        <f>((IF((66='V06 Calend 01'!C81),('V06 Calend 01'!F81+'V06 Calend 01'!G81),0)+IF(AND(('V06 Calend 01'!E81&gt;0),(66&gt;'V06 Calend 01'!C81),(66&lt;'V06 Calend 01'!D81),(MOD((66-'V06 Calend 01'!C81),6)=0),(((66-'V06 Calend 01'!C81)/6)&lt;='V06 Calend 01'!E81)),IF((66=('V06 Calend 01'!C81+(6*'V06 Calend 01'!E81))),('V06 Calend 01'!H81-('V06 Calend 01'!I81*('V06 Calend 01'!E81-1))),'V06 Calend 01'!I81),0))+IF((66='V06 Calend 01'!D81),'V06 Calend 01'!J81,0))</f>
        <v>0</v>
      </c>
      <c r="CA81" s="2">
        <f>((IF((67='V06 Calend 01'!C81),('V06 Calend 01'!F81+'V06 Calend 01'!G81),0)+IF(AND(('V06 Calend 01'!E81&gt;0),(67&gt;'V06 Calend 01'!C81),(67&lt;'V06 Calend 01'!D81),(MOD((67-'V06 Calend 01'!C81),6)=0),(((67-'V06 Calend 01'!C81)/6)&lt;='V06 Calend 01'!E81)),IF((67=('V06 Calend 01'!C81+(6*'V06 Calend 01'!E81))),('V06 Calend 01'!H81-('V06 Calend 01'!I81*('V06 Calend 01'!E81-1))),'V06 Calend 01'!I81),0))+IF((67='V06 Calend 01'!D81),'V06 Calend 01'!J81,0))</f>
        <v>0</v>
      </c>
      <c r="CB81" s="2">
        <f>((IF((68='V06 Calend 01'!C81),('V06 Calend 01'!F81+'V06 Calend 01'!G81),0)+IF(AND(('V06 Calend 01'!E81&gt;0),(68&gt;'V06 Calend 01'!C81),(68&lt;'V06 Calend 01'!D81),(MOD((68-'V06 Calend 01'!C81),6)=0),(((68-'V06 Calend 01'!C81)/6)&lt;='V06 Calend 01'!E81)),IF((68=('V06 Calend 01'!C81+(6*'V06 Calend 01'!E81))),('V06 Calend 01'!H81-('V06 Calend 01'!I81*('V06 Calend 01'!E81-1))),'V06 Calend 01'!I81),0))+IF((68='V06 Calend 01'!D81),'V06 Calend 01'!J81,0))</f>
        <v>0</v>
      </c>
      <c r="CC81" s="2">
        <f>((IF((69='V06 Calend 01'!C81),('V06 Calend 01'!F81+'V06 Calend 01'!G81),0)+IF(AND(('V06 Calend 01'!E81&gt;0),(69&gt;'V06 Calend 01'!C81),(69&lt;'V06 Calend 01'!D81),(MOD((69-'V06 Calend 01'!C81),6)=0),(((69-'V06 Calend 01'!C81)/6)&lt;='V06 Calend 01'!E81)),IF((69=('V06 Calend 01'!C81+(6*'V06 Calend 01'!E81))),('V06 Calend 01'!H81-('V06 Calend 01'!I81*('V06 Calend 01'!E81-1))),'V06 Calend 01'!I81),0))+IF((69='V06 Calend 01'!D81),'V06 Calend 01'!J81,0))</f>
        <v>0</v>
      </c>
      <c r="CD81" s="2">
        <f>((IF((70='V06 Calend 01'!C81),('V06 Calend 01'!F81+'V06 Calend 01'!G81),0)+IF(AND(('V06 Calend 01'!E81&gt;0),(70&gt;'V06 Calend 01'!C81),(70&lt;'V06 Calend 01'!D81),(MOD((70-'V06 Calend 01'!C81),6)=0),(((70-'V06 Calend 01'!C81)/6)&lt;='V06 Calend 01'!E81)),IF((70=('V06 Calend 01'!C81+(6*'V06 Calend 01'!E81))),('V06 Calend 01'!H81-('V06 Calend 01'!I81*('V06 Calend 01'!E81-1))),'V06 Calend 01'!I81),0))+IF((70='V06 Calend 01'!D81),'V06 Calend 01'!J81,0))</f>
        <v>0</v>
      </c>
      <c r="CE81" s="2">
        <f>((IF((71='V06 Calend 01'!C81),('V06 Calend 01'!F81+'V06 Calend 01'!G81),0)+IF(AND(('V06 Calend 01'!E81&gt;0),(71&gt;'V06 Calend 01'!C81),(71&lt;'V06 Calend 01'!D81),(MOD((71-'V06 Calend 01'!C81),6)=0),(((71-'V06 Calend 01'!C81)/6)&lt;='V06 Calend 01'!E81)),IF((71=('V06 Calend 01'!C81+(6*'V06 Calend 01'!E81))),('V06 Calend 01'!H81-('V06 Calend 01'!I81*('V06 Calend 01'!E81-1))),'V06 Calend 01'!I81),0))+IF((71='V06 Calend 01'!D81),'V06 Calend 01'!J81,0))</f>
        <v>0</v>
      </c>
      <c r="CF81" s="2">
        <f>((IF((72='V06 Calend 01'!C81),('V06 Calend 01'!F81+'V06 Calend 01'!G81),0)+IF(AND(('V06 Calend 01'!E81&gt;0),(72&gt;'V06 Calend 01'!C81),(72&lt;'V06 Calend 01'!D81),(MOD((72-'V06 Calend 01'!C81),6)=0),(((72-'V06 Calend 01'!C81)/6)&lt;='V06 Calend 01'!E81)),IF((72=('V06 Calend 01'!C81+(6*'V06 Calend 01'!E81))),('V06 Calend 01'!H81-('V06 Calend 01'!I81*('V06 Calend 01'!E81-1))),'V06 Calend 01'!I81),0))+IF((72='V06 Calend 01'!D81),'V06 Calend 01'!J81,0))</f>
        <v>0</v>
      </c>
      <c r="CG81" s="2">
        <f>((IF((73='V06 Calend 01'!C81),('V06 Calend 01'!F81+'V06 Calend 01'!G81),0)+IF(AND(('V06 Calend 01'!E81&gt;0),(73&gt;'V06 Calend 01'!C81),(73&lt;'V06 Calend 01'!D81),(MOD((73-'V06 Calend 01'!C81),6)=0),(((73-'V06 Calend 01'!C81)/6)&lt;='V06 Calend 01'!E81)),IF((73=('V06 Calend 01'!C81+(6*'V06 Calend 01'!E81))),('V06 Calend 01'!H81-('V06 Calend 01'!I81*('V06 Calend 01'!E81-1))),'V06 Calend 01'!I81),0))+IF((73='V06 Calend 01'!D81),'V06 Calend 01'!J81,0))</f>
        <v>0</v>
      </c>
      <c r="CH81" s="2">
        <f>((IF((74='V06 Calend 01'!C81),('V06 Calend 01'!F81+'V06 Calend 01'!G81),0)+IF(AND(('V06 Calend 01'!E81&gt;0),(74&gt;'V06 Calend 01'!C81),(74&lt;'V06 Calend 01'!D81),(MOD((74-'V06 Calend 01'!C81),6)=0),(((74-'V06 Calend 01'!C81)/6)&lt;='V06 Calend 01'!E81)),IF((74=('V06 Calend 01'!C81+(6*'V06 Calend 01'!E81))),('V06 Calend 01'!H81-('V06 Calend 01'!I81*('V06 Calend 01'!E81-1))),'V06 Calend 01'!I81),0))+IF((74='V06 Calend 01'!D81),'V06 Calend 01'!J81,0))</f>
        <v>0</v>
      </c>
      <c r="CI81" s="2">
        <f>((IF((75='V06 Calend 01'!C81),('V06 Calend 01'!F81+'V06 Calend 01'!G81),0)+IF(AND(('V06 Calend 01'!E81&gt;0),(75&gt;'V06 Calend 01'!C81),(75&lt;'V06 Calend 01'!D81),(MOD((75-'V06 Calend 01'!C81),6)=0),(((75-'V06 Calend 01'!C81)/6)&lt;='V06 Calend 01'!E81)),IF((75=('V06 Calend 01'!C81+(6*'V06 Calend 01'!E81))),('V06 Calend 01'!H81-('V06 Calend 01'!I81*('V06 Calend 01'!E81-1))),'V06 Calend 01'!I81),0))+IF((75='V06 Calend 01'!D81),'V06 Calend 01'!J81,0))</f>
        <v>0</v>
      </c>
      <c r="CJ81" s="2">
        <f>((IF((76='V06 Calend 01'!C81),('V06 Calend 01'!F81+'V06 Calend 01'!G81),0)+IF(AND(('V06 Calend 01'!E81&gt;0),(76&gt;'V06 Calend 01'!C81),(76&lt;'V06 Calend 01'!D81),(MOD((76-'V06 Calend 01'!C81),6)=0),(((76-'V06 Calend 01'!C81)/6)&lt;='V06 Calend 01'!E81)),IF((76=('V06 Calend 01'!C81+(6*'V06 Calend 01'!E81))),('V06 Calend 01'!H81-('V06 Calend 01'!I81*('V06 Calend 01'!E81-1))),'V06 Calend 01'!I81),0))+IF((76='V06 Calend 01'!D81),'V06 Calend 01'!J81,0))</f>
        <v>0</v>
      </c>
      <c r="CK81" s="2">
        <f>((IF((77='V06 Calend 01'!C81),('V06 Calend 01'!F81+'V06 Calend 01'!G81),0)+IF(AND(('V06 Calend 01'!E81&gt;0),(77&gt;'V06 Calend 01'!C81),(77&lt;'V06 Calend 01'!D81),(MOD((77-'V06 Calend 01'!C81),6)=0),(((77-'V06 Calend 01'!C81)/6)&lt;='V06 Calend 01'!E81)),IF((77=('V06 Calend 01'!C81+(6*'V06 Calend 01'!E81))),('V06 Calend 01'!H81-('V06 Calend 01'!I81*('V06 Calend 01'!E81-1))),'V06 Calend 01'!I81),0))+IF((77='V06 Calend 01'!D81),'V06 Calend 01'!J81,0))</f>
        <v>0</v>
      </c>
      <c r="CL81" s="2">
        <f>((IF((78='V06 Calend 01'!C81),('V06 Calend 01'!F81+'V06 Calend 01'!G81),0)+IF(AND(('V06 Calend 01'!E81&gt;0),(78&gt;'V06 Calend 01'!C81),(78&lt;'V06 Calend 01'!D81),(MOD((78-'V06 Calend 01'!C81),6)=0),(((78-'V06 Calend 01'!C81)/6)&lt;='V06 Calend 01'!E81)),IF((78=('V06 Calend 01'!C81+(6*'V06 Calend 01'!E81))),('V06 Calend 01'!H81-('V06 Calend 01'!I81*('V06 Calend 01'!E81-1))),'V06 Calend 01'!I81),0))+IF((78='V06 Calend 01'!D81),'V06 Calend 01'!J81,0))</f>
        <v>0</v>
      </c>
      <c r="CM81" s="2">
        <f>((IF((79='V06 Calend 01'!C81),('V06 Calend 01'!F81+'V06 Calend 01'!G81),0)+IF(AND(('V06 Calend 01'!E81&gt;0),(79&gt;'V06 Calend 01'!C81),(79&lt;'V06 Calend 01'!D81),(MOD((79-'V06 Calend 01'!C81),6)=0),(((79-'V06 Calend 01'!C81)/6)&lt;='V06 Calend 01'!E81)),IF((79=('V06 Calend 01'!C81+(6*'V06 Calend 01'!E81))),('V06 Calend 01'!H81-('V06 Calend 01'!I81*('V06 Calend 01'!E81-1))),'V06 Calend 01'!I81),0))+IF((79='V06 Calend 01'!D81),'V06 Calend 01'!J81,0))</f>
        <v>0</v>
      </c>
      <c r="CN81" s="2">
        <f>((IF((80='V06 Calend 01'!C81),('V06 Calend 01'!F81+'V06 Calend 01'!G81),0)+IF(AND(('V06 Calend 01'!E81&gt;0),(80&gt;'V06 Calend 01'!C81),(80&lt;'V06 Calend 01'!D81),(MOD((80-'V06 Calend 01'!C81),6)=0),(((80-'V06 Calend 01'!C81)/6)&lt;='V06 Calend 01'!E81)),IF((80=('V06 Calend 01'!C81+(6*'V06 Calend 01'!E81))),('V06 Calend 01'!H81-('V06 Calend 01'!I81*('V06 Calend 01'!E81-1))),'V06 Calend 01'!I81),0))+IF((80='V06 Calend 01'!D81),'V06 Calend 01'!J81,0))</f>
        <v>0</v>
      </c>
      <c r="CO81" s="2">
        <f>((IF((81='V06 Calend 01'!C81),('V06 Calend 01'!F81+'V06 Calend 01'!G81),0)+IF(AND(('V06 Calend 01'!E81&gt;0),(81&gt;'V06 Calend 01'!C81),(81&lt;'V06 Calend 01'!D81),(MOD((81-'V06 Calend 01'!C81),6)=0),(((81-'V06 Calend 01'!C81)/6)&lt;='V06 Calend 01'!E81)),IF((81=('V06 Calend 01'!C81+(6*'V06 Calend 01'!E81))),('V06 Calend 01'!H81-('V06 Calend 01'!I81*('V06 Calend 01'!E81-1))),'V06 Calend 01'!I81),0))+IF((81='V06 Calend 01'!D81),'V06 Calend 01'!J81,0))</f>
        <v>0</v>
      </c>
      <c r="CP81" s="2">
        <f>((IF((82='V06 Calend 01'!C81),('V06 Calend 01'!F81+'V06 Calend 01'!G81),0)+IF(AND(('V06 Calend 01'!E81&gt;0),(82&gt;'V06 Calend 01'!C81),(82&lt;'V06 Calend 01'!D81),(MOD((82-'V06 Calend 01'!C81),6)=0),(((82-'V06 Calend 01'!C81)/6)&lt;='V06 Calend 01'!E81)),IF((82=('V06 Calend 01'!C81+(6*'V06 Calend 01'!E81))),('V06 Calend 01'!H81-('V06 Calend 01'!I81*('V06 Calend 01'!E81-1))),'V06 Calend 01'!I81),0))+IF((82='V06 Calend 01'!D81),'V06 Calend 01'!J81,0))</f>
        <v>0</v>
      </c>
      <c r="CQ81" s="2">
        <f>((IF((83='V06 Calend 01'!C81),('V06 Calend 01'!F81+'V06 Calend 01'!G81),0)+IF(AND(('V06 Calend 01'!E81&gt;0),(83&gt;'V06 Calend 01'!C81),(83&lt;'V06 Calend 01'!D81),(MOD((83-'V06 Calend 01'!C81),6)=0),(((83-'V06 Calend 01'!C81)/6)&lt;='V06 Calend 01'!E81)),IF((83=('V06 Calend 01'!C81+(6*'V06 Calend 01'!E81))),('V06 Calend 01'!H81-('V06 Calend 01'!I81*('V06 Calend 01'!E81-1))),'V06 Calend 01'!I81),0))+IF((83='V06 Calend 01'!D81),'V06 Calend 01'!J81,0))</f>
        <v>0</v>
      </c>
      <c r="CR81" s="2">
        <f>((IF((84='V06 Calend 01'!C81),('V06 Calend 01'!F81+'V06 Calend 01'!G81),0)+IF(AND(('V06 Calend 01'!E81&gt;0),(84&gt;'V06 Calend 01'!C81),(84&lt;'V06 Calend 01'!D81),(MOD((84-'V06 Calend 01'!C81),6)=0),(((84-'V06 Calend 01'!C81)/6)&lt;='V06 Calend 01'!E81)),IF((84=('V06 Calend 01'!C81+(6*'V06 Calend 01'!E81))),('V06 Calend 01'!H81-('V06 Calend 01'!I81*('V06 Calend 01'!E81-1))),'V06 Calend 01'!I81),0))+IF((84='V06 Calend 01'!D81),'V06 Calend 01'!J81,0))</f>
        <v>0</v>
      </c>
      <c r="CS81" s="2">
        <f>((IF((85='V06 Calend 01'!C81),('V06 Calend 01'!F81+'V06 Calend 01'!G81),0)+IF(AND(('V06 Calend 01'!E81&gt;0),(85&gt;'V06 Calend 01'!C81),(85&lt;'V06 Calend 01'!D81),(MOD((85-'V06 Calend 01'!C81),6)=0),(((85-'V06 Calend 01'!C81)/6)&lt;='V06 Calend 01'!E81)),IF((85=('V06 Calend 01'!C81+(6*'V06 Calend 01'!E81))),('V06 Calend 01'!H81-('V06 Calend 01'!I81*('V06 Calend 01'!E81-1))),'V06 Calend 01'!I81),0))+IF((85='V06 Calend 01'!D81),'V06 Calend 01'!J81,0))</f>
        <v>0</v>
      </c>
      <c r="CT81" s="2">
        <f>((IF((86='V06 Calend 01'!C81),('V06 Calend 01'!F81+'V06 Calend 01'!G81),0)+IF(AND(('V06 Calend 01'!E81&gt;0),(86&gt;'V06 Calend 01'!C81),(86&lt;'V06 Calend 01'!D81),(MOD((86-'V06 Calend 01'!C81),6)=0),(((86-'V06 Calend 01'!C81)/6)&lt;='V06 Calend 01'!E81)),IF((86=('V06 Calend 01'!C81+(6*'V06 Calend 01'!E81))),('V06 Calend 01'!H81-('V06 Calend 01'!I81*('V06 Calend 01'!E81-1))),'V06 Calend 01'!I81),0))+IF((86='V06 Calend 01'!D81),'V06 Calend 01'!J81,0))</f>
        <v>0</v>
      </c>
      <c r="CU81" s="2">
        <f>((IF((87='V06 Calend 01'!C81),('V06 Calend 01'!F81+'V06 Calend 01'!G81),0)+IF(AND(('V06 Calend 01'!E81&gt;0),(87&gt;'V06 Calend 01'!C81),(87&lt;'V06 Calend 01'!D81),(MOD((87-'V06 Calend 01'!C81),6)=0),(((87-'V06 Calend 01'!C81)/6)&lt;='V06 Calend 01'!E81)),IF((87=('V06 Calend 01'!C81+(6*'V06 Calend 01'!E81))),('V06 Calend 01'!H81-('V06 Calend 01'!I81*('V06 Calend 01'!E81-1))),'V06 Calend 01'!I81),0))+IF((87='V06 Calend 01'!D81),'V06 Calend 01'!J81,0))</f>
        <v>0</v>
      </c>
      <c r="CV81" s="2">
        <f>((IF((88='V06 Calend 01'!C81),('V06 Calend 01'!F81+'V06 Calend 01'!G81),0)+IF(AND(('V06 Calend 01'!E81&gt;0),(88&gt;'V06 Calend 01'!C81),(88&lt;'V06 Calend 01'!D81),(MOD((88-'V06 Calend 01'!C81),6)=0),(((88-'V06 Calend 01'!C81)/6)&lt;='V06 Calend 01'!E81)),IF((88=('V06 Calend 01'!C81+(6*'V06 Calend 01'!E81))),('V06 Calend 01'!H81-('V06 Calend 01'!I81*('V06 Calend 01'!E81-1))),'V06 Calend 01'!I81),0))+IF((88='V06 Calend 01'!D81),'V06 Calend 01'!J81,0))</f>
        <v>0</v>
      </c>
      <c r="CW81" s="2">
        <f>((IF((89='V06 Calend 01'!C81),('V06 Calend 01'!F81+'V06 Calend 01'!G81),0)+IF(AND(('V06 Calend 01'!E81&gt;0),(89&gt;'V06 Calend 01'!C81),(89&lt;'V06 Calend 01'!D81),(MOD((89-'V06 Calend 01'!C81),6)=0),(((89-'V06 Calend 01'!C81)/6)&lt;='V06 Calend 01'!E81)),IF((89=('V06 Calend 01'!C81+(6*'V06 Calend 01'!E81))),('V06 Calend 01'!H81-('V06 Calend 01'!I81*('V06 Calend 01'!E81-1))),'V06 Calend 01'!I81),0))+IF((89='V06 Calend 01'!D81),'V06 Calend 01'!J81,0))</f>
        <v>0</v>
      </c>
      <c r="CX81" s="2">
        <f>((IF((90='V06 Calend 01'!C81),('V06 Calend 01'!F81+'V06 Calend 01'!G81),0)+IF(AND(('V06 Calend 01'!E81&gt;0),(90&gt;'V06 Calend 01'!C81),(90&lt;'V06 Calend 01'!D81),(MOD((90-'V06 Calend 01'!C81),6)=0),(((90-'V06 Calend 01'!C81)/6)&lt;='V06 Calend 01'!E81)),IF((90=('V06 Calend 01'!C81+(6*'V06 Calend 01'!E81))),('V06 Calend 01'!H81-('V06 Calend 01'!I81*('V06 Calend 01'!E81-1))),'V06 Calend 01'!I81),0))+IF((90='V06 Calend 01'!D81),'V06 Calend 01'!J81,0))</f>
        <v>0</v>
      </c>
      <c r="CY81" s="2">
        <f>((IF((91='V06 Calend 01'!C81),('V06 Calend 01'!F81+'V06 Calend 01'!G81),0)+IF(AND(('V06 Calend 01'!E81&gt;0),(91&gt;'V06 Calend 01'!C81),(91&lt;'V06 Calend 01'!D81),(MOD((91-'V06 Calend 01'!C81),6)=0),(((91-'V06 Calend 01'!C81)/6)&lt;='V06 Calend 01'!E81)),IF((91=('V06 Calend 01'!C81+(6*'V06 Calend 01'!E81))),('V06 Calend 01'!H81-('V06 Calend 01'!I81*('V06 Calend 01'!E81-1))),'V06 Calend 01'!I81),0))+IF((91='V06 Calend 01'!D81),'V06 Calend 01'!J81,0))</f>
        <v>0</v>
      </c>
      <c r="CZ81" s="2">
        <f>((IF((92='V06 Calend 01'!C81),('V06 Calend 01'!F81+'V06 Calend 01'!G81),0)+IF(AND(('V06 Calend 01'!E81&gt;0),(92&gt;'V06 Calend 01'!C81),(92&lt;'V06 Calend 01'!D81),(MOD((92-'V06 Calend 01'!C81),6)=0),(((92-'V06 Calend 01'!C81)/6)&lt;='V06 Calend 01'!E81)),IF((92=('V06 Calend 01'!C81+(6*'V06 Calend 01'!E81))),('V06 Calend 01'!H81-('V06 Calend 01'!I81*('V06 Calend 01'!E81-1))),'V06 Calend 01'!I81),0))+IF((92='V06 Calend 01'!D81),'V06 Calend 01'!J81,0))</f>
        <v>0</v>
      </c>
      <c r="DA81" s="2">
        <f>((IF((93='V06 Calend 01'!C81),('V06 Calend 01'!F81+'V06 Calend 01'!G81),0)+IF(AND(('V06 Calend 01'!E81&gt;0),(93&gt;'V06 Calend 01'!C81),(93&lt;'V06 Calend 01'!D81),(MOD((93-'V06 Calend 01'!C81),6)=0),(((93-'V06 Calend 01'!C81)/6)&lt;='V06 Calend 01'!E81)),IF((93=('V06 Calend 01'!C81+(6*'V06 Calend 01'!E81))),('V06 Calend 01'!H81-('V06 Calend 01'!I81*('V06 Calend 01'!E81-1))),'V06 Calend 01'!I81),0))+IF((93='V06 Calend 01'!D81),'V06 Calend 01'!J81,0))</f>
        <v>0</v>
      </c>
      <c r="DB81" s="2">
        <f>((IF((94='V06 Calend 01'!C81),('V06 Calend 01'!F81+'V06 Calend 01'!G81),0)+IF(AND(('V06 Calend 01'!E81&gt;0),(94&gt;'V06 Calend 01'!C81),(94&lt;'V06 Calend 01'!D81),(MOD((94-'V06 Calend 01'!C81),6)=0),(((94-'V06 Calend 01'!C81)/6)&lt;='V06 Calend 01'!E81)),IF((94=('V06 Calend 01'!C81+(6*'V06 Calend 01'!E81))),('V06 Calend 01'!H81-('V06 Calend 01'!I81*('V06 Calend 01'!E81-1))),'V06 Calend 01'!I81),0))+IF((94='V06 Calend 01'!D81),'V06 Calend 01'!J81,0))</f>
        <v>0</v>
      </c>
      <c r="DC81" s="2">
        <f>((IF((95='V06 Calend 01'!C81),('V06 Calend 01'!F81+'V06 Calend 01'!G81),0)+IF(AND(('V06 Calend 01'!E81&gt;0),(95&gt;'V06 Calend 01'!C81),(95&lt;'V06 Calend 01'!D81),(MOD((95-'V06 Calend 01'!C81),6)=0),(((95-'V06 Calend 01'!C81)/6)&lt;='V06 Calend 01'!E81)),IF((95=('V06 Calend 01'!C81+(6*'V06 Calend 01'!E81))),('V06 Calend 01'!H81-('V06 Calend 01'!I81*('V06 Calend 01'!E81-1))),'V06 Calend 01'!I81),0))+IF((95='V06 Calend 01'!D81),'V06 Calend 01'!J81,0))</f>
        <v>0</v>
      </c>
      <c r="DD81" s="2">
        <f>((IF((96='V06 Calend 01'!C81),('V06 Calend 01'!F81+'V06 Calend 01'!G81),0)+IF(AND(('V06 Calend 01'!E81&gt;0),(96&gt;'V06 Calend 01'!C81),(96&lt;'V06 Calend 01'!D81),(MOD((96-'V06 Calend 01'!C81),6)=0),(((96-'V06 Calend 01'!C81)/6)&lt;='V06 Calend 01'!E81)),IF((96=('V06 Calend 01'!C81+(6*'V06 Calend 01'!E81))),('V06 Calend 01'!H81-('V06 Calend 01'!I81*('V06 Calend 01'!E81-1))),'V06 Calend 01'!I81),0))+IF((96='V06 Calend 01'!D81),'V06 Calend 01'!J81,0))</f>
        <v>0</v>
      </c>
      <c r="DE81" s="2">
        <f>((IF((97='V06 Calend 01'!C81),('V06 Calend 01'!F81+'V06 Calend 01'!G81),0)+IF(AND(('V06 Calend 01'!E81&gt;0),(97&gt;'V06 Calend 01'!C81),(97&lt;'V06 Calend 01'!D81),(MOD((97-'V06 Calend 01'!C81),6)=0),(((97-'V06 Calend 01'!C81)/6)&lt;='V06 Calend 01'!E81)),IF((97=('V06 Calend 01'!C81+(6*'V06 Calend 01'!E81))),('V06 Calend 01'!H81-('V06 Calend 01'!I81*('V06 Calend 01'!E81-1))),'V06 Calend 01'!I81),0))+IF((97='V06 Calend 01'!D81),'V06 Calend 01'!J81,0))</f>
        <v>0</v>
      </c>
      <c r="DF81" s="2">
        <f>((IF((98='V06 Calend 01'!C81),('V06 Calend 01'!F81+'V06 Calend 01'!G81),0)+IF(AND(('V06 Calend 01'!E81&gt;0),(98&gt;'V06 Calend 01'!C81),(98&lt;'V06 Calend 01'!D81),(MOD((98-'V06 Calend 01'!C81),6)=0),(((98-'V06 Calend 01'!C81)/6)&lt;='V06 Calend 01'!E81)),IF((98=('V06 Calend 01'!C81+(6*'V06 Calend 01'!E81))),('V06 Calend 01'!H81-('V06 Calend 01'!I81*('V06 Calend 01'!E81-1))),'V06 Calend 01'!I81),0))+IF((98='V06 Calend 01'!D81),'V06 Calend 01'!J81,0))</f>
        <v>0</v>
      </c>
      <c r="DG81" s="2">
        <f>((IF((99='V06 Calend 01'!C81),('V06 Calend 01'!F81+'V06 Calend 01'!G81),0)+IF(AND(('V06 Calend 01'!E81&gt;0),(99&gt;'V06 Calend 01'!C81),(99&lt;'V06 Calend 01'!D81),(MOD((99-'V06 Calend 01'!C81),6)=0),(((99-'V06 Calend 01'!C81)/6)&lt;='V06 Calend 01'!E81)),IF((99=('V06 Calend 01'!C81+(6*'V06 Calend 01'!E81))),('V06 Calend 01'!H81-('V06 Calend 01'!I81*('V06 Calend 01'!E81-1))),'V06 Calend 01'!I81),0))+IF((99='V06 Calend 01'!D81),'V06 Calend 01'!J81,0))</f>
        <v>0</v>
      </c>
      <c r="DH81" s="2">
        <f>((IF((100='V06 Calend 01'!C81),('V06 Calend 01'!F81+'V06 Calend 01'!G81),0)+IF(AND(('V06 Calend 01'!E81&gt;0),(100&gt;'V06 Calend 01'!C81),(100&lt;'V06 Calend 01'!D81),(MOD((100-'V06 Calend 01'!C81),6)=0),(((100-'V06 Calend 01'!C81)/6)&lt;='V06 Calend 01'!E81)),IF((100=('V06 Calend 01'!C81+(6*'V06 Calend 01'!E81))),('V06 Calend 01'!H81-('V06 Calend 01'!I81*('V06 Calend 01'!E81-1))),'V06 Calend 01'!I81),0))+IF((100='V06 Calend 01'!D81),'V06 Calend 01'!J81,0))</f>
        <v>0</v>
      </c>
      <c r="DI81" s="2">
        <f>((IF((101='V06 Calend 01'!C81),('V06 Calend 01'!F81+'V06 Calend 01'!G81),0)+IF(AND(('V06 Calend 01'!E81&gt;0),(101&gt;'V06 Calend 01'!C81),(101&lt;'V06 Calend 01'!D81),(MOD((101-'V06 Calend 01'!C81),6)=0),(((101-'V06 Calend 01'!C81)/6)&lt;='V06 Calend 01'!E81)),IF((101=('V06 Calend 01'!C81+(6*'V06 Calend 01'!E81))),('V06 Calend 01'!H81-('V06 Calend 01'!I81*('V06 Calend 01'!E81-1))),'V06 Calend 01'!I81),0))+IF((101='V06 Calend 01'!D81),'V06 Calend 01'!J81,0))</f>
        <v>0</v>
      </c>
      <c r="DJ81" s="2">
        <f>((IF((102='V06 Calend 01'!C81),('V06 Calend 01'!F81+'V06 Calend 01'!G81),0)+IF(AND(('V06 Calend 01'!E81&gt;0),(102&gt;'V06 Calend 01'!C81),(102&lt;'V06 Calend 01'!D81),(MOD((102-'V06 Calend 01'!C81),6)=0),(((102-'V06 Calend 01'!C81)/6)&lt;='V06 Calend 01'!E81)),IF((102=('V06 Calend 01'!C81+(6*'V06 Calend 01'!E81))),('V06 Calend 01'!H81-('V06 Calend 01'!I81*('V06 Calend 01'!E81-1))),'V06 Calend 01'!I81),0))+IF((102='V06 Calend 01'!D81),'V06 Calend 01'!J81,0))</f>
        <v>0</v>
      </c>
      <c r="DK81" s="2">
        <f>((IF((103='V06 Calend 01'!C81),('V06 Calend 01'!F81+'V06 Calend 01'!G81),0)+IF(AND(('V06 Calend 01'!E81&gt;0),(103&gt;'V06 Calend 01'!C81),(103&lt;'V06 Calend 01'!D81),(MOD((103-'V06 Calend 01'!C81),6)=0),(((103-'V06 Calend 01'!C81)/6)&lt;='V06 Calend 01'!E81)),IF((103=('V06 Calend 01'!C81+(6*'V06 Calend 01'!E81))),('V06 Calend 01'!H81-('V06 Calend 01'!I81*('V06 Calend 01'!E81-1))),'V06 Calend 01'!I81),0))+IF((103='V06 Calend 01'!D81),'V06 Calend 01'!J81,0))</f>
        <v>0</v>
      </c>
      <c r="DL81" s="2">
        <f>((IF((104='V06 Calend 01'!C81),('V06 Calend 01'!F81+'V06 Calend 01'!G81),0)+IF(AND(('V06 Calend 01'!E81&gt;0),(104&gt;'V06 Calend 01'!C81),(104&lt;'V06 Calend 01'!D81),(MOD((104-'V06 Calend 01'!C81),6)=0),(((104-'V06 Calend 01'!C81)/6)&lt;='V06 Calend 01'!E81)),IF((104=('V06 Calend 01'!C81+(6*'V06 Calend 01'!E81))),('V06 Calend 01'!H81-('V06 Calend 01'!I81*('V06 Calend 01'!E81-1))),'V06 Calend 01'!I81),0))+IF((104='V06 Calend 01'!D81),'V06 Calend 01'!J81,0))</f>
        <v>0</v>
      </c>
      <c r="DM81" s="2">
        <f>((IF((105='V06 Calend 01'!C81),('V06 Calend 01'!F81+'V06 Calend 01'!G81),0)+IF(AND(('V06 Calend 01'!E81&gt;0),(105&gt;'V06 Calend 01'!C81),(105&lt;'V06 Calend 01'!D81),(MOD((105-'V06 Calend 01'!C81),6)=0),(((105-'V06 Calend 01'!C81)/6)&lt;='V06 Calend 01'!E81)),IF((105=('V06 Calend 01'!C81+(6*'V06 Calend 01'!E81))),('V06 Calend 01'!H81-('V06 Calend 01'!I81*('V06 Calend 01'!E81-1))),'V06 Calend 01'!I81),0))+IF((105='V06 Calend 01'!D81),'V06 Calend 01'!J81,0))</f>
        <v>0</v>
      </c>
      <c r="DN81" s="2">
        <f>((IF((106='V06 Calend 01'!C81),('V06 Calend 01'!F81+'V06 Calend 01'!G81),0)+IF(AND(('V06 Calend 01'!E81&gt;0),(106&gt;'V06 Calend 01'!C81),(106&lt;'V06 Calend 01'!D81),(MOD((106-'V06 Calend 01'!C81),6)=0),(((106-'V06 Calend 01'!C81)/6)&lt;='V06 Calend 01'!E81)),IF((106=('V06 Calend 01'!C81+(6*'V06 Calend 01'!E81))),('V06 Calend 01'!H81-('V06 Calend 01'!I81*('V06 Calend 01'!E81-1))),'V06 Calend 01'!I81),0))+IF((106='V06 Calend 01'!D81),'V06 Calend 01'!J81,0))</f>
        <v>0</v>
      </c>
      <c r="DO81" s="2">
        <f>((IF((107='V06 Calend 01'!C81),('V06 Calend 01'!F81+'V06 Calend 01'!G81),0)+IF(AND(('V06 Calend 01'!E81&gt;0),(107&gt;'V06 Calend 01'!C81),(107&lt;'V06 Calend 01'!D81),(MOD((107-'V06 Calend 01'!C81),6)=0),(((107-'V06 Calend 01'!C81)/6)&lt;='V06 Calend 01'!E81)),IF((107=('V06 Calend 01'!C81+(6*'V06 Calend 01'!E81))),('V06 Calend 01'!H81-('V06 Calend 01'!I81*('V06 Calend 01'!E81-1))),'V06 Calend 01'!I81),0))+IF((107='V06 Calend 01'!D81),'V06 Calend 01'!J81,0))</f>
        <v>0</v>
      </c>
      <c r="DP81" s="2">
        <f>((IF((108='V06 Calend 01'!C81),('V06 Calend 01'!F81+'V06 Calend 01'!G81),0)+IF(AND(('V06 Calend 01'!E81&gt;0),(108&gt;'V06 Calend 01'!C81),(108&lt;'V06 Calend 01'!D81),(MOD((108-'V06 Calend 01'!C81),6)=0),(((108-'V06 Calend 01'!C81)/6)&lt;='V06 Calend 01'!E81)),IF((108=('V06 Calend 01'!C81+(6*'V06 Calend 01'!E81))),('V06 Calend 01'!H81-('V06 Calend 01'!I81*('V06 Calend 01'!E81-1))),'V06 Calend 01'!I81),0))+IF((108='V06 Calend 01'!D81),'V06 Calend 01'!J81,0))</f>
        <v>0</v>
      </c>
      <c r="DQ81" s="2">
        <f>((IF((109='V06 Calend 01'!C81),('V06 Calend 01'!F81+'V06 Calend 01'!G81),0)+IF(AND(('V06 Calend 01'!E81&gt;0),(109&gt;'V06 Calend 01'!C81),(109&lt;'V06 Calend 01'!D81),(MOD((109-'V06 Calend 01'!C81),6)=0),(((109-'V06 Calend 01'!C81)/6)&lt;='V06 Calend 01'!E81)),IF((109=('V06 Calend 01'!C81+(6*'V06 Calend 01'!E81))),('V06 Calend 01'!H81-('V06 Calend 01'!I81*('V06 Calend 01'!E81-1))),'V06 Calend 01'!I81),0))+IF((109='V06 Calend 01'!D81),'V06 Calend 01'!J81,0))</f>
        <v>0</v>
      </c>
      <c r="DR81" s="2">
        <f>((IF((110='V06 Calend 01'!C81),('V06 Calend 01'!F81+'V06 Calend 01'!G81),0)+IF(AND(('V06 Calend 01'!E81&gt;0),(110&gt;'V06 Calend 01'!C81),(110&lt;'V06 Calend 01'!D81),(MOD((110-'V06 Calend 01'!C81),6)=0),(((110-'V06 Calend 01'!C81)/6)&lt;='V06 Calend 01'!E81)),IF((110=('V06 Calend 01'!C81+(6*'V06 Calend 01'!E81))),('V06 Calend 01'!H81-('V06 Calend 01'!I81*('V06 Calend 01'!E81-1))),'V06 Calend 01'!I81),0))+IF((110='V06 Calend 01'!D81),'V06 Calend 01'!J81,0))</f>
        <v>0</v>
      </c>
      <c r="DS81" s="2">
        <f>((IF((111='V06 Calend 01'!C81),('V06 Calend 01'!F81+'V06 Calend 01'!G81),0)+IF(AND(('V06 Calend 01'!E81&gt;0),(111&gt;'V06 Calend 01'!C81),(111&lt;'V06 Calend 01'!D81),(MOD((111-'V06 Calend 01'!C81),6)=0),(((111-'V06 Calend 01'!C81)/6)&lt;='V06 Calend 01'!E81)),IF((111=('V06 Calend 01'!C81+(6*'V06 Calend 01'!E81))),('V06 Calend 01'!H81-('V06 Calend 01'!I81*('V06 Calend 01'!E81-1))),'V06 Calend 01'!I81),0))+IF((111='V06 Calend 01'!D81),'V06 Calend 01'!J81,0))</f>
        <v>0</v>
      </c>
      <c r="DT81" s="2">
        <f>((IF((112='V06 Calend 01'!C81),('V06 Calend 01'!F81+'V06 Calend 01'!G81),0)+IF(AND(('V06 Calend 01'!E81&gt;0),(112&gt;'V06 Calend 01'!C81),(112&lt;'V06 Calend 01'!D81),(MOD((112-'V06 Calend 01'!C81),6)=0),(((112-'V06 Calend 01'!C81)/6)&lt;='V06 Calend 01'!E81)),IF((112=('V06 Calend 01'!C81+(6*'V06 Calend 01'!E81))),('V06 Calend 01'!H81-('V06 Calend 01'!I81*('V06 Calend 01'!E81-1))),'V06 Calend 01'!I81),0))+IF((112='V06 Calend 01'!D81),'V06 Calend 01'!J81,0))</f>
        <v>0</v>
      </c>
      <c r="DU81" s="2">
        <f>((IF((113='V06 Calend 01'!C81),('V06 Calend 01'!F81+'V06 Calend 01'!G81),0)+IF(AND(('V06 Calend 01'!E81&gt;0),(113&gt;'V06 Calend 01'!C81),(113&lt;'V06 Calend 01'!D81),(MOD((113-'V06 Calend 01'!C81),6)=0),(((113-'V06 Calend 01'!C81)/6)&lt;='V06 Calend 01'!E81)),IF((113=('V06 Calend 01'!C81+(6*'V06 Calend 01'!E81))),('V06 Calend 01'!H81-('V06 Calend 01'!I81*('V06 Calend 01'!E81-1))),'V06 Calend 01'!I81),0))+IF((113='V06 Calend 01'!D81),'V06 Calend 01'!J81,0))</f>
        <v>0</v>
      </c>
      <c r="DV81" s="2">
        <f>((IF((114='V06 Calend 01'!C81),('V06 Calend 01'!F81+'V06 Calend 01'!G81),0)+IF(AND(('V06 Calend 01'!E81&gt;0),(114&gt;'V06 Calend 01'!C81),(114&lt;'V06 Calend 01'!D81),(MOD((114-'V06 Calend 01'!C81),6)=0),(((114-'V06 Calend 01'!C81)/6)&lt;='V06 Calend 01'!E81)),IF((114=('V06 Calend 01'!C81+(6*'V06 Calend 01'!E81))),('V06 Calend 01'!H81-('V06 Calend 01'!I81*('V06 Calend 01'!E81-1))),'V06 Calend 01'!I81),0))+IF((114='V06 Calend 01'!D81),'V06 Calend 01'!J81,0))</f>
        <v>0</v>
      </c>
      <c r="DW81" s="2">
        <f>((IF((115='V06 Calend 01'!C81),('V06 Calend 01'!F81+'V06 Calend 01'!G81),0)+IF(AND(('V06 Calend 01'!E81&gt;0),(115&gt;'V06 Calend 01'!C81),(115&lt;'V06 Calend 01'!D81),(MOD((115-'V06 Calend 01'!C81),6)=0),(((115-'V06 Calend 01'!C81)/6)&lt;='V06 Calend 01'!E81)),IF((115=('V06 Calend 01'!C81+(6*'V06 Calend 01'!E81))),('V06 Calend 01'!H81-('V06 Calend 01'!I81*('V06 Calend 01'!E81-1))),'V06 Calend 01'!I81),0))+IF((115='V06 Calend 01'!D81),'V06 Calend 01'!J81,0))</f>
        <v>0</v>
      </c>
      <c r="DX81" s="2">
        <f>((IF((116='V06 Calend 01'!C81),('V06 Calend 01'!F81+'V06 Calend 01'!G81),0)+IF(AND(('V06 Calend 01'!E81&gt;0),(116&gt;'V06 Calend 01'!C81),(116&lt;'V06 Calend 01'!D81),(MOD((116-'V06 Calend 01'!C81),6)=0),(((116-'V06 Calend 01'!C81)/6)&lt;='V06 Calend 01'!E81)),IF((116=('V06 Calend 01'!C81+(6*'V06 Calend 01'!E81))),('V06 Calend 01'!H81-('V06 Calend 01'!I81*('V06 Calend 01'!E81-1))),'V06 Calend 01'!I81),0))+IF((116='V06 Calend 01'!D81),'V06 Calend 01'!J81,0))</f>
        <v>0</v>
      </c>
      <c r="DY81" s="2">
        <f>((IF((117='V06 Calend 01'!C81),('V06 Calend 01'!F81+'V06 Calend 01'!G81),0)+IF(AND(('V06 Calend 01'!E81&gt;0),(117&gt;'V06 Calend 01'!C81),(117&lt;'V06 Calend 01'!D81),(MOD((117-'V06 Calend 01'!C81),6)=0),(((117-'V06 Calend 01'!C81)/6)&lt;='V06 Calend 01'!E81)),IF((117=('V06 Calend 01'!C81+(6*'V06 Calend 01'!E81))),('V06 Calend 01'!H81-('V06 Calend 01'!I81*('V06 Calend 01'!E81-1))),'V06 Calend 01'!I81),0))+IF((117='V06 Calend 01'!D81),'V06 Calend 01'!J81,0))</f>
        <v>0</v>
      </c>
      <c r="DZ81" s="2">
        <f>((IF((118='V06 Calend 01'!C81),('V06 Calend 01'!F81+'V06 Calend 01'!G81),0)+IF(AND(('V06 Calend 01'!E81&gt;0),(118&gt;'V06 Calend 01'!C81),(118&lt;'V06 Calend 01'!D81),(MOD((118-'V06 Calend 01'!C81),6)=0),(((118-'V06 Calend 01'!C81)/6)&lt;='V06 Calend 01'!E81)),IF((118=('V06 Calend 01'!C81+(6*'V06 Calend 01'!E81))),('V06 Calend 01'!H81-('V06 Calend 01'!I81*('V06 Calend 01'!E81-1))),'V06 Calend 01'!I81),0))+IF((118='V06 Calend 01'!D81),'V06 Calend 01'!J81,0))</f>
        <v>0</v>
      </c>
      <c r="EA81" s="2">
        <f>((IF((119='V06 Calend 01'!C81),('V06 Calend 01'!F81+'V06 Calend 01'!G81),0)+IF(AND(('V06 Calend 01'!E81&gt;0),(119&gt;'V06 Calend 01'!C81),(119&lt;'V06 Calend 01'!D81),(MOD((119-'V06 Calend 01'!C81),6)=0),(((119-'V06 Calend 01'!C81)/6)&lt;='V06 Calend 01'!E81)),IF((119=('V06 Calend 01'!C81+(6*'V06 Calend 01'!E81))),('V06 Calend 01'!H81-('V06 Calend 01'!I81*('V06 Calend 01'!E81-1))),'V06 Calend 01'!I81),0))+IF((119='V06 Calend 01'!D81),'V06 Calend 01'!J81,0))</f>
        <v>0</v>
      </c>
      <c r="EB81" s="2">
        <f>((IF((120='V06 Calend 01'!C81),('V06 Calend 01'!F81+'V06 Calend 01'!G81),0)+IF(AND(('V06 Calend 01'!E81&gt;0),(120&gt;'V06 Calend 01'!C81),(120&lt;'V06 Calend 01'!D81),(MOD((120-'V06 Calend 01'!C81),6)=0),(((120-'V06 Calend 01'!C81)/6)&lt;='V06 Calend 01'!E81)),IF((120=('V06 Calend 01'!C81+(6*'V06 Calend 01'!E81))),('V06 Calend 01'!H81-('V06 Calend 01'!I81*('V06 Calend 01'!E81-1))),'V06 Calend 01'!I81),0))+IF((120='V06 Calend 01'!D81),'V06 Calend 01'!J81,0))</f>
        <v>0</v>
      </c>
      <c r="EC81" s="2">
        <f>((IF((121='V06 Calend 01'!C81),('V06 Calend 01'!F81+'V06 Calend 01'!G81),0)+IF(AND(('V06 Calend 01'!E81&gt;0),(121&gt;'V06 Calend 01'!C81),(121&lt;'V06 Calend 01'!D81),(MOD((121-'V06 Calend 01'!C81),6)=0),(((121-'V06 Calend 01'!C81)/6)&lt;='V06 Calend 01'!E81)),IF((121=('V06 Calend 01'!C81+(6*'V06 Calend 01'!E81))),('V06 Calend 01'!H81-('V06 Calend 01'!I81*('V06 Calend 01'!E81-1))),'V06 Calend 01'!I81),0))+IF((121='V06 Calend 01'!D81),'V06 Calend 01'!J81,0))</f>
        <v>0</v>
      </c>
      <c r="ED81" s="2">
        <f>((IF((122='V06 Calend 01'!C81),('V06 Calend 01'!F81+'V06 Calend 01'!G81),0)+IF(AND(('V06 Calend 01'!E81&gt;0),(122&gt;'V06 Calend 01'!C81),(122&lt;'V06 Calend 01'!D81),(MOD((122-'V06 Calend 01'!C81),6)=0),(((122-'V06 Calend 01'!C81)/6)&lt;='V06 Calend 01'!E81)),IF((122=('V06 Calend 01'!C81+(6*'V06 Calend 01'!E81))),('V06 Calend 01'!H81-('V06 Calend 01'!I81*('V06 Calend 01'!E81-1))),'V06 Calend 01'!I81),0))+IF((122='V06 Calend 01'!D81),'V06 Calend 01'!J81,0))</f>
        <v>0</v>
      </c>
      <c r="EE81" s="2">
        <f>((IF((123='V06 Calend 01'!C81),('V06 Calend 01'!F81+'V06 Calend 01'!G81),0)+IF(AND(('V06 Calend 01'!E81&gt;0),(123&gt;'V06 Calend 01'!C81),(123&lt;'V06 Calend 01'!D81),(MOD((123-'V06 Calend 01'!C81),6)=0),(((123-'V06 Calend 01'!C81)/6)&lt;='V06 Calend 01'!E81)),IF((123=('V06 Calend 01'!C81+(6*'V06 Calend 01'!E81))),('V06 Calend 01'!H81-('V06 Calend 01'!I81*('V06 Calend 01'!E81-1))),'V06 Calend 01'!I81),0))+IF((123='V06 Calend 01'!D81),'V06 Calend 01'!J81,0))</f>
        <v>0</v>
      </c>
      <c r="EF81" s="2">
        <f>((IF((124='V06 Calend 01'!C81),('V06 Calend 01'!F81+'V06 Calend 01'!G81),0)+IF(AND(('V06 Calend 01'!E81&gt;0),(124&gt;'V06 Calend 01'!C81),(124&lt;'V06 Calend 01'!D81),(MOD((124-'V06 Calend 01'!C81),6)=0),(((124-'V06 Calend 01'!C81)/6)&lt;='V06 Calend 01'!E81)),IF((124=('V06 Calend 01'!C81+(6*'V06 Calend 01'!E81))),('V06 Calend 01'!H81-('V06 Calend 01'!I81*('V06 Calend 01'!E81-1))),'V06 Calend 01'!I81),0))+IF((124='V06 Calend 01'!D81),'V06 Calend 01'!J81,0))</f>
        <v>0</v>
      </c>
      <c r="EG81" s="2">
        <f>((IF((125='V06 Calend 01'!C81),('V06 Calend 01'!F81+'V06 Calend 01'!G81),0)+IF(AND(('V06 Calend 01'!E81&gt;0),(125&gt;'V06 Calend 01'!C81),(125&lt;'V06 Calend 01'!D81),(MOD((125-'V06 Calend 01'!C81),6)=0),(((125-'V06 Calend 01'!C81)/6)&lt;='V06 Calend 01'!E81)),IF((125=('V06 Calend 01'!C81+(6*'V06 Calend 01'!E81))),('V06 Calend 01'!H81-('V06 Calend 01'!I81*('V06 Calend 01'!E81-1))),'V06 Calend 01'!I81),0))+IF((125='V06 Calend 01'!D81),'V06 Calend 01'!J81,0))</f>
        <v>0</v>
      </c>
      <c r="EH81" s="2">
        <f>((IF((126='V06 Calend 01'!C81),('V06 Calend 01'!F81+'V06 Calend 01'!G81),0)+IF(AND(('V06 Calend 01'!E81&gt;0),(126&gt;'V06 Calend 01'!C81),(126&lt;'V06 Calend 01'!D81),(MOD((126-'V06 Calend 01'!C81),6)=0),(((126-'V06 Calend 01'!C81)/6)&lt;='V06 Calend 01'!E81)),IF((126=('V06 Calend 01'!C81+(6*'V06 Calend 01'!E81))),('V06 Calend 01'!H81-('V06 Calend 01'!I81*('V06 Calend 01'!E81-1))),'V06 Calend 01'!I81),0))+IF((126='V06 Calend 01'!D81),'V06 Calend 01'!J81,0))</f>
        <v>0</v>
      </c>
      <c r="EI81" s="2">
        <f>((IF((127='V06 Calend 01'!C81),('V06 Calend 01'!F81+'V06 Calend 01'!G81),0)+IF(AND(('V06 Calend 01'!E81&gt;0),(127&gt;'V06 Calend 01'!C81),(127&lt;'V06 Calend 01'!D81),(MOD((127-'V06 Calend 01'!C81),6)=0),(((127-'V06 Calend 01'!C81)/6)&lt;='V06 Calend 01'!E81)),IF((127=('V06 Calend 01'!C81+(6*'V06 Calend 01'!E81))),('V06 Calend 01'!H81-('V06 Calend 01'!I81*('V06 Calend 01'!E81-1))),'V06 Calend 01'!I81),0))+IF((127='V06 Calend 01'!D81),'V06 Calend 01'!J81,0))</f>
        <v>0</v>
      </c>
      <c r="EJ81" s="2">
        <f>((IF((128='V06 Calend 01'!C81),('V06 Calend 01'!F81+'V06 Calend 01'!G81),0)+IF(AND(('V06 Calend 01'!E81&gt;0),(128&gt;'V06 Calend 01'!C81),(128&lt;'V06 Calend 01'!D81),(MOD((128-'V06 Calend 01'!C81),6)=0),(((128-'V06 Calend 01'!C81)/6)&lt;='V06 Calend 01'!E81)),IF((128=('V06 Calend 01'!C81+(6*'V06 Calend 01'!E81))),('V06 Calend 01'!H81-('V06 Calend 01'!I81*('V06 Calend 01'!E81-1))),'V06 Calend 01'!I81),0))+IF((128='V06 Calend 01'!D81),'V06 Calend 01'!J81,0))</f>
        <v>0</v>
      </c>
      <c r="EK81" s="2">
        <f>((IF((129='V06 Calend 01'!C81),('V06 Calend 01'!F81+'V06 Calend 01'!G81),0)+IF(AND(('V06 Calend 01'!E81&gt;0),(129&gt;'V06 Calend 01'!C81),(129&lt;'V06 Calend 01'!D81),(MOD((129-'V06 Calend 01'!C81),6)=0),(((129-'V06 Calend 01'!C81)/6)&lt;='V06 Calend 01'!E81)),IF((129=('V06 Calend 01'!C81+(6*'V06 Calend 01'!E81))),('V06 Calend 01'!H81-('V06 Calend 01'!I81*('V06 Calend 01'!E81-1))),'V06 Calend 01'!I81),0))+IF((129='V06 Calend 01'!D81),'V06 Calend 01'!J81,0))</f>
        <v>0</v>
      </c>
      <c r="EL81" s="2">
        <f>((IF((130='V06 Calend 01'!C81),('V06 Calend 01'!F81+'V06 Calend 01'!G81),0)+IF(AND(('V06 Calend 01'!E81&gt;0),(130&gt;'V06 Calend 01'!C81),(130&lt;'V06 Calend 01'!D81),(MOD((130-'V06 Calend 01'!C81),6)=0),(((130-'V06 Calend 01'!C81)/6)&lt;='V06 Calend 01'!E81)),IF((130=('V06 Calend 01'!C81+(6*'V06 Calend 01'!E81))),('V06 Calend 01'!H81-('V06 Calend 01'!I81*('V06 Calend 01'!E81-1))),'V06 Calend 01'!I81),0))+IF((130='V06 Calend 01'!D81),'V06 Calend 01'!J81,0))</f>
        <v>0</v>
      </c>
      <c r="EM81" s="2">
        <f>((IF((131='V06 Calend 01'!C81),('V06 Calend 01'!F81+'V06 Calend 01'!G81),0)+IF(AND(('V06 Calend 01'!E81&gt;0),(131&gt;'V06 Calend 01'!C81),(131&lt;'V06 Calend 01'!D81),(MOD((131-'V06 Calend 01'!C81),6)=0),(((131-'V06 Calend 01'!C81)/6)&lt;='V06 Calend 01'!E81)),IF((131=('V06 Calend 01'!C81+(6*'V06 Calend 01'!E81))),('V06 Calend 01'!H81-('V06 Calend 01'!I81*('V06 Calend 01'!E81-1))),'V06 Calend 01'!I81),0))+IF((131='V06 Calend 01'!D81),'V06 Calend 01'!J81,0))</f>
        <v>0</v>
      </c>
      <c r="EN81" s="2">
        <f>((IF((132='V06 Calend 01'!C81),('V06 Calend 01'!F81+'V06 Calend 01'!G81),0)+IF(AND(('V06 Calend 01'!E81&gt;0),(132&gt;'V06 Calend 01'!C81),(132&lt;'V06 Calend 01'!D81),(MOD((132-'V06 Calend 01'!C81),6)=0),(((132-'V06 Calend 01'!C81)/6)&lt;='V06 Calend 01'!E81)),IF((132=('V06 Calend 01'!C81+(6*'V06 Calend 01'!E81))),('V06 Calend 01'!H81-('V06 Calend 01'!I81*('V06 Calend 01'!E81-1))),'V06 Calend 01'!I81),0))+IF((132='V06 Calend 01'!D81),'V06 Calend 01'!J81,0))</f>
        <v>0</v>
      </c>
      <c r="EO81" s="2">
        <f>((IF((133='V06 Calend 01'!C81),('V06 Calend 01'!F81+'V06 Calend 01'!G81),0)+IF(AND(('V06 Calend 01'!E81&gt;0),(133&gt;'V06 Calend 01'!C81),(133&lt;'V06 Calend 01'!D81),(MOD((133-'V06 Calend 01'!C81),6)=0),(((133-'V06 Calend 01'!C81)/6)&lt;='V06 Calend 01'!E81)),IF((133=('V06 Calend 01'!C81+(6*'V06 Calend 01'!E81))),('V06 Calend 01'!H81-('V06 Calend 01'!I81*('V06 Calend 01'!E81-1))),'V06 Calend 01'!I81),0))+IF((133='V06 Calend 01'!D81),'V06 Calend 01'!J81,0))</f>
        <v>0</v>
      </c>
      <c r="EP81" s="2">
        <f>((IF((134='V06 Calend 01'!C81),('V06 Calend 01'!F81+'V06 Calend 01'!G81),0)+IF(AND(('V06 Calend 01'!E81&gt;0),(134&gt;'V06 Calend 01'!C81),(134&lt;'V06 Calend 01'!D81),(MOD((134-'V06 Calend 01'!C81),6)=0),(((134-'V06 Calend 01'!C81)/6)&lt;='V06 Calend 01'!E81)),IF((134=('V06 Calend 01'!C81+(6*'V06 Calend 01'!E81))),('V06 Calend 01'!H81-('V06 Calend 01'!I81*('V06 Calend 01'!E81-1))),'V06 Calend 01'!I81),0))+IF((134='V06 Calend 01'!D81),'V06 Calend 01'!J81,0))</f>
        <v>0</v>
      </c>
      <c r="EQ81" s="2">
        <f>((IF((135='V06 Calend 01'!C81),('V06 Calend 01'!F81+'V06 Calend 01'!G81),0)+IF(AND(('V06 Calend 01'!E81&gt;0),(135&gt;'V06 Calend 01'!C81),(135&lt;'V06 Calend 01'!D81),(MOD((135-'V06 Calend 01'!C81),6)=0),(((135-'V06 Calend 01'!C81)/6)&lt;='V06 Calend 01'!E81)),IF((135=('V06 Calend 01'!C81+(6*'V06 Calend 01'!E81))),('V06 Calend 01'!H81-('V06 Calend 01'!I81*('V06 Calend 01'!E81-1))),'V06 Calend 01'!I81),0))+IF((135='V06 Calend 01'!D81),'V06 Calend 01'!J81,0))</f>
        <v>0</v>
      </c>
      <c r="ER81" s="2">
        <f>((IF((136='V06 Calend 01'!C81),('V06 Calend 01'!F81+'V06 Calend 01'!G81),0)+IF(AND(('V06 Calend 01'!E81&gt;0),(136&gt;'V06 Calend 01'!C81),(136&lt;'V06 Calend 01'!D81),(MOD((136-'V06 Calend 01'!C81),6)=0),(((136-'V06 Calend 01'!C81)/6)&lt;='V06 Calend 01'!E81)),IF((136=('V06 Calend 01'!C81+(6*'V06 Calend 01'!E81))),('V06 Calend 01'!H81-('V06 Calend 01'!I81*('V06 Calend 01'!E81-1))),'V06 Calend 01'!I81),0))+IF((136='V06 Calend 01'!D81),'V06 Calend 01'!J81,0))</f>
        <v>0</v>
      </c>
      <c r="ES81" s="2">
        <f>((IF((137='V06 Calend 01'!C81),('V06 Calend 01'!F81+'V06 Calend 01'!G81),0)+IF(AND(('V06 Calend 01'!E81&gt;0),(137&gt;'V06 Calend 01'!C81),(137&lt;'V06 Calend 01'!D81),(MOD((137-'V06 Calend 01'!C81),6)=0),(((137-'V06 Calend 01'!C81)/6)&lt;='V06 Calend 01'!E81)),IF((137=('V06 Calend 01'!C81+(6*'V06 Calend 01'!E81))),('V06 Calend 01'!H81-('V06 Calend 01'!I81*('V06 Calend 01'!E81-1))),'V06 Calend 01'!I81),0))+IF((137='V06 Calend 01'!D81),'V06 Calend 01'!J81,0))</f>
        <v>0</v>
      </c>
      <c r="ET81" s="2">
        <f>((IF((138='V06 Calend 01'!C81),('V06 Calend 01'!F81+'V06 Calend 01'!G81),0)+IF(AND(('V06 Calend 01'!E81&gt;0),(138&gt;'V06 Calend 01'!C81),(138&lt;'V06 Calend 01'!D81),(MOD((138-'V06 Calend 01'!C81),6)=0),(((138-'V06 Calend 01'!C81)/6)&lt;='V06 Calend 01'!E81)),IF((138=('V06 Calend 01'!C81+(6*'V06 Calend 01'!E81))),('V06 Calend 01'!H81-('V06 Calend 01'!I81*('V06 Calend 01'!E81-1))),'V06 Calend 01'!I81),0))+IF((138='V06 Calend 01'!D81),'V06 Calend 01'!J81,0))</f>
        <v>0</v>
      </c>
      <c r="EU81" s="2">
        <f>((IF((139='V06 Calend 01'!C81),('V06 Calend 01'!F81+'V06 Calend 01'!G81),0)+IF(AND(('V06 Calend 01'!E81&gt;0),(139&gt;'V06 Calend 01'!C81),(139&lt;'V06 Calend 01'!D81),(MOD((139-'V06 Calend 01'!C81),6)=0),(((139-'V06 Calend 01'!C81)/6)&lt;='V06 Calend 01'!E81)),IF((139=('V06 Calend 01'!C81+(6*'V06 Calend 01'!E81))),('V06 Calend 01'!H81-('V06 Calend 01'!I81*('V06 Calend 01'!E81-1))),'V06 Calend 01'!I81),0))+IF((139='V06 Calend 01'!D81),'V06 Calend 01'!J81,0))</f>
        <v>0</v>
      </c>
      <c r="EV81" s="2">
        <f>((IF((140='V06 Calend 01'!C81),('V06 Calend 01'!F81+'V06 Calend 01'!G81),0)+IF(AND(('V06 Calend 01'!E81&gt;0),(140&gt;'V06 Calend 01'!C81),(140&lt;'V06 Calend 01'!D81),(MOD((140-'V06 Calend 01'!C81),6)=0),(((140-'V06 Calend 01'!C81)/6)&lt;='V06 Calend 01'!E81)),IF((140=('V06 Calend 01'!C81+(6*'V06 Calend 01'!E81))),('V06 Calend 01'!H81-('V06 Calend 01'!I81*('V06 Calend 01'!E81-1))),'V06 Calend 01'!I81),0))+IF((140='V06 Calend 01'!D81),'V06 Calend 01'!J81,0))</f>
        <v>0</v>
      </c>
      <c r="EW81" s="2">
        <f>((IF((141='V06 Calend 01'!C81),('V06 Calend 01'!F81+'V06 Calend 01'!G81),0)+IF(AND(('V06 Calend 01'!E81&gt;0),(141&gt;'V06 Calend 01'!C81),(141&lt;'V06 Calend 01'!D81),(MOD((141-'V06 Calend 01'!C81),6)=0),(((141-'V06 Calend 01'!C81)/6)&lt;='V06 Calend 01'!E81)),IF((141=('V06 Calend 01'!C81+(6*'V06 Calend 01'!E81))),('V06 Calend 01'!H81-('V06 Calend 01'!I81*('V06 Calend 01'!E81-1))),'V06 Calend 01'!I81),0))+IF((141='V06 Calend 01'!D81),'V06 Calend 01'!J81,0))</f>
        <v>0</v>
      </c>
      <c r="EX81" s="2">
        <f>((IF((142='V06 Calend 01'!C81),('V06 Calend 01'!F81+'V06 Calend 01'!G81),0)+IF(AND(('V06 Calend 01'!E81&gt;0),(142&gt;'V06 Calend 01'!C81),(142&lt;'V06 Calend 01'!D81),(MOD((142-'V06 Calend 01'!C81),6)=0),(((142-'V06 Calend 01'!C81)/6)&lt;='V06 Calend 01'!E81)),IF((142=('V06 Calend 01'!C81+(6*'V06 Calend 01'!E81))),('V06 Calend 01'!H81-('V06 Calend 01'!I81*('V06 Calend 01'!E81-1))),'V06 Calend 01'!I81),0))+IF((142='V06 Calend 01'!D81),'V06 Calend 01'!J81,0))</f>
        <v>0</v>
      </c>
      <c r="EY81" s="2">
        <f>((IF((143='V06 Calend 01'!C81),('V06 Calend 01'!F81+'V06 Calend 01'!G81),0)+IF(AND(('V06 Calend 01'!E81&gt;0),(143&gt;'V06 Calend 01'!C81),(143&lt;'V06 Calend 01'!D81),(MOD((143-'V06 Calend 01'!C81),6)=0),(((143-'V06 Calend 01'!C81)/6)&lt;='V06 Calend 01'!E81)),IF((143=('V06 Calend 01'!C81+(6*'V06 Calend 01'!E81))),('V06 Calend 01'!H81-('V06 Calend 01'!I81*('V06 Calend 01'!E81-1))),'V06 Calend 01'!I81),0))+IF((143='V06 Calend 01'!D81),'V06 Calend 01'!J81,0))</f>
        <v>0</v>
      </c>
      <c r="EZ81" s="2">
        <f>((IF((144='V06 Calend 01'!C81),('V06 Calend 01'!F81+'V06 Calend 01'!G81),0)+IF(AND(('V06 Calend 01'!E81&gt;0),(144&gt;'V06 Calend 01'!C81),(144&lt;'V06 Calend 01'!D81),(MOD((144-'V06 Calend 01'!C81),6)=0),(((144-'V06 Calend 01'!C81)/6)&lt;='V06 Calend 01'!E81)),IF((144=('V06 Calend 01'!C81+(6*'V06 Calend 01'!E81))),('V06 Calend 01'!H81-('V06 Calend 01'!I81*('V06 Calend 01'!E81-1))),'V06 Calend 01'!I81),0))+IF((144='V06 Calend 01'!D81),'V06 Calend 01'!J81,0))</f>
        <v>0</v>
      </c>
      <c r="FA81" s="2">
        <f>((IF((145='V06 Calend 01'!C81),('V06 Calend 01'!F81+'V06 Calend 01'!G81),0)+IF(AND(('V06 Calend 01'!E81&gt;0),(145&gt;'V06 Calend 01'!C81),(145&lt;'V06 Calend 01'!D81),(MOD((145-'V06 Calend 01'!C81),6)=0),(((145-'V06 Calend 01'!C81)/6)&lt;='V06 Calend 01'!E81)),IF((145=('V06 Calend 01'!C81+(6*'V06 Calend 01'!E81))),('V06 Calend 01'!H81-('V06 Calend 01'!I81*('V06 Calend 01'!E81-1))),'V06 Calend 01'!I81),0))+IF((145='V06 Calend 01'!D81),'V06 Calend 01'!J81,0))</f>
        <v>0</v>
      </c>
      <c r="FB81" s="2">
        <f>((IF((146='V06 Calend 01'!C81),('V06 Calend 01'!F81+'V06 Calend 01'!G81),0)+IF(AND(('V06 Calend 01'!E81&gt;0),(146&gt;'V06 Calend 01'!C81),(146&lt;'V06 Calend 01'!D81),(MOD((146-'V06 Calend 01'!C81),6)=0),(((146-'V06 Calend 01'!C81)/6)&lt;='V06 Calend 01'!E81)),IF((146=('V06 Calend 01'!C81+(6*'V06 Calend 01'!E81))),('V06 Calend 01'!H81-('V06 Calend 01'!I81*('V06 Calend 01'!E81-1))),'V06 Calend 01'!I81),0))+IF((146='V06 Calend 01'!D81),'V06 Calend 01'!J81,0))</f>
        <v>0</v>
      </c>
      <c r="FC81" s="2">
        <f>((IF((147='V06 Calend 01'!C81),('V06 Calend 01'!F81+'V06 Calend 01'!G81),0)+IF(AND(('V06 Calend 01'!E81&gt;0),(147&gt;'V06 Calend 01'!C81),(147&lt;'V06 Calend 01'!D81),(MOD((147-'V06 Calend 01'!C81),6)=0),(((147-'V06 Calend 01'!C81)/6)&lt;='V06 Calend 01'!E81)),IF((147=('V06 Calend 01'!C81+(6*'V06 Calend 01'!E81))),('V06 Calend 01'!H81-('V06 Calend 01'!I81*('V06 Calend 01'!E81-1))),'V06 Calend 01'!I81),0))+IF((147='V06 Calend 01'!D81),'V06 Calend 01'!J81,0))</f>
        <v>0</v>
      </c>
      <c r="FD81" s="2">
        <f>((IF((148='V06 Calend 01'!C81),('V06 Calend 01'!F81+'V06 Calend 01'!G81),0)+IF(AND(('V06 Calend 01'!E81&gt;0),(148&gt;'V06 Calend 01'!C81),(148&lt;'V06 Calend 01'!D81),(MOD((148-'V06 Calend 01'!C81),6)=0),(((148-'V06 Calend 01'!C81)/6)&lt;='V06 Calend 01'!E81)),IF((148=('V06 Calend 01'!C81+(6*'V06 Calend 01'!E81))),('V06 Calend 01'!H81-('V06 Calend 01'!I81*('V06 Calend 01'!E81-1))),'V06 Calend 01'!I81),0))+IF((148='V06 Calend 01'!D81),'V06 Calend 01'!J81,0))</f>
        <v>0</v>
      </c>
      <c r="FE81" s="2">
        <f>((IF((149='V06 Calend 01'!C81),('V06 Calend 01'!F81+'V06 Calend 01'!G81),0)+IF(AND(('V06 Calend 01'!E81&gt;0),(149&gt;'V06 Calend 01'!C81),(149&lt;'V06 Calend 01'!D81),(MOD((149-'V06 Calend 01'!C81),6)=0),(((149-'V06 Calend 01'!C81)/6)&lt;='V06 Calend 01'!E81)),IF((149=('V06 Calend 01'!C81+(6*'V06 Calend 01'!E81))),('V06 Calend 01'!H81-('V06 Calend 01'!I81*('V06 Calend 01'!E81-1))),'V06 Calend 01'!I81),0))+IF((149='V06 Calend 01'!D81),'V06 Calend 01'!J81,0))</f>
        <v>0</v>
      </c>
      <c r="FF81" s="2">
        <f>((IF((150='V06 Calend 01'!C81),('V06 Calend 01'!F81+'V06 Calend 01'!G81),0)+IF(AND(('V06 Calend 01'!E81&gt;0),(150&gt;'V06 Calend 01'!C81),(150&lt;'V06 Calend 01'!D81),(MOD((150-'V06 Calend 01'!C81),6)=0),(((150-'V06 Calend 01'!C81)/6)&lt;='V06 Calend 01'!E81)),IF((150=('V06 Calend 01'!C81+(6*'V06 Calend 01'!E81))),('V06 Calend 01'!H81-('V06 Calend 01'!I81*('V06 Calend 01'!E81-1))),'V06 Calend 01'!I81),0))+IF((150='V06 Calend 01'!D81),'V06 Calend 01'!J81,0))</f>
        <v>0</v>
      </c>
      <c r="FG81" s="2">
        <f>((IF((151='V06 Calend 01'!C81),('V06 Calend 01'!F81+'V06 Calend 01'!G81),0)+IF(AND(('V06 Calend 01'!E81&gt;0),(151&gt;'V06 Calend 01'!C81),(151&lt;'V06 Calend 01'!D81),(MOD((151-'V06 Calend 01'!C81),6)=0),(((151-'V06 Calend 01'!C81)/6)&lt;='V06 Calend 01'!E81)),IF((151=('V06 Calend 01'!C81+(6*'V06 Calend 01'!E81))),('V06 Calend 01'!H81-('V06 Calend 01'!I81*('V06 Calend 01'!E81-1))),'V06 Calend 01'!I81),0))+IF((151='V06 Calend 01'!D81),'V06 Calend 01'!J81,0))</f>
        <v>0</v>
      </c>
      <c r="FH81" s="2">
        <f>((IF((152='V06 Calend 01'!C81),('V06 Calend 01'!F81+'V06 Calend 01'!G81),0)+IF(AND(('V06 Calend 01'!E81&gt;0),(152&gt;'V06 Calend 01'!C81),(152&lt;'V06 Calend 01'!D81),(MOD((152-'V06 Calend 01'!C81),6)=0),(((152-'V06 Calend 01'!C81)/6)&lt;='V06 Calend 01'!E81)),IF((152=('V06 Calend 01'!C81+(6*'V06 Calend 01'!E81))),('V06 Calend 01'!H81-('V06 Calend 01'!I81*('V06 Calend 01'!E81-1))),'V06 Calend 01'!I81),0))+IF((152='V06 Calend 01'!D81),'V06 Calend 01'!J81,0))</f>
        <v>0</v>
      </c>
      <c r="FI81" s="2">
        <f>((IF((153='V06 Calend 01'!C81),('V06 Calend 01'!F81+'V06 Calend 01'!G81),0)+IF(AND(('V06 Calend 01'!E81&gt;0),(153&gt;'V06 Calend 01'!C81),(153&lt;'V06 Calend 01'!D81),(MOD((153-'V06 Calend 01'!C81),6)=0),(((153-'V06 Calend 01'!C81)/6)&lt;='V06 Calend 01'!E81)),IF((153=('V06 Calend 01'!C81+(6*'V06 Calend 01'!E81))),('V06 Calend 01'!H81-('V06 Calend 01'!I81*('V06 Calend 01'!E81-1))),'V06 Calend 01'!I81),0))+IF((153='V06 Calend 01'!D81),'V06 Calend 01'!J81,0))</f>
        <v>0</v>
      </c>
      <c r="FJ81" s="2">
        <f>((IF((154='V06 Calend 01'!C81),('V06 Calend 01'!F81+'V06 Calend 01'!G81),0)+IF(AND(('V06 Calend 01'!E81&gt;0),(154&gt;'V06 Calend 01'!C81),(154&lt;'V06 Calend 01'!D81),(MOD((154-'V06 Calend 01'!C81),6)=0),(((154-'V06 Calend 01'!C81)/6)&lt;='V06 Calend 01'!E81)),IF((154=('V06 Calend 01'!C81+(6*'V06 Calend 01'!E81))),('V06 Calend 01'!H81-('V06 Calend 01'!I81*('V06 Calend 01'!E81-1))),'V06 Calend 01'!I81),0))+IF((154='V06 Calend 01'!D81),'V06 Calend 01'!J81,0))</f>
        <v>0</v>
      </c>
      <c r="FK81" s="2">
        <f>((IF((155='V06 Calend 01'!C81),('V06 Calend 01'!F81+'V06 Calend 01'!G81),0)+IF(AND(('V06 Calend 01'!E81&gt;0),(155&gt;'V06 Calend 01'!C81),(155&lt;'V06 Calend 01'!D81),(MOD((155-'V06 Calend 01'!C81),6)=0),(((155-'V06 Calend 01'!C81)/6)&lt;='V06 Calend 01'!E81)),IF((155=('V06 Calend 01'!C81+(6*'V06 Calend 01'!E81))),('V06 Calend 01'!H81-('V06 Calend 01'!I81*('V06 Calend 01'!E81-1))),'V06 Calend 01'!I81),0))+IF((155='V06 Calend 01'!D81),'V06 Calend 01'!J81,0))</f>
        <v>0</v>
      </c>
      <c r="FL81" s="2">
        <f>((IF((156='V06 Calend 01'!C81),('V06 Calend 01'!F81+'V06 Calend 01'!G81),0)+IF(AND(('V06 Calend 01'!E81&gt;0),(156&gt;'V06 Calend 01'!C81),(156&lt;'V06 Calend 01'!D81),(MOD((156-'V06 Calend 01'!C81),6)=0),(((156-'V06 Calend 01'!C81)/6)&lt;='V06 Calend 01'!E81)),IF((156=('V06 Calend 01'!C81+(6*'V06 Calend 01'!E81))),('V06 Calend 01'!H81-('V06 Calend 01'!I81*('V06 Calend 01'!E81-1))),'V06 Calend 01'!I81),0))+IF((156='V06 Calend 01'!D81),'V06 Calend 01'!J81,0))</f>
        <v>0</v>
      </c>
      <c r="FM81" s="2">
        <f>((IF((157='V06 Calend 01'!C81),('V06 Calend 01'!F81+'V06 Calend 01'!G81),0)+IF(AND(('V06 Calend 01'!E81&gt;0),(157&gt;'V06 Calend 01'!C81),(157&lt;'V06 Calend 01'!D81),(MOD((157-'V06 Calend 01'!C81),6)=0),(((157-'V06 Calend 01'!C81)/6)&lt;='V06 Calend 01'!E81)),IF((157=('V06 Calend 01'!C81+(6*'V06 Calend 01'!E81))),('V06 Calend 01'!H81-('V06 Calend 01'!I81*('V06 Calend 01'!E81-1))),'V06 Calend 01'!I81),0))+IF((157='V06 Calend 01'!D81),'V06 Calend 01'!J81,0))</f>
        <v>0</v>
      </c>
      <c r="FN81" s="2">
        <f>((IF((158='V06 Calend 01'!C81),('V06 Calend 01'!F81+'V06 Calend 01'!G81),0)+IF(AND(('V06 Calend 01'!E81&gt;0),(158&gt;'V06 Calend 01'!C81),(158&lt;'V06 Calend 01'!D81),(MOD((158-'V06 Calend 01'!C81),6)=0),(((158-'V06 Calend 01'!C81)/6)&lt;='V06 Calend 01'!E81)),IF((158=('V06 Calend 01'!C81+(6*'V06 Calend 01'!E81))),('V06 Calend 01'!H81-('V06 Calend 01'!I81*('V06 Calend 01'!E81-1))),'V06 Calend 01'!I81),0))+IF((158='V06 Calend 01'!D81),'V06 Calend 01'!J81,0))</f>
        <v>0</v>
      </c>
      <c r="FO81" s="2">
        <f>((IF((159='V06 Calend 01'!C81),('V06 Calend 01'!F81+'V06 Calend 01'!G81),0)+IF(AND(('V06 Calend 01'!E81&gt;0),(159&gt;'V06 Calend 01'!C81),(159&lt;'V06 Calend 01'!D81),(MOD((159-'V06 Calend 01'!C81),6)=0),(((159-'V06 Calend 01'!C81)/6)&lt;='V06 Calend 01'!E81)),IF((159=('V06 Calend 01'!C81+(6*'V06 Calend 01'!E81))),('V06 Calend 01'!H81-('V06 Calend 01'!I81*('V06 Calend 01'!E81-1))),'V06 Calend 01'!I81),0))+IF((159='V06 Calend 01'!D81),'V06 Calend 01'!J81,0))</f>
        <v>0</v>
      </c>
      <c r="FP81" s="2">
        <f>((IF((160='V06 Calend 01'!C81),('V06 Calend 01'!F81+'V06 Calend 01'!G81),0)+IF(AND(('V06 Calend 01'!E81&gt;0),(160&gt;'V06 Calend 01'!C81),(160&lt;'V06 Calend 01'!D81),(MOD((160-'V06 Calend 01'!C81),6)=0),(((160-'V06 Calend 01'!C81)/6)&lt;='V06 Calend 01'!E81)),IF((160=('V06 Calend 01'!C81+(6*'V06 Calend 01'!E81))),('V06 Calend 01'!H81-('V06 Calend 01'!I81*('V06 Calend 01'!E81-1))),'V06 Calend 01'!I81),0))+IF((160='V06 Calend 01'!D81),'V06 Calend 01'!J81,0))</f>
        <v>0</v>
      </c>
      <c r="FQ81" s="2">
        <f>((IF((161='V06 Calend 01'!C81),('V06 Calend 01'!F81+'V06 Calend 01'!G81),0)+IF(AND(('V06 Calend 01'!E81&gt;0),(161&gt;'V06 Calend 01'!C81),(161&lt;'V06 Calend 01'!D81),(MOD((161-'V06 Calend 01'!C81),6)=0),(((161-'V06 Calend 01'!C81)/6)&lt;='V06 Calend 01'!E81)),IF((161=('V06 Calend 01'!C81+(6*'V06 Calend 01'!E81))),('V06 Calend 01'!H81-('V06 Calend 01'!I81*('V06 Calend 01'!E81-1))),'V06 Calend 01'!I81),0))+IF((161='V06 Calend 01'!D81),'V06 Calend 01'!J81,0))</f>
        <v>0</v>
      </c>
      <c r="FR81" s="2">
        <f>((IF((162='V06 Calend 01'!C81),('V06 Calend 01'!F81+'V06 Calend 01'!G81),0)+IF(AND(('V06 Calend 01'!E81&gt;0),(162&gt;'V06 Calend 01'!C81),(162&lt;'V06 Calend 01'!D81),(MOD((162-'V06 Calend 01'!C81),6)=0),(((162-'V06 Calend 01'!C81)/6)&lt;='V06 Calend 01'!E81)),IF((162=('V06 Calend 01'!C81+(6*'V06 Calend 01'!E81))),('V06 Calend 01'!H81-('V06 Calend 01'!I81*('V06 Calend 01'!E81-1))),'V06 Calend 01'!I81),0))+IF((162='V06 Calend 01'!D81),'V06 Calend 01'!J81,0))</f>
        <v>0</v>
      </c>
      <c r="FS81" s="2">
        <f>((IF((163='V06 Calend 01'!C81),('V06 Calend 01'!F81+'V06 Calend 01'!G81),0)+IF(AND(('V06 Calend 01'!E81&gt;0),(163&gt;'V06 Calend 01'!C81),(163&lt;'V06 Calend 01'!D81),(MOD((163-'V06 Calend 01'!C81),6)=0),(((163-'V06 Calend 01'!C81)/6)&lt;='V06 Calend 01'!E81)),IF((163=('V06 Calend 01'!C81+(6*'V06 Calend 01'!E81))),('V06 Calend 01'!H81-('V06 Calend 01'!I81*('V06 Calend 01'!E81-1))),'V06 Calend 01'!I81),0))+IF((163='V06 Calend 01'!D81),'V06 Calend 01'!J81,0))</f>
        <v>0</v>
      </c>
      <c r="FT81" s="2">
        <f>((IF((164='V06 Calend 01'!C81),('V06 Calend 01'!F81+'V06 Calend 01'!G81),0)+IF(AND(('V06 Calend 01'!E81&gt;0),(164&gt;'V06 Calend 01'!C81),(164&lt;'V06 Calend 01'!D81),(MOD((164-'V06 Calend 01'!C81),6)=0),(((164-'V06 Calend 01'!C81)/6)&lt;='V06 Calend 01'!E81)),IF((164=('V06 Calend 01'!C81+(6*'V06 Calend 01'!E81))),('V06 Calend 01'!H81-('V06 Calend 01'!I81*('V06 Calend 01'!E81-1))),'V06 Calend 01'!I81),0))+IF((164='V06 Calend 01'!D81),'V06 Calend 01'!J81,0))</f>
        <v>0</v>
      </c>
      <c r="FU81" s="2">
        <f>((IF((165='V06 Calend 01'!C81),('V06 Calend 01'!F81+'V06 Calend 01'!G81),0)+IF(AND(('V06 Calend 01'!E81&gt;0),(165&gt;'V06 Calend 01'!C81),(165&lt;'V06 Calend 01'!D81),(MOD((165-'V06 Calend 01'!C81),6)=0),(((165-'V06 Calend 01'!C81)/6)&lt;='V06 Calend 01'!E81)),IF((165=('V06 Calend 01'!C81+(6*'V06 Calend 01'!E81))),('V06 Calend 01'!H81-('V06 Calend 01'!I81*('V06 Calend 01'!E81-1))),'V06 Calend 01'!I81),0))+IF((165='V06 Calend 01'!D81),'V06 Calend 01'!J81,0))</f>
        <v>0</v>
      </c>
      <c r="FV81" s="2">
        <f>((IF((166='V06 Calend 01'!C81),('V06 Calend 01'!F81+'V06 Calend 01'!G81),0)+IF(AND(('V06 Calend 01'!E81&gt;0),(166&gt;'V06 Calend 01'!C81),(166&lt;'V06 Calend 01'!D81),(MOD((166-'V06 Calend 01'!C81),6)=0),(((166-'V06 Calend 01'!C81)/6)&lt;='V06 Calend 01'!E81)),IF((166=('V06 Calend 01'!C81+(6*'V06 Calend 01'!E81))),('V06 Calend 01'!H81-('V06 Calend 01'!I81*('V06 Calend 01'!E81-1))),'V06 Calend 01'!I81),0))+IF((166='V06 Calend 01'!D81),'V06 Calend 01'!J81,0))</f>
        <v>0</v>
      </c>
      <c r="FW81" s="2">
        <f>((IF((167='V06 Calend 01'!C81),('V06 Calend 01'!F81+'V06 Calend 01'!G81),0)+IF(AND(('V06 Calend 01'!E81&gt;0),(167&gt;'V06 Calend 01'!C81),(167&lt;'V06 Calend 01'!D81),(MOD((167-'V06 Calend 01'!C81),6)=0),(((167-'V06 Calend 01'!C81)/6)&lt;='V06 Calend 01'!E81)),IF((167=('V06 Calend 01'!C81+(6*'V06 Calend 01'!E81))),('V06 Calend 01'!H81-('V06 Calend 01'!I81*('V06 Calend 01'!E81-1))),'V06 Calend 01'!I81),0))+IF((167='V06 Calend 01'!D81),'V06 Calend 01'!J81,0))</f>
        <v>0</v>
      </c>
      <c r="FX81" s="2">
        <f>((IF((168='V06 Calend 01'!C81),('V06 Calend 01'!F81+'V06 Calend 01'!G81),0)+IF(AND(('V06 Calend 01'!E81&gt;0),(168&gt;'V06 Calend 01'!C81),(168&lt;'V06 Calend 01'!D81),(MOD((168-'V06 Calend 01'!C81),6)=0),(((168-'V06 Calend 01'!C81)/6)&lt;='V06 Calend 01'!E81)),IF((168=('V06 Calend 01'!C81+(6*'V06 Calend 01'!E81))),('V06 Calend 01'!H81-('V06 Calend 01'!I81*('V06 Calend 01'!E81-1))),'V06 Calend 01'!I81),0))+IF((168='V06 Calend 01'!D81),'V06 Calend 01'!J81,0))</f>
        <v>0</v>
      </c>
      <c r="FY81" s="2">
        <f>((IF((169='V06 Calend 01'!C81),('V06 Calend 01'!F81+'V06 Calend 01'!G81),0)+IF(AND(('V06 Calend 01'!E81&gt;0),(169&gt;'V06 Calend 01'!C81),(169&lt;'V06 Calend 01'!D81),(MOD((169-'V06 Calend 01'!C81),6)=0),(((169-'V06 Calend 01'!C81)/6)&lt;='V06 Calend 01'!E81)),IF((169=('V06 Calend 01'!C81+(6*'V06 Calend 01'!E81))),('V06 Calend 01'!H81-('V06 Calend 01'!I81*('V06 Calend 01'!E81-1))),'V06 Calend 01'!I81),0))+IF((169='V06 Calend 01'!D81),'V06 Calend 01'!J81,0))</f>
        <v>0</v>
      </c>
      <c r="FZ81" s="2">
        <f>((IF((170='V06 Calend 01'!C81),('V06 Calend 01'!F81+'V06 Calend 01'!G81),0)+IF(AND(('V06 Calend 01'!E81&gt;0),(170&gt;'V06 Calend 01'!C81),(170&lt;'V06 Calend 01'!D81),(MOD((170-'V06 Calend 01'!C81),6)=0),(((170-'V06 Calend 01'!C81)/6)&lt;='V06 Calend 01'!E81)),IF((170=('V06 Calend 01'!C81+(6*'V06 Calend 01'!E81))),('V06 Calend 01'!H81-('V06 Calend 01'!I81*('V06 Calend 01'!E81-1))),'V06 Calend 01'!I81),0))+IF((170='V06 Calend 01'!D81),'V06 Calend 01'!J81,0))</f>
        <v>0</v>
      </c>
      <c r="GA81" s="2">
        <f>((IF((171='V06 Calend 01'!C81),('V06 Calend 01'!F81+'V06 Calend 01'!G81),0)+IF(AND(('V06 Calend 01'!E81&gt;0),(171&gt;'V06 Calend 01'!C81),(171&lt;'V06 Calend 01'!D81),(MOD((171-'V06 Calend 01'!C81),6)=0),(((171-'V06 Calend 01'!C81)/6)&lt;='V06 Calend 01'!E81)),IF((171=('V06 Calend 01'!C81+(6*'V06 Calend 01'!E81))),('V06 Calend 01'!H81-('V06 Calend 01'!I81*('V06 Calend 01'!E81-1))),'V06 Calend 01'!I81),0))+IF((171='V06 Calend 01'!D81),'V06 Calend 01'!J81,0))</f>
        <v>0</v>
      </c>
      <c r="GB81" s="2">
        <f>((IF((172='V06 Calend 01'!C81),('V06 Calend 01'!F81+'V06 Calend 01'!G81),0)+IF(AND(('V06 Calend 01'!E81&gt;0),(172&gt;'V06 Calend 01'!C81),(172&lt;'V06 Calend 01'!D81),(MOD((172-'V06 Calend 01'!C81),6)=0),(((172-'V06 Calend 01'!C81)/6)&lt;='V06 Calend 01'!E81)),IF((172=('V06 Calend 01'!C81+(6*'V06 Calend 01'!E81))),('V06 Calend 01'!H81-('V06 Calend 01'!I81*('V06 Calend 01'!E81-1))),'V06 Calend 01'!I81),0))+IF((172='V06 Calend 01'!D81),'V06 Calend 01'!J81,0))</f>
        <v>0</v>
      </c>
      <c r="GC81" s="2">
        <f>((IF((173='V06 Calend 01'!C81),('V06 Calend 01'!F81+'V06 Calend 01'!G81),0)+IF(AND(('V06 Calend 01'!E81&gt;0),(173&gt;'V06 Calend 01'!C81),(173&lt;'V06 Calend 01'!D81),(MOD((173-'V06 Calend 01'!C81),6)=0),(((173-'V06 Calend 01'!C81)/6)&lt;='V06 Calend 01'!E81)),IF((173=('V06 Calend 01'!C81+(6*'V06 Calend 01'!E81))),('V06 Calend 01'!H81-('V06 Calend 01'!I81*('V06 Calend 01'!E81-1))),'V06 Calend 01'!I81),0))+IF((173='V06 Calend 01'!D81),'V06 Calend 01'!J81,0))</f>
        <v>0</v>
      </c>
      <c r="GD81" s="2">
        <f>((IF((174='V06 Calend 01'!C81),('V06 Calend 01'!F81+'V06 Calend 01'!G81),0)+IF(AND(('V06 Calend 01'!E81&gt;0),(174&gt;'V06 Calend 01'!C81),(174&lt;'V06 Calend 01'!D81),(MOD((174-'V06 Calend 01'!C81),6)=0),(((174-'V06 Calend 01'!C81)/6)&lt;='V06 Calend 01'!E81)),IF((174=('V06 Calend 01'!C81+(6*'V06 Calend 01'!E81))),('V06 Calend 01'!H81-('V06 Calend 01'!I81*('V06 Calend 01'!E81-1))),'V06 Calend 01'!I81),0))+IF((174='V06 Calend 01'!D81),'V06 Calend 01'!J81,0))</f>
        <v>0</v>
      </c>
      <c r="GE81" s="2">
        <f>((IF((175='V06 Calend 01'!C81),('V06 Calend 01'!F81+'V06 Calend 01'!G81),0)+IF(AND(('V06 Calend 01'!E81&gt;0),(175&gt;'V06 Calend 01'!C81),(175&lt;'V06 Calend 01'!D81),(MOD((175-'V06 Calend 01'!C81),6)=0),(((175-'V06 Calend 01'!C81)/6)&lt;='V06 Calend 01'!E81)),IF((175=('V06 Calend 01'!C81+(6*'V06 Calend 01'!E81))),('V06 Calend 01'!H81-('V06 Calend 01'!I81*('V06 Calend 01'!E81-1))),'V06 Calend 01'!I81),0))+IF((175='V06 Calend 01'!D81),'V06 Calend 01'!J81,0))</f>
        <v>0</v>
      </c>
      <c r="GF81" s="2">
        <f>((IF((176='V06 Calend 01'!C81),('V06 Calend 01'!F81+'V06 Calend 01'!G81),0)+IF(AND(('V06 Calend 01'!E81&gt;0),(176&gt;'V06 Calend 01'!C81),(176&lt;'V06 Calend 01'!D81),(MOD((176-'V06 Calend 01'!C81),6)=0),(((176-'V06 Calend 01'!C81)/6)&lt;='V06 Calend 01'!E81)),IF((176=('V06 Calend 01'!C81+(6*'V06 Calend 01'!E81))),('V06 Calend 01'!H81-('V06 Calend 01'!I81*('V06 Calend 01'!E81-1))),'V06 Calend 01'!I81),0))+IF((176='V06 Calend 01'!D81),'V06 Calend 01'!J81,0))</f>
        <v>0</v>
      </c>
      <c r="GG81" s="2">
        <f>((IF((177='V06 Calend 01'!C81),('V06 Calend 01'!F81+'V06 Calend 01'!G81),0)+IF(AND(('V06 Calend 01'!E81&gt;0),(177&gt;'V06 Calend 01'!C81),(177&lt;'V06 Calend 01'!D81),(MOD((177-'V06 Calend 01'!C81),6)=0),(((177-'V06 Calend 01'!C81)/6)&lt;='V06 Calend 01'!E81)),IF((177=('V06 Calend 01'!C81+(6*'V06 Calend 01'!E81))),('V06 Calend 01'!H81-('V06 Calend 01'!I81*('V06 Calend 01'!E81-1))),'V06 Calend 01'!I81),0))+IF((177='V06 Calend 01'!D81),'V06 Calend 01'!J81,0))</f>
        <v>0</v>
      </c>
      <c r="GH81" s="2">
        <f>((IF((178='V06 Calend 01'!C81),('V06 Calend 01'!F81+'V06 Calend 01'!G81),0)+IF(AND(('V06 Calend 01'!E81&gt;0),(178&gt;'V06 Calend 01'!C81),(178&lt;'V06 Calend 01'!D81),(MOD((178-'V06 Calend 01'!C81),6)=0),(((178-'V06 Calend 01'!C81)/6)&lt;='V06 Calend 01'!E81)),IF((178=('V06 Calend 01'!C81+(6*'V06 Calend 01'!E81))),('V06 Calend 01'!H81-('V06 Calend 01'!I81*('V06 Calend 01'!E81-1))),'V06 Calend 01'!I81),0))+IF((178='V06 Calend 01'!D81),'V06 Calend 01'!J81,0))</f>
        <v>0</v>
      </c>
      <c r="GI81" s="2">
        <f>((IF((179='V06 Calend 01'!C81),('V06 Calend 01'!F81+'V06 Calend 01'!G81),0)+IF(AND(('V06 Calend 01'!E81&gt;0),(179&gt;'V06 Calend 01'!C81),(179&lt;'V06 Calend 01'!D81),(MOD((179-'V06 Calend 01'!C81),6)=0),(((179-'V06 Calend 01'!C81)/6)&lt;='V06 Calend 01'!E81)),IF((179=('V06 Calend 01'!C81+(6*'V06 Calend 01'!E81))),('V06 Calend 01'!H81-('V06 Calend 01'!I81*('V06 Calend 01'!E81-1))),'V06 Calend 01'!I81),0))+IF((179='V06 Calend 01'!D81),'V06 Calend 01'!J81,0))</f>
        <v>0</v>
      </c>
      <c r="GJ81" s="2">
        <f>((IF((180='V06 Calend 01'!C81),('V06 Calend 01'!F81+'V06 Calend 01'!G81),0)+IF(AND(('V06 Calend 01'!E81&gt;0),(180&gt;'V06 Calend 01'!C81),(180&lt;'V06 Calend 01'!D81),(MOD((180-'V06 Calend 01'!C81),6)=0),(((180-'V06 Calend 01'!C81)/6)&lt;='V06 Calend 01'!E81)),IF((180=('V06 Calend 01'!C81+(6*'V06 Calend 01'!E81))),('V06 Calend 01'!H81-('V06 Calend 01'!I81*('V06 Calend 01'!E81-1))),'V06 Calend 01'!I81),0))+IF((180='V06 Calend 01'!D81),'V06 Calend 01'!J81,0))</f>
        <v>0</v>
      </c>
    </row>
    <row r="82" spans="1:192">
      <c r="A82" s="3" t="str">
        <f>'V06 Unidades'!$A$82</f>
        <v>908</v>
      </c>
      <c r="B82" s="2">
        <f>'V06 Unidades'!$H$82</f>
        <v>431518.29</v>
      </c>
      <c r="C82" s="4">
        <f>('V06 Unidades'!$I$82+'V06 Controlos'!$B$37)</f>
        <v>4</v>
      </c>
      <c r="D82" s="4">
        <f>IF(('V06 Controlos'!$B$38&gt;0),MAX(('V06 Unidades'!$L$82+'V06 Controlos'!$B$37),(30+'V06 Controlos'!$B$38)),('V06 Unidades'!$L$82+'V06 Controlos'!$B$37))</f>
        <v>30</v>
      </c>
      <c r="E82" s="4">
        <f>MAX(0,INT(((('V06 Calend 01'!D82-'V06 Calend 01'!C82)-1)/6)))</f>
        <v>4</v>
      </c>
      <c r="F82" s="2">
        <f>ROUND(('V06 Calend 01'!B82*0.05),2)</f>
        <v>21575.91</v>
      </c>
      <c r="G82" s="2">
        <f>ROUND(('V06 Calend 01'!B82*0.2),2)</f>
        <v>86303.66</v>
      </c>
      <c r="H82" s="2">
        <f>ROUND(('V06 Calend 01'!B82*0.55),2)</f>
        <v>237335.06</v>
      </c>
      <c r="I82" s="2">
        <f>ROUND(('V06 Calend 01'!H82/MAX(1,'V06 Calend 01'!E82)),2)</f>
        <v>59333.77</v>
      </c>
      <c r="J82" s="2">
        <f>((('V06 Calend 01'!B82-'V06 Calend 01'!F82)-'V06 Calend 01'!G82)-'V06 Calend 01'!H82)</f>
        <v>86303.65999999997</v>
      </c>
      <c r="K82" s="2">
        <f>('V06 Calend 01'!B82*0.025)</f>
        <v>10787.95725</v>
      </c>
      <c r="L82" t="s">
        <v>378</v>
      </c>
      <c r="M82" s="2">
        <f>((IF((1='V06 Calend 01'!C82),('V06 Calend 01'!F82+'V06 Calend 01'!G82),0)+IF(AND(('V06 Calend 01'!E82&gt;0),(1&gt;'V06 Calend 01'!C82),(1&lt;'V06 Calend 01'!D82),(MOD((1-'V06 Calend 01'!C82),6)=0),(((1-'V06 Calend 01'!C82)/6)&lt;='V06 Calend 01'!E82)),IF((1=('V06 Calend 01'!C82+(6*'V06 Calend 01'!E82))),('V06 Calend 01'!H82-('V06 Calend 01'!I82*('V06 Calend 01'!E82-1))),'V06 Calend 01'!I82),0))+IF((1='V06 Calend 01'!D82),'V06 Calend 01'!J82,0))</f>
        <v>0</v>
      </c>
      <c r="N82" s="2">
        <f>((IF((2='V06 Calend 01'!C82),('V06 Calend 01'!F82+'V06 Calend 01'!G82),0)+IF(AND(('V06 Calend 01'!E82&gt;0),(2&gt;'V06 Calend 01'!C82),(2&lt;'V06 Calend 01'!D82),(MOD((2-'V06 Calend 01'!C82),6)=0),(((2-'V06 Calend 01'!C82)/6)&lt;='V06 Calend 01'!E82)),IF((2=('V06 Calend 01'!C82+(6*'V06 Calend 01'!E82))),('V06 Calend 01'!H82-('V06 Calend 01'!I82*('V06 Calend 01'!E82-1))),'V06 Calend 01'!I82),0))+IF((2='V06 Calend 01'!D82),'V06 Calend 01'!J82,0))</f>
        <v>0</v>
      </c>
      <c r="O82" s="2">
        <f>((IF((3='V06 Calend 01'!C82),('V06 Calend 01'!F82+'V06 Calend 01'!G82),0)+IF(AND(('V06 Calend 01'!E82&gt;0),(3&gt;'V06 Calend 01'!C82),(3&lt;'V06 Calend 01'!D82),(MOD((3-'V06 Calend 01'!C82),6)=0),(((3-'V06 Calend 01'!C82)/6)&lt;='V06 Calend 01'!E82)),IF((3=('V06 Calend 01'!C82+(6*'V06 Calend 01'!E82))),('V06 Calend 01'!H82-('V06 Calend 01'!I82*('V06 Calend 01'!E82-1))),'V06 Calend 01'!I82),0))+IF((3='V06 Calend 01'!D82),'V06 Calend 01'!J82,0))</f>
        <v>0</v>
      </c>
      <c r="P82" s="2">
        <f>((IF((4='V06 Calend 01'!C82),('V06 Calend 01'!F82+'V06 Calend 01'!G82),0)+IF(AND(('V06 Calend 01'!E82&gt;0),(4&gt;'V06 Calend 01'!C82),(4&lt;'V06 Calend 01'!D82),(MOD((4-'V06 Calend 01'!C82),6)=0),(((4-'V06 Calend 01'!C82)/6)&lt;='V06 Calend 01'!E82)),IF((4=('V06 Calend 01'!C82+(6*'V06 Calend 01'!E82))),('V06 Calend 01'!H82-('V06 Calend 01'!I82*('V06 Calend 01'!E82-1))),'V06 Calend 01'!I82),0))+IF((4='V06 Calend 01'!D82),'V06 Calend 01'!J82,0))</f>
        <v>107879.57</v>
      </c>
      <c r="Q82" s="2">
        <f>((IF((5='V06 Calend 01'!C82),('V06 Calend 01'!F82+'V06 Calend 01'!G82),0)+IF(AND(('V06 Calend 01'!E82&gt;0),(5&gt;'V06 Calend 01'!C82),(5&lt;'V06 Calend 01'!D82),(MOD((5-'V06 Calend 01'!C82),6)=0),(((5-'V06 Calend 01'!C82)/6)&lt;='V06 Calend 01'!E82)),IF((5=('V06 Calend 01'!C82+(6*'V06 Calend 01'!E82))),('V06 Calend 01'!H82-('V06 Calend 01'!I82*('V06 Calend 01'!E82-1))),'V06 Calend 01'!I82),0))+IF((5='V06 Calend 01'!D82),'V06 Calend 01'!J82,0))</f>
        <v>0</v>
      </c>
      <c r="R82" s="2">
        <f>((IF((6='V06 Calend 01'!C82),('V06 Calend 01'!F82+'V06 Calend 01'!G82),0)+IF(AND(('V06 Calend 01'!E82&gt;0),(6&gt;'V06 Calend 01'!C82),(6&lt;'V06 Calend 01'!D82),(MOD((6-'V06 Calend 01'!C82),6)=0),(((6-'V06 Calend 01'!C82)/6)&lt;='V06 Calend 01'!E82)),IF((6=('V06 Calend 01'!C82+(6*'V06 Calend 01'!E82))),('V06 Calend 01'!H82-('V06 Calend 01'!I82*('V06 Calend 01'!E82-1))),'V06 Calend 01'!I82),0))+IF((6='V06 Calend 01'!D82),'V06 Calend 01'!J82,0))</f>
        <v>0</v>
      </c>
      <c r="S82" s="2">
        <f>((IF((7='V06 Calend 01'!C82),('V06 Calend 01'!F82+'V06 Calend 01'!G82),0)+IF(AND(('V06 Calend 01'!E82&gt;0),(7&gt;'V06 Calend 01'!C82),(7&lt;'V06 Calend 01'!D82),(MOD((7-'V06 Calend 01'!C82),6)=0),(((7-'V06 Calend 01'!C82)/6)&lt;='V06 Calend 01'!E82)),IF((7=('V06 Calend 01'!C82+(6*'V06 Calend 01'!E82))),('V06 Calend 01'!H82-('V06 Calend 01'!I82*('V06 Calend 01'!E82-1))),'V06 Calend 01'!I82),0))+IF((7='V06 Calend 01'!D82),'V06 Calend 01'!J82,0))</f>
        <v>0</v>
      </c>
      <c r="T82" s="2">
        <f>((IF((8='V06 Calend 01'!C82),('V06 Calend 01'!F82+'V06 Calend 01'!G82),0)+IF(AND(('V06 Calend 01'!E82&gt;0),(8&gt;'V06 Calend 01'!C82),(8&lt;'V06 Calend 01'!D82),(MOD((8-'V06 Calend 01'!C82),6)=0),(((8-'V06 Calend 01'!C82)/6)&lt;='V06 Calend 01'!E82)),IF((8=('V06 Calend 01'!C82+(6*'V06 Calend 01'!E82))),('V06 Calend 01'!H82-('V06 Calend 01'!I82*('V06 Calend 01'!E82-1))),'V06 Calend 01'!I82),0))+IF((8='V06 Calend 01'!D82),'V06 Calend 01'!J82,0))</f>
        <v>0</v>
      </c>
      <c r="U82" s="2">
        <f>((IF((9='V06 Calend 01'!C82),('V06 Calend 01'!F82+'V06 Calend 01'!G82),0)+IF(AND(('V06 Calend 01'!E82&gt;0),(9&gt;'V06 Calend 01'!C82),(9&lt;'V06 Calend 01'!D82),(MOD((9-'V06 Calend 01'!C82),6)=0),(((9-'V06 Calend 01'!C82)/6)&lt;='V06 Calend 01'!E82)),IF((9=('V06 Calend 01'!C82+(6*'V06 Calend 01'!E82))),('V06 Calend 01'!H82-('V06 Calend 01'!I82*('V06 Calend 01'!E82-1))),'V06 Calend 01'!I82),0))+IF((9='V06 Calend 01'!D82),'V06 Calend 01'!J82,0))</f>
        <v>0</v>
      </c>
      <c r="V82" s="2">
        <f>((IF((10='V06 Calend 01'!C82),('V06 Calend 01'!F82+'V06 Calend 01'!G82),0)+IF(AND(('V06 Calend 01'!E82&gt;0),(10&gt;'V06 Calend 01'!C82),(10&lt;'V06 Calend 01'!D82),(MOD((10-'V06 Calend 01'!C82),6)=0),(((10-'V06 Calend 01'!C82)/6)&lt;='V06 Calend 01'!E82)),IF((10=('V06 Calend 01'!C82+(6*'V06 Calend 01'!E82))),('V06 Calend 01'!H82-('V06 Calend 01'!I82*('V06 Calend 01'!E82-1))),'V06 Calend 01'!I82),0))+IF((10='V06 Calend 01'!D82),'V06 Calend 01'!J82,0))</f>
        <v>59333.77</v>
      </c>
      <c r="W82" s="2">
        <f>((IF((11='V06 Calend 01'!C82),('V06 Calend 01'!F82+'V06 Calend 01'!G82),0)+IF(AND(('V06 Calend 01'!E82&gt;0),(11&gt;'V06 Calend 01'!C82),(11&lt;'V06 Calend 01'!D82),(MOD((11-'V06 Calend 01'!C82),6)=0),(((11-'V06 Calend 01'!C82)/6)&lt;='V06 Calend 01'!E82)),IF((11=('V06 Calend 01'!C82+(6*'V06 Calend 01'!E82))),('V06 Calend 01'!H82-('V06 Calend 01'!I82*('V06 Calend 01'!E82-1))),'V06 Calend 01'!I82),0))+IF((11='V06 Calend 01'!D82),'V06 Calend 01'!J82,0))</f>
        <v>0</v>
      </c>
      <c r="X82" s="2">
        <f>((IF((12='V06 Calend 01'!C82),('V06 Calend 01'!F82+'V06 Calend 01'!G82),0)+IF(AND(('V06 Calend 01'!E82&gt;0),(12&gt;'V06 Calend 01'!C82),(12&lt;'V06 Calend 01'!D82),(MOD((12-'V06 Calend 01'!C82),6)=0),(((12-'V06 Calend 01'!C82)/6)&lt;='V06 Calend 01'!E82)),IF((12=('V06 Calend 01'!C82+(6*'V06 Calend 01'!E82))),('V06 Calend 01'!H82-('V06 Calend 01'!I82*('V06 Calend 01'!E82-1))),'V06 Calend 01'!I82),0))+IF((12='V06 Calend 01'!D82),'V06 Calend 01'!J82,0))</f>
        <v>0</v>
      </c>
      <c r="Y82" s="2">
        <f>((IF((13='V06 Calend 01'!C82),('V06 Calend 01'!F82+'V06 Calend 01'!G82),0)+IF(AND(('V06 Calend 01'!E82&gt;0),(13&gt;'V06 Calend 01'!C82),(13&lt;'V06 Calend 01'!D82),(MOD((13-'V06 Calend 01'!C82),6)=0),(((13-'V06 Calend 01'!C82)/6)&lt;='V06 Calend 01'!E82)),IF((13=('V06 Calend 01'!C82+(6*'V06 Calend 01'!E82))),('V06 Calend 01'!H82-('V06 Calend 01'!I82*('V06 Calend 01'!E82-1))),'V06 Calend 01'!I82),0))+IF((13='V06 Calend 01'!D82),'V06 Calend 01'!J82,0))</f>
        <v>0</v>
      </c>
      <c r="Z82" s="2">
        <f>((IF((14='V06 Calend 01'!C82),('V06 Calend 01'!F82+'V06 Calend 01'!G82),0)+IF(AND(('V06 Calend 01'!E82&gt;0),(14&gt;'V06 Calend 01'!C82),(14&lt;'V06 Calend 01'!D82),(MOD((14-'V06 Calend 01'!C82),6)=0),(((14-'V06 Calend 01'!C82)/6)&lt;='V06 Calend 01'!E82)),IF((14=('V06 Calend 01'!C82+(6*'V06 Calend 01'!E82))),('V06 Calend 01'!H82-('V06 Calend 01'!I82*('V06 Calend 01'!E82-1))),'V06 Calend 01'!I82),0))+IF((14='V06 Calend 01'!D82),'V06 Calend 01'!J82,0))</f>
        <v>0</v>
      </c>
      <c r="AA82" s="2">
        <f>((IF((15='V06 Calend 01'!C82),('V06 Calend 01'!F82+'V06 Calend 01'!G82),0)+IF(AND(('V06 Calend 01'!E82&gt;0),(15&gt;'V06 Calend 01'!C82),(15&lt;'V06 Calend 01'!D82),(MOD((15-'V06 Calend 01'!C82),6)=0),(((15-'V06 Calend 01'!C82)/6)&lt;='V06 Calend 01'!E82)),IF((15=('V06 Calend 01'!C82+(6*'V06 Calend 01'!E82))),('V06 Calend 01'!H82-('V06 Calend 01'!I82*('V06 Calend 01'!E82-1))),'V06 Calend 01'!I82),0))+IF((15='V06 Calend 01'!D82),'V06 Calend 01'!J82,0))</f>
        <v>0</v>
      </c>
      <c r="AB82" s="2">
        <f>((IF((16='V06 Calend 01'!C82),('V06 Calend 01'!F82+'V06 Calend 01'!G82),0)+IF(AND(('V06 Calend 01'!E82&gt;0),(16&gt;'V06 Calend 01'!C82),(16&lt;'V06 Calend 01'!D82),(MOD((16-'V06 Calend 01'!C82),6)=0),(((16-'V06 Calend 01'!C82)/6)&lt;='V06 Calend 01'!E82)),IF((16=('V06 Calend 01'!C82+(6*'V06 Calend 01'!E82))),('V06 Calend 01'!H82-('V06 Calend 01'!I82*('V06 Calend 01'!E82-1))),'V06 Calend 01'!I82),0))+IF((16='V06 Calend 01'!D82),'V06 Calend 01'!J82,0))</f>
        <v>59333.77</v>
      </c>
      <c r="AC82" s="2">
        <f>((IF((17='V06 Calend 01'!C82),('V06 Calend 01'!F82+'V06 Calend 01'!G82),0)+IF(AND(('V06 Calend 01'!E82&gt;0),(17&gt;'V06 Calend 01'!C82),(17&lt;'V06 Calend 01'!D82),(MOD((17-'V06 Calend 01'!C82),6)=0),(((17-'V06 Calend 01'!C82)/6)&lt;='V06 Calend 01'!E82)),IF((17=('V06 Calend 01'!C82+(6*'V06 Calend 01'!E82))),('V06 Calend 01'!H82-('V06 Calend 01'!I82*('V06 Calend 01'!E82-1))),'V06 Calend 01'!I82),0))+IF((17='V06 Calend 01'!D82),'V06 Calend 01'!J82,0))</f>
        <v>0</v>
      </c>
      <c r="AD82" s="2">
        <f>((IF((18='V06 Calend 01'!C82),('V06 Calend 01'!F82+'V06 Calend 01'!G82),0)+IF(AND(('V06 Calend 01'!E82&gt;0),(18&gt;'V06 Calend 01'!C82),(18&lt;'V06 Calend 01'!D82),(MOD((18-'V06 Calend 01'!C82),6)=0),(((18-'V06 Calend 01'!C82)/6)&lt;='V06 Calend 01'!E82)),IF((18=('V06 Calend 01'!C82+(6*'V06 Calend 01'!E82))),('V06 Calend 01'!H82-('V06 Calend 01'!I82*('V06 Calend 01'!E82-1))),'V06 Calend 01'!I82),0))+IF((18='V06 Calend 01'!D82),'V06 Calend 01'!J82,0))</f>
        <v>0</v>
      </c>
      <c r="AE82" s="2">
        <f>((IF((19='V06 Calend 01'!C82),('V06 Calend 01'!F82+'V06 Calend 01'!G82),0)+IF(AND(('V06 Calend 01'!E82&gt;0),(19&gt;'V06 Calend 01'!C82),(19&lt;'V06 Calend 01'!D82),(MOD((19-'V06 Calend 01'!C82),6)=0),(((19-'V06 Calend 01'!C82)/6)&lt;='V06 Calend 01'!E82)),IF((19=('V06 Calend 01'!C82+(6*'V06 Calend 01'!E82))),('V06 Calend 01'!H82-('V06 Calend 01'!I82*('V06 Calend 01'!E82-1))),'V06 Calend 01'!I82),0))+IF((19='V06 Calend 01'!D82),'V06 Calend 01'!J82,0))</f>
        <v>0</v>
      </c>
      <c r="AF82" s="2">
        <f>((IF((20='V06 Calend 01'!C82),('V06 Calend 01'!F82+'V06 Calend 01'!G82),0)+IF(AND(('V06 Calend 01'!E82&gt;0),(20&gt;'V06 Calend 01'!C82),(20&lt;'V06 Calend 01'!D82),(MOD((20-'V06 Calend 01'!C82),6)=0),(((20-'V06 Calend 01'!C82)/6)&lt;='V06 Calend 01'!E82)),IF((20=('V06 Calend 01'!C82+(6*'V06 Calend 01'!E82))),('V06 Calend 01'!H82-('V06 Calend 01'!I82*('V06 Calend 01'!E82-1))),'V06 Calend 01'!I82),0))+IF((20='V06 Calend 01'!D82),'V06 Calend 01'!J82,0))</f>
        <v>0</v>
      </c>
      <c r="AG82" s="2">
        <f>((IF((21='V06 Calend 01'!C82),('V06 Calend 01'!F82+'V06 Calend 01'!G82),0)+IF(AND(('V06 Calend 01'!E82&gt;0),(21&gt;'V06 Calend 01'!C82),(21&lt;'V06 Calend 01'!D82),(MOD((21-'V06 Calend 01'!C82),6)=0),(((21-'V06 Calend 01'!C82)/6)&lt;='V06 Calend 01'!E82)),IF((21=('V06 Calend 01'!C82+(6*'V06 Calend 01'!E82))),('V06 Calend 01'!H82-('V06 Calend 01'!I82*('V06 Calend 01'!E82-1))),'V06 Calend 01'!I82),0))+IF((21='V06 Calend 01'!D82),'V06 Calend 01'!J82,0))</f>
        <v>0</v>
      </c>
      <c r="AH82" s="2">
        <f>((IF((22='V06 Calend 01'!C82),('V06 Calend 01'!F82+'V06 Calend 01'!G82),0)+IF(AND(('V06 Calend 01'!E82&gt;0),(22&gt;'V06 Calend 01'!C82),(22&lt;'V06 Calend 01'!D82),(MOD((22-'V06 Calend 01'!C82),6)=0),(((22-'V06 Calend 01'!C82)/6)&lt;='V06 Calend 01'!E82)),IF((22=('V06 Calend 01'!C82+(6*'V06 Calend 01'!E82))),('V06 Calend 01'!H82-('V06 Calend 01'!I82*('V06 Calend 01'!E82-1))),'V06 Calend 01'!I82),0))+IF((22='V06 Calend 01'!D82),'V06 Calend 01'!J82,0))</f>
        <v>59333.77</v>
      </c>
      <c r="AI82" s="2">
        <f>((IF((23='V06 Calend 01'!C82),('V06 Calend 01'!F82+'V06 Calend 01'!G82),0)+IF(AND(('V06 Calend 01'!E82&gt;0),(23&gt;'V06 Calend 01'!C82),(23&lt;'V06 Calend 01'!D82),(MOD((23-'V06 Calend 01'!C82),6)=0),(((23-'V06 Calend 01'!C82)/6)&lt;='V06 Calend 01'!E82)),IF((23=('V06 Calend 01'!C82+(6*'V06 Calend 01'!E82))),('V06 Calend 01'!H82-('V06 Calend 01'!I82*('V06 Calend 01'!E82-1))),'V06 Calend 01'!I82),0))+IF((23='V06 Calend 01'!D82),'V06 Calend 01'!J82,0))</f>
        <v>0</v>
      </c>
      <c r="AJ82" s="2">
        <f>((IF((24='V06 Calend 01'!C82),('V06 Calend 01'!F82+'V06 Calend 01'!G82),0)+IF(AND(('V06 Calend 01'!E82&gt;0),(24&gt;'V06 Calend 01'!C82),(24&lt;'V06 Calend 01'!D82),(MOD((24-'V06 Calend 01'!C82),6)=0),(((24-'V06 Calend 01'!C82)/6)&lt;='V06 Calend 01'!E82)),IF((24=('V06 Calend 01'!C82+(6*'V06 Calend 01'!E82))),('V06 Calend 01'!H82-('V06 Calend 01'!I82*('V06 Calend 01'!E82-1))),'V06 Calend 01'!I82),0))+IF((24='V06 Calend 01'!D82),'V06 Calend 01'!J82,0))</f>
        <v>0</v>
      </c>
      <c r="AK82" s="2">
        <f>((IF((25='V06 Calend 01'!C82),('V06 Calend 01'!F82+'V06 Calend 01'!G82),0)+IF(AND(('V06 Calend 01'!E82&gt;0),(25&gt;'V06 Calend 01'!C82),(25&lt;'V06 Calend 01'!D82),(MOD((25-'V06 Calend 01'!C82),6)=0),(((25-'V06 Calend 01'!C82)/6)&lt;='V06 Calend 01'!E82)),IF((25=('V06 Calend 01'!C82+(6*'V06 Calend 01'!E82))),('V06 Calend 01'!H82-('V06 Calend 01'!I82*('V06 Calend 01'!E82-1))),'V06 Calend 01'!I82),0))+IF((25='V06 Calend 01'!D82),'V06 Calend 01'!J82,0))</f>
        <v>0</v>
      </c>
      <c r="AL82" s="2">
        <f>((IF((26='V06 Calend 01'!C82),('V06 Calend 01'!F82+'V06 Calend 01'!G82),0)+IF(AND(('V06 Calend 01'!E82&gt;0),(26&gt;'V06 Calend 01'!C82),(26&lt;'V06 Calend 01'!D82),(MOD((26-'V06 Calend 01'!C82),6)=0),(((26-'V06 Calend 01'!C82)/6)&lt;='V06 Calend 01'!E82)),IF((26=('V06 Calend 01'!C82+(6*'V06 Calend 01'!E82))),('V06 Calend 01'!H82-('V06 Calend 01'!I82*('V06 Calend 01'!E82-1))),'V06 Calend 01'!I82),0))+IF((26='V06 Calend 01'!D82),'V06 Calend 01'!J82,0))</f>
        <v>0</v>
      </c>
      <c r="AM82" s="2">
        <f>((IF((27='V06 Calend 01'!C82),('V06 Calend 01'!F82+'V06 Calend 01'!G82),0)+IF(AND(('V06 Calend 01'!E82&gt;0),(27&gt;'V06 Calend 01'!C82),(27&lt;'V06 Calend 01'!D82),(MOD((27-'V06 Calend 01'!C82),6)=0),(((27-'V06 Calend 01'!C82)/6)&lt;='V06 Calend 01'!E82)),IF((27=('V06 Calend 01'!C82+(6*'V06 Calend 01'!E82))),('V06 Calend 01'!H82-('V06 Calend 01'!I82*('V06 Calend 01'!E82-1))),'V06 Calend 01'!I82),0))+IF((27='V06 Calend 01'!D82),'V06 Calend 01'!J82,0))</f>
        <v>0</v>
      </c>
      <c r="AN82" s="2">
        <f>((IF((28='V06 Calend 01'!C82),('V06 Calend 01'!F82+'V06 Calend 01'!G82),0)+IF(AND(('V06 Calend 01'!E82&gt;0),(28&gt;'V06 Calend 01'!C82),(28&lt;'V06 Calend 01'!D82),(MOD((28-'V06 Calend 01'!C82),6)=0),(((28-'V06 Calend 01'!C82)/6)&lt;='V06 Calend 01'!E82)),IF((28=('V06 Calend 01'!C82+(6*'V06 Calend 01'!E82))),('V06 Calend 01'!H82-('V06 Calend 01'!I82*('V06 Calend 01'!E82-1))),'V06 Calend 01'!I82),0))+IF((28='V06 Calend 01'!D82),'V06 Calend 01'!J82,0))</f>
        <v>59333.75</v>
      </c>
      <c r="AO82" s="2">
        <f>((IF((29='V06 Calend 01'!C82),('V06 Calend 01'!F82+'V06 Calend 01'!G82),0)+IF(AND(('V06 Calend 01'!E82&gt;0),(29&gt;'V06 Calend 01'!C82),(29&lt;'V06 Calend 01'!D82),(MOD((29-'V06 Calend 01'!C82),6)=0),(((29-'V06 Calend 01'!C82)/6)&lt;='V06 Calend 01'!E82)),IF((29=('V06 Calend 01'!C82+(6*'V06 Calend 01'!E82))),('V06 Calend 01'!H82-('V06 Calend 01'!I82*('V06 Calend 01'!E82-1))),'V06 Calend 01'!I82),0))+IF((29='V06 Calend 01'!D82),'V06 Calend 01'!J82,0))</f>
        <v>0</v>
      </c>
      <c r="AP82" s="2">
        <f>((IF((30='V06 Calend 01'!C82),('V06 Calend 01'!F82+'V06 Calend 01'!G82),0)+IF(AND(('V06 Calend 01'!E82&gt;0),(30&gt;'V06 Calend 01'!C82),(30&lt;'V06 Calend 01'!D82),(MOD((30-'V06 Calend 01'!C82),6)=0),(((30-'V06 Calend 01'!C82)/6)&lt;='V06 Calend 01'!E82)),IF((30=('V06 Calend 01'!C82+(6*'V06 Calend 01'!E82))),('V06 Calend 01'!H82-('V06 Calend 01'!I82*('V06 Calend 01'!E82-1))),'V06 Calend 01'!I82),0))+IF((30='V06 Calend 01'!D82),'V06 Calend 01'!J82,0))</f>
        <v>86303.65999999997</v>
      </c>
      <c r="AQ82" s="2">
        <f>((IF((31='V06 Calend 01'!C82),('V06 Calend 01'!F82+'V06 Calend 01'!G82),0)+IF(AND(('V06 Calend 01'!E82&gt;0),(31&gt;'V06 Calend 01'!C82),(31&lt;'V06 Calend 01'!D82),(MOD((31-'V06 Calend 01'!C82),6)=0),(((31-'V06 Calend 01'!C82)/6)&lt;='V06 Calend 01'!E82)),IF((31=('V06 Calend 01'!C82+(6*'V06 Calend 01'!E82))),('V06 Calend 01'!H82-('V06 Calend 01'!I82*('V06 Calend 01'!E82-1))),'V06 Calend 01'!I82),0))+IF((31='V06 Calend 01'!D82),'V06 Calend 01'!J82,0))</f>
        <v>0</v>
      </c>
      <c r="AR82" s="2">
        <f>((IF((32='V06 Calend 01'!C82),('V06 Calend 01'!F82+'V06 Calend 01'!G82),0)+IF(AND(('V06 Calend 01'!E82&gt;0),(32&gt;'V06 Calend 01'!C82),(32&lt;'V06 Calend 01'!D82),(MOD((32-'V06 Calend 01'!C82),6)=0),(((32-'V06 Calend 01'!C82)/6)&lt;='V06 Calend 01'!E82)),IF((32=('V06 Calend 01'!C82+(6*'V06 Calend 01'!E82))),('V06 Calend 01'!H82-('V06 Calend 01'!I82*('V06 Calend 01'!E82-1))),'V06 Calend 01'!I82),0))+IF((32='V06 Calend 01'!D82),'V06 Calend 01'!J82,0))</f>
        <v>0</v>
      </c>
      <c r="AS82" s="2">
        <f>((IF((33='V06 Calend 01'!C82),('V06 Calend 01'!F82+'V06 Calend 01'!G82),0)+IF(AND(('V06 Calend 01'!E82&gt;0),(33&gt;'V06 Calend 01'!C82),(33&lt;'V06 Calend 01'!D82),(MOD((33-'V06 Calend 01'!C82),6)=0),(((33-'V06 Calend 01'!C82)/6)&lt;='V06 Calend 01'!E82)),IF((33=('V06 Calend 01'!C82+(6*'V06 Calend 01'!E82))),('V06 Calend 01'!H82-('V06 Calend 01'!I82*('V06 Calend 01'!E82-1))),'V06 Calend 01'!I82),0))+IF((33='V06 Calend 01'!D82),'V06 Calend 01'!J82,0))</f>
        <v>0</v>
      </c>
      <c r="AT82" s="2">
        <f>((IF((34='V06 Calend 01'!C82),('V06 Calend 01'!F82+'V06 Calend 01'!G82),0)+IF(AND(('V06 Calend 01'!E82&gt;0),(34&gt;'V06 Calend 01'!C82),(34&lt;'V06 Calend 01'!D82),(MOD((34-'V06 Calend 01'!C82),6)=0),(((34-'V06 Calend 01'!C82)/6)&lt;='V06 Calend 01'!E82)),IF((34=('V06 Calend 01'!C82+(6*'V06 Calend 01'!E82))),('V06 Calend 01'!H82-('V06 Calend 01'!I82*('V06 Calend 01'!E82-1))),'V06 Calend 01'!I82),0))+IF((34='V06 Calend 01'!D82),'V06 Calend 01'!J82,0))</f>
        <v>0</v>
      </c>
      <c r="AU82" s="2">
        <f>((IF((35='V06 Calend 01'!C82),('V06 Calend 01'!F82+'V06 Calend 01'!G82),0)+IF(AND(('V06 Calend 01'!E82&gt;0),(35&gt;'V06 Calend 01'!C82),(35&lt;'V06 Calend 01'!D82),(MOD((35-'V06 Calend 01'!C82),6)=0),(((35-'V06 Calend 01'!C82)/6)&lt;='V06 Calend 01'!E82)),IF((35=('V06 Calend 01'!C82+(6*'V06 Calend 01'!E82))),('V06 Calend 01'!H82-('V06 Calend 01'!I82*('V06 Calend 01'!E82-1))),'V06 Calend 01'!I82),0))+IF((35='V06 Calend 01'!D82),'V06 Calend 01'!J82,0))</f>
        <v>0</v>
      </c>
      <c r="AV82" s="2">
        <f>((IF((36='V06 Calend 01'!C82),('V06 Calend 01'!F82+'V06 Calend 01'!G82),0)+IF(AND(('V06 Calend 01'!E82&gt;0),(36&gt;'V06 Calend 01'!C82),(36&lt;'V06 Calend 01'!D82),(MOD((36-'V06 Calend 01'!C82),6)=0),(((36-'V06 Calend 01'!C82)/6)&lt;='V06 Calend 01'!E82)),IF((36=('V06 Calend 01'!C82+(6*'V06 Calend 01'!E82))),('V06 Calend 01'!H82-('V06 Calend 01'!I82*('V06 Calend 01'!E82-1))),'V06 Calend 01'!I82),0))+IF((36='V06 Calend 01'!D82),'V06 Calend 01'!J82,0))</f>
        <v>0</v>
      </c>
      <c r="AW82" s="2">
        <f>((IF((37='V06 Calend 01'!C82),('V06 Calend 01'!F82+'V06 Calend 01'!G82),0)+IF(AND(('V06 Calend 01'!E82&gt;0),(37&gt;'V06 Calend 01'!C82),(37&lt;'V06 Calend 01'!D82),(MOD((37-'V06 Calend 01'!C82),6)=0),(((37-'V06 Calend 01'!C82)/6)&lt;='V06 Calend 01'!E82)),IF((37=('V06 Calend 01'!C82+(6*'V06 Calend 01'!E82))),('V06 Calend 01'!H82-('V06 Calend 01'!I82*('V06 Calend 01'!E82-1))),'V06 Calend 01'!I82),0))+IF((37='V06 Calend 01'!D82),'V06 Calend 01'!J82,0))</f>
        <v>0</v>
      </c>
      <c r="AX82" s="2">
        <f>((IF((38='V06 Calend 01'!C82),('V06 Calend 01'!F82+'V06 Calend 01'!G82),0)+IF(AND(('V06 Calend 01'!E82&gt;0),(38&gt;'V06 Calend 01'!C82),(38&lt;'V06 Calend 01'!D82),(MOD((38-'V06 Calend 01'!C82),6)=0),(((38-'V06 Calend 01'!C82)/6)&lt;='V06 Calend 01'!E82)),IF((38=('V06 Calend 01'!C82+(6*'V06 Calend 01'!E82))),('V06 Calend 01'!H82-('V06 Calend 01'!I82*('V06 Calend 01'!E82-1))),'V06 Calend 01'!I82),0))+IF((38='V06 Calend 01'!D82),'V06 Calend 01'!J82,0))</f>
        <v>0</v>
      </c>
      <c r="AY82" s="2">
        <f>((IF((39='V06 Calend 01'!C82),('V06 Calend 01'!F82+'V06 Calend 01'!G82),0)+IF(AND(('V06 Calend 01'!E82&gt;0),(39&gt;'V06 Calend 01'!C82),(39&lt;'V06 Calend 01'!D82),(MOD((39-'V06 Calend 01'!C82),6)=0),(((39-'V06 Calend 01'!C82)/6)&lt;='V06 Calend 01'!E82)),IF((39=('V06 Calend 01'!C82+(6*'V06 Calend 01'!E82))),('V06 Calend 01'!H82-('V06 Calend 01'!I82*('V06 Calend 01'!E82-1))),'V06 Calend 01'!I82),0))+IF((39='V06 Calend 01'!D82),'V06 Calend 01'!J82,0))</f>
        <v>0</v>
      </c>
      <c r="AZ82" s="2">
        <f>((IF((40='V06 Calend 01'!C82),('V06 Calend 01'!F82+'V06 Calend 01'!G82),0)+IF(AND(('V06 Calend 01'!E82&gt;0),(40&gt;'V06 Calend 01'!C82),(40&lt;'V06 Calend 01'!D82),(MOD((40-'V06 Calend 01'!C82),6)=0),(((40-'V06 Calend 01'!C82)/6)&lt;='V06 Calend 01'!E82)),IF((40=('V06 Calend 01'!C82+(6*'V06 Calend 01'!E82))),('V06 Calend 01'!H82-('V06 Calend 01'!I82*('V06 Calend 01'!E82-1))),'V06 Calend 01'!I82),0))+IF((40='V06 Calend 01'!D82),'V06 Calend 01'!J82,0))</f>
        <v>0</v>
      </c>
      <c r="BA82" s="2">
        <f>((IF((41='V06 Calend 01'!C82),('V06 Calend 01'!F82+'V06 Calend 01'!G82),0)+IF(AND(('V06 Calend 01'!E82&gt;0),(41&gt;'V06 Calend 01'!C82),(41&lt;'V06 Calend 01'!D82),(MOD((41-'V06 Calend 01'!C82),6)=0),(((41-'V06 Calend 01'!C82)/6)&lt;='V06 Calend 01'!E82)),IF((41=('V06 Calend 01'!C82+(6*'V06 Calend 01'!E82))),('V06 Calend 01'!H82-('V06 Calend 01'!I82*('V06 Calend 01'!E82-1))),'V06 Calend 01'!I82),0))+IF((41='V06 Calend 01'!D82),'V06 Calend 01'!J82,0))</f>
        <v>0</v>
      </c>
      <c r="BB82" s="2">
        <f>((IF((42='V06 Calend 01'!C82),('V06 Calend 01'!F82+'V06 Calend 01'!G82),0)+IF(AND(('V06 Calend 01'!E82&gt;0),(42&gt;'V06 Calend 01'!C82),(42&lt;'V06 Calend 01'!D82),(MOD((42-'V06 Calend 01'!C82),6)=0),(((42-'V06 Calend 01'!C82)/6)&lt;='V06 Calend 01'!E82)),IF((42=('V06 Calend 01'!C82+(6*'V06 Calend 01'!E82))),('V06 Calend 01'!H82-('V06 Calend 01'!I82*('V06 Calend 01'!E82-1))),'V06 Calend 01'!I82),0))+IF((42='V06 Calend 01'!D82),'V06 Calend 01'!J82,0))</f>
        <v>0</v>
      </c>
      <c r="BC82" s="2">
        <f>((IF((43='V06 Calend 01'!C82),('V06 Calend 01'!F82+'V06 Calend 01'!G82),0)+IF(AND(('V06 Calend 01'!E82&gt;0),(43&gt;'V06 Calend 01'!C82),(43&lt;'V06 Calend 01'!D82),(MOD((43-'V06 Calend 01'!C82),6)=0),(((43-'V06 Calend 01'!C82)/6)&lt;='V06 Calend 01'!E82)),IF((43=('V06 Calend 01'!C82+(6*'V06 Calend 01'!E82))),('V06 Calend 01'!H82-('V06 Calend 01'!I82*('V06 Calend 01'!E82-1))),'V06 Calend 01'!I82),0))+IF((43='V06 Calend 01'!D82),'V06 Calend 01'!J82,0))</f>
        <v>0</v>
      </c>
      <c r="BD82" s="2">
        <f>((IF((44='V06 Calend 01'!C82),('V06 Calend 01'!F82+'V06 Calend 01'!G82),0)+IF(AND(('V06 Calend 01'!E82&gt;0),(44&gt;'V06 Calend 01'!C82),(44&lt;'V06 Calend 01'!D82),(MOD((44-'V06 Calend 01'!C82),6)=0),(((44-'V06 Calend 01'!C82)/6)&lt;='V06 Calend 01'!E82)),IF((44=('V06 Calend 01'!C82+(6*'V06 Calend 01'!E82))),('V06 Calend 01'!H82-('V06 Calend 01'!I82*('V06 Calend 01'!E82-1))),'V06 Calend 01'!I82),0))+IF((44='V06 Calend 01'!D82),'V06 Calend 01'!J82,0))</f>
        <v>0</v>
      </c>
      <c r="BE82" s="2">
        <f>((IF((45='V06 Calend 01'!C82),('V06 Calend 01'!F82+'V06 Calend 01'!G82),0)+IF(AND(('V06 Calend 01'!E82&gt;0),(45&gt;'V06 Calend 01'!C82),(45&lt;'V06 Calend 01'!D82),(MOD((45-'V06 Calend 01'!C82),6)=0),(((45-'V06 Calend 01'!C82)/6)&lt;='V06 Calend 01'!E82)),IF((45=('V06 Calend 01'!C82+(6*'V06 Calend 01'!E82))),('V06 Calend 01'!H82-('V06 Calend 01'!I82*('V06 Calend 01'!E82-1))),'V06 Calend 01'!I82),0))+IF((45='V06 Calend 01'!D82),'V06 Calend 01'!J82,0))</f>
        <v>0</v>
      </c>
      <c r="BF82" s="2">
        <f>((IF((46='V06 Calend 01'!C82),('V06 Calend 01'!F82+'V06 Calend 01'!G82),0)+IF(AND(('V06 Calend 01'!E82&gt;0),(46&gt;'V06 Calend 01'!C82),(46&lt;'V06 Calend 01'!D82),(MOD((46-'V06 Calend 01'!C82),6)=0),(((46-'V06 Calend 01'!C82)/6)&lt;='V06 Calend 01'!E82)),IF((46=('V06 Calend 01'!C82+(6*'V06 Calend 01'!E82))),('V06 Calend 01'!H82-('V06 Calend 01'!I82*('V06 Calend 01'!E82-1))),'V06 Calend 01'!I82),0))+IF((46='V06 Calend 01'!D82),'V06 Calend 01'!J82,0))</f>
        <v>0</v>
      </c>
      <c r="BG82" s="2">
        <f>((IF((47='V06 Calend 01'!C82),('V06 Calend 01'!F82+'V06 Calend 01'!G82),0)+IF(AND(('V06 Calend 01'!E82&gt;0),(47&gt;'V06 Calend 01'!C82),(47&lt;'V06 Calend 01'!D82),(MOD((47-'V06 Calend 01'!C82),6)=0),(((47-'V06 Calend 01'!C82)/6)&lt;='V06 Calend 01'!E82)),IF((47=('V06 Calend 01'!C82+(6*'V06 Calend 01'!E82))),('V06 Calend 01'!H82-('V06 Calend 01'!I82*('V06 Calend 01'!E82-1))),'V06 Calend 01'!I82),0))+IF((47='V06 Calend 01'!D82),'V06 Calend 01'!J82,0))</f>
        <v>0</v>
      </c>
      <c r="BH82" s="2">
        <f>((IF((48='V06 Calend 01'!C82),('V06 Calend 01'!F82+'V06 Calend 01'!G82),0)+IF(AND(('V06 Calend 01'!E82&gt;0),(48&gt;'V06 Calend 01'!C82),(48&lt;'V06 Calend 01'!D82),(MOD((48-'V06 Calend 01'!C82),6)=0),(((48-'V06 Calend 01'!C82)/6)&lt;='V06 Calend 01'!E82)),IF((48=('V06 Calend 01'!C82+(6*'V06 Calend 01'!E82))),('V06 Calend 01'!H82-('V06 Calend 01'!I82*('V06 Calend 01'!E82-1))),'V06 Calend 01'!I82),0))+IF((48='V06 Calend 01'!D82),'V06 Calend 01'!J82,0))</f>
        <v>0</v>
      </c>
      <c r="BI82" s="2">
        <f>((IF((49='V06 Calend 01'!C82),('V06 Calend 01'!F82+'V06 Calend 01'!G82),0)+IF(AND(('V06 Calend 01'!E82&gt;0),(49&gt;'V06 Calend 01'!C82),(49&lt;'V06 Calend 01'!D82),(MOD((49-'V06 Calend 01'!C82),6)=0),(((49-'V06 Calend 01'!C82)/6)&lt;='V06 Calend 01'!E82)),IF((49=('V06 Calend 01'!C82+(6*'V06 Calend 01'!E82))),('V06 Calend 01'!H82-('V06 Calend 01'!I82*('V06 Calend 01'!E82-1))),'V06 Calend 01'!I82),0))+IF((49='V06 Calend 01'!D82),'V06 Calend 01'!J82,0))</f>
        <v>0</v>
      </c>
      <c r="BJ82" s="2">
        <f>((IF((50='V06 Calend 01'!C82),('V06 Calend 01'!F82+'V06 Calend 01'!G82),0)+IF(AND(('V06 Calend 01'!E82&gt;0),(50&gt;'V06 Calend 01'!C82),(50&lt;'V06 Calend 01'!D82),(MOD((50-'V06 Calend 01'!C82),6)=0),(((50-'V06 Calend 01'!C82)/6)&lt;='V06 Calend 01'!E82)),IF((50=('V06 Calend 01'!C82+(6*'V06 Calend 01'!E82))),('V06 Calend 01'!H82-('V06 Calend 01'!I82*('V06 Calend 01'!E82-1))),'V06 Calend 01'!I82),0))+IF((50='V06 Calend 01'!D82),'V06 Calend 01'!J82,0))</f>
        <v>0</v>
      </c>
      <c r="BK82" s="2">
        <f>((IF((51='V06 Calend 01'!C82),('V06 Calend 01'!F82+'V06 Calend 01'!G82),0)+IF(AND(('V06 Calend 01'!E82&gt;0),(51&gt;'V06 Calend 01'!C82),(51&lt;'V06 Calend 01'!D82),(MOD((51-'V06 Calend 01'!C82),6)=0),(((51-'V06 Calend 01'!C82)/6)&lt;='V06 Calend 01'!E82)),IF((51=('V06 Calend 01'!C82+(6*'V06 Calend 01'!E82))),('V06 Calend 01'!H82-('V06 Calend 01'!I82*('V06 Calend 01'!E82-1))),'V06 Calend 01'!I82),0))+IF((51='V06 Calend 01'!D82),'V06 Calend 01'!J82,0))</f>
        <v>0</v>
      </c>
      <c r="BL82" s="2">
        <f>((IF((52='V06 Calend 01'!C82),('V06 Calend 01'!F82+'V06 Calend 01'!G82),0)+IF(AND(('V06 Calend 01'!E82&gt;0),(52&gt;'V06 Calend 01'!C82),(52&lt;'V06 Calend 01'!D82),(MOD((52-'V06 Calend 01'!C82),6)=0),(((52-'V06 Calend 01'!C82)/6)&lt;='V06 Calend 01'!E82)),IF((52=('V06 Calend 01'!C82+(6*'V06 Calend 01'!E82))),('V06 Calend 01'!H82-('V06 Calend 01'!I82*('V06 Calend 01'!E82-1))),'V06 Calend 01'!I82),0))+IF((52='V06 Calend 01'!D82),'V06 Calend 01'!J82,0))</f>
        <v>0</v>
      </c>
      <c r="BM82" s="2">
        <f>((IF((53='V06 Calend 01'!C82),('V06 Calend 01'!F82+'V06 Calend 01'!G82),0)+IF(AND(('V06 Calend 01'!E82&gt;0),(53&gt;'V06 Calend 01'!C82),(53&lt;'V06 Calend 01'!D82),(MOD((53-'V06 Calend 01'!C82),6)=0),(((53-'V06 Calend 01'!C82)/6)&lt;='V06 Calend 01'!E82)),IF((53=('V06 Calend 01'!C82+(6*'V06 Calend 01'!E82))),('V06 Calend 01'!H82-('V06 Calend 01'!I82*('V06 Calend 01'!E82-1))),'V06 Calend 01'!I82),0))+IF((53='V06 Calend 01'!D82),'V06 Calend 01'!J82,0))</f>
        <v>0</v>
      </c>
      <c r="BN82" s="2">
        <f>((IF((54='V06 Calend 01'!C82),('V06 Calend 01'!F82+'V06 Calend 01'!G82),0)+IF(AND(('V06 Calend 01'!E82&gt;0),(54&gt;'V06 Calend 01'!C82),(54&lt;'V06 Calend 01'!D82),(MOD((54-'V06 Calend 01'!C82),6)=0),(((54-'V06 Calend 01'!C82)/6)&lt;='V06 Calend 01'!E82)),IF((54=('V06 Calend 01'!C82+(6*'V06 Calend 01'!E82))),('V06 Calend 01'!H82-('V06 Calend 01'!I82*('V06 Calend 01'!E82-1))),'V06 Calend 01'!I82),0))+IF((54='V06 Calend 01'!D82),'V06 Calend 01'!J82,0))</f>
        <v>0</v>
      </c>
      <c r="BO82" s="2">
        <f>((IF((55='V06 Calend 01'!C82),('V06 Calend 01'!F82+'V06 Calend 01'!G82),0)+IF(AND(('V06 Calend 01'!E82&gt;0),(55&gt;'V06 Calend 01'!C82),(55&lt;'V06 Calend 01'!D82),(MOD((55-'V06 Calend 01'!C82),6)=0),(((55-'V06 Calend 01'!C82)/6)&lt;='V06 Calend 01'!E82)),IF((55=('V06 Calend 01'!C82+(6*'V06 Calend 01'!E82))),('V06 Calend 01'!H82-('V06 Calend 01'!I82*('V06 Calend 01'!E82-1))),'V06 Calend 01'!I82),0))+IF((55='V06 Calend 01'!D82),'V06 Calend 01'!J82,0))</f>
        <v>0</v>
      </c>
      <c r="BP82" s="2">
        <f>((IF((56='V06 Calend 01'!C82),('V06 Calend 01'!F82+'V06 Calend 01'!G82),0)+IF(AND(('V06 Calend 01'!E82&gt;0),(56&gt;'V06 Calend 01'!C82),(56&lt;'V06 Calend 01'!D82),(MOD((56-'V06 Calend 01'!C82),6)=0),(((56-'V06 Calend 01'!C82)/6)&lt;='V06 Calend 01'!E82)),IF((56=('V06 Calend 01'!C82+(6*'V06 Calend 01'!E82))),('V06 Calend 01'!H82-('V06 Calend 01'!I82*('V06 Calend 01'!E82-1))),'V06 Calend 01'!I82),0))+IF((56='V06 Calend 01'!D82),'V06 Calend 01'!J82,0))</f>
        <v>0</v>
      </c>
      <c r="BQ82" s="2">
        <f>((IF((57='V06 Calend 01'!C82),('V06 Calend 01'!F82+'V06 Calend 01'!G82),0)+IF(AND(('V06 Calend 01'!E82&gt;0),(57&gt;'V06 Calend 01'!C82),(57&lt;'V06 Calend 01'!D82),(MOD((57-'V06 Calend 01'!C82),6)=0),(((57-'V06 Calend 01'!C82)/6)&lt;='V06 Calend 01'!E82)),IF((57=('V06 Calend 01'!C82+(6*'V06 Calend 01'!E82))),('V06 Calend 01'!H82-('V06 Calend 01'!I82*('V06 Calend 01'!E82-1))),'V06 Calend 01'!I82),0))+IF((57='V06 Calend 01'!D82),'V06 Calend 01'!J82,0))</f>
        <v>0</v>
      </c>
      <c r="BR82" s="2">
        <f>((IF((58='V06 Calend 01'!C82),('V06 Calend 01'!F82+'V06 Calend 01'!G82),0)+IF(AND(('V06 Calend 01'!E82&gt;0),(58&gt;'V06 Calend 01'!C82),(58&lt;'V06 Calend 01'!D82),(MOD((58-'V06 Calend 01'!C82),6)=0),(((58-'V06 Calend 01'!C82)/6)&lt;='V06 Calend 01'!E82)),IF((58=('V06 Calend 01'!C82+(6*'V06 Calend 01'!E82))),('V06 Calend 01'!H82-('V06 Calend 01'!I82*('V06 Calend 01'!E82-1))),'V06 Calend 01'!I82),0))+IF((58='V06 Calend 01'!D82),'V06 Calend 01'!J82,0))</f>
        <v>0</v>
      </c>
      <c r="BS82" s="2">
        <f>((IF((59='V06 Calend 01'!C82),('V06 Calend 01'!F82+'V06 Calend 01'!G82),0)+IF(AND(('V06 Calend 01'!E82&gt;0),(59&gt;'V06 Calend 01'!C82),(59&lt;'V06 Calend 01'!D82),(MOD((59-'V06 Calend 01'!C82),6)=0),(((59-'V06 Calend 01'!C82)/6)&lt;='V06 Calend 01'!E82)),IF((59=('V06 Calend 01'!C82+(6*'V06 Calend 01'!E82))),('V06 Calend 01'!H82-('V06 Calend 01'!I82*('V06 Calend 01'!E82-1))),'V06 Calend 01'!I82),0))+IF((59='V06 Calend 01'!D82),'V06 Calend 01'!J82,0))</f>
        <v>0</v>
      </c>
      <c r="BT82" s="2">
        <f>((IF((60='V06 Calend 01'!C82),('V06 Calend 01'!F82+'V06 Calend 01'!G82),0)+IF(AND(('V06 Calend 01'!E82&gt;0),(60&gt;'V06 Calend 01'!C82),(60&lt;'V06 Calend 01'!D82),(MOD((60-'V06 Calend 01'!C82),6)=0),(((60-'V06 Calend 01'!C82)/6)&lt;='V06 Calend 01'!E82)),IF((60=('V06 Calend 01'!C82+(6*'V06 Calend 01'!E82))),('V06 Calend 01'!H82-('V06 Calend 01'!I82*('V06 Calend 01'!E82-1))),'V06 Calend 01'!I82),0))+IF((60='V06 Calend 01'!D82),'V06 Calend 01'!J82,0))</f>
        <v>0</v>
      </c>
      <c r="BU82" s="2">
        <f>((IF((61='V06 Calend 01'!C82),('V06 Calend 01'!F82+'V06 Calend 01'!G82),0)+IF(AND(('V06 Calend 01'!E82&gt;0),(61&gt;'V06 Calend 01'!C82),(61&lt;'V06 Calend 01'!D82),(MOD((61-'V06 Calend 01'!C82),6)=0),(((61-'V06 Calend 01'!C82)/6)&lt;='V06 Calend 01'!E82)),IF((61=('V06 Calend 01'!C82+(6*'V06 Calend 01'!E82))),('V06 Calend 01'!H82-('V06 Calend 01'!I82*('V06 Calend 01'!E82-1))),'V06 Calend 01'!I82),0))+IF((61='V06 Calend 01'!D82),'V06 Calend 01'!J82,0))</f>
        <v>0</v>
      </c>
      <c r="BV82" s="2">
        <f>((IF((62='V06 Calend 01'!C82),('V06 Calend 01'!F82+'V06 Calend 01'!G82),0)+IF(AND(('V06 Calend 01'!E82&gt;0),(62&gt;'V06 Calend 01'!C82),(62&lt;'V06 Calend 01'!D82),(MOD((62-'V06 Calend 01'!C82),6)=0),(((62-'V06 Calend 01'!C82)/6)&lt;='V06 Calend 01'!E82)),IF((62=('V06 Calend 01'!C82+(6*'V06 Calend 01'!E82))),('V06 Calend 01'!H82-('V06 Calend 01'!I82*('V06 Calend 01'!E82-1))),'V06 Calend 01'!I82),0))+IF((62='V06 Calend 01'!D82),'V06 Calend 01'!J82,0))</f>
        <v>0</v>
      </c>
      <c r="BW82" s="2">
        <f>((IF((63='V06 Calend 01'!C82),('V06 Calend 01'!F82+'V06 Calend 01'!G82),0)+IF(AND(('V06 Calend 01'!E82&gt;0),(63&gt;'V06 Calend 01'!C82),(63&lt;'V06 Calend 01'!D82),(MOD((63-'V06 Calend 01'!C82),6)=0),(((63-'V06 Calend 01'!C82)/6)&lt;='V06 Calend 01'!E82)),IF((63=('V06 Calend 01'!C82+(6*'V06 Calend 01'!E82))),('V06 Calend 01'!H82-('V06 Calend 01'!I82*('V06 Calend 01'!E82-1))),'V06 Calend 01'!I82),0))+IF((63='V06 Calend 01'!D82),'V06 Calend 01'!J82,0))</f>
        <v>0</v>
      </c>
      <c r="BX82" s="2">
        <f>((IF((64='V06 Calend 01'!C82),('V06 Calend 01'!F82+'V06 Calend 01'!G82),0)+IF(AND(('V06 Calend 01'!E82&gt;0),(64&gt;'V06 Calend 01'!C82),(64&lt;'V06 Calend 01'!D82),(MOD((64-'V06 Calend 01'!C82),6)=0),(((64-'V06 Calend 01'!C82)/6)&lt;='V06 Calend 01'!E82)),IF((64=('V06 Calend 01'!C82+(6*'V06 Calend 01'!E82))),('V06 Calend 01'!H82-('V06 Calend 01'!I82*('V06 Calend 01'!E82-1))),'V06 Calend 01'!I82),0))+IF((64='V06 Calend 01'!D82),'V06 Calend 01'!J82,0))</f>
        <v>0</v>
      </c>
      <c r="BY82" s="2">
        <f>((IF((65='V06 Calend 01'!C82),('V06 Calend 01'!F82+'V06 Calend 01'!G82),0)+IF(AND(('V06 Calend 01'!E82&gt;0),(65&gt;'V06 Calend 01'!C82),(65&lt;'V06 Calend 01'!D82),(MOD((65-'V06 Calend 01'!C82),6)=0),(((65-'V06 Calend 01'!C82)/6)&lt;='V06 Calend 01'!E82)),IF((65=('V06 Calend 01'!C82+(6*'V06 Calend 01'!E82))),('V06 Calend 01'!H82-('V06 Calend 01'!I82*('V06 Calend 01'!E82-1))),'V06 Calend 01'!I82),0))+IF((65='V06 Calend 01'!D82),'V06 Calend 01'!J82,0))</f>
        <v>0</v>
      </c>
      <c r="BZ82" s="2">
        <f>((IF((66='V06 Calend 01'!C82),('V06 Calend 01'!F82+'V06 Calend 01'!G82),0)+IF(AND(('V06 Calend 01'!E82&gt;0),(66&gt;'V06 Calend 01'!C82),(66&lt;'V06 Calend 01'!D82),(MOD((66-'V06 Calend 01'!C82),6)=0),(((66-'V06 Calend 01'!C82)/6)&lt;='V06 Calend 01'!E82)),IF((66=('V06 Calend 01'!C82+(6*'V06 Calend 01'!E82))),('V06 Calend 01'!H82-('V06 Calend 01'!I82*('V06 Calend 01'!E82-1))),'V06 Calend 01'!I82),0))+IF((66='V06 Calend 01'!D82),'V06 Calend 01'!J82,0))</f>
        <v>0</v>
      </c>
      <c r="CA82" s="2">
        <f>((IF((67='V06 Calend 01'!C82),('V06 Calend 01'!F82+'V06 Calend 01'!G82),0)+IF(AND(('V06 Calend 01'!E82&gt;0),(67&gt;'V06 Calend 01'!C82),(67&lt;'V06 Calend 01'!D82),(MOD((67-'V06 Calend 01'!C82),6)=0),(((67-'V06 Calend 01'!C82)/6)&lt;='V06 Calend 01'!E82)),IF((67=('V06 Calend 01'!C82+(6*'V06 Calend 01'!E82))),('V06 Calend 01'!H82-('V06 Calend 01'!I82*('V06 Calend 01'!E82-1))),'V06 Calend 01'!I82),0))+IF((67='V06 Calend 01'!D82),'V06 Calend 01'!J82,0))</f>
        <v>0</v>
      </c>
      <c r="CB82" s="2">
        <f>((IF((68='V06 Calend 01'!C82),('V06 Calend 01'!F82+'V06 Calend 01'!G82),0)+IF(AND(('V06 Calend 01'!E82&gt;0),(68&gt;'V06 Calend 01'!C82),(68&lt;'V06 Calend 01'!D82),(MOD((68-'V06 Calend 01'!C82),6)=0),(((68-'V06 Calend 01'!C82)/6)&lt;='V06 Calend 01'!E82)),IF((68=('V06 Calend 01'!C82+(6*'V06 Calend 01'!E82))),('V06 Calend 01'!H82-('V06 Calend 01'!I82*('V06 Calend 01'!E82-1))),'V06 Calend 01'!I82),0))+IF((68='V06 Calend 01'!D82),'V06 Calend 01'!J82,0))</f>
        <v>0</v>
      </c>
      <c r="CC82" s="2">
        <f>((IF((69='V06 Calend 01'!C82),('V06 Calend 01'!F82+'V06 Calend 01'!G82),0)+IF(AND(('V06 Calend 01'!E82&gt;0),(69&gt;'V06 Calend 01'!C82),(69&lt;'V06 Calend 01'!D82),(MOD((69-'V06 Calend 01'!C82),6)=0),(((69-'V06 Calend 01'!C82)/6)&lt;='V06 Calend 01'!E82)),IF((69=('V06 Calend 01'!C82+(6*'V06 Calend 01'!E82))),('V06 Calend 01'!H82-('V06 Calend 01'!I82*('V06 Calend 01'!E82-1))),'V06 Calend 01'!I82),0))+IF((69='V06 Calend 01'!D82),'V06 Calend 01'!J82,0))</f>
        <v>0</v>
      </c>
      <c r="CD82" s="2">
        <f>((IF((70='V06 Calend 01'!C82),('V06 Calend 01'!F82+'V06 Calend 01'!G82),0)+IF(AND(('V06 Calend 01'!E82&gt;0),(70&gt;'V06 Calend 01'!C82),(70&lt;'V06 Calend 01'!D82),(MOD((70-'V06 Calend 01'!C82),6)=0),(((70-'V06 Calend 01'!C82)/6)&lt;='V06 Calend 01'!E82)),IF((70=('V06 Calend 01'!C82+(6*'V06 Calend 01'!E82))),('V06 Calend 01'!H82-('V06 Calend 01'!I82*('V06 Calend 01'!E82-1))),'V06 Calend 01'!I82),0))+IF((70='V06 Calend 01'!D82),'V06 Calend 01'!J82,0))</f>
        <v>0</v>
      </c>
      <c r="CE82" s="2">
        <f>((IF((71='V06 Calend 01'!C82),('V06 Calend 01'!F82+'V06 Calend 01'!G82),0)+IF(AND(('V06 Calend 01'!E82&gt;0),(71&gt;'V06 Calend 01'!C82),(71&lt;'V06 Calend 01'!D82),(MOD((71-'V06 Calend 01'!C82),6)=0),(((71-'V06 Calend 01'!C82)/6)&lt;='V06 Calend 01'!E82)),IF((71=('V06 Calend 01'!C82+(6*'V06 Calend 01'!E82))),('V06 Calend 01'!H82-('V06 Calend 01'!I82*('V06 Calend 01'!E82-1))),'V06 Calend 01'!I82),0))+IF((71='V06 Calend 01'!D82),'V06 Calend 01'!J82,0))</f>
        <v>0</v>
      </c>
      <c r="CF82" s="2">
        <f>((IF((72='V06 Calend 01'!C82),('V06 Calend 01'!F82+'V06 Calend 01'!G82),0)+IF(AND(('V06 Calend 01'!E82&gt;0),(72&gt;'V06 Calend 01'!C82),(72&lt;'V06 Calend 01'!D82),(MOD((72-'V06 Calend 01'!C82),6)=0),(((72-'V06 Calend 01'!C82)/6)&lt;='V06 Calend 01'!E82)),IF((72=('V06 Calend 01'!C82+(6*'V06 Calend 01'!E82))),('V06 Calend 01'!H82-('V06 Calend 01'!I82*('V06 Calend 01'!E82-1))),'V06 Calend 01'!I82),0))+IF((72='V06 Calend 01'!D82),'V06 Calend 01'!J82,0))</f>
        <v>0</v>
      </c>
      <c r="CG82" s="2">
        <f>((IF((73='V06 Calend 01'!C82),('V06 Calend 01'!F82+'V06 Calend 01'!G82),0)+IF(AND(('V06 Calend 01'!E82&gt;0),(73&gt;'V06 Calend 01'!C82),(73&lt;'V06 Calend 01'!D82),(MOD((73-'V06 Calend 01'!C82),6)=0),(((73-'V06 Calend 01'!C82)/6)&lt;='V06 Calend 01'!E82)),IF((73=('V06 Calend 01'!C82+(6*'V06 Calend 01'!E82))),('V06 Calend 01'!H82-('V06 Calend 01'!I82*('V06 Calend 01'!E82-1))),'V06 Calend 01'!I82),0))+IF((73='V06 Calend 01'!D82),'V06 Calend 01'!J82,0))</f>
        <v>0</v>
      </c>
      <c r="CH82" s="2">
        <f>((IF((74='V06 Calend 01'!C82),('V06 Calend 01'!F82+'V06 Calend 01'!G82),0)+IF(AND(('V06 Calend 01'!E82&gt;0),(74&gt;'V06 Calend 01'!C82),(74&lt;'V06 Calend 01'!D82),(MOD((74-'V06 Calend 01'!C82),6)=0),(((74-'V06 Calend 01'!C82)/6)&lt;='V06 Calend 01'!E82)),IF((74=('V06 Calend 01'!C82+(6*'V06 Calend 01'!E82))),('V06 Calend 01'!H82-('V06 Calend 01'!I82*('V06 Calend 01'!E82-1))),'V06 Calend 01'!I82),0))+IF((74='V06 Calend 01'!D82),'V06 Calend 01'!J82,0))</f>
        <v>0</v>
      </c>
      <c r="CI82" s="2">
        <f>((IF((75='V06 Calend 01'!C82),('V06 Calend 01'!F82+'V06 Calend 01'!G82),0)+IF(AND(('V06 Calend 01'!E82&gt;0),(75&gt;'V06 Calend 01'!C82),(75&lt;'V06 Calend 01'!D82),(MOD((75-'V06 Calend 01'!C82),6)=0),(((75-'V06 Calend 01'!C82)/6)&lt;='V06 Calend 01'!E82)),IF((75=('V06 Calend 01'!C82+(6*'V06 Calend 01'!E82))),('V06 Calend 01'!H82-('V06 Calend 01'!I82*('V06 Calend 01'!E82-1))),'V06 Calend 01'!I82),0))+IF((75='V06 Calend 01'!D82),'V06 Calend 01'!J82,0))</f>
        <v>0</v>
      </c>
      <c r="CJ82" s="2">
        <f>((IF((76='V06 Calend 01'!C82),('V06 Calend 01'!F82+'V06 Calend 01'!G82),0)+IF(AND(('V06 Calend 01'!E82&gt;0),(76&gt;'V06 Calend 01'!C82),(76&lt;'V06 Calend 01'!D82),(MOD((76-'V06 Calend 01'!C82),6)=0),(((76-'V06 Calend 01'!C82)/6)&lt;='V06 Calend 01'!E82)),IF((76=('V06 Calend 01'!C82+(6*'V06 Calend 01'!E82))),('V06 Calend 01'!H82-('V06 Calend 01'!I82*('V06 Calend 01'!E82-1))),'V06 Calend 01'!I82),0))+IF((76='V06 Calend 01'!D82),'V06 Calend 01'!J82,0))</f>
        <v>0</v>
      </c>
      <c r="CK82" s="2">
        <f>((IF((77='V06 Calend 01'!C82),('V06 Calend 01'!F82+'V06 Calend 01'!G82),0)+IF(AND(('V06 Calend 01'!E82&gt;0),(77&gt;'V06 Calend 01'!C82),(77&lt;'V06 Calend 01'!D82),(MOD((77-'V06 Calend 01'!C82),6)=0),(((77-'V06 Calend 01'!C82)/6)&lt;='V06 Calend 01'!E82)),IF((77=('V06 Calend 01'!C82+(6*'V06 Calend 01'!E82))),('V06 Calend 01'!H82-('V06 Calend 01'!I82*('V06 Calend 01'!E82-1))),'V06 Calend 01'!I82),0))+IF((77='V06 Calend 01'!D82),'V06 Calend 01'!J82,0))</f>
        <v>0</v>
      </c>
      <c r="CL82" s="2">
        <f>((IF((78='V06 Calend 01'!C82),('V06 Calend 01'!F82+'V06 Calend 01'!G82),0)+IF(AND(('V06 Calend 01'!E82&gt;0),(78&gt;'V06 Calend 01'!C82),(78&lt;'V06 Calend 01'!D82),(MOD((78-'V06 Calend 01'!C82),6)=0),(((78-'V06 Calend 01'!C82)/6)&lt;='V06 Calend 01'!E82)),IF((78=('V06 Calend 01'!C82+(6*'V06 Calend 01'!E82))),('V06 Calend 01'!H82-('V06 Calend 01'!I82*('V06 Calend 01'!E82-1))),'V06 Calend 01'!I82),0))+IF((78='V06 Calend 01'!D82),'V06 Calend 01'!J82,0))</f>
        <v>0</v>
      </c>
      <c r="CM82" s="2">
        <f>((IF((79='V06 Calend 01'!C82),('V06 Calend 01'!F82+'V06 Calend 01'!G82),0)+IF(AND(('V06 Calend 01'!E82&gt;0),(79&gt;'V06 Calend 01'!C82),(79&lt;'V06 Calend 01'!D82),(MOD((79-'V06 Calend 01'!C82),6)=0),(((79-'V06 Calend 01'!C82)/6)&lt;='V06 Calend 01'!E82)),IF((79=('V06 Calend 01'!C82+(6*'V06 Calend 01'!E82))),('V06 Calend 01'!H82-('V06 Calend 01'!I82*('V06 Calend 01'!E82-1))),'V06 Calend 01'!I82),0))+IF((79='V06 Calend 01'!D82),'V06 Calend 01'!J82,0))</f>
        <v>0</v>
      </c>
      <c r="CN82" s="2">
        <f>((IF((80='V06 Calend 01'!C82),('V06 Calend 01'!F82+'V06 Calend 01'!G82),0)+IF(AND(('V06 Calend 01'!E82&gt;0),(80&gt;'V06 Calend 01'!C82),(80&lt;'V06 Calend 01'!D82),(MOD((80-'V06 Calend 01'!C82),6)=0),(((80-'V06 Calend 01'!C82)/6)&lt;='V06 Calend 01'!E82)),IF((80=('V06 Calend 01'!C82+(6*'V06 Calend 01'!E82))),('V06 Calend 01'!H82-('V06 Calend 01'!I82*('V06 Calend 01'!E82-1))),'V06 Calend 01'!I82),0))+IF((80='V06 Calend 01'!D82),'V06 Calend 01'!J82,0))</f>
        <v>0</v>
      </c>
      <c r="CO82" s="2">
        <f>((IF((81='V06 Calend 01'!C82),('V06 Calend 01'!F82+'V06 Calend 01'!G82),0)+IF(AND(('V06 Calend 01'!E82&gt;0),(81&gt;'V06 Calend 01'!C82),(81&lt;'V06 Calend 01'!D82),(MOD((81-'V06 Calend 01'!C82),6)=0),(((81-'V06 Calend 01'!C82)/6)&lt;='V06 Calend 01'!E82)),IF((81=('V06 Calend 01'!C82+(6*'V06 Calend 01'!E82))),('V06 Calend 01'!H82-('V06 Calend 01'!I82*('V06 Calend 01'!E82-1))),'V06 Calend 01'!I82),0))+IF((81='V06 Calend 01'!D82),'V06 Calend 01'!J82,0))</f>
        <v>0</v>
      </c>
      <c r="CP82" s="2">
        <f>((IF((82='V06 Calend 01'!C82),('V06 Calend 01'!F82+'V06 Calend 01'!G82),0)+IF(AND(('V06 Calend 01'!E82&gt;0),(82&gt;'V06 Calend 01'!C82),(82&lt;'V06 Calend 01'!D82),(MOD((82-'V06 Calend 01'!C82),6)=0),(((82-'V06 Calend 01'!C82)/6)&lt;='V06 Calend 01'!E82)),IF((82=('V06 Calend 01'!C82+(6*'V06 Calend 01'!E82))),('V06 Calend 01'!H82-('V06 Calend 01'!I82*('V06 Calend 01'!E82-1))),'V06 Calend 01'!I82),0))+IF((82='V06 Calend 01'!D82),'V06 Calend 01'!J82,0))</f>
        <v>0</v>
      </c>
      <c r="CQ82" s="2">
        <f>((IF((83='V06 Calend 01'!C82),('V06 Calend 01'!F82+'V06 Calend 01'!G82),0)+IF(AND(('V06 Calend 01'!E82&gt;0),(83&gt;'V06 Calend 01'!C82),(83&lt;'V06 Calend 01'!D82),(MOD((83-'V06 Calend 01'!C82),6)=0),(((83-'V06 Calend 01'!C82)/6)&lt;='V06 Calend 01'!E82)),IF((83=('V06 Calend 01'!C82+(6*'V06 Calend 01'!E82))),('V06 Calend 01'!H82-('V06 Calend 01'!I82*('V06 Calend 01'!E82-1))),'V06 Calend 01'!I82),0))+IF((83='V06 Calend 01'!D82),'V06 Calend 01'!J82,0))</f>
        <v>0</v>
      </c>
      <c r="CR82" s="2">
        <f>((IF((84='V06 Calend 01'!C82),('V06 Calend 01'!F82+'V06 Calend 01'!G82),0)+IF(AND(('V06 Calend 01'!E82&gt;0),(84&gt;'V06 Calend 01'!C82),(84&lt;'V06 Calend 01'!D82),(MOD((84-'V06 Calend 01'!C82),6)=0),(((84-'V06 Calend 01'!C82)/6)&lt;='V06 Calend 01'!E82)),IF((84=('V06 Calend 01'!C82+(6*'V06 Calend 01'!E82))),('V06 Calend 01'!H82-('V06 Calend 01'!I82*('V06 Calend 01'!E82-1))),'V06 Calend 01'!I82),0))+IF((84='V06 Calend 01'!D82),'V06 Calend 01'!J82,0))</f>
        <v>0</v>
      </c>
      <c r="CS82" s="2">
        <f>((IF((85='V06 Calend 01'!C82),('V06 Calend 01'!F82+'V06 Calend 01'!G82),0)+IF(AND(('V06 Calend 01'!E82&gt;0),(85&gt;'V06 Calend 01'!C82),(85&lt;'V06 Calend 01'!D82),(MOD((85-'V06 Calend 01'!C82),6)=0),(((85-'V06 Calend 01'!C82)/6)&lt;='V06 Calend 01'!E82)),IF((85=('V06 Calend 01'!C82+(6*'V06 Calend 01'!E82))),('V06 Calend 01'!H82-('V06 Calend 01'!I82*('V06 Calend 01'!E82-1))),'V06 Calend 01'!I82),0))+IF((85='V06 Calend 01'!D82),'V06 Calend 01'!J82,0))</f>
        <v>0</v>
      </c>
      <c r="CT82" s="2">
        <f>((IF((86='V06 Calend 01'!C82),('V06 Calend 01'!F82+'V06 Calend 01'!G82),0)+IF(AND(('V06 Calend 01'!E82&gt;0),(86&gt;'V06 Calend 01'!C82),(86&lt;'V06 Calend 01'!D82),(MOD((86-'V06 Calend 01'!C82),6)=0),(((86-'V06 Calend 01'!C82)/6)&lt;='V06 Calend 01'!E82)),IF((86=('V06 Calend 01'!C82+(6*'V06 Calend 01'!E82))),('V06 Calend 01'!H82-('V06 Calend 01'!I82*('V06 Calend 01'!E82-1))),'V06 Calend 01'!I82),0))+IF((86='V06 Calend 01'!D82),'V06 Calend 01'!J82,0))</f>
        <v>0</v>
      </c>
      <c r="CU82" s="2">
        <f>((IF((87='V06 Calend 01'!C82),('V06 Calend 01'!F82+'V06 Calend 01'!G82),0)+IF(AND(('V06 Calend 01'!E82&gt;0),(87&gt;'V06 Calend 01'!C82),(87&lt;'V06 Calend 01'!D82),(MOD((87-'V06 Calend 01'!C82),6)=0),(((87-'V06 Calend 01'!C82)/6)&lt;='V06 Calend 01'!E82)),IF((87=('V06 Calend 01'!C82+(6*'V06 Calend 01'!E82))),('V06 Calend 01'!H82-('V06 Calend 01'!I82*('V06 Calend 01'!E82-1))),'V06 Calend 01'!I82),0))+IF((87='V06 Calend 01'!D82),'V06 Calend 01'!J82,0))</f>
        <v>0</v>
      </c>
      <c r="CV82" s="2">
        <f>((IF((88='V06 Calend 01'!C82),('V06 Calend 01'!F82+'V06 Calend 01'!G82),0)+IF(AND(('V06 Calend 01'!E82&gt;0),(88&gt;'V06 Calend 01'!C82),(88&lt;'V06 Calend 01'!D82),(MOD((88-'V06 Calend 01'!C82),6)=0),(((88-'V06 Calend 01'!C82)/6)&lt;='V06 Calend 01'!E82)),IF((88=('V06 Calend 01'!C82+(6*'V06 Calend 01'!E82))),('V06 Calend 01'!H82-('V06 Calend 01'!I82*('V06 Calend 01'!E82-1))),'V06 Calend 01'!I82),0))+IF((88='V06 Calend 01'!D82),'V06 Calend 01'!J82,0))</f>
        <v>0</v>
      </c>
      <c r="CW82" s="2">
        <f>((IF((89='V06 Calend 01'!C82),('V06 Calend 01'!F82+'V06 Calend 01'!G82),0)+IF(AND(('V06 Calend 01'!E82&gt;0),(89&gt;'V06 Calend 01'!C82),(89&lt;'V06 Calend 01'!D82),(MOD((89-'V06 Calend 01'!C82),6)=0),(((89-'V06 Calend 01'!C82)/6)&lt;='V06 Calend 01'!E82)),IF((89=('V06 Calend 01'!C82+(6*'V06 Calend 01'!E82))),('V06 Calend 01'!H82-('V06 Calend 01'!I82*('V06 Calend 01'!E82-1))),'V06 Calend 01'!I82),0))+IF((89='V06 Calend 01'!D82),'V06 Calend 01'!J82,0))</f>
        <v>0</v>
      </c>
      <c r="CX82" s="2">
        <f>((IF((90='V06 Calend 01'!C82),('V06 Calend 01'!F82+'V06 Calend 01'!G82),0)+IF(AND(('V06 Calend 01'!E82&gt;0),(90&gt;'V06 Calend 01'!C82),(90&lt;'V06 Calend 01'!D82),(MOD((90-'V06 Calend 01'!C82),6)=0),(((90-'V06 Calend 01'!C82)/6)&lt;='V06 Calend 01'!E82)),IF((90=('V06 Calend 01'!C82+(6*'V06 Calend 01'!E82))),('V06 Calend 01'!H82-('V06 Calend 01'!I82*('V06 Calend 01'!E82-1))),'V06 Calend 01'!I82),0))+IF((90='V06 Calend 01'!D82),'V06 Calend 01'!J82,0))</f>
        <v>0</v>
      </c>
      <c r="CY82" s="2">
        <f>((IF((91='V06 Calend 01'!C82),('V06 Calend 01'!F82+'V06 Calend 01'!G82),0)+IF(AND(('V06 Calend 01'!E82&gt;0),(91&gt;'V06 Calend 01'!C82),(91&lt;'V06 Calend 01'!D82),(MOD((91-'V06 Calend 01'!C82),6)=0),(((91-'V06 Calend 01'!C82)/6)&lt;='V06 Calend 01'!E82)),IF((91=('V06 Calend 01'!C82+(6*'V06 Calend 01'!E82))),('V06 Calend 01'!H82-('V06 Calend 01'!I82*('V06 Calend 01'!E82-1))),'V06 Calend 01'!I82),0))+IF((91='V06 Calend 01'!D82),'V06 Calend 01'!J82,0))</f>
        <v>0</v>
      </c>
      <c r="CZ82" s="2">
        <f>((IF((92='V06 Calend 01'!C82),('V06 Calend 01'!F82+'V06 Calend 01'!G82),0)+IF(AND(('V06 Calend 01'!E82&gt;0),(92&gt;'V06 Calend 01'!C82),(92&lt;'V06 Calend 01'!D82),(MOD((92-'V06 Calend 01'!C82),6)=0),(((92-'V06 Calend 01'!C82)/6)&lt;='V06 Calend 01'!E82)),IF((92=('V06 Calend 01'!C82+(6*'V06 Calend 01'!E82))),('V06 Calend 01'!H82-('V06 Calend 01'!I82*('V06 Calend 01'!E82-1))),'V06 Calend 01'!I82),0))+IF((92='V06 Calend 01'!D82),'V06 Calend 01'!J82,0))</f>
        <v>0</v>
      </c>
      <c r="DA82" s="2">
        <f>((IF((93='V06 Calend 01'!C82),('V06 Calend 01'!F82+'V06 Calend 01'!G82),0)+IF(AND(('V06 Calend 01'!E82&gt;0),(93&gt;'V06 Calend 01'!C82),(93&lt;'V06 Calend 01'!D82),(MOD((93-'V06 Calend 01'!C82),6)=0),(((93-'V06 Calend 01'!C82)/6)&lt;='V06 Calend 01'!E82)),IF((93=('V06 Calend 01'!C82+(6*'V06 Calend 01'!E82))),('V06 Calend 01'!H82-('V06 Calend 01'!I82*('V06 Calend 01'!E82-1))),'V06 Calend 01'!I82),0))+IF((93='V06 Calend 01'!D82),'V06 Calend 01'!J82,0))</f>
        <v>0</v>
      </c>
      <c r="DB82" s="2">
        <f>((IF((94='V06 Calend 01'!C82),('V06 Calend 01'!F82+'V06 Calend 01'!G82),0)+IF(AND(('V06 Calend 01'!E82&gt;0),(94&gt;'V06 Calend 01'!C82),(94&lt;'V06 Calend 01'!D82),(MOD((94-'V06 Calend 01'!C82),6)=0),(((94-'V06 Calend 01'!C82)/6)&lt;='V06 Calend 01'!E82)),IF((94=('V06 Calend 01'!C82+(6*'V06 Calend 01'!E82))),('V06 Calend 01'!H82-('V06 Calend 01'!I82*('V06 Calend 01'!E82-1))),'V06 Calend 01'!I82),0))+IF((94='V06 Calend 01'!D82),'V06 Calend 01'!J82,0))</f>
        <v>0</v>
      </c>
      <c r="DC82" s="2">
        <f>((IF((95='V06 Calend 01'!C82),('V06 Calend 01'!F82+'V06 Calend 01'!G82),0)+IF(AND(('V06 Calend 01'!E82&gt;0),(95&gt;'V06 Calend 01'!C82),(95&lt;'V06 Calend 01'!D82),(MOD((95-'V06 Calend 01'!C82),6)=0),(((95-'V06 Calend 01'!C82)/6)&lt;='V06 Calend 01'!E82)),IF((95=('V06 Calend 01'!C82+(6*'V06 Calend 01'!E82))),('V06 Calend 01'!H82-('V06 Calend 01'!I82*('V06 Calend 01'!E82-1))),'V06 Calend 01'!I82),0))+IF((95='V06 Calend 01'!D82),'V06 Calend 01'!J82,0))</f>
        <v>0</v>
      </c>
      <c r="DD82" s="2">
        <f>((IF((96='V06 Calend 01'!C82),('V06 Calend 01'!F82+'V06 Calend 01'!G82),0)+IF(AND(('V06 Calend 01'!E82&gt;0),(96&gt;'V06 Calend 01'!C82),(96&lt;'V06 Calend 01'!D82),(MOD((96-'V06 Calend 01'!C82),6)=0),(((96-'V06 Calend 01'!C82)/6)&lt;='V06 Calend 01'!E82)),IF((96=('V06 Calend 01'!C82+(6*'V06 Calend 01'!E82))),('V06 Calend 01'!H82-('V06 Calend 01'!I82*('V06 Calend 01'!E82-1))),'V06 Calend 01'!I82),0))+IF((96='V06 Calend 01'!D82),'V06 Calend 01'!J82,0))</f>
        <v>0</v>
      </c>
      <c r="DE82" s="2">
        <f>((IF((97='V06 Calend 01'!C82),('V06 Calend 01'!F82+'V06 Calend 01'!G82),0)+IF(AND(('V06 Calend 01'!E82&gt;0),(97&gt;'V06 Calend 01'!C82),(97&lt;'V06 Calend 01'!D82),(MOD((97-'V06 Calend 01'!C82),6)=0),(((97-'V06 Calend 01'!C82)/6)&lt;='V06 Calend 01'!E82)),IF((97=('V06 Calend 01'!C82+(6*'V06 Calend 01'!E82))),('V06 Calend 01'!H82-('V06 Calend 01'!I82*('V06 Calend 01'!E82-1))),'V06 Calend 01'!I82),0))+IF((97='V06 Calend 01'!D82),'V06 Calend 01'!J82,0))</f>
        <v>0</v>
      </c>
      <c r="DF82" s="2">
        <f>((IF((98='V06 Calend 01'!C82),('V06 Calend 01'!F82+'V06 Calend 01'!G82),0)+IF(AND(('V06 Calend 01'!E82&gt;0),(98&gt;'V06 Calend 01'!C82),(98&lt;'V06 Calend 01'!D82),(MOD((98-'V06 Calend 01'!C82),6)=0),(((98-'V06 Calend 01'!C82)/6)&lt;='V06 Calend 01'!E82)),IF((98=('V06 Calend 01'!C82+(6*'V06 Calend 01'!E82))),('V06 Calend 01'!H82-('V06 Calend 01'!I82*('V06 Calend 01'!E82-1))),'V06 Calend 01'!I82),0))+IF((98='V06 Calend 01'!D82),'V06 Calend 01'!J82,0))</f>
        <v>0</v>
      </c>
      <c r="DG82" s="2">
        <f>((IF((99='V06 Calend 01'!C82),('V06 Calend 01'!F82+'V06 Calend 01'!G82),0)+IF(AND(('V06 Calend 01'!E82&gt;0),(99&gt;'V06 Calend 01'!C82),(99&lt;'V06 Calend 01'!D82),(MOD((99-'V06 Calend 01'!C82),6)=0),(((99-'V06 Calend 01'!C82)/6)&lt;='V06 Calend 01'!E82)),IF((99=('V06 Calend 01'!C82+(6*'V06 Calend 01'!E82))),('V06 Calend 01'!H82-('V06 Calend 01'!I82*('V06 Calend 01'!E82-1))),'V06 Calend 01'!I82),0))+IF((99='V06 Calend 01'!D82),'V06 Calend 01'!J82,0))</f>
        <v>0</v>
      </c>
      <c r="DH82" s="2">
        <f>((IF((100='V06 Calend 01'!C82),('V06 Calend 01'!F82+'V06 Calend 01'!G82),0)+IF(AND(('V06 Calend 01'!E82&gt;0),(100&gt;'V06 Calend 01'!C82),(100&lt;'V06 Calend 01'!D82),(MOD((100-'V06 Calend 01'!C82),6)=0),(((100-'V06 Calend 01'!C82)/6)&lt;='V06 Calend 01'!E82)),IF((100=('V06 Calend 01'!C82+(6*'V06 Calend 01'!E82))),('V06 Calend 01'!H82-('V06 Calend 01'!I82*('V06 Calend 01'!E82-1))),'V06 Calend 01'!I82),0))+IF((100='V06 Calend 01'!D82),'V06 Calend 01'!J82,0))</f>
        <v>0</v>
      </c>
      <c r="DI82" s="2">
        <f>((IF((101='V06 Calend 01'!C82),('V06 Calend 01'!F82+'V06 Calend 01'!G82),0)+IF(AND(('V06 Calend 01'!E82&gt;0),(101&gt;'V06 Calend 01'!C82),(101&lt;'V06 Calend 01'!D82),(MOD((101-'V06 Calend 01'!C82),6)=0),(((101-'V06 Calend 01'!C82)/6)&lt;='V06 Calend 01'!E82)),IF((101=('V06 Calend 01'!C82+(6*'V06 Calend 01'!E82))),('V06 Calend 01'!H82-('V06 Calend 01'!I82*('V06 Calend 01'!E82-1))),'V06 Calend 01'!I82),0))+IF((101='V06 Calend 01'!D82),'V06 Calend 01'!J82,0))</f>
        <v>0</v>
      </c>
      <c r="DJ82" s="2">
        <f>((IF((102='V06 Calend 01'!C82),('V06 Calend 01'!F82+'V06 Calend 01'!G82),0)+IF(AND(('V06 Calend 01'!E82&gt;0),(102&gt;'V06 Calend 01'!C82),(102&lt;'V06 Calend 01'!D82),(MOD((102-'V06 Calend 01'!C82),6)=0),(((102-'V06 Calend 01'!C82)/6)&lt;='V06 Calend 01'!E82)),IF((102=('V06 Calend 01'!C82+(6*'V06 Calend 01'!E82))),('V06 Calend 01'!H82-('V06 Calend 01'!I82*('V06 Calend 01'!E82-1))),'V06 Calend 01'!I82),0))+IF((102='V06 Calend 01'!D82),'V06 Calend 01'!J82,0))</f>
        <v>0</v>
      </c>
      <c r="DK82" s="2">
        <f>((IF((103='V06 Calend 01'!C82),('V06 Calend 01'!F82+'V06 Calend 01'!G82),0)+IF(AND(('V06 Calend 01'!E82&gt;0),(103&gt;'V06 Calend 01'!C82),(103&lt;'V06 Calend 01'!D82),(MOD((103-'V06 Calend 01'!C82),6)=0),(((103-'V06 Calend 01'!C82)/6)&lt;='V06 Calend 01'!E82)),IF((103=('V06 Calend 01'!C82+(6*'V06 Calend 01'!E82))),('V06 Calend 01'!H82-('V06 Calend 01'!I82*('V06 Calend 01'!E82-1))),'V06 Calend 01'!I82),0))+IF((103='V06 Calend 01'!D82),'V06 Calend 01'!J82,0))</f>
        <v>0</v>
      </c>
      <c r="DL82" s="2">
        <f>((IF((104='V06 Calend 01'!C82),('V06 Calend 01'!F82+'V06 Calend 01'!G82),0)+IF(AND(('V06 Calend 01'!E82&gt;0),(104&gt;'V06 Calend 01'!C82),(104&lt;'V06 Calend 01'!D82),(MOD((104-'V06 Calend 01'!C82),6)=0),(((104-'V06 Calend 01'!C82)/6)&lt;='V06 Calend 01'!E82)),IF((104=('V06 Calend 01'!C82+(6*'V06 Calend 01'!E82))),('V06 Calend 01'!H82-('V06 Calend 01'!I82*('V06 Calend 01'!E82-1))),'V06 Calend 01'!I82),0))+IF((104='V06 Calend 01'!D82),'V06 Calend 01'!J82,0))</f>
        <v>0</v>
      </c>
      <c r="DM82" s="2">
        <f>((IF((105='V06 Calend 01'!C82),('V06 Calend 01'!F82+'V06 Calend 01'!G82),0)+IF(AND(('V06 Calend 01'!E82&gt;0),(105&gt;'V06 Calend 01'!C82),(105&lt;'V06 Calend 01'!D82),(MOD((105-'V06 Calend 01'!C82),6)=0),(((105-'V06 Calend 01'!C82)/6)&lt;='V06 Calend 01'!E82)),IF((105=('V06 Calend 01'!C82+(6*'V06 Calend 01'!E82))),('V06 Calend 01'!H82-('V06 Calend 01'!I82*('V06 Calend 01'!E82-1))),'V06 Calend 01'!I82),0))+IF((105='V06 Calend 01'!D82),'V06 Calend 01'!J82,0))</f>
        <v>0</v>
      </c>
      <c r="DN82" s="2">
        <f>((IF((106='V06 Calend 01'!C82),('V06 Calend 01'!F82+'V06 Calend 01'!G82),0)+IF(AND(('V06 Calend 01'!E82&gt;0),(106&gt;'V06 Calend 01'!C82),(106&lt;'V06 Calend 01'!D82),(MOD((106-'V06 Calend 01'!C82),6)=0),(((106-'V06 Calend 01'!C82)/6)&lt;='V06 Calend 01'!E82)),IF((106=('V06 Calend 01'!C82+(6*'V06 Calend 01'!E82))),('V06 Calend 01'!H82-('V06 Calend 01'!I82*('V06 Calend 01'!E82-1))),'V06 Calend 01'!I82),0))+IF((106='V06 Calend 01'!D82),'V06 Calend 01'!J82,0))</f>
        <v>0</v>
      </c>
      <c r="DO82" s="2">
        <f>((IF((107='V06 Calend 01'!C82),('V06 Calend 01'!F82+'V06 Calend 01'!G82),0)+IF(AND(('V06 Calend 01'!E82&gt;0),(107&gt;'V06 Calend 01'!C82),(107&lt;'V06 Calend 01'!D82),(MOD((107-'V06 Calend 01'!C82),6)=0),(((107-'V06 Calend 01'!C82)/6)&lt;='V06 Calend 01'!E82)),IF((107=('V06 Calend 01'!C82+(6*'V06 Calend 01'!E82))),('V06 Calend 01'!H82-('V06 Calend 01'!I82*('V06 Calend 01'!E82-1))),'V06 Calend 01'!I82),0))+IF((107='V06 Calend 01'!D82),'V06 Calend 01'!J82,0))</f>
        <v>0</v>
      </c>
      <c r="DP82" s="2">
        <f>((IF((108='V06 Calend 01'!C82),('V06 Calend 01'!F82+'V06 Calend 01'!G82),0)+IF(AND(('V06 Calend 01'!E82&gt;0),(108&gt;'V06 Calend 01'!C82),(108&lt;'V06 Calend 01'!D82),(MOD((108-'V06 Calend 01'!C82),6)=0),(((108-'V06 Calend 01'!C82)/6)&lt;='V06 Calend 01'!E82)),IF((108=('V06 Calend 01'!C82+(6*'V06 Calend 01'!E82))),('V06 Calend 01'!H82-('V06 Calend 01'!I82*('V06 Calend 01'!E82-1))),'V06 Calend 01'!I82),0))+IF((108='V06 Calend 01'!D82),'V06 Calend 01'!J82,0))</f>
        <v>0</v>
      </c>
      <c r="DQ82" s="2">
        <f>((IF((109='V06 Calend 01'!C82),('V06 Calend 01'!F82+'V06 Calend 01'!G82),0)+IF(AND(('V06 Calend 01'!E82&gt;0),(109&gt;'V06 Calend 01'!C82),(109&lt;'V06 Calend 01'!D82),(MOD((109-'V06 Calend 01'!C82),6)=0),(((109-'V06 Calend 01'!C82)/6)&lt;='V06 Calend 01'!E82)),IF((109=('V06 Calend 01'!C82+(6*'V06 Calend 01'!E82))),('V06 Calend 01'!H82-('V06 Calend 01'!I82*('V06 Calend 01'!E82-1))),'V06 Calend 01'!I82),0))+IF((109='V06 Calend 01'!D82),'V06 Calend 01'!J82,0))</f>
        <v>0</v>
      </c>
      <c r="DR82" s="2">
        <f>((IF((110='V06 Calend 01'!C82),('V06 Calend 01'!F82+'V06 Calend 01'!G82),0)+IF(AND(('V06 Calend 01'!E82&gt;0),(110&gt;'V06 Calend 01'!C82),(110&lt;'V06 Calend 01'!D82),(MOD((110-'V06 Calend 01'!C82),6)=0),(((110-'V06 Calend 01'!C82)/6)&lt;='V06 Calend 01'!E82)),IF((110=('V06 Calend 01'!C82+(6*'V06 Calend 01'!E82))),('V06 Calend 01'!H82-('V06 Calend 01'!I82*('V06 Calend 01'!E82-1))),'V06 Calend 01'!I82),0))+IF((110='V06 Calend 01'!D82),'V06 Calend 01'!J82,0))</f>
        <v>0</v>
      </c>
      <c r="DS82" s="2">
        <f>((IF((111='V06 Calend 01'!C82),('V06 Calend 01'!F82+'V06 Calend 01'!G82),0)+IF(AND(('V06 Calend 01'!E82&gt;0),(111&gt;'V06 Calend 01'!C82),(111&lt;'V06 Calend 01'!D82),(MOD((111-'V06 Calend 01'!C82),6)=0),(((111-'V06 Calend 01'!C82)/6)&lt;='V06 Calend 01'!E82)),IF((111=('V06 Calend 01'!C82+(6*'V06 Calend 01'!E82))),('V06 Calend 01'!H82-('V06 Calend 01'!I82*('V06 Calend 01'!E82-1))),'V06 Calend 01'!I82),0))+IF((111='V06 Calend 01'!D82),'V06 Calend 01'!J82,0))</f>
        <v>0</v>
      </c>
      <c r="DT82" s="2">
        <f>((IF((112='V06 Calend 01'!C82),('V06 Calend 01'!F82+'V06 Calend 01'!G82),0)+IF(AND(('V06 Calend 01'!E82&gt;0),(112&gt;'V06 Calend 01'!C82),(112&lt;'V06 Calend 01'!D82),(MOD((112-'V06 Calend 01'!C82),6)=0),(((112-'V06 Calend 01'!C82)/6)&lt;='V06 Calend 01'!E82)),IF((112=('V06 Calend 01'!C82+(6*'V06 Calend 01'!E82))),('V06 Calend 01'!H82-('V06 Calend 01'!I82*('V06 Calend 01'!E82-1))),'V06 Calend 01'!I82),0))+IF((112='V06 Calend 01'!D82),'V06 Calend 01'!J82,0))</f>
        <v>0</v>
      </c>
      <c r="DU82" s="2">
        <f>((IF((113='V06 Calend 01'!C82),('V06 Calend 01'!F82+'V06 Calend 01'!G82),0)+IF(AND(('V06 Calend 01'!E82&gt;0),(113&gt;'V06 Calend 01'!C82),(113&lt;'V06 Calend 01'!D82),(MOD((113-'V06 Calend 01'!C82),6)=0),(((113-'V06 Calend 01'!C82)/6)&lt;='V06 Calend 01'!E82)),IF((113=('V06 Calend 01'!C82+(6*'V06 Calend 01'!E82))),('V06 Calend 01'!H82-('V06 Calend 01'!I82*('V06 Calend 01'!E82-1))),'V06 Calend 01'!I82),0))+IF((113='V06 Calend 01'!D82),'V06 Calend 01'!J82,0))</f>
        <v>0</v>
      </c>
      <c r="DV82" s="2">
        <f>((IF((114='V06 Calend 01'!C82),('V06 Calend 01'!F82+'V06 Calend 01'!G82),0)+IF(AND(('V06 Calend 01'!E82&gt;0),(114&gt;'V06 Calend 01'!C82),(114&lt;'V06 Calend 01'!D82),(MOD((114-'V06 Calend 01'!C82),6)=0),(((114-'V06 Calend 01'!C82)/6)&lt;='V06 Calend 01'!E82)),IF((114=('V06 Calend 01'!C82+(6*'V06 Calend 01'!E82))),('V06 Calend 01'!H82-('V06 Calend 01'!I82*('V06 Calend 01'!E82-1))),'V06 Calend 01'!I82),0))+IF((114='V06 Calend 01'!D82),'V06 Calend 01'!J82,0))</f>
        <v>0</v>
      </c>
      <c r="DW82" s="2">
        <f>((IF((115='V06 Calend 01'!C82),('V06 Calend 01'!F82+'V06 Calend 01'!G82),0)+IF(AND(('V06 Calend 01'!E82&gt;0),(115&gt;'V06 Calend 01'!C82),(115&lt;'V06 Calend 01'!D82),(MOD((115-'V06 Calend 01'!C82),6)=0),(((115-'V06 Calend 01'!C82)/6)&lt;='V06 Calend 01'!E82)),IF((115=('V06 Calend 01'!C82+(6*'V06 Calend 01'!E82))),('V06 Calend 01'!H82-('V06 Calend 01'!I82*('V06 Calend 01'!E82-1))),'V06 Calend 01'!I82),0))+IF((115='V06 Calend 01'!D82),'V06 Calend 01'!J82,0))</f>
        <v>0</v>
      </c>
      <c r="DX82" s="2">
        <f>((IF((116='V06 Calend 01'!C82),('V06 Calend 01'!F82+'V06 Calend 01'!G82),0)+IF(AND(('V06 Calend 01'!E82&gt;0),(116&gt;'V06 Calend 01'!C82),(116&lt;'V06 Calend 01'!D82),(MOD((116-'V06 Calend 01'!C82),6)=0),(((116-'V06 Calend 01'!C82)/6)&lt;='V06 Calend 01'!E82)),IF((116=('V06 Calend 01'!C82+(6*'V06 Calend 01'!E82))),('V06 Calend 01'!H82-('V06 Calend 01'!I82*('V06 Calend 01'!E82-1))),'V06 Calend 01'!I82),0))+IF((116='V06 Calend 01'!D82),'V06 Calend 01'!J82,0))</f>
        <v>0</v>
      </c>
      <c r="DY82" s="2">
        <f>((IF((117='V06 Calend 01'!C82),('V06 Calend 01'!F82+'V06 Calend 01'!G82),0)+IF(AND(('V06 Calend 01'!E82&gt;0),(117&gt;'V06 Calend 01'!C82),(117&lt;'V06 Calend 01'!D82),(MOD((117-'V06 Calend 01'!C82),6)=0),(((117-'V06 Calend 01'!C82)/6)&lt;='V06 Calend 01'!E82)),IF((117=('V06 Calend 01'!C82+(6*'V06 Calend 01'!E82))),('V06 Calend 01'!H82-('V06 Calend 01'!I82*('V06 Calend 01'!E82-1))),'V06 Calend 01'!I82),0))+IF((117='V06 Calend 01'!D82),'V06 Calend 01'!J82,0))</f>
        <v>0</v>
      </c>
      <c r="DZ82" s="2">
        <f>((IF((118='V06 Calend 01'!C82),('V06 Calend 01'!F82+'V06 Calend 01'!G82),0)+IF(AND(('V06 Calend 01'!E82&gt;0),(118&gt;'V06 Calend 01'!C82),(118&lt;'V06 Calend 01'!D82),(MOD((118-'V06 Calend 01'!C82),6)=0),(((118-'V06 Calend 01'!C82)/6)&lt;='V06 Calend 01'!E82)),IF((118=('V06 Calend 01'!C82+(6*'V06 Calend 01'!E82))),('V06 Calend 01'!H82-('V06 Calend 01'!I82*('V06 Calend 01'!E82-1))),'V06 Calend 01'!I82),0))+IF((118='V06 Calend 01'!D82),'V06 Calend 01'!J82,0))</f>
        <v>0</v>
      </c>
      <c r="EA82" s="2">
        <f>((IF((119='V06 Calend 01'!C82),('V06 Calend 01'!F82+'V06 Calend 01'!G82),0)+IF(AND(('V06 Calend 01'!E82&gt;0),(119&gt;'V06 Calend 01'!C82),(119&lt;'V06 Calend 01'!D82),(MOD((119-'V06 Calend 01'!C82),6)=0),(((119-'V06 Calend 01'!C82)/6)&lt;='V06 Calend 01'!E82)),IF((119=('V06 Calend 01'!C82+(6*'V06 Calend 01'!E82))),('V06 Calend 01'!H82-('V06 Calend 01'!I82*('V06 Calend 01'!E82-1))),'V06 Calend 01'!I82),0))+IF((119='V06 Calend 01'!D82),'V06 Calend 01'!J82,0))</f>
        <v>0</v>
      </c>
      <c r="EB82" s="2">
        <f>((IF((120='V06 Calend 01'!C82),('V06 Calend 01'!F82+'V06 Calend 01'!G82),0)+IF(AND(('V06 Calend 01'!E82&gt;0),(120&gt;'V06 Calend 01'!C82),(120&lt;'V06 Calend 01'!D82),(MOD((120-'V06 Calend 01'!C82),6)=0),(((120-'V06 Calend 01'!C82)/6)&lt;='V06 Calend 01'!E82)),IF((120=('V06 Calend 01'!C82+(6*'V06 Calend 01'!E82))),('V06 Calend 01'!H82-('V06 Calend 01'!I82*('V06 Calend 01'!E82-1))),'V06 Calend 01'!I82),0))+IF((120='V06 Calend 01'!D82),'V06 Calend 01'!J82,0))</f>
        <v>0</v>
      </c>
      <c r="EC82" s="2">
        <f>((IF((121='V06 Calend 01'!C82),('V06 Calend 01'!F82+'V06 Calend 01'!G82),0)+IF(AND(('V06 Calend 01'!E82&gt;0),(121&gt;'V06 Calend 01'!C82),(121&lt;'V06 Calend 01'!D82),(MOD((121-'V06 Calend 01'!C82),6)=0),(((121-'V06 Calend 01'!C82)/6)&lt;='V06 Calend 01'!E82)),IF((121=('V06 Calend 01'!C82+(6*'V06 Calend 01'!E82))),('V06 Calend 01'!H82-('V06 Calend 01'!I82*('V06 Calend 01'!E82-1))),'V06 Calend 01'!I82),0))+IF((121='V06 Calend 01'!D82),'V06 Calend 01'!J82,0))</f>
        <v>0</v>
      </c>
      <c r="ED82" s="2">
        <f>((IF((122='V06 Calend 01'!C82),('V06 Calend 01'!F82+'V06 Calend 01'!G82),0)+IF(AND(('V06 Calend 01'!E82&gt;0),(122&gt;'V06 Calend 01'!C82),(122&lt;'V06 Calend 01'!D82),(MOD((122-'V06 Calend 01'!C82),6)=0),(((122-'V06 Calend 01'!C82)/6)&lt;='V06 Calend 01'!E82)),IF((122=('V06 Calend 01'!C82+(6*'V06 Calend 01'!E82))),('V06 Calend 01'!H82-('V06 Calend 01'!I82*('V06 Calend 01'!E82-1))),'V06 Calend 01'!I82),0))+IF((122='V06 Calend 01'!D82),'V06 Calend 01'!J82,0))</f>
        <v>0</v>
      </c>
      <c r="EE82" s="2">
        <f>((IF((123='V06 Calend 01'!C82),('V06 Calend 01'!F82+'V06 Calend 01'!G82),0)+IF(AND(('V06 Calend 01'!E82&gt;0),(123&gt;'V06 Calend 01'!C82),(123&lt;'V06 Calend 01'!D82),(MOD((123-'V06 Calend 01'!C82),6)=0),(((123-'V06 Calend 01'!C82)/6)&lt;='V06 Calend 01'!E82)),IF((123=('V06 Calend 01'!C82+(6*'V06 Calend 01'!E82))),('V06 Calend 01'!H82-('V06 Calend 01'!I82*('V06 Calend 01'!E82-1))),'V06 Calend 01'!I82),0))+IF((123='V06 Calend 01'!D82),'V06 Calend 01'!J82,0))</f>
        <v>0</v>
      </c>
      <c r="EF82" s="2">
        <f>((IF((124='V06 Calend 01'!C82),('V06 Calend 01'!F82+'V06 Calend 01'!G82),0)+IF(AND(('V06 Calend 01'!E82&gt;0),(124&gt;'V06 Calend 01'!C82),(124&lt;'V06 Calend 01'!D82),(MOD((124-'V06 Calend 01'!C82),6)=0),(((124-'V06 Calend 01'!C82)/6)&lt;='V06 Calend 01'!E82)),IF((124=('V06 Calend 01'!C82+(6*'V06 Calend 01'!E82))),('V06 Calend 01'!H82-('V06 Calend 01'!I82*('V06 Calend 01'!E82-1))),'V06 Calend 01'!I82),0))+IF((124='V06 Calend 01'!D82),'V06 Calend 01'!J82,0))</f>
        <v>0</v>
      </c>
      <c r="EG82" s="2">
        <f>((IF((125='V06 Calend 01'!C82),('V06 Calend 01'!F82+'V06 Calend 01'!G82),0)+IF(AND(('V06 Calend 01'!E82&gt;0),(125&gt;'V06 Calend 01'!C82),(125&lt;'V06 Calend 01'!D82),(MOD((125-'V06 Calend 01'!C82),6)=0),(((125-'V06 Calend 01'!C82)/6)&lt;='V06 Calend 01'!E82)),IF((125=('V06 Calend 01'!C82+(6*'V06 Calend 01'!E82))),('V06 Calend 01'!H82-('V06 Calend 01'!I82*('V06 Calend 01'!E82-1))),'V06 Calend 01'!I82),0))+IF((125='V06 Calend 01'!D82),'V06 Calend 01'!J82,0))</f>
        <v>0</v>
      </c>
      <c r="EH82" s="2">
        <f>((IF((126='V06 Calend 01'!C82),('V06 Calend 01'!F82+'V06 Calend 01'!G82),0)+IF(AND(('V06 Calend 01'!E82&gt;0),(126&gt;'V06 Calend 01'!C82),(126&lt;'V06 Calend 01'!D82),(MOD((126-'V06 Calend 01'!C82),6)=0),(((126-'V06 Calend 01'!C82)/6)&lt;='V06 Calend 01'!E82)),IF((126=('V06 Calend 01'!C82+(6*'V06 Calend 01'!E82))),('V06 Calend 01'!H82-('V06 Calend 01'!I82*('V06 Calend 01'!E82-1))),'V06 Calend 01'!I82),0))+IF((126='V06 Calend 01'!D82),'V06 Calend 01'!J82,0))</f>
        <v>0</v>
      </c>
      <c r="EI82" s="2">
        <f>((IF((127='V06 Calend 01'!C82),('V06 Calend 01'!F82+'V06 Calend 01'!G82),0)+IF(AND(('V06 Calend 01'!E82&gt;0),(127&gt;'V06 Calend 01'!C82),(127&lt;'V06 Calend 01'!D82),(MOD((127-'V06 Calend 01'!C82),6)=0),(((127-'V06 Calend 01'!C82)/6)&lt;='V06 Calend 01'!E82)),IF((127=('V06 Calend 01'!C82+(6*'V06 Calend 01'!E82))),('V06 Calend 01'!H82-('V06 Calend 01'!I82*('V06 Calend 01'!E82-1))),'V06 Calend 01'!I82),0))+IF((127='V06 Calend 01'!D82),'V06 Calend 01'!J82,0))</f>
        <v>0</v>
      </c>
      <c r="EJ82" s="2">
        <f>((IF((128='V06 Calend 01'!C82),('V06 Calend 01'!F82+'V06 Calend 01'!G82),0)+IF(AND(('V06 Calend 01'!E82&gt;0),(128&gt;'V06 Calend 01'!C82),(128&lt;'V06 Calend 01'!D82),(MOD((128-'V06 Calend 01'!C82),6)=0),(((128-'V06 Calend 01'!C82)/6)&lt;='V06 Calend 01'!E82)),IF((128=('V06 Calend 01'!C82+(6*'V06 Calend 01'!E82))),('V06 Calend 01'!H82-('V06 Calend 01'!I82*('V06 Calend 01'!E82-1))),'V06 Calend 01'!I82),0))+IF((128='V06 Calend 01'!D82),'V06 Calend 01'!J82,0))</f>
        <v>0</v>
      </c>
      <c r="EK82" s="2">
        <f>((IF((129='V06 Calend 01'!C82),('V06 Calend 01'!F82+'V06 Calend 01'!G82),0)+IF(AND(('V06 Calend 01'!E82&gt;0),(129&gt;'V06 Calend 01'!C82),(129&lt;'V06 Calend 01'!D82),(MOD((129-'V06 Calend 01'!C82),6)=0),(((129-'V06 Calend 01'!C82)/6)&lt;='V06 Calend 01'!E82)),IF((129=('V06 Calend 01'!C82+(6*'V06 Calend 01'!E82))),('V06 Calend 01'!H82-('V06 Calend 01'!I82*('V06 Calend 01'!E82-1))),'V06 Calend 01'!I82),0))+IF((129='V06 Calend 01'!D82),'V06 Calend 01'!J82,0))</f>
        <v>0</v>
      </c>
      <c r="EL82" s="2">
        <f>((IF((130='V06 Calend 01'!C82),('V06 Calend 01'!F82+'V06 Calend 01'!G82),0)+IF(AND(('V06 Calend 01'!E82&gt;0),(130&gt;'V06 Calend 01'!C82),(130&lt;'V06 Calend 01'!D82),(MOD((130-'V06 Calend 01'!C82),6)=0),(((130-'V06 Calend 01'!C82)/6)&lt;='V06 Calend 01'!E82)),IF((130=('V06 Calend 01'!C82+(6*'V06 Calend 01'!E82))),('V06 Calend 01'!H82-('V06 Calend 01'!I82*('V06 Calend 01'!E82-1))),'V06 Calend 01'!I82),0))+IF((130='V06 Calend 01'!D82),'V06 Calend 01'!J82,0))</f>
        <v>0</v>
      </c>
      <c r="EM82" s="2">
        <f>((IF((131='V06 Calend 01'!C82),('V06 Calend 01'!F82+'V06 Calend 01'!G82),0)+IF(AND(('V06 Calend 01'!E82&gt;0),(131&gt;'V06 Calend 01'!C82),(131&lt;'V06 Calend 01'!D82),(MOD((131-'V06 Calend 01'!C82),6)=0),(((131-'V06 Calend 01'!C82)/6)&lt;='V06 Calend 01'!E82)),IF((131=('V06 Calend 01'!C82+(6*'V06 Calend 01'!E82))),('V06 Calend 01'!H82-('V06 Calend 01'!I82*('V06 Calend 01'!E82-1))),'V06 Calend 01'!I82),0))+IF((131='V06 Calend 01'!D82),'V06 Calend 01'!J82,0))</f>
        <v>0</v>
      </c>
      <c r="EN82" s="2">
        <f>((IF((132='V06 Calend 01'!C82),('V06 Calend 01'!F82+'V06 Calend 01'!G82),0)+IF(AND(('V06 Calend 01'!E82&gt;0),(132&gt;'V06 Calend 01'!C82),(132&lt;'V06 Calend 01'!D82),(MOD((132-'V06 Calend 01'!C82),6)=0),(((132-'V06 Calend 01'!C82)/6)&lt;='V06 Calend 01'!E82)),IF((132=('V06 Calend 01'!C82+(6*'V06 Calend 01'!E82))),('V06 Calend 01'!H82-('V06 Calend 01'!I82*('V06 Calend 01'!E82-1))),'V06 Calend 01'!I82),0))+IF((132='V06 Calend 01'!D82),'V06 Calend 01'!J82,0))</f>
        <v>0</v>
      </c>
      <c r="EO82" s="2">
        <f>((IF((133='V06 Calend 01'!C82),('V06 Calend 01'!F82+'V06 Calend 01'!G82),0)+IF(AND(('V06 Calend 01'!E82&gt;0),(133&gt;'V06 Calend 01'!C82),(133&lt;'V06 Calend 01'!D82),(MOD((133-'V06 Calend 01'!C82),6)=0),(((133-'V06 Calend 01'!C82)/6)&lt;='V06 Calend 01'!E82)),IF((133=('V06 Calend 01'!C82+(6*'V06 Calend 01'!E82))),('V06 Calend 01'!H82-('V06 Calend 01'!I82*('V06 Calend 01'!E82-1))),'V06 Calend 01'!I82),0))+IF((133='V06 Calend 01'!D82),'V06 Calend 01'!J82,0))</f>
        <v>0</v>
      </c>
      <c r="EP82" s="2">
        <f>((IF((134='V06 Calend 01'!C82),('V06 Calend 01'!F82+'V06 Calend 01'!G82),0)+IF(AND(('V06 Calend 01'!E82&gt;0),(134&gt;'V06 Calend 01'!C82),(134&lt;'V06 Calend 01'!D82),(MOD((134-'V06 Calend 01'!C82),6)=0),(((134-'V06 Calend 01'!C82)/6)&lt;='V06 Calend 01'!E82)),IF((134=('V06 Calend 01'!C82+(6*'V06 Calend 01'!E82))),('V06 Calend 01'!H82-('V06 Calend 01'!I82*('V06 Calend 01'!E82-1))),'V06 Calend 01'!I82),0))+IF((134='V06 Calend 01'!D82),'V06 Calend 01'!J82,0))</f>
        <v>0</v>
      </c>
      <c r="EQ82" s="2">
        <f>((IF((135='V06 Calend 01'!C82),('V06 Calend 01'!F82+'V06 Calend 01'!G82),0)+IF(AND(('V06 Calend 01'!E82&gt;0),(135&gt;'V06 Calend 01'!C82),(135&lt;'V06 Calend 01'!D82),(MOD((135-'V06 Calend 01'!C82),6)=0),(((135-'V06 Calend 01'!C82)/6)&lt;='V06 Calend 01'!E82)),IF((135=('V06 Calend 01'!C82+(6*'V06 Calend 01'!E82))),('V06 Calend 01'!H82-('V06 Calend 01'!I82*('V06 Calend 01'!E82-1))),'V06 Calend 01'!I82),0))+IF((135='V06 Calend 01'!D82),'V06 Calend 01'!J82,0))</f>
        <v>0</v>
      </c>
      <c r="ER82" s="2">
        <f>((IF((136='V06 Calend 01'!C82),('V06 Calend 01'!F82+'V06 Calend 01'!G82),0)+IF(AND(('V06 Calend 01'!E82&gt;0),(136&gt;'V06 Calend 01'!C82),(136&lt;'V06 Calend 01'!D82),(MOD((136-'V06 Calend 01'!C82),6)=0),(((136-'V06 Calend 01'!C82)/6)&lt;='V06 Calend 01'!E82)),IF((136=('V06 Calend 01'!C82+(6*'V06 Calend 01'!E82))),('V06 Calend 01'!H82-('V06 Calend 01'!I82*('V06 Calend 01'!E82-1))),'V06 Calend 01'!I82),0))+IF((136='V06 Calend 01'!D82),'V06 Calend 01'!J82,0))</f>
        <v>0</v>
      </c>
      <c r="ES82" s="2">
        <f>((IF((137='V06 Calend 01'!C82),('V06 Calend 01'!F82+'V06 Calend 01'!G82),0)+IF(AND(('V06 Calend 01'!E82&gt;0),(137&gt;'V06 Calend 01'!C82),(137&lt;'V06 Calend 01'!D82),(MOD((137-'V06 Calend 01'!C82),6)=0),(((137-'V06 Calend 01'!C82)/6)&lt;='V06 Calend 01'!E82)),IF((137=('V06 Calend 01'!C82+(6*'V06 Calend 01'!E82))),('V06 Calend 01'!H82-('V06 Calend 01'!I82*('V06 Calend 01'!E82-1))),'V06 Calend 01'!I82),0))+IF((137='V06 Calend 01'!D82),'V06 Calend 01'!J82,0))</f>
        <v>0</v>
      </c>
      <c r="ET82" s="2">
        <f>((IF((138='V06 Calend 01'!C82),('V06 Calend 01'!F82+'V06 Calend 01'!G82),0)+IF(AND(('V06 Calend 01'!E82&gt;0),(138&gt;'V06 Calend 01'!C82),(138&lt;'V06 Calend 01'!D82),(MOD((138-'V06 Calend 01'!C82),6)=0),(((138-'V06 Calend 01'!C82)/6)&lt;='V06 Calend 01'!E82)),IF((138=('V06 Calend 01'!C82+(6*'V06 Calend 01'!E82))),('V06 Calend 01'!H82-('V06 Calend 01'!I82*('V06 Calend 01'!E82-1))),'V06 Calend 01'!I82),0))+IF((138='V06 Calend 01'!D82),'V06 Calend 01'!J82,0))</f>
        <v>0</v>
      </c>
      <c r="EU82" s="2">
        <f>((IF((139='V06 Calend 01'!C82),('V06 Calend 01'!F82+'V06 Calend 01'!G82),0)+IF(AND(('V06 Calend 01'!E82&gt;0),(139&gt;'V06 Calend 01'!C82),(139&lt;'V06 Calend 01'!D82),(MOD((139-'V06 Calend 01'!C82),6)=0),(((139-'V06 Calend 01'!C82)/6)&lt;='V06 Calend 01'!E82)),IF((139=('V06 Calend 01'!C82+(6*'V06 Calend 01'!E82))),('V06 Calend 01'!H82-('V06 Calend 01'!I82*('V06 Calend 01'!E82-1))),'V06 Calend 01'!I82),0))+IF((139='V06 Calend 01'!D82),'V06 Calend 01'!J82,0))</f>
        <v>0</v>
      </c>
      <c r="EV82" s="2">
        <f>((IF((140='V06 Calend 01'!C82),('V06 Calend 01'!F82+'V06 Calend 01'!G82),0)+IF(AND(('V06 Calend 01'!E82&gt;0),(140&gt;'V06 Calend 01'!C82),(140&lt;'V06 Calend 01'!D82),(MOD((140-'V06 Calend 01'!C82),6)=0),(((140-'V06 Calend 01'!C82)/6)&lt;='V06 Calend 01'!E82)),IF((140=('V06 Calend 01'!C82+(6*'V06 Calend 01'!E82))),('V06 Calend 01'!H82-('V06 Calend 01'!I82*('V06 Calend 01'!E82-1))),'V06 Calend 01'!I82),0))+IF((140='V06 Calend 01'!D82),'V06 Calend 01'!J82,0))</f>
        <v>0</v>
      </c>
      <c r="EW82" s="2">
        <f>((IF((141='V06 Calend 01'!C82),('V06 Calend 01'!F82+'V06 Calend 01'!G82),0)+IF(AND(('V06 Calend 01'!E82&gt;0),(141&gt;'V06 Calend 01'!C82),(141&lt;'V06 Calend 01'!D82),(MOD((141-'V06 Calend 01'!C82),6)=0),(((141-'V06 Calend 01'!C82)/6)&lt;='V06 Calend 01'!E82)),IF((141=('V06 Calend 01'!C82+(6*'V06 Calend 01'!E82))),('V06 Calend 01'!H82-('V06 Calend 01'!I82*('V06 Calend 01'!E82-1))),'V06 Calend 01'!I82),0))+IF((141='V06 Calend 01'!D82),'V06 Calend 01'!J82,0))</f>
        <v>0</v>
      </c>
      <c r="EX82" s="2">
        <f>((IF((142='V06 Calend 01'!C82),('V06 Calend 01'!F82+'V06 Calend 01'!G82),0)+IF(AND(('V06 Calend 01'!E82&gt;0),(142&gt;'V06 Calend 01'!C82),(142&lt;'V06 Calend 01'!D82),(MOD((142-'V06 Calend 01'!C82),6)=0),(((142-'V06 Calend 01'!C82)/6)&lt;='V06 Calend 01'!E82)),IF((142=('V06 Calend 01'!C82+(6*'V06 Calend 01'!E82))),('V06 Calend 01'!H82-('V06 Calend 01'!I82*('V06 Calend 01'!E82-1))),'V06 Calend 01'!I82),0))+IF((142='V06 Calend 01'!D82),'V06 Calend 01'!J82,0))</f>
        <v>0</v>
      </c>
      <c r="EY82" s="2">
        <f>((IF((143='V06 Calend 01'!C82),('V06 Calend 01'!F82+'V06 Calend 01'!G82),0)+IF(AND(('V06 Calend 01'!E82&gt;0),(143&gt;'V06 Calend 01'!C82),(143&lt;'V06 Calend 01'!D82),(MOD((143-'V06 Calend 01'!C82),6)=0),(((143-'V06 Calend 01'!C82)/6)&lt;='V06 Calend 01'!E82)),IF((143=('V06 Calend 01'!C82+(6*'V06 Calend 01'!E82))),('V06 Calend 01'!H82-('V06 Calend 01'!I82*('V06 Calend 01'!E82-1))),'V06 Calend 01'!I82),0))+IF((143='V06 Calend 01'!D82),'V06 Calend 01'!J82,0))</f>
        <v>0</v>
      </c>
      <c r="EZ82" s="2">
        <f>((IF((144='V06 Calend 01'!C82),('V06 Calend 01'!F82+'V06 Calend 01'!G82),0)+IF(AND(('V06 Calend 01'!E82&gt;0),(144&gt;'V06 Calend 01'!C82),(144&lt;'V06 Calend 01'!D82),(MOD((144-'V06 Calend 01'!C82),6)=0),(((144-'V06 Calend 01'!C82)/6)&lt;='V06 Calend 01'!E82)),IF((144=('V06 Calend 01'!C82+(6*'V06 Calend 01'!E82))),('V06 Calend 01'!H82-('V06 Calend 01'!I82*('V06 Calend 01'!E82-1))),'V06 Calend 01'!I82),0))+IF((144='V06 Calend 01'!D82),'V06 Calend 01'!J82,0))</f>
        <v>0</v>
      </c>
      <c r="FA82" s="2">
        <f>((IF((145='V06 Calend 01'!C82),('V06 Calend 01'!F82+'V06 Calend 01'!G82),0)+IF(AND(('V06 Calend 01'!E82&gt;0),(145&gt;'V06 Calend 01'!C82),(145&lt;'V06 Calend 01'!D82),(MOD((145-'V06 Calend 01'!C82),6)=0),(((145-'V06 Calend 01'!C82)/6)&lt;='V06 Calend 01'!E82)),IF((145=('V06 Calend 01'!C82+(6*'V06 Calend 01'!E82))),('V06 Calend 01'!H82-('V06 Calend 01'!I82*('V06 Calend 01'!E82-1))),'V06 Calend 01'!I82),0))+IF((145='V06 Calend 01'!D82),'V06 Calend 01'!J82,0))</f>
        <v>0</v>
      </c>
      <c r="FB82" s="2">
        <f>((IF((146='V06 Calend 01'!C82),('V06 Calend 01'!F82+'V06 Calend 01'!G82),0)+IF(AND(('V06 Calend 01'!E82&gt;0),(146&gt;'V06 Calend 01'!C82),(146&lt;'V06 Calend 01'!D82),(MOD((146-'V06 Calend 01'!C82),6)=0),(((146-'V06 Calend 01'!C82)/6)&lt;='V06 Calend 01'!E82)),IF((146=('V06 Calend 01'!C82+(6*'V06 Calend 01'!E82))),('V06 Calend 01'!H82-('V06 Calend 01'!I82*('V06 Calend 01'!E82-1))),'V06 Calend 01'!I82),0))+IF((146='V06 Calend 01'!D82),'V06 Calend 01'!J82,0))</f>
        <v>0</v>
      </c>
      <c r="FC82" s="2">
        <f>((IF((147='V06 Calend 01'!C82),('V06 Calend 01'!F82+'V06 Calend 01'!G82),0)+IF(AND(('V06 Calend 01'!E82&gt;0),(147&gt;'V06 Calend 01'!C82),(147&lt;'V06 Calend 01'!D82),(MOD((147-'V06 Calend 01'!C82),6)=0),(((147-'V06 Calend 01'!C82)/6)&lt;='V06 Calend 01'!E82)),IF((147=('V06 Calend 01'!C82+(6*'V06 Calend 01'!E82))),('V06 Calend 01'!H82-('V06 Calend 01'!I82*('V06 Calend 01'!E82-1))),'V06 Calend 01'!I82),0))+IF((147='V06 Calend 01'!D82),'V06 Calend 01'!J82,0))</f>
        <v>0</v>
      </c>
      <c r="FD82" s="2">
        <f>((IF((148='V06 Calend 01'!C82),('V06 Calend 01'!F82+'V06 Calend 01'!G82),0)+IF(AND(('V06 Calend 01'!E82&gt;0),(148&gt;'V06 Calend 01'!C82),(148&lt;'V06 Calend 01'!D82),(MOD((148-'V06 Calend 01'!C82),6)=0),(((148-'V06 Calend 01'!C82)/6)&lt;='V06 Calend 01'!E82)),IF((148=('V06 Calend 01'!C82+(6*'V06 Calend 01'!E82))),('V06 Calend 01'!H82-('V06 Calend 01'!I82*('V06 Calend 01'!E82-1))),'V06 Calend 01'!I82),0))+IF((148='V06 Calend 01'!D82),'V06 Calend 01'!J82,0))</f>
        <v>0</v>
      </c>
      <c r="FE82" s="2">
        <f>((IF((149='V06 Calend 01'!C82),('V06 Calend 01'!F82+'V06 Calend 01'!G82),0)+IF(AND(('V06 Calend 01'!E82&gt;0),(149&gt;'V06 Calend 01'!C82),(149&lt;'V06 Calend 01'!D82),(MOD((149-'V06 Calend 01'!C82),6)=0),(((149-'V06 Calend 01'!C82)/6)&lt;='V06 Calend 01'!E82)),IF((149=('V06 Calend 01'!C82+(6*'V06 Calend 01'!E82))),('V06 Calend 01'!H82-('V06 Calend 01'!I82*('V06 Calend 01'!E82-1))),'V06 Calend 01'!I82),0))+IF((149='V06 Calend 01'!D82),'V06 Calend 01'!J82,0))</f>
        <v>0</v>
      </c>
      <c r="FF82" s="2">
        <f>((IF((150='V06 Calend 01'!C82),('V06 Calend 01'!F82+'V06 Calend 01'!G82),0)+IF(AND(('V06 Calend 01'!E82&gt;0),(150&gt;'V06 Calend 01'!C82),(150&lt;'V06 Calend 01'!D82),(MOD((150-'V06 Calend 01'!C82),6)=0),(((150-'V06 Calend 01'!C82)/6)&lt;='V06 Calend 01'!E82)),IF((150=('V06 Calend 01'!C82+(6*'V06 Calend 01'!E82))),('V06 Calend 01'!H82-('V06 Calend 01'!I82*('V06 Calend 01'!E82-1))),'V06 Calend 01'!I82),0))+IF((150='V06 Calend 01'!D82),'V06 Calend 01'!J82,0))</f>
        <v>0</v>
      </c>
      <c r="FG82" s="2">
        <f>((IF((151='V06 Calend 01'!C82),('V06 Calend 01'!F82+'V06 Calend 01'!G82),0)+IF(AND(('V06 Calend 01'!E82&gt;0),(151&gt;'V06 Calend 01'!C82),(151&lt;'V06 Calend 01'!D82),(MOD((151-'V06 Calend 01'!C82),6)=0),(((151-'V06 Calend 01'!C82)/6)&lt;='V06 Calend 01'!E82)),IF((151=('V06 Calend 01'!C82+(6*'V06 Calend 01'!E82))),('V06 Calend 01'!H82-('V06 Calend 01'!I82*('V06 Calend 01'!E82-1))),'V06 Calend 01'!I82),0))+IF((151='V06 Calend 01'!D82),'V06 Calend 01'!J82,0))</f>
        <v>0</v>
      </c>
      <c r="FH82" s="2">
        <f>((IF((152='V06 Calend 01'!C82),('V06 Calend 01'!F82+'V06 Calend 01'!G82),0)+IF(AND(('V06 Calend 01'!E82&gt;0),(152&gt;'V06 Calend 01'!C82),(152&lt;'V06 Calend 01'!D82),(MOD((152-'V06 Calend 01'!C82),6)=0),(((152-'V06 Calend 01'!C82)/6)&lt;='V06 Calend 01'!E82)),IF((152=('V06 Calend 01'!C82+(6*'V06 Calend 01'!E82))),('V06 Calend 01'!H82-('V06 Calend 01'!I82*('V06 Calend 01'!E82-1))),'V06 Calend 01'!I82),0))+IF((152='V06 Calend 01'!D82),'V06 Calend 01'!J82,0))</f>
        <v>0</v>
      </c>
      <c r="FI82" s="2">
        <f>((IF((153='V06 Calend 01'!C82),('V06 Calend 01'!F82+'V06 Calend 01'!G82),0)+IF(AND(('V06 Calend 01'!E82&gt;0),(153&gt;'V06 Calend 01'!C82),(153&lt;'V06 Calend 01'!D82),(MOD((153-'V06 Calend 01'!C82),6)=0),(((153-'V06 Calend 01'!C82)/6)&lt;='V06 Calend 01'!E82)),IF((153=('V06 Calend 01'!C82+(6*'V06 Calend 01'!E82))),('V06 Calend 01'!H82-('V06 Calend 01'!I82*('V06 Calend 01'!E82-1))),'V06 Calend 01'!I82),0))+IF((153='V06 Calend 01'!D82),'V06 Calend 01'!J82,0))</f>
        <v>0</v>
      </c>
      <c r="FJ82" s="2">
        <f>((IF((154='V06 Calend 01'!C82),('V06 Calend 01'!F82+'V06 Calend 01'!G82),0)+IF(AND(('V06 Calend 01'!E82&gt;0),(154&gt;'V06 Calend 01'!C82),(154&lt;'V06 Calend 01'!D82),(MOD((154-'V06 Calend 01'!C82),6)=0),(((154-'V06 Calend 01'!C82)/6)&lt;='V06 Calend 01'!E82)),IF((154=('V06 Calend 01'!C82+(6*'V06 Calend 01'!E82))),('V06 Calend 01'!H82-('V06 Calend 01'!I82*('V06 Calend 01'!E82-1))),'V06 Calend 01'!I82),0))+IF((154='V06 Calend 01'!D82),'V06 Calend 01'!J82,0))</f>
        <v>0</v>
      </c>
      <c r="FK82" s="2">
        <f>((IF((155='V06 Calend 01'!C82),('V06 Calend 01'!F82+'V06 Calend 01'!G82),0)+IF(AND(('V06 Calend 01'!E82&gt;0),(155&gt;'V06 Calend 01'!C82),(155&lt;'V06 Calend 01'!D82),(MOD((155-'V06 Calend 01'!C82),6)=0),(((155-'V06 Calend 01'!C82)/6)&lt;='V06 Calend 01'!E82)),IF((155=('V06 Calend 01'!C82+(6*'V06 Calend 01'!E82))),('V06 Calend 01'!H82-('V06 Calend 01'!I82*('V06 Calend 01'!E82-1))),'V06 Calend 01'!I82),0))+IF((155='V06 Calend 01'!D82),'V06 Calend 01'!J82,0))</f>
        <v>0</v>
      </c>
      <c r="FL82" s="2">
        <f>((IF((156='V06 Calend 01'!C82),('V06 Calend 01'!F82+'V06 Calend 01'!G82),0)+IF(AND(('V06 Calend 01'!E82&gt;0),(156&gt;'V06 Calend 01'!C82),(156&lt;'V06 Calend 01'!D82),(MOD((156-'V06 Calend 01'!C82),6)=0),(((156-'V06 Calend 01'!C82)/6)&lt;='V06 Calend 01'!E82)),IF((156=('V06 Calend 01'!C82+(6*'V06 Calend 01'!E82))),('V06 Calend 01'!H82-('V06 Calend 01'!I82*('V06 Calend 01'!E82-1))),'V06 Calend 01'!I82),0))+IF((156='V06 Calend 01'!D82),'V06 Calend 01'!J82,0))</f>
        <v>0</v>
      </c>
      <c r="FM82" s="2">
        <f>((IF((157='V06 Calend 01'!C82),('V06 Calend 01'!F82+'V06 Calend 01'!G82),0)+IF(AND(('V06 Calend 01'!E82&gt;0),(157&gt;'V06 Calend 01'!C82),(157&lt;'V06 Calend 01'!D82),(MOD((157-'V06 Calend 01'!C82),6)=0),(((157-'V06 Calend 01'!C82)/6)&lt;='V06 Calend 01'!E82)),IF((157=('V06 Calend 01'!C82+(6*'V06 Calend 01'!E82))),('V06 Calend 01'!H82-('V06 Calend 01'!I82*('V06 Calend 01'!E82-1))),'V06 Calend 01'!I82),0))+IF((157='V06 Calend 01'!D82),'V06 Calend 01'!J82,0))</f>
        <v>0</v>
      </c>
      <c r="FN82" s="2">
        <f>((IF((158='V06 Calend 01'!C82),('V06 Calend 01'!F82+'V06 Calend 01'!G82),0)+IF(AND(('V06 Calend 01'!E82&gt;0),(158&gt;'V06 Calend 01'!C82),(158&lt;'V06 Calend 01'!D82),(MOD((158-'V06 Calend 01'!C82),6)=0),(((158-'V06 Calend 01'!C82)/6)&lt;='V06 Calend 01'!E82)),IF((158=('V06 Calend 01'!C82+(6*'V06 Calend 01'!E82))),('V06 Calend 01'!H82-('V06 Calend 01'!I82*('V06 Calend 01'!E82-1))),'V06 Calend 01'!I82),0))+IF((158='V06 Calend 01'!D82),'V06 Calend 01'!J82,0))</f>
        <v>0</v>
      </c>
      <c r="FO82" s="2">
        <f>((IF((159='V06 Calend 01'!C82),('V06 Calend 01'!F82+'V06 Calend 01'!G82),0)+IF(AND(('V06 Calend 01'!E82&gt;0),(159&gt;'V06 Calend 01'!C82),(159&lt;'V06 Calend 01'!D82),(MOD((159-'V06 Calend 01'!C82),6)=0),(((159-'V06 Calend 01'!C82)/6)&lt;='V06 Calend 01'!E82)),IF((159=('V06 Calend 01'!C82+(6*'V06 Calend 01'!E82))),('V06 Calend 01'!H82-('V06 Calend 01'!I82*('V06 Calend 01'!E82-1))),'V06 Calend 01'!I82),0))+IF((159='V06 Calend 01'!D82),'V06 Calend 01'!J82,0))</f>
        <v>0</v>
      </c>
      <c r="FP82" s="2">
        <f>((IF((160='V06 Calend 01'!C82),('V06 Calend 01'!F82+'V06 Calend 01'!G82),0)+IF(AND(('V06 Calend 01'!E82&gt;0),(160&gt;'V06 Calend 01'!C82),(160&lt;'V06 Calend 01'!D82),(MOD((160-'V06 Calend 01'!C82),6)=0),(((160-'V06 Calend 01'!C82)/6)&lt;='V06 Calend 01'!E82)),IF((160=('V06 Calend 01'!C82+(6*'V06 Calend 01'!E82))),('V06 Calend 01'!H82-('V06 Calend 01'!I82*('V06 Calend 01'!E82-1))),'V06 Calend 01'!I82),0))+IF((160='V06 Calend 01'!D82),'V06 Calend 01'!J82,0))</f>
        <v>0</v>
      </c>
      <c r="FQ82" s="2">
        <f>((IF((161='V06 Calend 01'!C82),('V06 Calend 01'!F82+'V06 Calend 01'!G82),0)+IF(AND(('V06 Calend 01'!E82&gt;0),(161&gt;'V06 Calend 01'!C82),(161&lt;'V06 Calend 01'!D82),(MOD((161-'V06 Calend 01'!C82),6)=0),(((161-'V06 Calend 01'!C82)/6)&lt;='V06 Calend 01'!E82)),IF((161=('V06 Calend 01'!C82+(6*'V06 Calend 01'!E82))),('V06 Calend 01'!H82-('V06 Calend 01'!I82*('V06 Calend 01'!E82-1))),'V06 Calend 01'!I82),0))+IF((161='V06 Calend 01'!D82),'V06 Calend 01'!J82,0))</f>
        <v>0</v>
      </c>
      <c r="FR82" s="2">
        <f>((IF((162='V06 Calend 01'!C82),('V06 Calend 01'!F82+'V06 Calend 01'!G82),0)+IF(AND(('V06 Calend 01'!E82&gt;0),(162&gt;'V06 Calend 01'!C82),(162&lt;'V06 Calend 01'!D82),(MOD((162-'V06 Calend 01'!C82),6)=0),(((162-'V06 Calend 01'!C82)/6)&lt;='V06 Calend 01'!E82)),IF((162=('V06 Calend 01'!C82+(6*'V06 Calend 01'!E82))),('V06 Calend 01'!H82-('V06 Calend 01'!I82*('V06 Calend 01'!E82-1))),'V06 Calend 01'!I82),0))+IF((162='V06 Calend 01'!D82),'V06 Calend 01'!J82,0))</f>
        <v>0</v>
      </c>
      <c r="FS82" s="2">
        <f>((IF((163='V06 Calend 01'!C82),('V06 Calend 01'!F82+'V06 Calend 01'!G82),0)+IF(AND(('V06 Calend 01'!E82&gt;0),(163&gt;'V06 Calend 01'!C82),(163&lt;'V06 Calend 01'!D82),(MOD((163-'V06 Calend 01'!C82),6)=0),(((163-'V06 Calend 01'!C82)/6)&lt;='V06 Calend 01'!E82)),IF((163=('V06 Calend 01'!C82+(6*'V06 Calend 01'!E82))),('V06 Calend 01'!H82-('V06 Calend 01'!I82*('V06 Calend 01'!E82-1))),'V06 Calend 01'!I82),0))+IF((163='V06 Calend 01'!D82),'V06 Calend 01'!J82,0))</f>
        <v>0</v>
      </c>
      <c r="FT82" s="2">
        <f>((IF((164='V06 Calend 01'!C82),('V06 Calend 01'!F82+'V06 Calend 01'!G82),0)+IF(AND(('V06 Calend 01'!E82&gt;0),(164&gt;'V06 Calend 01'!C82),(164&lt;'V06 Calend 01'!D82),(MOD((164-'V06 Calend 01'!C82),6)=0),(((164-'V06 Calend 01'!C82)/6)&lt;='V06 Calend 01'!E82)),IF((164=('V06 Calend 01'!C82+(6*'V06 Calend 01'!E82))),('V06 Calend 01'!H82-('V06 Calend 01'!I82*('V06 Calend 01'!E82-1))),'V06 Calend 01'!I82),0))+IF((164='V06 Calend 01'!D82),'V06 Calend 01'!J82,0))</f>
        <v>0</v>
      </c>
      <c r="FU82" s="2">
        <f>((IF((165='V06 Calend 01'!C82),('V06 Calend 01'!F82+'V06 Calend 01'!G82),0)+IF(AND(('V06 Calend 01'!E82&gt;0),(165&gt;'V06 Calend 01'!C82),(165&lt;'V06 Calend 01'!D82),(MOD((165-'V06 Calend 01'!C82),6)=0),(((165-'V06 Calend 01'!C82)/6)&lt;='V06 Calend 01'!E82)),IF((165=('V06 Calend 01'!C82+(6*'V06 Calend 01'!E82))),('V06 Calend 01'!H82-('V06 Calend 01'!I82*('V06 Calend 01'!E82-1))),'V06 Calend 01'!I82),0))+IF((165='V06 Calend 01'!D82),'V06 Calend 01'!J82,0))</f>
        <v>0</v>
      </c>
      <c r="FV82" s="2">
        <f>((IF((166='V06 Calend 01'!C82),('V06 Calend 01'!F82+'V06 Calend 01'!G82),0)+IF(AND(('V06 Calend 01'!E82&gt;0),(166&gt;'V06 Calend 01'!C82),(166&lt;'V06 Calend 01'!D82),(MOD((166-'V06 Calend 01'!C82),6)=0),(((166-'V06 Calend 01'!C82)/6)&lt;='V06 Calend 01'!E82)),IF((166=('V06 Calend 01'!C82+(6*'V06 Calend 01'!E82))),('V06 Calend 01'!H82-('V06 Calend 01'!I82*('V06 Calend 01'!E82-1))),'V06 Calend 01'!I82),0))+IF((166='V06 Calend 01'!D82),'V06 Calend 01'!J82,0))</f>
        <v>0</v>
      </c>
      <c r="FW82" s="2">
        <f>((IF((167='V06 Calend 01'!C82),('V06 Calend 01'!F82+'V06 Calend 01'!G82),0)+IF(AND(('V06 Calend 01'!E82&gt;0),(167&gt;'V06 Calend 01'!C82),(167&lt;'V06 Calend 01'!D82),(MOD((167-'V06 Calend 01'!C82),6)=0),(((167-'V06 Calend 01'!C82)/6)&lt;='V06 Calend 01'!E82)),IF((167=('V06 Calend 01'!C82+(6*'V06 Calend 01'!E82))),('V06 Calend 01'!H82-('V06 Calend 01'!I82*('V06 Calend 01'!E82-1))),'V06 Calend 01'!I82),0))+IF((167='V06 Calend 01'!D82),'V06 Calend 01'!J82,0))</f>
        <v>0</v>
      </c>
      <c r="FX82" s="2">
        <f>((IF((168='V06 Calend 01'!C82),('V06 Calend 01'!F82+'V06 Calend 01'!G82),0)+IF(AND(('V06 Calend 01'!E82&gt;0),(168&gt;'V06 Calend 01'!C82),(168&lt;'V06 Calend 01'!D82),(MOD((168-'V06 Calend 01'!C82),6)=0),(((168-'V06 Calend 01'!C82)/6)&lt;='V06 Calend 01'!E82)),IF((168=('V06 Calend 01'!C82+(6*'V06 Calend 01'!E82))),('V06 Calend 01'!H82-('V06 Calend 01'!I82*('V06 Calend 01'!E82-1))),'V06 Calend 01'!I82),0))+IF((168='V06 Calend 01'!D82),'V06 Calend 01'!J82,0))</f>
        <v>0</v>
      </c>
      <c r="FY82" s="2">
        <f>((IF((169='V06 Calend 01'!C82),('V06 Calend 01'!F82+'V06 Calend 01'!G82),0)+IF(AND(('V06 Calend 01'!E82&gt;0),(169&gt;'V06 Calend 01'!C82),(169&lt;'V06 Calend 01'!D82),(MOD((169-'V06 Calend 01'!C82),6)=0),(((169-'V06 Calend 01'!C82)/6)&lt;='V06 Calend 01'!E82)),IF((169=('V06 Calend 01'!C82+(6*'V06 Calend 01'!E82))),('V06 Calend 01'!H82-('V06 Calend 01'!I82*('V06 Calend 01'!E82-1))),'V06 Calend 01'!I82),0))+IF((169='V06 Calend 01'!D82),'V06 Calend 01'!J82,0))</f>
        <v>0</v>
      </c>
      <c r="FZ82" s="2">
        <f>((IF((170='V06 Calend 01'!C82),('V06 Calend 01'!F82+'V06 Calend 01'!G82),0)+IF(AND(('V06 Calend 01'!E82&gt;0),(170&gt;'V06 Calend 01'!C82),(170&lt;'V06 Calend 01'!D82),(MOD((170-'V06 Calend 01'!C82),6)=0),(((170-'V06 Calend 01'!C82)/6)&lt;='V06 Calend 01'!E82)),IF((170=('V06 Calend 01'!C82+(6*'V06 Calend 01'!E82))),('V06 Calend 01'!H82-('V06 Calend 01'!I82*('V06 Calend 01'!E82-1))),'V06 Calend 01'!I82),0))+IF((170='V06 Calend 01'!D82),'V06 Calend 01'!J82,0))</f>
        <v>0</v>
      </c>
      <c r="GA82" s="2">
        <f>((IF((171='V06 Calend 01'!C82),('V06 Calend 01'!F82+'V06 Calend 01'!G82),0)+IF(AND(('V06 Calend 01'!E82&gt;0),(171&gt;'V06 Calend 01'!C82),(171&lt;'V06 Calend 01'!D82),(MOD((171-'V06 Calend 01'!C82),6)=0),(((171-'V06 Calend 01'!C82)/6)&lt;='V06 Calend 01'!E82)),IF((171=('V06 Calend 01'!C82+(6*'V06 Calend 01'!E82))),('V06 Calend 01'!H82-('V06 Calend 01'!I82*('V06 Calend 01'!E82-1))),'V06 Calend 01'!I82),0))+IF((171='V06 Calend 01'!D82),'V06 Calend 01'!J82,0))</f>
        <v>0</v>
      </c>
      <c r="GB82" s="2">
        <f>((IF((172='V06 Calend 01'!C82),('V06 Calend 01'!F82+'V06 Calend 01'!G82),0)+IF(AND(('V06 Calend 01'!E82&gt;0),(172&gt;'V06 Calend 01'!C82),(172&lt;'V06 Calend 01'!D82),(MOD((172-'V06 Calend 01'!C82),6)=0),(((172-'V06 Calend 01'!C82)/6)&lt;='V06 Calend 01'!E82)),IF((172=('V06 Calend 01'!C82+(6*'V06 Calend 01'!E82))),('V06 Calend 01'!H82-('V06 Calend 01'!I82*('V06 Calend 01'!E82-1))),'V06 Calend 01'!I82),0))+IF((172='V06 Calend 01'!D82),'V06 Calend 01'!J82,0))</f>
        <v>0</v>
      </c>
      <c r="GC82" s="2">
        <f>((IF((173='V06 Calend 01'!C82),('V06 Calend 01'!F82+'V06 Calend 01'!G82),0)+IF(AND(('V06 Calend 01'!E82&gt;0),(173&gt;'V06 Calend 01'!C82),(173&lt;'V06 Calend 01'!D82),(MOD((173-'V06 Calend 01'!C82),6)=0),(((173-'V06 Calend 01'!C82)/6)&lt;='V06 Calend 01'!E82)),IF((173=('V06 Calend 01'!C82+(6*'V06 Calend 01'!E82))),('V06 Calend 01'!H82-('V06 Calend 01'!I82*('V06 Calend 01'!E82-1))),'V06 Calend 01'!I82),0))+IF((173='V06 Calend 01'!D82),'V06 Calend 01'!J82,0))</f>
        <v>0</v>
      </c>
      <c r="GD82" s="2">
        <f>((IF((174='V06 Calend 01'!C82),('V06 Calend 01'!F82+'V06 Calend 01'!G82),0)+IF(AND(('V06 Calend 01'!E82&gt;0),(174&gt;'V06 Calend 01'!C82),(174&lt;'V06 Calend 01'!D82),(MOD((174-'V06 Calend 01'!C82),6)=0),(((174-'V06 Calend 01'!C82)/6)&lt;='V06 Calend 01'!E82)),IF((174=('V06 Calend 01'!C82+(6*'V06 Calend 01'!E82))),('V06 Calend 01'!H82-('V06 Calend 01'!I82*('V06 Calend 01'!E82-1))),'V06 Calend 01'!I82),0))+IF((174='V06 Calend 01'!D82),'V06 Calend 01'!J82,0))</f>
        <v>0</v>
      </c>
      <c r="GE82" s="2">
        <f>((IF((175='V06 Calend 01'!C82),('V06 Calend 01'!F82+'V06 Calend 01'!G82),0)+IF(AND(('V06 Calend 01'!E82&gt;0),(175&gt;'V06 Calend 01'!C82),(175&lt;'V06 Calend 01'!D82),(MOD((175-'V06 Calend 01'!C82),6)=0),(((175-'V06 Calend 01'!C82)/6)&lt;='V06 Calend 01'!E82)),IF((175=('V06 Calend 01'!C82+(6*'V06 Calend 01'!E82))),('V06 Calend 01'!H82-('V06 Calend 01'!I82*('V06 Calend 01'!E82-1))),'V06 Calend 01'!I82),0))+IF((175='V06 Calend 01'!D82),'V06 Calend 01'!J82,0))</f>
        <v>0</v>
      </c>
      <c r="GF82" s="2">
        <f>((IF((176='V06 Calend 01'!C82),('V06 Calend 01'!F82+'V06 Calend 01'!G82),0)+IF(AND(('V06 Calend 01'!E82&gt;0),(176&gt;'V06 Calend 01'!C82),(176&lt;'V06 Calend 01'!D82),(MOD((176-'V06 Calend 01'!C82),6)=0),(((176-'V06 Calend 01'!C82)/6)&lt;='V06 Calend 01'!E82)),IF((176=('V06 Calend 01'!C82+(6*'V06 Calend 01'!E82))),('V06 Calend 01'!H82-('V06 Calend 01'!I82*('V06 Calend 01'!E82-1))),'V06 Calend 01'!I82),0))+IF((176='V06 Calend 01'!D82),'V06 Calend 01'!J82,0))</f>
        <v>0</v>
      </c>
      <c r="GG82" s="2">
        <f>((IF((177='V06 Calend 01'!C82),('V06 Calend 01'!F82+'V06 Calend 01'!G82),0)+IF(AND(('V06 Calend 01'!E82&gt;0),(177&gt;'V06 Calend 01'!C82),(177&lt;'V06 Calend 01'!D82),(MOD((177-'V06 Calend 01'!C82),6)=0),(((177-'V06 Calend 01'!C82)/6)&lt;='V06 Calend 01'!E82)),IF((177=('V06 Calend 01'!C82+(6*'V06 Calend 01'!E82))),('V06 Calend 01'!H82-('V06 Calend 01'!I82*('V06 Calend 01'!E82-1))),'V06 Calend 01'!I82),0))+IF((177='V06 Calend 01'!D82),'V06 Calend 01'!J82,0))</f>
        <v>0</v>
      </c>
      <c r="GH82" s="2">
        <f>((IF((178='V06 Calend 01'!C82),('V06 Calend 01'!F82+'V06 Calend 01'!G82),0)+IF(AND(('V06 Calend 01'!E82&gt;0),(178&gt;'V06 Calend 01'!C82),(178&lt;'V06 Calend 01'!D82),(MOD((178-'V06 Calend 01'!C82),6)=0),(((178-'V06 Calend 01'!C82)/6)&lt;='V06 Calend 01'!E82)),IF((178=('V06 Calend 01'!C82+(6*'V06 Calend 01'!E82))),('V06 Calend 01'!H82-('V06 Calend 01'!I82*('V06 Calend 01'!E82-1))),'V06 Calend 01'!I82),0))+IF((178='V06 Calend 01'!D82),'V06 Calend 01'!J82,0))</f>
        <v>0</v>
      </c>
      <c r="GI82" s="2">
        <f>((IF((179='V06 Calend 01'!C82),('V06 Calend 01'!F82+'V06 Calend 01'!G82),0)+IF(AND(('V06 Calend 01'!E82&gt;0),(179&gt;'V06 Calend 01'!C82),(179&lt;'V06 Calend 01'!D82),(MOD((179-'V06 Calend 01'!C82),6)=0),(((179-'V06 Calend 01'!C82)/6)&lt;='V06 Calend 01'!E82)),IF((179=('V06 Calend 01'!C82+(6*'V06 Calend 01'!E82))),('V06 Calend 01'!H82-('V06 Calend 01'!I82*('V06 Calend 01'!E82-1))),'V06 Calend 01'!I82),0))+IF((179='V06 Calend 01'!D82),'V06 Calend 01'!J82,0))</f>
        <v>0</v>
      </c>
      <c r="GJ82" s="2">
        <f>((IF((180='V06 Calend 01'!C82),('V06 Calend 01'!F82+'V06 Calend 01'!G82),0)+IF(AND(('V06 Calend 01'!E82&gt;0),(180&gt;'V06 Calend 01'!C82),(180&lt;'V06 Calend 01'!D82),(MOD((180-'V06 Calend 01'!C82),6)=0),(((180-'V06 Calend 01'!C82)/6)&lt;='V06 Calend 01'!E82)),IF((180=('V06 Calend 01'!C82+(6*'V06 Calend 01'!E82))),('V06 Calend 01'!H82-('V06 Calend 01'!I82*('V06 Calend 01'!E82-1))),'V06 Calend 01'!I82),0))+IF((180='V06 Calend 01'!D82),'V06 Calend 01'!J82,0))</f>
        <v>0</v>
      </c>
    </row>
    <row r="83" spans="1:192">
      <c r="A83" s="3" t="str">
        <f>'V06 Unidades'!$A$83</f>
        <v>909</v>
      </c>
      <c r="B83" s="2">
        <f>'V06 Unidades'!$H$83</f>
        <v>686506.38</v>
      </c>
      <c r="C83" s="4">
        <f>('V06 Unidades'!$I$83+'V06 Controlos'!$B$37)</f>
        <v>7</v>
      </c>
      <c r="D83" s="4">
        <f>IF(('V06 Controlos'!$B$38&gt;0),MAX(('V06 Unidades'!$L$83+'V06 Controlos'!$B$37),(30+'V06 Controlos'!$B$38)),('V06 Unidades'!$L$83+'V06 Controlos'!$B$37))</f>
        <v>28</v>
      </c>
      <c r="E83" s="4">
        <f>MAX(0,INT(((('V06 Calend 01'!D83-'V06 Calend 01'!C83)-1)/6)))</f>
        <v>3</v>
      </c>
      <c r="F83" s="2">
        <f>ROUND(('V06 Calend 01'!B83*0.05),2)</f>
        <v>34325.32</v>
      </c>
      <c r="G83" s="2">
        <f>ROUND(('V06 Calend 01'!B83*0.2),2)</f>
        <v>137301.28</v>
      </c>
      <c r="H83" s="2">
        <f>ROUND(('V06 Calend 01'!B83*0.55),2)</f>
        <v>377578.51</v>
      </c>
      <c r="I83" s="2">
        <f>ROUND(('V06 Calend 01'!H83/MAX(1,'V06 Calend 01'!E83)),2)</f>
        <v>125859.5</v>
      </c>
      <c r="J83" s="2">
        <f>((('V06 Calend 01'!B83-'V06 Calend 01'!F83)-'V06 Calend 01'!G83)-'V06 Calend 01'!H83)</f>
        <v>137301.27000000002</v>
      </c>
      <c r="K83" s="2">
        <f>('V06 Calend 01'!B83*0.025)</f>
        <v>17162.6595</v>
      </c>
      <c r="L83" t="s">
        <v>378</v>
      </c>
      <c r="M83" s="2">
        <f>((IF((1='V06 Calend 01'!C83),('V06 Calend 01'!F83+'V06 Calend 01'!G83),0)+IF(AND(('V06 Calend 01'!E83&gt;0),(1&gt;'V06 Calend 01'!C83),(1&lt;'V06 Calend 01'!D83),(MOD((1-'V06 Calend 01'!C83),6)=0),(((1-'V06 Calend 01'!C83)/6)&lt;='V06 Calend 01'!E83)),IF((1=('V06 Calend 01'!C83+(6*'V06 Calend 01'!E83))),('V06 Calend 01'!H83-('V06 Calend 01'!I83*('V06 Calend 01'!E83-1))),'V06 Calend 01'!I83),0))+IF((1='V06 Calend 01'!D83),'V06 Calend 01'!J83,0))</f>
        <v>0</v>
      </c>
      <c r="N83" s="2">
        <f>((IF((2='V06 Calend 01'!C83),('V06 Calend 01'!F83+'V06 Calend 01'!G83),0)+IF(AND(('V06 Calend 01'!E83&gt;0),(2&gt;'V06 Calend 01'!C83),(2&lt;'V06 Calend 01'!D83),(MOD((2-'V06 Calend 01'!C83),6)=0),(((2-'V06 Calend 01'!C83)/6)&lt;='V06 Calend 01'!E83)),IF((2=('V06 Calend 01'!C83+(6*'V06 Calend 01'!E83))),('V06 Calend 01'!H83-('V06 Calend 01'!I83*('V06 Calend 01'!E83-1))),'V06 Calend 01'!I83),0))+IF((2='V06 Calend 01'!D83),'V06 Calend 01'!J83,0))</f>
        <v>0</v>
      </c>
      <c r="O83" s="2">
        <f>((IF((3='V06 Calend 01'!C83),('V06 Calend 01'!F83+'V06 Calend 01'!G83),0)+IF(AND(('V06 Calend 01'!E83&gt;0),(3&gt;'V06 Calend 01'!C83),(3&lt;'V06 Calend 01'!D83),(MOD((3-'V06 Calend 01'!C83),6)=0),(((3-'V06 Calend 01'!C83)/6)&lt;='V06 Calend 01'!E83)),IF((3=('V06 Calend 01'!C83+(6*'V06 Calend 01'!E83))),('V06 Calend 01'!H83-('V06 Calend 01'!I83*('V06 Calend 01'!E83-1))),'V06 Calend 01'!I83),0))+IF((3='V06 Calend 01'!D83),'V06 Calend 01'!J83,0))</f>
        <v>0</v>
      </c>
      <c r="P83" s="2">
        <f>((IF((4='V06 Calend 01'!C83),('V06 Calend 01'!F83+'V06 Calend 01'!G83),0)+IF(AND(('V06 Calend 01'!E83&gt;0),(4&gt;'V06 Calend 01'!C83),(4&lt;'V06 Calend 01'!D83),(MOD((4-'V06 Calend 01'!C83),6)=0),(((4-'V06 Calend 01'!C83)/6)&lt;='V06 Calend 01'!E83)),IF((4=('V06 Calend 01'!C83+(6*'V06 Calend 01'!E83))),('V06 Calend 01'!H83-('V06 Calend 01'!I83*('V06 Calend 01'!E83-1))),'V06 Calend 01'!I83),0))+IF((4='V06 Calend 01'!D83),'V06 Calend 01'!J83,0))</f>
        <v>0</v>
      </c>
      <c r="Q83" s="2">
        <f>((IF((5='V06 Calend 01'!C83),('V06 Calend 01'!F83+'V06 Calend 01'!G83),0)+IF(AND(('V06 Calend 01'!E83&gt;0),(5&gt;'V06 Calend 01'!C83),(5&lt;'V06 Calend 01'!D83),(MOD((5-'V06 Calend 01'!C83),6)=0),(((5-'V06 Calend 01'!C83)/6)&lt;='V06 Calend 01'!E83)),IF((5=('V06 Calend 01'!C83+(6*'V06 Calend 01'!E83))),('V06 Calend 01'!H83-('V06 Calend 01'!I83*('V06 Calend 01'!E83-1))),'V06 Calend 01'!I83),0))+IF((5='V06 Calend 01'!D83),'V06 Calend 01'!J83,0))</f>
        <v>0</v>
      </c>
      <c r="R83" s="2">
        <f>((IF((6='V06 Calend 01'!C83),('V06 Calend 01'!F83+'V06 Calend 01'!G83),0)+IF(AND(('V06 Calend 01'!E83&gt;0),(6&gt;'V06 Calend 01'!C83),(6&lt;'V06 Calend 01'!D83),(MOD((6-'V06 Calend 01'!C83),6)=0),(((6-'V06 Calend 01'!C83)/6)&lt;='V06 Calend 01'!E83)),IF((6=('V06 Calend 01'!C83+(6*'V06 Calend 01'!E83))),('V06 Calend 01'!H83-('V06 Calend 01'!I83*('V06 Calend 01'!E83-1))),'V06 Calend 01'!I83),0))+IF((6='V06 Calend 01'!D83),'V06 Calend 01'!J83,0))</f>
        <v>0</v>
      </c>
      <c r="S83" s="2">
        <f>((IF((7='V06 Calend 01'!C83),('V06 Calend 01'!F83+'V06 Calend 01'!G83),0)+IF(AND(('V06 Calend 01'!E83&gt;0),(7&gt;'V06 Calend 01'!C83),(7&lt;'V06 Calend 01'!D83),(MOD((7-'V06 Calend 01'!C83),6)=0),(((7-'V06 Calend 01'!C83)/6)&lt;='V06 Calend 01'!E83)),IF((7=('V06 Calend 01'!C83+(6*'V06 Calend 01'!E83))),('V06 Calend 01'!H83-('V06 Calend 01'!I83*('V06 Calend 01'!E83-1))),'V06 Calend 01'!I83),0))+IF((7='V06 Calend 01'!D83),'V06 Calend 01'!J83,0))</f>
        <v>171626.6</v>
      </c>
      <c r="T83" s="2">
        <f>((IF((8='V06 Calend 01'!C83),('V06 Calend 01'!F83+'V06 Calend 01'!G83),0)+IF(AND(('V06 Calend 01'!E83&gt;0),(8&gt;'V06 Calend 01'!C83),(8&lt;'V06 Calend 01'!D83),(MOD((8-'V06 Calend 01'!C83),6)=0),(((8-'V06 Calend 01'!C83)/6)&lt;='V06 Calend 01'!E83)),IF((8=('V06 Calend 01'!C83+(6*'V06 Calend 01'!E83))),('V06 Calend 01'!H83-('V06 Calend 01'!I83*('V06 Calend 01'!E83-1))),'V06 Calend 01'!I83),0))+IF((8='V06 Calend 01'!D83),'V06 Calend 01'!J83,0))</f>
        <v>0</v>
      </c>
      <c r="U83" s="2">
        <f>((IF((9='V06 Calend 01'!C83),('V06 Calend 01'!F83+'V06 Calend 01'!G83),0)+IF(AND(('V06 Calend 01'!E83&gt;0),(9&gt;'V06 Calend 01'!C83),(9&lt;'V06 Calend 01'!D83),(MOD((9-'V06 Calend 01'!C83),6)=0),(((9-'V06 Calend 01'!C83)/6)&lt;='V06 Calend 01'!E83)),IF((9=('V06 Calend 01'!C83+(6*'V06 Calend 01'!E83))),('V06 Calend 01'!H83-('V06 Calend 01'!I83*('V06 Calend 01'!E83-1))),'V06 Calend 01'!I83),0))+IF((9='V06 Calend 01'!D83),'V06 Calend 01'!J83,0))</f>
        <v>0</v>
      </c>
      <c r="V83" s="2">
        <f>((IF((10='V06 Calend 01'!C83),('V06 Calend 01'!F83+'V06 Calend 01'!G83),0)+IF(AND(('V06 Calend 01'!E83&gt;0),(10&gt;'V06 Calend 01'!C83),(10&lt;'V06 Calend 01'!D83),(MOD((10-'V06 Calend 01'!C83),6)=0),(((10-'V06 Calend 01'!C83)/6)&lt;='V06 Calend 01'!E83)),IF((10=('V06 Calend 01'!C83+(6*'V06 Calend 01'!E83))),('V06 Calend 01'!H83-('V06 Calend 01'!I83*('V06 Calend 01'!E83-1))),'V06 Calend 01'!I83),0))+IF((10='V06 Calend 01'!D83),'V06 Calend 01'!J83,0))</f>
        <v>0</v>
      </c>
      <c r="W83" s="2">
        <f>((IF((11='V06 Calend 01'!C83),('V06 Calend 01'!F83+'V06 Calend 01'!G83),0)+IF(AND(('V06 Calend 01'!E83&gt;0),(11&gt;'V06 Calend 01'!C83),(11&lt;'V06 Calend 01'!D83),(MOD((11-'V06 Calend 01'!C83),6)=0),(((11-'V06 Calend 01'!C83)/6)&lt;='V06 Calend 01'!E83)),IF((11=('V06 Calend 01'!C83+(6*'V06 Calend 01'!E83))),('V06 Calend 01'!H83-('V06 Calend 01'!I83*('V06 Calend 01'!E83-1))),'V06 Calend 01'!I83),0))+IF((11='V06 Calend 01'!D83),'V06 Calend 01'!J83,0))</f>
        <v>0</v>
      </c>
      <c r="X83" s="2">
        <f>((IF((12='V06 Calend 01'!C83),('V06 Calend 01'!F83+'V06 Calend 01'!G83),0)+IF(AND(('V06 Calend 01'!E83&gt;0),(12&gt;'V06 Calend 01'!C83),(12&lt;'V06 Calend 01'!D83),(MOD((12-'V06 Calend 01'!C83),6)=0),(((12-'V06 Calend 01'!C83)/6)&lt;='V06 Calend 01'!E83)),IF((12=('V06 Calend 01'!C83+(6*'V06 Calend 01'!E83))),('V06 Calend 01'!H83-('V06 Calend 01'!I83*('V06 Calend 01'!E83-1))),'V06 Calend 01'!I83),0))+IF((12='V06 Calend 01'!D83),'V06 Calend 01'!J83,0))</f>
        <v>0</v>
      </c>
      <c r="Y83" s="2">
        <f>((IF((13='V06 Calend 01'!C83),('V06 Calend 01'!F83+'V06 Calend 01'!G83),0)+IF(AND(('V06 Calend 01'!E83&gt;0),(13&gt;'V06 Calend 01'!C83),(13&lt;'V06 Calend 01'!D83),(MOD((13-'V06 Calend 01'!C83),6)=0),(((13-'V06 Calend 01'!C83)/6)&lt;='V06 Calend 01'!E83)),IF((13=('V06 Calend 01'!C83+(6*'V06 Calend 01'!E83))),('V06 Calend 01'!H83-('V06 Calend 01'!I83*('V06 Calend 01'!E83-1))),'V06 Calend 01'!I83),0))+IF((13='V06 Calend 01'!D83),'V06 Calend 01'!J83,0))</f>
        <v>125859.5</v>
      </c>
      <c r="Z83" s="2">
        <f>((IF((14='V06 Calend 01'!C83),('V06 Calend 01'!F83+'V06 Calend 01'!G83),0)+IF(AND(('V06 Calend 01'!E83&gt;0),(14&gt;'V06 Calend 01'!C83),(14&lt;'V06 Calend 01'!D83),(MOD((14-'V06 Calend 01'!C83),6)=0),(((14-'V06 Calend 01'!C83)/6)&lt;='V06 Calend 01'!E83)),IF((14=('V06 Calend 01'!C83+(6*'V06 Calend 01'!E83))),('V06 Calend 01'!H83-('V06 Calend 01'!I83*('V06 Calend 01'!E83-1))),'V06 Calend 01'!I83),0))+IF((14='V06 Calend 01'!D83),'V06 Calend 01'!J83,0))</f>
        <v>0</v>
      </c>
      <c r="AA83" s="2">
        <f>((IF((15='V06 Calend 01'!C83),('V06 Calend 01'!F83+'V06 Calend 01'!G83),0)+IF(AND(('V06 Calend 01'!E83&gt;0),(15&gt;'V06 Calend 01'!C83),(15&lt;'V06 Calend 01'!D83),(MOD((15-'V06 Calend 01'!C83),6)=0),(((15-'V06 Calend 01'!C83)/6)&lt;='V06 Calend 01'!E83)),IF((15=('V06 Calend 01'!C83+(6*'V06 Calend 01'!E83))),('V06 Calend 01'!H83-('V06 Calend 01'!I83*('V06 Calend 01'!E83-1))),'V06 Calend 01'!I83),0))+IF((15='V06 Calend 01'!D83),'V06 Calend 01'!J83,0))</f>
        <v>0</v>
      </c>
      <c r="AB83" s="2">
        <f>((IF((16='V06 Calend 01'!C83),('V06 Calend 01'!F83+'V06 Calend 01'!G83),0)+IF(AND(('V06 Calend 01'!E83&gt;0),(16&gt;'V06 Calend 01'!C83),(16&lt;'V06 Calend 01'!D83),(MOD((16-'V06 Calend 01'!C83),6)=0),(((16-'V06 Calend 01'!C83)/6)&lt;='V06 Calend 01'!E83)),IF((16=('V06 Calend 01'!C83+(6*'V06 Calend 01'!E83))),('V06 Calend 01'!H83-('V06 Calend 01'!I83*('V06 Calend 01'!E83-1))),'V06 Calend 01'!I83),0))+IF((16='V06 Calend 01'!D83),'V06 Calend 01'!J83,0))</f>
        <v>0</v>
      </c>
      <c r="AC83" s="2">
        <f>((IF((17='V06 Calend 01'!C83),('V06 Calend 01'!F83+'V06 Calend 01'!G83),0)+IF(AND(('V06 Calend 01'!E83&gt;0),(17&gt;'V06 Calend 01'!C83),(17&lt;'V06 Calend 01'!D83),(MOD((17-'V06 Calend 01'!C83),6)=0),(((17-'V06 Calend 01'!C83)/6)&lt;='V06 Calend 01'!E83)),IF((17=('V06 Calend 01'!C83+(6*'V06 Calend 01'!E83))),('V06 Calend 01'!H83-('V06 Calend 01'!I83*('V06 Calend 01'!E83-1))),'V06 Calend 01'!I83),0))+IF((17='V06 Calend 01'!D83),'V06 Calend 01'!J83,0))</f>
        <v>0</v>
      </c>
      <c r="AD83" s="2">
        <f>((IF((18='V06 Calend 01'!C83),('V06 Calend 01'!F83+'V06 Calend 01'!G83),0)+IF(AND(('V06 Calend 01'!E83&gt;0),(18&gt;'V06 Calend 01'!C83),(18&lt;'V06 Calend 01'!D83),(MOD((18-'V06 Calend 01'!C83),6)=0),(((18-'V06 Calend 01'!C83)/6)&lt;='V06 Calend 01'!E83)),IF((18=('V06 Calend 01'!C83+(6*'V06 Calend 01'!E83))),('V06 Calend 01'!H83-('V06 Calend 01'!I83*('V06 Calend 01'!E83-1))),'V06 Calend 01'!I83),0))+IF((18='V06 Calend 01'!D83),'V06 Calend 01'!J83,0))</f>
        <v>0</v>
      </c>
      <c r="AE83" s="2">
        <f>((IF((19='V06 Calend 01'!C83),('V06 Calend 01'!F83+'V06 Calend 01'!G83),0)+IF(AND(('V06 Calend 01'!E83&gt;0),(19&gt;'V06 Calend 01'!C83),(19&lt;'V06 Calend 01'!D83),(MOD((19-'V06 Calend 01'!C83),6)=0),(((19-'V06 Calend 01'!C83)/6)&lt;='V06 Calend 01'!E83)),IF((19=('V06 Calend 01'!C83+(6*'V06 Calend 01'!E83))),('V06 Calend 01'!H83-('V06 Calend 01'!I83*('V06 Calend 01'!E83-1))),'V06 Calend 01'!I83),0))+IF((19='V06 Calend 01'!D83),'V06 Calend 01'!J83,0))</f>
        <v>125859.5</v>
      </c>
      <c r="AF83" s="2">
        <f>((IF((20='V06 Calend 01'!C83),('V06 Calend 01'!F83+'V06 Calend 01'!G83),0)+IF(AND(('V06 Calend 01'!E83&gt;0),(20&gt;'V06 Calend 01'!C83),(20&lt;'V06 Calend 01'!D83),(MOD((20-'V06 Calend 01'!C83),6)=0),(((20-'V06 Calend 01'!C83)/6)&lt;='V06 Calend 01'!E83)),IF((20=('V06 Calend 01'!C83+(6*'V06 Calend 01'!E83))),('V06 Calend 01'!H83-('V06 Calend 01'!I83*('V06 Calend 01'!E83-1))),'V06 Calend 01'!I83),0))+IF((20='V06 Calend 01'!D83),'V06 Calend 01'!J83,0))</f>
        <v>0</v>
      </c>
      <c r="AG83" s="2">
        <f>((IF((21='V06 Calend 01'!C83),('V06 Calend 01'!F83+'V06 Calend 01'!G83),0)+IF(AND(('V06 Calend 01'!E83&gt;0),(21&gt;'V06 Calend 01'!C83),(21&lt;'V06 Calend 01'!D83),(MOD((21-'V06 Calend 01'!C83),6)=0),(((21-'V06 Calend 01'!C83)/6)&lt;='V06 Calend 01'!E83)),IF((21=('V06 Calend 01'!C83+(6*'V06 Calend 01'!E83))),('V06 Calend 01'!H83-('V06 Calend 01'!I83*('V06 Calend 01'!E83-1))),'V06 Calend 01'!I83),0))+IF((21='V06 Calend 01'!D83),'V06 Calend 01'!J83,0))</f>
        <v>0</v>
      </c>
      <c r="AH83" s="2">
        <f>((IF((22='V06 Calend 01'!C83),('V06 Calend 01'!F83+'V06 Calend 01'!G83),0)+IF(AND(('V06 Calend 01'!E83&gt;0),(22&gt;'V06 Calend 01'!C83),(22&lt;'V06 Calend 01'!D83),(MOD((22-'V06 Calend 01'!C83),6)=0),(((22-'V06 Calend 01'!C83)/6)&lt;='V06 Calend 01'!E83)),IF((22=('V06 Calend 01'!C83+(6*'V06 Calend 01'!E83))),('V06 Calend 01'!H83-('V06 Calend 01'!I83*('V06 Calend 01'!E83-1))),'V06 Calend 01'!I83),0))+IF((22='V06 Calend 01'!D83),'V06 Calend 01'!J83,0))</f>
        <v>0</v>
      </c>
      <c r="AI83" s="2">
        <f>((IF((23='V06 Calend 01'!C83),('V06 Calend 01'!F83+'V06 Calend 01'!G83),0)+IF(AND(('V06 Calend 01'!E83&gt;0),(23&gt;'V06 Calend 01'!C83),(23&lt;'V06 Calend 01'!D83),(MOD((23-'V06 Calend 01'!C83),6)=0),(((23-'V06 Calend 01'!C83)/6)&lt;='V06 Calend 01'!E83)),IF((23=('V06 Calend 01'!C83+(6*'V06 Calend 01'!E83))),('V06 Calend 01'!H83-('V06 Calend 01'!I83*('V06 Calend 01'!E83-1))),'V06 Calend 01'!I83),0))+IF((23='V06 Calend 01'!D83),'V06 Calend 01'!J83,0))</f>
        <v>0</v>
      </c>
      <c r="AJ83" s="2">
        <f>((IF((24='V06 Calend 01'!C83),('V06 Calend 01'!F83+'V06 Calend 01'!G83),0)+IF(AND(('V06 Calend 01'!E83&gt;0),(24&gt;'V06 Calend 01'!C83),(24&lt;'V06 Calend 01'!D83),(MOD((24-'V06 Calend 01'!C83),6)=0),(((24-'V06 Calend 01'!C83)/6)&lt;='V06 Calend 01'!E83)),IF((24=('V06 Calend 01'!C83+(6*'V06 Calend 01'!E83))),('V06 Calend 01'!H83-('V06 Calend 01'!I83*('V06 Calend 01'!E83-1))),'V06 Calend 01'!I83),0))+IF((24='V06 Calend 01'!D83),'V06 Calend 01'!J83,0))</f>
        <v>0</v>
      </c>
      <c r="AK83" s="2">
        <f>((IF((25='V06 Calend 01'!C83),('V06 Calend 01'!F83+'V06 Calend 01'!G83),0)+IF(AND(('V06 Calend 01'!E83&gt;0),(25&gt;'V06 Calend 01'!C83),(25&lt;'V06 Calend 01'!D83),(MOD((25-'V06 Calend 01'!C83),6)=0),(((25-'V06 Calend 01'!C83)/6)&lt;='V06 Calend 01'!E83)),IF((25=('V06 Calend 01'!C83+(6*'V06 Calend 01'!E83))),('V06 Calend 01'!H83-('V06 Calend 01'!I83*('V06 Calend 01'!E83-1))),'V06 Calend 01'!I83),0))+IF((25='V06 Calend 01'!D83),'V06 Calend 01'!J83,0))</f>
        <v>125859.51000000001</v>
      </c>
      <c r="AL83" s="2">
        <f>((IF((26='V06 Calend 01'!C83),('V06 Calend 01'!F83+'V06 Calend 01'!G83),0)+IF(AND(('V06 Calend 01'!E83&gt;0),(26&gt;'V06 Calend 01'!C83),(26&lt;'V06 Calend 01'!D83),(MOD((26-'V06 Calend 01'!C83),6)=0),(((26-'V06 Calend 01'!C83)/6)&lt;='V06 Calend 01'!E83)),IF((26=('V06 Calend 01'!C83+(6*'V06 Calend 01'!E83))),('V06 Calend 01'!H83-('V06 Calend 01'!I83*('V06 Calend 01'!E83-1))),'V06 Calend 01'!I83),0))+IF((26='V06 Calend 01'!D83),'V06 Calend 01'!J83,0))</f>
        <v>0</v>
      </c>
      <c r="AM83" s="2">
        <f>((IF((27='V06 Calend 01'!C83),('V06 Calend 01'!F83+'V06 Calend 01'!G83),0)+IF(AND(('V06 Calend 01'!E83&gt;0),(27&gt;'V06 Calend 01'!C83),(27&lt;'V06 Calend 01'!D83),(MOD((27-'V06 Calend 01'!C83),6)=0),(((27-'V06 Calend 01'!C83)/6)&lt;='V06 Calend 01'!E83)),IF((27=('V06 Calend 01'!C83+(6*'V06 Calend 01'!E83))),('V06 Calend 01'!H83-('V06 Calend 01'!I83*('V06 Calend 01'!E83-1))),'V06 Calend 01'!I83),0))+IF((27='V06 Calend 01'!D83),'V06 Calend 01'!J83,0))</f>
        <v>0</v>
      </c>
      <c r="AN83" s="2">
        <f>((IF((28='V06 Calend 01'!C83),('V06 Calend 01'!F83+'V06 Calend 01'!G83),0)+IF(AND(('V06 Calend 01'!E83&gt;0),(28&gt;'V06 Calend 01'!C83),(28&lt;'V06 Calend 01'!D83),(MOD((28-'V06 Calend 01'!C83),6)=0),(((28-'V06 Calend 01'!C83)/6)&lt;='V06 Calend 01'!E83)),IF((28=('V06 Calend 01'!C83+(6*'V06 Calend 01'!E83))),('V06 Calend 01'!H83-('V06 Calend 01'!I83*('V06 Calend 01'!E83-1))),'V06 Calend 01'!I83),0))+IF((28='V06 Calend 01'!D83),'V06 Calend 01'!J83,0))</f>
        <v>137301.27000000002</v>
      </c>
      <c r="AO83" s="2">
        <f>((IF((29='V06 Calend 01'!C83),('V06 Calend 01'!F83+'V06 Calend 01'!G83),0)+IF(AND(('V06 Calend 01'!E83&gt;0),(29&gt;'V06 Calend 01'!C83),(29&lt;'V06 Calend 01'!D83),(MOD((29-'V06 Calend 01'!C83),6)=0),(((29-'V06 Calend 01'!C83)/6)&lt;='V06 Calend 01'!E83)),IF((29=('V06 Calend 01'!C83+(6*'V06 Calend 01'!E83))),('V06 Calend 01'!H83-('V06 Calend 01'!I83*('V06 Calend 01'!E83-1))),'V06 Calend 01'!I83),0))+IF((29='V06 Calend 01'!D83),'V06 Calend 01'!J83,0))</f>
        <v>0</v>
      </c>
      <c r="AP83" s="2">
        <f>((IF((30='V06 Calend 01'!C83),('V06 Calend 01'!F83+'V06 Calend 01'!G83),0)+IF(AND(('V06 Calend 01'!E83&gt;0),(30&gt;'V06 Calend 01'!C83),(30&lt;'V06 Calend 01'!D83),(MOD((30-'V06 Calend 01'!C83),6)=0),(((30-'V06 Calend 01'!C83)/6)&lt;='V06 Calend 01'!E83)),IF((30=('V06 Calend 01'!C83+(6*'V06 Calend 01'!E83))),('V06 Calend 01'!H83-('V06 Calend 01'!I83*('V06 Calend 01'!E83-1))),'V06 Calend 01'!I83),0))+IF((30='V06 Calend 01'!D83),'V06 Calend 01'!J83,0))</f>
        <v>0</v>
      </c>
      <c r="AQ83" s="2">
        <f>((IF((31='V06 Calend 01'!C83),('V06 Calend 01'!F83+'V06 Calend 01'!G83),0)+IF(AND(('V06 Calend 01'!E83&gt;0),(31&gt;'V06 Calend 01'!C83),(31&lt;'V06 Calend 01'!D83),(MOD((31-'V06 Calend 01'!C83),6)=0),(((31-'V06 Calend 01'!C83)/6)&lt;='V06 Calend 01'!E83)),IF((31=('V06 Calend 01'!C83+(6*'V06 Calend 01'!E83))),('V06 Calend 01'!H83-('V06 Calend 01'!I83*('V06 Calend 01'!E83-1))),'V06 Calend 01'!I83),0))+IF((31='V06 Calend 01'!D83),'V06 Calend 01'!J83,0))</f>
        <v>0</v>
      </c>
      <c r="AR83" s="2">
        <f>((IF((32='V06 Calend 01'!C83),('V06 Calend 01'!F83+'V06 Calend 01'!G83),0)+IF(AND(('V06 Calend 01'!E83&gt;0),(32&gt;'V06 Calend 01'!C83),(32&lt;'V06 Calend 01'!D83),(MOD((32-'V06 Calend 01'!C83),6)=0),(((32-'V06 Calend 01'!C83)/6)&lt;='V06 Calend 01'!E83)),IF((32=('V06 Calend 01'!C83+(6*'V06 Calend 01'!E83))),('V06 Calend 01'!H83-('V06 Calend 01'!I83*('V06 Calend 01'!E83-1))),'V06 Calend 01'!I83),0))+IF((32='V06 Calend 01'!D83),'V06 Calend 01'!J83,0))</f>
        <v>0</v>
      </c>
      <c r="AS83" s="2">
        <f>((IF((33='V06 Calend 01'!C83),('V06 Calend 01'!F83+'V06 Calend 01'!G83),0)+IF(AND(('V06 Calend 01'!E83&gt;0),(33&gt;'V06 Calend 01'!C83),(33&lt;'V06 Calend 01'!D83),(MOD((33-'V06 Calend 01'!C83),6)=0),(((33-'V06 Calend 01'!C83)/6)&lt;='V06 Calend 01'!E83)),IF((33=('V06 Calend 01'!C83+(6*'V06 Calend 01'!E83))),('V06 Calend 01'!H83-('V06 Calend 01'!I83*('V06 Calend 01'!E83-1))),'V06 Calend 01'!I83),0))+IF((33='V06 Calend 01'!D83),'V06 Calend 01'!J83,0))</f>
        <v>0</v>
      </c>
      <c r="AT83" s="2">
        <f>((IF((34='V06 Calend 01'!C83),('V06 Calend 01'!F83+'V06 Calend 01'!G83),0)+IF(AND(('V06 Calend 01'!E83&gt;0),(34&gt;'V06 Calend 01'!C83),(34&lt;'V06 Calend 01'!D83),(MOD((34-'V06 Calend 01'!C83),6)=0),(((34-'V06 Calend 01'!C83)/6)&lt;='V06 Calend 01'!E83)),IF((34=('V06 Calend 01'!C83+(6*'V06 Calend 01'!E83))),('V06 Calend 01'!H83-('V06 Calend 01'!I83*('V06 Calend 01'!E83-1))),'V06 Calend 01'!I83),0))+IF((34='V06 Calend 01'!D83),'V06 Calend 01'!J83,0))</f>
        <v>0</v>
      </c>
      <c r="AU83" s="2">
        <f>((IF((35='V06 Calend 01'!C83),('V06 Calend 01'!F83+'V06 Calend 01'!G83),0)+IF(AND(('V06 Calend 01'!E83&gt;0),(35&gt;'V06 Calend 01'!C83),(35&lt;'V06 Calend 01'!D83),(MOD((35-'V06 Calend 01'!C83),6)=0),(((35-'V06 Calend 01'!C83)/6)&lt;='V06 Calend 01'!E83)),IF((35=('V06 Calend 01'!C83+(6*'V06 Calend 01'!E83))),('V06 Calend 01'!H83-('V06 Calend 01'!I83*('V06 Calend 01'!E83-1))),'V06 Calend 01'!I83),0))+IF((35='V06 Calend 01'!D83),'V06 Calend 01'!J83,0))</f>
        <v>0</v>
      </c>
      <c r="AV83" s="2">
        <f>((IF((36='V06 Calend 01'!C83),('V06 Calend 01'!F83+'V06 Calend 01'!G83),0)+IF(AND(('V06 Calend 01'!E83&gt;0),(36&gt;'V06 Calend 01'!C83),(36&lt;'V06 Calend 01'!D83),(MOD((36-'V06 Calend 01'!C83),6)=0),(((36-'V06 Calend 01'!C83)/6)&lt;='V06 Calend 01'!E83)),IF((36=('V06 Calend 01'!C83+(6*'V06 Calend 01'!E83))),('V06 Calend 01'!H83-('V06 Calend 01'!I83*('V06 Calend 01'!E83-1))),'V06 Calend 01'!I83),0))+IF((36='V06 Calend 01'!D83),'V06 Calend 01'!J83,0))</f>
        <v>0</v>
      </c>
      <c r="AW83" s="2">
        <f>((IF((37='V06 Calend 01'!C83),('V06 Calend 01'!F83+'V06 Calend 01'!G83),0)+IF(AND(('V06 Calend 01'!E83&gt;0),(37&gt;'V06 Calend 01'!C83),(37&lt;'V06 Calend 01'!D83),(MOD((37-'V06 Calend 01'!C83),6)=0),(((37-'V06 Calend 01'!C83)/6)&lt;='V06 Calend 01'!E83)),IF((37=('V06 Calend 01'!C83+(6*'V06 Calend 01'!E83))),('V06 Calend 01'!H83-('V06 Calend 01'!I83*('V06 Calend 01'!E83-1))),'V06 Calend 01'!I83),0))+IF((37='V06 Calend 01'!D83),'V06 Calend 01'!J83,0))</f>
        <v>0</v>
      </c>
      <c r="AX83" s="2">
        <f>((IF((38='V06 Calend 01'!C83),('V06 Calend 01'!F83+'V06 Calend 01'!G83),0)+IF(AND(('V06 Calend 01'!E83&gt;0),(38&gt;'V06 Calend 01'!C83),(38&lt;'V06 Calend 01'!D83),(MOD((38-'V06 Calend 01'!C83),6)=0),(((38-'V06 Calend 01'!C83)/6)&lt;='V06 Calend 01'!E83)),IF((38=('V06 Calend 01'!C83+(6*'V06 Calend 01'!E83))),('V06 Calend 01'!H83-('V06 Calend 01'!I83*('V06 Calend 01'!E83-1))),'V06 Calend 01'!I83),0))+IF((38='V06 Calend 01'!D83),'V06 Calend 01'!J83,0))</f>
        <v>0</v>
      </c>
      <c r="AY83" s="2">
        <f>((IF((39='V06 Calend 01'!C83),('V06 Calend 01'!F83+'V06 Calend 01'!G83),0)+IF(AND(('V06 Calend 01'!E83&gt;0),(39&gt;'V06 Calend 01'!C83),(39&lt;'V06 Calend 01'!D83),(MOD((39-'V06 Calend 01'!C83),6)=0),(((39-'V06 Calend 01'!C83)/6)&lt;='V06 Calend 01'!E83)),IF((39=('V06 Calend 01'!C83+(6*'V06 Calend 01'!E83))),('V06 Calend 01'!H83-('V06 Calend 01'!I83*('V06 Calend 01'!E83-1))),'V06 Calend 01'!I83),0))+IF((39='V06 Calend 01'!D83),'V06 Calend 01'!J83,0))</f>
        <v>0</v>
      </c>
      <c r="AZ83" s="2">
        <f>((IF((40='V06 Calend 01'!C83),('V06 Calend 01'!F83+'V06 Calend 01'!G83),0)+IF(AND(('V06 Calend 01'!E83&gt;0),(40&gt;'V06 Calend 01'!C83),(40&lt;'V06 Calend 01'!D83),(MOD((40-'V06 Calend 01'!C83),6)=0),(((40-'V06 Calend 01'!C83)/6)&lt;='V06 Calend 01'!E83)),IF((40=('V06 Calend 01'!C83+(6*'V06 Calend 01'!E83))),('V06 Calend 01'!H83-('V06 Calend 01'!I83*('V06 Calend 01'!E83-1))),'V06 Calend 01'!I83),0))+IF((40='V06 Calend 01'!D83),'V06 Calend 01'!J83,0))</f>
        <v>0</v>
      </c>
      <c r="BA83" s="2">
        <f>((IF((41='V06 Calend 01'!C83),('V06 Calend 01'!F83+'V06 Calend 01'!G83),0)+IF(AND(('V06 Calend 01'!E83&gt;0),(41&gt;'V06 Calend 01'!C83),(41&lt;'V06 Calend 01'!D83),(MOD((41-'V06 Calend 01'!C83),6)=0),(((41-'V06 Calend 01'!C83)/6)&lt;='V06 Calend 01'!E83)),IF((41=('V06 Calend 01'!C83+(6*'V06 Calend 01'!E83))),('V06 Calend 01'!H83-('V06 Calend 01'!I83*('V06 Calend 01'!E83-1))),'V06 Calend 01'!I83),0))+IF((41='V06 Calend 01'!D83),'V06 Calend 01'!J83,0))</f>
        <v>0</v>
      </c>
      <c r="BB83" s="2">
        <f>((IF((42='V06 Calend 01'!C83),('V06 Calend 01'!F83+'V06 Calend 01'!G83),0)+IF(AND(('V06 Calend 01'!E83&gt;0),(42&gt;'V06 Calend 01'!C83),(42&lt;'V06 Calend 01'!D83),(MOD((42-'V06 Calend 01'!C83),6)=0),(((42-'V06 Calend 01'!C83)/6)&lt;='V06 Calend 01'!E83)),IF((42=('V06 Calend 01'!C83+(6*'V06 Calend 01'!E83))),('V06 Calend 01'!H83-('V06 Calend 01'!I83*('V06 Calend 01'!E83-1))),'V06 Calend 01'!I83),0))+IF((42='V06 Calend 01'!D83),'V06 Calend 01'!J83,0))</f>
        <v>0</v>
      </c>
      <c r="BC83" s="2">
        <f>((IF((43='V06 Calend 01'!C83),('V06 Calend 01'!F83+'V06 Calend 01'!G83),0)+IF(AND(('V06 Calend 01'!E83&gt;0),(43&gt;'V06 Calend 01'!C83),(43&lt;'V06 Calend 01'!D83),(MOD((43-'V06 Calend 01'!C83),6)=0),(((43-'V06 Calend 01'!C83)/6)&lt;='V06 Calend 01'!E83)),IF((43=('V06 Calend 01'!C83+(6*'V06 Calend 01'!E83))),('V06 Calend 01'!H83-('V06 Calend 01'!I83*('V06 Calend 01'!E83-1))),'V06 Calend 01'!I83),0))+IF((43='V06 Calend 01'!D83),'V06 Calend 01'!J83,0))</f>
        <v>0</v>
      </c>
      <c r="BD83" s="2">
        <f>((IF((44='V06 Calend 01'!C83),('V06 Calend 01'!F83+'V06 Calend 01'!G83),0)+IF(AND(('V06 Calend 01'!E83&gt;0),(44&gt;'V06 Calend 01'!C83),(44&lt;'V06 Calend 01'!D83),(MOD((44-'V06 Calend 01'!C83),6)=0),(((44-'V06 Calend 01'!C83)/6)&lt;='V06 Calend 01'!E83)),IF((44=('V06 Calend 01'!C83+(6*'V06 Calend 01'!E83))),('V06 Calend 01'!H83-('V06 Calend 01'!I83*('V06 Calend 01'!E83-1))),'V06 Calend 01'!I83),0))+IF((44='V06 Calend 01'!D83),'V06 Calend 01'!J83,0))</f>
        <v>0</v>
      </c>
      <c r="BE83" s="2">
        <f>((IF((45='V06 Calend 01'!C83),('V06 Calend 01'!F83+'V06 Calend 01'!G83),0)+IF(AND(('V06 Calend 01'!E83&gt;0),(45&gt;'V06 Calend 01'!C83),(45&lt;'V06 Calend 01'!D83),(MOD((45-'V06 Calend 01'!C83),6)=0),(((45-'V06 Calend 01'!C83)/6)&lt;='V06 Calend 01'!E83)),IF((45=('V06 Calend 01'!C83+(6*'V06 Calend 01'!E83))),('V06 Calend 01'!H83-('V06 Calend 01'!I83*('V06 Calend 01'!E83-1))),'V06 Calend 01'!I83),0))+IF((45='V06 Calend 01'!D83),'V06 Calend 01'!J83,0))</f>
        <v>0</v>
      </c>
      <c r="BF83" s="2">
        <f>((IF((46='V06 Calend 01'!C83),('V06 Calend 01'!F83+'V06 Calend 01'!G83),0)+IF(AND(('V06 Calend 01'!E83&gt;0),(46&gt;'V06 Calend 01'!C83),(46&lt;'V06 Calend 01'!D83),(MOD((46-'V06 Calend 01'!C83),6)=0),(((46-'V06 Calend 01'!C83)/6)&lt;='V06 Calend 01'!E83)),IF((46=('V06 Calend 01'!C83+(6*'V06 Calend 01'!E83))),('V06 Calend 01'!H83-('V06 Calend 01'!I83*('V06 Calend 01'!E83-1))),'V06 Calend 01'!I83),0))+IF((46='V06 Calend 01'!D83),'V06 Calend 01'!J83,0))</f>
        <v>0</v>
      </c>
      <c r="BG83" s="2">
        <f>((IF((47='V06 Calend 01'!C83),('V06 Calend 01'!F83+'V06 Calend 01'!G83),0)+IF(AND(('V06 Calend 01'!E83&gt;0),(47&gt;'V06 Calend 01'!C83),(47&lt;'V06 Calend 01'!D83),(MOD((47-'V06 Calend 01'!C83),6)=0),(((47-'V06 Calend 01'!C83)/6)&lt;='V06 Calend 01'!E83)),IF((47=('V06 Calend 01'!C83+(6*'V06 Calend 01'!E83))),('V06 Calend 01'!H83-('V06 Calend 01'!I83*('V06 Calend 01'!E83-1))),'V06 Calend 01'!I83),0))+IF((47='V06 Calend 01'!D83),'V06 Calend 01'!J83,0))</f>
        <v>0</v>
      </c>
      <c r="BH83" s="2">
        <f>((IF((48='V06 Calend 01'!C83),('V06 Calend 01'!F83+'V06 Calend 01'!G83),0)+IF(AND(('V06 Calend 01'!E83&gt;0),(48&gt;'V06 Calend 01'!C83),(48&lt;'V06 Calend 01'!D83),(MOD((48-'V06 Calend 01'!C83),6)=0),(((48-'V06 Calend 01'!C83)/6)&lt;='V06 Calend 01'!E83)),IF((48=('V06 Calend 01'!C83+(6*'V06 Calend 01'!E83))),('V06 Calend 01'!H83-('V06 Calend 01'!I83*('V06 Calend 01'!E83-1))),'V06 Calend 01'!I83),0))+IF((48='V06 Calend 01'!D83),'V06 Calend 01'!J83,0))</f>
        <v>0</v>
      </c>
      <c r="BI83" s="2">
        <f>((IF((49='V06 Calend 01'!C83),('V06 Calend 01'!F83+'V06 Calend 01'!G83),0)+IF(AND(('V06 Calend 01'!E83&gt;0),(49&gt;'V06 Calend 01'!C83),(49&lt;'V06 Calend 01'!D83),(MOD((49-'V06 Calend 01'!C83),6)=0),(((49-'V06 Calend 01'!C83)/6)&lt;='V06 Calend 01'!E83)),IF((49=('V06 Calend 01'!C83+(6*'V06 Calend 01'!E83))),('V06 Calend 01'!H83-('V06 Calend 01'!I83*('V06 Calend 01'!E83-1))),'V06 Calend 01'!I83),0))+IF((49='V06 Calend 01'!D83),'V06 Calend 01'!J83,0))</f>
        <v>0</v>
      </c>
      <c r="BJ83" s="2">
        <f>((IF((50='V06 Calend 01'!C83),('V06 Calend 01'!F83+'V06 Calend 01'!G83),0)+IF(AND(('V06 Calend 01'!E83&gt;0),(50&gt;'V06 Calend 01'!C83),(50&lt;'V06 Calend 01'!D83),(MOD((50-'V06 Calend 01'!C83),6)=0),(((50-'V06 Calend 01'!C83)/6)&lt;='V06 Calend 01'!E83)),IF((50=('V06 Calend 01'!C83+(6*'V06 Calend 01'!E83))),('V06 Calend 01'!H83-('V06 Calend 01'!I83*('V06 Calend 01'!E83-1))),'V06 Calend 01'!I83),0))+IF((50='V06 Calend 01'!D83),'V06 Calend 01'!J83,0))</f>
        <v>0</v>
      </c>
      <c r="BK83" s="2">
        <f>((IF((51='V06 Calend 01'!C83),('V06 Calend 01'!F83+'V06 Calend 01'!G83),0)+IF(AND(('V06 Calend 01'!E83&gt;0),(51&gt;'V06 Calend 01'!C83),(51&lt;'V06 Calend 01'!D83),(MOD((51-'V06 Calend 01'!C83),6)=0),(((51-'V06 Calend 01'!C83)/6)&lt;='V06 Calend 01'!E83)),IF((51=('V06 Calend 01'!C83+(6*'V06 Calend 01'!E83))),('V06 Calend 01'!H83-('V06 Calend 01'!I83*('V06 Calend 01'!E83-1))),'V06 Calend 01'!I83),0))+IF((51='V06 Calend 01'!D83),'V06 Calend 01'!J83,0))</f>
        <v>0</v>
      </c>
      <c r="BL83" s="2">
        <f>((IF((52='V06 Calend 01'!C83),('V06 Calend 01'!F83+'V06 Calend 01'!G83),0)+IF(AND(('V06 Calend 01'!E83&gt;0),(52&gt;'V06 Calend 01'!C83),(52&lt;'V06 Calend 01'!D83),(MOD((52-'V06 Calend 01'!C83),6)=0),(((52-'V06 Calend 01'!C83)/6)&lt;='V06 Calend 01'!E83)),IF((52=('V06 Calend 01'!C83+(6*'V06 Calend 01'!E83))),('V06 Calend 01'!H83-('V06 Calend 01'!I83*('V06 Calend 01'!E83-1))),'V06 Calend 01'!I83),0))+IF((52='V06 Calend 01'!D83),'V06 Calend 01'!J83,0))</f>
        <v>0</v>
      </c>
      <c r="BM83" s="2">
        <f>((IF((53='V06 Calend 01'!C83),('V06 Calend 01'!F83+'V06 Calend 01'!G83),0)+IF(AND(('V06 Calend 01'!E83&gt;0),(53&gt;'V06 Calend 01'!C83),(53&lt;'V06 Calend 01'!D83),(MOD((53-'V06 Calend 01'!C83),6)=0),(((53-'V06 Calend 01'!C83)/6)&lt;='V06 Calend 01'!E83)),IF((53=('V06 Calend 01'!C83+(6*'V06 Calend 01'!E83))),('V06 Calend 01'!H83-('V06 Calend 01'!I83*('V06 Calend 01'!E83-1))),'V06 Calend 01'!I83),0))+IF((53='V06 Calend 01'!D83),'V06 Calend 01'!J83,0))</f>
        <v>0</v>
      </c>
      <c r="BN83" s="2">
        <f>((IF((54='V06 Calend 01'!C83),('V06 Calend 01'!F83+'V06 Calend 01'!G83),0)+IF(AND(('V06 Calend 01'!E83&gt;0),(54&gt;'V06 Calend 01'!C83),(54&lt;'V06 Calend 01'!D83),(MOD((54-'V06 Calend 01'!C83),6)=0),(((54-'V06 Calend 01'!C83)/6)&lt;='V06 Calend 01'!E83)),IF((54=('V06 Calend 01'!C83+(6*'V06 Calend 01'!E83))),('V06 Calend 01'!H83-('V06 Calend 01'!I83*('V06 Calend 01'!E83-1))),'V06 Calend 01'!I83),0))+IF((54='V06 Calend 01'!D83),'V06 Calend 01'!J83,0))</f>
        <v>0</v>
      </c>
      <c r="BO83" s="2">
        <f>((IF((55='V06 Calend 01'!C83),('V06 Calend 01'!F83+'V06 Calend 01'!G83),0)+IF(AND(('V06 Calend 01'!E83&gt;0),(55&gt;'V06 Calend 01'!C83),(55&lt;'V06 Calend 01'!D83),(MOD((55-'V06 Calend 01'!C83),6)=0),(((55-'V06 Calend 01'!C83)/6)&lt;='V06 Calend 01'!E83)),IF((55=('V06 Calend 01'!C83+(6*'V06 Calend 01'!E83))),('V06 Calend 01'!H83-('V06 Calend 01'!I83*('V06 Calend 01'!E83-1))),'V06 Calend 01'!I83),0))+IF((55='V06 Calend 01'!D83),'V06 Calend 01'!J83,0))</f>
        <v>0</v>
      </c>
      <c r="BP83" s="2">
        <f>((IF((56='V06 Calend 01'!C83),('V06 Calend 01'!F83+'V06 Calend 01'!G83),0)+IF(AND(('V06 Calend 01'!E83&gt;0),(56&gt;'V06 Calend 01'!C83),(56&lt;'V06 Calend 01'!D83),(MOD((56-'V06 Calend 01'!C83),6)=0),(((56-'V06 Calend 01'!C83)/6)&lt;='V06 Calend 01'!E83)),IF((56=('V06 Calend 01'!C83+(6*'V06 Calend 01'!E83))),('V06 Calend 01'!H83-('V06 Calend 01'!I83*('V06 Calend 01'!E83-1))),'V06 Calend 01'!I83),0))+IF((56='V06 Calend 01'!D83),'V06 Calend 01'!J83,0))</f>
        <v>0</v>
      </c>
      <c r="BQ83" s="2">
        <f>((IF((57='V06 Calend 01'!C83),('V06 Calend 01'!F83+'V06 Calend 01'!G83),0)+IF(AND(('V06 Calend 01'!E83&gt;0),(57&gt;'V06 Calend 01'!C83),(57&lt;'V06 Calend 01'!D83),(MOD((57-'V06 Calend 01'!C83),6)=0),(((57-'V06 Calend 01'!C83)/6)&lt;='V06 Calend 01'!E83)),IF((57=('V06 Calend 01'!C83+(6*'V06 Calend 01'!E83))),('V06 Calend 01'!H83-('V06 Calend 01'!I83*('V06 Calend 01'!E83-1))),'V06 Calend 01'!I83),0))+IF((57='V06 Calend 01'!D83),'V06 Calend 01'!J83,0))</f>
        <v>0</v>
      </c>
      <c r="BR83" s="2">
        <f>((IF((58='V06 Calend 01'!C83),('V06 Calend 01'!F83+'V06 Calend 01'!G83),0)+IF(AND(('V06 Calend 01'!E83&gt;0),(58&gt;'V06 Calend 01'!C83),(58&lt;'V06 Calend 01'!D83),(MOD((58-'V06 Calend 01'!C83),6)=0),(((58-'V06 Calend 01'!C83)/6)&lt;='V06 Calend 01'!E83)),IF((58=('V06 Calend 01'!C83+(6*'V06 Calend 01'!E83))),('V06 Calend 01'!H83-('V06 Calend 01'!I83*('V06 Calend 01'!E83-1))),'V06 Calend 01'!I83),0))+IF((58='V06 Calend 01'!D83),'V06 Calend 01'!J83,0))</f>
        <v>0</v>
      </c>
      <c r="BS83" s="2">
        <f>((IF((59='V06 Calend 01'!C83),('V06 Calend 01'!F83+'V06 Calend 01'!G83),0)+IF(AND(('V06 Calend 01'!E83&gt;0),(59&gt;'V06 Calend 01'!C83),(59&lt;'V06 Calend 01'!D83),(MOD((59-'V06 Calend 01'!C83),6)=0),(((59-'V06 Calend 01'!C83)/6)&lt;='V06 Calend 01'!E83)),IF((59=('V06 Calend 01'!C83+(6*'V06 Calend 01'!E83))),('V06 Calend 01'!H83-('V06 Calend 01'!I83*('V06 Calend 01'!E83-1))),'V06 Calend 01'!I83),0))+IF((59='V06 Calend 01'!D83),'V06 Calend 01'!J83,0))</f>
        <v>0</v>
      </c>
      <c r="BT83" s="2">
        <f>((IF((60='V06 Calend 01'!C83),('V06 Calend 01'!F83+'V06 Calend 01'!G83),0)+IF(AND(('V06 Calend 01'!E83&gt;0),(60&gt;'V06 Calend 01'!C83),(60&lt;'V06 Calend 01'!D83),(MOD((60-'V06 Calend 01'!C83),6)=0),(((60-'V06 Calend 01'!C83)/6)&lt;='V06 Calend 01'!E83)),IF((60=('V06 Calend 01'!C83+(6*'V06 Calend 01'!E83))),('V06 Calend 01'!H83-('V06 Calend 01'!I83*('V06 Calend 01'!E83-1))),'V06 Calend 01'!I83),0))+IF((60='V06 Calend 01'!D83),'V06 Calend 01'!J83,0))</f>
        <v>0</v>
      </c>
      <c r="BU83" s="2">
        <f>((IF((61='V06 Calend 01'!C83),('V06 Calend 01'!F83+'V06 Calend 01'!G83),0)+IF(AND(('V06 Calend 01'!E83&gt;0),(61&gt;'V06 Calend 01'!C83),(61&lt;'V06 Calend 01'!D83),(MOD((61-'V06 Calend 01'!C83),6)=0),(((61-'V06 Calend 01'!C83)/6)&lt;='V06 Calend 01'!E83)),IF((61=('V06 Calend 01'!C83+(6*'V06 Calend 01'!E83))),('V06 Calend 01'!H83-('V06 Calend 01'!I83*('V06 Calend 01'!E83-1))),'V06 Calend 01'!I83),0))+IF((61='V06 Calend 01'!D83),'V06 Calend 01'!J83,0))</f>
        <v>0</v>
      </c>
      <c r="BV83" s="2">
        <f>((IF((62='V06 Calend 01'!C83),('V06 Calend 01'!F83+'V06 Calend 01'!G83),0)+IF(AND(('V06 Calend 01'!E83&gt;0),(62&gt;'V06 Calend 01'!C83),(62&lt;'V06 Calend 01'!D83),(MOD((62-'V06 Calend 01'!C83),6)=0),(((62-'V06 Calend 01'!C83)/6)&lt;='V06 Calend 01'!E83)),IF((62=('V06 Calend 01'!C83+(6*'V06 Calend 01'!E83))),('V06 Calend 01'!H83-('V06 Calend 01'!I83*('V06 Calend 01'!E83-1))),'V06 Calend 01'!I83),0))+IF((62='V06 Calend 01'!D83),'V06 Calend 01'!J83,0))</f>
        <v>0</v>
      </c>
      <c r="BW83" s="2">
        <f>((IF((63='V06 Calend 01'!C83),('V06 Calend 01'!F83+'V06 Calend 01'!G83),0)+IF(AND(('V06 Calend 01'!E83&gt;0),(63&gt;'V06 Calend 01'!C83),(63&lt;'V06 Calend 01'!D83),(MOD((63-'V06 Calend 01'!C83),6)=0),(((63-'V06 Calend 01'!C83)/6)&lt;='V06 Calend 01'!E83)),IF((63=('V06 Calend 01'!C83+(6*'V06 Calend 01'!E83))),('V06 Calend 01'!H83-('V06 Calend 01'!I83*('V06 Calend 01'!E83-1))),'V06 Calend 01'!I83),0))+IF((63='V06 Calend 01'!D83),'V06 Calend 01'!J83,0))</f>
        <v>0</v>
      </c>
      <c r="BX83" s="2">
        <f>((IF((64='V06 Calend 01'!C83),('V06 Calend 01'!F83+'V06 Calend 01'!G83),0)+IF(AND(('V06 Calend 01'!E83&gt;0),(64&gt;'V06 Calend 01'!C83),(64&lt;'V06 Calend 01'!D83),(MOD((64-'V06 Calend 01'!C83),6)=0),(((64-'V06 Calend 01'!C83)/6)&lt;='V06 Calend 01'!E83)),IF((64=('V06 Calend 01'!C83+(6*'V06 Calend 01'!E83))),('V06 Calend 01'!H83-('V06 Calend 01'!I83*('V06 Calend 01'!E83-1))),'V06 Calend 01'!I83),0))+IF((64='V06 Calend 01'!D83),'V06 Calend 01'!J83,0))</f>
        <v>0</v>
      </c>
      <c r="BY83" s="2">
        <f>((IF((65='V06 Calend 01'!C83),('V06 Calend 01'!F83+'V06 Calend 01'!G83),0)+IF(AND(('V06 Calend 01'!E83&gt;0),(65&gt;'V06 Calend 01'!C83),(65&lt;'V06 Calend 01'!D83),(MOD((65-'V06 Calend 01'!C83),6)=0),(((65-'V06 Calend 01'!C83)/6)&lt;='V06 Calend 01'!E83)),IF((65=('V06 Calend 01'!C83+(6*'V06 Calend 01'!E83))),('V06 Calend 01'!H83-('V06 Calend 01'!I83*('V06 Calend 01'!E83-1))),'V06 Calend 01'!I83),0))+IF((65='V06 Calend 01'!D83),'V06 Calend 01'!J83,0))</f>
        <v>0</v>
      </c>
      <c r="BZ83" s="2">
        <f>((IF((66='V06 Calend 01'!C83),('V06 Calend 01'!F83+'V06 Calend 01'!G83),0)+IF(AND(('V06 Calend 01'!E83&gt;0),(66&gt;'V06 Calend 01'!C83),(66&lt;'V06 Calend 01'!D83),(MOD((66-'V06 Calend 01'!C83),6)=0),(((66-'V06 Calend 01'!C83)/6)&lt;='V06 Calend 01'!E83)),IF((66=('V06 Calend 01'!C83+(6*'V06 Calend 01'!E83))),('V06 Calend 01'!H83-('V06 Calend 01'!I83*('V06 Calend 01'!E83-1))),'V06 Calend 01'!I83),0))+IF((66='V06 Calend 01'!D83),'V06 Calend 01'!J83,0))</f>
        <v>0</v>
      </c>
      <c r="CA83" s="2">
        <f>((IF((67='V06 Calend 01'!C83),('V06 Calend 01'!F83+'V06 Calend 01'!G83),0)+IF(AND(('V06 Calend 01'!E83&gt;0),(67&gt;'V06 Calend 01'!C83),(67&lt;'V06 Calend 01'!D83),(MOD((67-'V06 Calend 01'!C83),6)=0),(((67-'V06 Calend 01'!C83)/6)&lt;='V06 Calend 01'!E83)),IF((67=('V06 Calend 01'!C83+(6*'V06 Calend 01'!E83))),('V06 Calend 01'!H83-('V06 Calend 01'!I83*('V06 Calend 01'!E83-1))),'V06 Calend 01'!I83),0))+IF((67='V06 Calend 01'!D83),'V06 Calend 01'!J83,0))</f>
        <v>0</v>
      </c>
      <c r="CB83" s="2">
        <f>((IF((68='V06 Calend 01'!C83),('V06 Calend 01'!F83+'V06 Calend 01'!G83),0)+IF(AND(('V06 Calend 01'!E83&gt;0),(68&gt;'V06 Calend 01'!C83),(68&lt;'V06 Calend 01'!D83),(MOD((68-'V06 Calend 01'!C83),6)=0),(((68-'V06 Calend 01'!C83)/6)&lt;='V06 Calend 01'!E83)),IF((68=('V06 Calend 01'!C83+(6*'V06 Calend 01'!E83))),('V06 Calend 01'!H83-('V06 Calend 01'!I83*('V06 Calend 01'!E83-1))),'V06 Calend 01'!I83),0))+IF((68='V06 Calend 01'!D83),'V06 Calend 01'!J83,0))</f>
        <v>0</v>
      </c>
      <c r="CC83" s="2">
        <f>((IF((69='V06 Calend 01'!C83),('V06 Calend 01'!F83+'V06 Calend 01'!G83),0)+IF(AND(('V06 Calend 01'!E83&gt;0),(69&gt;'V06 Calend 01'!C83),(69&lt;'V06 Calend 01'!D83),(MOD((69-'V06 Calend 01'!C83),6)=0),(((69-'V06 Calend 01'!C83)/6)&lt;='V06 Calend 01'!E83)),IF((69=('V06 Calend 01'!C83+(6*'V06 Calend 01'!E83))),('V06 Calend 01'!H83-('V06 Calend 01'!I83*('V06 Calend 01'!E83-1))),'V06 Calend 01'!I83),0))+IF((69='V06 Calend 01'!D83),'V06 Calend 01'!J83,0))</f>
        <v>0</v>
      </c>
      <c r="CD83" s="2">
        <f>((IF((70='V06 Calend 01'!C83),('V06 Calend 01'!F83+'V06 Calend 01'!G83),0)+IF(AND(('V06 Calend 01'!E83&gt;0),(70&gt;'V06 Calend 01'!C83),(70&lt;'V06 Calend 01'!D83),(MOD((70-'V06 Calend 01'!C83),6)=0),(((70-'V06 Calend 01'!C83)/6)&lt;='V06 Calend 01'!E83)),IF((70=('V06 Calend 01'!C83+(6*'V06 Calend 01'!E83))),('V06 Calend 01'!H83-('V06 Calend 01'!I83*('V06 Calend 01'!E83-1))),'V06 Calend 01'!I83),0))+IF((70='V06 Calend 01'!D83),'V06 Calend 01'!J83,0))</f>
        <v>0</v>
      </c>
      <c r="CE83" s="2">
        <f>((IF((71='V06 Calend 01'!C83),('V06 Calend 01'!F83+'V06 Calend 01'!G83),0)+IF(AND(('V06 Calend 01'!E83&gt;0),(71&gt;'V06 Calend 01'!C83),(71&lt;'V06 Calend 01'!D83),(MOD((71-'V06 Calend 01'!C83),6)=0),(((71-'V06 Calend 01'!C83)/6)&lt;='V06 Calend 01'!E83)),IF((71=('V06 Calend 01'!C83+(6*'V06 Calend 01'!E83))),('V06 Calend 01'!H83-('V06 Calend 01'!I83*('V06 Calend 01'!E83-1))),'V06 Calend 01'!I83),0))+IF((71='V06 Calend 01'!D83),'V06 Calend 01'!J83,0))</f>
        <v>0</v>
      </c>
      <c r="CF83" s="2">
        <f>((IF((72='V06 Calend 01'!C83),('V06 Calend 01'!F83+'V06 Calend 01'!G83),0)+IF(AND(('V06 Calend 01'!E83&gt;0),(72&gt;'V06 Calend 01'!C83),(72&lt;'V06 Calend 01'!D83),(MOD((72-'V06 Calend 01'!C83),6)=0),(((72-'V06 Calend 01'!C83)/6)&lt;='V06 Calend 01'!E83)),IF((72=('V06 Calend 01'!C83+(6*'V06 Calend 01'!E83))),('V06 Calend 01'!H83-('V06 Calend 01'!I83*('V06 Calend 01'!E83-1))),'V06 Calend 01'!I83),0))+IF((72='V06 Calend 01'!D83),'V06 Calend 01'!J83,0))</f>
        <v>0</v>
      </c>
      <c r="CG83" s="2">
        <f>((IF((73='V06 Calend 01'!C83),('V06 Calend 01'!F83+'V06 Calend 01'!G83),0)+IF(AND(('V06 Calend 01'!E83&gt;0),(73&gt;'V06 Calend 01'!C83),(73&lt;'V06 Calend 01'!D83),(MOD((73-'V06 Calend 01'!C83),6)=0),(((73-'V06 Calend 01'!C83)/6)&lt;='V06 Calend 01'!E83)),IF((73=('V06 Calend 01'!C83+(6*'V06 Calend 01'!E83))),('V06 Calend 01'!H83-('V06 Calend 01'!I83*('V06 Calend 01'!E83-1))),'V06 Calend 01'!I83),0))+IF((73='V06 Calend 01'!D83),'V06 Calend 01'!J83,0))</f>
        <v>0</v>
      </c>
      <c r="CH83" s="2">
        <f>((IF((74='V06 Calend 01'!C83),('V06 Calend 01'!F83+'V06 Calend 01'!G83),0)+IF(AND(('V06 Calend 01'!E83&gt;0),(74&gt;'V06 Calend 01'!C83),(74&lt;'V06 Calend 01'!D83),(MOD((74-'V06 Calend 01'!C83),6)=0),(((74-'V06 Calend 01'!C83)/6)&lt;='V06 Calend 01'!E83)),IF((74=('V06 Calend 01'!C83+(6*'V06 Calend 01'!E83))),('V06 Calend 01'!H83-('V06 Calend 01'!I83*('V06 Calend 01'!E83-1))),'V06 Calend 01'!I83),0))+IF((74='V06 Calend 01'!D83),'V06 Calend 01'!J83,0))</f>
        <v>0</v>
      </c>
      <c r="CI83" s="2">
        <f>((IF((75='V06 Calend 01'!C83),('V06 Calend 01'!F83+'V06 Calend 01'!G83),0)+IF(AND(('V06 Calend 01'!E83&gt;0),(75&gt;'V06 Calend 01'!C83),(75&lt;'V06 Calend 01'!D83),(MOD((75-'V06 Calend 01'!C83),6)=0),(((75-'V06 Calend 01'!C83)/6)&lt;='V06 Calend 01'!E83)),IF((75=('V06 Calend 01'!C83+(6*'V06 Calend 01'!E83))),('V06 Calend 01'!H83-('V06 Calend 01'!I83*('V06 Calend 01'!E83-1))),'V06 Calend 01'!I83),0))+IF((75='V06 Calend 01'!D83),'V06 Calend 01'!J83,0))</f>
        <v>0</v>
      </c>
      <c r="CJ83" s="2">
        <f>((IF((76='V06 Calend 01'!C83),('V06 Calend 01'!F83+'V06 Calend 01'!G83),0)+IF(AND(('V06 Calend 01'!E83&gt;0),(76&gt;'V06 Calend 01'!C83),(76&lt;'V06 Calend 01'!D83),(MOD((76-'V06 Calend 01'!C83),6)=0),(((76-'V06 Calend 01'!C83)/6)&lt;='V06 Calend 01'!E83)),IF((76=('V06 Calend 01'!C83+(6*'V06 Calend 01'!E83))),('V06 Calend 01'!H83-('V06 Calend 01'!I83*('V06 Calend 01'!E83-1))),'V06 Calend 01'!I83),0))+IF((76='V06 Calend 01'!D83),'V06 Calend 01'!J83,0))</f>
        <v>0</v>
      </c>
      <c r="CK83" s="2">
        <f>((IF((77='V06 Calend 01'!C83),('V06 Calend 01'!F83+'V06 Calend 01'!G83),0)+IF(AND(('V06 Calend 01'!E83&gt;0),(77&gt;'V06 Calend 01'!C83),(77&lt;'V06 Calend 01'!D83),(MOD((77-'V06 Calend 01'!C83),6)=0),(((77-'V06 Calend 01'!C83)/6)&lt;='V06 Calend 01'!E83)),IF((77=('V06 Calend 01'!C83+(6*'V06 Calend 01'!E83))),('V06 Calend 01'!H83-('V06 Calend 01'!I83*('V06 Calend 01'!E83-1))),'V06 Calend 01'!I83),0))+IF((77='V06 Calend 01'!D83),'V06 Calend 01'!J83,0))</f>
        <v>0</v>
      </c>
      <c r="CL83" s="2">
        <f>((IF((78='V06 Calend 01'!C83),('V06 Calend 01'!F83+'V06 Calend 01'!G83),0)+IF(AND(('V06 Calend 01'!E83&gt;0),(78&gt;'V06 Calend 01'!C83),(78&lt;'V06 Calend 01'!D83),(MOD((78-'V06 Calend 01'!C83),6)=0),(((78-'V06 Calend 01'!C83)/6)&lt;='V06 Calend 01'!E83)),IF((78=('V06 Calend 01'!C83+(6*'V06 Calend 01'!E83))),('V06 Calend 01'!H83-('V06 Calend 01'!I83*('V06 Calend 01'!E83-1))),'V06 Calend 01'!I83),0))+IF((78='V06 Calend 01'!D83),'V06 Calend 01'!J83,0))</f>
        <v>0</v>
      </c>
      <c r="CM83" s="2">
        <f>((IF((79='V06 Calend 01'!C83),('V06 Calend 01'!F83+'V06 Calend 01'!G83),0)+IF(AND(('V06 Calend 01'!E83&gt;0),(79&gt;'V06 Calend 01'!C83),(79&lt;'V06 Calend 01'!D83),(MOD((79-'V06 Calend 01'!C83),6)=0),(((79-'V06 Calend 01'!C83)/6)&lt;='V06 Calend 01'!E83)),IF((79=('V06 Calend 01'!C83+(6*'V06 Calend 01'!E83))),('V06 Calend 01'!H83-('V06 Calend 01'!I83*('V06 Calend 01'!E83-1))),'V06 Calend 01'!I83),0))+IF((79='V06 Calend 01'!D83),'V06 Calend 01'!J83,0))</f>
        <v>0</v>
      </c>
      <c r="CN83" s="2">
        <f>((IF((80='V06 Calend 01'!C83),('V06 Calend 01'!F83+'V06 Calend 01'!G83),0)+IF(AND(('V06 Calend 01'!E83&gt;0),(80&gt;'V06 Calend 01'!C83),(80&lt;'V06 Calend 01'!D83),(MOD((80-'V06 Calend 01'!C83),6)=0),(((80-'V06 Calend 01'!C83)/6)&lt;='V06 Calend 01'!E83)),IF((80=('V06 Calend 01'!C83+(6*'V06 Calend 01'!E83))),('V06 Calend 01'!H83-('V06 Calend 01'!I83*('V06 Calend 01'!E83-1))),'V06 Calend 01'!I83),0))+IF((80='V06 Calend 01'!D83),'V06 Calend 01'!J83,0))</f>
        <v>0</v>
      </c>
      <c r="CO83" s="2">
        <f>((IF((81='V06 Calend 01'!C83),('V06 Calend 01'!F83+'V06 Calend 01'!G83),0)+IF(AND(('V06 Calend 01'!E83&gt;0),(81&gt;'V06 Calend 01'!C83),(81&lt;'V06 Calend 01'!D83),(MOD((81-'V06 Calend 01'!C83),6)=0),(((81-'V06 Calend 01'!C83)/6)&lt;='V06 Calend 01'!E83)),IF((81=('V06 Calend 01'!C83+(6*'V06 Calend 01'!E83))),('V06 Calend 01'!H83-('V06 Calend 01'!I83*('V06 Calend 01'!E83-1))),'V06 Calend 01'!I83),0))+IF((81='V06 Calend 01'!D83),'V06 Calend 01'!J83,0))</f>
        <v>0</v>
      </c>
      <c r="CP83" s="2">
        <f>((IF((82='V06 Calend 01'!C83),('V06 Calend 01'!F83+'V06 Calend 01'!G83),0)+IF(AND(('V06 Calend 01'!E83&gt;0),(82&gt;'V06 Calend 01'!C83),(82&lt;'V06 Calend 01'!D83),(MOD((82-'V06 Calend 01'!C83),6)=0),(((82-'V06 Calend 01'!C83)/6)&lt;='V06 Calend 01'!E83)),IF((82=('V06 Calend 01'!C83+(6*'V06 Calend 01'!E83))),('V06 Calend 01'!H83-('V06 Calend 01'!I83*('V06 Calend 01'!E83-1))),'V06 Calend 01'!I83),0))+IF((82='V06 Calend 01'!D83),'V06 Calend 01'!J83,0))</f>
        <v>0</v>
      </c>
      <c r="CQ83" s="2">
        <f>((IF((83='V06 Calend 01'!C83),('V06 Calend 01'!F83+'V06 Calend 01'!G83),0)+IF(AND(('V06 Calend 01'!E83&gt;0),(83&gt;'V06 Calend 01'!C83),(83&lt;'V06 Calend 01'!D83),(MOD((83-'V06 Calend 01'!C83),6)=0),(((83-'V06 Calend 01'!C83)/6)&lt;='V06 Calend 01'!E83)),IF((83=('V06 Calend 01'!C83+(6*'V06 Calend 01'!E83))),('V06 Calend 01'!H83-('V06 Calend 01'!I83*('V06 Calend 01'!E83-1))),'V06 Calend 01'!I83),0))+IF((83='V06 Calend 01'!D83),'V06 Calend 01'!J83,0))</f>
        <v>0</v>
      </c>
      <c r="CR83" s="2">
        <f>((IF((84='V06 Calend 01'!C83),('V06 Calend 01'!F83+'V06 Calend 01'!G83),0)+IF(AND(('V06 Calend 01'!E83&gt;0),(84&gt;'V06 Calend 01'!C83),(84&lt;'V06 Calend 01'!D83),(MOD((84-'V06 Calend 01'!C83),6)=0),(((84-'V06 Calend 01'!C83)/6)&lt;='V06 Calend 01'!E83)),IF((84=('V06 Calend 01'!C83+(6*'V06 Calend 01'!E83))),('V06 Calend 01'!H83-('V06 Calend 01'!I83*('V06 Calend 01'!E83-1))),'V06 Calend 01'!I83),0))+IF((84='V06 Calend 01'!D83),'V06 Calend 01'!J83,0))</f>
        <v>0</v>
      </c>
      <c r="CS83" s="2">
        <f>((IF((85='V06 Calend 01'!C83),('V06 Calend 01'!F83+'V06 Calend 01'!G83),0)+IF(AND(('V06 Calend 01'!E83&gt;0),(85&gt;'V06 Calend 01'!C83),(85&lt;'V06 Calend 01'!D83),(MOD((85-'V06 Calend 01'!C83),6)=0),(((85-'V06 Calend 01'!C83)/6)&lt;='V06 Calend 01'!E83)),IF((85=('V06 Calend 01'!C83+(6*'V06 Calend 01'!E83))),('V06 Calend 01'!H83-('V06 Calend 01'!I83*('V06 Calend 01'!E83-1))),'V06 Calend 01'!I83),0))+IF((85='V06 Calend 01'!D83),'V06 Calend 01'!J83,0))</f>
        <v>0</v>
      </c>
      <c r="CT83" s="2">
        <f>((IF((86='V06 Calend 01'!C83),('V06 Calend 01'!F83+'V06 Calend 01'!G83),0)+IF(AND(('V06 Calend 01'!E83&gt;0),(86&gt;'V06 Calend 01'!C83),(86&lt;'V06 Calend 01'!D83),(MOD((86-'V06 Calend 01'!C83),6)=0),(((86-'V06 Calend 01'!C83)/6)&lt;='V06 Calend 01'!E83)),IF((86=('V06 Calend 01'!C83+(6*'V06 Calend 01'!E83))),('V06 Calend 01'!H83-('V06 Calend 01'!I83*('V06 Calend 01'!E83-1))),'V06 Calend 01'!I83),0))+IF((86='V06 Calend 01'!D83),'V06 Calend 01'!J83,0))</f>
        <v>0</v>
      </c>
      <c r="CU83" s="2">
        <f>((IF((87='V06 Calend 01'!C83),('V06 Calend 01'!F83+'V06 Calend 01'!G83),0)+IF(AND(('V06 Calend 01'!E83&gt;0),(87&gt;'V06 Calend 01'!C83),(87&lt;'V06 Calend 01'!D83),(MOD((87-'V06 Calend 01'!C83),6)=0),(((87-'V06 Calend 01'!C83)/6)&lt;='V06 Calend 01'!E83)),IF((87=('V06 Calend 01'!C83+(6*'V06 Calend 01'!E83))),('V06 Calend 01'!H83-('V06 Calend 01'!I83*('V06 Calend 01'!E83-1))),'V06 Calend 01'!I83),0))+IF((87='V06 Calend 01'!D83),'V06 Calend 01'!J83,0))</f>
        <v>0</v>
      </c>
      <c r="CV83" s="2">
        <f>((IF((88='V06 Calend 01'!C83),('V06 Calend 01'!F83+'V06 Calend 01'!G83),0)+IF(AND(('V06 Calend 01'!E83&gt;0),(88&gt;'V06 Calend 01'!C83),(88&lt;'V06 Calend 01'!D83),(MOD((88-'V06 Calend 01'!C83),6)=0),(((88-'V06 Calend 01'!C83)/6)&lt;='V06 Calend 01'!E83)),IF((88=('V06 Calend 01'!C83+(6*'V06 Calend 01'!E83))),('V06 Calend 01'!H83-('V06 Calend 01'!I83*('V06 Calend 01'!E83-1))),'V06 Calend 01'!I83),0))+IF((88='V06 Calend 01'!D83),'V06 Calend 01'!J83,0))</f>
        <v>0</v>
      </c>
      <c r="CW83" s="2">
        <f>((IF((89='V06 Calend 01'!C83),('V06 Calend 01'!F83+'V06 Calend 01'!G83),0)+IF(AND(('V06 Calend 01'!E83&gt;0),(89&gt;'V06 Calend 01'!C83),(89&lt;'V06 Calend 01'!D83),(MOD((89-'V06 Calend 01'!C83),6)=0),(((89-'V06 Calend 01'!C83)/6)&lt;='V06 Calend 01'!E83)),IF((89=('V06 Calend 01'!C83+(6*'V06 Calend 01'!E83))),('V06 Calend 01'!H83-('V06 Calend 01'!I83*('V06 Calend 01'!E83-1))),'V06 Calend 01'!I83),0))+IF((89='V06 Calend 01'!D83),'V06 Calend 01'!J83,0))</f>
        <v>0</v>
      </c>
      <c r="CX83" s="2">
        <f>((IF((90='V06 Calend 01'!C83),('V06 Calend 01'!F83+'V06 Calend 01'!G83),0)+IF(AND(('V06 Calend 01'!E83&gt;0),(90&gt;'V06 Calend 01'!C83),(90&lt;'V06 Calend 01'!D83),(MOD((90-'V06 Calend 01'!C83),6)=0),(((90-'V06 Calend 01'!C83)/6)&lt;='V06 Calend 01'!E83)),IF((90=('V06 Calend 01'!C83+(6*'V06 Calend 01'!E83))),('V06 Calend 01'!H83-('V06 Calend 01'!I83*('V06 Calend 01'!E83-1))),'V06 Calend 01'!I83),0))+IF((90='V06 Calend 01'!D83),'V06 Calend 01'!J83,0))</f>
        <v>0</v>
      </c>
      <c r="CY83" s="2">
        <f>((IF((91='V06 Calend 01'!C83),('V06 Calend 01'!F83+'V06 Calend 01'!G83),0)+IF(AND(('V06 Calend 01'!E83&gt;0),(91&gt;'V06 Calend 01'!C83),(91&lt;'V06 Calend 01'!D83),(MOD((91-'V06 Calend 01'!C83),6)=0),(((91-'V06 Calend 01'!C83)/6)&lt;='V06 Calend 01'!E83)),IF((91=('V06 Calend 01'!C83+(6*'V06 Calend 01'!E83))),('V06 Calend 01'!H83-('V06 Calend 01'!I83*('V06 Calend 01'!E83-1))),'V06 Calend 01'!I83),0))+IF((91='V06 Calend 01'!D83),'V06 Calend 01'!J83,0))</f>
        <v>0</v>
      </c>
      <c r="CZ83" s="2">
        <f>((IF((92='V06 Calend 01'!C83),('V06 Calend 01'!F83+'V06 Calend 01'!G83),0)+IF(AND(('V06 Calend 01'!E83&gt;0),(92&gt;'V06 Calend 01'!C83),(92&lt;'V06 Calend 01'!D83),(MOD((92-'V06 Calend 01'!C83),6)=0),(((92-'V06 Calend 01'!C83)/6)&lt;='V06 Calend 01'!E83)),IF((92=('V06 Calend 01'!C83+(6*'V06 Calend 01'!E83))),('V06 Calend 01'!H83-('V06 Calend 01'!I83*('V06 Calend 01'!E83-1))),'V06 Calend 01'!I83),0))+IF((92='V06 Calend 01'!D83),'V06 Calend 01'!J83,0))</f>
        <v>0</v>
      </c>
      <c r="DA83" s="2">
        <f>((IF((93='V06 Calend 01'!C83),('V06 Calend 01'!F83+'V06 Calend 01'!G83),0)+IF(AND(('V06 Calend 01'!E83&gt;0),(93&gt;'V06 Calend 01'!C83),(93&lt;'V06 Calend 01'!D83),(MOD((93-'V06 Calend 01'!C83),6)=0),(((93-'V06 Calend 01'!C83)/6)&lt;='V06 Calend 01'!E83)),IF((93=('V06 Calend 01'!C83+(6*'V06 Calend 01'!E83))),('V06 Calend 01'!H83-('V06 Calend 01'!I83*('V06 Calend 01'!E83-1))),'V06 Calend 01'!I83),0))+IF((93='V06 Calend 01'!D83),'V06 Calend 01'!J83,0))</f>
        <v>0</v>
      </c>
      <c r="DB83" s="2">
        <f>((IF((94='V06 Calend 01'!C83),('V06 Calend 01'!F83+'V06 Calend 01'!G83),0)+IF(AND(('V06 Calend 01'!E83&gt;0),(94&gt;'V06 Calend 01'!C83),(94&lt;'V06 Calend 01'!D83),(MOD((94-'V06 Calend 01'!C83),6)=0),(((94-'V06 Calend 01'!C83)/6)&lt;='V06 Calend 01'!E83)),IF((94=('V06 Calend 01'!C83+(6*'V06 Calend 01'!E83))),('V06 Calend 01'!H83-('V06 Calend 01'!I83*('V06 Calend 01'!E83-1))),'V06 Calend 01'!I83),0))+IF((94='V06 Calend 01'!D83),'V06 Calend 01'!J83,0))</f>
        <v>0</v>
      </c>
      <c r="DC83" s="2">
        <f>((IF((95='V06 Calend 01'!C83),('V06 Calend 01'!F83+'V06 Calend 01'!G83),0)+IF(AND(('V06 Calend 01'!E83&gt;0),(95&gt;'V06 Calend 01'!C83),(95&lt;'V06 Calend 01'!D83),(MOD((95-'V06 Calend 01'!C83),6)=0),(((95-'V06 Calend 01'!C83)/6)&lt;='V06 Calend 01'!E83)),IF((95=('V06 Calend 01'!C83+(6*'V06 Calend 01'!E83))),('V06 Calend 01'!H83-('V06 Calend 01'!I83*('V06 Calend 01'!E83-1))),'V06 Calend 01'!I83),0))+IF((95='V06 Calend 01'!D83),'V06 Calend 01'!J83,0))</f>
        <v>0</v>
      </c>
      <c r="DD83" s="2">
        <f>((IF((96='V06 Calend 01'!C83),('V06 Calend 01'!F83+'V06 Calend 01'!G83),0)+IF(AND(('V06 Calend 01'!E83&gt;0),(96&gt;'V06 Calend 01'!C83),(96&lt;'V06 Calend 01'!D83),(MOD((96-'V06 Calend 01'!C83),6)=0),(((96-'V06 Calend 01'!C83)/6)&lt;='V06 Calend 01'!E83)),IF((96=('V06 Calend 01'!C83+(6*'V06 Calend 01'!E83))),('V06 Calend 01'!H83-('V06 Calend 01'!I83*('V06 Calend 01'!E83-1))),'V06 Calend 01'!I83),0))+IF((96='V06 Calend 01'!D83),'V06 Calend 01'!J83,0))</f>
        <v>0</v>
      </c>
      <c r="DE83" s="2">
        <f>((IF((97='V06 Calend 01'!C83),('V06 Calend 01'!F83+'V06 Calend 01'!G83),0)+IF(AND(('V06 Calend 01'!E83&gt;0),(97&gt;'V06 Calend 01'!C83),(97&lt;'V06 Calend 01'!D83),(MOD((97-'V06 Calend 01'!C83),6)=0),(((97-'V06 Calend 01'!C83)/6)&lt;='V06 Calend 01'!E83)),IF((97=('V06 Calend 01'!C83+(6*'V06 Calend 01'!E83))),('V06 Calend 01'!H83-('V06 Calend 01'!I83*('V06 Calend 01'!E83-1))),'V06 Calend 01'!I83),0))+IF((97='V06 Calend 01'!D83),'V06 Calend 01'!J83,0))</f>
        <v>0</v>
      </c>
      <c r="DF83" s="2">
        <f>((IF((98='V06 Calend 01'!C83),('V06 Calend 01'!F83+'V06 Calend 01'!G83),0)+IF(AND(('V06 Calend 01'!E83&gt;0),(98&gt;'V06 Calend 01'!C83),(98&lt;'V06 Calend 01'!D83),(MOD((98-'V06 Calend 01'!C83),6)=0),(((98-'V06 Calend 01'!C83)/6)&lt;='V06 Calend 01'!E83)),IF((98=('V06 Calend 01'!C83+(6*'V06 Calend 01'!E83))),('V06 Calend 01'!H83-('V06 Calend 01'!I83*('V06 Calend 01'!E83-1))),'V06 Calend 01'!I83),0))+IF((98='V06 Calend 01'!D83),'V06 Calend 01'!J83,0))</f>
        <v>0</v>
      </c>
      <c r="DG83" s="2">
        <f>((IF((99='V06 Calend 01'!C83),('V06 Calend 01'!F83+'V06 Calend 01'!G83),0)+IF(AND(('V06 Calend 01'!E83&gt;0),(99&gt;'V06 Calend 01'!C83),(99&lt;'V06 Calend 01'!D83),(MOD((99-'V06 Calend 01'!C83),6)=0),(((99-'V06 Calend 01'!C83)/6)&lt;='V06 Calend 01'!E83)),IF((99=('V06 Calend 01'!C83+(6*'V06 Calend 01'!E83))),('V06 Calend 01'!H83-('V06 Calend 01'!I83*('V06 Calend 01'!E83-1))),'V06 Calend 01'!I83),0))+IF((99='V06 Calend 01'!D83),'V06 Calend 01'!J83,0))</f>
        <v>0</v>
      </c>
      <c r="DH83" s="2">
        <f>((IF((100='V06 Calend 01'!C83),('V06 Calend 01'!F83+'V06 Calend 01'!G83),0)+IF(AND(('V06 Calend 01'!E83&gt;0),(100&gt;'V06 Calend 01'!C83),(100&lt;'V06 Calend 01'!D83),(MOD((100-'V06 Calend 01'!C83),6)=0),(((100-'V06 Calend 01'!C83)/6)&lt;='V06 Calend 01'!E83)),IF((100=('V06 Calend 01'!C83+(6*'V06 Calend 01'!E83))),('V06 Calend 01'!H83-('V06 Calend 01'!I83*('V06 Calend 01'!E83-1))),'V06 Calend 01'!I83),0))+IF((100='V06 Calend 01'!D83),'V06 Calend 01'!J83,0))</f>
        <v>0</v>
      </c>
      <c r="DI83" s="2">
        <f>((IF((101='V06 Calend 01'!C83),('V06 Calend 01'!F83+'V06 Calend 01'!G83),0)+IF(AND(('V06 Calend 01'!E83&gt;0),(101&gt;'V06 Calend 01'!C83),(101&lt;'V06 Calend 01'!D83),(MOD((101-'V06 Calend 01'!C83),6)=0),(((101-'V06 Calend 01'!C83)/6)&lt;='V06 Calend 01'!E83)),IF((101=('V06 Calend 01'!C83+(6*'V06 Calend 01'!E83))),('V06 Calend 01'!H83-('V06 Calend 01'!I83*('V06 Calend 01'!E83-1))),'V06 Calend 01'!I83),0))+IF((101='V06 Calend 01'!D83),'V06 Calend 01'!J83,0))</f>
        <v>0</v>
      </c>
      <c r="DJ83" s="2">
        <f>((IF((102='V06 Calend 01'!C83),('V06 Calend 01'!F83+'V06 Calend 01'!G83),0)+IF(AND(('V06 Calend 01'!E83&gt;0),(102&gt;'V06 Calend 01'!C83),(102&lt;'V06 Calend 01'!D83),(MOD((102-'V06 Calend 01'!C83),6)=0),(((102-'V06 Calend 01'!C83)/6)&lt;='V06 Calend 01'!E83)),IF((102=('V06 Calend 01'!C83+(6*'V06 Calend 01'!E83))),('V06 Calend 01'!H83-('V06 Calend 01'!I83*('V06 Calend 01'!E83-1))),'V06 Calend 01'!I83),0))+IF((102='V06 Calend 01'!D83),'V06 Calend 01'!J83,0))</f>
        <v>0</v>
      </c>
      <c r="DK83" s="2">
        <f>((IF((103='V06 Calend 01'!C83),('V06 Calend 01'!F83+'V06 Calend 01'!G83),0)+IF(AND(('V06 Calend 01'!E83&gt;0),(103&gt;'V06 Calend 01'!C83),(103&lt;'V06 Calend 01'!D83),(MOD((103-'V06 Calend 01'!C83),6)=0),(((103-'V06 Calend 01'!C83)/6)&lt;='V06 Calend 01'!E83)),IF((103=('V06 Calend 01'!C83+(6*'V06 Calend 01'!E83))),('V06 Calend 01'!H83-('V06 Calend 01'!I83*('V06 Calend 01'!E83-1))),'V06 Calend 01'!I83),0))+IF((103='V06 Calend 01'!D83),'V06 Calend 01'!J83,0))</f>
        <v>0</v>
      </c>
      <c r="DL83" s="2">
        <f>((IF((104='V06 Calend 01'!C83),('V06 Calend 01'!F83+'V06 Calend 01'!G83),0)+IF(AND(('V06 Calend 01'!E83&gt;0),(104&gt;'V06 Calend 01'!C83),(104&lt;'V06 Calend 01'!D83),(MOD((104-'V06 Calend 01'!C83),6)=0),(((104-'V06 Calend 01'!C83)/6)&lt;='V06 Calend 01'!E83)),IF((104=('V06 Calend 01'!C83+(6*'V06 Calend 01'!E83))),('V06 Calend 01'!H83-('V06 Calend 01'!I83*('V06 Calend 01'!E83-1))),'V06 Calend 01'!I83),0))+IF((104='V06 Calend 01'!D83),'V06 Calend 01'!J83,0))</f>
        <v>0</v>
      </c>
      <c r="DM83" s="2">
        <f>((IF((105='V06 Calend 01'!C83),('V06 Calend 01'!F83+'V06 Calend 01'!G83),0)+IF(AND(('V06 Calend 01'!E83&gt;0),(105&gt;'V06 Calend 01'!C83),(105&lt;'V06 Calend 01'!D83),(MOD((105-'V06 Calend 01'!C83),6)=0),(((105-'V06 Calend 01'!C83)/6)&lt;='V06 Calend 01'!E83)),IF((105=('V06 Calend 01'!C83+(6*'V06 Calend 01'!E83))),('V06 Calend 01'!H83-('V06 Calend 01'!I83*('V06 Calend 01'!E83-1))),'V06 Calend 01'!I83),0))+IF((105='V06 Calend 01'!D83),'V06 Calend 01'!J83,0))</f>
        <v>0</v>
      </c>
      <c r="DN83" s="2">
        <f>((IF((106='V06 Calend 01'!C83),('V06 Calend 01'!F83+'V06 Calend 01'!G83),0)+IF(AND(('V06 Calend 01'!E83&gt;0),(106&gt;'V06 Calend 01'!C83),(106&lt;'V06 Calend 01'!D83),(MOD((106-'V06 Calend 01'!C83),6)=0),(((106-'V06 Calend 01'!C83)/6)&lt;='V06 Calend 01'!E83)),IF((106=('V06 Calend 01'!C83+(6*'V06 Calend 01'!E83))),('V06 Calend 01'!H83-('V06 Calend 01'!I83*('V06 Calend 01'!E83-1))),'V06 Calend 01'!I83),0))+IF((106='V06 Calend 01'!D83),'V06 Calend 01'!J83,0))</f>
        <v>0</v>
      </c>
      <c r="DO83" s="2">
        <f>((IF((107='V06 Calend 01'!C83),('V06 Calend 01'!F83+'V06 Calend 01'!G83),0)+IF(AND(('V06 Calend 01'!E83&gt;0),(107&gt;'V06 Calend 01'!C83),(107&lt;'V06 Calend 01'!D83),(MOD((107-'V06 Calend 01'!C83),6)=0),(((107-'V06 Calend 01'!C83)/6)&lt;='V06 Calend 01'!E83)),IF((107=('V06 Calend 01'!C83+(6*'V06 Calend 01'!E83))),('V06 Calend 01'!H83-('V06 Calend 01'!I83*('V06 Calend 01'!E83-1))),'V06 Calend 01'!I83),0))+IF((107='V06 Calend 01'!D83),'V06 Calend 01'!J83,0))</f>
        <v>0</v>
      </c>
      <c r="DP83" s="2">
        <f>((IF((108='V06 Calend 01'!C83),('V06 Calend 01'!F83+'V06 Calend 01'!G83),0)+IF(AND(('V06 Calend 01'!E83&gt;0),(108&gt;'V06 Calend 01'!C83),(108&lt;'V06 Calend 01'!D83),(MOD((108-'V06 Calend 01'!C83),6)=0),(((108-'V06 Calend 01'!C83)/6)&lt;='V06 Calend 01'!E83)),IF((108=('V06 Calend 01'!C83+(6*'V06 Calend 01'!E83))),('V06 Calend 01'!H83-('V06 Calend 01'!I83*('V06 Calend 01'!E83-1))),'V06 Calend 01'!I83),0))+IF((108='V06 Calend 01'!D83),'V06 Calend 01'!J83,0))</f>
        <v>0</v>
      </c>
      <c r="DQ83" s="2">
        <f>((IF((109='V06 Calend 01'!C83),('V06 Calend 01'!F83+'V06 Calend 01'!G83),0)+IF(AND(('V06 Calend 01'!E83&gt;0),(109&gt;'V06 Calend 01'!C83),(109&lt;'V06 Calend 01'!D83),(MOD((109-'V06 Calend 01'!C83),6)=0),(((109-'V06 Calend 01'!C83)/6)&lt;='V06 Calend 01'!E83)),IF((109=('V06 Calend 01'!C83+(6*'V06 Calend 01'!E83))),('V06 Calend 01'!H83-('V06 Calend 01'!I83*('V06 Calend 01'!E83-1))),'V06 Calend 01'!I83),0))+IF((109='V06 Calend 01'!D83),'V06 Calend 01'!J83,0))</f>
        <v>0</v>
      </c>
      <c r="DR83" s="2">
        <f>((IF((110='V06 Calend 01'!C83),('V06 Calend 01'!F83+'V06 Calend 01'!G83),0)+IF(AND(('V06 Calend 01'!E83&gt;0),(110&gt;'V06 Calend 01'!C83),(110&lt;'V06 Calend 01'!D83),(MOD((110-'V06 Calend 01'!C83),6)=0),(((110-'V06 Calend 01'!C83)/6)&lt;='V06 Calend 01'!E83)),IF((110=('V06 Calend 01'!C83+(6*'V06 Calend 01'!E83))),('V06 Calend 01'!H83-('V06 Calend 01'!I83*('V06 Calend 01'!E83-1))),'V06 Calend 01'!I83),0))+IF((110='V06 Calend 01'!D83),'V06 Calend 01'!J83,0))</f>
        <v>0</v>
      </c>
      <c r="DS83" s="2">
        <f>((IF((111='V06 Calend 01'!C83),('V06 Calend 01'!F83+'V06 Calend 01'!G83),0)+IF(AND(('V06 Calend 01'!E83&gt;0),(111&gt;'V06 Calend 01'!C83),(111&lt;'V06 Calend 01'!D83),(MOD((111-'V06 Calend 01'!C83),6)=0),(((111-'V06 Calend 01'!C83)/6)&lt;='V06 Calend 01'!E83)),IF((111=('V06 Calend 01'!C83+(6*'V06 Calend 01'!E83))),('V06 Calend 01'!H83-('V06 Calend 01'!I83*('V06 Calend 01'!E83-1))),'V06 Calend 01'!I83),0))+IF((111='V06 Calend 01'!D83),'V06 Calend 01'!J83,0))</f>
        <v>0</v>
      </c>
      <c r="DT83" s="2">
        <f>((IF((112='V06 Calend 01'!C83),('V06 Calend 01'!F83+'V06 Calend 01'!G83),0)+IF(AND(('V06 Calend 01'!E83&gt;0),(112&gt;'V06 Calend 01'!C83),(112&lt;'V06 Calend 01'!D83),(MOD((112-'V06 Calend 01'!C83),6)=0),(((112-'V06 Calend 01'!C83)/6)&lt;='V06 Calend 01'!E83)),IF((112=('V06 Calend 01'!C83+(6*'V06 Calend 01'!E83))),('V06 Calend 01'!H83-('V06 Calend 01'!I83*('V06 Calend 01'!E83-1))),'V06 Calend 01'!I83),0))+IF((112='V06 Calend 01'!D83),'V06 Calend 01'!J83,0))</f>
        <v>0</v>
      </c>
      <c r="DU83" s="2">
        <f>((IF((113='V06 Calend 01'!C83),('V06 Calend 01'!F83+'V06 Calend 01'!G83),0)+IF(AND(('V06 Calend 01'!E83&gt;0),(113&gt;'V06 Calend 01'!C83),(113&lt;'V06 Calend 01'!D83),(MOD((113-'V06 Calend 01'!C83),6)=0),(((113-'V06 Calend 01'!C83)/6)&lt;='V06 Calend 01'!E83)),IF((113=('V06 Calend 01'!C83+(6*'V06 Calend 01'!E83))),('V06 Calend 01'!H83-('V06 Calend 01'!I83*('V06 Calend 01'!E83-1))),'V06 Calend 01'!I83),0))+IF((113='V06 Calend 01'!D83),'V06 Calend 01'!J83,0))</f>
        <v>0</v>
      </c>
      <c r="DV83" s="2">
        <f>((IF((114='V06 Calend 01'!C83),('V06 Calend 01'!F83+'V06 Calend 01'!G83),0)+IF(AND(('V06 Calend 01'!E83&gt;0),(114&gt;'V06 Calend 01'!C83),(114&lt;'V06 Calend 01'!D83),(MOD((114-'V06 Calend 01'!C83),6)=0),(((114-'V06 Calend 01'!C83)/6)&lt;='V06 Calend 01'!E83)),IF((114=('V06 Calend 01'!C83+(6*'V06 Calend 01'!E83))),('V06 Calend 01'!H83-('V06 Calend 01'!I83*('V06 Calend 01'!E83-1))),'V06 Calend 01'!I83),0))+IF((114='V06 Calend 01'!D83),'V06 Calend 01'!J83,0))</f>
        <v>0</v>
      </c>
      <c r="DW83" s="2">
        <f>((IF((115='V06 Calend 01'!C83),('V06 Calend 01'!F83+'V06 Calend 01'!G83),0)+IF(AND(('V06 Calend 01'!E83&gt;0),(115&gt;'V06 Calend 01'!C83),(115&lt;'V06 Calend 01'!D83),(MOD((115-'V06 Calend 01'!C83),6)=0),(((115-'V06 Calend 01'!C83)/6)&lt;='V06 Calend 01'!E83)),IF((115=('V06 Calend 01'!C83+(6*'V06 Calend 01'!E83))),('V06 Calend 01'!H83-('V06 Calend 01'!I83*('V06 Calend 01'!E83-1))),'V06 Calend 01'!I83),0))+IF((115='V06 Calend 01'!D83),'V06 Calend 01'!J83,0))</f>
        <v>0</v>
      </c>
      <c r="DX83" s="2">
        <f>((IF((116='V06 Calend 01'!C83),('V06 Calend 01'!F83+'V06 Calend 01'!G83),0)+IF(AND(('V06 Calend 01'!E83&gt;0),(116&gt;'V06 Calend 01'!C83),(116&lt;'V06 Calend 01'!D83),(MOD((116-'V06 Calend 01'!C83),6)=0),(((116-'V06 Calend 01'!C83)/6)&lt;='V06 Calend 01'!E83)),IF((116=('V06 Calend 01'!C83+(6*'V06 Calend 01'!E83))),('V06 Calend 01'!H83-('V06 Calend 01'!I83*('V06 Calend 01'!E83-1))),'V06 Calend 01'!I83),0))+IF((116='V06 Calend 01'!D83),'V06 Calend 01'!J83,0))</f>
        <v>0</v>
      </c>
      <c r="DY83" s="2">
        <f>((IF((117='V06 Calend 01'!C83),('V06 Calend 01'!F83+'V06 Calend 01'!G83),0)+IF(AND(('V06 Calend 01'!E83&gt;0),(117&gt;'V06 Calend 01'!C83),(117&lt;'V06 Calend 01'!D83),(MOD((117-'V06 Calend 01'!C83),6)=0),(((117-'V06 Calend 01'!C83)/6)&lt;='V06 Calend 01'!E83)),IF((117=('V06 Calend 01'!C83+(6*'V06 Calend 01'!E83))),('V06 Calend 01'!H83-('V06 Calend 01'!I83*('V06 Calend 01'!E83-1))),'V06 Calend 01'!I83),0))+IF((117='V06 Calend 01'!D83),'V06 Calend 01'!J83,0))</f>
        <v>0</v>
      </c>
      <c r="DZ83" s="2">
        <f>((IF((118='V06 Calend 01'!C83),('V06 Calend 01'!F83+'V06 Calend 01'!G83),0)+IF(AND(('V06 Calend 01'!E83&gt;0),(118&gt;'V06 Calend 01'!C83),(118&lt;'V06 Calend 01'!D83),(MOD((118-'V06 Calend 01'!C83),6)=0),(((118-'V06 Calend 01'!C83)/6)&lt;='V06 Calend 01'!E83)),IF((118=('V06 Calend 01'!C83+(6*'V06 Calend 01'!E83))),('V06 Calend 01'!H83-('V06 Calend 01'!I83*('V06 Calend 01'!E83-1))),'V06 Calend 01'!I83),0))+IF((118='V06 Calend 01'!D83),'V06 Calend 01'!J83,0))</f>
        <v>0</v>
      </c>
      <c r="EA83" s="2">
        <f>((IF((119='V06 Calend 01'!C83),('V06 Calend 01'!F83+'V06 Calend 01'!G83),0)+IF(AND(('V06 Calend 01'!E83&gt;0),(119&gt;'V06 Calend 01'!C83),(119&lt;'V06 Calend 01'!D83),(MOD((119-'V06 Calend 01'!C83),6)=0),(((119-'V06 Calend 01'!C83)/6)&lt;='V06 Calend 01'!E83)),IF((119=('V06 Calend 01'!C83+(6*'V06 Calend 01'!E83))),('V06 Calend 01'!H83-('V06 Calend 01'!I83*('V06 Calend 01'!E83-1))),'V06 Calend 01'!I83),0))+IF((119='V06 Calend 01'!D83),'V06 Calend 01'!J83,0))</f>
        <v>0</v>
      </c>
      <c r="EB83" s="2">
        <f>((IF((120='V06 Calend 01'!C83),('V06 Calend 01'!F83+'V06 Calend 01'!G83),0)+IF(AND(('V06 Calend 01'!E83&gt;0),(120&gt;'V06 Calend 01'!C83),(120&lt;'V06 Calend 01'!D83),(MOD((120-'V06 Calend 01'!C83),6)=0),(((120-'V06 Calend 01'!C83)/6)&lt;='V06 Calend 01'!E83)),IF((120=('V06 Calend 01'!C83+(6*'V06 Calend 01'!E83))),('V06 Calend 01'!H83-('V06 Calend 01'!I83*('V06 Calend 01'!E83-1))),'V06 Calend 01'!I83),0))+IF((120='V06 Calend 01'!D83),'V06 Calend 01'!J83,0))</f>
        <v>0</v>
      </c>
      <c r="EC83" s="2">
        <f>((IF((121='V06 Calend 01'!C83),('V06 Calend 01'!F83+'V06 Calend 01'!G83),0)+IF(AND(('V06 Calend 01'!E83&gt;0),(121&gt;'V06 Calend 01'!C83),(121&lt;'V06 Calend 01'!D83),(MOD((121-'V06 Calend 01'!C83),6)=0),(((121-'V06 Calend 01'!C83)/6)&lt;='V06 Calend 01'!E83)),IF((121=('V06 Calend 01'!C83+(6*'V06 Calend 01'!E83))),('V06 Calend 01'!H83-('V06 Calend 01'!I83*('V06 Calend 01'!E83-1))),'V06 Calend 01'!I83),0))+IF((121='V06 Calend 01'!D83),'V06 Calend 01'!J83,0))</f>
        <v>0</v>
      </c>
      <c r="ED83" s="2">
        <f>((IF((122='V06 Calend 01'!C83),('V06 Calend 01'!F83+'V06 Calend 01'!G83),0)+IF(AND(('V06 Calend 01'!E83&gt;0),(122&gt;'V06 Calend 01'!C83),(122&lt;'V06 Calend 01'!D83),(MOD((122-'V06 Calend 01'!C83),6)=0),(((122-'V06 Calend 01'!C83)/6)&lt;='V06 Calend 01'!E83)),IF((122=('V06 Calend 01'!C83+(6*'V06 Calend 01'!E83))),('V06 Calend 01'!H83-('V06 Calend 01'!I83*('V06 Calend 01'!E83-1))),'V06 Calend 01'!I83),0))+IF((122='V06 Calend 01'!D83),'V06 Calend 01'!J83,0))</f>
        <v>0</v>
      </c>
      <c r="EE83" s="2">
        <f>((IF((123='V06 Calend 01'!C83),('V06 Calend 01'!F83+'V06 Calend 01'!G83),0)+IF(AND(('V06 Calend 01'!E83&gt;0),(123&gt;'V06 Calend 01'!C83),(123&lt;'V06 Calend 01'!D83),(MOD((123-'V06 Calend 01'!C83),6)=0),(((123-'V06 Calend 01'!C83)/6)&lt;='V06 Calend 01'!E83)),IF((123=('V06 Calend 01'!C83+(6*'V06 Calend 01'!E83))),('V06 Calend 01'!H83-('V06 Calend 01'!I83*('V06 Calend 01'!E83-1))),'V06 Calend 01'!I83),0))+IF((123='V06 Calend 01'!D83),'V06 Calend 01'!J83,0))</f>
        <v>0</v>
      </c>
      <c r="EF83" s="2">
        <f>((IF((124='V06 Calend 01'!C83),('V06 Calend 01'!F83+'V06 Calend 01'!G83),0)+IF(AND(('V06 Calend 01'!E83&gt;0),(124&gt;'V06 Calend 01'!C83),(124&lt;'V06 Calend 01'!D83),(MOD((124-'V06 Calend 01'!C83),6)=0),(((124-'V06 Calend 01'!C83)/6)&lt;='V06 Calend 01'!E83)),IF((124=('V06 Calend 01'!C83+(6*'V06 Calend 01'!E83))),('V06 Calend 01'!H83-('V06 Calend 01'!I83*('V06 Calend 01'!E83-1))),'V06 Calend 01'!I83),0))+IF((124='V06 Calend 01'!D83),'V06 Calend 01'!J83,0))</f>
        <v>0</v>
      </c>
      <c r="EG83" s="2">
        <f>((IF((125='V06 Calend 01'!C83),('V06 Calend 01'!F83+'V06 Calend 01'!G83),0)+IF(AND(('V06 Calend 01'!E83&gt;0),(125&gt;'V06 Calend 01'!C83),(125&lt;'V06 Calend 01'!D83),(MOD((125-'V06 Calend 01'!C83),6)=0),(((125-'V06 Calend 01'!C83)/6)&lt;='V06 Calend 01'!E83)),IF((125=('V06 Calend 01'!C83+(6*'V06 Calend 01'!E83))),('V06 Calend 01'!H83-('V06 Calend 01'!I83*('V06 Calend 01'!E83-1))),'V06 Calend 01'!I83),0))+IF((125='V06 Calend 01'!D83),'V06 Calend 01'!J83,0))</f>
        <v>0</v>
      </c>
      <c r="EH83" s="2">
        <f>((IF((126='V06 Calend 01'!C83),('V06 Calend 01'!F83+'V06 Calend 01'!G83),0)+IF(AND(('V06 Calend 01'!E83&gt;0),(126&gt;'V06 Calend 01'!C83),(126&lt;'V06 Calend 01'!D83),(MOD((126-'V06 Calend 01'!C83),6)=0),(((126-'V06 Calend 01'!C83)/6)&lt;='V06 Calend 01'!E83)),IF((126=('V06 Calend 01'!C83+(6*'V06 Calend 01'!E83))),('V06 Calend 01'!H83-('V06 Calend 01'!I83*('V06 Calend 01'!E83-1))),'V06 Calend 01'!I83),0))+IF((126='V06 Calend 01'!D83),'V06 Calend 01'!J83,0))</f>
        <v>0</v>
      </c>
      <c r="EI83" s="2">
        <f>((IF((127='V06 Calend 01'!C83),('V06 Calend 01'!F83+'V06 Calend 01'!G83),0)+IF(AND(('V06 Calend 01'!E83&gt;0),(127&gt;'V06 Calend 01'!C83),(127&lt;'V06 Calend 01'!D83),(MOD((127-'V06 Calend 01'!C83),6)=0),(((127-'V06 Calend 01'!C83)/6)&lt;='V06 Calend 01'!E83)),IF((127=('V06 Calend 01'!C83+(6*'V06 Calend 01'!E83))),('V06 Calend 01'!H83-('V06 Calend 01'!I83*('V06 Calend 01'!E83-1))),'V06 Calend 01'!I83),0))+IF((127='V06 Calend 01'!D83),'V06 Calend 01'!J83,0))</f>
        <v>0</v>
      </c>
      <c r="EJ83" s="2">
        <f>((IF((128='V06 Calend 01'!C83),('V06 Calend 01'!F83+'V06 Calend 01'!G83),0)+IF(AND(('V06 Calend 01'!E83&gt;0),(128&gt;'V06 Calend 01'!C83),(128&lt;'V06 Calend 01'!D83),(MOD((128-'V06 Calend 01'!C83),6)=0),(((128-'V06 Calend 01'!C83)/6)&lt;='V06 Calend 01'!E83)),IF((128=('V06 Calend 01'!C83+(6*'V06 Calend 01'!E83))),('V06 Calend 01'!H83-('V06 Calend 01'!I83*('V06 Calend 01'!E83-1))),'V06 Calend 01'!I83),0))+IF((128='V06 Calend 01'!D83),'V06 Calend 01'!J83,0))</f>
        <v>0</v>
      </c>
      <c r="EK83" s="2">
        <f>((IF((129='V06 Calend 01'!C83),('V06 Calend 01'!F83+'V06 Calend 01'!G83),0)+IF(AND(('V06 Calend 01'!E83&gt;0),(129&gt;'V06 Calend 01'!C83),(129&lt;'V06 Calend 01'!D83),(MOD((129-'V06 Calend 01'!C83),6)=0),(((129-'V06 Calend 01'!C83)/6)&lt;='V06 Calend 01'!E83)),IF((129=('V06 Calend 01'!C83+(6*'V06 Calend 01'!E83))),('V06 Calend 01'!H83-('V06 Calend 01'!I83*('V06 Calend 01'!E83-1))),'V06 Calend 01'!I83),0))+IF((129='V06 Calend 01'!D83),'V06 Calend 01'!J83,0))</f>
        <v>0</v>
      </c>
      <c r="EL83" s="2">
        <f>((IF((130='V06 Calend 01'!C83),('V06 Calend 01'!F83+'V06 Calend 01'!G83),0)+IF(AND(('V06 Calend 01'!E83&gt;0),(130&gt;'V06 Calend 01'!C83),(130&lt;'V06 Calend 01'!D83),(MOD((130-'V06 Calend 01'!C83),6)=0),(((130-'V06 Calend 01'!C83)/6)&lt;='V06 Calend 01'!E83)),IF((130=('V06 Calend 01'!C83+(6*'V06 Calend 01'!E83))),('V06 Calend 01'!H83-('V06 Calend 01'!I83*('V06 Calend 01'!E83-1))),'V06 Calend 01'!I83),0))+IF((130='V06 Calend 01'!D83),'V06 Calend 01'!J83,0))</f>
        <v>0</v>
      </c>
      <c r="EM83" s="2">
        <f>((IF((131='V06 Calend 01'!C83),('V06 Calend 01'!F83+'V06 Calend 01'!G83),0)+IF(AND(('V06 Calend 01'!E83&gt;0),(131&gt;'V06 Calend 01'!C83),(131&lt;'V06 Calend 01'!D83),(MOD((131-'V06 Calend 01'!C83),6)=0),(((131-'V06 Calend 01'!C83)/6)&lt;='V06 Calend 01'!E83)),IF((131=('V06 Calend 01'!C83+(6*'V06 Calend 01'!E83))),('V06 Calend 01'!H83-('V06 Calend 01'!I83*('V06 Calend 01'!E83-1))),'V06 Calend 01'!I83),0))+IF((131='V06 Calend 01'!D83),'V06 Calend 01'!J83,0))</f>
        <v>0</v>
      </c>
      <c r="EN83" s="2">
        <f>((IF((132='V06 Calend 01'!C83),('V06 Calend 01'!F83+'V06 Calend 01'!G83),0)+IF(AND(('V06 Calend 01'!E83&gt;0),(132&gt;'V06 Calend 01'!C83),(132&lt;'V06 Calend 01'!D83),(MOD((132-'V06 Calend 01'!C83),6)=0),(((132-'V06 Calend 01'!C83)/6)&lt;='V06 Calend 01'!E83)),IF((132=('V06 Calend 01'!C83+(6*'V06 Calend 01'!E83))),('V06 Calend 01'!H83-('V06 Calend 01'!I83*('V06 Calend 01'!E83-1))),'V06 Calend 01'!I83),0))+IF((132='V06 Calend 01'!D83),'V06 Calend 01'!J83,0))</f>
        <v>0</v>
      </c>
      <c r="EO83" s="2">
        <f>((IF((133='V06 Calend 01'!C83),('V06 Calend 01'!F83+'V06 Calend 01'!G83),0)+IF(AND(('V06 Calend 01'!E83&gt;0),(133&gt;'V06 Calend 01'!C83),(133&lt;'V06 Calend 01'!D83),(MOD((133-'V06 Calend 01'!C83),6)=0),(((133-'V06 Calend 01'!C83)/6)&lt;='V06 Calend 01'!E83)),IF((133=('V06 Calend 01'!C83+(6*'V06 Calend 01'!E83))),('V06 Calend 01'!H83-('V06 Calend 01'!I83*('V06 Calend 01'!E83-1))),'V06 Calend 01'!I83),0))+IF((133='V06 Calend 01'!D83),'V06 Calend 01'!J83,0))</f>
        <v>0</v>
      </c>
      <c r="EP83" s="2">
        <f>((IF((134='V06 Calend 01'!C83),('V06 Calend 01'!F83+'V06 Calend 01'!G83),0)+IF(AND(('V06 Calend 01'!E83&gt;0),(134&gt;'V06 Calend 01'!C83),(134&lt;'V06 Calend 01'!D83),(MOD((134-'V06 Calend 01'!C83),6)=0),(((134-'V06 Calend 01'!C83)/6)&lt;='V06 Calend 01'!E83)),IF((134=('V06 Calend 01'!C83+(6*'V06 Calend 01'!E83))),('V06 Calend 01'!H83-('V06 Calend 01'!I83*('V06 Calend 01'!E83-1))),'V06 Calend 01'!I83),0))+IF((134='V06 Calend 01'!D83),'V06 Calend 01'!J83,0))</f>
        <v>0</v>
      </c>
      <c r="EQ83" s="2">
        <f>((IF((135='V06 Calend 01'!C83),('V06 Calend 01'!F83+'V06 Calend 01'!G83),0)+IF(AND(('V06 Calend 01'!E83&gt;0),(135&gt;'V06 Calend 01'!C83),(135&lt;'V06 Calend 01'!D83),(MOD((135-'V06 Calend 01'!C83),6)=0),(((135-'V06 Calend 01'!C83)/6)&lt;='V06 Calend 01'!E83)),IF((135=('V06 Calend 01'!C83+(6*'V06 Calend 01'!E83))),('V06 Calend 01'!H83-('V06 Calend 01'!I83*('V06 Calend 01'!E83-1))),'V06 Calend 01'!I83),0))+IF((135='V06 Calend 01'!D83),'V06 Calend 01'!J83,0))</f>
        <v>0</v>
      </c>
      <c r="ER83" s="2">
        <f>((IF((136='V06 Calend 01'!C83),('V06 Calend 01'!F83+'V06 Calend 01'!G83),0)+IF(AND(('V06 Calend 01'!E83&gt;0),(136&gt;'V06 Calend 01'!C83),(136&lt;'V06 Calend 01'!D83),(MOD((136-'V06 Calend 01'!C83),6)=0),(((136-'V06 Calend 01'!C83)/6)&lt;='V06 Calend 01'!E83)),IF((136=('V06 Calend 01'!C83+(6*'V06 Calend 01'!E83))),('V06 Calend 01'!H83-('V06 Calend 01'!I83*('V06 Calend 01'!E83-1))),'V06 Calend 01'!I83),0))+IF((136='V06 Calend 01'!D83),'V06 Calend 01'!J83,0))</f>
        <v>0</v>
      </c>
      <c r="ES83" s="2">
        <f>((IF((137='V06 Calend 01'!C83),('V06 Calend 01'!F83+'V06 Calend 01'!G83),0)+IF(AND(('V06 Calend 01'!E83&gt;0),(137&gt;'V06 Calend 01'!C83),(137&lt;'V06 Calend 01'!D83),(MOD((137-'V06 Calend 01'!C83),6)=0),(((137-'V06 Calend 01'!C83)/6)&lt;='V06 Calend 01'!E83)),IF((137=('V06 Calend 01'!C83+(6*'V06 Calend 01'!E83))),('V06 Calend 01'!H83-('V06 Calend 01'!I83*('V06 Calend 01'!E83-1))),'V06 Calend 01'!I83),0))+IF((137='V06 Calend 01'!D83),'V06 Calend 01'!J83,0))</f>
        <v>0</v>
      </c>
      <c r="ET83" s="2">
        <f>((IF((138='V06 Calend 01'!C83),('V06 Calend 01'!F83+'V06 Calend 01'!G83),0)+IF(AND(('V06 Calend 01'!E83&gt;0),(138&gt;'V06 Calend 01'!C83),(138&lt;'V06 Calend 01'!D83),(MOD((138-'V06 Calend 01'!C83),6)=0),(((138-'V06 Calend 01'!C83)/6)&lt;='V06 Calend 01'!E83)),IF((138=('V06 Calend 01'!C83+(6*'V06 Calend 01'!E83))),('V06 Calend 01'!H83-('V06 Calend 01'!I83*('V06 Calend 01'!E83-1))),'V06 Calend 01'!I83),0))+IF((138='V06 Calend 01'!D83),'V06 Calend 01'!J83,0))</f>
        <v>0</v>
      </c>
      <c r="EU83" s="2">
        <f>((IF((139='V06 Calend 01'!C83),('V06 Calend 01'!F83+'V06 Calend 01'!G83),0)+IF(AND(('V06 Calend 01'!E83&gt;0),(139&gt;'V06 Calend 01'!C83),(139&lt;'V06 Calend 01'!D83),(MOD((139-'V06 Calend 01'!C83),6)=0),(((139-'V06 Calend 01'!C83)/6)&lt;='V06 Calend 01'!E83)),IF((139=('V06 Calend 01'!C83+(6*'V06 Calend 01'!E83))),('V06 Calend 01'!H83-('V06 Calend 01'!I83*('V06 Calend 01'!E83-1))),'V06 Calend 01'!I83),0))+IF((139='V06 Calend 01'!D83),'V06 Calend 01'!J83,0))</f>
        <v>0</v>
      </c>
      <c r="EV83" s="2">
        <f>((IF((140='V06 Calend 01'!C83),('V06 Calend 01'!F83+'V06 Calend 01'!G83),0)+IF(AND(('V06 Calend 01'!E83&gt;0),(140&gt;'V06 Calend 01'!C83),(140&lt;'V06 Calend 01'!D83),(MOD((140-'V06 Calend 01'!C83),6)=0),(((140-'V06 Calend 01'!C83)/6)&lt;='V06 Calend 01'!E83)),IF((140=('V06 Calend 01'!C83+(6*'V06 Calend 01'!E83))),('V06 Calend 01'!H83-('V06 Calend 01'!I83*('V06 Calend 01'!E83-1))),'V06 Calend 01'!I83),0))+IF((140='V06 Calend 01'!D83),'V06 Calend 01'!J83,0))</f>
        <v>0</v>
      </c>
      <c r="EW83" s="2">
        <f>((IF((141='V06 Calend 01'!C83),('V06 Calend 01'!F83+'V06 Calend 01'!G83),0)+IF(AND(('V06 Calend 01'!E83&gt;0),(141&gt;'V06 Calend 01'!C83),(141&lt;'V06 Calend 01'!D83),(MOD((141-'V06 Calend 01'!C83),6)=0),(((141-'V06 Calend 01'!C83)/6)&lt;='V06 Calend 01'!E83)),IF((141=('V06 Calend 01'!C83+(6*'V06 Calend 01'!E83))),('V06 Calend 01'!H83-('V06 Calend 01'!I83*('V06 Calend 01'!E83-1))),'V06 Calend 01'!I83),0))+IF((141='V06 Calend 01'!D83),'V06 Calend 01'!J83,0))</f>
        <v>0</v>
      </c>
      <c r="EX83" s="2">
        <f>((IF((142='V06 Calend 01'!C83),('V06 Calend 01'!F83+'V06 Calend 01'!G83),0)+IF(AND(('V06 Calend 01'!E83&gt;0),(142&gt;'V06 Calend 01'!C83),(142&lt;'V06 Calend 01'!D83),(MOD((142-'V06 Calend 01'!C83),6)=0),(((142-'V06 Calend 01'!C83)/6)&lt;='V06 Calend 01'!E83)),IF((142=('V06 Calend 01'!C83+(6*'V06 Calend 01'!E83))),('V06 Calend 01'!H83-('V06 Calend 01'!I83*('V06 Calend 01'!E83-1))),'V06 Calend 01'!I83),0))+IF((142='V06 Calend 01'!D83),'V06 Calend 01'!J83,0))</f>
        <v>0</v>
      </c>
      <c r="EY83" s="2">
        <f>((IF((143='V06 Calend 01'!C83),('V06 Calend 01'!F83+'V06 Calend 01'!G83),0)+IF(AND(('V06 Calend 01'!E83&gt;0),(143&gt;'V06 Calend 01'!C83),(143&lt;'V06 Calend 01'!D83),(MOD((143-'V06 Calend 01'!C83),6)=0),(((143-'V06 Calend 01'!C83)/6)&lt;='V06 Calend 01'!E83)),IF((143=('V06 Calend 01'!C83+(6*'V06 Calend 01'!E83))),('V06 Calend 01'!H83-('V06 Calend 01'!I83*('V06 Calend 01'!E83-1))),'V06 Calend 01'!I83),0))+IF((143='V06 Calend 01'!D83),'V06 Calend 01'!J83,0))</f>
        <v>0</v>
      </c>
      <c r="EZ83" s="2">
        <f>((IF((144='V06 Calend 01'!C83),('V06 Calend 01'!F83+'V06 Calend 01'!G83),0)+IF(AND(('V06 Calend 01'!E83&gt;0),(144&gt;'V06 Calend 01'!C83),(144&lt;'V06 Calend 01'!D83),(MOD((144-'V06 Calend 01'!C83),6)=0),(((144-'V06 Calend 01'!C83)/6)&lt;='V06 Calend 01'!E83)),IF((144=('V06 Calend 01'!C83+(6*'V06 Calend 01'!E83))),('V06 Calend 01'!H83-('V06 Calend 01'!I83*('V06 Calend 01'!E83-1))),'V06 Calend 01'!I83),0))+IF((144='V06 Calend 01'!D83),'V06 Calend 01'!J83,0))</f>
        <v>0</v>
      </c>
      <c r="FA83" s="2">
        <f>((IF((145='V06 Calend 01'!C83),('V06 Calend 01'!F83+'V06 Calend 01'!G83),0)+IF(AND(('V06 Calend 01'!E83&gt;0),(145&gt;'V06 Calend 01'!C83),(145&lt;'V06 Calend 01'!D83),(MOD((145-'V06 Calend 01'!C83),6)=0),(((145-'V06 Calend 01'!C83)/6)&lt;='V06 Calend 01'!E83)),IF((145=('V06 Calend 01'!C83+(6*'V06 Calend 01'!E83))),('V06 Calend 01'!H83-('V06 Calend 01'!I83*('V06 Calend 01'!E83-1))),'V06 Calend 01'!I83),0))+IF((145='V06 Calend 01'!D83),'V06 Calend 01'!J83,0))</f>
        <v>0</v>
      </c>
      <c r="FB83" s="2">
        <f>((IF((146='V06 Calend 01'!C83),('V06 Calend 01'!F83+'V06 Calend 01'!G83),0)+IF(AND(('V06 Calend 01'!E83&gt;0),(146&gt;'V06 Calend 01'!C83),(146&lt;'V06 Calend 01'!D83),(MOD((146-'V06 Calend 01'!C83),6)=0),(((146-'V06 Calend 01'!C83)/6)&lt;='V06 Calend 01'!E83)),IF((146=('V06 Calend 01'!C83+(6*'V06 Calend 01'!E83))),('V06 Calend 01'!H83-('V06 Calend 01'!I83*('V06 Calend 01'!E83-1))),'V06 Calend 01'!I83),0))+IF((146='V06 Calend 01'!D83),'V06 Calend 01'!J83,0))</f>
        <v>0</v>
      </c>
      <c r="FC83" s="2">
        <f>((IF((147='V06 Calend 01'!C83),('V06 Calend 01'!F83+'V06 Calend 01'!G83),0)+IF(AND(('V06 Calend 01'!E83&gt;0),(147&gt;'V06 Calend 01'!C83),(147&lt;'V06 Calend 01'!D83),(MOD((147-'V06 Calend 01'!C83),6)=0),(((147-'V06 Calend 01'!C83)/6)&lt;='V06 Calend 01'!E83)),IF((147=('V06 Calend 01'!C83+(6*'V06 Calend 01'!E83))),('V06 Calend 01'!H83-('V06 Calend 01'!I83*('V06 Calend 01'!E83-1))),'V06 Calend 01'!I83),0))+IF((147='V06 Calend 01'!D83),'V06 Calend 01'!J83,0))</f>
        <v>0</v>
      </c>
      <c r="FD83" s="2">
        <f>((IF((148='V06 Calend 01'!C83),('V06 Calend 01'!F83+'V06 Calend 01'!G83),0)+IF(AND(('V06 Calend 01'!E83&gt;0),(148&gt;'V06 Calend 01'!C83),(148&lt;'V06 Calend 01'!D83),(MOD((148-'V06 Calend 01'!C83),6)=0),(((148-'V06 Calend 01'!C83)/6)&lt;='V06 Calend 01'!E83)),IF((148=('V06 Calend 01'!C83+(6*'V06 Calend 01'!E83))),('V06 Calend 01'!H83-('V06 Calend 01'!I83*('V06 Calend 01'!E83-1))),'V06 Calend 01'!I83),0))+IF((148='V06 Calend 01'!D83),'V06 Calend 01'!J83,0))</f>
        <v>0</v>
      </c>
      <c r="FE83" s="2">
        <f>((IF((149='V06 Calend 01'!C83),('V06 Calend 01'!F83+'V06 Calend 01'!G83),0)+IF(AND(('V06 Calend 01'!E83&gt;0),(149&gt;'V06 Calend 01'!C83),(149&lt;'V06 Calend 01'!D83),(MOD((149-'V06 Calend 01'!C83),6)=0),(((149-'V06 Calend 01'!C83)/6)&lt;='V06 Calend 01'!E83)),IF((149=('V06 Calend 01'!C83+(6*'V06 Calend 01'!E83))),('V06 Calend 01'!H83-('V06 Calend 01'!I83*('V06 Calend 01'!E83-1))),'V06 Calend 01'!I83),0))+IF((149='V06 Calend 01'!D83),'V06 Calend 01'!J83,0))</f>
        <v>0</v>
      </c>
      <c r="FF83" s="2">
        <f>((IF((150='V06 Calend 01'!C83),('V06 Calend 01'!F83+'V06 Calend 01'!G83),0)+IF(AND(('V06 Calend 01'!E83&gt;0),(150&gt;'V06 Calend 01'!C83),(150&lt;'V06 Calend 01'!D83),(MOD((150-'V06 Calend 01'!C83),6)=0),(((150-'V06 Calend 01'!C83)/6)&lt;='V06 Calend 01'!E83)),IF((150=('V06 Calend 01'!C83+(6*'V06 Calend 01'!E83))),('V06 Calend 01'!H83-('V06 Calend 01'!I83*('V06 Calend 01'!E83-1))),'V06 Calend 01'!I83),0))+IF((150='V06 Calend 01'!D83),'V06 Calend 01'!J83,0))</f>
        <v>0</v>
      </c>
      <c r="FG83" s="2">
        <f>((IF((151='V06 Calend 01'!C83),('V06 Calend 01'!F83+'V06 Calend 01'!G83),0)+IF(AND(('V06 Calend 01'!E83&gt;0),(151&gt;'V06 Calend 01'!C83),(151&lt;'V06 Calend 01'!D83),(MOD((151-'V06 Calend 01'!C83),6)=0),(((151-'V06 Calend 01'!C83)/6)&lt;='V06 Calend 01'!E83)),IF((151=('V06 Calend 01'!C83+(6*'V06 Calend 01'!E83))),('V06 Calend 01'!H83-('V06 Calend 01'!I83*('V06 Calend 01'!E83-1))),'V06 Calend 01'!I83),0))+IF((151='V06 Calend 01'!D83),'V06 Calend 01'!J83,0))</f>
        <v>0</v>
      </c>
      <c r="FH83" s="2">
        <f>((IF((152='V06 Calend 01'!C83),('V06 Calend 01'!F83+'V06 Calend 01'!G83),0)+IF(AND(('V06 Calend 01'!E83&gt;0),(152&gt;'V06 Calend 01'!C83),(152&lt;'V06 Calend 01'!D83),(MOD((152-'V06 Calend 01'!C83),6)=0),(((152-'V06 Calend 01'!C83)/6)&lt;='V06 Calend 01'!E83)),IF((152=('V06 Calend 01'!C83+(6*'V06 Calend 01'!E83))),('V06 Calend 01'!H83-('V06 Calend 01'!I83*('V06 Calend 01'!E83-1))),'V06 Calend 01'!I83),0))+IF((152='V06 Calend 01'!D83),'V06 Calend 01'!J83,0))</f>
        <v>0</v>
      </c>
      <c r="FI83" s="2">
        <f>((IF((153='V06 Calend 01'!C83),('V06 Calend 01'!F83+'V06 Calend 01'!G83),0)+IF(AND(('V06 Calend 01'!E83&gt;0),(153&gt;'V06 Calend 01'!C83),(153&lt;'V06 Calend 01'!D83),(MOD((153-'V06 Calend 01'!C83),6)=0),(((153-'V06 Calend 01'!C83)/6)&lt;='V06 Calend 01'!E83)),IF((153=('V06 Calend 01'!C83+(6*'V06 Calend 01'!E83))),('V06 Calend 01'!H83-('V06 Calend 01'!I83*('V06 Calend 01'!E83-1))),'V06 Calend 01'!I83),0))+IF((153='V06 Calend 01'!D83),'V06 Calend 01'!J83,0))</f>
        <v>0</v>
      </c>
      <c r="FJ83" s="2">
        <f>((IF((154='V06 Calend 01'!C83),('V06 Calend 01'!F83+'V06 Calend 01'!G83),0)+IF(AND(('V06 Calend 01'!E83&gt;0),(154&gt;'V06 Calend 01'!C83),(154&lt;'V06 Calend 01'!D83),(MOD((154-'V06 Calend 01'!C83),6)=0),(((154-'V06 Calend 01'!C83)/6)&lt;='V06 Calend 01'!E83)),IF((154=('V06 Calend 01'!C83+(6*'V06 Calend 01'!E83))),('V06 Calend 01'!H83-('V06 Calend 01'!I83*('V06 Calend 01'!E83-1))),'V06 Calend 01'!I83),0))+IF((154='V06 Calend 01'!D83),'V06 Calend 01'!J83,0))</f>
        <v>0</v>
      </c>
      <c r="FK83" s="2">
        <f>((IF((155='V06 Calend 01'!C83),('V06 Calend 01'!F83+'V06 Calend 01'!G83),0)+IF(AND(('V06 Calend 01'!E83&gt;0),(155&gt;'V06 Calend 01'!C83),(155&lt;'V06 Calend 01'!D83),(MOD((155-'V06 Calend 01'!C83),6)=0),(((155-'V06 Calend 01'!C83)/6)&lt;='V06 Calend 01'!E83)),IF((155=('V06 Calend 01'!C83+(6*'V06 Calend 01'!E83))),('V06 Calend 01'!H83-('V06 Calend 01'!I83*('V06 Calend 01'!E83-1))),'V06 Calend 01'!I83),0))+IF((155='V06 Calend 01'!D83),'V06 Calend 01'!J83,0))</f>
        <v>0</v>
      </c>
      <c r="FL83" s="2">
        <f>((IF((156='V06 Calend 01'!C83),('V06 Calend 01'!F83+'V06 Calend 01'!G83),0)+IF(AND(('V06 Calend 01'!E83&gt;0),(156&gt;'V06 Calend 01'!C83),(156&lt;'V06 Calend 01'!D83),(MOD((156-'V06 Calend 01'!C83),6)=0),(((156-'V06 Calend 01'!C83)/6)&lt;='V06 Calend 01'!E83)),IF((156=('V06 Calend 01'!C83+(6*'V06 Calend 01'!E83))),('V06 Calend 01'!H83-('V06 Calend 01'!I83*('V06 Calend 01'!E83-1))),'V06 Calend 01'!I83),0))+IF((156='V06 Calend 01'!D83),'V06 Calend 01'!J83,0))</f>
        <v>0</v>
      </c>
      <c r="FM83" s="2">
        <f>((IF((157='V06 Calend 01'!C83),('V06 Calend 01'!F83+'V06 Calend 01'!G83),0)+IF(AND(('V06 Calend 01'!E83&gt;0),(157&gt;'V06 Calend 01'!C83),(157&lt;'V06 Calend 01'!D83),(MOD((157-'V06 Calend 01'!C83),6)=0),(((157-'V06 Calend 01'!C83)/6)&lt;='V06 Calend 01'!E83)),IF((157=('V06 Calend 01'!C83+(6*'V06 Calend 01'!E83))),('V06 Calend 01'!H83-('V06 Calend 01'!I83*('V06 Calend 01'!E83-1))),'V06 Calend 01'!I83),0))+IF((157='V06 Calend 01'!D83),'V06 Calend 01'!J83,0))</f>
        <v>0</v>
      </c>
      <c r="FN83" s="2">
        <f>((IF((158='V06 Calend 01'!C83),('V06 Calend 01'!F83+'V06 Calend 01'!G83),0)+IF(AND(('V06 Calend 01'!E83&gt;0),(158&gt;'V06 Calend 01'!C83),(158&lt;'V06 Calend 01'!D83),(MOD((158-'V06 Calend 01'!C83),6)=0),(((158-'V06 Calend 01'!C83)/6)&lt;='V06 Calend 01'!E83)),IF((158=('V06 Calend 01'!C83+(6*'V06 Calend 01'!E83))),('V06 Calend 01'!H83-('V06 Calend 01'!I83*('V06 Calend 01'!E83-1))),'V06 Calend 01'!I83),0))+IF((158='V06 Calend 01'!D83),'V06 Calend 01'!J83,0))</f>
        <v>0</v>
      </c>
      <c r="FO83" s="2">
        <f>((IF((159='V06 Calend 01'!C83),('V06 Calend 01'!F83+'V06 Calend 01'!G83),0)+IF(AND(('V06 Calend 01'!E83&gt;0),(159&gt;'V06 Calend 01'!C83),(159&lt;'V06 Calend 01'!D83),(MOD((159-'V06 Calend 01'!C83),6)=0),(((159-'V06 Calend 01'!C83)/6)&lt;='V06 Calend 01'!E83)),IF((159=('V06 Calend 01'!C83+(6*'V06 Calend 01'!E83))),('V06 Calend 01'!H83-('V06 Calend 01'!I83*('V06 Calend 01'!E83-1))),'V06 Calend 01'!I83),0))+IF((159='V06 Calend 01'!D83),'V06 Calend 01'!J83,0))</f>
        <v>0</v>
      </c>
      <c r="FP83" s="2">
        <f>((IF((160='V06 Calend 01'!C83),('V06 Calend 01'!F83+'V06 Calend 01'!G83),0)+IF(AND(('V06 Calend 01'!E83&gt;0),(160&gt;'V06 Calend 01'!C83),(160&lt;'V06 Calend 01'!D83),(MOD((160-'V06 Calend 01'!C83),6)=0),(((160-'V06 Calend 01'!C83)/6)&lt;='V06 Calend 01'!E83)),IF((160=('V06 Calend 01'!C83+(6*'V06 Calend 01'!E83))),('V06 Calend 01'!H83-('V06 Calend 01'!I83*('V06 Calend 01'!E83-1))),'V06 Calend 01'!I83),0))+IF((160='V06 Calend 01'!D83),'V06 Calend 01'!J83,0))</f>
        <v>0</v>
      </c>
      <c r="FQ83" s="2">
        <f>((IF((161='V06 Calend 01'!C83),('V06 Calend 01'!F83+'V06 Calend 01'!G83),0)+IF(AND(('V06 Calend 01'!E83&gt;0),(161&gt;'V06 Calend 01'!C83),(161&lt;'V06 Calend 01'!D83),(MOD((161-'V06 Calend 01'!C83),6)=0),(((161-'V06 Calend 01'!C83)/6)&lt;='V06 Calend 01'!E83)),IF((161=('V06 Calend 01'!C83+(6*'V06 Calend 01'!E83))),('V06 Calend 01'!H83-('V06 Calend 01'!I83*('V06 Calend 01'!E83-1))),'V06 Calend 01'!I83),0))+IF((161='V06 Calend 01'!D83),'V06 Calend 01'!J83,0))</f>
        <v>0</v>
      </c>
      <c r="FR83" s="2">
        <f>((IF((162='V06 Calend 01'!C83),('V06 Calend 01'!F83+'V06 Calend 01'!G83),0)+IF(AND(('V06 Calend 01'!E83&gt;0),(162&gt;'V06 Calend 01'!C83),(162&lt;'V06 Calend 01'!D83),(MOD((162-'V06 Calend 01'!C83),6)=0),(((162-'V06 Calend 01'!C83)/6)&lt;='V06 Calend 01'!E83)),IF((162=('V06 Calend 01'!C83+(6*'V06 Calend 01'!E83))),('V06 Calend 01'!H83-('V06 Calend 01'!I83*('V06 Calend 01'!E83-1))),'V06 Calend 01'!I83),0))+IF((162='V06 Calend 01'!D83),'V06 Calend 01'!J83,0))</f>
        <v>0</v>
      </c>
      <c r="FS83" s="2">
        <f>((IF((163='V06 Calend 01'!C83),('V06 Calend 01'!F83+'V06 Calend 01'!G83),0)+IF(AND(('V06 Calend 01'!E83&gt;0),(163&gt;'V06 Calend 01'!C83),(163&lt;'V06 Calend 01'!D83),(MOD((163-'V06 Calend 01'!C83),6)=0),(((163-'V06 Calend 01'!C83)/6)&lt;='V06 Calend 01'!E83)),IF((163=('V06 Calend 01'!C83+(6*'V06 Calend 01'!E83))),('V06 Calend 01'!H83-('V06 Calend 01'!I83*('V06 Calend 01'!E83-1))),'V06 Calend 01'!I83),0))+IF((163='V06 Calend 01'!D83),'V06 Calend 01'!J83,0))</f>
        <v>0</v>
      </c>
      <c r="FT83" s="2">
        <f>((IF((164='V06 Calend 01'!C83),('V06 Calend 01'!F83+'V06 Calend 01'!G83),0)+IF(AND(('V06 Calend 01'!E83&gt;0),(164&gt;'V06 Calend 01'!C83),(164&lt;'V06 Calend 01'!D83),(MOD((164-'V06 Calend 01'!C83),6)=0),(((164-'V06 Calend 01'!C83)/6)&lt;='V06 Calend 01'!E83)),IF((164=('V06 Calend 01'!C83+(6*'V06 Calend 01'!E83))),('V06 Calend 01'!H83-('V06 Calend 01'!I83*('V06 Calend 01'!E83-1))),'V06 Calend 01'!I83),0))+IF((164='V06 Calend 01'!D83),'V06 Calend 01'!J83,0))</f>
        <v>0</v>
      </c>
      <c r="FU83" s="2">
        <f>((IF((165='V06 Calend 01'!C83),('V06 Calend 01'!F83+'V06 Calend 01'!G83),0)+IF(AND(('V06 Calend 01'!E83&gt;0),(165&gt;'V06 Calend 01'!C83),(165&lt;'V06 Calend 01'!D83),(MOD((165-'V06 Calend 01'!C83),6)=0),(((165-'V06 Calend 01'!C83)/6)&lt;='V06 Calend 01'!E83)),IF((165=('V06 Calend 01'!C83+(6*'V06 Calend 01'!E83))),('V06 Calend 01'!H83-('V06 Calend 01'!I83*('V06 Calend 01'!E83-1))),'V06 Calend 01'!I83),0))+IF((165='V06 Calend 01'!D83),'V06 Calend 01'!J83,0))</f>
        <v>0</v>
      </c>
      <c r="FV83" s="2">
        <f>((IF((166='V06 Calend 01'!C83),('V06 Calend 01'!F83+'V06 Calend 01'!G83),0)+IF(AND(('V06 Calend 01'!E83&gt;0),(166&gt;'V06 Calend 01'!C83),(166&lt;'V06 Calend 01'!D83),(MOD((166-'V06 Calend 01'!C83),6)=0),(((166-'V06 Calend 01'!C83)/6)&lt;='V06 Calend 01'!E83)),IF((166=('V06 Calend 01'!C83+(6*'V06 Calend 01'!E83))),('V06 Calend 01'!H83-('V06 Calend 01'!I83*('V06 Calend 01'!E83-1))),'V06 Calend 01'!I83),0))+IF((166='V06 Calend 01'!D83),'V06 Calend 01'!J83,0))</f>
        <v>0</v>
      </c>
      <c r="FW83" s="2">
        <f>((IF((167='V06 Calend 01'!C83),('V06 Calend 01'!F83+'V06 Calend 01'!G83),0)+IF(AND(('V06 Calend 01'!E83&gt;0),(167&gt;'V06 Calend 01'!C83),(167&lt;'V06 Calend 01'!D83),(MOD((167-'V06 Calend 01'!C83),6)=0),(((167-'V06 Calend 01'!C83)/6)&lt;='V06 Calend 01'!E83)),IF((167=('V06 Calend 01'!C83+(6*'V06 Calend 01'!E83))),('V06 Calend 01'!H83-('V06 Calend 01'!I83*('V06 Calend 01'!E83-1))),'V06 Calend 01'!I83),0))+IF((167='V06 Calend 01'!D83),'V06 Calend 01'!J83,0))</f>
        <v>0</v>
      </c>
      <c r="FX83" s="2">
        <f>((IF((168='V06 Calend 01'!C83),('V06 Calend 01'!F83+'V06 Calend 01'!G83),0)+IF(AND(('V06 Calend 01'!E83&gt;0),(168&gt;'V06 Calend 01'!C83),(168&lt;'V06 Calend 01'!D83),(MOD((168-'V06 Calend 01'!C83),6)=0),(((168-'V06 Calend 01'!C83)/6)&lt;='V06 Calend 01'!E83)),IF((168=('V06 Calend 01'!C83+(6*'V06 Calend 01'!E83))),('V06 Calend 01'!H83-('V06 Calend 01'!I83*('V06 Calend 01'!E83-1))),'V06 Calend 01'!I83),0))+IF((168='V06 Calend 01'!D83),'V06 Calend 01'!J83,0))</f>
        <v>0</v>
      </c>
      <c r="FY83" s="2">
        <f>((IF((169='V06 Calend 01'!C83),('V06 Calend 01'!F83+'V06 Calend 01'!G83),0)+IF(AND(('V06 Calend 01'!E83&gt;0),(169&gt;'V06 Calend 01'!C83),(169&lt;'V06 Calend 01'!D83),(MOD((169-'V06 Calend 01'!C83),6)=0),(((169-'V06 Calend 01'!C83)/6)&lt;='V06 Calend 01'!E83)),IF((169=('V06 Calend 01'!C83+(6*'V06 Calend 01'!E83))),('V06 Calend 01'!H83-('V06 Calend 01'!I83*('V06 Calend 01'!E83-1))),'V06 Calend 01'!I83),0))+IF((169='V06 Calend 01'!D83),'V06 Calend 01'!J83,0))</f>
        <v>0</v>
      </c>
      <c r="FZ83" s="2">
        <f>((IF((170='V06 Calend 01'!C83),('V06 Calend 01'!F83+'V06 Calend 01'!G83),0)+IF(AND(('V06 Calend 01'!E83&gt;0),(170&gt;'V06 Calend 01'!C83),(170&lt;'V06 Calend 01'!D83),(MOD((170-'V06 Calend 01'!C83),6)=0),(((170-'V06 Calend 01'!C83)/6)&lt;='V06 Calend 01'!E83)),IF((170=('V06 Calend 01'!C83+(6*'V06 Calend 01'!E83))),('V06 Calend 01'!H83-('V06 Calend 01'!I83*('V06 Calend 01'!E83-1))),'V06 Calend 01'!I83),0))+IF((170='V06 Calend 01'!D83),'V06 Calend 01'!J83,0))</f>
        <v>0</v>
      </c>
      <c r="GA83" s="2">
        <f>((IF((171='V06 Calend 01'!C83),('V06 Calend 01'!F83+'V06 Calend 01'!G83),0)+IF(AND(('V06 Calend 01'!E83&gt;0),(171&gt;'V06 Calend 01'!C83),(171&lt;'V06 Calend 01'!D83),(MOD((171-'V06 Calend 01'!C83),6)=0),(((171-'V06 Calend 01'!C83)/6)&lt;='V06 Calend 01'!E83)),IF((171=('V06 Calend 01'!C83+(6*'V06 Calend 01'!E83))),('V06 Calend 01'!H83-('V06 Calend 01'!I83*('V06 Calend 01'!E83-1))),'V06 Calend 01'!I83),0))+IF((171='V06 Calend 01'!D83),'V06 Calend 01'!J83,0))</f>
        <v>0</v>
      </c>
      <c r="GB83" s="2">
        <f>((IF((172='V06 Calend 01'!C83),('V06 Calend 01'!F83+'V06 Calend 01'!G83),0)+IF(AND(('V06 Calend 01'!E83&gt;0),(172&gt;'V06 Calend 01'!C83),(172&lt;'V06 Calend 01'!D83),(MOD((172-'V06 Calend 01'!C83),6)=0),(((172-'V06 Calend 01'!C83)/6)&lt;='V06 Calend 01'!E83)),IF((172=('V06 Calend 01'!C83+(6*'V06 Calend 01'!E83))),('V06 Calend 01'!H83-('V06 Calend 01'!I83*('V06 Calend 01'!E83-1))),'V06 Calend 01'!I83),0))+IF((172='V06 Calend 01'!D83),'V06 Calend 01'!J83,0))</f>
        <v>0</v>
      </c>
      <c r="GC83" s="2">
        <f>((IF((173='V06 Calend 01'!C83),('V06 Calend 01'!F83+'V06 Calend 01'!G83),0)+IF(AND(('V06 Calend 01'!E83&gt;0),(173&gt;'V06 Calend 01'!C83),(173&lt;'V06 Calend 01'!D83),(MOD((173-'V06 Calend 01'!C83),6)=0),(((173-'V06 Calend 01'!C83)/6)&lt;='V06 Calend 01'!E83)),IF((173=('V06 Calend 01'!C83+(6*'V06 Calend 01'!E83))),('V06 Calend 01'!H83-('V06 Calend 01'!I83*('V06 Calend 01'!E83-1))),'V06 Calend 01'!I83),0))+IF((173='V06 Calend 01'!D83),'V06 Calend 01'!J83,0))</f>
        <v>0</v>
      </c>
      <c r="GD83" s="2">
        <f>((IF((174='V06 Calend 01'!C83),('V06 Calend 01'!F83+'V06 Calend 01'!G83),0)+IF(AND(('V06 Calend 01'!E83&gt;0),(174&gt;'V06 Calend 01'!C83),(174&lt;'V06 Calend 01'!D83),(MOD((174-'V06 Calend 01'!C83),6)=0),(((174-'V06 Calend 01'!C83)/6)&lt;='V06 Calend 01'!E83)),IF((174=('V06 Calend 01'!C83+(6*'V06 Calend 01'!E83))),('V06 Calend 01'!H83-('V06 Calend 01'!I83*('V06 Calend 01'!E83-1))),'V06 Calend 01'!I83),0))+IF((174='V06 Calend 01'!D83),'V06 Calend 01'!J83,0))</f>
        <v>0</v>
      </c>
      <c r="GE83" s="2">
        <f>((IF((175='V06 Calend 01'!C83),('V06 Calend 01'!F83+'V06 Calend 01'!G83),0)+IF(AND(('V06 Calend 01'!E83&gt;0),(175&gt;'V06 Calend 01'!C83),(175&lt;'V06 Calend 01'!D83),(MOD((175-'V06 Calend 01'!C83),6)=0),(((175-'V06 Calend 01'!C83)/6)&lt;='V06 Calend 01'!E83)),IF((175=('V06 Calend 01'!C83+(6*'V06 Calend 01'!E83))),('V06 Calend 01'!H83-('V06 Calend 01'!I83*('V06 Calend 01'!E83-1))),'V06 Calend 01'!I83),0))+IF((175='V06 Calend 01'!D83),'V06 Calend 01'!J83,0))</f>
        <v>0</v>
      </c>
      <c r="GF83" s="2">
        <f>((IF((176='V06 Calend 01'!C83),('V06 Calend 01'!F83+'V06 Calend 01'!G83),0)+IF(AND(('V06 Calend 01'!E83&gt;0),(176&gt;'V06 Calend 01'!C83),(176&lt;'V06 Calend 01'!D83),(MOD((176-'V06 Calend 01'!C83),6)=0),(((176-'V06 Calend 01'!C83)/6)&lt;='V06 Calend 01'!E83)),IF((176=('V06 Calend 01'!C83+(6*'V06 Calend 01'!E83))),('V06 Calend 01'!H83-('V06 Calend 01'!I83*('V06 Calend 01'!E83-1))),'V06 Calend 01'!I83),0))+IF((176='V06 Calend 01'!D83),'V06 Calend 01'!J83,0))</f>
        <v>0</v>
      </c>
      <c r="GG83" s="2">
        <f>((IF((177='V06 Calend 01'!C83),('V06 Calend 01'!F83+'V06 Calend 01'!G83),0)+IF(AND(('V06 Calend 01'!E83&gt;0),(177&gt;'V06 Calend 01'!C83),(177&lt;'V06 Calend 01'!D83),(MOD((177-'V06 Calend 01'!C83),6)=0),(((177-'V06 Calend 01'!C83)/6)&lt;='V06 Calend 01'!E83)),IF((177=('V06 Calend 01'!C83+(6*'V06 Calend 01'!E83))),('V06 Calend 01'!H83-('V06 Calend 01'!I83*('V06 Calend 01'!E83-1))),'V06 Calend 01'!I83),0))+IF((177='V06 Calend 01'!D83),'V06 Calend 01'!J83,0))</f>
        <v>0</v>
      </c>
      <c r="GH83" s="2">
        <f>((IF((178='V06 Calend 01'!C83),('V06 Calend 01'!F83+'V06 Calend 01'!G83),0)+IF(AND(('V06 Calend 01'!E83&gt;0),(178&gt;'V06 Calend 01'!C83),(178&lt;'V06 Calend 01'!D83),(MOD((178-'V06 Calend 01'!C83),6)=0),(((178-'V06 Calend 01'!C83)/6)&lt;='V06 Calend 01'!E83)),IF((178=('V06 Calend 01'!C83+(6*'V06 Calend 01'!E83))),('V06 Calend 01'!H83-('V06 Calend 01'!I83*('V06 Calend 01'!E83-1))),'V06 Calend 01'!I83),0))+IF((178='V06 Calend 01'!D83),'V06 Calend 01'!J83,0))</f>
        <v>0</v>
      </c>
      <c r="GI83" s="2">
        <f>((IF((179='V06 Calend 01'!C83),('V06 Calend 01'!F83+'V06 Calend 01'!G83),0)+IF(AND(('V06 Calend 01'!E83&gt;0),(179&gt;'V06 Calend 01'!C83),(179&lt;'V06 Calend 01'!D83),(MOD((179-'V06 Calend 01'!C83),6)=0),(((179-'V06 Calend 01'!C83)/6)&lt;='V06 Calend 01'!E83)),IF((179=('V06 Calend 01'!C83+(6*'V06 Calend 01'!E83))),('V06 Calend 01'!H83-('V06 Calend 01'!I83*('V06 Calend 01'!E83-1))),'V06 Calend 01'!I83),0))+IF((179='V06 Calend 01'!D83),'V06 Calend 01'!J83,0))</f>
        <v>0</v>
      </c>
      <c r="GJ83" s="2">
        <f>((IF((180='V06 Calend 01'!C83),('V06 Calend 01'!F83+'V06 Calend 01'!G83),0)+IF(AND(('V06 Calend 01'!E83&gt;0),(180&gt;'V06 Calend 01'!C83),(180&lt;'V06 Calend 01'!D83),(MOD((180-'V06 Calend 01'!C83),6)=0),(((180-'V06 Calend 01'!C83)/6)&lt;='V06 Calend 01'!E83)),IF((180=('V06 Calend 01'!C83+(6*'V06 Calend 01'!E83))),('V06 Calend 01'!H83-('V06 Calend 01'!I83*('V06 Calend 01'!E83-1))),'V06 Calend 01'!I83),0))+IF((180='V06 Calend 01'!D83),'V06 Calend 01'!J83,0))</f>
        <v>0</v>
      </c>
    </row>
    <row r="84" spans="1:192">
      <c r="A84" s="3" t="str">
        <f>'V06 Unidades'!$A$84</f>
        <v>910</v>
      </c>
      <c r="B84" s="2">
        <f>'V06 Unidades'!$H$84</f>
        <v>941494.46</v>
      </c>
      <c r="C84" s="4">
        <f>('V06 Unidades'!$I$84+'V06 Controlos'!$B$37)</f>
        <v>7</v>
      </c>
      <c r="D84" s="4">
        <f>IF(('V06 Controlos'!$B$38&gt;0),MAX(('V06 Unidades'!$L$84+'V06 Controlos'!$B$37),(30+'V06 Controlos'!$B$38)),('V06 Unidades'!$L$84+'V06 Controlos'!$B$37))</f>
        <v>29</v>
      </c>
      <c r="E84" s="4">
        <f>MAX(0,INT(((('V06 Calend 01'!D84-'V06 Calend 01'!C84)-1)/6)))</f>
        <v>3</v>
      </c>
      <c r="F84" s="2">
        <f>ROUND(('V06 Calend 01'!B84*0.05),2)</f>
        <v>47074.72</v>
      </c>
      <c r="G84" s="2">
        <f>ROUND(('V06 Calend 01'!B84*0.2),2)</f>
        <v>188298.89</v>
      </c>
      <c r="H84" s="2">
        <f>ROUND(('V06 Calend 01'!B84*0.55),2)</f>
        <v>517821.95</v>
      </c>
      <c r="I84" s="2">
        <f>ROUND(('V06 Calend 01'!H84/MAX(1,'V06 Calend 01'!E84)),2)</f>
        <v>172607.32</v>
      </c>
      <c r="J84" s="2">
        <f>((('V06 Calend 01'!B84-'V06 Calend 01'!F84)-'V06 Calend 01'!G84)-'V06 Calend 01'!H84)</f>
        <v>188298.89999999997</v>
      </c>
      <c r="K84" s="2">
        <f>('V06 Calend 01'!B84*0.025)</f>
        <v>23537.3615</v>
      </c>
      <c r="L84" t="s">
        <v>378</v>
      </c>
      <c r="M84" s="2">
        <f>((IF((1='V06 Calend 01'!C84),('V06 Calend 01'!F84+'V06 Calend 01'!G84),0)+IF(AND(('V06 Calend 01'!E84&gt;0),(1&gt;'V06 Calend 01'!C84),(1&lt;'V06 Calend 01'!D84),(MOD((1-'V06 Calend 01'!C84),6)=0),(((1-'V06 Calend 01'!C84)/6)&lt;='V06 Calend 01'!E84)),IF((1=('V06 Calend 01'!C84+(6*'V06 Calend 01'!E84))),('V06 Calend 01'!H84-('V06 Calend 01'!I84*('V06 Calend 01'!E84-1))),'V06 Calend 01'!I84),0))+IF((1='V06 Calend 01'!D84),'V06 Calend 01'!J84,0))</f>
        <v>0</v>
      </c>
      <c r="N84" s="2">
        <f>((IF((2='V06 Calend 01'!C84),('V06 Calend 01'!F84+'V06 Calend 01'!G84),0)+IF(AND(('V06 Calend 01'!E84&gt;0),(2&gt;'V06 Calend 01'!C84),(2&lt;'V06 Calend 01'!D84),(MOD((2-'V06 Calend 01'!C84),6)=0),(((2-'V06 Calend 01'!C84)/6)&lt;='V06 Calend 01'!E84)),IF((2=('V06 Calend 01'!C84+(6*'V06 Calend 01'!E84))),('V06 Calend 01'!H84-('V06 Calend 01'!I84*('V06 Calend 01'!E84-1))),'V06 Calend 01'!I84),0))+IF((2='V06 Calend 01'!D84),'V06 Calend 01'!J84,0))</f>
        <v>0</v>
      </c>
      <c r="O84" s="2">
        <f>((IF((3='V06 Calend 01'!C84),('V06 Calend 01'!F84+'V06 Calend 01'!G84),0)+IF(AND(('V06 Calend 01'!E84&gt;0),(3&gt;'V06 Calend 01'!C84),(3&lt;'V06 Calend 01'!D84),(MOD((3-'V06 Calend 01'!C84),6)=0),(((3-'V06 Calend 01'!C84)/6)&lt;='V06 Calend 01'!E84)),IF((3=('V06 Calend 01'!C84+(6*'V06 Calend 01'!E84))),('V06 Calend 01'!H84-('V06 Calend 01'!I84*('V06 Calend 01'!E84-1))),'V06 Calend 01'!I84),0))+IF((3='V06 Calend 01'!D84),'V06 Calend 01'!J84,0))</f>
        <v>0</v>
      </c>
      <c r="P84" s="2">
        <f>((IF((4='V06 Calend 01'!C84),('V06 Calend 01'!F84+'V06 Calend 01'!G84),0)+IF(AND(('V06 Calend 01'!E84&gt;0),(4&gt;'V06 Calend 01'!C84),(4&lt;'V06 Calend 01'!D84),(MOD((4-'V06 Calend 01'!C84),6)=0),(((4-'V06 Calend 01'!C84)/6)&lt;='V06 Calend 01'!E84)),IF((4=('V06 Calend 01'!C84+(6*'V06 Calend 01'!E84))),('V06 Calend 01'!H84-('V06 Calend 01'!I84*('V06 Calend 01'!E84-1))),'V06 Calend 01'!I84),0))+IF((4='V06 Calend 01'!D84),'V06 Calend 01'!J84,0))</f>
        <v>0</v>
      </c>
      <c r="Q84" s="2">
        <f>((IF((5='V06 Calend 01'!C84),('V06 Calend 01'!F84+'V06 Calend 01'!G84),0)+IF(AND(('V06 Calend 01'!E84&gt;0),(5&gt;'V06 Calend 01'!C84),(5&lt;'V06 Calend 01'!D84),(MOD((5-'V06 Calend 01'!C84),6)=0),(((5-'V06 Calend 01'!C84)/6)&lt;='V06 Calend 01'!E84)),IF((5=('V06 Calend 01'!C84+(6*'V06 Calend 01'!E84))),('V06 Calend 01'!H84-('V06 Calend 01'!I84*('V06 Calend 01'!E84-1))),'V06 Calend 01'!I84),0))+IF((5='V06 Calend 01'!D84),'V06 Calend 01'!J84,0))</f>
        <v>0</v>
      </c>
      <c r="R84" s="2">
        <f>((IF((6='V06 Calend 01'!C84),('V06 Calend 01'!F84+'V06 Calend 01'!G84),0)+IF(AND(('V06 Calend 01'!E84&gt;0),(6&gt;'V06 Calend 01'!C84),(6&lt;'V06 Calend 01'!D84),(MOD((6-'V06 Calend 01'!C84),6)=0),(((6-'V06 Calend 01'!C84)/6)&lt;='V06 Calend 01'!E84)),IF((6=('V06 Calend 01'!C84+(6*'V06 Calend 01'!E84))),('V06 Calend 01'!H84-('V06 Calend 01'!I84*('V06 Calend 01'!E84-1))),'V06 Calend 01'!I84),0))+IF((6='V06 Calend 01'!D84),'V06 Calend 01'!J84,0))</f>
        <v>0</v>
      </c>
      <c r="S84" s="2">
        <f>((IF((7='V06 Calend 01'!C84),('V06 Calend 01'!F84+'V06 Calend 01'!G84),0)+IF(AND(('V06 Calend 01'!E84&gt;0),(7&gt;'V06 Calend 01'!C84),(7&lt;'V06 Calend 01'!D84),(MOD((7-'V06 Calend 01'!C84),6)=0),(((7-'V06 Calend 01'!C84)/6)&lt;='V06 Calend 01'!E84)),IF((7=('V06 Calend 01'!C84+(6*'V06 Calend 01'!E84))),('V06 Calend 01'!H84-('V06 Calend 01'!I84*('V06 Calend 01'!E84-1))),'V06 Calend 01'!I84),0))+IF((7='V06 Calend 01'!D84),'V06 Calend 01'!J84,0))</f>
        <v>235373.61000000002</v>
      </c>
      <c r="T84" s="2">
        <f>((IF((8='V06 Calend 01'!C84),('V06 Calend 01'!F84+'V06 Calend 01'!G84),0)+IF(AND(('V06 Calend 01'!E84&gt;0),(8&gt;'V06 Calend 01'!C84),(8&lt;'V06 Calend 01'!D84),(MOD((8-'V06 Calend 01'!C84),6)=0),(((8-'V06 Calend 01'!C84)/6)&lt;='V06 Calend 01'!E84)),IF((8=('V06 Calend 01'!C84+(6*'V06 Calend 01'!E84))),('V06 Calend 01'!H84-('V06 Calend 01'!I84*('V06 Calend 01'!E84-1))),'V06 Calend 01'!I84),0))+IF((8='V06 Calend 01'!D84),'V06 Calend 01'!J84,0))</f>
        <v>0</v>
      </c>
      <c r="U84" s="2">
        <f>((IF((9='V06 Calend 01'!C84),('V06 Calend 01'!F84+'V06 Calend 01'!G84),0)+IF(AND(('V06 Calend 01'!E84&gt;0),(9&gt;'V06 Calend 01'!C84),(9&lt;'V06 Calend 01'!D84),(MOD((9-'V06 Calend 01'!C84),6)=0),(((9-'V06 Calend 01'!C84)/6)&lt;='V06 Calend 01'!E84)),IF((9=('V06 Calend 01'!C84+(6*'V06 Calend 01'!E84))),('V06 Calend 01'!H84-('V06 Calend 01'!I84*('V06 Calend 01'!E84-1))),'V06 Calend 01'!I84),0))+IF((9='V06 Calend 01'!D84),'V06 Calend 01'!J84,0))</f>
        <v>0</v>
      </c>
      <c r="V84" s="2">
        <f>((IF((10='V06 Calend 01'!C84),('V06 Calend 01'!F84+'V06 Calend 01'!G84),0)+IF(AND(('V06 Calend 01'!E84&gt;0),(10&gt;'V06 Calend 01'!C84),(10&lt;'V06 Calend 01'!D84),(MOD((10-'V06 Calend 01'!C84),6)=0),(((10-'V06 Calend 01'!C84)/6)&lt;='V06 Calend 01'!E84)),IF((10=('V06 Calend 01'!C84+(6*'V06 Calend 01'!E84))),('V06 Calend 01'!H84-('V06 Calend 01'!I84*('V06 Calend 01'!E84-1))),'V06 Calend 01'!I84),0))+IF((10='V06 Calend 01'!D84),'V06 Calend 01'!J84,0))</f>
        <v>0</v>
      </c>
      <c r="W84" s="2">
        <f>((IF((11='V06 Calend 01'!C84),('V06 Calend 01'!F84+'V06 Calend 01'!G84),0)+IF(AND(('V06 Calend 01'!E84&gt;0),(11&gt;'V06 Calend 01'!C84),(11&lt;'V06 Calend 01'!D84),(MOD((11-'V06 Calend 01'!C84),6)=0),(((11-'V06 Calend 01'!C84)/6)&lt;='V06 Calend 01'!E84)),IF((11=('V06 Calend 01'!C84+(6*'V06 Calend 01'!E84))),('V06 Calend 01'!H84-('V06 Calend 01'!I84*('V06 Calend 01'!E84-1))),'V06 Calend 01'!I84),0))+IF((11='V06 Calend 01'!D84),'V06 Calend 01'!J84,0))</f>
        <v>0</v>
      </c>
      <c r="X84" s="2">
        <f>((IF((12='V06 Calend 01'!C84),('V06 Calend 01'!F84+'V06 Calend 01'!G84),0)+IF(AND(('V06 Calend 01'!E84&gt;0),(12&gt;'V06 Calend 01'!C84),(12&lt;'V06 Calend 01'!D84),(MOD((12-'V06 Calend 01'!C84),6)=0),(((12-'V06 Calend 01'!C84)/6)&lt;='V06 Calend 01'!E84)),IF((12=('V06 Calend 01'!C84+(6*'V06 Calend 01'!E84))),('V06 Calend 01'!H84-('V06 Calend 01'!I84*('V06 Calend 01'!E84-1))),'V06 Calend 01'!I84),0))+IF((12='V06 Calend 01'!D84),'V06 Calend 01'!J84,0))</f>
        <v>0</v>
      </c>
      <c r="Y84" s="2">
        <f>((IF((13='V06 Calend 01'!C84),('V06 Calend 01'!F84+'V06 Calend 01'!G84),0)+IF(AND(('V06 Calend 01'!E84&gt;0),(13&gt;'V06 Calend 01'!C84),(13&lt;'V06 Calend 01'!D84),(MOD((13-'V06 Calend 01'!C84),6)=0),(((13-'V06 Calend 01'!C84)/6)&lt;='V06 Calend 01'!E84)),IF((13=('V06 Calend 01'!C84+(6*'V06 Calend 01'!E84))),('V06 Calend 01'!H84-('V06 Calend 01'!I84*('V06 Calend 01'!E84-1))),'V06 Calend 01'!I84),0))+IF((13='V06 Calend 01'!D84),'V06 Calend 01'!J84,0))</f>
        <v>172607.32</v>
      </c>
      <c r="Z84" s="2">
        <f>((IF((14='V06 Calend 01'!C84),('V06 Calend 01'!F84+'V06 Calend 01'!G84),0)+IF(AND(('V06 Calend 01'!E84&gt;0),(14&gt;'V06 Calend 01'!C84),(14&lt;'V06 Calend 01'!D84),(MOD((14-'V06 Calend 01'!C84),6)=0),(((14-'V06 Calend 01'!C84)/6)&lt;='V06 Calend 01'!E84)),IF((14=('V06 Calend 01'!C84+(6*'V06 Calend 01'!E84))),('V06 Calend 01'!H84-('V06 Calend 01'!I84*('V06 Calend 01'!E84-1))),'V06 Calend 01'!I84),0))+IF((14='V06 Calend 01'!D84),'V06 Calend 01'!J84,0))</f>
        <v>0</v>
      </c>
      <c r="AA84" s="2">
        <f>((IF((15='V06 Calend 01'!C84),('V06 Calend 01'!F84+'V06 Calend 01'!G84),0)+IF(AND(('V06 Calend 01'!E84&gt;0),(15&gt;'V06 Calend 01'!C84),(15&lt;'V06 Calend 01'!D84),(MOD((15-'V06 Calend 01'!C84),6)=0),(((15-'V06 Calend 01'!C84)/6)&lt;='V06 Calend 01'!E84)),IF((15=('V06 Calend 01'!C84+(6*'V06 Calend 01'!E84))),('V06 Calend 01'!H84-('V06 Calend 01'!I84*('V06 Calend 01'!E84-1))),'V06 Calend 01'!I84),0))+IF((15='V06 Calend 01'!D84),'V06 Calend 01'!J84,0))</f>
        <v>0</v>
      </c>
      <c r="AB84" s="2">
        <f>((IF((16='V06 Calend 01'!C84),('V06 Calend 01'!F84+'V06 Calend 01'!G84),0)+IF(AND(('V06 Calend 01'!E84&gt;0),(16&gt;'V06 Calend 01'!C84),(16&lt;'V06 Calend 01'!D84),(MOD((16-'V06 Calend 01'!C84),6)=0),(((16-'V06 Calend 01'!C84)/6)&lt;='V06 Calend 01'!E84)),IF((16=('V06 Calend 01'!C84+(6*'V06 Calend 01'!E84))),('V06 Calend 01'!H84-('V06 Calend 01'!I84*('V06 Calend 01'!E84-1))),'V06 Calend 01'!I84),0))+IF((16='V06 Calend 01'!D84),'V06 Calend 01'!J84,0))</f>
        <v>0</v>
      </c>
      <c r="AC84" s="2">
        <f>((IF((17='V06 Calend 01'!C84),('V06 Calend 01'!F84+'V06 Calend 01'!G84),0)+IF(AND(('V06 Calend 01'!E84&gt;0),(17&gt;'V06 Calend 01'!C84),(17&lt;'V06 Calend 01'!D84),(MOD((17-'V06 Calend 01'!C84),6)=0),(((17-'V06 Calend 01'!C84)/6)&lt;='V06 Calend 01'!E84)),IF((17=('V06 Calend 01'!C84+(6*'V06 Calend 01'!E84))),('V06 Calend 01'!H84-('V06 Calend 01'!I84*('V06 Calend 01'!E84-1))),'V06 Calend 01'!I84),0))+IF((17='V06 Calend 01'!D84),'V06 Calend 01'!J84,0))</f>
        <v>0</v>
      </c>
      <c r="AD84" s="2">
        <f>((IF((18='V06 Calend 01'!C84),('V06 Calend 01'!F84+'V06 Calend 01'!G84),0)+IF(AND(('V06 Calend 01'!E84&gt;0),(18&gt;'V06 Calend 01'!C84),(18&lt;'V06 Calend 01'!D84),(MOD((18-'V06 Calend 01'!C84),6)=0),(((18-'V06 Calend 01'!C84)/6)&lt;='V06 Calend 01'!E84)),IF((18=('V06 Calend 01'!C84+(6*'V06 Calend 01'!E84))),('V06 Calend 01'!H84-('V06 Calend 01'!I84*('V06 Calend 01'!E84-1))),'V06 Calend 01'!I84),0))+IF((18='V06 Calend 01'!D84),'V06 Calend 01'!J84,0))</f>
        <v>0</v>
      </c>
      <c r="AE84" s="2">
        <f>((IF((19='V06 Calend 01'!C84),('V06 Calend 01'!F84+'V06 Calend 01'!G84),0)+IF(AND(('V06 Calend 01'!E84&gt;0),(19&gt;'V06 Calend 01'!C84),(19&lt;'V06 Calend 01'!D84),(MOD((19-'V06 Calend 01'!C84),6)=0),(((19-'V06 Calend 01'!C84)/6)&lt;='V06 Calend 01'!E84)),IF((19=('V06 Calend 01'!C84+(6*'V06 Calend 01'!E84))),('V06 Calend 01'!H84-('V06 Calend 01'!I84*('V06 Calend 01'!E84-1))),'V06 Calend 01'!I84),0))+IF((19='V06 Calend 01'!D84),'V06 Calend 01'!J84,0))</f>
        <v>172607.32</v>
      </c>
      <c r="AF84" s="2">
        <f>((IF((20='V06 Calend 01'!C84),('V06 Calend 01'!F84+'V06 Calend 01'!G84),0)+IF(AND(('V06 Calend 01'!E84&gt;0),(20&gt;'V06 Calend 01'!C84),(20&lt;'V06 Calend 01'!D84),(MOD((20-'V06 Calend 01'!C84),6)=0),(((20-'V06 Calend 01'!C84)/6)&lt;='V06 Calend 01'!E84)),IF((20=('V06 Calend 01'!C84+(6*'V06 Calend 01'!E84))),('V06 Calend 01'!H84-('V06 Calend 01'!I84*('V06 Calend 01'!E84-1))),'V06 Calend 01'!I84),0))+IF((20='V06 Calend 01'!D84),'V06 Calend 01'!J84,0))</f>
        <v>0</v>
      </c>
      <c r="AG84" s="2">
        <f>((IF((21='V06 Calend 01'!C84),('V06 Calend 01'!F84+'V06 Calend 01'!G84),0)+IF(AND(('V06 Calend 01'!E84&gt;0),(21&gt;'V06 Calend 01'!C84),(21&lt;'V06 Calend 01'!D84),(MOD((21-'V06 Calend 01'!C84),6)=0),(((21-'V06 Calend 01'!C84)/6)&lt;='V06 Calend 01'!E84)),IF((21=('V06 Calend 01'!C84+(6*'V06 Calend 01'!E84))),('V06 Calend 01'!H84-('V06 Calend 01'!I84*('V06 Calend 01'!E84-1))),'V06 Calend 01'!I84),0))+IF((21='V06 Calend 01'!D84),'V06 Calend 01'!J84,0))</f>
        <v>0</v>
      </c>
      <c r="AH84" s="2">
        <f>((IF((22='V06 Calend 01'!C84),('V06 Calend 01'!F84+'V06 Calend 01'!G84),0)+IF(AND(('V06 Calend 01'!E84&gt;0),(22&gt;'V06 Calend 01'!C84),(22&lt;'V06 Calend 01'!D84),(MOD((22-'V06 Calend 01'!C84),6)=0),(((22-'V06 Calend 01'!C84)/6)&lt;='V06 Calend 01'!E84)),IF((22=('V06 Calend 01'!C84+(6*'V06 Calend 01'!E84))),('V06 Calend 01'!H84-('V06 Calend 01'!I84*('V06 Calend 01'!E84-1))),'V06 Calend 01'!I84),0))+IF((22='V06 Calend 01'!D84),'V06 Calend 01'!J84,0))</f>
        <v>0</v>
      </c>
      <c r="AI84" s="2">
        <f>((IF((23='V06 Calend 01'!C84),('V06 Calend 01'!F84+'V06 Calend 01'!G84),0)+IF(AND(('V06 Calend 01'!E84&gt;0),(23&gt;'V06 Calend 01'!C84),(23&lt;'V06 Calend 01'!D84),(MOD((23-'V06 Calend 01'!C84),6)=0),(((23-'V06 Calend 01'!C84)/6)&lt;='V06 Calend 01'!E84)),IF((23=('V06 Calend 01'!C84+(6*'V06 Calend 01'!E84))),('V06 Calend 01'!H84-('V06 Calend 01'!I84*('V06 Calend 01'!E84-1))),'V06 Calend 01'!I84),0))+IF((23='V06 Calend 01'!D84),'V06 Calend 01'!J84,0))</f>
        <v>0</v>
      </c>
      <c r="AJ84" s="2">
        <f>((IF((24='V06 Calend 01'!C84),('V06 Calend 01'!F84+'V06 Calend 01'!G84),0)+IF(AND(('V06 Calend 01'!E84&gt;0),(24&gt;'V06 Calend 01'!C84),(24&lt;'V06 Calend 01'!D84),(MOD((24-'V06 Calend 01'!C84),6)=0),(((24-'V06 Calend 01'!C84)/6)&lt;='V06 Calend 01'!E84)),IF((24=('V06 Calend 01'!C84+(6*'V06 Calend 01'!E84))),('V06 Calend 01'!H84-('V06 Calend 01'!I84*('V06 Calend 01'!E84-1))),'V06 Calend 01'!I84),0))+IF((24='V06 Calend 01'!D84),'V06 Calend 01'!J84,0))</f>
        <v>0</v>
      </c>
      <c r="AK84" s="2">
        <f>((IF((25='V06 Calend 01'!C84),('V06 Calend 01'!F84+'V06 Calend 01'!G84),0)+IF(AND(('V06 Calend 01'!E84&gt;0),(25&gt;'V06 Calend 01'!C84),(25&lt;'V06 Calend 01'!D84),(MOD((25-'V06 Calend 01'!C84),6)=0),(((25-'V06 Calend 01'!C84)/6)&lt;='V06 Calend 01'!E84)),IF((25=('V06 Calend 01'!C84+(6*'V06 Calend 01'!E84))),('V06 Calend 01'!H84-('V06 Calend 01'!I84*('V06 Calend 01'!E84-1))),'V06 Calend 01'!I84),0))+IF((25='V06 Calend 01'!D84),'V06 Calend 01'!J84,0))</f>
        <v>172607.31</v>
      </c>
      <c r="AL84" s="2">
        <f>((IF((26='V06 Calend 01'!C84),('V06 Calend 01'!F84+'V06 Calend 01'!G84),0)+IF(AND(('V06 Calend 01'!E84&gt;0),(26&gt;'V06 Calend 01'!C84),(26&lt;'V06 Calend 01'!D84),(MOD((26-'V06 Calend 01'!C84),6)=0),(((26-'V06 Calend 01'!C84)/6)&lt;='V06 Calend 01'!E84)),IF((26=('V06 Calend 01'!C84+(6*'V06 Calend 01'!E84))),('V06 Calend 01'!H84-('V06 Calend 01'!I84*('V06 Calend 01'!E84-1))),'V06 Calend 01'!I84),0))+IF((26='V06 Calend 01'!D84),'V06 Calend 01'!J84,0))</f>
        <v>0</v>
      </c>
      <c r="AM84" s="2">
        <f>((IF((27='V06 Calend 01'!C84),('V06 Calend 01'!F84+'V06 Calend 01'!G84),0)+IF(AND(('V06 Calend 01'!E84&gt;0),(27&gt;'V06 Calend 01'!C84),(27&lt;'V06 Calend 01'!D84),(MOD((27-'V06 Calend 01'!C84),6)=0),(((27-'V06 Calend 01'!C84)/6)&lt;='V06 Calend 01'!E84)),IF((27=('V06 Calend 01'!C84+(6*'V06 Calend 01'!E84))),('V06 Calend 01'!H84-('V06 Calend 01'!I84*('V06 Calend 01'!E84-1))),'V06 Calend 01'!I84),0))+IF((27='V06 Calend 01'!D84),'V06 Calend 01'!J84,0))</f>
        <v>0</v>
      </c>
      <c r="AN84" s="2">
        <f>((IF((28='V06 Calend 01'!C84),('V06 Calend 01'!F84+'V06 Calend 01'!G84),0)+IF(AND(('V06 Calend 01'!E84&gt;0),(28&gt;'V06 Calend 01'!C84),(28&lt;'V06 Calend 01'!D84),(MOD((28-'V06 Calend 01'!C84),6)=0),(((28-'V06 Calend 01'!C84)/6)&lt;='V06 Calend 01'!E84)),IF((28=('V06 Calend 01'!C84+(6*'V06 Calend 01'!E84))),('V06 Calend 01'!H84-('V06 Calend 01'!I84*('V06 Calend 01'!E84-1))),'V06 Calend 01'!I84),0))+IF((28='V06 Calend 01'!D84),'V06 Calend 01'!J84,0))</f>
        <v>0</v>
      </c>
      <c r="AO84" s="2">
        <f>((IF((29='V06 Calend 01'!C84),('V06 Calend 01'!F84+'V06 Calend 01'!G84),0)+IF(AND(('V06 Calend 01'!E84&gt;0),(29&gt;'V06 Calend 01'!C84),(29&lt;'V06 Calend 01'!D84),(MOD((29-'V06 Calend 01'!C84),6)=0),(((29-'V06 Calend 01'!C84)/6)&lt;='V06 Calend 01'!E84)),IF((29=('V06 Calend 01'!C84+(6*'V06 Calend 01'!E84))),('V06 Calend 01'!H84-('V06 Calend 01'!I84*('V06 Calend 01'!E84-1))),'V06 Calend 01'!I84),0))+IF((29='V06 Calend 01'!D84),'V06 Calend 01'!J84,0))</f>
        <v>188298.89999999997</v>
      </c>
      <c r="AP84" s="2">
        <f>((IF((30='V06 Calend 01'!C84),('V06 Calend 01'!F84+'V06 Calend 01'!G84),0)+IF(AND(('V06 Calend 01'!E84&gt;0),(30&gt;'V06 Calend 01'!C84),(30&lt;'V06 Calend 01'!D84),(MOD((30-'V06 Calend 01'!C84),6)=0),(((30-'V06 Calend 01'!C84)/6)&lt;='V06 Calend 01'!E84)),IF((30=('V06 Calend 01'!C84+(6*'V06 Calend 01'!E84))),('V06 Calend 01'!H84-('V06 Calend 01'!I84*('V06 Calend 01'!E84-1))),'V06 Calend 01'!I84),0))+IF((30='V06 Calend 01'!D84),'V06 Calend 01'!J84,0))</f>
        <v>0</v>
      </c>
      <c r="AQ84" s="2">
        <f>((IF((31='V06 Calend 01'!C84),('V06 Calend 01'!F84+'V06 Calend 01'!G84),0)+IF(AND(('V06 Calend 01'!E84&gt;0),(31&gt;'V06 Calend 01'!C84),(31&lt;'V06 Calend 01'!D84),(MOD((31-'V06 Calend 01'!C84),6)=0),(((31-'V06 Calend 01'!C84)/6)&lt;='V06 Calend 01'!E84)),IF((31=('V06 Calend 01'!C84+(6*'V06 Calend 01'!E84))),('V06 Calend 01'!H84-('V06 Calend 01'!I84*('V06 Calend 01'!E84-1))),'V06 Calend 01'!I84),0))+IF((31='V06 Calend 01'!D84),'V06 Calend 01'!J84,0))</f>
        <v>0</v>
      </c>
      <c r="AR84" s="2">
        <f>((IF((32='V06 Calend 01'!C84),('V06 Calend 01'!F84+'V06 Calend 01'!G84),0)+IF(AND(('V06 Calend 01'!E84&gt;0),(32&gt;'V06 Calend 01'!C84),(32&lt;'V06 Calend 01'!D84),(MOD((32-'V06 Calend 01'!C84),6)=0),(((32-'V06 Calend 01'!C84)/6)&lt;='V06 Calend 01'!E84)),IF((32=('V06 Calend 01'!C84+(6*'V06 Calend 01'!E84))),('V06 Calend 01'!H84-('V06 Calend 01'!I84*('V06 Calend 01'!E84-1))),'V06 Calend 01'!I84),0))+IF((32='V06 Calend 01'!D84),'V06 Calend 01'!J84,0))</f>
        <v>0</v>
      </c>
      <c r="AS84" s="2">
        <f>((IF((33='V06 Calend 01'!C84),('V06 Calend 01'!F84+'V06 Calend 01'!G84),0)+IF(AND(('V06 Calend 01'!E84&gt;0),(33&gt;'V06 Calend 01'!C84),(33&lt;'V06 Calend 01'!D84),(MOD((33-'V06 Calend 01'!C84),6)=0),(((33-'V06 Calend 01'!C84)/6)&lt;='V06 Calend 01'!E84)),IF((33=('V06 Calend 01'!C84+(6*'V06 Calend 01'!E84))),('V06 Calend 01'!H84-('V06 Calend 01'!I84*('V06 Calend 01'!E84-1))),'V06 Calend 01'!I84),0))+IF((33='V06 Calend 01'!D84),'V06 Calend 01'!J84,0))</f>
        <v>0</v>
      </c>
      <c r="AT84" s="2">
        <f>((IF((34='V06 Calend 01'!C84),('V06 Calend 01'!F84+'V06 Calend 01'!G84),0)+IF(AND(('V06 Calend 01'!E84&gt;0),(34&gt;'V06 Calend 01'!C84),(34&lt;'V06 Calend 01'!D84),(MOD((34-'V06 Calend 01'!C84),6)=0),(((34-'V06 Calend 01'!C84)/6)&lt;='V06 Calend 01'!E84)),IF((34=('V06 Calend 01'!C84+(6*'V06 Calend 01'!E84))),('V06 Calend 01'!H84-('V06 Calend 01'!I84*('V06 Calend 01'!E84-1))),'V06 Calend 01'!I84),0))+IF((34='V06 Calend 01'!D84),'V06 Calend 01'!J84,0))</f>
        <v>0</v>
      </c>
      <c r="AU84" s="2">
        <f>((IF((35='V06 Calend 01'!C84),('V06 Calend 01'!F84+'V06 Calend 01'!G84),0)+IF(AND(('V06 Calend 01'!E84&gt;0),(35&gt;'V06 Calend 01'!C84),(35&lt;'V06 Calend 01'!D84),(MOD((35-'V06 Calend 01'!C84),6)=0),(((35-'V06 Calend 01'!C84)/6)&lt;='V06 Calend 01'!E84)),IF((35=('V06 Calend 01'!C84+(6*'V06 Calend 01'!E84))),('V06 Calend 01'!H84-('V06 Calend 01'!I84*('V06 Calend 01'!E84-1))),'V06 Calend 01'!I84),0))+IF((35='V06 Calend 01'!D84),'V06 Calend 01'!J84,0))</f>
        <v>0</v>
      </c>
      <c r="AV84" s="2">
        <f>((IF((36='V06 Calend 01'!C84),('V06 Calend 01'!F84+'V06 Calend 01'!G84),0)+IF(AND(('V06 Calend 01'!E84&gt;0),(36&gt;'V06 Calend 01'!C84),(36&lt;'V06 Calend 01'!D84),(MOD((36-'V06 Calend 01'!C84),6)=0),(((36-'V06 Calend 01'!C84)/6)&lt;='V06 Calend 01'!E84)),IF((36=('V06 Calend 01'!C84+(6*'V06 Calend 01'!E84))),('V06 Calend 01'!H84-('V06 Calend 01'!I84*('V06 Calend 01'!E84-1))),'V06 Calend 01'!I84),0))+IF((36='V06 Calend 01'!D84),'V06 Calend 01'!J84,0))</f>
        <v>0</v>
      </c>
      <c r="AW84" s="2">
        <f>((IF((37='V06 Calend 01'!C84),('V06 Calend 01'!F84+'V06 Calend 01'!G84),0)+IF(AND(('V06 Calend 01'!E84&gt;0),(37&gt;'V06 Calend 01'!C84),(37&lt;'V06 Calend 01'!D84),(MOD((37-'V06 Calend 01'!C84),6)=0),(((37-'V06 Calend 01'!C84)/6)&lt;='V06 Calend 01'!E84)),IF((37=('V06 Calend 01'!C84+(6*'V06 Calend 01'!E84))),('V06 Calend 01'!H84-('V06 Calend 01'!I84*('V06 Calend 01'!E84-1))),'V06 Calend 01'!I84),0))+IF((37='V06 Calend 01'!D84),'V06 Calend 01'!J84,0))</f>
        <v>0</v>
      </c>
      <c r="AX84" s="2">
        <f>((IF((38='V06 Calend 01'!C84),('V06 Calend 01'!F84+'V06 Calend 01'!G84),0)+IF(AND(('V06 Calend 01'!E84&gt;0),(38&gt;'V06 Calend 01'!C84),(38&lt;'V06 Calend 01'!D84),(MOD((38-'V06 Calend 01'!C84),6)=0),(((38-'V06 Calend 01'!C84)/6)&lt;='V06 Calend 01'!E84)),IF((38=('V06 Calend 01'!C84+(6*'V06 Calend 01'!E84))),('V06 Calend 01'!H84-('V06 Calend 01'!I84*('V06 Calend 01'!E84-1))),'V06 Calend 01'!I84),0))+IF((38='V06 Calend 01'!D84),'V06 Calend 01'!J84,0))</f>
        <v>0</v>
      </c>
      <c r="AY84" s="2">
        <f>((IF((39='V06 Calend 01'!C84),('V06 Calend 01'!F84+'V06 Calend 01'!G84),0)+IF(AND(('V06 Calend 01'!E84&gt;0),(39&gt;'V06 Calend 01'!C84),(39&lt;'V06 Calend 01'!D84),(MOD((39-'V06 Calend 01'!C84),6)=0),(((39-'V06 Calend 01'!C84)/6)&lt;='V06 Calend 01'!E84)),IF((39=('V06 Calend 01'!C84+(6*'V06 Calend 01'!E84))),('V06 Calend 01'!H84-('V06 Calend 01'!I84*('V06 Calend 01'!E84-1))),'V06 Calend 01'!I84),0))+IF((39='V06 Calend 01'!D84),'V06 Calend 01'!J84,0))</f>
        <v>0</v>
      </c>
      <c r="AZ84" s="2">
        <f>((IF((40='V06 Calend 01'!C84),('V06 Calend 01'!F84+'V06 Calend 01'!G84),0)+IF(AND(('V06 Calend 01'!E84&gt;0),(40&gt;'V06 Calend 01'!C84),(40&lt;'V06 Calend 01'!D84),(MOD((40-'V06 Calend 01'!C84),6)=0),(((40-'V06 Calend 01'!C84)/6)&lt;='V06 Calend 01'!E84)),IF((40=('V06 Calend 01'!C84+(6*'V06 Calend 01'!E84))),('V06 Calend 01'!H84-('V06 Calend 01'!I84*('V06 Calend 01'!E84-1))),'V06 Calend 01'!I84),0))+IF((40='V06 Calend 01'!D84),'V06 Calend 01'!J84,0))</f>
        <v>0</v>
      </c>
      <c r="BA84" s="2">
        <f>((IF((41='V06 Calend 01'!C84),('V06 Calend 01'!F84+'V06 Calend 01'!G84),0)+IF(AND(('V06 Calend 01'!E84&gt;0),(41&gt;'V06 Calend 01'!C84),(41&lt;'V06 Calend 01'!D84),(MOD((41-'V06 Calend 01'!C84),6)=0),(((41-'V06 Calend 01'!C84)/6)&lt;='V06 Calend 01'!E84)),IF((41=('V06 Calend 01'!C84+(6*'V06 Calend 01'!E84))),('V06 Calend 01'!H84-('V06 Calend 01'!I84*('V06 Calend 01'!E84-1))),'V06 Calend 01'!I84),0))+IF((41='V06 Calend 01'!D84),'V06 Calend 01'!J84,0))</f>
        <v>0</v>
      </c>
      <c r="BB84" s="2">
        <f>((IF((42='V06 Calend 01'!C84),('V06 Calend 01'!F84+'V06 Calend 01'!G84),0)+IF(AND(('V06 Calend 01'!E84&gt;0),(42&gt;'V06 Calend 01'!C84),(42&lt;'V06 Calend 01'!D84),(MOD((42-'V06 Calend 01'!C84),6)=0),(((42-'V06 Calend 01'!C84)/6)&lt;='V06 Calend 01'!E84)),IF((42=('V06 Calend 01'!C84+(6*'V06 Calend 01'!E84))),('V06 Calend 01'!H84-('V06 Calend 01'!I84*('V06 Calend 01'!E84-1))),'V06 Calend 01'!I84),0))+IF((42='V06 Calend 01'!D84),'V06 Calend 01'!J84,0))</f>
        <v>0</v>
      </c>
      <c r="BC84" s="2">
        <f>((IF((43='V06 Calend 01'!C84),('V06 Calend 01'!F84+'V06 Calend 01'!G84),0)+IF(AND(('V06 Calend 01'!E84&gt;0),(43&gt;'V06 Calend 01'!C84),(43&lt;'V06 Calend 01'!D84),(MOD((43-'V06 Calend 01'!C84),6)=0),(((43-'V06 Calend 01'!C84)/6)&lt;='V06 Calend 01'!E84)),IF((43=('V06 Calend 01'!C84+(6*'V06 Calend 01'!E84))),('V06 Calend 01'!H84-('V06 Calend 01'!I84*('V06 Calend 01'!E84-1))),'V06 Calend 01'!I84),0))+IF((43='V06 Calend 01'!D84),'V06 Calend 01'!J84,0))</f>
        <v>0</v>
      </c>
      <c r="BD84" s="2">
        <f>((IF((44='V06 Calend 01'!C84),('V06 Calend 01'!F84+'V06 Calend 01'!G84),0)+IF(AND(('V06 Calend 01'!E84&gt;0),(44&gt;'V06 Calend 01'!C84),(44&lt;'V06 Calend 01'!D84),(MOD((44-'V06 Calend 01'!C84),6)=0),(((44-'V06 Calend 01'!C84)/6)&lt;='V06 Calend 01'!E84)),IF((44=('V06 Calend 01'!C84+(6*'V06 Calend 01'!E84))),('V06 Calend 01'!H84-('V06 Calend 01'!I84*('V06 Calend 01'!E84-1))),'V06 Calend 01'!I84),0))+IF((44='V06 Calend 01'!D84),'V06 Calend 01'!J84,0))</f>
        <v>0</v>
      </c>
      <c r="BE84" s="2">
        <f>((IF((45='V06 Calend 01'!C84),('V06 Calend 01'!F84+'V06 Calend 01'!G84),0)+IF(AND(('V06 Calend 01'!E84&gt;0),(45&gt;'V06 Calend 01'!C84),(45&lt;'V06 Calend 01'!D84),(MOD((45-'V06 Calend 01'!C84),6)=0),(((45-'V06 Calend 01'!C84)/6)&lt;='V06 Calend 01'!E84)),IF((45=('V06 Calend 01'!C84+(6*'V06 Calend 01'!E84))),('V06 Calend 01'!H84-('V06 Calend 01'!I84*('V06 Calend 01'!E84-1))),'V06 Calend 01'!I84),0))+IF((45='V06 Calend 01'!D84),'V06 Calend 01'!J84,0))</f>
        <v>0</v>
      </c>
      <c r="BF84" s="2">
        <f>((IF((46='V06 Calend 01'!C84),('V06 Calend 01'!F84+'V06 Calend 01'!G84),0)+IF(AND(('V06 Calend 01'!E84&gt;0),(46&gt;'V06 Calend 01'!C84),(46&lt;'V06 Calend 01'!D84),(MOD((46-'V06 Calend 01'!C84),6)=0),(((46-'V06 Calend 01'!C84)/6)&lt;='V06 Calend 01'!E84)),IF((46=('V06 Calend 01'!C84+(6*'V06 Calend 01'!E84))),('V06 Calend 01'!H84-('V06 Calend 01'!I84*('V06 Calend 01'!E84-1))),'V06 Calend 01'!I84),0))+IF((46='V06 Calend 01'!D84),'V06 Calend 01'!J84,0))</f>
        <v>0</v>
      </c>
      <c r="BG84" s="2">
        <f>((IF((47='V06 Calend 01'!C84),('V06 Calend 01'!F84+'V06 Calend 01'!G84),0)+IF(AND(('V06 Calend 01'!E84&gt;0),(47&gt;'V06 Calend 01'!C84),(47&lt;'V06 Calend 01'!D84),(MOD((47-'V06 Calend 01'!C84),6)=0),(((47-'V06 Calend 01'!C84)/6)&lt;='V06 Calend 01'!E84)),IF((47=('V06 Calend 01'!C84+(6*'V06 Calend 01'!E84))),('V06 Calend 01'!H84-('V06 Calend 01'!I84*('V06 Calend 01'!E84-1))),'V06 Calend 01'!I84),0))+IF((47='V06 Calend 01'!D84),'V06 Calend 01'!J84,0))</f>
        <v>0</v>
      </c>
      <c r="BH84" s="2">
        <f>((IF((48='V06 Calend 01'!C84),('V06 Calend 01'!F84+'V06 Calend 01'!G84),0)+IF(AND(('V06 Calend 01'!E84&gt;0),(48&gt;'V06 Calend 01'!C84),(48&lt;'V06 Calend 01'!D84),(MOD((48-'V06 Calend 01'!C84),6)=0),(((48-'V06 Calend 01'!C84)/6)&lt;='V06 Calend 01'!E84)),IF((48=('V06 Calend 01'!C84+(6*'V06 Calend 01'!E84))),('V06 Calend 01'!H84-('V06 Calend 01'!I84*('V06 Calend 01'!E84-1))),'V06 Calend 01'!I84),0))+IF((48='V06 Calend 01'!D84),'V06 Calend 01'!J84,0))</f>
        <v>0</v>
      </c>
      <c r="BI84" s="2">
        <f>((IF((49='V06 Calend 01'!C84),('V06 Calend 01'!F84+'V06 Calend 01'!G84),0)+IF(AND(('V06 Calend 01'!E84&gt;0),(49&gt;'V06 Calend 01'!C84),(49&lt;'V06 Calend 01'!D84),(MOD((49-'V06 Calend 01'!C84),6)=0),(((49-'V06 Calend 01'!C84)/6)&lt;='V06 Calend 01'!E84)),IF((49=('V06 Calend 01'!C84+(6*'V06 Calend 01'!E84))),('V06 Calend 01'!H84-('V06 Calend 01'!I84*('V06 Calend 01'!E84-1))),'V06 Calend 01'!I84),0))+IF((49='V06 Calend 01'!D84),'V06 Calend 01'!J84,0))</f>
        <v>0</v>
      </c>
      <c r="BJ84" s="2">
        <f>((IF((50='V06 Calend 01'!C84),('V06 Calend 01'!F84+'V06 Calend 01'!G84),0)+IF(AND(('V06 Calend 01'!E84&gt;0),(50&gt;'V06 Calend 01'!C84),(50&lt;'V06 Calend 01'!D84),(MOD((50-'V06 Calend 01'!C84),6)=0),(((50-'V06 Calend 01'!C84)/6)&lt;='V06 Calend 01'!E84)),IF((50=('V06 Calend 01'!C84+(6*'V06 Calend 01'!E84))),('V06 Calend 01'!H84-('V06 Calend 01'!I84*('V06 Calend 01'!E84-1))),'V06 Calend 01'!I84),0))+IF((50='V06 Calend 01'!D84),'V06 Calend 01'!J84,0))</f>
        <v>0</v>
      </c>
      <c r="BK84" s="2">
        <f>((IF((51='V06 Calend 01'!C84),('V06 Calend 01'!F84+'V06 Calend 01'!G84),0)+IF(AND(('V06 Calend 01'!E84&gt;0),(51&gt;'V06 Calend 01'!C84),(51&lt;'V06 Calend 01'!D84),(MOD((51-'V06 Calend 01'!C84),6)=0),(((51-'V06 Calend 01'!C84)/6)&lt;='V06 Calend 01'!E84)),IF((51=('V06 Calend 01'!C84+(6*'V06 Calend 01'!E84))),('V06 Calend 01'!H84-('V06 Calend 01'!I84*('V06 Calend 01'!E84-1))),'V06 Calend 01'!I84),0))+IF((51='V06 Calend 01'!D84),'V06 Calend 01'!J84,0))</f>
        <v>0</v>
      </c>
      <c r="BL84" s="2">
        <f>((IF((52='V06 Calend 01'!C84),('V06 Calend 01'!F84+'V06 Calend 01'!G84),0)+IF(AND(('V06 Calend 01'!E84&gt;0),(52&gt;'V06 Calend 01'!C84),(52&lt;'V06 Calend 01'!D84),(MOD((52-'V06 Calend 01'!C84),6)=0),(((52-'V06 Calend 01'!C84)/6)&lt;='V06 Calend 01'!E84)),IF((52=('V06 Calend 01'!C84+(6*'V06 Calend 01'!E84))),('V06 Calend 01'!H84-('V06 Calend 01'!I84*('V06 Calend 01'!E84-1))),'V06 Calend 01'!I84),0))+IF((52='V06 Calend 01'!D84),'V06 Calend 01'!J84,0))</f>
        <v>0</v>
      </c>
      <c r="BM84" s="2">
        <f>((IF((53='V06 Calend 01'!C84),('V06 Calend 01'!F84+'V06 Calend 01'!G84),0)+IF(AND(('V06 Calend 01'!E84&gt;0),(53&gt;'V06 Calend 01'!C84),(53&lt;'V06 Calend 01'!D84),(MOD((53-'V06 Calend 01'!C84),6)=0),(((53-'V06 Calend 01'!C84)/6)&lt;='V06 Calend 01'!E84)),IF((53=('V06 Calend 01'!C84+(6*'V06 Calend 01'!E84))),('V06 Calend 01'!H84-('V06 Calend 01'!I84*('V06 Calend 01'!E84-1))),'V06 Calend 01'!I84),0))+IF((53='V06 Calend 01'!D84),'V06 Calend 01'!J84,0))</f>
        <v>0</v>
      </c>
      <c r="BN84" s="2">
        <f>((IF((54='V06 Calend 01'!C84),('V06 Calend 01'!F84+'V06 Calend 01'!G84),0)+IF(AND(('V06 Calend 01'!E84&gt;0),(54&gt;'V06 Calend 01'!C84),(54&lt;'V06 Calend 01'!D84),(MOD((54-'V06 Calend 01'!C84),6)=0),(((54-'V06 Calend 01'!C84)/6)&lt;='V06 Calend 01'!E84)),IF((54=('V06 Calend 01'!C84+(6*'V06 Calend 01'!E84))),('V06 Calend 01'!H84-('V06 Calend 01'!I84*('V06 Calend 01'!E84-1))),'V06 Calend 01'!I84),0))+IF((54='V06 Calend 01'!D84),'V06 Calend 01'!J84,0))</f>
        <v>0</v>
      </c>
      <c r="BO84" s="2">
        <f>((IF((55='V06 Calend 01'!C84),('V06 Calend 01'!F84+'V06 Calend 01'!G84),0)+IF(AND(('V06 Calend 01'!E84&gt;0),(55&gt;'V06 Calend 01'!C84),(55&lt;'V06 Calend 01'!D84),(MOD((55-'V06 Calend 01'!C84),6)=0),(((55-'V06 Calend 01'!C84)/6)&lt;='V06 Calend 01'!E84)),IF((55=('V06 Calend 01'!C84+(6*'V06 Calend 01'!E84))),('V06 Calend 01'!H84-('V06 Calend 01'!I84*('V06 Calend 01'!E84-1))),'V06 Calend 01'!I84),0))+IF((55='V06 Calend 01'!D84),'V06 Calend 01'!J84,0))</f>
        <v>0</v>
      </c>
      <c r="BP84" s="2">
        <f>((IF((56='V06 Calend 01'!C84),('V06 Calend 01'!F84+'V06 Calend 01'!G84),0)+IF(AND(('V06 Calend 01'!E84&gt;0),(56&gt;'V06 Calend 01'!C84),(56&lt;'V06 Calend 01'!D84),(MOD((56-'V06 Calend 01'!C84),6)=0),(((56-'V06 Calend 01'!C84)/6)&lt;='V06 Calend 01'!E84)),IF((56=('V06 Calend 01'!C84+(6*'V06 Calend 01'!E84))),('V06 Calend 01'!H84-('V06 Calend 01'!I84*('V06 Calend 01'!E84-1))),'V06 Calend 01'!I84),0))+IF((56='V06 Calend 01'!D84),'V06 Calend 01'!J84,0))</f>
        <v>0</v>
      </c>
      <c r="BQ84" s="2">
        <f>((IF((57='V06 Calend 01'!C84),('V06 Calend 01'!F84+'V06 Calend 01'!G84),0)+IF(AND(('V06 Calend 01'!E84&gt;0),(57&gt;'V06 Calend 01'!C84),(57&lt;'V06 Calend 01'!D84),(MOD((57-'V06 Calend 01'!C84),6)=0),(((57-'V06 Calend 01'!C84)/6)&lt;='V06 Calend 01'!E84)),IF((57=('V06 Calend 01'!C84+(6*'V06 Calend 01'!E84))),('V06 Calend 01'!H84-('V06 Calend 01'!I84*('V06 Calend 01'!E84-1))),'V06 Calend 01'!I84),0))+IF((57='V06 Calend 01'!D84),'V06 Calend 01'!J84,0))</f>
        <v>0</v>
      </c>
      <c r="BR84" s="2">
        <f>((IF((58='V06 Calend 01'!C84),('V06 Calend 01'!F84+'V06 Calend 01'!G84),0)+IF(AND(('V06 Calend 01'!E84&gt;0),(58&gt;'V06 Calend 01'!C84),(58&lt;'V06 Calend 01'!D84),(MOD((58-'V06 Calend 01'!C84),6)=0),(((58-'V06 Calend 01'!C84)/6)&lt;='V06 Calend 01'!E84)),IF((58=('V06 Calend 01'!C84+(6*'V06 Calend 01'!E84))),('V06 Calend 01'!H84-('V06 Calend 01'!I84*('V06 Calend 01'!E84-1))),'V06 Calend 01'!I84),0))+IF((58='V06 Calend 01'!D84),'V06 Calend 01'!J84,0))</f>
        <v>0</v>
      </c>
      <c r="BS84" s="2">
        <f>((IF((59='V06 Calend 01'!C84),('V06 Calend 01'!F84+'V06 Calend 01'!G84),0)+IF(AND(('V06 Calend 01'!E84&gt;0),(59&gt;'V06 Calend 01'!C84),(59&lt;'V06 Calend 01'!D84),(MOD((59-'V06 Calend 01'!C84),6)=0),(((59-'V06 Calend 01'!C84)/6)&lt;='V06 Calend 01'!E84)),IF((59=('V06 Calend 01'!C84+(6*'V06 Calend 01'!E84))),('V06 Calend 01'!H84-('V06 Calend 01'!I84*('V06 Calend 01'!E84-1))),'V06 Calend 01'!I84),0))+IF((59='V06 Calend 01'!D84),'V06 Calend 01'!J84,0))</f>
        <v>0</v>
      </c>
      <c r="BT84" s="2">
        <f>((IF((60='V06 Calend 01'!C84),('V06 Calend 01'!F84+'V06 Calend 01'!G84),0)+IF(AND(('V06 Calend 01'!E84&gt;0),(60&gt;'V06 Calend 01'!C84),(60&lt;'V06 Calend 01'!D84),(MOD((60-'V06 Calend 01'!C84),6)=0),(((60-'V06 Calend 01'!C84)/6)&lt;='V06 Calend 01'!E84)),IF((60=('V06 Calend 01'!C84+(6*'V06 Calend 01'!E84))),('V06 Calend 01'!H84-('V06 Calend 01'!I84*('V06 Calend 01'!E84-1))),'V06 Calend 01'!I84),0))+IF((60='V06 Calend 01'!D84),'V06 Calend 01'!J84,0))</f>
        <v>0</v>
      </c>
      <c r="BU84" s="2">
        <f>((IF((61='V06 Calend 01'!C84),('V06 Calend 01'!F84+'V06 Calend 01'!G84),0)+IF(AND(('V06 Calend 01'!E84&gt;0),(61&gt;'V06 Calend 01'!C84),(61&lt;'V06 Calend 01'!D84),(MOD((61-'V06 Calend 01'!C84),6)=0),(((61-'V06 Calend 01'!C84)/6)&lt;='V06 Calend 01'!E84)),IF((61=('V06 Calend 01'!C84+(6*'V06 Calend 01'!E84))),('V06 Calend 01'!H84-('V06 Calend 01'!I84*('V06 Calend 01'!E84-1))),'V06 Calend 01'!I84),0))+IF((61='V06 Calend 01'!D84),'V06 Calend 01'!J84,0))</f>
        <v>0</v>
      </c>
      <c r="BV84" s="2">
        <f>((IF((62='V06 Calend 01'!C84),('V06 Calend 01'!F84+'V06 Calend 01'!G84),0)+IF(AND(('V06 Calend 01'!E84&gt;0),(62&gt;'V06 Calend 01'!C84),(62&lt;'V06 Calend 01'!D84),(MOD((62-'V06 Calend 01'!C84),6)=0),(((62-'V06 Calend 01'!C84)/6)&lt;='V06 Calend 01'!E84)),IF((62=('V06 Calend 01'!C84+(6*'V06 Calend 01'!E84))),('V06 Calend 01'!H84-('V06 Calend 01'!I84*('V06 Calend 01'!E84-1))),'V06 Calend 01'!I84),0))+IF((62='V06 Calend 01'!D84),'V06 Calend 01'!J84,0))</f>
        <v>0</v>
      </c>
      <c r="BW84" s="2">
        <f>((IF((63='V06 Calend 01'!C84),('V06 Calend 01'!F84+'V06 Calend 01'!G84),0)+IF(AND(('V06 Calend 01'!E84&gt;0),(63&gt;'V06 Calend 01'!C84),(63&lt;'V06 Calend 01'!D84),(MOD((63-'V06 Calend 01'!C84),6)=0),(((63-'V06 Calend 01'!C84)/6)&lt;='V06 Calend 01'!E84)),IF((63=('V06 Calend 01'!C84+(6*'V06 Calend 01'!E84))),('V06 Calend 01'!H84-('V06 Calend 01'!I84*('V06 Calend 01'!E84-1))),'V06 Calend 01'!I84),0))+IF((63='V06 Calend 01'!D84),'V06 Calend 01'!J84,0))</f>
        <v>0</v>
      </c>
      <c r="BX84" s="2">
        <f>((IF((64='V06 Calend 01'!C84),('V06 Calend 01'!F84+'V06 Calend 01'!G84),0)+IF(AND(('V06 Calend 01'!E84&gt;0),(64&gt;'V06 Calend 01'!C84),(64&lt;'V06 Calend 01'!D84),(MOD((64-'V06 Calend 01'!C84),6)=0),(((64-'V06 Calend 01'!C84)/6)&lt;='V06 Calend 01'!E84)),IF((64=('V06 Calend 01'!C84+(6*'V06 Calend 01'!E84))),('V06 Calend 01'!H84-('V06 Calend 01'!I84*('V06 Calend 01'!E84-1))),'V06 Calend 01'!I84),0))+IF((64='V06 Calend 01'!D84),'V06 Calend 01'!J84,0))</f>
        <v>0</v>
      </c>
      <c r="BY84" s="2">
        <f>((IF((65='V06 Calend 01'!C84),('V06 Calend 01'!F84+'V06 Calend 01'!G84),0)+IF(AND(('V06 Calend 01'!E84&gt;0),(65&gt;'V06 Calend 01'!C84),(65&lt;'V06 Calend 01'!D84),(MOD((65-'V06 Calend 01'!C84),6)=0),(((65-'V06 Calend 01'!C84)/6)&lt;='V06 Calend 01'!E84)),IF((65=('V06 Calend 01'!C84+(6*'V06 Calend 01'!E84))),('V06 Calend 01'!H84-('V06 Calend 01'!I84*('V06 Calend 01'!E84-1))),'V06 Calend 01'!I84),0))+IF((65='V06 Calend 01'!D84),'V06 Calend 01'!J84,0))</f>
        <v>0</v>
      </c>
      <c r="BZ84" s="2">
        <f>((IF((66='V06 Calend 01'!C84),('V06 Calend 01'!F84+'V06 Calend 01'!G84),0)+IF(AND(('V06 Calend 01'!E84&gt;0),(66&gt;'V06 Calend 01'!C84),(66&lt;'V06 Calend 01'!D84),(MOD((66-'V06 Calend 01'!C84),6)=0),(((66-'V06 Calend 01'!C84)/6)&lt;='V06 Calend 01'!E84)),IF((66=('V06 Calend 01'!C84+(6*'V06 Calend 01'!E84))),('V06 Calend 01'!H84-('V06 Calend 01'!I84*('V06 Calend 01'!E84-1))),'V06 Calend 01'!I84),0))+IF((66='V06 Calend 01'!D84),'V06 Calend 01'!J84,0))</f>
        <v>0</v>
      </c>
      <c r="CA84" s="2">
        <f>((IF((67='V06 Calend 01'!C84),('V06 Calend 01'!F84+'V06 Calend 01'!G84),0)+IF(AND(('V06 Calend 01'!E84&gt;0),(67&gt;'V06 Calend 01'!C84),(67&lt;'V06 Calend 01'!D84),(MOD((67-'V06 Calend 01'!C84),6)=0),(((67-'V06 Calend 01'!C84)/6)&lt;='V06 Calend 01'!E84)),IF((67=('V06 Calend 01'!C84+(6*'V06 Calend 01'!E84))),('V06 Calend 01'!H84-('V06 Calend 01'!I84*('V06 Calend 01'!E84-1))),'V06 Calend 01'!I84),0))+IF((67='V06 Calend 01'!D84),'V06 Calend 01'!J84,0))</f>
        <v>0</v>
      </c>
      <c r="CB84" s="2">
        <f>((IF((68='V06 Calend 01'!C84),('V06 Calend 01'!F84+'V06 Calend 01'!G84),0)+IF(AND(('V06 Calend 01'!E84&gt;0),(68&gt;'V06 Calend 01'!C84),(68&lt;'V06 Calend 01'!D84),(MOD((68-'V06 Calend 01'!C84),6)=0),(((68-'V06 Calend 01'!C84)/6)&lt;='V06 Calend 01'!E84)),IF((68=('V06 Calend 01'!C84+(6*'V06 Calend 01'!E84))),('V06 Calend 01'!H84-('V06 Calend 01'!I84*('V06 Calend 01'!E84-1))),'V06 Calend 01'!I84),0))+IF((68='V06 Calend 01'!D84),'V06 Calend 01'!J84,0))</f>
        <v>0</v>
      </c>
      <c r="CC84" s="2">
        <f>((IF((69='V06 Calend 01'!C84),('V06 Calend 01'!F84+'V06 Calend 01'!G84),0)+IF(AND(('V06 Calend 01'!E84&gt;0),(69&gt;'V06 Calend 01'!C84),(69&lt;'V06 Calend 01'!D84),(MOD((69-'V06 Calend 01'!C84),6)=0),(((69-'V06 Calend 01'!C84)/6)&lt;='V06 Calend 01'!E84)),IF((69=('V06 Calend 01'!C84+(6*'V06 Calend 01'!E84))),('V06 Calend 01'!H84-('V06 Calend 01'!I84*('V06 Calend 01'!E84-1))),'V06 Calend 01'!I84),0))+IF((69='V06 Calend 01'!D84),'V06 Calend 01'!J84,0))</f>
        <v>0</v>
      </c>
      <c r="CD84" s="2">
        <f>((IF((70='V06 Calend 01'!C84),('V06 Calend 01'!F84+'V06 Calend 01'!G84),0)+IF(AND(('V06 Calend 01'!E84&gt;0),(70&gt;'V06 Calend 01'!C84),(70&lt;'V06 Calend 01'!D84),(MOD((70-'V06 Calend 01'!C84),6)=0),(((70-'V06 Calend 01'!C84)/6)&lt;='V06 Calend 01'!E84)),IF((70=('V06 Calend 01'!C84+(6*'V06 Calend 01'!E84))),('V06 Calend 01'!H84-('V06 Calend 01'!I84*('V06 Calend 01'!E84-1))),'V06 Calend 01'!I84),0))+IF((70='V06 Calend 01'!D84),'V06 Calend 01'!J84,0))</f>
        <v>0</v>
      </c>
      <c r="CE84" s="2">
        <f>((IF((71='V06 Calend 01'!C84),('V06 Calend 01'!F84+'V06 Calend 01'!G84),0)+IF(AND(('V06 Calend 01'!E84&gt;0),(71&gt;'V06 Calend 01'!C84),(71&lt;'V06 Calend 01'!D84),(MOD((71-'V06 Calend 01'!C84),6)=0),(((71-'V06 Calend 01'!C84)/6)&lt;='V06 Calend 01'!E84)),IF((71=('V06 Calend 01'!C84+(6*'V06 Calend 01'!E84))),('V06 Calend 01'!H84-('V06 Calend 01'!I84*('V06 Calend 01'!E84-1))),'V06 Calend 01'!I84),0))+IF((71='V06 Calend 01'!D84),'V06 Calend 01'!J84,0))</f>
        <v>0</v>
      </c>
      <c r="CF84" s="2">
        <f>((IF((72='V06 Calend 01'!C84),('V06 Calend 01'!F84+'V06 Calend 01'!G84),0)+IF(AND(('V06 Calend 01'!E84&gt;0),(72&gt;'V06 Calend 01'!C84),(72&lt;'V06 Calend 01'!D84),(MOD((72-'V06 Calend 01'!C84),6)=0),(((72-'V06 Calend 01'!C84)/6)&lt;='V06 Calend 01'!E84)),IF((72=('V06 Calend 01'!C84+(6*'V06 Calend 01'!E84))),('V06 Calend 01'!H84-('V06 Calend 01'!I84*('V06 Calend 01'!E84-1))),'V06 Calend 01'!I84),0))+IF((72='V06 Calend 01'!D84),'V06 Calend 01'!J84,0))</f>
        <v>0</v>
      </c>
      <c r="CG84" s="2">
        <f>((IF((73='V06 Calend 01'!C84),('V06 Calend 01'!F84+'V06 Calend 01'!G84),0)+IF(AND(('V06 Calend 01'!E84&gt;0),(73&gt;'V06 Calend 01'!C84),(73&lt;'V06 Calend 01'!D84),(MOD((73-'V06 Calend 01'!C84),6)=0),(((73-'V06 Calend 01'!C84)/6)&lt;='V06 Calend 01'!E84)),IF((73=('V06 Calend 01'!C84+(6*'V06 Calend 01'!E84))),('V06 Calend 01'!H84-('V06 Calend 01'!I84*('V06 Calend 01'!E84-1))),'V06 Calend 01'!I84),0))+IF((73='V06 Calend 01'!D84),'V06 Calend 01'!J84,0))</f>
        <v>0</v>
      </c>
      <c r="CH84" s="2">
        <f>((IF((74='V06 Calend 01'!C84),('V06 Calend 01'!F84+'V06 Calend 01'!G84),0)+IF(AND(('V06 Calend 01'!E84&gt;0),(74&gt;'V06 Calend 01'!C84),(74&lt;'V06 Calend 01'!D84),(MOD((74-'V06 Calend 01'!C84),6)=0),(((74-'V06 Calend 01'!C84)/6)&lt;='V06 Calend 01'!E84)),IF((74=('V06 Calend 01'!C84+(6*'V06 Calend 01'!E84))),('V06 Calend 01'!H84-('V06 Calend 01'!I84*('V06 Calend 01'!E84-1))),'V06 Calend 01'!I84),0))+IF((74='V06 Calend 01'!D84),'V06 Calend 01'!J84,0))</f>
        <v>0</v>
      </c>
      <c r="CI84" s="2">
        <f>((IF((75='V06 Calend 01'!C84),('V06 Calend 01'!F84+'V06 Calend 01'!G84),0)+IF(AND(('V06 Calend 01'!E84&gt;0),(75&gt;'V06 Calend 01'!C84),(75&lt;'V06 Calend 01'!D84),(MOD((75-'V06 Calend 01'!C84),6)=0),(((75-'V06 Calend 01'!C84)/6)&lt;='V06 Calend 01'!E84)),IF((75=('V06 Calend 01'!C84+(6*'V06 Calend 01'!E84))),('V06 Calend 01'!H84-('V06 Calend 01'!I84*('V06 Calend 01'!E84-1))),'V06 Calend 01'!I84),0))+IF((75='V06 Calend 01'!D84),'V06 Calend 01'!J84,0))</f>
        <v>0</v>
      </c>
      <c r="CJ84" s="2">
        <f>((IF((76='V06 Calend 01'!C84),('V06 Calend 01'!F84+'V06 Calend 01'!G84),0)+IF(AND(('V06 Calend 01'!E84&gt;0),(76&gt;'V06 Calend 01'!C84),(76&lt;'V06 Calend 01'!D84),(MOD((76-'V06 Calend 01'!C84),6)=0),(((76-'V06 Calend 01'!C84)/6)&lt;='V06 Calend 01'!E84)),IF((76=('V06 Calend 01'!C84+(6*'V06 Calend 01'!E84))),('V06 Calend 01'!H84-('V06 Calend 01'!I84*('V06 Calend 01'!E84-1))),'V06 Calend 01'!I84),0))+IF((76='V06 Calend 01'!D84),'V06 Calend 01'!J84,0))</f>
        <v>0</v>
      </c>
      <c r="CK84" s="2">
        <f>((IF((77='V06 Calend 01'!C84),('V06 Calend 01'!F84+'V06 Calend 01'!G84),0)+IF(AND(('V06 Calend 01'!E84&gt;0),(77&gt;'V06 Calend 01'!C84),(77&lt;'V06 Calend 01'!D84),(MOD((77-'V06 Calend 01'!C84),6)=0),(((77-'V06 Calend 01'!C84)/6)&lt;='V06 Calend 01'!E84)),IF((77=('V06 Calend 01'!C84+(6*'V06 Calend 01'!E84))),('V06 Calend 01'!H84-('V06 Calend 01'!I84*('V06 Calend 01'!E84-1))),'V06 Calend 01'!I84),0))+IF((77='V06 Calend 01'!D84),'V06 Calend 01'!J84,0))</f>
        <v>0</v>
      </c>
      <c r="CL84" s="2">
        <f>((IF((78='V06 Calend 01'!C84),('V06 Calend 01'!F84+'V06 Calend 01'!G84),0)+IF(AND(('V06 Calend 01'!E84&gt;0),(78&gt;'V06 Calend 01'!C84),(78&lt;'V06 Calend 01'!D84),(MOD((78-'V06 Calend 01'!C84),6)=0),(((78-'V06 Calend 01'!C84)/6)&lt;='V06 Calend 01'!E84)),IF((78=('V06 Calend 01'!C84+(6*'V06 Calend 01'!E84))),('V06 Calend 01'!H84-('V06 Calend 01'!I84*('V06 Calend 01'!E84-1))),'V06 Calend 01'!I84),0))+IF((78='V06 Calend 01'!D84),'V06 Calend 01'!J84,0))</f>
        <v>0</v>
      </c>
      <c r="CM84" s="2">
        <f>((IF((79='V06 Calend 01'!C84),('V06 Calend 01'!F84+'V06 Calend 01'!G84),0)+IF(AND(('V06 Calend 01'!E84&gt;0),(79&gt;'V06 Calend 01'!C84),(79&lt;'V06 Calend 01'!D84),(MOD((79-'V06 Calend 01'!C84),6)=0),(((79-'V06 Calend 01'!C84)/6)&lt;='V06 Calend 01'!E84)),IF((79=('V06 Calend 01'!C84+(6*'V06 Calend 01'!E84))),('V06 Calend 01'!H84-('V06 Calend 01'!I84*('V06 Calend 01'!E84-1))),'V06 Calend 01'!I84),0))+IF((79='V06 Calend 01'!D84),'V06 Calend 01'!J84,0))</f>
        <v>0</v>
      </c>
      <c r="CN84" s="2">
        <f>((IF((80='V06 Calend 01'!C84),('V06 Calend 01'!F84+'V06 Calend 01'!G84),0)+IF(AND(('V06 Calend 01'!E84&gt;0),(80&gt;'V06 Calend 01'!C84),(80&lt;'V06 Calend 01'!D84),(MOD((80-'V06 Calend 01'!C84),6)=0),(((80-'V06 Calend 01'!C84)/6)&lt;='V06 Calend 01'!E84)),IF((80=('V06 Calend 01'!C84+(6*'V06 Calend 01'!E84))),('V06 Calend 01'!H84-('V06 Calend 01'!I84*('V06 Calend 01'!E84-1))),'V06 Calend 01'!I84),0))+IF((80='V06 Calend 01'!D84),'V06 Calend 01'!J84,0))</f>
        <v>0</v>
      </c>
      <c r="CO84" s="2">
        <f>((IF((81='V06 Calend 01'!C84),('V06 Calend 01'!F84+'V06 Calend 01'!G84),0)+IF(AND(('V06 Calend 01'!E84&gt;0),(81&gt;'V06 Calend 01'!C84),(81&lt;'V06 Calend 01'!D84),(MOD((81-'V06 Calend 01'!C84),6)=0),(((81-'V06 Calend 01'!C84)/6)&lt;='V06 Calend 01'!E84)),IF((81=('V06 Calend 01'!C84+(6*'V06 Calend 01'!E84))),('V06 Calend 01'!H84-('V06 Calend 01'!I84*('V06 Calend 01'!E84-1))),'V06 Calend 01'!I84),0))+IF((81='V06 Calend 01'!D84),'V06 Calend 01'!J84,0))</f>
        <v>0</v>
      </c>
      <c r="CP84" s="2">
        <f>((IF((82='V06 Calend 01'!C84),('V06 Calend 01'!F84+'V06 Calend 01'!G84),0)+IF(AND(('V06 Calend 01'!E84&gt;0),(82&gt;'V06 Calend 01'!C84),(82&lt;'V06 Calend 01'!D84),(MOD((82-'V06 Calend 01'!C84),6)=0),(((82-'V06 Calend 01'!C84)/6)&lt;='V06 Calend 01'!E84)),IF((82=('V06 Calend 01'!C84+(6*'V06 Calend 01'!E84))),('V06 Calend 01'!H84-('V06 Calend 01'!I84*('V06 Calend 01'!E84-1))),'V06 Calend 01'!I84),0))+IF((82='V06 Calend 01'!D84),'V06 Calend 01'!J84,0))</f>
        <v>0</v>
      </c>
      <c r="CQ84" s="2">
        <f>((IF((83='V06 Calend 01'!C84),('V06 Calend 01'!F84+'V06 Calend 01'!G84),0)+IF(AND(('V06 Calend 01'!E84&gt;0),(83&gt;'V06 Calend 01'!C84),(83&lt;'V06 Calend 01'!D84),(MOD((83-'V06 Calend 01'!C84),6)=0),(((83-'V06 Calend 01'!C84)/6)&lt;='V06 Calend 01'!E84)),IF((83=('V06 Calend 01'!C84+(6*'V06 Calend 01'!E84))),('V06 Calend 01'!H84-('V06 Calend 01'!I84*('V06 Calend 01'!E84-1))),'V06 Calend 01'!I84),0))+IF((83='V06 Calend 01'!D84),'V06 Calend 01'!J84,0))</f>
        <v>0</v>
      </c>
      <c r="CR84" s="2">
        <f>((IF((84='V06 Calend 01'!C84),('V06 Calend 01'!F84+'V06 Calend 01'!G84),0)+IF(AND(('V06 Calend 01'!E84&gt;0),(84&gt;'V06 Calend 01'!C84),(84&lt;'V06 Calend 01'!D84),(MOD((84-'V06 Calend 01'!C84),6)=0),(((84-'V06 Calend 01'!C84)/6)&lt;='V06 Calend 01'!E84)),IF((84=('V06 Calend 01'!C84+(6*'V06 Calend 01'!E84))),('V06 Calend 01'!H84-('V06 Calend 01'!I84*('V06 Calend 01'!E84-1))),'V06 Calend 01'!I84),0))+IF((84='V06 Calend 01'!D84),'V06 Calend 01'!J84,0))</f>
        <v>0</v>
      </c>
      <c r="CS84" s="2">
        <f>((IF((85='V06 Calend 01'!C84),('V06 Calend 01'!F84+'V06 Calend 01'!G84),0)+IF(AND(('V06 Calend 01'!E84&gt;0),(85&gt;'V06 Calend 01'!C84),(85&lt;'V06 Calend 01'!D84),(MOD((85-'V06 Calend 01'!C84),6)=0),(((85-'V06 Calend 01'!C84)/6)&lt;='V06 Calend 01'!E84)),IF((85=('V06 Calend 01'!C84+(6*'V06 Calend 01'!E84))),('V06 Calend 01'!H84-('V06 Calend 01'!I84*('V06 Calend 01'!E84-1))),'V06 Calend 01'!I84),0))+IF((85='V06 Calend 01'!D84),'V06 Calend 01'!J84,0))</f>
        <v>0</v>
      </c>
      <c r="CT84" s="2">
        <f>((IF((86='V06 Calend 01'!C84),('V06 Calend 01'!F84+'V06 Calend 01'!G84),0)+IF(AND(('V06 Calend 01'!E84&gt;0),(86&gt;'V06 Calend 01'!C84),(86&lt;'V06 Calend 01'!D84),(MOD((86-'V06 Calend 01'!C84),6)=0),(((86-'V06 Calend 01'!C84)/6)&lt;='V06 Calend 01'!E84)),IF((86=('V06 Calend 01'!C84+(6*'V06 Calend 01'!E84))),('V06 Calend 01'!H84-('V06 Calend 01'!I84*('V06 Calend 01'!E84-1))),'V06 Calend 01'!I84),0))+IF((86='V06 Calend 01'!D84),'V06 Calend 01'!J84,0))</f>
        <v>0</v>
      </c>
      <c r="CU84" s="2">
        <f>((IF((87='V06 Calend 01'!C84),('V06 Calend 01'!F84+'V06 Calend 01'!G84),0)+IF(AND(('V06 Calend 01'!E84&gt;0),(87&gt;'V06 Calend 01'!C84),(87&lt;'V06 Calend 01'!D84),(MOD((87-'V06 Calend 01'!C84),6)=0),(((87-'V06 Calend 01'!C84)/6)&lt;='V06 Calend 01'!E84)),IF((87=('V06 Calend 01'!C84+(6*'V06 Calend 01'!E84))),('V06 Calend 01'!H84-('V06 Calend 01'!I84*('V06 Calend 01'!E84-1))),'V06 Calend 01'!I84),0))+IF((87='V06 Calend 01'!D84),'V06 Calend 01'!J84,0))</f>
        <v>0</v>
      </c>
      <c r="CV84" s="2">
        <f>((IF((88='V06 Calend 01'!C84),('V06 Calend 01'!F84+'V06 Calend 01'!G84),0)+IF(AND(('V06 Calend 01'!E84&gt;0),(88&gt;'V06 Calend 01'!C84),(88&lt;'V06 Calend 01'!D84),(MOD((88-'V06 Calend 01'!C84),6)=0),(((88-'V06 Calend 01'!C84)/6)&lt;='V06 Calend 01'!E84)),IF((88=('V06 Calend 01'!C84+(6*'V06 Calend 01'!E84))),('V06 Calend 01'!H84-('V06 Calend 01'!I84*('V06 Calend 01'!E84-1))),'V06 Calend 01'!I84),0))+IF((88='V06 Calend 01'!D84),'V06 Calend 01'!J84,0))</f>
        <v>0</v>
      </c>
      <c r="CW84" s="2">
        <f>((IF((89='V06 Calend 01'!C84),('V06 Calend 01'!F84+'V06 Calend 01'!G84),0)+IF(AND(('V06 Calend 01'!E84&gt;0),(89&gt;'V06 Calend 01'!C84),(89&lt;'V06 Calend 01'!D84),(MOD((89-'V06 Calend 01'!C84),6)=0),(((89-'V06 Calend 01'!C84)/6)&lt;='V06 Calend 01'!E84)),IF((89=('V06 Calend 01'!C84+(6*'V06 Calend 01'!E84))),('V06 Calend 01'!H84-('V06 Calend 01'!I84*('V06 Calend 01'!E84-1))),'V06 Calend 01'!I84),0))+IF((89='V06 Calend 01'!D84),'V06 Calend 01'!J84,0))</f>
        <v>0</v>
      </c>
      <c r="CX84" s="2">
        <f>((IF((90='V06 Calend 01'!C84),('V06 Calend 01'!F84+'V06 Calend 01'!G84),0)+IF(AND(('V06 Calend 01'!E84&gt;0),(90&gt;'V06 Calend 01'!C84),(90&lt;'V06 Calend 01'!D84),(MOD((90-'V06 Calend 01'!C84),6)=0),(((90-'V06 Calend 01'!C84)/6)&lt;='V06 Calend 01'!E84)),IF((90=('V06 Calend 01'!C84+(6*'V06 Calend 01'!E84))),('V06 Calend 01'!H84-('V06 Calend 01'!I84*('V06 Calend 01'!E84-1))),'V06 Calend 01'!I84),0))+IF((90='V06 Calend 01'!D84),'V06 Calend 01'!J84,0))</f>
        <v>0</v>
      </c>
      <c r="CY84" s="2">
        <f>((IF((91='V06 Calend 01'!C84),('V06 Calend 01'!F84+'V06 Calend 01'!G84),0)+IF(AND(('V06 Calend 01'!E84&gt;0),(91&gt;'V06 Calend 01'!C84),(91&lt;'V06 Calend 01'!D84),(MOD((91-'V06 Calend 01'!C84),6)=0),(((91-'V06 Calend 01'!C84)/6)&lt;='V06 Calend 01'!E84)),IF((91=('V06 Calend 01'!C84+(6*'V06 Calend 01'!E84))),('V06 Calend 01'!H84-('V06 Calend 01'!I84*('V06 Calend 01'!E84-1))),'V06 Calend 01'!I84),0))+IF((91='V06 Calend 01'!D84),'V06 Calend 01'!J84,0))</f>
        <v>0</v>
      </c>
      <c r="CZ84" s="2">
        <f>((IF((92='V06 Calend 01'!C84),('V06 Calend 01'!F84+'V06 Calend 01'!G84),0)+IF(AND(('V06 Calend 01'!E84&gt;0),(92&gt;'V06 Calend 01'!C84),(92&lt;'V06 Calend 01'!D84),(MOD((92-'V06 Calend 01'!C84),6)=0),(((92-'V06 Calend 01'!C84)/6)&lt;='V06 Calend 01'!E84)),IF((92=('V06 Calend 01'!C84+(6*'V06 Calend 01'!E84))),('V06 Calend 01'!H84-('V06 Calend 01'!I84*('V06 Calend 01'!E84-1))),'V06 Calend 01'!I84),0))+IF((92='V06 Calend 01'!D84),'V06 Calend 01'!J84,0))</f>
        <v>0</v>
      </c>
      <c r="DA84" s="2">
        <f>((IF((93='V06 Calend 01'!C84),('V06 Calend 01'!F84+'V06 Calend 01'!G84),0)+IF(AND(('V06 Calend 01'!E84&gt;0),(93&gt;'V06 Calend 01'!C84),(93&lt;'V06 Calend 01'!D84),(MOD((93-'V06 Calend 01'!C84),6)=0),(((93-'V06 Calend 01'!C84)/6)&lt;='V06 Calend 01'!E84)),IF((93=('V06 Calend 01'!C84+(6*'V06 Calend 01'!E84))),('V06 Calend 01'!H84-('V06 Calend 01'!I84*('V06 Calend 01'!E84-1))),'V06 Calend 01'!I84),0))+IF((93='V06 Calend 01'!D84),'V06 Calend 01'!J84,0))</f>
        <v>0</v>
      </c>
      <c r="DB84" s="2">
        <f>((IF((94='V06 Calend 01'!C84),('V06 Calend 01'!F84+'V06 Calend 01'!G84),0)+IF(AND(('V06 Calend 01'!E84&gt;0),(94&gt;'V06 Calend 01'!C84),(94&lt;'V06 Calend 01'!D84),(MOD((94-'V06 Calend 01'!C84),6)=0),(((94-'V06 Calend 01'!C84)/6)&lt;='V06 Calend 01'!E84)),IF((94=('V06 Calend 01'!C84+(6*'V06 Calend 01'!E84))),('V06 Calend 01'!H84-('V06 Calend 01'!I84*('V06 Calend 01'!E84-1))),'V06 Calend 01'!I84),0))+IF((94='V06 Calend 01'!D84),'V06 Calend 01'!J84,0))</f>
        <v>0</v>
      </c>
      <c r="DC84" s="2">
        <f>((IF((95='V06 Calend 01'!C84),('V06 Calend 01'!F84+'V06 Calend 01'!G84),0)+IF(AND(('V06 Calend 01'!E84&gt;0),(95&gt;'V06 Calend 01'!C84),(95&lt;'V06 Calend 01'!D84),(MOD((95-'V06 Calend 01'!C84),6)=0),(((95-'V06 Calend 01'!C84)/6)&lt;='V06 Calend 01'!E84)),IF((95=('V06 Calend 01'!C84+(6*'V06 Calend 01'!E84))),('V06 Calend 01'!H84-('V06 Calend 01'!I84*('V06 Calend 01'!E84-1))),'V06 Calend 01'!I84),0))+IF((95='V06 Calend 01'!D84),'V06 Calend 01'!J84,0))</f>
        <v>0</v>
      </c>
      <c r="DD84" s="2">
        <f>((IF((96='V06 Calend 01'!C84),('V06 Calend 01'!F84+'V06 Calend 01'!G84),0)+IF(AND(('V06 Calend 01'!E84&gt;0),(96&gt;'V06 Calend 01'!C84),(96&lt;'V06 Calend 01'!D84),(MOD((96-'V06 Calend 01'!C84),6)=0),(((96-'V06 Calend 01'!C84)/6)&lt;='V06 Calend 01'!E84)),IF((96=('V06 Calend 01'!C84+(6*'V06 Calend 01'!E84))),('V06 Calend 01'!H84-('V06 Calend 01'!I84*('V06 Calend 01'!E84-1))),'V06 Calend 01'!I84),0))+IF((96='V06 Calend 01'!D84),'V06 Calend 01'!J84,0))</f>
        <v>0</v>
      </c>
      <c r="DE84" s="2">
        <f>((IF((97='V06 Calend 01'!C84),('V06 Calend 01'!F84+'V06 Calend 01'!G84),0)+IF(AND(('V06 Calend 01'!E84&gt;0),(97&gt;'V06 Calend 01'!C84),(97&lt;'V06 Calend 01'!D84),(MOD((97-'V06 Calend 01'!C84),6)=0),(((97-'V06 Calend 01'!C84)/6)&lt;='V06 Calend 01'!E84)),IF((97=('V06 Calend 01'!C84+(6*'V06 Calend 01'!E84))),('V06 Calend 01'!H84-('V06 Calend 01'!I84*('V06 Calend 01'!E84-1))),'V06 Calend 01'!I84),0))+IF((97='V06 Calend 01'!D84),'V06 Calend 01'!J84,0))</f>
        <v>0</v>
      </c>
      <c r="DF84" s="2">
        <f>((IF((98='V06 Calend 01'!C84),('V06 Calend 01'!F84+'V06 Calend 01'!G84),0)+IF(AND(('V06 Calend 01'!E84&gt;0),(98&gt;'V06 Calend 01'!C84),(98&lt;'V06 Calend 01'!D84),(MOD((98-'V06 Calend 01'!C84),6)=0),(((98-'V06 Calend 01'!C84)/6)&lt;='V06 Calend 01'!E84)),IF((98=('V06 Calend 01'!C84+(6*'V06 Calend 01'!E84))),('V06 Calend 01'!H84-('V06 Calend 01'!I84*('V06 Calend 01'!E84-1))),'V06 Calend 01'!I84),0))+IF((98='V06 Calend 01'!D84),'V06 Calend 01'!J84,0))</f>
        <v>0</v>
      </c>
      <c r="DG84" s="2">
        <f>((IF((99='V06 Calend 01'!C84),('V06 Calend 01'!F84+'V06 Calend 01'!G84),0)+IF(AND(('V06 Calend 01'!E84&gt;0),(99&gt;'V06 Calend 01'!C84),(99&lt;'V06 Calend 01'!D84),(MOD((99-'V06 Calend 01'!C84),6)=0),(((99-'V06 Calend 01'!C84)/6)&lt;='V06 Calend 01'!E84)),IF((99=('V06 Calend 01'!C84+(6*'V06 Calend 01'!E84))),('V06 Calend 01'!H84-('V06 Calend 01'!I84*('V06 Calend 01'!E84-1))),'V06 Calend 01'!I84),0))+IF((99='V06 Calend 01'!D84),'V06 Calend 01'!J84,0))</f>
        <v>0</v>
      </c>
      <c r="DH84" s="2">
        <f>((IF((100='V06 Calend 01'!C84),('V06 Calend 01'!F84+'V06 Calend 01'!G84),0)+IF(AND(('V06 Calend 01'!E84&gt;0),(100&gt;'V06 Calend 01'!C84),(100&lt;'V06 Calend 01'!D84),(MOD((100-'V06 Calend 01'!C84),6)=0),(((100-'V06 Calend 01'!C84)/6)&lt;='V06 Calend 01'!E84)),IF((100=('V06 Calend 01'!C84+(6*'V06 Calend 01'!E84))),('V06 Calend 01'!H84-('V06 Calend 01'!I84*('V06 Calend 01'!E84-1))),'V06 Calend 01'!I84),0))+IF((100='V06 Calend 01'!D84),'V06 Calend 01'!J84,0))</f>
        <v>0</v>
      </c>
      <c r="DI84" s="2">
        <f>((IF((101='V06 Calend 01'!C84),('V06 Calend 01'!F84+'V06 Calend 01'!G84),0)+IF(AND(('V06 Calend 01'!E84&gt;0),(101&gt;'V06 Calend 01'!C84),(101&lt;'V06 Calend 01'!D84),(MOD((101-'V06 Calend 01'!C84),6)=0),(((101-'V06 Calend 01'!C84)/6)&lt;='V06 Calend 01'!E84)),IF((101=('V06 Calend 01'!C84+(6*'V06 Calend 01'!E84))),('V06 Calend 01'!H84-('V06 Calend 01'!I84*('V06 Calend 01'!E84-1))),'V06 Calend 01'!I84),0))+IF((101='V06 Calend 01'!D84),'V06 Calend 01'!J84,0))</f>
        <v>0</v>
      </c>
      <c r="DJ84" s="2">
        <f>((IF((102='V06 Calend 01'!C84),('V06 Calend 01'!F84+'V06 Calend 01'!G84),0)+IF(AND(('V06 Calend 01'!E84&gt;0),(102&gt;'V06 Calend 01'!C84),(102&lt;'V06 Calend 01'!D84),(MOD((102-'V06 Calend 01'!C84),6)=0),(((102-'V06 Calend 01'!C84)/6)&lt;='V06 Calend 01'!E84)),IF((102=('V06 Calend 01'!C84+(6*'V06 Calend 01'!E84))),('V06 Calend 01'!H84-('V06 Calend 01'!I84*('V06 Calend 01'!E84-1))),'V06 Calend 01'!I84),0))+IF((102='V06 Calend 01'!D84),'V06 Calend 01'!J84,0))</f>
        <v>0</v>
      </c>
      <c r="DK84" s="2">
        <f>((IF((103='V06 Calend 01'!C84),('V06 Calend 01'!F84+'V06 Calend 01'!G84),0)+IF(AND(('V06 Calend 01'!E84&gt;0),(103&gt;'V06 Calend 01'!C84),(103&lt;'V06 Calend 01'!D84),(MOD((103-'V06 Calend 01'!C84),6)=0),(((103-'V06 Calend 01'!C84)/6)&lt;='V06 Calend 01'!E84)),IF((103=('V06 Calend 01'!C84+(6*'V06 Calend 01'!E84))),('V06 Calend 01'!H84-('V06 Calend 01'!I84*('V06 Calend 01'!E84-1))),'V06 Calend 01'!I84),0))+IF((103='V06 Calend 01'!D84),'V06 Calend 01'!J84,0))</f>
        <v>0</v>
      </c>
      <c r="DL84" s="2">
        <f>((IF((104='V06 Calend 01'!C84),('V06 Calend 01'!F84+'V06 Calend 01'!G84),0)+IF(AND(('V06 Calend 01'!E84&gt;0),(104&gt;'V06 Calend 01'!C84),(104&lt;'V06 Calend 01'!D84),(MOD((104-'V06 Calend 01'!C84),6)=0),(((104-'V06 Calend 01'!C84)/6)&lt;='V06 Calend 01'!E84)),IF((104=('V06 Calend 01'!C84+(6*'V06 Calend 01'!E84))),('V06 Calend 01'!H84-('V06 Calend 01'!I84*('V06 Calend 01'!E84-1))),'V06 Calend 01'!I84),0))+IF((104='V06 Calend 01'!D84),'V06 Calend 01'!J84,0))</f>
        <v>0</v>
      </c>
      <c r="DM84" s="2">
        <f>((IF((105='V06 Calend 01'!C84),('V06 Calend 01'!F84+'V06 Calend 01'!G84),0)+IF(AND(('V06 Calend 01'!E84&gt;0),(105&gt;'V06 Calend 01'!C84),(105&lt;'V06 Calend 01'!D84),(MOD((105-'V06 Calend 01'!C84),6)=0),(((105-'V06 Calend 01'!C84)/6)&lt;='V06 Calend 01'!E84)),IF((105=('V06 Calend 01'!C84+(6*'V06 Calend 01'!E84))),('V06 Calend 01'!H84-('V06 Calend 01'!I84*('V06 Calend 01'!E84-1))),'V06 Calend 01'!I84),0))+IF((105='V06 Calend 01'!D84),'V06 Calend 01'!J84,0))</f>
        <v>0</v>
      </c>
      <c r="DN84" s="2">
        <f>((IF((106='V06 Calend 01'!C84),('V06 Calend 01'!F84+'V06 Calend 01'!G84),0)+IF(AND(('V06 Calend 01'!E84&gt;0),(106&gt;'V06 Calend 01'!C84),(106&lt;'V06 Calend 01'!D84),(MOD((106-'V06 Calend 01'!C84),6)=0),(((106-'V06 Calend 01'!C84)/6)&lt;='V06 Calend 01'!E84)),IF((106=('V06 Calend 01'!C84+(6*'V06 Calend 01'!E84))),('V06 Calend 01'!H84-('V06 Calend 01'!I84*('V06 Calend 01'!E84-1))),'V06 Calend 01'!I84),0))+IF((106='V06 Calend 01'!D84),'V06 Calend 01'!J84,0))</f>
        <v>0</v>
      </c>
      <c r="DO84" s="2">
        <f>((IF((107='V06 Calend 01'!C84),('V06 Calend 01'!F84+'V06 Calend 01'!G84),0)+IF(AND(('V06 Calend 01'!E84&gt;0),(107&gt;'V06 Calend 01'!C84),(107&lt;'V06 Calend 01'!D84),(MOD((107-'V06 Calend 01'!C84),6)=0),(((107-'V06 Calend 01'!C84)/6)&lt;='V06 Calend 01'!E84)),IF((107=('V06 Calend 01'!C84+(6*'V06 Calend 01'!E84))),('V06 Calend 01'!H84-('V06 Calend 01'!I84*('V06 Calend 01'!E84-1))),'V06 Calend 01'!I84),0))+IF((107='V06 Calend 01'!D84),'V06 Calend 01'!J84,0))</f>
        <v>0</v>
      </c>
      <c r="DP84" s="2">
        <f>((IF((108='V06 Calend 01'!C84),('V06 Calend 01'!F84+'V06 Calend 01'!G84),0)+IF(AND(('V06 Calend 01'!E84&gt;0),(108&gt;'V06 Calend 01'!C84),(108&lt;'V06 Calend 01'!D84),(MOD((108-'V06 Calend 01'!C84),6)=0),(((108-'V06 Calend 01'!C84)/6)&lt;='V06 Calend 01'!E84)),IF((108=('V06 Calend 01'!C84+(6*'V06 Calend 01'!E84))),('V06 Calend 01'!H84-('V06 Calend 01'!I84*('V06 Calend 01'!E84-1))),'V06 Calend 01'!I84),0))+IF((108='V06 Calend 01'!D84),'V06 Calend 01'!J84,0))</f>
        <v>0</v>
      </c>
      <c r="DQ84" s="2">
        <f>((IF((109='V06 Calend 01'!C84),('V06 Calend 01'!F84+'V06 Calend 01'!G84),0)+IF(AND(('V06 Calend 01'!E84&gt;0),(109&gt;'V06 Calend 01'!C84),(109&lt;'V06 Calend 01'!D84),(MOD((109-'V06 Calend 01'!C84),6)=0),(((109-'V06 Calend 01'!C84)/6)&lt;='V06 Calend 01'!E84)),IF((109=('V06 Calend 01'!C84+(6*'V06 Calend 01'!E84))),('V06 Calend 01'!H84-('V06 Calend 01'!I84*('V06 Calend 01'!E84-1))),'V06 Calend 01'!I84),0))+IF((109='V06 Calend 01'!D84),'V06 Calend 01'!J84,0))</f>
        <v>0</v>
      </c>
      <c r="DR84" s="2">
        <f>((IF((110='V06 Calend 01'!C84),('V06 Calend 01'!F84+'V06 Calend 01'!G84),0)+IF(AND(('V06 Calend 01'!E84&gt;0),(110&gt;'V06 Calend 01'!C84),(110&lt;'V06 Calend 01'!D84),(MOD((110-'V06 Calend 01'!C84),6)=0),(((110-'V06 Calend 01'!C84)/6)&lt;='V06 Calend 01'!E84)),IF((110=('V06 Calend 01'!C84+(6*'V06 Calend 01'!E84))),('V06 Calend 01'!H84-('V06 Calend 01'!I84*('V06 Calend 01'!E84-1))),'V06 Calend 01'!I84),0))+IF((110='V06 Calend 01'!D84),'V06 Calend 01'!J84,0))</f>
        <v>0</v>
      </c>
      <c r="DS84" s="2">
        <f>((IF((111='V06 Calend 01'!C84),('V06 Calend 01'!F84+'V06 Calend 01'!G84),0)+IF(AND(('V06 Calend 01'!E84&gt;0),(111&gt;'V06 Calend 01'!C84),(111&lt;'V06 Calend 01'!D84),(MOD((111-'V06 Calend 01'!C84),6)=0),(((111-'V06 Calend 01'!C84)/6)&lt;='V06 Calend 01'!E84)),IF((111=('V06 Calend 01'!C84+(6*'V06 Calend 01'!E84))),('V06 Calend 01'!H84-('V06 Calend 01'!I84*('V06 Calend 01'!E84-1))),'V06 Calend 01'!I84),0))+IF((111='V06 Calend 01'!D84),'V06 Calend 01'!J84,0))</f>
        <v>0</v>
      </c>
      <c r="DT84" s="2">
        <f>((IF((112='V06 Calend 01'!C84),('V06 Calend 01'!F84+'V06 Calend 01'!G84),0)+IF(AND(('V06 Calend 01'!E84&gt;0),(112&gt;'V06 Calend 01'!C84),(112&lt;'V06 Calend 01'!D84),(MOD((112-'V06 Calend 01'!C84),6)=0),(((112-'V06 Calend 01'!C84)/6)&lt;='V06 Calend 01'!E84)),IF((112=('V06 Calend 01'!C84+(6*'V06 Calend 01'!E84))),('V06 Calend 01'!H84-('V06 Calend 01'!I84*('V06 Calend 01'!E84-1))),'V06 Calend 01'!I84),0))+IF((112='V06 Calend 01'!D84),'V06 Calend 01'!J84,0))</f>
        <v>0</v>
      </c>
      <c r="DU84" s="2">
        <f>((IF((113='V06 Calend 01'!C84),('V06 Calend 01'!F84+'V06 Calend 01'!G84),0)+IF(AND(('V06 Calend 01'!E84&gt;0),(113&gt;'V06 Calend 01'!C84),(113&lt;'V06 Calend 01'!D84),(MOD((113-'V06 Calend 01'!C84),6)=0),(((113-'V06 Calend 01'!C84)/6)&lt;='V06 Calend 01'!E84)),IF((113=('V06 Calend 01'!C84+(6*'V06 Calend 01'!E84))),('V06 Calend 01'!H84-('V06 Calend 01'!I84*('V06 Calend 01'!E84-1))),'V06 Calend 01'!I84),0))+IF((113='V06 Calend 01'!D84),'V06 Calend 01'!J84,0))</f>
        <v>0</v>
      </c>
      <c r="DV84" s="2">
        <f>((IF((114='V06 Calend 01'!C84),('V06 Calend 01'!F84+'V06 Calend 01'!G84),0)+IF(AND(('V06 Calend 01'!E84&gt;0),(114&gt;'V06 Calend 01'!C84),(114&lt;'V06 Calend 01'!D84),(MOD((114-'V06 Calend 01'!C84),6)=0),(((114-'V06 Calend 01'!C84)/6)&lt;='V06 Calend 01'!E84)),IF((114=('V06 Calend 01'!C84+(6*'V06 Calend 01'!E84))),('V06 Calend 01'!H84-('V06 Calend 01'!I84*('V06 Calend 01'!E84-1))),'V06 Calend 01'!I84),0))+IF((114='V06 Calend 01'!D84),'V06 Calend 01'!J84,0))</f>
        <v>0</v>
      </c>
      <c r="DW84" s="2">
        <f>((IF((115='V06 Calend 01'!C84),('V06 Calend 01'!F84+'V06 Calend 01'!G84),0)+IF(AND(('V06 Calend 01'!E84&gt;0),(115&gt;'V06 Calend 01'!C84),(115&lt;'V06 Calend 01'!D84),(MOD((115-'V06 Calend 01'!C84),6)=0),(((115-'V06 Calend 01'!C84)/6)&lt;='V06 Calend 01'!E84)),IF((115=('V06 Calend 01'!C84+(6*'V06 Calend 01'!E84))),('V06 Calend 01'!H84-('V06 Calend 01'!I84*('V06 Calend 01'!E84-1))),'V06 Calend 01'!I84),0))+IF((115='V06 Calend 01'!D84),'V06 Calend 01'!J84,0))</f>
        <v>0</v>
      </c>
      <c r="DX84" s="2">
        <f>((IF((116='V06 Calend 01'!C84),('V06 Calend 01'!F84+'V06 Calend 01'!G84),0)+IF(AND(('V06 Calend 01'!E84&gt;0),(116&gt;'V06 Calend 01'!C84),(116&lt;'V06 Calend 01'!D84),(MOD((116-'V06 Calend 01'!C84),6)=0),(((116-'V06 Calend 01'!C84)/6)&lt;='V06 Calend 01'!E84)),IF((116=('V06 Calend 01'!C84+(6*'V06 Calend 01'!E84))),('V06 Calend 01'!H84-('V06 Calend 01'!I84*('V06 Calend 01'!E84-1))),'V06 Calend 01'!I84),0))+IF((116='V06 Calend 01'!D84),'V06 Calend 01'!J84,0))</f>
        <v>0</v>
      </c>
      <c r="DY84" s="2">
        <f>((IF((117='V06 Calend 01'!C84),('V06 Calend 01'!F84+'V06 Calend 01'!G84),0)+IF(AND(('V06 Calend 01'!E84&gt;0),(117&gt;'V06 Calend 01'!C84),(117&lt;'V06 Calend 01'!D84),(MOD((117-'V06 Calend 01'!C84),6)=0),(((117-'V06 Calend 01'!C84)/6)&lt;='V06 Calend 01'!E84)),IF((117=('V06 Calend 01'!C84+(6*'V06 Calend 01'!E84))),('V06 Calend 01'!H84-('V06 Calend 01'!I84*('V06 Calend 01'!E84-1))),'V06 Calend 01'!I84),0))+IF((117='V06 Calend 01'!D84),'V06 Calend 01'!J84,0))</f>
        <v>0</v>
      </c>
      <c r="DZ84" s="2">
        <f>((IF((118='V06 Calend 01'!C84),('V06 Calend 01'!F84+'V06 Calend 01'!G84),0)+IF(AND(('V06 Calend 01'!E84&gt;0),(118&gt;'V06 Calend 01'!C84),(118&lt;'V06 Calend 01'!D84),(MOD((118-'V06 Calend 01'!C84),6)=0),(((118-'V06 Calend 01'!C84)/6)&lt;='V06 Calend 01'!E84)),IF((118=('V06 Calend 01'!C84+(6*'V06 Calend 01'!E84))),('V06 Calend 01'!H84-('V06 Calend 01'!I84*('V06 Calend 01'!E84-1))),'V06 Calend 01'!I84),0))+IF((118='V06 Calend 01'!D84),'V06 Calend 01'!J84,0))</f>
        <v>0</v>
      </c>
      <c r="EA84" s="2">
        <f>((IF((119='V06 Calend 01'!C84),('V06 Calend 01'!F84+'V06 Calend 01'!G84),0)+IF(AND(('V06 Calend 01'!E84&gt;0),(119&gt;'V06 Calend 01'!C84),(119&lt;'V06 Calend 01'!D84),(MOD((119-'V06 Calend 01'!C84),6)=0),(((119-'V06 Calend 01'!C84)/6)&lt;='V06 Calend 01'!E84)),IF((119=('V06 Calend 01'!C84+(6*'V06 Calend 01'!E84))),('V06 Calend 01'!H84-('V06 Calend 01'!I84*('V06 Calend 01'!E84-1))),'V06 Calend 01'!I84),0))+IF((119='V06 Calend 01'!D84),'V06 Calend 01'!J84,0))</f>
        <v>0</v>
      </c>
      <c r="EB84" s="2">
        <f>((IF((120='V06 Calend 01'!C84),('V06 Calend 01'!F84+'V06 Calend 01'!G84),0)+IF(AND(('V06 Calend 01'!E84&gt;0),(120&gt;'V06 Calend 01'!C84),(120&lt;'V06 Calend 01'!D84),(MOD((120-'V06 Calend 01'!C84),6)=0),(((120-'V06 Calend 01'!C84)/6)&lt;='V06 Calend 01'!E84)),IF((120=('V06 Calend 01'!C84+(6*'V06 Calend 01'!E84))),('V06 Calend 01'!H84-('V06 Calend 01'!I84*('V06 Calend 01'!E84-1))),'V06 Calend 01'!I84),0))+IF((120='V06 Calend 01'!D84),'V06 Calend 01'!J84,0))</f>
        <v>0</v>
      </c>
      <c r="EC84" s="2">
        <f>((IF((121='V06 Calend 01'!C84),('V06 Calend 01'!F84+'V06 Calend 01'!G84),0)+IF(AND(('V06 Calend 01'!E84&gt;0),(121&gt;'V06 Calend 01'!C84),(121&lt;'V06 Calend 01'!D84),(MOD((121-'V06 Calend 01'!C84),6)=0),(((121-'V06 Calend 01'!C84)/6)&lt;='V06 Calend 01'!E84)),IF((121=('V06 Calend 01'!C84+(6*'V06 Calend 01'!E84))),('V06 Calend 01'!H84-('V06 Calend 01'!I84*('V06 Calend 01'!E84-1))),'V06 Calend 01'!I84),0))+IF((121='V06 Calend 01'!D84),'V06 Calend 01'!J84,0))</f>
        <v>0</v>
      </c>
      <c r="ED84" s="2">
        <f>((IF((122='V06 Calend 01'!C84),('V06 Calend 01'!F84+'V06 Calend 01'!G84),0)+IF(AND(('V06 Calend 01'!E84&gt;0),(122&gt;'V06 Calend 01'!C84),(122&lt;'V06 Calend 01'!D84),(MOD((122-'V06 Calend 01'!C84),6)=0),(((122-'V06 Calend 01'!C84)/6)&lt;='V06 Calend 01'!E84)),IF((122=('V06 Calend 01'!C84+(6*'V06 Calend 01'!E84))),('V06 Calend 01'!H84-('V06 Calend 01'!I84*('V06 Calend 01'!E84-1))),'V06 Calend 01'!I84),0))+IF((122='V06 Calend 01'!D84),'V06 Calend 01'!J84,0))</f>
        <v>0</v>
      </c>
      <c r="EE84" s="2">
        <f>((IF((123='V06 Calend 01'!C84),('V06 Calend 01'!F84+'V06 Calend 01'!G84),0)+IF(AND(('V06 Calend 01'!E84&gt;0),(123&gt;'V06 Calend 01'!C84),(123&lt;'V06 Calend 01'!D84),(MOD((123-'V06 Calend 01'!C84),6)=0),(((123-'V06 Calend 01'!C84)/6)&lt;='V06 Calend 01'!E84)),IF((123=('V06 Calend 01'!C84+(6*'V06 Calend 01'!E84))),('V06 Calend 01'!H84-('V06 Calend 01'!I84*('V06 Calend 01'!E84-1))),'V06 Calend 01'!I84),0))+IF((123='V06 Calend 01'!D84),'V06 Calend 01'!J84,0))</f>
        <v>0</v>
      </c>
      <c r="EF84" s="2">
        <f>((IF((124='V06 Calend 01'!C84),('V06 Calend 01'!F84+'V06 Calend 01'!G84),0)+IF(AND(('V06 Calend 01'!E84&gt;0),(124&gt;'V06 Calend 01'!C84),(124&lt;'V06 Calend 01'!D84),(MOD((124-'V06 Calend 01'!C84),6)=0),(((124-'V06 Calend 01'!C84)/6)&lt;='V06 Calend 01'!E84)),IF((124=('V06 Calend 01'!C84+(6*'V06 Calend 01'!E84))),('V06 Calend 01'!H84-('V06 Calend 01'!I84*('V06 Calend 01'!E84-1))),'V06 Calend 01'!I84),0))+IF((124='V06 Calend 01'!D84),'V06 Calend 01'!J84,0))</f>
        <v>0</v>
      </c>
      <c r="EG84" s="2">
        <f>((IF((125='V06 Calend 01'!C84),('V06 Calend 01'!F84+'V06 Calend 01'!G84),0)+IF(AND(('V06 Calend 01'!E84&gt;0),(125&gt;'V06 Calend 01'!C84),(125&lt;'V06 Calend 01'!D84),(MOD((125-'V06 Calend 01'!C84),6)=0),(((125-'V06 Calend 01'!C84)/6)&lt;='V06 Calend 01'!E84)),IF((125=('V06 Calend 01'!C84+(6*'V06 Calend 01'!E84))),('V06 Calend 01'!H84-('V06 Calend 01'!I84*('V06 Calend 01'!E84-1))),'V06 Calend 01'!I84),0))+IF((125='V06 Calend 01'!D84),'V06 Calend 01'!J84,0))</f>
        <v>0</v>
      </c>
      <c r="EH84" s="2">
        <f>((IF((126='V06 Calend 01'!C84),('V06 Calend 01'!F84+'V06 Calend 01'!G84),0)+IF(AND(('V06 Calend 01'!E84&gt;0),(126&gt;'V06 Calend 01'!C84),(126&lt;'V06 Calend 01'!D84),(MOD((126-'V06 Calend 01'!C84),6)=0),(((126-'V06 Calend 01'!C84)/6)&lt;='V06 Calend 01'!E84)),IF((126=('V06 Calend 01'!C84+(6*'V06 Calend 01'!E84))),('V06 Calend 01'!H84-('V06 Calend 01'!I84*('V06 Calend 01'!E84-1))),'V06 Calend 01'!I84),0))+IF((126='V06 Calend 01'!D84),'V06 Calend 01'!J84,0))</f>
        <v>0</v>
      </c>
      <c r="EI84" s="2">
        <f>((IF((127='V06 Calend 01'!C84),('V06 Calend 01'!F84+'V06 Calend 01'!G84),0)+IF(AND(('V06 Calend 01'!E84&gt;0),(127&gt;'V06 Calend 01'!C84),(127&lt;'V06 Calend 01'!D84),(MOD((127-'V06 Calend 01'!C84),6)=0),(((127-'V06 Calend 01'!C84)/6)&lt;='V06 Calend 01'!E84)),IF((127=('V06 Calend 01'!C84+(6*'V06 Calend 01'!E84))),('V06 Calend 01'!H84-('V06 Calend 01'!I84*('V06 Calend 01'!E84-1))),'V06 Calend 01'!I84),0))+IF((127='V06 Calend 01'!D84),'V06 Calend 01'!J84,0))</f>
        <v>0</v>
      </c>
      <c r="EJ84" s="2">
        <f>((IF((128='V06 Calend 01'!C84),('V06 Calend 01'!F84+'V06 Calend 01'!G84),0)+IF(AND(('V06 Calend 01'!E84&gt;0),(128&gt;'V06 Calend 01'!C84),(128&lt;'V06 Calend 01'!D84),(MOD((128-'V06 Calend 01'!C84),6)=0),(((128-'V06 Calend 01'!C84)/6)&lt;='V06 Calend 01'!E84)),IF((128=('V06 Calend 01'!C84+(6*'V06 Calend 01'!E84))),('V06 Calend 01'!H84-('V06 Calend 01'!I84*('V06 Calend 01'!E84-1))),'V06 Calend 01'!I84),0))+IF((128='V06 Calend 01'!D84),'V06 Calend 01'!J84,0))</f>
        <v>0</v>
      </c>
      <c r="EK84" s="2">
        <f>((IF((129='V06 Calend 01'!C84),('V06 Calend 01'!F84+'V06 Calend 01'!G84),0)+IF(AND(('V06 Calend 01'!E84&gt;0),(129&gt;'V06 Calend 01'!C84),(129&lt;'V06 Calend 01'!D84),(MOD((129-'V06 Calend 01'!C84),6)=0),(((129-'V06 Calend 01'!C84)/6)&lt;='V06 Calend 01'!E84)),IF((129=('V06 Calend 01'!C84+(6*'V06 Calend 01'!E84))),('V06 Calend 01'!H84-('V06 Calend 01'!I84*('V06 Calend 01'!E84-1))),'V06 Calend 01'!I84),0))+IF((129='V06 Calend 01'!D84),'V06 Calend 01'!J84,0))</f>
        <v>0</v>
      </c>
      <c r="EL84" s="2">
        <f>((IF((130='V06 Calend 01'!C84),('V06 Calend 01'!F84+'V06 Calend 01'!G84),0)+IF(AND(('V06 Calend 01'!E84&gt;0),(130&gt;'V06 Calend 01'!C84),(130&lt;'V06 Calend 01'!D84),(MOD((130-'V06 Calend 01'!C84),6)=0),(((130-'V06 Calend 01'!C84)/6)&lt;='V06 Calend 01'!E84)),IF((130=('V06 Calend 01'!C84+(6*'V06 Calend 01'!E84))),('V06 Calend 01'!H84-('V06 Calend 01'!I84*('V06 Calend 01'!E84-1))),'V06 Calend 01'!I84),0))+IF((130='V06 Calend 01'!D84),'V06 Calend 01'!J84,0))</f>
        <v>0</v>
      </c>
      <c r="EM84" s="2">
        <f>((IF((131='V06 Calend 01'!C84),('V06 Calend 01'!F84+'V06 Calend 01'!G84),0)+IF(AND(('V06 Calend 01'!E84&gt;0),(131&gt;'V06 Calend 01'!C84),(131&lt;'V06 Calend 01'!D84),(MOD((131-'V06 Calend 01'!C84),6)=0),(((131-'V06 Calend 01'!C84)/6)&lt;='V06 Calend 01'!E84)),IF((131=('V06 Calend 01'!C84+(6*'V06 Calend 01'!E84))),('V06 Calend 01'!H84-('V06 Calend 01'!I84*('V06 Calend 01'!E84-1))),'V06 Calend 01'!I84),0))+IF((131='V06 Calend 01'!D84),'V06 Calend 01'!J84,0))</f>
        <v>0</v>
      </c>
      <c r="EN84" s="2">
        <f>((IF((132='V06 Calend 01'!C84),('V06 Calend 01'!F84+'V06 Calend 01'!G84),0)+IF(AND(('V06 Calend 01'!E84&gt;0),(132&gt;'V06 Calend 01'!C84),(132&lt;'V06 Calend 01'!D84),(MOD((132-'V06 Calend 01'!C84),6)=0),(((132-'V06 Calend 01'!C84)/6)&lt;='V06 Calend 01'!E84)),IF((132=('V06 Calend 01'!C84+(6*'V06 Calend 01'!E84))),('V06 Calend 01'!H84-('V06 Calend 01'!I84*('V06 Calend 01'!E84-1))),'V06 Calend 01'!I84),0))+IF((132='V06 Calend 01'!D84),'V06 Calend 01'!J84,0))</f>
        <v>0</v>
      </c>
      <c r="EO84" s="2">
        <f>((IF((133='V06 Calend 01'!C84),('V06 Calend 01'!F84+'V06 Calend 01'!G84),0)+IF(AND(('V06 Calend 01'!E84&gt;0),(133&gt;'V06 Calend 01'!C84),(133&lt;'V06 Calend 01'!D84),(MOD((133-'V06 Calend 01'!C84),6)=0),(((133-'V06 Calend 01'!C84)/6)&lt;='V06 Calend 01'!E84)),IF((133=('V06 Calend 01'!C84+(6*'V06 Calend 01'!E84))),('V06 Calend 01'!H84-('V06 Calend 01'!I84*('V06 Calend 01'!E84-1))),'V06 Calend 01'!I84),0))+IF((133='V06 Calend 01'!D84),'V06 Calend 01'!J84,0))</f>
        <v>0</v>
      </c>
      <c r="EP84" s="2">
        <f>((IF((134='V06 Calend 01'!C84),('V06 Calend 01'!F84+'V06 Calend 01'!G84),0)+IF(AND(('V06 Calend 01'!E84&gt;0),(134&gt;'V06 Calend 01'!C84),(134&lt;'V06 Calend 01'!D84),(MOD((134-'V06 Calend 01'!C84),6)=0),(((134-'V06 Calend 01'!C84)/6)&lt;='V06 Calend 01'!E84)),IF((134=('V06 Calend 01'!C84+(6*'V06 Calend 01'!E84))),('V06 Calend 01'!H84-('V06 Calend 01'!I84*('V06 Calend 01'!E84-1))),'V06 Calend 01'!I84),0))+IF((134='V06 Calend 01'!D84),'V06 Calend 01'!J84,0))</f>
        <v>0</v>
      </c>
      <c r="EQ84" s="2">
        <f>((IF((135='V06 Calend 01'!C84),('V06 Calend 01'!F84+'V06 Calend 01'!G84),0)+IF(AND(('V06 Calend 01'!E84&gt;0),(135&gt;'V06 Calend 01'!C84),(135&lt;'V06 Calend 01'!D84),(MOD((135-'V06 Calend 01'!C84),6)=0),(((135-'V06 Calend 01'!C84)/6)&lt;='V06 Calend 01'!E84)),IF((135=('V06 Calend 01'!C84+(6*'V06 Calend 01'!E84))),('V06 Calend 01'!H84-('V06 Calend 01'!I84*('V06 Calend 01'!E84-1))),'V06 Calend 01'!I84),0))+IF((135='V06 Calend 01'!D84),'V06 Calend 01'!J84,0))</f>
        <v>0</v>
      </c>
      <c r="ER84" s="2">
        <f>((IF((136='V06 Calend 01'!C84),('V06 Calend 01'!F84+'V06 Calend 01'!G84),0)+IF(AND(('V06 Calend 01'!E84&gt;0),(136&gt;'V06 Calend 01'!C84),(136&lt;'V06 Calend 01'!D84),(MOD((136-'V06 Calend 01'!C84),6)=0),(((136-'V06 Calend 01'!C84)/6)&lt;='V06 Calend 01'!E84)),IF((136=('V06 Calend 01'!C84+(6*'V06 Calend 01'!E84))),('V06 Calend 01'!H84-('V06 Calend 01'!I84*('V06 Calend 01'!E84-1))),'V06 Calend 01'!I84),0))+IF((136='V06 Calend 01'!D84),'V06 Calend 01'!J84,0))</f>
        <v>0</v>
      </c>
      <c r="ES84" s="2">
        <f>((IF((137='V06 Calend 01'!C84),('V06 Calend 01'!F84+'V06 Calend 01'!G84),0)+IF(AND(('V06 Calend 01'!E84&gt;0),(137&gt;'V06 Calend 01'!C84),(137&lt;'V06 Calend 01'!D84),(MOD((137-'V06 Calend 01'!C84),6)=0),(((137-'V06 Calend 01'!C84)/6)&lt;='V06 Calend 01'!E84)),IF((137=('V06 Calend 01'!C84+(6*'V06 Calend 01'!E84))),('V06 Calend 01'!H84-('V06 Calend 01'!I84*('V06 Calend 01'!E84-1))),'V06 Calend 01'!I84),0))+IF((137='V06 Calend 01'!D84),'V06 Calend 01'!J84,0))</f>
        <v>0</v>
      </c>
      <c r="ET84" s="2">
        <f>((IF((138='V06 Calend 01'!C84),('V06 Calend 01'!F84+'V06 Calend 01'!G84),0)+IF(AND(('V06 Calend 01'!E84&gt;0),(138&gt;'V06 Calend 01'!C84),(138&lt;'V06 Calend 01'!D84),(MOD((138-'V06 Calend 01'!C84),6)=0),(((138-'V06 Calend 01'!C84)/6)&lt;='V06 Calend 01'!E84)),IF((138=('V06 Calend 01'!C84+(6*'V06 Calend 01'!E84))),('V06 Calend 01'!H84-('V06 Calend 01'!I84*('V06 Calend 01'!E84-1))),'V06 Calend 01'!I84),0))+IF((138='V06 Calend 01'!D84),'V06 Calend 01'!J84,0))</f>
        <v>0</v>
      </c>
      <c r="EU84" s="2">
        <f>((IF((139='V06 Calend 01'!C84),('V06 Calend 01'!F84+'V06 Calend 01'!G84),0)+IF(AND(('V06 Calend 01'!E84&gt;0),(139&gt;'V06 Calend 01'!C84),(139&lt;'V06 Calend 01'!D84),(MOD((139-'V06 Calend 01'!C84),6)=0),(((139-'V06 Calend 01'!C84)/6)&lt;='V06 Calend 01'!E84)),IF((139=('V06 Calend 01'!C84+(6*'V06 Calend 01'!E84))),('V06 Calend 01'!H84-('V06 Calend 01'!I84*('V06 Calend 01'!E84-1))),'V06 Calend 01'!I84),0))+IF((139='V06 Calend 01'!D84),'V06 Calend 01'!J84,0))</f>
        <v>0</v>
      </c>
      <c r="EV84" s="2">
        <f>((IF((140='V06 Calend 01'!C84),('V06 Calend 01'!F84+'V06 Calend 01'!G84),0)+IF(AND(('V06 Calend 01'!E84&gt;0),(140&gt;'V06 Calend 01'!C84),(140&lt;'V06 Calend 01'!D84),(MOD((140-'V06 Calend 01'!C84),6)=0),(((140-'V06 Calend 01'!C84)/6)&lt;='V06 Calend 01'!E84)),IF((140=('V06 Calend 01'!C84+(6*'V06 Calend 01'!E84))),('V06 Calend 01'!H84-('V06 Calend 01'!I84*('V06 Calend 01'!E84-1))),'V06 Calend 01'!I84),0))+IF((140='V06 Calend 01'!D84),'V06 Calend 01'!J84,0))</f>
        <v>0</v>
      </c>
      <c r="EW84" s="2">
        <f>((IF((141='V06 Calend 01'!C84),('V06 Calend 01'!F84+'V06 Calend 01'!G84),0)+IF(AND(('V06 Calend 01'!E84&gt;0),(141&gt;'V06 Calend 01'!C84),(141&lt;'V06 Calend 01'!D84),(MOD((141-'V06 Calend 01'!C84),6)=0),(((141-'V06 Calend 01'!C84)/6)&lt;='V06 Calend 01'!E84)),IF((141=('V06 Calend 01'!C84+(6*'V06 Calend 01'!E84))),('V06 Calend 01'!H84-('V06 Calend 01'!I84*('V06 Calend 01'!E84-1))),'V06 Calend 01'!I84),0))+IF((141='V06 Calend 01'!D84),'V06 Calend 01'!J84,0))</f>
        <v>0</v>
      </c>
      <c r="EX84" s="2">
        <f>((IF((142='V06 Calend 01'!C84),('V06 Calend 01'!F84+'V06 Calend 01'!G84),0)+IF(AND(('V06 Calend 01'!E84&gt;0),(142&gt;'V06 Calend 01'!C84),(142&lt;'V06 Calend 01'!D84),(MOD((142-'V06 Calend 01'!C84),6)=0),(((142-'V06 Calend 01'!C84)/6)&lt;='V06 Calend 01'!E84)),IF((142=('V06 Calend 01'!C84+(6*'V06 Calend 01'!E84))),('V06 Calend 01'!H84-('V06 Calend 01'!I84*('V06 Calend 01'!E84-1))),'V06 Calend 01'!I84),0))+IF((142='V06 Calend 01'!D84),'V06 Calend 01'!J84,0))</f>
        <v>0</v>
      </c>
      <c r="EY84" s="2">
        <f>((IF((143='V06 Calend 01'!C84),('V06 Calend 01'!F84+'V06 Calend 01'!G84),0)+IF(AND(('V06 Calend 01'!E84&gt;0),(143&gt;'V06 Calend 01'!C84),(143&lt;'V06 Calend 01'!D84),(MOD((143-'V06 Calend 01'!C84),6)=0),(((143-'V06 Calend 01'!C84)/6)&lt;='V06 Calend 01'!E84)),IF((143=('V06 Calend 01'!C84+(6*'V06 Calend 01'!E84))),('V06 Calend 01'!H84-('V06 Calend 01'!I84*('V06 Calend 01'!E84-1))),'V06 Calend 01'!I84),0))+IF((143='V06 Calend 01'!D84),'V06 Calend 01'!J84,0))</f>
        <v>0</v>
      </c>
      <c r="EZ84" s="2">
        <f>((IF((144='V06 Calend 01'!C84),('V06 Calend 01'!F84+'V06 Calend 01'!G84),0)+IF(AND(('V06 Calend 01'!E84&gt;0),(144&gt;'V06 Calend 01'!C84),(144&lt;'V06 Calend 01'!D84),(MOD((144-'V06 Calend 01'!C84),6)=0),(((144-'V06 Calend 01'!C84)/6)&lt;='V06 Calend 01'!E84)),IF((144=('V06 Calend 01'!C84+(6*'V06 Calend 01'!E84))),('V06 Calend 01'!H84-('V06 Calend 01'!I84*('V06 Calend 01'!E84-1))),'V06 Calend 01'!I84),0))+IF((144='V06 Calend 01'!D84),'V06 Calend 01'!J84,0))</f>
        <v>0</v>
      </c>
      <c r="FA84" s="2">
        <f>((IF((145='V06 Calend 01'!C84),('V06 Calend 01'!F84+'V06 Calend 01'!G84),0)+IF(AND(('V06 Calend 01'!E84&gt;0),(145&gt;'V06 Calend 01'!C84),(145&lt;'V06 Calend 01'!D84),(MOD((145-'V06 Calend 01'!C84),6)=0),(((145-'V06 Calend 01'!C84)/6)&lt;='V06 Calend 01'!E84)),IF((145=('V06 Calend 01'!C84+(6*'V06 Calend 01'!E84))),('V06 Calend 01'!H84-('V06 Calend 01'!I84*('V06 Calend 01'!E84-1))),'V06 Calend 01'!I84),0))+IF((145='V06 Calend 01'!D84),'V06 Calend 01'!J84,0))</f>
        <v>0</v>
      </c>
      <c r="FB84" s="2">
        <f>((IF((146='V06 Calend 01'!C84),('V06 Calend 01'!F84+'V06 Calend 01'!G84),0)+IF(AND(('V06 Calend 01'!E84&gt;0),(146&gt;'V06 Calend 01'!C84),(146&lt;'V06 Calend 01'!D84),(MOD((146-'V06 Calend 01'!C84),6)=0),(((146-'V06 Calend 01'!C84)/6)&lt;='V06 Calend 01'!E84)),IF((146=('V06 Calend 01'!C84+(6*'V06 Calend 01'!E84))),('V06 Calend 01'!H84-('V06 Calend 01'!I84*('V06 Calend 01'!E84-1))),'V06 Calend 01'!I84),0))+IF((146='V06 Calend 01'!D84),'V06 Calend 01'!J84,0))</f>
        <v>0</v>
      </c>
      <c r="FC84" s="2">
        <f>((IF((147='V06 Calend 01'!C84),('V06 Calend 01'!F84+'V06 Calend 01'!G84),0)+IF(AND(('V06 Calend 01'!E84&gt;0),(147&gt;'V06 Calend 01'!C84),(147&lt;'V06 Calend 01'!D84),(MOD((147-'V06 Calend 01'!C84),6)=0),(((147-'V06 Calend 01'!C84)/6)&lt;='V06 Calend 01'!E84)),IF((147=('V06 Calend 01'!C84+(6*'V06 Calend 01'!E84))),('V06 Calend 01'!H84-('V06 Calend 01'!I84*('V06 Calend 01'!E84-1))),'V06 Calend 01'!I84),0))+IF((147='V06 Calend 01'!D84),'V06 Calend 01'!J84,0))</f>
        <v>0</v>
      </c>
      <c r="FD84" s="2">
        <f>((IF((148='V06 Calend 01'!C84),('V06 Calend 01'!F84+'V06 Calend 01'!G84),0)+IF(AND(('V06 Calend 01'!E84&gt;0),(148&gt;'V06 Calend 01'!C84),(148&lt;'V06 Calend 01'!D84),(MOD((148-'V06 Calend 01'!C84),6)=0),(((148-'V06 Calend 01'!C84)/6)&lt;='V06 Calend 01'!E84)),IF((148=('V06 Calend 01'!C84+(6*'V06 Calend 01'!E84))),('V06 Calend 01'!H84-('V06 Calend 01'!I84*('V06 Calend 01'!E84-1))),'V06 Calend 01'!I84),0))+IF((148='V06 Calend 01'!D84),'V06 Calend 01'!J84,0))</f>
        <v>0</v>
      </c>
      <c r="FE84" s="2">
        <f>((IF((149='V06 Calend 01'!C84),('V06 Calend 01'!F84+'V06 Calend 01'!G84),0)+IF(AND(('V06 Calend 01'!E84&gt;0),(149&gt;'V06 Calend 01'!C84),(149&lt;'V06 Calend 01'!D84),(MOD((149-'V06 Calend 01'!C84),6)=0),(((149-'V06 Calend 01'!C84)/6)&lt;='V06 Calend 01'!E84)),IF((149=('V06 Calend 01'!C84+(6*'V06 Calend 01'!E84))),('V06 Calend 01'!H84-('V06 Calend 01'!I84*('V06 Calend 01'!E84-1))),'V06 Calend 01'!I84),0))+IF((149='V06 Calend 01'!D84),'V06 Calend 01'!J84,0))</f>
        <v>0</v>
      </c>
      <c r="FF84" s="2">
        <f>((IF((150='V06 Calend 01'!C84),('V06 Calend 01'!F84+'V06 Calend 01'!G84),0)+IF(AND(('V06 Calend 01'!E84&gt;0),(150&gt;'V06 Calend 01'!C84),(150&lt;'V06 Calend 01'!D84),(MOD((150-'V06 Calend 01'!C84),6)=0),(((150-'V06 Calend 01'!C84)/6)&lt;='V06 Calend 01'!E84)),IF((150=('V06 Calend 01'!C84+(6*'V06 Calend 01'!E84))),('V06 Calend 01'!H84-('V06 Calend 01'!I84*('V06 Calend 01'!E84-1))),'V06 Calend 01'!I84),0))+IF((150='V06 Calend 01'!D84),'V06 Calend 01'!J84,0))</f>
        <v>0</v>
      </c>
      <c r="FG84" s="2">
        <f>((IF((151='V06 Calend 01'!C84),('V06 Calend 01'!F84+'V06 Calend 01'!G84),0)+IF(AND(('V06 Calend 01'!E84&gt;0),(151&gt;'V06 Calend 01'!C84),(151&lt;'V06 Calend 01'!D84),(MOD((151-'V06 Calend 01'!C84),6)=0),(((151-'V06 Calend 01'!C84)/6)&lt;='V06 Calend 01'!E84)),IF((151=('V06 Calend 01'!C84+(6*'V06 Calend 01'!E84))),('V06 Calend 01'!H84-('V06 Calend 01'!I84*('V06 Calend 01'!E84-1))),'V06 Calend 01'!I84),0))+IF((151='V06 Calend 01'!D84),'V06 Calend 01'!J84,0))</f>
        <v>0</v>
      </c>
      <c r="FH84" s="2">
        <f>((IF((152='V06 Calend 01'!C84),('V06 Calend 01'!F84+'V06 Calend 01'!G84),0)+IF(AND(('V06 Calend 01'!E84&gt;0),(152&gt;'V06 Calend 01'!C84),(152&lt;'V06 Calend 01'!D84),(MOD((152-'V06 Calend 01'!C84),6)=0),(((152-'V06 Calend 01'!C84)/6)&lt;='V06 Calend 01'!E84)),IF((152=('V06 Calend 01'!C84+(6*'V06 Calend 01'!E84))),('V06 Calend 01'!H84-('V06 Calend 01'!I84*('V06 Calend 01'!E84-1))),'V06 Calend 01'!I84),0))+IF((152='V06 Calend 01'!D84),'V06 Calend 01'!J84,0))</f>
        <v>0</v>
      </c>
      <c r="FI84" s="2">
        <f>((IF((153='V06 Calend 01'!C84),('V06 Calend 01'!F84+'V06 Calend 01'!G84),0)+IF(AND(('V06 Calend 01'!E84&gt;0),(153&gt;'V06 Calend 01'!C84),(153&lt;'V06 Calend 01'!D84),(MOD((153-'V06 Calend 01'!C84),6)=0),(((153-'V06 Calend 01'!C84)/6)&lt;='V06 Calend 01'!E84)),IF((153=('V06 Calend 01'!C84+(6*'V06 Calend 01'!E84))),('V06 Calend 01'!H84-('V06 Calend 01'!I84*('V06 Calend 01'!E84-1))),'V06 Calend 01'!I84),0))+IF((153='V06 Calend 01'!D84),'V06 Calend 01'!J84,0))</f>
        <v>0</v>
      </c>
      <c r="FJ84" s="2">
        <f>((IF((154='V06 Calend 01'!C84),('V06 Calend 01'!F84+'V06 Calend 01'!G84),0)+IF(AND(('V06 Calend 01'!E84&gt;0),(154&gt;'V06 Calend 01'!C84),(154&lt;'V06 Calend 01'!D84),(MOD((154-'V06 Calend 01'!C84),6)=0),(((154-'V06 Calend 01'!C84)/6)&lt;='V06 Calend 01'!E84)),IF((154=('V06 Calend 01'!C84+(6*'V06 Calend 01'!E84))),('V06 Calend 01'!H84-('V06 Calend 01'!I84*('V06 Calend 01'!E84-1))),'V06 Calend 01'!I84),0))+IF((154='V06 Calend 01'!D84),'V06 Calend 01'!J84,0))</f>
        <v>0</v>
      </c>
      <c r="FK84" s="2">
        <f>((IF((155='V06 Calend 01'!C84),('V06 Calend 01'!F84+'V06 Calend 01'!G84),0)+IF(AND(('V06 Calend 01'!E84&gt;0),(155&gt;'V06 Calend 01'!C84),(155&lt;'V06 Calend 01'!D84),(MOD((155-'V06 Calend 01'!C84),6)=0),(((155-'V06 Calend 01'!C84)/6)&lt;='V06 Calend 01'!E84)),IF((155=('V06 Calend 01'!C84+(6*'V06 Calend 01'!E84))),('V06 Calend 01'!H84-('V06 Calend 01'!I84*('V06 Calend 01'!E84-1))),'V06 Calend 01'!I84),0))+IF((155='V06 Calend 01'!D84),'V06 Calend 01'!J84,0))</f>
        <v>0</v>
      </c>
      <c r="FL84" s="2">
        <f>((IF((156='V06 Calend 01'!C84),('V06 Calend 01'!F84+'V06 Calend 01'!G84),0)+IF(AND(('V06 Calend 01'!E84&gt;0),(156&gt;'V06 Calend 01'!C84),(156&lt;'V06 Calend 01'!D84),(MOD((156-'V06 Calend 01'!C84),6)=0),(((156-'V06 Calend 01'!C84)/6)&lt;='V06 Calend 01'!E84)),IF((156=('V06 Calend 01'!C84+(6*'V06 Calend 01'!E84))),('V06 Calend 01'!H84-('V06 Calend 01'!I84*('V06 Calend 01'!E84-1))),'V06 Calend 01'!I84),0))+IF((156='V06 Calend 01'!D84),'V06 Calend 01'!J84,0))</f>
        <v>0</v>
      </c>
      <c r="FM84" s="2">
        <f>((IF((157='V06 Calend 01'!C84),('V06 Calend 01'!F84+'V06 Calend 01'!G84),0)+IF(AND(('V06 Calend 01'!E84&gt;0),(157&gt;'V06 Calend 01'!C84),(157&lt;'V06 Calend 01'!D84),(MOD((157-'V06 Calend 01'!C84),6)=0),(((157-'V06 Calend 01'!C84)/6)&lt;='V06 Calend 01'!E84)),IF((157=('V06 Calend 01'!C84+(6*'V06 Calend 01'!E84))),('V06 Calend 01'!H84-('V06 Calend 01'!I84*('V06 Calend 01'!E84-1))),'V06 Calend 01'!I84),0))+IF((157='V06 Calend 01'!D84),'V06 Calend 01'!J84,0))</f>
        <v>0</v>
      </c>
      <c r="FN84" s="2">
        <f>((IF((158='V06 Calend 01'!C84),('V06 Calend 01'!F84+'V06 Calend 01'!G84),0)+IF(AND(('V06 Calend 01'!E84&gt;0),(158&gt;'V06 Calend 01'!C84),(158&lt;'V06 Calend 01'!D84),(MOD((158-'V06 Calend 01'!C84),6)=0),(((158-'V06 Calend 01'!C84)/6)&lt;='V06 Calend 01'!E84)),IF((158=('V06 Calend 01'!C84+(6*'V06 Calend 01'!E84))),('V06 Calend 01'!H84-('V06 Calend 01'!I84*('V06 Calend 01'!E84-1))),'V06 Calend 01'!I84),0))+IF((158='V06 Calend 01'!D84),'V06 Calend 01'!J84,0))</f>
        <v>0</v>
      </c>
      <c r="FO84" s="2">
        <f>((IF((159='V06 Calend 01'!C84),('V06 Calend 01'!F84+'V06 Calend 01'!G84),0)+IF(AND(('V06 Calend 01'!E84&gt;0),(159&gt;'V06 Calend 01'!C84),(159&lt;'V06 Calend 01'!D84),(MOD((159-'V06 Calend 01'!C84),6)=0),(((159-'V06 Calend 01'!C84)/6)&lt;='V06 Calend 01'!E84)),IF((159=('V06 Calend 01'!C84+(6*'V06 Calend 01'!E84))),('V06 Calend 01'!H84-('V06 Calend 01'!I84*('V06 Calend 01'!E84-1))),'V06 Calend 01'!I84),0))+IF((159='V06 Calend 01'!D84),'V06 Calend 01'!J84,0))</f>
        <v>0</v>
      </c>
      <c r="FP84" s="2">
        <f>((IF((160='V06 Calend 01'!C84),('V06 Calend 01'!F84+'V06 Calend 01'!G84),0)+IF(AND(('V06 Calend 01'!E84&gt;0),(160&gt;'V06 Calend 01'!C84),(160&lt;'V06 Calend 01'!D84),(MOD((160-'V06 Calend 01'!C84),6)=0),(((160-'V06 Calend 01'!C84)/6)&lt;='V06 Calend 01'!E84)),IF((160=('V06 Calend 01'!C84+(6*'V06 Calend 01'!E84))),('V06 Calend 01'!H84-('V06 Calend 01'!I84*('V06 Calend 01'!E84-1))),'V06 Calend 01'!I84),0))+IF((160='V06 Calend 01'!D84),'V06 Calend 01'!J84,0))</f>
        <v>0</v>
      </c>
      <c r="FQ84" s="2">
        <f>((IF((161='V06 Calend 01'!C84),('V06 Calend 01'!F84+'V06 Calend 01'!G84),0)+IF(AND(('V06 Calend 01'!E84&gt;0),(161&gt;'V06 Calend 01'!C84),(161&lt;'V06 Calend 01'!D84),(MOD((161-'V06 Calend 01'!C84),6)=0),(((161-'V06 Calend 01'!C84)/6)&lt;='V06 Calend 01'!E84)),IF((161=('V06 Calend 01'!C84+(6*'V06 Calend 01'!E84))),('V06 Calend 01'!H84-('V06 Calend 01'!I84*('V06 Calend 01'!E84-1))),'V06 Calend 01'!I84),0))+IF((161='V06 Calend 01'!D84),'V06 Calend 01'!J84,0))</f>
        <v>0</v>
      </c>
      <c r="FR84" s="2">
        <f>((IF((162='V06 Calend 01'!C84),('V06 Calend 01'!F84+'V06 Calend 01'!G84),0)+IF(AND(('V06 Calend 01'!E84&gt;0),(162&gt;'V06 Calend 01'!C84),(162&lt;'V06 Calend 01'!D84),(MOD((162-'V06 Calend 01'!C84),6)=0),(((162-'V06 Calend 01'!C84)/6)&lt;='V06 Calend 01'!E84)),IF((162=('V06 Calend 01'!C84+(6*'V06 Calend 01'!E84))),('V06 Calend 01'!H84-('V06 Calend 01'!I84*('V06 Calend 01'!E84-1))),'V06 Calend 01'!I84),0))+IF((162='V06 Calend 01'!D84),'V06 Calend 01'!J84,0))</f>
        <v>0</v>
      </c>
      <c r="FS84" s="2">
        <f>((IF((163='V06 Calend 01'!C84),('V06 Calend 01'!F84+'V06 Calend 01'!G84),0)+IF(AND(('V06 Calend 01'!E84&gt;0),(163&gt;'V06 Calend 01'!C84),(163&lt;'V06 Calend 01'!D84),(MOD((163-'V06 Calend 01'!C84),6)=0),(((163-'V06 Calend 01'!C84)/6)&lt;='V06 Calend 01'!E84)),IF((163=('V06 Calend 01'!C84+(6*'V06 Calend 01'!E84))),('V06 Calend 01'!H84-('V06 Calend 01'!I84*('V06 Calend 01'!E84-1))),'V06 Calend 01'!I84),0))+IF((163='V06 Calend 01'!D84),'V06 Calend 01'!J84,0))</f>
        <v>0</v>
      </c>
      <c r="FT84" s="2">
        <f>((IF((164='V06 Calend 01'!C84),('V06 Calend 01'!F84+'V06 Calend 01'!G84),0)+IF(AND(('V06 Calend 01'!E84&gt;0),(164&gt;'V06 Calend 01'!C84),(164&lt;'V06 Calend 01'!D84),(MOD((164-'V06 Calend 01'!C84),6)=0),(((164-'V06 Calend 01'!C84)/6)&lt;='V06 Calend 01'!E84)),IF((164=('V06 Calend 01'!C84+(6*'V06 Calend 01'!E84))),('V06 Calend 01'!H84-('V06 Calend 01'!I84*('V06 Calend 01'!E84-1))),'V06 Calend 01'!I84),0))+IF((164='V06 Calend 01'!D84),'V06 Calend 01'!J84,0))</f>
        <v>0</v>
      </c>
      <c r="FU84" s="2">
        <f>((IF((165='V06 Calend 01'!C84),('V06 Calend 01'!F84+'V06 Calend 01'!G84),0)+IF(AND(('V06 Calend 01'!E84&gt;0),(165&gt;'V06 Calend 01'!C84),(165&lt;'V06 Calend 01'!D84),(MOD((165-'V06 Calend 01'!C84),6)=0),(((165-'V06 Calend 01'!C84)/6)&lt;='V06 Calend 01'!E84)),IF((165=('V06 Calend 01'!C84+(6*'V06 Calend 01'!E84))),('V06 Calend 01'!H84-('V06 Calend 01'!I84*('V06 Calend 01'!E84-1))),'V06 Calend 01'!I84),0))+IF((165='V06 Calend 01'!D84),'V06 Calend 01'!J84,0))</f>
        <v>0</v>
      </c>
      <c r="FV84" s="2">
        <f>((IF((166='V06 Calend 01'!C84),('V06 Calend 01'!F84+'V06 Calend 01'!G84),0)+IF(AND(('V06 Calend 01'!E84&gt;0),(166&gt;'V06 Calend 01'!C84),(166&lt;'V06 Calend 01'!D84),(MOD((166-'V06 Calend 01'!C84),6)=0),(((166-'V06 Calend 01'!C84)/6)&lt;='V06 Calend 01'!E84)),IF((166=('V06 Calend 01'!C84+(6*'V06 Calend 01'!E84))),('V06 Calend 01'!H84-('V06 Calend 01'!I84*('V06 Calend 01'!E84-1))),'V06 Calend 01'!I84),0))+IF((166='V06 Calend 01'!D84),'V06 Calend 01'!J84,0))</f>
        <v>0</v>
      </c>
      <c r="FW84" s="2">
        <f>((IF((167='V06 Calend 01'!C84),('V06 Calend 01'!F84+'V06 Calend 01'!G84),0)+IF(AND(('V06 Calend 01'!E84&gt;0),(167&gt;'V06 Calend 01'!C84),(167&lt;'V06 Calend 01'!D84),(MOD((167-'V06 Calend 01'!C84),6)=0),(((167-'V06 Calend 01'!C84)/6)&lt;='V06 Calend 01'!E84)),IF((167=('V06 Calend 01'!C84+(6*'V06 Calend 01'!E84))),('V06 Calend 01'!H84-('V06 Calend 01'!I84*('V06 Calend 01'!E84-1))),'V06 Calend 01'!I84),0))+IF((167='V06 Calend 01'!D84),'V06 Calend 01'!J84,0))</f>
        <v>0</v>
      </c>
      <c r="FX84" s="2">
        <f>((IF((168='V06 Calend 01'!C84),('V06 Calend 01'!F84+'V06 Calend 01'!G84),0)+IF(AND(('V06 Calend 01'!E84&gt;0),(168&gt;'V06 Calend 01'!C84),(168&lt;'V06 Calend 01'!D84),(MOD((168-'V06 Calend 01'!C84),6)=0),(((168-'V06 Calend 01'!C84)/6)&lt;='V06 Calend 01'!E84)),IF((168=('V06 Calend 01'!C84+(6*'V06 Calend 01'!E84))),('V06 Calend 01'!H84-('V06 Calend 01'!I84*('V06 Calend 01'!E84-1))),'V06 Calend 01'!I84),0))+IF((168='V06 Calend 01'!D84),'V06 Calend 01'!J84,0))</f>
        <v>0</v>
      </c>
      <c r="FY84" s="2">
        <f>((IF((169='V06 Calend 01'!C84),('V06 Calend 01'!F84+'V06 Calend 01'!G84),0)+IF(AND(('V06 Calend 01'!E84&gt;0),(169&gt;'V06 Calend 01'!C84),(169&lt;'V06 Calend 01'!D84),(MOD((169-'V06 Calend 01'!C84),6)=0),(((169-'V06 Calend 01'!C84)/6)&lt;='V06 Calend 01'!E84)),IF((169=('V06 Calend 01'!C84+(6*'V06 Calend 01'!E84))),('V06 Calend 01'!H84-('V06 Calend 01'!I84*('V06 Calend 01'!E84-1))),'V06 Calend 01'!I84),0))+IF((169='V06 Calend 01'!D84),'V06 Calend 01'!J84,0))</f>
        <v>0</v>
      </c>
      <c r="FZ84" s="2">
        <f>((IF((170='V06 Calend 01'!C84),('V06 Calend 01'!F84+'V06 Calend 01'!G84),0)+IF(AND(('V06 Calend 01'!E84&gt;0),(170&gt;'V06 Calend 01'!C84),(170&lt;'V06 Calend 01'!D84),(MOD((170-'V06 Calend 01'!C84),6)=0),(((170-'V06 Calend 01'!C84)/6)&lt;='V06 Calend 01'!E84)),IF((170=('V06 Calend 01'!C84+(6*'V06 Calend 01'!E84))),('V06 Calend 01'!H84-('V06 Calend 01'!I84*('V06 Calend 01'!E84-1))),'V06 Calend 01'!I84),0))+IF((170='V06 Calend 01'!D84),'V06 Calend 01'!J84,0))</f>
        <v>0</v>
      </c>
      <c r="GA84" s="2">
        <f>((IF((171='V06 Calend 01'!C84),('V06 Calend 01'!F84+'V06 Calend 01'!G84),0)+IF(AND(('V06 Calend 01'!E84&gt;0),(171&gt;'V06 Calend 01'!C84),(171&lt;'V06 Calend 01'!D84),(MOD((171-'V06 Calend 01'!C84),6)=0),(((171-'V06 Calend 01'!C84)/6)&lt;='V06 Calend 01'!E84)),IF((171=('V06 Calend 01'!C84+(6*'V06 Calend 01'!E84))),('V06 Calend 01'!H84-('V06 Calend 01'!I84*('V06 Calend 01'!E84-1))),'V06 Calend 01'!I84),0))+IF((171='V06 Calend 01'!D84),'V06 Calend 01'!J84,0))</f>
        <v>0</v>
      </c>
      <c r="GB84" s="2">
        <f>((IF((172='V06 Calend 01'!C84),('V06 Calend 01'!F84+'V06 Calend 01'!G84),0)+IF(AND(('V06 Calend 01'!E84&gt;0),(172&gt;'V06 Calend 01'!C84),(172&lt;'V06 Calend 01'!D84),(MOD((172-'V06 Calend 01'!C84),6)=0),(((172-'V06 Calend 01'!C84)/6)&lt;='V06 Calend 01'!E84)),IF((172=('V06 Calend 01'!C84+(6*'V06 Calend 01'!E84))),('V06 Calend 01'!H84-('V06 Calend 01'!I84*('V06 Calend 01'!E84-1))),'V06 Calend 01'!I84),0))+IF((172='V06 Calend 01'!D84),'V06 Calend 01'!J84,0))</f>
        <v>0</v>
      </c>
      <c r="GC84" s="2">
        <f>((IF((173='V06 Calend 01'!C84),('V06 Calend 01'!F84+'V06 Calend 01'!G84),0)+IF(AND(('V06 Calend 01'!E84&gt;0),(173&gt;'V06 Calend 01'!C84),(173&lt;'V06 Calend 01'!D84),(MOD((173-'V06 Calend 01'!C84),6)=0),(((173-'V06 Calend 01'!C84)/6)&lt;='V06 Calend 01'!E84)),IF((173=('V06 Calend 01'!C84+(6*'V06 Calend 01'!E84))),('V06 Calend 01'!H84-('V06 Calend 01'!I84*('V06 Calend 01'!E84-1))),'V06 Calend 01'!I84),0))+IF((173='V06 Calend 01'!D84),'V06 Calend 01'!J84,0))</f>
        <v>0</v>
      </c>
      <c r="GD84" s="2">
        <f>((IF((174='V06 Calend 01'!C84),('V06 Calend 01'!F84+'V06 Calend 01'!G84),0)+IF(AND(('V06 Calend 01'!E84&gt;0),(174&gt;'V06 Calend 01'!C84),(174&lt;'V06 Calend 01'!D84),(MOD((174-'V06 Calend 01'!C84),6)=0),(((174-'V06 Calend 01'!C84)/6)&lt;='V06 Calend 01'!E84)),IF((174=('V06 Calend 01'!C84+(6*'V06 Calend 01'!E84))),('V06 Calend 01'!H84-('V06 Calend 01'!I84*('V06 Calend 01'!E84-1))),'V06 Calend 01'!I84),0))+IF((174='V06 Calend 01'!D84),'V06 Calend 01'!J84,0))</f>
        <v>0</v>
      </c>
      <c r="GE84" s="2">
        <f>((IF((175='V06 Calend 01'!C84),('V06 Calend 01'!F84+'V06 Calend 01'!G84),0)+IF(AND(('V06 Calend 01'!E84&gt;0),(175&gt;'V06 Calend 01'!C84),(175&lt;'V06 Calend 01'!D84),(MOD((175-'V06 Calend 01'!C84),6)=0),(((175-'V06 Calend 01'!C84)/6)&lt;='V06 Calend 01'!E84)),IF((175=('V06 Calend 01'!C84+(6*'V06 Calend 01'!E84))),('V06 Calend 01'!H84-('V06 Calend 01'!I84*('V06 Calend 01'!E84-1))),'V06 Calend 01'!I84),0))+IF((175='V06 Calend 01'!D84),'V06 Calend 01'!J84,0))</f>
        <v>0</v>
      </c>
      <c r="GF84" s="2">
        <f>((IF((176='V06 Calend 01'!C84),('V06 Calend 01'!F84+'V06 Calend 01'!G84),0)+IF(AND(('V06 Calend 01'!E84&gt;0),(176&gt;'V06 Calend 01'!C84),(176&lt;'V06 Calend 01'!D84),(MOD((176-'V06 Calend 01'!C84),6)=0),(((176-'V06 Calend 01'!C84)/6)&lt;='V06 Calend 01'!E84)),IF((176=('V06 Calend 01'!C84+(6*'V06 Calend 01'!E84))),('V06 Calend 01'!H84-('V06 Calend 01'!I84*('V06 Calend 01'!E84-1))),'V06 Calend 01'!I84),0))+IF((176='V06 Calend 01'!D84),'V06 Calend 01'!J84,0))</f>
        <v>0</v>
      </c>
      <c r="GG84" s="2">
        <f>((IF((177='V06 Calend 01'!C84),('V06 Calend 01'!F84+'V06 Calend 01'!G84),0)+IF(AND(('V06 Calend 01'!E84&gt;0),(177&gt;'V06 Calend 01'!C84),(177&lt;'V06 Calend 01'!D84),(MOD((177-'V06 Calend 01'!C84),6)=0),(((177-'V06 Calend 01'!C84)/6)&lt;='V06 Calend 01'!E84)),IF((177=('V06 Calend 01'!C84+(6*'V06 Calend 01'!E84))),('V06 Calend 01'!H84-('V06 Calend 01'!I84*('V06 Calend 01'!E84-1))),'V06 Calend 01'!I84),0))+IF((177='V06 Calend 01'!D84),'V06 Calend 01'!J84,0))</f>
        <v>0</v>
      </c>
      <c r="GH84" s="2">
        <f>((IF((178='V06 Calend 01'!C84),('V06 Calend 01'!F84+'V06 Calend 01'!G84),0)+IF(AND(('V06 Calend 01'!E84&gt;0),(178&gt;'V06 Calend 01'!C84),(178&lt;'V06 Calend 01'!D84),(MOD((178-'V06 Calend 01'!C84),6)=0),(((178-'V06 Calend 01'!C84)/6)&lt;='V06 Calend 01'!E84)),IF((178=('V06 Calend 01'!C84+(6*'V06 Calend 01'!E84))),('V06 Calend 01'!H84-('V06 Calend 01'!I84*('V06 Calend 01'!E84-1))),'V06 Calend 01'!I84),0))+IF((178='V06 Calend 01'!D84),'V06 Calend 01'!J84,0))</f>
        <v>0</v>
      </c>
      <c r="GI84" s="2">
        <f>((IF((179='V06 Calend 01'!C84),('V06 Calend 01'!F84+'V06 Calend 01'!G84),0)+IF(AND(('V06 Calend 01'!E84&gt;0),(179&gt;'V06 Calend 01'!C84),(179&lt;'V06 Calend 01'!D84),(MOD((179-'V06 Calend 01'!C84),6)=0),(((179-'V06 Calend 01'!C84)/6)&lt;='V06 Calend 01'!E84)),IF((179=('V06 Calend 01'!C84+(6*'V06 Calend 01'!E84))),('V06 Calend 01'!H84-('V06 Calend 01'!I84*('V06 Calend 01'!E84-1))),'V06 Calend 01'!I84),0))+IF((179='V06 Calend 01'!D84),'V06 Calend 01'!J84,0))</f>
        <v>0</v>
      </c>
      <c r="GJ84" s="2">
        <f>((IF((180='V06 Calend 01'!C84),('V06 Calend 01'!F84+'V06 Calend 01'!G84),0)+IF(AND(('V06 Calend 01'!E84&gt;0),(180&gt;'V06 Calend 01'!C84),(180&lt;'V06 Calend 01'!D84),(MOD((180-'V06 Calend 01'!C84),6)=0),(((180-'V06 Calend 01'!C84)/6)&lt;='V06 Calend 01'!E84)),IF((180=('V06 Calend 01'!C84+(6*'V06 Calend 01'!E84))),('V06 Calend 01'!H84-('V06 Calend 01'!I84*('V06 Calend 01'!E84-1))),'V06 Calend 01'!I84),0))+IF((180='V06 Calend 01'!D84),'V06 Calend 01'!J84,0))</f>
        <v>0</v>
      </c>
    </row>
    <row r="85" spans="1:192">
      <c r="A85" s="3" t="str">
        <f>'V06 Unidades'!$A$85</f>
        <v>1001</v>
      </c>
      <c r="B85" s="2">
        <f>'V06 Unidades'!$H$85</f>
        <v>1092133.57</v>
      </c>
      <c r="C85" s="4">
        <f>('V06 Unidades'!$I$85+'V06 Controlos'!$B$37)</f>
        <v>10</v>
      </c>
      <c r="D85" s="4">
        <f>IF(('V06 Controlos'!$B$38&gt;0),MAX(('V06 Unidades'!$L$85+'V06 Controlos'!$B$37),(30+'V06 Controlos'!$B$38)),('V06 Unidades'!$L$85+'V06 Controlos'!$B$37))</f>
        <v>30</v>
      </c>
      <c r="E85" s="4">
        <f>MAX(0,INT(((('V06 Calend 01'!D85-'V06 Calend 01'!C85)-1)/6)))</f>
        <v>3</v>
      </c>
      <c r="F85" s="2">
        <f>ROUND(('V06 Calend 01'!B85*0.05),2)</f>
        <v>54606.68</v>
      </c>
      <c r="G85" s="2">
        <f>ROUND(('V06 Calend 01'!B85*0.2),2)</f>
        <v>218426.71</v>
      </c>
      <c r="H85" s="2">
        <f>ROUND(('V06 Calend 01'!B85*0.55),2)</f>
        <v>600673.46</v>
      </c>
      <c r="I85" s="2">
        <f>ROUND(('V06 Calend 01'!H85/MAX(1,'V06 Calend 01'!E85)),2)</f>
        <v>200224.49</v>
      </c>
      <c r="J85" s="2">
        <f>((('V06 Calend 01'!B85-'V06 Calend 01'!F85)-'V06 Calend 01'!G85)-'V06 Calend 01'!H85)</f>
        <v>218426.7200000001</v>
      </c>
      <c r="K85" s="2">
        <f>('V06 Calend 01'!B85*0.025)</f>
        <v>27303.339250000005</v>
      </c>
      <c r="L85" t="s">
        <v>378</v>
      </c>
      <c r="M85" s="2">
        <f>((IF((1='V06 Calend 01'!C85),('V06 Calend 01'!F85+'V06 Calend 01'!G85),0)+IF(AND(('V06 Calend 01'!E85&gt;0),(1&gt;'V06 Calend 01'!C85),(1&lt;'V06 Calend 01'!D85),(MOD((1-'V06 Calend 01'!C85),6)=0),(((1-'V06 Calend 01'!C85)/6)&lt;='V06 Calend 01'!E85)),IF((1=('V06 Calend 01'!C85+(6*'V06 Calend 01'!E85))),('V06 Calend 01'!H85-('V06 Calend 01'!I85*('V06 Calend 01'!E85-1))),'V06 Calend 01'!I85),0))+IF((1='V06 Calend 01'!D85),'V06 Calend 01'!J85,0))</f>
        <v>0</v>
      </c>
      <c r="N85" s="2">
        <f>((IF((2='V06 Calend 01'!C85),('V06 Calend 01'!F85+'V06 Calend 01'!G85),0)+IF(AND(('V06 Calend 01'!E85&gt;0),(2&gt;'V06 Calend 01'!C85),(2&lt;'V06 Calend 01'!D85),(MOD((2-'V06 Calend 01'!C85),6)=0),(((2-'V06 Calend 01'!C85)/6)&lt;='V06 Calend 01'!E85)),IF((2=('V06 Calend 01'!C85+(6*'V06 Calend 01'!E85))),('V06 Calend 01'!H85-('V06 Calend 01'!I85*('V06 Calend 01'!E85-1))),'V06 Calend 01'!I85),0))+IF((2='V06 Calend 01'!D85),'V06 Calend 01'!J85,0))</f>
        <v>0</v>
      </c>
      <c r="O85" s="2">
        <f>((IF((3='V06 Calend 01'!C85),('V06 Calend 01'!F85+'V06 Calend 01'!G85),0)+IF(AND(('V06 Calend 01'!E85&gt;0),(3&gt;'V06 Calend 01'!C85),(3&lt;'V06 Calend 01'!D85),(MOD((3-'V06 Calend 01'!C85),6)=0),(((3-'V06 Calend 01'!C85)/6)&lt;='V06 Calend 01'!E85)),IF((3=('V06 Calend 01'!C85+(6*'V06 Calend 01'!E85))),('V06 Calend 01'!H85-('V06 Calend 01'!I85*('V06 Calend 01'!E85-1))),'V06 Calend 01'!I85),0))+IF((3='V06 Calend 01'!D85),'V06 Calend 01'!J85,0))</f>
        <v>0</v>
      </c>
      <c r="P85" s="2">
        <f>((IF((4='V06 Calend 01'!C85),('V06 Calend 01'!F85+'V06 Calend 01'!G85),0)+IF(AND(('V06 Calend 01'!E85&gt;0),(4&gt;'V06 Calend 01'!C85),(4&lt;'V06 Calend 01'!D85),(MOD((4-'V06 Calend 01'!C85),6)=0),(((4-'V06 Calend 01'!C85)/6)&lt;='V06 Calend 01'!E85)),IF((4=('V06 Calend 01'!C85+(6*'V06 Calend 01'!E85))),('V06 Calend 01'!H85-('V06 Calend 01'!I85*('V06 Calend 01'!E85-1))),'V06 Calend 01'!I85),0))+IF((4='V06 Calend 01'!D85),'V06 Calend 01'!J85,0))</f>
        <v>0</v>
      </c>
      <c r="Q85" s="2">
        <f>((IF((5='V06 Calend 01'!C85),('V06 Calend 01'!F85+'V06 Calend 01'!G85),0)+IF(AND(('V06 Calend 01'!E85&gt;0),(5&gt;'V06 Calend 01'!C85),(5&lt;'V06 Calend 01'!D85),(MOD((5-'V06 Calend 01'!C85),6)=0),(((5-'V06 Calend 01'!C85)/6)&lt;='V06 Calend 01'!E85)),IF((5=('V06 Calend 01'!C85+(6*'V06 Calend 01'!E85))),('V06 Calend 01'!H85-('V06 Calend 01'!I85*('V06 Calend 01'!E85-1))),'V06 Calend 01'!I85),0))+IF((5='V06 Calend 01'!D85),'V06 Calend 01'!J85,0))</f>
        <v>0</v>
      </c>
      <c r="R85" s="2">
        <f>((IF((6='V06 Calend 01'!C85),('V06 Calend 01'!F85+'V06 Calend 01'!G85),0)+IF(AND(('V06 Calend 01'!E85&gt;0),(6&gt;'V06 Calend 01'!C85),(6&lt;'V06 Calend 01'!D85),(MOD((6-'V06 Calend 01'!C85),6)=0),(((6-'V06 Calend 01'!C85)/6)&lt;='V06 Calend 01'!E85)),IF((6=('V06 Calend 01'!C85+(6*'V06 Calend 01'!E85))),('V06 Calend 01'!H85-('V06 Calend 01'!I85*('V06 Calend 01'!E85-1))),'V06 Calend 01'!I85),0))+IF((6='V06 Calend 01'!D85),'V06 Calend 01'!J85,0))</f>
        <v>0</v>
      </c>
      <c r="S85" s="2">
        <f>((IF((7='V06 Calend 01'!C85),('V06 Calend 01'!F85+'V06 Calend 01'!G85),0)+IF(AND(('V06 Calend 01'!E85&gt;0),(7&gt;'V06 Calend 01'!C85),(7&lt;'V06 Calend 01'!D85),(MOD((7-'V06 Calend 01'!C85),6)=0),(((7-'V06 Calend 01'!C85)/6)&lt;='V06 Calend 01'!E85)),IF((7=('V06 Calend 01'!C85+(6*'V06 Calend 01'!E85))),('V06 Calend 01'!H85-('V06 Calend 01'!I85*('V06 Calend 01'!E85-1))),'V06 Calend 01'!I85),0))+IF((7='V06 Calend 01'!D85),'V06 Calend 01'!J85,0))</f>
        <v>0</v>
      </c>
      <c r="T85" s="2">
        <f>((IF((8='V06 Calend 01'!C85),('V06 Calend 01'!F85+'V06 Calend 01'!G85),0)+IF(AND(('V06 Calend 01'!E85&gt;0),(8&gt;'V06 Calend 01'!C85),(8&lt;'V06 Calend 01'!D85),(MOD((8-'V06 Calend 01'!C85),6)=0),(((8-'V06 Calend 01'!C85)/6)&lt;='V06 Calend 01'!E85)),IF((8=('V06 Calend 01'!C85+(6*'V06 Calend 01'!E85))),('V06 Calend 01'!H85-('V06 Calend 01'!I85*('V06 Calend 01'!E85-1))),'V06 Calend 01'!I85),0))+IF((8='V06 Calend 01'!D85),'V06 Calend 01'!J85,0))</f>
        <v>0</v>
      </c>
      <c r="U85" s="2">
        <f>((IF((9='V06 Calend 01'!C85),('V06 Calend 01'!F85+'V06 Calend 01'!G85),0)+IF(AND(('V06 Calend 01'!E85&gt;0),(9&gt;'V06 Calend 01'!C85),(9&lt;'V06 Calend 01'!D85),(MOD((9-'V06 Calend 01'!C85),6)=0),(((9-'V06 Calend 01'!C85)/6)&lt;='V06 Calend 01'!E85)),IF((9=('V06 Calend 01'!C85+(6*'V06 Calend 01'!E85))),('V06 Calend 01'!H85-('V06 Calend 01'!I85*('V06 Calend 01'!E85-1))),'V06 Calend 01'!I85),0))+IF((9='V06 Calend 01'!D85),'V06 Calend 01'!J85,0))</f>
        <v>0</v>
      </c>
      <c r="V85" s="2">
        <f>((IF((10='V06 Calend 01'!C85),('V06 Calend 01'!F85+'V06 Calend 01'!G85),0)+IF(AND(('V06 Calend 01'!E85&gt;0),(10&gt;'V06 Calend 01'!C85),(10&lt;'V06 Calend 01'!D85),(MOD((10-'V06 Calend 01'!C85),6)=0),(((10-'V06 Calend 01'!C85)/6)&lt;='V06 Calend 01'!E85)),IF((10=('V06 Calend 01'!C85+(6*'V06 Calend 01'!E85))),('V06 Calend 01'!H85-('V06 Calend 01'!I85*('V06 Calend 01'!E85-1))),'V06 Calend 01'!I85),0))+IF((10='V06 Calend 01'!D85),'V06 Calend 01'!J85,0))</f>
        <v>273033.39</v>
      </c>
      <c r="W85" s="2">
        <f>((IF((11='V06 Calend 01'!C85),('V06 Calend 01'!F85+'V06 Calend 01'!G85),0)+IF(AND(('V06 Calend 01'!E85&gt;0),(11&gt;'V06 Calend 01'!C85),(11&lt;'V06 Calend 01'!D85),(MOD((11-'V06 Calend 01'!C85),6)=0),(((11-'V06 Calend 01'!C85)/6)&lt;='V06 Calend 01'!E85)),IF((11=('V06 Calend 01'!C85+(6*'V06 Calend 01'!E85))),('V06 Calend 01'!H85-('V06 Calend 01'!I85*('V06 Calend 01'!E85-1))),'V06 Calend 01'!I85),0))+IF((11='V06 Calend 01'!D85),'V06 Calend 01'!J85,0))</f>
        <v>0</v>
      </c>
      <c r="X85" s="2">
        <f>((IF((12='V06 Calend 01'!C85),('V06 Calend 01'!F85+'V06 Calend 01'!G85),0)+IF(AND(('V06 Calend 01'!E85&gt;0),(12&gt;'V06 Calend 01'!C85),(12&lt;'V06 Calend 01'!D85),(MOD((12-'V06 Calend 01'!C85),6)=0),(((12-'V06 Calend 01'!C85)/6)&lt;='V06 Calend 01'!E85)),IF((12=('V06 Calend 01'!C85+(6*'V06 Calend 01'!E85))),('V06 Calend 01'!H85-('V06 Calend 01'!I85*('V06 Calend 01'!E85-1))),'V06 Calend 01'!I85),0))+IF((12='V06 Calend 01'!D85),'V06 Calend 01'!J85,0))</f>
        <v>0</v>
      </c>
      <c r="Y85" s="2">
        <f>((IF((13='V06 Calend 01'!C85),('V06 Calend 01'!F85+'V06 Calend 01'!G85),0)+IF(AND(('V06 Calend 01'!E85&gt;0),(13&gt;'V06 Calend 01'!C85),(13&lt;'V06 Calend 01'!D85),(MOD((13-'V06 Calend 01'!C85),6)=0),(((13-'V06 Calend 01'!C85)/6)&lt;='V06 Calend 01'!E85)),IF((13=('V06 Calend 01'!C85+(6*'V06 Calend 01'!E85))),('V06 Calend 01'!H85-('V06 Calend 01'!I85*('V06 Calend 01'!E85-1))),'V06 Calend 01'!I85),0))+IF((13='V06 Calend 01'!D85),'V06 Calend 01'!J85,0))</f>
        <v>0</v>
      </c>
      <c r="Z85" s="2">
        <f>((IF((14='V06 Calend 01'!C85),('V06 Calend 01'!F85+'V06 Calend 01'!G85),0)+IF(AND(('V06 Calend 01'!E85&gt;0),(14&gt;'V06 Calend 01'!C85),(14&lt;'V06 Calend 01'!D85),(MOD((14-'V06 Calend 01'!C85),6)=0),(((14-'V06 Calend 01'!C85)/6)&lt;='V06 Calend 01'!E85)),IF((14=('V06 Calend 01'!C85+(6*'V06 Calend 01'!E85))),('V06 Calend 01'!H85-('V06 Calend 01'!I85*('V06 Calend 01'!E85-1))),'V06 Calend 01'!I85),0))+IF((14='V06 Calend 01'!D85),'V06 Calend 01'!J85,0))</f>
        <v>0</v>
      </c>
      <c r="AA85" s="2">
        <f>((IF((15='V06 Calend 01'!C85),('V06 Calend 01'!F85+'V06 Calend 01'!G85),0)+IF(AND(('V06 Calend 01'!E85&gt;0),(15&gt;'V06 Calend 01'!C85),(15&lt;'V06 Calend 01'!D85),(MOD((15-'V06 Calend 01'!C85),6)=0),(((15-'V06 Calend 01'!C85)/6)&lt;='V06 Calend 01'!E85)),IF((15=('V06 Calend 01'!C85+(6*'V06 Calend 01'!E85))),('V06 Calend 01'!H85-('V06 Calend 01'!I85*('V06 Calend 01'!E85-1))),'V06 Calend 01'!I85),0))+IF((15='V06 Calend 01'!D85),'V06 Calend 01'!J85,0))</f>
        <v>0</v>
      </c>
      <c r="AB85" s="2">
        <f>((IF((16='V06 Calend 01'!C85),('V06 Calend 01'!F85+'V06 Calend 01'!G85),0)+IF(AND(('V06 Calend 01'!E85&gt;0),(16&gt;'V06 Calend 01'!C85),(16&lt;'V06 Calend 01'!D85),(MOD((16-'V06 Calend 01'!C85),6)=0),(((16-'V06 Calend 01'!C85)/6)&lt;='V06 Calend 01'!E85)),IF((16=('V06 Calend 01'!C85+(6*'V06 Calend 01'!E85))),('V06 Calend 01'!H85-('V06 Calend 01'!I85*('V06 Calend 01'!E85-1))),'V06 Calend 01'!I85),0))+IF((16='V06 Calend 01'!D85),'V06 Calend 01'!J85,0))</f>
        <v>200224.49</v>
      </c>
      <c r="AC85" s="2">
        <f>((IF((17='V06 Calend 01'!C85),('V06 Calend 01'!F85+'V06 Calend 01'!G85),0)+IF(AND(('V06 Calend 01'!E85&gt;0),(17&gt;'V06 Calend 01'!C85),(17&lt;'V06 Calend 01'!D85),(MOD((17-'V06 Calend 01'!C85),6)=0),(((17-'V06 Calend 01'!C85)/6)&lt;='V06 Calend 01'!E85)),IF((17=('V06 Calend 01'!C85+(6*'V06 Calend 01'!E85))),('V06 Calend 01'!H85-('V06 Calend 01'!I85*('V06 Calend 01'!E85-1))),'V06 Calend 01'!I85),0))+IF((17='V06 Calend 01'!D85),'V06 Calend 01'!J85,0))</f>
        <v>0</v>
      </c>
      <c r="AD85" s="2">
        <f>((IF((18='V06 Calend 01'!C85),('V06 Calend 01'!F85+'V06 Calend 01'!G85),0)+IF(AND(('V06 Calend 01'!E85&gt;0),(18&gt;'V06 Calend 01'!C85),(18&lt;'V06 Calend 01'!D85),(MOD((18-'V06 Calend 01'!C85),6)=0),(((18-'V06 Calend 01'!C85)/6)&lt;='V06 Calend 01'!E85)),IF((18=('V06 Calend 01'!C85+(6*'V06 Calend 01'!E85))),('V06 Calend 01'!H85-('V06 Calend 01'!I85*('V06 Calend 01'!E85-1))),'V06 Calend 01'!I85),0))+IF((18='V06 Calend 01'!D85),'V06 Calend 01'!J85,0))</f>
        <v>0</v>
      </c>
      <c r="AE85" s="2">
        <f>((IF((19='V06 Calend 01'!C85),('V06 Calend 01'!F85+'V06 Calend 01'!G85),0)+IF(AND(('V06 Calend 01'!E85&gt;0),(19&gt;'V06 Calend 01'!C85),(19&lt;'V06 Calend 01'!D85),(MOD((19-'V06 Calend 01'!C85),6)=0),(((19-'V06 Calend 01'!C85)/6)&lt;='V06 Calend 01'!E85)),IF((19=('V06 Calend 01'!C85+(6*'V06 Calend 01'!E85))),('V06 Calend 01'!H85-('V06 Calend 01'!I85*('V06 Calend 01'!E85-1))),'V06 Calend 01'!I85),0))+IF((19='V06 Calend 01'!D85),'V06 Calend 01'!J85,0))</f>
        <v>0</v>
      </c>
      <c r="AF85" s="2">
        <f>((IF((20='V06 Calend 01'!C85),('V06 Calend 01'!F85+'V06 Calend 01'!G85),0)+IF(AND(('V06 Calend 01'!E85&gt;0),(20&gt;'V06 Calend 01'!C85),(20&lt;'V06 Calend 01'!D85),(MOD((20-'V06 Calend 01'!C85),6)=0),(((20-'V06 Calend 01'!C85)/6)&lt;='V06 Calend 01'!E85)),IF((20=('V06 Calend 01'!C85+(6*'V06 Calend 01'!E85))),('V06 Calend 01'!H85-('V06 Calend 01'!I85*('V06 Calend 01'!E85-1))),'V06 Calend 01'!I85),0))+IF((20='V06 Calend 01'!D85),'V06 Calend 01'!J85,0))</f>
        <v>0</v>
      </c>
      <c r="AG85" s="2">
        <f>((IF((21='V06 Calend 01'!C85),('V06 Calend 01'!F85+'V06 Calend 01'!G85),0)+IF(AND(('V06 Calend 01'!E85&gt;0),(21&gt;'V06 Calend 01'!C85),(21&lt;'V06 Calend 01'!D85),(MOD((21-'V06 Calend 01'!C85),6)=0),(((21-'V06 Calend 01'!C85)/6)&lt;='V06 Calend 01'!E85)),IF((21=('V06 Calend 01'!C85+(6*'V06 Calend 01'!E85))),('V06 Calend 01'!H85-('V06 Calend 01'!I85*('V06 Calend 01'!E85-1))),'V06 Calend 01'!I85),0))+IF((21='V06 Calend 01'!D85),'V06 Calend 01'!J85,0))</f>
        <v>0</v>
      </c>
      <c r="AH85" s="2">
        <f>((IF((22='V06 Calend 01'!C85),('V06 Calend 01'!F85+'V06 Calend 01'!G85),0)+IF(AND(('V06 Calend 01'!E85&gt;0),(22&gt;'V06 Calend 01'!C85),(22&lt;'V06 Calend 01'!D85),(MOD((22-'V06 Calend 01'!C85),6)=0),(((22-'V06 Calend 01'!C85)/6)&lt;='V06 Calend 01'!E85)),IF((22=('V06 Calend 01'!C85+(6*'V06 Calend 01'!E85))),('V06 Calend 01'!H85-('V06 Calend 01'!I85*('V06 Calend 01'!E85-1))),'V06 Calend 01'!I85),0))+IF((22='V06 Calend 01'!D85),'V06 Calend 01'!J85,0))</f>
        <v>200224.49</v>
      </c>
      <c r="AI85" s="2">
        <f>((IF((23='V06 Calend 01'!C85),('V06 Calend 01'!F85+'V06 Calend 01'!G85),0)+IF(AND(('V06 Calend 01'!E85&gt;0),(23&gt;'V06 Calend 01'!C85),(23&lt;'V06 Calend 01'!D85),(MOD((23-'V06 Calend 01'!C85),6)=0),(((23-'V06 Calend 01'!C85)/6)&lt;='V06 Calend 01'!E85)),IF((23=('V06 Calend 01'!C85+(6*'V06 Calend 01'!E85))),('V06 Calend 01'!H85-('V06 Calend 01'!I85*('V06 Calend 01'!E85-1))),'V06 Calend 01'!I85),0))+IF((23='V06 Calend 01'!D85),'V06 Calend 01'!J85,0))</f>
        <v>0</v>
      </c>
      <c r="AJ85" s="2">
        <f>((IF((24='V06 Calend 01'!C85),('V06 Calend 01'!F85+'V06 Calend 01'!G85),0)+IF(AND(('V06 Calend 01'!E85&gt;0),(24&gt;'V06 Calend 01'!C85),(24&lt;'V06 Calend 01'!D85),(MOD((24-'V06 Calend 01'!C85),6)=0),(((24-'V06 Calend 01'!C85)/6)&lt;='V06 Calend 01'!E85)),IF((24=('V06 Calend 01'!C85+(6*'V06 Calend 01'!E85))),('V06 Calend 01'!H85-('V06 Calend 01'!I85*('V06 Calend 01'!E85-1))),'V06 Calend 01'!I85),0))+IF((24='V06 Calend 01'!D85),'V06 Calend 01'!J85,0))</f>
        <v>0</v>
      </c>
      <c r="AK85" s="2">
        <f>((IF((25='V06 Calend 01'!C85),('V06 Calend 01'!F85+'V06 Calend 01'!G85),0)+IF(AND(('V06 Calend 01'!E85&gt;0),(25&gt;'V06 Calend 01'!C85),(25&lt;'V06 Calend 01'!D85),(MOD((25-'V06 Calend 01'!C85),6)=0),(((25-'V06 Calend 01'!C85)/6)&lt;='V06 Calend 01'!E85)),IF((25=('V06 Calend 01'!C85+(6*'V06 Calend 01'!E85))),('V06 Calend 01'!H85-('V06 Calend 01'!I85*('V06 Calend 01'!E85-1))),'V06 Calend 01'!I85),0))+IF((25='V06 Calend 01'!D85),'V06 Calend 01'!J85,0))</f>
        <v>0</v>
      </c>
      <c r="AL85" s="2">
        <f>((IF((26='V06 Calend 01'!C85),('V06 Calend 01'!F85+'V06 Calend 01'!G85),0)+IF(AND(('V06 Calend 01'!E85&gt;0),(26&gt;'V06 Calend 01'!C85),(26&lt;'V06 Calend 01'!D85),(MOD((26-'V06 Calend 01'!C85),6)=0),(((26-'V06 Calend 01'!C85)/6)&lt;='V06 Calend 01'!E85)),IF((26=('V06 Calend 01'!C85+(6*'V06 Calend 01'!E85))),('V06 Calend 01'!H85-('V06 Calend 01'!I85*('V06 Calend 01'!E85-1))),'V06 Calend 01'!I85),0))+IF((26='V06 Calend 01'!D85),'V06 Calend 01'!J85,0))</f>
        <v>0</v>
      </c>
      <c r="AM85" s="2">
        <f>((IF((27='V06 Calend 01'!C85),('V06 Calend 01'!F85+'V06 Calend 01'!G85),0)+IF(AND(('V06 Calend 01'!E85&gt;0),(27&gt;'V06 Calend 01'!C85),(27&lt;'V06 Calend 01'!D85),(MOD((27-'V06 Calend 01'!C85),6)=0),(((27-'V06 Calend 01'!C85)/6)&lt;='V06 Calend 01'!E85)),IF((27=('V06 Calend 01'!C85+(6*'V06 Calend 01'!E85))),('V06 Calend 01'!H85-('V06 Calend 01'!I85*('V06 Calend 01'!E85-1))),'V06 Calend 01'!I85),0))+IF((27='V06 Calend 01'!D85),'V06 Calend 01'!J85,0))</f>
        <v>0</v>
      </c>
      <c r="AN85" s="2">
        <f>((IF((28='V06 Calend 01'!C85),('V06 Calend 01'!F85+'V06 Calend 01'!G85),0)+IF(AND(('V06 Calend 01'!E85&gt;0),(28&gt;'V06 Calend 01'!C85),(28&lt;'V06 Calend 01'!D85),(MOD((28-'V06 Calend 01'!C85),6)=0),(((28-'V06 Calend 01'!C85)/6)&lt;='V06 Calend 01'!E85)),IF((28=('V06 Calend 01'!C85+(6*'V06 Calend 01'!E85))),('V06 Calend 01'!H85-('V06 Calend 01'!I85*('V06 Calend 01'!E85-1))),'V06 Calend 01'!I85),0))+IF((28='V06 Calend 01'!D85),'V06 Calend 01'!J85,0))</f>
        <v>200224.47999999998</v>
      </c>
      <c r="AO85" s="2">
        <f>((IF((29='V06 Calend 01'!C85),('V06 Calend 01'!F85+'V06 Calend 01'!G85),0)+IF(AND(('V06 Calend 01'!E85&gt;0),(29&gt;'V06 Calend 01'!C85),(29&lt;'V06 Calend 01'!D85),(MOD((29-'V06 Calend 01'!C85),6)=0),(((29-'V06 Calend 01'!C85)/6)&lt;='V06 Calend 01'!E85)),IF((29=('V06 Calend 01'!C85+(6*'V06 Calend 01'!E85))),('V06 Calend 01'!H85-('V06 Calend 01'!I85*('V06 Calend 01'!E85-1))),'V06 Calend 01'!I85),0))+IF((29='V06 Calend 01'!D85),'V06 Calend 01'!J85,0))</f>
        <v>0</v>
      </c>
      <c r="AP85" s="2">
        <f>((IF((30='V06 Calend 01'!C85),('V06 Calend 01'!F85+'V06 Calend 01'!G85),0)+IF(AND(('V06 Calend 01'!E85&gt;0),(30&gt;'V06 Calend 01'!C85),(30&lt;'V06 Calend 01'!D85),(MOD((30-'V06 Calend 01'!C85),6)=0),(((30-'V06 Calend 01'!C85)/6)&lt;='V06 Calend 01'!E85)),IF((30=('V06 Calend 01'!C85+(6*'V06 Calend 01'!E85))),('V06 Calend 01'!H85-('V06 Calend 01'!I85*('V06 Calend 01'!E85-1))),'V06 Calend 01'!I85),0))+IF((30='V06 Calend 01'!D85),'V06 Calend 01'!J85,0))</f>
        <v>218426.7200000001</v>
      </c>
      <c r="AQ85" s="2">
        <f>((IF((31='V06 Calend 01'!C85),('V06 Calend 01'!F85+'V06 Calend 01'!G85),0)+IF(AND(('V06 Calend 01'!E85&gt;0),(31&gt;'V06 Calend 01'!C85),(31&lt;'V06 Calend 01'!D85),(MOD((31-'V06 Calend 01'!C85),6)=0),(((31-'V06 Calend 01'!C85)/6)&lt;='V06 Calend 01'!E85)),IF((31=('V06 Calend 01'!C85+(6*'V06 Calend 01'!E85))),('V06 Calend 01'!H85-('V06 Calend 01'!I85*('V06 Calend 01'!E85-1))),'V06 Calend 01'!I85),0))+IF((31='V06 Calend 01'!D85),'V06 Calend 01'!J85,0))</f>
        <v>0</v>
      </c>
      <c r="AR85" s="2">
        <f>((IF((32='V06 Calend 01'!C85),('V06 Calend 01'!F85+'V06 Calend 01'!G85),0)+IF(AND(('V06 Calend 01'!E85&gt;0),(32&gt;'V06 Calend 01'!C85),(32&lt;'V06 Calend 01'!D85),(MOD((32-'V06 Calend 01'!C85),6)=0),(((32-'V06 Calend 01'!C85)/6)&lt;='V06 Calend 01'!E85)),IF((32=('V06 Calend 01'!C85+(6*'V06 Calend 01'!E85))),('V06 Calend 01'!H85-('V06 Calend 01'!I85*('V06 Calend 01'!E85-1))),'V06 Calend 01'!I85),0))+IF((32='V06 Calend 01'!D85),'V06 Calend 01'!J85,0))</f>
        <v>0</v>
      </c>
      <c r="AS85" s="2">
        <f>((IF((33='V06 Calend 01'!C85),('V06 Calend 01'!F85+'V06 Calend 01'!G85),0)+IF(AND(('V06 Calend 01'!E85&gt;0),(33&gt;'V06 Calend 01'!C85),(33&lt;'V06 Calend 01'!D85),(MOD((33-'V06 Calend 01'!C85),6)=0),(((33-'V06 Calend 01'!C85)/6)&lt;='V06 Calend 01'!E85)),IF((33=('V06 Calend 01'!C85+(6*'V06 Calend 01'!E85))),('V06 Calend 01'!H85-('V06 Calend 01'!I85*('V06 Calend 01'!E85-1))),'V06 Calend 01'!I85),0))+IF((33='V06 Calend 01'!D85),'V06 Calend 01'!J85,0))</f>
        <v>0</v>
      </c>
      <c r="AT85" s="2">
        <f>((IF((34='V06 Calend 01'!C85),('V06 Calend 01'!F85+'V06 Calend 01'!G85),0)+IF(AND(('V06 Calend 01'!E85&gt;0),(34&gt;'V06 Calend 01'!C85),(34&lt;'V06 Calend 01'!D85),(MOD((34-'V06 Calend 01'!C85),6)=0),(((34-'V06 Calend 01'!C85)/6)&lt;='V06 Calend 01'!E85)),IF((34=('V06 Calend 01'!C85+(6*'V06 Calend 01'!E85))),('V06 Calend 01'!H85-('V06 Calend 01'!I85*('V06 Calend 01'!E85-1))),'V06 Calend 01'!I85),0))+IF((34='V06 Calend 01'!D85),'V06 Calend 01'!J85,0))</f>
        <v>0</v>
      </c>
      <c r="AU85" s="2">
        <f>((IF((35='V06 Calend 01'!C85),('V06 Calend 01'!F85+'V06 Calend 01'!G85),0)+IF(AND(('V06 Calend 01'!E85&gt;0),(35&gt;'V06 Calend 01'!C85),(35&lt;'V06 Calend 01'!D85),(MOD((35-'V06 Calend 01'!C85),6)=0),(((35-'V06 Calend 01'!C85)/6)&lt;='V06 Calend 01'!E85)),IF((35=('V06 Calend 01'!C85+(6*'V06 Calend 01'!E85))),('V06 Calend 01'!H85-('V06 Calend 01'!I85*('V06 Calend 01'!E85-1))),'V06 Calend 01'!I85),0))+IF((35='V06 Calend 01'!D85),'V06 Calend 01'!J85,0))</f>
        <v>0</v>
      </c>
      <c r="AV85" s="2">
        <f>((IF((36='V06 Calend 01'!C85),('V06 Calend 01'!F85+'V06 Calend 01'!G85),0)+IF(AND(('V06 Calend 01'!E85&gt;0),(36&gt;'V06 Calend 01'!C85),(36&lt;'V06 Calend 01'!D85),(MOD((36-'V06 Calend 01'!C85),6)=0),(((36-'V06 Calend 01'!C85)/6)&lt;='V06 Calend 01'!E85)),IF((36=('V06 Calend 01'!C85+(6*'V06 Calend 01'!E85))),('V06 Calend 01'!H85-('V06 Calend 01'!I85*('V06 Calend 01'!E85-1))),'V06 Calend 01'!I85),0))+IF((36='V06 Calend 01'!D85),'V06 Calend 01'!J85,0))</f>
        <v>0</v>
      </c>
      <c r="AW85" s="2">
        <f>((IF((37='V06 Calend 01'!C85),('V06 Calend 01'!F85+'V06 Calend 01'!G85),0)+IF(AND(('V06 Calend 01'!E85&gt;0),(37&gt;'V06 Calend 01'!C85),(37&lt;'V06 Calend 01'!D85),(MOD((37-'V06 Calend 01'!C85),6)=0),(((37-'V06 Calend 01'!C85)/6)&lt;='V06 Calend 01'!E85)),IF((37=('V06 Calend 01'!C85+(6*'V06 Calend 01'!E85))),('V06 Calend 01'!H85-('V06 Calend 01'!I85*('V06 Calend 01'!E85-1))),'V06 Calend 01'!I85),0))+IF((37='V06 Calend 01'!D85),'V06 Calend 01'!J85,0))</f>
        <v>0</v>
      </c>
      <c r="AX85" s="2">
        <f>((IF((38='V06 Calend 01'!C85),('V06 Calend 01'!F85+'V06 Calend 01'!G85),0)+IF(AND(('V06 Calend 01'!E85&gt;0),(38&gt;'V06 Calend 01'!C85),(38&lt;'V06 Calend 01'!D85),(MOD((38-'V06 Calend 01'!C85),6)=0),(((38-'V06 Calend 01'!C85)/6)&lt;='V06 Calend 01'!E85)),IF((38=('V06 Calend 01'!C85+(6*'V06 Calend 01'!E85))),('V06 Calend 01'!H85-('V06 Calend 01'!I85*('V06 Calend 01'!E85-1))),'V06 Calend 01'!I85),0))+IF((38='V06 Calend 01'!D85),'V06 Calend 01'!J85,0))</f>
        <v>0</v>
      </c>
      <c r="AY85" s="2">
        <f>((IF((39='V06 Calend 01'!C85),('V06 Calend 01'!F85+'V06 Calend 01'!G85),0)+IF(AND(('V06 Calend 01'!E85&gt;0),(39&gt;'V06 Calend 01'!C85),(39&lt;'V06 Calend 01'!D85),(MOD((39-'V06 Calend 01'!C85),6)=0),(((39-'V06 Calend 01'!C85)/6)&lt;='V06 Calend 01'!E85)),IF((39=('V06 Calend 01'!C85+(6*'V06 Calend 01'!E85))),('V06 Calend 01'!H85-('V06 Calend 01'!I85*('V06 Calend 01'!E85-1))),'V06 Calend 01'!I85),0))+IF((39='V06 Calend 01'!D85),'V06 Calend 01'!J85,0))</f>
        <v>0</v>
      </c>
      <c r="AZ85" s="2">
        <f>((IF((40='V06 Calend 01'!C85),('V06 Calend 01'!F85+'V06 Calend 01'!G85),0)+IF(AND(('V06 Calend 01'!E85&gt;0),(40&gt;'V06 Calend 01'!C85),(40&lt;'V06 Calend 01'!D85),(MOD((40-'V06 Calend 01'!C85),6)=0),(((40-'V06 Calend 01'!C85)/6)&lt;='V06 Calend 01'!E85)),IF((40=('V06 Calend 01'!C85+(6*'V06 Calend 01'!E85))),('V06 Calend 01'!H85-('V06 Calend 01'!I85*('V06 Calend 01'!E85-1))),'V06 Calend 01'!I85),0))+IF((40='V06 Calend 01'!D85),'V06 Calend 01'!J85,0))</f>
        <v>0</v>
      </c>
      <c r="BA85" s="2">
        <f>((IF((41='V06 Calend 01'!C85),('V06 Calend 01'!F85+'V06 Calend 01'!G85),0)+IF(AND(('V06 Calend 01'!E85&gt;0),(41&gt;'V06 Calend 01'!C85),(41&lt;'V06 Calend 01'!D85),(MOD((41-'V06 Calend 01'!C85),6)=0),(((41-'V06 Calend 01'!C85)/6)&lt;='V06 Calend 01'!E85)),IF((41=('V06 Calend 01'!C85+(6*'V06 Calend 01'!E85))),('V06 Calend 01'!H85-('V06 Calend 01'!I85*('V06 Calend 01'!E85-1))),'V06 Calend 01'!I85),0))+IF((41='V06 Calend 01'!D85),'V06 Calend 01'!J85,0))</f>
        <v>0</v>
      </c>
      <c r="BB85" s="2">
        <f>((IF((42='V06 Calend 01'!C85),('V06 Calend 01'!F85+'V06 Calend 01'!G85),0)+IF(AND(('V06 Calend 01'!E85&gt;0),(42&gt;'V06 Calend 01'!C85),(42&lt;'V06 Calend 01'!D85),(MOD((42-'V06 Calend 01'!C85),6)=0),(((42-'V06 Calend 01'!C85)/6)&lt;='V06 Calend 01'!E85)),IF((42=('V06 Calend 01'!C85+(6*'V06 Calend 01'!E85))),('V06 Calend 01'!H85-('V06 Calend 01'!I85*('V06 Calend 01'!E85-1))),'V06 Calend 01'!I85),0))+IF((42='V06 Calend 01'!D85),'V06 Calend 01'!J85,0))</f>
        <v>0</v>
      </c>
      <c r="BC85" s="2">
        <f>((IF((43='V06 Calend 01'!C85),('V06 Calend 01'!F85+'V06 Calend 01'!G85),0)+IF(AND(('V06 Calend 01'!E85&gt;0),(43&gt;'V06 Calend 01'!C85),(43&lt;'V06 Calend 01'!D85),(MOD((43-'V06 Calend 01'!C85),6)=0),(((43-'V06 Calend 01'!C85)/6)&lt;='V06 Calend 01'!E85)),IF((43=('V06 Calend 01'!C85+(6*'V06 Calend 01'!E85))),('V06 Calend 01'!H85-('V06 Calend 01'!I85*('V06 Calend 01'!E85-1))),'V06 Calend 01'!I85),0))+IF((43='V06 Calend 01'!D85),'V06 Calend 01'!J85,0))</f>
        <v>0</v>
      </c>
      <c r="BD85" s="2">
        <f>((IF((44='V06 Calend 01'!C85),('V06 Calend 01'!F85+'V06 Calend 01'!G85),0)+IF(AND(('V06 Calend 01'!E85&gt;0),(44&gt;'V06 Calend 01'!C85),(44&lt;'V06 Calend 01'!D85),(MOD((44-'V06 Calend 01'!C85),6)=0),(((44-'V06 Calend 01'!C85)/6)&lt;='V06 Calend 01'!E85)),IF((44=('V06 Calend 01'!C85+(6*'V06 Calend 01'!E85))),('V06 Calend 01'!H85-('V06 Calend 01'!I85*('V06 Calend 01'!E85-1))),'V06 Calend 01'!I85),0))+IF((44='V06 Calend 01'!D85),'V06 Calend 01'!J85,0))</f>
        <v>0</v>
      </c>
      <c r="BE85" s="2">
        <f>((IF((45='V06 Calend 01'!C85),('V06 Calend 01'!F85+'V06 Calend 01'!G85),0)+IF(AND(('V06 Calend 01'!E85&gt;0),(45&gt;'V06 Calend 01'!C85),(45&lt;'V06 Calend 01'!D85),(MOD((45-'V06 Calend 01'!C85),6)=0),(((45-'V06 Calend 01'!C85)/6)&lt;='V06 Calend 01'!E85)),IF((45=('V06 Calend 01'!C85+(6*'V06 Calend 01'!E85))),('V06 Calend 01'!H85-('V06 Calend 01'!I85*('V06 Calend 01'!E85-1))),'V06 Calend 01'!I85),0))+IF((45='V06 Calend 01'!D85),'V06 Calend 01'!J85,0))</f>
        <v>0</v>
      </c>
      <c r="BF85" s="2">
        <f>((IF((46='V06 Calend 01'!C85),('V06 Calend 01'!F85+'V06 Calend 01'!G85),0)+IF(AND(('V06 Calend 01'!E85&gt;0),(46&gt;'V06 Calend 01'!C85),(46&lt;'V06 Calend 01'!D85),(MOD((46-'V06 Calend 01'!C85),6)=0),(((46-'V06 Calend 01'!C85)/6)&lt;='V06 Calend 01'!E85)),IF((46=('V06 Calend 01'!C85+(6*'V06 Calend 01'!E85))),('V06 Calend 01'!H85-('V06 Calend 01'!I85*('V06 Calend 01'!E85-1))),'V06 Calend 01'!I85),0))+IF((46='V06 Calend 01'!D85),'V06 Calend 01'!J85,0))</f>
        <v>0</v>
      </c>
      <c r="BG85" s="2">
        <f>((IF((47='V06 Calend 01'!C85),('V06 Calend 01'!F85+'V06 Calend 01'!G85),0)+IF(AND(('V06 Calend 01'!E85&gt;0),(47&gt;'V06 Calend 01'!C85),(47&lt;'V06 Calend 01'!D85),(MOD((47-'V06 Calend 01'!C85),6)=0),(((47-'V06 Calend 01'!C85)/6)&lt;='V06 Calend 01'!E85)),IF((47=('V06 Calend 01'!C85+(6*'V06 Calend 01'!E85))),('V06 Calend 01'!H85-('V06 Calend 01'!I85*('V06 Calend 01'!E85-1))),'V06 Calend 01'!I85),0))+IF((47='V06 Calend 01'!D85),'V06 Calend 01'!J85,0))</f>
        <v>0</v>
      </c>
      <c r="BH85" s="2">
        <f>((IF((48='V06 Calend 01'!C85),('V06 Calend 01'!F85+'V06 Calend 01'!G85),0)+IF(AND(('V06 Calend 01'!E85&gt;0),(48&gt;'V06 Calend 01'!C85),(48&lt;'V06 Calend 01'!D85),(MOD((48-'V06 Calend 01'!C85),6)=0),(((48-'V06 Calend 01'!C85)/6)&lt;='V06 Calend 01'!E85)),IF((48=('V06 Calend 01'!C85+(6*'V06 Calend 01'!E85))),('V06 Calend 01'!H85-('V06 Calend 01'!I85*('V06 Calend 01'!E85-1))),'V06 Calend 01'!I85),0))+IF((48='V06 Calend 01'!D85),'V06 Calend 01'!J85,0))</f>
        <v>0</v>
      </c>
      <c r="BI85" s="2">
        <f>((IF((49='V06 Calend 01'!C85),('V06 Calend 01'!F85+'V06 Calend 01'!G85),0)+IF(AND(('V06 Calend 01'!E85&gt;0),(49&gt;'V06 Calend 01'!C85),(49&lt;'V06 Calend 01'!D85),(MOD((49-'V06 Calend 01'!C85),6)=0),(((49-'V06 Calend 01'!C85)/6)&lt;='V06 Calend 01'!E85)),IF((49=('V06 Calend 01'!C85+(6*'V06 Calend 01'!E85))),('V06 Calend 01'!H85-('V06 Calend 01'!I85*('V06 Calend 01'!E85-1))),'V06 Calend 01'!I85),0))+IF((49='V06 Calend 01'!D85),'V06 Calend 01'!J85,0))</f>
        <v>0</v>
      </c>
      <c r="BJ85" s="2">
        <f>((IF((50='V06 Calend 01'!C85),('V06 Calend 01'!F85+'V06 Calend 01'!G85),0)+IF(AND(('V06 Calend 01'!E85&gt;0),(50&gt;'V06 Calend 01'!C85),(50&lt;'V06 Calend 01'!D85),(MOD((50-'V06 Calend 01'!C85),6)=0),(((50-'V06 Calend 01'!C85)/6)&lt;='V06 Calend 01'!E85)),IF((50=('V06 Calend 01'!C85+(6*'V06 Calend 01'!E85))),('V06 Calend 01'!H85-('V06 Calend 01'!I85*('V06 Calend 01'!E85-1))),'V06 Calend 01'!I85),0))+IF((50='V06 Calend 01'!D85),'V06 Calend 01'!J85,0))</f>
        <v>0</v>
      </c>
      <c r="BK85" s="2">
        <f>((IF((51='V06 Calend 01'!C85),('V06 Calend 01'!F85+'V06 Calend 01'!G85),0)+IF(AND(('V06 Calend 01'!E85&gt;0),(51&gt;'V06 Calend 01'!C85),(51&lt;'V06 Calend 01'!D85),(MOD((51-'V06 Calend 01'!C85),6)=0),(((51-'V06 Calend 01'!C85)/6)&lt;='V06 Calend 01'!E85)),IF((51=('V06 Calend 01'!C85+(6*'V06 Calend 01'!E85))),('V06 Calend 01'!H85-('V06 Calend 01'!I85*('V06 Calend 01'!E85-1))),'V06 Calend 01'!I85),0))+IF((51='V06 Calend 01'!D85),'V06 Calend 01'!J85,0))</f>
        <v>0</v>
      </c>
      <c r="BL85" s="2">
        <f>((IF((52='V06 Calend 01'!C85),('V06 Calend 01'!F85+'V06 Calend 01'!G85),0)+IF(AND(('V06 Calend 01'!E85&gt;0),(52&gt;'V06 Calend 01'!C85),(52&lt;'V06 Calend 01'!D85),(MOD((52-'V06 Calend 01'!C85),6)=0),(((52-'V06 Calend 01'!C85)/6)&lt;='V06 Calend 01'!E85)),IF((52=('V06 Calend 01'!C85+(6*'V06 Calend 01'!E85))),('V06 Calend 01'!H85-('V06 Calend 01'!I85*('V06 Calend 01'!E85-1))),'V06 Calend 01'!I85),0))+IF((52='V06 Calend 01'!D85),'V06 Calend 01'!J85,0))</f>
        <v>0</v>
      </c>
      <c r="BM85" s="2">
        <f>((IF((53='V06 Calend 01'!C85),('V06 Calend 01'!F85+'V06 Calend 01'!G85),0)+IF(AND(('V06 Calend 01'!E85&gt;0),(53&gt;'V06 Calend 01'!C85),(53&lt;'V06 Calend 01'!D85),(MOD((53-'V06 Calend 01'!C85),6)=0),(((53-'V06 Calend 01'!C85)/6)&lt;='V06 Calend 01'!E85)),IF((53=('V06 Calend 01'!C85+(6*'V06 Calend 01'!E85))),('V06 Calend 01'!H85-('V06 Calend 01'!I85*('V06 Calend 01'!E85-1))),'V06 Calend 01'!I85),0))+IF((53='V06 Calend 01'!D85),'V06 Calend 01'!J85,0))</f>
        <v>0</v>
      </c>
      <c r="BN85" s="2">
        <f>((IF((54='V06 Calend 01'!C85),('V06 Calend 01'!F85+'V06 Calend 01'!G85),0)+IF(AND(('V06 Calend 01'!E85&gt;0),(54&gt;'V06 Calend 01'!C85),(54&lt;'V06 Calend 01'!D85),(MOD((54-'V06 Calend 01'!C85),6)=0),(((54-'V06 Calend 01'!C85)/6)&lt;='V06 Calend 01'!E85)),IF((54=('V06 Calend 01'!C85+(6*'V06 Calend 01'!E85))),('V06 Calend 01'!H85-('V06 Calend 01'!I85*('V06 Calend 01'!E85-1))),'V06 Calend 01'!I85),0))+IF((54='V06 Calend 01'!D85),'V06 Calend 01'!J85,0))</f>
        <v>0</v>
      </c>
      <c r="BO85" s="2">
        <f>((IF((55='V06 Calend 01'!C85),('V06 Calend 01'!F85+'V06 Calend 01'!G85),0)+IF(AND(('V06 Calend 01'!E85&gt;0),(55&gt;'V06 Calend 01'!C85),(55&lt;'V06 Calend 01'!D85),(MOD((55-'V06 Calend 01'!C85),6)=0),(((55-'V06 Calend 01'!C85)/6)&lt;='V06 Calend 01'!E85)),IF((55=('V06 Calend 01'!C85+(6*'V06 Calend 01'!E85))),('V06 Calend 01'!H85-('V06 Calend 01'!I85*('V06 Calend 01'!E85-1))),'V06 Calend 01'!I85),0))+IF((55='V06 Calend 01'!D85),'V06 Calend 01'!J85,0))</f>
        <v>0</v>
      </c>
      <c r="BP85" s="2">
        <f>((IF((56='V06 Calend 01'!C85),('V06 Calend 01'!F85+'V06 Calend 01'!G85),0)+IF(AND(('V06 Calend 01'!E85&gt;0),(56&gt;'V06 Calend 01'!C85),(56&lt;'V06 Calend 01'!D85),(MOD((56-'V06 Calend 01'!C85),6)=0),(((56-'V06 Calend 01'!C85)/6)&lt;='V06 Calend 01'!E85)),IF((56=('V06 Calend 01'!C85+(6*'V06 Calend 01'!E85))),('V06 Calend 01'!H85-('V06 Calend 01'!I85*('V06 Calend 01'!E85-1))),'V06 Calend 01'!I85),0))+IF((56='V06 Calend 01'!D85),'V06 Calend 01'!J85,0))</f>
        <v>0</v>
      </c>
      <c r="BQ85" s="2">
        <f>((IF((57='V06 Calend 01'!C85),('V06 Calend 01'!F85+'V06 Calend 01'!G85),0)+IF(AND(('V06 Calend 01'!E85&gt;0),(57&gt;'V06 Calend 01'!C85),(57&lt;'V06 Calend 01'!D85),(MOD((57-'V06 Calend 01'!C85),6)=0),(((57-'V06 Calend 01'!C85)/6)&lt;='V06 Calend 01'!E85)),IF((57=('V06 Calend 01'!C85+(6*'V06 Calend 01'!E85))),('V06 Calend 01'!H85-('V06 Calend 01'!I85*('V06 Calend 01'!E85-1))),'V06 Calend 01'!I85),0))+IF((57='V06 Calend 01'!D85),'V06 Calend 01'!J85,0))</f>
        <v>0</v>
      </c>
      <c r="BR85" s="2">
        <f>((IF((58='V06 Calend 01'!C85),('V06 Calend 01'!F85+'V06 Calend 01'!G85),0)+IF(AND(('V06 Calend 01'!E85&gt;0),(58&gt;'V06 Calend 01'!C85),(58&lt;'V06 Calend 01'!D85),(MOD((58-'V06 Calend 01'!C85),6)=0),(((58-'V06 Calend 01'!C85)/6)&lt;='V06 Calend 01'!E85)),IF((58=('V06 Calend 01'!C85+(6*'V06 Calend 01'!E85))),('V06 Calend 01'!H85-('V06 Calend 01'!I85*('V06 Calend 01'!E85-1))),'V06 Calend 01'!I85),0))+IF((58='V06 Calend 01'!D85),'V06 Calend 01'!J85,0))</f>
        <v>0</v>
      </c>
      <c r="BS85" s="2">
        <f>((IF((59='V06 Calend 01'!C85),('V06 Calend 01'!F85+'V06 Calend 01'!G85),0)+IF(AND(('V06 Calend 01'!E85&gt;0),(59&gt;'V06 Calend 01'!C85),(59&lt;'V06 Calend 01'!D85),(MOD((59-'V06 Calend 01'!C85),6)=0),(((59-'V06 Calend 01'!C85)/6)&lt;='V06 Calend 01'!E85)),IF((59=('V06 Calend 01'!C85+(6*'V06 Calend 01'!E85))),('V06 Calend 01'!H85-('V06 Calend 01'!I85*('V06 Calend 01'!E85-1))),'V06 Calend 01'!I85),0))+IF((59='V06 Calend 01'!D85),'V06 Calend 01'!J85,0))</f>
        <v>0</v>
      </c>
      <c r="BT85" s="2">
        <f>((IF((60='V06 Calend 01'!C85),('V06 Calend 01'!F85+'V06 Calend 01'!G85),0)+IF(AND(('V06 Calend 01'!E85&gt;0),(60&gt;'V06 Calend 01'!C85),(60&lt;'V06 Calend 01'!D85),(MOD((60-'V06 Calend 01'!C85),6)=0),(((60-'V06 Calend 01'!C85)/6)&lt;='V06 Calend 01'!E85)),IF((60=('V06 Calend 01'!C85+(6*'V06 Calend 01'!E85))),('V06 Calend 01'!H85-('V06 Calend 01'!I85*('V06 Calend 01'!E85-1))),'V06 Calend 01'!I85),0))+IF((60='V06 Calend 01'!D85),'V06 Calend 01'!J85,0))</f>
        <v>0</v>
      </c>
      <c r="BU85" s="2">
        <f>((IF((61='V06 Calend 01'!C85),('V06 Calend 01'!F85+'V06 Calend 01'!G85),0)+IF(AND(('V06 Calend 01'!E85&gt;0),(61&gt;'V06 Calend 01'!C85),(61&lt;'V06 Calend 01'!D85),(MOD((61-'V06 Calend 01'!C85),6)=0),(((61-'V06 Calend 01'!C85)/6)&lt;='V06 Calend 01'!E85)),IF((61=('V06 Calend 01'!C85+(6*'V06 Calend 01'!E85))),('V06 Calend 01'!H85-('V06 Calend 01'!I85*('V06 Calend 01'!E85-1))),'V06 Calend 01'!I85),0))+IF((61='V06 Calend 01'!D85),'V06 Calend 01'!J85,0))</f>
        <v>0</v>
      </c>
      <c r="BV85" s="2">
        <f>((IF((62='V06 Calend 01'!C85),('V06 Calend 01'!F85+'V06 Calend 01'!G85),0)+IF(AND(('V06 Calend 01'!E85&gt;0),(62&gt;'V06 Calend 01'!C85),(62&lt;'V06 Calend 01'!D85),(MOD((62-'V06 Calend 01'!C85),6)=0),(((62-'V06 Calend 01'!C85)/6)&lt;='V06 Calend 01'!E85)),IF((62=('V06 Calend 01'!C85+(6*'V06 Calend 01'!E85))),('V06 Calend 01'!H85-('V06 Calend 01'!I85*('V06 Calend 01'!E85-1))),'V06 Calend 01'!I85),0))+IF((62='V06 Calend 01'!D85),'V06 Calend 01'!J85,0))</f>
        <v>0</v>
      </c>
      <c r="BW85" s="2">
        <f>((IF((63='V06 Calend 01'!C85),('V06 Calend 01'!F85+'V06 Calend 01'!G85),0)+IF(AND(('V06 Calend 01'!E85&gt;0),(63&gt;'V06 Calend 01'!C85),(63&lt;'V06 Calend 01'!D85),(MOD((63-'V06 Calend 01'!C85),6)=0),(((63-'V06 Calend 01'!C85)/6)&lt;='V06 Calend 01'!E85)),IF((63=('V06 Calend 01'!C85+(6*'V06 Calend 01'!E85))),('V06 Calend 01'!H85-('V06 Calend 01'!I85*('V06 Calend 01'!E85-1))),'V06 Calend 01'!I85),0))+IF((63='V06 Calend 01'!D85),'V06 Calend 01'!J85,0))</f>
        <v>0</v>
      </c>
      <c r="BX85" s="2">
        <f>((IF((64='V06 Calend 01'!C85),('V06 Calend 01'!F85+'V06 Calend 01'!G85),0)+IF(AND(('V06 Calend 01'!E85&gt;0),(64&gt;'V06 Calend 01'!C85),(64&lt;'V06 Calend 01'!D85),(MOD((64-'V06 Calend 01'!C85),6)=0),(((64-'V06 Calend 01'!C85)/6)&lt;='V06 Calend 01'!E85)),IF((64=('V06 Calend 01'!C85+(6*'V06 Calend 01'!E85))),('V06 Calend 01'!H85-('V06 Calend 01'!I85*('V06 Calend 01'!E85-1))),'V06 Calend 01'!I85),0))+IF((64='V06 Calend 01'!D85),'V06 Calend 01'!J85,0))</f>
        <v>0</v>
      </c>
      <c r="BY85" s="2">
        <f>((IF((65='V06 Calend 01'!C85),('V06 Calend 01'!F85+'V06 Calend 01'!G85),0)+IF(AND(('V06 Calend 01'!E85&gt;0),(65&gt;'V06 Calend 01'!C85),(65&lt;'V06 Calend 01'!D85),(MOD((65-'V06 Calend 01'!C85),6)=0),(((65-'V06 Calend 01'!C85)/6)&lt;='V06 Calend 01'!E85)),IF((65=('V06 Calend 01'!C85+(6*'V06 Calend 01'!E85))),('V06 Calend 01'!H85-('V06 Calend 01'!I85*('V06 Calend 01'!E85-1))),'V06 Calend 01'!I85),0))+IF((65='V06 Calend 01'!D85),'V06 Calend 01'!J85,0))</f>
        <v>0</v>
      </c>
      <c r="BZ85" s="2">
        <f>((IF((66='V06 Calend 01'!C85),('V06 Calend 01'!F85+'V06 Calend 01'!G85),0)+IF(AND(('V06 Calend 01'!E85&gt;0),(66&gt;'V06 Calend 01'!C85),(66&lt;'V06 Calend 01'!D85),(MOD((66-'V06 Calend 01'!C85),6)=0),(((66-'V06 Calend 01'!C85)/6)&lt;='V06 Calend 01'!E85)),IF((66=('V06 Calend 01'!C85+(6*'V06 Calend 01'!E85))),('V06 Calend 01'!H85-('V06 Calend 01'!I85*('V06 Calend 01'!E85-1))),'V06 Calend 01'!I85),0))+IF((66='V06 Calend 01'!D85),'V06 Calend 01'!J85,0))</f>
        <v>0</v>
      </c>
      <c r="CA85" s="2">
        <f>((IF((67='V06 Calend 01'!C85),('V06 Calend 01'!F85+'V06 Calend 01'!G85),0)+IF(AND(('V06 Calend 01'!E85&gt;0),(67&gt;'V06 Calend 01'!C85),(67&lt;'V06 Calend 01'!D85),(MOD((67-'V06 Calend 01'!C85),6)=0),(((67-'V06 Calend 01'!C85)/6)&lt;='V06 Calend 01'!E85)),IF((67=('V06 Calend 01'!C85+(6*'V06 Calend 01'!E85))),('V06 Calend 01'!H85-('V06 Calend 01'!I85*('V06 Calend 01'!E85-1))),'V06 Calend 01'!I85),0))+IF((67='V06 Calend 01'!D85),'V06 Calend 01'!J85,0))</f>
        <v>0</v>
      </c>
      <c r="CB85" s="2">
        <f>((IF((68='V06 Calend 01'!C85),('V06 Calend 01'!F85+'V06 Calend 01'!G85),0)+IF(AND(('V06 Calend 01'!E85&gt;0),(68&gt;'V06 Calend 01'!C85),(68&lt;'V06 Calend 01'!D85),(MOD((68-'V06 Calend 01'!C85),6)=0),(((68-'V06 Calend 01'!C85)/6)&lt;='V06 Calend 01'!E85)),IF((68=('V06 Calend 01'!C85+(6*'V06 Calend 01'!E85))),('V06 Calend 01'!H85-('V06 Calend 01'!I85*('V06 Calend 01'!E85-1))),'V06 Calend 01'!I85),0))+IF((68='V06 Calend 01'!D85),'V06 Calend 01'!J85,0))</f>
        <v>0</v>
      </c>
      <c r="CC85" s="2">
        <f>((IF((69='V06 Calend 01'!C85),('V06 Calend 01'!F85+'V06 Calend 01'!G85),0)+IF(AND(('V06 Calend 01'!E85&gt;0),(69&gt;'V06 Calend 01'!C85),(69&lt;'V06 Calend 01'!D85),(MOD((69-'V06 Calend 01'!C85),6)=0),(((69-'V06 Calend 01'!C85)/6)&lt;='V06 Calend 01'!E85)),IF((69=('V06 Calend 01'!C85+(6*'V06 Calend 01'!E85))),('V06 Calend 01'!H85-('V06 Calend 01'!I85*('V06 Calend 01'!E85-1))),'V06 Calend 01'!I85),0))+IF((69='V06 Calend 01'!D85),'V06 Calend 01'!J85,0))</f>
        <v>0</v>
      </c>
      <c r="CD85" s="2">
        <f>((IF((70='V06 Calend 01'!C85),('V06 Calend 01'!F85+'V06 Calend 01'!G85),0)+IF(AND(('V06 Calend 01'!E85&gt;0),(70&gt;'V06 Calend 01'!C85),(70&lt;'V06 Calend 01'!D85),(MOD((70-'V06 Calend 01'!C85),6)=0),(((70-'V06 Calend 01'!C85)/6)&lt;='V06 Calend 01'!E85)),IF((70=('V06 Calend 01'!C85+(6*'V06 Calend 01'!E85))),('V06 Calend 01'!H85-('V06 Calend 01'!I85*('V06 Calend 01'!E85-1))),'V06 Calend 01'!I85),0))+IF((70='V06 Calend 01'!D85),'V06 Calend 01'!J85,0))</f>
        <v>0</v>
      </c>
      <c r="CE85" s="2">
        <f>((IF((71='V06 Calend 01'!C85),('V06 Calend 01'!F85+'V06 Calend 01'!G85),0)+IF(AND(('V06 Calend 01'!E85&gt;0),(71&gt;'V06 Calend 01'!C85),(71&lt;'V06 Calend 01'!D85),(MOD((71-'V06 Calend 01'!C85),6)=0),(((71-'V06 Calend 01'!C85)/6)&lt;='V06 Calend 01'!E85)),IF((71=('V06 Calend 01'!C85+(6*'V06 Calend 01'!E85))),('V06 Calend 01'!H85-('V06 Calend 01'!I85*('V06 Calend 01'!E85-1))),'V06 Calend 01'!I85),0))+IF((71='V06 Calend 01'!D85),'V06 Calend 01'!J85,0))</f>
        <v>0</v>
      </c>
      <c r="CF85" s="2">
        <f>((IF((72='V06 Calend 01'!C85),('V06 Calend 01'!F85+'V06 Calend 01'!G85),0)+IF(AND(('V06 Calend 01'!E85&gt;0),(72&gt;'V06 Calend 01'!C85),(72&lt;'V06 Calend 01'!D85),(MOD((72-'V06 Calend 01'!C85),6)=0),(((72-'V06 Calend 01'!C85)/6)&lt;='V06 Calend 01'!E85)),IF((72=('V06 Calend 01'!C85+(6*'V06 Calend 01'!E85))),('V06 Calend 01'!H85-('V06 Calend 01'!I85*('V06 Calend 01'!E85-1))),'V06 Calend 01'!I85),0))+IF((72='V06 Calend 01'!D85),'V06 Calend 01'!J85,0))</f>
        <v>0</v>
      </c>
      <c r="CG85" s="2">
        <f>((IF((73='V06 Calend 01'!C85),('V06 Calend 01'!F85+'V06 Calend 01'!G85),0)+IF(AND(('V06 Calend 01'!E85&gt;0),(73&gt;'V06 Calend 01'!C85),(73&lt;'V06 Calend 01'!D85),(MOD((73-'V06 Calend 01'!C85),6)=0),(((73-'V06 Calend 01'!C85)/6)&lt;='V06 Calend 01'!E85)),IF((73=('V06 Calend 01'!C85+(6*'V06 Calend 01'!E85))),('V06 Calend 01'!H85-('V06 Calend 01'!I85*('V06 Calend 01'!E85-1))),'V06 Calend 01'!I85),0))+IF((73='V06 Calend 01'!D85),'V06 Calend 01'!J85,0))</f>
        <v>0</v>
      </c>
      <c r="CH85" s="2">
        <f>((IF((74='V06 Calend 01'!C85),('V06 Calend 01'!F85+'V06 Calend 01'!G85),0)+IF(AND(('V06 Calend 01'!E85&gt;0),(74&gt;'V06 Calend 01'!C85),(74&lt;'V06 Calend 01'!D85),(MOD((74-'V06 Calend 01'!C85),6)=0),(((74-'V06 Calend 01'!C85)/6)&lt;='V06 Calend 01'!E85)),IF((74=('V06 Calend 01'!C85+(6*'V06 Calend 01'!E85))),('V06 Calend 01'!H85-('V06 Calend 01'!I85*('V06 Calend 01'!E85-1))),'V06 Calend 01'!I85),0))+IF((74='V06 Calend 01'!D85),'V06 Calend 01'!J85,0))</f>
        <v>0</v>
      </c>
      <c r="CI85" s="2">
        <f>((IF((75='V06 Calend 01'!C85),('V06 Calend 01'!F85+'V06 Calend 01'!G85),0)+IF(AND(('V06 Calend 01'!E85&gt;0),(75&gt;'V06 Calend 01'!C85),(75&lt;'V06 Calend 01'!D85),(MOD((75-'V06 Calend 01'!C85),6)=0),(((75-'V06 Calend 01'!C85)/6)&lt;='V06 Calend 01'!E85)),IF((75=('V06 Calend 01'!C85+(6*'V06 Calend 01'!E85))),('V06 Calend 01'!H85-('V06 Calend 01'!I85*('V06 Calend 01'!E85-1))),'V06 Calend 01'!I85),0))+IF((75='V06 Calend 01'!D85),'V06 Calend 01'!J85,0))</f>
        <v>0</v>
      </c>
      <c r="CJ85" s="2">
        <f>((IF((76='V06 Calend 01'!C85),('V06 Calend 01'!F85+'V06 Calend 01'!G85),0)+IF(AND(('V06 Calend 01'!E85&gt;0),(76&gt;'V06 Calend 01'!C85),(76&lt;'V06 Calend 01'!D85),(MOD((76-'V06 Calend 01'!C85),6)=0),(((76-'V06 Calend 01'!C85)/6)&lt;='V06 Calend 01'!E85)),IF((76=('V06 Calend 01'!C85+(6*'V06 Calend 01'!E85))),('V06 Calend 01'!H85-('V06 Calend 01'!I85*('V06 Calend 01'!E85-1))),'V06 Calend 01'!I85),0))+IF((76='V06 Calend 01'!D85),'V06 Calend 01'!J85,0))</f>
        <v>0</v>
      </c>
      <c r="CK85" s="2">
        <f>((IF((77='V06 Calend 01'!C85),('V06 Calend 01'!F85+'V06 Calend 01'!G85),0)+IF(AND(('V06 Calend 01'!E85&gt;0),(77&gt;'V06 Calend 01'!C85),(77&lt;'V06 Calend 01'!D85),(MOD((77-'V06 Calend 01'!C85),6)=0),(((77-'V06 Calend 01'!C85)/6)&lt;='V06 Calend 01'!E85)),IF((77=('V06 Calend 01'!C85+(6*'V06 Calend 01'!E85))),('V06 Calend 01'!H85-('V06 Calend 01'!I85*('V06 Calend 01'!E85-1))),'V06 Calend 01'!I85),0))+IF((77='V06 Calend 01'!D85),'V06 Calend 01'!J85,0))</f>
        <v>0</v>
      </c>
      <c r="CL85" s="2">
        <f>((IF((78='V06 Calend 01'!C85),('V06 Calend 01'!F85+'V06 Calend 01'!G85),0)+IF(AND(('V06 Calend 01'!E85&gt;0),(78&gt;'V06 Calend 01'!C85),(78&lt;'V06 Calend 01'!D85),(MOD((78-'V06 Calend 01'!C85),6)=0),(((78-'V06 Calend 01'!C85)/6)&lt;='V06 Calend 01'!E85)),IF((78=('V06 Calend 01'!C85+(6*'V06 Calend 01'!E85))),('V06 Calend 01'!H85-('V06 Calend 01'!I85*('V06 Calend 01'!E85-1))),'V06 Calend 01'!I85),0))+IF((78='V06 Calend 01'!D85),'V06 Calend 01'!J85,0))</f>
        <v>0</v>
      </c>
      <c r="CM85" s="2">
        <f>((IF((79='V06 Calend 01'!C85),('V06 Calend 01'!F85+'V06 Calend 01'!G85),0)+IF(AND(('V06 Calend 01'!E85&gt;0),(79&gt;'V06 Calend 01'!C85),(79&lt;'V06 Calend 01'!D85),(MOD((79-'V06 Calend 01'!C85),6)=0),(((79-'V06 Calend 01'!C85)/6)&lt;='V06 Calend 01'!E85)),IF((79=('V06 Calend 01'!C85+(6*'V06 Calend 01'!E85))),('V06 Calend 01'!H85-('V06 Calend 01'!I85*('V06 Calend 01'!E85-1))),'V06 Calend 01'!I85),0))+IF((79='V06 Calend 01'!D85),'V06 Calend 01'!J85,0))</f>
        <v>0</v>
      </c>
      <c r="CN85" s="2">
        <f>((IF((80='V06 Calend 01'!C85),('V06 Calend 01'!F85+'V06 Calend 01'!G85),0)+IF(AND(('V06 Calend 01'!E85&gt;0),(80&gt;'V06 Calend 01'!C85),(80&lt;'V06 Calend 01'!D85),(MOD((80-'V06 Calend 01'!C85),6)=0),(((80-'V06 Calend 01'!C85)/6)&lt;='V06 Calend 01'!E85)),IF((80=('V06 Calend 01'!C85+(6*'V06 Calend 01'!E85))),('V06 Calend 01'!H85-('V06 Calend 01'!I85*('V06 Calend 01'!E85-1))),'V06 Calend 01'!I85),0))+IF((80='V06 Calend 01'!D85),'V06 Calend 01'!J85,0))</f>
        <v>0</v>
      </c>
      <c r="CO85" s="2">
        <f>((IF((81='V06 Calend 01'!C85),('V06 Calend 01'!F85+'V06 Calend 01'!G85),0)+IF(AND(('V06 Calend 01'!E85&gt;0),(81&gt;'V06 Calend 01'!C85),(81&lt;'V06 Calend 01'!D85),(MOD((81-'V06 Calend 01'!C85),6)=0),(((81-'V06 Calend 01'!C85)/6)&lt;='V06 Calend 01'!E85)),IF((81=('V06 Calend 01'!C85+(6*'V06 Calend 01'!E85))),('V06 Calend 01'!H85-('V06 Calend 01'!I85*('V06 Calend 01'!E85-1))),'V06 Calend 01'!I85),0))+IF((81='V06 Calend 01'!D85),'V06 Calend 01'!J85,0))</f>
        <v>0</v>
      </c>
      <c r="CP85" s="2">
        <f>((IF((82='V06 Calend 01'!C85),('V06 Calend 01'!F85+'V06 Calend 01'!G85),0)+IF(AND(('V06 Calend 01'!E85&gt;0),(82&gt;'V06 Calend 01'!C85),(82&lt;'V06 Calend 01'!D85),(MOD((82-'V06 Calend 01'!C85),6)=0),(((82-'V06 Calend 01'!C85)/6)&lt;='V06 Calend 01'!E85)),IF((82=('V06 Calend 01'!C85+(6*'V06 Calend 01'!E85))),('V06 Calend 01'!H85-('V06 Calend 01'!I85*('V06 Calend 01'!E85-1))),'V06 Calend 01'!I85),0))+IF((82='V06 Calend 01'!D85),'V06 Calend 01'!J85,0))</f>
        <v>0</v>
      </c>
      <c r="CQ85" s="2">
        <f>((IF((83='V06 Calend 01'!C85),('V06 Calend 01'!F85+'V06 Calend 01'!G85),0)+IF(AND(('V06 Calend 01'!E85&gt;0),(83&gt;'V06 Calend 01'!C85),(83&lt;'V06 Calend 01'!D85),(MOD((83-'V06 Calend 01'!C85),6)=0),(((83-'V06 Calend 01'!C85)/6)&lt;='V06 Calend 01'!E85)),IF((83=('V06 Calend 01'!C85+(6*'V06 Calend 01'!E85))),('V06 Calend 01'!H85-('V06 Calend 01'!I85*('V06 Calend 01'!E85-1))),'V06 Calend 01'!I85),0))+IF((83='V06 Calend 01'!D85),'V06 Calend 01'!J85,0))</f>
        <v>0</v>
      </c>
      <c r="CR85" s="2">
        <f>((IF((84='V06 Calend 01'!C85),('V06 Calend 01'!F85+'V06 Calend 01'!G85),0)+IF(AND(('V06 Calend 01'!E85&gt;0),(84&gt;'V06 Calend 01'!C85),(84&lt;'V06 Calend 01'!D85),(MOD((84-'V06 Calend 01'!C85),6)=0),(((84-'V06 Calend 01'!C85)/6)&lt;='V06 Calend 01'!E85)),IF((84=('V06 Calend 01'!C85+(6*'V06 Calend 01'!E85))),('V06 Calend 01'!H85-('V06 Calend 01'!I85*('V06 Calend 01'!E85-1))),'V06 Calend 01'!I85),0))+IF((84='V06 Calend 01'!D85),'V06 Calend 01'!J85,0))</f>
        <v>0</v>
      </c>
      <c r="CS85" s="2">
        <f>((IF((85='V06 Calend 01'!C85),('V06 Calend 01'!F85+'V06 Calend 01'!G85),0)+IF(AND(('V06 Calend 01'!E85&gt;0),(85&gt;'V06 Calend 01'!C85),(85&lt;'V06 Calend 01'!D85),(MOD((85-'V06 Calend 01'!C85),6)=0),(((85-'V06 Calend 01'!C85)/6)&lt;='V06 Calend 01'!E85)),IF((85=('V06 Calend 01'!C85+(6*'V06 Calend 01'!E85))),('V06 Calend 01'!H85-('V06 Calend 01'!I85*('V06 Calend 01'!E85-1))),'V06 Calend 01'!I85),0))+IF((85='V06 Calend 01'!D85),'V06 Calend 01'!J85,0))</f>
        <v>0</v>
      </c>
      <c r="CT85" s="2">
        <f>((IF((86='V06 Calend 01'!C85),('V06 Calend 01'!F85+'V06 Calend 01'!G85),0)+IF(AND(('V06 Calend 01'!E85&gt;0),(86&gt;'V06 Calend 01'!C85),(86&lt;'V06 Calend 01'!D85),(MOD((86-'V06 Calend 01'!C85),6)=0),(((86-'V06 Calend 01'!C85)/6)&lt;='V06 Calend 01'!E85)),IF((86=('V06 Calend 01'!C85+(6*'V06 Calend 01'!E85))),('V06 Calend 01'!H85-('V06 Calend 01'!I85*('V06 Calend 01'!E85-1))),'V06 Calend 01'!I85),0))+IF((86='V06 Calend 01'!D85),'V06 Calend 01'!J85,0))</f>
        <v>0</v>
      </c>
      <c r="CU85" s="2">
        <f>((IF((87='V06 Calend 01'!C85),('V06 Calend 01'!F85+'V06 Calend 01'!G85),0)+IF(AND(('V06 Calend 01'!E85&gt;0),(87&gt;'V06 Calend 01'!C85),(87&lt;'V06 Calend 01'!D85),(MOD((87-'V06 Calend 01'!C85),6)=0),(((87-'V06 Calend 01'!C85)/6)&lt;='V06 Calend 01'!E85)),IF((87=('V06 Calend 01'!C85+(6*'V06 Calend 01'!E85))),('V06 Calend 01'!H85-('V06 Calend 01'!I85*('V06 Calend 01'!E85-1))),'V06 Calend 01'!I85),0))+IF((87='V06 Calend 01'!D85),'V06 Calend 01'!J85,0))</f>
        <v>0</v>
      </c>
      <c r="CV85" s="2">
        <f>((IF((88='V06 Calend 01'!C85),('V06 Calend 01'!F85+'V06 Calend 01'!G85),0)+IF(AND(('V06 Calend 01'!E85&gt;0),(88&gt;'V06 Calend 01'!C85),(88&lt;'V06 Calend 01'!D85),(MOD((88-'V06 Calend 01'!C85),6)=0),(((88-'V06 Calend 01'!C85)/6)&lt;='V06 Calend 01'!E85)),IF((88=('V06 Calend 01'!C85+(6*'V06 Calend 01'!E85))),('V06 Calend 01'!H85-('V06 Calend 01'!I85*('V06 Calend 01'!E85-1))),'V06 Calend 01'!I85),0))+IF((88='V06 Calend 01'!D85),'V06 Calend 01'!J85,0))</f>
        <v>0</v>
      </c>
      <c r="CW85" s="2">
        <f>((IF((89='V06 Calend 01'!C85),('V06 Calend 01'!F85+'V06 Calend 01'!G85),0)+IF(AND(('V06 Calend 01'!E85&gt;0),(89&gt;'V06 Calend 01'!C85),(89&lt;'V06 Calend 01'!D85),(MOD((89-'V06 Calend 01'!C85),6)=0),(((89-'V06 Calend 01'!C85)/6)&lt;='V06 Calend 01'!E85)),IF((89=('V06 Calend 01'!C85+(6*'V06 Calend 01'!E85))),('V06 Calend 01'!H85-('V06 Calend 01'!I85*('V06 Calend 01'!E85-1))),'V06 Calend 01'!I85),0))+IF((89='V06 Calend 01'!D85),'V06 Calend 01'!J85,0))</f>
        <v>0</v>
      </c>
      <c r="CX85" s="2">
        <f>((IF((90='V06 Calend 01'!C85),('V06 Calend 01'!F85+'V06 Calend 01'!G85),0)+IF(AND(('V06 Calend 01'!E85&gt;0),(90&gt;'V06 Calend 01'!C85),(90&lt;'V06 Calend 01'!D85),(MOD((90-'V06 Calend 01'!C85),6)=0),(((90-'V06 Calend 01'!C85)/6)&lt;='V06 Calend 01'!E85)),IF((90=('V06 Calend 01'!C85+(6*'V06 Calend 01'!E85))),('V06 Calend 01'!H85-('V06 Calend 01'!I85*('V06 Calend 01'!E85-1))),'V06 Calend 01'!I85),0))+IF((90='V06 Calend 01'!D85),'V06 Calend 01'!J85,0))</f>
        <v>0</v>
      </c>
      <c r="CY85" s="2">
        <f>((IF((91='V06 Calend 01'!C85),('V06 Calend 01'!F85+'V06 Calend 01'!G85),0)+IF(AND(('V06 Calend 01'!E85&gt;0),(91&gt;'V06 Calend 01'!C85),(91&lt;'V06 Calend 01'!D85),(MOD((91-'V06 Calend 01'!C85),6)=0),(((91-'V06 Calend 01'!C85)/6)&lt;='V06 Calend 01'!E85)),IF((91=('V06 Calend 01'!C85+(6*'V06 Calend 01'!E85))),('V06 Calend 01'!H85-('V06 Calend 01'!I85*('V06 Calend 01'!E85-1))),'V06 Calend 01'!I85),0))+IF((91='V06 Calend 01'!D85),'V06 Calend 01'!J85,0))</f>
        <v>0</v>
      </c>
      <c r="CZ85" s="2">
        <f>((IF((92='V06 Calend 01'!C85),('V06 Calend 01'!F85+'V06 Calend 01'!G85),0)+IF(AND(('V06 Calend 01'!E85&gt;0),(92&gt;'V06 Calend 01'!C85),(92&lt;'V06 Calend 01'!D85),(MOD((92-'V06 Calend 01'!C85),6)=0),(((92-'V06 Calend 01'!C85)/6)&lt;='V06 Calend 01'!E85)),IF((92=('V06 Calend 01'!C85+(6*'V06 Calend 01'!E85))),('V06 Calend 01'!H85-('V06 Calend 01'!I85*('V06 Calend 01'!E85-1))),'V06 Calend 01'!I85),0))+IF((92='V06 Calend 01'!D85),'V06 Calend 01'!J85,0))</f>
        <v>0</v>
      </c>
      <c r="DA85" s="2">
        <f>((IF((93='V06 Calend 01'!C85),('V06 Calend 01'!F85+'V06 Calend 01'!G85),0)+IF(AND(('V06 Calend 01'!E85&gt;0),(93&gt;'V06 Calend 01'!C85),(93&lt;'V06 Calend 01'!D85),(MOD((93-'V06 Calend 01'!C85),6)=0),(((93-'V06 Calend 01'!C85)/6)&lt;='V06 Calend 01'!E85)),IF((93=('V06 Calend 01'!C85+(6*'V06 Calend 01'!E85))),('V06 Calend 01'!H85-('V06 Calend 01'!I85*('V06 Calend 01'!E85-1))),'V06 Calend 01'!I85),0))+IF((93='V06 Calend 01'!D85),'V06 Calend 01'!J85,0))</f>
        <v>0</v>
      </c>
      <c r="DB85" s="2">
        <f>((IF((94='V06 Calend 01'!C85),('V06 Calend 01'!F85+'V06 Calend 01'!G85),0)+IF(AND(('V06 Calend 01'!E85&gt;0),(94&gt;'V06 Calend 01'!C85),(94&lt;'V06 Calend 01'!D85),(MOD((94-'V06 Calend 01'!C85),6)=0),(((94-'V06 Calend 01'!C85)/6)&lt;='V06 Calend 01'!E85)),IF((94=('V06 Calend 01'!C85+(6*'V06 Calend 01'!E85))),('V06 Calend 01'!H85-('V06 Calend 01'!I85*('V06 Calend 01'!E85-1))),'V06 Calend 01'!I85),0))+IF((94='V06 Calend 01'!D85),'V06 Calend 01'!J85,0))</f>
        <v>0</v>
      </c>
      <c r="DC85" s="2">
        <f>((IF((95='V06 Calend 01'!C85),('V06 Calend 01'!F85+'V06 Calend 01'!G85),0)+IF(AND(('V06 Calend 01'!E85&gt;0),(95&gt;'V06 Calend 01'!C85),(95&lt;'V06 Calend 01'!D85),(MOD((95-'V06 Calend 01'!C85),6)=0),(((95-'V06 Calend 01'!C85)/6)&lt;='V06 Calend 01'!E85)),IF((95=('V06 Calend 01'!C85+(6*'V06 Calend 01'!E85))),('V06 Calend 01'!H85-('V06 Calend 01'!I85*('V06 Calend 01'!E85-1))),'V06 Calend 01'!I85),0))+IF((95='V06 Calend 01'!D85),'V06 Calend 01'!J85,0))</f>
        <v>0</v>
      </c>
      <c r="DD85" s="2">
        <f>((IF((96='V06 Calend 01'!C85),('V06 Calend 01'!F85+'V06 Calend 01'!G85),0)+IF(AND(('V06 Calend 01'!E85&gt;0),(96&gt;'V06 Calend 01'!C85),(96&lt;'V06 Calend 01'!D85),(MOD((96-'V06 Calend 01'!C85),6)=0),(((96-'V06 Calend 01'!C85)/6)&lt;='V06 Calend 01'!E85)),IF((96=('V06 Calend 01'!C85+(6*'V06 Calend 01'!E85))),('V06 Calend 01'!H85-('V06 Calend 01'!I85*('V06 Calend 01'!E85-1))),'V06 Calend 01'!I85),0))+IF((96='V06 Calend 01'!D85),'V06 Calend 01'!J85,0))</f>
        <v>0</v>
      </c>
      <c r="DE85" s="2">
        <f>((IF((97='V06 Calend 01'!C85),('V06 Calend 01'!F85+'V06 Calend 01'!G85),0)+IF(AND(('V06 Calend 01'!E85&gt;0),(97&gt;'V06 Calend 01'!C85),(97&lt;'V06 Calend 01'!D85),(MOD((97-'V06 Calend 01'!C85),6)=0),(((97-'V06 Calend 01'!C85)/6)&lt;='V06 Calend 01'!E85)),IF((97=('V06 Calend 01'!C85+(6*'V06 Calend 01'!E85))),('V06 Calend 01'!H85-('V06 Calend 01'!I85*('V06 Calend 01'!E85-1))),'V06 Calend 01'!I85),0))+IF((97='V06 Calend 01'!D85),'V06 Calend 01'!J85,0))</f>
        <v>0</v>
      </c>
      <c r="DF85" s="2">
        <f>((IF((98='V06 Calend 01'!C85),('V06 Calend 01'!F85+'V06 Calend 01'!G85),0)+IF(AND(('V06 Calend 01'!E85&gt;0),(98&gt;'V06 Calend 01'!C85),(98&lt;'V06 Calend 01'!D85),(MOD((98-'V06 Calend 01'!C85),6)=0),(((98-'V06 Calend 01'!C85)/6)&lt;='V06 Calend 01'!E85)),IF((98=('V06 Calend 01'!C85+(6*'V06 Calend 01'!E85))),('V06 Calend 01'!H85-('V06 Calend 01'!I85*('V06 Calend 01'!E85-1))),'V06 Calend 01'!I85),0))+IF((98='V06 Calend 01'!D85),'V06 Calend 01'!J85,0))</f>
        <v>0</v>
      </c>
      <c r="DG85" s="2">
        <f>((IF((99='V06 Calend 01'!C85),('V06 Calend 01'!F85+'V06 Calend 01'!G85),0)+IF(AND(('V06 Calend 01'!E85&gt;0),(99&gt;'V06 Calend 01'!C85),(99&lt;'V06 Calend 01'!D85),(MOD((99-'V06 Calend 01'!C85),6)=0),(((99-'V06 Calend 01'!C85)/6)&lt;='V06 Calend 01'!E85)),IF((99=('V06 Calend 01'!C85+(6*'V06 Calend 01'!E85))),('V06 Calend 01'!H85-('V06 Calend 01'!I85*('V06 Calend 01'!E85-1))),'V06 Calend 01'!I85),0))+IF((99='V06 Calend 01'!D85),'V06 Calend 01'!J85,0))</f>
        <v>0</v>
      </c>
      <c r="DH85" s="2">
        <f>((IF((100='V06 Calend 01'!C85),('V06 Calend 01'!F85+'V06 Calend 01'!G85),0)+IF(AND(('V06 Calend 01'!E85&gt;0),(100&gt;'V06 Calend 01'!C85),(100&lt;'V06 Calend 01'!D85),(MOD((100-'V06 Calend 01'!C85),6)=0),(((100-'V06 Calend 01'!C85)/6)&lt;='V06 Calend 01'!E85)),IF((100=('V06 Calend 01'!C85+(6*'V06 Calend 01'!E85))),('V06 Calend 01'!H85-('V06 Calend 01'!I85*('V06 Calend 01'!E85-1))),'V06 Calend 01'!I85),0))+IF((100='V06 Calend 01'!D85),'V06 Calend 01'!J85,0))</f>
        <v>0</v>
      </c>
      <c r="DI85" s="2">
        <f>((IF((101='V06 Calend 01'!C85),('V06 Calend 01'!F85+'V06 Calend 01'!G85),0)+IF(AND(('V06 Calend 01'!E85&gt;0),(101&gt;'V06 Calend 01'!C85),(101&lt;'V06 Calend 01'!D85),(MOD((101-'V06 Calend 01'!C85),6)=0),(((101-'V06 Calend 01'!C85)/6)&lt;='V06 Calend 01'!E85)),IF((101=('V06 Calend 01'!C85+(6*'V06 Calend 01'!E85))),('V06 Calend 01'!H85-('V06 Calend 01'!I85*('V06 Calend 01'!E85-1))),'V06 Calend 01'!I85),0))+IF((101='V06 Calend 01'!D85),'V06 Calend 01'!J85,0))</f>
        <v>0</v>
      </c>
      <c r="DJ85" s="2">
        <f>((IF((102='V06 Calend 01'!C85),('V06 Calend 01'!F85+'V06 Calend 01'!G85),0)+IF(AND(('V06 Calend 01'!E85&gt;0),(102&gt;'V06 Calend 01'!C85),(102&lt;'V06 Calend 01'!D85),(MOD((102-'V06 Calend 01'!C85),6)=0),(((102-'V06 Calend 01'!C85)/6)&lt;='V06 Calend 01'!E85)),IF((102=('V06 Calend 01'!C85+(6*'V06 Calend 01'!E85))),('V06 Calend 01'!H85-('V06 Calend 01'!I85*('V06 Calend 01'!E85-1))),'V06 Calend 01'!I85),0))+IF((102='V06 Calend 01'!D85),'V06 Calend 01'!J85,0))</f>
        <v>0</v>
      </c>
      <c r="DK85" s="2">
        <f>((IF((103='V06 Calend 01'!C85),('V06 Calend 01'!F85+'V06 Calend 01'!G85),0)+IF(AND(('V06 Calend 01'!E85&gt;0),(103&gt;'V06 Calend 01'!C85),(103&lt;'V06 Calend 01'!D85),(MOD((103-'V06 Calend 01'!C85),6)=0),(((103-'V06 Calend 01'!C85)/6)&lt;='V06 Calend 01'!E85)),IF((103=('V06 Calend 01'!C85+(6*'V06 Calend 01'!E85))),('V06 Calend 01'!H85-('V06 Calend 01'!I85*('V06 Calend 01'!E85-1))),'V06 Calend 01'!I85),0))+IF((103='V06 Calend 01'!D85),'V06 Calend 01'!J85,0))</f>
        <v>0</v>
      </c>
      <c r="DL85" s="2">
        <f>((IF((104='V06 Calend 01'!C85),('V06 Calend 01'!F85+'V06 Calend 01'!G85),0)+IF(AND(('V06 Calend 01'!E85&gt;0),(104&gt;'V06 Calend 01'!C85),(104&lt;'V06 Calend 01'!D85),(MOD((104-'V06 Calend 01'!C85),6)=0),(((104-'V06 Calend 01'!C85)/6)&lt;='V06 Calend 01'!E85)),IF((104=('V06 Calend 01'!C85+(6*'V06 Calend 01'!E85))),('V06 Calend 01'!H85-('V06 Calend 01'!I85*('V06 Calend 01'!E85-1))),'V06 Calend 01'!I85),0))+IF((104='V06 Calend 01'!D85),'V06 Calend 01'!J85,0))</f>
        <v>0</v>
      </c>
      <c r="DM85" s="2">
        <f>((IF((105='V06 Calend 01'!C85),('V06 Calend 01'!F85+'V06 Calend 01'!G85),0)+IF(AND(('V06 Calend 01'!E85&gt;0),(105&gt;'V06 Calend 01'!C85),(105&lt;'V06 Calend 01'!D85),(MOD((105-'V06 Calend 01'!C85),6)=0),(((105-'V06 Calend 01'!C85)/6)&lt;='V06 Calend 01'!E85)),IF((105=('V06 Calend 01'!C85+(6*'V06 Calend 01'!E85))),('V06 Calend 01'!H85-('V06 Calend 01'!I85*('V06 Calend 01'!E85-1))),'V06 Calend 01'!I85),0))+IF((105='V06 Calend 01'!D85),'V06 Calend 01'!J85,0))</f>
        <v>0</v>
      </c>
      <c r="DN85" s="2">
        <f>((IF((106='V06 Calend 01'!C85),('V06 Calend 01'!F85+'V06 Calend 01'!G85),0)+IF(AND(('V06 Calend 01'!E85&gt;0),(106&gt;'V06 Calend 01'!C85),(106&lt;'V06 Calend 01'!D85),(MOD((106-'V06 Calend 01'!C85),6)=0),(((106-'V06 Calend 01'!C85)/6)&lt;='V06 Calend 01'!E85)),IF((106=('V06 Calend 01'!C85+(6*'V06 Calend 01'!E85))),('V06 Calend 01'!H85-('V06 Calend 01'!I85*('V06 Calend 01'!E85-1))),'V06 Calend 01'!I85),0))+IF((106='V06 Calend 01'!D85),'V06 Calend 01'!J85,0))</f>
        <v>0</v>
      </c>
      <c r="DO85" s="2">
        <f>((IF((107='V06 Calend 01'!C85),('V06 Calend 01'!F85+'V06 Calend 01'!G85),0)+IF(AND(('V06 Calend 01'!E85&gt;0),(107&gt;'V06 Calend 01'!C85),(107&lt;'V06 Calend 01'!D85),(MOD((107-'V06 Calend 01'!C85),6)=0),(((107-'V06 Calend 01'!C85)/6)&lt;='V06 Calend 01'!E85)),IF((107=('V06 Calend 01'!C85+(6*'V06 Calend 01'!E85))),('V06 Calend 01'!H85-('V06 Calend 01'!I85*('V06 Calend 01'!E85-1))),'V06 Calend 01'!I85),0))+IF((107='V06 Calend 01'!D85),'V06 Calend 01'!J85,0))</f>
        <v>0</v>
      </c>
      <c r="DP85" s="2">
        <f>((IF((108='V06 Calend 01'!C85),('V06 Calend 01'!F85+'V06 Calend 01'!G85),0)+IF(AND(('V06 Calend 01'!E85&gt;0),(108&gt;'V06 Calend 01'!C85),(108&lt;'V06 Calend 01'!D85),(MOD((108-'V06 Calend 01'!C85),6)=0),(((108-'V06 Calend 01'!C85)/6)&lt;='V06 Calend 01'!E85)),IF((108=('V06 Calend 01'!C85+(6*'V06 Calend 01'!E85))),('V06 Calend 01'!H85-('V06 Calend 01'!I85*('V06 Calend 01'!E85-1))),'V06 Calend 01'!I85),0))+IF((108='V06 Calend 01'!D85),'V06 Calend 01'!J85,0))</f>
        <v>0</v>
      </c>
      <c r="DQ85" s="2">
        <f>((IF((109='V06 Calend 01'!C85),('V06 Calend 01'!F85+'V06 Calend 01'!G85),0)+IF(AND(('V06 Calend 01'!E85&gt;0),(109&gt;'V06 Calend 01'!C85),(109&lt;'V06 Calend 01'!D85),(MOD((109-'V06 Calend 01'!C85),6)=0),(((109-'V06 Calend 01'!C85)/6)&lt;='V06 Calend 01'!E85)),IF((109=('V06 Calend 01'!C85+(6*'V06 Calend 01'!E85))),('V06 Calend 01'!H85-('V06 Calend 01'!I85*('V06 Calend 01'!E85-1))),'V06 Calend 01'!I85),0))+IF((109='V06 Calend 01'!D85),'V06 Calend 01'!J85,0))</f>
        <v>0</v>
      </c>
      <c r="DR85" s="2">
        <f>((IF((110='V06 Calend 01'!C85),('V06 Calend 01'!F85+'V06 Calend 01'!G85),0)+IF(AND(('V06 Calend 01'!E85&gt;0),(110&gt;'V06 Calend 01'!C85),(110&lt;'V06 Calend 01'!D85),(MOD((110-'V06 Calend 01'!C85),6)=0),(((110-'V06 Calend 01'!C85)/6)&lt;='V06 Calend 01'!E85)),IF((110=('V06 Calend 01'!C85+(6*'V06 Calend 01'!E85))),('V06 Calend 01'!H85-('V06 Calend 01'!I85*('V06 Calend 01'!E85-1))),'V06 Calend 01'!I85),0))+IF((110='V06 Calend 01'!D85),'V06 Calend 01'!J85,0))</f>
        <v>0</v>
      </c>
      <c r="DS85" s="2">
        <f>((IF((111='V06 Calend 01'!C85),('V06 Calend 01'!F85+'V06 Calend 01'!G85),0)+IF(AND(('V06 Calend 01'!E85&gt;0),(111&gt;'V06 Calend 01'!C85),(111&lt;'V06 Calend 01'!D85),(MOD((111-'V06 Calend 01'!C85),6)=0),(((111-'V06 Calend 01'!C85)/6)&lt;='V06 Calend 01'!E85)),IF((111=('V06 Calend 01'!C85+(6*'V06 Calend 01'!E85))),('V06 Calend 01'!H85-('V06 Calend 01'!I85*('V06 Calend 01'!E85-1))),'V06 Calend 01'!I85),0))+IF((111='V06 Calend 01'!D85),'V06 Calend 01'!J85,0))</f>
        <v>0</v>
      </c>
      <c r="DT85" s="2">
        <f>((IF((112='V06 Calend 01'!C85),('V06 Calend 01'!F85+'V06 Calend 01'!G85),0)+IF(AND(('V06 Calend 01'!E85&gt;0),(112&gt;'V06 Calend 01'!C85),(112&lt;'V06 Calend 01'!D85),(MOD((112-'V06 Calend 01'!C85),6)=0),(((112-'V06 Calend 01'!C85)/6)&lt;='V06 Calend 01'!E85)),IF((112=('V06 Calend 01'!C85+(6*'V06 Calend 01'!E85))),('V06 Calend 01'!H85-('V06 Calend 01'!I85*('V06 Calend 01'!E85-1))),'V06 Calend 01'!I85),0))+IF((112='V06 Calend 01'!D85),'V06 Calend 01'!J85,0))</f>
        <v>0</v>
      </c>
      <c r="DU85" s="2">
        <f>((IF((113='V06 Calend 01'!C85),('V06 Calend 01'!F85+'V06 Calend 01'!G85),0)+IF(AND(('V06 Calend 01'!E85&gt;0),(113&gt;'V06 Calend 01'!C85),(113&lt;'V06 Calend 01'!D85),(MOD((113-'V06 Calend 01'!C85),6)=0),(((113-'V06 Calend 01'!C85)/6)&lt;='V06 Calend 01'!E85)),IF((113=('V06 Calend 01'!C85+(6*'V06 Calend 01'!E85))),('V06 Calend 01'!H85-('V06 Calend 01'!I85*('V06 Calend 01'!E85-1))),'V06 Calend 01'!I85),0))+IF((113='V06 Calend 01'!D85),'V06 Calend 01'!J85,0))</f>
        <v>0</v>
      </c>
      <c r="DV85" s="2">
        <f>((IF((114='V06 Calend 01'!C85),('V06 Calend 01'!F85+'V06 Calend 01'!G85),0)+IF(AND(('V06 Calend 01'!E85&gt;0),(114&gt;'V06 Calend 01'!C85),(114&lt;'V06 Calend 01'!D85),(MOD((114-'V06 Calend 01'!C85),6)=0),(((114-'V06 Calend 01'!C85)/6)&lt;='V06 Calend 01'!E85)),IF((114=('V06 Calend 01'!C85+(6*'V06 Calend 01'!E85))),('V06 Calend 01'!H85-('V06 Calend 01'!I85*('V06 Calend 01'!E85-1))),'V06 Calend 01'!I85),0))+IF((114='V06 Calend 01'!D85),'V06 Calend 01'!J85,0))</f>
        <v>0</v>
      </c>
      <c r="DW85" s="2">
        <f>((IF((115='V06 Calend 01'!C85),('V06 Calend 01'!F85+'V06 Calend 01'!G85),0)+IF(AND(('V06 Calend 01'!E85&gt;0),(115&gt;'V06 Calend 01'!C85),(115&lt;'V06 Calend 01'!D85),(MOD((115-'V06 Calend 01'!C85),6)=0),(((115-'V06 Calend 01'!C85)/6)&lt;='V06 Calend 01'!E85)),IF((115=('V06 Calend 01'!C85+(6*'V06 Calend 01'!E85))),('V06 Calend 01'!H85-('V06 Calend 01'!I85*('V06 Calend 01'!E85-1))),'V06 Calend 01'!I85),0))+IF((115='V06 Calend 01'!D85),'V06 Calend 01'!J85,0))</f>
        <v>0</v>
      </c>
      <c r="DX85" s="2">
        <f>((IF((116='V06 Calend 01'!C85),('V06 Calend 01'!F85+'V06 Calend 01'!G85),0)+IF(AND(('V06 Calend 01'!E85&gt;0),(116&gt;'V06 Calend 01'!C85),(116&lt;'V06 Calend 01'!D85),(MOD((116-'V06 Calend 01'!C85),6)=0),(((116-'V06 Calend 01'!C85)/6)&lt;='V06 Calend 01'!E85)),IF((116=('V06 Calend 01'!C85+(6*'V06 Calend 01'!E85))),('V06 Calend 01'!H85-('V06 Calend 01'!I85*('V06 Calend 01'!E85-1))),'V06 Calend 01'!I85),0))+IF((116='V06 Calend 01'!D85),'V06 Calend 01'!J85,0))</f>
        <v>0</v>
      </c>
      <c r="DY85" s="2">
        <f>((IF((117='V06 Calend 01'!C85),('V06 Calend 01'!F85+'V06 Calend 01'!G85),0)+IF(AND(('V06 Calend 01'!E85&gt;0),(117&gt;'V06 Calend 01'!C85),(117&lt;'V06 Calend 01'!D85),(MOD((117-'V06 Calend 01'!C85),6)=0),(((117-'V06 Calend 01'!C85)/6)&lt;='V06 Calend 01'!E85)),IF((117=('V06 Calend 01'!C85+(6*'V06 Calend 01'!E85))),('V06 Calend 01'!H85-('V06 Calend 01'!I85*('V06 Calend 01'!E85-1))),'V06 Calend 01'!I85),0))+IF((117='V06 Calend 01'!D85),'V06 Calend 01'!J85,0))</f>
        <v>0</v>
      </c>
      <c r="DZ85" s="2">
        <f>((IF((118='V06 Calend 01'!C85),('V06 Calend 01'!F85+'V06 Calend 01'!G85),0)+IF(AND(('V06 Calend 01'!E85&gt;0),(118&gt;'V06 Calend 01'!C85),(118&lt;'V06 Calend 01'!D85),(MOD((118-'V06 Calend 01'!C85),6)=0),(((118-'V06 Calend 01'!C85)/6)&lt;='V06 Calend 01'!E85)),IF((118=('V06 Calend 01'!C85+(6*'V06 Calend 01'!E85))),('V06 Calend 01'!H85-('V06 Calend 01'!I85*('V06 Calend 01'!E85-1))),'V06 Calend 01'!I85),0))+IF((118='V06 Calend 01'!D85),'V06 Calend 01'!J85,0))</f>
        <v>0</v>
      </c>
      <c r="EA85" s="2">
        <f>((IF((119='V06 Calend 01'!C85),('V06 Calend 01'!F85+'V06 Calend 01'!G85),0)+IF(AND(('V06 Calend 01'!E85&gt;0),(119&gt;'V06 Calend 01'!C85),(119&lt;'V06 Calend 01'!D85),(MOD((119-'V06 Calend 01'!C85),6)=0),(((119-'V06 Calend 01'!C85)/6)&lt;='V06 Calend 01'!E85)),IF((119=('V06 Calend 01'!C85+(6*'V06 Calend 01'!E85))),('V06 Calend 01'!H85-('V06 Calend 01'!I85*('V06 Calend 01'!E85-1))),'V06 Calend 01'!I85),0))+IF((119='V06 Calend 01'!D85),'V06 Calend 01'!J85,0))</f>
        <v>0</v>
      </c>
      <c r="EB85" s="2">
        <f>((IF((120='V06 Calend 01'!C85),('V06 Calend 01'!F85+'V06 Calend 01'!G85),0)+IF(AND(('V06 Calend 01'!E85&gt;0),(120&gt;'V06 Calend 01'!C85),(120&lt;'V06 Calend 01'!D85),(MOD((120-'V06 Calend 01'!C85),6)=0),(((120-'V06 Calend 01'!C85)/6)&lt;='V06 Calend 01'!E85)),IF((120=('V06 Calend 01'!C85+(6*'V06 Calend 01'!E85))),('V06 Calend 01'!H85-('V06 Calend 01'!I85*('V06 Calend 01'!E85-1))),'V06 Calend 01'!I85),0))+IF((120='V06 Calend 01'!D85),'V06 Calend 01'!J85,0))</f>
        <v>0</v>
      </c>
      <c r="EC85" s="2">
        <f>((IF((121='V06 Calend 01'!C85),('V06 Calend 01'!F85+'V06 Calend 01'!G85),0)+IF(AND(('V06 Calend 01'!E85&gt;0),(121&gt;'V06 Calend 01'!C85),(121&lt;'V06 Calend 01'!D85),(MOD((121-'V06 Calend 01'!C85),6)=0),(((121-'V06 Calend 01'!C85)/6)&lt;='V06 Calend 01'!E85)),IF((121=('V06 Calend 01'!C85+(6*'V06 Calend 01'!E85))),('V06 Calend 01'!H85-('V06 Calend 01'!I85*('V06 Calend 01'!E85-1))),'V06 Calend 01'!I85),0))+IF((121='V06 Calend 01'!D85),'V06 Calend 01'!J85,0))</f>
        <v>0</v>
      </c>
      <c r="ED85" s="2">
        <f>((IF((122='V06 Calend 01'!C85),('V06 Calend 01'!F85+'V06 Calend 01'!G85),0)+IF(AND(('V06 Calend 01'!E85&gt;0),(122&gt;'V06 Calend 01'!C85),(122&lt;'V06 Calend 01'!D85),(MOD((122-'V06 Calend 01'!C85),6)=0),(((122-'V06 Calend 01'!C85)/6)&lt;='V06 Calend 01'!E85)),IF((122=('V06 Calend 01'!C85+(6*'V06 Calend 01'!E85))),('V06 Calend 01'!H85-('V06 Calend 01'!I85*('V06 Calend 01'!E85-1))),'V06 Calend 01'!I85),0))+IF((122='V06 Calend 01'!D85),'V06 Calend 01'!J85,0))</f>
        <v>0</v>
      </c>
      <c r="EE85" s="2">
        <f>((IF((123='V06 Calend 01'!C85),('V06 Calend 01'!F85+'V06 Calend 01'!G85),0)+IF(AND(('V06 Calend 01'!E85&gt;0),(123&gt;'V06 Calend 01'!C85),(123&lt;'V06 Calend 01'!D85),(MOD((123-'V06 Calend 01'!C85),6)=0),(((123-'V06 Calend 01'!C85)/6)&lt;='V06 Calend 01'!E85)),IF((123=('V06 Calend 01'!C85+(6*'V06 Calend 01'!E85))),('V06 Calend 01'!H85-('V06 Calend 01'!I85*('V06 Calend 01'!E85-1))),'V06 Calend 01'!I85),0))+IF((123='V06 Calend 01'!D85),'V06 Calend 01'!J85,0))</f>
        <v>0</v>
      </c>
      <c r="EF85" s="2">
        <f>((IF((124='V06 Calend 01'!C85),('V06 Calend 01'!F85+'V06 Calend 01'!G85),0)+IF(AND(('V06 Calend 01'!E85&gt;0),(124&gt;'V06 Calend 01'!C85),(124&lt;'V06 Calend 01'!D85),(MOD((124-'V06 Calend 01'!C85),6)=0),(((124-'V06 Calend 01'!C85)/6)&lt;='V06 Calend 01'!E85)),IF((124=('V06 Calend 01'!C85+(6*'V06 Calend 01'!E85))),('V06 Calend 01'!H85-('V06 Calend 01'!I85*('V06 Calend 01'!E85-1))),'V06 Calend 01'!I85),0))+IF((124='V06 Calend 01'!D85),'V06 Calend 01'!J85,0))</f>
        <v>0</v>
      </c>
      <c r="EG85" s="2">
        <f>((IF((125='V06 Calend 01'!C85),('V06 Calend 01'!F85+'V06 Calend 01'!G85),0)+IF(AND(('V06 Calend 01'!E85&gt;0),(125&gt;'V06 Calend 01'!C85),(125&lt;'V06 Calend 01'!D85),(MOD((125-'V06 Calend 01'!C85),6)=0),(((125-'V06 Calend 01'!C85)/6)&lt;='V06 Calend 01'!E85)),IF((125=('V06 Calend 01'!C85+(6*'V06 Calend 01'!E85))),('V06 Calend 01'!H85-('V06 Calend 01'!I85*('V06 Calend 01'!E85-1))),'V06 Calend 01'!I85),0))+IF((125='V06 Calend 01'!D85),'V06 Calend 01'!J85,0))</f>
        <v>0</v>
      </c>
      <c r="EH85" s="2">
        <f>((IF((126='V06 Calend 01'!C85),('V06 Calend 01'!F85+'V06 Calend 01'!G85),0)+IF(AND(('V06 Calend 01'!E85&gt;0),(126&gt;'V06 Calend 01'!C85),(126&lt;'V06 Calend 01'!D85),(MOD((126-'V06 Calend 01'!C85),6)=0),(((126-'V06 Calend 01'!C85)/6)&lt;='V06 Calend 01'!E85)),IF((126=('V06 Calend 01'!C85+(6*'V06 Calend 01'!E85))),('V06 Calend 01'!H85-('V06 Calend 01'!I85*('V06 Calend 01'!E85-1))),'V06 Calend 01'!I85),0))+IF((126='V06 Calend 01'!D85),'V06 Calend 01'!J85,0))</f>
        <v>0</v>
      </c>
      <c r="EI85" s="2">
        <f>((IF((127='V06 Calend 01'!C85),('V06 Calend 01'!F85+'V06 Calend 01'!G85),0)+IF(AND(('V06 Calend 01'!E85&gt;0),(127&gt;'V06 Calend 01'!C85),(127&lt;'V06 Calend 01'!D85),(MOD((127-'V06 Calend 01'!C85),6)=0),(((127-'V06 Calend 01'!C85)/6)&lt;='V06 Calend 01'!E85)),IF((127=('V06 Calend 01'!C85+(6*'V06 Calend 01'!E85))),('V06 Calend 01'!H85-('V06 Calend 01'!I85*('V06 Calend 01'!E85-1))),'V06 Calend 01'!I85),0))+IF((127='V06 Calend 01'!D85),'V06 Calend 01'!J85,0))</f>
        <v>0</v>
      </c>
      <c r="EJ85" s="2">
        <f>((IF((128='V06 Calend 01'!C85),('V06 Calend 01'!F85+'V06 Calend 01'!G85),0)+IF(AND(('V06 Calend 01'!E85&gt;0),(128&gt;'V06 Calend 01'!C85),(128&lt;'V06 Calend 01'!D85),(MOD((128-'V06 Calend 01'!C85),6)=0),(((128-'V06 Calend 01'!C85)/6)&lt;='V06 Calend 01'!E85)),IF((128=('V06 Calend 01'!C85+(6*'V06 Calend 01'!E85))),('V06 Calend 01'!H85-('V06 Calend 01'!I85*('V06 Calend 01'!E85-1))),'V06 Calend 01'!I85),0))+IF((128='V06 Calend 01'!D85),'V06 Calend 01'!J85,0))</f>
        <v>0</v>
      </c>
      <c r="EK85" s="2">
        <f>((IF((129='V06 Calend 01'!C85),('V06 Calend 01'!F85+'V06 Calend 01'!G85),0)+IF(AND(('V06 Calend 01'!E85&gt;0),(129&gt;'V06 Calend 01'!C85),(129&lt;'V06 Calend 01'!D85),(MOD((129-'V06 Calend 01'!C85),6)=0),(((129-'V06 Calend 01'!C85)/6)&lt;='V06 Calend 01'!E85)),IF((129=('V06 Calend 01'!C85+(6*'V06 Calend 01'!E85))),('V06 Calend 01'!H85-('V06 Calend 01'!I85*('V06 Calend 01'!E85-1))),'V06 Calend 01'!I85),0))+IF((129='V06 Calend 01'!D85),'V06 Calend 01'!J85,0))</f>
        <v>0</v>
      </c>
      <c r="EL85" s="2">
        <f>((IF((130='V06 Calend 01'!C85),('V06 Calend 01'!F85+'V06 Calend 01'!G85),0)+IF(AND(('V06 Calend 01'!E85&gt;0),(130&gt;'V06 Calend 01'!C85),(130&lt;'V06 Calend 01'!D85),(MOD((130-'V06 Calend 01'!C85),6)=0),(((130-'V06 Calend 01'!C85)/6)&lt;='V06 Calend 01'!E85)),IF((130=('V06 Calend 01'!C85+(6*'V06 Calend 01'!E85))),('V06 Calend 01'!H85-('V06 Calend 01'!I85*('V06 Calend 01'!E85-1))),'V06 Calend 01'!I85),0))+IF((130='V06 Calend 01'!D85),'V06 Calend 01'!J85,0))</f>
        <v>0</v>
      </c>
      <c r="EM85" s="2">
        <f>((IF((131='V06 Calend 01'!C85),('V06 Calend 01'!F85+'V06 Calend 01'!G85),0)+IF(AND(('V06 Calend 01'!E85&gt;0),(131&gt;'V06 Calend 01'!C85),(131&lt;'V06 Calend 01'!D85),(MOD((131-'V06 Calend 01'!C85),6)=0),(((131-'V06 Calend 01'!C85)/6)&lt;='V06 Calend 01'!E85)),IF((131=('V06 Calend 01'!C85+(6*'V06 Calend 01'!E85))),('V06 Calend 01'!H85-('V06 Calend 01'!I85*('V06 Calend 01'!E85-1))),'V06 Calend 01'!I85),0))+IF((131='V06 Calend 01'!D85),'V06 Calend 01'!J85,0))</f>
        <v>0</v>
      </c>
      <c r="EN85" s="2">
        <f>((IF((132='V06 Calend 01'!C85),('V06 Calend 01'!F85+'V06 Calend 01'!G85),0)+IF(AND(('V06 Calend 01'!E85&gt;0),(132&gt;'V06 Calend 01'!C85),(132&lt;'V06 Calend 01'!D85),(MOD((132-'V06 Calend 01'!C85),6)=0),(((132-'V06 Calend 01'!C85)/6)&lt;='V06 Calend 01'!E85)),IF((132=('V06 Calend 01'!C85+(6*'V06 Calend 01'!E85))),('V06 Calend 01'!H85-('V06 Calend 01'!I85*('V06 Calend 01'!E85-1))),'V06 Calend 01'!I85),0))+IF((132='V06 Calend 01'!D85),'V06 Calend 01'!J85,0))</f>
        <v>0</v>
      </c>
      <c r="EO85" s="2">
        <f>((IF((133='V06 Calend 01'!C85),('V06 Calend 01'!F85+'V06 Calend 01'!G85),0)+IF(AND(('V06 Calend 01'!E85&gt;0),(133&gt;'V06 Calend 01'!C85),(133&lt;'V06 Calend 01'!D85),(MOD((133-'V06 Calend 01'!C85),6)=0),(((133-'V06 Calend 01'!C85)/6)&lt;='V06 Calend 01'!E85)),IF((133=('V06 Calend 01'!C85+(6*'V06 Calend 01'!E85))),('V06 Calend 01'!H85-('V06 Calend 01'!I85*('V06 Calend 01'!E85-1))),'V06 Calend 01'!I85),0))+IF((133='V06 Calend 01'!D85),'V06 Calend 01'!J85,0))</f>
        <v>0</v>
      </c>
      <c r="EP85" s="2">
        <f>((IF((134='V06 Calend 01'!C85),('V06 Calend 01'!F85+'V06 Calend 01'!G85),0)+IF(AND(('V06 Calend 01'!E85&gt;0),(134&gt;'V06 Calend 01'!C85),(134&lt;'V06 Calend 01'!D85),(MOD((134-'V06 Calend 01'!C85),6)=0),(((134-'V06 Calend 01'!C85)/6)&lt;='V06 Calend 01'!E85)),IF((134=('V06 Calend 01'!C85+(6*'V06 Calend 01'!E85))),('V06 Calend 01'!H85-('V06 Calend 01'!I85*('V06 Calend 01'!E85-1))),'V06 Calend 01'!I85),0))+IF((134='V06 Calend 01'!D85),'V06 Calend 01'!J85,0))</f>
        <v>0</v>
      </c>
      <c r="EQ85" s="2">
        <f>((IF((135='V06 Calend 01'!C85),('V06 Calend 01'!F85+'V06 Calend 01'!G85),0)+IF(AND(('V06 Calend 01'!E85&gt;0),(135&gt;'V06 Calend 01'!C85),(135&lt;'V06 Calend 01'!D85),(MOD((135-'V06 Calend 01'!C85),6)=0),(((135-'V06 Calend 01'!C85)/6)&lt;='V06 Calend 01'!E85)),IF((135=('V06 Calend 01'!C85+(6*'V06 Calend 01'!E85))),('V06 Calend 01'!H85-('V06 Calend 01'!I85*('V06 Calend 01'!E85-1))),'V06 Calend 01'!I85),0))+IF((135='V06 Calend 01'!D85),'V06 Calend 01'!J85,0))</f>
        <v>0</v>
      </c>
      <c r="ER85" s="2">
        <f>((IF((136='V06 Calend 01'!C85),('V06 Calend 01'!F85+'V06 Calend 01'!G85),0)+IF(AND(('V06 Calend 01'!E85&gt;0),(136&gt;'V06 Calend 01'!C85),(136&lt;'V06 Calend 01'!D85),(MOD((136-'V06 Calend 01'!C85),6)=0),(((136-'V06 Calend 01'!C85)/6)&lt;='V06 Calend 01'!E85)),IF((136=('V06 Calend 01'!C85+(6*'V06 Calend 01'!E85))),('V06 Calend 01'!H85-('V06 Calend 01'!I85*('V06 Calend 01'!E85-1))),'V06 Calend 01'!I85),0))+IF((136='V06 Calend 01'!D85),'V06 Calend 01'!J85,0))</f>
        <v>0</v>
      </c>
      <c r="ES85" s="2">
        <f>((IF((137='V06 Calend 01'!C85),('V06 Calend 01'!F85+'V06 Calend 01'!G85),0)+IF(AND(('V06 Calend 01'!E85&gt;0),(137&gt;'V06 Calend 01'!C85),(137&lt;'V06 Calend 01'!D85),(MOD((137-'V06 Calend 01'!C85),6)=0),(((137-'V06 Calend 01'!C85)/6)&lt;='V06 Calend 01'!E85)),IF((137=('V06 Calend 01'!C85+(6*'V06 Calend 01'!E85))),('V06 Calend 01'!H85-('V06 Calend 01'!I85*('V06 Calend 01'!E85-1))),'V06 Calend 01'!I85),0))+IF((137='V06 Calend 01'!D85),'V06 Calend 01'!J85,0))</f>
        <v>0</v>
      </c>
      <c r="ET85" s="2">
        <f>((IF((138='V06 Calend 01'!C85),('V06 Calend 01'!F85+'V06 Calend 01'!G85),0)+IF(AND(('V06 Calend 01'!E85&gt;0),(138&gt;'V06 Calend 01'!C85),(138&lt;'V06 Calend 01'!D85),(MOD((138-'V06 Calend 01'!C85),6)=0),(((138-'V06 Calend 01'!C85)/6)&lt;='V06 Calend 01'!E85)),IF((138=('V06 Calend 01'!C85+(6*'V06 Calend 01'!E85))),('V06 Calend 01'!H85-('V06 Calend 01'!I85*('V06 Calend 01'!E85-1))),'V06 Calend 01'!I85),0))+IF((138='V06 Calend 01'!D85),'V06 Calend 01'!J85,0))</f>
        <v>0</v>
      </c>
      <c r="EU85" s="2">
        <f>((IF((139='V06 Calend 01'!C85),('V06 Calend 01'!F85+'V06 Calend 01'!G85),0)+IF(AND(('V06 Calend 01'!E85&gt;0),(139&gt;'V06 Calend 01'!C85),(139&lt;'V06 Calend 01'!D85),(MOD((139-'V06 Calend 01'!C85),6)=0),(((139-'V06 Calend 01'!C85)/6)&lt;='V06 Calend 01'!E85)),IF((139=('V06 Calend 01'!C85+(6*'V06 Calend 01'!E85))),('V06 Calend 01'!H85-('V06 Calend 01'!I85*('V06 Calend 01'!E85-1))),'V06 Calend 01'!I85),0))+IF((139='V06 Calend 01'!D85),'V06 Calend 01'!J85,0))</f>
        <v>0</v>
      </c>
      <c r="EV85" s="2">
        <f>((IF((140='V06 Calend 01'!C85),('V06 Calend 01'!F85+'V06 Calend 01'!G85),0)+IF(AND(('V06 Calend 01'!E85&gt;0),(140&gt;'V06 Calend 01'!C85),(140&lt;'V06 Calend 01'!D85),(MOD((140-'V06 Calend 01'!C85),6)=0),(((140-'V06 Calend 01'!C85)/6)&lt;='V06 Calend 01'!E85)),IF((140=('V06 Calend 01'!C85+(6*'V06 Calend 01'!E85))),('V06 Calend 01'!H85-('V06 Calend 01'!I85*('V06 Calend 01'!E85-1))),'V06 Calend 01'!I85),0))+IF((140='V06 Calend 01'!D85),'V06 Calend 01'!J85,0))</f>
        <v>0</v>
      </c>
      <c r="EW85" s="2">
        <f>((IF((141='V06 Calend 01'!C85),('V06 Calend 01'!F85+'V06 Calend 01'!G85),0)+IF(AND(('V06 Calend 01'!E85&gt;0),(141&gt;'V06 Calend 01'!C85),(141&lt;'V06 Calend 01'!D85),(MOD((141-'V06 Calend 01'!C85),6)=0),(((141-'V06 Calend 01'!C85)/6)&lt;='V06 Calend 01'!E85)),IF((141=('V06 Calend 01'!C85+(6*'V06 Calend 01'!E85))),('V06 Calend 01'!H85-('V06 Calend 01'!I85*('V06 Calend 01'!E85-1))),'V06 Calend 01'!I85),0))+IF((141='V06 Calend 01'!D85),'V06 Calend 01'!J85,0))</f>
        <v>0</v>
      </c>
      <c r="EX85" s="2">
        <f>((IF((142='V06 Calend 01'!C85),('V06 Calend 01'!F85+'V06 Calend 01'!G85),0)+IF(AND(('V06 Calend 01'!E85&gt;0),(142&gt;'V06 Calend 01'!C85),(142&lt;'V06 Calend 01'!D85),(MOD((142-'V06 Calend 01'!C85),6)=0),(((142-'V06 Calend 01'!C85)/6)&lt;='V06 Calend 01'!E85)),IF((142=('V06 Calend 01'!C85+(6*'V06 Calend 01'!E85))),('V06 Calend 01'!H85-('V06 Calend 01'!I85*('V06 Calend 01'!E85-1))),'V06 Calend 01'!I85),0))+IF((142='V06 Calend 01'!D85),'V06 Calend 01'!J85,0))</f>
        <v>0</v>
      </c>
      <c r="EY85" s="2">
        <f>((IF((143='V06 Calend 01'!C85),('V06 Calend 01'!F85+'V06 Calend 01'!G85),0)+IF(AND(('V06 Calend 01'!E85&gt;0),(143&gt;'V06 Calend 01'!C85),(143&lt;'V06 Calend 01'!D85),(MOD((143-'V06 Calend 01'!C85),6)=0),(((143-'V06 Calend 01'!C85)/6)&lt;='V06 Calend 01'!E85)),IF((143=('V06 Calend 01'!C85+(6*'V06 Calend 01'!E85))),('V06 Calend 01'!H85-('V06 Calend 01'!I85*('V06 Calend 01'!E85-1))),'V06 Calend 01'!I85),0))+IF((143='V06 Calend 01'!D85),'V06 Calend 01'!J85,0))</f>
        <v>0</v>
      </c>
      <c r="EZ85" s="2">
        <f>((IF((144='V06 Calend 01'!C85),('V06 Calend 01'!F85+'V06 Calend 01'!G85),0)+IF(AND(('V06 Calend 01'!E85&gt;0),(144&gt;'V06 Calend 01'!C85),(144&lt;'V06 Calend 01'!D85),(MOD((144-'V06 Calend 01'!C85),6)=0),(((144-'V06 Calend 01'!C85)/6)&lt;='V06 Calend 01'!E85)),IF((144=('V06 Calend 01'!C85+(6*'V06 Calend 01'!E85))),('V06 Calend 01'!H85-('V06 Calend 01'!I85*('V06 Calend 01'!E85-1))),'V06 Calend 01'!I85),0))+IF((144='V06 Calend 01'!D85),'V06 Calend 01'!J85,0))</f>
        <v>0</v>
      </c>
      <c r="FA85" s="2">
        <f>((IF((145='V06 Calend 01'!C85),('V06 Calend 01'!F85+'V06 Calend 01'!G85),0)+IF(AND(('V06 Calend 01'!E85&gt;0),(145&gt;'V06 Calend 01'!C85),(145&lt;'V06 Calend 01'!D85),(MOD((145-'V06 Calend 01'!C85),6)=0),(((145-'V06 Calend 01'!C85)/6)&lt;='V06 Calend 01'!E85)),IF((145=('V06 Calend 01'!C85+(6*'V06 Calend 01'!E85))),('V06 Calend 01'!H85-('V06 Calend 01'!I85*('V06 Calend 01'!E85-1))),'V06 Calend 01'!I85),0))+IF((145='V06 Calend 01'!D85),'V06 Calend 01'!J85,0))</f>
        <v>0</v>
      </c>
      <c r="FB85" s="2">
        <f>((IF((146='V06 Calend 01'!C85),('V06 Calend 01'!F85+'V06 Calend 01'!G85),0)+IF(AND(('V06 Calend 01'!E85&gt;0),(146&gt;'V06 Calend 01'!C85),(146&lt;'V06 Calend 01'!D85),(MOD((146-'V06 Calend 01'!C85),6)=0),(((146-'V06 Calend 01'!C85)/6)&lt;='V06 Calend 01'!E85)),IF((146=('V06 Calend 01'!C85+(6*'V06 Calend 01'!E85))),('V06 Calend 01'!H85-('V06 Calend 01'!I85*('V06 Calend 01'!E85-1))),'V06 Calend 01'!I85),0))+IF((146='V06 Calend 01'!D85),'V06 Calend 01'!J85,0))</f>
        <v>0</v>
      </c>
      <c r="FC85" s="2">
        <f>((IF((147='V06 Calend 01'!C85),('V06 Calend 01'!F85+'V06 Calend 01'!G85),0)+IF(AND(('V06 Calend 01'!E85&gt;0),(147&gt;'V06 Calend 01'!C85),(147&lt;'V06 Calend 01'!D85),(MOD((147-'V06 Calend 01'!C85),6)=0),(((147-'V06 Calend 01'!C85)/6)&lt;='V06 Calend 01'!E85)),IF((147=('V06 Calend 01'!C85+(6*'V06 Calend 01'!E85))),('V06 Calend 01'!H85-('V06 Calend 01'!I85*('V06 Calend 01'!E85-1))),'V06 Calend 01'!I85),0))+IF((147='V06 Calend 01'!D85),'V06 Calend 01'!J85,0))</f>
        <v>0</v>
      </c>
      <c r="FD85" s="2">
        <f>((IF((148='V06 Calend 01'!C85),('V06 Calend 01'!F85+'V06 Calend 01'!G85),0)+IF(AND(('V06 Calend 01'!E85&gt;0),(148&gt;'V06 Calend 01'!C85),(148&lt;'V06 Calend 01'!D85),(MOD((148-'V06 Calend 01'!C85),6)=0),(((148-'V06 Calend 01'!C85)/6)&lt;='V06 Calend 01'!E85)),IF((148=('V06 Calend 01'!C85+(6*'V06 Calend 01'!E85))),('V06 Calend 01'!H85-('V06 Calend 01'!I85*('V06 Calend 01'!E85-1))),'V06 Calend 01'!I85),0))+IF((148='V06 Calend 01'!D85),'V06 Calend 01'!J85,0))</f>
        <v>0</v>
      </c>
      <c r="FE85" s="2">
        <f>((IF((149='V06 Calend 01'!C85),('V06 Calend 01'!F85+'V06 Calend 01'!G85),0)+IF(AND(('V06 Calend 01'!E85&gt;0),(149&gt;'V06 Calend 01'!C85),(149&lt;'V06 Calend 01'!D85),(MOD((149-'V06 Calend 01'!C85),6)=0),(((149-'V06 Calend 01'!C85)/6)&lt;='V06 Calend 01'!E85)),IF((149=('V06 Calend 01'!C85+(6*'V06 Calend 01'!E85))),('V06 Calend 01'!H85-('V06 Calend 01'!I85*('V06 Calend 01'!E85-1))),'V06 Calend 01'!I85),0))+IF((149='V06 Calend 01'!D85),'V06 Calend 01'!J85,0))</f>
        <v>0</v>
      </c>
      <c r="FF85" s="2">
        <f>((IF((150='V06 Calend 01'!C85),('V06 Calend 01'!F85+'V06 Calend 01'!G85),0)+IF(AND(('V06 Calend 01'!E85&gt;0),(150&gt;'V06 Calend 01'!C85),(150&lt;'V06 Calend 01'!D85),(MOD((150-'V06 Calend 01'!C85),6)=0),(((150-'V06 Calend 01'!C85)/6)&lt;='V06 Calend 01'!E85)),IF((150=('V06 Calend 01'!C85+(6*'V06 Calend 01'!E85))),('V06 Calend 01'!H85-('V06 Calend 01'!I85*('V06 Calend 01'!E85-1))),'V06 Calend 01'!I85),0))+IF((150='V06 Calend 01'!D85),'V06 Calend 01'!J85,0))</f>
        <v>0</v>
      </c>
      <c r="FG85" s="2">
        <f>((IF((151='V06 Calend 01'!C85),('V06 Calend 01'!F85+'V06 Calend 01'!G85),0)+IF(AND(('V06 Calend 01'!E85&gt;0),(151&gt;'V06 Calend 01'!C85),(151&lt;'V06 Calend 01'!D85),(MOD((151-'V06 Calend 01'!C85),6)=0),(((151-'V06 Calend 01'!C85)/6)&lt;='V06 Calend 01'!E85)),IF((151=('V06 Calend 01'!C85+(6*'V06 Calend 01'!E85))),('V06 Calend 01'!H85-('V06 Calend 01'!I85*('V06 Calend 01'!E85-1))),'V06 Calend 01'!I85),0))+IF((151='V06 Calend 01'!D85),'V06 Calend 01'!J85,0))</f>
        <v>0</v>
      </c>
      <c r="FH85" s="2">
        <f>((IF((152='V06 Calend 01'!C85),('V06 Calend 01'!F85+'V06 Calend 01'!G85),0)+IF(AND(('V06 Calend 01'!E85&gt;0),(152&gt;'V06 Calend 01'!C85),(152&lt;'V06 Calend 01'!D85),(MOD((152-'V06 Calend 01'!C85),6)=0),(((152-'V06 Calend 01'!C85)/6)&lt;='V06 Calend 01'!E85)),IF((152=('V06 Calend 01'!C85+(6*'V06 Calend 01'!E85))),('V06 Calend 01'!H85-('V06 Calend 01'!I85*('V06 Calend 01'!E85-1))),'V06 Calend 01'!I85),0))+IF((152='V06 Calend 01'!D85),'V06 Calend 01'!J85,0))</f>
        <v>0</v>
      </c>
      <c r="FI85" s="2">
        <f>((IF((153='V06 Calend 01'!C85),('V06 Calend 01'!F85+'V06 Calend 01'!G85),0)+IF(AND(('V06 Calend 01'!E85&gt;0),(153&gt;'V06 Calend 01'!C85),(153&lt;'V06 Calend 01'!D85),(MOD((153-'V06 Calend 01'!C85),6)=0),(((153-'V06 Calend 01'!C85)/6)&lt;='V06 Calend 01'!E85)),IF((153=('V06 Calend 01'!C85+(6*'V06 Calend 01'!E85))),('V06 Calend 01'!H85-('V06 Calend 01'!I85*('V06 Calend 01'!E85-1))),'V06 Calend 01'!I85),0))+IF((153='V06 Calend 01'!D85),'V06 Calend 01'!J85,0))</f>
        <v>0</v>
      </c>
      <c r="FJ85" s="2">
        <f>((IF((154='V06 Calend 01'!C85),('V06 Calend 01'!F85+'V06 Calend 01'!G85),0)+IF(AND(('V06 Calend 01'!E85&gt;0),(154&gt;'V06 Calend 01'!C85),(154&lt;'V06 Calend 01'!D85),(MOD((154-'V06 Calend 01'!C85),6)=0),(((154-'V06 Calend 01'!C85)/6)&lt;='V06 Calend 01'!E85)),IF((154=('V06 Calend 01'!C85+(6*'V06 Calend 01'!E85))),('V06 Calend 01'!H85-('V06 Calend 01'!I85*('V06 Calend 01'!E85-1))),'V06 Calend 01'!I85),0))+IF((154='V06 Calend 01'!D85),'V06 Calend 01'!J85,0))</f>
        <v>0</v>
      </c>
      <c r="FK85" s="2">
        <f>((IF((155='V06 Calend 01'!C85),('V06 Calend 01'!F85+'V06 Calend 01'!G85),0)+IF(AND(('V06 Calend 01'!E85&gt;0),(155&gt;'V06 Calend 01'!C85),(155&lt;'V06 Calend 01'!D85),(MOD((155-'V06 Calend 01'!C85),6)=0),(((155-'V06 Calend 01'!C85)/6)&lt;='V06 Calend 01'!E85)),IF((155=('V06 Calend 01'!C85+(6*'V06 Calend 01'!E85))),('V06 Calend 01'!H85-('V06 Calend 01'!I85*('V06 Calend 01'!E85-1))),'V06 Calend 01'!I85),0))+IF((155='V06 Calend 01'!D85),'V06 Calend 01'!J85,0))</f>
        <v>0</v>
      </c>
      <c r="FL85" s="2">
        <f>((IF((156='V06 Calend 01'!C85),('V06 Calend 01'!F85+'V06 Calend 01'!G85),0)+IF(AND(('V06 Calend 01'!E85&gt;0),(156&gt;'V06 Calend 01'!C85),(156&lt;'V06 Calend 01'!D85),(MOD((156-'V06 Calend 01'!C85),6)=0),(((156-'V06 Calend 01'!C85)/6)&lt;='V06 Calend 01'!E85)),IF((156=('V06 Calend 01'!C85+(6*'V06 Calend 01'!E85))),('V06 Calend 01'!H85-('V06 Calend 01'!I85*('V06 Calend 01'!E85-1))),'V06 Calend 01'!I85),0))+IF((156='V06 Calend 01'!D85),'V06 Calend 01'!J85,0))</f>
        <v>0</v>
      </c>
      <c r="FM85" s="2">
        <f>((IF((157='V06 Calend 01'!C85),('V06 Calend 01'!F85+'V06 Calend 01'!G85),0)+IF(AND(('V06 Calend 01'!E85&gt;0),(157&gt;'V06 Calend 01'!C85),(157&lt;'V06 Calend 01'!D85),(MOD((157-'V06 Calend 01'!C85),6)=0),(((157-'V06 Calend 01'!C85)/6)&lt;='V06 Calend 01'!E85)),IF((157=('V06 Calend 01'!C85+(6*'V06 Calend 01'!E85))),('V06 Calend 01'!H85-('V06 Calend 01'!I85*('V06 Calend 01'!E85-1))),'V06 Calend 01'!I85),0))+IF((157='V06 Calend 01'!D85),'V06 Calend 01'!J85,0))</f>
        <v>0</v>
      </c>
      <c r="FN85" s="2">
        <f>((IF((158='V06 Calend 01'!C85),('V06 Calend 01'!F85+'V06 Calend 01'!G85),0)+IF(AND(('V06 Calend 01'!E85&gt;0),(158&gt;'V06 Calend 01'!C85),(158&lt;'V06 Calend 01'!D85),(MOD((158-'V06 Calend 01'!C85),6)=0),(((158-'V06 Calend 01'!C85)/6)&lt;='V06 Calend 01'!E85)),IF((158=('V06 Calend 01'!C85+(6*'V06 Calend 01'!E85))),('V06 Calend 01'!H85-('V06 Calend 01'!I85*('V06 Calend 01'!E85-1))),'V06 Calend 01'!I85),0))+IF((158='V06 Calend 01'!D85),'V06 Calend 01'!J85,0))</f>
        <v>0</v>
      </c>
      <c r="FO85" s="2">
        <f>((IF((159='V06 Calend 01'!C85),('V06 Calend 01'!F85+'V06 Calend 01'!G85),0)+IF(AND(('V06 Calend 01'!E85&gt;0),(159&gt;'V06 Calend 01'!C85),(159&lt;'V06 Calend 01'!D85),(MOD((159-'V06 Calend 01'!C85),6)=0),(((159-'V06 Calend 01'!C85)/6)&lt;='V06 Calend 01'!E85)),IF((159=('V06 Calend 01'!C85+(6*'V06 Calend 01'!E85))),('V06 Calend 01'!H85-('V06 Calend 01'!I85*('V06 Calend 01'!E85-1))),'V06 Calend 01'!I85),0))+IF((159='V06 Calend 01'!D85),'V06 Calend 01'!J85,0))</f>
        <v>0</v>
      </c>
      <c r="FP85" s="2">
        <f>((IF((160='V06 Calend 01'!C85),('V06 Calend 01'!F85+'V06 Calend 01'!G85),0)+IF(AND(('V06 Calend 01'!E85&gt;0),(160&gt;'V06 Calend 01'!C85),(160&lt;'V06 Calend 01'!D85),(MOD((160-'V06 Calend 01'!C85),6)=0),(((160-'V06 Calend 01'!C85)/6)&lt;='V06 Calend 01'!E85)),IF((160=('V06 Calend 01'!C85+(6*'V06 Calend 01'!E85))),('V06 Calend 01'!H85-('V06 Calend 01'!I85*('V06 Calend 01'!E85-1))),'V06 Calend 01'!I85),0))+IF((160='V06 Calend 01'!D85),'V06 Calend 01'!J85,0))</f>
        <v>0</v>
      </c>
      <c r="FQ85" s="2">
        <f>((IF((161='V06 Calend 01'!C85),('V06 Calend 01'!F85+'V06 Calend 01'!G85),0)+IF(AND(('V06 Calend 01'!E85&gt;0),(161&gt;'V06 Calend 01'!C85),(161&lt;'V06 Calend 01'!D85),(MOD((161-'V06 Calend 01'!C85),6)=0),(((161-'V06 Calend 01'!C85)/6)&lt;='V06 Calend 01'!E85)),IF((161=('V06 Calend 01'!C85+(6*'V06 Calend 01'!E85))),('V06 Calend 01'!H85-('V06 Calend 01'!I85*('V06 Calend 01'!E85-1))),'V06 Calend 01'!I85),0))+IF((161='V06 Calend 01'!D85),'V06 Calend 01'!J85,0))</f>
        <v>0</v>
      </c>
      <c r="FR85" s="2">
        <f>((IF((162='V06 Calend 01'!C85),('V06 Calend 01'!F85+'V06 Calend 01'!G85),0)+IF(AND(('V06 Calend 01'!E85&gt;0),(162&gt;'V06 Calend 01'!C85),(162&lt;'V06 Calend 01'!D85),(MOD((162-'V06 Calend 01'!C85),6)=0),(((162-'V06 Calend 01'!C85)/6)&lt;='V06 Calend 01'!E85)),IF((162=('V06 Calend 01'!C85+(6*'V06 Calend 01'!E85))),('V06 Calend 01'!H85-('V06 Calend 01'!I85*('V06 Calend 01'!E85-1))),'V06 Calend 01'!I85),0))+IF((162='V06 Calend 01'!D85),'V06 Calend 01'!J85,0))</f>
        <v>0</v>
      </c>
      <c r="FS85" s="2">
        <f>((IF((163='V06 Calend 01'!C85),('V06 Calend 01'!F85+'V06 Calend 01'!G85),0)+IF(AND(('V06 Calend 01'!E85&gt;0),(163&gt;'V06 Calend 01'!C85),(163&lt;'V06 Calend 01'!D85),(MOD((163-'V06 Calend 01'!C85),6)=0),(((163-'V06 Calend 01'!C85)/6)&lt;='V06 Calend 01'!E85)),IF((163=('V06 Calend 01'!C85+(6*'V06 Calend 01'!E85))),('V06 Calend 01'!H85-('V06 Calend 01'!I85*('V06 Calend 01'!E85-1))),'V06 Calend 01'!I85),0))+IF((163='V06 Calend 01'!D85),'V06 Calend 01'!J85,0))</f>
        <v>0</v>
      </c>
      <c r="FT85" s="2">
        <f>((IF((164='V06 Calend 01'!C85),('V06 Calend 01'!F85+'V06 Calend 01'!G85),0)+IF(AND(('V06 Calend 01'!E85&gt;0),(164&gt;'V06 Calend 01'!C85),(164&lt;'V06 Calend 01'!D85),(MOD((164-'V06 Calend 01'!C85),6)=0),(((164-'V06 Calend 01'!C85)/6)&lt;='V06 Calend 01'!E85)),IF((164=('V06 Calend 01'!C85+(6*'V06 Calend 01'!E85))),('V06 Calend 01'!H85-('V06 Calend 01'!I85*('V06 Calend 01'!E85-1))),'V06 Calend 01'!I85),0))+IF((164='V06 Calend 01'!D85),'V06 Calend 01'!J85,0))</f>
        <v>0</v>
      </c>
      <c r="FU85" s="2">
        <f>((IF((165='V06 Calend 01'!C85),('V06 Calend 01'!F85+'V06 Calend 01'!G85),0)+IF(AND(('V06 Calend 01'!E85&gt;0),(165&gt;'V06 Calend 01'!C85),(165&lt;'V06 Calend 01'!D85),(MOD((165-'V06 Calend 01'!C85),6)=0),(((165-'V06 Calend 01'!C85)/6)&lt;='V06 Calend 01'!E85)),IF((165=('V06 Calend 01'!C85+(6*'V06 Calend 01'!E85))),('V06 Calend 01'!H85-('V06 Calend 01'!I85*('V06 Calend 01'!E85-1))),'V06 Calend 01'!I85),0))+IF((165='V06 Calend 01'!D85),'V06 Calend 01'!J85,0))</f>
        <v>0</v>
      </c>
      <c r="FV85" s="2">
        <f>((IF((166='V06 Calend 01'!C85),('V06 Calend 01'!F85+'V06 Calend 01'!G85),0)+IF(AND(('V06 Calend 01'!E85&gt;0),(166&gt;'V06 Calend 01'!C85),(166&lt;'V06 Calend 01'!D85),(MOD((166-'V06 Calend 01'!C85),6)=0),(((166-'V06 Calend 01'!C85)/6)&lt;='V06 Calend 01'!E85)),IF((166=('V06 Calend 01'!C85+(6*'V06 Calend 01'!E85))),('V06 Calend 01'!H85-('V06 Calend 01'!I85*('V06 Calend 01'!E85-1))),'V06 Calend 01'!I85),0))+IF((166='V06 Calend 01'!D85),'V06 Calend 01'!J85,0))</f>
        <v>0</v>
      </c>
      <c r="FW85" s="2">
        <f>((IF((167='V06 Calend 01'!C85),('V06 Calend 01'!F85+'V06 Calend 01'!G85),0)+IF(AND(('V06 Calend 01'!E85&gt;0),(167&gt;'V06 Calend 01'!C85),(167&lt;'V06 Calend 01'!D85),(MOD((167-'V06 Calend 01'!C85),6)=0),(((167-'V06 Calend 01'!C85)/6)&lt;='V06 Calend 01'!E85)),IF((167=('V06 Calend 01'!C85+(6*'V06 Calend 01'!E85))),('V06 Calend 01'!H85-('V06 Calend 01'!I85*('V06 Calend 01'!E85-1))),'V06 Calend 01'!I85),0))+IF((167='V06 Calend 01'!D85),'V06 Calend 01'!J85,0))</f>
        <v>0</v>
      </c>
      <c r="FX85" s="2">
        <f>((IF((168='V06 Calend 01'!C85),('V06 Calend 01'!F85+'V06 Calend 01'!G85),0)+IF(AND(('V06 Calend 01'!E85&gt;0),(168&gt;'V06 Calend 01'!C85),(168&lt;'V06 Calend 01'!D85),(MOD((168-'V06 Calend 01'!C85),6)=0),(((168-'V06 Calend 01'!C85)/6)&lt;='V06 Calend 01'!E85)),IF((168=('V06 Calend 01'!C85+(6*'V06 Calend 01'!E85))),('V06 Calend 01'!H85-('V06 Calend 01'!I85*('V06 Calend 01'!E85-1))),'V06 Calend 01'!I85),0))+IF((168='V06 Calend 01'!D85),'V06 Calend 01'!J85,0))</f>
        <v>0</v>
      </c>
      <c r="FY85" s="2">
        <f>((IF((169='V06 Calend 01'!C85),('V06 Calend 01'!F85+'V06 Calend 01'!G85),0)+IF(AND(('V06 Calend 01'!E85&gt;0),(169&gt;'V06 Calend 01'!C85),(169&lt;'V06 Calend 01'!D85),(MOD((169-'V06 Calend 01'!C85),6)=0),(((169-'V06 Calend 01'!C85)/6)&lt;='V06 Calend 01'!E85)),IF((169=('V06 Calend 01'!C85+(6*'V06 Calend 01'!E85))),('V06 Calend 01'!H85-('V06 Calend 01'!I85*('V06 Calend 01'!E85-1))),'V06 Calend 01'!I85),0))+IF((169='V06 Calend 01'!D85),'V06 Calend 01'!J85,0))</f>
        <v>0</v>
      </c>
      <c r="FZ85" s="2">
        <f>((IF((170='V06 Calend 01'!C85),('V06 Calend 01'!F85+'V06 Calend 01'!G85),0)+IF(AND(('V06 Calend 01'!E85&gt;0),(170&gt;'V06 Calend 01'!C85),(170&lt;'V06 Calend 01'!D85),(MOD((170-'V06 Calend 01'!C85),6)=0),(((170-'V06 Calend 01'!C85)/6)&lt;='V06 Calend 01'!E85)),IF((170=('V06 Calend 01'!C85+(6*'V06 Calend 01'!E85))),('V06 Calend 01'!H85-('V06 Calend 01'!I85*('V06 Calend 01'!E85-1))),'V06 Calend 01'!I85),0))+IF((170='V06 Calend 01'!D85),'V06 Calend 01'!J85,0))</f>
        <v>0</v>
      </c>
      <c r="GA85" s="2">
        <f>((IF((171='V06 Calend 01'!C85),('V06 Calend 01'!F85+'V06 Calend 01'!G85),0)+IF(AND(('V06 Calend 01'!E85&gt;0),(171&gt;'V06 Calend 01'!C85),(171&lt;'V06 Calend 01'!D85),(MOD((171-'V06 Calend 01'!C85),6)=0),(((171-'V06 Calend 01'!C85)/6)&lt;='V06 Calend 01'!E85)),IF((171=('V06 Calend 01'!C85+(6*'V06 Calend 01'!E85))),('V06 Calend 01'!H85-('V06 Calend 01'!I85*('V06 Calend 01'!E85-1))),'V06 Calend 01'!I85),0))+IF((171='V06 Calend 01'!D85),'V06 Calend 01'!J85,0))</f>
        <v>0</v>
      </c>
      <c r="GB85" s="2">
        <f>((IF((172='V06 Calend 01'!C85),('V06 Calend 01'!F85+'V06 Calend 01'!G85),0)+IF(AND(('V06 Calend 01'!E85&gt;0),(172&gt;'V06 Calend 01'!C85),(172&lt;'V06 Calend 01'!D85),(MOD((172-'V06 Calend 01'!C85),6)=0),(((172-'V06 Calend 01'!C85)/6)&lt;='V06 Calend 01'!E85)),IF((172=('V06 Calend 01'!C85+(6*'V06 Calend 01'!E85))),('V06 Calend 01'!H85-('V06 Calend 01'!I85*('V06 Calend 01'!E85-1))),'V06 Calend 01'!I85),0))+IF((172='V06 Calend 01'!D85),'V06 Calend 01'!J85,0))</f>
        <v>0</v>
      </c>
      <c r="GC85" s="2">
        <f>((IF((173='V06 Calend 01'!C85),('V06 Calend 01'!F85+'V06 Calend 01'!G85),0)+IF(AND(('V06 Calend 01'!E85&gt;0),(173&gt;'V06 Calend 01'!C85),(173&lt;'V06 Calend 01'!D85),(MOD((173-'V06 Calend 01'!C85),6)=0),(((173-'V06 Calend 01'!C85)/6)&lt;='V06 Calend 01'!E85)),IF((173=('V06 Calend 01'!C85+(6*'V06 Calend 01'!E85))),('V06 Calend 01'!H85-('V06 Calend 01'!I85*('V06 Calend 01'!E85-1))),'V06 Calend 01'!I85),0))+IF((173='V06 Calend 01'!D85),'V06 Calend 01'!J85,0))</f>
        <v>0</v>
      </c>
      <c r="GD85" s="2">
        <f>((IF((174='V06 Calend 01'!C85),('V06 Calend 01'!F85+'V06 Calend 01'!G85),0)+IF(AND(('V06 Calend 01'!E85&gt;0),(174&gt;'V06 Calend 01'!C85),(174&lt;'V06 Calend 01'!D85),(MOD((174-'V06 Calend 01'!C85),6)=0),(((174-'V06 Calend 01'!C85)/6)&lt;='V06 Calend 01'!E85)),IF((174=('V06 Calend 01'!C85+(6*'V06 Calend 01'!E85))),('V06 Calend 01'!H85-('V06 Calend 01'!I85*('V06 Calend 01'!E85-1))),'V06 Calend 01'!I85),0))+IF((174='V06 Calend 01'!D85),'V06 Calend 01'!J85,0))</f>
        <v>0</v>
      </c>
      <c r="GE85" s="2">
        <f>((IF((175='V06 Calend 01'!C85),('V06 Calend 01'!F85+'V06 Calend 01'!G85),0)+IF(AND(('V06 Calend 01'!E85&gt;0),(175&gt;'V06 Calend 01'!C85),(175&lt;'V06 Calend 01'!D85),(MOD((175-'V06 Calend 01'!C85),6)=0),(((175-'V06 Calend 01'!C85)/6)&lt;='V06 Calend 01'!E85)),IF((175=('V06 Calend 01'!C85+(6*'V06 Calend 01'!E85))),('V06 Calend 01'!H85-('V06 Calend 01'!I85*('V06 Calend 01'!E85-1))),'V06 Calend 01'!I85),0))+IF((175='V06 Calend 01'!D85),'V06 Calend 01'!J85,0))</f>
        <v>0</v>
      </c>
      <c r="GF85" s="2">
        <f>((IF((176='V06 Calend 01'!C85),('V06 Calend 01'!F85+'V06 Calend 01'!G85),0)+IF(AND(('V06 Calend 01'!E85&gt;0),(176&gt;'V06 Calend 01'!C85),(176&lt;'V06 Calend 01'!D85),(MOD((176-'V06 Calend 01'!C85),6)=0),(((176-'V06 Calend 01'!C85)/6)&lt;='V06 Calend 01'!E85)),IF((176=('V06 Calend 01'!C85+(6*'V06 Calend 01'!E85))),('V06 Calend 01'!H85-('V06 Calend 01'!I85*('V06 Calend 01'!E85-1))),'V06 Calend 01'!I85),0))+IF((176='V06 Calend 01'!D85),'V06 Calend 01'!J85,0))</f>
        <v>0</v>
      </c>
      <c r="GG85" s="2">
        <f>((IF((177='V06 Calend 01'!C85),('V06 Calend 01'!F85+'V06 Calend 01'!G85),0)+IF(AND(('V06 Calend 01'!E85&gt;0),(177&gt;'V06 Calend 01'!C85),(177&lt;'V06 Calend 01'!D85),(MOD((177-'V06 Calend 01'!C85),6)=0),(((177-'V06 Calend 01'!C85)/6)&lt;='V06 Calend 01'!E85)),IF((177=('V06 Calend 01'!C85+(6*'V06 Calend 01'!E85))),('V06 Calend 01'!H85-('V06 Calend 01'!I85*('V06 Calend 01'!E85-1))),'V06 Calend 01'!I85),0))+IF((177='V06 Calend 01'!D85),'V06 Calend 01'!J85,0))</f>
        <v>0</v>
      </c>
      <c r="GH85" s="2">
        <f>((IF((178='V06 Calend 01'!C85),('V06 Calend 01'!F85+'V06 Calend 01'!G85),0)+IF(AND(('V06 Calend 01'!E85&gt;0),(178&gt;'V06 Calend 01'!C85),(178&lt;'V06 Calend 01'!D85),(MOD((178-'V06 Calend 01'!C85),6)=0),(((178-'V06 Calend 01'!C85)/6)&lt;='V06 Calend 01'!E85)),IF((178=('V06 Calend 01'!C85+(6*'V06 Calend 01'!E85))),('V06 Calend 01'!H85-('V06 Calend 01'!I85*('V06 Calend 01'!E85-1))),'V06 Calend 01'!I85),0))+IF((178='V06 Calend 01'!D85),'V06 Calend 01'!J85,0))</f>
        <v>0</v>
      </c>
      <c r="GI85" s="2">
        <f>((IF((179='V06 Calend 01'!C85),('V06 Calend 01'!F85+'V06 Calend 01'!G85),0)+IF(AND(('V06 Calend 01'!E85&gt;0),(179&gt;'V06 Calend 01'!C85),(179&lt;'V06 Calend 01'!D85),(MOD((179-'V06 Calend 01'!C85),6)=0),(((179-'V06 Calend 01'!C85)/6)&lt;='V06 Calend 01'!E85)),IF((179=('V06 Calend 01'!C85+(6*'V06 Calend 01'!E85))),('V06 Calend 01'!H85-('V06 Calend 01'!I85*('V06 Calend 01'!E85-1))),'V06 Calend 01'!I85),0))+IF((179='V06 Calend 01'!D85),'V06 Calend 01'!J85,0))</f>
        <v>0</v>
      </c>
      <c r="GJ85" s="2">
        <f>((IF((180='V06 Calend 01'!C85),('V06 Calend 01'!F85+'V06 Calend 01'!G85),0)+IF(AND(('V06 Calend 01'!E85&gt;0),(180&gt;'V06 Calend 01'!C85),(180&lt;'V06 Calend 01'!D85),(MOD((180-'V06 Calend 01'!C85),6)=0),(((180-'V06 Calend 01'!C85)/6)&lt;='V06 Calend 01'!E85)),IF((180=('V06 Calend 01'!C85+(6*'V06 Calend 01'!E85))),('V06 Calend 01'!H85-('V06 Calend 01'!I85*('V06 Calend 01'!E85-1))),'V06 Calend 01'!I85),0))+IF((180='V06 Calend 01'!D85),'V06 Calend 01'!J85,0))</f>
        <v>0</v>
      </c>
    </row>
    <row r="86" spans="1:192">
      <c r="A86" s="3" t="str">
        <f>'V06 Unidades'!$A$86</f>
        <v>1002</v>
      </c>
      <c r="B86" s="2">
        <f>'V06 Unidades'!$H$86</f>
        <v>796347.4</v>
      </c>
      <c r="C86" s="4">
        <f>('V06 Unidades'!$I$86+'V06 Controlos'!$B$37)</f>
        <v>10</v>
      </c>
      <c r="D86" s="4">
        <f>IF(('V06 Controlos'!$B$38&gt;0),MAX(('V06 Unidades'!$L$86+'V06 Controlos'!$B$37),(30+'V06 Controlos'!$B$38)),('V06 Unidades'!$L$86+'V06 Controlos'!$B$37))</f>
        <v>28</v>
      </c>
      <c r="E86" s="4">
        <f>MAX(0,INT(((('V06 Calend 01'!D86-'V06 Calend 01'!C86)-1)/6)))</f>
        <v>2</v>
      </c>
      <c r="F86" s="2">
        <f>ROUND(('V06 Calend 01'!B86*0.05),2)</f>
        <v>39817.37</v>
      </c>
      <c r="G86" s="2">
        <f>ROUND(('V06 Calend 01'!B86*0.2),2)</f>
        <v>159269.48</v>
      </c>
      <c r="H86" s="2">
        <f>ROUND(('V06 Calend 01'!B86*0.55),2)</f>
        <v>437991.07</v>
      </c>
      <c r="I86" s="2">
        <f>ROUND(('V06 Calend 01'!H86/MAX(1,'V06 Calend 01'!E86)),2)</f>
        <v>218995.54</v>
      </c>
      <c r="J86" s="2">
        <f>((('V06 Calend 01'!B86-'V06 Calend 01'!F86)-'V06 Calend 01'!G86)-'V06 Calend 01'!H86)</f>
        <v>159269.48000000004</v>
      </c>
      <c r="K86" s="2">
        <f>('V06 Calend 01'!B86*0.025)</f>
        <v>19908.685</v>
      </c>
      <c r="L86" t="s">
        <v>378</v>
      </c>
      <c r="M86" s="2">
        <f>((IF((1='V06 Calend 01'!C86),('V06 Calend 01'!F86+'V06 Calend 01'!G86),0)+IF(AND(('V06 Calend 01'!E86&gt;0),(1&gt;'V06 Calend 01'!C86),(1&lt;'V06 Calend 01'!D86),(MOD((1-'V06 Calend 01'!C86),6)=0),(((1-'V06 Calend 01'!C86)/6)&lt;='V06 Calend 01'!E86)),IF((1=('V06 Calend 01'!C86+(6*'V06 Calend 01'!E86))),('V06 Calend 01'!H86-('V06 Calend 01'!I86*('V06 Calend 01'!E86-1))),'V06 Calend 01'!I86),0))+IF((1='V06 Calend 01'!D86),'V06 Calend 01'!J86,0))</f>
        <v>0</v>
      </c>
      <c r="N86" s="2">
        <f>((IF((2='V06 Calend 01'!C86),('V06 Calend 01'!F86+'V06 Calend 01'!G86),0)+IF(AND(('V06 Calend 01'!E86&gt;0),(2&gt;'V06 Calend 01'!C86),(2&lt;'V06 Calend 01'!D86),(MOD((2-'V06 Calend 01'!C86),6)=0),(((2-'V06 Calend 01'!C86)/6)&lt;='V06 Calend 01'!E86)),IF((2=('V06 Calend 01'!C86+(6*'V06 Calend 01'!E86))),('V06 Calend 01'!H86-('V06 Calend 01'!I86*('V06 Calend 01'!E86-1))),'V06 Calend 01'!I86),0))+IF((2='V06 Calend 01'!D86),'V06 Calend 01'!J86,0))</f>
        <v>0</v>
      </c>
      <c r="O86" s="2">
        <f>((IF((3='V06 Calend 01'!C86),('V06 Calend 01'!F86+'V06 Calend 01'!G86),0)+IF(AND(('V06 Calend 01'!E86&gt;0),(3&gt;'V06 Calend 01'!C86),(3&lt;'V06 Calend 01'!D86),(MOD((3-'V06 Calend 01'!C86),6)=0),(((3-'V06 Calend 01'!C86)/6)&lt;='V06 Calend 01'!E86)),IF((3=('V06 Calend 01'!C86+(6*'V06 Calend 01'!E86))),('V06 Calend 01'!H86-('V06 Calend 01'!I86*('V06 Calend 01'!E86-1))),'V06 Calend 01'!I86),0))+IF((3='V06 Calend 01'!D86),'V06 Calend 01'!J86,0))</f>
        <v>0</v>
      </c>
      <c r="P86" s="2">
        <f>((IF((4='V06 Calend 01'!C86),('V06 Calend 01'!F86+'V06 Calend 01'!G86),0)+IF(AND(('V06 Calend 01'!E86&gt;0),(4&gt;'V06 Calend 01'!C86),(4&lt;'V06 Calend 01'!D86),(MOD((4-'V06 Calend 01'!C86),6)=0),(((4-'V06 Calend 01'!C86)/6)&lt;='V06 Calend 01'!E86)),IF((4=('V06 Calend 01'!C86+(6*'V06 Calend 01'!E86))),('V06 Calend 01'!H86-('V06 Calend 01'!I86*('V06 Calend 01'!E86-1))),'V06 Calend 01'!I86),0))+IF((4='V06 Calend 01'!D86),'V06 Calend 01'!J86,0))</f>
        <v>0</v>
      </c>
      <c r="Q86" s="2">
        <f>((IF((5='V06 Calend 01'!C86),('V06 Calend 01'!F86+'V06 Calend 01'!G86),0)+IF(AND(('V06 Calend 01'!E86&gt;0),(5&gt;'V06 Calend 01'!C86),(5&lt;'V06 Calend 01'!D86),(MOD((5-'V06 Calend 01'!C86),6)=0),(((5-'V06 Calend 01'!C86)/6)&lt;='V06 Calend 01'!E86)),IF((5=('V06 Calend 01'!C86+(6*'V06 Calend 01'!E86))),('V06 Calend 01'!H86-('V06 Calend 01'!I86*('V06 Calend 01'!E86-1))),'V06 Calend 01'!I86),0))+IF((5='V06 Calend 01'!D86),'V06 Calend 01'!J86,0))</f>
        <v>0</v>
      </c>
      <c r="R86" s="2">
        <f>((IF((6='V06 Calend 01'!C86),('V06 Calend 01'!F86+'V06 Calend 01'!G86),0)+IF(AND(('V06 Calend 01'!E86&gt;0),(6&gt;'V06 Calend 01'!C86),(6&lt;'V06 Calend 01'!D86),(MOD((6-'V06 Calend 01'!C86),6)=0),(((6-'V06 Calend 01'!C86)/6)&lt;='V06 Calend 01'!E86)),IF((6=('V06 Calend 01'!C86+(6*'V06 Calend 01'!E86))),('V06 Calend 01'!H86-('V06 Calend 01'!I86*('V06 Calend 01'!E86-1))),'V06 Calend 01'!I86),0))+IF((6='V06 Calend 01'!D86),'V06 Calend 01'!J86,0))</f>
        <v>0</v>
      </c>
      <c r="S86" s="2">
        <f>((IF((7='V06 Calend 01'!C86),('V06 Calend 01'!F86+'V06 Calend 01'!G86),0)+IF(AND(('V06 Calend 01'!E86&gt;0),(7&gt;'V06 Calend 01'!C86),(7&lt;'V06 Calend 01'!D86),(MOD((7-'V06 Calend 01'!C86),6)=0),(((7-'V06 Calend 01'!C86)/6)&lt;='V06 Calend 01'!E86)),IF((7=('V06 Calend 01'!C86+(6*'V06 Calend 01'!E86))),('V06 Calend 01'!H86-('V06 Calend 01'!I86*('V06 Calend 01'!E86-1))),'V06 Calend 01'!I86),0))+IF((7='V06 Calend 01'!D86),'V06 Calend 01'!J86,0))</f>
        <v>0</v>
      </c>
      <c r="T86" s="2">
        <f>((IF((8='V06 Calend 01'!C86),('V06 Calend 01'!F86+'V06 Calend 01'!G86),0)+IF(AND(('V06 Calend 01'!E86&gt;0),(8&gt;'V06 Calend 01'!C86),(8&lt;'V06 Calend 01'!D86),(MOD((8-'V06 Calend 01'!C86),6)=0),(((8-'V06 Calend 01'!C86)/6)&lt;='V06 Calend 01'!E86)),IF((8=('V06 Calend 01'!C86+(6*'V06 Calend 01'!E86))),('V06 Calend 01'!H86-('V06 Calend 01'!I86*('V06 Calend 01'!E86-1))),'V06 Calend 01'!I86),0))+IF((8='V06 Calend 01'!D86),'V06 Calend 01'!J86,0))</f>
        <v>0</v>
      </c>
      <c r="U86" s="2">
        <f>((IF((9='V06 Calend 01'!C86),('V06 Calend 01'!F86+'V06 Calend 01'!G86),0)+IF(AND(('V06 Calend 01'!E86&gt;0),(9&gt;'V06 Calend 01'!C86),(9&lt;'V06 Calend 01'!D86),(MOD((9-'V06 Calend 01'!C86),6)=0),(((9-'V06 Calend 01'!C86)/6)&lt;='V06 Calend 01'!E86)),IF((9=('V06 Calend 01'!C86+(6*'V06 Calend 01'!E86))),('V06 Calend 01'!H86-('V06 Calend 01'!I86*('V06 Calend 01'!E86-1))),'V06 Calend 01'!I86),0))+IF((9='V06 Calend 01'!D86),'V06 Calend 01'!J86,0))</f>
        <v>0</v>
      </c>
      <c r="V86" s="2">
        <f>((IF((10='V06 Calend 01'!C86),('V06 Calend 01'!F86+'V06 Calend 01'!G86),0)+IF(AND(('V06 Calend 01'!E86&gt;0),(10&gt;'V06 Calend 01'!C86),(10&lt;'V06 Calend 01'!D86),(MOD((10-'V06 Calend 01'!C86),6)=0),(((10-'V06 Calend 01'!C86)/6)&lt;='V06 Calend 01'!E86)),IF((10=('V06 Calend 01'!C86+(6*'V06 Calend 01'!E86))),('V06 Calend 01'!H86-('V06 Calend 01'!I86*('V06 Calend 01'!E86-1))),'V06 Calend 01'!I86),0))+IF((10='V06 Calend 01'!D86),'V06 Calend 01'!J86,0))</f>
        <v>199086.85</v>
      </c>
      <c r="W86" s="2">
        <f>((IF((11='V06 Calend 01'!C86),('V06 Calend 01'!F86+'V06 Calend 01'!G86),0)+IF(AND(('V06 Calend 01'!E86&gt;0),(11&gt;'V06 Calend 01'!C86),(11&lt;'V06 Calend 01'!D86),(MOD((11-'V06 Calend 01'!C86),6)=0),(((11-'V06 Calend 01'!C86)/6)&lt;='V06 Calend 01'!E86)),IF((11=('V06 Calend 01'!C86+(6*'V06 Calend 01'!E86))),('V06 Calend 01'!H86-('V06 Calend 01'!I86*('V06 Calend 01'!E86-1))),'V06 Calend 01'!I86),0))+IF((11='V06 Calend 01'!D86),'V06 Calend 01'!J86,0))</f>
        <v>0</v>
      </c>
      <c r="X86" s="2">
        <f>((IF((12='V06 Calend 01'!C86),('V06 Calend 01'!F86+'V06 Calend 01'!G86),0)+IF(AND(('V06 Calend 01'!E86&gt;0),(12&gt;'V06 Calend 01'!C86),(12&lt;'V06 Calend 01'!D86),(MOD((12-'V06 Calend 01'!C86),6)=0),(((12-'V06 Calend 01'!C86)/6)&lt;='V06 Calend 01'!E86)),IF((12=('V06 Calend 01'!C86+(6*'V06 Calend 01'!E86))),('V06 Calend 01'!H86-('V06 Calend 01'!I86*('V06 Calend 01'!E86-1))),'V06 Calend 01'!I86),0))+IF((12='V06 Calend 01'!D86),'V06 Calend 01'!J86,0))</f>
        <v>0</v>
      </c>
      <c r="Y86" s="2">
        <f>((IF((13='V06 Calend 01'!C86),('V06 Calend 01'!F86+'V06 Calend 01'!G86),0)+IF(AND(('V06 Calend 01'!E86&gt;0),(13&gt;'V06 Calend 01'!C86),(13&lt;'V06 Calend 01'!D86),(MOD((13-'V06 Calend 01'!C86),6)=0),(((13-'V06 Calend 01'!C86)/6)&lt;='V06 Calend 01'!E86)),IF((13=('V06 Calend 01'!C86+(6*'V06 Calend 01'!E86))),('V06 Calend 01'!H86-('V06 Calend 01'!I86*('V06 Calend 01'!E86-1))),'V06 Calend 01'!I86),0))+IF((13='V06 Calend 01'!D86),'V06 Calend 01'!J86,0))</f>
        <v>0</v>
      </c>
      <c r="Z86" s="2">
        <f>((IF((14='V06 Calend 01'!C86),('V06 Calend 01'!F86+'V06 Calend 01'!G86),0)+IF(AND(('V06 Calend 01'!E86&gt;0),(14&gt;'V06 Calend 01'!C86),(14&lt;'V06 Calend 01'!D86),(MOD((14-'V06 Calend 01'!C86),6)=0),(((14-'V06 Calend 01'!C86)/6)&lt;='V06 Calend 01'!E86)),IF((14=('V06 Calend 01'!C86+(6*'V06 Calend 01'!E86))),('V06 Calend 01'!H86-('V06 Calend 01'!I86*('V06 Calend 01'!E86-1))),'V06 Calend 01'!I86),0))+IF((14='V06 Calend 01'!D86),'V06 Calend 01'!J86,0))</f>
        <v>0</v>
      </c>
      <c r="AA86" s="2">
        <f>((IF((15='V06 Calend 01'!C86),('V06 Calend 01'!F86+'V06 Calend 01'!G86),0)+IF(AND(('V06 Calend 01'!E86&gt;0),(15&gt;'V06 Calend 01'!C86),(15&lt;'V06 Calend 01'!D86),(MOD((15-'V06 Calend 01'!C86),6)=0),(((15-'V06 Calend 01'!C86)/6)&lt;='V06 Calend 01'!E86)),IF((15=('V06 Calend 01'!C86+(6*'V06 Calend 01'!E86))),('V06 Calend 01'!H86-('V06 Calend 01'!I86*('V06 Calend 01'!E86-1))),'V06 Calend 01'!I86),0))+IF((15='V06 Calend 01'!D86),'V06 Calend 01'!J86,0))</f>
        <v>0</v>
      </c>
      <c r="AB86" s="2">
        <f>((IF((16='V06 Calend 01'!C86),('V06 Calend 01'!F86+'V06 Calend 01'!G86),0)+IF(AND(('V06 Calend 01'!E86&gt;0),(16&gt;'V06 Calend 01'!C86),(16&lt;'V06 Calend 01'!D86),(MOD((16-'V06 Calend 01'!C86),6)=0),(((16-'V06 Calend 01'!C86)/6)&lt;='V06 Calend 01'!E86)),IF((16=('V06 Calend 01'!C86+(6*'V06 Calend 01'!E86))),('V06 Calend 01'!H86-('V06 Calend 01'!I86*('V06 Calend 01'!E86-1))),'V06 Calend 01'!I86),0))+IF((16='V06 Calend 01'!D86),'V06 Calend 01'!J86,0))</f>
        <v>218995.54</v>
      </c>
      <c r="AC86" s="2">
        <f>((IF((17='V06 Calend 01'!C86),('V06 Calend 01'!F86+'V06 Calend 01'!G86),0)+IF(AND(('V06 Calend 01'!E86&gt;0),(17&gt;'V06 Calend 01'!C86),(17&lt;'V06 Calend 01'!D86),(MOD((17-'V06 Calend 01'!C86),6)=0),(((17-'V06 Calend 01'!C86)/6)&lt;='V06 Calend 01'!E86)),IF((17=('V06 Calend 01'!C86+(6*'V06 Calend 01'!E86))),('V06 Calend 01'!H86-('V06 Calend 01'!I86*('V06 Calend 01'!E86-1))),'V06 Calend 01'!I86),0))+IF((17='V06 Calend 01'!D86),'V06 Calend 01'!J86,0))</f>
        <v>0</v>
      </c>
      <c r="AD86" s="2">
        <f>((IF((18='V06 Calend 01'!C86),('V06 Calend 01'!F86+'V06 Calend 01'!G86),0)+IF(AND(('V06 Calend 01'!E86&gt;0),(18&gt;'V06 Calend 01'!C86),(18&lt;'V06 Calend 01'!D86),(MOD((18-'V06 Calend 01'!C86),6)=0),(((18-'V06 Calend 01'!C86)/6)&lt;='V06 Calend 01'!E86)),IF((18=('V06 Calend 01'!C86+(6*'V06 Calend 01'!E86))),('V06 Calend 01'!H86-('V06 Calend 01'!I86*('V06 Calend 01'!E86-1))),'V06 Calend 01'!I86),0))+IF((18='V06 Calend 01'!D86),'V06 Calend 01'!J86,0))</f>
        <v>0</v>
      </c>
      <c r="AE86" s="2">
        <f>((IF((19='V06 Calend 01'!C86),('V06 Calend 01'!F86+'V06 Calend 01'!G86),0)+IF(AND(('V06 Calend 01'!E86&gt;0),(19&gt;'V06 Calend 01'!C86),(19&lt;'V06 Calend 01'!D86),(MOD((19-'V06 Calend 01'!C86),6)=0),(((19-'V06 Calend 01'!C86)/6)&lt;='V06 Calend 01'!E86)),IF((19=('V06 Calend 01'!C86+(6*'V06 Calend 01'!E86))),('V06 Calend 01'!H86-('V06 Calend 01'!I86*('V06 Calend 01'!E86-1))),'V06 Calend 01'!I86),0))+IF((19='V06 Calend 01'!D86),'V06 Calend 01'!J86,0))</f>
        <v>0</v>
      </c>
      <c r="AF86" s="2">
        <f>((IF((20='V06 Calend 01'!C86),('V06 Calend 01'!F86+'V06 Calend 01'!G86),0)+IF(AND(('V06 Calend 01'!E86&gt;0),(20&gt;'V06 Calend 01'!C86),(20&lt;'V06 Calend 01'!D86),(MOD((20-'V06 Calend 01'!C86),6)=0),(((20-'V06 Calend 01'!C86)/6)&lt;='V06 Calend 01'!E86)),IF((20=('V06 Calend 01'!C86+(6*'V06 Calend 01'!E86))),('V06 Calend 01'!H86-('V06 Calend 01'!I86*('V06 Calend 01'!E86-1))),'V06 Calend 01'!I86),0))+IF((20='V06 Calend 01'!D86),'V06 Calend 01'!J86,0))</f>
        <v>0</v>
      </c>
      <c r="AG86" s="2">
        <f>((IF((21='V06 Calend 01'!C86),('V06 Calend 01'!F86+'V06 Calend 01'!G86),0)+IF(AND(('V06 Calend 01'!E86&gt;0),(21&gt;'V06 Calend 01'!C86),(21&lt;'V06 Calend 01'!D86),(MOD((21-'V06 Calend 01'!C86),6)=0),(((21-'V06 Calend 01'!C86)/6)&lt;='V06 Calend 01'!E86)),IF((21=('V06 Calend 01'!C86+(6*'V06 Calend 01'!E86))),('V06 Calend 01'!H86-('V06 Calend 01'!I86*('V06 Calend 01'!E86-1))),'V06 Calend 01'!I86),0))+IF((21='V06 Calend 01'!D86),'V06 Calend 01'!J86,0))</f>
        <v>0</v>
      </c>
      <c r="AH86" s="2">
        <f>((IF((22='V06 Calend 01'!C86),('V06 Calend 01'!F86+'V06 Calend 01'!G86),0)+IF(AND(('V06 Calend 01'!E86&gt;0),(22&gt;'V06 Calend 01'!C86),(22&lt;'V06 Calend 01'!D86),(MOD((22-'V06 Calend 01'!C86),6)=0),(((22-'V06 Calend 01'!C86)/6)&lt;='V06 Calend 01'!E86)),IF((22=('V06 Calend 01'!C86+(6*'V06 Calend 01'!E86))),('V06 Calend 01'!H86-('V06 Calend 01'!I86*('V06 Calend 01'!E86-1))),'V06 Calend 01'!I86),0))+IF((22='V06 Calend 01'!D86),'V06 Calend 01'!J86,0))</f>
        <v>218995.53</v>
      </c>
      <c r="AI86" s="2">
        <f>((IF((23='V06 Calend 01'!C86),('V06 Calend 01'!F86+'V06 Calend 01'!G86),0)+IF(AND(('V06 Calend 01'!E86&gt;0),(23&gt;'V06 Calend 01'!C86),(23&lt;'V06 Calend 01'!D86),(MOD((23-'V06 Calend 01'!C86),6)=0),(((23-'V06 Calend 01'!C86)/6)&lt;='V06 Calend 01'!E86)),IF((23=('V06 Calend 01'!C86+(6*'V06 Calend 01'!E86))),('V06 Calend 01'!H86-('V06 Calend 01'!I86*('V06 Calend 01'!E86-1))),'V06 Calend 01'!I86),0))+IF((23='V06 Calend 01'!D86),'V06 Calend 01'!J86,0))</f>
        <v>0</v>
      </c>
      <c r="AJ86" s="2">
        <f>((IF((24='V06 Calend 01'!C86),('V06 Calend 01'!F86+'V06 Calend 01'!G86),0)+IF(AND(('V06 Calend 01'!E86&gt;0),(24&gt;'V06 Calend 01'!C86),(24&lt;'V06 Calend 01'!D86),(MOD((24-'V06 Calend 01'!C86),6)=0),(((24-'V06 Calend 01'!C86)/6)&lt;='V06 Calend 01'!E86)),IF((24=('V06 Calend 01'!C86+(6*'V06 Calend 01'!E86))),('V06 Calend 01'!H86-('V06 Calend 01'!I86*('V06 Calend 01'!E86-1))),'V06 Calend 01'!I86),0))+IF((24='V06 Calend 01'!D86),'V06 Calend 01'!J86,0))</f>
        <v>0</v>
      </c>
      <c r="AK86" s="2">
        <f>((IF((25='V06 Calend 01'!C86),('V06 Calend 01'!F86+'V06 Calend 01'!G86),0)+IF(AND(('V06 Calend 01'!E86&gt;0),(25&gt;'V06 Calend 01'!C86),(25&lt;'V06 Calend 01'!D86),(MOD((25-'V06 Calend 01'!C86),6)=0),(((25-'V06 Calend 01'!C86)/6)&lt;='V06 Calend 01'!E86)),IF((25=('V06 Calend 01'!C86+(6*'V06 Calend 01'!E86))),('V06 Calend 01'!H86-('V06 Calend 01'!I86*('V06 Calend 01'!E86-1))),'V06 Calend 01'!I86),0))+IF((25='V06 Calend 01'!D86),'V06 Calend 01'!J86,0))</f>
        <v>0</v>
      </c>
      <c r="AL86" s="2">
        <f>((IF((26='V06 Calend 01'!C86),('V06 Calend 01'!F86+'V06 Calend 01'!G86),0)+IF(AND(('V06 Calend 01'!E86&gt;0),(26&gt;'V06 Calend 01'!C86),(26&lt;'V06 Calend 01'!D86),(MOD((26-'V06 Calend 01'!C86),6)=0),(((26-'V06 Calend 01'!C86)/6)&lt;='V06 Calend 01'!E86)),IF((26=('V06 Calend 01'!C86+(6*'V06 Calend 01'!E86))),('V06 Calend 01'!H86-('V06 Calend 01'!I86*('V06 Calend 01'!E86-1))),'V06 Calend 01'!I86),0))+IF((26='V06 Calend 01'!D86),'V06 Calend 01'!J86,0))</f>
        <v>0</v>
      </c>
      <c r="AM86" s="2">
        <f>((IF((27='V06 Calend 01'!C86),('V06 Calend 01'!F86+'V06 Calend 01'!G86),0)+IF(AND(('V06 Calend 01'!E86&gt;0),(27&gt;'V06 Calend 01'!C86),(27&lt;'V06 Calend 01'!D86),(MOD((27-'V06 Calend 01'!C86),6)=0),(((27-'V06 Calend 01'!C86)/6)&lt;='V06 Calend 01'!E86)),IF((27=('V06 Calend 01'!C86+(6*'V06 Calend 01'!E86))),('V06 Calend 01'!H86-('V06 Calend 01'!I86*('V06 Calend 01'!E86-1))),'V06 Calend 01'!I86),0))+IF((27='V06 Calend 01'!D86),'V06 Calend 01'!J86,0))</f>
        <v>0</v>
      </c>
      <c r="AN86" s="2">
        <f>((IF((28='V06 Calend 01'!C86),('V06 Calend 01'!F86+'V06 Calend 01'!G86),0)+IF(AND(('V06 Calend 01'!E86&gt;0),(28&gt;'V06 Calend 01'!C86),(28&lt;'V06 Calend 01'!D86),(MOD((28-'V06 Calend 01'!C86),6)=0),(((28-'V06 Calend 01'!C86)/6)&lt;='V06 Calend 01'!E86)),IF((28=('V06 Calend 01'!C86+(6*'V06 Calend 01'!E86))),('V06 Calend 01'!H86-('V06 Calend 01'!I86*('V06 Calend 01'!E86-1))),'V06 Calend 01'!I86),0))+IF((28='V06 Calend 01'!D86),'V06 Calend 01'!J86,0))</f>
        <v>159269.48000000004</v>
      </c>
      <c r="AO86" s="2">
        <f>((IF((29='V06 Calend 01'!C86),('V06 Calend 01'!F86+'V06 Calend 01'!G86),0)+IF(AND(('V06 Calend 01'!E86&gt;0),(29&gt;'V06 Calend 01'!C86),(29&lt;'V06 Calend 01'!D86),(MOD((29-'V06 Calend 01'!C86),6)=0),(((29-'V06 Calend 01'!C86)/6)&lt;='V06 Calend 01'!E86)),IF((29=('V06 Calend 01'!C86+(6*'V06 Calend 01'!E86))),('V06 Calend 01'!H86-('V06 Calend 01'!I86*('V06 Calend 01'!E86-1))),'V06 Calend 01'!I86),0))+IF((29='V06 Calend 01'!D86),'V06 Calend 01'!J86,0))</f>
        <v>0</v>
      </c>
      <c r="AP86" s="2">
        <f>((IF((30='V06 Calend 01'!C86),('V06 Calend 01'!F86+'V06 Calend 01'!G86),0)+IF(AND(('V06 Calend 01'!E86&gt;0),(30&gt;'V06 Calend 01'!C86),(30&lt;'V06 Calend 01'!D86),(MOD((30-'V06 Calend 01'!C86),6)=0),(((30-'V06 Calend 01'!C86)/6)&lt;='V06 Calend 01'!E86)),IF((30=('V06 Calend 01'!C86+(6*'V06 Calend 01'!E86))),('V06 Calend 01'!H86-('V06 Calend 01'!I86*('V06 Calend 01'!E86-1))),'V06 Calend 01'!I86),0))+IF((30='V06 Calend 01'!D86),'V06 Calend 01'!J86,0))</f>
        <v>0</v>
      </c>
      <c r="AQ86" s="2">
        <f>((IF((31='V06 Calend 01'!C86),('V06 Calend 01'!F86+'V06 Calend 01'!G86),0)+IF(AND(('V06 Calend 01'!E86&gt;0),(31&gt;'V06 Calend 01'!C86),(31&lt;'V06 Calend 01'!D86),(MOD((31-'V06 Calend 01'!C86),6)=0),(((31-'V06 Calend 01'!C86)/6)&lt;='V06 Calend 01'!E86)),IF((31=('V06 Calend 01'!C86+(6*'V06 Calend 01'!E86))),('V06 Calend 01'!H86-('V06 Calend 01'!I86*('V06 Calend 01'!E86-1))),'V06 Calend 01'!I86),0))+IF((31='V06 Calend 01'!D86),'V06 Calend 01'!J86,0))</f>
        <v>0</v>
      </c>
      <c r="AR86" s="2">
        <f>((IF((32='V06 Calend 01'!C86),('V06 Calend 01'!F86+'V06 Calend 01'!G86),0)+IF(AND(('V06 Calend 01'!E86&gt;0),(32&gt;'V06 Calend 01'!C86),(32&lt;'V06 Calend 01'!D86),(MOD((32-'V06 Calend 01'!C86),6)=0),(((32-'V06 Calend 01'!C86)/6)&lt;='V06 Calend 01'!E86)),IF((32=('V06 Calend 01'!C86+(6*'V06 Calend 01'!E86))),('V06 Calend 01'!H86-('V06 Calend 01'!I86*('V06 Calend 01'!E86-1))),'V06 Calend 01'!I86),0))+IF((32='V06 Calend 01'!D86),'V06 Calend 01'!J86,0))</f>
        <v>0</v>
      </c>
      <c r="AS86" s="2">
        <f>((IF((33='V06 Calend 01'!C86),('V06 Calend 01'!F86+'V06 Calend 01'!G86),0)+IF(AND(('V06 Calend 01'!E86&gt;0),(33&gt;'V06 Calend 01'!C86),(33&lt;'V06 Calend 01'!D86),(MOD((33-'V06 Calend 01'!C86),6)=0),(((33-'V06 Calend 01'!C86)/6)&lt;='V06 Calend 01'!E86)),IF((33=('V06 Calend 01'!C86+(6*'V06 Calend 01'!E86))),('V06 Calend 01'!H86-('V06 Calend 01'!I86*('V06 Calend 01'!E86-1))),'V06 Calend 01'!I86),0))+IF((33='V06 Calend 01'!D86),'V06 Calend 01'!J86,0))</f>
        <v>0</v>
      </c>
      <c r="AT86" s="2">
        <f>((IF((34='V06 Calend 01'!C86),('V06 Calend 01'!F86+'V06 Calend 01'!G86),0)+IF(AND(('V06 Calend 01'!E86&gt;0),(34&gt;'V06 Calend 01'!C86),(34&lt;'V06 Calend 01'!D86),(MOD((34-'V06 Calend 01'!C86),6)=0),(((34-'V06 Calend 01'!C86)/6)&lt;='V06 Calend 01'!E86)),IF((34=('V06 Calend 01'!C86+(6*'V06 Calend 01'!E86))),('V06 Calend 01'!H86-('V06 Calend 01'!I86*('V06 Calend 01'!E86-1))),'V06 Calend 01'!I86),0))+IF((34='V06 Calend 01'!D86),'V06 Calend 01'!J86,0))</f>
        <v>0</v>
      </c>
      <c r="AU86" s="2">
        <f>((IF((35='V06 Calend 01'!C86),('V06 Calend 01'!F86+'V06 Calend 01'!G86),0)+IF(AND(('V06 Calend 01'!E86&gt;0),(35&gt;'V06 Calend 01'!C86),(35&lt;'V06 Calend 01'!D86),(MOD((35-'V06 Calend 01'!C86),6)=0),(((35-'V06 Calend 01'!C86)/6)&lt;='V06 Calend 01'!E86)),IF((35=('V06 Calend 01'!C86+(6*'V06 Calend 01'!E86))),('V06 Calend 01'!H86-('V06 Calend 01'!I86*('V06 Calend 01'!E86-1))),'V06 Calend 01'!I86),0))+IF((35='V06 Calend 01'!D86),'V06 Calend 01'!J86,0))</f>
        <v>0</v>
      </c>
      <c r="AV86" s="2">
        <f>((IF((36='V06 Calend 01'!C86),('V06 Calend 01'!F86+'V06 Calend 01'!G86),0)+IF(AND(('V06 Calend 01'!E86&gt;0),(36&gt;'V06 Calend 01'!C86),(36&lt;'V06 Calend 01'!D86),(MOD((36-'V06 Calend 01'!C86),6)=0),(((36-'V06 Calend 01'!C86)/6)&lt;='V06 Calend 01'!E86)),IF((36=('V06 Calend 01'!C86+(6*'V06 Calend 01'!E86))),('V06 Calend 01'!H86-('V06 Calend 01'!I86*('V06 Calend 01'!E86-1))),'V06 Calend 01'!I86),0))+IF((36='V06 Calend 01'!D86),'V06 Calend 01'!J86,0))</f>
        <v>0</v>
      </c>
      <c r="AW86" s="2">
        <f>((IF((37='V06 Calend 01'!C86),('V06 Calend 01'!F86+'V06 Calend 01'!G86),0)+IF(AND(('V06 Calend 01'!E86&gt;0),(37&gt;'V06 Calend 01'!C86),(37&lt;'V06 Calend 01'!D86),(MOD((37-'V06 Calend 01'!C86),6)=0),(((37-'V06 Calend 01'!C86)/6)&lt;='V06 Calend 01'!E86)),IF((37=('V06 Calend 01'!C86+(6*'V06 Calend 01'!E86))),('V06 Calend 01'!H86-('V06 Calend 01'!I86*('V06 Calend 01'!E86-1))),'V06 Calend 01'!I86),0))+IF((37='V06 Calend 01'!D86),'V06 Calend 01'!J86,0))</f>
        <v>0</v>
      </c>
      <c r="AX86" s="2">
        <f>((IF((38='V06 Calend 01'!C86),('V06 Calend 01'!F86+'V06 Calend 01'!G86),0)+IF(AND(('V06 Calend 01'!E86&gt;0),(38&gt;'V06 Calend 01'!C86),(38&lt;'V06 Calend 01'!D86),(MOD((38-'V06 Calend 01'!C86),6)=0),(((38-'V06 Calend 01'!C86)/6)&lt;='V06 Calend 01'!E86)),IF((38=('V06 Calend 01'!C86+(6*'V06 Calend 01'!E86))),('V06 Calend 01'!H86-('V06 Calend 01'!I86*('V06 Calend 01'!E86-1))),'V06 Calend 01'!I86),0))+IF((38='V06 Calend 01'!D86),'V06 Calend 01'!J86,0))</f>
        <v>0</v>
      </c>
      <c r="AY86" s="2">
        <f>((IF((39='V06 Calend 01'!C86),('V06 Calend 01'!F86+'V06 Calend 01'!G86),0)+IF(AND(('V06 Calend 01'!E86&gt;0),(39&gt;'V06 Calend 01'!C86),(39&lt;'V06 Calend 01'!D86),(MOD((39-'V06 Calend 01'!C86),6)=0),(((39-'V06 Calend 01'!C86)/6)&lt;='V06 Calend 01'!E86)),IF((39=('V06 Calend 01'!C86+(6*'V06 Calend 01'!E86))),('V06 Calend 01'!H86-('V06 Calend 01'!I86*('V06 Calend 01'!E86-1))),'V06 Calend 01'!I86),0))+IF((39='V06 Calend 01'!D86),'V06 Calend 01'!J86,0))</f>
        <v>0</v>
      </c>
      <c r="AZ86" s="2">
        <f>((IF((40='V06 Calend 01'!C86),('V06 Calend 01'!F86+'V06 Calend 01'!G86),0)+IF(AND(('V06 Calend 01'!E86&gt;0),(40&gt;'V06 Calend 01'!C86),(40&lt;'V06 Calend 01'!D86),(MOD((40-'V06 Calend 01'!C86),6)=0),(((40-'V06 Calend 01'!C86)/6)&lt;='V06 Calend 01'!E86)),IF((40=('V06 Calend 01'!C86+(6*'V06 Calend 01'!E86))),('V06 Calend 01'!H86-('V06 Calend 01'!I86*('V06 Calend 01'!E86-1))),'V06 Calend 01'!I86),0))+IF((40='V06 Calend 01'!D86),'V06 Calend 01'!J86,0))</f>
        <v>0</v>
      </c>
      <c r="BA86" s="2">
        <f>((IF((41='V06 Calend 01'!C86),('V06 Calend 01'!F86+'V06 Calend 01'!G86),0)+IF(AND(('V06 Calend 01'!E86&gt;0),(41&gt;'V06 Calend 01'!C86),(41&lt;'V06 Calend 01'!D86),(MOD((41-'V06 Calend 01'!C86),6)=0),(((41-'V06 Calend 01'!C86)/6)&lt;='V06 Calend 01'!E86)),IF((41=('V06 Calend 01'!C86+(6*'V06 Calend 01'!E86))),('V06 Calend 01'!H86-('V06 Calend 01'!I86*('V06 Calend 01'!E86-1))),'V06 Calend 01'!I86),0))+IF((41='V06 Calend 01'!D86),'V06 Calend 01'!J86,0))</f>
        <v>0</v>
      </c>
      <c r="BB86" s="2">
        <f>((IF((42='V06 Calend 01'!C86),('V06 Calend 01'!F86+'V06 Calend 01'!G86),0)+IF(AND(('V06 Calend 01'!E86&gt;0),(42&gt;'V06 Calend 01'!C86),(42&lt;'V06 Calend 01'!D86),(MOD((42-'V06 Calend 01'!C86),6)=0),(((42-'V06 Calend 01'!C86)/6)&lt;='V06 Calend 01'!E86)),IF((42=('V06 Calend 01'!C86+(6*'V06 Calend 01'!E86))),('V06 Calend 01'!H86-('V06 Calend 01'!I86*('V06 Calend 01'!E86-1))),'V06 Calend 01'!I86),0))+IF((42='V06 Calend 01'!D86),'V06 Calend 01'!J86,0))</f>
        <v>0</v>
      </c>
      <c r="BC86" s="2">
        <f>((IF((43='V06 Calend 01'!C86),('V06 Calend 01'!F86+'V06 Calend 01'!G86),0)+IF(AND(('V06 Calend 01'!E86&gt;0),(43&gt;'V06 Calend 01'!C86),(43&lt;'V06 Calend 01'!D86),(MOD((43-'V06 Calend 01'!C86),6)=0),(((43-'V06 Calend 01'!C86)/6)&lt;='V06 Calend 01'!E86)),IF((43=('V06 Calend 01'!C86+(6*'V06 Calend 01'!E86))),('V06 Calend 01'!H86-('V06 Calend 01'!I86*('V06 Calend 01'!E86-1))),'V06 Calend 01'!I86),0))+IF((43='V06 Calend 01'!D86),'V06 Calend 01'!J86,0))</f>
        <v>0</v>
      </c>
      <c r="BD86" s="2">
        <f>((IF((44='V06 Calend 01'!C86),('V06 Calend 01'!F86+'V06 Calend 01'!G86),0)+IF(AND(('V06 Calend 01'!E86&gt;0),(44&gt;'V06 Calend 01'!C86),(44&lt;'V06 Calend 01'!D86),(MOD((44-'V06 Calend 01'!C86),6)=0),(((44-'V06 Calend 01'!C86)/6)&lt;='V06 Calend 01'!E86)),IF((44=('V06 Calend 01'!C86+(6*'V06 Calend 01'!E86))),('V06 Calend 01'!H86-('V06 Calend 01'!I86*('V06 Calend 01'!E86-1))),'V06 Calend 01'!I86),0))+IF((44='V06 Calend 01'!D86),'V06 Calend 01'!J86,0))</f>
        <v>0</v>
      </c>
      <c r="BE86" s="2">
        <f>((IF((45='V06 Calend 01'!C86),('V06 Calend 01'!F86+'V06 Calend 01'!G86),0)+IF(AND(('V06 Calend 01'!E86&gt;0),(45&gt;'V06 Calend 01'!C86),(45&lt;'V06 Calend 01'!D86),(MOD((45-'V06 Calend 01'!C86),6)=0),(((45-'V06 Calend 01'!C86)/6)&lt;='V06 Calend 01'!E86)),IF((45=('V06 Calend 01'!C86+(6*'V06 Calend 01'!E86))),('V06 Calend 01'!H86-('V06 Calend 01'!I86*('V06 Calend 01'!E86-1))),'V06 Calend 01'!I86),0))+IF((45='V06 Calend 01'!D86),'V06 Calend 01'!J86,0))</f>
        <v>0</v>
      </c>
      <c r="BF86" s="2">
        <f>((IF((46='V06 Calend 01'!C86),('V06 Calend 01'!F86+'V06 Calend 01'!G86),0)+IF(AND(('V06 Calend 01'!E86&gt;0),(46&gt;'V06 Calend 01'!C86),(46&lt;'V06 Calend 01'!D86),(MOD((46-'V06 Calend 01'!C86),6)=0),(((46-'V06 Calend 01'!C86)/6)&lt;='V06 Calend 01'!E86)),IF((46=('V06 Calend 01'!C86+(6*'V06 Calend 01'!E86))),('V06 Calend 01'!H86-('V06 Calend 01'!I86*('V06 Calend 01'!E86-1))),'V06 Calend 01'!I86),0))+IF((46='V06 Calend 01'!D86),'V06 Calend 01'!J86,0))</f>
        <v>0</v>
      </c>
      <c r="BG86" s="2">
        <f>((IF((47='V06 Calend 01'!C86),('V06 Calend 01'!F86+'V06 Calend 01'!G86),0)+IF(AND(('V06 Calend 01'!E86&gt;0),(47&gt;'V06 Calend 01'!C86),(47&lt;'V06 Calend 01'!D86),(MOD((47-'V06 Calend 01'!C86),6)=0),(((47-'V06 Calend 01'!C86)/6)&lt;='V06 Calend 01'!E86)),IF((47=('V06 Calend 01'!C86+(6*'V06 Calend 01'!E86))),('V06 Calend 01'!H86-('V06 Calend 01'!I86*('V06 Calend 01'!E86-1))),'V06 Calend 01'!I86),0))+IF((47='V06 Calend 01'!D86),'V06 Calend 01'!J86,0))</f>
        <v>0</v>
      </c>
      <c r="BH86" s="2">
        <f>((IF((48='V06 Calend 01'!C86),('V06 Calend 01'!F86+'V06 Calend 01'!G86),0)+IF(AND(('V06 Calend 01'!E86&gt;0),(48&gt;'V06 Calend 01'!C86),(48&lt;'V06 Calend 01'!D86),(MOD((48-'V06 Calend 01'!C86),6)=0),(((48-'V06 Calend 01'!C86)/6)&lt;='V06 Calend 01'!E86)),IF((48=('V06 Calend 01'!C86+(6*'V06 Calend 01'!E86))),('V06 Calend 01'!H86-('V06 Calend 01'!I86*('V06 Calend 01'!E86-1))),'V06 Calend 01'!I86),0))+IF((48='V06 Calend 01'!D86),'V06 Calend 01'!J86,0))</f>
        <v>0</v>
      </c>
      <c r="BI86" s="2">
        <f>((IF((49='V06 Calend 01'!C86),('V06 Calend 01'!F86+'V06 Calend 01'!G86),0)+IF(AND(('V06 Calend 01'!E86&gt;0),(49&gt;'V06 Calend 01'!C86),(49&lt;'V06 Calend 01'!D86),(MOD((49-'V06 Calend 01'!C86),6)=0),(((49-'V06 Calend 01'!C86)/6)&lt;='V06 Calend 01'!E86)),IF((49=('V06 Calend 01'!C86+(6*'V06 Calend 01'!E86))),('V06 Calend 01'!H86-('V06 Calend 01'!I86*('V06 Calend 01'!E86-1))),'V06 Calend 01'!I86),0))+IF((49='V06 Calend 01'!D86),'V06 Calend 01'!J86,0))</f>
        <v>0</v>
      </c>
      <c r="BJ86" s="2">
        <f>((IF((50='V06 Calend 01'!C86),('V06 Calend 01'!F86+'V06 Calend 01'!G86),0)+IF(AND(('V06 Calend 01'!E86&gt;0),(50&gt;'V06 Calend 01'!C86),(50&lt;'V06 Calend 01'!D86),(MOD((50-'V06 Calend 01'!C86),6)=0),(((50-'V06 Calend 01'!C86)/6)&lt;='V06 Calend 01'!E86)),IF((50=('V06 Calend 01'!C86+(6*'V06 Calend 01'!E86))),('V06 Calend 01'!H86-('V06 Calend 01'!I86*('V06 Calend 01'!E86-1))),'V06 Calend 01'!I86),0))+IF((50='V06 Calend 01'!D86),'V06 Calend 01'!J86,0))</f>
        <v>0</v>
      </c>
      <c r="BK86" s="2">
        <f>((IF((51='V06 Calend 01'!C86),('V06 Calend 01'!F86+'V06 Calend 01'!G86),0)+IF(AND(('V06 Calend 01'!E86&gt;0),(51&gt;'V06 Calend 01'!C86),(51&lt;'V06 Calend 01'!D86),(MOD((51-'V06 Calend 01'!C86),6)=0),(((51-'V06 Calend 01'!C86)/6)&lt;='V06 Calend 01'!E86)),IF((51=('V06 Calend 01'!C86+(6*'V06 Calend 01'!E86))),('V06 Calend 01'!H86-('V06 Calend 01'!I86*('V06 Calend 01'!E86-1))),'V06 Calend 01'!I86),0))+IF((51='V06 Calend 01'!D86),'V06 Calend 01'!J86,0))</f>
        <v>0</v>
      </c>
      <c r="BL86" s="2">
        <f>((IF((52='V06 Calend 01'!C86),('V06 Calend 01'!F86+'V06 Calend 01'!G86),0)+IF(AND(('V06 Calend 01'!E86&gt;0),(52&gt;'V06 Calend 01'!C86),(52&lt;'V06 Calend 01'!D86),(MOD((52-'V06 Calend 01'!C86),6)=0),(((52-'V06 Calend 01'!C86)/6)&lt;='V06 Calend 01'!E86)),IF((52=('V06 Calend 01'!C86+(6*'V06 Calend 01'!E86))),('V06 Calend 01'!H86-('V06 Calend 01'!I86*('V06 Calend 01'!E86-1))),'V06 Calend 01'!I86),0))+IF((52='V06 Calend 01'!D86),'V06 Calend 01'!J86,0))</f>
        <v>0</v>
      </c>
      <c r="BM86" s="2">
        <f>((IF((53='V06 Calend 01'!C86),('V06 Calend 01'!F86+'V06 Calend 01'!G86),0)+IF(AND(('V06 Calend 01'!E86&gt;0),(53&gt;'V06 Calend 01'!C86),(53&lt;'V06 Calend 01'!D86),(MOD((53-'V06 Calend 01'!C86),6)=0),(((53-'V06 Calend 01'!C86)/6)&lt;='V06 Calend 01'!E86)),IF((53=('V06 Calend 01'!C86+(6*'V06 Calend 01'!E86))),('V06 Calend 01'!H86-('V06 Calend 01'!I86*('V06 Calend 01'!E86-1))),'V06 Calend 01'!I86),0))+IF((53='V06 Calend 01'!D86),'V06 Calend 01'!J86,0))</f>
        <v>0</v>
      </c>
      <c r="BN86" s="2">
        <f>((IF((54='V06 Calend 01'!C86),('V06 Calend 01'!F86+'V06 Calend 01'!G86),0)+IF(AND(('V06 Calend 01'!E86&gt;0),(54&gt;'V06 Calend 01'!C86),(54&lt;'V06 Calend 01'!D86),(MOD((54-'V06 Calend 01'!C86),6)=0),(((54-'V06 Calend 01'!C86)/6)&lt;='V06 Calend 01'!E86)),IF((54=('V06 Calend 01'!C86+(6*'V06 Calend 01'!E86))),('V06 Calend 01'!H86-('V06 Calend 01'!I86*('V06 Calend 01'!E86-1))),'V06 Calend 01'!I86),0))+IF((54='V06 Calend 01'!D86),'V06 Calend 01'!J86,0))</f>
        <v>0</v>
      </c>
      <c r="BO86" s="2">
        <f>((IF((55='V06 Calend 01'!C86),('V06 Calend 01'!F86+'V06 Calend 01'!G86),0)+IF(AND(('V06 Calend 01'!E86&gt;0),(55&gt;'V06 Calend 01'!C86),(55&lt;'V06 Calend 01'!D86),(MOD((55-'V06 Calend 01'!C86),6)=0),(((55-'V06 Calend 01'!C86)/6)&lt;='V06 Calend 01'!E86)),IF((55=('V06 Calend 01'!C86+(6*'V06 Calend 01'!E86))),('V06 Calend 01'!H86-('V06 Calend 01'!I86*('V06 Calend 01'!E86-1))),'V06 Calend 01'!I86),0))+IF((55='V06 Calend 01'!D86),'V06 Calend 01'!J86,0))</f>
        <v>0</v>
      </c>
      <c r="BP86" s="2">
        <f>((IF((56='V06 Calend 01'!C86),('V06 Calend 01'!F86+'V06 Calend 01'!G86),0)+IF(AND(('V06 Calend 01'!E86&gt;0),(56&gt;'V06 Calend 01'!C86),(56&lt;'V06 Calend 01'!D86),(MOD((56-'V06 Calend 01'!C86),6)=0),(((56-'V06 Calend 01'!C86)/6)&lt;='V06 Calend 01'!E86)),IF((56=('V06 Calend 01'!C86+(6*'V06 Calend 01'!E86))),('V06 Calend 01'!H86-('V06 Calend 01'!I86*('V06 Calend 01'!E86-1))),'V06 Calend 01'!I86),0))+IF((56='V06 Calend 01'!D86),'V06 Calend 01'!J86,0))</f>
        <v>0</v>
      </c>
      <c r="BQ86" s="2">
        <f>((IF((57='V06 Calend 01'!C86),('V06 Calend 01'!F86+'V06 Calend 01'!G86),0)+IF(AND(('V06 Calend 01'!E86&gt;0),(57&gt;'V06 Calend 01'!C86),(57&lt;'V06 Calend 01'!D86),(MOD((57-'V06 Calend 01'!C86),6)=0),(((57-'V06 Calend 01'!C86)/6)&lt;='V06 Calend 01'!E86)),IF((57=('V06 Calend 01'!C86+(6*'V06 Calend 01'!E86))),('V06 Calend 01'!H86-('V06 Calend 01'!I86*('V06 Calend 01'!E86-1))),'V06 Calend 01'!I86),0))+IF((57='V06 Calend 01'!D86),'V06 Calend 01'!J86,0))</f>
        <v>0</v>
      </c>
      <c r="BR86" s="2">
        <f>((IF((58='V06 Calend 01'!C86),('V06 Calend 01'!F86+'V06 Calend 01'!G86),0)+IF(AND(('V06 Calend 01'!E86&gt;0),(58&gt;'V06 Calend 01'!C86),(58&lt;'V06 Calend 01'!D86),(MOD((58-'V06 Calend 01'!C86),6)=0),(((58-'V06 Calend 01'!C86)/6)&lt;='V06 Calend 01'!E86)),IF((58=('V06 Calend 01'!C86+(6*'V06 Calend 01'!E86))),('V06 Calend 01'!H86-('V06 Calend 01'!I86*('V06 Calend 01'!E86-1))),'V06 Calend 01'!I86),0))+IF((58='V06 Calend 01'!D86),'V06 Calend 01'!J86,0))</f>
        <v>0</v>
      </c>
      <c r="BS86" s="2">
        <f>((IF((59='V06 Calend 01'!C86),('V06 Calend 01'!F86+'V06 Calend 01'!G86),0)+IF(AND(('V06 Calend 01'!E86&gt;0),(59&gt;'V06 Calend 01'!C86),(59&lt;'V06 Calend 01'!D86),(MOD((59-'V06 Calend 01'!C86),6)=0),(((59-'V06 Calend 01'!C86)/6)&lt;='V06 Calend 01'!E86)),IF((59=('V06 Calend 01'!C86+(6*'V06 Calend 01'!E86))),('V06 Calend 01'!H86-('V06 Calend 01'!I86*('V06 Calend 01'!E86-1))),'V06 Calend 01'!I86),0))+IF((59='V06 Calend 01'!D86),'V06 Calend 01'!J86,0))</f>
        <v>0</v>
      </c>
      <c r="BT86" s="2">
        <f>((IF((60='V06 Calend 01'!C86),('V06 Calend 01'!F86+'V06 Calend 01'!G86),0)+IF(AND(('V06 Calend 01'!E86&gt;0),(60&gt;'V06 Calend 01'!C86),(60&lt;'V06 Calend 01'!D86),(MOD((60-'V06 Calend 01'!C86),6)=0),(((60-'V06 Calend 01'!C86)/6)&lt;='V06 Calend 01'!E86)),IF((60=('V06 Calend 01'!C86+(6*'V06 Calend 01'!E86))),('V06 Calend 01'!H86-('V06 Calend 01'!I86*('V06 Calend 01'!E86-1))),'V06 Calend 01'!I86),0))+IF((60='V06 Calend 01'!D86),'V06 Calend 01'!J86,0))</f>
        <v>0</v>
      </c>
      <c r="BU86" s="2">
        <f>((IF((61='V06 Calend 01'!C86),('V06 Calend 01'!F86+'V06 Calend 01'!G86),0)+IF(AND(('V06 Calend 01'!E86&gt;0),(61&gt;'V06 Calend 01'!C86),(61&lt;'V06 Calend 01'!D86),(MOD((61-'V06 Calend 01'!C86),6)=0),(((61-'V06 Calend 01'!C86)/6)&lt;='V06 Calend 01'!E86)),IF((61=('V06 Calend 01'!C86+(6*'V06 Calend 01'!E86))),('V06 Calend 01'!H86-('V06 Calend 01'!I86*('V06 Calend 01'!E86-1))),'V06 Calend 01'!I86),0))+IF((61='V06 Calend 01'!D86),'V06 Calend 01'!J86,0))</f>
        <v>0</v>
      </c>
      <c r="BV86" s="2">
        <f>((IF((62='V06 Calend 01'!C86),('V06 Calend 01'!F86+'V06 Calend 01'!G86),0)+IF(AND(('V06 Calend 01'!E86&gt;0),(62&gt;'V06 Calend 01'!C86),(62&lt;'V06 Calend 01'!D86),(MOD((62-'V06 Calend 01'!C86),6)=0),(((62-'V06 Calend 01'!C86)/6)&lt;='V06 Calend 01'!E86)),IF((62=('V06 Calend 01'!C86+(6*'V06 Calend 01'!E86))),('V06 Calend 01'!H86-('V06 Calend 01'!I86*('V06 Calend 01'!E86-1))),'V06 Calend 01'!I86),0))+IF((62='V06 Calend 01'!D86),'V06 Calend 01'!J86,0))</f>
        <v>0</v>
      </c>
      <c r="BW86" s="2">
        <f>((IF((63='V06 Calend 01'!C86),('V06 Calend 01'!F86+'V06 Calend 01'!G86),0)+IF(AND(('V06 Calend 01'!E86&gt;0),(63&gt;'V06 Calend 01'!C86),(63&lt;'V06 Calend 01'!D86),(MOD((63-'V06 Calend 01'!C86),6)=0),(((63-'V06 Calend 01'!C86)/6)&lt;='V06 Calend 01'!E86)),IF((63=('V06 Calend 01'!C86+(6*'V06 Calend 01'!E86))),('V06 Calend 01'!H86-('V06 Calend 01'!I86*('V06 Calend 01'!E86-1))),'V06 Calend 01'!I86),0))+IF((63='V06 Calend 01'!D86),'V06 Calend 01'!J86,0))</f>
        <v>0</v>
      </c>
      <c r="BX86" s="2">
        <f>((IF((64='V06 Calend 01'!C86),('V06 Calend 01'!F86+'V06 Calend 01'!G86),0)+IF(AND(('V06 Calend 01'!E86&gt;0),(64&gt;'V06 Calend 01'!C86),(64&lt;'V06 Calend 01'!D86),(MOD((64-'V06 Calend 01'!C86),6)=0),(((64-'V06 Calend 01'!C86)/6)&lt;='V06 Calend 01'!E86)),IF((64=('V06 Calend 01'!C86+(6*'V06 Calend 01'!E86))),('V06 Calend 01'!H86-('V06 Calend 01'!I86*('V06 Calend 01'!E86-1))),'V06 Calend 01'!I86),0))+IF((64='V06 Calend 01'!D86),'V06 Calend 01'!J86,0))</f>
        <v>0</v>
      </c>
      <c r="BY86" s="2">
        <f>((IF((65='V06 Calend 01'!C86),('V06 Calend 01'!F86+'V06 Calend 01'!G86),0)+IF(AND(('V06 Calend 01'!E86&gt;0),(65&gt;'V06 Calend 01'!C86),(65&lt;'V06 Calend 01'!D86),(MOD((65-'V06 Calend 01'!C86),6)=0),(((65-'V06 Calend 01'!C86)/6)&lt;='V06 Calend 01'!E86)),IF((65=('V06 Calend 01'!C86+(6*'V06 Calend 01'!E86))),('V06 Calend 01'!H86-('V06 Calend 01'!I86*('V06 Calend 01'!E86-1))),'V06 Calend 01'!I86),0))+IF((65='V06 Calend 01'!D86),'V06 Calend 01'!J86,0))</f>
        <v>0</v>
      </c>
      <c r="BZ86" s="2">
        <f>((IF((66='V06 Calend 01'!C86),('V06 Calend 01'!F86+'V06 Calend 01'!G86),0)+IF(AND(('V06 Calend 01'!E86&gt;0),(66&gt;'V06 Calend 01'!C86),(66&lt;'V06 Calend 01'!D86),(MOD((66-'V06 Calend 01'!C86),6)=0),(((66-'V06 Calend 01'!C86)/6)&lt;='V06 Calend 01'!E86)),IF((66=('V06 Calend 01'!C86+(6*'V06 Calend 01'!E86))),('V06 Calend 01'!H86-('V06 Calend 01'!I86*('V06 Calend 01'!E86-1))),'V06 Calend 01'!I86),0))+IF((66='V06 Calend 01'!D86),'V06 Calend 01'!J86,0))</f>
        <v>0</v>
      </c>
      <c r="CA86" s="2">
        <f>((IF((67='V06 Calend 01'!C86),('V06 Calend 01'!F86+'V06 Calend 01'!G86),0)+IF(AND(('V06 Calend 01'!E86&gt;0),(67&gt;'V06 Calend 01'!C86),(67&lt;'V06 Calend 01'!D86),(MOD((67-'V06 Calend 01'!C86),6)=0),(((67-'V06 Calend 01'!C86)/6)&lt;='V06 Calend 01'!E86)),IF((67=('V06 Calend 01'!C86+(6*'V06 Calend 01'!E86))),('V06 Calend 01'!H86-('V06 Calend 01'!I86*('V06 Calend 01'!E86-1))),'V06 Calend 01'!I86),0))+IF((67='V06 Calend 01'!D86),'V06 Calend 01'!J86,0))</f>
        <v>0</v>
      </c>
      <c r="CB86" s="2">
        <f>((IF((68='V06 Calend 01'!C86),('V06 Calend 01'!F86+'V06 Calend 01'!G86),0)+IF(AND(('V06 Calend 01'!E86&gt;0),(68&gt;'V06 Calend 01'!C86),(68&lt;'V06 Calend 01'!D86),(MOD((68-'V06 Calend 01'!C86),6)=0),(((68-'V06 Calend 01'!C86)/6)&lt;='V06 Calend 01'!E86)),IF((68=('V06 Calend 01'!C86+(6*'V06 Calend 01'!E86))),('V06 Calend 01'!H86-('V06 Calend 01'!I86*('V06 Calend 01'!E86-1))),'V06 Calend 01'!I86),0))+IF((68='V06 Calend 01'!D86),'V06 Calend 01'!J86,0))</f>
        <v>0</v>
      </c>
      <c r="CC86" s="2">
        <f>((IF((69='V06 Calend 01'!C86),('V06 Calend 01'!F86+'V06 Calend 01'!G86),0)+IF(AND(('V06 Calend 01'!E86&gt;0),(69&gt;'V06 Calend 01'!C86),(69&lt;'V06 Calend 01'!D86),(MOD((69-'V06 Calend 01'!C86),6)=0),(((69-'V06 Calend 01'!C86)/6)&lt;='V06 Calend 01'!E86)),IF((69=('V06 Calend 01'!C86+(6*'V06 Calend 01'!E86))),('V06 Calend 01'!H86-('V06 Calend 01'!I86*('V06 Calend 01'!E86-1))),'V06 Calend 01'!I86),0))+IF((69='V06 Calend 01'!D86),'V06 Calend 01'!J86,0))</f>
        <v>0</v>
      </c>
      <c r="CD86" s="2">
        <f>((IF((70='V06 Calend 01'!C86),('V06 Calend 01'!F86+'V06 Calend 01'!G86),0)+IF(AND(('V06 Calend 01'!E86&gt;0),(70&gt;'V06 Calend 01'!C86),(70&lt;'V06 Calend 01'!D86),(MOD((70-'V06 Calend 01'!C86),6)=0),(((70-'V06 Calend 01'!C86)/6)&lt;='V06 Calend 01'!E86)),IF((70=('V06 Calend 01'!C86+(6*'V06 Calend 01'!E86))),('V06 Calend 01'!H86-('V06 Calend 01'!I86*('V06 Calend 01'!E86-1))),'V06 Calend 01'!I86),0))+IF((70='V06 Calend 01'!D86),'V06 Calend 01'!J86,0))</f>
        <v>0</v>
      </c>
      <c r="CE86" s="2">
        <f>((IF((71='V06 Calend 01'!C86),('V06 Calend 01'!F86+'V06 Calend 01'!G86),0)+IF(AND(('V06 Calend 01'!E86&gt;0),(71&gt;'V06 Calend 01'!C86),(71&lt;'V06 Calend 01'!D86),(MOD((71-'V06 Calend 01'!C86),6)=0),(((71-'V06 Calend 01'!C86)/6)&lt;='V06 Calend 01'!E86)),IF((71=('V06 Calend 01'!C86+(6*'V06 Calend 01'!E86))),('V06 Calend 01'!H86-('V06 Calend 01'!I86*('V06 Calend 01'!E86-1))),'V06 Calend 01'!I86),0))+IF((71='V06 Calend 01'!D86),'V06 Calend 01'!J86,0))</f>
        <v>0</v>
      </c>
      <c r="CF86" s="2">
        <f>((IF((72='V06 Calend 01'!C86),('V06 Calend 01'!F86+'V06 Calend 01'!G86),0)+IF(AND(('V06 Calend 01'!E86&gt;0),(72&gt;'V06 Calend 01'!C86),(72&lt;'V06 Calend 01'!D86),(MOD((72-'V06 Calend 01'!C86),6)=0),(((72-'V06 Calend 01'!C86)/6)&lt;='V06 Calend 01'!E86)),IF((72=('V06 Calend 01'!C86+(6*'V06 Calend 01'!E86))),('V06 Calend 01'!H86-('V06 Calend 01'!I86*('V06 Calend 01'!E86-1))),'V06 Calend 01'!I86),0))+IF((72='V06 Calend 01'!D86),'V06 Calend 01'!J86,0))</f>
        <v>0</v>
      </c>
      <c r="CG86" s="2">
        <f>((IF((73='V06 Calend 01'!C86),('V06 Calend 01'!F86+'V06 Calend 01'!G86),0)+IF(AND(('V06 Calend 01'!E86&gt;0),(73&gt;'V06 Calend 01'!C86),(73&lt;'V06 Calend 01'!D86),(MOD((73-'V06 Calend 01'!C86),6)=0),(((73-'V06 Calend 01'!C86)/6)&lt;='V06 Calend 01'!E86)),IF((73=('V06 Calend 01'!C86+(6*'V06 Calend 01'!E86))),('V06 Calend 01'!H86-('V06 Calend 01'!I86*('V06 Calend 01'!E86-1))),'V06 Calend 01'!I86),0))+IF((73='V06 Calend 01'!D86),'V06 Calend 01'!J86,0))</f>
        <v>0</v>
      </c>
      <c r="CH86" s="2">
        <f>((IF((74='V06 Calend 01'!C86),('V06 Calend 01'!F86+'V06 Calend 01'!G86),0)+IF(AND(('V06 Calend 01'!E86&gt;0),(74&gt;'V06 Calend 01'!C86),(74&lt;'V06 Calend 01'!D86),(MOD((74-'V06 Calend 01'!C86),6)=0),(((74-'V06 Calend 01'!C86)/6)&lt;='V06 Calend 01'!E86)),IF((74=('V06 Calend 01'!C86+(6*'V06 Calend 01'!E86))),('V06 Calend 01'!H86-('V06 Calend 01'!I86*('V06 Calend 01'!E86-1))),'V06 Calend 01'!I86),0))+IF((74='V06 Calend 01'!D86),'V06 Calend 01'!J86,0))</f>
        <v>0</v>
      </c>
      <c r="CI86" s="2">
        <f>((IF((75='V06 Calend 01'!C86),('V06 Calend 01'!F86+'V06 Calend 01'!G86),0)+IF(AND(('V06 Calend 01'!E86&gt;0),(75&gt;'V06 Calend 01'!C86),(75&lt;'V06 Calend 01'!D86),(MOD((75-'V06 Calend 01'!C86),6)=0),(((75-'V06 Calend 01'!C86)/6)&lt;='V06 Calend 01'!E86)),IF((75=('V06 Calend 01'!C86+(6*'V06 Calend 01'!E86))),('V06 Calend 01'!H86-('V06 Calend 01'!I86*('V06 Calend 01'!E86-1))),'V06 Calend 01'!I86),0))+IF((75='V06 Calend 01'!D86),'V06 Calend 01'!J86,0))</f>
        <v>0</v>
      </c>
      <c r="CJ86" s="2">
        <f>((IF((76='V06 Calend 01'!C86),('V06 Calend 01'!F86+'V06 Calend 01'!G86),0)+IF(AND(('V06 Calend 01'!E86&gt;0),(76&gt;'V06 Calend 01'!C86),(76&lt;'V06 Calend 01'!D86),(MOD((76-'V06 Calend 01'!C86),6)=0),(((76-'V06 Calend 01'!C86)/6)&lt;='V06 Calend 01'!E86)),IF((76=('V06 Calend 01'!C86+(6*'V06 Calend 01'!E86))),('V06 Calend 01'!H86-('V06 Calend 01'!I86*('V06 Calend 01'!E86-1))),'V06 Calend 01'!I86),0))+IF((76='V06 Calend 01'!D86),'V06 Calend 01'!J86,0))</f>
        <v>0</v>
      </c>
      <c r="CK86" s="2">
        <f>((IF((77='V06 Calend 01'!C86),('V06 Calend 01'!F86+'V06 Calend 01'!G86),0)+IF(AND(('V06 Calend 01'!E86&gt;0),(77&gt;'V06 Calend 01'!C86),(77&lt;'V06 Calend 01'!D86),(MOD((77-'V06 Calend 01'!C86),6)=0),(((77-'V06 Calend 01'!C86)/6)&lt;='V06 Calend 01'!E86)),IF((77=('V06 Calend 01'!C86+(6*'V06 Calend 01'!E86))),('V06 Calend 01'!H86-('V06 Calend 01'!I86*('V06 Calend 01'!E86-1))),'V06 Calend 01'!I86),0))+IF((77='V06 Calend 01'!D86),'V06 Calend 01'!J86,0))</f>
        <v>0</v>
      </c>
      <c r="CL86" s="2">
        <f>((IF((78='V06 Calend 01'!C86),('V06 Calend 01'!F86+'V06 Calend 01'!G86),0)+IF(AND(('V06 Calend 01'!E86&gt;0),(78&gt;'V06 Calend 01'!C86),(78&lt;'V06 Calend 01'!D86),(MOD((78-'V06 Calend 01'!C86),6)=0),(((78-'V06 Calend 01'!C86)/6)&lt;='V06 Calend 01'!E86)),IF((78=('V06 Calend 01'!C86+(6*'V06 Calend 01'!E86))),('V06 Calend 01'!H86-('V06 Calend 01'!I86*('V06 Calend 01'!E86-1))),'V06 Calend 01'!I86),0))+IF((78='V06 Calend 01'!D86),'V06 Calend 01'!J86,0))</f>
        <v>0</v>
      </c>
      <c r="CM86" s="2">
        <f>((IF((79='V06 Calend 01'!C86),('V06 Calend 01'!F86+'V06 Calend 01'!G86),0)+IF(AND(('V06 Calend 01'!E86&gt;0),(79&gt;'V06 Calend 01'!C86),(79&lt;'V06 Calend 01'!D86),(MOD((79-'V06 Calend 01'!C86),6)=0),(((79-'V06 Calend 01'!C86)/6)&lt;='V06 Calend 01'!E86)),IF((79=('V06 Calend 01'!C86+(6*'V06 Calend 01'!E86))),('V06 Calend 01'!H86-('V06 Calend 01'!I86*('V06 Calend 01'!E86-1))),'V06 Calend 01'!I86),0))+IF((79='V06 Calend 01'!D86),'V06 Calend 01'!J86,0))</f>
        <v>0</v>
      </c>
      <c r="CN86" s="2">
        <f>((IF((80='V06 Calend 01'!C86),('V06 Calend 01'!F86+'V06 Calend 01'!G86),0)+IF(AND(('V06 Calend 01'!E86&gt;0),(80&gt;'V06 Calend 01'!C86),(80&lt;'V06 Calend 01'!D86),(MOD((80-'V06 Calend 01'!C86),6)=0),(((80-'V06 Calend 01'!C86)/6)&lt;='V06 Calend 01'!E86)),IF((80=('V06 Calend 01'!C86+(6*'V06 Calend 01'!E86))),('V06 Calend 01'!H86-('V06 Calend 01'!I86*('V06 Calend 01'!E86-1))),'V06 Calend 01'!I86),0))+IF((80='V06 Calend 01'!D86),'V06 Calend 01'!J86,0))</f>
        <v>0</v>
      </c>
      <c r="CO86" s="2">
        <f>((IF((81='V06 Calend 01'!C86),('V06 Calend 01'!F86+'V06 Calend 01'!G86),0)+IF(AND(('V06 Calend 01'!E86&gt;0),(81&gt;'V06 Calend 01'!C86),(81&lt;'V06 Calend 01'!D86),(MOD((81-'V06 Calend 01'!C86),6)=0),(((81-'V06 Calend 01'!C86)/6)&lt;='V06 Calend 01'!E86)),IF((81=('V06 Calend 01'!C86+(6*'V06 Calend 01'!E86))),('V06 Calend 01'!H86-('V06 Calend 01'!I86*('V06 Calend 01'!E86-1))),'V06 Calend 01'!I86),0))+IF((81='V06 Calend 01'!D86),'V06 Calend 01'!J86,0))</f>
        <v>0</v>
      </c>
      <c r="CP86" s="2">
        <f>((IF((82='V06 Calend 01'!C86),('V06 Calend 01'!F86+'V06 Calend 01'!G86),0)+IF(AND(('V06 Calend 01'!E86&gt;0),(82&gt;'V06 Calend 01'!C86),(82&lt;'V06 Calend 01'!D86),(MOD((82-'V06 Calend 01'!C86),6)=0),(((82-'V06 Calend 01'!C86)/6)&lt;='V06 Calend 01'!E86)),IF((82=('V06 Calend 01'!C86+(6*'V06 Calend 01'!E86))),('V06 Calend 01'!H86-('V06 Calend 01'!I86*('V06 Calend 01'!E86-1))),'V06 Calend 01'!I86),0))+IF((82='V06 Calend 01'!D86),'V06 Calend 01'!J86,0))</f>
        <v>0</v>
      </c>
      <c r="CQ86" s="2">
        <f>((IF((83='V06 Calend 01'!C86),('V06 Calend 01'!F86+'V06 Calend 01'!G86),0)+IF(AND(('V06 Calend 01'!E86&gt;0),(83&gt;'V06 Calend 01'!C86),(83&lt;'V06 Calend 01'!D86),(MOD((83-'V06 Calend 01'!C86),6)=0),(((83-'V06 Calend 01'!C86)/6)&lt;='V06 Calend 01'!E86)),IF((83=('V06 Calend 01'!C86+(6*'V06 Calend 01'!E86))),('V06 Calend 01'!H86-('V06 Calend 01'!I86*('V06 Calend 01'!E86-1))),'V06 Calend 01'!I86),0))+IF((83='V06 Calend 01'!D86),'V06 Calend 01'!J86,0))</f>
        <v>0</v>
      </c>
      <c r="CR86" s="2">
        <f>((IF((84='V06 Calend 01'!C86),('V06 Calend 01'!F86+'V06 Calend 01'!G86),0)+IF(AND(('V06 Calend 01'!E86&gt;0),(84&gt;'V06 Calend 01'!C86),(84&lt;'V06 Calend 01'!D86),(MOD((84-'V06 Calend 01'!C86),6)=0),(((84-'V06 Calend 01'!C86)/6)&lt;='V06 Calend 01'!E86)),IF((84=('V06 Calend 01'!C86+(6*'V06 Calend 01'!E86))),('V06 Calend 01'!H86-('V06 Calend 01'!I86*('V06 Calend 01'!E86-1))),'V06 Calend 01'!I86),0))+IF((84='V06 Calend 01'!D86),'V06 Calend 01'!J86,0))</f>
        <v>0</v>
      </c>
      <c r="CS86" s="2">
        <f>((IF((85='V06 Calend 01'!C86),('V06 Calend 01'!F86+'V06 Calend 01'!G86),0)+IF(AND(('V06 Calend 01'!E86&gt;0),(85&gt;'V06 Calend 01'!C86),(85&lt;'V06 Calend 01'!D86),(MOD((85-'V06 Calend 01'!C86),6)=0),(((85-'V06 Calend 01'!C86)/6)&lt;='V06 Calend 01'!E86)),IF((85=('V06 Calend 01'!C86+(6*'V06 Calend 01'!E86))),('V06 Calend 01'!H86-('V06 Calend 01'!I86*('V06 Calend 01'!E86-1))),'V06 Calend 01'!I86),0))+IF((85='V06 Calend 01'!D86),'V06 Calend 01'!J86,0))</f>
        <v>0</v>
      </c>
      <c r="CT86" s="2">
        <f>((IF((86='V06 Calend 01'!C86),('V06 Calend 01'!F86+'V06 Calend 01'!G86),0)+IF(AND(('V06 Calend 01'!E86&gt;0),(86&gt;'V06 Calend 01'!C86),(86&lt;'V06 Calend 01'!D86),(MOD((86-'V06 Calend 01'!C86),6)=0),(((86-'V06 Calend 01'!C86)/6)&lt;='V06 Calend 01'!E86)),IF((86=('V06 Calend 01'!C86+(6*'V06 Calend 01'!E86))),('V06 Calend 01'!H86-('V06 Calend 01'!I86*('V06 Calend 01'!E86-1))),'V06 Calend 01'!I86),0))+IF((86='V06 Calend 01'!D86),'V06 Calend 01'!J86,0))</f>
        <v>0</v>
      </c>
      <c r="CU86" s="2">
        <f>((IF((87='V06 Calend 01'!C86),('V06 Calend 01'!F86+'V06 Calend 01'!G86),0)+IF(AND(('V06 Calend 01'!E86&gt;0),(87&gt;'V06 Calend 01'!C86),(87&lt;'V06 Calend 01'!D86),(MOD((87-'V06 Calend 01'!C86),6)=0),(((87-'V06 Calend 01'!C86)/6)&lt;='V06 Calend 01'!E86)),IF((87=('V06 Calend 01'!C86+(6*'V06 Calend 01'!E86))),('V06 Calend 01'!H86-('V06 Calend 01'!I86*('V06 Calend 01'!E86-1))),'V06 Calend 01'!I86),0))+IF((87='V06 Calend 01'!D86),'V06 Calend 01'!J86,0))</f>
        <v>0</v>
      </c>
      <c r="CV86" s="2">
        <f>((IF((88='V06 Calend 01'!C86),('V06 Calend 01'!F86+'V06 Calend 01'!G86),0)+IF(AND(('V06 Calend 01'!E86&gt;0),(88&gt;'V06 Calend 01'!C86),(88&lt;'V06 Calend 01'!D86),(MOD((88-'V06 Calend 01'!C86),6)=0),(((88-'V06 Calend 01'!C86)/6)&lt;='V06 Calend 01'!E86)),IF((88=('V06 Calend 01'!C86+(6*'V06 Calend 01'!E86))),('V06 Calend 01'!H86-('V06 Calend 01'!I86*('V06 Calend 01'!E86-1))),'V06 Calend 01'!I86),0))+IF((88='V06 Calend 01'!D86),'V06 Calend 01'!J86,0))</f>
        <v>0</v>
      </c>
      <c r="CW86" s="2">
        <f>((IF((89='V06 Calend 01'!C86),('V06 Calend 01'!F86+'V06 Calend 01'!G86),0)+IF(AND(('V06 Calend 01'!E86&gt;0),(89&gt;'V06 Calend 01'!C86),(89&lt;'V06 Calend 01'!D86),(MOD((89-'V06 Calend 01'!C86),6)=0),(((89-'V06 Calend 01'!C86)/6)&lt;='V06 Calend 01'!E86)),IF((89=('V06 Calend 01'!C86+(6*'V06 Calend 01'!E86))),('V06 Calend 01'!H86-('V06 Calend 01'!I86*('V06 Calend 01'!E86-1))),'V06 Calend 01'!I86),0))+IF((89='V06 Calend 01'!D86),'V06 Calend 01'!J86,0))</f>
        <v>0</v>
      </c>
      <c r="CX86" s="2">
        <f>((IF((90='V06 Calend 01'!C86),('V06 Calend 01'!F86+'V06 Calend 01'!G86),0)+IF(AND(('V06 Calend 01'!E86&gt;0),(90&gt;'V06 Calend 01'!C86),(90&lt;'V06 Calend 01'!D86),(MOD((90-'V06 Calend 01'!C86),6)=0),(((90-'V06 Calend 01'!C86)/6)&lt;='V06 Calend 01'!E86)),IF((90=('V06 Calend 01'!C86+(6*'V06 Calend 01'!E86))),('V06 Calend 01'!H86-('V06 Calend 01'!I86*('V06 Calend 01'!E86-1))),'V06 Calend 01'!I86),0))+IF((90='V06 Calend 01'!D86),'V06 Calend 01'!J86,0))</f>
        <v>0</v>
      </c>
      <c r="CY86" s="2">
        <f>((IF((91='V06 Calend 01'!C86),('V06 Calend 01'!F86+'V06 Calend 01'!G86),0)+IF(AND(('V06 Calend 01'!E86&gt;0),(91&gt;'V06 Calend 01'!C86),(91&lt;'V06 Calend 01'!D86),(MOD((91-'V06 Calend 01'!C86),6)=0),(((91-'V06 Calend 01'!C86)/6)&lt;='V06 Calend 01'!E86)),IF((91=('V06 Calend 01'!C86+(6*'V06 Calend 01'!E86))),('V06 Calend 01'!H86-('V06 Calend 01'!I86*('V06 Calend 01'!E86-1))),'V06 Calend 01'!I86),0))+IF((91='V06 Calend 01'!D86),'V06 Calend 01'!J86,0))</f>
        <v>0</v>
      </c>
      <c r="CZ86" s="2">
        <f>((IF((92='V06 Calend 01'!C86),('V06 Calend 01'!F86+'V06 Calend 01'!G86),0)+IF(AND(('V06 Calend 01'!E86&gt;0),(92&gt;'V06 Calend 01'!C86),(92&lt;'V06 Calend 01'!D86),(MOD((92-'V06 Calend 01'!C86),6)=0),(((92-'V06 Calend 01'!C86)/6)&lt;='V06 Calend 01'!E86)),IF((92=('V06 Calend 01'!C86+(6*'V06 Calend 01'!E86))),('V06 Calend 01'!H86-('V06 Calend 01'!I86*('V06 Calend 01'!E86-1))),'V06 Calend 01'!I86),0))+IF((92='V06 Calend 01'!D86),'V06 Calend 01'!J86,0))</f>
        <v>0</v>
      </c>
      <c r="DA86" s="2">
        <f>((IF((93='V06 Calend 01'!C86),('V06 Calend 01'!F86+'V06 Calend 01'!G86),0)+IF(AND(('V06 Calend 01'!E86&gt;0),(93&gt;'V06 Calend 01'!C86),(93&lt;'V06 Calend 01'!D86),(MOD((93-'V06 Calend 01'!C86),6)=0),(((93-'V06 Calend 01'!C86)/6)&lt;='V06 Calend 01'!E86)),IF((93=('V06 Calend 01'!C86+(6*'V06 Calend 01'!E86))),('V06 Calend 01'!H86-('V06 Calend 01'!I86*('V06 Calend 01'!E86-1))),'V06 Calend 01'!I86),0))+IF((93='V06 Calend 01'!D86),'V06 Calend 01'!J86,0))</f>
        <v>0</v>
      </c>
      <c r="DB86" s="2">
        <f>((IF((94='V06 Calend 01'!C86),('V06 Calend 01'!F86+'V06 Calend 01'!G86),0)+IF(AND(('V06 Calend 01'!E86&gt;0),(94&gt;'V06 Calend 01'!C86),(94&lt;'V06 Calend 01'!D86),(MOD((94-'V06 Calend 01'!C86),6)=0),(((94-'V06 Calend 01'!C86)/6)&lt;='V06 Calend 01'!E86)),IF((94=('V06 Calend 01'!C86+(6*'V06 Calend 01'!E86))),('V06 Calend 01'!H86-('V06 Calend 01'!I86*('V06 Calend 01'!E86-1))),'V06 Calend 01'!I86),0))+IF((94='V06 Calend 01'!D86),'V06 Calend 01'!J86,0))</f>
        <v>0</v>
      </c>
      <c r="DC86" s="2">
        <f>((IF((95='V06 Calend 01'!C86),('V06 Calend 01'!F86+'V06 Calend 01'!G86),0)+IF(AND(('V06 Calend 01'!E86&gt;0),(95&gt;'V06 Calend 01'!C86),(95&lt;'V06 Calend 01'!D86),(MOD((95-'V06 Calend 01'!C86),6)=0),(((95-'V06 Calend 01'!C86)/6)&lt;='V06 Calend 01'!E86)),IF((95=('V06 Calend 01'!C86+(6*'V06 Calend 01'!E86))),('V06 Calend 01'!H86-('V06 Calend 01'!I86*('V06 Calend 01'!E86-1))),'V06 Calend 01'!I86),0))+IF((95='V06 Calend 01'!D86),'V06 Calend 01'!J86,0))</f>
        <v>0</v>
      </c>
      <c r="DD86" s="2">
        <f>((IF((96='V06 Calend 01'!C86),('V06 Calend 01'!F86+'V06 Calend 01'!G86),0)+IF(AND(('V06 Calend 01'!E86&gt;0),(96&gt;'V06 Calend 01'!C86),(96&lt;'V06 Calend 01'!D86),(MOD((96-'V06 Calend 01'!C86),6)=0),(((96-'V06 Calend 01'!C86)/6)&lt;='V06 Calend 01'!E86)),IF((96=('V06 Calend 01'!C86+(6*'V06 Calend 01'!E86))),('V06 Calend 01'!H86-('V06 Calend 01'!I86*('V06 Calend 01'!E86-1))),'V06 Calend 01'!I86),0))+IF((96='V06 Calend 01'!D86),'V06 Calend 01'!J86,0))</f>
        <v>0</v>
      </c>
      <c r="DE86" s="2">
        <f>((IF((97='V06 Calend 01'!C86),('V06 Calend 01'!F86+'V06 Calend 01'!G86),0)+IF(AND(('V06 Calend 01'!E86&gt;0),(97&gt;'V06 Calend 01'!C86),(97&lt;'V06 Calend 01'!D86),(MOD((97-'V06 Calend 01'!C86),6)=0),(((97-'V06 Calend 01'!C86)/6)&lt;='V06 Calend 01'!E86)),IF((97=('V06 Calend 01'!C86+(6*'V06 Calend 01'!E86))),('V06 Calend 01'!H86-('V06 Calend 01'!I86*('V06 Calend 01'!E86-1))),'V06 Calend 01'!I86),0))+IF((97='V06 Calend 01'!D86),'V06 Calend 01'!J86,0))</f>
        <v>0</v>
      </c>
      <c r="DF86" s="2">
        <f>((IF((98='V06 Calend 01'!C86),('V06 Calend 01'!F86+'V06 Calend 01'!G86),0)+IF(AND(('V06 Calend 01'!E86&gt;0),(98&gt;'V06 Calend 01'!C86),(98&lt;'V06 Calend 01'!D86),(MOD((98-'V06 Calend 01'!C86),6)=0),(((98-'V06 Calend 01'!C86)/6)&lt;='V06 Calend 01'!E86)),IF((98=('V06 Calend 01'!C86+(6*'V06 Calend 01'!E86))),('V06 Calend 01'!H86-('V06 Calend 01'!I86*('V06 Calend 01'!E86-1))),'V06 Calend 01'!I86),0))+IF((98='V06 Calend 01'!D86),'V06 Calend 01'!J86,0))</f>
        <v>0</v>
      </c>
      <c r="DG86" s="2">
        <f>((IF((99='V06 Calend 01'!C86),('V06 Calend 01'!F86+'V06 Calend 01'!G86),0)+IF(AND(('V06 Calend 01'!E86&gt;0),(99&gt;'V06 Calend 01'!C86),(99&lt;'V06 Calend 01'!D86),(MOD((99-'V06 Calend 01'!C86),6)=0),(((99-'V06 Calend 01'!C86)/6)&lt;='V06 Calend 01'!E86)),IF((99=('V06 Calend 01'!C86+(6*'V06 Calend 01'!E86))),('V06 Calend 01'!H86-('V06 Calend 01'!I86*('V06 Calend 01'!E86-1))),'V06 Calend 01'!I86),0))+IF((99='V06 Calend 01'!D86),'V06 Calend 01'!J86,0))</f>
        <v>0</v>
      </c>
      <c r="DH86" s="2">
        <f>((IF((100='V06 Calend 01'!C86),('V06 Calend 01'!F86+'V06 Calend 01'!G86),0)+IF(AND(('V06 Calend 01'!E86&gt;0),(100&gt;'V06 Calend 01'!C86),(100&lt;'V06 Calend 01'!D86),(MOD((100-'V06 Calend 01'!C86),6)=0),(((100-'V06 Calend 01'!C86)/6)&lt;='V06 Calend 01'!E86)),IF((100=('V06 Calend 01'!C86+(6*'V06 Calend 01'!E86))),('V06 Calend 01'!H86-('V06 Calend 01'!I86*('V06 Calend 01'!E86-1))),'V06 Calend 01'!I86),0))+IF((100='V06 Calend 01'!D86),'V06 Calend 01'!J86,0))</f>
        <v>0</v>
      </c>
      <c r="DI86" s="2">
        <f>((IF((101='V06 Calend 01'!C86),('V06 Calend 01'!F86+'V06 Calend 01'!G86),0)+IF(AND(('V06 Calend 01'!E86&gt;0),(101&gt;'V06 Calend 01'!C86),(101&lt;'V06 Calend 01'!D86),(MOD((101-'V06 Calend 01'!C86),6)=0),(((101-'V06 Calend 01'!C86)/6)&lt;='V06 Calend 01'!E86)),IF((101=('V06 Calend 01'!C86+(6*'V06 Calend 01'!E86))),('V06 Calend 01'!H86-('V06 Calend 01'!I86*('V06 Calend 01'!E86-1))),'V06 Calend 01'!I86),0))+IF((101='V06 Calend 01'!D86),'V06 Calend 01'!J86,0))</f>
        <v>0</v>
      </c>
      <c r="DJ86" s="2">
        <f>((IF((102='V06 Calend 01'!C86),('V06 Calend 01'!F86+'V06 Calend 01'!G86),0)+IF(AND(('V06 Calend 01'!E86&gt;0),(102&gt;'V06 Calend 01'!C86),(102&lt;'V06 Calend 01'!D86),(MOD((102-'V06 Calend 01'!C86),6)=0),(((102-'V06 Calend 01'!C86)/6)&lt;='V06 Calend 01'!E86)),IF((102=('V06 Calend 01'!C86+(6*'V06 Calend 01'!E86))),('V06 Calend 01'!H86-('V06 Calend 01'!I86*('V06 Calend 01'!E86-1))),'V06 Calend 01'!I86),0))+IF((102='V06 Calend 01'!D86),'V06 Calend 01'!J86,0))</f>
        <v>0</v>
      </c>
      <c r="DK86" s="2">
        <f>((IF((103='V06 Calend 01'!C86),('V06 Calend 01'!F86+'V06 Calend 01'!G86),0)+IF(AND(('V06 Calend 01'!E86&gt;0),(103&gt;'V06 Calend 01'!C86),(103&lt;'V06 Calend 01'!D86),(MOD((103-'V06 Calend 01'!C86),6)=0),(((103-'V06 Calend 01'!C86)/6)&lt;='V06 Calend 01'!E86)),IF((103=('V06 Calend 01'!C86+(6*'V06 Calend 01'!E86))),('V06 Calend 01'!H86-('V06 Calend 01'!I86*('V06 Calend 01'!E86-1))),'V06 Calend 01'!I86),0))+IF((103='V06 Calend 01'!D86),'V06 Calend 01'!J86,0))</f>
        <v>0</v>
      </c>
      <c r="DL86" s="2">
        <f>((IF((104='V06 Calend 01'!C86),('V06 Calend 01'!F86+'V06 Calend 01'!G86),0)+IF(AND(('V06 Calend 01'!E86&gt;0),(104&gt;'V06 Calend 01'!C86),(104&lt;'V06 Calend 01'!D86),(MOD((104-'V06 Calend 01'!C86),6)=0),(((104-'V06 Calend 01'!C86)/6)&lt;='V06 Calend 01'!E86)),IF((104=('V06 Calend 01'!C86+(6*'V06 Calend 01'!E86))),('V06 Calend 01'!H86-('V06 Calend 01'!I86*('V06 Calend 01'!E86-1))),'V06 Calend 01'!I86),0))+IF((104='V06 Calend 01'!D86),'V06 Calend 01'!J86,0))</f>
        <v>0</v>
      </c>
      <c r="DM86" s="2">
        <f>((IF((105='V06 Calend 01'!C86),('V06 Calend 01'!F86+'V06 Calend 01'!G86),0)+IF(AND(('V06 Calend 01'!E86&gt;0),(105&gt;'V06 Calend 01'!C86),(105&lt;'V06 Calend 01'!D86),(MOD((105-'V06 Calend 01'!C86),6)=0),(((105-'V06 Calend 01'!C86)/6)&lt;='V06 Calend 01'!E86)),IF((105=('V06 Calend 01'!C86+(6*'V06 Calend 01'!E86))),('V06 Calend 01'!H86-('V06 Calend 01'!I86*('V06 Calend 01'!E86-1))),'V06 Calend 01'!I86),0))+IF((105='V06 Calend 01'!D86),'V06 Calend 01'!J86,0))</f>
        <v>0</v>
      </c>
      <c r="DN86" s="2">
        <f>((IF((106='V06 Calend 01'!C86),('V06 Calend 01'!F86+'V06 Calend 01'!G86),0)+IF(AND(('V06 Calend 01'!E86&gt;0),(106&gt;'V06 Calend 01'!C86),(106&lt;'V06 Calend 01'!D86),(MOD((106-'V06 Calend 01'!C86),6)=0),(((106-'V06 Calend 01'!C86)/6)&lt;='V06 Calend 01'!E86)),IF((106=('V06 Calend 01'!C86+(6*'V06 Calend 01'!E86))),('V06 Calend 01'!H86-('V06 Calend 01'!I86*('V06 Calend 01'!E86-1))),'V06 Calend 01'!I86),0))+IF((106='V06 Calend 01'!D86),'V06 Calend 01'!J86,0))</f>
        <v>0</v>
      </c>
      <c r="DO86" s="2">
        <f>((IF((107='V06 Calend 01'!C86),('V06 Calend 01'!F86+'V06 Calend 01'!G86),0)+IF(AND(('V06 Calend 01'!E86&gt;0),(107&gt;'V06 Calend 01'!C86),(107&lt;'V06 Calend 01'!D86),(MOD((107-'V06 Calend 01'!C86),6)=0),(((107-'V06 Calend 01'!C86)/6)&lt;='V06 Calend 01'!E86)),IF((107=('V06 Calend 01'!C86+(6*'V06 Calend 01'!E86))),('V06 Calend 01'!H86-('V06 Calend 01'!I86*('V06 Calend 01'!E86-1))),'V06 Calend 01'!I86),0))+IF((107='V06 Calend 01'!D86),'V06 Calend 01'!J86,0))</f>
        <v>0</v>
      </c>
      <c r="DP86" s="2">
        <f>((IF((108='V06 Calend 01'!C86),('V06 Calend 01'!F86+'V06 Calend 01'!G86),0)+IF(AND(('V06 Calend 01'!E86&gt;0),(108&gt;'V06 Calend 01'!C86),(108&lt;'V06 Calend 01'!D86),(MOD((108-'V06 Calend 01'!C86),6)=0),(((108-'V06 Calend 01'!C86)/6)&lt;='V06 Calend 01'!E86)),IF((108=('V06 Calend 01'!C86+(6*'V06 Calend 01'!E86))),('V06 Calend 01'!H86-('V06 Calend 01'!I86*('V06 Calend 01'!E86-1))),'V06 Calend 01'!I86),0))+IF((108='V06 Calend 01'!D86),'V06 Calend 01'!J86,0))</f>
        <v>0</v>
      </c>
      <c r="DQ86" s="2">
        <f>((IF((109='V06 Calend 01'!C86),('V06 Calend 01'!F86+'V06 Calend 01'!G86),0)+IF(AND(('V06 Calend 01'!E86&gt;0),(109&gt;'V06 Calend 01'!C86),(109&lt;'V06 Calend 01'!D86),(MOD((109-'V06 Calend 01'!C86),6)=0),(((109-'V06 Calend 01'!C86)/6)&lt;='V06 Calend 01'!E86)),IF((109=('V06 Calend 01'!C86+(6*'V06 Calend 01'!E86))),('V06 Calend 01'!H86-('V06 Calend 01'!I86*('V06 Calend 01'!E86-1))),'V06 Calend 01'!I86),0))+IF((109='V06 Calend 01'!D86),'V06 Calend 01'!J86,0))</f>
        <v>0</v>
      </c>
      <c r="DR86" s="2">
        <f>((IF((110='V06 Calend 01'!C86),('V06 Calend 01'!F86+'V06 Calend 01'!G86),0)+IF(AND(('V06 Calend 01'!E86&gt;0),(110&gt;'V06 Calend 01'!C86),(110&lt;'V06 Calend 01'!D86),(MOD((110-'V06 Calend 01'!C86),6)=0),(((110-'V06 Calend 01'!C86)/6)&lt;='V06 Calend 01'!E86)),IF((110=('V06 Calend 01'!C86+(6*'V06 Calend 01'!E86))),('V06 Calend 01'!H86-('V06 Calend 01'!I86*('V06 Calend 01'!E86-1))),'V06 Calend 01'!I86),0))+IF((110='V06 Calend 01'!D86),'V06 Calend 01'!J86,0))</f>
        <v>0</v>
      </c>
      <c r="DS86" s="2">
        <f>((IF((111='V06 Calend 01'!C86),('V06 Calend 01'!F86+'V06 Calend 01'!G86),0)+IF(AND(('V06 Calend 01'!E86&gt;0),(111&gt;'V06 Calend 01'!C86),(111&lt;'V06 Calend 01'!D86),(MOD((111-'V06 Calend 01'!C86),6)=0),(((111-'V06 Calend 01'!C86)/6)&lt;='V06 Calend 01'!E86)),IF((111=('V06 Calend 01'!C86+(6*'V06 Calend 01'!E86))),('V06 Calend 01'!H86-('V06 Calend 01'!I86*('V06 Calend 01'!E86-1))),'V06 Calend 01'!I86),0))+IF((111='V06 Calend 01'!D86),'V06 Calend 01'!J86,0))</f>
        <v>0</v>
      </c>
      <c r="DT86" s="2">
        <f>((IF((112='V06 Calend 01'!C86),('V06 Calend 01'!F86+'V06 Calend 01'!G86),0)+IF(AND(('V06 Calend 01'!E86&gt;0),(112&gt;'V06 Calend 01'!C86),(112&lt;'V06 Calend 01'!D86),(MOD((112-'V06 Calend 01'!C86),6)=0),(((112-'V06 Calend 01'!C86)/6)&lt;='V06 Calend 01'!E86)),IF((112=('V06 Calend 01'!C86+(6*'V06 Calend 01'!E86))),('V06 Calend 01'!H86-('V06 Calend 01'!I86*('V06 Calend 01'!E86-1))),'V06 Calend 01'!I86),0))+IF((112='V06 Calend 01'!D86),'V06 Calend 01'!J86,0))</f>
        <v>0</v>
      </c>
      <c r="DU86" s="2">
        <f>((IF((113='V06 Calend 01'!C86),('V06 Calend 01'!F86+'V06 Calend 01'!G86),0)+IF(AND(('V06 Calend 01'!E86&gt;0),(113&gt;'V06 Calend 01'!C86),(113&lt;'V06 Calend 01'!D86),(MOD((113-'V06 Calend 01'!C86),6)=0),(((113-'V06 Calend 01'!C86)/6)&lt;='V06 Calend 01'!E86)),IF((113=('V06 Calend 01'!C86+(6*'V06 Calend 01'!E86))),('V06 Calend 01'!H86-('V06 Calend 01'!I86*('V06 Calend 01'!E86-1))),'V06 Calend 01'!I86),0))+IF((113='V06 Calend 01'!D86),'V06 Calend 01'!J86,0))</f>
        <v>0</v>
      </c>
      <c r="DV86" s="2">
        <f>((IF((114='V06 Calend 01'!C86),('V06 Calend 01'!F86+'V06 Calend 01'!G86),0)+IF(AND(('V06 Calend 01'!E86&gt;0),(114&gt;'V06 Calend 01'!C86),(114&lt;'V06 Calend 01'!D86),(MOD((114-'V06 Calend 01'!C86),6)=0),(((114-'V06 Calend 01'!C86)/6)&lt;='V06 Calend 01'!E86)),IF((114=('V06 Calend 01'!C86+(6*'V06 Calend 01'!E86))),('V06 Calend 01'!H86-('V06 Calend 01'!I86*('V06 Calend 01'!E86-1))),'V06 Calend 01'!I86),0))+IF((114='V06 Calend 01'!D86),'V06 Calend 01'!J86,0))</f>
        <v>0</v>
      </c>
      <c r="DW86" s="2">
        <f>((IF((115='V06 Calend 01'!C86),('V06 Calend 01'!F86+'V06 Calend 01'!G86),0)+IF(AND(('V06 Calend 01'!E86&gt;0),(115&gt;'V06 Calend 01'!C86),(115&lt;'V06 Calend 01'!D86),(MOD((115-'V06 Calend 01'!C86),6)=0),(((115-'V06 Calend 01'!C86)/6)&lt;='V06 Calend 01'!E86)),IF((115=('V06 Calend 01'!C86+(6*'V06 Calend 01'!E86))),('V06 Calend 01'!H86-('V06 Calend 01'!I86*('V06 Calend 01'!E86-1))),'V06 Calend 01'!I86),0))+IF((115='V06 Calend 01'!D86),'V06 Calend 01'!J86,0))</f>
        <v>0</v>
      </c>
      <c r="DX86" s="2">
        <f>((IF((116='V06 Calend 01'!C86),('V06 Calend 01'!F86+'V06 Calend 01'!G86),0)+IF(AND(('V06 Calend 01'!E86&gt;0),(116&gt;'V06 Calend 01'!C86),(116&lt;'V06 Calend 01'!D86),(MOD((116-'V06 Calend 01'!C86),6)=0),(((116-'V06 Calend 01'!C86)/6)&lt;='V06 Calend 01'!E86)),IF((116=('V06 Calend 01'!C86+(6*'V06 Calend 01'!E86))),('V06 Calend 01'!H86-('V06 Calend 01'!I86*('V06 Calend 01'!E86-1))),'V06 Calend 01'!I86),0))+IF((116='V06 Calend 01'!D86),'V06 Calend 01'!J86,0))</f>
        <v>0</v>
      </c>
      <c r="DY86" s="2">
        <f>((IF((117='V06 Calend 01'!C86),('V06 Calend 01'!F86+'V06 Calend 01'!G86),0)+IF(AND(('V06 Calend 01'!E86&gt;0),(117&gt;'V06 Calend 01'!C86),(117&lt;'V06 Calend 01'!D86),(MOD((117-'V06 Calend 01'!C86),6)=0),(((117-'V06 Calend 01'!C86)/6)&lt;='V06 Calend 01'!E86)),IF((117=('V06 Calend 01'!C86+(6*'V06 Calend 01'!E86))),('V06 Calend 01'!H86-('V06 Calend 01'!I86*('V06 Calend 01'!E86-1))),'V06 Calend 01'!I86),0))+IF((117='V06 Calend 01'!D86),'V06 Calend 01'!J86,0))</f>
        <v>0</v>
      </c>
      <c r="DZ86" s="2">
        <f>((IF((118='V06 Calend 01'!C86),('V06 Calend 01'!F86+'V06 Calend 01'!G86),0)+IF(AND(('V06 Calend 01'!E86&gt;0),(118&gt;'V06 Calend 01'!C86),(118&lt;'V06 Calend 01'!D86),(MOD((118-'V06 Calend 01'!C86),6)=0),(((118-'V06 Calend 01'!C86)/6)&lt;='V06 Calend 01'!E86)),IF((118=('V06 Calend 01'!C86+(6*'V06 Calend 01'!E86))),('V06 Calend 01'!H86-('V06 Calend 01'!I86*('V06 Calend 01'!E86-1))),'V06 Calend 01'!I86),0))+IF((118='V06 Calend 01'!D86),'V06 Calend 01'!J86,0))</f>
        <v>0</v>
      </c>
      <c r="EA86" s="2">
        <f>((IF((119='V06 Calend 01'!C86),('V06 Calend 01'!F86+'V06 Calend 01'!G86),0)+IF(AND(('V06 Calend 01'!E86&gt;0),(119&gt;'V06 Calend 01'!C86),(119&lt;'V06 Calend 01'!D86),(MOD((119-'V06 Calend 01'!C86),6)=0),(((119-'V06 Calend 01'!C86)/6)&lt;='V06 Calend 01'!E86)),IF((119=('V06 Calend 01'!C86+(6*'V06 Calend 01'!E86))),('V06 Calend 01'!H86-('V06 Calend 01'!I86*('V06 Calend 01'!E86-1))),'V06 Calend 01'!I86),0))+IF((119='V06 Calend 01'!D86),'V06 Calend 01'!J86,0))</f>
        <v>0</v>
      </c>
      <c r="EB86" s="2">
        <f>((IF((120='V06 Calend 01'!C86),('V06 Calend 01'!F86+'V06 Calend 01'!G86),0)+IF(AND(('V06 Calend 01'!E86&gt;0),(120&gt;'V06 Calend 01'!C86),(120&lt;'V06 Calend 01'!D86),(MOD((120-'V06 Calend 01'!C86),6)=0),(((120-'V06 Calend 01'!C86)/6)&lt;='V06 Calend 01'!E86)),IF((120=('V06 Calend 01'!C86+(6*'V06 Calend 01'!E86))),('V06 Calend 01'!H86-('V06 Calend 01'!I86*('V06 Calend 01'!E86-1))),'V06 Calend 01'!I86),0))+IF((120='V06 Calend 01'!D86),'V06 Calend 01'!J86,0))</f>
        <v>0</v>
      </c>
      <c r="EC86" s="2">
        <f>((IF((121='V06 Calend 01'!C86),('V06 Calend 01'!F86+'V06 Calend 01'!G86),0)+IF(AND(('V06 Calend 01'!E86&gt;0),(121&gt;'V06 Calend 01'!C86),(121&lt;'V06 Calend 01'!D86),(MOD((121-'V06 Calend 01'!C86),6)=0),(((121-'V06 Calend 01'!C86)/6)&lt;='V06 Calend 01'!E86)),IF((121=('V06 Calend 01'!C86+(6*'V06 Calend 01'!E86))),('V06 Calend 01'!H86-('V06 Calend 01'!I86*('V06 Calend 01'!E86-1))),'V06 Calend 01'!I86),0))+IF((121='V06 Calend 01'!D86),'V06 Calend 01'!J86,0))</f>
        <v>0</v>
      </c>
      <c r="ED86" s="2">
        <f>((IF((122='V06 Calend 01'!C86),('V06 Calend 01'!F86+'V06 Calend 01'!G86),0)+IF(AND(('V06 Calend 01'!E86&gt;0),(122&gt;'V06 Calend 01'!C86),(122&lt;'V06 Calend 01'!D86),(MOD((122-'V06 Calend 01'!C86),6)=0),(((122-'V06 Calend 01'!C86)/6)&lt;='V06 Calend 01'!E86)),IF((122=('V06 Calend 01'!C86+(6*'V06 Calend 01'!E86))),('V06 Calend 01'!H86-('V06 Calend 01'!I86*('V06 Calend 01'!E86-1))),'V06 Calend 01'!I86),0))+IF((122='V06 Calend 01'!D86),'V06 Calend 01'!J86,0))</f>
        <v>0</v>
      </c>
      <c r="EE86" s="2">
        <f>((IF((123='V06 Calend 01'!C86),('V06 Calend 01'!F86+'V06 Calend 01'!G86),0)+IF(AND(('V06 Calend 01'!E86&gt;0),(123&gt;'V06 Calend 01'!C86),(123&lt;'V06 Calend 01'!D86),(MOD((123-'V06 Calend 01'!C86),6)=0),(((123-'V06 Calend 01'!C86)/6)&lt;='V06 Calend 01'!E86)),IF((123=('V06 Calend 01'!C86+(6*'V06 Calend 01'!E86))),('V06 Calend 01'!H86-('V06 Calend 01'!I86*('V06 Calend 01'!E86-1))),'V06 Calend 01'!I86),0))+IF((123='V06 Calend 01'!D86),'V06 Calend 01'!J86,0))</f>
        <v>0</v>
      </c>
      <c r="EF86" s="2">
        <f>((IF((124='V06 Calend 01'!C86),('V06 Calend 01'!F86+'V06 Calend 01'!G86),0)+IF(AND(('V06 Calend 01'!E86&gt;0),(124&gt;'V06 Calend 01'!C86),(124&lt;'V06 Calend 01'!D86),(MOD((124-'V06 Calend 01'!C86),6)=0),(((124-'V06 Calend 01'!C86)/6)&lt;='V06 Calend 01'!E86)),IF((124=('V06 Calend 01'!C86+(6*'V06 Calend 01'!E86))),('V06 Calend 01'!H86-('V06 Calend 01'!I86*('V06 Calend 01'!E86-1))),'V06 Calend 01'!I86),0))+IF((124='V06 Calend 01'!D86),'V06 Calend 01'!J86,0))</f>
        <v>0</v>
      </c>
      <c r="EG86" s="2">
        <f>((IF((125='V06 Calend 01'!C86),('V06 Calend 01'!F86+'V06 Calend 01'!G86),0)+IF(AND(('V06 Calend 01'!E86&gt;0),(125&gt;'V06 Calend 01'!C86),(125&lt;'V06 Calend 01'!D86),(MOD((125-'V06 Calend 01'!C86),6)=0),(((125-'V06 Calend 01'!C86)/6)&lt;='V06 Calend 01'!E86)),IF((125=('V06 Calend 01'!C86+(6*'V06 Calend 01'!E86))),('V06 Calend 01'!H86-('V06 Calend 01'!I86*('V06 Calend 01'!E86-1))),'V06 Calend 01'!I86),0))+IF((125='V06 Calend 01'!D86),'V06 Calend 01'!J86,0))</f>
        <v>0</v>
      </c>
      <c r="EH86" s="2">
        <f>((IF((126='V06 Calend 01'!C86),('V06 Calend 01'!F86+'V06 Calend 01'!G86),0)+IF(AND(('V06 Calend 01'!E86&gt;0),(126&gt;'V06 Calend 01'!C86),(126&lt;'V06 Calend 01'!D86),(MOD((126-'V06 Calend 01'!C86),6)=0),(((126-'V06 Calend 01'!C86)/6)&lt;='V06 Calend 01'!E86)),IF((126=('V06 Calend 01'!C86+(6*'V06 Calend 01'!E86))),('V06 Calend 01'!H86-('V06 Calend 01'!I86*('V06 Calend 01'!E86-1))),'V06 Calend 01'!I86),0))+IF((126='V06 Calend 01'!D86),'V06 Calend 01'!J86,0))</f>
        <v>0</v>
      </c>
      <c r="EI86" s="2">
        <f>((IF((127='V06 Calend 01'!C86),('V06 Calend 01'!F86+'V06 Calend 01'!G86),0)+IF(AND(('V06 Calend 01'!E86&gt;0),(127&gt;'V06 Calend 01'!C86),(127&lt;'V06 Calend 01'!D86),(MOD((127-'V06 Calend 01'!C86),6)=0),(((127-'V06 Calend 01'!C86)/6)&lt;='V06 Calend 01'!E86)),IF((127=('V06 Calend 01'!C86+(6*'V06 Calend 01'!E86))),('V06 Calend 01'!H86-('V06 Calend 01'!I86*('V06 Calend 01'!E86-1))),'V06 Calend 01'!I86),0))+IF((127='V06 Calend 01'!D86),'V06 Calend 01'!J86,0))</f>
        <v>0</v>
      </c>
      <c r="EJ86" s="2">
        <f>((IF((128='V06 Calend 01'!C86),('V06 Calend 01'!F86+'V06 Calend 01'!G86),0)+IF(AND(('V06 Calend 01'!E86&gt;0),(128&gt;'V06 Calend 01'!C86),(128&lt;'V06 Calend 01'!D86),(MOD((128-'V06 Calend 01'!C86),6)=0),(((128-'V06 Calend 01'!C86)/6)&lt;='V06 Calend 01'!E86)),IF((128=('V06 Calend 01'!C86+(6*'V06 Calend 01'!E86))),('V06 Calend 01'!H86-('V06 Calend 01'!I86*('V06 Calend 01'!E86-1))),'V06 Calend 01'!I86),0))+IF((128='V06 Calend 01'!D86),'V06 Calend 01'!J86,0))</f>
        <v>0</v>
      </c>
      <c r="EK86" s="2">
        <f>((IF((129='V06 Calend 01'!C86),('V06 Calend 01'!F86+'V06 Calend 01'!G86),0)+IF(AND(('V06 Calend 01'!E86&gt;0),(129&gt;'V06 Calend 01'!C86),(129&lt;'V06 Calend 01'!D86),(MOD((129-'V06 Calend 01'!C86),6)=0),(((129-'V06 Calend 01'!C86)/6)&lt;='V06 Calend 01'!E86)),IF((129=('V06 Calend 01'!C86+(6*'V06 Calend 01'!E86))),('V06 Calend 01'!H86-('V06 Calend 01'!I86*('V06 Calend 01'!E86-1))),'V06 Calend 01'!I86),0))+IF((129='V06 Calend 01'!D86),'V06 Calend 01'!J86,0))</f>
        <v>0</v>
      </c>
      <c r="EL86" s="2">
        <f>((IF((130='V06 Calend 01'!C86),('V06 Calend 01'!F86+'V06 Calend 01'!G86),0)+IF(AND(('V06 Calend 01'!E86&gt;0),(130&gt;'V06 Calend 01'!C86),(130&lt;'V06 Calend 01'!D86),(MOD((130-'V06 Calend 01'!C86),6)=0),(((130-'V06 Calend 01'!C86)/6)&lt;='V06 Calend 01'!E86)),IF((130=('V06 Calend 01'!C86+(6*'V06 Calend 01'!E86))),('V06 Calend 01'!H86-('V06 Calend 01'!I86*('V06 Calend 01'!E86-1))),'V06 Calend 01'!I86),0))+IF((130='V06 Calend 01'!D86),'V06 Calend 01'!J86,0))</f>
        <v>0</v>
      </c>
      <c r="EM86" s="2">
        <f>((IF((131='V06 Calend 01'!C86),('V06 Calend 01'!F86+'V06 Calend 01'!G86),0)+IF(AND(('V06 Calend 01'!E86&gt;0),(131&gt;'V06 Calend 01'!C86),(131&lt;'V06 Calend 01'!D86),(MOD((131-'V06 Calend 01'!C86),6)=0),(((131-'V06 Calend 01'!C86)/6)&lt;='V06 Calend 01'!E86)),IF((131=('V06 Calend 01'!C86+(6*'V06 Calend 01'!E86))),('V06 Calend 01'!H86-('V06 Calend 01'!I86*('V06 Calend 01'!E86-1))),'V06 Calend 01'!I86),0))+IF((131='V06 Calend 01'!D86),'V06 Calend 01'!J86,0))</f>
        <v>0</v>
      </c>
      <c r="EN86" s="2">
        <f>((IF((132='V06 Calend 01'!C86),('V06 Calend 01'!F86+'V06 Calend 01'!G86),0)+IF(AND(('V06 Calend 01'!E86&gt;0),(132&gt;'V06 Calend 01'!C86),(132&lt;'V06 Calend 01'!D86),(MOD((132-'V06 Calend 01'!C86),6)=0),(((132-'V06 Calend 01'!C86)/6)&lt;='V06 Calend 01'!E86)),IF((132=('V06 Calend 01'!C86+(6*'V06 Calend 01'!E86))),('V06 Calend 01'!H86-('V06 Calend 01'!I86*('V06 Calend 01'!E86-1))),'V06 Calend 01'!I86),0))+IF((132='V06 Calend 01'!D86),'V06 Calend 01'!J86,0))</f>
        <v>0</v>
      </c>
      <c r="EO86" s="2">
        <f>((IF((133='V06 Calend 01'!C86),('V06 Calend 01'!F86+'V06 Calend 01'!G86),0)+IF(AND(('V06 Calend 01'!E86&gt;0),(133&gt;'V06 Calend 01'!C86),(133&lt;'V06 Calend 01'!D86),(MOD((133-'V06 Calend 01'!C86),6)=0),(((133-'V06 Calend 01'!C86)/6)&lt;='V06 Calend 01'!E86)),IF((133=('V06 Calend 01'!C86+(6*'V06 Calend 01'!E86))),('V06 Calend 01'!H86-('V06 Calend 01'!I86*('V06 Calend 01'!E86-1))),'V06 Calend 01'!I86),0))+IF((133='V06 Calend 01'!D86),'V06 Calend 01'!J86,0))</f>
        <v>0</v>
      </c>
      <c r="EP86" s="2">
        <f>((IF((134='V06 Calend 01'!C86),('V06 Calend 01'!F86+'V06 Calend 01'!G86),0)+IF(AND(('V06 Calend 01'!E86&gt;0),(134&gt;'V06 Calend 01'!C86),(134&lt;'V06 Calend 01'!D86),(MOD((134-'V06 Calend 01'!C86),6)=0),(((134-'V06 Calend 01'!C86)/6)&lt;='V06 Calend 01'!E86)),IF((134=('V06 Calend 01'!C86+(6*'V06 Calend 01'!E86))),('V06 Calend 01'!H86-('V06 Calend 01'!I86*('V06 Calend 01'!E86-1))),'V06 Calend 01'!I86),0))+IF((134='V06 Calend 01'!D86),'V06 Calend 01'!J86,0))</f>
        <v>0</v>
      </c>
      <c r="EQ86" s="2">
        <f>((IF((135='V06 Calend 01'!C86),('V06 Calend 01'!F86+'V06 Calend 01'!G86),0)+IF(AND(('V06 Calend 01'!E86&gt;0),(135&gt;'V06 Calend 01'!C86),(135&lt;'V06 Calend 01'!D86),(MOD((135-'V06 Calend 01'!C86),6)=0),(((135-'V06 Calend 01'!C86)/6)&lt;='V06 Calend 01'!E86)),IF((135=('V06 Calend 01'!C86+(6*'V06 Calend 01'!E86))),('V06 Calend 01'!H86-('V06 Calend 01'!I86*('V06 Calend 01'!E86-1))),'V06 Calend 01'!I86),0))+IF((135='V06 Calend 01'!D86),'V06 Calend 01'!J86,0))</f>
        <v>0</v>
      </c>
      <c r="ER86" s="2">
        <f>((IF((136='V06 Calend 01'!C86),('V06 Calend 01'!F86+'V06 Calend 01'!G86),0)+IF(AND(('V06 Calend 01'!E86&gt;0),(136&gt;'V06 Calend 01'!C86),(136&lt;'V06 Calend 01'!D86),(MOD((136-'V06 Calend 01'!C86),6)=0),(((136-'V06 Calend 01'!C86)/6)&lt;='V06 Calend 01'!E86)),IF((136=('V06 Calend 01'!C86+(6*'V06 Calend 01'!E86))),('V06 Calend 01'!H86-('V06 Calend 01'!I86*('V06 Calend 01'!E86-1))),'V06 Calend 01'!I86),0))+IF((136='V06 Calend 01'!D86),'V06 Calend 01'!J86,0))</f>
        <v>0</v>
      </c>
      <c r="ES86" s="2">
        <f>((IF((137='V06 Calend 01'!C86),('V06 Calend 01'!F86+'V06 Calend 01'!G86),0)+IF(AND(('V06 Calend 01'!E86&gt;0),(137&gt;'V06 Calend 01'!C86),(137&lt;'V06 Calend 01'!D86),(MOD((137-'V06 Calend 01'!C86),6)=0),(((137-'V06 Calend 01'!C86)/6)&lt;='V06 Calend 01'!E86)),IF((137=('V06 Calend 01'!C86+(6*'V06 Calend 01'!E86))),('V06 Calend 01'!H86-('V06 Calend 01'!I86*('V06 Calend 01'!E86-1))),'V06 Calend 01'!I86),0))+IF((137='V06 Calend 01'!D86),'V06 Calend 01'!J86,0))</f>
        <v>0</v>
      </c>
      <c r="ET86" s="2">
        <f>((IF((138='V06 Calend 01'!C86),('V06 Calend 01'!F86+'V06 Calend 01'!G86),0)+IF(AND(('V06 Calend 01'!E86&gt;0),(138&gt;'V06 Calend 01'!C86),(138&lt;'V06 Calend 01'!D86),(MOD((138-'V06 Calend 01'!C86),6)=0),(((138-'V06 Calend 01'!C86)/6)&lt;='V06 Calend 01'!E86)),IF((138=('V06 Calend 01'!C86+(6*'V06 Calend 01'!E86))),('V06 Calend 01'!H86-('V06 Calend 01'!I86*('V06 Calend 01'!E86-1))),'V06 Calend 01'!I86),0))+IF((138='V06 Calend 01'!D86),'V06 Calend 01'!J86,0))</f>
        <v>0</v>
      </c>
      <c r="EU86" s="2">
        <f>((IF((139='V06 Calend 01'!C86),('V06 Calend 01'!F86+'V06 Calend 01'!G86),0)+IF(AND(('V06 Calend 01'!E86&gt;0),(139&gt;'V06 Calend 01'!C86),(139&lt;'V06 Calend 01'!D86),(MOD((139-'V06 Calend 01'!C86),6)=0),(((139-'V06 Calend 01'!C86)/6)&lt;='V06 Calend 01'!E86)),IF((139=('V06 Calend 01'!C86+(6*'V06 Calend 01'!E86))),('V06 Calend 01'!H86-('V06 Calend 01'!I86*('V06 Calend 01'!E86-1))),'V06 Calend 01'!I86),0))+IF((139='V06 Calend 01'!D86),'V06 Calend 01'!J86,0))</f>
        <v>0</v>
      </c>
      <c r="EV86" s="2">
        <f>((IF((140='V06 Calend 01'!C86),('V06 Calend 01'!F86+'V06 Calend 01'!G86),0)+IF(AND(('V06 Calend 01'!E86&gt;0),(140&gt;'V06 Calend 01'!C86),(140&lt;'V06 Calend 01'!D86),(MOD((140-'V06 Calend 01'!C86),6)=0),(((140-'V06 Calend 01'!C86)/6)&lt;='V06 Calend 01'!E86)),IF((140=('V06 Calend 01'!C86+(6*'V06 Calend 01'!E86))),('V06 Calend 01'!H86-('V06 Calend 01'!I86*('V06 Calend 01'!E86-1))),'V06 Calend 01'!I86),0))+IF((140='V06 Calend 01'!D86),'V06 Calend 01'!J86,0))</f>
        <v>0</v>
      </c>
      <c r="EW86" s="2">
        <f>((IF((141='V06 Calend 01'!C86),('V06 Calend 01'!F86+'V06 Calend 01'!G86),0)+IF(AND(('V06 Calend 01'!E86&gt;0),(141&gt;'V06 Calend 01'!C86),(141&lt;'V06 Calend 01'!D86),(MOD((141-'V06 Calend 01'!C86),6)=0),(((141-'V06 Calend 01'!C86)/6)&lt;='V06 Calend 01'!E86)),IF((141=('V06 Calend 01'!C86+(6*'V06 Calend 01'!E86))),('V06 Calend 01'!H86-('V06 Calend 01'!I86*('V06 Calend 01'!E86-1))),'V06 Calend 01'!I86),0))+IF((141='V06 Calend 01'!D86),'V06 Calend 01'!J86,0))</f>
        <v>0</v>
      </c>
      <c r="EX86" s="2">
        <f>((IF((142='V06 Calend 01'!C86),('V06 Calend 01'!F86+'V06 Calend 01'!G86),0)+IF(AND(('V06 Calend 01'!E86&gt;0),(142&gt;'V06 Calend 01'!C86),(142&lt;'V06 Calend 01'!D86),(MOD((142-'V06 Calend 01'!C86),6)=0),(((142-'V06 Calend 01'!C86)/6)&lt;='V06 Calend 01'!E86)),IF((142=('V06 Calend 01'!C86+(6*'V06 Calend 01'!E86))),('V06 Calend 01'!H86-('V06 Calend 01'!I86*('V06 Calend 01'!E86-1))),'V06 Calend 01'!I86),0))+IF((142='V06 Calend 01'!D86),'V06 Calend 01'!J86,0))</f>
        <v>0</v>
      </c>
      <c r="EY86" s="2">
        <f>((IF((143='V06 Calend 01'!C86),('V06 Calend 01'!F86+'V06 Calend 01'!G86),0)+IF(AND(('V06 Calend 01'!E86&gt;0),(143&gt;'V06 Calend 01'!C86),(143&lt;'V06 Calend 01'!D86),(MOD((143-'V06 Calend 01'!C86),6)=0),(((143-'V06 Calend 01'!C86)/6)&lt;='V06 Calend 01'!E86)),IF((143=('V06 Calend 01'!C86+(6*'V06 Calend 01'!E86))),('V06 Calend 01'!H86-('V06 Calend 01'!I86*('V06 Calend 01'!E86-1))),'V06 Calend 01'!I86),0))+IF((143='V06 Calend 01'!D86),'V06 Calend 01'!J86,0))</f>
        <v>0</v>
      </c>
      <c r="EZ86" s="2">
        <f>((IF((144='V06 Calend 01'!C86),('V06 Calend 01'!F86+'V06 Calend 01'!G86),0)+IF(AND(('V06 Calend 01'!E86&gt;0),(144&gt;'V06 Calend 01'!C86),(144&lt;'V06 Calend 01'!D86),(MOD((144-'V06 Calend 01'!C86),6)=0),(((144-'V06 Calend 01'!C86)/6)&lt;='V06 Calend 01'!E86)),IF((144=('V06 Calend 01'!C86+(6*'V06 Calend 01'!E86))),('V06 Calend 01'!H86-('V06 Calend 01'!I86*('V06 Calend 01'!E86-1))),'V06 Calend 01'!I86),0))+IF((144='V06 Calend 01'!D86),'V06 Calend 01'!J86,0))</f>
        <v>0</v>
      </c>
      <c r="FA86" s="2">
        <f>((IF((145='V06 Calend 01'!C86),('V06 Calend 01'!F86+'V06 Calend 01'!G86),0)+IF(AND(('V06 Calend 01'!E86&gt;0),(145&gt;'V06 Calend 01'!C86),(145&lt;'V06 Calend 01'!D86),(MOD((145-'V06 Calend 01'!C86),6)=0),(((145-'V06 Calend 01'!C86)/6)&lt;='V06 Calend 01'!E86)),IF((145=('V06 Calend 01'!C86+(6*'V06 Calend 01'!E86))),('V06 Calend 01'!H86-('V06 Calend 01'!I86*('V06 Calend 01'!E86-1))),'V06 Calend 01'!I86),0))+IF((145='V06 Calend 01'!D86),'V06 Calend 01'!J86,0))</f>
        <v>0</v>
      </c>
      <c r="FB86" s="2">
        <f>((IF((146='V06 Calend 01'!C86),('V06 Calend 01'!F86+'V06 Calend 01'!G86),0)+IF(AND(('V06 Calend 01'!E86&gt;0),(146&gt;'V06 Calend 01'!C86),(146&lt;'V06 Calend 01'!D86),(MOD((146-'V06 Calend 01'!C86),6)=0),(((146-'V06 Calend 01'!C86)/6)&lt;='V06 Calend 01'!E86)),IF((146=('V06 Calend 01'!C86+(6*'V06 Calend 01'!E86))),('V06 Calend 01'!H86-('V06 Calend 01'!I86*('V06 Calend 01'!E86-1))),'V06 Calend 01'!I86),0))+IF((146='V06 Calend 01'!D86),'V06 Calend 01'!J86,0))</f>
        <v>0</v>
      </c>
      <c r="FC86" s="2">
        <f>((IF((147='V06 Calend 01'!C86),('V06 Calend 01'!F86+'V06 Calend 01'!G86),0)+IF(AND(('V06 Calend 01'!E86&gt;0),(147&gt;'V06 Calend 01'!C86),(147&lt;'V06 Calend 01'!D86),(MOD((147-'V06 Calend 01'!C86),6)=0),(((147-'V06 Calend 01'!C86)/6)&lt;='V06 Calend 01'!E86)),IF((147=('V06 Calend 01'!C86+(6*'V06 Calend 01'!E86))),('V06 Calend 01'!H86-('V06 Calend 01'!I86*('V06 Calend 01'!E86-1))),'V06 Calend 01'!I86),0))+IF((147='V06 Calend 01'!D86),'V06 Calend 01'!J86,0))</f>
        <v>0</v>
      </c>
      <c r="FD86" s="2">
        <f>((IF((148='V06 Calend 01'!C86),('V06 Calend 01'!F86+'V06 Calend 01'!G86),0)+IF(AND(('V06 Calend 01'!E86&gt;0),(148&gt;'V06 Calend 01'!C86),(148&lt;'V06 Calend 01'!D86),(MOD((148-'V06 Calend 01'!C86),6)=0),(((148-'V06 Calend 01'!C86)/6)&lt;='V06 Calend 01'!E86)),IF((148=('V06 Calend 01'!C86+(6*'V06 Calend 01'!E86))),('V06 Calend 01'!H86-('V06 Calend 01'!I86*('V06 Calend 01'!E86-1))),'V06 Calend 01'!I86),0))+IF((148='V06 Calend 01'!D86),'V06 Calend 01'!J86,0))</f>
        <v>0</v>
      </c>
      <c r="FE86" s="2">
        <f>((IF((149='V06 Calend 01'!C86),('V06 Calend 01'!F86+'V06 Calend 01'!G86),0)+IF(AND(('V06 Calend 01'!E86&gt;0),(149&gt;'V06 Calend 01'!C86),(149&lt;'V06 Calend 01'!D86),(MOD((149-'V06 Calend 01'!C86),6)=0),(((149-'V06 Calend 01'!C86)/6)&lt;='V06 Calend 01'!E86)),IF((149=('V06 Calend 01'!C86+(6*'V06 Calend 01'!E86))),('V06 Calend 01'!H86-('V06 Calend 01'!I86*('V06 Calend 01'!E86-1))),'V06 Calend 01'!I86),0))+IF((149='V06 Calend 01'!D86),'V06 Calend 01'!J86,0))</f>
        <v>0</v>
      </c>
      <c r="FF86" s="2">
        <f>((IF((150='V06 Calend 01'!C86),('V06 Calend 01'!F86+'V06 Calend 01'!G86),0)+IF(AND(('V06 Calend 01'!E86&gt;0),(150&gt;'V06 Calend 01'!C86),(150&lt;'V06 Calend 01'!D86),(MOD((150-'V06 Calend 01'!C86),6)=0),(((150-'V06 Calend 01'!C86)/6)&lt;='V06 Calend 01'!E86)),IF((150=('V06 Calend 01'!C86+(6*'V06 Calend 01'!E86))),('V06 Calend 01'!H86-('V06 Calend 01'!I86*('V06 Calend 01'!E86-1))),'V06 Calend 01'!I86),0))+IF((150='V06 Calend 01'!D86),'V06 Calend 01'!J86,0))</f>
        <v>0</v>
      </c>
      <c r="FG86" s="2">
        <f>((IF((151='V06 Calend 01'!C86),('V06 Calend 01'!F86+'V06 Calend 01'!G86),0)+IF(AND(('V06 Calend 01'!E86&gt;0),(151&gt;'V06 Calend 01'!C86),(151&lt;'V06 Calend 01'!D86),(MOD((151-'V06 Calend 01'!C86),6)=0),(((151-'V06 Calend 01'!C86)/6)&lt;='V06 Calend 01'!E86)),IF((151=('V06 Calend 01'!C86+(6*'V06 Calend 01'!E86))),('V06 Calend 01'!H86-('V06 Calend 01'!I86*('V06 Calend 01'!E86-1))),'V06 Calend 01'!I86),0))+IF((151='V06 Calend 01'!D86),'V06 Calend 01'!J86,0))</f>
        <v>0</v>
      </c>
      <c r="FH86" s="2">
        <f>((IF((152='V06 Calend 01'!C86),('V06 Calend 01'!F86+'V06 Calend 01'!G86),0)+IF(AND(('V06 Calend 01'!E86&gt;0),(152&gt;'V06 Calend 01'!C86),(152&lt;'V06 Calend 01'!D86),(MOD((152-'V06 Calend 01'!C86),6)=0),(((152-'V06 Calend 01'!C86)/6)&lt;='V06 Calend 01'!E86)),IF((152=('V06 Calend 01'!C86+(6*'V06 Calend 01'!E86))),('V06 Calend 01'!H86-('V06 Calend 01'!I86*('V06 Calend 01'!E86-1))),'V06 Calend 01'!I86),0))+IF((152='V06 Calend 01'!D86),'V06 Calend 01'!J86,0))</f>
        <v>0</v>
      </c>
      <c r="FI86" s="2">
        <f>((IF((153='V06 Calend 01'!C86),('V06 Calend 01'!F86+'V06 Calend 01'!G86),0)+IF(AND(('V06 Calend 01'!E86&gt;0),(153&gt;'V06 Calend 01'!C86),(153&lt;'V06 Calend 01'!D86),(MOD((153-'V06 Calend 01'!C86),6)=0),(((153-'V06 Calend 01'!C86)/6)&lt;='V06 Calend 01'!E86)),IF((153=('V06 Calend 01'!C86+(6*'V06 Calend 01'!E86))),('V06 Calend 01'!H86-('V06 Calend 01'!I86*('V06 Calend 01'!E86-1))),'V06 Calend 01'!I86),0))+IF((153='V06 Calend 01'!D86),'V06 Calend 01'!J86,0))</f>
        <v>0</v>
      </c>
      <c r="FJ86" s="2">
        <f>((IF((154='V06 Calend 01'!C86),('V06 Calend 01'!F86+'V06 Calend 01'!G86),0)+IF(AND(('V06 Calend 01'!E86&gt;0),(154&gt;'V06 Calend 01'!C86),(154&lt;'V06 Calend 01'!D86),(MOD((154-'V06 Calend 01'!C86),6)=0),(((154-'V06 Calend 01'!C86)/6)&lt;='V06 Calend 01'!E86)),IF((154=('V06 Calend 01'!C86+(6*'V06 Calend 01'!E86))),('V06 Calend 01'!H86-('V06 Calend 01'!I86*('V06 Calend 01'!E86-1))),'V06 Calend 01'!I86),0))+IF((154='V06 Calend 01'!D86),'V06 Calend 01'!J86,0))</f>
        <v>0</v>
      </c>
      <c r="FK86" s="2">
        <f>((IF((155='V06 Calend 01'!C86),('V06 Calend 01'!F86+'V06 Calend 01'!G86),0)+IF(AND(('V06 Calend 01'!E86&gt;0),(155&gt;'V06 Calend 01'!C86),(155&lt;'V06 Calend 01'!D86),(MOD((155-'V06 Calend 01'!C86),6)=0),(((155-'V06 Calend 01'!C86)/6)&lt;='V06 Calend 01'!E86)),IF((155=('V06 Calend 01'!C86+(6*'V06 Calend 01'!E86))),('V06 Calend 01'!H86-('V06 Calend 01'!I86*('V06 Calend 01'!E86-1))),'V06 Calend 01'!I86),0))+IF((155='V06 Calend 01'!D86),'V06 Calend 01'!J86,0))</f>
        <v>0</v>
      </c>
      <c r="FL86" s="2">
        <f>((IF((156='V06 Calend 01'!C86),('V06 Calend 01'!F86+'V06 Calend 01'!G86),0)+IF(AND(('V06 Calend 01'!E86&gt;0),(156&gt;'V06 Calend 01'!C86),(156&lt;'V06 Calend 01'!D86),(MOD((156-'V06 Calend 01'!C86),6)=0),(((156-'V06 Calend 01'!C86)/6)&lt;='V06 Calend 01'!E86)),IF((156=('V06 Calend 01'!C86+(6*'V06 Calend 01'!E86))),('V06 Calend 01'!H86-('V06 Calend 01'!I86*('V06 Calend 01'!E86-1))),'V06 Calend 01'!I86),0))+IF((156='V06 Calend 01'!D86),'V06 Calend 01'!J86,0))</f>
        <v>0</v>
      </c>
      <c r="FM86" s="2">
        <f>((IF((157='V06 Calend 01'!C86),('V06 Calend 01'!F86+'V06 Calend 01'!G86),0)+IF(AND(('V06 Calend 01'!E86&gt;0),(157&gt;'V06 Calend 01'!C86),(157&lt;'V06 Calend 01'!D86),(MOD((157-'V06 Calend 01'!C86),6)=0),(((157-'V06 Calend 01'!C86)/6)&lt;='V06 Calend 01'!E86)),IF((157=('V06 Calend 01'!C86+(6*'V06 Calend 01'!E86))),('V06 Calend 01'!H86-('V06 Calend 01'!I86*('V06 Calend 01'!E86-1))),'V06 Calend 01'!I86),0))+IF((157='V06 Calend 01'!D86),'V06 Calend 01'!J86,0))</f>
        <v>0</v>
      </c>
      <c r="FN86" s="2">
        <f>((IF((158='V06 Calend 01'!C86),('V06 Calend 01'!F86+'V06 Calend 01'!G86),0)+IF(AND(('V06 Calend 01'!E86&gt;0),(158&gt;'V06 Calend 01'!C86),(158&lt;'V06 Calend 01'!D86),(MOD((158-'V06 Calend 01'!C86),6)=0),(((158-'V06 Calend 01'!C86)/6)&lt;='V06 Calend 01'!E86)),IF((158=('V06 Calend 01'!C86+(6*'V06 Calend 01'!E86))),('V06 Calend 01'!H86-('V06 Calend 01'!I86*('V06 Calend 01'!E86-1))),'V06 Calend 01'!I86),0))+IF((158='V06 Calend 01'!D86),'V06 Calend 01'!J86,0))</f>
        <v>0</v>
      </c>
      <c r="FO86" s="2">
        <f>((IF((159='V06 Calend 01'!C86),('V06 Calend 01'!F86+'V06 Calend 01'!G86),0)+IF(AND(('V06 Calend 01'!E86&gt;0),(159&gt;'V06 Calend 01'!C86),(159&lt;'V06 Calend 01'!D86),(MOD((159-'V06 Calend 01'!C86),6)=0),(((159-'V06 Calend 01'!C86)/6)&lt;='V06 Calend 01'!E86)),IF((159=('V06 Calend 01'!C86+(6*'V06 Calend 01'!E86))),('V06 Calend 01'!H86-('V06 Calend 01'!I86*('V06 Calend 01'!E86-1))),'V06 Calend 01'!I86),0))+IF((159='V06 Calend 01'!D86),'V06 Calend 01'!J86,0))</f>
        <v>0</v>
      </c>
      <c r="FP86" s="2">
        <f>((IF((160='V06 Calend 01'!C86),('V06 Calend 01'!F86+'V06 Calend 01'!G86),0)+IF(AND(('V06 Calend 01'!E86&gt;0),(160&gt;'V06 Calend 01'!C86),(160&lt;'V06 Calend 01'!D86),(MOD((160-'V06 Calend 01'!C86),6)=0),(((160-'V06 Calend 01'!C86)/6)&lt;='V06 Calend 01'!E86)),IF((160=('V06 Calend 01'!C86+(6*'V06 Calend 01'!E86))),('V06 Calend 01'!H86-('V06 Calend 01'!I86*('V06 Calend 01'!E86-1))),'V06 Calend 01'!I86),0))+IF((160='V06 Calend 01'!D86),'V06 Calend 01'!J86,0))</f>
        <v>0</v>
      </c>
      <c r="FQ86" s="2">
        <f>((IF((161='V06 Calend 01'!C86),('V06 Calend 01'!F86+'V06 Calend 01'!G86),0)+IF(AND(('V06 Calend 01'!E86&gt;0),(161&gt;'V06 Calend 01'!C86),(161&lt;'V06 Calend 01'!D86),(MOD((161-'V06 Calend 01'!C86),6)=0),(((161-'V06 Calend 01'!C86)/6)&lt;='V06 Calend 01'!E86)),IF((161=('V06 Calend 01'!C86+(6*'V06 Calend 01'!E86))),('V06 Calend 01'!H86-('V06 Calend 01'!I86*('V06 Calend 01'!E86-1))),'V06 Calend 01'!I86),0))+IF((161='V06 Calend 01'!D86),'V06 Calend 01'!J86,0))</f>
        <v>0</v>
      </c>
      <c r="FR86" s="2">
        <f>((IF((162='V06 Calend 01'!C86),('V06 Calend 01'!F86+'V06 Calend 01'!G86),0)+IF(AND(('V06 Calend 01'!E86&gt;0),(162&gt;'V06 Calend 01'!C86),(162&lt;'V06 Calend 01'!D86),(MOD((162-'V06 Calend 01'!C86),6)=0),(((162-'V06 Calend 01'!C86)/6)&lt;='V06 Calend 01'!E86)),IF((162=('V06 Calend 01'!C86+(6*'V06 Calend 01'!E86))),('V06 Calend 01'!H86-('V06 Calend 01'!I86*('V06 Calend 01'!E86-1))),'V06 Calend 01'!I86),0))+IF((162='V06 Calend 01'!D86),'V06 Calend 01'!J86,0))</f>
        <v>0</v>
      </c>
      <c r="FS86" s="2">
        <f>((IF((163='V06 Calend 01'!C86),('V06 Calend 01'!F86+'V06 Calend 01'!G86),0)+IF(AND(('V06 Calend 01'!E86&gt;0),(163&gt;'V06 Calend 01'!C86),(163&lt;'V06 Calend 01'!D86),(MOD((163-'V06 Calend 01'!C86),6)=0),(((163-'V06 Calend 01'!C86)/6)&lt;='V06 Calend 01'!E86)),IF((163=('V06 Calend 01'!C86+(6*'V06 Calend 01'!E86))),('V06 Calend 01'!H86-('V06 Calend 01'!I86*('V06 Calend 01'!E86-1))),'V06 Calend 01'!I86),0))+IF((163='V06 Calend 01'!D86),'V06 Calend 01'!J86,0))</f>
        <v>0</v>
      </c>
      <c r="FT86" s="2">
        <f>((IF((164='V06 Calend 01'!C86),('V06 Calend 01'!F86+'V06 Calend 01'!G86),0)+IF(AND(('V06 Calend 01'!E86&gt;0),(164&gt;'V06 Calend 01'!C86),(164&lt;'V06 Calend 01'!D86),(MOD((164-'V06 Calend 01'!C86),6)=0),(((164-'V06 Calend 01'!C86)/6)&lt;='V06 Calend 01'!E86)),IF((164=('V06 Calend 01'!C86+(6*'V06 Calend 01'!E86))),('V06 Calend 01'!H86-('V06 Calend 01'!I86*('V06 Calend 01'!E86-1))),'V06 Calend 01'!I86),0))+IF((164='V06 Calend 01'!D86),'V06 Calend 01'!J86,0))</f>
        <v>0</v>
      </c>
      <c r="FU86" s="2">
        <f>((IF((165='V06 Calend 01'!C86),('V06 Calend 01'!F86+'V06 Calend 01'!G86),0)+IF(AND(('V06 Calend 01'!E86&gt;0),(165&gt;'V06 Calend 01'!C86),(165&lt;'V06 Calend 01'!D86),(MOD((165-'V06 Calend 01'!C86),6)=0),(((165-'V06 Calend 01'!C86)/6)&lt;='V06 Calend 01'!E86)),IF((165=('V06 Calend 01'!C86+(6*'V06 Calend 01'!E86))),('V06 Calend 01'!H86-('V06 Calend 01'!I86*('V06 Calend 01'!E86-1))),'V06 Calend 01'!I86),0))+IF((165='V06 Calend 01'!D86),'V06 Calend 01'!J86,0))</f>
        <v>0</v>
      </c>
      <c r="FV86" s="2">
        <f>((IF((166='V06 Calend 01'!C86),('V06 Calend 01'!F86+'V06 Calend 01'!G86),0)+IF(AND(('V06 Calend 01'!E86&gt;0),(166&gt;'V06 Calend 01'!C86),(166&lt;'V06 Calend 01'!D86),(MOD((166-'V06 Calend 01'!C86),6)=0),(((166-'V06 Calend 01'!C86)/6)&lt;='V06 Calend 01'!E86)),IF((166=('V06 Calend 01'!C86+(6*'V06 Calend 01'!E86))),('V06 Calend 01'!H86-('V06 Calend 01'!I86*('V06 Calend 01'!E86-1))),'V06 Calend 01'!I86),0))+IF((166='V06 Calend 01'!D86),'V06 Calend 01'!J86,0))</f>
        <v>0</v>
      </c>
      <c r="FW86" s="2">
        <f>((IF((167='V06 Calend 01'!C86),('V06 Calend 01'!F86+'V06 Calend 01'!G86),0)+IF(AND(('V06 Calend 01'!E86&gt;0),(167&gt;'V06 Calend 01'!C86),(167&lt;'V06 Calend 01'!D86),(MOD((167-'V06 Calend 01'!C86),6)=0),(((167-'V06 Calend 01'!C86)/6)&lt;='V06 Calend 01'!E86)),IF((167=('V06 Calend 01'!C86+(6*'V06 Calend 01'!E86))),('V06 Calend 01'!H86-('V06 Calend 01'!I86*('V06 Calend 01'!E86-1))),'V06 Calend 01'!I86),0))+IF((167='V06 Calend 01'!D86),'V06 Calend 01'!J86,0))</f>
        <v>0</v>
      </c>
      <c r="FX86" s="2">
        <f>((IF((168='V06 Calend 01'!C86),('V06 Calend 01'!F86+'V06 Calend 01'!G86),0)+IF(AND(('V06 Calend 01'!E86&gt;0),(168&gt;'V06 Calend 01'!C86),(168&lt;'V06 Calend 01'!D86),(MOD((168-'V06 Calend 01'!C86),6)=0),(((168-'V06 Calend 01'!C86)/6)&lt;='V06 Calend 01'!E86)),IF((168=('V06 Calend 01'!C86+(6*'V06 Calend 01'!E86))),('V06 Calend 01'!H86-('V06 Calend 01'!I86*('V06 Calend 01'!E86-1))),'V06 Calend 01'!I86),0))+IF((168='V06 Calend 01'!D86),'V06 Calend 01'!J86,0))</f>
        <v>0</v>
      </c>
      <c r="FY86" s="2">
        <f>((IF((169='V06 Calend 01'!C86),('V06 Calend 01'!F86+'V06 Calend 01'!G86),0)+IF(AND(('V06 Calend 01'!E86&gt;0),(169&gt;'V06 Calend 01'!C86),(169&lt;'V06 Calend 01'!D86),(MOD((169-'V06 Calend 01'!C86),6)=0),(((169-'V06 Calend 01'!C86)/6)&lt;='V06 Calend 01'!E86)),IF((169=('V06 Calend 01'!C86+(6*'V06 Calend 01'!E86))),('V06 Calend 01'!H86-('V06 Calend 01'!I86*('V06 Calend 01'!E86-1))),'V06 Calend 01'!I86),0))+IF((169='V06 Calend 01'!D86),'V06 Calend 01'!J86,0))</f>
        <v>0</v>
      </c>
      <c r="FZ86" s="2">
        <f>((IF((170='V06 Calend 01'!C86),('V06 Calend 01'!F86+'V06 Calend 01'!G86),0)+IF(AND(('V06 Calend 01'!E86&gt;0),(170&gt;'V06 Calend 01'!C86),(170&lt;'V06 Calend 01'!D86),(MOD((170-'V06 Calend 01'!C86),6)=0),(((170-'V06 Calend 01'!C86)/6)&lt;='V06 Calend 01'!E86)),IF((170=('V06 Calend 01'!C86+(6*'V06 Calend 01'!E86))),('V06 Calend 01'!H86-('V06 Calend 01'!I86*('V06 Calend 01'!E86-1))),'V06 Calend 01'!I86),0))+IF((170='V06 Calend 01'!D86),'V06 Calend 01'!J86,0))</f>
        <v>0</v>
      </c>
      <c r="GA86" s="2">
        <f>((IF((171='V06 Calend 01'!C86),('V06 Calend 01'!F86+'V06 Calend 01'!G86),0)+IF(AND(('V06 Calend 01'!E86&gt;0),(171&gt;'V06 Calend 01'!C86),(171&lt;'V06 Calend 01'!D86),(MOD((171-'V06 Calend 01'!C86),6)=0),(((171-'V06 Calend 01'!C86)/6)&lt;='V06 Calend 01'!E86)),IF((171=('V06 Calend 01'!C86+(6*'V06 Calend 01'!E86))),('V06 Calend 01'!H86-('V06 Calend 01'!I86*('V06 Calend 01'!E86-1))),'V06 Calend 01'!I86),0))+IF((171='V06 Calend 01'!D86),'V06 Calend 01'!J86,0))</f>
        <v>0</v>
      </c>
      <c r="GB86" s="2">
        <f>((IF((172='V06 Calend 01'!C86),('V06 Calend 01'!F86+'V06 Calend 01'!G86),0)+IF(AND(('V06 Calend 01'!E86&gt;0),(172&gt;'V06 Calend 01'!C86),(172&lt;'V06 Calend 01'!D86),(MOD((172-'V06 Calend 01'!C86),6)=0),(((172-'V06 Calend 01'!C86)/6)&lt;='V06 Calend 01'!E86)),IF((172=('V06 Calend 01'!C86+(6*'V06 Calend 01'!E86))),('V06 Calend 01'!H86-('V06 Calend 01'!I86*('V06 Calend 01'!E86-1))),'V06 Calend 01'!I86),0))+IF((172='V06 Calend 01'!D86),'V06 Calend 01'!J86,0))</f>
        <v>0</v>
      </c>
      <c r="GC86" s="2">
        <f>((IF((173='V06 Calend 01'!C86),('V06 Calend 01'!F86+'V06 Calend 01'!G86),0)+IF(AND(('V06 Calend 01'!E86&gt;0),(173&gt;'V06 Calend 01'!C86),(173&lt;'V06 Calend 01'!D86),(MOD((173-'V06 Calend 01'!C86),6)=0),(((173-'V06 Calend 01'!C86)/6)&lt;='V06 Calend 01'!E86)),IF((173=('V06 Calend 01'!C86+(6*'V06 Calend 01'!E86))),('V06 Calend 01'!H86-('V06 Calend 01'!I86*('V06 Calend 01'!E86-1))),'V06 Calend 01'!I86),0))+IF((173='V06 Calend 01'!D86),'V06 Calend 01'!J86,0))</f>
        <v>0</v>
      </c>
      <c r="GD86" s="2">
        <f>((IF((174='V06 Calend 01'!C86),('V06 Calend 01'!F86+'V06 Calend 01'!G86),0)+IF(AND(('V06 Calend 01'!E86&gt;0),(174&gt;'V06 Calend 01'!C86),(174&lt;'V06 Calend 01'!D86),(MOD((174-'V06 Calend 01'!C86),6)=0),(((174-'V06 Calend 01'!C86)/6)&lt;='V06 Calend 01'!E86)),IF((174=('V06 Calend 01'!C86+(6*'V06 Calend 01'!E86))),('V06 Calend 01'!H86-('V06 Calend 01'!I86*('V06 Calend 01'!E86-1))),'V06 Calend 01'!I86),0))+IF((174='V06 Calend 01'!D86),'V06 Calend 01'!J86,0))</f>
        <v>0</v>
      </c>
      <c r="GE86" s="2">
        <f>((IF((175='V06 Calend 01'!C86),('V06 Calend 01'!F86+'V06 Calend 01'!G86),0)+IF(AND(('V06 Calend 01'!E86&gt;0),(175&gt;'V06 Calend 01'!C86),(175&lt;'V06 Calend 01'!D86),(MOD((175-'V06 Calend 01'!C86),6)=0),(((175-'V06 Calend 01'!C86)/6)&lt;='V06 Calend 01'!E86)),IF((175=('V06 Calend 01'!C86+(6*'V06 Calend 01'!E86))),('V06 Calend 01'!H86-('V06 Calend 01'!I86*('V06 Calend 01'!E86-1))),'V06 Calend 01'!I86),0))+IF((175='V06 Calend 01'!D86),'V06 Calend 01'!J86,0))</f>
        <v>0</v>
      </c>
      <c r="GF86" s="2">
        <f>((IF((176='V06 Calend 01'!C86),('V06 Calend 01'!F86+'V06 Calend 01'!G86),0)+IF(AND(('V06 Calend 01'!E86&gt;0),(176&gt;'V06 Calend 01'!C86),(176&lt;'V06 Calend 01'!D86),(MOD((176-'V06 Calend 01'!C86),6)=0),(((176-'V06 Calend 01'!C86)/6)&lt;='V06 Calend 01'!E86)),IF((176=('V06 Calend 01'!C86+(6*'V06 Calend 01'!E86))),('V06 Calend 01'!H86-('V06 Calend 01'!I86*('V06 Calend 01'!E86-1))),'V06 Calend 01'!I86),0))+IF((176='V06 Calend 01'!D86),'V06 Calend 01'!J86,0))</f>
        <v>0</v>
      </c>
      <c r="GG86" s="2">
        <f>((IF((177='V06 Calend 01'!C86),('V06 Calend 01'!F86+'V06 Calend 01'!G86),0)+IF(AND(('V06 Calend 01'!E86&gt;0),(177&gt;'V06 Calend 01'!C86),(177&lt;'V06 Calend 01'!D86),(MOD((177-'V06 Calend 01'!C86),6)=0),(((177-'V06 Calend 01'!C86)/6)&lt;='V06 Calend 01'!E86)),IF((177=('V06 Calend 01'!C86+(6*'V06 Calend 01'!E86))),('V06 Calend 01'!H86-('V06 Calend 01'!I86*('V06 Calend 01'!E86-1))),'V06 Calend 01'!I86),0))+IF((177='V06 Calend 01'!D86),'V06 Calend 01'!J86,0))</f>
        <v>0</v>
      </c>
      <c r="GH86" s="2">
        <f>((IF((178='V06 Calend 01'!C86),('V06 Calend 01'!F86+'V06 Calend 01'!G86),0)+IF(AND(('V06 Calend 01'!E86&gt;0),(178&gt;'V06 Calend 01'!C86),(178&lt;'V06 Calend 01'!D86),(MOD((178-'V06 Calend 01'!C86),6)=0),(((178-'V06 Calend 01'!C86)/6)&lt;='V06 Calend 01'!E86)),IF((178=('V06 Calend 01'!C86+(6*'V06 Calend 01'!E86))),('V06 Calend 01'!H86-('V06 Calend 01'!I86*('V06 Calend 01'!E86-1))),'V06 Calend 01'!I86),0))+IF((178='V06 Calend 01'!D86),'V06 Calend 01'!J86,0))</f>
        <v>0</v>
      </c>
      <c r="GI86" s="2">
        <f>((IF((179='V06 Calend 01'!C86),('V06 Calend 01'!F86+'V06 Calend 01'!G86),0)+IF(AND(('V06 Calend 01'!E86&gt;0),(179&gt;'V06 Calend 01'!C86),(179&lt;'V06 Calend 01'!D86),(MOD((179-'V06 Calend 01'!C86),6)=0),(((179-'V06 Calend 01'!C86)/6)&lt;='V06 Calend 01'!E86)),IF((179=('V06 Calend 01'!C86+(6*'V06 Calend 01'!E86))),('V06 Calend 01'!H86-('V06 Calend 01'!I86*('V06 Calend 01'!E86-1))),'V06 Calend 01'!I86),0))+IF((179='V06 Calend 01'!D86),'V06 Calend 01'!J86,0))</f>
        <v>0</v>
      </c>
      <c r="GJ86" s="2">
        <f>((IF((180='V06 Calend 01'!C86),('V06 Calend 01'!F86+'V06 Calend 01'!G86),0)+IF(AND(('V06 Calend 01'!E86&gt;0),(180&gt;'V06 Calend 01'!C86),(180&lt;'V06 Calend 01'!D86),(MOD((180-'V06 Calend 01'!C86),6)=0),(((180-'V06 Calend 01'!C86)/6)&lt;='V06 Calend 01'!E86)),IF((180=('V06 Calend 01'!C86+(6*'V06 Calend 01'!E86))),('V06 Calend 01'!H86-('V06 Calend 01'!I86*('V06 Calend 01'!E86-1))),'V06 Calend 01'!I86),0))+IF((180='V06 Calend 01'!D86),'V06 Calend 01'!J86,0))</f>
        <v>0</v>
      </c>
    </row>
    <row r="87" spans="1:192">
      <c r="A87" s="3" t="str">
        <f>'V06 Unidades'!$A$87</f>
        <v>1003</v>
      </c>
      <c r="B87" s="2">
        <f>'V06 Unidades'!$H$87</f>
        <v>500561.22</v>
      </c>
      <c r="C87" s="4">
        <f>('V06 Unidades'!$I$87+'V06 Controlos'!$B$37)</f>
        <v>13</v>
      </c>
      <c r="D87" s="4">
        <f>IF(('V06 Controlos'!$B$38&gt;0),MAX(('V06 Unidades'!$L$87+'V06 Controlos'!$B$37),(30+'V06 Controlos'!$B$38)),('V06 Unidades'!$L$87+'V06 Controlos'!$B$37))</f>
        <v>29</v>
      </c>
      <c r="E87" s="4">
        <f>MAX(0,INT(((('V06 Calend 01'!D87-'V06 Calend 01'!C87)-1)/6)))</f>
        <v>2</v>
      </c>
      <c r="F87" s="2">
        <f>ROUND(('V06 Calend 01'!B87*0.05),2)</f>
        <v>25028.06</v>
      </c>
      <c r="G87" s="2">
        <f>ROUND(('V06 Calend 01'!B87*0.2),2)</f>
        <v>100112.24</v>
      </c>
      <c r="H87" s="2">
        <f>ROUND(('V06 Calend 01'!B87*0.55),2)</f>
        <v>275308.67</v>
      </c>
      <c r="I87" s="2">
        <f>ROUND(('V06 Calend 01'!H87/MAX(1,'V06 Calend 01'!E87)),2)</f>
        <v>137654.34</v>
      </c>
      <c r="J87" s="2">
        <f>((('V06 Calend 01'!B87-'V06 Calend 01'!F87)-'V06 Calend 01'!G87)-'V06 Calend 01'!H87)</f>
        <v>100112.25</v>
      </c>
      <c r="K87" s="2">
        <f>('V06 Calend 01'!B87*0.025)</f>
        <v>12514.0305</v>
      </c>
      <c r="L87" t="s">
        <v>378</v>
      </c>
      <c r="M87" s="2">
        <f>((IF((1='V06 Calend 01'!C87),('V06 Calend 01'!F87+'V06 Calend 01'!G87),0)+IF(AND(('V06 Calend 01'!E87&gt;0),(1&gt;'V06 Calend 01'!C87),(1&lt;'V06 Calend 01'!D87),(MOD((1-'V06 Calend 01'!C87),6)=0),(((1-'V06 Calend 01'!C87)/6)&lt;='V06 Calend 01'!E87)),IF((1=('V06 Calend 01'!C87+(6*'V06 Calend 01'!E87))),('V06 Calend 01'!H87-('V06 Calend 01'!I87*('V06 Calend 01'!E87-1))),'V06 Calend 01'!I87),0))+IF((1='V06 Calend 01'!D87),'V06 Calend 01'!J87,0))</f>
        <v>0</v>
      </c>
      <c r="N87" s="2">
        <f>((IF((2='V06 Calend 01'!C87),('V06 Calend 01'!F87+'V06 Calend 01'!G87),0)+IF(AND(('V06 Calend 01'!E87&gt;0),(2&gt;'V06 Calend 01'!C87),(2&lt;'V06 Calend 01'!D87),(MOD((2-'V06 Calend 01'!C87),6)=0),(((2-'V06 Calend 01'!C87)/6)&lt;='V06 Calend 01'!E87)),IF((2=('V06 Calend 01'!C87+(6*'V06 Calend 01'!E87))),('V06 Calend 01'!H87-('V06 Calend 01'!I87*('V06 Calend 01'!E87-1))),'V06 Calend 01'!I87),0))+IF((2='V06 Calend 01'!D87),'V06 Calend 01'!J87,0))</f>
        <v>0</v>
      </c>
      <c r="O87" s="2">
        <f>((IF((3='V06 Calend 01'!C87),('V06 Calend 01'!F87+'V06 Calend 01'!G87),0)+IF(AND(('V06 Calend 01'!E87&gt;0),(3&gt;'V06 Calend 01'!C87),(3&lt;'V06 Calend 01'!D87),(MOD((3-'V06 Calend 01'!C87),6)=0),(((3-'V06 Calend 01'!C87)/6)&lt;='V06 Calend 01'!E87)),IF((3=('V06 Calend 01'!C87+(6*'V06 Calend 01'!E87))),('V06 Calend 01'!H87-('V06 Calend 01'!I87*('V06 Calend 01'!E87-1))),'V06 Calend 01'!I87),0))+IF((3='V06 Calend 01'!D87),'V06 Calend 01'!J87,0))</f>
        <v>0</v>
      </c>
      <c r="P87" s="2">
        <f>((IF((4='V06 Calend 01'!C87),('V06 Calend 01'!F87+'V06 Calend 01'!G87),0)+IF(AND(('V06 Calend 01'!E87&gt;0),(4&gt;'V06 Calend 01'!C87),(4&lt;'V06 Calend 01'!D87),(MOD((4-'V06 Calend 01'!C87),6)=0),(((4-'V06 Calend 01'!C87)/6)&lt;='V06 Calend 01'!E87)),IF((4=('V06 Calend 01'!C87+(6*'V06 Calend 01'!E87))),('V06 Calend 01'!H87-('V06 Calend 01'!I87*('V06 Calend 01'!E87-1))),'V06 Calend 01'!I87),0))+IF((4='V06 Calend 01'!D87),'V06 Calend 01'!J87,0))</f>
        <v>0</v>
      </c>
      <c r="Q87" s="2">
        <f>((IF((5='V06 Calend 01'!C87),('V06 Calend 01'!F87+'V06 Calend 01'!G87),0)+IF(AND(('V06 Calend 01'!E87&gt;0),(5&gt;'V06 Calend 01'!C87),(5&lt;'V06 Calend 01'!D87),(MOD((5-'V06 Calend 01'!C87),6)=0),(((5-'V06 Calend 01'!C87)/6)&lt;='V06 Calend 01'!E87)),IF((5=('V06 Calend 01'!C87+(6*'V06 Calend 01'!E87))),('V06 Calend 01'!H87-('V06 Calend 01'!I87*('V06 Calend 01'!E87-1))),'V06 Calend 01'!I87),0))+IF((5='V06 Calend 01'!D87),'V06 Calend 01'!J87,0))</f>
        <v>0</v>
      </c>
      <c r="R87" s="2">
        <f>((IF((6='V06 Calend 01'!C87),('V06 Calend 01'!F87+'V06 Calend 01'!G87),0)+IF(AND(('V06 Calend 01'!E87&gt;0),(6&gt;'V06 Calend 01'!C87),(6&lt;'V06 Calend 01'!D87),(MOD((6-'V06 Calend 01'!C87),6)=0),(((6-'V06 Calend 01'!C87)/6)&lt;='V06 Calend 01'!E87)),IF((6=('V06 Calend 01'!C87+(6*'V06 Calend 01'!E87))),('V06 Calend 01'!H87-('V06 Calend 01'!I87*('V06 Calend 01'!E87-1))),'V06 Calend 01'!I87),0))+IF((6='V06 Calend 01'!D87),'V06 Calend 01'!J87,0))</f>
        <v>0</v>
      </c>
      <c r="S87" s="2">
        <f>((IF((7='V06 Calend 01'!C87),('V06 Calend 01'!F87+'V06 Calend 01'!G87),0)+IF(AND(('V06 Calend 01'!E87&gt;0),(7&gt;'V06 Calend 01'!C87),(7&lt;'V06 Calend 01'!D87),(MOD((7-'V06 Calend 01'!C87),6)=0),(((7-'V06 Calend 01'!C87)/6)&lt;='V06 Calend 01'!E87)),IF((7=('V06 Calend 01'!C87+(6*'V06 Calend 01'!E87))),('V06 Calend 01'!H87-('V06 Calend 01'!I87*('V06 Calend 01'!E87-1))),'V06 Calend 01'!I87),0))+IF((7='V06 Calend 01'!D87),'V06 Calend 01'!J87,0))</f>
        <v>0</v>
      </c>
      <c r="T87" s="2">
        <f>((IF((8='V06 Calend 01'!C87),('V06 Calend 01'!F87+'V06 Calend 01'!G87),0)+IF(AND(('V06 Calend 01'!E87&gt;0),(8&gt;'V06 Calend 01'!C87),(8&lt;'V06 Calend 01'!D87),(MOD((8-'V06 Calend 01'!C87),6)=0),(((8-'V06 Calend 01'!C87)/6)&lt;='V06 Calend 01'!E87)),IF((8=('V06 Calend 01'!C87+(6*'V06 Calend 01'!E87))),('V06 Calend 01'!H87-('V06 Calend 01'!I87*('V06 Calend 01'!E87-1))),'V06 Calend 01'!I87),0))+IF((8='V06 Calend 01'!D87),'V06 Calend 01'!J87,0))</f>
        <v>0</v>
      </c>
      <c r="U87" s="2">
        <f>((IF((9='V06 Calend 01'!C87),('V06 Calend 01'!F87+'V06 Calend 01'!G87),0)+IF(AND(('V06 Calend 01'!E87&gt;0),(9&gt;'V06 Calend 01'!C87),(9&lt;'V06 Calend 01'!D87),(MOD((9-'V06 Calend 01'!C87),6)=0),(((9-'V06 Calend 01'!C87)/6)&lt;='V06 Calend 01'!E87)),IF((9=('V06 Calend 01'!C87+(6*'V06 Calend 01'!E87))),('V06 Calend 01'!H87-('V06 Calend 01'!I87*('V06 Calend 01'!E87-1))),'V06 Calend 01'!I87),0))+IF((9='V06 Calend 01'!D87),'V06 Calend 01'!J87,0))</f>
        <v>0</v>
      </c>
      <c r="V87" s="2">
        <f>((IF((10='V06 Calend 01'!C87),('V06 Calend 01'!F87+'V06 Calend 01'!G87),0)+IF(AND(('V06 Calend 01'!E87&gt;0),(10&gt;'V06 Calend 01'!C87),(10&lt;'V06 Calend 01'!D87),(MOD((10-'V06 Calend 01'!C87),6)=0),(((10-'V06 Calend 01'!C87)/6)&lt;='V06 Calend 01'!E87)),IF((10=('V06 Calend 01'!C87+(6*'V06 Calend 01'!E87))),('V06 Calend 01'!H87-('V06 Calend 01'!I87*('V06 Calend 01'!E87-1))),'V06 Calend 01'!I87),0))+IF((10='V06 Calend 01'!D87),'V06 Calend 01'!J87,0))</f>
        <v>0</v>
      </c>
      <c r="W87" s="2">
        <f>((IF((11='V06 Calend 01'!C87),('V06 Calend 01'!F87+'V06 Calend 01'!G87),0)+IF(AND(('V06 Calend 01'!E87&gt;0),(11&gt;'V06 Calend 01'!C87),(11&lt;'V06 Calend 01'!D87),(MOD((11-'V06 Calend 01'!C87),6)=0),(((11-'V06 Calend 01'!C87)/6)&lt;='V06 Calend 01'!E87)),IF((11=('V06 Calend 01'!C87+(6*'V06 Calend 01'!E87))),('V06 Calend 01'!H87-('V06 Calend 01'!I87*('V06 Calend 01'!E87-1))),'V06 Calend 01'!I87),0))+IF((11='V06 Calend 01'!D87),'V06 Calend 01'!J87,0))</f>
        <v>0</v>
      </c>
      <c r="X87" s="2">
        <f>((IF((12='V06 Calend 01'!C87),('V06 Calend 01'!F87+'V06 Calend 01'!G87),0)+IF(AND(('V06 Calend 01'!E87&gt;0),(12&gt;'V06 Calend 01'!C87),(12&lt;'V06 Calend 01'!D87),(MOD((12-'V06 Calend 01'!C87),6)=0),(((12-'V06 Calend 01'!C87)/6)&lt;='V06 Calend 01'!E87)),IF((12=('V06 Calend 01'!C87+(6*'V06 Calend 01'!E87))),('V06 Calend 01'!H87-('V06 Calend 01'!I87*('V06 Calend 01'!E87-1))),'V06 Calend 01'!I87),0))+IF((12='V06 Calend 01'!D87),'V06 Calend 01'!J87,0))</f>
        <v>0</v>
      </c>
      <c r="Y87" s="2">
        <f>((IF((13='V06 Calend 01'!C87),('V06 Calend 01'!F87+'V06 Calend 01'!G87),0)+IF(AND(('V06 Calend 01'!E87&gt;0),(13&gt;'V06 Calend 01'!C87),(13&lt;'V06 Calend 01'!D87),(MOD((13-'V06 Calend 01'!C87),6)=0),(((13-'V06 Calend 01'!C87)/6)&lt;='V06 Calend 01'!E87)),IF((13=('V06 Calend 01'!C87+(6*'V06 Calend 01'!E87))),('V06 Calend 01'!H87-('V06 Calend 01'!I87*('V06 Calend 01'!E87-1))),'V06 Calend 01'!I87),0))+IF((13='V06 Calend 01'!D87),'V06 Calend 01'!J87,0))</f>
        <v>125140.3</v>
      </c>
      <c r="Z87" s="2">
        <f>((IF((14='V06 Calend 01'!C87),('V06 Calend 01'!F87+'V06 Calend 01'!G87),0)+IF(AND(('V06 Calend 01'!E87&gt;0),(14&gt;'V06 Calend 01'!C87),(14&lt;'V06 Calend 01'!D87),(MOD((14-'V06 Calend 01'!C87),6)=0),(((14-'V06 Calend 01'!C87)/6)&lt;='V06 Calend 01'!E87)),IF((14=('V06 Calend 01'!C87+(6*'V06 Calend 01'!E87))),('V06 Calend 01'!H87-('V06 Calend 01'!I87*('V06 Calend 01'!E87-1))),'V06 Calend 01'!I87),0))+IF((14='V06 Calend 01'!D87),'V06 Calend 01'!J87,0))</f>
        <v>0</v>
      </c>
      <c r="AA87" s="2">
        <f>((IF((15='V06 Calend 01'!C87),('V06 Calend 01'!F87+'V06 Calend 01'!G87),0)+IF(AND(('V06 Calend 01'!E87&gt;0),(15&gt;'V06 Calend 01'!C87),(15&lt;'V06 Calend 01'!D87),(MOD((15-'V06 Calend 01'!C87),6)=0),(((15-'V06 Calend 01'!C87)/6)&lt;='V06 Calend 01'!E87)),IF((15=('V06 Calend 01'!C87+(6*'V06 Calend 01'!E87))),('V06 Calend 01'!H87-('V06 Calend 01'!I87*('V06 Calend 01'!E87-1))),'V06 Calend 01'!I87),0))+IF((15='V06 Calend 01'!D87),'V06 Calend 01'!J87,0))</f>
        <v>0</v>
      </c>
      <c r="AB87" s="2">
        <f>((IF((16='V06 Calend 01'!C87),('V06 Calend 01'!F87+'V06 Calend 01'!G87),0)+IF(AND(('V06 Calend 01'!E87&gt;0),(16&gt;'V06 Calend 01'!C87),(16&lt;'V06 Calend 01'!D87),(MOD((16-'V06 Calend 01'!C87),6)=0),(((16-'V06 Calend 01'!C87)/6)&lt;='V06 Calend 01'!E87)),IF((16=('V06 Calend 01'!C87+(6*'V06 Calend 01'!E87))),('V06 Calend 01'!H87-('V06 Calend 01'!I87*('V06 Calend 01'!E87-1))),'V06 Calend 01'!I87),0))+IF((16='V06 Calend 01'!D87),'V06 Calend 01'!J87,0))</f>
        <v>0</v>
      </c>
      <c r="AC87" s="2">
        <f>((IF((17='V06 Calend 01'!C87),('V06 Calend 01'!F87+'V06 Calend 01'!G87),0)+IF(AND(('V06 Calend 01'!E87&gt;0),(17&gt;'V06 Calend 01'!C87),(17&lt;'V06 Calend 01'!D87),(MOD((17-'V06 Calend 01'!C87),6)=0),(((17-'V06 Calend 01'!C87)/6)&lt;='V06 Calend 01'!E87)),IF((17=('V06 Calend 01'!C87+(6*'V06 Calend 01'!E87))),('V06 Calend 01'!H87-('V06 Calend 01'!I87*('V06 Calend 01'!E87-1))),'V06 Calend 01'!I87),0))+IF((17='V06 Calend 01'!D87),'V06 Calend 01'!J87,0))</f>
        <v>0</v>
      </c>
      <c r="AD87" s="2">
        <f>((IF((18='V06 Calend 01'!C87),('V06 Calend 01'!F87+'V06 Calend 01'!G87),0)+IF(AND(('V06 Calend 01'!E87&gt;0),(18&gt;'V06 Calend 01'!C87),(18&lt;'V06 Calend 01'!D87),(MOD((18-'V06 Calend 01'!C87),6)=0),(((18-'V06 Calend 01'!C87)/6)&lt;='V06 Calend 01'!E87)),IF((18=('V06 Calend 01'!C87+(6*'V06 Calend 01'!E87))),('V06 Calend 01'!H87-('V06 Calend 01'!I87*('V06 Calend 01'!E87-1))),'V06 Calend 01'!I87),0))+IF((18='V06 Calend 01'!D87),'V06 Calend 01'!J87,0))</f>
        <v>0</v>
      </c>
      <c r="AE87" s="2">
        <f>((IF((19='V06 Calend 01'!C87),('V06 Calend 01'!F87+'V06 Calend 01'!G87),0)+IF(AND(('V06 Calend 01'!E87&gt;0),(19&gt;'V06 Calend 01'!C87),(19&lt;'V06 Calend 01'!D87),(MOD((19-'V06 Calend 01'!C87),6)=0),(((19-'V06 Calend 01'!C87)/6)&lt;='V06 Calend 01'!E87)),IF((19=('V06 Calend 01'!C87+(6*'V06 Calend 01'!E87))),('V06 Calend 01'!H87-('V06 Calend 01'!I87*('V06 Calend 01'!E87-1))),'V06 Calend 01'!I87),0))+IF((19='V06 Calend 01'!D87),'V06 Calend 01'!J87,0))</f>
        <v>137654.34</v>
      </c>
      <c r="AF87" s="2">
        <f>((IF((20='V06 Calend 01'!C87),('V06 Calend 01'!F87+'V06 Calend 01'!G87),0)+IF(AND(('V06 Calend 01'!E87&gt;0),(20&gt;'V06 Calend 01'!C87),(20&lt;'V06 Calend 01'!D87),(MOD((20-'V06 Calend 01'!C87),6)=0),(((20-'V06 Calend 01'!C87)/6)&lt;='V06 Calend 01'!E87)),IF((20=('V06 Calend 01'!C87+(6*'V06 Calend 01'!E87))),('V06 Calend 01'!H87-('V06 Calend 01'!I87*('V06 Calend 01'!E87-1))),'V06 Calend 01'!I87),0))+IF((20='V06 Calend 01'!D87),'V06 Calend 01'!J87,0))</f>
        <v>0</v>
      </c>
      <c r="AG87" s="2">
        <f>((IF((21='V06 Calend 01'!C87),('V06 Calend 01'!F87+'V06 Calend 01'!G87),0)+IF(AND(('V06 Calend 01'!E87&gt;0),(21&gt;'V06 Calend 01'!C87),(21&lt;'V06 Calend 01'!D87),(MOD((21-'V06 Calend 01'!C87),6)=0),(((21-'V06 Calend 01'!C87)/6)&lt;='V06 Calend 01'!E87)),IF((21=('V06 Calend 01'!C87+(6*'V06 Calend 01'!E87))),('V06 Calend 01'!H87-('V06 Calend 01'!I87*('V06 Calend 01'!E87-1))),'V06 Calend 01'!I87),0))+IF((21='V06 Calend 01'!D87),'V06 Calend 01'!J87,0))</f>
        <v>0</v>
      </c>
      <c r="AH87" s="2">
        <f>((IF((22='V06 Calend 01'!C87),('V06 Calend 01'!F87+'V06 Calend 01'!G87),0)+IF(AND(('V06 Calend 01'!E87&gt;0),(22&gt;'V06 Calend 01'!C87),(22&lt;'V06 Calend 01'!D87),(MOD((22-'V06 Calend 01'!C87),6)=0),(((22-'V06 Calend 01'!C87)/6)&lt;='V06 Calend 01'!E87)),IF((22=('V06 Calend 01'!C87+(6*'V06 Calend 01'!E87))),('V06 Calend 01'!H87-('V06 Calend 01'!I87*('V06 Calend 01'!E87-1))),'V06 Calend 01'!I87),0))+IF((22='V06 Calend 01'!D87),'V06 Calend 01'!J87,0))</f>
        <v>0</v>
      </c>
      <c r="AI87" s="2">
        <f>((IF((23='V06 Calend 01'!C87),('V06 Calend 01'!F87+'V06 Calend 01'!G87),0)+IF(AND(('V06 Calend 01'!E87&gt;0),(23&gt;'V06 Calend 01'!C87),(23&lt;'V06 Calend 01'!D87),(MOD((23-'V06 Calend 01'!C87),6)=0),(((23-'V06 Calend 01'!C87)/6)&lt;='V06 Calend 01'!E87)),IF((23=('V06 Calend 01'!C87+(6*'V06 Calend 01'!E87))),('V06 Calend 01'!H87-('V06 Calend 01'!I87*('V06 Calend 01'!E87-1))),'V06 Calend 01'!I87),0))+IF((23='V06 Calend 01'!D87),'V06 Calend 01'!J87,0))</f>
        <v>0</v>
      </c>
      <c r="AJ87" s="2">
        <f>((IF((24='V06 Calend 01'!C87),('V06 Calend 01'!F87+'V06 Calend 01'!G87),0)+IF(AND(('V06 Calend 01'!E87&gt;0),(24&gt;'V06 Calend 01'!C87),(24&lt;'V06 Calend 01'!D87),(MOD((24-'V06 Calend 01'!C87),6)=0),(((24-'V06 Calend 01'!C87)/6)&lt;='V06 Calend 01'!E87)),IF((24=('V06 Calend 01'!C87+(6*'V06 Calend 01'!E87))),('V06 Calend 01'!H87-('V06 Calend 01'!I87*('V06 Calend 01'!E87-1))),'V06 Calend 01'!I87),0))+IF((24='V06 Calend 01'!D87),'V06 Calend 01'!J87,0))</f>
        <v>0</v>
      </c>
      <c r="AK87" s="2">
        <f>((IF((25='V06 Calend 01'!C87),('V06 Calend 01'!F87+'V06 Calend 01'!G87),0)+IF(AND(('V06 Calend 01'!E87&gt;0),(25&gt;'V06 Calend 01'!C87),(25&lt;'V06 Calend 01'!D87),(MOD((25-'V06 Calend 01'!C87),6)=0),(((25-'V06 Calend 01'!C87)/6)&lt;='V06 Calend 01'!E87)),IF((25=('V06 Calend 01'!C87+(6*'V06 Calend 01'!E87))),('V06 Calend 01'!H87-('V06 Calend 01'!I87*('V06 Calend 01'!E87-1))),'V06 Calend 01'!I87),0))+IF((25='V06 Calend 01'!D87),'V06 Calend 01'!J87,0))</f>
        <v>137654.33</v>
      </c>
      <c r="AL87" s="2">
        <f>((IF((26='V06 Calend 01'!C87),('V06 Calend 01'!F87+'V06 Calend 01'!G87),0)+IF(AND(('V06 Calend 01'!E87&gt;0),(26&gt;'V06 Calend 01'!C87),(26&lt;'V06 Calend 01'!D87),(MOD((26-'V06 Calend 01'!C87),6)=0),(((26-'V06 Calend 01'!C87)/6)&lt;='V06 Calend 01'!E87)),IF((26=('V06 Calend 01'!C87+(6*'V06 Calend 01'!E87))),('V06 Calend 01'!H87-('V06 Calend 01'!I87*('V06 Calend 01'!E87-1))),'V06 Calend 01'!I87),0))+IF((26='V06 Calend 01'!D87),'V06 Calend 01'!J87,0))</f>
        <v>0</v>
      </c>
      <c r="AM87" s="2">
        <f>((IF((27='V06 Calend 01'!C87),('V06 Calend 01'!F87+'V06 Calend 01'!G87),0)+IF(AND(('V06 Calend 01'!E87&gt;0),(27&gt;'V06 Calend 01'!C87),(27&lt;'V06 Calend 01'!D87),(MOD((27-'V06 Calend 01'!C87),6)=0),(((27-'V06 Calend 01'!C87)/6)&lt;='V06 Calend 01'!E87)),IF((27=('V06 Calend 01'!C87+(6*'V06 Calend 01'!E87))),('V06 Calend 01'!H87-('V06 Calend 01'!I87*('V06 Calend 01'!E87-1))),'V06 Calend 01'!I87),0))+IF((27='V06 Calend 01'!D87),'V06 Calend 01'!J87,0))</f>
        <v>0</v>
      </c>
      <c r="AN87" s="2">
        <f>((IF((28='V06 Calend 01'!C87),('V06 Calend 01'!F87+'V06 Calend 01'!G87),0)+IF(AND(('V06 Calend 01'!E87&gt;0),(28&gt;'V06 Calend 01'!C87),(28&lt;'V06 Calend 01'!D87),(MOD((28-'V06 Calend 01'!C87),6)=0),(((28-'V06 Calend 01'!C87)/6)&lt;='V06 Calend 01'!E87)),IF((28=('V06 Calend 01'!C87+(6*'V06 Calend 01'!E87))),('V06 Calend 01'!H87-('V06 Calend 01'!I87*('V06 Calend 01'!E87-1))),'V06 Calend 01'!I87),0))+IF((28='V06 Calend 01'!D87),'V06 Calend 01'!J87,0))</f>
        <v>0</v>
      </c>
      <c r="AO87" s="2">
        <f>((IF((29='V06 Calend 01'!C87),('V06 Calend 01'!F87+'V06 Calend 01'!G87),0)+IF(AND(('V06 Calend 01'!E87&gt;0),(29&gt;'V06 Calend 01'!C87),(29&lt;'V06 Calend 01'!D87),(MOD((29-'V06 Calend 01'!C87),6)=0),(((29-'V06 Calend 01'!C87)/6)&lt;='V06 Calend 01'!E87)),IF((29=('V06 Calend 01'!C87+(6*'V06 Calend 01'!E87))),('V06 Calend 01'!H87-('V06 Calend 01'!I87*('V06 Calend 01'!E87-1))),'V06 Calend 01'!I87),0))+IF((29='V06 Calend 01'!D87),'V06 Calend 01'!J87,0))</f>
        <v>100112.25</v>
      </c>
      <c r="AP87" s="2">
        <f>((IF((30='V06 Calend 01'!C87),('V06 Calend 01'!F87+'V06 Calend 01'!G87),0)+IF(AND(('V06 Calend 01'!E87&gt;0),(30&gt;'V06 Calend 01'!C87),(30&lt;'V06 Calend 01'!D87),(MOD((30-'V06 Calend 01'!C87),6)=0),(((30-'V06 Calend 01'!C87)/6)&lt;='V06 Calend 01'!E87)),IF((30=('V06 Calend 01'!C87+(6*'V06 Calend 01'!E87))),('V06 Calend 01'!H87-('V06 Calend 01'!I87*('V06 Calend 01'!E87-1))),'V06 Calend 01'!I87),0))+IF((30='V06 Calend 01'!D87),'V06 Calend 01'!J87,0))</f>
        <v>0</v>
      </c>
      <c r="AQ87" s="2">
        <f>((IF((31='V06 Calend 01'!C87),('V06 Calend 01'!F87+'V06 Calend 01'!G87),0)+IF(AND(('V06 Calend 01'!E87&gt;0),(31&gt;'V06 Calend 01'!C87),(31&lt;'V06 Calend 01'!D87),(MOD((31-'V06 Calend 01'!C87),6)=0),(((31-'V06 Calend 01'!C87)/6)&lt;='V06 Calend 01'!E87)),IF((31=('V06 Calend 01'!C87+(6*'V06 Calend 01'!E87))),('V06 Calend 01'!H87-('V06 Calend 01'!I87*('V06 Calend 01'!E87-1))),'V06 Calend 01'!I87),0))+IF((31='V06 Calend 01'!D87),'V06 Calend 01'!J87,0))</f>
        <v>0</v>
      </c>
      <c r="AR87" s="2">
        <f>((IF((32='V06 Calend 01'!C87),('V06 Calend 01'!F87+'V06 Calend 01'!G87),0)+IF(AND(('V06 Calend 01'!E87&gt;0),(32&gt;'V06 Calend 01'!C87),(32&lt;'V06 Calend 01'!D87),(MOD((32-'V06 Calend 01'!C87),6)=0),(((32-'V06 Calend 01'!C87)/6)&lt;='V06 Calend 01'!E87)),IF((32=('V06 Calend 01'!C87+(6*'V06 Calend 01'!E87))),('V06 Calend 01'!H87-('V06 Calend 01'!I87*('V06 Calend 01'!E87-1))),'V06 Calend 01'!I87),0))+IF((32='V06 Calend 01'!D87),'V06 Calend 01'!J87,0))</f>
        <v>0</v>
      </c>
      <c r="AS87" s="2">
        <f>((IF((33='V06 Calend 01'!C87),('V06 Calend 01'!F87+'V06 Calend 01'!G87),0)+IF(AND(('V06 Calend 01'!E87&gt;0),(33&gt;'V06 Calend 01'!C87),(33&lt;'V06 Calend 01'!D87),(MOD((33-'V06 Calend 01'!C87),6)=0),(((33-'V06 Calend 01'!C87)/6)&lt;='V06 Calend 01'!E87)),IF((33=('V06 Calend 01'!C87+(6*'V06 Calend 01'!E87))),('V06 Calend 01'!H87-('V06 Calend 01'!I87*('V06 Calend 01'!E87-1))),'V06 Calend 01'!I87),0))+IF((33='V06 Calend 01'!D87),'V06 Calend 01'!J87,0))</f>
        <v>0</v>
      </c>
      <c r="AT87" s="2">
        <f>((IF((34='V06 Calend 01'!C87),('V06 Calend 01'!F87+'V06 Calend 01'!G87),0)+IF(AND(('V06 Calend 01'!E87&gt;0),(34&gt;'V06 Calend 01'!C87),(34&lt;'V06 Calend 01'!D87),(MOD((34-'V06 Calend 01'!C87),6)=0),(((34-'V06 Calend 01'!C87)/6)&lt;='V06 Calend 01'!E87)),IF((34=('V06 Calend 01'!C87+(6*'V06 Calend 01'!E87))),('V06 Calend 01'!H87-('V06 Calend 01'!I87*('V06 Calend 01'!E87-1))),'V06 Calend 01'!I87),0))+IF((34='V06 Calend 01'!D87),'V06 Calend 01'!J87,0))</f>
        <v>0</v>
      </c>
      <c r="AU87" s="2">
        <f>((IF((35='V06 Calend 01'!C87),('V06 Calend 01'!F87+'V06 Calend 01'!G87),0)+IF(AND(('V06 Calend 01'!E87&gt;0),(35&gt;'V06 Calend 01'!C87),(35&lt;'V06 Calend 01'!D87),(MOD((35-'V06 Calend 01'!C87),6)=0),(((35-'V06 Calend 01'!C87)/6)&lt;='V06 Calend 01'!E87)),IF((35=('V06 Calend 01'!C87+(6*'V06 Calend 01'!E87))),('V06 Calend 01'!H87-('V06 Calend 01'!I87*('V06 Calend 01'!E87-1))),'V06 Calend 01'!I87),0))+IF((35='V06 Calend 01'!D87),'V06 Calend 01'!J87,0))</f>
        <v>0</v>
      </c>
      <c r="AV87" s="2">
        <f>((IF((36='V06 Calend 01'!C87),('V06 Calend 01'!F87+'V06 Calend 01'!G87),0)+IF(AND(('V06 Calend 01'!E87&gt;0),(36&gt;'V06 Calend 01'!C87),(36&lt;'V06 Calend 01'!D87),(MOD((36-'V06 Calend 01'!C87),6)=0),(((36-'V06 Calend 01'!C87)/6)&lt;='V06 Calend 01'!E87)),IF((36=('V06 Calend 01'!C87+(6*'V06 Calend 01'!E87))),('V06 Calend 01'!H87-('V06 Calend 01'!I87*('V06 Calend 01'!E87-1))),'V06 Calend 01'!I87),0))+IF((36='V06 Calend 01'!D87),'V06 Calend 01'!J87,0))</f>
        <v>0</v>
      </c>
      <c r="AW87" s="2">
        <f>((IF((37='V06 Calend 01'!C87),('V06 Calend 01'!F87+'V06 Calend 01'!G87),0)+IF(AND(('V06 Calend 01'!E87&gt;0),(37&gt;'V06 Calend 01'!C87),(37&lt;'V06 Calend 01'!D87),(MOD((37-'V06 Calend 01'!C87),6)=0),(((37-'V06 Calend 01'!C87)/6)&lt;='V06 Calend 01'!E87)),IF((37=('V06 Calend 01'!C87+(6*'V06 Calend 01'!E87))),('V06 Calend 01'!H87-('V06 Calend 01'!I87*('V06 Calend 01'!E87-1))),'V06 Calend 01'!I87),0))+IF((37='V06 Calend 01'!D87),'V06 Calend 01'!J87,0))</f>
        <v>0</v>
      </c>
      <c r="AX87" s="2">
        <f>((IF((38='V06 Calend 01'!C87),('V06 Calend 01'!F87+'V06 Calend 01'!G87),0)+IF(AND(('V06 Calend 01'!E87&gt;0),(38&gt;'V06 Calend 01'!C87),(38&lt;'V06 Calend 01'!D87),(MOD((38-'V06 Calend 01'!C87),6)=0),(((38-'V06 Calend 01'!C87)/6)&lt;='V06 Calend 01'!E87)),IF((38=('V06 Calend 01'!C87+(6*'V06 Calend 01'!E87))),('V06 Calend 01'!H87-('V06 Calend 01'!I87*('V06 Calend 01'!E87-1))),'V06 Calend 01'!I87),0))+IF((38='V06 Calend 01'!D87),'V06 Calend 01'!J87,0))</f>
        <v>0</v>
      </c>
      <c r="AY87" s="2">
        <f>((IF((39='V06 Calend 01'!C87),('V06 Calend 01'!F87+'V06 Calend 01'!G87),0)+IF(AND(('V06 Calend 01'!E87&gt;0),(39&gt;'V06 Calend 01'!C87),(39&lt;'V06 Calend 01'!D87),(MOD((39-'V06 Calend 01'!C87),6)=0),(((39-'V06 Calend 01'!C87)/6)&lt;='V06 Calend 01'!E87)),IF((39=('V06 Calend 01'!C87+(6*'V06 Calend 01'!E87))),('V06 Calend 01'!H87-('V06 Calend 01'!I87*('V06 Calend 01'!E87-1))),'V06 Calend 01'!I87),0))+IF((39='V06 Calend 01'!D87),'V06 Calend 01'!J87,0))</f>
        <v>0</v>
      </c>
      <c r="AZ87" s="2">
        <f>((IF((40='V06 Calend 01'!C87),('V06 Calend 01'!F87+'V06 Calend 01'!G87),0)+IF(AND(('V06 Calend 01'!E87&gt;0),(40&gt;'V06 Calend 01'!C87),(40&lt;'V06 Calend 01'!D87),(MOD((40-'V06 Calend 01'!C87),6)=0),(((40-'V06 Calend 01'!C87)/6)&lt;='V06 Calend 01'!E87)),IF((40=('V06 Calend 01'!C87+(6*'V06 Calend 01'!E87))),('V06 Calend 01'!H87-('V06 Calend 01'!I87*('V06 Calend 01'!E87-1))),'V06 Calend 01'!I87),0))+IF((40='V06 Calend 01'!D87),'V06 Calend 01'!J87,0))</f>
        <v>0</v>
      </c>
      <c r="BA87" s="2">
        <f>((IF((41='V06 Calend 01'!C87),('V06 Calend 01'!F87+'V06 Calend 01'!G87),0)+IF(AND(('V06 Calend 01'!E87&gt;0),(41&gt;'V06 Calend 01'!C87),(41&lt;'V06 Calend 01'!D87),(MOD((41-'V06 Calend 01'!C87),6)=0),(((41-'V06 Calend 01'!C87)/6)&lt;='V06 Calend 01'!E87)),IF((41=('V06 Calend 01'!C87+(6*'V06 Calend 01'!E87))),('V06 Calend 01'!H87-('V06 Calend 01'!I87*('V06 Calend 01'!E87-1))),'V06 Calend 01'!I87),0))+IF((41='V06 Calend 01'!D87),'V06 Calend 01'!J87,0))</f>
        <v>0</v>
      </c>
      <c r="BB87" s="2">
        <f>((IF((42='V06 Calend 01'!C87),('V06 Calend 01'!F87+'V06 Calend 01'!G87),0)+IF(AND(('V06 Calend 01'!E87&gt;0),(42&gt;'V06 Calend 01'!C87),(42&lt;'V06 Calend 01'!D87),(MOD((42-'V06 Calend 01'!C87),6)=0),(((42-'V06 Calend 01'!C87)/6)&lt;='V06 Calend 01'!E87)),IF((42=('V06 Calend 01'!C87+(6*'V06 Calend 01'!E87))),('V06 Calend 01'!H87-('V06 Calend 01'!I87*('V06 Calend 01'!E87-1))),'V06 Calend 01'!I87),0))+IF((42='V06 Calend 01'!D87),'V06 Calend 01'!J87,0))</f>
        <v>0</v>
      </c>
      <c r="BC87" s="2">
        <f>((IF((43='V06 Calend 01'!C87),('V06 Calend 01'!F87+'V06 Calend 01'!G87),0)+IF(AND(('V06 Calend 01'!E87&gt;0),(43&gt;'V06 Calend 01'!C87),(43&lt;'V06 Calend 01'!D87),(MOD((43-'V06 Calend 01'!C87),6)=0),(((43-'V06 Calend 01'!C87)/6)&lt;='V06 Calend 01'!E87)),IF((43=('V06 Calend 01'!C87+(6*'V06 Calend 01'!E87))),('V06 Calend 01'!H87-('V06 Calend 01'!I87*('V06 Calend 01'!E87-1))),'V06 Calend 01'!I87),0))+IF((43='V06 Calend 01'!D87),'V06 Calend 01'!J87,0))</f>
        <v>0</v>
      </c>
      <c r="BD87" s="2">
        <f>((IF((44='V06 Calend 01'!C87),('V06 Calend 01'!F87+'V06 Calend 01'!G87),0)+IF(AND(('V06 Calend 01'!E87&gt;0),(44&gt;'V06 Calend 01'!C87),(44&lt;'V06 Calend 01'!D87),(MOD((44-'V06 Calend 01'!C87),6)=0),(((44-'V06 Calend 01'!C87)/6)&lt;='V06 Calend 01'!E87)),IF((44=('V06 Calend 01'!C87+(6*'V06 Calend 01'!E87))),('V06 Calend 01'!H87-('V06 Calend 01'!I87*('V06 Calend 01'!E87-1))),'V06 Calend 01'!I87),0))+IF((44='V06 Calend 01'!D87),'V06 Calend 01'!J87,0))</f>
        <v>0</v>
      </c>
      <c r="BE87" s="2">
        <f>((IF((45='V06 Calend 01'!C87),('V06 Calend 01'!F87+'V06 Calend 01'!G87),0)+IF(AND(('V06 Calend 01'!E87&gt;0),(45&gt;'V06 Calend 01'!C87),(45&lt;'V06 Calend 01'!D87),(MOD((45-'V06 Calend 01'!C87),6)=0),(((45-'V06 Calend 01'!C87)/6)&lt;='V06 Calend 01'!E87)),IF((45=('V06 Calend 01'!C87+(6*'V06 Calend 01'!E87))),('V06 Calend 01'!H87-('V06 Calend 01'!I87*('V06 Calend 01'!E87-1))),'V06 Calend 01'!I87),0))+IF((45='V06 Calend 01'!D87),'V06 Calend 01'!J87,0))</f>
        <v>0</v>
      </c>
      <c r="BF87" s="2">
        <f>((IF((46='V06 Calend 01'!C87),('V06 Calend 01'!F87+'V06 Calend 01'!G87),0)+IF(AND(('V06 Calend 01'!E87&gt;0),(46&gt;'V06 Calend 01'!C87),(46&lt;'V06 Calend 01'!D87),(MOD((46-'V06 Calend 01'!C87),6)=0),(((46-'V06 Calend 01'!C87)/6)&lt;='V06 Calend 01'!E87)),IF((46=('V06 Calend 01'!C87+(6*'V06 Calend 01'!E87))),('V06 Calend 01'!H87-('V06 Calend 01'!I87*('V06 Calend 01'!E87-1))),'V06 Calend 01'!I87),0))+IF((46='V06 Calend 01'!D87),'V06 Calend 01'!J87,0))</f>
        <v>0</v>
      </c>
      <c r="BG87" s="2">
        <f>((IF((47='V06 Calend 01'!C87),('V06 Calend 01'!F87+'V06 Calend 01'!G87),0)+IF(AND(('V06 Calend 01'!E87&gt;0),(47&gt;'V06 Calend 01'!C87),(47&lt;'V06 Calend 01'!D87),(MOD((47-'V06 Calend 01'!C87),6)=0),(((47-'V06 Calend 01'!C87)/6)&lt;='V06 Calend 01'!E87)),IF((47=('V06 Calend 01'!C87+(6*'V06 Calend 01'!E87))),('V06 Calend 01'!H87-('V06 Calend 01'!I87*('V06 Calend 01'!E87-1))),'V06 Calend 01'!I87),0))+IF((47='V06 Calend 01'!D87),'V06 Calend 01'!J87,0))</f>
        <v>0</v>
      </c>
      <c r="BH87" s="2">
        <f>((IF((48='V06 Calend 01'!C87),('V06 Calend 01'!F87+'V06 Calend 01'!G87),0)+IF(AND(('V06 Calend 01'!E87&gt;0),(48&gt;'V06 Calend 01'!C87),(48&lt;'V06 Calend 01'!D87),(MOD((48-'V06 Calend 01'!C87),6)=0),(((48-'V06 Calend 01'!C87)/6)&lt;='V06 Calend 01'!E87)),IF((48=('V06 Calend 01'!C87+(6*'V06 Calend 01'!E87))),('V06 Calend 01'!H87-('V06 Calend 01'!I87*('V06 Calend 01'!E87-1))),'V06 Calend 01'!I87),0))+IF((48='V06 Calend 01'!D87),'V06 Calend 01'!J87,0))</f>
        <v>0</v>
      </c>
      <c r="BI87" s="2">
        <f>((IF((49='V06 Calend 01'!C87),('V06 Calend 01'!F87+'V06 Calend 01'!G87),0)+IF(AND(('V06 Calend 01'!E87&gt;0),(49&gt;'V06 Calend 01'!C87),(49&lt;'V06 Calend 01'!D87),(MOD((49-'V06 Calend 01'!C87),6)=0),(((49-'V06 Calend 01'!C87)/6)&lt;='V06 Calend 01'!E87)),IF((49=('V06 Calend 01'!C87+(6*'V06 Calend 01'!E87))),('V06 Calend 01'!H87-('V06 Calend 01'!I87*('V06 Calend 01'!E87-1))),'V06 Calend 01'!I87),0))+IF((49='V06 Calend 01'!D87),'V06 Calend 01'!J87,0))</f>
        <v>0</v>
      </c>
      <c r="BJ87" s="2">
        <f>((IF((50='V06 Calend 01'!C87),('V06 Calend 01'!F87+'V06 Calend 01'!G87),0)+IF(AND(('V06 Calend 01'!E87&gt;0),(50&gt;'V06 Calend 01'!C87),(50&lt;'V06 Calend 01'!D87),(MOD((50-'V06 Calend 01'!C87),6)=0),(((50-'V06 Calend 01'!C87)/6)&lt;='V06 Calend 01'!E87)),IF((50=('V06 Calend 01'!C87+(6*'V06 Calend 01'!E87))),('V06 Calend 01'!H87-('V06 Calend 01'!I87*('V06 Calend 01'!E87-1))),'V06 Calend 01'!I87),0))+IF((50='V06 Calend 01'!D87),'V06 Calend 01'!J87,0))</f>
        <v>0</v>
      </c>
      <c r="BK87" s="2">
        <f>((IF((51='V06 Calend 01'!C87),('V06 Calend 01'!F87+'V06 Calend 01'!G87),0)+IF(AND(('V06 Calend 01'!E87&gt;0),(51&gt;'V06 Calend 01'!C87),(51&lt;'V06 Calend 01'!D87),(MOD((51-'V06 Calend 01'!C87),6)=0),(((51-'V06 Calend 01'!C87)/6)&lt;='V06 Calend 01'!E87)),IF((51=('V06 Calend 01'!C87+(6*'V06 Calend 01'!E87))),('V06 Calend 01'!H87-('V06 Calend 01'!I87*('V06 Calend 01'!E87-1))),'V06 Calend 01'!I87),0))+IF((51='V06 Calend 01'!D87),'V06 Calend 01'!J87,0))</f>
        <v>0</v>
      </c>
      <c r="BL87" s="2">
        <f>((IF((52='V06 Calend 01'!C87),('V06 Calend 01'!F87+'V06 Calend 01'!G87),0)+IF(AND(('V06 Calend 01'!E87&gt;0),(52&gt;'V06 Calend 01'!C87),(52&lt;'V06 Calend 01'!D87),(MOD((52-'V06 Calend 01'!C87),6)=0),(((52-'V06 Calend 01'!C87)/6)&lt;='V06 Calend 01'!E87)),IF((52=('V06 Calend 01'!C87+(6*'V06 Calend 01'!E87))),('V06 Calend 01'!H87-('V06 Calend 01'!I87*('V06 Calend 01'!E87-1))),'V06 Calend 01'!I87),0))+IF((52='V06 Calend 01'!D87),'V06 Calend 01'!J87,0))</f>
        <v>0</v>
      </c>
      <c r="BM87" s="2">
        <f>((IF((53='V06 Calend 01'!C87),('V06 Calend 01'!F87+'V06 Calend 01'!G87),0)+IF(AND(('V06 Calend 01'!E87&gt;0),(53&gt;'V06 Calend 01'!C87),(53&lt;'V06 Calend 01'!D87),(MOD((53-'V06 Calend 01'!C87),6)=0),(((53-'V06 Calend 01'!C87)/6)&lt;='V06 Calend 01'!E87)),IF((53=('V06 Calend 01'!C87+(6*'V06 Calend 01'!E87))),('V06 Calend 01'!H87-('V06 Calend 01'!I87*('V06 Calend 01'!E87-1))),'V06 Calend 01'!I87),0))+IF((53='V06 Calend 01'!D87),'V06 Calend 01'!J87,0))</f>
        <v>0</v>
      </c>
      <c r="BN87" s="2">
        <f>((IF((54='V06 Calend 01'!C87),('V06 Calend 01'!F87+'V06 Calend 01'!G87),0)+IF(AND(('V06 Calend 01'!E87&gt;0),(54&gt;'V06 Calend 01'!C87),(54&lt;'V06 Calend 01'!D87),(MOD((54-'V06 Calend 01'!C87),6)=0),(((54-'V06 Calend 01'!C87)/6)&lt;='V06 Calend 01'!E87)),IF((54=('V06 Calend 01'!C87+(6*'V06 Calend 01'!E87))),('V06 Calend 01'!H87-('V06 Calend 01'!I87*('V06 Calend 01'!E87-1))),'V06 Calend 01'!I87),0))+IF((54='V06 Calend 01'!D87),'V06 Calend 01'!J87,0))</f>
        <v>0</v>
      </c>
      <c r="BO87" s="2">
        <f>((IF((55='V06 Calend 01'!C87),('V06 Calend 01'!F87+'V06 Calend 01'!G87),0)+IF(AND(('V06 Calend 01'!E87&gt;0),(55&gt;'V06 Calend 01'!C87),(55&lt;'V06 Calend 01'!D87),(MOD((55-'V06 Calend 01'!C87),6)=0),(((55-'V06 Calend 01'!C87)/6)&lt;='V06 Calend 01'!E87)),IF((55=('V06 Calend 01'!C87+(6*'V06 Calend 01'!E87))),('V06 Calend 01'!H87-('V06 Calend 01'!I87*('V06 Calend 01'!E87-1))),'V06 Calend 01'!I87),0))+IF((55='V06 Calend 01'!D87),'V06 Calend 01'!J87,0))</f>
        <v>0</v>
      </c>
      <c r="BP87" s="2">
        <f>((IF((56='V06 Calend 01'!C87),('V06 Calend 01'!F87+'V06 Calend 01'!G87),0)+IF(AND(('V06 Calend 01'!E87&gt;0),(56&gt;'V06 Calend 01'!C87),(56&lt;'V06 Calend 01'!D87),(MOD((56-'V06 Calend 01'!C87),6)=0),(((56-'V06 Calend 01'!C87)/6)&lt;='V06 Calend 01'!E87)),IF((56=('V06 Calend 01'!C87+(6*'V06 Calend 01'!E87))),('V06 Calend 01'!H87-('V06 Calend 01'!I87*('V06 Calend 01'!E87-1))),'V06 Calend 01'!I87),0))+IF((56='V06 Calend 01'!D87),'V06 Calend 01'!J87,0))</f>
        <v>0</v>
      </c>
      <c r="BQ87" s="2">
        <f>((IF((57='V06 Calend 01'!C87),('V06 Calend 01'!F87+'V06 Calend 01'!G87),0)+IF(AND(('V06 Calend 01'!E87&gt;0),(57&gt;'V06 Calend 01'!C87),(57&lt;'V06 Calend 01'!D87),(MOD((57-'V06 Calend 01'!C87),6)=0),(((57-'V06 Calend 01'!C87)/6)&lt;='V06 Calend 01'!E87)),IF((57=('V06 Calend 01'!C87+(6*'V06 Calend 01'!E87))),('V06 Calend 01'!H87-('V06 Calend 01'!I87*('V06 Calend 01'!E87-1))),'V06 Calend 01'!I87),0))+IF((57='V06 Calend 01'!D87),'V06 Calend 01'!J87,0))</f>
        <v>0</v>
      </c>
      <c r="BR87" s="2">
        <f>((IF((58='V06 Calend 01'!C87),('V06 Calend 01'!F87+'V06 Calend 01'!G87),0)+IF(AND(('V06 Calend 01'!E87&gt;0),(58&gt;'V06 Calend 01'!C87),(58&lt;'V06 Calend 01'!D87),(MOD((58-'V06 Calend 01'!C87),6)=0),(((58-'V06 Calend 01'!C87)/6)&lt;='V06 Calend 01'!E87)),IF((58=('V06 Calend 01'!C87+(6*'V06 Calend 01'!E87))),('V06 Calend 01'!H87-('V06 Calend 01'!I87*('V06 Calend 01'!E87-1))),'V06 Calend 01'!I87),0))+IF((58='V06 Calend 01'!D87),'V06 Calend 01'!J87,0))</f>
        <v>0</v>
      </c>
      <c r="BS87" s="2">
        <f>((IF((59='V06 Calend 01'!C87),('V06 Calend 01'!F87+'V06 Calend 01'!G87),0)+IF(AND(('V06 Calend 01'!E87&gt;0),(59&gt;'V06 Calend 01'!C87),(59&lt;'V06 Calend 01'!D87),(MOD((59-'V06 Calend 01'!C87),6)=0),(((59-'V06 Calend 01'!C87)/6)&lt;='V06 Calend 01'!E87)),IF((59=('V06 Calend 01'!C87+(6*'V06 Calend 01'!E87))),('V06 Calend 01'!H87-('V06 Calend 01'!I87*('V06 Calend 01'!E87-1))),'V06 Calend 01'!I87),0))+IF((59='V06 Calend 01'!D87),'V06 Calend 01'!J87,0))</f>
        <v>0</v>
      </c>
      <c r="BT87" s="2">
        <f>((IF((60='V06 Calend 01'!C87),('V06 Calend 01'!F87+'V06 Calend 01'!G87),0)+IF(AND(('V06 Calend 01'!E87&gt;0),(60&gt;'V06 Calend 01'!C87),(60&lt;'V06 Calend 01'!D87),(MOD((60-'V06 Calend 01'!C87),6)=0),(((60-'V06 Calend 01'!C87)/6)&lt;='V06 Calend 01'!E87)),IF((60=('V06 Calend 01'!C87+(6*'V06 Calend 01'!E87))),('V06 Calend 01'!H87-('V06 Calend 01'!I87*('V06 Calend 01'!E87-1))),'V06 Calend 01'!I87),0))+IF((60='V06 Calend 01'!D87),'V06 Calend 01'!J87,0))</f>
        <v>0</v>
      </c>
      <c r="BU87" s="2">
        <f>((IF((61='V06 Calend 01'!C87),('V06 Calend 01'!F87+'V06 Calend 01'!G87),0)+IF(AND(('V06 Calend 01'!E87&gt;0),(61&gt;'V06 Calend 01'!C87),(61&lt;'V06 Calend 01'!D87),(MOD((61-'V06 Calend 01'!C87),6)=0),(((61-'V06 Calend 01'!C87)/6)&lt;='V06 Calend 01'!E87)),IF((61=('V06 Calend 01'!C87+(6*'V06 Calend 01'!E87))),('V06 Calend 01'!H87-('V06 Calend 01'!I87*('V06 Calend 01'!E87-1))),'V06 Calend 01'!I87),0))+IF((61='V06 Calend 01'!D87),'V06 Calend 01'!J87,0))</f>
        <v>0</v>
      </c>
      <c r="BV87" s="2">
        <f>((IF((62='V06 Calend 01'!C87),('V06 Calend 01'!F87+'V06 Calend 01'!G87),0)+IF(AND(('V06 Calend 01'!E87&gt;0),(62&gt;'V06 Calend 01'!C87),(62&lt;'V06 Calend 01'!D87),(MOD((62-'V06 Calend 01'!C87),6)=0),(((62-'V06 Calend 01'!C87)/6)&lt;='V06 Calend 01'!E87)),IF((62=('V06 Calend 01'!C87+(6*'V06 Calend 01'!E87))),('V06 Calend 01'!H87-('V06 Calend 01'!I87*('V06 Calend 01'!E87-1))),'V06 Calend 01'!I87),0))+IF((62='V06 Calend 01'!D87),'V06 Calend 01'!J87,0))</f>
        <v>0</v>
      </c>
      <c r="BW87" s="2">
        <f>((IF((63='V06 Calend 01'!C87),('V06 Calend 01'!F87+'V06 Calend 01'!G87),0)+IF(AND(('V06 Calend 01'!E87&gt;0),(63&gt;'V06 Calend 01'!C87),(63&lt;'V06 Calend 01'!D87),(MOD((63-'V06 Calend 01'!C87),6)=0),(((63-'V06 Calend 01'!C87)/6)&lt;='V06 Calend 01'!E87)),IF((63=('V06 Calend 01'!C87+(6*'V06 Calend 01'!E87))),('V06 Calend 01'!H87-('V06 Calend 01'!I87*('V06 Calend 01'!E87-1))),'V06 Calend 01'!I87),0))+IF((63='V06 Calend 01'!D87),'V06 Calend 01'!J87,0))</f>
        <v>0</v>
      </c>
      <c r="BX87" s="2">
        <f>((IF((64='V06 Calend 01'!C87),('V06 Calend 01'!F87+'V06 Calend 01'!G87),0)+IF(AND(('V06 Calend 01'!E87&gt;0),(64&gt;'V06 Calend 01'!C87),(64&lt;'V06 Calend 01'!D87),(MOD((64-'V06 Calend 01'!C87),6)=0),(((64-'V06 Calend 01'!C87)/6)&lt;='V06 Calend 01'!E87)),IF((64=('V06 Calend 01'!C87+(6*'V06 Calend 01'!E87))),('V06 Calend 01'!H87-('V06 Calend 01'!I87*('V06 Calend 01'!E87-1))),'V06 Calend 01'!I87),0))+IF((64='V06 Calend 01'!D87),'V06 Calend 01'!J87,0))</f>
        <v>0</v>
      </c>
      <c r="BY87" s="2">
        <f>((IF((65='V06 Calend 01'!C87),('V06 Calend 01'!F87+'V06 Calend 01'!G87),0)+IF(AND(('V06 Calend 01'!E87&gt;0),(65&gt;'V06 Calend 01'!C87),(65&lt;'V06 Calend 01'!D87),(MOD((65-'V06 Calend 01'!C87),6)=0),(((65-'V06 Calend 01'!C87)/6)&lt;='V06 Calend 01'!E87)),IF((65=('V06 Calend 01'!C87+(6*'V06 Calend 01'!E87))),('V06 Calend 01'!H87-('V06 Calend 01'!I87*('V06 Calend 01'!E87-1))),'V06 Calend 01'!I87),0))+IF((65='V06 Calend 01'!D87),'V06 Calend 01'!J87,0))</f>
        <v>0</v>
      </c>
      <c r="BZ87" s="2">
        <f>((IF((66='V06 Calend 01'!C87),('V06 Calend 01'!F87+'V06 Calend 01'!G87),0)+IF(AND(('V06 Calend 01'!E87&gt;0),(66&gt;'V06 Calend 01'!C87),(66&lt;'V06 Calend 01'!D87),(MOD((66-'V06 Calend 01'!C87),6)=0),(((66-'V06 Calend 01'!C87)/6)&lt;='V06 Calend 01'!E87)),IF((66=('V06 Calend 01'!C87+(6*'V06 Calend 01'!E87))),('V06 Calend 01'!H87-('V06 Calend 01'!I87*('V06 Calend 01'!E87-1))),'V06 Calend 01'!I87),0))+IF((66='V06 Calend 01'!D87),'V06 Calend 01'!J87,0))</f>
        <v>0</v>
      </c>
      <c r="CA87" s="2">
        <f>((IF((67='V06 Calend 01'!C87),('V06 Calend 01'!F87+'V06 Calend 01'!G87),0)+IF(AND(('V06 Calend 01'!E87&gt;0),(67&gt;'V06 Calend 01'!C87),(67&lt;'V06 Calend 01'!D87),(MOD((67-'V06 Calend 01'!C87),6)=0),(((67-'V06 Calend 01'!C87)/6)&lt;='V06 Calend 01'!E87)),IF((67=('V06 Calend 01'!C87+(6*'V06 Calend 01'!E87))),('V06 Calend 01'!H87-('V06 Calend 01'!I87*('V06 Calend 01'!E87-1))),'V06 Calend 01'!I87),0))+IF((67='V06 Calend 01'!D87),'V06 Calend 01'!J87,0))</f>
        <v>0</v>
      </c>
      <c r="CB87" s="2">
        <f>((IF((68='V06 Calend 01'!C87),('V06 Calend 01'!F87+'V06 Calend 01'!G87),0)+IF(AND(('V06 Calend 01'!E87&gt;0),(68&gt;'V06 Calend 01'!C87),(68&lt;'V06 Calend 01'!D87),(MOD((68-'V06 Calend 01'!C87),6)=0),(((68-'V06 Calend 01'!C87)/6)&lt;='V06 Calend 01'!E87)),IF((68=('V06 Calend 01'!C87+(6*'V06 Calend 01'!E87))),('V06 Calend 01'!H87-('V06 Calend 01'!I87*('V06 Calend 01'!E87-1))),'V06 Calend 01'!I87),0))+IF((68='V06 Calend 01'!D87),'V06 Calend 01'!J87,0))</f>
        <v>0</v>
      </c>
      <c r="CC87" s="2">
        <f>((IF((69='V06 Calend 01'!C87),('V06 Calend 01'!F87+'V06 Calend 01'!G87),0)+IF(AND(('V06 Calend 01'!E87&gt;0),(69&gt;'V06 Calend 01'!C87),(69&lt;'V06 Calend 01'!D87),(MOD((69-'V06 Calend 01'!C87),6)=0),(((69-'V06 Calend 01'!C87)/6)&lt;='V06 Calend 01'!E87)),IF((69=('V06 Calend 01'!C87+(6*'V06 Calend 01'!E87))),('V06 Calend 01'!H87-('V06 Calend 01'!I87*('V06 Calend 01'!E87-1))),'V06 Calend 01'!I87),0))+IF((69='V06 Calend 01'!D87),'V06 Calend 01'!J87,0))</f>
        <v>0</v>
      </c>
      <c r="CD87" s="2">
        <f>((IF((70='V06 Calend 01'!C87),('V06 Calend 01'!F87+'V06 Calend 01'!G87),0)+IF(AND(('V06 Calend 01'!E87&gt;0),(70&gt;'V06 Calend 01'!C87),(70&lt;'V06 Calend 01'!D87),(MOD((70-'V06 Calend 01'!C87),6)=0),(((70-'V06 Calend 01'!C87)/6)&lt;='V06 Calend 01'!E87)),IF((70=('V06 Calend 01'!C87+(6*'V06 Calend 01'!E87))),('V06 Calend 01'!H87-('V06 Calend 01'!I87*('V06 Calend 01'!E87-1))),'V06 Calend 01'!I87),0))+IF((70='V06 Calend 01'!D87),'V06 Calend 01'!J87,0))</f>
        <v>0</v>
      </c>
      <c r="CE87" s="2">
        <f>((IF((71='V06 Calend 01'!C87),('V06 Calend 01'!F87+'V06 Calend 01'!G87),0)+IF(AND(('V06 Calend 01'!E87&gt;0),(71&gt;'V06 Calend 01'!C87),(71&lt;'V06 Calend 01'!D87),(MOD((71-'V06 Calend 01'!C87),6)=0),(((71-'V06 Calend 01'!C87)/6)&lt;='V06 Calend 01'!E87)),IF((71=('V06 Calend 01'!C87+(6*'V06 Calend 01'!E87))),('V06 Calend 01'!H87-('V06 Calend 01'!I87*('V06 Calend 01'!E87-1))),'V06 Calend 01'!I87),0))+IF((71='V06 Calend 01'!D87),'V06 Calend 01'!J87,0))</f>
        <v>0</v>
      </c>
      <c r="CF87" s="2">
        <f>((IF((72='V06 Calend 01'!C87),('V06 Calend 01'!F87+'V06 Calend 01'!G87),0)+IF(AND(('V06 Calend 01'!E87&gt;0),(72&gt;'V06 Calend 01'!C87),(72&lt;'V06 Calend 01'!D87),(MOD((72-'V06 Calend 01'!C87),6)=0),(((72-'V06 Calend 01'!C87)/6)&lt;='V06 Calend 01'!E87)),IF((72=('V06 Calend 01'!C87+(6*'V06 Calend 01'!E87))),('V06 Calend 01'!H87-('V06 Calend 01'!I87*('V06 Calend 01'!E87-1))),'V06 Calend 01'!I87),0))+IF((72='V06 Calend 01'!D87),'V06 Calend 01'!J87,0))</f>
        <v>0</v>
      </c>
      <c r="CG87" s="2">
        <f>((IF((73='V06 Calend 01'!C87),('V06 Calend 01'!F87+'V06 Calend 01'!G87),0)+IF(AND(('V06 Calend 01'!E87&gt;0),(73&gt;'V06 Calend 01'!C87),(73&lt;'V06 Calend 01'!D87),(MOD((73-'V06 Calend 01'!C87),6)=0),(((73-'V06 Calend 01'!C87)/6)&lt;='V06 Calend 01'!E87)),IF((73=('V06 Calend 01'!C87+(6*'V06 Calend 01'!E87))),('V06 Calend 01'!H87-('V06 Calend 01'!I87*('V06 Calend 01'!E87-1))),'V06 Calend 01'!I87),0))+IF((73='V06 Calend 01'!D87),'V06 Calend 01'!J87,0))</f>
        <v>0</v>
      </c>
      <c r="CH87" s="2">
        <f>((IF((74='V06 Calend 01'!C87),('V06 Calend 01'!F87+'V06 Calend 01'!G87),0)+IF(AND(('V06 Calend 01'!E87&gt;0),(74&gt;'V06 Calend 01'!C87),(74&lt;'V06 Calend 01'!D87),(MOD((74-'V06 Calend 01'!C87),6)=0),(((74-'V06 Calend 01'!C87)/6)&lt;='V06 Calend 01'!E87)),IF((74=('V06 Calend 01'!C87+(6*'V06 Calend 01'!E87))),('V06 Calend 01'!H87-('V06 Calend 01'!I87*('V06 Calend 01'!E87-1))),'V06 Calend 01'!I87),0))+IF((74='V06 Calend 01'!D87),'V06 Calend 01'!J87,0))</f>
        <v>0</v>
      </c>
      <c r="CI87" s="2">
        <f>((IF((75='V06 Calend 01'!C87),('V06 Calend 01'!F87+'V06 Calend 01'!G87),0)+IF(AND(('V06 Calend 01'!E87&gt;0),(75&gt;'V06 Calend 01'!C87),(75&lt;'V06 Calend 01'!D87),(MOD((75-'V06 Calend 01'!C87),6)=0),(((75-'V06 Calend 01'!C87)/6)&lt;='V06 Calend 01'!E87)),IF((75=('V06 Calend 01'!C87+(6*'V06 Calend 01'!E87))),('V06 Calend 01'!H87-('V06 Calend 01'!I87*('V06 Calend 01'!E87-1))),'V06 Calend 01'!I87),0))+IF((75='V06 Calend 01'!D87),'V06 Calend 01'!J87,0))</f>
        <v>0</v>
      </c>
      <c r="CJ87" s="2">
        <f>((IF((76='V06 Calend 01'!C87),('V06 Calend 01'!F87+'V06 Calend 01'!G87),0)+IF(AND(('V06 Calend 01'!E87&gt;0),(76&gt;'V06 Calend 01'!C87),(76&lt;'V06 Calend 01'!D87),(MOD((76-'V06 Calend 01'!C87),6)=0),(((76-'V06 Calend 01'!C87)/6)&lt;='V06 Calend 01'!E87)),IF((76=('V06 Calend 01'!C87+(6*'V06 Calend 01'!E87))),('V06 Calend 01'!H87-('V06 Calend 01'!I87*('V06 Calend 01'!E87-1))),'V06 Calend 01'!I87),0))+IF((76='V06 Calend 01'!D87),'V06 Calend 01'!J87,0))</f>
        <v>0</v>
      </c>
      <c r="CK87" s="2">
        <f>((IF((77='V06 Calend 01'!C87),('V06 Calend 01'!F87+'V06 Calend 01'!G87),0)+IF(AND(('V06 Calend 01'!E87&gt;0),(77&gt;'V06 Calend 01'!C87),(77&lt;'V06 Calend 01'!D87),(MOD((77-'V06 Calend 01'!C87),6)=0),(((77-'V06 Calend 01'!C87)/6)&lt;='V06 Calend 01'!E87)),IF((77=('V06 Calend 01'!C87+(6*'V06 Calend 01'!E87))),('V06 Calend 01'!H87-('V06 Calend 01'!I87*('V06 Calend 01'!E87-1))),'V06 Calend 01'!I87),0))+IF((77='V06 Calend 01'!D87),'V06 Calend 01'!J87,0))</f>
        <v>0</v>
      </c>
      <c r="CL87" s="2">
        <f>((IF((78='V06 Calend 01'!C87),('V06 Calend 01'!F87+'V06 Calend 01'!G87),0)+IF(AND(('V06 Calend 01'!E87&gt;0),(78&gt;'V06 Calend 01'!C87),(78&lt;'V06 Calend 01'!D87),(MOD((78-'V06 Calend 01'!C87),6)=0),(((78-'V06 Calend 01'!C87)/6)&lt;='V06 Calend 01'!E87)),IF((78=('V06 Calend 01'!C87+(6*'V06 Calend 01'!E87))),('V06 Calend 01'!H87-('V06 Calend 01'!I87*('V06 Calend 01'!E87-1))),'V06 Calend 01'!I87),0))+IF((78='V06 Calend 01'!D87),'V06 Calend 01'!J87,0))</f>
        <v>0</v>
      </c>
      <c r="CM87" s="2">
        <f>((IF((79='V06 Calend 01'!C87),('V06 Calend 01'!F87+'V06 Calend 01'!G87),0)+IF(AND(('V06 Calend 01'!E87&gt;0),(79&gt;'V06 Calend 01'!C87),(79&lt;'V06 Calend 01'!D87),(MOD((79-'V06 Calend 01'!C87),6)=0),(((79-'V06 Calend 01'!C87)/6)&lt;='V06 Calend 01'!E87)),IF((79=('V06 Calend 01'!C87+(6*'V06 Calend 01'!E87))),('V06 Calend 01'!H87-('V06 Calend 01'!I87*('V06 Calend 01'!E87-1))),'V06 Calend 01'!I87),0))+IF((79='V06 Calend 01'!D87),'V06 Calend 01'!J87,0))</f>
        <v>0</v>
      </c>
      <c r="CN87" s="2">
        <f>((IF((80='V06 Calend 01'!C87),('V06 Calend 01'!F87+'V06 Calend 01'!G87),0)+IF(AND(('V06 Calend 01'!E87&gt;0),(80&gt;'V06 Calend 01'!C87),(80&lt;'V06 Calend 01'!D87),(MOD((80-'V06 Calend 01'!C87),6)=0),(((80-'V06 Calend 01'!C87)/6)&lt;='V06 Calend 01'!E87)),IF((80=('V06 Calend 01'!C87+(6*'V06 Calend 01'!E87))),('V06 Calend 01'!H87-('V06 Calend 01'!I87*('V06 Calend 01'!E87-1))),'V06 Calend 01'!I87),0))+IF((80='V06 Calend 01'!D87),'V06 Calend 01'!J87,0))</f>
        <v>0</v>
      </c>
      <c r="CO87" s="2">
        <f>((IF((81='V06 Calend 01'!C87),('V06 Calend 01'!F87+'V06 Calend 01'!G87),0)+IF(AND(('V06 Calend 01'!E87&gt;0),(81&gt;'V06 Calend 01'!C87),(81&lt;'V06 Calend 01'!D87),(MOD((81-'V06 Calend 01'!C87),6)=0),(((81-'V06 Calend 01'!C87)/6)&lt;='V06 Calend 01'!E87)),IF((81=('V06 Calend 01'!C87+(6*'V06 Calend 01'!E87))),('V06 Calend 01'!H87-('V06 Calend 01'!I87*('V06 Calend 01'!E87-1))),'V06 Calend 01'!I87),0))+IF((81='V06 Calend 01'!D87),'V06 Calend 01'!J87,0))</f>
        <v>0</v>
      </c>
      <c r="CP87" s="2">
        <f>((IF((82='V06 Calend 01'!C87),('V06 Calend 01'!F87+'V06 Calend 01'!G87),0)+IF(AND(('V06 Calend 01'!E87&gt;0),(82&gt;'V06 Calend 01'!C87),(82&lt;'V06 Calend 01'!D87),(MOD((82-'V06 Calend 01'!C87),6)=0),(((82-'V06 Calend 01'!C87)/6)&lt;='V06 Calend 01'!E87)),IF((82=('V06 Calend 01'!C87+(6*'V06 Calend 01'!E87))),('V06 Calend 01'!H87-('V06 Calend 01'!I87*('V06 Calend 01'!E87-1))),'V06 Calend 01'!I87),0))+IF((82='V06 Calend 01'!D87),'V06 Calend 01'!J87,0))</f>
        <v>0</v>
      </c>
      <c r="CQ87" s="2">
        <f>((IF((83='V06 Calend 01'!C87),('V06 Calend 01'!F87+'V06 Calend 01'!G87),0)+IF(AND(('V06 Calend 01'!E87&gt;0),(83&gt;'V06 Calend 01'!C87),(83&lt;'V06 Calend 01'!D87),(MOD((83-'V06 Calend 01'!C87),6)=0),(((83-'V06 Calend 01'!C87)/6)&lt;='V06 Calend 01'!E87)),IF((83=('V06 Calend 01'!C87+(6*'V06 Calend 01'!E87))),('V06 Calend 01'!H87-('V06 Calend 01'!I87*('V06 Calend 01'!E87-1))),'V06 Calend 01'!I87),0))+IF((83='V06 Calend 01'!D87),'V06 Calend 01'!J87,0))</f>
        <v>0</v>
      </c>
      <c r="CR87" s="2">
        <f>((IF((84='V06 Calend 01'!C87),('V06 Calend 01'!F87+'V06 Calend 01'!G87),0)+IF(AND(('V06 Calend 01'!E87&gt;0),(84&gt;'V06 Calend 01'!C87),(84&lt;'V06 Calend 01'!D87),(MOD((84-'V06 Calend 01'!C87),6)=0),(((84-'V06 Calend 01'!C87)/6)&lt;='V06 Calend 01'!E87)),IF((84=('V06 Calend 01'!C87+(6*'V06 Calend 01'!E87))),('V06 Calend 01'!H87-('V06 Calend 01'!I87*('V06 Calend 01'!E87-1))),'V06 Calend 01'!I87),0))+IF((84='V06 Calend 01'!D87),'V06 Calend 01'!J87,0))</f>
        <v>0</v>
      </c>
      <c r="CS87" s="2">
        <f>((IF((85='V06 Calend 01'!C87),('V06 Calend 01'!F87+'V06 Calend 01'!G87),0)+IF(AND(('V06 Calend 01'!E87&gt;0),(85&gt;'V06 Calend 01'!C87),(85&lt;'V06 Calend 01'!D87),(MOD((85-'V06 Calend 01'!C87),6)=0),(((85-'V06 Calend 01'!C87)/6)&lt;='V06 Calend 01'!E87)),IF((85=('V06 Calend 01'!C87+(6*'V06 Calend 01'!E87))),('V06 Calend 01'!H87-('V06 Calend 01'!I87*('V06 Calend 01'!E87-1))),'V06 Calend 01'!I87),0))+IF((85='V06 Calend 01'!D87),'V06 Calend 01'!J87,0))</f>
        <v>0</v>
      </c>
      <c r="CT87" s="2">
        <f>((IF((86='V06 Calend 01'!C87),('V06 Calend 01'!F87+'V06 Calend 01'!G87),0)+IF(AND(('V06 Calend 01'!E87&gt;0),(86&gt;'V06 Calend 01'!C87),(86&lt;'V06 Calend 01'!D87),(MOD((86-'V06 Calend 01'!C87),6)=0),(((86-'V06 Calend 01'!C87)/6)&lt;='V06 Calend 01'!E87)),IF((86=('V06 Calend 01'!C87+(6*'V06 Calend 01'!E87))),('V06 Calend 01'!H87-('V06 Calend 01'!I87*('V06 Calend 01'!E87-1))),'V06 Calend 01'!I87),0))+IF((86='V06 Calend 01'!D87),'V06 Calend 01'!J87,0))</f>
        <v>0</v>
      </c>
      <c r="CU87" s="2">
        <f>((IF((87='V06 Calend 01'!C87),('V06 Calend 01'!F87+'V06 Calend 01'!G87),0)+IF(AND(('V06 Calend 01'!E87&gt;0),(87&gt;'V06 Calend 01'!C87),(87&lt;'V06 Calend 01'!D87),(MOD((87-'V06 Calend 01'!C87),6)=0),(((87-'V06 Calend 01'!C87)/6)&lt;='V06 Calend 01'!E87)),IF((87=('V06 Calend 01'!C87+(6*'V06 Calend 01'!E87))),('V06 Calend 01'!H87-('V06 Calend 01'!I87*('V06 Calend 01'!E87-1))),'V06 Calend 01'!I87),0))+IF((87='V06 Calend 01'!D87),'V06 Calend 01'!J87,0))</f>
        <v>0</v>
      </c>
      <c r="CV87" s="2">
        <f>((IF((88='V06 Calend 01'!C87),('V06 Calend 01'!F87+'V06 Calend 01'!G87),0)+IF(AND(('V06 Calend 01'!E87&gt;0),(88&gt;'V06 Calend 01'!C87),(88&lt;'V06 Calend 01'!D87),(MOD((88-'V06 Calend 01'!C87),6)=0),(((88-'V06 Calend 01'!C87)/6)&lt;='V06 Calend 01'!E87)),IF((88=('V06 Calend 01'!C87+(6*'V06 Calend 01'!E87))),('V06 Calend 01'!H87-('V06 Calend 01'!I87*('V06 Calend 01'!E87-1))),'V06 Calend 01'!I87),0))+IF((88='V06 Calend 01'!D87),'V06 Calend 01'!J87,0))</f>
        <v>0</v>
      </c>
      <c r="CW87" s="2">
        <f>((IF((89='V06 Calend 01'!C87),('V06 Calend 01'!F87+'V06 Calend 01'!G87),0)+IF(AND(('V06 Calend 01'!E87&gt;0),(89&gt;'V06 Calend 01'!C87),(89&lt;'V06 Calend 01'!D87),(MOD((89-'V06 Calend 01'!C87),6)=0),(((89-'V06 Calend 01'!C87)/6)&lt;='V06 Calend 01'!E87)),IF((89=('V06 Calend 01'!C87+(6*'V06 Calend 01'!E87))),('V06 Calend 01'!H87-('V06 Calend 01'!I87*('V06 Calend 01'!E87-1))),'V06 Calend 01'!I87),0))+IF((89='V06 Calend 01'!D87),'V06 Calend 01'!J87,0))</f>
        <v>0</v>
      </c>
      <c r="CX87" s="2">
        <f>((IF((90='V06 Calend 01'!C87),('V06 Calend 01'!F87+'V06 Calend 01'!G87),0)+IF(AND(('V06 Calend 01'!E87&gt;0),(90&gt;'V06 Calend 01'!C87),(90&lt;'V06 Calend 01'!D87),(MOD((90-'V06 Calend 01'!C87),6)=0),(((90-'V06 Calend 01'!C87)/6)&lt;='V06 Calend 01'!E87)),IF((90=('V06 Calend 01'!C87+(6*'V06 Calend 01'!E87))),('V06 Calend 01'!H87-('V06 Calend 01'!I87*('V06 Calend 01'!E87-1))),'V06 Calend 01'!I87),0))+IF((90='V06 Calend 01'!D87),'V06 Calend 01'!J87,0))</f>
        <v>0</v>
      </c>
      <c r="CY87" s="2">
        <f>((IF((91='V06 Calend 01'!C87),('V06 Calend 01'!F87+'V06 Calend 01'!G87),0)+IF(AND(('V06 Calend 01'!E87&gt;0),(91&gt;'V06 Calend 01'!C87),(91&lt;'V06 Calend 01'!D87),(MOD((91-'V06 Calend 01'!C87),6)=0),(((91-'V06 Calend 01'!C87)/6)&lt;='V06 Calend 01'!E87)),IF((91=('V06 Calend 01'!C87+(6*'V06 Calend 01'!E87))),('V06 Calend 01'!H87-('V06 Calend 01'!I87*('V06 Calend 01'!E87-1))),'V06 Calend 01'!I87),0))+IF((91='V06 Calend 01'!D87),'V06 Calend 01'!J87,0))</f>
        <v>0</v>
      </c>
      <c r="CZ87" s="2">
        <f>((IF((92='V06 Calend 01'!C87),('V06 Calend 01'!F87+'V06 Calend 01'!G87),0)+IF(AND(('V06 Calend 01'!E87&gt;0),(92&gt;'V06 Calend 01'!C87),(92&lt;'V06 Calend 01'!D87),(MOD((92-'V06 Calend 01'!C87),6)=0),(((92-'V06 Calend 01'!C87)/6)&lt;='V06 Calend 01'!E87)),IF((92=('V06 Calend 01'!C87+(6*'V06 Calend 01'!E87))),('V06 Calend 01'!H87-('V06 Calend 01'!I87*('V06 Calend 01'!E87-1))),'V06 Calend 01'!I87),0))+IF((92='V06 Calend 01'!D87),'V06 Calend 01'!J87,0))</f>
        <v>0</v>
      </c>
      <c r="DA87" s="2">
        <f>((IF((93='V06 Calend 01'!C87),('V06 Calend 01'!F87+'V06 Calend 01'!G87),0)+IF(AND(('V06 Calend 01'!E87&gt;0),(93&gt;'V06 Calend 01'!C87),(93&lt;'V06 Calend 01'!D87),(MOD((93-'V06 Calend 01'!C87),6)=0),(((93-'V06 Calend 01'!C87)/6)&lt;='V06 Calend 01'!E87)),IF((93=('V06 Calend 01'!C87+(6*'V06 Calend 01'!E87))),('V06 Calend 01'!H87-('V06 Calend 01'!I87*('V06 Calend 01'!E87-1))),'V06 Calend 01'!I87),0))+IF((93='V06 Calend 01'!D87),'V06 Calend 01'!J87,0))</f>
        <v>0</v>
      </c>
      <c r="DB87" s="2">
        <f>((IF((94='V06 Calend 01'!C87),('V06 Calend 01'!F87+'V06 Calend 01'!G87),0)+IF(AND(('V06 Calend 01'!E87&gt;0),(94&gt;'V06 Calend 01'!C87),(94&lt;'V06 Calend 01'!D87),(MOD((94-'V06 Calend 01'!C87),6)=0),(((94-'V06 Calend 01'!C87)/6)&lt;='V06 Calend 01'!E87)),IF((94=('V06 Calend 01'!C87+(6*'V06 Calend 01'!E87))),('V06 Calend 01'!H87-('V06 Calend 01'!I87*('V06 Calend 01'!E87-1))),'V06 Calend 01'!I87),0))+IF((94='V06 Calend 01'!D87),'V06 Calend 01'!J87,0))</f>
        <v>0</v>
      </c>
      <c r="DC87" s="2">
        <f>((IF((95='V06 Calend 01'!C87),('V06 Calend 01'!F87+'V06 Calend 01'!G87),0)+IF(AND(('V06 Calend 01'!E87&gt;0),(95&gt;'V06 Calend 01'!C87),(95&lt;'V06 Calend 01'!D87),(MOD((95-'V06 Calend 01'!C87),6)=0),(((95-'V06 Calend 01'!C87)/6)&lt;='V06 Calend 01'!E87)),IF((95=('V06 Calend 01'!C87+(6*'V06 Calend 01'!E87))),('V06 Calend 01'!H87-('V06 Calend 01'!I87*('V06 Calend 01'!E87-1))),'V06 Calend 01'!I87),0))+IF((95='V06 Calend 01'!D87),'V06 Calend 01'!J87,0))</f>
        <v>0</v>
      </c>
      <c r="DD87" s="2">
        <f>((IF((96='V06 Calend 01'!C87),('V06 Calend 01'!F87+'V06 Calend 01'!G87),0)+IF(AND(('V06 Calend 01'!E87&gt;0),(96&gt;'V06 Calend 01'!C87),(96&lt;'V06 Calend 01'!D87),(MOD((96-'V06 Calend 01'!C87),6)=0),(((96-'V06 Calend 01'!C87)/6)&lt;='V06 Calend 01'!E87)),IF((96=('V06 Calend 01'!C87+(6*'V06 Calend 01'!E87))),('V06 Calend 01'!H87-('V06 Calend 01'!I87*('V06 Calend 01'!E87-1))),'V06 Calend 01'!I87),0))+IF((96='V06 Calend 01'!D87),'V06 Calend 01'!J87,0))</f>
        <v>0</v>
      </c>
      <c r="DE87" s="2">
        <f>((IF((97='V06 Calend 01'!C87),('V06 Calend 01'!F87+'V06 Calend 01'!G87),0)+IF(AND(('V06 Calend 01'!E87&gt;0),(97&gt;'V06 Calend 01'!C87),(97&lt;'V06 Calend 01'!D87),(MOD((97-'V06 Calend 01'!C87),6)=0),(((97-'V06 Calend 01'!C87)/6)&lt;='V06 Calend 01'!E87)),IF((97=('V06 Calend 01'!C87+(6*'V06 Calend 01'!E87))),('V06 Calend 01'!H87-('V06 Calend 01'!I87*('V06 Calend 01'!E87-1))),'V06 Calend 01'!I87),0))+IF((97='V06 Calend 01'!D87),'V06 Calend 01'!J87,0))</f>
        <v>0</v>
      </c>
      <c r="DF87" s="2">
        <f>((IF((98='V06 Calend 01'!C87),('V06 Calend 01'!F87+'V06 Calend 01'!G87),0)+IF(AND(('V06 Calend 01'!E87&gt;0),(98&gt;'V06 Calend 01'!C87),(98&lt;'V06 Calend 01'!D87),(MOD((98-'V06 Calend 01'!C87),6)=0),(((98-'V06 Calend 01'!C87)/6)&lt;='V06 Calend 01'!E87)),IF((98=('V06 Calend 01'!C87+(6*'V06 Calend 01'!E87))),('V06 Calend 01'!H87-('V06 Calend 01'!I87*('V06 Calend 01'!E87-1))),'V06 Calend 01'!I87),0))+IF((98='V06 Calend 01'!D87),'V06 Calend 01'!J87,0))</f>
        <v>0</v>
      </c>
      <c r="DG87" s="2">
        <f>((IF((99='V06 Calend 01'!C87),('V06 Calend 01'!F87+'V06 Calend 01'!G87),0)+IF(AND(('V06 Calend 01'!E87&gt;0),(99&gt;'V06 Calend 01'!C87),(99&lt;'V06 Calend 01'!D87),(MOD((99-'V06 Calend 01'!C87),6)=0),(((99-'V06 Calend 01'!C87)/6)&lt;='V06 Calend 01'!E87)),IF((99=('V06 Calend 01'!C87+(6*'V06 Calend 01'!E87))),('V06 Calend 01'!H87-('V06 Calend 01'!I87*('V06 Calend 01'!E87-1))),'V06 Calend 01'!I87),0))+IF((99='V06 Calend 01'!D87),'V06 Calend 01'!J87,0))</f>
        <v>0</v>
      </c>
      <c r="DH87" s="2">
        <f>((IF((100='V06 Calend 01'!C87),('V06 Calend 01'!F87+'V06 Calend 01'!G87),0)+IF(AND(('V06 Calend 01'!E87&gt;0),(100&gt;'V06 Calend 01'!C87),(100&lt;'V06 Calend 01'!D87),(MOD((100-'V06 Calend 01'!C87),6)=0),(((100-'V06 Calend 01'!C87)/6)&lt;='V06 Calend 01'!E87)),IF((100=('V06 Calend 01'!C87+(6*'V06 Calend 01'!E87))),('V06 Calend 01'!H87-('V06 Calend 01'!I87*('V06 Calend 01'!E87-1))),'V06 Calend 01'!I87),0))+IF((100='V06 Calend 01'!D87),'V06 Calend 01'!J87,0))</f>
        <v>0</v>
      </c>
      <c r="DI87" s="2">
        <f>((IF((101='V06 Calend 01'!C87),('V06 Calend 01'!F87+'V06 Calend 01'!G87),0)+IF(AND(('V06 Calend 01'!E87&gt;0),(101&gt;'V06 Calend 01'!C87),(101&lt;'V06 Calend 01'!D87),(MOD((101-'V06 Calend 01'!C87),6)=0),(((101-'V06 Calend 01'!C87)/6)&lt;='V06 Calend 01'!E87)),IF((101=('V06 Calend 01'!C87+(6*'V06 Calend 01'!E87))),('V06 Calend 01'!H87-('V06 Calend 01'!I87*('V06 Calend 01'!E87-1))),'V06 Calend 01'!I87),0))+IF((101='V06 Calend 01'!D87),'V06 Calend 01'!J87,0))</f>
        <v>0</v>
      </c>
      <c r="DJ87" s="2">
        <f>((IF((102='V06 Calend 01'!C87),('V06 Calend 01'!F87+'V06 Calend 01'!G87),0)+IF(AND(('V06 Calend 01'!E87&gt;0),(102&gt;'V06 Calend 01'!C87),(102&lt;'V06 Calend 01'!D87),(MOD((102-'V06 Calend 01'!C87),6)=0),(((102-'V06 Calend 01'!C87)/6)&lt;='V06 Calend 01'!E87)),IF((102=('V06 Calend 01'!C87+(6*'V06 Calend 01'!E87))),('V06 Calend 01'!H87-('V06 Calend 01'!I87*('V06 Calend 01'!E87-1))),'V06 Calend 01'!I87),0))+IF((102='V06 Calend 01'!D87),'V06 Calend 01'!J87,0))</f>
        <v>0</v>
      </c>
      <c r="DK87" s="2">
        <f>((IF((103='V06 Calend 01'!C87),('V06 Calend 01'!F87+'V06 Calend 01'!G87),0)+IF(AND(('V06 Calend 01'!E87&gt;0),(103&gt;'V06 Calend 01'!C87),(103&lt;'V06 Calend 01'!D87),(MOD((103-'V06 Calend 01'!C87),6)=0),(((103-'V06 Calend 01'!C87)/6)&lt;='V06 Calend 01'!E87)),IF((103=('V06 Calend 01'!C87+(6*'V06 Calend 01'!E87))),('V06 Calend 01'!H87-('V06 Calend 01'!I87*('V06 Calend 01'!E87-1))),'V06 Calend 01'!I87),0))+IF((103='V06 Calend 01'!D87),'V06 Calend 01'!J87,0))</f>
        <v>0</v>
      </c>
      <c r="DL87" s="2">
        <f>((IF((104='V06 Calend 01'!C87),('V06 Calend 01'!F87+'V06 Calend 01'!G87),0)+IF(AND(('V06 Calend 01'!E87&gt;0),(104&gt;'V06 Calend 01'!C87),(104&lt;'V06 Calend 01'!D87),(MOD((104-'V06 Calend 01'!C87),6)=0),(((104-'V06 Calend 01'!C87)/6)&lt;='V06 Calend 01'!E87)),IF((104=('V06 Calend 01'!C87+(6*'V06 Calend 01'!E87))),('V06 Calend 01'!H87-('V06 Calend 01'!I87*('V06 Calend 01'!E87-1))),'V06 Calend 01'!I87),0))+IF((104='V06 Calend 01'!D87),'V06 Calend 01'!J87,0))</f>
        <v>0</v>
      </c>
      <c r="DM87" s="2">
        <f>((IF((105='V06 Calend 01'!C87),('V06 Calend 01'!F87+'V06 Calend 01'!G87),0)+IF(AND(('V06 Calend 01'!E87&gt;0),(105&gt;'V06 Calend 01'!C87),(105&lt;'V06 Calend 01'!D87),(MOD((105-'V06 Calend 01'!C87),6)=0),(((105-'V06 Calend 01'!C87)/6)&lt;='V06 Calend 01'!E87)),IF((105=('V06 Calend 01'!C87+(6*'V06 Calend 01'!E87))),('V06 Calend 01'!H87-('V06 Calend 01'!I87*('V06 Calend 01'!E87-1))),'V06 Calend 01'!I87),0))+IF((105='V06 Calend 01'!D87),'V06 Calend 01'!J87,0))</f>
        <v>0</v>
      </c>
      <c r="DN87" s="2">
        <f>((IF((106='V06 Calend 01'!C87),('V06 Calend 01'!F87+'V06 Calend 01'!G87),0)+IF(AND(('V06 Calend 01'!E87&gt;0),(106&gt;'V06 Calend 01'!C87),(106&lt;'V06 Calend 01'!D87),(MOD((106-'V06 Calend 01'!C87),6)=0),(((106-'V06 Calend 01'!C87)/6)&lt;='V06 Calend 01'!E87)),IF((106=('V06 Calend 01'!C87+(6*'V06 Calend 01'!E87))),('V06 Calend 01'!H87-('V06 Calend 01'!I87*('V06 Calend 01'!E87-1))),'V06 Calend 01'!I87),0))+IF((106='V06 Calend 01'!D87),'V06 Calend 01'!J87,0))</f>
        <v>0</v>
      </c>
      <c r="DO87" s="2">
        <f>((IF((107='V06 Calend 01'!C87),('V06 Calend 01'!F87+'V06 Calend 01'!G87),0)+IF(AND(('V06 Calend 01'!E87&gt;0),(107&gt;'V06 Calend 01'!C87),(107&lt;'V06 Calend 01'!D87),(MOD((107-'V06 Calend 01'!C87),6)=0),(((107-'V06 Calend 01'!C87)/6)&lt;='V06 Calend 01'!E87)),IF((107=('V06 Calend 01'!C87+(6*'V06 Calend 01'!E87))),('V06 Calend 01'!H87-('V06 Calend 01'!I87*('V06 Calend 01'!E87-1))),'V06 Calend 01'!I87),0))+IF((107='V06 Calend 01'!D87),'V06 Calend 01'!J87,0))</f>
        <v>0</v>
      </c>
      <c r="DP87" s="2">
        <f>((IF((108='V06 Calend 01'!C87),('V06 Calend 01'!F87+'V06 Calend 01'!G87),0)+IF(AND(('V06 Calend 01'!E87&gt;0),(108&gt;'V06 Calend 01'!C87),(108&lt;'V06 Calend 01'!D87),(MOD((108-'V06 Calend 01'!C87),6)=0),(((108-'V06 Calend 01'!C87)/6)&lt;='V06 Calend 01'!E87)),IF((108=('V06 Calend 01'!C87+(6*'V06 Calend 01'!E87))),('V06 Calend 01'!H87-('V06 Calend 01'!I87*('V06 Calend 01'!E87-1))),'V06 Calend 01'!I87),0))+IF((108='V06 Calend 01'!D87),'V06 Calend 01'!J87,0))</f>
        <v>0</v>
      </c>
      <c r="DQ87" s="2">
        <f>((IF((109='V06 Calend 01'!C87),('V06 Calend 01'!F87+'V06 Calend 01'!G87),0)+IF(AND(('V06 Calend 01'!E87&gt;0),(109&gt;'V06 Calend 01'!C87),(109&lt;'V06 Calend 01'!D87),(MOD((109-'V06 Calend 01'!C87),6)=0),(((109-'V06 Calend 01'!C87)/6)&lt;='V06 Calend 01'!E87)),IF((109=('V06 Calend 01'!C87+(6*'V06 Calend 01'!E87))),('V06 Calend 01'!H87-('V06 Calend 01'!I87*('V06 Calend 01'!E87-1))),'V06 Calend 01'!I87),0))+IF((109='V06 Calend 01'!D87),'V06 Calend 01'!J87,0))</f>
        <v>0</v>
      </c>
      <c r="DR87" s="2">
        <f>((IF((110='V06 Calend 01'!C87),('V06 Calend 01'!F87+'V06 Calend 01'!G87),0)+IF(AND(('V06 Calend 01'!E87&gt;0),(110&gt;'V06 Calend 01'!C87),(110&lt;'V06 Calend 01'!D87),(MOD((110-'V06 Calend 01'!C87),6)=0),(((110-'V06 Calend 01'!C87)/6)&lt;='V06 Calend 01'!E87)),IF((110=('V06 Calend 01'!C87+(6*'V06 Calend 01'!E87))),('V06 Calend 01'!H87-('V06 Calend 01'!I87*('V06 Calend 01'!E87-1))),'V06 Calend 01'!I87),0))+IF((110='V06 Calend 01'!D87),'V06 Calend 01'!J87,0))</f>
        <v>0</v>
      </c>
      <c r="DS87" s="2">
        <f>((IF((111='V06 Calend 01'!C87),('V06 Calend 01'!F87+'V06 Calend 01'!G87),0)+IF(AND(('V06 Calend 01'!E87&gt;0),(111&gt;'V06 Calend 01'!C87),(111&lt;'V06 Calend 01'!D87),(MOD((111-'V06 Calend 01'!C87),6)=0),(((111-'V06 Calend 01'!C87)/6)&lt;='V06 Calend 01'!E87)),IF((111=('V06 Calend 01'!C87+(6*'V06 Calend 01'!E87))),('V06 Calend 01'!H87-('V06 Calend 01'!I87*('V06 Calend 01'!E87-1))),'V06 Calend 01'!I87),0))+IF((111='V06 Calend 01'!D87),'V06 Calend 01'!J87,0))</f>
        <v>0</v>
      </c>
      <c r="DT87" s="2">
        <f>((IF((112='V06 Calend 01'!C87),('V06 Calend 01'!F87+'V06 Calend 01'!G87),0)+IF(AND(('V06 Calend 01'!E87&gt;0),(112&gt;'V06 Calend 01'!C87),(112&lt;'V06 Calend 01'!D87),(MOD((112-'V06 Calend 01'!C87),6)=0),(((112-'V06 Calend 01'!C87)/6)&lt;='V06 Calend 01'!E87)),IF((112=('V06 Calend 01'!C87+(6*'V06 Calend 01'!E87))),('V06 Calend 01'!H87-('V06 Calend 01'!I87*('V06 Calend 01'!E87-1))),'V06 Calend 01'!I87),0))+IF((112='V06 Calend 01'!D87),'V06 Calend 01'!J87,0))</f>
        <v>0</v>
      </c>
      <c r="DU87" s="2">
        <f>((IF((113='V06 Calend 01'!C87),('V06 Calend 01'!F87+'V06 Calend 01'!G87),0)+IF(AND(('V06 Calend 01'!E87&gt;0),(113&gt;'V06 Calend 01'!C87),(113&lt;'V06 Calend 01'!D87),(MOD((113-'V06 Calend 01'!C87),6)=0),(((113-'V06 Calend 01'!C87)/6)&lt;='V06 Calend 01'!E87)),IF((113=('V06 Calend 01'!C87+(6*'V06 Calend 01'!E87))),('V06 Calend 01'!H87-('V06 Calend 01'!I87*('V06 Calend 01'!E87-1))),'V06 Calend 01'!I87),0))+IF((113='V06 Calend 01'!D87),'V06 Calend 01'!J87,0))</f>
        <v>0</v>
      </c>
      <c r="DV87" s="2">
        <f>((IF((114='V06 Calend 01'!C87),('V06 Calend 01'!F87+'V06 Calend 01'!G87),0)+IF(AND(('V06 Calend 01'!E87&gt;0),(114&gt;'V06 Calend 01'!C87),(114&lt;'V06 Calend 01'!D87),(MOD((114-'V06 Calend 01'!C87),6)=0),(((114-'V06 Calend 01'!C87)/6)&lt;='V06 Calend 01'!E87)),IF((114=('V06 Calend 01'!C87+(6*'V06 Calend 01'!E87))),('V06 Calend 01'!H87-('V06 Calend 01'!I87*('V06 Calend 01'!E87-1))),'V06 Calend 01'!I87),0))+IF((114='V06 Calend 01'!D87),'V06 Calend 01'!J87,0))</f>
        <v>0</v>
      </c>
      <c r="DW87" s="2">
        <f>((IF((115='V06 Calend 01'!C87),('V06 Calend 01'!F87+'V06 Calend 01'!G87),0)+IF(AND(('V06 Calend 01'!E87&gt;0),(115&gt;'V06 Calend 01'!C87),(115&lt;'V06 Calend 01'!D87),(MOD((115-'V06 Calend 01'!C87),6)=0),(((115-'V06 Calend 01'!C87)/6)&lt;='V06 Calend 01'!E87)),IF((115=('V06 Calend 01'!C87+(6*'V06 Calend 01'!E87))),('V06 Calend 01'!H87-('V06 Calend 01'!I87*('V06 Calend 01'!E87-1))),'V06 Calend 01'!I87),0))+IF((115='V06 Calend 01'!D87),'V06 Calend 01'!J87,0))</f>
        <v>0</v>
      </c>
      <c r="DX87" s="2">
        <f>((IF((116='V06 Calend 01'!C87),('V06 Calend 01'!F87+'V06 Calend 01'!G87),0)+IF(AND(('V06 Calend 01'!E87&gt;0),(116&gt;'V06 Calend 01'!C87),(116&lt;'V06 Calend 01'!D87),(MOD((116-'V06 Calend 01'!C87),6)=0),(((116-'V06 Calend 01'!C87)/6)&lt;='V06 Calend 01'!E87)),IF((116=('V06 Calend 01'!C87+(6*'V06 Calend 01'!E87))),('V06 Calend 01'!H87-('V06 Calend 01'!I87*('V06 Calend 01'!E87-1))),'V06 Calend 01'!I87),0))+IF((116='V06 Calend 01'!D87),'V06 Calend 01'!J87,0))</f>
        <v>0</v>
      </c>
      <c r="DY87" s="2">
        <f>((IF((117='V06 Calend 01'!C87),('V06 Calend 01'!F87+'V06 Calend 01'!G87),0)+IF(AND(('V06 Calend 01'!E87&gt;0),(117&gt;'V06 Calend 01'!C87),(117&lt;'V06 Calend 01'!D87),(MOD((117-'V06 Calend 01'!C87),6)=0),(((117-'V06 Calend 01'!C87)/6)&lt;='V06 Calend 01'!E87)),IF((117=('V06 Calend 01'!C87+(6*'V06 Calend 01'!E87))),('V06 Calend 01'!H87-('V06 Calend 01'!I87*('V06 Calend 01'!E87-1))),'V06 Calend 01'!I87),0))+IF((117='V06 Calend 01'!D87),'V06 Calend 01'!J87,0))</f>
        <v>0</v>
      </c>
      <c r="DZ87" s="2">
        <f>((IF((118='V06 Calend 01'!C87),('V06 Calend 01'!F87+'V06 Calend 01'!G87),0)+IF(AND(('V06 Calend 01'!E87&gt;0),(118&gt;'V06 Calend 01'!C87),(118&lt;'V06 Calend 01'!D87),(MOD((118-'V06 Calend 01'!C87),6)=0),(((118-'V06 Calend 01'!C87)/6)&lt;='V06 Calend 01'!E87)),IF((118=('V06 Calend 01'!C87+(6*'V06 Calend 01'!E87))),('V06 Calend 01'!H87-('V06 Calend 01'!I87*('V06 Calend 01'!E87-1))),'V06 Calend 01'!I87),0))+IF((118='V06 Calend 01'!D87),'V06 Calend 01'!J87,0))</f>
        <v>0</v>
      </c>
      <c r="EA87" s="2">
        <f>((IF((119='V06 Calend 01'!C87),('V06 Calend 01'!F87+'V06 Calend 01'!G87),0)+IF(AND(('V06 Calend 01'!E87&gt;0),(119&gt;'V06 Calend 01'!C87),(119&lt;'V06 Calend 01'!D87),(MOD((119-'V06 Calend 01'!C87),6)=0),(((119-'V06 Calend 01'!C87)/6)&lt;='V06 Calend 01'!E87)),IF((119=('V06 Calend 01'!C87+(6*'V06 Calend 01'!E87))),('V06 Calend 01'!H87-('V06 Calend 01'!I87*('V06 Calend 01'!E87-1))),'V06 Calend 01'!I87),0))+IF((119='V06 Calend 01'!D87),'V06 Calend 01'!J87,0))</f>
        <v>0</v>
      </c>
      <c r="EB87" s="2">
        <f>((IF((120='V06 Calend 01'!C87),('V06 Calend 01'!F87+'V06 Calend 01'!G87),0)+IF(AND(('V06 Calend 01'!E87&gt;0),(120&gt;'V06 Calend 01'!C87),(120&lt;'V06 Calend 01'!D87),(MOD((120-'V06 Calend 01'!C87),6)=0),(((120-'V06 Calend 01'!C87)/6)&lt;='V06 Calend 01'!E87)),IF((120=('V06 Calend 01'!C87+(6*'V06 Calend 01'!E87))),('V06 Calend 01'!H87-('V06 Calend 01'!I87*('V06 Calend 01'!E87-1))),'V06 Calend 01'!I87),0))+IF((120='V06 Calend 01'!D87),'V06 Calend 01'!J87,0))</f>
        <v>0</v>
      </c>
      <c r="EC87" s="2">
        <f>((IF((121='V06 Calend 01'!C87),('V06 Calend 01'!F87+'V06 Calend 01'!G87),0)+IF(AND(('V06 Calend 01'!E87&gt;0),(121&gt;'V06 Calend 01'!C87),(121&lt;'V06 Calend 01'!D87),(MOD((121-'V06 Calend 01'!C87),6)=0),(((121-'V06 Calend 01'!C87)/6)&lt;='V06 Calend 01'!E87)),IF((121=('V06 Calend 01'!C87+(6*'V06 Calend 01'!E87))),('V06 Calend 01'!H87-('V06 Calend 01'!I87*('V06 Calend 01'!E87-1))),'V06 Calend 01'!I87),0))+IF((121='V06 Calend 01'!D87),'V06 Calend 01'!J87,0))</f>
        <v>0</v>
      </c>
      <c r="ED87" s="2">
        <f>((IF((122='V06 Calend 01'!C87),('V06 Calend 01'!F87+'V06 Calend 01'!G87),0)+IF(AND(('V06 Calend 01'!E87&gt;0),(122&gt;'V06 Calend 01'!C87),(122&lt;'V06 Calend 01'!D87),(MOD((122-'V06 Calend 01'!C87),6)=0),(((122-'V06 Calend 01'!C87)/6)&lt;='V06 Calend 01'!E87)),IF((122=('V06 Calend 01'!C87+(6*'V06 Calend 01'!E87))),('V06 Calend 01'!H87-('V06 Calend 01'!I87*('V06 Calend 01'!E87-1))),'V06 Calend 01'!I87),0))+IF((122='V06 Calend 01'!D87),'V06 Calend 01'!J87,0))</f>
        <v>0</v>
      </c>
      <c r="EE87" s="2">
        <f>((IF((123='V06 Calend 01'!C87),('V06 Calend 01'!F87+'V06 Calend 01'!G87),0)+IF(AND(('V06 Calend 01'!E87&gt;0),(123&gt;'V06 Calend 01'!C87),(123&lt;'V06 Calend 01'!D87),(MOD((123-'V06 Calend 01'!C87),6)=0),(((123-'V06 Calend 01'!C87)/6)&lt;='V06 Calend 01'!E87)),IF((123=('V06 Calend 01'!C87+(6*'V06 Calend 01'!E87))),('V06 Calend 01'!H87-('V06 Calend 01'!I87*('V06 Calend 01'!E87-1))),'V06 Calend 01'!I87),0))+IF((123='V06 Calend 01'!D87),'V06 Calend 01'!J87,0))</f>
        <v>0</v>
      </c>
      <c r="EF87" s="2">
        <f>((IF((124='V06 Calend 01'!C87),('V06 Calend 01'!F87+'V06 Calend 01'!G87),0)+IF(AND(('V06 Calend 01'!E87&gt;0),(124&gt;'V06 Calend 01'!C87),(124&lt;'V06 Calend 01'!D87),(MOD((124-'V06 Calend 01'!C87),6)=0),(((124-'V06 Calend 01'!C87)/6)&lt;='V06 Calend 01'!E87)),IF((124=('V06 Calend 01'!C87+(6*'V06 Calend 01'!E87))),('V06 Calend 01'!H87-('V06 Calend 01'!I87*('V06 Calend 01'!E87-1))),'V06 Calend 01'!I87),0))+IF((124='V06 Calend 01'!D87),'V06 Calend 01'!J87,0))</f>
        <v>0</v>
      </c>
      <c r="EG87" s="2">
        <f>((IF((125='V06 Calend 01'!C87),('V06 Calend 01'!F87+'V06 Calend 01'!G87),0)+IF(AND(('V06 Calend 01'!E87&gt;0),(125&gt;'V06 Calend 01'!C87),(125&lt;'V06 Calend 01'!D87),(MOD((125-'V06 Calend 01'!C87),6)=0),(((125-'V06 Calend 01'!C87)/6)&lt;='V06 Calend 01'!E87)),IF((125=('V06 Calend 01'!C87+(6*'V06 Calend 01'!E87))),('V06 Calend 01'!H87-('V06 Calend 01'!I87*('V06 Calend 01'!E87-1))),'V06 Calend 01'!I87),0))+IF((125='V06 Calend 01'!D87),'V06 Calend 01'!J87,0))</f>
        <v>0</v>
      </c>
      <c r="EH87" s="2">
        <f>((IF((126='V06 Calend 01'!C87),('V06 Calend 01'!F87+'V06 Calend 01'!G87),0)+IF(AND(('V06 Calend 01'!E87&gt;0),(126&gt;'V06 Calend 01'!C87),(126&lt;'V06 Calend 01'!D87),(MOD((126-'V06 Calend 01'!C87),6)=0),(((126-'V06 Calend 01'!C87)/6)&lt;='V06 Calend 01'!E87)),IF((126=('V06 Calend 01'!C87+(6*'V06 Calend 01'!E87))),('V06 Calend 01'!H87-('V06 Calend 01'!I87*('V06 Calend 01'!E87-1))),'V06 Calend 01'!I87),0))+IF((126='V06 Calend 01'!D87),'V06 Calend 01'!J87,0))</f>
        <v>0</v>
      </c>
      <c r="EI87" s="2">
        <f>((IF((127='V06 Calend 01'!C87),('V06 Calend 01'!F87+'V06 Calend 01'!G87),0)+IF(AND(('V06 Calend 01'!E87&gt;0),(127&gt;'V06 Calend 01'!C87),(127&lt;'V06 Calend 01'!D87),(MOD((127-'V06 Calend 01'!C87),6)=0),(((127-'V06 Calend 01'!C87)/6)&lt;='V06 Calend 01'!E87)),IF((127=('V06 Calend 01'!C87+(6*'V06 Calend 01'!E87))),('V06 Calend 01'!H87-('V06 Calend 01'!I87*('V06 Calend 01'!E87-1))),'V06 Calend 01'!I87),0))+IF((127='V06 Calend 01'!D87),'V06 Calend 01'!J87,0))</f>
        <v>0</v>
      </c>
      <c r="EJ87" s="2">
        <f>((IF((128='V06 Calend 01'!C87),('V06 Calend 01'!F87+'V06 Calend 01'!G87),0)+IF(AND(('V06 Calend 01'!E87&gt;0),(128&gt;'V06 Calend 01'!C87),(128&lt;'V06 Calend 01'!D87),(MOD((128-'V06 Calend 01'!C87),6)=0),(((128-'V06 Calend 01'!C87)/6)&lt;='V06 Calend 01'!E87)),IF((128=('V06 Calend 01'!C87+(6*'V06 Calend 01'!E87))),('V06 Calend 01'!H87-('V06 Calend 01'!I87*('V06 Calend 01'!E87-1))),'V06 Calend 01'!I87),0))+IF((128='V06 Calend 01'!D87),'V06 Calend 01'!J87,0))</f>
        <v>0</v>
      </c>
      <c r="EK87" s="2">
        <f>((IF((129='V06 Calend 01'!C87),('V06 Calend 01'!F87+'V06 Calend 01'!G87),0)+IF(AND(('V06 Calend 01'!E87&gt;0),(129&gt;'V06 Calend 01'!C87),(129&lt;'V06 Calend 01'!D87),(MOD((129-'V06 Calend 01'!C87),6)=0),(((129-'V06 Calend 01'!C87)/6)&lt;='V06 Calend 01'!E87)),IF((129=('V06 Calend 01'!C87+(6*'V06 Calend 01'!E87))),('V06 Calend 01'!H87-('V06 Calend 01'!I87*('V06 Calend 01'!E87-1))),'V06 Calend 01'!I87),0))+IF((129='V06 Calend 01'!D87),'V06 Calend 01'!J87,0))</f>
        <v>0</v>
      </c>
      <c r="EL87" s="2">
        <f>((IF((130='V06 Calend 01'!C87),('V06 Calend 01'!F87+'V06 Calend 01'!G87),0)+IF(AND(('V06 Calend 01'!E87&gt;0),(130&gt;'V06 Calend 01'!C87),(130&lt;'V06 Calend 01'!D87),(MOD((130-'V06 Calend 01'!C87),6)=0),(((130-'V06 Calend 01'!C87)/6)&lt;='V06 Calend 01'!E87)),IF((130=('V06 Calend 01'!C87+(6*'V06 Calend 01'!E87))),('V06 Calend 01'!H87-('V06 Calend 01'!I87*('V06 Calend 01'!E87-1))),'V06 Calend 01'!I87),0))+IF((130='V06 Calend 01'!D87),'V06 Calend 01'!J87,0))</f>
        <v>0</v>
      </c>
      <c r="EM87" s="2">
        <f>((IF((131='V06 Calend 01'!C87),('V06 Calend 01'!F87+'V06 Calend 01'!G87),0)+IF(AND(('V06 Calend 01'!E87&gt;0),(131&gt;'V06 Calend 01'!C87),(131&lt;'V06 Calend 01'!D87),(MOD((131-'V06 Calend 01'!C87),6)=0),(((131-'V06 Calend 01'!C87)/6)&lt;='V06 Calend 01'!E87)),IF((131=('V06 Calend 01'!C87+(6*'V06 Calend 01'!E87))),('V06 Calend 01'!H87-('V06 Calend 01'!I87*('V06 Calend 01'!E87-1))),'V06 Calend 01'!I87),0))+IF((131='V06 Calend 01'!D87),'V06 Calend 01'!J87,0))</f>
        <v>0</v>
      </c>
      <c r="EN87" s="2">
        <f>((IF((132='V06 Calend 01'!C87),('V06 Calend 01'!F87+'V06 Calend 01'!G87),0)+IF(AND(('V06 Calend 01'!E87&gt;0),(132&gt;'V06 Calend 01'!C87),(132&lt;'V06 Calend 01'!D87),(MOD((132-'V06 Calend 01'!C87),6)=0),(((132-'V06 Calend 01'!C87)/6)&lt;='V06 Calend 01'!E87)),IF((132=('V06 Calend 01'!C87+(6*'V06 Calend 01'!E87))),('V06 Calend 01'!H87-('V06 Calend 01'!I87*('V06 Calend 01'!E87-1))),'V06 Calend 01'!I87),0))+IF((132='V06 Calend 01'!D87),'V06 Calend 01'!J87,0))</f>
        <v>0</v>
      </c>
      <c r="EO87" s="2">
        <f>((IF((133='V06 Calend 01'!C87),('V06 Calend 01'!F87+'V06 Calend 01'!G87),0)+IF(AND(('V06 Calend 01'!E87&gt;0),(133&gt;'V06 Calend 01'!C87),(133&lt;'V06 Calend 01'!D87),(MOD((133-'V06 Calend 01'!C87),6)=0),(((133-'V06 Calend 01'!C87)/6)&lt;='V06 Calend 01'!E87)),IF((133=('V06 Calend 01'!C87+(6*'V06 Calend 01'!E87))),('V06 Calend 01'!H87-('V06 Calend 01'!I87*('V06 Calend 01'!E87-1))),'V06 Calend 01'!I87),0))+IF((133='V06 Calend 01'!D87),'V06 Calend 01'!J87,0))</f>
        <v>0</v>
      </c>
      <c r="EP87" s="2">
        <f>((IF((134='V06 Calend 01'!C87),('V06 Calend 01'!F87+'V06 Calend 01'!G87),0)+IF(AND(('V06 Calend 01'!E87&gt;0),(134&gt;'V06 Calend 01'!C87),(134&lt;'V06 Calend 01'!D87),(MOD((134-'V06 Calend 01'!C87),6)=0),(((134-'V06 Calend 01'!C87)/6)&lt;='V06 Calend 01'!E87)),IF((134=('V06 Calend 01'!C87+(6*'V06 Calend 01'!E87))),('V06 Calend 01'!H87-('V06 Calend 01'!I87*('V06 Calend 01'!E87-1))),'V06 Calend 01'!I87),0))+IF((134='V06 Calend 01'!D87),'V06 Calend 01'!J87,0))</f>
        <v>0</v>
      </c>
      <c r="EQ87" s="2">
        <f>((IF((135='V06 Calend 01'!C87),('V06 Calend 01'!F87+'V06 Calend 01'!G87),0)+IF(AND(('V06 Calend 01'!E87&gt;0),(135&gt;'V06 Calend 01'!C87),(135&lt;'V06 Calend 01'!D87),(MOD((135-'V06 Calend 01'!C87),6)=0),(((135-'V06 Calend 01'!C87)/6)&lt;='V06 Calend 01'!E87)),IF((135=('V06 Calend 01'!C87+(6*'V06 Calend 01'!E87))),('V06 Calend 01'!H87-('V06 Calend 01'!I87*('V06 Calend 01'!E87-1))),'V06 Calend 01'!I87),0))+IF((135='V06 Calend 01'!D87),'V06 Calend 01'!J87,0))</f>
        <v>0</v>
      </c>
      <c r="ER87" s="2">
        <f>((IF((136='V06 Calend 01'!C87),('V06 Calend 01'!F87+'V06 Calend 01'!G87),0)+IF(AND(('V06 Calend 01'!E87&gt;0),(136&gt;'V06 Calend 01'!C87),(136&lt;'V06 Calend 01'!D87),(MOD((136-'V06 Calend 01'!C87),6)=0),(((136-'V06 Calend 01'!C87)/6)&lt;='V06 Calend 01'!E87)),IF((136=('V06 Calend 01'!C87+(6*'V06 Calend 01'!E87))),('V06 Calend 01'!H87-('V06 Calend 01'!I87*('V06 Calend 01'!E87-1))),'V06 Calend 01'!I87),0))+IF((136='V06 Calend 01'!D87),'V06 Calend 01'!J87,0))</f>
        <v>0</v>
      </c>
      <c r="ES87" s="2">
        <f>((IF((137='V06 Calend 01'!C87),('V06 Calend 01'!F87+'V06 Calend 01'!G87),0)+IF(AND(('V06 Calend 01'!E87&gt;0),(137&gt;'V06 Calend 01'!C87),(137&lt;'V06 Calend 01'!D87),(MOD((137-'V06 Calend 01'!C87),6)=0),(((137-'V06 Calend 01'!C87)/6)&lt;='V06 Calend 01'!E87)),IF((137=('V06 Calend 01'!C87+(6*'V06 Calend 01'!E87))),('V06 Calend 01'!H87-('V06 Calend 01'!I87*('V06 Calend 01'!E87-1))),'V06 Calend 01'!I87),0))+IF((137='V06 Calend 01'!D87),'V06 Calend 01'!J87,0))</f>
        <v>0</v>
      </c>
      <c r="ET87" s="2">
        <f>((IF((138='V06 Calend 01'!C87),('V06 Calend 01'!F87+'V06 Calend 01'!G87),0)+IF(AND(('V06 Calend 01'!E87&gt;0),(138&gt;'V06 Calend 01'!C87),(138&lt;'V06 Calend 01'!D87),(MOD((138-'V06 Calend 01'!C87),6)=0),(((138-'V06 Calend 01'!C87)/6)&lt;='V06 Calend 01'!E87)),IF((138=('V06 Calend 01'!C87+(6*'V06 Calend 01'!E87))),('V06 Calend 01'!H87-('V06 Calend 01'!I87*('V06 Calend 01'!E87-1))),'V06 Calend 01'!I87),0))+IF((138='V06 Calend 01'!D87),'V06 Calend 01'!J87,0))</f>
        <v>0</v>
      </c>
      <c r="EU87" s="2">
        <f>((IF((139='V06 Calend 01'!C87),('V06 Calend 01'!F87+'V06 Calend 01'!G87),0)+IF(AND(('V06 Calend 01'!E87&gt;0),(139&gt;'V06 Calend 01'!C87),(139&lt;'V06 Calend 01'!D87),(MOD((139-'V06 Calend 01'!C87),6)=0),(((139-'V06 Calend 01'!C87)/6)&lt;='V06 Calend 01'!E87)),IF((139=('V06 Calend 01'!C87+(6*'V06 Calend 01'!E87))),('V06 Calend 01'!H87-('V06 Calend 01'!I87*('V06 Calend 01'!E87-1))),'V06 Calend 01'!I87),0))+IF((139='V06 Calend 01'!D87),'V06 Calend 01'!J87,0))</f>
        <v>0</v>
      </c>
      <c r="EV87" s="2">
        <f>((IF((140='V06 Calend 01'!C87),('V06 Calend 01'!F87+'V06 Calend 01'!G87),0)+IF(AND(('V06 Calend 01'!E87&gt;0),(140&gt;'V06 Calend 01'!C87),(140&lt;'V06 Calend 01'!D87),(MOD((140-'V06 Calend 01'!C87),6)=0),(((140-'V06 Calend 01'!C87)/6)&lt;='V06 Calend 01'!E87)),IF((140=('V06 Calend 01'!C87+(6*'V06 Calend 01'!E87))),('V06 Calend 01'!H87-('V06 Calend 01'!I87*('V06 Calend 01'!E87-1))),'V06 Calend 01'!I87),0))+IF((140='V06 Calend 01'!D87),'V06 Calend 01'!J87,0))</f>
        <v>0</v>
      </c>
      <c r="EW87" s="2">
        <f>((IF((141='V06 Calend 01'!C87),('V06 Calend 01'!F87+'V06 Calend 01'!G87),0)+IF(AND(('V06 Calend 01'!E87&gt;0),(141&gt;'V06 Calend 01'!C87),(141&lt;'V06 Calend 01'!D87),(MOD((141-'V06 Calend 01'!C87),6)=0),(((141-'V06 Calend 01'!C87)/6)&lt;='V06 Calend 01'!E87)),IF((141=('V06 Calend 01'!C87+(6*'V06 Calend 01'!E87))),('V06 Calend 01'!H87-('V06 Calend 01'!I87*('V06 Calend 01'!E87-1))),'V06 Calend 01'!I87),0))+IF((141='V06 Calend 01'!D87),'V06 Calend 01'!J87,0))</f>
        <v>0</v>
      </c>
      <c r="EX87" s="2">
        <f>((IF((142='V06 Calend 01'!C87),('V06 Calend 01'!F87+'V06 Calend 01'!G87),0)+IF(AND(('V06 Calend 01'!E87&gt;0),(142&gt;'V06 Calend 01'!C87),(142&lt;'V06 Calend 01'!D87),(MOD((142-'V06 Calend 01'!C87),6)=0),(((142-'V06 Calend 01'!C87)/6)&lt;='V06 Calend 01'!E87)),IF((142=('V06 Calend 01'!C87+(6*'V06 Calend 01'!E87))),('V06 Calend 01'!H87-('V06 Calend 01'!I87*('V06 Calend 01'!E87-1))),'V06 Calend 01'!I87),0))+IF((142='V06 Calend 01'!D87),'V06 Calend 01'!J87,0))</f>
        <v>0</v>
      </c>
      <c r="EY87" s="2">
        <f>((IF((143='V06 Calend 01'!C87),('V06 Calend 01'!F87+'V06 Calend 01'!G87),0)+IF(AND(('V06 Calend 01'!E87&gt;0),(143&gt;'V06 Calend 01'!C87),(143&lt;'V06 Calend 01'!D87),(MOD((143-'V06 Calend 01'!C87),6)=0),(((143-'V06 Calend 01'!C87)/6)&lt;='V06 Calend 01'!E87)),IF((143=('V06 Calend 01'!C87+(6*'V06 Calend 01'!E87))),('V06 Calend 01'!H87-('V06 Calend 01'!I87*('V06 Calend 01'!E87-1))),'V06 Calend 01'!I87),0))+IF((143='V06 Calend 01'!D87),'V06 Calend 01'!J87,0))</f>
        <v>0</v>
      </c>
      <c r="EZ87" s="2">
        <f>((IF((144='V06 Calend 01'!C87),('V06 Calend 01'!F87+'V06 Calend 01'!G87),0)+IF(AND(('V06 Calend 01'!E87&gt;0),(144&gt;'V06 Calend 01'!C87),(144&lt;'V06 Calend 01'!D87),(MOD((144-'V06 Calend 01'!C87),6)=0),(((144-'V06 Calend 01'!C87)/6)&lt;='V06 Calend 01'!E87)),IF((144=('V06 Calend 01'!C87+(6*'V06 Calend 01'!E87))),('V06 Calend 01'!H87-('V06 Calend 01'!I87*('V06 Calend 01'!E87-1))),'V06 Calend 01'!I87),0))+IF((144='V06 Calend 01'!D87),'V06 Calend 01'!J87,0))</f>
        <v>0</v>
      </c>
      <c r="FA87" s="2">
        <f>((IF((145='V06 Calend 01'!C87),('V06 Calend 01'!F87+'V06 Calend 01'!G87),0)+IF(AND(('V06 Calend 01'!E87&gt;0),(145&gt;'V06 Calend 01'!C87),(145&lt;'V06 Calend 01'!D87),(MOD((145-'V06 Calend 01'!C87),6)=0),(((145-'V06 Calend 01'!C87)/6)&lt;='V06 Calend 01'!E87)),IF((145=('V06 Calend 01'!C87+(6*'V06 Calend 01'!E87))),('V06 Calend 01'!H87-('V06 Calend 01'!I87*('V06 Calend 01'!E87-1))),'V06 Calend 01'!I87),0))+IF((145='V06 Calend 01'!D87),'V06 Calend 01'!J87,0))</f>
        <v>0</v>
      </c>
      <c r="FB87" s="2">
        <f>((IF((146='V06 Calend 01'!C87),('V06 Calend 01'!F87+'V06 Calend 01'!G87),0)+IF(AND(('V06 Calend 01'!E87&gt;0),(146&gt;'V06 Calend 01'!C87),(146&lt;'V06 Calend 01'!D87),(MOD((146-'V06 Calend 01'!C87),6)=0),(((146-'V06 Calend 01'!C87)/6)&lt;='V06 Calend 01'!E87)),IF((146=('V06 Calend 01'!C87+(6*'V06 Calend 01'!E87))),('V06 Calend 01'!H87-('V06 Calend 01'!I87*('V06 Calend 01'!E87-1))),'V06 Calend 01'!I87),0))+IF((146='V06 Calend 01'!D87),'V06 Calend 01'!J87,0))</f>
        <v>0</v>
      </c>
      <c r="FC87" s="2">
        <f>((IF((147='V06 Calend 01'!C87),('V06 Calend 01'!F87+'V06 Calend 01'!G87),0)+IF(AND(('V06 Calend 01'!E87&gt;0),(147&gt;'V06 Calend 01'!C87),(147&lt;'V06 Calend 01'!D87),(MOD((147-'V06 Calend 01'!C87),6)=0),(((147-'V06 Calend 01'!C87)/6)&lt;='V06 Calend 01'!E87)),IF((147=('V06 Calend 01'!C87+(6*'V06 Calend 01'!E87))),('V06 Calend 01'!H87-('V06 Calend 01'!I87*('V06 Calend 01'!E87-1))),'V06 Calend 01'!I87),0))+IF((147='V06 Calend 01'!D87),'V06 Calend 01'!J87,0))</f>
        <v>0</v>
      </c>
      <c r="FD87" s="2">
        <f>((IF((148='V06 Calend 01'!C87),('V06 Calend 01'!F87+'V06 Calend 01'!G87),0)+IF(AND(('V06 Calend 01'!E87&gt;0),(148&gt;'V06 Calend 01'!C87),(148&lt;'V06 Calend 01'!D87),(MOD((148-'V06 Calend 01'!C87),6)=0),(((148-'V06 Calend 01'!C87)/6)&lt;='V06 Calend 01'!E87)),IF((148=('V06 Calend 01'!C87+(6*'V06 Calend 01'!E87))),('V06 Calend 01'!H87-('V06 Calend 01'!I87*('V06 Calend 01'!E87-1))),'V06 Calend 01'!I87),0))+IF((148='V06 Calend 01'!D87),'V06 Calend 01'!J87,0))</f>
        <v>0</v>
      </c>
      <c r="FE87" s="2">
        <f>((IF((149='V06 Calend 01'!C87),('V06 Calend 01'!F87+'V06 Calend 01'!G87),0)+IF(AND(('V06 Calend 01'!E87&gt;0),(149&gt;'V06 Calend 01'!C87),(149&lt;'V06 Calend 01'!D87),(MOD((149-'V06 Calend 01'!C87),6)=0),(((149-'V06 Calend 01'!C87)/6)&lt;='V06 Calend 01'!E87)),IF((149=('V06 Calend 01'!C87+(6*'V06 Calend 01'!E87))),('V06 Calend 01'!H87-('V06 Calend 01'!I87*('V06 Calend 01'!E87-1))),'V06 Calend 01'!I87),0))+IF((149='V06 Calend 01'!D87),'V06 Calend 01'!J87,0))</f>
        <v>0</v>
      </c>
      <c r="FF87" s="2">
        <f>((IF((150='V06 Calend 01'!C87),('V06 Calend 01'!F87+'V06 Calend 01'!G87),0)+IF(AND(('V06 Calend 01'!E87&gt;0),(150&gt;'V06 Calend 01'!C87),(150&lt;'V06 Calend 01'!D87),(MOD((150-'V06 Calend 01'!C87),6)=0),(((150-'V06 Calend 01'!C87)/6)&lt;='V06 Calend 01'!E87)),IF((150=('V06 Calend 01'!C87+(6*'V06 Calend 01'!E87))),('V06 Calend 01'!H87-('V06 Calend 01'!I87*('V06 Calend 01'!E87-1))),'V06 Calend 01'!I87),0))+IF((150='V06 Calend 01'!D87),'V06 Calend 01'!J87,0))</f>
        <v>0</v>
      </c>
      <c r="FG87" s="2">
        <f>((IF((151='V06 Calend 01'!C87),('V06 Calend 01'!F87+'V06 Calend 01'!G87),0)+IF(AND(('V06 Calend 01'!E87&gt;0),(151&gt;'V06 Calend 01'!C87),(151&lt;'V06 Calend 01'!D87),(MOD((151-'V06 Calend 01'!C87),6)=0),(((151-'V06 Calend 01'!C87)/6)&lt;='V06 Calend 01'!E87)),IF((151=('V06 Calend 01'!C87+(6*'V06 Calend 01'!E87))),('V06 Calend 01'!H87-('V06 Calend 01'!I87*('V06 Calend 01'!E87-1))),'V06 Calend 01'!I87),0))+IF((151='V06 Calend 01'!D87),'V06 Calend 01'!J87,0))</f>
        <v>0</v>
      </c>
      <c r="FH87" s="2">
        <f>((IF((152='V06 Calend 01'!C87),('V06 Calend 01'!F87+'V06 Calend 01'!G87),0)+IF(AND(('V06 Calend 01'!E87&gt;0),(152&gt;'V06 Calend 01'!C87),(152&lt;'V06 Calend 01'!D87),(MOD((152-'V06 Calend 01'!C87),6)=0),(((152-'V06 Calend 01'!C87)/6)&lt;='V06 Calend 01'!E87)),IF((152=('V06 Calend 01'!C87+(6*'V06 Calend 01'!E87))),('V06 Calend 01'!H87-('V06 Calend 01'!I87*('V06 Calend 01'!E87-1))),'V06 Calend 01'!I87),0))+IF((152='V06 Calend 01'!D87),'V06 Calend 01'!J87,0))</f>
        <v>0</v>
      </c>
      <c r="FI87" s="2">
        <f>((IF((153='V06 Calend 01'!C87),('V06 Calend 01'!F87+'V06 Calend 01'!G87),0)+IF(AND(('V06 Calend 01'!E87&gt;0),(153&gt;'V06 Calend 01'!C87),(153&lt;'V06 Calend 01'!D87),(MOD((153-'V06 Calend 01'!C87),6)=0),(((153-'V06 Calend 01'!C87)/6)&lt;='V06 Calend 01'!E87)),IF((153=('V06 Calend 01'!C87+(6*'V06 Calend 01'!E87))),('V06 Calend 01'!H87-('V06 Calend 01'!I87*('V06 Calend 01'!E87-1))),'V06 Calend 01'!I87),0))+IF((153='V06 Calend 01'!D87),'V06 Calend 01'!J87,0))</f>
        <v>0</v>
      </c>
      <c r="FJ87" s="2">
        <f>((IF((154='V06 Calend 01'!C87),('V06 Calend 01'!F87+'V06 Calend 01'!G87),0)+IF(AND(('V06 Calend 01'!E87&gt;0),(154&gt;'V06 Calend 01'!C87),(154&lt;'V06 Calend 01'!D87),(MOD((154-'V06 Calend 01'!C87),6)=0),(((154-'V06 Calend 01'!C87)/6)&lt;='V06 Calend 01'!E87)),IF((154=('V06 Calend 01'!C87+(6*'V06 Calend 01'!E87))),('V06 Calend 01'!H87-('V06 Calend 01'!I87*('V06 Calend 01'!E87-1))),'V06 Calend 01'!I87),0))+IF((154='V06 Calend 01'!D87),'V06 Calend 01'!J87,0))</f>
        <v>0</v>
      </c>
      <c r="FK87" s="2">
        <f>((IF((155='V06 Calend 01'!C87),('V06 Calend 01'!F87+'V06 Calend 01'!G87),0)+IF(AND(('V06 Calend 01'!E87&gt;0),(155&gt;'V06 Calend 01'!C87),(155&lt;'V06 Calend 01'!D87),(MOD((155-'V06 Calend 01'!C87),6)=0),(((155-'V06 Calend 01'!C87)/6)&lt;='V06 Calend 01'!E87)),IF((155=('V06 Calend 01'!C87+(6*'V06 Calend 01'!E87))),('V06 Calend 01'!H87-('V06 Calend 01'!I87*('V06 Calend 01'!E87-1))),'V06 Calend 01'!I87),0))+IF((155='V06 Calend 01'!D87),'V06 Calend 01'!J87,0))</f>
        <v>0</v>
      </c>
      <c r="FL87" s="2">
        <f>((IF((156='V06 Calend 01'!C87),('V06 Calend 01'!F87+'V06 Calend 01'!G87),0)+IF(AND(('V06 Calend 01'!E87&gt;0),(156&gt;'V06 Calend 01'!C87),(156&lt;'V06 Calend 01'!D87),(MOD((156-'V06 Calend 01'!C87),6)=0),(((156-'V06 Calend 01'!C87)/6)&lt;='V06 Calend 01'!E87)),IF((156=('V06 Calend 01'!C87+(6*'V06 Calend 01'!E87))),('V06 Calend 01'!H87-('V06 Calend 01'!I87*('V06 Calend 01'!E87-1))),'V06 Calend 01'!I87),0))+IF((156='V06 Calend 01'!D87),'V06 Calend 01'!J87,0))</f>
        <v>0</v>
      </c>
      <c r="FM87" s="2">
        <f>((IF((157='V06 Calend 01'!C87),('V06 Calend 01'!F87+'V06 Calend 01'!G87),0)+IF(AND(('V06 Calend 01'!E87&gt;0),(157&gt;'V06 Calend 01'!C87),(157&lt;'V06 Calend 01'!D87),(MOD((157-'V06 Calend 01'!C87),6)=0),(((157-'V06 Calend 01'!C87)/6)&lt;='V06 Calend 01'!E87)),IF((157=('V06 Calend 01'!C87+(6*'V06 Calend 01'!E87))),('V06 Calend 01'!H87-('V06 Calend 01'!I87*('V06 Calend 01'!E87-1))),'V06 Calend 01'!I87),0))+IF((157='V06 Calend 01'!D87),'V06 Calend 01'!J87,0))</f>
        <v>0</v>
      </c>
      <c r="FN87" s="2">
        <f>((IF((158='V06 Calend 01'!C87),('V06 Calend 01'!F87+'V06 Calend 01'!G87),0)+IF(AND(('V06 Calend 01'!E87&gt;0),(158&gt;'V06 Calend 01'!C87),(158&lt;'V06 Calend 01'!D87),(MOD((158-'V06 Calend 01'!C87),6)=0),(((158-'V06 Calend 01'!C87)/6)&lt;='V06 Calend 01'!E87)),IF((158=('V06 Calend 01'!C87+(6*'V06 Calend 01'!E87))),('V06 Calend 01'!H87-('V06 Calend 01'!I87*('V06 Calend 01'!E87-1))),'V06 Calend 01'!I87),0))+IF((158='V06 Calend 01'!D87),'V06 Calend 01'!J87,0))</f>
        <v>0</v>
      </c>
      <c r="FO87" s="2">
        <f>((IF((159='V06 Calend 01'!C87),('V06 Calend 01'!F87+'V06 Calend 01'!G87),0)+IF(AND(('V06 Calend 01'!E87&gt;0),(159&gt;'V06 Calend 01'!C87),(159&lt;'V06 Calend 01'!D87),(MOD((159-'V06 Calend 01'!C87),6)=0),(((159-'V06 Calend 01'!C87)/6)&lt;='V06 Calend 01'!E87)),IF((159=('V06 Calend 01'!C87+(6*'V06 Calend 01'!E87))),('V06 Calend 01'!H87-('V06 Calend 01'!I87*('V06 Calend 01'!E87-1))),'V06 Calend 01'!I87),0))+IF((159='V06 Calend 01'!D87),'V06 Calend 01'!J87,0))</f>
        <v>0</v>
      </c>
      <c r="FP87" s="2">
        <f>((IF((160='V06 Calend 01'!C87),('V06 Calend 01'!F87+'V06 Calend 01'!G87),0)+IF(AND(('V06 Calend 01'!E87&gt;0),(160&gt;'V06 Calend 01'!C87),(160&lt;'V06 Calend 01'!D87),(MOD((160-'V06 Calend 01'!C87),6)=0),(((160-'V06 Calend 01'!C87)/6)&lt;='V06 Calend 01'!E87)),IF((160=('V06 Calend 01'!C87+(6*'V06 Calend 01'!E87))),('V06 Calend 01'!H87-('V06 Calend 01'!I87*('V06 Calend 01'!E87-1))),'V06 Calend 01'!I87),0))+IF((160='V06 Calend 01'!D87),'V06 Calend 01'!J87,0))</f>
        <v>0</v>
      </c>
      <c r="FQ87" s="2">
        <f>((IF((161='V06 Calend 01'!C87),('V06 Calend 01'!F87+'V06 Calend 01'!G87),0)+IF(AND(('V06 Calend 01'!E87&gt;0),(161&gt;'V06 Calend 01'!C87),(161&lt;'V06 Calend 01'!D87),(MOD((161-'V06 Calend 01'!C87),6)=0),(((161-'V06 Calend 01'!C87)/6)&lt;='V06 Calend 01'!E87)),IF((161=('V06 Calend 01'!C87+(6*'V06 Calend 01'!E87))),('V06 Calend 01'!H87-('V06 Calend 01'!I87*('V06 Calend 01'!E87-1))),'V06 Calend 01'!I87),0))+IF((161='V06 Calend 01'!D87),'V06 Calend 01'!J87,0))</f>
        <v>0</v>
      </c>
      <c r="FR87" s="2">
        <f>((IF((162='V06 Calend 01'!C87),('V06 Calend 01'!F87+'V06 Calend 01'!G87),0)+IF(AND(('V06 Calend 01'!E87&gt;0),(162&gt;'V06 Calend 01'!C87),(162&lt;'V06 Calend 01'!D87),(MOD((162-'V06 Calend 01'!C87),6)=0),(((162-'V06 Calend 01'!C87)/6)&lt;='V06 Calend 01'!E87)),IF((162=('V06 Calend 01'!C87+(6*'V06 Calend 01'!E87))),('V06 Calend 01'!H87-('V06 Calend 01'!I87*('V06 Calend 01'!E87-1))),'V06 Calend 01'!I87),0))+IF((162='V06 Calend 01'!D87),'V06 Calend 01'!J87,0))</f>
        <v>0</v>
      </c>
      <c r="FS87" s="2">
        <f>((IF((163='V06 Calend 01'!C87),('V06 Calend 01'!F87+'V06 Calend 01'!G87),0)+IF(AND(('V06 Calend 01'!E87&gt;0),(163&gt;'V06 Calend 01'!C87),(163&lt;'V06 Calend 01'!D87),(MOD((163-'V06 Calend 01'!C87),6)=0),(((163-'V06 Calend 01'!C87)/6)&lt;='V06 Calend 01'!E87)),IF((163=('V06 Calend 01'!C87+(6*'V06 Calend 01'!E87))),('V06 Calend 01'!H87-('V06 Calend 01'!I87*('V06 Calend 01'!E87-1))),'V06 Calend 01'!I87),0))+IF((163='V06 Calend 01'!D87),'V06 Calend 01'!J87,0))</f>
        <v>0</v>
      </c>
      <c r="FT87" s="2">
        <f>((IF((164='V06 Calend 01'!C87),('V06 Calend 01'!F87+'V06 Calend 01'!G87),0)+IF(AND(('V06 Calend 01'!E87&gt;0),(164&gt;'V06 Calend 01'!C87),(164&lt;'V06 Calend 01'!D87),(MOD((164-'V06 Calend 01'!C87),6)=0),(((164-'V06 Calend 01'!C87)/6)&lt;='V06 Calend 01'!E87)),IF((164=('V06 Calend 01'!C87+(6*'V06 Calend 01'!E87))),('V06 Calend 01'!H87-('V06 Calend 01'!I87*('V06 Calend 01'!E87-1))),'V06 Calend 01'!I87),0))+IF((164='V06 Calend 01'!D87),'V06 Calend 01'!J87,0))</f>
        <v>0</v>
      </c>
      <c r="FU87" s="2">
        <f>((IF((165='V06 Calend 01'!C87),('V06 Calend 01'!F87+'V06 Calend 01'!G87),0)+IF(AND(('V06 Calend 01'!E87&gt;0),(165&gt;'V06 Calend 01'!C87),(165&lt;'V06 Calend 01'!D87),(MOD((165-'V06 Calend 01'!C87),6)=0),(((165-'V06 Calend 01'!C87)/6)&lt;='V06 Calend 01'!E87)),IF((165=('V06 Calend 01'!C87+(6*'V06 Calend 01'!E87))),('V06 Calend 01'!H87-('V06 Calend 01'!I87*('V06 Calend 01'!E87-1))),'V06 Calend 01'!I87),0))+IF((165='V06 Calend 01'!D87),'V06 Calend 01'!J87,0))</f>
        <v>0</v>
      </c>
      <c r="FV87" s="2">
        <f>((IF((166='V06 Calend 01'!C87),('V06 Calend 01'!F87+'V06 Calend 01'!G87),0)+IF(AND(('V06 Calend 01'!E87&gt;0),(166&gt;'V06 Calend 01'!C87),(166&lt;'V06 Calend 01'!D87),(MOD((166-'V06 Calend 01'!C87),6)=0),(((166-'V06 Calend 01'!C87)/6)&lt;='V06 Calend 01'!E87)),IF((166=('V06 Calend 01'!C87+(6*'V06 Calend 01'!E87))),('V06 Calend 01'!H87-('V06 Calend 01'!I87*('V06 Calend 01'!E87-1))),'V06 Calend 01'!I87),0))+IF((166='V06 Calend 01'!D87),'V06 Calend 01'!J87,0))</f>
        <v>0</v>
      </c>
      <c r="FW87" s="2">
        <f>((IF((167='V06 Calend 01'!C87),('V06 Calend 01'!F87+'V06 Calend 01'!G87),0)+IF(AND(('V06 Calend 01'!E87&gt;0),(167&gt;'V06 Calend 01'!C87),(167&lt;'V06 Calend 01'!D87),(MOD((167-'V06 Calend 01'!C87),6)=0),(((167-'V06 Calend 01'!C87)/6)&lt;='V06 Calend 01'!E87)),IF((167=('V06 Calend 01'!C87+(6*'V06 Calend 01'!E87))),('V06 Calend 01'!H87-('V06 Calend 01'!I87*('V06 Calend 01'!E87-1))),'V06 Calend 01'!I87),0))+IF((167='V06 Calend 01'!D87),'V06 Calend 01'!J87,0))</f>
        <v>0</v>
      </c>
      <c r="FX87" s="2">
        <f>((IF((168='V06 Calend 01'!C87),('V06 Calend 01'!F87+'V06 Calend 01'!G87),0)+IF(AND(('V06 Calend 01'!E87&gt;0),(168&gt;'V06 Calend 01'!C87),(168&lt;'V06 Calend 01'!D87),(MOD((168-'V06 Calend 01'!C87),6)=0),(((168-'V06 Calend 01'!C87)/6)&lt;='V06 Calend 01'!E87)),IF((168=('V06 Calend 01'!C87+(6*'V06 Calend 01'!E87))),('V06 Calend 01'!H87-('V06 Calend 01'!I87*('V06 Calend 01'!E87-1))),'V06 Calend 01'!I87),0))+IF((168='V06 Calend 01'!D87),'V06 Calend 01'!J87,0))</f>
        <v>0</v>
      </c>
      <c r="FY87" s="2">
        <f>((IF((169='V06 Calend 01'!C87),('V06 Calend 01'!F87+'V06 Calend 01'!G87),0)+IF(AND(('V06 Calend 01'!E87&gt;0),(169&gt;'V06 Calend 01'!C87),(169&lt;'V06 Calend 01'!D87),(MOD((169-'V06 Calend 01'!C87),6)=0),(((169-'V06 Calend 01'!C87)/6)&lt;='V06 Calend 01'!E87)),IF((169=('V06 Calend 01'!C87+(6*'V06 Calend 01'!E87))),('V06 Calend 01'!H87-('V06 Calend 01'!I87*('V06 Calend 01'!E87-1))),'V06 Calend 01'!I87),0))+IF((169='V06 Calend 01'!D87),'V06 Calend 01'!J87,0))</f>
        <v>0</v>
      </c>
      <c r="FZ87" s="2">
        <f>((IF((170='V06 Calend 01'!C87),('V06 Calend 01'!F87+'V06 Calend 01'!G87),0)+IF(AND(('V06 Calend 01'!E87&gt;0),(170&gt;'V06 Calend 01'!C87),(170&lt;'V06 Calend 01'!D87),(MOD((170-'V06 Calend 01'!C87),6)=0),(((170-'V06 Calend 01'!C87)/6)&lt;='V06 Calend 01'!E87)),IF((170=('V06 Calend 01'!C87+(6*'V06 Calend 01'!E87))),('V06 Calend 01'!H87-('V06 Calend 01'!I87*('V06 Calend 01'!E87-1))),'V06 Calend 01'!I87),0))+IF((170='V06 Calend 01'!D87),'V06 Calend 01'!J87,0))</f>
        <v>0</v>
      </c>
      <c r="GA87" s="2">
        <f>((IF((171='V06 Calend 01'!C87),('V06 Calend 01'!F87+'V06 Calend 01'!G87),0)+IF(AND(('V06 Calend 01'!E87&gt;0),(171&gt;'V06 Calend 01'!C87),(171&lt;'V06 Calend 01'!D87),(MOD((171-'V06 Calend 01'!C87),6)=0),(((171-'V06 Calend 01'!C87)/6)&lt;='V06 Calend 01'!E87)),IF((171=('V06 Calend 01'!C87+(6*'V06 Calend 01'!E87))),('V06 Calend 01'!H87-('V06 Calend 01'!I87*('V06 Calend 01'!E87-1))),'V06 Calend 01'!I87),0))+IF((171='V06 Calend 01'!D87),'V06 Calend 01'!J87,0))</f>
        <v>0</v>
      </c>
      <c r="GB87" s="2">
        <f>((IF((172='V06 Calend 01'!C87),('V06 Calend 01'!F87+'V06 Calend 01'!G87),0)+IF(AND(('V06 Calend 01'!E87&gt;0),(172&gt;'V06 Calend 01'!C87),(172&lt;'V06 Calend 01'!D87),(MOD((172-'V06 Calend 01'!C87),6)=0),(((172-'V06 Calend 01'!C87)/6)&lt;='V06 Calend 01'!E87)),IF((172=('V06 Calend 01'!C87+(6*'V06 Calend 01'!E87))),('V06 Calend 01'!H87-('V06 Calend 01'!I87*('V06 Calend 01'!E87-1))),'V06 Calend 01'!I87),0))+IF((172='V06 Calend 01'!D87),'V06 Calend 01'!J87,0))</f>
        <v>0</v>
      </c>
      <c r="GC87" s="2">
        <f>((IF((173='V06 Calend 01'!C87),('V06 Calend 01'!F87+'V06 Calend 01'!G87),0)+IF(AND(('V06 Calend 01'!E87&gt;0),(173&gt;'V06 Calend 01'!C87),(173&lt;'V06 Calend 01'!D87),(MOD((173-'V06 Calend 01'!C87),6)=0),(((173-'V06 Calend 01'!C87)/6)&lt;='V06 Calend 01'!E87)),IF((173=('V06 Calend 01'!C87+(6*'V06 Calend 01'!E87))),('V06 Calend 01'!H87-('V06 Calend 01'!I87*('V06 Calend 01'!E87-1))),'V06 Calend 01'!I87),0))+IF((173='V06 Calend 01'!D87),'V06 Calend 01'!J87,0))</f>
        <v>0</v>
      </c>
      <c r="GD87" s="2">
        <f>((IF((174='V06 Calend 01'!C87),('V06 Calend 01'!F87+'V06 Calend 01'!G87),0)+IF(AND(('V06 Calend 01'!E87&gt;0),(174&gt;'V06 Calend 01'!C87),(174&lt;'V06 Calend 01'!D87),(MOD((174-'V06 Calend 01'!C87),6)=0),(((174-'V06 Calend 01'!C87)/6)&lt;='V06 Calend 01'!E87)),IF((174=('V06 Calend 01'!C87+(6*'V06 Calend 01'!E87))),('V06 Calend 01'!H87-('V06 Calend 01'!I87*('V06 Calend 01'!E87-1))),'V06 Calend 01'!I87),0))+IF((174='V06 Calend 01'!D87),'V06 Calend 01'!J87,0))</f>
        <v>0</v>
      </c>
      <c r="GE87" s="2">
        <f>((IF((175='V06 Calend 01'!C87),('V06 Calend 01'!F87+'V06 Calend 01'!G87),0)+IF(AND(('V06 Calend 01'!E87&gt;0),(175&gt;'V06 Calend 01'!C87),(175&lt;'V06 Calend 01'!D87),(MOD((175-'V06 Calend 01'!C87),6)=0),(((175-'V06 Calend 01'!C87)/6)&lt;='V06 Calend 01'!E87)),IF((175=('V06 Calend 01'!C87+(6*'V06 Calend 01'!E87))),('V06 Calend 01'!H87-('V06 Calend 01'!I87*('V06 Calend 01'!E87-1))),'V06 Calend 01'!I87),0))+IF((175='V06 Calend 01'!D87),'V06 Calend 01'!J87,0))</f>
        <v>0</v>
      </c>
      <c r="GF87" s="2">
        <f>((IF((176='V06 Calend 01'!C87),('V06 Calend 01'!F87+'V06 Calend 01'!G87),0)+IF(AND(('V06 Calend 01'!E87&gt;0),(176&gt;'V06 Calend 01'!C87),(176&lt;'V06 Calend 01'!D87),(MOD((176-'V06 Calend 01'!C87),6)=0),(((176-'V06 Calend 01'!C87)/6)&lt;='V06 Calend 01'!E87)),IF((176=('V06 Calend 01'!C87+(6*'V06 Calend 01'!E87))),('V06 Calend 01'!H87-('V06 Calend 01'!I87*('V06 Calend 01'!E87-1))),'V06 Calend 01'!I87),0))+IF((176='V06 Calend 01'!D87),'V06 Calend 01'!J87,0))</f>
        <v>0</v>
      </c>
      <c r="GG87" s="2">
        <f>((IF((177='V06 Calend 01'!C87),('V06 Calend 01'!F87+'V06 Calend 01'!G87),0)+IF(AND(('V06 Calend 01'!E87&gt;0),(177&gt;'V06 Calend 01'!C87),(177&lt;'V06 Calend 01'!D87),(MOD((177-'V06 Calend 01'!C87),6)=0),(((177-'V06 Calend 01'!C87)/6)&lt;='V06 Calend 01'!E87)),IF((177=('V06 Calend 01'!C87+(6*'V06 Calend 01'!E87))),('V06 Calend 01'!H87-('V06 Calend 01'!I87*('V06 Calend 01'!E87-1))),'V06 Calend 01'!I87),0))+IF((177='V06 Calend 01'!D87),'V06 Calend 01'!J87,0))</f>
        <v>0</v>
      </c>
      <c r="GH87" s="2">
        <f>((IF((178='V06 Calend 01'!C87),('V06 Calend 01'!F87+'V06 Calend 01'!G87),0)+IF(AND(('V06 Calend 01'!E87&gt;0),(178&gt;'V06 Calend 01'!C87),(178&lt;'V06 Calend 01'!D87),(MOD((178-'V06 Calend 01'!C87),6)=0),(((178-'V06 Calend 01'!C87)/6)&lt;='V06 Calend 01'!E87)),IF((178=('V06 Calend 01'!C87+(6*'V06 Calend 01'!E87))),('V06 Calend 01'!H87-('V06 Calend 01'!I87*('V06 Calend 01'!E87-1))),'V06 Calend 01'!I87),0))+IF((178='V06 Calend 01'!D87),'V06 Calend 01'!J87,0))</f>
        <v>0</v>
      </c>
      <c r="GI87" s="2">
        <f>((IF((179='V06 Calend 01'!C87),('V06 Calend 01'!F87+'V06 Calend 01'!G87),0)+IF(AND(('V06 Calend 01'!E87&gt;0),(179&gt;'V06 Calend 01'!C87),(179&lt;'V06 Calend 01'!D87),(MOD((179-'V06 Calend 01'!C87),6)=0),(((179-'V06 Calend 01'!C87)/6)&lt;='V06 Calend 01'!E87)),IF((179=('V06 Calend 01'!C87+(6*'V06 Calend 01'!E87))),('V06 Calend 01'!H87-('V06 Calend 01'!I87*('V06 Calend 01'!E87-1))),'V06 Calend 01'!I87),0))+IF((179='V06 Calend 01'!D87),'V06 Calend 01'!J87,0))</f>
        <v>0</v>
      </c>
      <c r="GJ87" s="2">
        <f>((IF((180='V06 Calend 01'!C87),('V06 Calend 01'!F87+'V06 Calend 01'!G87),0)+IF(AND(('V06 Calend 01'!E87&gt;0),(180&gt;'V06 Calend 01'!C87),(180&lt;'V06 Calend 01'!D87),(MOD((180-'V06 Calend 01'!C87),6)=0),(((180-'V06 Calend 01'!C87)/6)&lt;='V06 Calend 01'!E87)),IF((180=('V06 Calend 01'!C87+(6*'V06 Calend 01'!E87))),('V06 Calend 01'!H87-('V06 Calend 01'!I87*('V06 Calend 01'!E87-1))),'V06 Calend 01'!I87),0))+IF((180='V06 Calend 01'!D87),'V06 Calend 01'!J87,0))</f>
        <v>0</v>
      </c>
    </row>
    <row r="88" spans="1:192">
      <c r="A88" s="3" t="str">
        <f>'V06 Unidades'!$A$88</f>
        <v>1004</v>
      </c>
      <c r="B88" s="2">
        <f>'V06 Unidades'!$H$88</f>
        <v>500561.22</v>
      </c>
      <c r="C88" s="4">
        <f>('V06 Unidades'!$I$88+'V06 Controlos'!$B$37)</f>
        <v>13</v>
      </c>
      <c r="D88" s="4">
        <f>IF(('V06 Controlos'!$B$38&gt;0),MAX(('V06 Unidades'!$L$88+'V06 Controlos'!$B$37),(30+'V06 Controlos'!$B$38)),('V06 Unidades'!$L$88+'V06 Controlos'!$B$37))</f>
        <v>30</v>
      </c>
      <c r="E88" s="4">
        <f>MAX(0,INT(((('V06 Calend 01'!D88-'V06 Calend 01'!C88)-1)/6)))</f>
        <v>2</v>
      </c>
      <c r="F88" s="2">
        <f>ROUND(('V06 Calend 01'!B88*0.05),2)</f>
        <v>25028.06</v>
      </c>
      <c r="G88" s="2">
        <f>ROUND(('V06 Calend 01'!B88*0.2),2)</f>
        <v>100112.24</v>
      </c>
      <c r="H88" s="2">
        <f>ROUND(('V06 Calend 01'!B88*0.55),2)</f>
        <v>275308.67</v>
      </c>
      <c r="I88" s="2">
        <f>ROUND(('V06 Calend 01'!H88/MAX(1,'V06 Calend 01'!E88)),2)</f>
        <v>137654.34</v>
      </c>
      <c r="J88" s="2">
        <f>((('V06 Calend 01'!B88-'V06 Calend 01'!F88)-'V06 Calend 01'!G88)-'V06 Calend 01'!H88)</f>
        <v>100112.25</v>
      </c>
      <c r="K88" s="2">
        <f>('V06 Calend 01'!B88*0.025)</f>
        <v>12514.0305</v>
      </c>
      <c r="L88" t="s">
        <v>378</v>
      </c>
      <c r="M88" s="2">
        <f>((IF((1='V06 Calend 01'!C88),('V06 Calend 01'!F88+'V06 Calend 01'!G88),0)+IF(AND(('V06 Calend 01'!E88&gt;0),(1&gt;'V06 Calend 01'!C88),(1&lt;'V06 Calend 01'!D88),(MOD((1-'V06 Calend 01'!C88),6)=0),(((1-'V06 Calend 01'!C88)/6)&lt;='V06 Calend 01'!E88)),IF((1=('V06 Calend 01'!C88+(6*'V06 Calend 01'!E88))),('V06 Calend 01'!H88-('V06 Calend 01'!I88*('V06 Calend 01'!E88-1))),'V06 Calend 01'!I88),0))+IF((1='V06 Calend 01'!D88),'V06 Calend 01'!J88,0))</f>
        <v>0</v>
      </c>
      <c r="N88" s="2">
        <f>((IF((2='V06 Calend 01'!C88),('V06 Calend 01'!F88+'V06 Calend 01'!G88),0)+IF(AND(('V06 Calend 01'!E88&gt;0),(2&gt;'V06 Calend 01'!C88),(2&lt;'V06 Calend 01'!D88),(MOD((2-'V06 Calend 01'!C88),6)=0),(((2-'V06 Calend 01'!C88)/6)&lt;='V06 Calend 01'!E88)),IF((2=('V06 Calend 01'!C88+(6*'V06 Calend 01'!E88))),('V06 Calend 01'!H88-('V06 Calend 01'!I88*('V06 Calend 01'!E88-1))),'V06 Calend 01'!I88),0))+IF((2='V06 Calend 01'!D88),'V06 Calend 01'!J88,0))</f>
        <v>0</v>
      </c>
      <c r="O88" s="2">
        <f>((IF((3='V06 Calend 01'!C88),('V06 Calend 01'!F88+'V06 Calend 01'!G88),0)+IF(AND(('V06 Calend 01'!E88&gt;0),(3&gt;'V06 Calend 01'!C88),(3&lt;'V06 Calend 01'!D88),(MOD((3-'V06 Calend 01'!C88),6)=0),(((3-'V06 Calend 01'!C88)/6)&lt;='V06 Calend 01'!E88)),IF((3=('V06 Calend 01'!C88+(6*'V06 Calend 01'!E88))),('V06 Calend 01'!H88-('V06 Calend 01'!I88*('V06 Calend 01'!E88-1))),'V06 Calend 01'!I88),0))+IF((3='V06 Calend 01'!D88),'V06 Calend 01'!J88,0))</f>
        <v>0</v>
      </c>
      <c r="P88" s="2">
        <f>((IF((4='V06 Calend 01'!C88),('V06 Calend 01'!F88+'V06 Calend 01'!G88),0)+IF(AND(('V06 Calend 01'!E88&gt;0),(4&gt;'V06 Calend 01'!C88),(4&lt;'V06 Calend 01'!D88),(MOD((4-'V06 Calend 01'!C88),6)=0),(((4-'V06 Calend 01'!C88)/6)&lt;='V06 Calend 01'!E88)),IF((4=('V06 Calend 01'!C88+(6*'V06 Calend 01'!E88))),('V06 Calend 01'!H88-('V06 Calend 01'!I88*('V06 Calend 01'!E88-1))),'V06 Calend 01'!I88),0))+IF((4='V06 Calend 01'!D88),'V06 Calend 01'!J88,0))</f>
        <v>0</v>
      </c>
      <c r="Q88" s="2">
        <f>((IF((5='V06 Calend 01'!C88),('V06 Calend 01'!F88+'V06 Calend 01'!G88),0)+IF(AND(('V06 Calend 01'!E88&gt;0),(5&gt;'V06 Calend 01'!C88),(5&lt;'V06 Calend 01'!D88),(MOD((5-'V06 Calend 01'!C88),6)=0),(((5-'V06 Calend 01'!C88)/6)&lt;='V06 Calend 01'!E88)),IF((5=('V06 Calend 01'!C88+(6*'V06 Calend 01'!E88))),('V06 Calend 01'!H88-('V06 Calend 01'!I88*('V06 Calend 01'!E88-1))),'V06 Calend 01'!I88),0))+IF((5='V06 Calend 01'!D88),'V06 Calend 01'!J88,0))</f>
        <v>0</v>
      </c>
      <c r="R88" s="2">
        <f>((IF((6='V06 Calend 01'!C88),('V06 Calend 01'!F88+'V06 Calend 01'!G88),0)+IF(AND(('V06 Calend 01'!E88&gt;0),(6&gt;'V06 Calend 01'!C88),(6&lt;'V06 Calend 01'!D88),(MOD((6-'V06 Calend 01'!C88),6)=0),(((6-'V06 Calend 01'!C88)/6)&lt;='V06 Calend 01'!E88)),IF((6=('V06 Calend 01'!C88+(6*'V06 Calend 01'!E88))),('V06 Calend 01'!H88-('V06 Calend 01'!I88*('V06 Calend 01'!E88-1))),'V06 Calend 01'!I88),0))+IF((6='V06 Calend 01'!D88),'V06 Calend 01'!J88,0))</f>
        <v>0</v>
      </c>
      <c r="S88" s="2">
        <f>((IF((7='V06 Calend 01'!C88),('V06 Calend 01'!F88+'V06 Calend 01'!G88),0)+IF(AND(('V06 Calend 01'!E88&gt;0),(7&gt;'V06 Calend 01'!C88),(7&lt;'V06 Calend 01'!D88),(MOD((7-'V06 Calend 01'!C88),6)=0),(((7-'V06 Calend 01'!C88)/6)&lt;='V06 Calend 01'!E88)),IF((7=('V06 Calend 01'!C88+(6*'V06 Calend 01'!E88))),('V06 Calend 01'!H88-('V06 Calend 01'!I88*('V06 Calend 01'!E88-1))),'V06 Calend 01'!I88),0))+IF((7='V06 Calend 01'!D88),'V06 Calend 01'!J88,0))</f>
        <v>0</v>
      </c>
      <c r="T88" s="2">
        <f>((IF((8='V06 Calend 01'!C88),('V06 Calend 01'!F88+'V06 Calend 01'!G88),0)+IF(AND(('V06 Calend 01'!E88&gt;0),(8&gt;'V06 Calend 01'!C88),(8&lt;'V06 Calend 01'!D88),(MOD((8-'V06 Calend 01'!C88),6)=0),(((8-'V06 Calend 01'!C88)/6)&lt;='V06 Calend 01'!E88)),IF((8=('V06 Calend 01'!C88+(6*'V06 Calend 01'!E88))),('V06 Calend 01'!H88-('V06 Calend 01'!I88*('V06 Calend 01'!E88-1))),'V06 Calend 01'!I88),0))+IF((8='V06 Calend 01'!D88),'V06 Calend 01'!J88,0))</f>
        <v>0</v>
      </c>
      <c r="U88" s="2">
        <f>((IF((9='V06 Calend 01'!C88),('V06 Calend 01'!F88+'V06 Calend 01'!G88),0)+IF(AND(('V06 Calend 01'!E88&gt;0),(9&gt;'V06 Calend 01'!C88),(9&lt;'V06 Calend 01'!D88),(MOD((9-'V06 Calend 01'!C88),6)=0),(((9-'V06 Calend 01'!C88)/6)&lt;='V06 Calend 01'!E88)),IF((9=('V06 Calend 01'!C88+(6*'V06 Calend 01'!E88))),('V06 Calend 01'!H88-('V06 Calend 01'!I88*('V06 Calend 01'!E88-1))),'V06 Calend 01'!I88),0))+IF((9='V06 Calend 01'!D88),'V06 Calend 01'!J88,0))</f>
        <v>0</v>
      </c>
      <c r="V88" s="2">
        <f>((IF((10='V06 Calend 01'!C88),('V06 Calend 01'!F88+'V06 Calend 01'!G88),0)+IF(AND(('V06 Calend 01'!E88&gt;0),(10&gt;'V06 Calend 01'!C88),(10&lt;'V06 Calend 01'!D88),(MOD((10-'V06 Calend 01'!C88),6)=0),(((10-'V06 Calend 01'!C88)/6)&lt;='V06 Calend 01'!E88)),IF((10=('V06 Calend 01'!C88+(6*'V06 Calend 01'!E88))),('V06 Calend 01'!H88-('V06 Calend 01'!I88*('V06 Calend 01'!E88-1))),'V06 Calend 01'!I88),0))+IF((10='V06 Calend 01'!D88),'V06 Calend 01'!J88,0))</f>
        <v>0</v>
      </c>
      <c r="W88" s="2">
        <f>((IF((11='V06 Calend 01'!C88),('V06 Calend 01'!F88+'V06 Calend 01'!G88),0)+IF(AND(('V06 Calend 01'!E88&gt;0),(11&gt;'V06 Calend 01'!C88),(11&lt;'V06 Calend 01'!D88),(MOD((11-'V06 Calend 01'!C88),6)=0),(((11-'V06 Calend 01'!C88)/6)&lt;='V06 Calend 01'!E88)),IF((11=('V06 Calend 01'!C88+(6*'V06 Calend 01'!E88))),('V06 Calend 01'!H88-('V06 Calend 01'!I88*('V06 Calend 01'!E88-1))),'V06 Calend 01'!I88),0))+IF((11='V06 Calend 01'!D88),'V06 Calend 01'!J88,0))</f>
        <v>0</v>
      </c>
      <c r="X88" s="2">
        <f>((IF((12='V06 Calend 01'!C88),('V06 Calend 01'!F88+'V06 Calend 01'!G88),0)+IF(AND(('V06 Calend 01'!E88&gt;0),(12&gt;'V06 Calend 01'!C88),(12&lt;'V06 Calend 01'!D88),(MOD((12-'V06 Calend 01'!C88),6)=0),(((12-'V06 Calend 01'!C88)/6)&lt;='V06 Calend 01'!E88)),IF((12=('V06 Calend 01'!C88+(6*'V06 Calend 01'!E88))),('V06 Calend 01'!H88-('V06 Calend 01'!I88*('V06 Calend 01'!E88-1))),'V06 Calend 01'!I88),0))+IF((12='V06 Calend 01'!D88),'V06 Calend 01'!J88,0))</f>
        <v>0</v>
      </c>
      <c r="Y88" s="2">
        <f>((IF((13='V06 Calend 01'!C88),('V06 Calend 01'!F88+'V06 Calend 01'!G88),0)+IF(AND(('V06 Calend 01'!E88&gt;0),(13&gt;'V06 Calend 01'!C88),(13&lt;'V06 Calend 01'!D88),(MOD((13-'V06 Calend 01'!C88),6)=0),(((13-'V06 Calend 01'!C88)/6)&lt;='V06 Calend 01'!E88)),IF((13=('V06 Calend 01'!C88+(6*'V06 Calend 01'!E88))),('V06 Calend 01'!H88-('V06 Calend 01'!I88*('V06 Calend 01'!E88-1))),'V06 Calend 01'!I88),0))+IF((13='V06 Calend 01'!D88),'V06 Calend 01'!J88,0))</f>
        <v>125140.3</v>
      </c>
      <c r="Z88" s="2">
        <f>((IF((14='V06 Calend 01'!C88),('V06 Calend 01'!F88+'V06 Calend 01'!G88),0)+IF(AND(('V06 Calend 01'!E88&gt;0),(14&gt;'V06 Calend 01'!C88),(14&lt;'V06 Calend 01'!D88),(MOD((14-'V06 Calend 01'!C88),6)=0),(((14-'V06 Calend 01'!C88)/6)&lt;='V06 Calend 01'!E88)),IF((14=('V06 Calend 01'!C88+(6*'V06 Calend 01'!E88))),('V06 Calend 01'!H88-('V06 Calend 01'!I88*('V06 Calend 01'!E88-1))),'V06 Calend 01'!I88),0))+IF((14='V06 Calend 01'!D88),'V06 Calend 01'!J88,0))</f>
        <v>0</v>
      </c>
      <c r="AA88" s="2">
        <f>((IF((15='V06 Calend 01'!C88),('V06 Calend 01'!F88+'V06 Calend 01'!G88),0)+IF(AND(('V06 Calend 01'!E88&gt;0),(15&gt;'V06 Calend 01'!C88),(15&lt;'V06 Calend 01'!D88),(MOD((15-'V06 Calend 01'!C88),6)=0),(((15-'V06 Calend 01'!C88)/6)&lt;='V06 Calend 01'!E88)),IF((15=('V06 Calend 01'!C88+(6*'V06 Calend 01'!E88))),('V06 Calend 01'!H88-('V06 Calend 01'!I88*('V06 Calend 01'!E88-1))),'V06 Calend 01'!I88),0))+IF((15='V06 Calend 01'!D88),'V06 Calend 01'!J88,0))</f>
        <v>0</v>
      </c>
      <c r="AB88" s="2">
        <f>((IF((16='V06 Calend 01'!C88),('V06 Calend 01'!F88+'V06 Calend 01'!G88),0)+IF(AND(('V06 Calend 01'!E88&gt;0),(16&gt;'V06 Calend 01'!C88),(16&lt;'V06 Calend 01'!D88),(MOD((16-'V06 Calend 01'!C88),6)=0),(((16-'V06 Calend 01'!C88)/6)&lt;='V06 Calend 01'!E88)),IF((16=('V06 Calend 01'!C88+(6*'V06 Calend 01'!E88))),('V06 Calend 01'!H88-('V06 Calend 01'!I88*('V06 Calend 01'!E88-1))),'V06 Calend 01'!I88),0))+IF((16='V06 Calend 01'!D88),'V06 Calend 01'!J88,0))</f>
        <v>0</v>
      </c>
      <c r="AC88" s="2">
        <f>((IF((17='V06 Calend 01'!C88),('V06 Calend 01'!F88+'V06 Calend 01'!G88),0)+IF(AND(('V06 Calend 01'!E88&gt;0),(17&gt;'V06 Calend 01'!C88),(17&lt;'V06 Calend 01'!D88),(MOD((17-'V06 Calend 01'!C88),6)=0),(((17-'V06 Calend 01'!C88)/6)&lt;='V06 Calend 01'!E88)),IF((17=('V06 Calend 01'!C88+(6*'V06 Calend 01'!E88))),('V06 Calend 01'!H88-('V06 Calend 01'!I88*('V06 Calend 01'!E88-1))),'V06 Calend 01'!I88),0))+IF((17='V06 Calend 01'!D88),'V06 Calend 01'!J88,0))</f>
        <v>0</v>
      </c>
      <c r="AD88" s="2">
        <f>((IF((18='V06 Calend 01'!C88),('V06 Calend 01'!F88+'V06 Calend 01'!G88),0)+IF(AND(('V06 Calend 01'!E88&gt;0),(18&gt;'V06 Calend 01'!C88),(18&lt;'V06 Calend 01'!D88),(MOD((18-'V06 Calend 01'!C88),6)=0),(((18-'V06 Calend 01'!C88)/6)&lt;='V06 Calend 01'!E88)),IF((18=('V06 Calend 01'!C88+(6*'V06 Calend 01'!E88))),('V06 Calend 01'!H88-('V06 Calend 01'!I88*('V06 Calend 01'!E88-1))),'V06 Calend 01'!I88),0))+IF((18='V06 Calend 01'!D88),'V06 Calend 01'!J88,0))</f>
        <v>0</v>
      </c>
      <c r="AE88" s="2">
        <f>((IF((19='V06 Calend 01'!C88),('V06 Calend 01'!F88+'V06 Calend 01'!G88),0)+IF(AND(('V06 Calend 01'!E88&gt;0),(19&gt;'V06 Calend 01'!C88),(19&lt;'V06 Calend 01'!D88),(MOD((19-'V06 Calend 01'!C88),6)=0),(((19-'V06 Calend 01'!C88)/6)&lt;='V06 Calend 01'!E88)),IF((19=('V06 Calend 01'!C88+(6*'V06 Calend 01'!E88))),('V06 Calend 01'!H88-('V06 Calend 01'!I88*('V06 Calend 01'!E88-1))),'V06 Calend 01'!I88),0))+IF((19='V06 Calend 01'!D88),'V06 Calend 01'!J88,0))</f>
        <v>137654.34</v>
      </c>
      <c r="AF88" s="2">
        <f>((IF((20='V06 Calend 01'!C88),('V06 Calend 01'!F88+'V06 Calend 01'!G88),0)+IF(AND(('V06 Calend 01'!E88&gt;0),(20&gt;'V06 Calend 01'!C88),(20&lt;'V06 Calend 01'!D88),(MOD((20-'V06 Calend 01'!C88),6)=0),(((20-'V06 Calend 01'!C88)/6)&lt;='V06 Calend 01'!E88)),IF((20=('V06 Calend 01'!C88+(6*'V06 Calend 01'!E88))),('V06 Calend 01'!H88-('V06 Calend 01'!I88*('V06 Calend 01'!E88-1))),'V06 Calend 01'!I88),0))+IF((20='V06 Calend 01'!D88),'V06 Calend 01'!J88,0))</f>
        <v>0</v>
      </c>
      <c r="AG88" s="2">
        <f>((IF((21='V06 Calend 01'!C88),('V06 Calend 01'!F88+'V06 Calend 01'!G88),0)+IF(AND(('V06 Calend 01'!E88&gt;0),(21&gt;'V06 Calend 01'!C88),(21&lt;'V06 Calend 01'!D88),(MOD((21-'V06 Calend 01'!C88),6)=0),(((21-'V06 Calend 01'!C88)/6)&lt;='V06 Calend 01'!E88)),IF((21=('V06 Calend 01'!C88+(6*'V06 Calend 01'!E88))),('V06 Calend 01'!H88-('V06 Calend 01'!I88*('V06 Calend 01'!E88-1))),'V06 Calend 01'!I88),0))+IF((21='V06 Calend 01'!D88),'V06 Calend 01'!J88,0))</f>
        <v>0</v>
      </c>
      <c r="AH88" s="2">
        <f>((IF((22='V06 Calend 01'!C88),('V06 Calend 01'!F88+'V06 Calend 01'!G88),0)+IF(AND(('V06 Calend 01'!E88&gt;0),(22&gt;'V06 Calend 01'!C88),(22&lt;'V06 Calend 01'!D88),(MOD((22-'V06 Calend 01'!C88),6)=0),(((22-'V06 Calend 01'!C88)/6)&lt;='V06 Calend 01'!E88)),IF((22=('V06 Calend 01'!C88+(6*'V06 Calend 01'!E88))),('V06 Calend 01'!H88-('V06 Calend 01'!I88*('V06 Calend 01'!E88-1))),'V06 Calend 01'!I88),0))+IF((22='V06 Calend 01'!D88),'V06 Calend 01'!J88,0))</f>
        <v>0</v>
      </c>
      <c r="AI88" s="2">
        <f>((IF((23='V06 Calend 01'!C88),('V06 Calend 01'!F88+'V06 Calend 01'!G88),0)+IF(AND(('V06 Calend 01'!E88&gt;0),(23&gt;'V06 Calend 01'!C88),(23&lt;'V06 Calend 01'!D88),(MOD((23-'V06 Calend 01'!C88),6)=0),(((23-'V06 Calend 01'!C88)/6)&lt;='V06 Calend 01'!E88)),IF((23=('V06 Calend 01'!C88+(6*'V06 Calend 01'!E88))),('V06 Calend 01'!H88-('V06 Calend 01'!I88*('V06 Calend 01'!E88-1))),'V06 Calend 01'!I88),0))+IF((23='V06 Calend 01'!D88),'V06 Calend 01'!J88,0))</f>
        <v>0</v>
      </c>
      <c r="AJ88" s="2">
        <f>((IF((24='V06 Calend 01'!C88),('V06 Calend 01'!F88+'V06 Calend 01'!G88),0)+IF(AND(('V06 Calend 01'!E88&gt;0),(24&gt;'V06 Calend 01'!C88),(24&lt;'V06 Calend 01'!D88),(MOD((24-'V06 Calend 01'!C88),6)=0),(((24-'V06 Calend 01'!C88)/6)&lt;='V06 Calend 01'!E88)),IF((24=('V06 Calend 01'!C88+(6*'V06 Calend 01'!E88))),('V06 Calend 01'!H88-('V06 Calend 01'!I88*('V06 Calend 01'!E88-1))),'V06 Calend 01'!I88),0))+IF((24='V06 Calend 01'!D88),'V06 Calend 01'!J88,0))</f>
        <v>0</v>
      </c>
      <c r="AK88" s="2">
        <f>((IF((25='V06 Calend 01'!C88),('V06 Calend 01'!F88+'V06 Calend 01'!G88),0)+IF(AND(('V06 Calend 01'!E88&gt;0),(25&gt;'V06 Calend 01'!C88),(25&lt;'V06 Calend 01'!D88),(MOD((25-'V06 Calend 01'!C88),6)=0),(((25-'V06 Calend 01'!C88)/6)&lt;='V06 Calend 01'!E88)),IF((25=('V06 Calend 01'!C88+(6*'V06 Calend 01'!E88))),('V06 Calend 01'!H88-('V06 Calend 01'!I88*('V06 Calend 01'!E88-1))),'V06 Calend 01'!I88),0))+IF((25='V06 Calend 01'!D88),'V06 Calend 01'!J88,0))</f>
        <v>137654.33</v>
      </c>
      <c r="AL88" s="2">
        <f>((IF((26='V06 Calend 01'!C88),('V06 Calend 01'!F88+'V06 Calend 01'!G88),0)+IF(AND(('V06 Calend 01'!E88&gt;0),(26&gt;'V06 Calend 01'!C88),(26&lt;'V06 Calend 01'!D88),(MOD((26-'V06 Calend 01'!C88),6)=0),(((26-'V06 Calend 01'!C88)/6)&lt;='V06 Calend 01'!E88)),IF((26=('V06 Calend 01'!C88+(6*'V06 Calend 01'!E88))),('V06 Calend 01'!H88-('V06 Calend 01'!I88*('V06 Calend 01'!E88-1))),'V06 Calend 01'!I88),0))+IF((26='V06 Calend 01'!D88),'V06 Calend 01'!J88,0))</f>
        <v>0</v>
      </c>
      <c r="AM88" s="2">
        <f>((IF((27='V06 Calend 01'!C88),('V06 Calend 01'!F88+'V06 Calend 01'!G88),0)+IF(AND(('V06 Calend 01'!E88&gt;0),(27&gt;'V06 Calend 01'!C88),(27&lt;'V06 Calend 01'!D88),(MOD((27-'V06 Calend 01'!C88),6)=0),(((27-'V06 Calend 01'!C88)/6)&lt;='V06 Calend 01'!E88)),IF((27=('V06 Calend 01'!C88+(6*'V06 Calend 01'!E88))),('V06 Calend 01'!H88-('V06 Calend 01'!I88*('V06 Calend 01'!E88-1))),'V06 Calend 01'!I88),0))+IF((27='V06 Calend 01'!D88),'V06 Calend 01'!J88,0))</f>
        <v>0</v>
      </c>
      <c r="AN88" s="2">
        <f>((IF((28='V06 Calend 01'!C88),('V06 Calend 01'!F88+'V06 Calend 01'!G88),0)+IF(AND(('V06 Calend 01'!E88&gt;0),(28&gt;'V06 Calend 01'!C88),(28&lt;'V06 Calend 01'!D88),(MOD((28-'V06 Calend 01'!C88),6)=0),(((28-'V06 Calend 01'!C88)/6)&lt;='V06 Calend 01'!E88)),IF((28=('V06 Calend 01'!C88+(6*'V06 Calend 01'!E88))),('V06 Calend 01'!H88-('V06 Calend 01'!I88*('V06 Calend 01'!E88-1))),'V06 Calend 01'!I88),0))+IF((28='V06 Calend 01'!D88),'V06 Calend 01'!J88,0))</f>
        <v>0</v>
      </c>
      <c r="AO88" s="2">
        <f>((IF((29='V06 Calend 01'!C88),('V06 Calend 01'!F88+'V06 Calend 01'!G88),0)+IF(AND(('V06 Calend 01'!E88&gt;0),(29&gt;'V06 Calend 01'!C88),(29&lt;'V06 Calend 01'!D88),(MOD((29-'V06 Calend 01'!C88),6)=0),(((29-'V06 Calend 01'!C88)/6)&lt;='V06 Calend 01'!E88)),IF((29=('V06 Calend 01'!C88+(6*'V06 Calend 01'!E88))),('V06 Calend 01'!H88-('V06 Calend 01'!I88*('V06 Calend 01'!E88-1))),'V06 Calend 01'!I88),0))+IF((29='V06 Calend 01'!D88),'V06 Calend 01'!J88,0))</f>
        <v>0</v>
      </c>
      <c r="AP88" s="2">
        <f>((IF((30='V06 Calend 01'!C88),('V06 Calend 01'!F88+'V06 Calend 01'!G88),0)+IF(AND(('V06 Calend 01'!E88&gt;0),(30&gt;'V06 Calend 01'!C88),(30&lt;'V06 Calend 01'!D88),(MOD((30-'V06 Calend 01'!C88),6)=0),(((30-'V06 Calend 01'!C88)/6)&lt;='V06 Calend 01'!E88)),IF((30=('V06 Calend 01'!C88+(6*'V06 Calend 01'!E88))),('V06 Calend 01'!H88-('V06 Calend 01'!I88*('V06 Calend 01'!E88-1))),'V06 Calend 01'!I88),0))+IF((30='V06 Calend 01'!D88),'V06 Calend 01'!J88,0))</f>
        <v>100112.25</v>
      </c>
      <c r="AQ88" s="2">
        <f>((IF((31='V06 Calend 01'!C88),('V06 Calend 01'!F88+'V06 Calend 01'!G88),0)+IF(AND(('V06 Calend 01'!E88&gt;0),(31&gt;'V06 Calend 01'!C88),(31&lt;'V06 Calend 01'!D88),(MOD((31-'V06 Calend 01'!C88),6)=0),(((31-'V06 Calend 01'!C88)/6)&lt;='V06 Calend 01'!E88)),IF((31=('V06 Calend 01'!C88+(6*'V06 Calend 01'!E88))),('V06 Calend 01'!H88-('V06 Calend 01'!I88*('V06 Calend 01'!E88-1))),'V06 Calend 01'!I88),0))+IF((31='V06 Calend 01'!D88),'V06 Calend 01'!J88,0))</f>
        <v>0</v>
      </c>
      <c r="AR88" s="2">
        <f>((IF((32='V06 Calend 01'!C88),('V06 Calend 01'!F88+'V06 Calend 01'!G88),0)+IF(AND(('V06 Calend 01'!E88&gt;0),(32&gt;'V06 Calend 01'!C88),(32&lt;'V06 Calend 01'!D88),(MOD((32-'V06 Calend 01'!C88),6)=0),(((32-'V06 Calend 01'!C88)/6)&lt;='V06 Calend 01'!E88)),IF((32=('V06 Calend 01'!C88+(6*'V06 Calend 01'!E88))),('V06 Calend 01'!H88-('V06 Calend 01'!I88*('V06 Calend 01'!E88-1))),'V06 Calend 01'!I88),0))+IF((32='V06 Calend 01'!D88),'V06 Calend 01'!J88,0))</f>
        <v>0</v>
      </c>
      <c r="AS88" s="2">
        <f>((IF((33='V06 Calend 01'!C88),('V06 Calend 01'!F88+'V06 Calend 01'!G88),0)+IF(AND(('V06 Calend 01'!E88&gt;0),(33&gt;'V06 Calend 01'!C88),(33&lt;'V06 Calend 01'!D88),(MOD((33-'V06 Calend 01'!C88),6)=0),(((33-'V06 Calend 01'!C88)/6)&lt;='V06 Calend 01'!E88)),IF((33=('V06 Calend 01'!C88+(6*'V06 Calend 01'!E88))),('V06 Calend 01'!H88-('V06 Calend 01'!I88*('V06 Calend 01'!E88-1))),'V06 Calend 01'!I88),0))+IF((33='V06 Calend 01'!D88),'V06 Calend 01'!J88,0))</f>
        <v>0</v>
      </c>
      <c r="AT88" s="2">
        <f>((IF((34='V06 Calend 01'!C88),('V06 Calend 01'!F88+'V06 Calend 01'!G88),0)+IF(AND(('V06 Calend 01'!E88&gt;0),(34&gt;'V06 Calend 01'!C88),(34&lt;'V06 Calend 01'!D88),(MOD((34-'V06 Calend 01'!C88),6)=0),(((34-'V06 Calend 01'!C88)/6)&lt;='V06 Calend 01'!E88)),IF((34=('V06 Calend 01'!C88+(6*'V06 Calend 01'!E88))),('V06 Calend 01'!H88-('V06 Calend 01'!I88*('V06 Calend 01'!E88-1))),'V06 Calend 01'!I88),0))+IF((34='V06 Calend 01'!D88),'V06 Calend 01'!J88,0))</f>
        <v>0</v>
      </c>
      <c r="AU88" s="2">
        <f>((IF((35='V06 Calend 01'!C88),('V06 Calend 01'!F88+'V06 Calend 01'!G88),0)+IF(AND(('V06 Calend 01'!E88&gt;0),(35&gt;'V06 Calend 01'!C88),(35&lt;'V06 Calend 01'!D88),(MOD((35-'V06 Calend 01'!C88),6)=0),(((35-'V06 Calend 01'!C88)/6)&lt;='V06 Calend 01'!E88)),IF((35=('V06 Calend 01'!C88+(6*'V06 Calend 01'!E88))),('V06 Calend 01'!H88-('V06 Calend 01'!I88*('V06 Calend 01'!E88-1))),'V06 Calend 01'!I88),0))+IF((35='V06 Calend 01'!D88),'V06 Calend 01'!J88,0))</f>
        <v>0</v>
      </c>
      <c r="AV88" s="2">
        <f>((IF((36='V06 Calend 01'!C88),('V06 Calend 01'!F88+'V06 Calend 01'!G88),0)+IF(AND(('V06 Calend 01'!E88&gt;0),(36&gt;'V06 Calend 01'!C88),(36&lt;'V06 Calend 01'!D88),(MOD((36-'V06 Calend 01'!C88),6)=0),(((36-'V06 Calend 01'!C88)/6)&lt;='V06 Calend 01'!E88)),IF((36=('V06 Calend 01'!C88+(6*'V06 Calend 01'!E88))),('V06 Calend 01'!H88-('V06 Calend 01'!I88*('V06 Calend 01'!E88-1))),'V06 Calend 01'!I88),0))+IF((36='V06 Calend 01'!D88),'V06 Calend 01'!J88,0))</f>
        <v>0</v>
      </c>
      <c r="AW88" s="2">
        <f>((IF((37='V06 Calend 01'!C88),('V06 Calend 01'!F88+'V06 Calend 01'!G88),0)+IF(AND(('V06 Calend 01'!E88&gt;0),(37&gt;'V06 Calend 01'!C88),(37&lt;'V06 Calend 01'!D88),(MOD((37-'V06 Calend 01'!C88),6)=0),(((37-'V06 Calend 01'!C88)/6)&lt;='V06 Calend 01'!E88)),IF((37=('V06 Calend 01'!C88+(6*'V06 Calend 01'!E88))),('V06 Calend 01'!H88-('V06 Calend 01'!I88*('V06 Calend 01'!E88-1))),'V06 Calend 01'!I88),0))+IF((37='V06 Calend 01'!D88),'V06 Calend 01'!J88,0))</f>
        <v>0</v>
      </c>
      <c r="AX88" s="2">
        <f>((IF((38='V06 Calend 01'!C88),('V06 Calend 01'!F88+'V06 Calend 01'!G88),0)+IF(AND(('V06 Calend 01'!E88&gt;0),(38&gt;'V06 Calend 01'!C88),(38&lt;'V06 Calend 01'!D88),(MOD((38-'V06 Calend 01'!C88),6)=0),(((38-'V06 Calend 01'!C88)/6)&lt;='V06 Calend 01'!E88)),IF((38=('V06 Calend 01'!C88+(6*'V06 Calend 01'!E88))),('V06 Calend 01'!H88-('V06 Calend 01'!I88*('V06 Calend 01'!E88-1))),'V06 Calend 01'!I88),0))+IF((38='V06 Calend 01'!D88),'V06 Calend 01'!J88,0))</f>
        <v>0</v>
      </c>
      <c r="AY88" s="2">
        <f>((IF((39='V06 Calend 01'!C88),('V06 Calend 01'!F88+'V06 Calend 01'!G88),0)+IF(AND(('V06 Calend 01'!E88&gt;0),(39&gt;'V06 Calend 01'!C88),(39&lt;'V06 Calend 01'!D88),(MOD((39-'V06 Calend 01'!C88),6)=0),(((39-'V06 Calend 01'!C88)/6)&lt;='V06 Calend 01'!E88)),IF((39=('V06 Calend 01'!C88+(6*'V06 Calend 01'!E88))),('V06 Calend 01'!H88-('V06 Calend 01'!I88*('V06 Calend 01'!E88-1))),'V06 Calend 01'!I88),0))+IF((39='V06 Calend 01'!D88),'V06 Calend 01'!J88,0))</f>
        <v>0</v>
      </c>
      <c r="AZ88" s="2">
        <f>((IF((40='V06 Calend 01'!C88),('V06 Calend 01'!F88+'V06 Calend 01'!G88),0)+IF(AND(('V06 Calend 01'!E88&gt;0),(40&gt;'V06 Calend 01'!C88),(40&lt;'V06 Calend 01'!D88),(MOD((40-'V06 Calend 01'!C88),6)=0),(((40-'V06 Calend 01'!C88)/6)&lt;='V06 Calend 01'!E88)),IF((40=('V06 Calend 01'!C88+(6*'V06 Calend 01'!E88))),('V06 Calend 01'!H88-('V06 Calend 01'!I88*('V06 Calend 01'!E88-1))),'V06 Calend 01'!I88),0))+IF((40='V06 Calend 01'!D88),'V06 Calend 01'!J88,0))</f>
        <v>0</v>
      </c>
      <c r="BA88" s="2">
        <f>((IF((41='V06 Calend 01'!C88),('V06 Calend 01'!F88+'V06 Calend 01'!G88),0)+IF(AND(('V06 Calend 01'!E88&gt;0),(41&gt;'V06 Calend 01'!C88),(41&lt;'V06 Calend 01'!D88),(MOD((41-'V06 Calend 01'!C88),6)=0),(((41-'V06 Calend 01'!C88)/6)&lt;='V06 Calend 01'!E88)),IF((41=('V06 Calend 01'!C88+(6*'V06 Calend 01'!E88))),('V06 Calend 01'!H88-('V06 Calend 01'!I88*('V06 Calend 01'!E88-1))),'V06 Calend 01'!I88),0))+IF((41='V06 Calend 01'!D88),'V06 Calend 01'!J88,0))</f>
        <v>0</v>
      </c>
      <c r="BB88" s="2">
        <f>((IF((42='V06 Calend 01'!C88),('V06 Calend 01'!F88+'V06 Calend 01'!G88),0)+IF(AND(('V06 Calend 01'!E88&gt;0),(42&gt;'V06 Calend 01'!C88),(42&lt;'V06 Calend 01'!D88),(MOD((42-'V06 Calend 01'!C88),6)=0),(((42-'V06 Calend 01'!C88)/6)&lt;='V06 Calend 01'!E88)),IF((42=('V06 Calend 01'!C88+(6*'V06 Calend 01'!E88))),('V06 Calend 01'!H88-('V06 Calend 01'!I88*('V06 Calend 01'!E88-1))),'V06 Calend 01'!I88),0))+IF((42='V06 Calend 01'!D88),'V06 Calend 01'!J88,0))</f>
        <v>0</v>
      </c>
      <c r="BC88" s="2">
        <f>((IF((43='V06 Calend 01'!C88),('V06 Calend 01'!F88+'V06 Calend 01'!G88),0)+IF(AND(('V06 Calend 01'!E88&gt;0),(43&gt;'V06 Calend 01'!C88),(43&lt;'V06 Calend 01'!D88),(MOD((43-'V06 Calend 01'!C88),6)=0),(((43-'V06 Calend 01'!C88)/6)&lt;='V06 Calend 01'!E88)),IF((43=('V06 Calend 01'!C88+(6*'V06 Calend 01'!E88))),('V06 Calend 01'!H88-('V06 Calend 01'!I88*('V06 Calend 01'!E88-1))),'V06 Calend 01'!I88),0))+IF((43='V06 Calend 01'!D88),'V06 Calend 01'!J88,0))</f>
        <v>0</v>
      </c>
      <c r="BD88" s="2">
        <f>((IF((44='V06 Calend 01'!C88),('V06 Calend 01'!F88+'V06 Calend 01'!G88),0)+IF(AND(('V06 Calend 01'!E88&gt;0),(44&gt;'V06 Calend 01'!C88),(44&lt;'V06 Calend 01'!D88),(MOD((44-'V06 Calend 01'!C88),6)=0),(((44-'V06 Calend 01'!C88)/6)&lt;='V06 Calend 01'!E88)),IF((44=('V06 Calend 01'!C88+(6*'V06 Calend 01'!E88))),('V06 Calend 01'!H88-('V06 Calend 01'!I88*('V06 Calend 01'!E88-1))),'V06 Calend 01'!I88),0))+IF((44='V06 Calend 01'!D88),'V06 Calend 01'!J88,0))</f>
        <v>0</v>
      </c>
      <c r="BE88" s="2">
        <f>((IF((45='V06 Calend 01'!C88),('V06 Calend 01'!F88+'V06 Calend 01'!G88),0)+IF(AND(('V06 Calend 01'!E88&gt;0),(45&gt;'V06 Calend 01'!C88),(45&lt;'V06 Calend 01'!D88),(MOD((45-'V06 Calend 01'!C88),6)=0),(((45-'V06 Calend 01'!C88)/6)&lt;='V06 Calend 01'!E88)),IF((45=('V06 Calend 01'!C88+(6*'V06 Calend 01'!E88))),('V06 Calend 01'!H88-('V06 Calend 01'!I88*('V06 Calend 01'!E88-1))),'V06 Calend 01'!I88),0))+IF((45='V06 Calend 01'!D88),'V06 Calend 01'!J88,0))</f>
        <v>0</v>
      </c>
      <c r="BF88" s="2">
        <f>((IF((46='V06 Calend 01'!C88),('V06 Calend 01'!F88+'V06 Calend 01'!G88),0)+IF(AND(('V06 Calend 01'!E88&gt;0),(46&gt;'V06 Calend 01'!C88),(46&lt;'V06 Calend 01'!D88),(MOD((46-'V06 Calend 01'!C88),6)=0),(((46-'V06 Calend 01'!C88)/6)&lt;='V06 Calend 01'!E88)),IF((46=('V06 Calend 01'!C88+(6*'V06 Calend 01'!E88))),('V06 Calend 01'!H88-('V06 Calend 01'!I88*('V06 Calend 01'!E88-1))),'V06 Calend 01'!I88),0))+IF((46='V06 Calend 01'!D88),'V06 Calend 01'!J88,0))</f>
        <v>0</v>
      </c>
      <c r="BG88" s="2">
        <f>((IF((47='V06 Calend 01'!C88),('V06 Calend 01'!F88+'V06 Calend 01'!G88),0)+IF(AND(('V06 Calend 01'!E88&gt;0),(47&gt;'V06 Calend 01'!C88),(47&lt;'V06 Calend 01'!D88),(MOD((47-'V06 Calend 01'!C88),6)=0),(((47-'V06 Calend 01'!C88)/6)&lt;='V06 Calend 01'!E88)),IF((47=('V06 Calend 01'!C88+(6*'V06 Calend 01'!E88))),('V06 Calend 01'!H88-('V06 Calend 01'!I88*('V06 Calend 01'!E88-1))),'V06 Calend 01'!I88),0))+IF((47='V06 Calend 01'!D88),'V06 Calend 01'!J88,0))</f>
        <v>0</v>
      </c>
      <c r="BH88" s="2">
        <f>((IF((48='V06 Calend 01'!C88),('V06 Calend 01'!F88+'V06 Calend 01'!G88),0)+IF(AND(('V06 Calend 01'!E88&gt;0),(48&gt;'V06 Calend 01'!C88),(48&lt;'V06 Calend 01'!D88),(MOD((48-'V06 Calend 01'!C88),6)=0),(((48-'V06 Calend 01'!C88)/6)&lt;='V06 Calend 01'!E88)),IF((48=('V06 Calend 01'!C88+(6*'V06 Calend 01'!E88))),('V06 Calend 01'!H88-('V06 Calend 01'!I88*('V06 Calend 01'!E88-1))),'V06 Calend 01'!I88),0))+IF((48='V06 Calend 01'!D88),'V06 Calend 01'!J88,0))</f>
        <v>0</v>
      </c>
      <c r="BI88" s="2">
        <f>((IF((49='V06 Calend 01'!C88),('V06 Calend 01'!F88+'V06 Calend 01'!G88),0)+IF(AND(('V06 Calend 01'!E88&gt;0),(49&gt;'V06 Calend 01'!C88),(49&lt;'V06 Calend 01'!D88),(MOD((49-'V06 Calend 01'!C88),6)=0),(((49-'V06 Calend 01'!C88)/6)&lt;='V06 Calend 01'!E88)),IF((49=('V06 Calend 01'!C88+(6*'V06 Calend 01'!E88))),('V06 Calend 01'!H88-('V06 Calend 01'!I88*('V06 Calend 01'!E88-1))),'V06 Calend 01'!I88),0))+IF((49='V06 Calend 01'!D88),'V06 Calend 01'!J88,0))</f>
        <v>0</v>
      </c>
      <c r="BJ88" s="2">
        <f>((IF((50='V06 Calend 01'!C88),('V06 Calend 01'!F88+'V06 Calend 01'!G88),0)+IF(AND(('V06 Calend 01'!E88&gt;0),(50&gt;'V06 Calend 01'!C88),(50&lt;'V06 Calend 01'!D88),(MOD((50-'V06 Calend 01'!C88),6)=0),(((50-'V06 Calend 01'!C88)/6)&lt;='V06 Calend 01'!E88)),IF((50=('V06 Calend 01'!C88+(6*'V06 Calend 01'!E88))),('V06 Calend 01'!H88-('V06 Calend 01'!I88*('V06 Calend 01'!E88-1))),'V06 Calend 01'!I88),0))+IF((50='V06 Calend 01'!D88),'V06 Calend 01'!J88,0))</f>
        <v>0</v>
      </c>
      <c r="BK88" s="2">
        <f>((IF((51='V06 Calend 01'!C88),('V06 Calend 01'!F88+'V06 Calend 01'!G88),0)+IF(AND(('V06 Calend 01'!E88&gt;0),(51&gt;'V06 Calend 01'!C88),(51&lt;'V06 Calend 01'!D88),(MOD((51-'V06 Calend 01'!C88),6)=0),(((51-'V06 Calend 01'!C88)/6)&lt;='V06 Calend 01'!E88)),IF((51=('V06 Calend 01'!C88+(6*'V06 Calend 01'!E88))),('V06 Calend 01'!H88-('V06 Calend 01'!I88*('V06 Calend 01'!E88-1))),'V06 Calend 01'!I88),0))+IF((51='V06 Calend 01'!D88),'V06 Calend 01'!J88,0))</f>
        <v>0</v>
      </c>
      <c r="BL88" s="2">
        <f>((IF((52='V06 Calend 01'!C88),('V06 Calend 01'!F88+'V06 Calend 01'!G88),0)+IF(AND(('V06 Calend 01'!E88&gt;0),(52&gt;'V06 Calend 01'!C88),(52&lt;'V06 Calend 01'!D88),(MOD((52-'V06 Calend 01'!C88),6)=0),(((52-'V06 Calend 01'!C88)/6)&lt;='V06 Calend 01'!E88)),IF((52=('V06 Calend 01'!C88+(6*'V06 Calend 01'!E88))),('V06 Calend 01'!H88-('V06 Calend 01'!I88*('V06 Calend 01'!E88-1))),'V06 Calend 01'!I88),0))+IF((52='V06 Calend 01'!D88),'V06 Calend 01'!J88,0))</f>
        <v>0</v>
      </c>
      <c r="BM88" s="2">
        <f>((IF((53='V06 Calend 01'!C88),('V06 Calend 01'!F88+'V06 Calend 01'!G88),0)+IF(AND(('V06 Calend 01'!E88&gt;0),(53&gt;'V06 Calend 01'!C88),(53&lt;'V06 Calend 01'!D88),(MOD((53-'V06 Calend 01'!C88),6)=0),(((53-'V06 Calend 01'!C88)/6)&lt;='V06 Calend 01'!E88)),IF((53=('V06 Calend 01'!C88+(6*'V06 Calend 01'!E88))),('V06 Calend 01'!H88-('V06 Calend 01'!I88*('V06 Calend 01'!E88-1))),'V06 Calend 01'!I88),0))+IF((53='V06 Calend 01'!D88),'V06 Calend 01'!J88,0))</f>
        <v>0</v>
      </c>
      <c r="BN88" s="2">
        <f>((IF((54='V06 Calend 01'!C88),('V06 Calend 01'!F88+'V06 Calend 01'!G88),0)+IF(AND(('V06 Calend 01'!E88&gt;0),(54&gt;'V06 Calend 01'!C88),(54&lt;'V06 Calend 01'!D88),(MOD((54-'V06 Calend 01'!C88),6)=0),(((54-'V06 Calend 01'!C88)/6)&lt;='V06 Calend 01'!E88)),IF((54=('V06 Calend 01'!C88+(6*'V06 Calend 01'!E88))),('V06 Calend 01'!H88-('V06 Calend 01'!I88*('V06 Calend 01'!E88-1))),'V06 Calend 01'!I88),0))+IF((54='V06 Calend 01'!D88),'V06 Calend 01'!J88,0))</f>
        <v>0</v>
      </c>
      <c r="BO88" s="2">
        <f>((IF((55='V06 Calend 01'!C88),('V06 Calend 01'!F88+'V06 Calend 01'!G88),0)+IF(AND(('V06 Calend 01'!E88&gt;0),(55&gt;'V06 Calend 01'!C88),(55&lt;'V06 Calend 01'!D88),(MOD((55-'V06 Calend 01'!C88),6)=0),(((55-'V06 Calend 01'!C88)/6)&lt;='V06 Calend 01'!E88)),IF((55=('V06 Calend 01'!C88+(6*'V06 Calend 01'!E88))),('V06 Calend 01'!H88-('V06 Calend 01'!I88*('V06 Calend 01'!E88-1))),'V06 Calend 01'!I88),0))+IF((55='V06 Calend 01'!D88),'V06 Calend 01'!J88,0))</f>
        <v>0</v>
      </c>
      <c r="BP88" s="2">
        <f>((IF((56='V06 Calend 01'!C88),('V06 Calend 01'!F88+'V06 Calend 01'!G88),0)+IF(AND(('V06 Calend 01'!E88&gt;0),(56&gt;'V06 Calend 01'!C88),(56&lt;'V06 Calend 01'!D88),(MOD((56-'V06 Calend 01'!C88),6)=0),(((56-'V06 Calend 01'!C88)/6)&lt;='V06 Calend 01'!E88)),IF((56=('V06 Calend 01'!C88+(6*'V06 Calend 01'!E88))),('V06 Calend 01'!H88-('V06 Calend 01'!I88*('V06 Calend 01'!E88-1))),'V06 Calend 01'!I88),0))+IF((56='V06 Calend 01'!D88),'V06 Calend 01'!J88,0))</f>
        <v>0</v>
      </c>
      <c r="BQ88" s="2">
        <f>((IF((57='V06 Calend 01'!C88),('V06 Calend 01'!F88+'V06 Calend 01'!G88),0)+IF(AND(('V06 Calend 01'!E88&gt;0),(57&gt;'V06 Calend 01'!C88),(57&lt;'V06 Calend 01'!D88),(MOD((57-'V06 Calend 01'!C88),6)=0),(((57-'V06 Calend 01'!C88)/6)&lt;='V06 Calend 01'!E88)),IF((57=('V06 Calend 01'!C88+(6*'V06 Calend 01'!E88))),('V06 Calend 01'!H88-('V06 Calend 01'!I88*('V06 Calend 01'!E88-1))),'V06 Calend 01'!I88),0))+IF((57='V06 Calend 01'!D88),'V06 Calend 01'!J88,0))</f>
        <v>0</v>
      </c>
      <c r="BR88" s="2">
        <f>((IF((58='V06 Calend 01'!C88),('V06 Calend 01'!F88+'V06 Calend 01'!G88),0)+IF(AND(('V06 Calend 01'!E88&gt;0),(58&gt;'V06 Calend 01'!C88),(58&lt;'V06 Calend 01'!D88),(MOD((58-'V06 Calend 01'!C88),6)=0),(((58-'V06 Calend 01'!C88)/6)&lt;='V06 Calend 01'!E88)),IF((58=('V06 Calend 01'!C88+(6*'V06 Calend 01'!E88))),('V06 Calend 01'!H88-('V06 Calend 01'!I88*('V06 Calend 01'!E88-1))),'V06 Calend 01'!I88),0))+IF((58='V06 Calend 01'!D88),'V06 Calend 01'!J88,0))</f>
        <v>0</v>
      </c>
      <c r="BS88" s="2">
        <f>((IF((59='V06 Calend 01'!C88),('V06 Calend 01'!F88+'V06 Calend 01'!G88),0)+IF(AND(('V06 Calend 01'!E88&gt;0),(59&gt;'V06 Calend 01'!C88),(59&lt;'V06 Calend 01'!D88),(MOD((59-'V06 Calend 01'!C88),6)=0),(((59-'V06 Calend 01'!C88)/6)&lt;='V06 Calend 01'!E88)),IF((59=('V06 Calend 01'!C88+(6*'V06 Calend 01'!E88))),('V06 Calend 01'!H88-('V06 Calend 01'!I88*('V06 Calend 01'!E88-1))),'V06 Calend 01'!I88),0))+IF((59='V06 Calend 01'!D88),'V06 Calend 01'!J88,0))</f>
        <v>0</v>
      </c>
      <c r="BT88" s="2">
        <f>((IF((60='V06 Calend 01'!C88),('V06 Calend 01'!F88+'V06 Calend 01'!G88),0)+IF(AND(('V06 Calend 01'!E88&gt;0),(60&gt;'V06 Calend 01'!C88),(60&lt;'V06 Calend 01'!D88),(MOD((60-'V06 Calend 01'!C88),6)=0),(((60-'V06 Calend 01'!C88)/6)&lt;='V06 Calend 01'!E88)),IF((60=('V06 Calend 01'!C88+(6*'V06 Calend 01'!E88))),('V06 Calend 01'!H88-('V06 Calend 01'!I88*('V06 Calend 01'!E88-1))),'V06 Calend 01'!I88),0))+IF((60='V06 Calend 01'!D88),'V06 Calend 01'!J88,0))</f>
        <v>0</v>
      </c>
      <c r="BU88" s="2">
        <f>((IF((61='V06 Calend 01'!C88),('V06 Calend 01'!F88+'V06 Calend 01'!G88),0)+IF(AND(('V06 Calend 01'!E88&gt;0),(61&gt;'V06 Calend 01'!C88),(61&lt;'V06 Calend 01'!D88),(MOD((61-'V06 Calend 01'!C88),6)=0),(((61-'V06 Calend 01'!C88)/6)&lt;='V06 Calend 01'!E88)),IF((61=('V06 Calend 01'!C88+(6*'V06 Calend 01'!E88))),('V06 Calend 01'!H88-('V06 Calend 01'!I88*('V06 Calend 01'!E88-1))),'V06 Calend 01'!I88),0))+IF((61='V06 Calend 01'!D88),'V06 Calend 01'!J88,0))</f>
        <v>0</v>
      </c>
      <c r="BV88" s="2">
        <f>((IF((62='V06 Calend 01'!C88),('V06 Calend 01'!F88+'V06 Calend 01'!G88),0)+IF(AND(('V06 Calend 01'!E88&gt;0),(62&gt;'V06 Calend 01'!C88),(62&lt;'V06 Calend 01'!D88),(MOD((62-'V06 Calend 01'!C88),6)=0),(((62-'V06 Calend 01'!C88)/6)&lt;='V06 Calend 01'!E88)),IF((62=('V06 Calend 01'!C88+(6*'V06 Calend 01'!E88))),('V06 Calend 01'!H88-('V06 Calend 01'!I88*('V06 Calend 01'!E88-1))),'V06 Calend 01'!I88),0))+IF((62='V06 Calend 01'!D88),'V06 Calend 01'!J88,0))</f>
        <v>0</v>
      </c>
      <c r="BW88" s="2">
        <f>((IF((63='V06 Calend 01'!C88),('V06 Calend 01'!F88+'V06 Calend 01'!G88),0)+IF(AND(('V06 Calend 01'!E88&gt;0),(63&gt;'V06 Calend 01'!C88),(63&lt;'V06 Calend 01'!D88),(MOD((63-'V06 Calend 01'!C88),6)=0),(((63-'V06 Calend 01'!C88)/6)&lt;='V06 Calend 01'!E88)),IF((63=('V06 Calend 01'!C88+(6*'V06 Calend 01'!E88))),('V06 Calend 01'!H88-('V06 Calend 01'!I88*('V06 Calend 01'!E88-1))),'V06 Calend 01'!I88),0))+IF((63='V06 Calend 01'!D88),'V06 Calend 01'!J88,0))</f>
        <v>0</v>
      </c>
      <c r="BX88" s="2">
        <f>((IF((64='V06 Calend 01'!C88),('V06 Calend 01'!F88+'V06 Calend 01'!G88),0)+IF(AND(('V06 Calend 01'!E88&gt;0),(64&gt;'V06 Calend 01'!C88),(64&lt;'V06 Calend 01'!D88),(MOD((64-'V06 Calend 01'!C88),6)=0),(((64-'V06 Calend 01'!C88)/6)&lt;='V06 Calend 01'!E88)),IF((64=('V06 Calend 01'!C88+(6*'V06 Calend 01'!E88))),('V06 Calend 01'!H88-('V06 Calend 01'!I88*('V06 Calend 01'!E88-1))),'V06 Calend 01'!I88),0))+IF((64='V06 Calend 01'!D88),'V06 Calend 01'!J88,0))</f>
        <v>0</v>
      </c>
      <c r="BY88" s="2">
        <f>((IF((65='V06 Calend 01'!C88),('V06 Calend 01'!F88+'V06 Calend 01'!G88),0)+IF(AND(('V06 Calend 01'!E88&gt;0),(65&gt;'V06 Calend 01'!C88),(65&lt;'V06 Calend 01'!D88),(MOD((65-'V06 Calend 01'!C88),6)=0),(((65-'V06 Calend 01'!C88)/6)&lt;='V06 Calend 01'!E88)),IF((65=('V06 Calend 01'!C88+(6*'V06 Calend 01'!E88))),('V06 Calend 01'!H88-('V06 Calend 01'!I88*('V06 Calend 01'!E88-1))),'V06 Calend 01'!I88),0))+IF((65='V06 Calend 01'!D88),'V06 Calend 01'!J88,0))</f>
        <v>0</v>
      </c>
      <c r="BZ88" s="2">
        <f>((IF((66='V06 Calend 01'!C88),('V06 Calend 01'!F88+'V06 Calend 01'!G88),0)+IF(AND(('V06 Calend 01'!E88&gt;0),(66&gt;'V06 Calend 01'!C88),(66&lt;'V06 Calend 01'!D88),(MOD((66-'V06 Calend 01'!C88),6)=0),(((66-'V06 Calend 01'!C88)/6)&lt;='V06 Calend 01'!E88)),IF((66=('V06 Calend 01'!C88+(6*'V06 Calend 01'!E88))),('V06 Calend 01'!H88-('V06 Calend 01'!I88*('V06 Calend 01'!E88-1))),'V06 Calend 01'!I88),0))+IF((66='V06 Calend 01'!D88),'V06 Calend 01'!J88,0))</f>
        <v>0</v>
      </c>
      <c r="CA88" s="2">
        <f>((IF((67='V06 Calend 01'!C88),('V06 Calend 01'!F88+'V06 Calend 01'!G88),0)+IF(AND(('V06 Calend 01'!E88&gt;0),(67&gt;'V06 Calend 01'!C88),(67&lt;'V06 Calend 01'!D88),(MOD((67-'V06 Calend 01'!C88),6)=0),(((67-'V06 Calend 01'!C88)/6)&lt;='V06 Calend 01'!E88)),IF((67=('V06 Calend 01'!C88+(6*'V06 Calend 01'!E88))),('V06 Calend 01'!H88-('V06 Calend 01'!I88*('V06 Calend 01'!E88-1))),'V06 Calend 01'!I88),0))+IF((67='V06 Calend 01'!D88),'V06 Calend 01'!J88,0))</f>
        <v>0</v>
      </c>
      <c r="CB88" s="2">
        <f>((IF((68='V06 Calend 01'!C88),('V06 Calend 01'!F88+'V06 Calend 01'!G88),0)+IF(AND(('V06 Calend 01'!E88&gt;0),(68&gt;'V06 Calend 01'!C88),(68&lt;'V06 Calend 01'!D88),(MOD((68-'V06 Calend 01'!C88),6)=0),(((68-'V06 Calend 01'!C88)/6)&lt;='V06 Calend 01'!E88)),IF((68=('V06 Calend 01'!C88+(6*'V06 Calend 01'!E88))),('V06 Calend 01'!H88-('V06 Calend 01'!I88*('V06 Calend 01'!E88-1))),'V06 Calend 01'!I88),0))+IF((68='V06 Calend 01'!D88),'V06 Calend 01'!J88,0))</f>
        <v>0</v>
      </c>
      <c r="CC88" s="2">
        <f>((IF((69='V06 Calend 01'!C88),('V06 Calend 01'!F88+'V06 Calend 01'!G88),0)+IF(AND(('V06 Calend 01'!E88&gt;0),(69&gt;'V06 Calend 01'!C88),(69&lt;'V06 Calend 01'!D88),(MOD((69-'V06 Calend 01'!C88),6)=0),(((69-'V06 Calend 01'!C88)/6)&lt;='V06 Calend 01'!E88)),IF((69=('V06 Calend 01'!C88+(6*'V06 Calend 01'!E88))),('V06 Calend 01'!H88-('V06 Calend 01'!I88*('V06 Calend 01'!E88-1))),'V06 Calend 01'!I88),0))+IF((69='V06 Calend 01'!D88),'V06 Calend 01'!J88,0))</f>
        <v>0</v>
      </c>
      <c r="CD88" s="2">
        <f>((IF((70='V06 Calend 01'!C88),('V06 Calend 01'!F88+'V06 Calend 01'!G88),0)+IF(AND(('V06 Calend 01'!E88&gt;0),(70&gt;'V06 Calend 01'!C88),(70&lt;'V06 Calend 01'!D88),(MOD((70-'V06 Calend 01'!C88),6)=0),(((70-'V06 Calend 01'!C88)/6)&lt;='V06 Calend 01'!E88)),IF((70=('V06 Calend 01'!C88+(6*'V06 Calend 01'!E88))),('V06 Calend 01'!H88-('V06 Calend 01'!I88*('V06 Calend 01'!E88-1))),'V06 Calend 01'!I88),0))+IF((70='V06 Calend 01'!D88),'V06 Calend 01'!J88,0))</f>
        <v>0</v>
      </c>
      <c r="CE88" s="2">
        <f>((IF((71='V06 Calend 01'!C88),('V06 Calend 01'!F88+'V06 Calend 01'!G88),0)+IF(AND(('V06 Calend 01'!E88&gt;0),(71&gt;'V06 Calend 01'!C88),(71&lt;'V06 Calend 01'!D88),(MOD((71-'V06 Calend 01'!C88),6)=0),(((71-'V06 Calend 01'!C88)/6)&lt;='V06 Calend 01'!E88)),IF((71=('V06 Calend 01'!C88+(6*'V06 Calend 01'!E88))),('V06 Calend 01'!H88-('V06 Calend 01'!I88*('V06 Calend 01'!E88-1))),'V06 Calend 01'!I88),0))+IF((71='V06 Calend 01'!D88),'V06 Calend 01'!J88,0))</f>
        <v>0</v>
      </c>
      <c r="CF88" s="2">
        <f>((IF((72='V06 Calend 01'!C88),('V06 Calend 01'!F88+'V06 Calend 01'!G88),0)+IF(AND(('V06 Calend 01'!E88&gt;0),(72&gt;'V06 Calend 01'!C88),(72&lt;'V06 Calend 01'!D88),(MOD((72-'V06 Calend 01'!C88),6)=0),(((72-'V06 Calend 01'!C88)/6)&lt;='V06 Calend 01'!E88)),IF((72=('V06 Calend 01'!C88+(6*'V06 Calend 01'!E88))),('V06 Calend 01'!H88-('V06 Calend 01'!I88*('V06 Calend 01'!E88-1))),'V06 Calend 01'!I88),0))+IF((72='V06 Calend 01'!D88),'V06 Calend 01'!J88,0))</f>
        <v>0</v>
      </c>
      <c r="CG88" s="2">
        <f>((IF((73='V06 Calend 01'!C88),('V06 Calend 01'!F88+'V06 Calend 01'!G88),0)+IF(AND(('V06 Calend 01'!E88&gt;0),(73&gt;'V06 Calend 01'!C88),(73&lt;'V06 Calend 01'!D88),(MOD((73-'V06 Calend 01'!C88),6)=0),(((73-'V06 Calend 01'!C88)/6)&lt;='V06 Calend 01'!E88)),IF((73=('V06 Calend 01'!C88+(6*'V06 Calend 01'!E88))),('V06 Calend 01'!H88-('V06 Calend 01'!I88*('V06 Calend 01'!E88-1))),'V06 Calend 01'!I88),0))+IF((73='V06 Calend 01'!D88),'V06 Calend 01'!J88,0))</f>
        <v>0</v>
      </c>
      <c r="CH88" s="2">
        <f>((IF((74='V06 Calend 01'!C88),('V06 Calend 01'!F88+'V06 Calend 01'!G88),0)+IF(AND(('V06 Calend 01'!E88&gt;0),(74&gt;'V06 Calend 01'!C88),(74&lt;'V06 Calend 01'!D88),(MOD((74-'V06 Calend 01'!C88),6)=0),(((74-'V06 Calend 01'!C88)/6)&lt;='V06 Calend 01'!E88)),IF((74=('V06 Calend 01'!C88+(6*'V06 Calend 01'!E88))),('V06 Calend 01'!H88-('V06 Calend 01'!I88*('V06 Calend 01'!E88-1))),'V06 Calend 01'!I88),0))+IF((74='V06 Calend 01'!D88),'V06 Calend 01'!J88,0))</f>
        <v>0</v>
      </c>
      <c r="CI88" s="2">
        <f>((IF((75='V06 Calend 01'!C88),('V06 Calend 01'!F88+'V06 Calend 01'!G88),0)+IF(AND(('V06 Calend 01'!E88&gt;0),(75&gt;'V06 Calend 01'!C88),(75&lt;'V06 Calend 01'!D88),(MOD((75-'V06 Calend 01'!C88),6)=0),(((75-'V06 Calend 01'!C88)/6)&lt;='V06 Calend 01'!E88)),IF((75=('V06 Calend 01'!C88+(6*'V06 Calend 01'!E88))),('V06 Calend 01'!H88-('V06 Calend 01'!I88*('V06 Calend 01'!E88-1))),'V06 Calend 01'!I88),0))+IF((75='V06 Calend 01'!D88),'V06 Calend 01'!J88,0))</f>
        <v>0</v>
      </c>
      <c r="CJ88" s="2">
        <f>((IF((76='V06 Calend 01'!C88),('V06 Calend 01'!F88+'V06 Calend 01'!G88),0)+IF(AND(('V06 Calend 01'!E88&gt;0),(76&gt;'V06 Calend 01'!C88),(76&lt;'V06 Calend 01'!D88),(MOD((76-'V06 Calend 01'!C88),6)=0),(((76-'V06 Calend 01'!C88)/6)&lt;='V06 Calend 01'!E88)),IF((76=('V06 Calend 01'!C88+(6*'V06 Calend 01'!E88))),('V06 Calend 01'!H88-('V06 Calend 01'!I88*('V06 Calend 01'!E88-1))),'V06 Calend 01'!I88),0))+IF((76='V06 Calend 01'!D88),'V06 Calend 01'!J88,0))</f>
        <v>0</v>
      </c>
      <c r="CK88" s="2">
        <f>((IF((77='V06 Calend 01'!C88),('V06 Calend 01'!F88+'V06 Calend 01'!G88),0)+IF(AND(('V06 Calend 01'!E88&gt;0),(77&gt;'V06 Calend 01'!C88),(77&lt;'V06 Calend 01'!D88),(MOD((77-'V06 Calend 01'!C88),6)=0),(((77-'V06 Calend 01'!C88)/6)&lt;='V06 Calend 01'!E88)),IF((77=('V06 Calend 01'!C88+(6*'V06 Calend 01'!E88))),('V06 Calend 01'!H88-('V06 Calend 01'!I88*('V06 Calend 01'!E88-1))),'V06 Calend 01'!I88),0))+IF((77='V06 Calend 01'!D88),'V06 Calend 01'!J88,0))</f>
        <v>0</v>
      </c>
      <c r="CL88" s="2">
        <f>((IF((78='V06 Calend 01'!C88),('V06 Calend 01'!F88+'V06 Calend 01'!G88),0)+IF(AND(('V06 Calend 01'!E88&gt;0),(78&gt;'V06 Calend 01'!C88),(78&lt;'V06 Calend 01'!D88),(MOD((78-'V06 Calend 01'!C88),6)=0),(((78-'V06 Calend 01'!C88)/6)&lt;='V06 Calend 01'!E88)),IF((78=('V06 Calend 01'!C88+(6*'V06 Calend 01'!E88))),('V06 Calend 01'!H88-('V06 Calend 01'!I88*('V06 Calend 01'!E88-1))),'V06 Calend 01'!I88),0))+IF((78='V06 Calend 01'!D88),'V06 Calend 01'!J88,0))</f>
        <v>0</v>
      </c>
      <c r="CM88" s="2">
        <f>((IF((79='V06 Calend 01'!C88),('V06 Calend 01'!F88+'V06 Calend 01'!G88),0)+IF(AND(('V06 Calend 01'!E88&gt;0),(79&gt;'V06 Calend 01'!C88),(79&lt;'V06 Calend 01'!D88),(MOD((79-'V06 Calend 01'!C88),6)=0),(((79-'V06 Calend 01'!C88)/6)&lt;='V06 Calend 01'!E88)),IF((79=('V06 Calend 01'!C88+(6*'V06 Calend 01'!E88))),('V06 Calend 01'!H88-('V06 Calend 01'!I88*('V06 Calend 01'!E88-1))),'V06 Calend 01'!I88),0))+IF((79='V06 Calend 01'!D88),'V06 Calend 01'!J88,0))</f>
        <v>0</v>
      </c>
      <c r="CN88" s="2">
        <f>((IF((80='V06 Calend 01'!C88),('V06 Calend 01'!F88+'V06 Calend 01'!G88),0)+IF(AND(('V06 Calend 01'!E88&gt;0),(80&gt;'V06 Calend 01'!C88),(80&lt;'V06 Calend 01'!D88),(MOD((80-'V06 Calend 01'!C88),6)=0),(((80-'V06 Calend 01'!C88)/6)&lt;='V06 Calend 01'!E88)),IF((80=('V06 Calend 01'!C88+(6*'V06 Calend 01'!E88))),('V06 Calend 01'!H88-('V06 Calend 01'!I88*('V06 Calend 01'!E88-1))),'V06 Calend 01'!I88),0))+IF((80='V06 Calend 01'!D88),'V06 Calend 01'!J88,0))</f>
        <v>0</v>
      </c>
      <c r="CO88" s="2">
        <f>((IF((81='V06 Calend 01'!C88),('V06 Calend 01'!F88+'V06 Calend 01'!G88),0)+IF(AND(('V06 Calend 01'!E88&gt;0),(81&gt;'V06 Calend 01'!C88),(81&lt;'V06 Calend 01'!D88),(MOD((81-'V06 Calend 01'!C88),6)=0),(((81-'V06 Calend 01'!C88)/6)&lt;='V06 Calend 01'!E88)),IF((81=('V06 Calend 01'!C88+(6*'V06 Calend 01'!E88))),('V06 Calend 01'!H88-('V06 Calend 01'!I88*('V06 Calend 01'!E88-1))),'V06 Calend 01'!I88),0))+IF((81='V06 Calend 01'!D88),'V06 Calend 01'!J88,0))</f>
        <v>0</v>
      </c>
      <c r="CP88" s="2">
        <f>((IF((82='V06 Calend 01'!C88),('V06 Calend 01'!F88+'V06 Calend 01'!G88),0)+IF(AND(('V06 Calend 01'!E88&gt;0),(82&gt;'V06 Calend 01'!C88),(82&lt;'V06 Calend 01'!D88),(MOD((82-'V06 Calend 01'!C88),6)=0),(((82-'V06 Calend 01'!C88)/6)&lt;='V06 Calend 01'!E88)),IF((82=('V06 Calend 01'!C88+(6*'V06 Calend 01'!E88))),('V06 Calend 01'!H88-('V06 Calend 01'!I88*('V06 Calend 01'!E88-1))),'V06 Calend 01'!I88),0))+IF((82='V06 Calend 01'!D88),'V06 Calend 01'!J88,0))</f>
        <v>0</v>
      </c>
      <c r="CQ88" s="2">
        <f>((IF((83='V06 Calend 01'!C88),('V06 Calend 01'!F88+'V06 Calend 01'!G88),0)+IF(AND(('V06 Calend 01'!E88&gt;0),(83&gt;'V06 Calend 01'!C88),(83&lt;'V06 Calend 01'!D88),(MOD((83-'V06 Calend 01'!C88),6)=0),(((83-'V06 Calend 01'!C88)/6)&lt;='V06 Calend 01'!E88)),IF((83=('V06 Calend 01'!C88+(6*'V06 Calend 01'!E88))),('V06 Calend 01'!H88-('V06 Calend 01'!I88*('V06 Calend 01'!E88-1))),'V06 Calend 01'!I88),0))+IF((83='V06 Calend 01'!D88),'V06 Calend 01'!J88,0))</f>
        <v>0</v>
      </c>
      <c r="CR88" s="2">
        <f>((IF((84='V06 Calend 01'!C88),('V06 Calend 01'!F88+'V06 Calend 01'!G88),0)+IF(AND(('V06 Calend 01'!E88&gt;0),(84&gt;'V06 Calend 01'!C88),(84&lt;'V06 Calend 01'!D88),(MOD((84-'V06 Calend 01'!C88),6)=0),(((84-'V06 Calend 01'!C88)/6)&lt;='V06 Calend 01'!E88)),IF((84=('V06 Calend 01'!C88+(6*'V06 Calend 01'!E88))),('V06 Calend 01'!H88-('V06 Calend 01'!I88*('V06 Calend 01'!E88-1))),'V06 Calend 01'!I88),0))+IF((84='V06 Calend 01'!D88),'V06 Calend 01'!J88,0))</f>
        <v>0</v>
      </c>
      <c r="CS88" s="2">
        <f>((IF((85='V06 Calend 01'!C88),('V06 Calend 01'!F88+'V06 Calend 01'!G88),0)+IF(AND(('V06 Calend 01'!E88&gt;0),(85&gt;'V06 Calend 01'!C88),(85&lt;'V06 Calend 01'!D88),(MOD((85-'V06 Calend 01'!C88),6)=0),(((85-'V06 Calend 01'!C88)/6)&lt;='V06 Calend 01'!E88)),IF((85=('V06 Calend 01'!C88+(6*'V06 Calend 01'!E88))),('V06 Calend 01'!H88-('V06 Calend 01'!I88*('V06 Calend 01'!E88-1))),'V06 Calend 01'!I88),0))+IF((85='V06 Calend 01'!D88),'V06 Calend 01'!J88,0))</f>
        <v>0</v>
      </c>
      <c r="CT88" s="2">
        <f>((IF((86='V06 Calend 01'!C88),('V06 Calend 01'!F88+'V06 Calend 01'!G88),0)+IF(AND(('V06 Calend 01'!E88&gt;0),(86&gt;'V06 Calend 01'!C88),(86&lt;'V06 Calend 01'!D88),(MOD((86-'V06 Calend 01'!C88),6)=0),(((86-'V06 Calend 01'!C88)/6)&lt;='V06 Calend 01'!E88)),IF((86=('V06 Calend 01'!C88+(6*'V06 Calend 01'!E88))),('V06 Calend 01'!H88-('V06 Calend 01'!I88*('V06 Calend 01'!E88-1))),'V06 Calend 01'!I88),0))+IF((86='V06 Calend 01'!D88),'V06 Calend 01'!J88,0))</f>
        <v>0</v>
      </c>
      <c r="CU88" s="2">
        <f>((IF((87='V06 Calend 01'!C88),('V06 Calend 01'!F88+'V06 Calend 01'!G88),0)+IF(AND(('V06 Calend 01'!E88&gt;0),(87&gt;'V06 Calend 01'!C88),(87&lt;'V06 Calend 01'!D88),(MOD((87-'V06 Calend 01'!C88),6)=0),(((87-'V06 Calend 01'!C88)/6)&lt;='V06 Calend 01'!E88)),IF((87=('V06 Calend 01'!C88+(6*'V06 Calend 01'!E88))),('V06 Calend 01'!H88-('V06 Calend 01'!I88*('V06 Calend 01'!E88-1))),'V06 Calend 01'!I88),0))+IF((87='V06 Calend 01'!D88),'V06 Calend 01'!J88,0))</f>
        <v>0</v>
      </c>
      <c r="CV88" s="2">
        <f>((IF((88='V06 Calend 01'!C88),('V06 Calend 01'!F88+'V06 Calend 01'!G88),0)+IF(AND(('V06 Calend 01'!E88&gt;0),(88&gt;'V06 Calend 01'!C88),(88&lt;'V06 Calend 01'!D88),(MOD((88-'V06 Calend 01'!C88),6)=0),(((88-'V06 Calend 01'!C88)/6)&lt;='V06 Calend 01'!E88)),IF((88=('V06 Calend 01'!C88+(6*'V06 Calend 01'!E88))),('V06 Calend 01'!H88-('V06 Calend 01'!I88*('V06 Calend 01'!E88-1))),'V06 Calend 01'!I88),0))+IF((88='V06 Calend 01'!D88),'V06 Calend 01'!J88,0))</f>
        <v>0</v>
      </c>
      <c r="CW88" s="2">
        <f>((IF((89='V06 Calend 01'!C88),('V06 Calend 01'!F88+'V06 Calend 01'!G88),0)+IF(AND(('V06 Calend 01'!E88&gt;0),(89&gt;'V06 Calend 01'!C88),(89&lt;'V06 Calend 01'!D88),(MOD((89-'V06 Calend 01'!C88),6)=0),(((89-'V06 Calend 01'!C88)/6)&lt;='V06 Calend 01'!E88)),IF((89=('V06 Calend 01'!C88+(6*'V06 Calend 01'!E88))),('V06 Calend 01'!H88-('V06 Calend 01'!I88*('V06 Calend 01'!E88-1))),'V06 Calend 01'!I88),0))+IF((89='V06 Calend 01'!D88),'V06 Calend 01'!J88,0))</f>
        <v>0</v>
      </c>
      <c r="CX88" s="2">
        <f>((IF((90='V06 Calend 01'!C88),('V06 Calend 01'!F88+'V06 Calend 01'!G88),0)+IF(AND(('V06 Calend 01'!E88&gt;0),(90&gt;'V06 Calend 01'!C88),(90&lt;'V06 Calend 01'!D88),(MOD((90-'V06 Calend 01'!C88),6)=0),(((90-'V06 Calend 01'!C88)/6)&lt;='V06 Calend 01'!E88)),IF((90=('V06 Calend 01'!C88+(6*'V06 Calend 01'!E88))),('V06 Calend 01'!H88-('V06 Calend 01'!I88*('V06 Calend 01'!E88-1))),'V06 Calend 01'!I88),0))+IF((90='V06 Calend 01'!D88),'V06 Calend 01'!J88,0))</f>
        <v>0</v>
      </c>
      <c r="CY88" s="2">
        <f>((IF((91='V06 Calend 01'!C88),('V06 Calend 01'!F88+'V06 Calend 01'!G88),0)+IF(AND(('V06 Calend 01'!E88&gt;0),(91&gt;'V06 Calend 01'!C88),(91&lt;'V06 Calend 01'!D88),(MOD((91-'V06 Calend 01'!C88),6)=0),(((91-'V06 Calend 01'!C88)/6)&lt;='V06 Calend 01'!E88)),IF((91=('V06 Calend 01'!C88+(6*'V06 Calend 01'!E88))),('V06 Calend 01'!H88-('V06 Calend 01'!I88*('V06 Calend 01'!E88-1))),'V06 Calend 01'!I88),0))+IF((91='V06 Calend 01'!D88),'V06 Calend 01'!J88,0))</f>
        <v>0</v>
      </c>
      <c r="CZ88" s="2">
        <f>((IF((92='V06 Calend 01'!C88),('V06 Calend 01'!F88+'V06 Calend 01'!G88),0)+IF(AND(('V06 Calend 01'!E88&gt;0),(92&gt;'V06 Calend 01'!C88),(92&lt;'V06 Calend 01'!D88),(MOD((92-'V06 Calend 01'!C88),6)=0),(((92-'V06 Calend 01'!C88)/6)&lt;='V06 Calend 01'!E88)),IF((92=('V06 Calend 01'!C88+(6*'V06 Calend 01'!E88))),('V06 Calend 01'!H88-('V06 Calend 01'!I88*('V06 Calend 01'!E88-1))),'V06 Calend 01'!I88),0))+IF((92='V06 Calend 01'!D88),'V06 Calend 01'!J88,0))</f>
        <v>0</v>
      </c>
      <c r="DA88" s="2">
        <f>((IF((93='V06 Calend 01'!C88),('V06 Calend 01'!F88+'V06 Calend 01'!G88),0)+IF(AND(('V06 Calend 01'!E88&gt;0),(93&gt;'V06 Calend 01'!C88),(93&lt;'V06 Calend 01'!D88),(MOD((93-'V06 Calend 01'!C88),6)=0),(((93-'V06 Calend 01'!C88)/6)&lt;='V06 Calend 01'!E88)),IF((93=('V06 Calend 01'!C88+(6*'V06 Calend 01'!E88))),('V06 Calend 01'!H88-('V06 Calend 01'!I88*('V06 Calend 01'!E88-1))),'V06 Calend 01'!I88),0))+IF((93='V06 Calend 01'!D88),'V06 Calend 01'!J88,0))</f>
        <v>0</v>
      </c>
      <c r="DB88" s="2">
        <f>((IF((94='V06 Calend 01'!C88),('V06 Calend 01'!F88+'V06 Calend 01'!G88),0)+IF(AND(('V06 Calend 01'!E88&gt;0),(94&gt;'V06 Calend 01'!C88),(94&lt;'V06 Calend 01'!D88),(MOD((94-'V06 Calend 01'!C88),6)=0),(((94-'V06 Calend 01'!C88)/6)&lt;='V06 Calend 01'!E88)),IF((94=('V06 Calend 01'!C88+(6*'V06 Calend 01'!E88))),('V06 Calend 01'!H88-('V06 Calend 01'!I88*('V06 Calend 01'!E88-1))),'V06 Calend 01'!I88),0))+IF((94='V06 Calend 01'!D88),'V06 Calend 01'!J88,0))</f>
        <v>0</v>
      </c>
      <c r="DC88" s="2">
        <f>((IF((95='V06 Calend 01'!C88),('V06 Calend 01'!F88+'V06 Calend 01'!G88),0)+IF(AND(('V06 Calend 01'!E88&gt;0),(95&gt;'V06 Calend 01'!C88),(95&lt;'V06 Calend 01'!D88),(MOD((95-'V06 Calend 01'!C88),6)=0),(((95-'V06 Calend 01'!C88)/6)&lt;='V06 Calend 01'!E88)),IF((95=('V06 Calend 01'!C88+(6*'V06 Calend 01'!E88))),('V06 Calend 01'!H88-('V06 Calend 01'!I88*('V06 Calend 01'!E88-1))),'V06 Calend 01'!I88),0))+IF((95='V06 Calend 01'!D88),'V06 Calend 01'!J88,0))</f>
        <v>0</v>
      </c>
      <c r="DD88" s="2">
        <f>((IF((96='V06 Calend 01'!C88),('V06 Calend 01'!F88+'V06 Calend 01'!G88),0)+IF(AND(('V06 Calend 01'!E88&gt;0),(96&gt;'V06 Calend 01'!C88),(96&lt;'V06 Calend 01'!D88),(MOD((96-'V06 Calend 01'!C88),6)=0),(((96-'V06 Calend 01'!C88)/6)&lt;='V06 Calend 01'!E88)),IF((96=('V06 Calend 01'!C88+(6*'V06 Calend 01'!E88))),('V06 Calend 01'!H88-('V06 Calend 01'!I88*('V06 Calend 01'!E88-1))),'V06 Calend 01'!I88),0))+IF((96='V06 Calend 01'!D88),'V06 Calend 01'!J88,0))</f>
        <v>0</v>
      </c>
      <c r="DE88" s="2">
        <f>((IF((97='V06 Calend 01'!C88),('V06 Calend 01'!F88+'V06 Calend 01'!G88),0)+IF(AND(('V06 Calend 01'!E88&gt;0),(97&gt;'V06 Calend 01'!C88),(97&lt;'V06 Calend 01'!D88),(MOD((97-'V06 Calend 01'!C88),6)=0),(((97-'V06 Calend 01'!C88)/6)&lt;='V06 Calend 01'!E88)),IF((97=('V06 Calend 01'!C88+(6*'V06 Calend 01'!E88))),('V06 Calend 01'!H88-('V06 Calend 01'!I88*('V06 Calend 01'!E88-1))),'V06 Calend 01'!I88),0))+IF((97='V06 Calend 01'!D88),'V06 Calend 01'!J88,0))</f>
        <v>0</v>
      </c>
      <c r="DF88" s="2">
        <f>((IF((98='V06 Calend 01'!C88),('V06 Calend 01'!F88+'V06 Calend 01'!G88),0)+IF(AND(('V06 Calend 01'!E88&gt;0),(98&gt;'V06 Calend 01'!C88),(98&lt;'V06 Calend 01'!D88),(MOD((98-'V06 Calend 01'!C88),6)=0),(((98-'V06 Calend 01'!C88)/6)&lt;='V06 Calend 01'!E88)),IF((98=('V06 Calend 01'!C88+(6*'V06 Calend 01'!E88))),('V06 Calend 01'!H88-('V06 Calend 01'!I88*('V06 Calend 01'!E88-1))),'V06 Calend 01'!I88),0))+IF((98='V06 Calend 01'!D88),'V06 Calend 01'!J88,0))</f>
        <v>0</v>
      </c>
      <c r="DG88" s="2">
        <f>((IF((99='V06 Calend 01'!C88),('V06 Calend 01'!F88+'V06 Calend 01'!G88),0)+IF(AND(('V06 Calend 01'!E88&gt;0),(99&gt;'V06 Calend 01'!C88),(99&lt;'V06 Calend 01'!D88),(MOD((99-'V06 Calend 01'!C88),6)=0),(((99-'V06 Calend 01'!C88)/6)&lt;='V06 Calend 01'!E88)),IF((99=('V06 Calend 01'!C88+(6*'V06 Calend 01'!E88))),('V06 Calend 01'!H88-('V06 Calend 01'!I88*('V06 Calend 01'!E88-1))),'V06 Calend 01'!I88),0))+IF((99='V06 Calend 01'!D88),'V06 Calend 01'!J88,0))</f>
        <v>0</v>
      </c>
      <c r="DH88" s="2">
        <f>((IF((100='V06 Calend 01'!C88),('V06 Calend 01'!F88+'V06 Calend 01'!G88),0)+IF(AND(('V06 Calend 01'!E88&gt;0),(100&gt;'V06 Calend 01'!C88),(100&lt;'V06 Calend 01'!D88),(MOD((100-'V06 Calend 01'!C88),6)=0),(((100-'V06 Calend 01'!C88)/6)&lt;='V06 Calend 01'!E88)),IF((100=('V06 Calend 01'!C88+(6*'V06 Calend 01'!E88))),('V06 Calend 01'!H88-('V06 Calend 01'!I88*('V06 Calend 01'!E88-1))),'V06 Calend 01'!I88),0))+IF((100='V06 Calend 01'!D88),'V06 Calend 01'!J88,0))</f>
        <v>0</v>
      </c>
      <c r="DI88" s="2">
        <f>((IF((101='V06 Calend 01'!C88),('V06 Calend 01'!F88+'V06 Calend 01'!G88),0)+IF(AND(('V06 Calend 01'!E88&gt;0),(101&gt;'V06 Calend 01'!C88),(101&lt;'V06 Calend 01'!D88),(MOD((101-'V06 Calend 01'!C88),6)=0),(((101-'V06 Calend 01'!C88)/6)&lt;='V06 Calend 01'!E88)),IF((101=('V06 Calend 01'!C88+(6*'V06 Calend 01'!E88))),('V06 Calend 01'!H88-('V06 Calend 01'!I88*('V06 Calend 01'!E88-1))),'V06 Calend 01'!I88),0))+IF((101='V06 Calend 01'!D88),'V06 Calend 01'!J88,0))</f>
        <v>0</v>
      </c>
      <c r="DJ88" s="2">
        <f>((IF((102='V06 Calend 01'!C88),('V06 Calend 01'!F88+'V06 Calend 01'!G88),0)+IF(AND(('V06 Calend 01'!E88&gt;0),(102&gt;'V06 Calend 01'!C88),(102&lt;'V06 Calend 01'!D88),(MOD((102-'V06 Calend 01'!C88),6)=0),(((102-'V06 Calend 01'!C88)/6)&lt;='V06 Calend 01'!E88)),IF((102=('V06 Calend 01'!C88+(6*'V06 Calend 01'!E88))),('V06 Calend 01'!H88-('V06 Calend 01'!I88*('V06 Calend 01'!E88-1))),'V06 Calend 01'!I88),0))+IF((102='V06 Calend 01'!D88),'V06 Calend 01'!J88,0))</f>
        <v>0</v>
      </c>
      <c r="DK88" s="2">
        <f>((IF((103='V06 Calend 01'!C88),('V06 Calend 01'!F88+'V06 Calend 01'!G88),0)+IF(AND(('V06 Calend 01'!E88&gt;0),(103&gt;'V06 Calend 01'!C88),(103&lt;'V06 Calend 01'!D88),(MOD((103-'V06 Calend 01'!C88),6)=0),(((103-'V06 Calend 01'!C88)/6)&lt;='V06 Calend 01'!E88)),IF((103=('V06 Calend 01'!C88+(6*'V06 Calend 01'!E88))),('V06 Calend 01'!H88-('V06 Calend 01'!I88*('V06 Calend 01'!E88-1))),'V06 Calend 01'!I88),0))+IF((103='V06 Calend 01'!D88),'V06 Calend 01'!J88,0))</f>
        <v>0</v>
      </c>
      <c r="DL88" s="2">
        <f>((IF((104='V06 Calend 01'!C88),('V06 Calend 01'!F88+'V06 Calend 01'!G88),0)+IF(AND(('V06 Calend 01'!E88&gt;0),(104&gt;'V06 Calend 01'!C88),(104&lt;'V06 Calend 01'!D88),(MOD((104-'V06 Calend 01'!C88),6)=0),(((104-'V06 Calend 01'!C88)/6)&lt;='V06 Calend 01'!E88)),IF((104=('V06 Calend 01'!C88+(6*'V06 Calend 01'!E88))),('V06 Calend 01'!H88-('V06 Calend 01'!I88*('V06 Calend 01'!E88-1))),'V06 Calend 01'!I88),0))+IF((104='V06 Calend 01'!D88),'V06 Calend 01'!J88,0))</f>
        <v>0</v>
      </c>
      <c r="DM88" s="2">
        <f>((IF((105='V06 Calend 01'!C88),('V06 Calend 01'!F88+'V06 Calend 01'!G88),0)+IF(AND(('V06 Calend 01'!E88&gt;0),(105&gt;'V06 Calend 01'!C88),(105&lt;'V06 Calend 01'!D88),(MOD((105-'V06 Calend 01'!C88),6)=0),(((105-'V06 Calend 01'!C88)/6)&lt;='V06 Calend 01'!E88)),IF((105=('V06 Calend 01'!C88+(6*'V06 Calend 01'!E88))),('V06 Calend 01'!H88-('V06 Calend 01'!I88*('V06 Calend 01'!E88-1))),'V06 Calend 01'!I88),0))+IF((105='V06 Calend 01'!D88),'V06 Calend 01'!J88,0))</f>
        <v>0</v>
      </c>
      <c r="DN88" s="2">
        <f>((IF((106='V06 Calend 01'!C88),('V06 Calend 01'!F88+'V06 Calend 01'!G88),0)+IF(AND(('V06 Calend 01'!E88&gt;0),(106&gt;'V06 Calend 01'!C88),(106&lt;'V06 Calend 01'!D88),(MOD((106-'V06 Calend 01'!C88),6)=0),(((106-'V06 Calend 01'!C88)/6)&lt;='V06 Calend 01'!E88)),IF((106=('V06 Calend 01'!C88+(6*'V06 Calend 01'!E88))),('V06 Calend 01'!H88-('V06 Calend 01'!I88*('V06 Calend 01'!E88-1))),'V06 Calend 01'!I88),0))+IF((106='V06 Calend 01'!D88),'V06 Calend 01'!J88,0))</f>
        <v>0</v>
      </c>
      <c r="DO88" s="2">
        <f>((IF((107='V06 Calend 01'!C88),('V06 Calend 01'!F88+'V06 Calend 01'!G88),0)+IF(AND(('V06 Calend 01'!E88&gt;0),(107&gt;'V06 Calend 01'!C88),(107&lt;'V06 Calend 01'!D88),(MOD((107-'V06 Calend 01'!C88),6)=0),(((107-'V06 Calend 01'!C88)/6)&lt;='V06 Calend 01'!E88)),IF((107=('V06 Calend 01'!C88+(6*'V06 Calend 01'!E88))),('V06 Calend 01'!H88-('V06 Calend 01'!I88*('V06 Calend 01'!E88-1))),'V06 Calend 01'!I88),0))+IF((107='V06 Calend 01'!D88),'V06 Calend 01'!J88,0))</f>
        <v>0</v>
      </c>
      <c r="DP88" s="2">
        <f>((IF((108='V06 Calend 01'!C88),('V06 Calend 01'!F88+'V06 Calend 01'!G88),0)+IF(AND(('V06 Calend 01'!E88&gt;0),(108&gt;'V06 Calend 01'!C88),(108&lt;'V06 Calend 01'!D88),(MOD((108-'V06 Calend 01'!C88),6)=0),(((108-'V06 Calend 01'!C88)/6)&lt;='V06 Calend 01'!E88)),IF((108=('V06 Calend 01'!C88+(6*'V06 Calend 01'!E88))),('V06 Calend 01'!H88-('V06 Calend 01'!I88*('V06 Calend 01'!E88-1))),'V06 Calend 01'!I88),0))+IF((108='V06 Calend 01'!D88),'V06 Calend 01'!J88,0))</f>
        <v>0</v>
      </c>
      <c r="DQ88" s="2">
        <f>((IF((109='V06 Calend 01'!C88),('V06 Calend 01'!F88+'V06 Calend 01'!G88),0)+IF(AND(('V06 Calend 01'!E88&gt;0),(109&gt;'V06 Calend 01'!C88),(109&lt;'V06 Calend 01'!D88),(MOD((109-'V06 Calend 01'!C88),6)=0),(((109-'V06 Calend 01'!C88)/6)&lt;='V06 Calend 01'!E88)),IF((109=('V06 Calend 01'!C88+(6*'V06 Calend 01'!E88))),('V06 Calend 01'!H88-('V06 Calend 01'!I88*('V06 Calend 01'!E88-1))),'V06 Calend 01'!I88),0))+IF((109='V06 Calend 01'!D88),'V06 Calend 01'!J88,0))</f>
        <v>0</v>
      </c>
      <c r="DR88" s="2">
        <f>((IF((110='V06 Calend 01'!C88),('V06 Calend 01'!F88+'V06 Calend 01'!G88),0)+IF(AND(('V06 Calend 01'!E88&gt;0),(110&gt;'V06 Calend 01'!C88),(110&lt;'V06 Calend 01'!D88),(MOD((110-'V06 Calend 01'!C88),6)=0),(((110-'V06 Calend 01'!C88)/6)&lt;='V06 Calend 01'!E88)),IF((110=('V06 Calend 01'!C88+(6*'V06 Calend 01'!E88))),('V06 Calend 01'!H88-('V06 Calend 01'!I88*('V06 Calend 01'!E88-1))),'V06 Calend 01'!I88),0))+IF((110='V06 Calend 01'!D88),'V06 Calend 01'!J88,0))</f>
        <v>0</v>
      </c>
      <c r="DS88" s="2">
        <f>((IF((111='V06 Calend 01'!C88),('V06 Calend 01'!F88+'V06 Calend 01'!G88),0)+IF(AND(('V06 Calend 01'!E88&gt;0),(111&gt;'V06 Calend 01'!C88),(111&lt;'V06 Calend 01'!D88),(MOD((111-'V06 Calend 01'!C88),6)=0),(((111-'V06 Calend 01'!C88)/6)&lt;='V06 Calend 01'!E88)),IF((111=('V06 Calend 01'!C88+(6*'V06 Calend 01'!E88))),('V06 Calend 01'!H88-('V06 Calend 01'!I88*('V06 Calend 01'!E88-1))),'V06 Calend 01'!I88),0))+IF((111='V06 Calend 01'!D88),'V06 Calend 01'!J88,0))</f>
        <v>0</v>
      </c>
      <c r="DT88" s="2">
        <f>((IF((112='V06 Calend 01'!C88),('V06 Calend 01'!F88+'V06 Calend 01'!G88),0)+IF(AND(('V06 Calend 01'!E88&gt;0),(112&gt;'V06 Calend 01'!C88),(112&lt;'V06 Calend 01'!D88),(MOD((112-'V06 Calend 01'!C88),6)=0),(((112-'V06 Calend 01'!C88)/6)&lt;='V06 Calend 01'!E88)),IF((112=('V06 Calend 01'!C88+(6*'V06 Calend 01'!E88))),('V06 Calend 01'!H88-('V06 Calend 01'!I88*('V06 Calend 01'!E88-1))),'V06 Calend 01'!I88),0))+IF((112='V06 Calend 01'!D88),'V06 Calend 01'!J88,0))</f>
        <v>0</v>
      </c>
      <c r="DU88" s="2">
        <f>((IF((113='V06 Calend 01'!C88),('V06 Calend 01'!F88+'V06 Calend 01'!G88),0)+IF(AND(('V06 Calend 01'!E88&gt;0),(113&gt;'V06 Calend 01'!C88),(113&lt;'V06 Calend 01'!D88),(MOD((113-'V06 Calend 01'!C88),6)=0),(((113-'V06 Calend 01'!C88)/6)&lt;='V06 Calend 01'!E88)),IF((113=('V06 Calend 01'!C88+(6*'V06 Calend 01'!E88))),('V06 Calend 01'!H88-('V06 Calend 01'!I88*('V06 Calend 01'!E88-1))),'V06 Calend 01'!I88),0))+IF((113='V06 Calend 01'!D88),'V06 Calend 01'!J88,0))</f>
        <v>0</v>
      </c>
      <c r="DV88" s="2">
        <f>((IF((114='V06 Calend 01'!C88),('V06 Calend 01'!F88+'V06 Calend 01'!G88),0)+IF(AND(('V06 Calend 01'!E88&gt;0),(114&gt;'V06 Calend 01'!C88),(114&lt;'V06 Calend 01'!D88),(MOD((114-'V06 Calend 01'!C88),6)=0),(((114-'V06 Calend 01'!C88)/6)&lt;='V06 Calend 01'!E88)),IF((114=('V06 Calend 01'!C88+(6*'V06 Calend 01'!E88))),('V06 Calend 01'!H88-('V06 Calend 01'!I88*('V06 Calend 01'!E88-1))),'V06 Calend 01'!I88),0))+IF((114='V06 Calend 01'!D88),'V06 Calend 01'!J88,0))</f>
        <v>0</v>
      </c>
      <c r="DW88" s="2">
        <f>((IF((115='V06 Calend 01'!C88),('V06 Calend 01'!F88+'V06 Calend 01'!G88),0)+IF(AND(('V06 Calend 01'!E88&gt;0),(115&gt;'V06 Calend 01'!C88),(115&lt;'V06 Calend 01'!D88),(MOD((115-'V06 Calend 01'!C88),6)=0),(((115-'V06 Calend 01'!C88)/6)&lt;='V06 Calend 01'!E88)),IF((115=('V06 Calend 01'!C88+(6*'V06 Calend 01'!E88))),('V06 Calend 01'!H88-('V06 Calend 01'!I88*('V06 Calend 01'!E88-1))),'V06 Calend 01'!I88),0))+IF((115='V06 Calend 01'!D88),'V06 Calend 01'!J88,0))</f>
        <v>0</v>
      </c>
      <c r="DX88" s="2">
        <f>((IF((116='V06 Calend 01'!C88),('V06 Calend 01'!F88+'V06 Calend 01'!G88),0)+IF(AND(('V06 Calend 01'!E88&gt;0),(116&gt;'V06 Calend 01'!C88),(116&lt;'V06 Calend 01'!D88),(MOD((116-'V06 Calend 01'!C88),6)=0),(((116-'V06 Calend 01'!C88)/6)&lt;='V06 Calend 01'!E88)),IF((116=('V06 Calend 01'!C88+(6*'V06 Calend 01'!E88))),('V06 Calend 01'!H88-('V06 Calend 01'!I88*('V06 Calend 01'!E88-1))),'V06 Calend 01'!I88),0))+IF((116='V06 Calend 01'!D88),'V06 Calend 01'!J88,0))</f>
        <v>0</v>
      </c>
      <c r="DY88" s="2">
        <f>((IF((117='V06 Calend 01'!C88),('V06 Calend 01'!F88+'V06 Calend 01'!G88),0)+IF(AND(('V06 Calend 01'!E88&gt;0),(117&gt;'V06 Calend 01'!C88),(117&lt;'V06 Calend 01'!D88),(MOD((117-'V06 Calend 01'!C88),6)=0),(((117-'V06 Calend 01'!C88)/6)&lt;='V06 Calend 01'!E88)),IF((117=('V06 Calend 01'!C88+(6*'V06 Calend 01'!E88))),('V06 Calend 01'!H88-('V06 Calend 01'!I88*('V06 Calend 01'!E88-1))),'V06 Calend 01'!I88),0))+IF((117='V06 Calend 01'!D88),'V06 Calend 01'!J88,0))</f>
        <v>0</v>
      </c>
      <c r="DZ88" s="2">
        <f>((IF((118='V06 Calend 01'!C88),('V06 Calend 01'!F88+'V06 Calend 01'!G88),0)+IF(AND(('V06 Calend 01'!E88&gt;0),(118&gt;'V06 Calend 01'!C88),(118&lt;'V06 Calend 01'!D88),(MOD((118-'V06 Calend 01'!C88),6)=0),(((118-'V06 Calend 01'!C88)/6)&lt;='V06 Calend 01'!E88)),IF((118=('V06 Calend 01'!C88+(6*'V06 Calend 01'!E88))),('V06 Calend 01'!H88-('V06 Calend 01'!I88*('V06 Calend 01'!E88-1))),'V06 Calend 01'!I88),0))+IF((118='V06 Calend 01'!D88),'V06 Calend 01'!J88,0))</f>
        <v>0</v>
      </c>
      <c r="EA88" s="2">
        <f>((IF((119='V06 Calend 01'!C88),('V06 Calend 01'!F88+'V06 Calend 01'!G88),0)+IF(AND(('V06 Calend 01'!E88&gt;0),(119&gt;'V06 Calend 01'!C88),(119&lt;'V06 Calend 01'!D88),(MOD((119-'V06 Calend 01'!C88),6)=0),(((119-'V06 Calend 01'!C88)/6)&lt;='V06 Calend 01'!E88)),IF((119=('V06 Calend 01'!C88+(6*'V06 Calend 01'!E88))),('V06 Calend 01'!H88-('V06 Calend 01'!I88*('V06 Calend 01'!E88-1))),'V06 Calend 01'!I88),0))+IF((119='V06 Calend 01'!D88),'V06 Calend 01'!J88,0))</f>
        <v>0</v>
      </c>
      <c r="EB88" s="2">
        <f>((IF((120='V06 Calend 01'!C88),('V06 Calend 01'!F88+'V06 Calend 01'!G88),0)+IF(AND(('V06 Calend 01'!E88&gt;0),(120&gt;'V06 Calend 01'!C88),(120&lt;'V06 Calend 01'!D88),(MOD((120-'V06 Calend 01'!C88),6)=0),(((120-'V06 Calend 01'!C88)/6)&lt;='V06 Calend 01'!E88)),IF((120=('V06 Calend 01'!C88+(6*'V06 Calend 01'!E88))),('V06 Calend 01'!H88-('V06 Calend 01'!I88*('V06 Calend 01'!E88-1))),'V06 Calend 01'!I88),0))+IF((120='V06 Calend 01'!D88),'V06 Calend 01'!J88,0))</f>
        <v>0</v>
      </c>
      <c r="EC88" s="2">
        <f>((IF((121='V06 Calend 01'!C88),('V06 Calend 01'!F88+'V06 Calend 01'!G88),0)+IF(AND(('V06 Calend 01'!E88&gt;0),(121&gt;'V06 Calend 01'!C88),(121&lt;'V06 Calend 01'!D88),(MOD((121-'V06 Calend 01'!C88),6)=0),(((121-'V06 Calend 01'!C88)/6)&lt;='V06 Calend 01'!E88)),IF((121=('V06 Calend 01'!C88+(6*'V06 Calend 01'!E88))),('V06 Calend 01'!H88-('V06 Calend 01'!I88*('V06 Calend 01'!E88-1))),'V06 Calend 01'!I88),0))+IF((121='V06 Calend 01'!D88),'V06 Calend 01'!J88,0))</f>
        <v>0</v>
      </c>
      <c r="ED88" s="2">
        <f>((IF((122='V06 Calend 01'!C88),('V06 Calend 01'!F88+'V06 Calend 01'!G88),0)+IF(AND(('V06 Calend 01'!E88&gt;0),(122&gt;'V06 Calend 01'!C88),(122&lt;'V06 Calend 01'!D88),(MOD((122-'V06 Calend 01'!C88),6)=0),(((122-'V06 Calend 01'!C88)/6)&lt;='V06 Calend 01'!E88)),IF((122=('V06 Calend 01'!C88+(6*'V06 Calend 01'!E88))),('V06 Calend 01'!H88-('V06 Calend 01'!I88*('V06 Calend 01'!E88-1))),'V06 Calend 01'!I88),0))+IF((122='V06 Calend 01'!D88),'V06 Calend 01'!J88,0))</f>
        <v>0</v>
      </c>
      <c r="EE88" s="2">
        <f>((IF((123='V06 Calend 01'!C88),('V06 Calend 01'!F88+'V06 Calend 01'!G88),0)+IF(AND(('V06 Calend 01'!E88&gt;0),(123&gt;'V06 Calend 01'!C88),(123&lt;'V06 Calend 01'!D88),(MOD((123-'V06 Calend 01'!C88),6)=0),(((123-'V06 Calend 01'!C88)/6)&lt;='V06 Calend 01'!E88)),IF((123=('V06 Calend 01'!C88+(6*'V06 Calend 01'!E88))),('V06 Calend 01'!H88-('V06 Calend 01'!I88*('V06 Calend 01'!E88-1))),'V06 Calend 01'!I88),0))+IF((123='V06 Calend 01'!D88),'V06 Calend 01'!J88,0))</f>
        <v>0</v>
      </c>
      <c r="EF88" s="2">
        <f>((IF((124='V06 Calend 01'!C88),('V06 Calend 01'!F88+'V06 Calend 01'!G88),0)+IF(AND(('V06 Calend 01'!E88&gt;0),(124&gt;'V06 Calend 01'!C88),(124&lt;'V06 Calend 01'!D88),(MOD((124-'V06 Calend 01'!C88),6)=0),(((124-'V06 Calend 01'!C88)/6)&lt;='V06 Calend 01'!E88)),IF((124=('V06 Calend 01'!C88+(6*'V06 Calend 01'!E88))),('V06 Calend 01'!H88-('V06 Calend 01'!I88*('V06 Calend 01'!E88-1))),'V06 Calend 01'!I88),0))+IF((124='V06 Calend 01'!D88),'V06 Calend 01'!J88,0))</f>
        <v>0</v>
      </c>
      <c r="EG88" s="2">
        <f>((IF((125='V06 Calend 01'!C88),('V06 Calend 01'!F88+'V06 Calend 01'!G88),0)+IF(AND(('V06 Calend 01'!E88&gt;0),(125&gt;'V06 Calend 01'!C88),(125&lt;'V06 Calend 01'!D88),(MOD((125-'V06 Calend 01'!C88),6)=0),(((125-'V06 Calend 01'!C88)/6)&lt;='V06 Calend 01'!E88)),IF((125=('V06 Calend 01'!C88+(6*'V06 Calend 01'!E88))),('V06 Calend 01'!H88-('V06 Calend 01'!I88*('V06 Calend 01'!E88-1))),'V06 Calend 01'!I88),0))+IF((125='V06 Calend 01'!D88),'V06 Calend 01'!J88,0))</f>
        <v>0</v>
      </c>
      <c r="EH88" s="2">
        <f>((IF((126='V06 Calend 01'!C88),('V06 Calend 01'!F88+'V06 Calend 01'!G88),0)+IF(AND(('V06 Calend 01'!E88&gt;0),(126&gt;'V06 Calend 01'!C88),(126&lt;'V06 Calend 01'!D88),(MOD((126-'V06 Calend 01'!C88),6)=0),(((126-'V06 Calend 01'!C88)/6)&lt;='V06 Calend 01'!E88)),IF((126=('V06 Calend 01'!C88+(6*'V06 Calend 01'!E88))),('V06 Calend 01'!H88-('V06 Calend 01'!I88*('V06 Calend 01'!E88-1))),'V06 Calend 01'!I88),0))+IF((126='V06 Calend 01'!D88),'V06 Calend 01'!J88,0))</f>
        <v>0</v>
      </c>
      <c r="EI88" s="2">
        <f>((IF((127='V06 Calend 01'!C88),('V06 Calend 01'!F88+'V06 Calend 01'!G88),0)+IF(AND(('V06 Calend 01'!E88&gt;0),(127&gt;'V06 Calend 01'!C88),(127&lt;'V06 Calend 01'!D88),(MOD((127-'V06 Calend 01'!C88),6)=0),(((127-'V06 Calend 01'!C88)/6)&lt;='V06 Calend 01'!E88)),IF((127=('V06 Calend 01'!C88+(6*'V06 Calend 01'!E88))),('V06 Calend 01'!H88-('V06 Calend 01'!I88*('V06 Calend 01'!E88-1))),'V06 Calend 01'!I88),0))+IF((127='V06 Calend 01'!D88),'V06 Calend 01'!J88,0))</f>
        <v>0</v>
      </c>
      <c r="EJ88" s="2">
        <f>((IF((128='V06 Calend 01'!C88),('V06 Calend 01'!F88+'V06 Calend 01'!G88),0)+IF(AND(('V06 Calend 01'!E88&gt;0),(128&gt;'V06 Calend 01'!C88),(128&lt;'V06 Calend 01'!D88),(MOD((128-'V06 Calend 01'!C88),6)=0),(((128-'V06 Calend 01'!C88)/6)&lt;='V06 Calend 01'!E88)),IF((128=('V06 Calend 01'!C88+(6*'V06 Calend 01'!E88))),('V06 Calend 01'!H88-('V06 Calend 01'!I88*('V06 Calend 01'!E88-1))),'V06 Calend 01'!I88),0))+IF((128='V06 Calend 01'!D88),'V06 Calend 01'!J88,0))</f>
        <v>0</v>
      </c>
      <c r="EK88" s="2">
        <f>((IF((129='V06 Calend 01'!C88),('V06 Calend 01'!F88+'V06 Calend 01'!G88),0)+IF(AND(('V06 Calend 01'!E88&gt;0),(129&gt;'V06 Calend 01'!C88),(129&lt;'V06 Calend 01'!D88),(MOD((129-'V06 Calend 01'!C88),6)=0),(((129-'V06 Calend 01'!C88)/6)&lt;='V06 Calend 01'!E88)),IF((129=('V06 Calend 01'!C88+(6*'V06 Calend 01'!E88))),('V06 Calend 01'!H88-('V06 Calend 01'!I88*('V06 Calend 01'!E88-1))),'V06 Calend 01'!I88),0))+IF((129='V06 Calend 01'!D88),'V06 Calend 01'!J88,0))</f>
        <v>0</v>
      </c>
      <c r="EL88" s="2">
        <f>((IF((130='V06 Calend 01'!C88),('V06 Calend 01'!F88+'V06 Calend 01'!G88),0)+IF(AND(('V06 Calend 01'!E88&gt;0),(130&gt;'V06 Calend 01'!C88),(130&lt;'V06 Calend 01'!D88),(MOD((130-'V06 Calend 01'!C88),6)=0),(((130-'V06 Calend 01'!C88)/6)&lt;='V06 Calend 01'!E88)),IF((130=('V06 Calend 01'!C88+(6*'V06 Calend 01'!E88))),('V06 Calend 01'!H88-('V06 Calend 01'!I88*('V06 Calend 01'!E88-1))),'V06 Calend 01'!I88),0))+IF((130='V06 Calend 01'!D88),'V06 Calend 01'!J88,0))</f>
        <v>0</v>
      </c>
      <c r="EM88" s="2">
        <f>((IF((131='V06 Calend 01'!C88),('V06 Calend 01'!F88+'V06 Calend 01'!G88),0)+IF(AND(('V06 Calend 01'!E88&gt;0),(131&gt;'V06 Calend 01'!C88),(131&lt;'V06 Calend 01'!D88),(MOD((131-'V06 Calend 01'!C88),6)=0),(((131-'V06 Calend 01'!C88)/6)&lt;='V06 Calend 01'!E88)),IF((131=('V06 Calend 01'!C88+(6*'V06 Calend 01'!E88))),('V06 Calend 01'!H88-('V06 Calend 01'!I88*('V06 Calend 01'!E88-1))),'V06 Calend 01'!I88),0))+IF((131='V06 Calend 01'!D88),'V06 Calend 01'!J88,0))</f>
        <v>0</v>
      </c>
      <c r="EN88" s="2">
        <f>((IF((132='V06 Calend 01'!C88),('V06 Calend 01'!F88+'V06 Calend 01'!G88),0)+IF(AND(('V06 Calend 01'!E88&gt;0),(132&gt;'V06 Calend 01'!C88),(132&lt;'V06 Calend 01'!D88),(MOD((132-'V06 Calend 01'!C88),6)=0),(((132-'V06 Calend 01'!C88)/6)&lt;='V06 Calend 01'!E88)),IF((132=('V06 Calend 01'!C88+(6*'V06 Calend 01'!E88))),('V06 Calend 01'!H88-('V06 Calend 01'!I88*('V06 Calend 01'!E88-1))),'V06 Calend 01'!I88),0))+IF((132='V06 Calend 01'!D88),'V06 Calend 01'!J88,0))</f>
        <v>0</v>
      </c>
      <c r="EO88" s="2">
        <f>((IF((133='V06 Calend 01'!C88),('V06 Calend 01'!F88+'V06 Calend 01'!G88),0)+IF(AND(('V06 Calend 01'!E88&gt;0),(133&gt;'V06 Calend 01'!C88),(133&lt;'V06 Calend 01'!D88),(MOD((133-'V06 Calend 01'!C88),6)=0),(((133-'V06 Calend 01'!C88)/6)&lt;='V06 Calend 01'!E88)),IF((133=('V06 Calend 01'!C88+(6*'V06 Calend 01'!E88))),('V06 Calend 01'!H88-('V06 Calend 01'!I88*('V06 Calend 01'!E88-1))),'V06 Calend 01'!I88),0))+IF((133='V06 Calend 01'!D88),'V06 Calend 01'!J88,0))</f>
        <v>0</v>
      </c>
      <c r="EP88" s="2">
        <f>((IF((134='V06 Calend 01'!C88),('V06 Calend 01'!F88+'V06 Calend 01'!G88),0)+IF(AND(('V06 Calend 01'!E88&gt;0),(134&gt;'V06 Calend 01'!C88),(134&lt;'V06 Calend 01'!D88),(MOD((134-'V06 Calend 01'!C88),6)=0),(((134-'V06 Calend 01'!C88)/6)&lt;='V06 Calend 01'!E88)),IF((134=('V06 Calend 01'!C88+(6*'V06 Calend 01'!E88))),('V06 Calend 01'!H88-('V06 Calend 01'!I88*('V06 Calend 01'!E88-1))),'V06 Calend 01'!I88),0))+IF((134='V06 Calend 01'!D88),'V06 Calend 01'!J88,0))</f>
        <v>0</v>
      </c>
      <c r="EQ88" s="2">
        <f>((IF((135='V06 Calend 01'!C88),('V06 Calend 01'!F88+'V06 Calend 01'!G88),0)+IF(AND(('V06 Calend 01'!E88&gt;0),(135&gt;'V06 Calend 01'!C88),(135&lt;'V06 Calend 01'!D88),(MOD((135-'V06 Calend 01'!C88),6)=0),(((135-'V06 Calend 01'!C88)/6)&lt;='V06 Calend 01'!E88)),IF((135=('V06 Calend 01'!C88+(6*'V06 Calend 01'!E88))),('V06 Calend 01'!H88-('V06 Calend 01'!I88*('V06 Calend 01'!E88-1))),'V06 Calend 01'!I88),0))+IF((135='V06 Calend 01'!D88),'V06 Calend 01'!J88,0))</f>
        <v>0</v>
      </c>
      <c r="ER88" s="2">
        <f>((IF((136='V06 Calend 01'!C88),('V06 Calend 01'!F88+'V06 Calend 01'!G88),0)+IF(AND(('V06 Calend 01'!E88&gt;0),(136&gt;'V06 Calend 01'!C88),(136&lt;'V06 Calend 01'!D88),(MOD((136-'V06 Calend 01'!C88),6)=0),(((136-'V06 Calend 01'!C88)/6)&lt;='V06 Calend 01'!E88)),IF((136=('V06 Calend 01'!C88+(6*'V06 Calend 01'!E88))),('V06 Calend 01'!H88-('V06 Calend 01'!I88*('V06 Calend 01'!E88-1))),'V06 Calend 01'!I88),0))+IF((136='V06 Calend 01'!D88),'V06 Calend 01'!J88,0))</f>
        <v>0</v>
      </c>
      <c r="ES88" s="2">
        <f>((IF((137='V06 Calend 01'!C88),('V06 Calend 01'!F88+'V06 Calend 01'!G88),0)+IF(AND(('V06 Calend 01'!E88&gt;0),(137&gt;'V06 Calend 01'!C88),(137&lt;'V06 Calend 01'!D88),(MOD((137-'V06 Calend 01'!C88),6)=0),(((137-'V06 Calend 01'!C88)/6)&lt;='V06 Calend 01'!E88)),IF((137=('V06 Calend 01'!C88+(6*'V06 Calend 01'!E88))),('V06 Calend 01'!H88-('V06 Calend 01'!I88*('V06 Calend 01'!E88-1))),'V06 Calend 01'!I88),0))+IF((137='V06 Calend 01'!D88),'V06 Calend 01'!J88,0))</f>
        <v>0</v>
      </c>
      <c r="ET88" s="2">
        <f>((IF((138='V06 Calend 01'!C88),('V06 Calend 01'!F88+'V06 Calend 01'!G88),0)+IF(AND(('V06 Calend 01'!E88&gt;0),(138&gt;'V06 Calend 01'!C88),(138&lt;'V06 Calend 01'!D88),(MOD((138-'V06 Calend 01'!C88),6)=0),(((138-'V06 Calend 01'!C88)/6)&lt;='V06 Calend 01'!E88)),IF((138=('V06 Calend 01'!C88+(6*'V06 Calend 01'!E88))),('V06 Calend 01'!H88-('V06 Calend 01'!I88*('V06 Calend 01'!E88-1))),'V06 Calend 01'!I88),0))+IF((138='V06 Calend 01'!D88),'V06 Calend 01'!J88,0))</f>
        <v>0</v>
      </c>
      <c r="EU88" s="2">
        <f>((IF((139='V06 Calend 01'!C88),('V06 Calend 01'!F88+'V06 Calend 01'!G88),0)+IF(AND(('V06 Calend 01'!E88&gt;0),(139&gt;'V06 Calend 01'!C88),(139&lt;'V06 Calend 01'!D88),(MOD((139-'V06 Calend 01'!C88),6)=0),(((139-'V06 Calend 01'!C88)/6)&lt;='V06 Calend 01'!E88)),IF((139=('V06 Calend 01'!C88+(6*'V06 Calend 01'!E88))),('V06 Calend 01'!H88-('V06 Calend 01'!I88*('V06 Calend 01'!E88-1))),'V06 Calend 01'!I88),0))+IF((139='V06 Calend 01'!D88),'V06 Calend 01'!J88,0))</f>
        <v>0</v>
      </c>
      <c r="EV88" s="2">
        <f>((IF((140='V06 Calend 01'!C88),('V06 Calend 01'!F88+'V06 Calend 01'!G88),0)+IF(AND(('V06 Calend 01'!E88&gt;0),(140&gt;'V06 Calend 01'!C88),(140&lt;'V06 Calend 01'!D88),(MOD((140-'V06 Calend 01'!C88),6)=0),(((140-'V06 Calend 01'!C88)/6)&lt;='V06 Calend 01'!E88)),IF((140=('V06 Calend 01'!C88+(6*'V06 Calend 01'!E88))),('V06 Calend 01'!H88-('V06 Calend 01'!I88*('V06 Calend 01'!E88-1))),'V06 Calend 01'!I88),0))+IF((140='V06 Calend 01'!D88),'V06 Calend 01'!J88,0))</f>
        <v>0</v>
      </c>
      <c r="EW88" s="2">
        <f>((IF((141='V06 Calend 01'!C88),('V06 Calend 01'!F88+'V06 Calend 01'!G88),0)+IF(AND(('V06 Calend 01'!E88&gt;0),(141&gt;'V06 Calend 01'!C88),(141&lt;'V06 Calend 01'!D88),(MOD((141-'V06 Calend 01'!C88),6)=0),(((141-'V06 Calend 01'!C88)/6)&lt;='V06 Calend 01'!E88)),IF((141=('V06 Calend 01'!C88+(6*'V06 Calend 01'!E88))),('V06 Calend 01'!H88-('V06 Calend 01'!I88*('V06 Calend 01'!E88-1))),'V06 Calend 01'!I88),0))+IF((141='V06 Calend 01'!D88),'V06 Calend 01'!J88,0))</f>
        <v>0</v>
      </c>
      <c r="EX88" s="2">
        <f>((IF((142='V06 Calend 01'!C88),('V06 Calend 01'!F88+'V06 Calend 01'!G88),0)+IF(AND(('V06 Calend 01'!E88&gt;0),(142&gt;'V06 Calend 01'!C88),(142&lt;'V06 Calend 01'!D88),(MOD((142-'V06 Calend 01'!C88),6)=0),(((142-'V06 Calend 01'!C88)/6)&lt;='V06 Calend 01'!E88)),IF((142=('V06 Calend 01'!C88+(6*'V06 Calend 01'!E88))),('V06 Calend 01'!H88-('V06 Calend 01'!I88*('V06 Calend 01'!E88-1))),'V06 Calend 01'!I88),0))+IF((142='V06 Calend 01'!D88),'V06 Calend 01'!J88,0))</f>
        <v>0</v>
      </c>
      <c r="EY88" s="2">
        <f>((IF((143='V06 Calend 01'!C88),('V06 Calend 01'!F88+'V06 Calend 01'!G88),0)+IF(AND(('V06 Calend 01'!E88&gt;0),(143&gt;'V06 Calend 01'!C88),(143&lt;'V06 Calend 01'!D88),(MOD((143-'V06 Calend 01'!C88),6)=0),(((143-'V06 Calend 01'!C88)/6)&lt;='V06 Calend 01'!E88)),IF((143=('V06 Calend 01'!C88+(6*'V06 Calend 01'!E88))),('V06 Calend 01'!H88-('V06 Calend 01'!I88*('V06 Calend 01'!E88-1))),'V06 Calend 01'!I88),0))+IF((143='V06 Calend 01'!D88),'V06 Calend 01'!J88,0))</f>
        <v>0</v>
      </c>
      <c r="EZ88" s="2">
        <f>((IF((144='V06 Calend 01'!C88),('V06 Calend 01'!F88+'V06 Calend 01'!G88),0)+IF(AND(('V06 Calend 01'!E88&gt;0),(144&gt;'V06 Calend 01'!C88),(144&lt;'V06 Calend 01'!D88),(MOD((144-'V06 Calend 01'!C88),6)=0),(((144-'V06 Calend 01'!C88)/6)&lt;='V06 Calend 01'!E88)),IF((144=('V06 Calend 01'!C88+(6*'V06 Calend 01'!E88))),('V06 Calend 01'!H88-('V06 Calend 01'!I88*('V06 Calend 01'!E88-1))),'V06 Calend 01'!I88),0))+IF((144='V06 Calend 01'!D88),'V06 Calend 01'!J88,0))</f>
        <v>0</v>
      </c>
      <c r="FA88" s="2">
        <f>((IF((145='V06 Calend 01'!C88),('V06 Calend 01'!F88+'V06 Calend 01'!G88),0)+IF(AND(('V06 Calend 01'!E88&gt;0),(145&gt;'V06 Calend 01'!C88),(145&lt;'V06 Calend 01'!D88),(MOD((145-'V06 Calend 01'!C88),6)=0),(((145-'V06 Calend 01'!C88)/6)&lt;='V06 Calend 01'!E88)),IF((145=('V06 Calend 01'!C88+(6*'V06 Calend 01'!E88))),('V06 Calend 01'!H88-('V06 Calend 01'!I88*('V06 Calend 01'!E88-1))),'V06 Calend 01'!I88),0))+IF((145='V06 Calend 01'!D88),'V06 Calend 01'!J88,0))</f>
        <v>0</v>
      </c>
      <c r="FB88" s="2">
        <f>((IF((146='V06 Calend 01'!C88),('V06 Calend 01'!F88+'V06 Calend 01'!G88),0)+IF(AND(('V06 Calend 01'!E88&gt;0),(146&gt;'V06 Calend 01'!C88),(146&lt;'V06 Calend 01'!D88),(MOD((146-'V06 Calend 01'!C88),6)=0),(((146-'V06 Calend 01'!C88)/6)&lt;='V06 Calend 01'!E88)),IF((146=('V06 Calend 01'!C88+(6*'V06 Calend 01'!E88))),('V06 Calend 01'!H88-('V06 Calend 01'!I88*('V06 Calend 01'!E88-1))),'V06 Calend 01'!I88),0))+IF((146='V06 Calend 01'!D88),'V06 Calend 01'!J88,0))</f>
        <v>0</v>
      </c>
      <c r="FC88" s="2">
        <f>((IF((147='V06 Calend 01'!C88),('V06 Calend 01'!F88+'V06 Calend 01'!G88),0)+IF(AND(('V06 Calend 01'!E88&gt;0),(147&gt;'V06 Calend 01'!C88),(147&lt;'V06 Calend 01'!D88),(MOD((147-'V06 Calend 01'!C88),6)=0),(((147-'V06 Calend 01'!C88)/6)&lt;='V06 Calend 01'!E88)),IF((147=('V06 Calend 01'!C88+(6*'V06 Calend 01'!E88))),('V06 Calend 01'!H88-('V06 Calend 01'!I88*('V06 Calend 01'!E88-1))),'V06 Calend 01'!I88),0))+IF((147='V06 Calend 01'!D88),'V06 Calend 01'!J88,0))</f>
        <v>0</v>
      </c>
      <c r="FD88" s="2">
        <f>((IF((148='V06 Calend 01'!C88),('V06 Calend 01'!F88+'V06 Calend 01'!G88),0)+IF(AND(('V06 Calend 01'!E88&gt;0),(148&gt;'V06 Calend 01'!C88),(148&lt;'V06 Calend 01'!D88),(MOD((148-'V06 Calend 01'!C88),6)=0),(((148-'V06 Calend 01'!C88)/6)&lt;='V06 Calend 01'!E88)),IF((148=('V06 Calend 01'!C88+(6*'V06 Calend 01'!E88))),('V06 Calend 01'!H88-('V06 Calend 01'!I88*('V06 Calend 01'!E88-1))),'V06 Calend 01'!I88),0))+IF((148='V06 Calend 01'!D88),'V06 Calend 01'!J88,0))</f>
        <v>0</v>
      </c>
      <c r="FE88" s="2">
        <f>((IF((149='V06 Calend 01'!C88),('V06 Calend 01'!F88+'V06 Calend 01'!G88),0)+IF(AND(('V06 Calend 01'!E88&gt;0),(149&gt;'V06 Calend 01'!C88),(149&lt;'V06 Calend 01'!D88),(MOD((149-'V06 Calend 01'!C88),6)=0),(((149-'V06 Calend 01'!C88)/6)&lt;='V06 Calend 01'!E88)),IF((149=('V06 Calend 01'!C88+(6*'V06 Calend 01'!E88))),('V06 Calend 01'!H88-('V06 Calend 01'!I88*('V06 Calend 01'!E88-1))),'V06 Calend 01'!I88),0))+IF((149='V06 Calend 01'!D88),'V06 Calend 01'!J88,0))</f>
        <v>0</v>
      </c>
      <c r="FF88" s="2">
        <f>((IF((150='V06 Calend 01'!C88),('V06 Calend 01'!F88+'V06 Calend 01'!G88),0)+IF(AND(('V06 Calend 01'!E88&gt;0),(150&gt;'V06 Calend 01'!C88),(150&lt;'V06 Calend 01'!D88),(MOD((150-'V06 Calend 01'!C88),6)=0),(((150-'V06 Calend 01'!C88)/6)&lt;='V06 Calend 01'!E88)),IF((150=('V06 Calend 01'!C88+(6*'V06 Calend 01'!E88))),('V06 Calend 01'!H88-('V06 Calend 01'!I88*('V06 Calend 01'!E88-1))),'V06 Calend 01'!I88),0))+IF((150='V06 Calend 01'!D88),'V06 Calend 01'!J88,0))</f>
        <v>0</v>
      </c>
      <c r="FG88" s="2">
        <f>((IF((151='V06 Calend 01'!C88),('V06 Calend 01'!F88+'V06 Calend 01'!G88),0)+IF(AND(('V06 Calend 01'!E88&gt;0),(151&gt;'V06 Calend 01'!C88),(151&lt;'V06 Calend 01'!D88),(MOD((151-'V06 Calend 01'!C88),6)=0),(((151-'V06 Calend 01'!C88)/6)&lt;='V06 Calend 01'!E88)),IF((151=('V06 Calend 01'!C88+(6*'V06 Calend 01'!E88))),('V06 Calend 01'!H88-('V06 Calend 01'!I88*('V06 Calend 01'!E88-1))),'V06 Calend 01'!I88),0))+IF((151='V06 Calend 01'!D88),'V06 Calend 01'!J88,0))</f>
        <v>0</v>
      </c>
      <c r="FH88" s="2">
        <f>((IF((152='V06 Calend 01'!C88),('V06 Calend 01'!F88+'V06 Calend 01'!G88),0)+IF(AND(('V06 Calend 01'!E88&gt;0),(152&gt;'V06 Calend 01'!C88),(152&lt;'V06 Calend 01'!D88),(MOD((152-'V06 Calend 01'!C88),6)=0),(((152-'V06 Calend 01'!C88)/6)&lt;='V06 Calend 01'!E88)),IF((152=('V06 Calend 01'!C88+(6*'V06 Calend 01'!E88))),('V06 Calend 01'!H88-('V06 Calend 01'!I88*('V06 Calend 01'!E88-1))),'V06 Calend 01'!I88),0))+IF((152='V06 Calend 01'!D88),'V06 Calend 01'!J88,0))</f>
        <v>0</v>
      </c>
      <c r="FI88" s="2">
        <f>((IF((153='V06 Calend 01'!C88),('V06 Calend 01'!F88+'V06 Calend 01'!G88),0)+IF(AND(('V06 Calend 01'!E88&gt;0),(153&gt;'V06 Calend 01'!C88),(153&lt;'V06 Calend 01'!D88),(MOD((153-'V06 Calend 01'!C88),6)=0),(((153-'V06 Calend 01'!C88)/6)&lt;='V06 Calend 01'!E88)),IF((153=('V06 Calend 01'!C88+(6*'V06 Calend 01'!E88))),('V06 Calend 01'!H88-('V06 Calend 01'!I88*('V06 Calend 01'!E88-1))),'V06 Calend 01'!I88),0))+IF((153='V06 Calend 01'!D88),'V06 Calend 01'!J88,0))</f>
        <v>0</v>
      </c>
      <c r="FJ88" s="2">
        <f>((IF((154='V06 Calend 01'!C88),('V06 Calend 01'!F88+'V06 Calend 01'!G88),0)+IF(AND(('V06 Calend 01'!E88&gt;0),(154&gt;'V06 Calend 01'!C88),(154&lt;'V06 Calend 01'!D88),(MOD((154-'V06 Calend 01'!C88),6)=0),(((154-'V06 Calend 01'!C88)/6)&lt;='V06 Calend 01'!E88)),IF((154=('V06 Calend 01'!C88+(6*'V06 Calend 01'!E88))),('V06 Calend 01'!H88-('V06 Calend 01'!I88*('V06 Calend 01'!E88-1))),'V06 Calend 01'!I88),0))+IF((154='V06 Calend 01'!D88),'V06 Calend 01'!J88,0))</f>
        <v>0</v>
      </c>
      <c r="FK88" s="2">
        <f>((IF((155='V06 Calend 01'!C88),('V06 Calend 01'!F88+'V06 Calend 01'!G88),0)+IF(AND(('V06 Calend 01'!E88&gt;0),(155&gt;'V06 Calend 01'!C88),(155&lt;'V06 Calend 01'!D88),(MOD((155-'V06 Calend 01'!C88),6)=0),(((155-'V06 Calend 01'!C88)/6)&lt;='V06 Calend 01'!E88)),IF((155=('V06 Calend 01'!C88+(6*'V06 Calend 01'!E88))),('V06 Calend 01'!H88-('V06 Calend 01'!I88*('V06 Calend 01'!E88-1))),'V06 Calend 01'!I88),0))+IF((155='V06 Calend 01'!D88),'V06 Calend 01'!J88,0))</f>
        <v>0</v>
      </c>
      <c r="FL88" s="2">
        <f>((IF((156='V06 Calend 01'!C88),('V06 Calend 01'!F88+'V06 Calend 01'!G88),0)+IF(AND(('V06 Calend 01'!E88&gt;0),(156&gt;'V06 Calend 01'!C88),(156&lt;'V06 Calend 01'!D88),(MOD((156-'V06 Calend 01'!C88),6)=0),(((156-'V06 Calend 01'!C88)/6)&lt;='V06 Calend 01'!E88)),IF((156=('V06 Calend 01'!C88+(6*'V06 Calend 01'!E88))),('V06 Calend 01'!H88-('V06 Calend 01'!I88*('V06 Calend 01'!E88-1))),'V06 Calend 01'!I88),0))+IF((156='V06 Calend 01'!D88),'V06 Calend 01'!J88,0))</f>
        <v>0</v>
      </c>
      <c r="FM88" s="2">
        <f>((IF((157='V06 Calend 01'!C88),('V06 Calend 01'!F88+'V06 Calend 01'!G88),0)+IF(AND(('V06 Calend 01'!E88&gt;0),(157&gt;'V06 Calend 01'!C88),(157&lt;'V06 Calend 01'!D88),(MOD((157-'V06 Calend 01'!C88),6)=0),(((157-'V06 Calend 01'!C88)/6)&lt;='V06 Calend 01'!E88)),IF((157=('V06 Calend 01'!C88+(6*'V06 Calend 01'!E88))),('V06 Calend 01'!H88-('V06 Calend 01'!I88*('V06 Calend 01'!E88-1))),'V06 Calend 01'!I88),0))+IF((157='V06 Calend 01'!D88),'V06 Calend 01'!J88,0))</f>
        <v>0</v>
      </c>
      <c r="FN88" s="2">
        <f>((IF((158='V06 Calend 01'!C88),('V06 Calend 01'!F88+'V06 Calend 01'!G88),0)+IF(AND(('V06 Calend 01'!E88&gt;0),(158&gt;'V06 Calend 01'!C88),(158&lt;'V06 Calend 01'!D88),(MOD((158-'V06 Calend 01'!C88),6)=0),(((158-'V06 Calend 01'!C88)/6)&lt;='V06 Calend 01'!E88)),IF((158=('V06 Calend 01'!C88+(6*'V06 Calend 01'!E88))),('V06 Calend 01'!H88-('V06 Calend 01'!I88*('V06 Calend 01'!E88-1))),'V06 Calend 01'!I88),0))+IF((158='V06 Calend 01'!D88),'V06 Calend 01'!J88,0))</f>
        <v>0</v>
      </c>
      <c r="FO88" s="2">
        <f>((IF((159='V06 Calend 01'!C88),('V06 Calend 01'!F88+'V06 Calend 01'!G88),0)+IF(AND(('V06 Calend 01'!E88&gt;0),(159&gt;'V06 Calend 01'!C88),(159&lt;'V06 Calend 01'!D88),(MOD((159-'V06 Calend 01'!C88),6)=0),(((159-'V06 Calend 01'!C88)/6)&lt;='V06 Calend 01'!E88)),IF((159=('V06 Calend 01'!C88+(6*'V06 Calend 01'!E88))),('V06 Calend 01'!H88-('V06 Calend 01'!I88*('V06 Calend 01'!E88-1))),'V06 Calend 01'!I88),0))+IF((159='V06 Calend 01'!D88),'V06 Calend 01'!J88,0))</f>
        <v>0</v>
      </c>
      <c r="FP88" s="2">
        <f>((IF((160='V06 Calend 01'!C88),('V06 Calend 01'!F88+'V06 Calend 01'!G88),0)+IF(AND(('V06 Calend 01'!E88&gt;0),(160&gt;'V06 Calend 01'!C88),(160&lt;'V06 Calend 01'!D88),(MOD((160-'V06 Calend 01'!C88),6)=0),(((160-'V06 Calend 01'!C88)/6)&lt;='V06 Calend 01'!E88)),IF((160=('V06 Calend 01'!C88+(6*'V06 Calend 01'!E88))),('V06 Calend 01'!H88-('V06 Calend 01'!I88*('V06 Calend 01'!E88-1))),'V06 Calend 01'!I88),0))+IF((160='V06 Calend 01'!D88),'V06 Calend 01'!J88,0))</f>
        <v>0</v>
      </c>
      <c r="FQ88" s="2">
        <f>((IF((161='V06 Calend 01'!C88),('V06 Calend 01'!F88+'V06 Calend 01'!G88),0)+IF(AND(('V06 Calend 01'!E88&gt;0),(161&gt;'V06 Calend 01'!C88),(161&lt;'V06 Calend 01'!D88),(MOD((161-'V06 Calend 01'!C88),6)=0),(((161-'V06 Calend 01'!C88)/6)&lt;='V06 Calend 01'!E88)),IF((161=('V06 Calend 01'!C88+(6*'V06 Calend 01'!E88))),('V06 Calend 01'!H88-('V06 Calend 01'!I88*('V06 Calend 01'!E88-1))),'V06 Calend 01'!I88),0))+IF((161='V06 Calend 01'!D88),'V06 Calend 01'!J88,0))</f>
        <v>0</v>
      </c>
      <c r="FR88" s="2">
        <f>((IF((162='V06 Calend 01'!C88),('V06 Calend 01'!F88+'V06 Calend 01'!G88),0)+IF(AND(('V06 Calend 01'!E88&gt;0),(162&gt;'V06 Calend 01'!C88),(162&lt;'V06 Calend 01'!D88),(MOD((162-'V06 Calend 01'!C88),6)=0),(((162-'V06 Calend 01'!C88)/6)&lt;='V06 Calend 01'!E88)),IF((162=('V06 Calend 01'!C88+(6*'V06 Calend 01'!E88))),('V06 Calend 01'!H88-('V06 Calend 01'!I88*('V06 Calend 01'!E88-1))),'V06 Calend 01'!I88),0))+IF((162='V06 Calend 01'!D88),'V06 Calend 01'!J88,0))</f>
        <v>0</v>
      </c>
      <c r="FS88" s="2">
        <f>((IF((163='V06 Calend 01'!C88),('V06 Calend 01'!F88+'V06 Calend 01'!G88),0)+IF(AND(('V06 Calend 01'!E88&gt;0),(163&gt;'V06 Calend 01'!C88),(163&lt;'V06 Calend 01'!D88),(MOD((163-'V06 Calend 01'!C88),6)=0),(((163-'V06 Calend 01'!C88)/6)&lt;='V06 Calend 01'!E88)),IF((163=('V06 Calend 01'!C88+(6*'V06 Calend 01'!E88))),('V06 Calend 01'!H88-('V06 Calend 01'!I88*('V06 Calend 01'!E88-1))),'V06 Calend 01'!I88),0))+IF((163='V06 Calend 01'!D88),'V06 Calend 01'!J88,0))</f>
        <v>0</v>
      </c>
      <c r="FT88" s="2">
        <f>((IF((164='V06 Calend 01'!C88),('V06 Calend 01'!F88+'V06 Calend 01'!G88),0)+IF(AND(('V06 Calend 01'!E88&gt;0),(164&gt;'V06 Calend 01'!C88),(164&lt;'V06 Calend 01'!D88),(MOD((164-'V06 Calend 01'!C88),6)=0),(((164-'V06 Calend 01'!C88)/6)&lt;='V06 Calend 01'!E88)),IF((164=('V06 Calend 01'!C88+(6*'V06 Calend 01'!E88))),('V06 Calend 01'!H88-('V06 Calend 01'!I88*('V06 Calend 01'!E88-1))),'V06 Calend 01'!I88),0))+IF((164='V06 Calend 01'!D88),'V06 Calend 01'!J88,0))</f>
        <v>0</v>
      </c>
      <c r="FU88" s="2">
        <f>((IF((165='V06 Calend 01'!C88),('V06 Calend 01'!F88+'V06 Calend 01'!G88),0)+IF(AND(('V06 Calend 01'!E88&gt;0),(165&gt;'V06 Calend 01'!C88),(165&lt;'V06 Calend 01'!D88),(MOD((165-'V06 Calend 01'!C88),6)=0),(((165-'V06 Calend 01'!C88)/6)&lt;='V06 Calend 01'!E88)),IF((165=('V06 Calend 01'!C88+(6*'V06 Calend 01'!E88))),('V06 Calend 01'!H88-('V06 Calend 01'!I88*('V06 Calend 01'!E88-1))),'V06 Calend 01'!I88),0))+IF((165='V06 Calend 01'!D88),'V06 Calend 01'!J88,0))</f>
        <v>0</v>
      </c>
      <c r="FV88" s="2">
        <f>((IF((166='V06 Calend 01'!C88),('V06 Calend 01'!F88+'V06 Calend 01'!G88),0)+IF(AND(('V06 Calend 01'!E88&gt;0),(166&gt;'V06 Calend 01'!C88),(166&lt;'V06 Calend 01'!D88),(MOD((166-'V06 Calend 01'!C88),6)=0),(((166-'V06 Calend 01'!C88)/6)&lt;='V06 Calend 01'!E88)),IF((166=('V06 Calend 01'!C88+(6*'V06 Calend 01'!E88))),('V06 Calend 01'!H88-('V06 Calend 01'!I88*('V06 Calend 01'!E88-1))),'V06 Calend 01'!I88),0))+IF((166='V06 Calend 01'!D88),'V06 Calend 01'!J88,0))</f>
        <v>0</v>
      </c>
      <c r="FW88" s="2">
        <f>((IF((167='V06 Calend 01'!C88),('V06 Calend 01'!F88+'V06 Calend 01'!G88),0)+IF(AND(('V06 Calend 01'!E88&gt;0),(167&gt;'V06 Calend 01'!C88),(167&lt;'V06 Calend 01'!D88),(MOD((167-'V06 Calend 01'!C88),6)=0),(((167-'V06 Calend 01'!C88)/6)&lt;='V06 Calend 01'!E88)),IF((167=('V06 Calend 01'!C88+(6*'V06 Calend 01'!E88))),('V06 Calend 01'!H88-('V06 Calend 01'!I88*('V06 Calend 01'!E88-1))),'V06 Calend 01'!I88),0))+IF((167='V06 Calend 01'!D88),'V06 Calend 01'!J88,0))</f>
        <v>0</v>
      </c>
      <c r="FX88" s="2">
        <f>((IF((168='V06 Calend 01'!C88),('V06 Calend 01'!F88+'V06 Calend 01'!G88),0)+IF(AND(('V06 Calend 01'!E88&gt;0),(168&gt;'V06 Calend 01'!C88),(168&lt;'V06 Calend 01'!D88),(MOD((168-'V06 Calend 01'!C88),6)=0),(((168-'V06 Calend 01'!C88)/6)&lt;='V06 Calend 01'!E88)),IF((168=('V06 Calend 01'!C88+(6*'V06 Calend 01'!E88))),('V06 Calend 01'!H88-('V06 Calend 01'!I88*('V06 Calend 01'!E88-1))),'V06 Calend 01'!I88),0))+IF((168='V06 Calend 01'!D88),'V06 Calend 01'!J88,0))</f>
        <v>0</v>
      </c>
      <c r="FY88" s="2">
        <f>((IF((169='V06 Calend 01'!C88),('V06 Calend 01'!F88+'V06 Calend 01'!G88),0)+IF(AND(('V06 Calend 01'!E88&gt;0),(169&gt;'V06 Calend 01'!C88),(169&lt;'V06 Calend 01'!D88),(MOD((169-'V06 Calend 01'!C88),6)=0),(((169-'V06 Calend 01'!C88)/6)&lt;='V06 Calend 01'!E88)),IF((169=('V06 Calend 01'!C88+(6*'V06 Calend 01'!E88))),('V06 Calend 01'!H88-('V06 Calend 01'!I88*('V06 Calend 01'!E88-1))),'V06 Calend 01'!I88),0))+IF((169='V06 Calend 01'!D88),'V06 Calend 01'!J88,0))</f>
        <v>0</v>
      </c>
      <c r="FZ88" s="2">
        <f>((IF((170='V06 Calend 01'!C88),('V06 Calend 01'!F88+'V06 Calend 01'!G88),0)+IF(AND(('V06 Calend 01'!E88&gt;0),(170&gt;'V06 Calend 01'!C88),(170&lt;'V06 Calend 01'!D88),(MOD((170-'V06 Calend 01'!C88),6)=0),(((170-'V06 Calend 01'!C88)/6)&lt;='V06 Calend 01'!E88)),IF((170=('V06 Calend 01'!C88+(6*'V06 Calend 01'!E88))),('V06 Calend 01'!H88-('V06 Calend 01'!I88*('V06 Calend 01'!E88-1))),'V06 Calend 01'!I88),0))+IF((170='V06 Calend 01'!D88),'V06 Calend 01'!J88,0))</f>
        <v>0</v>
      </c>
      <c r="GA88" s="2">
        <f>((IF((171='V06 Calend 01'!C88),('V06 Calend 01'!F88+'V06 Calend 01'!G88),0)+IF(AND(('V06 Calend 01'!E88&gt;0),(171&gt;'V06 Calend 01'!C88),(171&lt;'V06 Calend 01'!D88),(MOD((171-'V06 Calend 01'!C88),6)=0),(((171-'V06 Calend 01'!C88)/6)&lt;='V06 Calend 01'!E88)),IF((171=('V06 Calend 01'!C88+(6*'V06 Calend 01'!E88))),('V06 Calend 01'!H88-('V06 Calend 01'!I88*('V06 Calend 01'!E88-1))),'V06 Calend 01'!I88),0))+IF((171='V06 Calend 01'!D88),'V06 Calend 01'!J88,0))</f>
        <v>0</v>
      </c>
      <c r="GB88" s="2">
        <f>((IF((172='V06 Calend 01'!C88),('V06 Calend 01'!F88+'V06 Calend 01'!G88),0)+IF(AND(('V06 Calend 01'!E88&gt;0),(172&gt;'V06 Calend 01'!C88),(172&lt;'V06 Calend 01'!D88),(MOD((172-'V06 Calend 01'!C88),6)=0),(((172-'V06 Calend 01'!C88)/6)&lt;='V06 Calend 01'!E88)),IF((172=('V06 Calend 01'!C88+(6*'V06 Calend 01'!E88))),('V06 Calend 01'!H88-('V06 Calend 01'!I88*('V06 Calend 01'!E88-1))),'V06 Calend 01'!I88),0))+IF((172='V06 Calend 01'!D88),'V06 Calend 01'!J88,0))</f>
        <v>0</v>
      </c>
      <c r="GC88" s="2">
        <f>((IF((173='V06 Calend 01'!C88),('V06 Calend 01'!F88+'V06 Calend 01'!G88),0)+IF(AND(('V06 Calend 01'!E88&gt;0),(173&gt;'V06 Calend 01'!C88),(173&lt;'V06 Calend 01'!D88),(MOD((173-'V06 Calend 01'!C88),6)=0),(((173-'V06 Calend 01'!C88)/6)&lt;='V06 Calend 01'!E88)),IF((173=('V06 Calend 01'!C88+(6*'V06 Calend 01'!E88))),('V06 Calend 01'!H88-('V06 Calend 01'!I88*('V06 Calend 01'!E88-1))),'V06 Calend 01'!I88),0))+IF((173='V06 Calend 01'!D88),'V06 Calend 01'!J88,0))</f>
        <v>0</v>
      </c>
      <c r="GD88" s="2">
        <f>((IF((174='V06 Calend 01'!C88),('V06 Calend 01'!F88+'V06 Calend 01'!G88),0)+IF(AND(('V06 Calend 01'!E88&gt;0),(174&gt;'V06 Calend 01'!C88),(174&lt;'V06 Calend 01'!D88),(MOD((174-'V06 Calend 01'!C88),6)=0),(((174-'V06 Calend 01'!C88)/6)&lt;='V06 Calend 01'!E88)),IF((174=('V06 Calend 01'!C88+(6*'V06 Calend 01'!E88))),('V06 Calend 01'!H88-('V06 Calend 01'!I88*('V06 Calend 01'!E88-1))),'V06 Calend 01'!I88),0))+IF((174='V06 Calend 01'!D88),'V06 Calend 01'!J88,0))</f>
        <v>0</v>
      </c>
      <c r="GE88" s="2">
        <f>((IF((175='V06 Calend 01'!C88),('V06 Calend 01'!F88+'V06 Calend 01'!G88),0)+IF(AND(('V06 Calend 01'!E88&gt;0),(175&gt;'V06 Calend 01'!C88),(175&lt;'V06 Calend 01'!D88),(MOD((175-'V06 Calend 01'!C88),6)=0),(((175-'V06 Calend 01'!C88)/6)&lt;='V06 Calend 01'!E88)),IF((175=('V06 Calend 01'!C88+(6*'V06 Calend 01'!E88))),('V06 Calend 01'!H88-('V06 Calend 01'!I88*('V06 Calend 01'!E88-1))),'V06 Calend 01'!I88),0))+IF((175='V06 Calend 01'!D88),'V06 Calend 01'!J88,0))</f>
        <v>0</v>
      </c>
      <c r="GF88" s="2">
        <f>((IF((176='V06 Calend 01'!C88),('V06 Calend 01'!F88+'V06 Calend 01'!G88),0)+IF(AND(('V06 Calend 01'!E88&gt;0),(176&gt;'V06 Calend 01'!C88),(176&lt;'V06 Calend 01'!D88),(MOD((176-'V06 Calend 01'!C88),6)=0),(((176-'V06 Calend 01'!C88)/6)&lt;='V06 Calend 01'!E88)),IF((176=('V06 Calend 01'!C88+(6*'V06 Calend 01'!E88))),('V06 Calend 01'!H88-('V06 Calend 01'!I88*('V06 Calend 01'!E88-1))),'V06 Calend 01'!I88),0))+IF((176='V06 Calend 01'!D88),'V06 Calend 01'!J88,0))</f>
        <v>0</v>
      </c>
      <c r="GG88" s="2">
        <f>((IF((177='V06 Calend 01'!C88),('V06 Calend 01'!F88+'V06 Calend 01'!G88),0)+IF(AND(('V06 Calend 01'!E88&gt;0),(177&gt;'V06 Calend 01'!C88),(177&lt;'V06 Calend 01'!D88),(MOD((177-'V06 Calend 01'!C88),6)=0),(((177-'V06 Calend 01'!C88)/6)&lt;='V06 Calend 01'!E88)),IF((177=('V06 Calend 01'!C88+(6*'V06 Calend 01'!E88))),('V06 Calend 01'!H88-('V06 Calend 01'!I88*('V06 Calend 01'!E88-1))),'V06 Calend 01'!I88),0))+IF((177='V06 Calend 01'!D88),'V06 Calend 01'!J88,0))</f>
        <v>0</v>
      </c>
      <c r="GH88" s="2">
        <f>((IF((178='V06 Calend 01'!C88),('V06 Calend 01'!F88+'V06 Calend 01'!G88),0)+IF(AND(('V06 Calend 01'!E88&gt;0),(178&gt;'V06 Calend 01'!C88),(178&lt;'V06 Calend 01'!D88),(MOD((178-'V06 Calend 01'!C88),6)=0),(((178-'V06 Calend 01'!C88)/6)&lt;='V06 Calend 01'!E88)),IF((178=('V06 Calend 01'!C88+(6*'V06 Calend 01'!E88))),('V06 Calend 01'!H88-('V06 Calend 01'!I88*('V06 Calend 01'!E88-1))),'V06 Calend 01'!I88),0))+IF((178='V06 Calend 01'!D88),'V06 Calend 01'!J88,0))</f>
        <v>0</v>
      </c>
      <c r="GI88" s="2">
        <f>((IF((179='V06 Calend 01'!C88),('V06 Calend 01'!F88+'V06 Calend 01'!G88),0)+IF(AND(('V06 Calend 01'!E88&gt;0),(179&gt;'V06 Calend 01'!C88),(179&lt;'V06 Calend 01'!D88),(MOD((179-'V06 Calend 01'!C88),6)=0),(((179-'V06 Calend 01'!C88)/6)&lt;='V06 Calend 01'!E88)),IF((179=('V06 Calend 01'!C88+(6*'V06 Calend 01'!E88))),('V06 Calend 01'!H88-('V06 Calend 01'!I88*('V06 Calend 01'!E88-1))),'V06 Calend 01'!I88),0))+IF((179='V06 Calend 01'!D88),'V06 Calend 01'!J88,0))</f>
        <v>0</v>
      </c>
      <c r="GJ88" s="2">
        <f>((IF((180='V06 Calend 01'!C88),('V06 Calend 01'!F88+'V06 Calend 01'!G88),0)+IF(AND(('V06 Calend 01'!E88&gt;0),(180&gt;'V06 Calend 01'!C88),(180&lt;'V06 Calend 01'!D88),(MOD((180-'V06 Calend 01'!C88),6)=0),(((180-'V06 Calend 01'!C88)/6)&lt;='V06 Calend 01'!E88)),IF((180=('V06 Calend 01'!C88+(6*'V06 Calend 01'!E88))),('V06 Calend 01'!H88-('V06 Calend 01'!I88*('V06 Calend 01'!E88-1))),'V06 Calend 01'!I88),0))+IF((180='V06 Calend 01'!D88),'V06 Calend 01'!J88,0))</f>
        <v>0</v>
      </c>
    </row>
    <row r="89" spans="1:192">
      <c r="A89" s="3" t="str">
        <f>'V06 Unidades'!$A$89</f>
        <v>1005</v>
      </c>
      <c r="B89" s="2">
        <f>'V06 Unidades'!$H$89</f>
        <v>796347.4</v>
      </c>
      <c r="C89" s="4">
        <f>('V06 Unidades'!$I$89+'V06 Controlos'!$B$37)</f>
        <v>16</v>
      </c>
      <c r="D89" s="4">
        <f>IF(('V06 Controlos'!$B$38&gt;0),MAX(('V06 Unidades'!$L$89+'V06 Controlos'!$B$37),(30+'V06 Controlos'!$B$38)),('V06 Unidades'!$L$89+'V06 Controlos'!$B$37))</f>
        <v>28</v>
      </c>
      <c r="E89" s="4">
        <f>MAX(0,INT(((('V06 Calend 01'!D89-'V06 Calend 01'!C89)-1)/6)))</f>
        <v>1</v>
      </c>
      <c r="F89" s="2">
        <f>ROUND(('V06 Calend 01'!B89*0.05),2)</f>
        <v>39817.37</v>
      </c>
      <c r="G89" s="2">
        <f>ROUND(('V06 Calend 01'!B89*0.2),2)</f>
        <v>159269.48</v>
      </c>
      <c r="H89" s="2">
        <f>ROUND(('V06 Calend 01'!B89*0.55),2)</f>
        <v>437991.07</v>
      </c>
      <c r="I89" s="2">
        <f>ROUND(('V06 Calend 01'!H89/MAX(1,'V06 Calend 01'!E89)),2)</f>
        <v>437991.07</v>
      </c>
      <c r="J89" s="2">
        <f>((('V06 Calend 01'!B89-'V06 Calend 01'!F89)-'V06 Calend 01'!G89)-'V06 Calend 01'!H89)</f>
        <v>159269.48000000004</v>
      </c>
      <c r="K89" s="2">
        <f>('V06 Calend 01'!B89*0.025)</f>
        <v>19908.685</v>
      </c>
      <c r="L89" t="s">
        <v>378</v>
      </c>
      <c r="M89" s="2">
        <f>((IF((1='V06 Calend 01'!C89),('V06 Calend 01'!F89+'V06 Calend 01'!G89),0)+IF(AND(('V06 Calend 01'!E89&gt;0),(1&gt;'V06 Calend 01'!C89),(1&lt;'V06 Calend 01'!D89),(MOD((1-'V06 Calend 01'!C89),6)=0),(((1-'V06 Calend 01'!C89)/6)&lt;='V06 Calend 01'!E89)),IF((1=('V06 Calend 01'!C89+(6*'V06 Calend 01'!E89))),('V06 Calend 01'!H89-('V06 Calend 01'!I89*('V06 Calend 01'!E89-1))),'V06 Calend 01'!I89),0))+IF((1='V06 Calend 01'!D89),'V06 Calend 01'!J89,0))</f>
        <v>0</v>
      </c>
      <c r="N89" s="2">
        <f>((IF((2='V06 Calend 01'!C89),('V06 Calend 01'!F89+'V06 Calend 01'!G89),0)+IF(AND(('V06 Calend 01'!E89&gt;0),(2&gt;'V06 Calend 01'!C89),(2&lt;'V06 Calend 01'!D89),(MOD((2-'V06 Calend 01'!C89),6)=0),(((2-'V06 Calend 01'!C89)/6)&lt;='V06 Calend 01'!E89)),IF((2=('V06 Calend 01'!C89+(6*'V06 Calend 01'!E89))),('V06 Calend 01'!H89-('V06 Calend 01'!I89*('V06 Calend 01'!E89-1))),'V06 Calend 01'!I89),0))+IF((2='V06 Calend 01'!D89),'V06 Calend 01'!J89,0))</f>
        <v>0</v>
      </c>
      <c r="O89" s="2">
        <f>((IF((3='V06 Calend 01'!C89),('V06 Calend 01'!F89+'V06 Calend 01'!G89),0)+IF(AND(('V06 Calend 01'!E89&gt;0),(3&gt;'V06 Calend 01'!C89),(3&lt;'V06 Calend 01'!D89),(MOD((3-'V06 Calend 01'!C89),6)=0),(((3-'V06 Calend 01'!C89)/6)&lt;='V06 Calend 01'!E89)),IF((3=('V06 Calend 01'!C89+(6*'V06 Calend 01'!E89))),('V06 Calend 01'!H89-('V06 Calend 01'!I89*('V06 Calend 01'!E89-1))),'V06 Calend 01'!I89),0))+IF((3='V06 Calend 01'!D89),'V06 Calend 01'!J89,0))</f>
        <v>0</v>
      </c>
      <c r="P89" s="2">
        <f>((IF((4='V06 Calend 01'!C89),('V06 Calend 01'!F89+'V06 Calend 01'!G89),0)+IF(AND(('V06 Calend 01'!E89&gt;0),(4&gt;'V06 Calend 01'!C89),(4&lt;'V06 Calend 01'!D89),(MOD((4-'V06 Calend 01'!C89),6)=0),(((4-'V06 Calend 01'!C89)/6)&lt;='V06 Calend 01'!E89)),IF((4=('V06 Calend 01'!C89+(6*'V06 Calend 01'!E89))),('V06 Calend 01'!H89-('V06 Calend 01'!I89*('V06 Calend 01'!E89-1))),'V06 Calend 01'!I89),0))+IF((4='V06 Calend 01'!D89),'V06 Calend 01'!J89,0))</f>
        <v>0</v>
      </c>
      <c r="Q89" s="2">
        <f>((IF((5='V06 Calend 01'!C89),('V06 Calend 01'!F89+'V06 Calend 01'!G89),0)+IF(AND(('V06 Calend 01'!E89&gt;0),(5&gt;'V06 Calend 01'!C89),(5&lt;'V06 Calend 01'!D89),(MOD((5-'V06 Calend 01'!C89),6)=0),(((5-'V06 Calend 01'!C89)/6)&lt;='V06 Calend 01'!E89)),IF((5=('V06 Calend 01'!C89+(6*'V06 Calend 01'!E89))),('V06 Calend 01'!H89-('V06 Calend 01'!I89*('V06 Calend 01'!E89-1))),'V06 Calend 01'!I89),0))+IF((5='V06 Calend 01'!D89),'V06 Calend 01'!J89,0))</f>
        <v>0</v>
      </c>
      <c r="R89" s="2">
        <f>((IF((6='V06 Calend 01'!C89),('V06 Calend 01'!F89+'V06 Calend 01'!G89),0)+IF(AND(('V06 Calend 01'!E89&gt;0),(6&gt;'V06 Calend 01'!C89),(6&lt;'V06 Calend 01'!D89),(MOD((6-'V06 Calend 01'!C89),6)=0),(((6-'V06 Calend 01'!C89)/6)&lt;='V06 Calend 01'!E89)),IF((6=('V06 Calend 01'!C89+(6*'V06 Calend 01'!E89))),('V06 Calend 01'!H89-('V06 Calend 01'!I89*('V06 Calend 01'!E89-1))),'V06 Calend 01'!I89),0))+IF((6='V06 Calend 01'!D89),'V06 Calend 01'!J89,0))</f>
        <v>0</v>
      </c>
      <c r="S89" s="2">
        <f>((IF((7='V06 Calend 01'!C89),('V06 Calend 01'!F89+'V06 Calend 01'!G89),0)+IF(AND(('V06 Calend 01'!E89&gt;0),(7&gt;'V06 Calend 01'!C89),(7&lt;'V06 Calend 01'!D89),(MOD((7-'V06 Calend 01'!C89),6)=0),(((7-'V06 Calend 01'!C89)/6)&lt;='V06 Calend 01'!E89)),IF((7=('V06 Calend 01'!C89+(6*'V06 Calend 01'!E89))),('V06 Calend 01'!H89-('V06 Calend 01'!I89*('V06 Calend 01'!E89-1))),'V06 Calend 01'!I89),0))+IF((7='V06 Calend 01'!D89),'V06 Calend 01'!J89,0))</f>
        <v>0</v>
      </c>
      <c r="T89" s="2">
        <f>((IF((8='V06 Calend 01'!C89),('V06 Calend 01'!F89+'V06 Calend 01'!G89),0)+IF(AND(('V06 Calend 01'!E89&gt;0),(8&gt;'V06 Calend 01'!C89),(8&lt;'V06 Calend 01'!D89),(MOD((8-'V06 Calend 01'!C89),6)=0),(((8-'V06 Calend 01'!C89)/6)&lt;='V06 Calend 01'!E89)),IF((8=('V06 Calend 01'!C89+(6*'V06 Calend 01'!E89))),('V06 Calend 01'!H89-('V06 Calend 01'!I89*('V06 Calend 01'!E89-1))),'V06 Calend 01'!I89),0))+IF((8='V06 Calend 01'!D89),'V06 Calend 01'!J89,0))</f>
        <v>0</v>
      </c>
      <c r="U89" s="2">
        <f>((IF((9='V06 Calend 01'!C89),('V06 Calend 01'!F89+'V06 Calend 01'!G89),0)+IF(AND(('V06 Calend 01'!E89&gt;0),(9&gt;'V06 Calend 01'!C89),(9&lt;'V06 Calend 01'!D89),(MOD((9-'V06 Calend 01'!C89),6)=0),(((9-'V06 Calend 01'!C89)/6)&lt;='V06 Calend 01'!E89)),IF((9=('V06 Calend 01'!C89+(6*'V06 Calend 01'!E89))),('V06 Calend 01'!H89-('V06 Calend 01'!I89*('V06 Calend 01'!E89-1))),'V06 Calend 01'!I89),0))+IF((9='V06 Calend 01'!D89),'V06 Calend 01'!J89,0))</f>
        <v>0</v>
      </c>
      <c r="V89" s="2">
        <f>((IF((10='V06 Calend 01'!C89),('V06 Calend 01'!F89+'V06 Calend 01'!G89),0)+IF(AND(('V06 Calend 01'!E89&gt;0),(10&gt;'V06 Calend 01'!C89),(10&lt;'V06 Calend 01'!D89),(MOD((10-'V06 Calend 01'!C89),6)=0),(((10-'V06 Calend 01'!C89)/6)&lt;='V06 Calend 01'!E89)),IF((10=('V06 Calend 01'!C89+(6*'V06 Calend 01'!E89))),('V06 Calend 01'!H89-('V06 Calend 01'!I89*('V06 Calend 01'!E89-1))),'V06 Calend 01'!I89),0))+IF((10='V06 Calend 01'!D89),'V06 Calend 01'!J89,0))</f>
        <v>0</v>
      </c>
      <c r="W89" s="2">
        <f>((IF((11='V06 Calend 01'!C89),('V06 Calend 01'!F89+'V06 Calend 01'!G89),0)+IF(AND(('V06 Calend 01'!E89&gt;0),(11&gt;'V06 Calend 01'!C89),(11&lt;'V06 Calend 01'!D89),(MOD((11-'V06 Calend 01'!C89),6)=0),(((11-'V06 Calend 01'!C89)/6)&lt;='V06 Calend 01'!E89)),IF((11=('V06 Calend 01'!C89+(6*'V06 Calend 01'!E89))),('V06 Calend 01'!H89-('V06 Calend 01'!I89*('V06 Calend 01'!E89-1))),'V06 Calend 01'!I89),0))+IF((11='V06 Calend 01'!D89),'V06 Calend 01'!J89,0))</f>
        <v>0</v>
      </c>
      <c r="X89" s="2">
        <f>((IF((12='V06 Calend 01'!C89),('V06 Calend 01'!F89+'V06 Calend 01'!G89),0)+IF(AND(('V06 Calend 01'!E89&gt;0),(12&gt;'V06 Calend 01'!C89),(12&lt;'V06 Calend 01'!D89),(MOD((12-'V06 Calend 01'!C89),6)=0),(((12-'V06 Calend 01'!C89)/6)&lt;='V06 Calend 01'!E89)),IF((12=('V06 Calend 01'!C89+(6*'V06 Calend 01'!E89))),('V06 Calend 01'!H89-('V06 Calend 01'!I89*('V06 Calend 01'!E89-1))),'V06 Calend 01'!I89),0))+IF((12='V06 Calend 01'!D89),'V06 Calend 01'!J89,0))</f>
        <v>0</v>
      </c>
      <c r="Y89" s="2">
        <f>((IF((13='V06 Calend 01'!C89),('V06 Calend 01'!F89+'V06 Calend 01'!G89),0)+IF(AND(('V06 Calend 01'!E89&gt;0),(13&gt;'V06 Calend 01'!C89),(13&lt;'V06 Calend 01'!D89),(MOD((13-'V06 Calend 01'!C89),6)=0),(((13-'V06 Calend 01'!C89)/6)&lt;='V06 Calend 01'!E89)),IF((13=('V06 Calend 01'!C89+(6*'V06 Calend 01'!E89))),('V06 Calend 01'!H89-('V06 Calend 01'!I89*('V06 Calend 01'!E89-1))),'V06 Calend 01'!I89),0))+IF((13='V06 Calend 01'!D89),'V06 Calend 01'!J89,0))</f>
        <v>0</v>
      </c>
      <c r="Z89" s="2">
        <f>((IF((14='V06 Calend 01'!C89),('V06 Calend 01'!F89+'V06 Calend 01'!G89),0)+IF(AND(('V06 Calend 01'!E89&gt;0),(14&gt;'V06 Calend 01'!C89),(14&lt;'V06 Calend 01'!D89),(MOD((14-'V06 Calend 01'!C89),6)=0),(((14-'V06 Calend 01'!C89)/6)&lt;='V06 Calend 01'!E89)),IF((14=('V06 Calend 01'!C89+(6*'V06 Calend 01'!E89))),('V06 Calend 01'!H89-('V06 Calend 01'!I89*('V06 Calend 01'!E89-1))),'V06 Calend 01'!I89),0))+IF((14='V06 Calend 01'!D89),'V06 Calend 01'!J89,0))</f>
        <v>0</v>
      </c>
      <c r="AA89" s="2">
        <f>((IF((15='V06 Calend 01'!C89),('V06 Calend 01'!F89+'V06 Calend 01'!G89),0)+IF(AND(('V06 Calend 01'!E89&gt;0),(15&gt;'V06 Calend 01'!C89),(15&lt;'V06 Calend 01'!D89),(MOD((15-'V06 Calend 01'!C89),6)=0),(((15-'V06 Calend 01'!C89)/6)&lt;='V06 Calend 01'!E89)),IF((15=('V06 Calend 01'!C89+(6*'V06 Calend 01'!E89))),('V06 Calend 01'!H89-('V06 Calend 01'!I89*('V06 Calend 01'!E89-1))),'V06 Calend 01'!I89),0))+IF((15='V06 Calend 01'!D89),'V06 Calend 01'!J89,0))</f>
        <v>0</v>
      </c>
      <c r="AB89" s="2">
        <f>((IF((16='V06 Calend 01'!C89),('V06 Calend 01'!F89+'V06 Calend 01'!G89),0)+IF(AND(('V06 Calend 01'!E89&gt;0),(16&gt;'V06 Calend 01'!C89),(16&lt;'V06 Calend 01'!D89),(MOD((16-'V06 Calend 01'!C89),6)=0),(((16-'V06 Calend 01'!C89)/6)&lt;='V06 Calend 01'!E89)),IF((16=('V06 Calend 01'!C89+(6*'V06 Calend 01'!E89))),('V06 Calend 01'!H89-('V06 Calend 01'!I89*('V06 Calend 01'!E89-1))),'V06 Calend 01'!I89),0))+IF((16='V06 Calend 01'!D89),'V06 Calend 01'!J89,0))</f>
        <v>199086.85</v>
      </c>
      <c r="AC89" s="2">
        <f>((IF((17='V06 Calend 01'!C89),('V06 Calend 01'!F89+'V06 Calend 01'!G89),0)+IF(AND(('V06 Calend 01'!E89&gt;0),(17&gt;'V06 Calend 01'!C89),(17&lt;'V06 Calend 01'!D89),(MOD((17-'V06 Calend 01'!C89),6)=0),(((17-'V06 Calend 01'!C89)/6)&lt;='V06 Calend 01'!E89)),IF((17=('V06 Calend 01'!C89+(6*'V06 Calend 01'!E89))),('V06 Calend 01'!H89-('V06 Calend 01'!I89*('V06 Calend 01'!E89-1))),'V06 Calend 01'!I89),0))+IF((17='V06 Calend 01'!D89),'V06 Calend 01'!J89,0))</f>
        <v>0</v>
      </c>
      <c r="AD89" s="2">
        <f>((IF((18='V06 Calend 01'!C89),('V06 Calend 01'!F89+'V06 Calend 01'!G89),0)+IF(AND(('V06 Calend 01'!E89&gt;0),(18&gt;'V06 Calend 01'!C89),(18&lt;'V06 Calend 01'!D89),(MOD((18-'V06 Calend 01'!C89),6)=0),(((18-'V06 Calend 01'!C89)/6)&lt;='V06 Calend 01'!E89)),IF((18=('V06 Calend 01'!C89+(6*'V06 Calend 01'!E89))),('V06 Calend 01'!H89-('V06 Calend 01'!I89*('V06 Calend 01'!E89-1))),'V06 Calend 01'!I89),0))+IF((18='V06 Calend 01'!D89),'V06 Calend 01'!J89,0))</f>
        <v>0</v>
      </c>
      <c r="AE89" s="2">
        <f>((IF((19='V06 Calend 01'!C89),('V06 Calend 01'!F89+'V06 Calend 01'!G89),0)+IF(AND(('V06 Calend 01'!E89&gt;0),(19&gt;'V06 Calend 01'!C89),(19&lt;'V06 Calend 01'!D89),(MOD((19-'V06 Calend 01'!C89),6)=0),(((19-'V06 Calend 01'!C89)/6)&lt;='V06 Calend 01'!E89)),IF((19=('V06 Calend 01'!C89+(6*'V06 Calend 01'!E89))),('V06 Calend 01'!H89-('V06 Calend 01'!I89*('V06 Calend 01'!E89-1))),'V06 Calend 01'!I89),0))+IF((19='V06 Calend 01'!D89),'V06 Calend 01'!J89,0))</f>
        <v>0</v>
      </c>
      <c r="AF89" s="2">
        <f>((IF((20='V06 Calend 01'!C89),('V06 Calend 01'!F89+'V06 Calend 01'!G89),0)+IF(AND(('V06 Calend 01'!E89&gt;0),(20&gt;'V06 Calend 01'!C89),(20&lt;'V06 Calend 01'!D89),(MOD((20-'V06 Calend 01'!C89),6)=0),(((20-'V06 Calend 01'!C89)/6)&lt;='V06 Calend 01'!E89)),IF((20=('V06 Calend 01'!C89+(6*'V06 Calend 01'!E89))),('V06 Calend 01'!H89-('V06 Calend 01'!I89*('V06 Calend 01'!E89-1))),'V06 Calend 01'!I89),0))+IF((20='V06 Calend 01'!D89),'V06 Calend 01'!J89,0))</f>
        <v>0</v>
      </c>
      <c r="AG89" s="2">
        <f>((IF((21='V06 Calend 01'!C89),('V06 Calend 01'!F89+'V06 Calend 01'!G89),0)+IF(AND(('V06 Calend 01'!E89&gt;0),(21&gt;'V06 Calend 01'!C89),(21&lt;'V06 Calend 01'!D89),(MOD((21-'V06 Calend 01'!C89),6)=0),(((21-'V06 Calend 01'!C89)/6)&lt;='V06 Calend 01'!E89)),IF((21=('V06 Calend 01'!C89+(6*'V06 Calend 01'!E89))),('V06 Calend 01'!H89-('V06 Calend 01'!I89*('V06 Calend 01'!E89-1))),'V06 Calend 01'!I89),0))+IF((21='V06 Calend 01'!D89),'V06 Calend 01'!J89,0))</f>
        <v>0</v>
      </c>
      <c r="AH89" s="2">
        <f>((IF((22='V06 Calend 01'!C89),('V06 Calend 01'!F89+'V06 Calend 01'!G89),0)+IF(AND(('V06 Calend 01'!E89&gt;0),(22&gt;'V06 Calend 01'!C89),(22&lt;'V06 Calend 01'!D89),(MOD((22-'V06 Calend 01'!C89),6)=0),(((22-'V06 Calend 01'!C89)/6)&lt;='V06 Calend 01'!E89)),IF((22=('V06 Calend 01'!C89+(6*'V06 Calend 01'!E89))),('V06 Calend 01'!H89-('V06 Calend 01'!I89*('V06 Calend 01'!E89-1))),'V06 Calend 01'!I89),0))+IF((22='V06 Calend 01'!D89),'V06 Calend 01'!J89,0))</f>
        <v>437991.07</v>
      </c>
      <c r="AI89" s="2">
        <f>((IF((23='V06 Calend 01'!C89),('V06 Calend 01'!F89+'V06 Calend 01'!G89),0)+IF(AND(('V06 Calend 01'!E89&gt;0),(23&gt;'V06 Calend 01'!C89),(23&lt;'V06 Calend 01'!D89),(MOD((23-'V06 Calend 01'!C89),6)=0),(((23-'V06 Calend 01'!C89)/6)&lt;='V06 Calend 01'!E89)),IF((23=('V06 Calend 01'!C89+(6*'V06 Calend 01'!E89))),('V06 Calend 01'!H89-('V06 Calend 01'!I89*('V06 Calend 01'!E89-1))),'V06 Calend 01'!I89),0))+IF((23='V06 Calend 01'!D89),'V06 Calend 01'!J89,0))</f>
        <v>0</v>
      </c>
      <c r="AJ89" s="2">
        <f>((IF((24='V06 Calend 01'!C89),('V06 Calend 01'!F89+'V06 Calend 01'!G89),0)+IF(AND(('V06 Calend 01'!E89&gt;0),(24&gt;'V06 Calend 01'!C89),(24&lt;'V06 Calend 01'!D89),(MOD((24-'V06 Calend 01'!C89),6)=0),(((24-'V06 Calend 01'!C89)/6)&lt;='V06 Calend 01'!E89)),IF((24=('V06 Calend 01'!C89+(6*'V06 Calend 01'!E89))),('V06 Calend 01'!H89-('V06 Calend 01'!I89*('V06 Calend 01'!E89-1))),'V06 Calend 01'!I89),0))+IF((24='V06 Calend 01'!D89),'V06 Calend 01'!J89,0))</f>
        <v>0</v>
      </c>
      <c r="AK89" s="2">
        <f>((IF((25='V06 Calend 01'!C89),('V06 Calend 01'!F89+'V06 Calend 01'!G89),0)+IF(AND(('V06 Calend 01'!E89&gt;0),(25&gt;'V06 Calend 01'!C89),(25&lt;'V06 Calend 01'!D89),(MOD((25-'V06 Calend 01'!C89),6)=0),(((25-'V06 Calend 01'!C89)/6)&lt;='V06 Calend 01'!E89)),IF((25=('V06 Calend 01'!C89+(6*'V06 Calend 01'!E89))),('V06 Calend 01'!H89-('V06 Calend 01'!I89*('V06 Calend 01'!E89-1))),'V06 Calend 01'!I89),0))+IF((25='V06 Calend 01'!D89),'V06 Calend 01'!J89,0))</f>
        <v>0</v>
      </c>
      <c r="AL89" s="2">
        <f>((IF((26='V06 Calend 01'!C89),('V06 Calend 01'!F89+'V06 Calend 01'!G89),0)+IF(AND(('V06 Calend 01'!E89&gt;0),(26&gt;'V06 Calend 01'!C89),(26&lt;'V06 Calend 01'!D89),(MOD((26-'V06 Calend 01'!C89),6)=0),(((26-'V06 Calend 01'!C89)/6)&lt;='V06 Calend 01'!E89)),IF((26=('V06 Calend 01'!C89+(6*'V06 Calend 01'!E89))),('V06 Calend 01'!H89-('V06 Calend 01'!I89*('V06 Calend 01'!E89-1))),'V06 Calend 01'!I89),0))+IF((26='V06 Calend 01'!D89),'V06 Calend 01'!J89,0))</f>
        <v>0</v>
      </c>
      <c r="AM89" s="2">
        <f>((IF((27='V06 Calend 01'!C89),('V06 Calend 01'!F89+'V06 Calend 01'!G89),0)+IF(AND(('V06 Calend 01'!E89&gt;0),(27&gt;'V06 Calend 01'!C89),(27&lt;'V06 Calend 01'!D89),(MOD((27-'V06 Calend 01'!C89),6)=0),(((27-'V06 Calend 01'!C89)/6)&lt;='V06 Calend 01'!E89)),IF((27=('V06 Calend 01'!C89+(6*'V06 Calend 01'!E89))),('V06 Calend 01'!H89-('V06 Calend 01'!I89*('V06 Calend 01'!E89-1))),'V06 Calend 01'!I89),0))+IF((27='V06 Calend 01'!D89),'V06 Calend 01'!J89,0))</f>
        <v>0</v>
      </c>
      <c r="AN89" s="2">
        <f>((IF((28='V06 Calend 01'!C89),('V06 Calend 01'!F89+'V06 Calend 01'!G89),0)+IF(AND(('V06 Calend 01'!E89&gt;0),(28&gt;'V06 Calend 01'!C89),(28&lt;'V06 Calend 01'!D89),(MOD((28-'V06 Calend 01'!C89),6)=0),(((28-'V06 Calend 01'!C89)/6)&lt;='V06 Calend 01'!E89)),IF((28=('V06 Calend 01'!C89+(6*'V06 Calend 01'!E89))),('V06 Calend 01'!H89-('V06 Calend 01'!I89*('V06 Calend 01'!E89-1))),'V06 Calend 01'!I89),0))+IF((28='V06 Calend 01'!D89),'V06 Calend 01'!J89,0))</f>
        <v>159269.48000000004</v>
      </c>
      <c r="AO89" s="2">
        <f>((IF((29='V06 Calend 01'!C89),('V06 Calend 01'!F89+'V06 Calend 01'!G89),0)+IF(AND(('V06 Calend 01'!E89&gt;0),(29&gt;'V06 Calend 01'!C89),(29&lt;'V06 Calend 01'!D89),(MOD((29-'V06 Calend 01'!C89),6)=0),(((29-'V06 Calend 01'!C89)/6)&lt;='V06 Calend 01'!E89)),IF((29=('V06 Calend 01'!C89+(6*'V06 Calend 01'!E89))),('V06 Calend 01'!H89-('V06 Calend 01'!I89*('V06 Calend 01'!E89-1))),'V06 Calend 01'!I89),0))+IF((29='V06 Calend 01'!D89),'V06 Calend 01'!J89,0))</f>
        <v>0</v>
      </c>
      <c r="AP89" s="2">
        <f>((IF((30='V06 Calend 01'!C89),('V06 Calend 01'!F89+'V06 Calend 01'!G89),0)+IF(AND(('V06 Calend 01'!E89&gt;0),(30&gt;'V06 Calend 01'!C89),(30&lt;'V06 Calend 01'!D89),(MOD((30-'V06 Calend 01'!C89),6)=0),(((30-'V06 Calend 01'!C89)/6)&lt;='V06 Calend 01'!E89)),IF((30=('V06 Calend 01'!C89+(6*'V06 Calend 01'!E89))),('V06 Calend 01'!H89-('V06 Calend 01'!I89*('V06 Calend 01'!E89-1))),'V06 Calend 01'!I89),0))+IF((30='V06 Calend 01'!D89),'V06 Calend 01'!J89,0))</f>
        <v>0</v>
      </c>
      <c r="AQ89" s="2">
        <f>((IF((31='V06 Calend 01'!C89),('V06 Calend 01'!F89+'V06 Calend 01'!G89),0)+IF(AND(('V06 Calend 01'!E89&gt;0),(31&gt;'V06 Calend 01'!C89),(31&lt;'V06 Calend 01'!D89),(MOD((31-'V06 Calend 01'!C89),6)=0),(((31-'V06 Calend 01'!C89)/6)&lt;='V06 Calend 01'!E89)),IF((31=('V06 Calend 01'!C89+(6*'V06 Calend 01'!E89))),('V06 Calend 01'!H89-('V06 Calend 01'!I89*('V06 Calend 01'!E89-1))),'V06 Calend 01'!I89),0))+IF((31='V06 Calend 01'!D89),'V06 Calend 01'!J89,0))</f>
        <v>0</v>
      </c>
      <c r="AR89" s="2">
        <f>((IF((32='V06 Calend 01'!C89),('V06 Calend 01'!F89+'V06 Calend 01'!G89),0)+IF(AND(('V06 Calend 01'!E89&gt;0),(32&gt;'V06 Calend 01'!C89),(32&lt;'V06 Calend 01'!D89),(MOD((32-'V06 Calend 01'!C89),6)=0),(((32-'V06 Calend 01'!C89)/6)&lt;='V06 Calend 01'!E89)),IF((32=('V06 Calend 01'!C89+(6*'V06 Calend 01'!E89))),('V06 Calend 01'!H89-('V06 Calend 01'!I89*('V06 Calend 01'!E89-1))),'V06 Calend 01'!I89),0))+IF((32='V06 Calend 01'!D89),'V06 Calend 01'!J89,0))</f>
        <v>0</v>
      </c>
      <c r="AS89" s="2">
        <f>((IF((33='V06 Calend 01'!C89),('V06 Calend 01'!F89+'V06 Calend 01'!G89),0)+IF(AND(('V06 Calend 01'!E89&gt;0),(33&gt;'V06 Calend 01'!C89),(33&lt;'V06 Calend 01'!D89),(MOD((33-'V06 Calend 01'!C89),6)=0),(((33-'V06 Calend 01'!C89)/6)&lt;='V06 Calend 01'!E89)),IF((33=('V06 Calend 01'!C89+(6*'V06 Calend 01'!E89))),('V06 Calend 01'!H89-('V06 Calend 01'!I89*('V06 Calend 01'!E89-1))),'V06 Calend 01'!I89),0))+IF((33='V06 Calend 01'!D89),'V06 Calend 01'!J89,0))</f>
        <v>0</v>
      </c>
      <c r="AT89" s="2">
        <f>((IF((34='V06 Calend 01'!C89),('V06 Calend 01'!F89+'V06 Calend 01'!G89),0)+IF(AND(('V06 Calend 01'!E89&gt;0),(34&gt;'V06 Calend 01'!C89),(34&lt;'V06 Calend 01'!D89),(MOD((34-'V06 Calend 01'!C89),6)=0),(((34-'V06 Calend 01'!C89)/6)&lt;='V06 Calend 01'!E89)),IF((34=('V06 Calend 01'!C89+(6*'V06 Calend 01'!E89))),('V06 Calend 01'!H89-('V06 Calend 01'!I89*('V06 Calend 01'!E89-1))),'V06 Calend 01'!I89),0))+IF((34='V06 Calend 01'!D89),'V06 Calend 01'!J89,0))</f>
        <v>0</v>
      </c>
      <c r="AU89" s="2">
        <f>((IF((35='V06 Calend 01'!C89),('V06 Calend 01'!F89+'V06 Calend 01'!G89),0)+IF(AND(('V06 Calend 01'!E89&gt;0),(35&gt;'V06 Calend 01'!C89),(35&lt;'V06 Calend 01'!D89),(MOD((35-'V06 Calend 01'!C89),6)=0),(((35-'V06 Calend 01'!C89)/6)&lt;='V06 Calend 01'!E89)),IF((35=('V06 Calend 01'!C89+(6*'V06 Calend 01'!E89))),('V06 Calend 01'!H89-('V06 Calend 01'!I89*('V06 Calend 01'!E89-1))),'V06 Calend 01'!I89),0))+IF((35='V06 Calend 01'!D89),'V06 Calend 01'!J89,0))</f>
        <v>0</v>
      </c>
      <c r="AV89" s="2">
        <f>((IF((36='V06 Calend 01'!C89),('V06 Calend 01'!F89+'V06 Calend 01'!G89),0)+IF(AND(('V06 Calend 01'!E89&gt;0),(36&gt;'V06 Calend 01'!C89),(36&lt;'V06 Calend 01'!D89),(MOD((36-'V06 Calend 01'!C89),6)=0),(((36-'V06 Calend 01'!C89)/6)&lt;='V06 Calend 01'!E89)),IF((36=('V06 Calend 01'!C89+(6*'V06 Calend 01'!E89))),('V06 Calend 01'!H89-('V06 Calend 01'!I89*('V06 Calend 01'!E89-1))),'V06 Calend 01'!I89),0))+IF((36='V06 Calend 01'!D89),'V06 Calend 01'!J89,0))</f>
        <v>0</v>
      </c>
      <c r="AW89" s="2">
        <f>((IF((37='V06 Calend 01'!C89),('V06 Calend 01'!F89+'V06 Calend 01'!G89),0)+IF(AND(('V06 Calend 01'!E89&gt;0),(37&gt;'V06 Calend 01'!C89),(37&lt;'V06 Calend 01'!D89),(MOD((37-'V06 Calend 01'!C89),6)=0),(((37-'V06 Calend 01'!C89)/6)&lt;='V06 Calend 01'!E89)),IF((37=('V06 Calend 01'!C89+(6*'V06 Calend 01'!E89))),('V06 Calend 01'!H89-('V06 Calend 01'!I89*('V06 Calend 01'!E89-1))),'V06 Calend 01'!I89),0))+IF((37='V06 Calend 01'!D89),'V06 Calend 01'!J89,0))</f>
        <v>0</v>
      </c>
      <c r="AX89" s="2">
        <f>((IF((38='V06 Calend 01'!C89),('V06 Calend 01'!F89+'V06 Calend 01'!G89),0)+IF(AND(('V06 Calend 01'!E89&gt;0),(38&gt;'V06 Calend 01'!C89),(38&lt;'V06 Calend 01'!D89),(MOD((38-'V06 Calend 01'!C89),6)=0),(((38-'V06 Calend 01'!C89)/6)&lt;='V06 Calend 01'!E89)),IF((38=('V06 Calend 01'!C89+(6*'V06 Calend 01'!E89))),('V06 Calend 01'!H89-('V06 Calend 01'!I89*('V06 Calend 01'!E89-1))),'V06 Calend 01'!I89),0))+IF((38='V06 Calend 01'!D89),'V06 Calend 01'!J89,0))</f>
        <v>0</v>
      </c>
      <c r="AY89" s="2">
        <f>((IF((39='V06 Calend 01'!C89),('V06 Calend 01'!F89+'V06 Calend 01'!G89),0)+IF(AND(('V06 Calend 01'!E89&gt;0),(39&gt;'V06 Calend 01'!C89),(39&lt;'V06 Calend 01'!D89),(MOD((39-'V06 Calend 01'!C89),6)=0),(((39-'V06 Calend 01'!C89)/6)&lt;='V06 Calend 01'!E89)),IF((39=('V06 Calend 01'!C89+(6*'V06 Calend 01'!E89))),('V06 Calend 01'!H89-('V06 Calend 01'!I89*('V06 Calend 01'!E89-1))),'V06 Calend 01'!I89),0))+IF((39='V06 Calend 01'!D89),'V06 Calend 01'!J89,0))</f>
        <v>0</v>
      </c>
      <c r="AZ89" s="2">
        <f>((IF((40='V06 Calend 01'!C89),('V06 Calend 01'!F89+'V06 Calend 01'!G89),0)+IF(AND(('V06 Calend 01'!E89&gt;0),(40&gt;'V06 Calend 01'!C89),(40&lt;'V06 Calend 01'!D89),(MOD((40-'V06 Calend 01'!C89),6)=0),(((40-'V06 Calend 01'!C89)/6)&lt;='V06 Calend 01'!E89)),IF((40=('V06 Calend 01'!C89+(6*'V06 Calend 01'!E89))),('V06 Calend 01'!H89-('V06 Calend 01'!I89*('V06 Calend 01'!E89-1))),'V06 Calend 01'!I89),0))+IF((40='V06 Calend 01'!D89),'V06 Calend 01'!J89,0))</f>
        <v>0</v>
      </c>
      <c r="BA89" s="2">
        <f>((IF((41='V06 Calend 01'!C89),('V06 Calend 01'!F89+'V06 Calend 01'!G89),0)+IF(AND(('V06 Calend 01'!E89&gt;0),(41&gt;'V06 Calend 01'!C89),(41&lt;'V06 Calend 01'!D89),(MOD((41-'V06 Calend 01'!C89),6)=0),(((41-'V06 Calend 01'!C89)/6)&lt;='V06 Calend 01'!E89)),IF((41=('V06 Calend 01'!C89+(6*'V06 Calend 01'!E89))),('V06 Calend 01'!H89-('V06 Calend 01'!I89*('V06 Calend 01'!E89-1))),'V06 Calend 01'!I89),0))+IF((41='V06 Calend 01'!D89),'V06 Calend 01'!J89,0))</f>
        <v>0</v>
      </c>
      <c r="BB89" s="2">
        <f>((IF((42='V06 Calend 01'!C89),('V06 Calend 01'!F89+'V06 Calend 01'!G89),0)+IF(AND(('V06 Calend 01'!E89&gt;0),(42&gt;'V06 Calend 01'!C89),(42&lt;'V06 Calend 01'!D89),(MOD((42-'V06 Calend 01'!C89),6)=0),(((42-'V06 Calend 01'!C89)/6)&lt;='V06 Calend 01'!E89)),IF((42=('V06 Calend 01'!C89+(6*'V06 Calend 01'!E89))),('V06 Calend 01'!H89-('V06 Calend 01'!I89*('V06 Calend 01'!E89-1))),'V06 Calend 01'!I89),0))+IF((42='V06 Calend 01'!D89),'V06 Calend 01'!J89,0))</f>
        <v>0</v>
      </c>
      <c r="BC89" s="2">
        <f>((IF((43='V06 Calend 01'!C89),('V06 Calend 01'!F89+'V06 Calend 01'!G89),0)+IF(AND(('V06 Calend 01'!E89&gt;0),(43&gt;'V06 Calend 01'!C89),(43&lt;'V06 Calend 01'!D89),(MOD((43-'V06 Calend 01'!C89),6)=0),(((43-'V06 Calend 01'!C89)/6)&lt;='V06 Calend 01'!E89)),IF((43=('V06 Calend 01'!C89+(6*'V06 Calend 01'!E89))),('V06 Calend 01'!H89-('V06 Calend 01'!I89*('V06 Calend 01'!E89-1))),'V06 Calend 01'!I89),0))+IF((43='V06 Calend 01'!D89),'V06 Calend 01'!J89,0))</f>
        <v>0</v>
      </c>
      <c r="BD89" s="2">
        <f>((IF((44='V06 Calend 01'!C89),('V06 Calend 01'!F89+'V06 Calend 01'!G89),0)+IF(AND(('V06 Calend 01'!E89&gt;0),(44&gt;'V06 Calend 01'!C89),(44&lt;'V06 Calend 01'!D89),(MOD((44-'V06 Calend 01'!C89),6)=0),(((44-'V06 Calend 01'!C89)/6)&lt;='V06 Calend 01'!E89)),IF((44=('V06 Calend 01'!C89+(6*'V06 Calend 01'!E89))),('V06 Calend 01'!H89-('V06 Calend 01'!I89*('V06 Calend 01'!E89-1))),'V06 Calend 01'!I89),0))+IF((44='V06 Calend 01'!D89),'V06 Calend 01'!J89,0))</f>
        <v>0</v>
      </c>
      <c r="BE89" s="2">
        <f>((IF((45='V06 Calend 01'!C89),('V06 Calend 01'!F89+'V06 Calend 01'!G89),0)+IF(AND(('V06 Calend 01'!E89&gt;0),(45&gt;'V06 Calend 01'!C89),(45&lt;'V06 Calend 01'!D89),(MOD((45-'V06 Calend 01'!C89),6)=0),(((45-'V06 Calend 01'!C89)/6)&lt;='V06 Calend 01'!E89)),IF((45=('V06 Calend 01'!C89+(6*'V06 Calend 01'!E89))),('V06 Calend 01'!H89-('V06 Calend 01'!I89*('V06 Calend 01'!E89-1))),'V06 Calend 01'!I89),0))+IF((45='V06 Calend 01'!D89),'V06 Calend 01'!J89,0))</f>
        <v>0</v>
      </c>
      <c r="BF89" s="2">
        <f>((IF((46='V06 Calend 01'!C89),('V06 Calend 01'!F89+'V06 Calend 01'!G89),0)+IF(AND(('V06 Calend 01'!E89&gt;0),(46&gt;'V06 Calend 01'!C89),(46&lt;'V06 Calend 01'!D89),(MOD((46-'V06 Calend 01'!C89),6)=0),(((46-'V06 Calend 01'!C89)/6)&lt;='V06 Calend 01'!E89)),IF((46=('V06 Calend 01'!C89+(6*'V06 Calend 01'!E89))),('V06 Calend 01'!H89-('V06 Calend 01'!I89*('V06 Calend 01'!E89-1))),'V06 Calend 01'!I89),0))+IF((46='V06 Calend 01'!D89),'V06 Calend 01'!J89,0))</f>
        <v>0</v>
      </c>
      <c r="BG89" s="2">
        <f>((IF((47='V06 Calend 01'!C89),('V06 Calend 01'!F89+'V06 Calend 01'!G89),0)+IF(AND(('V06 Calend 01'!E89&gt;0),(47&gt;'V06 Calend 01'!C89),(47&lt;'V06 Calend 01'!D89),(MOD((47-'V06 Calend 01'!C89),6)=0),(((47-'V06 Calend 01'!C89)/6)&lt;='V06 Calend 01'!E89)),IF((47=('V06 Calend 01'!C89+(6*'V06 Calend 01'!E89))),('V06 Calend 01'!H89-('V06 Calend 01'!I89*('V06 Calend 01'!E89-1))),'V06 Calend 01'!I89),0))+IF((47='V06 Calend 01'!D89),'V06 Calend 01'!J89,0))</f>
        <v>0</v>
      </c>
      <c r="BH89" s="2">
        <f>((IF((48='V06 Calend 01'!C89),('V06 Calend 01'!F89+'V06 Calend 01'!G89),0)+IF(AND(('V06 Calend 01'!E89&gt;0),(48&gt;'V06 Calend 01'!C89),(48&lt;'V06 Calend 01'!D89),(MOD((48-'V06 Calend 01'!C89),6)=0),(((48-'V06 Calend 01'!C89)/6)&lt;='V06 Calend 01'!E89)),IF((48=('V06 Calend 01'!C89+(6*'V06 Calend 01'!E89))),('V06 Calend 01'!H89-('V06 Calend 01'!I89*('V06 Calend 01'!E89-1))),'V06 Calend 01'!I89),0))+IF((48='V06 Calend 01'!D89),'V06 Calend 01'!J89,0))</f>
        <v>0</v>
      </c>
      <c r="BI89" s="2">
        <f>((IF((49='V06 Calend 01'!C89),('V06 Calend 01'!F89+'V06 Calend 01'!G89),0)+IF(AND(('V06 Calend 01'!E89&gt;0),(49&gt;'V06 Calend 01'!C89),(49&lt;'V06 Calend 01'!D89),(MOD((49-'V06 Calend 01'!C89),6)=0),(((49-'V06 Calend 01'!C89)/6)&lt;='V06 Calend 01'!E89)),IF((49=('V06 Calend 01'!C89+(6*'V06 Calend 01'!E89))),('V06 Calend 01'!H89-('V06 Calend 01'!I89*('V06 Calend 01'!E89-1))),'V06 Calend 01'!I89),0))+IF((49='V06 Calend 01'!D89),'V06 Calend 01'!J89,0))</f>
        <v>0</v>
      </c>
      <c r="BJ89" s="2">
        <f>((IF((50='V06 Calend 01'!C89),('V06 Calend 01'!F89+'V06 Calend 01'!G89),0)+IF(AND(('V06 Calend 01'!E89&gt;0),(50&gt;'V06 Calend 01'!C89),(50&lt;'V06 Calend 01'!D89),(MOD((50-'V06 Calend 01'!C89),6)=0),(((50-'V06 Calend 01'!C89)/6)&lt;='V06 Calend 01'!E89)),IF((50=('V06 Calend 01'!C89+(6*'V06 Calend 01'!E89))),('V06 Calend 01'!H89-('V06 Calend 01'!I89*('V06 Calend 01'!E89-1))),'V06 Calend 01'!I89),0))+IF((50='V06 Calend 01'!D89),'V06 Calend 01'!J89,0))</f>
        <v>0</v>
      </c>
      <c r="BK89" s="2">
        <f>((IF((51='V06 Calend 01'!C89),('V06 Calend 01'!F89+'V06 Calend 01'!G89),0)+IF(AND(('V06 Calend 01'!E89&gt;0),(51&gt;'V06 Calend 01'!C89),(51&lt;'V06 Calend 01'!D89),(MOD((51-'V06 Calend 01'!C89),6)=0),(((51-'V06 Calend 01'!C89)/6)&lt;='V06 Calend 01'!E89)),IF((51=('V06 Calend 01'!C89+(6*'V06 Calend 01'!E89))),('V06 Calend 01'!H89-('V06 Calend 01'!I89*('V06 Calend 01'!E89-1))),'V06 Calend 01'!I89),0))+IF((51='V06 Calend 01'!D89),'V06 Calend 01'!J89,0))</f>
        <v>0</v>
      </c>
      <c r="BL89" s="2">
        <f>((IF((52='V06 Calend 01'!C89),('V06 Calend 01'!F89+'V06 Calend 01'!G89),0)+IF(AND(('V06 Calend 01'!E89&gt;0),(52&gt;'V06 Calend 01'!C89),(52&lt;'V06 Calend 01'!D89),(MOD((52-'V06 Calend 01'!C89),6)=0),(((52-'V06 Calend 01'!C89)/6)&lt;='V06 Calend 01'!E89)),IF((52=('V06 Calend 01'!C89+(6*'V06 Calend 01'!E89))),('V06 Calend 01'!H89-('V06 Calend 01'!I89*('V06 Calend 01'!E89-1))),'V06 Calend 01'!I89),0))+IF((52='V06 Calend 01'!D89),'V06 Calend 01'!J89,0))</f>
        <v>0</v>
      </c>
      <c r="BM89" s="2">
        <f>((IF((53='V06 Calend 01'!C89),('V06 Calend 01'!F89+'V06 Calend 01'!G89),0)+IF(AND(('V06 Calend 01'!E89&gt;0),(53&gt;'V06 Calend 01'!C89),(53&lt;'V06 Calend 01'!D89),(MOD((53-'V06 Calend 01'!C89),6)=0),(((53-'V06 Calend 01'!C89)/6)&lt;='V06 Calend 01'!E89)),IF((53=('V06 Calend 01'!C89+(6*'V06 Calend 01'!E89))),('V06 Calend 01'!H89-('V06 Calend 01'!I89*('V06 Calend 01'!E89-1))),'V06 Calend 01'!I89),0))+IF((53='V06 Calend 01'!D89),'V06 Calend 01'!J89,0))</f>
        <v>0</v>
      </c>
      <c r="BN89" s="2">
        <f>((IF((54='V06 Calend 01'!C89),('V06 Calend 01'!F89+'V06 Calend 01'!G89),0)+IF(AND(('V06 Calend 01'!E89&gt;0),(54&gt;'V06 Calend 01'!C89),(54&lt;'V06 Calend 01'!D89),(MOD((54-'V06 Calend 01'!C89),6)=0),(((54-'V06 Calend 01'!C89)/6)&lt;='V06 Calend 01'!E89)),IF((54=('V06 Calend 01'!C89+(6*'V06 Calend 01'!E89))),('V06 Calend 01'!H89-('V06 Calend 01'!I89*('V06 Calend 01'!E89-1))),'V06 Calend 01'!I89),0))+IF((54='V06 Calend 01'!D89),'V06 Calend 01'!J89,0))</f>
        <v>0</v>
      </c>
      <c r="BO89" s="2">
        <f>((IF((55='V06 Calend 01'!C89),('V06 Calend 01'!F89+'V06 Calend 01'!G89),0)+IF(AND(('V06 Calend 01'!E89&gt;0),(55&gt;'V06 Calend 01'!C89),(55&lt;'V06 Calend 01'!D89),(MOD((55-'V06 Calend 01'!C89),6)=0),(((55-'V06 Calend 01'!C89)/6)&lt;='V06 Calend 01'!E89)),IF((55=('V06 Calend 01'!C89+(6*'V06 Calend 01'!E89))),('V06 Calend 01'!H89-('V06 Calend 01'!I89*('V06 Calend 01'!E89-1))),'V06 Calend 01'!I89),0))+IF((55='V06 Calend 01'!D89),'V06 Calend 01'!J89,0))</f>
        <v>0</v>
      </c>
      <c r="BP89" s="2">
        <f>((IF((56='V06 Calend 01'!C89),('V06 Calend 01'!F89+'V06 Calend 01'!G89),0)+IF(AND(('V06 Calend 01'!E89&gt;0),(56&gt;'V06 Calend 01'!C89),(56&lt;'V06 Calend 01'!D89),(MOD((56-'V06 Calend 01'!C89),6)=0),(((56-'V06 Calend 01'!C89)/6)&lt;='V06 Calend 01'!E89)),IF((56=('V06 Calend 01'!C89+(6*'V06 Calend 01'!E89))),('V06 Calend 01'!H89-('V06 Calend 01'!I89*('V06 Calend 01'!E89-1))),'V06 Calend 01'!I89),0))+IF((56='V06 Calend 01'!D89),'V06 Calend 01'!J89,0))</f>
        <v>0</v>
      </c>
      <c r="BQ89" s="2">
        <f>((IF((57='V06 Calend 01'!C89),('V06 Calend 01'!F89+'V06 Calend 01'!G89),0)+IF(AND(('V06 Calend 01'!E89&gt;0),(57&gt;'V06 Calend 01'!C89),(57&lt;'V06 Calend 01'!D89),(MOD((57-'V06 Calend 01'!C89),6)=0),(((57-'V06 Calend 01'!C89)/6)&lt;='V06 Calend 01'!E89)),IF((57=('V06 Calend 01'!C89+(6*'V06 Calend 01'!E89))),('V06 Calend 01'!H89-('V06 Calend 01'!I89*('V06 Calend 01'!E89-1))),'V06 Calend 01'!I89),0))+IF((57='V06 Calend 01'!D89),'V06 Calend 01'!J89,0))</f>
        <v>0</v>
      </c>
      <c r="BR89" s="2">
        <f>((IF((58='V06 Calend 01'!C89),('V06 Calend 01'!F89+'V06 Calend 01'!G89),0)+IF(AND(('V06 Calend 01'!E89&gt;0),(58&gt;'V06 Calend 01'!C89),(58&lt;'V06 Calend 01'!D89),(MOD((58-'V06 Calend 01'!C89),6)=0),(((58-'V06 Calend 01'!C89)/6)&lt;='V06 Calend 01'!E89)),IF((58=('V06 Calend 01'!C89+(6*'V06 Calend 01'!E89))),('V06 Calend 01'!H89-('V06 Calend 01'!I89*('V06 Calend 01'!E89-1))),'V06 Calend 01'!I89),0))+IF((58='V06 Calend 01'!D89),'V06 Calend 01'!J89,0))</f>
        <v>0</v>
      </c>
      <c r="BS89" s="2">
        <f>((IF((59='V06 Calend 01'!C89),('V06 Calend 01'!F89+'V06 Calend 01'!G89),0)+IF(AND(('V06 Calend 01'!E89&gt;0),(59&gt;'V06 Calend 01'!C89),(59&lt;'V06 Calend 01'!D89),(MOD((59-'V06 Calend 01'!C89),6)=0),(((59-'V06 Calend 01'!C89)/6)&lt;='V06 Calend 01'!E89)),IF((59=('V06 Calend 01'!C89+(6*'V06 Calend 01'!E89))),('V06 Calend 01'!H89-('V06 Calend 01'!I89*('V06 Calend 01'!E89-1))),'V06 Calend 01'!I89),0))+IF((59='V06 Calend 01'!D89),'V06 Calend 01'!J89,0))</f>
        <v>0</v>
      </c>
      <c r="BT89" s="2">
        <f>((IF((60='V06 Calend 01'!C89),('V06 Calend 01'!F89+'V06 Calend 01'!G89),0)+IF(AND(('V06 Calend 01'!E89&gt;0),(60&gt;'V06 Calend 01'!C89),(60&lt;'V06 Calend 01'!D89),(MOD((60-'V06 Calend 01'!C89),6)=0),(((60-'V06 Calend 01'!C89)/6)&lt;='V06 Calend 01'!E89)),IF((60=('V06 Calend 01'!C89+(6*'V06 Calend 01'!E89))),('V06 Calend 01'!H89-('V06 Calend 01'!I89*('V06 Calend 01'!E89-1))),'V06 Calend 01'!I89),0))+IF((60='V06 Calend 01'!D89),'V06 Calend 01'!J89,0))</f>
        <v>0</v>
      </c>
      <c r="BU89" s="2">
        <f>((IF((61='V06 Calend 01'!C89),('V06 Calend 01'!F89+'V06 Calend 01'!G89),0)+IF(AND(('V06 Calend 01'!E89&gt;0),(61&gt;'V06 Calend 01'!C89),(61&lt;'V06 Calend 01'!D89),(MOD((61-'V06 Calend 01'!C89),6)=0),(((61-'V06 Calend 01'!C89)/6)&lt;='V06 Calend 01'!E89)),IF((61=('V06 Calend 01'!C89+(6*'V06 Calend 01'!E89))),('V06 Calend 01'!H89-('V06 Calend 01'!I89*('V06 Calend 01'!E89-1))),'V06 Calend 01'!I89),0))+IF((61='V06 Calend 01'!D89),'V06 Calend 01'!J89,0))</f>
        <v>0</v>
      </c>
      <c r="BV89" s="2">
        <f>((IF((62='V06 Calend 01'!C89),('V06 Calend 01'!F89+'V06 Calend 01'!G89),0)+IF(AND(('V06 Calend 01'!E89&gt;0),(62&gt;'V06 Calend 01'!C89),(62&lt;'V06 Calend 01'!D89),(MOD((62-'V06 Calend 01'!C89),6)=0),(((62-'V06 Calend 01'!C89)/6)&lt;='V06 Calend 01'!E89)),IF((62=('V06 Calend 01'!C89+(6*'V06 Calend 01'!E89))),('V06 Calend 01'!H89-('V06 Calend 01'!I89*('V06 Calend 01'!E89-1))),'V06 Calend 01'!I89),0))+IF((62='V06 Calend 01'!D89),'V06 Calend 01'!J89,0))</f>
        <v>0</v>
      </c>
      <c r="BW89" s="2">
        <f>((IF((63='V06 Calend 01'!C89),('V06 Calend 01'!F89+'V06 Calend 01'!G89),0)+IF(AND(('V06 Calend 01'!E89&gt;0),(63&gt;'V06 Calend 01'!C89),(63&lt;'V06 Calend 01'!D89),(MOD((63-'V06 Calend 01'!C89),6)=0),(((63-'V06 Calend 01'!C89)/6)&lt;='V06 Calend 01'!E89)),IF((63=('V06 Calend 01'!C89+(6*'V06 Calend 01'!E89))),('V06 Calend 01'!H89-('V06 Calend 01'!I89*('V06 Calend 01'!E89-1))),'V06 Calend 01'!I89),0))+IF((63='V06 Calend 01'!D89),'V06 Calend 01'!J89,0))</f>
        <v>0</v>
      </c>
      <c r="BX89" s="2">
        <f>((IF((64='V06 Calend 01'!C89),('V06 Calend 01'!F89+'V06 Calend 01'!G89),0)+IF(AND(('V06 Calend 01'!E89&gt;0),(64&gt;'V06 Calend 01'!C89),(64&lt;'V06 Calend 01'!D89),(MOD((64-'V06 Calend 01'!C89),6)=0),(((64-'V06 Calend 01'!C89)/6)&lt;='V06 Calend 01'!E89)),IF((64=('V06 Calend 01'!C89+(6*'V06 Calend 01'!E89))),('V06 Calend 01'!H89-('V06 Calend 01'!I89*('V06 Calend 01'!E89-1))),'V06 Calend 01'!I89),0))+IF((64='V06 Calend 01'!D89),'V06 Calend 01'!J89,0))</f>
        <v>0</v>
      </c>
      <c r="BY89" s="2">
        <f>((IF((65='V06 Calend 01'!C89),('V06 Calend 01'!F89+'V06 Calend 01'!G89),0)+IF(AND(('V06 Calend 01'!E89&gt;0),(65&gt;'V06 Calend 01'!C89),(65&lt;'V06 Calend 01'!D89),(MOD((65-'V06 Calend 01'!C89),6)=0),(((65-'V06 Calend 01'!C89)/6)&lt;='V06 Calend 01'!E89)),IF((65=('V06 Calend 01'!C89+(6*'V06 Calend 01'!E89))),('V06 Calend 01'!H89-('V06 Calend 01'!I89*('V06 Calend 01'!E89-1))),'V06 Calend 01'!I89),0))+IF((65='V06 Calend 01'!D89),'V06 Calend 01'!J89,0))</f>
        <v>0</v>
      </c>
      <c r="BZ89" s="2">
        <f>((IF((66='V06 Calend 01'!C89),('V06 Calend 01'!F89+'V06 Calend 01'!G89),0)+IF(AND(('V06 Calend 01'!E89&gt;0),(66&gt;'V06 Calend 01'!C89),(66&lt;'V06 Calend 01'!D89),(MOD((66-'V06 Calend 01'!C89),6)=0),(((66-'V06 Calend 01'!C89)/6)&lt;='V06 Calend 01'!E89)),IF((66=('V06 Calend 01'!C89+(6*'V06 Calend 01'!E89))),('V06 Calend 01'!H89-('V06 Calend 01'!I89*('V06 Calend 01'!E89-1))),'V06 Calend 01'!I89),0))+IF((66='V06 Calend 01'!D89),'V06 Calend 01'!J89,0))</f>
        <v>0</v>
      </c>
      <c r="CA89" s="2">
        <f>((IF((67='V06 Calend 01'!C89),('V06 Calend 01'!F89+'V06 Calend 01'!G89),0)+IF(AND(('V06 Calend 01'!E89&gt;0),(67&gt;'V06 Calend 01'!C89),(67&lt;'V06 Calend 01'!D89),(MOD((67-'V06 Calend 01'!C89),6)=0),(((67-'V06 Calend 01'!C89)/6)&lt;='V06 Calend 01'!E89)),IF((67=('V06 Calend 01'!C89+(6*'V06 Calend 01'!E89))),('V06 Calend 01'!H89-('V06 Calend 01'!I89*('V06 Calend 01'!E89-1))),'V06 Calend 01'!I89),0))+IF((67='V06 Calend 01'!D89),'V06 Calend 01'!J89,0))</f>
        <v>0</v>
      </c>
      <c r="CB89" s="2">
        <f>((IF((68='V06 Calend 01'!C89),('V06 Calend 01'!F89+'V06 Calend 01'!G89),0)+IF(AND(('V06 Calend 01'!E89&gt;0),(68&gt;'V06 Calend 01'!C89),(68&lt;'V06 Calend 01'!D89),(MOD((68-'V06 Calend 01'!C89),6)=0),(((68-'V06 Calend 01'!C89)/6)&lt;='V06 Calend 01'!E89)),IF((68=('V06 Calend 01'!C89+(6*'V06 Calend 01'!E89))),('V06 Calend 01'!H89-('V06 Calend 01'!I89*('V06 Calend 01'!E89-1))),'V06 Calend 01'!I89),0))+IF((68='V06 Calend 01'!D89),'V06 Calend 01'!J89,0))</f>
        <v>0</v>
      </c>
      <c r="CC89" s="2">
        <f>((IF((69='V06 Calend 01'!C89),('V06 Calend 01'!F89+'V06 Calend 01'!G89),0)+IF(AND(('V06 Calend 01'!E89&gt;0),(69&gt;'V06 Calend 01'!C89),(69&lt;'V06 Calend 01'!D89),(MOD((69-'V06 Calend 01'!C89),6)=0),(((69-'V06 Calend 01'!C89)/6)&lt;='V06 Calend 01'!E89)),IF((69=('V06 Calend 01'!C89+(6*'V06 Calend 01'!E89))),('V06 Calend 01'!H89-('V06 Calend 01'!I89*('V06 Calend 01'!E89-1))),'V06 Calend 01'!I89),0))+IF((69='V06 Calend 01'!D89),'V06 Calend 01'!J89,0))</f>
        <v>0</v>
      </c>
      <c r="CD89" s="2">
        <f>((IF((70='V06 Calend 01'!C89),('V06 Calend 01'!F89+'V06 Calend 01'!G89),0)+IF(AND(('V06 Calend 01'!E89&gt;0),(70&gt;'V06 Calend 01'!C89),(70&lt;'V06 Calend 01'!D89),(MOD((70-'V06 Calend 01'!C89),6)=0),(((70-'V06 Calend 01'!C89)/6)&lt;='V06 Calend 01'!E89)),IF((70=('V06 Calend 01'!C89+(6*'V06 Calend 01'!E89))),('V06 Calend 01'!H89-('V06 Calend 01'!I89*('V06 Calend 01'!E89-1))),'V06 Calend 01'!I89),0))+IF((70='V06 Calend 01'!D89),'V06 Calend 01'!J89,0))</f>
        <v>0</v>
      </c>
      <c r="CE89" s="2">
        <f>((IF((71='V06 Calend 01'!C89),('V06 Calend 01'!F89+'V06 Calend 01'!G89),0)+IF(AND(('V06 Calend 01'!E89&gt;0),(71&gt;'V06 Calend 01'!C89),(71&lt;'V06 Calend 01'!D89),(MOD((71-'V06 Calend 01'!C89),6)=0),(((71-'V06 Calend 01'!C89)/6)&lt;='V06 Calend 01'!E89)),IF((71=('V06 Calend 01'!C89+(6*'V06 Calend 01'!E89))),('V06 Calend 01'!H89-('V06 Calend 01'!I89*('V06 Calend 01'!E89-1))),'V06 Calend 01'!I89),0))+IF((71='V06 Calend 01'!D89),'V06 Calend 01'!J89,0))</f>
        <v>0</v>
      </c>
      <c r="CF89" s="2">
        <f>((IF((72='V06 Calend 01'!C89),('V06 Calend 01'!F89+'V06 Calend 01'!G89),0)+IF(AND(('V06 Calend 01'!E89&gt;0),(72&gt;'V06 Calend 01'!C89),(72&lt;'V06 Calend 01'!D89),(MOD((72-'V06 Calend 01'!C89),6)=0),(((72-'V06 Calend 01'!C89)/6)&lt;='V06 Calend 01'!E89)),IF((72=('V06 Calend 01'!C89+(6*'V06 Calend 01'!E89))),('V06 Calend 01'!H89-('V06 Calend 01'!I89*('V06 Calend 01'!E89-1))),'V06 Calend 01'!I89),0))+IF((72='V06 Calend 01'!D89),'V06 Calend 01'!J89,0))</f>
        <v>0</v>
      </c>
      <c r="CG89" s="2">
        <f>((IF((73='V06 Calend 01'!C89),('V06 Calend 01'!F89+'V06 Calend 01'!G89),0)+IF(AND(('V06 Calend 01'!E89&gt;0),(73&gt;'V06 Calend 01'!C89),(73&lt;'V06 Calend 01'!D89),(MOD((73-'V06 Calend 01'!C89),6)=0),(((73-'V06 Calend 01'!C89)/6)&lt;='V06 Calend 01'!E89)),IF((73=('V06 Calend 01'!C89+(6*'V06 Calend 01'!E89))),('V06 Calend 01'!H89-('V06 Calend 01'!I89*('V06 Calend 01'!E89-1))),'V06 Calend 01'!I89),0))+IF((73='V06 Calend 01'!D89),'V06 Calend 01'!J89,0))</f>
        <v>0</v>
      </c>
      <c r="CH89" s="2">
        <f>((IF((74='V06 Calend 01'!C89),('V06 Calend 01'!F89+'V06 Calend 01'!G89),0)+IF(AND(('V06 Calend 01'!E89&gt;0),(74&gt;'V06 Calend 01'!C89),(74&lt;'V06 Calend 01'!D89),(MOD((74-'V06 Calend 01'!C89),6)=0),(((74-'V06 Calend 01'!C89)/6)&lt;='V06 Calend 01'!E89)),IF((74=('V06 Calend 01'!C89+(6*'V06 Calend 01'!E89))),('V06 Calend 01'!H89-('V06 Calend 01'!I89*('V06 Calend 01'!E89-1))),'V06 Calend 01'!I89),0))+IF((74='V06 Calend 01'!D89),'V06 Calend 01'!J89,0))</f>
        <v>0</v>
      </c>
      <c r="CI89" s="2">
        <f>((IF((75='V06 Calend 01'!C89),('V06 Calend 01'!F89+'V06 Calend 01'!G89),0)+IF(AND(('V06 Calend 01'!E89&gt;0),(75&gt;'V06 Calend 01'!C89),(75&lt;'V06 Calend 01'!D89),(MOD((75-'V06 Calend 01'!C89),6)=0),(((75-'V06 Calend 01'!C89)/6)&lt;='V06 Calend 01'!E89)),IF((75=('V06 Calend 01'!C89+(6*'V06 Calend 01'!E89))),('V06 Calend 01'!H89-('V06 Calend 01'!I89*('V06 Calend 01'!E89-1))),'V06 Calend 01'!I89),0))+IF((75='V06 Calend 01'!D89),'V06 Calend 01'!J89,0))</f>
        <v>0</v>
      </c>
      <c r="CJ89" s="2">
        <f>((IF((76='V06 Calend 01'!C89),('V06 Calend 01'!F89+'V06 Calend 01'!G89),0)+IF(AND(('V06 Calend 01'!E89&gt;0),(76&gt;'V06 Calend 01'!C89),(76&lt;'V06 Calend 01'!D89),(MOD((76-'V06 Calend 01'!C89),6)=0),(((76-'V06 Calend 01'!C89)/6)&lt;='V06 Calend 01'!E89)),IF((76=('V06 Calend 01'!C89+(6*'V06 Calend 01'!E89))),('V06 Calend 01'!H89-('V06 Calend 01'!I89*('V06 Calend 01'!E89-1))),'V06 Calend 01'!I89),0))+IF((76='V06 Calend 01'!D89),'V06 Calend 01'!J89,0))</f>
        <v>0</v>
      </c>
      <c r="CK89" s="2">
        <f>((IF((77='V06 Calend 01'!C89),('V06 Calend 01'!F89+'V06 Calend 01'!G89),0)+IF(AND(('V06 Calend 01'!E89&gt;0),(77&gt;'V06 Calend 01'!C89),(77&lt;'V06 Calend 01'!D89),(MOD((77-'V06 Calend 01'!C89),6)=0),(((77-'V06 Calend 01'!C89)/6)&lt;='V06 Calend 01'!E89)),IF((77=('V06 Calend 01'!C89+(6*'V06 Calend 01'!E89))),('V06 Calend 01'!H89-('V06 Calend 01'!I89*('V06 Calend 01'!E89-1))),'V06 Calend 01'!I89),0))+IF((77='V06 Calend 01'!D89),'V06 Calend 01'!J89,0))</f>
        <v>0</v>
      </c>
      <c r="CL89" s="2">
        <f>((IF((78='V06 Calend 01'!C89),('V06 Calend 01'!F89+'V06 Calend 01'!G89),0)+IF(AND(('V06 Calend 01'!E89&gt;0),(78&gt;'V06 Calend 01'!C89),(78&lt;'V06 Calend 01'!D89),(MOD((78-'V06 Calend 01'!C89),6)=0),(((78-'V06 Calend 01'!C89)/6)&lt;='V06 Calend 01'!E89)),IF((78=('V06 Calend 01'!C89+(6*'V06 Calend 01'!E89))),('V06 Calend 01'!H89-('V06 Calend 01'!I89*('V06 Calend 01'!E89-1))),'V06 Calend 01'!I89),0))+IF((78='V06 Calend 01'!D89),'V06 Calend 01'!J89,0))</f>
        <v>0</v>
      </c>
      <c r="CM89" s="2">
        <f>((IF((79='V06 Calend 01'!C89),('V06 Calend 01'!F89+'V06 Calend 01'!G89),0)+IF(AND(('V06 Calend 01'!E89&gt;0),(79&gt;'V06 Calend 01'!C89),(79&lt;'V06 Calend 01'!D89),(MOD((79-'V06 Calend 01'!C89),6)=0),(((79-'V06 Calend 01'!C89)/6)&lt;='V06 Calend 01'!E89)),IF((79=('V06 Calend 01'!C89+(6*'V06 Calend 01'!E89))),('V06 Calend 01'!H89-('V06 Calend 01'!I89*('V06 Calend 01'!E89-1))),'V06 Calend 01'!I89),0))+IF((79='V06 Calend 01'!D89),'V06 Calend 01'!J89,0))</f>
        <v>0</v>
      </c>
      <c r="CN89" s="2">
        <f>((IF((80='V06 Calend 01'!C89),('V06 Calend 01'!F89+'V06 Calend 01'!G89),0)+IF(AND(('V06 Calend 01'!E89&gt;0),(80&gt;'V06 Calend 01'!C89),(80&lt;'V06 Calend 01'!D89),(MOD((80-'V06 Calend 01'!C89),6)=0),(((80-'V06 Calend 01'!C89)/6)&lt;='V06 Calend 01'!E89)),IF((80=('V06 Calend 01'!C89+(6*'V06 Calend 01'!E89))),('V06 Calend 01'!H89-('V06 Calend 01'!I89*('V06 Calend 01'!E89-1))),'V06 Calend 01'!I89),0))+IF((80='V06 Calend 01'!D89),'V06 Calend 01'!J89,0))</f>
        <v>0</v>
      </c>
      <c r="CO89" s="2">
        <f>((IF((81='V06 Calend 01'!C89),('V06 Calend 01'!F89+'V06 Calend 01'!G89),0)+IF(AND(('V06 Calend 01'!E89&gt;0),(81&gt;'V06 Calend 01'!C89),(81&lt;'V06 Calend 01'!D89),(MOD((81-'V06 Calend 01'!C89),6)=0),(((81-'V06 Calend 01'!C89)/6)&lt;='V06 Calend 01'!E89)),IF((81=('V06 Calend 01'!C89+(6*'V06 Calend 01'!E89))),('V06 Calend 01'!H89-('V06 Calend 01'!I89*('V06 Calend 01'!E89-1))),'V06 Calend 01'!I89),0))+IF((81='V06 Calend 01'!D89),'V06 Calend 01'!J89,0))</f>
        <v>0</v>
      </c>
      <c r="CP89" s="2">
        <f>((IF((82='V06 Calend 01'!C89),('V06 Calend 01'!F89+'V06 Calend 01'!G89),0)+IF(AND(('V06 Calend 01'!E89&gt;0),(82&gt;'V06 Calend 01'!C89),(82&lt;'V06 Calend 01'!D89),(MOD((82-'V06 Calend 01'!C89),6)=0),(((82-'V06 Calend 01'!C89)/6)&lt;='V06 Calend 01'!E89)),IF((82=('V06 Calend 01'!C89+(6*'V06 Calend 01'!E89))),('V06 Calend 01'!H89-('V06 Calend 01'!I89*('V06 Calend 01'!E89-1))),'V06 Calend 01'!I89),0))+IF((82='V06 Calend 01'!D89),'V06 Calend 01'!J89,0))</f>
        <v>0</v>
      </c>
      <c r="CQ89" s="2">
        <f>((IF((83='V06 Calend 01'!C89),('V06 Calend 01'!F89+'V06 Calend 01'!G89),0)+IF(AND(('V06 Calend 01'!E89&gt;0),(83&gt;'V06 Calend 01'!C89),(83&lt;'V06 Calend 01'!D89),(MOD((83-'V06 Calend 01'!C89),6)=0),(((83-'V06 Calend 01'!C89)/6)&lt;='V06 Calend 01'!E89)),IF((83=('V06 Calend 01'!C89+(6*'V06 Calend 01'!E89))),('V06 Calend 01'!H89-('V06 Calend 01'!I89*('V06 Calend 01'!E89-1))),'V06 Calend 01'!I89),0))+IF((83='V06 Calend 01'!D89),'V06 Calend 01'!J89,0))</f>
        <v>0</v>
      </c>
      <c r="CR89" s="2">
        <f>((IF((84='V06 Calend 01'!C89),('V06 Calend 01'!F89+'V06 Calend 01'!G89),0)+IF(AND(('V06 Calend 01'!E89&gt;0),(84&gt;'V06 Calend 01'!C89),(84&lt;'V06 Calend 01'!D89),(MOD((84-'V06 Calend 01'!C89),6)=0),(((84-'V06 Calend 01'!C89)/6)&lt;='V06 Calend 01'!E89)),IF((84=('V06 Calend 01'!C89+(6*'V06 Calend 01'!E89))),('V06 Calend 01'!H89-('V06 Calend 01'!I89*('V06 Calend 01'!E89-1))),'V06 Calend 01'!I89),0))+IF((84='V06 Calend 01'!D89),'V06 Calend 01'!J89,0))</f>
        <v>0</v>
      </c>
      <c r="CS89" s="2">
        <f>((IF((85='V06 Calend 01'!C89),('V06 Calend 01'!F89+'V06 Calend 01'!G89),0)+IF(AND(('V06 Calend 01'!E89&gt;0),(85&gt;'V06 Calend 01'!C89),(85&lt;'V06 Calend 01'!D89),(MOD((85-'V06 Calend 01'!C89),6)=0),(((85-'V06 Calend 01'!C89)/6)&lt;='V06 Calend 01'!E89)),IF((85=('V06 Calend 01'!C89+(6*'V06 Calend 01'!E89))),('V06 Calend 01'!H89-('V06 Calend 01'!I89*('V06 Calend 01'!E89-1))),'V06 Calend 01'!I89),0))+IF((85='V06 Calend 01'!D89),'V06 Calend 01'!J89,0))</f>
        <v>0</v>
      </c>
      <c r="CT89" s="2">
        <f>((IF((86='V06 Calend 01'!C89),('V06 Calend 01'!F89+'V06 Calend 01'!G89),0)+IF(AND(('V06 Calend 01'!E89&gt;0),(86&gt;'V06 Calend 01'!C89),(86&lt;'V06 Calend 01'!D89),(MOD((86-'V06 Calend 01'!C89),6)=0),(((86-'V06 Calend 01'!C89)/6)&lt;='V06 Calend 01'!E89)),IF((86=('V06 Calend 01'!C89+(6*'V06 Calend 01'!E89))),('V06 Calend 01'!H89-('V06 Calend 01'!I89*('V06 Calend 01'!E89-1))),'V06 Calend 01'!I89),0))+IF((86='V06 Calend 01'!D89),'V06 Calend 01'!J89,0))</f>
        <v>0</v>
      </c>
      <c r="CU89" s="2">
        <f>((IF((87='V06 Calend 01'!C89),('V06 Calend 01'!F89+'V06 Calend 01'!G89),0)+IF(AND(('V06 Calend 01'!E89&gt;0),(87&gt;'V06 Calend 01'!C89),(87&lt;'V06 Calend 01'!D89),(MOD((87-'V06 Calend 01'!C89),6)=0),(((87-'V06 Calend 01'!C89)/6)&lt;='V06 Calend 01'!E89)),IF((87=('V06 Calend 01'!C89+(6*'V06 Calend 01'!E89))),('V06 Calend 01'!H89-('V06 Calend 01'!I89*('V06 Calend 01'!E89-1))),'V06 Calend 01'!I89),0))+IF((87='V06 Calend 01'!D89),'V06 Calend 01'!J89,0))</f>
        <v>0</v>
      </c>
      <c r="CV89" s="2">
        <f>((IF((88='V06 Calend 01'!C89),('V06 Calend 01'!F89+'V06 Calend 01'!G89),0)+IF(AND(('V06 Calend 01'!E89&gt;0),(88&gt;'V06 Calend 01'!C89),(88&lt;'V06 Calend 01'!D89),(MOD((88-'V06 Calend 01'!C89),6)=0),(((88-'V06 Calend 01'!C89)/6)&lt;='V06 Calend 01'!E89)),IF((88=('V06 Calend 01'!C89+(6*'V06 Calend 01'!E89))),('V06 Calend 01'!H89-('V06 Calend 01'!I89*('V06 Calend 01'!E89-1))),'V06 Calend 01'!I89),0))+IF((88='V06 Calend 01'!D89),'V06 Calend 01'!J89,0))</f>
        <v>0</v>
      </c>
      <c r="CW89" s="2">
        <f>((IF((89='V06 Calend 01'!C89),('V06 Calend 01'!F89+'V06 Calend 01'!G89),0)+IF(AND(('V06 Calend 01'!E89&gt;0),(89&gt;'V06 Calend 01'!C89),(89&lt;'V06 Calend 01'!D89),(MOD((89-'V06 Calend 01'!C89),6)=0),(((89-'V06 Calend 01'!C89)/6)&lt;='V06 Calend 01'!E89)),IF((89=('V06 Calend 01'!C89+(6*'V06 Calend 01'!E89))),('V06 Calend 01'!H89-('V06 Calend 01'!I89*('V06 Calend 01'!E89-1))),'V06 Calend 01'!I89),0))+IF((89='V06 Calend 01'!D89),'V06 Calend 01'!J89,0))</f>
        <v>0</v>
      </c>
      <c r="CX89" s="2">
        <f>((IF((90='V06 Calend 01'!C89),('V06 Calend 01'!F89+'V06 Calend 01'!G89),0)+IF(AND(('V06 Calend 01'!E89&gt;0),(90&gt;'V06 Calend 01'!C89),(90&lt;'V06 Calend 01'!D89),(MOD((90-'V06 Calend 01'!C89),6)=0),(((90-'V06 Calend 01'!C89)/6)&lt;='V06 Calend 01'!E89)),IF((90=('V06 Calend 01'!C89+(6*'V06 Calend 01'!E89))),('V06 Calend 01'!H89-('V06 Calend 01'!I89*('V06 Calend 01'!E89-1))),'V06 Calend 01'!I89),0))+IF((90='V06 Calend 01'!D89),'V06 Calend 01'!J89,0))</f>
        <v>0</v>
      </c>
      <c r="CY89" s="2">
        <f>((IF((91='V06 Calend 01'!C89),('V06 Calend 01'!F89+'V06 Calend 01'!G89),0)+IF(AND(('V06 Calend 01'!E89&gt;0),(91&gt;'V06 Calend 01'!C89),(91&lt;'V06 Calend 01'!D89),(MOD((91-'V06 Calend 01'!C89),6)=0),(((91-'V06 Calend 01'!C89)/6)&lt;='V06 Calend 01'!E89)),IF((91=('V06 Calend 01'!C89+(6*'V06 Calend 01'!E89))),('V06 Calend 01'!H89-('V06 Calend 01'!I89*('V06 Calend 01'!E89-1))),'V06 Calend 01'!I89),0))+IF((91='V06 Calend 01'!D89),'V06 Calend 01'!J89,0))</f>
        <v>0</v>
      </c>
      <c r="CZ89" s="2">
        <f>((IF((92='V06 Calend 01'!C89),('V06 Calend 01'!F89+'V06 Calend 01'!G89),0)+IF(AND(('V06 Calend 01'!E89&gt;0),(92&gt;'V06 Calend 01'!C89),(92&lt;'V06 Calend 01'!D89),(MOD((92-'V06 Calend 01'!C89),6)=0),(((92-'V06 Calend 01'!C89)/6)&lt;='V06 Calend 01'!E89)),IF((92=('V06 Calend 01'!C89+(6*'V06 Calend 01'!E89))),('V06 Calend 01'!H89-('V06 Calend 01'!I89*('V06 Calend 01'!E89-1))),'V06 Calend 01'!I89),0))+IF((92='V06 Calend 01'!D89),'V06 Calend 01'!J89,0))</f>
        <v>0</v>
      </c>
      <c r="DA89" s="2">
        <f>((IF((93='V06 Calend 01'!C89),('V06 Calend 01'!F89+'V06 Calend 01'!G89),0)+IF(AND(('V06 Calend 01'!E89&gt;0),(93&gt;'V06 Calend 01'!C89),(93&lt;'V06 Calend 01'!D89),(MOD((93-'V06 Calend 01'!C89),6)=0),(((93-'V06 Calend 01'!C89)/6)&lt;='V06 Calend 01'!E89)),IF((93=('V06 Calend 01'!C89+(6*'V06 Calend 01'!E89))),('V06 Calend 01'!H89-('V06 Calend 01'!I89*('V06 Calend 01'!E89-1))),'V06 Calend 01'!I89),0))+IF((93='V06 Calend 01'!D89),'V06 Calend 01'!J89,0))</f>
        <v>0</v>
      </c>
      <c r="DB89" s="2">
        <f>((IF((94='V06 Calend 01'!C89),('V06 Calend 01'!F89+'V06 Calend 01'!G89),0)+IF(AND(('V06 Calend 01'!E89&gt;0),(94&gt;'V06 Calend 01'!C89),(94&lt;'V06 Calend 01'!D89),(MOD((94-'V06 Calend 01'!C89),6)=0),(((94-'V06 Calend 01'!C89)/6)&lt;='V06 Calend 01'!E89)),IF((94=('V06 Calend 01'!C89+(6*'V06 Calend 01'!E89))),('V06 Calend 01'!H89-('V06 Calend 01'!I89*('V06 Calend 01'!E89-1))),'V06 Calend 01'!I89),0))+IF((94='V06 Calend 01'!D89),'V06 Calend 01'!J89,0))</f>
        <v>0</v>
      </c>
      <c r="DC89" s="2">
        <f>((IF((95='V06 Calend 01'!C89),('V06 Calend 01'!F89+'V06 Calend 01'!G89),0)+IF(AND(('V06 Calend 01'!E89&gt;0),(95&gt;'V06 Calend 01'!C89),(95&lt;'V06 Calend 01'!D89),(MOD((95-'V06 Calend 01'!C89),6)=0),(((95-'V06 Calend 01'!C89)/6)&lt;='V06 Calend 01'!E89)),IF((95=('V06 Calend 01'!C89+(6*'V06 Calend 01'!E89))),('V06 Calend 01'!H89-('V06 Calend 01'!I89*('V06 Calend 01'!E89-1))),'V06 Calend 01'!I89),0))+IF((95='V06 Calend 01'!D89),'V06 Calend 01'!J89,0))</f>
        <v>0</v>
      </c>
      <c r="DD89" s="2">
        <f>((IF((96='V06 Calend 01'!C89),('V06 Calend 01'!F89+'V06 Calend 01'!G89),0)+IF(AND(('V06 Calend 01'!E89&gt;0),(96&gt;'V06 Calend 01'!C89),(96&lt;'V06 Calend 01'!D89),(MOD((96-'V06 Calend 01'!C89),6)=0),(((96-'V06 Calend 01'!C89)/6)&lt;='V06 Calend 01'!E89)),IF((96=('V06 Calend 01'!C89+(6*'V06 Calend 01'!E89))),('V06 Calend 01'!H89-('V06 Calend 01'!I89*('V06 Calend 01'!E89-1))),'V06 Calend 01'!I89),0))+IF((96='V06 Calend 01'!D89),'V06 Calend 01'!J89,0))</f>
        <v>0</v>
      </c>
      <c r="DE89" s="2">
        <f>((IF((97='V06 Calend 01'!C89),('V06 Calend 01'!F89+'V06 Calend 01'!G89),0)+IF(AND(('V06 Calend 01'!E89&gt;0),(97&gt;'V06 Calend 01'!C89),(97&lt;'V06 Calend 01'!D89),(MOD((97-'V06 Calend 01'!C89),6)=0),(((97-'V06 Calend 01'!C89)/6)&lt;='V06 Calend 01'!E89)),IF((97=('V06 Calend 01'!C89+(6*'V06 Calend 01'!E89))),('V06 Calend 01'!H89-('V06 Calend 01'!I89*('V06 Calend 01'!E89-1))),'V06 Calend 01'!I89),0))+IF((97='V06 Calend 01'!D89),'V06 Calend 01'!J89,0))</f>
        <v>0</v>
      </c>
      <c r="DF89" s="2">
        <f>((IF((98='V06 Calend 01'!C89),('V06 Calend 01'!F89+'V06 Calend 01'!G89),0)+IF(AND(('V06 Calend 01'!E89&gt;0),(98&gt;'V06 Calend 01'!C89),(98&lt;'V06 Calend 01'!D89),(MOD((98-'V06 Calend 01'!C89),6)=0),(((98-'V06 Calend 01'!C89)/6)&lt;='V06 Calend 01'!E89)),IF((98=('V06 Calend 01'!C89+(6*'V06 Calend 01'!E89))),('V06 Calend 01'!H89-('V06 Calend 01'!I89*('V06 Calend 01'!E89-1))),'V06 Calend 01'!I89),0))+IF((98='V06 Calend 01'!D89),'V06 Calend 01'!J89,0))</f>
        <v>0</v>
      </c>
      <c r="DG89" s="2">
        <f>((IF((99='V06 Calend 01'!C89),('V06 Calend 01'!F89+'V06 Calend 01'!G89),0)+IF(AND(('V06 Calend 01'!E89&gt;0),(99&gt;'V06 Calend 01'!C89),(99&lt;'V06 Calend 01'!D89),(MOD((99-'V06 Calend 01'!C89),6)=0),(((99-'V06 Calend 01'!C89)/6)&lt;='V06 Calend 01'!E89)),IF((99=('V06 Calend 01'!C89+(6*'V06 Calend 01'!E89))),('V06 Calend 01'!H89-('V06 Calend 01'!I89*('V06 Calend 01'!E89-1))),'V06 Calend 01'!I89),0))+IF((99='V06 Calend 01'!D89),'V06 Calend 01'!J89,0))</f>
        <v>0</v>
      </c>
      <c r="DH89" s="2">
        <f>((IF((100='V06 Calend 01'!C89),('V06 Calend 01'!F89+'V06 Calend 01'!G89),0)+IF(AND(('V06 Calend 01'!E89&gt;0),(100&gt;'V06 Calend 01'!C89),(100&lt;'V06 Calend 01'!D89),(MOD((100-'V06 Calend 01'!C89),6)=0),(((100-'V06 Calend 01'!C89)/6)&lt;='V06 Calend 01'!E89)),IF((100=('V06 Calend 01'!C89+(6*'V06 Calend 01'!E89))),('V06 Calend 01'!H89-('V06 Calend 01'!I89*('V06 Calend 01'!E89-1))),'V06 Calend 01'!I89),0))+IF((100='V06 Calend 01'!D89),'V06 Calend 01'!J89,0))</f>
        <v>0</v>
      </c>
      <c r="DI89" s="2">
        <f>((IF((101='V06 Calend 01'!C89),('V06 Calend 01'!F89+'V06 Calend 01'!G89),0)+IF(AND(('V06 Calend 01'!E89&gt;0),(101&gt;'V06 Calend 01'!C89),(101&lt;'V06 Calend 01'!D89),(MOD((101-'V06 Calend 01'!C89),6)=0),(((101-'V06 Calend 01'!C89)/6)&lt;='V06 Calend 01'!E89)),IF((101=('V06 Calend 01'!C89+(6*'V06 Calend 01'!E89))),('V06 Calend 01'!H89-('V06 Calend 01'!I89*('V06 Calend 01'!E89-1))),'V06 Calend 01'!I89),0))+IF((101='V06 Calend 01'!D89),'V06 Calend 01'!J89,0))</f>
        <v>0</v>
      </c>
      <c r="DJ89" s="2">
        <f>((IF((102='V06 Calend 01'!C89),('V06 Calend 01'!F89+'V06 Calend 01'!G89),0)+IF(AND(('V06 Calend 01'!E89&gt;0),(102&gt;'V06 Calend 01'!C89),(102&lt;'V06 Calend 01'!D89),(MOD((102-'V06 Calend 01'!C89),6)=0),(((102-'V06 Calend 01'!C89)/6)&lt;='V06 Calend 01'!E89)),IF((102=('V06 Calend 01'!C89+(6*'V06 Calend 01'!E89))),('V06 Calend 01'!H89-('V06 Calend 01'!I89*('V06 Calend 01'!E89-1))),'V06 Calend 01'!I89),0))+IF((102='V06 Calend 01'!D89),'V06 Calend 01'!J89,0))</f>
        <v>0</v>
      </c>
      <c r="DK89" s="2">
        <f>((IF((103='V06 Calend 01'!C89),('V06 Calend 01'!F89+'V06 Calend 01'!G89),0)+IF(AND(('V06 Calend 01'!E89&gt;0),(103&gt;'V06 Calend 01'!C89),(103&lt;'V06 Calend 01'!D89),(MOD((103-'V06 Calend 01'!C89),6)=0),(((103-'V06 Calend 01'!C89)/6)&lt;='V06 Calend 01'!E89)),IF((103=('V06 Calend 01'!C89+(6*'V06 Calend 01'!E89))),('V06 Calend 01'!H89-('V06 Calend 01'!I89*('V06 Calend 01'!E89-1))),'V06 Calend 01'!I89),0))+IF((103='V06 Calend 01'!D89),'V06 Calend 01'!J89,0))</f>
        <v>0</v>
      </c>
      <c r="DL89" s="2">
        <f>((IF((104='V06 Calend 01'!C89),('V06 Calend 01'!F89+'V06 Calend 01'!G89),0)+IF(AND(('V06 Calend 01'!E89&gt;0),(104&gt;'V06 Calend 01'!C89),(104&lt;'V06 Calend 01'!D89),(MOD((104-'V06 Calend 01'!C89),6)=0),(((104-'V06 Calend 01'!C89)/6)&lt;='V06 Calend 01'!E89)),IF((104=('V06 Calend 01'!C89+(6*'V06 Calend 01'!E89))),('V06 Calend 01'!H89-('V06 Calend 01'!I89*('V06 Calend 01'!E89-1))),'V06 Calend 01'!I89),0))+IF((104='V06 Calend 01'!D89),'V06 Calend 01'!J89,0))</f>
        <v>0</v>
      </c>
      <c r="DM89" s="2">
        <f>((IF((105='V06 Calend 01'!C89),('V06 Calend 01'!F89+'V06 Calend 01'!G89),0)+IF(AND(('V06 Calend 01'!E89&gt;0),(105&gt;'V06 Calend 01'!C89),(105&lt;'V06 Calend 01'!D89),(MOD((105-'V06 Calend 01'!C89),6)=0),(((105-'V06 Calend 01'!C89)/6)&lt;='V06 Calend 01'!E89)),IF((105=('V06 Calend 01'!C89+(6*'V06 Calend 01'!E89))),('V06 Calend 01'!H89-('V06 Calend 01'!I89*('V06 Calend 01'!E89-1))),'V06 Calend 01'!I89),0))+IF((105='V06 Calend 01'!D89),'V06 Calend 01'!J89,0))</f>
        <v>0</v>
      </c>
      <c r="DN89" s="2">
        <f>((IF((106='V06 Calend 01'!C89),('V06 Calend 01'!F89+'V06 Calend 01'!G89),0)+IF(AND(('V06 Calend 01'!E89&gt;0),(106&gt;'V06 Calend 01'!C89),(106&lt;'V06 Calend 01'!D89),(MOD((106-'V06 Calend 01'!C89),6)=0),(((106-'V06 Calend 01'!C89)/6)&lt;='V06 Calend 01'!E89)),IF((106=('V06 Calend 01'!C89+(6*'V06 Calend 01'!E89))),('V06 Calend 01'!H89-('V06 Calend 01'!I89*('V06 Calend 01'!E89-1))),'V06 Calend 01'!I89),0))+IF((106='V06 Calend 01'!D89),'V06 Calend 01'!J89,0))</f>
        <v>0</v>
      </c>
      <c r="DO89" s="2">
        <f>((IF((107='V06 Calend 01'!C89),('V06 Calend 01'!F89+'V06 Calend 01'!G89),0)+IF(AND(('V06 Calend 01'!E89&gt;0),(107&gt;'V06 Calend 01'!C89),(107&lt;'V06 Calend 01'!D89),(MOD((107-'V06 Calend 01'!C89),6)=0),(((107-'V06 Calend 01'!C89)/6)&lt;='V06 Calend 01'!E89)),IF((107=('V06 Calend 01'!C89+(6*'V06 Calend 01'!E89))),('V06 Calend 01'!H89-('V06 Calend 01'!I89*('V06 Calend 01'!E89-1))),'V06 Calend 01'!I89),0))+IF((107='V06 Calend 01'!D89),'V06 Calend 01'!J89,0))</f>
        <v>0</v>
      </c>
      <c r="DP89" s="2">
        <f>((IF((108='V06 Calend 01'!C89),('V06 Calend 01'!F89+'V06 Calend 01'!G89),0)+IF(AND(('V06 Calend 01'!E89&gt;0),(108&gt;'V06 Calend 01'!C89),(108&lt;'V06 Calend 01'!D89),(MOD((108-'V06 Calend 01'!C89),6)=0),(((108-'V06 Calend 01'!C89)/6)&lt;='V06 Calend 01'!E89)),IF((108=('V06 Calend 01'!C89+(6*'V06 Calend 01'!E89))),('V06 Calend 01'!H89-('V06 Calend 01'!I89*('V06 Calend 01'!E89-1))),'V06 Calend 01'!I89),0))+IF((108='V06 Calend 01'!D89),'V06 Calend 01'!J89,0))</f>
        <v>0</v>
      </c>
      <c r="DQ89" s="2">
        <f>((IF((109='V06 Calend 01'!C89),('V06 Calend 01'!F89+'V06 Calend 01'!G89),0)+IF(AND(('V06 Calend 01'!E89&gt;0),(109&gt;'V06 Calend 01'!C89),(109&lt;'V06 Calend 01'!D89),(MOD((109-'V06 Calend 01'!C89),6)=0),(((109-'V06 Calend 01'!C89)/6)&lt;='V06 Calend 01'!E89)),IF((109=('V06 Calend 01'!C89+(6*'V06 Calend 01'!E89))),('V06 Calend 01'!H89-('V06 Calend 01'!I89*('V06 Calend 01'!E89-1))),'V06 Calend 01'!I89),0))+IF((109='V06 Calend 01'!D89),'V06 Calend 01'!J89,0))</f>
        <v>0</v>
      </c>
      <c r="DR89" s="2">
        <f>((IF((110='V06 Calend 01'!C89),('V06 Calend 01'!F89+'V06 Calend 01'!G89),0)+IF(AND(('V06 Calend 01'!E89&gt;0),(110&gt;'V06 Calend 01'!C89),(110&lt;'V06 Calend 01'!D89),(MOD((110-'V06 Calend 01'!C89),6)=0),(((110-'V06 Calend 01'!C89)/6)&lt;='V06 Calend 01'!E89)),IF((110=('V06 Calend 01'!C89+(6*'V06 Calend 01'!E89))),('V06 Calend 01'!H89-('V06 Calend 01'!I89*('V06 Calend 01'!E89-1))),'V06 Calend 01'!I89),0))+IF((110='V06 Calend 01'!D89),'V06 Calend 01'!J89,0))</f>
        <v>0</v>
      </c>
      <c r="DS89" s="2">
        <f>((IF((111='V06 Calend 01'!C89),('V06 Calend 01'!F89+'V06 Calend 01'!G89),0)+IF(AND(('V06 Calend 01'!E89&gt;0),(111&gt;'V06 Calend 01'!C89),(111&lt;'V06 Calend 01'!D89),(MOD((111-'V06 Calend 01'!C89),6)=0),(((111-'V06 Calend 01'!C89)/6)&lt;='V06 Calend 01'!E89)),IF((111=('V06 Calend 01'!C89+(6*'V06 Calend 01'!E89))),('V06 Calend 01'!H89-('V06 Calend 01'!I89*('V06 Calend 01'!E89-1))),'V06 Calend 01'!I89),0))+IF((111='V06 Calend 01'!D89),'V06 Calend 01'!J89,0))</f>
        <v>0</v>
      </c>
      <c r="DT89" s="2">
        <f>((IF((112='V06 Calend 01'!C89),('V06 Calend 01'!F89+'V06 Calend 01'!G89),0)+IF(AND(('V06 Calend 01'!E89&gt;0),(112&gt;'V06 Calend 01'!C89),(112&lt;'V06 Calend 01'!D89),(MOD((112-'V06 Calend 01'!C89),6)=0),(((112-'V06 Calend 01'!C89)/6)&lt;='V06 Calend 01'!E89)),IF((112=('V06 Calend 01'!C89+(6*'V06 Calend 01'!E89))),('V06 Calend 01'!H89-('V06 Calend 01'!I89*('V06 Calend 01'!E89-1))),'V06 Calend 01'!I89),0))+IF((112='V06 Calend 01'!D89),'V06 Calend 01'!J89,0))</f>
        <v>0</v>
      </c>
      <c r="DU89" s="2">
        <f>((IF((113='V06 Calend 01'!C89),('V06 Calend 01'!F89+'V06 Calend 01'!G89),0)+IF(AND(('V06 Calend 01'!E89&gt;0),(113&gt;'V06 Calend 01'!C89),(113&lt;'V06 Calend 01'!D89),(MOD((113-'V06 Calend 01'!C89),6)=0),(((113-'V06 Calend 01'!C89)/6)&lt;='V06 Calend 01'!E89)),IF((113=('V06 Calend 01'!C89+(6*'V06 Calend 01'!E89))),('V06 Calend 01'!H89-('V06 Calend 01'!I89*('V06 Calend 01'!E89-1))),'V06 Calend 01'!I89),0))+IF((113='V06 Calend 01'!D89),'V06 Calend 01'!J89,0))</f>
        <v>0</v>
      </c>
      <c r="DV89" s="2">
        <f>((IF((114='V06 Calend 01'!C89),('V06 Calend 01'!F89+'V06 Calend 01'!G89),0)+IF(AND(('V06 Calend 01'!E89&gt;0),(114&gt;'V06 Calend 01'!C89),(114&lt;'V06 Calend 01'!D89),(MOD((114-'V06 Calend 01'!C89),6)=0),(((114-'V06 Calend 01'!C89)/6)&lt;='V06 Calend 01'!E89)),IF((114=('V06 Calend 01'!C89+(6*'V06 Calend 01'!E89))),('V06 Calend 01'!H89-('V06 Calend 01'!I89*('V06 Calend 01'!E89-1))),'V06 Calend 01'!I89),0))+IF((114='V06 Calend 01'!D89),'V06 Calend 01'!J89,0))</f>
        <v>0</v>
      </c>
      <c r="DW89" s="2">
        <f>((IF((115='V06 Calend 01'!C89),('V06 Calend 01'!F89+'V06 Calend 01'!G89),0)+IF(AND(('V06 Calend 01'!E89&gt;0),(115&gt;'V06 Calend 01'!C89),(115&lt;'V06 Calend 01'!D89),(MOD((115-'V06 Calend 01'!C89),6)=0),(((115-'V06 Calend 01'!C89)/6)&lt;='V06 Calend 01'!E89)),IF((115=('V06 Calend 01'!C89+(6*'V06 Calend 01'!E89))),('V06 Calend 01'!H89-('V06 Calend 01'!I89*('V06 Calend 01'!E89-1))),'V06 Calend 01'!I89),0))+IF((115='V06 Calend 01'!D89),'V06 Calend 01'!J89,0))</f>
        <v>0</v>
      </c>
      <c r="DX89" s="2">
        <f>((IF((116='V06 Calend 01'!C89),('V06 Calend 01'!F89+'V06 Calend 01'!G89),0)+IF(AND(('V06 Calend 01'!E89&gt;0),(116&gt;'V06 Calend 01'!C89),(116&lt;'V06 Calend 01'!D89),(MOD((116-'V06 Calend 01'!C89),6)=0),(((116-'V06 Calend 01'!C89)/6)&lt;='V06 Calend 01'!E89)),IF((116=('V06 Calend 01'!C89+(6*'V06 Calend 01'!E89))),('V06 Calend 01'!H89-('V06 Calend 01'!I89*('V06 Calend 01'!E89-1))),'V06 Calend 01'!I89),0))+IF((116='V06 Calend 01'!D89),'V06 Calend 01'!J89,0))</f>
        <v>0</v>
      </c>
      <c r="DY89" s="2">
        <f>((IF((117='V06 Calend 01'!C89),('V06 Calend 01'!F89+'V06 Calend 01'!G89),0)+IF(AND(('V06 Calend 01'!E89&gt;0),(117&gt;'V06 Calend 01'!C89),(117&lt;'V06 Calend 01'!D89),(MOD((117-'V06 Calend 01'!C89),6)=0),(((117-'V06 Calend 01'!C89)/6)&lt;='V06 Calend 01'!E89)),IF((117=('V06 Calend 01'!C89+(6*'V06 Calend 01'!E89))),('V06 Calend 01'!H89-('V06 Calend 01'!I89*('V06 Calend 01'!E89-1))),'V06 Calend 01'!I89),0))+IF((117='V06 Calend 01'!D89),'V06 Calend 01'!J89,0))</f>
        <v>0</v>
      </c>
      <c r="DZ89" s="2">
        <f>((IF((118='V06 Calend 01'!C89),('V06 Calend 01'!F89+'V06 Calend 01'!G89),0)+IF(AND(('V06 Calend 01'!E89&gt;0),(118&gt;'V06 Calend 01'!C89),(118&lt;'V06 Calend 01'!D89),(MOD((118-'V06 Calend 01'!C89),6)=0),(((118-'V06 Calend 01'!C89)/6)&lt;='V06 Calend 01'!E89)),IF((118=('V06 Calend 01'!C89+(6*'V06 Calend 01'!E89))),('V06 Calend 01'!H89-('V06 Calend 01'!I89*('V06 Calend 01'!E89-1))),'V06 Calend 01'!I89),0))+IF((118='V06 Calend 01'!D89),'V06 Calend 01'!J89,0))</f>
        <v>0</v>
      </c>
      <c r="EA89" s="2">
        <f>((IF((119='V06 Calend 01'!C89),('V06 Calend 01'!F89+'V06 Calend 01'!G89),0)+IF(AND(('V06 Calend 01'!E89&gt;0),(119&gt;'V06 Calend 01'!C89),(119&lt;'V06 Calend 01'!D89),(MOD((119-'V06 Calend 01'!C89),6)=0),(((119-'V06 Calend 01'!C89)/6)&lt;='V06 Calend 01'!E89)),IF((119=('V06 Calend 01'!C89+(6*'V06 Calend 01'!E89))),('V06 Calend 01'!H89-('V06 Calend 01'!I89*('V06 Calend 01'!E89-1))),'V06 Calend 01'!I89),0))+IF((119='V06 Calend 01'!D89),'V06 Calend 01'!J89,0))</f>
        <v>0</v>
      </c>
      <c r="EB89" s="2">
        <f>((IF((120='V06 Calend 01'!C89),('V06 Calend 01'!F89+'V06 Calend 01'!G89),0)+IF(AND(('V06 Calend 01'!E89&gt;0),(120&gt;'V06 Calend 01'!C89),(120&lt;'V06 Calend 01'!D89),(MOD((120-'V06 Calend 01'!C89),6)=0),(((120-'V06 Calend 01'!C89)/6)&lt;='V06 Calend 01'!E89)),IF((120=('V06 Calend 01'!C89+(6*'V06 Calend 01'!E89))),('V06 Calend 01'!H89-('V06 Calend 01'!I89*('V06 Calend 01'!E89-1))),'V06 Calend 01'!I89),0))+IF((120='V06 Calend 01'!D89),'V06 Calend 01'!J89,0))</f>
        <v>0</v>
      </c>
      <c r="EC89" s="2">
        <f>((IF((121='V06 Calend 01'!C89),('V06 Calend 01'!F89+'V06 Calend 01'!G89),0)+IF(AND(('V06 Calend 01'!E89&gt;0),(121&gt;'V06 Calend 01'!C89),(121&lt;'V06 Calend 01'!D89),(MOD((121-'V06 Calend 01'!C89),6)=0),(((121-'V06 Calend 01'!C89)/6)&lt;='V06 Calend 01'!E89)),IF((121=('V06 Calend 01'!C89+(6*'V06 Calend 01'!E89))),('V06 Calend 01'!H89-('V06 Calend 01'!I89*('V06 Calend 01'!E89-1))),'V06 Calend 01'!I89),0))+IF((121='V06 Calend 01'!D89),'V06 Calend 01'!J89,0))</f>
        <v>0</v>
      </c>
      <c r="ED89" s="2">
        <f>((IF((122='V06 Calend 01'!C89),('V06 Calend 01'!F89+'V06 Calend 01'!G89),0)+IF(AND(('V06 Calend 01'!E89&gt;0),(122&gt;'V06 Calend 01'!C89),(122&lt;'V06 Calend 01'!D89),(MOD((122-'V06 Calend 01'!C89),6)=0),(((122-'V06 Calend 01'!C89)/6)&lt;='V06 Calend 01'!E89)),IF((122=('V06 Calend 01'!C89+(6*'V06 Calend 01'!E89))),('V06 Calend 01'!H89-('V06 Calend 01'!I89*('V06 Calend 01'!E89-1))),'V06 Calend 01'!I89),0))+IF((122='V06 Calend 01'!D89),'V06 Calend 01'!J89,0))</f>
        <v>0</v>
      </c>
      <c r="EE89" s="2">
        <f>((IF((123='V06 Calend 01'!C89),('V06 Calend 01'!F89+'V06 Calend 01'!G89),0)+IF(AND(('V06 Calend 01'!E89&gt;0),(123&gt;'V06 Calend 01'!C89),(123&lt;'V06 Calend 01'!D89),(MOD((123-'V06 Calend 01'!C89),6)=0),(((123-'V06 Calend 01'!C89)/6)&lt;='V06 Calend 01'!E89)),IF((123=('V06 Calend 01'!C89+(6*'V06 Calend 01'!E89))),('V06 Calend 01'!H89-('V06 Calend 01'!I89*('V06 Calend 01'!E89-1))),'V06 Calend 01'!I89),0))+IF((123='V06 Calend 01'!D89),'V06 Calend 01'!J89,0))</f>
        <v>0</v>
      </c>
      <c r="EF89" s="2">
        <f>((IF((124='V06 Calend 01'!C89),('V06 Calend 01'!F89+'V06 Calend 01'!G89),0)+IF(AND(('V06 Calend 01'!E89&gt;0),(124&gt;'V06 Calend 01'!C89),(124&lt;'V06 Calend 01'!D89),(MOD((124-'V06 Calend 01'!C89),6)=0),(((124-'V06 Calend 01'!C89)/6)&lt;='V06 Calend 01'!E89)),IF((124=('V06 Calend 01'!C89+(6*'V06 Calend 01'!E89))),('V06 Calend 01'!H89-('V06 Calend 01'!I89*('V06 Calend 01'!E89-1))),'V06 Calend 01'!I89),0))+IF((124='V06 Calend 01'!D89),'V06 Calend 01'!J89,0))</f>
        <v>0</v>
      </c>
      <c r="EG89" s="2">
        <f>((IF((125='V06 Calend 01'!C89),('V06 Calend 01'!F89+'V06 Calend 01'!G89),0)+IF(AND(('V06 Calend 01'!E89&gt;0),(125&gt;'V06 Calend 01'!C89),(125&lt;'V06 Calend 01'!D89),(MOD((125-'V06 Calend 01'!C89),6)=0),(((125-'V06 Calend 01'!C89)/6)&lt;='V06 Calend 01'!E89)),IF((125=('V06 Calend 01'!C89+(6*'V06 Calend 01'!E89))),('V06 Calend 01'!H89-('V06 Calend 01'!I89*('V06 Calend 01'!E89-1))),'V06 Calend 01'!I89),0))+IF((125='V06 Calend 01'!D89),'V06 Calend 01'!J89,0))</f>
        <v>0</v>
      </c>
      <c r="EH89" s="2">
        <f>((IF((126='V06 Calend 01'!C89),('V06 Calend 01'!F89+'V06 Calend 01'!G89),0)+IF(AND(('V06 Calend 01'!E89&gt;0),(126&gt;'V06 Calend 01'!C89),(126&lt;'V06 Calend 01'!D89),(MOD((126-'V06 Calend 01'!C89),6)=0),(((126-'V06 Calend 01'!C89)/6)&lt;='V06 Calend 01'!E89)),IF((126=('V06 Calend 01'!C89+(6*'V06 Calend 01'!E89))),('V06 Calend 01'!H89-('V06 Calend 01'!I89*('V06 Calend 01'!E89-1))),'V06 Calend 01'!I89),0))+IF((126='V06 Calend 01'!D89),'V06 Calend 01'!J89,0))</f>
        <v>0</v>
      </c>
      <c r="EI89" s="2">
        <f>((IF((127='V06 Calend 01'!C89),('V06 Calend 01'!F89+'V06 Calend 01'!G89),0)+IF(AND(('V06 Calend 01'!E89&gt;0),(127&gt;'V06 Calend 01'!C89),(127&lt;'V06 Calend 01'!D89),(MOD((127-'V06 Calend 01'!C89),6)=0),(((127-'V06 Calend 01'!C89)/6)&lt;='V06 Calend 01'!E89)),IF((127=('V06 Calend 01'!C89+(6*'V06 Calend 01'!E89))),('V06 Calend 01'!H89-('V06 Calend 01'!I89*('V06 Calend 01'!E89-1))),'V06 Calend 01'!I89),0))+IF((127='V06 Calend 01'!D89),'V06 Calend 01'!J89,0))</f>
        <v>0</v>
      </c>
      <c r="EJ89" s="2">
        <f>((IF((128='V06 Calend 01'!C89),('V06 Calend 01'!F89+'V06 Calend 01'!G89),0)+IF(AND(('V06 Calend 01'!E89&gt;0),(128&gt;'V06 Calend 01'!C89),(128&lt;'V06 Calend 01'!D89),(MOD((128-'V06 Calend 01'!C89),6)=0),(((128-'V06 Calend 01'!C89)/6)&lt;='V06 Calend 01'!E89)),IF((128=('V06 Calend 01'!C89+(6*'V06 Calend 01'!E89))),('V06 Calend 01'!H89-('V06 Calend 01'!I89*('V06 Calend 01'!E89-1))),'V06 Calend 01'!I89),0))+IF((128='V06 Calend 01'!D89),'V06 Calend 01'!J89,0))</f>
        <v>0</v>
      </c>
      <c r="EK89" s="2">
        <f>((IF((129='V06 Calend 01'!C89),('V06 Calend 01'!F89+'V06 Calend 01'!G89),0)+IF(AND(('V06 Calend 01'!E89&gt;0),(129&gt;'V06 Calend 01'!C89),(129&lt;'V06 Calend 01'!D89),(MOD((129-'V06 Calend 01'!C89),6)=0),(((129-'V06 Calend 01'!C89)/6)&lt;='V06 Calend 01'!E89)),IF((129=('V06 Calend 01'!C89+(6*'V06 Calend 01'!E89))),('V06 Calend 01'!H89-('V06 Calend 01'!I89*('V06 Calend 01'!E89-1))),'V06 Calend 01'!I89),0))+IF((129='V06 Calend 01'!D89),'V06 Calend 01'!J89,0))</f>
        <v>0</v>
      </c>
      <c r="EL89" s="2">
        <f>((IF((130='V06 Calend 01'!C89),('V06 Calend 01'!F89+'V06 Calend 01'!G89),0)+IF(AND(('V06 Calend 01'!E89&gt;0),(130&gt;'V06 Calend 01'!C89),(130&lt;'V06 Calend 01'!D89),(MOD((130-'V06 Calend 01'!C89),6)=0),(((130-'V06 Calend 01'!C89)/6)&lt;='V06 Calend 01'!E89)),IF((130=('V06 Calend 01'!C89+(6*'V06 Calend 01'!E89))),('V06 Calend 01'!H89-('V06 Calend 01'!I89*('V06 Calend 01'!E89-1))),'V06 Calend 01'!I89),0))+IF((130='V06 Calend 01'!D89),'V06 Calend 01'!J89,0))</f>
        <v>0</v>
      </c>
      <c r="EM89" s="2">
        <f>((IF((131='V06 Calend 01'!C89),('V06 Calend 01'!F89+'V06 Calend 01'!G89),0)+IF(AND(('V06 Calend 01'!E89&gt;0),(131&gt;'V06 Calend 01'!C89),(131&lt;'V06 Calend 01'!D89),(MOD((131-'V06 Calend 01'!C89),6)=0),(((131-'V06 Calend 01'!C89)/6)&lt;='V06 Calend 01'!E89)),IF((131=('V06 Calend 01'!C89+(6*'V06 Calend 01'!E89))),('V06 Calend 01'!H89-('V06 Calend 01'!I89*('V06 Calend 01'!E89-1))),'V06 Calend 01'!I89),0))+IF((131='V06 Calend 01'!D89),'V06 Calend 01'!J89,0))</f>
        <v>0</v>
      </c>
      <c r="EN89" s="2">
        <f>((IF((132='V06 Calend 01'!C89),('V06 Calend 01'!F89+'V06 Calend 01'!G89),0)+IF(AND(('V06 Calend 01'!E89&gt;0),(132&gt;'V06 Calend 01'!C89),(132&lt;'V06 Calend 01'!D89),(MOD((132-'V06 Calend 01'!C89),6)=0),(((132-'V06 Calend 01'!C89)/6)&lt;='V06 Calend 01'!E89)),IF((132=('V06 Calend 01'!C89+(6*'V06 Calend 01'!E89))),('V06 Calend 01'!H89-('V06 Calend 01'!I89*('V06 Calend 01'!E89-1))),'V06 Calend 01'!I89),0))+IF((132='V06 Calend 01'!D89),'V06 Calend 01'!J89,0))</f>
        <v>0</v>
      </c>
      <c r="EO89" s="2">
        <f>((IF((133='V06 Calend 01'!C89),('V06 Calend 01'!F89+'V06 Calend 01'!G89),0)+IF(AND(('V06 Calend 01'!E89&gt;0),(133&gt;'V06 Calend 01'!C89),(133&lt;'V06 Calend 01'!D89),(MOD((133-'V06 Calend 01'!C89),6)=0),(((133-'V06 Calend 01'!C89)/6)&lt;='V06 Calend 01'!E89)),IF((133=('V06 Calend 01'!C89+(6*'V06 Calend 01'!E89))),('V06 Calend 01'!H89-('V06 Calend 01'!I89*('V06 Calend 01'!E89-1))),'V06 Calend 01'!I89),0))+IF((133='V06 Calend 01'!D89),'V06 Calend 01'!J89,0))</f>
        <v>0</v>
      </c>
      <c r="EP89" s="2">
        <f>((IF((134='V06 Calend 01'!C89),('V06 Calend 01'!F89+'V06 Calend 01'!G89),0)+IF(AND(('V06 Calend 01'!E89&gt;0),(134&gt;'V06 Calend 01'!C89),(134&lt;'V06 Calend 01'!D89),(MOD((134-'V06 Calend 01'!C89),6)=0),(((134-'V06 Calend 01'!C89)/6)&lt;='V06 Calend 01'!E89)),IF((134=('V06 Calend 01'!C89+(6*'V06 Calend 01'!E89))),('V06 Calend 01'!H89-('V06 Calend 01'!I89*('V06 Calend 01'!E89-1))),'V06 Calend 01'!I89),0))+IF((134='V06 Calend 01'!D89),'V06 Calend 01'!J89,0))</f>
        <v>0</v>
      </c>
      <c r="EQ89" s="2">
        <f>((IF((135='V06 Calend 01'!C89),('V06 Calend 01'!F89+'V06 Calend 01'!G89),0)+IF(AND(('V06 Calend 01'!E89&gt;0),(135&gt;'V06 Calend 01'!C89),(135&lt;'V06 Calend 01'!D89),(MOD((135-'V06 Calend 01'!C89),6)=0),(((135-'V06 Calend 01'!C89)/6)&lt;='V06 Calend 01'!E89)),IF((135=('V06 Calend 01'!C89+(6*'V06 Calend 01'!E89))),('V06 Calend 01'!H89-('V06 Calend 01'!I89*('V06 Calend 01'!E89-1))),'V06 Calend 01'!I89),0))+IF((135='V06 Calend 01'!D89),'V06 Calend 01'!J89,0))</f>
        <v>0</v>
      </c>
      <c r="ER89" s="2">
        <f>((IF((136='V06 Calend 01'!C89),('V06 Calend 01'!F89+'V06 Calend 01'!G89),0)+IF(AND(('V06 Calend 01'!E89&gt;0),(136&gt;'V06 Calend 01'!C89),(136&lt;'V06 Calend 01'!D89),(MOD((136-'V06 Calend 01'!C89),6)=0),(((136-'V06 Calend 01'!C89)/6)&lt;='V06 Calend 01'!E89)),IF((136=('V06 Calend 01'!C89+(6*'V06 Calend 01'!E89))),('V06 Calend 01'!H89-('V06 Calend 01'!I89*('V06 Calend 01'!E89-1))),'V06 Calend 01'!I89),0))+IF((136='V06 Calend 01'!D89),'V06 Calend 01'!J89,0))</f>
        <v>0</v>
      </c>
      <c r="ES89" s="2">
        <f>((IF((137='V06 Calend 01'!C89),('V06 Calend 01'!F89+'V06 Calend 01'!G89),0)+IF(AND(('V06 Calend 01'!E89&gt;0),(137&gt;'V06 Calend 01'!C89),(137&lt;'V06 Calend 01'!D89),(MOD((137-'V06 Calend 01'!C89),6)=0),(((137-'V06 Calend 01'!C89)/6)&lt;='V06 Calend 01'!E89)),IF((137=('V06 Calend 01'!C89+(6*'V06 Calend 01'!E89))),('V06 Calend 01'!H89-('V06 Calend 01'!I89*('V06 Calend 01'!E89-1))),'V06 Calend 01'!I89),0))+IF((137='V06 Calend 01'!D89),'V06 Calend 01'!J89,0))</f>
        <v>0</v>
      </c>
      <c r="ET89" s="2">
        <f>((IF((138='V06 Calend 01'!C89),('V06 Calend 01'!F89+'V06 Calend 01'!G89),0)+IF(AND(('V06 Calend 01'!E89&gt;0),(138&gt;'V06 Calend 01'!C89),(138&lt;'V06 Calend 01'!D89),(MOD((138-'V06 Calend 01'!C89),6)=0),(((138-'V06 Calend 01'!C89)/6)&lt;='V06 Calend 01'!E89)),IF((138=('V06 Calend 01'!C89+(6*'V06 Calend 01'!E89))),('V06 Calend 01'!H89-('V06 Calend 01'!I89*('V06 Calend 01'!E89-1))),'V06 Calend 01'!I89),0))+IF((138='V06 Calend 01'!D89),'V06 Calend 01'!J89,0))</f>
        <v>0</v>
      </c>
      <c r="EU89" s="2">
        <f>((IF((139='V06 Calend 01'!C89),('V06 Calend 01'!F89+'V06 Calend 01'!G89),0)+IF(AND(('V06 Calend 01'!E89&gt;0),(139&gt;'V06 Calend 01'!C89),(139&lt;'V06 Calend 01'!D89),(MOD((139-'V06 Calend 01'!C89),6)=0),(((139-'V06 Calend 01'!C89)/6)&lt;='V06 Calend 01'!E89)),IF((139=('V06 Calend 01'!C89+(6*'V06 Calend 01'!E89))),('V06 Calend 01'!H89-('V06 Calend 01'!I89*('V06 Calend 01'!E89-1))),'V06 Calend 01'!I89),0))+IF((139='V06 Calend 01'!D89),'V06 Calend 01'!J89,0))</f>
        <v>0</v>
      </c>
      <c r="EV89" s="2">
        <f>((IF((140='V06 Calend 01'!C89),('V06 Calend 01'!F89+'V06 Calend 01'!G89),0)+IF(AND(('V06 Calend 01'!E89&gt;0),(140&gt;'V06 Calend 01'!C89),(140&lt;'V06 Calend 01'!D89),(MOD((140-'V06 Calend 01'!C89),6)=0),(((140-'V06 Calend 01'!C89)/6)&lt;='V06 Calend 01'!E89)),IF((140=('V06 Calend 01'!C89+(6*'V06 Calend 01'!E89))),('V06 Calend 01'!H89-('V06 Calend 01'!I89*('V06 Calend 01'!E89-1))),'V06 Calend 01'!I89),0))+IF((140='V06 Calend 01'!D89),'V06 Calend 01'!J89,0))</f>
        <v>0</v>
      </c>
      <c r="EW89" s="2">
        <f>((IF((141='V06 Calend 01'!C89),('V06 Calend 01'!F89+'V06 Calend 01'!G89),0)+IF(AND(('V06 Calend 01'!E89&gt;0),(141&gt;'V06 Calend 01'!C89),(141&lt;'V06 Calend 01'!D89),(MOD((141-'V06 Calend 01'!C89),6)=0),(((141-'V06 Calend 01'!C89)/6)&lt;='V06 Calend 01'!E89)),IF((141=('V06 Calend 01'!C89+(6*'V06 Calend 01'!E89))),('V06 Calend 01'!H89-('V06 Calend 01'!I89*('V06 Calend 01'!E89-1))),'V06 Calend 01'!I89),0))+IF((141='V06 Calend 01'!D89),'V06 Calend 01'!J89,0))</f>
        <v>0</v>
      </c>
      <c r="EX89" s="2">
        <f>((IF((142='V06 Calend 01'!C89),('V06 Calend 01'!F89+'V06 Calend 01'!G89),0)+IF(AND(('V06 Calend 01'!E89&gt;0),(142&gt;'V06 Calend 01'!C89),(142&lt;'V06 Calend 01'!D89),(MOD((142-'V06 Calend 01'!C89),6)=0),(((142-'V06 Calend 01'!C89)/6)&lt;='V06 Calend 01'!E89)),IF((142=('V06 Calend 01'!C89+(6*'V06 Calend 01'!E89))),('V06 Calend 01'!H89-('V06 Calend 01'!I89*('V06 Calend 01'!E89-1))),'V06 Calend 01'!I89),0))+IF((142='V06 Calend 01'!D89),'V06 Calend 01'!J89,0))</f>
        <v>0</v>
      </c>
      <c r="EY89" s="2">
        <f>((IF((143='V06 Calend 01'!C89),('V06 Calend 01'!F89+'V06 Calend 01'!G89),0)+IF(AND(('V06 Calend 01'!E89&gt;0),(143&gt;'V06 Calend 01'!C89),(143&lt;'V06 Calend 01'!D89),(MOD((143-'V06 Calend 01'!C89),6)=0),(((143-'V06 Calend 01'!C89)/6)&lt;='V06 Calend 01'!E89)),IF((143=('V06 Calend 01'!C89+(6*'V06 Calend 01'!E89))),('V06 Calend 01'!H89-('V06 Calend 01'!I89*('V06 Calend 01'!E89-1))),'V06 Calend 01'!I89),0))+IF((143='V06 Calend 01'!D89),'V06 Calend 01'!J89,0))</f>
        <v>0</v>
      </c>
      <c r="EZ89" s="2">
        <f>((IF((144='V06 Calend 01'!C89),('V06 Calend 01'!F89+'V06 Calend 01'!G89),0)+IF(AND(('V06 Calend 01'!E89&gt;0),(144&gt;'V06 Calend 01'!C89),(144&lt;'V06 Calend 01'!D89),(MOD((144-'V06 Calend 01'!C89),6)=0),(((144-'V06 Calend 01'!C89)/6)&lt;='V06 Calend 01'!E89)),IF((144=('V06 Calend 01'!C89+(6*'V06 Calend 01'!E89))),('V06 Calend 01'!H89-('V06 Calend 01'!I89*('V06 Calend 01'!E89-1))),'V06 Calend 01'!I89),0))+IF((144='V06 Calend 01'!D89),'V06 Calend 01'!J89,0))</f>
        <v>0</v>
      </c>
      <c r="FA89" s="2">
        <f>((IF((145='V06 Calend 01'!C89),('V06 Calend 01'!F89+'V06 Calend 01'!G89),0)+IF(AND(('V06 Calend 01'!E89&gt;0),(145&gt;'V06 Calend 01'!C89),(145&lt;'V06 Calend 01'!D89),(MOD((145-'V06 Calend 01'!C89),6)=0),(((145-'V06 Calend 01'!C89)/6)&lt;='V06 Calend 01'!E89)),IF((145=('V06 Calend 01'!C89+(6*'V06 Calend 01'!E89))),('V06 Calend 01'!H89-('V06 Calend 01'!I89*('V06 Calend 01'!E89-1))),'V06 Calend 01'!I89),0))+IF((145='V06 Calend 01'!D89),'V06 Calend 01'!J89,0))</f>
        <v>0</v>
      </c>
      <c r="FB89" s="2">
        <f>((IF((146='V06 Calend 01'!C89),('V06 Calend 01'!F89+'V06 Calend 01'!G89),0)+IF(AND(('V06 Calend 01'!E89&gt;0),(146&gt;'V06 Calend 01'!C89),(146&lt;'V06 Calend 01'!D89),(MOD((146-'V06 Calend 01'!C89),6)=0),(((146-'V06 Calend 01'!C89)/6)&lt;='V06 Calend 01'!E89)),IF((146=('V06 Calend 01'!C89+(6*'V06 Calend 01'!E89))),('V06 Calend 01'!H89-('V06 Calend 01'!I89*('V06 Calend 01'!E89-1))),'V06 Calend 01'!I89),0))+IF((146='V06 Calend 01'!D89),'V06 Calend 01'!J89,0))</f>
        <v>0</v>
      </c>
      <c r="FC89" s="2">
        <f>((IF((147='V06 Calend 01'!C89),('V06 Calend 01'!F89+'V06 Calend 01'!G89),0)+IF(AND(('V06 Calend 01'!E89&gt;0),(147&gt;'V06 Calend 01'!C89),(147&lt;'V06 Calend 01'!D89),(MOD((147-'V06 Calend 01'!C89),6)=0),(((147-'V06 Calend 01'!C89)/6)&lt;='V06 Calend 01'!E89)),IF((147=('V06 Calend 01'!C89+(6*'V06 Calend 01'!E89))),('V06 Calend 01'!H89-('V06 Calend 01'!I89*('V06 Calend 01'!E89-1))),'V06 Calend 01'!I89),0))+IF((147='V06 Calend 01'!D89),'V06 Calend 01'!J89,0))</f>
        <v>0</v>
      </c>
      <c r="FD89" s="2">
        <f>((IF((148='V06 Calend 01'!C89),('V06 Calend 01'!F89+'V06 Calend 01'!G89),0)+IF(AND(('V06 Calend 01'!E89&gt;0),(148&gt;'V06 Calend 01'!C89),(148&lt;'V06 Calend 01'!D89),(MOD((148-'V06 Calend 01'!C89),6)=0),(((148-'V06 Calend 01'!C89)/6)&lt;='V06 Calend 01'!E89)),IF((148=('V06 Calend 01'!C89+(6*'V06 Calend 01'!E89))),('V06 Calend 01'!H89-('V06 Calend 01'!I89*('V06 Calend 01'!E89-1))),'V06 Calend 01'!I89),0))+IF((148='V06 Calend 01'!D89),'V06 Calend 01'!J89,0))</f>
        <v>0</v>
      </c>
      <c r="FE89" s="2">
        <f>((IF((149='V06 Calend 01'!C89),('V06 Calend 01'!F89+'V06 Calend 01'!G89),0)+IF(AND(('V06 Calend 01'!E89&gt;0),(149&gt;'V06 Calend 01'!C89),(149&lt;'V06 Calend 01'!D89),(MOD((149-'V06 Calend 01'!C89),6)=0),(((149-'V06 Calend 01'!C89)/6)&lt;='V06 Calend 01'!E89)),IF((149=('V06 Calend 01'!C89+(6*'V06 Calend 01'!E89))),('V06 Calend 01'!H89-('V06 Calend 01'!I89*('V06 Calend 01'!E89-1))),'V06 Calend 01'!I89),0))+IF((149='V06 Calend 01'!D89),'V06 Calend 01'!J89,0))</f>
        <v>0</v>
      </c>
      <c r="FF89" s="2">
        <f>((IF((150='V06 Calend 01'!C89),('V06 Calend 01'!F89+'V06 Calend 01'!G89),0)+IF(AND(('V06 Calend 01'!E89&gt;0),(150&gt;'V06 Calend 01'!C89),(150&lt;'V06 Calend 01'!D89),(MOD((150-'V06 Calend 01'!C89),6)=0),(((150-'V06 Calend 01'!C89)/6)&lt;='V06 Calend 01'!E89)),IF((150=('V06 Calend 01'!C89+(6*'V06 Calend 01'!E89))),('V06 Calend 01'!H89-('V06 Calend 01'!I89*('V06 Calend 01'!E89-1))),'V06 Calend 01'!I89),0))+IF((150='V06 Calend 01'!D89),'V06 Calend 01'!J89,0))</f>
        <v>0</v>
      </c>
      <c r="FG89" s="2">
        <f>((IF((151='V06 Calend 01'!C89),('V06 Calend 01'!F89+'V06 Calend 01'!G89),0)+IF(AND(('V06 Calend 01'!E89&gt;0),(151&gt;'V06 Calend 01'!C89),(151&lt;'V06 Calend 01'!D89),(MOD((151-'V06 Calend 01'!C89),6)=0),(((151-'V06 Calend 01'!C89)/6)&lt;='V06 Calend 01'!E89)),IF((151=('V06 Calend 01'!C89+(6*'V06 Calend 01'!E89))),('V06 Calend 01'!H89-('V06 Calend 01'!I89*('V06 Calend 01'!E89-1))),'V06 Calend 01'!I89),0))+IF((151='V06 Calend 01'!D89),'V06 Calend 01'!J89,0))</f>
        <v>0</v>
      </c>
      <c r="FH89" s="2">
        <f>((IF((152='V06 Calend 01'!C89),('V06 Calend 01'!F89+'V06 Calend 01'!G89),0)+IF(AND(('V06 Calend 01'!E89&gt;0),(152&gt;'V06 Calend 01'!C89),(152&lt;'V06 Calend 01'!D89),(MOD((152-'V06 Calend 01'!C89),6)=0),(((152-'V06 Calend 01'!C89)/6)&lt;='V06 Calend 01'!E89)),IF((152=('V06 Calend 01'!C89+(6*'V06 Calend 01'!E89))),('V06 Calend 01'!H89-('V06 Calend 01'!I89*('V06 Calend 01'!E89-1))),'V06 Calend 01'!I89),0))+IF((152='V06 Calend 01'!D89),'V06 Calend 01'!J89,0))</f>
        <v>0</v>
      </c>
      <c r="FI89" s="2">
        <f>((IF((153='V06 Calend 01'!C89),('V06 Calend 01'!F89+'V06 Calend 01'!G89),0)+IF(AND(('V06 Calend 01'!E89&gt;0),(153&gt;'V06 Calend 01'!C89),(153&lt;'V06 Calend 01'!D89),(MOD((153-'V06 Calend 01'!C89),6)=0),(((153-'V06 Calend 01'!C89)/6)&lt;='V06 Calend 01'!E89)),IF((153=('V06 Calend 01'!C89+(6*'V06 Calend 01'!E89))),('V06 Calend 01'!H89-('V06 Calend 01'!I89*('V06 Calend 01'!E89-1))),'V06 Calend 01'!I89),0))+IF((153='V06 Calend 01'!D89),'V06 Calend 01'!J89,0))</f>
        <v>0</v>
      </c>
      <c r="FJ89" s="2">
        <f>((IF((154='V06 Calend 01'!C89),('V06 Calend 01'!F89+'V06 Calend 01'!G89),0)+IF(AND(('V06 Calend 01'!E89&gt;0),(154&gt;'V06 Calend 01'!C89),(154&lt;'V06 Calend 01'!D89),(MOD((154-'V06 Calend 01'!C89),6)=0),(((154-'V06 Calend 01'!C89)/6)&lt;='V06 Calend 01'!E89)),IF((154=('V06 Calend 01'!C89+(6*'V06 Calend 01'!E89))),('V06 Calend 01'!H89-('V06 Calend 01'!I89*('V06 Calend 01'!E89-1))),'V06 Calend 01'!I89),0))+IF((154='V06 Calend 01'!D89),'V06 Calend 01'!J89,0))</f>
        <v>0</v>
      </c>
      <c r="FK89" s="2">
        <f>((IF((155='V06 Calend 01'!C89),('V06 Calend 01'!F89+'V06 Calend 01'!G89),0)+IF(AND(('V06 Calend 01'!E89&gt;0),(155&gt;'V06 Calend 01'!C89),(155&lt;'V06 Calend 01'!D89),(MOD((155-'V06 Calend 01'!C89),6)=0),(((155-'V06 Calend 01'!C89)/6)&lt;='V06 Calend 01'!E89)),IF((155=('V06 Calend 01'!C89+(6*'V06 Calend 01'!E89))),('V06 Calend 01'!H89-('V06 Calend 01'!I89*('V06 Calend 01'!E89-1))),'V06 Calend 01'!I89),0))+IF((155='V06 Calend 01'!D89),'V06 Calend 01'!J89,0))</f>
        <v>0</v>
      </c>
      <c r="FL89" s="2">
        <f>((IF((156='V06 Calend 01'!C89),('V06 Calend 01'!F89+'V06 Calend 01'!G89),0)+IF(AND(('V06 Calend 01'!E89&gt;0),(156&gt;'V06 Calend 01'!C89),(156&lt;'V06 Calend 01'!D89),(MOD((156-'V06 Calend 01'!C89),6)=0),(((156-'V06 Calend 01'!C89)/6)&lt;='V06 Calend 01'!E89)),IF((156=('V06 Calend 01'!C89+(6*'V06 Calend 01'!E89))),('V06 Calend 01'!H89-('V06 Calend 01'!I89*('V06 Calend 01'!E89-1))),'V06 Calend 01'!I89),0))+IF((156='V06 Calend 01'!D89),'V06 Calend 01'!J89,0))</f>
        <v>0</v>
      </c>
      <c r="FM89" s="2">
        <f>((IF((157='V06 Calend 01'!C89),('V06 Calend 01'!F89+'V06 Calend 01'!G89),0)+IF(AND(('V06 Calend 01'!E89&gt;0),(157&gt;'V06 Calend 01'!C89),(157&lt;'V06 Calend 01'!D89),(MOD((157-'V06 Calend 01'!C89),6)=0),(((157-'V06 Calend 01'!C89)/6)&lt;='V06 Calend 01'!E89)),IF((157=('V06 Calend 01'!C89+(6*'V06 Calend 01'!E89))),('V06 Calend 01'!H89-('V06 Calend 01'!I89*('V06 Calend 01'!E89-1))),'V06 Calend 01'!I89),0))+IF((157='V06 Calend 01'!D89),'V06 Calend 01'!J89,0))</f>
        <v>0</v>
      </c>
      <c r="FN89" s="2">
        <f>((IF((158='V06 Calend 01'!C89),('V06 Calend 01'!F89+'V06 Calend 01'!G89),0)+IF(AND(('V06 Calend 01'!E89&gt;0),(158&gt;'V06 Calend 01'!C89),(158&lt;'V06 Calend 01'!D89),(MOD((158-'V06 Calend 01'!C89),6)=0),(((158-'V06 Calend 01'!C89)/6)&lt;='V06 Calend 01'!E89)),IF((158=('V06 Calend 01'!C89+(6*'V06 Calend 01'!E89))),('V06 Calend 01'!H89-('V06 Calend 01'!I89*('V06 Calend 01'!E89-1))),'V06 Calend 01'!I89),0))+IF((158='V06 Calend 01'!D89),'V06 Calend 01'!J89,0))</f>
        <v>0</v>
      </c>
      <c r="FO89" s="2">
        <f>((IF((159='V06 Calend 01'!C89),('V06 Calend 01'!F89+'V06 Calend 01'!G89),0)+IF(AND(('V06 Calend 01'!E89&gt;0),(159&gt;'V06 Calend 01'!C89),(159&lt;'V06 Calend 01'!D89),(MOD((159-'V06 Calend 01'!C89),6)=0),(((159-'V06 Calend 01'!C89)/6)&lt;='V06 Calend 01'!E89)),IF((159=('V06 Calend 01'!C89+(6*'V06 Calend 01'!E89))),('V06 Calend 01'!H89-('V06 Calend 01'!I89*('V06 Calend 01'!E89-1))),'V06 Calend 01'!I89),0))+IF((159='V06 Calend 01'!D89),'V06 Calend 01'!J89,0))</f>
        <v>0</v>
      </c>
      <c r="FP89" s="2">
        <f>((IF((160='V06 Calend 01'!C89),('V06 Calend 01'!F89+'V06 Calend 01'!G89),0)+IF(AND(('V06 Calend 01'!E89&gt;0),(160&gt;'V06 Calend 01'!C89),(160&lt;'V06 Calend 01'!D89),(MOD((160-'V06 Calend 01'!C89),6)=0),(((160-'V06 Calend 01'!C89)/6)&lt;='V06 Calend 01'!E89)),IF((160=('V06 Calend 01'!C89+(6*'V06 Calend 01'!E89))),('V06 Calend 01'!H89-('V06 Calend 01'!I89*('V06 Calend 01'!E89-1))),'V06 Calend 01'!I89),0))+IF((160='V06 Calend 01'!D89),'V06 Calend 01'!J89,0))</f>
        <v>0</v>
      </c>
      <c r="FQ89" s="2">
        <f>((IF((161='V06 Calend 01'!C89),('V06 Calend 01'!F89+'V06 Calend 01'!G89),0)+IF(AND(('V06 Calend 01'!E89&gt;0),(161&gt;'V06 Calend 01'!C89),(161&lt;'V06 Calend 01'!D89),(MOD((161-'V06 Calend 01'!C89),6)=0),(((161-'V06 Calend 01'!C89)/6)&lt;='V06 Calend 01'!E89)),IF((161=('V06 Calend 01'!C89+(6*'V06 Calend 01'!E89))),('V06 Calend 01'!H89-('V06 Calend 01'!I89*('V06 Calend 01'!E89-1))),'V06 Calend 01'!I89),0))+IF((161='V06 Calend 01'!D89),'V06 Calend 01'!J89,0))</f>
        <v>0</v>
      </c>
      <c r="FR89" s="2">
        <f>((IF((162='V06 Calend 01'!C89),('V06 Calend 01'!F89+'V06 Calend 01'!G89),0)+IF(AND(('V06 Calend 01'!E89&gt;0),(162&gt;'V06 Calend 01'!C89),(162&lt;'V06 Calend 01'!D89),(MOD((162-'V06 Calend 01'!C89),6)=0),(((162-'V06 Calend 01'!C89)/6)&lt;='V06 Calend 01'!E89)),IF((162=('V06 Calend 01'!C89+(6*'V06 Calend 01'!E89))),('V06 Calend 01'!H89-('V06 Calend 01'!I89*('V06 Calend 01'!E89-1))),'V06 Calend 01'!I89),0))+IF((162='V06 Calend 01'!D89),'V06 Calend 01'!J89,0))</f>
        <v>0</v>
      </c>
      <c r="FS89" s="2">
        <f>((IF((163='V06 Calend 01'!C89),('V06 Calend 01'!F89+'V06 Calend 01'!G89),0)+IF(AND(('V06 Calend 01'!E89&gt;0),(163&gt;'V06 Calend 01'!C89),(163&lt;'V06 Calend 01'!D89),(MOD((163-'V06 Calend 01'!C89),6)=0),(((163-'V06 Calend 01'!C89)/6)&lt;='V06 Calend 01'!E89)),IF((163=('V06 Calend 01'!C89+(6*'V06 Calend 01'!E89))),('V06 Calend 01'!H89-('V06 Calend 01'!I89*('V06 Calend 01'!E89-1))),'V06 Calend 01'!I89),0))+IF((163='V06 Calend 01'!D89),'V06 Calend 01'!J89,0))</f>
        <v>0</v>
      </c>
      <c r="FT89" s="2">
        <f>((IF((164='V06 Calend 01'!C89),('V06 Calend 01'!F89+'V06 Calend 01'!G89),0)+IF(AND(('V06 Calend 01'!E89&gt;0),(164&gt;'V06 Calend 01'!C89),(164&lt;'V06 Calend 01'!D89),(MOD((164-'V06 Calend 01'!C89),6)=0),(((164-'V06 Calend 01'!C89)/6)&lt;='V06 Calend 01'!E89)),IF((164=('V06 Calend 01'!C89+(6*'V06 Calend 01'!E89))),('V06 Calend 01'!H89-('V06 Calend 01'!I89*('V06 Calend 01'!E89-1))),'V06 Calend 01'!I89),0))+IF((164='V06 Calend 01'!D89),'V06 Calend 01'!J89,0))</f>
        <v>0</v>
      </c>
      <c r="FU89" s="2">
        <f>((IF((165='V06 Calend 01'!C89),('V06 Calend 01'!F89+'V06 Calend 01'!G89),0)+IF(AND(('V06 Calend 01'!E89&gt;0),(165&gt;'V06 Calend 01'!C89),(165&lt;'V06 Calend 01'!D89),(MOD((165-'V06 Calend 01'!C89),6)=0),(((165-'V06 Calend 01'!C89)/6)&lt;='V06 Calend 01'!E89)),IF((165=('V06 Calend 01'!C89+(6*'V06 Calend 01'!E89))),('V06 Calend 01'!H89-('V06 Calend 01'!I89*('V06 Calend 01'!E89-1))),'V06 Calend 01'!I89),0))+IF((165='V06 Calend 01'!D89),'V06 Calend 01'!J89,0))</f>
        <v>0</v>
      </c>
      <c r="FV89" s="2">
        <f>((IF((166='V06 Calend 01'!C89),('V06 Calend 01'!F89+'V06 Calend 01'!G89),0)+IF(AND(('V06 Calend 01'!E89&gt;0),(166&gt;'V06 Calend 01'!C89),(166&lt;'V06 Calend 01'!D89),(MOD((166-'V06 Calend 01'!C89),6)=0),(((166-'V06 Calend 01'!C89)/6)&lt;='V06 Calend 01'!E89)),IF((166=('V06 Calend 01'!C89+(6*'V06 Calend 01'!E89))),('V06 Calend 01'!H89-('V06 Calend 01'!I89*('V06 Calend 01'!E89-1))),'V06 Calend 01'!I89),0))+IF((166='V06 Calend 01'!D89),'V06 Calend 01'!J89,0))</f>
        <v>0</v>
      </c>
      <c r="FW89" s="2">
        <f>((IF((167='V06 Calend 01'!C89),('V06 Calend 01'!F89+'V06 Calend 01'!G89),0)+IF(AND(('V06 Calend 01'!E89&gt;0),(167&gt;'V06 Calend 01'!C89),(167&lt;'V06 Calend 01'!D89),(MOD((167-'V06 Calend 01'!C89),6)=0),(((167-'V06 Calend 01'!C89)/6)&lt;='V06 Calend 01'!E89)),IF((167=('V06 Calend 01'!C89+(6*'V06 Calend 01'!E89))),('V06 Calend 01'!H89-('V06 Calend 01'!I89*('V06 Calend 01'!E89-1))),'V06 Calend 01'!I89),0))+IF((167='V06 Calend 01'!D89),'V06 Calend 01'!J89,0))</f>
        <v>0</v>
      </c>
      <c r="FX89" s="2">
        <f>((IF((168='V06 Calend 01'!C89),('V06 Calend 01'!F89+'V06 Calend 01'!G89),0)+IF(AND(('V06 Calend 01'!E89&gt;0),(168&gt;'V06 Calend 01'!C89),(168&lt;'V06 Calend 01'!D89),(MOD((168-'V06 Calend 01'!C89),6)=0),(((168-'V06 Calend 01'!C89)/6)&lt;='V06 Calend 01'!E89)),IF((168=('V06 Calend 01'!C89+(6*'V06 Calend 01'!E89))),('V06 Calend 01'!H89-('V06 Calend 01'!I89*('V06 Calend 01'!E89-1))),'V06 Calend 01'!I89),0))+IF((168='V06 Calend 01'!D89),'V06 Calend 01'!J89,0))</f>
        <v>0</v>
      </c>
      <c r="FY89" s="2">
        <f>((IF((169='V06 Calend 01'!C89),('V06 Calend 01'!F89+'V06 Calend 01'!G89),0)+IF(AND(('V06 Calend 01'!E89&gt;0),(169&gt;'V06 Calend 01'!C89),(169&lt;'V06 Calend 01'!D89),(MOD((169-'V06 Calend 01'!C89),6)=0),(((169-'V06 Calend 01'!C89)/6)&lt;='V06 Calend 01'!E89)),IF((169=('V06 Calend 01'!C89+(6*'V06 Calend 01'!E89))),('V06 Calend 01'!H89-('V06 Calend 01'!I89*('V06 Calend 01'!E89-1))),'V06 Calend 01'!I89),0))+IF((169='V06 Calend 01'!D89),'V06 Calend 01'!J89,0))</f>
        <v>0</v>
      </c>
      <c r="FZ89" s="2">
        <f>((IF((170='V06 Calend 01'!C89),('V06 Calend 01'!F89+'V06 Calend 01'!G89),0)+IF(AND(('V06 Calend 01'!E89&gt;0),(170&gt;'V06 Calend 01'!C89),(170&lt;'V06 Calend 01'!D89),(MOD((170-'V06 Calend 01'!C89),6)=0),(((170-'V06 Calend 01'!C89)/6)&lt;='V06 Calend 01'!E89)),IF((170=('V06 Calend 01'!C89+(6*'V06 Calend 01'!E89))),('V06 Calend 01'!H89-('V06 Calend 01'!I89*('V06 Calend 01'!E89-1))),'V06 Calend 01'!I89),0))+IF((170='V06 Calend 01'!D89),'V06 Calend 01'!J89,0))</f>
        <v>0</v>
      </c>
      <c r="GA89" s="2">
        <f>((IF((171='V06 Calend 01'!C89),('V06 Calend 01'!F89+'V06 Calend 01'!G89),0)+IF(AND(('V06 Calend 01'!E89&gt;0),(171&gt;'V06 Calend 01'!C89),(171&lt;'V06 Calend 01'!D89),(MOD((171-'V06 Calend 01'!C89),6)=0),(((171-'V06 Calend 01'!C89)/6)&lt;='V06 Calend 01'!E89)),IF((171=('V06 Calend 01'!C89+(6*'V06 Calend 01'!E89))),('V06 Calend 01'!H89-('V06 Calend 01'!I89*('V06 Calend 01'!E89-1))),'V06 Calend 01'!I89),0))+IF((171='V06 Calend 01'!D89),'V06 Calend 01'!J89,0))</f>
        <v>0</v>
      </c>
      <c r="GB89" s="2">
        <f>((IF((172='V06 Calend 01'!C89),('V06 Calend 01'!F89+'V06 Calend 01'!G89),0)+IF(AND(('V06 Calend 01'!E89&gt;0),(172&gt;'V06 Calend 01'!C89),(172&lt;'V06 Calend 01'!D89),(MOD((172-'V06 Calend 01'!C89),6)=0),(((172-'V06 Calend 01'!C89)/6)&lt;='V06 Calend 01'!E89)),IF((172=('V06 Calend 01'!C89+(6*'V06 Calend 01'!E89))),('V06 Calend 01'!H89-('V06 Calend 01'!I89*('V06 Calend 01'!E89-1))),'V06 Calend 01'!I89),0))+IF((172='V06 Calend 01'!D89),'V06 Calend 01'!J89,0))</f>
        <v>0</v>
      </c>
      <c r="GC89" s="2">
        <f>((IF((173='V06 Calend 01'!C89),('V06 Calend 01'!F89+'V06 Calend 01'!G89),0)+IF(AND(('V06 Calend 01'!E89&gt;0),(173&gt;'V06 Calend 01'!C89),(173&lt;'V06 Calend 01'!D89),(MOD((173-'V06 Calend 01'!C89),6)=0),(((173-'V06 Calend 01'!C89)/6)&lt;='V06 Calend 01'!E89)),IF((173=('V06 Calend 01'!C89+(6*'V06 Calend 01'!E89))),('V06 Calend 01'!H89-('V06 Calend 01'!I89*('V06 Calend 01'!E89-1))),'V06 Calend 01'!I89),0))+IF((173='V06 Calend 01'!D89),'V06 Calend 01'!J89,0))</f>
        <v>0</v>
      </c>
      <c r="GD89" s="2">
        <f>((IF((174='V06 Calend 01'!C89),('V06 Calend 01'!F89+'V06 Calend 01'!G89),0)+IF(AND(('V06 Calend 01'!E89&gt;0),(174&gt;'V06 Calend 01'!C89),(174&lt;'V06 Calend 01'!D89),(MOD((174-'V06 Calend 01'!C89),6)=0),(((174-'V06 Calend 01'!C89)/6)&lt;='V06 Calend 01'!E89)),IF((174=('V06 Calend 01'!C89+(6*'V06 Calend 01'!E89))),('V06 Calend 01'!H89-('V06 Calend 01'!I89*('V06 Calend 01'!E89-1))),'V06 Calend 01'!I89),0))+IF((174='V06 Calend 01'!D89),'V06 Calend 01'!J89,0))</f>
        <v>0</v>
      </c>
      <c r="GE89" s="2">
        <f>((IF((175='V06 Calend 01'!C89),('V06 Calend 01'!F89+'V06 Calend 01'!G89),0)+IF(AND(('V06 Calend 01'!E89&gt;0),(175&gt;'V06 Calend 01'!C89),(175&lt;'V06 Calend 01'!D89),(MOD((175-'V06 Calend 01'!C89),6)=0),(((175-'V06 Calend 01'!C89)/6)&lt;='V06 Calend 01'!E89)),IF((175=('V06 Calend 01'!C89+(6*'V06 Calend 01'!E89))),('V06 Calend 01'!H89-('V06 Calend 01'!I89*('V06 Calend 01'!E89-1))),'V06 Calend 01'!I89),0))+IF((175='V06 Calend 01'!D89),'V06 Calend 01'!J89,0))</f>
        <v>0</v>
      </c>
      <c r="GF89" s="2">
        <f>((IF((176='V06 Calend 01'!C89),('V06 Calend 01'!F89+'V06 Calend 01'!G89),0)+IF(AND(('V06 Calend 01'!E89&gt;0),(176&gt;'V06 Calend 01'!C89),(176&lt;'V06 Calend 01'!D89),(MOD((176-'V06 Calend 01'!C89),6)=0),(((176-'V06 Calend 01'!C89)/6)&lt;='V06 Calend 01'!E89)),IF((176=('V06 Calend 01'!C89+(6*'V06 Calend 01'!E89))),('V06 Calend 01'!H89-('V06 Calend 01'!I89*('V06 Calend 01'!E89-1))),'V06 Calend 01'!I89),0))+IF((176='V06 Calend 01'!D89),'V06 Calend 01'!J89,0))</f>
        <v>0</v>
      </c>
      <c r="GG89" s="2">
        <f>((IF((177='V06 Calend 01'!C89),('V06 Calend 01'!F89+'V06 Calend 01'!G89),0)+IF(AND(('V06 Calend 01'!E89&gt;0),(177&gt;'V06 Calend 01'!C89),(177&lt;'V06 Calend 01'!D89),(MOD((177-'V06 Calend 01'!C89),6)=0),(((177-'V06 Calend 01'!C89)/6)&lt;='V06 Calend 01'!E89)),IF((177=('V06 Calend 01'!C89+(6*'V06 Calend 01'!E89))),('V06 Calend 01'!H89-('V06 Calend 01'!I89*('V06 Calend 01'!E89-1))),'V06 Calend 01'!I89),0))+IF((177='V06 Calend 01'!D89),'V06 Calend 01'!J89,0))</f>
        <v>0</v>
      </c>
      <c r="GH89" s="2">
        <f>((IF((178='V06 Calend 01'!C89),('V06 Calend 01'!F89+'V06 Calend 01'!G89),0)+IF(AND(('V06 Calend 01'!E89&gt;0),(178&gt;'V06 Calend 01'!C89),(178&lt;'V06 Calend 01'!D89),(MOD((178-'V06 Calend 01'!C89),6)=0),(((178-'V06 Calend 01'!C89)/6)&lt;='V06 Calend 01'!E89)),IF((178=('V06 Calend 01'!C89+(6*'V06 Calend 01'!E89))),('V06 Calend 01'!H89-('V06 Calend 01'!I89*('V06 Calend 01'!E89-1))),'V06 Calend 01'!I89),0))+IF((178='V06 Calend 01'!D89),'V06 Calend 01'!J89,0))</f>
        <v>0</v>
      </c>
      <c r="GI89" s="2">
        <f>((IF((179='V06 Calend 01'!C89),('V06 Calend 01'!F89+'V06 Calend 01'!G89),0)+IF(AND(('V06 Calend 01'!E89&gt;0),(179&gt;'V06 Calend 01'!C89),(179&lt;'V06 Calend 01'!D89),(MOD((179-'V06 Calend 01'!C89),6)=0),(((179-'V06 Calend 01'!C89)/6)&lt;='V06 Calend 01'!E89)),IF((179=('V06 Calend 01'!C89+(6*'V06 Calend 01'!E89))),('V06 Calend 01'!H89-('V06 Calend 01'!I89*('V06 Calend 01'!E89-1))),'V06 Calend 01'!I89),0))+IF((179='V06 Calend 01'!D89),'V06 Calend 01'!J89,0))</f>
        <v>0</v>
      </c>
      <c r="GJ89" s="2">
        <f>((IF((180='V06 Calend 01'!C89),('V06 Calend 01'!F89+'V06 Calend 01'!G89),0)+IF(AND(('V06 Calend 01'!E89&gt;0),(180&gt;'V06 Calend 01'!C89),(180&lt;'V06 Calend 01'!D89),(MOD((180-'V06 Calend 01'!C89),6)=0),(((180-'V06 Calend 01'!C89)/6)&lt;='V06 Calend 01'!E89)),IF((180=('V06 Calend 01'!C89+(6*'V06 Calend 01'!E89))),('V06 Calend 01'!H89-('V06 Calend 01'!I89*('V06 Calend 01'!E89-1))),'V06 Calend 01'!I89),0))+IF((180='V06 Calend 01'!D89),'V06 Calend 01'!J89,0))</f>
        <v>0</v>
      </c>
    </row>
    <row r="90" spans="1:192">
      <c r="A90" s="3" t="str">
        <f>'V06 Unidades'!$A$90</f>
        <v>1006</v>
      </c>
      <c r="B90" s="2">
        <f>'V06 Unidades'!$H$90</f>
        <v>807723.79</v>
      </c>
      <c r="C90" s="4">
        <f>('V06 Unidades'!$I$90+'V06 Controlos'!$B$37)</f>
        <v>16</v>
      </c>
      <c r="D90" s="4">
        <f>IF(('V06 Controlos'!$B$38&gt;0),MAX(('V06 Unidades'!$L$90+'V06 Controlos'!$B$37),(30+'V06 Controlos'!$B$38)),('V06 Unidades'!$L$90+'V06 Controlos'!$B$37))</f>
        <v>29</v>
      </c>
      <c r="E90" s="4">
        <f>MAX(0,INT(((('V06 Calend 01'!D90-'V06 Calend 01'!C90)-1)/6)))</f>
        <v>2</v>
      </c>
      <c r="F90" s="2">
        <f>ROUND(('V06 Calend 01'!B90*0.05),2)</f>
        <v>40386.19</v>
      </c>
      <c r="G90" s="2">
        <f>ROUND(('V06 Calend 01'!B90*0.2),2)</f>
        <v>161544.76</v>
      </c>
      <c r="H90" s="2">
        <f>ROUND(('V06 Calend 01'!B90*0.55),2)</f>
        <v>444248.08</v>
      </c>
      <c r="I90" s="2">
        <f>ROUND(('V06 Calend 01'!H90/MAX(1,'V06 Calend 01'!E90)),2)</f>
        <v>222124.04</v>
      </c>
      <c r="J90" s="2">
        <f>((('V06 Calend 01'!B90-'V06 Calend 01'!F90)-'V06 Calend 01'!G90)-'V06 Calend 01'!H90)</f>
        <v>161544.76000000007</v>
      </c>
      <c r="K90" s="2">
        <f>('V06 Calend 01'!B90*0.025)</f>
        <v>20193.094750000004</v>
      </c>
      <c r="L90" t="s">
        <v>378</v>
      </c>
      <c r="M90" s="2">
        <f>((IF((1='V06 Calend 01'!C90),('V06 Calend 01'!F90+'V06 Calend 01'!G90),0)+IF(AND(('V06 Calend 01'!E90&gt;0),(1&gt;'V06 Calend 01'!C90),(1&lt;'V06 Calend 01'!D90),(MOD((1-'V06 Calend 01'!C90),6)=0),(((1-'V06 Calend 01'!C90)/6)&lt;='V06 Calend 01'!E90)),IF((1=('V06 Calend 01'!C90+(6*'V06 Calend 01'!E90))),('V06 Calend 01'!H90-('V06 Calend 01'!I90*('V06 Calend 01'!E90-1))),'V06 Calend 01'!I90),0))+IF((1='V06 Calend 01'!D90),'V06 Calend 01'!J90,0))</f>
        <v>0</v>
      </c>
      <c r="N90" s="2">
        <f>((IF((2='V06 Calend 01'!C90),('V06 Calend 01'!F90+'V06 Calend 01'!G90),0)+IF(AND(('V06 Calend 01'!E90&gt;0),(2&gt;'V06 Calend 01'!C90),(2&lt;'V06 Calend 01'!D90),(MOD((2-'V06 Calend 01'!C90),6)=0),(((2-'V06 Calend 01'!C90)/6)&lt;='V06 Calend 01'!E90)),IF((2=('V06 Calend 01'!C90+(6*'V06 Calend 01'!E90))),('V06 Calend 01'!H90-('V06 Calend 01'!I90*('V06 Calend 01'!E90-1))),'V06 Calend 01'!I90),0))+IF((2='V06 Calend 01'!D90),'V06 Calend 01'!J90,0))</f>
        <v>0</v>
      </c>
      <c r="O90" s="2">
        <f>((IF((3='V06 Calend 01'!C90),('V06 Calend 01'!F90+'V06 Calend 01'!G90),0)+IF(AND(('V06 Calend 01'!E90&gt;0),(3&gt;'V06 Calend 01'!C90),(3&lt;'V06 Calend 01'!D90),(MOD((3-'V06 Calend 01'!C90),6)=0),(((3-'V06 Calend 01'!C90)/6)&lt;='V06 Calend 01'!E90)),IF((3=('V06 Calend 01'!C90+(6*'V06 Calend 01'!E90))),('V06 Calend 01'!H90-('V06 Calend 01'!I90*('V06 Calend 01'!E90-1))),'V06 Calend 01'!I90),0))+IF((3='V06 Calend 01'!D90),'V06 Calend 01'!J90,0))</f>
        <v>0</v>
      </c>
      <c r="P90" s="2">
        <f>((IF((4='V06 Calend 01'!C90),('V06 Calend 01'!F90+'V06 Calend 01'!G90),0)+IF(AND(('V06 Calend 01'!E90&gt;0),(4&gt;'V06 Calend 01'!C90),(4&lt;'V06 Calend 01'!D90),(MOD((4-'V06 Calend 01'!C90),6)=0),(((4-'V06 Calend 01'!C90)/6)&lt;='V06 Calend 01'!E90)),IF((4=('V06 Calend 01'!C90+(6*'V06 Calend 01'!E90))),('V06 Calend 01'!H90-('V06 Calend 01'!I90*('V06 Calend 01'!E90-1))),'V06 Calend 01'!I90),0))+IF((4='V06 Calend 01'!D90),'V06 Calend 01'!J90,0))</f>
        <v>0</v>
      </c>
      <c r="Q90" s="2">
        <f>((IF((5='V06 Calend 01'!C90),('V06 Calend 01'!F90+'V06 Calend 01'!G90),0)+IF(AND(('V06 Calend 01'!E90&gt;0),(5&gt;'V06 Calend 01'!C90),(5&lt;'V06 Calend 01'!D90),(MOD((5-'V06 Calend 01'!C90),6)=0),(((5-'V06 Calend 01'!C90)/6)&lt;='V06 Calend 01'!E90)),IF((5=('V06 Calend 01'!C90+(6*'V06 Calend 01'!E90))),('V06 Calend 01'!H90-('V06 Calend 01'!I90*('V06 Calend 01'!E90-1))),'V06 Calend 01'!I90),0))+IF((5='V06 Calend 01'!D90),'V06 Calend 01'!J90,0))</f>
        <v>0</v>
      </c>
      <c r="R90" s="2">
        <f>((IF((6='V06 Calend 01'!C90),('V06 Calend 01'!F90+'V06 Calend 01'!G90),0)+IF(AND(('V06 Calend 01'!E90&gt;0),(6&gt;'V06 Calend 01'!C90),(6&lt;'V06 Calend 01'!D90),(MOD((6-'V06 Calend 01'!C90),6)=0),(((6-'V06 Calend 01'!C90)/6)&lt;='V06 Calend 01'!E90)),IF((6=('V06 Calend 01'!C90+(6*'V06 Calend 01'!E90))),('V06 Calend 01'!H90-('V06 Calend 01'!I90*('V06 Calend 01'!E90-1))),'V06 Calend 01'!I90),0))+IF((6='V06 Calend 01'!D90),'V06 Calend 01'!J90,0))</f>
        <v>0</v>
      </c>
      <c r="S90" s="2">
        <f>((IF((7='V06 Calend 01'!C90),('V06 Calend 01'!F90+'V06 Calend 01'!G90),0)+IF(AND(('V06 Calend 01'!E90&gt;0),(7&gt;'V06 Calend 01'!C90),(7&lt;'V06 Calend 01'!D90),(MOD((7-'V06 Calend 01'!C90),6)=0),(((7-'V06 Calend 01'!C90)/6)&lt;='V06 Calend 01'!E90)),IF((7=('V06 Calend 01'!C90+(6*'V06 Calend 01'!E90))),('V06 Calend 01'!H90-('V06 Calend 01'!I90*('V06 Calend 01'!E90-1))),'V06 Calend 01'!I90),0))+IF((7='V06 Calend 01'!D90),'V06 Calend 01'!J90,0))</f>
        <v>0</v>
      </c>
      <c r="T90" s="2">
        <f>((IF((8='V06 Calend 01'!C90),('V06 Calend 01'!F90+'V06 Calend 01'!G90),0)+IF(AND(('V06 Calend 01'!E90&gt;0),(8&gt;'V06 Calend 01'!C90),(8&lt;'V06 Calend 01'!D90),(MOD((8-'V06 Calend 01'!C90),6)=0),(((8-'V06 Calend 01'!C90)/6)&lt;='V06 Calend 01'!E90)),IF((8=('V06 Calend 01'!C90+(6*'V06 Calend 01'!E90))),('V06 Calend 01'!H90-('V06 Calend 01'!I90*('V06 Calend 01'!E90-1))),'V06 Calend 01'!I90),0))+IF((8='V06 Calend 01'!D90),'V06 Calend 01'!J90,0))</f>
        <v>0</v>
      </c>
      <c r="U90" s="2">
        <f>((IF((9='V06 Calend 01'!C90),('V06 Calend 01'!F90+'V06 Calend 01'!G90),0)+IF(AND(('V06 Calend 01'!E90&gt;0),(9&gt;'V06 Calend 01'!C90),(9&lt;'V06 Calend 01'!D90),(MOD((9-'V06 Calend 01'!C90),6)=0),(((9-'V06 Calend 01'!C90)/6)&lt;='V06 Calend 01'!E90)),IF((9=('V06 Calend 01'!C90+(6*'V06 Calend 01'!E90))),('V06 Calend 01'!H90-('V06 Calend 01'!I90*('V06 Calend 01'!E90-1))),'V06 Calend 01'!I90),0))+IF((9='V06 Calend 01'!D90),'V06 Calend 01'!J90,0))</f>
        <v>0</v>
      </c>
      <c r="V90" s="2">
        <f>((IF((10='V06 Calend 01'!C90),('V06 Calend 01'!F90+'V06 Calend 01'!G90),0)+IF(AND(('V06 Calend 01'!E90&gt;0),(10&gt;'V06 Calend 01'!C90),(10&lt;'V06 Calend 01'!D90),(MOD((10-'V06 Calend 01'!C90),6)=0),(((10-'V06 Calend 01'!C90)/6)&lt;='V06 Calend 01'!E90)),IF((10=('V06 Calend 01'!C90+(6*'V06 Calend 01'!E90))),('V06 Calend 01'!H90-('V06 Calend 01'!I90*('V06 Calend 01'!E90-1))),'V06 Calend 01'!I90),0))+IF((10='V06 Calend 01'!D90),'V06 Calend 01'!J90,0))</f>
        <v>0</v>
      </c>
      <c r="W90" s="2">
        <f>((IF((11='V06 Calend 01'!C90),('V06 Calend 01'!F90+'V06 Calend 01'!G90),0)+IF(AND(('V06 Calend 01'!E90&gt;0),(11&gt;'V06 Calend 01'!C90),(11&lt;'V06 Calend 01'!D90),(MOD((11-'V06 Calend 01'!C90),6)=0),(((11-'V06 Calend 01'!C90)/6)&lt;='V06 Calend 01'!E90)),IF((11=('V06 Calend 01'!C90+(6*'V06 Calend 01'!E90))),('V06 Calend 01'!H90-('V06 Calend 01'!I90*('V06 Calend 01'!E90-1))),'V06 Calend 01'!I90),0))+IF((11='V06 Calend 01'!D90),'V06 Calend 01'!J90,0))</f>
        <v>0</v>
      </c>
      <c r="X90" s="2">
        <f>((IF((12='V06 Calend 01'!C90),('V06 Calend 01'!F90+'V06 Calend 01'!G90),0)+IF(AND(('V06 Calend 01'!E90&gt;0),(12&gt;'V06 Calend 01'!C90),(12&lt;'V06 Calend 01'!D90),(MOD((12-'V06 Calend 01'!C90),6)=0),(((12-'V06 Calend 01'!C90)/6)&lt;='V06 Calend 01'!E90)),IF((12=('V06 Calend 01'!C90+(6*'V06 Calend 01'!E90))),('V06 Calend 01'!H90-('V06 Calend 01'!I90*('V06 Calend 01'!E90-1))),'V06 Calend 01'!I90),0))+IF((12='V06 Calend 01'!D90),'V06 Calend 01'!J90,0))</f>
        <v>0</v>
      </c>
      <c r="Y90" s="2">
        <f>((IF((13='V06 Calend 01'!C90),('V06 Calend 01'!F90+'V06 Calend 01'!G90),0)+IF(AND(('V06 Calend 01'!E90&gt;0),(13&gt;'V06 Calend 01'!C90),(13&lt;'V06 Calend 01'!D90),(MOD((13-'V06 Calend 01'!C90),6)=0),(((13-'V06 Calend 01'!C90)/6)&lt;='V06 Calend 01'!E90)),IF((13=('V06 Calend 01'!C90+(6*'V06 Calend 01'!E90))),('V06 Calend 01'!H90-('V06 Calend 01'!I90*('V06 Calend 01'!E90-1))),'V06 Calend 01'!I90),0))+IF((13='V06 Calend 01'!D90),'V06 Calend 01'!J90,0))</f>
        <v>0</v>
      </c>
      <c r="Z90" s="2">
        <f>((IF((14='V06 Calend 01'!C90),('V06 Calend 01'!F90+'V06 Calend 01'!G90),0)+IF(AND(('V06 Calend 01'!E90&gt;0),(14&gt;'V06 Calend 01'!C90),(14&lt;'V06 Calend 01'!D90),(MOD((14-'V06 Calend 01'!C90),6)=0),(((14-'V06 Calend 01'!C90)/6)&lt;='V06 Calend 01'!E90)),IF((14=('V06 Calend 01'!C90+(6*'V06 Calend 01'!E90))),('V06 Calend 01'!H90-('V06 Calend 01'!I90*('V06 Calend 01'!E90-1))),'V06 Calend 01'!I90),0))+IF((14='V06 Calend 01'!D90),'V06 Calend 01'!J90,0))</f>
        <v>0</v>
      </c>
      <c r="AA90" s="2">
        <f>((IF((15='V06 Calend 01'!C90),('V06 Calend 01'!F90+'V06 Calend 01'!G90),0)+IF(AND(('V06 Calend 01'!E90&gt;0),(15&gt;'V06 Calend 01'!C90),(15&lt;'V06 Calend 01'!D90),(MOD((15-'V06 Calend 01'!C90),6)=0),(((15-'V06 Calend 01'!C90)/6)&lt;='V06 Calend 01'!E90)),IF((15=('V06 Calend 01'!C90+(6*'V06 Calend 01'!E90))),('V06 Calend 01'!H90-('V06 Calend 01'!I90*('V06 Calend 01'!E90-1))),'V06 Calend 01'!I90),0))+IF((15='V06 Calend 01'!D90),'V06 Calend 01'!J90,0))</f>
        <v>0</v>
      </c>
      <c r="AB90" s="2">
        <f>((IF((16='V06 Calend 01'!C90),('V06 Calend 01'!F90+'V06 Calend 01'!G90),0)+IF(AND(('V06 Calend 01'!E90&gt;0),(16&gt;'V06 Calend 01'!C90),(16&lt;'V06 Calend 01'!D90),(MOD((16-'V06 Calend 01'!C90),6)=0),(((16-'V06 Calend 01'!C90)/6)&lt;='V06 Calend 01'!E90)),IF((16=('V06 Calend 01'!C90+(6*'V06 Calend 01'!E90))),('V06 Calend 01'!H90-('V06 Calend 01'!I90*('V06 Calend 01'!E90-1))),'V06 Calend 01'!I90),0))+IF((16='V06 Calend 01'!D90),'V06 Calend 01'!J90,0))</f>
        <v>201930.95</v>
      </c>
      <c r="AC90" s="2">
        <f>((IF((17='V06 Calend 01'!C90),('V06 Calend 01'!F90+'V06 Calend 01'!G90),0)+IF(AND(('V06 Calend 01'!E90&gt;0),(17&gt;'V06 Calend 01'!C90),(17&lt;'V06 Calend 01'!D90),(MOD((17-'V06 Calend 01'!C90),6)=0),(((17-'V06 Calend 01'!C90)/6)&lt;='V06 Calend 01'!E90)),IF((17=('V06 Calend 01'!C90+(6*'V06 Calend 01'!E90))),('V06 Calend 01'!H90-('V06 Calend 01'!I90*('V06 Calend 01'!E90-1))),'V06 Calend 01'!I90),0))+IF((17='V06 Calend 01'!D90),'V06 Calend 01'!J90,0))</f>
        <v>0</v>
      </c>
      <c r="AD90" s="2">
        <f>((IF((18='V06 Calend 01'!C90),('V06 Calend 01'!F90+'V06 Calend 01'!G90),0)+IF(AND(('V06 Calend 01'!E90&gt;0),(18&gt;'V06 Calend 01'!C90),(18&lt;'V06 Calend 01'!D90),(MOD((18-'V06 Calend 01'!C90),6)=0),(((18-'V06 Calend 01'!C90)/6)&lt;='V06 Calend 01'!E90)),IF((18=('V06 Calend 01'!C90+(6*'V06 Calend 01'!E90))),('V06 Calend 01'!H90-('V06 Calend 01'!I90*('V06 Calend 01'!E90-1))),'V06 Calend 01'!I90),0))+IF((18='V06 Calend 01'!D90),'V06 Calend 01'!J90,0))</f>
        <v>0</v>
      </c>
      <c r="AE90" s="2">
        <f>((IF((19='V06 Calend 01'!C90),('V06 Calend 01'!F90+'V06 Calend 01'!G90),0)+IF(AND(('V06 Calend 01'!E90&gt;0),(19&gt;'V06 Calend 01'!C90),(19&lt;'V06 Calend 01'!D90),(MOD((19-'V06 Calend 01'!C90),6)=0),(((19-'V06 Calend 01'!C90)/6)&lt;='V06 Calend 01'!E90)),IF((19=('V06 Calend 01'!C90+(6*'V06 Calend 01'!E90))),('V06 Calend 01'!H90-('V06 Calend 01'!I90*('V06 Calend 01'!E90-1))),'V06 Calend 01'!I90),0))+IF((19='V06 Calend 01'!D90),'V06 Calend 01'!J90,0))</f>
        <v>0</v>
      </c>
      <c r="AF90" s="2">
        <f>((IF((20='V06 Calend 01'!C90),('V06 Calend 01'!F90+'V06 Calend 01'!G90),0)+IF(AND(('V06 Calend 01'!E90&gt;0),(20&gt;'V06 Calend 01'!C90),(20&lt;'V06 Calend 01'!D90),(MOD((20-'V06 Calend 01'!C90),6)=0),(((20-'V06 Calend 01'!C90)/6)&lt;='V06 Calend 01'!E90)),IF((20=('V06 Calend 01'!C90+(6*'V06 Calend 01'!E90))),('V06 Calend 01'!H90-('V06 Calend 01'!I90*('V06 Calend 01'!E90-1))),'V06 Calend 01'!I90),0))+IF((20='V06 Calend 01'!D90),'V06 Calend 01'!J90,0))</f>
        <v>0</v>
      </c>
      <c r="AG90" s="2">
        <f>((IF((21='V06 Calend 01'!C90),('V06 Calend 01'!F90+'V06 Calend 01'!G90),0)+IF(AND(('V06 Calend 01'!E90&gt;0),(21&gt;'V06 Calend 01'!C90),(21&lt;'V06 Calend 01'!D90),(MOD((21-'V06 Calend 01'!C90),6)=0),(((21-'V06 Calend 01'!C90)/6)&lt;='V06 Calend 01'!E90)),IF((21=('V06 Calend 01'!C90+(6*'V06 Calend 01'!E90))),('V06 Calend 01'!H90-('V06 Calend 01'!I90*('V06 Calend 01'!E90-1))),'V06 Calend 01'!I90),0))+IF((21='V06 Calend 01'!D90),'V06 Calend 01'!J90,0))</f>
        <v>0</v>
      </c>
      <c r="AH90" s="2">
        <f>((IF((22='V06 Calend 01'!C90),('V06 Calend 01'!F90+'V06 Calend 01'!G90),0)+IF(AND(('V06 Calend 01'!E90&gt;0),(22&gt;'V06 Calend 01'!C90),(22&lt;'V06 Calend 01'!D90),(MOD((22-'V06 Calend 01'!C90),6)=0),(((22-'V06 Calend 01'!C90)/6)&lt;='V06 Calend 01'!E90)),IF((22=('V06 Calend 01'!C90+(6*'V06 Calend 01'!E90))),('V06 Calend 01'!H90-('V06 Calend 01'!I90*('V06 Calend 01'!E90-1))),'V06 Calend 01'!I90),0))+IF((22='V06 Calend 01'!D90),'V06 Calend 01'!J90,0))</f>
        <v>222124.04</v>
      </c>
      <c r="AI90" s="2">
        <f>((IF((23='V06 Calend 01'!C90),('V06 Calend 01'!F90+'V06 Calend 01'!G90),0)+IF(AND(('V06 Calend 01'!E90&gt;0),(23&gt;'V06 Calend 01'!C90),(23&lt;'V06 Calend 01'!D90),(MOD((23-'V06 Calend 01'!C90),6)=0),(((23-'V06 Calend 01'!C90)/6)&lt;='V06 Calend 01'!E90)),IF((23=('V06 Calend 01'!C90+(6*'V06 Calend 01'!E90))),('V06 Calend 01'!H90-('V06 Calend 01'!I90*('V06 Calend 01'!E90-1))),'V06 Calend 01'!I90),0))+IF((23='V06 Calend 01'!D90),'V06 Calend 01'!J90,0))</f>
        <v>0</v>
      </c>
      <c r="AJ90" s="2">
        <f>((IF((24='V06 Calend 01'!C90),('V06 Calend 01'!F90+'V06 Calend 01'!G90),0)+IF(AND(('V06 Calend 01'!E90&gt;0),(24&gt;'V06 Calend 01'!C90),(24&lt;'V06 Calend 01'!D90),(MOD((24-'V06 Calend 01'!C90),6)=0),(((24-'V06 Calend 01'!C90)/6)&lt;='V06 Calend 01'!E90)),IF((24=('V06 Calend 01'!C90+(6*'V06 Calend 01'!E90))),('V06 Calend 01'!H90-('V06 Calend 01'!I90*('V06 Calend 01'!E90-1))),'V06 Calend 01'!I90),0))+IF((24='V06 Calend 01'!D90),'V06 Calend 01'!J90,0))</f>
        <v>0</v>
      </c>
      <c r="AK90" s="2">
        <f>((IF((25='V06 Calend 01'!C90),('V06 Calend 01'!F90+'V06 Calend 01'!G90),0)+IF(AND(('V06 Calend 01'!E90&gt;0),(25&gt;'V06 Calend 01'!C90),(25&lt;'V06 Calend 01'!D90),(MOD((25-'V06 Calend 01'!C90),6)=0),(((25-'V06 Calend 01'!C90)/6)&lt;='V06 Calend 01'!E90)),IF((25=('V06 Calend 01'!C90+(6*'V06 Calend 01'!E90))),('V06 Calend 01'!H90-('V06 Calend 01'!I90*('V06 Calend 01'!E90-1))),'V06 Calend 01'!I90),0))+IF((25='V06 Calend 01'!D90),'V06 Calend 01'!J90,0))</f>
        <v>0</v>
      </c>
      <c r="AL90" s="2">
        <f>((IF((26='V06 Calend 01'!C90),('V06 Calend 01'!F90+'V06 Calend 01'!G90),0)+IF(AND(('V06 Calend 01'!E90&gt;0),(26&gt;'V06 Calend 01'!C90),(26&lt;'V06 Calend 01'!D90),(MOD((26-'V06 Calend 01'!C90),6)=0),(((26-'V06 Calend 01'!C90)/6)&lt;='V06 Calend 01'!E90)),IF((26=('V06 Calend 01'!C90+(6*'V06 Calend 01'!E90))),('V06 Calend 01'!H90-('V06 Calend 01'!I90*('V06 Calend 01'!E90-1))),'V06 Calend 01'!I90),0))+IF((26='V06 Calend 01'!D90),'V06 Calend 01'!J90,0))</f>
        <v>0</v>
      </c>
      <c r="AM90" s="2">
        <f>((IF((27='V06 Calend 01'!C90),('V06 Calend 01'!F90+'V06 Calend 01'!G90),0)+IF(AND(('V06 Calend 01'!E90&gt;0),(27&gt;'V06 Calend 01'!C90),(27&lt;'V06 Calend 01'!D90),(MOD((27-'V06 Calend 01'!C90),6)=0),(((27-'V06 Calend 01'!C90)/6)&lt;='V06 Calend 01'!E90)),IF((27=('V06 Calend 01'!C90+(6*'V06 Calend 01'!E90))),('V06 Calend 01'!H90-('V06 Calend 01'!I90*('V06 Calend 01'!E90-1))),'V06 Calend 01'!I90),0))+IF((27='V06 Calend 01'!D90),'V06 Calend 01'!J90,0))</f>
        <v>0</v>
      </c>
      <c r="AN90" s="2">
        <f>((IF((28='V06 Calend 01'!C90),('V06 Calend 01'!F90+'V06 Calend 01'!G90),0)+IF(AND(('V06 Calend 01'!E90&gt;0),(28&gt;'V06 Calend 01'!C90),(28&lt;'V06 Calend 01'!D90),(MOD((28-'V06 Calend 01'!C90),6)=0),(((28-'V06 Calend 01'!C90)/6)&lt;='V06 Calend 01'!E90)),IF((28=('V06 Calend 01'!C90+(6*'V06 Calend 01'!E90))),('V06 Calend 01'!H90-('V06 Calend 01'!I90*('V06 Calend 01'!E90-1))),'V06 Calend 01'!I90),0))+IF((28='V06 Calend 01'!D90),'V06 Calend 01'!J90,0))</f>
        <v>222124.04</v>
      </c>
      <c r="AO90" s="2">
        <f>((IF((29='V06 Calend 01'!C90),('V06 Calend 01'!F90+'V06 Calend 01'!G90),0)+IF(AND(('V06 Calend 01'!E90&gt;0),(29&gt;'V06 Calend 01'!C90),(29&lt;'V06 Calend 01'!D90),(MOD((29-'V06 Calend 01'!C90),6)=0),(((29-'V06 Calend 01'!C90)/6)&lt;='V06 Calend 01'!E90)),IF((29=('V06 Calend 01'!C90+(6*'V06 Calend 01'!E90))),('V06 Calend 01'!H90-('V06 Calend 01'!I90*('V06 Calend 01'!E90-1))),'V06 Calend 01'!I90),0))+IF((29='V06 Calend 01'!D90),'V06 Calend 01'!J90,0))</f>
        <v>161544.76000000007</v>
      </c>
      <c r="AP90" s="2">
        <f>((IF((30='V06 Calend 01'!C90),('V06 Calend 01'!F90+'V06 Calend 01'!G90),0)+IF(AND(('V06 Calend 01'!E90&gt;0),(30&gt;'V06 Calend 01'!C90),(30&lt;'V06 Calend 01'!D90),(MOD((30-'V06 Calend 01'!C90),6)=0),(((30-'V06 Calend 01'!C90)/6)&lt;='V06 Calend 01'!E90)),IF((30=('V06 Calend 01'!C90+(6*'V06 Calend 01'!E90))),('V06 Calend 01'!H90-('V06 Calend 01'!I90*('V06 Calend 01'!E90-1))),'V06 Calend 01'!I90),0))+IF((30='V06 Calend 01'!D90),'V06 Calend 01'!J90,0))</f>
        <v>0</v>
      </c>
      <c r="AQ90" s="2">
        <f>((IF((31='V06 Calend 01'!C90),('V06 Calend 01'!F90+'V06 Calend 01'!G90),0)+IF(AND(('V06 Calend 01'!E90&gt;0),(31&gt;'V06 Calend 01'!C90),(31&lt;'V06 Calend 01'!D90),(MOD((31-'V06 Calend 01'!C90),6)=0),(((31-'V06 Calend 01'!C90)/6)&lt;='V06 Calend 01'!E90)),IF((31=('V06 Calend 01'!C90+(6*'V06 Calend 01'!E90))),('V06 Calend 01'!H90-('V06 Calend 01'!I90*('V06 Calend 01'!E90-1))),'V06 Calend 01'!I90),0))+IF((31='V06 Calend 01'!D90),'V06 Calend 01'!J90,0))</f>
        <v>0</v>
      </c>
      <c r="AR90" s="2">
        <f>((IF((32='V06 Calend 01'!C90),('V06 Calend 01'!F90+'V06 Calend 01'!G90),0)+IF(AND(('V06 Calend 01'!E90&gt;0),(32&gt;'V06 Calend 01'!C90),(32&lt;'V06 Calend 01'!D90),(MOD((32-'V06 Calend 01'!C90),6)=0),(((32-'V06 Calend 01'!C90)/6)&lt;='V06 Calend 01'!E90)),IF((32=('V06 Calend 01'!C90+(6*'V06 Calend 01'!E90))),('V06 Calend 01'!H90-('V06 Calend 01'!I90*('V06 Calend 01'!E90-1))),'V06 Calend 01'!I90),0))+IF((32='V06 Calend 01'!D90),'V06 Calend 01'!J90,0))</f>
        <v>0</v>
      </c>
      <c r="AS90" s="2">
        <f>((IF((33='V06 Calend 01'!C90),('V06 Calend 01'!F90+'V06 Calend 01'!G90),0)+IF(AND(('V06 Calend 01'!E90&gt;0),(33&gt;'V06 Calend 01'!C90),(33&lt;'V06 Calend 01'!D90),(MOD((33-'V06 Calend 01'!C90),6)=0),(((33-'V06 Calend 01'!C90)/6)&lt;='V06 Calend 01'!E90)),IF((33=('V06 Calend 01'!C90+(6*'V06 Calend 01'!E90))),('V06 Calend 01'!H90-('V06 Calend 01'!I90*('V06 Calend 01'!E90-1))),'V06 Calend 01'!I90),0))+IF((33='V06 Calend 01'!D90),'V06 Calend 01'!J90,0))</f>
        <v>0</v>
      </c>
      <c r="AT90" s="2">
        <f>((IF((34='V06 Calend 01'!C90),('V06 Calend 01'!F90+'V06 Calend 01'!G90),0)+IF(AND(('V06 Calend 01'!E90&gt;0),(34&gt;'V06 Calend 01'!C90),(34&lt;'V06 Calend 01'!D90),(MOD((34-'V06 Calend 01'!C90),6)=0),(((34-'V06 Calend 01'!C90)/6)&lt;='V06 Calend 01'!E90)),IF((34=('V06 Calend 01'!C90+(6*'V06 Calend 01'!E90))),('V06 Calend 01'!H90-('V06 Calend 01'!I90*('V06 Calend 01'!E90-1))),'V06 Calend 01'!I90),0))+IF((34='V06 Calend 01'!D90),'V06 Calend 01'!J90,0))</f>
        <v>0</v>
      </c>
      <c r="AU90" s="2">
        <f>((IF((35='V06 Calend 01'!C90),('V06 Calend 01'!F90+'V06 Calend 01'!G90),0)+IF(AND(('V06 Calend 01'!E90&gt;0),(35&gt;'V06 Calend 01'!C90),(35&lt;'V06 Calend 01'!D90),(MOD((35-'V06 Calend 01'!C90),6)=0),(((35-'V06 Calend 01'!C90)/6)&lt;='V06 Calend 01'!E90)),IF((35=('V06 Calend 01'!C90+(6*'V06 Calend 01'!E90))),('V06 Calend 01'!H90-('V06 Calend 01'!I90*('V06 Calend 01'!E90-1))),'V06 Calend 01'!I90),0))+IF((35='V06 Calend 01'!D90),'V06 Calend 01'!J90,0))</f>
        <v>0</v>
      </c>
      <c r="AV90" s="2">
        <f>((IF((36='V06 Calend 01'!C90),('V06 Calend 01'!F90+'V06 Calend 01'!G90),0)+IF(AND(('V06 Calend 01'!E90&gt;0),(36&gt;'V06 Calend 01'!C90),(36&lt;'V06 Calend 01'!D90),(MOD((36-'V06 Calend 01'!C90),6)=0),(((36-'V06 Calend 01'!C90)/6)&lt;='V06 Calend 01'!E90)),IF((36=('V06 Calend 01'!C90+(6*'V06 Calend 01'!E90))),('V06 Calend 01'!H90-('V06 Calend 01'!I90*('V06 Calend 01'!E90-1))),'V06 Calend 01'!I90),0))+IF((36='V06 Calend 01'!D90),'V06 Calend 01'!J90,0))</f>
        <v>0</v>
      </c>
      <c r="AW90" s="2">
        <f>((IF((37='V06 Calend 01'!C90),('V06 Calend 01'!F90+'V06 Calend 01'!G90),0)+IF(AND(('V06 Calend 01'!E90&gt;0),(37&gt;'V06 Calend 01'!C90),(37&lt;'V06 Calend 01'!D90),(MOD((37-'V06 Calend 01'!C90),6)=0),(((37-'V06 Calend 01'!C90)/6)&lt;='V06 Calend 01'!E90)),IF((37=('V06 Calend 01'!C90+(6*'V06 Calend 01'!E90))),('V06 Calend 01'!H90-('V06 Calend 01'!I90*('V06 Calend 01'!E90-1))),'V06 Calend 01'!I90),0))+IF((37='V06 Calend 01'!D90),'V06 Calend 01'!J90,0))</f>
        <v>0</v>
      </c>
      <c r="AX90" s="2">
        <f>((IF((38='V06 Calend 01'!C90),('V06 Calend 01'!F90+'V06 Calend 01'!G90),0)+IF(AND(('V06 Calend 01'!E90&gt;0),(38&gt;'V06 Calend 01'!C90),(38&lt;'V06 Calend 01'!D90),(MOD((38-'V06 Calend 01'!C90),6)=0),(((38-'V06 Calend 01'!C90)/6)&lt;='V06 Calend 01'!E90)),IF((38=('V06 Calend 01'!C90+(6*'V06 Calend 01'!E90))),('V06 Calend 01'!H90-('V06 Calend 01'!I90*('V06 Calend 01'!E90-1))),'V06 Calend 01'!I90),0))+IF((38='V06 Calend 01'!D90),'V06 Calend 01'!J90,0))</f>
        <v>0</v>
      </c>
      <c r="AY90" s="2">
        <f>((IF((39='V06 Calend 01'!C90),('V06 Calend 01'!F90+'V06 Calend 01'!G90),0)+IF(AND(('V06 Calend 01'!E90&gt;0),(39&gt;'V06 Calend 01'!C90),(39&lt;'V06 Calend 01'!D90),(MOD((39-'V06 Calend 01'!C90),6)=0),(((39-'V06 Calend 01'!C90)/6)&lt;='V06 Calend 01'!E90)),IF((39=('V06 Calend 01'!C90+(6*'V06 Calend 01'!E90))),('V06 Calend 01'!H90-('V06 Calend 01'!I90*('V06 Calend 01'!E90-1))),'V06 Calend 01'!I90),0))+IF((39='V06 Calend 01'!D90),'V06 Calend 01'!J90,0))</f>
        <v>0</v>
      </c>
      <c r="AZ90" s="2">
        <f>((IF((40='V06 Calend 01'!C90),('V06 Calend 01'!F90+'V06 Calend 01'!G90),0)+IF(AND(('V06 Calend 01'!E90&gt;0),(40&gt;'V06 Calend 01'!C90),(40&lt;'V06 Calend 01'!D90),(MOD((40-'V06 Calend 01'!C90),6)=0),(((40-'V06 Calend 01'!C90)/6)&lt;='V06 Calend 01'!E90)),IF((40=('V06 Calend 01'!C90+(6*'V06 Calend 01'!E90))),('V06 Calend 01'!H90-('V06 Calend 01'!I90*('V06 Calend 01'!E90-1))),'V06 Calend 01'!I90),0))+IF((40='V06 Calend 01'!D90),'V06 Calend 01'!J90,0))</f>
        <v>0</v>
      </c>
      <c r="BA90" s="2">
        <f>((IF((41='V06 Calend 01'!C90),('V06 Calend 01'!F90+'V06 Calend 01'!G90),0)+IF(AND(('V06 Calend 01'!E90&gt;0),(41&gt;'V06 Calend 01'!C90),(41&lt;'V06 Calend 01'!D90),(MOD((41-'V06 Calend 01'!C90),6)=0),(((41-'V06 Calend 01'!C90)/6)&lt;='V06 Calend 01'!E90)),IF((41=('V06 Calend 01'!C90+(6*'V06 Calend 01'!E90))),('V06 Calend 01'!H90-('V06 Calend 01'!I90*('V06 Calend 01'!E90-1))),'V06 Calend 01'!I90),0))+IF((41='V06 Calend 01'!D90),'V06 Calend 01'!J90,0))</f>
        <v>0</v>
      </c>
      <c r="BB90" s="2">
        <f>((IF((42='V06 Calend 01'!C90),('V06 Calend 01'!F90+'V06 Calend 01'!G90),0)+IF(AND(('V06 Calend 01'!E90&gt;0),(42&gt;'V06 Calend 01'!C90),(42&lt;'V06 Calend 01'!D90),(MOD((42-'V06 Calend 01'!C90),6)=0),(((42-'V06 Calend 01'!C90)/6)&lt;='V06 Calend 01'!E90)),IF((42=('V06 Calend 01'!C90+(6*'V06 Calend 01'!E90))),('V06 Calend 01'!H90-('V06 Calend 01'!I90*('V06 Calend 01'!E90-1))),'V06 Calend 01'!I90),0))+IF((42='V06 Calend 01'!D90),'V06 Calend 01'!J90,0))</f>
        <v>0</v>
      </c>
      <c r="BC90" s="2">
        <f>((IF((43='V06 Calend 01'!C90),('V06 Calend 01'!F90+'V06 Calend 01'!G90),0)+IF(AND(('V06 Calend 01'!E90&gt;0),(43&gt;'V06 Calend 01'!C90),(43&lt;'V06 Calend 01'!D90),(MOD((43-'V06 Calend 01'!C90),6)=0),(((43-'V06 Calend 01'!C90)/6)&lt;='V06 Calend 01'!E90)),IF((43=('V06 Calend 01'!C90+(6*'V06 Calend 01'!E90))),('V06 Calend 01'!H90-('V06 Calend 01'!I90*('V06 Calend 01'!E90-1))),'V06 Calend 01'!I90),0))+IF((43='V06 Calend 01'!D90),'V06 Calend 01'!J90,0))</f>
        <v>0</v>
      </c>
      <c r="BD90" s="2">
        <f>((IF((44='V06 Calend 01'!C90),('V06 Calend 01'!F90+'V06 Calend 01'!G90),0)+IF(AND(('V06 Calend 01'!E90&gt;0),(44&gt;'V06 Calend 01'!C90),(44&lt;'V06 Calend 01'!D90),(MOD((44-'V06 Calend 01'!C90),6)=0),(((44-'V06 Calend 01'!C90)/6)&lt;='V06 Calend 01'!E90)),IF((44=('V06 Calend 01'!C90+(6*'V06 Calend 01'!E90))),('V06 Calend 01'!H90-('V06 Calend 01'!I90*('V06 Calend 01'!E90-1))),'V06 Calend 01'!I90),0))+IF((44='V06 Calend 01'!D90),'V06 Calend 01'!J90,0))</f>
        <v>0</v>
      </c>
      <c r="BE90" s="2">
        <f>((IF((45='V06 Calend 01'!C90),('V06 Calend 01'!F90+'V06 Calend 01'!G90),0)+IF(AND(('V06 Calend 01'!E90&gt;0),(45&gt;'V06 Calend 01'!C90),(45&lt;'V06 Calend 01'!D90),(MOD((45-'V06 Calend 01'!C90),6)=0),(((45-'V06 Calend 01'!C90)/6)&lt;='V06 Calend 01'!E90)),IF((45=('V06 Calend 01'!C90+(6*'V06 Calend 01'!E90))),('V06 Calend 01'!H90-('V06 Calend 01'!I90*('V06 Calend 01'!E90-1))),'V06 Calend 01'!I90),0))+IF((45='V06 Calend 01'!D90),'V06 Calend 01'!J90,0))</f>
        <v>0</v>
      </c>
      <c r="BF90" s="2">
        <f>((IF((46='V06 Calend 01'!C90),('V06 Calend 01'!F90+'V06 Calend 01'!G90),0)+IF(AND(('V06 Calend 01'!E90&gt;0),(46&gt;'V06 Calend 01'!C90),(46&lt;'V06 Calend 01'!D90),(MOD((46-'V06 Calend 01'!C90),6)=0),(((46-'V06 Calend 01'!C90)/6)&lt;='V06 Calend 01'!E90)),IF((46=('V06 Calend 01'!C90+(6*'V06 Calend 01'!E90))),('V06 Calend 01'!H90-('V06 Calend 01'!I90*('V06 Calend 01'!E90-1))),'V06 Calend 01'!I90),0))+IF((46='V06 Calend 01'!D90),'V06 Calend 01'!J90,0))</f>
        <v>0</v>
      </c>
      <c r="BG90" s="2">
        <f>((IF((47='V06 Calend 01'!C90),('V06 Calend 01'!F90+'V06 Calend 01'!G90),0)+IF(AND(('V06 Calend 01'!E90&gt;0),(47&gt;'V06 Calend 01'!C90),(47&lt;'V06 Calend 01'!D90),(MOD((47-'V06 Calend 01'!C90),6)=0),(((47-'V06 Calend 01'!C90)/6)&lt;='V06 Calend 01'!E90)),IF((47=('V06 Calend 01'!C90+(6*'V06 Calend 01'!E90))),('V06 Calend 01'!H90-('V06 Calend 01'!I90*('V06 Calend 01'!E90-1))),'V06 Calend 01'!I90),0))+IF((47='V06 Calend 01'!D90),'V06 Calend 01'!J90,0))</f>
        <v>0</v>
      </c>
      <c r="BH90" s="2">
        <f>((IF((48='V06 Calend 01'!C90),('V06 Calend 01'!F90+'V06 Calend 01'!G90),0)+IF(AND(('V06 Calend 01'!E90&gt;0),(48&gt;'V06 Calend 01'!C90),(48&lt;'V06 Calend 01'!D90),(MOD((48-'V06 Calend 01'!C90),6)=0),(((48-'V06 Calend 01'!C90)/6)&lt;='V06 Calend 01'!E90)),IF((48=('V06 Calend 01'!C90+(6*'V06 Calend 01'!E90))),('V06 Calend 01'!H90-('V06 Calend 01'!I90*('V06 Calend 01'!E90-1))),'V06 Calend 01'!I90),0))+IF((48='V06 Calend 01'!D90),'V06 Calend 01'!J90,0))</f>
        <v>0</v>
      </c>
      <c r="BI90" s="2">
        <f>((IF((49='V06 Calend 01'!C90),('V06 Calend 01'!F90+'V06 Calend 01'!G90),0)+IF(AND(('V06 Calend 01'!E90&gt;0),(49&gt;'V06 Calend 01'!C90),(49&lt;'V06 Calend 01'!D90),(MOD((49-'V06 Calend 01'!C90),6)=0),(((49-'V06 Calend 01'!C90)/6)&lt;='V06 Calend 01'!E90)),IF((49=('V06 Calend 01'!C90+(6*'V06 Calend 01'!E90))),('V06 Calend 01'!H90-('V06 Calend 01'!I90*('V06 Calend 01'!E90-1))),'V06 Calend 01'!I90),0))+IF((49='V06 Calend 01'!D90),'V06 Calend 01'!J90,0))</f>
        <v>0</v>
      </c>
      <c r="BJ90" s="2">
        <f>((IF((50='V06 Calend 01'!C90),('V06 Calend 01'!F90+'V06 Calend 01'!G90),0)+IF(AND(('V06 Calend 01'!E90&gt;0),(50&gt;'V06 Calend 01'!C90),(50&lt;'V06 Calend 01'!D90),(MOD((50-'V06 Calend 01'!C90),6)=0),(((50-'V06 Calend 01'!C90)/6)&lt;='V06 Calend 01'!E90)),IF((50=('V06 Calend 01'!C90+(6*'V06 Calend 01'!E90))),('V06 Calend 01'!H90-('V06 Calend 01'!I90*('V06 Calend 01'!E90-1))),'V06 Calend 01'!I90),0))+IF((50='V06 Calend 01'!D90),'V06 Calend 01'!J90,0))</f>
        <v>0</v>
      </c>
      <c r="BK90" s="2">
        <f>((IF((51='V06 Calend 01'!C90),('V06 Calend 01'!F90+'V06 Calend 01'!G90),0)+IF(AND(('V06 Calend 01'!E90&gt;0),(51&gt;'V06 Calend 01'!C90),(51&lt;'V06 Calend 01'!D90),(MOD((51-'V06 Calend 01'!C90),6)=0),(((51-'V06 Calend 01'!C90)/6)&lt;='V06 Calend 01'!E90)),IF((51=('V06 Calend 01'!C90+(6*'V06 Calend 01'!E90))),('V06 Calend 01'!H90-('V06 Calend 01'!I90*('V06 Calend 01'!E90-1))),'V06 Calend 01'!I90),0))+IF((51='V06 Calend 01'!D90),'V06 Calend 01'!J90,0))</f>
        <v>0</v>
      </c>
      <c r="BL90" s="2">
        <f>((IF((52='V06 Calend 01'!C90),('V06 Calend 01'!F90+'V06 Calend 01'!G90),0)+IF(AND(('V06 Calend 01'!E90&gt;0),(52&gt;'V06 Calend 01'!C90),(52&lt;'V06 Calend 01'!D90),(MOD((52-'V06 Calend 01'!C90),6)=0),(((52-'V06 Calend 01'!C90)/6)&lt;='V06 Calend 01'!E90)),IF((52=('V06 Calend 01'!C90+(6*'V06 Calend 01'!E90))),('V06 Calend 01'!H90-('V06 Calend 01'!I90*('V06 Calend 01'!E90-1))),'V06 Calend 01'!I90),0))+IF((52='V06 Calend 01'!D90),'V06 Calend 01'!J90,0))</f>
        <v>0</v>
      </c>
      <c r="BM90" s="2">
        <f>((IF((53='V06 Calend 01'!C90),('V06 Calend 01'!F90+'V06 Calend 01'!G90),0)+IF(AND(('V06 Calend 01'!E90&gt;0),(53&gt;'V06 Calend 01'!C90),(53&lt;'V06 Calend 01'!D90),(MOD((53-'V06 Calend 01'!C90),6)=0),(((53-'V06 Calend 01'!C90)/6)&lt;='V06 Calend 01'!E90)),IF((53=('V06 Calend 01'!C90+(6*'V06 Calend 01'!E90))),('V06 Calend 01'!H90-('V06 Calend 01'!I90*('V06 Calend 01'!E90-1))),'V06 Calend 01'!I90),0))+IF((53='V06 Calend 01'!D90),'V06 Calend 01'!J90,0))</f>
        <v>0</v>
      </c>
      <c r="BN90" s="2">
        <f>((IF((54='V06 Calend 01'!C90),('V06 Calend 01'!F90+'V06 Calend 01'!G90),0)+IF(AND(('V06 Calend 01'!E90&gt;0),(54&gt;'V06 Calend 01'!C90),(54&lt;'V06 Calend 01'!D90),(MOD((54-'V06 Calend 01'!C90),6)=0),(((54-'V06 Calend 01'!C90)/6)&lt;='V06 Calend 01'!E90)),IF((54=('V06 Calend 01'!C90+(6*'V06 Calend 01'!E90))),('V06 Calend 01'!H90-('V06 Calend 01'!I90*('V06 Calend 01'!E90-1))),'V06 Calend 01'!I90),0))+IF((54='V06 Calend 01'!D90),'V06 Calend 01'!J90,0))</f>
        <v>0</v>
      </c>
      <c r="BO90" s="2">
        <f>((IF((55='V06 Calend 01'!C90),('V06 Calend 01'!F90+'V06 Calend 01'!G90),0)+IF(AND(('V06 Calend 01'!E90&gt;0),(55&gt;'V06 Calend 01'!C90),(55&lt;'V06 Calend 01'!D90),(MOD((55-'V06 Calend 01'!C90),6)=0),(((55-'V06 Calend 01'!C90)/6)&lt;='V06 Calend 01'!E90)),IF((55=('V06 Calend 01'!C90+(6*'V06 Calend 01'!E90))),('V06 Calend 01'!H90-('V06 Calend 01'!I90*('V06 Calend 01'!E90-1))),'V06 Calend 01'!I90),0))+IF((55='V06 Calend 01'!D90),'V06 Calend 01'!J90,0))</f>
        <v>0</v>
      </c>
      <c r="BP90" s="2">
        <f>((IF((56='V06 Calend 01'!C90),('V06 Calend 01'!F90+'V06 Calend 01'!G90),0)+IF(AND(('V06 Calend 01'!E90&gt;0),(56&gt;'V06 Calend 01'!C90),(56&lt;'V06 Calend 01'!D90),(MOD((56-'V06 Calend 01'!C90),6)=0),(((56-'V06 Calend 01'!C90)/6)&lt;='V06 Calend 01'!E90)),IF((56=('V06 Calend 01'!C90+(6*'V06 Calend 01'!E90))),('V06 Calend 01'!H90-('V06 Calend 01'!I90*('V06 Calend 01'!E90-1))),'V06 Calend 01'!I90),0))+IF((56='V06 Calend 01'!D90),'V06 Calend 01'!J90,0))</f>
        <v>0</v>
      </c>
      <c r="BQ90" s="2">
        <f>((IF((57='V06 Calend 01'!C90),('V06 Calend 01'!F90+'V06 Calend 01'!G90),0)+IF(AND(('V06 Calend 01'!E90&gt;0),(57&gt;'V06 Calend 01'!C90),(57&lt;'V06 Calend 01'!D90),(MOD((57-'V06 Calend 01'!C90),6)=0),(((57-'V06 Calend 01'!C90)/6)&lt;='V06 Calend 01'!E90)),IF((57=('V06 Calend 01'!C90+(6*'V06 Calend 01'!E90))),('V06 Calend 01'!H90-('V06 Calend 01'!I90*('V06 Calend 01'!E90-1))),'V06 Calend 01'!I90),0))+IF((57='V06 Calend 01'!D90),'V06 Calend 01'!J90,0))</f>
        <v>0</v>
      </c>
      <c r="BR90" s="2">
        <f>((IF((58='V06 Calend 01'!C90),('V06 Calend 01'!F90+'V06 Calend 01'!G90),0)+IF(AND(('V06 Calend 01'!E90&gt;0),(58&gt;'V06 Calend 01'!C90),(58&lt;'V06 Calend 01'!D90),(MOD((58-'V06 Calend 01'!C90),6)=0),(((58-'V06 Calend 01'!C90)/6)&lt;='V06 Calend 01'!E90)),IF((58=('V06 Calend 01'!C90+(6*'V06 Calend 01'!E90))),('V06 Calend 01'!H90-('V06 Calend 01'!I90*('V06 Calend 01'!E90-1))),'V06 Calend 01'!I90),0))+IF((58='V06 Calend 01'!D90),'V06 Calend 01'!J90,0))</f>
        <v>0</v>
      </c>
      <c r="BS90" s="2">
        <f>((IF((59='V06 Calend 01'!C90),('V06 Calend 01'!F90+'V06 Calend 01'!G90),0)+IF(AND(('V06 Calend 01'!E90&gt;0),(59&gt;'V06 Calend 01'!C90),(59&lt;'V06 Calend 01'!D90),(MOD((59-'V06 Calend 01'!C90),6)=0),(((59-'V06 Calend 01'!C90)/6)&lt;='V06 Calend 01'!E90)),IF((59=('V06 Calend 01'!C90+(6*'V06 Calend 01'!E90))),('V06 Calend 01'!H90-('V06 Calend 01'!I90*('V06 Calend 01'!E90-1))),'V06 Calend 01'!I90),0))+IF((59='V06 Calend 01'!D90),'V06 Calend 01'!J90,0))</f>
        <v>0</v>
      </c>
      <c r="BT90" s="2">
        <f>((IF((60='V06 Calend 01'!C90),('V06 Calend 01'!F90+'V06 Calend 01'!G90),0)+IF(AND(('V06 Calend 01'!E90&gt;0),(60&gt;'V06 Calend 01'!C90),(60&lt;'V06 Calend 01'!D90),(MOD((60-'V06 Calend 01'!C90),6)=0),(((60-'V06 Calend 01'!C90)/6)&lt;='V06 Calend 01'!E90)),IF((60=('V06 Calend 01'!C90+(6*'V06 Calend 01'!E90))),('V06 Calend 01'!H90-('V06 Calend 01'!I90*('V06 Calend 01'!E90-1))),'V06 Calend 01'!I90),0))+IF((60='V06 Calend 01'!D90),'V06 Calend 01'!J90,0))</f>
        <v>0</v>
      </c>
      <c r="BU90" s="2">
        <f>((IF((61='V06 Calend 01'!C90),('V06 Calend 01'!F90+'V06 Calend 01'!G90),0)+IF(AND(('V06 Calend 01'!E90&gt;0),(61&gt;'V06 Calend 01'!C90),(61&lt;'V06 Calend 01'!D90),(MOD((61-'V06 Calend 01'!C90),6)=0),(((61-'V06 Calend 01'!C90)/6)&lt;='V06 Calend 01'!E90)),IF((61=('V06 Calend 01'!C90+(6*'V06 Calend 01'!E90))),('V06 Calend 01'!H90-('V06 Calend 01'!I90*('V06 Calend 01'!E90-1))),'V06 Calend 01'!I90),0))+IF((61='V06 Calend 01'!D90),'V06 Calend 01'!J90,0))</f>
        <v>0</v>
      </c>
      <c r="BV90" s="2">
        <f>((IF((62='V06 Calend 01'!C90),('V06 Calend 01'!F90+'V06 Calend 01'!G90),0)+IF(AND(('V06 Calend 01'!E90&gt;0),(62&gt;'V06 Calend 01'!C90),(62&lt;'V06 Calend 01'!D90),(MOD((62-'V06 Calend 01'!C90),6)=0),(((62-'V06 Calend 01'!C90)/6)&lt;='V06 Calend 01'!E90)),IF((62=('V06 Calend 01'!C90+(6*'V06 Calend 01'!E90))),('V06 Calend 01'!H90-('V06 Calend 01'!I90*('V06 Calend 01'!E90-1))),'V06 Calend 01'!I90),0))+IF((62='V06 Calend 01'!D90),'V06 Calend 01'!J90,0))</f>
        <v>0</v>
      </c>
      <c r="BW90" s="2">
        <f>((IF((63='V06 Calend 01'!C90),('V06 Calend 01'!F90+'V06 Calend 01'!G90),0)+IF(AND(('V06 Calend 01'!E90&gt;0),(63&gt;'V06 Calend 01'!C90),(63&lt;'V06 Calend 01'!D90),(MOD((63-'V06 Calend 01'!C90),6)=0),(((63-'V06 Calend 01'!C90)/6)&lt;='V06 Calend 01'!E90)),IF((63=('V06 Calend 01'!C90+(6*'V06 Calend 01'!E90))),('V06 Calend 01'!H90-('V06 Calend 01'!I90*('V06 Calend 01'!E90-1))),'V06 Calend 01'!I90),0))+IF((63='V06 Calend 01'!D90),'V06 Calend 01'!J90,0))</f>
        <v>0</v>
      </c>
      <c r="BX90" s="2">
        <f>((IF((64='V06 Calend 01'!C90),('V06 Calend 01'!F90+'V06 Calend 01'!G90),0)+IF(AND(('V06 Calend 01'!E90&gt;0),(64&gt;'V06 Calend 01'!C90),(64&lt;'V06 Calend 01'!D90),(MOD((64-'V06 Calend 01'!C90),6)=0),(((64-'V06 Calend 01'!C90)/6)&lt;='V06 Calend 01'!E90)),IF((64=('V06 Calend 01'!C90+(6*'V06 Calend 01'!E90))),('V06 Calend 01'!H90-('V06 Calend 01'!I90*('V06 Calend 01'!E90-1))),'V06 Calend 01'!I90),0))+IF((64='V06 Calend 01'!D90),'V06 Calend 01'!J90,0))</f>
        <v>0</v>
      </c>
      <c r="BY90" s="2">
        <f>((IF((65='V06 Calend 01'!C90),('V06 Calend 01'!F90+'V06 Calend 01'!G90),0)+IF(AND(('V06 Calend 01'!E90&gt;0),(65&gt;'V06 Calend 01'!C90),(65&lt;'V06 Calend 01'!D90),(MOD((65-'V06 Calend 01'!C90),6)=0),(((65-'V06 Calend 01'!C90)/6)&lt;='V06 Calend 01'!E90)),IF((65=('V06 Calend 01'!C90+(6*'V06 Calend 01'!E90))),('V06 Calend 01'!H90-('V06 Calend 01'!I90*('V06 Calend 01'!E90-1))),'V06 Calend 01'!I90),0))+IF((65='V06 Calend 01'!D90),'V06 Calend 01'!J90,0))</f>
        <v>0</v>
      </c>
      <c r="BZ90" s="2">
        <f>((IF((66='V06 Calend 01'!C90),('V06 Calend 01'!F90+'V06 Calend 01'!G90),0)+IF(AND(('V06 Calend 01'!E90&gt;0),(66&gt;'V06 Calend 01'!C90),(66&lt;'V06 Calend 01'!D90),(MOD((66-'V06 Calend 01'!C90),6)=0),(((66-'V06 Calend 01'!C90)/6)&lt;='V06 Calend 01'!E90)),IF((66=('V06 Calend 01'!C90+(6*'V06 Calend 01'!E90))),('V06 Calend 01'!H90-('V06 Calend 01'!I90*('V06 Calend 01'!E90-1))),'V06 Calend 01'!I90),0))+IF((66='V06 Calend 01'!D90),'V06 Calend 01'!J90,0))</f>
        <v>0</v>
      </c>
      <c r="CA90" s="2">
        <f>((IF((67='V06 Calend 01'!C90),('V06 Calend 01'!F90+'V06 Calend 01'!G90),0)+IF(AND(('V06 Calend 01'!E90&gt;0),(67&gt;'V06 Calend 01'!C90),(67&lt;'V06 Calend 01'!D90),(MOD((67-'V06 Calend 01'!C90),6)=0),(((67-'V06 Calend 01'!C90)/6)&lt;='V06 Calend 01'!E90)),IF((67=('V06 Calend 01'!C90+(6*'V06 Calend 01'!E90))),('V06 Calend 01'!H90-('V06 Calend 01'!I90*('V06 Calend 01'!E90-1))),'V06 Calend 01'!I90),0))+IF((67='V06 Calend 01'!D90),'V06 Calend 01'!J90,0))</f>
        <v>0</v>
      </c>
      <c r="CB90" s="2">
        <f>((IF((68='V06 Calend 01'!C90),('V06 Calend 01'!F90+'V06 Calend 01'!G90),0)+IF(AND(('V06 Calend 01'!E90&gt;0),(68&gt;'V06 Calend 01'!C90),(68&lt;'V06 Calend 01'!D90),(MOD((68-'V06 Calend 01'!C90),6)=0),(((68-'V06 Calend 01'!C90)/6)&lt;='V06 Calend 01'!E90)),IF((68=('V06 Calend 01'!C90+(6*'V06 Calend 01'!E90))),('V06 Calend 01'!H90-('V06 Calend 01'!I90*('V06 Calend 01'!E90-1))),'V06 Calend 01'!I90),0))+IF((68='V06 Calend 01'!D90),'V06 Calend 01'!J90,0))</f>
        <v>0</v>
      </c>
      <c r="CC90" s="2">
        <f>((IF((69='V06 Calend 01'!C90),('V06 Calend 01'!F90+'V06 Calend 01'!G90),0)+IF(AND(('V06 Calend 01'!E90&gt;0),(69&gt;'V06 Calend 01'!C90),(69&lt;'V06 Calend 01'!D90),(MOD((69-'V06 Calend 01'!C90),6)=0),(((69-'V06 Calend 01'!C90)/6)&lt;='V06 Calend 01'!E90)),IF((69=('V06 Calend 01'!C90+(6*'V06 Calend 01'!E90))),('V06 Calend 01'!H90-('V06 Calend 01'!I90*('V06 Calend 01'!E90-1))),'V06 Calend 01'!I90),0))+IF((69='V06 Calend 01'!D90),'V06 Calend 01'!J90,0))</f>
        <v>0</v>
      </c>
      <c r="CD90" s="2">
        <f>((IF((70='V06 Calend 01'!C90),('V06 Calend 01'!F90+'V06 Calend 01'!G90),0)+IF(AND(('V06 Calend 01'!E90&gt;0),(70&gt;'V06 Calend 01'!C90),(70&lt;'V06 Calend 01'!D90),(MOD((70-'V06 Calend 01'!C90),6)=0),(((70-'V06 Calend 01'!C90)/6)&lt;='V06 Calend 01'!E90)),IF((70=('V06 Calend 01'!C90+(6*'V06 Calend 01'!E90))),('V06 Calend 01'!H90-('V06 Calend 01'!I90*('V06 Calend 01'!E90-1))),'V06 Calend 01'!I90),0))+IF((70='V06 Calend 01'!D90),'V06 Calend 01'!J90,0))</f>
        <v>0</v>
      </c>
      <c r="CE90" s="2">
        <f>((IF((71='V06 Calend 01'!C90),('V06 Calend 01'!F90+'V06 Calend 01'!G90),0)+IF(AND(('V06 Calend 01'!E90&gt;0),(71&gt;'V06 Calend 01'!C90),(71&lt;'V06 Calend 01'!D90),(MOD((71-'V06 Calend 01'!C90),6)=0),(((71-'V06 Calend 01'!C90)/6)&lt;='V06 Calend 01'!E90)),IF((71=('V06 Calend 01'!C90+(6*'V06 Calend 01'!E90))),('V06 Calend 01'!H90-('V06 Calend 01'!I90*('V06 Calend 01'!E90-1))),'V06 Calend 01'!I90),0))+IF((71='V06 Calend 01'!D90),'V06 Calend 01'!J90,0))</f>
        <v>0</v>
      </c>
      <c r="CF90" s="2">
        <f>((IF((72='V06 Calend 01'!C90),('V06 Calend 01'!F90+'V06 Calend 01'!G90),0)+IF(AND(('V06 Calend 01'!E90&gt;0),(72&gt;'V06 Calend 01'!C90),(72&lt;'V06 Calend 01'!D90),(MOD((72-'V06 Calend 01'!C90),6)=0),(((72-'V06 Calend 01'!C90)/6)&lt;='V06 Calend 01'!E90)),IF((72=('V06 Calend 01'!C90+(6*'V06 Calend 01'!E90))),('V06 Calend 01'!H90-('V06 Calend 01'!I90*('V06 Calend 01'!E90-1))),'V06 Calend 01'!I90),0))+IF((72='V06 Calend 01'!D90),'V06 Calend 01'!J90,0))</f>
        <v>0</v>
      </c>
      <c r="CG90" s="2">
        <f>((IF((73='V06 Calend 01'!C90),('V06 Calend 01'!F90+'V06 Calend 01'!G90),0)+IF(AND(('V06 Calend 01'!E90&gt;0),(73&gt;'V06 Calend 01'!C90),(73&lt;'V06 Calend 01'!D90),(MOD((73-'V06 Calend 01'!C90),6)=0),(((73-'V06 Calend 01'!C90)/6)&lt;='V06 Calend 01'!E90)),IF((73=('V06 Calend 01'!C90+(6*'V06 Calend 01'!E90))),('V06 Calend 01'!H90-('V06 Calend 01'!I90*('V06 Calend 01'!E90-1))),'V06 Calend 01'!I90),0))+IF((73='V06 Calend 01'!D90),'V06 Calend 01'!J90,0))</f>
        <v>0</v>
      </c>
      <c r="CH90" s="2">
        <f>((IF((74='V06 Calend 01'!C90),('V06 Calend 01'!F90+'V06 Calend 01'!G90),0)+IF(AND(('V06 Calend 01'!E90&gt;0),(74&gt;'V06 Calend 01'!C90),(74&lt;'V06 Calend 01'!D90),(MOD((74-'V06 Calend 01'!C90),6)=0),(((74-'V06 Calend 01'!C90)/6)&lt;='V06 Calend 01'!E90)),IF((74=('V06 Calend 01'!C90+(6*'V06 Calend 01'!E90))),('V06 Calend 01'!H90-('V06 Calend 01'!I90*('V06 Calend 01'!E90-1))),'V06 Calend 01'!I90),0))+IF((74='V06 Calend 01'!D90),'V06 Calend 01'!J90,0))</f>
        <v>0</v>
      </c>
      <c r="CI90" s="2">
        <f>((IF((75='V06 Calend 01'!C90),('V06 Calend 01'!F90+'V06 Calend 01'!G90),0)+IF(AND(('V06 Calend 01'!E90&gt;0),(75&gt;'V06 Calend 01'!C90),(75&lt;'V06 Calend 01'!D90),(MOD((75-'V06 Calend 01'!C90),6)=0),(((75-'V06 Calend 01'!C90)/6)&lt;='V06 Calend 01'!E90)),IF((75=('V06 Calend 01'!C90+(6*'V06 Calend 01'!E90))),('V06 Calend 01'!H90-('V06 Calend 01'!I90*('V06 Calend 01'!E90-1))),'V06 Calend 01'!I90),0))+IF((75='V06 Calend 01'!D90),'V06 Calend 01'!J90,0))</f>
        <v>0</v>
      </c>
      <c r="CJ90" s="2">
        <f>((IF((76='V06 Calend 01'!C90),('V06 Calend 01'!F90+'V06 Calend 01'!G90),0)+IF(AND(('V06 Calend 01'!E90&gt;0),(76&gt;'V06 Calend 01'!C90),(76&lt;'V06 Calend 01'!D90),(MOD((76-'V06 Calend 01'!C90),6)=0),(((76-'V06 Calend 01'!C90)/6)&lt;='V06 Calend 01'!E90)),IF((76=('V06 Calend 01'!C90+(6*'V06 Calend 01'!E90))),('V06 Calend 01'!H90-('V06 Calend 01'!I90*('V06 Calend 01'!E90-1))),'V06 Calend 01'!I90),0))+IF((76='V06 Calend 01'!D90),'V06 Calend 01'!J90,0))</f>
        <v>0</v>
      </c>
      <c r="CK90" s="2">
        <f>((IF((77='V06 Calend 01'!C90),('V06 Calend 01'!F90+'V06 Calend 01'!G90),0)+IF(AND(('V06 Calend 01'!E90&gt;0),(77&gt;'V06 Calend 01'!C90),(77&lt;'V06 Calend 01'!D90),(MOD((77-'V06 Calend 01'!C90),6)=0),(((77-'V06 Calend 01'!C90)/6)&lt;='V06 Calend 01'!E90)),IF((77=('V06 Calend 01'!C90+(6*'V06 Calend 01'!E90))),('V06 Calend 01'!H90-('V06 Calend 01'!I90*('V06 Calend 01'!E90-1))),'V06 Calend 01'!I90),0))+IF((77='V06 Calend 01'!D90),'V06 Calend 01'!J90,0))</f>
        <v>0</v>
      </c>
      <c r="CL90" s="2">
        <f>((IF((78='V06 Calend 01'!C90),('V06 Calend 01'!F90+'V06 Calend 01'!G90),0)+IF(AND(('V06 Calend 01'!E90&gt;0),(78&gt;'V06 Calend 01'!C90),(78&lt;'V06 Calend 01'!D90),(MOD((78-'V06 Calend 01'!C90),6)=0),(((78-'V06 Calend 01'!C90)/6)&lt;='V06 Calend 01'!E90)),IF((78=('V06 Calend 01'!C90+(6*'V06 Calend 01'!E90))),('V06 Calend 01'!H90-('V06 Calend 01'!I90*('V06 Calend 01'!E90-1))),'V06 Calend 01'!I90),0))+IF((78='V06 Calend 01'!D90),'V06 Calend 01'!J90,0))</f>
        <v>0</v>
      </c>
      <c r="CM90" s="2">
        <f>((IF((79='V06 Calend 01'!C90),('V06 Calend 01'!F90+'V06 Calend 01'!G90),0)+IF(AND(('V06 Calend 01'!E90&gt;0),(79&gt;'V06 Calend 01'!C90),(79&lt;'V06 Calend 01'!D90),(MOD((79-'V06 Calend 01'!C90),6)=0),(((79-'V06 Calend 01'!C90)/6)&lt;='V06 Calend 01'!E90)),IF((79=('V06 Calend 01'!C90+(6*'V06 Calend 01'!E90))),('V06 Calend 01'!H90-('V06 Calend 01'!I90*('V06 Calend 01'!E90-1))),'V06 Calend 01'!I90),0))+IF((79='V06 Calend 01'!D90),'V06 Calend 01'!J90,0))</f>
        <v>0</v>
      </c>
      <c r="CN90" s="2">
        <f>((IF((80='V06 Calend 01'!C90),('V06 Calend 01'!F90+'V06 Calend 01'!G90),0)+IF(AND(('V06 Calend 01'!E90&gt;0),(80&gt;'V06 Calend 01'!C90),(80&lt;'V06 Calend 01'!D90),(MOD((80-'V06 Calend 01'!C90),6)=0),(((80-'V06 Calend 01'!C90)/6)&lt;='V06 Calend 01'!E90)),IF((80=('V06 Calend 01'!C90+(6*'V06 Calend 01'!E90))),('V06 Calend 01'!H90-('V06 Calend 01'!I90*('V06 Calend 01'!E90-1))),'V06 Calend 01'!I90),0))+IF((80='V06 Calend 01'!D90),'V06 Calend 01'!J90,0))</f>
        <v>0</v>
      </c>
      <c r="CO90" s="2">
        <f>((IF((81='V06 Calend 01'!C90),('V06 Calend 01'!F90+'V06 Calend 01'!G90),0)+IF(AND(('V06 Calend 01'!E90&gt;0),(81&gt;'V06 Calend 01'!C90),(81&lt;'V06 Calend 01'!D90),(MOD((81-'V06 Calend 01'!C90),6)=0),(((81-'V06 Calend 01'!C90)/6)&lt;='V06 Calend 01'!E90)),IF((81=('V06 Calend 01'!C90+(6*'V06 Calend 01'!E90))),('V06 Calend 01'!H90-('V06 Calend 01'!I90*('V06 Calend 01'!E90-1))),'V06 Calend 01'!I90),0))+IF((81='V06 Calend 01'!D90),'V06 Calend 01'!J90,0))</f>
        <v>0</v>
      </c>
      <c r="CP90" s="2">
        <f>((IF((82='V06 Calend 01'!C90),('V06 Calend 01'!F90+'V06 Calend 01'!G90),0)+IF(AND(('V06 Calend 01'!E90&gt;0),(82&gt;'V06 Calend 01'!C90),(82&lt;'V06 Calend 01'!D90),(MOD((82-'V06 Calend 01'!C90),6)=0),(((82-'V06 Calend 01'!C90)/6)&lt;='V06 Calend 01'!E90)),IF((82=('V06 Calend 01'!C90+(6*'V06 Calend 01'!E90))),('V06 Calend 01'!H90-('V06 Calend 01'!I90*('V06 Calend 01'!E90-1))),'V06 Calend 01'!I90),0))+IF((82='V06 Calend 01'!D90),'V06 Calend 01'!J90,0))</f>
        <v>0</v>
      </c>
      <c r="CQ90" s="2">
        <f>((IF((83='V06 Calend 01'!C90),('V06 Calend 01'!F90+'V06 Calend 01'!G90),0)+IF(AND(('V06 Calend 01'!E90&gt;0),(83&gt;'V06 Calend 01'!C90),(83&lt;'V06 Calend 01'!D90),(MOD((83-'V06 Calend 01'!C90),6)=0),(((83-'V06 Calend 01'!C90)/6)&lt;='V06 Calend 01'!E90)),IF((83=('V06 Calend 01'!C90+(6*'V06 Calend 01'!E90))),('V06 Calend 01'!H90-('V06 Calend 01'!I90*('V06 Calend 01'!E90-1))),'V06 Calend 01'!I90),0))+IF((83='V06 Calend 01'!D90),'V06 Calend 01'!J90,0))</f>
        <v>0</v>
      </c>
      <c r="CR90" s="2">
        <f>((IF((84='V06 Calend 01'!C90),('V06 Calend 01'!F90+'V06 Calend 01'!G90),0)+IF(AND(('V06 Calend 01'!E90&gt;0),(84&gt;'V06 Calend 01'!C90),(84&lt;'V06 Calend 01'!D90),(MOD((84-'V06 Calend 01'!C90),6)=0),(((84-'V06 Calend 01'!C90)/6)&lt;='V06 Calend 01'!E90)),IF((84=('V06 Calend 01'!C90+(6*'V06 Calend 01'!E90))),('V06 Calend 01'!H90-('V06 Calend 01'!I90*('V06 Calend 01'!E90-1))),'V06 Calend 01'!I90),0))+IF((84='V06 Calend 01'!D90),'V06 Calend 01'!J90,0))</f>
        <v>0</v>
      </c>
      <c r="CS90" s="2">
        <f>((IF((85='V06 Calend 01'!C90),('V06 Calend 01'!F90+'V06 Calend 01'!G90),0)+IF(AND(('V06 Calend 01'!E90&gt;0),(85&gt;'V06 Calend 01'!C90),(85&lt;'V06 Calend 01'!D90),(MOD((85-'V06 Calend 01'!C90),6)=0),(((85-'V06 Calend 01'!C90)/6)&lt;='V06 Calend 01'!E90)),IF((85=('V06 Calend 01'!C90+(6*'V06 Calend 01'!E90))),('V06 Calend 01'!H90-('V06 Calend 01'!I90*('V06 Calend 01'!E90-1))),'V06 Calend 01'!I90),0))+IF((85='V06 Calend 01'!D90),'V06 Calend 01'!J90,0))</f>
        <v>0</v>
      </c>
      <c r="CT90" s="2">
        <f>((IF((86='V06 Calend 01'!C90),('V06 Calend 01'!F90+'V06 Calend 01'!G90),0)+IF(AND(('V06 Calend 01'!E90&gt;0),(86&gt;'V06 Calend 01'!C90),(86&lt;'V06 Calend 01'!D90),(MOD((86-'V06 Calend 01'!C90),6)=0),(((86-'V06 Calend 01'!C90)/6)&lt;='V06 Calend 01'!E90)),IF((86=('V06 Calend 01'!C90+(6*'V06 Calend 01'!E90))),('V06 Calend 01'!H90-('V06 Calend 01'!I90*('V06 Calend 01'!E90-1))),'V06 Calend 01'!I90),0))+IF((86='V06 Calend 01'!D90),'V06 Calend 01'!J90,0))</f>
        <v>0</v>
      </c>
      <c r="CU90" s="2">
        <f>((IF((87='V06 Calend 01'!C90),('V06 Calend 01'!F90+'V06 Calend 01'!G90),0)+IF(AND(('V06 Calend 01'!E90&gt;0),(87&gt;'V06 Calend 01'!C90),(87&lt;'V06 Calend 01'!D90),(MOD((87-'V06 Calend 01'!C90),6)=0),(((87-'V06 Calend 01'!C90)/6)&lt;='V06 Calend 01'!E90)),IF((87=('V06 Calend 01'!C90+(6*'V06 Calend 01'!E90))),('V06 Calend 01'!H90-('V06 Calend 01'!I90*('V06 Calend 01'!E90-1))),'V06 Calend 01'!I90),0))+IF((87='V06 Calend 01'!D90),'V06 Calend 01'!J90,0))</f>
        <v>0</v>
      </c>
      <c r="CV90" s="2">
        <f>((IF((88='V06 Calend 01'!C90),('V06 Calend 01'!F90+'V06 Calend 01'!G90),0)+IF(AND(('V06 Calend 01'!E90&gt;0),(88&gt;'V06 Calend 01'!C90),(88&lt;'V06 Calend 01'!D90),(MOD((88-'V06 Calend 01'!C90),6)=0),(((88-'V06 Calend 01'!C90)/6)&lt;='V06 Calend 01'!E90)),IF((88=('V06 Calend 01'!C90+(6*'V06 Calend 01'!E90))),('V06 Calend 01'!H90-('V06 Calend 01'!I90*('V06 Calend 01'!E90-1))),'V06 Calend 01'!I90),0))+IF((88='V06 Calend 01'!D90),'V06 Calend 01'!J90,0))</f>
        <v>0</v>
      </c>
      <c r="CW90" s="2">
        <f>((IF((89='V06 Calend 01'!C90),('V06 Calend 01'!F90+'V06 Calend 01'!G90),0)+IF(AND(('V06 Calend 01'!E90&gt;0),(89&gt;'V06 Calend 01'!C90),(89&lt;'V06 Calend 01'!D90),(MOD((89-'V06 Calend 01'!C90),6)=0),(((89-'V06 Calend 01'!C90)/6)&lt;='V06 Calend 01'!E90)),IF((89=('V06 Calend 01'!C90+(6*'V06 Calend 01'!E90))),('V06 Calend 01'!H90-('V06 Calend 01'!I90*('V06 Calend 01'!E90-1))),'V06 Calend 01'!I90),0))+IF((89='V06 Calend 01'!D90),'V06 Calend 01'!J90,0))</f>
        <v>0</v>
      </c>
      <c r="CX90" s="2">
        <f>((IF((90='V06 Calend 01'!C90),('V06 Calend 01'!F90+'V06 Calend 01'!G90),0)+IF(AND(('V06 Calend 01'!E90&gt;0),(90&gt;'V06 Calend 01'!C90),(90&lt;'V06 Calend 01'!D90),(MOD((90-'V06 Calend 01'!C90),6)=0),(((90-'V06 Calend 01'!C90)/6)&lt;='V06 Calend 01'!E90)),IF((90=('V06 Calend 01'!C90+(6*'V06 Calend 01'!E90))),('V06 Calend 01'!H90-('V06 Calend 01'!I90*('V06 Calend 01'!E90-1))),'V06 Calend 01'!I90),0))+IF((90='V06 Calend 01'!D90),'V06 Calend 01'!J90,0))</f>
        <v>0</v>
      </c>
      <c r="CY90" s="2">
        <f>((IF((91='V06 Calend 01'!C90),('V06 Calend 01'!F90+'V06 Calend 01'!G90),0)+IF(AND(('V06 Calend 01'!E90&gt;0),(91&gt;'V06 Calend 01'!C90),(91&lt;'V06 Calend 01'!D90),(MOD((91-'V06 Calend 01'!C90),6)=0),(((91-'V06 Calend 01'!C90)/6)&lt;='V06 Calend 01'!E90)),IF((91=('V06 Calend 01'!C90+(6*'V06 Calend 01'!E90))),('V06 Calend 01'!H90-('V06 Calend 01'!I90*('V06 Calend 01'!E90-1))),'V06 Calend 01'!I90),0))+IF((91='V06 Calend 01'!D90),'V06 Calend 01'!J90,0))</f>
        <v>0</v>
      </c>
      <c r="CZ90" s="2">
        <f>((IF((92='V06 Calend 01'!C90),('V06 Calend 01'!F90+'V06 Calend 01'!G90),0)+IF(AND(('V06 Calend 01'!E90&gt;0),(92&gt;'V06 Calend 01'!C90),(92&lt;'V06 Calend 01'!D90),(MOD((92-'V06 Calend 01'!C90),6)=0),(((92-'V06 Calend 01'!C90)/6)&lt;='V06 Calend 01'!E90)),IF((92=('V06 Calend 01'!C90+(6*'V06 Calend 01'!E90))),('V06 Calend 01'!H90-('V06 Calend 01'!I90*('V06 Calend 01'!E90-1))),'V06 Calend 01'!I90),0))+IF((92='V06 Calend 01'!D90),'V06 Calend 01'!J90,0))</f>
        <v>0</v>
      </c>
      <c r="DA90" s="2">
        <f>((IF((93='V06 Calend 01'!C90),('V06 Calend 01'!F90+'V06 Calend 01'!G90),0)+IF(AND(('V06 Calend 01'!E90&gt;0),(93&gt;'V06 Calend 01'!C90),(93&lt;'V06 Calend 01'!D90),(MOD((93-'V06 Calend 01'!C90),6)=0),(((93-'V06 Calend 01'!C90)/6)&lt;='V06 Calend 01'!E90)),IF((93=('V06 Calend 01'!C90+(6*'V06 Calend 01'!E90))),('V06 Calend 01'!H90-('V06 Calend 01'!I90*('V06 Calend 01'!E90-1))),'V06 Calend 01'!I90),0))+IF((93='V06 Calend 01'!D90),'V06 Calend 01'!J90,0))</f>
        <v>0</v>
      </c>
      <c r="DB90" s="2">
        <f>((IF((94='V06 Calend 01'!C90),('V06 Calend 01'!F90+'V06 Calend 01'!G90),0)+IF(AND(('V06 Calend 01'!E90&gt;0),(94&gt;'V06 Calend 01'!C90),(94&lt;'V06 Calend 01'!D90),(MOD((94-'V06 Calend 01'!C90),6)=0),(((94-'V06 Calend 01'!C90)/6)&lt;='V06 Calend 01'!E90)),IF((94=('V06 Calend 01'!C90+(6*'V06 Calend 01'!E90))),('V06 Calend 01'!H90-('V06 Calend 01'!I90*('V06 Calend 01'!E90-1))),'V06 Calend 01'!I90),0))+IF((94='V06 Calend 01'!D90),'V06 Calend 01'!J90,0))</f>
        <v>0</v>
      </c>
      <c r="DC90" s="2">
        <f>((IF((95='V06 Calend 01'!C90),('V06 Calend 01'!F90+'V06 Calend 01'!G90),0)+IF(AND(('V06 Calend 01'!E90&gt;0),(95&gt;'V06 Calend 01'!C90),(95&lt;'V06 Calend 01'!D90),(MOD((95-'V06 Calend 01'!C90),6)=0),(((95-'V06 Calend 01'!C90)/6)&lt;='V06 Calend 01'!E90)),IF((95=('V06 Calend 01'!C90+(6*'V06 Calend 01'!E90))),('V06 Calend 01'!H90-('V06 Calend 01'!I90*('V06 Calend 01'!E90-1))),'V06 Calend 01'!I90),0))+IF((95='V06 Calend 01'!D90),'V06 Calend 01'!J90,0))</f>
        <v>0</v>
      </c>
      <c r="DD90" s="2">
        <f>((IF((96='V06 Calend 01'!C90),('V06 Calend 01'!F90+'V06 Calend 01'!G90),0)+IF(AND(('V06 Calend 01'!E90&gt;0),(96&gt;'V06 Calend 01'!C90),(96&lt;'V06 Calend 01'!D90),(MOD((96-'V06 Calend 01'!C90),6)=0),(((96-'V06 Calend 01'!C90)/6)&lt;='V06 Calend 01'!E90)),IF((96=('V06 Calend 01'!C90+(6*'V06 Calend 01'!E90))),('V06 Calend 01'!H90-('V06 Calend 01'!I90*('V06 Calend 01'!E90-1))),'V06 Calend 01'!I90),0))+IF((96='V06 Calend 01'!D90),'V06 Calend 01'!J90,0))</f>
        <v>0</v>
      </c>
      <c r="DE90" s="2">
        <f>((IF((97='V06 Calend 01'!C90),('V06 Calend 01'!F90+'V06 Calend 01'!G90),0)+IF(AND(('V06 Calend 01'!E90&gt;0),(97&gt;'V06 Calend 01'!C90),(97&lt;'V06 Calend 01'!D90),(MOD((97-'V06 Calend 01'!C90),6)=0),(((97-'V06 Calend 01'!C90)/6)&lt;='V06 Calend 01'!E90)),IF((97=('V06 Calend 01'!C90+(6*'V06 Calend 01'!E90))),('V06 Calend 01'!H90-('V06 Calend 01'!I90*('V06 Calend 01'!E90-1))),'V06 Calend 01'!I90),0))+IF((97='V06 Calend 01'!D90),'V06 Calend 01'!J90,0))</f>
        <v>0</v>
      </c>
      <c r="DF90" s="2">
        <f>((IF((98='V06 Calend 01'!C90),('V06 Calend 01'!F90+'V06 Calend 01'!G90),0)+IF(AND(('V06 Calend 01'!E90&gt;0),(98&gt;'V06 Calend 01'!C90),(98&lt;'V06 Calend 01'!D90),(MOD((98-'V06 Calend 01'!C90),6)=0),(((98-'V06 Calend 01'!C90)/6)&lt;='V06 Calend 01'!E90)),IF((98=('V06 Calend 01'!C90+(6*'V06 Calend 01'!E90))),('V06 Calend 01'!H90-('V06 Calend 01'!I90*('V06 Calend 01'!E90-1))),'V06 Calend 01'!I90),0))+IF((98='V06 Calend 01'!D90),'V06 Calend 01'!J90,0))</f>
        <v>0</v>
      </c>
      <c r="DG90" s="2">
        <f>((IF((99='V06 Calend 01'!C90),('V06 Calend 01'!F90+'V06 Calend 01'!G90),0)+IF(AND(('V06 Calend 01'!E90&gt;0),(99&gt;'V06 Calend 01'!C90),(99&lt;'V06 Calend 01'!D90),(MOD((99-'V06 Calend 01'!C90),6)=0),(((99-'V06 Calend 01'!C90)/6)&lt;='V06 Calend 01'!E90)),IF((99=('V06 Calend 01'!C90+(6*'V06 Calend 01'!E90))),('V06 Calend 01'!H90-('V06 Calend 01'!I90*('V06 Calend 01'!E90-1))),'V06 Calend 01'!I90),0))+IF((99='V06 Calend 01'!D90),'V06 Calend 01'!J90,0))</f>
        <v>0</v>
      </c>
      <c r="DH90" s="2">
        <f>((IF((100='V06 Calend 01'!C90),('V06 Calend 01'!F90+'V06 Calend 01'!G90),0)+IF(AND(('V06 Calend 01'!E90&gt;0),(100&gt;'V06 Calend 01'!C90),(100&lt;'V06 Calend 01'!D90),(MOD((100-'V06 Calend 01'!C90),6)=0),(((100-'V06 Calend 01'!C90)/6)&lt;='V06 Calend 01'!E90)),IF((100=('V06 Calend 01'!C90+(6*'V06 Calend 01'!E90))),('V06 Calend 01'!H90-('V06 Calend 01'!I90*('V06 Calend 01'!E90-1))),'V06 Calend 01'!I90),0))+IF((100='V06 Calend 01'!D90),'V06 Calend 01'!J90,0))</f>
        <v>0</v>
      </c>
      <c r="DI90" s="2">
        <f>((IF((101='V06 Calend 01'!C90),('V06 Calend 01'!F90+'V06 Calend 01'!G90),0)+IF(AND(('V06 Calend 01'!E90&gt;0),(101&gt;'V06 Calend 01'!C90),(101&lt;'V06 Calend 01'!D90),(MOD((101-'V06 Calend 01'!C90),6)=0),(((101-'V06 Calend 01'!C90)/6)&lt;='V06 Calend 01'!E90)),IF((101=('V06 Calend 01'!C90+(6*'V06 Calend 01'!E90))),('V06 Calend 01'!H90-('V06 Calend 01'!I90*('V06 Calend 01'!E90-1))),'V06 Calend 01'!I90),0))+IF((101='V06 Calend 01'!D90),'V06 Calend 01'!J90,0))</f>
        <v>0</v>
      </c>
      <c r="DJ90" s="2">
        <f>((IF((102='V06 Calend 01'!C90),('V06 Calend 01'!F90+'V06 Calend 01'!G90),0)+IF(AND(('V06 Calend 01'!E90&gt;0),(102&gt;'V06 Calend 01'!C90),(102&lt;'V06 Calend 01'!D90),(MOD((102-'V06 Calend 01'!C90),6)=0),(((102-'V06 Calend 01'!C90)/6)&lt;='V06 Calend 01'!E90)),IF((102=('V06 Calend 01'!C90+(6*'V06 Calend 01'!E90))),('V06 Calend 01'!H90-('V06 Calend 01'!I90*('V06 Calend 01'!E90-1))),'V06 Calend 01'!I90),0))+IF((102='V06 Calend 01'!D90),'V06 Calend 01'!J90,0))</f>
        <v>0</v>
      </c>
      <c r="DK90" s="2">
        <f>((IF((103='V06 Calend 01'!C90),('V06 Calend 01'!F90+'V06 Calend 01'!G90),0)+IF(AND(('V06 Calend 01'!E90&gt;0),(103&gt;'V06 Calend 01'!C90),(103&lt;'V06 Calend 01'!D90),(MOD((103-'V06 Calend 01'!C90),6)=0),(((103-'V06 Calend 01'!C90)/6)&lt;='V06 Calend 01'!E90)),IF((103=('V06 Calend 01'!C90+(6*'V06 Calend 01'!E90))),('V06 Calend 01'!H90-('V06 Calend 01'!I90*('V06 Calend 01'!E90-1))),'V06 Calend 01'!I90),0))+IF((103='V06 Calend 01'!D90),'V06 Calend 01'!J90,0))</f>
        <v>0</v>
      </c>
      <c r="DL90" s="2">
        <f>((IF((104='V06 Calend 01'!C90),('V06 Calend 01'!F90+'V06 Calend 01'!G90),0)+IF(AND(('V06 Calend 01'!E90&gt;0),(104&gt;'V06 Calend 01'!C90),(104&lt;'V06 Calend 01'!D90),(MOD((104-'V06 Calend 01'!C90),6)=0),(((104-'V06 Calend 01'!C90)/6)&lt;='V06 Calend 01'!E90)),IF((104=('V06 Calend 01'!C90+(6*'V06 Calend 01'!E90))),('V06 Calend 01'!H90-('V06 Calend 01'!I90*('V06 Calend 01'!E90-1))),'V06 Calend 01'!I90),0))+IF((104='V06 Calend 01'!D90),'V06 Calend 01'!J90,0))</f>
        <v>0</v>
      </c>
      <c r="DM90" s="2">
        <f>((IF((105='V06 Calend 01'!C90),('V06 Calend 01'!F90+'V06 Calend 01'!G90),0)+IF(AND(('V06 Calend 01'!E90&gt;0),(105&gt;'V06 Calend 01'!C90),(105&lt;'V06 Calend 01'!D90),(MOD((105-'V06 Calend 01'!C90),6)=0),(((105-'V06 Calend 01'!C90)/6)&lt;='V06 Calend 01'!E90)),IF((105=('V06 Calend 01'!C90+(6*'V06 Calend 01'!E90))),('V06 Calend 01'!H90-('V06 Calend 01'!I90*('V06 Calend 01'!E90-1))),'V06 Calend 01'!I90),0))+IF((105='V06 Calend 01'!D90),'V06 Calend 01'!J90,0))</f>
        <v>0</v>
      </c>
      <c r="DN90" s="2">
        <f>((IF((106='V06 Calend 01'!C90),('V06 Calend 01'!F90+'V06 Calend 01'!G90),0)+IF(AND(('V06 Calend 01'!E90&gt;0),(106&gt;'V06 Calend 01'!C90),(106&lt;'V06 Calend 01'!D90),(MOD((106-'V06 Calend 01'!C90),6)=0),(((106-'V06 Calend 01'!C90)/6)&lt;='V06 Calend 01'!E90)),IF((106=('V06 Calend 01'!C90+(6*'V06 Calend 01'!E90))),('V06 Calend 01'!H90-('V06 Calend 01'!I90*('V06 Calend 01'!E90-1))),'V06 Calend 01'!I90),0))+IF((106='V06 Calend 01'!D90),'V06 Calend 01'!J90,0))</f>
        <v>0</v>
      </c>
      <c r="DO90" s="2">
        <f>((IF((107='V06 Calend 01'!C90),('V06 Calend 01'!F90+'V06 Calend 01'!G90),0)+IF(AND(('V06 Calend 01'!E90&gt;0),(107&gt;'V06 Calend 01'!C90),(107&lt;'V06 Calend 01'!D90),(MOD((107-'V06 Calend 01'!C90),6)=0),(((107-'V06 Calend 01'!C90)/6)&lt;='V06 Calend 01'!E90)),IF((107=('V06 Calend 01'!C90+(6*'V06 Calend 01'!E90))),('V06 Calend 01'!H90-('V06 Calend 01'!I90*('V06 Calend 01'!E90-1))),'V06 Calend 01'!I90),0))+IF((107='V06 Calend 01'!D90),'V06 Calend 01'!J90,0))</f>
        <v>0</v>
      </c>
      <c r="DP90" s="2">
        <f>((IF((108='V06 Calend 01'!C90),('V06 Calend 01'!F90+'V06 Calend 01'!G90),0)+IF(AND(('V06 Calend 01'!E90&gt;0),(108&gt;'V06 Calend 01'!C90),(108&lt;'V06 Calend 01'!D90),(MOD((108-'V06 Calend 01'!C90),6)=0),(((108-'V06 Calend 01'!C90)/6)&lt;='V06 Calend 01'!E90)),IF((108=('V06 Calend 01'!C90+(6*'V06 Calend 01'!E90))),('V06 Calend 01'!H90-('V06 Calend 01'!I90*('V06 Calend 01'!E90-1))),'V06 Calend 01'!I90),0))+IF((108='V06 Calend 01'!D90),'V06 Calend 01'!J90,0))</f>
        <v>0</v>
      </c>
      <c r="DQ90" s="2">
        <f>((IF((109='V06 Calend 01'!C90),('V06 Calend 01'!F90+'V06 Calend 01'!G90),0)+IF(AND(('V06 Calend 01'!E90&gt;0),(109&gt;'V06 Calend 01'!C90),(109&lt;'V06 Calend 01'!D90),(MOD((109-'V06 Calend 01'!C90),6)=0),(((109-'V06 Calend 01'!C90)/6)&lt;='V06 Calend 01'!E90)),IF((109=('V06 Calend 01'!C90+(6*'V06 Calend 01'!E90))),('V06 Calend 01'!H90-('V06 Calend 01'!I90*('V06 Calend 01'!E90-1))),'V06 Calend 01'!I90),0))+IF((109='V06 Calend 01'!D90),'V06 Calend 01'!J90,0))</f>
        <v>0</v>
      </c>
      <c r="DR90" s="2">
        <f>((IF((110='V06 Calend 01'!C90),('V06 Calend 01'!F90+'V06 Calend 01'!G90),0)+IF(AND(('V06 Calend 01'!E90&gt;0),(110&gt;'V06 Calend 01'!C90),(110&lt;'V06 Calend 01'!D90),(MOD((110-'V06 Calend 01'!C90),6)=0),(((110-'V06 Calend 01'!C90)/6)&lt;='V06 Calend 01'!E90)),IF((110=('V06 Calend 01'!C90+(6*'V06 Calend 01'!E90))),('V06 Calend 01'!H90-('V06 Calend 01'!I90*('V06 Calend 01'!E90-1))),'V06 Calend 01'!I90),0))+IF((110='V06 Calend 01'!D90),'V06 Calend 01'!J90,0))</f>
        <v>0</v>
      </c>
      <c r="DS90" s="2">
        <f>((IF((111='V06 Calend 01'!C90),('V06 Calend 01'!F90+'V06 Calend 01'!G90),0)+IF(AND(('V06 Calend 01'!E90&gt;0),(111&gt;'V06 Calend 01'!C90),(111&lt;'V06 Calend 01'!D90),(MOD((111-'V06 Calend 01'!C90),6)=0),(((111-'V06 Calend 01'!C90)/6)&lt;='V06 Calend 01'!E90)),IF((111=('V06 Calend 01'!C90+(6*'V06 Calend 01'!E90))),('V06 Calend 01'!H90-('V06 Calend 01'!I90*('V06 Calend 01'!E90-1))),'V06 Calend 01'!I90),0))+IF((111='V06 Calend 01'!D90),'V06 Calend 01'!J90,0))</f>
        <v>0</v>
      </c>
      <c r="DT90" s="2">
        <f>((IF((112='V06 Calend 01'!C90),('V06 Calend 01'!F90+'V06 Calend 01'!G90),0)+IF(AND(('V06 Calend 01'!E90&gt;0),(112&gt;'V06 Calend 01'!C90),(112&lt;'V06 Calend 01'!D90),(MOD((112-'V06 Calend 01'!C90),6)=0),(((112-'V06 Calend 01'!C90)/6)&lt;='V06 Calend 01'!E90)),IF((112=('V06 Calend 01'!C90+(6*'V06 Calend 01'!E90))),('V06 Calend 01'!H90-('V06 Calend 01'!I90*('V06 Calend 01'!E90-1))),'V06 Calend 01'!I90),0))+IF((112='V06 Calend 01'!D90),'V06 Calend 01'!J90,0))</f>
        <v>0</v>
      </c>
      <c r="DU90" s="2">
        <f>((IF((113='V06 Calend 01'!C90),('V06 Calend 01'!F90+'V06 Calend 01'!G90),0)+IF(AND(('V06 Calend 01'!E90&gt;0),(113&gt;'V06 Calend 01'!C90),(113&lt;'V06 Calend 01'!D90),(MOD((113-'V06 Calend 01'!C90),6)=0),(((113-'V06 Calend 01'!C90)/6)&lt;='V06 Calend 01'!E90)),IF((113=('V06 Calend 01'!C90+(6*'V06 Calend 01'!E90))),('V06 Calend 01'!H90-('V06 Calend 01'!I90*('V06 Calend 01'!E90-1))),'V06 Calend 01'!I90),0))+IF((113='V06 Calend 01'!D90),'V06 Calend 01'!J90,0))</f>
        <v>0</v>
      </c>
      <c r="DV90" s="2">
        <f>((IF((114='V06 Calend 01'!C90),('V06 Calend 01'!F90+'V06 Calend 01'!G90),0)+IF(AND(('V06 Calend 01'!E90&gt;0),(114&gt;'V06 Calend 01'!C90),(114&lt;'V06 Calend 01'!D90),(MOD((114-'V06 Calend 01'!C90),6)=0),(((114-'V06 Calend 01'!C90)/6)&lt;='V06 Calend 01'!E90)),IF((114=('V06 Calend 01'!C90+(6*'V06 Calend 01'!E90))),('V06 Calend 01'!H90-('V06 Calend 01'!I90*('V06 Calend 01'!E90-1))),'V06 Calend 01'!I90),0))+IF((114='V06 Calend 01'!D90),'V06 Calend 01'!J90,0))</f>
        <v>0</v>
      </c>
      <c r="DW90" s="2">
        <f>((IF((115='V06 Calend 01'!C90),('V06 Calend 01'!F90+'V06 Calend 01'!G90),0)+IF(AND(('V06 Calend 01'!E90&gt;0),(115&gt;'V06 Calend 01'!C90),(115&lt;'V06 Calend 01'!D90),(MOD((115-'V06 Calend 01'!C90),6)=0),(((115-'V06 Calend 01'!C90)/6)&lt;='V06 Calend 01'!E90)),IF((115=('V06 Calend 01'!C90+(6*'V06 Calend 01'!E90))),('V06 Calend 01'!H90-('V06 Calend 01'!I90*('V06 Calend 01'!E90-1))),'V06 Calend 01'!I90),0))+IF((115='V06 Calend 01'!D90),'V06 Calend 01'!J90,0))</f>
        <v>0</v>
      </c>
      <c r="DX90" s="2">
        <f>((IF((116='V06 Calend 01'!C90),('V06 Calend 01'!F90+'V06 Calend 01'!G90),0)+IF(AND(('V06 Calend 01'!E90&gt;0),(116&gt;'V06 Calend 01'!C90),(116&lt;'V06 Calend 01'!D90),(MOD((116-'V06 Calend 01'!C90),6)=0),(((116-'V06 Calend 01'!C90)/6)&lt;='V06 Calend 01'!E90)),IF((116=('V06 Calend 01'!C90+(6*'V06 Calend 01'!E90))),('V06 Calend 01'!H90-('V06 Calend 01'!I90*('V06 Calend 01'!E90-1))),'V06 Calend 01'!I90),0))+IF((116='V06 Calend 01'!D90),'V06 Calend 01'!J90,0))</f>
        <v>0</v>
      </c>
      <c r="DY90" s="2">
        <f>((IF((117='V06 Calend 01'!C90),('V06 Calend 01'!F90+'V06 Calend 01'!G90),0)+IF(AND(('V06 Calend 01'!E90&gt;0),(117&gt;'V06 Calend 01'!C90),(117&lt;'V06 Calend 01'!D90),(MOD((117-'V06 Calend 01'!C90),6)=0),(((117-'V06 Calend 01'!C90)/6)&lt;='V06 Calend 01'!E90)),IF((117=('V06 Calend 01'!C90+(6*'V06 Calend 01'!E90))),('V06 Calend 01'!H90-('V06 Calend 01'!I90*('V06 Calend 01'!E90-1))),'V06 Calend 01'!I90),0))+IF((117='V06 Calend 01'!D90),'V06 Calend 01'!J90,0))</f>
        <v>0</v>
      </c>
      <c r="DZ90" s="2">
        <f>((IF((118='V06 Calend 01'!C90),('V06 Calend 01'!F90+'V06 Calend 01'!G90),0)+IF(AND(('V06 Calend 01'!E90&gt;0),(118&gt;'V06 Calend 01'!C90),(118&lt;'V06 Calend 01'!D90),(MOD((118-'V06 Calend 01'!C90),6)=0),(((118-'V06 Calend 01'!C90)/6)&lt;='V06 Calend 01'!E90)),IF((118=('V06 Calend 01'!C90+(6*'V06 Calend 01'!E90))),('V06 Calend 01'!H90-('V06 Calend 01'!I90*('V06 Calend 01'!E90-1))),'V06 Calend 01'!I90),0))+IF((118='V06 Calend 01'!D90),'V06 Calend 01'!J90,0))</f>
        <v>0</v>
      </c>
      <c r="EA90" s="2">
        <f>((IF((119='V06 Calend 01'!C90),('V06 Calend 01'!F90+'V06 Calend 01'!G90),0)+IF(AND(('V06 Calend 01'!E90&gt;0),(119&gt;'V06 Calend 01'!C90),(119&lt;'V06 Calend 01'!D90),(MOD((119-'V06 Calend 01'!C90),6)=0),(((119-'V06 Calend 01'!C90)/6)&lt;='V06 Calend 01'!E90)),IF((119=('V06 Calend 01'!C90+(6*'V06 Calend 01'!E90))),('V06 Calend 01'!H90-('V06 Calend 01'!I90*('V06 Calend 01'!E90-1))),'V06 Calend 01'!I90),0))+IF((119='V06 Calend 01'!D90),'V06 Calend 01'!J90,0))</f>
        <v>0</v>
      </c>
      <c r="EB90" s="2">
        <f>((IF((120='V06 Calend 01'!C90),('V06 Calend 01'!F90+'V06 Calend 01'!G90),0)+IF(AND(('V06 Calend 01'!E90&gt;0),(120&gt;'V06 Calend 01'!C90),(120&lt;'V06 Calend 01'!D90),(MOD((120-'V06 Calend 01'!C90),6)=0),(((120-'V06 Calend 01'!C90)/6)&lt;='V06 Calend 01'!E90)),IF((120=('V06 Calend 01'!C90+(6*'V06 Calend 01'!E90))),('V06 Calend 01'!H90-('V06 Calend 01'!I90*('V06 Calend 01'!E90-1))),'V06 Calend 01'!I90),0))+IF((120='V06 Calend 01'!D90),'V06 Calend 01'!J90,0))</f>
        <v>0</v>
      </c>
      <c r="EC90" s="2">
        <f>((IF((121='V06 Calend 01'!C90),('V06 Calend 01'!F90+'V06 Calend 01'!G90),0)+IF(AND(('V06 Calend 01'!E90&gt;0),(121&gt;'V06 Calend 01'!C90),(121&lt;'V06 Calend 01'!D90),(MOD((121-'V06 Calend 01'!C90),6)=0),(((121-'V06 Calend 01'!C90)/6)&lt;='V06 Calend 01'!E90)),IF((121=('V06 Calend 01'!C90+(6*'V06 Calend 01'!E90))),('V06 Calend 01'!H90-('V06 Calend 01'!I90*('V06 Calend 01'!E90-1))),'V06 Calend 01'!I90),0))+IF((121='V06 Calend 01'!D90),'V06 Calend 01'!J90,0))</f>
        <v>0</v>
      </c>
      <c r="ED90" s="2">
        <f>((IF((122='V06 Calend 01'!C90),('V06 Calend 01'!F90+'V06 Calend 01'!G90),0)+IF(AND(('V06 Calend 01'!E90&gt;0),(122&gt;'V06 Calend 01'!C90),(122&lt;'V06 Calend 01'!D90),(MOD((122-'V06 Calend 01'!C90),6)=0),(((122-'V06 Calend 01'!C90)/6)&lt;='V06 Calend 01'!E90)),IF((122=('V06 Calend 01'!C90+(6*'V06 Calend 01'!E90))),('V06 Calend 01'!H90-('V06 Calend 01'!I90*('V06 Calend 01'!E90-1))),'V06 Calend 01'!I90),0))+IF((122='V06 Calend 01'!D90),'V06 Calend 01'!J90,0))</f>
        <v>0</v>
      </c>
      <c r="EE90" s="2">
        <f>((IF((123='V06 Calend 01'!C90),('V06 Calend 01'!F90+'V06 Calend 01'!G90),0)+IF(AND(('V06 Calend 01'!E90&gt;0),(123&gt;'V06 Calend 01'!C90),(123&lt;'V06 Calend 01'!D90),(MOD((123-'V06 Calend 01'!C90),6)=0),(((123-'V06 Calend 01'!C90)/6)&lt;='V06 Calend 01'!E90)),IF((123=('V06 Calend 01'!C90+(6*'V06 Calend 01'!E90))),('V06 Calend 01'!H90-('V06 Calend 01'!I90*('V06 Calend 01'!E90-1))),'V06 Calend 01'!I90),0))+IF((123='V06 Calend 01'!D90),'V06 Calend 01'!J90,0))</f>
        <v>0</v>
      </c>
      <c r="EF90" s="2">
        <f>((IF((124='V06 Calend 01'!C90),('V06 Calend 01'!F90+'V06 Calend 01'!G90),0)+IF(AND(('V06 Calend 01'!E90&gt;0),(124&gt;'V06 Calend 01'!C90),(124&lt;'V06 Calend 01'!D90),(MOD((124-'V06 Calend 01'!C90),6)=0),(((124-'V06 Calend 01'!C90)/6)&lt;='V06 Calend 01'!E90)),IF((124=('V06 Calend 01'!C90+(6*'V06 Calend 01'!E90))),('V06 Calend 01'!H90-('V06 Calend 01'!I90*('V06 Calend 01'!E90-1))),'V06 Calend 01'!I90),0))+IF((124='V06 Calend 01'!D90),'V06 Calend 01'!J90,0))</f>
        <v>0</v>
      </c>
      <c r="EG90" s="2">
        <f>((IF((125='V06 Calend 01'!C90),('V06 Calend 01'!F90+'V06 Calend 01'!G90),0)+IF(AND(('V06 Calend 01'!E90&gt;0),(125&gt;'V06 Calend 01'!C90),(125&lt;'V06 Calend 01'!D90),(MOD((125-'V06 Calend 01'!C90),6)=0),(((125-'V06 Calend 01'!C90)/6)&lt;='V06 Calend 01'!E90)),IF((125=('V06 Calend 01'!C90+(6*'V06 Calend 01'!E90))),('V06 Calend 01'!H90-('V06 Calend 01'!I90*('V06 Calend 01'!E90-1))),'V06 Calend 01'!I90),0))+IF((125='V06 Calend 01'!D90),'V06 Calend 01'!J90,0))</f>
        <v>0</v>
      </c>
      <c r="EH90" s="2">
        <f>((IF((126='V06 Calend 01'!C90),('V06 Calend 01'!F90+'V06 Calend 01'!G90),0)+IF(AND(('V06 Calend 01'!E90&gt;0),(126&gt;'V06 Calend 01'!C90),(126&lt;'V06 Calend 01'!D90),(MOD((126-'V06 Calend 01'!C90),6)=0),(((126-'V06 Calend 01'!C90)/6)&lt;='V06 Calend 01'!E90)),IF((126=('V06 Calend 01'!C90+(6*'V06 Calend 01'!E90))),('V06 Calend 01'!H90-('V06 Calend 01'!I90*('V06 Calend 01'!E90-1))),'V06 Calend 01'!I90),0))+IF((126='V06 Calend 01'!D90),'V06 Calend 01'!J90,0))</f>
        <v>0</v>
      </c>
      <c r="EI90" s="2">
        <f>((IF((127='V06 Calend 01'!C90),('V06 Calend 01'!F90+'V06 Calend 01'!G90),0)+IF(AND(('V06 Calend 01'!E90&gt;0),(127&gt;'V06 Calend 01'!C90),(127&lt;'V06 Calend 01'!D90),(MOD((127-'V06 Calend 01'!C90),6)=0),(((127-'V06 Calend 01'!C90)/6)&lt;='V06 Calend 01'!E90)),IF((127=('V06 Calend 01'!C90+(6*'V06 Calend 01'!E90))),('V06 Calend 01'!H90-('V06 Calend 01'!I90*('V06 Calend 01'!E90-1))),'V06 Calend 01'!I90),0))+IF((127='V06 Calend 01'!D90),'V06 Calend 01'!J90,0))</f>
        <v>0</v>
      </c>
      <c r="EJ90" s="2">
        <f>((IF((128='V06 Calend 01'!C90),('V06 Calend 01'!F90+'V06 Calend 01'!G90),0)+IF(AND(('V06 Calend 01'!E90&gt;0),(128&gt;'V06 Calend 01'!C90),(128&lt;'V06 Calend 01'!D90),(MOD((128-'V06 Calend 01'!C90),6)=0),(((128-'V06 Calend 01'!C90)/6)&lt;='V06 Calend 01'!E90)),IF((128=('V06 Calend 01'!C90+(6*'V06 Calend 01'!E90))),('V06 Calend 01'!H90-('V06 Calend 01'!I90*('V06 Calend 01'!E90-1))),'V06 Calend 01'!I90),0))+IF((128='V06 Calend 01'!D90),'V06 Calend 01'!J90,0))</f>
        <v>0</v>
      </c>
      <c r="EK90" s="2">
        <f>((IF((129='V06 Calend 01'!C90),('V06 Calend 01'!F90+'V06 Calend 01'!G90),0)+IF(AND(('V06 Calend 01'!E90&gt;0),(129&gt;'V06 Calend 01'!C90),(129&lt;'V06 Calend 01'!D90),(MOD((129-'V06 Calend 01'!C90),6)=0),(((129-'V06 Calend 01'!C90)/6)&lt;='V06 Calend 01'!E90)),IF((129=('V06 Calend 01'!C90+(6*'V06 Calend 01'!E90))),('V06 Calend 01'!H90-('V06 Calend 01'!I90*('V06 Calend 01'!E90-1))),'V06 Calend 01'!I90),0))+IF((129='V06 Calend 01'!D90),'V06 Calend 01'!J90,0))</f>
        <v>0</v>
      </c>
      <c r="EL90" s="2">
        <f>((IF((130='V06 Calend 01'!C90),('V06 Calend 01'!F90+'V06 Calend 01'!G90),0)+IF(AND(('V06 Calend 01'!E90&gt;0),(130&gt;'V06 Calend 01'!C90),(130&lt;'V06 Calend 01'!D90),(MOD((130-'V06 Calend 01'!C90),6)=0),(((130-'V06 Calend 01'!C90)/6)&lt;='V06 Calend 01'!E90)),IF((130=('V06 Calend 01'!C90+(6*'V06 Calend 01'!E90))),('V06 Calend 01'!H90-('V06 Calend 01'!I90*('V06 Calend 01'!E90-1))),'V06 Calend 01'!I90),0))+IF((130='V06 Calend 01'!D90),'V06 Calend 01'!J90,0))</f>
        <v>0</v>
      </c>
      <c r="EM90" s="2">
        <f>((IF((131='V06 Calend 01'!C90),('V06 Calend 01'!F90+'V06 Calend 01'!G90),0)+IF(AND(('V06 Calend 01'!E90&gt;0),(131&gt;'V06 Calend 01'!C90),(131&lt;'V06 Calend 01'!D90),(MOD((131-'V06 Calend 01'!C90),6)=0),(((131-'V06 Calend 01'!C90)/6)&lt;='V06 Calend 01'!E90)),IF((131=('V06 Calend 01'!C90+(6*'V06 Calend 01'!E90))),('V06 Calend 01'!H90-('V06 Calend 01'!I90*('V06 Calend 01'!E90-1))),'V06 Calend 01'!I90),0))+IF((131='V06 Calend 01'!D90),'V06 Calend 01'!J90,0))</f>
        <v>0</v>
      </c>
      <c r="EN90" s="2">
        <f>((IF((132='V06 Calend 01'!C90),('V06 Calend 01'!F90+'V06 Calend 01'!G90),0)+IF(AND(('V06 Calend 01'!E90&gt;0),(132&gt;'V06 Calend 01'!C90),(132&lt;'V06 Calend 01'!D90),(MOD((132-'V06 Calend 01'!C90),6)=0),(((132-'V06 Calend 01'!C90)/6)&lt;='V06 Calend 01'!E90)),IF((132=('V06 Calend 01'!C90+(6*'V06 Calend 01'!E90))),('V06 Calend 01'!H90-('V06 Calend 01'!I90*('V06 Calend 01'!E90-1))),'V06 Calend 01'!I90),0))+IF((132='V06 Calend 01'!D90),'V06 Calend 01'!J90,0))</f>
        <v>0</v>
      </c>
      <c r="EO90" s="2">
        <f>((IF((133='V06 Calend 01'!C90),('V06 Calend 01'!F90+'V06 Calend 01'!G90),0)+IF(AND(('V06 Calend 01'!E90&gt;0),(133&gt;'V06 Calend 01'!C90),(133&lt;'V06 Calend 01'!D90),(MOD((133-'V06 Calend 01'!C90),6)=0),(((133-'V06 Calend 01'!C90)/6)&lt;='V06 Calend 01'!E90)),IF((133=('V06 Calend 01'!C90+(6*'V06 Calend 01'!E90))),('V06 Calend 01'!H90-('V06 Calend 01'!I90*('V06 Calend 01'!E90-1))),'V06 Calend 01'!I90),0))+IF((133='V06 Calend 01'!D90),'V06 Calend 01'!J90,0))</f>
        <v>0</v>
      </c>
      <c r="EP90" s="2">
        <f>((IF((134='V06 Calend 01'!C90),('V06 Calend 01'!F90+'V06 Calend 01'!G90),0)+IF(AND(('V06 Calend 01'!E90&gt;0),(134&gt;'V06 Calend 01'!C90),(134&lt;'V06 Calend 01'!D90),(MOD((134-'V06 Calend 01'!C90),6)=0),(((134-'V06 Calend 01'!C90)/6)&lt;='V06 Calend 01'!E90)),IF((134=('V06 Calend 01'!C90+(6*'V06 Calend 01'!E90))),('V06 Calend 01'!H90-('V06 Calend 01'!I90*('V06 Calend 01'!E90-1))),'V06 Calend 01'!I90),0))+IF((134='V06 Calend 01'!D90),'V06 Calend 01'!J90,0))</f>
        <v>0</v>
      </c>
      <c r="EQ90" s="2">
        <f>((IF((135='V06 Calend 01'!C90),('V06 Calend 01'!F90+'V06 Calend 01'!G90),0)+IF(AND(('V06 Calend 01'!E90&gt;0),(135&gt;'V06 Calend 01'!C90),(135&lt;'V06 Calend 01'!D90),(MOD((135-'V06 Calend 01'!C90),6)=0),(((135-'V06 Calend 01'!C90)/6)&lt;='V06 Calend 01'!E90)),IF((135=('V06 Calend 01'!C90+(6*'V06 Calend 01'!E90))),('V06 Calend 01'!H90-('V06 Calend 01'!I90*('V06 Calend 01'!E90-1))),'V06 Calend 01'!I90),0))+IF((135='V06 Calend 01'!D90),'V06 Calend 01'!J90,0))</f>
        <v>0</v>
      </c>
      <c r="ER90" s="2">
        <f>((IF((136='V06 Calend 01'!C90),('V06 Calend 01'!F90+'V06 Calend 01'!G90),0)+IF(AND(('V06 Calend 01'!E90&gt;0),(136&gt;'V06 Calend 01'!C90),(136&lt;'V06 Calend 01'!D90),(MOD((136-'V06 Calend 01'!C90),6)=0),(((136-'V06 Calend 01'!C90)/6)&lt;='V06 Calend 01'!E90)),IF((136=('V06 Calend 01'!C90+(6*'V06 Calend 01'!E90))),('V06 Calend 01'!H90-('V06 Calend 01'!I90*('V06 Calend 01'!E90-1))),'V06 Calend 01'!I90),0))+IF((136='V06 Calend 01'!D90),'V06 Calend 01'!J90,0))</f>
        <v>0</v>
      </c>
      <c r="ES90" s="2">
        <f>((IF((137='V06 Calend 01'!C90),('V06 Calend 01'!F90+'V06 Calend 01'!G90),0)+IF(AND(('V06 Calend 01'!E90&gt;0),(137&gt;'V06 Calend 01'!C90),(137&lt;'V06 Calend 01'!D90),(MOD((137-'V06 Calend 01'!C90),6)=0),(((137-'V06 Calend 01'!C90)/6)&lt;='V06 Calend 01'!E90)),IF((137=('V06 Calend 01'!C90+(6*'V06 Calend 01'!E90))),('V06 Calend 01'!H90-('V06 Calend 01'!I90*('V06 Calend 01'!E90-1))),'V06 Calend 01'!I90),0))+IF((137='V06 Calend 01'!D90),'V06 Calend 01'!J90,0))</f>
        <v>0</v>
      </c>
      <c r="ET90" s="2">
        <f>((IF((138='V06 Calend 01'!C90),('V06 Calend 01'!F90+'V06 Calend 01'!G90),0)+IF(AND(('V06 Calend 01'!E90&gt;0),(138&gt;'V06 Calend 01'!C90),(138&lt;'V06 Calend 01'!D90),(MOD((138-'V06 Calend 01'!C90),6)=0),(((138-'V06 Calend 01'!C90)/6)&lt;='V06 Calend 01'!E90)),IF((138=('V06 Calend 01'!C90+(6*'V06 Calend 01'!E90))),('V06 Calend 01'!H90-('V06 Calend 01'!I90*('V06 Calend 01'!E90-1))),'V06 Calend 01'!I90),0))+IF((138='V06 Calend 01'!D90),'V06 Calend 01'!J90,0))</f>
        <v>0</v>
      </c>
      <c r="EU90" s="2">
        <f>((IF((139='V06 Calend 01'!C90),('V06 Calend 01'!F90+'V06 Calend 01'!G90),0)+IF(AND(('V06 Calend 01'!E90&gt;0),(139&gt;'V06 Calend 01'!C90),(139&lt;'V06 Calend 01'!D90),(MOD((139-'V06 Calend 01'!C90),6)=0),(((139-'V06 Calend 01'!C90)/6)&lt;='V06 Calend 01'!E90)),IF((139=('V06 Calend 01'!C90+(6*'V06 Calend 01'!E90))),('V06 Calend 01'!H90-('V06 Calend 01'!I90*('V06 Calend 01'!E90-1))),'V06 Calend 01'!I90),0))+IF((139='V06 Calend 01'!D90),'V06 Calend 01'!J90,0))</f>
        <v>0</v>
      </c>
      <c r="EV90" s="2">
        <f>((IF((140='V06 Calend 01'!C90),('V06 Calend 01'!F90+'V06 Calend 01'!G90),0)+IF(AND(('V06 Calend 01'!E90&gt;0),(140&gt;'V06 Calend 01'!C90),(140&lt;'V06 Calend 01'!D90),(MOD((140-'V06 Calend 01'!C90),6)=0),(((140-'V06 Calend 01'!C90)/6)&lt;='V06 Calend 01'!E90)),IF((140=('V06 Calend 01'!C90+(6*'V06 Calend 01'!E90))),('V06 Calend 01'!H90-('V06 Calend 01'!I90*('V06 Calend 01'!E90-1))),'V06 Calend 01'!I90),0))+IF((140='V06 Calend 01'!D90),'V06 Calend 01'!J90,0))</f>
        <v>0</v>
      </c>
      <c r="EW90" s="2">
        <f>((IF((141='V06 Calend 01'!C90),('V06 Calend 01'!F90+'V06 Calend 01'!G90),0)+IF(AND(('V06 Calend 01'!E90&gt;0),(141&gt;'V06 Calend 01'!C90),(141&lt;'V06 Calend 01'!D90),(MOD((141-'V06 Calend 01'!C90),6)=0),(((141-'V06 Calend 01'!C90)/6)&lt;='V06 Calend 01'!E90)),IF((141=('V06 Calend 01'!C90+(6*'V06 Calend 01'!E90))),('V06 Calend 01'!H90-('V06 Calend 01'!I90*('V06 Calend 01'!E90-1))),'V06 Calend 01'!I90),0))+IF((141='V06 Calend 01'!D90),'V06 Calend 01'!J90,0))</f>
        <v>0</v>
      </c>
      <c r="EX90" s="2">
        <f>((IF((142='V06 Calend 01'!C90),('V06 Calend 01'!F90+'V06 Calend 01'!G90),0)+IF(AND(('V06 Calend 01'!E90&gt;0),(142&gt;'V06 Calend 01'!C90),(142&lt;'V06 Calend 01'!D90),(MOD((142-'V06 Calend 01'!C90),6)=0),(((142-'V06 Calend 01'!C90)/6)&lt;='V06 Calend 01'!E90)),IF((142=('V06 Calend 01'!C90+(6*'V06 Calend 01'!E90))),('V06 Calend 01'!H90-('V06 Calend 01'!I90*('V06 Calend 01'!E90-1))),'V06 Calend 01'!I90),0))+IF((142='V06 Calend 01'!D90),'V06 Calend 01'!J90,0))</f>
        <v>0</v>
      </c>
      <c r="EY90" s="2">
        <f>((IF((143='V06 Calend 01'!C90),('V06 Calend 01'!F90+'V06 Calend 01'!G90),0)+IF(AND(('V06 Calend 01'!E90&gt;0),(143&gt;'V06 Calend 01'!C90),(143&lt;'V06 Calend 01'!D90),(MOD((143-'V06 Calend 01'!C90),6)=0),(((143-'V06 Calend 01'!C90)/6)&lt;='V06 Calend 01'!E90)),IF((143=('V06 Calend 01'!C90+(6*'V06 Calend 01'!E90))),('V06 Calend 01'!H90-('V06 Calend 01'!I90*('V06 Calend 01'!E90-1))),'V06 Calend 01'!I90),0))+IF((143='V06 Calend 01'!D90),'V06 Calend 01'!J90,0))</f>
        <v>0</v>
      </c>
      <c r="EZ90" s="2">
        <f>((IF((144='V06 Calend 01'!C90),('V06 Calend 01'!F90+'V06 Calend 01'!G90),0)+IF(AND(('V06 Calend 01'!E90&gt;0),(144&gt;'V06 Calend 01'!C90),(144&lt;'V06 Calend 01'!D90),(MOD((144-'V06 Calend 01'!C90),6)=0),(((144-'V06 Calend 01'!C90)/6)&lt;='V06 Calend 01'!E90)),IF((144=('V06 Calend 01'!C90+(6*'V06 Calend 01'!E90))),('V06 Calend 01'!H90-('V06 Calend 01'!I90*('V06 Calend 01'!E90-1))),'V06 Calend 01'!I90),0))+IF((144='V06 Calend 01'!D90),'V06 Calend 01'!J90,0))</f>
        <v>0</v>
      </c>
      <c r="FA90" s="2">
        <f>((IF((145='V06 Calend 01'!C90),('V06 Calend 01'!F90+'V06 Calend 01'!G90),0)+IF(AND(('V06 Calend 01'!E90&gt;0),(145&gt;'V06 Calend 01'!C90),(145&lt;'V06 Calend 01'!D90),(MOD((145-'V06 Calend 01'!C90),6)=0),(((145-'V06 Calend 01'!C90)/6)&lt;='V06 Calend 01'!E90)),IF((145=('V06 Calend 01'!C90+(6*'V06 Calend 01'!E90))),('V06 Calend 01'!H90-('V06 Calend 01'!I90*('V06 Calend 01'!E90-1))),'V06 Calend 01'!I90),0))+IF((145='V06 Calend 01'!D90),'V06 Calend 01'!J90,0))</f>
        <v>0</v>
      </c>
      <c r="FB90" s="2">
        <f>((IF((146='V06 Calend 01'!C90),('V06 Calend 01'!F90+'V06 Calend 01'!G90),0)+IF(AND(('V06 Calend 01'!E90&gt;0),(146&gt;'V06 Calend 01'!C90),(146&lt;'V06 Calend 01'!D90),(MOD((146-'V06 Calend 01'!C90),6)=0),(((146-'V06 Calend 01'!C90)/6)&lt;='V06 Calend 01'!E90)),IF((146=('V06 Calend 01'!C90+(6*'V06 Calend 01'!E90))),('V06 Calend 01'!H90-('V06 Calend 01'!I90*('V06 Calend 01'!E90-1))),'V06 Calend 01'!I90),0))+IF((146='V06 Calend 01'!D90),'V06 Calend 01'!J90,0))</f>
        <v>0</v>
      </c>
      <c r="FC90" s="2">
        <f>((IF((147='V06 Calend 01'!C90),('V06 Calend 01'!F90+'V06 Calend 01'!G90),0)+IF(AND(('V06 Calend 01'!E90&gt;0),(147&gt;'V06 Calend 01'!C90),(147&lt;'V06 Calend 01'!D90),(MOD((147-'V06 Calend 01'!C90),6)=0),(((147-'V06 Calend 01'!C90)/6)&lt;='V06 Calend 01'!E90)),IF((147=('V06 Calend 01'!C90+(6*'V06 Calend 01'!E90))),('V06 Calend 01'!H90-('V06 Calend 01'!I90*('V06 Calend 01'!E90-1))),'V06 Calend 01'!I90),0))+IF((147='V06 Calend 01'!D90),'V06 Calend 01'!J90,0))</f>
        <v>0</v>
      </c>
      <c r="FD90" s="2">
        <f>((IF((148='V06 Calend 01'!C90),('V06 Calend 01'!F90+'V06 Calend 01'!G90),0)+IF(AND(('V06 Calend 01'!E90&gt;0),(148&gt;'V06 Calend 01'!C90),(148&lt;'V06 Calend 01'!D90),(MOD((148-'V06 Calend 01'!C90),6)=0),(((148-'V06 Calend 01'!C90)/6)&lt;='V06 Calend 01'!E90)),IF((148=('V06 Calend 01'!C90+(6*'V06 Calend 01'!E90))),('V06 Calend 01'!H90-('V06 Calend 01'!I90*('V06 Calend 01'!E90-1))),'V06 Calend 01'!I90),0))+IF((148='V06 Calend 01'!D90),'V06 Calend 01'!J90,0))</f>
        <v>0</v>
      </c>
      <c r="FE90" s="2">
        <f>((IF((149='V06 Calend 01'!C90),('V06 Calend 01'!F90+'V06 Calend 01'!G90),0)+IF(AND(('V06 Calend 01'!E90&gt;0),(149&gt;'V06 Calend 01'!C90),(149&lt;'V06 Calend 01'!D90),(MOD((149-'V06 Calend 01'!C90),6)=0),(((149-'V06 Calend 01'!C90)/6)&lt;='V06 Calend 01'!E90)),IF((149=('V06 Calend 01'!C90+(6*'V06 Calend 01'!E90))),('V06 Calend 01'!H90-('V06 Calend 01'!I90*('V06 Calend 01'!E90-1))),'V06 Calend 01'!I90),0))+IF((149='V06 Calend 01'!D90),'V06 Calend 01'!J90,0))</f>
        <v>0</v>
      </c>
      <c r="FF90" s="2">
        <f>((IF((150='V06 Calend 01'!C90),('V06 Calend 01'!F90+'V06 Calend 01'!G90),0)+IF(AND(('V06 Calend 01'!E90&gt;0),(150&gt;'V06 Calend 01'!C90),(150&lt;'V06 Calend 01'!D90),(MOD((150-'V06 Calend 01'!C90),6)=0),(((150-'V06 Calend 01'!C90)/6)&lt;='V06 Calend 01'!E90)),IF((150=('V06 Calend 01'!C90+(6*'V06 Calend 01'!E90))),('V06 Calend 01'!H90-('V06 Calend 01'!I90*('V06 Calend 01'!E90-1))),'V06 Calend 01'!I90),0))+IF((150='V06 Calend 01'!D90),'V06 Calend 01'!J90,0))</f>
        <v>0</v>
      </c>
      <c r="FG90" s="2">
        <f>((IF((151='V06 Calend 01'!C90),('V06 Calend 01'!F90+'V06 Calend 01'!G90),0)+IF(AND(('V06 Calend 01'!E90&gt;0),(151&gt;'V06 Calend 01'!C90),(151&lt;'V06 Calend 01'!D90),(MOD((151-'V06 Calend 01'!C90),6)=0),(((151-'V06 Calend 01'!C90)/6)&lt;='V06 Calend 01'!E90)),IF((151=('V06 Calend 01'!C90+(6*'V06 Calend 01'!E90))),('V06 Calend 01'!H90-('V06 Calend 01'!I90*('V06 Calend 01'!E90-1))),'V06 Calend 01'!I90),0))+IF((151='V06 Calend 01'!D90),'V06 Calend 01'!J90,0))</f>
        <v>0</v>
      </c>
      <c r="FH90" s="2">
        <f>((IF((152='V06 Calend 01'!C90),('V06 Calend 01'!F90+'V06 Calend 01'!G90),0)+IF(AND(('V06 Calend 01'!E90&gt;0),(152&gt;'V06 Calend 01'!C90),(152&lt;'V06 Calend 01'!D90),(MOD((152-'V06 Calend 01'!C90),6)=0),(((152-'V06 Calend 01'!C90)/6)&lt;='V06 Calend 01'!E90)),IF((152=('V06 Calend 01'!C90+(6*'V06 Calend 01'!E90))),('V06 Calend 01'!H90-('V06 Calend 01'!I90*('V06 Calend 01'!E90-1))),'V06 Calend 01'!I90),0))+IF((152='V06 Calend 01'!D90),'V06 Calend 01'!J90,0))</f>
        <v>0</v>
      </c>
      <c r="FI90" s="2">
        <f>((IF((153='V06 Calend 01'!C90),('V06 Calend 01'!F90+'V06 Calend 01'!G90),0)+IF(AND(('V06 Calend 01'!E90&gt;0),(153&gt;'V06 Calend 01'!C90),(153&lt;'V06 Calend 01'!D90),(MOD((153-'V06 Calend 01'!C90),6)=0),(((153-'V06 Calend 01'!C90)/6)&lt;='V06 Calend 01'!E90)),IF((153=('V06 Calend 01'!C90+(6*'V06 Calend 01'!E90))),('V06 Calend 01'!H90-('V06 Calend 01'!I90*('V06 Calend 01'!E90-1))),'V06 Calend 01'!I90),0))+IF((153='V06 Calend 01'!D90),'V06 Calend 01'!J90,0))</f>
        <v>0</v>
      </c>
      <c r="FJ90" s="2">
        <f>((IF((154='V06 Calend 01'!C90),('V06 Calend 01'!F90+'V06 Calend 01'!G90),0)+IF(AND(('V06 Calend 01'!E90&gt;0),(154&gt;'V06 Calend 01'!C90),(154&lt;'V06 Calend 01'!D90),(MOD((154-'V06 Calend 01'!C90),6)=0),(((154-'V06 Calend 01'!C90)/6)&lt;='V06 Calend 01'!E90)),IF((154=('V06 Calend 01'!C90+(6*'V06 Calend 01'!E90))),('V06 Calend 01'!H90-('V06 Calend 01'!I90*('V06 Calend 01'!E90-1))),'V06 Calend 01'!I90),0))+IF((154='V06 Calend 01'!D90),'V06 Calend 01'!J90,0))</f>
        <v>0</v>
      </c>
      <c r="FK90" s="2">
        <f>((IF((155='V06 Calend 01'!C90),('V06 Calend 01'!F90+'V06 Calend 01'!G90),0)+IF(AND(('V06 Calend 01'!E90&gt;0),(155&gt;'V06 Calend 01'!C90),(155&lt;'V06 Calend 01'!D90),(MOD((155-'V06 Calend 01'!C90),6)=0),(((155-'V06 Calend 01'!C90)/6)&lt;='V06 Calend 01'!E90)),IF((155=('V06 Calend 01'!C90+(6*'V06 Calend 01'!E90))),('V06 Calend 01'!H90-('V06 Calend 01'!I90*('V06 Calend 01'!E90-1))),'V06 Calend 01'!I90),0))+IF((155='V06 Calend 01'!D90),'V06 Calend 01'!J90,0))</f>
        <v>0</v>
      </c>
      <c r="FL90" s="2">
        <f>((IF((156='V06 Calend 01'!C90),('V06 Calend 01'!F90+'V06 Calend 01'!G90),0)+IF(AND(('V06 Calend 01'!E90&gt;0),(156&gt;'V06 Calend 01'!C90),(156&lt;'V06 Calend 01'!D90),(MOD((156-'V06 Calend 01'!C90),6)=0),(((156-'V06 Calend 01'!C90)/6)&lt;='V06 Calend 01'!E90)),IF((156=('V06 Calend 01'!C90+(6*'V06 Calend 01'!E90))),('V06 Calend 01'!H90-('V06 Calend 01'!I90*('V06 Calend 01'!E90-1))),'V06 Calend 01'!I90),0))+IF((156='V06 Calend 01'!D90),'V06 Calend 01'!J90,0))</f>
        <v>0</v>
      </c>
      <c r="FM90" s="2">
        <f>((IF((157='V06 Calend 01'!C90),('V06 Calend 01'!F90+'V06 Calend 01'!G90),0)+IF(AND(('V06 Calend 01'!E90&gt;0),(157&gt;'V06 Calend 01'!C90),(157&lt;'V06 Calend 01'!D90),(MOD((157-'V06 Calend 01'!C90),6)=0),(((157-'V06 Calend 01'!C90)/6)&lt;='V06 Calend 01'!E90)),IF((157=('V06 Calend 01'!C90+(6*'V06 Calend 01'!E90))),('V06 Calend 01'!H90-('V06 Calend 01'!I90*('V06 Calend 01'!E90-1))),'V06 Calend 01'!I90),0))+IF((157='V06 Calend 01'!D90),'V06 Calend 01'!J90,0))</f>
        <v>0</v>
      </c>
      <c r="FN90" s="2">
        <f>((IF((158='V06 Calend 01'!C90),('V06 Calend 01'!F90+'V06 Calend 01'!G90),0)+IF(AND(('V06 Calend 01'!E90&gt;0),(158&gt;'V06 Calend 01'!C90),(158&lt;'V06 Calend 01'!D90),(MOD((158-'V06 Calend 01'!C90),6)=0),(((158-'V06 Calend 01'!C90)/6)&lt;='V06 Calend 01'!E90)),IF((158=('V06 Calend 01'!C90+(6*'V06 Calend 01'!E90))),('V06 Calend 01'!H90-('V06 Calend 01'!I90*('V06 Calend 01'!E90-1))),'V06 Calend 01'!I90),0))+IF((158='V06 Calend 01'!D90),'V06 Calend 01'!J90,0))</f>
        <v>0</v>
      </c>
      <c r="FO90" s="2">
        <f>((IF((159='V06 Calend 01'!C90),('V06 Calend 01'!F90+'V06 Calend 01'!G90),0)+IF(AND(('V06 Calend 01'!E90&gt;0),(159&gt;'V06 Calend 01'!C90),(159&lt;'V06 Calend 01'!D90),(MOD((159-'V06 Calend 01'!C90),6)=0),(((159-'V06 Calend 01'!C90)/6)&lt;='V06 Calend 01'!E90)),IF((159=('V06 Calend 01'!C90+(6*'V06 Calend 01'!E90))),('V06 Calend 01'!H90-('V06 Calend 01'!I90*('V06 Calend 01'!E90-1))),'V06 Calend 01'!I90),0))+IF((159='V06 Calend 01'!D90),'V06 Calend 01'!J90,0))</f>
        <v>0</v>
      </c>
      <c r="FP90" s="2">
        <f>((IF((160='V06 Calend 01'!C90),('V06 Calend 01'!F90+'V06 Calend 01'!G90),0)+IF(AND(('V06 Calend 01'!E90&gt;0),(160&gt;'V06 Calend 01'!C90),(160&lt;'V06 Calend 01'!D90),(MOD((160-'V06 Calend 01'!C90),6)=0),(((160-'V06 Calend 01'!C90)/6)&lt;='V06 Calend 01'!E90)),IF((160=('V06 Calend 01'!C90+(6*'V06 Calend 01'!E90))),('V06 Calend 01'!H90-('V06 Calend 01'!I90*('V06 Calend 01'!E90-1))),'V06 Calend 01'!I90),0))+IF((160='V06 Calend 01'!D90),'V06 Calend 01'!J90,0))</f>
        <v>0</v>
      </c>
      <c r="FQ90" s="2">
        <f>((IF((161='V06 Calend 01'!C90),('V06 Calend 01'!F90+'V06 Calend 01'!G90),0)+IF(AND(('V06 Calend 01'!E90&gt;0),(161&gt;'V06 Calend 01'!C90),(161&lt;'V06 Calend 01'!D90),(MOD((161-'V06 Calend 01'!C90),6)=0),(((161-'V06 Calend 01'!C90)/6)&lt;='V06 Calend 01'!E90)),IF((161=('V06 Calend 01'!C90+(6*'V06 Calend 01'!E90))),('V06 Calend 01'!H90-('V06 Calend 01'!I90*('V06 Calend 01'!E90-1))),'V06 Calend 01'!I90),0))+IF((161='V06 Calend 01'!D90),'V06 Calend 01'!J90,0))</f>
        <v>0</v>
      </c>
      <c r="FR90" s="2">
        <f>((IF((162='V06 Calend 01'!C90),('V06 Calend 01'!F90+'V06 Calend 01'!G90),0)+IF(AND(('V06 Calend 01'!E90&gt;0),(162&gt;'V06 Calend 01'!C90),(162&lt;'V06 Calend 01'!D90),(MOD((162-'V06 Calend 01'!C90),6)=0),(((162-'V06 Calend 01'!C90)/6)&lt;='V06 Calend 01'!E90)),IF((162=('V06 Calend 01'!C90+(6*'V06 Calend 01'!E90))),('V06 Calend 01'!H90-('V06 Calend 01'!I90*('V06 Calend 01'!E90-1))),'V06 Calend 01'!I90),0))+IF((162='V06 Calend 01'!D90),'V06 Calend 01'!J90,0))</f>
        <v>0</v>
      </c>
      <c r="FS90" s="2">
        <f>((IF((163='V06 Calend 01'!C90),('V06 Calend 01'!F90+'V06 Calend 01'!G90),0)+IF(AND(('V06 Calend 01'!E90&gt;0),(163&gt;'V06 Calend 01'!C90),(163&lt;'V06 Calend 01'!D90),(MOD((163-'V06 Calend 01'!C90),6)=0),(((163-'V06 Calend 01'!C90)/6)&lt;='V06 Calend 01'!E90)),IF((163=('V06 Calend 01'!C90+(6*'V06 Calend 01'!E90))),('V06 Calend 01'!H90-('V06 Calend 01'!I90*('V06 Calend 01'!E90-1))),'V06 Calend 01'!I90),0))+IF((163='V06 Calend 01'!D90),'V06 Calend 01'!J90,0))</f>
        <v>0</v>
      </c>
      <c r="FT90" s="2">
        <f>((IF((164='V06 Calend 01'!C90),('V06 Calend 01'!F90+'V06 Calend 01'!G90),0)+IF(AND(('V06 Calend 01'!E90&gt;0),(164&gt;'V06 Calend 01'!C90),(164&lt;'V06 Calend 01'!D90),(MOD((164-'V06 Calend 01'!C90),6)=0),(((164-'V06 Calend 01'!C90)/6)&lt;='V06 Calend 01'!E90)),IF((164=('V06 Calend 01'!C90+(6*'V06 Calend 01'!E90))),('V06 Calend 01'!H90-('V06 Calend 01'!I90*('V06 Calend 01'!E90-1))),'V06 Calend 01'!I90),0))+IF((164='V06 Calend 01'!D90),'V06 Calend 01'!J90,0))</f>
        <v>0</v>
      </c>
      <c r="FU90" s="2">
        <f>((IF((165='V06 Calend 01'!C90),('V06 Calend 01'!F90+'V06 Calend 01'!G90),0)+IF(AND(('V06 Calend 01'!E90&gt;0),(165&gt;'V06 Calend 01'!C90),(165&lt;'V06 Calend 01'!D90),(MOD((165-'V06 Calend 01'!C90),6)=0),(((165-'V06 Calend 01'!C90)/6)&lt;='V06 Calend 01'!E90)),IF((165=('V06 Calend 01'!C90+(6*'V06 Calend 01'!E90))),('V06 Calend 01'!H90-('V06 Calend 01'!I90*('V06 Calend 01'!E90-1))),'V06 Calend 01'!I90),0))+IF((165='V06 Calend 01'!D90),'V06 Calend 01'!J90,0))</f>
        <v>0</v>
      </c>
      <c r="FV90" s="2">
        <f>((IF((166='V06 Calend 01'!C90),('V06 Calend 01'!F90+'V06 Calend 01'!G90),0)+IF(AND(('V06 Calend 01'!E90&gt;0),(166&gt;'V06 Calend 01'!C90),(166&lt;'V06 Calend 01'!D90),(MOD((166-'V06 Calend 01'!C90),6)=0),(((166-'V06 Calend 01'!C90)/6)&lt;='V06 Calend 01'!E90)),IF((166=('V06 Calend 01'!C90+(6*'V06 Calend 01'!E90))),('V06 Calend 01'!H90-('V06 Calend 01'!I90*('V06 Calend 01'!E90-1))),'V06 Calend 01'!I90),0))+IF((166='V06 Calend 01'!D90),'V06 Calend 01'!J90,0))</f>
        <v>0</v>
      </c>
      <c r="FW90" s="2">
        <f>((IF((167='V06 Calend 01'!C90),('V06 Calend 01'!F90+'V06 Calend 01'!G90),0)+IF(AND(('V06 Calend 01'!E90&gt;0),(167&gt;'V06 Calend 01'!C90),(167&lt;'V06 Calend 01'!D90),(MOD((167-'V06 Calend 01'!C90),6)=0),(((167-'V06 Calend 01'!C90)/6)&lt;='V06 Calend 01'!E90)),IF((167=('V06 Calend 01'!C90+(6*'V06 Calend 01'!E90))),('V06 Calend 01'!H90-('V06 Calend 01'!I90*('V06 Calend 01'!E90-1))),'V06 Calend 01'!I90),0))+IF((167='V06 Calend 01'!D90),'V06 Calend 01'!J90,0))</f>
        <v>0</v>
      </c>
      <c r="FX90" s="2">
        <f>((IF((168='V06 Calend 01'!C90),('V06 Calend 01'!F90+'V06 Calend 01'!G90),0)+IF(AND(('V06 Calend 01'!E90&gt;0),(168&gt;'V06 Calend 01'!C90),(168&lt;'V06 Calend 01'!D90),(MOD((168-'V06 Calend 01'!C90),6)=0),(((168-'V06 Calend 01'!C90)/6)&lt;='V06 Calend 01'!E90)),IF((168=('V06 Calend 01'!C90+(6*'V06 Calend 01'!E90))),('V06 Calend 01'!H90-('V06 Calend 01'!I90*('V06 Calend 01'!E90-1))),'V06 Calend 01'!I90),0))+IF((168='V06 Calend 01'!D90),'V06 Calend 01'!J90,0))</f>
        <v>0</v>
      </c>
      <c r="FY90" s="2">
        <f>((IF((169='V06 Calend 01'!C90),('V06 Calend 01'!F90+'V06 Calend 01'!G90),0)+IF(AND(('V06 Calend 01'!E90&gt;0),(169&gt;'V06 Calend 01'!C90),(169&lt;'V06 Calend 01'!D90),(MOD((169-'V06 Calend 01'!C90),6)=0),(((169-'V06 Calend 01'!C90)/6)&lt;='V06 Calend 01'!E90)),IF((169=('V06 Calend 01'!C90+(6*'V06 Calend 01'!E90))),('V06 Calend 01'!H90-('V06 Calend 01'!I90*('V06 Calend 01'!E90-1))),'V06 Calend 01'!I90),0))+IF((169='V06 Calend 01'!D90),'V06 Calend 01'!J90,0))</f>
        <v>0</v>
      </c>
      <c r="FZ90" s="2">
        <f>((IF((170='V06 Calend 01'!C90),('V06 Calend 01'!F90+'V06 Calend 01'!G90),0)+IF(AND(('V06 Calend 01'!E90&gt;0),(170&gt;'V06 Calend 01'!C90),(170&lt;'V06 Calend 01'!D90),(MOD((170-'V06 Calend 01'!C90),6)=0),(((170-'V06 Calend 01'!C90)/6)&lt;='V06 Calend 01'!E90)),IF((170=('V06 Calend 01'!C90+(6*'V06 Calend 01'!E90))),('V06 Calend 01'!H90-('V06 Calend 01'!I90*('V06 Calend 01'!E90-1))),'V06 Calend 01'!I90),0))+IF((170='V06 Calend 01'!D90),'V06 Calend 01'!J90,0))</f>
        <v>0</v>
      </c>
      <c r="GA90" s="2">
        <f>((IF((171='V06 Calend 01'!C90),('V06 Calend 01'!F90+'V06 Calend 01'!G90),0)+IF(AND(('V06 Calend 01'!E90&gt;0),(171&gt;'V06 Calend 01'!C90),(171&lt;'V06 Calend 01'!D90),(MOD((171-'V06 Calend 01'!C90),6)=0),(((171-'V06 Calend 01'!C90)/6)&lt;='V06 Calend 01'!E90)),IF((171=('V06 Calend 01'!C90+(6*'V06 Calend 01'!E90))),('V06 Calend 01'!H90-('V06 Calend 01'!I90*('V06 Calend 01'!E90-1))),'V06 Calend 01'!I90),0))+IF((171='V06 Calend 01'!D90),'V06 Calend 01'!J90,0))</f>
        <v>0</v>
      </c>
      <c r="GB90" s="2">
        <f>((IF((172='V06 Calend 01'!C90),('V06 Calend 01'!F90+'V06 Calend 01'!G90),0)+IF(AND(('V06 Calend 01'!E90&gt;0),(172&gt;'V06 Calend 01'!C90),(172&lt;'V06 Calend 01'!D90),(MOD((172-'V06 Calend 01'!C90),6)=0),(((172-'V06 Calend 01'!C90)/6)&lt;='V06 Calend 01'!E90)),IF((172=('V06 Calend 01'!C90+(6*'V06 Calend 01'!E90))),('V06 Calend 01'!H90-('V06 Calend 01'!I90*('V06 Calend 01'!E90-1))),'V06 Calend 01'!I90),0))+IF((172='V06 Calend 01'!D90),'V06 Calend 01'!J90,0))</f>
        <v>0</v>
      </c>
      <c r="GC90" s="2">
        <f>((IF((173='V06 Calend 01'!C90),('V06 Calend 01'!F90+'V06 Calend 01'!G90),0)+IF(AND(('V06 Calend 01'!E90&gt;0),(173&gt;'V06 Calend 01'!C90),(173&lt;'V06 Calend 01'!D90),(MOD((173-'V06 Calend 01'!C90),6)=0),(((173-'V06 Calend 01'!C90)/6)&lt;='V06 Calend 01'!E90)),IF((173=('V06 Calend 01'!C90+(6*'V06 Calend 01'!E90))),('V06 Calend 01'!H90-('V06 Calend 01'!I90*('V06 Calend 01'!E90-1))),'V06 Calend 01'!I90),0))+IF((173='V06 Calend 01'!D90),'V06 Calend 01'!J90,0))</f>
        <v>0</v>
      </c>
      <c r="GD90" s="2">
        <f>((IF((174='V06 Calend 01'!C90),('V06 Calend 01'!F90+'V06 Calend 01'!G90),0)+IF(AND(('V06 Calend 01'!E90&gt;0),(174&gt;'V06 Calend 01'!C90),(174&lt;'V06 Calend 01'!D90),(MOD((174-'V06 Calend 01'!C90),6)=0),(((174-'V06 Calend 01'!C90)/6)&lt;='V06 Calend 01'!E90)),IF((174=('V06 Calend 01'!C90+(6*'V06 Calend 01'!E90))),('V06 Calend 01'!H90-('V06 Calend 01'!I90*('V06 Calend 01'!E90-1))),'V06 Calend 01'!I90),0))+IF((174='V06 Calend 01'!D90),'V06 Calend 01'!J90,0))</f>
        <v>0</v>
      </c>
      <c r="GE90" s="2">
        <f>((IF((175='V06 Calend 01'!C90),('V06 Calend 01'!F90+'V06 Calend 01'!G90),0)+IF(AND(('V06 Calend 01'!E90&gt;0),(175&gt;'V06 Calend 01'!C90),(175&lt;'V06 Calend 01'!D90),(MOD((175-'V06 Calend 01'!C90),6)=0),(((175-'V06 Calend 01'!C90)/6)&lt;='V06 Calend 01'!E90)),IF((175=('V06 Calend 01'!C90+(6*'V06 Calend 01'!E90))),('V06 Calend 01'!H90-('V06 Calend 01'!I90*('V06 Calend 01'!E90-1))),'V06 Calend 01'!I90),0))+IF((175='V06 Calend 01'!D90),'V06 Calend 01'!J90,0))</f>
        <v>0</v>
      </c>
      <c r="GF90" s="2">
        <f>((IF((176='V06 Calend 01'!C90),('V06 Calend 01'!F90+'V06 Calend 01'!G90),0)+IF(AND(('V06 Calend 01'!E90&gt;0),(176&gt;'V06 Calend 01'!C90),(176&lt;'V06 Calend 01'!D90),(MOD((176-'V06 Calend 01'!C90),6)=0),(((176-'V06 Calend 01'!C90)/6)&lt;='V06 Calend 01'!E90)),IF((176=('V06 Calend 01'!C90+(6*'V06 Calend 01'!E90))),('V06 Calend 01'!H90-('V06 Calend 01'!I90*('V06 Calend 01'!E90-1))),'V06 Calend 01'!I90),0))+IF((176='V06 Calend 01'!D90),'V06 Calend 01'!J90,0))</f>
        <v>0</v>
      </c>
      <c r="GG90" s="2">
        <f>((IF((177='V06 Calend 01'!C90),('V06 Calend 01'!F90+'V06 Calend 01'!G90),0)+IF(AND(('V06 Calend 01'!E90&gt;0),(177&gt;'V06 Calend 01'!C90),(177&lt;'V06 Calend 01'!D90),(MOD((177-'V06 Calend 01'!C90),6)=0),(((177-'V06 Calend 01'!C90)/6)&lt;='V06 Calend 01'!E90)),IF((177=('V06 Calend 01'!C90+(6*'V06 Calend 01'!E90))),('V06 Calend 01'!H90-('V06 Calend 01'!I90*('V06 Calend 01'!E90-1))),'V06 Calend 01'!I90),0))+IF((177='V06 Calend 01'!D90),'V06 Calend 01'!J90,0))</f>
        <v>0</v>
      </c>
      <c r="GH90" s="2">
        <f>((IF((178='V06 Calend 01'!C90),('V06 Calend 01'!F90+'V06 Calend 01'!G90),0)+IF(AND(('V06 Calend 01'!E90&gt;0),(178&gt;'V06 Calend 01'!C90),(178&lt;'V06 Calend 01'!D90),(MOD((178-'V06 Calend 01'!C90),6)=0),(((178-'V06 Calend 01'!C90)/6)&lt;='V06 Calend 01'!E90)),IF((178=('V06 Calend 01'!C90+(6*'V06 Calend 01'!E90))),('V06 Calend 01'!H90-('V06 Calend 01'!I90*('V06 Calend 01'!E90-1))),'V06 Calend 01'!I90),0))+IF((178='V06 Calend 01'!D90),'V06 Calend 01'!J90,0))</f>
        <v>0</v>
      </c>
      <c r="GI90" s="2">
        <f>((IF((179='V06 Calend 01'!C90),('V06 Calend 01'!F90+'V06 Calend 01'!G90),0)+IF(AND(('V06 Calend 01'!E90&gt;0),(179&gt;'V06 Calend 01'!C90),(179&lt;'V06 Calend 01'!D90),(MOD((179-'V06 Calend 01'!C90),6)=0),(((179-'V06 Calend 01'!C90)/6)&lt;='V06 Calend 01'!E90)),IF((179=('V06 Calend 01'!C90+(6*'V06 Calend 01'!E90))),('V06 Calend 01'!H90-('V06 Calend 01'!I90*('V06 Calend 01'!E90-1))),'V06 Calend 01'!I90),0))+IF((179='V06 Calend 01'!D90),'V06 Calend 01'!J90,0))</f>
        <v>0</v>
      </c>
      <c r="GJ90" s="2">
        <f>((IF((180='V06 Calend 01'!C90),('V06 Calend 01'!F90+'V06 Calend 01'!G90),0)+IF(AND(('V06 Calend 01'!E90&gt;0),(180&gt;'V06 Calend 01'!C90),(180&lt;'V06 Calend 01'!D90),(MOD((180-'V06 Calend 01'!C90),6)=0),(((180-'V06 Calend 01'!C90)/6)&lt;='V06 Calend 01'!E90)),IF((180=('V06 Calend 01'!C90+(6*'V06 Calend 01'!E90))),('V06 Calend 01'!H90-('V06 Calend 01'!I90*('V06 Calend 01'!E90-1))),'V06 Calend 01'!I90),0))+IF((180='V06 Calend 01'!D90),'V06 Calend 01'!J90,0))</f>
        <v>0</v>
      </c>
    </row>
    <row r="91" spans="1:192">
      <c r="A91" s="3" t="str">
        <f>'V06 Unidades'!$A$91</f>
        <v>1007</v>
      </c>
      <c r="B91" s="2">
        <f>'V06 Unidades'!$H$91</f>
        <v>500561.22</v>
      </c>
      <c r="C91" s="4">
        <f>('V06 Unidades'!$I$91+'V06 Controlos'!$B$37)</f>
        <v>19</v>
      </c>
      <c r="D91" s="4">
        <f>IF(('V06 Controlos'!$B$38&gt;0),MAX(('V06 Unidades'!$L$91+'V06 Controlos'!$B$37),(30+'V06 Controlos'!$B$38)),('V06 Unidades'!$L$91+'V06 Controlos'!$B$37))</f>
        <v>30</v>
      </c>
      <c r="E91" s="4">
        <f>MAX(0,INT(((('V06 Calend 01'!D91-'V06 Calend 01'!C91)-1)/6)))</f>
        <v>1</v>
      </c>
      <c r="F91" s="2">
        <f>ROUND(('V06 Calend 01'!B91*0.05),2)</f>
        <v>25028.06</v>
      </c>
      <c r="G91" s="2">
        <f>ROUND(('V06 Calend 01'!B91*0.2),2)</f>
        <v>100112.24</v>
      </c>
      <c r="H91" s="2">
        <f>ROUND(('V06 Calend 01'!B91*0.55),2)</f>
        <v>275308.67</v>
      </c>
      <c r="I91" s="2">
        <f>ROUND(('V06 Calend 01'!H91/MAX(1,'V06 Calend 01'!E91)),2)</f>
        <v>275308.67</v>
      </c>
      <c r="J91" s="2">
        <f>((('V06 Calend 01'!B91-'V06 Calend 01'!F91)-'V06 Calend 01'!G91)-'V06 Calend 01'!H91)</f>
        <v>100112.25</v>
      </c>
      <c r="K91" s="2">
        <f>('V06 Calend 01'!B91*0.025)</f>
        <v>12514.0305</v>
      </c>
      <c r="L91" t="s">
        <v>378</v>
      </c>
      <c r="M91" s="2">
        <f>((IF((1='V06 Calend 01'!C91),('V06 Calend 01'!F91+'V06 Calend 01'!G91),0)+IF(AND(('V06 Calend 01'!E91&gt;0),(1&gt;'V06 Calend 01'!C91),(1&lt;'V06 Calend 01'!D91),(MOD((1-'V06 Calend 01'!C91),6)=0),(((1-'V06 Calend 01'!C91)/6)&lt;='V06 Calend 01'!E91)),IF((1=('V06 Calend 01'!C91+(6*'V06 Calend 01'!E91))),('V06 Calend 01'!H91-('V06 Calend 01'!I91*('V06 Calend 01'!E91-1))),'V06 Calend 01'!I91),0))+IF((1='V06 Calend 01'!D91),'V06 Calend 01'!J91,0))</f>
        <v>0</v>
      </c>
      <c r="N91" s="2">
        <f>((IF((2='V06 Calend 01'!C91),('V06 Calend 01'!F91+'V06 Calend 01'!G91),0)+IF(AND(('V06 Calend 01'!E91&gt;0),(2&gt;'V06 Calend 01'!C91),(2&lt;'V06 Calend 01'!D91),(MOD((2-'V06 Calend 01'!C91),6)=0),(((2-'V06 Calend 01'!C91)/6)&lt;='V06 Calend 01'!E91)),IF((2=('V06 Calend 01'!C91+(6*'V06 Calend 01'!E91))),('V06 Calend 01'!H91-('V06 Calend 01'!I91*('V06 Calend 01'!E91-1))),'V06 Calend 01'!I91),0))+IF((2='V06 Calend 01'!D91),'V06 Calend 01'!J91,0))</f>
        <v>0</v>
      </c>
      <c r="O91" s="2">
        <f>((IF((3='V06 Calend 01'!C91),('V06 Calend 01'!F91+'V06 Calend 01'!G91),0)+IF(AND(('V06 Calend 01'!E91&gt;0),(3&gt;'V06 Calend 01'!C91),(3&lt;'V06 Calend 01'!D91),(MOD((3-'V06 Calend 01'!C91),6)=0),(((3-'V06 Calend 01'!C91)/6)&lt;='V06 Calend 01'!E91)),IF((3=('V06 Calend 01'!C91+(6*'V06 Calend 01'!E91))),('V06 Calend 01'!H91-('V06 Calend 01'!I91*('V06 Calend 01'!E91-1))),'V06 Calend 01'!I91),0))+IF((3='V06 Calend 01'!D91),'V06 Calend 01'!J91,0))</f>
        <v>0</v>
      </c>
      <c r="P91" s="2">
        <f>((IF((4='V06 Calend 01'!C91),('V06 Calend 01'!F91+'V06 Calend 01'!G91),0)+IF(AND(('V06 Calend 01'!E91&gt;0),(4&gt;'V06 Calend 01'!C91),(4&lt;'V06 Calend 01'!D91),(MOD((4-'V06 Calend 01'!C91),6)=0),(((4-'V06 Calend 01'!C91)/6)&lt;='V06 Calend 01'!E91)),IF((4=('V06 Calend 01'!C91+(6*'V06 Calend 01'!E91))),('V06 Calend 01'!H91-('V06 Calend 01'!I91*('V06 Calend 01'!E91-1))),'V06 Calend 01'!I91),0))+IF((4='V06 Calend 01'!D91),'V06 Calend 01'!J91,0))</f>
        <v>0</v>
      </c>
      <c r="Q91" s="2">
        <f>((IF((5='V06 Calend 01'!C91),('V06 Calend 01'!F91+'V06 Calend 01'!G91),0)+IF(AND(('V06 Calend 01'!E91&gt;0),(5&gt;'V06 Calend 01'!C91),(5&lt;'V06 Calend 01'!D91),(MOD((5-'V06 Calend 01'!C91),6)=0),(((5-'V06 Calend 01'!C91)/6)&lt;='V06 Calend 01'!E91)),IF((5=('V06 Calend 01'!C91+(6*'V06 Calend 01'!E91))),('V06 Calend 01'!H91-('V06 Calend 01'!I91*('V06 Calend 01'!E91-1))),'V06 Calend 01'!I91),0))+IF((5='V06 Calend 01'!D91),'V06 Calend 01'!J91,0))</f>
        <v>0</v>
      </c>
      <c r="R91" s="2">
        <f>((IF((6='V06 Calend 01'!C91),('V06 Calend 01'!F91+'V06 Calend 01'!G91),0)+IF(AND(('V06 Calend 01'!E91&gt;0),(6&gt;'V06 Calend 01'!C91),(6&lt;'V06 Calend 01'!D91),(MOD((6-'V06 Calend 01'!C91),6)=0),(((6-'V06 Calend 01'!C91)/6)&lt;='V06 Calend 01'!E91)),IF((6=('V06 Calend 01'!C91+(6*'V06 Calend 01'!E91))),('V06 Calend 01'!H91-('V06 Calend 01'!I91*('V06 Calend 01'!E91-1))),'V06 Calend 01'!I91),0))+IF((6='V06 Calend 01'!D91),'V06 Calend 01'!J91,0))</f>
        <v>0</v>
      </c>
      <c r="S91" s="2">
        <f>((IF((7='V06 Calend 01'!C91),('V06 Calend 01'!F91+'V06 Calend 01'!G91),0)+IF(AND(('V06 Calend 01'!E91&gt;0),(7&gt;'V06 Calend 01'!C91),(7&lt;'V06 Calend 01'!D91),(MOD((7-'V06 Calend 01'!C91),6)=0),(((7-'V06 Calend 01'!C91)/6)&lt;='V06 Calend 01'!E91)),IF((7=('V06 Calend 01'!C91+(6*'V06 Calend 01'!E91))),('V06 Calend 01'!H91-('V06 Calend 01'!I91*('V06 Calend 01'!E91-1))),'V06 Calend 01'!I91),0))+IF((7='V06 Calend 01'!D91),'V06 Calend 01'!J91,0))</f>
        <v>0</v>
      </c>
      <c r="T91" s="2">
        <f>((IF((8='V06 Calend 01'!C91),('V06 Calend 01'!F91+'V06 Calend 01'!G91),0)+IF(AND(('V06 Calend 01'!E91&gt;0),(8&gt;'V06 Calend 01'!C91),(8&lt;'V06 Calend 01'!D91),(MOD((8-'V06 Calend 01'!C91),6)=0),(((8-'V06 Calend 01'!C91)/6)&lt;='V06 Calend 01'!E91)),IF((8=('V06 Calend 01'!C91+(6*'V06 Calend 01'!E91))),('V06 Calend 01'!H91-('V06 Calend 01'!I91*('V06 Calend 01'!E91-1))),'V06 Calend 01'!I91),0))+IF((8='V06 Calend 01'!D91),'V06 Calend 01'!J91,0))</f>
        <v>0</v>
      </c>
      <c r="U91" s="2">
        <f>((IF((9='V06 Calend 01'!C91),('V06 Calend 01'!F91+'V06 Calend 01'!G91),0)+IF(AND(('V06 Calend 01'!E91&gt;0),(9&gt;'V06 Calend 01'!C91),(9&lt;'V06 Calend 01'!D91),(MOD((9-'V06 Calend 01'!C91),6)=0),(((9-'V06 Calend 01'!C91)/6)&lt;='V06 Calend 01'!E91)),IF((9=('V06 Calend 01'!C91+(6*'V06 Calend 01'!E91))),('V06 Calend 01'!H91-('V06 Calend 01'!I91*('V06 Calend 01'!E91-1))),'V06 Calend 01'!I91),0))+IF((9='V06 Calend 01'!D91),'V06 Calend 01'!J91,0))</f>
        <v>0</v>
      </c>
      <c r="V91" s="2">
        <f>((IF((10='V06 Calend 01'!C91),('V06 Calend 01'!F91+'V06 Calend 01'!G91),0)+IF(AND(('V06 Calend 01'!E91&gt;0),(10&gt;'V06 Calend 01'!C91),(10&lt;'V06 Calend 01'!D91),(MOD((10-'V06 Calend 01'!C91),6)=0),(((10-'V06 Calend 01'!C91)/6)&lt;='V06 Calend 01'!E91)),IF((10=('V06 Calend 01'!C91+(6*'V06 Calend 01'!E91))),('V06 Calend 01'!H91-('V06 Calend 01'!I91*('V06 Calend 01'!E91-1))),'V06 Calend 01'!I91),0))+IF((10='V06 Calend 01'!D91),'V06 Calend 01'!J91,0))</f>
        <v>0</v>
      </c>
      <c r="W91" s="2">
        <f>((IF((11='V06 Calend 01'!C91),('V06 Calend 01'!F91+'V06 Calend 01'!G91),0)+IF(AND(('V06 Calend 01'!E91&gt;0),(11&gt;'V06 Calend 01'!C91),(11&lt;'V06 Calend 01'!D91),(MOD((11-'V06 Calend 01'!C91),6)=0),(((11-'V06 Calend 01'!C91)/6)&lt;='V06 Calend 01'!E91)),IF((11=('V06 Calend 01'!C91+(6*'V06 Calend 01'!E91))),('V06 Calend 01'!H91-('V06 Calend 01'!I91*('V06 Calend 01'!E91-1))),'V06 Calend 01'!I91),0))+IF((11='V06 Calend 01'!D91),'V06 Calend 01'!J91,0))</f>
        <v>0</v>
      </c>
      <c r="X91" s="2">
        <f>((IF((12='V06 Calend 01'!C91),('V06 Calend 01'!F91+'V06 Calend 01'!G91),0)+IF(AND(('V06 Calend 01'!E91&gt;0),(12&gt;'V06 Calend 01'!C91),(12&lt;'V06 Calend 01'!D91),(MOD((12-'V06 Calend 01'!C91),6)=0),(((12-'V06 Calend 01'!C91)/6)&lt;='V06 Calend 01'!E91)),IF((12=('V06 Calend 01'!C91+(6*'V06 Calend 01'!E91))),('V06 Calend 01'!H91-('V06 Calend 01'!I91*('V06 Calend 01'!E91-1))),'V06 Calend 01'!I91),0))+IF((12='V06 Calend 01'!D91),'V06 Calend 01'!J91,0))</f>
        <v>0</v>
      </c>
      <c r="Y91" s="2">
        <f>((IF((13='V06 Calend 01'!C91),('V06 Calend 01'!F91+'V06 Calend 01'!G91),0)+IF(AND(('V06 Calend 01'!E91&gt;0),(13&gt;'V06 Calend 01'!C91),(13&lt;'V06 Calend 01'!D91),(MOD((13-'V06 Calend 01'!C91),6)=0),(((13-'V06 Calend 01'!C91)/6)&lt;='V06 Calend 01'!E91)),IF((13=('V06 Calend 01'!C91+(6*'V06 Calend 01'!E91))),('V06 Calend 01'!H91-('V06 Calend 01'!I91*('V06 Calend 01'!E91-1))),'V06 Calend 01'!I91),0))+IF((13='V06 Calend 01'!D91),'V06 Calend 01'!J91,0))</f>
        <v>0</v>
      </c>
      <c r="Z91" s="2">
        <f>((IF((14='V06 Calend 01'!C91),('V06 Calend 01'!F91+'V06 Calend 01'!G91),0)+IF(AND(('V06 Calend 01'!E91&gt;0),(14&gt;'V06 Calend 01'!C91),(14&lt;'V06 Calend 01'!D91),(MOD((14-'V06 Calend 01'!C91),6)=0),(((14-'V06 Calend 01'!C91)/6)&lt;='V06 Calend 01'!E91)),IF((14=('V06 Calend 01'!C91+(6*'V06 Calend 01'!E91))),('V06 Calend 01'!H91-('V06 Calend 01'!I91*('V06 Calend 01'!E91-1))),'V06 Calend 01'!I91),0))+IF((14='V06 Calend 01'!D91),'V06 Calend 01'!J91,0))</f>
        <v>0</v>
      </c>
      <c r="AA91" s="2">
        <f>((IF((15='V06 Calend 01'!C91),('V06 Calend 01'!F91+'V06 Calend 01'!G91),0)+IF(AND(('V06 Calend 01'!E91&gt;0),(15&gt;'V06 Calend 01'!C91),(15&lt;'V06 Calend 01'!D91),(MOD((15-'V06 Calend 01'!C91),6)=0),(((15-'V06 Calend 01'!C91)/6)&lt;='V06 Calend 01'!E91)),IF((15=('V06 Calend 01'!C91+(6*'V06 Calend 01'!E91))),('V06 Calend 01'!H91-('V06 Calend 01'!I91*('V06 Calend 01'!E91-1))),'V06 Calend 01'!I91),0))+IF((15='V06 Calend 01'!D91),'V06 Calend 01'!J91,0))</f>
        <v>0</v>
      </c>
      <c r="AB91" s="2">
        <f>((IF((16='V06 Calend 01'!C91),('V06 Calend 01'!F91+'V06 Calend 01'!G91),0)+IF(AND(('V06 Calend 01'!E91&gt;0),(16&gt;'V06 Calend 01'!C91),(16&lt;'V06 Calend 01'!D91),(MOD((16-'V06 Calend 01'!C91),6)=0),(((16-'V06 Calend 01'!C91)/6)&lt;='V06 Calend 01'!E91)),IF((16=('V06 Calend 01'!C91+(6*'V06 Calend 01'!E91))),('V06 Calend 01'!H91-('V06 Calend 01'!I91*('V06 Calend 01'!E91-1))),'V06 Calend 01'!I91),0))+IF((16='V06 Calend 01'!D91),'V06 Calend 01'!J91,0))</f>
        <v>0</v>
      </c>
      <c r="AC91" s="2">
        <f>((IF((17='V06 Calend 01'!C91),('V06 Calend 01'!F91+'V06 Calend 01'!G91),0)+IF(AND(('V06 Calend 01'!E91&gt;0),(17&gt;'V06 Calend 01'!C91),(17&lt;'V06 Calend 01'!D91),(MOD((17-'V06 Calend 01'!C91),6)=0),(((17-'V06 Calend 01'!C91)/6)&lt;='V06 Calend 01'!E91)),IF((17=('V06 Calend 01'!C91+(6*'V06 Calend 01'!E91))),('V06 Calend 01'!H91-('V06 Calend 01'!I91*('V06 Calend 01'!E91-1))),'V06 Calend 01'!I91),0))+IF((17='V06 Calend 01'!D91),'V06 Calend 01'!J91,0))</f>
        <v>0</v>
      </c>
      <c r="AD91" s="2">
        <f>((IF((18='V06 Calend 01'!C91),('V06 Calend 01'!F91+'V06 Calend 01'!G91),0)+IF(AND(('V06 Calend 01'!E91&gt;0),(18&gt;'V06 Calend 01'!C91),(18&lt;'V06 Calend 01'!D91),(MOD((18-'V06 Calend 01'!C91),6)=0),(((18-'V06 Calend 01'!C91)/6)&lt;='V06 Calend 01'!E91)),IF((18=('V06 Calend 01'!C91+(6*'V06 Calend 01'!E91))),('V06 Calend 01'!H91-('V06 Calend 01'!I91*('V06 Calend 01'!E91-1))),'V06 Calend 01'!I91),0))+IF((18='V06 Calend 01'!D91),'V06 Calend 01'!J91,0))</f>
        <v>0</v>
      </c>
      <c r="AE91" s="2">
        <f>((IF((19='V06 Calend 01'!C91),('V06 Calend 01'!F91+'V06 Calend 01'!G91),0)+IF(AND(('V06 Calend 01'!E91&gt;0),(19&gt;'V06 Calend 01'!C91),(19&lt;'V06 Calend 01'!D91),(MOD((19-'V06 Calend 01'!C91),6)=0),(((19-'V06 Calend 01'!C91)/6)&lt;='V06 Calend 01'!E91)),IF((19=('V06 Calend 01'!C91+(6*'V06 Calend 01'!E91))),('V06 Calend 01'!H91-('V06 Calend 01'!I91*('V06 Calend 01'!E91-1))),'V06 Calend 01'!I91),0))+IF((19='V06 Calend 01'!D91),'V06 Calend 01'!J91,0))</f>
        <v>125140.3</v>
      </c>
      <c r="AF91" s="2">
        <f>((IF((20='V06 Calend 01'!C91),('V06 Calend 01'!F91+'V06 Calend 01'!G91),0)+IF(AND(('V06 Calend 01'!E91&gt;0),(20&gt;'V06 Calend 01'!C91),(20&lt;'V06 Calend 01'!D91),(MOD((20-'V06 Calend 01'!C91),6)=0),(((20-'V06 Calend 01'!C91)/6)&lt;='V06 Calend 01'!E91)),IF((20=('V06 Calend 01'!C91+(6*'V06 Calend 01'!E91))),('V06 Calend 01'!H91-('V06 Calend 01'!I91*('V06 Calend 01'!E91-1))),'V06 Calend 01'!I91),0))+IF((20='V06 Calend 01'!D91),'V06 Calend 01'!J91,0))</f>
        <v>0</v>
      </c>
      <c r="AG91" s="2">
        <f>((IF((21='V06 Calend 01'!C91),('V06 Calend 01'!F91+'V06 Calend 01'!G91),0)+IF(AND(('V06 Calend 01'!E91&gt;0),(21&gt;'V06 Calend 01'!C91),(21&lt;'V06 Calend 01'!D91),(MOD((21-'V06 Calend 01'!C91),6)=0),(((21-'V06 Calend 01'!C91)/6)&lt;='V06 Calend 01'!E91)),IF((21=('V06 Calend 01'!C91+(6*'V06 Calend 01'!E91))),('V06 Calend 01'!H91-('V06 Calend 01'!I91*('V06 Calend 01'!E91-1))),'V06 Calend 01'!I91),0))+IF((21='V06 Calend 01'!D91),'V06 Calend 01'!J91,0))</f>
        <v>0</v>
      </c>
      <c r="AH91" s="2">
        <f>((IF((22='V06 Calend 01'!C91),('V06 Calend 01'!F91+'V06 Calend 01'!G91),0)+IF(AND(('V06 Calend 01'!E91&gt;0),(22&gt;'V06 Calend 01'!C91),(22&lt;'V06 Calend 01'!D91),(MOD((22-'V06 Calend 01'!C91),6)=0),(((22-'V06 Calend 01'!C91)/6)&lt;='V06 Calend 01'!E91)),IF((22=('V06 Calend 01'!C91+(6*'V06 Calend 01'!E91))),('V06 Calend 01'!H91-('V06 Calend 01'!I91*('V06 Calend 01'!E91-1))),'V06 Calend 01'!I91),0))+IF((22='V06 Calend 01'!D91),'V06 Calend 01'!J91,0))</f>
        <v>0</v>
      </c>
      <c r="AI91" s="2">
        <f>((IF((23='V06 Calend 01'!C91),('V06 Calend 01'!F91+'V06 Calend 01'!G91),0)+IF(AND(('V06 Calend 01'!E91&gt;0),(23&gt;'V06 Calend 01'!C91),(23&lt;'V06 Calend 01'!D91),(MOD((23-'V06 Calend 01'!C91),6)=0),(((23-'V06 Calend 01'!C91)/6)&lt;='V06 Calend 01'!E91)),IF((23=('V06 Calend 01'!C91+(6*'V06 Calend 01'!E91))),('V06 Calend 01'!H91-('V06 Calend 01'!I91*('V06 Calend 01'!E91-1))),'V06 Calend 01'!I91),0))+IF((23='V06 Calend 01'!D91),'V06 Calend 01'!J91,0))</f>
        <v>0</v>
      </c>
      <c r="AJ91" s="2">
        <f>((IF((24='V06 Calend 01'!C91),('V06 Calend 01'!F91+'V06 Calend 01'!G91),0)+IF(AND(('V06 Calend 01'!E91&gt;0),(24&gt;'V06 Calend 01'!C91),(24&lt;'V06 Calend 01'!D91),(MOD((24-'V06 Calend 01'!C91),6)=0),(((24-'V06 Calend 01'!C91)/6)&lt;='V06 Calend 01'!E91)),IF((24=('V06 Calend 01'!C91+(6*'V06 Calend 01'!E91))),('V06 Calend 01'!H91-('V06 Calend 01'!I91*('V06 Calend 01'!E91-1))),'V06 Calend 01'!I91),0))+IF((24='V06 Calend 01'!D91),'V06 Calend 01'!J91,0))</f>
        <v>0</v>
      </c>
      <c r="AK91" s="2">
        <f>((IF((25='V06 Calend 01'!C91),('V06 Calend 01'!F91+'V06 Calend 01'!G91),0)+IF(AND(('V06 Calend 01'!E91&gt;0),(25&gt;'V06 Calend 01'!C91),(25&lt;'V06 Calend 01'!D91),(MOD((25-'V06 Calend 01'!C91),6)=0),(((25-'V06 Calend 01'!C91)/6)&lt;='V06 Calend 01'!E91)),IF((25=('V06 Calend 01'!C91+(6*'V06 Calend 01'!E91))),('V06 Calend 01'!H91-('V06 Calend 01'!I91*('V06 Calend 01'!E91-1))),'V06 Calend 01'!I91),0))+IF((25='V06 Calend 01'!D91),'V06 Calend 01'!J91,0))</f>
        <v>275308.67</v>
      </c>
      <c r="AL91" s="2">
        <f>((IF((26='V06 Calend 01'!C91),('V06 Calend 01'!F91+'V06 Calend 01'!G91),0)+IF(AND(('V06 Calend 01'!E91&gt;0),(26&gt;'V06 Calend 01'!C91),(26&lt;'V06 Calend 01'!D91),(MOD((26-'V06 Calend 01'!C91),6)=0),(((26-'V06 Calend 01'!C91)/6)&lt;='V06 Calend 01'!E91)),IF((26=('V06 Calend 01'!C91+(6*'V06 Calend 01'!E91))),('V06 Calend 01'!H91-('V06 Calend 01'!I91*('V06 Calend 01'!E91-1))),'V06 Calend 01'!I91),0))+IF((26='V06 Calend 01'!D91),'V06 Calend 01'!J91,0))</f>
        <v>0</v>
      </c>
      <c r="AM91" s="2">
        <f>((IF((27='V06 Calend 01'!C91),('V06 Calend 01'!F91+'V06 Calend 01'!G91),0)+IF(AND(('V06 Calend 01'!E91&gt;0),(27&gt;'V06 Calend 01'!C91),(27&lt;'V06 Calend 01'!D91),(MOD((27-'V06 Calend 01'!C91),6)=0),(((27-'V06 Calend 01'!C91)/6)&lt;='V06 Calend 01'!E91)),IF((27=('V06 Calend 01'!C91+(6*'V06 Calend 01'!E91))),('V06 Calend 01'!H91-('V06 Calend 01'!I91*('V06 Calend 01'!E91-1))),'V06 Calend 01'!I91),0))+IF((27='V06 Calend 01'!D91),'V06 Calend 01'!J91,0))</f>
        <v>0</v>
      </c>
      <c r="AN91" s="2">
        <f>((IF((28='V06 Calend 01'!C91),('V06 Calend 01'!F91+'V06 Calend 01'!G91),0)+IF(AND(('V06 Calend 01'!E91&gt;0),(28&gt;'V06 Calend 01'!C91),(28&lt;'V06 Calend 01'!D91),(MOD((28-'V06 Calend 01'!C91),6)=0),(((28-'V06 Calend 01'!C91)/6)&lt;='V06 Calend 01'!E91)),IF((28=('V06 Calend 01'!C91+(6*'V06 Calend 01'!E91))),('V06 Calend 01'!H91-('V06 Calend 01'!I91*('V06 Calend 01'!E91-1))),'V06 Calend 01'!I91),0))+IF((28='V06 Calend 01'!D91),'V06 Calend 01'!J91,0))</f>
        <v>0</v>
      </c>
      <c r="AO91" s="2">
        <f>((IF((29='V06 Calend 01'!C91),('V06 Calend 01'!F91+'V06 Calend 01'!G91),0)+IF(AND(('V06 Calend 01'!E91&gt;0),(29&gt;'V06 Calend 01'!C91),(29&lt;'V06 Calend 01'!D91),(MOD((29-'V06 Calend 01'!C91),6)=0),(((29-'V06 Calend 01'!C91)/6)&lt;='V06 Calend 01'!E91)),IF((29=('V06 Calend 01'!C91+(6*'V06 Calend 01'!E91))),('V06 Calend 01'!H91-('V06 Calend 01'!I91*('V06 Calend 01'!E91-1))),'V06 Calend 01'!I91),0))+IF((29='V06 Calend 01'!D91),'V06 Calend 01'!J91,0))</f>
        <v>0</v>
      </c>
      <c r="AP91" s="2">
        <f>((IF((30='V06 Calend 01'!C91),('V06 Calend 01'!F91+'V06 Calend 01'!G91),0)+IF(AND(('V06 Calend 01'!E91&gt;0),(30&gt;'V06 Calend 01'!C91),(30&lt;'V06 Calend 01'!D91),(MOD((30-'V06 Calend 01'!C91),6)=0),(((30-'V06 Calend 01'!C91)/6)&lt;='V06 Calend 01'!E91)),IF((30=('V06 Calend 01'!C91+(6*'V06 Calend 01'!E91))),('V06 Calend 01'!H91-('V06 Calend 01'!I91*('V06 Calend 01'!E91-1))),'V06 Calend 01'!I91),0))+IF((30='V06 Calend 01'!D91),'V06 Calend 01'!J91,0))</f>
        <v>100112.25</v>
      </c>
      <c r="AQ91" s="2">
        <f>((IF((31='V06 Calend 01'!C91),('V06 Calend 01'!F91+'V06 Calend 01'!G91),0)+IF(AND(('V06 Calend 01'!E91&gt;0),(31&gt;'V06 Calend 01'!C91),(31&lt;'V06 Calend 01'!D91),(MOD((31-'V06 Calend 01'!C91),6)=0),(((31-'V06 Calend 01'!C91)/6)&lt;='V06 Calend 01'!E91)),IF((31=('V06 Calend 01'!C91+(6*'V06 Calend 01'!E91))),('V06 Calend 01'!H91-('V06 Calend 01'!I91*('V06 Calend 01'!E91-1))),'V06 Calend 01'!I91),0))+IF((31='V06 Calend 01'!D91),'V06 Calend 01'!J91,0))</f>
        <v>0</v>
      </c>
      <c r="AR91" s="2">
        <f>((IF((32='V06 Calend 01'!C91),('V06 Calend 01'!F91+'V06 Calend 01'!G91),0)+IF(AND(('V06 Calend 01'!E91&gt;0),(32&gt;'V06 Calend 01'!C91),(32&lt;'V06 Calend 01'!D91),(MOD((32-'V06 Calend 01'!C91),6)=0),(((32-'V06 Calend 01'!C91)/6)&lt;='V06 Calend 01'!E91)),IF((32=('V06 Calend 01'!C91+(6*'V06 Calend 01'!E91))),('V06 Calend 01'!H91-('V06 Calend 01'!I91*('V06 Calend 01'!E91-1))),'V06 Calend 01'!I91),0))+IF((32='V06 Calend 01'!D91),'V06 Calend 01'!J91,0))</f>
        <v>0</v>
      </c>
      <c r="AS91" s="2">
        <f>((IF((33='V06 Calend 01'!C91),('V06 Calend 01'!F91+'V06 Calend 01'!G91),0)+IF(AND(('V06 Calend 01'!E91&gt;0),(33&gt;'V06 Calend 01'!C91),(33&lt;'V06 Calend 01'!D91),(MOD((33-'V06 Calend 01'!C91),6)=0),(((33-'V06 Calend 01'!C91)/6)&lt;='V06 Calend 01'!E91)),IF((33=('V06 Calend 01'!C91+(6*'V06 Calend 01'!E91))),('V06 Calend 01'!H91-('V06 Calend 01'!I91*('V06 Calend 01'!E91-1))),'V06 Calend 01'!I91),0))+IF((33='V06 Calend 01'!D91),'V06 Calend 01'!J91,0))</f>
        <v>0</v>
      </c>
      <c r="AT91" s="2">
        <f>((IF((34='V06 Calend 01'!C91),('V06 Calend 01'!F91+'V06 Calend 01'!G91),0)+IF(AND(('V06 Calend 01'!E91&gt;0),(34&gt;'V06 Calend 01'!C91),(34&lt;'V06 Calend 01'!D91),(MOD((34-'V06 Calend 01'!C91),6)=0),(((34-'V06 Calend 01'!C91)/6)&lt;='V06 Calend 01'!E91)),IF((34=('V06 Calend 01'!C91+(6*'V06 Calend 01'!E91))),('V06 Calend 01'!H91-('V06 Calend 01'!I91*('V06 Calend 01'!E91-1))),'V06 Calend 01'!I91),0))+IF((34='V06 Calend 01'!D91),'V06 Calend 01'!J91,0))</f>
        <v>0</v>
      </c>
      <c r="AU91" s="2">
        <f>((IF((35='V06 Calend 01'!C91),('V06 Calend 01'!F91+'V06 Calend 01'!G91),0)+IF(AND(('V06 Calend 01'!E91&gt;0),(35&gt;'V06 Calend 01'!C91),(35&lt;'V06 Calend 01'!D91),(MOD((35-'V06 Calend 01'!C91),6)=0),(((35-'V06 Calend 01'!C91)/6)&lt;='V06 Calend 01'!E91)),IF((35=('V06 Calend 01'!C91+(6*'V06 Calend 01'!E91))),('V06 Calend 01'!H91-('V06 Calend 01'!I91*('V06 Calend 01'!E91-1))),'V06 Calend 01'!I91),0))+IF((35='V06 Calend 01'!D91),'V06 Calend 01'!J91,0))</f>
        <v>0</v>
      </c>
      <c r="AV91" s="2">
        <f>((IF((36='V06 Calend 01'!C91),('V06 Calend 01'!F91+'V06 Calend 01'!G91),0)+IF(AND(('V06 Calend 01'!E91&gt;0),(36&gt;'V06 Calend 01'!C91),(36&lt;'V06 Calend 01'!D91),(MOD((36-'V06 Calend 01'!C91),6)=0),(((36-'V06 Calend 01'!C91)/6)&lt;='V06 Calend 01'!E91)),IF((36=('V06 Calend 01'!C91+(6*'V06 Calend 01'!E91))),('V06 Calend 01'!H91-('V06 Calend 01'!I91*('V06 Calend 01'!E91-1))),'V06 Calend 01'!I91),0))+IF((36='V06 Calend 01'!D91),'V06 Calend 01'!J91,0))</f>
        <v>0</v>
      </c>
      <c r="AW91" s="2">
        <f>((IF((37='V06 Calend 01'!C91),('V06 Calend 01'!F91+'V06 Calend 01'!G91),0)+IF(AND(('V06 Calend 01'!E91&gt;0),(37&gt;'V06 Calend 01'!C91),(37&lt;'V06 Calend 01'!D91),(MOD((37-'V06 Calend 01'!C91),6)=0),(((37-'V06 Calend 01'!C91)/6)&lt;='V06 Calend 01'!E91)),IF((37=('V06 Calend 01'!C91+(6*'V06 Calend 01'!E91))),('V06 Calend 01'!H91-('V06 Calend 01'!I91*('V06 Calend 01'!E91-1))),'V06 Calend 01'!I91),0))+IF((37='V06 Calend 01'!D91),'V06 Calend 01'!J91,0))</f>
        <v>0</v>
      </c>
      <c r="AX91" s="2">
        <f>((IF((38='V06 Calend 01'!C91),('V06 Calend 01'!F91+'V06 Calend 01'!G91),0)+IF(AND(('V06 Calend 01'!E91&gt;0),(38&gt;'V06 Calend 01'!C91),(38&lt;'V06 Calend 01'!D91),(MOD((38-'V06 Calend 01'!C91),6)=0),(((38-'V06 Calend 01'!C91)/6)&lt;='V06 Calend 01'!E91)),IF((38=('V06 Calend 01'!C91+(6*'V06 Calend 01'!E91))),('V06 Calend 01'!H91-('V06 Calend 01'!I91*('V06 Calend 01'!E91-1))),'V06 Calend 01'!I91),0))+IF((38='V06 Calend 01'!D91),'V06 Calend 01'!J91,0))</f>
        <v>0</v>
      </c>
      <c r="AY91" s="2">
        <f>((IF((39='V06 Calend 01'!C91),('V06 Calend 01'!F91+'V06 Calend 01'!G91),0)+IF(AND(('V06 Calend 01'!E91&gt;0),(39&gt;'V06 Calend 01'!C91),(39&lt;'V06 Calend 01'!D91),(MOD((39-'V06 Calend 01'!C91),6)=0),(((39-'V06 Calend 01'!C91)/6)&lt;='V06 Calend 01'!E91)),IF((39=('V06 Calend 01'!C91+(6*'V06 Calend 01'!E91))),('V06 Calend 01'!H91-('V06 Calend 01'!I91*('V06 Calend 01'!E91-1))),'V06 Calend 01'!I91),0))+IF((39='V06 Calend 01'!D91),'V06 Calend 01'!J91,0))</f>
        <v>0</v>
      </c>
      <c r="AZ91" s="2">
        <f>((IF((40='V06 Calend 01'!C91),('V06 Calend 01'!F91+'V06 Calend 01'!G91),0)+IF(AND(('V06 Calend 01'!E91&gt;0),(40&gt;'V06 Calend 01'!C91),(40&lt;'V06 Calend 01'!D91),(MOD((40-'V06 Calend 01'!C91),6)=0),(((40-'V06 Calend 01'!C91)/6)&lt;='V06 Calend 01'!E91)),IF((40=('V06 Calend 01'!C91+(6*'V06 Calend 01'!E91))),('V06 Calend 01'!H91-('V06 Calend 01'!I91*('V06 Calend 01'!E91-1))),'V06 Calend 01'!I91),0))+IF((40='V06 Calend 01'!D91),'V06 Calend 01'!J91,0))</f>
        <v>0</v>
      </c>
      <c r="BA91" s="2">
        <f>((IF((41='V06 Calend 01'!C91),('V06 Calend 01'!F91+'V06 Calend 01'!G91),0)+IF(AND(('V06 Calend 01'!E91&gt;0),(41&gt;'V06 Calend 01'!C91),(41&lt;'V06 Calend 01'!D91),(MOD((41-'V06 Calend 01'!C91),6)=0),(((41-'V06 Calend 01'!C91)/6)&lt;='V06 Calend 01'!E91)),IF((41=('V06 Calend 01'!C91+(6*'V06 Calend 01'!E91))),('V06 Calend 01'!H91-('V06 Calend 01'!I91*('V06 Calend 01'!E91-1))),'V06 Calend 01'!I91),0))+IF((41='V06 Calend 01'!D91),'V06 Calend 01'!J91,0))</f>
        <v>0</v>
      </c>
      <c r="BB91" s="2">
        <f>((IF((42='V06 Calend 01'!C91),('V06 Calend 01'!F91+'V06 Calend 01'!G91),0)+IF(AND(('V06 Calend 01'!E91&gt;0),(42&gt;'V06 Calend 01'!C91),(42&lt;'V06 Calend 01'!D91),(MOD((42-'V06 Calend 01'!C91),6)=0),(((42-'V06 Calend 01'!C91)/6)&lt;='V06 Calend 01'!E91)),IF((42=('V06 Calend 01'!C91+(6*'V06 Calend 01'!E91))),('V06 Calend 01'!H91-('V06 Calend 01'!I91*('V06 Calend 01'!E91-1))),'V06 Calend 01'!I91),0))+IF((42='V06 Calend 01'!D91),'V06 Calend 01'!J91,0))</f>
        <v>0</v>
      </c>
      <c r="BC91" s="2">
        <f>((IF((43='V06 Calend 01'!C91),('V06 Calend 01'!F91+'V06 Calend 01'!G91),0)+IF(AND(('V06 Calend 01'!E91&gt;0),(43&gt;'V06 Calend 01'!C91),(43&lt;'V06 Calend 01'!D91),(MOD((43-'V06 Calend 01'!C91),6)=0),(((43-'V06 Calend 01'!C91)/6)&lt;='V06 Calend 01'!E91)),IF((43=('V06 Calend 01'!C91+(6*'V06 Calend 01'!E91))),('V06 Calend 01'!H91-('V06 Calend 01'!I91*('V06 Calend 01'!E91-1))),'V06 Calend 01'!I91),0))+IF((43='V06 Calend 01'!D91),'V06 Calend 01'!J91,0))</f>
        <v>0</v>
      </c>
      <c r="BD91" s="2">
        <f>((IF((44='V06 Calend 01'!C91),('V06 Calend 01'!F91+'V06 Calend 01'!G91),0)+IF(AND(('V06 Calend 01'!E91&gt;0),(44&gt;'V06 Calend 01'!C91),(44&lt;'V06 Calend 01'!D91),(MOD((44-'V06 Calend 01'!C91),6)=0),(((44-'V06 Calend 01'!C91)/6)&lt;='V06 Calend 01'!E91)),IF((44=('V06 Calend 01'!C91+(6*'V06 Calend 01'!E91))),('V06 Calend 01'!H91-('V06 Calend 01'!I91*('V06 Calend 01'!E91-1))),'V06 Calend 01'!I91),0))+IF((44='V06 Calend 01'!D91),'V06 Calend 01'!J91,0))</f>
        <v>0</v>
      </c>
      <c r="BE91" s="2">
        <f>((IF((45='V06 Calend 01'!C91),('V06 Calend 01'!F91+'V06 Calend 01'!G91),0)+IF(AND(('V06 Calend 01'!E91&gt;0),(45&gt;'V06 Calend 01'!C91),(45&lt;'V06 Calend 01'!D91),(MOD((45-'V06 Calend 01'!C91),6)=0),(((45-'V06 Calend 01'!C91)/6)&lt;='V06 Calend 01'!E91)),IF((45=('V06 Calend 01'!C91+(6*'V06 Calend 01'!E91))),('V06 Calend 01'!H91-('V06 Calend 01'!I91*('V06 Calend 01'!E91-1))),'V06 Calend 01'!I91),0))+IF((45='V06 Calend 01'!D91),'V06 Calend 01'!J91,0))</f>
        <v>0</v>
      </c>
      <c r="BF91" s="2">
        <f>((IF((46='V06 Calend 01'!C91),('V06 Calend 01'!F91+'V06 Calend 01'!G91),0)+IF(AND(('V06 Calend 01'!E91&gt;0),(46&gt;'V06 Calend 01'!C91),(46&lt;'V06 Calend 01'!D91),(MOD((46-'V06 Calend 01'!C91),6)=0),(((46-'V06 Calend 01'!C91)/6)&lt;='V06 Calend 01'!E91)),IF((46=('V06 Calend 01'!C91+(6*'V06 Calend 01'!E91))),('V06 Calend 01'!H91-('V06 Calend 01'!I91*('V06 Calend 01'!E91-1))),'V06 Calend 01'!I91),0))+IF((46='V06 Calend 01'!D91),'V06 Calend 01'!J91,0))</f>
        <v>0</v>
      </c>
      <c r="BG91" s="2">
        <f>((IF((47='V06 Calend 01'!C91),('V06 Calend 01'!F91+'V06 Calend 01'!G91),0)+IF(AND(('V06 Calend 01'!E91&gt;0),(47&gt;'V06 Calend 01'!C91),(47&lt;'V06 Calend 01'!D91),(MOD((47-'V06 Calend 01'!C91),6)=0),(((47-'V06 Calend 01'!C91)/6)&lt;='V06 Calend 01'!E91)),IF((47=('V06 Calend 01'!C91+(6*'V06 Calend 01'!E91))),('V06 Calend 01'!H91-('V06 Calend 01'!I91*('V06 Calend 01'!E91-1))),'V06 Calend 01'!I91),0))+IF((47='V06 Calend 01'!D91),'V06 Calend 01'!J91,0))</f>
        <v>0</v>
      </c>
      <c r="BH91" s="2">
        <f>((IF((48='V06 Calend 01'!C91),('V06 Calend 01'!F91+'V06 Calend 01'!G91),0)+IF(AND(('V06 Calend 01'!E91&gt;0),(48&gt;'V06 Calend 01'!C91),(48&lt;'V06 Calend 01'!D91),(MOD((48-'V06 Calend 01'!C91),6)=0),(((48-'V06 Calend 01'!C91)/6)&lt;='V06 Calend 01'!E91)),IF((48=('V06 Calend 01'!C91+(6*'V06 Calend 01'!E91))),('V06 Calend 01'!H91-('V06 Calend 01'!I91*('V06 Calend 01'!E91-1))),'V06 Calend 01'!I91),0))+IF((48='V06 Calend 01'!D91),'V06 Calend 01'!J91,0))</f>
        <v>0</v>
      </c>
      <c r="BI91" s="2">
        <f>((IF((49='V06 Calend 01'!C91),('V06 Calend 01'!F91+'V06 Calend 01'!G91),0)+IF(AND(('V06 Calend 01'!E91&gt;0),(49&gt;'V06 Calend 01'!C91),(49&lt;'V06 Calend 01'!D91),(MOD((49-'V06 Calend 01'!C91),6)=0),(((49-'V06 Calend 01'!C91)/6)&lt;='V06 Calend 01'!E91)),IF((49=('V06 Calend 01'!C91+(6*'V06 Calend 01'!E91))),('V06 Calend 01'!H91-('V06 Calend 01'!I91*('V06 Calend 01'!E91-1))),'V06 Calend 01'!I91),0))+IF((49='V06 Calend 01'!D91),'V06 Calend 01'!J91,0))</f>
        <v>0</v>
      </c>
      <c r="BJ91" s="2">
        <f>((IF((50='V06 Calend 01'!C91),('V06 Calend 01'!F91+'V06 Calend 01'!G91),0)+IF(AND(('V06 Calend 01'!E91&gt;0),(50&gt;'V06 Calend 01'!C91),(50&lt;'V06 Calend 01'!D91),(MOD((50-'V06 Calend 01'!C91),6)=0),(((50-'V06 Calend 01'!C91)/6)&lt;='V06 Calend 01'!E91)),IF((50=('V06 Calend 01'!C91+(6*'V06 Calend 01'!E91))),('V06 Calend 01'!H91-('V06 Calend 01'!I91*('V06 Calend 01'!E91-1))),'V06 Calend 01'!I91),0))+IF((50='V06 Calend 01'!D91),'V06 Calend 01'!J91,0))</f>
        <v>0</v>
      </c>
      <c r="BK91" s="2">
        <f>((IF((51='V06 Calend 01'!C91),('V06 Calend 01'!F91+'V06 Calend 01'!G91),0)+IF(AND(('V06 Calend 01'!E91&gt;0),(51&gt;'V06 Calend 01'!C91),(51&lt;'V06 Calend 01'!D91),(MOD((51-'V06 Calend 01'!C91),6)=0),(((51-'V06 Calend 01'!C91)/6)&lt;='V06 Calend 01'!E91)),IF((51=('V06 Calend 01'!C91+(6*'V06 Calend 01'!E91))),('V06 Calend 01'!H91-('V06 Calend 01'!I91*('V06 Calend 01'!E91-1))),'V06 Calend 01'!I91),0))+IF((51='V06 Calend 01'!D91),'V06 Calend 01'!J91,0))</f>
        <v>0</v>
      </c>
      <c r="BL91" s="2">
        <f>((IF((52='V06 Calend 01'!C91),('V06 Calend 01'!F91+'V06 Calend 01'!G91),0)+IF(AND(('V06 Calend 01'!E91&gt;0),(52&gt;'V06 Calend 01'!C91),(52&lt;'V06 Calend 01'!D91),(MOD((52-'V06 Calend 01'!C91),6)=0),(((52-'V06 Calend 01'!C91)/6)&lt;='V06 Calend 01'!E91)),IF((52=('V06 Calend 01'!C91+(6*'V06 Calend 01'!E91))),('V06 Calend 01'!H91-('V06 Calend 01'!I91*('V06 Calend 01'!E91-1))),'V06 Calend 01'!I91),0))+IF((52='V06 Calend 01'!D91),'V06 Calend 01'!J91,0))</f>
        <v>0</v>
      </c>
      <c r="BM91" s="2">
        <f>((IF((53='V06 Calend 01'!C91),('V06 Calend 01'!F91+'V06 Calend 01'!G91),0)+IF(AND(('V06 Calend 01'!E91&gt;0),(53&gt;'V06 Calend 01'!C91),(53&lt;'V06 Calend 01'!D91),(MOD((53-'V06 Calend 01'!C91),6)=0),(((53-'V06 Calend 01'!C91)/6)&lt;='V06 Calend 01'!E91)),IF((53=('V06 Calend 01'!C91+(6*'V06 Calend 01'!E91))),('V06 Calend 01'!H91-('V06 Calend 01'!I91*('V06 Calend 01'!E91-1))),'V06 Calend 01'!I91),0))+IF((53='V06 Calend 01'!D91),'V06 Calend 01'!J91,0))</f>
        <v>0</v>
      </c>
      <c r="BN91" s="2">
        <f>((IF((54='V06 Calend 01'!C91),('V06 Calend 01'!F91+'V06 Calend 01'!G91),0)+IF(AND(('V06 Calend 01'!E91&gt;0),(54&gt;'V06 Calend 01'!C91),(54&lt;'V06 Calend 01'!D91),(MOD((54-'V06 Calend 01'!C91),6)=0),(((54-'V06 Calend 01'!C91)/6)&lt;='V06 Calend 01'!E91)),IF((54=('V06 Calend 01'!C91+(6*'V06 Calend 01'!E91))),('V06 Calend 01'!H91-('V06 Calend 01'!I91*('V06 Calend 01'!E91-1))),'V06 Calend 01'!I91),0))+IF((54='V06 Calend 01'!D91),'V06 Calend 01'!J91,0))</f>
        <v>0</v>
      </c>
      <c r="BO91" s="2">
        <f>((IF((55='V06 Calend 01'!C91),('V06 Calend 01'!F91+'V06 Calend 01'!G91),0)+IF(AND(('V06 Calend 01'!E91&gt;0),(55&gt;'V06 Calend 01'!C91),(55&lt;'V06 Calend 01'!D91),(MOD((55-'V06 Calend 01'!C91),6)=0),(((55-'V06 Calend 01'!C91)/6)&lt;='V06 Calend 01'!E91)),IF((55=('V06 Calend 01'!C91+(6*'V06 Calend 01'!E91))),('V06 Calend 01'!H91-('V06 Calend 01'!I91*('V06 Calend 01'!E91-1))),'V06 Calend 01'!I91),0))+IF((55='V06 Calend 01'!D91),'V06 Calend 01'!J91,0))</f>
        <v>0</v>
      </c>
      <c r="BP91" s="2">
        <f>((IF((56='V06 Calend 01'!C91),('V06 Calend 01'!F91+'V06 Calend 01'!G91),0)+IF(AND(('V06 Calend 01'!E91&gt;0),(56&gt;'V06 Calend 01'!C91),(56&lt;'V06 Calend 01'!D91),(MOD((56-'V06 Calend 01'!C91),6)=0),(((56-'V06 Calend 01'!C91)/6)&lt;='V06 Calend 01'!E91)),IF((56=('V06 Calend 01'!C91+(6*'V06 Calend 01'!E91))),('V06 Calend 01'!H91-('V06 Calend 01'!I91*('V06 Calend 01'!E91-1))),'V06 Calend 01'!I91),0))+IF((56='V06 Calend 01'!D91),'V06 Calend 01'!J91,0))</f>
        <v>0</v>
      </c>
      <c r="BQ91" s="2">
        <f>((IF((57='V06 Calend 01'!C91),('V06 Calend 01'!F91+'V06 Calend 01'!G91),0)+IF(AND(('V06 Calend 01'!E91&gt;0),(57&gt;'V06 Calend 01'!C91),(57&lt;'V06 Calend 01'!D91),(MOD((57-'V06 Calend 01'!C91),6)=0),(((57-'V06 Calend 01'!C91)/6)&lt;='V06 Calend 01'!E91)),IF((57=('V06 Calend 01'!C91+(6*'V06 Calend 01'!E91))),('V06 Calend 01'!H91-('V06 Calend 01'!I91*('V06 Calend 01'!E91-1))),'V06 Calend 01'!I91),0))+IF((57='V06 Calend 01'!D91),'V06 Calend 01'!J91,0))</f>
        <v>0</v>
      </c>
      <c r="BR91" s="2">
        <f>((IF((58='V06 Calend 01'!C91),('V06 Calend 01'!F91+'V06 Calend 01'!G91),0)+IF(AND(('V06 Calend 01'!E91&gt;0),(58&gt;'V06 Calend 01'!C91),(58&lt;'V06 Calend 01'!D91),(MOD((58-'V06 Calend 01'!C91),6)=0),(((58-'V06 Calend 01'!C91)/6)&lt;='V06 Calend 01'!E91)),IF((58=('V06 Calend 01'!C91+(6*'V06 Calend 01'!E91))),('V06 Calend 01'!H91-('V06 Calend 01'!I91*('V06 Calend 01'!E91-1))),'V06 Calend 01'!I91),0))+IF((58='V06 Calend 01'!D91),'V06 Calend 01'!J91,0))</f>
        <v>0</v>
      </c>
      <c r="BS91" s="2">
        <f>((IF((59='V06 Calend 01'!C91),('V06 Calend 01'!F91+'V06 Calend 01'!G91),0)+IF(AND(('V06 Calend 01'!E91&gt;0),(59&gt;'V06 Calend 01'!C91),(59&lt;'V06 Calend 01'!D91),(MOD((59-'V06 Calend 01'!C91),6)=0),(((59-'V06 Calend 01'!C91)/6)&lt;='V06 Calend 01'!E91)),IF((59=('V06 Calend 01'!C91+(6*'V06 Calend 01'!E91))),('V06 Calend 01'!H91-('V06 Calend 01'!I91*('V06 Calend 01'!E91-1))),'V06 Calend 01'!I91),0))+IF((59='V06 Calend 01'!D91),'V06 Calend 01'!J91,0))</f>
        <v>0</v>
      </c>
      <c r="BT91" s="2">
        <f>((IF((60='V06 Calend 01'!C91),('V06 Calend 01'!F91+'V06 Calend 01'!G91),0)+IF(AND(('V06 Calend 01'!E91&gt;0),(60&gt;'V06 Calend 01'!C91),(60&lt;'V06 Calend 01'!D91),(MOD((60-'V06 Calend 01'!C91),6)=0),(((60-'V06 Calend 01'!C91)/6)&lt;='V06 Calend 01'!E91)),IF((60=('V06 Calend 01'!C91+(6*'V06 Calend 01'!E91))),('V06 Calend 01'!H91-('V06 Calend 01'!I91*('V06 Calend 01'!E91-1))),'V06 Calend 01'!I91),0))+IF((60='V06 Calend 01'!D91),'V06 Calend 01'!J91,0))</f>
        <v>0</v>
      </c>
      <c r="BU91" s="2">
        <f>((IF((61='V06 Calend 01'!C91),('V06 Calend 01'!F91+'V06 Calend 01'!G91),0)+IF(AND(('V06 Calend 01'!E91&gt;0),(61&gt;'V06 Calend 01'!C91),(61&lt;'V06 Calend 01'!D91),(MOD((61-'V06 Calend 01'!C91),6)=0),(((61-'V06 Calend 01'!C91)/6)&lt;='V06 Calend 01'!E91)),IF((61=('V06 Calend 01'!C91+(6*'V06 Calend 01'!E91))),('V06 Calend 01'!H91-('V06 Calend 01'!I91*('V06 Calend 01'!E91-1))),'V06 Calend 01'!I91),0))+IF((61='V06 Calend 01'!D91),'V06 Calend 01'!J91,0))</f>
        <v>0</v>
      </c>
      <c r="BV91" s="2">
        <f>((IF((62='V06 Calend 01'!C91),('V06 Calend 01'!F91+'V06 Calend 01'!G91),0)+IF(AND(('V06 Calend 01'!E91&gt;0),(62&gt;'V06 Calend 01'!C91),(62&lt;'V06 Calend 01'!D91),(MOD((62-'V06 Calend 01'!C91),6)=0),(((62-'V06 Calend 01'!C91)/6)&lt;='V06 Calend 01'!E91)),IF((62=('V06 Calend 01'!C91+(6*'V06 Calend 01'!E91))),('V06 Calend 01'!H91-('V06 Calend 01'!I91*('V06 Calend 01'!E91-1))),'V06 Calend 01'!I91),0))+IF((62='V06 Calend 01'!D91),'V06 Calend 01'!J91,0))</f>
        <v>0</v>
      </c>
      <c r="BW91" s="2">
        <f>((IF((63='V06 Calend 01'!C91),('V06 Calend 01'!F91+'V06 Calend 01'!G91),0)+IF(AND(('V06 Calend 01'!E91&gt;0),(63&gt;'V06 Calend 01'!C91),(63&lt;'V06 Calend 01'!D91),(MOD((63-'V06 Calend 01'!C91),6)=0),(((63-'V06 Calend 01'!C91)/6)&lt;='V06 Calend 01'!E91)),IF((63=('V06 Calend 01'!C91+(6*'V06 Calend 01'!E91))),('V06 Calend 01'!H91-('V06 Calend 01'!I91*('V06 Calend 01'!E91-1))),'V06 Calend 01'!I91),0))+IF((63='V06 Calend 01'!D91),'V06 Calend 01'!J91,0))</f>
        <v>0</v>
      </c>
      <c r="BX91" s="2">
        <f>((IF((64='V06 Calend 01'!C91),('V06 Calend 01'!F91+'V06 Calend 01'!G91),0)+IF(AND(('V06 Calend 01'!E91&gt;0),(64&gt;'V06 Calend 01'!C91),(64&lt;'V06 Calend 01'!D91),(MOD((64-'V06 Calend 01'!C91),6)=0),(((64-'V06 Calend 01'!C91)/6)&lt;='V06 Calend 01'!E91)),IF((64=('V06 Calend 01'!C91+(6*'V06 Calend 01'!E91))),('V06 Calend 01'!H91-('V06 Calend 01'!I91*('V06 Calend 01'!E91-1))),'V06 Calend 01'!I91),0))+IF((64='V06 Calend 01'!D91),'V06 Calend 01'!J91,0))</f>
        <v>0</v>
      </c>
      <c r="BY91" s="2">
        <f>((IF((65='V06 Calend 01'!C91),('V06 Calend 01'!F91+'V06 Calend 01'!G91),0)+IF(AND(('V06 Calend 01'!E91&gt;0),(65&gt;'V06 Calend 01'!C91),(65&lt;'V06 Calend 01'!D91),(MOD((65-'V06 Calend 01'!C91),6)=0),(((65-'V06 Calend 01'!C91)/6)&lt;='V06 Calend 01'!E91)),IF((65=('V06 Calend 01'!C91+(6*'V06 Calend 01'!E91))),('V06 Calend 01'!H91-('V06 Calend 01'!I91*('V06 Calend 01'!E91-1))),'V06 Calend 01'!I91),0))+IF((65='V06 Calend 01'!D91),'V06 Calend 01'!J91,0))</f>
        <v>0</v>
      </c>
      <c r="BZ91" s="2">
        <f>((IF((66='V06 Calend 01'!C91),('V06 Calend 01'!F91+'V06 Calend 01'!G91),0)+IF(AND(('V06 Calend 01'!E91&gt;0),(66&gt;'V06 Calend 01'!C91),(66&lt;'V06 Calend 01'!D91),(MOD((66-'V06 Calend 01'!C91),6)=0),(((66-'V06 Calend 01'!C91)/6)&lt;='V06 Calend 01'!E91)),IF((66=('V06 Calend 01'!C91+(6*'V06 Calend 01'!E91))),('V06 Calend 01'!H91-('V06 Calend 01'!I91*('V06 Calend 01'!E91-1))),'V06 Calend 01'!I91),0))+IF((66='V06 Calend 01'!D91),'V06 Calend 01'!J91,0))</f>
        <v>0</v>
      </c>
      <c r="CA91" s="2">
        <f>((IF((67='V06 Calend 01'!C91),('V06 Calend 01'!F91+'V06 Calend 01'!G91),0)+IF(AND(('V06 Calend 01'!E91&gt;0),(67&gt;'V06 Calend 01'!C91),(67&lt;'V06 Calend 01'!D91),(MOD((67-'V06 Calend 01'!C91),6)=0),(((67-'V06 Calend 01'!C91)/6)&lt;='V06 Calend 01'!E91)),IF((67=('V06 Calend 01'!C91+(6*'V06 Calend 01'!E91))),('V06 Calend 01'!H91-('V06 Calend 01'!I91*('V06 Calend 01'!E91-1))),'V06 Calend 01'!I91),0))+IF((67='V06 Calend 01'!D91),'V06 Calend 01'!J91,0))</f>
        <v>0</v>
      </c>
      <c r="CB91" s="2">
        <f>((IF((68='V06 Calend 01'!C91),('V06 Calend 01'!F91+'V06 Calend 01'!G91),0)+IF(AND(('V06 Calend 01'!E91&gt;0),(68&gt;'V06 Calend 01'!C91),(68&lt;'V06 Calend 01'!D91),(MOD((68-'V06 Calend 01'!C91),6)=0),(((68-'V06 Calend 01'!C91)/6)&lt;='V06 Calend 01'!E91)),IF((68=('V06 Calend 01'!C91+(6*'V06 Calend 01'!E91))),('V06 Calend 01'!H91-('V06 Calend 01'!I91*('V06 Calend 01'!E91-1))),'V06 Calend 01'!I91),0))+IF((68='V06 Calend 01'!D91),'V06 Calend 01'!J91,0))</f>
        <v>0</v>
      </c>
      <c r="CC91" s="2">
        <f>((IF((69='V06 Calend 01'!C91),('V06 Calend 01'!F91+'V06 Calend 01'!G91),0)+IF(AND(('V06 Calend 01'!E91&gt;0),(69&gt;'V06 Calend 01'!C91),(69&lt;'V06 Calend 01'!D91),(MOD((69-'V06 Calend 01'!C91),6)=0),(((69-'V06 Calend 01'!C91)/6)&lt;='V06 Calend 01'!E91)),IF((69=('V06 Calend 01'!C91+(6*'V06 Calend 01'!E91))),('V06 Calend 01'!H91-('V06 Calend 01'!I91*('V06 Calend 01'!E91-1))),'V06 Calend 01'!I91),0))+IF((69='V06 Calend 01'!D91),'V06 Calend 01'!J91,0))</f>
        <v>0</v>
      </c>
      <c r="CD91" s="2">
        <f>((IF((70='V06 Calend 01'!C91),('V06 Calend 01'!F91+'V06 Calend 01'!G91),0)+IF(AND(('V06 Calend 01'!E91&gt;0),(70&gt;'V06 Calend 01'!C91),(70&lt;'V06 Calend 01'!D91),(MOD((70-'V06 Calend 01'!C91),6)=0),(((70-'V06 Calend 01'!C91)/6)&lt;='V06 Calend 01'!E91)),IF((70=('V06 Calend 01'!C91+(6*'V06 Calend 01'!E91))),('V06 Calend 01'!H91-('V06 Calend 01'!I91*('V06 Calend 01'!E91-1))),'V06 Calend 01'!I91),0))+IF((70='V06 Calend 01'!D91),'V06 Calend 01'!J91,0))</f>
        <v>0</v>
      </c>
      <c r="CE91" s="2">
        <f>((IF((71='V06 Calend 01'!C91),('V06 Calend 01'!F91+'V06 Calend 01'!G91),0)+IF(AND(('V06 Calend 01'!E91&gt;0),(71&gt;'V06 Calend 01'!C91),(71&lt;'V06 Calend 01'!D91),(MOD((71-'V06 Calend 01'!C91),6)=0),(((71-'V06 Calend 01'!C91)/6)&lt;='V06 Calend 01'!E91)),IF((71=('V06 Calend 01'!C91+(6*'V06 Calend 01'!E91))),('V06 Calend 01'!H91-('V06 Calend 01'!I91*('V06 Calend 01'!E91-1))),'V06 Calend 01'!I91),0))+IF((71='V06 Calend 01'!D91),'V06 Calend 01'!J91,0))</f>
        <v>0</v>
      </c>
      <c r="CF91" s="2">
        <f>((IF((72='V06 Calend 01'!C91),('V06 Calend 01'!F91+'V06 Calend 01'!G91),0)+IF(AND(('V06 Calend 01'!E91&gt;0),(72&gt;'V06 Calend 01'!C91),(72&lt;'V06 Calend 01'!D91),(MOD((72-'V06 Calend 01'!C91),6)=0),(((72-'V06 Calend 01'!C91)/6)&lt;='V06 Calend 01'!E91)),IF((72=('V06 Calend 01'!C91+(6*'V06 Calend 01'!E91))),('V06 Calend 01'!H91-('V06 Calend 01'!I91*('V06 Calend 01'!E91-1))),'V06 Calend 01'!I91),0))+IF((72='V06 Calend 01'!D91),'V06 Calend 01'!J91,0))</f>
        <v>0</v>
      </c>
      <c r="CG91" s="2">
        <f>((IF((73='V06 Calend 01'!C91),('V06 Calend 01'!F91+'V06 Calend 01'!G91),0)+IF(AND(('V06 Calend 01'!E91&gt;0),(73&gt;'V06 Calend 01'!C91),(73&lt;'V06 Calend 01'!D91),(MOD((73-'V06 Calend 01'!C91),6)=0),(((73-'V06 Calend 01'!C91)/6)&lt;='V06 Calend 01'!E91)),IF((73=('V06 Calend 01'!C91+(6*'V06 Calend 01'!E91))),('V06 Calend 01'!H91-('V06 Calend 01'!I91*('V06 Calend 01'!E91-1))),'V06 Calend 01'!I91),0))+IF((73='V06 Calend 01'!D91),'V06 Calend 01'!J91,0))</f>
        <v>0</v>
      </c>
      <c r="CH91" s="2">
        <f>((IF((74='V06 Calend 01'!C91),('V06 Calend 01'!F91+'V06 Calend 01'!G91),0)+IF(AND(('V06 Calend 01'!E91&gt;0),(74&gt;'V06 Calend 01'!C91),(74&lt;'V06 Calend 01'!D91),(MOD((74-'V06 Calend 01'!C91),6)=0),(((74-'V06 Calend 01'!C91)/6)&lt;='V06 Calend 01'!E91)),IF((74=('V06 Calend 01'!C91+(6*'V06 Calend 01'!E91))),('V06 Calend 01'!H91-('V06 Calend 01'!I91*('V06 Calend 01'!E91-1))),'V06 Calend 01'!I91),0))+IF((74='V06 Calend 01'!D91),'V06 Calend 01'!J91,0))</f>
        <v>0</v>
      </c>
      <c r="CI91" s="2">
        <f>((IF((75='V06 Calend 01'!C91),('V06 Calend 01'!F91+'V06 Calend 01'!G91),0)+IF(AND(('V06 Calend 01'!E91&gt;0),(75&gt;'V06 Calend 01'!C91),(75&lt;'V06 Calend 01'!D91),(MOD((75-'V06 Calend 01'!C91),6)=0),(((75-'V06 Calend 01'!C91)/6)&lt;='V06 Calend 01'!E91)),IF((75=('V06 Calend 01'!C91+(6*'V06 Calend 01'!E91))),('V06 Calend 01'!H91-('V06 Calend 01'!I91*('V06 Calend 01'!E91-1))),'V06 Calend 01'!I91),0))+IF((75='V06 Calend 01'!D91),'V06 Calend 01'!J91,0))</f>
        <v>0</v>
      </c>
      <c r="CJ91" s="2">
        <f>((IF((76='V06 Calend 01'!C91),('V06 Calend 01'!F91+'V06 Calend 01'!G91),0)+IF(AND(('V06 Calend 01'!E91&gt;0),(76&gt;'V06 Calend 01'!C91),(76&lt;'V06 Calend 01'!D91),(MOD((76-'V06 Calend 01'!C91),6)=0),(((76-'V06 Calend 01'!C91)/6)&lt;='V06 Calend 01'!E91)),IF((76=('V06 Calend 01'!C91+(6*'V06 Calend 01'!E91))),('V06 Calend 01'!H91-('V06 Calend 01'!I91*('V06 Calend 01'!E91-1))),'V06 Calend 01'!I91),0))+IF((76='V06 Calend 01'!D91),'V06 Calend 01'!J91,0))</f>
        <v>0</v>
      </c>
      <c r="CK91" s="2">
        <f>((IF((77='V06 Calend 01'!C91),('V06 Calend 01'!F91+'V06 Calend 01'!G91),0)+IF(AND(('V06 Calend 01'!E91&gt;0),(77&gt;'V06 Calend 01'!C91),(77&lt;'V06 Calend 01'!D91),(MOD((77-'V06 Calend 01'!C91),6)=0),(((77-'V06 Calend 01'!C91)/6)&lt;='V06 Calend 01'!E91)),IF((77=('V06 Calend 01'!C91+(6*'V06 Calend 01'!E91))),('V06 Calend 01'!H91-('V06 Calend 01'!I91*('V06 Calend 01'!E91-1))),'V06 Calend 01'!I91),0))+IF((77='V06 Calend 01'!D91),'V06 Calend 01'!J91,0))</f>
        <v>0</v>
      </c>
      <c r="CL91" s="2">
        <f>((IF((78='V06 Calend 01'!C91),('V06 Calend 01'!F91+'V06 Calend 01'!G91),0)+IF(AND(('V06 Calend 01'!E91&gt;0),(78&gt;'V06 Calend 01'!C91),(78&lt;'V06 Calend 01'!D91),(MOD((78-'V06 Calend 01'!C91),6)=0),(((78-'V06 Calend 01'!C91)/6)&lt;='V06 Calend 01'!E91)),IF((78=('V06 Calend 01'!C91+(6*'V06 Calend 01'!E91))),('V06 Calend 01'!H91-('V06 Calend 01'!I91*('V06 Calend 01'!E91-1))),'V06 Calend 01'!I91),0))+IF((78='V06 Calend 01'!D91),'V06 Calend 01'!J91,0))</f>
        <v>0</v>
      </c>
      <c r="CM91" s="2">
        <f>((IF((79='V06 Calend 01'!C91),('V06 Calend 01'!F91+'V06 Calend 01'!G91),0)+IF(AND(('V06 Calend 01'!E91&gt;0),(79&gt;'V06 Calend 01'!C91),(79&lt;'V06 Calend 01'!D91),(MOD((79-'V06 Calend 01'!C91),6)=0),(((79-'V06 Calend 01'!C91)/6)&lt;='V06 Calend 01'!E91)),IF((79=('V06 Calend 01'!C91+(6*'V06 Calend 01'!E91))),('V06 Calend 01'!H91-('V06 Calend 01'!I91*('V06 Calend 01'!E91-1))),'V06 Calend 01'!I91),0))+IF((79='V06 Calend 01'!D91),'V06 Calend 01'!J91,0))</f>
        <v>0</v>
      </c>
      <c r="CN91" s="2">
        <f>((IF((80='V06 Calend 01'!C91),('V06 Calend 01'!F91+'V06 Calend 01'!G91),0)+IF(AND(('V06 Calend 01'!E91&gt;0),(80&gt;'V06 Calend 01'!C91),(80&lt;'V06 Calend 01'!D91),(MOD((80-'V06 Calend 01'!C91),6)=0),(((80-'V06 Calend 01'!C91)/6)&lt;='V06 Calend 01'!E91)),IF((80=('V06 Calend 01'!C91+(6*'V06 Calend 01'!E91))),('V06 Calend 01'!H91-('V06 Calend 01'!I91*('V06 Calend 01'!E91-1))),'V06 Calend 01'!I91),0))+IF((80='V06 Calend 01'!D91),'V06 Calend 01'!J91,0))</f>
        <v>0</v>
      </c>
      <c r="CO91" s="2">
        <f>((IF((81='V06 Calend 01'!C91),('V06 Calend 01'!F91+'V06 Calend 01'!G91),0)+IF(AND(('V06 Calend 01'!E91&gt;0),(81&gt;'V06 Calend 01'!C91),(81&lt;'V06 Calend 01'!D91),(MOD((81-'V06 Calend 01'!C91),6)=0),(((81-'V06 Calend 01'!C91)/6)&lt;='V06 Calend 01'!E91)),IF((81=('V06 Calend 01'!C91+(6*'V06 Calend 01'!E91))),('V06 Calend 01'!H91-('V06 Calend 01'!I91*('V06 Calend 01'!E91-1))),'V06 Calend 01'!I91),0))+IF((81='V06 Calend 01'!D91),'V06 Calend 01'!J91,0))</f>
        <v>0</v>
      </c>
      <c r="CP91" s="2">
        <f>((IF((82='V06 Calend 01'!C91),('V06 Calend 01'!F91+'V06 Calend 01'!G91),0)+IF(AND(('V06 Calend 01'!E91&gt;0),(82&gt;'V06 Calend 01'!C91),(82&lt;'V06 Calend 01'!D91),(MOD((82-'V06 Calend 01'!C91),6)=0),(((82-'V06 Calend 01'!C91)/6)&lt;='V06 Calend 01'!E91)),IF((82=('V06 Calend 01'!C91+(6*'V06 Calend 01'!E91))),('V06 Calend 01'!H91-('V06 Calend 01'!I91*('V06 Calend 01'!E91-1))),'V06 Calend 01'!I91),0))+IF((82='V06 Calend 01'!D91),'V06 Calend 01'!J91,0))</f>
        <v>0</v>
      </c>
      <c r="CQ91" s="2">
        <f>((IF((83='V06 Calend 01'!C91),('V06 Calend 01'!F91+'V06 Calend 01'!G91),0)+IF(AND(('V06 Calend 01'!E91&gt;0),(83&gt;'V06 Calend 01'!C91),(83&lt;'V06 Calend 01'!D91),(MOD((83-'V06 Calend 01'!C91),6)=0),(((83-'V06 Calend 01'!C91)/6)&lt;='V06 Calend 01'!E91)),IF((83=('V06 Calend 01'!C91+(6*'V06 Calend 01'!E91))),('V06 Calend 01'!H91-('V06 Calend 01'!I91*('V06 Calend 01'!E91-1))),'V06 Calend 01'!I91),0))+IF((83='V06 Calend 01'!D91),'V06 Calend 01'!J91,0))</f>
        <v>0</v>
      </c>
      <c r="CR91" s="2">
        <f>((IF((84='V06 Calend 01'!C91),('V06 Calend 01'!F91+'V06 Calend 01'!G91),0)+IF(AND(('V06 Calend 01'!E91&gt;0),(84&gt;'V06 Calend 01'!C91),(84&lt;'V06 Calend 01'!D91),(MOD((84-'V06 Calend 01'!C91),6)=0),(((84-'V06 Calend 01'!C91)/6)&lt;='V06 Calend 01'!E91)),IF((84=('V06 Calend 01'!C91+(6*'V06 Calend 01'!E91))),('V06 Calend 01'!H91-('V06 Calend 01'!I91*('V06 Calend 01'!E91-1))),'V06 Calend 01'!I91),0))+IF((84='V06 Calend 01'!D91),'V06 Calend 01'!J91,0))</f>
        <v>0</v>
      </c>
      <c r="CS91" s="2">
        <f>((IF((85='V06 Calend 01'!C91),('V06 Calend 01'!F91+'V06 Calend 01'!G91),0)+IF(AND(('V06 Calend 01'!E91&gt;0),(85&gt;'V06 Calend 01'!C91),(85&lt;'V06 Calend 01'!D91),(MOD((85-'V06 Calend 01'!C91),6)=0),(((85-'V06 Calend 01'!C91)/6)&lt;='V06 Calend 01'!E91)),IF((85=('V06 Calend 01'!C91+(6*'V06 Calend 01'!E91))),('V06 Calend 01'!H91-('V06 Calend 01'!I91*('V06 Calend 01'!E91-1))),'V06 Calend 01'!I91),0))+IF((85='V06 Calend 01'!D91),'V06 Calend 01'!J91,0))</f>
        <v>0</v>
      </c>
      <c r="CT91" s="2">
        <f>((IF((86='V06 Calend 01'!C91),('V06 Calend 01'!F91+'V06 Calend 01'!G91),0)+IF(AND(('V06 Calend 01'!E91&gt;0),(86&gt;'V06 Calend 01'!C91),(86&lt;'V06 Calend 01'!D91),(MOD((86-'V06 Calend 01'!C91),6)=0),(((86-'V06 Calend 01'!C91)/6)&lt;='V06 Calend 01'!E91)),IF((86=('V06 Calend 01'!C91+(6*'V06 Calend 01'!E91))),('V06 Calend 01'!H91-('V06 Calend 01'!I91*('V06 Calend 01'!E91-1))),'V06 Calend 01'!I91),0))+IF((86='V06 Calend 01'!D91),'V06 Calend 01'!J91,0))</f>
        <v>0</v>
      </c>
      <c r="CU91" s="2">
        <f>((IF((87='V06 Calend 01'!C91),('V06 Calend 01'!F91+'V06 Calend 01'!G91),0)+IF(AND(('V06 Calend 01'!E91&gt;0),(87&gt;'V06 Calend 01'!C91),(87&lt;'V06 Calend 01'!D91),(MOD((87-'V06 Calend 01'!C91),6)=0),(((87-'V06 Calend 01'!C91)/6)&lt;='V06 Calend 01'!E91)),IF((87=('V06 Calend 01'!C91+(6*'V06 Calend 01'!E91))),('V06 Calend 01'!H91-('V06 Calend 01'!I91*('V06 Calend 01'!E91-1))),'V06 Calend 01'!I91),0))+IF((87='V06 Calend 01'!D91),'V06 Calend 01'!J91,0))</f>
        <v>0</v>
      </c>
      <c r="CV91" s="2">
        <f>((IF((88='V06 Calend 01'!C91),('V06 Calend 01'!F91+'V06 Calend 01'!G91),0)+IF(AND(('V06 Calend 01'!E91&gt;0),(88&gt;'V06 Calend 01'!C91),(88&lt;'V06 Calend 01'!D91),(MOD((88-'V06 Calend 01'!C91),6)=0),(((88-'V06 Calend 01'!C91)/6)&lt;='V06 Calend 01'!E91)),IF((88=('V06 Calend 01'!C91+(6*'V06 Calend 01'!E91))),('V06 Calend 01'!H91-('V06 Calend 01'!I91*('V06 Calend 01'!E91-1))),'V06 Calend 01'!I91),0))+IF((88='V06 Calend 01'!D91),'V06 Calend 01'!J91,0))</f>
        <v>0</v>
      </c>
      <c r="CW91" s="2">
        <f>((IF((89='V06 Calend 01'!C91),('V06 Calend 01'!F91+'V06 Calend 01'!G91),0)+IF(AND(('V06 Calend 01'!E91&gt;0),(89&gt;'V06 Calend 01'!C91),(89&lt;'V06 Calend 01'!D91),(MOD((89-'V06 Calend 01'!C91),6)=0),(((89-'V06 Calend 01'!C91)/6)&lt;='V06 Calend 01'!E91)),IF((89=('V06 Calend 01'!C91+(6*'V06 Calend 01'!E91))),('V06 Calend 01'!H91-('V06 Calend 01'!I91*('V06 Calend 01'!E91-1))),'V06 Calend 01'!I91),0))+IF((89='V06 Calend 01'!D91),'V06 Calend 01'!J91,0))</f>
        <v>0</v>
      </c>
      <c r="CX91" s="2">
        <f>((IF((90='V06 Calend 01'!C91),('V06 Calend 01'!F91+'V06 Calend 01'!G91),0)+IF(AND(('V06 Calend 01'!E91&gt;0),(90&gt;'V06 Calend 01'!C91),(90&lt;'V06 Calend 01'!D91),(MOD((90-'V06 Calend 01'!C91),6)=0),(((90-'V06 Calend 01'!C91)/6)&lt;='V06 Calend 01'!E91)),IF((90=('V06 Calend 01'!C91+(6*'V06 Calend 01'!E91))),('V06 Calend 01'!H91-('V06 Calend 01'!I91*('V06 Calend 01'!E91-1))),'V06 Calend 01'!I91),0))+IF((90='V06 Calend 01'!D91),'V06 Calend 01'!J91,0))</f>
        <v>0</v>
      </c>
      <c r="CY91" s="2">
        <f>((IF((91='V06 Calend 01'!C91),('V06 Calend 01'!F91+'V06 Calend 01'!G91),0)+IF(AND(('V06 Calend 01'!E91&gt;0),(91&gt;'V06 Calend 01'!C91),(91&lt;'V06 Calend 01'!D91),(MOD((91-'V06 Calend 01'!C91),6)=0),(((91-'V06 Calend 01'!C91)/6)&lt;='V06 Calend 01'!E91)),IF((91=('V06 Calend 01'!C91+(6*'V06 Calend 01'!E91))),('V06 Calend 01'!H91-('V06 Calend 01'!I91*('V06 Calend 01'!E91-1))),'V06 Calend 01'!I91),0))+IF((91='V06 Calend 01'!D91),'V06 Calend 01'!J91,0))</f>
        <v>0</v>
      </c>
      <c r="CZ91" s="2">
        <f>((IF((92='V06 Calend 01'!C91),('V06 Calend 01'!F91+'V06 Calend 01'!G91),0)+IF(AND(('V06 Calend 01'!E91&gt;0),(92&gt;'V06 Calend 01'!C91),(92&lt;'V06 Calend 01'!D91),(MOD((92-'V06 Calend 01'!C91),6)=0),(((92-'V06 Calend 01'!C91)/6)&lt;='V06 Calend 01'!E91)),IF((92=('V06 Calend 01'!C91+(6*'V06 Calend 01'!E91))),('V06 Calend 01'!H91-('V06 Calend 01'!I91*('V06 Calend 01'!E91-1))),'V06 Calend 01'!I91),0))+IF((92='V06 Calend 01'!D91),'V06 Calend 01'!J91,0))</f>
        <v>0</v>
      </c>
      <c r="DA91" s="2">
        <f>((IF((93='V06 Calend 01'!C91),('V06 Calend 01'!F91+'V06 Calend 01'!G91),0)+IF(AND(('V06 Calend 01'!E91&gt;0),(93&gt;'V06 Calend 01'!C91),(93&lt;'V06 Calend 01'!D91),(MOD((93-'V06 Calend 01'!C91),6)=0),(((93-'V06 Calend 01'!C91)/6)&lt;='V06 Calend 01'!E91)),IF((93=('V06 Calend 01'!C91+(6*'V06 Calend 01'!E91))),('V06 Calend 01'!H91-('V06 Calend 01'!I91*('V06 Calend 01'!E91-1))),'V06 Calend 01'!I91),0))+IF((93='V06 Calend 01'!D91),'V06 Calend 01'!J91,0))</f>
        <v>0</v>
      </c>
      <c r="DB91" s="2">
        <f>((IF((94='V06 Calend 01'!C91),('V06 Calend 01'!F91+'V06 Calend 01'!G91),0)+IF(AND(('V06 Calend 01'!E91&gt;0),(94&gt;'V06 Calend 01'!C91),(94&lt;'V06 Calend 01'!D91),(MOD((94-'V06 Calend 01'!C91),6)=0),(((94-'V06 Calend 01'!C91)/6)&lt;='V06 Calend 01'!E91)),IF((94=('V06 Calend 01'!C91+(6*'V06 Calend 01'!E91))),('V06 Calend 01'!H91-('V06 Calend 01'!I91*('V06 Calend 01'!E91-1))),'V06 Calend 01'!I91),0))+IF((94='V06 Calend 01'!D91),'V06 Calend 01'!J91,0))</f>
        <v>0</v>
      </c>
      <c r="DC91" s="2">
        <f>((IF((95='V06 Calend 01'!C91),('V06 Calend 01'!F91+'V06 Calend 01'!G91),0)+IF(AND(('V06 Calend 01'!E91&gt;0),(95&gt;'V06 Calend 01'!C91),(95&lt;'V06 Calend 01'!D91),(MOD((95-'V06 Calend 01'!C91),6)=0),(((95-'V06 Calend 01'!C91)/6)&lt;='V06 Calend 01'!E91)),IF((95=('V06 Calend 01'!C91+(6*'V06 Calend 01'!E91))),('V06 Calend 01'!H91-('V06 Calend 01'!I91*('V06 Calend 01'!E91-1))),'V06 Calend 01'!I91),0))+IF((95='V06 Calend 01'!D91),'V06 Calend 01'!J91,0))</f>
        <v>0</v>
      </c>
      <c r="DD91" s="2">
        <f>((IF((96='V06 Calend 01'!C91),('V06 Calend 01'!F91+'V06 Calend 01'!G91),0)+IF(AND(('V06 Calend 01'!E91&gt;0),(96&gt;'V06 Calend 01'!C91),(96&lt;'V06 Calend 01'!D91),(MOD((96-'V06 Calend 01'!C91),6)=0),(((96-'V06 Calend 01'!C91)/6)&lt;='V06 Calend 01'!E91)),IF((96=('V06 Calend 01'!C91+(6*'V06 Calend 01'!E91))),('V06 Calend 01'!H91-('V06 Calend 01'!I91*('V06 Calend 01'!E91-1))),'V06 Calend 01'!I91),0))+IF((96='V06 Calend 01'!D91),'V06 Calend 01'!J91,0))</f>
        <v>0</v>
      </c>
      <c r="DE91" s="2">
        <f>((IF((97='V06 Calend 01'!C91),('V06 Calend 01'!F91+'V06 Calend 01'!G91),0)+IF(AND(('V06 Calend 01'!E91&gt;0),(97&gt;'V06 Calend 01'!C91),(97&lt;'V06 Calend 01'!D91),(MOD((97-'V06 Calend 01'!C91),6)=0),(((97-'V06 Calend 01'!C91)/6)&lt;='V06 Calend 01'!E91)),IF((97=('V06 Calend 01'!C91+(6*'V06 Calend 01'!E91))),('V06 Calend 01'!H91-('V06 Calend 01'!I91*('V06 Calend 01'!E91-1))),'V06 Calend 01'!I91),0))+IF((97='V06 Calend 01'!D91),'V06 Calend 01'!J91,0))</f>
        <v>0</v>
      </c>
      <c r="DF91" s="2">
        <f>((IF((98='V06 Calend 01'!C91),('V06 Calend 01'!F91+'V06 Calend 01'!G91),0)+IF(AND(('V06 Calend 01'!E91&gt;0),(98&gt;'V06 Calend 01'!C91),(98&lt;'V06 Calend 01'!D91),(MOD((98-'V06 Calend 01'!C91),6)=0),(((98-'V06 Calend 01'!C91)/6)&lt;='V06 Calend 01'!E91)),IF((98=('V06 Calend 01'!C91+(6*'V06 Calend 01'!E91))),('V06 Calend 01'!H91-('V06 Calend 01'!I91*('V06 Calend 01'!E91-1))),'V06 Calend 01'!I91),0))+IF((98='V06 Calend 01'!D91),'V06 Calend 01'!J91,0))</f>
        <v>0</v>
      </c>
      <c r="DG91" s="2">
        <f>((IF((99='V06 Calend 01'!C91),('V06 Calend 01'!F91+'V06 Calend 01'!G91),0)+IF(AND(('V06 Calend 01'!E91&gt;0),(99&gt;'V06 Calend 01'!C91),(99&lt;'V06 Calend 01'!D91),(MOD((99-'V06 Calend 01'!C91),6)=0),(((99-'V06 Calend 01'!C91)/6)&lt;='V06 Calend 01'!E91)),IF((99=('V06 Calend 01'!C91+(6*'V06 Calend 01'!E91))),('V06 Calend 01'!H91-('V06 Calend 01'!I91*('V06 Calend 01'!E91-1))),'V06 Calend 01'!I91),0))+IF((99='V06 Calend 01'!D91),'V06 Calend 01'!J91,0))</f>
        <v>0</v>
      </c>
      <c r="DH91" s="2">
        <f>((IF((100='V06 Calend 01'!C91),('V06 Calend 01'!F91+'V06 Calend 01'!G91),0)+IF(AND(('V06 Calend 01'!E91&gt;0),(100&gt;'V06 Calend 01'!C91),(100&lt;'V06 Calend 01'!D91),(MOD((100-'V06 Calend 01'!C91),6)=0),(((100-'V06 Calend 01'!C91)/6)&lt;='V06 Calend 01'!E91)),IF((100=('V06 Calend 01'!C91+(6*'V06 Calend 01'!E91))),('V06 Calend 01'!H91-('V06 Calend 01'!I91*('V06 Calend 01'!E91-1))),'V06 Calend 01'!I91),0))+IF((100='V06 Calend 01'!D91),'V06 Calend 01'!J91,0))</f>
        <v>0</v>
      </c>
      <c r="DI91" s="2">
        <f>((IF((101='V06 Calend 01'!C91),('V06 Calend 01'!F91+'V06 Calend 01'!G91),0)+IF(AND(('V06 Calend 01'!E91&gt;0),(101&gt;'V06 Calend 01'!C91),(101&lt;'V06 Calend 01'!D91),(MOD((101-'V06 Calend 01'!C91),6)=0),(((101-'V06 Calend 01'!C91)/6)&lt;='V06 Calend 01'!E91)),IF((101=('V06 Calend 01'!C91+(6*'V06 Calend 01'!E91))),('V06 Calend 01'!H91-('V06 Calend 01'!I91*('V06 Calend 01'!E91-1))),'V06 Calend 01'!I91),0))+IF((101='V06 Calend 01'!D91),'V06 Calend 01'!J91,0))</f>
        <v>0</v>
      </c>
      <c r="DJ91" s="2">
        <f>((IF((102='V06 Calend 01'!C91),('V06 Calend 01'!F91+'V06 Calend 01'!G91),0)+IF(AND(('V06 Calend 01'!E91&gt;0),(102&gt;'V06 Calend 01'!C91),(102&lt;'V06 Calend 01'!D91),(MOD((102-'V06 Calend 01'!C91),6)=0),(((102-'V06 Calend 01'!C91)/6)&lt;='V06 Calend 01'!E91)),IF((102=('V06 Calend 01'!C91+(6*'V06 Calend 01'!E91))),('V06 Calend 01'!H91-('V06 Calend 01'!I91*('V06 Calend 01'!E91-1))),'V06 Calend 01'!I91),0))+IF((102='V06 Calend 01'!D91),'V06 Calend 01'!J91,0))</f>
        <v>0</v>
      </c>
      <c r="DK91" s="2">
        <f>((IF((103='V06 Calend 01'!C91),('V06 Calend 01'!F91+'V06 Calend 01'!G91),0)+IF(AND(('V06 Calend 01'!E91&gt;0),(103&gt;'V06 Calend 01'!C91),(103&lt;'V06 Calend 01'!D91),(MOD((103-'V06 Calend 01'!C91),6)=0),(((103-'V06 Calend 01'!C91)/6)&lt;='V06 Calend 01'!E91)),IF((103=('V06 Calend 01'!C91+(6*'V06 Calend 01'!E91))),('V06 Calend 01'!H91-('V06 Calend 01'!I91*('V06 Calend 01'!E91-1))),'V06 Calend 01'!I91),0))+IF((103='V06 Calend 01'!D91),'V06 Calend 01'!J91,0))</f>
        <v>0</v>
      </c>
      <c r="DL91" s="2">
        <f>((IF((104='V06 Calend 01'!C91),('V06 Calend 01'!F91+'V06 Calend 01'!G91),0)+IF(AND(('V06 Calend 01'!E91&gt;0),(104&gt;'V06 Calend 01'!C91),(104&lt;'V06 Calend 01'!D91),(MOD((104-'V06 Calend 01'!C91),6)=0),(((104-'V06 Calend 01'!C91)/6)&lt;='V06 Calend 01'!E91)),IF((104=('V06 Calend 01'!C91+(6*'V06 Calend 01'!E91))),('V06 Calend 01'!H91-('V06 Calend 01'!I91*('V06 Calend 01'!E91-1))),'V06 Calend 01'!I91),0))+IF((104='V06 Calend 01'!D91),'V06 Calend 01'!J91,0))</f>
        <v>0</v>
      </c>
      <c r="DM91" s="2">
        <f>((IF((105='V06 Calend 01'!C91),('V06 Calend 01'!F91+'V06 Calend 01'!G91),0)+IF(AND(('V06 Calend 01'!E91&gt;0),(105&gt;'V06 Calend 01'!C91),(105&lt;'V06 Calend 01'!D91),(MOD((105-'V06 Calend 01'!C91),6)=0),(((105-'V06 Calend 01'!C91)/6)&lt;='V06 Calend 01'!E91)),IF((105=('V06 Calend 01'!C91+(6*'V06 Calend 01'!E91))),('V06 Calend 01'!H91-('V06 Calend 01'!I91*('V06 Calend 01'!E91-1))),'V06 Calend 01'!I91),0))+IF((105='V06 Calend 01'!D91),'V06 Calend 01'!J91,0))</f>
        <v>0</v>
      </c>
      <c r="DN91" s="2">
        <f>((IF((106='V06 Calend 01'!C91),('V06 Calend 01'!F91+'V06 Calend 01'!G91),0)+IF(AND(('V06 Calend 01'!E91&gt;0),(106&gt;'V06 Calend 01'!C91),(106&lt;'V06 Calend 01'!D91),(MOD((106-'V06 Calend 01'!C91),6)=0),(((106-'V06 Calend 01'!C91)/6)&lt;='V06 Calend 01'!E91)),IF((106=('V06 Calend 01'!C91+(6*'V06 Calend 01'!E91))),('V06 Calend 01'!H91-('V06 Calend 01'!I91*('V06 Calend 01'!E91-1))),'V06 Calend 01'!I91),0))+IF((106='V06 Calend 01'!D91),'V06 Calend 01'!J91,0))</f>
        <v>0</v>
      </c>
      <c r="DO91" s="2">
        <f>((IF((107='V06 Calend 01'!C91),('V06 Calend 01'!F91+'V06 Calend 01'!G91),0)+IF(AND(('V06 Calend 01'!E91&gt;0),(107&gt;'V06 Calend 01'!C91),(107&lt;'V06 Calend 01'!D91),(MOD((107-'V06 Calend 01'!C91),6)=0),(((107-'V06 Calend 01'!C91)/6)&lt;='V06 Calend 01'!E91)),IF((107=('V06 Calend 01'!C91+(6*'V06 Calend 01'!E91))),('V06 Calend 01'!H91-('V06 Calend 01'!I91*('V06 Calend 01'!E91-1))),'V06 Calend 01'!I91),0))+IF((107='V06 Calend 01'!D91),'V06 Calend 01'!J91,0))</f>
        <v>0</v>
      </c>
      <c r="DP91" s="2">
        <f>((IF((108='V06 Calend 01'!C91),('V06 Calend 01'!F91+'V06 Calend 01'!G91),0)+IF(AND(('V06 Calend 01'!E91&gt;0),(108&gt;'V06 Calend 01'!C91),(108&lt;'V06 Calend 01'!D91),(MOD((108-'V06 Calend 01'!C91),6)=0),(((108-'V06 Calend 01'!C91)/6)&lt;='V06 Calend 01'!E91)),IF((108=('V06 Calend 01'!C91+(6*'V06 Calend 01'!E91))),('V06 Calend 01'!H91-('V06 Calend 01'!I91*('V06 Calend 01'!E91-1))),'V06 Calend 01'!I91),0))+IF((108='V06 Calend 01'!D91),'V06 Calend 01'!J91,0))</f>
        <v>0</v>
      </c>
      <c r="DQ91" s="2">
        <f>((IF((109='V06 Calend 01'!C91),('V06 Calend 01'!F91+'V06 Calend 01'!G91),0)+IF(AND(('V06 Calend 01'!E91&gt;0),(109&gt;'V06 Calend 01'!C91),(109&lt;'V06 Calend 01'!D91),(MOD((109-'V06 Calend 01'!C91),6)=0),(((109-'V06 Calend 01'!C91)/6)&lt;='V06 Calend 01'!E91)),IF((109=('V06 Calend 01'!C91+(6*'V06 Calend 01'!E91))),('V06 Calend 01'!H91-('V06 Calend 01'!I91*('V06 Calend 01'!E91-1))),'V06 Calend 01'!I91),0))+IF((109='V06 Calend 01'!D91),'V06 Calend 01'!J91,0))</f>
        <v>0</v>
      </c>
      <c r="DR91" s="2">
        <f>((IF((110='V06 Calend 01'!C91),('V06 Calend 01'!F91+'V06 Calend 01'!G91),0)+IF(AND(('V06 Calend 01'!E91&gt;0),(110&gt;'V06 Calend 01'!C91),(110&lt;'V06 Calend 01'!D91),(MOD((110-'V06 Calend 01'!C91),6)=0),(((110-'V06 Calend 01'!C91)/6)&lt;='V06 Calend 01'!E91)),IF((110=('V06 Calend 01'!C91+(6*'V06 Calend 01'!E91))),('V06 Calend 01'!H91-('V06 Calend 01'!I91*('V06 Calend 01'!E91-1))),'V06 Calend 01'!I91),0))+IF((110='V06 Calend 01'!D91),'V06 Calend 01'!J91,0))</f>
        <v>0</v>
      </c>
      <c r="DS91" s="2">
        <f>((IF((111='V06 Calend 01'!C91),('V06 Calend 01'!F91+'V06 Calend 01'!G91),0)+IF(AND(('V06 Calend 01'!E91&gt;0),(111&gt;'V06 Calend 01'!C91),(111&lt;'V06 Calend 01'!D91),(MOD((111-'V06 Calend 01'!C91),6)=0),(((111-'V06 Calend 01'!C91)/6)&lt;='V06 Calend 01'!E91)),IF((111=('V06 Calend 01'!C91+(6*'V06 Calend 01'!E91))),('V06 Calend 01'!H91-('V06 Calend 01'!I91*('V06 Calend 01'!E91-1))),'V06 Calend 01'!I91),0))+IF((111='V06 Calend 01'!D91),'V06 Calend 01'!J91,0))</f>
        <v>0</v>
      </c>
      <c r="DT91" s="2">
        <f>((IF((112='V06 Calend 01'!C91),('V06 Calend 01'!F91+'V06 Calend 01'!G91),0)+IF(AND(('V06 Calend 01'!E91&gt;0),(112&gt;'V06 Calend 01'!C91),(112&lt;'V06 Calend 01'!D91),(MOD((112-'V06 Calend 01'!C91),6)=0),(((112-'V06 Calend 01'!C91)/6)&lt;='V06 Calend 01'!E91)),IF((112=('V06 Calend 01'!C91+(6*'V06 Calend 01'!E91))),('V06 Calend 01'!H91-('V06 Calend 01'!I91*('V06 Calend 01'!E91-1))),'V06 Calend 01'!I91),0))+IF((112='V06 Calend 01'!D91),'V06 Calend 01'!J91,0))</f>
        <v>0</v>
      </c>
      <c r="DU91" s="2">
        <f>((IF((113='V06 Calend 01'!C91),('V06 Calend 01'!F91+'V06 Calend 01'!G91),0)+IF(AND(('V06 Calend 01'!E91&gt;0),(113&gt;'V06 Calend 01'!C91),(113&lt;'V06 Calend 01'!D91),(MOD((113-'V06 Calend 01'!C91),6)=0),(((113-'V06 Calend 01'!C91)/6)&lt;='V06 Calend 01'!E91)),IF((113=('V06 Calend 01'!C91+(6*'V06 Calend 01'!E91))),('V06 Calend 01'!H91-('V06 Calend 01'!I91*('V06 Calend 01'!E91-1))),'V06 Calend 01'!I91),0))+IF((113='V06 Calend 01'!D91),'V06 Calend 01'!J91,0))</f>
        <v>0</v>
      </c>
      <c r="DV91" s="2">
        <f>((IF((114='V06 Calend 01'!C91),('V06 Calend 01'!F91+'V06 Calend 01'!G91),0)+IF(AND(('V06 Calend 01'!E91&gt;0),(114&gt;'V06 Calend 01'!C91),(114&lt;'V06 Calend 01'!D91),(MOD((114-'V06 Calend 01'!C91),6)=0),(((114-'V06 Calend 01'!C91)/6)&lt;='V06 Calend 01'!E91)),IF((114=('V06 Calend 01'!C91+(6*'V06 Calend 01'!E91))),('V06 Calend 01'!H91-('V06 Calend 01'!I91*('V06 Calend 01'!E91-1))),'V06 Calend 01'!I91),0))+IF((114='V06 Calend 01'!D91),'V06 Calend 01'!J91,0))</f>
        <v>0</v>
      </c>
      <c r="DW91" s="2">
        <f>((IF((115='V06 Calend 01'!C91),('V06 Calend 01'!F91+'V06 Calend 01'!G91),0)+IF(AND(('V06 Calend 01'!E91&gt;0),(115&gt;'V06 Calend 01'!C91),(115&lt;'V06 Calend 01'!D91),(MOD((115-'V06 Calend 01'!C91),6)=0),(((115-'V06 Calend 01'!C91)/6)&lt;='V06 Calend 01'!E91)),IF((115=('V06 Calend 01'!C91+(6*'V06 Calend 01'!E91))),('V06 Calend 01'!H91-('V06 Calend 01'!I91*('V06 Calend 01'!E91-1))),'V06 Calend 01'!I91),0))+IF((115='V06 Calend 01'!D91),'V06 Calend 01'!J91,0))</f>
        <v>0</v>
      </c>
      <c r="DX91" s="2">
        <f>((IF((116='V06 Calend 01'!C91),('V06 Calend 01'!F91+'V06 Calend 01'!G91),0)+IF(AND(('V06 Calend 01'!E91&gt;0),(116&gt;'V06 Calend 01'!C91),(116&lt;'V06 Calend 01'!D91),(MOD((116-'V06 Calend 01'!C91),6)=0),(((116-'V06 Calend 01'!C91)/6)&lt;='V06 Calend 01'!E91)),IF((116=('V06 Calend 01'!C91+(6*'V06 Calend 01'!E91))),('V06 Calend 01'!H91-('V06 Calend 01'!I91*('V06 Calend 01'!E91-1))),'V06 Calend 01'!I91),0))+IF((116='V06 Calend 01'!D91),'V06 Calend 01'!J91,0))</f>
        <v>0</v>
      </c>
      <c r="DY91" s="2">
        <f>((IF((117='V06 Calend 01'!C91),('V06 Calend 01'!F91+'V06 Calend 01'!G91),0)+IF(AND(('V06 Calend 01'!E91&gt;0),(117&gt;'V06 Calend 01'!C91),(117&lt;'V06 Calend 01'!D91),(MOD((117-'V06 Calend 01'!C91),6)=0),(((117-'V06 Calend 01'!C91)/6)&lt;='V06 Calend 01'!E91)),IF((117=('V06 Calend 01'!C91+(6*'V06 Calend 01'!E91))),('V06 Calend 01'!H91-('V06 Calend 01'!I91*('V06 Calend 01'!E91-1))),'V06 Calend 01'!I91),0))+IF((117='V06 Calend 01'!D91),'V06 Calend 01'!J91,0))</f>
        <v>0</v>
      </c>
      <c r="DZ91" s="2">
        <f>((IF((118='V06 Calend 01'!C91),('V06 Calend 01'!F91+'V06 Calend 01'!G91),0)+IF(AND(('V06 Calend 01'!E91&gt;0),(118&gt;'V06 Calend 01'!C91),(118&lt;'V06 Calend 01'!D91),(MOD((118-'V06 Calend 01'!C91),6)=0),(((118-'V06 Calend 01'!C91)/6)&lt;='V06 Calend 01'!E91)),IF((118=('V06 Calend 01'!C91+(6*'V06 Calend 01'!E91))),('V06 Calend 01'!H91-('V06 Calend 01'!I91*('V06 Calend 01'!E91-1))),'V06 Calend 01'!I91),0))+IF((118='V06 Calend 01'!D91),'V06 Calend 01'!J91,0))</f>
        <v>0</v>
      </c>
      <c r="EA91" s="2">
        <f>((IF((119='V06 Calend 01'!C91),('V06 Calend 01'!F91+'V06 Calend 01'!G91),0)+IF(AND(('V06 Calend 01'!E91&gt;0),(119&gt;'V06 Calend 01'!C91),(119&lt;'V06 Calend 01'!D91),(MOD((119-'V06 Calend 01'!C91),6)=0),(((119-'V06 Calend 01'!C91)/6)&lt;='V06 Calend 01'!E91)),IF((119=('V06 Calend 01'!C91+(6*'V06 Calend 01'!E91))),('V06 Calend 01'!H91-('V06 Calend 01'!I91*('V06 Calend 01'!E91-1))),'V06 Calend 01'!I91),0))+IF((119='V06 Calend 01'!D91),'V06 Calend 01'!J91,0))</f>
        <v>0</v>
      </c>
      <c r="EB91" s="2">
        <f>((IF((120='V06 Calend 01'!C91),('V06 Calend 01'!F91+'V06 Calend 01'!G91),0)+IF(AND(('V06 Calend 01'!E91&gt;0),(120&gt;'V06 Calend 01'!C91),(120&lt;'V06 Calend 01'!D91),(MOD((120-'V06 Calend 01'!C91),6)=0),(((120-'V06 Calend 01'!C91)/6)&lt;='V06 Calend 01'!E91)),IF((120=('V06 Calend 01'!C91+(6*'V06 Calend 01'!E91))),('V06 Calend 01'!H91-('V06 Calend 01'!I91*('V06 Calend 01'!E91-1))),'V06 Calend 01'!I91),0))+IF((120='V06 Calend 01'!D91),'V06 Calend 01'!J91,0))</f>
        <v>0</v>
      </c>
      <c r="EC91" s="2">
        <f>((IF((121='V06 Calend 01'!C91),('V06 Calend 01'!F91+'V06 Calend 01'!G91),0)+IF(AND(('V06 Calend 01'!E91&gt;0),(121&gt;'V06 Calend 01'!C91),(121&lt;'V06 Calend 01'!D91),(MOD((121-'V06 Calend 01'!C91),6)=0),(((121-'V06 Calend 01'!C91)/6)&lt;='V06 Calend 01'!E91)),IF((121=('V06 Calend 01'!C91+(6*'V06 Calend 01'!E91))),('V06 Calend 01'!H91-('V06 Calend 01'!I91*('V06 Calend 01'!E91-1))),'V06 Calend 01'!I91),0))+IF((121='V06 Calend 01'!D91),'V06 Calend 01'!J91,0))</f>
        <v>0</v>
      </c>
      <c r="ED91" s="2">
        <f>((IF((122='V06 Calend 01'!C91),('V06 Calend 01'!F91+'V06 Calend 01'!G91),0)+IF(AND(('V06 Calend 01'!E91&gt;0),(122&gt;'V06 Calend 01'!C91),(122&lt;'V06 Calend 01'!D91),(MOD((122-'V06 Calend 01'!C91),6)=0),(((122-'V06 Calend 01'!C91)/6)&lt;='V06 Calend 01'!E91)),IF((122=('V06 Calend 01'!C91+(6*'V06 Calend 01'!E91))),('V06 Calend 01'!H91-('V06 Calend 01'!I91*('V06 Calend 01'!E91-1))),'V06 Calend 01'!I91),0))+IF((122='V06 Calend 01'!D91),'V06 Calend 01'!J91,0))</f>
        <v>0</v>
      </c>
      <c r="EE91" s="2">
        <f>((IF((123='V06 Calend 01'!C91),('V06 Calend 01'!F91+'V06 Calend 01'!G91),0)+IF(AND(('V06 Calend 01'!E91&gt;0),(123&gt;'V06 Calend 01'!C91),(123&lt;'V06 Calend 01'!D91),(MOD((123-'V06 Calend 01'!C91),6)=0),(((123-'V06 Calend 01'!C91)/6)&lt;='V06 Calend 01'!E91)),IF((123=('V06 Calend 01'!C91+(6*'V06 Calend 01'!E91))),('V06 Calend 01'!H91-('V06 Calend 01'!I91*('V06 Calend 01'!E91-1))),'V06 Calend 01'!I91),0))+IF((123='V06 Calend 01'!D91),'V06 Calend 01'!J91,0))</f>
        <v>0</v>
      </c>
      <c r="EF91" s="2">
        <f>((IF((124='V06 Calend 01'!C91),('V06 Calend 01'!F91+'V06 Calend 01'!G91),0)+IF(AND(('V06 Calend 01'!E91&gt;0),(124&gt;'V06 Calend 01'!C91),(124&lt;'V06 Calend 01'!D91),(MOD((124-'V06 Calend 01'!C91),6)=0),(((124-'V06 Calend 01'!C91)/6)&lt;='V06 Calend 01'!E91)),IF((124=('V06 Calend 01'!C91+(6*'V06 Calend 01'!E91))),('V06 Calend 01'!H91-('V06 Calend 01'!I91*('V06 Calend 01'!E91-1))),'V06 Calend 01'!I91),0))+IF((124='V06 Calend 01'!D91),'V06 Calend 01'!J91,0))</f>
        <v>0</v>
      </c>
      <c r="EG91" s="2">
        <f>((IF((125='V06 Calend 01'!C91),('V06 Calend 01'!F91+'V06 Calend 01'!G91),0)+IF(AND(('V06 Calend 01'!E91&gt;0),(125&gt;'V06 Calend 01'!C91),(125&lt;'V06 Calend 01'!D91),(MOD((125-'V06 Calend 01'!C91),6)=0),(((125-'V06 Calend 01'!C91)/6)&lt;='V06 Calend 01'!E91)),IF((125=('V06 Calend 01'!C91+(6*'V06 Calend 01'!E91))),('V06 Calend 01'!H91-('V06 Calend 01'!I91*('V06 Calend 01'!E91-1))),'V06 Calend 01'!I91),0))+IF((125='V06 Calend 01'!D91),'V06 Calend 01'!J91,0))</f>
        <v>0</v>
      </c>
      <c r="EH91" s="2">
        <f>((IF((126='V06 Calend 01'!C91),('V06 Calend 01'!F91+'V06 Calend 01'!G91),0)+IF(AND(('V06 Calend 01'!E91&gt;0),(126&gt;'V06 Calend 01'!C91),(126&lt;'V06 Calend 01'!D91),(MOD((126-'V06 Calend 01'!C91),6)=0),(((126-'V06 Calend 01'!C91)/6)&lt;='V06 Calend 01'!E91)),IF((126=('V06 Calend 01'!C91+(6*'V06 Calend 01'!E91))),('V06 Calend 01'!H91-('V06 Calend 01'!I91*('V06 Calend 01'!E91-1))),'V06 Calend 01'!I91),0))+IF((126='V06 Calend 01'!D91),'V06 Calend 01'!J91,0))</f>
        <v>0</v>
      </c>
      <c r="EI91" s="2">
        <f>((IF((127='V06 Calend 01'!C91),('V06 Calend 01'!F91+'V06 Calend 01'!G91),0)+IF(AND(('V06 Calend 01'!E91&gt;0),(127&gt;'V06 Calend 01'!C91),(127&lt;'V06 Calend 01'!D91),(MOD((127-'V06 Calend 01'!C91),6)=0),(((127-'V06 Calend 01'!C91)/6)&lt;='V06 Calend 01'!E91)),IF((127=('V06 Calend 01'!C91+(6*'V06 Calend 01'!E91))),('V06 Calend 01'!H91-('V06 Calend 01'!I91*('V06 Calend 01'!E91-1))),'V06 Calend 01'!I91),0))+IF((127='V06 Calend 01'!D91),'V06 Calend 01'!J91,0))</f>
        <v>0</v>
      </c>
      <c r="EJ91" s="2">
        <f>((IF((128='V06 Calend 01'!C91),('V06 Calend 01'!F91+'V06 Calend 01'!G91),0)+IF(AND(('V06 Calend 01'!E91&gt;0),(128&gt;'V06 Calend 01'!C91),(128&lt;'V06 Calend 01'!D91),(MOD((128-'V06 Calend 01'!C91),6)=0),(((128-'V06 Calend 01'!C91)/6)&lt;='V06 Calend 01'!E91)),IF((128=('V06 Calend 01'!C91+(6*'V06 Calend 01'!E91))),('V06 Calend 01'!H91-('V06 Calend 01'!I91*('V06 Calend 01'!E91-1))),'V06 Calend 01'!I91),0))+IF((128='V06 Calend 01'!D91),'V06 Calend 01'!J91,0))</f>
        <v>0</v>
      </c>
      <c r="EK91" s="2">
        <f>((IF((129='V06 Calend 01'!C91),('V06 Calend 01'!F91+'V06 Calend 01'!G91),0)+IF(AND(('V06 Calend 01'!E91&gt;0),(129&gt;'V06 Calend 01'!C91),(129&lt;'V06 Calend 01'!D91),(MOD((129-'V06 Calend 01'!C91),6)=0),(((129-'V06 Calend 01'!C91)/6)&lt;='V06 Calend 01'!E91)),IF((129=('V06 Calend 01'!C91+(6*'V06 Calend 01'!E91))),('V06 Calend 01'!H91-('V06 Calend 01'!I91*('V06 Calend 01'!E91-1))),'V06 Calend 01'!I91),0))+IF((129='V06 Calend 01'!D91),'V06 Calend 01'!J91,0))</f>
        <v>0</v>
      </c>
      <c r="EL91" s="2">
        <f>((IF((130='V06 Calend 01'!C91),('V06 Calend 01'!F91+'V06 Calend 01'!G91),0)+IF(AND(('V06 Calend 01'!E91&gt;0),(130&gt;'V06 Calend 01'!C91),(130&lt;'V06 Calend 01'!D91),(MOD((130-'V06 Calend 01'!C91),6)=0),(((130-'V06 Calend 01'!C91)/6)&lt;='V06 Calend 01'!E91)),IF((130=('V06 Calend 01'!C91+(6*'V06 Calend 01'!E91))),('V06 Calend 01'!H91-('V06 Calend 01'!I91*('V06 Calend 01'!E91-1))),'V06 Calend 01'!I91),0))+IF((130='V06 Calend 01'!D91),'V06 Calend 01'!J91,0))</f>
        <v>0</v>
      </c>
      <c r="EM91" s="2">
        <f>((IF((131='V06 Calend 01'!C91),('V06 Calend 01'!F91+'V06 Calend 01'!G91),0)+IF(AND(('V06 Calend 01'!E91&gt;0),(131&gt;'V06 Calend 01'!C91),(131&lt;'V06 Calend 01'!D91),(MOD((131-'V06 Calend 01'!C91),6)=0),(((131-'V06 Calend 01'!C91)/6)&lt;='V06 Calend 01'!E91)),IF((131=('V06 Calend 01'!C91+(6*'V06 Calend 01'!E91))),('V06 Calend 01'!H91-('V06 Calend 01'!I91*('V06 Calend 01'!E91-1))),'V06 Calend 01'!I91),0))+IF((131='V06 Calend 01'!D91),'V06 Calend 01'!J91,0))</f>
        <v>0</v>
      </c>
      <c r="EN91" s="2">
        <f>((IF((132='V06 Calend 01'!C91),('V06 Calend 01'!F91+'V06 Calend 01'!G91),0)+IF(AND(('V06 Calend 01'!E91&gt;0),(132&gt;'V06 Calend 01'!C91),(132&lt;'V06 Calend 01'!D91),(MOD((132-'V06 Calend 01'!C91),6)=0),(((132-'V06 Calend 01'!C91)/6)&lt;='V06 Calend 01'!E91)),IF((132=('V06 Calend 01'!C91+(6*'V06 Calend 01'!E91))),('V06 Calend 01'!H91-('V06 Calend 01'!I91*('V06 Calend 01'!E91-1))),'V06 Calend 01'!I91),0))+IF((132='V06 Calend 01'!D91),'V06 Calend 01'!J91,0))</f>
        <v>0</v>
      </c>
      <c r="EO91" s="2">
        <f>((IF((133='V06 Calend 01'!C91),('V06 Calend 01'!F91+'V06 Calend 01'!G91),0)+IF(AND(('V06 Calend 01'!E91&gt;0),(133&gt;'V06 Calend 01'!C91),(133&lt;'V06 Calend 01'!D91),(MOD((133-'V06 Calend 01'!C91),6)=0),(((133-'V06 Calend 01'!C91)/6)&lt;='V06 Calend 01'!E91)),IF((133=('V06 Calend 01'!C91+(6*'V06 Calend 01'!E91))),('V06 Calend 01'!H91-('V06 Calend 01'!I91*('V06 Calend 01'!E91-1))),'V06 Calend 01'!I91),0))+IF((133='V06 Calend 01'!D91),'V06 Calend 01'!J91,0))</f>
        <v>0</v>
      </c>
      <c r="EP91" s="2">
        <f>((IF((134='V06 Calend 01'!C91),('V06 Calend 01'!F91+'V06 Calend 01'!G91),0)+IF(AND(('V06 Calend 01'!E91&gt;0),(134&gt;'V06 Calend 01'!C91),(134&lt;'V06 Calend 01'!D91),(MOD((134-'V06 Calend 01'!C91),6)=0),(((134-'V06 Calend 01'!C91)/6)&lt;='V06 Calend 01'!E91)),IF((134=('V06 Calend 01'!C91+(6*'V06 Calend 01'!E91))),('V06 Calend 01'!H91-('V06 Calend 01'!I91*('V06 Calend 01'!E91-1))),'V06 Calend 01'!I91),0))+IF((134='V06 Calend 01'!D91),'V06 Calend 01'!J91,0))</f>
        <v>0</v>
      </c>
      <c r="EQ91" s="2">
        <f>((IF((135='V06 Calend 01'!C91),('V06 Calend 01'!F91+'V06 Calend 01'!G91),0)+IF(AND(('V06 Calend 01'!E91&gt;0),(135&gt;'V06 Calend 01'!C91),(135&lt;'V06 Calend 01'!D91),(MOD((135-'V06 Calend 01'!C91),6)=0),(((135-'V06 Calend 01'!C91)/6)&lt;='V06 Calend 01'!E91)),IF((135=('V06 Calend 01'!C91+(6*'V06 Calend 01'!E91))),('V06 Calend 01'!H91-('V06 Calend 01'!I91*('V06 Calend 01'!E91-1))),'V06 Calend 01'!I91),0))+IF((135='V06 Calend 01'!D91),'V06 Calend 01'!J91,0))</f>
        <v>0</v>
      </c>
      <c r="ER91" s="2">
        <f>((IF((136='V06 Calend 01'!C91),('V06 Calend 01'!F91+'V06 Calend 01'!G91),0)+IF(AND(('V06 Calend 01'!E91&gt;0),(136&gt;'V06 Calend 01'!C91),(136&lt;'V06 Calend 01'!D91),(MOD((136-'V06 Calend 01'!C91),6)=0),(((136-'V06 Calend 01'!C91)/6)&lt;='V06 Calend 01'!E91)),IF((136=('V06 Calend 01'!C91+(6*'V06 Calend 01'!E91))),('V06 Calend 01'!H91-('V06 Calend 01'!I91*('V06 Calend 01'!E91-1))),'V06 Calend 01'!I91),0))+IF((136='V06 Calend 01'!D91),'V06 Calend 01'!J91,0))</f>
        <v>0</v>
      </c>
      <c r="ES91" s="2">
        <f>((IF((137='V06 Calend 01'!C91),('V06 Calend 01'!F91+'V06 Calend 01'!G91),0)+IF(AND(('V06 Calend 01'!E91&gt;0),(137&gt;'V06 Calend 01'!C91),(137&lt;'V06 Calend 01'!D91),(MOD((137-'V06 Calend 01'!C91),6)=0),(((137-'V06 Calend 01'!C91)/6)&lt;='V06 Calend 01'!E91)),IF((137=('V06 Calend 01'!C91+(6*'V06 Calend 01'!E91))),('V06 Calend 01'!H91-('V06 Calend 01'!I91*('V06 Calend 01'!E91-1))),'V06 Calend 01'!I91),0))+IF((137='V06 Calend 01'!D91),'V06 Calend 01'!J91,0))</f>
        <v>0</v>
      </c>
      <c r="ET91" s="2">
        <f>((IF((138='V06 Calend 01'!C91),('V06 Calend 01'!F91+'V06 Calend 01'!G91),0)+IF(AND(('V06 Calend 01'!E91&gt;0),(138&gt;'V06 Calend 01'!C91),(138&lt;'V06 Calend 01'!D91),(MOD((138-'V06 Calend 01'!C91),6)=0),(((138-'V06 Calend 01'!C91)/6)&lt;='V06 Calend 01'!E91)),IF((138=('V06 Calend 01'!C91+(6*'V06 Calend 01'!E91))),('V06 Calend 01'!H91-('V06 Calend 01'!I91*('V06 Calend 01'!E91-1))),'V06 Calend 01'!I91),0))+IF((138='V06 Calend 01'!D91),'V06 Calend 01'!J91,0))</f>
        <v>0</v>
      </c>
      <c r="EU91" s="2">
        <f>((IF((139='V06 Calend 01'!C91),('V06 Calend 01'!F91+'V06 Calend 01'!G91),0)+IF(AND(('V06 Calend 01'!E91&gt;0),(139&gt;'V06 Calend 01'!C91),(139&lt;'V06 Calend 01'!D91),(MOD((139-'V06 Calend 01'!C91),6)=0),(((139-'V06 Calend 01'!C91)/6)&lt;='V06 Calend 01'!E91)),IF((139=('V06 Calend 01'!C91+(6*'V06 Calend 01'!E91))),('V06 Calend 01'!H91-('V06 Calend 01'!I91*('V06 Calend 01'!E91-1))),'V06 Calend 01'!I91),0))+IF((139='V06 Calend 01'!D91),'V06 Calend 01'!J91,0))</f>
        <v>0</v>
      </c>
      <c r="EV91" s="2">
        <f>((IF((140='V06 Calend 01'!C91),('V06 Calend 01'!F91+'V06 Calend 01'!G91),0)+IF(AND(('V06 Calend 01'!E91&gt;0),(140&gt;'V06 Calend 01'!C91),(140&lt;'V06 Calend 01'!D91),(MOD((140-'V06 Calend 01'!C91),6)=0),(((140-'V06 Calend 01'!C91)/6)&lt;='V06 Calend 01'!E91)),IF((140=('V06 Calend 01'!C91+(6*'V06 Calend 01'!E91))),('V06 Calend 01'!H91-('V06 Calend 01'!I91*('V06 Calend 01'!E91-1))),'V06 Calend 01'!I91),0))+IF((140='V06 Calend 01'!D91),'V06 Calend 01'!J91,0))</f>
        <v>0</v>
      </c>
      <c r="EW91" s="2">
        <f>((IF((141='V06 Calend 01'!C91),('V06 Calend 01'!F91+'V06 Calend 01'!G91),0)+IF(AND(('V06 Calend 01'!E91&gt;0),(141&gt;'V06 Calend 01'!C91),(141&lt;'V06 Calend 01'!D91),(MOD((141-'V06 Calend 01'!C91),6)=0),(((141-'V06 Calend 01'!C91)/6)&lt;='V06 Calend 01'!E91)),IF((141=('V06 Calend 01'!C91+(6*'V06 Calend 01'!E91))),('V06 Calend 01'!H91-('V06 Calend 01'!I91*('V06 Calend 01'!E91-1))),'V06 Calend 01'!I91),0))+IF((141='V06 Calend 01'!D91),'V06 Calend 01'!J91,0))</f>
        <v>0</v>
      </c>
      <c r="EX91" s="2">
        <f>((IF((142='V06 Calend 01'!C91),('V06 Calend 01'!F91+'V06 Calend 01'!G91),0)+IF(AND(('V06 Calend 01'!E91&gt;0),(142&gt;'V06 Calend 01'!C91),(142&lt;'V06 Calend 01'!D91),(MOD((142-'V06 Calend 01'!C91),6)=0),(((142-'V06 Calend 01'!C91)/6)&lt;='V06 Calend 01'!E91)),IF((142=('V06 Calend 01'!C91+(6*'V06 Calend 01'!E91))),('V06 Calend 01'!H91-('V06 Calend 01'!I91*('V06 Calend 01'!E91-1))),'V06 Calend 01'!I91),0))+IF((142='V06 Calend 01'!D91),'V06 Calend 01'!J91,0))</f>
        <v>0</v>
      </c>
      <c r="EY91" s="2">
        <f>((IF((143='V06 Calend 01'!C91),('V06 Calend 01'!F91+'V06 Calend 01'!G91),0)+IF(AND(('V06 Calend 01'!E91&gt;0),(143&gt;'V06 Calend 01'!C91),(143&lt;'V06 Calend 01'!D91),(MOD((143-'V06 Calend 01'!C91),6)=0),(((143-'V06 Calend 01'!C91)/6)&lt;='V06 Calend 01'!E91)),IF((143=('V06 Calend 01'!C91+(6*'V06 Calend 01'!E91))),('V06 Calend 01'!H91-('V06 Calend 01'!I91*('V06 Calend 01'!E91-1))),'V06 Calend 01'!I91),0))+IF((143='V06 Calend 01'!D91),'V06 Calend 01'!J91,0))</f>
        <v>0</v>
      </c>
      <c r="EZ91" s="2">
        <f>((IF((144='V06 Calend 01'!C91),('V06 Calend 01'!F91+'V06 Calend 01'!G91),0)+IF(AND(('V06 Calend 01'!E91&gt;0),(144&gt;'V06 Calend 01'!C91),(144&lt;'V06 Calend 01'!D91),(MOD((144-'V06 Calend 01'!C91),6)=0),(((144-'V06 Calend 01'!C91)/6)&lt;='V06 Calend 01'!E91)),IF((144=('V06 Calend 01'!C91+(6*'V06 Calend 01'!E91))),('V06 Calend 01'!H91-('V06 Calend 01'!I91*('V06 Calend 01'!E91-1))),'V06 Calend 01'!I91),0))+IF((144='V06 Calend 01'!D91),'V06 Calend 01'!J91,0))</f>
        <v>0</v>
      </c>
      <c r="FA91" s="2">
        <f>((IF((145='V06 Calend 01'!C91),('V06 Calend 01'!F91+'V06 Calend 01'!G91),0)+IF(AND(('V06 Calend 01'!E91&gt;0),(145&gt;'V06 Calend 01'!C91),(145&lt;'V06 Calend 01'!D91),(MOD((145-'V06 Calend 01'!C91),6)=0),(((145-'V06 Calend 01'!C91)/6)&lt;='V06 Calend 01'!E91)),IF((145=('V06 Calend 01'!C91+(6*'V06 Calend 01'!E91))),('V06 Calend 01'!H91-('V06 Calend 01'!I91*('V06 Calend 01'!E91-1))),'V06 Calend 01'!I91),0))+IF((145='V06 Calend 01'!D91),'V06 Calend 01'!J91,0))</f>
        <v>0</v>
      </c>
      <c r="FB91" s="2">
        <f>((IF((146='V06 Calend 01'!C91),('V06 Calend 01'!F91+'V06 Calend 01'!G91),0)+IF(AND(('V06 Calend 01'!E91&gt;0),(146&gt;'V06 Calend 01'!C91),(146&lt;'V06 Calend 01'!D91),(MOD((146-'V06 Calend 01'!C91),6)=0),(((146-'V06 Calend 01'!C91)/6)&lt;='V06 Calend 01'!E91)),IF((146=('V06 Calend 01'!C91+(6*'V06 Calend 01'!E91))),('V06 Calend 01'!H91-('V06 Calend 01'!I91*('V06 Calend 01'!E91-1))),'V06 Calend 01'!I91),0))+IF((146='V06 Calend 01'!D91),'V06 Calend 01'!J91,0))</f>
        <v>0</v>
      </c>
      <c r="FC91" s="2">
        <f>((IF((147='V06 Calend 01'!C91),('V06 Calend 01'!F91+'V06 Calend 01'!G91),0)+IF(AND(('V06 Calend 01'!E91&gt;0),(147&gt;'V06 Calend 01'!C91),(147&lt;'V06 Calend 01'!D91),(MOD((147-'V06 Calend 01'!C91),6)=0),(((147-'V06 Calend 01'!C91)/6)&lt;='V06 Calend 01'!E91)),IF((147=('V06 Calend 01'!C91+(6*'V06 Calend 01'!E91))),('V06 Calend 01'!H91-('V06 Calend 01'!I91*('V06 Calend 01'!E91-1))),'V06 Calend 01'!I91),0))+IF((147='V06 Calend 01'!D91),'V06 Calend 01'!J91,0))</f>
        <v>0</v>
      </c>
      <c r="FD91" s="2">
        <f>((IF((148='V06 Calend 01'!C91),('V06 Calend 01'!F91+'V06 Calend 01'!G91),0)+IF(AND(('V06 Calend 01'!E91&gt;0),(148&gt;'V06 Calend 01'!C91),(148&lt;'V06 Calend 01'!D91),(MOD((148-'V06 Calend 01'!C91),6)=0),(((148-'V06 Calend 01'!C91)/6)&lt;='V06 Calend 01'!E91)),IF((148=('V06 Calend 01'!C91+(6*'V06 Calend 01'!E91))),('V06 Calend 01'!H91-('V06 Calend 01'!I91*('V06 Calend 01'!E91-1))),'V06 Calend 01'!I91),0))+IF((148='V06 Calend 01'!D91),'V06 Calend 01'!J91,0))</f>
        <v>0</v>
      </c>
      <c r="FE91" s="2">
        <f>((IF((149='V06 Calend 01'!C91),('V06 Calend 01'!F91+'V06 Calend 01'!G91),0)+IF(AND(('V06 Calend 01'!E91&gt;0),(149&gt;'V06 Calend 01'!C91),(149&lt;'V06 Calend 01'!D91),(MOD((149-'V06 Calend 01'!C91),6)=0),(((149-'V06 Calend 01'!C91)/6)&lt;='V06 Calend 01'!E91)),IF((149=('V06 Calend 01'!C91+(6*'V06 Calend 01'!E91))),('V06 Calend 01'!H91-('V06 Calend 01'!I91*('V06 Calend 01'!E91-1))),'V06 Calend 01'!I91),0))+IF((149='V06 Calend 01'!D91),'V06 Calend 01'!J91,0))</f>
        <v>0</v>
      </c>
      <c r="FF91" s="2">
        <f>((IF((150='V06 Calend 01'!C91),('V06 Calend 01'!F91+'V06 Calend 01'!G91),0)+IF(AND(('V06 Calend 01'!E91&gt;0),(150&gt;'V06 Calend 01'!C91),(150&lt;'V06 Calend 01'!D91),(MOD((150-'V06 Calend 01'!C91),6)=0),(((150-'V06 Calend 01'!C91)/6)&lt;='V06 Calend 01'!E91)),IF((150=('V06 Calend 01'!C91+(6*'V06 Calend 01'!E91))),('V06 Calend 01'!H91-('V06 Calend 01'!I91*('V06 Calend 01'!E91-1))),'V06 Calend 01'!I91),0))+IF((150='V06 Calend 01'!D91),'V06 Calend 01'!J91,0))</f>
        <v>0</v>
      </c>
      <c r="FG91" s="2">
        <f>((IF((151='V06 Calend 01'!C91),('V06 Calend 01'!F91+'V06 Calend 01'!G91),0)+IF(AND(('V06 Calend 01'!E91&gt;0),(151&gt;'V06 Calend 01'!C91),(151&lt;'V06 Calend 01'!D91),(MOD((151-'V06 Calend 01'!C91),6)=0),(((151-'V06 Calend 01'!C91)/6)&lt;='V06 Calend 01'!E91)),IF((151=('V06 Calend 01'!C91+(6*'V06 Calend 01'!E91))),('V06 Calend 01'!H91-('V06 Calend 01'!I91*('V06 Calend 01'!E91-1))),'V06 Calend 01'!I91),0))+IF((151='V06 Calend 01'!D91),'V06 Calend 01'!J91,0))</f>
        <v>0</v>
      </c>
      <c r="FH91" s="2">
        <f>((IF((152='V06 Calend 01'!C91),('V06 Calend 01'!F91+'V06 Calend 01'!G91),0)+IF(AND(('V06 Calend 01'!E91&gt;0),(152&gt;'V06 Calend 01'!C91),(152&lt;'V06 Calend 01'!D91),(MOD((152-'V06 Calend 01'!C91),6)=0),(((152-'V06 Calend 01'!C91)/6)&lt;='V06 Calend 01'!E91)),IF((152=('V06 Calend 01'!C91+(6*'V06 Calend 01'!E91))),('V06 Calend 01'!H91-('V06 Calend 01'!I91*('V06 Calend 01'!E91-1))),'V06 Calend 01'!I91),0))+IF((152='V06 Calend 01'!D91),'V06 Calend 01'!J91,0))</f>
        <v>0</v>
      </c>
      <c r="FI91" s="2">
        <f>((IF((153='V06 Calend 01'!C91),('V06 Calend 01'!F91+'V06 Calend 01'!G91),0)+IF(AND(('V06 Calend 01'!E91&gt;0),(153&gt;'V06 Calend 01'!C91),(153&lt;'V06 Calend 01'!D91),(MOD((153-'V06 Calend 01'!C91),6)=0),(((153-'V06 Calend 01'!C91)/6)&lt;='V06 Calend 01'!E91)),IF((153=('V06 Calend 01'!C91+(6*'V06 Calend 01'!E91))),('V06 Calend 01'!H91-('V06 Calend 01'!I91*('V06 Calend 01'!E91-1))),'V06 Calend 01'!I91),0))+IF((153='V06 Calend 01'!D91),'V06 Calend 01'!J91,0))</f>
        <v>0</v>
      </c>
      <c r="FJ91" s="2">
        <f>((IF((154='V06 Calend 01'!C91),('V06 Calend 01'!F91+'V06 Calend 01'!G91),0)+IF(AND(('V06 Calend 01'!E91&gt;0),(154&gt;'V06 Calend 01'!C91),(154&lt;'V06 Calend 01'!D91),(MOD((154-'V06 Calend 01'!C91),6)=0),(((154-'V06 Calend 01'!C91)/6)&lt;='V06 Calend 01'!E91)),IF((154=('V06 Calend 01'!C91+(6*'V06 Calend 01'!E91))),('V06 Calend 01'!H91-('V06 Calend 01'!I91*('V06 Calend 01'!E91-1))),'V06 Calend 01'!I91),0))+IF((154='V06 Calend 01'!D91),'V06 Calend 01'!J91,0))</f>
        <v>0</v>
      </c>
      <c r="FK91" s="2">
        <f>((IF((155='V06 Calend 01'!C91),('V06 Calend 01'!F91+'V06 Calend 01'!G91),0)+IF(AND(('V06 Calend 01'!E91&gt;0),(155&gt;'V06 Calend 01'!C91),(155&lt;'V06 Calend 01'!D91),(MOD((155-'V06 Calend 01'!C91),6)=0),(((155-'V06 Calend 01'!C91)/6)&lt;='V06 Calend 01'!E91)),IF((155=('V06 Calend 01'!C91+(6*'V06 Calend 01'!E91))),('V06 Calend 01'!H91-('V06 Calend 01'!I91*('V06 Calend 01'!E91-1))),'V06 Calend 01'!I91),0))+IF((155='V06 Calend 01'!D91),'V06 Calend 01'!J91,0))</f>
        <v>0</v>
      </c>
      <c r="FL91" s="2">
        <f>((IF((156='V06 Calend 01'!C91),('V06 Calend 01'!F91+'V06 Calend 01'!G91),0)+IF(AND(('V06 Calend 01'!E91&gt;0),(156&gt;'V06 Calend 01'!C91),(156&lt;'V06 Calend 01'!D91),(MOD((156-'V06 Calend 01'!C91),6)=0),(((156-'V06 Calend 01'!C91)/6)&lt;='V06 Calend 01'!E91)),IF((156=('V06 Calend 01'!C91+(6*'V06 Calend 01'!E91))),('V06 Calend 01'!H91-('V06 Calend 01'!I91*('V06 Calend 01'!E91-1))),'V06 Calend 01'!I91),0))+IF((156='V06 Calend 01'!D91),'V06 Calend 01'!J91,0))</f>
        <v>0</v>
      </c>
      <c r="FM91" s="2">
        <f>((IF((157='V06 Calend 01'!C91),('V06 Calend 01'!F91+'V06 Calend 01'!G91),0)+IF(AND(('V06 Calend 01'!E91&gt;0),(157&gt;'V06 Calend 01'!C91),(157&lt;'V06 Calend 01'!D91),(MOD((157-'V06 Calend 01'!C91),6)=0),(((157-'V06 Calend 01'!C91)/6)&lt;='V06 Calend 01'!E91)),IF((157=('V06 Calend 01'!C91+(6*'V06 Calend 01'!E91))),('V06 Calend 01'!H91-('V06 Calend 01'!I91*('V06 Calend 01'!E91-1))),'V06 Calend 01'!I91),0))+IF((157='V06 Calend 01'!D91),'V06 Calend 01'!J91,0))</f>
        <v>0</v>
      </c>
      <c r="FN91" s="2">
        <f>((IF((158='V06 Calend 01'!C91),('V06 Calend 01'!F91+'V06 Calend 01'!G91),0)+IF(AND(('V06 Calend 01'!E91&gt;0),(158&gt;'V06 Calend 01'!C91),(158&lt;'V06 Calend 01'!D91),(MOD((158-'V06 Calend 01'!C91),6)=0),(((158-'V06 Calend 01'!C91)/6)&lt;='V06 Calend 01'!E91)),IF((158=('V06 Calend 01'!C91+(6*'V06 Calend 01'!E91))),('V06 Calend 01'!H91-('V06 Calend 01'!I91*('V06 Calend 01'!E91-1))),'V06 Calend 01'!I91),0))+IF((158='V06 Calend 01'!D91),'V06 Calend 01'!J91,0))</f>
        <v>0</v>
      </c>
      <c r="FO91" s="2">
        <f>((IF((159='V06 Calend 01'!C91),('V06 Calend 01'!F91+'V06 Calend 01'!G91),0)+IF(AND(('V06 Calend 01'!E91&gt;0),(159&gt;'V06 Calend 01'!C91),(159&lt;'V06 Calend 01'!D91),(MOD((159-'V06 Calend 01'!C91),6)=0),(((159-'V06 Calend 01'!C91)/6)&lt;='V06 Calend 01'!E91)),IF((159=('V06 Calend 01'!C91+(6*'V06 Calend 01'!E91))),('V06 Calend 01'!H91-('V06 Calend 01'!I91*('V06 Calend 01'!E91-1))),'V06 Calend 01'!I91),0))+IF((159='V06 Calend 01'!D91),'V06 Calend 01'!J91,0))</f>
        <v>0</v>
      </c>
      <c r="FP91" s="2">
        <f>((IF((160='V06 Calend 01'!C91),('V06 Calend 01'!F91+'V06 Calend 01'!G91),0)+IF(AND(('V06 Calend 01'!E91&gt;0),(160&gt;'V06 Calend 01'!C91),(160&lt;'V06 Calend 01'!D91),(MOD((160-'V06 Calend 01'!C91),6)=0),(((160-'V06 Calend 01'!C91)/6)&lt;='V06 Calend 01'!E91)),IF((160=('V06 Calend 01'!C91+(6*'V06 Calend 01'!E91))),('V06 Calend 01'!H91-('V06 Calend 01'!I91*('V06 Calend 01'!E91-1))),'V06 Calend 01'!I91),0))+IF((160='V06 Calend 01'!D91),'V06 Calend 01'!J91,0))</f>
        <v>0</v>
      </c>
      <c r="FQ91" s="2">
        <f>((IF((161='V06 Calend 01'!C91),('V06 Calend 01'!F91+'V06 Calend 01'!G91),0)+IF(AND(('V06 Calend 01'!E91&gt;0),(161&gt;'V06 Calend 01'!C91),(161&lt;'V06 Calend 01'!D91),(MOD((161-'V06 Calend 01'!C91),6)=0),(((161-'V06 Calend 01'!C91)/6)&lt;='V06 Calend 01'!E91)),IF((161=('V06 Calend 01'!C91+(6*'V06 Calend 01'!E91))),('V06 Calend 01'!H91-('V06 Calend 01'!I91*('V06 Calend 01'!E91-1))),'V06 Calend 01'!I91),0))+IF((161='V06 Calend 01'!D91),'V06 Calend 01'!J91,0))</f>
        <v>0</v>
      </c>
      <c r="FR91" s="2">
        <f>((IF((162='V06 Calend 01'!C91),('V06 Calend 01'!F91+'V06 Calend 01'!G91),0)+IF(AND(('V06 Calend 01'!E91&gt;0),(162&gt;'V06 Calend 01'!C91),(162&lt;'V06 Calend 01'!D91),(MOD((162-'V06 Calend 01'!C91),6)=0),(((162-'V06 Calend 01'!C91)/6)&lt;='V06 Calend 01'!E91)),IF((162=('V06 Calend 01'!C91+(6*'V06 Calend 01'!E91))),('V06 Calend 01'!H91-('V06 Calend 01'!I91*('V06 Calend 01'!E91-1))),'V06 Calend 01'!I91),0))+IF((162='V06 Calend 01'!D91),'V06 Calend 01'!J91,0))</f>
        <v>0</v>
      </c>
      <c r="FS91" s="2">
        <f>((IF((163='V06 Calend 01'!C91),('V06 Calend 01'!F91+'V06 Calend 01'!G91),0)+IF(AND(('V06 Calend 01'!E91&gt;0),(163&gt;'V06 Calend 01'!C91),(163&lt;'V06 Calend 01'!D91),(MOD((163-'V06 Calend 01'!C91),6)=0),(((163-'V06 Calend 01'!C91)/6)&lt;='V06 Calend 01'!E91)),IF((163=('V06 Calend 01'!C91+(6*'V06 Calend 01'!E91))),('V06 Calend 01'!H91-('V06 Calend 01'!I91*('V06 Calend 01'!E91-1))),'V06 Calend 01'!I91),0))+IF((163='V06 Calend 01'!D91),'V06 Calend 01'!J91,0))</f>
        <v>0</v>
      </c>
      <c r="FT91" s="2">
        <f>((IF((164='V06 Calend 01'!C91),('V06 Calend 01'!F91+'V06 Calend 01'!G91),0)+IF(AND(('V06 Calend 01'!E91&gt;0),(164&gt;'V06 Calend 01'!C91),(164&lt;'V06 Calend 01'!D91),(MOD((164-'V06 Calend 01'!C91),6)=0),(((164-'V06 Calend 01'!C91)/6)&lt;='V06 Calend 01'!E91)),IF((164=('V06 Calend 01'!C91+(6*'V06 Calend 01'!E91))),('V06 Calend 01'!H91-('V06 Calend 01'!I91*('V06 Calend 01'!E91-1))),'V06 Calend 01'!I91),0))+IF((164='V06 Calend 01'!D91),'V06 Calend 01'!J91,0))</f>
        <v>0</v>
      </c>
      <c r="FU91" s="2">
        <f>((IF((165='V06 Calend 01'!C91),('V06 Calend 01'!F91+'V06 Calend 01'!G91),0)+IF(AND(('V06 Calend 01'!E91&gt;0),(165&gt;'V06 Calend 01'!C91),(165&lt;'V06 Calend 01'!D91),(MOD((165-'V06 Calend 01'!C91),6)=0),(((165-'V06 Calend 01'!C91)/6)&lt;='V06 Calend 01'!E91)),IF((165=('V06 Calend 01'!C91+(6*'V06 Calend 01'!E91))),('V06 Calend 01'!H91-('V06 Calend 01'!I91*('V06 Calend 01'!E91-1))),'V06 Calend 01'!I91),0))+IF((165='V06 Calend 01'!D91),'V06 Calend 01'!J91,0))</f>
        <v>0</v>
      </c>
      <c r="FV91" s="2">
        <f>((IF((166='V06 Calend 01'!C91),('V06 Calend 01'!F91+'V06 Calend 01'!G91),0)+IF(AND(('V06 Calend 01'!E91&gt;0),(166&gt;'V06 Calend 01'!C91),(166&lt;'V06 Calend 01'!D91),(MOD((166-'V06 Calend 01'!C91),6)=0),(((166-'V06 Calend 01'!C91)/6)&lt;='V06 Calend 01'!E91)),IF((166=('V06 Calend 01'!C91+(6*'V06 Calend 01'!E91))),('V06 Calend 01'!H91-('V06 Calend 01'!I91*('V06 Calend 01'!E91-1))),'V06 Calend 01'!I91),0))+IF((166='V06 Calend 01'!D91),'V06 Calend 01'!J91,0))</f>
        <v>0</v>
      </c>
      <c r="FW91" s="2">
        <f>((IF((167='V06 Calend 01'!C91),('V06 Calend 01'!F91+'V06 Calend 01'!G91),0)+IF(AND(('V06 Calend 01'!E91&gt;0),(167&gt;'V06 Calend 01'!C91),(167&lt;'V06 Calend 01'!D91),(MOD((167-'V06 Calend 01'!C91),6)=0),(((167-'V06 Calend 01'!C91)/6)&lt;='V06 Calend 01'!E91)),IF((167=('V06 Calend 01'!C91+(6*'V06 Calend 01'!E91))),('V06 Calend 01'!H91-('V06 Calend 01'!I91*('V06 Calend 01'!E91-1))),'V06 Calend 01'!I91),0))+IF((167='V06 Calend 01'!D91),'V06 Calend 01'!J91,0))</f>
        <v>0</v>
      </c>
      <c r="FX91" s="2">
        <f>((IF((168='V06 Calend 01'!C91),('V06 Calend 01'!F91+'V06 Calend 01'!G91),0)+IF(AND(('V06 Calend 01'!E91&gt;0),(168&gt;'V06 Calend 01'!C91),(168&lt;'V06 Calend 01'!D91),(MOD((168-'V06 Calend 01'!C91),6)=0),(((168-'V06 Calend 01'!C91)/6)&lt;='V06 Calend 01'!E91)),IF((168=('V06 Calend 01'!C91+(6*'V06 Calend 01'!E91))),('V06 Calend 01'!H91-('V06 Calend 01'!I91*('V06 Calend 01'!E91-1))),'V06 Calend 01'!I91),0))+IF((168='V06 Calend 01'!D91),'V06 Calend 01'!J91,0))</f>
        <v>0</v>
      </c>
      <c r="FY91" s="2">
        <f>((IF((169='V06 Calend 01'!C91),('V06 Calend 01'!F91+'V06 Calend 01'!G91),0)+IF(AND(('V06 Calend 01'!E91&gt;0),(169&gt;'V06 Calend 01'!C91),(169&lt;'V06 Calend 01'!D91),(MOD((169-'V06 Calend 01'!C91),6)=0),(((169-'V06 Calend 01'!C91)/6)&lt;='V06 Calend 01'!E91)),IF((169=('V06 Calend 01'!C91+(6*'V06 Calend 01'!E91))),('V06 Calend 01'!H91-('V06 Calend 01'!I91*('V06 Calend 01'!E91-1))),'V06 Calend 01'!I91),0))+IF((169='V06 Calend 01'!D91),'V06 Calend 01'!J91,0))</f>
        <v>0</v>
      </c>
      <c r="FZ91" s="2">
        <f>((IF((170='V06 Calend 01'!C91),('V06 Calend 01'!F91+'V06 Calend 01'!G91),0)+IF(AND(('V06 Calend 01'!E91&gt;0),(170&gt;'V06 Calend 01'!C91),(170&lt;'V06 Calend 01'!D91),(MOD((170-'V06 Calend 01'!C91),6)=0),(((170-'V06 Calend 01'!C91)/6)&lt;='V06 Calend 01'!E91)),IF((170=('V06 Calend 01'!C91+(6*'V06 Calend 01'!E91))),('V06 Calend 01'!H91-('V06 Calend 01'!I91*('V06 Calend 01'!E91-1))),'V06 Calend 01'!I91),0))+IF((170='V06 Calend 01'!D91),'V06 Calend 01'!J91,0))</f>
        <v>0</v>
      </c>
      <c r="GA91" s="2">
        <f>((IF((171='V06 Calend 01'!C91),('V06 Calend 01'!F91+'V06 Calend 01'!G91),0)+IF(AND(('V06 Calend 01'!E91&gt;0),(171&gt;'V06 Calend 01'!C91),(171&lt;'V06 Calend 01'!D91),(MOD((171-'V06 Calend 01'!C91),6)=0),(((171-'V06 Calend 01'!C91)/6)&lt;='V06 Calend 01'!E91)),IF((171=('V06 Calend 01'!C91+(6*'V06 Calend 01'!E91))),('V06 Calend 01'!H91-('V06 Calend 01'!I91*('V06 Calend 01'!E91-1))),'V06 Calend 01'!I91),0))+IF((171='V06 Calend 01'!D91),'V06 Calend 01'!J91,0))</f>
        <v>0</v>
      </c>
      <c r="GB91" s="2">
        <f>((IF((172='V06 Calend 01'!C91),('V06 Calend 01'!F91+'V06 Calend 01'!G91),0)+IF(AND(('V06 Calend 01'!E91&gt;0),(172&gt;'V06 Calend 01'!C91),(172&lt;'V06 Calend 01'!D91),(MOD((172-'V06 Calend 01'!C91),6)=0),(((172-'V06 Calend 01'!C91)/6)&lt;='V06 Calend 01'!E91)),IF((172=('V06 Calend 01'!C91+(6*'V06 Calend 01'!E91))),('V06 Calend 01'!H91-('V06 Calend 01'!I91*('V06 Calend 01'!E91-1))),'V06 Calend 01'!I91),0))+IF((172='V06 Calend 01'!D91),'V06 Calend 01'!J91,0))</f>
        <v>0</v>
      </c>
      <c r="GC91" s="2">
        <f>((IF((173='V06 Calend 01'!C91),('V06 Calend 01'!F91+'V06 Calend 01'!G91),0)+IF(AND(('V06 Calend 01'!E91&gt;0),(173&gt;'V06 Calend 01'!C91),(173&lt;'V06 Calend 01'!D91),(MOD((173-'V06 Calend 01'!C91),6)=0),(((173-'V06 Calend 01'!C91)/6)&lt;='V06 Calend 01'!E91)),IF((173=('V06 Calend 01'!C91+(6*'V06 Calend 01'!E91))),('V06 Calend 01'!H91-('V06 Calend 01'!I91*('V06 Calend 01'!E91-1))),'V06 Calend 01'!I91),0))+IF((173='V06 Calend 01'!D91),'V06 Calend 01'!J91,0))</f>
        <v>0</v>
      </c>
      <c r="GD91" s="2">
        <f>((IF((174='V06 Calend 01'!C91),('V06 Calend 01'!F91+'V06 Calend 01'!G91),0)+IF(AND(('V06 Calend 01'!E91&gt;0),(174&gt;'V06 Calend 01'!C91),(174&lt;'V06 Calend 01'!D91),(MOD((174-'V06 Calend 01'!C91),6)=0),(((174-'V06 Calend 01'!C91)/6)&lt;='V06 Calend 01'!E91)),IF((174=('V06 Calend 01'!C91+(6*'V06 Calend 01'!E91))),('V06 Calend 01'!H91-('V06 Calend 01'!I91*('V06 Calend 01'!E91-1))),'V06 Calend 01'!I91),0))+IF((174='V06 Calend 01'!D91),'V06 Calend 01'!J91,0))</f>
        <v>0</v>
      </c>
      <c r="GE91" s="2">
        <f>((IF((175='V06 Calend 01'!C91),('V06 Calend 01'!F91+'V06 Calend 01'!G91),0)+IF(AND(('V06 Calend 01'!E91&gt;0),(175&gt;'V06 Calend 01'!C91),(175&lt;'V06 Calend 01'!D91),(MOD((175-'V06 Calend 01'!C91),6)=0),(((175-'V06 Calend 01'!C91)/6)&lt;='V06 Calend 01'!E91)),IF((175=('V06 Calend 01'!C91+(6*'V06 Calend 01'!E91))),('V06 Calend 01'!H91-('V06 Calend 01'!I91*('V06 Calend 01'!E91-1))),'V06 Calend 01'!I91),0))+IF((175='V06 Calend 01'!D91),'V06 Calend 01'!J91,0))</f>
        <v>0</v>
      </c>
      <c r="GF91" s="2">
        <f>((IF((176='V06 Calend 01'!C91),('V06 Calend 01'!F91+'V06 Calend 01'!G91),0)+IF(AND(('V06 Calend 01'!E91&gt;0),(176&gt;'V06 Calend 01'!C91),(176&lt;'V06 Calend 01'!D91),(MOD((176-'V06 Calend 01'!C91),6)=0),(((176-'V06 Calend 01'!C91)/6)&lt;='V06 Calend 01'!E91)),IF((176=('V06 Calend 01'!C91+(6*'V06 Calend 01'!E91))),('V06 Calend 01'!H91-('V06 Calend 01'!I91*('V06 Calend 01'!E91-1))),'V06 Calend 01'!I91),0))+IF((176='V06 Calend 01'!D91),'V06 Calend 01'!J91,0))</f>
        <v>0</v>
      </c>
      <c r="GG91" s="2">
        <f>((IF((177='V06 Calend 01'!C91),('V06 Calend 01'!F91+'V06 Calend 01'!G91),0)+IF(AND(('V06 Calend 01'!E91&gt;0),(177&gt;'V06 Calend 01'!C91),(177&lt;'V06 Calend 01'!D91),(MOD((177-'V06 Calend 01'!C91),6)=0),(((177-'V06 Calend 01'!C91)/6)&lt;='V06 Calend 01'!E91)),IF((177=('V06 Calend 01'!C91+(6*'V06 Calend 01'!E91))),('V06 Calend 01'!H91-('V06 Calend 01'!I91*('V06 Calend 01'!E91-1))),'V06 Calend 01'!I91),0))+IF((177='V06 Calend 01'!D91),'V06 Calend 01'!J91,0))</f>
        <v>0</v>
      </c>
      <c r="GH91" s="2">
        <f>((IF((178='V06 Calend 01'!C91),('V06 Calend 01'!F91+'V06 Calend 01'!G91),0)+IF(AND(('V06 Calend 01'!E91&gt;0),(178&gt;'V06 Calend 01'!C91),(178&lt;'V06 Calend 01'!D91),(MOD((178-'V06 Calend 01'!C91),6)=0),(((178-'V06 Calend 01'!C91)/6)&lt;='V06 Calend 01'!E91)),IF((178=('V06 Calend 01'!C91+(6*'V06 Calend 01'!E91))),('V06 Calend 01'!H91-('V06 Calend 01'!I91*('V06 Calend 01'!E91-1))),'V06 Calend 01'!I91),0))+IF((178='V06 Calend 01'!D91),'V06 Calend 01'!J91,0))</f>
        <v>0</v>
      </c>
      <c r="GI91" s="2">
        <f>((IF((179='V06 Calend 01'!C91),('V06 Calend 01'!F91+'V06 Calend 01'!G91),0)+IF(AND(('V06 Calend 01'!E91&gt;0),(179&gt;'V06 Calend 01'!C91),(179&lt;'V06 Calend 01'!D91),(MOD((179-'V06 Calend 01'!C91),6)=0),(((179-'V06 Calend 01'!C91)/6)&lt;='V06 Calend 01'!E91)),IF((179=('V06 Calend 01'!C91+(6*'V06 Calend 01'!E91))),('V06 Calend 01'!H91-('V06 Calend 01'!I91*('V06 Calend 01'!E91-1))),'V06 Calend 01'!I91),0))+IF((179='V06 Calend 01'!D91),'V06 Calend 01'!J91,0))</f>
        <v>0</v>
      </c>
      <c r="GJ91" s="2">
        <f>((IF((180='V06 Calend 01'!C91),('V06 Calend 01'!F91+'V06 Calend 01'!G91),0)+IF(AND(('V06 Calend 01'!E91&gt;0),(180&gt;'V06 Calend 01'!C91),(180&lt;'V06 Calend 01'!D91),(MOD((180-'V06 Calend 01'!C91),6)=0),(((180-'V06 Calend 01'!C91)/6)&lt;='V06 Calend 01'!E91)),IF((180=('V06 Calend 01'!C91+(6*'V06 Calend 01'!E91))),('V06 Calend 01'!H91-('V06 Calend 01'!I91*('V06 Calend 01'!E91-1))),'V06 Calend 01'!I91),0))+IF((180='V06 Calend 01'!D91),'V06 Calend 01'!J91,0))</f>
        <v>0</v>
      </c>
    </row>
    <row r="92" spans="1:192">
      <c r="A92" s="3" t="str">
        <f>'V06 Unidades'!$A$92</f>
        <v>1008</v>
      </c>
      <c r="B92" s="2">
        <f>'V06 Unidades'!$H$92</f>
        <v>500561.22</v>
      </c>
      <c r="C92" s="4">
        <f>('V06 Unidades'!$I$92+'V06 Controlos'!$B$37)</f>
        <v>19</v>
      </c>
      <c r="D92" s="4">
        <f>IF(('V06 Controlos'!$B$38&gt;0),MAX(('V06 Unidades'!$L$92+'V06 Controlos'!$B$37),(30+'V06 Controlos'!$B$38)),('V06 Unidades'!$L$92+'V06 Controlos'!$B$37))</f>
        <v>28</v>
      </c>
      <c r="E92" s="4">
        <f>MAX(0,INT(((('V06 Calend 01'!D92-'V06 Calend 01'!C92)-1)/6)))</f>
        <v>1</v>
      </c>
      <c r="F92" s="2">
        <f>ROUND(('V06 Calend 01'!B92*0.05),2)</f>
        <v>25028.06</v>
      </c>
      <c r="G92" s="2">
        <f>ROUND(('V06 Calend 01'!B92*0.2),2)</f>
        <v>100112.24</v>
      </c>
      <c r="H92" s="2">
        <f>ROUND(('V06 Calend 01'!B92*0.55),2)</f>
        <v>275308.67</v>
      </c>
      <c r="I92" s="2">
        <f>ROUND(('V06 Calend 01'!H92/MAX(1,'V06 Calend 01'!E92)),2)</f>
        <v>275308.67</v>
      </c>
      <c r="J92" s="2">
        <f>((('V06 Calend 01'!B92-'V06 Calend 01'!F92)-'V06 Calend 01'!G92)-'V06 Calend 01'!H92)</f>
        <v>100112.25</v>
      </c>
      <c r="K92" s="2">
        <f>('V06 Calend 01'!B92*0.025)</f>
        <v>12514.0305</v>
      </c>
      <c r="L92" t="s">
        <v>378</v>
      </c>
      <c r="M92" s="2">
        <f>((IF((1='V06 Calend 01'!C92),('V06 Calend 01'!F92+'V06 Calend 01'!G92),0)+IF(AND(('V06 Calend 01'!E92&gt;0),(1&gt;'V06 Calend 01'!C92),(1&lt;'V06 Calend 01'!D92),(MOD((1-'V06 Calend 01'!C92),6)=0),(((1-'V06 Calend 01'!C92)/6)&lt;='V06 Calend 01'!E92)),IF((1=('V06 Calend 01'!C92+(6*'V06 Calend 01'!E92))),('V06 Calend 01'!H92-('V06 Calend 01'!I92*('V06 Calend 01'!E92-1))),'V06 Calend 01'!I92),0))+IF((1='V06 Calend 01'!D92),'V06 Calend 01'!J92,0))</f>
        <v>0</v>
      </c>
      <c r="N92" s="2">
        <f>((IF((2='V06 Calend 01'!C92),('V06 Calend 01'!F92+'V06 Calend 01'!G92),0)+IF(AND(('V06 Calend 01'!E92&gt;0),(2&gt;'V06 Calend 01'!C92),(2&lt;'V06 Calend 01'!D92),(MOD((2-'V06 Calend 01'!C92),6)=0),(((2-'V06 Calend 01'!C92)/6)&lt;='V06 Calend 01'!E92)),IF((2=('V06 Calend 01'!C92+(6*'V06 Calend 01'!E92))),('V06 Calend 01'!H92-('V06 Calend 01'!I92*('V06 Calend 01'!E92-1))),'V06 Calend 01'!I92),0))+IF((2='V06 Calend 01'!D92),'V06 Calend 01'!J92,0))</f>
        <v>0</v>
      </c>
      <c r="O92" s="2">
        <f>((IF((3='V06 Calend 01'!C92),('V06 Calend 01'!F92+'V06 Calend 01'!G92),0)+IF(AND(('V06 Calend 01'!E92&gt;0),(3&gt;'V06 Calend 01'!C92),(3&lt;'V06 Calend 01'!D92),(MOD((3-'V06 Calend 01'!C92),6)=0),(((3-'V06 Calend 01'!C92)/6)&lt;='V06 Calend 01'!E92)),IF((3=('V06 Calend 01'!C92+(6*'V06 Calend 01'!E92))),('V06 Calend 01'!H92-('V06 Calend 01'!I92*('V06 Calend 01'!E92-1))),'V06 Calend 01'!I92),0))+IF((3='V06 Calend 01'!D92),'V06 Calend 01'!J92,0))</f>
        <v>0</v>
      </c>
      <c r="P92" s="2">
        <f>((IF((4='V06 Calend 01'!C92),('V06 Calend 01'!F92+'V06 Calend 01'!G92),0)+IF(AND(('V06 Calend 01'!E92&gt;0),(4&gt;'V06 Calend 01'!C92),(4&lt;'V06 Calend 01'!D92),(MOD((4-'V06 Calend 01'!C92),6)=0),(((4-'V06 Calend 01'!C92)/6)&lt;='V06 Calend 01'!E92)),IF((4=('V06 Calend 01'!C92+(6*'V06 Calend 01'!E92))),('V06 Calend 01'!H92-('V06 Calend 01'!I92*('V06 Calend 01'!E92-1))),'V06 Calend 01'!I92),0))+IF((4='V06 Calend 01'!D92),'V06 Calend 01'!J92,0))</f>
        <v>0</v>
      </c>
      <c r="Q92" s="2">
        <f>((IF((5='V06 Calend 01'!C92),('V06 Calend 01'!F92+'V06 Calend 01'!G92),0)+IF(AND(('V06 Calend 01'!E92&gt;0),(5&gt;'V06 Calend 01'!C92),(5&lt;'V06 Calend 01'!D92),(MOD((5-'V06 Calend 01'!C92),6)=0),(((5-'V06 Calend 01'!C92)/6)&lt;='V06 Calend 01'!E92)),IF((5=('V06 Calend 01'!C92+(6*'V06 Calend 01'!E92))),('V06 Calend 01'!H92-('V06 Calend 01'!I92*('V06 Calend 01'!E92-1))),'V06 Calend 01'!I92),0))+IF((5='V06 Calend 01'!D92),'V06 Calend 01'!J92,0))</f>
        <v>0</v>
      </c>
      <c r="R92" s="2">
        <f>((IF((6='V06 Calend 01'!C92),('V06 Calend 01'!F92+'V06 Calend 01'!G92),0)+IF(AND(('V06 Calend 01'!E92&gt;0),(6&gt;'V06 Calend 01'!C92),(6&lt;'V06 Calend 01'!D92),(MOD((6-'V06 Calend 01'!C92),6)=0),(((6-'V06 Calend 01'!C92)/6)&lt;='V06 Calend 01'!E92)),IF((6=('V06 Calend 01'!C92+(6*'V06 Calend 01'!E92))),('V06 Calend 01'!H92-('V06 Calend 01'!I92*('V06 Calend 01'!E92-1))),'V06 Calend 01'!I92),0))+IF((6='V06 Calend 01'!D92),'V06 Calend 01'!J92,0))</f>
        <v>0</v>
      </c>
      <c r="S92" s="2">
        <f>((IF((7='V06 Calend 01'!C92),('V06 Calend 01'!F92+'V06 Calend 01'!G92),0)+IF(AND(('V06 Calend 01'!E92&gt;0),(7&gt;'V06 Calend 01'!C92),(7&lt;'V06 Calend 01'!D92),(MOD((7-'V06 Calend 01'!C92),6)=0),(((7-'V06 Calend 01'!C92)/6)&lt;='V06 Calend 01'!E92)),IF((7=('V06 Calend 01'!C92+(6*'V06 Calend 01'!E92))),('V06 Calend 01'!H92-('V06 Calend 01'!I92*('V06 Calend 01'!E92-1))),'V06 Calend 01'!I92),0))+IF((7='V06 Calend 01'!D92),'V06 Calend 01'!J92,0))</f>
        <v>0</v>
      </c>
      <c r="T92" s="2">
        <f>((IF((8='V06 Calend 01'!C92),('V06 Calend 01'!F92+'V06 Calend 01'!G92),0)+IF(AND(('V06 Calend 01'!E92&gt;0),(8&gt;'V06 Calend 01'!C92),(8&lt;'V06 Calend 01'!D92),(MOD((8-'V06 Calend 01'!C92),6)=0),(((8-'V06 Calend 01'!C92)/6)&lt;='V06 Calend 01'!E92)),IF((8=('V06 Calend 01'!C92+(6*'V06 Calend 01'!E92))),('V06 Calend 01'!H92-('V06 Calend 01'!I92*('V06 Calend 01'!E92-1))),'V06 Calend 01'!I92),0))+IF((8='V06 Calend 01'!D92),'V06 Calend 01'!J92,0))</f>
        <v>0</v>
      </c>
      <c r="U92" s="2">
        <f>((IF((9='V06 Calend 01'!C92),('V06 Calend 01'!F92+'V06 Calend 01'!G92),0)+IF(AND(('V06 Calend 01'!E92&gt;0),(9&gt;'V06 Calend 01'!C92),(9&lt;'V06 Calend 01'!D92),(MOD((9-'V06 Calend 01'!C92),6)=0),(((9-'V06 Calend 01'!C92)/6)&lt;='V06 Calend 01'!E92)),IF((9=('V06 Calend 01'!C92+(6*'V06 Calend 01'!E92))),('V06 Calend 01'!H92-('V06 Calend 01'!I92*('V06 Calend 01'!E92-1))),'V06 Calend 01'!I92),0))+IF((9='V06 Calend 01'!D92),'V06 Calend 01'!J92,0))</f>
        <v>0</v>
      </c>
      <c r="V92" s="2">
        <f>((IF((10='V06 Calend 01'!C92),('V06 Calend 01'!F92+'V06 Calend 01'!G92),0)+IF(AND(('V06 Calend 01'!E92&gt;0),(10&gt;'V06 Calend 01'!C92),(10&lt;'V06 Calend 01'!D92),(MOD((10-'V06 Calend 01'!C92),6)=0),(((10-'V06 Calend 01'!C92)/6)&lt;='V06 Calend 01'!E92)),IF((10=('V06 Calend 01'!C92+(6*'V06 Calend 01'!E92))),('V06 Calend 01'!H92-('V06 Calend 01'!I92*('V06 Calend 01'!E92-1))),'V06 Calend 01'!I92),0))+IF((10='V06 Calend 01'!D92),'V06 Calend 01'!J92,0))</f>
        <v>0</v>
      </c>
      <c r="W92" s="2">
        <f>((IF((11='V06 Calend 01'!C92),('V06 Calend 01'!F92+'V06 Calend 01'!G92),0)+IF(AND(('V06 Calend 01'!E92&gt;0),(11&gt;'V06 Calend 01'!C92),(11&lt;'V06 Calend 01'!D92),(MOD((11-'V06 Calend 01'!C92),6)=0),(((11-'V06 Calend 01'!C92)/6)&lt;='V06 Calend 01'!E92)),IF((11=('V06 Calend 01'!C92+(6*'V06 Calend 01'!E92))),('V06 Calend 01'!H92-('V06 Calend 01'!I92*('V06 Calend 01'!E92-1))),'V06 Calend 01'!I92),0))+IF((11='V06 Calend 01'!D92),'V06 Calend 01'!J92,0))</f>
        <v>0</v>
      </c>
      <c r="X92" s="2">
        <f>((IF((12='V06 Calend 01'!C92),('V06 Calend 01'!F92+'V06 Calend 01'!G92),0)+IF(AND(('V06 Calend 01'!E92&gt;0),(12&gt;'V06 Calend 01'!C92),(12&lt;'V06 Calend 01'!D92),(MOD((12-'V06 Calend 01'!C92),6)=0),(((12-'V06 Calend 01'!C92)/6)&lt;='V06 Calend 01'!E92)),IF((12=('V06 Calend 01'!C92+(6*'V06 Calend 01'!E92))),('V06 Calend 01'!H92-('V06 Calend 01'!I92*('V06 Calend 01'!E92-1))),'V06 Calend 01'!I92),0))+IF((12='V06 Calend 01'!D92),'V06 Calend 01'!J92,0))</f>
        <v>0</v>
      </c>
      <c r="Y92" s="2">
        <f>((IF((13='V06 Calend 01'!C92),('V06 Calend 01'!F92+'V06 Calend 01'!G92),0)+IF(AND(('V06 Calend 01'!E92&gt;0),(13&gt;'V06 Calend 01'!C92),(13&lt;'V06 Calend 01'!D92),(MOD((13-'V06 Calend 01'!C92),6)=0),(((13-'V06 Calend 01'!C92)/6)&lt;='V06 Calend 01'!E92)),IF((13=('V06 Calend 01'!C92+(6*'V06 Calend 01'!E92))),('V06 Calend 01'!H92-('V06 Calend 01'!I92*('V06 Calend 01'!E92-1))),'V06 Calend 01'!I92),0))+IF((13='V06 Calend 01'!D92),'V06 Calend 01'!J92,0))</f>
        <v>0</v>
      </c>
      <c r="Z92" s="2">
        <f>((IF((14='V06 Calend 01'!C92),('V06 Calend 01'!F92+'V06 Calend 01'!G92),0)+IF(AND(('V06 Calend 01'!E92&gt;0),(14&gt;'V06 Calend 01'!C92),(14&lt;'V06 Calend 01'!D92),(MOD((14-'V06 Calend 01'!C92),6)=0),(((14-'V06 Calend 01'!C92)/6)&lt;='V06 Calend 01'!E92)),IF((14=('V06 Calend 01'!C92+(6*'V06 Calend 01'!E92))),('V06 Calend 01'!H92-('V06 Calend 01'!I92*('V06 Calend 01'!E92-1))),'V06 Calend 01'!I92),0))+IF((14='V06 Calend 01'!D92),'V06 Calend 01'!J92,0))</f>
        <v>0</v>
      </c>
      <c r="AA92" s="2">
        <f>((IF((15='V06 Calend 01'!C92),('V06 Calend 01'!F92+'V06 Calend 01'!G92),0)+IF(AND(('V06 Calend 01'!E92&gt;0),(15&gt;'V06 Calend 01'!C92),(15&lt;'V06 Calend 01'!D92),(MOD((15-'V06 Calend 01'!C92),6)=0),(((15-'V06 Calend 01'!C92)/6)&lt;='V06 Calend 01'!E92)),IF((15=('V06 Calend 01'!C92+(6*'V06 Calend 01'!E92))),('V06 Calend 01'!H92-('V06 Calend 01'!I92*('V06 Calend 01'!E92-1))),'V06 Calend 01'!I92),0))+IF((15='V06 Calend 01'!D92),'V06 Calend 01'!J92,0))</f>
        <v>0</v>
      </c>
      <c r="AB92" s="2">
        <f>((IF((16='V06 Calend 01'!C92),('V06 Calend 01'!F92+'V06 Calend 01'!G92),0)+IF(AND(('V06 Calend 01'!E92&gt;0),(16&gt;'V06 Calend 01'!C92),(16&lt;'V06 Calend 01'!D92),(MOD((16-'V06 Calend 01'!C92),6)=0),(((16-'V06 Calend 01'!C92)/6)&lt;='V06 Calend 01'!E92)),IF((16=('V06 Calend 01'!C92+(6*'V06 Calend 01'!E92))),('V06 Calend 01'!H92-('V06 Calend 01'!I92*('V06 Calend 01'!E92-1))),'V06 Calend 01'!I92),0))+IF((16='V06 Calend 01'!D92),'V06 Calend 01'!J92,0))</f>
        <v>0</v>
      </c>
      <c r="AC92" s="2">
        <f>((IF((17='V06 Calend 01'!C92),('V06 Calend 01'!F92+'V06 Calend 01'!G92),0)+IF(AND(('V06 Calend 01'!E92&gt;0),(17&gt;'V06 Calend 01'!C92),(17&lt;'V06 Calend 01'!D92),(MOD((17-'V06 Calend 01'!C92),6)=0),(((17-'V06 Calend 01'!C92)/6)&lt;='V06 Calend 01'!E92)),IF((17=('V06 Calend 01'!C92+(6*'V06 Calend 01'!E92))),('V06 Calend 01'!H92-('V06 Calend 01'!I92*('V06 Calend 01'!E92-1))),'V06 Calend 01'!I92),0))+IF((17='V06 Calend 01'!D92),'V06 Calend 01'!J92,0))</f>
        <v>0</v>
      </c>
      <c r="AD92" s="2">
        <f>((IF((18='V06 Calend 01'!C92),('V06 Calend 01'!F92+'V06 Calend 01'!G92),0)+IF(AND(('V06 Calend 01'!E92&gt;0),(18&gt;'V06 Calend 01'!C92),(18&lt;'V06 Calend 01'!D92),(MOD((18-'V06 Calend 01'!C92),6)=0),(((18-'V06 Calend 01'!C92)/6)&lt;='V06 Calend 01'!E92)),IF((18=('V06 Calend 01'!C92+(6*'V06 Calend 01'!E92))),('V06 Calend 01'!H92-('V06 Calend 01'!I92*('V06 Calend 01'!E92-1))),'V06 Calend 01'!I92),0))+IF((18='V06 Calend 01'!D92),'V06 Calend 01'!J92,0))</f>
        <v>0</v>
      </c>
      <c r="AE92" s="2">
        <f>((IF((19='V06 Calend 01'!C92),('V06 Calend 01'!F92+'V06 Calend 01'!G92),0)+IF(AND(('V06 Calend 01'!E92&gt;0),(19&gt;'V06 Calend 01'!C92),(19&lt;'V06 Calend 01'!D92),(MOD((19-'V06 Calend 01'!C92),6)=0),(((19-'V06 Calend 01'!C92)/6)&lt;='V06 Calend 01'!E92)),IF((19=('V06 Calend 01'!C92+(6*'V06 Calend 01'!E92))),('V06 Calend 01'!H92-('V06 Calend 01'!I92*('V06 Calend 01'!E92-1))),'V06 Calend 01'!I92),0))+IF((19='V06 Calend 01'!D92),'V06 Calend 01'!J92,0))</f>
        <v>125140.3</v>
      </c>
      <c r="AF92" s="2">
        <f>((IF((20='V06 Calend 01'!C92),('V06 Calend 01'!F92+'V06 Calend 01'!G92),0)+IF(AND(('V06 Calend 01'!E92&gt;0),(20&gt;'V06 Calend 01'!C92),(20&lt;'V06 Calend 01'!D92),(MOD((20-'V06 Calend 01'!C92),6)=0),(((20-'V06 Calend 01'!C92)/6)&lt;='V06 Calend 01'!E92)),IF((20=('V06 Calend 01'!C92+(6*'V06 Calend 01'!E92))),('V06 Calend 01'!H92-('V06 Calend 01'!I92*('V06 Calend 01'!E92-1))),'V06 Calend 01'!I92),0))+IF((20='V06 Calend 01'!D92),'V06 Calend 01'!J92,0))</f>
        <v>0</v>
      </c>
      <c r="AG92" s="2">
        <f>((IF((21='V06 Calend 01'!C92),('V06 Calend 01'!F92+'V06 Calend 01'!G92),0)+IF(AND(('V06 Calend 01'!E92&gt;0),(21&gt;'V06 Calend 01'!C92),(21&lt;'V06 Calend 01'!D92),(MOD((21-'V06 Calend 01'!C92),6)=0),(((21-'V06 Calend 01'!C92)/6)&lt;='V06 Calend 01'!E92)),IF((21=('V06 Calend 01'!C92+(6*'V06 Calend 01'!E92))),('V06 Calend 01'!H92-('V06 Calend 01'!I92*('V06 Calend 01'!E92-1))),'V06 Calend 01'!I92),0))+IF((21='V06 Calend 01'!D92),'V06 Calend 01'!J92,0))</f>
        <v>0</v>
      </c>
      <c r="AH92" s="2">
        <f>((IF((22='V06 Calend 01'!C92),('V06 Calend 01'!F92+'V06 Calend 01'!G92),0)+IF(AND(('V06 Calend 01'!E92&gt;0),(22&gt;'V06 Calend 01'!C92),(22&lt;'V06 Calend 01'!D92),(MOD((22-'V06 Calend 01'!C92),6)=0),(((22-'V06 Calend 01'!C92)/6)&lt;='V06 Calend 01'!E92)),IF((22=('V06 Calend 01'!C92+(6*'V06 Calend 01'!E92))),('V06 Calend 01'!H92-('V06 Calend 01'!I92*('V06 Calend 01'!E92-1))),'V06 Calend 01'!I92),0))+IF((22='V06 Calend 01'!D92),'V06 Calend 01'!J92,0))</f>
        <v>0</v>
      </c>
      <c r="AI92" s="2">
        <f>((IF((23='V06 Calend 01'!C92),('V06 Calend 01'!F92+'V06 Calend 01'!G92),0)+IF(AND(('V06 Calend 01'!E92&gt;0),(23&gt;'V06 Calend 01'!C92),(23&lt;'V06 Calend 01'!D92),(MOD((23-'V06 Calend 01'!C92),6)=0),(((23-'V06 Calend 01'!C92)/6)&lt;='V06 Calend 01'!E92)),IF((23=('V06 Calend 01'!C92+(6*'V06 Calend 01'!E92))),('V06 Calend 01'!H92-('V06 Calend 01'!I92*('V06 Calend 01'!E92-1))),'V06 Calend 01'!I92),0))+IF((23='V06 Calend 01'!D92),'V06 Calend 01'!J92,0))</f>
        <v>0</v>
      </c>
      <c r="AJ92" s="2">
        <f>((IF((24='V06 Calend 01'!C92),('V06 Calend 01'!F92+'V06 Calend 01'!G92),0)+IF(AND(('V06 Calend 01'!E92&gt;0),(24&gt;'V06 Calend 01'!C92),(24&lt;'V06 Calend 01'!D92),(MOD((24-'V06 Calend 01'!C92),6)=0),(((24-'V06 Calend 01'!C92)/6)&lt;='V06 Calend 01'!E92)),IF((24=('V06 Calend 01'!C92+(6*'V06 Calend 01'!E92))),('V06 Calend 01'!H92-('V06 Calend 01'!I92*('V06 Calend 01'!E92-1))),'V06 Calend 01'!I92),0))+IF((24='V06 Calend 01'!D92),'V06 Calend 01'!J92,0))</f>
        <v>0</v>
      </c>
      <c r="AK92" s="2">
        <f>((IF((25='V06 Calend 01'!C92),('V06 Calend 01'!F92+'V06 Calend 01'!G92),0)+IF(AND(('V06 Calend 01'!E92&gt;0),(25&gt;'V06 Calend 01'!C92),(25&lt;'V06 Calend 01'!D92),(MOD((25-'V06 Calend 01'!C92),6)=0),(((25-'V06 Calend 01'!C92)/6)&lt;='V06 Calend 01'!E92)),IF((25=('V06 Calend 01'!C92+(6*'V06 Calend 01'!E92))),('V06 Calend 01'!H92-('V06 Calend 01'!I92*('V06 Calend 01'!E92-1))),'V06 Calend 01'!I92),0))+IF((25='V06 Calend 01'!D92),'V06 Calend 01'!J92,0))</f>
        <v>275308.67</v>
      </c>
      <c r="AL92" s="2">
        <f>((IF((26='V06 Calend 01'!C92),('V06 Calend 01'!F92+'V06 Calend 01'!G92),0)+IF(AND(('V06 Calend 01'!E92&gt;0),(26&gt;'V06 Calend 01'!C92),(26&lt;'V06 Calend 01'!D92),(MOD((26-'V06 Calend 01'!C92),6)=0),(((26-'V06 Calend 01'!C92)/6)&lt;='V06 Calend 01'!E92)),IF((26=('V06 Calend 01'!C92+(6*'V06 Calend 01'!E92))),('V06 Calend 01'!H92-('V06 Calend 01'!I92*('V06 Calend 01'!E92-1))),'V06 Calend 01'!I92),0))+IF((26='V06 Calend 01'!D92),'V06 Calend 01'!J92,0))</f>
        <v>0</v>
      </c>
      <c r="AM92" s="2">
        <f>((IF((27='V06 Calend 01'!C92),('V06 Calend 01'!F92+'V06 Calend 01'!G92),0)+IF(AND(('V06 Calend 01'!E92&gt;0),(27&gt;'V06 Calend 01'!C92),(27&lt;'V06 Calend 01'!D92),(MOD((27-'V06 Calend 01'!C92),6)=0),(((27-'V06 Calend 01'!C92)/6)&lt;='V06 Calend 01'!E92)),IF((27=('V06 Calend 01'!C92+(6*'V06 Calend 01'!E92))),('V06 Calend 01'!H92-('V06 Calend 01'!I92*('V06 Calend 01'!E92-1))),'V06 Calend 01'!I92),0))+IF((27='V06 Calend 01'!D92),'V06 Calend 01'!J92,0))</f>
        <v>0</v>
      </c>
      <c r="AN92" s="2">
        <f>((IF((28='V06 Calend 01'!C92),('V06 Calend 01'!F92+'V06 Calend 01'!G92),0)+IF(AND(('V06 Calend 01'!E92&gt;0),(28&gt;'V06 Calend 01'!C92),(28&lt;'V06 Calend 01'!D92),(MOD((28-'V06 Calend 01'!C92),6)=0),(((28-'V06 Calend 01'!C92)/6)&lt;='V06 Calend 01'!E92)),IF((28=('V06 Calend 01'!C92+(6*'V06 Calend 01'!E92))),('V06 Calend 01'!H92-('V06 Calend 01'!I92*('V06 Calend 01'!E92-1))),'V06 Calend 01'!I92),0))+IF((28='V06 Calend 01'!D92),'V06 Calend 01'!J92,0))</f>
        <v>100112.25</v>
      </c>
      <c r="AO92" s="2">
        <f>((IF((29='V06 Calend 01'!C92),('V06 Calend 01'!F92+'V06 Calend 01'!G92),0)+IF(AND(('V06 Calend 01'!E92&gt;0),(29&gt;'V06 Calend 01'!C92),(29&lt;'V06 Calend 01'!D92),(MOD((29-'V06 Calend 01'!C92),6)=0),(((29-'V06 Calend 01'!C92)/6)&lt;='V06 Calend 01'!E92)),IF((29=('V06 Calend 01'!C92+(6*'V06 Calend 01'!E92))),('V06 Calend 01'!H92-('V06 Calend 01'!I92*('V06 Calend 01'!E92-1))),'V06 Calend 01'!I92),0))+IF((29='V06 Calend 01'!D92),'V06 Calend 01'!J92,0))</f>
        <v>0</v>
      </c>
      <c r="AP92" s="2">
        <f>((IF((30='V06 Calend 01'!C92),('V06 Calend 01'!F92+'V06 Calend 01'!G92),0)+IF(AND(('V06 Calend 01'!E92&gt;0),(30&gt;'V06 Calend 01'!C92),(30&lt;'V06 Calend 01'!D92),(MOD((30-'V06 Calend 01'!C92),6)=0),(((30-'V06 Calend 01'!C92)/6)&lt;='V06 Calend 01'!E92)),IF((30=('V06 Calend 01'!C92+(6*'V06 Calend 01'!E92))),('V06 Calend 01'!H92-('V06 Calend 01'!I92*('V06 Calend 01'!E92-1))),'V06 Calend 01'!I92),0))+IF((30='V06 Calend 01'!D92),'V06 Calend 01'!J92,0))</f>
        <v>0</v>
      </c>
      <c r="AQ92" s="2">
        <f>((IF((31='V06 Calend 01'!C92),('V06 Calend 01'!F92+'V06 Calend 01'!G92),0)+IF(AND(('V06 Calend 01'!E92&gt;0),(31&gt;'V06 Calend 01'!C92),(31&lt;'V06 Calend 01'!D92),(MOD((31-'V06 Calend 01'!C92),6)=0),(((31-'V06 Calend 01'!C92)/6)&lt;='V06 Calend 01'!E92)),IF((31=('V06 Calend 01'!C92+(6*'V06 Calend 01'!E92))),('V06 Calend 01'!H92-('V06 Calend 01'!I92*('V06 Calend 01'!E92-1))),'V06 Calend 01'!I92),0))+IF((31='V06 Calend 01'!D92),'V06 Calend 01'!J92,0))</f>
        <v>0</v>
      </c>
      <c r="AR92" s="2">
        <f>((IF((32='V06 Calend 01'!C92),('V06 Calend 01'!F92+'V06 Calend 01'!G92),0)+IF(AND(('V06 Calend 01'!E92&gt;0),(32&gt;'V06 Calend 01'!C92),(32&lt;'V06 Calend 01'!D92),(MOD((32-'V06 Calend 01'!C92),6)=0),(((32-'V06 Calend 01'!C92)/6)&lt;='V06 Calend 01'!E92)),IF((32=('V06 Calend 01'!C92+(6*'V06 Calend 01'!E92))),('V06 Calend 01'!H92-('V06 Calend 01'!I92*('V06 Calend 01'!E92-1))),'V06 Calend 01'!I92),0))+IF((32='V06 Calend 01'!D92),'V06 Calend 01'!J92,0))</f>
        <v>0</v>
      </c>
      <c r="AS92" s="2">
        <f>((IF((33='V06 Calend 01'!C92),('V06 Calend 01'!F92+'V06 Calend 01'!G92),0)+IF(AND(('V06 Calend 01'!E92&gt;0),(33&gt;'V06 Calend 01'!C92),(33&lt;'V06 Calend 01'!D92),(MOD((33-'V06 Calend 01'!C92),6)=0),(((33-'V06 Calend 01'!C92)/6)&lt;='V06 Calend 01'!E92)),IF((33=('V06 Calend 01'!C92+(6*'V06 Calend 01'!E92))),('V06 Calend 01'!H92-('V06 Calend 01'!I92*('V06 Calend 01'!E92-1))),'V06 Calend 01'!I92),0))+IF((33='V06 Calend 01'!D92),'V06 Calend 01'!J92,0))</f>
        <v>0</v>
      </c>
      <c r="AT92" s="2">
        <f>((IF((34='V06 Calend 01'!C92),('V06 Calend 01'!F92+'V06 Calend 01'!G92),0)+IF(AND(('V06 Calend 01'!E92&gt;0),(34&gt;'V06 Calend 01'!C92),(34&lt;'V06 Calend 01'!D92),(MOD((34-'V06 Calend 01'!C92),6)=0),(((34-'V06 Calend 01'!C92)/6)&lt;='V06 Calend 01'!E92)),IF((34=('V06 Calend 01'!C92+(6*'V06 Calend 01'!E92))),('V06 Calend 01'!H92-('V06 Calend 01'!I92*('V06 Calend 01'!E92-1))),'V06 Calend 01'!I92),0))+IF((34='V06 Calend 01'!D92),'V06 Calend 01'!J92,0))</f>
        <v>0</v>
      </c>
      <c r="AU92" s="2">
        <f>((IF((35='V06 Calend 01'!C92),('V06 Calend 01'!F92+'V06 Calend 01'!G92),0)+IF(AND(('V06 Calend 01'!E92&gt;0),(35&gt;'V06 Calend 01'!C92),(35&lt;'V06 Calend 01'!D92),(MOD((35-'V06 Calend 01'!C92),6)=0),(((35-'V06 Calend 01'!C92)/6)&lt;='V06 Calend 01'!E92)),IF((35=('V06 Calend 01'!C92+(6*'V06 Calend 01'!E92))),('V06 Calend 01'!H92-('V06 Calend 01'!I92*('V06 Calend 01'!E92-1))),'V06 Calend 01'!I92),0))+IF((35='V06 Calend 01'!D92),'V06 Calend 01'!J92,0))</f>
        <v>0</v>
      </c>
      <c r="AV92" s="2">
        <f>((IF((36='V06 Calend 01'!C92),('V06 Calend 01'!F92+'V06 Calend 01'!G92),0)+IF(AND(('V06 Calend 01'!E92&gt;0),(36&gt;'V06 Calend 01'!C92),(36&lt;'V06 Calend 01'!D92),(MOD((36-'V06 Calend 01'!C92),6)=0),(((36-'V06 Calend 01'!C92)/6)&lt;='V06 Calend 01'!E92)),IF((36=('V06 Calend 01'!C92+(6*'V06 Calend 01'!E92))),('V06 Calend 01'!H92-('V06 Calend 01'!I92*('V06 Calend 01'!E92-1))),'V06 Calend 01'!I92),0))+IF((36='V06 Calend 01'!D92),'V06 Calend 01'!J92,0))</f>
        <v>0</v>
      </c>
      <c r="AW92" s="2">
        <f>((IF((37='V06 Calend 01'!C92),('V06 Calend 01'!F92+'V06 Calend 01'!G92),0)+IF(AND(('V06 Calend 01'!E92&gt;0),(37&gt;'V06 Calend 01'!C92),(37&lt;'V06 Calend 01'!D92),(MOD((37-'V06 Calend 01'!C92),6)=0),(((37-'V06 Calend 01'!C92)/6)&lt;='V06 Calend 01'!E92)),IF((37=('V06 Calend 01'!C92+(6*'V06 Calend 01'!E92))),('V06 Calend 01'!H92-('V06 Calend 01'!I92*('V06 Calend 01'!E92-1))),'V06 Calend 01'!I92),0))+IF((37='V06 Calend 01'!D92),'V06 Calend 01'!J92,0))</f>
        <v>0</v>
      </c>
      <c r="AX92" s="2">
        <f>((IF((38='V06 Calend 01'!C92),('V06 Calend 01'!F92+'V06 Calend 01'!G92),0)+IF(AND(('V06 Calend 01'!E92&gt;0),(38&gt;'V06 Calend 01'!C92),(38&lt;'V06 Calend 01'!D92),(MOD((38-'V06 Calend 01'!C92),6)=0),(((38-'V06 Calend 01'!C92)/6)&lt;='V06 Calend 01'!E92)),IF((38=('V06 Calend 01'!C92+(6*'V06 Calend 01'!E92))),('V06 Calend 01'!H92-('V06 Calend 01'!I92*('V06 Calend 01'!E92-1))),'V06 Calend 01'!I92),0))+IF((38='V06 Calend 01'!D92),'V06 Calend 01'!J92,0))</f>
        <v>0</v>
      </c>
      <c r="AY92" s="2">
        <f>((IF((39='V06 Calend 01'!C92),('V06 Calend 01'!F92+'V06 Calend 01'!G92),0)+IF(AND(('V06 Calend 01'!E92&gt;0),(39&gt;'V06 Calend 01'!C92),(39&lt;'V06 Calend 01'!D92),(MOD((39-'V06 Calend 01'!C92),6)=0),(((39-'V06 Calend 01'!C92)/6)&lt;='V06 Calend 01'!E92)),IF((39=('V06 Calend 01'!C92+(6*'V06 Calend 01'!E92))),('V06 Calend 01'!H92-('V06 Calend 01'!I92*('V06 Calend 01'!E92-1))),'V06 Calend 01'!I92),0))+IF((39='V06 Calend 01'!D92),'V06 Calend 01'!J92,0))</f>
        <v>0</v>
      </c>
      <c r="AZ92" s="2">
        <f>((IF((40='V06 Calend 01'!C92),('V06 Calend 01'!F92+'V06 Calend 01'!G92),0)+IF(AND(('V06 Calend 01'!E92&gt;0),(40&gt;'V06 Calend 01'!C92),(40&lt;'V06 Calend 01'!D92),(MOD((40-'V06 Calend 01'!C92),6)=0),(((40-'V06 Calend 01'!C92)/6)&lt;='V06 Calend 01'!E92)),IF((40=('V06 Calend 01'!C92+(6*'V06 Calend 01'!E92))),('V06 Calend 01'!H92-('V06 Calend 01'!I92*('V06 Calend 01'!E92-1))),'V06 Calend 01'!I92),0))+IF((40='V06 Calend 01'!D92),'V06 Calend 01'!J92,0))</f>
        <v>0</v>
      </c>
      <c r="BA92" s="2">
        <f>((IF((41='V06 Calend 01'!C92),('V06 Calend 01'!F92+'V06 Calend 01'!G92),0)+IF(AND(('V06 Calend 01'!E92&gt;0),(41&gt;'V06 Calend 01'!C92),(41&lt;'V06 Calend 01'!D92),(MOD((41-'V06 Calend 01'!C92),6)=0),(((41-'V06 Calend 01'!C92)/6)&lt;='V06 Calend 01'!E92)),IF((41=('V06 Calend 01'!C92+(6*'V06 Calend 01'!E92))),('V06 Calend 01'!H92-('V06 Calend 01'!I92*('V06 Calend 01'!E92-1))),'V06 Calend 01'!I92),0))+IF((41='V06 Calend 01'!D92),'V06 Calend 01'!J92,0))</f>
        <v>0</v>
      </c>
      <c r="BB92" s="2">
        <f>((IF((42='V06 Calend 01'!C92),('V06 Calend 01'!F92+'V06 Calend 01'!G92),0)+IF(AND(('V06 Calend 01'!E92&gt;0),(42&gt;'V06 Calend 01'!C92),(42&lt;'V06 Calend 01'!D92),(MOD((42-'V06 Calend 01'!C92),6)=0),(((42-'V06 Calend 01'!C92)/6)&lt;='V06 Calend 01'!E92)),IF((42=('V06 Calend 01'!C92+(6*'V06 Calend 01'!E92))),('V06 Calend 01'!H92-('V06 Calend 01'!I92*('V06 Calend 01'!E92-1))),'V06 Calend 01'!I92),0))+IF((42='V06 Calend 01'!D92),'V06 Calend 01'!J92,0))</f>
        <v>0</v>
      </c>
      <c r="BC92" s="2">
        <f>((IF((43='V06 Calend 01'!C92),('V06 Calend 01'!F92+'V06 Calend 01'!G92),0)+IF(AND(('V06 Calend 01'!E92&gt;0),(43&gt;'V06 Calend 01'!C92),(43&lt;'V06 Calend 01'!D92),(MOD((43-'V06 Calend 01'!C92),6)=0),(((43-'V06 Calend 01'!C92)/6)&lt;='V06 Calend 01'!E92)),IF((43=('V06 Calend 01'!C92+(6*'V06 Calend 01'!E92))),('V06 Calend 01'!H92-('V06 Calend 01'!I92*('V06 Calend 01'!E92-1))),'V06 Calend 01'!I92),0))+IF((43='V06 Calend 01'!D92),'V06 Calend 01'!J92,0))</f>
        <v>0</v>
      </c>
      <c r="BD92" s="2">
        <f>((IF((44='V06 Calend 01'!C92),('V06 Calend 01'!F92+'V06 Calend 01'!G92),0)+IF(AND(('V06 Calend 01'!E92&gt;0),(44&gt;'V06 Calend 01'!C92),(44&lt;'V06 Calend 01'!D92),(MOD((44-'V06 Calend 01'!C92),6)=0),(((44-'V06 Calend 01'!C92)/6)&lt;='V06 Calend 01'!E92)),IF((44=('V06 Calend 01'!C92+(6*'V06 Calend 01'!E92))),('V06 Calend 01'!H92-('V06 Calend 01'!I92*('V06 Calend 01'!E92-1))),'V06 Calend 01'!I92),0))+IF((44='V06 Calend 01'!D92),'V06 Calend 01'!J92,0))</f>
        <v>0</v>
      </c>
      <c r="BE92" s="2">
        <f>((IF((45='V06 Calend 01'!C92),('V06 Calend 01'!F92+'V06 Calend 01'!G92),0)+IF(AND(('V06 Calend 01'!E92&gt;0),(45&gt;'V06 Calend 01'!C92),(45&lt;'V06 Calend 01'!D92),(MOD((45-'V06 Calend 01'!C92),6)=0),(((45-'V06 Calend 01'!C92)/6)&lt;='V06 Calend 01'!E92)),IF((45=('V06 Calend 01'!C92+(6*'V06 Calend 01'!E92))),('V06 Calend 01'!H92-('V06 Calend 01'!I92*('V06 Calend 01'!E92-1))),'V06 Calend 01'!I92),0))+IF((45='V06 Calend 01'!D92),'V06 Calend 01'!J92,0))</f>
        <v>0</v>
      </c>
      <c r="BF92" s="2">
        <f>((IF((46='V06 Calend 01'!C92),('V06 Calend 01'!F92+'V06 Calend 01'!G92),0)+IF(AND(('V06 Calend 01'!E92&gt;0),(46&gt;'V06 Calend 01'!C92),(46&lt;'V06 Calend 01'!D92),(MOD((46-'V06 Calend 01'!C92),6)=0),(((46-'V06 Calend 01'!C92)/6)&lt;='V06 Calend 01'!E92)),IF((46=('V06 Calend 01'!C92+(6*'V06 Calend 01'!E92))),('V06 Calend 01'!H92-('V06 Calend 01'!I92*('V06 Calend 01'!E92-1))),'V06 Calend 01'!I92),0))+IF((46='V06 Calend 01'!D92),'V06 Calend 01'!J92,0))</f>
        <v>0</v>
      </c>
      <c r="BG92" s="2">
        <f>((IF((47='V06 Calend 01'!C92),('V06 Calend 01'!F92+'V06 Calend 01'!G92),0)+IF(AND(('V06 Calend 01'!E92&gt;0),(47&gt;'V06 Calend 01'!C92),(47&lt;'V06 Calend 01'!D92),(MOD((47-'V06 Calend 01'!C92),6)=0),(((47-'V06 Calend 01'!C92)/6)&lt;='V06 Calend 01'!E92)),IF((47=('V06 Calend 01'!C92+(6*'V06 Calend 01'!E92))),('V06 Calend 01'!H92-('V06 Calend 01'!I92*('V06 Calend 01'!E92-1))),'V06 Calend 01'!I92),0))+IF((47='V06 Calend 01'!D92),'V06 Calend 01'!J92,0))</f>
        <v>0</v>
      </c>
      <c r="BH92" s="2">
        <f>((IF((48='V06 Calend 01'!C92),('V06 Calend 01'!F92+'V06 Calend 01'!G92),0)+IF(AND(('V06 Calend 01'!E92&gt;0),(48&gt;'V06 Calend 01'!C92),(48&lt;'V06 Calend 01'!D92),(MOD((48-'V06 Calend 01'!C92),6)=0),(((48-'V06 Calend 01'!C92)/6)&lt;='V06 Calend 01'!E92)),IF((48=('V06 Calend 01'!C92+(6*'V06 Calend 01'!E92))),('V06 Calend 01'!H92-('V06 Calend 01'!I92*('V06 Calend 01'!E92-1))),'V06 Calend 01'!I92),0))+IF((48='V06 Calend 01'!D92),'V06 Calend 01'!J92,0))</f>
        <v>0</v>
      </c>
      <c r="BI92" s="2">
        <f>((IF((49='V06 Calend 01'!C92),('V06 Calend 01'!F92+'V06 Calend 01'!G92),0)+IF(AND(('V06 Calend 01'!E92&gt;0),(49&gt;'V06 Calend 01'!C92),(49&lt;'V06 Calend 01'!D92),(MOD((49-'V06 Calend 01'!C92),6)=0),(((49-'V06 Calend 01'!C92)/6)&lt;='V06 Calend 01'!E92)),IF((49=('V06 Calend 01'!C92+(6*'V06 Calend 01'!E92))),('V06 Calend 01'!H92-('V06 Calend 01'!I92*('V06 Calend 01'!E92-1))),'V06 Calend 01'!I92),0))+IF((49='V06 Calend 01'!D92),'V06 Calend 01'!J92,0))</f>
        <v>0</v>
      </c>
      <c r="BJ92" s="2">
        <f>((IF((50='V06 Calend 01'!C92),('V06 Calend 01'!F92+'V06 Calend 01'!G92),0)+IF(AND(('V06 Calend 01'!E92&gt;0),(50&gt;'V06 Calend 01'!C92),(50&lt;'V06 Calend 01'!D92),(MOD((50-'V06 Calend 01'!C92),6)=0),(((50-'V06 Calend 01'!C92)/6)&lt;='V06 Calend 01'!E92)),IF((50=('V06 Calend 01'!C92+(6*'V06 Calend 01'!E92))),('V06 Calend 01'!H92-('V06 Calend 01'!I92*('V06 Calend 01'!E92-1))),'V06 Calend 01'!I92),0))+IF((50='V06 Calend 01'!D92),'V06 Calend 01'!J92,0))</f>
        <v>0</v>
      </c>
      <c r="BK92" s="2">
        <f>((IF((51='V06 Calend 01'!C92),('V06 Calend 01'!F92+'V06 Calend 01'!G92),0)+IF(AND(('V06 Calend 01'!E92&gt;0),(51&gt;'V06 Calend 01'!C92),(51&lt;'V06 Calend 01'!D92),(MOD((51-'V06 Calend 01'!C92),6)=0),(((51-'V06 Calend 01'!C92)/6)&lt;='V06 Calend 01'!E92)),IF((51=('V06 Calend 01'!C92+(6*'V06 Calend 01'!E92))),('V06 Calend 01'!H92-('V06 Calend 01'!I92*('V06 Calend 01'!E92-1))),'V06 Calend 01'!I92),0))+IF((51='V06 Calend 01'!D92),'V06 Calend 01'!J92,0))</f>
        <v>0</v>
      </c>
      <c r="BL92" s="2">
        <f>((IF((52='V06 Calend 01'!C92),('V06 Calend 01'!F92+'V06 Calend 01'!G92),0)+IF(AND(('V06 Calend 01'!E92&gt;0),(52&gt;'V06 Calend 01'!C92),(52&lt;'V06 Calend 01'!D92),(MOD((52-'V06 Calend 01'!C92),6)=0),(((52-'V06 Calend 01'!C92)/6)&lt;='V06 Calend 01'!E92)),IF((52=('V06 Calend 01'!C92+(6*'V06 Calend 01'!E92))),('V06 Calend 01'!H92-('V06 Calend 01'!I92*('V06 Calend 01'!E92-1))),'V06 Calend 01'!I92),0))+IF((52='V06 Calend 01'!D92),'V06 Calend 01'!J92,0))</f>
        <v>0</v>
      </c>
      <c r="BM92" s="2">
        <f>((IF((53='V06 Calend 01'!C92),('V06 Calend 01'!F92+'V06 Calend 01'!G92),0)+IF(AND(('V06 Calend 01'!E92&gt;0),(53&gt;'V06 Calend 01'!C92),(53&lt;'V06 Calend 01'!D92),(MOD((53-'V06 Calend 01'!C92),6)=0),(((53-'V06 Calend 01'!C92)/6)&lt;='V06 Calend 01'!E92)),IF((53=('V06 Calend 01'!C92+(6*'V06 Calend 01'!E92))),('V06 Calend 01'!H92-('V06 Calend 01'!I92*('V06 Calend 01'!E92-1))),'V06 Calend 01'!I92),0))+IF((53='V06 Calend 01'!D92),'V06 Calend 01'!J92,0))</f>
        <v>0</v>
      </c>
      <c r="BN92" s="2">
        <f>((IF((54='V06 Calend 01'!C92),('V06 Calend 01'!F92+'V06 Calend 01'!G92),0)+IF(AND(('V06 Calend 01'!E92&gt;0),(54&gt;'V06 Calend 01'!C92),(54&lt;'V06 Calend 01'!D92),(MOD((54-'V06 Calend 01'!C92),6)=0),(((54-'V06 Calend 01'!C92)/6)&lt;='V06 Calend 01'!E92)),IF((54=('V06 Calend 01'!C92+(6*'V06 Calend 01'!E92))),('V06 Calend 01'!H92-('V06 Calend 01'!I92*('V06 Calend 01'!E92-1))),'V06 Calend 01'!I92),0))+IF((54='V06 Calend 01'!D92),'V06 Calend 01'!J92,0))</f>
        <v>0</v>
      </c>
      <c r="BO92" s="2">
        <f>((IF((55='V06 Calend 01'!C92),('V06 Calend 01'!F92+'V06 Calend 01'!G92),0)+IF(AND(('V06 Calend 01'!E92&gt;0),(55&gt;'V06 Calend 01'!C92),(55&lt;'V06 Calend 01'!D92),(MOD((55-'V06 Calend 01'!C92),6)=0),(((55-'V06 Calend 01'!C92)/6)&lt;='V06 Calend 01'!E92)),IF((55=('V06 Calend 01'!C92+(6*'V06 Calend 01'!E92))),('V06 Calend 01'!H92-('V06 Calend 01'!I92*('V06 Calend 01'!E92-1))),'V06 Calend 01'!I92),0))+IF((55='V06 Calend 01'!D92),'V06 Calend 01'!J92,0))</f>
        <v>0</v>
      </c>
      <c r="BP92" s="2">
        <f>((IF((56='V06 Calend 01'!C92),('V06 Calend 01'!F92+'V06 Calend 01'!G92),0)+IF(AND(('V06 Calend 01'!E92&gt;0),(56&gt;'V06 Calend 01'!C92),(56&lt;'V06 Calend 01'!D92),(MOD((56-'V06 Calend 01'!C92),6)=0),(((56-'V06 Calend 01'!C92)/6)&lt;='V06 Calend 01'!E92)),IF((56=('V06 Calend 01'!C92+(6*'V06 Calend 01'!E92))),('V06 Calend 01'!H92-('V06 Calend 01'!I92*('V06 Calend 01'!E92-1))),'V06 Calend 01'!I92),0))+IF((56='V06 Calend 01'!D92),'V06 Calend 01'!J92,0))</f>
        <v>0</v>
      </c>
      <c r="BQ92" s="2">
        <f>((IF((57='V06 Calend 01'!C92),('V06 Calend 01'!F92+'V06 Calend 01'!G92),0)+IF(AND(('V06 Calend 01'!E92&gt;0),(57&gt;'V06 Calend 01'!C92),(57&lt;'V06 Calend 01'!D92),(MOD((57-'V06 Calend 01'!C92),6)=0),(((57-'V06 Calend 01'!C92)/6)&lt;='V06 Calend 01'!E92)),IF((57=('V06 Calend 01'!C92+(6*'V06 Calend 01'!E92))),('V06 Calend 01'!H92-('V06 Calend 01'!I92*('V06 Calend 01'!E92-1))),'V06 Calend 01'!I92),0))+IF((57='V06 Calend 01'!D92),'V06 Calend 01'!J92,0))</f>
        <v>0</v>
      </c>
      <c r="BR92" s="2">
        <f>((IF((58='V06 Calend 01'!C92),('V06 Calend 01'!F92+'V06 Calend 01'!G92),0)+IF(AND(('V06 Calend 01'!E92&gt;0),(58&gt;'V06 Calend 01'!C92),(58&lt;'V06 Calend 01'!D92),(MOD((58-'V06 Calend 01'!C92),6)=0),(((58-'V06 Calend 01'!C92)/6)&lt;='V06 Calend 01'!E92)),IF((58=('V06 Calend 01'!C92+(6*'V06 Calend 01'!E92))),('V06 Calend 01'!H92-('V06 Calend 01'!I92*('V06 Calend 01'!E92-1))),'V06 Calend 01'!I92),0))+IF((58='V06 Calend 01'!D92),'V06 Calend 01'!J92,0))</f>
        <v>0</v>
      </c>
      <c r="BS92" s="2">
        <f>((IF((59='V06 Calend 01'!C92),('V06 Calend 01'!F92+'V06 Calend 01'!G92),0)+IF(AND(('V06 Calend 01'!E92&gt;0),(59&gt;'V06 Calend 01'!C92),(59&lt;'V06 Calend 01'!D92),(MOD((59-'V06 Calend 01'!C92),6)=0),(((59-'V06 Calend 01'!C92)/6)&lt;='V06 Calend 01'!E92)),IF((59=('V06 Calend 01'!C92+(6*'V06 Calend 01'!E92))),('V06 Calend 01'!H92-('V06 Calend 01'!I92*('V06 Calend 01'!E92-1))),'V06 Calend 01'!I92),0))+IF((59='V06 Calend 01'!D92),'V06 Calend 01'!J92,0))</f>
        <v>0</v>
      </c>
      <c r="BT92" s="2">
        <f>((IF((60='V06 Calend 01'!C92),('V06 Calend 01'!F92+'V06 Calend 01'!G92),0)+IF(AND(('V06 Calend 01'!E92&gt;0),(60&gt;'V06 Calend 01'!C92),(60&lt;'V06 Calend 01'!D92),(MOD((60-'V06 Calend 01'!C92),6)=0),(((60-'V06 Calend 01'!C92)/6)&lt;='V06 Calend 01'!E92)),IF((60=('V06 Calend 01'!C92+(6*'V06 Calend 01'!E92))),('V06 Calend 01'!H92-('V06 Calend 01'!I92*('V06 Calend 01'!E92-1))),'V06 Calend 01'!I92),0))+IF((60='V06 Calend 01'!D92),'V06 Calend 01'!J92,0))</f>
        <v>0</v>
      </c>
      <c r="BU92" s="2">
        <f>((IF((61='V06 Calend 01'!C92),('V06 Calend 01'!F92+'V06 Calend 01'!G92),0)+IF(AND(('V06 Calend 01'!E92&gt;0),(61&gt;'V06 Calend 01'!C92),(61&lt;'V06 Calend 01'!D92),(MOD((61-'V06 Calend 01'!C92),6)=0),(((61-'V06 Calend 01'!C92)/6)&lt;='V06 Calend 01'!E92)),IF((61=('V06 Calend 01'!C92+(6*'V06 Calend 01'!E92))),('V06 Calend 01'!H92-('V06 Calend 01'!I92*('V06 Calend 01'!E92-1))),'V06 Calend 01'!I92),0))+IF((61='V06 Calend 01'!D92),'V06 Calend 01'!J92,0))</f>
        <v>0</v>
      </c>
      <c r="BV92" s="2">
        <f>((IF((62='V06 Calend 01'!C92),('V06 Calend 01'!F92+'V06 Calend 01'!G92),0)+IF(AND(('V06 Calend 01'!E92&gt;0),(62&gt;'V06 Calend 01'!C92),(62&lt;'V06 Calend 01'!D92),(MOD((62-'V06 Calend 01'!C92),6)=0),(((62-'V06 Calend 01'!C92)/6)&lt;='V06 Calend 01'!E92)),IF((62=('V06 Calend 01'!C92+(6*'V06 Calend 01'!E92))),('V06 Calend 01'!H92-('V06 Calend 01'!I92*('V06 Calend 01'!E92-1))),'V06 Calend 01'!I92),0))+IF((62='V06 Calend 01'!D92),'V06 Calend 01'!J92,0))</f>
        <v>0</v>
      </c>
      <c r="BW92" s="2">
        <f>((IF((63='V06 Calend 01'!C92),('V06 Calend 01'!F92+'V06 Calend 01'!G92),0)+IF(AND(('V06 Calend 01'!E92&gt;0),(63&gt;'V06 Calend 01'!C92),(63&lt;'V06 Calend 01'!D92),(MOD((63-'V06 Calend 01'!C92),6)=0),(((63-'V06 Calend 01'!C92)/6)&lt;='V06 Calend 01'!E92)),IF((63=('V06 Calend 01'!C92+(6*'V06 Calend 01'!E92))),('V06 Calend 01'!H92-('V06 Calend 01'!I92*('V06 Calend 01'!E92-1))),'V06 Calend 01'!I92),0))+IF((63='V06 Calend 01'!D92),'V06 Calend 01'!J92,0))</f>
        <v>0</v>
      </c>
      <c r="BX92" s="2">
        <f>((IF((64='V06 Calend 01'!C92),('V06 Calend 01'!F92+'V06 Calend 01'!G92),0)+IF(AND(('V06 Calend 01'!E92&gt;0),(64&gt;'V06 Calend 01'!C92),(64&lt;'V06 Calend 01'!D92),(MOD((64-'V06 Calend 01'!C92),6)=0),(((64-'V06 Calend 01'!C92)/6)&lt;='V06 Calend 01'!E92)),IF((64=('V06 Calend 01'!C92+(6*'V06 Calend 01'!E92))),('V06 Calend 01'!H92-('V06 Calend 01'!I92*('V06 Calend 01'!E92-1))),'V06 Calend 01'!I92),0))+IF((64='V06 Calend 01'!D92),'V06 Calend 01'!J92,0))</f>
        <v>0</v>
      </c>
      <c r="BY92" s="2">
        <f>((IF((65='V06 Calend 01'!C92),('V06 Calend 01'!F92+'V06 Calend 01'!G92),0)+IF(AND(('V06 Calend 01'!E92&gt;0),(65&gt;'V06 Calend 01'!C92),(65&lt;'V06 Calend 01'!D92),(MOD((65-'V06 Calend 01'!C92),6)=0),(((65-'V06 Calend 01'!C92)/6)&lt;='V06 Calend 01'!E92)),IF((65=('V06 Calend 01'!C92+(6*'V06 Calend 01'!E92))),('V06 Calend 01'!H92-('V06 Calend 01'!I92*('V06 Calend 01'!E92-1))),'V06 Calend 01'!I92),0))+IF((65='V06 Calend 01'!D92),'V06 Calend 01'!J92,0))</f>
        <v>0</v>
      </c>
      <c r="BZ92" s="2">
        <f>((IF((66='V06 Calend 01'!C92),('V06 Calend 01'!F92+'V06 Calend 01'!G92),0)+IF(AND(('V06 Calend 01'!E92&gt;0),(66&gt;'V06 Calend 01'!C92),(66&lt;'V06 Calend 01'!D92),(MOD((66-'V06 Calend 01'!C92),6)=0),(((66-'V06 Calend 01'!C92)/6)&lt;='V06 Calend 01'!E92)),IF((66=('V06 Calend 01'!C92+(6*'V06 Calend 01'!E92))),('V06 Calend 01'!H92-('V06 Calend 01'!I92*('V06 Calend 01'!E92-1))),'V06 Calend 01'!I92),0))+IF((66='V06 Calend 01'!D92),'V06 Calend 01'!J92,0))</f>
        <v>0</v>
      </c>
      <c r="CA92" s="2">
        <f>((IF((67='V06 Calend 01'!C92),('V06 Calend 01'!F92+'V06 Calend 01'!G92),0)+IF(AND(('V06 Calend 01'!E92&gt;0),(67&gt;'V06 Calend 01'!C92),(67&lt;'V06 Calend 01'!D92),(MOD((67-'V06 Calend 01'!C92),6)=0),(((67-'V06 Calend 01'!C92)/6)&lt;='V06 Calend 01'!E92)),IF((67=('V06 Calend 01'!C92+(6*'V06 Calend 01'!E92))),('V06 Calend 01'!H92-('V06 Calend 01'!I92*('V06 Calend 01'!E92-1))),'V06 Calend 01'!I92),0))+IF((67='V06 Calend 01'!D92),'V06 Calend 01'!J92,0))</f>
        <v>0</v>
      </c>
      <c r="CB92" s="2">
        <f>((IF((68='V06 Calend 01'!C92),('V06 Calend 01'!F92+'V06 Calend 01'!G92),0)+IF(AND(('V06 Calend 01'!E92&gt;0),(68&gt;'V06 Calend 01'!C92),(68&lt;'V06 Calend 01'!D92),(MOD((68-'V06 Calend 01'!C92),6)=0),(((68-'V06 Calend 01'!C92)/6)&lt;='V06 Calend 01'!E92)),IF((68=('V06 Calend 01'!C92+(6*'V06 Calend 01'!E92))),('V06 Calend 01'!H92-('V06 Calend 01'!I92*('V06 Calend 01'!E92-1))),'V06 Calend 01'!I92),0))+IF((68='V06 Calend 01'!D92),'V06 Calend 01'!J92,0))</f>
        <v>0</v>
      </c>
      <c r="CC92" s="2">
        <f>((IF((69='V06 Calend 01'!C92),('V06 Calend 01'!F92+'V06 Calend 01'!G92),0)+IF(AND(('V06 Calend 01'!E92&gt;0),(69&gt;'V06 Calend 01'!C92),(69&lt;'V06 Calend 01'!D92),(MOD((69-'V06 Calend 01'!C92),6)=0),(((69-'V06 Calend 01'!C92)/6)&lt;='V06 Calend 01'!E92)),IF((69=('V06 Calend 01'!C92+(6*'V06 Calend 01'!E92))),('V06 Calend 01'!H92-('V06 Calend 01'!I92*('V06 Calend 01'!E92-1))),'V06 Calend 01'!I92),0))+IF((69='V06 Calend 01'!D92),'V06 Calend 01'!J92,0))</f>
        <v>0</v>
      </c>
      <c r="CD92" s="2">
        <f>((IF((70='V06 Calend 01'!C92),('V06 Calend 01'!F92+'V06 Calend 01'!G92),0)+IF(AND(('V06 Calend 01'!E92&gt;0),(70&gt;'V06 Calend 01'!C92),(70&lt;'V06 Calend 01'!D92),(MOD((70-'V06 Calend 01'!C92),6)=0),(((70-'V06 Calend 01'!C92)/6)&lt;='V06 Calend 01'!E92)),IF((70=('V06 Calend 01'!C92+(6*'V06 Calend 01'!E92))),('V06 Calend 01'!H92-('V06 Calend 01'!I92*('V06 Calend 01'!E92-1))),'V06 Calend 01'!I92),0))+IF((70='V06 Calend 01'!D92),'V06 Calend 01'!J92,0))</f>
        <v>0</v>
      </c>
      <c r="CE92" s="2">
        <f>((IF((71='V06 Calend 01'!C92),('V06 Calend 01'!F92+'V06 Calend 01'!G92),0)+IF(AND(('V06 Calend 01'!E92&gt;0),(71&gt;'V06 Calend 01'!C92),(71&lt;'V06 Calend 01'!D92),(MOD((71-'V06 Calend 01'!C92),6)=0),(((71-'V06 Calend 01'!C92)/6)&lt;='V06 Calend 01'!E92)),IF((71=('V06 Calend 01'!C92+(6*'V06 Calend 01'!E92))),('V06 Calend 01'!H92-('V06 Calend 01'!I92*('V06 Calend 01'!E92-1))),'V06 Calend 01'!I92),0))+IF((71='V06 Calend 01'!D92),'V06 Calend 01'!J92,0))</f>
        <v>0</v>
      </c>
      <c r="CF92" s="2">
        <f>((IF((72='V06 Calend 01'!C92),('V06 Calend 01'!F92+'V06 Calend 01'!G92),0)+IF(AND(('V06 Calend 01'!E92&gt;0),(72&gt;'V06 Calend 01'!C92),(72&lt;'V06 Calend 01'!D92),(MOD((72-'V06 Calend 01'!C92),6)=0),(((72-'V06 Calend 01'!C92)/6)&lt;='V06 Calend 01'!E92)),IF((72=('V06 Calend 01'!C92+(6*'V06 Calend 01'!E92))),('V06 Calend 01'!H92-('V06 Calend 01'!I92*('V06 Calend 01'!E92-1))),'V06 Calend 01'!I92),0))+IF((72='V06 Calend 01'!D92),'V06 Calend 01'!J92,0))</f>
        <v>0</v>
      </c>
      <c r="CG92" s="2">
        <f>((IF((73='V06 Calend 01'!C92),('V06 Calend 01'!F92+'V06 Calend 01'!G92),0)+IF(AND(('V06 Calend 01'!E92&gt;0),(73&gt;'V06 Calend 01'!C92),(73&lt;'V06 Calend 01'!D92),(MOD((73-'V06 Calend 01'!C92),6)=0),(((73-'V06 Calend 01'!C92)/6)&lt;='V06 Calend 01'!E92)),IF((73=('V06 Calend 01'!C92+(6*'V06 Calend 01'!E92))),('V06 Calend 01'!H92-('V06 Calend 01'!I92*('V06 Calend 01'!E92-1))),'V06 Calend 01'!I92),0))+IF((73='V06 Calend 01'!D92),'V06 Calend 01'!J92,0))</f>
        <v>0</v>
      </c>
      <c r="CH92" s="2">
        <f>((IF((74='V06 Calend 01'!C92),('V06 Calend 01'!F92+'V06 Calend 01'!G92),0)+IF(AND(('V06 Calend 01'!E92&gt;0),(74&gt;'V06 Calend 01'!C92),(74&lt;'V06 Calend 01'!D92),(MOD((74-'V06 Calend 01'!C92),6)=0),(((74-'V06 Calend 01'!C92)/6)&lt;='V06 Calend 01'!E92)),IF((74=('V06 Calend 01'!C92+(6*'V06 Calend 01'!E92))),('V06 Calend 01'!H92-('V06 Calend 01'!I92*('V06 Calend 01'!E92-1))),'V06 Calend 01'!I92),0))+IF((74='V06 Calend 01'!D92),'V06 Calend 01'!J92,0))</f>
        <v>0</v>
      </c>
      <c r="CI92" s="2">
        <f>((IF((75='V06 Calend 01'!C92),('V06 Calend 01'!F92+'V06 Calend 01'!G92),0)+IF(AND(('V06 Calend 01'!E92&gt;0),(75&gt;'V06 Calend 01'!C92),(75&lt;'V06 Calend 01'!D92),(MOD((75-'V06 Calend 01'!C92),6)=0),(((75-'V06 Calend 01'!C92)/6)&lt;='V06 Calend 01'!E92)),IF((75=('V06 Calend 01'!C92+(6*'V06 Calend 01'!E92))),('V06 Calend 01'!H92-('V06 Calend 01'!I92*('V06 Calend 01'!E92-1))),'V06 Calend 01'!I92),0))+IF((75='V06 Calend 01'!D92),'V06 Calend 01'!J92,0))</f>
        <v>0</v>
      </c>
      <c r="CJ92" s="2">
        <f>((IF((76='V06 Calend 01'!C92),('V06 Calend 01'!F92+'V06 Calend 01'!G92),0)+IF(AND(('V06 Calend 01'!E92&gt;0),(76&gt;'V06 Calend 01'!C92),(76&lt;'V06 Calend 01'!D92),(MOD((76-'V06 Calend 01'!C92),6)=0),(((76-'V06 Calend 01'!C92)/6)&lt;='V06 Calend 01'!E92)),IF((76=('V06 Calend 01'!C92+(6*'V06 Calend 01'!E92))),('V06 Calend 01'!H92-('V06 Calend 01'!I92*('V06 Calend 01'!E92-1))),'V06 Calend 01'!I92),0))+IF((76='V06 Calend 01'!D92),'V06 Calend 01'!J92,0))</f>
        <v>0</v>
      </c>
      <c r="CK92" s="2">
        <f>((IF((77='V06 Calend 01'!C92),('V06 Calend 01'!F92+'V06 Calend 01'!G92),0)+IF(AND(('V06 Calend 01'!E92&gt;0),(77&gt;'V06 Calend 01'!C92),(77&lt;'V06 Calend 01'!D92),(MOD((77-'V06 Calend 01'!C92),6)=0),(((77-'V06 Calend 01'!C92)/6)&lt;='V06 Calend 01'!E92)),IF((77=('V06 Calend 01'!C92+(6*'V06 Calend 01'!E92))),('V06 Calend 01'!H92-('V06 Calend 01'!I92*('V06 Calend 01'!E92-1))),'V06 Calend 01'!I92),0))+IF((77='V06 Calend 01'!D92),'V06 Calend 01'!J92,0))</f>
        <v>0</v>
      </c>
      <c r="CL92" s="2">
        <f>((IF((78='V06 Calend 01'!C92),('V06 Calend 01'!F92+'V06 Calend 01'!G92),0)+IF(AND(('V06 Calend 01'!E92&gt;0),(78&gt;'V06 Calend 01'!C92),(78&lt;'V06 Calend 01'!D92),(MOD((78-'V06 Calend 01'!C92),6)=0),(((78-'V06 Calend 01'!C92)/6)&lt;='V06 Calend 01'!E92)),IF((78=('V06 Calend 01'!C92+(6*'V06 Calend 01'!E92))),('V06 Calend 01'!H92-('V06 Calend 01'!I92*('V06 Calend 01'!E92-1))),'V06 Calend 01'!I92),0))+IF((78='V06 Calend 01'!D92),'V06 Calend 01'!J92,0))</f>
        <v>0</v>
      </c>
      <c r="CM92" s="2">
        <f>((IF((79='V06 Calend 01'!C92),('V06 Calend 01'!F92+'V06 Calend 01'!G92),0)+IF(AND(('V06 Calend 01'!E92&gt;0),(79&gt;'V06 Calend 01'!C92),(79&lt;'V06 Calend 01'!D92),(MOD((79-'V06 Calend 01'!C92),6)=0),(((79-'V06 Calend 01'!C92)/6)&lt;='V06 Calend 01'!E92)),IF((79=('V06 Calend 01'!C92+(6*'V06 Calend 01'!E92))),('V06 Calend 01'!H92-('V06 Calend 01'!I92*('V06 Calend 01'!E92-1))),'V06 Calend 01'!I92),0))+IF((79='V06 Calend 01'!D92),'V06 Calend 01'!J92,0))</f>
        <v>0</v>
      </c>
      <c r="CN92" s="2">
        <f>((IF((80='V06 Calend 01'!C92),('V06 Calend 01'!F92+'V06 Calend 01'!G92),0)+IF(AND(('V06 Calend 01'!E92&gt;0),(80&gt;'V06 Calend 01'!C92),(80&lt;'V06 Calend 01'!D92),(MOD((80-'V06 Calend 01'!C92),6)=0),(((80-'V06 Calend 01'!C92)/6)&lt;='V06 Calend 01'!E92)),IF((80=('V06 Calend 01'!C92+(6*'V06 Calend 01'!E92))),('V06 Calend 01'!H92-('V06 Calend 01'!I92*('V06 Calend 01'!E92-1))),'V06 Calend 01'!I92),0))+IF((80='V06 Calend 01'!D92),'V06 Calend 01'!J92,0))</f>
        <v>0</v>
      </c>
      <c r="CO92" s="2">
        <f>((IF((81='V06 Calend 01'!C92),('V06 Calend 01'!F92+'V06 Calend 01'!G92),0)+IF(AND(('V06 Calend 01'!E92&gt;0),(81&gt;'V06 Calend 01'!C92),(81&lt;'V06 Calend 01'!D92),(MOD((81-'V06 Calend 01'!C92),6)=0),(((81-'V06 Calend 01'!C92)/6)&lt;='V06 Calend 01'!E92)),IF((81=('V06 Calend 01'!C92+(6*'V06 Calend 01'!E92))),('V06 Calend 01'!H92-('V06 Calend 01'!I92*('V06 Calend 01'!E92-1))),'V06 Calend 01'!I92),0))+IF((81='V06 Calend 01'!D92),'V06 Calend 01'!J92,0))</f>
        <v>0</v>
      </c>
      <c r="CP92" s="2">
        <f>((IF((82='V06 Calend 01'!C92),('V06 Calend 01'!F92+'V06 Calend 01'!G92),0)+IF(AND(('V06 Calend 01'!E92&gt;0),(82&gt;'V06 Calend 01'!C92),(82&lt;'V06 Calend 01'!D92),(MOD((82-'V06 Calend 01'!C92),6)=0),(((82-'V06 Calend 01'!C92)/6)&lt;='V06 Calend 01'!E92)),IF((82=('V06 Calend 01'!C92+(6*'V06 Calend 01'!E92))),('V06 Calend 01'!H92-('V06 Calend 01'!I92*('V06 Calend 01'!E92-1))),'V06 Calend 01'!I92),0))+IF((82='V06 Calend 01'!D92),'V06 Calend 01'!J92,0))</f>
        <v>0</v>
      </c>
      <c r="CQ92" s="2">
        <f>((IF((83='V06 Calend 01'!C92),('V06 Calend 01'!F92+'V06 Calend 01'!G92),0)+IF(AND(('V06 Calend 01'!E92&gt;0),(83&gt;'V06 Calend 01'!C92),(83&lt;'V06 Calend 01'!D92),(MOD((83-'V06 Calend 01'!C92),6)=0),(((83-'V06 Calend 01'!C92)/6)&lt;='V06 Calend 01'!E92)),IF((83=('V06 Calend 01'!C92+(6*'V06 Calend 01'!E92))),('V06 Calend 01'!H92-('V06 Calend 01'!I92*('V06 Calend 01'!E92-1))),'V06 Calend 01'!I92),0))+IF((83='V06 Calend 01'!D92),'V06 Calend 01'!J92,0))</f>
        <v>0</v>
      </c>
      <c r="CR92" s="2">
        <f>((IF((84='V06 Calend 01'!C92),('V06 Calend 01'!F92+'V06 Calend 01'!G92),0)+IF(AND(('V06 Calend 01'!E92&gt;0),(84&gt;'V06 Calend 01'!C92),(84&lt;'V06 Calend 01'!D92),(MOD((84-'V06 Calend 01'!C92),6)=0),(((84-'V06 Calend 01'!C92)/6)&lt;='V06 Calend 01'!E92)),IF((84=('V06 Calend 01'!C92+(6*'V06 Calend 01'!E92))),('V06 Calend 01'!H92-('V06 Calend 01'!I92*('V06 Calend 01'!E92-1))),'V06 Calend 01'!I92),0))+IF((84='V06 Calend 01'!D92),'V06 Calend 01'!J92,0))</f>
        <v>0</v>
      </c>
      <c r="CS92" s="2">
        <f>((IF((85='V06 Calend 01'!C92),('V06 Calend 01'!F92+'V06 Calend 01'!G92),0)+IF(AND(('V06 Calend 01'!E92&gt;0),(85&gt;'V06 Calend 01'!C92),(85&lt;'V06 Calend 01'!D92),(MOD((85-'V06 Calend 01'!C92),6)=0),(((85-'V06 Calend 01'!C92)/6)&lt;='V06 Calend 01'!E92)),IF((85=('V06 Calend 01'!C92+(6*'V06 Calend 01'!E92))),('V06 Calend 01'!H92-('V06 Calend 01'!I92*('V06 Calend 01'!E92-1))),'V06 Calend 01'!I92),0))+IF((85='V06 Calend 01'!D92),'V06 Calend 01'!J92,0))</f>
        <v>0</v>
      </c>
      <c r="CT92" s="2">
        <f>((IF((86='V06 Calend 01'!C92),('V06 Calend 01'!F92+'V06 Calend 01'!G92),0)+IF(AND(('V06 Calend 01'!E92&gt;0),(86&gt;'V06 Calend 01'!C92),(86&lt;'V06 Calend 01'!D92),(MOD((86-'V06 Calend 01'!C92),6)=0),(((86-'V06 Calend 01'!C92)/6)&lt;='V06 Calend 01'!E92)),IF((86=('V06 Calend 01'!C92+(6*'V06 Calend 01'!E92))),('V06 Calend 01'!H92-('V06 Calend 01'!I92*('V06 Calend 01'!E92-1))),'V06 Calend 01'!I92),0))+IF((86='V06 Calend 01'!D92),'V06 Calend 01'!J92,0))</f>
        <v>0</v>
      </c>
      <c r="CU92" s="2">
        <f>((IF((87='V06 Calend 01'!C92),('V06 Calend 01'!F92+'V06 Calend 01'!G92),0)+IF(AND(('V06 Calend 01'!E92&gt;0),(87&gt;'V06 Calend 01'!C92),(87&lt;'V06 Calend 01'!D92),(MOD((87-'V06 Calend 01'!C92),6)=0),(((87-'V06 Calend 01'!C92)/6)&lt;='V06 Calend 01'!E92)),IF((87=('V06 Calend 01'!C92+(6*'V06 Calend 01'!E92))),('V06 Calend 01'!H92-('V06 Calend 01'!I92*('V06 Calend 01'!E92-1))),'V06 Calend 01'!I92),0))+IF((87='V06 Calend 01'!D92),'V06 Calend 01'!J92,0))</f>
        <v>0</v>
      </c>
      <c r="CV92" s="2">
        <f>((IF((88='V06 Calend 01'!C92),('V06 Calend 01'!F92+'V06 Calend 01'!G92),0)+IF(AND(('V06 Calend 01'!E92&gt;0),(88&gt;'V06 Calend 01'!C92),(88&lt;'V06 Calend 01'!D92),(MOD((88-'V06 Calend 01'!C92),6)=0),(((88-'V06 Calend 01'!C92)/6)&lt;='V06 Calend 01'!E92)),IF((88=('V06 Calend 01'!C92+(6*'V06 Calend 01'!E92))),('V06 Calend 01'!H92-('V06 Calend 01'!I92*('V06 Calend 01'!E92-1))),'V06 Calend 01'!I92),0))+IF((88='V06 Calend 01'!D92),'V06 Calend 01'!J92,0))</f>
        <v>0</v>
      </c>
      <c r="CW92" s="2">
        <f>((IF((89='V06 Calend 01'!C92),('V06 Calend 01'!F92+'V06 Calend 01'!G92),0)+IF(AND(('V06 Calend 01'!E92&gt;0),(89&gt;'V06 Calend 01'!C92),(89&lt;'V06 Calend 01'!D92),(MOD((89-'V06 Calend 01'!C92),6)=0),(((89-'V06 Calend 01'!C92)/6)&lt;='V06 Calend 01'!E92)),IF((89=('V06 Calend 01'!C92+(6*'V06 Calend 01'!E92))),('V06 Calend 01'!H92-('V06 Calend 01'!I92*('V06 Calend 01'!E92-1))),'V06 Calend 01'!I92),0))+IF((89='V06 Calend 01'!D92),'V06 Calend 01'!J92,0))</f>
        <v>0</v>
      </c>
      <c r="CX92" s="2">
        <f>((IF((90='V06 Calend 01'!C92),('V06 Calend 01'!F92+'V06 Calend 01'!G92),0)+IF(AND(('V06 Calend 01'!E92&gt;0),(90&gt;'V06 Calend 01'!C92),(90&lt;'V06 Calend 01'!D92),(MOD((90-'V06 Calend 01'!C92),6)=0),(((90-'V06 Calend 01'!C92)/6)&lt;='V06 Calend 01'!E92)),IF((90=('V06 Calend 01'!C92+(6*'V06 Calend 01'!E92))),('V06 Calend 01'!H92-('V06 Calend 01'!I92*('V06 Calend 01'!E92-1))),'V06 Calend 01'!I92),0))+IF((90='V06 Calend 01'!D92),'V06 Calend 01'!J92,0))</f>
        <v>0</v>
      </c>
      <c r="CY92" s="2">
        <f>((IF((91='V06 Calend 01'!C92),('V06 Calend 01'!F92+'V06 Calend 01'!G92),0)+IF(AND(('V06 Calend 01'!E92&gt;0),(91&gt;'V06 Calend 01'!C92),(91&lt;'V06 Calend 01'!D92),(MOD((91-'V06 Calend 01'!C92),6)=0),(((91-'V06 Calend 01'!C92)/6)&lt;='V06 Calend 01'!E92)),IF((91=('V06 Calend 01'!C92+(6*'V06 Calend 01'!E92))),('V06 Calend 01'!H92-('V06 Calend 01'!I92*('V06 Calend 01'!E92-1))),'V06 Calend 01'!I92),0))+IF((91='V06 Calend 01'!D92),'V06 Calend 01'!J92,0))</f>
        <v>0</v>
      </c>
      <c r="CZ92" s="2">
        <f>((IF((92='V06 Calend 01'!C92),('V06 Calend 01'!F92+'V06 Calend 01'!G92),0)+IF(AND(('V06 Calend 01'!E92&gt;0),(92&gt;'V06 Calend 01'!C92),(92&lt;'V06 Calend 01'!D92),(MOD((92-'V06 Calend 01'!C92),6)=0),(((92-'V06 Calend 01'!C92)/6)&lt;='V06 Calend 01'!E92)),IF((92=('V06 Calend 01'!C92+(6*'V06 Calend 01'!E92))),('V06 Calend 01'!H92-('V06 Calend 01'!I92*('V06 Calend 01'!E92-1))),'V06 Calend 01'!I92),0))+IF((92='V06 Calend 01'!D92),'V06 Calend 01'!J92,0))</f>
        <v>0</v>
      </c>
      <c r="DA92" s="2">
        <f>((IF((93='V06 Calend 01'!C92),('V06 Calend 01'!F92+'V06 Calend 01'!G92),0)+IF(AND(('V06 Calend 01'!E92&gt;0),(93&gt;'V06 Calend 01'!C92),(93&lt;'V06 Calend 01'!D92),(MOD((93-'V06 Calend 01'!C92),6)=0),(((93-'V06 Calend 01'!C92)/6)&lt;='V06 Calend 01'!E92)),IF((93=('V06 Calend 01'!C92+(6*'V06 Calend 01'!E92))),('V06 Calend 01'!H92-('V06 Calend 01'!I92*('V06 Calend 01'!E92-1))),'V06 Calend 01'!I92),0))+IF((93='V06 Calend 01'!D92),'V06 Calend 01'!J92,0))</f>
        <v>0</v>
      </c>
      <c r="DB92" s="2">
        <f>((IF((94='V06 Calend 01'!C92),('V06 Calend 01'!F92+'V06 Calend 01'!G92),0)+IF(AND(('V06 Calend 01'!E92&gt;0),(94&gt;'V06 Calend 01'!C92),(94&lt;'V06 Calend 01'!D92),(MOD((94-'V06 Calend 01'!C92),6)=0),(((94-'V06 Calend 01'!C92)/6)&lt;='V06 Calend 01'!E92)),IF((94=('V06 Calend 01'!C92+(6*'V06 Calend 01'!E92))),('V06 Calend 01'!H92-('V06 Calend 01'!I92*('V06 Calend 01'!E92-1))),'V06 Calend 01'!I92),0))+IF((94='V06 Calend 01'!D92),'V06 Calend 01'!J92,0))</f>
        <v>0</v>
      </c>
      <c r="DC92" s="2">
        <f>((IF((95='V06 Calend 01'!C92),('V06 Calend 01'!F92+'V06 Calend 01'!G92),0)+IF(AND(('V06 Calend 01'!E92&gt;0),(95&gt;'V06 Calend 01'!C92),(95&lt;'V06 Calend 01'!D92),(MOD((95-'V06 Calend 01'!C92),6)=0),(((95-'V06 Calend 01'!C92)/6)&lt;='V06 Calend 01'!E92)),IF((95=('V06 Calend 01'!C92+(6*'V06 Calend 01'!E92))),('V06 Calend 01'!H92-('V06 Calend 01'!I92*('V06 Calend 01'!E92-1))),'V06 Calend 01'!I92),0))+IF((95='V06 Calend 01'!D92),'V06 Calend 01'!J92,0))</f>
        <v>0</v>
      </c>
      <c r="DD92" s="2">
        <f>((IF((96='V06 Calend 01'!C92),('V06 Calend 01'!F92+'V06 Calend 01'!G92),0)+IF(AND(('V06 Calend 01'!E92&gt;0),(96&gt;'V06 Calend 01'!C92),(96&lt;'V06 Calend 01'!D92),(MOD((96-'V06 Calend 01'!C92),6)=0),(((96-'V06 Calend 01'!C92)/6)&lt;='V06 Calend 01'!E92)),IF((96=('V06 Calend 01'!C92+(6*'V06 Calend 01'!E92))),('V06 Calend 01'!H92-('V06 Calend 01'!I92*('V06 Calend 01'!E92-1))),'V06 Calend 01'!I92),0))+IF((96='V06 Calend 01'!D92),'V06 Calend 01'!J92,0))</f>
        <v>0</v>
      </c>
      <c r="DE92" s="2">
        <f>((IF((97='V06 Calend 01'!C92),('V06 Calend 01'!F92+'V06 Calend 01'!G92),0)+IF(AND(('V06 Calend 01'!E92&gt;0),(97&gt;'V06 Calend 01'!C92),(97&lt;'V06 Calend 01'!D92),(MOD((97-'V06 Calend 01'!C92),6)=0),(((97-'V06 Calend 01'!C92)/6)&lt;='V06 Calend 01'!E92)),IF((97=('V06 Calend 01'!C92+(6*'V06 Calend 01'!E92))),('V06 Calend 01'!H92-('V06 Calend 01'!I92*('V06 Calend 01'!E92-1))),'V06 Calend 01'!I92),0))+IF((97='V06 Calend 01'!D92),'V06 Calend 01'!J92,0))</f>
        <v>0</v>
      </c>
      <c r="DF92" s="2">
        <f>((IF((98='V06 Calend 01'!C92),('V06 Calend 01'!F92+'V06 Calend 01'!G92),0)+IF(AND(('V06 Calend 01'!E92&gt;0),(98&gt;'V06 Calend 01'!C92),(98&lt;'V06 Calend 01'!D92),(MOD((98-'V06 Calend 01'!C92),6)=0),(((98-'V06 Calend 01'!C92)/6)&lt;='V06 Calend 01'!E92)),IF((98=('V06 Calend 01'!C92+(6*'V06 Calend 01'!E92))),('V06 Calend 01'!H92-('V06 Calend 01'!I92*('V06 Calend 01'!E92-1))),'V06 Calend 01'!I92),0))+IF((98='V06 Calend 01'!D92),'V06 Calend 01'!J92,0))</f>
        <v>0</v>
      </c>
      <c r="DG92" s="2">
        <f>((IF((99='V06 Calend 01'!C92),('V06 Calend 01'!F92+'V06 Calend 01'!G92),0)+IF(AND(('V06 Calend 01'!E92&gt;0),(99&gt;'V06 Calend 01'!C92),(99&lt;'V06 Calend 01'!D92),(MOD((99-'V06 Calend 01'!C92),6)=0),(((99-'V06 Calend 01'!C92)/6)&lt;='V06 Calend 01'!E92)),IF((99=('V06 Calend 01'!C92+(6*'V06 Calend 01'!E92))),('V06 Calend 01'!H92-('V06 Calend 01'!I92*('V06 Calend 01'!E92-1))),'V06 Calend 01'!I92),0))+IF((99='V06 Calend 01'!D92),'V06 Calend 01'!J92,0))</f>
        <v>0</v>
      </c>
      <c r="DH92" s="2">
        <f>((IF((100='V06 Calend 01'!C92),('V06 Calend 01'!F92+'V06 Calend 01'!G92),0)+IF(AND(('V06 Calend 01'!E92&gt;0),(100&gt;'V06 Calend 01'!C92),(100&lt;'V06 Calend 01'!D92),(MOD((100-'V06 Calend 01'!C92),6)=0),(((100-'V06 Calend 01'!C92)/6)&lt;='V06 Calend 01'!E92)),IF((100=('V06 Calend 01'!C92+(6*'V06 Calend 01'!E92))),('V06 Calend 01'!H92-('V06 Calend 01'!I92*('V06 Calend 01'!E92-1))),'V06 Calend 01'!I92),0))+IF((100='V06 Calend 01'!D92),'V06 Calend 01'!J92,0))</f>
        <v>0</v>
      </c>
      <c r="DI92" s="2">
        <f>((IF((101='V06 Calend 01'!C92),('V06 Calend 01'!F92+'V06 Calend 01'!G92),0)+IF(AND(('V06 Calend 01'!E92&gt;0),(101&gt;'V06 Calend 01'!C92),(101&lt;'V06 Calend 01'!D92),(MOD((101-'V06 Calend 01'!C92),6)=0),(((101-'V06 Calend 01'!C92)/6)&lt;='V06 Calend 01'!E92)),IF((101=('V06 Calend 01'!C92+(6*'V06 Calend 01'!E92))),('V06 Calend 01'!H92-('V06 Calend 01'!I92*('V06 Calend 01'!E92-1))),'V06 Calend 01'!I92),0))+IF((101='V06 Calend 01'!D92),'V06 Calend 01'!J92,0))</f>
        <v>0</v>
      </c>
      <c r="DJ92" s="2">
        <f>((IF((102='V06 Calend 01'!C92),('V06 Calend 01'!F92+'V06 Calend 01'!G92),0)+IF(AND(('V06 Calend 01'!E92&gt;0),(102&gt;'V06 Calend 01'!C92),(102&lt;'V06 Calend 01'!D92),(MOD((102-'V06 Calend 01'!C92),6)=0),(((102-'V06 Calend 01'!C92)/6)&lt;='V06 Calend 01'!E92)),IF((102=('V06 Calend 01'!C92+(6*'V06 Calend 01'!E92))),('V06 Calend 01'!H92-('V06 Calend 01'!I92*('V06 Calend 01'!E92-1))),'V06 Calend 01'!I92),0))+IF((102='V06 Calend 01'!D92),'V06 Calend 01'!J92,0))</f>
        <v>0</v>
      </c>
      <c r="DK92" s="2">
        <f>((IF((103='V06 Calend 01'!C92),('V06 Calend 01'!F92+'V06 Calend 01'!G92),0)+IF(AND(('V06 Calend 01'!E92&gt;0),(103&gt;'V06 Calend 01'!C92),(103&lt;'V06 Calend 01'!D92),(MOD((103-'V06 Calend 01'!C92),6)=0),(((103-'V06 Calend 01'!C92)/6)&lt;='V06 Calend 01'!E92)),IF((103=('V06 Calend 01'!C92+(6*'V06 Calend 01'!E92))),('V06 Calend 01'!H92-('V06 Calend 01'!I92*('V06 Calend 01'!E92-1))),'V06 Calend 01'!I92),0))+IF((103='V06 Calend 01'!D92),'V06 Calend 01'!J92,0))</f>
        <v>0</v>
      </c>
      <c r="DL92" s="2">
        <f>((IF((104='V06 Calend 01'!C92),('V06 Calend 01'!F92+'V06 Calend 01'!G92),0)+IF(AND(('V06 Calend 01'!E92&gt;0),(104&gt;'V06 Calend 01'!C92),(104&lt;'V06 Calend 01'!D92),(MOD((104-'V06 Calend 01'!C92),6)=0),(((104-'V06 Calend 01'!C92)/6)&lt;='V06 Calend 01'!E92)),IF((104=('V06 Calend 01'!C92+(6*'V06 Calend 01'!E92))),('V06 Calend 01'!H92-('V06 Calend 01'!I92*('V06 Calend 01'!E92-1))),'V06 Calend 01'!I92),0))+IF((104='V06 Calend 01'!D92),'V06 Calend 01'!J92,0))</f>
        <v>0</v>
      </c>
      <c r="DM92" s="2">
        <f>((IF((105='V06 Calend 01'!C92),('V06 Calend 01'!F92+'V06 Calend 01'!G92),0)+IF(AND(('V06 Calend 01'!E92&gt;0),(105&gt;'V06 Calend 01'!C92),(105&lt;'V06 Calend 01'!D92),(MOD((105-'V06 Calend 01'!C92),6)=0),(((105-'V06 Calend 01'!C92)/6)&lt;='V06 Calend 01'!E92)),IF((105=('V06 Calend 01'!C92+(6*'V06 Calend 01'!E92))),('V06 Calend 01'!H92-('V06 Calend 01'!I92*('V06 Calend 01'!E92-1))),'V06 Calend 01'!I92),0))+IF((105='V06 Calend 01'!D92),'V06 Calend 01'!J92,0))</f>
        <v>0</v>
      </c>
      <c r="DN92" s="2">
        <f>((IF((106='V06 Calend 01'!C92),('V06 Calend 01'!F92+'V06 Calend 01'!G92),0)+IF(AND(('V06 Calend 01'!E92&gt;0),(106&gt;'V06 Calend 01'!C92),(106&lt;'V06 Calend 01'!D92),(MOD((106-'V06 Calend 01'!C92),6)=0),(((106-'V06 Calend 01'!C92)/6)&lt;='V06 Calend 01'!E92)),IF((106=('V06 Calend 01'!C92+(6*'V06 Calend 01'!E92))),('V06 Calend 01'!H92-('V06 Calend 01'!I92*('V06 Calend 01'!E92-1))),'V06 Calend 01'!I92),0))+IF((106='V06 Calend 01'!D92),'V06 Calend 01'!J92,0))</f>
        <v>0</v>
      </c>
      <c r="DO92" s="2">
        <f>((IF((107='V06 Calend 01'!C92),('V06 Calend 01'!F92+'V06 Calend 01'!G92),0)+IF(AND(('V06 Calend 01'!E92&gt;0),(107&gt;'V06 Calend 01'!C92),(107&lt;'V06 Calend 01'!D92),(MOD((107-'V06 Calend 01'!C92),6)=0),(((107-'V06 Calend 01'!C92)/6)&lt;='V06 Calend 01'!E92)),IF((107=('V06 Calend 01'!C92+(6*'V06 Calend 01'!E92))),('V06 Calend 01'!H92-('V06 Calend 01'!I92*('V06 Calend 01'!E92-1))),'V06 Calend 01'!I92),0))+IF((107='V06 Calend 01'!D92),'V06 Calend 01'!J92,0))</f>
        <v>0</v>
      </c>
      <c r="DP92" s="2">
        <f>((IF((108='V06 Calend 01'!C92),('V06 Calend 01'!F92+'V06 Calend 01'!G92),0)+IF(AND(('V06 Calend 01'!E92&gt;0),(108&gt;'V06 Calend 01'!C92),(108&lt;'V06 Calend 01'!D92),(MOD((108-'V06 Calend 01'!C92),6)=0),(((108-'V06 Calend 01'!C92)/6)&lt;='V06 Calend 01'!E92)),IF((108=('V06 Calend 01'!C92+(6*'V06 Calend 01'!E92))),('V06 Calend 01'!H92-('V06 Calend 01'!I92*('V06 Calend 01'!E92-1))),'V06 Calend 01'!I92),0))+IF((108='V06 Calend 01'!D92),'V06 Calend 01'!J92,0))</f>
        <v>0</v>
      </c>
      <c r="DQ92" s="2">
        <f>((IF((109='V06 Calend 01'!C92),('V06 Calend 01'!F92+'V06 Calend 01'!G92),0)+IF(AND(('V06 Calend 01'!E92&gt;0),(109&gt;'V06 Calend 01'!C92),(109&lt;'V06 Calend 01'!D92),(MOD((109-'V06 Calend 01'!C92),6)=0),(((109-'V06 Calend 01'!C92)/6)&lt;='V06 Calend 01'!E92)),IF((109=('V06 Calend 01'!C92+(6*'V06 Calend 01'!E92))),('V06 Calend 01'!H92-('V06 Calend 01'!I92*('V06 Calend 01'!E92-1))),'V06 Calend 01'!I92),0))+IF((109='V06 Calend 01'!D92),'V06 Calend 01'!J92,0))</f>
        <v>0</v>
      </c>
      <c r="DR92" s="2">
        <f>((IF((110='V06 Calend 01'!C92),('V06 Calend 01'!F92+'V06 Calend 01'!G92),0)+IF(AND(('V06 Calend 01'!E92&gt;0),(110&gt;'V06 Calend 01'!C92),(110&lt;'V06 Calend 01'!D92),(MOD((110-'V06 Calend 01'!C92),6)=0),(((110-'V06 Calend 01'!C92)/6)&lt;='V06 Calend 01'!E92)),IF((110=('V06 Calend 01'!C92+(6*'V06 Calend 01'!E92))),('V06 Calend 01'!H92-('V06 Calend 01'!I92*('V06 Calend 01'!E92-1))),'V06 Calend 01'!I92),0))+IF((110='V06 Calend 01'!D92),'V06 Calend 01'!J92,0))</f>
        <v>0</v>
      </c>
      <c r="DS92" s="2">
        <f>((IF((111='V06 Calend 01'!C92),('V06 Calend 01'!F92+'V06 Calend 01'!G92),0)+IF(AND(('V06 Calend 01'!E92&gt;0),(111&gt;'V06 Calend 01'!C92),(111&lt;'V06 Calend 01'!D92),(MOD((111-'V06 Calend 01'!C92),6)=0),(((111-'V06 Calend 01'!C92)/6)&lt;='V06 Calend 01'!E92)),IF((111=('V06 Calend 01'!C92+(6*'V06 Calend 01'!E92))),('V06 Calend 01'!H92-('V06 Calend 01'!I92*('V06 Calend 01'!E92-1))),'V06 Calend 01'!I92),0))+IF((111='V06 Calend 01'!D92),'V06 Calend 01'!J92,0))</f>
        <v>0</v>
      </c>
      <c r="DT92" s="2">
        <f>((IF((112='V06 Calend 01'!C92),('V06 Calend 01'!F92+'V06 Calend 01'!G92),0)+IF(AND(('V06 Calend 01'!E92&gt;0),(112&gt;'V06 Calend 01'!C92),(112&lt;'V06 Calend 01'!D92),(MOD((112-'V06 Calend 01'!C92),6)=0),(((112-'V06 Calend 01'!C92)/6)&lt;='V06 Calend 01'!E92)),IF((112=('V06 Calend 01'!C92+(6*'V06 Calend 01'!E92))),('V06 Calend 01'!H92-('V06 Calend 01'!I92*('V06 Calend 01'!E92-1))),'V06 Calend 01'!I92),0))+IF((112='V06 Calend 01'!D92),'V06 Calend 01'!J92,0))</f>
        <v>0</v>
      </c>
      <c r="DU92" s="2">
        <f>((IF((113='V06 Calend 01'!C92),('V06 Calend 01'!F92+'V06 Calend 01'!G92),0)+IF(AND(('V06 Calend 01'!E92&gt;0),(113&gt;'V06 Calend 01'!C92),(113&lt;'V06 Calend 01'!D92),(MOD((113-'V06 Calend 01'!C92),6)=0),(((113-'V06 Calend 01'!C92)/6)&lt;='V06 Calend 01'!E92)),IF((113=('V06 Calend 01'!C92+(6*'V06 Calend 01'!E92))),('V06 Calend 01'!H92-('V06 Calend 01'!I92*('V06 Calend 01'!E92-1))),'V06 Calend 01'!I92),0))+IF((113='V06 Calend 01'!D92),'V06 Calend 01'!J92,0))</f>
        <v>0</v>
      </c>
      <c r="DV92" s="2">
        <f>((IF((114='V06 Calend 01'!C92),('V06 Calend 01'!F92+'V06 Calend 01'!G92),0)+IF(AND(('V06 Calend 01'!E92&gt;0),(114&gt;'V06 Calend 01'!C92),(114&lt;'V06 Calend 01'!D92),(MOD((114-'V06 Calend 01'!C92),6)=0),(((114-'V06 Calend 01'!C92)/6)&lt;='V06 Calend 01'!E92)),IF((114=('V06 Calend 01'!C92+(6*'V06 Calend 01'!E92))),('V06 Calend 01'!H92-('V06 Calend 01'!I92*('V06 Calend 01'!E92-1))),'V06 Calend 01'!I92),0))+IF((114='V06 Calend 01'!D92),'V06 Calend 01'!J92,0))</f>
        <v>0</v>
      </c>
      <c r="DW92" s="2">
        <f>((IF((115='V06 Calend 01'!C92),('V06 Calend 01'!F92+'V06 Calend 01'!G92),0)+IF(AND(('V06 Calend 01'!E92&gt;0),(115&gt;'V06 Calend 01'!C92),(115&lt;'V06 Calend 01'!D92),(MOD((115-'V06 Calend 01'!C92),6)=0),(((115-'V06 Calend 01'!C92)/6)&lt;='V06 Calend 01'!E92)),IF((115=('V06 Calend 01'!C92+(6*'V06 Calend 01'!E92))),('V06 Calend 01'!H92-('V06 Calend 01'!I92*('V06 Calend 01'!E92-1))),'V06 Calend 01'!I92),0))+IF((115='V06 Calend 01'!D92),'V06 Calend 01'!J92,0))</f>
        <v>0</v>
      </c>
      <c r="DX92" s="2">
        <f>((IF((116='V06 Calend 01'!C92),('V06 Calend 01'!F92+'V06 Calend 01'!G92),0)+IF(AND(('V06 Calend 01'!E92&gt;0),(116&gt;'V06 Calend 01'!C92),(116&lt;'V06 Calend 01'!D92),(MOD((116-'V06 Calend 01'!C92),6)=0),(((116-'V06 Calend 01'!C92)/6)&lt;='V06 Calend 01'!E92)),IF((116=('V06 Calend 01'!C92+(6*'V06 Calend 01'!E92))),('V06 Calend 01'!H92-('V06 Calend 01'!I92*('V06 Calend 01'!E92-1))),'V06 Calend 01'!I92),0))+IF((116='V06 Calend 01'!D92),'V06 Calend 01'!J92,0))</f>
        <v>0</v>
      </c>
      <c r="DY92" s="2">
        <f>((IF((117='V06 Calend 01'!C92),('V06 Calend 01'!F92+'V06 Calend 01'!G92),0)+IF(AND(('V06 Calend 01'!E92&gt;0),(117&gt;'V06 Calend 01'!C92),(117&lt;'V06 Calend 01'!D92),(MOD((117-'V06 Calend 01'!C92),6)=0),(((117-'V06 Calend 01'!C92)/6)&lt;='V06 Calend 01'!E92)),IF((117=('V06 Calend 01'!C92+(6*'V06 Calend 01'!E92))),('V06 Calend 01'!H92-('V06 Calend 01'!I92*('V06 Calend 01'!E92-1))),'V06 Calend 01'!I92),0))+IF((117='V06 Calend 01'!D92),'V06 Calend 01'!J92,0))</f>
        <v>0</v>
      </c>
      <c r="DZ92" s="2">
        <f>((IF((118='V06 Calend 01'!C92),('V06 Calend 01'!F92+'V06 Calend 01'!G92),0)+IF(AND(('V06 Calend 01'!E92&gt;0),(118&gt;'V06 Calend 01'!C92),(118&lt;'V06 Calend 01'!D92),(MOD((118-'V06 Calend 01'!C92),6)=0),(((118-'V06 Calend 01'!C92)/6)&lt;='V06 Calend 01'!E92)),IF((118=('V06 Calend 01'!C92+(6*'V06 Calend 01'!E92))),('V06 Calend 01'!H92-('V06 Calend 01'!I92*('V06 Calend 01'!E92-1))),'V06 Calend 01'!I92),0))+IF((118='V06 Calend 01'!D92),'V06 Calend 01'!J92,0))</f>
        <v>0</v>
      </c>
      <c r="EA92" s="2">
        <f>((IF((119='V06 Calend 01'!C92),('V06 Calend 01'!F92+'V06 Calend 01'!G92),0)+IF(AND(('V06 Calend 01'!E92&gt;0),(119&gt;'V06 Calend 01'!C92),(119&lt;'V06 Calend 01'!D92),(MOD((119-'V06 Calend 01'!C92),6)=0),(((119-'V06 Calend 01'!C92)/6)&lt;='V06 Calend 01'!E92)),IF((119=('V06 Calend 01'!C92+(6*'V06 Calend 01'!E92))),('V06 Calend 01'!H92-('V06 Calend 01'!I92*('V06 Calend 01'!E92-1))),'V06 Calend 01'!I92),0))+IF((119='V06 Calend 01'!D92),'V06 Calend 01'!J92,0))</f>
        <v>0</v>
      </c>
      <c r="EB92" s="2">
        <f>((IF((120='V06 Calend 01'!C92),('V06 Calend 01'!F92+'V06 Calend 01'!G92),0)+IF(AND(('V06 Calend 01'!E92&gt;0),(120&gt;'V06 Calend 01'!C92),(120&lt;'V06 Calend 01'!D92),(MOD((120-'V06 Calend 01'!C92),6)=0),(((120-'V06 Calend 01'!C92)/6)&lt;='V06 Calend 01'!E92)),IF((120=('V06 Calend 01'!C92+(6*'V06 Calend 01'!E92))),('V06 Calend 01'!H92-('V06 Calend 01'!I92*('V06 Calend 01'!E92-1))),'V06 Calend 01'!I92),0))+IF((120='V06 Calend 01'!D92),'V06 Calend 01'!J92,0))</f>
        <v>0</v>
      </c>
      <c r="EC92" s="2">
        <f>((IF((121='V06 Calend 01'!C92),('V06 Calend 01'!F92+'V06 Calend 01'!G92),0)+IF(AND(('V06 Calend 01'!E92&gt;0),(121&gt;'V06 Calend 01'!C92),(121&lt;'V06 Calend 01'!D92),(MOD((121-'V06 Calend 01'!C92),6)=0),(((121-'V06 Calend 01'!C92)/6)&lt;='V06 Calend 01'!E92)),IF((121=('V06 Calend 01'!C92+(6*'V06 Calend 01'!E92))),('V06 Calend 01'!H92-('V06 Calend 01'!I92*('V06 Calend 01'!E92-1))),'V06 Calend 01'!I92),0))+IF((121='V06 Calend 01'!D92),'V06 Calend 01'!J92,0))</f>
        <v>0</v>
      </c>
      <c r="ED92" s="2">
        <f>((IF((122='V06 Calend 01'!C92),('V06 Calend 01'!F92+'V06 Calend 01'!G92),0)+IF(AND(('V06 Calend 01'!E92&gt;0),(122&gt;'V06 Calend 01'!C92),(122&lt;'V06 Calend 01'!D92),(MOD((122-'V06 Calend 01'!C92),6)=0),(((122-'V06 Calend 01'!C92)/6)&lt;='V06 Calend 01'!E92)),IF((122=('V06 Calend 01'!C92+(6*'V06 Calend 01'!E92))),('V06 Calend 01'!H92-('V06 Calend 01'!I92*('V06 Calend 01'!E92-1))),'V06 Calend 01'!I92),0))+IF((122='V06 Calend 01'!D92),'V06 Calend 01'!J92,0))</f>
        <v>0</v>
      </c>
      <c r="EE92" s="2">
        <f>((IF((123='V06 Calend 01'!C92),('V06 Calend 01'!F92+'V06 Calend 01'!G92),0)+IF(AND(('V06 Calend 01'!E92&gt;0),(123&gt;'V06 Calend 01'!C92),(123&lt;'V06 Calend 01'!D92),(MOD((123-'V06 Calend 01'!C92),6)=0),(((123-'V06 Calend 01'!C92)/6)&lt;='V06 Calend 01'!E92)),IF((123=('V06 Calend 01'!C92+(6*'V06 Calend 01'!E92))),('V06 Calend 01'!H92-('V06 Calend 01'!I92*('V06 Calend 01'!E92-1))),'V06 Calend 01'!I92),0))+IF((123='V06 Calend 01'!D92),'V06 Calend 01'!J92,0))</f>
        <v>0</v>
      </c>
      <c r="EF92" s="2">
        <f>((IF((124='V06 Calend 01'!C92),('V06 Calend 01'!F92+'V06 Calend 01'!G92),0)+IF(AND(('V06 Calend 01'!E92&gt;0),(124&gt;'V06 Calend 01'!C92),(124&lt;'V06 Calend 01'!D92),(MOD((124-'V06 Calend 01'!C92),6)=0),(((124-'V06 Calend 01'!C92)/6)&lt;='V06 Calend 01'!E92)),IF((124=('V06 Calend 01'!C92+(6*'V06 Calend 01'!E92))),('V06 Calend 01'!H92-('V06 Calend 01'!I92*('V06 Calend 01'!E92-1))),'V06 Calend 01'!I92),0))+IF((124='V06 Calend 01'!D92),'V06 Calend 01'!J92,0))</f>
        <v>0</v>
      </c>
      <c r="EG92" s="2">
        <f>((IF((125='V06 Calend 01'!C92),('V06 Calend 01'!F92+'V06 Calend 01'!G92),0)+IF(AND(('V06 Calend 01'!E92&gt;0),(125&gt;'V06 Calend 01'!C92),(125&lt;'V06 Calend 01'!D92),(MOD((125-'V06 Calend 01'!C92),6)=0),(((125-'V06 Calend 01'!C92)/6)&lt;='V06 Calend 01'!E92)),IF((125=('V06 Calend 01'!C92+(6*'V06 Calend 01'!E92))),('V06 Calend 01'!H92-('V06 Calend 01'!I92*('V06 Calend 01'!E92-1))),'V06 Calend 01'!I92),0))+IF((125='V06 Calend 01'!D92),'V06 Calend 01'!J92,0))</f>
        <v>0</v>
      </c>
      <c r="EH92" s="2">
        <f>((IF((126='V06 Calend 01'!C92),('V06 Calend 01'!F92+'V06 Calend 01'!G92),0)+IF(AND(('V06 Calend 01'!E92&gt;0),(126&gt;'V06 Calend 01'!C92),(126&lt;'V06 Calend 01'!D92),(MOD((126-'V06 Calend 01'!C92),6)=0),(((126-'V06 Calend 01'!C92)/6)&lt;='V06 Calend 01'!E92)),IF((126=('V06 Calend 01'!C92+(6*'V06 Calend 01'!E92))),('V06 Calend 01'!H92-('V06 Calend 01'!I92*('V06 Calend 01'!E92-1))),'V06 Calend 01'!I92),0))+IF((126='V06 Calend 01'!D92),'V06 Calend 01'!J92,0))</f>
        <v>0</v>
      </c>
      <c r="EI92" s="2">
        <f>((IF((127='V06 Calend 01'!C92),('V06 Calend 01'!F92+'V06 Calend 01'!G92),0)+IF(AND(('V06 Calend 01'!E92&gt;0),(127&gt;'V06 Calend 01'!C92),(127&lt;'V06 Calend 01'!D92),(MOD((127-'V06 Calend 01'!C92),6)=0),(((127-'V06 Calend 01'!C92)/6)&lt;='V06 Calend 01'!E92)),IF((127=('V06 Calend 01'!C92+(6*'V06 Calend 01'!E92))),('V06 Calend 01'!H92-('V06 Calend 01'!I92*('V06 Calend 01'!E92-1))),'V06 Calend 01'!I92),0))+IF((127='V06 Calend 01'!D92),'V06 Calend 01'!J92,0))</f>
        <v>0</v>
      </c>
      <c r="EJ92" s="2">
        <f>((IF((128='V06 Calend 01'!C92),('V06 Calend 01'!F92+'V06 Calend 01'!G92),0)+IF(AND(('V06 Calend 01'!E92&gt;0),(128&gt;'V06 Calend 01'!C92),(128&lt;'V06 Calend 01'!D92),(MOD((128-'V06 Calend 01'!C92),6)=0),(((128-'V06 Calend 01'!C92)/6)&lt;='V06 Calend 01'!E92)),IF((128=('V06 Calend 01'!C92+(6*'V06 Calend 01'!E92))),('V06 Calend 01'!H92-('V06 Calend 01'!I92*('V06 Calend 01'!E92-1))),'V06 Calend 01'!I92),0))+IF((128='V06 Calend 01'!D92),'V06 Calend 01'!J92,0))</f>
        <v>0</v>
      </c>
      <c r="EK92" s="2">
        <f>((IF((129='V06 Calend 01'!C92),('V06 Calend 01'!F92+'V06 Calend 01'!G92),0)+IF(AND(('V06 Calend 01'!E92&gt;0),(129&gt;'V06 Calend 01'!C92),(129&lt;'V06 Calend 01'!D92),(MOD((129-'V06 Calend 01'!C92),6)=0),(((129-'V06 Calend 01'!C92)/6)&lt;='V06 Calend 01'!E92)),IF((129=('V06 Calend 01'!C92+(6*'V06 Calend 01'!E92))),('V06 Calend 01'!H92-('V06 Calend 01'!I92*('V06 Calend 01'!E92-1))),'V06 Calend 01'!I92),0))+IF((129='V06 Calend 01'!D92),'V06 Calend 01'!J92,0))</f>
        <v>0</v>
      </c>
      <c r="EL92" s="2">
        <f>((IF((130='V06 Calend 01'!C92),('V06 Calend 01'!F92+'V06 Calend 01'!G92),0)+IF(AND(('V06 Calend 01'!E92&gt;0),(130&gt;'V06 Calend 01'!C92),(130&lt;'V06 Calend 01'!D92),(MOD((130-'V06 Calend 01'!C92),6)=0),(((130-'V06 Calend 01'!C92)/6)&lt;='V06 Calend 01'!E92)),IF((130=('V06 Calend 01'!C92+(6*'V06 Calend 01'!E92))),('V06 Calend 01'!H92-('V06 Calend 01'!I92*('V06 Calend 01'!E92-1))),'V06 Calend 01'!I92),0))+IF((130='V06 Calend 01'!D92),'V06 Calend 01'!J92,0))</f>
        <v>0</v>
      </c>
      <c r="EM92" s="2">
        <f>((IF((131='V06 Calend 01'!C92),('V06 Calend 01'!F92+'V06 Calend 01'!G92),0)+IF(AND(('V06 Calend 01'!E92&gt;0),(131&gt;'V06 Calend 01'!C92),(131&lt;'V06 Calend 01'!D92),(MOD((131-'V06 Calend 01'!C92),6)=0),(((131-'V06 Calend 01'!C92)/6)&lt;='V06 Calend 01'!E92)),IF((131=('V06 Calend 01'!C92+(6*'V06 Calend 01'!E92))),('V06 Calend 01'!H92-('V06 Calend 01'!I92*('V06 Calend 01'!E92-1))),'V06 Calend 01'!I92),0))+IF((131='V06 Calend 01'!D92),'V06 Calend 01'!J92,0))</f>
        <v>0</v>
      </c>
      <c r="EN92" s="2">
        <f>((IF((132='V06 Calend 01'!C92),('V06 Calend 01'!F92+'V06 Calend 01'!G92),0)+IF(AND(('V06 Calend 01'!E92&gt;0),(132&gt;'V06 Calend 01'!C92),(132&lt;'V06 Calend 01'!D92),(MOD((132-'V06 Calend 01'!C92),6)=0),(((132-'V06 Calend 01'!C92)/6)&lt;='V06 Calend 01'!E92)),IF((132=('V06 Calend 01'!C92+(6*'V06 Calend 01'!E92))),('V06 Calend 01'!H92-('V06 Calend 01'!I92*('V06 Calend 01'!E92-1))),'V06 Calend 01'!I92),0))+IF((132='V06 Calend 01'!D92),'V06 Calend 01'!J92,0))</f>
        <v>0</v>
      </c>
      <c r="EO92" s="2">
        <f>((IF((133='V06 Calend 01'!C92),('V06 Calend 01'!F92+'V06 Calend 01'!G92),0)+IF(AND(('V06 Calend 01'!E92&gt;0),(133&gt;'V06 Calend 01'!C92),(133&lt;'V06 Calend 01'!D92),(MOD((133-'V06 Calend 01'!C92),6)=0),(((133-'V06 Calend 01'!C92)/6)&lt;='V06 Calend 01'!E92)),IF((133=('V06 Calend 01'!C92+(6*'V06 Calend 01'!E92))),('V06 Calend 01'!H92-('V06 Calend 01'!I92*('V06 Calend 01'!E92-1))),'V06 Calend 01'!I92),0))+IF((133='V06 Calend 01'!D92),'V06 Calend 01'!J92,0))</f>
        <v>0</v>
      </c>
      <c r="EP92" s="2">
        <f>((IF((134='V06 Calend 01'!C92),('V06 Calend 01'!F92+'V06 Calend 01'!G92),0)+IF(AND(('V06 Calend 01'!E92&gt;0),(134&gt;'V06 Calend 01'!C92),(134&lt;'V06 Calend 01'!D92),(MOD((134-'V06 Calend 01'!C92),6)=0),(((134-'V06 Calend 01'!C92)/6)&lt;='V06 Calend 01'!E92)),IF((134=('V06 Calend 01'!C92+(6*'V06 Calend 01'!E92))),('V06 Calend 01'!H92-('V06 Calend 01'!I92*('V06 Calend 01'!E92-1))),'V06 Calend 01'!I92),0))+IF((134='V06 Calend 01'!D92),'V06 Calend 01'!J92,0))</f>
        <v>0</v>
      </c>
      <c r="EQ92" s="2">
        <f>((IF((135='V06 Calend 01'!C92),('V06 Calend 01'!F92+'V06 Calend 01'!G92),0)+IF(AND(('V06 Calend 01'!E92&gt;0),(135&gt;'V06 Calend 01'!C92),(135&lt;'V06 Calend 01'!D92),(MOD((135-'V06 Calend 01'!C92),6)=0),(((135-'V06 Calend 01'!C92)/6)&lt;='V06 Calend 01'!E92)),IF((135=('V06 Calend 01'!C92+(6*'V06 Calend 01'!E92))),('V06 Calend 01'!H92-('V06 Calend 01'!I92*('V06 Calend 01'!E92-1))),'V06 Calend 01'!I92),0))+IF((135='V06 Calend 01'!D92),'V06 Calend 01'!J92,0))</f>
        <v>0</v>
      </c>
      <c r="ER92" s="2">
        <f>((IF((136='V06 Calend 01'!C92),('V06 Calend 01'!F92+'V06 Calend 01'!G92),0)+IF(AND(('V06 Calend 01'!E92&gt;0),(136&gt;'V06 Calend 01'!C92),(136&lt;'V06 Calend 01'!D92),(MOD((136-'V06 Calend 01'!C92),6)=0),(((136-'V06 Calend 01'!C92)/6)&lt;='V06 Calend 01'!E92)),IF((136=('V06 Calend 01'!C92+(6*'V06 Calend 01'!E92))),('V06 Calend 01'!H92-('V06 Calend 01'!I92*('V06 Calend 01'!E92-1))),'V06 Calend 01'!I92),0))+IF((136='V06 Calend 01'!D92),'V06 Calend 01'!J92,0))</f>
        <v>0</v>
      </c>
      <c r="ES92" s="2">
        <f>((IF((137='V06 Calend 01'!C92),('V06 Calend 01'!F92+'V06 Calend 01'!G92),0)+IF(AND(('V06 Calend 01'!E92&gt;0),(137&gt;'V06 Calend 01'!C92),(137&lt;'V06 Calend 01'!D92),(MOD((137-'V06 Calend 01'!C92),6)=0),(((137-'V06 Calend 01'!C92)/6)&lt;='V06 Calend 01'!E92)),IF((137=('V06 Calend 01'!C92+(6*'V06 Calend 01'!E92))),('V06 Calend 01'!H92-('V06 Calend 01'!I92*('V06 Calend 01'!E92-1))),'V06 Calend 01'!I92),0))+IF((137='V06 Calend 01'!D92),'V06 Calend 01'!J92,0))</f>
        <v>0</v>
      </c>
      <c r="ET92" s="2">
        <f>((IF((138='V06 Calend 01'!C92),('V06 Calend 01'!F92+'V06 Calend 01'!G92),0)+IF(AND(('V06 Calend 01'!E92&gt;0),(138&gt;'V06 Calend 01'!C92),(138&lt;'V06 Calend 01'!D92),(MOD((138-'V06 Calend 01'!C92),6)=0),(((138-'V06 Calend 01'!C92)/6)&lt;='V06 Calend 01'!E92)),IF((138=('V06 Calend 01'!C92+(6*'V06 Calend 01'!E92))),('V06 Calend 01'!H92-('V06 Calend 01'!I92*('V06 Calend 01'!E92-1))),'V06 Calend 01'!I92),0))+IF((138='V06 Calend 01'!D92),'V06 Calend 01'!J92,0))</f>
        <v>0</v>
      </c>
      <c r="EU92" s="2">
        <f>((IF((139='V06 Calend 01'!C92),('V06 Calend 01'!F92+'V06 Calend 01'!G92),0)+IF(AND(('V06 Calend 01'!E92&gt;0),(139&gt;'V06 Calend 01'!C92),(139&lt;'V06 Calend 01'!D92),(MOD((139-'V06 Calend 01'!C92),6)=0),(((139-'V06 Calend 01'!C92)/6)&lt;='V06 Calend 01'!E92)),IF((139=('V06 Calend 01'!C92+(6*'V06 Calend 01'!E92))),('V06 Calend 01'!H92-('V06 Calend 01'!I92*('V06 Calend 01'!E92-1))),'V06 Calend 01'!I92),0))+IF((139='V06 Calend 01'!D92),'V06 Calend 01'!J92,0))</f>
        <v>0</v>
      </c>
      <c r="EV92" s="2">
        <f>((IF((140='V06 Calend 01'!C92),('V06 Calend 01'!F92+'V06 Calend 01'!G92),0)+IF(AND(('V06 Calend 01'!E92&gt;0),(140&gt;'V06 Calend 01'!C92),(140&lt;'V06 Calend 01'!D92),(MOD((140-'V06 Calend 01'!C92),6)=0),(((140-'V06 Calend 01'!C92)/6)&lt;='V06 Calend 01'!E92)),IF((140=('V06 Calend 01'!C92+(6*'V06 Calend 01'!E92))),('V06 Calend 01'!H92-('V06 Calend 01'!I92*('V06 Calend 01'!E92-1))),'V06 Calend 01'!I92),0))+IF((140='V06 Calend 01'!D92),'V06 Calend 01'!J92,0))</f>
        <v>0</v>
      </c>
      <c r="EW92" s="2">
        <f>((IF((141='V06 Calend 01'!C92),('V06 Calend 01'!F92+'V06 Calend 01'!G92),0)+IF(AND(('V06 Calend 01'!E92&gt;0),(141&gt;'V06 Calend 01'!C92),(141&lt;'V06 Calend 01'!D92),(MOD((141-'V06 Calend 01'!C92),6)=0),(((141-'V06 Calend 01'!C92)/6)&lt;='V06 Calend 01'!E92)),IF((141=('V06 Calend 01'!C92+(6*'V06 Calend 01'!E92))),('V06 Calend 01'!H92-('V06 Calend 01'!I92*('V06 Calend 01'!E92-1))),'V06 Calend 01'!I92),0))+IF((141='V06 Calend 01'!D92),'V06 Calend 01'!J92,0))</f>
        <v>0</v>
      </c>
      <c r="EX92" s="2">
        <f>((IF((142='V06 Calend 01'!C92),('V06 Calend 01'!F92+'V06 Calend 01'!G92),0)+IF(AND(('V06 Calend 01'!E92&gt;0),(142&gt;'V06 Calend 01'!C92),(142&lt;'V06 Calend 01'!D92),(MOD((142-'V06 Calend 01'!C92),6)=0),(((142-'V06 Calend 01'!C92)/6)&lt;='V06 Calend 01'!E92)),IF((142=('V06 Calend 01'!C92+(6*'V06 Calend 01'!E92))),('V06 Calend 01'!H92-('V06 Calend 01'!I92*('V06 Calend 01'!E92-1))),'V06 Calend 01'!I92),0))+IF((142='V06 Calend 01'!D92),'V06 Calend 01'!J92,0))</f>
        <v>0</v>
      </c>
      <c r="EY92" s="2">
        <f>((IF((143='V06 Calend 01'!C92),('V06 Calend 01'!F92+'V06 Calend 01'!G92),0)+IF(AND(('V06 Calend 01'!E92&gt;0),(143&gt;'V06 Calend 01'!C92),(143&lt;'V06 Calend 01'!D92),(MOD((143-'V06 Calend 01'!C92),6)=0),(((143-'V06 Calend 01'!C92)/6)&lt;='V06 Calend 01'!E92)),IF((143=('V06 Calend 01'!C92+(6*'V06 Calend 01'!E92))),('V06 Calend 01'!H92-('V06 Calend 01'!I92*('V06 Calend 01'!E92-1))),'V06 Calend 01'!I92),0))+IF((143='V06 Calend 01'!D92),'V06 Calend 01'!J92,0))</f>
        <v>0</v>
      </c>
      <c r="EZ92" s="2">
        <f>((IF((144='V06 Calend 01'!C92),('V06 Calend 01'!F92+'V06 Calend 01'!G92),0)+IF(AND(('V06 Calend 01'!E92&gt;0),(144&gt;'V06 Calend 01'!C92),(144&lt;'V06 Calend 01'!D92),(MOD((144-'V06 Calend 01'!C92),6)=0),(((144-'V06 Calend 01'!C92)/6)&lt;='V06 Calend 01'!E92)),IF((144=('V06 Calend 01'!C92+(6*'V06 Calend 01'!E92))),('V06 Calend 01'!H92-('V06 Calend 01'!I92*('V06 Calend 01'!E92-1))),'V06 Calend 01'!I92),0))+IF((144='V06 Calend 01'!D92),'V06 Calend 01'!J92,0))</f>
        <v>0</v>
      </c>
      <c r="FA92" s="2">
        <f>((IF((145='V06 Calend 01'!C92),('V06 Calend 01'!F92+'V06 Calend 01'!G92),0)+IF(AND(('V06 Calend 01'!E92&gt;0),(145&gt;'V06 Calend 01'!C92),(145&lt;'V06 Calend 01'!D92),(MOD((145-'V06 Calend 01'!C92),6)=0),(((145-'V06 Calend 01'!C92)/6)&lt;='V06 Calend 01'!E92)),IF((145=('V06 Calend 01'!C92+(6*'V06 Calend 01'!E92))),('V06 Calend 01'!H92-('V06 Calend 01'!I92*('V06 Calend 01'!E92-1))),'V06 Calend 01'!I92),0))+IF((145='V06 Calend 01'!D92),'V06 Calend 01'!J92,0))</f>
        <v>0</v>
      </c>
      <c r="FB92" s="2">
        <f>((IF((146='V06 Calend 01'!C92),('V06 Calend 01'!F92+'V06 Calend 01'!G92),0)+IF(AND(('V06 Calend 01'!E92&gt;0),(146&gt;'V06 Calend 01'!C92),(146&lt;'V06 Calend 01'!D92),(MOD((146-'V06 Calend 01'!C92),6)=0),(((146-'V06 Calend 01'!C92)/6)&lt;='V06 Calend 01'!E92)),IF((146=('V06 Calend 01'!C92+(6*'V06 Calend 01'!E92))),('V06 Calend 01'!H92-('V06 Calend 01'!I92*('V06 Calend 01'!E92-1))),'V06 Calend 01'!I92),0))+IF((146='V06 Calend 01'!D92),'V06 Calend 01'!J92,0))</f>
        <v>0</v>
      </c>
      <c r="FC92" s="2">
        <f>((IF((147='V06 Calend 01'!C92),('V06 Calend 01'!F92+'V06 Calend 01'!G92),0)+IF(AND(('V06 Calend 01'!E92&gt;0),(147&gt;'V06 Calend 01'!C92),(147&lt;'V06 Calend 01'!D92),(MOD((147-'V06 Calend 01'!C92),6)=0),(((147-'V06 Calend 01'!C92)/6)&lt;='V06 Calend 01'!E92)),IF((147=('V06 Calend 01'!C92+(6*'V06 Calend 01'!E92))),('V06 Calend 01'!H92-('V06 Calend 01'!I92*('V06 Calend 01'!E92-1))),'V06 Calend 01'!I92),0))+IF((147='V06 Calend 01'!D92),'V06 Calend 01'!J92,0))</f>
        <v>0</v>
      </c>
      <c r="FD92" s="2">
        <f>((IF((148='V06 Calend 01'!C92),('V06 Calend 01'!F92+'V06 Calend 01'!G92),0)+IF(AND(('V06 Calend 01'!E92&gt;0),(148&gt;'V06 Calend 01'!C92),(148&lt;'V06 Calend 01'!D92),(MOD((148-'V06 Calend 01'!C92),6)=0),(((148-'V06 Calend 01'!C92)/6)&lt;='V06 Calend 01'!E92)),IF((148=('V06 Calend 01'!C92+(6*'V06 Calend 01'!E92))),('V06 Calend 01'!H92-('V06 Calend 01'!I92*('V06 Calend 01'!E92-1))),'V06 Calend 01'!I92),0))+IF((148='V06 Calend 01'!D92),'V06 Calend 01'!J92,0))</f>
        <v>0</v>
      </c>
      <c r="FE92" s="2">
        <f>((IF((149='V06 Calend 01'!C92),('V06 Calend 01'!F92+'V06 Calend 01'!G92),0)+IF(AND(('V06 Calend 01'!E92&gt;0),(149&gt;'V06 Calend 01'!C92),(149&lt;'V06 Calend 01'!D92),(MOD((149-'V06 Calend 01'!C92),6)=0),(((149-'V06 Calend 01'!C92)/6)&lt;='V06 Calend 01'!E92)),IF((149=('V06 Calend 01'!C92+(6*'V06 Calend 01'!E92))),('V06 Calend 01'!H92-('V06 Calend 01'!I92*('V06 Calend 01'!E92-1))),'V06 Calend 01'!I92),0))+IF((149='V06 Calend 01'!D92),'V06 Calend 01'!J92,0))</f>
        <v>0</v>
      </c>
      <c r="FF92" s="2">
        <f>((IF((150='V06 Calend 01'!C92),('V06 Calend 01'!F92+'V06 Calend 01'!G92),0)+IF(AND(('V06 Calend 01'!E92&gt;0),(150&gt;'V06 Calend 01'!C92),(150&lt;'V06 Calend 01'!D92),(MOD((150-'V06 Calend 01'!C92),6)=0),(((150-'V06 Calend 01'!C92)/6)&lt;='V06 Calend 01'!E92)),IF((150=('V06 Calend 01'!C92+(6*'V06 Calend 01'!E92))),('V06 Calend 01'!H92-('V06 Calend 01'!I92*('V06 Calend 01'!E92-1))),'V06 Calend 01'!I92),0))+IF((150='V06 Calend 01'!D92),'V06 Calend 01'!J92,0))</f>
        <v>0</v>
      </c>
      <c r="FG92" s="2">
        <f>((IF((151='V06 Calend 01'!C92),('V06 Calend 01'!F92+'V06 Calend 01'!G92),0)+IF(AND(('V06 Calend 01'!E92&gt;0),(151&gt;'V06 Calend 01'!C92),(151&lt;'V06 Calend 01'!D92),(MOD((151-'V06 Calend 01'!C92),6)=0),(((151-'V06 Calend 01'!C92)/6)&lt;='V06 Calend 01'!E92)),IF((151=('V06 Calend 01'!C92+(6*'V06 Calend 01'!E92))),('V06 Calend 01'!H92-('V06 Calend 01'!I92*('V06 Calend 01'!E92-1))),'V06 Calend 01'!I92),0))+IF((151='V06 Calend 01'!D92),'V06 Calend 01'!J92,0))</f>
        <v>0</v>
      </c>
      <c r="FH92" s="2">
        <f>((IF((152='V06 Calend 01'!C92),('V06 Calend 01'!F92+'V06 Calend 01'!G92),0)+IF(AND(('V06 Calend 01'!E92&gt;0),(152&gt;'V06 Calend 01'!C92),(152&lt;'V06 Calend 01'!D92),(MOD((152-'V06 Calend 01'!C92),6)=0),(((152-'V06 Calend 01'!C92)/6)&lt;='V06 Calend 01'!E92)),IF((152=('V06 Calend 01'!C92+(6*'V06 Calend 01'!E92))),('V06 Calend 01'!H92-('V06 Calend 01'!I92*('V06 Calend 01'!E92-1))),'V06 Calend 01'!I92),0))+IF((152='V06 Calend 01'!D92),'V06 Calend 01'!J92,0))</f>
        <v>0</v>
      </c>
      <c r="FI92" s="2">
        <f>((IF((153='V06 Calend 01'!C92),('V06 Calend 01'!F92+'V06 Calend 01'!G92),0)+IF(AND(('V06 Calend 01'!E92&gt;0),(153&gt;'V06 Calend 01'!C92),(153&lt;'V06 Calend 01'!D92),(MOD((153-'V06 Calend 01'!C92),6)=0),(((153-'V06 Calend 01'!C92)/6)&lt;='V06 Calend 01'!E92)),IF((153=('V06 Calend 01'!C92+(6*'V06 Calend 01'!E92))),('V06 Calend 01'!H92-('V06 Calend 01'!I92*('V06 Calend 01'!E92-1))),'V06 Calend 01'!I92),0))+IF((153='V06 Calend 01'!D92),'V06 Calend 01'!J92,0))</f>
        <v>0</v>
      </c>
      <c r="FJ92" s="2">
        <f>((IF((154='V06 Calend 01'!C92),('V06 Calend 01'!F92+'V06 Calend 01'!G92),0)+IF(AND(('V06 Calend 01'!E92&gt;0),(154&gt;'V06 Calend 01'!C92),(154&lt;'V06 Calend 01'!D92),(MOD((154-'V06 Calend 01'!C92),6)=0),(((154-'V06 Calend 01'!C92)/6)&lt;='V06 Calend 01'!E92)),IF((154=('V06 Calend 01'!C92+(6*'V06 Calend 01'!E92))),('V06 Calend 01'!H92-('V06 Calend 01'!I92*('V06 Calend 01'!E92-1))),'V06 Calend 01'!I92),0))+IF((154='V06 Calend 01'!D92),'V06 Calend 01'!J92,0))</f>
        <v>0</v>
      </c>
      <c r="FK92" s="2">
        <f>((IF((155='V06 Calend 01'!C92),('V06 Calend 01'!F92+'V06 Calend 01'!G92),0)+IF(AND(('V06 Calend 01'!E92&gt;0),(155&gt;'V06 Calend 01'!C92),(155&lt;'V06 Calend 01'!D92),(MOD((155-'V06 Calend 01'!C92),6)=0),(((155-'V06 Calend 01'!C92)/6)&lt;='V06 Calend 01'!E92)),IF((155=('V06 Calend 01'!C92+(6*'V06 Calend 01'!E92))),('V06 Calend 01'!H92-('V06 Calend 01'!I92*('V06 Calend 01'!E92-1))),'V06 Calend 01'!I92),0))+IF((155='V06 Calend 01'!D92),'V06 Calend 01'!J92,0))</f>
        <v>0</v>
      </c>
      <c r="FL92" s="2">
        <f>((IF((156='V06 Calend 01'!C92),('V06 Calend 01'!F92+'V06 Calend 01'!G92),0)+IF(AND(('V06 Calend 01'!E92&gt;0),(156&gt;'V06 Calend 01'!C92),(156&lt;'V06 Calend 01'!D92),(MOD((156-'V06 Calend 01'!C92),6)=0),(((156-'V06 Calend 01'!C92)/6)&lt;='V06 Calend 01'!E92)),IF((156=('V06 Calend 01'!C92+(6*'V06 Calend 01'!E92))),('V06 Calend 01'!H92-('V06 Calend 01'!I92*('V06 Calend 01'!E92-1))),'V06 Calend 01'!I92),0))+IF((156='V06 Calend 01'!D92),'V06 Calend 01'!J92,0))</f>
        <v>0</v>
      </c>
      <c r="FM92" s="2">
        <f>((IF((157='V06 Calend 01'!C92),('V06 Calend 01'!F92+'V06 Calend 01'!G92),0)+IF(AND(('V06 Calend 01'!E92&gt;0),(157&gt;'V06 Calend 01'!C92),(157&lt;'V06 Calend 01'!D92),(MOD((157-'V06 Calend 01'!C92),6)=0),(((157-'V06 Calend 01'!C92)/6)&lt;='V06 Calend 01'!E92)),IF((157=('V06 Calend 01'!C92+(6*'V06 Calend 01'!E92))),('V06 Calend 01'!H92-('V06 Calend 01'!I92*('V06 Calend 01'!E92-1))),'V06 Calend 01'!I92),0))+IF((157='V06 Calend 01'!D92),'V06 Calend 01'!J92,0))</f>
        <v>0</v>
      </c>
      <c r="FN92" s="2">
        <f>((IF((158='V06 Calend 01'!C92),('V06 Calend 01'!F92+'V06 Calend 01'!G92),0)+IF(AND(('V06 Calend 01'!E92&gt;0),(158&gt;'V06 Calend 01'!C92),(158&lt;'V06 Calend 01'!D92),(MOD((158-'V06 Calend 01'!C92),6)=0),(((158-'V06 Calend 01'!C92)/6)&lt;='V06 Calend 01'!E92)),IF((158=('V06 Calend 01'!C92+(6*'V06 Calend 01'!E92))),('V06 Calend 01'!H92-('V06 Calend 01'!I92*('V06 Calend 01'!E92-1))),'V06 Calend 01'!I92),0))+IF((158='V06 Calend 01'!D92),'V06 Calend 01'!J92,0))</f>
        <v>0</v>
      </c>
      <c r="FO92" s="2">
        <f>((IF((159='V06 Calend 01'!C92),('V06 Calend 01'!F92+'V06 Calend 01'!G92),0)+IF(AND(('V06 Calend 01'!E92&gt;0),(159&gt;'V06 Calend 01'!C92),(159&lt;'V06 Calend 01'!D92),(MOD((159-'V06 Calend 01'!C92),6)=0),(((159-'V06 Calend 01'!C92)/6)&lt;='V06 Calend 01'!E92)),IF((159=('V06 Calend 01'!C92+(6*'V06 Calend 01'!E92))),('V06 Calend 01'!H92-('V06 Calend 01'!I92*('V06 Calend 01'!E92-1))),'V06 Calend 01'!I92),0))+IF((159='V06 Calend 01'!D92),'V06 Calend 01'!J92,0))</f>
        <v>0</v>
      </c>
      <c r="FP92" s="2">
        <f>((IF((160='V06 Calend 01'!C92),('V06 Calend 01'!F92+'V06 Calend 01'!G92),0)+IF(AND(('V06 Calend 01'!E92&gt;0),(160&gt;'V06 Calend 01'!C92),(160&lt;'V06 Calend 01'!D92),(MOD((160-'V06 Calend 01'!C92),6)=0),(((160-'V06 Calend 01'!C92)/6)&lt;='V06 Calend 01'!E92)),IF((160=('V06 Calend 01'!C92+(6*'V06 Calend 01'!E92))),('V06 Calend 01'!H92-('V06 Calend 01'!I92*('V06 Calend 01'!E92-1))),'V06 Calend 01'!I92),0))+IF((160='V06 Calend 01'!D92),'V06 Calend 01'!J92,0))</f>
        <v>0</v>
      </c>
      <c r="FQ92" s="2">
        <f>((IF((161='V06 Calend 01'!C92),('V06 Calend 01'!F92+'V06 Calend 01'!G92),0)+IF(AND(('V06 Calend 01'!E92&gt;0),(161&gt;'V06 Calend 01'!C92),(161&lt;'V06 Calend 01'!D92),(MOD((161-'V06 Calend 01'!C92),6)=0),(((161-'V06 Calend 01'!C92)/6)&lt;='V06 Calend 01'!E92)),IF((161=('V06 Calend 01'!C92+(6*'V06 Calend 01'!E92))),('V06 Calend 01'!H92-('V06 Calend 01'!I92*('V06 Calend 01'!E92-1))),'V06 Calend 01'!I92),0))+IF((161='V06 Calend 01'!D92),'V06 Calend 01'!J92,0))</f>
        <v>0</v>
      </c>
      <c r="FR92" s="2">
        <f>((IF((162='V06 Calend 01'!C92),('V06 Calend 01'!F92+'V06 Calend 01'!G92),0)+IF(AND(('V06 Calend 01'!E92&gt;0),(162&gt;'V06 Calend 01'!C92),(162&lt;'V06 Calend 01'!D92),(MOD((162-'V06 Calend 01'!C92),6)=0),(((162-'V06 Calend 01'!C92)/6)&lt;='V06 Calend 01'!E92)),IF((162=('V06 Calend 01'!C92+(6*'V06 Calend 01'!E92))),('V06 Calend 01'!H92-('V06 Calend 01'!I92*('V06 Calend 01'!E92-1))),'V06 Calend 01'!I92),0))+IF((162='V06 Calend 01'!D92),'V06 Calend 01'!J92,0))</f>
        <v>0</v>
      </c>
      <c r="FS92" s="2">
        <f>((IF((163='V06 Calend 01'!C92),('V06 Calend 01'!F92+'V06 Calend 01'!G92),0)+IF(AND(('V06 Calend 01'!E92&gt;0),(163&gt;'V06 Calend 01'!C92),(163&lt;'V06 Calend 01'!D92),(MOD((163-'V06 Calend 01'!C92),6)=0),(((163-'V06 Calend 01'!C92)/6)&lt;='V06 Calend 01'!E92)),IF((163=('V06 Calend 01'!C92+(6*'V06 Calend 01'!E92))),('V06 Calend 01'!H92-('V06 Calend 01'!I92*('V06 Calend 01'!E92-1))),'V06 Calend 01'!I92),0))+IF((163='V06 Calend 01'!D92),'V06 Calend 01'!J92,0))</f>
        <v>0</v>
      </c>
      <c r="FT92" s="2">
        <f>((IF((164='V06 Calend 01'!C92),('V06 Calend 01'!F92+'V06 Calend 01'!G92),0)+IF(AND(('V06 Calend 01'!E92&gt;0),(164&gt;'V06 Calend 01'!C92),(164&lt;'V06 Calend 01'!D92),(MOD((164-'V06 Calend 01'!C92),6)=0),(((164-'V06 Calend 01'!C92)/6)&lt;='V06 Calend 01'!E92)),IF((164=('V06 Calend 01'!C92+(6*'V06 Calend 01'!E92))),('V06 Calend 01'!H92-('V06 Calend 01'!I92*('V06 Calend 01'!E92-1))),'V06 Calend 01'!I92),0))+IF((164='V06 Calend 01'!D92),'V06 Calend 01'!J92,0))</f>
        <v>0</v>
      </c>
      <c r="FU92" s="2">
        <f>((IF((165='V06 Calend 01'!C92),('V06 Calend 01'!F92+'V06 Calend 01'!G92),0)+IF(AND(('V06 Calend 01'!E92&gt;0),(165&gt;'V06 Calend 01'!C92),(165&lt;'V06 Calend 01'!D92),(MOD((165-'V06 Calend 01'!C92),6)=0),(((165-'V06 Calend 01'!C92)/6)&lt;='V06 Calend 01'!E92)),IF((165=('V06 Calend 01'!C92+(6*'V06 Calend 01'!E92))),('V06 Calend 01'!H92-('V06 Calend 01'!I92*('V06 Calend 01'!E92-1))),'V06 Calend 01'!I92),0))+IF((165='V06 Calend 01'!D92),'V06 Calend 01'!J92,0))</f>
        <v>0</v>
      </c>
      <c r="FV92" s="2">
        <f>((IF((166='V06 Calend 01'!C92),('V06 Calend 01'!F92+'V06 Calend 01'!G92),0)+IF(AND(('V06 Calend 01'!E92&gt;0),(166&gt;'V06 Calend 01'!C92),(166&lt;'V06 Calend 01'!D92),(MOD((166-'V06 Calend 01'!C92),6)=0),(((166-'V06 Calend 01'!C92)/6)&lt;='V06 Calend 01'!E92)),IF((166=('V06 Calend 01'!C92+(6*'V06 Calend 01'!E92))),('V06 Calend 01'!H92-('V06 Calend 01'!I92*('V06 Calend 01'!E92-1))),'V06 Calend 01'!I92),0))+IF((166='V06 Calend 01'!D92),'V06 Calend 01'!J92,0))</f>
        <v>0</v>
      </c>
      <c r="FW92" s="2">
        <f>((IF((167='V06 Calend 01'!C92),('V06 Calend 01'!F92+'V06 Calend 01'!G92),0)+IF(AND(('V06 Calend 01'!E92&gt;0),(167&gt;'V06 Calend 01'!C92),(167&lt;'V06 Calend 01'!D92),(MOD((167-'V06 Calend 01'!C92),6)=0),(((167-'V06 Calend 01'!C92)/6)&lt;='V06 Calend 01'!E92)),IF((167=('V06 Calend 01'!C92+(6*'V06 Calend 01'!E92))),('V06 Calend 01'!H92-('V06 Calend 01'!I92*('V06 Calend 01'!E92-1))),'V06 Calend 01'!I92),0))+IF((167='V06 Calend 01'!D92),'V06 Calend 01'!J92,0))</f>
        <v>0</v>
      </c>
      <c r="FX92" s="2">
        <f>((IF((168='V06 Calend 01'!C92),('V06 Calend 01'!F92+'V06 Calend 01'!G92),0)+IF(AND(('V06 Calend 01'!E92&gt;0),(168&gt;'V06 Calend 01'!C92),(168&lt;'V06 Calend 01'!D92),(MOD((168-'V06 Calend 01'!C92),6)=0),(((168-'V06 Calend 01'!C92)/6)&lt;='V06 Calend 01'!E92)),IF((168=('V06 Calend 01'!C92+(6*'V06 Calend 01'!E92))),('V06 Calend 01'!H92-('V06 Calend 01'!I92*('V06 Calend 01'!E92-1))),'V06 Calend 01'!I92),0))+IF((168='V06 Calend 01'!D92),'V06 Calend 01'!J92,0))</f>
        <v>0</v>
      </c>
      <c r="FY92" s="2">
        <f>((IF((169='V06 Calend 01'!C92),('V06 Calend 01'!F92+'V06 Calend 01'!G92),0)+IF(AND(('V06 Calend 01'!E92&gt;0),(169&gt;'V06 Calend 01'!C92),(169&lt;'V06 Calend 01'!D92),(MOD((169-'V06 Calend 01'!C92),6)=0),(((169-'V06 Calend 01'!C92)/6)&lt;='V06 Calend 01'!E92)),IF((169=('V06 Calend 01'!C92+(6*'V06 Calend 01'!E92))),('V06 Calend 01'!H92-('V06 Calend 01'!I92*('V06 Calend 01'!E92-1))),'V06 Calend 01'!I92),0))+IF((169='V06 Calend 01'!D92),'V06 Calend 01'!J92,0))</f>
        <v>0</v>
      </c>
      <c r="FZ92" s="2">
        <f>((IF((170='V06 Calend 01'!C92),('V06 Calend 01'!F92+'V06 Calend 01'!G92),0)+IF(AND(('V06 Calend 01'!E92&gt;0),(170&gt;'V06 Calend 01'!C92),(170&lt;'V06 Calend 01'!D92),(MOD((170-'V06 Calend 01'!C92),6)=0),(((170-'V06 Calend 01'!C92)/6)&lt;='V06 Calend 01'!E92)),IF((170=('V06 Calend 01'!C92+(6*'V06 Calend 01'!E92))),('V06 Calend 01'!H92-('V06 Calend 01'!I92*('V06 Calend 01'!E92-1))),'V06 Calend 01'!I92),0))+IF((170='V06 Calend 01'!D92),'V06 Calend 01'!J92,0))</f>
        <v>0</v>
      </c>
      <c r="GA92" s="2">
        <f>((IF((171='V06 Calend 01'!C92),('V06 Calend 01'!F92+'V06 Calend 01'!G92),0)+IF(AND(('V06 Calend 01'!E92&gt;0),(171&gt;'V06 Calend 01'!C92),(171&lt;'V06 Calend 01'!D92),(MOD((171-'V06 Calend 01'!C92),6)=0),(((171-'V06 Calend 01'!C92)/6)&lt;='V06 Calend 01'!E92)),IF((171=('V06 Calend 01'!C92+(6*'V06 Calend 01'!E92))),('V06 Calend 01'!H92-('V06 Calend 01'!I92*('V06 Calend 01'!E92-1))),'V06 Calend 01'!I92),0))+IF((171='V06 Calend 01'!D92),'V06 Calend 01'!J92,0))</f>
        <v>0</v>
      </c>
      <c r="GB92" s="2">
        <f>((IF((172='V06 Calend 01'!C92),('V06 Calend 01'!F92+'V06 Calend 01'!G92),0)+IF(AND(('V06 Calend 01'!E92&gt;0),(172&gt;'V06 Calend 01'!C92),(172&lt;'V06 Calend 01'!D92),(MOD((172-'V06 Calend 01'!C92),6)=0),(((172-'V06 Calend 01'!C92)/6)&lt;='V06 Calend 01'!E92)),IF((172=('V06 Calend 01'!C92+(6*'V06 Calend 01'!E92))),('V06 Calend 01'!H92-('V06 Calend 01'!I92*('V06 Calend 01'!E92-1))),'V06 Calend 01'!I92),0))+IF((172='V06 Calend 01'!D92),'V06 Calend 01'!J92,0))</f>
        <v>0</v>
      </c>
      <c r="GC92" s="2">
        <f>((IF((173='V06 Calend 01'!C92),('V06 Calend 01'!F92+'V06 Calend 01'!G92),0)+IF(AND(('V06 Calend 01'!E92&gt;0),(173&gt;'V06 Calend 01'!C92),(173&lt;'V06 Calend 01'!D92),(MOD((173-'V06 Calend 01'!C92),6)=0),(((173-'V06 Calend 01'!C92)/6)&lt;='V06 Calend 01'!E92)),IF((173=('V06 Calend 01'!C92+(6*'V06 Calend 01'!E92))),('V06 Calend 01'!H92-('V06 Calend 01'!I92*('V06 Calend 01'!E92-1))),'V06 Calend 01'!I92),0))+IF((173='V06 Calend 01'!D92),'V06 Calend 01'!J92,0))</f>
        <v>0</v>
      </c>
      <c r="GD92" s="2">
        <f>((IF((174='V06 Calend 01'!C92),('V06 Calend 01'!F92+'V06 Calend 01'!G92),0)+IF(AND(('V06 Calend 01'!E92&gt;0),(174&gt;'V06 Calend 01'!C92),(174&lt;'V06 Calend 01'!D92),(MOD((174-'V06 Calend 01'!C92),6)=0),(((174-'V06 Calend 01'!C92)/6)&lt;='V06 Calend 01'!E92)),IF((174=('V06 Calend 01'!C92+(6*'V06 Calend 01'!E92))),('V06 Calend 01'!H92-('V06 Calend 01'!I92*('V06 Calend 01'!E92-1))),'V06 Calend 01'!I92),0))+IF((174='V06 Calend 01'!D92),'V06 Calend 01'!J92,0))</f>
        <v>0</v>
      </c>
      <c r="GE92" s="2">
        <f>((IF((175='V06 Calend 01'!C92),('V06 Calend 01'!F92+'V06 Calend 01'!G92),0)+IF(AND(('V06 Calend 01'!E92&gt;0),(175&gt;'V06 Calend 01'!C92),(175&lt;'V06 Calend 01'!D92),(MOD((175-'V06 Calend 01'!C92),6)=0),(((175-'V06 Calend 01'!C92)/6)&lt;='V06 Calend 01'!E92)),IF((175=('V06 Calend 01'!C92+(6*'V06 Calend 01'!E92))),('V06 Calend 01'!H92-('V06 Calend 01'!I92*('V06 Calend 01'!E92-1))),'V06 Calend 01'!I92),0))+IF((175='V06 Calend 01'!D92),'V06 Calend 01'!J92,0))</f>
        <v>0</v>
      </c>
      <c r="GF92" s="2">
        <f>((IF((176='V06 Calend 01'!C92),('V06 Calend 01'!F92+'V06 Calend 01'!G92),0)+IF(AND(('V06 Calend 01'!E92&gt;0),(176&gt;'V06 Calend 01'!C92),(176&lt;'V06 Calend 01'!D92),(MOD((176-'V06 Calend 01'!C92),6)=0),(((176-'V06 Calend 01'!C92)/6)&lt;='V06 Calend 01'!E92)),IF((176=('V06 Calend 01'!C92+(6*'V06 Calend 01'!E92))),('V06 Calend 01'!H92-('V06 Calend 01'!I92*('V06 Calend 01'!E92-1))),'V06 Calend 01'!I92),0))+IF((176='V06 Calend 01'!D92),'V06 Calend 01'!J92,0))</f>
        <v>0</v>
      </c>
      <c r="GG92" s="2">
        <f>((IF((177='V06 Calend 01'!C92),('V06 Calend 01'!F92+'V06 Calend 01'!G92),0)+IF(AND(('V06 Calend 01'!E92&gt;0),(177&gt;'V06 Calend 01'!C92),(177&lt;'V06 Calend 01'!D92),(MOD((177-'V06 Calend 01'!C92),6)=0),(((177-'V06 Calend 01'!C92)/6)&lt;='V06 Calend 01'!E92)),IF((177=('V06 Calend 01'!C92+(6*'V06 Calend 01'!E92))),('V06 Calend 01'!H92-('V06 Calend 01'!I92*('V06 Calend 01'!E92-1))),'V06 Calend 01'!I92),0))+IF((177='V06 Calend 01'!D92),'V06 Calend 01'!J92,0))</f>
        <v>0</v>
      </c>
      <c r="GH92" s="2">
        <f>((IF((178='V06 Calend 01'!C92),('V06 Calend 01'!F92+'V06 Calend 01'!G92),0)+IF(AND(('V06 Calend 01'!E92&gt;0),(178&gt;'V06 Calend 01'!C92),(178&lt;'V06 Calend 01'!D92),(MOD((178-'V06 Calend 01'!C92),6)=0),(((178-'V06 Calend 01'!C92)/6)&lt;='V06 Calend 01'!E92)),IF((178=('V06 Calend 01'!C92+(6*'V06 Calend 01'!E92))),('V06 Calend 01'!H92-('V06 Calend 01'!I92*('V06 Calend 01'!E92-1))),'V06 Calend 01'!I92),0))+IF((178='V06 Calend 01'!D92),'V06 Calend 01'!J92,0))</f>
        <v>0</v>
      </c>
      <c r="GI92" s="2">
        <f>((IF((179='V06 Calend 01'!C92),('V06 Calend 01'!F92+'V06 Calend 01'!G92),0)+IF(AND(('V06 Calend 01'!E92&gt;0),(179&gt;'V06 Calend 01'!C92),(179&lt;'V06 Calend 01'!D92),(MOD((179-'V06 Calend 01'!C92),6)=0),(((179-'V06 Calend 01'!C92)/6)&lt;='V06 Calend 01'!E92)),IF((179=('V06 Calend 01'!C92+(6*'V06 Calend 01'!E92))),('V06 Calend 01'!H92-('V06 Calend 01'!I92*('V06 Calend 01'!E92-1))),'V06 Calend 01'!I92),0))+IF((179='V06 Calend 01'!D92),'V06 Calend 01'!J92,0))</f>
        <v>0</v>
      </c>
      <c r="GJ92" s="2">
        <f>((IF((180='V06 Calend 01'!C92),('V06 Calend 01'!F92+'V06 Calend 01'!G92),0)+IF(AND(('V06 Calend 01'!E92&gt;0),(180&gt;'V06 Calend 01'!C92),(180&lt;'V06 Calend 01'!D92),(MOD((180-'V06 Calend 01'!C92),6)=0),(((180-'V06 Calend 01'!C92)/6)&lt;='V06 Calend 01'!E92)),IF((180=('V06 Calend 01'!C92+(6*'V06 Calend 01'!E92))),('V06 Calend 01'!H92-('V06 Calend 01'!I92*('V06 Calend 01'!E92-1))),'V06 Calend 01'!I92),0))+IF((180='V06 Calend 01'!D92),'V06 Calend 01'!J92,0))</f>
        <v>0</v>
      </c>
    </row>
    <row r="93" spans="1:192">
      <c r="A93" s="3" t="str">
        <f>'V06 Unidades'!$A$93</f>
        <v>1009</v>
      </c>
      <c r="B93" s="2">
        <f>'V06 Unidades'!$H$93</f>
        <v>796347.4</v>
      </c>
      <c r="C93" s="4">
        <f>('V06 Unidades'!$I$93+'V06 Controlos'!$B$37)</f>
        <v>22</v>
      </c>
      <c r="D93" s="4">
        <f>IF(('V06 Controlos'!$B$38&gt;0),MAX(('V06 Unidades'!$L$93+'V06 Controlos'!$B$37),(30+'V06 Controlos'!$B$38)),('V06 Unidades'!$L$93+'V06 Controlos'!$B$37))</f>
        <v>29</v>
      </c>
      <c r="E93" s="4">
        <f>MAX(0,INT(((('V06 Calend 01'!D93-'V06 Calend 01'!C93)-1)/6)))</f>
        <v>1</v>
      </c>
      <c r="F93" s="2">
        <f>ROUND(('V06 Calend 01'!B93*0.05),2)</f>
        <v>39817.37</v>
      </c>
      <c r="G93" s="2">
        <f>ROUND(('V06 Calend 01'!B93*0.2),2)</f>
        <v>159269.48</v>
      </c>
      <c r="H93" s="2">
        <f>ROUND(('V06 Calend 01'!B93*0.55),2)</f>
        <v>437991.07</v>
      </c>
      <c r="I93" s="2">
        <f>ROUND(('V06 Calend 01'!H93/MAX(1,'V06 Calend 01'!E93)),2)</f>
        <v>437991.07</v>
      </c>
      <c r="J93" s="2">
        <f>((('V06 Calend 01'!B93-'V06 Calend 01'!F93)-'V06 Calend 01'!G93)-'V06 Calend 01'!H93)</f>
        <v>159269.48000000004</v>
      </c>
      <c r="K93" s="2">
        <f>('V06 Calend 01'!B93*0.025)</f>
        <v>19908.685</v>
      </c>
      <c r="L93" t="s">
        <v>378</v>
      </c>
      <c r="M93" s="2">
        <f>((IF((1='V06 Calend 01'!C93),('V06 Calend 01'!F93+'V06 Calend 01'!G93),0)+IF(AND(('V06 Calend 01'!E93&gt;0),(1&gt;'V06 Calend 01'!C93),(1&lt;'V06 Calend 01'!D93),(MOD((1-'V06 Calend 01'!C93),6)=0),(((1-'V06 Calend 01'!C93)/6)&lt;='V06 Calend 01'!E93)),IF((1=('V06 Calend 01'!C93+(6*'V06 Calend 01'!E93))),('V06 Calend 01'!H93-('V06 Calend 01'!I93*('V06 Calend 01'!E93-1))),'V06 Calend 01'!I93),0))+IF((1='V06 Calend 01'!D93),'V06 Calend 01'!J93,0))</f>
        <v>0</v>
      </c>
      <c r="N93" s="2">
        <f>((IF((2='V06 Calend 01'!C93),('V06 Calend 01'!F93+'V06 Calend 01'!G93),0)+IF(AND(('V06 Calend 01'!E93&gt;0),(2&gt;'V06 Calend 01'!C93),(2&lt;'V06 Calend 01'!D93),(MOD((2-'V06 Calend 01'!C93),6)=0),(((2-'V06 Calend 01'!C93)/6)&lt;='V06 Calend 01'!E93)),IF((2=('V06 Calend 01'!C93+(6*'V06 Calend 01'!E93))),('V06 Calend 01'!H93-('V06 Calend 01'!I93*('V06 Calend 01'!E93-1))),'V06 Calend 01'!I93),0))+IF((2='V06 Calend 01'!D93),'V06 Calend 01'!J93,0))</f>
        <v>0</v>
      </c>
      <c r="O93" s="2">
        <f>((IF((3='V06 Calend 01'!C93),('V06 Calend 01'!F93+'V06 Calend 01'!G93),0)+IF(AND(('V06 Calend 01'!E93&gt;0),(3&gt;'V06 Calend 01'!C93),(3&lt;'V06 Calend 01'!D93),(MOD((3-'V06 Calend 01'!C93),6)=0),(((3-'V06 Calend 01'!C93)/6)&lt;='V06 Calend 01'!E93)),IF((3=('V06 Calend 01'!C93+(6*'V06 Calend 01'!E93))),('V06 Calend 01'!H93-('V06 Calend 01'!I93*('V06 Calend 01'!E93-1))),'V06 Calend 01'!I93),0))+IF((3='V06 Calend 01'!D93),'V06 Calend 01'!J93,0))</f>
        <v>0</v>
      </c>
      <c r="P93" s="2">
        <f>((IF((4='V06 Calend 01'!C93),('V06 Calend 01'!F93+'V06 Calend 01'!G93),0)+IF(AND(('V06 Calend 01'!E93&gt;0),(4&gt;'V06 Calend 01'!C93),(4&lt;'V06 Calend 01'!D93),(MOD((4-'V06 Calend 01'!C93),6)=0),(((4-'V06 Calend 01'!C93)/6)&lt;='V06 Calend 01'!E93)),IF((4=('V06 Calend 01'!C93+(6*'V06 Calend 01'!E93))),('V06 Calend 01'!H93-('V06 Calend 01'!I93*('V06 Calend 01'!E93-1))),'V06 Calend 01'!I93),0))+IF((4='V06 Calend 01'!D93),'V06 Calend 01'!J93,0))</f>
        <v>0</v>
      </c>
      <c r="Q93" s="2">
        <f>((IF((5='V06 Calend 01'!C93),('V06 Calend 01'!F93+'V06 Calend 01'!G93),0)+IF(AND(('V06 Calend 01'!E93&gt;0),(5&gt;'V06 Calend 01'!C93),(5&lt;'V06 Calend 01'!D93),(MOD((5-'V06 Calend 01'!C93),6)=0),(((5-'V06 Calend 01'!C93)/6)&lt;='V06 Calend 01'!E93)),IF((5=('V06 Calend 01'!C93+(6*'V06 Calend 01'!E93))),('V06 Calend 01'!H93-('V06 Calend 01'!I93*('V06 Calend 01'!E93-1))),'V06 Calend 01'!I93),0))+IF((5='V06 Calend 01'!D93),'V06 Calend 01'!J93,0))</f>
        <v>0</v>
      </c>
      <c r="R93" s="2">
        <f>((IF((6='V06 Calend 01'!C93),('V06 Calend 01'!F93+'V06 Calend 01'!G93),0)+IF(AND(('V06 Calend 01'!E93&gt;0),(6&gt;'V06 Calend 01'!C93),(6&lt;'V06 Calend 01'!D93),(MOD((6-'V06 Calend 01'!C93),6)=0),(((6-'V06 Calend 01'!C93)/6)&lt;='V06 Calend 01'!E93)),IF((6=('V06 Calend 01'!C93+(6*'V06 Calend 01'!E93))),('V06 Calend 01'!H93-('V06 Calend 01'!I93*('V06 Calend 01'!E93-1))),'V06 Calend 01'!I93),0))+IF((6='V06 Calend 01'!D93),'V06 Calend 01'!J93,0))</f>
        <v>0</v>
      </c>
      <c r="S93" s="2">
        <f>((IF((7='V06 Calend 01'!C93),('V06 Calend 01'!F93+'V06 Calend 01'!G93),0)+IF(AND(('V06 Calend 01'!E93&gt;0),(7&gt;'V06 Calend 01'!C93),(7&lt;'V06 Calend 01'!D93),(MOD((7-'V06 Calend 01'!C93),6)=0),(((7-'V06 Calend 01'!C93)/6)&lt;='V06 Calend 01'!E93)),IF((7=('V06 Calend 01'!C93+(6*'V06 Calend 01'!E93))),('V06 Calend 01'!H93-('V06 Calend 01'!I93*('V06 Calend 01'!E93-1))),'V06 Calend 01'!I93),0))+IF((7='V06 Calend 01'!D93),'V06 Calend 01'!J93,0))</f>
        <v>0</v>
      </c>
      <c r="T93" s="2">
        <f>((IF((8='V06 Calend 01'!C93),('V06 Calend 01'!F93+'V06 Calend 01'!G93),0)+IF(AND(('V06 Calend 01'!E93&gt;0),(8&gt;'V06 Calend 01'!C93),(8&lt;'V06 Calend 01'!D93),(MOD((8-'V06 Calend 01'!C93),6)=0),(((8-'V06 Calend 01'!C93)/6)&lt;='V06 Calend 01'!E93)),IF((8=('V06 Calend 01'!C93+(6*'V06 Calend 01'!E93))),('V06 Calend 01'!H93-('V06 Calend 01'!I93*('V06 Calend 01'!E93-1))),'V06 Calend 01'!I93),0))+IF((8='V06 Calend 01'!D93),'V06 Calend 01'!J93,0))</f>
        <v>0</v>
      </c>
      <c r="U93" s="2">
        <f>((IF((9='V06 Calend 01'!C93),('V06 Calend 01'!F93+'V06 Calend 01'!G93),0)+IF(AND(('V06 Calend 01'!E93&gt;0),(9&gt;'V06 Calend 01'!C93),(9&lt;'V06 Calend 01'!D93),(MOD((9-'V06 Calend 01'!C93),6)=0),(((9-'V06 Calend 01'!C93)/6)&lt;='V06 Calend 01'!E93)),IF((9=('V06 Calend 01'!C93+(6*'V06 Calend 01'!E93))),('V06 Calend 01'!H93-('V06 Calend 01'!I93*('V06 Calend 01'!E93-1))),'V06 Calend 01'!I93),0))+IF((9='V06 Calend 01'!D93),'V06 Calend 01'!J93,0))</f>
        <v>0</v>
      </c>
      <c r="V93" s="2">
        <f>((IF((10='V06 Calend 01'!C93),('V06 Calend 01'!F93+'V06 Calend 01'!G93),0)+IF(AND(('V06 Calend 01'!E93&gt;0),(10&gt;'V06 Calend 01'!C93),(10&lt;'V06 Calend 01'!D93),(MOD((10-'V06 Calend 01'!C93),6)=0),(((10-'V06 Calend 01'!C93)/6)&lt;='V06 Calend 01'!E93)),IF((10=('V06 Calend 01'!C93+(6*'V06 Calend 01'!E93))),('V06 Calend 01'!H93-('V06 Calend 01'!I93*('V06 Calend 01'!E93-1))),'V06 Calend 01'!I93),0))+IF((10='V06 Calend 01'!D93),'V06 Calend 01'!J93,0))</f>
        <v>0</v>
      </c>
      <c r="W93" s="2">
        <f>((IF((11='V06 Calend 01'!C93),('V06 Calend 01'!F93+'V06 Calend 01'!G93),0)+IF(AND(('V06 Calend 01'!E93&gt;0),(11&gt;'V06 Calend 01'!C93),(11&lt;'V06 Calend 01'!D93),(MOD((11-'V06 Calend 01'!C93),6)=0),(((11-'V06 Calend 01'!C93)/6)&lt;='V06 Calend 01'!E93)),IF((11=('V06 Calend 01'!C93+(6*'V06 Calend 01'!E93))),('V06 Calend 01'!H93-('V06 Calend 01'!I93*('V06 Calend 01'!E93-1))),'V06 Calend 01'!I93),0))+IF((11='V06 Calend 01'!D93),'V06 Calend 01'!J93,0))</f>
        <v>0</v>
      </c>
      <c r="X93" s="2">
        <f>((IF((12='V06 Calend 01'!C93),('V06 Calend 01'!F93+'V06 Calend 01'!G93),0)+IF(AND(('V06 Calend 01'!E93&gt;0),(12&gt;'V06 Calend 01'!C93),(12&lt;'V06 Calend 01'!D93),(MOD((12-'V06 Calend 01'!C93),6)=0),(((12-'V06 Calend 01'!C93)/6)&lt;='V06 Calend 01'!E93)),IF((12=('V06 Calend 01'!C93+(6*'V06 Calend 01'!E93))),('V06 Calend 01'!H93-('V06 Calend 01'!I93*('V06 Calend 01'!E93-1))),'V06 Calend 01'!I93),0))+IF((12='V06 Calend 01'!D93),'V06 Calend 01'!J93,0))</f>
        <v>0</v>
      </c>
      <c r="Y93" s="2">
        <f>((IF((13='V06 Calend 01'!C93),('V06 Calend 01'!F93+'V06 Calend 01'!G93),0)+IF(AND(('V06 Calend 01'!E93&gt;0),(13&gt;'V06 Calend 01'!C93),(13&lt;'V06 Calend 01'!D93),(MOD((13-'V06 Calend 01'!C93),6)=0),(((13-'V06 Calend 01'!C93)/6)&lt;='V06 Calend 01'!E93)),IF((13=('V06 Calend 01'!C93+(6*'V06 Calend 01'!E93))),('V06 Calend 01'!H93-('V06 Calend 01'!I93*('V06 Calend 01'!E93-1))),'V06 Calend 01'!I93),0))+IF((13='V06 Calend 01'!D93),'V06 Calend 01'!J93,0))</f>
        <v>0</v>
      </c>
      <c r="Z93" s="2">
        <f>((IF((14='V06 Calend 01'!C93),('V06 Calend 01'!F93+'V06 Calend 01'!G93),0)+IF(AND(('V06 Calend 01'!E93&gt;0),(14&gt;'V06 Calend 01'!C93),(14&lt;'V06 Calend 01'!D93),(MOD((14-'V06 Calend 01'!C93),6)=0),(((14-'V06 Calend 01'!C93)/6)&lt;='V06 Calend 01'!E93)),IF((14=('V06 Calend 01'!C93+(6*'V06 Calend 01'!E93))),('V06 Calend 01'!H93-('V06 Calend 01'!I93*('V06 Calend 01'!E93-1))),'V06 Calend 01'!I93),0))+IF((14='V06 Calend 01'!D93),'V06 Calend 01'!J93,0))</f>
        <v>0</v>
      </c>
      <c r="AA93" s="2">
        <f>((IF((15='V06 Calend 01'!C93),('V06 Calend 01'!F93+'V06 Calend 01'!G93),0)+IF(AND(('V06 Calend 01'!E93&gt;0),(15&gt;'V06 Calend 01'!C93),(15&lt;'V06 Calend 01'!D93),(MOD((15-'V06 Calend 01'!C93),6)=0),(((15-'V06 Calend 01'!C93)/6)&lt;='V06 Calend 01'!E93)),IF((15=('V06 Calend 01'!C93+(6*'V06 Calend 01'!E93))),('V06 Calend 01'!H93-('V06 Calend 01'!I93*('V06 Calend 01'!E93-1))),'V06 Calend 01'!I93),0))+IF((15='V06 Calend 01'!D93),'V06 Calend 01'!J93,0))</f>
        <v>0</v>
      </c>
      <c r="AB93" s="2">
        <f>((IF((16='V06 Calend 01'!C93),('V06 Calend 01'!F93+'V06 Calend 01'!G93),0)+IF(AND(('V06 Calend 01'!E93&gt;0),(16&gt;'V06 Calend 01'!C93),(16&lt;'V06 Calend 01'!D93),(MOD((16-'V06 Calend 01'!C93),6)=0),(((16-'V06 Calend 01'!C93)/6)&lt;='V06 Calend 01'!E93)),IF((16=('V06 Calend 01'!C93+(6*'V06 Calend 01'!E93))),('V06 Calend 01'!H93-('V06 Calend 01'!I93*('V06 Calend 01'!E93-1))),'V06 Calend 01'!I93),0))+IF((16='V06 Calend 01'!D93),'V06 Calend 01'!J93,0))</f>
        <v>0</v>
      </c>
      <c r="AC93" s="2">
        <f>((IF((17='V06 Calend 01'!C93),('V06 Calend 01'!F93+'V06 Calend 01'!G93),0)+IF(AND(('V06 Calend 01'!E93&gt;0),(17&gt;'V06 Calend 01'!C93),(17&lt;'V06 Calend 01'!D93),(MOD((17-'V06 Calend 01'!C93),6)=0),(((17-'V06 Calend 01'!C93)/6)&lt;='V06 Calend 01'!E93)),IF((17=('V06 Calend 01'!C93+(6*'V06 Calend 01'!E93))),('V06 Calend 01'!H93-('V06 Calend 01'!I93*('V06 Calend 01'!E93-1))),'V06 Calend 01'!I93),0))+IF((17='V06 Calend 01'!D93),'V06 Calend 01'!J93,0))</f>
        <v>0</v>
      </c>
      <c r="AD93" s="2">
        <f>((IF((18='V06 Calend 01'!C93),('V06 Calend 01'!F93+'V06 Calend 01'!G93),0)+IF(AND(('V06 Calend 01'!E93&gt;0),(18&gt;'V06 Calend 01'!C93),(18&lt;'V06 Calend 01'!D93),(MOD((18-'V06 Calend 01'!C93),6)=0),(((18-'V06 Calend 01'!C93)/6)&lt;='V06 Calend 01'!E93)),IF((18=('V06 Calend 01'!C93+(6*'V06 Calend 01'!E93))),('V06 Calend 01'!H93-('V06 Calend 01'!I93*('V06 Calend 01'!E93-1))),'V06 Calend 01'!I93),0))+IF((18='V06 Calend 01'!D93),'V06 Calend 01'!J93,0))</f>
        <v>0</v>
      </c>
      <c r="AE93" s="2">
        <f>((IF((19='V06 Calend 01'!C93),('V06 Calend 01'!F93+'V06 Calend 01'!G93),0)+IF(AND(('V06 Calend 01'!E93&gt;0),(19&gt;'V06 Calend 01'!C93),(19&lt;'V06 Calend 01'!D93),(MOD((19-'V06 Calend 01'!C93),6)=0),(((19-'V06 Calend 01'!C93)/6)&lt;='V06 Calend 01'!E93)),IF((19=('V06 Calend 01'!C93+(6*'V06 Calend 01'!E93))),('V06 Calend 01'!H93-('V06 Calend 01'!I93*('V06 Calend 01'!E93-1))),'V06 Calend 01'!I93),0))+IF((19='V06 Calend 01'!D93),'V06 Calend 01'!J93,0))</f>
        <v>0</v>
      </c>
      <c r="AF93" s="2">
        <f>((IF((20='V06 Calend 01'!C93),('V06 Calend 01'!F93+'V06 Calend 01'!G93),0)+IF(AND(('V06 Calend 01'!E93&gt;0),(20&gt;'V06 Calend 01'!C93),(20&lt;'V06 Calend 01'!D93),(MOD((20-'V06 Calend 01'!C93),6)=0),(((20-'V06 Calend 01'!C93)/6)&lt;='V06 Calend 01'!E93)),IF((20=('V06 Calend 01'!C93+(6*'V06 Calend 01'!E93))),('V06 Calend 01'!H93-('V06 Calend 01'!I93*('V06 Calend 01'!E93-1))),'V06 Calend 01'!I93),0))+IF((20='V06 Calend 01'!D93),'V06 Calend 01'!J93,0))</f>
        <v>0</v>
      </c>
      <c r="AG93" s="2">
        <f>((IF((21='V06 Calend 01'!C93),('V06 Calend 01'!F93+'V06 Calend 01'!G93),0)+IF(AND(('V06 Calend 01'!E93&gt;0),(21&gt;'V06 Calend 01'!C93),(21&lt;'V06 Calend 01'!D93),(MOD((21-'V06 Calend 01'!C93),6)=0),(((21-'V06 Calend 01'!C93)/6)&lt;='V06 Calend 01'!E93)),IF((21=('V06 Calend 01'!C93+(6*'V06 Calend 01'!E93))),('V06 Calend 01'!H93-('V06 Calend 01'!I93*('V06 Calend 01'!E93-1))),'V06 Calend 01'!I93),0))+IF((21='V06 Calend 01'!D93),'V06 Calend 01'!J93,0))</f>
        <v>0</v>
      </c>
      <c r="AH93" s="2">
        <f>((IF((22='V06 Calend 01'!C93),('V06 Calend 01'!F93+'V06 Calend 01'!G93),0)+IF(AND(('V06 Calend 01'!E93&gt;0),(22&gt;'V06 Calend 01'!C93),(22&lt;'V06 Calend 01'!D93),(MOD((22-'V06 Calend 01'!C93),6)=0),(((22-'V06 Calend 01'!C93)/6)&lt;='V06 Calend 01'!E93)),IF((22=('V06 Calend 01'!C93+(6*'V06 Calend 01'!E93))),('V06 Calend 01'!H93-('V06 Calend 01'!I93*('V06 Calend 01'!E93-1))),'V06 Calend 01'!I93),0))+IF((22='V06 Calend 01'!D93),'V06 Calend 01'!J93,0))</f>
        <v>199086.85</v>
      </c>
      <c r="AI93" s="2">
        <f>((IF((23='V06 Calend 01'!C93),('V06 Calend 01'!F93+'V06 Calend 01'!G93),0)+IF(AND(('V06 Calend 01'!E93&gt;0),(23&gt;'V06 Calend 01'!C93),(23&lt;'V06 Calend 01'!D93),(MOD((23-'V06 Calend 01'!C93),6)=0),(((23-'V06 Calend 01'!C93)/6)&lt;='V06 Calend 01'!E93)),IF((23=('V06 Calend 01'!C93+(6*'V06 Calend 01'!E93))),('V06 Calend 01'!H93-('V06 Calend 01'!I93*('V06 Calend 01'!E93-1))),'V06 Calend 01'!I93),0))+IF((23='V06 Calend 01'!D93),'V06 Calend 01'!J93,0))</f>
        <v>0</v>
      </c>
      <c r="AJ93" s="2">
        <f>((IF((24='V06 Calend 01'!C93),('V06 Calend 01'!F93+'V06 Calend 01'!G93),0)+IF(AND(('V06 Calend 01'!E93&gt;0),(24&gt;'V06 Calend 01'!C93),(24&lt;'V06 Calend 01'!D93),(MOD((24-'V06 Calend 01'!C93),6)=0),(((24-'V06 Calend 01'!C93)/6)&lt;='V06 Calend 01'!E93)),IF((24=('V06 Calend 01'!C93+(6*'V06 Calend 01'!E93))),('V06 Calend 01'!H93-('V06 Calend 01'!I93*('V06 Calend 01'!E93-1))),'V06 Calend 01'!I93),0))+IF((24='V06 Calend 01'!D93),'V06 Calend 01'!J93,0))</f>
        <v>0</v>
      </c>
      <c r="AK93" s="2">
        <f>((IF((25='V06 Calend 01'!C93),('V06 Calend 01'!F93+'V06 Calend 01'!G93),0)+IF(AND(('V06 Calend 01'!E93&gt;0),(25&gt;'V06 Calend 01'!C93),(25&lt;'V06 Calend 01'!D93),(MOD((25-'V06 Calend 01'!C93),6)=0),(((25-'V06 Calend 01'!C93)/6)&lt;='V06 Calend 01'!E93)),IF((25=('V06 Calend 01'!C93+(6*'V06 Calend 01'!E93))),('V06 Calend 01'!H93-('V06 Calend 01'!I93*('V06 Calend 01'!E93-1))),'V06 Calend 01'!I93),0))+IF((25='V06 Calend 01'!D93),'V06 Calend 01'!J93,0))</f>
        <v>0</v>
      </c>
      <c r="AL93" s="2">
        <f>((IF((26='V06 Calend 01'!C93),('V06 Calend 01'!F93+'V06 Calend 01'!G93),0)+IF(AND(('V06 Calend 01'!E93&gt;0),(26&gt;'V06 Calend 01'!C93),(26&lt;'V06 Calend 01'!D93),(MOD((26-'V06 Calend 01'!C93),6)=0),(((26-'V06 Calend 01'!C93)/6)&lt;='V06 Calend 01'!E93)),IF((26=('V06 Calend 01'!C93+(6*'V06 Calend 01'!E93))),('V06 Calend 01'!H93-('V06 Calend 01'!I93*('V06 Calend 01'!E93-1))),'V06 Calend 01'!I93),0))+IF((26='V06 Calend 01'!D93),'V06 Calend 01'!J93,0))</f>
        <v>0</v>
      </c>
      <c r="AM93" s="2">
        <f>((IF((27='V06 Calend 01'!C93),('V06 Calend 01'!F93+'V06 Calend 01'!G93),0)+IF(AND(('V06 Calend 01'!E93&gt;0),(27&gt;'V06 Calend 01'!C93),(27&lt;'V06 Calend 01'!D93),(MOD((27-'V06 Calend 01'!C93),6)=0),(((27-'V06 Calend 01'!C93)/6)&lt;='V06 Calend 01'!E93)),IF((27=('V06 Calend 01'!C93+(6*'V06 Calend 01'!E93))),('V06 Calend 01'!H93-('V06 Calend 01'!I93*('V06 Calend 01'!E93-1))),'V06 Calend 01'!I93),0))+IF((27='V06 Calend 01'!D93),'V06 Calend 01'!J93,0))</f>
        <v>0</v>
      </c>
      <c r="AN93" s="2">
        <f>((IF((28='V06 Calend 01'!C93),('V06 Calend 01'!F93+'V06 Calend 01'!G93),0)+IF(AND(('V06 Calend 01'!E93&gt;0),(28&gt;'V06 Calend 01'!C93),(28&lt;'V06 Calend 01'!D93),(MOD((28-'V06 Calend 01'!C93),6)=0),(((28-'V06 Calend 01'!C93)/6)&lt;='V06 Calend 01'!E93)),IF((28=('V06 Calend 01'!C93+(6*'V06 Calend 01'!E93))),('V06 Calend 01'!H93-('V06 Calend 01'!I93*('V06 Calend 01'!E93-1))),'V06 Calend 01'!I93),0))+IF((28='V06 Calend 01'!D93),'V06 Calend 01'!J93,0))</f>
        <v>437991.07</v>
      </c>
      <c r="AO93" s="2">
        <f>((IF((29='V06 Calend 01'!C93),('V06 Calend 01'!F93+'V06 Calend 01'!G93),0)+IF(AND(('V06 Calend 01'!E93&gt;0),(29&gt;'V06 Calend 01'!C93),(29&lt;'V06 Calend 01'!D93),(MOD((29-'V06 Calend 01'!C93),6)=0),(((29-'V06 Calend 01'!C93)/6)&lt;='V06 Calend 01'!E93)),IF((29=('V06 Calend 01'!C93+(6*'V06 Calend 01'!E93))),('V06 Calend 01'!H93-('V06 Calend 01'!I93*('V06 Calend 01'!E93-1))),'V06 Calend 01'!I93),0))+IF((29='V06 Calend 01'!D93),'V06 Calend 01'!J93,0))</f>
        <v>159269.48000000004</v>
      </c>
      <c r="AP93" s="2">
        <f>((IF((30='V06 Calend 01'!C93),('V06 Calend 01'!F93+'V06 Calend 01'!G93),0)+IF(AND(('V06 Calend 01'!E93&gt;0),(30&gt;'V06 Calend 01'!C93),(30&lt;'V06 Calend 01'!D93),(MOD((30-'V06 Calend 01'!C93),6)=0),(((30-'V06 Calend 01'!C93)/6)&lt;='V06 Calend 01'!E93)),IF((30=('V06 Calend 01'!C93+(6*'V06 Calend 01'!E93))),('V06 Calend 01'!H93-('V06 Calend 01'!I93*('V06 Calend 01'!E93-1))),'V06 Calend 01'!I93),0))+IF((30='V06 Calend 01'!D93),'V06 Calend 01'!J93,0))</f>
        <v>0</v>
      </c>
      <c r="AQ93" s="2">
        <f>((IF((31='V06 Calend 01'!C93),('V06 Calend 01'!F93+'V06 Calend 01'!G93),0)+IF(AND(('V06 Calend 01'!E93&gt;0),(31&gt;'V06 Calend 01'!C93),(31&lt;'V06 Calend 01'!D93),(MOD((31-'V06 Calend 01'!C93),6)=0),(((31-'V06 Calend 01'!C93)/6)&lt;='V06 Calend 01'!E93)),IF((31=('V06 Calend 01'!C93+(6*'V06 Calend 01'!E93))),('V06 Calend 01'!H93-('V06 Calend 01'!I93*('V06 Calend 01'!E93-1))),'V06 Calend 01'!I93),0))+IF((31='V06 Calend 01'!D93),'V06 Calend 01'!J93,0))</f>
        <v>0</v>
      </c>
      <c r="AR93" s="2">
        <f>((IF((32='V06 Calend 01'!C93),('V06 Calend 01'!F93+'V06 Calend 01'!G93),0)+IF(AND(('V06 Calend 01'!E93&gt;0),(32&gt;'V06 Calend 01'!C93),(32&lt;'V06 Calend 01'!D93),(MOD((32-'V06 Calend 01'!C93),6)=0),(((32-'V06 Calend 01'!C93)/6)&lt;='V06 Calend 01'!E93)),IF((32=('V06 Calend 01'!C93+(6*'V06 Calend 01'!E93))),('V06 Calend 01'!H93-('V06 Calend 01'!I93*('V06 Calend 01'!E93-1))),'V06 Calend 01'!I93),0))+IF((32='V06 Calend 01'!D93),'V06 Calend 01'!J93,0))</f>
        <v>0</v>
      </c>
      <c r="AS93" s="2">
        <f>((IF((33='V06 Calend 01'!C93),('V06 Calend 01'!F93+'V06 Calend 01'!G93),0)+IF(AND(('V06 Calend 01'!E93&gt;0),(33&gt;'V06 Calend 01'!C93),(33&lt;'V06 Calend 01'!D93),(MOD((33-'V06 Calend 01'!C93),6)=0),(((33-'V06 Calend 01'!C93)/6)&lt;='V06 Calend 01'!E93)),IF((33=('V06 Calend 01'!C93+(6*'V06 Calend 01'!E93))),('V06 Calend 01'!H93-('V06 Calend 01'!I93*('V06 Calend 01'!E93-1))),'V06 Calend 01'!I93),0))+IF((33='V06 Calend 01'!D93),'V06 Calend 01'!J93,0))</f>
        <v>0</v>
      </c>
      <c r="AT93" s="2">
        <f>((IF((34='V06 Calend 01'!C93),('V06 Calend 01'!F93+'V06 Calend 01'!G93),0)+IF(AND(('V06 Calend 01'!E93&gt;0),(34&gt;'V06 Calend 01'!C93),(34&lt;'V06 Calend 01'!D93),(MOD((34-'V06 Calend 01'!C93),6)=0),(((34-'V06 Calend 01'!C93)/6)&lt;='V06 Calend 01'!E93)),IF((34=('V06 Calend 01'!C93+(6*'V06 Calend 01'!E93))),('V06 Calend 01'!H93-('V06 Calend 01'!I93*('V06 Calend 01'!E93-1))),'V06 Calend 01'!I93),0))+IF((34='V06 Calend 01'!D93),'V06 Calend 01'!J93,0))</f>
        <v>0</v>
      </c>
      <c r="AU93" s="2">
        <f>((IF((35='V06 Calend 01'!C93),('V06 Calend 01'!F93+'V06 Calend 01'!G93),0)+IF(AND(('V06 Calend 01'!E93&gt;0),(35&gt;'V06 Calend 01'!C93),(35&lt;'V06 Calend 01'!D93),(MOD((35-'V06 Calend 01'!C93),6)=0),(((35-'V06 Calend 01'!C93)/6)&lt;='V06 Calend 01'!E93)),IF((35=('V06 Calend 01'!C93+(6*'V06 Calend 01'!E93))),('V06 Calend 01'!H93-('V06 Calend 01'!I93*('V06 Calend 01'!E93-1))),'V06 Calend 01'!I93),0))+IF((35='V06 Calend 01'!D93),'V06 Calend 01'!J93,0))</f>
        <v>0</v>
      </c>
      <c r="AV93" s="2">
        <f>((IF((36='V06 Calend 01'!C93),('V06 Calend 01'!F93+'V06 Calend 01'!G93),0)+IF(AND(('V06 Calend 01'!E93&gt;0),(36&gt;'V06 Calend 01'!C93),(36&lt;'V06 Calend 01'!D93),(MOD((36-'V06 Calend 01'!C93),6)=0),(((36-'V06 Calend 01'!C93)/6)&lt;='V06 Calend 01'!E93)),IF((36=('V06 Calend 01'!C93+(6*'V06 Calend 01'!E93))),('V06 Calend 01'!H93-('V06 Calend 01'!I93*('V06 Calend 01'!E93-1))),'V06 Calend 01'!I93),0))+IF((36='V06 Calend 01'!D93),'V06 Calend 01'!J93,0))</f>
        <v>0</v>
      </c>
      <c r="AW93" s="2">
        <f>((IF((37='V06 Calend 01'!C93),('V06 Calend 01'!F93+'V06 Calend 01'!G93),0)+IF(AND(('V06 Calend 01'!E93&gt;0),(37&gt;'V06 Calend 01'!C93),(37&lt;'V06 Calend 01'!D93),(MOD((37-'V06 Calend 01'!C93),6)=0),(((37-'V06 Calend 01'!C93)/6)&lt;='V06 Calend 01'!E93)),IF((37=('V06 Calend 01'!C93+(6*'V06 Calend 01'!E93))),('V06 Calend 01'!H93-('V06 Calend 01'!I93*('V06 Calend 01'!E93-1))),'V06 Calend 01'!I93),0))+IF((37='V06 Calend 01'!D93),'V06 Calend 01'!J93,0))</f>
        <v>0</v>
      </c>
      <c r="AX93" s="2">
        <f>((IF((38='V06 Calend 01'!C93),('V06 Calend 01'!F93+'V06 Calend 01'!G93),0)+IF(AND(('V06 Calend 01'!E93&gt;0),(38&gt;'V06 Calend 01'!C93),(38&lt;'V06 Calend 01'!D93),(MOD((38-'V06 Calend 01'!C93),6)=0),(((38-'V06 Calend 01'!C93)/6)&lt;='V06 Calend 01'!E93)),IF((38=('V06 Calend 01'!C93+(6*'V06 Calend 01'!E93))),('V06 Calend 01'!H93-('V06 Calend 01'!I93*('V06 Calend 01'!E93-1))),'V06 Calend 01'!I93),0))+IF((38='V06 Calend 01'!D93),'V06 Calend 01'!J93,0))</f>
        <v>0</v>
      </c>
      <c r="AY93" s="2">
        <f>((IF((39='V06 Calend 01'!C93),('V06 Calend 01'!F93+'V06 Calend 01'!G93),0)+IF(AND(('V06 Calend 01'!E93&gt;0),(39&gt;'V06 Calend 01'!C93),(39&lt;'V06 Calend 01'!D93),(MOD((39-'V06 Calend 01'!C93),6)=0),(((39-'V06 Calend 01'!C93)/6)&lt;='V06 Calend 01'!E93)),IF((39=('V06 Calend 01'!C93+(6*'V06 Calend 01'!E93))),('V06 Calend 01'!H93-('V06 Calend 01'!I93*('V06 Calend 01'!E93-1))),'V06 Calend 01'!I93),0))+IF((39='V06 Calend 01'!D93),'V06 Calend 01'!J93,0))</f>
        <v>0</v>
      </c>
      <c r="AZ93" s="2">
        <f>((IF((40='V06 Calend 01'!C93),('V06 Calend 01'!F93+'V06 Calend 01'!G93),0)+IF(AND(('V06 Calend 01'!E93&gt;0),(40&gt;'V06 Calend 01'!C93),(40&lt;'V06 Calend 01'!D93),(MOD((40-'V06 Calend 01'!C93),6)=0),(((40-'V06 Calend 01'!C93)/6)&lt;='V06 Calend 01'!E93)),IF((40=('V06 Calend 01'!C93+(6*'V06 Calend 01'!E93))),('V06 Calend 01'!H93-('V06 Calend 01'!I93*('V06 Calend 01'!E93-1))),'V06 Calend 01'!I93),0))+IF((40='V06 Calend 01'!D93),'V06 Calend 01'!J93,0))</f>
        <v>0</v>
      </c>
      <c r="BA93" s="2">
        <f>((IF((41='V06 Calend 01'!C93),('V06 Calend 01'!F93+'V06 Calend 01'!G93),0)+IF(AND(('V06 Calend 01'!E93&gt;0),(41&gt;'V06 Calend 01'!C93),(41&lt;'V06 Calend 01'!D93),(MOD((41-'V06 Calend 01'!C93),6)=0),(((41-'V06 Calend 01'!C93)/6)&lt;='V06 Calend 01'!E93)),IF((41=('V06 Calend 01'!C93+(6*'V06 Calend 01'!E93))),('V06 Calend 01'!H93-('V06 Calend 01'!I93*('V06 Calend 01'!E93-1))),'V06 Calend 01'!I93),0))+IF((41='V06 Calend 01'!D93),'V06 Calend 01'!J93,0))</f>
        <v>0</v>
      </c>
      <c r="BB93" s="2">
        <f>((IF((42='V06 Calend 01'!C93),('V06 Calend 01'!F93+'V06 Calend 01'!G93),0)+IF(AND(('V06 Calend 01'!E93&gt;0),(42&gt;'V06 Calend 01'!C93),(42&lt;'V06 Calend 01'!D93),(MOD((42-'V06 Calend 01'!C93),6)=0),(((42-'V06 Calend 01'!C93)/6)&lt;='V06 Calend 01'!E93)),IF((42=('V06 Calend 01'!C93+(6*'V06 Calend 01'!E93))),('V06 Calend 01'!H93-('V06 Calend 01'!I93*('V06 Calend 01'!E93-1))),'V06 Calend 01'!I93),0))+IF((42='V06 Calend 01'!D93),'V06 Calend 01'!J93,0))</f>
        <v>0</v>
      </c>
      <c r="BC93" s="2">
        <f>((IF((43='V06 Calend 01'!C93),('V06 Calend 01'!F93+'V06 Calend 01'!G93),0)+IF(AND(('V06 Calend 01'!E93&gt;0),(43&gt;'V06 Calend 01'!C93),(43&lt;'V06 Calend 01'!D93),(MOD((43-'V06 Calend 01'!C93),6)=0),(((43-'V06 Calend 01'!C93)/6)&lt;='V06 Calend 01'!E93)),IF((43=('V06 Calend 01'!C93+(6*'V06 Calend 01'!E93))),('V06 Calend 01'!H93-('V06 Calend 01'!I93*('V06 Calend 01'!E93-1))),'V06 Calend 01'!I93),0))+IF((43='V06 Calend 01'!D93),'V06 Calend 01'!J93,0))</f>
        <v>0</v>
      </c>
      <c r="BD93" s="2">
        <f>((IF((44='V06 Calend 01'!C93),('V06 Calend 01'!F93+'V06 Calend 01'!G93),0)+IF(AND(('V06 Calend 01'!E93&gt;0),(44&gt;'V06 Calend 01'!C93),(44&lt;'V06 Calend 01'!D93),(MOD((44-'V06 Calend 01'!C93),6)=0),(((44-'V06 Calend 01'!C93)/6)&lt;='V06 Calend 01'!E93)),IF((44=('V06 Calend 01'!C93+(6*'V06 Calend 01'!E93))),('V06 Calend 01'!H93-('V06 Calend 01'!I93*('V06 Calend 01'!E93-1))),'V06 Calend 01'!I93),0))+IF((44='V06 Calend 01'!D93),'V06 Calend 01'!J93,0))</f>
        <v>0</v>
      </c>
      <c r="BE93" s="2">
        <f>((IF((45='V06 Calend 01'!C93),('V06 Calend 01'!F93+'V06 Calend 01'!G93),0)+IF(AND(('V06 Calend 01'!E93&gt;0),(45&gt;'V06 Calend 01'!C93),(45&lt;'V06 Calend 01'!D93),(MOD((45-'V06 Calend 01'!C93),6)=0),(((45-'V06 Calend 01'!C93)/6)&lt;='V06 Calend 01'!E93)),IF((45=('V06 Calend 01'!C93+(6*'V06 Calend 01'!E93))),('V06 Calend 01'!H93-('V06 Calend 01'!I93*('V06 Calend 01'!E93-1))),'V06 Calend 01'!I93),0))+IF((45='V06 Calend 01'!D93),'V06 Calend 01'!J93,0))</f>
        <v>0</v>
      </c>
      <c r="BF93" s="2">
        <f>((IF((46='V06 Calend 01'!C93),('V06 Calend 01'!F93+'V06 Calend 01'!G93),0)+IF(AND(('V06 Calend 01'!E93&gt;0),(46&gt;'V06 Calend 01'!C93),(46&lt;'V06 Calend 01'!D93),(MOD((46-'V06 Calend 01'!C93),6)=0),(((46-'V06 Calend 01'!C93)/6)&lt;='V06 Calend 01'!E93)),IF((46=('V06 Calend 01'!C93+(6*'V06 Calend 01'!E93))),('V06 Calend 01'!H93-('V06 Calend 01'!I93*('V06 Calend 01'!E93-1))),'V06 Calend 01'!I93),0))+IF((46='V06 Calend 01'!D93),'V06 Calend 01'!J93,0))</f>
        <v>0</v>
      </c>
      <c r="BG93" s="2">
        <f>((IF((47='V06 Calend 01'!C93),('V06 Calend 01'!F93+'V06 Calend 01'!G93),0)+IF(AND(('V06 Calend 01'!E93&gt;0),(47&gt;'V06 Calend 01'!C93),(47&lt;'V06 Calend 01'!D93),(MOD((47-'V06 Calend 01'!C93),6)=0),(((47-'V06 Calend 01'!C93)/6)&lt;='V06 Calend 01'!E93)),IF((47=('V06 Calend 01'!C93+(6*'V06 Calend 01'!E93))),('V06 Calend 01'!H93-('V06 Calend 01'!I93*('V06 Calend 01'!E93-1))),'V06 Calend 01'!I93),0))+IF((47='V06 Calend 01'!D93),'V06 Calend 01'!J93,0))</f>
        <v>0</v>
      </c>
      <c r="BH93" s="2">
        <f>((IF((48='V06 Calend 01'!C93),('V06 Calend 01'!F93+'V06 Calend 01'!G93),0)+IF(AND(('V06 Calend 01'!E93&gt;0),(48&gt;'V06 Calend 01'!C93),(48&lt;'V06 Calend 01'!D93),(MOD((48-'V06 Calend 01'!C93),6)=0),(((48-'V06 Calend 01'!C93)/6)&lt;='V06 Calend 01'!E93)),IF((48=('V06 Calend 01'!C93+(6*'V06 Calend 01'!E93))),('V06 Calend 01'!H93-('V06 Calend 01'!I93*('V06 Calend 01'!E93-1))),'V06 Calend 01'!I93),0))+IF((48='V06 Calend 01'!D93),'V06 Calend 01'!J93,0))</f>
        <v>0</v>
      </c>
      <c r="BI93" s="2">
        <f>((IF((49='V06 Calend 01'!C93),('V06 Calend 01'!F93+'V06 Calend 01'!G93),0)+IF(AND(('V06 Calend 01'!E93&gt;0),(49&gt;'V06 Calend 01'!C93),(49&lt;'V06 Calend 01'!D93),(MOD((49-'V06 Calend 01'!C93),6)=0),(((49-'V06 Calend 01'!C93)/6)&lt;='V06 Calend 01'!E93)),IF((49=('V06 Calend 01'!C93+(6*'V06 Calend 01'!E93))),('V06 Calend 01'!H93-('V06 Calend 01'!I93*('V06 Calend 01'!E93-1))),'V06 Calend 01'!I93),0))+IF((49='V06 Calend 01'!D93),'V06 Calend 01'!J93,0))</f>
        <v>0</v>
      </c>
      <c r="BJ93" s="2">
        <f>((IF((50='V06 Calend 01'!C93),('V06 Calend 01'!F93+'V06 Calend 01'!G93),0)+IF(AND(('V06 Calend 01'!E93&gt;0),(50&gt;'V06 Calend 01'!C93),(50&lt;'V06 Calend 01'!D93),(MOD((50-'V06 Calend 01'!C93),6)=0),(((50-'V06 Calend 01'!C93)/6)&lt;='V06 Calend 01'!E93)),IF((50=('V06 Calend 01'!C93+(6*'V06 Calend 01'!E93))),('V06 Calend 01'!H93-('V06 Calend 01'!I93*('V06 Calend 01'!E93-1))),'V06 Calend 01'!I93),0))+IF((50='V06 Calend 01'!D93),'V06 Calend 01'!J93,0))</f>
        <v>0</v>
      </c>
      <c r="BK93" s="2">
        <f>((IF((51='V06 Calend 01'!C93),('V06 Calend 01'!F93+'V06 Calend 01'!G93),0)+IF(AND(('V06 Calend 01'!E93&gt;0),(51&gt;'V06 Calend 01'!C93),(51&lt;'V06 Calend 01'!D93),(MOD((51-'V06 Calend 01'!C93),6)=0),(((51-'V06 Calend 01'!C93)/6)&lt;='V06 Calend 01'!E93)),IF((51=('V06 Calend 01'!C93+(6*'V06 Calend 01'!E93))),('V06 Calend 01'!H93-('V06 Calend 01'!I93*('V06 Calend 01'!E93-1))),'V06 Calend 01'!I93),0))+IF((51='V06 Calend 01'!D93),'V06 Calend 01'!J93,0))</f>
        <v>0</v>
      </c>
      <c r="BL93" s="2">
        <f>((IF((52='V06 Calend 01'!C93),('V06 Calend 01'!F93+'V06 Calend 01'!G93),0)+IF(AND(('V06 Calend 01'!E93&gt;0),(52&gt;'V06 Calend 01'!C93),(52&lt;'V06 Calend 01'!D93),(MOD((52-'V06 Calend 01'!C93),6)=0),(((52-'V06 Calend 01'!C93)/6)&lt;='V06 Calend 01'!E93)),IF((52=('V06 Calend 01'!C93+(6*'V06 Calend 01'!E93))),('V06 Calend 01'!H93-('V06 Calend 01'!I93*('V06 Calend 01'!E93-1))),'V06 Calend 01'!I93),0))+IF((52='V06 Calend 01'!D93),'V06 Calend 01'!J93,0))</f>
        <v>0</v>
      </c>
      <c r="BM93" s="2">
        <f>((IF((53='V06 Calend 01'!C93),('V06 Calend 01'!F93+'V06 Calend 01'!G93),0)+IF(AND(('V06 Calend 01'!E93&gt;0),(53&gt;'V06 Calend 01'!C93),(53&lt;'V06 Calend 01'!D93),(MOD((53-'V06 Calend 01'!C93),6)=0),(((53-'V06 Calend 01'!C93)/6)&lt;='V06 Calend 01'!E93)),IF((53=('V06 Calend 01'!C93+(6*'V06 Calend 01'!E93))),('V06 Calend 01'!H93-('V06 Calend 01'!I93*('V06 Calend 01'!E93-1))),'V06 Calend 01'!I93),0))+IF((53='V06 Calend 01'!D93),'V06 Calend 01'!J93,0))</f>
        <v>0</v>
      </c>
      <c r="BN93" s="2">
        <f>((IF((54='V06 Calend 01'!C93),('V06 Calend 01'!F93+'V06 Calend 01'!G93),0)+IF(AND(('V06 Calend 01'!E93&gt;0),(54&gt;'V06 Calend 01'!C93),(54&lt;'V06 Calend 01'!D93),(MOD((54-'V06 Calend 01'!C93),6)=0),(((54-'V06 Calend 01'!C93)/6)&lt;='V06 Calend 01'!E93)),IF((54=('V06 Calend 01'!C93+(6*'V06 Calend 01'!E93))),('V06 Calend 01'!H93-('V06 Calend 01'!I93*('V06 Calend 01'!E93-1))),'V06 Calend 01'!I93),0))+IF((54='V06 Calend 01'!D93),'V06 Calend 01'!J93,0))</f>
        <v>0</v>
      </c>
      <c r="BO93" s="2">
        <f>((IF((55='V06 Calend 01'!C93),('V06 Calend 01'!F93+'V06 Calend 01'!G93),0)+IF(AND(('V06 Calend 01'!E93&gt;0),(55&gt;'V06 Calend 01'!C93),(55&lt;'V06 Calend 01'!D93),(MOD((55-'V06 Calend 01'!C93),6)=0),(((55-'V06 Calend 01'!C93)/6)&lt;='V06 Calend 01'!E93)),IF((55=('V06 Calend 01'!C93+(6*'V06 Calend 01'!E93))),('V06 Calend 01'!H93-('V06 Calend 01'!I93*('V06 Calend 01'!E93-1))),'V06 Calend 01'!I93),0))+IF((55='V06 Calend 01'!D93),'V06 Calend 01'!J93,0))</f>
        <v>0</v>
      </c>
      <c r="BP93" s="2">
        <f>((IF((56='V06 Calend 01'!C93),('V06 Calend 01'!F93+'V06 Calend 01'!G93),0)+IF(AND(('V06 Calend 01'!E93&gt;0),(56&gt;'V06 Calend 01'!C93),(56&lt;'V06 Calend 01'!D93),(MOD((56-'V06 Calend 01'!C93),6)=0),(((56-'V06 Calend 01'!C93)/6)&lt;='V06 Calend 01'!E93)),IF((56=('V06 Calend 01'!C93+(6*'V06 Calend 01'!E93))),('V06 Calend 01'!H93-('V06 Calend 01'!I93*('V06 Calend 01'!E93-1))),'V06 Calend 01'!I93),0))+IF((56='V06 Calend 01'!D93),'V06 Calend 01'!J93,0))</f>
        <v>0</v>
      </c>
      <c r="BQ93" s="2">
        <f>((IF((57='V06 Calend 01'!C93),('V06 Calend 01'!F93+'V06 Calend 01'!G93),0)+IF(AND(('V06 Calend 01'!E93&gt;0),(57&gt;'V06 Calend 01'!C93),(57&lt;'V06 Calend 01'!D93),(MOD((57-'V06 Calend 01'!C93),6)=0),(((57-'V06 Calend 01'!C93)/6)&lt;='V06 Calend 01'!E93)),IF((57=('V06 Calend 01'!C93+(6*'V06 Calend 01'!E93))),('V06 Calend 01'!H93-('V06 Calend 01'!I93*('V06 Calend 01'!E93-1))),'V06 Calend 01'!I93),0))+IF((57='V06 Calend 01'!D93),'V06 Calend 01'!J93,0))</f>
        <v>0</v>
      </c>
      <c r="BR93" s="2">
        <f>((IF((58='V06 Calend 01'!C93),('V06 Calend 01'!F93+'V06 Calend 01'!G93),0)+IF(AND(('V06 Calend 01'!E93&gt;0),(58&gt;'V06 Calend 01'!C93),(58&lt;'V06 Calend 01'!D93),(MOD((58-'V06 Calend 01'!C93),6)=0),(((58-'V06 Calend 01'!C93)/6)&lt;='V06 Calend 01'!E93)),IF((58=('V06 Calend 01'!C93+(6*'V06 Calend 01'!E93))),('V06 Calend 01'!H93-('V06 Calend 01'!I93*('V06 Calend 01'!E93-1))),'V06 Calend 01'!I93),0))+IF((58='V06 Calend 01'!D93),'V06 Calend 01'!J93,0))</f>
        <v>0</v>
      </c>
      <c r="BS93" s="2">
        <f>((IF((59='V06 Calend 01'!C93),('V06 Calend 01'!F93+'V06 Calend 01'!G93),0)+IF(AND(('V06 Calend 01'!E93&gt;0),(59&gt;'V06 Calend 01'!C93),(59&lt;'V06 Calend 01'!D93),(MOD((59-'V06 Calend 01'!C93),6)=0),(((59-'V06 Calend 01'!C93)/6)&lt;='V06 Calend 01'!E93)),IF((59=('V06 Calend 01'!C93+(6*'V06 Calend 01'!E93))),('V06 Calend 01'!H93-('V06 Calend 01'!I93*('V06 Calend 01'!E93-1))),'V06 Calend 01'!I93),0))+IF((59='V06 Calend 01'!D93),'V06 Calend 01'!J93,0))</f>
        <v>0</v>
      </c>
      <c r="BT93" s="2">
        <f>((IF((60='V06 Calend 01'!C93),('V06 Calend 01'!F93+'V06 Calend 01'!G93),0)+IF(AND(('V06 Calend 01'!E93&gt;0),(60&gt;'V06 Calend 01'!C93),(60&lt;'V06 Calend 01'!D93),(MOD((60-'V06 Calend 01'!C93),6)=0),(((60-'V06 Calend 01'!C93)/6)&lt;='V06 Calend 01'!E93)),IF((60=('V06 Calend 01'!C93+(6*'V06 Calend 01'!E93))),('V06 Calend 01'!H93-('V06 Calend 01'!I93*('V06 Calend 01'!E93-1))),'V06 Calend 01'!I93),0))+IF((60='V06 Calend 01'!D93),'V06 Calend 01'!J93,0))</f>
        <v>0</v>
      </c>
      <c r="BU93" s="2">
        <f>((IF((61='V06 Calend 01'!C93),('V06 Calend 01'!F93+'V06 Calend 01'!G93),0)+IF(AND(('V06 Calend 01'!E93&gt;0),(61&gt;'V06 Calend 01'!C93),(61&lt;'V06 Calend 01'!D93),(MOD((61-'V06 Calend 01'!C93),6)=0),(((61-'V06 Calend 01'!C93)/6)&lt;='V06 Calend 01'!E93)),IF((61=('V06 Calend 01'!C93+(6*'V06 Calend 01'!E93))),('V06 Calend 01'!H93-('V06 Calend 01'!I93*('V06 Calend 01'!E93-1))),'V06 Calend 01'!I93),0))+IF((61='V06 Calend 01'!D93),'V06 Calend 01'!J93,0))</f>
        <v>0</v>
      </c>
      <c r="BV93" s="2">
        <f>((IF((62='V06 Calend 01'!C93),('V06 Calend 01'!F93+'V06 Calend 01'!G93),0)+IF(AND(('V06 Calend 01'!E93&gt;0),(62&gt;'V06 Calend 01'!C93),(62&lt;'V06 Calend 01'!D93),(MOD((62-'V06 Calend 01'!C93),6)=0),(((62-'V06 Calend 01'!C93)/6)&lt;='V06 Calend 01'!E93)),IF((62=('V06 Calend 01'!C93+(6*'V06 Calend 01'!E93))),('V06 Calend 01'!H93-('V06 Calend 01'!I93*('V06 Calend 01'!E93-1))),'V06 Calend 01'!I93),0))+IF((62='V06 Calend 01'!D93),'V06 Calend 01'!J93,0))</f>
        <v>0</v>
      </c>
      <c r="BW93" s="2">
        <f>((IF((63='V06 Calend 01'!C93),('V06 Calend 01'!F93+'V06 Calend 01'!G93),0)+IF(AND(('V06 Calend 01'!E93&gt;0),(63&gt;'V06 Calend 01'!C93),(63&lt;'V06 Calend 01'!D93),(MOD((63-'V06 Calend 01'!C93),6)=0),(((63-'V06 Calend 01'!C93)/6)&lt;='V06 Calend 01'!E93)),IF((63=('V06 Calend 01'!C93+(6*'V06 Calend 01'!E93))),('V06 Calend 01'!H93-('V06 Calend 01'!I93*('V06 Calend 01'!E93-1))),'V06 Calend 01'!I93),0))+IF((63='V06 Calend 01'!D93),'V06 Calend 01'!J93,0))</f>
        <v>0</v>
      </c>
      <c r="BX93" s="2">
        <f>((IF((64='V06 Calend 01'!C93),('V06 Calend 01'!F93+'V06 Calend 01'!G93),0)+IF(AND(('V06 Calend 01'!E93&gt;0),(64&gt;'V06 Calend 01'!C93),(64&lt;'V06 Calend 01'!D93),(MOD((64-'V06 Calend 01'!C93),6)=0),(((64-'V06 Calend 01'!C93)/6)&lt;='V06 Calend 01'!E93)),IF((64=('V06 Calend 01'!C93+(6*'V06 Calend 01'!E93))),('V06 Calend 01'!H93-('V06 Calend 01'!I93*('V06 Calend 01'!E93-1))),'V06 Calend 01'!I93),0))+IF((64='V06 Calend 01'!D93),'V06 Calend 01'!J93,0))</f>
        <v>0</v>
      </c>
      <c r="BY93" s="2">
        <f>((IF((65='V06 Calend 01'!C93),('V06 Calend 01'!F93+'V06 Calend 01'!G93),0)+IF(AND(('V06 Calend 01'!E93&gt;0),(65&gt;'V06 Calend 01'!C93),(65&lt;'V06 Calend 01'!D93),(MOD((65-'V06 Calend 01'!C93),6)=0),(((65-'V06 Calend 01'!C93)/6)&lt;='V06 Calend 01'!E93)),IF((65=('V06 Calend 01'!C93+(6*'V06 Calend 01'!E93))),('V06 Calend 01'!H93-('V06 Calend 01'!I93*('V06 Calend 01'!E93-1))),'V06 Calend 01'!I93),0))+IF((65='V06 Calend 01'!D93),'V06 Calend 01'!J93,0))</f>
        <v>0</v>
      </c>
      <c r="BZ93" s="2">
        <f>((IF((66='V06 Calend 01'!C93),('V06 Calend 01'!F93+'V06 Calend 01'!G93),0)+IF(AND(('V06 Calend 01'!E93&gt;0),(66&gt;'V06 Calend 01'!C93),(66&lt;'V06 Calend 01'!D93),(MOD((66-'V06 Calend 01'!C93),6)=0),(((66-'V06 Calend 01'!C93)/6)&lt;='V06 Calend 01'!E93)),IF((66=('V06 Calend 01'!C93+(6*'V06 Calend 01'!E93))),('V06 Calend 01'!H93-('V06 Calend 01'!I93*('V06 Calend 01'!E93-1))),'V06 Calend 01'!I93),0))+IF((66='V06 Calend 01'!D93),'V06 Calend 01'!J93,0))</f>
        <v>0</v>
      </c>
      <c r="CA93" s="2">
        <f>((IF((67='V06 Calend 01'!C93),('V06 Calend 01'!F93+'V06 Calend 01'!G93),0)+IF(AND(('V06 Calend 01'!E93&gt;0),(67&gt;'V06 Calend 01'!C93),(67&lt;'V06 Calend 01'!D93),(MOD((67-'V06 Calend 01'!C93),6)=0),(((67-'V06 Calend 01'!C93)/6)&lt;='V06 Calend 01'!E93)),IF((67=('V06 Calend 01'!C93+(6*'V06 Calend 01'!E93))),('V06 Calend 01'!H93-('V06 Calend 01'!I93*('V06 Calend 01'!E93-1))),'V06 Calend 01'!I93),0))+IF((67='V06 Calend 01'!D93),'V06 Calend 01'!J93,0))</f>
        <v>0</v>
      </c>
      <c r="CB93" s="2">
        <f>((IF((68='V06 Calend 01'!C93),('V06 Calend 01'!F93+'V06 Calend 01'!G93),0)+IF(AND(('V06 Calend 01'!E93&gt;0),(68&gt;'V06 Calend 01'!C93),(68&lt;'V06 Calend 01'!D93),(MOD((68-'V06 Calend 01'!C93),6)=0),(((68-'V06 Calend 01'!C93)/6)&lt;='V06 Calend 01'!E93)),IF((68=('V06 Calend 01'!C93+(6*'V06 Calend 01'!E93))),('V06 Calend 01'!H93-('V06 Calend 01'!I93*('V06 Calend 01'!E93-1))),'V06 Calend 01'!I93),0))+IF((68='V06 Calend 01'!D93),'V06 Calend 01'!J93,0))</f>
        <v>0</v>
      </c>
      <c r="CC93" s="2">
        <f>((IF((69='V06 Calend 01'!C93),('V06 Calend 01'!F93+'V06 Calend 01'!G93),0)+IF(AND(('V06 Calend 01'!E93&gt;0),(69&gt;'V06 Calend 01'!C93),(69&lt;'V06 Calend 01'!D93),(MOD((69-'V06 Calend 01'!C93),6)=0),(((69-'V06 Calend 01'!C93)/6)&lt;='V06 Calend 01'!E93)),IF((69=('V06 Calend 01'!C93+(6*'V06 Calend 01'!E93))),('V06 Calend 01'!H93-('V06 Calend 01'!I93*('V06 Calend 01'!E93-1))),'V06 Calend 01'!I93),0))+IF((69='V06 Calend 01'!D93),'V06 Calend 01'!J93,0))</f>
        <v>0</v>
      </c>
      <c r="CD93" s="2">
        <f>((IF((70='V06 Calend 01'!C93),('V06 Calend 01'!F93+'V06 Calend 01'!G93),0)+IF(AND(('V06 Calend 01'!E93&gt;0),(70&gt;'V06 Calend 01'!C93),(70&lt;'V06 Calend 01'!D93),(MOD((70-'V06 Calend 01'!C93),6)=0),(((70-'V06 Calend 01'!C93)/6)&lt;='V06 Calend 01'!E93)),IF((70=('V06 Calend 01'!C93+(6*'V06 Calend 01'!E93))),('V06 Calend 01'!H93-('V06 Calend 01'!I93*('V06 Calend 01'!E93-1))),'V06 Calend 01'!I93),0))+IF((70='V06 Calend 01'!D93),'V06 Calend 01'!J93,0))</f>
        <v>0</v>
      </c>
      <c r="CE93" s="2">
        <f>((IF((71='V06 Calend 01'!C93),('V06 Calend 01'!F93+'V06 Calend 01'!G93),0)+IF(AND(('V06 Calend 01'!E93&gt;0),(71&gt;'V06 Calend 01'!C93),(71&lt;'V06 Calend 01'!D93),(MOD((71-'V06 Calend 01'!C93),6)=0),(((71-'V06 Calend 01'!C93)/6)&lt;='V06 Calend 01'!E93)),IF((71=('V06 Calend 01'!C93+(6*'V06 Calend 01'!E93))),('V06 Calend 01'!H93-('V06 Calend 01'!I93*('V06 Calend 01'!E93-1))),'V06 Calend 01'!I93),0))+IF((71='V06 Calend 01'!D93),'V06 Calend 01'!J93,0))</f>
        <v>0</v>
      </c>
      <c r="CF93" s="2">
        <f>((IF((72='V06 Calend 01'!C93),('V06 Calend 01'!F93+'V06 Calend 01'!G93),0)+IF(AND(('V06 Calend 01'!E93&gt;0),(72&gt;'V06 Calend 01'!C93),(72&lt;'V06 Calend 01'!D93),(MOD((72-'V06 Calend 01'!C93),6)=0),(((72-'V06 Calend 01'!C93)/6)&lt;='V06 Calend 01'!E93)),IF((72=('V06 Calend 01'!C93+(6*'V06 Calend 01'!E93))),('V06 Calend 01'!H93-('V06 Calend 01'!I93*('V06 Calend 01'!E93-1))),'V06 Calend 01'!I93),0))+IF((72='V06 Calend 01'!D93),'V06 Calend 01'!J93,0))</f>
        <v>0</v>
      </c>
      <c r="CG93" s="2">
        <f>((IF((73='V06 Calend 01'!C93),('V06 Calend 01'!F93+'V06 Calend 01'!G93),0)+IF(AND(('V06 Calend 01'!E93&gt;0),(73&gt;'V06 Calend 01'!C93),(73&lt;'V06 Calend 01'!D93),(MOD((73-'V06 Calend 01'!C93),6)=0),(((73-'V06 Calend 01'!C93)/6)&lt;='V06 Calend 01'!E93)),IF((73=('V06 Calend 01'!C93+(6*'V06 Calend 01'!E93))),('V06 Calend 01'!H93-('V06 Calend 01'!I93*('V06 Calend 01'!E93-1))),'V06 Calend 01'!I93),0))+IF((73='V06 Calend 01'!D93),'V06 Calend 01'!J93,0))</f>
        <v>0</v>
      </c>
      <c r="CH93" s="2">
        <f>((IF((74='V06 Calend 01'!C93),('V06 Calend 01'!F93+'V06 Calend 01'!G93),0)+IF(AND(('V06 Calend 01'!E93&gt;0),(74&gt;'V06 Calend 01'!C93),(74&lt;'V06 Calend 01'!D93),(MOD((74-'V06 Calend 01'!C93),6)=0),(((74-'V06 Calend 01'!C93)/6)&lt;='V06 Calend 01'!E93)),IF((74=('V06 Calend 01'!C93+(6*'V06 Calend 01'!E93))),('V06 Calend 01'!H93-('V06 Calend 01'!I93*('V06 Calend 01'!E93-1))),'V06 Calend 01'!I93),0))+IF((74='V06 Calend 01'!D93),'V06 Calend 01'!J93,0))</f>
        <v>0</v>
      </c>
      <c r="CI93" s="2">
        <f>((IF((75='V06 Calend 01'!C93),('V06 Calend 01'!F93+'V06 Calend 01'!G93),0)+IF(AND(('V06 Calend 01'!E93&gt;0),(75&gt;'V06 Calend 01'!C93),(75&lt;'V06 Calend 01'!D93),(MOD((75-'V06 Calend 01'!C93),6)=0),(((75-'V06 Calend 01'!C93)/6)&lt;='V06 Calend 01'!E93)),IF((75=('V06 Calend 01'!C93+(6*'V06 Calend 01'!E93))),('V06 Calend 01'!H93-('V06 Calend 01'!I93*('V06 Calend 01'!E93-1))),'V06 Calend 01'!I93),0))+IF((75='V06 Calend 01'!D93),'V06 Calend 01'!J93,0))</f>
        <v>0</v>
      </c>
      <c r="CJ93" s="2">
        <f>((IF((76='V06 Calend 01'!C93),('V06 Calend 01'!F93+'V06 Calend 01'!G93),0)+IF(AND(('V06 Calend 01'!E93&gt;0),(76&gt;'V06 Calend 01'!C93),(76&lt;'V06 Calend 01'!D93),(MOD((76-'V06 Calend 01'!C93),6)=0),(((76-'V06 Calend 01'!C93)/6)&lt;='V06 Calend 01'!E93)),IF((76=('V06 Calend 01'!C93+(6*'V06 Calend 01'!E93))),('V06 Calend 01'!H93-('V06 Calend 01'!I93*('V06 Calend 01'!E93-1))),'V06 Calend 01'!I93),0))+IF((76='V06 Calend 01'!D93),'V06 Calend 01'!J93,0))</f>
        <v>0</v>
      </c>
      <c r="CK93" s="2">
        <f>((IF((77='V06 Calend 01'!C93),('V06 Calend 01'!F93+'V06 Calend 01'!G93),0)+IF(AND(('V06 Calend 01'!E93&gt;0),(77&gt;'V06 Calend 01'!C93),(77&lt;'V06 Calend 01'!D93),(MOD((77-'V06 Calend 01'!C93),6)=0),(((77-'V06 Calend 01'!C93)/6)&lt;='V06 Calend 01'!E93)),IF((77=('V06 Calend 01'!C93+(6*'V06 Calend 01'!E93))),('V06 Calend 01'!H93-('V06 Calend 01'!I93*('V06 Calend 01'!E93-1))),'V06 Calend 01'!I93),0))+IF((77='V06 Calend 01'!D93),'V06 Calend 01'!J93,0))</f>
        <v>0</v>
      </c>
      <c r="CL93" s="2">
        <f>((IF((78='V06 Calend 01'!C93),('V06 Calend 01'!F93+'V06 Calend 01'!G93),0)+IF(AND(('V06 Calend 01'!E93&gt;0),(78&gt;'V06 Calend 01'!C93),(78&lt;'V06 Calend 01'!D93),(MOD((78-'V06 Calend 01'!C93),6)=0),(((78-'V06 Calend 01'!C93)/6)&lt;='V06 Calend 01'!E93)),IF((78=('V06 Calend 01'!C93+(6*'V06 Calend 01'!E93))),('V06 Calend 01'!H93-('V06 Calend 01'!I93*('V06 Calend 01'!E93-1))),'V06 Calend 01'!I93),0))+IF((78='V06 Calend 01'!D93),'V06 Calend 01'!J93,0))</f>
        <v>0</v>
      </c>
      <c r="CM93" s="2">
        <f>((IF((79='V06 Calend 01'!C93),('V06 Calend 01'!F93+'V06 Calend 01'!G93),0)+IF(AND(('V06 Calend 01'!E93&gt;0),(79&gt;'V06 Calend 01'!C93),(79&lt;'V06 Calend 01'!D93),(MOD((79-'V06 Calend 01'!C93),6)=0),(((79-'V06 Calend 01'!C93)/6)&lt;='V06 Calend 01'!E93)),IF((79=('V06 Calend 01'!C93+(6*'V06 Calend 01'!E93))),('V06 Calend 01'!H93-('V06 Calend 01'!I93*('V06 Calend 01'!E93-1))),'V06 Calend 01'!I93),0))+IF((79='V06 Calend 01'!D93),'V06 Calend 01'!J93,0))</f>
        <v>0</v>
      </c>
      <c r="CN93" s="2">
        <f>((IF((80='V06 Calend 01'!C93),('V06 Calend 01'!F93+'V06 Calend 01'!G93),0)+IF(AND(('V06 Calend 01'!E93&gt;0),(80&gt;'V06 Calend 01'!C93),(80&lt;'V06 Calend 01'!D93),(MOD((80-'V06 Calend 01'!C93),6)=0),(((80-'V06 Calend 01'!C93)/6)&lt;='V06 Calend 01'!E93)),IF((80=('V06 Calend 01'!C93+(6*'V06 Calend 01'!E93))),('V06 Calend 01'!H93-('V06 Calend 01'!I93*('V06 Calend 01'!E93-1))),'V06 Calend 01'!I93),0))+IF((80='V06 Calend 01'!D93),'V06 Calend 01'!J93,0))</f>
        <v>0</v>
      </c>
      <c r="CO93" s="2">
        <f>((IF((81='V06 Calend 01'!C93),('V06 Calend 01'!F93+'V06 Calend 01'!G93),0)+IF(AND(('V06 Calend 01'!E93&gt;0),(81&gt;'V06 Calend 01'!C93),(81&lt;'V06 Calend 01'!D93),(MOD((81-'V06 Calend 01'!C93),6)=0),(((81-'V06 Calend 01'!C93)/6)&lt;='V06 Calend 01'!E93)),IF((81=('V06 Calend 01'!C93+(6*'V06 Calend 01'!E93))),('V06 Calend 01'!H93-('V06 Calend 01'!I93*('V06 Calend 01'!E93-1))),'V06 Calend 01'!I93),0))+IF((81='V06 Calend 01'!D93),'V06 Calend 01'!J93,0))</f>
        <v>0</v>
      </c>
      <c r="CP93" s="2">
        <f>((IF((82='V06 Calend 01'!C93),('V06 Calend 01'!F93+'V06 Calend 01'!G93),0)+IF(AND(('V06 Calend 01'!E93&gt;0),(82&gt;'V06 Calend 01'!C93),(82&lt;'V06 Calend 01'!D93),(MOD((82-'V06 Calend 01'!C93),6)=0),(((82-'V06 Calend 01'!C93)/6)&lt;='V06 Calend 01'!E93)),IF((82=('V06 Calend 01'!C93+(6*'V06 Calend 01'!E93))),('V06 Calend 01'!H93-('V06 Calend 01'!I93*('V06 Calend 01'!E93-1))),'V06 Calend 01'!I93),0))+IF((82='V06 Calend 01'!D93),'V06 Calend 01'!J93,0))</f>
        <v>0</v>
      </c>
      <c r="CQ93" s="2">
        <f>((IF((83='V06 Calend 01'!C93),('V06 Calend 01'!F93+'V06 Calend 01'!G93),0)+IF(AND(('V06 Calend 01'!E93&gt;0),(83&gt;'V06 Calend 01'!C93),(83&lt;'V06 Calend 01'!D93),(MOD((83-'V06 Calend 01'!C93),6)=0),(((83-'V06 Calend 01'!C93)/6)&lt;='V06 Calend 01'!E93)),IF((83=('V06 Calend 01'!C93+(6*'V06 Calend 01'!E93))),('V06 Calend 01'!H93-('V06 Calend 01'!I93*('V06 Calend 01'!E93-1))),'V06 Calend 01'!I93),0))+IF((83='V06 Calend 01'!D93),'V06 Calend 01'!J93,0))</f>
        <v>0</v>
      </c>
      <c r="CR93" s="2">
        <f>((IF((84='V06 Calend 01'!C93),('V06 Calend 01'!F93+'V06 Calend 01'!G93),0)+IF(AND(('V06 Calend 01'!E93&gt;0),(84&gt;'V06 Calend 01'!C93),(84&lt;'V06 Calend 01'!D93),(MOD((84-'V06 Calend 01'!C93),6)=0),(((84-'V06 Calend 01'!C93)/6)&lt;='V06 Calend 01'!E93)),IF((84=('V06 Calend 01'!C93+(6*'V06 Calend 01'!E93))),('V06 Calend 01'!H93-('V06 Calend 01'!I93*('V06 Calend 01'!E93-1))),'V06 Calend 01'!I93),0))+IF((84='V06 Calend 01'!D93),'V06 Calend 01'!J93,0))</f>
        <v>0</v>
      </c>
      <c r="CS93" s="2">
        <f>((IF((85='V06 Calend 01'!C93),('V06 Calend 01'!F93+'V06 Calend 01'!G93),0)+IF(AND(('V06 Calend 01'!E93&gt;0),(85&gt;'V06 Calend 01'!C93),(85&lt;'V06 Calend 01'!D93),(MOD((85-'V06 Calend 01'!C93),6)=0),(((85-'V06 Calend 01'!C93)/6)&lt;='V06 Calend 01'!E93)),IF((85=('V06 Calend 01'!C93+(6*'V06 Calend 01'!E93))),('V06 Calend 01'!H93-('V06 Calend 01'!I93*('V06 Calend 01'!E93-1))),'V06 Calend 01'!I93),0))+IF((85='V06 Calend 01'!D93),'V06 Calend 01'!J93,0))</f>
        <v>0</v>
      </c>
      <c r="CT93" s="2">
        <f>((IF((86='V06 Calend 01'!C93),('V06 Calend 01'!F93+'V06 Calend 01'!G93),0)+IF(AND(('V06 Calend 01'!E93&gt;0),(86&gt;'V06 Calend 01'!C93),(86&lt;'V06 Calend 01'!D93),(MOD((86-'V06 Calend 01'!C93),6)=0),(((86-'V06 Calend 01'!C93)/6)&lt;='V06 Calend 01'!E93)),IF((86=('V06 Calend 01'!C93+(6*'V06 Calend 01'!E93))),('V06 Calend 01'!H93-('V06 Calend 01'!I93*('V06 Calend 01'!E93-1))),'V06 Calend 01'!I93),0))+IF((86='V06 Calend 01'!D93),'V06 Calend 01'!J93,0))</f>
        <v>0</v>
      </c>
      <c r="CU93" s="2">
        <f>((IF((87='V06 Calend 01'!C93),('V06 Calend 01'!F93+'V06 Calend 01'!G93),0)+IF(AND(('V06 Calend 01'!E93&gt;0),(87&gt;'V06 Calend 01'!C93),(87&lt;'V06 Calend 01'!D93),(MOD((87-'V06 Calend 01'!C93),6)=0),(((87-'V06 Calend 01'!C93)/6)&lt;='V06 Calend 01'!E93)),IF((87=('V06 Calend 01'!C93+(6*'V06 Calend 01'!E93))),('V06 Calend 01'!H93-('V06 Calend 01'!I93*('V06 Calend 01'!E93-1))),'V06 Calend 01'!I93),0))+IF((87='V06 Calend 01'!D93),'V06 Calend 01'!J93,0))</f>
        <v>0</v>
      </c>
      <c r="CV93" s="2">
        <f>((IF((88='V06 Calend 01'!C93),('V06 Calend 01'!F93+'V06 Calend 01'!G93),0)+IF(AND(('V06 Calend 01'!E93&gt;0),(88&gt;'V06 Calend 01'!C93),(88&lt;'V06 Calend 01'!D93),(MOD((88-'V06 Calend 01'!C93),6)=0),(((88-'V06 Calend 01'!C93)/6)&lt;='V06 Calend 01'!E93)),IF((88=('V06 Calend 01'!C93+(6*'V06 Calend 01'!E93))),('V06 Calend 01'!H93-('V06 Calend 01'!I93*('V06 Calend 01'!E93-1))),'V06 Calend 01'!I93),0))+IF((88='V06 Calend 01'!D93),'V06 Calend 01'!J93,0))</f>
        <v>0</v>
      </c>
      <c r="CW93" s="2">
        <f>((IF((89='V06 Calend 01'!C93),('V06 Calend 01'!F93+'V06 Calend 01'!G93),0)+IF(AND(('V06 Calend 01'!E93&gt;0),(89&gt;'V06 Calend 01'!C93),(89&lt;'V06 Calend 01'!D93),(MOD((89-'V06 Calend 01'!C93),6)=0),(((89-'V06 Calend 01'!C93)/6)&lt;='V06 Calend 01'!E93)),IF((89=('V06 Calend 01'!C93+(6*'V06 Calend 01'!E93))),('V06 Calend 01'!H93-('V06 Calend 01'!I93*('V06 Calend 01'!E93-1))),'V06 Calend 01'!I93),0))+IF((89='V06 Calend 01'!D93),'V06 Calend 01'!J93,0))</f>
        <v>0</v>
      </c>
      <c r="CX93" s="2">
        <f>((IF((90='V06 Calend 01'!C93),('V06 Calend 01'!F93+'V06 Calend 01'!G93),0)+IF(AND(('V06 Calend 01'!E93&gt;0),(90&gt;'V06 Calend 01'!C93),(90&lt;'V06 Calend 01'!D93),(MOD((90-'V06 Calend 01'!C93),6)=0),(((90-'V06 Calend 01'!C93)/6)&lt;='V06 Calend 01'!E93)),IF((90=('V06 Calend 01'!C93+(6*'V06 Calend 01'!E93))),('V06 Calend 01'!H93-('V06 Calend 01'!I93*('V06 Calend 01'!E93-1))),'V06 Calend 01'!I93),0))+IF((90='V06 Calend 01'!D93),'V06 Calend 01'!J93,0))</f>
        <v>0</v>
      </c>
      <c r="CY93" s="2">
        <f>((IF((91='V06 Calend 01'!C93),('V06 Calend 01'!F93+'V06 Calend 01'!G93),0)+IF(AND(('V06 Calend 01'!E93&gt;0),(91&gt;'V06 Calend 01'!C93),(91&lt;'V06 Calend 01'!D93),(MOD((91-'V06 Calend 01'!C93),6)=0),(((91-'V06 Calend 01'!C93)/6)&lt;='V06 Calend 01'!E93)),IF((91=('V06 Calend 01'!C93+(6*'V06 Calend 01'!E93))),('V06 Calend 01'!H93-('V06 Calend 01'!I93*('V06 Calend 01'!E93-1))),'V06 Calend 01'!I93),0))+IF((91='V06 Calend 01'!D93),'V06 Calend 01'!J93,0))</f>
        <v>0</v>
      </c>
      <c r="CZ93" s="2">
        <f>((IF((92='V06 Calend 01'!C93),('V06 Calend 01'!F93+'V06 Calend 01'!G93),0)+IF(AND(('V06 Calend 01'!E93&gt;0),(92&gt;'V06 Calend 01'!C93),(92&lt;'V06 Calend 01'!D93),(MOD((92-'V06 Calend 01'!C93),6)=0),(((92-'V06 Calend 01'!C93)/6)&lt;='V06 Calend 01'!E93)),IF((92=('V06 Calend 01'!C93+(6*'V06 Calend 01'!E93))),('V06 Calend 01'!H93-('V06 Calend 01'!I93*('V06 Calend 01'!E93-1))),'V06 Calend 01'!I93),0))+IF((92='V06 Calend 01'!D93),'V06 Calend 01'!J93,0))</f>
        <v>0</v>
      </c>
      <c r="DA93" s="2">
        <f>((IF((93='V06 Calend 01'!C93),('V06 Calend 01'!F93+'V06 Calend 01'!G93),0)+IF(AND(('V06 Calend 01'!E93&gt;0),(93&gt;'V06 Calend 01'!C93),(93&lt;'V06 Calend 01'!D93),(MOD((93-'V06 Calend 01'!C93),6)=0),(((93-'V06 Calend 01'!C93)/6)&lt;='V06 Calend 01'!E93)),IF((93=('V06 Calend 01'!C93+(6*'V06 Calend 01'!E93))),('V06 Calend 01'!H93-('V06 Calend 01'!I93*('V06 Calend 01'!E93-1))),'V06 Calend 01'!I93),0))+IF((93='V06 Calend 01'!D93),'V06 Calend 01'!J93,0))</f>
        <v>0</v>
      </c>
      <c r="DB93" s="2">
        <f>((IF((94='V06 Calend 01'!C93),('V06 Calend 01'!F93+'V06 Calend 01'!G93),0)+IF(AND(('V06 Calend 01'!E93&gt;0),(94&gt;'V06 Calend 01'!C93),(94&lt;'V06 Calend 01'!D93),(MOD((94-'V06 Calend 01'!C93),6)=0),(((94-'V06 Calend 01'!C93)/6)&lt;='V06 Calend 01'!E93)),IF((94=('V06 Calend 01'!C93+(6*'V06 Calend 01'!E93))),('V06 Calend 01'!H93-('V06 Calend 01'!I93*('V06 Calend 01'!E93-1))),'V06 Calend 01'!I93),0))+IF((94='V06 Calend 01'!D93),'V06 Calend 01'!J93,0))</f>
        <v>0</v>
      </c>
      <c r="DC93" s="2">
        <f>((IF((95='V06 Calend 01'!C93),('V06 Calend 01'!F93+'V06 Calend 01'!G93),0)+IF(AND(('V06 Calend 01'!E93&gt;0),(95&gt;'V06 Calend 01'!C93),(95&lt;'V06 Calend 01'!D93),(MOD((95-'V06 Calend 01'!C93),6)=0),(((95-'V06 Calend 01'!C93)/6)&lt;='V06 Calend 01'!E93)),IF((95=('V06 Calend 01'!C93+(6*'V06 Calend 01'!E93))),('V06 Calend 01'!H93-('V06 Calend 01'!I93*('V06 Calend 01'!E93-1))),'V06 Calend 01'!I93),0))+IF((95='V06 Calend 01'!D93),'V06 Calend 01'!J93,0))</f>
        <v>0</v>
      </c>
      <c r="DD93" s="2">
        <f>((IF((96='V06 Calend 01'!C93),('V06 Calend 01'!F93+'V06 Calend 01'!G93),0)+IF(AND(('V06 Calend 01'!E93&gt;0),(96&gt;'V06 Calend 01'!C93),(96&lt;'V06 Calend 01'!D93),(MOD((96-'V06 Calend 01'!C93),6)=0),(((96-'V06 Calend 01'!C93)/6)&lt;='V06 Calend 01'!E93)),IF((96=('V06 Calend 01'!C93+(6*'V06 Calend 01'!E93))),('V06 Calend 01'!H93-('V06 Calend 01'!I93*('V06 Calend 01'!E93-1))),'V06 Calend 01'!I93),0))+IF((96='V06 Calend 01'!D93),'V06 Calend 01'!J93,0))</f>
        <v>0</v>
      </c>
      <c r="DE93" s="2">
        <f>((IF((97='V06 Calend 01'!C93),('V06 Calend 01'!F93+'V06 Calend 01'!G93),0)+IF(AND(('V06 Calend 01'!E93&gt;0),(97&gt;'V06 Calend 01'!C93),(97&lt;'V06 Calend 01'!D93),(MOD((97-'V06 Calend 01'!C93),6)=0),(((97-'V06 Calend 01'!C93)/6)&lt;='V06 Calend 01'!E93)),IF((97=('V06 Calend 01'!C93+(6*'V06 Calend 01'!E93))),('V06 Calend 01'!H93-('V06 Calend 01'!I93*('V06 Calend 01'!E93-1))),'V06 Calend 01'!I93),0))+IF((97='V06 Calend 01'!D93),'V06 Calend 01'!J93,0))</f>
        <v>0</v>
      </c>
      <c r="DF93" s="2">
        <f>((IF((98='V06 Calend 01'!C93),('V06 Calend 01'!F93+'V06 Calend 01'!G93),0)+IF(AND(('V06 Calend 01'!E93&gt;0),(98&gt;'V06 Calend 01'!C93),(98&lt;'V06 Calend 01'!D93),(MOD((98-'V06 Calend 01'!C93),6)=0),(((98-'V06 Calend 01'!C93)/6)&lt;='V06 Calend 01'!E93)),IF((98=('V06 Calend 01'!C93+(6*'V06 Calend 01'!E93))),('V06 Calend 01'!H93-('V06 Calend 01'!I93*('V06 Calend 01'!E93-1))),'V06 Calend 01'!I93),0))+IF((98='V06 Calend 01'!D93),'V06 Calend 01'!J93,0))</f>
        <v>0</v>
      </c>
      <c r="DG93" s="2">
        <f>((IF((99='V06 Calend 01'!C93),('V06 Calend 01'!F93+'V06 Calend 01'!G93),0)+IF(AND(('V06 Calend 01'!E93&gt;0),(99&gt;'V06 Calend 01'!C93),(99&lt;'V06 Calend 01'!D93),(MOD((99-'V06 Calend 01'!C93),6)=0),(((99-'V06 Calend 01'!C93)/6)&lt;='V06 Calend 01'!E93)),IF((99=('V06 Calend 01'!C93+(6*'V06 Calend 01'!E93))),('V06 Calend 01'!H93-('V06 Calend 01'!I93*('V06 Calend 01'!E93-1))),'V06 Calend 01'!I93),0))+IF((99='V06 Calend 01'!D93),'V06 Calend 01'!J93,0))</f>
        <v>0</v>
      </c>
      <c r="DH93" s="2">
        <f>((IF((100='V06 Calend 01'!C93),('V06 Calend 01'!F93+'V06 Calend 01'!G93),0)+IF(AND(('V06 Calend 01'!E93&gt;0),(100&gt;'V06 Calend 01'!C93),(100&lt;'V06 Calend 01'!D93),(MOD((100-'V06 Calend 01'!C93),6)=0),(((100-'V06 Calend 01'!C93)/6)&lt;='V06 Calend 01'!E93)),IF((100=('V06 Calend 01'!C93+(6*'V06 Calend 01'!E93))),('V06 Calend 01'!H93-('V06 Calend 01'!I93*('V06 Calend 01'!E93-1))),'V06 Calend 01'!I93),0))+IF((100='V06 Calend 01'!D93),'V06 Calend 01'!J93,0))</f>
        <v>0</v>
      </c>
      <c r="DI93" s="2">
        <f>((IF((101='V06 Calend 01'!C93),('V06 Calend 01'!F93+'V06 Calend 01'!G93),0)+IF(AND(('V06 Calend 01'!E93&gt;0),(101&gt;'V06 Calend 01'!C93),(101&lt;'V06 Calend 01'!D93),(MOD((101-'V06 Calend 01'!C93),6)=0),(((101-'V06 Calend 01'!C93)/6)&lt;='V06 Calend 01'!E93)),IF((101=('V06 Calend 01'!C93+(6*'V06 Calend 01'!E93))),('V06 Calend 01'!H93-('V06 Calend 01'!I93*('V06 Calend 01'!E93-1))),'V06 Calend 01'!I93),0))+IF((101='V06 Calend 01'!D93),'V06 Calend 01'!J93,0))</f>
        <v>0</v>
      </c>
      <c r="DJ93" s="2">
        <f>((IF((102='V06 Calend 01'!C93),('V06 Calend 01'!F93+'V06 Calend 01'!G93),0)+IF(AND(('V06 Calend 01'!E93&gt;0),(102&gt;'V06 Calend 01'!C93),(102&lt;'V06 Calend 01'!D93),(MOD((102-'V06 Calend 01'!C93),6)=0),(((102-'V06 Calend 01'!C93)/6)&lt;='V06 Calend 01'!E93)),IF((102=('V06 Calend 01'!C93+(6*'V06 Calend 01'!E93))),('V06 Calend 01'!H93-('V06 Calend 01'!I93*('V06 Calend 01'!E93-1))),'V06 Calend 01'!I93),0))+IF((102='V06 Calend 01'!D93),'V06 Calend 01'!J93,0))</f>
        <v>0</v>
      </c>
      <c r="DK93" s="2">
        <f>((IF((103='V06 Calend 01'!C93),('V06 Calend 01'!F93+'V06 Calend 01'!G93),0)+IF(AND(('V06 Calend 01'!E93&gt;0),(103&gt;'V06 Calend 01'!C93),(103&lt;'V06 Calend 01'!D93),(MOD((103-'V06 Calend 01'!C93),6)=0),(((103-'V06 Calend 01'!C93)/6)&lt;='V06 Calend 01'!E93)),IF((103=('V06 Calend 01'!C93+(6*'V06 Calend 01'!E93))),('V06 Calend 01'!H93-('V06 Calend 01'!I93*('V06 Calend 01'!E93-1))),'V06 Calend 01'!I93),0))+IF((103='V06 Calend 01'!D93),'V06 Calend 01'!J93,0))</f>
        <v>0</v>
      </c>
      <c r="DL93" s="2">
        <f>((IF((104='V06 Calend 01'!C93),('V06 Calend 01'!F93+'V06 Calend 01'!G93),0)+IF(AND(('V06 Calend 01'!E93&gt;0),(104&gt;'V06 Calend 01'!C93),(104&lt;'V06 Calend 01'!D93),(MOD((104-'V06 Calend 01'!C93),6)=0),(((104-'V06 Calend 01'!C93)/6)&lt;='V06 Calend 01'!E93)),IF((104=('V06 Calend 01'!C93+(6*'V06 Calend 01'!E93))),('V06 Calend 01'!H93-('V06 Calend 01'!I93*('V06 Calend 01'!E93-1))),'V06 Calend 01'!I93),0))+IF((104='V06 Calend 01'!D93),'V06 Calend 01'!J93,0))</f>
        <v>0</v>
      </c>
      <c r="DM93" s="2">
        <f>((IF((105='V06 Calend 01'!C93),('V06 Calend 01'!F93+'V06 Calend 01'!G93),0)+IF(AND(('V06 Calend 01'!E93&gt;0),(105&gt;'V06 Calend 01'!C93),(105&lt;'V06 Calend 01'!D93),(MOD((105-'V06 Calend 01'!C93),6)=0),(((105-'V06 Calend 01'!C93)/6)&lt;='V06 Calend 01'!E93)),IF((105=('V06 Calend 01'!C93+(6*'V06 Calend 01'!E93))),('V06 Calend 01'!H93-('V06 Calend 01'!I93*('V06 Calend 01'!E93-1))),'V06 Calend 01'!I93),0))+IF((105='V06 Calend 01'!D93),'V06 Calend 01'!J93,0))</f>
        <v>0</v>
      </c>
      <c r="DN93" s="2">
        <f>((IF((106='V06 Calend 01'!C93),('V06 Calend 01'!F93+'V06 Calend 01'!G93),0)+IF(AND(('V06 Calend 01'!E93&gt;0),(106&gt;'V06 Calend 01'!C93),(106&lt;'V06 Calend 01'!D93),(MOD((106-'V06 Calend 01'!C93),6)=0),(((106-'V06 Calend 01'!C93)/6)&lt;='V06 Calend 01'!E93)),IF((106=('V06 Calend 01'!C93+(6*'V06 Calend 01'!E93))),('V06 Calend 01'!H93-('V06 Calend 01'!I93*('V06 Calend 01'!E93-1))),'V06 Calend 01'!I93),0))+IF((106='V06 Calend 01'!D93),'V06 Calend 01'!J93,0))</f>
        <v>0</v>
      </c>
      <c r="DO93" s="2">
        <f>((IF((107='V06 Calend 01'!C93),('V06 Calend 01'!F93+'V06 Calend 01'!G93),0)+IF(AND(('V06 Calend 01'!E93&gt;0),(107&gt;'V06 Calend 01'!C93),(107&lt;'V06 Calend 01'!D93),(MOD((107-'V06 Calend 01'!C93),6)=0),(((107-'V06 Calend 01'!C93)/6)&lt;='V06 Calend 01'!E93)),IF((107=('V06 Calend 01'!C93+(6*'V06 Calend 01'!E93))),('V06 Calend 01'!H93-('V06 Calend 01'!I93*('V06 Calend 01'!E93-1))),'V06 Calend 01'!I93),0))+IF((107='V06 Calend 01'!D93),'V06 Calend 01'!J93,0))</f>
        <v>0</v>
      </c>
      <c r="DP93" s="2">
        <f>((IF((108='V06 Calend 01'!C93),('V06 Calend 01'!F93+'V06 Calend 01'!G93),0)+IF(AND(('V06 Calend 01'!E93&gt;0),(108&gt;'V06 Calend 01'!C93),(108&lt;'V06 Calend 01'!D93),(MOD((108-'V06 Calend 01'!C93),6)=0),(((108-'V06 Calend 01'!C93)/6)&lt;='V06 Calend 01'!E93)),IF((108=('V06 Calend 01'!C93+(6*'V06 Calend 01'!E93))),('V06 Calend 01'!H93-('V06 Calend 01'!I93*('V06 Calend 01'!E93-1))),'V06 Calend 01'!I93),0))+IF((108='V06 Calend 01'!D93),'V06 Calend 01'!J93,0))</f>
        <v>0</v>
      </c>
      <c r="DQ93" s="2">
        <f>((IF((109='V06 Calend 01'!C93),('V06 Calend 01'!F93+'V06 Calend 01'!G93),0)+IF(AND(('V06 Calend 01'!E93&gt;0),(109&gt;'V06 Calend 01'!C93),(109&lt;'V06 Calend 01'!D93),(MOD((109-'V06 Calend 01'!C93),6)=0),(((109-'V06 Calend 01'!C93)/6)&lt;='V06 Calend 01'!E93)),IF((109=('V06 Calend 01'!C93+(6*'V06 Calend 01'!E93))),('V06 Calend 01'!H93-('V06 Calend 01'!I93*('V06 Calend 01'!E93-1))),'V06 Calend 01'!I93),0))+IF((109='V06 Calend 01'!D93),'V06 Calend 01'!J93,0))</f>
        <v>0</v>
      </c>
      <c r="DR93" s="2">
        <f>((IF((110='V06 Calend 01'!C93),('V06 Calend 01'!F93+'V06 Calend 01'!G93),0)+IF(AND(('V06 Calend 01'!E93&gt;0),(110&gt;'V06 Calend 01'!C93),(110&lt;'V06 Calend 01'!D93),(MOD((110-'V06 Calend 01'!C93),6)=0),(((110-'V06 Calend 01'!C93)/6)&lt;='V06 Calend 01'!E93)),IF((110=('V06 Calend 01'!C93+(6*'V06 Calend 01'!E93))),('V06 Calend 01'!H93-('V06 Calend 01'!I93*('V06 Calend 01'!E93-1))),'V06 Calend 01'!I93),0))+IF((110='V06 Calend 01'!D93),'V06 Calend 01'!J93,0))</f>
        <v>0</v>
      </c>
      <c r="DS93" s="2">
        <f>((IF((111='V06 Calend 01'!C93),('V06 Calend 01'!F93+'V06 Calend 01'!G93),0)+IF(AND(('V06 Calend 01'!E93&gt;0),(111&gt;'V06 Calend 01'!C93),(111&lt;'V06 Calend 01'!D93),(MOD((111-'V06 Calend 01'!C93),6)=0),(((111-'V06 Calend 01'!C93)/6)&lt;='V06 Calend 01'!E93)),IF((111=('V06 Calend 01'!C93+(6*'V06 Calend 01'!E93))),('V06 Calend 01'!H93-('V06 Calend 01'!I93*('V06 Calend 01'!E93-1))),'V06 Calend 01'!I93),0))+IF((111='V06 Calend 01'!D93),'V06 Calend 01'!J93,0))</f>
        <v>0</v>
      </c>
      <c r="DT93" s="2">
        <f>((IF((112='V06 Calend 01'!C93),('V06 Calend 01'!F93+'V06 Calend 01'!G93),0)+IF(AND(('V06 Calend 01'!E93&gt;0),(112&gt;'V06 Calend 01'!C93),(112&lt;'V06 Calend 01'!D93),(MOD((112-'V06 Calend 01'!C93),6)=0),(((112-'V06 Calend 01'!C93)/6)&lt;='V06 Calend 01'!E93)),IF((112=('V06 Calend 01'!C93+(6*'V06 Calend 01'!E93))),('V06 Calend 01'!H93-('V06 Calend 01'!I93*('V06 Calend 01'!E93-1))),'V06 Calend 01'!I93),0))+IF((112='V06 Calend 01'!D93),'V06 Calend 01'!J93,0))</f>
        <v>0</v>
      </c>
      <c r="DU93" s="2">
        <f>((IF((113='V06 Calend 01'!C93),('V06 Calend 01'!F93+'V06 Calend 01'!G93),0)+IF(AND(('V06 Calend 01'!E93&gt;0),(113&gt;'V06 Calend 01'!C93),(113&lt;'V06 Calend 01'!D93),(MOD((113-'V06 Calend 01'!C93),6)=0),(((113-'V06 Calend 01'!C93)/6)&lt;='V06 Calend 01'!E93)),IF((113=('V06 Calend 01'!C93+(6*'V06 Calend 01'!E93))),('V06 Calend 01'!H93-('V06 Calend 01'!I93*('V06 Calend 01'!E93-1))),'V06 Calend 01'!I93),0))+IF((113='V06 Calend 01'!D93),'V06 Calend 01'!J93,0))</f>
        <v>0</v>
      </c>
      <c r="DV93" s="2">
        <f>((IF((114='V06 Calend 01'!C93),('V06 Calend 01'!F93+'V06 Calend 01'!G93),0)+IF(AND(('V06 Calend 01'!E93&gt;0),(114&gt;'V06 Calend 01'!C93),(114&lt;'V06 Calend 01'!D93),(MOD((114-'V06 Calend 01'!C93),6)=0),(((114-'V06 Calend 01'!C93)/6)&lt;='V06 Calend 01'!E93)),IF((114=('V06 Calend 01'!C93+(6*'V06 Calend 01'!E93))),('V06 Calend 01'!H93-('V06 Calend 01'!I93*('V06 Calend 01'!E93-1))),'V06 Calend 01'!I93),0))+IF((114='V06 Calend 01'!D93),'V06 Calend 01'!J93,0))</f>
        <v>0</v>
      </c>
      <c r="DW93" s="2">
        <f>((IF((115='V06 Calend 01'!C93),('V06 Calend 01'!F93+'V06 Calend 01'!G93),0)+IF(AND(('V06 Calend 01'!E93&gt;0),(115&gt;'V06 Calend 01'!C93),(115&lt;'V06 Calend 01'!D93),(MOD((115-'V06 Calend 01'!C93),6)=0),(((115-'V06 Calend 01'!C93)/6)&lt;='V06 Calend 01'!E93)),IF((115=('V06 Calend 01'!C93+(6*'V06 Calend 01'!E93))),('V06 Calend 01'!H93-('V06 Calend 01'!I93*('V06 Calend 01'!E93-1))),'V06 Calend 01'!I93),0))+IF((115='V06 Calend 01'!D93),'V06 Calend 01'!J93,0))</f>
        <v>0</v>
      </c>
      <c r="DX93" s="2">
        <f>((IF((116='V06 Calend 01'!C93),('V06 Calend 01'!F93+'V06 Calend 01'!G93),0)+IF(AND(('V06 Calend 01'!E93&gt;0),(116&gt;'V06 Calend 01'!C93),(116&lt;'V06 Calend 01'!D93),(MOD((116-'V06 Calend 01'!C93),6)=0),(((116-'V06 Calend 01'!C93)/6)&lt;='V06 Calend 01'!E93)),IF((116=('V06 Calend 01'!C93+(6*'V06 Calend 01'!E93))),('V06 Calend 01'!H93-('V06 Calend 01'!I93*('V06 Calend 01'!E93-1))),'V06 Calend 01'!I93),0))+IF((116='V06 Calend 01'!D93),'V06 Calend 01'!J93,0))</f>
        <v>0</v>
      </c>
      <c r="DY93" s="2">
        <f>((IF((117='V06 Calend 01'!C93),('V06 Calend 01'!F93+'V06 Calend 01'!G93),0)+IF(AND(('V06 Calend 01'!E93&gt;0),(117&gt;'V06 Calend 01'!C93),(117&lt;'V06 Calend 01'!D93),(MOD((117-'V06 Calend 01'!C93),6)=0),(((117-'V06 Calend 01'!C93)/6)&lt;='V06 Calend 01'!E93)),IF((117=('V06 Calend 01'!C93+(6*'V06 Calend 01'!E93))),('V06 Calend 01'!H93-('V06 Calend 01'!I93*('V06 Calend 01'!E93-1))),'V06 Calend 01'!I93),0))+IF((117='V06 Calend 01'!D93),'V06 Calend 01'!J93,0))</f>
        <v>0</v>
      </c>
      <c r="DZ93" s="2">
        <f>((IF((118='V06 Calend 01'!C93),('V06 Calend 01'!F93+'V06 Calend 01'!G93),0)+IF(AND(('V06 Calend 01'!E93&gt;0),(118&gt;'V06 Calend 01'!C93),(118&lt;'V06 Calend 01'!D93),(MOD((118-'V06 Calend 01'!C93),6)=0),(((118-'V06 Calend 01'!C93)/6)&lt;='V06 Calend 01'!E93)),IF((118=('V06 Calend 01'!C93+(6*'V06 Calend 01'!E93))),('V06 Calend 01'!H93-('V06 Calend 01'!I93*('V06 Calend 01'!E93-1))),'V06 Calend 01'!I93),0))+IF((118='V06 Calend 01'!D93),'V06 Calend 01'!J93,0))</f>
        <v>0</v>
      </c>
      <c r="EA93" s="2">
        <f>((IF((119='V06 Calend 01'!C93),('V06 Calend 01'!F93+'V06 Calend 01'!G93),0)+IF(AND(('V06 Calend 01'!E93&gt;0),(119&gt;'V06 Calend 01'!C93),(119&lt;'V06 Calend 01'!D93),(MOD((119-'V06 Calend 01'!C93),6)=0),(((119-'V06 Calend 01'!C93)/6)&lt;='V06 Calend 01'!E93)),IF((119=('V06 Calend 01'!C93+(6*'V06 Calend 01'!E93))),('V06 Calend 01'!H93-('V06 Calend 01'!I93*('V06 Calend 01'!E93-1))),'V06 Calend 01'!I93),0))+IF((119='V06 Calend 01'!D93),'V06 Calend 01'!J93,0))</f>
        <v>0</v>
      </c>
      <c r="EB93" s="2">
        <f>((IF((120='V06 Calend 01'!C93),('V06 Calend 01'!F93+'V06 Calend 01'!G93),0)+IF(AND(('V06 Calend 01'!E93&gt;0),(120&gt;'V06 Calend 01'!C93),(120&lt;'V06 Calend 01'!D93),(MOD((120-'V06 Calend 01'!C93),6)=0),(((120-'V06 Calend 01'!C93)/6)&lt;='V06 Calend 01'!E93)),IF((120=('V06 Calend 01'!C93+(6*'V06 Calend 01'!E93))),('V06 Calend 01'!H93-('V06 Calend 01'!I93*('V06 Calend 01'!E93-1))),'V06 Calend 01'!I93),0))+IF((120='V06 Calend 01'!D93),'V06 Calend 01'!J93,0))</f>
        <v>0</v>
      </c>
      <c r="EC93" s="2">
        <f>((IF((121='V06 Calend 01'!C93),('V06 Calend 01'!F93+'V06 Calend 01'!G93),0)+IF(AND(('V06 Calend 01'!E93&gt;0),(121&gt;'V06 Calend 01'!C93),(121&lt;'V06 Calend 01'!D93),(MOD((121-'V06 Calend 01'!C93),6)=0),(((121-'V06 Calend 01'!C93)/6)&lt;='V06 Calend 01'!E93)),IF((121=('V06 Calend 01'!C93+(6*'V06 Calend 01'!E93))),('V06 Calend 01'!H93-('V06 Calend 01'!I93*('V06 Calend 01'!E93-1))),'V06 Calend 01'!I93),0))+IF((121='V06 Calend 01'!D93),'V06 Calend 01'!J93,0))</f>
        <v>0</v>
      </c>
      <c r="ED93" s="2">
        <f>((IF((122='V06 Calend 01'!C93),('V06 Calend 01'!F93+'V06 Calend 01'!G93),0)+IF(AND(('V06 Calend 01'!E93&gt;0),(122&gt;'V06 Calend 01'!C93),(122&lt;'V06 Calend 01'!D93),(MOD((122-'V06 Calend 01'!C93),6)=0),(((122-'V06 Calend 01'!C93)/6)&lt;='V06 Calend 01'!E93)),IF((122=('V06 Calend 01'!C93+(6*'V06 Calend 01'!E93))),('V06 Calend 01'!H93-('V06 Calend 01'!I93*('V06 Calend 01'!E93-1))),'V06 Calend 01'!I93),0))+IF((122='V06 Calend 01'!D93),'V06 Calend 01'!J93,0))</f>
        <v>0</v>
      </c>
      <c r="EE93" s="2">
        <f>((IF((123='V06 Calend 01'!C93),('V06 Calend 01'!F93+'V06 Calend 01'!G93),0)+IF(AND(('V06 Calend 01'!E93&gt;0),(123&gt;'V06 Calend 01'!C93),(123&lt;'V06 Calend 01'!D93),(MOD((123-'V06 Calend 01'!C93),6)=0),(((123-'V06 Calend 01'!C93)/6)&lt;='V06 Calend 01'!E93)),IF((123=('V06 Calend 01'!C93+(6*'V06 Calend 01'!E93))),('V06 Calend 01'!H93-('V06 Calend 01'!I93*('V06 Calend 01'!E93-1))),'V06 Calend 01'!I93),0))+IF((123='V06 Calend 01'!D93),'V06 Calend 01'!J93,0))</f>
        <v>0</v>
      </c>
      <c r="EF93" s="2">
        <f>((IF((124='V06 Calend 01'!C93),('V06 Calend 01'!F93+'V06 Calend 01'!G93),0)+IF(AND(('V06 Calend 01'!E93&gt;0),(124&gt;'V06 Calend 01'!C93),(124&lt;'V06 Calend 01'!D93),(MOD((124-'V06 Calend 01'!C93),6)=0),(((124-'V06 Calend 01'!C93)/6)&lt;='V06 Calend 01'!E93)),IF((124=('V06 Calend 01'!C93+(6*'V06 Calend 01'!E93))),('V06 Calend 01'!H93-('V06 Calend 01'!I93*('V06 Calend 01'!E93-1))),'V06 Calend 01'!I93),0))+IF((124='V06 Calend 01'!D93),'V06 Calend 01'!J93,0))</f>
        <v>0</v>
      </c>
      <c r="EG93" s="2">
        <f>((IF((125='V06 Calend 01'!C93),('V06 Calend 01'!F93+'V06 Calend 01'!G93),0)+IF(AND(('V06 Calend 01'!E93&gt;0),(125&gt;'V06 Calend 01'!C93),(125&lt;'V06 Calend 01'!D93),(MOD((125-'V06 Calend 01'!C93),6)=0),(((125-'V06 Calend 01'!C93)/6)&lt;='V06 Calend 01'!E93)),IF((125=('V06 Calend 01'!C93+(6*'V06 Calend 01'!E93))),('V06 Calend 01'!H93-('V06 Calend 01'!I93*('V06 Calend 01'!E93-1))),'V06 Calend 01'!I93),0))+IF((125='V06 Calend 01'!D93),'V06 Calend 01'!J93,0))</f>
        <v>0</v>
      </c>
      <c r="EH93" s="2">
        <f>((IF((126='V06 Calend 01'!C93),('V06 Calend 01'!F93+'V06 Calend 01'!G93),0)+IF(AND(('V06 Calend 01'!E93&gt;0),(126&gt;'V06 Calend 01'!C93),(126&lt;'V06 Calend 01'!D93),(MOD((126-'V06 Calend 01'!C93),6)=0),(((126-'V06 Calend 01'!C93)/6)&lt;='V06 Calend 01'!E93)),IF((126=('V06 Calend 01'!C93+(6*'V06 Calend 01'!E93))),('V06 Calend 01'!H93-('V06 Calend 01'!I93*('V06 Calend 01'!E93-1))),'V06 Calend 01'!I93),0))+IF((126='V06 Calend 01'!D93),'V06 Calend 01'!J93,0))</f>
        <v>0</v>
      </c>
      <c r="EI93" s="2">
        <f>((IF((127='V06 Calend 01'!C93),('V06 Calend 01'!F93+'V06 Calend 01'!G93),0)+IF(AND(('V06 Calend 01'!E93&gt;0),(127&gt;'V06 Calend 01'!C93),(127&lt;'V06 Calend 01'!D93),(MOD((127-'V06 Calend 01'!C93),6)=0),(((127-'V06 Calend 01'!C93)/6)&lt;='V06 Calend 01'!E93)),IF((127=('V06 Calend 01'!C93+(6*'V06 Calend 01'!E93))),('V06 Calend 01'!H93-('V06 Calend 01'!I93*('V06 Calend 01'!E93-1))),'V06 Calend 01'!I93),0))+IF((127='V06 Calend 01'!D93),'V06 Calend 01'!J93,0))</f>
        <v>0</v>
      </c>
      <c r="EJ93" s="2">
        <f>((IF((128='V06 Calend 01'!C93),('V06 Calend 01'!F93+'V06 Calend 01'!G93),0)+IF(AND(('V06 Calend 01'!E93&gt;0),(128&gt;'V06 Calend 01'!C93),(128&lt;'V06 Calend 01'!D93),(MOD((128-'V06 Calend 01'!C93),6)=0),(((128-'V06 Calend 01'!C93)/6)&lt;='V06 Calend 01'!E93)),IF((128=('V06 Calend 01'!C93+(6*'V06 Calend 01'!E93))),('V06 Calend 01'!H93-('V06 Calend 01'!I93*('V06 Calend 01'!E93-1))),'V06 Calend 01'!I93),0))+IF((128='V06 Calend 01'!D93),'V06 Calend 01'!J93,0))</f>
        <v>0</v>
      </c>
      <c r="EK93" s="2">
        <f>((IF((129='V06 Calend 01'!C93),('V06 Calend 01'!F93+'V06 Calend 01'!G93),0)+IF(AND(('V06 Calend 01'!E93&gt;0),(129&gt;'V06 Calend 01'!C93),(129&lt;'V06 Calend 01'!D93),(MOD((129-'V06 Calend 01'!C93),6)=0),(((129-'V06 Calend 01'!C93)/6)&lt;='V06 Calend 01'!E93)),IF((129=('V06 Calend 01'!C93+(6*'V06 Calend 01'!E93))),('V06 Calend 01'!H93-('V06 Calend 01'!I93*('V06 Calend 01'!E93-1))),'V06 Calend 01'!I93),0))+IF((129='V06 Calend 01'!D93),'V06 Calend 01'!J93,0))</f>
        <v>0</v>
      </c>
      <c r="EL93" s="2">
        <f>((IF((130='V06 Calend 01'!C93),('V06 Calend 01'!F93+'V06 Calend 01'!G93),0)+IF(AND(('V06 Calend 01'!E93&gt;0),(130&gt;'V06 Calend 01'!C93),(130&lt;'V06 Calend 01'!D93),(MOD((130-'V06 Calend 01'!C93),6)=0),(((130-'V06 Calend 01'!C93)/6)&lt;='V06 Calend 01'!E93)),IF((130=('V06 Calend 01'!C93+(6*'V06 Calend 01'!E93))),('V06 Calend 01'!H93-('V06 Calend 01'!I93*('V06 Calend 01'!E93-1))),'V06 Calend 01'!I93),0))+IF((130='V06 Calend 01'!D93),'V06 Calend 01'!J93,0))</f>
        <v>0</v>
      </c>
      <c r="EM93" s="2">
        <f>((IF((131='V06 Calend 01'!C93),('V06 Calend 01'!F93+'V06 Calend 01'!G93),0)+IF(AND(('V06 Calend 01'!E93&gt;0),(131&gt;'V06 Calend 01'!C93),(131&lt;'V06 Calend 01'!D93),(MOD((131-'V06 Calend 01'!C93),6)=0),(((131-'V06 Calend 01'!C93)/6)&lt;='V06 Calend 01'!E93)),IF((131=('V06 Calend 01'!C93+(6*'V06 Calend 01'!E93))),('V06 Calend 01'!H93-('V06 Calend 01'!I93*('V06 Calend 01'!E93-1))),'V06 Calend 01'!I93),0))+IF((131='V06 Calend 01'!D93),'V06 Calend 01'!J93,0))</f>
        <v>0</v>
      </c>
      <c r="EN93" s="2">
        <f>((IF((132='V06 Calend 01'!C93),('V06 Calend 01'!F93+'V06 Calend 01'!G93),0)+IF(AND(('V06 Calend 01'!E93&gt;0),(132&gt;'V06 Calend 01'!C93),(132&lt;'V06 Calend 01'!D93),(MOD((132-'V06 Calend 01'!C93),6)=0),(((132-'V06 Calend 01'!C93)/6)&lt;='V06 Calend 01'!E93)),IF((132=('V06 Calend 01'!C93+(6*'V06 Calend 01'!E93))),('V06 Calend 01'!H93-('V06 Calend 01'!I93*('V06 Calend 01'!E93-1))),'V06 Calend 01'!I93),0))+IF((132='V06 Calend 01'!D93),'V06 Calend 01'!J93,0))</f>
        <v>0</v>
      </c>
      <c r="EO93" s="2">
        <f>((IF((133='V06 Calend 01'!C93),('V06 Calend 01'!F93+'V06 Calend 01'!G93),0)+IF(AND(('V06 Calend 01'!E93&gt;0),(133&gt;'V06 Calend 01'!C93),(133&lt;'V06 Calend 01'!D93),(MOD((133-'V06 Calend 01'!C93),6)=0),(((133-'V06 Calend 01'!C93)/6)&lt;='V06 Calend 01'!E93)),IF((133=('V06 Calend 01'!C93+(6*'V06 Calend 01'!E93))),('V06 Calend 01'!H93-('V06 Calend 01'!I93*('V06 Calend 01'!E93-1))),'V06 Calend 01'!I93),0))+IF((133='V06 Calend 01'!D93),'V06 Calend 01'!J93,0))</f>
        <v>0</v>
      </c>
      <c r="EP93" s="2">
        <f>((IF((134='V06 Calend 01'!C93),('V06 Calend 01'!F93+'V06 Calend 01'!G93),0)+IF(AND(('V06 Calend 01'!E93&gt;0),(134&gt;'V06 Calend 01'!C93),(134&lt;'V06 Calend 01'!D93),(MOD((134-'V06 Calend 01'!C93),6)=0),(((134-'V06 Calend 01'!C93)/6)&lt;='V06 Calend 01'!E93)),IF((134=('V06 Calend 01'!C93+(6*'V06 Calend 01'!E93))),('V06 Calend 01'!H93-('V06 Calend 01'!I93*('V06 Calend 01'!E93-1))),'V06 Calend 01'!I93),0))+IF((134='V06 Calend 01'!D93),'V06 Calend 01'!J93,0))</f>
        <v>0</v>
      </c>
      <c r="EQ93" s="2">
        <f>((IF((135='V06 Calend 01'!C93),('V06 Calend 01'!F93+'V06 Calend 01'!G93),0)+IF(AND(('V06 Calend 01'!E93&gt;0),(135&gt;'V06 Calend 01'!C93),(135&lt;'V06 Calend 01'!D93),(MOD((135-'V06 Calend 01'!C93),6)=0),(((135-'V06 Calend 01'!C93)/6)&lt;='V06 Calend 01'!E93)),IF((135=('V06 Calend 01'!C93+(6*'V06 Calend 01'!E93))),('V06 Calend 01'!H93-('V06 Calend 01'!I93*('V06 Calend 01'!E93-1))),'V06 Calend 01'!I93),0))+IF((135='V06 Calend 01'!D93),'V06 Calend 01'!J93,0))</f>
        <v>0</v>
      </c>
      <c r="ER93" s="2">
        <f>((IF((136='V06 Calend 01'!C93),('V06 Calend 01'!F93+'V06 Calend 01'!G93),0)+IF(AND(('V06 Calend 01'!E93&gt;0),(136&gt;'V06 Calend 01'!C93),(136&lt;'V06 Calend 01'!D93),(MOD((136-'V06 Calend 01'!C93),6)=0),(((136-'V06 Calend 01'!C93)/6)&lt;='V06 Calend 01'!E93)),IF((136=('V06 Calend 01'!C93+(6*'V06 Calend 01'!E93))),('V06 Calend 01'!H93-('V06 Calend 01'!I93*('V06 Calend 01'!E93-1))),'V06 Calend 01'!I93),0))+IF((136='V06 Calend 01'!D93),'V06 Calend 01'!J93,0))</f>
        <v>0</v>
      </c>
      <c r="ES93" s="2">
        <f>((IF((137='V06 Calend 01'!C93),('V06 Calend 01'!F93+'V06 Calend 01'!G93),0)+IF(AND(('V06 Calend 01'!E93&gt;0),(137&gt;'V06 Calend 01'!C93),(137&lt;'V06 Calend 01'!D93),(MOD((137-'V06 Calend 01'!C93),6)=0),(((137-'V06 Calend 01'!C93)/6)&lt;='V06 Calend 01'!E93)),IF((137=('V06 Calend 01'!C93+(6*'V06 Calend 01'!E93))),('V06 Calend 01'!H93-('V06 Calend 01'!I93*('V06 Calend 01'!E93-1))),'V06 Calend 01'!I93),0))+IF((137='V06 Calend 01'!D93),'V06 Calend 01'!J93,0))</f>
        <v>0</v>
      </c>
      <c r="ET93" s="2">
        <f>((IF((138='V06 Calend 01'!C93),('V06 Calend 01'!F93+'V06 Calend 01'!G93),0)+IF(AND(('V06 Calend 01'!E93&gt;0),(138&gt;'V06 Calend 01'!C93),(138&lt;'V06 Calend 01'!D93),(MOD((138-'V06 Calend 01'!C93),6)=0),(((138-'V06 Calend 01'!C93)/6)&lt;='V06 Calend 01'!E93)),IF((138=('V06 Calend 01'!C93+(6*'V06 Calend 01'!E93))),('V06 Calend 01'!H93-('V06 Calend 01'!I93*('V06 Calend 01'!E93-1))),'V06 Calend 01'!I93),0))+IF((138='V06 Calend 01'!D93),'V06 Calend 01'!J93,0))</f>
        <v>0</v>
      </c>
      <c r="EU93" s="2">
        <f>((IF((139='V06 Calend 01'!C93),('V06 Calend 01'!F93+'V06 Calend 01'!G93),0)+IF(AND(('V06 Calend 01'!E93&gt;0),(139&gt;'V06 Calend 01'!C93),(139&lt;'V06 Calend 01'!D93),(MOD((139-'V06 Calend 01'!C93),6)=0),(((139-'V06 Calend 01'!C93)/6)&lt;='V06 Calend 01'!E93)),IF((139=('V06 Calend 01'!C93+(6*'V06 Calend 01'!E93))),('V06 Calend 01'!H93-('V06 Calend 01'!I93*('V06 Calend 01'!E93-1))),'V06 Calend 01'!I93),0))+IF((139='V06 Calend 01'!D93),'V06 Calend 01'!J93,0))</f>
        <v>0</v>
      </c>
      <c r="EV93" s="2">
        <f>((IF((140='V06 Calend 01'!C93),('V06 Calend 01'!F93+'V06 Calend 01'!G93),0)+IF(AND(('V06 Calend 01'!E93&gt;0),(140&gt;'V06 Calend 01'!C93),(140&lt;'V06 Calend 01'!D93),(MOD((140-'V06 Calend 01'!C93),6)=0),(((140-'V06 Calend 01'!C93)/6)&lt;='V06 Calend 01'!E93)),IF((140=('V06 Calend 01'!C93+(6*'V06 Calend 01'!E93))),('V06 Calend 01'!H93-('V06 Calend 01'!I93*('V06 Calend 01'!E93-1))),'V06 Calend 01'!I93),0))+IF((140='V06 Calend 01'!D93),'V06 Calend 01'!J93,0))</f>
        <v>0</v>
      </c>
      <c r="EW93" s="2">
        <f>((IF((141='V06 Calend 01'!C93),('V06 Calend 01'!F93+'V06 Calend 01'!G93),0)+IF(AND(('V06 Calend 01'!E93&gt;0),(141&gt;'V06 Calend 01'!C93),(141&lt;'V06 Calend 01'!D93),(MOD((141-'V06 Calend 01'!C93),6)=0),(((141-'V06 Calend 01'!C93)/6)&lt;='V06 Calend 01'!E93)),IF((141=('V06 Calend 01'!C93+(6*'V06 Calend 01'!E93))),('V06 Calend 01'!H93-('V06 Calend 01'!I93*('V06 Calend 01'!E93-1))),'V06 Calend 01'!I93),0))+IF((141='V06 Calend 01'!D93),'V06 Calend 01'!J93,0))</f>
        <v>0</v>
      </c>
      <c r="EX93" s="2">
        <f>((IF((142='V06 Calend 01'!C93),('V06 Calend 01'!F93+'V06 Calend 01'!G93),0)+IF(AND(('V06 Calend 01'!E93&gt;0),(142&gt;'V06 Calend 01'!C93),(142&lt;'V06 Calend 01'!D93),(MOD((142-'V06 Calend 01'!C93),6)=0),(((142-'V06 Calend 01'!C93)/6)&lt;='V06 Calend 01'!E93)),IF((142=('V06 Calend 01'!C93+(6*'V06 Calend 01'!E93))),('V06 Calend 01'!H93-('V06 Calend 01'!I93*('V06 Calend 01'!E93-1))),'V06 Calend 01'!I93),0))+IF((142='V06 Calend 01'!D93),'V06 Calend 01'!J93,0))</f>
        <v>0</v>
      </c>
      <c r="EY93" s="2">
        <f>((IF((143='V06 Calend 01'!C93),('V06 Calend 01'!F93+'V06 Calend 01'!G93),0)+IF(AND(('V06 Calend 01'!E93&gt;0),(143&gt;'V06 Calend 01'!C93),(143&lt;'V06 Calend 01'!D93),(MOD((143-'V06 Calend 01'!C93),6)=0),(((143-'V06 Calend 01'!C93)/6)&lt;='V06 Calend 01'!E93)),IF((143=('V06 Calend 01'!C93+(6*'V06 Calend 01'!E93))),('V06 Calend 01'!H93-('V06 Calend 01'!I93*('V06 Calend 01'!E93-1))),'V06 Calend 01'!I93),0))+IF((143='V06 Calend 01'!D93),'V06 Calend 01'!J93,0))</f>
        <v>0</v>
      </c>
      <c r="EZ93" s="2">
        <f>((IF((144='V06 Calend 01'!C93),('V06 Calend 01'!F93+'V06 Calend 01'!G93),0)+IF(AND(('V06 Calend 01'!E93&gt;0),(144&gt;'V06 Calend 01'!C93),(144&lt;'V06 Calend 01'!D93),(MOD((144-'V06 Calend 01'!C93),6)=0),(((144-'V06 Calend 01'!C93)/6)&lt;='V06 Calend 01'!E93)),IF((144=('V06 Calend 01'!C93+(6*'V06 Calend 01'!E93))),('V06 Calend 01'!H93-('V06 Calend 01'!I93*('V06 Calend 01'!E93-1))),'V06 Calend 01'!I93),0))+IF((144='V06 Calend 01'!D93),'V06 Calend 01'!J93,0))</f>
        <v>0</v>
      </c>
      <c r="FA93" s="2">
        <f>((IF((145='V06 Calend 01'!C93),('V06 Calend 01'!F93+'V06 Calend 01'!G93),0)+IF(AND(('V06 Calend 01'!E93&gt;0),(145&gt;'V06 Calend 01'!C93),(145&lt;'V06 Calend 01'!D93),(MOD((145-'V06 Calend 01'!C93),6)=0),(((145-'V06 Calend 01'!C93)/6)&lt;='V06 Calend 01'!E93)),IF((145=('V06 Calend 01'!C93+(6*'V06 Calend 01'!E93))),('V06 Calend 01'!H93-('V06 Calend 01'!I93*('V06 Calend 01'!E93-1))),'V06 Calend 01'!I93),0))+IF((145='V06 Calend 01'!D93),'V06 Calend 01'!J93,0))</f>
        <v>0</v>
      </c>
      <c r="FB93" s="2">
        <f>((IF((146='V06 Calend 01'!C93),('V06 Calend 01'!F93+'V06 Calend 01'!G93),0)+IF(AND(('V06 Calend 01'!E93&gt;0),(146&gt;'V06 Calend 01'!C93),(146&lt;'V06 Calend 01'!D93),(MOD((146-'V06 Calend 01'!C93),6)=0),(((146-'V06 Calend 01'!C93)/6)&lt;='V06 Calend 01'!E93)),IF((146=('V06 Calend 01'!C93+(6*'V06 Calend 01'!E93))),('V06 Calend 01'!H93-('V06 Calend 01'!I93*('V06 Calend 01'!E93-1))),'V06 Calend 01'!I93),0))+IF((146='V06 Calend 01'!D93),'V06 Calend 01'!J93,0))</f>
        <v>0</v>
      </c>
      <c r="FC93" s="2">
        <f>((IF((147='V06 Calend 01'!C93),('V06 Calend 01'!F93+'V06 Calend 01'!G93),0)+IF(AND(('V06 Calend 01'!E93&gt;0),(147&gt;'V06 Calend 01'!C93),(147&lt;'V06 Calend 01'!D93),(MOD((147-'V06 Calend 01'!C93),6)=0),(((147-'V06 Calend 01'!C93)/6)&lt;='V06 Calend 01'!E93)),IF((147=('V06 Calend 01'!C93+(6*'V06 Calend 01'!E93))),('V06 Calend 01'!H93-('V06 Calend 01'!I93*('V06 Calend 01'!E93-1))),'V06 Calend 01'!I93),0))+IF((147='V06 Calend 01'!D93),'V06 Calend 01'!J93,0))</f>
        <v>0</v>
      </c>
      <c r="FD93" s="2">
        <f>((IF((148='V06 Calend 01'!C93),('V06 Calend 01'!F93+'V06 Calend 01'!G93),0)+IF(AND(('V06 Calend 01'!E93&gt;0),(148&gt;'V06 Calend 01'!C93),(148&lt;'V06 Calend 01'!D93),(MOD((148-'V06 Calend 01'!C93),6)=0),(((148-'V06 Calend 01'!C93)/6)&lt;='V06 Calend 01'!E93)),IF((148=('V06 Calend 01'!C93+(6*'V06 Calend 01'!E93))),('V06 Calend 01'!H93-('V06 Calend 01'!I93*('V06 Calend 01'!E93-1))),'V06 Calend 01'!I93),0))+IF((148='V06 Calend 01'!D93),'V06 Calend 01'!J93,0))</f>
        <v>0</v>
      </c>
      <c r="FE93" s="2">
        <f>((IF((149='V06 Calend 01'!C93),('V06 Calend 01'!F93+'V06 Calend 01'!G93),0)+IF(AND(('V06 Calend 01'!E93&gt;0),(149&gt;'V06 Calend 01'!C93),(149&lt;'V06 Calend 01'!D93),(MOD((149-'V06 Calend 01'!C93),6)=0),(((149-'V06 Calend 01'!C93)/6)&lt;='V06 Calend 01'!E93)),IF((149=('V06 Calend 01'!C93+(6*'V06 Calend 01'!E93))),('V06 Calend 01'!H93-('V06 Calend 01'!I93*('V06 Calend 01'!E93-1))),'V06 Calend 01'!I93),0))+IF((149='V06 Calend 01'!D93),'V06 Calend 01'!J93,0))</f>
        <v>0</v>
      </c>
      <c r="FF93" s="2">
        <f>((IF((150='V06 Calend 01'!C93),('V06 Calend 01'!F93+'V06 Calend 01'!G93),0)+IF(AND(('V06 Calend 01'!E93&gt;0),(150&gt;'V06 Calend 01'!C93),(150&lt;'V06 Calend 01'!D93),(MOD((150-'V06 Calend 01'!C93),6)=0),(((150-'V06 Calend 01'!C93)/6)&lt;='V06 Calend 01'!E93)),IF((150=('V06 Calend 01'!C93+(6*'V06 Calend 01'!E93))),('V06 Calend 01'!H93-('V06 Calend 01'!I93*('V06 Calend 01'!E93-1))),'V06 Calend 01'!I93),0))+IF((150='V06 Calend 01'!D93),'V06 Calend 01'!J93,0))</f>
        <v>0</v>
      </c>
      <c r="FG93" s="2">
        <f>((IF((151='V06 Calend 01'!C93),('V06 Calend 01'!F93+'V06 Calend 01'!G93),0)+IF(AND(('V06 Calend 01'!E93&gt;0),(151&gt;'V06 Calend 01'!C93),(151&lt;'V06 Calend 01'!D93),(MOD((151-'V06 Calend 01'!C93),6)=0),(((151-'V06 Calend 01'!C93)/6)&lt;='V06 Calend 01'!E93)),IF((151=('V06 Calend 01'!C93+(6*'V06 Calend 01'!E93))),('V06 Calend 01'!H93-('V06 Calend 01'!I93*('V06 Calend 01'!E93-1))),'V06 Calend 01'!I93),0))+IF((151='V06 Calend 01'!D93),'V06 Calend 01'!J93,0))</f>
        <v>0</v>
      </c>
      <c r="FH93" s="2">
        <f>((IF((152='V06 Calend 01'!C93),('V06 Calend 01'!F93+'V06 Calend 01'!G93),0)+IF(AND(('V06 Calend 01'!E93&gt;0),(152&gt;'V06 Calend 01'!C93),(152&lt;'V06 Calend 01'!D93),(MOD((152-'V06 Calend 01'!C93),6)=0),(((152-'V06 Calend 01'!C93)/6)&lt;='V06 Calend 01'!E93)),IF((152=('V06 Calend 01'!C93+(6*'V06 Calend 01'!E93))),('V06 Calend 01'!H93-('V06 Calend 01'!I93*('V06 Calend 01'!E93-1))),'V06 Calend 01'!I93),0))+IF((152='V06 Calend 01'!D93),'V06 Calend 01'!J93,0))</f>
        <v>0</v>
      </c>
      <c r="FI93" s="2">
        <f>((IF((153='V06 Calend 01'!C93),('V06 Calend 01'!F93+'V06 Calend 01'!G93),0)+IF(AND(('V06 Calend 01'!E93&gt;0),(153&gt;'V06 Calend 01'!C93),(153&lt;'V06 Calend 01'!D93),(MOD((153-'V06 Calend 01'!C93),6)=0),(((153-'V06 Calend 01'!C93)/6)&lt;='V06 Calend 01'!E93)),IF((153=('V06 Calend 01'!C93+(6*'V06 Calend 01'!E93))),('V06 Calend 01'!H93-('V06 Calend 01'!I93*('V06 Calend 01'!E93-1))),'V06 Calend 01'!I93),0))+IF((153='V06 Calend 01'!D93),'V06 Calend 01'!J93,0))</f>
        <v>0</v>
      </c>
      <c r="FJ93" s="2">
        <f>((IF((154='V06 Calend 01'!C93),('V06 Calend 01'!F93+'V06 Calend 01'!G93),0)+IF(AND(('V06 Calend 01'!E93&gt;0),(154&gt;'V06 Calend 01'!C93),(154&lt;'V06 Calend 01'!D93),(MOD((154-'V06 Calend 01'!C93),6)=0),(((154-'V06 Calend 01'!C93)/6)&lt;='V06 Calend 01'!E93)),IF((154=('V06 Calend 01'!C93+(6*'V06 Calend 01'!E93))),('V06 Calend 01'!H93-('V06 Calend 01'!I93*('V06 Calend 01'!E93-1))),'V06 Calend 01'!I93),0))+IF((154='V06 Calend 01'!D93),'V06 Calend 01'!J93,0))</f>
        <v>0</v>
      </c>
      <c r="FK93" s="2">
        <f>((IF((155='V06 Calend 01'!C93),('V06 Calend 01'!F93+'V06 Calend 01'!G93),0)+IF(AND(('V06 Calend 01'!E93&gt;0),(155&gt;'V06 Calend 01'!C93),(155&lt;'V06 Calend 01'!D93),(MOD((155-'V06 Calend 01'!C93),6)=0),(((155-'V06 Calend 01'!C93)/6)&lt;='V06 Calend 01'!E93)),IF((155=('V06 Calend 01'!C93+(6*'V06 Calend 01'!E93))),('V06 Calend 01'!H93-('V06 Calend 01'!I93*('V06 Calend 01'!E93-1))),'V06 Calend 01'!I93),0))+IF((155='V06 Calend 01'!D93),'V06 Calend 01'!J93,0))</f>
        <v>0</v>
      </c>
      <c r="FL93" s="2">
        <f>((IF((156='V06 Calend 01'!C93),('V06 Calend 01'!F93+'V06 Calend 01'!G93),0)+IF(AND(('V06 Calend 01'!E93&gt;0),(156&gt;'V06 Calend 01'!C93),(156&lt;'V06 Calend 01'!D93),(MOD((156-'V06 Calend 01'!C93),6)=0),(((156-'V06 Calend 01'!C93)/6)&lt;='V06 Calend 01'!E93)),IF((156=('V06 Calend 01'!C93+(6*'V06 Calend 01'!E93))),('V06 Calend 01'!H93-('V06 Calend 01'!I93*('V06 Calend 01'!E93-1))),'V06 Calend 01'!I93),0))+IF((156='V06 Calend 01'!D93),'V06 Calend 01'!J93,0))</f>
        <v>0</v>
      </c>
      <c r="FM93" s="2">
        <f>((IF((157='V06 Calend 01'!C93),('V06 Calend 01'!F93+'V06 Calend 01'!G93),0)+IF(AND(('V06 Calend 01'!E93&gt;0),(157&gt;'V06 Calend 01'!C93),(157&lt;'V06 Calend 01'!D93),(MOD((157-'V06 Calend 01'!C93),6)=0),(((157-'V06 Calend 01'!C93)/6)&lt;='V06 Calend 01'!E93)),IF((157=('V06 Calend 01'!C93+(6*'V06 Calend 01'!E93))),('V06 Calend 01'!H93-('V06 Calend 01'!I93*('V06 Calend 01'!E93-1))),'V06 Calend 01'!I93),0))+IF((157='V06 Calend 01'!D93),'V06 Calend 01'!J93,0))</f>
        <v>0</v>
      </c>
      <c r="FN93" s="2">
        <f>((IF((158='V06 Calend 01'!C93),('V06 Calend 01'!F93+'V06 Calend 01'!G93),0)+IF(AND(('V06 Calend 01'!E93&gt;0),(158&gt;'V06 Calend 01'!C93),(158&lt;'V06 Calend 01'!D93),(MOD((158-'V06 Calend 01'!C93),6)=0),(((158-'V06 Calend 01'!C93)/6)&lt;='V06 Calend 01'!E93)),IF((158=('V06 Calend 01'!C93+(6*'V06 Calend 01'!E93))),('V06 Calend 01'!H93-('V06 Calend 01'!I93*('V06 Calend 01'!E93-1))),'V06 Calend 01'!I93),0))+IF((158='V06 Calend 01'!D93),'V06 Calend 01'!J93,0))</f>
        <v>0</v>
      </c>
      <c r="FO93" s="2">
        <f>((IF((159='V06 Calend 01'!C93),('V06 Calend 01'!F93+'V06 Calend 01'!G93),0)+IF(AND(('V06 Calend 01'!E93&gt;0),(159&gt;'V06 Calend 01'!C93),(159&lt;'V06 Calend 01'!D93),(MOD((159-'V06 Calend 01'!C93),6)=0),(((159-'V06 Calend 01'!C93)/6)&lt;='V06 Calend 01'!E93)),IF((159=('V06 Calend 01'!C93+(6*'V06 Calend 01'!E93))),('V06 Calend 01'!H93-('V06 Calend 01'!I93*('V06 Calend 01'!E93-1))),'V06 Calend 01'!I93),0))+IF((159='V06 Calend 01'!D93),'V06 Calend 01'!J93,0))</f>
        <v>0</v>
      </c>
      <c r="FP93" s="2">
        <f>((IF((160='V06 Calend 01'!C93),('V06 Calend 01'!F93+'V06 Calend 01'!G93),0)+IF(AND(('V06 Calend 01'!E93&gt;0),(160&gt;'V06 Calend 01'!C93),(160&lt;'V06 Calend 01'!D93),(MOD((160-'V06 Calend 01'!C93),6)=0),(((160-'V06 Calend 01'!C93)/6)&lt;='V06 Calend 01'!E93)),IF((160=('V06 Calend 01'!C93+(6*'V06 Calend 01'!E93))),('V06 Calend 01'!H93-('V06 Calend 01'!I93*('V06 Calend 01'!E93-1))),'V06 Calend 01'!I93),0))+IF((160='V06 Calend 01'!D93),'V06 Calend 01'!J93,0))</f>
        <v>0</v>
      </c>
      <c r="FQ93" s="2">
        <f>((IF((161='V06 Calend 01'!C93),('V06 Calend 01'!F93+'V06 Calend 01'!G93),0)+IF(AND(('V06 Calend 01'!E93&gt;0),(161&gt;'V06 Calend 01'!C93),(161&lt;'V06 Calend 01'!D93),(MOD((161-'V06 Calend 01'!C93),6)=0),(((161-'V06 Calend 01'!C93)/6)&lt;='V06 Calend 01'!E93)),IF((161=('V06 Calend 01'!C93+(6*'V06 Calend 01'!E93))),('V06 Calend 01'!H93-('V06 Calend 01'!I93*('V06 Calend 01'!E93-1))),'V06 Calend 01'!I93),0))+IF((161='V06 Calend 01'!D93),'V06 Calend 01'!J93,0))</f>
        <v>0</v>
      </c>
      <c r="FR93" s="2">
        <f>((IF((162='V06 Calend 01'!C93),('V06 Calend 01'!F93+'V06 Calend 01'!G93),0)+IF(AND(('V06 Calend 01'!E93&gt;0),(162&gt;'V06 Calend 01'!C93),(162&lt;'V06 Calend 01'!D93),(MOD((162-'V06 Calend 01'!C93),6)=0),(((162-'V06 Calend 01'!C93)/6)&lt;='V06 Calend 01'!E93)),IF((162=('V06 Calend 01'!C93+(6*'V06 Calend 01'!E93))),('V06 Calend 01'!H93-('V06 Calend 01'!I93*('V06 Calend 01'!E93-1))),'V06 Calend 01'!I93),0))+IF((162='V06 Calend 01'!D93),'V06 Calend 01'!J93,0))</f>
        <v>0</v>
      </c>
      <c r="FS93" s="2">
        <f>((IF((163='V06 Calend 01'!C93),('V06 Calend 01'!F93+'V06 Calend 01'!G93),0)+IF(AND(('V06 Calend 01'!E93&gt;0),(163&gt;'V06 Calend 01'!C93),(163&lt;'V06 Calend 01'!D93),(MOD((163-'V06 Calend 01'!C93),6)=0),(((163-'V06 Calend 01'!C93)/6)&lt;='V06 Calend 01'!E93)),IF((163=('V06 Calend 01'!C93+(6*'V06 Calend 01'!E93))),('V06 Calend 01'!H93-('V06 Calend 01'!I93*('V06 Calend 01'!E93-1))),'V06 Calend 01'!I93),0))+IF((163='V06 Calend 01'!D93),'V06 Calend 01'!J93,0))</f>
        <v>0</v>
      </c>
      <c r="FT93" s="2">
        <f>((IF((164='V06 Calend 01'!C93),('V06 Calend 01'!F93+'V06 Calend 01'!G93),0)+IF(AND(('V06 Calend 01'!E93&gt;0),(164&gt;'V06 Calend 01'!C93),(164&lt;'V06 Calend 01'!D93),(MOD((164-'V06 Calend 01'!C93),6)=0),(((164-'V06 Calend 01'!C93)/6)&lt;='V06 Calend 01'!E93)),IF((164=('V06 Calend 01'!C93+(6*'V06 Calend 01'!E93))),('V06 Calend 01'!H93-('V06 Calend 01'!I93*('V06 Calend 01'!E93-1))),'V06 Calend 01'!I93),0))+IF((164='V06 Calend 01'!D93),'V06 Calend 01'!J93,0))</f>
        <v>0</v>
      </c>
      <c r="FU93" s="2">
        <f>((IF((165='V06 Calend 01'!C93),('V06 Calend 01'!F93+'V06 Calend 01'!G93),0)+IF(AND(('V06 Calend 01'!E93&gt;0),(165&gt;'V06 Calend 01'!C93),(165&lt;'V06 Calend 01'!D93),(MOD((165-'V06 Calend 01'!C93),6)=0),(((165-'V06 Calend 01'!C93)/6)&lt;='V06 Calend 01'!E93)),IF((165=('V06 Calend 01'!C93+(6*'V06 Calend 01'!E93))),('V06 Calend 01'!H93-('V06 Calend 01'!I93*('V06 Calend 01'!E93-1))),'V06 Calend 01'!I93),0))+IF((165='V06 Calend 01'!D93),'V06 Calend 01'!J93,0))</f>
        <v>0</v>
      </c>
      <c r="FV93" s="2">
        <f>((IF((166='V06 Calend 01'!C93),('V06 Calend 01'!F93+'V06 Calend 01'!G93),0)+IF(AND(('V06 Calend 01'!E93&gt;0),(166&gt;'V06 Calend 01'!C93),(166&lt;'V06 Calend 01'!D93),(MOD((166-'V06 Calend 01'!C93),6)=0),(((166-'V06 Calend 01'!C93)/6)&lt;='V06 Calend 01'!E93)),IF((166=('V06 Calend 01'!C93+(6*'V06 Calend 01'!E93))),('V06 Calend 01'!H93-('V06 Calend 01'!I93*('V06 Calend 01'!E93-1))),'V06 Calend 01'!I93),0))+IF((166='V06 Calend 01'!D93),'V06 Calend 01'!J93,0))</f>
        <v>0</v>
      </c>
      <c r="FW93" s="2">
        <f>((IF((167='V06 Calend 01'!C93),('V06 Calend 01'!F93+'V06 Calend 01'!G93),0)+IF(AND(('V06 Calend 01'!E93&gt;0),(167&gt;'V06 Calend 01'!C93),(167&lt;'V06 Calend 01'!D93),(MOD((167-'V06 Calend 01'!C93),6)=0),(((167-'V06 Calend 01'!C93)/6)&lt;='V06 Calend 01'!E93)),IF((167=('V06 Calend 01'!C93+(6*'V06 Calend 01'!E93))),('V06 Calend 01'!H93-('V06 Calend 01'!I93*('V06 Calend 01'!E93-1))),'V06 Calend 01'!I93),0))+IF((167='V06 Calend 01'!D93),'V06 Calend 01'!J93,0))</f>
        <v>0</v>
      </c>
      <c r="FX93" s="2">
        <f>((IF((168='V06 Calend 01'!C93),('V06 Calend 01'!F93+'V06 Calend 01'!G93),0)+IF(AND(('V06 Calend 01'!E93&gt;0),(168&gt;'V06 Calend 01'!C93),(168&lt;'V06 Calend 01'!D93),(MOD((168-'V06 Calend 01'!C93),6)=0),(((168-'V06 Calend 01'!C93)/6)&lt;='V06 Calend 01'!E93)),IF((168=('V06 Calend 01'!C93+(6*'V06 Calend 01'!E93))),('V06 Calend 01'!H93-('V06 Calend 01'!I93*('V06 Calend 01'!E93-1))),'V06 Calend 01'!I93),0))+IF((168='V06 Calend 01'!D93),'V06 Calend 01'!J93,0))</f>
        <v>0</v>
      </c>
      <c r="FY93" s="2">
        <f>((IF((169='V06 Calend 01'!C93),('V06 Calend 01'!F93+'V06 Calend 01'!G93),0)+IF(AND(('V06 Calend 01'!E93&gt;0),(169&gt;'V06 Calend 01'!C93),(169&lt;'V06 Calend 01'!D93),(MOD((169-'V06 Calend 01'!C93),6)=0),(((169-'V06 Calend 01'!C93)/6)&lt;='V06 Calend 01'!E93)),IF((169=('V06 Calend 01'!C93+(6*'V06 Calend 01'!E93))),('V06 Calend 01'!H93-('V06 Calend 01'!I93*('V06 Calend 01'!E93-1))),'V06 Calend 01'!I93),0))+IF((169='V06 Calend 01'!D93),'V06 Calend 01'!J93,0))</f>
        <v>0</v>
      </c>
      <c r="FZ93" s="2">
        <f>((IF((170='V06 Calend 01'!C93),('V06 Calend 01'!F93+'V06 Calend 01'!G93),0)+IF(AND(('V06 Calend 01'!E93&gt;0),(170&gt;'V06 Calend 01'!C93),(170&lt;'V06 Calend 01'!D93),(MOD((170-'V06 Calend 01'!C93),6)=0),(((170-'V06 Calend 01'!C93)/6)&lt;='V06 Calend 01'!E93)),IF((170=('V06 Calend 01'!C93+(6*'V06 Calend 01'!E93))),('V06 Calend 01'!H93-('V06 Calend 01'!I93*('V06 Calend 01'!E93-1))),'V06 Calend 01'!I93),0))+IF((170='V06 Calend 01'!D93),'V06 Calend 01'!J93,0))</f>
        <v>0</v>
      </c>
      <c r="GA93" s="2">
        <f>((IF((171='V06 Calend 01'!C93),('V06 Calend 01'!F93+'V06 Calend 01'!G93),0)+IF(AND(('V06 Calend 01'!E93&gt;0),(171&gt;'V06 Calend 01'!C93),(171&lt;'V06 Calend 01'!D93),(MOD((171-'V06 Calend 01'!C93),6)=0),(((171-'V06 Calend 01'!C93)/6)&lt;='V06 Calend 01'!E93)),IF((171=('V06 Calend 01'!C93+(6*'V06 Calend 01'!E93))),('V06 Calend 01'!H93-('V06 Calend 01'!I93*('V06 Calend 01'!E93-1))),'V06 Calend 01'!I93),0))+IF((171='V06 Calend 01'!D93),'V06 Calend 01'!J93,0))</f>
        <v>0</v>
      </c>
      <c r="GB93" s="2">
        <f>((IF((172='V06 Calend 01'!C93),('V06 Calend 01'!F93+'V06 Calend 01'!G93),0)+IF(AND(('V06 Calend 01'!E93&gt;0),(172&gt;'V06 Calend 01'!C93),(172&lt;'V06 Calend 01'!D93),(MOD((172-'V06 Calend 01'!C93),6)=0),(((172-'V06 Calend 01'!C93)/6)&lt;='V06 Calend 01'!E93)),IF((172=('V06 Calend 01'!C93+(6*'V06 Calend 01'!E93))),('V06 Calend 01'!H93-('V06 Calend 01'!I93*('V06 Calend 01'!E93-1))),'V06 Calend 01'!I93),0))+IF((172='V06 Calend 01'!D93),'V06 Calend 01'!J93,0))</f>
        <v>0</v>
      </c>
      <c r="GC93" s="2">
        <f>((IF((173='V06 Calend 01'!C93),('V06 Calend 01'!F93+'V06 Calend 01'!G93),0)+IF(AND(('V06 Calend 01'!E93&gt;0),(173&gt;'V06 Calend 01'!C93),(173&lt;'V06 Calend 01'!D93),(MOD((173-'V06 Calend 01'!C93),6)=0),(((173-'V06 Calend 01'!C93)/6)&lt;='V06 Calend 01'!E93)),IF((173=('V06 Calend 01'!C93+(6*'V06 Calend 01'!E93))),('V06 Calend 01'!H93-('V06 Calend 01'!I93*('V06 Calend 01'!E93-1))),'V06 Calend 01'!I93),0))+IF((173='V06 Calend 01'!D93),'V06 Calend 01'!J93,0))</f>
        <v>0</v>
      </c>
      <c r="GD93" s="2">
        <f>((IF((174='V06 Calend 01'!C93),('V06 Calend 01'!F93+'V06 Calend 01'!G93),0)+IF(AND(('V06 Calend 01'!E93&gt;0),(174&gt;'V06 Calend 01'!C93),(174&lt;'V06 Calend 01'!D93),(MOD((174-'V06 Calend 01'!C93),6)=0),(((174-'V06 Calend 01'!C93)/6)&lt;='V06 Calend 01'!E93)),IF((174=('V06 Calend 01'!C93+(6*'V06 Calend 01'!E93))),('V06 Calend 01'!H93-('V06 Calend 01'!I93*('V06 Calend 01'!E93-1))),'V06 Calend 01'!I93),0))+IF((174='V06 Calend 01'!D93),'V06 Calend 01'!J93,0))</f>
        <v>0</v>
      </c>
      <c r="GE93" s="2">
        <f>((IF((175='V06 Calend 01'!C93),('V06 Calend 01'!F93+'V06 Calend 01'!G93),0)+IF(AND(('V06 Calend 01'!E93&gt;0),(175&gt;'V06 Calend 01'!C93),(175&lt;'V06 Calend 01'!D93),(MOD((175-'V06 Calend 01'!C93),6)=0),(((175-'V06 Calend 01'!C93)/6)&lt;='V06 Calend 01'!E93)),IF((175=('V06 Calend 01'!C93+(6*'V06 Calend 01'!E93))),('V06 Calend 01'!H93-('V06 Calend 01'!I93*('V06 Calend 01'!E93-1))),'V06 Calend 01'!I93),0))+IF((175='V06 Calend 01'!D93),'V06 Calend 01'!J93,0))</f>
        <v>0</v>
      </c>
      <c r="GF93" s="2">
        <f>((IF((176='V06 Calend 01'!C93),('V06 Calend 01'!F93+'V06 Calend 01'!G93),0)+IF(AND(('V06 Calend 01'!E93&gt;0),(176&gt;'V06 Calend 01'!C93),(176&lt;'V06 Calend 01'!D93),(MOD((176-'V06 Calend 01'!C93),6)=0),(((176-'V06 Calend 01'!C93)/6)&lt;='V06 Calend 01'!E93)),IF((176=('V06 Calend 01'!C93+(6*'V06 Calend 01'!E93))),('V06 Calend 01'!H93-('V06 Calend 01'!I93*('V06 Calend 01'!E93-1))),'V06 Calend 01'!I93),0))+IF((176='V06 Calend 01'!D93),'V06 Calend 01'!J93,0))</f>
        <v>0</v>
      </c>
      <c r="GG93" s="2">
        <f>((IF((177='V06 Calend 01'!C93),('V06 Calend 01'!F93+'V06 Calend 01'!G93),0)+IF(AND(('V06 Calend 01'!E93&gt;0),(177&gt;'V06 Calend 01'!C93),(177&lt;'V06 Calend 01'!D93),(MOD((177-'V06 Calend 01'!C93),6)=0),(((177-'V06 Calend 01'!C93)/6)&lt;='V06 Calend 01'!E93)),IF((177=('V06 Calend 01'!C93+(6*'V06 Calend 01'!E93))),('V06 Calend 01'!H93-('V06 Calend 01'!I93*('V06 Calend 01'!E93-1))),'V06 Calend 01'!I93),0))+IF((177='V06 Calend 01'!D93),'V06 Calend 01'!J93,0))</f>
        <v>0</v>
      </c>
      <c r="GH93" s="2">
        <f>((IF((178='V06 Calend 01'!C93),('V06 Calend 01'!F93+'V06 Calend 01'!G93),0)+IF(AND(('V06 Calend 01'!E93&gt;0),(178&gt;'V06 Calend 01'!C93),(178&lt;'V06 Calend 01'!D93),(MOD((178-'V06 Calend 01'!C93),6)=0),(((178-'V06 Calend 01'!C93)/6)&lt;='V06 Calend 01'!E93)),IF((178=('V06 Calend 01'!C93+(6*'V06 Calend 01'!E93))),('V06 Calend 01'!H93-('V06 Calend 01'!I93*('V06 Calend 01'!E93-1))),'V06 Calend 01'!I93),0))+IF((178='V06 Calend 01'!D93),'V06 Calend 01'!J93,0))</f>
        <v>0</v>
      </c>
      <c r="GI93" s="2">
        <f>((IF((179='V06 Calend 01'!C93),('V06 Calend 01'!F93+'V06 Calend 01'!G93),0)+IF(AND(('V06 Calend 01'!E93&gt;0),(179&gt;'V06 Calend 01'!C93),(179&lt;'V06 Calend 01'!D93),(MOD((179-'V06 Calend 01'!C93),6)=0),(((179-'V06 Calend 01'!C93)/6)&lt;='V06 Calend 01'!E93)),IF((179=('V06 Calend 01'!C93+(6*'V06 Calend 01'!E93))),('V06 Calend 01'!H93-('V06 Calend 01'!I93*('V06 Calend 01'!E93-1))),'V06 Calend 01'!I93),0))+IF((179='V06 Calend 01'!D93),'V06 Calend 01'!J93,0))</f>
        <v>0</v>
      </c>
      <c r="GJ93" s="2">
        <f>((IF((180='V06 Calend 01'!C93),('V06 Calend 01'!F93+'V06 Calend 01'!G93),0)+IF(AND(('V06 Calend 01'!E93&gt;0),(180&gt;'V06 Calend 01'!C93),(180&lt;'V06 Calend 01'!D93),(MOD((180-'V06 Calend 01'!C93),6)=0),(((180-'V06 Calend 01'!C93)/6)&lt;='V06 Calend 01'!E93)),IF((180=('V06 Calend 01'!C93+(6*'V06 Calend 01'!E93))),('V06 Calend 01'!H93-('V06 Calend 01'!I93*('V06 Calend 01'!E93-1))),'V06 Calend 01'!I93),0))+IF((180='V06 Calend 01'!D93),'V06 Calend 01'!J93,0))</f>
        <v>0</v>
      </c>
    </row>
    <row r="94" spans="1:192">
      <c r="A94" s="3" t="str">
        <f>'V06 Unidades'!$A$94</f>
        <v>1010</v>
      </c>
      <c r="B94" s="2">
        <f>'V06 Unidades'!$H$94</f>
        <v>1092133.57</v>
      </c>
      <c r="C94" s="4">
        <f>('V06 Unidades'!$I$94+'V06 Controlos'!$B$37)</f>
        <v>22</v>
      </c>
      <c r="D94" s="4">
        <f>IF(('V06 Controlos'!$B$38&gt;0),MAX(('V06 Unidades'!$L$94+'V06 Controlos'!$B$37),(30+'V06 Controlos'!$B$38)),('V06 Unidades'!$L$94+'V06 Controlos'!$B$37))</f>
        <v>30</v>
      </c>
      <c r="E94" s="4">
        <f>MAX(0,INT(((('V06 Calend 01'!D94-'V06 Calend 01'!C94)-1)/6)))</f>
        <v>1</v>
      </c>
      <c r="F94" s="2">
        <f>ROUND(('V06 Calend 01'!B94*0.05),2)</f>
        <v>54606.68</v>
      </c>
      <c r="G94" s="2">
        <f>ROUND(('V06 Calend 01'!B94*0.2),2)</f>
        <v>218426.71</v>
      </c>
      <c r="H94" s="2">
        <f>ROUND(('V06 Calend 01'!B94*0.55),2)</f>
        <v>600673.46</v>
      </c>
      <c r="I94" s="2">
        <f>ROUND(('V06 Calend 01'!H94/MAX(1,'V06 Calend 01'!E94)),2)</f>
        <v>600673.46</v>
      </c>
      <c r="J94" s="2">
        <f>((('V06 Calend 01'!B94-'V06 Calend 01'!F94)-'V06 Calend 01'!G94)-'V06 Calend 01'!H94)</f>
        <v>218426.7200000001</v>
      </c>
      <c r="K94" s="2">
        <f>('V06 Calend 01'!B94*0.025)</f>
        <v>27303.339250000005</v>
      </c>
      <c r="L94" t="s">
        <v>378</v>
      </c>
      <c r="M94" s="2">
        <f>((IF((1='V06 Calend 01'!C94),('V06 Calend 01'!F94+'V06 Calend 01'!G94),0)+IF(AND(('V06 Calend 01'!E94&gt;0),(1&gt;'V06 Calend 01'!C94),(1&lt;'V06 Calend 01'!D94),(MOD((1-'V06 Calend 01'!C94),6)=0),(((1-'V06 Calend 01'!C94)/6)&lt;='V06 Calend 01'!E94)),IF((1=('V06 Calend 01'!C94+(6*'V06 Calend 01'!E94))),('V06 Calend 01'!H94-('V06 Calend 01'!I94*('V06 Calend 01'!E94-1))),'V06 Calend 01'!I94),0))+IF((1='V06 Calend 01'!D94),'V06 Calend 01'!J94,0))</f>
        <v>0</v>
      </c>
      <c r="N94" s="2">
        <f>((IF((2='V06 Calend 01'!C94),('V06 Calend 01'!F94+'V06 Calend 01'!G94),0)+IF(AND(('V06 Calend 01'!E94&gt;0),(2&gt;'V06 Calend 01'!C94),(2&lt;'V06 Calend 01'!D94),(MOD((2-'V06 Calend 01'!C94),6)=0),(((2-'V06 Calend 01'!C94)/6)&lt;='V06 Calend 01'!E94)),IF((2=('V06 Calend 01'!C94+(6*'V06 Calend 01'!E94))),('V06 Calend 01'!H94-('V06 Calend 01'!I94*('V06 Calend 01'!E94-1))),'V06 Calend 01'!I94),0))+IF((2='V06 Calend 01'!D94),'V06 Calend 01'!J94,0))</f>
        <v>0</v>
      </c>
      <c r="O94" s="2">
        <f>((IF((3='V06 Calend 01'!C94),('V06 Calend 01'!F94+'V06 Calend 01'!G94),0)+IF(AND(('V06 Calend 01'!E94&gt;0),(3&gt;'V06 Calend 01'!C94),(3&lt;'V06 Calend 01'!D94),(MOD((3-'V06 Calend 01'!C94),6)=0),(((3-'V06 Calend 01'!C94)/6)&lt;='V06 Calend 01'!E94)),IF((3=('V06 Calend 01'!C94+(6*'V06 Calend 01'!E94))),('V06 Calend 01'!H94-('V06 Calend 01'!I94*('V06 Calend 01'!E94-1))),'V06 Calend 01'!I94),0))+IF((3='V06 Calend 01'!D94),'V06 Calend 01'!J94,0))</f>
        <v>0</v>
      </c>
      <c r="P94" s="2">
        <f>((IF((4='V06 Calend 01'!C94),('V06 Calend 01'!F94+'V06 Calend 01'!G94),0)+IF(AND(('V06 Calend 01'!E94&gt;0),(4&gt;'V06 Calend 01'!C94),(4&lt;'V06 Calend 01'!D94),(MOD((4-'V06 Calend 01'!C94),6)=0),(((4-'V06 Calend 01'!C94)/6)&lt;='V06 Calend 01'!E94)),IF((4=('V06 Calend 01'!C94+(6*'V06 Calend 01'!E94))),('V06 Calend 01'!H94-('V06 Calend 01'!I94*('V06 Calend 01'!E94-1))),'V06 Calend 01'!I94),0))+IF((4='V06 Calend 01'!D94),'V06 Calend 01'!J94,0))</f>
        <v>0</v>
      </c>
      <c r="Q94" s="2">
        <f>((IF((5='V06 Calend 01'!C94),('V06 Calend 01'!F94+'V06 Calend 01'!G94),0)+IF(AND(('V06 Calend 01'!E94&gt;0),(5&gt;'V06 Calend 01'!C94),(5&lt;'V06 Calend 01'!D94),(MOD((5-'V06 Calend 01'!C94),6)=0),(((5-'V06 Calend 01'!C94)/6)&lt;='V06 Calend 01'!E94)),IF((5=('V06 Calend 01'!C94+(6*'V06 Calend 01'!E94))),('V06 Calend 01'!H94-('V06 Calend 01'!I94*('V06 Calend 01'!E94-1))),'V06 Calend 01'!I94),0))+IF((5='V06 Calend 01'!D94),'V06 Calend 01'!J94,0))</f>
        <v>0</v>
      </c>
      <c r="R94" s="2">
        <f>((IF((6='V06 Calend 01'!C94),('V06 Calend 01'!F94+'V06 Calend 01'!G94),0)+IF(AND(('V06 Calend 01'!E94&gt;0),(6&gt;'V06 Calend 01'!C94),(6&lt;'V06 Calend 01'!D94),(MOD((6-'V06 Calend 01'!C94),6)=0),(((6-'V06 Calend 01'!C94)/6)&lt;='V06 Calend 01'!E94)),IF((6=('V06 Calend 01'!C94+(6*'V06 Calend 01'!E94))),('V06 Calend 01'!H94-('V06 Calend 01'!I94*('V06 Calend 01'!E94-1))),'V06 Calend 01'!I94),0))+IF((6='V06 Calend 01'!D94),'V06 Calend 01'!J94,0))</f>
        <v>0</v>
      </c>
      <c r="S94" s="2">
        <f>((IF((7='V06 Calend 01'!C94),('V06 Calend 01'!F94+'V06 Calend 01'!G94),0)+IF(AND(('V06 Calend 01'!E94&gt;0),(7&gt;'V06 Calend 01'!C94),(7&lt;'V06 Calend 01'!D94),(MOD((7-'V06 Calend 01'!C94),6)=0),(((7-'V06 Calend 01'!C94)/6)&lt;='V06 Calend 01'!E94)),IF((7=('V06 Calend 01'!C94+(6*'V06 Calend 01'!E94))),('V06 Calend 01'!H94-('V06 Calend 01'!I94*('V06 Calend 01'!E94-1))),'V06 Calend 01'!I94),0))+IF((7='V06 Calend 01'!D94),'V06 Calend 01'!J94,0))</f>
        <v>0</v>
      </c>
      <c r="T94" s="2">
        <f>((IF((8='V06 Calend 01'!C94),('V06 Calend 01'!F94+'V06 Calend 01'!G94),0)+IF(AND(('V06 Calend 01'!E94&gt;0),(8&gt;'V06 Calend 01'!C94),(8&lt;'V06 Calend 01'!D94),(MOD((8-'V06 Calend 01'!C94),6)=0),(((8-'V06 Calend 01'!C94)/6)&lt;='V06 Calend 01'!E94)),IF((8=('V06 Calend 01'!C94+(6*'V06 Calend 01'!E94))),('V06 Calend 01'!H94-('V06 Calend 01'!I94*('V06 Calend 01'!E94-1))),'V06 Calend 01'!I94),0))+IF((8='V06 Calend 01'!D94),'V06 Calend 01'!J94,0))</f>
        <v>0</v>
      </c>
      <c r="U94" s="2">
        <f>((IF((9='V06 Calend 01'!C94),('V06 Calend 01'!F94+'V06 Calend 01'!G94),0)+IF(AND(('V06 Calend 01'!E94&gt;0),(9&gt;'V06 Calend 01'!C94),(9&lt;'V06 Calend 01'!D94),(MOD((9-'V06 Calend 01'!C94),6)=0),(((9-'V06 Calend 01'!C94)/6)&lt;='V06 Calend 01'!E94)),IF((9=('V06 Calend 01'!C94+(6*'V06 Calend 01'!E94))),('V06 Calend 01'!H94-('V06 Calend 01'!I94*('V06 Calend 01'!E94-1))),'V06 Calend 01'!I94),0))+IF((9='V06 Calend 01'!D94),'V06 Calend 01'!J94,0))</f>
        <v>0</v>
      </c>
      <c r="V94" s="2">
        <f>((IF((10='V06 Calend 01'!C94),('V06 Calend 01'!F94+'V06 Calend 01'!G94),0)+IF(AND(('V06 Calend 01'!E94&gt;0),(10&gt;'V06 Calend 01'!C94),(10&lt;'V06 Calend 01'!D94),(MOD((10-'V06 Calend 01'!C94),6)=0),(((10-'V06 Calend 01'!C94)/6)&lt;='V06 Calend 01'!E94)),IF((10=('V06 Calend 01'!C94+(6*'V06 Calend 01'!E94))),('V06 Calend 01'!H94-('V06 Calend 01'!I94*('V06 Calend 01'!E94-1))),'V06 Calend 01'!I94),0))+IF((10='V06 Calend 01'!D94),'V06 Calend 01'!J94,0))</f>
        <v>0</v>
      </c>
      <c r="W94" s="2">
        <f>((IF((11='V06 Calend 01'!C94),('V06 Calend 01'!F94+'V06 Calend 01'!G94),0)+IF(AND(('V06 Calend 01'!E94&gt;0),(11&gt;'V06 Calend 01'!C94),(11&lt;'V06 Calend 01'!D94),(MOD((11-'V06 Calend 01'!C94),6)=0),(((11-'V06 Calend 01'!C94)/6)&lt;='V06 Calend 01'!E94)),IF((11=('V06 Calend 01'!C94+(6*'V06 Calend 01'!E94))),('V06 Calend 01'!H94-('V06 Calend 01'!I94*('V06 Calend 01'!E94-1))),'V06 Calend 01'!I94),0))+IF((11='V06 Calend 01'!D94),'V06 Calend 01'!J94,0))</f>
        <v>0</v>
      </c>
      <c r="X94" s="2">
        <f>((IF((12='V06 Calend 01'!C94),('V06 Calend 01'!F94+'V06 Calend 01'!G94),0)+IF(AND(('V06 Calend 01'!E94&gt;0),(12&gt;'V06 Calend 01'!C94),(12&lt;'V06 Calend 01'!D94),(MOD((12-'V06 Calend 01'!C94),6)=0),(((12-'V06 Calend 01'!C94)/6)&lt;='V06 Calend 01'!E94)),IF((12=('V06 Calend 01'!C94+(6*'V06 Calend 01'!E94))),('V06 Calend 01'!H94-('V06 Calend 01'!I94*('V06 Calend 01'!E94-1))),'V06 Calend 01'!I94),0))+IF((12='V06 Calend 01'!D94),'V06 Calend 01'!J94,0))</f>
        <v>0</v>
      </c>
      <c r="Y94" s="2">
        <f>((IF((13='V06 Calend 01'!C94),('V06 Calend 01'!F94+'V06 Calend 01'!G94),0)+IF(AND(('V06 Calend 01'!E94&gt;0),(13&gt;'V06 Calend 01'!C94),(13&lt;'V06 Calend 01'!D94),(MOD((13-'V06 Calend 01'!C94),6)=0),(((13-'V06 Calend 01'!C94)/6)&lt;='V06 Calend 01'!E94)),IF((13=('V06 Calend 01'!C94+(6*'V06 Calend 01'!E94))),('V06 Calend 01'!H94-('V06 Calend 01'!I94*('V06 Calend 01'!E94-1))),'V06 Calend 01'!I94),0))+IF((13='V06 Calend 01'!D94),'V06 Calend 01'!J94,0))</f>
        <v>0</v>
      </c>
      <c r="Z94" s="2">
        <f>((IF((14='V06 Calend 01'!C94),('V06 Calend 01'!F94+'V06 Calend 01'!G94),0)+IF(AND(('V06 Calend 01'!E94&gt;0),(14&gt;'V06 Calend 01'!C94),(14&lt;'V06 Calend 01'!D94),(MOD((14-'V06 Calend 01'!C94),6)=0),(((14-'V06 Calend 01'!C94)/6)&lt;='V06 Calend 01'!E94)),IF((14=('V06 Calend 01'!C94+(6*'V06 Calend 01'!E94))),('V06 Calend 01'!H94-('V06 Calend 01'!I94*('V06 Calend 01'!E94-1))),'V06 Calend 01'!I94),0))+IF((14='V06 Calend 01'!D94),'V06 Calend 01'!J94,0))</f>
        <v>0</v>
      </c>
      <c r="AA94" s="2">
        <f>((IF((15='V06 Calend 01'!C94),('V06 Calend 01'!F94+'V06 Calend 01'!G94),0)+IF(AND(('V06 Calend 01'!E94&gt;0),(15&gt;'V06 Calend 01'!C94),(15&lt;'V06 Calend 01'!D94),(MOD((15-'V06 Calend 01'!C94),6)=0),(((15-'V06 Calend 01'!C94)/6)&lt;='V06 Calend 01'!E94)),IF((15=('V06 Calend 01'!C94+(6*'V06 Calend 01'!E94))),('V06 Calend 01'!H94-('V06 Calend 01'!I94*('V06 Calend 01'!E94-1))),'V06 Calend 01'!I94),0))+IF((15='V06 Calend 01'!D94),'V06 Calend 01'!J94,0))</f>
        <v>0</v>
      </c>
      <c r="AB94" s="2">
        <f>((IF((16='V06 Calend 01'!C94),('V06 Calend 01'!F94+'V06 Calend 01'!G94),0)+IF(AND(('V06 Calend 01'!E94&gt;0),(16&gt;'V06 Calend 01'!C94),(16&lt;'V06 Calend 01'!D94),(MOD((16-'V06 Calend 01'!C94),6)=0),(((16-'V06 Calend 01'!C94)/6)&lt;='V06 Calend 01'!E94)),IF((16=('V06 Calend 01'!C94+(6*'V06 Calend 01'!E94))),('V06 Calend 01'!H94-('V06 Calend 01'!I94*('V06 Calend 01'!E94-1))),'V06 Calend 01'!I94),0))+IF((16='V06 Calend 01'!D94),'V06 Calend 01'!J94,0))</f>
        <v>0</v>
      </c>
      <c r="AC94" s="2">
        <f>((IF((17='V06 Calend 01'!C94),('V06 Calend 01'!F94+'V06 Calend 01'!G94),0)+IF(AND(('V06 Calend 01'!E94&gt;0),(17&gt;'V06 Calend 01'!C94),(17&lt;'V06 Calend 01'!D94),(MOD((17-'V06 Calend 01'!C94),6)=0),(((17-'V06 Calend 01'!C94)/6)&lt;='V06 Calend 01'!E94)),IF((17=('V06 Calend 01'!C94+(6*'V06 Calend 01'!E94))),('V06 Calend 01'!H94-('V06 Calend 01'!I94*('V06 Calend 01'!E94-1))),'V06 Calend 01'!I94),0))+IF((17='V06 Calend 01'!D94),'V06 Calend 01'!J94,0))</f>
        <v>0</v>
      </c>
      <c r="AD94" s="2">
        <f>((IF((18='V06 Calend 01'!C94),('V06 Calend 01'!F94+'V06 Calend 01'!G94),0)+IF(AND(('V06 Calend 01'!E94&gt;0),(18&gt;'V06 Calend 01'!C94),(18&lt;'V06 Calend 01'!D94),(MOD((18-'V06 Calend 01'!C94),6)=0),(((18-'V06 Calend 01'!C94)/6)&lt;='V06 Calend 01'!E94)),IF((18=('V06 Calend 01'!C94+(6*'V06 Calend 01'!E94))),('V06 Calend 01'!H94-('V06 Calend 01'!I94*('V06 Calend 01'!E94-1))),'V06 Calend 01'!I94),0))+IF((18='V06 Calend 01'!D94),'V06 Calend 01'!J94,0))</f>
        <v>0</v>
      </c>
      <c r="AE94" s="2">
        <f>((IF((19='V06 Calend 01'!C94),('V06 Calend 01'!F94+'V06 Calend 01'!G94),0)+IF(AND(('V06 Calend 01'!E94&gt;0),(19&gt;'V06 Calend 01'!C94),(19&lt;'V06 Calend 01'!D94),(MOD((19-'V06 Calend 01'!C94),6)=0),(((19-'V06 Calend 01'!C94)/6)&lt;='V06 Calend 01'!E94)),IF((19=('V06 Calend 01'!C94+(6*'V06 Calend 01'!E94))),('V06 Calend 01'!H94-('V06 Calend 01'!I94*('V06 Calend 01'!E94-1))),'V06 Calend 01'!I94),0))+IF((19='V06 Calend 01'!D94),'V06 Calend 01'!J94,0))</f>
        <v>0</v>
      </c>
      <c r="AF94" s="2">
        <f>((IF((20='V06 Calend 01'!C94),('V06 Calend 01'!F94+'V06 Calend 01'!G94),0)+IF(AND(('V06 Calend 01'!E94&gt;0),(20&gt;'V06 Calend 01'!C94),(20&lt;'V06 Calend 01'!D94),(MOD((20-'V06 Calend 01'!C94),6)=0),(((20-'V06 Calend 01'!C94)/6)&lt;='V06 Calend 01'!E94)),IF((20=('V06 Calend 01'!C94+(6*'V06 Calend 01'!E94))),('V06 Calend 01'!H94-('V06 Calend 01'!I94*('V06 Calend 01'!E94-1))),'V06 Calend 01'!I94),0))+IF((20='V06 Calend 01'!D94),'V06 Calend 01'!J94,0))</f>
        <v>0</v>
      </c>
      <c r="AG94" s="2">
        <f>((IF((21='V06 Calend 01'!C94),('V06 Calend 01'!F94+'V06 Calend 01'!G94),0)+IF(AND(('V06 Calend 01'!E94&gt;0),(21&gt;'V06 Calend 01'!C94),(21&lt;'V06 Calend 01'!D94),(MOD((21-'V06 Calend 01'!C94),6)=0),(((21-'V06 Calend 01'!C94)/6)&lt;='V06 Calend 01'!E94)),IF((21=('V06 Calend 01'!C94+(6*'V06 Calend 01'!E94))),('V06 Calend 01'!H94-('V06 Calend 01'!I94*('V06 Calend 01'!E94-1))),'V06 Calend 01'!I94),0))+IF((21='V06 Calend 01'!D94),'V06 Calend 01'!J94,0))</f>
        <v>0</v>
      </c>
      <c r="AH94" s="2">
        <f>((IF((22='V06 Calend 01'!C94),('V06 Calend 01'!F94+'V06 Calend 01'!G94),0)+IF(AND(('V06 Calend 01'!E94&gt;0),(22&gt;'V06 Calend 01'!C94),(22&lt;'V06 Calend 01'!D94),(MOD((22-'V06 Calend 01'!C94),6)=0),(((22-'V06 Calend 01'!C94)/6)&lt;='V06 Calend 01'!E94)),IF((22=('V06 Calend 01'!C94+(6*'V06 Calend 01'!E94))),('V06 Calend 01'!H94-('V06 Calend 01'!I94*('V06 Calend 01'!E94-1))),'V06 Calend 01'!I94),0))+IF((22='V06 Calend 01'!D94),'V06 Calend 01'!J94,0))</f>
        <v>273033.39</v>
      </c>
      <c r="AI94" s="2">
        <f>((IF((23='V06 Calend 01'!C94),('V06 Calend 01'!F94+'V06 Calend 01'!G94),0)+IF(AND(('V06 Calend 01'!E94&gt;0),(23&gt;'V06 Calend 01'!C94),(23&lt;'V06 Calend 01'!D94),(MOD((23-'V06 Calend 01'!C94),6)=0),(((23-'V06 Calend 01'!C94)/6)&lt;='V06 Calend 01'!E94)),IF((23=('V06 Calend 01'!C94+(6*'V06 Calend 01'!E94))),('V06 Calend 01'!H94-('V06 Calend 01'!I94*('V06 Calend 01'!E94-1))),'V06 Calend 01'!I94),0))+IF((23='V06 Calend 01'!D94),'V06 Calend 01'!J94,0))</f>
        <v>0</v>
      </c>
      <c r="AJ94" s="2">
        <f>((IF((24='V06 Calend 01'!C94),('V06 Calend 01'!F94+'V06 Calend 01'!G94),0)+IF(AND(('V06 Calend 01'!E94&gt;0),(24&gt;'V06 Calend 01'!C94),(24&lt;'V06 Calend 01'!D94),(MOD((24-'V06 Calend 01'!C94),6)=0),(((24-'V06 Calend 01'!C94)/6)&lt;='V06 Calend 01'!E94)),IF((24=('V06 Calend 01'!C94+(6*'V06 Calend 01'!E94))),('V06 Calend 01'!H94-('V06 Calend 01'!I94*('V06 Calend 01'!E94-1))),'V06 Calend 01'!I94),0))+IF((24='V06 Calend 01'!D94),'V06 Calend 01'!J94,0))</f>
        <v>0</v>
      </c>
      <c r="AK94" s="2">
        <f>((IF((25='V06 Calend 01'!C94),('V06 Calend 01'!F94+'V06 Calend 01'!G94),0)+IF(AND(('V06 Calend 01'!E94&gt;0),(25&gt;'V06 Calend 01'!C94),(25&lt;'V06 Calend 01'!D94),(MOD((25-'V06 Calend 01'!C94),6)=0),(((25-'V06 Calend 01'!C94)/6)&lt;='V06 Calend 01'!E94)),IF((25=('V06 Calend 01'!C94+(6*'V06 Calend 01'!E94))),('V06 Calend 01'!H94-('V06 Calend 01'!I94*('V06 Calend 01'!E94-1))),'V06 Calend 01'!I94),0))+IF((25='V06 Calend 01'!D94),'V06 Calend 01'!J94,0))</f>
        <v>0</v>
      </c>
      <c r="AL94" s="2">
        <f>((IF((26='V06 Calend 01'!C94),('V06 Calend 01'!F94+'V06 Calend 01'!G94),0)+IF(AND(('V06 Calend 01'!E94&gt;0),(26&gt;'V06 Calend 01'!C94),(26&lt;'V06 Calend 01'!D94),(MOD((26-'V06 Calend 01'!C94),6)=0),(((26-'V06 Calend 01'!C94)/6)&lt;='V06 Calend 01'!E94)),IF((26=('V06 Calend 01'!C94+(6*'V06 Calend 01'!E94))),('V06 Calend 01'!H94-('V06 Calend 01'!I94*('V06 Calend 01'!E94-1))),'V06 Calend 01'!I94),0))+IF((26='V06 Calend 01'!D94),'V06 Calend 01'!J94,0))</f>
        <v>0</v>
      </c>
      <c r="AM94" s="2">
        <f>((IF((27='V06 Calend 01'!C94),('V06 Calend 01'!F94+'V06 Calend 01'!G94),0)+IF(AND(('V06 Calend 01'!E94&gt;0),(27&gt;'V06 Calend 01'!C94),(27&lt;'V06 Calend 01'!D94),(MOD((27-'V06 Calend 01'!C94),6)=0),(((27-'V06 Calend 01'!C94)/6)&lt;='V06 Calend 01'!E94)),IF((27=('V06 Calend 01'!C94+(6*'V06 Calend 01'!E94))),('V06 Calend 01'!H94-('V06 Calend 01'!I94*('V06 Calend 01'!E94-1))),'V06 Calend 01'!I94),0))+IF((27='V06 Calend 01'!D94),'V06 Calend 01'!J94,0))</f>
        <v>0</v>
      </c>
      <c r="AN94" s="2">
        <f>((IF((28='V06 Calend 01'!C94),('V06 Calend 01'!F94+'V06 Calend 01'!G94),0)+IF(AND(('V06 Calend 01'!E94&gt;0),(28&gt;'V06 Calend 01'!C94),(28&lt;'V06 Calend 01'!D94),(MOD((28-'V06 Calend 01'!C94),6)=0),(((28-'V06 Calend 01'!C94)/6)&lt;='V06 Calend 01'!E94)),IF((28=('V06 Calend 01'!C94+(6*'V06 Calend 01'!E94))),('V06 Calend 01'!H94-('V06 Calend 01'!I94*('V06 Calend 01'!E94-1))),'V06 Calend 01'!I94),0))+IF((28='V06 Calend 01'!D94),'V06 Calend 01'!J94,0))</f>
        <v>600673.46</v>
      </c>
      <c r="AO94" s="2">
        <f>((IF((29='V06 Calend 01'!C94),('V06 Calend 01'!F94+'V06 Calend 01'!G94),0)+IF(AND(('V06 Calend 01'!E94&gt;0),(29&gt;'V06 Calend 01'!C94),(29&lt;'V06 Calend 01'!D94),(MOD((29-'V06 Calend 01'!C94),6)=0),(((29-'V06 Calend 01'!C94)/6)&lt;='V06 Calend 01'!E94)),IF((29=('V06 Calend 01'!C94+(6*'V06 Calend 01'!E94))),('V06 Calend 01'!H94-('V06 Calend 01'!I94*('V06 Calend 01'!E94-1))),'V06 Calend 01'!I94),0))+IF((29='V06 Calend 01'!D94),'V06 Calend 01'!J94,0))</f>
        <v>0</v>
      </c>
      <c r="AP94" s="2">
        <f>((IF((30='V06 Calend 01'!C94),('V06 Calend 01'!F94+'V06 Calend 01'!G94),0)+IF(AND(('V06 Calend 01'!E94&gt;0),(30&gt;'V06 Calend 01'!C94),(30&lt;'V06 Calend 01'!D94),(MOD((30-'V06 Calend 01'!C94),6)=0),(((30-'V06 Calend 01'!C94)/6)&lt;='V06 Calend 01'!E94)),IF((30=('V06 Calend 01'!C94+(6*'V06 Calend 01'!E94))),('V06 Calend 01'!H94-('V06 Calend 01'!I94*('V06 Calend 01'!E94-1))),'V06 Calend 01'!I94),0))+IF((30='V06 Calend 01'!D94),'V06 Calend 01'!J94,0))</f>
        <v>218426.7200000001</v>
      </c>
      <c r="AQ94" s="2">
        <f>((IF((31='V06 Calend 01'!C94),('V06 Calend 01'!F94+'V06 Calend 01'!G94),0)+IF(AND(('V06 Calend 01'!E94&gt;0),(31&gt;'V06 Calend 01'!C94),(31&lt;'V06 Calend 01'!D94),(MOD((31-'V06 Calend 01'!C94),6)=0),(((31-'V06 Calend 01'!C94)/6)&lt;='V06 Calend 01'!E94)),IF((31=('V06 Calend 01'!C94+(6*'V06 Calend 01'!E94))),('V06 Calend 01'!H94-('V06 Calend 01'!I94*('V06 Calend 01'!E94-1))),'V06 Calend 01'!I94),0))+IF((31='V06 Calend 01'!D94),'V06 Calend 01'!J94,0))</f>
        <v>0</v>
      </c>
      <c r="AR94" s="2">
        <f>((IF((32='V06 Calend 01'!C94),('V06 Calend 01'!F94+'V06 Calend 01'!G94),0)+IF(AND(('V06 Calend 01'!E94&gt;0),(32&gt;'V06 Calend 01'!C94),(32&lt;'V06 Calend 01'!D94),(MOD((32-'V06 Calend 01'!C94),6)=0),(((32-'V06 Calend 01'!C94)/6)&lt;='V06 Calend 01'!E94)),IF((32=('V06 Calend 01'!C94+(6*'V06 Calend 01'!E94))),('V06 Calend 01'!H94-('V06 Calend 01'!I94*('V06 Calend 01'!E94-1))),'V06 Calend 01'!I94),0))+IF((32='V06 Calend 01'!D94),'V06 Calend 01'!J94,0))</f>
        <v>0</v>
      </c>
      <c r="AS94" s="2">
        <f>((IF((33='V06 Calend 01'!C94),('V06 Calend 01'!F94+'V06 Calend 01'!G94),0)+IF(AND(('V06 Calend 01'!E94&gt;0),(33&gt;'V06 Calend 01'!C94),(33&lt;'V06 Calend 01'!D94),(MOD((33-'V06 Calend 01'!C94),6)=0),(((33-'V06 Calend 01'!C94)/6)&lt;='V06 Calend 01'!E94)),IF((33=('V06 Calend 01'!C94+(6*'V06 Calend 01'!E94))),('V06 Calend 01'!H94-('V06 Calend 01'!I94*('V06 Calend 01'!E94-1))),'V06 Calend 01'!I94),0))+IF((33='V06 Calend 01'!D94),'V06 Calend 01'!J94,0))</f>
        <v>0</v>
      </c>
      <c r="AT94" s="2">
        <f>((IF((34='V06 Calend 01'!C94),('V06 Calend 01'!F94+'V06 Calend 01'!G94),0)+IF(AND(('V06 Calend 01'!E94&gt;0),(34&gt;'V06 Calend 01'!C94),(34&lt;'V06 Calend 01'!D94),(MOD((34-'V06 Calend 01'!C94),6)=0),(((34-'V06 Calend 01'!C94)/6)&lt;='V06 Calend 01'!E94)),IF((34=('V06 Calend 01'!C94+(6*'V06 Calend 01'!E94))),('V06 Calend 01'!H94-('V06 Calend 01'!I94*('V06 Calend 01'!E94-1))),'V06 Calend 01'!I94),0))+IF((34='V06 Calend 01'!D94),'V06 Calend 01'!J94,0))</f>
        <v>0</v>
      </c>
      <c r="AU94" s="2">
        <f>((IF((35='V06 Calend 01'!C94),('V06 Calend 01'!F94+'V06 Calend 01'!G94),0)+IF(AND(('V06 Calend 01'!E94&gt;0),(35&gt;'V06 Calend 01'!C94),(35&lt;'V06 Calend 01'!D94),(MOD((35-'V06 Calend 01'!C94),6)=0),(((35-'V06 Calend 01'!C94)/6)&lt;='V06 Calend 01'!E94)),IF((35=('V06 Calend 01'!C94+(6*'V06 Calend 01'!E94))),('V06 Calend 01'!H94-('V06 Calend 01'!I94*('V06 Calend 01'!E94-1))),'V06 Calend 01'!I94),0))+IF((35='V06 Calend 01'!D94),'V06 Calend 01'!J94,0))</f>
        <v>0</v>
      </c>
      <c r="AV94" s="2">
        <f>((IF((36='V06 Calend 01'!C94),('V06 Calend 01'!F94+'V06 Calend 01'!G94),0)+IF(AND(('V06 Calend 01'!E94&gt;0),(36&gt;'V06 Calend 01'!C94),(36&lt;'V06 Calend 01'!D94),(MOD((36-'V06 Calend 01'!C94),6)=0),(((36-'V06 Calend 01'!C94)/6)&lt;='V06 Calend 01'!E94)),IF((36=('V06 Calend 01'!C94+(6*'V06 Calend 01'!E94))),('V06 Calend 01'!H94-('V06 Calend 01'!I94*('V06 Calend 01'!E94-1))),'V06 Calend 01'!I94),0))+IF((36='V06 Calend 01'!D94),'V06 Calend 01'!J94,0))</f>
        <v>0</v>
      </c>
      <c r="AW94" s="2">
        <f>((IF((37='V06 Calend 01'!C94),('V06 Calend 01'!F94+'V06 Calend 01'!G94),0)+IF(AND(('V06 Calend 01'!E94&gt;0),(37&gt;'V06 Calend 01'!C94),(37&lt;'V06 Calend 01'!D94),(MOD((37-'V06 Calend 01'!C94),6)=0),(((37-'V06 Calend 01'!C94)/6)&lt;='V06 Calend 01'!E94)),IF((37=('V06 Calend 01'!C94+(6*'V06 Calend 01'!E94))),('V06 Calend 01'!H94-('V06 Calend 01'!I94*('V06 Calend 01'!E94-1))),'V06 Calend 01'!I94),0))+IF((37='V06 Calend 01'!D94),'V06 Calend 01'!J94,0))</f>
        <v>0</v>
      </c>
      <c r="AX94" s="2">
        <f>((IF((38='V06 Calend 01'!C94),('V06 Calend 01'!F94+'V06 Calend 01'!G94),0)+IF(AND(('V06 Calend 01'!E94&gt;0),(38&gt;'V06 Calend 01'!C94),(38&lt;'V06 Calend 01'!D94),(MOD((38-'V06 Calend 01'!C94),6)=0),(((38-'V06 Calend 01'!C94)/6)&lt;='V06 Calend 01'!E94)),IF((38=('V06 Calend 01'!C94+(6*'V06 Calend 01'!E94))),('V06 Calend 01'!H94-('V06 Calend 01'!I94*('V06 Calend 01'!E94-1))),'V06 Calend 01'!I94),0))+IF((38='V06 Calend 01'!D94),'V06 Calend 01'!J94,0))</f>
        <v>0</v>
      </c>
      <c r="AY94" s="2">
        <f>((IF((39='V06 Calend 01'!C94),('V06 Calend 01'!F94+'V06 Calend 01'!G94),0)+IF(AND(('V06 Calend 01'!E94&gt;0),(39&gt;'V06 Calend 01'!C94),(39&lt;'V06 Calend 01'!D94),(MOD((39-'V06 Calend 01'!C94),6)=0),(((39-'V06 Calend 01'!C94)/6)&lt;='V06 Calend 01'!E94)),IF((39=('V06 Calend 01'!C94+(6*'V06 Calend 01'!E94))),('V06 Calend 01'!H94-('V06 Calend 01'!I94*('V06 Calend 01'!E94-1))),'V06 Calend 01'!I94),0))+IF((39='V06 Calend 01'!D94),'V06 Calend 01'!J94,0))</f>
        <v>0</v>
      </c>
      <c r="AZ94" s="2">
        <f>((IF((40='V06 Calend 01'!C94),('V06 Calend 01'!F94+'V06 Calend 01'!G94),0)+IF(AND(('V06 Calend 01'!E94&gt;0),(40&gt;'V06 Calend 01'!C94),(40&lt;'V06 Calend 01'!D94),(MOD((40-'V06 Calend 01'!C94),6)=0),(((40-'V06 Calend 01'!C94)/6)&lt;='V06 Calend 01'!E94)),IF((40=('V06 Calend 01'!C94+(6*'V06 Calend 01'!E94))),('V06 Calend 01'!H94-('V06 Calend 01'!I94*('V06 Calend 01'!E94-1))),'V06 Calend 01'!I94),0))+IF((40='V06 Calend 01'!D94),'V06 Calend 01'!J94,0))</f>
        <v>0</v>
      </c>
      <c r="BA94" s="2">
        <f>((IF((41='V06 Calend 01'!C94),('V06 Calend 01'!F94+'V06 Calend 01'!G94),0)+IF(AND(('V06 Calend 01'!E94&gt;0),(41&gt;'V06 Calend 01'!C94),(41&lt;'V06 Calend 01'!D94),(MOD((41-'V06 Calend 01'!C94),6)=0),(((41-'V06 Calend 01'!C94)/6)&lt;='V06 Calend 01'!E94)),IF((41=('V06 Calend 01'!C94+(6*'V06 Calend 01'!E94))),('V06 Calend 01'!H94-('V06 Calend 01'!I94*('V06 Calend 01'!E94-1))),'V06 Calend 01'!I94),0))+IF((41='V06 Calend 01'!D94),'V06 Calend 01'!J94,0))</f>
        <v>0</v>
      </c>
      <c r="BB94" s="2">
        <f>((IF((42='V06 Calend 01'!C94),('V06 Calend 01'!F94+'V06 Calend 01'!G94),0)+IF(AND(('V06 Calend 01'!E94&gt;0),(42&gt;'V06 Calend 01'!C94),(42&lt;'V06 Calend 01'!D94),(MOD((42-'V06 Calend 01'!C94),6)=0),(((42-'V06 Calend 01'!C94)/6)&lt;='V06 Calend 01'!E94)),IF((42=('V06 Calend 01'!C94+(6*'V06 Calend 01'!E94))),('V06 Calend 01'!H94-('V06 Calend 01'!I94*('V06 Calend 01'!E94-1))),'V06 Calend 01'!I94),0))+IF((42='V06 Calend 01'!D94),'V06 Calend 01'!J94,0))</f>
        <v>0</v>
      </c>
      <c r="BC94" s="2">
        <f>((IF((43='V06 Calend 01'!C94),('V06 Calend 01'!F94+'V06 Calend 01'!G94),0)+IF(AND(('V06 Calend 01'!E94&gt;0),(43&gt;'V06 Calend 01'!C94),(43&lt;'V06 Calend 01'!D94),(MOD((43-'V06 Calend 01'!C94),6)=0),(((43-'V06 Calend 01'!C94)/6)&lt;='V06 Calend 01'!E94)),IF((43=('V06 Calend 01'!C94+(6*'V06 Calend 01'!E94))),('V06 Calend 01'!H94-('V06 Calend 01'!I94*('V06 Calend 01'!E94-1))),'V06 Calend 01'!I94),0))+IF((43='V06 Calend 01'!D94),'V06 Calend 01'!J94,0))</f>
        <v>0</v>
      </c>
      <c r="BD94" s="2">
        <f>((IF((44='V06 Calend 01'!C94),('V06 Calend 01'!F94+'V06 Calend 01'!G94),0)+IF(AND(('V06 Calend 01'!E94&gt;0),(44&gt;'V06 Calend 01'!C94),(44&lt;'V06 Calend 01'!D94),(MOD((44-'V06 Calend 01'!C94),6)=0),(((44-'V06 Calend 01'!C94)/6)&lt;='V06 Calend 01'!E94)),IF((44=('V06 Calend 01'!C94+(6*'V06 Calend 01'!E94))),('V06 Calend 01'!H94-('V06 Calend 01'!I94*('V06 Calend 01'!E94-1))),'V06 Calend 01'!I94),0))+IF((44='V06 Calend 01'!D94),'V06 Calend 01'!J94,0))</f>
        <v>0</v>
      </c>
      <c r="BE94" s="2">
        <f>((IF((45='V06 Calend 01'!C94),('V06 Calend 01'!F94+'V06 Calend 01'!G94),0)+IF(AND(('V06 Calend 01'!E94&gt;0),(45&gt;'V06 Calend 01'!C94),(45&lt;'V06 Calend 01'!D94),(MOD((45-'V06 Calend 01'!C94),6)=0),(((45-'V06 Calend 01'!C94)/6)&lt;='V06 Calend 01'!E94)),IF((45=('V06 Calend 01'!C94+(6*'V06 Calend 01'!E94))),('V06 Calend 01'!H94-('V06 Calend 01'!I94*('V06 Calend 01'!E94-1))),'V06 Calend 01'!I94),0))+IF((45='V06 Calend 01'!D94),'V06 Calend 01'!J94,0))</f>
        <v>0</v>
      </c>
      <c r="BF94" s="2">
        <f>((IF((46='V06 Calend 01'!C94),('V06 Calend 01'!F94+'V06 Calend 01'!G94),0)+IF(AND(('V06 Calend 01'!E94&gt;0),(46&gt;'V06 Calend 01'!C94),(46&lt;'V06 Calend 01'!D94),(MOD((46-'V06 Calend 01'!C94),6)=0),(((46-'V06 Calend 01'!C94)/6)&lt;='V06 Calend 01'!E94)),IF((46=('V06 Calend 01'!C94+(6*'V06 Calend 01'!E94))),('V06 Calend 01'!H94-('V06 Calend 01'!I94*('V06 Calend 01'!E94-1))),'V06 Calend 01'!I94),0))+IF((46='V06 Calend 01'!D94),'V06 Calend 01'!J94,0))</f>
        <v>0</v>
      </c>
      <c r="BG94" s="2">
        <f>((IF((47='V06 Calend 01'!C94),('V06 Calend 01'!F94+'V06 Calend 01'!G94),0)+IF(AND(('V06 Calend 01'!E94&gt;0),(47&gt;'V06 Calend 01'!C94),(47&lt;'V06 Calend 01'!D94),(MOD((47-'V06 Calend 01'!C94),6)=0),(((47-'V06 Calend 01'!C94)/6)&lt;='V06 Calend 01'!E94)),IF((47=('V06 Calend 01'!C94+(6*'V06 Calend 01'!E94))),('V06 Calend 01'!H94-('V06 Calend 01'!I94*('V06 Calend 01'!E94-1))),'V06 Calend 01'!I94),0))+IF((47='V06 Calend 01'!D94),'V06 Calend 01'!J94,0))</f>
        <v>0</v>
      </c>
      <c r="BH94" s="2">
        <f>((IF((48='V06 Calend 01'!C94),('V06 Calend 01'!F94+'V06 Calend 01'!G94),0)+IF(AND(('V06 Calend 01'!E94&gt;0),(48&gt;'V06 Calend 01'!C94),(48&lt;'V06 Calend 01'!D94),(MOD((48-'V06 Calend 01'!C94),6)=0),(((48-'V06 Calend 01'!C94)/6)&lt;='V06 Calend 01'!E94)),IF((48=('V06 Calend 01'!C94+(6*'V06 Calend 01'!E94))),('V06 Calend 01'!H94-('V06 Calend 01'!I94*('V06 Calend 01'!E94-1))),'V06 Calend 01'!I94),0))+IF((48='V06 Calend 01'!D94),'V06 Calend 01'!J94,0))</f>
        <v>0</v>
      </c>
      <c r="BI94" s="2">
        <f>((IF((49='V06 Calend 01'!C94),('V06 Calend 01'!F94+'V06 Calend 01'!G94),0)+IF(AND(('V06 Calend 01'!E94&gt;0),(49&gt;'V06 Calend 01'!C94),(49&lt;'V06 Calend 01'!D94),(MOD((49-'V06 Calend 01'!C94),6)=0),(((49-'V06 Calend 01'!C94)/6)&lt;='V06 Calend 01'!E94)),IF((49=('V06 Calend 01'!C94+(6*'V06 Calend 01'!E94))),('V06 Calend 01'!H94-('V06 Calend 01'!I94*('V06 Calend 01'!E94-1))),'V06 Calend 01'!I94),0))+IF((49='V06 Calend 01'!D94),'V06 Calend 01'!J94,0))</f>
        <v>0</v>
      </c>
      <c r="BJ94" s="2">
        <f>((IF((50='V06 Calend 01'!C94),('V06 Calend 01'!F94+'V06 Calend 01'!G94),0)+IF(AND(('V06 Calend 01'!E94&gt;0),(50&gt;'V06 Calend 01'!C94),(50&lt;'V06 Calend 01'!D94),(MOD((50-'V06 Calend 01'!C94),6)=0),(((50-'V06 Calend 01'!C94)/6)&lt;='V06 Calend 01'!E94)),IF((50=('V06 Calend 01'!C94+(6*'V06 Calend 01'!E94))),('V06 Calend 01'!H94-('V06 Calend 01'!I94*('V06 Calend 01'!E94-1))),'V06 Calend 01'!I94),0))+IF((50='V06 Calend 01'!D94),'V06 Calend 01'!J94,0))</f>
        <v>0</v>
      </c>
      <c r="BK94" s="2">
        <f>((IF((51='V06 Calend 01'!C94),('V06 Calend 01'!F94+'V06 Calend 01'!G94),0)+IF(AND(('V06 Calend 01'!E94&gt;0),(51&gt;'V06 Calend 01'!C94),(51&lt;'V06 Calend 01'!D94),(MOD((51-'V06 Calend 01'!C94),6)=0),(((51-'V06 Calend 01'!C94)/6)&lt;='V06 Calend 01'!E94)),IF((51=('V06 Calend 01'!C94+(6*'V06 Calend 01'!E94))),('V06 Calend 01'!H94-('V06 Calend 01'!I94*('V06 Calend 01'!E94-1))),'V06 Calend 01'!I94),0))+IF((51='V06 Calend 01'!D94),'V06 Calend 01'!J94,0))</f>
        <v>0</v>
      </c>
      <c r="BL94" s="2">
        <f>((IF((52='V06 Calend 01'!C94),('V06 Calend 01'!F94+'V06 Calend 01'!G94),0)+IF(AND(('V06 Calend 01'!E94&gt;0),(52&gt;'V06 Calend 01'!C94),(52&lt;'V06 Calend 01'!D94),(MOD((52-'V06 Calend 01'!C94),6)=0),(((52-'V06 Calend 01'!C94)/6)&lt;='V06 Calend 01'!E94)),IF((52=('V06 Calend 01'!C94+(6*'V06 Calend 01'!E94))),('V06 Calend 01'!H94-('V06 Calend 01'!I94*('V06 Calend 01'!E94-1))),'V06 Calend 01'!I94),0))+IF((52='V06 Calend 01'!D94),'V06 Calend 01'!J94,0))</f>
        <v>0</v>
      </c>
      <c r="BM94" s="2">
        <f>((IF((53='V06 Calend 01'!C94),('V06 Calend 01'!F94+'V06 Calend 01'!G94),0)+IF(AND(('V06 Calend 01'!E94&gt;0),(53&gt;'V06 Calend 01'!C94),(53&lt;'V06 Calend 01'!D94),(MOD((53-'V06 Calend 01'!C94),6)=0),(((53-'V06 Calend 01'!C94)/6)&lt;='V06 Calend 01'!E94)),IF((53=('V06 Calend 01'!C94+(6*'V06 Calend 01'!E94))),('V06 Calend 01'!H94-('V06 Calend 01'!I94*('V06 Calend 01'!E94-1))),'V06 Calend 01'!I94),0))+IF((53='V06 Calend 01'!D94),'V06 Calend 01'!J94,0))</f>
        <v>0</v>
      </c>
      <c r="BN94" s="2">
        <f>((IF((54='V06 Calend 01'!C94),('V06 Calend 01'!F94+'V06 Calend 01'!G94),0)+IF(AND(('V06 Calend 01'!E94&gt;0),(54&gt;'V06 Calend 01'!C94),(54&lt;'V06 Calend 01'!D94),(MOD((54-'V06 Calend 01'!C94),6)=0),(((54-'V06 Calend 01'!C94)/6)&lt;='V06 Calend 01'!E94)),IF((54=('V06 Calend 01'!C94+(6*'V06 Calend 01'!E94))),('V06 Calend 01'!H94-('V06 Calend 01'!I94*('V06 Calend 01'!E94-1))),'V06 Calend 01'!I94),0))+IF((54='V06 Calend 01'!D94),'V06 Calend 01'!J94,0))</f>
        <v>0</v>
      </c>
      <c r="BO94" s="2">
        <f>((IF((55='V06 Calend 01'!C94),('V06 Calend 01'!F94+'V06 Calend 01'!G94),0)+IF(AND(('V06 Calend 01'!E94&gt;0),(55&gt;'V06 Calend 01'!C94),(55&lt;'V06 Calend 01'!D94),(MOD((55-'V06 Calend 01'!C94),6)=0),(((55-'V06 Calend 01'!C94)/6)&lt;='V06 Calend 01'!E94)),IF((55=('V06 Calend 01'!C94+(6*'V06 Calend 01'!E94))),('V06 Calend 01'!H94-('V06 Calend 01'!I94*('V06 Calend 01'!E94-1))),'V06 Calend 01'!I94),0))+IF((55='V06 Calend 01'!D94),'V06 Calend 01'!J94,0))</f>
        <v>0</v>
      </c>
      <c r="BP94" s="2">
        <f>((IF((56='V06 Calend 01'!C94),('V06 Calend 01'!F94+'V06 Calend 01'!G94),0)+IF(AND(('V06 Calend 01'!E94&gt;0),(56&gt;'V06 Calend 01'!C94),(56&lt;'V06 Calend 01'!D94),(MOD((56-'V06 Calend 01'!C94),6)=0),(((56-'V06 Calend 01'!C94)/6)&lt;='V06 Calend 01'!E94)),IF((56=('V06 Calend 01'!C94+(6*'V06 Calend 01'!E94))),('V06 Calend 01'!H94-('V06 Calend 01'!I94*('V06 Calend 01'!E94-1))),'V06 Calend 01'!I94),0))+IF((56='V06 Calend 01'!D94),'V06 Calend 01'!J94,0))</f>
        <v>0</v>
      </c>
      <c r="BQ94" s="2">
        <f>((IF((57='V06 Calend 01'!C94),('V06 Calend 01'!F94+'V06 Calend 01'!G94),0)+IF(AND(('V06 Calend 01'!E94&gt;0),(57&gt;'V06 Calend 01'!C94),(57&lt;'V06 Calend 01'!D94),(MOD((57-'V06 Calend 01'!C94),6)=0),(((57-'V06 Calend 01'!C94)/6)&lt;='V06 Calend 01'!E94)),IF((57=('V06 Calend 01'!C94+(6*'V06 Calend 01'!E94))),('V06 Calend 01'!H94-('V06 Calend 01'!I94*('V06 Calend 01'!E94-1))),'V06 Calend 01'!I94),0))+IF((57='V06 Calend 01'!D94),'V06 Calend 01'!J94,0))</f>
        <v>0</v>
      </c>
      <c r="BR94" s="2">
        <f>((IF((58='V06 Calend 01'!C94),('V06 Calend 01'!F94+'V06 Calend 01'!G94),0)+IF(AND(('V06 Calend 01'!E94&gt;0),(58&gt;'V06 Calend 01'!C94),(58&lt;'V06 Calend 01'!D94),(MOD((58-'V06 Calend 01'!C94),6)=0),(((58-'V06 Calend 01'!C94)/6)&lt;='V06 Calend 01'!E94)),IF((58=('V06 Calend 01'!C94+(6*'V06 Calend 01'!E94))),('V06 Calend 01'!H94-('V06 Calend 01'!I94*('V06 Calend 01'!E94-1))),'V06 Calend 01'!I94),0))+IF((58='V06 Calend 01'!D94),'V06 Calend 01'!J94,0))</f>
        <v>0</v>
      </c>
      <c r="BS94" s="2">
        <f>((IF((59='V06 Calend 01'!C94),('V06 Calend 01'!F94+'V06 Calend 01'!G94),0)+IF(AND(('V06 Calend 01'!E94&gt;0),(59&gt;'V06 Calend 01'!C94),(59&lt;'V06 Calend 01'!D94),(MOD((59-'V06 Calend 01'!C94),6)=0),(((59-'V06 Calend 01'!C94)/6)&lt;='V06 Calend 01'!E94)),IF((59=('V06 Calend 01'!C94+(6*'V06 Calend 01'!E94))),('V06 Calend 01'!H94-('V06 Calend 01'!I94*('V06 Calend 01'!E94-1))),'V06 Calend 01'!I94),0))+IF((59='V06 Calend 01'!D94),'V06 Calend 01'!J94,0))</f>
        <v>0</v>
      </c>
      <c r="BT94" s="2">
        <f>((IF((60='V06 Calend 01'!C94),('V06 Calend 01'!F94+'V06 Calend 01'!G94),0)+IF(AND(('V06 Calend 01'!E94&gt;0),(60&gt;'V06 Calend 01'!C94),(60&lt;'V06 Calend 01'!D94),(MOD((60-'V06 Calend 01'!C94),6)=0),(((60-'V06 Calend 01'!C94)/6)&lt;='V06 Calend 01'!E94)),IF((60=('V06 Calend 01'!C94+(6*'V06 Calend 01'!E94))),('V06 Calend 01'!H94-('V06 Calend 01'!I94*('V06 Calend 01'!E94-1))),'V06 Calend 01'!I94),0))+IF((60='V06 Calend 01'!D94),'V06 Calend 01'!J94,0))</f>
        <v>0</v>
      </c>
      <c r="BU94" s="2">
        <f>((IF((61='V06 Calend 01'!C94),('V06 Calend 01'!F94+'V06 Calend 01'!G94),0)+IF(AND(('V06 Calend 01'!E94&gt;0),(61&gt;'V06 Calend 01'!C94),(61&lt;'V06 Calend 01'!D94),(MOD((61-'V06 Calend 01'!C94),6)=0),(((61-'V06 Calend 01'!C94)/6)&lt;='V06 Calend 01'!E94)),IF((61=('V06 Calend 01'!C94+(6*'V06 Calend 01'!E94))),('V06 Calend 01'!H94-('V06 Calend 01'!I94*('V06 Calend 01'!E94-1))),'V06 Calend 01'!I94),0))+IF((61='V06 Calend 01'!D94),'V06 Calend 01'!J94,0))</f>
        <v>0</v>
      </c>
      <c r="BV94" s="2">
        <f>((IF((62='V06 Calend 01'!C94),('V06 Calend 01'!F94+'V06 Calend 01'!G94),0)+IF(AND(('V06 Calend 01'!E94&gt;0),(62&gt;'V06 Calend 01'!C94),(62&lt;'V06 Calend 01'!D94),(MOD((62-'V06 Calend 01'!C94),6)=0),(((62-'V06 Calend 01'!C94)/6)&lt;='V06 Calend 01'!E94)),IF((62=('V06 Calend 01'!C94+(6*'V06 Calend 01'!E94))),('V06 Calend 01'!H94-('V06 Calend 01'!I94*('V06 Calend 01'!E94-1))),'V06 Calend 01'!I94),0))+IF((62='V06 Calend 01'!D94),'V06 Calend 01'!J94,0))</f>
        <v>0</v>
      </c>
      <c r="BW94" s="2">
        <f>((IF((63='V06 Calend 01'!C94),('V06 Calend 01'!F94+'V06 Calend 01'!G94),0)+IF(AND(('V06 Calend 01'!E94&gt;0),(63&gt;'V06 Calend 01'!C94),(63&lt;'V06 Calend 01'!D94),(MOD((63-'V06 Calend 01'!C94),6)=0),(((63-'V06 Calend 01'!C94)/6)&lt;='V06 Calend 01'!E94)),IF((63=('V06 Calend 01'!C94+(6*'V06 Calend 01'!E94))),('V06 Calend 01'!H94-('V06 Calend 01'!I94*('V06 Calend 01'!E94-1))),'V06 Calend 01'!I94),0))+IF((63='V06 Calend 01'!D94),'V06 Calend 01'!J94,0))</f>
        <v>0</v>
      </c>
      <c r="BX94" s="2">
        <f>((IF((64='V06 Calend 01'!C94),('V06 Calend 01'!F94+'V06 Calend 01'!G94),0)+IF(AND(('V06 Calend 01'!E94&gt;0),(64&gt;'V06 Calend 01'!C94),(64&lt;'V06 Calend 01'!D94),(MOD((64-'V06 Calend 01'!C94),6)=0),(((64-'V06 Calend 01'!C94)/6)&lt;='V06 Calend 01'!E94)),IF((64=('V06 Calend 01'!C94+(6*'V06 Calend 01'!E94))),('V06 Calend 01'!H94-('V06 Calend 01'!I94*('V06 Calend 01'!E94-1))),'V06 Calend 01'!I94),0))+IF((64='V06 Calend 01'!D94),'V06 Calend 01'!J94,0))</f>
        <v>0</v>
      </c>
      <c r="BY94" s="2">
        <f>((IF((65='V06 Calend 01'!C94),('V06 Calend 01'!F94+'V06 Calend 01'!G94),0)+IF(AND(('V06 Calend 01'!E94&gt;0),(65&gt;'V06 Calend 01'!C94),(65&lt;'V06 Calend 01'!D94),(MOD((65-'V06 Calend 01'!C94),6)=0),(((65-'V06 Calend 01'!C94)/6)&lt;='V06 Calend 01'!E94)),IF((65=('V06 Calend 01'!C94+(6*'V06 Calend 01'!E94))),('V06 Calend 01'!H94-('V06 Calend 01'!I94*('V06 Calend 01'!E94-1))),'V06 Calend 01'!I94),0))+IF((65='V06 Calend 01'!D94),'V06 Calend 01'!J94,0))</f>
        <v>0</v>
      </c>
      <c r="BZ94" s="2">
        <f>((IF((66='V06 Calend 01'!C94),('V06 Calend 01'!F94+'V06 Calend 01'!G94),0)+IF(AND(('V06 Calend 01'!E94&gt;0),(66&gt;'V06 Calend 01'!C94),(66&lt;'V06 Calend 01'!D94),(MOD((66-'V06 Calend 01'!C94),6)=0),(((66-'V06 Calend 01'!C94)/6)&lt;='V06 Calend 01'!E94)),IF((66=('V06 Calend 01'!C94+(6*'V06 Calend 01'!E94))),('V06 Calend 01'!H94-('V06 Calend 01'!I94*('V06 Calend 01'!E94-1))),'V06 Calend 01'!I94),0))+IF((66='V06 Calend 01'!D94),'V06 Calend 01'!J94,0))</f>
        <v>0</v>
      </c>
      <c r="CA94" s="2">
        <f>((IF((67='V06 Calend 01'!C94),('V06 Calend 01'!F94+'V06 Calend 01'!G94),0)+IF(AND(('V06 Calend 01'!E94&gt;0),(67&gt;'V06 Calend 01'!C94),(67&lt;'V06 Calend 01'!D94),(MOD((67-'V06 Calend 01'!C94),6)=0),(((67-'V06 Calend 01'!C94)/6)&lt;='V06 Calend 01'!E94)),IF((67=('V06 Calend 01'!C94+(6*'V06 Calend 01'!E94))),('V06 Calend 01'!H94-('V06 Calend 01'!I94*('V06 Calend 01'!E94-1))),'V06 Calend 01'!I94),0))+IF((67='V06 Calend 01'!D94),'V06 Calend 01'!J94,0))</f>
        <v>0</v>
      </c>
      <c r="CB94" s="2">
        <f>((IF((68='V06 Calend 01'!C94),('V06 Calend 01'!F94+'V06 Calend 01'!G94),0)+IF(AND(('V06 Calend 01'!E94&gt;0),(68&gt;'V06 Calend 01'!C94),(68&lt;'V06 Calend 01'!D94),(MOD((68-'V06 Calend 01'!C94),6)=0),(((68-'V06 Calend 01'!C94)/6)&lt;='V06 Calend 01'!E94)),IF((68=('V06 Calend 01'!C94+(6*'V06 Calend 01'!E94))),('V06 Calend 01'!H94-('V06 Calend 01'!I94*('V06 Calend 01'!E94-1))),'V06 Calend 01'!I94),0))+IF((68='V06 Calend 01'!D94),'V06 Calend 01'!J94,0))</f>
        <v>0</v>
      </c>
      <c r="CC94" s="2">
        <f>((IF((69='V06 Calend 01'!C94),('V06 Calend 01'!F94+'V06 Calend 01'!G94),0)+IF(AND(('V06 Calend 01'!E94&gt;0),(69&gt;'V06 Calend 01'!C94),(69&lt;'V06 Calend 01'!D94),(MOD((69-'V06 Calend 01'!C94),6)=0),(((69-'V06 Calend 01'!C94)/6)&lt;='V06 Calend 01'!E94)),IF((69=('V06 Calend 01'!C94+(6*'V06 Calend 01'!E94))),('V06 Calend 01'!H94-('V06 Calend 01'!I94*('V06 Calend 01'!E94-1))),'V06 Calend 01'!I94),0))+IF((69='V06 Calend 01'!D94),'V06 Calend 01'!J94,0))</f>
        <v>0</v>
      </c>
      <c r="CD94" s="2">
        <f>((IF((70='V06 Calend 01'!C94),('V06 Calend 01'!F94+'V06 Calend 01'!G94),0)+IF(AND(('V06 Calend 01'!E94&gt;0),(70&gt;'V06 Calend 01'!C94),(70&lt;'V06 Calend 01'!D94),(MOD((70-'V06 Calend 01'!C94),6)=0),(((70-'V06 Calend 01'!C94)/6)&lt;='V06 Calend 01'!E94)),IF((70=('V06 Calend 01'!C94+(6*'V06 Calend 01'!E94))),('V06 Calend 01'!H94-('V06 Calend 01'!I94*('V06 Calend 01'!E94-1))),'V06 Calend 01'!I94),0))+IF((70='V06 Calend 01'!D94),'V06 Calend 01'!J94,0))</f>
        <v>0</v>
      </c>
      <c r="CE94" s="2">
        <f>((IF((71='V06 Calend 01'!C94),('V06 Calend 01'!F94+'V06 Calend 01'!G94),0)+IF(AND(('V06 Calend 01'!E94&gt;0),(71&gt;'V06 Calend 01'!C94),(71&lt;'V06 Calend 01'!D94),(MOD((71-'V06 Calend 01'!C94),6)=0),(((71-'V06 Calend 01'!C94)/6)&lt;='V06 Calend 01'!E94)),IF((71=('V06 Calend 01'!C94+(6*'V06 Calend 01'!E94))),('V06 Calend 01'!H94-('V06 Calend 01'!I94*('V06 Calend 01'!E94-1))),'V06 Calend 01'!I94),0))+IF((71='V06 Calend 01'!D94),'V06 Calend 01'!J94,0))</f>
        <v>0</v>
      </c>
      <c r="CF94" s="2">
        <f>((IF((72='V06 Calend 01'!C94),('V06 Calend 01'!F94+'V06 Calend 01'!G94),0)+IF(AND(('V06 Calend 01'!E94&gt;0),(72&gt;'V06 Calend 01'!C94),(72&lt;'V06 Calend 01'!D94),(MOD((72-'V06 Calend 01'!C94),6)=0),(((72-'V06 Calend 01'!C94)/6)&lt;='V06 Calend 01'!E94)),IF((72=('V06 Calend 01'!C94+(6*'V06 Calend 01'!E94))),('V06 Calend 01'!H94-('V06 Calend 01'!I94*('V06 Calend 01'!E94-1))),'V06 Calend 01'!I94),0))+IF((72='V06 Calend 01'!D94),'V06 Calend 01'!J94,0))</f>
        <v>0</v>
      </c>
      <c r="CG94" s="2">
        <f>((IF((73='V06 Calend 01'!C94),('V06 Calend 01'!F94+'V06 Calend 01'!G94),0)+IF(AND(('V06 Calend 01'!E94&gt;0),(73&gt;'V06 Calend 01'!C94),(73&lt;'V06 Calend 01'!D94),(MOD((73-'V06 Calend 01'!C94),6)=0),(((73-'V06 Calend 01'!C94)/6)&lt;='V06 Calend 01'!E94)),IF((73=('V06 Calend 01'!C94+(6*'V06 Calend 01'!E94))),('V06 Calend 01'!H94-('V06 Calend 01'!I94*('V06 Calend 01'!E94-1))),'V06 Calend 01'!I94),0))+IF((73='V06 Calend 01'!D94),'V06 Calend 01'!J94,0))</f>
        <v>0</v>
      </c>
      <c r="CH94" s="2">
        <f>((IF((74='V06 Calend 01'!C94),('V06 Calend 01'!F94+'V06 Calend 01'!G94),0)+IF(AND(('V06 Calend 01'!E94&gt;0),(74&gt;'V06 Calend 01'!C94),(74&lt;'V06 Calend 01'!D94),(MOD((74-'V06 Calend 01'!C94),6)=0),(((74-'V06 Calend 01'!C94)/6)&lt;='V06 Calend 01'!E94)),IF((74=('V06 Calend 01'!C94+(6*'V06 Calend 01'!E94))),('V06 Calend 01'!H94-('V06 Calend 01'!I94*('V06 Calend 01'!E94-1))),'V06 Calend 01'!I94),0))+IF((74='V06 Calend 01'!D94),'V06 Calend 01'!J94,0))</f>
        <v>0</v>
      </c>
      <c r="CI94" s="2">
        <f>((IF((75='V06 Calend 01'!C94),('V06 Calend 01'!F94+'V06 Calend 01'!G94),0)+IF(AND(('V06 Calend 01'!E94&gt;0),(75&gt;'V06 Calend 01'!C94),(75&lt;'V06 Calend 01'!D94),(MOD((75-'V06 Calend 01'!C94),6)=0),(((75-'V06 Calend 01'!C94)/6)&lt;='V06 Calend 01'!E94)),IF((75=('V06 Calend 01'!C94+(6*'V06 Calend 01'!E94))),('V06 Calend 01'!H94-('V06 Calend 01'!I94*('V06 Calend 01'!E94-1))),'V06 Calend 01'!I94),0))+IF((75='V06 Calend 01'!D94),'V06 Calend 01'!J94,0))</f>
        <v>0</v>
      </c>
      <c r="CJ94" s="2">
        <f>((IF((76='V06 Calend 01'!C94),('V06 Calend 01'!F94+'V06 Calend 01'!G94),0)+IF(AND(('V06 Calend 01'!E94&gt;0),(76&gt;'V06 Calend 01'!C94),(76&lt;'V06 Calend 01'!D94),(MOD((76-'V06 Calend 01'!C94),6)=0),(((76-'V06 Calend 01'!C94)/6)&lt;='V06 Calend 01'!E94)),IF((76=('V06 Calend 01'!C94+(6*'V06 Calend 01'!E94))),('V06 Calend 01'!H94-('V06 Calend 01'!I94*('V06 Calend 01'!E94-1))),'V06 Calend 01'!I94),0))+IF((76='V06 Calend 01'!D94),'V06 Calend 01'!J94,0))</f>
        <v>0</v>
      </c>
      <c r="CK94" s="2">
        <f>((IF((77='V06 Calend 01'!C94),('V06 Calend 01'!F94+'V06 Calend 01'!G94),0)+IF(AND(('V06 Calend 01'!E94&gt;0),(77&gt;'V06 Calend 01'!C94),(77&lt;'V06 Calend 01'!D94),(MOD((77-'V06 Calend 01'!C94),6)=0),(((77-'V06 Calend 01'!C94)/6)&lt;='V06 Calend 01'!E94)),IF((77=('V06 Calend 01'!C94+(6*'V06 Calend 01'!E94))),('V06 Calend 01'!H94-('V06 Calend 01'!I94*('V06 Calend 01'!E94-1))),'V06 Calend 01'!I94),0))+IF((77='V06 Calend 01'!D94),'V06 Calend 01'!J94,0))</f>
        <v>0</v>
      </c>
      <c r="CL94" s="2">
        <f>((IF((78='V06 Calend 01'!C94),('V06 Calend 01'!F94+'V06 Calend 01'!G94),0)+IF(AND(('V06 Calend 01'!E94&gt;0),(78&gt;'V06 Calend 01'!C94),(78&lt;'V06 Calend 01'!D94),(MOD((78-'V06 Calend 01'!C94),6)=0),(((78-'V06 Calend 01'!C94)/6)&lt;='V06 Calend 01'!E94)),IF((78=('V06 Calend 01'!C94+(6*'V06 Calend 01'!E94))),('V06 Calend 01'!H94-('V06 Calend 01'!I94*('V06 Calend 01'!E94-1))),'V06 Calend 01'!I94),0))+IF((78='V06 Calend 01'!D94),'V06 Calend 01'!J94,0))</f>
        <v>0</v>
      </c>
      <c r="CM94" s="2">
        <f>((IF((79='V06 Calend 01'!C94),('V06 Calend 01'!F94+'V06 Calend 01'!G94),0)+IF(AND(('V06 Calend 01'!E94&gt;0),(79&gt;'V06 Calend 01'!C94),(79&lt;'V06 Calend 01'!D94),(MOD((79-'V06 Calend 01'!C94),6)=0),(((79-'V06 Calend 01'!C94)/6)&lt;='V06 Calend 01'!E94)),IF((79=('V06 Calend 01'!C94+(6*'V06 Calend 01'!E94))),('V06 Calend 01'!H94-('V06 Calend 01'!I94*('V06 Calend 01'!E94-1))),'V06 Calend 01'!I94),0))+IF((79='V06 Calend 01'!D94),'V06 Calend 01'!J94,0))</f>
        <v>0</v>
      </c>
      <c r="CN94" s="2">
        <f>((IF((80='V06 Calend 01'!C94),('V06 Calend 01'!F94+'V06 Calend 01'!G94),0)+IF(AND(('V06 Calend 01'!E94&gt;0),(80&gt;'V06 Calend 01'!C94),(80&lt;'V06 Calend 01'!D94),(MOD((80-'V06 Calend 01'!C94),6)=0),(((80-'V06 Calend 01'!C94)/6)&lt;='V06 Calend 01'!E94)),IF((80=('V06 Calend 01'!C94+(6*'V06 Calend 01'!E94))),('V06 Calend 01'!H94-('V06 Calend 01'!I94*('V06 Calend 01'!E94-1))),'V06 Calend 01'!I94),0))+IF((80='V06 Calend 01'!D94),'V06 Calend 01'!J94,0))</f>
        <v>0</v>
      </c>
      <c r="CO94" s="2">
        <f>((IF((81='V06 Calend 01'!C94),('V06 Calend 01'!F94+'V06 Calend 01'!G94),0)+IF(AND(('V06 Calend 01'!E94&gt;0),(81&gt;'V06 Calend 01'!C94),(81&lt;'V06 Calend 01'!D94),(MOD((81-'V06 Calend 01'!C94),6)=0),(((81-'V06 Calend 01'!C94)/6)&lt;='V06 Calend 01'!E94)),IF((81=('V06 Calend 01'!C94+(6*'V06 Calend 01'!E94))),('V06 Calend 01'!H94-('V06 Calend 01'!I94*('V06 Calend 01'!E94-1))),'V06 Calend 01'!I94),0))+IF((81='V06 Calend 01'!D94),'V06 Calend 01'!J94,0))</f>
        <v>0</v>
      </c>
      <c r="CP94" s="2">
        <f>((IF((82='V06 Calend 01'!C94),('V06 Calend 01'!F94+'V06 Calend 01'!G94),0)+IF(AND(('V06 Calend 01'!E94&gt;0),(82&gt;'V06 Calend 01'!C94),(82&lt;'V06 Calend 01'!D94),(MOD((82-'V06 Calend 01'!C94),6)=0),(((82-'V06 Calend 01'!C94)/6)&lt;='V06 Calend 01'!E94)),IF((82=('V06 Calend 01'!C94+(6*'V06 Calend 01'!E94))),('V06 Calend 01'!H94-('V06 Calend 01'!I94*('V06 Calend 01'!E94-1))),'V06 Calend 01'!I94),0))+IF((82='V06 Calend 01'!D94),'V06 Calend 01'!J94,0))</f>
        <v>0</v>
      </c>
      <c r="CQ94" s="2">
        <f>((IF((83='V06 Calend 01'!C94),('V06 Calend 01'!F94+'V06 Calend 01'!G94),0)+IF(AND(('V06 Calend 01'!E94&gt;0),(83&gt;'V06 Calend 01'!C94),(83&lt;'V06 Calend 01'!D94),(MOD((83-'V06 Calend 01'!C94),6)=0),(((83-'V06 Calend 01'!C94)/6)&lt;='V06 Calend 01'!E94)),IF((83=('V06 Calend 01'!C94+(6*'V06 Calend 01'!E94))),('V06 Calend 01'!H94-('V06 Calend 01'!I94*('V06 Calend 01'!E94-1))),'V06 Calend 01'!I94),0))+IF((83='V06 Calend 01'!D94),'V06 Calend 01'!J94,0))</f>
        <v>0</v>
      </c>
      <c r="CR94" s="2">
        <f>((IF((84='V06 Calend 01'!C94),('V06 Calend 01'!F94+'V06 Calend 01'!G94),0)+IF(AND(('V06 Calend 01'!E94&gt;0),(84&gt;'V06 Calend 01'!C94),(84&lt;'V06 Calend 01'!D94),(MOD((84-'V06 Calend 01'!C94),6)=0),(((84-'V06 Calend 01'!C94)/6)&lt;='V06 Calend 01'!E94)),IF((84=('V06 Calend 01'!C94+(6*'V06 Calend 01'!E94))),('V06 Calend 01'!H94-('V06 Calend 01'!I94*('V06 Calend 01'!E94-1))),'V06 Calend 01'!I94),0))+IF((84='V06 Calend 01'!D94),'V06 Calend 01'!J94,0))</f>
        <v>0</v>
      </c>
      <c r="CS94" s="2">
        <f>((IF((85='V06 Calend 01'!C94),('V06 Calend 01'!F94+'V06 Calend 01'!G94),0)+IF(AND(('V06 Calend 01'!E94&gt;0),(85&gt;'V06 Calend 01'!C94),(85&lt;'V06 Calend 01'!D94),(MOD((85-'V06 Calend 01'!C94),6)=0),(((85-'V06 Calend 01'!C94)/6)&lt;='V06 Calend 01'!E94)),IF((85=('V06 Calend 01'!C94+(6*'V06 Calend 01'!E94))),('V06 Calend 01'!H94-('V06 Calend 01'!I94*('V06 Calend 01'!E94-1))),'V06 Calend 01'!I94),0))+IF((85='V06 Calend 01'!D94),'V06 Calend 01'!J94,0))</f>
        <v>0</v>
      </c>
      <c r="CT94" s="2">
        <f>((IF((86='V06 Calend 01'!C94),('V06 Calend 01'!F94+'V06 Calend 01'!G94),0)+IF(AND(('V06 Calend 01'!E94&gt;0),(86&gt;'V06 Calend 01'!C94),(86&lt;'V06 Calend 01'!D94),(MOD((86-'V06 Calend 01'!C94),6)=0),(((86-'V06 Calend 01'!C94)/6)&lt;='V06 Calend 01'!E94)),IF((86=('V06 Calend 01'!C94+(6*'V06 Calend 01'!E94))),('V06 Calend 01'!H94-('V06 Calend 01'!I94*('V06 Calend 01'!E94-1))),'V06 Calend 01'!I94),0))+IF((86='V06 Calend 01'!D94),'V06 Calend 01'!J94,0))</f>
        <v>0</v>
      </c>
      <c r="CU94" s="2">
        <f>((IF((87='V06 Calend 01'!C94),('V06 Calend 01'!F94+'V06 Calend 01'!G94),0)+IF(AND(('V06 Calend 01'!E94&gt;0),(87&gt;'V06 Calend 01'!C94),(87&lt;'V06 Calend 01'!D94),(MOD((87-'V06 Calend 01'!C94),6)=0),(((87-'V06 Calend 01'!C94)/6)&lt;='V06 Calend 01'!E94)),IF((87=('V06 Calend 01'!C94+(6*'V06 Calend 01'!E94))),('V06 Calend 01'!H94-('V06 Calend 01'!I94*('V06 Calend 01'!E94-1))),'V06 Calend 01'!I94),0))+IF((87='V06 Calend 01'!D94),'V06 Calend 01'!J94,0))</f>
        <v>0</v>
      </c>
      <c r="CV94" s="2">
        <f>((IF((88='V06 Calend 01'!C94),('V06 Calend 01'!F94+'V06 Calend 01'!G94),0)+IF(AND(('V06 Calend 01'!E94&gt;0),(88&gt;'V06 Calend 01'!C94),(88&lt;'V06 Calend 01'!D94),(MOD((88-'V06 Calend 01'!C94),6)=0),(((88-'V06 Calend 01'!C94)/6)&lt;='V06 Calend 01'!E94)),IF((88=('V06 Calend 01'!C94+(6*'V06 Calend 01'!E94))),('V06 Calend 01'!H94-('V06 Calend 01'!I94*('V06 Calend 01'!E94-1))),'V06 Calend 01'!I94),0))+IF((88='V06 Calend 01'!D94),'V06 Calend 01'!J94,0))</f>
        <v>0</v>
      </c>
      <c r="CW94" s="2">
        <f>((IF((89='V06 Calend 01'!C94),('V06 Calend 01'!F94+'V06 Calend 01'!G94),0)+IF(AND(('V06 Calend 01'!E94&gt;0),(89&gt;'V06 Calend 01'!C94),(89&lt;'V06 Calend 01'!D94),(MOD((89-'V06 Calend 01'!C94),6)=0),(((89-'V06 Calend 01'!C94)/6)&lt;='V06 Calend 01'!E94)),IF((89=('V06 Calend 01'!C94+(6*'V06 Calend 01'!E94))),('V06 Calend 01'!H94-('V06 Calend 01'!I94*('V06 Calend 01'!E94-1))),'V06 Calend 01'!I94),0))+IF((89='V06 Calend 01'!D94),'V06 Calend 01'!J94,0))</f>
        <v>0</v>
      </c>
      <c r="CX94" s="2">
        <f>((IF((90='V06 Calend 01'!C94),('V06 Calend 01'!F94+'V06 Calend 01'!G94),0)+IF(AND(('V06 Calend 01'!E94&gt;0),(90&gt;'V06 Calend 01'!C94),(90&lt;'V06 Calend 01'!D94),(MOD((90-'V06 Calend 01'!C94),6)=0),(((90-'V06 Calend 01'!C94)/6)&lt;='V06 Calend 01'!E94)),IF((90=('V06 Calend 01'!C94+(6*'V06 Calend 01'!E94))),('V06 Calend 01'!H94-('V06 Calend 01'!I94*('V06 Calend 01'!E94-1))),'V06 Calend 01'!I94),0))+IF((90='V06 Calend 01'!D94),'V06 Calend 01'!J94,0))</f>
        <v>0</v>
      </c>
      <c r="CY94" s="2">
        <f>((IF((91='V06 Calend 01'!C94),('V06 Calend 01'!F94+'V06 Calend 01'!G94),0)+IF(AND(('V06 Calend 01'!E94&gt;0),(91&gt;'V06 Calend 01'!C94),(91&lt;'V06 Calend 01'!D94),(MOD((91-'V06 Calend 01'!C94),6)=0),(((91-'V06 Calend 01'!C94)/6)&lt;='V06 Calend 01'!E94)),IF((91=('V06 Calend 01'!C94+(6*'V06 Calend 01'!E94))),('V06 Calend 01'!H94-('V06 Calend 01'!I94*('V06 Calend 01'!E94-1))),'V06 Calend 01'!I94),0))+IF((91='V06 Calend 01'!D94),'V06 Calend 01'!J94,0))</f>
        <v>0</v>
      </c>
      <c r="CZ94" s="2">
        <f>((IF((92='V06 Calend 01'!C94),('V06 Calend 01'!F94+'V06 Calend 01'!G94),0)+IF(AND(('V06 Calend 01'!E94&gt;0),(92&gt;'V06 Calend 01'!C94),(92&lt;'V06 Calend 01'!D94),(MOD((92-'V06 Calend 01'!C94),6)=0),(((92-'V06 Calend 01'!C94)/6)&lt;='V06 Calend 01'!E94)),IF((92=('V06 Calend 01'!C94+(6*'V06 Calend 01'!E94))),('V06 Calend 01'!H94-('V06 Calend 01'!I94*('V06 Calend 01'!E94-1))),'V06 Calend 01'!I94),0))+IF((92='V06 Calend 01'!D94),'V06 Calend 01'!J94,0))</f>
        <v>0</v>
      </c>
      <c r="DA94" s="2">
        <f>((IF((93='V06 Calend 01'!C94),('V06 Calend 01'!F94+'V06 Calend 01'!G94),0)+IF(AND(('V06 Calend 01'!E94&gt;0),(93&gt;'V06 Calend 01'!C94),(93&lt;'V06 Calend 01'!D94),(MOD((93-'V06 Calend 01'!C94),6)=0),(((93-'V06 Calend 01'!C94)/6)&lt;='V06 Calend 01'!E94)),IF((93=('V06 Calend 01'!C94+(6*'V06 Calend 01'!E94))),('V06 Calend 01'!H94-('V06 Calend 01'!I94*('V06 Calend 01'!E94-1))),'V06 Calend 01'!I94),0))+IF((93='V06 Calend 01'!D94),'V06 Calend 01'!J94,0))</f>
        <v>0</v>
      </c>
      <c r="DB94" s="2">
        <f>((IF((94='V06 Calend 01'!C94),('V06 Calend 01'!F94+'V06 Calend 01'!G94),0)+IF(AND(('V06 Calend 01'!E94&gt;0),(94&gt;'V06 Calend 01'!C94),(94&lt;'V06 Calend 01'!D94),(MOD((94-'V06 Calend 01'!C94),6)=0),(((94-'V06 Calend 01'!C94)/6)&lt;='V06 Calend 01'!E94)),IF((94=('V06 Calend 01'!C94+(6*'V06 Calend 01'!E94))),('V06 Calend 01'!H94-('V06 Calend 01'!I94*('V06 Calend 01'!E94-1))),'V06 Calend 01'!I94),0))+IF((94='V06 Calend 01'!D94),'V06 Calend 01'!J94,0))</f>
        <v>0</v>
      </c>
      <c r="DC94" s="2">
        <f>((IF((95='V06 Calend 01'!C94),('V06 Calend 01'!F94+'V06 Calend 01'!G94),0)+IF(AND(('V06 Calend 01'!E94&gt;0),(95&gt;'V06 Calend 01'!C94),(95&lt;'V06 Calend 01'!D94),(MOD((95-'V06 Calend 01'!C94),6)=0),(((95-'V06 Calend 01'!C94)/6)&lt;='V06 Calend 01'!E94)),IF((95=('V06 Calend 01'!C94+(6*'V06 Calend 01'!E94))),('V06 Calend 01'!H94-('V06 Calend 01'!I94*('V06 Calend 01'!E94-1))),'V06 Calend 01'!I94),0))+IF((95='V06 Calend 01'!D94),'V06 Calend 01'!J94,0))</f>
        <v>0</v>
      </c>
      <c r="DD94" s="2">
        <f>((IF((96='V06 Calend 01'!C94),('V06 Calend 01'!F94+'V06 Calend 01'!G94),0)+IF(AND(('V06 Calend 01'!E94&gt;0),(96&gt;'V06 Calend 01'!C94),(96&lt;'V06 Calend 01'!D94),(MOD((96-'V06 Calend 01'!C94),6)=0),(((96-'V06 Calend 01'!C94)/6)&lt;='V06 Calend 01'!E94)),IF((96=('V06 Calend 01'!C94+(6*'V06 Calend 01'!E94))),('V06 Calend 01'!H94-('V06 Calend 01'!I94*('V06 Calend 01'!E94-1))),'V06 Calend 01'!I94),0))+IF((96='V06 Calend 01'!D94),'V06 Calend 01'!J94,0))</f>
        <v>0</v>
      </c>
      <c r="DE94" s="2">
        <f>((IF((97='V06 Calend 01'!C94),('V06 Calend 01'!F94+'V06 Calend 01'!G94),0)+IF(AND(('V06 Calend 01'!E94&gt;0),(97&gt;'V06 Calend 01'!C94),(97&lt;'V06 Calend 01'!D94),(MOD((97-'V06 Calend 01'!C94),6)=0),(((97-'V06 Calend 01'!C94)/6)&lt;='V06 Calend 01'!E94)),IF((97=('V06 Calend 01'!C94+(6*'V06 Calend 01'!E94))),('V06 Calend 01'!H94-('V06 Calend 01'!I94*('V06 Calend 01'!E94-1))),'V06 Calend 01'!I94),0))+IF((97='V06 Calend 01'!D94),'V06 Calend 01'!J94,0))</f>
        <v>0</v>
      </c>
      <c r="DF94" s="2">
        <f>((IF((98='V06 Calend 01'!C94),('V06 Calend 01'!F94+'V06 Calend 01'!G94),0)+IF(AND(('V06 Calend 01'!E94&gt;0),(98&gt;'V06 Calend 01'!C94),(98&lt;'V06 Calend 01'!D94),(MOD((98-'V06 Calend 01'!C94),6)=0),(((98-'V06 Calend 01'!C94)/6)&lt;='V06 Calend 01'!E94)),IF((98=('V06 Calend 01'!C94+(6*'V06 Calend 01'!E94))),('V06 Calend 01'!H94-('V06 Calend 01'!I94*('V06 Calend 01'!E94-1))),'V06 Calend 01'!I94),0))+IF((98='V06 Calend 01'!D94),'V06 Calend 01'!J94,0))</f>
        <v>0</v>
      </c>
      <c r="DG94" s="2">
        <f>((IF((99='V06 Calend 01'!C94),('V06 Calend 01'!F94+'V06 Calend 01'!G94),0)+IF(AND(('V06 Calend 01'!E94&gt;0),(99&gt;'V06 Calend 01'!C94),(99&lt;'V06 Calend 01'!D94),(MOD((99-'V06 Calend 01'!C94),6)=0),(((99-'V06 Calend 01'!C94)/6)&lt;='V06 Calend 01'!E94)),IF((99=('V06 Calend 01'!C94+(6*'V06 Calend 01'!E94))),('V06 Calend 01'!H94-('V06 Calend 01'!I94*('V06 Calend 01'!E94-1))),'V06 Calend 01'!I94),0))+IF((99='V06 Calend 01'!D94),'V06 Calend 01'!J94,0))</f>
        <v>0</v>
      </c>
      <c r="DH94" s="2">
        <f>((IF((100='V06 Calend 01'!C94),('V06 Calend 01'!F94+'V06 Calend 01'!G94),0)+IF(AND(('V06 Calend 01'!E94&gt;0),(100&gt;'V06 Calend 01'!C94),(100&lt;'V06 Calend 01'!D94),(MOD((100-'V06 Calend 01'!C94),6)=0),(((100-'V06 Calend 01'!C94)/6)&lt;='V06 Calend 01'!E94)),IF((100=('V06 Calend 01'!C94+(6*'V06 Calend 01'!E94))),('V06 Calend 01'!H94-('V06 Calend 01'!I94*('V06 Calend 01'!E94-1))),'V06 Calend 01'!I94),0))+IF((100='V06 Calend 01'!D94),'V06 Calend 01'!J94,0))</f>
        <v>0</v>
      </c>
      <c r="DI94" s="2">
        <f>((IF((101='V06 Calend 01'!C94),('V06 Calend 01'!F94+'V06 Calend 01'!G94),0)+IF(AND(('V06 Calend 01'!E94&gt;0),(101&gt;'V06 Calend 01'!C94),(101&lt;'V06 Calend 01'!D94),(MOD((101-'V06 Calend 01'!C94),6)=0),(((101-'V06 Calend 01'!C94)/6)&lt;='V06 Calend 01'!E94)),IF((101=('V06 Calend 01'!C94+(6*'V06 Calend 01'!E94))),('V06 Calend 01'!H94-('V06 Calend 01'!I94*('V06 Calend 01'!E94-1))),'V06 Calend 01'!I94),0))+IF((101='V06 Calend 01'!D94),'V06 Calend 01'!J94,0))</f>
        <v>0</v>
      </c>
      <c r="DJ94" s="2">
        <f>((IF((102='V06 Calend 01'!C94),('V06 Calend 01'!F94+'V06 Calend 01'!G94),0)+IF(AND(('V06 Calend 01'!E94&gt;0),(102&gt;'V06 Calend 01'!C94),(102&lt;'V06 Calend 01'!D94),(MOD((102-'V06 Calend 01'!C94),6)=0),(((102-'V06 Calend 01'!C94)/6)&lt;='V06 Calend 01'!E94)),IF((102=('V06 Calend 01'!C94+(6*'V06 Calend 01'!E94))),('V06 Calend 01'!H94-('V06 Calend 01'!I94*('V06 Calend 01'!E94-1))),'V06 Calend 01'!I94),0))+IF((102='V06 Calend 01'!D94),'V06 Calend 01'!J94,0))</f>
        <v>0</v>
      </c>
      <c r="DK94" s="2">
        <f>((IF((103='V06 Calend 01'!C94),('V06 Calend 01'!F94+'V06 Calend 01'!G94),0)+IF(AND(('V06 Calend 01'!E94&gt;0),(103&gt;'V06 Calend 01'!C94),(103&lt;'V06 Calend 01'!D94),(MOD((103-'V06 Calend 01'!C94),6)=0),(((103-'V06 Calend 01'!C94)/6)&lt;='V06 Calend 01'!E94)),IF((103=('V06 Calend 01'!C94+(6*'V06 Calend 01'!E94))),('V06 Calend 01'!H94-('V06 Calend 01'!I94*('V06 Calend 01'!E94-1))),'V06 Calend 01'!I94),0))+IF((103='V06 Calend 01'!D94),'V06 Calend 01'!J94,0))</f>
        <v>0</v>
      </c>
      <c r="DL94" s="2">
        <f>((IF((104='V06 Calend 01'!C94),('V06 Calend 01'!F94+'V06 Calend 01'!G94),0)+IF(AND(('V06 Calend 01'!E94&gt;0),(104&gt;'V06 Calend 01'!C94),(104&lt;'V06 Calend 01'!D94),(MOD((104-'V06 Calend 01'!C94),6)=0),(((104-'V06 Calend 01'!C94)/6)&lt;='V06 Calend 01'!E94)),IF((104=('V06 Calend 01'!C94+(6*'V06 Calend 01'!E94))),('V06 Calend 01'!H94-('V06 Calend 01'!I94*('V06 Calend 01'!E94-1))),'V06 Calend 01'!I94),0))+IF((104='V06 Calend 01'!D94),'V06 Calend 01'!J94,0))</f>
        <v>0</v>
      </c>
      <c r="DM94" s="2">
        <f>((IF((105='V06 Calend 01'!C94),('V06 Calend 01'!F94+'V06 Calend 01'!G94),0)+IF(AND(('V06 Calend 01'!E94&gt;0),(105&gt;'V06 Calend 01'!C94),(105&lt;'V06 Calend 01'!D94),(MOD((105-'V06 Calend 01'!C94),6)=0),(((105-'V06 Calend 01'!C94)/6)&lt;='V06 Calend 01'!E94)),IF((105=('V06 Calend 01'!C94+(6*'V06 Calend 01'!E94))),('V06 Calend 01'!H94-('V06 Calend 01'!I94*('V06 Calend 01'!E94-1))),'V06 Calend 01'!I94),0))+IF((105='V06 Calend 01'!D94),'V06 Calend 01'!J94,0))</f>
        <v>0</v>
      </c>
      <c r="DN94" s="2">
        <f>((IF((106='V06 Calend 01'!C94),('V06 Calend 01'!F94+'V06 Calend 01'!G94),0)+IF(AND(('V06 Calend 01'!E94&gt;0),(106&gt;'V06 Calend 01'!C94),(106&lt;'V06 Calend 01'!D94),(MOD((106-'V06 Calend 01'!C94),6)=0),(((106-'V06 Calend 01'!C94)/6)&lt;='V06 Calend 01'!E94)),IF((106=('V06 Calend 01'!C94+(6*'V06 Calend 01'!E94))),('V06 Calend 01'!H94-('V06 Calend 01'!I94*('V06 Calend 01'!E94-1))),'V06 Calend 01'!I94),0))+IF((106='V06 Calend 01'!D94),'V06 Calend 01'!J94,0))</f>
        <v>0</v>
      </c>
      <c r="DO94" s="2">
        <f>((IF((107='V06 Calend 01'!C94),('V06 Calend 01'!F94+'V06 Calend 01'!G94),0)+IF(AND(('V06 Calend 01'!E94&gt;0),(107&gt;'V06 Calend 01'!C94),(107&lt;'V06 Calend 01'!D94),(MOD((107-'V06 Calend 01'!C94),6)=0),(((107-'V06 Calend 01'!C94)/6)&lt;='V06 Calend 01'!E94)),IF((107=('V06 Calend 01'!C94+(6*'V06 Calend 01'!E94))),('V06 Calend 01'!H94-('V06 Calend 01'!I94*('V06 Calend 01'!E94-1))),'V06 Calend 01'!I94),0))+IF((107='V06 Calend 01'!D94),'V06 Calend 01'!J94,0))</f>
        <v>0</v>
      </c>
      <c r="DP94" s="2">
        <f>((IF((108='V06 Calend 01'!C94),('V06 Calend 01'!F94+'V06 Calend 01'!G94),0)+IF(AND(('V06 Calend 01'!E94&gt;0),(108&gt;'V06 Calend 01'!C94),(108&lt;'V06 Calend 01'!D94),(MOD((108-'V06 Calend 01'!C94),6)=0),(((108-'V06 Calend 01'!C94)/6)&lt;='V06 Calend 01'!E94)),IF((108=('V06 Calend 01'!C94+(6*'V06 Calend 01'!E94))),('V06 Calend 01'!H94-('V06 Calend 01'!I94*('V06 Calend 01'!E94-1))),'V06 Calend 01'!I94),0))+IF((108='V06 Calend 01'!D94),'V06 Calend 01'!J94,0))</f>
        <v>0</v>
      </c>
      <c r="DQ94" s="2">
        <f>((IF((109='V06 Calend 01'!C94),('V06 Calend 01'!F94+'V06 Calend 01'!G94),0)+IF(AND(('V06 Calend 01'!E94&gt;0),(109&gt;'V06 Calend 01'!C94),(109&lt;'V06 Calend 01'!D94),(MOD((109-'V06 Calend 01'!C94),6)=0),(((109-'V06 Calend 01'!C94)/6)&lt;='V06 Calend 01'!E94)),IF((109=('V06 Calend 01'!C94+(6*'V06 Calend 01'!E94))),('V06 Calend 01'!H94-('V06 Calend 01'!I94*('V06 Calend 01'!E94-1))),'V06 Calend 01'!I94),0))+IF((109='V06 Calend 01'!D94),'V06 Calend 01'!J94,0))</f>
        <v>0</v>
      </c>
      <c r="DR94" s="2">
        <f>((IF((110='V06 Calend 01'!C94),('V06 Calend 01'!F94+'V06 Calend 01'!G94),0)+IF(AND(('V06 Calend 01'!E94&gt;0),(110&gt;'V06 Calend 01'!C94),(110&lt;'V06 Calend 01'!D94),(MOD((110-'V06 Calend 01'!C94),6)=0),(((110-'V06 Calend 01'!C94)/6)&lt;='V06 Calend 01'!E94)),IF((110=('V06 Calend 01'!C94+(6*'V06 Calend 01'!E94))),('V06 Calend 01'!H94-('V06 Calend 01'!I94*('V06 Calend 01'!E94-1))),'V06 Calend 01'!I94),0))+IF((110='V06 Calend 01'!D94),'V06 Calend 01'!J94,0))</f>
        <v>0</v>
      </c>
      <c r="DS94" s="2">
        <f>((IF((111='V06 Calend 01'!C94),('V06 Calend 01'!F94+'V06 Calend 01'!G94),0)+IF(AND(('V06 Calend 01'!E94&gt;0),(111&gt;'V06 Calend 01'!C94),(111&lt;'V06 Calend 01'!D94),(MOD((111-'V06 Calend 01'!C94),6)=0),(((111-'V06 Calend 01'!C94)/6)&lt;='V06 Calend 01'!E94)),IF((111=('V06 Calend 01'!C94+(6*'V06 Calend 01'!E94))),('V06 Calend 01'!H94-('V06 Calend 01'!I94*('V06 Calend 01'!E94-1))),'V06 Calend 01'!I94),0))+IF((111='V06 Calend 01'!D94),'V06 Calend 01'!J94,0))</f>
        <v>0</v>
      </c>
      <c r="DT94" s="2">
        <f>((IF((112='V06 Calend 01'!C94),('V06 Calend 01'!F94+'V06 Calend 01'!G94),0)+IF(AND(('V06 Calend 01'!E94&gt;0),(112&gt;'V06 Calend 01'!C94),(112&lt;'V06 Calend 01'!D94),(MOD((112-'V06 Calend 01'!C94),6)=0),(((112-'V06 Calend 01'!C94)/6)&lt;='V06 Calend 01'!E94)),IF((112=('V06 Calend 01'!C94+(6*'V06 Calend 01'!E94))),('V06 Calend 01'!H94-('V06 Calend 01'!I94*('V06 Calend 01'!E94-1))),'V06 Calend 01'!I94),0))+IF((112='V06 Calend 01'!D94),'V06 Calend 01'!J94,0))</f>
        <v>0</v>
      </c>
      <c r="DU94" s="2">
        <f>((IF((113='V06 Calend 01'!C94),('V06 Calend 01'!F94+'V06 Calend 01'!G94),0)+IF(AND(('V06 Calend 01'!E94&gt;0),(113&gt;'V06 Calend 01'!C94),(113&lt;'V06 Calend 01'!D94),(MOD((113-'V06 Calend 01'!C94),6)=0),(((113-'V06 Calend 01'!C94)/6)&lt;='V06 Calend 01'!E94)),IF((113=('V06 Calend 01'!C94+(6*'V06 Calend 01'!E94))),('V06 Calend 01'!H94-('V06 Calend 01'!I94*('V06 Calend 01'!E94-1))),'V06 Calend 01'!I94),0))+IF((113='V06 Calend 01'!D94),'V06 Calend 01'!J94,0))</f>
        <v>0</v>
      </c>
      <c r="DV94" s="2">
        <f>((IF((114='V06 Calend 01'!C94),('V06 Calend 01'!F94+'V06 Calend 01'!G94),0)+IF(AND(('V06 Calend 01'!E94&gt;0),(114&gt;'V06 Calend 01'!C94),(114&lt;'V06 Calend 01'!D94),(MOD((114-'V06 Calend 01'!C94),6)=0),(((114-'V06 Calend 01'!C94)/6)&lt;='V06 Calend 01'!E94)),IF((114=('V06 Calend 01'!C94+(6*'V06 Calend 01'!E94))),('V06 Calend 01'!H94-('V06 Calend 01'!I94*('V06 Calend 01'!E94-1))),'V06 Calend 01'!I94),0))+IF((114='V06 Calend 01'!D94),'V06 Calend 01'!J94,0))</f>
        <v>0</v>
      </c>
      <c r="DW94" s="2">
        <f>((IF((115='V06 Calend 01'!C94),('V06 Calend 01'!F94+'V06 Calend 01'!G94),0)+IF(AND(('V06 Calend 01'!E94&gt;0),(115&gt;'V06 Calend 01'!C94),(115&lt;'V06 Calend 01'!D94),(MOD((115-'V06 Calend 01'!C94),6)=0),(((115-'V06 Calend 01'!C94)/6)&lt;='V06 Calend 01'!E94)),IF((115=('V06 Calend 01'!C94+(6*'V06 Calend 01'!E94))),('V06 Calend 01'!H94-('V06 Calend 01'!I94*('V06 Calend 01'!E94-1))),'V06 Calend 01'!I94),0))+IF((115='V06 Calend 01'!D94),'V06 Calend 01'!J94,0))</f>
        <v>0</v>
      </c>
      <c r="DX94" s="2">
        <f>((IF((116='V06 Calend 01'!C94),('V06 Calend 01'!F94+'V06 Calend 01'!G94),0)+IF(AND(('V06 Calend 01'!E94&gt;0),(116&gt;'V06 Calend 01'!C94),(116&lt;'V06 Calend 01'!D94),(MOD((116-'V06 Calend 01'!C94),6)=0),(((116-'V06 Calend 01'!C94)/6)&lt;='V06 Calend 01'!E94)),IF((116=('V06 Calend 01'!C94+(6*'V06 Calend 01'!E94))),('V06 Calend 01'!H94-('V06 Calend 01'!I94*('V06 Calend 01'!E94-1))),'V06 Calend 01'!I94),0))+IF((116='V06 Calend 01'!D94),'V06 Calend 01'!J94,0))</f>
        <v>0</v>
      </c>
      <c r="DY94" s="2">
        <f>((IF((117='V06 Calend 01'!C94),('V06 Calend 01'!F94+'V06 Calend 01'!G94),0)+IF(AND(('V06 Calend 01'!E94&gt;0),(117&gt;'V06 Calend 01'!C94),(117&lt;'V06 Calend 01'!D94),(MOD((117-'V06 Calend 01'!C94),6)=0),(((117-'V06 Calend 01'!C94)/6)&lt;='V06 Calend 01'!E94)),IF((117=('V06 Calend 01'!C94+(6*'V06 Calend 01'!E94))),('V06 Calend 01'!H94-('V06 Calend 01'!I94*('V06 Calend 01'!E94-1))),'V06 Calend 01'!I94),0))+IF((117='V06 Calend 01'!D94),'V06 Calend 01'!J94,0))</f>
        <v>0</v>
      </c>
      <c r="DZ94" s="2">
        <f>((IF((118='V06 Calend 01'!C94),('V06 Calend 01'!F94+'V06 Calend 01'!G94),0)+IF(AND(('V06 Calend 01'!E94&gt;0),(118&gt;'V06 Calend 01'!C94),(118&lt;'V06 Calend 01'!D94),(MOD((118-'V06 Calend 01'!C94),6)=0),(((118-'V06 Calend 01'!C94)/6)&lt;='V06 Calend 01'!E94)),IF((118=('V06 Calend 01'!C94+(6*'V06 Calend 01'!E94))),('V06 Calend 01'!H94-('V06 Calend 01'!I94*('V06 Calend 01'!E94-1))),'V06 Calend 01'!I94),0))+IF((118='V06 Calend 01'!D94),'V06 Calend 01'!J94,0))</f>
        <v>0</v>
      </c>
      <c r="EA94" s="2">
        <f>((IF((119='V06 Calend 01'!C94),('V06 Calend 01'!F94+'V06 Calend 01'!G94),0)+IF(AND(('V06 Calend 01'!E94&gt;0),(119&gt;'V06 Calend 01'!C94),(119&lt;'V06 Calend 01'!D94),(MOD((119-'V06 Calend 01'!C94),6)=0),(((119-'V06 Calend 01'!C94)/6)&lt;='V06 Calend 01'!E94)),IF((119=('V06 Calend 01'!C94+(6*'V06 Calend 01'!E94))),('V06 Calend 01'!H94-('V06 Calend 01'!I94*('V06 Calend 01'!E94-1))),'V06 Calend 01'!I94),0))+IF((119='V06 Calend 01'!D94),'V06 Calend 01'!J94,0))</f>
        <v>0</v>
      </c>
      <c r="EB94" s="2">
        <f>((IF((120='V06 Calend 01'!C94),('V06 Calend 01'!F94+'V06 Calend 01'!G94),0)+IF(AND(('V06 Calend 01'!E94&gt;0),(120&gt;'V06 Calend 01'!C94),(120&lt;'V06 Calend 01'!D94),(MOD((120-'V06 Calend 01'!C94),6)=0),(((120-'V06 Calend 01'!C94)/6)&lt;='V06 Calend 01'!E94)),IF((120=('V06 Calend 01'!C94+(6*'V06 Calend 01'!E94))),('V06 Calend 01'!H94-('V06 Calend 01'!I94*('V06 Calend 01'!E94-1))),'V06 Calend 01'!I94),0))+IF((120='V06 Calend 01'!D94),'V06 Calend 01'!J94,0))</f>
        <v>0</v>
      </c>
      <c r="EC94" s="2">
        <f>((IF((121='V06 Calend 01'!C94),('V06 Calend 01'!F94+'V06 Calend 01'!G94),0)+IF(AND(('V06 Calend 01'!E94&gt;0),(121&gt;'V06 Calend 01'!C94),(121&lt;'V06 Calend 01'!D94),(MOD((121-'V06 Calend 01'!C94),6)=0),(((121-'V06 Calend 01'!C94)/6)&lt;='V06 Calend 01'!E94)),IF((121=('V06 Calend 01'!C94+(6*'V06 Calend 01'!E94))),('V06 Calend 01'!H94-('V06 Calend 01'!I94*('V06 Calend 01'!E94-1))),'V06 Calend 01'!I94),0))+IF((121='V06 Calend 01'!D94),'V06 Calend 01'!J94,0))</f>
        <v>0</v>
      </c>
      <c r="ED94" s="2">
        <f>((IF((122='V06 Calend 01'!C94),('V06 Calend 01'!F94+'V06 Calend 01'!G94),0)+IF(AND(('V06 Calend 01'!E94&gt;0),(122&gt;'V06 Calend 01'!C94),(122&lt;'V06 Calend 01'!D94),(MOD((122-'V06 Calend 01'!C94),6)=0),(((122-'V06 Calend 01'!C94)/6)&lt;='V06 Calend 01'!E94)),IF((122=('V06 Calend 01'!C94+(6*'V06 Calend 01'!E94))),('V06 Calend 01'!H94-('V06 Calend 01'!I94*('V06 Calend 01'!E94-1))),'V06 Calend 01'!I94),0))+IF((122='V06 Calend 01'!D94),'V06 Calend 01'!J94,0))</f>
        <v>0</v>
      </c>
      <c r="EE94" s="2">
        <f>((IF((123='V06 Calend 01'!C94),('V06 Calend 01'!F94+'V06 Calend 01'!G94),0)+IF(AND(('V06 Calend 01'!E94&gt;0),(123&gt;'V06 Calend 01'!C94),(123&lt;'V06 Calend 01'!D94),(MOD((123-'V06 Calend 01'!C94),6)=0),(((123-'V06 Calend 01'!C94)/6)&lt;='V06 Calend 01'!E94)),IF((123=('V06 Calend 01'!C94+(6*'V06 Calend 01'!E94))),('V06 Calend 01'!H94-('V06 Calend 01'!I94*('V06 Calend 01'!E94-1))),'V06 Calend 01'!I94),0))+IF((123='V06 Calend 01'!D94),'V06 Calend 01'!J94,0))</f>
        <v>0</v>
      </c>
      <c r="EF94" s="2">
        <f>((IF((124='V06 Calend 01'!C94),('V06 Calend 01'!F94+'V06 Calend 01'!G94),0)+IF(AND(('V06 Calend 01'!E94&gt;0),(124&gt;'V06 Calend 01'!C94),(124&lt;'V06 Calend 01'!D94),(MOD((124-'V06 Calend 01'!C94),6)=0),(((124-'V06 Calend 01'!C94)/6)&lt;='V06 Calend 01'!E94)),IF((124=('V06 Calend 01'!C94+(6*'V06 Calend 01'!E94))),('V06 Calend 01'!H94-('V06 Calend 01'!I94*('V06 Calend 01'!E94-1))),'V06 Calend 01'!I94),0))+IF((124='V06 Calend 01'!D94),'V06 Calend 01'!J94,0))</f>
        <v>0</v>
      </c>
      <c r="EG94" s="2">
        <f>((IF((125='V06 Calend 01'!C94),('V06 Calend 01'!F94+'V06 Calend 01'!G94),0)+IF(AND(('V06 Calend 01'!E94&gt;0),(125&gt;'V06 Calend 01'!C94),(125&lt;'V06 Calend 01'!D94),(MOD((125-'V06 Calend 01'!C94),6)=0),(((125-'V06 Calend 01'!C94)/6)&lt;='V06 Calend 01'!E94)),IF((125=('V06 Calend 01'!C94+(6*'V06 Calend 01'!E94))),('V06 Calend 01'!H94-('V06 Calend 01'!I94*('V06 Calend 01'!E94-1))),'V06 Calend 01'!I94),0))+IF((125='V06 Calend 01'!D94),'V06 Calend 01'!J94,0))</f>
        <v>0</v>
      </c>
      <c r="EH94" s="2">
        <f>((IF((126='V06 Calend 01'!C94),('V06 Calend 01'!F94+'V06 Calend 01'!G94),0)+IF(AND(('V06 Calend 01'!E94&gt;0),(126&gt;'V06 Calend 01'!C94),(126&lt;'V06 Calend 01'!D94),(MOD((126-'V06 Calend 01'!C94),6)=0),(((126-'V06 Calend 01'!C94)/6)&lt;='V06 Calend 01'!E94)),IF((126=('V06 Calend 01'!C94+(6*'V06 Calend 01'!E94))),('V06 Calend 01'!H94-('V06 Calend 01'!I94*('V06 Calend 01'!E94-1))),'V06 Calend 01'!I94),0))+IF((126='V06 Calend 01'!D94),'V06 Calend 01'!J94,0))</f>
        <v>0</v>
      </c>
      <c r="EI94" s="2">
        <f>((IF((127='V06 Calend 01'!C94),('V06 Calend 01'!F94+'V06 Calend 01'!G94),0)+IF(AND(('V06 Calend 01'!E94&gt;0),(127&gt;'V06 Calend 01'!C94),(127&lt;'V06 Calend 01'!D94),(MOD((127-'V06 Calend 01'!C94),6)=0),(((127-'V06 Calend 01'!C94)/6)&lt;='V06 Calend 01'!E94)),IF((127=('V06 Calend 01'!C94+(6*'V06 Calend 01'!E94))),('V06 Calend 01'!H94-('V06 Calend 01'!I94*('V06 Calend 01'!E94-1))),'V06 Calend 01'!I94),0))+IF((127='V06 Calend 01'!D94),'V06 Calend 01'!J94,0))</f>
        <v>0</v>
      </c>
      <c r="EJ94" s="2">
        <f>((IF((128='V06 Calend 01'!C94),('V06 Calend 01'!F94+'V06 Calend 01'!G94),0)+IF(AND(('V06 Calend 01'!E94&gt;0),(128&gt;'V06 Calend 01'!C94),(128&lt;'V06 Calend 01'!D94),(MOD((128-'V06 Calend 01'!C94),6)=0),(((128-'V06 Calend 01'!C94)/6)&lt;='V06 Calend 01'!E94)),IF((128=('V06 Calend 01'!C94+(6*'V06 Calend 01'!E94))),('V06 Calend 01'!H94-('V06 Calend 01'!I94*('V06 Calend 01'!E94-1))),'V06 Calend 01'!I94),0))+IF((128='V06 Calend 01'!D94),'V06 Calend 01'!J94,0))</f>
        <v>0</v>
      </c>
      <c r="EK94" s="2">
        <f>((IF((129='V06 Calend 01'!C94),('V06 Calend 01'!F94+'V06 Calend 01'!G94),0)+IF(AND(('V06 Calend 01'!E94&gt;0),(129&gt;'V06 Calend 01'!C94),(129&lt;'V06 Calend 01'!D94),(MOD((129-'V06 Calend 01'!C94),6)=0),(((129-'V06 Calend 01'!C94)/6)&lt;='V06 Calend 01'!E94)),IF((129=('V06 Calend 01'!C94+(6*'V06 Calend 01'!E94))),('V06 Calend 01'!H94-('V06 Calend 01'!I94*('V06 Calend 01'!E94-1))),'V06 Calend 01'!I94),0))+IF((129='V06 Calend 01'!D94),'V06 Calend 01'!J94,0))</f>
        <v>0</v>
      </c>
      <c r="EL94" s="2">
        <f>((IF((130='V06 Calend 01'!C94),('V06 Calend 01'!F94+'V06 Calend 01'!G94),0)+IF(AND(('V06 Calend 01'!E94&gt;0),(130&gt;'V06 Calend 01'!C94),(130&lt;'V06 Calend 01'!D94),(MOD((130-'V06 Calend 01'!C94),6)=0),(((130-'V06 Calend 01'!C94)/6)&lt;='V06 Calend 01'!E94)),IF((130=('V06 Calend 01'!C94+(6*'V06 Calend 01'!E94))),('V06 Calend 01'!H94-('V06 Calend 01'!I94*('V06 Calend 01'!E94-1))),'V06 Calend 01'!I94),0))+IF((130='V06 Calend 01'!D94),'V06 Calend 01'!J94,0))</f>
        <v>0</v>
      </c>
      <c r="EM94" s="2">
        <f>((IF((131='V06 Calend 01'!C94),('V06 Calend 01'!F94+'V06 Calend 01'!G94),0)+IF(AND(('V06 Calend 01'!E94&gt;0),(131&gt;'V06 Calend 01'!C94),(131&lt;'V06 Calend 01'!D94),(MOD((131-'V06 Calend 01'!C94),6)=0),(((131-'V06 Calend 01'!C94)/6)&lt;='V06 Calend 01'!E94)),IF((131=('V06 Calend 01'!C94+(6*'V06 Calend 01'!E94))),('V06 Calend 01'!H94-('V06 Calend 01'!I94*('V06 Calend 01'!E94-1))),'V06 Calend 01'!I94),0))+IF((131='V06 Calend 01'!D94),'V06 Calend 01'!J94,0))</f>
        <v>0</v>
      </c>
      <c r="EN94" s="2">
        <f>((IF((132='V06 Calend 01'!C94),('V06 Calend 01'!F94+'V06 Calend 01'!G94),0)+IF(AND(('V06 Calend 01'!E94&gt;0),(132&gt;'V06 Calend 01'!C94),(132&lt;'V06 Calend 01'!D94),(MOD((132-'V06 Calend 01'!C94),6)=0),(((132-'V06 Calend 01'!C94)/6)&lt;='V06 Calend 01'!E94)),IF((132=('V06 Calend 01'!C94+(6*'V06 Calend 01'!E94))),('V06 Calend 01'!H94-('V06 Calend 01'!I94*('V06 Calend 01'!E94-1))),'V06 Calend 01'!I94),0))+IF((132='V06 Calend 01'!D94),'V06 Calend 01'!J94,0))</f>
        <v>0</v>
      </c>
      <c r="EO94" s="2">
        <f>((IF((133='V06 Calend 01'!C94),('V06 Calend 01'!F94+'V06 Calend 01'!G94),0)+IF(AND(('V06 Calend 01'!E94&gt;0),(133&gt;'V06 Calend 01'!C94),(133&lt;'V06 Calend 01'!D94),(MOD((133-'V06 Calend 01'!C94),6)=0),(((133-'V06 Calend 01'!C94)/6)&lt;='V06 Calend 01'!E94)),IF((133=('V06 Calend 01'!C94+(6*'V06 Calend 01'!E94))),('V06 Calend 01'!H94-('V06 Calend 01'!I94*('V06 Calend 01'!E94-1))),'V06 Calend 01'!I94),0))+IF((133='V06 Calend 01'!D94),'V06 Calend 01'!J94,0))</f>
        <v>0</v>
      </c>
      <c r="EP94" s="2">
        <f>((IF((134='V06 Calend 01'!C94),('V06 Calend 01'!F94+'V06 Calend 01'!G94),0)+IF(AND(('V06 Calend 01'!E94&gt;0),(134&gt;'V06 Calend 01'!C94),(134&lt;'V06 Calend 01'!D94),(MOD((134-'V06 Calend 01'!C94),6)=0),(((134-'V06 Calend 01'!C94)/6)&lt;='V06 Calend 01'!E94)),IF((134=('V06 Calend 01'!C94+(6*'V06 Calend 01'!E94))),('V06 Calend 01'!H94-('V06 Calend 01'!I94*('V06 Calend 01'!E94-1))),'V06 Calend 01'!I94),0))+IF((134='V06 Calend 01'!D94),'V06 Calend 01'!J94,0))</f>
        <v>0</v>
      </c>
      <c r="EQ94" s="2">
        <f>((IF((135='V06 Calend 01'!C94),('V06 Calend 01'!F94+'V06 Calend 01'!G94),0)+IF(AND(('V06 Calend 01'!E94&gt;0),(135&gt;'V06 Calend 01'!C94),(135&lt;'V06 Calend 01'!D94),(MOD((135-'V06 Calend 01'!C94),6)=0),(((135-'V06 Calend 01'!C94)/6)&lt;='V06 Calend 01'!E94)),IF((135=('V06 Calend 01'!C94+(6*'V06 Calend 01'!E94))),('V06 Calend 01'!H94-('V06 Calend 01'!I94*('V06 Calend 01'!E94-1))),'V06 Calend 01'!I94),0))+IF((135='V06 Calend 01'!D94),'V06 Calend 01'!J94,0))</f>
        <v>0</v>
      </c>
      <c r="ER94" s="2">
        <f>((IF((136='V06 Calend 01'!C94),('V06 Calend 01'!F94+'V06 Calend 01'!G94),0)+IF(AND(('V06 Calend 01'!E94&gt;0),(136&gt;'V06 Calend 01'!C94),(136&lt;'V06 Calend 01'!D94),(MOD((136-'V06 Calend 01'!C94),6)=0),(((136-'V06 Calend 01'!C94)/6)&lt;='V06 Calend 01'!E94)),IF((136=('V06 Calend 01'!C94+(6*'V06 Calend 01'!E94))),('V06 Calend 01'!H94-('V06 Calend 01'!I94*('V06 Calend 01'!E94-1))),'V06 Calend 01'!I94),0))+IF((136='V06 Calend 01'!D94),'V06 Calend 01'!J94,0))</f>
        <v>0</v>
      </c>
      <c r="ES94" s="2">
        <f>((IF((137='V06 Calend 01'!C94),('V06 Calend 01'!F94+'V06 Calend 01'!G94),0)+IF(AND(('V06 Calend 01'!E94&gt;0),(137&gt;'V06 Calend 01'!C94),(137&lt;'V06 Calend 01'!D94),(MOD((137-'V06 Calend 01'!C94),6)=0),(((137-'V06 Calend 01'!C94)/6)&lt;='V06 Calend 01'!E94)),IF((137=('V06 Calend 01'!C94+(6*'V06 Calend 01'!E94))),('V06 Calend 01'!H94-('V06 Calend 01'!I94*('V06 Calend 01'!E94-1))),'V06 Calend 01'!I94),0))+IF((137='V06 Calend 01'!D94),'V06 Calend 01'!J94,0))</f>
        <v>0</v>
      </c>
      <c r="ET94" s="2">
        <f>((IF((138='V06 Calend 01'!C94),('V06 Calend 01'!F94+'V06 Calend 01'!G94),0)+IF(AND(('V06 Calend 01'!E94&gt;0),(138&gt;'V06 Calend 01'!C94),(138&lt;'V06 Calend 01'!D94),(MOD((138-'V06 Calend 01'!C94),6)=0),(((138-'V06 Calend 01'!C94)/6)&lt;='V06 Calend 01'!E94)),IF((138=('V06 Calend 01'!C94+(6*'V06 Calend 01'!E94))),('V06 Calend 01'!H94-('V06 Calend 01'!I94*('V06 Calend 01'!E94-1))),'V06 Calend 01'!I94),0))+IF((138='V06 Calend 01'!D94),'V06 Calend 01'!J94,0))</f>
        <v>0</v>
      </c>
      <c r="EU94" s="2">
        <f>((IF((139='V06 Calend 01'!C94),('V06 Calend 01'!F94+'V06 Calend 01'!G94),0)+IF(AND(('V06 Calend 01'!E94&gt;0),(139&gt;'V06 Calend 01'!C94),(139&lt;'V06 Calend 01'!D94),(MOD((139-'V06 Calend 01'!C94),6)=0),(((139-'V06 Calend 01'!C94)/6)&lt;='V06 Calend 01'!E94)),IF((139=('V06 Calend 01'!C94+(6*'V06 Calend 01'!E94))),('V06 Calend 01'!H94-('V06 Calend 01'!I94*('V06 Calend 01'!E94-1))),'V06 Calend 01'!I94),0))+IF((139='V06 Calend 01'!D94),'V06 Calend 01'!J94,0))</f>
        <v>0</v>
      </c>
      <c r="EV94" s="2">
        <f>((IF((140='V06 Calend 01'!C94),('V06 Calend 01'!F94+'V06 Calend 01'!G94),0)+IF(AND(('V06 Calend 01'!E94&gt;0),(140&gt;'V06 Calend 01'!C94),(140&lt;'V06 Calend 01'!D94),(MOD((140-'V06 Calend 01'!C94),6)=0),(((140-'V06 Calend 01'!C94)/6)&lt;='V06 Calend 01'!E94)),IF((140=('V06 Calend 01'!C94+(6*'V06 Calend 01'!E94))),('V06 Calend 01'!H94-('V06 Calend 01'!I94*('V06 Calend 01'!E94-1))),'V06 Calend 01'!I94),0))+IF((140='V06 Calend 01'!D94),'V06 Calend 01'!J94,0))</f>
        <v>0</v>
      </c>
      <c r="EW94" s="2">
        <f>((IF((141='V06 Calend 01'!C94),('V06 Calend 01'!F94+'V06 Calend 01'!G94),0)+IF(AND(('V06 Calend 01'!E94&gt;0),(141&gt;'V06 Calend 01'!C94),(141&lt;'V06 Calend 01'!D94),(MOD((141-'V06 Calend 01'!C94),6)=0),(((141-'V06 Calend 01'!C94)/6)&lt;='V06 Calend 01'!E94)),IF((141=('V06 Calend 01'!C94+(6*'V06 Calend 01'!E94))),('V06 Calend 01'!H94-('V06 Calend 01'!I94*('V06 Calend 01'!E94-1))),'V06 Calend 01'!I94),0))+IF((141='V06 Calend 01'!D94),'V06 Calend 01'!J94,0))</f>
        <v>0</v>
      </c>
      <c r="EX94" s="2">
        <f>((IF((142='V06 Calend 01'!C94),('V06 Calend 01'!F94+'V06 Calend 01'!G94),0)+IF(AND(('V06 Calend 01'!E94&gt;0),(142&gt;'V06 Calend 01'!C94),(142&lt;'V06 Calend 01'!D94),(MOD((142-'V06 Calend 01'!C94),6)=0),(((142-'V06 Calend 01'!C94)/6)&lt;='V06 Calend 01'!E94)),IF((142=('V06 Calend 01'!C94+(6*'V06 Calend 01'!E94))),('V06 Calend 01'!H94-('V06 Calend 01'!I94*('V06 Calend 01'!E94-1))),'V06 Calend 01'!I94),0))+IF((142='V06 Calend 01'!D94),'V06 Calend 01'!J94,0))</f>
        <v>0</v>
      </c>
      <c r="EY94" s="2">
        <f>((IF((143='V06 Calend 01'!C94),('V06 Calend 01'!F94+'V06 Calend 01'!G94),0)+IF(AND(('V06 Calend 01'!E94&gt;0),(143&gt;'V06 Calend 01'!C94),(143&lt;'V06 Calend 01'!D94),(MOD((143-'V06 Calend 01'!C94),6)=0),(((143-'V06 Calend 01'!C94)/6)&lt;='V06 Calend 01'!E94)),IF((143=('V06 Calend 01'!C94+(6*'V06 Calend 01'!E94))),('V06 Calend 01'!H94-('V06 Calend 01'!I94*('V06 Calend 01'!E94-1))),'V06 Calend 01'!I94),0))+IF((143='V06 Calend 01'!D94),'V06 Calend 01'!J94,0))</f>
        <v>0</v>
      </c>
      <c r="EZ94" s="2">
        <f>((IF((144='V06 Calend 01'!C94),('V06 Calend 01'!F94+'V06 Calend 01'!G94),0)+IF(AND(('V06 Calend 01'!E94&gt;0),(144&gt;'V06 Calend 01'!C94),(144&lt;'V06 Calend 01'!D94),(MOD((144-'V06 Calend 01'!C94),6)=0),(((144-'V06 Calend 01'!C94)/6)&lt;='V06 Calend 01'!E94)),IF((144=('V06 Calend 01'!C94+(6*'V06 Calend 01'!E94))),('V06 Calend 01'!H94-('V06 Calend 01'!I94*('V06 Calend 01'!E94-1))),'V06 Calend 01'!I94),0))+IF((144='V06 Calend 01'!D94),'V06 Calend 01'!J94,0))</f>
        <v>0</v>
      </c>
      <c r="FA94" s="2">
        <f>((IF((145='V06 Calend 01'!C94),('V06 Calend 01'!F94+'V06 Calend 01'!G94),0)+IF(AND(('V06 Calend 01'!E94&gt;0),(145&gt;'V06 Calend 01'!C94),(145&lt;'V06 Calend 01'!D94),(MOD((145-'V06 Calend 01'!C94),6)=0),(((145-'V06 Calend 01'!C94)/6)&lt;='V06 Calend 01'!E94)),IF((145=('V06 Calend 01'!C94+(6*'V06 Calend 01'!E94))),('V06 Calend 01'!H94-('V06 Calend 01'!I94*('V06 Calend 01'!E94-1))),'V06 Calend 01'!I94),0))+IF((145='V06 Calend 01'!D94),'V06 Calend 01'!J94,0))</f>
        <v>0</v>
      </c>
      <c r="FB94" s="2">
        <f>((IF((146='V06 Calend 01'!C94),('V06 Calend 01'!F94+'V06 Calend 01'!G94),0)+IF(AND(('V06 Calend 01'!E94&gt;0),(146&gt;'V06 Calend 01'!C94),(146&lt;'V06 Calend 01'!D94),(MOD((146-'V06 Calend 01'!C94),6)=0),(((146-'V06 Calend 01'!C94)/6)&lt;='V06 Calend 01'!E94)),IF((146=('V06 Calend 01'!C94+(6*'V06 Calend 01'!E94))),('V06 Calend 01'!H94-('V06 Calend 01'!I94*('V06 Calend 01'!E94-1))),'V06 Calend 01'!I94),0))+IF((146='V06 Calend 01'!D94),'V06 Calend 01'!J94,0))</f>
        <v>0</v>
      </c>
      <c r="FC94" s="2">
        <f>((IF((147='V06 Calend 01'!C94),('V06 Calend 01'!F94+'V06 Calend 01'!G94),0)+IF(AND(('V06 Calend 01'!E94&gt;0),(147&gt;'V06 Calend 01'!C94),(147&lt;'V06 Calend 01'!D94),(MOD((147-'V06 Calend 01'!C94),6)=0),(((147-'V06 Calend 01'!C94)/6)&lt;='V06 Calend 01'!E94)),IF((147=('V06 Calend 01'!C94+(6*'V06 Calend 01'!E94))),('V06 Calend 01'!H94-('V06 Calend 01'!I94*('V06 Calend 01'!E94-1))),'V06 Calend 01'!I94),0))+IF((147='V06 Calend 01'!D94),'V06 Calend 01'!J94,0))</f>
        <v>0</v>
      </c>
      <c r="FD94" s="2">
        <f>((IF((148='V06 Calend 01'!C94),('V06 Calend 01'!F94+'V06 Calend 01'!G94),0)+IF(AND(('V06 Calend 01'!E94&gt;0),(148&gt;'V06 Calend 01'!C94),(148&lt;'V06 Calend 01'!D94),(MOD((148-'V06 Calend 01'!C94),6)=0),(((148-'V06 Calend 01'!C94)/6)&lt;='V06 Calend 01'!E94)),IF((148=('V06 Calend 01'!C94+(6*'V06 Calend 01'!E94))),('V06 Calend 01'!H94-('V06 Calend 01'!I94*('V06 Calend 01'!E94-1))),'V06 Calend 01'!I94),0))+IF((148='V06 Calend 01'!D94),'V06 Calend 01'!J94,0))</f>
        <v>0</v>
      </c>
      <c r="FE94" s="2">
        <f>((IF((149='V06 Calend 01'!C94),('V06 Calend 01'!F94+'V06 Calend 01'!G94),0)+IF(AND(('V06 Calend 01'!E94&gt;0),(149&gt;'V06 Calend 01'!C94),(149&lt;'V06 Calend 01'!D94),(MOD((149-'V06 Calend 01'!C94),6)=0),(((149-'V06 Calend 01'!C94)/6)&lt;='V06 Calend 01'!E94)),IF((149=('V06 Calend 01'!C94+(6*'V06 Calend 01'!E94))),('V06 Calend 01'!H94-('V06 Calend 01'!I94*('V06 Calend 01'!E94-1))),'V06 Calend 01'!I94),0))+IF((149='V06 Calend 01'!D94),'V06 Calend 01'!J94,0))</f>
        <v>0</v>
      </c>
      <c r="FF94" s="2">
        <f>((IF((150='V06 Calend 01'!C94),('V06 Calend 01'!F94+'V06 Calend 01'!G94),0)+IF(AND(('V06 Calend 01'!E94&gt;0),(150&gt;'V06 Calend 01'!C94),(150&lt;'V06 Calend 01'!D94),(MOD((150-'V06 Calend 01'!C94),6)=0),(((150-'V06 Calend 01'!C94)/6)&lt;='V06 Calend 01'!E94)),IF((150=('V06 Calend 01'!C94+(6*'V06 Calend 01'!E94))),('V06 Calend 01'!H94-('V06 Calend 01'!I94*('V06 Calend 01'!E94-1))),'V06 Calend 01'!I94),0))+IF((150='V06 Calend 01'!D94),'V06 Calend 01'!J94,0))</f>
        <v>0</v>
      </c>
      <c r="FG94" s="2">
        <f>((IF((151='V06 Calend 01'!C94),('V06 Calend 01'!F94+'V06 Calend 01'!G94),0)+IF(AND(('V06 Calend 01'!E94&gt;0),(151&gt;'V06 Calend 01'!C94),(151&lt;'V06 Calend 01'!D94),(MOD((151-'V06 Calend 01'!C94),6)=0),(((151-'V06 Calend 01'!C94)/6)&lt;='V06 Calend 01'!E94)),IF((151=('V06 Calend 01'!C94+(6*'V06 Calend 01'!E94))),('V06 Calend 01'!H94-('V06 Calend 01'!I94*('V06 Calend 01'!E94-1))),'V06 Calend 01'!I94),0))+IF((151='V06 Calend 01'!D94),'V06 Calend 01'!J94,0))</f>
        <v>0</v>
      </c>
      <c r="FH94" s="2">
        <f>((IF((152='V06 Calend 01'!C94),('V06 Calend 01'!F94+'V06 Calend 01'!G94),0)+IF(AND(('V06 Calend 01'!E94&gt;0),(152&gt;'V06 Calend 01'!C94),(152&lt;'V06 Calend 01'!D94),(MOD((152-'V06 Calend 01'!C94),6)=0),(((152-'V06 Calend 01'!C94)/6)&lt;='V06 Calend 01'!E94)),IF((152=('V06 Calend 01'!C94+(6*'V06 Calend 01'!E94))),('V06 Calend 01'!H94-('V06 Calend 01'!I94*('V06 Calend 01'!E94-1))),'V06 Calend 01'!I94),0))+IF((152='V06 Calend 01'!D94),'V06 Calend 01'!J94,0))</f>
        <v>0</v>
      </c>
      <c r="FI94" s="2">
        <f>((IF((153='V06 Calend 01'!C94),('V06 Calend 01'!F94+'V06 Calend 01'!G94),0)+IF(AND(('V06 Calend 01'!E94&gt;0),(153&gt;'V06 Calend 01'!C94),(153&lt;'V06 Calend 01'!D94),(MOD((153-'V06 Calend 01'!C94),6)=0),(((153-'V06 Calend 01'!C94)/6)&lt;='V06 Calend 01'!E94)),IF((153=('V06 Calend 01'!C94+(6*'V06 Calend 01'!E94))),('V06 Calend 01'!H94-('V06 Calend 01'!I94*('V06 Calend 01'!E94-1))),'V06 Calend 01'!I94),0))+IF((153='V06 Calend 01'!D94),'V06 Calend 01'!J94,0))</f>
        <v>0</v>
      </c>
      <c r="FJ94" s="2">
        <f>((IF((154='V06 Calend 01'!C94),('V06 Calend 01'!F94+'V06 Calend 01'!G94),0)+IF(AND(('V06 Calend 01'!E94&gt;0),(154&gt;'V06 Calend 01'!C94),(154&lt;'V06 Calend 01'!D94),(MOD((154-'V06 Calend 01'!C94),6)=0),(((154-'V06 Calend 01'!C94)/6)&lt;='V06 Calend 01'!E94)),IF((154=('V06 Calend 01'!C94+(6*'V06 Calend 01'!E94))),('V06 Calend 01'!H94-('V06 Calend 01'!I94*('V06 Calend 01'!E94-1))),'V06 Calend 01'!I94),0))+IF((154='V06 Calend 01'!D94),'V06 Calend 01'!J94,0))</f>
        <v>0</v>
      </c>
      <c r="FK94" s="2">
        <f>((IF((155='V06 Calend 01'!C94),('V06 Calend 01'!F94+'V06 Calend 01'!G94),0)+IF(AND(('V06 Calend 01'!E94&gt;0),(155&gt;'V06 Calend 01'!C94),(155&lt;'V06 Calend 01'!D94),(MOD((155-'V06 Calend 01'!C94),6)=0),(((155-'V06 Calend 01'!C94)/6)&lt;='V06 Calend 01'!E94)),IF((155=('V06 Calend 01'!C94+(6*'V06 Calend 01'!E94))),('V06 Calend 01'!H94-('V06 Calend 01'!I94*('V06 Calend 01'!E94-1))),'V06 Calend 01'!I94),0))+IF((155='V06 Calend 01'!D94),'V06 Calend 01'!J94,0))</f>
        <v>0</v>
      </c>
      <c r="FL94" s="2">
        <f>((IF((156='V06 Calend 01'!C94),('V06 Calend 01'!F94+'V06 Calend 01'!G94),0)+IF(AND(('V06 Calend 01'!E94&gt;0),(156&gt;'V06 Calend 01'!C94),(156&lt;'V06 Calend 01'!D94),(MOD((156-'V06 Calend 01'!C94),6)=0),(((156-'V06 Calend 01'!C94)/6)&lt;='V06 Calend 01'!E94)),IF((156=('V06 Calend 01'!C94+(6*'V06 Calend 01'!E94))),('V06 Calend 01'!H94-('V06 Calend 01'!I94*('V06 Calend 01'!E94-1))),'V06 Calend 01'!I94),0))+IF((156='V06 Calend 01'!D94),'V06 Calend 01'!J94,0))</f>
        <v>0</v>
      </c>
      <c r="FM94" s="2">
        <f>((IF((157='V06 Calend 01'!C94),('V06 Calend 01'!F94+'V06 Calend 01'!G94),0)+IF(AND(('V06 Calend 01'!E94&gt;0),(157&gt;'V06 Calend 01'!C94),(157&lt;'V06 Calend 01'!D94),(MOD((157-'V06 Calend 01'!C94),6)=0),(((157-'V06 Calend 01'!C94)/6)&lt;='V06 Calend 01'!E94)),IF((157=('V06 Calend 01'!C94+(6*'V06 Calend 01'!E94))),('V06 Calend 01'!H94-('V06 Calend 01'!I94*('V06 Calend 01'!E94-1))),'V06 Calend 01'!I94),0))+IF((157='V06 Calend 01'!D94),'V06 Calend 01'!J94,0))</f>
        <v>0</v>
      </c>
      <c r="FN94" s="2">
        <f>((IF((158='V06 Calend 01'!C94),('V06 Calend 01'!F94+'V06 Calend 01'!G94),0)+IF(AND(('V06 Calend 01'!E94&gt;0),(158&gt;'V06 Calend 01'!C94),(158&lt;'V06 Calend 01'!D94),(MOD((158-'V06 Calend 01'!C94),6)=0),(((158-'V06 Calend 01'!C94)/6)&lt;='V06 Calend 01'!E94)),IF((158=('V06 Calend 01'!C94+(6*'V06 Calend 01'!E94))),('V06 Calend 01'!H94-('V06 Calend 01'!I94*('V06 Calend 01'!E94-1))),'V06 Calend 01'!I94),0))+IF((158='V06 Calend 01'!D94),'V06 Calend 01'!J94,0))</f>
        <v>0</v>
      </c>
      <c r="FO94" s="2">
        <f>((IF((159='V06 Calend 01'!C94),('V06 Calend 01'!F94+'V06 Calend 01'!G94),0)+IF(AND(('V06 Calend 01'!E94&gt;0),(159&gt;'V06 Calend 01'!C94),(159&lt;'V06 Calend 01'!D94),(MOD((159-'V06 Calend 01'!C94),6)=0),(((159-'V06 Calend 01'!C94)/6)&lt;='V06 Calend 01'!E94)),IF((159=('V06 Calend 01'!C94+(6*'V06 Calend 01'!E94))),('V06 Calend 01'!H94-('V06 Calend 01'!I94*('V06 Calend 01'!E94-1))),'V06 Calend 01'!I94),0))+IF((159='V06 Calend 01'!D94),'V06 Calend 01'!J94,0))</f>
        <v>0</v>
      </c>
      <c r="FP94" s="2">
        <f>((IF((160='V06 Calend 01'!C94),('V06 Calend 01'!F94+'V06 Calend 01'!G94),0)+IF(AND(('V06 Calend 01'!E94&gt;0),(160&gt;'V06 Calend 01'!C94),(160&lt;'V06 Calend 01'!D94),(MOD((160-'V06 Calend 01'!C94),6)=0),(((160-'V06 Calend 01'!C94)/6)&lt;='V06 Calend 01'!E94)),IF((160=('V06 Calend 01'!C94+(6*'V06 Calend 01'!E94))),('V06 Calend 01'!H94-('V06 Calend 01'!I94*('V06 Calend 01'!E94-1))),'V06 Calend 01'!I94),0))+IF((160='V06 Calend 01'!D94),'V06 Calend 01'!J94,0))</f>
        <v>0</v>
      </c>
      <c r="FQ94" s="2">
        <f>((IF((161='V06 Calend 01'!C94),('V06 Calend 01'!F94+'V06 Calend 01'!G94),0)+IF(AND(('V06 Calend 01'!E94&gt;0),(161&gt;'V06 Calend 01'!C94),(161&lt;'V06 Calend 01'!D94),(MOD((161-'V06 Calend 01'!C94),6)=0),(((161-'V06 Calend 01'!C94)/6)&lt;='V06 Calend 01'!E94)),IF((161=('V06 Calend 01'!C94+(6*'V06 Calend 01'!E94))),('V06 Calend 01'!H94-('V06 Calend 01'!I94*('V06 Calend 01'!E94-1))),'V06 Calend 01'!I94),0))+IF((161='V06 Calend 01'!D94),'V06 Calend 01'!J94,0))</f>
        <v>0</v>
      </c>
      <c r="FR94" s="2">
        <f>((IF((162='V06 Calend 01'!C94),('V06 Calend 01'!F94+'V06 Calend 01'!G94),0)+IF(AND(('V06 Calend 01'!E94&gt;0),(162&gt;'V06 Calend 01'!C94),(162&lt;'V06 Calend 01'!D94),(MOD((162-'V06 Calend 01'!C94),6)=0),(((162-'V06 Calend 01'!C94)/6)&lt;='V06 Calend 01'!E94)),IF((162=('V06 Calend 01'!C94+(6*'V06 Calend 01'!E94))),('V06 Calend 01'!H94-('V06 Calend 01'!I94*('V06 Calend 01'!E94-1))),'V06 Calend 01'!I94),0))+IF((162='V06 Calend 01'!D94),'V06 Calend 01'!J94,0))</f>
        <v>0</v>
      </c>
      <c r="FS94" s="2">
        <f>((IF((163='V06 Calend 01'!C94),('V06 Calend 01'!F94+'V06 Calend 01'!G94),0)+IF(AND(('V06 Calend 01'!E94&gt;0),(163&gt;'V06 Calend 01'!C94),(163&lt;'V06 Calend 01'!D94),(MOD((163-'V06 Calend 01'!C94),6)=0),(((163-'V06 Calend 01'!C94)/6)&lt;='V06 Calend 01'!E94)),IF((163=('V06 Calend 01'!C94+(6*'V06 Calend 01'!E94))),('V06 Calend 01'!H94-('V06 Calend 01'!I94*('V06 Calend 01'!E94-1))),'V06 Calend 01'!I94),0))+IF((163='V06 Calend 01'!D94),'V06 Calend 01'!J94,0))</f>
        <v>0</v>
      </c>
      <c r="FT94" s="2">
        <f>((IF((164='V06 Calend 01'!C94),('V06 Calend 01'!F94+'V06 Calend 01'!G94),0)+IF(AND(('V06 Calend 01'!E94&gt;0),(164&gt;'V06 Calend 01'!C94),(164&lt;'V06 Calend 01'!D94),(MOD((164-'V06 Calend 01'!C94),6)=0),(((164-'V06 Calend 01'!C94)/6)&lt;='V06 Calend 01'!E94)),IF((164=('V06 Calend 01'!C94+(6*'V06 Calend 01'!E94))),('V06 Calend 01'!H94-('V06 Calend 01'!I94*('V06 Calend 01'!E94-1))),'V06 Calend 01'!I94),0))+IF((164='V06 Calend 01'!D94),'V06 Calend 01'!J94,0))</f>
        <v>0</v>
      </c>
      <c r="FU94" s="2">
        <f>((IF((165='V06 Calend 01'!C94),('V06 Calend 01'!F94+'V06 Calend 01'!G94),0)+IF(AND(('V06 Calend 01'!E94&gt;0),(165&gt;'V06 Calend 01'!C94),(165&lt;'V06 Calend 01'!D94),(MOD((165-'V06 Calend 01'!C94),6)=0),(((165-'V06 Calend 01'!C94)/6)&lt;='V06 Calend 01'!E94)),IF((165=('V06 Calend 01'!C94+(6*'V06 Calend 01'!E94))),('V06 Calend 01'!H94-('V06 Calend 01'!I94*('V06 Calend 01'!E94-1))),'V06 Calend 01'!I94),0))+IF((165='V06 Calend 01'!D94),'V06 Calend 01'!J94,0))</f>
        <v>0</v>
      </c>
      <c r="FV94" s="2">
        <f>((IF((166='V06 Calend 01'!C94),('V06 Calend 01'!F94+'V06 Calend 01'!G94),0)+IF(AND(('V06 Calend 01'!E94&gt;0),(166&gt;'V06 Calend 01'!C94),(166&lt;'V06 Calend 01'!D94),(MOD((166-'V06 Calend 01'!C94),6)=0),(((166-'V06 Calend 01'!C94)/6)&lt;='V06 Calend 01'!E94)),IF((166=('V06 Calend 01'!C94+(6*'V06 Calend 01'!E94))),('V06 Calend 01'!H94-('V06 Calend 01'!I94*('V06 Calend 01'!E94-1))),'V06 Calend 01'!I94),0))+IF((166='V06 Calend 01'!D94),'V06 Calend 01'!J94,0))</f>
        <v>0</v>
      </c>
      <c r="FW94" s="2">
        <f>((IF((167='V06 Calend 01'!C94),('V06 Calend 01'!F94+'V06 Calend 01'!G94),0)+IF(AND(('V06 Calend 01'!E94&gt;0),(167&gt;'V06 Calend 01'!C94),(167&lt;'V06 Calend 01'!D94),(MOD((167-'V06 Calend 01'!C94),6)=0),(((167-'V06 Calend 01'!C94)/6)&lt;='V06 Calend 01'!E94)),IF((167=('V06 Calend 01'!C94+(6*'V06 Calend 01'!E94))),('V06 Calend 01'!H94-('V06 Calend 01'!I94*('V06 Calend 01'!E94-1))),'V06 Calend 01'!I94),0))+IF((167='V06 Calend 01'!D94),'V06 Calend 01'!J94,0))</f>
        <v>0</v>
      </c>
      <c r="FX94" s="2">
        <f>((IF((168='V06 Calend 01'!C94),('V06 Calend 01'!F94+'V06 Calend 01'!G94),0)+IF(AND(('V06 Calend 01'!E94&gt;0),(168&gt;'V06 Calend 01'!C94),(168&lt;'V06 Calend 01'!D94),(MOD((168-'V06 Calend 01'!C94),6)=0),(((168-'V06 Calend 01'!C94)/6)&lt;='V06 Calend 01'!E94)),IF((168=('V06 Calend 01'!C94+(6*'V06 Calend 01'!E94))),('V06 Calend 01'!H94-('V06 Calend 01'!I94*('V06 Calend 01'!E94-1))),'V06 Calend 01'!I94),0))+IF((168='V06 Calend 01'!D94),'V06 Calend 01'!J94,0))</f>
        <v>0</v>
      </c>
      <c r="FY94" s="2">
        <f>((IF((169='V06 Calend 01'!C94),('V06 Calend 01'!F94+'V06 Calend 01'!G94),0)+IF(AND(('V06 Calend 01'!E94&gt;0),(169&gt;'V06 Calend 01'!C94),(169&lt;'V06 Calend 01'!D94),(MOD((169-'V06 Calend 01'!C94),6)=0),(((169-'V06 Calend 01'!C94)/6)&lt;='V06 Calend 01'!E94)),IF((169=('V06 Calend 01'!C94+(6*'V06 Calend 01'!E94))),('V06 Calend 01'!H94-('V06 Calend 01'!I94*('V06 Calend 01'!E94-1))),'V06 Calend 01'!I94),0))+IF((169='V06 Calend 01'!D94),'V06 Calend 01'!J94,0))</f>
        <v>0</v>
      </c>
      <c r="FZ94" s="2">
        <f>((IF((170='V06 Calend 01'!C94),('V06 Calend 01'!F94+'V06 Calend 01'!G94),0)+IF(AND(('V06 Calend 01'!E94&gt;0),(170&gt;'V06 Calend 01'!C94),(170&lt;'V06 Calend 01'!D94),(MOD((170-'V06 Calend 01'!C94),6)=0),(((170-'V06 Calend 01'!C94)/6)&lt;='V06 Calend 01'!E94)),IF((170=('V06 Calend 01'!C94+(6*'V06 Calend 01'!E94))),('V06 Calend 01'!H94-('V06 Calend 01'!I94*('V06 Calend 01'!E94-1))),'V06 Calend 01'!I94),0))+IF((170='V06 Calend 01'!D94),'V06 Calend 01'!J94,0))</f>
        <v>0</v>
      </c>
      <c r="GA94" s="2">
        <f>((IF((171='V06 Calend 01'!C94),('V06 Calend 01'!F94+'V06 Calend 01'!G94),0)+IF(AND(('V06 Calend 01'!E94&gt;0),(171&gt;'V06 Calend 01'!C94),(171&lt;'V06 Calend 01'!D94),(MOD((171-'V06 Calend 01'!C94),6)=0),(((171-'V06 Calend 01'!C94)/6)&lt;='V06 Calend 01'!E94)),IF((171=('V06 Calend 01'!C94+(6*'V06 Calend 01'!E94))),('V06 Calend 01'!H94-('V06 Calend 01'!I94*('V06 Calend 01'!E94-1))),'V06 Calend 01'!I94),0))+IF((171='V06 Calend 01'!D94),'V06 Calend 01'!J94,0))</f>
        <v>0</v>
      </c>
      <c r="GB94" s="2">
        <f>((IF((172='V06 Calend 01'!C94),('V06 Calend 01'!F94+'V06 Calend 01'!G94),0)+IF(AND(('V06 Calend 01'!E94&gt;0),(172&gt;'V06 Calend 01'!C94),(172&lt;'V06 Calend 01'!D94),(MOD((172-'V06 Calend 01'!C94),6)=0),(((172-'V06 Calend 01'!C94)/6)&lt;='V06 Calend 01'!E94)),IF((172=('V06 Calend 01'!C94+(6*'V06 Calend 01'!E94))),('V06 Calend 01'!H94-('V06 Calend 01'!I94*('V06 Calend 01'!E94-1))),'V06 Calend 01'!I94),0))+IF((172='V06 Calend 01'!D94),'V06 Calend 01'!J94,0))</f>
        <v>0</v>
      </c>
      <c r="GC94" s="2">
        <f>((IF((173='V06 Calend 01'!C94),('V06 Calend 01'!F94+'V06 Calend 01'!G94),0)+IF(AND(('V06 Calend 01'!E94&gt;0),(173&gt;'V06 Calend 01'!C94),(173&lt;'V06 Calend 01'!D94),(MOD((173-'V06 Calend 01'!C94),6)=0),(((173-'V06 Calend 01'!C94)/6)&lt;='V06 Calend 01'!E94)),IF((173=('V06 Calend 01'!C94+(6*'V06 Calend 01'!E94))),('V06 Calend 01'!H94-('V06 Calend 01'!I94*('V06 Calend 01'!E94-1))),'V06 Calend 01'!I94),0))+IF((173='V06 Calend 01'!D94),'V06 Calend 01'!J94,0))</f>
        <v>0</v>
      </c>
      <c r="GD94" s="2">
        <f>((IF((174='V06 Calend 01'!C94),('V06 Calend 01'!F94+'V06 Calend 01'!G94),0)+IF(AND(('V06 Calend 01'!E94&gt;0),(174&gt;'V06 Calend 01'!C94),(174&lt;'V06 Calend 01'!D94),(MOD((174-'V06 Calend 01'!C94),6)=0),(((174-'V06 Calend 01'!C94)/6)&lt;='V06 Calend 01'!E94)),IF((174=('V06 Calend 01'!C94+(6*'V06 Calend 01'!E94))),('V06 Calend 01'!H94-('V06 Calend 01'!I94*('V06 Calend 01'!E94-1))),'V06 Calend 01'!I94),0))+IF((174='V06 Calend 01'!D94),'V06 Calend 01'!J94,0))</f>
        <v>0</v>
      </c>
      <c r="GE94" s="2">
        <f>((IF((175='V06 Calend 01'!C94),('V06 Calend 01'!F94+'V06 Calend 01'!G94),0)+IF(AND(('V06 Calend 01'!E94&gt;0),(175&gt;'V06 Calend 01'!C94),(175&lt;'V06 Calend 01'!D94),(MOD((175-'V06 Calend 01'!C94),6)=0),(((175-'V06 Calend 01'!C94)/6)&lt;='V06 Calend 01'!E94)),IF((175=('V06 Calend 01'!C94+(6*'V06 Calend 01'!E94))),('V06 Calend 01'!H94-('V06 Calend 01'!I94*('V06 Calend 01'!E94-1))),'V06 Calend 01'!I94),0))+IF((175='V06 Calend 01'!D94),'V06 Calend 01'!J94,0))</f>
        <v>0</v>
      </c>
      <c r="GF94" s="2">
        <f>((IF((176='V06 Calend 01'!C94),('V06 Calend 01'!F94+'V06 Calend 01'!G94),0)+IF(AND(('V06 Calend 01'!E94&gt;0),(176&gt;'V06 Calend 01'!C94),(176&lt;'V06 Calend 01'!D94),(MOD((176-'V06 Calend 01'!C94),6)=0),(((176-'V06 Calend 01'!C94)/6)&lt;='V06 Calend 01'!E94)),IF((176=('V06 Calend 01'!C94+(6*'V06 Calend 01'!E94))),('V06 Calend 01'!H94-('V06 Calend 01'!I94*('V06 Calend 01'!E94-1))),'V06 Calend 01'!I94),0))+IF((176='V06 Calend 01'!D94),'V06 Calend 01'!J94,0))</f>
        <v>0</v>
      </c>
      <c r="GG94" s="2">
        <f>((IF((177='V06 Calend 01'!C94),('V06 Calend 01'!F94+'V06 Calend 01'!G94),0)+IF(AND(('V06 Calend 01'!E94&gt;0),(177&gt;'V06 Calend 01'!C94),(177&lt;'V06 Calend 01'!D94),(MOD((177-'V06 Calend 01'!C94),6)=0),(((177-'V06 Calend 01'!C94)/6)&lt;='V06 Calend 01'!E94)),IF((177=('V06 Calend 01'!C94+(6*'V06 Calend 01'!E94))),('V06 Calend 01'!H94-('V06 Calend 01'!I94*('V06 Calend 01'!E94-1))),'V06 Calend 01'!I94),0))+IF((177='V06 Calend 01'!D94),'V06 Calend 01'!J94,0))</f>
        <v>0</v>
      </c>
      <c r="GH94" s="2">
        <f>((IF((178='V06 Calend 01'!C94),('V06 Calend 01'!F94+'V06 Calend 01'!G94),0)+IF(AND(('V06 Calend 01'!E94&gt;0),(178&gt;'V06 Calend 01'!C94),(178&lt;'V06 Calend 01'!D94),(MOD((178-'V06 Calend 01'!C94),6)=0),(((178-'V06 Calend 01'!C94)/6)&lt;='V06 Calend 01'!E94)),IF((178=('V06 Calend 01'!C94+(6*'V06 Calend 01'!E94))),('V06 Calend 01'!H94-('V06 Calend 01'!I94*('V06 Calend 01'!E94-1))),'V06 Calend 01'!I94),0))+IF((178='V06 Calend 01'!D94),'V06 Calend 01'!J94,0))</f>
        <v>0</v>
      </c>
      <c r="GI94" s="2">
        <f>((IF((179='V06 Calend 01'!C94),('V06 Calend 01'!F94+'V06 Calend 01'!G94),0)+IF(AND(('V06 Calend 01'!E94&gt;0),(179&gt;'V06 Calend 01'!C94),(179&lt;'V06 Calend 01'!D94),(MOD((179-'V06 Calend 01'!C94),6)=0),(((179-'V06 Calend 01'!C94)/6)&lt;='V06 Calend 01'!E94)),IF((179=('V06 Calend 01'!C94+(6*'V06 Calend 01'!E94))),('V06 Calend 01'!H94-('V06 Calend 01'!I94*('V06 Calend 01'!E94-1))),'V06 Calend 01'!I94),0))+IF((179='V06 Calend 01'!D94),'V06 Calend 01'!J94,0))</f>
        <v>0</v>
      </c>
      <c r="GJ94" s="2">
        <f>((IF((180='V06 Calend 01'!C94),('V06 Calend 01'!F94+'V06 Calend 01'!G94),0)+IF(AND(('V06 Calend 01'!E94&gt;0),(180&gt;'V06 Calend 01'!C94),(180&lt;'V06 Calend 01'!D94),(MOD((180-'V06 Calend 01'!C94),6)=0),(((180-'V06 Calend 01'!C94)/6)&lt;='V06 Calend 01'!E94)),IF((180=('V06 Calend 01'!C94+(6*'V06 Calend 01'!E94))),('V06 Calend 01'!H94-('V06 Calend 01'!I94*('V06 Calend 01'!E94-1))),'V06 Calend 01'!I94),0))+IF((180='V06 Calend 01'!D94),'V06 Calend 01'!J94,0))</f>
        <v>0</v>
      </c>
    </row>
    <row r="95" spans="1:192">
      <c r="A95" s="3" t="str">
        <f>'V06 Unidades'!$A$95</f>
        <v>1101</v>
      </c>
      <c r="B95" s="2">
        <f>'V06 Unidades'!$H$95</f>
        <v>1550000</v>
      </c>
      <c r="C95" s="4">
        <f>('V06 Unidades'!$I$95+'V06 Controlos'!$B$37)</f>
        <v>22</v>
      </c>
      <c r="D95" s="4">
        <f>IF(('V06 Controlos'!$B$38&gt;0),MAX(('V06 Unidades'!$L$95+'V06 Controlos'!$B$37),(30+'V06 Controlos'!$B$38)),('V06 Unidades'!$L$95+'V06 Controlos'!$B$37))</f>
        <v>30</v>
      </c>
      <c r="E95" s="4">
        <f>MAX(0,INT(((('V06 Calend 01'!D95-'V06 Calend 01'!C95)-1)/6)))</f>
        <v>1</v>
      </c>
      <c r="F95" s="2">
        <f>ROUND(('V06 Calend 01'!B95*0.05),2)</f>
        <v>77500.0</v>
      </c>
      <c r="G95" s="2">
        <f>ROUND(('V06 Calend 01'!B95*0.2),2)</f>
        <v>310000.0</v>
      </c>
      <c r="H95" s="2">
        <f>ROUND(('V06 Calend 01'!B95*0.55),2)</f>
        <v>852500.0</v>
      </c>
      <c r="I95" s="2">
        <f>ROUND(('V06 Calend 01'!H95/MAX(1,'V06 Calend 01'!E95)),2)</f>
        <v>852500.0</v>
      </c>
      <c r="J95" s="2">
        <f>((('V06 Calend 01'!B95-'V06 Calend 01'!F95)-'V06 Calend 01'!G95)-'V06 Calend 01'!H95)</f>
        <v>310000.0</v>
      </c>
      <c r="K95" s="2">
        <f>('V06 Calend 01'!B95*0.025)</f>
        <v>38750.0</v>
      </c>
      <c r="L95" t="s">
        <v>378</v>
      </c>
      <c r="M95" s="2">
        <f>((IF((1='V06 Calend 01'!C95),('V06 Calend 01'!F95+'V06 Calend 01'!G95),0)+IF(AND(('V06 Calend 01'!E95&gt;0),(1&gt;'V06 Calend 01'!C95),(1&lt;'V06 Calend 01'!D95),(MOD((1-'V06 Calend 01'!C95),6)=0),(((1-'V06 Calend 01'!C95)/6)&lt;='V06 Calend 01'!E95)),IF((1=('V06 Calend 01'!C95+(6*'V06 Calend 01'!E95))),('V06 Calend 01'!H95-('V06 Calend 01'!I95*('V06 Calend 01'!E95-1))),'V06 Calend 01'!I95),0))+IF((1='V06 Calend 01'!D95),'V06 Calend 01'!J95,0))</f>
        <v>0</v>
      </c>
      <c r="N95" s="2">
        <f>((IF((2='V06 Calend 01'!C95),('V06 Calend 01'!F95+'V06 Calend 01'!G95),0)+IF(AND(('V06 Calend 01'!E95&gt;0),(2&gt;'V06 Calend 01'!C95),(2&lt;'V06 Calend 01'!D95),(MOD((2-'V06 Calend 01'!C95),6)=0),(((2-'V06 Calend 01'!C95)/6)&lt;='V06 Calend 01'!E95)),IF((2=('V06 Calend 01'!C95+(6*'V06 Calend 01'!E95))),('V06 Calend 01'!H95-('V06 Calend 01'!I95*('V06 Calend 01'!E95-1))),'V06 Calend 01'!I95),0))+IF((2='V06 Calend 01'!D95),'V06 Calend 01'!J95,0))</f>
        <v>0</v>
      </c>
      <c r="O95" s="2">
        <f>((IF((3='V06 Calend 01'!C95),('V06 Calend 01'!F95+'V06 Calend 01'!G95),0)+IF(AND(('V06 Calend 01'!E95&gt;0),(3&gt;'V06 Calend 01'!C95),(3&lt;'V06 Calend 01'!D95),(MOD((3-'V06 Calend 01'!C95),6)=0),(((3-'V06 Calend 01'!C95)/6)&lt;='V06 Calend 01'!E95)),IF((3=('V06 Calend 01'!C95+(6*'V06 Calend 01'!E95))),('V06 Calend 01'!H95-('V06 Calend 01'!I95*('V06 Calend 01'!E95-1))),'V06 Calend 01'!I95),0))+IF((3='V06 Calend 01'!D95),'V06 Calend 01'!J95,0))</f>
        <v>0</v>
      </c>
      <c r="P95" s="2">
        <f>((IF((4='V06 Calend 01'!C95),('V06 Calend 01'!F95+'V06 Calend 01'!G95),0)+IF(AND(('V06 Calend 01'!E95&gt;0),(4&gt;'V06 Calend 01'!C95),(4&lt;'V06 Calend 01'!D95),(MOD((4-'V06 Calend 01'!C95),6)=0),(((4-'V06 Calend 01'!C95)/6)&lt;='V06 Calend 01'!E95)),IF((4=('V06 Calend 01'!C95+(6*'V06 Calend 01'!E95))),('V06 Calend 01'!H95-('V06 Calend 01'!I95*('V06 Calend 01'!E95-1))),'V06 Calend 01'!I95),0))+IF((4='V06 Calend 01'!D95),'V06 Calend 01'!J95,0))</f>
        <v>0</v>
      </c>
      <c r="Q95" s="2">
        <f>((IF((5='V06 Calend 01'!C95),('V06 Calend 01'!F95+'V06 Calend 01'!G95),0)+IF(AND(('V06 Calend 01'!E95&gt;0),(5&gt;'V06 Calend 01'!C95),(5&lt;'V06 Calend 01'!D95),(MOD((5-'V06 Calend 01'!C95),6)=0),(((5-'V06 Calend 01'!C95)/6)&lt;='V06 Calend 01'!E95)),IF((5=('V06 Calend 01'!C95+(6*'V06 Calend 01'!E95))),('V06 Calend 01'!H95-('V06 Calend 01'!I95*('V06 Calend 01'!E95-1))),'V06 Calend 01'!I95),0))+IF((5='V06 Calend 01'!D95),'V06 Calend 01'!J95,0))</f>
        <v>0</v>
      </c>
      <c r="R95" s="2">
        <f>((IF((6='V06 Calend 01'!C95),('V06 Calend 01'!F95+'V06 Calend 01'!G95),0)+IF(AND(('V06 Calend 01'!E95&gt;0),(6&gt;'V06 Calend 01'!C95),(6&lt;'V06 Calend 01'!D95),(MOD((6-'V06 Calend 01'!C95),6)=0),(((6-'V06 Calend 01'!C95)/6)&lt;='V06 Calend 01'!E95)),IF((6=('V06 Calend 01'!C95+(6*'V06 Calend 01'!E95))),('V06 Calend 01'!H95-('V06 Calend 01'!I95*('V06 Calend 01'!E95-1))),'V06 Calend 01'!I95),0))+IF((6='V06 Calend 01'!D95),'V06 Calend 01'!J95,0))</f>
        <v>0</v>
      </c>
      <c r="S95" s="2">
        <f>((IF((7='V06 Calend 01'!C95),('V06 Calend 01'!F95+'V06 Calend 01'!G95),0)+IF(AND(('V06 Calend 01'!E95&gt;0),(7&gt;'V06 Calend 01'!C95),(7&lt;'V06 Calend 01'!D95),(MOD((7-'V06 Calend 01'!C95),6)=0),(((7-'V06 Calend 01'!C95)/6)&lt;='V06 Calend 01'!E95)),IF((7=('V06 Calend 01'!C95+(6*'V06 Calend 01'!E95))),('V06 Calend 01'!H95-('V06 Calend 01'!I95*('V06 Calend 01'!E95-1))),'V06 Calend 01'!I95),0))+IF((7='V06 Calend 01'!D95),'V06 Calend 01'!J95,0))</f>
        <v>0</v>
      </c>
      <c r="T95" s="2">
        <f>((IF((8='V06 Calend 01'!C95),('V06 Calend 01'!F95+'V06 Calend 01'!G95),0)+IF(AND(('V06 Calend 01'!E95&gt;0),(8&gt;'V06 Calend 01'!C95),(8&lt;'V06 Calend 01'!D95),(MOD((8-'V06 Calend 01'!C95),6)=0),(((8-'V06 Calend 01'!C95)/6)&lt;='V06 Calend 01'!E95)),IF((8=('V06 Calend 01'!C95+(6*'V06 Calend 01'!E95))),('V06 Calend 01'!H95-('V06 Calend 01'!I95*('V06 Calend 01'!E95-1))),'V06 Calend 01'!I95),0))+IF((8='V06 Calend 01'!D95),'V06 Calend 01'!J95,0))</f>
        <v>0</v>
      </c>
      <c r="U95" s="2">
        <f>((IF((9='V06 Calend 01'!C95),('V06 Calend 01'!F95+'V06 Calend 01'!G95),0)+IF(AND(('V06 Calend 01'!E95&gt;0),(9&gt;'V06 Calend 01'!C95),(9&lt;'V06 Calend 01'!D95),(MOD((9-'V06 Calend 01'!C95),6)=0),(((9-'V06 Calend 01'!C95)/6)&lt;='V06 Calend 01'!E95)),IF((9=('V06 Calend 01'!C95+(6*'V06 Calend 01'!E95))),('V06 Calend 01'!H95-('V06 Calend 01'!I95*('V06 Calend 01'!E95-1))),'V06 Calend 01'!I95),0))+IF((9='V06 Calend 01'!D95),'V06 Calend 01'!J95,0))</f>
        <v>0</v>
      </c>
      <c r="V95" s="2">
        <f>((IF((10='V06 Calend 01'!C95),('V06 Calend 01'!F95+'V06 Calend 01'!G95),0)+IF(AND(('V06 Calend 01'!E95&gt;0),(10&gt;'V06 Calend 01'!C95),(10&lt;'V06 Calend 01'!D95),(MOD((10-'V06 Calend 01'!C95),6)=0),(((10-'V06 Calend 01'!C95)/6)&lt;='V06 Calend 01'!E95)),IF((10=('V06 Calend 01'!C95+(6*'V06 Calend 01'!E95))),('V06 Calend 01'!H95-('V06 Calend 01'!I95*('V06 Calend 01'!E95-1))),'V06 Calend 01'!I95),0))+IF((10='V06 Calend 01'!D95),'V06 Calend 01'!J95,0))</f>
        <v>0</v>
      </c>
      <c r="W95" s="2">
        <f>((IF((11='V06 Calend 01'!C95),('V06 Calend 01'!F95+'V06 Calend 01'!G95),0)+IF(AND(('V06 Calend 01'!E95&gt;0),(11&gt;'V06 Calend 01'!C95),(11&lt;'V06 Calend 01'!D95),(MOD((11-'V06 Calend 01'!C95),6)=0),(((11-'V06 Calend 01'!C95)/6)&lt;='V06 Calend 01'!E95)),IF((11=('V06 Calend 01'!C95+(6*'V06 Calend 01'!E95))),('V06 Calend 01'!H95-('V06 Calend 01'!I95*('V06 Calend 01'!E95-1))),'V06 Calend 01'!I95),0))+IF((11='V06 Calend 01'!D95),'V06 Calend 01'!J95,0))</f>
        <v>0</v>
      </c>
      <c r="X95" s="2">
        <f>((IF((12='V06 Calend 01'!C95),('V06 Calend 01'!F95+'V06 Calend 01'!G95),0)+IF(AND(('V06 Calend 01'!E95&gt;0),(12&gt;'V06 Calend 01'!C95),(12&lt;'V06 Calend 01'!D95),(MOD((12-'V06 Calend 01'!C95),6)=0),(((12-'V06 Calend 01'!C95)/6)&lt;='V06 Calend 01'!E95)),IF((12=('V06 Calend 01'!C95+(6*'V06 Calend 01'!E95))),('V06 Calend 01'!H95-('V06 Calend 01'!I95*('V06 Calend 01'!E95-1))),'V06 Calend 01'!I95),0))+IF((12='V06 Calend 01'!D95),'V06 Calend 01'!J95,0))</f>
        <v>0</v>
      </c>
      <c r="Y95" s="2">
        <f>((IF((13='V06 Calend 01'!C95),('V06 Calend 01'!F95+'V06 Calend 01'!G95),0)+IF(AND(('V06 Calend 01'!E95&gt;0),(13&gt;'V06 Calend 01'!C95),(13&lt;'V06 Calend 01'!D95),(MOD((13-'V06 Calend 01'!C95),6)=0),(((13-'V06 Calend 01'!C95)/6)&lt;='V06 Calend 01'!E95)),IF((13=('V06 Calend 01'!C95+(6*'V06 Calend 01'!E95))),('V06 Calend 01'!H95-('V06 Calend 01'!I95*('V06 Calend 01'!E95-1))),'V06 Calend 01'!I95),0))+IF((13='V06 Calend 01'!D95),'V06 Calend 01'!J95,0))</f>
        <v>0</v>
      </c>
      <c r="Z95" s="2">
        <f>((IF((14='V06 Calend 01'!C95),('V06 Calend 01'!F95+'V06 Calend 01'!G95),0)+IF(AND(('V06 Calend 01'!E95&gt;0),(14&gt;'V06 Calend 01'!C95),(14&lt;'V06 Calend 01'!D95),(MOD((14-'V06 Calend 01'!C95),6)=0),(((14-'V06 Calend 01'!C95)/6)&lt;='V06 Calend 01'!E95)),IF((14=('V06 Calend 01'!C95+(6*'V06 Calend 01'!E95))),('V06 Calend 01'!H95-('V06 Calend 01'!I95*('V06 Calend 01'!E95-1))),'V06 Calend 01'!I95),0))+IF((14='V06 Calend 01'!D95),'V06 Calend 01'!J95,0))</f>
        <v>0</v>
      </c>
      <c r="AA95" s="2">
        <f>((IF((15='V06 Calend 01'!C95),('V06 Calend 01'!F95+'V06 Calend 01'!G95),0)+IF(AND(('V06 Calend 01'!E95&gt;0),(15&gt;'V06 Calend 01'!C95),(15&lt;'V06 Calend 01'!D95),(MOD((15-'V06 Calend 01'!C95),6)=0),(((15-'V06 Calend 01'!C95)/6)&lt;='V06 Calend 01'!E95)),IF((15=('V06 Calend 01'!C95+(6*'V06 Calend 01'!E95))),('V06 Calend 01'!H95-('V06 Calend 01'!I95*('V06 Calend 01'!E95-1))),'V06 Calend 01'!I95),0))+IF((15='V06 Calend 01'!D95),'V06 Calend 01'!J95,0))</f>
        <v>0</v>
      </c>
      <c r="AB95" s="2">
        <f>((IF((16='V06 Calend 01'!C95),('V06 Calend 01'!F95+'V06 Calend 01'!G95),0)+IF(AND(('V06 Calend 01'!E95&gt;0),(16&gt;'V06 Calend 01'!C95),(16&lt;'V06 Calend 01'!D95),(MOD((16-'V06 Calend 01'!C95),6)=0),(((16-'V06 Calend 01'!C95)/6)&lt;='V06 Calend 01'!E95)),IF((16=('V06 Calend 01'!C95+(6*'V06 Calend 01'!E95))),('V06 Calend 01'!H95-('V06 Calend 01'!I95*('V06 Calend 01'!E95-1))),'V06 Calend 01'!I95),0))+IF((16='V06 Calend 01'!D95),'V06 Calend 01'!J95,0))</f>
        <v>0</v>
      </c>
      <c r="AC95" s="2">
        <f>((IF((17='V06 Calend 01'!C95),('V06 Calend 01'!F95+'V06 Calend 01'!G95),0)+IF(AND(('V06 Calend 01'!E95&gt;0),(17&gt;'V06 Calend 01'!C95),(17&lt;'V06 Calend 01'!D95),(MOD((17-'V06 Calend 01'!C95),6)=0),(((17-'V06 Calend 01'!C95)/6)&lt;='V06 Calend 01'!E95)),IF((17=('V06 Calend 01'!C95+(6*'V06 Calend 01'!E95))),('V06 Calend 01'!H95-('V06 Calend 01'!I95*('V06 Calend 01'!E95-1))),'V06 Calend 01'!I95),0))+IF((17='V06 Calend 01'!D95),'V06 Calend 01'!J95,0))</f>
        <v>0</v>
      </c>
      <c r="AD95" s="2">
        <f>((IF((18='V06 Calend 01'!C95),('V06 Calend 01'!F95+'V06 Calend 01'!G95),0)+IF(AND(('V06 Calend 01'!E95&gt;0),(18&gt;'V06 Calend 01'!C95),(18&lt;'V06 Calend 01'!D95),(MOD((18-'V06 Calend 01'!C95),6)=0),(((18-'V06 Calend 01'!C95)/6)&lt;='V06 Calend 01'!E95)),IF((18=('V06 Calend 01'!C95+(6*'V06 Calend 01'!E95))),('V06 Calend 01'!H95-('V06 Calend 01'!I95*('V06 Calend 01'!E95-1))),'V06 Calend 01'!I95),0))+IF((18='V06 Calend 01'!D95),'V06 Calend 01'!J95,0))</f>
        <v>0</v>
      </c>
      <c r="AE95" s="2">
        <f>((IF((19='V06 Calend 01'!C95),('V06 Calend 01'!F95+'V06 Calend 01'!G95),0)+IF(AND(('V06 Calend 01'!E95&gt;0),(19&gt;'V06 Calend 01'!C95),(19&lt;'V06 Calend 01'!D95),(MOD((19-'V06 Calend 01'!C95),6)=0),(((19-'V06 Calend 01'!C95)/6)&lt;='V06 Calend 01'!E95)),IF((19=('V06 Calend 01'!C95+(6*'V06 Calend 01'!E95))),('V06 Calend 01'!H95-('V06 Calend 01'!I95*('V06 Calend 01'!E95-1))),'V06 Calend 01'!I95),0))+IF((19='V06 Calend 01'!D95),'V06 Calend 01'!J95,0))</f>
        <v>0</v>
      </c>
      <c r="AF95" s="2">
        <f>((IF((20='V06 Calend 01'!C95),('V06 Calend 01'!F95+'V06 Calend 01'!G95),0)+IF(AND(('V06 Calend 01'!E95&gt;0),(20&gt;'V06 Calend 01'!C95),(20&lt;'V06 Calend 01'!D95),(MOD((20-'V06 Calend 01'!C95),6)=0),(((20-'V06 Calend 01'!C95)/6)&lt;='V06 Calend 01'!E95)),IF((20=('V06 Calend 01'!C95+(6*'V06 Calend 01'!E95))),('V06 Calend 01'!H95-('V06 Calend 01'!I95*('V06 Calend 01'!E95-1))),'V06 Calend 01'!I95),0))+IF((20='V06 Calend 01'!D95),'V06 Calend 01'!J95,0))</f>
        <v>0</v>
      </c>
      <c r="AG95" s="2">
        <f>((IF((21='V06 Calend 01'!C95),('V06 Calend 01'!F95+'V06 Calend 01'!G95),0)+IF(AND(('V06 Calend 01'!E95&gt;0),(21&gt;'V06 Calend 01'!C95),(21&lt;'V06 Calend 01'!D95),(MOD((21-'V06 Calend 01'!C95),6)=0),(((21-'V06 Calend 01'!C95)/6)&lt;='V06 Calend 01'!E95)),IF((21=('V06 Calend 01'!C95+(6*'V06 Calend 01'!E95))),('V06 Calend 01'!H95-('V06 Calend 01'!I95*('V06 Calend 01'!E95-1))),'V06 Calend 01'!I95),0))+IF((21='V06 Calend 01'!D95),'V06 Calend 01'!J95,0))</f>
        <v>0</v>
      </c>
      <c r="AH95" s="2">
        <f>((IF((22='V06 Calend 01'!C95),('V06 Calend 01'!F95+'V06 Calend 01'!G95),0)+IF(AND(('V06 Calend 01'!E95&gt;0),(22&gt;'V06 Calend 01'!C95),(22&lt;'V06 Calend 01'!D95),(MOD((22-'V06 Calend 01'!C95),6)=0),(((22-'V06 Calend 01'!C95)/6)&lt;='V06 Calend 01'!E95)),IF((22=('V06 Calend 01'!C95+(6*'V06 Calend 01'!E95))),('V06 Calend 01'!H95-('V06 Calend 01'!I95*('V06 Calend 01'!E95-1))),'V06 Calend 01'!I95),0))+IF((22='V06 Calend 01'!D95),'V06 Calend 01'!J95,0))</f>
        <v>387500.0</v>
      </c>
      <c r="AI95" s="2">
        <f>((IF((23='V06 Calend 01'!C95),('V06 Calend 01'!F95+'V06 Calend 01'!G95),0)+IF(AND(('V06 Calend 01'!E95&gt;0),(23&gt;'V06 Calend 01'!C95),(23&lt;'V06 Calend 01'!D95),(MOD((23-'V06 Calend 01'!C95),6)=0),(((23-'V06 Calend 01'!C95)/6)&lt;='V06 Calend 01'!E95)),IF((23=('V06 Calend 01'!C95+(6*'V06 Calend 01'!E95))),('V06 Calend 01'!H95-('V06 Calend 01'!I95*('V06 Calend 01'!E95-1))),'V06 Calend 01'!I95),0))+IF((23='V06 Calend 01'!D95),'V06 Calend 01'!J95,0))</f>
        <v>0</v>
      </c>
      <c r="AJ95" s="2">
        <f>((IF((24='V06 Calend 01'!C95),('V06 Calend 01'!F95+'V06 Calend 01'!G95),0)+IF(AND(('V06 Calend 01'!E95&gt;0),(24&gt;'V06 Calend 01'!C95),(24&lt;'V06 Calend 01'!D95),(MOD((24-'V06 Calend 01'!C95),6)=0),(((24-'V06 Calend 01'!C95)/6)&lt;='V06 Calend 01'!E95)),IF((24=('V06 Calend 01'!C95+(6*'V06 Calend 01'!E95))),('V06 Calend 01'!H95-('V06 Calend 01'!I95*('V06 Calend 01'!E95-1))),'V06 Calend 01'!I95),0))+IF((24='V06 Calend 01'!D95),'V06 Calend 01'!J95,0))</f>
        <v>0</v>
      </c>
      <c r="AK95" s="2">
        <f>((IF((25='V06 Calend 01'!C95),('V06 Calend 01'!F95+'V06 Calend 01'!G95),0)+IF(AND(('V06 Calend 01'!E95&gt;0),(25&gt;'V06 Calend 01'!C95),(25&lt;'V06 Calend 01'!D95),(MOD((25-'V06 Calend 01'!C95),6)=0),(((25-'V06 Calend 01'!C95)/6)&lt;='V06 Calend 01'!E95)),IF((25=('V06 Calend 01'!C95+(6*'V06 Calend 01'!E95))),('V06 Calend 01'!H95-('V06 Calend 01'!I95*('V06 Calend 01'!E95-1))),'V06 Calend 01'!I95),0))+IF((25='V06 Calend 01'!D95),'V06 Calend 01'!J95,0))</f>
        <v>0</v>
      </c>
      <c r="AL95" s="2">
        <f>((IF((26='V06 Calend 01'!C95),('V06 Calend 01'!F95+'V06 Calend 01'!G95),0)+IF(AND(('V06 Calend 01'!E95&gt;0),(26&gt;'V06 Calend 01'!C95),(26&lt;'V06 Calend 01'!D95),(MOD((26-'V06 Calend 01'!C95),6)=0),(((26-'V06 Calend 01'!C95)/6)&lt;='V06 Calend 01'!E95)),IF((26=('V06 Calend 01'!C95+(6*'V06 Calend 01'!E95))),('V06 Calend 01'!H95-('V06 Calend 01'!I95*('V06 Calend 01'!E95-1))),'V06 Calend 01'!I95),0))+IF((26='V06 Calend 01'!D95),'V06 Calend 01'!J95,0))</f>
        <v>0</v>
      </c>
      <c r="AM95" s="2">
        <f>((IF((27='V06 Calend 01'!C95),('V06 Calend 01'!F95+'V06 Calend 01'!G95),0)+IF(AND(('V06 Calend 01'!E95&gt;0),(27&gt;'V06 Calend 01'!C95),(27&lt;'V06 Calend 01'!D95),(MOD((27-'V06 Calend 01'!C95),6)=0),(((27-'V06 Calend 01'!C95)/6)&lt;='V06 Calend 01'!E95)),IF((27=('V06 Calend 01'!C95+(6*'V06 Calend 01'!E95))),('V06 Calend 01'!H95-('V06 Calend 01'!I95*('V06 Calend 01'!E95-1))),'V06 Calend 01'!I95),0))+IF((27='V06 Calend 01'!D95),'V06 Calend 01'!J95,0))</f>
        <v>0</v>
      </c>
      <c r="AN95" s="2">
        <f>((IF((28='V06 Calend 01'!C95),('V06 Calend 01'!F95+'V06 Calend 01'!G95),0)+IF(AND(('V06 Calend 01'!E95&gt;0),(28&gt;'V06 Calend 01'!C95),(28&lt;'V06 Calend 01'!D95),(MOD((28-'V06 Calend 01'!C95),6)=0),(((28-'V06 Calend 01'!C95)/6)&lt;='V06 Calend 01'!E95)),IF((28=('V06 Calend 01'!C95+(6*'V06 Calend 01'!E95))),('V06 Calend 01'!H95-('V06 Calend 01'!I95*('V06 Calend 01'!E95-1))),'V06 Calend 01'!I95),0))+IF((28='V06 Calend 01'!D95),'V06 Calend 01'!J95,0))</f>
        <v>852500.0</v>
      </c>
      <c r="AO95" s="2">
        <f>((IF((29='V06 Calend 01'!C95),('V06 Calend 01'!F95+'V06 Calend 01'!G95),0)+IF(AND(('V06 Calend 01'!E95&gt;0),(29&gt;'V06 Calend 01'!C95),(29&lt;'V06 Calend 01'!D95),(MOD((29-'V06 Calend 01'!C95),6)=0),(((29-'V06 Calend 01'!C95)/6)&lt;='V06 Calend 01'!E95)),IF((29=('V06 Calend 01'!C95+(6*'V06 Calend 01'!E95))),('V06 Calend 01'!H95-('V06 Calend 01'!I95*('V06 Calend 01'!E95-1))),'V06 Calend 01'!I95),0))+IF((29='V06 Calend 01'!D95),'V06 Calend 01'!J95,0))</f>
        <v>0</v>
      </c>
      <c r="AP95" s="2">
        <f>((IF((30='V06 Calend 01'!C95),('V06 Calend 01'!F95+'V06 Calend 01'!G95),0)+IF(AND(('V06 Calend 01'!E95&gt;0),(30&gt;'V06 Calend 01'!C95),(30&lt;'V06 Calend 01'!D95),(MOD((30-'V06 Calend 01'!C95),6)=0),(((30-'V06 Calend 01'!C95)/6)&lt;='V06 Calend 01'!E95)),IF((30=('V06 Calend 01'!C95+(6*'V06 Calend 01'!E95))),('V06 Calend 01'!H95-('V06 Calend 01'!I95*('V06 Calend 01'!E95-1))),'V06 Calend 01'!I95),0))+IF((30='V06 Calend 01'!D95),'V06 Calend 01'!J95,0))</f>
        <v>310000.0</v>
      </c>
      <c r="AQ95" s="2">
        <f>((IF((31='V06 Calend 01'!C95),('V06 Calend 01'!F95+'V06 Calend 01'!G95),0)+IF(AND(('V06 Calend 01'!E95&gt;0),(31&gt;'V06 Calend 01'!C95),(31&lt;'V06 Calend 01'!D95),(MOD((31-'V06 Calend 01'!C95),6)=0),(((31-'V06 Calend 01'!C95)/6)&lt;='V06 Calend 01'!E95)),IF((31=('V06 Calend 01'!C95+(6*'V06 Calend 01'!E95))),('V06 Calend 01'!H95-('V06 Calend 01'!I95*('V06 Calend 01'!E95-1))),'V06 Calend 01'!I95),0))+IF((31='V06 Calend 01'!D95),'V06 Calend 01'!J95,0))</f>
        <v>0</v>
      </c>
      <c r="AR95" s="2">
        <f>((IF((32='V06 Calend 01'!C95),('V06 Calend 01'!F95+'V06 Calend 01'!G95),0)+IF(AND(('V06 Calend 01'!E95&gt;0),(32&gt;'V06 Calend 01'!C95),(32&lt;'V06 Calend 01'!D95),(MOD((32-'V06 Calend 01'!C95),6)=0),(((32-'V06 Calend 01'!C95)/6)&lt;='V06 Calend 01'!E95)),IF((32=('V06 Calend 01'!C95+(6*'V06 Calend 01'!E95))),('V06 Calend 01'!H95-('V06 Calend 01'!I95*('V06 Calend 01'!E95-1))),'V06 Calend 01'!I95),0))+IF((32='V06 Calend 01'!D95),'V06 Calend 01'!J95,0))</f>
        <v>0</v>
      </c>
      <c r="AS95" s="2">
        <f>((IF((33='V06 Calend 01'!C95),('V06 Calend 01'!F95+'V06 Calend 01'!G95),0)+IF(AND(('V06 Calend 01'!E95&gt;0),(33&gt;'V06 Calend 01'!C95),(33&lt;'V06 Calend 01'!D95),(MOD((33-'V06 Calend 01'!C95),6)=0),(((33-'V06 Calend 01'!C95)/6)&lt;='V06 Calend 01'!E95)),IF((33=('V06 Calend 01'!C95+(6*'V06 Calend 01'!E95))),('V06 Calend 01'!H95-('V06 Calend 01'!I95*('V06 Calend 01'!E95-1))),'V06 Calend 01'!I95),0))+IF((33='V06 Calend 01'!D95),'V06 Calend 01'!J95,0))</f>
        <v>0</v>
      </c>
      <c r="AT95" s="2">
        <f>((IF((34='V06 Calend 01'!C95),('V06 Calend 01'!F95+'V06 Calend 01'!G95),0)+IF(AND(('V06 Calend 01'!E95&gt;0),(34&gt;'V06 Calend 01'!C95),(34&lt;'V06 Calend 01'!D95),(MOD((34-'V06 Calend 01'!C95),6)=0),(((34-'V06 Calend 01'!C95)/6)&lt;='V06 Calend 01'!E95)),IF((34=('V06 Calend 01'!C95+(6*'V06 Calend 01'!E95))),('V06 Calend 01'!H95-('V06 Calend 01'!I95*('V06 Calend 01'!E95-1))),'V06 Calend 01'!I95),0))+IF((34='V06 Calend 01'!D95),'V06 Calend 01'!J95,0))</f>
        <v>0</v>
      </c>
      <c r="AU95" s="2">
        <f>((IF((35='V06 Calend 01'!C95),('V06 Calend 01'!F95+'V06 Calend 01'!G95),0)+IF(AND(('V06 Calend 01'!E95&gt;0),(35&gt;'V06 Calend 01'!C95),(35&lt;'V06 Calend 01'!D95),(MOD((35-'V06 Calend 01'!C95),6)=0),(((35-'V06 Calend 01'!C95)/6)&lt;='V06 Calend 01'!E95)),IF((35=('V06 Calend 01'!C95+(6*'V06 Calend 01'!E95))),('V06 Calend 01'!H95-('V06 Calend 01'!I95*('V06 Calend 01'!E95-1))),'V06 Calend 01'!I95),0))+IF((35='V06 Calend 01'!D95),'V06 Calend 01'!J95,0))</f>
        <v>0</v>
      </c>
      <c r="AV95" s="2">
        <f>((IF((36='V06 Calend 01'!C95),('V06 Calend 01'!F95+'V06 Calend 01'!G95),0)+IF(AND(('V06 Calend 01'!E95&gt;0),(36&gt;'V06 Calend 01'!C95),(36&lt;'V06 Calend 01'!D95),(MOD((36-'V06 Calend 01'!C95),6)=0),(((36-'V06 Calend 01'!C95)/6)&lt;='V06 Calend 01'!E95)),IF((36=('V06 Calend 01'!C95+(6*'V06 Calend 01'!E95))),('V06 Calend 01'!H95-('V06 Calend 01'!I95*('V06 Calend 01'!E95-1))),'V06 Calend 01'!I95),0))+IF((36='V06 Calend 01'!D95),'V06 Calend 01'!J95,0))</f>
        <v>0</v>
      </c>
      <c r="AW95" s="2">
        <f>((IF((37='V06 Calend 01'!C95),('V06 Calend 01'!F95+'V06 Calend 01'!G95),0)+IF(AND(('V06 Calend 01'!E95&gt;0),(37&gt;'V06 Calend 01'!C95),(37&lt;'V06 Calend 01'!D95),(MOD((37-'V06 Calend 01'!C95),6)=0),(((37-'V06 Calend 01'!C95)/6)&lt;='V06 Calend 01'!E95)),IF((37=('V06 Calend 01'!C95+(6*'V06 Calend 01'!E95))),('V06 Calend 01'!H95-('V06 Calend 01'!I95*('V06 Calend 01'!E95-1))),'V06 Calend 01'!I95),0))+IF((37='V06 Calend 01'!D95),'V06 Calend 01'!J95,0))</f>
        <v>0</v>
      </c>
      <c r="AX95" s="2">
        <f>((IF((38='V06 Calend 01'!C95),('V06 Calend 01'!F95+'V06 Calend 01'!G95),0)+IF(AND(('V06 Calend 01'!E95&gt;0),(38&gt;'V06 Calend 01'!C95),(38&lt;'V06 Calend 01'!D95),(MOD((38-'V06 Calend 01'!C95),6)=0),(((38-'V06 Calend 01'!C95)/6)&lt;='V06 Calend 01'!E95)),IF((38=('V06 Calend 01'!C95+(6*'V06 Calend 01'!E95))),('V06 Calend 01'!H95-('V06 Calend 01'!I95*('V06 Calend 01'!E95-1))),'V06 Calend 01'!I95),0))+IF((38='V06 Calend 01'!D95),'V06 Calend 01'!J95,0))</f>
        <v>0</v>
      </c>
      <c r="AY95" s="2">
        <f>((IF((39='V06 Calend 01'!C95),('V06 Calend 01'!F95+'V06 Calend 01'!G95),0)+IF(AND(('V06 Calend 01'!E95&gt;0),(39&gt;'V06 Calend 01'!C95),(39&lt;'V06 Calend 01'!D95),(MOD((39-'V06 Calend 01'!C95),6)=0),(((39-'V06 Calend 01'!C95)/6)&lt;='V06 Calend 01'!E95)),IF((39=('V06 Calend 01'!C95+(6*'V06 Calend 01'!E95))),('V06 Calend 01'!H95-('V06 Calend 01'!I95*('V06 Calend 01'!E95-1))),'V06 Calend 01'!I95),0))+IF((39='V06 Calend 01'!D95),'V06 Calend 01'!J95,0))</f>
        <v>0</v>
      </c>
      <c r="AZ95" s="2">
        <f>((IF((40='V06 Calend 01'!C95),('V06 Calend 01'!F95+'V06 Calend 01'!G95),0)+IF(AND(('V06 Calend 01'!E95&gt;0),(40&gt;'V06 Calend 01'!C95),(40&lt;'V06 Calend 01'!D95),(MOD((40-'V06 Calend 01'!C95),6)=0),(((40-'V06 Calend 01'!C95)/6)&lt;='V06 Calend 01'!E95)),IF((40=('V06 Calend 01'!C95+(6*'V06 Calend 01'!E95))),('V06 Calend 01'!H95-('V06 Calend 01'!I95*('V06 Calend 01'!E95-1))),'V06 Calend 01'!I95),0))+IF((40='V06 Calend 01'!D95),'V06 Calend 01'!J95,0))</f>
        <v>0</v>
      </c>
      <c r="BA95" s="2">
        <f>((IF((41='V06 Calend 01'!C95),('V06 Calend 01'!F95+'V06 Calend 01'!G95),0)+IF(AND(('V06 Calend 01'!E95&gt;0),(41&gt;'V06 Calend 01'!C95),(41&lt;'V06 Calend 01'!D95),(MOD((41-'V06 Calend 01'!C95),6)=0),(((41-'V06 Calend 01'!C95)/6)&lt;='V06 Calend 01'!E95)),IF((41=('V06 Calend 01'!C95+(6*'V06 Calend 01'!E95))),('V06 Calend 01'!H95-('V06 Calend 01'!I95*('V06 Calend 01'!E95-1))),'V06 Calend 01'!I95),0))+IF((41='V06 Calend 01'!D95),'V06 Calend 01'!J95,0))</f>
        <v>0</v>
      </c>
      <c r="BB95" s="2">
        <f>((IF((42='V06 Calend 01'!C95),('V06 Calend 01'!F95+'V06 Calend 01'!G95),0)+IF(AND(('V06 Calend 01'!E95&gt;0),(42&gt;'V06 Calend 01'!C95),(42&lt;'V06 Calend 01'!D95),(MOD((42-'V06 Calend 01'!C95),6)=0),(((42-'V06 Calend 01'!C95)/6)&lt;='V06 Calend 01'!E95)),IF((42=('V06 Calend 01'!C95+(6*'V06 Calend 01'!E95))),('V06 Calend 01'!H95-('V06 Calend 01'!I95*('V06 Calend 01'!E95-1))),'V06 Calend 01'!I95),0))+IF((42='V06 Calend 01'!D95),'V06 Calend 01'!J95,0))</f>
        <v>0</v>
      </c>
      <c r="BC95" s="2">
        <f>((IF((43='V06 Calend 01'!C95),('V06 Calend 01'!F95+'V06 Calend 01'!G95),0)+IF(AND(('V06 Calend 01'!E95&gt;0),(43&gt;'V06 Calend 01'!C95),(43&lt;'V06 Calend 01'!D95),(MOD((43-'V06 Calend 01'!C95),6)=0),(((43-'V06 Calend 01'!C95)/6)&lt;='V06 Calend 01'!E95)),IF((43=('V06 Calend 01'!C95+(6*'V06 Calend 01'!E95))),('V06 Calend 01'!H95-('V06 Calend 01'!I95*('V06 Calend 01'!E95-1))),'V06 Calend 01'!I95),0))+IF((43='V06 Calend 01'!D95),'V06 Calend 01'!J95,0))</f>
        <v>0</v>
      </c>
      <c r="BD95" s="2">
        <f>((IF((44='V06 Calend 01'!C95),('V06 Calend 01'!F95+'V06 Calend 01'!G95),0)+IF(AND(('V06 Calend 01'!E95&gt;0),(44&gt;'V06 Calend 01'!C95),(44&lt;'V06 Calend 01'!D95),(MOD((44-'V06 Calend 01'!C95),6)=0),(((44-'V06 Calend 01'!C95)/6)&lt;='V06 Calend 01'!E95)),IF((44=('V06 Calend 01'!C95+(6*'V06 Calend 01'!E95))),('V06 Calend 01'!H95-('V06 Calend 01'!I95*('V06 Calend 01'!E95-1))),'V06 Calend 01'!I95),0))+IF((44='V06 Calend 01'!D95),'V06 Calend 01'!J95,0))</f>
        <v>0</v>
      </c>
      <c r="BE95" s="2">
        <f>((IF((45='V06 Calend 01'!C95),('V06 Calend 01'!F95+'V06 Calend 01'!G95),0)+IF(AND(('V06 Calend 01'!E95&gt;0),(45&gt;'V06 Calend 01'!C95),(45&lt;'V06 Calend 01'!D95),(MOD((45-'V06 Calend 01'!C95),6)=0),(((45-'V06 Calend 01'!C95)/6)&lt;='V06 Calend 01'!E95)),IF((45=('V06 Calend 01'!C95+(6*'V06 Calend 01'!E95))),('V06 Calend 01'!H95-('V06 Calend 01'!I95*('V06 Calend 01'!E95-1))),'V06 Calend 01'!I95),0))+IF((45='V06 Calend 01'!D95),'V06 Calend 01'!J95,0))</f>
        <v>0</v>
      </c>
      <c r="BF95" s="2">
        <f>((IF((46='V06 Calend 01'!C95),('V06 Calend 01'!F95+'V06 Calend 01'!G95),0)+IF(AND(('V06 Calend 01'!E95&gt;0),(46&gt;'V06 Calend 01'!C95),(46&lt;'V06 Calend 01'!D95),(MOD((46-'V06 Calend 01'!C95),6)=0),(((46-'V06 Calend 01'!C95)/6)&lt;='V06 Calend 01'!E95)),IF((46=('V06 Calend 01'!C95+(6*'V06 Calend 01'!E95))),('V06 Calend 01'!H95-('V06 Calend 01'!I95*('V06 Calend 01'!E95-1))),'V06 Calend 01'!I95),0))+IF((46='V06 Calend 01'!D95),'V06 Calend 01'!J95,0))</f>
        <v>0</v>
      </c>
      <c r="BG95" s="2">
        <f>((IF((47='V06 Calend 01'!C95),('V06 Calend 01'!F95+'V06 Calend 01'!G95),0)+IF(AND(('V06 Calend 01'!E95&gt;0),(47&gt;'V06 Calend 01'!C95),(47&lt;'V06 Calend 01'!D95),(MOD((47-'V06 Calend 01'!C95),6)=0),(((47-'V06 Calend 01'!C95)/6)&lt;='V06 Calend 01'!E95)),IF((47=('V06 Calend 01'!C95+(6*'V06 Calend 01'!E95))),('V06 Calend 01'!H95-('V06 Calend 01'!I95*('V06 Calend 01'!E95-1))),'V06 Calend 01'!I95),0))+IF((47='V06 Calend 01'!D95),'V06 Calend 01'!J95,0))</f>
        <v>0</v>
      </c>
      <c r="BH95" s="2">
        <f>((IF((48='V06 Calend 01'!C95),('V06 Calend 01'!F95+'V06 Calend 01'!G95),0)+IF(AND(('V06 Calend 01'!E95&gt;0),(48&gt;'V06 Calend 01'!C95),(48&lt;'V06 Calend 01'!D95),(MOD((48-'V06 Calend 01'!C95),6)=0),(((48-'V06 Calend 01'!C95)/6)&lt;='V06 Calend 01'!E95)),IF((48=('V06 Calend 01'!C95+(6*'V06 Calend 01'!E95))),('V06 Calend 01'!H95-('V06 Calend 01'!I95*('V06 Calend 01'!E95-1))),'V06 Calend 01'!I95),0))+IF((48='V06 Calend 01'!D95),'V06 Calend 01'!J95,0))</f>
        <v>0</v>
      </c>
      <c r="BI95" s="2">
        <f>((IF((49='V06 Calend 01'!C95),('V06 Calend 01'!F95+'V06 Calend 01'!G95),0)+IF(AND(('V06 Calend 01'!E95&gt;0),(49&gt;'V06 Calend 01'!C95),(49&lt;'V06 Calend 01'!D95),(MOD((49-'V06 Calend 01'!C95),6)=0),(((49-'V06 Calend 01'!C95)/6)&lt;='V06 Calend 01'!E95)),IF((49=('V06 Calend 01'!C95+(6*'V06 Calend 01'!E95))),('V06 Calend 01'!H95-('V06 Calend 01'!I95*('V06 Calend 01'!E95-1))),'V06 Calend 01'!I95),0))+IF((49='V06 Calend 01'!D95),'V06 Calend 01'!J95,0))</f>
        <v>0</v>
      </c>
      <c r="BJ95" s="2">
        <f>((IF((50='V06 Calend 01'!C95),('V06 Calend 01'!F95+'V06 Calend 01'!G95),0)+IF(AND(('V06 Calend 01'!E95&gt;0),(50&gt;'V06 Calend 01'!C95),(50&lt;'V06 Calend 01'!D95),(MOD((50-'V06 Calend 01'!C95),6)=0),(((50-'V06 Calend 01'!C95)/6)&lt;='V06 Calend 01'!E95)),IF((50=('V06 Calend 01'!C95+(6*'V06 Calend 01'!E95))),('V06 Calend 01'!H95-('V06 Calend 01'!I95*('V06 Calend 01'!E95-1))),'V06 Calend 01'!I95),0))+IF((50='V06 Calend 01'!D95),'V06 Calend 01'!J95,0))</f>
        <v>0</v>
      </c>
      <c r="BK95" s="2">
        <f>((IF((51='V06 Calend 01'!C95),('V06 Calend 01'!F95+'V06 Calend 01'!G95),0)+IF(AND(('V06 Calend 01'!E95&gt;0),(51&gt;'V06 Calend 01'!C95),(51&lt;'V06 Calend 01'!D95),(MOD((51-'V06 Calend 01'!C95),6)=0),(((51-'V06 Calend 01'!C95)/6)&lt;='V06 Calend 01'!E95)),IF((51=('V06 Calend 01'!C95+(6*'V06 Calend 01'!E95))),('V06 Calend 01'!H95-('V06 Calend 01'!I95*('V06 Calend 01'!E95-1))),'V06 Calend 01'!I95),0))+IF((51='V06 Calend 01'!D95),'V06 Calend 01'!J95,0))</f>
        <v>0</v>
      </c>
      <c r="BL95" s="2">
        <f>((IF((52='V06 Calend 01'!C95),('V06 Calend 01'!F95+'V06 Calend 01'!G95),0)+IF(AND(('V06 Calend 01'!E95&gt;0),(52&gt;'V06 Calend 01'!C95),(52&lt;'V06 Calend 01'!D95),(MOD((52-'V06 Calend 01'!C95),6)=0),(((52-'V06 Calend 01'!C95)/6)&lt;='V06 Calend 01'!E95)),IF((52=('V06 Calend 01'!C95+(6*'V06 Calend 01'!E95))),('V06 Calend 01'!H95-('V06 Calend 01'!I95*('V06 Calend 01'!E95-1))),'V06 Calend 01'!I95),0))+IF((52='V06 Calend 01'!D95),'V06 Calend 01'!J95,0))</f>
        <v>0</v>
      </c>
      <c r="BM95" s="2">
        <f>((IF((53='V06 Calend 01'!C95),('V06 Calend 01'!F95+'V06 Calend 01'!G95),0)+IF(AND(('V06 Calend 01'!E95&gt;0),(53&gt;'V06 Calend 01'!C95),(53&lt;'V06 Calend 01'!D95),(MOD((53-'V06 Calend 01'!C95),6)=0),(((53-'V06 Calend 01'!C95)/6)&lt;='V06 Calend 01'!E95)),IF((53=('V06 Calend 01'!C95+(6*'V06 Calend 01'!E95))),('V06 Calend 01'!H95-('V06 Calend 01'!I95*('V06 Calend 01'!E95-1))),'V06 Calend 01'!I95),0))+IF((53='V06 Calend 01'!D95),'V06 Calend 01'!J95,0))</f>
        <v>0</v>
      </c>
      <c r="BN95" s="2">
        <f>((IF((54='V06 Calend 01'!C95),('V06 Calend 01'!F95+'V06 Calend 01'!G95),0)+IF(AND(('V06 Calend 01'!E95&gt;0),(54&gt;'V06 Calend 01'!C95),(54&lt;'V06 Calend 01'!D95),(MOD((54-'V06 Calend 01'!C95),6)=0),(((54-'V06 Calend 01'!C95)/6)&lt;='V06 Calend 01'!E95)),IF((54=('V06 Calend 01'!C95+(6*'V06 Calend 01'!E95))),('V06 Calend 01'!H95-('V06 Calend 01'!I95*('V06 Calend 01'!E95-1))),'V06 Calend 01'!I95),0))+IF((54='V06 Calend 01'!D95),'V06 Calend 01'!J95,0))</f>
        <v>0</v>
      </c>
      <c r="BO95" s="2">
        <f>((IF((55='V06 Calend 01'!C95),('V06 Calend 01'!F95+'V06 Calend 01'!G95),0)+IF(AND(('V06 Calend 01'!E95&gt;0),(55&gt;'V06 Calend 01'!C95),(55&lt;'V06 Calend 01'!D95),(MOD((55-'V06 Calend 01'!C95),6)=0),(((55-'V06 Calend 01'!C95)/6)&lt;='V06 Calend 01'!E95)),IF((55=('V06 Calend 01'!C95+(6*'V06 Calend 01'!E95))),('V06 Calend 01'!H95-('V06 Calend 01'!I95*('V06 Calend 01'!E95-1))),'V06 Calend 01'!I95),0))+IF((55='V06 Calend 01'!D95),'V06 Calend 01'!J95,0))</f>
        <v>0</v>
      </c>
      <c r="BP95" s="2">
        <f>((IF((56='V06 Calend 01'!C95),('V06 Calend 01'!F95+'V06 Calend 01'!G95),0)+IF(AND(('V06 Calend 01'!E95&gt;0),(56&gt;'V06 Calend 01'!C95),(56&lt;'V06 Calend 01'!D95),(MOD((56-'V06 Calend 01'!C95),6)=0),(((56-'V06 Calend 01'!C95)/6)&lt;='V06 Calend 01'!E95)),IF((56=('V06 Calend 01'!C95+(6*'V06 Calend 01'!E95))),('V06 Calend 01'!H95-('V06 Calend 01'!I95*('V06 Calend 01'!E95-1))),'V06 Calend 01'!I95),0))+IF((56='V06 Calend 01'!D95),'V06 Calend 01'!J95,0))</f>
        <v>0</v>
      </c>
      <c r="BQ95" s="2">
        <f>((IF((57='V06 Calend 01'!C95),('V06 Calend 01'!F95+'V06 Calend 01'!G95),0)+IF(AND(('V06 Calend 01'!E95&gt;0),(57&gt;'V06 Calend 01'!C95),(57&lt;'V06 Calend 01'!D95),(MOD((57-'V06 Calend 01'!C95),6)=0),(((57-'V06 Calend 01'!C95)/6)&lt;='V06 Calend 01'!E95)),IF((57=('V06 Calend 01'!C95+(6*'V06 Calend 01'!E95))),('V06 Calend 01'!H95-('V06 Calend 01'!I95*('V06 Calend 01'!E95-1))),'V06 Calend 01'!I95),0))+IF((57='V06 Calend 01'!D95),'V06 Calend 01'!J95,0))</f>
        <v>0</v>
      </c>
      <c r="BR95" s="2">
        <f>((IF((58='V06 Calend 01'!C95),('V06 Calend 01'!F95+'V06 Calend 01'!G95),0)+IF(AND(('V06 Calend 01'!E95&gt;0),(58&gt;'V06 Calend 01'!C95),(58&lt;'V06 Calend 01'!D95),(MOD((58-'V06 Calend 01'!C95),6)=0),(((58-'V06 Calend 01'!C95)/6)&lt;='V06 Calend 01'!E95)),IF((58=('V06 Calend 01'!C95+(6*'V06 Calend 01'!E95))),('V06 Calend 01'!H95-('V06 Calend 01'!I95*('V06 Calend 01'!E95-1))),'V06 Calend 01'!I95),0))+IF((58='V06 Calend 01'!D95),'V06 Calend 01'!J95,0))</f>
        <v>0</v>
      </c>
      <c r="BS95" s="2">
        <f>((IF((59='V06 Calend 01'!C95),('V06 Calend 01'!F95+'V06 Calend 01'!G95),0)+IF(AND(('V06 Calend 01'!E95&gt;0),(59&gt;'V06 Calend 01'!C95),(59&lt;'V06 Calend 01'!D95),(MOD((59-'V06 Calend 01'!C95),6)=0),(((59-'V06 Calend 01'!C95)/6)&lt;='V06 Calend 01'!E95)),IF((59=('V06 Calend 01'!C95+(6*'V06 Calend 01'!E95))),('V06 Calend 01'!H95-('V06 Calend 01'!I95*('V06 Calend 01'!E95-1))),'V06 Calend 01'!I95),0))+IF((59='V06 Calend 01'!D95),'V06 Calend 01'!J95,0))</f>
        <v>0</v>
      </c>
      <c r="BT95" s="2">
        <f>((IF((60='V06 Calend 01'!C95),('V06 Calend 01'!F95+'V06 Calend 01'!G95),0)+IF(AND(('V06 Calend 01'!E95&gt;0),(60&gt;'V06 Calend 01'!C95),(60&lt;'V06 Calend 01'!D95),(MOD((60-'V06 Calend 01'!C95),6)=0),(((60-'V06 Calend 01'!C95)/6)&lt;='V06 Calend 01'!E95)),IF((60=('V06 Calend 01'!C95+(6*'V06 Calend 01'!E95))),('V06 Calend 01'!H95-('V06 Calend 01'!I95*('V06 Calend 01'!E95-1))),'V06 Calend 01'!I95),0))+IF((60='V06 Calend 01'!D95),'V06 Calend 01'!J95,0))</f>
        <v>0</v>
      </c>
      <c r="BU95" s="2">
        <f>((IF((61='V06 Calend 01'!C95),('V06 Calend 01'!F95+'V06 Calend 01'!G95),0)+IF(AND(('V06 Calend 01'!E95&gt;0),(61&gt;'V06 Calend 01'!C95),(61&lt;'V06 Calend 01'!D95),(MOD((61-'V06 Calend 01'!C95),6)=0),(((61-'V06 Calend 01'!C95)/6)&lt;='V06 Calend 01'!E95)),IF((61=('V06 Calend 01'!C95+(6*'V06 Calend 01'!E95))),('V06 Calend 01'!H95-('V06 Calend 01'!I95*('V06 Calend 01'!E95-1))),'V06 Calend 01'!I95),0))+IF((61='V06 Calend 01'!D95),'V06 Calend 01'!J95,0))</f>
        <v>0</v>
      </c>
      <c r="BV95" s="2">
        <f>((IF((62='V06 Calend 01'!C95),('V06 Calend 01'!F95+'V06 Calend 01'!G95),0)+IF(AND(('V06 Calend 01'!E95&gt;0),(62&gt;'V06 Calend 01'!C95),(62&lt;'V06 Calend 01'!D95),(MOD((62-'V06 Calend 01'!C95),6)=0),(((62-'V06 Calend 01'!C95)/6)&lt;='V06 Calend 01'!E95)),IF((62=('V06 Calend 01'!C95+(6*'V06 Calend 01'!E95))),('V06 Calend 01'!H95-('V06 Calend 01'!I95*('V06 Calend 01'!E95-1))),'V06 Calend 01'!I95),0))+IF((62='V06 Calend 01'!D95),'V06 Calend 01'!J95,0))</f>
        <v>0</v>
      </c>
      <c r="BW95" s="2">
        <f>((IF((63='V06 Calend 01'!C95),('V06 Calend 01'!F95+'V06 Calend 01'!G95),0)+IF(AND(('V06 Calend 01'!E95&gt;0),(63&gt;'V06 Calend 01'!C95),(63&lt;'V06 Calend 01'!D95),(MOD((63-'V06 Calend 01'!C95),6)=0),(((63-'V06 Calend 01'!C95)/6)&lt;='V06 Calend 01'!E95)),IF((63=('V06 Calend 01'!C95+(6*'V06 Calend 01'!E95))),('V06 Calend 01'!H95-('V06 Calend 01'!I95*('V06 Calend 01'!E95-1))),'V06 Calend 01'!I95),0))+IF((63='V06 Calend 01'!D95),'V06 Calend 01'!J95,0))</f>
        <v>0</v>
      </c>
      <c r="BX95" s="2">
        <f>((IF((64='V06 Calend 01'!C95),('V06 Calend 01'!F95+'V06 Calend 01'!G95),0)+IF(AND(('V06 Calend 01'!E95&gt;0),(64&gt;'V06 Calend 01'!C95),(64&lt;'V06 Calend 01'!D95),(MOD((64-'V06 Calend 01'!C95),6)=0),(((64-'V06 Calend 01'!C95)/6)&lt;='V06 Calend 01'!E95)),IF((64=('V06 Calend 01'!C95+(6*'V06 Calend 01'!E95))),('V06 Calend 01'!H95-('V06 Calend 01'!I95*('V06 Calend 01'!E95-1))),'V06 Calend 01'!I95),0))+IF((64='V06 Calend 01'!D95),'V06 Calend 01'!J95,0))</f>
        <v>0</v>
      </c>
      <c r="BY95" s="2">
        <f>((IF((65='V06 Calend 01'!C95),('V06 Calend 01'!F95+'V06 Calend 01'!G95),0)+IF(AND(('V06 Calend 01'!E95&gt;0),(65&gt;'V06 Calend 01'!C95),(65&lt;'V06 Calend 01'!D95),(MOD((65-'V06 Calend 01'!C95),6)=0),(((65-'V06 Calend 01'!C95)/6)&lt;='V06 Calend 01'!E95)),IF((65=('V06 Calend 01'!C95+(6*'V06 Calend 01'!E95))),('V06 Calend 01'!H95-('V06 Calend 01'!I95*('V06 Calend 01'!E95-1))),'V06 Calend 01'!I95),0))+IF((65='V06 Calend 01'!D95),'V06 Calend 01'!J95,0))</f>
        <v>0</v>
      </c>
      <c r="BZ95" s="2">
        <f>((IF((66='V06 Calend 01'!C95),('V06 Calend 01'!F95+'V06 Calend 01'!G95),0)+IF(AND(('V06 Calend 01'!E95&gt;0),(66&gt;'V06 Calend 01'!C95),(66&lt;'V06 Calend 01'!D95),(MOD((66-'V06 Calend 01'!C95),6)=0),(((66-'V06 Calend 01'!C95)/6)&lt;='V06 Calend 01'!E95)),IF((66=('V06 Calend 01'!C95+(6*'V06 Calend 01'!E95))),('V06 Calend 01'!H95-('V06 Calend 01'!I95*('V06 Calend 01'!E95-1))),'V06 Calend 01'!I95),0))+IF((66='V06 Calend 01'!D95),'V06 Calend 01'!J95,0))</f>
        <v>0</v>
      </c>
      <c r="CA95" s="2">
        <f>((IF((67='V06 Calend 01'!C95),('V06 Calend 01'!F95+'V06 Calend 01'!G95),0)+IF(AND(('V06 Calend 01'!E95&gt;0),(67&gt;'V06 Calend 01'!C95),(67&lt;'V06 Calend 01'!D95),(MOD((67-'V06 Calend 01'!C95),6)=0),(((67-'V06 Calend 01'!C95)/6)&lt;='V06 Calend 01'!E95)),IF((67=('V06 Calend 01'!C95+(6*'V06 Calend 01'!E95))),('V06 Calend 01'!H95-('V06 Calend 01'!I95*('V06 Calend 01'!E95-1))),'V06 Calend 01'!I95),0))+IF((67='V06 Calend 01'!D95),'V06 Calend 01'!J95,0))</f>
        <v>0</v>
      </c>
      <c r="CB95" s="2">
        <f>((IF((68='V06 Calend 01'!C95),('V06 Calend 01'!F95+'V06 Calend 01'!G95),0)+IF(AND(('V06 Calend 01'!E95&gt;0),(68&gt;'V06 Calend 01'!C95),(68&lt;'V06 Calend 01'!D95),(MOD((68-'V06 Calend 01'!C95),6)=0),(((68-'V06 Calend 01'!C95)/6)&lt;='V06 Calend 01'!E95)),IF((68=('V06 Calend 01'!C95+(6*'V06 Calend 01'!E95))),('V06 Calend 01'!H95-('V06 Calend 01'!I95*('V06 Calend 01'!E95-1))),'V06 Calend 01'!I95),0))+IF((68='V06 Calend 01'!D95),'V06 Calend 01'!J95,0))</f>
        <v>0</v>
      </c>
      <c r="CC95" s="2">
        <f>((IF((69='V06 Calend 01'!C95),('V06 Calend 01'!F95+'V06 Calend 01'!G95),0)+IF(AND(('V06 Calend 01'!E95&gt;0),(69&gt;'V06 Calend 01'!C95),(69&lt;'V06 Calend 01'!D95),(MOD((69-'V06 Calend 01'!C95),6)=0),(((69-'V06 Calend 01'!C95)/6)&lt;='V06 Calend 01'!E95)),IF((69=('V06 Calend 01'!C95+(6*'V06 Calend 01'!E95))),('V06 Calend 01'!H95-('V06 Calend 01'!I95*('V06 Calend 01'!E95-1))),'V06 Calend 01'!I95),0))+IF((69='V06 Calend 01'!D95),'V06 Calend 01'!J95,0))</f>
        <v>0</v>
      </c>
      <c r="CD95" s="2">
        <f>((IF((70='V06 Calend 01'!C95),('V06 Calend 01'!F95+'V06 Calend 01'!G95),0)+IF(AND(('V06 Calend 01'!E95&gt;0),(70&gt;'V06 Calend 01'!C95),(70&lt;'V06 Calend 01'!D95),(MOD((70-'V06 Calend 01'!C95),6)=0),(((70-'V06 Calend 01'!C95)/6)&lt;='V06 Calend 01'!E95)),IF((70=('V06 Calend 01'!C95+(6*'V06 Calend 01'!E95))),('V06 Calend 01'!H95-('V06 Calend 01'!I95*('V06 Calend 01'!E95-1))),'V06 Calend 01'!I95),0))+IF((70='V06 Calend 01'!D95),'V06 Calend 01'!J95,0))</f>
        <v>0</v>
      </c>
      <c r="CE95" s="2">
        <f>((IF((71='V06 Calend 01'!C95),('V06 Calend 01'!F95+'V06 Calend 01'!G95),0)+IF(AND(('V06 Calend 01'!E95&gt;0),(71&gt;'V06 Calend 01'!C95),(71&lt;'V06 Calend 01'!D95),(MOD((71-'V06 Calend 01'!C95),6)=0),(((71-'V06 Calend 01'!C95)/6)&lt;='V06 Calend 01'!E95)),IF((71=('V06 Calend 01'!C95+(6*'V06 Calend 01'!E95))),('V06 Calend 01'!H95-('V06 Calend 01'!I95*('V06 Calend 01'!E95-1))),'V06 Calend 01'!I95),0))+IF((71='V06 Calend 01'!D95),'V06 Calend 01'!J95,0))</f>
        <v>0</v>
      </c>
      <c r="CF95" s="2">
        <f>((IF((72='V06 Calend 01'!C95),('V06 Calend 01'!F95+'V06 Calend 01'!G95),0)+IF(AND(('V06 Calend 01'!E95&gt;0),(72&gt;'V06 Calend 01'!C95),(72&lt;'V06 Calend 01'!D95),(MOD((72-'V06 Calend 01'!C95),6)=0),(((72-'V06 Calend 01'!C95)/6)&lt;='V06 Calend 01'!E95)),IF((72=('V06 Calend 01'!C95+(6*'V06 Calend 01'!E95))),('V06 Calend 01'!H95-('V06 Calend 01'!I95*('V06 Calend 01'!E95-1))),'V06 Calend 01'!I95),0))+IF((72='V06 Calend 01'!D95),'V06 Calend 01'!J95,0))</f>
        <v>0</v>
      </c>
      <c r="CG95" s="2">
        <f>((IF((73='V06 Calend 01'!C95),('V06 Calend 01'!F95+'V06 Calend 01'!G95),0)+IF(AND(('V06 Calend 01'!E95&gt;0),(73&gt;'V06 Calend 01'!C95),(73&lt;'V06 Calend 01'!D95),(MOD((73-'V06 Calend 01'!C95),6)=0),(((73-'V06 Calend 01'!C95)/6)&lt;='V06 Calend 01'!E95)),IF((73=('V06 Calend 01'!C95+(6*'V06 Calend 01'!E95))),('V06 Calend 01'!H95-('V06 Calend 01'!I95*('V06 Calend 01'!E95-1))),'V06 Calend 01'!I95),0))+IF((73='V06 Calend 01'!D95),'V06 Calend 01'!J95,0))</f>
        <v>0</v>
      </c>
      <c r="CH95" s="2">
        <f>((IF((74='V06 Calend 01'!C95),('V06 Calend 01'!F95+'V06 Calend 01'!G95),0)+IF(AND(('V06 Calend 01'!E95&gt;0),(74&gt;'V06 Calend 01'!C95),(74&lt;'V06 Calend 01'!D95),(MOD((74-'V06 Calend 01'!C95),6)=0),(((74-'V06 Calend 01'!C95)/6)&lt;='V06 Calend 01'!E95)),IF((74=('V06 Calend 01'!C95+(6*'V06 Calend 01'!E95))),('V06 Calend 01'!H95-('V06 Calend 01'!I95*('V06 Calend 01'!E95-1))),'V06 Calend 01'!I95),0))+IF((74='V06 Calend 01'!D95),'V06 Calend 01'!J95,0))</f>
        <v>0</v>
      </c>
      <c r="CI95" s="2">
        <f>((IF((75='V06 Calend 01'!C95),('V06 Calend 01'!F95+'V06 Calend 01'!G95),0)+IF(AND(('V06 Calend 01'!E95&gt;0),(75&gt;'V06 Calend 01'!C95),(75&lt;'V06 Calend 01'!D95),(MOD((75-'V06 Calend 01'!C95),6)=0),(((75-'V06 Calend 01'!C95)/6)&lt;='V06 Calend 01'!E95)),IF((75=('V06 Calend 01'!C95+(6*'V06 Calend 01'!E95))),('V06 Calend 01'!H95-('V06 Calend 01'!I95*('V06 Calend 01'!E95-1))),'V06 Calend 01'!I95),0))+IF((75='V06 Calend 01'!D95),'V06 Calend 01'!J95,0))</f>
        <v>0</v>
      </c>
      <c r="CJ95" s="2">
        <f>((IF((76='V06 Calend 01'!C95),('V06 Calend 01'!F95+'V06 Calend 01'!G95),0)+IF(AND(('V06 Calend 01'!E95&gt;0),(76&gt;'V06 Calend 01'!C95),(76&lt;'V06 Calend 01'!D95),(MOD((76-'V06 Calend 01'!C95),6)=0),(((76-'V06 Calend 01'!C95)/6)&lt;='V06 Calend 01'!E95)),IF((76=('V06 Calend 01'!C95+(6*'V06 Calend 01'!E95))),('V06 Calend 01'!H95-('V06 Calend 01'!I95*('V06 Calend 01'!E95-1))),'V06 Calend 01'!I95),0))+IF((76='V06 Calend 01'!D95),'V06 Calend 01'!J95,0))</f>
        <v>0</v>
      </c>
      <c r="CK95" s="2">
        <f>((IF((77='V06 Calend 01'!C95),('V06 Calend 01'!F95+'V06 Calend 01'!G95),0)+IF(AND(('V06 Calend 01'!E95&gt;0),(77&gt;'V06 Calend 01'!C95),(77&lt;'V06 Calend 01'!D95),(MOD((77-'V06 Calend 01'!C95),6)=0),(((77-'V06 Calend 01'!C95)/6)&lt;='V06 Calend 01'!E95)),IF((77=('V06 Calend 01'!C95+(6*'V06 Calend 01'!E95))),('V06 Calend 01'!H95-('V06 Calend 01'!I95*('V06 Calend 01'!E95-1))),'V06 Calend 01'!I95),0))+IF((77='V06 Calend 01'!D95),'V06 Calend 01'!J95,0))</f>
        <v>0</v>
      </c>
      <c r="CL95" s="2">
        <f>((IF((78='V06 Calend 01'!C95),('V06 Calend 01'!F95+'V06 Calend 01'!G95),0)+IF(AND(('V06 Calend 01'!E95&gt;0),(78&gt;'V06 Calend 01'!C95),(78&lt;'V06 Calend 01'!D95),(MOD((78-'V06 Calend 01'!C95),6)=0),(((78-'V06 Calend 01'!C95)/6)&lt;='V06 Calend 01'!E95)),IF((78=('V06 Calend 01'!C95+(6*'V06 Calend 01'!E95))),('V06 Calend 01'!H95-('V06 Calend 01'!I95*('V06 Calend 01'!E95-1))),'V06 Calend 01'!I95),0))+IF((78='V06 Calend 01'!D95),'V06 Calend 01'!J95,0))</f>
        <v>0</v>
      </c>
      <c r="CM95" s="2">
        <f>((IF((79='V06 Calend 01'!C95),('V06 Calend 01'!F95+'V06 Calend 01'!G95),0)+IF(AND(('V06 Calend 01'!E95&gt;0),(79&gt;'V06 Calend 01'!C95),(79&lt;'V06 Calend 01'!D95),(MOD((79-'V06 Calend 01'!C95),6)=0),(((79-'V06 Calend 01'!C95)/6)&lt;='V06 Calend 01'!E95)),IF((79=('V06 Calend 01'!C95+(6*'V06 Calend 01'!E95))),('V06 Calend 01'!H95-('V06 Calend 01'!I95*('V06 Calend 01'!E95-1))),'V06 Calend 01'!I95),0))+IF((79='V06 Calend 01'!D95),'V06 Calend 01'!J95,0))</f>
        <v>0</v>
      </c>
      <c r="CN95" s="2">
        <f>((IF((80='V06 Calend 01'!C95),('V06 Calend 01'!F95+'V06 Calend 01'!G95),0)+IF(AND(('V06 Calend 01'!E95&gt;0),(80&gt;'V06 Calend 01'!C95),(80&lt;'V06 Calend 01'!D95),(MOD((80-'V06 Calend 01'!C95),6)=0),(((80-'V06 Calend 01'!C95)/6)&lt;='V06 Calend 01'!E95)),IF((80=('V06 Calend 01'!C95+(6*'V06 Calend 01'!E95))),('V06 Calend 01'!H95-('V06 Calend 01'!I95*('V06 Calend 01'!E95-1))),'V06 Calend 01'!I95),0))+IF((80='V06 Calend 01'!D95),'V06 Calend 01'!J95,0))</f>
        <v>0</v>
      </c>
      <c r="CO95" s="2">
        <f>((IF((81='V06 Calend 01'!C95),('V06 Calend 01'!F95+'V06 Calend 01'!G95),0)+IF(AND(('V06 Calend 01'!E95&gt;0),(81&gt;'V06 Calend 01'!C95),(81&lt;'V06 Calend 01'!D95),(MOD((81-'V06 Calend 01'!C95),6)=0),(((81-'V06 Calend 01'!C95)/6)&lt;='V06 Calend 01'!E95)),IF((81=('V06 Calend 01'!C95+(6*'V06 Calend 01'!E95))),('V06 Calend 01'!H95-('V06 Calend 01'!I95*('V06 Calend 01'!E95-1))),'V06 Calend 01'!I95),0))+IF((81='V06 Calend 01'!D95),'V06 Calend 01'!J95,0))</f>
        <v>0</v>
      </c>
      <c r="CP95" s="2">
        <f>((IF((82='V06 Calend 01'!C95),('V06 Calend 01'!F95+'V06 Calend 01'!G95),0)+IF(AND(('V06 Calend 01'!E95&gt;0),(82&gt;'V06 Calend 01'!C95),(82&lt;'V06 Calend 01'!D95),(MOD((82-'V06 Calend 01'!C95),6)=0),(((82-'V06 Calend 01'!C95)/6)&lt;='V06 Calend 01'!E95)),IF((82=('V06 Calend 01'!C95+(6*'V06 Calend 01'!E95))),('V06 Calend 01'!H95-('V06 Calend 01'!I95*('V06 Calend 01'!E95-1))),'V06 Calend 01'!I95),0))+IF((82='V06 Calend 01'!D95),'V06 Calend 01'!J95,0))</f>
        <v>0</v>
      </c>
      <c r="CQ95" s="2">
        <f>((IF((83='V06 Calend 01'!C95),('V06 Calend 01'!F95+'V06 Calend 01'!G95),0)+IF(AND(('V06 Calend 01'!E95&gt;0),(83&gt;'V06 Calend 01'!C95),(83&lt;'V06 Calend 01'!D95),(MOD((83-'V06 Calend 01'!C95),6)=0),(((83-'V06 Calend 01'!C95)/6)&lt;='V06 Calend 01'!E95)),IF((83=('V06 Calend 01'!C95+(6*'V06 Calend 01'!E95))),('V06 Calend 01'!H95-('V06 Calend 01'!I95*('V06 Calend 01'!E95-1))),'V06 Calend 01'!I95),0))+IF((83='V06 Calend 01'!D95),'V06 Calend 01'!J95,0))</f>
        <v>0</v>
      </c>
      <c r="CR95" s="2">
        <f>((IF((84='V06 Calend 01'!C95),('V06 Calend 01'!F95+'V06 Calend 01'!G95),0)+IF(AND(('V06 Calend 01'!E95&gt;0),(84&gt;'V06 Calend 01'!C95),(84&lt;'V06 Calend 01'!D95),(MOD((84-'V06 Calend 01'!C95),6)=0),(((84-'V06 Calend 01'!C95)/6)&lt;='V06 Calend 01'!E95)),IF((84=('V06 Calend 01'!C95+(6*'V06 Calend 01'!E95))),('V06 Calend 01'!H95-('V06 Calend 01'!I95*('V06 Calend 01'!E95-1))),'V06 Calend 01'!I95),0))+IF((84='V06 Calend 01'!D95),'V06 Calend 01'!J95,0))</f>
        <v>0</v>
      </c>
      <c r="CS95" s="2">
        <f>((IF((85='V06 Calend 01'!C95),('V06 Calend 01'!F95+'V06 Calend 01'!G95),0)+IF(AND(('V06 Calend 01'!E95&gt;0),(85&gt;'V06 Calend 01'!C95),(85&lt;'V06 Calend 01'!D95),(MOD((85-'V06 Calend 01'!C95),6)=0),(((85-'V06 Calend 01'!C95)/6)&lt;='V06 Calend 01'!E95)),IF((85=('V06 Calend 01'!C95+(6*'V06 Calend 01'!E95))),('V06 Calend 01'!H95-('V06 Calend 01'!I95*('V06 Calend 01'!E95-1))),'V06 Calend 01'!I95),0))+IF((85='V06 Calend 01'!D95),'V06 Calend 01'!J95,0))</f>
        <v>0</v>
      </c>
      <c r="CT95" s="2">
        <f>((IF((86='V06 Calend 01'!C95),('V06 Calend 01'!F95+'V06 Calend 01'!G95),0)+IF(AND(('V06 Calend 01'!E95&gt;0),(86&gt;'V06 Calend 01'!C95),(86&lt;'V06 Calend 01'!D95),(MOD((86-'V06 Calend 01'!C95),6)=0),(((86-'V06 Calend 01'!C95)/6)&lt;='V06 Calend 01'!E95)),IF((86=('V06 Calend 01'!C95+(6*'V06 Calend 01'!E95))),('V06 Calend 01'!H95-('V06 Calend 01'!I95*('V06 Calend 01'!E95-1))),'V06 Calend 01'!I95),0))+IF((86='V06 Calend 01'!D95),'V06 Calend 01'!J95,0))</f>
        <v>0</v>
      </c>
      <c r="CU95" s="2">
        <f>((IF((87='V06 Calend 01'!C95),('V06 Calend 01'!F95+'V06 Calend 01'!G95),0)+IF(AND(('V06 Calend 01'!E95&gt;0),(87&gt;'V06 Calend 01'!C95),(87&lt;'V06 Calend 01'!D95),(MOD((87-'V06 Calend 01'!C95),6)=0),(((87-'V06 Calend 01'!C95)/6)&lt;='V06 Calend 01'!E95)),IF((87=('V06 Calend 01'!C95+(6*'V06 Calend 01'!E95))),('V06 Calend 01'!H95-('V06 Calend 01'!I95*('V06 Calend 01'!E95-1))),'V06 Calend 01'!I95),0))+IF((87='V06 Calend 01'!D95),'V06 Calend 01'!J95,0))</f>
        <v>0</v>
      </c>
      <c r="CV95" s="2">
        <f>((IF((88='V06 Calend 01'!C95),('V06 Calend 01'!F95+'V06 Calend 01'!G95),0)+IF(AND(('V06 Calend 01'!E95&gt;0),(88&gt;'V06 Calend 01'!C95),(88&lt;'V06 Calend 01'!D95),(MOD((88-'V06 Calend 01'!C95),6)=0),(((88-'V06 Calend 01'!C95)/6)&lt;='V06 Calend 01'!E95)),IF((88=('V06 Calend 01'!C95+(6*'V06 Calend 01'!E95))),('V06 Calend 01'!H95-('V06 Calend 01'!I95*('V06 Calend 01'!E95-1))),'V06 Calend 01'!I95),0))+IF((88='V06 Calend 01'!D95),'V06 Calend 01'!J95,0))</f>
        <v>0</v>
      </c>
      <c r="CW95" s="2">
        <f>((IF((89='V06 Calend 01'!C95),('V06 Calend 01'!F95+'V06 Calend 01'!G95),0)+IF(AND(('V06 Calend 01'!E95&gt;0),(89&gt;'V06 Calend 01'!C95),(89&lt;'V06 Calend 01'!D95),(MOD((89-'V06 Calend 01'!C95),6)=0),(((89-'V06 Calend 01'!C95)/6)&lt;='V06 Calend 01'!E95)),IF((89=('V06 Calend 01'!C95+(6*'V06 Calend 01'!E95))),('V06 Calend 01'!H95-('V06 Calend 01'!I95*('V06 Calend 01'!E95-1))),'V06 Calend 01'!I95),0))+IF((89='V06 Calend 01'!D95),'V06 Calend 01'!J95,0))</f>
        <v>0</v>
      </c>
      <c r="CX95" s="2">
        <f>((IF((90='V06 Calend 01'!C95),('V06 Calend 01'!F95+'V06 Calend 01'!G95),0)+IF(AND(('V06 Calend 01'!E95&gt;0),(90&gt;'V06 Calend 01'!C95),(90&lt;'V06 Calend 01'!D95),(MOD((90-'V06 Calend 01'!C95),6)=0),(((90-'V06 Calend 01'!C95)/6)&lt;='V06 Calend 01'!E95)),IF((90=('V06 Calend 01'!C95+(6*'V06 Calend 01'!E95))),('V06 Calend 01'!H95-('V06 Calend 01'!I95*('V06 Calend 01'!E95-1))),'V06 Calend 01'!I95),0))+IF((90='V06 Calend 01'!D95),'V06 Calend 01'!J95,0))</f>
        <v>0</v>
      </c>
      <c r="CY95" s="2">
        <f>((IF((91='V06 Calend 01'!C95),('V06 Calend 01'!F95+'V06 Calend 01'!G95),0)+IF(AND(('V06 Calend 01'!E95&gt;0),(91&gt;'V06 Calend 01'!C95),(91&lt;'V06 Calend 01'!D95),(MOD((91-'V06 Calend 01'!C95),6)=0),(((91-'V06 Calend 01'!C95)/6)&lt;='V06 Calend 01'!E95)),IF((91=('V06 Calend 01'!C95+(6*'V06 Calend 01'!E95))),('V06 Calend 01'!H95-('V06 Calend 01'!I95*('V06 Calend 01'!E95-1))),'V06 Calend 01'!I95),0))+IF((91='V06 Calend 01'!D95),'V06 Calend 01'!J95,0))</f>
        <v>0</v>
      </c>
      <c r="CZ95" s="2">
        <f>((IF((92='V06 Calend 01'!C95),('V06 Calend 01'!F95+'V06 Calend 01'!G95),0)+IF(AND(('V06 Calend 01'!E95&gt;0),(92&gt;'V06 Calend 01'!C95),(92&lt;'V06 Calend 01'!D95),(MOD((92-'V06 Calend 01'!C95),6)=0),(((92-'V06 Calend 01'!C95)/6)&lt;='V06 Calend 01'!E95)),IF((92=('V06 Calend 01'!C95+(6*'V06 Calend 01'!E95))),('V06 Calend 01'!H95-('V06 Calend 01'!I95*('V06 Calend 01'!E95-1))),'V06 Calend 01'!I95),0))+IF((92='V06 Calend 01'!D95),'V06 Calend 01'!J95,0))</f>
        <v>0</v>
      </c>
      <c r="DA95" s="2">
        <f>((IF((93='V06 Calend 01'!C95),('V06 Calend 01'!F95+'V06 Calend 01'!G95),0)+IF(AND(('V06 Calend 01'!E95&gt;0),(93&gt;'V06 Calend 01'!C95),(93&lt;'V06 Calend 01'!D95),(MOD((93-'V06 Calend 01'!C95),6)=0),(((93-'V06 Calend 01'!C95)/6)&lt;='V06 Calend 01'!E95)),IF((93=('V06 Calend 01'!C95+(6*'V06 Calend 01'!E95))),('V06 Calend 01'!H95-('V06 Calend 01'!I95*('V06 Calend 01'!E95-1))),'V06 Calend 01'!I95),0))+IF((93='V06 Calend 01'!D95),'V06 Calend 01'!J95,0))</f>
        <v>0</v>
      </c>
      <c r="DB95" s="2">
        <f>((IF((94='V06 Calend 01'!C95),('V06 Calend 01'!F95+'V06 Calend 01'!G95),0)+IF(AND(('V06 Calend 01'!E95&gt;0),(94&gt;'V06 Calend 01'!C95),(94&lt;'V06 Calend 01'!D95),(MOD((94-'V06 Calend 01'!C95),6)=0),(((94-'V06 Calend 01'!C95)/6)&lt;='V06 Calend 01'!E95)),IF((94=('V06 Calend 01'!C95+(6*'V06 Calend 01'!E95))),('V06 Calend 01'!H95-('V06 Calend 01'!I95*('V06 Calend 01'!E95-1))),'V06 Calend 01'!I95),0))+IF((94='V06 Calend 01'!D95),'V06 Calend 01'!J95,0))</f>
        <v>0</v>
      </c>
      <c r="DC95" s="2">
        <f>((IF((95='V06 Calend 01'!C95),('V06 Calend 01'!F95+'V06 Calend 01'!G95),0)+IF(AND(('V06 Calend 01'!E95&gt;0),(95&gt;'V06 Calend 01'!C95),(95&lt;'V06 Calend 01'!D95),(MOD((95-'V06 Calend 01'!C95),6)=0),(((95-'V06 Calend 01'!C95)/6)&lt;='V06 Calend 01'!E95)),IF((95=('V06 Calend 01'!C95+(6*'V06 Calend 01'!E95))),('V06 Calend 01'!H95-('V06 Calend 01'!I95*('V06 Calend 01'!E95-1))),'V06 Calend 01'!I95),0))+IF((95='V06 Calend 01'!D95),'V06 Calend 01'!J95,0))</f>
        <v>0</v>
      </c>
      <c r="DD95" s="2">
        <f>((IF((96='V06 Calend 01'!C95),('V06 Calend 01'!F95+'V06 Calend 01'!G95),0)+IF(AND(('V06 Calend 01'!E95&gt;0),(96&gt;'V06 Calend 01'!C95),(96&lt;'V06 Calend 01'!D95),(MOD((96-'V06 Calend 01'!C95),6)=0),(((96-'V06 Calend 01'!C95)/6)&lt;='V06 Calend 01'!E95)),IF((96=('V06 Calend 01'!C95+(6*'V06 Calend 01'!E95))),('V06 Calend 01'!H95-('V06 Calend 01'!I95*('V06 Calend 01'!E95-1))),'V06 Calend 01'!I95),0))+IF((96='V06 Calend 01'!D95),'V06 Calend 01'!J95,0))</f>
        <v>0</v>
      </c>
      <c r="DE95" s="2">
        <f>((IF((97='V06 Calend 01'!C95),('V06 Calend 01'!F95+'V06 Calend 01'!G95),0)+IF(AND(('V06 Calend 01'!E95&gt;0),(97&gt;'V06 Calend 01'!C95),(97&lt;'V06 Calend 01'!D95),(MOD((97-'V06 Calend 01'!C95),6)=0),(((97-'V06 Calend 01'!C95)/6)&lt;='V06 Calend 01'!E95)),IF((97=('V06 Calend 01'!C95+(6*'V06 Calend 01'!E95))),('V06 Calend 01'!H95-('V06 Calend 01'!I95*('V06 Calend 01'!E95-1))),'V06 Calend 01'!I95),0))+IF((97='V06 Calend 01'!D95),'V06 Calend 01'!J95,0))</f>
        <v>0</v>
      </c>
      <c r="DF95" s="2">
        <f>((IF((98='V06 Calend 01'!C95),('V06 Calend 01'!F95+'V06 Calend 01'!G95),0)+IF(AND(('V06 Calend 01'!E95&gt;0),(98&gt;'V06 Calend 01'!C95),(98&lt;'V06 Calend 01'!D95),(MOD((98-'V06 Calend 01'!C95),6)=0),(((98-'V06 Calend 01'!C95)/6)&lt;='V06 Calend 01'!E95)),IF((98=('V06 Calend 01'!C95+(6*'V06 Calend 01'!E95))),('V06 Calend 01'!H95-('V06 Calend 01'!I95*('V06 Calend 01'!E95-1))),'V06 Calend 01'!I95),0))+IF((98='V06 Calend 01'!D95),'V06 Calend 01'!J95,0))</f>
        <v>0</v>
      </c>
      <c r="DG95" s="2">
        <f>((IF((99='V06 Calend 01'!C95),('V06 Calend 01'!F95+'V06 Calend 01'!G95),0)+IF(AND(('V06 Calend 01'!E95&gt;0),(99&gt;'V06 Calend 01'!C95),(99&lt;'V06 Calend 01'!D95),(MOD((99-'V06 Calend 01'!C95),6)=0),(((99-'V06 Calend 01'!C95)/6)&lt;='V06 Calend 01'!E95)),IF((99=('V06 Calend 01'!C95+(6*'V06 Calend 01'!E95))),('V06 Calend 01'!H95-('V06 Calend 01'!I95*('V06 Calend 01'!E95-1))),'V06 Calend 01'!I95),0))+IF((99='V06 Calend 01'!D95),'V06 Calend 01'!J95,0))</f>
        <v>0</v>
      </c>
      <c r="DH95" s="2">
        <f>((IF((100='V06 Calend 01'!C95),('V06 Calend 01'!F95+'V06 Calend 01'!G95),0)+IF(AND(('V06 Calend 01'!E95&gt;0),(100&gt;'V06 Calend 01'!C95),(100&lt;'V06 Calend 01'!D95),(MOD((100-'V06 Calend 01'!C95),6)=0),(((100-'V06 Calend 01'!C95)/6)&lt;='V06 Calend 01'!E95)),IF((100=('V06 Calend 01'!C95+(6*'V06 Calend 01'!E95))),('V06 Calend 01'!H95-('V06 Calend 01'!I95*('V06 Calend 01'!E95-1))),'V06 Calend 01'!I95),0))+IF((100='V06 Calend 01'!D95),'V06 Calend 01'!J95,0))</f>
        <v>0</v>
      </c>
      <c r="DI95" s="2">
        <f>((IF((101='V06 Calend 01'!C95),('V06 Calend 01'!F95+'V06 Calend 01'!G95),0)+IF(AND(('V06 Calend 01'!E95&gt;0),(101&gt;'V06 Calend 01'!C95),(101&lt;'V06 Calend 01'!D95),(MOD((101-'V06 Calend 01'!C95),6)=0),(((101-'V06 Calend 01'!C95)/6)&lt;='V06 Calend 01'!E95)),IF((101=('V06 Calend 01'!C95+(6*'V06 Calend 01'!E95))),('V06 Calend 01'!H95-('V06 Calend 01'!I95*('V06 Calend 01'!E95-1))),'V06 Calend 01'!I95),0))+IF((101='V06 Calend 01'!D95),'V06 Calend 01'!J95,0))</f>
        <v>0</v>
      </c>
      <c r="DJ95" s="2">
        <f>((IF((102='V06 Calend 01'!C95),('V06 Calend 01'!F95+'V06 Calend 01'!G95),0)+IF(AND(('V06 Calend 01'!E95&gt;0),(102&gt;'V06 Calend 01'!C95),(102&lt;'V06 Calend 01'!D95),(MOD((102-'V06 Calend 01'!C95),6)=0),(((102-'V06 Calend 01'!C95)/6)&lt;='V06 Calend 01'!E95)),IF((102=('V06 Calend 01'!C95+(6*'V06 Calend 01'!E95))),('V06 Calend 01'!H95-('V06 Calend 01'!I95*('V06 Calend 01'!E95-1))),'V06 Calend 01'!I95),0))+IF((102='V06 Calend 01'!D95),'V06 Calend 01'!J95,0))</f>
        <v>0</v>
      </c>
      <c r="DK95" s="2">
        <f>((IF((103='V06 Calend 01'!C95),('V06 Calend 01'!F95+'V06 Calend 01'!G95),0)+IF(AND(('V06 Calend 01'!E95&gt;0),(103&gt;'V06 Calend 01'!C95),(103&lt;'V06 Calend 01'!D95),(MOD((103-'V06 Calend 01'!C95),6)=0),(((103-'V06 Calend 01'!C95)/6)&lt;='V06 Calend 01'!E95)),IF((103=('V06 Calend 01'!C95+(6*'V06 Calend 01'!E95))),('V06 Calend 01'!H95-('V06 Calend 01'!I95*('V06 Calend 01'!E95-1))),'V06 Calend 01'!I95),0))+IF((103='V06 Calend 01'!D95),'V06 Calend 01'!J95,0))</f>
        <v>0</v>
      </c>
      <c r="DL95" s="2">
        <f>((IF((104='V06 Calend 01'!C95),('V06 Calend 01'!F95+'V06 Calend 01'!G95),0)+IF(AND(('V06 Calend 01'!E95&gt;0),(104&gt;'V06 Calend 01'!C95),(104&lt;'V06 Calend 01'!D95),(MOD((104-'V06 Calend 01'!C95),6)=0),(((104-'V06 Calend 01'!C95)/6)&lt;='V06 Calend 01'!E95)),IF((104=('V06 Calend 01'!C95+(6*'V06 Calend 01'!E95))),('V06 Calend 01'!H95-('V06 Calend 01'!I95*('V06 Calend 01'!E95-1))),'V06 Calend 01'!I95),0))+IF((104='V06 Calend 01'!D95),'V06 Calend 01'!J95,0))</f>
        <v>0</v>
      </c>
      <c r="DM95" s="2">
        <f>((IF((105='V06 Calend 01'!C95),('V06 Calend 01'!F95+'V06 Calend 01'!G95),0)+IF(AND(('V06 Calend 01'!E95&gt;0),(105&gt;'V06 Calend 01'!C95),(105&lt;'V06 Calend 01'!D95),(MOD((105-'V06 Calend 01'!C95),6)=0),(((105-'V06 Calend 01'!C95)/6)&lt;='V06 Calend 01'!E95)),IF((105=('V06 Calend 01'!C95+(6*'V06 Calend 01'!E95))),('V06 Calend 01'!H95-('V06 Calend 01'!I95*('V06 Calend 01'!E95-1))),'V06 Calend 01'!I95),0))+IF((105='V06 Calend 01'!D95),'V06 Calend 01'!J95,0))</f>
        <v>0</v>
      </c>
      <c r="DN95" s="2">
        <f>((IF((106='V06 Calend 01'!C95),('V06 Calend 01'!F95+'V06 Calend 01'!G95),0)+IF(AND(('V06 Calend 01'!E95&gt;0),(106&gt;'V06 Calend 01'!C95),(106&lt;'V06 Calend 01'!D95),(MOD((106-'V06 Calend 01'!C95),6)=0),(((106-'V06 Calend 01'!C95)/6)&lt;='V06 Calend 01'!E95)),IF((106=('V06 Calend 01'!C95+(6*'V06 Calend 01'!E95))),('V06 Calend 01'!H95-('V06 Calend 01'!I95*('V06 Calend 01'!E95-1))),'V06 Calend 01'!I95),0))+IF((106='V06 Calend 01'!D95),'V06 Calend 01'!J95,0))</f>
        <v>0</v>
      </c>
      <c r="DO95" s="2">
        <f>((IF((107='V06 Calend 01'!C95),('V06 Calend 01'!F95+'V06 Calend 01'!G95),0)+IF(AND(('V06 Calend 01'!E95&gt;0),(107&gt;'V06 Calend 01'!C95),(107&lt;'V06 Calend 01'!D95),(MOD((107-'V06 Calend 01'!C95),6)=0),(((107-'V06 Calend 01'!C95)/6)&lt;='V06 Calend 01'!E95)),IF((107=('V06 Calend 01'!C95+(6*'V06 Calend 01'!E95))),('V06 Calend 01'!H95-('V06 Calend 01'!I95*('V06 Calend 01'!E95-1))),'V06 Calend 01'!I95),0))+IF((107='V06 Calend 01'!D95),'V06 Calend 01'!J95,0))</f>
        <v>0</v>
      </c>
      <c r="DP95" s="2">
        <f>((IF((108='V06 Calend 01'!C95),('V06 Calend 01'!F95+'V06 Calend 01'!G95),0)+IF(AND(('V06 Calend 01'!E95&gt;0),(108&gt;'V06 Calend 01'!C95),(108&lt;'V06 Calend 01'!D95),(MOD((108-'V06 Calend 01'!C95),6)=0),(((108-'V06 Calend 01'!C95)/6)&lt;='V06 Calend 01'!E95)),IF((108=('V06 Calend 01'!C95+(6*'V06 Calend 01'!E95))),('V06 Calend 01'!H95-('V06 Calend 01'!I95*('V06 Calend 01'!E95-1))),'V06 Calend 01'!I95),0))+IF((108='V06 Calend 01'!D95),'V06 Calend 01'!J95,0))</f>
        <v>0</v>
      </c>
      <c r="DQ95" s="2">
        <f>((IF((109='V06 Calend 01'!C95),('V06 Calend 01'!F95+'V06 Calend 01'!G95),0)+IF(AND(('V06 Calend 01'!E95&gt;0),(109&gt;'V06 Calend 01'!C95),(109&lt;'V06 Calend 01'!D95),(MOD((109-'V06 Calend 01'!C95),6)=0),(((109-'V06 Calend 01'!C95)/6)&lt;='V06 Calend 01'!E95)),IF((109=('V06 Calend 01'!C95+(6*'V06 Calend 01'!E95))),('V06 Calend 01'!H95-('V06 Calend 01'!I95*('V06 Calend 01'!E95-1))),'V06 Calend 01'!I95),0))+IF((109='V06 Calend 01'!D95),'V06 Calend 01'!J95,0))</f>
        <v>0</v>
      </c>
      <c r="DR95" s="2">
        <f>((IF((110='V06 Calend 01'!C95),('V06 Calend 01'!F95+'V06 Calend 01'!G95),0)+IF(AND(('V06 Calend 01'!E95&gt;0),(110&gt;'V06 Calend 01'!C95),(110&lt;'V06 Calend 01'!D95),(MOD((110-'V06 Calend 01'!C95),6)=0),(((110-'V06 Calend 01'!C95)/6)&lt;='V06 Calend 01'!E95)),IF((110=('V06 Calend 01'!C95+(6*'V06 Calend 01'!E95))),('V06 Calend 01'!H95-('V06 Calend 01'!I95*('V06 Calend 01'!E95-1))),'V06 Calend 01'!I95),0))+IF((110='V06 Calend 01'!D95),'V06 Calend 01'!J95,0))</f>
        <v>0</v>
      </c>
      <c r="DS95" s="2">
        <f>((IF((111='V06 Calend 01'!C95),('V06 Calend 01'!F95+'V06 Calend 01'!G95),0)+IF(AND(('V06 Calend 01'!E95&gt;0),(111&gt;'V06 Calend 01'!C95),(111&lt;'V06 Calend 01'!D95),(MOD((111-'V06 Calend 01'!C95),6)=0),(((111-'V06 Calend 01'!C95)/6)&lt;='V06 Calend 01'!E95)),IF((111=('V06 Calend 01'!C95+(6*'V06 Calend 01'!E95))),('V06 Calend 01'!H95-('V06 Calend 01'!I95*('V06 Calend 01'!E95-1))),'V06 Calend 01'!I95),0))+IF((111='V06 Calend 01'!D95),'V06 Calend 01'!J95,0))</f>
        <v>0</v>
      </c>
      <c r="DT95" s="2">
        <f>((IF((112='V06 Calend 01'!C95),('V06 Calend 01'!F95+'V06 Calend 01'!G95),0)+IF(AND(('V06 Calend 01'!E95&gt;0),(112&gt;'V06 Calend 01'!C95),(112&lt;'V06 Calend 01'!D95),(MOD((112-'V06 Calend 01'!C95),6)=0),(((112-'V06 Calend 01'!C95)/6)&lt;='V06 Calend 01'!E95)),IF((112=('V06 Calend 01'!C95+(6*'V06 Calend 01'!E95))),('V06 Calend 01'!H95-('V06 Calend 01'!I95*('V06 Calend 01'!E95-1))),'V06 Calend 01'!I95),0))+IF((112='V06 Calend 01'!D95),'V06 Calend 01'!J95,0))</f>
        <v>0</v>
      </c>
      <c r="DU95" s="2">
        <f>((IF((113='V06 Calend 01'!C95),('V06 Calend 01'!F95+'V06 Calend 01'!G95),0)+IF(AND(('V06 Calend 01'!E95&gt;0),(113&gt;'V06 Calend 01'!C95),(113&lt;'V06 Calend 01'!D95),(MOD((113-'V06 Calend 01'!C95),6)=0),(((113-'V06 Calend 01'!C95)/6)&lt;='V06 Calend 01'!E95)),IF((113=('V06 Calend 01'!C95+(6*'V06 Calend 01'!E95))),('V06 Calend 01'!H95-('V06 Calend 01'!I95*('V06 Calend 01'!E95-1))),'V06 Calend 01'!I95),0))+IF((113='V06 Calend 01'!D95),'V06 Calend 01'!J95,0))</f>
        <v>0</v>
      </c>
      <c r="DV95" s="2">
        <f>((IF((114='V06 Calend 01'!C95),('V06 Calend 01'!F95+'V06 Calend 01'!G95),0)+IF(AND(('V06 Calend 01'!E95&gt;0),(114&gt;'V06 Calend 01'!C95),(114&lt;'V06 Calend 01'!D95),(MOD((114-'V06 Calend 01'!C95),6)=0),(((114-'V06 Calend 01'!C95)/6)&lt;='V06 Calend 01'!E95)),IF((114=('V06 Calend 01'!C95+(6*'V06 Calend 01'!E95))),('V06 Calend 01'!H95-('V06 Calend 01'!I95*('V06 Calend 01'!E95-1))),'V06 Calend 01'!I95),0))+IF((114='V06 Calend 01'!D95),'V06 Calend 01'!J95,0))</f>
        <v>0</v>
      </c>
      <c r="DW95" s="2">
        <f>((IF((115='V06 Calend 01'!C95),('V06 Calend 01'!F95+'V06 Calend 01'!G95),0)+IF(AND(('V06 Calend 01'!E95&gt;0),(115&gt;'V06 Calend 01'!C95),(115&lt;'V06 Calend 01'!D95),(MOD((115-'V06 Calend 01'!C95),6)=0),(((115-'V06 Calend 01'!C95)/6)&lt;='V06 Calend 01'!E95)),IF((115=('V06 Calend 01'!C95+(6*'V06 Calend 01'!E95))),('V06 Calend 01'!H95-('V06 Calend 01'!I95*('V06 Calend 01'!E95-1))),'V06 Calend 01'!I95),0))+IF((115='V06 Calend 01'!D95),'V06 Calend 01'!J95,0))</f>
        <v>0</v>
      </c>
      <c r="DX95" s="2">
        <f>((IF((116='V06 Calend 01'!C95),('V06 Calend 01'!F95+'V06 Calend 01'!G95),0)+IF(AND(('V06 Calend 01'!E95&gt;0),(116&gt;'V06 Calend 01'!C95),(116&lt;'V06 Calend 01'!D95),(MOD((116-'V06 Calend 01'!C95),6)=0),(((116-'V06 Calend 01'!C95)/6)&lt;='V06 Calend 01'!E95)),IF((116=('V06 Calend 01'!C95+(6*'V06 Calend 01'!E95))),('V06 Calend 01'!H95-('V06 Calend 01'!I95*('V06 Calend 01'!E95-1))),'V06 Calend 01'!I95),0))+IF((116='V06 Calend 01'!D95),'V06 Calend 01'!J95,0))</f>
        <v>0</v>
      </c>
      <c r="DY95" s="2">
        <f>((IF((117='V06 Calend 01'!C95),('V06 Calend 01'!F95+'V06 Calend 01'!G95),0)+IF(AND(('V06 Calend 01'!E95&gt;0),(117&gt;'V06 Calend 01'!C95),(117&lt;'V06 Calend 01'!D95),(MOD((117-'V06 Calend 01'!C95),6)=0),(((117-'V06 Calend 01'!C95)/6)&lt;='V06 Calend 01'!E95)),IF((117=('V06 Calend 01'!C95+(6*'V06 Calend 01'!E95))),('V06 Calend 01'!H95-('V06 Calend 01'!I95*('V06 Calend 01'!E95-1))),'V06 Calend 01'!I95),0))+IF((117='V06 Calend 01'!D95),'V06 Calend 01'!J95,0))</f>
        <v>0</v>
      </c>
      <c r="DZ95" s="2">
        <f>((IF((118='V06 Calend 01'!C95),('V06 Calend 01'!F95+'V06 Calend 01'!G95),0)+IF(AND(('V06 Calend 01'!E95&gt;0),(118&gt;'V06 Calend 01'!C95),(118&lt;'V06 Calend 01'!D95),(MOD((118-'V06 Calend 01'!C95),6)=0),(((118-'V06 Calend 01'!C95)/6)&lt;='V06 Calend 01'!E95)),IF((118=('V06 Calend 01'!C95+(6*'V06 Calend 01'!E95))),('V06 Calend 01'!H95-('V06 Calend 01'!I95*('V06 Calend 01'!E95-1))),'V06 Calend 01'!I95),0))+IF((118='V06 Calend 01'!D95),'V06 Calend 01'!J95,0))</f>
        <v>0</v>
      </c>
      <c r="EA95" s="2">
        <f>((IF((119='V06 Calend 01'!C95),('V06 Calend 01'!F95+'V06 Calend 01'!G95),0)+IF(AND(('V06 Calend 01'!E95&gt;0),(119&gt;'V06 Calend 01'!C95),(119&lt;'V06 Calend 01'!D95),(MOD((119-'V06 Calend 01'!C95),6)=0),(((119-'V06 Calend 01'!C95)/6)&lt;='V06 Calend 01'!E95)),IF((119=('V06 Calend 01'!C95+(6*'V06 Calend 01'!E95))),('V06 Calend 01'!H95-('V06 Calend 01'!I95*('V06 Calend 01'!E95-1))),'V06 Calend 01'!I95),0))+IF((119='V06 Calend 01'!D95),'V06 Calend 01'!J95,0))</f>
        <v>0</v>
      </c>
      <c r="EB95" s="2">
        <f>((IF((120='V06 Calend 01'!C95),('V06 Calend 01'!F95+'V06 Calend 01'!G95),0)+IF(AND(('V06 Calend 01'!E95&gt;0),(120&gt;'V06 Calend 01'!C95),(120&lt;'V06 Calend 01'!D95),(MOD((120-'V06 Calend 01'!C95),6)=0),(((120-'V06 Calend 01'!C95)/6)&lt;='V06 Calend 01'!E95)),IF((120=('V06 Calend 01'!C95+(6*'V06 Calend 01'!E95))),('V06 Calend 01'!H95-('V06 Calend 01'!I95*('V06 Calend 01'!E95-1))),'V06 Calend 01'!I95),0))+IF((120='V06 Calend 01'!D95),'V06 Calend 01'!J95,0))</f>
        <v>0</v>
      </c>
      <c r="EC95" s="2">
        <f>((IF((121='V06 Calend 01'!C95),('V06 Calend 01'!F95+'V06 Calend 01'!G95),0)+IF(AND(('V06 Calend 01'!E95&gt;0),(121&gt;'V06 Calend 01'!C95),(121&lt;'V06 Calend 01'!D95),(MOD((121-'V06 Calend 01'!C95),6)=0),(((121-'V06 Calend 01'!C95)/6)&lt;='V06 Calend 01'!E95)),IF((121=('V06 Calend 01'!C95+(6*'V06 Calend 01'!E95))),('V06 Calend 01'!H95-('V06 Calend 01'!I95*('V06 Calend 01'!E95-1))),'V06 Calend 01'!I95),0))+IF((121='V06 Calend 01'!D95),'V06 Calend 01'!J95,0))</f>
        <v>0</v>
      </c>
      <c r="ED95" s="2">
        <f>((IF((122='V06 Calend 01'!C95),('V06 Calend 01'!F95+'V06 Calend 01'!G95),0)+IF(AND(('V06 Calend 01'!E95&gt;0),(122&gt;'V06 Calend 01'!C95),(122&lt;'V06 Calend 01'!D95),(MOD((122-'V06 Calend 01'!C95),6)=0),(((122-'V06 Calend 01'!C95)/6)&lt;='V06 Calend 01'!E95)),IF((122=('V06 Calend 01'!C95+(6*'V06 Calend 01'!E95))),('V06 Calend 01'!H95-('V06 Calend 01'!I95*('V06 Calend 01'!E95-1))),'V06 Calend 01'!I95),0))+IF((122='V06 Calend 01'!D95),'V06 Calend 01'!J95,0))</f>
        <v>0</v>
      </c>
      <c r="EE95" s="2">
        <f>((IF((123='V06 Calend 01'!C95),('V06 Calend 01'!F95+'V06 Calend 01'!G95),0)+IF(AND(('V06 Calend 01'!E95&gt;0),(123&gt;'V06 Calend 01'!C95),(123&lt;'V06 Calend 01'!D95),(MOD((123-'V06 Calend 01'!C95),6)=0),(((123-'V06 Calend 01'!C95)/6)&lt;='V06 Calend 01'!E95)),IF((123=('V06 Calend 01'!C95+(6*'V06 Calend 01'!E95))),('V06 Calend 01'!H95-('V06 Calend 01'!I95*('V06 Calend 01'!E95-1))),'V06 Calend 01'!I95),0))+IF((123='V06 Calend 01'!D95),'V06 Calend 01'!J95,0))</f>
        <v>0</v>
      </c>
      <c r="EF95" s="2">
        <f>((IF((124='V06 Calend 01'!C95),('V06 Calend 01'!F95+'V06 Calend 01'!G95),0)+IF(AND(('V06 Calend 01'!E95&gt;0),(124&gt;'V06 Calend 01'!C95),(124&lt;'V06 Calend 01'!D95),(MOD((124-'V06 Calend 01'!C95),6)=0),(((124-'V06 Calend 01'!C95)/6)&lt;='V06 Calend 01'!E95)),IF((124=('V06 Calend 01'!C95+(6*'V06 Calend 01'!E95))),('V06 Calend 01'!H95-('V06 Calend 01'!I95*('V06 Calend 01'!E95-1))),'V06 Calend 01'!I95),0))+IF((124='V06 Calend 01'!D95),'V06 Calend 01'!J95,0))</f>
        <v>0</v>
      </c>
      <c r="EG95" s="2">
        <f>((IF((125='V06 Calend 01'!C95),('V06 Calend 01'!F95+'V06 Calend 01'!G95),0)+IF(AND(('V06 Calend 01'!E95&gt;0),(125&gt;'V06 Calend 01'!C95),(125&lt;'V06 Calend 01'!D95),(MOD((125-'V06 Calend 01'!C95),6)=0),(((125-'V06 Calend 01'!C95)/6)&lt;='V06 Calend 01'!E95)),IF((125=('V06 Calend 01'!C95+(6*'V06 Calend 01'!E95))),('V06 Calend 01'!H95-('V06 Calend 01'!I95*('V06 Calend 01'!E95-1))),'V06 Calend 01'!I95),0))+IF((125='V06 Calend 01'!D95),'V06 Calend 01'!J95,0))</f>
        <v>0</v>
      </c>
      <c r="EH95" s="2">
        <f>((IF((126='V06 Calend 01'!C95),('V06 Calend 01'!F95+'V06 Calend 01'!G95),0)+IF(AND(('V06 Calend 01'!E95&gt;0),(126&gt;'V06 Calend 01'!C95),(126&lt;'V06 Calend 01'!D95),(MOD((126-'V06 Calend 01'!C95),6)=0),(((126-'V06 Calend 01'!C95)/6)&lt;='V06 Calend 01'!E95)),IF((126=('V06 Calend 01'!C95+(6*'V06 Calend 01'!E95))),('V06 Calend 01'!H95-('V06 Calend 01'!I95*('V06 Calend 01'!E95-1))),'V06 Calend 01'!I95),0))+IF((126='V06 Calend 01'!D95),'V06 Calend 01'!J95,0))</f>
        <v>0</v>
      </c>
      <c r="EI95" s="2">
        <f>((IF((127='V06 Calend 01'!C95),('V06 Calend 01'!F95+'V06 Calend 01'!G95),0)+IF(AND(('V06 Calend 01'!E95&gt;0),(127&gt;'V06 Calend 01'!C95),(127&lt;'V06 Calend 01'!D95),(MOD((127-'V06 Calend 01'!C95),6)=0),(((127-'V06 Calend 01'!C95)/6)&lt;='V06 Calend 01'!E95)),IF((127=('V06 Calend 01'!C95+(6*'V06 Calend 01'!E95))),('V06 Calend 01'!H95-('V06 Calend 01'!I95*('V06 Calend 01'!E95-1))),'V06 Calend 01'!I95),0))+IF((127='V06 Calend 01'!D95),'V06 Calend 01'!J95,0))</f>
        <v>0</v>
      </c>
      <c r="EJ95" s="2">
        <f>((IF((128='V06 Calend 01'!C95),('V06 Calend 01'!F95+'V06 Calend 01'!G95),0)+IF(AND(('V06 Calend 01'!E95&gt;0),(128&gt;'V06 Calend 01'!C95),(128&lt;'V06 Calend 01'!D95),(MOD((128-'V06 Calend 01'!C95),6)=0),(((128-'V06 Calend 01'!C95)/6)&lt;='V06 Calend 01'!E95)),IF((128=('V06 Calend 01'!C95+(6*'V06 Calend 01'!E95))),('V06 Calend 01'!H95-('V06 Calend 01'!I95*('V06 Calend 01'!E95-1))),'V06 Calend 01'!I95),0))+IF((128='V06 Calend 01'!D95),'V06 Calend 01'!J95,0))</f>
        <v>0</v>
      </c>
      <c r="EK95" s="2">
        <f>((IF((129='V06 Calend 01'!C95),('V06 Calend 01'!F95+'V06 Calend 01'!G95),0)+IF(AND(('V06 Calend 01'!E95&gt;0),(129&gt;'V06 Calend 01'!C95),(129&lt;'V06 Calend 01'!D95),(MOD((129-'V06 Calend 01'!C95),6)=0),(((129-'V06 Calend 01'!C95)/6)&lt;='V06 Calend 01'!E95)),IF((129=('V06 Calend 01'!C95+(6*'V06 Calend 01'!E95))),('V06 Calend 01'!H95-('V06 Calend 01'!I95*('V06 Calend 01'!E95-1))),'V06 Calend 01'!I95),0))+IF((129='V06 Calend 01'!D95),'V06 Calend 01'!J95,0))</f>
        <v>0</v>
      </c>
      <c r="EL95" s="2">
        <f>((IF((130='V06 Calend 01'!C95),('V06 Calend 01'!F95+'V06 Calend 01'!G95),0)+IF(AND(('V06 Calend 01'!E95&gt;0),(130&gt;'V06 Calend 01'!C95),(130&lt;'V06 Calend 01'!D95),(MOD((130-'V06 Calend 01'!C95),6)=0),(((130-'V06 Calend 01'!C95)/6)&lt;='V06 Calend 01'!E95)),IF((130=('V06 Calend 01'!C95+(6*'V06 Calend 01'!E95))),('V06 Calend 01'!H95-('V06 Calend 01'!I95*('V06 Calend 01'!E95-1))),'V06 Calend 01'!I95),0))+IF((130='V06 Calend 01'!D95),'V06 Calend 01'!J95,0))</f>
        <v>0</v>
      </c>
      <c r="EM95" s="2">
        <f>((IF((131='V06 Calend 01'!C95),('V06 Calend 01'!F95+'V06 Calend 01'!G95),0)+IF(AND(('V06 Calend 01'!E95&gt;0),(131&gt;'V06 Calend 01'!C95),(131&lt;'V06 Calend 01'!D95),(MOD((131-'V06 Calend 01'!C95),6)=0),(((131-'V06 Calend 01'!C95)/6)&lt;='V06 Calend 01'!E95)),IF((131=('V06 Calend 01'!C95+(6*'V06 Calend 01'!E95))),('V06 Calend 01'!H95-('V06 Calend 01'!I95*('V06 Calend 01'!E95-1))),'V06 Calend 01'!I95),0))+IF((131='V06 Calend 01'!D95),'V06 Calend 01'!J95,0))</f>
        <v>0</v>
      </c>
      <c r="EN95" s="2">
        <f>((IF((132='V06 Calend 01'!C95),('V06 Calend 01'!F95+'V06 Calend 01'!G95),0)+IF(AND(('V06 Calend 01'!E95&gt;0),(132&gt;'V06 Calend 01'!C95),(132&lt;'V06 Calend 01'!D95),(MOD((132-'V06 Calend 01'!C95),6)=0),(((132-'V06 Calend 01'!C95)/6)&lt;='V06 Calend 01'!E95)),IF((132=('V06 Calend 01'!C95+(6*'V06 Calend 01'!E95))),('V06 Calend 01'!H95-('V06 Calend 01'!I95*('V06 Calend 01'!E95-1))),'V06 Calend 01'!I95),0))+IF((132='V06 Calend 01'!D95),'V06 Calend 01'!J95,0))</f>
        <v>0</v>
      </c>
      <c r="EO95" s="2">
        <f>((IF((133='V06 Calend 01'!C95),('V06 Calend 01'!F95+'V06 Calend 01'!G95),0)+IF(AND(('V06 Calend 01'!E95&gt;0),(133&gt;'V06 Calend 01'!C95),(133&lt;'V06 Calend 01'!D95),(MOD((133-'V06 Calend 01'!C95),6)=0),(((133-'V06 Calend 01'!C95)/6)&lt;='V06 Calend 01'!E95)),IF((133=('V06 Calend 01'!C95+(6*'V06 Calend 01'!E95))),('V06 Calend 01'!H95-('V06 Calend 01'!I95*('V06 Calend 01'!E95-1))),'V06 Calend 01'!I95),0))+IF((133='V06 Calend 01'!D95),'V06 Calend 01'!J95,0))</f>
        <v>0</v>
      </c>
      <c r="EP95" s="2">
        <f>((IF((134='V06 Calend 01'!C95),('V06 Calend 01'!F95+'V06 Calend 01'!G95),0)+IF(AND(('V06 Calend 01'!E95&gt;0),(134&gt;'V06 Calend 01'!C95),(134&lt;'V06 Calend 01'!D95),(MOD((134-'V06 Calend 01'!C95),6)=0),(((134-'V06 Calend 01'!C95)/6)&lt;='V06 Calend 01'!E95)),IF((134=('V06 Calend 01'!C95+(6*'V06 Calend 01'!E95))),('V06 Calend 01'!H95-('V06 Calend 01'!I95*('V06 Calend 01'!E95-1))),'V06 Calend 01'!I95),0))+IF((134='V06 Calend 01'!D95),'V06 Calend 01'!J95,0))</f>
        <v>0</v>
      </c>
      <c r="EQ95" s="2">
        <f>((IF((135='V06 Calend 01'!C95),('V06 Calend 01'!F95+'V06 Calend 01'!G95),0)+IF(AND(('V06 Calend 01'!E95&gt;0),(135&gt;'V06 Calend 01'!C95),(135&lt;'V06 Calend 01'!D95),(MOD((135-'V06 Calend 01'!C95),6)=0),(((135-'V06 Calend 01'!C95)/6)&lt;='V06 Calend 01'!E95)),IF((135=('V06 Calend 01'!C95+(6*'V06 Calend 01'!E95))),('V06 Calend 01'!H95-('V06 Calend 01'!I95*('V06 Calend 01'!E95-1))),'V06 Calend 01'!I95),0))+IF((135='V06 Calend 01'!D95),'V06 Calend 01'!J95,0))</f>
        <v>0</v>
      </c>
      <c r="ER95" s="2">
        <f>((IF((136='V06 Calend 01'!C95),('V06 Calend 01'!F95+'V06 Calend 01'!G95),0)+IF(AND(('V06 Calend 01'!E95&gt;0),(136&gt;'V06 Calend 01'!C95),(136&lt;'V06 Calend 01'!D95),(MOD((136-'V06 Calend 01'!C95),6)=0),(((136-'V06 Calend 01'!C95)/6)&lt;='V06 Calend 01'!E95)),IF((136=('V06 Calend 01'!C95+(6*'V06 Calend 01'!E95))),('V06 Calend 01'!H95-('V06 Calend 01'!I95*('V06 Calend 01'!E95-1))),'V06 Calend 01'!I95),0))+IF((136='V06 Calend 01'!D95),'V06 Calend 01'!J95,0))</f>
        <v>0</v>
      </c>
      <c r="ES95" s="2">
        <f>((IF((137='V06 Calend 01'!C95),('V06 Calend 01'!F95+'V06 Calend 01'!G95),0)+IF(AND(('V06 Calend 01'!E95&gt;0),(137&gt;'V06 Calend 01'!C95),(137&lt;'V06 Calend 01'!D95),(MOD((137-'V06 Calend 01'!C95),6)=0),(((137-'V06 Calend 01'!C95)/6)&lt;='V06 Calend 01'!E95)),IF((137=('V06 Calend 01'!C95+(6*'V06 Calend 01'!E95))),('V06 Calend 01'!H95-('V06 Calend 01'!I95*('V06 Calend 01'!E95-1))),'V06 Calend 01'!I95),0))+IF((137='V06 Calend 01'!D95),'V06 Calend 01'!J95,0))</f>
        <v>0</v>
      </c>
      <c r="ET95" s="2">
        <f>((IF((138='V06 Calend 01'!C95),('V06 Calend 01'!F95+'V06 Calend 01'!G95),0)+IF(AND(('V06 Calend 01'!E95&gt;0),(138&gt;'V06 Calend 01'!C95),(138&lt;'V06 Calend 01'!D95),(MOD((138-'V06 Calend 01'!C95),6)=0),(((138-'V06 Calend 01'!C95)/6)&lt;='V06 Calend 01'!E95)),IF((138=('V06 Calend 01'!C95+(6*'V06 Calend 01'!E95))),('V06 Calend 01'!H95-('V06 Calend 01'!I95*('V06 Calend 01'!E95-1))),'V06 Calend 01'!I95),0))+IF((138='V06 Calend 01'!D95),'V06 Calend 01'!J95,0))</f>
        <v>0</v>
      </c>
      <c r="EU95" s="2">
        <f>((IF((139='V06 Calend 01'!C95),('V06 Calend 01'!F95+'V06 Calend 01'!G95),0)+IF(AND(('V06 Calend 01'!E95&gt;0),(139&gt;'V06 Calend 01'!C95),(139&lt;'V06 Calend 01'!D95),(MOD((139-'V06 Calend 01'!C95),6)=0),(((139-'V06 Calend 01'!C95)/6)&lt;='V06 Calend 01'!E95)),IF((139=('V06 Calend 01'!C95+(6*'V06 Calend 01'!E95))),('V06 Calend 01'!H95-('V06 Calend 01'!I95*('V06 Calend 01'!E95-1))),'V06 Calend 01'!I95),0))+IF((139='V06 Calend 01'!D95),'V06 Calend 01'!J95,0))</f>
        <v>0</v>
      </c>
      <c r="EV95" s="2">
        <f>((IF((140='V06 Calend 01'!C95),('V06 Calend 01'!F95+'V06 Calend 01'!G95),0)+IF(AND(('V06 Calend 01'!E95&gt;0),(140&gt;'V06 Calend 01'!C95),(140&lt;'V06 Calend 01'!D95),(MOD((140-'V06 Calend 01'!C95),6)=0),(((140-'V06 Calend 01'!C95)/6)&lt;='V06 Calend 01'!E95)),IF((140=('V06 Calend 01'!C95+(6*'V06 Calend 01'!E95))),('V06 Calend 01'!H95-('V06 Calend 01'!I95*('V06 Calend 01'!E95-1))),'V06 Calend 01'!I95),0))+IF((140='V06 Calend 01'!D95),'V06 Calend 01'!J95,0))</f>
        <v>0</v>
      </c>
      <c r="EW95" s="2">
        <f>((IF((141='V06 Calend 01'!C95),('V06 Calend 01'!F95+'V06 Calend 01'!G95),0)+IF(AND(('V06 Calend 01'!E95&gt;0),(141&gt;'V06 Calend 01'!C95),(141&lt;'V06 Calend 01'!D95),(MOD((141-'V06 Calend 01'!C95),6)=0),(((141-'V06 Calend 01'!C95)/6)&lt;='V06 Calend 01'!E95)),IF((141=('V06 Calend 01'!C95+(6*'V06 Calend 01'!E95))),('V06 Calend 01'!H95-('V06 Calend 01'!I95*('V06 Calend 01'!E95-1))),'V06 Calend 01'!I95),0))+IF((141='V06 Calend 01'!D95),'V06 Calend 01'!J95,0))</f>
        <v>0</v>
      </c>
      <c r="EX95" s="2">
        <f>((IF((142='V06 Calend 01'!C95),('V06 Calend 01'!F95+'V06 Calend 01'!G95),0)+IF(AND(('V06 Calend 01'!E95&gt;0),(142&gt;'V06 Calend 01'!C95),(142&lt;'V06 Calend 01'!D95),(MOD((142-'V06 Calend 01'!C95),6)=0),(((142-'V06 Calend 01'!C95)/6)&lt;='V06 Calend 01'!E95)),IF((142=('V06 Calend 01'!C95+(6*'V06 Calend 01'!E95))),('V06 Calend 01'!H95-('V06 Calend 01'!I95*('V06 Calend 01'!E95-1))),'V06 Calend 01'!I95),0))+IF((142='V06 Calend 01'!D95),'V06 Calend 01'!J95,0))</f>
        <v>0</v>
      </c>
      <c r="EY95" s="2">
        <f>((IF((143='V06 Calend 01'!C95),('V06 Calend 01'!F95+'V06 Calend 01'!G95),0)+IF(AND(('V06 Calend 01'!E95&gt;0),(143&gt;'V06 Calend 01'!C95),(143&lt;'V06 Calend 01'!D95),(MOD((143-'V06 Calend 01'!C95),6)=0),(((143-'V06 Calend 01'!C95)/6)&lt;='V06 Calend 01'!E95)),IF((143=('V06 Calend 01'!C95+(6*'V06 Calend 01'!E95))),('V06 Calend 01'!H95-('V06 Calend 01'!I95*('V06 Calend 01'!E95-1))),'V06 Calend 01'!I95),0))+IF((143='V06 Calend 01'!D95),'V06 Calend 01'!J95,0))</f>
        <v>0</v>
      </c>
      <c r="EZ95" s="2">
        <f>((IF((144='V06 Calend 01'!C95),('V06 Calend 01'!F95+'V06 Calend 01'!G95),0)+IF(AND(('V06 Calend 01'!E95&gt;0),(144&gt;'V06 Calend 01'!C95),(144&lt;'V06 Calend 01'!D95),(MOD((144-'V06 Calend 01'!C95),6)=0),(((144-'V06 Calend 01'!C95)/6)&lt;='V06 Calend 01'!E95)),IF((144=('V06 Calend 01'!C95+(6*'V06 Calend 01'!E95))),('V06 Calend 01'!H95-('V06 Calend 01'!I95*('V06 Calend 01'!E95-1))),'V06 Calend 01'!I95),0))+IF((144='V06 Calend 01'!D95),'V06 Calend 01'!J95,0))</f>
        <v>0</v>
      </c>
      <c r="FA95" s="2">
        <f>((IF((145='V06 Calend 01'!C95),('V06 Calend 01'!F95+'V06 Calend 01'!G95),0)+IF(AND(('V06 Calend 01'!E95&gt;0),(145&gt;'V06 Calend 01'!C95),(145&lt;'V06 Calend 01'!D95),(MOD((145-'V06 Calend 01'!C95),6)=0),(((145-'V06 Calend 01'!C95)/6)&lt;='V06 Calend 01'!E95)),IF((145=('V06 Calend 01'!C95+(6*'V06 Calend 01'!E95))),('V06 Calend 01'!H95-('V06 Calend 01'!I95*('V06 Calend 01'!E95-1))),'V06 Calend 01'!I95),0))+IF((145='V06 Calend 01'!D95),'V06 Calend 01'!J95,0))</f>
        <v>0</v>
      </c>
      <c r="FB95" s="2">
        <f>((IF((146='V06 Calend 01'!C95),('V06 Calend 01'!F95+'V06 Calend 01'!G95),0)+IF(AND(('V06 Calend 01'!E95&gt;0),(146&gt;'V06 Calend 01'!C95),(146&lt;'V06 Calend 01'!D95),(MOD((146-'V06 Calend 01'!C95),6)=0),(((146-'V06 Calend 01'!C95)/6)&lt;='V06 Calend 01'!E95)),IF((146=('V06 Calend 01'!C95+(6*'V06 Calend 01'!E95))),('V06 Calend 01'!H95-('V06 Calend 01'!I95*('V06 Calend 01'!E95-1))),'V06 Calend 01'!I95),0))+IF((146='V06 Calend 01'!D95),'V06 Calend 01'!J95,0))</f>
        <v>0</v>
      </c>
      <c r="FC95" s="2">
        <f>((IF((147='V06 Calend 01'!C95),('V06 Calend 01'!F95+'V06 Calend 01'!G95),0)+IF(AND(('V06 Calend 01'!E95&gt;0),(147&gt;'V06 Calend 01'!C95),(147&lt;'V06 Calend 01'!D95),(MOD((147-'V06 Calend 01'!C95),6)=0),(((147-'V06 Calend 01'!C95)/6)&lt;='V06 Calend 01'!E95)),IF((147=('V06 Calend 01'!C95+(6*'V06 Calend 01'!E95))),('V06 Calend 01'!H95-('V06 Calend 01'!I95*('V06 Calend 01'!E95-1))),'V06 Calend 01'!I95),0))+IF((147='V06 Calend 01'!D95),'V06 Calend 01'!J95,0))</f>
        <v>0</v>
      </c>
      <c r="FD95" s="2">
        <f>((IF((148='V06 Calend 01'!C95),('V06 Calend 01'!F95+'V06 Calend 01'!G95),0)+IF(AND(('V06 Calend 01'!E95&gt;0),(148&gt;'V06 Calend 01'!C95),(148&lt;'V06 Calend 01'!D95),(MOD((148-'V06 Calend 01'!C95),6)=0),(((148-'V06 Calend 01'!C95)/6)&lt;='V06 Calend 01'!E95)),IF((148=('V06 Calend 01'!C95+(6*'V06 Calend 01'!E95))),('V06 Calend 01'!H95-('V06 Calend 01'!I95*('V06 Calend 01'!E95-1))),'V06 Calend 01'!I95),0))+IF((148='V06 Calend 01'!D95),'V06 Calend 01'!J95,0))</f>
        <v>0</v>
      </c>
      <c r="FE95" s="2">
        <f>((IF((149='V06 Calend 01'!C95),('V06 Calend 01'!F95+'V06 Calend 01'!G95),0)+IF(AND(('V06 Calend 01'!E95&gt;0),(149&gt;'V06 Calend 01'!C95),(149&lt;'V06 Calend 01'!D95),(MOD((149-'V06 Calend 01'!C95),6)=0),(((149-'V06 Calend 01'!C95)/6)&lt;='V06 Calend 01'!E95)),IF((149=('V06 Calend 01'!C95+(6*'V06 Calend 01'!E95))),('V06 Calend 01'!H95-('V06 Calend 01'!I95*('V06 Calend 01'!E95-1))),'V06 Calend 01'!I95),0))+IF((149='V06 Calend 01'!D95),'V06 Calend 01'!J95,0))</f>
        <v>0</v>
      </c>
      <c r="FF95" s="2">
        <f>((IF((150='V06 Calend 01'!C95),('V06 Calend 01'!F95+'V06 Calend 01'!G95),0)+IF(AND(('V06 Calend 01'!E95&gt;0),(150&gt;'V06 Calend 01'!C95),(150&lt;'V06 Calend 01'!D95),(MOD((150-'V06 Calend 01'!C95),6)=0),(((150-'V06 Calend 01'!C95)/6)&lt;='V06 Calend 01'!E95)),IF((150=('V06 Calend 01'!C95+(6*'V06 Calend 01'!E95))),('V06 Calend 01'!H95-('V06 Calend 01'!I95*('V06 Calend 01'!E95-1))),'V06 Calend 01'!I95),0))+IF((150='V06 Calend 01'!D95),'V06 Calend 01'!J95,0))</f>
        <v>0</v>
      </c>
      <c r="FG95" s="2">
        <f>((IF((151='V06 Calend 01'!C95),('V06 Calend 01'!F95+'V06 Calend 01'!G95),0)+IF(AND(('V06 Calend 01'!E95&gt;0),(151&gt;'V06 Calend 01'!C95),(151&lt;'V06 Calend 01'!D95),(MOD((151-'V06 Calend 01'!C95),6)=0),(((151-'V06 Calend 01'!C95)/6)&lt;='V06 Calend 01'!E95)),IF((151=('V06 Calend 01'!C95+(6*'V06 Calend 01'!E95))),('V06 Calend 01'!H95-('V06 Calend 01'!I95*('V06 Calend 01'!E95-1))),'V06 Calend 01'!I95),0))+IF((151='V06 Calend 01'!D95),'V06 Calend 01'!J95,0))</f>
        <v>0</v>
      </c>
      <c r="FH95" s="2">
        <f>((IF((152='V06 Calend 01'!C95),('V06 Calend 01'!F95+'V06 Calend 01'!G95),0)+IF(AND(('V06 Calend 01'!E95&gt;0),(152&gt;'V06 Calend 01'!C95),(152&lt;'V06 Calend 01'!D95),(MOD((152-'V06 Calend 01'!C95),6)=0),(((152-'V06 Calend 01'!C95)/6)&lt;='V06 Calend 01'!E95)),IF((152=('V06 Calend 01'!C95+(6*'V06 Calend 01'!E95))),('V06 Calend 01'!H95-('V06 Calend 01'!I95*('V06 Calend 01'!E95-1))),'V06 Calend 01'!I95),0))+IF((152='V06 Calend 01'!D95),'V06 Calend 01'!J95,0))</f>
        <v>0</v>
      </c>
      <c r="FI95" s="2">
        <f>((IF((153='V06 Calend 01'!C95),('V06 Calend 01'!F95+'V06 Calend 01'!G95),0)+IF(AND(('V06 Calend 01'!E95&gt;0),(153&gt;'V06 Calend 01'!C95),(153&lt;'V06 Calend 01'!D95),(MOD((153-'V06 Calend 01'!C95),6)=0),(((153-'V06 Calend 01'!C95)/6)&lt;='V06 Calend 01'!E95)),IF((153=('V06 Calend 01'!C95+(6*'V06 Calend 01'!E95))),('V06 Calend 01'!H95-('V06 Calend 01'!I95*('V06 Calend 01'!E95-1))),'V06 Calend 01'!I95),0))+IF((153='V06 Calend 01'!D95),'V06 Calend 01'!J95,0))</f>
        <v>0</v>
      </c>
      <c r="FJ95" s="2">
        <f>((IF((154='V06 Calend 01'!C95),('V06 Calend 01'!F95+'V06 Calend 01'!G95),0)+IF(AND(('V06 Calend 01'!E95&gt;0),(154&gt;'V06 Calend 01'!C95),(154&lt;'V06 Calend 01'!D95),(MOD((154-'V06 Calend 01'!C95),6)=0),(((154-'V06 Calend 01'!C95)/6)&lt;='V06 Calend 01'!E95)),IF((154=('V06 Calend 01'!C95+(6*'V06 Calend 01'!E95))),('V06 Calend 01'!H95-('V06 Calend 01'!I95*('V06 Calend 01'!E95-1))),'V06 Calend 01'!I95),0))+IF((154='V06 Calend 01'!D95),'V06 Calend 01'!J95,0))</f>
        <v>0</v>
      </c>
      <c r="FK95" s="2">
        <f>((IF((155='V06 Calend 01'!C95),('V06 Calend 01'!F95+'V06 Calend 01'!G95),0)+IF(AND(('V06 Calend 01'!E95&gt;0),(155&gt;'V06 Calend 01'!C95),(155&lt;'V06 Calend 01'!D95),(MOD((155-'V06 Calend 01'!C95),6)=0),(((155-'V06 Calend 01'!C95)/6)&lt;='V06 Calend 01'!E95)),IF((155=('V06 Calend 01'!C95+(6*'V06 Calend 01'!E95))),('V06 Calend 01'!H95-('V06 Calend 01'!I95*('V06 Calend 01'!E95-1))),'V06 Calend 01'!I95),0))+IF((155='V06 Calend 01'!D95),'V06 Calend 01'!J95,0))</f>
        <v>0</v>
      </c>
      <c r="FL95" s="2">
        <f>((IF((156='V06 Calend 01'!C95),('V06 Calend 01'!F95+'V06 Calend 01'!G95),0)+IF(AND(('V06 Calend 01'!E95&gt;0),(156&gt;'V06 Calend 01'!C95),(156&lt;'V06 Calend 01'!D95),(MOD((156-'V06 Calend 01'!C95),6)=0),(((156-'V06 Calend 01'!C95)/6)&lt;='V06 Calend 01'!E95)),IF((156=('V06 Calend 01'!C95+(6*'V06 Calend 01'!E95))),('V06 Calend 01'!H95-('V06 Calend 01'!I95*('V06 Calend 01'!E95-1))),'V06 Calend 01'!I95),0))+IF((156='V06 Calend 01'!D95),'V06 Calend 01'!J95,0))</f>
        <v>0</v>
      </c>
      <c r="FM95" s="2">
        <f>((IF((157='V06 Calend 01'!C95),('V06 Calend 01'!F95+'V06 Calend 01'!G95),0)+IF(AND(('V06 Calend 01'!E95&gt;0),(157&gt;'V06 Calend 01'!C95),(157&lt;'V06 Calend 01'!D95),(MOD((157-'V06 Calend 01'!C95),6)=0),(((157-'V06 Calend 01'!C95)/6)&lt;='V06 Calend 01'!E95)),IF((157=('V06 Calend 01'!C95+(6*'V06 Calend 01'!E95))),('V06 Calend 01'!H95-('V06 Calend 01'!I95*('V06 Calend 01'!E95-1))),'V06 Calend 01'!I95),0))+IF((157='V06 Calend 01'!D95),'V06 Calend 01'!J95,0))</f>
        <v>0</v>
      </c>
      <c r="FN95" s="2">
        <f>((IF((158='V06 Calend 01'!C95),('V06 Calend 01'!F95+'V06 Calend 01'!G95),0)+IF(AND(('V06 Calend 01'!E95&gt;0),(158&gt;'V06 Calend 01'!C95),(158&lt;'V06 Calend 01'!D95),(MOD((158-'V06 Calend 01'!C95),6)=0),(((158-'V06 Calend 01'!C95)/6)&lt;='V06 Calend 01'!E95)),IF((158=('V06 Calend 01'!C95+(6*'V06 Calend 01'!E95))),('V06 Calend 01'!H95-('V06 Calend 01'!I95*('V06 Calend 01'!E95-1))),'V06 Calend 01'!I95),0))+IF((158='V06 Calend 01'!D95),'V06 Calend 01'!J95,0))</f>
        <v>0</v>
      </c>
      <c r="FO95" s="2">
        <f>((IF((159='V06 Calend 01'!C95),('V06 Calend 01'!F95+'V06 Calend 01'!G95),0)+IF(AND(('V06 Calend 01'!E95&gt;0),(159&gt;'V06 Calend 01'!C95),(159&lt;'V06 Calend 01'!D95),(MOD((159-'V06 Calend 01'!C95),6)=0),(((159-'V06 Calend 01'!C95)/6)&lt;='V06 Calend 01'!E95)),IF((159=('V06 Calend 01'!C95+(6*'V06 Calend 01'!E95))),('V06 Calend 01'!H95-('V06 Calend 01'!I95*('V06 Calend 01'!E95-1))),'V06 Calend 01'!I95),0))+IF((159='V06 Calend 01'!D95),'V06 Calend 01'!J95,0))</f>
        <v>0</v>
      </c>
      <c r="FP95" s="2">
        <f>((IF((160='V06 Calend 01'!C95),('V06 Calend 01'!F95+'V06 Calend 01'!G95),0)+IF(AND(('V06 Calend 01'!E95&gt;0),(160&gt;'V06 Calend 01'!C95),(160&lt;'V06 Calend 01'!D95),(MOD((160-'V06 Calend 01'!C95),6)=0),(((160-'V06 Calend 01'!C95)/6)&lt;='V06 Calend 01'!E95)),IF((160=('V06 Calend 01'!C95+(6*'V06 Calend 01'!E95))),('V06 Calend 01'!H95-('V06 Calend 01'!I95*('V06 Calend 01'!E95-1))),'V06 Calend 01'!I95),0))+IF((160='V06 Calend 01'!D95),'V06 Calend 01'!J95,0))</f>
        <v>0</v>
      </c>
      <c r="FQ95" s="2">
        <f>((IF((161='V06 Calend 01'!C95),('V06 Calend 01'!F95+'V06 Calend 01'!G95),0)+IF(AND(('V06 Calend 01'!E95&gt;0),(161&gt;'V06 Calend 01'!C95),(161&lt;'V06 Calend 01'!D95),(MOD((161-'V06 Calend 01'!C95),6)=0),(((161-'V06 Calend 01'!C95)/6)&lt;='V06 Calend 01'!E95)),IF((161=('V06 Calend 01'!C95+(6*'V06 Calend 01'!E95))),('V06 Calend 01'!H95-('V06 Calend 01'!I95*('V06 Calend 01'!E95-1))),'V06 Calend 01'!I95),0))+IF((161='V06 Calend 01'!D95),'V06 Calend 01'!J95,0))</f>
        <v>0</v>
      </c>
      <c r="FR95" s="2">
        <f>((IF((162='V06 Calend 01'!C95),('V06 Calend 01'!F95+'V06 Calend 01'!G95),0)+IF(AND(('V06 Calend 01'!E95&gt;0),(162&gt;'V06 Calend 01'!C95),(162&lt;'V06 Calend 01'!D95),(MOD((162-'V06 Calend 01'!C95),6)=0),(((162-'V06 Calend 01'!C95)/6)&lt;='V06 Calend 01'!E95)),IF((162=('V06 Calend 01'!C95+(6*'V06 Calend 01'!E95))),('V06 Calend 01'!H95-('V06 Calend 01'!I95*('V06 Calend 01'!E95-1))),'V06 Calend 01'!I95),0))+IF((162='V06 Calend 01'!D95),'V06 Calend 01'!J95,0))</f>
        <v>0</v>
      </c>
      <c r="FS95" s="2">
        <f>((IF((163='V06 Calend 01'!C95),('V06 Calend 01'!F95+'V06 Calend 01'!G95),0)+IF(AND(('V06 Calend 01'!E95&gt;0),(163&gt;'V06 Calend 01'!C95),(163&lt;'V06 Calend 01'!D95),(MOD((163-'V06 Calend 01'!C95),6)=0),(((163-'V06 Calend 01'!C95)/6)&lt;='V06 Calend 01'!E95)),IF((163=('V06 Calend 01'!C95+(6*'V06 Calend 01'!E95))),('V06 Calend 01'!H95-('V06 Calend 01'!I95*('V06 Calend 01'!E95-1))),'V06 Calend 01'!I95),0))+IF((163='V06 Calend 01'!D95),'V06 Calend 01'!J95,0))</f>
        <v>0</v>
      </c>
      <c r="FT95" s="2">
        <f>((IF((164='V06 Calend 01'!C95),('V06 Calend 01'!F95+'V06 Calend 01'!G95),0)+IF(AND(('V06 Calend 01'!E95&gt;0),(164&gt;'V06 Calend 01'!C95),(164&lt;'V06 Calend 01'!D95),(MOD((164-'V06 Calend 01'!C95),6)=0),(((164-'V06 Calend 01'!C95)/6)&lt;='V06 Calend 01'!E95)),IF((164=('V06 Calend 01'!C95+(6*'V06 Calend 01'!E95))),('V06 Calend 01'!H95-('V06 Calend 01'!I95*('V06 Calend 01'!E95-1))),'V06 Calend 01'!I95),0))+IF((164='V06 Calend 01'!D95),'V06 Calend 01'!J95,0))</f>
        <v>0</v>
      </c>
      <c r="FU95" s="2">
        <f>((IF((165='V06 Calend 01'!C95),('V06 Calend 01'!F95+'V06 Calend 01'!G95),0)+IF(AND(('V06 Calend 01'!E95&gt;0),(165&gt;'V06 Calend 01'!C95),(165&lt;'V06 Calend 01'!D95),(MOD((165-'V06 Calend 01'!C95),6)=0),(((165-'V06 Calend 01'!C95)/6)&lt;='V06 Calend 01'!E95)),IF((165=('V06 Calend 01'!C95+(6*'V06 Calend 01'!E95))),('V06 Calend 01'!H95-('V06 Calend 01'!I95*('V06 Calend 01'!E95-1))),'V06 Calend 01'!I95),0))+IF((165='V06 Calend 01'!D95),'V06 Calend 01'!J95,0))</f>
        <v>0</v>
      </c>
      <c r="FV95" s="2">
        <f>((IF((166='V06 Calend 01'!C95),('V06 Calend 01'!F95+'V06 Calend 01'!G95),0)+IF(AND(('V06 Calend 01'!E95&gt;0),(166&gt;'V06 Calend 01'!C95),(166&lt;'V06 Calend 01'!D95),(MOD((166-'V06 Calend 01'!C95),6)=0),(((166-'V06 Calend 01'!C95)/6)&lt;='V06 Calend 01'!E95)),IF((166=('V06 Calend 01'!C95+(6*'V06 Calend 01'!E95))),('V06 Calend 01'!H95-('V06 Calend 01'!I95*('V06 Calend 01'!E95-1))),'V06 Calend 01'!I95),0))+IF((166='V06 Calend 01'!D95),'V06 Calend 01'!J95,0))</f>
        <v>0</v>
      </c>
      <c r="FW95" s="2">
        <f>((IF((167='V06 Calend 01'!C95),('V06 Calend 01'!F95+'V06 Calend 01'!G95),0)+IF(AND(('V06 Calend 01'!E95&gt;0),(167&gt;'V06 Calend 01'!C95),(167&lt;'V06 Calend 01'!D95),(MOD((167-'V06 Calend 01'!C95),6)=0),(((167-'V06 Calend 01'!C95)/6)&lt;='V06 Calend 01'!E95)),IF((167=('V06 Calend 01'!C95+(6*'V06 Calend 01'!E95))),('V06 Calend 01'!H95-('V06 Calend 01'!I95*('V06 Calend 01'!E95-1))),'V06 Calend 01'!I95),0))+IF((167='V06 Calend 01'!D95),'V06 Calend 01'!J95,0))</f>
        <v>0</v>
      </c>
      <c r="FX95" s="2">
        <f>((IF((168='V06 Calend 01'!C95),('V06 Calend 01'!F95+'V06 Calend 01'!G95),0)+IF(AND(('V06 Calend 01'!E95&gt;0),(168&gt;'V06 Calend 01'!C95),(168&lt;'V06 Calend 01'!D95),(MOD((168-'V06 Calend 01'!C95),6)=0),(((168-'V06 Calend 01'!C95)/6)&lt;='V06 Calend 01'!E95)),IF((168=('V06 Calend 01'!C95+(6*'V06 Calend 01'!E95))),('V06 Calend 01'!H95-('V06 Calend 01'!I95*('V06 Calend 01'!E95-1))),'V06 Calend 01'!I95),0))+IF((168='V06 Calend 01'!D95),'V06 Calend 01'!J95,0))</f>
        <v>0</v>
      </c>
      <c r="FY95" s="2">
        <f>((IF((169='V06 Calend 01'!C95),('V06 Calend 01'!F95+'V06 Calend 01'!G95),0)+IF(AND(('V06 Calend 01'!E95&gt;0),(169&gt;'V06 Calend 01'!C95),(169&lt;'V06 Calend 01'!D95),(MOD((169-'V06 Calend 01'!C95),6)=0),(((169-'V06 Calend 01'!C95)/6)&lt;='V06 Calend 01'!E95)),IF((169=('V06 Calend 01'!C95+(6*'V06 Calend 01'!E95))),('V06 Calend 01'!H95-('V06 Calend 01'!I95*('V06 Calend 01'!E95-1))),'V06 Calend 01'!I95),0))+IF((169='V06 Calend 01'!D95),'V06 Calend 01'!J95,0))</f>
        <v>0</v>
      </c>
      <c r="FZ95" s="2">
        <f>((IF((170='V06 Calend 01'!C95),('V06 Calend 01'!F95+'V06 Calend 01'!G95),0)+IF(AND(('V06 Calend 01'!E95&gt;0),(170&gt;'V06 Calend 01'!C95),(170&lt;'V06 Calend 01'!D95),(MOD((170-'V06 Calend 01'!C95),6)=0),(((170-'V06 Calend 01'!C95)/6)&lt;='V06 Calend 01'!E95)),IF((170=('V06 Calend 01'!C95+(6*'V06 Calend 01'!E95))),('V06 Calend 01'!H95-('V06 Calend 01'!I95*('V06 Calend 01'!E95-1))),'V06 Calend 01'!I95),0))+IF((170='V06 Calend 01'!D95),'V06 Calend 01'!J95,0))</f>
        <v>0</v>
      </c>
      <c r="GA95" s="2">
        <f>((IF((171='V06 Calend 01'!C95),('V06 Calend 01'!F95+'V06 Calend 01'!G95),0)+IF(AND(('V06 Calend 01'!E95&gt;0),(171&gt;'V06 Calend 01'!C95),(171&lt;'V06 Calend 01'!D95),(MOD((171-'V06 Calend 01'!C95),6)=0),(((171-'V06 Calend 01'!C95)/6)&lt;='V06 Calend 01'!E95)),IF((171=('V06 Calend 01'!C95+(6*'V06 Calend 01'!E95))),('V06 Calend 01'!H95-('V06 Calend 01'!I95*('V06 Calend 01'!E95-1))),'V06 Calend 01'!I95),0))+IF((171='V06 Calend 01'!D95),'V06 Calend 01'!J95,0))</f>
        <v>0</v>
      </c>
      <c r="GB95" s="2">
        <f>((IF((172='V06 Calend 01'!C95),('V06 Calend 01'!F95+'V06 Calend 01'!G95),0)+IF(AND(('V06 Calend 01'!E95&gt;0),(172&gt;'V06 Calend 01'!C95),(172&lt;'V06 Calend 01'!D95),(MOD((172-'V06 Calend 01'!C95),6)=0),(((172-'V06 Calend 01'!C95)/6)&lt;='V06 Calend 01'!E95)),IF((172=('V06 Calend 01'!C95+(6*'V06 Calend 01'!E95))),('V06 Calend 01'!H95-('V06 Calend 01'!I95*('V06 Calend 01'!E95-1))),'V06 Calend 01'!I95),0))+IF((172='V06 Calend 01'!D95),'V06 Calend 01'!J95,0))</f>
        <v>0</v>
      </c>
      <c r="GC95" s="2">
        <f>((IF((173='V06 Calend 01'!C95),('V06 Calend 01'!F95+'V06 Calend 01'!G95),0)+IF(AND(('V06 Calend 01'!E95&gt;0),(173&gt;'V06 Calend 01'!C95),(173&lt;'V06 Calend 01'!D95),(MOD((173-'V06 Calend 01'!C95),6)=0),(((173-'V06 Calend 01'!C95)/6)&lt;='V06 Calend 01'!E95)),IF((173=('V06 Calend 01'!C95+(6*'V06 Calend 01'!E95))),('V06 Calend 01'!H95-('V06 Calend 01'!I95*('V06 Calend 01'!E95-1))),'V06 Calend 01'!I95),0))+IF((173='V06 Calend 01'!D95),'V06 Calend 01'!J95,0))</f>
        <v>0</v>
      </c>
      <c r="GD95" s="2">
        <f>((IF((174='V06 Calend 01'!C95),('V06 Calend 01'!F95+'V06 Calend 01'!G95),0)+IF(AND(('V06 Calend 01'!E95&gt;0),(174&gt;'V06 Calend 01'!C95),(174&lt;'V06 Calend 01'!D95),(MOD((174-'V06 Calend 01'!C95),6)=0),(((174-'V06 Calend 01'!C95)/6)&lt;='V06 Calend 01'!E95)),IF((174=('V06 Calend 01'!C95+(6*'V06 Calend 01'!E95))),('V06 Calend 01'!H95-('V06 Calend 01'!I95*('V06 Calend 01'!E95-1))),'V06 Calend 01'!I95),0))+IF((174='V06 Calend 01'!D95),'V06 Calend 01'!J95,0))</f>
        <v>0</v>
      </c>
      <c r="GE95" s="2">
        <f>((IF((175='V06 Calend 01'!C95),('V06 Calend 01'!F95+'V06 Calend 01'!G95),0)+IF(AND(('V06 Calend 01'!E95&gt;0),(175&gt;'V06 Calend 01'!C95),(175&lt;'V06 Calend 01'!D95),(MOD((175-'V06 Calend 01'!C95),6)=0),(((175-'V06 Calend 01'!C95)/6)&lt;='V06 Calend 01'!E95)),IF((175=('V06 Calend 01'!C95+(6*'V06 Calend 01'!E95))),('V06 Calend 01'!H95-('V06 Calend 01'!I95*('V06 Calend 01'!E95-1))),'V06 Calend 01'!I95),0))+IF((175='V06 Calend 01'!D95),'V06 Calend 01'!J95,0))</f>
        <v>0</v>
      </c>
      <c r="GF95" s="2">
        <f>((IF((176='V06 Calend 01'!C95),('V06 Calend 01'!F95+'V06 Calend 01'!G95),0)+IF(AND(('V06 Calend 01'!E95&gt;0),(176&gt;'V06 Calend 01'!C95),(176&lt;'V06 Calend 01'!D95),(MOD((176-'V06 Calend 01'!C95),6)=0),(((176-'V06 Calend 01'!C95)/6)&lt;='V06 Calend 01'!E95)),IF((176=('V06 Calend 01'!C95+(6*'V06 Calend 01'!E95))),('V06 Calend 01'!H95-('V06 Calend 01'!I95*('V06 Calend 01'!E95-1))),'V06 Calend 01'!I95),0))+IF((176='V06 Calend 01'!D95),'V06 Calend 01'!J95,0))</f>
        <v>0</v>
      </c>
      <c r="GG95" s="2">
        <f>((IF((177='V06 Calend 01'!C95),('V06 Calend 01'!F95+'V06 Calend 01'!G95),0)+IF(AND(('V06 Calend 01'!E95&gt;0),(177&gt;'V06 Calend 01'!C95),(177&lt;'V06 Calend 01'!D95),(MOD((177-'V06 Calend 01'!C95),6)=0),(((177-'V06 Calend 01'!C95)/6)&lt;='V06 Calend 01'!E95)),IF((177=('V06 Calend 01'!C95+(6*'V06 Calend 01'!E95))),('V06 Calend 01'!H95-('V06 Calend 01'!I95*('V06 Calend 01'!E95-1))),'V06 Calend 01'!I95),0))+IF((177='V06 Calend 01'!D95),'V06 Calend 01'!J95,0))</f>
        <v>0</v>
      </c>
      <c r="GH95" s="2">
        <f>((IF((178='V06 Calend 01'!C95),('V06 Calend 01'!F95+'V06 Calend 01'!G95),0)+IF(AND(('V06 Calend 01'!E95&gt;0),(178&gt;'V06 Calend 01'!C95),(178&lt;'V06 Calend 01'!D95),(MOD((178-'V06 Calend 01'!C95),6)=0),(((178-'V06 Calend 01'!C95)/6)&lt;='V06 Calend 01'!E95)),IF((178=('V06 Calend 01'!C95+(6*'V06 Calend 01'!E95))),('V06 Calend 01'!H95-('V06 Calend 01'!I95*('V06 Calend 01'!E95-1))),'V06 Calend 01'!I95),0))+IF((178='V06 Calend 01'!D95),'V06 Calend 01'!J95,0))</f>
        <v>0</v>
      </c>
      <c r="GI95" s="2">
        <f>((IF((179='V06 Calend 01'!C95),('V06 Calend 01'!F95+'V06 Calend 01'!G95),0)+IF(AND(('V06 Calend 01'!E95&gt;0),(179&gt;'V06 Calend 01'!C95),(179&lt;'V06 Calend 01'!D95),(MOD((179-'V06 Calend 01'!C95),6)=0),(((179-'V06 Calend 01'!C95)/6)&lt;='V06 Calend 01'!E95)),IF((179=('V06 Calend 01'!C95+(6*'V06 Calend 01'!E95))),('V06 Calend 01'!H95-('V06 Calend 01'!I95*('V06 Calend 01'!E95-1))),'V06 Calend 01'!I95),0))+IF((179='V06 Calend 01'!D95),'V06 Calend 01'!J95,0))</f>
        <v>0</v>
      </c>
      <c r="GJ95" s="2">
        <f>((IF((180='V06 Calend 01'!C95),('V06 Calend 01'!F95+'V06 Calend 01'!G95),0)+IF(AND(('V06 Calend 01'!E95&gt;0),(180&gt;'V06 Calend 01'!C95),(180&lt;'V06 Calend 01'!D95),(MOD((180-'V06 Calend 01'!C95),6)=0),(((180-'V06 Calend 01'!C95)/6)&lt;='V06 Calend 01'!E95)),IF((180=('V06 Calend 01'!C95+(6*'V06 Calend 01'!E95))),('V06 Calend 01'!H95-('V06 Calend 01'!I95*('V06 Calend 01'!E95-1))),'V06 Calend 01'!I95),0))+IF((180='V06 Calend 01'!D95),'V06 Calend 01'!J95,0))</f>
        <v>0</v>
      </c>
    </row>
    <row r="96" spans="1:192">
      <c r="A96" s="3" t="str">
        <f>'V06 Unidades'!$A$96</f>
        <v>1102</v>
      </c>
      <c r="B96" s="2">
        <f>'V06 Unidades'!$H$96</f>
        <v>1515000</v>
      </c>
      <c r="C96" s="4">
        <f>('V06 Unidades'!$I$96+'V06 Controlos'!$B$37)</f>
        <v>22</v>
      </c>
      <c r="D96" s="4">
        <f>IF(('V06 Controlos'!$B$38&gt;0),MAX(('V06 Unidades'!$L$96+'V06 Controlos'!$B$37),(30+'V06 Controlos'!$B$38)),('V06 Unidades'!$L$96+'V06 Controlos'!$B$37))</f>
        <v>30</v>
      </c>
      <c r="E96" s="4">
        <f>MAX(0,INT(((('V06 Calend 01'!D96-'V06 Calend 01'!C96)-1)/6)))</f>
        <v>1</v>
      </c>
      <c r="F96" s="2">
        <f>ROUND(('V06 Calend 01'!B96*0.05),2)</f>
        <v>75750.0</v>
      </c>
      <c r="G96" s="2">
        <f>ROUND(('V06 Calend 01'!B96*0.2),2)</f>
        <v>303000.0</v>
      </c>
      <c r="H96" s="2">
        <f>ROUND(('V06 Calend 01'!B96*0.55),2)</f>
        <v>833250.0</v>
      </c>
      <c r="I96" s="2">
        <f>ROUND(('V06 Calend 01'!H96/MAX(1,'V06 Calend 01'!E96)),2)</f>
        <v>833250.0</v>
      </c>
      <c r="J96" s="2">
        <f>((('V06 Calend 01'!B96-'V06 Calend 01'!F96)-'V06 Calend 01'!G96)-'V06 Calend 01'!H96)</f>
        <v>303000.0</v>
      </c>
      <c r="K96" s="2">
        <f>('V06 Calend 01'!B96*0.025)</f>
        <v>37875.0</v>
      </c>
      <c r="L96" t="s">
        <v>378</v>
      </c>
      <c r="M96" s="2">
        <f>((IF((1='V06 Calend 01'!C96),('V06 Calend 01'!F96+'V06 Calend 01'!G96),0)+IF(AND(('V06 Calend 01'!E96&gt;0),(1&gt;'V06 Calend 01'!C96),(1&lt;'V06 Calend 01'!D96),(MOD((1-'V06 Calend 01'!C96),6)=0),(((1-'V06 Calend 01'!C96)/6)&lt;='V06 Calend 01'!E96)),IF((1=('V06 Calend 01'!C96+(6*'V06 Calend 01'!E96))),('V06 Calend 01'!H96-('V06 Calend 01'!I96*('V06 Calend 01'!E96-1))),'V06 Calend 01'!I96),0))+IF((1='V06 Calend 01'!D96),'V06 Calend 01'!J96,0))</f>
        <v>0</v>
      </c>
      <c r="N96" s="2">
        <f>((IF((2='V06 Calend 01'!C96),('V06 Calend 01'!F96+'V06 Calend 01'!G96),0)+IF(AND(('V06 Calend 01'!E96&gt;0),(2&gt;'V06 Calend 01'!C96),(2&lt;'V06 Calend 01'!D96),(MOD((2-'V06 Calend 01'!C96),6)=0),(((2-'V06 Calend 01'!C96)/6)&lt;='V06 Calend 01'!E96)),IF((2=('V06 Calend 01'!C96+(6*'V06 Calend 01'!E96))),('V06 Calend 01'!H96-('V06 Calend 01'!I96*('V06 Calend 01'!E96-1))),'V06 Calend 01'!I96),0))+IF((2='V06 Calend 01'!D96),'V06 Calend 01'!J96,0))</f>
        <v>0</v>
      </c>
      <c r="O96" s="2">
        <f>((IF((3='V06 Calend 01'!C96),('V06 Calend 01'!F96+'V06 Calend 01'!G96),0)+IF(AND(('V06 Calend 01'!E96&gt;0),(3&gt;'V06 Calend 01'!C96),(3&lt;'V06 Calend 01'!D96),(MOD((3-'V06 Calend 01'!C96),6)=0),(((3-'V06 Calend 01'!C96)/6)&lt;='V06 Calend 01'!E96)),IF((3=('V06 Calend 01'!C96+(6*'V06 Calend 01'!E96))),('V06 Calend 01'!H96-('V06 Calend 01'!I96*('V06 Calend 01'!E96-1))),'V06 Calend 01'!I96),0))+IF((3='V06 Calend 01'!D96),'V06 Calend 01'!J96,0))</f>
        <v>0</v>
      </c>
      <c r="P96" s="2">
        <f>((IF((4='V06 Calend 01'!C96),('V06 Calend 01'!F96+'V06 Calend 01'!G96),0)+IF(AND(('V06 Calend 01'!E96&gt;0),(4&gt;'V06 Calend 01'!C96),(4&lt;'V06 Calend 01'!D96),(MOD((4-'V06 Calend 01'!C96),6)=0),(((4-'V06 Calend 01'!C96)/6)&lt;='V06 Calend 01'!E96)),IF((4=('V06 Calend 01'!C96+(6*'V06 Calend 01'!E96))),('V06 Calend 01'!H96-('V06 Calend 01'!I96*('V06 Calend 01'!E96-1))),'V06 Calend 01'!I96),0))+IF((4='V06 Calend 01'!D96),'V06 Calend 01'!J96,0))</f>
        <v>0</v>
      </c>
      <c r="Q96" s="2">
        <f>((IF((5='V06 Calend 01'!C96),('V06 Calend 01'!F96+'V06 Calend 01'!G96),0)+IF(AND(('V06 Calend 01'!E96&gt;0),(5&gt;'V06 Calend 01'!C96),(5&lt;'V06 Calend 01'!D96),(MOD((5-'V06 Calend 01'!C96),6)=0),(((5-'V06 Calend 01'!C96)/6)&lt;='V06 Calend 01'!E96)),IF((5=('V06 Calend 01'!C96+(6*'V06 Calend 01'!E96))),('V06 Calend 01'!H96-('V06 Calend 01'!I96*('V06 Calend 01'!E96-1))),'V06 Calend 01'!I96),0))+IF((5='V06 Calend 01'!D96),'V06 Calend 01'!J96,0))</f>
        <v>0</v>
      </c>
      <c r="R96" s="2">
        <f>((IF((6='V06 Calend 01'!C96),('V06 Calend 01'!F96+'V06 Calend 01'!G96),0)+IF(AND(('V06 Calend 01'!E96&gt;0),(6&gt;'V06 Calend 01'!C96),(6&lt;'V06 Calend 01'!D96),(MOD((6-'V06 Calend 01'!C96),6)=0),(((6-'V06 Calend 01'!C96)/6)&lt;='V06 Calend 01'!E96)),IF((6=('V06 Calend 01'!C96+(6*'V06 Calend 01'!E96))),('V06 Calend 01'!H96-('V06 Calend 01'!I96*('V06 Calend 01'!E96-1))),'V06 Calend 01'!I96),0))+IF((6='V06 Calend 01'!D96),'V06 Calend 01'!J96,0))</f>
        <v>0</v>
      </c>
      <c r="S96" s="2">
        <f>((IF((7='V06 Calend 01'!C96),('V06 Calend 01'!F96+'V06 Calend 01'!G96),0)+IF(AND(('V06 Calend 01'!E96&gt;0),(7&gt;'V06 Calend 01'!C96),(7&lt;'V06 Calend 01'!D96),(MOD((7-'V06 Calend 01'!C96),6)=0),(((7-'V06 Calend 01'!C96)/6)&lt;='V06 Calend 01'!E96)),IF((7=('V06 Calend 01'!C96+(6*'V06 Calend 01'!E96))),('V06 Calend 01'!H96-('V06 Calend 01'!I96*('V06 Calend 01'!E96-1))),'V06 Calend 01'!I96),0))+IF((7='V06 Calend 01'!D96),'V06 Calend 01'!J96,0))</f>
        <v>0</v>
      </c>
      <c r="T96" s="2">
        <f>((IF((8='V06 Calend 01'!C96),('V06 Calend 01'!F96+'V06 Calend 01'!G96),0)+IF(AND(('V06 Calend 01'!E96&gt;0),(8&gt;'V06 Calend 01'!C96),(8&lt;'V06 Calend 01'!D96),(MOD((8-'V06 Calend 01'!C96),6)=0),(((8-'V06 Calend 01'!C96)/6)&lt;='V06 Calend 01'!E96)),IF((8=('V06 Calend 01'!C96+(6*'V06 Calend 01'!E96))),('V06 Calend 01'!H96-('V06 Calend 01'!I96*('V06 Calend 01'!E96-1))),'V06 Calend 01'!I96),0))+IF((8='V06 Calend 01'!D96),'V06 Calend 01'!J96,0))</f>
        <v>0</v>
      </c>
      <c r="U96" s="2">
        <f>((IF((9='V06 Calend 01'!C96),('V06 Calend 01'!F96+'V06 Calend 01'!G96),0)+IF(AND(('V06 Calend 01'!E96&gt;0),(9&gt;'V06 Calend 01'!C96),(9&lt;'V06 Calend 01'!D96),(MOD((9-'V06 Calend 01'!C96),6)=0),(((9-'V06 Calend 01'!C96)/6)&lt;='V06 Calend 01'!E96)),IF((9=('V06 Calend 01'!C96+(6*'V06 Calend 01'!E96))),('V06 Calend 01'!H96-('V06 Calend 01'!I96*('V06 Calend 01'!E96-1))),'V06 Calend 01'!I96),0))+IF((9='V06 Calend 01'!D96),'V06 Calend 01'!J96,0))</f>
        <v>0</v>
      </c>
      <c r="V96" s="2">
        <f>((IF((10='V06 Calend 01'!C96),('V06 Calend 01'!F96+'V06 Calend 01'!G96),0)+IF(AND(('V06 Calend 01'!E96&gt;0),(10&gt;'V06 Calend 01'!C96),(10&lt;'V06 Calend 01'!D96),(MOD((10-'V06 Calend 01'!C96),6)=0),(((10-'V06 Calend 01'!C96)/6)&lt;='V06 Calend 01'!E96)),IF((10=('V06 Calend 01'!C96+(6*'V06 Calend 01'!E96))),('V06 Calend 01'!H96-('V06 Calend 01'!I96*('V06 Calend 01'!E96-1))),'V06 Calend 01'!I96),0))+IF((10='V06 Calend 01'!D96),'V06 Calend 01'!J96,0))</f>
        <v>0</v>
      </c>
      <c r="W96" s="2">
        <f>((IF((11='V06 Calend 01'!C96),('V06 Calend 01'!F96+'V06 Calend 01'!G96),0)+IF(AND(('V06 Calend 01'!E96&gt;0),(11&gt;'V06 Calend 01'!C96),(11&lt;'V06 Calend 01'!D96),(MOD((11-'V06 Calend 01'!C96),6)=0),(((11-'V06 Calend 01'!C96)/6)&lt;='V06 Calend 01'!E96)),IF((11=('V06 Calend 01'!C96+(6*'V06 Calend 01'!E96))),('V06 Calend 01'!H96-('V06 Calend 01'!I96*('V06 Calend 01'!E96-1))),'V06 Calend 01'!I96),0))+IF((11='V06 Calend 01'!D96),'V06 Calend 01'!J96,0))</f>
        <v>0</v>
      </c>
      <c r="X96" s="2">
        <f>((IF((12='V06 Calend 01'!C96),('V06 Calend 01'!F96+'V06 Calend 01'!G96),0)+IF(AND(('V06 Calend 01'!E96&gt;0),(12&gt;'V06 Calend 01'!C96),(12&lt;'V06 Calend 01'!D96),(MOD((12-'V06 Calend 01'!C96),6)=0),(((12-'V06 Calend 01'!C96)/6)&lt;='V06 Calend 01'!E96)),IF((12=('V06 Calend 01'!C96+(6*'V06 Calend 01'!E96))),('V06 Calend 01'!H96-('V06 Calend 01'!I96*('V06 Calend 01'!E96-1))),'V06 Calend 01'!I96),0))+IF((12='V06 Calend 01'!D96),'V06 Calend 01'!J96,0))</f>
        <v>0</v>
      </c>
      <c r="Y96" s="2">
        <f>((IF((13='V06 Calend 01'!C96),('V06 Calend 01'!F96+'V06 Calend 01'!G96),0)+IF(AND(('V06 Calend 01'!E96&gt;0),(13&gt;'V06 Calend 01'!C96),(13&lt;'V06 Calend 01'!D96),(MOD((13-'V06 Calend 01'!C96),6)=0),(((13-'V06 Calend 01'!C96)/6)&lt;='V06 Calend 01'!E96)),IF((13=('V06 Calend 01'!C96+(6*'V06 Calend 01'!E96))),('V06 Calend 01'!H96-('V06 Calend 01'!I96*('V06 Calend 01'!E96-1))),'V06 Calend 01'!I96),0))+IF((13='V06 Calend 01'!D96),'V06 Calend 01'!J96,0))</f>
        <v>0</v>
      </c>
      <c r="Z96" s="2">
        <f>((IF((14='V06 Calend 01'!C96),('V06 Calend 01'!F96+'V06 Calend 01'!G96),0)+IF(AND(('V06 Calend 01'!E96&gt;0),(14&gt;'V06 Calend 01'!C96),(14&lt;'V06 Calend 01'!D96),(MOD((14-'V06 Calend 01'!C96),6)=0),(((14-'V06 Calend 01'!C96)/6)&lt;='V06 Calend 01'!E96)),IF((14=('V06 Calend 01'!C96+(6*'V06 Calend 01'!E96))),('V06 Calend 01'!H96-('V06 Calend 01'!I96*('V06 Calend 01'!E96-1))),'V06 Calend 01'!I96),0))+IF((14='V06 Calend 01'!D96),'V06 Calend 01'!J96,0))</f>
        <v>0</v>
      </c>
      <c r="AA96" s="2">
        <f>((IF((15='V06 Calend 01'!C96),('V06 Calend 01'!F96+'V06 Calend 01'!G96),0)+IF(AND(('V06 Calend 01'!E96&gt;0),(15&gt;'V06 Calend 01'!C96),(15&lt;'V06 Calend 01'!D96),(MOD((15-'V06 Calend 01'!C96),6)=0),(((15-'V06 Calend 01'!C96)/6)&lt;='V06 Calend 01'!E96)),IF((15=('V06 Calend 01'!C96+(6*'V06 Calend 01'!E96))),('V06 Calend 01'!H96-('V06 Calend 01'!I96*('V06 Calend 01'!E96-1))),'V06 Calend 01'!I96),0))+IF((15='V06 Calend 01'!D96),'V06 Calend 01'!J96,0))</f>
        <v>0</v>
      </c>
      <c r="AB96" s="2">
        <f>((IF((16='V06 Calend 01'!C96),('V06 Calend 01'!F96+'V06 Calend 01'!G96),0)+IF(AND(('V06 Calend 01'!E96&gt;0),(16&gt;'V06 Calend 01'!C96),(16&lt;'V06 Calend 01'!D96),(MOD((16-'V06 Calend 01'!C96),6)=0),(((16-'V06 Calend 01'!C96)/6)&lt;='V06 Calend 01'!E96)),IF((16=('V06 Calend 01'!C96+(6*'V06 Calend 01'!E96))),('V06 Calend 01'!H96-('V06 Calend 01'!I96*('V06 Calend 01'!E96-1))),'V06 Calend 01'!I96),0))+IF((16='V06 Calend 01'!D96),'V06 Calend 01'!J96,0))</f>
        <v>0</v>
      </c>
      <c r="AC96" s="2">
        <f>((IF((17='V06 Calend 01'!C96),('V06 Calend 01'!F96+'V06 Calend 01'!G96),0)+IF(AND(('V06 Calend 01'!E96&gt;0),(17&gt;'V06 Calend 01'!C96),(17&lt;'V06 Calend 01'!D96),(MOD((17-'V06 Calend 01'!C96),6)=0),(((17-'V06 Calend 01'!C96)/6)&lt;='V06 Calend 01'!E96)),IF((17=('V06 Calend 01'!C96+(6*'V06 Calend 01'!E96))),('V06 Calend 01'!H96-('V06 Calend 01'!I96*('V06 Calend 01'!E96-1))),'V06 Calend 01'!I96),0))+IF((17='V06 Calend 01'!D96),'V06 Calend 01'!J96,0))</f>
        <v>0</v>
      </c>
      <c r="AD96" s="2">
        <f>((IF((18='V06 Calend 01'!C96),('V06 Calend 01'!F96+'V06 Calend 01'!G96),0)+IF(AND(('V06 Calend 01'!E96&gt;0),(18&gt;'V06 Calend 01'!C96),(18&lt;'V06 Calend 01'!D96),(MOD((18-'V06 Calend 01'!C96),6)=0),(((18-'V06 Calend 01'!C96)/6)&lt;='V06 Calend 01'!E96)),IF((18=('V06 Calend 01'!C96+(6*'V06 Calend 01'!E96))),('V06 Calend 01'!H96-('V06 Calend 01'!I96*('V06 Calend 01'!E96-1))),'V06 Calend 01'!I96),0))+IF((18='V06 Calend 01'!D96),'V06 Calend 01'!J96,0))</f>
        <v>0</v>
      </c>
      <c r="AE96" s="2">
        <f>((IF((19='V06 Calend 01'!C96),('V06 Calend 01'!F96+'V06 Calend 01'!G96),0)+IF(AND(('V06 Calend 01'!E96&gt;0),(19&gt;'V06 Calend 01'!C96),(19&lt;'V06 Calend 01'!D96),(MOD((19-'V06 Calend 01'!C96),6)=0),(((19-'V06 Calend 01'!C96)/6)&lt;='V06 Calend 01'!E96)),IF((19=('V06 Calend 01'!C96+(6*'V06 Calend 01'!E96))),('V06 Calend 01'!H96-('V06 Calend 01'!I96*('V06 Calend 01'!E96-1))),'V06 Calend 01'!I96),0))+IF((19='V06 Calend 01'!D96),'V06 Calend 01'!J96,0))</f>
        <v>0</v>
      </c>
      <c r="AF96" s="2">
        <f>((IF((20='V06 Calend 01'!C96),('V06 Calend 01'!F96+'V06 Calend 01'!G96),0)+IF(AND(('V06 Calend 01'!E96&gt;0),(20&gt;'V06 Calend 01'!C96),(20&lt;'V06 Calend 01'!D96),(MOD((20-'V06 Calend 01'!C96),6)=0),(((20-'V06 Calend 01'!C96)/6)&lt;='V06 Calend 01'!E96)),IF((20=('V06 Calend 01'!C96+(6*'V06 Calend 01'!E96))),('V06 Calend 01'!H96-('V06 Calend 01'!I96*('V06 Calend 01'!E96-1))),'V06 Calend 01'!I96),0))+IF((20='V06 Calend 01'!D96),'V06 Calend 01'!J96,0))</f>
        <v>0</v>
      </c>
      <c r="AG96" s="2">
        <f>((IF((21='V06 Calend 01'!C96),('V06 Calend 01'!F96+'V06 Calend 01'!G96),0)+IF(AND(('V06 Calend 01'!E96&gt;0),(21&gt;'V06 Calend 01'!C96),(21&lt;'V06 Calend 01'!D96),(MOD((21-'V06 Calend 01'!C96),6)=0),(((21-'V06 Calend 01'!C96)/6)&lt;='V06 Calend 01'!E96)),IF((21=('V06 Calend 01'!C96+(6*'V06 Calend 01'!E96))),('V06 Calend 01'!H96-('V06 Calend 01'!I96*('V06 Calend 01'!E96-1))),'V06 Calend 01'!I96),0))+IF((21='V06 Calend 01'!D96),'V06 Calend 01'!J96,0))</f>
        <v>0</v>
      </c>
      <c r="AH96" s="2">
        <f>((IF((22='V06 Calend 01'!C96),('V06 Calend 01'!F96+'V06 Calend 01'!G96),0)+IF(AND(('V06 Calend 01'!E96&gt;0),(22&gt;'V06 Calend 01'!C96),(22&lt;'V06 Calend 01'!D96),(MOD((22-'V06 Calend 01'!C96),6)=0),(((22-'V06 Calend 01'!C96)/6)&lt;='V06 Calend 01'!E96)),IF((22=('V06 Calend 01'!C96+(6*'V06 Calend 01'!E96))),('V06 Calend 01'!H96-('V06 Calend 01'!I96*('V06 Calend 01'!E96-1))),'V06 Calend 01'!I96),0))+IF((22='V06 Calend 01'!D96),'V06 Calend 01'!J96,0))</f>
        <v>378750.0</v>
      </c>
      <c r="AI96" s="2">
        <f>((IF((23='V06 Calend 01'!C96),('V06 Calend 01'!F96+'V06 Calend 01'!G96),0)+IF(AND(('V06 Calend 01'!E96&gt;0),(23&gt;'V06 Calend 01'!C96),(23&lt;'V06 Calend 01'!D96),(MOD((23-'V06 Calend 01'!C96),6)=0),(((23-'V06 Calend 01'!C96)/6)&lt;='V06 Calend 01'!E96)),IF((23=('V06 Calend 01'!C96+(6*'V06 Calend 01'!E96))),('V06 Calend 01'!H96-('V06 Calend 01'!I96*('V06 Calend 01'!E96-1))),'V06 Calend 01'!I96),0))+IF((23='V06 Calend 01'!D96),'V06 Calend 01'!J96,0))</f>
        <v>0</v>
      </c>
      <c r="AJ96" s="2">
        <f>((IF((24='V06 Calend 01'!C96),('V06 Calend 01'!F96+'V06 Calend 01'!G96),0)+IF(AND(('V06 Calend 01'!E96&gt;0),(24&gt;'V06 Calend 01'!C96),(24&lt;'V06 Calend 01'!D96),(MOD((24-'V06 Calend 01'!C96),6)=0),(((24-'V06 Calend 01'!C96)/6)&lt;='V06 Calend 01'!E96)),IF((24=('V06 Calend 01'!C96+(6*'V06 Calend 01'!E96))),('V06 Calend 01'!H96-('V06 Calend 01'!I96*('V06 Calend 01'!E96-1))),'V06 Calend 01'!I96),0))+IF((24='V06 Calend 01'!D96),'V06 Calend 01'!J96,0))</f>
        <v>0</v>
      </c>
      <c r="AK96" s="2">
        <f>((IF((25='V06 Calend 01'!C96),('V06 Calend 01'!F96+'V06 Calend 01'!G96),0)+IF(AND(('V06 Calend 01'!E96&gt;0),(25&gt;'V06 Calend 01'!C96),(25&lt;'V06 Calend 01'!D96),(MOD((25-'V06 Calend 01'!C96),6)=0),(((25-'V06 Calend 01'!C96)/6)&lt;='V06 Calend 01'!E96)),IF((25=('V06 Calend 01'!C96+(6*'V06 Calend 01'!E96))),('V06 Calend 01'!H96-('V06 Calend 01'!I96*('V06 Calend 01'!E96-1))),'V06 Calend 01'!I96),0))+IF((25='V06 Calend 01'!D96),'V06 Calend 01'!J96,0))</f>
        <v>0</v>
      </c>
      <c r="AL96" s="2">
        <f>((IF((26='V06 Calend 01'!C96),('V06 Calend 01'!F96+'V06 Calend 01'!G96),0)+IF(AND(('V06 Calend 01'!E96&gt;0),(26&gt;'V06 Calend 01'!C96),(26&lt;'V06 Calend 01'!D96),(MOD((26-'V06 Calend 01'!C96),6)=0),(((26-'V06 Calend 01'!C96)/6)&lt;='V06 Calend 01'!E96)),IF((26=('V06 Calend 01'!C96+(6*'V06 Calend 01'!E96))),('V06 Calend 01'!H96-('V06 Calend 01'!I96*('V06 Calend 01'!E96-1))),'V06 Calend 01'!I96),0))+IF((26='V06 Calend 01'!D96),'V06 Calend 01'!J96,0))</f>
        <v>0</v>
      </c>
      <c r="AM96" s="2">
        <f>((IF((27='V06 Calend 01'!C96),('V06 Calend 01'!F96+'V06 Calend 01'!G96),0)+IF(AND(('V06 Calend 01'!E96&gt;0),(27&gt;'V06 Calend 01'!C96),(27&lt;'V06 Calend 01'!D96),(MOD((27-'V06 Calend 01'!C96),6)=0),(((27-'V06 Calend 01'!C96)/6)&lt;='V06 Calend 01'!E96)),IF((27=('V06 Calend 01'!C96+(6*'V06 Calend 01'!E96))),('V06 Calend 01'!H96-('V06 Calend 01'!I96*('V06 Calend 01'!E96-1))),'V06 Calend 01'!I96),0))+IF((27='V06 Calend 01'!D96),'V06 Calend 01'!J96,0))</f>
        <v>0</v>
      </c>
      <c r="AN96" s="2">
        <f>((IF((28='V06 Calend 01'!C96),('V06 Calend 01'!F96+'V06 Calend 01'!G96),0)+IF(AND(('V06 Calend 01'!E96&gt;0),(28&gt;'V06 Calend 01'!C96),(28&lt;'V06 Calend 01'!D96),(MOD((28-'V06 Calend 01'!C96),6)=0),(((28-'V06 Calend 01'!C96)/6)&lt;='V06 Calend 01'!E96)),IF((28=('V06 Calend 01'!C96+(6*'V06 Calend 01'!E96))),('V06 Calend 01'!H96-('V06 Calend 01'!I96*('V06 Calend 01'!E96-1))),'V06 Calend 01'!I96),0))+IF((28='V06 Calend 01'!D96),'V06 Calend 01'!J96,0))</f>
        <v>833250.0</v>
      </c>
      <c r="AO96" s="2">
        <f>((IF((29='V06 Calend 01'!C96),('V06 Calend 01'!F96+'V06 Calend 01'!G96),0)+IF(AND(('V06 Calend 01'!E96&gt;0),(29&gt;'V06 Calend 01'!C96),(29&lt;'V06 Calend 01'!D96),(MOD((29-'V06 Calend 01'!C96),6)=0),(((29-'V06 Calend 01'!C96)/6)&lt;='V06 Calend 01'!E96)),IF((29=('V06 Calend 01'!C96+(6*'V06 Calend 01'!E96))),('V06 Calend 01'!H96-('V06 Calend 01'!I96*('V06 Calend 01'!E96-1))),'V06 Calend 01'!I96),0))+IF((29='V06 Calend 01'!D96),'V06 Calend 01'!J96,0))</f>
        <v>0</v>
      </c>
      <c r="AP96" s="2">
        <f>((IF((30='V06 Calend 01'!C96),('V06 Calend 01'!F96+'V06 Calend 01'!G96),0)+IF(AND(('V06 Calend 01'!E96&gt;0),(30&gt;'V06 Calend 01'!C96),(30&lt;'V06 Calend 01'!D96),(MOD((30-'V06 Calend 01'!C96),6)=0),(((30-'V06 Calend 01'!C96)/6)&lt;='V06 Calend 01'!E96)),IF((30=('V06 Calend 01'!C96+(6*'V06 Calend 01'!E96))),('V06 Calend 01'!H96-('V06 Calend 01'!I96*('V06 Calend 01'!E96-1))),'V06 Calend 01'!I96),0))+IF((30='V06 Calend 01'!D96),'V06 Calend 01'!J96,0))</f>
        <v>303000.0</v>
      </c>
      <c r="AQ96" s="2">
        <f>((IF((31='V06 Calend 01'!C96),('V06 Calend 01'!F96+'V06 Calend 01'!G96),0)+IF(AND(('V06 Calend 01'!E96&gt;0),(31&gt;'V06 Calend 01'!C96),(31&lt;'V06 Calend 01'!D96),(MOD((31-'V06 Calend 01'!C96),6)=0),(((31-'V06 Calend 01'!C96)/6)&lt;='V06 Calend 01'!E96)),IF((31=('V06 Calend 01'!C96+(6*'V06 Calend 01'!E96))),('V06 Calend 01'!H96-('V06 Calend 01'!I96*('V06 Calend 01'!E96-1))),'V06 Calend 01'!I96),0))+IF((31='V06 Calend 01'!D96),'V06 Calend 01'!J96,0))</f>
        <v>0</v>
      </c>
      <c r="AR96" s="2">
        <f>((IF((32='V06 Calend 01'!C96),('V06 Calend 01'!F96+'V06 Calend 01'!G96),0)+IF(AND(('V06 Calend 01'!E96&gt;0),(32&gt;'V06 Calend 01'!C96),(32&lt;'V06 Calend 01'!D96),(MOD((32-'V06 Calend 01'!C96),6)=0),(((32-'V06 Calend 01'!C96)/6)&lt;='V06 Calend 01'!E96)),IF((32=('V06 Calend 01'!C96+(6*'V06 Calend 01'!E96))),('V06 Calend 01'!H96-('V06 Calend 01'!I96*('V06 Calend 01'!E96-1))),'V06 Calend 01'!I96),0))+IF((32='V06 Calend 01'!D96),'V06 Calend 01'!J96,0))</f>
        <v>0</v>
      </c>
      <c r="AS96" s="2">
        <f>((IF((33='V06 Calend 01'!C96),('V06 Calend 01'!F96+'V06 Calend 01'!G96),0)+IF(AND(('V06 Calend 01'!E96&gt;0),(33&gt;'V06 Calend 01'!C96),(33&lt;'V06 Calend 01'!D96),(MOD((33-'V06 Calend 01'!C96),6)=0),(((33-'V06 Calend 01'!C96)/6)&lt;='V06 Calend 01'!E96)),IF((33=('V06 Calend 01'!C96+(6*'V06 Calend 01'!E96))),('V06 Calend 01'!H96-('V06 Calend 01'!I96*('V06 Calend 01'!E96-1))),'V06 Calend 01'!I96),0))+IF((33='V06 Calend 01'!D96),'V06 Calend 01'!J96,0))</f>
        <v>0</v>
      </c>
      <c r="AT96" s="2">
        <f>((IF((34='V06 Calend 01'!C96),('V06 Calend 01'!F96+'V06 Calend 01'!G96),0)+IF(AND(('V06 Calend 01'!E96&gt;0),(34&gt;'V06 Calend 01'!C96),(34&lt;'V06 Calend 01'!D96),(MOD((34-'V06 Calend 01'!C96),6)=0),(((34-'V06 Calend 01'!C96)/6)&lt;='V06 Calend 01'!E96)),IF((34=('V06 Calend 01'!C96+(6*'V06 Calend 01'!E96))),('V06 Calend 01'!H96-('V06 Calend 01'!I96*('V06 Calend 01'!E96-1))),'V06 Calend 01'!I96),0))+IF((34='V06 Calend 01'!D96),'V06 Calend 01'!J96,0))</f>
        <v>0</v>
      </c>
      <c r="AU96" s="2">
        <f>((IF((35='V06 Calend 01'!C96),('V06 Calend 01'!F96+'V06 Calend 01'!G96),0)+IF(AND(('V06 Calend 01'!E96&gt;0),(35&gt;'V06 Calend 01'!C96),(35&lt;'V06 Calend 01'!D96),(MOD((35-'V06 Calend 01'!C96),6)=0),(((35-'V06 Calend 01'!C96)/6)&lt;='V06 Calend 01'!E96)),IF((35=('V06 Calend 01'!C96+(6*'V06 Calend 01'!E96))),('V06 Calend 01'!H96-('V06 Calend 01'!I96*('V06 Calend 01'!E96-1))),'V06 Calend 01'!I96),0))+IF((35='V06 Calend 01'!D96),'V06 Calend 01'!J96,0))</f>
        <v>0</v>
      </c>
      <c r="AV96" s="2">
        <f>((IF((36='V06 Calend 01'!C96),('V06 Calend 01'!F96+'V06 Calend 01'!G96),0)+IF(AND(('V06 Calend 01'!E96&gt;0),(36&gt;'V06 Calend 01'!C96),(36&lt;'V06 Calend 01'!D96),(MOD((36-'V06 Calend 01'!C96),6)=0),(((36-'V06 Calend 01'!C96)/6)&lt;='V06 Calend 01'!E96)),IF((36=('V06 Calend 01'!C96+(6*'V06 Calend 01'!E96))),('V06 Calend 01'!H96-('V06 Calend 01'!I96*('V06 Calend 01'!E96-1))),'V06 Calend 01'!I96),0))+IF((36='V06 Calend 01'!D96),'V06 Calend 01'!J96,0))</f>
        <v>0</v>
      </c>
      <c r="AW96" s="2">
        <f>((IF((37='V06 Calend 01'!C96),('V06 Calend 01'!F96+'V06 Calend 01'!G96),0)+IF(AND(('V06 Calend 01'!E96&gt;0),(37&gt;'V06 Calend 01'!C96),(37&lt;'V06 Calend 01'!D96),(MOD((37-'V06 Calend 01'!C96),6)=0),(((37-'V06 Calend 01'!C96)/6)&lt;='V06 Calend 01'!E96)),IF((37=('V06 Calend 01'!C96+(6*'V06 Calend 01'!E96))),('V06 Calend 01'!H96-('V06 Calend 01'!I96*('V06 Calend 01'!E96-1))),'V06 Calend 01'!I96),0))+IF((37='V06 Calend 01'!D96),'V06 Calend 01'!J96,0))</f>
        <v>0</v>
      </c>
      <c r="AX96" s="2">
        <f>((IF((38='V06 Calend 01'!C96),('V06 Calend 01'!F96+'V06 Calend 01'!G96),0)+IF(AND(('V06 Calend 01'!E96&gt;0),(38&gt;'V06 Calend 01'!C96),(38&lt;'V06 Calend 01'!D96),(MOD((38-'V06 Calend 01'!C96),6)=0),(((38-'V06 Calend 01'!C96)/6)&lt;='V06 Calend 01'!E96)),IF((38=('V06 Calend 01'!C96+(6*'V06 Calend 01'!E96))),('V06 Calend 01'!H96-('V06 Calend 01'!I96*('V06 Calend 01'!E96-1))),'V06 Calend 01'!I96),0))+IF((38='V06 Calend 01'!D96),'V06 Calend 01'!J96,0))</f>
        <v>0</v>
      </c>
      <c r="AY96" s="2">
        <f>((IF((39='V06 Calend 01'!C96),('V06 Calend 01'!F96+'V06 Calend 01'!G96),0)+IF(AND(('V06 Calend 01'!E96&gt;0),(39&gt;'V06 Calend 01'!C96),(39&lt;'V06 Calend 01'!D96),(MOD((39-'V06 Calend 01'!C96),6)=0),(((39-'V06 Calend 01'!C96)/6)&lt;='V06 Calend 01'!E96)),IF((39=('V06 Calend 01'!C96+(6*'V06 Calend 01'!E96))),('V06 Calend 01'!H96-('V06 Calend 01'!I96*('V06 Calend 01'!E96-1))),'V06 Calend 01'!I96),0))+IF((39='V06 Calend 01'!D96),'V06 Calend 01'!J96,0))</f>
        <v>0</v>
      </c>
      <c r="AZ96" s="2">
        <f>((IF((40='V06 Calend 01'!C96),('V06 Calend 01'!F96+'V06 Calend 01'!G96),0)+IF(AND(('V06 Calend 01'!E96&gt;0),(40&gt;'V06 Calend 01'!C96),(40&lt;'V06 Calend 01'!D96),(MOD((40-'V06 Calend 01'!C96),6)=0),(((40-'V06 Calend 01'!C96)/6)&lt;='V06 Calend 01'!E96)),IF((40=('V06 Calend 01'!C96+(6*'V06 Calend 01'!E96))),('V06 Calend 01'!H96-('V06 Calend 01'!I96*('V06 Calend 01'!E96-1))),'V06 Calend 01'!I96),0))+IF((40='V06 Calend 01'!D96),'V06 Calend 01'!J96,0))</f>
        <v>0</v>
      </c>
      <c r="BA96" s="2">
        <f>((IF((41='V06 Calend 01'!C96),('V06 Calend 01'!F96+'V06 Calend 01'!G96),0)+IF(AND(('V06 Calend 01'!E96&gt;0),(41&gt;'V06 Calend 01'!C96),(41&lt;'V06 Calend 01'!D96),(MOD((41-'V06 Calend 01'!C96),6)=0),(((41-'V06 Calend 01'!C96)/6)&lt;='V06 Calend 01'!E96)),IF((41=('V06 Calend 01'!C96+(6*'V06 Calend 01'!E96))),('V06 Calend 01'!H96-('V06 Calend 01'!I96*('V06 Calend 01'!E96-1))),'V06 Calend 01'!I96),0))+IF((41='V06 Calend 01'!D96),'V06 Calend 01'!J96,0))</f>
        <v>0</v>
      </c>
      <c r="BB96" s="2">
        <f>((IF((42='V06 Calend 01'!C96),('V06 Calend 01'!F96+'V06 Calend 01'!G96),0)+IF(AND(('V06 Calend 01'!E96&gt;0),(42&gt;'V06 Calend 01'!C96),(42&lt;'V06 Calend 01'!D96),(MOD((42-'V06 Calend 01'!C96),6)=0),(((42-'V06 Calend 01'!C96)/6)&lt;='V06 Calend 01'!E96)),IF((42=('V06 Calend 01'!C96+(6*'V06 Calend 01'!E96))),('V06 Calend 01'!H96-('V06 Calend 01'!I96*('V06 Calend 01'!E96-1))),'V06 Calend 01'!I96),0))+IF((42='V06 Calend 01'!D96),'V06 Calend 01'!J96,0))</f>
        <v>0</v>
      </c>
      <c r="BC96" s="2">
        <f>((IF((43='V06 Calend 01'!C96),('V06 Calend 01'!F96+'V06 Calend 01'!G96),0)+IF(AND(('V06 Calend 01'!E96&gt;0),(43&gt;'V06 Calend 01'!C96),(43&lt;'V06 Calend 01'!D96),(MOD((43-'V06 Calend 01'!C96),6)=0),(((43-'V06 Calend 01'!C96)/6)&lt;='V06 Calend 01'!E96)),IF((43=('V06 Calend 01'!C96+(6*'V06 Calend 01'!E96))),('V06 Calend 01'!H96-('V06 Calend 01'!I96*('V06 Calend 01'!E96-1))),'V06 Calend 01'!I96),0))+IF((43='V06 Calend 01'!D96),'V06 Calend 01'!J96,0))</f>
        <v>0</v>
      </c>
      <c r="BD96" s="2">
        <f>((IF((44='V06 Calend 01'!C96),('V06 Calend 01'!F96+'V06 Calend 01'!G96),0)+IF(AND(('V06 Calend 01'!E96&gt;0),(44&gt;'V06 Calend 01'!C96),(44&lt;'V06 Calend 01'!D96),(MOD((44-'V06 Calend 01'!C96),6)=0),(((44-'V06 Calend 01'!C96)/6)&lt;='V06 Calend 01'!E96)),IF((44=('V06 Calend 01'!C96+(6*'V06 Calend 01'!E96))),('V06 Calend 01'!H96-('V06 Calend 01'!I96*('V06 Calend 01'!E96-1))),'V06 Calend 01'!I96),0))+IF((44='V06 Calend 01'!D96),'V06 Calend 01'!J96,0))</f>
        <v>0</v>
      </c>
      <c r="BE96" s="2">
        <f>((IF((45='V06 Calend 01'!C96),('V06 Calend 01'!F96+'V06 Calend 01'!G96),0)+IF(AND(('V06 Calend 01'!E96&gt;0),(45&gt;'V06 Calend 01'!C96),(45&lt;'V06 Calend 01'!D96),(MOD((45-'V06 Calend 01'!C96),6)=0),(((45-'V06 Calend 01'!C96)/6)&lt;='V06 Calend 01'!E96)),IF((45=('V06 Calend 01'!C96+(6*'V06 Calend 01'!E96))),('V06 Calend 01'!H96-('V06 Calend 01'!I96*('V06 Calend 01'!E96-1))),'V06 Calend 01'!I96),0))+IF((45='V06 Calend 01'!D96),'V06 Calend 01'!J96,0))</f>
        <v>0</v>
      </c>
      <c r="BF96" s="2">
        <f>((IF((46='V06 Calend 01'!C96),('V06 Calend 01'!F96+'V06 Calend 01'!G96),0)+IF(AND(('V06 Calend 01'!E96&gt;0),(46&gt;'V06 Calend 01'!C96),(46&lt;'V06 Calend 01'!D96),(MOD((46-'V06 Calend 01'!C96),6)=0),(((46-'V06 Calend 01'!C96)/6)&lt;='V06 Calend 01'!E96)),IF((46=('V06 Calend 01'!C96+(6*'V06 Calend 01'!E96))),('V06 Calend 01'!H96-('V06 Calend 01'!I96*('V06 Calend 01'!E96-1))),'V06 Calend 01'!I96),0))+IF((46='V06 Calend 01'!D96),'V06 Calend 01'!J96,0))</f>
        <v>0</v>
      </c>
      <c r="BG96" s="2">
        <f>((IF((47='V06 Calend 01'!C96),('V06 Calend 01'!F96+'V06 Calend 01'!G96),0)+IF(AND(('V06 Calend 01'!E96&gt;0),(47&gt;'V06 Calend 01'!C96),(47&lt;'V06 Calend 01'!D96),(MOD((47-'V06 Calend 01'!C96),6)=0),(((47-'V06 Calend 01'!C96)/6)&lt;='V06 Calend 01'!E96)),IF((47=('V06 Calend 01'!C96+(6*'V06 Calend 01'!E96))),('V06 Calend 01'!H96-('V06 Calend 01'!I96*('V06 Calend 01'!E96-1))),'V06 Calend 01'!I96),0))+IF((47='V06 Calend 01'!D96),'V06 Calend 01'!J96,0))</f>
        <v>0</v>
      </c>
      <c r="BH96" s="2">
        <f>((IF((48='V06 Calend 01'!C96),('V06 Calend 01'!F96+'V06 Calend 01'!G96),0)+IF(AND(('V06 Calend 01'!E96&gt;0),(48&gt;'V06 Calend 01'!C96),(48&lt;'V06 Calend 01'!D96),(MOD((48-'V06 Calend 01'!C96),6)=0),(((48-'V06 Calend 01'!C96)/6)&lt;='V06 Calend 01'!E96)),IF((48=('V06 Calend 01'!C96+(6*'V06 Calend 01'!E96))),('V06 Calend 01'!H96-('V06 Calend 01'!I96*('V06 Calend 01'!E96-1))),'V06 Calend 01'!I96),0))+IF((48='V06 Calend 01'!D96),'V06 Calend 01'!J96,0))</f>
        <v>0</v>
      </c>
      <c r="BI96" s="2">
        <f>((IF((49='V06 Calend 01'!C96),('V06 Calend 01'!F96+'V06 Calend 01'!G96),0)+IF(AND(('V06 Calend 01'!E96&gt;0),(49&gt;'V06 Calend 01'!C96),(49&lt;'V06 Calend 01'!D96),(MOD((49-'V06 Calend 01'!C96),6)=0),(((49-'V06 Calend 01'!C96)/6)&lt;='V06 Calend 01'!E96)),IF((49=('V06 Calend 01'!C96+(6*'V06 Calend 01'!E96))),('V06 Calend 01'!H96-('V06 Calend 01'!I96*('V06 Calend 01'!E96-1))),'V06 Calend 01'!I96),0))+IF((49='V06 Calend 01'!D96),'V06 Calend 01'!J96,0))</f>
        <v>0</v>
      </c>
      <c r="BJ96" s="2">
        <f>((IF((50='V06 Calend 01'!C96),('V06 Calend 01'!F96+'V06 Calend 01'!G96),0)+IF(AND(('V06 Calend 01'!E96&gt;0),(50&gt;'V06 Calend 01'!C96),(50&lt;'V06 Calend 01'!D96),(MOD((50-'V06 Calend 01'!C96),6)=0),(((50-'V06 Calend 01'!C96)/6)&lt;='V06 Calend 01'!E96)),IF((50=('V06 Calend 01'!C96+(6*'V06 Calend 01'!E96))),('V06 Calend 01'!H96-('V06 Calend 01'!I96*('V06 Calend 01'!E96-1))),'V06 Calend 01'!I96),0))+IF((50='V06 Calend 01'!D96),'V06 Calend 01'!J96,0))</f>
        <v>0</v>
      </c>
      <c r="BK96" s="2">
        <f>((IF((51='V06 Calend 01'!C96),('V06 Calend 01'!F96+'V06 Calend 01'!G96),0)+IF(AND(('V06 Calend 01'!E96&gt;0),(51&gt;'V06 Calend 01'!C96),(51&lt;'V06 Calend 01'!D96),(MOD((51-'V06 Calend 01'!C96),6)=0),(((51-'V06 Calend 01'!C96)/6)&lt;='V06 Calend 01'!E96)),IF((51=('V06 Calend 01'!C96+(6*'V06 Calend 01'!E96))),('V06 Calend 01'!H96-('V06 Calend 01'!I96*('V06 Calend 01'!E96-1))),'V06 Calend 01'!I96),0))+IF((51='V06 Calend 01'!D96),'V06 Calend 01'!J96,0))</f>
        <v>0</v>
      </c>
      <c r="BL96" s="2">
        <f>((IF((52='V06 Calend 01'!C96),('V06 Calend 01'!F96+'V06 Calend 01'!G96),0)+IF(AND(('V06 Calend 01'!E96&gt;0),(52&gt;'V06 Calend 01'!C96),(52&lt;'V06 Calend 01'!D96),(MOD((52-'V06 Calend 01'!C96),6)=0),(((52-'V06 Calend 01'!C96)/6)&lt;='V06 Calend 01'!E96)),IF((52=('V06 Calend 01'!C96+(6*'V06 Calend 01'!E96))),('V06 Calend 01'!H96-('V06 Calend 01'!I96*('V06 Calend 01'!E96-1))),'V06 Calend 01'!I96),0))+IF((52='V06 Calend 01'!D96),'V06 Calend 01'!J96,0))</f>
        <v>0</v>
      </c>
      <c r="BM96" s="2">
        <f>((IF((53='V06 Calend 01'!C96),('V06 Calend 01'!F96+'V06 Calend 01'!G96),0)+IF(AND(('V06 Calend 01'!E96&gt;0),(53&gt;'V06 Calend 01'!C96),(53&lt;'V06 Calend 01'!D96),(MOD((53-'V06 Calend 01'!C96),6)=0),(((53-'V06 Calend 01'!C96)/6)&lt;='V06 Calend 01'!E96)),IF((53=('V06 Calend 01'!C96+(6*'V06 Calend 01'!E96))),('V06 Calend 01'!H96-('V06 Calend 01'!I96*('V06 Calend 01'!E96-1))),'V06 Calend 01'!I96),0))+IF((53='V06 Calend 01'!D96),'V06 Calend 01'!J96,0))</f>
        <v>0</v>
      </c>
      <c r="BN96" s="2">
        <f>((IF((54='V06 Calend 01'!C96),('V06 Calend 01'!F96+'V06 Calend 01'!G96),0)+IF(AND(('V06 Calend 01'!E96&gt;0),(54&gt;'V06 Calend 01'!C96),(54&lt;'V06 Calend 01'!D96),(MOD((54-'V06 Calend 01'!C96),6)=0),(((54-'V06 Calend 01'!C96)/6)&lt;='V06 Calend 01'!E96)),IF((54=('V06 Calend 01'!C96+(6*'V06 Calend 01'!E96))),('V06 Calend 01'!H96-('V06 Calend 01'!I96*('V06 Calend 01'!E96-1))),'V06 Calend 01'!I96),0))+IF((54='V06 Calend 01'!D96),'V06 Calend 01'!J96,0))</f>
        <v>0</v>
      </c>
      <c r="BO96" s="2">
        <f>((IF((55='V06 Calend 01'!C96),('V06 Calend 01'!F96+'V06 Calend 01'!G96),0)+IF(AND(('V06 Calend 01'!E96&gt;0),(55&gt;'V06 Calend 01'!C96),(55&lt;'V06 Calend 01'!D96),(MOD((55-'V06 Calend 01'!C96),6)=0),(((55-'V06 Calend 01'!C96)/6)&lt;='V06 Calend 01'!E96)),IF((55=('V06 Calend 01'!C96+(6*'V06 Calend 01'!E96))),('V06 Calend 01'!H96-('V06 Calend 01'!I96*('V06 Calend 01'!E96-1))),'V06 Calend 01'!I96),0))+IF((55='V06 Calend 01'!D96),'V06 Calend 01'!J96,0))</f>
        <v>0</v>
      </c>
      <c r="BP96" s="2">
        <f>((IF((56='V06 Calend 01'!C96),('V06 Calend 01'!F96+'V06 Calend 01'!G96),0)+IF(AND(('V06 Calend 01'!E96&gt;0),(56&gt;'V06 Calend 01'!C96),(56&lt;'V06 Calend 01'!D96),(MOD((56-'V06 Calend 01'!C96),6)=0),(((56-'V06 Calend 01'!C96)/6)&lt;='V06 Calend 01'!E96)),IF((56=('V06 Calend 01'!C96+(6*'V06 Calend 01'!E96))),('V06 Calend 01'!H96-('V06 Calend 01'!I96*('V06 Calend 01'!E96-1))),'V06 Calend 01'!I96),0))+IF((56='V06 Calend 01'!D96),'V06 Calend 01'!J96,0))</f>
        <v>0</v>
      </c>
      <c r="BQ96" s="2">
        <f>((IF((57='V06 Calend 01'!C96),('V06 Calend 01'!F96+'V06 Calend 01'!G96),0)+IF(AND(('V06 Calend 01'!E96&gt;0),(57&gt;'V06 Calend 01'!C96),(57&lt;'V06 Calend 01'!D96),(MOD((57-'V06 Calend 01'!C96),6)=0),(((57-'V06 Calend 01'!C96)/6)&lt;='V06 Calend 01'!E96)),IF((57=('V06 Calend 01'!C96+(6*'V06 Calend 01'!E96))),('V06 Calend 01'!H96-('V06 Calend 01'!I96*('V06 Calend 01'!E96-1))),'V06 Calend 01'!I96),0))+IF((57='V06 Calend 01'!D96),'V06 Calend 01'!J96,0))</f>
        <v>0</v>
      </c>
      <c r="BR96" s="2">
        <f>((IF((58='V06 Calend 01'!C96),('V06 Calend 01'!F96+'V06 Calend 01'!G96),0)+IF(AND(('V06 Calend 01'!E96&gt;0),(58&gt;'V06 Calend 01'!C96),(58&lt;'V06 Calend 01'!D96),(MOD((58-'V06 Calend 01'!C96),6)=0),(((58-'V06 Calend 01'!C96)/6)&lt;='V06 Calend 01'!E96)),IF((58=('V06 Calend 01'!C96+(6*'V06 Calend 01'!E96))),('V06 Calend 01'!H96-('V06 Calend 01'!I96*('V06 Calend 01'!E96-1))),'V06 Calend 01'!I96),0))+IF((58='V06 Calend 01'!D96),'V06 Calend 01'!J96,0))</f>
        <v>0</v>
      </c>
      <c r="BS96" s="2">
        <f>((IF((59='V06 Calend 01'!C96),('V06 Calend 01'!F96+'V06 Calend 01'!G96),0)+IF(AND(('V06 Calend 01'!E96&gt;0),(59&gt;'V06 Calend 01'!C96),(59&lt;'V06 Calend 01'!D96),(MOD((59-'V06 Calend 01'!C96),6)=0),(((59-'V06 Calend 01'!C96)/6)&lt;='V06 Calend 01'!E96)),IF((59=('V06 Calend 01'!C96+(6*'V06 Calend 01'!E96))),('V06 Calend 01'!H96-('V06 Calend 01'!I96*('V06 Calend 01'!E96-1))),'V06 Calend 01'!I96),0))+IF((59='V06 Calend 01'!D96),'V06 Calend 01'!J96,0))</f>
        <v>0</v>
      </c>
      <c r="BT96" s="2">
        <f>((IF((60='V06 Calend 01'!C96),('V06 Calend 01'!F96+'V06 Calend 01'!G96),0)+IF(AND(('V06 Calend 01'!E96&gt;0),(60&gt;'V06 Calend 01'!C96),(60&lt;'V06 Calend 01'!D96),(MOD((60-'V06 Calend 01'!C96),6)=0),(((60-'V06 Calend 01'!C96)/6)&lt;='V06 Calend 01'!E96)),IF((60=('V06 Calend 01'!C96+(6*'V06 Calend 01'!E96))),('V06 Calend 01'!H96-('V06 Calend 01'!I96*('V06 Calend 01'!E96-1))),'V06 Calend 01'!I96),0))+IF((60='V06 Calend 01'!D96),'V06 Calend 01'!J96,0))</f>
        <v>0</v>
      </c>
      <c r="BU96" s="2">
        <f>((IF((61='V06 Calend 01'!C96),('V06 Calend 01'!F96+'V06 Calend 01'!G96),0)+IF(AND(('V06 Calend 01'!E96&gt;0),(61&gt;'V06 Calend 01'!C96),(61&lt;'V06 Calend 01'!D96),(MOD((61-'V06 Calend 01'!C96),6)=0),(((61-'V06 Calend 01'!C96)/6)&lt;='V06 Calend 01'!E96)),IF((61=('V06 Calend 01'!C96+(6*'V06 Calend 01'!E96))),('V06 Calend 01'!H96-('V06 Calend 01'!I96*('V06 Calend 01'!E96-1))),'V06 Calend 01'!I96),0))+IF((61='V06 Calend 01'!D96),'V06 Calend 01'!J96,0))</f>
        <v>0</v>
      </c>
      <c r="BV96" s="2">
        <f>((IF((62='V06 Calend 01'!C96),('V06 Calend 01'!F96+'V06 Calend 01'!G96),0)+IF(AND(('V06 Calend 01'!E96&gt;0),(62&gt;'V06 Calend 01'!C96),(62&lt;'V06 Calend 01'!D96),(MOD((62-'V06 Calend 01'!C96),6)=0),(((62-'V06 Calend 01'!C96)/6)&lt;='V06 Calend 01'!E96)),IF((62=('V06 Calend 01'!C96+(6*'V06 Calend 01'!E96))),('V06 Calend 01'!H96-('V06 Calend 01'!I96*('V06 Calend 01'!E96-1))),'V06 Calend 01'!I96),0))+IF((62='V06 Calend 01'!D96),'V06 Calend 01'!J96,0))</f>
        <v>0</v>
      </c>
      <c r="BW96" s="2">
        <f>((IF((63='V06 Calend 01'!C96),('V06 Calend 01'!F96+'V06 Calend 01'!G96),0)+IF(AND(('V06 Calend 01'!E96&gt;0),(63&gt;'V06 Calend 01'!C96),(63&lt;'V06 Calend 01'!D96),(MOD((63-'V06 Calend 01'!C96),6)=0),(((63-'V06 Calend 01'!C96)/6)&lt;='V06 Calend 01'!E96)),IF((63=('V06 Calend 01'!C96+(6*'V06 Calend 01'!E96))),('V06 Calend 01'!H96-('V06 Calend 01'!I96*('V06 Calend 01'!E96-1))),'V06 Calend 01'!I96),0))+IF((63='V06 Calend 01'!D96),'V06 Calend 01'!J96,0))</f>
        <v>0</v>
      </c>
      <c r="BX96" s="2">
        <f>((IF((64='V06 Calend 01'!C96),('V06 Calend 01'!F96+'V06 Calend 01'!G96),0)+IF(AND(('V06 Calend 01'!E96&gt;0),(64&gt;'V06 Calend 01'!C96),(64&lt;'V06 Calend 01'!D96),(MOD((64-'V06 Calend 01'!C96),6)=0),(((64-'V06 Calend 01'!C96)/6)&lt;='V06 Calend 01'!E96)),IF((64=('V06 Calend 01'!C96+(6*'V06 Calend 01'!E96))),('V06 Calend 01'!H96-('V06 Calend 01'!I96*('V06 Calend 01'!E96-1))),'V06 Calend 01'!I96),0))+IF((64='V06 Calend 01'!D96),'V06 Calend 01'!J96,0))</f>
        <v>0</v>
      </c>
      <c r="BY96" s="2">
        <f>((IF((65='V06 Calend 01'!C96),('V06 Calend 01'!F96+'V06 Calend 01'!G96),0)+IF(AND(('V06 Calend 01'!E96&gt;0),(65&gt;'V06 Calend 01'!C96),(65&lt;'V06 Calend 01'!D96),(MOD((65-'V06 Calend 01'!C96),6)=0),(((65-'V06 Calend 01'!C96)/6)&lt;='V06 Calend 01'!E96)),IF((65=('V06 Calend 01'!C96+(6*'V06 Calend 01'!E96))),('V06 Calend 01'!H96-('V06 Calend 01'!I96*('V06 Calend 01'!E96-1))),'V06 Calend 01'!I96),0))+IF((65='V06 Calend 01'!D96),'V06 Calend 01'!J96,0))</f>
        <v>0</v>
      </c>
      <c r="BZ96" s="2">
        <f>((IF((66='V06 Calend 01'!C96),('V06 Calend 01'!F96+'V06 Calend 01'!G96),0)+IF(AND(('V06 Calend 01'!E96&gt;0),(66&gt;'V06 Calend 01'!C96),(66&lt;'V06 Calend 01'!D96),(MOD((66-'V06 Calend 01'!C96),6)=0),(((66-'V06 Calend 01'!C96)/6)&lt;='V06 Calend 01'!E96)),IF((66=('V06 Calend 01'!C96+(6*'V06 Calend 01'!E96))),('V06 Calend 01'!H96-('V06 Calend 01'!I96*('V06 Calend 01'!E96-1))),'V06 Calend 01'!I96),0))+IF((66='V06 Calend 01'!D96),'V06 Calend 01'!J96,0))</f>
        <v>0</v>
      </c>
      <c r="CA96" s="2">
        <f>((IF((67='V06 Calend 01'!C96),('V06 Calend 01'!F96+'V06 Calend 01'!G96),0)+IF(AND(('V06 Calend 01'!E96&gt;0),(67&gt;'V06 Calend 01'!C96),(67&lt;'V06 Calend 01'!D96),(MOD((67-'V06 Calend 01'!C96),6)=0),(((67-'V06 Calend 01'!C96)/6)&lt;='V06 Calend 01'!E96)),IF((67=('V06 Calend 01'!C96+(6*'V06 Calend 01'!E96))),('V06 Calend 01'!H96-('V06 Calend 01'!I96*('V06 Calend 01'!E96-1))),'V06 Calend 01'!I96),0))+IF((67='V06 Calend 01'!D96),'V06 Calend 01'!J96,0))</f>
        <v>0</v>
      </c>
      <c r="CB96" s="2">
        <f>((IF((68='V06 Calend 01'!C96),('V06 Calend 01'!F96+'V06 Calend 01'!G96),0)+IF(AND(('V06 Calend 01'!E96&gt;0),(68&gt;'V06 Calend 01'!C96),(68&lt;'V06 Calend 01'!D96),(MOD((68-'V06 Calend 01'!C96),6)=0),(((68-'V06 Calend 01'!C96)/6)&lt;='V06 Calend 01'!E96)),IF((68=('V06 Calend 01'!C96+(6*'V06 Calend 01'!E96))),('V06 Calend 01'!H96-('V06 Calend 01'!I96*('V06 Calend 01'!E96-1))),'V06 Calend 01'!I96),0))+IF((68='V06 Calend 01'!D96),'V06 Calend 01'!J96,0))</f>
        <v>0</v>
      </c>
      <c r="CC96" s="2">
        <f>((IF((69='V06 Calend 01'!C96),('V06 Calend 01'!F96+'V06 Calend 01'!G96),0)+IF(AND(('V06 Calend 01'!E96&gt;0),(69&gt;'V06 Calend 01'!C96),(69&lt;'V06 Calend 01'!D96),(MOD((69-'V06 Calend 01'!C96),6)=0),(((69-'V06 Calend 01'!C96)/6)&lt;='V06 Calend 01'!E96)),IF((69=('V06 Calend 01'!C96+(6*'V06 Calend 01'!E96))),('V06 Calend 01'!H96-('V06 Calend 01'!I96*('V06 Calend 01'!E96-1))),'V06 Calend 01'!I96),0))+IF((69='V06 Calend 01'!D96),'V06 Calend 01'!J96,0))</f>
        <v>0</v>
      </c>
      <c r="CD96" s="2">
        <f>((IF((70='V06 Calend 01'!C96),('V06 Calend 01'!F96+'V06 Calend 01'!G96),0)+IF(AND(('V06 Calend 01'!E96&gt;0),(70&gt;'V06 Calend 01'!C96),(70&lt;'V06 Calend 01'!D96),(MOD((70-'V06 Calend 01'!C96),6)=0),(((70-'V06 Calend 01'!C96)/6)&lt;='V06 Calend 01'!E96)),IF((70=('V06 Calend 01'!C96+(6*'V06 Calend 01'!E96))),('V06 Calend 01'!H96-('V06 Calend 01'!I96*('V06 Calend 01'!E96-1))),'V06 Calend 01'!I96),0))+IF((70='V06 Calend 01'!D96),'V06 Calend 01'!J96,0))</f>
        <v>0</v>
      </c>
      <c r="CE96" s="2">
        <f>((IF((71='V06 Calend 01'!C96),('V06 Calend 01'!F96+'V06 Calend 01'!G96),0)+IF(AND(('V06 Calend 01'!E96&gt;0),(71&gt;'V06 Calend 01'!C96),(71&lt;'V06 Calend 01'!D96),(MOD((71-'V06 Calend 01'!C96),6)=0),(((71-'V06 Calend 01'!C96)/6)&lt;='V06 Calend 01'!E96)),IF((71=('V06 Calend 01'!C96+(6*'V06 Calend 01'!E96))),('V06 Calend 01'!H96-('V06 Calend 01'!I96*('V06 Calend 01'!E96-1))),'V06 Calend 01'!I96),0))+IF((71='V06 Calend 01'!D96),'V06 Calend 01'!J96,0))</f>
        <v>0</v>
      </c>
      <c r="CF96" s="2">
        <f>((IF((72='V06 Calend 01'!C96),('V06 Calend 01'!F96+'V06 Calend 01'!G96),0)+IF(AND(('V06 Calend 01'!E96&gt;0),(72&gt;'V06 Calend 01'!C96),(72&lt;'V06 Calend 01'!D96),(MOD((72-'V06 Calend 01'!C96),6)=0),(((72-'V06 Calend 01'!C96)/6)&lt;='V06 Calend 01'!E96)),IF((72=('V06 Calend 01'!C96+(6*'V06 Calend 01'!E96))),('V06 Calend 01'!H96-('V06 Calend 01'!I96*('V06 Calend 01'!E96-1))),'V06 Calend 01'!I96),0))+IF((72='V06 Calend 01'!D96),'V06 Calend 01'!J96,0))</f>
        <v>0</v>
      </c>
      <c r="CG96" s="2">
        <f>((IF((73='V06 Calend 01'!C96),('V06 Calend 01'!F96+'V06 Calend 01'!G96),0)+IF(AND(('V06 Calend 01'!E96&gt;0),(73&gt;'V06 Calend 01'!C96),(73&lt;'V06 Calend 01'!D96),(MOD((73-'V06 Calend 01'!C96),6)=0),(((73-'V06 Calend 01'!C96)/6)&lt;='V06 Calend 01'!E96)),IF((73=('V06 Calend 01'!C96+(6*'V06 Calend 01'!E96))),('V06 Calend 01'!H96-('V06 Calend 01'!I96*('V06 Calend 01'!E96-1))),'V06 Calend 01'!I96),0))+IF((73='V06 Calend 01'!D96),'V06 Calend 01'!J96,0))</f>
        <v>0</v>
      </c>
      <c r="CH96" s="2">
        <f>((IF((74='V06 Calend 01'!C96),('V06 Calend 01'!F96+'V06 Calend 01'!G96),0)+IF(AND(('V06 Calend 01'!E96&gt;0),(74&gt;'V06 Calend 01'!C96),(74&lt;'V06 Calend 01'!D96),(MOD((74-'V06 Calend 01'!C96),6)=0),(((74-'V06 Calend 01'!C96)/6)&lt;='V06 Calend 01'!E96)),IF((74=('V06 Calend 01'!C96+(6*'V06 Calend 01'!E96))),('V06 Calend 01'!H96-('V06 Calend 01'!I96*('V06 Calend 01'!E96-1))),'V06 Calend 01'!I96),0))+IF((74='V06 Calend 01'!D96),'V06 Calend 01'!J96,0))</f>
        <v>0</v>
      </c>
      <c r="CI96" s="2">
        <f>((IF((75='V06 Calend 01'!C96),('V06 Calend 01'!F96+'V06 Calend 01'!G96),0)+IF(AND(('V06 Calend 01'!E96&gt;0),(75&gt;'V06 Calend 01'!C96),(75&lt;'V06 Calend 01'!D96),(MOD((75-'V06 Calend 01'!C96),6)=0),(((75-'V06 Calend 01'!C96)/6)&lt;='V06 Calend 01'!E96)),IF((75=('V06 Calend 01'!C96+(6*'V06 Calend 01'!E96))),('V06 Calend 01'!H96-('V06 Calend 01'!I96*('V06 Calend 01'!E96-1))),'V06 Calend 01'!I96),0))+IF((75='V06 Calend 01'!D96),'V06 Calend 01'!J96,0))</f>
        <v>0</v>
      </c>
      <c r="CJ96" s="2">
        <f>((IF((76='V06 Calend 01'!C96),('V06 Calend 01'!F96+'V06 Calend 01'!G96),0)+IF(AND(('V06 Calend 01'!E96&gt;0),(76&gt;'V06 Calend 01'!C96),(76&lt;'V06 Calend 01'!D96),(MOD((76-'V06 Calend 01'!C96),6)=0),(((76-'V06 Calend 01'!C96)/6)&lt;='V06 Calend 01'!E96)),IF((76=('V06 Calend 01'!C96+(6*'V06 Calend 01'!E96))),('V06 Calend 01'!H96-('V06 Calend 01'!I96*('V06 Calend 01'!E96-1))),'V06 Calend 01'!I96),0))+IF((76='V06 Calend 01'!D96),'V06 Calend 01'!J96,0))</f>
        <v>0</v>
      </c>
      <c r="CK96" s="2">
        <f>((IF((77='V06 Calend 01'!C96),('V06 Calend 01'!F96+'V06 Calend 01'!G96),0)+IF(AND(('V06 Calend 01'!E96&gt;0),(77&gt;'V06 Calend 01'!C96),(77&lt;'V06 Calend 01'!D96),(MOD((77-'V06 Calend 01'!C96),6)=0),(((77-'V06 Calend 01'!C96)/6)&lt;='V06 Calend 01'!E96)),IF((77=('V06 Calend 01'!C96+(6*'V06 Calend 01'!E96))),('V06 Calend 01'!H96-('V06 Calend 01'!I96*('V06 Calend 01'!E96-1))),'V06 Calend 01'!I96),0))+IF((77='V06 Calend 01'!D96),'V06 Calend 01'!J96,0))</f>
        <v>0</v>
      </c>
      <c r="CL96" s="2">
        <f>((IF((78='V06 Calend 01'!C96),('V06 Calend 01'!F96+'V06 Calend 01'!G96),0)+IF(AND(('V06 Calend 01'!E96&gt;0),(78&gt;'V06 Calend 01'!C96),(78&lt;'V06 Calend 01'!D96),(MOD((78-'V06 Calend 01'!C96),6)=0),(((78-'V06 Calend 01'!C96)/6)&lt;='V06 Calend 01'!E96)),IF((78=('V06 Calend 01'!C96+(6*'V06 Calend 01'!E96))),('V06 Calend 01'!H96-('V06 Calend 01'!I96*('V06 Calend 01'!E96-1))),'V06 Calend 01'!I96),0))+IF((78='V06 Calend 01'!D96),'V06 Calend 01'!J96,0))</f>
        <v>0</v>
      </c>
      <c r="CM96" s="2">
        <f>((IF((79='V06 Calend 01'!C96),('V06 Calend 01'!F96+'V06 Calend 01'!G96),0)+IF(AND(('V06 Calend 01'!E96&gt;0),(79&gt;'V06 Calend 01'!C96),(79&lt;'V06 Calend 01'!D96),(MOD((79-'V06 Calend 01'!C96),6)=0),(((79-'V06 Calend 01'!C96)/6)&lt;='V06 Calend 01'!E96)),IF((79=('V06 Calend 01'!C96+(6*'V06 Calend 01'!E96))),('V06 Calend 01'!H96-('V06 Calend 01'!I96*('V06 Calend 01'!E96-1))),'V06 Calend 01'!I96),0))+IF((79='V06 Calend 01'!D96),'V06 Calend 01'!J96,0))</f>
        <v>0</v>
      </c>
      <c r="CN96" s="2">
        <f>((IF((80='V06 Calend 01'!C96),('V06 Calend 01'!F96+'V06 Calend 01'!G96),0)+IF(AND(('V06 Calend 01'!E96&gt;0),(80&gt;'V06 Calend 01'!C96),(80&lt;'V06 Calend 01'!D96),(MOD((80-'V06 Calend 01'!C96),6)=0),(((80-'V06 Calend 01'!C96)/6)&lt;='V06 Calend 01'!E96)),IF((80=('V06 Calend 01'!C96+(6*'V06 Calend 01'!E96))),('V06 Calend 01'!H96-('V06 Calend 01'!I96*('V06 Calend 01'!E96-1))),'V06 Calend 01'!I96),0))+IF((80='V06 Calend 01'!D96),'V06 Calend 01'!J96,0))</f>
        <v>0</v>
      </c>
      <c r="CO96" s="2">
        <f>((IF((81='V06 Calend 01'!C96),('V06 Calend 01'!F96+'V06 Calend 01'!G96),0)+IF(AND(('V06 Calend 01'!E96&gt;0),(81&gt;'V06 Calend 01'!C96),(81&lt;'V06 Calend 01'!D96),(MOD((81-'V06 Calend 01'!C96),6)=0),(((81-'V06 Calend 01'!C96)/6)&lt;='V06 Calend 01'!E96)),IF((81=('V06 Calend 01'!C96+(6*'V06 Calend 01'!E96))),('V06 Calend 01'!H96-('V06 Calend 01'!I96*('V06 Calend 01'!E96-1))),'V06 Calend 01'!I96),0))+IF((81='V06 Calend 01'!D96),'V06 Calend 01'!J96,0))</f>
        <v>0</v>
      </c>
      <c r="CP96" s="2">
        <f>((IF((82='V06 Calend 01'!C96),('V06 Calend 01'!F96+'V06 Calend 01'!G96),0)+IF(AND(('V06 Calend 01'!E96&gt;0),(82&gt;'V06 Calend 01'!C96),(82&lt;'V06 Calend 01'!D96),(MOD((82-'V06 Calend 01'!C96),6)=0),(((82-'V06 Calend 01'!C96)/6)&lt;='V06 Calend 01'!E96)),IF((82=('V06 Calend 01'!C96+(6*'V06 Calend 01'!E96))),('V06 Calend 01'!H96-('V06 Calend 01'!I96*('V06 Calend 01'!E96-1))),'V06 Calend 01'!I96),0))+IF((82='V06 Calend 01'!D96),'V06 Calend 01'!J96,0))</f>
        <v>0</v>
      </c>
      <c r="CQ96" s="2">
        <f>((IF((83='V06 Calend 01'!C96),('V06 Calend 01'!F96+'V06 Calend 01'!G96),0)+IF(AND(('V06 Calend 01'!E96&gt;0),(83&gt;'V06 Calend 01'!C96),(83&lt;'V06 Calend 01'!D96),(MOD((83-'V06 Calend 01'!C96),6)=0),(((83-'V06 Calend 01'!C96)/6)&lt;='V06 Calend 01'!E96)),IF((83=('V06 Calend 01'!C96+(6*'V06 Calend 01'!E96))),('V06 Calend 01'!H96-('V06 Calend 01'!I96*('V06 Calend 01'!E96-1))),'V06 Calend 01'!I96),0))+IF((83='V06 Calend 01'!D96),'V06 Calend 01'!J96,0))</f>
        <v>0</v>
      </c>
      <c r="CR96" s="2">
        <f>((IF((84='V06 Calend 01'!C96),('V06 Calend 01'!F96+'V06 Calend 01'!G96),0)+IF(AND(('V06 Calend 01'!E96&gt;0),(84&gt;'V06 Calend 01'!C96),(84&lt;'V06 Calend 01'!D96),(MOD((84-'V06 Calend 01'!C96),6)=0),(((84-'V06 Calend 01'!C96)/6)&lt;='V06 Calend 01'!E96)),IF((84=('V06 Calend 01'!C96+(6*'V06 Calend 01'!E96))),('V06 Calend 01'!H96-('V06 Calend 01'!I96*('V06 Calend 01'!E96-1))),'V06 Calend 01'!I96),0))+IF((84='V06 Calend 01'!D96),'V06 Calend 01'!J96,0))</f>
        <v>0</v>
      </c>
      <c r="CS96" s="2">
        <f>((IF((85='V06 Calend 01'!C96),('V06 Calend 01'!F96+'V06 Calend 01'!G96),0)+IF(AND(('V06 Calend 01'!E96&gt;0),(85&gt;'V06 Calend 01'!C96),(85&lt;'V06 Calend 01'!D96),(MOD((85-'V06 Calend 01'!C96),6)=0),(((85-'V06 Calend 01'!C96)/6)&lt;='V06 Calend 01'!E96)),IF((85=('V06 Calend 01'!C96+(6*'V06 Calend 01'!E96))),('V06 Calend 01'!H96-('V06 Calend 01'!I96*('V06 Calend 01'!E96-1))),'V06 Calend 01'!I96),0))+IF((85='V06 Calend 01'!D96),'V06 Calend 01'!J96,0))</f>
        <v>0</v>
      </c>
      <c r="CT96" s="2">
        <f>((IF((86='V06 Calend 01'!C96),('V06 Calend 01'!F96+'V06 Calend 01'!G96),0)+IF(AND(('V06 Calend 01'!E96&gt;0),(86&gt;'V06 Calend 01'!C96),(86&lt;'V06 Calend 01'!D96),(MOD((86-'V06 Calend 01'!C96),6)=0),(((86-'V06 Calend 01'!C96)/6)&lt;='V06 Calend 01'!E96)),IF((86=('V06 Calend 01'!C96+(6*'V06 Calend 01'!E96))),('V06 Calend 01'!H96-('V06 Calend 01'!I96*('V06 Calend 01'!E96-1))),'V06 Calend 01'!I96),0))+IF((86='V06 Calend 01'!D96),'V06 Calend 01'!J96,0))</f>
        <v>0</v>
      </c>
      <c r="CU96" s="2">
        <f>((IF((87='V06 Calend 01'!C96),('V06 Calend 01'!F96+'V06 Calend 01'!G96),0)+IF(AND(('V06 Calend 01'!E96&gt;0),(87&gt;'V06 Calend 01'!C96),(87&lt;'V06 Calend 01'!D96),(MOD((87-'V06 Calend 01'!C96),6)=0),(((87-'V06 Calend 01'!C96)/6)&lt;='V06 Calend 01'!E96)),IF((87=('V06 Calend 01'!C96+(6*'V06 Calend 01'!E96))),('V06 Calend 01'!H96-('V06 Calend 01'!I96*('V06 Calend 01'!E96-1))),'V06 Calend 01'!I96),0))+IF((87='V06 Calend 01'!D96),'V06 Calend 01'!J96,0))</f>
        <v>0</v>
      </c>
      <c r="CV96" s="2">
        <f>((IF((88='V06 Calend 01'!C96),('V06 Calend 01'!F96+'V06 Calend 01'!G96),0)+IF(AND(('V06 Calend 01'!E96&gt;0),(88&gt;'V06 Calend 01'!C96),(88&lt;'V06 Calend 01'!D96),(MOD((88-'V06 Calend 01'!C96),6)=0),(((88-'V06 Calend 01'!C96)/6)&lt;='V06 Calend 01'!E96)),IF((88=('V06 Calend 01'!C96+(6*'V06 Calend 01'!E96))),('V06 Calend 01'!H96-('V06 Calend 01'!I96*('V06 Calend 01'!E96-1))),'V06 Calend 01'!I96),0))+IF((88='V06 Calend 01'!D96),'V06 Calend 01'!J96,0))</f>
        <v>0</v>
      </c>
      <c r="CW96" s="2">
        <f>((IF((89='V06 Calend 01'!C96),('V06 Calend 01'!F96+'V06 Calend 01'!G96),0)+IF(AND(('V06 Calend 01'!E96&gt;0),(89&gt;'V06 Calend 01'!C96),(89&lt;'V06 Calend 01'!D96),(MOD((89-'V06 Calend 01'!C96),6)=0),(((89-'V06 Calend 01'!C96)/6)&lt;='V06 Calend 01'!E96)),IF((89=('V06 Calend 01'!C96+(6*'V06 Calend 01'!E96))),('V06 Calend 01'!H96-('V06 Calend 01'!I96*('V06 Calend 01'!E96-1))),'V06 Calend 01'!I96),0))+IF((89='V06 Calend 01'!D96),'V06 Calend 01'!J96,0))</f>
        <v>0</v>
      </c>
      <c r="CX96" s="2">
        <f>((IF((90='V06 Calend 01'!C96),('V06 Calend 01'!F96+'V06 Calend 01'!G96),0)+IF(AND(('V06 Calend 01'!E96&gt;0),(90&gt;'V06 Calend 01'!C96),(90&lt;'V06 Calend 01'!D96),(MOD((90-'V06 Calend 01'!C96),6)=0),(((90-'V06 Calend 01'!C96)/6)&lt;='V06 Calend 01'!E96)),IF((90=('V06 Calend 01'!C96+(6*'V06 Calend 01'!E96))),('V06 Calend 01'!H96-('V06 Calend 01'!I96*('V06 Calend 01'!E96-1))),'V06 Calend 01'!I96),0))+IF((90='V06 Calend 01'!D96),'V06 Calend 01'!J96,0))</f>
        <v>0</v>
      </c>
      <c r="CY96" s="2">
        <f>((IF((91='V06 Calend 01'!C96),('V06 Calend 01'!F96+'V06 Calend 01'!G96),0)+IF(AND(('V06 Calend 01'!E96&gt;0),(91&gt;'V06 Calend 01'!C96),(91&lt;'V06 Calend 01'!D96),(MOD((91-'V06 Calend 01'!C96),6)=0),(((91-'V06 Calend 01'!C96)/6)&lt;='V06 Calend 01'!E96)),IF((91=('V06 Calend 01'!C96+(6*'V06 Calend 01'!E96))),('V06 Calend 01'!H96-('V06 Calend 01'!I96*('V06 Calend 01'!E96-1))),'V06 Calend 01'!I96),0))+IF((91='V06 Calend 01'!D96),'V06 Calend 01'!J96,0))</f>
        <v>0</v>
      </c>
      <c r="CZ96" s="2">
        <f>((IF((92='V06 Calend 01'!C96),('V06 Calend 01'!F96+'V06 Calend 01'!G96),0)+IF(AND(('V06 Calend 01'!E96&gt;0),(92&gt;'V06 Calend 01'!C96),(92&lt;'V06 Calend 01'!D96),(MOD((92-'V06 Calend 01'!C96),6)=0),(((92-'V06 Calend 01'!C96)/6)&lt;='V06 Calend 01'!E96)),IF((92=('V06 Calend 01'!C96+(6*'V06 Calend 01'!E96))),('V06 Calend 01'!H96-('V06 Calend 01'!I96*('V06 Calend 01'!E96-1))),'V06 Calend 01'!I96),0))+IF((92='V06 Calend 01'!D96),'V06 Calend 01'!J96,0))</f>
        <v>0</v>
      </c>
      <c r="DA96" s="2">
        <f>((IF((93='V06 Calend 01'!C96),('V06 Calend 01'!F96+'V06 Calend 01'!G96),0)+IF(AND(('V06 Calend 01'!E96&gt;0),(93&gt;'V06 Calend 01'!C96),(93&lt;'V06 Calend 01'!D96),(MOD((93-'V06 Calend 01'!C96),6)=0),(((93-'V06 Calend 01'!C96)/6)&lt;='V06 Calend 01'!E96)),IF((93=('V06 Calend 01'!C96+(6*'V06 Calend 01'!E96))),('V06 Calend 01'!H96-('V06 Calend 01'!I96*('V06 Calend 01'!E96-1))),'V06 Calend 01'!I96),0))+IF((93='V06 Calend 01'!D96),'V06 Calend 01'!J96,0))</f>
        <v>0</v>
      </c>
      <c r="DB96" s="2">
        <f>((IF((94='V06 Calend 01'!C96),('V06 Calend 01'!F96+'V06 Calend 01'!G96),0)+IF(AND(('V06 Calend 01'!E96&gt;0),(94&gt;'V06 Calend 01'!C96),(94&lt;'V06 Calend 01'!D96),(MOD((94-'V06 Calend 01'!C96),6)=0),(((94-'V06 Calend 01'!C96)/6)&lt;='V06 Calend 01'!E96)),IF((94=('V06 Calend 01'!C96+(6*'V06 Calend 01'!E96))),('V06 Calend 01'!H96-('V06 Calend 01'!I96*('V06 Calend 01'!E96-1))),'V06 Calend 01'!I96),0))+IF((94='V06 Calend 01'!D96),'V06 Calend 01'!J96,0))</f>
        <v>0</v>
      </c>
      <c r="DC96" s="2">
        <f>((IF((95='V06 Calend 01'!C96),('V06 Calend 01'!F96+'V06 Calend 01'!G96),0)+IF(AND(('V06 Calend 01'!E96&gt;0),(95&gt;'V06 Calend 01'!C96),(95&lt;'V06 Calend 01'!D96),(MOD((95-'V06 Calend 01'!C96),6)=0),(((95-'V06 Calend 01'!C96)/6)&lt;='V06 Calend 01'!E96)),IF((95=('V06 Calend 01'!C96+(6*'V06 Calend 01'!E96))),('V06 Calend 01'!H96-('V06 Calend 01'!I96*('V06 Calend 01'!E96-1))),'V06 Calend 01'!I96),0))+IF((95='V06 Calend 01'!D96),'V06 Calend 01'!J96,0))</f>
        <v>0</v>
      </c>
      <c r="DD96" s="2">
        <f>((IF((96='V06 Calend 01'!C96),('V06 Calend 01'!F96+'V06 Calend 01'!G96),0)+IF(AND(('V06 Calend 01'!E96&gt;0),(96&gt;'V06 Calend 01'!C96),(96&lt;'V06 Calend 01'!D96),(MOD((96-'V06 Calend 01'!C96),6)=0),(((96-'V06 Calend 01'!C96)/6)&lt;='V06 Calend 01'!E96)),IF((96=('V06 Calend 01'!C96+(6*'V06 Calend 01'!E96))),('V06 Calend 01'!H96-('V06 Calend 01'!I96*('V06 Calend 01'!E96-1))),'V06 Calend 01'!I96),0))+IF((96='V06 Calend 01'!D96),'V06 Calend 01'!J96,0))</f>
        <v>0</v>
      </c>
      <c r="DE96" s="2">
        <f>((IF((97='V06 Calend 01'!C96),('V06 Calend 01'!F96+'V06 Calend 01'!G96),0)+IF(AND(('V06 Calend 01'!E96&gt;0),(97&gt;'V06 Calend 01'!C96),(97&lt;'V06 Calend 01'!D96),(MOD((97-'V06 Calend 01'!C96),6)=0),(((97-'V06 Calend 01'!C96)/6)&lt;='V06 Calend 01'!E96)),IF((97=('V06 Calend 01'!C96+(6*'V06 Calend 01'!E96))),('V06 Calend 01'!H96-('V06 Calend 01'!I96*('V06 Calend 01'!E96-1))),'V06 Calend 01'!I96),0))+IF((97='V06 Calend 01'!D96),'V06 Calend 01'!J96,0))</f>
        <v>0</v>
      </c>
      <c r="DF96" s="2">
        <f>((IF((98='V06 Calend 01'!C96),('V06 Calend 01'!F96+'V06 Calend 01'!G96),0)+IF(AND(('V06 Calend 01'!E96&gt;0),(98&gt;'V06 Calend 01'!C96),(98&lt;'V06 Calend 01'!D96),(MOD((98-'V06 Calend 01'!C96),6)=0),(((98-'V06 Calend 01'!C96)/6)&lt;='V06 Calend 01'!E96)),IF((98=('V06 Calend 01'!C96+(6*'V06 Calend 01'!E96))),('V06 Calend 01'!H96-('V06 Calend 01'!I96*('V06 Calend 01'!E96-1))),'V06 Calend 01'!I96),0))+IF((98='V06 Calend 01'!D96),'V06 Calend 01'!J96,0))</f>
        <v>0</v>
      </c>
      <c r="DG96" s="2">
        <f>((IF((99='V06 Calend 01'!C96),('V06 Calend 01'!F96+'V06 Calend 01'!G96),0)+IF(AND(('V06 Calend 01'!E96&gt;0),(99&gt;'V06 Calend 01'!C96),(99&lt;'V06 Calend 01'!D96),(MOD((99-'V06 Calend 01'!C96),6)=0),(((99-'V06 Calend 01'!C96)/6)&lt;='V06 Calend 01'!E96)),IF((99=('V06 Calend 01'!C96+(6*'V06 Calend 01'!E96))),('V06 Calend 01'!H96-('V06 Calend 01'!I96*('V06 Calend 01'!E96-1))),'V06 Calend 01'!I96),0))+IF((99='V06 Calend 01'!D96),'V06 Calend 01'!J96,0))</f>
        <v>0</v>
      </c>
      <c r="DH96" s="2">
        <f>((IF((100='V06 Calend 01'!C96),('V06 Calend 01'!F96+'V06 Calend 01'!G96),0)+IF(AND(('V06 Calend 01'!E96&gt;0),(100&gt;'V06 Calend 01'!C96),(100&lt;'V06 Calend 01'!D96),(MOD((100-'V06 Calend 01'!C96),6)=0),(((100-'V06 Calend 01'!C96)/6)&lt;='V06 Calend 01'!E96)),IF((100=('V06 Calend 01'!C96+(6*'V06 Calend 01'!E96))),('V06 Calend 01'!H96-('V06 Calend 01'!I96*('V06 Calend 01'!E96-1))),'V06 Calend 01'!I96),0))+IF((100='V06 Calend 01'!D96),'V06 Calend 01'!J96,0))</f>
        <v>0</v>
      </c>
      <c r="DI96" s="2">
        <f>((IF((101='V06 Calend 01'!C96),('V06 Calend 01'!F96+'V06 Calend 01'!G96),0)+IF(AND(('V06 Calend 01'!E96&gt;0),(101&gt;'V06 Calend 01'!C96),(101&lt;'V06 Calend 01'!D96),(MOD((101-'V06 Calend 01'!C96),6)=0),(((101-'V06 Calend 01'!C96)/6)&lt;='V06 Calend 01'!E96)),IF((101=('V06 Calend 01'!C96+(6*'V06 Calend 01'!E96))),('V06 Calend 01'!H96-('V06 Calend 01'!I96*('V06 Calend 01'!E96-1))),'V06 Calend 01'!I96),0))+IF((101='V06 Calend 01'!D96),'V06 Calend 01'!J96,0))</f>
        <v>0</v>
      </c>
      <c r="DJ96" s="2">
        <f>((IF((102='V06 Calend 01'!C96),('V06 Calend 01'!F96+'V06 Calend 01'!G96),0)+IF(AND(('V06 Calend 01'!E96&gt;0),(102&gt;'V06 Calend 01'!C96),(102&lt;'V06 Calend 01'!D96),(MOD((102-'V06 Calend 01'!C96),6)=0),(((102-'V06 Calend 01'!C96)/6)&lt;='V06 Calend 01'!E96)),IF((102=('V06 Calend 01'!C96+(6*'V06 Calend 01'!E96))),('V06 Calend 01'!H96-('V06 Calend 01'!I96*('V06 Calend 01'!E96-1))),'V06 Calend 01'!I96),0))+IF((102='V06 Calend 01'!D96),'V06 Calend 01'!J96,0))</f>
        <v>0</v>
      </c>
      <c r="DK96" s="2">
        <f>((IF((103='V06 Calend 01'!C96),('V06 Calend 01'!F96+'V06 Calend 01'!G96),0)+IF(AND(('V06 Calend 01'!E96&gt;0),(103&gt;'V06 Calend 01'!C96),(103&lt;'V06 Calend 01'!D96),(MOD((103-'V06 Calend 01'!C96),6)=0),(((103-'V06 Calend 01'!C96)/6)&lt;='V06 Calend 01'!E96)),IF((103=('V06 Calend 01'!C96+(6*'V06 Calend 01'!E96))),('V06 Calend 01'!H96-('V06 Calend 01'!I96*('V06 Calend 01'!E96-1))),'V06 Calend 01'!I96),0))+IF((103='V06 Calend 01'!D96),'V06 Calend 01'!J96,0))</f>
        <v>0</v>
      </c>
      <c r="DL96" s="2">
        <f>((IF((104='V06 Calend 01'!C96),('V06 Calend 01'!F96+'V06 Calend 01'!G96),0)+IF(AND(('V06 Calend 01'!E96&gt;0),(104&gt;'V06 Calend 01'!C96),(104&lt;'V06 Calend 01'!D96),(MOD((104-'V06 Calend 01'!C96),6)=0),(((104-'V06 Calend 01'!C96)/6)&lt;='V06 Calend 01'!E96)),IF((104=('V06 Calend 01'!C96+(6*'V06 Calend 01'!E96))),('V06 Calend 01'!H96-('V06 Calend 01'!I96*('V06 Calend 01'!E96-1))),'V06 Calend 01'!I96),0))+IF((104='V06 Calend 01'!D96),'V06 Calend 01'!J96,0))</f>
        <v>0</v>
      </c>
      <c r="DM96" s="2">
        <f>((IF((105='V06 Calend 01'!C96),('V06 Calend 01'!F96+'V06 Calend 01'!G96),0)+IF(AND(('V06 Calend 01'!E96&gt;0),(105&gt;'V06 Calend 01'!C96),(105&lt;'V06 Calend 01'!D96),(MOD((105-'V06 Calend 01'!C96),6)=0),(((105-'V06 Calend 01'!C96)/6)&lt;='V06 Calend 01'!E96)),IF((105=('V06 Calend 01'!C96+(6*'V06 Calend 01'!E96))),('V06 Calend 01'!H96-('V06 Calend 01'!I96*('V06 Calend 01'!E96-1))),'V06 Calend 01'!I96),0))+IF((105='V06 Calend 01'!D96),'V06 Calend 01'!J96,0))</f>
        <v>0</v>
      </c>
      <c r="DN96" s="2">
        <f>((IF((106='V06 Calend 01'!C96),('V06 Calend 01'!F96+'V06 Calend 01'!G96),0)+IF(AND(('V06 Calend 01'!E96&gt;0),(106&gt;'V06 Calend 01'!C96),(106&lt;'V06 Calend 01'!D96),(MOD((106-'V06 Calend 01'!C96),6)=0),(((106-'V06 Calend 01'!C96)/6)&lt;='V06 Calend 01'!E96)),IF((106=('V06 Calend 01'!C96+(6*'V06 Calend 01'!E96))),('V06 Calend 01'!H96-('V06 Calend 01'!I96*('V06 Calend 01'!E96-1))),'V06 Calend 01'!I96),0))+IF((106='V06 Calend 01'!D96),'V06 Calend 01'!J96,0))</f>
        <v>0</v>
      </c>
      <c r="DO96" s="2">
        <f>((IF((107='V06 Calend 01'!C96),('V06 Calend 01'!F96+'V06 Calend 01'!G96),0)+IF(AND(('V06 Calend 01'!E96&gt;0),(107&gt;'V06 Calend 01'!C96),(107&lt;'V06 Calend 01'!D96),(MOD((107-'V06 Calend 01'!C96),6)=0),(((107-'V06 Calend 01'!C96)/6)&lt;='V06 Calend 01'!E96)),IF((107=('V06 Calend 01'!C96+(6*'V06 Calend 01'!E96))),('V06 Calend 01'!H96-('V06 Calend 01'!I96*('V06 Calend 01'!E96-1))),'V06 Calend 01'!I96),0))+IF((107='V06 Calend 01'!D96),'V06 Calend 01'!J96,0))</f>
        <v>0</v>
      </c>
      <c r="DP96" s="2">
        <f>((IF((108='V06 Calend 01'!C96),('V06 Calend 01'!F96+'V06 Calend 01'!G96),0)+IF(AND(('V06 Calend 01'!E96&gt;0),(108&gt;'V06 Calend 01'!C96),(108&lt;'V06 Calend 01'!D96),(MOD((108-'V06 Calend 01'!C96),6)=0),(((108-'V06 Calend 01'!C96)/6)&lt;='V06 Calend 01'!E96)),IF((108=('V06 Calend 01'!C96+(6*'V06 Calend 01'!E96))),('V06 Calend 01'!H96-('V06 Calend 01'!I96*('V06 Calend 01'!E96-1))),'V06 Calend 01'!I96),0))+IF((108='V06 Calend 01'!D96),'V06 Calend 01'!J96,0))</f>
        <v>0</v>
      </c>
      <c r="DQ96" s="2">
        <f>((IF((109='V06 Calend 01'!C96),('V06 Calend 01'!F96+'V06 Calend 01'!G96),0)+IF(AND(('V06 Calend 01'!E96&gt;0),(109&gt;'V06 Calend 01'!C96),(109&lt;'V06 Calend 01'!D96),(MOD((109-'V06 Calend 01'!C96),6)=0),(((109-'V06 Calend 01'!C96)/6)&lt;='V06 Calend 01'!E96)),IF((109=('V06 Calend 01'!C96+(6*'V06 Calend 01'!E96))),('V06 Calend 01'!H96-('V06 Calend 01'!I96*('V06 Calend 01'!E96-1))),'V06 Calend 01'!I96),0))+IF((109='V06 Calend 01'!D96),'V06 Calend 01'!J96,0))</f>
        <v>0</v>
      </c>
      <c r="DR96" s="2">
        <f>((IF((110='V06 Calend 01'!C96),('V06 Calend 01'!F96+'V06 Calend 01'!G96),0)+IF(AND(('V06 Calend 01'!E96&gt;0),(110&gt;'V06 Calend 01'!C96),(110&lt;'V06 Calend 01'!D96),(MOD((110-'V06 Calend 01'!C96),6)=0),(((110-'V06 Calend 01'!C96)/6)&lt;='V06 Calend 01'!E96)),IF((110=('V06 Calend 01'!C96+(6*'V06 Calend 01'!E96))),('V06 Calend 01'!H96-('V06 Calend 01'!I96*('V06 Calend 01'!E96-1))),'V06 Calend 01'!I96),0))+IF((110='V06 Calend 01'!D96),'V06 Calend 01'!J96,0))</f>
        <v>0</v>
      </c>
      <c r="DS96" s="2">
        <f>((IF((111='V06 Calend 01'!C96),('V06 Calend 01'!F96+'V06 Calend 01'!G96),0)+IF(AND(('V06 Calend 01'!E96&gt;0),(111&gt;'V06 Calend 01'!C96),(111&lt;'V06 Calend 01'!D96),(MOD((111-'V06 Calend 01'!C96),6)=0),(((111-'V06 Calend 01'!C96)/6)&lt;='V06 Calend 01'!E96)),IF((111=('V06 Calend 01'!C96+(6*'V06 Calend 01'!E96))),('V06 Calend 01'!H96-('V06 Calend 01'!I96*('V06 Calend 01'!E96-1))),'V06 Calend 01'!I96),0))+IF((111='V06 Calend 01'!D96),'V06 Calend 01'!J96,0))</f>
        <v>0</v>
      </c>
      <c r="DT96" s="2">
        <f>((IF((112='V06 Calend 01'!C96),('V06 Calend 01'!F96+'V06 Calend 01'!G96),0)+IF(AND(('V06 Calend 01'!E96&gt;0),(112&gt;'V06 Calend 01'!C96),(112&lt;'V06 Calend 01'!D96),(MOD((112-'V06 Calend 01'!C96),6)=0),(((112-'V06 Calend 01'!C96)/6)&lt;='V06 Calend 01'!E96)),IF((112=('V06 Calend 01'!C96+(6*'V06 Calend 01'!E96))),('V06 Calend 01'!H96-('V06 Calend 01'!I96*('V06 Calend 01'!E96-1))),'V06 Calend 01'!I96),0))+IF((112='V06 Calend 01'!D96),'V06 Calend 01'!J96,0))</f>
        <v>0</v>
      </c>
      <c r="DU96" s="2">
        <f>((IF((113='V06 Calend 01'!C96),('V06 Calend 01'!F96+'V06 Calend 01'!G96),0)+IF(AND(('V06 Calend 01'!E96&gt;0),(113&gt;'V06 Calend 01'!C96),(113&lt;'V06 Calend 01'!D96),(MOD((113-'V06 Calend 01'!C96),6)=0),(((113-'V06 Calend 01'!C96)/6)&lt;='V06 Calend 01'!E96)),IF((113=('V06 Calend 01'!C96+(6*'V06 Calend 01'!E96))),('V06 Calend 01'!H96-('V06 Calend 01'!I96*('V06 Calend 01'!E96-1))),'V06 Calend 01'!I96),0))+IF((113='V06 Calend 01'!D96),'V06 Calend 01'!J96,0))</f>
        <v>0</v>
      </c>
      <c r="DV96" s="2">
        <f>((IF((114='V06 Calend 01'!C96),('V06 Calend 01'!F96+'V06 Calend 01'!G96),0)+IF(AND(('V06 Calend 01'!E96&gt;0),(114&gt;'V06 Calend 01'!C96),(114&lt;'V06 Calend 01'!D96),(MOD((114-'V06 Calend 01'!C96),6)=0),(((114-'V06 Calend 01'!C96)/6)&lt;='V06 Calend 01'!E96)),IF((114=('V06 Calend 01'!C96+(6*'V06 Calend 01'!E96))),('V06 Calend 01'!H96-('V06 Calend 01'!I96*('V06 Calend 01'!E96-1))),'V06 Calend 01'!I96),0))+IF((114='V06 Calend 01'!D96),'V06 Calend 01'!J96,0))</f>
        <v>0</v>
      </c>
      <c r="DW96" s="2">
        <f>((IF((115='V06 Calend 01'!C96),('V06 Calend 01'!F96+'V06 Calend 01'!G96),0)+IF(AND(('V06 Calend 01'!E96&gt;0),(115&gt;'V06 Calend 01'!C96),(115&lt;'V06 Calend 01'!D96),(MOD((115-'V06 Calend 01'!C96),6)=0),(((115-'V06 Calend 01'!C96)/6)&lt;='V06 Calend 01'!E96)),IF((115=('V06 Calend 01'!C96+(6*'V06 Calend 01'!E96))),('V06 Calend 01'!H96-('V06 Calend 01'!I96*('V06 Calend 01'!E96-1))),'V06 Calend 01'!I96),0))+IF((115='V06 Calend 01'!D96),'V06 Calend 01'!J96,0))</f>
        <v>0</v>
      </c>
      <c r="DX96" s="2">
        <f>((IF((116='V06 Calend 01'!C96),('V06 Calend 01'!F96+'V06 Calend 01'!G96),0)+IF(AND(('V06 Calend 01'!E96&gt;0),(116&gt;'V06 Calend 01'!C96),(116&lt;'V06 Calend 01'!D96),(MOD((116-'V06 Calend 01'!C96),6)=0),(((116-'V06 Calend 01'!C96)/6)&lt;='V06 Calend 01'!E96)),IF((116=('V06 Calend 01'!C96+(6*'V06 Calend 01'!E96))),('V06 Calend 01'!H96-('V06 Calend 01'!I96*('V06 Calend 01'!E96-1))),'V06 Calend 01'!I96),0))+IF((116='V06 Calend 01'!D96),'V06 Calend 01'!J96,0))</f>
        <v>0</v>
      </c>
      <c r="DY96" s="2">
        <f>((IF((117='V06 Calend 01'!C96),('V06 Calend 01'!F96+'V06 Calend 01'!G96),0)+IF(AND(('V06 Calend 01'!E96&gt;0),(117&gt;'V06 Calend 01'!C96),(117&lt;'V06 Calend 01'!D96),(MOD((117-'V06 Calend 01'!C96),6)=0),(((117-'V06 Calend 01'!C96)/6)&lt;='V06 Calend 01'!E96)),IF((117=('V06 Calend 01'!C96+(6*'V06 Calend 01'!E96))),('V06 Calend 01'!H96-('V06 Calend 01'!I96*('V06 Calend 01'!E96-1))),'V06 Calend 01'!I96),0))+IF((117='V06 Calend 01'!D96),'V06 Calend 01'!J96,0))</f>
        <v>0</v>
      </c>
      <c r="DZ96" s="2">
        <f>((IF((118='V06 Calend 01'!C96),('V06 Calend 01'!F96+'V06 Calend 01'!G96),0)+IF(AND(('V06 Calend 01'!E96&gt;0),(118&gt;'V06 Calend 01'!C96),(118&lt;'V06 Calend 01'!D96),(MOD((118-'V06 Calend 01'!C96),6)=0),(((118-'V06 Calend 01'!C96)/6)&lt;='V06 Calend 01'!E96)),IF((118=('V06 Calend 01'!C96+(6*'V06 Calend 01'!E96))),('V06 Calend 01'!H96-('V06 Calend 01'!I96*('V06 Calend 01'!E96-1))),'V06 Calend 01'!I96),0))+IF((118='V06 Calend 01'!D96),'V06 Calend 01'!J96,0))</f>
        <v>0</v>
      </c>
      <c r="EA96" s="2">
        <f>((IF((119='V06 Calend 01'!C96),('V06 Calend 01'!F96+'V06 Calend 01'!G96),0)+IF(AND(('V06 Calend 01'!E96&gt;0),(119&gt;'V06 Calend 01'!C96),(119&lt;'V06 Calend 01'!D96),(MOD((119-'V06 Calend 01'!C96),6)=0),(((119-'V06 Calend 01'!C96)/6)&lt;='V06 Calend 01'!E96)),IF((119=('V06 Calend 01'!C96+(6*'V06 Calend 01'!E96))),('V06 Calend 01'!H96-('V06 Calend 01'!I96*('V06 Calend 01'!E96-1))),'V06 Calend 01'!I96),0))+IF((119='V06 Calend 01'!D96),'V06 Calend 01'!J96,0))</f>
        <v>0</v>
      </c>
      <c r="EB96" s="2">
        <f>((IF((120='V06 Calend 01'!C96),('V06 Calend 01'!F96+'V06 Calend 01'!G96),0)+IF(AND(('V06 Calend 01'!E96&gt;0),(120&gt;'V06 Calend 01'!C96),(120&lt;'V06 Calend 01'!D96),(MOD((120-'V06 Calend 01'!C96),6)=0),(((120-'V06 Calend 01'!C96)/6)&lt;='V06 Calend 01'!E96)),IF((120=('V06 Calend 01'!C96+(6*'V06 Calend 01'!E96))),('V06 Calend 01'!H96-('V06 Calend 01'!I96*('V06 Calend 01'!E96-1))),'V06 Calend 01'!I96),0))+IF((120='V06 Calend 01'!D96),'V06 Calend 01'!J96,0))</f>
        <v>0</v>
      </c>
      <c r="EC96" s="2">
        <f>((IF((121='V06 Calend 01'!C96),('V06 Calend 01'!F96+'V06 Calend 01'!G96),0)+IF(AND(('V06 Calend 01'!E96&gt;0),(121&gt;'V06 Calend 01'!C96),(121&lt;'V06 Calend 01'!D96),(MOD((121-'V06 Calend 01'!C96),6)=0),(((121-'V06 Calend 01'!C96)/6)&lt;='V06 Calend 01'!E96)),IF((121=('V06 Calend 01'!C96+(6*'V06 Calend 01'!E96))),('V06 Calend 01'!H96-('V06 Calend 01'!I96*('V06 Calend 01'!E96-1))),'V06 Calend 01'!I96),0))+IF((121='V06 Calend 01'!D96),'V06 Calend 01'!J96,0))</f>
        <v>0</v>
      </c>
      <c r="ED96" s="2">
        <f>((IF((122='V06 Calend 01'!C96),('V06 Calend 01'!F96+'V06 Calend 01'!G96),0)+IF(AND(('V06 Calend 01'!E96&gt;0),(122&gt;'V06 Calend 01'!C96),(122&lt;'V06 Calend 01'!D96),(MOD((122-'V06 Calend 01'!C96),6)=0),(((122-'V06 Calend 01'!C96)/6)&lt;='V06 Calend 01'!E96)),IF((122=('V06 Calend 01'!C96+(6*'V06 Calend 01'!E96))),('V06 Calend 01'!H96-('V06 Calend 01'!I96*('V06 Calend 01'!E96-1))),'V06 Calend 01'!I96),0))+IF((122='V06 Calend 01'!D96),'V06 Calend 01'!J96,0))</f>
        <v>0</v>
      </c>
      <c r="EE96" s="2">
        <f>((IF((123='V06 Calend 01'!C96),('V06 Calend 01'!F96+'V06 Calend 01'!G96),0)+IF(AND(('V06 Calend 01'!E96&gt;0),(123&gt;'V06 Calend 01'!C96),(123&lt;'V06 Calend 01'!D96),(MOD((123-'V06 Calend 01'!C96),6)=0),(((123-'V06 Calend 01'!C96)/6)&lt;='V06 Calend 01'!E96)),IF((123=('V06 Calend 01'!C96+(6*'V06 Calend 01'!E96))),('V06 Calend 01'!H96-('V06 Calend 01'!I96*('V06 Calend 01'!E96-1))),'V06 Calend 01'!I96),0))+IF((123='V06 Calend 01'!D96),'V06 Calend 01'!J96,0))</f>
        <v>0</v>
      </c>
      <c r="EF96" s="2">
        <f>((IF((124='V06 Calend 01'!C96),('V06 Calend 01'!F96+'V06 Calend 01'!G96),0)+IF(AND(('V06 Calend 01'!E96&gt;0),(124&gt;'V06 Calend 01'!C96),(124&lt;'V06 Calend 01'!D96),(MOD((124-'V06 Calend 01'!C96),6)=0),(((124-'V06 Calend 01'!C96)/6)&lt;='V06 Calend 01'!E96)),IF((124=('V06 Calend 01'!C96+(6*'V06 Calend 01'!E96))),('V06 Calend 01'!H96-('V06 Calend 01'!I96*('V06 Calend 01'!E96-1))),'V06 Calend 01'!I96),0))+IF((124='V06 Calend 01'!D96),'V06 Calend 01'!J96,0))</f>
        <v>0</v>
      </c>
      <c r="EG96" s="2">
        <f>((IF((125='V06 Calend 01'!C96),('V06 Calend 01'!F96+'V06 Calend 01'!G96),0)+IF(AND(('V06 Calend 01'!E96&gt;0),(125&gt;'V06 Calend 01'!C96),(125&lt;'V06 Calend 01'!D96),(MOD((125-'V06 Calend 01'!C96),6)=0),(((125-'V06 Calend 01'!C96)/6)&lt;='V06 Calend 01'!E96)),IF((125=('V06 Calend 01'!C96+(6*'V06 Calend 01'!E96))),('V06 Calend 01'!H96-('V06 Calend 01'!I96*('V06 Calend 01'!E96-1))),'V06 Calend 01'!I96),0))+IF((125='V06 Calend 01'!D96),'V06 Calend 01'!J96,0))</f>
        <v>0</v>
      </c>
      <c r="EH96" s="2">
        <f>((IF((126='V06 Calend 01'!C96),('V06 Calend 01'!F96+'V06 Calend 01'!G96),0)+IF(AND(('V06 Calend 01'!E96&gt;0),(126&gt;'V06 Calend 01'!C96),(126&lt;'V06 Calend 01'!D96),(MOD((126-'V06 Calend 01'!C96),6)=0),(((126-'V06 Calend 01'!C96)/6)&lt;='V06 Calend 01'!E96)),IF((126=('V06 Calend 01'!C96+(6*'V06 Calend 01'!E96))),('V06 Calend 01'!H96-('V06 Calend 01'!I96*('V06 Calend 01'!E96-1))),'V06 Calend 01'!I96),0))+IF((126='V06 Calend 01'!D96),'V06 Calend 01'!J96,0))</f>
        <v>0</v>
      </c>
      <c r="EI96" s="2">
        <f>((IF((127='V06 Calend 01'!C96),('V06 Calend 01'!F96+'V06 Calend 01'!G96),0)+IF(AND(('V06 Calend 01'!E96&gt;0),(127&gt;'V06 Calend 01'!C96),(127&lt;'V06 Calend 01'!D96),(MOD((127-'V06 Calend 01'!C96),6)=0),(((127-'V06 Calend 01'!C96)/6)&lt;='V06 Calend 01'!E96)),IF((127=('V06 Calend 01'!C96+(6*'V06 Calend 01'!E96))),('V06 Calend 01'!H96-('V06 Calend 01'!I96*('V06 Calend 01'!E96-1))),'V06 Calend 01'!I96),0))+IF((127='V06 Calend 01'!D96),'V06 Calend 01'!J96,0))</f>
        <v>0</v>
      </c>
      <c r="EJ96" s="2">
        <f>((IF((128='V06 Calend 01'!C96),('V06 Calend 01'!F96+'V06 Calend 01'!G96),0)+IF(AND(('V06 Calend 01'!E96&gt;0),(128&gt;'V06 Calend 01'!C96),(128&lt;'V06 Calend 01'!D96),(MOD((128-'V06 Calend 01'!C96),6)=0),(((128-'V06 Calend 01'!C96)/6)&lt;='V06 Calend 01'!E96)),IF((128=('V06 Calend 01'!C96+(6*'V06 Calend 01'!E96))),('V06 Calend 01'!H96-('V06 Calend 01'!I96*('V06 Calend 01'!E96-1))),'V06 Calend 01'!I96),0))+IF((128='V06 Calend 01'!D96),'V06 Calend 01'!J96,0))</f>
        <v>0</v>
      </c>
      <c r="EK96" s="2">
        <f>((IF((129='V06 Calend 01'!C96),('V06 Calend 01'!F96+'V06 Calend 01'!G96),0)+IF(AND(('V06 Calend 01'!E96&gt;0),(129&gt;'V06 Calend 01'!C96),(129&lt;'V06 Calend 01'!D96),(MOD((129-'V06 Calend 01'!C96),6)=0),(((129-'V06 Calend 01'!C96)/6)&lt;='V06 Calend 01'!E96)),IF((129=('V06 Calend 01'!C96+(6*'V06 Calend 01'!E96))),('V06 Calend 01'!H96-('V06 Calend 01'!I96*('V06 Calend 01'!E96-1))),'V06 Calend 01'!I96),0))+IF((129='V06 Calend 01'!D96),'V06 Calend 01'!J96,0))</f>
        <v>0</v>
      </c>
      <c r="EL96" s="2">
        <f>((IF((130='V06 Calend 01'!C96),('V06 Calend 01'!F96+'V06 Calend 01'!G96),0)+IF(AND(('V06 Calend 01'!E96&gt;0),(130&gt;'V06 Calend 01'!C96),(130&lt;'V06 Calend 01'!D96),(MOD((130-'V06 Calend 01'!C96),6)=0),(((130-'V06 Calend 01'!C96)/6)&lt;='V06 Calend 01'!E96)),IF((130=('V06 Calend 01'!C96+(6*'V06 Calend 01'!E96))),('V06 Calend 01'!H96-('V06 Calend 01'!I96*('V06 Calend 01'!E96-1))),'V06 Calend 01'!I96),0))+IF((130='V06 Calend 01'!D96),'V06 Calend 01'!J96,0))</f>
        <v>0</v>
      </c>
      <c r="EM96" s="2">
        <f>((IF((131='V06 Calend 01'!C96),('V06 Calend 01'!F96+'V06 Calend 01'!G96),0)+IF(AND(('V06 Calend 01'!E96&gt;0),(131&gt;'V06 Calend 01'!C96),(131&lt;'V06 Calend 01'!D96),(MOD((131-'V06 Calend 01'!C96),6)=0),(((131-'V06 Calend 01'!C96)/6)&lt;='V06 Calend 01'!E96)),IF((131=('V06 Calend 01'!C96+(6*'V06 Calend 01'!E96))),('V06 Calend 01'!H96-('V06 Calend 01'!I96*('V06 Calend 01'!E96-1))),'V06 Calend 01'!I96),0))+IF((131='V06 Calend 01'!D96),'V06 Calend 01'!J96,0))</f>
        <v>0</v>
      </c>
      <c r="EN96" s="2">
        <f>((IF((132='V06 Calend 01'!C96),('V06 Calend 01'!F96+'V06 Calend 01'!G96),0)+IF(AND(('V06 Calend 01'!E96&gt;0),(132&gt;'V06 Calend 01'!C96),(132&lt;'V06 Calend 01'!D96),(MOD((132-'V06 Calend 01'!C96),6)=0),(((132-'V06 Calend 01'!C96)/6)&lt;='V06 Calend 01'!E96)),IF((132=('V06 Calend 01'!C96+(6*'V06 Calend 01'!E96))),('V06 Calend 01'!H96-('V06 Calend 01'!I96*('V06 Calend 01'!E96-1))),'V06 Calend 01'!I96),0))+IF((132='V06 Calend 01'!D96),'V06 Calend 01'!J96,0))</f>
        <v>0</v>
      </c>
      <c r="EO96" s="2">
        <f>((IF((133='V06 Calend 01'!C96),('V06 Calend 01'!F96+'V06 Calend 01'!G96),0)+IF(AND(('V06 Calend 01'!E96&gt;0),(133&gt;'V06 Calend 01'!C96),(133&lt;'V06 Calend 01'!D96),(MOD((133-'V06 Calend 01'!C96),6)=0),(((133-'V06 Calend 01'!C96)/6)&lt;='V06 Calend 01'!E96)),IF((133=('V06 Calend 01'!C96+(6*'V06 Calend 01'!E96))),('V06 Calend 01'!H96-('V06 Calend 01'!I96*('V06 Calend 01'!E96-1))),'V06 Calend 01'!I96),0))+IF((133='V06 Calend 01'!D96),'V06 Calend 01'!J96,0))</f>
        <v>0</v>
      </c>
      <c r="EP96" s="2">
        <f>((IF((134='V06 Calend 01'!C96),('V06 Calend 01'!F96+'V06 Calend 01'!G96),0)+IF(AND(('V06 Calend 01'!E96&gt;0),(134&gt;'V06 Calend 01'!C96),(134&lt;'V06 Calend 01'!D96),(MOD((134-'V06 Calend 01'!C96),6)=0),(((134-'V06 Calend 01'!C96)/6)&lt;='V06 Calend 01'!E96)),IF((134=('V06 Calend 01'!C96+(6*'V06 Calend 01'!E96))),('V06 Calend 01'!H96-('V06 Calend 01'!I96*('V06 Calend 01'!E96-1))),'V06 Calend 01'!I96),0))+IF((134='V06 Calend 01'!D96),'V06 Calend 01'!J96,0))</f>
        <v>0</v>
      </c>
      <c r="EQ96" s="2">
        <f>((IF((135='V06 Calend 01'!C96),('V06 Calend 01'!F96+'V06 Calend 01'!G96),0)+IF(AND(('V06 Calend 01'!E96&gt;0),(135&gt;'V06 Calend 01'!C96),(135&lt;'V06 Calend 01'!D96),(MOD((135-'V06 Calend 01'!C96),6)=0),(((135-'V06 Calend 01'!C96)/6)&lt;='V06 Calend 01'!E96)),IF((135=('V06 Calend 01'!C96+(6*'V06 Calend 01'!E96))),('V06 Calend 01'!H96-('V06 Calend 01'!I96*('V06 Calend 01'!E96-1))),'V06 Calend 01'!I96),0))+IF((135='V06 Calend 01'!D96),'V06 Calend 01'!J96,0))</f>
        <v>0</v>
      </c>
      <c r="ER96" s="2">
        <f>((IF((136='V06 Calend 01'!C96),('V06 Calend 01'!F96+'V06 Calend 01'!G96),0)+IF(AND(('V06 Calend 01'!E96&gt;0),(136&gt;'V06 Calend 01'!C96),(136&lt;'V06 Calend 01'!D96),(MOD((136-'V06 Calend 01'!C96),6)=0),(((136-'V06 Calend 01'!C96)/6)&lt;='V06 Calend 01'!E96)),IF((136=('V06 Calend 01'!C96+(6*'V06 Calend 01'!E96))),('V06 Calend 01'!H96-('V06 Calend 01'!I96*('V06 Calend 01'!E96-1))),'V06 Calend 01'!I96),0))+IF((136='V06 Calend 01'!D96),'V06 Calend 01'!J96,0))</f>
        <v>0</v>
      </c>
      <c r="ES96" s="2">
        <f>((IF((137='V06 Calend 01'!C96),('V06 Calend 01'!F96+'V06 Calend 01'!G96),0)+IF(AND(('V06 Calend 01'!E96&gt;0),(137&gt;'V06 Calend 01'!C96),(137&lt;'V06 Calend 01'!D96),(MOD((137-'V06 Calend 01'!C96),6)=0),(((137-'V06 Calend 01'!C96)/6)&lt;='V06 Calend 01'!E96)),IF((137=('V06 Calend 01'!C96+(6*'V06 Calend 01'!E96))),('V06 Calend 01'!H96-('V06 Calend 01'!I96*('V06 Calend 01'!E96-1))),'V06 Calend 01'!I96),0))+IF((137='V06 Calend 01'!D96),'V06 Calend 01'!J96,0))</f>
        <v>0</v>
      </c>
      <c r="ET96" s="2">
        <f>((IF((138='V06 Calend 01'!C96),('V06 Calend 01'!F96+'V06 Calend 01'!G96),0)+IF(AND(('V06 Calend 01'!E96&gt;0),(138&gt;'V06 Calend 01'!C96),(138&lt;'V06 Calend 01'!D96),(MOD((138-'V06 Calend 01'!C96),6)=0),(((138-'V06 Calend 01'!C96)/6)&lt;='V06 Calend 01'!E96)),IF((138=('V06 Calend 01'!C96+(6*'V06 Calend 01'!E96))),('V06 Calend 01'!H96-('V06 Calend 01'!I96*('V06 Calend 01'!E96-1))),'V06 Calend 01'!I96),0))+IF((138='V06 Calend 01'!D96),'V06 Calend 01'!J96,0))</f>
        <v>0</v>
      </c>
      <c r="EU96" s="2">
        <f>((IF((139='V06 Calend 01'!C96),('V06 Calend 01'!F96+'V06 Calend 01'!G96),0)+IF(AND(('V06 Calend 01'!E96&gt;0),(139&gt;'V06 Calend 01'!C96),(139&lt;'V06 Calend 01'!D96),(MOD((139-'V06 Calend 01'!C96),6)=0),(((139-'V06 Calend 01'!C96)/6)&lt;='V06 Calend 01'!E96)),IF((139=('V06 Calend 01'!C96+(6*'V06 Calend 01'!E96))),('V06 Calend 01'!H96-('V06 Calend 01'!I96*('V06 Calend 01'!E96-1))),'V06 Calend 01'!I96),0))+IF((139='V06 Calend 01'!D96),'V06 Calend 01'!J96,0))</f>
        <v>0</v>
      </c>
      <c r="EV96" s="2">
        <f>((IF((140='V06 Calend 01'!C96),('V06 Calend 01'!F96+'V06 Calend 01'!G96),0)+IF(AND(('V06 Calend 01'!E96&gt;0),(140&gt;'V06 Calend 01'!C96),(140&lt;'V06 Calend 01'!D96),(MOD((140-'V06 Calend 01'!C96),6)=0),(((140-'V06 Calend 01'!C96)/6)&lt;='V06 Calend 01'!E96)),IF((140=('V06 Calend 01'!C96+(6*'V06 Calend 01'!E96))),('V06 Calend 01'!H96-('V06 Calend 01'!I96*('V06 Calend 01'!E96-1))),'V06 Calend 01'!I96),0))+IF((140='V06 Calend 01'!D96),'V06 Calend 01'!J96,0))</f>
        <v>0</v>
      </c>
      <c r="EW96" s="2">
        <f>((IF((141='V06 Calend 01'!C96),('V06 Calend 01'!F96+'V06 Calend 01'!G96),0)+IF(AND(('V06 Calend 01'!E96&gt;0),(141&gt;'V06 Calend 01'!C96),(141&lt;'V06 Calend 01'!D96),(MOD((141-'V06 Calend 01'!C96),6)=0),(((141-'V06 Calend 01'!C96)/6)&lt;='V06 Calend 01'!E96)),IF((141=('V06 Calend 01'!C96+(6*'V06 Calend 01'!E96))),('V06 Calend 01'!H96-('V06 Calend 01'!I96*('V06 Calend 01'!E96-1))),'V06 Calend 01'!I96),0))+IF((141='V06 Calend 01'!D96),'V06 Calend 01'!J96,0))</f>
        <v>0</v>
      </c>
      <c r="EX96" s="2">
        <f>((IF((142='V06 Calend 01'!C96),('V06 Calend 01'!F96+'V06 Calend 01'!G96),0)+IF(AND(('V06 Calend 01'!E96&gt;0),(142&gt;'V06 Calend 01'!C96),(142&lt;'V06 Calend 01'!D96),(MOD((142-'V06 Calend 01'!C96),6)=0),(((142-'V06 Calend 01'!C96)/6)&lt;='V06 Calend 01'!E96)),IF((142=('V06 Calend 01'!C96+(6*'V06 Calend 01'!E96))),('V06 Calend 01'!H96-('V06 Calend 01'!I96*('V06 Calend 01'!E96-1))),'V06 Calend 01'!I96),0))+IF((142='V06 Calend 01'!D96),'V06 Calend 01'!J96,0))</f>
        <v>0</v>
      </c>
      <c r="EY96" s="2">
        <f>((IF((143='V06 Calend 01'!C96),('V06 Calend 01'!F96+'V06 Calend 01'!G96),0)+IF(AND(('V06 Calend 01'!E96&gt;0),(143&gt;'V06 Calend 01'!C96),(143&lt;'V06 Calend 01'!D96),(MOD((143-'V06 Calend 01'!C96),6)=0),(((143-'V06 Calend 01'!C96)/6)&lt;='V06 Calend 01'!E96)),IF((143=('V06 Calend 01'!C96+(6*'V06 Calend 01'!E96))),('V06 Calend 01'!H96-('V06 Calend 01'!I96*('V06 Calend 01'!E96-1))),'V06 Calend 01'!I96),0))+IF((143='V06 Calend 01'!D96),'V06 Calend 01'!J96,0))</f>
        <v>0</v>
      </c>
      <c r="EZ96" s="2">
        <f>((IF((144='V06 Calend 01'!C96),('V06 Calend 01'!F96+'V06 Calend 01'!G96),0)+IF(AND(('V06 Calend 01'!E96&gt;0),(144&gt;'V06 Calend 01'!C96),(144&lt;'V06 Calend 01'!D96),(MOD((144-'V06 Calend 01'!C96),6)=0),(((144-'V06 Calend 01'!C96)/6)&lt;='V06 Calend 01'!E96)),IF((144=('V06 Calend 01'!C96+(6*'V06 Calend 01'!E96))),('V06 Calend 01'!H96-('V06 Calend 01'!I96*('V06 Calend 01'!E96-1))),'V06 Calend 01'!I96),0))+IF((144='V06 Calend 01'!D96),'V06 Calend 01'!J96,0))</f>
        <v>0</v>
      </c>
      <c r="FA96" s="2">
        <f>((IF((145='V06 Calend 01'!C96),('V06 Calend 01'!F96+'V06 Calend 01'!G96),0)+IF(AND(('V06 Calend 01'!E96&gt;0),(145&gt;'V06 Calend 01'!C96),(145&lt;'V06 Calend 01'!D96),(MOD((145-'V06 Calend 01'!C96),6)=0),(((145-'V06 Calend 01'!C96)/6)&lt;='V06 Calend 01'!E96)),IF((145=('V06 Calend 01'!C96+(6*'V06 Calend 01'!E96))),('V06 Calend 01'!H96-('V06 Calend 01'!I96*('V06 Calend 01'!E96-1))),'V06 Calend 01'!I96),0))+IF((145='V06 Calend 01'!D96),'V06 Calend 01'!J96,0))</f>
        <v>0</v>
      </c>
      <c r="FB96" s="2">
        <f>((IF((146='V06 Calend 01'!C96),('V06 Calend 01'!F96+'V06 Calend 01'!G96),0)+IF(AND(('V06 Calend 01'!E96&gt;0),(146&gt;'V06 Calend 01'!C96),(146&lt;'V06 Calend 01'!D96),(MOD((146-'V06 Calend 01'!C96),6)=0),(((146-'V06 Calend 01'!C96)/6)&lt;='V06 Calend 01'!E96)),IF((146=('V06 Calend 01'!C96+(6*'V06 Calend 01'!E96))),('V06 Calend 01'!H96-('V06 Calend 01'!I96*('V06 Calend 01'!E96-1))),'V06 Calend 01'!I96),0))+IF((146='V06 Calend 01'!D96),'V06 Calend 01'!J96,0))</f>
        <v>0</v>
      </c>
      <c r="FC96" s="2">
        <f>((IF((147='V06 Calend 01'!C96),('V06 Calend 01'!F96+'V06 Calend 01'!G96),0)+IF(AND(('V06 Calend 01'!E96&gt;0),(147&gt;'V06 Calend 01'!C96),(147&lt;'V06 Calend 01'!D96),(MOD((147-'V06 Calend 01'!C96),6)=0),(((147-'V06 Calend 01'!C96)/6)&lt;='V06 Calend 01'!E96)),IF((147=('V06 Calend 01'!C96+(6*'V06 Calend 01'!E96))),('V06 Calend 01'!H96-('V06 Calend 01'!I96*('V06 Calend 01'!E96-1))),'V06 Calend 01'!I96),0))+IF((147='V06 Calend 01'!D96),'V06 Calend 01'!J96,0))</f>
        <v>0</v>
      </c>
      <c r="FD96" s="2">
        <f>((IF((148='V06 Calend 01'!C96),('V06 Calend 01'!F96+'V06 Calend 01'!G96),0)+IF(AND(('V06 Calend 01'!E96&gt;0),(148&gt;'V06 Calend 01'!C96),(148&lt;'V06 Calend 01'!D96),(MOD((148-'V06 Calend 01'!C96),6)=0),(((148-'V06 Calend 01'!C96)/6)&lt;='V06 Calend 01'!E96)),IF((148=('V06 Calend 01'!C96+(6*'V06 Calend 01'!E96))),('V06 Calend 01'!H96-('V06 Calend 01'!I96*('V06 Calend 01'!E96-1))),'V06 Calend 01'!I96),0))+IF((148='V06 Calend 01'!D96),'V06 Calend 01'!J96,0))</f>
        <v>0</v>
      </c>
      <c r="FE96" s="2">
        <f>((IF((149='V06 Calend 01'!C96),('V06 Calend 01'!F96+'V06 Calend 01'!G96),0)+IF(AND(('V06 Calend 01'!E96&gt;0),(149&gt;'V06 Calend 01'!C96),(149&lt;'V06 Calend 01'!D96),(MOD((149-'V06 Calend 01'!C96),6)=0),(((149-'V06 Calend 01'!C96)/6)&lt;='V06 Calend 01'!E96)),IF((149=('V06 Calend 01'!C96+(6*'V06 Calend 01'!E96))),('V06 Calend 01'!H96-('V06 Calend 01'!I96*('V06 Calend 01'!E96-1))),'V06 Calend 01'!I96),0))+IF((149='V06 Calend 01'!D96),'V06 Calend 01'!J96,0))</f>
        <v>0</v>
      </c>
      <c r="FF96" s="2">
        <f>((IF((150='V06 Calend 01'!C96),('V06 Calend 01'!F96+'V06 Calend 01'!G96),0)+IF(AND(('V06 Calend 01'!E96&gt;0),(150&gt;'V06 Calend 01'!C96),(150&lt;'V06 Calend 01'!D96),(MOD((150-'V06 Calend 01'!C96),6)=0),(((150-'V06 Calend 01'!C96)/6)&lt;='V06 Calend 01'!E96)),IF((150=('V06 Calend 01'!C96+(6*'V06 Calend 01'!E96))),('V06 Calend 01'!H96-('V06 Calend 01'!I96*('V06 Calend 01'!E96-1))),'V06 Calend 01'!I96),0))+IF((150='V06 Calend 01'!D96),'V06 Calend 01'!J96,0))</f>
        <v>0</v>
      </c>
      <c r="FG96" s="2">
        <f>((IF((151='V06 Calend 01'!C96),('V06 Calend 01'!F96+'V06 Calend 01'!G96),0)+IF(AND(('V06 Calend 01'!E96&gt;0),(151&gt;'V06 Calend 01'!C96),(151&lt;'V06 Calend 01'!D96),(MOD((151-'V06 Calend 01'!C96),6)=0),(((151-'V06 Calend 01'!C96)/6)&lt;='V06 Calend 01'!E96)),IF((151=('V06 Calend 01'!C96+(6*'V06 Calend 01'!E96))),('V06 Calend 01'!H96-('V06 Calend 01'!I96*('V06 Calend 01'!E96-1))),'V06 Calend 01'!I96),0))+IF((151='V06 Calend 01'!D96),'V06 Calend 01'!J96,0))</f>
        <v>0</v>
      </c>
      <c r="FH96" s="2">
        <f>((IF((152='V06 Calend 01'!C96),('V06 Calend 01'!F96+'V06 Calend 01'!G96),0)+IF(AND(('V06 Calend 01'!E96&gt;0),(152&gt;'V06 Calend 01'!C96),(152&lt;'V06 Calend 01'!D96),(MOD((152-'V06 Calend 01'!C96),6)=0),(((152-'V06 Calend 01'!C96)/6)&lt;='V06 Calend 01'!E96)),IF((152=('V06 Calend 01'!C96+(6*'V06 Calend 01'!E96))),('V06 Calend 01'!H96-('V06 Calend 01'!I96*('V06 Calend 01'!E96-1))),'V06 Calend 01'!I96),0))+IF((152='V06 Calend 01'!D96),'V06 Calend 01'!J96,0))</f>
        <v>0</v>
      </c>
      <c r="FI96" s="2">
        <f>((IF((153='V06 Calend 01'!C96),('V06 Calend 01'!F96+'V06 Calend 01'!G96),0)+IF(AND(('V06 Calend 01'!E96&gt;0),(153&gt;'V06 Calend 01'!C96),(153&lt;'V06 Calend 01'!D96),(MOD((153-'V06 Calend 01'!C96),6)=0),(((153-'V06 Calend 01'!C96)/6)&lt;='V06 Calend 01'!E96)),IF((153=('V06 Calend 01'!C96+(6*'V06 Calend 01'!E96))),('V06 Calend 01'!H96-('V06 Calend 01'!I96*('V06 Calend 01'!E96-1))),'V06 Calend 01'!I96),0))+IF((153='V06 Calend 01'!D96),'V06 Calend 01'!J96,0))</f>
        <v>0</v>
      </c>
      <c r="FJ96" s="2">
        <f>((IF((154='V06 Calend 01'!C96),('V06 Calend 01'!F96+'V06 Calend 01'!G96),0)+IF(AND(('V06 Calend 01'!E96&gt;0),(154&gt;'V06 Calend 01'!C96),(154&lt;'V06 Calend 01'!D96),(MOD((154-'V06 Calend 01'!C96),6)=0),(((154-'V06 Calend 01'!C96)/6)&lt;='V06 Calend 01'!E96)),IF((154=('V06 Calend 01'!C96+(6*'V06 Calend 01'!E96))),('V06 Calend 01'!H96-('V06 Calend 01'!I96*('V06 Calend 01'!E96-1))),'V06 Calend 01'!I96),0))+IF((154='V06 Calend 01'!D96),'V06 Calend 01'!J96,0))</f>
        <v>0</v>
      </c>
      <c r="FK96" s="2">
        <f>((IF((155='V06 Calend 01'!C96),('V06 Calend 01'!F96+'V06 Calend 01'!G96),0)+IF(AND(('V06 Calend 01'!E96&gt;0),(155&gt;'V06 Calend 01'!C96),(155&lt;'V06 Calend 01'!D96),(MOD((155-'V06 Calend 01'!C96),6)=0),(((155-'V06 Calend 01'!C96)/6)&lt;='V06 Calend 01'!E96)),IF((155=('V06 Calend 01'!C96+(6*'V06 Calend 01'!E96))),('V06 Calend 01'!H96-('V06 Calend 01'!I96*('V06 Calend 01'!E96-1))),'V06 Calend 01'!I96),0))+IF((155='V06 Calend 01'!D96),'V06 Calend 01'!J96,0))</f>
        <v>0</v>
      </c>
      <c r="FL96" s="2">
        <f>((IF((156='V06 Calend 01'!C96),('V06 Calend 01'!F96+'V06 Calend 01'!G96),0)+IF(AND(('V06 Calend 01'!E96&gt;0),(156&gt;'V06 Calend 01'!C96),(156&lt;'V06 Calend 01'!D96),(MOD((156-'V06 Calend 01'!C96),6)=0),(((156-'V06 Calend 01'!C96)/6)&lt;='V06 Calend 01'!E96)),IF((156=('V06 Calend 01'!C96+(6*'V06 Calend 01'!E96))),('V06 Calend 01'!H96-('V06 Calend 01'!I96*('V06 Calend 01'!E96-1))),'V06 Calend 01'!I96),0))+IF((156='V06 Calend 01'!D96),'V06 Calend 01'!J96,0))</f>
        <v>0</v>
      </c>
      <c r="FM96" s="2">
        <f>((IF((157='V06 Calend 01'!C96),('V06 Calend 01'!F96+'V06 Calend 01'!G96),0)+IF(AND(('V06 Calend 01'!E96&gt;0),(157&gt;'V06 Calend 01'!C96),(157&lt;'V06 Calend 01'!D96),(MOD((157-'V06 Calend 01'!C96),6)=0),(((157-'V06 Calend 01'!C96)/6)&lt;='V06 Calend 01'!E96)),IF((157=('V06 Calend 01'!C96+(6*'V06 Calend 01'!E96))),('V06 Calend 01'!H96-('V06 Calend 01'!I96*('V06 Calend 01'!E96-1))),'V06 Calend 01'!I96),0))+IF((157='V06 Calend 01'!D96),'V06 Calend 01'!J96,0))</f>
        <v>0</v>
      </c>
      <c r="FN96" s="2">
        <f>((IF((158='V06 Calend 01'!C96),('V06 Calend 01'!F96+'V06 Calend 01'!G96),0)+IF(AND(('V06 Calend 01'!E96&gt;0),(158&gt;'V06 Calend 01'!C96),(158&lt;'V06 Calend 01'!D96),(MOD((158-'V06 Calend 01'!C96),6)=0),(((158-'V06 Calend 01'!C96)/6)&lt;='V06 Calend 01'!E96)),IF((158=('V06 Calend 01'!C96+(6*'V06 Calend 01'!E96))),('V06 Calend 01'!H96-('V06 Calend 01'!I96*('V06 Calend 01'!E96-1))),'V06 Calend 01'!I96),0))+IF((158='V06 Calend 01'!D96),'V06 Calend 01'!J96,0))</f>
        <v>0</v>
      </c>
      <c r="FO96" s="2">
        <f>((IF((159='V06 Calend 01'!C96),('V06 Calend 01'!F96+'V06 Calend 01'!G96),0)+IF(AND(('V06 Calend 01'!E96&gt;0),(159&gt;'V06 Calend 01'!C96),(159&lt;'V06 Calend 01'!D96),(MOD((159-'V06 Calend 01'!C96),6)=0),(((159-'V06 Calend 01'!C96)/6)&lt;='V06 Calend 01'!E96)),IF((159=('V06 Calend 01'!C96+(6*'V06 Calend 01'!E96))),('V06 Calend 01'!H96-('V06 Calend 01'!I96*('V06 Calend 01'!E96-1))),'V06 Calend 01'!I96),0))+IF((159='V06 Calend 01'!D96),'V06 Calend 01'!J96,0))</f>
        <v>0</v>
      </c>
      <c r="FP96" s="2">
        <f>((IF((160='V06 Calend 01'!C96),('V06 Calend 01'!F96+'V06 Calend 01'!G96),0)+IF(AND(('V06 Calend 01'!E96&gt;0),(160&gt;'V06 Calend 01'!C96),(160&lt;'V06 Calend 01'!D96),(MOD((160-'V06 Calend 01'!C96),6)=0),(((160-'V06 Calend 01'!C96)/6)&lt;='V06 Calend 01'!E96)),IF((160=('V06 Calend 01'!C96+(6*'V06 Calend 01'!E96))),('V06 Calend 01'!H96-('V06 Calend 01'!I96*('V06 Calend 01'!E96-1))),'V06 Calend 01'!I96),0))+IF((160='V06 Calend 01'!D96),'V06 Calend 01'!J96,0))</f>
        <v>0</v>
      </c>
      <c r="FQ96" s="2">
        <f>((IF((161='V06 Calend 01'!C96),('V06 Calend 01'!F96+'V06 Calend 01'!G96),0)+IF(AND(('V06 Calend 01'!E96&gt;0),(161&gt;'V06 Calend 01'!C96),(161&lt;'V06 Calend 01'!D96),(MOD((161-'V06 Calend 01'!C96),6)=0),(((161-'V06 Calend 01'!C96)/6)&lt;='V06 Calend 01'!E96)),IF((161=('V06 Calend 01'!C96+(6*'V06 Calend 01'!E96))),('V06 Calend 01'!H96-('V06 Calend 01'!I96*('V06 Calend 01'!E96-1))),'V06 Calend 01'!I96),0))+IF((161='V06 Calend 01'!D96),'V06 Calend 01'!J96,0))</f>
        <v>0</v>
      </c>
      <c r="FR96" s="2">
        <f>((IF((162='V06 Calend 01'!C96),('V06 Calend 01'!F96+'V06 Calend 01'!G96),0)+IF(AND(('V06 Calend 01'!E96&gt;0),(162&gt;'V06 Calend 01'!C96),(162&lt;'V06 Calend 01'!D96),(MOD((162-'V06 Calend 01'!C96),6)=0),(((162-'V06 Calend 01'!C96)/6)&lt;='V06 Calend 01'!E96)),IF((162=('V06 Calend 01'!C96+(6*'V06 Calend 01'!E96))),('V06 Calend 01'!H96-('V06 Calend 01'!I96*('V06 Calend 01'!E96-1))),'V06 Calend 01'!I96),0))+IF((162='V06 Calend 01'!D96),'V06 Calend 01'!J96,0))</f>
        <v>0</v>
      </c>
      <c r="FS96" s="2">
        <f>((IF((163='V06 Calend 01'!C96),('V06 Calend 01'!F96+'V06 Calend 01'!G96),0)+IF(AND(('V06 Calend 01'!E96&gt;0),(163&gt;'V06 Calend 01'!C96),(163&lt;'V06 Calend 01'!D96),(MOD((163-'V06 Calend 01'!C96),6)=0),(((163-'V06 Calend 01'!C96)/6)&lt;='V06 Calend 01'!E96)),IF((163=('V06 Calend 01'!C96+(6*'V06 Calend 01'!E96))),('V06 Calend 01'!H96-('V06 Calend 01'!I96*('V06 Calend 01'!E96-1))),'V06 Calend 01'!I96),0))+IF((163='V06 Calend 01'!D96),'V06 Calend 01'!J96,0))</f>
        <v>0</v>
      </c>
      <c r="FT96" s="2">
        <f>((IF((164='V06 Calend 01'!C96),('V06 Calend 01'!F96+'V06 Calend 01'!G96),0)+IF(AND(('V06 Calend 01'!E96&gt;0),(164&gt;'V06 Calend 01'!C96),(164&lt;'V06 Calend 01'!D96),(MOD((164-'V06 Calend 01'!C96),6)=0),(((164-'V06 Calend 01'!C96)/6)&lt;='V06 Calend 01'!E96)),IF((164=('V06 Calend 01'!C96+(6*'V06 Calend 01'!E96))),('V06 Calend 01'!H96-('V06 Calend 01'!I96*('V06 Calend 01'!E96-1))),'V06 Calend 01'!I96),0))+IF((164='V06 Calend 01'!D96),'V06 Calend 01'!J96,0))</f>
        <v>0</v>
      </c>
      <c r="FU96" s="2">
        <f>((IF((165='V06 Calend 01'!C96),('V06 Calend 01'!F96+'V06 Calend 01'!G96),0)+IF(AND(('V06 Calend 01'!E96&gt;0),(165&gt;'V06 Calend 01'!C96),(165&lt;'V06 Calend 01'!D96),(MOD((165-'V06 Calend 01'!C96),6)=0),(((165-'V06 Calend 01'!C96)/6)&lt;='V06 Calend 01'!E96)),IF((165=('V06 Calend 01'!C96+(6*'V06 Calend 01'!E96))),('V06 Calend 01'!H96-('V06 Calend 01'!I96*('V06 Calend 01'!E96-1))),'V06 Calend 01'!I96),0))+IF((165='V06 Calend 01'!D96),'V06 Calend 01'!J96,0))</f>
        <v>0</v>
      </c>
      <c r="FV96" s="2">
        <f>((IF((166='V06 Calend 01'!C96),('V06 Calend 01'!F96+'V06 Calend 01'!G96),0)+IF(AND(('V06 Calend 01'!E96&gt;0),(166&gt;'V06 Calend 01'!C96),(166&lt;'V06 Calend 01'!D96),(MOD((166-'V06 Calend 01'!C96),6)=0),(((166-'V06 Calend 01'!C96)/6)&lt;='V06 Calend 01'!E96)),IF((166=('V06 Calend 01'!C96+(6*'V06 Calend 01'!E96))),('V06 Calend 01'!H96-('V06 Calend 01'!I96*('V06 Calend 01'!E96-1))),'V06 Calend 01'!I96),0))+IF((166='V06 Calend 01'!D96),'V06 Calend 01'!J96,0))</f>
        <v>0</v>
      </c>
      <c r="FW96" s="2">
        <f>((IF((167='V06 Calend 01'!C96),('V06 Calend 01'!F96+'V06 Calend 01'!G96),0)+IF(AND(('V06 Calend 01'!E96&gt;0),(167&gt;'V06 Calend 01'!C96),(167&lt;'V06 Calend 01'!D96),(MOD((167-'V06 Calend 01'!C96),6)=0),(((167-'V06 Calend 01'!C96)/6)&lt;='V06 Calend 01'!E96)),IF((167=('V06 Calend 01'!C96+(6*'V06 Calend 01'!E96))),('V06 Calend 01'!H96-('V06 Calend 01'!I96*('V06 Calend 01'!E96-1))),'V06 Calend 01'!I96),0))+IF((167='V06 Calend 01'!D96),'V06 Calend 01'!J96,0))</f>
        <v>0</v>
      </c>
      <c r="FX96" s="2">
        <f>((IF((168='V06 Calend 01'!C96),('V06 Calend 01'!F96+'V06 Calend 01'!G96),0)+IF(AND(('V06 Calend 01'!E96&gt;0),(168&gt;'V06 Calend 01'!C96),(168&lt;'V06 Calend 01'!D96),(MOD((168-'V06 Calend 01'!C96),6)=0),(((168-'V06 Calend 01'!C96)/6)&lt;='V06 Calend 01'!E96)),IF((168=('V06 Calend 01'!C96+(6*'V06 Calend 01'!E96))),('V06 Calend 01'!H96-('V06 Calend 01'!I96*('V06 Calend 01'!E96-1))),'V06 Calend 01'!I96),0))+IF((168='V06 Calend 01'!D96),'V06 Calend 01'!J96,0))</f>
        <v>0</v>
      </c>
      <c r="FY96" s="2">
        <f>((IF((169='V06 Calend 01'!C96),('V06 Calend 01'!F96+'V06 Calend 01'!G96),0)+IF(AND(('V06 Calend 01'!E96&gt;0),(169&gt;'V06 Calend 01'!C96),(169&lt;'V06 Calend 01'!D96),(MOD((169-'V06 Calend 01'!C96),6)=0),(((169-'V06 Calend 01'!C96)/6)&lt;='V06 Calend 01'!E96)),IF((169=('V06 Calend 01'!C96+(6*'V06 Calend 01'!E96))),('V06 Calend 01'!H96-('V06 Calend 01'!I96*('V06 Calend 01'!E96-1))),'V06 Calend 01'!I96),0))+IF((169='V06 Calend 01'!D96),'V06 Calend 01'!J96,0))</f>
        <v>0</v>
      </c>
      <c r="FZ96" s="2">
        <f>((IF((170='V06 Calend 01'!C96),('V06 Calend 01'!F96+'V06 Calend 01'!G96),0)+IF(AND(('V06 Calend 01'!E96&gt;0),(170&gt;'V06 Calend 01'!C96),(170&lt;'V06 Calend 01'!D96),(MOD((170-'V06 Calend 01'!C96),6)=0),(((170-'V06 Calend 01'!C96)/6)&lt;='V06 Calend 01'!E96)),IF((170=('V06 Calend 01'!C96+(6*'V06 Calend 01'!E96))),('V06 Calend 01'!H96-('V06 Calend 01'!I96*('V06 Calend 01'!E96-1))),'V06 Calend 01'!I96),0))+IF((170='V06 Calend 01'!D96),'V06 Calend 01'!J96,0))</f>
        <v>0</v>
      </c>
      <c r="GA96" s="2">
        <f>((IF((171='V06 Calend 01'!C96),('V06 Calend 01'!F96+'V06 Calend 01'!G96),0)+IF(AND(('V06 Calend 01'!E96&gt;0),(171&gt;'V06 Calend 01'!C96),(171&lt;'V06 Calend 01'!D96),(MOD((171-'V06 Calend 01'!C96),6)=0),(((171-'V06 Calend 01'!C96)/6)&lt;='V06 Calend 01'!E96)),IF((171=('V06 Calend 01'!C96+(6*'V06 Calend 01'!E96))),('V06 Calend 01'!H96-('V06 Calend 01'!I96*('V06 Calend 01'!E96-1))),'V06 Calend 01'!I96),0))+IF((171='V06 Calend 01'!D96),'V06 Calend 01'!J96,0))</f>
        <v>0</v>
      </c>
      <c r="GB96" s="2">
        <f>((IF((172='V06 Calend 01'!C96),('V06 Calend 01'!F96+'V06 Calend 01'!G96),0)+IF(AND(('V06 Calend 01'!E96&gt;0),(172&gt;'V06 Calend 01'!C96),(172&lt;'V06 Calend 01'!D96),(MOD((172-'V06 Calend 01'!C96),6)=0),(((172-'V06 Calend 01'!C96)/6)&lt;='V06 Calend 01'!E96)),IF((172=('V06 Calend 01'!C96+(6*'V06 Calend 01'!E96))),('V06 Calend 01'!H96-('V06 Calend 01'!I96*('V06 Calend 01'!E96-1))),'V06 Calend 01'!I96),0))+IF((172='V06 Calend 01'!D96),'V06 Calend 01'!J96,0))</f>
        <v>0</v>
      </c>
      <c r="GC96" s="2">
        <f>((IF((173='V06 Calend 01'!C96),('V06 Calend 01'!F96+'V06 Calend 01'!G96),0)+IF(AND(('V06 Calend 01'!E96&gt;0),(173&gt;'V06 Calend 01'!C96),(173&lt;'V06 Calend 01'!D96),(MOD((173-'V06 Calend 01'!C96),6)=0),(((173-'V06 Calend 01'!C96)/6)&lt;='V06 Calend 01'!E96)),IF((173=('V06 Calend 01'!C96+(6*'V06 Calend 01'!E96))),('V06 Calend 01'!H96-('V06 Calend 01'!I96*('V06 Calend 01'!E96-1))),'V06 Calend 01'!I96),0))+IF((173='V06 Calend 01'!D96),'V06 Calend 01'!J96,0))</f>
        <v>0</v>
      </c>
      <c r="GD96" s="2">
        <f>((IF((174='V06 Calend 01'!C96),('V06 Calend 01'!F96+'V06 Calend 01'!G96),0)+IF(AND(('V06 Calend 01'!E96&gt;0),(174&gt;'V06 Calend 01'!C96),(174&lt;'V06 Calend 01'!D96),(MOD((174-'V06 Calend 01'!C96),6)=0),(((174-'V06 Calend 01'!C96)/6)&lt;='V06 Calend 01'!E96)),IF((174=('V06 Calend 01'!C96+(6*'V06 Calend 01'!E96))),('V06 Calend 01'!H96-('V06 Calend 01'!I96*('V06 Calend 01'!E96-1))),'V06 Calend 01'!I96),0))+IF((174='V06 Calend 01'!D96),'V06 Calend 01'!J96,0))</f>
        <v>0</v>
      </c>
      <c r="GE96" s="2">
        <f>((IF((175='V06 Calend 01'!C96),('V06 Calend 01'!F96+'V06 Calend 01'!G96),0)+IF(AND(('V06 Calend 01'!E96&gt;0),(175&gt;'V06 Calend 01'!C96),(175&lt;'V06 Calend 01'!D96),(MOD((175-'V06 Calend 01'!C96),6)=0),(((175-'V06 Calend 01'!C96)/6)&lt;='V06 Calend 01'!E96)),IF((175=('V06 Calend 01'!C96+(6*'V06 Calend 01'!E96))),('V06 Calend 01'!H96-('V06 Calend 01'!I96*('V06 Calend 01'!E96-1))),'V06 Calend 01'!I96),0))+IF((175='V06 Calend 01'!D96),'V06 Calend 01'!J96,0))</f>
        <v>0</v>
      </c>
      <c r="GF96" s="2">
        <f>((IF((176='V06 Calend 01'!C96),('V06 Calend 01'!F96+'V06 Calend 01'!G96),0)+IF(AND(('V06 Calend 01'!E96&gt;0),(176&gt;'V06 Calend 01'!C96),(176&lt;'V06 Calend 01'!D96),(MOD((176-'V06 Calend 01'!C96),6)=0),(((176-'V06 Calend 01'!C96)/6)&lt;='V06 Calend 01'!E96)),IF((176=('V06 Calend 01'!C96+(6*'V06 Calend 01'!E96))),('V06 Calend 01'!H96-('V06 Calend 01'!I96*('V06 Calend 01'!E96-1))),'V06 Calend 01'!I96),0))+IF((176='V06 Calend 01'!D96),'V06 Calend 01'!J96,0))</f>
        <v>0</v>
      </c>
      <c r="GG96" s="2">
        <f>((IF((177='V06 Calend 01'!C96),('V06 Calend 01'!F96+'V06 Calend 01'!G96),0)+IF(AND(('V06 Calend 01'!E96&gt;0),(177&gt;'V06 Calend 01'!C96),(177&lt;'V06 Calend 01'!D96),(MOD((177-'V06 Calend 01'!C96),6)=0),(((177-'V06 Calend 01'!C96)/6)&lt;='V06 Calend 01'!E96)),IF((177=('V06 Calend 01'!C96+(6*'V06 Calend 01'!E96))),('V06 Calend 01'!H96-('V06 Calend 01'!I96*('V06 Calend 01'!E96-1))),'V06 Calend 01'!I96),0))+IF((177='V06 Calend 01'!D96),'V06 Calend 01'!J96,0))</f>
        <v>0</v>
      </c>
      <c r="GH96" s="2">
        <f>((IF((178='V06 Calend 01'!C96),('V06 Calend 01'!F96+'V06 Calend 01'!G96),0)+IF(AND(('V06 Calend 01'!E96&gt;0),(178&gt;'V06 Calend 01'!C96),(178&lt;'V06 Calend 01'!D96),(MOD((178-'V06 Calend 01'!C96),6)=0),(((178-'V06 Calend 01'!C96)/6)&lt;='V06 Calend 01'!E96)),IF((178=('V06 Calend 01'!C96+(6*'V06 Calend 01'!E96))),('V06 Calend 01'!H96-('V06 Calend 01'!I96*('V06 Calend 01'!E96-1))),'V06 Calend 01'!I96),0))+IF((178='V06 Calend 01'!D96),'V06 Calend 01'!J96,0))</f>
        <v>0</v>
      </c>
      <c r="GI96" s="2">
        <f>((IF((179='V06 Calend 01'!C96),('V06 Calend 01'!F96+'V06 Calend 01'!G96),0)+IF(AND(('V06 Calend 01'!E96&gt;0),(179&gt;'V06 Calend 01'!C96),(179&lt;'V06 Calend 01'!D96),(MOD((179-'V06 Calend 01'!C96),6)=0),(((179-'V06 Calend 01'!C96)/6)&lt;='V06 Calend 01'!E96)),IF((179=('V06 Calend 01'!C96+(6*'V06 Calend 01'!E96))),('V06 Calend 01'!H96-('V06 Calend 01'!I96*('V06 Calend 01'!E96-1))),'V06 Calend 01'!I96),0))+IF((179='V06 Calend 01'!D96),'V06 Calend 01'!J96,0))</f>
        <v>0</v>
      </c>
      <c r="GJ96" s="2">
        <f>((IF((180='V06 Calend 01'!C96),('V06 Calend 01'!F96+'V06 Calend 01'!G96),0)+IF(AND(('V06 Calend 01'!E96&gt;0),(180&gt;'V06 Calend 01'!C96),(180&lt;'V06 Calend 01'!D96),(MOD((180-'V06 Calend 01'!C96),6)=0),(((180-'V06 Calend 01'!C96)/6)&lt;='V06 Calend 01'!E96)),IF((180=('V06 Calend 01'!C96+(6*'V06 Calend 01'!E96))),('V06 Calend 01'!H96-('V06 Calend 01'!I96*('V06 Calend 01'!E96-1))),'V06 Calend 01'!I96),0))+IF((180='V06 Calend 01'!D96),'V06 Calend 01'!J96,0))</f>
        <v>0</v>
      </c>
    </row>
    <row r="97" spans="1:192">
      <c r="A97" s="3" t="str">
        <f>'V06 Unidades'!$A$97</f>
        <v>1103</v>
      </c>
      <c r="B97" s="2">
        <f>'V06 Unidades'!$H$97</f>
        <v>1520000</v>
      </c>
      <c r="C97" s="4">
        <f>('V06 Unidades'!$I$97+'V06 Controlos'!$B$37)</f>
        <v>22</v>
      </c>
      <c r="D97" s="4">
        <f>IF(('V06 Controlos'!$B$38&gt;0),MAX(('V06 Unidades'!$L$97+'V06 Controlos'!$B$37),(30+'V06 Controlos'!$B$38)),('V06 Unidades'!$L$97+'V06 Controlos'!$B$37))</f>
        <v>30</v>
      </c>
      <c r="E97" s="4">
        <f>MAX(0,INT(((('V06 Calend 01'!D97-'V06 Calend 01'!C97)-1)/6)))</f>
        <v>1</v>
      </c>
      <c r="F97" s="2">
        <f>ROUND(('V06 Calend 01'!B97*0.05),2)</f>
        <v>76000.0</v>
      </c>
      <c r="G97" s="2">
        <f>ROUND(('V06 Calend 01'!B97*0.2),2)</f>
        <v>304000.0</v>
      </c>
      <c r="H97" s="2">
        <f>ROUND(('V06 Calend 01'!B97*0.55),2)</f>
        <v>836000.0</v>
      </c>
      <c r="I97" s="2">
        <f>ROUND(('V06 Calend 01'!H97/MAX(1,'V06 Calend 01'!E97)),2)</f>
        <v>836000.0</v>
      </c>
      <c r="J97" s="2">
        <f>((('V06 Calend 01'!B97-'V06 Calend 01'!F97)-'V06 Calend 01'!G97)-'V06 Calend 01'!H97)</f>
        <v>304000.0</v>
      </c>
      <c r="K97" s="2">
        <f>('V06 Calend 01'!B97*0.025)</f>
        <v>38000.0</v>
      </c>
      <c r="L97" t="s">
        <v>378</v>
      </c>
      <c r="M97" s="2">
        <f>((IF((1='V06 Calend 01'!C97),('V06 Calend 01'!F97+'V06 Calend 01'!G97),0)+IF(AND(('V06 Calend 01'!E97&gt;0),(1&gt;'V06 Calend 01'!C97),(1&lt;'V06 Calend 01'!D97),(MOD((1-'V06 Calend 01'!C97),6)=0),(((1-'V06 Calend 01'!C97)/6)&lt;='V06 Calend 01'!E97)),IF((1=('V06 Calend 01'!C97+(6*'V06 Calend 01'!E97))),('V06 Calend 01'!H97-('V06 Calend 01'!I97*('V06 Calend 01'!E97-1))),'V06 Calend 01'!I97),0))+IF((1='V06 Calend 01'!D97),'V06 Calend 01'!J97,0))</f>
        <v>0</v>
      </c>
      <c r="N97" s="2">
        <f>((IF((2='V06 Calend 01'!C97),('V06 Calend 01'!F97+'V06 Calend 01'!G97),0)+IF(AND(('V06 Calend 01'!E97&gt;0),(2&gt;'V06 Calend 01'!C97),(2&lt;'V06 Calend 01'!D97),(MOD((2-'V06 Calend 01'!C97),6)=0),(((2-'V06 Calend 01'!C97)/6)&lt;='V06 Calend 01'!E97)),IF((2=('V06 Calend 01'!C97+(6*'V06 Calend 01'!E97))),('V06 Calend 01'!H97-('V06 Calend 01'!I97*('V06 Calend 01'!E97-1))),'V06 Calend 01'!I97),0))+IF((2='V06 Calend 01'!D97),'V06 Calend 01'!J97,0))</f>
        <v>0</v>
      </c>
      <c r="O97" s="2">
        <f>((IF((3='V06 Calend 01'!C97),('V06 Calend 01'!F97+'V06 Calend 01'!G97),0)+IF(AND(('V06 Calend 01'!E97&gt;0),(3&gt;'V06 Calend 01'!C97),(3&lt;'V06 Calend 01'!D97),(MOD((3-'V06 Calend 01'!C97),6)=0),(((3-'V06 Calend 01'!C97)/6)&lt;='V06 Calend 01'!E97)),IF((3=('V06 Calend 01'!C97+(6*'V06 Calend 01'!E97))),('V06 Calend 01'!H97-('V06 Calend 01'!I97*('V06 Calend 01'!E97-1))),'V06 Calend 01'!I97),0))+IF((3='V06 Calend 01'!D97),'V06 Calend 01'!J97,0))</f>
        <v>0</v>
      </c>
      <c r="P97" s="2">
        <f>((IF((4='V06 Calend 01'!C97),('V06 Calend 01'!F97+'V06 Calend 01'!G97),0)+IF(AND(('V06 Calend 01'!E97&gt;0),(4&gt;'V06 Calend 01'!C97),(4&lt;'V06 Calend 01'!D97),(MOD((4-'V06 Calend 01'!C97),6)=0),(((4-'V06 Calend 01'!C97)/6)&lt;='V06 Calend 01'!E97)),IF((4=('V06 Calend 01'!C97+(6*'V06 Calend 01'!E97))),('V06 Calend 01'!H97-('V06 Calend 01'!I97*('V06 Calend 01'!E97-1))),'V06 Calend 01'!I97),0))+IF((4='V06 Calend 01'!D97),'V06 Calend 01'!J97,0))</f>
        <v>0</v>
      </c>
      <c r="Q97" s="2">
        <f>((IF((5='V06 Calend 01'!C97),('V06 Calend 01'!F97+'V06 Calend 01'!G97),0)+IF(AND(('V06 Calend 01'!E97&gt;0),(5&gt;'V06 Calend 01'!C97),(5&lt;'V06 Calend 01'!D97),(MOD((5-'V06 Calend 01'!C97),6)=0),(((5-'V06 Calend 01'!C97)/6)&lt;='V06 Calend 01'!E97)),IF((5=('V06 Calend 01'!C97+(6*'V06 Calend 01'!E97))),('V06 Calend 01'!H97-('V06 Calend 01'!I97*('V06 Calend 01'!E97-1))),'V06 Calend 01'!I97),0))+IF((5='V06 Calend 01'!D97),'V06 Calend 01'!J97,0))</f>
        <v>0</v>
      </c>
      <c r="R97" s="2">
        <f>((IF((6='V06 Calend 01'!C97),('V06 Calend 01'!F97+'V06 Calend 01'!G97),0)+IF(AND(('V06 Calend 01'!E97&gt;0),(6&gt;'V06 Calend 01'!C97),(6&lt;'V06 Calend 01'!D97),(MOD((6-'V06 Calend 01'!C97),6)=0),(((6-'V06 Calend 01'!C97)/6)&lt;='V06 Calend 01'!E97)),IF((6=('V06 Calend 01'!C97+(6*'V06 Calend 01'!E97))),('V06 Calend 01'!H97-('V06 Calend 01'!I97*('V06 Calend 01'!E97-1))),'V06 Calend 01'!I97),0))+IF((6='V06 Calend 01'!D97),'V06 Calend 01'!J97,0))</f>
        <v>0</v>
      </c>
      <c r="S97" s="2">
        <f>((IF((7='V06 Calend 01'!C97),('V06 Calend 01'!F97+'V06 Calend 01'!G97),0)+IF(AND(('V06 Calend 01'!E97&gt;0),(7&gt;'V06 Calend 01'!C97),(7&lt;'V06 Calend 01'!D97),(MOD((7-'V06 Calend 01'!C97),6)=0),(((7-'V06 Calend 01'!C97)/6)&lt;='V06 Calend 01'!E97)),IF((7=('V06 Calend 01'!C97+(6*'V06 Calend 01'!E97))),('V06 Calend 01'!H97-('V06 Calend 01'!I97*('V06 Calend 01'!E97-1))),'V06 Calend 01'!I97),0))+IF((7='V06 Calend 01'!D97),'V06 Calend 01'!J97,0))</f>
        <v>0</v>
      </c>
      <c r="T97" s="2">
        <f>((IF((8='V06 Calend 01'!C97),('V06 Calend 01'!F97+'V06 Calend 01'!G97),0)+IF(AND(('V06 Calend 01'!E97&gt;0),(8&gt;'V06 Calend 01'!C97),(8&lt;'V06 Calend 01'!D97),(MOD((8-'V06 Calend 01'!C97),6)=0),(((8-'V06 Calend 01'!C97)/6)&lt;='V06 Calend 01'!E97)),IF((8=('V06 Calend 01'!C97+(6*'V06 Calend 01'!E97))),('V06 Calend 01'!H97-('V06 Calend 01'!I97*('V06 Calend 01'!E97-1))),'V06 Calend 01'!I97),0))+IF((8='V06 Calend 01'!D97),'V06 Calend 01'!J97,0))</f>
        <v>0</v>
      </c>
      <c r="U97" s="2">
        <f>((IF((9='V06 Calend 01'!C97),('V06 Calend 01'!F97+'V06 Calend 01'!G97),0)+IF(AND(('V06 Calend 01'!E97&gt;0),(9&gt;'V06 Calend 01'!C97),(9&lt;'V06 Calend 01'!D97),(MOD((9-'V06 Calend 01'!C97),6)=0),(((9-'V06 Calend 01'!C97)/6)&lt;='V06 Calend 01'!E97)),IF((9=('V06 Calend 01'!C97+(6*'V06 Calend 01'!E97))),('V06 Calend 01'!H97-('V06 Calend 01'!I97*('V06 Calend 01'!E97-1))),'V06 Calend 01'!I97),0))+IF((9='V06 Calend 01'!D97),'V06 Calend 01'!J97,0))</f>
        <v>0</v>
      </c>
      <c r="V97" s="2">
        <f>((IF((10='V06 Calend 01'!C97),('V06 Calend 01'!F97+'V06 Calend 01'!G97),0)+IF(AND(('V06 Calend 01'!E97&gt;0),(10&gt;'V06 Calend 01'!C97),(10&lt;'V06 Calend 01'!D97),(MOD((10-'V06 Calend 01'!C97),6)=0),(((10-'V06 Calend 01'!C97)/6)&lt;='V06 Calend 01'!E97)),IF((10=('V06 Calend 01'!C97+(6*'V06 Calend 01'!E97))),('V06 Calend 01'!H97-('V06 Calend 01'!I97*('V06 Calend 01'!E97-1))),'V06 Calend 01'!I97),0))+IF((10='V06 Calend 01'!D97),'V06 Calend 01'!J97,0))</f>
        <v>0</v>
      </c>
      <c r="W97" s="2">
        <f>((IF((11='V06 Calend 01'!C97),('V06 Calend 01'!F97+'V06 Calend 01'!G97),0)+IF(AND(('V06 Calend 01'!E97&gt;0),(11&gt;'V06 Calend 01'!C97),(11&lt;'V06 Calend 01'!D97),(MOD((11-'V06 Calend 01'!C97),6)=0),(((11-'V06 Calend 01'!C97)/6)&lt;='V06 Calend 01'!E97)),IF((11=('V06 Calend 01'!C97+(6*'V06 Calend 01'!E97))),('V06 Calend 01'!H97-('V06 Calend 01'!I97*('V06 Calend 01'!E97-1))),'V06 Calend 01'!I97),0))+IF((11='V06 Calend 01'!D97),'V06 Calend 01'!J97,0))</f>
        <v>0</v>
      </c>
      <c r="X97" s="2">
        <f>((IF((12='V06 Calend 01'!C97),('V06 Calend 01'!F97+'V06 Calend 01'!G97),0)+IF(AND(('V06 Calend 01'!E97&gt;0),(12&gt;'V06 Calend 01'!C97),(12&lt;'V06 Calend 01'!D97),(MOD((12-'V06 Calend 01'!C97),6)=0),(((12-'V06 Calend 01'!C97)/6)&lt;='V06 Calend 01'!E97)),IF((12=('V06 Calend 01'!C97+(6*'V06 Calend 01'!E97))),('V06 Calend 01'!H97-('V06 Calend 01'!I97*('V06 Calend 01'!E97-1))),'V06 Calend 01'!I97),0))+IF((12='V06 Calend 01'!D97),'V06 Calend 01'!J97,0))</f>
        <v>0</v>
      </c>
      <c r="Y97" s="2">
        <f>((IF((13='V06 Calend 01'!C97),('V06 Calend 01'!F97+'V06 Calend 01'!G97),0)+IF(AND(('V06 Calend 01'!E97&gt;0),(13&gt;'V06 Calend 01'!C97),(13&lt;'V06 Calend 01'!D97),(MOD((13-'V06 Calend 01'!C97),6)=0),(((13-'V06 Calend 01'!C97)/6)&lt;='V06 Calend 01'!E97)),IF((13=('V06 Calend 01'!C97+(6*'V06 Calend 01'!E97))),('V06 Calend 01'!H97-('V06 Calend 01'!I97*('V06 Calend 01'!E97-1))),'V06 Calend 01'!I97),0))+IF((13='V06 Calend 01'!D97),'V06 Calend 01'!J97,0))</f>
        <v>0</v>
      </c>
      <c r="Z97" s="2">
        <f>((IF((14='V06 Calend 01'!C97),('V06 Calend 01'!F97+'V06 Calend 01'!G97),0)+IF(AND(('V06 Calend 01'!E97&gt;0),(14&gt;'V06 Calend 01'!C97),(14&lt;'V06 Calend 01'!D97),(MOD((14-'V06 Calend 01'!C97),6)=0),(((14-'V06 Calend 01'!C97)/6)&lt;='V06 Calend 01'!E97)),IF((14=('V06 Calend 01'!C97+(6*'V06 Calend 01'!E97))),('V06 Calend 01'!H97-('V06 Calend 01'!I97*('V06 Calend 01'!E97-1))),'V06 Calend 01'!I97),0))+IF((14='V06 Calend 01'!D97),'V06 Calend 01'!J97,0))</f>
        <v>0</v>
      </c>
      <c r="AA97" s="2">
        <f>((IF((15='V06 Calend 01'!C97),('V06 Calend 01'!F97+'V06 Calend 01'!G97),0)+IF(AND(('V06 Calend 01'!E97&gt;0),(15&gt;'V06 Calend 01'!C97),(15&lt;'V06 Calend 01'!D97),(MOD((15-'V06 Calend 01'!C97),6)=0),(((15-'V06 Calend 01'!C97)/6)&lt;='V06 Calend 01'!E97)),IF((15=('V06 Calend 01'!C97+(6*'V06 Calend 01'!E97))),('V06 Calend 01'!H97-('V06 Calend 01'!I97*('V06 Calend 01'!E97-1))),'V06 Calend 01'!I97),0))+IF((15='V06 Calend 01'!D97),'V06 Calend 01'!J97,0))</f>
        <v>0</v>
      </c>
      <c r="AB97" s="2">
        <f>((IF((16='V06 Calend 01'!C97),('V06 Calend 01'!F97+'V06 Calend 01'!G97),0)+IF(AND(('V06 Calend 01'!E97&gt;0),(16&gt;'V06 Calend 01'!C97),(16&lt;'V06 Calend 01'!D97),(MOD((16-'V06 Calend 01'!C97),6)=0),(((16-'V06 Calend 01'!C97)/6)&lt;='V06 Calend 01'!E97)),IF((16=('V06 Calend 01'!C97+(6*'V06 Calend 01'!E97))),('V06 Calend 01'!H97-('V06 Calend 01'!I97*('V06 Calend 01'!E97-1))),'V06 Calend 01'!I97),0))+IF((16='V06 Calend 01'!D97),'V06 Calend 01'!J97,0))</f>
        <v>0</v>
      </c>
      <c r="AC97" s="2">
        <f>((IF((17='V06 Calend 01'!C97),('V06 Calend 01'!F97+'V06 Calend 01'!G97),0)+IF(AND(('V06 Calend 01'!E97&gt;0),(17&gt;'V06 Calend 01'!C97),(17&lt;'V06 Calend 01'!D97),(MOD((17-'V06 Calend 01'!C97),6)=0),(((17-'V06 Calend 01'!C97)/6)&lt;='V06 Calend 01'!E97)),IF((17=('V06 Calend 01'!C97+(6*'V06 Calend 01'!E97))),('V06 Calend 01'!H97-('V06 Calend 01'!I97*('V06 Calend 01'!E97-1))),'V06 Calend 01'!I97),0))+IF((17='V06 Calend 01'!D97),'V06 Calend 01'!J97,0))</f>
        <v>0</v>
      </c>
      <c r="AD97" s="2">
        <f>((IF((18='V06 Calend 01'!C97),('V06 Calend 01'!F97+'V06 Calend 01'!G97),0)+IF(AND(('V06 Calend 01'!E97&gt;0),(18&gt;'V06 Calend 01'!C97),(18&lt;'V06 Calend 01'!D97),(MOD((18-'V06 Calend 01'!C97),6)=0),(((18-'V06 Calend 01'!C97)/6)&lt;='V06 Calend 01'!E97)),IF((18=('V06 Calend 01'!C97+(6*'V06 Calend 01'!E97))),('V06 Calend 01'!H97-('V06 Calend 01'!I97*('V06 Calend 01'!E97-1))),'V06 Calend 01'!I97),0))+IF((18='V06 Calend 01'!D97),'V06 Calend 01'!J97,0))</f>
        <v>0</v>
      </c>
      <c r="AE97" s="2">
        <f>((IF((19='V06 Calend 01'!C97),('V06 Calend 01'!F97+'V06 Calend 01'!G97),0)+IF(AND(('V06 Calend 01'!E97&gt;0),(19&gt;'V06 Calend 01'!C97),(19&lt;'V06 Calend 01'!D97),(MOD((19-'V06 Calend 01'!C97),6)=0),(((19-'V06 Calend 01'!C97)/6)&lt;='V06 Calend 01'!E97)),IF((19=('V06 Calend 01'!C97+(6*'V06 Calend 01'!E97))),('V06 Calend 01'!H97-('V06 Calend 01'!I97*('V06 Calend 01'!E97-1))),'V06 Calend 01'!I97),0))+IF((19='V06 Calend 01'!D97),'V06 Calend 01'!J97,0))</f>
        <v>0</v>
      </c>
      <c r="AF97" s="2">
        <f>((IF((20='V06 Calend 01'!C97),('V06 Calend 01'!F97+'V06 Calend 01'!G97),0)+IF(AND(('V06 Calend 01'!E97&gt;0),(20&gt;'V06 Calend 01'!C97),(20&lt;'V06 Calend 01'!D97),(MOD((20-'V06 Calend 01'!C97),6)=0),(((20-'V06 Calend 01'!C97)/6)&lt;='V06 Calend 01'!E97)),IF((20=('V06 Calend 01'!C97+(6*'V06 Calend 01'!E97))),('V06 Calend 01'!H97-('V06 Calend 01'!I97*('V06 Calend 01'!E97-1))),'V06 Calend 01'!I97),0))+IF((20='V06 Calend 01'!D97),'V06 Calend 01'!J97,0))</f>
        <v>0</v>
      </c>
      <c r="AG97" s="2">
        <f>((IF((21='V06 Calend 01'!C97),('V06 Calend 01'!F97+'V06 Calend 01'!G97),0)+IF(AND(('V06 Calend 01'!E97&gt;0),(21&gt;'V06 Calend 01'!C97),(21&lt;'V06 Calend 01'!D97),(MOD((21-'V06 Calend 01'!C97),6)=0),(((21-'V06 Calend 01'!C97)/6)&lt;='V06 Calend 01'!E97)),IF((21=('V06 Calend 01'!C97+(6*'V06 Calend 01'!E97))),('V06 Calend 01'!H97-('V06 Calend 01'!I97*('V06 Calend 01'!E97-1))),'V06 Calend 01'!I97),0))+IF((21='V06 Calend 01'!D97),'V06 Calend 01'!J97,0))</f>
        <v>0</v>
      </c>
      <c r="AH97" s="2">
        <f>((IF((22='V06 Calend 01'!C97),('V06 Calend 01'!F97+'V06 Calend 01'!G97),0)+IF(AND(('V06 Calend 01'!E97&gt;0),(22&gt;'V06 Calend 01'!C97),(22&lt;'V06 Calend 01'!D97),(MOD((22-'V06 Calend 01'!C97),6)=0),(((22-'V06 Calend 01'!C97)/6)&lt;='V06 Calend 01'!E97)),IF((22=('V06 Calend 01'!C97+(6*'V06 Calend 01'!E97))),('V06 Calend 01'!H97-('V06 Calend 01'!I97*('V06 Calend 01'!E97-1))),'V06 Calend 01'!I97),0))+IF((22='V06 Calend 01'!D97),'V06 Calend 01'!J97,0))</f>
        <v>380000.0</v>
      </c>
      <c r="AI97" s="2">
        <f>((IF((23='V06 Calend 01'!C97),('V06 Calend 01'!F97+'V06 Calend 01'!G97),0)+IF(AND(('V06 Calend 01'!E97&gt;0),(23&gt;'V06 Calend 01'!C97),(23&lt;'V06 Calend 01'!D97),(MOD((23-'V06 Calend 01'!C97),6)=0),(((23-'V06 Calend 01'!C97)/6)&lt;='V06 Calend 01'!E97)),IF((23=('V06 Calend 01'!C97+(6*'V06 Calend 01'!E97))),('V06 Calend 01'!H97-('V06 Calend 01'!I97*('V06 Calend 01'!E97-1))),'V06 Calend 01'!I97),0))+IF((23='V06 Calend 01'!D97),'V06 Calend 01'!J97,0))</f>
        <v>0</v>
      </c>
      <c r="AJ97" s="2">
        <f>((IF((24='V06 Calend 01'!C97),('V06 Calend 01'!F97+'V06 Calend 01'!G97),0)+IF(AND(('V06 Calend 01'!E97&gt;0),(24&gt;'V06 Calend 01'!C97),(24&lt;'V06 Calend 01'!D97),(MOD((24-'V06 Calend 01'!C97),6)=0),(((24-'V06 Calend 01'!C97)/6)&lt;='V06 Calend 01'!E97)),IF((24=('V06 Calend 01'!C97+(6*'V06 Calend 01'!E97))),('V06 Calend 01'!H97-('V06 Calend 01'!I97*('V06 Calend 01'!E97-1))),'V06 Calend 01'!I97),0))+IF((24='V06 Calend 01'!D97),'V06 Calend 01'!J97,0))</f>
        <v>0</v>
      </c>
      <c r="AK97" s="2">
        <f>((IF((25='V06 Calend 01'!C97),('V06 Calend 01'!F97+'V06 Calend 01'!G97),0)+IF(AND(('V06 Calend 01'!E97&gt;0),(25&gt;'V06 Calend 01'!C97),(25&lt;'V06 Calend 01'!D97),(MOD((25-'V06 Calend 01'!C97),6)=0),(((25-'V06 Calend 01'!C97)/6)&lt;='V06 Calend 01'!E97)),IF((25=('V06 Calend 01'!C97+(6*'V06 Calend 01'!E97))),('V06 Calend 01'!H97-('V06 Calend 01'!I97*('V06 Calend 01'!E97-1))),'V06 Calend 01'!I97),0))+IF((25='V06 Calend 01'!D97),'V06 Calend 01'!J97,0))</f>
        <v>0</v>
      </c>
      <c r="AL97" s="2">
        <f>((IF((26='V06 Calend 01'!C97),('V06 Calend 01'!F97+'V06 Calend 01'!G97),0)+IF(AND(('V06 Calend 01'!E97&gt;0),(26&gt;'V06 Calend 01'!C97),(26&lt;'V06 Calend 01'!D97),(MOD((26-'V06 Calend 01'!C97),6)=0),(((26-'V06 Calend 01'!C97)/6)&lt;='V06 Calend 01'!E97)),IF((26=('V06 Calend 01'!C97+(6*'V06 Calend 01'!E97))),('V06 Calend 01'!H97-('V06 Calend 01'!I97*('V06 Calend 01'!E97-1))),'V06 Calend 01'!I97),0))+IF((26='V06 Calend 01'!D97),'V06 Calend 01'!J97,0))</f>
        <v>0</v>
      </c>
      <c r="AM97" s="2">
        <f>((IF((27='V06 Calend 01'!C97),('V06 Calend 01'!F97+'V06 Calend 01'!G97),0)+IF(AND(('V06 Calend 01'!E97&gt;0),(27&gt;'V06 Calend 01'!C97),(27&lt;'V06 Calend 01'!D97),(MOD((27-'V06 Calend 01'!C97),6)=0),(((27-'V06 Calend 01'!C97)/6)&lt;='V06 Calend 01'!E97)),IF((27=('V06 Calend 01'!C97+(6*'V06 Calend 01'!E97))),('V06 Calend 01'!H97-('V06 Calend 01'!I97*('V06 Calend 01'!E97-1))),'V06 Calend 01'!I97),0))+IF((27='V06 Calend 01'!D97),'V06 Calend 01'!J97,0))</f>
        <v>0</v>
      </c>
      <c r="AN97" s="2">
        <f>((IF((28='V06 Calend 01'!C97),('V06 Calend 01'!F97+'V06 Calend 01'!G97),0)+IF(AND(('V06 Calend 01'!E97&gt;0),(28&gt;'V06 Calend 01'!C97),(28&lt;'V06 Calend 01'!D97),(MOD((28-'V06 Calend 01'!C97),6)=0),(((28-'V06 Calend 01'!C97)/6)&lt;='V06 Calend 01'!E97)),IF((28=('V06 Calend 01'!C97+(6*'V06 Calend 01'!E97))),('V06 Calend 01'!H97-('V06 Calend 01'!I97*('V06 Calend 01'!E97-1))),'V06 Calend 01'!I97),0))+IF((28='V06 Calend 01'!D97),'V06 Calend 01'!J97,0))</f>
        <v>836000.0</v>
      </c>
      <c r="AO97" s="2">
        <f>((IF((29='V06 Calend 01'!C97),('V06 Calend 01'!F97+'V06 Calend 01'!G97),0)+IF(AND(('V06 Calend 01'!E97&gt;0),(29&gt;'V06 Calend 01'!C97),(29&lt;'V06 Calend 01'!D97),(MOD((29-'V06 Calend 01'!C97),6)=0),(((29-'V06 Calend 01'!C97)/6)&lt;='V06 Calend 01'!E97)),IF((29=('V06 Calend 01'!C97+(6*'V06 Calend 01'!E97))),('V06 Calend 01'!H97-('V06 Calend 01'!I97*('V06 Calend 01'!E97-1))),'V06 Calend 01'!I97),0))+IF((29='V06 Calend 01'!D97),'V06 Calend 01'!J97,0))</f>
        <v>0</v>
      </c>
      <c r="AP97" s="2">
        <f>((IF((30='V06 Calend 01'!C97),('V06 Calend 01'!F97+'V06 Calend 01'!G97),0)+IF(AND(('V06 Calend 01'!E97&gt;0),(30&gt;'V06 Calend 01'!C97),(30&lt;'V06 Calend 01'!D97),(MOD((30-'V06 Calend 01'!C97),6)=0),(((30-'V06 Calend 01'!C97)/6)&lt;='V06 Calend 01'!E97)),IF((30=('V06 Calend 01'!C97+(6*'V06 Calend 01'!E97))),('V06 Calend 01'!H97-('V06 Calend 01'!I97*('V06 Calend 01'!E97-1))),'V06 Calend 01'!I97),0))+IF((30='V06 Calend 01'!D97),'V06 Calend 01'!J97,0))</f>
        <v>304000.0</v>
      </c>
      <c r="AQ97" s="2">
        <f>((IF((31='V06 Calend 01'!C97),('V06 Calend 01'!F97+'V06 Calend 01'!G97),0)+IF(AND(('V06 Calend 01'!E97&gt;0),(31&gt;'V06 Calend 01'!C97),(31&lt;'V06 Calend 01'!D97),(MOD((31-'V06 Calend 01'!C97),6)=0),(((31-'V06 Calend 01'!C97)/6)&lt;='V06 Calend 01'!E97)),IF((31=('V06 Calend 01'!C97+(6*'V06 Calend 01'!E97))),('V06 Calend 01'!H97-('V06 Calend 01'!I97*('V06 Calend 01'!E97-1))),'V06 Calend 01'!I97),0))+IF((31='V06 Calend 01'!D97),'V06 Calend 01'!J97,0))</f>
        <v>0</v>
      </c>
      <c r="AR97" s="2">
        <f>((IF((32='V06 Calend 01'!C97),('V06 Calend 01'!F97+'V06 Calend 01'!G97),0)+IF(AND(('V06 Calend 01'!E97&gt;0),(32&gt;'V06 Calend 01'!C97),(32&lt;'V06 Calend 01'!D97),(MOD((32-'V06 Calend 01'!C97),6)=0),(((32-'V06 Calend 01'!C97)/6)&lt;='V06 Calend 01'!E97)),IF((32=('V06 Calend 01'!C97+(6*'V06 Calend 01'!E97))),('V06 Calend 01'!H97-('V06 Calend 01'!I97*('V06 Calend 01'!E97-1))),'V06 Calend 01'!I97),0))+IF((32='V06 Calend 01'!D97),'V06 Calend 01'!J97,0))</f>
        <v>0</v>
      </c>
      <c r="AS97" s="2">
        <f>((IF((33='V06 Calend 01'!C97),('V06 Calend 01'!F97+'V06 Calend 01'!G97),0)+IF(AND(('V06 Calend 01'!E97&gt;0),(33&gt;'V06 Calend 01'!C97),(33&lt;'V06 Calend 01'!D97),(MOD((33-'V06 Calend 01'!C97),6)=0),(((33-'V06 Calend 01'!C97)/6)&lt;='V06 Calend 01'!E97)),IF((33=('V06 Calend 01'!C97+(6*'V06 Calend 01'!E97))),('V06 Calend 01'!H97-('V06 Calend 01'!I97*('V06 Calend 01'!E97-1))),'V06 Calend 01'!I97),0))+IF((33='V06 Calend 01'!D97),'V06 Calend 01'!J97,0))</f>
        <v>0</v>
      </c>
      <c r="AT97" s="2">
        <f>((IF((34='V06 Calend 01'!C97),('V06 Calend 01'!F97+'V06 Calend 01'!G97),0)+IF(AND(('V06 Calend 01'!E97&gt;0),(34&gt;'V06 Calend 01'!C97),(34&lt;'V06 Calend 01'!D97),(MOD((34-'V06 Calend 01'!C97),6)=0),(((34-'V06 Calend 01'!C97)/6)&lt;='V06 Calend 01'!E97)),IF((34=('V06 Calend 01'!C97+(6*'V06 Calend 01'!E97))),('V06 Calend 01'!H97-('V06 Calend 01'!I97*('V06 Calend 01'!E97-1))),'V06 Calend 01'!I97),0))+IF((34='V06 Calend 01'!D97),'V06 Calend 01'!J97,0))</f>
        <v>0</v>
      </c>
      <c r="AU97" s="2">
        <f>((IF((35='V06 Calend 01'!C97),('V06 Calend 01'!F97+'V06 Calend 01'!G97),0)+IF(AND(('V06 Calend 01'!E97&gt;0),(35&gt;'V06 Calend 01'!C97),(35&lt;'V06 Calend 01'!D97),(MOD((35-'V06 Calend 01'!C97),6)=0),(((35-'V06 Calend 01'!C97)/6)&lt;='V06 Calend 01'!E97)),IF((35=('V06 Calend 01'!C97+(6*'V06 Calend 01'!E97))),('V06 Calend 01'!H97-('V06 Calend 01'!I97*('V06 Calend 01'!E97-1))),'V06 Calend 01'!I97),0))+IF((35='V06 Calend 01'!D97),'V06 Calend 01'!J97,0))</f>
        <v>0</v>
      </c>
      <c r="AV97" s="2">
        <f>((IF((36='V06 Calend 01'!C97),('V06 Calend 01'!F97+'V06 Calend 01'!G97),0)+IF(AND(('V06 Calend 01'!E97&gt;0),(36&gt;'V06 Calend 01'!C97),(36&lt;'V06 Calend 01'!D97),(MOD((36-'V06 Calend 01'!C97),6)=0),(((36-'V06 Calend 01'!C97)/6)&lt;='V06 Calend 01'!E97)),IF((36=('V06 Calend 01'!C97+(6*'V06 Calend 01'!E97))),('V06 Calend 01'!H97-('V06 Calend 01'!I97*('V06 Calend 01'!E97-1))),'V06 Calend 01'!I97),0))+IF((36='V06 Calend 01'!D97),'V06 Calend 01'!J97,0))</f>
        <v>0</v>
      </c>
      <c r="AW97" s="2">
        <f>((IF((37='V06 Calend 01'!C97),('V06 Calend 01'!F97+'V06 Calend 01'!G97),0)+IF(AND(('V06 Calend 01'!E97&gt;0),(37&gt;'V06 Calend 01'!C97),(37&lt;'V06 Calend 01'!D97),(MOD((37-'V06 Calend 01'!C97),6)=0),(((37-'V06 Calend 01'!C97)/6)&lt;='V06 Calend 01'!E97)),IF((37=('V06 Calend 01'!C97+(6*'V06 Calend 01'!E97))),('V06 Calend 01'!H97-('V06 Calend 01'!I97*('V06 Calend 01'!E97-1))),'V06 Calend 01'!I97),0))+IF((37='V06 Calend 01'!D97),'V06 Calend 01'!J97,0))</f>
        <v>0</v>
      </c>
      <c r="AX97" s="2">
        <f>((IF((38='V06 Calend 01'!C97),('V06 Calend 01'!F97+'V06 Calend 01'!G97),0)+IF(AND(('V06 Calend 01'!E97&gt;0),(38&gt;'V06 Calend 01'!C97),(38&lt;'V06 Calend 01'!D97),(MOD((38-'V06 Calend 01'!C97),6)=0),(((38-'V06 Calend 01'!C97)/6)&lt;='V06 Calend 01'!E97)),IF((38=('V06 Calend 01'!C97+(6*'V06 Calend 01'!E97))),('V06 Calend 01'!H97-('V06 Calend 01'!I97*('V06 Calend 01'!E97-1))),'V06 Calend 01'!I97),0))+IF((38='V06 Calend 01'!D97),'V06 Calend 01'!J97,0))</f>
        <v>0</v>
      </c>
      <c r="AY97" s="2">
        <f>((IF((39='V06 Calend 01'!C97),('V06 Calend 01'!F97+'V06 Calend 01'!G97),0)+IF(AND(('V06 Calend 01'!E97&gt;0),(39&gt;'V06 Calend 01'!C97),(39&lt;'V06 Calend 01'!D97),(MOD((39-'V06 Calend 01'!C97),6)=0),(((39-'V06 Calend 01'!C97)/6)&lt;='V06 Calend 01'!E97)),IF((39=('V06 Calend 01'!C97+(6*'V06 Calend 01'!E97))),('V06 Calend 01'!H97-('V06 Calend 01'!I97*('V06 Calend 01'!E97-1))),'V06 Calend 01'!I97),0))+IF((39='V06 Calend 01'!D97),'V06 Calend 01'!J97,0))</f>
        <v>0</v>
      </c>
      <c r="AZ97" s="2">
        <f>((IF((40='V06 Calend 01'!C97),('V06 Calend 01'!F97+'V06 Calend 01'!G97),0)+IF(AND(('V06 Calend 01'!E97&gt;0),(40&gt;'V06 Calend 01'!C97),(40&lt;'V06 Calend 01'!D97),(MOD((40-'V06 Calend 01'!C97),6)=0),(((40-'V06 Calend 01'!C97)/6)&lt;='V06 Calend 01'!E97)),IF((40=('V06 Calend 01'!C97+(6*'V06 Calend 01'!E97))),('V06 Calend 01'!H97-('V06 Calend 01'!I97*('V06 Calend 01'!E97-1))),'V06 Calend 01'!I97),0))+IF((40='V06 Calend 01'!D97),'V06 Calend 01'!J97,0))</f>
        <v>0</v>
      </c>
      <c r="BA97" s="2">
        <f>((IF((41='V06 Calend 01'!C97),('V06 Calend 01'!F97+'V06 Calend 01'!G97),0)+IF(AND(('V06 Calend 01'!E97&gt;0),(41&gt;'V06 Calend 01'!C97),(41&lt;'V06 Calend 01'!D97),(MOD((41-'V06 Calend 01'!C97),6)=0),(((41-'V06 Calend 01'!C97)/6)&lt;='V06 Calend 01'!E97)),IF((41=('V06 Calend 01'!C97+(6*'V06 Calend 01'!E97))),('V06 Calend 01'!H97-('V06 Calend 01'!I97*('V06 Calend 01'!E97-1))),'V06 Calend 01'!I97),0))+IF((41='V06 Calend 01'!D97),'V06 Calend 01'!J97,0))</f>
        <v>0</v>
      </c>
      <c r="BB97" s="2">
        <f>((IF((42='V06 Calend 01'!C97),('V06 Calend 01'!F97+'V06 Calend 01'!G97),0)+IF(AND(('V06 Calend 01'!E97&gt;0),(42&gt;'V06 Calend 01'!C97),(42&lt;'V06 Calend 01'!D97),(MOD((42-'V06 Calend 01'!C97),6)=0),(((42-'V06 Calend 01'!C97)/6)&lt;='V06 Calend 01'!E97)),IF((42=('V06 Calend 01'!C97+(6*'V06 Calend 01'!E97))),('V06 Calend 01'!H97-('V06 Calend 01'!I97*('V06 Calend 01'!E97-1))),'V06 Calend 01'!I97),0))+IF((42='V06 Calend 01'!D97),'V06 Calend 01'!J97,0))</f>
        <v>0</v>
      </c>
      <c r="BC97" s="2">
        <f>((IF((43='V06 Calend 01'!C97),('V06 Calend 01'!F97+'V06 Calend 01'!G97),0)+IF(AND(('V06 Calend 01'!E97&gt;0),(43&gt;'V06 Calend 01'!C97),(43&lt;'V06 Calend 01'!D97),(MOD((43-'V06 Calend 01'!C97),6)=0),(((43-'V06 Calend 01'!C97)/6)&lt;='V06 Calend 01'!E97)),IF((43=('V06 Calend 01'!C97+(6*'V06 Calend 01'!E97))),('V06 Calend 01'!H97-('V06 Calend 01'!I97*('V06 Calend 01'!E97-1))),'V06 Calend 01'!I97),0))+IF((43='V06 Calend 01'!D97),'V06 Calend 01'!J97,0))</f>
        <v>0</v>
      </c>
      <c r="BD97" s="2">
        <f>((IF((44='V06 Calend 01'!C97),('V06 Calend 01'!F97+'V06 Calend 01'!G97),0)+IF(AND(('V06 Calend 01'!E97&gt;0),(44&gt;'V06 Calend 01'!C97),(44&lt;'V06 Calend 01'!D97),(MOD((44-'V06 Calend 01'!C97),6)=0),(((44-'V06 Calend 01'!C97)/6)&lt;='V06 Calend 01'!E97)),IF((44=('V06 Calend 01'!C97+(6*'V06 Calend 01'!E97))),('V06 Calend 01'!H97-('V06 Calend 01'!I97*('V06 Calend 01'!E97-1))),'V06 Calend 01'!I97),0))+IF((44='V06 Calend 01'!D97),'V06 Calend 01'!J97,0))</f>
        <v>0</v>
      </c>
      <c r="BE97" s="2">
        <f>((IF((45='V06 Calend 01'!C97),('V06 Calend 01'!F97+'V06 Calend 01'!G97),0)+IF(AND(('V06 Calend 01'!E97&gt;0),(45&gt;'V06 Calend 01'!C97),(45&lt;'V06 Calend 01'!D97),(MOD((45-'V06 Calend 01'!C97),6)=0),(((45-'V06 Calend 01'!C97)/6)&lt;='V06 Calend 01'!E97)),IF((45=('V06 Calend 01'!C97+(6*'V06 Calend 01'!E97))),('V06 Calend 01'!H97-('V06 Calend 01'!I97*('V06 Calend 01'!E97-1))),'V06 Calend 01'!I97),0))+IF((45='V06 Calend 01'!D97),'V06 Calend 01'!J97,0))</f>
        <v>0</v>
      </c>
      <c r="BF97" s="2">
        <f>((IF((46='V06 Calend 01'!C97),('V06 Calend 01'!F97+'V06 Calend 01'!G97),0)+IF(AND(('V06 Calend 01'!E97&gt;0),(46&gt;'V06 Calend 01'!C97),(46&lt;'V06 Calend 01'!D97),(MOD((46-'V06 Calend 01'!C97),6)=0),(((46-'V06 Calend 01'!C97)/6)&lt;='V06 Calend 01'!E97)),IF((46=('V06 Calend 01'!C97+(6*'V06 Calend 01'!E97))),('V06 Calend 01'!H97-('V06 Calend 01'!I97*('V06 Calend 01'!E97-1))),'V06 Calend 01'!I97),0))+IF((46='V06 Calend 01'!D97),'V06 Calend 01'!J97,0))</f>
        <v>0</v>
      </c>
      <c r="BG97" s="2">
        <f>((IF((47='V06 Calend 01'!C97),('V06 Calend 01'!F97+'V06 Calend 01'!G97),0)+IF(AND(('V06 Calend 01'!E97&gt;0),(47&gt;'V06 Calend 01'!C97),(47&lt;'V06 Calend 01'!D97),(MOD((47-'V06 Calend 01'!C97),6)=0),(((47-'V06 Calend 01'!C97)/6)&lt;='V06 Calend 01'!E97)),IF((47=('V06 Calend 01'!C97+(6*'V06 Calend 01'!E97))),('V06 Calend 01'!H97-('V06 Calend 01'!I97*('V06 Calend 01'!E97-1))),'V06 Calend 01'!I97),0))+IF((47='V06 Calend 01'!D97),'V06 Calend 01'!J97,0))</f>
        <v>0</v>
      </c>
      <c r="BH97" s="2">
        <f>((IF((48='V06 Calend 01'!C97),('V06 Calend 01'!F97+'V06 Calend 01'!G97),0)+IF(AND(('V06 Calend 01'!E97&gt;0),(48&gt;'V06 Calend 01'!C97),(48&lt;'V06 Calend 01'!D97),(MOD((48-'V06 Calend 01'!C97),6)=0),(((48-'V06 Calend 01'!C97)/6)&lt;='V06 Calend 01'!E97)),IF((48=('V06 Calend 01'!C97+(6*'V06 Calend 01'!E97))),('V06 Calend 01'!H97-('V06 Calend 01'!I97*('V06 Calend 01'!E97-1))),'V06 Calend 01'!I97),0))+IF((48='V06 Calend 01'!D97),'V06 Calend 01'!J97,0))</f>
        <v>0</v>
      </c>
      <c r="BI97" s="2">
        <f>((IF((49='V06 Calend 01'!C97),('V06 Calend 01'!F97+'V06 Calend 01'!G97),0)+IF(AND(('V06 Calend 01'!E97&gt;0),(49&gt;'V06 Calend 01'!C97),(49&lt;'V06 Calend 01'!D97),(MOD((49-'V06 Calend 01'!C97),6)=0),(((49-'V06 Calend 01'!C97)/6)&lt;='V06 Calend 01'!E97)),IF((49=('V06 Calend 01'!C97+(6*'V06 Calend 01'!E97))),('V06 Calend 01'!H97-('V06 Calend 01'!I97*('V06 Calend 01'!E97-1))),'V06 Calend 01'!I97),0))+IF((49='V06 Calend 01'!D97),'V06 Calend 01'!J97,0))</f>
        <v>0</v>
      </c>
      <c r="BJ97" s="2">
        <f>((IF((50='V06 Calend 01'!C97),('V06 Calend 01'!F97+'V06 Calend 01'!G97),0)+IF(AND(('V06 Calend 01'!E97&gt;0),(50&gt;'V06 Calend 01'!C97),(50&lt;'V06 Calend 01'!D97),(MOD((50-'V06 Calend 01'!C97),6)=0),(((50-'V06 Calend 01'!C97)/6)&lt;='V06 Calend 01'!E97)),IF((50=('V06 Calend 01'!C97+(6*'V06 Calend 01'!E97))),('V06 Calend 01'!H97-('V06 Calend 01'!I97*('V06 Calend 01'!E97-1))),'V06 Calend 01'!I97),0))+IF((50='V06 Calend 01'!D97),'V06 Calend 01'!J97,0))</f>
        <v>0</v>
      </c>
      <c r="BK97" s="2">
        <f>((IF((51='V06 Calend 01'!C97),('V06 Calend 01'!F97+'V06 Calend 01'!G97),0)+IF(AND(('V06 Calend 01'!E97&gt;0),(51&gt;'V06 Calend 01'!C97),(51&lt;'V06 Calend 01'!D97),(MOD((51-'V06 Calend 01'!C97),6)=0),(((51-'V06 Calend 01'!C97)/6)&lt;='V06 Calend 01'!E97)),IF((51=('V06 Calend 01'!C97+(6*'V06 Calend 01'!E97))),('V06 Calend 01'!H97-('V06 Calend 01'!I97*('V06 Calend 01'!E97-1))),'V06 Calend 01'!I97),0))+IF((51='V06 Calend 01'!D97),'V06 Calend 01'!J97,0))</f>
        <v>0</v>
      </c>
      <c r="BL97" s="2">
        <f>((IF((52='V06 Calend 01'!C97),('V06 Calend 01'!F97+'V06 Calend 01'!G97),0)+IF(AND(('V06 Calend 01'!E97&gt;0),(52&gt;'V06 Calend 01'!C97),(52&lt;'V06 Calend 01'!D97),(MOD((52-'V06 Calend 01'!C97),6)=0),(((52-'V06 Calend 01'!C97)/6)&lt;='V06 Calend 01'!E97)),IF((52=('V06 Calend 01'!C97+(6*'V06 Calend 01'!E97))),('V06 Calend 01'!H97-('V06 Calend 01'!I97*('V06 Calend 01'!E97-1))),'V06 Calend 01'!I97),0))+IF((52='V06 Calend 01'!D97),'V06 Calend 01'!J97,0))</f>
        <v>0</v>
      </c>
      <c r="BM97" s="2">
        <f>((IF((53='V06 Calend 01'!C97),('V06 Calend 01'!F97+'V06 Calend 01'!G97),0)+IF(AND(('V06 Calend 01'!E97&gt;0),(53&gt;'V06 Calend 01'!C97),(53&lt;'V06 Calend 01'!D97),(MOD((53-'V06 Calend 01'!C97),6)=0),(((53-'V06 Calend 01'!C97)/6)&lt;='V06 Calend 01'!E97)),IF((53=('V06 Calend 01'!C97+(6*'V06 Calend 01'!E97))),('V06 Calend 01'!H97-('V06 Calend 01'!I97*('V06 Calend 01'!E97-1))),'V06 Calend 01'!I97),0))+IF((53='V06 Calend 01'!D97),'V06 Calend 01'!J97,0))</f>
        <v>0</v>
      </c>
      <c r="BN97" s="2">
        <f>((IF((54='V06 Calend 01'!C97),('V06 Calend 01'!F97+'V06 Calend 01'!G97),0)+IF(AND(('V06 Calend 01'!E97&gt;0),(54&gt;'V06 Calend 01'!C97),(54&lt;'V06 Calend 01'!D97),(MOD((54-'V06 Calend 01'!C97),6)=0),(((54-'V06 Calend 01'!C97)/6)&lt;='V06 Calend 01'!E97)),IF((54=('V06 Calend 01'!C97+(6*'V06 Calend 01'!E97))),('V06 Calend 01'!H97-('V06 Calend 01'!I97*('V06 Calend 01'!E97-1))),'V06 Calend 01'!I97),0))+IF((54='V06 Calend 01'!D97),'V06 Calend 01'!J97,0))</f>
        <v>0</v>
      </c>
      <c r="BO97" s="2">
        <f>((IF((55='V06 Calend 01'!C97),('V06 Calend 01'!F97+'V06 Calend 01'!G97),0)+IF(AND(('V06 Calend 01'!E97&gt;0),(55&gt;'V06 Calend 01'!C97),(55&lt;'V06 Calend 01'!D97),(MOD((55-'V06 Calend 01'!C97),6)=0),(((55-'V06 Calend 01'!C97)/6)&lt;='V06 Calend 01'!E97)),IF((55=('V06 Calend 01'!C97+(6*'V06 Calend 01'!E97))),('V06 Calend 01'!H97-('V06 Calend 01'!I97*('V06 Calend 01'!E97-1))),'V06 Calend 01'!I97),0))+IF((55='V06 Calend 01'!D97),'V06 Calend 01'!J97,0))</f>
        <v>0</v>
      </c>
      <c r="BP97" s="2">
        <f>((IF((56='V06 Calend 01'!C97),('V06 Calend 01'!F97+'V06 Calend 01'!G97),0)+IF(AND(('V06 Calend 01'!E97&gt;0),(56&gt;'V06 Calend 01'!C97),(56&lt;'V06 Calend 01'!D97),(MOD((56-'V06 Calend 01'!C97),6)=0),(((56-'V06 Calend 01'!C97)/6)&lt;='V06 Calend 01'!E97)),IF((56=('V06 Calend 01'!C97+(6*'V06 Calend 01'!E97))),('V06 Calend 01'!H97-('V06 Calend 01'!I97*('V06 Calend 01'!E97-1))),'V06 Calend 01'!I97),0))+IF((56='V06 Calend 01'!D97),'V06 Calend 01'!J97,0))</f>
        <v>0</v>
      </c>
      <c r="BQ97" s="2">
        <f>((IF((57='V06 Calend 01'!C97),('V06 Calend 01'!F97+'V06 Calend 01'!G97),0)+IF(AND(('V06 Calend 01'!E97&gt;0),(57&gt;'V06 Calend 01'!C97),(57&lt;'V06 Calend 01'!D97),(MOD((57-'V06 Calend 01'!C97),6)=0),(((57-'V06 Calend 01'!C97)/6)&lt;='V06 Calend 01'!E97)),IF((57=('V06 Calend 01'!C97+(6*'V06 Calend 01'!E97))),('V06 Calend 01'!H97-('V06 Calend 01'!I97*('V06 Calend 01'!E97-1))),'V06 Calend 01'!I97),0))+IF((57='V06 Calend 01'!D97),'V06 Calend 01'!J97,0))</f>
        <v>0</v>
      </c>
      <c r="BR97" s="2">
        <f>((IF((58='V06 Calend 01'!C97),('V06 Calend 01'!F97+'V06 Calend 01'!G97),0)+IF(AND(('V06 Calend 01'!E97&gt;0),(58&gt;'V06 Calend 01'!C97),(58&lt;'V06 Calend 01'!D97),(MOD((58-'V06 Calend 01'!C97),6)=0),(((58-'V06 Calend 01'!C97)/6)&lt;='V06 Calend 01'!E97)),IF((58=('V06 Calend 01'!C97+(6*'V06 Calend 01'!E97))),('V06 Calend 01'!H97-('V06 Calend 01'!I97*('V06 Calend 01'!E97-1))),'V06 Calend 01'!I97),0))+IF((58='V06 Calend 01'!D97),'V06 Calend 01'!J97,0))</f>
        <v>0</v>
      </c>
      <c r="BS97" s="2">
        <f>((IF((59='V06 Calend 01'!C97),('V06 Calend 01'!F97+'V06 Calend 01'!G97),0)+IF(AND(('V06 Calend 01'!E97&gt;0),(59&gt;'V06 Calend 01'!C97),(59&lt;'V06 Calend 01'!D97),(MOD((59-'V06 Calend 01'!C97),6)=0),(((59-'V06 Calend 01'!C97)/6)&lt;='V06 Calend 01'!E97)),IF((59=('V06 Calend 01'!C97+(6*'V06 Calend 01'!E97))),('V06 Calend 01'!H97-('V06 Calend 01'!I97*('V06 Calend 01'!E97-1))),'V06 Calend 01'!I97),0))+IF((59='V06 Calend 01'!D97),'V06 Calend 01'!J97,0))</f>
        <v>0</v>
      </c>
      <c r="BT97" s="2">
        <f>((IF((60='V06 Calend 01'!C97),('V06 Calend 01'!F97+'V06 Calend 01'!G97),0)+IF(AND(('V06 Calend 01'!E97&gt;0),(60&gt;'V06 Calend 01'!C97),(60&lt;'V06 Calend 01'!D97),(MOD((60-'V06 Calend 01'!C97),6)=0),(((60-'V06 Calend 01'!C97)/6)&lt;='V06 Calend 01'!E97)),IF((60=('V06 Calend 01'!C97+(6*'V06 Calend 01'!E97))),('V06 Calend 01'!H97-('V06 Calend 01'!I97*('V06 Calend 01'!E97-1))),'V06 Calend 01'!I97),0))+IF((60='V06 Calend 01'!D97),'V06 Calend 01'!J97,0))</f>
        <v>0</v>
      </c>
      <c r="BU97" s="2">
        <f>((IF((61='V06 Calend 01'!C97),('V06 Calend 01'!F97+'V06 Calend 01'!G97),0)+IF(AND(('V06 Calend 01'!E97&gt;0),(61&gt;'V06 Calend 01'!C97),(61&lt;'V06 Calend 01'!D97),(MOD((61-'V06 Calend 01'!C97),6)=0),(((61-'V06 Calend 01'!C97)/6)&lt;='V06 Calend 01'!E97)),IF((61=('V06 Calend 01'!C97+(6*'V06 Calend 01'!E97))),('V06 Calend 01'!H97-('V06 Calend 01'!I97*('V06 Calend 01'!E97-1))),'V06 Calend 01'!I97),0))+IF((61='V06 Calend 01'!D97),'V06 Calend 01'!J97,0))</f>
        <v>0</v>
      </c>
      <c r="BV97" s="2">
        <f>((IF((62='V06 Calend 01'!C97),('V06 Calend 01'!F97+'V06 Calend 01'!G97),0)+IF(AND(('V06 Calend 01'!E97&gt;0),(62&gt;'V06 Calend 01'!C97),(62&lt;'V06 Calend 01'!D97),(MOD((62-'V06 Calend 01'!C97),6)=0),(((62-'V06 Calend 01'!C97)/6)&lt;='V06 Calend 01'!E97)),IF((62=('V06 Calend 01'!C97+(6*'V06 Calend 01'!E97))),('V06 Calend 01'!H97-('V06 Calend 01'!I97*('V06 Calend 01'!E97-1))),'V06 Calend 01'!I97),0))+IF((62='V06 Calend 01'!D97),'V06 Calend 01'!J97,0))</f>
        <v>0</v>
      </c>
      <c r="BW97" s="2">
        <f>((IF((63='V06 Calend 01'!C97),('V06 Calend 01'!F97+'V06 Calend 01'!G97),0)+IF(AND(('V06 Calend 01'!E97&gt;0),(63&gt;'V06 Calend 01'!C97),(63&lt;'V06 Calend 01'!D97),(MOD((63-'V06 Calend 01'!C97),6)=0),(((63-'V06 Calend 01'!C97)/6)&lt;='V06 Calend 01'!E97)),IF((63=('V06 Calend 01'!C97+(6*'V06 Calend 01'!E97))),('V06 Calend 01'!H97-('V06 Calend 01'!I97*('V06 Calend 01'!E97-1))),'V06 Calend 01'!I97),0))+IF((63='V06 Calend 01'!D97),'V06 Calend 01'!J97,0))</f>
        <v>0</v>
      </c>
      <c r="BX97" s="2">
        <f>((IF((64='V06 Calend 01'!C97),('V06 Calend 01'!F97+'V06 Calend 01'!G97),0)+IF(AND(('V06 Calend 01'!E97&gt;0),(64&gt;'V06 Calend 01'!C97),(64&lt;'V06 Calend 01'!D97),(MOD((64-'V06 Calend 01'!C97),6)=0),(((64-'V06 Calend 01'!C97)/6)&lt;='V06 Calend 01'!E97)),IF((64=('V06 Calend 01'!C97+(6*'V06 Calend 01'!E97))),('V06 Calend 01'!H97-('V06 Calend 01'!I97*('V06 Calend 01'!E97-1))),'V06 Calend 01'!I97),0))+IF((64='V06 Calend 01'!D97),'V06 Calend 01'!J97,0))</f>
        <v>0</v>
      </c>
      <c r="BY97" s="2">
        <f>((IF((65='V06 Calend 01'!C97),('V06 Calend 01'!F97+'V06 Calend 01'!G97),0)+IF(AND(('V06 Calend 01'!E97&gt;0),(65&gt;'V06 Calend 01'!C97),(65&lt;'V06 Calend 01'!D97),(MOD((65-'V06 Calend 01'!C97),6)=0),(((65-'V06 Calend 01'!C97)/6)&lt;='V06 Calend 01'!E97)),IF((65=('V06 Calend 01'!C97+(6*'V06 Calend 01'!E97))),('V06 Calend 01'!H97-('V06 Calend 01'!I97*('V06 Calend 01'!E97-1))),'V06 Calend 01'!I97),0))+IF((65='V06 Calend 01'!D97),'V06 Calend 01'!J97,0))</f>
        <v>0</v>
      </c>
      <c r="BZ97" s="2">
        <f>((IF((66='V06 Calend 01'!C97),('V06 Calend 01'!F97+'V06 Calend 01'!G97),0)+IF(AND(('V06 Calend 01'!E97&gt;0),(66&gt;'V06 Calend 01'!C97),(66&lt;'V06 Calend 01'!D97),(MOD((66-'V06 Calend 01'!C97),6)=0),(((66-'V06 Calend 01'!C97)/6)&lt;='V06 Calend 01'!E97)),IF((66=('V06 Calend 01'!C97+(6*'V06 Calend 01'!E97))),('V06 Calend 01'!H97-('V06 Calend 01'!I97*('V06 Calend 01'!E97-1))),'V06 Calend 01'!I97),0))+IF((66='V06 Calend 01'!D97),'V06 Calend 01'!J97,0))</f>
        <v>0</v>
      </c>
      <c r="CA97" s="2">
        <f>((IF((67='V06 Calend 01'!C97),('V06 Calend 01'!F97+'V06 Calend 01'!G97),0)+IF(AND(('V06 Calend 01'!E97&gt;0),(67&gt;'V06 Calend 01'!C97),(67&lt;'V06 Calend 01'!D97),(MOD((67-'V06 Calend 01'!C97),6)=0),(((67-'V06 Calend 01'!C97)/6)&lt;='V06 Calend 01'!E97)),IF((67=('V06 Calend 01'!C97+(6*'V06 Calend 01'!E97))),('V06 Calend 01'!H97-('V06 Calend 01'!I97*('V06 Calend 01'!E97-1))),'V06 Calend 01'!I97),0))+IF((67='V06 Calend 01'!D97),'V06 Calend 01'!J97,0))</f>
        <v>0</v>
      </c>
      <c r="CB97" s="2">
        <f>((IF((68='V06 Calend 01'!C97),('V06 Calend 01'!F97+'V06 Calend 01'!G97),0)+IF(AND(('V06 Calend 01'!E97&gt;0),(68&gt;'V06 Calend 01'!C97),(68&lt;'V06 Calend 01'!D97),(MOD((68-'V06 Calend 01'!C97),6)=0),(((68-'V06 Calend 01'!C97)/6)&lt;='V06 Calend 01'!E97)),IF((68=('V06 Calend 01'!C97+(6*'V06 Calend 01'!E97))),('V06 Calend 01'!H97-('V06 Calend 01'!I97*('V06 Calend 01'!E97-1))),'V06 Calend 01'!I97),0))+IF((68='V06 Calend 01'!D97),'V06 Calend 01'!J97,0))</f>
        <v>0</v>
      </c>
      <c r="CC97" s="2">
        <f>((IF((69='V06 Calend 01'!C97),('V06 Calend 01'!F97+'V06 Calend 01'!G97),0)+IF(AND(('V06 Calend 01'!E97&gt;0),(69&gt;'V06 Calend 01'!C97),(69&lt;'V06 Calend 01'!D97),(MOD((69-'V06 Calend 01'!C97),6)=0),(((69-'V06 Calend 01'!C97)/6)&lt;='V06 Calend 01'!E97)),IF((69=('V06 Calend 01'!C97+(6*'V06 Calend 01'!E97))),('V06 Calend 01'!H97-('V06 Calend 01'!I97*('V06 Calend 01'!E97-1))),'V06 Calend 01'!I97),0))+IF((69='V06 Calend 01'!D97),'V06 Calend 01'!J97,0))</f>
        <v>0</v>
      </c>
      <c r="CD97" s="2">
        <f>((IF((70='V06 Calend 01'!C97),('V06 Calend 01'!F97+'V06 Calend 01'!G97),0)+IF(AND(('V06 Calend 01'!E97&gt;0),(70&gt;'V06 Calend 01'!C97),(70&lt;'V06 Calend 01'!D97),(MOD((70-'V06 Calend 01'!C97),6)=0),(((70-'V06 Calend 01'!C97)/6)&lt;='V06 Calend 01'!E97)),IF((70=('V06 Calend 01'!C97+(6*'V06 Calend 01'!E97))),('V06 Calend 01'!H97-('V06 Calend 01'!I97*('V06 Calend 01'!E97-1))),'V06 Calend 01'!I97),0))+IF((70='V06 Calend 01'!D97),'V06 Calend 01'!J97,0))</f>
        <v>0</v>
      </c>
      <c r="CE97" s="2">
        <f>((IF((71='V06 Calend 01'!C97),('V06 Calend 01'!F97+'V06 Calend 01'!G97),0)+IF(AND(('V06 Calend 01'!E97&gt;0),(71&gt;'V06 Calend 01'!C97),(71&lt;'V06 Calend 01'!D97),(MOD((71-'V06 Calend 01'!C97),6)=0),(((71-'V06 Calend 01'!C97)/6)&lt;='V06 Calend 01'!E97)),IF((71=('V06 Calend 01'!C97+(6*'V06 Calend 01'!E97))),('V06 Calend 01'!H97-('V06 Calend 01'!I97*('V06 Calend 01'!E97-1))),'V06 Calend 01'!I97),0))+IF((71='V06 Calend 01'!D97),'V06 Calend 01'!J97,0))</f>
        <v>0</v>
      </c>
      <c r="CF97" s="2">
        <f>((IF((72='V06 Calend 01'!C97),('V06 Calend 01'!F97+'V06 Calend 01'!G97),0)+IF(AND(('V06 Calend 01'!E97&gt;0),(72&gt;'V06 Calend 01'!C97),(72&lt;'V06 Calend 01'!D97),(MOD((72-'V06 Calend 01'!C97),6)=0),(((72-'V06 Calend 01'!C97)/6)&lt;='V06 Calend 01'!E97)),IF((72=('V06 Calend 01'!C97+(6*'V06 Calend 01'!E97))),('V06 Calend 01'!H97-('V06 Calend 01'!I97*('V06 Calend 01'!E97-1))),'V06 Calend 01'!I97),0))+IF((72='V06 Calend 01'!D97),'V06 Calend 01'!J97,0))</f>
        <v>0</v>
      </c>
      <c r="CG97" s="2">
        <f>((IF((73='V06 Calend 01'!C97),('V06 Calend 01'!F97+'V06 Calend 01'!G97),0)+IF(AND(('V06 Calend 01'!E97&gt;0),(73&gt;'V06 Calend 01'!C97),(73&lt;'V06 Calend 01'!D97),(MOD((73-'V06 Calend 01'!C97),6)=0),(((73-'V06 Calend 01'!C97)/6)&lt;='V06 Calend 01'!E97)),IF((73=('V06 Calend 01'!C97+(6*'V06 Calend 01'!E97))),('V06 Calend 01'!H97-('V06 Calend 01'!I97*('V06 Calend 01'!E97-1))),'V06 Calend 01'!I97),0))+IF((73='V06 Calend 01'!D97),'V06 Calend 01'!J97,0))</f>
        <v>0</v>
      </c>
      <c r="CH97" s="2">
        <f>((IF((74='V06 Calend 01'!C97),('V06 Calend 01'!F97+'V06 Calend 01'!G97),0)+IF(AND(('V06 Calend 01'!E97&gt;0),(74&gt;'V06 Calend 01'!C97),(74&lt;'V06 Calend 01'!D97),(MOD((74-'V06 Calend 01'!C97),6)=0),(((74-'V06 Calend 01'!C97)/6)&lt;='V06 Calend 01'!E97)),IF((74=('V06 Calend 01'!C97+(6*'V06 Calend 01'!E97))),('V06 Calend 01'!H97-('V06 Calend 01'!I97*('V06 Calend 01'!E97-1))),'V06 Calend 01'!I97),0))+IF((74='V06 Calend 01'!D97),'V06 Calend 01'!J97,0))</f>
        <v>0</v>
      </c>
      <c r="CI97" s="2">
        <f>((IF((75='V06 Calend 01'!C97),('V06 Calend 01'!F97+'V06 Calend 01'!G97),0)+IF(AND(('V06 Calend 01'!E97&gt;0),(75&gt;'V06 Calend 01'!C97),(75&lt;'V06 Calend 01'!D97),(MOD((75-'V06 Calend 01'!C97),6)=0),(((75-'V06 Calend 01'!C97)/6)&lt;='V06 Calend 01'!E97)),IF((75=('V06 Calend 01'!C97+(6*'V06 Calend 01'!E97))),('V06 Calend 01'!H97-('V06 Calend 01'!I97*('V06 Calend 01'!E97-1))),'V06 Calend 01'!I97),0))+IF((75='V06 Calend 01'!D97),'V06 Calend 01'!J97,0))</f>
        <v>0</v>
      </c>
      <c r="CJ97" s="2">
        <f>((IF((76='V06 Calend 01'!C97),('V06 Calend 01'!F97+'V06 Calend 01'!G97),0)+IF(AND(('V06 Calend 01'!E97&gt;0),(76&gt;'V06 Calend 01'!C97),(76&lt;'V06 Calend 01'!D97),(MOD((76-'V06 Calend 01'!C97),6)=0),(((76-'V06 Calend 01'!C97)/6)&lt;='V06 Calend 01'!E97)),IF((76=('V06 Calend 01'!C97+(6*'V06 Calend 01'!E97))),('V06 Calend 01'!H97-('V06 Calend 01'!I97*('V06 Calend 01'!E97-1))),'V06 Calend 01'!I97),0))+IF((76='V06 Calend 01'!D97),'V06 Calend 01'!J97,0))</f>
        <v>0</v>
      </c>
      <c r="CK97" s="2">
        <f>((IF((77='V06 Calend 01'!C97),('V06 Calend 01'!F97+'V06 Calend 01'!G97),0)+IF(AND(('V06 Calend 01'!E97&gt;0),(77&gt;'V06 Calend 01'!C97),(77&lt;'V06 Calend 01'!D97),(MOD((77-'V06 Calend 01'!C97),6)=0),(((77-'V06 Calend 01'!C97)/6)&lt;='V06 Calend 01'!E97)),IF((77=('V06 Calend 01'!C97+(6*'V06 Calend 01'!E97))),('V06 Calend 01'!H97-('V06 Calend 01'!I97*('V06 Calend 01'!E97-1))),'V06 Calend 01'!I97),0))+IF((77='V06 Calend 01'!D97),'V06 Calend 01'!J97,0))</f>
        <v>0</v>
      </c>
      <c r="CL97" s="2">
        <f>((IF((78='V06 Calend 01'!C97),('V06 Calend 01'!F97+'V06 Calend 01'!G97),0)+IF(AND(('V06 Calend 01'!E97&gt;0),(78&gt;'V06 Calend 01'!C97),(78&lt;'V06 Calend 01'!D97),(MOD((78-'V06 Calend 01'!C97),6)=0),(((78-'V06 Calend 01'!C97)/6)&lt;='V06 Calend 01'!E97)),IF((78=('V06 Calend 01'!C97+(6*'V06 Calend 01'!E97))),('V06 Calend 01'!H97-('V06 Calend 01'!I97*('V06 Calend 01'!E97-1))),'V06 Calend 01'!I97),0))+IF((78='V06 Calend 01'!D97),'V06 Calend 01'!J97,0))</f>
        <v>0</v>
      </c>
      <c r="CM97" s="2">
        <f>((IF((79='V06 Calend 01'!C97),('V06 Calend 01'!F97+'V06 Calend 01'!G97),0)+IF(AND(('V06 Calend 01'!E97&gt;0),(79&gt;'V06 Calend 01'!C97),(79&lt;'V06 Calend 01'!D97),(MOD((79-'V06 Calend 01'!C97),6)=0),(((79-'V06 Calend 01'!C97)/6)&lt;='V06 Calend 01'!E97)),IF((79=('V06 Calend 01'!C97+(6*'V06 Calend 01'!E97))),('V06 Calend 01'!H97-('V06 Calend 01'!I97*('V06 Calend 01'!E97-1))),'V06 Calend 01'!I97),0))+IF((79='V06 Calend 01'!D97),'V06 Calend 01'!J97,0))</f>
        <v>0</v>
      </c>
      <c r="CN97" s="2">
        <f>((IF((80='V06 Calend 01'!C97),('V06 Calend 01'!F97+'V06 Calend 01'!G97),0)+IF(AND(('V06 Calend 01'!E97&gt;0),(80&gt;'V06 Calend 01'!C97),(80&lt;'V06 Calend 01'!D97),(MOD((80-'V06 Calend 01'!C97),6)=0),(((80-'V06 Calend 01'!C97)/6)&lt;='V06 Calend 01'!E97)),IF((80=('V06 Calend 01'!C97+(6*'V06 Calend 01'!E97))),('V06 Calend 01'!H97-('V06 Calend 01'!I97*('V06 Calend 01'!E97-1))),'V06 Calend 01'!I97),0))+IF((80='V06 Calend 01'!D97),'V06 Calend 01'!J97,0))</f>
        <v>0</v>
      </c>
      <c r="CO97" s="2">
        <f>((IF((81='V06 Calend 01'!C97),('V06 Calend 01'!F97+'V06 Calend 01'!G97),0)+IF(AND(('V06 Calend 01'!E97&gt;0),(81&gt;'V06 Calend 01'!C97),(81&lt;'V06 Calend 01'!D97),(MOD((81-'V06 Calend 01'!C97),6)=0),(((81-'V06 Calend 01'!C97)/6)&lt;='V06 Calend 01'!E97)),IF((81=('V06 Calend 01'!C97+(6*'V06 Calend 01'!E97))),('V06 Calend 01'!H97-('V06 Calend 01'!I97*('V06 Calend 01'!E97-1))),'V06 Calend 01'!I97),0))+IF((81='V06 Calend 01'!D97),'V06 Calend 01'!J97,0))</f>
        <v>0</v>
      </c>
      <c r="CP97" s="2">
        <f>((IF((82='V06 Calend 01'!C97),('V06 Calend 01'!F97+'V06 Calend 01'!G97),0)+IF(AND(('V06 Calend 01'!E97&gt;0),(82&gt;'V06 Calend 01'!C97),(82&lt;'V06 Calend 01'!D97),(MOD((82-'V06 Calend 01'!C97),6)=0),(((82-'V06 Calend 01'!C97)/6)&lt;='V06 Calend 01'!E97)),IF((82=('V06 Calend 01'!C97+(6*'V06 Calend 01'!E97))),('V06 Calend 01'!H97-('V06 Calend 01'!I97*('V06 Calend 01'!E97-1))),'V06 Calend 01'!I97),0))+IF((82='V06 Calend 01'!D97),'V06 Calend 01'!J97,0))</f>
        <v>0</v>
      </c>
      <c r="CQ97" s="2">
        <f>((IF((83='V06 Calend 01'!C97),('V06 Calend 01'!F97+'V06 Calend 01'!G97),0)+IF(AND(('V06 Calend 01'!E97&gt;0),(83&gt;'V06 Calend 01'!C97),(83&lt;'V06 Calend 01'!D97),(MOD((83-'V06 Calend 01'!C97),6)=0),(((83-'V06 Calend 01'!C97)/6)&lt;='V06 Calend 01'!E97)),IF((83=('V06 Calend 01'!C97+(6*'V06 Calend 01'!E97))),('V06 Calend 01'!H97-('V06 Calend 01'!I97*('V06 Calend 01'!E97-1))),'V06 Calend 01'!I97),0))+IF((83='V06 Calend 01'!D97),'V06 Calend 01'!J97,0))</f>
        <v>0</v>
      </c>
      <c r="CR97" s="2">
        <f>((IF((84='V06 Calend 01'!C97),('V06 Calend 01'!F97+'V06 Calend 01'!G97),0)+IF(AND(('V06 Calend 01'!E97&gt;0),(84&gt;'V06 Calend 01'!C97),(84&lt;'V06 Calend 01'!D97),(MOD((84-'V06 Calend 01'!C97),6)=0),(((84-'V06 Calend 01'!C97)/6)&lt;='V06 Calend 01'!E97)),IF((84=('V06 Calend 01'!C97+(6*'V06 Calend 01'!E97))),('V06 Calend 01'!H97-('V06 Calend 01'!I97*('V06 Calend 01'!E97-1))),'V06 Calend 01'!I97),0))+IF((84='V06 Calend 01'!D97),'V06 Calend 01'!J97,0))</f>
        <v>0</v>
      </c>
      <c r="CS97" s="2">
        <f>((IF((85='V06 Calend 01'!C97),('V06 Calend 01'!F97+'V06 Calend 01'!G97),0)+IF(AND(('V06 Calend 01'!E97&gt;0),(85&gt;'V06 Calend 01'!C97),(85&lt;'V06 Calend 01'!D97),(MOD((85-'V06 Calend 01'!C97),6)=0),(((85-'V06 Calend 01'!C97)/6)&lt;='V06 Calend 01'!E97)),IF((85=('V06 Calend 01'!C97+(6*'V06 Calend 01'!E97))),('V06 Calend 01'!H97-('V06 Calend 01'!I97*('V06 Calend 01'!E97-1))),'V06 Calend 01'!I97),0))+IF((85='V06 Calend 01'!D97),'V06 Calend 01'!J97,0))</f>
        <v>0</v>
      </c>
      <c r="CT97" s="2">
        <f>((IF((86='V06 Calend 01'!C97),('V06 Calend 01'!F97+'V06 Calend 01'!G97),0)+IF(AND(('V06 Calend 01'!E97&gt;0),(86&gt;'V06 Calend 01'!C97),(86&lt;'V06 Calend 01'!D97),(MOD((86-'V06 Calend 01'!C97),6)=0),(((86-'V06 Calend 01'!C97)/6)&lt;='V06 Calend 01'!E97)),IF((86=('V06 Calend 01'!C97+(6*'V06 Calend 01'!E97))),('V06 Calend 01'!H97-('V06 Calend 01'!I97*('V06 Calend 01'!E97-1))),'V06 Calend 01'!I97),0))+IF((86='V06 Calend 01'!D97),'V06 Calend 01'!J97,0))</f>
        <v>0</v>
      </c>
      <c r="CU97" s="2">
        <f>((IF((87='V06 Calend 01'!C97),('V06 Calend 01'!F97+'V06 Calend 01'!G97),0)+IF(AND(('V06 Calend 01'!E97&gt;0),(87&gt;'V06 Calend 01'!C97),(87&lt;'V06 Calend 01'!D97),(MOD((87-'V06 Calend 01'!C97),6)=0),(((87-'V06 Calend 01'!C97)/6)&lt;='V06 Calend 01'!E97)),IF((87=('V06 Calend 01'!C97+(6*'V06 Calend 01'!E97))),('V06 Calend 01'!H97-('V06 Calend 01'!I97*('V06 Calend 01'!E97-1))),'V06 Calend 01'!I97),0))+IF((87='V06 Calend 01'!D97),'V06 Calend 01'!J97,0))</f>
        <v>0</v>
      </c>
      <c r="CV97" s="2">
        <f>((IF((88='V06 Calend 01'!C97),('V06 Calend 01'!F97+'V06 Calend 01'!G97),0)+IF(AND(('V06 Calend 01'!E97&gt;0),(88&gt;'V06 Calend 01'!C97),(88&lt;'V06 Calend 01'!D97),(MOD((88-'V06 Calend 01'!C97),6)=0),(((88-'V06 Calend 01'!C97)/6)&lt;='V06 Calend 01'!E97)),IF((88=('V06 Calend 01'!C97+(6*'V06 Calend 01'!E97))),('V06 Calend 01'!H97-('V06 Calend 01'!I97*('V06 Calend 01'!E97-1))),'V06 Calend 01'!I97),0))+IF((88='V06 Calend 01'!D97),'V06 Calend 01'!J97,0))</f>
        <v>0</v>
      </c>
      <c r="CW97" s="2">
        <f>((IF((89='V06 Calend 01'!C97),('V06 Calend 01'!F97+'V06 Calend 01'!G97),0)+IF(AND(('V06 Calend 01'!E97&gt;0),(89&gt;'V06 Calend 01'!C97),(89&lt;'V06 Calend 01'!D97),(MOD((89-'V06 Calend 01'!C97),6)=0),(((89-'V06 Calend 01'!C97)/6)&lt;='V06 Calend 01'!E97)),IF((89=('V06 Calend 01'!C97+(6*'V06 Calend 01'!E97))),('V06 Calend 01'!H97-('V06 Calend 01'!I97*('V06 Calend 01'!E97-1))),'V06 Calend 01'!I97),0))+IF((89='V06 Calend 01'!D97),'V06 Calend 01'!J97,0))</f>
        <v>0</v>
      </c>
      <c r="CX97" s="2">
        <f>((IF((90='V06 Calend 01'!C97),('V06 Calend 01'!F97+'V06 Calend 01'!G97),0)+IF(AND(('V06 Calend 01'!E97&gt;0),(90&gt;'V06 Calend 01'!C97),(90&lt;'V06 Calend 01'!D97),(MOD((90-'V06 Calend 01'!C97),6)=0),(((90-'V06 Calend 01'!C97)/6)&lt;='V06 Calend 01'!E97)),IF((90=('V06 Calend 01'!C97+(6*'V06 Calend 01'!E97))),('V06 Calend 01'!H97-('V06 Calend 01'!I97*('V06 Calend 01'!E97-1))),'V06 Calend 01'!I97),0))+IF((90='V06 Calend 01'!D97),'V06 Calend 01'!J97,0))</f>
        <v>0</v>
      </c>
      <c r="CY97" s="2">
        <f>((IF((91='V06 Calend 01'!C97),('V06 Calend 01'!F97+'V06 Calend 01'!G97),0)+IF(AND(('V06 Calend 01'!E97&gt;0),(91&gt;'V06 Calend 01'!C97),(91&lt;'V06 Calend 01'!D97),(MOD((91-'V06 Calend 01'!C97),6)=0),(((91-'V06 Calend 01'!C97)/6)&lt;='V06 Calend 01'!E97)),IF((91=('V06 Calend 01'!C97+(6*'V06 Calend 01'!E97))),('V06 Calend 01'!H97-('V06 Calend 01'!I97*('V06 Calend 01'!E97-1))),'V06 Calend 01'!I97),0))+IF((91='V06 Calend 01'!D97),'V06 Calend 01'!J97,0))</f>
        <v>0</v>
      </c>
      <c r="CZ97" s="2">
        <f>((IF((92='V06 Calend 01'!C97),('V06 Calend 01'!F97+'V06 Calend 01'!G97),0)+IF(AND(('V06 Calend 01'!E97&gt;0),(92&gt;'V06 Calend 01'!C97),(92&lt;'V06 Calend 01'!D97),(MOD((92-'V06 Calend 01'!C97),6)=0),(((92-'V06 Calend 01'!C97)/6)&lt;='V06 Calend 01'!E97)),IF((92=('V06 Calend 01'!C97+(6*'V06 Calend 01'!E97))),('V06 Calend 01'!H97-('V06 Calend 01'!I97*('V06 Calend 01'!E97-1))),'V06 Calend 01'!I97),0))+IF((92='V06 Calend 01'!D97),'V06 Calend 01'!J97,0))</f>
        <v>0</v>
      </c>
      <c r="DA97" s="2">
        <f>((IF((93='V06 Calend 01'!C97),('V06 Calend 01'!F97+'V06 Calend 01'!G97),0)+IF(AND(('V06 Calend 01'!E97&gt;0),(93&gt;'V06 Calend 01'!C97),(93&lt;'V06 Calend 01'!D97),(MOD((93-'V06 Calend 01'!C97),6)=0),(((93-'V06 Calend 01'!C97)/6)&lt;='V06 Calend 01'!E97)),IF((93=('V06 Calend 01'!C97+(6*'V06 Calend 01'!E97))),('V06 Calend 01'!H97-('V06 Calend 01'!I97*('V06 Calend 01'!E97-1))),'V06 Calend 01'!I97),0))+IF((93='V06 Calend 01'!D97),'V06 Calend 01'!J97,0))</f>
        <v>0</v>
      </c>
      <c r="DB97" s="2">
        <f>((IF((94='V06 Calend 01'!C97),('V06 Calend 01'!F97+'V06 Calend 01'!G97),0)+IF(AND(('V06 Calend 01'!E97&gt;0),(94&gt;'V06 Calend 01'!C97),(94&lt;'V06 Calend 01'!D97),(MOD((94-'V06 Calend 01'!C97),6)=0),(((94-'V06 Calend 01'!C97)/6)&lt;='V06 Calend 01'!E97)),IF((94=('V06 Calend 01'!C97+(6*'V06 Calend 01'!E97))),('V06 Calend 01'!H97-('V06 Calend 01'!I97*('V06 Calend 01'!E97-1))),'V06 Calend 01'!I97),0))+IF((94='V06 Calend 01'!D97),'V06 Calend 01'!J97,0))</f>
        <v>0</v>
      </c>
      <c r="DC97" s="2">
        <f>((IF((95='V06 Calend 01'!C97),('V06 Calend 01'!F97+'V06 Calend 01'!G97),0)+IF(AND(('V06 Calend 01'!E97&gt;0),(95&gt;'V06 Calend 01'!C97),(95&lt;'V06 Calend 01'!D97),(MOD((95-'V06 Calend 01'!C97),6)=0),(((95-'V06 Calend 01'!C97)/6)&lt;='V06 Calend 01'!E97)),IF((95=('V06 Calend 01'!C97+(6*'V06 Calend 01'!E97))),('V06 Calend 01'!H97-('V06 Calend 01'!I97*('V06 Calend 01'!E97-1))),'V06 Calend 01'!I97),0))+IF((95='V06 Calend 01'!D97),'V06 Calend 01'!J97,0))</f>
        <v>0</v>
      </c>
      <c r="DD97" s="2">
        <f>((IF((96='V06 Calend 01'!C97),('V06 Calend 01'!F97+'V06 Calend 01'!G97),0)+IF(AND(('V06 Calend 01'!E97&gt;0),(96&gt;'V06 Calend 01'!C97),(96&lt;'V06 Calend 01'!D97),(MOD((96-'V06 Calend 01'!C97),6)=0),(((96-'V06 Calend 01'!C97)/6)&lt;='V06 Calend 01'!E97)),IF((96=('V06 Calend 01'!C97+(6*'V06 Calend 01'!E97))),('V06 Calend 01'!H97-('V06 Calend 01'!I97*('V06 Calend 01'!E97-1))),'V06 Calend 01'!I97),0))+IF((96='V06 Calend 01'!D97),'V06 Calend 01'!J97,0))</f>
        <v>0</v>
      </c>
      <c r="DE97" s="2">
        <f>((IF((97='V06 Calend 01'!C97),('V06 Calend 01'!F97+'V06 Calend 01'!G97),0)+IF(AND(('V06 Calend 01'!E97&gt;0),(97&gt;'V06 Calend 01'!C97),(97&lt;'V06 Calend 01'!D97),(MOD((97-'V06 Calend 01'!C97),6)=0),(((97-'V06 Calend 01'!C97)/6)&lt;='V06 Calend 01'!E97)),IF((97=('V06 Calend 01'!C97+(6*'V06 Calend 01'!E97))),('V06 Calend 01'!H97-('V06 Calend 01'!I97*('V06 Calend 01'!E97-1))),'V06 Calend 01'!I97),0))+IF((97='V06 Calend 01'!D97),'V06 Calend 01'!J97,0))</f>
        <v>0</v>
      </c>
      <c r="DF97" s="2">
        <f>((IF((98='V06 Calend 01'!C97),('V06 Calend 01'!F97+'V06 Calend 01'!G97),0)+IF(AND(('V06 Calend 01'!E97&gt;0),(98&gt;'V06 Calend 01'!C97),(98&lt;'V06 Calend 01'!D97),(MOD((98-'V06 Calend 01'!C97),6)=0),(((98-'V06 Calend 01'!C97)/6)&lt;='V06 Calend 01'!E97)),IF((98=('V06 Calend 01'!C97+(6*'V06 Calend 01'!E97))),('V06 Calend 01'!H97-('V06 Calend 01'!I97*('V06 Calend 01'!E97-1))),'V06 Calend 01'!I97),0))+IF((98='V06 Calend 01'!D97),'V06 Calend 01'!J97,0))</f>
        <v>0</v>
      </c>
      <c r="DG97" s="2">
        <f>((IF((99='V06 Calend 01'!C97),('V06 Calend 01'!F97+'V06 Calend 01'!G97),0)+IF(AND(('V06 Calend 01'!E97&gt;0),(99&gt;'V06 Calend 01'!C97),(99&lt;'V06 Calend 01'!D97),(MOD((99-'V06 Calend 01'!C97),6)=0),(((99-'V06 Calend 01'!C97)/6)&lt;='V06 Calend 01'!E97)),IF((99=('V06 Calend 01'!C97+(6*'V06 Calend 01'!E97))),('V06 Calend 01'!H97-('V06 Calend 01'!I97*('V06 Calend 01'!E97-1))),'V06 Calend 01'!I97),0))+IF((99='V06 Calend 01'!D97),'V06 Calend 01'!J97,0))</f>
        <v>0</v>
      </c>
      <c r="DH97" s="2">
        <f>((IF((100='V06 Calend 01'!C97),('V06 Calend 01'!F97+'V06 Calend 01'!G97),0)+IF(AND(('V06 Calend 01'!E97&gt;0),(100&gt;'V06 Calend 01'!C97),(100&lt;'V06 Calend 01'!D97),(MOD((100-'V06 Calend 01'!C97),6)=0),(((100-'V06 Calend 01'!C97)/6)&lt;='V06 Calend 01'!E97)),IF((100=('V06 Calend 01'!C97+(6*'V06 Calend 01'!E97))),('V06 Calend 01'!H97-('V06 Calend 01'!I97*('V06 Calend 01'!E97-1))),'V06 Calend 01'!I97),0))+IF((100='V06 Calend 01'!D97),'V06 Calend 01'!J97,0))</f>
        <v>0</v>
      </c>
      <c r="DI97" s="2">
        <f>((IF((101='V06 Calend 01'!C97),('V06 Calend 01'!F97+'V06 Calend 01'!G97),0)+IF(AND(('V06 Calend 01'!E97&gt;0),(101&gt;'V06 Calend 01'!C97),(101&lt;'V06 Calend 01'!D97),(MOD((101-'V06 Calend 01'!C97),6)=0),(((101-'V06 Calend 01'!C97)/6)&lt;='V06 Calend 01'!E97)),IF((101=('V06 Calend 01'!C97+(6*'V06 Calend 01'!E97))),('V06 Calend 01'!H97-('V06 Calend 01'!I97*('V06 Calend 01'!E97-1))),'V06 Calend 01'!I97),0))+IF((101='V06 Calend 01'!D97),'V06 Calend 01'!J97,0))</f>
        <v>0</v>
      </c>
      <c r="DJ97" s="2">
        <f>((IF((102='V06 Calend 01'!C97),('V06 Calend 01'!F97+'V06 Calend 01'!G97),0)+IF(AND(('V06 Calend 01'!E97&gt;0),(102&gt;'V06 Calend 01'!C97),(102&lt;'V06 Calend 01'!D97),(MOD((102-'V06 Calend 01'!C97),6)=0),(((102-'V06 Calend 01'!C97)/6)&lt;='V06 Calend 01'!E97)),IF((102=('V06 Calend 01'!C97+(6*'V06 Calend 01'!E97))),('V06 Calend 01'!H97-('V06 Calend 01'!I97*('V06 Calend 01'!E97-1))),'V06 Calend 01'!I97),0))+IF((102='V06 Calend 01'!D97),'V06 Calend 01'!J97,0))</f>
        <v>0</v>
      </c>
      <c r="DK97" s="2">
        <f>((IF((103='V06 Calend 01'!C97),('V06 Calend 01'!F97+'V06 Calend 01'!G97),0)+IF(AND(('V06 Calend 01'!E97&gt;0),(103&gt;'V06 Calend 01'!C97),(103&lt;'V06 Calend 01'!D97),(MOD((103-'V06 Calend 01'!C97),6)=0),(((103-'V06 Calend 01'!C97)/6)&lt;='V06 Calend 01'!E97)),IF((103=('V06 Calend 01'!C97+(6*'V06 Calend 01'!E97))),('V06 Calend 01'!H97-('V06 Calend 01'!I97*('V06 Calend 01'!E97-1))),'V06 Calend 01'!I97),0))+IF((103='V06 Calend 01'!D97),'V06 Calend 01'!J97,0))</f>
        <v>0</v>
      </c>
      <c r="DL97" s="2">
        <f>((IF((104='V06 Calend 01'!C97),('V06 Calend 01'!F97+'V06 Calend 01'!G97),0)+IF(AND(('V06 Calend 01'!E97&gt;0),(104&gt;'V06 Calend 01'!C97),(104&lt;'V06 Calend 01'!D97),(MOD((104-'V06 Calend 01'!C97),6)=0),(((104-'V06 Calend 01'!C97)/6)&lt;='V06 Calend 01'!E97)),IF((104=('V06 Calend 01'!C97+(6*'V06 Calend 01'!E97))),('V06 Calend 01'!H97-('V06 Calend 01'!I97*('V06 Calend 01'!E97-1))),'V06 Calend 01'!I97),0))+IF((104='V06 Calend 01'!D97),'V06 Calend 01'!J97,0))</f>
        <v>0</v>
      </c>
      <c r="DM97" s="2">
        <f>((IF((105='V06 Calend 01'!C97),('V06 Calend 01'!F97+'V06 Calend 01'!G97),0)+IF(AND(('V06 Calend 01'!E97&gt;0),(105&gt;'V06 Calend 01'!C97),(105&lt;'V06 Calend 01'!D97),(MOD((105-'V06 Calend 01'!C97),6)=0),(((105-'V06 Calend 01'!C97)/6)&lt;='V06 Calend 01'!E97)),IF((105=('V06 Calend 01'!C97+(6*'V06 Calend 01'!E97))),('V06 Calend 01'!H97-('V06 Calend 01'!I97*('V06 Calend 01'!E97-1))),'V06 Calend 01'!I97),0))+IF((105='V06 Calend 01'!D97),'V06 Calend 01'!J97,0))</f>
        <v>0</v>
      </c>
      <c r="DN97" s="2">
        <f>((IF((106='V06 Calend 01'!C97),('V06 Calend 01'!F97+'V06 Calend 01'!G97),0)+IF(AND(('V06 Calend 01'!E97&gt;0),(106&gt;'V06 Calend 01'!C97),(106&lt;'V06 Calend 01'!D97),(MOD((106-'V06 Calend 01'!C97),6)=0),(((106-'V06 Calend 01'!C97)/6)&lt;='V06 Calend 01'!E97)),IF((106=('V06 Calend 01'!C97+(6*'V06 Calend 01'!E97))),('V06 Calend 01'!H97-('V06 Calend 01'!I97*('V06 Calend 01'!E97-1))),'V06 Calend 01'!I97),0))+IF((106='V06 Calend 01'!D97),'V06 Calend 01'!J97,0))</f>
        <v>0</v>
      </c>
      <c r="DO97" s="2">
        <f>((IF((107='V06 Calend 01'!C97),('V06 Calend 01'!F97+'V06 Calend 01'!G97),0)+IF(AND(('V06 Calend 01'!E97&gt;0),(107&gt;'V06 Calend 01'!C97),(107&lt;'V06 Calend 01'!D97),(MOD((107-'V06 Calend 01'!C97),6)=0),(((107-'V06 Calend 01'!C97)/6)&lt;='V06 Calend 01'!E97)),IF((107=('V06 Calend 01'!C97+(6*'V06 Calend 01'!E97))),('V06 Calend 01'!H97-('V06 Calend 01'!I97*('V06 Calend 01'!E97-1))),'V06 Calend 01'!I97),0))+IF((107='V06 Calend 01'!D97),'V06 Calend 01'!J97,0))</f>
        <v>0</v>
      </c>
      <c r="DP97" s="2">
        <f>((IF((108='V06 Calend 01'!C97),('V06 Calend 01'!F97+'V06 Calend 01'!G97),0)+IF(AND(('V06 Calend 01'!E97&gt;0),(108&gt;'V06 Calend 01'!C97),(108&lt;'V06 Calend 01'!D97),(MOD((108-'V06 Calend 01'!C97),6)=0),(((108-'V06 Calend 01'!C97)/6)&lt;='V06 Calend 01'!E97)),IF((108=('V06 Calend 01'!C97+(6*'V06 Calend 01'!E97))),('V06 Calend 01'!H97-('V06 Calend 01'!I97*('V06 Calend 01'!E97-1))),'V06 Calend 01'!I97),0))+IF((108='V06 Calend 01'!D97),'V06 Calend 01'!J97,0))</f>
        <v>0</v>
      </c>
      <c r="DQ97" s="2">
        <f>((IF((109='V06 Calend 01'!C97),('V06 Calend 01'!F97+'V06 Calend 01'!G97),0)+IF(AND(('V06 Calend 01'!E97&gt;0),(109&gt;'V06 Calend 01'!C97),(109&lt;'V06 Calend 01'!D97),(MOD((109-'V06 Calend 01'!C97),6)=0),(((109-'V06 Calend 01'!C97)/6)&lt;='V06 Calend 01'!E97)),IF((109=('V06 Calend 01'!C97+(6*'V06 Calend 01'!E97))),('V06 Calend 01'!H97-('V06 Calend 01'!I97*('V06 Calend 01'!E97-1))),'V06 Calend 01'!I97),0))+IF((109='V06 Calend 01'!D97),'V06 Calend 01'!J97,0))</f>
        <v>0</v>
      </c>
      <c r="DR97" s="2">
        <f>((IF((110='V06 Calend 01'!C97),('V06 Calend 01'!F97+'V06 Calend 01'!G97),0)+IF(AND(('V06 Calend 01'!E97&gt;0),(110&gt;'V06 Calend 01'!C97),(110&lt;'V06 Calend 01'!D97),(MOD((110-'V06 Calend 01'!C97),6)=0),(((110-'V06 Calend 01'!C97)/6)&lt;='V06 Calend 01'!E97)),IF((110=('V06 Calend 01'!C97+(6*'V06 Calend 01'!E97))),('V06 Calend 01'!H97-('V06 Calend 01'!I97*('V06 Calend 01'!E97-1))),'V06 Calend 01'!I97),0))+IF((110='V06 Calend 01'!D97),'V06 Calend 01'!J97,0))</f>
        <v>0</v>
      </c>
      <c r="DS97" s="2">
        <f>((IF((111='V06 Calend 01'!C97),('V06 Calend 01'!F97+'V06 Calend 01'!G97),0)+IF(AND(('V06 Calend 01'!E97&gt;0),(111&gt;'V06 Calend 01'!C97),(111&lt;'V06 Calend 01'!D97),(MOD((111-'V06 Calend 01'!C97),6)=0),(((111-'V06 Calend 01'!C97)/6)&lt;='V06 Calend 01'!E97)),IF((111=('V06 Calend 01'!C97+(6*'V06 Calend 01'!E97))),('V06 Calend 01'!H97-('V06 Calend 01'!I97*('V06 Calend 01'!E97-1))),'V06 Calend 01'!I97),0))+IF((111='V06 Calend 01'!D97),'V06 Calend 01'!J97,0))</f>
        <v>0</v>
      </c>
      <c r="DT97" s="2">
        <f>((IF((112='V06 Calend 01'!C97),('V06 Calend 01'!F97+'V06 Calend 01'!G97),0)+IF(AND(('V06 Calend 01'!E97&gt;0),(112&gt;'V06 Calend 01'!C97),(112&lt;'V06 Calend 01'!D97),(MOD((112-'V06 Calend 01'!C97),6)=0),(((112-'V06 Calend 01'!C97)/6)&lt;='V06 Calend 01'!E97)),IF((112=('V06 Calend 01'!C97+(6*'V06 Calend 01'!E97))),('V06 Calend 01'!H97-('V06 Calend 01'!I97*('V06 Calend 01'!E97-1))),'V06 Calend 01'!I97),0))+IF((112='V06 Calend 01'!D97),'V06 Calend 01'!J97,0))</f>
        <v>0</v>
      </c>
      <c r="DU97" s="2">
        <f>((IF((113='V06 Calend 01'!C97),('V06 Calend 01'!F97+'V06 Calend 01'!G97),0)+IF(AND(('V06 Calend 01'!E97&gt;0),(113&gt;'V06 Calend 01'!C97),(113&lt;'V06 Calend 01'!D97),(MOD((113-'V06 Calend 01'!C97),6)=0),(((113-'V06 Calend 01'!C97)/6)&lt;='V06 Calend 01'!E97)),IF((113=('V06 Calend 01'!C97+(6*'V06 Calend 01'!E97))),('V06 Calend 01'!H97-('V06 Calend 01'!I97*('V06 Calend 01'!E97-1))),'V06 Calend 01'!I97),0))+IF((113='V06 Calend 01'!D97),'V06 Calend 01'!J97,0))</f>
        <v>0</v>
      </c>
      <c r="DV97" s="2">
        <f>((IF((114='V06 Calend 01'!C97),('V06 Calend 01'!F97+'V06 Calend 01'!G97),0)+IF(AND(('V06 Calend 01'!E97&gt;0),(114&gt;'V06 Calend 01'!C97),(114&lt;'V06 Calend 01'!D97),(MOD((114-'V06 Calend 01'!C97),6)=0),(((114-'V06 Calend 01'!C97)/6)&lt;='V06 Calend 01'!E97)),IF((114=('V06 Calend 01'!C97+(6*'V06 Calend 01'!E97))),('V06 Calend 01'!H97-('V06 Calend 01'!I97*('V06 Calend 01'!E97-1))),'V06 Calend 01'!I97),0))+IF((114='V06 Calend 01'!D97),'V06 Calend 01'!J97,0))</f>
        <v>0</v>
      </c>
      <c r="DW97" s="2">
        <f>((IF((115='V06 Calend 01'!C97),('V06 Calend 01'!F97+'V06 Calend 01'!G97),0)+IF(AND(('V06 Calend 01'!E97&gt;0),(115&gt;'V06 Calend 01'!C97),(115&lt;'V06 Calend 01'!D97),(MOD((115-'V06 Calend 01'!C97),6)=0),(((115-'V06 Calend 01'!C97)/6)&lt;='V06 Calend 01'!E97)),IF((115=('V06 Calend 01'!C97+(6*'V06 Calend 01'!E97))),('V06 Calend 01'!H97-('V06 Calend 01'!I97*('V06 Calend 01'!E97-1))),'V06 Calend 01'!I97),0))+IF((115='V06 Calend 01'!D97),'V06 Calend 01'!J97,0))</f>
        <v>0</v>
      </c>
      <c r="DX97" s="2">
        <f>((IF((116='V06 Calend 01'!C97),('V06 Calend 01'!F97+'V06 Calend 01'!G97),0)+IF(AND(('V06 Calend 01'!E97&gt;0),(116&gt;'V06 Calend 01'!C97),(116&lt;'V06 Calend 01'!D97),(MOD((116-'V06 Calend 01'!C97),6)=0),(((116-'V06 Calend 01'!C97)/6)&lt;='V06 Calend 01'!E97)),IF((116=('V06 Calend 01'!C97+(6*'V06 Calend 01'!E97))),('V06 Calend 01'!H97-('V06 Calend 01'!I97*('V06 Calend 01'!E97-1))),'V06 Calend 01'!I97),0))+IF((116='V06 Calend 01'!D97),'V06 Calend 01'!J97,0))</f>
        <v>0</v>
      </c>
      <c r="DY97" s="2">
        <f>((IF((117='V06 Calend 01'!C97),('V06 Calend 01'!F97+'V06 Calend 01'!G97),0)+IF(AND(('V06 Calend 01'!E97&gt;0),(117&gt;'V06 Calend 01'!C97),(117&lt;'V06 Calend 01'!D97),(MOD((117-'V06 Calend 01'!C97),6)=0),(((117-'V06 Calend 01'!C97)/6)&lt;='V06 Calend 01'!E97)),IF((117=('V06 Calend 01'!C97+(6*'V06 Calend 01'!E97))),('V06 Calend 01'!H97-('V06 Calend 01'!I97*('V06 Calend 01'!E97-1))),'V06 Calend 01'!I97),0))+IF((117='V06 Calend 01'!D97),'V06 Calend 01'!J97,0))</f>
        <v>0</v>
      </c>
      <c r="DZ97" s="2">
        <f>((IF((118='V06 Calend 01'!C97),('V06 Calend 01'!F97+'V06 Calend 01'!G97),0)+IF(AND(('V06 Calend 01'!E97&gt;0),(118&gt;'V06 Calend 01'!C97),(118&lt;'V06 Calend 01'!D97),(MOD((118-'V06 Calend 01'!C97),6)=0),(((118-'V06 Calend 01'!C97)/6)&lt;='V06 Calend 01'!E97)),IF((118=('V06 Calend 01'!C97+(6*'V06 Calend 01'!E97))),('V06 Calend 01'!H97-('V06 Calend 01'!I97*('V06 Calend 01'!E97-1))),'V06 Calend 01'!I97),0))+IF((118='V06 Calend 01'!D97),'V06 Calend 01'!J97,0))</f>
        <v>0</v>
      </c>
      <c r="EA97" s="2">
        <f>((IF((119='V06 Calend 01'!C97),('V06 Calend 01'!F97+'V06 Calend 01'!G97),0)+IF(AND(('V06 Calend 01'!E97&gt;0),(119&gt;'V06 Calend 01'!C97),(119&lt;'V06 Calend 01'!D97),(MOD((119-'V06 Calend 01'!C97),6)=0),(((119-'V06 Calend 01'!C97)/6)&lt;='V06 Calend 01'!E97)),IF((119=('V06 Calend 01'!C97+(6*'V06 Calend 01'!E97))),('V06 Calend 01'!H97-('V06 Calend 01'!I97*('V06 Calend 01'!E97-1))),'V06 Calend 01'!I97),0))+IF((119='V06 Calend 01'!D97),'V06 Calend 01'!J97,0))</f>
        <v>0</v>
      </c>
      <c r="EB97" s="2">
        <f>((IF((120='V06 Calend 01'!C97),('V06 Calend 01'!F97+'V06 Calend 01'!G97),0)+IF(AND(('V06 Calend 01'!E97&gt;0),(120&gt;'V06 Calend 01'!C97),(120&lt;'V06 Calend 01'!D97),(MOD((120-'V06 Calend 01'!C97),6)=0),(((120-'V06 Calend 01'!C97)/6)&lt;='V06 Calend 01'!E97)),IF((120=('V06 Calend 01'!C97+(6*'V06 Calend 01'!E97))),('V06 Calend 01'!H97-('V06 Calend 01'!I97*('V06 Calend 01'!E97-1))),'V06 Calend 01'!I97),0))+IF((120='V06 Calend 01'!D97),'V06 Calend 01'!J97,0))</f>
        <v>0</v>
      </c>
      <c r="EC97" s="2">
        <f>((IF((121='V06 Calend 01'!C97),('V06 Calend 01'!F97+'V06 Calend 01'!G97),0)+IF(AND(('V06 Calend 01'!E97&gt;0),(121&gt;'V06 Calend 01'!C97),(121&lt;'V06 Calend 01'!D97),(MOD((121-'V06 Calend 01'!C97),6)=0),(((121-'V06 Calend 01'!C97)/6)&lt;='V06 Calend 01'!E97)),IF((121=('V06 Calend 01'!C97+(6*'V06 Calend 01'!E97))),('V06 Calend 01'!H97-('V06 Calend 01'!I97*('V06 Calend 01'!E97-1))),'V06 Calend 01'!I97),0))+IF((121='V06 Calend 01'!D97),'V06 Calend 01'!J97,0))</f>
        <v>0</v>
      </c>
      <c r="ED97" s="2">
        <f>((IF((122='V06 Calend 01'!C97),('V06 Calend 01'!F97+'V06 Calend 01'!G97),0)+IF(AND(('V06 Calend 01'!E97&gt;0),(122&gt;'V06 Calend 01'!C97),(122&lt;'V06 Calend 01'!D97),(MOD((122-'V06 Calend 01'!C97),6)=0),(((122-'V06 Calend 01'!C97)/6)&lt;='V06 Calend 01'!E97)),IF((122=('V06 Calend 01'!C97+(6*'V06 Calend 01'!E97))),('V06 Calend 01'!H97-('V06 Calend 01'!I97*('V06 Calend 01'!E97-1))),'V06 Calend 01'!I97),0))+IF((122='V06 Calend 01'!D97),'V06 Calend 01'!J97,0))</f>
        <v>0</v>
      </c>
      <c r="EE97" s="2">
        <f>((IF((123='V06 Calend 01'!C97),('V06 Calend 01'!F97+'V06 Calend 01'!G97),0)+IF(AND(('V06 Calend 01'!E97&gt;0),(123&gt;'V06 Calend 01'!C97),(123&lt;'V06 Calend 01'!D97),(MOD((123-'V06 Calend 01'!C97),6)=0),(((123-'V06 Calend 01'!C97)/6)&lt;='V06 Calend 01'!E97)),IF((123=('V06 Calend 01'!C97+(6*'V06 Calend 01'!E97))),('V06 Calend 01'!H97-('V06 Calend 01'!I97*('V06 Calend 01'!E97-1))),'V06 Calend 01'!I97),0))+IF((123='V06 Calend 01'!D97),'V06 Calend 01'!J97,0))</f>
        <v>0</v>
      </c>
      <c r="EF97" s="2">
        <f>((IF((124='V06 Calend 01'!C97),('V06 Calend 01'!F97+'V06 Calend 01'!G97),0)+IF(AND(('V06 Calend 01'!E97&gt;0),(124&gt;'V06 Calend 01'!C97),(124&lt;'V06 Calend 01'!D97),(MOD((124-'V06 Calend 01'!C97),6)=0),(((124-'V06 Calend 01'!C97)/6)&lt;='V06 Calend 01'!E97)),IF((124=('V06 Calend 01'!C97+(6*'V06 Calend 01'!E97))),('V06 Calend 01'!H97-('V06 Calend 01'!I97*('V06 Calend 01'!E97-1))),'V06 Calend 01'!I97),0))+IF((124='V06 Calend 01'!D97),'V06 Calend 01'!J97,0))</f>
        <v>0</v>
      </c>
      <c r="EG97" s="2">
        <f>((IF((125='V06 Calend 01'!C97),('V06 Calend 01'!F97+'V06 Calend 01'!G97),0)+IF(AND(('V06 Calend 01'!E97&gt;0),(125&gt;'V06 Calend 01'!C97),(125&lt;'V06 Calend 01'!D97),(MOD((125-'V06 Calend 01'!C97),6)=0),(((125-'V06 Calend 01'!C97)/6)&lt;='V06 Calend 01'!E97)),IF((125=('V06 Calend 01'!C97+(6*'V06 Calend 01'!E97))),('V06 Calend 01'!H97-('V06 Calend 01'!I97*('V06 Calend 01'!E97-1))),'V06 Calend 01'!I97),0))+IF((125='V06 Calend 01'!D97),'V06 Calend 01'!J97,0))</f>
        <v>0</v>
      </c>
      <c r="EH97" s="2">
        <f>((IF((126='V06 Calend 01'!C97),('V06 Calend 01'!F97+'V06 Calend 01'!G97),0)+IF(AND(('V06 Calend 01'!E97&gt;0),(126&gt;'V06 Calend 01'!C97),(126&lt;'V06 Calend 01'!D97),(MOD((126-'V06 Calend 01'!C97),6)=0),(((126-'V06 Calend 01'!C97)/6)&lt;='V06 Calend 01'!E97)),IF((126=('V06 Calend 01'!C97+(6*'V06 Calend 01'!E97))),('V06 Calend 01'!H97-('V06 Calend 01'!I97*('V06 Calend 01'!E97-1))),'V06 Calend 01'!I97),0))+IF((126='V06 Calend 01'!D97),'V06 Calend 01'!J97,0))</f>
        <v>0</v>
      </c>
      <c r="EI97" s="2">
        <f>((IF((127='V06 Calend 01'!C97),('V06 Calend 01'!F97+'V06 Calend 01'!G97),0)+IF(AND(('V06 Calend 01'!E97&gt;0),(127&gt;'V06 Calend 01'!C97),(127&lt;'V06 Calend 01'!D97),(MOD((127-'V06 Calend 01'!C97),6)=0),(((127-'V06 Calend 01'!C97)/6)&lt;='V06 Calend 01'!E97)),IF((127=('V06 Calend 01'!C97+(6*'V06 Calend 01'!E97))),('V06 Calend 01'!H97-('V06 Calend 01'!I97*('V06 Calend 01'!E97-1))),'V06 Calend 01'!I97),0))+IF((127='V06 Calend 01'!D97),'V06 Calend 01'!J97,0))</f>
        <v>0</v>
      </c>
      <c r="EJ97" s="2">
        <f>((IF((128='V06 Calend 01'!C97),('V06 Calend 01'!F97+'V06 Calend 01'!G97),0)+IF(AND(('V06 Calend 01'!E97&gt;0),(128&gt;'V06 Calend 01'!C97),(128&lt;'V06 Calend 01'!D97),(MOD((128-'V06 Calend 01'!C97),6)=0),(((128-'V06 Calend 01'!C97)/6)&lt;='V06 Calend 01'!E97)),IF((128=('V06 Calend 01'!C97+(6*'V06 Calend 01'!E97))),('V06 Calend 01'!H97-('V06 Calend 01'!I97*('V06 Calend 01'!E97-1))),'V06 Calend 01'!I97),0))+IF((128='V06 Calend 01'!D97),'V06 Calend 01'!J97,0))</f>
        <v>0</v>
      </c>
      <c r="EK97" s="2">
        <f>((IF((129='V06 Calend 01'!C97),('V06 Calend 01'!F97+'V06 Calend 01'!G97),0)+IF(AND(('V06 Calend 01'!E97&gt;0),(129&gt;'V06 Calend 01'!C97),(129&lt;'V06 Calend 01'!D97),(MOD((129-'V06 Calend 01'!C97),6)=0),(((129-'V06 Calend 01'!C97)/6)&lt;='V06 Calend 01'!E97)),IF((129=('V06 Calend 01'!C97+(6*'V06 Calend 01'!E97))),('V06 Calend 01'!H97-('V06 Calend 01'!I97*('V06 Calend 01'!E97-1))),'V06 Calend 01'!I97),0))+IF((129='V06 Calend 01'!D97),'V06 Calend 01'!J97,0))</f>
        <v>0</v>
      </c>
      <c r="EL97" s="2">
        <f>((IF((130='V06 Calend 01'!C97),('V06 Calend 01'!F97+'V06 Calend 01'!G97),0)+IF(AND(('V06 Calend 01'!E97&gt;0),(130&gt;'V06 Calend 01'!C97),(130&lt;'V06 Calend 01'!D97),(MOD((130-'V06 Calend 01'!C97),6)=0),(((130-'V06 Calend 01'!C97)/6)&lt;='V06 Calend 01'!E97)),IF((130=('V06 Calend 01'!C97+(6*'V06 Calend 01'!E97))),('V06 Calend 01'!H97-('V06 Calend 01'!I97*('V06 Calend 01'!E97-1))),'V06 Calend 01'!I97),0))+IF((130='V06 Calend 01'!D97),'V06 Calend 01'!J97,0))</f>
        <v>0</v>
      </c>
      <c r="EM97" s="2">
        <f>((IF((131='V06 Calend 01'!C97),('V06 Calend 01'!F97+'V06 Calend 01'!G97),0)+IF(AND(('V06 Calend 01'!E97&gt;0),(131&gt;'V06 Calend 01'!C97),(131&lt;'V06 Calend 01'!D97),(MOD((131-'V06 Calend 01'!C97),6)=0),(((131-'V06 Calend 01'!C97)/6)&lt;='V06 Calend 01'!E97)),IF((131=('V06 Calend 01'!C97+(6*'V06 Calend 01'!E97))),('V06 Calend 01'!H97-('V06 Calend 01'!I97*('V06 Calend 01'!E97-1))),'V06 Calend 01'!I97),0))+IF((131='V06 Calend 01'!D97),'V06 Calend 01'!J97,0))</f>
        <v>0</v>
      </c>
      <c r="EN97" s="2">
        <f>((IF((132='V06 Calend 01'!C97),('V06 Calend 01'!F97+'V06 Calend 01'!G97),0)+IF(AND(('V06 Calend 01'!E97&gt;0),(132&gt;'V06 Calend 01'!C97),(132&lt;'V06 Calend 01'!D97),(MOD((132-'V06 Calend 01'!C97),6)=0),(((132-'V06 Calend 01'!C97)/6)&lt;='V06 Calend 01'!E97)),IF((132=('V06 Calend 01'!C97+(6*'V06 Calend 01'!E97))),('V06 Calend 01'!H97-('V06 Calend 01'!I97*('V06 Calend 01'!E97-1))),'V06 Calend 01'!I97),0))+IF((132='V06 Calend 01'!D97),'V06 Calend 01'!J97,0))</f>
        <v>0</v>
      </c>
      <c r="EO97" s="2">
        <f>((IF((133='V06 Calend 01'!C97),('V06 Calend 01'!F97+'V06 Calend 01'!G97),0)+IF(AND(('V06 Calend 01'!E97&gt;0),(133&gt;'V06 Calend 01'!C97),(133&lt;'V06 Calend 01'!D97),(MOD((133-'V06 Calend 01'!C97),6)=0),(((133-'V06 Calend 01'!C97)/6)&lt;='V06 Calend 01'!E97)),IF((133=('V06 Calend 01'!C97+(6*'V06 Calend 01'!E97))),('V06 Calend 01'!H97-('V06 Calend 01'!I97*('V06 Calend 01'!E97-1))),'V06 Calend 01'!I97),0))+IF((133='V06 Calend 01'!D97),'V06 Calend 01'!J97,0))</f>
        <v>0</v>
      </c>
      <c r="EP97" s="2">
        <f>((IF((134='V06 Calend 01'!C97),('V06 Calend 01'!F97+'V06 Calend 01'!G97),0)+IF(AND(('V06 Calend 01'!E97&gt;0),(134&gt;'V06 Calend 01'!C97),(134&lt;'V06 Calend 01'!D97),(MOD((134-'V06 Calend 01'!C97),6)=0),(((134-'V06 Calend 01'!C97)/6)&lt;='V06 Calend 01'!E97)),IF((134=('V06 Calend 01'!C97+(6*'V06 Calend 01'!E97))),('V06 Calend 01'!H97-('V06 Calend 01'!I97*('V06 Calend 01'!E97-1))),'V06 Calend 01'!I97),0))+IF((134='V06 Calend 01'!D97),'V06 Calend 01'!J97,0))</f>
        <v>0</v>
      </c>
      <c r="EQ97" s="2">
        <f>((IF((135='V06 Calend 01'!C97),('V06 Calend 01'!F97+'V06 Calend 01'!G97),0)+IF(AND(('V06 Calend 01'!E97&gt;0),(135&gt;'V06 Calend 01'!C97),(135&lt;'V06 Calend 01'!D97),(MOD((135-'V06 Calend 01'!C97),6)=0),(((135-'V06 Calend 01'!C97)/6)&lt;='V06 Calend 01'!E97)),IF((135=('V06 Calend 01'!C97+(6*'V06 Calend 01'!E97))),('V06 Calend 01'!H97-('V06 Calend 01'!I97*('V06 Calend 01'!E97-1))),'V06 Calend 01'!I97),0))+IF((135='V06 Calend 01'!D97),'V06 Calend 01'!J97,0))</f>
        <v>0</v>
      </c>
      <c r="ER97" s="2">
        <f>((IF((136='V06 Calend 01'!C97),('V06 Calend 01'!F97+'V06 Calend 01'!G97),0)+IF(AND(('V06 Calend 01'!E97&gt;0),(136&gt;'V06 Calend 01'!C97),(136&lt;'V06 Calend 01'!D97),(MOD((136-'V06 Calend 01'!C97),6)=0),(((136-'V06 Calend 01'!C97)/6)&lt;='V06 Calend 01'!E97)),IF((136=('V06 Calend 01'!C97+(6*'V06 Calend 01'!E97))),('V06 Calend 01'!H97-('V06 Calend 01'!I97*('V06 Calend 01'!E97-1))),'V06 Calend 01'!I97),0))+IF((136='V06 Calend 01'!D97),'V06 Calend 01'!J97,0))</f>
        <v>0</v>
      </c>
      <c r="ES97" s="2">
        <f>((IF((137='V06 Calend 01'!C97),('V06 Calend 01'!F97+'V06 Calend 01'!G97),0)+IF(AND(('V06 Calend 01'!E97&gt;0),(137&gt;'V06 Calend 01'!C97),(137&lt;'V06 Calend 01'!D97),(MOD((137-'V06 Calend 01'!C97),6)=0),(((137-'V06 Calend 01'!C97)/6)&lt;='V06 Calend 01'!E97)),IF((137=('V06 Calend 01'!C97+(6*'V06 Calend 01'!E97))),('V06 Calend 01'!H97-('V06 Calend 01'!I97*('V06 Calend 01'!E97-1))),'V06 Calend 01'!I97),0))+IF((137='V06 Calend 01'!D97),'V06 Calend 01'!J97,0))</f>
        <v>0</v>
      </c>
      <c r="ET97" s="2">
        <f>((IF((138='V06 Calend 01'!C97),('V06 Calend 01'!F97+'V06 Calend 01'!G97),0)+IF(AND(('V06 Calend 01'!E97&gt;0),(138&gt;'V06 Calend 01'!C97),(138&lt;'V06 Calend 01'!D97),(MOD((138-'V06 Calend 01'!C97),6)=0),(((138-'V06 Calend 01'!C97)/6)&lt;='V06 Calend 01'!E97)),IF((138=('V06 Calend 01'!C97+(6*'V06 Calend 01'!E97))),('V06 Calend 01'!H97-('V06 Calend 01'!I97*('V06 Calend 01'!E97-1))),'V06 Calend 01'!I97),0))+IF((138='V06 Calend 01'!D97),'V06 Calend 01'!J97,0))</f>
        <v>0</v>
      </c>
      <c r="EU97" s="2">
        <f>((IF((139='V06 Calend 01'!C97),('V06 Calend 01'!F97+'V06 Calend 01'!G97),0)+IF(AND(('V06 Calend 01'!E97&gt;0),(139&gt;'V06 Calend 01'!C97),(139&lt;'V06 Calend 01'!D97),(MOD((139-'V06 Calend 01'!C97),6)=0),(((139-'V06 Calend 01'!C97)/6)&lt;='V06 Calend 01'!E97)),IF((139=('V06 Calend 01'!C97+(6*'V06 Calend 01'!E97))),('V06 Calend 01'!H97-('V06 Calend 01'!I97*('V06 Calend 01'!E97-1))),'V06 Calend 01'!I97),0))+IF((139='V06 Calend 01'!D97),'V06 Calend 01'!J97,0))</f>
        <v>0</v>
      </c>
      <c r="EV97" s="2">
        <f>((IF((140='V06 Calend 01'!C97),('V06 Calend 01'!F97+'V06 Calend 01'!G97),0)+IF(AND(('V06 Calend 01'!E97&gt;0),(140&gt;'V06 Calend 01'!C97),(140&lt;'V06 Calend 01'!D97),(MOD((140-'V06 Calend 01'!C97),6)=0),(((140-'V06 Calend 01'!C97)/6)&lt;='V06 Calend 01'!E97)),IF((140=('V06 Calend 01'!C97+(6*'V06 Calend 01'!E97))),('V06 Calend 01'!H97-('V06 Calend 01'!I97*('V06 Calend 01'!E97-1))),'V06 Calend 01'!I97),0))+IF((140='V06 Calend 01'!D97),'V06 Calend 01'!J97,0))</f>
        <v>0</v>
      </c>
      <c r="EW97" s="2">
        <f>((IF((141='V06 Calend 01'!C97),('V06 Calend 01'!F97+'V06 Calend 01'!G97),0)+IF(AND(('V06 Calend 01'!E97&gt;0),(141&gt;'V06 Calend 01'!C97),(141&lt;'V06 Calend 01'!D97),(MOD((141-'V06 Calend 01'!C97),6)=0),(((141-'V06 Calend 01'!C97)/6)&lt;='V06 Calend 01'!E97)),IF((141=('V06 Calend 01'!C97+(6*'V06 Calend 01'!E97))),('V06 Calend 01'!H97-('V06 Calend 01'!I97*('V06 Calend 01'!E97-1))),'V06 Calend 01'!I97),0))+IF((141='V06 Calend 01'!D97),'V06 Calend 01'!J97,0))</f>
        <v>0</v>
      </c>
      <c r="EX97" s="2">
        <f>((IF((142='V06 Calend 01'!C97),('V06 Calend 01'!F97+'V06 Calend 01'!G97),0)+IF(AND(('V06 Calend 01'!E97&gt;0),(142&gt;'V06 Calend 01'!C97),(142&lt;'V06 Calend 01'!D97),(MOD((142-'V06 Calend 01'!C97),6)=0),(((142-'V06 Calend 01'!C97)/6)&lt;='V06 Calend 01'!E97)),IF((142=('V06 Calend 01'!C97+(6*'V06 Calend 01'!E97))),('V06 Calend 01'!H97-('V06 Calend 01'!I97*('V06 Calend 01'!E97-1))),'V06 Calend 01'!I97),0))+IF((142='V06 Calend 01'!D97),'V06 Calend 01'!J97,0))</f>
        <v>0</v>
      </c>
      <c r="EY97" s="2">
        <f>((IF((143='V06 Calend 01'!C97),('V06 Calend 01'!F97+'V06 Calend 01'!G97),0)+IF(AND(('V06 Calend 01'!E97&gt;0),(143&gt;'V06 Calend 01'!C97),(143&lt;'V06 Calend 01'!D97),(MOD((143-'V06 Calend 01'!C97),6)=0),(((143-'V06 Calend 01'!C97)/6)&lt;='V06 Calend 01'!E97)),IF((143=('V06 Calend 01'!C97+(6*'V06 Calend 01'!E97))),('V06 Calend 01'!H97-('V06 Calend 01'!I97*('V06 Calend 01'!E97-1))),'V06 Calend 01'!I97),0))+IF((143='V06 Calend 01'!D97),'V06 Calend 01'!J97,0))</f>
        <v>0</v>
      </c>
      <c r="EZ97" s="2">
        <f>((IF((144='V06 Calend 01'!C97),('V06 Calend 01'!F97+'V06 Calend 01'!G97),0)+IF(AND(('V06 Calend 01'!E97&gt;0),(144&gt;'V06 Calend 01'!C97),(144&lt;'V06 Calend 01'!D97),(MOD((144-'V06 Calend 01'!C97),6)=0),(((144-'V06 Calend 01'!C97)/6)&lt;='V06 Calend 01'!E97)),IF((144=('V06 Calend 01'!C97+(6*'V06 Calend 01'!E97))),('V06 Calend 01'!H97-('V06 Calend 01'!I97*('V06 Calend 01'!E97-1))),'V06 Calend 01'!I97),0))+IF((144='V06 Calend 01'!D97),'V06 Calend 01'!J97,0))</f>
        <v>0</v>
      </c>
      <c r="FA97" s="2">
        <f>((IF((145='V06 Calend 01'!C97),('V06 Calend 01'!F97+'V06 Calend 01'!G97),0)+IF(AND(('V06 Calend 01'!E97&gt;0),(145&gt;'V06 Calend 01'!C97),(145&lt;'V06 Calend 01'!D97),(MOD((145-'V06 Calend 01'!C97),6)=0),(((145-'V06 Calend 01'!C97)/6)&lt;='V06 Calend 01'!E97)),IF((145=('V06 Calend 01'!C97+(6*'V06 Calend 01'!E97))),('V06 Calend 01'!H97-('V06 Calend 01'!I97*('V06 Calend 01'!E97-1))),'V06 Calend 01'!I97),0))+IF((145='V06 Calend 01'!D97),'V06 Calend 01'!J97,0))</f>
        <v>0</v>
      </c>
      <c r="FB97" s="2">
        <f>((IF((146='V06 Calend 01'!C97),('V06 Calend 01'!F97+'V06 Calend 01'!G97),0)+IF(AND(('V06 Calend 01'!E97&gt;0),(146&gt;'V06 Calend 01'!C97),(146&lt;'V06 Calend 01'!D97),(MOD((146-'V06 Calend 01'!C97),6)=0),(((146-'V06 Calend 01'!C97)/6)&lt;='V06 Calend 01'!E97)),IF((146=('V06 Calend 01'!C97+(6*'V06 Calend 01'!E97))),('V06 Calend 01'!H97-('V06 Calend 01'!I97*('V06 Calend 01'!E97-1))),'V06 Calend 01'!I97),0))+IF((146='V06 Calend 01'!D97),'V06 Calend 01'!J97,0))</f>
        <v>0</v>
      </c>
      <c r="FC97" s="2">
        <f>((IF((147='V06 Calend 01'!C97),('V06 Calend 01'!F97+'V06 Calend 01'!G97),0)+IF(AND(('V06 Calend 01'!E97&gt;0),(147&gt;'V06 Calend 01'!C97),(147&lt;'V06 Calend 01'!D97),(MOD((147-'V06 Calend 01'!C97),6)=0),(((147-'V06 Calend 01'!C97)/6)&lt;='V06 Calend 01'!E97)),IF((147=('V06 Calend 01'!C97+(6*'V06 Calend 01'!E97))),('V06 Calend 01'!H97-('V06 Calend 01'!I97*('V06 Calend 01'!E97-1))),'V06 Calend 01'!I97),0))+IF((147='V06 Calend 01'!D97),'V06 Calend 01'!J97,0))</f>
        <v>0</v>
      </c>
      <c r="FD97" s="2">
        <f>((IF((148='V06 Calend 01'!C97),('V06 Calend 01'!F97+'V06 Calend 01'!G97),0)+IF(AND(('V06 Calend 01'!E97&gt;0),(148&gt;'V06 Calend 01'!C97),(148&lt;'V06 Calend 01'!D97),(MOD((148-'V06 Calend 01'!C97),6)=0),(((148-'V06 Calend 01'!C97)/6)&lt;='V06 Calend 01'!E97)),IF((148=('V06 Calend 01'!C97+(6*'V06 Calend 01'!E97))),('V06 Calend 01'!H97-('V06 Calend 01'!I97*('V06 Calend 01'!E97-1))),'V06 Calend 01'!I97),0))+IF((148='V06 Calend 01'!D97),'V06 Calend 01'!J97,0))</f>
        <v>0</v>
      </c>
      <c r="FE97" s="2">
        <f>((IF((149='V06 Calend 01'!C97),('V06 Calend 01'!F97+'V06 Calend 01'!G97),0)+IF(AND(('V06 Calend 01'!E97&gt;0),(149&gt;'V06 Calend 01'!C97),(149&lt;'V06 Calend 01'!D97),(MOD((149-'V06 Calend 01'!C97),6)=0),(((149-'V06 Calend 01'!C97)/6)&lt;='V06 Calend 01'!E97)),IF((149=('V06 Calend 01'!C97+(6*'V06 Calend 01'!E97))),('V06 Calend 01'!H97-('V06 Calend 01'!I97*('V06 Calend 01'!E97-1))),'V06 Calend 01'!I97),0))+IF((149='V06 Calend 01'!D97),'V06 Calend 01'!J97,0))</f>
        <v>0</v>
      </c>
      <c r="FF97" s="2">
        <f>((IF((150='V06 Calend 01'!C97),('V06 Calend 01'!F97+'V06 Calend 01'!G97),0)+IF(AND(('V06 Calend 01'!E97&gt;0),(150&gt;'V06 Calend 01'!C97),(150&lt;'V06 Calend 01'!D97),(MOD((150-'V06 Calend 01'!C97),6)=0),(((150-'V06 Calend 01'!C97)/6)&lt;='V06 Calend 01'!E97)),IF((150=('V06 Calend 01'!C97+(6*'V06 Calend 01'!E97))),('V06 Calend 01'!H97-('V06 Calend 01'!I97*('V06 Calend 01'!E97-1))),'V06 Calend 01'!I97),0))+IF((150='V06 Calend 01'!D97),'V06 Calend 01'!J97,0))</f>
        <v>0</v>
      </c>
      <c r="FG97" s="2">
        <f>((IF((151='V06 Calend 01'!C97),('V06 Calend 01'!F97+'V06 Calend 01'!G97),0)+IF(AND(('V06 Calend 01'!E97&gt;0),(151&gt;'V06 Calend 01'!C97),(151&lt;'V06 Calend 01'!D97),(MOD((151-'V06 Calend 01'!C97),6)=0),(((151-'V06 Calend 01'!C97)/6)&lt;='V06 Calend 01'!E97)),IF((151=('V06 Calend 01'!C97+(6*'V06 Calend 01'!E97))),('V06 Calend 01'!H97-('V06 Calend 01'!I97*('V06 Calend 01'!E97-1))),'V06 Calend 01'!I97),0))+IF((151='V06 Calend 01'!D97),'V06 Calend 01'!J97,0))</f>
        <v>0</v>
      </c>
      <c r="FH97" s="2">
        <f>((IF((152='V06 Calend 01'!C97),('V06 Calend 01'!F97+'V06 Calend 01'!G97),0)+IF(AND(('V06 Calend 01'!E97&gt;0),(152&gt;'V06 Calend 01'!C97),(152&lt;'V06 Calend 01'!D97),(MOD((152-'V06 Calend 01'!C97),6)=0),(((152-'V06 Calend 01'!C97)/6)&lt;='V06 Calend 01'!E97)),IF((152=('V06 Calend 01'!C97+(6*'V06 Calend 01'!E97))),('V06 Calend 01'!H97-('V06 Calend 01'!I97*('V06 Calend 01'!E97-1))),'V06 Calend 01'!I97),0))+IF((152='V06 Calend 01'!D97),'V06 Calend 01'!J97,0))</f>
        <v>0</v>
      </c>
      <c r="FI97" s="2">
        <f>((IF((153='V06 Calend 01'!C97),('V06 Calend 01'!F97+'V06 Calend 01'!G97),0)+IF(AND(('V06 Calend 01'!E97&gt;0),(153&gt;'V06 Calend 01'!C97),(153&lt;'V06 Calend 01'!D97),(MOD((153-'V06 Calend 01'!C97),6)=0),(((153-'V06 Calend 01'!C97)/6)&lt;='V06 Calend 01'!E97)),IF((153=('V06 Calend 01'!C97+(6*'V06 Calend 01'!E97))),('V06 Calend 01'!H97-('V06 Calend 01'!I97*('V06 Calend 01'!E97-1))),'V06 Calend 01'!I97),0))+IF((153='V06 Calend 01'!D97),'V06 Calend 01'!J97,0))</f>
        <v>0</v>
      </c>
      <c r="FJ97" s="2">
        <f>((IF((154='V06 Calend 01'!C97),('V06 Calend 01'!F97+'V06 Calend 01'!G97),0)+IF(AND(('V06 Calend 01'!E97&gt;0),(154&gt;'V06 Calend 01'!C97),(154&lt;'V06 Calend 01'!D97),(MOD((154-'V06 Calend 01'!C97),6)=0),(((154-'V06 Calend 01'!C97)/6)&lt;='V06 Calend 01'!E97)),IF((154=('V06 Calend 01'!C97+(6*'V06 Calend 01'!E97))),('V06 Calend 01'!H97-('V06 Calend 01'!I97*('V06 Calend 01'!E97-1))),'V06 Calend 01'!I97),0))+IF((154='V06 Calend 01'!D97),'V06 Calend 01'!J97,0))</f>
        <v>0</v>
      </c>
      <c r="FK97" s="2">
        <f>((IF((155='V06 Calend 01'!C97),('V06 Calend 01'!F97+'V06 Calend 01'!G97),0)+IF(AND(('V06 Calend 01'!E97&gt;0),(155&gt;'V06 Calend 01'!C97),(155&lt;'V06 Calend 01'!D97),(MOD((155-'V06 Calend 01'!C97),6)=0),(((155-'V06 Calend 01'!C97)/6)&lt;='V06 Calend 01'!E97)),IF((155=('V06 Calend 01'!C97+(6*'V06 Calend 01'!E97))),('V06 Calend 01'!H97-('V06 Calend 01'!I97*('V06 Calend 01'!E97-1))),'V06 Calend 01'!I97),0))+IF((155='V06 Calend 01'!D97),'V06 Calend 01'!J97,0))</f>
        <v>0</v>
      </c>
      <c r="FL97" s="2">
        <f>((IF((156='V06 Calend 01'!C97),('V06 Calend 01'!F97+'V06 Calend 01'!G97),0)+IF(AND(('V06 Calend 01'!E97&gt;0),(156&gt;'V06 Calend 01'!C97),(156&lt;'V06 Calend 01'!D97),(MOD((156-'V06 Calend 01'!C97),6)=0),(((156-'V06 Calend 01'!C97)/6)&lt;='V06 Calend 01'!E97)),IF((156=('V06 Calend 01'!C97+(6*'V06 Calend 01'!E97))),('V06 Calend 01'!H97-('V06 Calend 01'!I97*('V06 Calend 01'!E97-1))),'V06 Calend 01'!I97),0))+IF((156='V06 Calend 01'!D97),'V06 Calend 01'!J97,0))</f>
        <v>0</v>
      </c>
      <c r="FM97" s="2">
        <f>((IF((157='V06 Calend 01'!C97),('V06 Calend 01'!F97+'V06 Calend 01'!G97),0)+IF(AND(('V06 Calend 01'!E97&gt;0),(157&gt;'V06 Calend 01'!C97),(157&lt;'V06 Calend 01'!D97),(MOD((157-'V06 Calend 01'!C97),6)=0),(((157-'V06 Calend 01'!C97)/6)&lt;='V06 Calend 01'!E97)),IF((157=('V06 Calend 01'!C97+(6*'V06 Calend 01'!E97))),('V06 Calend 01'!H97-('V06 Calend 01'!I97*('V06 Calend 01'!E97-1))),'V06 Calend 01'!I97),0))+IF((157='V06 Calend 01'!D97),'V06 Calend 01'!J97,0))</f>
        <v>0</v>
      </c>
      <c r="FN97" s="2">
        <f>((IF((158='V06 Calend 01'!C97),('V06 Calend 01'!F97+'V06 Calend 01'!G97),0)+IF(AND(('V06 Calend 01'!E97&gt;0),(158&gt;'V06 Calend 01'!C97),(158&lt;'V06 Calend 01'!D97),(MOD((158-'V06 Calend 01'!C97),6)=0),(((158-'V06 Calend 01'!C97)/6)&lt;='V06 Calend 01'!E97)),IF((158=('V06 Calend 01'!C97+(6*'V06 Calend 01'!E97))),('V06 Calend 01'!H97-('V06 Calend 01'!I97*('V06 Calend 01'!E97-1))),'V06 Calend 01'!I97),0))+IF((158='V06 Calend 01'!D97),'V06 Calend 01'!J97,0))</f>
        <v>0</v>
      </c>
      <c r="FO97" s="2">
        <f>((IF((159='V06 Calend 01'!C97),('V06 Calend 01'!F97+'V06 Calend 01'!G97),0)+IF(AND(('V06 Calend 01'!E97&gt;0),(159&gt;'V06 Calend 01'!C97),(159&lt;'V06 Calend 01'!D97),(MOD((159-'V06 Calend 01'!C97),6)=0),(((159-'V06 Calend 01'!C97)/6)&lt;='V06 Calend 01'!E97)),IF((159=('V06 Calend 01'!C97+(6*'V06 Calend 01'!E97))),('V06 Calend 01'!H97-('V06 Calend 01'!I97*('V06 Calend 01'!E97-1))),'V06 Calend 01'!I97),0))+IF((159='V06 Calend 01'!D97),'V06 Calend 01'!J97,0))</f>
        <v>0</v>
      </c>
      <c r="FP97" s="2">
        <f>((IF((160='V06 Calend 01'!C97),('V06 Calend 01'!F97+'V06 Calend 01'!G97),0)+IF(AND(('V06 Calend 01'!E97&gt;0),(160&gt;'V06 Calend 01'!C97),(160&lt;'V06 Calend 01'!D97),(MOD((160-'V06 Calend 01'!C97),6)=0),(((160-'V06 Calend 01'!C97)/6)&lt;='V06 Calend 01'!E97)),IF((160=('V06 Calend 01'!C97+(6*'V06 Calend 01'!E97))),('V06 Calend 01'!H97-('V06 Calend 01'!I97*('V06 Calend 01'!E97-1))),'V06 Calend 01'!I97),0))+IF((160='V06 Calend 01'!D97),'V06 Calend 01'!J97,0))</f>
        <v>0</v>
      </c>
      <c r="FQ97" s="2">
        <f>((IF((161='V06 Calend 01'!C97),('V06 Calend 01'!F97+'V06 Calend 01'!G97),0)+IF(AND(('V06 Calend 01'!E97&gt;0),(161&gt;'V06 Calend 01'!C97),(161&lt;'V06 Calend 01'!D97),(MOD((161-'V06 Calend 01'!C97),6)=0),(((161-'V06 Calend 01'!C97)/6)&lt;='V06 Calend 01'!E97)),IF((161=('V06 Calend 01'!C97+(6*'V06 Calend 01'!E97))),('V06 Calend 01'!H97-('V06 Calend 01'!I97*('V06 Calend 01'!E97-1))),'V06 Calend 01'!I97),0))+IF((161='V06 Calend 01'!D97),'V06 Calend 01'!J97,0))</f>
        <v>0</v>
      </c>
      <c r="FR97" s="2">
        <f>((IF((162='V06 Calend 01'!C97),('V06 Calend 01'!F97+'V06 Calend 01'!G97),0)+IF(AND(('V06 Calend 01'!E97&gt;0),(162&gt;'V06 Calend 01'!C97),(162&lt;'V06 Calend 01'!D97),(MOD((162-'V06 Calend 01'!C97),6)=0),(((162-'V06 Calend 01'!C97)/6)&lt;='V06 Calend 01'!E97)),IF((162=('V06 Calend 01'!C97+(6*'V06 Calend 01'!E97))),('V06 Calend 01'!H97-('V06 Calend 01'!I97*('V06 Calend 01'!E97-1))),'V06 Calend 01'!I97),0))+IF((162='V06 Calend 01'!D97),'V06 Calend 01'!J97,0))</f>
        <v>0</v>
      </c>
      <c r="FS97" s="2">
        <f>((IF((163='V06 Calend 01'!C97),('V06 Calend 01'!F97+'V06 Calend 01'!G97),0)+IF(AND(('V06 Calend 01'!E97&gt;0),(163&gt;'V06 Calend 01'!C97),(163&lt;'V06 Calend 01'!D97),(MOD((163-'V06 Calend 01'!C97),6)=0),(((163-'V06 Calend 01'!C97)/6)&lt;='V06 Calend 01'!E97)),IF((163=('V06 Calend 01'!C97+(6*'V06 Calend 01'!E97))),('V06 Calend 01'!H97-('V06 Calend 01'!I97*('V06 Calend 01'!E97-1))),'V06 Calend 01'!I97),0))+IF((163='V06 Calend 01'!D97),'V06 Calend 01'!J97,0))</f>
        <v>0</v>
      </c>
      <c r="FT97" s="2">
        <f>((IF((164='V06 Calend 01'!C97),('V06 Calend 01'!F97+'V06 Calend 01'!G97),0)+IF(AND(('V06 Calend 01'!E97&gt;0),(164&gt;'V06 Calend 01'!C97),(164&lt;'V06 Calend 01'!D97),(MOD((164-'V06 Calend 01'!C97),6)=0),(((164-'V06 Calend 01'!C97)/6)&lt;='V06 Calend 01'!E97)),IF((164=('V06 Calend 01'!C97+(6*'V06 Calend 01'!E97))),('V06 Calend 01'!H97-('V06 Calend 01'!I97*('V06 Calend 01'!E97-1))),'V06 Calend 01'!I97),0))+IF((164='V06 Calend 01'!D97),'V06 Calend 01'!J97,0))</f>
        <v>0</v>
      </c>
      <c r="FU97" s="2">
        <f>((IF((165='V06 Calend 01'!C97),('V06 Calend 01'!F97+'V06 Calend 01'!G97),0)+IF(AND(('V06 Calend 01'!E97&gt;0),(165&gt;'V06 Calend 01'!C97),(165&lt;'V06 Calend 01'!D97),(MOD((165-'V06 Calend 01'!C97),6)=0),(((165-'V06 Calend 01'!C97)/6)&lt;='V06 Calend 01'!E97)),IF((165=('V06 Calend 01'!C97+(6*'V06 Calend 01'!E97))),('V06 Calend 01'!H97-('V06 Calend 01'!I97*('V06 Calend 01'!E97-1))),'V06 Calend 01'!I97),0))+IF((165='V06 Calend 01'!D97),'V06 Calend 01'!J97,0))</f>
        <v>0</v>
      </c>
      <c r="FV97" s="2">
        <f>((IF((166='V06 Calend 01'!C97),('V06 Calend 01'!F97+'V06 Calend 01'!G97),0)+IF(AND(('V06 Calend 01'!E97&gt;0),(166&gt;'V06 Calend 01'!C97),(166&lt;'V06 Calend 01'!D97),(MOD((166-'V06 Calend 01'!C97),6)=0),(((166-'V06 Calend 01'!C97)/6)&lt;='V06 Calend 01'!E97)),IF((166=('V06 Calend 01'!C97+(6*'V06 Calend 01'!E97))),('V06 Calend 01'!H97-('V06 Calend 01'!I97*('V06 Calend 01'!E97-1))),'V06 Calend 01'!I97),0))+IF((166='V06 Calend 01'!D97),'V06 Calend 01'!J97,0))</f>
        <v>0</v>
      </c>
      <c r="FW97" s="2">
        <f>((IF((167='V06 Calend 01'!C97),('V06 Calend 01'!F97+'V06 Calend 01'!G97),0)+IF(AND(('V06 Calend 01'!E97&gt;0),(167&gt;'V06 Calend 01'!C97),(167&lt;'V06 Calend 01'!D97),(MOD((167-'V06 Calend 01'!C97),6)=0),(((167-'V06 Calend 01'!C97)/6)&lt;='V06 Calend 01'!E97)),IF((167=('V06 Calend 01'!C97+(6*'V06 Calend 01'!E97))),('V06 Calend 01'!H97-('V06 Calend 01'!I97*('V06 Calend 01'!E97-1))),'V06 Calend 01'!I97),0))+IF((167='V06 Calend 01'!D97),'V06 Calend 01'!J97,0))</f>
        <v>0</v>
      </c>
      <c r="FX97" s="2">
        <f>((IF((168='V06 Calend 01'!C97),('V06 Calend 01'!F97+'V06 Calend 01'!G97),0)+IF(AND(('V06 Calend 01'!E97&gt;0),(168&gt;'V06 Calend 01'!C97),(168&lt;'V06 Calend 01'!D97),(MOD((168-'V06 Calend 01'!C97),6)=0),(((168-'V06 Calend 01'!C97)/6)&lt;='V06 Calend 01'!E97)),IF((168=('V06 Calend 01'!C97+(6*'V06 Calend 01'!E97))),('V06 Calend 01'!H97-('V06 Calend 01'!I97*('V06 Calend 01'!E97-1))),'V06 Calend 01'!I97),0))+IF((168='V06 Calend 01'!D97),'V06 Calend 01'!J97,0))</f>
        <v>0</v>
      </c>
      <c r="FY97" s="2">
        <f>((IF((169='V06 Calend 01'!C97),('V06 Calend 01'!F97+'V06 Calend 01'!G97),0)+IF(AND(('V06 Calend 01'!E97&gt;0),(169&gt;'V06 Calend 01'!C97),(169&lt;'V06 Calend 01'!D97),(MOD((169-'V06 Calend 01'!C97),6)=0),(((169-'V06 Calend 01'!C97)/6)&lt;='V06 Calend 01'!E97)),IF((169=('V06 Calend 01'!C97+(6*'V06 Calend 01'!E97))),('V06 Calend 01'!H97-('V06 Calend 01'!I97*('V06 Calend 01'!E97-1))),'V06 Calend 01'!I97),0))+IF((169='V06 Calend 01'!D97),'V06 Calend 01'!J97,0))</f>
        <v>0</v>
      </c>
      <c r="FZ97" s="2">
        <f>((IF((170='V06 Calend 01'!C97),('V06 Calend 01'!F97+'V06 Calend 01'!G97),0)+IF(AND(('V06 Calend 01'!E97&gt;0),(170&gt;'V06 Calend 01'!C97),(170&lt;'V06 Calend 01'!D97),(MOD((170-'V06 Calend 01'!C97),6)=0),(((170-'V06 Calend 01'!C97)/6)&lt;='V06 Calend 01'!E97)),IF((170=('V06 Calend 01'!C97+(6*'V06 Calend 01'!E97))),('V06 Calend 01'!H97-('V06 Calend 01'!I97*('V06 Calend 01'!E97-1))),'V06 Calend 01'!I97),0))+IF((170='V06 Calend 01'!D97),'V06 Calend 01'!J97,0))</f>
        <v>0</v>
      </c>
      <c r="GA97" s="2">
        <f>((IF((171='V06 Calend 01'!C97),('V06 Calend 01'!F97+'V06 Calend 01'!G97),0)+IF(AND(('V06 Calend 01'!E97&gt;0),(171&gt;'V06 Calend 01'!C97),(171&lt;'V06 Calend 01'!D97),(MOD((171-'V06 Calend 01'!C97),6)=0),(((171-'V06 Calend 01'!C97)/6)&lt;='V06 Calend 01'!E97)),IF((171=('V06 Calend 01'!C97+(6*'V06 Calend 01'!E97))),('V06 Calend 01'!H97-('V06 Calend 01'!I97*('V06 Calend 01'!E97-1))),'V06 Calend 01'!I97),0))+IF((171='V06 Calend 01'!D97),'V06 Calend 01'!J97,0))</f>
        <v>0</v>
      </c>
      <c r="GB97" s="2">
        <f>((IF((172='V06 Calend 01'!C97),('V06 Calend 01'!F97+'V06 Calend 01'!G97),0)+IF(AND(('V06 Calend 01'!E97&gt;0),(172&gt;'V06 Calend 01'!C97),(172&lt;'V06 Calend 01'!D97),(MOD((172-'V06 Calend 01'!C97),6)=0),(((172-'V06 Calend 01'!C97)/6)&lt;='V06 Calend 01'!E97)),IF((172=('V06 Calend 01'!C97+(6*'V06 Calend 01'!E97))),('V06 Calend 01'!H97-('V06 Calend 01'!I97*('V06 Calend 01'!E97-1))),'V06 Calend 01'!I97),0))+IF((172='V06 Calend 01'!D97),'V06 Calend 01'!J97,0))</f>
        <v>0</v>
      </c>
      <c r="GC97" s="2">
        <f>((IF((173='V06 Calend 01'!C97),('V06 Calend 01'!F97+'V06 Calend 01'!G97),0)+IF(AND(('V06 Calend 01'!E97&gt;0),(173&gt;'V06 Calend 01'!C97),(173&lt;'V06 Calend 01'!D97),(MOD((173-'V06 Calend 01'!C97),6)=0),(((173-'V06 Calend 01'!C97)/6)&lt;='V06 Calend 01'!E97)),IF((173=('V06 Calend 01'!C97+(6*'V06 Calend 01'!E97))),('V06 Calend 01'!H97-('V06 Calend 01'!I97*('V06 Calend 01'!E97-1))),'V06 Calend 01'!I97),0))+IF((173='V06 Calend 01'!D97),'V06 Calend 01'!J97,0))</f>
        <v>0</v>
      </c>
      <c r="GD97" s="2">
        <f>((IF((174='V06 Calend 01'!C97),('V06 Calend 01'!F97+'V06 Calend 01'!G97),0)+IF(AND(('V06 Calend 01'!E97&gt;0),(174&gt;'V06 Calend 01'!C97),(174&lt;'V06 Calend 01'!D97),(MOD((174-'V06 Calend 01'!C97),6)=0),(((174-'V06 Calend 01'!C97)/6)&lt;='V06 Calend 01'!E97)),IF((174=('V06 Calend 01'!C97+(6*'V06 Calend 01'!E97))),('V06 Calend 01'!H97-('V06 Calend 01'!I97*('V06 Calend 01'!E97-1))),'V06 Calend 01'!I97),0))+IF((174='V06 Calend 01'!D97),'V06 Calend 01'!J97,0))</f>
        <v>0</v>
      </c>
      <c r="GE97" s="2">
        <f>((IF((175='V06 Calend 01'!C97),('V06 Calend 01'!F97+'V06 Calend 01'!G97),0)+IF(AND(('V06 Calend 01'!E97&gt;0),(175&gt;'V06 Calend 01'!C97),(175&lt;'V06 Calend 01'!D97),(MOD((175-'V06 Calend 01'!C97),6)=0),(((175-'V06 Calend 01'!C97)/6)&lt;='V06 Calend 01'!E97)),IF((175=('V06 Calend 01'!C97+(6*'V06 Calend 01'!E97))),('V06 Calend 01'!H97-('V06 Calend 01'!I97*('V06 Calend 01'!E97-1))),'V06 Calend 01'!I97),0))+IF((175='V06 Calend 01'!D97),'V06 Calend 01'!J97,0))</f>
        <v>0</v>
      </c>
      <c r="GF97" s="2">
        <f>((IF((176='V06 Calend 01'!C97),('V06 Calend 01'!F97+'V06 Calend 01'!G97),0)+IF(AND(('V06 Calend 01'!E97&gt;0),(176&gt;'V06 Calend 01'!C97),(176&lt;'V06 Calend 01'!D97),(MOD((176-'V06 Calend 01'!C97),6)=0),(((176-'V06 Calend 01'!C97)/6)&lt;='V06 Calend 01'!E97)),IF((176=('V06 Calend 01'!C97+(6*'V06 Calend 01'!E97))),('V06 Calend 01'!H97-('V06 Calend 01'!I97*('V06 Calend 01'!E97-1))),'V06 Calend 01'!I97),0))+IF((176='V06 Calend 01'!D97),'V06 Calend 01'!J97,0))</f>
        <v>0</v>
      </c>
      <c r="GG97" s="2">
        <f>((IF((177='V06 Calend 01'!C97),('V06 Calend 01'!F97+'V06 Calend 01'!G97),0)+IF(AND(('V06 Calend 01'!E97&gt;0),(177&gt;'V06 Calend 01'!C97),(177&lt;'V06 Calend 01'!D97),(MOD((177-'V06 Calend 01'!C97),6)=0),(((177-'V06 Calend 01'!C97)/6)&lt;='V06 Calend 01'!E97)),IF((177=('V06 Calend 01'!C97+(6*'V06 Calend 01'!E97))),('V06 Calend 01'!H97-('V06 Calend 01'!I97*('V06 Calend 01'!E97-1))),'V06 Calend 01'!I97),0))+IF((177='V06 Calend 01'!D97),'V06 Calend 01'!J97,0))</f>
        <v>0</v>
      </c>
      <c r="GH97" s="2">
        <f>((IF((178='V06 Calend 01'!C97),('V06 Calend 01'!F97+'V06 Calend 01'!G97),0)+IF(AND(('V06 Calend 01'!E97&gt;0),(178&gt;'V06 Calend 01'!C97),(178&lt;'V06 Calend 01'!D97),(MOD((178-'V06 Calend 01'!C97),6)=0),(((178-'V06 Calend 01'!C97)/6)&lt;='V06 Calend 01'!E97)),IF((178=('V06 Calend 01'!C97+(6*'V06 Calend 01'!E97))),('V06 Calend 01'!H97-('V06 Calend 01'!I97*('V06 Calend 01'!E97-1))),'V06 Calend 01'!I97),0))+IF((178='V06 Calend 01'!D97),'V06 Calend 01'!J97,0))</f>
        <v>0</v>
      </c>
      <c r="GI97" s="2">
        <f>((IF((179='V06 Calend 01'!C97),('V06 Calend 01'!F97+'V06 Calend 01'!G97),0)+IF(AND(('V06 Calend 01'!E97&gt;0),(179&gt;'V06 Calend 01'!C97),(179&lt;'V06 Calend 01'!D97),(MOD((179-'V06 Calend 01'!C97),6)=0),(((179-'V06 Calend 01'!C97)/6)&lt;='V06 Calend 01'!E97)),IF((179=('V06 Calend 01'!C97+(6*'V06 Calend 01'!E97))),('V06 Calend 01'!H97-('V06 Calend 01'!I97*('V06 Calend 01'!E97-1))),'V06 Calend 01'!I97),0))+IF((179='V06 Calend 01'!D97),'V06 Calend 01'!J97,0))</f>
        <v>0</v>
      </c>
      <c r="GJ97" s="2">
        <f>((IF((180='V06 Calend 01'!C97),('V06 Calend 01'!F97+'V06 Calend 01'!G97),0)+IF(AND(('V06 Calend 01'!E97&gt;0),(180&gt;'V06 Calend 01'!C97),(180&lt;'V06 Calend 01'!D97),(MOD((180-'V06 Calend 01'!C97),6)=0),(((180-'V06 Calend 01'!C97)/6)&lt;='V06 Calend 01'!E97)),IF((180=('V06 Calend 01'!C97+(6*'V06 Calend 01'!E97))),('V06 Calend 01'!H97-('V06 Calend 01'!I97*('V06 Calend 01'!E97-1))),'V06 Calend 01'!I97),0))+IF((180='V06 Calend 01'!D97),'V06 Calend 01'!J97,0))</f>
        <v>0</v>
      </c>
    </row>
    <row r="98" spans="1:192">
      <c r="A98" s="3" t="str">
        <f>'V06 Unidades'!$A$98</f>
        <v>1104</v>
      </c>
      <c r="B98" s="2">
        <f>'V06 Unidades'!$H$98</f>
        <v>1530100</v>
      </c>
      <c r="C98" s="4">
        <f>('V06 Unidades'!$I$98+'V06 Controlos'!$B$37)</f>
        <v>22</v>
      </c>
      <c r="D98" s="4">
        <f>IF(('V06 Controlos'!$B$38&gt;0),MAX(('V06 Unidades'!$L$98+'V06 Controlos'!$B$37),(30+'V06 Controlos'!$B$38)),('V06 Unidades'!$L$98+'V06 Controlos'!$B$37))</f>
        <v>30</v>
      </c>
      <c r="E98" s="4">
        <f>MAX(0,INT(((('V06 Calend 01'!D98-'V06 Calend 01'!C98)-1)/6)))</f>
        <v>1</v>
      </c>
      <c r="F98" s="2">
        <f>ROUND(('V06 Calend 01'!B98*0.05),2)</f>
        <v>76505.0</v>
      </c>
      <c r="G98" s="2">
        <f>ROUND(('V06 Calend 01'!B98*0.2),2)</f>
        <v>306020.0</v>
      </c>
      <c r="H98" s="2">
        <f>ROUND(('V06 Calend 01'!B98*0.55),2)</f>
        <v>841555.0</v>
      </c>
      <c r="I98" s="2">
        <f>ROUND(('V06 Calend 01'!H98/MAX(1,'V06 Calend 01'!E98)),2)</f>
        <v>841555.0</v>
      </c>
      <c r="J98" s="2">
        <f>((('V06 Calend 01'!B98-'V06 Calend 01'!F98)-'V06 Calend 01'!G98)-'V06 Calend 01'!H98)</f>
        <v>306020.0</v>
      </c>
      <c r="K98" s="2">
        <f>('V06 Calend 01'!B98*0.025)</f>
        <v>38252.5</v>
      </c>
      <c r="L98" t="s">
        <v>378</v>
      </c>
      <c r="M98" s="2">
        <f>((IF((1='V06 Calend 01'!C98),('V06 Calend 01'!F98+'V06 Calend 01'!G98),0)+IF(AND(('V06 Calend 01'!E98&gt;0),(1&gt;'V06 Calend 01'!C98),(1&lt;'V06 Calend 01'!D98),(MOD((1-'V06 Calend 01'!C98),6)=0),(((1-'V06 Calend 01'!C98)/6)&lt;='V06 Calend 01'!E98)),IF((1=('V06 Calend 01'!C98+(6*'V06 Calend 01'!E98))),('V06 Calend 01'!H98-('V06 Calend 01'!I98*('V06 Calend 01'!E98-1))),'V06 Calend 01'!I98),0))+IF((1='V06 Calend 01'!D98),'V06 Calend 01'!J98,0))</f>
        <v>0</v>
      </c>
      <c r="N98" s="2">
        <f>((IF((2='V06 Calend 01'!C98),('V06 Calend 01'!F98+'V06 Calend 01'!G98),0)+IF(AND(('V06 Calend 01'!E98&gt;0),(2&gt;'V06 Calend 01'!C98),(2&lt;'V06 Calend 01'!D98),(MOD((2-'V06 Calend 01'!C98),6)=0),(((2-'V06 Calend 01'!C98)/6)&lt;='V06 Calend 01'!E98)),IF((2=('V06 Calend 01'!C98+(6*'V06 Calend 01'!E98))),('V06 Calend 01'!H98-('V06 Calend 01'!I98*('V06 Calend 01'!E98-1))),'V06 Calend 01'!I98),0))+IF((2='V06 Calend 01'!D98),'V06 Calend 01'!J98,0))</f>
        <v>0</v>
      </c>
      <c r="O98" s="2">
        <f>((IF((3='V06 Calend 01'!C98),('V06 Calend 01'!F98+'V06 Calend 01'!G98),0)+IF(AND(('V06 Calend 01'!E98&gt;0),(3&gt;'V06 Calend 01'!C98),(3&lt;'V06 Calend 01'!D98),(MOD((3-'V06 Calend 01'!C98),6)=0),(((3-'V06 Calend 01'!C98)/6)&lt;='V06 Calend 01'!E98)),IF((3=('V06 Calend 01'!C98+(6*'V06 Calend 01'!E98))),('V06 Calend 01'!H98-('V06 Calend 01'!I98*('V06 Calend 01'!E98-1))),'V06 Calend 01'!I98),0))+IF((3='V06 Calend 01'!D98),'V06 Calend 01'!J98,0))</f>
        <v>0</v>
      </c>
      <c r="P98" s="2">
        <f>((IF((4='V06 Calend 01'!C98),('V06 Calend 01'!F98+'V06 Calend 01'!G98),0)+IF(AND(('V06 Calend 01'!E98&gt;0),(4&gt;'V06 Calend 01'!C98),(4&lt;'V06 Calend 01'!D98),(MOD((4-'V06 Calend 01'!C98),6)=0),(((4-'V06 Calend 01'!C98)/6)&lt;='V06 Calend 01'!E98)),IF((4=('V06 Calend 01'!C98+(6*'V06 Calend 01'!E98))),('V06 Calend 01'!H98-('V06 Calend 01'!I98*('V06 Calend 01'!E98-1))),'V06 Calend 01'!I98),0))+IF((4='V06 Calend 01'!D98),'V06 Calend 01'!J98,0))</f>
        <v>0</v>
      </c>
      <c r="Q98" s="2">
        <f>((IF((5='V06 Calend 01'!C98),('V06 Calend 01'!F98+'V06 Calend 01'!G98),0)+IF(AND(('V06 Calend 01'!E98&gt;0),(5&gt;'V06 Calend 01'!C98),(5&lt;'V06 Calend 01'!D98),(MOD((5-'V06 Calend 01'!C98),6)=0),(((5-'V06 Calend 01'!C98)/6)&lt;='V06 Calend 01'!E98)),IF((5=('V06 Calend 01'!C98+(6*'V06 Calend 01'!E98))),('V06 Calend 01'!H98-('V06 Calend 01'!I98*('V06 Calend 01'!E98-1))),'V06 Calend 01'!I98),0))+IF((5='V06 Calend 01'!D98),'V06 Calend 01'!J98,0))</f>
        <v>0</v>
      </c>
      <c r="R98" s="2">
        <f>((IF((6='V06 Calend 01'!C98),('V06 Calend 01'!F98+'V06 Calend 01'!G98),0)+IF(AND(('V06 Calend 01'!E98&gt;0),(6&gt;'V06 Calend 01'!C98),(6&lt;'V06 Calend 01'!D98),(MOD((6-'V06 Calend 01'!C98),6)=0),(((6-'V06 Calend 01'!C98)/6)&lt;='V06 Calend 01'!E98)),IF((6=('V06 Calend 01'!C98+(6*'V06 Calend 01'!E98))),('V06 Calend 01'!H98-('V06 Calend 01'!I98*('V06 Calend 01'!E98-1))),'V06 Calend 01'!I98),0))+IF((6='V06 Calend 01'!D98),'V06 Calend 01'!J98,0))</f>
        <v>0</v>
      </c>
      <c r="S98" s="2">
        <f>((IF((7='V06 Calend 01'!C98),('V06 Calend 01'!F98+'V06 Calend 01'!G98),0)+IF(AND(('V06 Calend 01'!E98&gt;0),(7&gt;'V06 Calend 01'!C98),(7&lt;'V06 Calend 01'!D98),(MOD((7-'V06 Calend 01'!C98),6)=0),(((7-'V06 Calend 01'!C98)/6)&lt;='V06 Calend 01'!E98)),IF((7=('V06 Calend 01'!C98+(6*'V06 Calend 01'!E98))),('V06 Calend 01'!H98-('V06 Calend 01'!I98*('V06 Calend 01'!E98-1))),'V06 Calend 01'!I98),0))+IF((7='V06 Calend 01'!D98),'V06 Calend 01'!J98,0))</f>
        <v>0</v>
      </c>
      <c r="T98" s="2">
        <f>((IF((8='V06 Calend 01'!C98),('V06 Calend 01'!F98+'V06 Calend 01'!G98),0)+IF(AND(('V06 Calend 01'!E98&gt;0),(8&gt;'V06 Calend 01'!C98),(8&lt;'V06 Calend 01'!D98),(MOD((8-'V06 Calend 01'!C98),6)=0),(((8-'V06 Calend 01'!C98)/6)&lt;='V06 Calend 01'!E98)),IF((8=('V06 Calend 01'!C98+(6*'V06 Calend 01'!E98))),('V06 Calend 01'!H98-('V06 Calend 01'!I98*('V06 Calend 01'!E98-1))),'V06 Calend 01'!I98),0))+IF((8='V06 Calend 01'!D98),'V06 Calend 01'!J98,0))</f>
        <v>0</v>
      </c>
      <c r="U98" s="2">
        <f>((IF((9='V06 Calend 01'!C98),('V06 Calend 01'!F98+'V06 Calend 01'!G98),0)+IF(AND(('V06 Calend 01'!E98&gt;0),(9&gt;'V06 Calend 01'!C98),(9&lt;'V06 Calend 01'!D98),(MOD((9-'V06 Calend 01'!C98),6)=0),(((9-'V06 Calend 01'!C98)/6)&lt;='V06 Calend 01'!E98)),IF((9=('V06 Calend 01'!C98+(6*'V06 Calend 01'!E98))),('V06 Calend 01'!H98-('V06 Calend 01'!I98*('V06 Calend 01'!E98-1))),'V06 Calend 01'!I98),0))+IF((9='V06 Calend 01'!D98),'V06 Calend 01'!J98,0))</f>
        <v>0</v>
      </c>
      <c r="V98" s="2">
        <f>((IF((10='V06 Calend 01'!C98),('V06 Calend 01'!F98+'V06 Calend 01'!G98),0)+IF(AND(('V06 Calend 01'!E98&gt;0),(10&gt;'V06 Calend 01'!C98),(10&lt;'V06 Calend 01'!D98),(MOD((10-'V06 Calend 01'!C98),6)=0),(((10-'V06 Calend 01'!C98)/6)&lt;='V06 Calend 01'!E98)),IF((10=('V06 Calend 01'!C98+(6*'V06 Calend 01'!E98))),('V06 Calend 01'!H98-('V06 Calend 01'!I98*('V06 Calend 01'!E98-1))),'V06 Calend 01'!I98),0))+IF((10='V06 Calend 01'!D98),'V06 Calend 01'!J98,0))</f>
        <v>0</v>
      </c>
      <c r="W98" s="2">
        <f>((IF((11='V06 Calend 01'!C98),('V06 Calend 01'!F98+'V06 Calend 01'!G98),0)+IF(AND(('V06 Calend 01'!E98&gt;0),(11&gt;'V06 Calend 01'!C98),(11&lt;'V06 Calend 01'!D98),(MOD((11-'V06 Calend 01'!C98),6)=0),(((11-'V06 Calend 01'!C98)/6)&lt;='V06 Calend 01'!E98)),IF((11=('V06 Calend 01'!C98+(6*'V06 Calend 01'!E98))),('V06 Calend 01'!H98-('V06 Calend 01'!I98*('V06 Calend 01'!E98-1))),'V06 Calend 01'!I98),0))+IF((11='V06 Calend 01'!D98),'V06 Calend 01'!J98,0))</f>
        <v>0</v>
      </c>
      <c r="X98" s="2">
        <f>((IF((12='V06 Calend 01'!C98),('V06 Calend 01'!F98+'V06 Calend 01'!G98),0)+IF(AND(('V06 Calend 01'!E98&gt;0),(12&gt;'V06 Calend 01'!C98),(12&lt;'V06 Calend 01'!D98),(MOD((12-'V06 Calend 01'!C98),6)=0),(((12-'V06 Calend 01'!C98)/6)&lt;='V06 Calend 01'!E98)),IF((12=('V06 Calend 01'!C98+(6*'V06 Calend 01'!E98))),('V06 Calend 01'!H98-('V06 Calend 01'!I98*('V06 Calend 01'!E98-1))),'V06 Calend 01'!I98),0))+IF((12='V06 Calend 01'!D98),'V06 Calend 01'!J98,0))</f>
        <v>0</v>
      </c>
      <c r="Y98" s="2">
        <f>((IF((13='V06 Calend 01'!C98),('V06 Calend 01'!F98+'V06 Calend 01'!G98),0)+IF(AND(('V06 Calend 01'!E98&gt;0),(13&gt;'V06 Calend 01'!C98),(13&lt;'V06 Calend 01'!D98),(MOD((13-'V06 Calend 01'!C98),6)=0),(((13-'V06 Calend 01'!C98)/6)&lt;='V06 Calend 01'!E98)),IF((13=('V06 Calend 01'!C98+(6*'V06 Calend 01'!E98))),('V06 Calend 01'!H98-('V06 Calend 01'!I98*('V06 Calend 01'!E98-1))),'V06 Calend 01'!I98),0))+IF((13='V06 Calend 01'!D98),'V06 Calend 01'!J98,0))</f>
        <v>0</v>
      </c>
      <c r="Z98" s="2">
        <f>((IF((14='V06 Calend 01'!C98),('V06 Calend 01'!F98+'V06 Calend 01'!G98),0)+IF(AND(('V06 Calend 01'!E98&gt;0),(14&gt;'V06 Calend 01'!C98),(14&lt;'V06 Calend 01'!D98),(MOD((14-'V06 Calend 01'!C98),6)=0),(((14-'V06 Calend 01'!C98)/6)&lt;='V06 Calend 01'!E98)),IF((14=('V06 Calend 01'!C98+(6*'V06 Calend 01'!E98))),('V06 Calend 01'!H98-('V06 Calend 01'!I98*('V06 Calend 01'!E98-1))),'V06 Calend 01'!I98),0))+IF((14='V06 Calend 01'!D98),'V06 Calend 01'!J98,0))</f>
        <v>0</v>
      </c>
      <c r="AA98" s="2">
        <f>((IF((15='V06 Calend 01'!C98),('V06 Calend 01'!F98+'V06 Calend 01'!G98),0)+IF(AND(('V06 Calend 01'!E98&gt;0),(15&gt;'V06 Calend 01'!C98),(15&lt;'V06 Calend 01'!D98),(MOD((15-'V06 Calend 01'!C98),6)=0),(((15-'V06 Calend 01'!C98)/6)&lt;='V06 Calend 01'!E98)),IF((15=('V06 Calend 01'!C98+(6*'V06 Calend 01'!E98))),('V06 Calend 01'!H98-('V06 Calend 01'!I98*('V06 Calend 01'!E98-1))),'V06 Calend 01'!I98),0))+IF((15='V06 Calend 01'!D98),'V06 Calend 01'!J98,0))</f>
        <v>0</v>
      </c>
      <c r="AB98" s="2">
        <f>((IF((16='V06 Calend 01'!C98),('V06 Calend 01'!F98+'V06 Calend 01'!G98),0)+IF(AND(('V06 Calend 01'!E98&gt;0),(16&gt;'V06 Calend 01'!C98),(16&lt;'V06 Calend 01'!D98),(MOD((16-'V06 Calend 01'!C98),6)=0),(((16-'V06 Calend 01'!C98)/6)&lt;='V06 Calend 01'!E98)),IF((16=('V06 Calend 01'!C98+(6*'V06 Calend 01'!E98))),('V06 Calend 01'!H98-('V06 Calend 01'!I98*('V06 Calend 01'!E98-1))),'V06 Calend 01'!I98),0))+IF((16='V06 Calend 01'!D98),'V06 Calend 01'!J98,0))</f>
        <v>0</v>
      </c>
      <c r="AC98" s="2">
        <f>((IF((17='V06 Calend 01'!C98),('V06 Calend 01'!F98+'V06 Calend 01'!G98),0)+IF(AND(('V06 Calend 01'!E98&gt;0),(17&gt;'V06 Calend 01'!C98),(17&lt;'V06 Calend 01'!D98),(MOD((17-'V06 Calend 01'!C98),6)=0),(((17-'V06 Calend 01'!C98)/6)&lt;='V06 Calend 01'!E98)),IF((17=('V06 Calend 01'!C98+(6*'V06 Calend 01'!E98))),('V06 Calend 01'!H98-('V06 Calend 01'!I98*('V06 Calend 01'!E98-1))),'V06 Calend 01'!I98),0))+IF((17='V06 Calend 01'!D98),'V06 Calend 01'!J98,0))</f>
        <v>0</v>
      </c>
      <c r="AD98" s="2">
        <f>((IF((18='V06 Calend 01'!C98),('V06 Calend 01'!F98+'V06 Calend 01'!G98),0)+IF(AND(('V06 Calend 01'!E98&gt;0),(18&gt;'V06 Calend 01'!C98),(18&lt;'V06 Calend 01'!D98),(MOD((18-'V06 Calend 01'!C98),6)=0),(((18-'V06 Calend 01'!C98)/6)&lt;='V06 Calend 01'!E98)),IF((18=('V06 Calend 01'!C98+(6*'V06 Calend 01'!E98))),('V06 Calend 01'!H98-('V06 Calend 01'!I98*('V06 Calend 01'!E98-1))),'V06 Calend 01'!I98),0))+IF((18='V06 Calend 01'!D98),'V06 Calend 01'!J98,0))</f>
        <v>0</v>
      </c>
      <c r="AE98" s="2">
        <f>((IF((19='V06 Calend 01'!C98),('V06 Calend 01'!F98+'V06 Calend 01'!G98),0)+IF(AND(('V06 Calend 01'!E98&gt;0),(19&gt;'V06 Calend 01'!C98),(19&lt;'V06 Calend 01'!D98),(MOD((19-'V06 Calend 01'!C98),6)=0),(((19-'V06 Calend 01'!C98)/6)&lt;='V06 Calend 01'!E98)),IF((19=('V06 Calend 01'!C98+(6*'V06 Calend 01'!E98))),('V06 Calend 01'!H98-('V06 Calend 01'!I98*('V06 Calend 01'!E98-1))),'V06 Calend 01'!I98),0))+IF((19='V06 Calend 01'!D98),'V06 Calend 01'!J98,0))</f>
        <v>0</v>
      </c>
      <c r="AF98" s="2">
        <f>((IF((20='V06 Calend 01'!C98),('V06 Calend 01'!F98+'V06 Calend 01'!G98),0)+IF(AND(('V06 Calend 01'!E98&gt;0),(20&gt;'V06 Calend 01'!C98),(20&lt;'V06 Calend 01'!D98),(MOD((20-'V06 Calend 01'!C98),6)=0),(((20-'V06 Calend 01'!C98)/6)&lt;='V06 Calend 01'!E98)),IF((20=('V06 Calend 01'!C98+(6*'V06 Calend 01'!E98))),('V06 Calend 01'!H98-('V06 Calend 01'!I98*('V06 Calend 01'!E98-1))),'V06 Calend 01'!I98),0))+IF((20='V06 Calend 01'!D98),'V06 Calend 01'!J98,0))</f>
        <v>0</v>
      </c>
      <c r="AG98" s="2">
        <f>((IF((21='V06 Calend 01'!C98),('V06 Calend 01'!F98+'V06 Calend 01'!G98),0)+IF(AND(('V06 Calend 01'!E98&gt;0),(21&gt;'V06 Calend 01'!C98),(21&lt;'V06 Calend 01'!D98),(MOD((21-'V06 Calend 01'!C98),6)=0),(((21-'V06 Calend 01'!C98)/6)&lt;='V06 Calend 01'!E98)),IF((21=('V06 Calend 01'!C98+(6*'V06 Calend 01'!E98))),('V06 Calend 01'!H98-('V06 Calend 01'!I98*('V06 Calend 01'!E98-1))),'V06 Calend 01'!I98),0))+IF((21='V06 Calend 01'!D98),'V06 Calend 01'!J98,0))</f>
        <v>0</v>
      </c>
      <c r="AH98" s="2">
        <f>((IF((22='V06 Calend 01'!C98),('V06 Calend 01'!F98+'V06 Calend 01'!G98),0)+IF(AND(('V06 Calend 01'!E98&gt;0),(22&gt;'V06 Calend 01'!C98),(22&lt;'V06 Calend 01'!D98),(MOD((22-'V06 Calend 01'!C98),6)=0),(((22-'V06 Calend 01'!C98)/6)&lt;='V06 Calend 01'!E98)),IF((22=('V06 Calend 01'!C98+(6*'V06 Calend 01'!E98))),('V06 Calend 01'!H98-('V06 Calend 01'!I98*('V06 Calend 01'!E98-1))),'V06 Calend 01'!I98),0))+IF((22='V06 Calend 01'!D98),'V06 Calend 01'!J98,0))</f>
        <v>382525.0</v>
      </c>
      <c r="AI98" s="2">
        <f>((IF((23='V06 Calend 01'!C98),('V06 Calend 01'!F98+'V06 Calend 01'!G98),0)+IF(AND(('V06 Calend 01'!E98&gt;0),(23&gt;'V06 Calend 01'!C98),(23&lt;'V06 Calend 01'!D98),(MOD((23-'V06 Calend 01'!C98),6)=0),(((23-'V06 Calend 01'!C98)/6)&lt;='V06 Calend 01'!E98)),IF((23=('V06 Calend 01'!C98+(6*'V06 Calend 01'!E98))),('V06 Calend 01'!H98-('V06 Calend 01'!I98*('V06 Calend 01'!E98-1))),'V06 Calend 01'!I98),0))+IF((23='V06 Calend 01'!D98),'V06 Calend 01'!J98,0))</f>
        <v>0</v>
      </c>
      <c r="AJ98" s="2">
        <f>((IF((24='V06 Calend 01'!C98),('V06 Calend 01'!F98+'V06 Calend 01'!G98),0)+IF(AND(('V06 Calend 01'!E98&gt;0),(24&gt;'V06 Calend 01'!C98),(24&lt;'V06 Calend 01'!D98),(MOD((24-'V06 Calend 01'!C98),6)=0),(((24-'V06 Calend 01'!C98)/6)&lt;='V06 Calend 01'!E98)),IF((24=('V06 Calend 01'!C98+(6*'V06 Calend 01'!E98))),('V06 Calend 01'!H98-('V06 Calend 01'!I98*('V06 Calend 01'!E98-1))),'V06 Calend 01'!I98),0))+IF((24='V06 Calend 01'!D98),'V06 Calend 01'!J98,0))</f>
        <v>0</v>
      </c>
      <c r="AK98" s="2">
        <f>((IF((25='V06 Calend 01'!C98),('V06 Calend 01'!F98+'V06 Calend 01'!G98),0)+IF(AND(('V06 Calend 01'!E98&gt;0),(25&gt;'V06 Calend 01'!C98),(25&lt;'V06 Calend 01'!D98),(MOD((25-'V06 Calend 01'!C98),6)=0),(((25-'V06 Calend 01'!C98)/6)&lt;='V06 Calend 01'!E98)),IF((25=('V06 Calend 01'!C98+(6*'V06 Calend 01'!E98))),('V06 Calend 01'!H98-('V06 Calend 01'!I98*('V06 Calend 01'!E98-1))),'V06 Calend 01'!I98),0))+IF((25='V06 Calend 01'!D98),'V06 Calend 01'!J98,0))</f>
        <v>0</v>
      </c>
      <c r="AL98" s="2">
        <f>((IF((26='V06 Calend 01'!C98),('V06 Calend 01'!F98+'V06 Calend 01'!G98),0)+IF(AND(('V06 Calend 01'!E98&gt;0),(26&gt;'V06 Calend 01'!C98),(26&lt;'V06 Calend 01'!D98),(MOD((26-'V06 Calend 01'!C98),6)=0),(((26-'V06 Calend 01'!C98)/6)&lt;='V06 Calend 01'!E98)),IF((26=('V06 Calend 01'!C98+(6*'V06 Calend 01'!E98))),('V06 Calend 01'!H98-('V06 Calend 01'!I98*('V06 Calend 01'!E98-1))),'V06 Calend 01'!I98),0))+IF((26='V06 Calend 01'!D98),'V06 Calend 01'!J98,0))</f>
        <v>0</v>
      </c>
      <c r="AM98" s="2">
        <f>((IF((27='V06 Calend 01'!C98),('V06 Calend 01'!F98+'V06 Calend 01'!G98),0)+IF(AND(('V06 Calend 01'!E98&gt;0),(27&gt;'V06 Calend 01'!C98),(27&lt;'V06 Calend 01'!D98),(MOD((27-'V06 Calend 01'!C98),6)=0),(((27-'V06 Calend 01'!C98)/6)&lt;='V06 Calend 01'!E98)),IF((27=('V06 Calend 01'!C98+(6*'V06 Calend 01'!E98))),('V06 Calend 01'!H98-('V06 Calend 01'!I98*('V06 Calend 01'!E98-1))),'V06 Calend 01'!I98),0))+IF((27='V06 Calend 01'!D98),'V06 Calend 01'!J98,0))</f>
        <v>0</v>
      </c>
      <c r="AN98" s="2">
        <f>((IF((28='V06 Calend 01'!C98),('V06 Calend 01'!F98+'V06 Calend 01'!G98),0)+IF(AND(('V06 Calend 01'!E98&gt;0),(28&gt;'V06 Calend 01'!C98),(28&lt;'V06 Calend 01'!D98),(MOD((28-'V06 Calend 01'!C98),6)=0),(((28-'V06 Calend 01'!C98)/6)&lt;='V06 Calend 01'!E98)),IF((28=('V06 Calend 01'!C98+(6*'V06 Calend 01'!E98))),('V06 Calend 01'!H98-('V06 Calend 01'!I98*('V06 Calend 01'!E98-1))),'V06 Calend 01'!I98),0))+IF((28='V06 Calend 01'!D98),'V06 Calend 01'!J98,0))</f>
        <v>841555.0</v>
      </c>
      <c r="AO98" s="2">
        <f>((IF((29='V06 Calend 01'!C98),('V06 Calend 01'!F98+'V06 Calend 01'!G98),0)+IF(AND(('V06 Calend 01'!E98&gt;0),(29&gt;'V06 Calend 01'!C98),(29&lt;'V06 Calend 01'!D98),(MOD((29-'V06 Calend 01'!C98),6)=0),(((29-'V06 Calend 01'!C98)/6)&lt;='V06 Calend 01'!E98)),IF((29=('V06 Calend 01'!C98+(6*'V06 Calend 01'!E98))),('V06 Calend 01'!H98-('V06 Calend 01'!I98*('V06 Calend 01'!E98-1))),'V06 Calend 01'!I98),0))+IF((29='V06 Calend 01'!D98),'V06 Calend 01'!J98,0))</f>
        <v>0</v>
      </c>
      <c r="AP98" s="2">
        <f>((IF((30='V06 Calend 01'!C98),('V06 Calend 01'!F98+'V06 Calend 01'!G98),0)+IF(AND(('V06 Calend 01'!E98&gt;0),(30&gt;'V06 Calend 01'!C98),(30&lt;'V06 Calend 01'!D98),(MOD((30-'V06 Calend 01'!C98),6)=0),(((30-'V06 Calend 01'!C98)/6)&lt;='V06 Calend 01'!E98)),IF((30=('V06 Calend 01'!C98+(6*'V06 Calend 01'!E98))),('V06 Calend 01'!H98-('V06 Calend 01'!I98*('V06 Calend 01'!E98-1))),'V06 Calend 01'!I98),0))+IF((30='V06 Calend 01'!D98),'V06 Calend 01'!J98,0))</f>
        <v>306020.0</v>
      </c>
      <c r="AQ98" s="2">
        <f>((IF((31='V06 Calend 01'!C98),('V06 Calend 01'!F98+'V06 Calend 01'!G98),0)+IF(AND(('V06 Calend 01'!E98&gt;0),(31&gt;'V06 Calend 01'!C98),(31&lt;'V06 Calend 01'!D98),(MOD((31-'V06 Calend 01'!C98),6)=0),(((31-'V06 Calend 01'!C98)/6)&lt;='V06 Calend 01'!E98)),IF((31=('V06 Calend 01'!C98+(6*'V06 Calend 01'!E98))),('V06 Calend 01'!H98-('V06 Calend 01'!I98*('V06 Calend 01'!E98-1))),'V06 Calend 01'!I98),0))+IF((31='V06 Calend 01'!D98),'V06 Calend 01'!J98,0))</f>
        <v>0</v>
      </c>
      <c r="AR98" s="2">
        <f>((IF((32='V06 Calend 01'!C98),('V06 Calend 01'!F98+'V06 Calend 01'!G98),0)+IF(AND(('V06 Calend 01'!E98&gt;0),(32&gt;'V06 Calend 01'!C98),(32&lt;'V06 Calend 01'!D98),(MOD((32-'V06 Calend 01'!C98),6)=0),(((32-'V06 Calend 01'!C98)/6)&lt;='V06 Calend 01'!E98)),IF((32=('V06 Calend 01'!C98+(6*'V06 Calend 01'!E98))),('V06 Calend 01'!H98-('V06 Calend 01'!I98*('V06 Calend 01'!E98-1))),'V06 Calend 01'!I98),0))+IF((32='V06 Calend 01'!D98),'V06 Calend 01'!J98,0))</f>
        <v>0</v>
      </c>
      <c r="AS98" s="2">
        <f>((IF((33='V06 Calend 01'!C98),('V06 Calend 01'!F98+'V06 Calend 01'!G98),0)+IF(AND(('V06 Calend 01'!E98&gt;0),(33&gt;'V06 Calend 01'!C98),(33&lt;'V06 Calend 01'!D98),(MOD((33-'V06 Calend 01'!C98),6)=0),(((33-'V06 Calend 01'!C98)/6)&lt;='V06 Calend 01'!E98)),IF((33=('V06 Calend 01'!C98+(6*'V06 Calend 01'!E98))),('V06 Calend 01'!H98-('V06 Calend 01'!I98*('V06 Calend 01'!E98-1))),'V06 Calend 01'!I98),0))+IF((33='V06 Calend 01'!D98),'V06 Calend 01'!J98,0))</f>
        <v>0</v>
      </c>
      <c r="AT98" s="2">
        <f>((IF((34='V06 Calend 01'!C98),('V06 Calend 01'!F98+'V06 Calend 01'!G98),0)+IF(AND(('V06 Calend 01'!E98&gt;0),(34&gt;'V06 Calend 01'!C98),(34&lt;'V06 Calend 01'!D98),(MOD((34-'V06 Calend 01'!C98),6)=0),(((34-'V06 Calend 01'!C98)/6)&lt;='V06 Calend 01'!E98)),IF((34=('V06 Calend 01'!C98+(6*'V06 Calend 01'!E98))),('V06 Calend 01'!H98-('V06 Calend 01'!I98*('V06 Calend 01'!E98-1))),'V06 Calend 01'!I98),0))+IF((34='V06 Calend 01'!D98),'V06 Calend 01'!J98,0))</f>
        <v>0</v>
      </c>
      <c r="AU98" s="2">
        <f>((IF((35='V06 Calend 01'!C98),('V06 Calend 01'!F98+'V06 Calend 01'!G98),0)+IF(AND(('V06 Calend 01'!E98&gt;0),(35&gt;'V06 Calend 01'!C98),(35&lt;'V06 Calend 01'!D98),(MOD((35-'V06 Calend 01'!C98),6)=0),(((35-'V06 Calend 01'!C98)/6)&lt;='V06 Calend 01'!E98)),IF((35=('V06 Calend 01'!C98+(6*'V06 Calend 01'!E98))),('V06 Calend 01'!H98-('V06 Calend 01'!I98*('V06 Calend 01'!E98-1))),'V06 Calend 01'!I98),0))+IF((35='V06 Calend 01'!D98),'V06 Calend 01'!J98,0))</f>
        <v>0</v>
      </c>
      <c r="AV98" s="2">
        <f>((IF((36='V06 Calend 01'!C98),('V06 Calend 01'!F98+'V06 Calend 01'!G98),0)+IF(AND(('V06 Calend 01'!E98&gt;0),(36&gt;'V06 Calend 01'!C98),(36&lt;'V06 Calend 01'!D98),(MOD((36-'V06 Calend 01'!C98),6)=0),(((36-'V06 Calend 01'!C98)/6)&lt;='V06 Calend 01'!E98)),IF((36=('V06 Calend 01'!C98+(6*'V06 Calend 01'!E98))),('V06 Calend 01'!H98-('V06 Calend 01'!I98*('V06 Calend 01'!E98-1))),'V06 Calend 01'!I98),0))+IF((36='V06 Calend 01'!D98),'V06 Calend 01'!J98,0))</f>
        <v>0</v>
      </c>
      <c r="AW98" s="2">
        <f>((IF((37='V06 Calend 01'!C98),('V06 Calend 01'!F98+'V06 Calend 01'!G98),0)+IF(AND(('V06 Calend 01'!E98&gt;0),(37&gt;'V06 Calend 01'!C98),(37&lt;'V06 Calend 01'!D98),(MOD((37-'V06 Calend 01'!C98),6)=0),(((37-'V06 Calend 01'!C98)/6)&lt;='V06 Calend 01'!E98)),IF((37=('V06 Calend 01'!C98+(6*'V06 Calend 01'!E98))),('V06 Calend 01'!H98-('V06 Calend 01'!I98*('V06 Calend 01'!E98-1))),'V06 Calend 01'!I98),0))+IF((37='V06 Calend 01'!D98),'V06 Calend 01'!J98,0))</f>
        <v>0</v>
      </c>
      <c r="AX98" s="2">
        <f>((IF((38='V06 Calend 01'!C98),('V06 Calend 01'!F98+'V06 Calend 01'!G98),0)+IF(AND(('V06 Calend 01'!E98&gt;0),(38&gt;'V06 Calend 01'!C98),(38&lt;'V06 Calend 01'!D98),(MOD((38-'V06 Calend 01'!C98),6)=0),(((38-'V06 Calend 01'!C98)/6)&lt;='V06 Calend 01'!E98)),IF((38=('V06 Calend 01'!C98+(6*'V06 Calend 01'!E98))),('V06 Calend 01'!H98-('V06 Calend 01'!I98*('V06 Calend 01'!E98-1))),'V06 Calend 01'!I98),0))+IF((38='V06 Calend 01'!D98),'V06 Calend 01'!J98,0))</f>
        <v>0</v>
      </c>
      <c r="AY98" s="2">
        <f>((IF((39='V06 Calend 01'!C98),('V06 Calend 01'!F98+'V06 Calend 01'!G98),0)+IF(AND(('V06 Calend 01'!E98&gt;0),(39&gt;'V06 Calend 01'!C98),(39&lt;'V06 Calend 01'!D98),(MOD((39-'V06 Calend 01'!C98),6)=0),(((39-'V06 Calend 01'!C98)/6)&lt;='V06 Calend 01'!E98)),IF((39=('V06 Calend 01'!C98+(6*'V06 Calend 01'!E98))),('V06 Calend 01'!H98-('V06 Calend 01'!I98*('V06 Calend 01'!E98-1))),'V06 Calend 01'!I98),0))+IF((39='V06 Calend 01'!D98),'V06 Calend 01'!J98,0))</f>
        <v>0</v>
      </c>
      <c r="AZ98" s="2">
        <f>((IF((40='V06 Calend 01'!C98),('V06 Calend 01'!F98+'V06 Calend 01'!G98),0)+IF(AND(('V06 Calend 01'!E98&gt;0),(40&gt;'V06 Calend 01'!C98),(40&lt;'V06 Calend 01'!D98),(MOD((40-'V06 Calend 01'!C98),6)=0),(((40-'V06 Calend 01'!C98)/6)&lt;='V06 Calend 01'!E98)),IF((40=('V06 Calend 01'!C98+(6*'V06 Calend 01'!E98))),('V06 Calend 01'!H98-('V06 Calend 01'!I98*('V06 Calend 01'!E98-1))),'V06 Calend 01'!I98),0))+IF((40='V06 Calend 01'!D98),'V06 Calend 01'!J98,0))</f>
        <v>0</v>
      </c>
      <c r="BA98" s="2">
        <f>((IF((41='V06 Calend 01'!C98),('V06 Calend 01'!F98+'V06 Calend 01'!G98),0)+IF(AND(('V06 Calend 01'!E98&gt;0),(41&gt;'V06 Calend 01'!C98),(41&lt;'V06 Calend 01'!D98),(MOD((41-'V06 Calend 01'!C98),6)=0),(((41-'V06 Calend 01'!C98)/6)&lt;='V06 Calend 01'!E98)),IF((41=('V06 Calend 01'!C98+(6*'V06 Calend 01'!E98))),('V06 Calend 01'!H98-('V06 Calend 01'!I98*('V06 Calend 01'!E98-1))),'V06 Calend 01'!I98),0))+IF((41='V06 Calend 01'!D98),'V06 Calend 01'!J98,0))</f>
        <v>0</v>
      </c>
      <c r="BB98" s="2">
        <f>((IF((42='V06 Calend 01'!C98),('V06 Calend 01'!F98+'V06 Calend 01'!G98),0)+IF(AND(('V06 Calend 01'!E98&gt;0),(42&gt;'V06 Calend 01'!C98),(42&lt;'V06 Calend 01'!D98),(MOD((42-'V06 Calend 01'!C98),6)=0),(((42-'V06 Calend 01'!C98)/6)&lt;='V06 Calend 01'!E98)),IF((42=('V06 Calend 01'!C98+(6*'V06 Calend 01'!E98))),('V06 Calend 01'!H98-('V06 Calend 01'!I98*('V06 Calend 01'!E98-1))),'V06 Calend 01'!I98),0))+IF((42='V06 Calend 01'!D98),'V06 Calend 01'!J98,0))</f>
        <v>0</v>
      </c>
      <c r="BC98" s="2">
        <f>((IF((43='V06 Calend 01'!C98),('V06 Calend 01'!F98+'V06 Calend 01'!G98),0)+IF(AND(('V06 Calend 01'!E98&gt;0),(43&gt;'V06 Calend 01'!C98),(43&lt;'V06 Calend 01'!D98),(MOD((43-'V06 Calend 01'!C98),6)=0),(((43-'V06 Calend 01'!C98)/6)&lt;='V06 Calend 01'!E98)),IF((43=('V06 Calend 01'!C98+(6*'V06 Calend 01'!E98))),('V06 Calend 01'!H98-('V06 Calend 01'!I98*('V06 Calend 01'!E98-1))),'V06 Calend 01'!I98),0))+IF((43='V06 Calend 01'!D98),'V06 Calend 01'!J98,0))</f>
        <v>0</v>
      </c>
      <c r="BD98" s="2">
        <f>((IF((44='V06 Calend 01'!C98),('V06 Calend 01'!F98+'V06 Calend 01'!G98),0)+IF(AND(('V06 Calend 01'!E98&gt;0),(44&gt;'V06 Calend 01'!C98),(44&lt;'V06 Calend 01'!D98),(MOD((44-'V06 Calend 01'!C98),6)=0),(((44-'V06 Calend 01'!C98)/6)&lt;='V06 Calend 01'!E98)),IF((44=('V06 Calend 01'!C98+(6*'V06 Calend 01'!E98))),('V06 Calend 01'!H98-('V06 Calend 01'!I98*('V06 Calend 01'!E98-1))),'V06 Calend 01'!I98),0))+IF((44='V06 Calend 01'!D98),'V06 Calend 01'!J98,0))</f>
        <v>0</v>
      </c>
      <c r="BE98" s="2">
        <f>((IF((45='V06 Calend 01'!C98),('V06 Calend 01'!F98+'V06 Calend 01'!G98),0)+IF(AND(('V06 Calend 01'!E98&gt;0),(45&gt;'V06 Calend 01'!C98),(45&lt;'V06 Calend 01'!D98),(MOD((45-'V06 Calend 01'!C98),6)=0),(((45-'V06 Calend 01'!C98)/6)&lt;='V06 Calend 01'!E98)),IF((45=('V06 Calend 01'!C98+(6*'V06 Calend 01'!E98))),('V06 Calend 01'!H98-('V06 Calend 01'!I98*('V06 Calend 01'!E98-1))),'V06 Calend 01'!I98),0))+IF((45='V06 Calend 01'!D98),'V06 Calend 01'!J98,0))</f>
        <v>0</v>
      </c>
      <c r="BF98" s="2">
        <f>((IF((46='V06 Calend 01'!C98),('V06 Calend 01'!F98+'V06 Calend 01'!G98),0)+IF(AND(('V06 Calend 01'!E98&gt;0),(46&gt;'V06 Calend 01'!C98),(46&lt;'V06 Calend 01'!D98),(MOD((46-'V06 Calend 01'!C98),6)=0),(((46-'V06 Calend 01'!C98)/6)&lt;='V06 Calend 01'!E98)),IF((46=('V06 Calend 01'!C98+(6*'V06 Calend 01'!E98))),('V06 Calend 01'!H98-('V06 Calend 01'!I98*('V06 Calend 01'!E98-1))),'V06 Calend 01'!I98),0))+IF((46='V06 Calend 01'!D98),'V06 Calend 01'!J98,0))</f>
        <v>0</v>
      </c>
      <c r="BG98" s="2">
        <f>((IF((47='V06 Calend 01'!C98),('V06 Calend 01'!F98+'V06 Calend 01'!G98),0)+IF(AND(('V06 Calend 01'!E98&gt;0),(47&gt;'V06 Calend 01'!C98),(47&lt;'V06 Calend 01'!D98),(MOD((47-'V06 Calend 01'!C98),6)=0),(((47-'V06 Calend 01'!C98)/6)&lt;='V06 Calend 01'!E98)),IF((47=('V06 Calend 01'!C98+(6*'V06 Calend 01'!E98))),('V06 Calend 01'!H98-('V06 Calend 01'!I98*('V06 Calend 01'!E98-1))),'V06 Calend 01'!I98),0))+IF((47='V06 Calend 01'!D98),'V06 Calend 01'!J98,0))</f>
        <v>0</v>
      </c>
      <c r="BH98" s="2">
        <f>((IF((48='V06 Calend 01'!C98),('V06 Calend 01'!F98+'V06 Calend 01'!G98),0)+IF(AND(('V06 Calend 01'!E98&gt;0),(48&gt;'V06 Calend 01'!C98),(48&lt;'V06 Calend 01'!D98),(MOD((48-'V06 Calend 01'!C98),6)=0),(((48-'V06 Calend 01'!C98)/6)&lt;='V06 Calend 01'!E98)),IF((48=('V06 Calend 01'!C98+(6*'V06 Calend 01'!E98))),('V06 Calend 01'!H98-('V06 Calend 01'!I98*('V06 Calend 01'!E98-1))),'V06 Calend 01'!I98),0))+IF((48='V06 Calend 01'!D98),'V06 Calend 01'!J98,0))</f>
        <v>0</v>
      </c>
      <c r="BI98" s="2">
        <f>((IF((49='V06 Calend 01'!C98),('V06 Calend 01'!F98+'V06 Calend 01'!G98),0)+IF(AND(('V06 Calend 01'!E98&gt;0),(49&gt;'V06 Calend 01'!C98),(49&lt;'V06 Calend 01'!D98),(MOD((49-'V06 Calend 01'!C98),6)=0),(((49-'V06 Calend 01'!C98)/6)&lt;='V06 Calend 01'!E98)),IF((49=('V06 Calend 01'!C98+(6*'V06 Calend 01'!E98))),('V06 Calend 01'!H98-('V06 Calend 01'!I98*('V06 Calend 01'!E98-1))),'V06 Calend 01'!I98),0))+IF((49='V06 Calend 01'!D98),'V06 Calend 01'!J98,0))</f>
        <v>0</v>
      </c>
      <c r="BJ98" s="2">
        <f>((IF((50='V06 Calend 01'!C98),('V06 Calend 01'!F98+'V06 Calend 01'!G98),0)+IF(AND(('V06 Calend 01'!E98&gt;0),(50&gt;'V06 Calend 01'!C98),(50&lt;'V06 Calend 01'!D98),(MOD((50-'V06 Calend 01'!C98),6)=0),(((50-'V06 Calend 01'!C98)/6)&lt;='V06 Calend 01'!E98)),IF((50=('V06 Calend 01'!C98+(6*'V06 Calend 01'!E98))),('V06 Calend 01'!H98-('V06 Calend 01'!I98*('V06 Calend 01'!E98-1))),'V06 Calend 01'!I98),0))+IF((50='V06 Calend 01'!D98),'V06 Calend 01'!J98,0))</f>
        <v>0</v>
      </c>
      <c r="BK98" s="2">
        <f>((IF((51='V06 Calend 01'!C98),('V06 Calend 01'!F98+'V06 Calend 01'!G98),0)+IF(AND(('V06 Calend 01'!E98&gt;0),(51&gt;'V06 Calend 01'!C98),(51&lt;'V06 Calend 01'!D98),(MOD((51-'V06 Calend 01'!C98),6)=0),(((51-'V06 Calend 01'!C98)/6)&lt;='V06 Calend 01'!E98)),IF((51=('V06 Calend 01'!C98+(6*'V06 Calend 01'!E98))),('V06 Calend 01'!H98-('V06 Calend 01'!I98*('V06 Calend 01'!E98-1))),'V06 Calend 01'!I98),0))+IF((51='V06 Calend 01'!D98),'V06 Calend 01'!J98,0))</f>
        <v>0</v>
      </c>
      <c r="BL98" s="2">
        <f>((IF((52='V06 Calend 01'!C98),('V06 Calend 01'!F98+'V06 Calend 01'!G98),0)+IF(AND(('V06 Calend 01'!E98&gt;0),(52&gt;'V06 Calend 01'!C98),(52&lt;'V06 Calend 01'!D98),(MOD((52-'V06 Calend 01'!C98),6)=0),(((52-'V06 Calend 01'!C98)/6)&lt;='V06 Calend 01'!E98)),IF((52=('V06 Calend 01'!C98+(6*'V06 Calend 01'!E98))),('V06 Calend 01'!H98-('V06 Calend 01'!I98*('V06 Calend 01'!E98-1))),'V06 Calend 01'!I98),0))+IF((52='V06 Calend 01'!D98),'V06 Calend 01'!J98,0))</f>
        <v>0</v>
      </c>
      <c r="BM98" s="2">
        <f>((IF((53='V06 Calend 01'!C98),('V06 Calend 01'!F98+'V06 Calend 01'!G98),0)+IF(AND(('V06 Calend 01'!E98&gt;0),(53&gt;'V06 Calend 01'!C98),(53&lt;'V06 Calend 01'!D98),(MOD((53-'V06 Calend 01'!C98),6)=0),(((53-'V06 Calend 01'!C98)/6)&lt;='V06 Calend 01'!E98)),IF((53=('V06 Calend 01'!C98+(6*'V06 Calend 01'!E98))),('V06 Calend 01'!H98-('V06 Calend 01'!I98*('V06 Calend 01'!E98-1))),'V06 Calend 01'!I98),0))+IF((53='V06 Calend 01'!D98),'V06 Calend 01'!J98,0))</f>
        <v>0</v>
      </c>
      <c r="BN98" s="2">
        <f>((IF((54='V06 Calend 01'!C98),('V06 Calend 01'!F98+'V06 Calend 01'!G98),0)+IF(AND(('V06 Calend 01'!E98&gt;0),(54&gt;'V06 Calend 01'!C98),(54&lt;'V06 Calend 01'!D98),(MOD((54-'V06 Calend 01'!C98),6)=0),(((54-'V06 Calend 01'!C98)/6)&lt;='V06 Calend 01'!E98)),IF((54=('V06 Calend 01'!C98+(6*'V06 Calend 01'!E98))),('V06 Calend 01'!H98-('V06 Calend 01'!I98*('V06 Calend 01'!E98-1))),'V06 Calend 01'!I98),0))+IF((54='V06 Calend 01'!D98),'V06 Calend 01'!J98,0))</f>
        <v>0</v>
      </c>
      <c r="BO98" s="2">
        <f>((IF((55='V06 Calend 01'!C98),('V06 Calend 01'!F98+'V06 Calend 01'!G98),0)+IF(AND(('V06 Calend 01'!E98&gt;0),(55&gt;'V06 Calend 01'!C98),(55&lt;'V06 Calend 01'!D98),(MOD((55-'V06 Calend 01'!C98),6)=0),(((55-'V06 Calend 01'!C98)/6)&lt;='V06 Calend 01'!E98)),IF((55=('V06 Calend 01'!C98+(6*'V06 Calend 01'!E98))),('V06 Calend 01'!H98-('V06 Calend 01'!I98*('V06 Calend 01'!E98-1))),'V06 Calend 01'!I98),0))+IF((55='V06 Calend 01'!D98),'V06 Calend 01'!J98,0))</f>
        <v>0</v>
      </c>
      <c r="BP98" s="2">
        <f>((IF((56='V06 Calend 01'!C98),('V06 Calend 01'!F98+'V06 Calend 01'!G98),0)+IF(AND(('V06 Calend 01'!E98&gt;0),(56&gt;'V06 Calend 01'!C98),(56&lt;'V06 Calend 01'!D98),(MOD((56-'V06 Calend 01'!C98),6)=0),(((56-'V06 Calend 01'!C98)/6)&lt;='V06 Calend 01'!E98)),IF((56=('V06 Calend 01'!C98+(6*'V06 Calend 01'!E98))),('V06 Calend 01'!H98-('V06 Calend 01'!I98*('V06 Calend 01'!E98-1))),'V06 Calend 01'!I98),0))+IF((56='V06 Calend 01'!D98),'V06 Calend 01'!J98,0))</f>
        <v>0</v>
      </c>
      <c r="BQ98" s="2">
        <f>((IF((57='V06 Calend 01'!C98),('V06 Calend 01'!F98+'V06 Calend 01'!G98),0)+IF(AND(('V06 Calend 01'!E98&gt;0),(57&gt;'V06 Calend 01'!C98),(57&lt;'V06 Calend 01'!D98),(MOD((57-'V06 Calend 01'!C98),6)=0),(((57-'V06 Calend 01'!C98)/6)&lt;='V06 Calend 01'!E98)),IF((57=('V06 Calend 01'!C98+(6*'V06 Calend 01'!E98))),('V06 Calend 01'!H98-('V06 Calend 01'!I98*('V06 Calend 01'!E98-1))),'V06 Calend 01'!I98),0))+IF((57='V06 Calend 01'!D98),'V06 Calend 01'!J98,0))</f>
        <v>0</v>
      </c>
      <c r="BR98" s="2">
        <f>((IF((58='V06 Calend 01'!C98),('V06 Calend 01'!F98+'V06 Calend 01'!G98),0)+IF(AND(('V06 Calend 01'!E98&gt;0),(58&gt;'V06 Calend 01'!C98),(58&lt;'V06 Calend 01'!D98),(MOD((58-'V06 Calend 01'!C98),6)=0),(((58-'V06 Calend 01'!C98)/6)&lt;='V06 Calend 01'!E98)),IF((58=('V06 Calend 01'!C98+(6*'V06 Calend 01'!E98))),('V06 Calend 01'!H98-('V06 Calend 01'!I98*('V06 Calend 01'!E98-1))),'V06 Calend 01'!I98),0))+IF((58='V06 Calend 01'!D98),'V06 Calend 01'!J98,0))</f>
        <v>0</v>
      </c>
      <c r="BS98" s="2">
        <f>((IF((59='V06 Calend 01'!C98),('V06 Calend 01'!F98+'V06 Calend 01'!G98),0)+IF(AND(('V06 Calend 01'!E98&gt;0),(59&gt;'V06 Calend 01'!C98),(59&lt;'V06 Calend 01'!D98),(MOD((59-'V06 Calend 01'!C98),6)=0),(((59-'V06 Calend 01'!C98)/6)&lt;='V06 Calend 01'!E98)),IF((59=('V06 Calend 01'!C98+(6*'V06 Calend 01'!E98))),('V06 Calend 01'!H98-('V06 Calend 01'!I98*('V06 Calend 01'!E98-1))),'V06 Calend 01'!I98),0))+IF((59='V06 Calend 01'!D98),'V06 Calend 01'!J98,0))</f>
        <v>0</v>
      </c>
      <c r="BT98" s="2">
        <f>((IF((60='V06 Calend 01'!C98),('V06 Calend 01'!F98+'V06 Calend 01'!G98),0)+IF(AND(('V06 Calend 01'!E98&gt;0),(60&gt;'V06 Calend 01'!C98),(60&lt;'V06 Calend 01'!D98),(MOD((60-'V06 Calend 01'!C98),6)=0),(((60-'V06 Calend 01'!C98)/6)&lt;='V06 Calend 01'!E98)),IF((60=('V06 Calend 01'!C98+(6*'V06 Calend 01'!E98))),('V06 Calend 01'!H98-('V06 Calend 01'!I98*('V06 Calend 01'!E98-1))),'V06 Calend 01'!I98),0))+IF((60='V06 Calend 01'!D98),'V06 Calend 01'!J98,0))</f>
        <v>0</v>
      </c>
      <c r="BU98" s="2">
        <f>((IF((61='V06 Calend 01'!C98),('V06 Calend 01'!F98+'V06 Calend 01'!G98),0)+IF(AND(('V06 Calend 01'!E98&gt;0),(61&gt;'V06 Calend 01'!C98),(61&lt;'V06 Calend 01'!D98),(MOD((61-'V06 Calend 01'!C98),6)=0),(((61-'V06 Calend 01'!C98)/6)&lt;='V06 Calend 01'!E98)),IF((61=('V06 Calend 01'!C98+(6*'V06 Calend 01'!E98))),('V06 Calend 01'!H98-('V06 Calend 01'!I98*('V06 Calend 01'!E98-1))),'V06 Calend 01'!I98),0))+IF((61='V06 Calend 01'!D98),'V06 Calend 01'!J98,0))</f>
        <v>0</v>
      </c>
      <c r="BV98" s="2">
        <f>((IF((62='V06 Calend 01'!C98),('V06 Calend 01'!F98+'V06 Calend 01'!G98),0)+IF(AND(('V06 Calend 01'!E98&gt;0),(62&gt;'V06 Calend 01'!C98),(62&lt;'V06 Calend 01'!D98),(MOD((62-'V06 Calend 01'!C98),6)=0),(((62-'V06 Calend 01'!C98)/6)&lt;='V06 Calend 01'!E98)),IF((62=('V06 Calend 01'!C98+(6*'V06 Calend 01'!E98))),('V06 Calend 01'!H98-('V06 Calend 01'!I98*('V06 Calend 01'!E98-1))),'V06 Calend 01'!I98),0))+IF((62='V06 Calend 01'!D98),'V06 Calend 01'!J98,0))</f>
        <v>0</v>
      </c>
      <c r="BW98" s="2">
        <f>((IF((63='V06 Calend 01'!C98),('V06 Calend 01'!F98+'V06 Calend 01'!G98),0)+IF(AND(('V06 Calend 01'!E98&gt;0),(63&gt;'V06 Calend 01'!C98),(63&lt;'V06 Calend 01'!D98),(MOD((63-'V06 Calend 01'!C98),6)=0),(((63-'V06 Calend 01'!C98)/6)&lt;='V06 Calend 01'!E98)),IF((63=('V06 Calend 01'!C98+(6*'V06 Calend 01'!E98))),('V06 Calend 01'!H98-('V06 Calend 01'!I98*('V06 Calend 01'!E98-1))),'V06 Calend 01'!I98),0))+IF((63='V06 Calend 01'!D98),'V06 Calend 01'!J98,0))</f>
        <v>0</v>
      </c>
      <c r="BX98" s="2">
        <f>((IF((64='V06 Calend 01'!C98),('V06 Calend 01'!F98+'V06 Calend 01'!G98),0)+IF(AND(('V06 Calend 01'!E98&gt;0),(64&gt;'V06 Calend 01'!C98),(64&lt;'V06 Calend 01'!D98),(MOD((64-'V06 Calend 01'!C98),6)=0),(((64-'V06 Calend 01'!C98)/6)&lt;='V06 Calend 01'!E98)),IF((64=('V06 Calend 01'!C98+(6*'V06 Calend 01'!E98))),('V06 Calend 01'!H98-('V06 Calend 01'!I98*('V06 Calend 01'!E98-1))),'V06 Calend 01'!I98),0))+IF((64='V06 Calend 01'!D98),'V06 Calend 01'!J98,0))</f>
        <v>0</v>
      </c>
      <c r="BY98" s="2">
        <f>((IF((65='V06 Calend 01'!C98),('V06 Calend 01'!F98+'V06 Calend 01'!G98),0)+IF(AND(('V06 Calend 01'!E98&gt;0),(65&gt;'V06 Calend 01'!C98),(65&lt;'V06 Calend 01'!D98),(MOD((65-'V06 Calend 01'!C98),6)=0),(((65-'V06 Calend 01'!C98)/6)&lt;='V06 Calend 01'!E98)),IF((65=('V06 Calend 01'!C98+(6*'V06 Calend 01'!E98))),('V06 Calend 01'!H98-('V06 Calend 01'!I98*('V06 Calend 01'!E98-1))),'V06 Calend 01'!I98),0))+IF((65='V06 Calend 01'!D98),'V06 Calend 01'!J98,0))</f>
        <v>0</v>
      </c>
      <c r="BZ98" s="2">
        <f>((IF((66='V06 Calend 01'!C98),('V06 Calend 01'!F98+'V06 Calend 01'!G98),0)+IF(AND(('V06 Calend 01'!E98&gt;0),(66&gt;'V06 Calend 01'!C98),(66&lt;'V06 Calend 01'!D98),(MOD((66-'V06 Calend 01'!C98),6)=0),(((66-'V06 Calend 01'!C98)/6)&lt;='V06 Calend 01'!E98)),IF((66=('V06 Calend 01'!C98+(6*'V06 Calend 01'!E98))),('V06 Calend 01'!H98-('V06 Calend 01'!I98*('V06 Calend 01'!E98-1))),'V06 Calend 01'!I98),0))+IF((66='V06 Calend 01'!D98),'V06 Calend 01'!J98,0))</f>
        <v>0</v>
      </c>
      <c r="CA98" s="2">
        <f>((IF((67='V06 Calend 01'!C98),('V06 Calend 01'!F98+'V06 Calend 01'!G98),0)+IF(AND(('V06 Calend 01'!E98&gt;0),(67&gt;'V06 Calend 01'!C98),(67&lt;'V06 Calend 01'!D98),(MOD((67-'V06 Calend 01'!C98),6)=0),(((67-'V06 Calend 01'!C98)/6)&lt;='V06 Calend 01'!E98)),IF((67=('V06 Calend 01'!C98+(6*'V06 Calend 01'!E98))),('V06 Calend 01'!H98-('V06 Calend 01'!I98*('V06 Calend 01'!E98-1))),'V06 Calend 01'!I98),0))+IF((67='V06 Calend 01'!D98),'V06 Calend 01'!J98,0))</f>
        <v>0</v>
      </c>
      <c r="CB98" s="2">
        <f>((IF((68='V06 Calend 01'!C98),('V06 Calend 01'!F98+'V06 Calend 01'!G98),0)+IF(AND(('V06 Calend 01'!E98&gt;0),(68&gt;'V06 Calend 01'!C98),(68&lt;'V06 Calend 01'!D98),(MOD((68-'V06 Calend 01'!C98),6)=0),(((68-'V06 Calend 01'!C98)/6)&lt;='V06 Calend 01'!E98)),IF((68=('V06 Calend 01'!C98+(6*'V06 Calend 01'!E98))),('V06 Calend 01'!H98-('V06 Calend 01'!I98*('V06 Calend 01'!E98-1))),'V06 Calend 01'!I98),0))+IF((68='V06 Calend 01'!D98),'V06 Calend 01'!J98,0))</f>
        <v>0</v>
      </c>
      <c r="CC98" s="2">
        <f>((IF((69='V06 Calend 01'!C98),('V06 Calend 01'!F98+'V06 Calend 01'!G98),0)+IF(AND(('V06 Calend 01'!E98&gt;0),(69&gt;'V06 Calend 01'!C98),(69&lt;'V06 Calend 01'!D98),(MOD((69-'V06 Calend 01'!C98),6)=0),(((69-'V06 Calend 01'!C98)/6)&lt;='V06 Calend 01'!E98)),IF((69=('V06 Calend 01'!C98+(6*'V06 Calend 01'!E98))),('V06 Calend 01'!H98-('V06 Calend 01'!I98*('V06 Calend 01'!E98-1))),'V06 Calend 01'!I98),0))+IF((69='V06 Calend 01'!D98),'V06 Calend 01'!J98,0))</f>
        <v>0</v>
      </c>
      <c r="CD98" s="2">
        <f>((IF((70='V06 Calend 01'!C98),('V06 Calend 01'!F98+'V06 Calend 01'!G98),0)+IF(AND(('V06 Calend 01'!E98&gt;0),(70&gt;'V06 Calend 01'!C98),(70&lt;'V06 Calend 01'!D98),(MOD((70-'V06 Calend 01'!C98),6)=0),(((70-'V06 Calend 01'!C98)/6)&lt;='V06 Calend 01'!E98)),IF((70=('V06 Calend 01'!C98+(6*'V06 Calend 01'!E98))),('V06 Calend 01'!H98-('V06 Calend 01'!I98*('V06 Calend 01'!E98-1))),'V06 Calend 01'!I98),0))+IF((70='V06 Calend 01'!D98),'V06 Calend 01'!J98,0))</f>
        <v>0</v>
      </c>
      <c r="CE98" s="2">
        <f>((IF((71='V06 Calend 01'!C98),('V06 Calend 01'!F98+'V06 Calend 01'!G98),0)+IF(AND(('V06 Calend 01'!E98&gt;0),(71&gt;'V06 Calend 01'!C98),(71&lt;'V06 Calend 01'!D98),(MOD((71-'V06 Calend 01'!C98),6)=0),(((71-'V06 Calend 01'!C98)/6)&lt;='V06 Calend 01'!E98)),IF((71=('V06 Calend 01'!C98+(6*'V06 Calend 01'!E98))),('V06 Calend 01'!H98-('V06 Calend 01'!I98*('V06 Calend 01'!E98-1))),'V06 Calend 01'!I98),0))+IF((71='V06 Calend 01'!D98),'V06 Calend 01'!J98,0))</f>
        <v>0</v>
      </c>
      <c r="CF98" s="2">
        <f>((IF((72='V06 Calend 01'!C98),('V06 Calend 01'!F98+'V06 Calend 01'!G98),0)+IF(AND(('V06 Calend 01'!E98&gt;0),(72&gt;'V06 Calend 01'!C98),(72&lt;'V06 Calend 01'!D98),(MOD((72-'V06 Calend 01'!C98),6)=0),(((72-'V06 Calend 01'!C98)/6)&lt;='V06 Calend 01'!E98)),IF((72=('V06 Calend 01'!C98+(6*'V06 Calend 01'!E98))),('V06 Calend 01'!H98-('V06 Calend 01'!I98*('V06 Calend 01'!E98-1))),'V06 Calend 01'!I98),0))+IF((72='V06 Calend 01'!D98),'V06 Calend 01'!J98,0))</f>
        <v>0</v>
      </c>
      <c r="CG98" s="2">
        <f>((IF((73='V06 Calend 01'!C98),('V06 Calend 01'!F98+'V06 Calend 01'!G98),0)+IF(AND(('V06 Calend 01'!E98&gt;0),(73&gt;'V06 Calend 01'!C98),(73&lt;'V06 Calend 01'!D98),(MOD((73-'V06 Calend 01'!C98),6)=0),(((73-'V06 Calend 01'!C98)/6)&lt;='V06 Calend 01'!E98)),IF((73=('V06 Calend 01'!C98+(6*'V06 Calend 01'!E98))),('V06 Calend 01'!H98-('V06 Calend 01'!I98*('V06 Calend 01'!E98-1))),'V06 Calend 01'!I98),0))+IF((73='V06 Calend 01'!D98),'V06 Calend 01'!J98,0))</f>
        <v>0</v>
      </c>
      <c r="CH98" s="2">
        <f>((IF((74='V06 Calend 01'!C98),('V06 Calend 01'!F98+'V06 Calend 01'!G98),0)+IF(AND(('V06 Calend 01'!E98&gt;0),(74&gt;'V06 Calend 01'!C98),(74&lt;'V06 Calend 01'!D98),(MOD((74-'V06 Calend 01'!C98),6)=0),(((74-'V06 Calend 01'!C98)/6)&lt;='V06 Calend 01'!E98)),IF((74=('V06 Calend 01'!C98+(6*'V06 Calend 01'!E98))),('V06 Calend 01'!H98-('V06 Calend 01'!I98*('V06 Calend 01'!E98-1))),'V06 Calend 01'!I98),0))+IF((74='V06 Calend 01'!D98),'V06 Calend 01'!J98,0))</f>
        <v>0</v>
      </c>
      <c r="CI98" s="2">
        <f>((IF((75='V06 Calend 01'!C98),('V06 Calend 01'!F98+'V06 Calend 01'!G98),0)+IF(AND(('V06 Calend 01'!E98&gt;0),(75&gt;'V06 Calend 01'!C98),(75&lt;'V06 Calend 01'!D98),(MOD((75-'V06 Calend 01'!C98),6)=0),(((75-'V06 Calend 01'!C98)/6)&lt;='V06 Calend 01'!E98)),IF((75=('V06 Calend 01'!C98+(6*'V06 Calend 01'!E98))),('V06 Calend 01'!H98-('V06 Calend 01'!I98*('V06 Calend 01'!E98-1))),'V06 Calend 01'!I98),0))+IF((75='V06 Calend 01'!D98),'V06 Calend 01'!J98,0))</f>
        <v>0</v>
      </c>
      <c r="CJ98" s="2">
        <f>((IF((76='V06 Calend 01'!C98),('V06 Calend 01'!F98+'V06 Calend 01'!G98),0)+IF(AND(('V06 Calend 01'!E98&gt;0),(76&gt;'V06 Calend 01'!C98),(76&lt;'V06 Calend 01'!D98),(MOD((76-'V06 Calend 01'!C98),6)=0),(((76-'V06 Calend 01'!C98)/6)&lt;='V06 Calend 01'!E98)),IF((76=('V06 Calend 01'!C98+(6*'V06 Calend 01'!E98))),('V06 Calend 01'!H98-('V06 Calend 01'!I98*('V06 Calend 01'!E98-1))),'V06 Calend 01'!I98),0))+IF((76='V06 Calend 01'!D98),'V06 Calend 01'!J98,0))</f>
        <v>0</v>
      </c>
      <c r="CK98" s="2">
        <f>((IF((77='V06 Calend 01'!C98),('V06 Calend 01'!F98+'V06 Calend 01'!G98),0)+IF(AND(('V06 Calend 01'!E98&gt;0),(77&gt;'V06 Calend 01'!C98),(77&lt;'V06 Calend 01'!D98),(MOD((77-'V06 Calend 01'!C98),6)=0),(((77-'V06 Calend 01'!C98)/6)&lt;='V06 Calend 01'!E98)),IF((77=('V06 Calend 01'!C98+(6*'V06 Calend 01'!E98))),('V06 Calend 01'!H98-('V06 Calend 01'!I98*('V06 Calend 01'!E98-1))),'V06 Calend 01'!I98),0))+IF((77='V06 Calend 01'!D98),'V06 Calend 01'!J98,0))</f>
        <v>0</v>
      </c>
      <c r="CL98" s="2">
        <f>((IF((78='V06 Calend 01'!C98),('V06 Calend 01'!F98+'V06 Calend 01'!G98),0)+IF(AND(('V06 Calend 01'!E98&gt;0),(78&gt;'V06 Calend 01'!C98),(78&lt;'V06 Calend 01'!D98),(MOD((78-'V06 Calend 01'!C98),6)=0),(((78-'V06 Calend 01'!C98)/6)&lt;='V06 Calend 01'!E98)),IF((78=('V06 Calend 01'!C98+(6*'V06 Calend 01'!E98))),('V06 Calend 01'!H98-('V06 Calend 01'!I98*('V06 Calend 01'!E98-1))),'V06 Calend 01'!I98),0))+IF((78='V06 Calend 01'!D98),'V06 Calend 01'!J98,0))</f>
        <v>0</v>
      </c>
      <c r="CM98" s="2">
        <f>((IF((79='V06 Calend 01'!C98),('V06 Calend 01'!F98+'V06 Calend 01'!G98),0)+IF(AND(('V06 Calend 01'!E98&gt;0),(79&gt;'V06 Calend 01'!C98),(79&lt;'V06 Calend 01'!D98),(MOD((79-'V06 Calend 01'!C98),6)=0),(((79-'V06 Calend 01'!C98)/6)&lt;='V06 Calend 01'!E98)),IF((79=('V06 Calend 01'!C98+(6*'V06 Calend 01'!E98))),('V06 Calend 01'!H98-('V06 Calend 01'!I98*('V06 Calend 01'!E98-1))),'V06 Calend 01'!I98),0))+IF((79='V06 Calend 01'!D98),'V06 Calend 01'!J98,0))</f>
        <v>0</v>
      </c>
      <c r="CN98" s="2">
        <f>((IF((80='V06 Calend 01'!C98),('V06 Calend 01'!F98+'V06 Calend 01'!G98),0)+IF(AND(('V06 Calend 01'!E98&gt;0),(80&gt;'V06 Calend 01'!C98),(80&lt;'V06 Calend 01'!D98),(MOD((80-'V06 Calend 01'!C98),6)=0),(((80-'V06 Calend 01'!C98)/6)&lt;='V06 Calend 01'!E98)),IF((80=('V06 Calend 01'!C98+(6*'V06 Calend 01'!E98))),('V06 Calend 01'!H98-('V06 Calend 01'!I98*('V06 Calend 01'!E98-1))),'V06 Calend 01'!I98),0))+IF((80='V06 Calend 01'!D98),'V06 Calend 01'!J98,0))</f>
        <v>0</v>
      </c>
      <c r="CO98" s="2">
        <f>((IF((81='V06 Calend 01'!C98),('V06 Calend 01'!F98+'V06 Calend 01'!G98),0)+IF(AND(('V06 Calend 01'!E98&gt;0),(81&gt;'V06 Calend 01'!C98),(81&lt;'V06 Calend 01'!D98),(MOD((81-'V06 Calend 01'!C98),6)=0),(((81-'V06 Calend 01'!C98)/6)&lt;='V06 Calend 01'!E98)),IF((81=('V06 Calend 01'!C98+(6*'V06 Calend 01'!E98))),('V06 Calend 01'!H98-('V06 Calend 01'!I98*('V06 Calend 01'!E98-1))),'V06 Calend 01'!I98),0))+IF((81='V06 Calend 01'!D98),'V06 Calend 01'!J98,0))</f>
        <v>0</v>
      </c>
      <c r="CP98" s="2">
        <f>((IF((82='V06 Calend 01'!C98),('V06 Calend 01'!F98+'V06 Calend 01'!G98),0)+IF(AND(('V06 Calend 01'!E98&gt;0),(82&gt;'V06 Calend 01'!C98),(82&lt;'V06 Calend 01'!D98),(MOD((82-'V06 Calend 01'!C98),6)=0),(((82-'V06 Calend 01'!C98)/6)&lt;='V06 Calend 01'!E98)),IF((82=('V06 Calend 01'!C98+(6*'V06 Calend 01'!E98))),('V06 Calend 01'!H98-('V06 Calend 01'!I98*('V06 Calend 01'!E98-1))),'V06 Calend 01'!I98),0))+IF((82='V06 Calend 01'!D98),'V06 Calend 01'!J98,0))</f>
        <v>0</v>
      </c>
      <c r="CQ98" s="2">
        <f>((IF((83='V06 Calend 01'!C98),('V06 Calend 01'!F98+'V06 Calend 01'!G98),0)+IF(AND(('V06 Calend 01'!E98&gt;0),(83&gt;'V06 Calend 01'!C98),(83&lt;'V06 Calend 01'!D98),(MOD((83-'V06 Calend 01'!C98),6)=0),(((83-'V06 Calend 01'!C98)/6)&lt;='V06 Calend 01'!E98)),IF((83=('V06 Calend 01'!C98+(6*'V06 Calend 01'!E98))),('V06 Calend 01'!H98-('V06 Calend 01'!I98*('V06 Calend 01'!E98-1))),'V06 Calend 01'!I98),0))+IF((83='V06 Calend 01'!D98),'V06 Calend 01'!J98,0))</f>
        <v>0</v>
      </c>
      <c r="CR98" s="2">
        <f>((IF((84='V06 Calend 01'!C98),('V06 Calend 01'!F98+'V06 Calend 01'!G98),0)+IF(AND(('V06 Calend 01'!E98&gt;0),(84&gt;'V06 Calend 01'!C98),(84&lt;'V06 Calend 01'!D98),(MOD((84-'V06 Calend 01'!C98),6)=0),(((84-'V06 Calend 01'!C98)/6)&lt;='V06 Calend 01'!E98)),IF((84=('V06 Calend 01'!C98+(6*'V06 Calend 01'!E98))),('V06 Calend 01'!H98-('V06 Calend 01'!I98*('V06 Calend 01'!E98-1))),'V06 Calend 01'!I98),0))+IF((84='V06 Calend 01'!D98),'V06 Calend 01'!J98,0))</f>
        <v>0</v>
      </c>
      <c r="CS98" s="2">
        <f>((IF((85='V06 Calend 01'!C98),('V06 Calend 01'!F98+'V06 Calend 01'!G98),0)+IF(AND(('V06 Calend 01'!E98&gt;0),(85&gt;'V06 Calend 01'!C98),(85&lt;'V06 Calend 01'!D98),(MOD((85-'V06 Calend 01'!C98),6)=0),(((85-'V06 Calend 01'!C98)/6)&lt;='V06 Calend 01'!E98)),IF((85=('V06 Calend 01'!C98+(6*'V06 Calend 01'!E98))),('V06 Calend 01'!H98-('V06 Calend 01'!I98*('V06 Calend 01'!E98-1))),'V06 Calend 01'!I98),0))+IF((85='V06 Calend 01'!D98),'V06 Calend 01'!J98,0))</f>
        <v>0</v>
      </c>
      <c r="CT98" s="2">
        <f>((IF((86='V06 Calend 01'!C98),('V06 Calend 01'!F98+'V06 Calend 01'!G98),0)+IF(AND(('V06 Calend 01'!E98&gt;0),(86&gt;'V06 Calend 01'!C98),(86&lt;'V06 Calend 01'!D98),(MOD((86-'V06 Calend 01'!C98),6)=0),(((86-'V06 Calend 01'!C98)/6)&lt;='V06 Calend 01'!E98)),IF((86=('V06 Calend 01'!C98+(6*'V06 Calend 01'!E98))),('V06 Calend 01'!H98-('V06 Calend 01'!I98*('V06 Calend 01'!E98-1))),'V06 Calend 01'!I98),0))+IF((86='V06 Calend 01'!D98),'V06 Calend 01'!J98,0))</f>
        <v>0</v>
      </c>
      <c r="CU98" s="2">
        <f>((IF((87='V06 Calend 01'!C98),('V06 Calend 01'!F98+'V06 Calend 01'!G98),0)+IF(AND(('V06 Calend 01'!E98&gt;0),(87&gt;'V06 Calend 01'!C98),(87&lt;'V06 Calend 01'!D98),(MOD((87-'V06 Calend 01'!C98),6)=0),(((87-'V06 Calend 01'!C98)/6)&lt;='V06 Calend 01'!E98)),IF((87=('V06 Calend 01'!C98+(6*'V06 Calend 01'!E98))),('V06 Calend 01'!H98-('V06 Calend 01'!I98*('V06 Calend 01'!E98-1))),'V06 Calend 01'!I98),0))+IF((87='V06 Calend 01'!D98),'V06 Calend 01'!J98,0))</f>
        <v>0</v>
      </c>
      <c r="CV98" s="2">
        <f>((IF((88='V06 Calend 01'!C98),('V06 Calend 01'!F98+'V06 Calend 01'!G98),0)+IF(AND(('V06 Calend 01'!E98&gt;0),(88&gt;'V06 Calend 01'!C98),(88&lt;'V06 Calend 01'!D98),(MOD((88-'V06 Calend 01'!C98),6)=0),(((88-'V06 Calend 01'!C98)/6)&lt;='V06 Calend 01'!E98)),IF((88=('V06 Calend 01'!C98+(6*'V06 Calend 01'!E98))),('V06 Calend 01'!H98-('V06 Calend 01'!I98*('V06 Calend 01'!E98-1))),'V06 Calend 01'!I98),0))+IF((88='V06 Calend 01'!D98),'V06 Calend 01'!J98,0))</f>
        <v>0</v>
      </c>
      <c r="CW98" s="2">
        <f>((IF((89='V06 Calend 01'!C98),('V06 Calend 01'!F98+'V06 Calend 01'!G98),0)+IF(AND(('V06 Calend 01'!E98&gt;0),(89&gt;'V06 Calend 01'!C98),(89&lt;'V06 Calend 01'!D98),(MOD((89-'V06 Calend 01'!C98),6)=0),(((89-'V06 Calend 01'!C98)/6)&lt;='V06 Calend 01'!E98)),IF((89=('V06 Calend 01'!C98+(6*'V06 Calend 01'!E98))),('V06 Calend 01'!H98-('V06 Calend 01'!I98*('V06 Calend 01'!E98-1))),'V06 Calend 01'!I98),0))+IF((89='V06 Calend 01'!D98),'V06 Calend 01'!J98,0))</f>
        <v>0</v>
      </c>
      <c r="CX98" s="2">
        <f>((IF((90='V06 Calend 01'!C98),('V06 Calend 01'!F98+'V06 Calend 01'!G98),0)+IF(AND(('V06 Calend 01'!E98&gt;0),(90&gt;'V06 Calend 01'!C98),(90&lt;'V06 Calend 01'!D98),(MOD((90-'V06 Calend 01'!C98),6)=0),(((90-'V06 Calend 01'!C98)/6)&lt;='V06 Calend 01'!E98)),IF((90=('V06 Calend 01'!C98+(6*'V06 Calend 01'!E98))),('V06 Calend 01'!H98-('V06 Calend 01'!I98*('V06 Calend 01'!E98-1))),'V06 Calend 01'!I98),0))+IF((90='V06 Calend 01'!D98),'V06 Calend 01'!J98,0))</f>
        <v>0</v>
      </c>
      <c r="CY98" s="2">
        <f>((IF((91='V06 Calend 01'!C98),('V06 Calend 01'!F98+'V06 Calend 01'!G98),0)+IF(AND(('V06 Calend 01'!E98&gt;0),(91&gt;'V06 Calend 01'!C98),(91&lt;'V06 Calend 01'!D98),(MOD((91-'V06 Calend 01'!C98),6)=0),(((91-'V06 Calend 01'!C98)/6)&lt;='V06 Calend 01'!E98)),IF((91=('V06 Calend 01'!C98+(6*'V06 Calend 01'!E98))),('V06 Calend 01'!H98-('V06 Calend 01'!I98*('V06 Calend 01'!E98-1))),'V06 Calend 01'!I98),0))+IF((91='V06 Calend 01'!D98),'V06 Calend 01'!J98,0))</f>
        <v>0</v>
      </c>
      <c r="CZ98" s="2">
        <f>((IF((92='V06 Calend 01'!C98),('V06 Calend 01'!F98+'V06 Calend 01'!G98),0)+IF(AND(('V06 Calend 01'!E98&gt;0),(92&gt;'V06 Calend 01'!C98),(92&lt;'V06 Calend 01'!D98),(MOD((92-'V06 Calend 01'!C98),6)=0),(((92-'V06 Calend 01'!C98)/6)&lt;='V06 Calend 01'!E98)),IF((92=('V06 Calend 01'!C98+(6*'V06 Calend 01'!E98))),('V06 Calend 01'!H98-('V06 Calend 01'!I98*('V06 Calend 01'!E98-1))),'V06 Calend 01'!I98),0))+IF((92='V06 Calend 01'!D98),'V06 Calend 01'!J98,0))</f>
        <v>0</v>
      </c>
      <c r="DA98" s="2">
        <f>((IF((93='V06 Calend 01'!C98),('V06 Calend 01'!F98+'V06 Calend 01'!G98),0)+IF(AND(('V06 Calend 01'!E98&gt;0),(93&gt;'V06 Calend 01'!C98),(93&lt;'V06 Calend 01'!D98),(MOD((93-'V06 Calend 01'!C98),6)=0),(((93-'V06 Calend 01'!C98)/6)&lt;='V06 Calend 01'!E98)),IF((93=('V06 Calend 01'!C98+(6*'V06 Calend 01'!E98))),('V06 Calend 01'!H98-('V06 Calend 01'!I98*('V06 Calend 01'!E98-1))),'V06 Calend 01'!I98),0))+IF((93='V06 Calend 01'!D98),'V06 Calend 01'!J98,0))</f>
        <v>0</v>
      </c>
      <c r="DB98" s="2">
        <f>((IF((94='V06 Calend 01'!C98),('V06 Calend 01'!F98+'V06 Calend 01'!G98),0)+IF(AND(('V06 Calend 01'!E98&gt;0),(94&gt;'V06 Calend 01'!C98),(94&lt;'V06 Calend 01'!D98),(MOD((94-'V06 Calend 01'!C98),6)=0),(((94-'V06 Calend 01'!C98)/6)&lt;='V06 Calend 01'!E98)),IF((94=('V06 Calend 01'!C98+(6*'V06 Calend 01'!E98))),('V06 Calend 01'!H98-('V06 Calend 01'!I98*('V06 Calend 01'!E98-1))),'V06 Calend 01'!I98),0))+IF((94='V06 Calend 01'!D98),'V06 Calend 01'!J98,0))</f>
        <v>0</v>
      </c>
      <c r="DC98" s="2">
        <f>((IF((95='V06 Calend 01'!C98),('V06 Calend 01'!F98+'V06 Calend 01'!G98),0)+IF(AND(('V06 Calend 01'!E98&gt;0),(95&gt;'V06 Calend 01'!C98),(95&lt;'V06 Calend 01'!D98),(MOD((95-'V06 Calend 01'!C98),6)=0),(((95-'V06 Calend 01'!C98)/6)&lt;='V06 Calend 01'!E98)),IF((95=('V06 Calend 01'!C98+(6*'V06 Calend 01'!E98))),('V06 Calend 01'!H98-('V06 Calend 01'!I98*('V06 Calend 01'!E98-1))),'V06 Calend 01'!I98),0))+IF((95='V06 Calend 01'!D98),'V06 Calend 01'!J98,0))</f>
        <v>0</v>
      </c>
      <c r="DD98" s="2">
        <f>((IF((96='V06 Calend 01'!C98),('V06 Calend 01'!F98+'V06 Calend 01'!G98),0)+IF(AND(('V06 Calend 01'!E98&gt;0),(96&gt;'V06 Calend 01'!C98),(96&lt;'V06 Calend 01'!D98),(MOD((96-'V06 Calend 01'!C98),6)=0),(((96-'V06 Calend 01'!C98)/6)&lt;='V06 Calend 01'!E98)),IF((96=('V06 Calend 01'!C98+(6*'V06 Calend 01'!E98))),('V06 Calend 01'!H98-('V06 Calend 01'!I98*('V06 Calend 01'!E98-1))),'V06 Calend 01'!I98),0))+IF((96='V06 Calend 01'!D98),'V06 Calend 01'!J98,0))</f>
        <v>0</v>
      </c>
      <c r="DE98" s="2">
        <f>((IF((97='V06 Calend 01'!C98),('V06 Calend 01'!F98+'V06 Calend 01'!G98),0)+IF(AND(('V06 Calend 01'!E98&gt;0),(97&gt;'V06 Calend 01'!C98),(97&lt;'V06 Calend 01'!D98),(MOD((97-'V06 Calend 01'!C98),6)=0),(((97-'V06 Calend 01'!C98)/6)&lt;='V06 Calend 01'!E98)),IF((97=('V06 Calend 01'!C98+(6*'V06 Calend 01'!E98))),('V06 Calend 01'!H98-('V06 Calend 01'!I98*('V06 Calend 01'!E98-1))),'V06 Calend 01'!I98),0))+IF((97='V06 Calend 01'!D98),'V06 Calend 01'!J98,0))</f>
        <v>0</v>
      </c>
      <c r="DF98" s="2">
        <f>((IF((98='V06 Calend 01'!C98),('V06 Calend 01'!F98+'V06 Calend 01'!G98),0)+IF(AND(('V06 Calend 01'!E98&gt;0),(98&gt;'V06 Calend 01'!C98),(98&lt;'V06 Calend 01'!D98),(MOD((98-'V06 Calend 01'!C98),6)=0),(((98-'V06 Calend 01'!C98)/6)&lt;='V06 Calend 01'!E98)),IF((98=('V06 Calend 01'!C98+(6*'V06 Calend 01'!E98))),('V06 Calend 01'!H98-('V06 Calend 01'!I98*('V06 Calend 01'!E98-1))),'V06 Calend 01'!I98),0))+IF((98='V06 Calend 01'!D98),'V06 Calend 01'!J98,0))</f>
        <v>0</v>
      </c>
      <c r="DG98" s="2">
        <f>((IF((99='V06 Calend 01'!C98),('V06 Calend 01'!F98+'V06 Calend 01'!G98),0)+IF(AND(('V06 Calend 01'!E98&gt;0),(99&gt;'V06 Calend 01'!C98),(99&lt;'V06 Calend 01'!D98),(MOD((99-'V06 Calend 01'!C98),6)=0),(((99-'V06 Calend 01'!C98)/6)&lt;='V06 Calend 01'!E98)),IF((99=('V06 Calend 01'!C98+(6*'V06 Calend 01'!E98))),('V06 Calend 01'!H98-('V06 Calend 01'!I98*('V06 Calend 01'!E98-1))),'V06 Calend 01'!I98),0))+IF((99='V06 Calend 01'!D98),'V06 Calend 01'!J98,0))</f>
        <v>0</v>
      </c>
      <c r="DH98" s="2">
        <f>((IF((100='V06 Calend 01'!C98),('V06 Calend 01'!F98+'V06 Calend 01'!G98),0)+IF(AND(('V06 Calend 01'!E98&gt;0),(100&gt;'V06 Calend 01'!C98),(100&lt;'V06 Calend 01'!D98),(MOD((100-'V06 Calend 01'!C98),6)=0),(((100-'V06 Calend 01'!C98)/6)&lt;='V06 Calend 01'!E98)),IF((100=('V06 Calend 01'!C98+(6*'V06 Calend 01'!E98))),('V06 Calend 01'!H98-('V06 Calend 01'!I98*('V06 Calend 01'!E98-1))),'V06 Calend 01'!I98),0))+IF((100='V06 Calend 01'!D98),'V06 Calend 01'!J98,0))</f>
        <v>0</v>
      </c>
      <c r="DI98" s="2">
        <f>((IF((101='V06 Calend 01'!C98),('V06 Calend 01'!F98+'V06 Calend 01'!G98),0)+IF(AND(('V06 Calend 01'!E98&gt;0),(101&gt;'V06 Calend 01'!C98),(101&lt;'V06 Calend 01'!D98),(MOD((101-'V06 Calend 01'!C98),6)=0),(((101-'V06 Calend 01'!C98)/6)&lt;='V06 Calend 01'!E98)),IF((101=('V06 Calend 01'!C98+(6*'V06 Calend 01'!E98))),('V06 Calend 01'!H98-('V06 Calend 01'!I98*('V06 Calend 01'!E98-1))),'V06 Calend 01'!I98),0))+IF((101='V06 Calend 01'!D98),'V06 Calend 01'!J98,0))</f>
        <v>0</v>
      </c>
      <c r="DJ98" s="2">
        <f>((IF((102='V06 Calend 01'!C98),('V06 Calend 01'!F98+'V06 Calend 01'!G98),0)+IF(AND(('V06 Calend 01'!E98&gt;0),(102&gt;'V06 Calend 01'!C98),(102&lt;'V06 Calend 01'!D98),(MOD((102-'V06 Calend 01'!C98),6)=0),(((102-'V06 Calend 01'!C98)/6)&lt;='V06 Calend 01'!E98)),IF((102=('V06 Calend 01'!C98+(6*'V06 Calend 01'!E98))),('V06 Calend 01'!H98-('V06 Calend 01'!I98*('V06 Calend 01'!E98-1))),'V06 Calend 01'!I98),0))+IF((102='V06 Calend 01'!D98),'V06 Calend 01'!J98,0))</f>
        <v>0</v>
      </c>
      <c r="DK98" s="2">
        <f>((IF((103='V06 Calend 01'!C98),('V06 Calend 01'!F98+'V06 Calend 01'!G98),0)+IF(AND(('V06 Calend 01'!E98&gt;0),(103&gt;'V06 Calend 01'!C98),(103&lt;'V06 Calend 01'!D98),(MOD((103-'V06 Calend 01'!C98),6)=0),(((103-'V06 Calend 01'!C98)/6)&lt;='V06 Calend 01'!E98)),IF((103=('V06 Calend 01'!C98+(6*'V06 Calend 01'!E98))),('V06 Calend 01'!H98-('V06 Calend 01'!I98*('V06 Calend 01'!E98-1))),'V06 Calend 01'!I98),0))+IF((103='V06 Calend 01'!D98),'V06 Calend 01'!J98,0))</f>
        <v>0</v>
      </c>
      <c r="DL98" s="2">
        <f>((IF((104='V06 Calend 01'!C98),('V06 Calend 01'!F98+'V06 Calend 01'!G98),0)+IF(AND(('V06 Calend 01'!E98&gt;0),(104&gt;'V06 Calend 01'!C98),(104&lt;'V06 Calend 01'!D98),(MOD((104-'V06 Calend 01'!C98),6)=0),(((104-'V06 Calend 01'!C98)/6)&lt;='V06 Calend 01'!E98)),IF((104=('V06 Calend 01'!C98+(6*'V06 Calend 01'!E98))),('V06 Calend 01'!H98-('V06 Calend 01'!I98*('V06 Calend 01'!E98-1))),'V06 Calend 01'!I98),0))+IF((104='V06 Calend 01'!D98),'V06 Calend 01'!J98,0))</f>
        <v>0</v>
      </c>
      <c r="DM98" s="2">
        <f>((IF((105='V06 Calend 01'!C98),('V06 Calend 01'!F98+'V06 Calend 01'!G98),0)+IF(AND(('V06 Calend 01'!E98&gt;0),(105&gt;'V06 Calend 01'!C98),(105&lt;'V06 Calend 01'!D98),(MOD((105-'V06 Calend 01'!C98),6)=0),(((105-'V06 Calend 01'!C98)/6)&lt;='V06 Calend 01'!E98)),IF((105=('V06 Calend 01'!C98+(6*'V06 Calend 01'!E98))),('V06 Calend 01'!H98-('V06 Calend 01'!I98*('V06 Calend 01'!E98-1))),'V06 Calend 01'!I98),0))+IF((105='V06 Calend 01'!D98),'V06 Calend 01'!J98,0))</f>
        <v>0</v>
      </c>
      <c r="DN98" s="2">
        <f>((IF((106='V06 Calend 01'!C98),('V06 Calend 01'!F98+'V06 Calend 01'!G98),0)+IF(AND(('V06 Calend 01'!E98&gt;0),(106&gt;'V06 Calend 01'!C98),(106&lt;'V06 Calend 01'!D98),(MOD((106-'V06 Calend 01'!C98),6)=0),(((106-'V06 Calend 01'!C98)/6)&lt;='V06 Calend 01'!E98)),IF((106=('V06 Calend 01'!C98+(6*'V06 Calend 01'!E98))),('V06 Calend 01'!H98-('V06 Calend 01'!I98*('V06 Calend 01'!E98-1))),'V06 Calend 01'!I98),0))+IF((106='V06 Calend 01'!D98),'V06 Calend 01'!J98,0))</f>
        <v>0</v>
      </c>
      <c r="DO98" s="2">
        <f>((IF((107='V06 Calend 01'!C98),('V06 Calend 01'!F98+'V06 Calend 01'!G98),0)+IF(AND(('V06 Calend 01'!E98&gt;0),(107&gt;'V06 Calend 01'!C98),(107&lt;'V06 Calend 01'!D98),(MOD((107-'V06 Calend 01'!C98),6)=0),(((107-'V06 Calend 01'!C98)/6)&lt;='V06 Calend 01'!E98)),IF((107=('V06 Calend 01'!C98+(6*'V06 Calend 01'!E98))),('V06 Calend 01'!H98-('V06 Calend 01'!I98*('V06 Calend 01'!E98-1))),'V06 Calend 01'!I98),0))+IF((107='V06 Calend 01'!D98),'V06 Calend 01'!J98,0))</f>
        <v>0</v>
      </c>
      <c r="DP98" s="2">
        <f>((IF((108='V06 Calend 01'!C98),('V06 Calend 01'!F98+'V06 Calend 01'!G98),0)+IF(AND(('V06 Calend 01'!E98&gt;0),(108&gt;'V06 Calend 01'!C98),(108&lt;'V06 Calend 01'!D98),(MOD((108-'V06 Calend 01'!C98),6)=0),(((108-'V06 Calend 01'!C98)/6)&lt;='V06 Calend 01'!E98)),IF((108=('V06 Calend 01'!C98+(6*'V06 Calend 01'!E98))),('V06 Calend 01'!H98-('V06 Calend 01'!I98*('V06 Calend 01'!E98-1))),'V06 Calend 01'!I98),0))+IF((108='V06 Calend 01'!D98),'V06 Calend 01'!J98,0))</f>
        <v>0</v>
      </c>
      <c r="DQ98" s="2">
        <f>((IF((109='V06 Calend 01'!C98),('V06 Calend 01'!F98+'V06 Calend 01'!G98),0)+IF(AND(('V06 Calend 01'!E98&gt;0),(109&gt;'V06 Calend 01'!C98),(109&lt;'V06 Calend 01'!D98),(MOD((109-'V06 Calend 01'!C98),6)=0),(((109-'V06 Calend 01'!C98)/6)&lt;='V06 Calend 01'!E98)),IF((109=('V06 Calend 01'!C98+(6*'V06 Calend 01'!E98))),('V06 Calend 01'!H98-('V06 Calend 01'!I98*('V06 Calend 01'!E98-1))),'V06 Calend 01'!I98),0))+IF((109='V06 Calend 01'!D98),'V06 Calend 01'!J98,0))</f>
        <v>0</v>
      </c>
      <c r="DR98" s="2">
        <f>((IF((110='V06 Calend 01'!C98),('V06 Calend 01'!F98+'V06 Calend 01'!G98),0)+IF(AND(('V06 Calend 01'!E98&gt;0),(110&gt;'V06 Calend 01'!C98),(110&lt;'V06 Calend 01'!D98),(MOD((110-'V06 Calend 01'!C98),6)=0),(((110-'V06 Calend 01'!C98)/6)&lt;='V06 Calend 01'!E98)),IF((110=('V06 Calend 01'!C98+(6*'V06 Calend 01'!E98))),('V06 Calend 01'!H98-('V06 Calend 01'!I98*('V06 Calend 01'!E98-1))),'V06 Calend 01'!I98),0))+IF((110='V06 Calend 01'!D98),'V06 Calend 01'!J98,0))</f>
        <v>0</v>
      </c>
      <c r="DS98" s="2">
        <f>((IF((111='V06 Calend 01'!C98),('V06 Calend 01'!F98+'V06 Calend 01'!G98),0)+IF(AND(('V06 Calend 01'!E98&gt;0),(111&gt;'V06 Calend 01'!C98),(111&lt;'V06 Calend 01'!D98),(MOD((111-'V06 Calend 01'!C98),6)=0),(((111-'V06 Calend 01'!C98)/6)&lt;='V06 Calend 01'!E98)),IF((111=('V06 Calend 01'!C98+(6*'V06 Calend 01'!E98))),('V06 Calend 01'!H98-('V06 Calend 01'!I98*('V06 Calend 01'!E98-1))),'V06 Calend 01'!I98),0))+IF((111='V06 Calend 01'!D98),'V06 Calend 01'!J98,0))</f>
        <v>0</v>
      </c>
      <c r="DT98" s="2">
        <f>((IF((112='V06 Calend 01'!C98),('V06 Calend 01'!F98+'V06 Calend 01'!G98),0)+IF(AND(('V06 Calend 01'!E98&gt;0),(112&gt;'V06 Calend 01'!C98),(112&lt;'V06 Calend 01'!D98),(MOD((112-'V06 Calend 01'!C98),6)=0),(((112-'V06 Calend 01'!C98)/6)&lt;='V06 Calend 01'!E98)),IF((112=('V06 Calend 01'!C98+(6*'V06 Calend 01'!E98))),('V06 Calend 01'!H98-('V06 Calend 01'!I98*('V06 Calend 01'!E98-1))),'V06 Calend 01'!I98),0))+IF((112='V06 Calend 01'!D98),'V06 Calend 01'!J98,0))</f>
        <v>0</v>
      </c>
      <c r="DU98" s="2">
        <f>((IF((113='V06 Calend 01'!C98),('V06 Calend 01'!F98+'V06 Calend 01'!G98),0)+IF(AND(('V06 Calend 01'!E98&gt;0),(113&gt;'V06 Calend 01'!C98),(113&lt;'V06 Calend 01'!D98),(MOD((113-'V06 Calend 01'!C98),6)=0),(((113-'V06 Calend 01'!C98)/6)&lt;='V06 Calend 01'!E98)),IF((113=('V06 Calend 01'!C98+(6*'V06 Calend 01'!E98))),('V06 Calend 01'!H98-('V06 Calend 01'!I98*('V06 Calend 01'!E98-1))),'V06 Calend 01'!I98),0))+IF((113='V06 Calend 01'!D98),'V06 Calend 01'!J98,0))</f>
        <v>0</v>
      </c>
      <c r="DV98" s="2">
        <f>((IF((114='V06 Calend 01'!C98),('V06 Calend 01'!F98+'V06 Calend 01'!G98),0)+IF(AND(('V06 Calend 01'!E98&gt;0),(114&gt;'V06 Calend 01'!C98),(114&lt;'V06 Calend 01'!D98),(MOD((114-'V06 Calend 01'!C98),6)=0),(((114-'V06 Calend 01'!C98)/6)&lt;='V06 Calend 01'!E98)),IF((114=('V06 Calend 01'!C98+(6*'V06 Calend 01'!E98))),('V06 Calend 01'!H98-('V06 Calend 01'!I98*('V06 Calend 01'!E98-1))),'V06 Calend 01'!I98),0))+IF((114='V06 Calend 01'!D98),'V06 Calend 01'!J98,0))</f>
        <v>0</v>
      </c>
      <c r="DW98" s="2">
        <f>((IF((115='V06 Calend 01'!C98),('V06 Calend 01'!F98+'V06 Calend 01'!G98),0)+IF(AND(('V06 Calend 01'!E98&gt;0),(115&gt;'V06 Calend 01'!C98),(115&lt;'V06 Calend 01'!D98),(MOD((115-'V06 Calend 01'!C98),6)=0),(((115-'V06 Calend 01'!C98)/6)&lt;='V06 Calend 01'!E98)),IF((115=('V06 Calend 01'!C98+(6*'V06 Calend 01'!E98))),('V06 Calend 01'!H98-('V06 Calend 01'!I98*('V06 Calend 01'!E98-1))),'V06 Calend 01'!I98),0))+IF((115='V06 Calend 01'!D98),'V06 Calend 01'!J98,0))</f>
        <v>0</v>
      </c>
      <c r="DX98" s="2">
        <f>((IF((116='V06 Calend 01'!C98),('V06 Calend 01'!F98+'V06 Calend 01'!G98),0)+IF(AND(('V06 Calend 01'!E98&gt;0),(116&gt;'V06 Calend 01'!C98),(116&lt;'V06 Calend 01'!D98),(MOD((116-'V06 Calend 01'!C98),6)=0),(((116-'V06 Calend 01'!C98)/6)&lt;='V06 Calend 01'!E98)),IF((116=('V06 Calend 01'!C98+(6*'V06 Calend 01'!E98))),('V06 Calend 01'!H98-('V06 Calend 01'!I98*('V06 Calend 01'!E98-1))),'V06 Calend 01'!I98),0))+IF((116='V06 Calend 01'!D98),'V06 Calend 01'!J98,0))</f>
        <v>0</v>
      </c>
      <c r="DY98" s="2">
        <f>((IF((117='V06 Calend 01'!C98),('V06 Calend 01'!F98+'V06 Calend 01'!G98),0)+IF(AND(('V06 Calend 01'!E98&gt;0),(117&gt;'V06 Calend 01'!C98),(117&lt;'V06 Calend 01'!D98),(MOD((117-'V06 Calend 01'!C98),6)=0),(((117-'V06 Calend 01'!C98)/6)&lt;='V06 Calend 01'!E98)),IF((117=('V06 Calend 01'!C98+(6*'V06 Calend 01'!E98))),('V06 Calend 01'!H98-('V06 Calend 01'!I98*('V06 Calend 01'!E98-1))),'V06 Calend 01'!I98),0))+IF((117='V06 Calend 01'!D98),'V06 Calend 01'!J98,0))</f>
        <v>0</v>
      </c>
      <c r="DZ98" s="2">
        <f>((IF((118='V06 Calend 01'!C98),('V06 Calend 01'!F98+'V06 Calend 01'!G98),0)+IF(AND(('V06 Calend 01'!E98&gt;0),(118&gt;'V06 Calend 01'!C98),(118&lt;'V06 Calend 01'!D98),(MOD((118-'V06 Calend 01'!C98),6)=0),(((118-'V06 Calend 01'!C98)/6)&lt;='V06 Calend 01'!E98)),IF((118=('V06 Calend 01'!C98+(6*'V06 Calend 01'!E98))),('V06 Calend 01'!H98-('V06 Calend 01'!I98*('V06 Calend 01'!E98-1))),'V06 Calend 01'!I98),0))+IF((118='V06 Calend 01'!D98),'V06 Calend 01'!J98,0))</f>
        <v>0</v>
      </c>
      <c r="EA98" s="2">
        <f>((IF((119='V06 Calend 01'!C98),('V06 Calend 01'!F98+'V06 Calend 01'!G98),0)+IF(AND(('V06 Calend 01'!E98&gt;0),(119&gt;'V06 Calend 01'!C98),(119&lt;'V06 Calend 01'!D98),(MOD((119-'V06 Calend 01'!C98),6)=0),(((119-'V06 Calend 01'!C98)/6)&lt;='V06 Calend 01'!E98)),IF((119=('V06 Calend 01'!C98+(6*'V06 Calend 01'!E98))),('V06 Calend 01'!H98-('V06 Calend 01'!I98*('V06 Calend 01'!E98-1))),'V06 Calend 01'!I98),0))+IF((119='V06 Calend 01'!D98),'V06 Calend 01'!J98,0))</f>
        <v>0</v>
      </c>
      <c r="EB98" s="2">
        <f>((IF((120='V06 Calend 01'!C98),('V06 Calend 01'!F98+'V06 Calend 01'!G98),0)+IF(AND(('V06 Calend 01'!E98&gt;0),(120&gt;'V06 Calend 01'!C98),(120&lt;'V06 Calend 01'!D98),(MOD((120-'V06 Calend 01'!C98),6)=0),(((120-'V06 Calend 01'!C98)/6)&lt;='V06 Calend 01'!E98)),IF((120=('V06 Calend 01'!C98+(6*'V06 Calend 01'!E98))),('V06 Calend 01'!H98-('V06 Calend 01'!I98*('V06 Calend 01'!E98-1))),'V06 Calend 01'!I98),0))+IF((120='V06 Calend 01'!D98),'V06 Calend 01'!J98,0))</f>
        <v>0</v>
      </c>
      <c r="EC98" s="2">
        <f>((IF((121='V06 Calend 01'!C98),('V06 Calend 01'!F98+'V06 Calend 01'!G98),0)+IF(AND(('V06 Calend 01'!E98&gt;0),(121&gt;'V06 Calend 01'!C98),(121&lt;'V06 Calend 01'!D98),(MOD((121-'V06 Calend 01'!C98),6)=0),(((121-'V06 Calend 01'!C98)/6)&lt;='V06 Calend 01'!E98)),IF((121=('V06 Calend 01'!C98+(6*'V06 Calend 01'!E98))),('V06 Calend 01'!H98-('V06 Calend 01'!I98*('V06 Calend 01'!E98-1))),'V06 Calend 01'!I98),0))+IF((121='V06 Calend 01'!D98),'V06 Calend 01'!J98,0))</f>
        <v>0</v>
      </c>
      <c r="ED98" s="2">
        <f>((IF((122='V06 Calend 01'!C98),('V06 Calend 01'!F98+'V06 Calend 01'!G98),0)+IF(AND(('V06 Calend 01'!E98&gt;0),(122&gt;'V06 Calend 01'!C98),(122&lt;'V06 Calend 01'!D98),(MOD((122-'V06 Calend 01'!C98),6)=0),(((122-'V06 Calend 01'!C98)/6)&lt;='V06 Calend 01'!E98)),IF((122=('V06 Calend 01'!C98+(6*'V06 Calend 01'!E98))),('V06 Calend 01'!H98-('V06 Calend 01'!I98*('V06 Calend 01'!E98-1))),'V06 Calend 01'!I98),0))+IF((122='V06 Calend 01'!D98),'V06 Calend 01'!J98,0))</f>
        <v>0</v>
      </c>
      <c r="EE98" s="2">
        <f>((IF((123='V06 Calend 01'!C98),('V06 Calend 01'!F98+'V06 Calend 01'!G98),0)+IF(AND(('V06 Calend 01'!E98&gt;0),(123&gt;'V06 Calend 01'!C98),(123&lt;'V06 Calend 01'!D98),(MOD((123-'V06 Calend 01'!C98),6)=0),(((123-'V06 Calend 01'!C98)/6)&lt;='V06 Calend 01'!E98)),IF((123=('V06 Calend 01'!C98+(6*'V06 Calend 01'!E98))),('V06 Calend 01'!H98-('V06 Calend 01'!I98*('V06 Calend 01'!E98-1))),'V06 Calend 01'!I98),0))+IF((123='V06 Calend 01'!D98),'V06 Calend 01'!J98,0))</f>
        <v>0</v>
      </c>
      <c r="EF98" s="2">
        <f>((IF((124='V06 Calend 01'!C98),('V06 Calend 01'!F98+'V06 Calend 01'!G98),0)+IF(AND(('V06 Calend 01'!E98&gt;0),(124&gt;'V06 Calend 01'!C98),(124&lt;'V06 Calend 01'!D98),(MOD((124-'V06 Calend 01'!C98),6)=0),(((124-'V06 Calend 01'!C98)/6)&lt;='V06 Calend 01'!E98)),IF((124=('V06 Calend 01'!C98+(6*'V06 Calend 01'!E98))),('V06 Calend 01'!H98-('V06 Calend 01'!I98*('V06 Calend 01'!E98-1))),'V06 Calend 01'!I98),0))+IF((124='V06 Calend 01'!D98),'V06 Calend 01'!J98,0))</f>
        <v>0</v>
      </c>
      <c r="EG98" s="2">
        <f>((IF((125='V06 Calend 01'!C98),('V06 Calend 01'!F98+'V06 Calend 01'!G98),0)+IF(AND(('V06 Calend 01'!E98&gt;0),(125&gt;'V06 Calend 01'!C98),(125&lt;'V06 Calend 01'!D98),(MOD((125-'V06 Calend 01'!C98),6)=0),(((125-'V06 Calend 01'!C98)/6)&lt;='V06 Calend 01'!E98)),IF((125=('V06 Calend 01'!C98+(6*'V06 Calend 01'!E98))),('V06 Calend 01'!H98-('V06 Calend 01'!I98*('V06 Calend 01'!E98-1))),'V06 Calend 01'!I98),0))+IF((125='V06 Calend 01'!D98),'V06 Calend 01'!J98,0))</f>
        <v>0</v>
      </c>
      <c r="EH98" s="2">
        <f>((IF((126='V06 Calend 01'!C98),('V06 Calend 01'!F98+'V06 Calend 01'!G98),0)+IF(AND(('V06 Calend 01'!E98&gt;0),(126&gt;'V06 Calend 01'!C98),(126&lt;'V06 Calend 01'!D98),(MOD((126-'V06 Calend 01'!C98),6)=0),(((126-'V06 Calend 01'!C98)/6)&lt;='V06 Calend 01'!E98)),IF((126=('V06 Calend 01'!C98+(6*'V06 Calend 01'!E98))),('V06 Calend 01'!H98-('V06 Calend 01'!I98*('V06 Calend 01'!E98-1))),'V06 Calend 01'!I98),0))+IF((126='V06 Calend 01'!D98),'V06 Calend 01'!J98,0))</f>
        <v>0</v>
      </c>
      <c r="EI98" s="2">
        <f>((IF((127='V06 Calend 01'!C98),('V06 Calend 01'!F98+'V06 Calend 01'!G98),0)+IF(AND(('V06 Calend 01'!E98&gt;0),(127&gt;'V06 Calend 01'!C98),(127&lt;'V06 Calend 01'!D98),(MOD((127-'V06 Calend 01'!C98),6)=0),(((127-'V06 Calend 01'!C98)/6)&lt;='V06 Calend 01'!E98)),IF((127=('V06 Calend 01'!C98+(6*'V06 Calend 01'!E98))),('V06 Calend 01'!H98-('V06 Calend 01'!I98*('V06 Calend 01'!E98-1))),'V06 Calend 01'!I98),0))+IF((127='V06 Calend 01'!D98),'V06 Calend 01'!J98,0))</f>
        <v>0</v>
      </c>
      <c r="EJ98" s="2">
        <f>((IF((128='V06 Calend 01'!C98),('V06 Calend 01'!F98+'V06 Calend 01'!G98),0)+IF(AND(('V06 Calend 01'!E98&gt;0),(128&gt;'V06 Calend 01'!C98),(128&lt;'V06 Calend 01'!D98),(MOD((128-'V06 Calend 01'!C98),6)=0),(((128-'V06 Calend 01'!C98)/6)&lt;='V06 Calend 01'!E98)),IF((128=('V06 Calend 01'!C98+(6*'V06 Calend 01'!E98))),('V06 Calend 01'!H98-('V06 Calend 01'!I98*('V06 Calend 01'!E98-1))),'V06 Calend 01'!I98),0))+IF((128='V06 Calend 01'!D98),'V06 Calend 01'!J98,0))</f>
        <v>0</v>
      </c>
      <c r="EK98" s="2">
        <f>((IF((129='V06 Calend 01'!C98),('V06 Calend 01'!F98+'V06 Calend 01'!G98),0)+IF(AND(('V06 Calend 01'!E98&gt;0),(129&gt;'V06 Calend 01'!C98),(129&lt;'V06 Calend 01'!D98),(MOD((129-'V06 Calend 01'!C98),6)=0),(((129-'V06 Calend 01'!C98)/6)&lt;='V06 Calend 01'!E98)),IF((129=('V06 Calend 01'!C98+(6*'V06 Calend 01'!E98))),('V06 Calend 01'!H98-('V06 Calend 01'!I98*('V06 Calend 01'!E98-1))),'V06 Calend 01'!I98),0))+IF((129='V06 Calend 01'!D98),'V06 Calend 01'!J98,0))</f>
        <v>0</v>
      </c>
      <c r="EL98" s="2">
        <f>((IF((130='V06 Calend 01'!C98),('V06 Calend 01'!F98+'V06 Calend 01'!G98),0)+IF(AND(('V06 Calend 01'!E98&gt;0),(130&gt;'V06 Calend 01'!C98),(130&lt;'V06 Calend 01'!D98),(MOD((130-'V06 Calend 01'!C98),6)=0),(((130-'V06 Calend 01'!C98)/6)&lt;='V06 Calend 01'!E98)),IF((130=('V06 Calend 01'!C98+(6*'V06 Calend 01'!E98))),('V06 Calend 01'!H98-('V06 Calend 01'!I98*('V06 Calend 01'!E98-1))),'V06 Calend 01'!I98),0))+IF((130='V06 Calend 01'!D98),'V06 Calend 01'!J98,0))</f>
        <v>0</v>
      </c>
      <c r="EM98" s="2">
        <f>((IF((131='V06 Calend 01'!C98),('V06 Calend 01'!F98+'V06 Calend 01'!G98),0)+IF(AND(('V06 Calend 01'!E98&gt;0),(131&gt;'V06 Calend 01'!C98),(131&lt;'V06 Calend 01'!D98),(MOD((131-'V06 Calend 01'!C98),6)=0),(((131-'V06 Calend 01'!C98)/6)&lt;='V06 Calend 01'!E98)),IF((131=('V06 Calend 01'!C98+(6*'V06 Calend 01'!E98))),('V06 Calend 01'!H98-('V06 Calend 01'!I98*('V06 Calend 01'!E98-1))),'V06 Calend 01'!I98),0))+IF((131='V06 Calend 01'!D98),'V06 Calend 01'!J98,0))</f>
        <v>0</v>
      </c>
      <c r="EN98" s="2">
        <f>((IF((132='V06 Calend 01'!C98),('V06 Calend 01'!F98+'V06 Calend 01'!G98),0)+IF(AND(('V06 Calend 01'!E98&gt;0),(132&gt;'V06 Calend 01'!C98),(132&lt;'V06 Calend 01'!D98),(MOD((132-'V06 Calend 01'!C98),6)=0),(((132-'V06 Calend 01'!C98)/6)&lt;='V06 Calend 01'!E98)),IF((132=('V06 Calend 01'!C98+(6*'V06 Calend 01'!E98))),('V06 Calend 01'!H98-('V06 Calend 01'!I98*('V06 Calend 01'!E98-1))),'V06 Calend 01'!I98),0))+IF((132='V06 Calend 01'!D98),'V06 Calend 01'!J98,0))</f>
        <v>0</v>
      </c>
      <c r="EO98" s="2">
        <f>((IF((133='V06 Calend 01'!C98),('V06 Calend 01'!F98+'V06 Calend 01'!G98),0)+IF(AND(('V06 Calend 01'!E98&gt;0),(133&gt;'V06 Calend 01'!C98),(133&lt;'V06 Calend 01'!D98),(MOD((133-'V06 Calend 01'!C98),6)=0),(((133-'V06 Calend 01'!C98)/6)&lt;='V06 Calend 01'!E98)),IF((133=('V06 Calend 01'!C98+(6*'V06 Calend 01'!E98))),('V06 Calend 01'!H98-('V06 Calend 01'!I98*('V06 Calend 01'!E98-1))),'V06 Calend 01'!I98),0))+IF((133='V06 Calend 01'!D98),'V06 Calend 01'!J98,0))</f>
        <v>0</v>
      </c>
      <c r="EP98" s="2">
        <f>((IF((134='V06 Calend 01'!C98),('V06 Calend 01'!F98+'V06 Calend 01'!G98),0)+IF(AND(('V06 Calend 01'!E98&gt;0),(134&gt;'V06 Calend 01'!C98),(134&lt;'V06 Calend 01'!D98),(MOD((134-'V06 Calend 01'!C98),6)=0),(((134-'V06 Calend 01'!C98)/6)&lt;='V06 Calend 01'!E98)),IF((134=('V06 Calend 01'!C98+(6*'V06 Calend 01'!E98))),('V06 Calend 01'!H98-('V06 Calend 01'!I98*('V06 Calend 01'!E98-1))),'V06 Calend 01'!I98),0))+IF((134='V06 Calend 01'!D98),'V06 Calend 01'!J98,0))</f>
        <v>0</v>
      </c>
      <c r="EQ98" s="2">
        <f>((IF((135='V06 Calend 01'!C98),('V06 Calend 01'!F98+'V06 Calend 01'!G98),0)+IF(AND(('V06 Calend 01'!E98&gt;0),(135&gt;'V06 Calend 01'!C98),(135&lt;'V06 Calend 01'!D98),(MOD((135-'V06 Calend 01'!C98),6)=0),(((135-'V06 Calend 01'!C98)/6)&lt;='V06 Calend 01'!E98)),IF((135=('V06 Calend 01'!C98+(6*'V06 Calend 01'!E98))),('V06 Calend 01'!H98-('V06 Calend 01'!I98*('V06 Calend 01'!E98-1))),'V06 Calend 01'!I98),0))+IF((135='V06 Calend 01'!D98),'V06 Calend 01'!J98,0))</f>
        <v>0</v>
      </c>
      <c r="ER98" s="2">
        <f>((IF((136='V06 Calend 01'!C98),('V06 Calend 01'!F98+'V06 Calend 01'!G98),0)+IF(AND(('V06 Calend 01'!E98&gt;0),(136&gt;'V06 Calend 01'!C98),(136&lt;'V06 Calend 01'!D98),(MOD((136-'V06 Calend 01'!C98),6)=0),(((136-'V06 Calend 01'!C98)/6)&lt;='V06 Calend 01'!E98)),IF((136=('V06 Calend 01'!C98+(6*'V06 Calend 01'!E98))),('V06 Calend 01'!H98-('V06 Calend 01'!I98*('V06 Calend 01'!E98-1))),'V06 Calend 01'!I98),0))+IF((136='V06 Calend 01'!D98),'V06 Calend 01'!J98,0))</f>
        <v>0</v>
      </c>
      <c r="ES98" s="2">
        <f>((IF((137='V06 Calend 01'!C98),('V06 Calend 01'!F98+'V06 Calend 01'!G98),0)+IF(AND(('V06 Calend 01'!E98&gt;0),(137&gt;'V06 Calend 01'!C98),(137&lt;'V06 Calend 01'!D98),(MOD((137-'V06 Calend 01'!C98),6)=0),(((137-'V06 Calend 01'!C98)/6)&lt;='V06 Calend 01'!E98)),IF((137=('V06 Calend 01'!C98+(6*'V06 Calend 01'!E98))),('V06 Calend 01'!H98-('V06 Calend 01'!I98*('V06 Calend 01'!E98-1))),'V06 Calend 01'!I98),0))+IF((137='V06 Calend 01'!D98),'V06 Calend 01'!J98,0))</f>
        <v>0</v>
      </c>
      <c r="ET98" s="2">
        <f>((IF((138='V06 Calend 01'!C98),('V06 Calend 01'!F98+'V06 Calend 01'!G98),0)+IF(AND(('V06 Calend 01'!E98&gt;0),(138&gt;'V06 Calend 01'!C98),(138&lt;'V06 Calend 01'!D98),(MOD((138-'V06 Calend 01'!C98),6)=0),(((138-'V06 Calend 01'!C98)/6)&lt;='V06 Calend 01'!E98)),IF((138=('V06 Calend 01'!C98+(6*'V06 Calend 01'!E98))),('V06 Calend 01'!H98-('V06 Calend 01'!I98*('V06 Calend 01'!E98-1))),'V06 Calend 01'!I98),0))+IF((138='V06 Calend 01'!D98),'V06 Calend 01'!J98,0))</f>
        <v>0</v>
      </c>
      <c r="EU98" s="2">
        <f>((IF((139='V06 Calend 01'!C98),('V06 Calend 01'!F98+'V06 Calend 01'!G98),0)+IF(AND(('V06 Calend 01'!E98&gt;0),(139&gt;'V06 Calend 01'!C98),(139&lt;'V06 Calend 01'!D98),(MOD((139-'V06 Calend 01'!C98),6)=0),(((139-'V06 Calend 01'!C98)/6)&lt;='V06 Calend 01'!E98)),IF((139=('V06 Calend 01'!C98+(6*'V06 Calend 01'!E98))),('V06 Calend 01'!H98-('V06 Calend 01'!I98*('V06 Calend 01'!E98-1))),'V06 Calend 01'!I98),0))+IF((139='V06 Calend 01'!D98),'V06 Calend 01'!J98,0))</f>
        <v>0</v>
      </c>
      <c r="EV98" s="2">
        <f>((IF((140='V06 Calend 01'!C98),('V06 Calend 01'!F98+'V06 Calend 01'!G98),0)+IF(AND(('V06 Calend 01'!E98&gt;0),(140&gt;'V06 Calend 01'!C98),(140&lt;'V06 Calend 01'!D98),(MOD((140-'V06 Calend 01'!C98),6)=0),(((140-'V06 Calend 01'!C98)/6)&lt;='V06 Calend 01'!E98)),IF((140=('V06 Calend 01'!C98+(6*'V06 Calend 01'!E98))),('V06 Calend 01'!H98-('V06 Calend 01'!I98*('V06 Calend 01'!E98-1))),'V06 Calend 01'!I98),0))+IF((140='V06 Calend 01'!D98),'V06 Calend 01'!J98,0))</f>
        <v>0</v>
      </c>
      <c r="EW98" s="2">
        <f>((IF((141='V06 Calend 01'!C98),('V06 Calend 01'!F98+'V06 Calend 01'!G98),0)+IF(AND(('V06 Calend 01'!E98&gt;0),(141&gt;'V06 Calend 01'!C98),(141&lt;'V06 Calend 01'!D98),(MOD((141-'V06 Calend 01'!C98),6)=0),(((141-'V06 Calend 01'!C98)/6)&lt;='V06 Calend 01'!E98)),IF((141=('V06 Calend 01'!C98+(6*'V06 Calend 01'!E98))),('V06 Calend 01'!H98-('V06 Calend 01'!I98*('V06 Calend 01'!E98-1))),'V06 Calend 01'!I98),0))+IF((141='V06 Calend 01'!D98),'V06 Calend 01'!J98,0))</f>
        <v>0</v>
      </c>
      <c r="EX98" s="2">
        <f>((IF((142='V06 Calend 01'!C98),('V06 Calend 01'!F98+'V06 Calend 01'!G98),0)+IF(AND(('V06 Calend 01'!E98&gt;0),(142&gt;'V06 Calend 01'!C98),(142&lt;'V06 Calend 01'!D98),(MOD((142-'V06 Calend 01'!C98),6)=0),(((142-'V06 Calend 01'!C98)/6)&lt;='V06 Calend 01'!E98)),IF((142=('V06 Calend 01'!C98+(6*'V06 Calend 01'!E98))),('V06 Calend 01'!H98-('V06 Calend 01'!I98*('V06 Calend 01'!E98-1))),'V06 Calend 01'!I98),0))+IF((142='V06 Calend 01'!D98),'V06 Calend 01'!J98,0))</f>
        <v>0</v>
      </c>
      <c r="EY98" s="2">
        <f>((IF((143='V06 Calend 01'!C98),('V06 Calend 01'!F98+'V06 Calend 01'!G98),0)+IF(AND(('V06 Calend 01'!E98&gt;0),(143&gt;'V06 Calend 01'!C98),(143&lt;'V06 Calend 01'!D98),(MOD((143-'V06 Calend 01'!C98),6)=0),(((143-'V06 Calend 01'!C98)/6)&lt;='V06 Calend 01'!E98)),IF((143=('V06 Calend 01'!C98+(6*'V06 Calend 01'!E98))),('V06 Calend 01'!H98-('V06 Calend 01'!I98*('V06 Calend 01'!E98-1))),'V06 Calend 01'!I98),0))+IF((143='V06 Calend 01'!D98),'V06 Calend 01'!J98,0))</f>
        <v>0</v>
      </c>
      <c r="EZ98" s="2">
        <f>((IF((144='V06 Calend 01'!C98),('V06 Calend 01'!F98+'V06 Calend 01'!G98),0)+IF(AND(('V06 Calend 01'!E98&gt;0),(144&gt;'V06 Calend 01'!C98),(144&lt;'V06 Calend 01'!D98),(MOD((144-'V06 Calend 01'!C98),6)=0),(((144-'V06 Calend 01'!C98)/6)&lt;='V06 Calend 01'!E98)),IF((144=('V06 Calend 01'!C98+(6*'V06 Calend 01'!E98))),('V06 Calend 01'!H98-('V06 Calend 01'!I98*('V06 Calend 01'!E98-1))),'V06 Calend 01'!I98),0))+IF((144='V06 Calend 01'!D98),'V06 Calend 01'!J98,0))</f>
        <v>0</v>
      </c>
      <c r="FA98" s="2">
        <f>((IF((145='V06 Calend 01'!C98),('V06 Calend 01'!F98+'V06 Calend 01'!G98),0)+IF(AND(('V06 Calend 01'!E98&gt;0),(145&gt;'V06 Calend 01'!C98),(145&lt;'V06 Calend 01'!D98),(MOD((145-'V06 Calend 01'!C98),6)=0),(((145-'V06 Calend 01'!C98)/6)&lt;='V06 Calend 01'!E98)),IF((145=('V06 Calend 01'!C98+(6*'V06 Calend 01'!E98))),('V06 Calend 01'!H98-('V06 Calend 01'!I98*('V06 Calend 01'!E98-1))),'V06 Calend 01'!I98),0))+IF((145='V06 Calend 01'!D98),'V06 Calend 01'!J98,0))</f>
        <v>0</v>
      </c>
      <c r="FB98" s="2">
        <f>((IF((146='V06 Calend 01'!C98),('V06 Calend 01'!F98+'V06 Calend 01'!G98),0)+IF(AND(('V06 Calend 01'!E98&gt;0),(146&gt;'V06 Calend 01'!C98),(146&lt;'V06 Calend 01'!D98),(MOD((146-'V06 Calend 01'!C98),6)=0),(((146-'V06 Calend 01'!C98)/6)&lt;='V06 Calend 01'!E98)),IF((146=('V06 Calend 01'!C98+(6*'V06 Calend 01'!E98))),('V06 Calend 01'!H98-('V06 Calend 01'!I98*('V06 Calend 01'!E98-1))),'V06 Calend 01'!I98),0))+IF((146='V06 Calend 01'!D98),'V06 Calend 01'!J98,0))</f>
        <v>0</v>
      </c>
      <c r="FC98" s="2">
        <f>((IF((147='V06 Calend 01'!C98),('V06 Calend 01'!F98+'V06 Calend 01'!G98),0)+IF(AND(('V06 Calend 01'!E98&gt;0),(147&gt;'V06 Calend 01'!C98),(147&lt;'V06 Calend 01'!D98),(MOD((147-'V06 Calend 01'!C98),6)=0),(((147-'V06 Calend 01'!C98)/6)&lt;='V06 Calend 01'!E98)),IF((147=('V06 Calend 01'!C98+(6*'V06 Calend 01'!E98))),('V06 Calend 01'!H98-('V06 Calend 01'!I98*('V06 Calend 01'!E98-1))),'V06 Calend 01'!I98),0))+IF((147='V06 Calend 01'!D98),'V06 Calend 01'!J98,0))</f>
        <v>0</v>
      </c>
      <c r="FD98" s="2">
        <f>((IF((148='V06 Calend 01'!C98),('V06 Calend 01'!F98+'V06 Calend 01'!G98),0)+IF(AND(('V06 Calend 01'!E98&gt;0),(148&gt;'V06 Calend 01'!C98),(148&lt;'V06 Calend 01'!D98),(MOD((148-'V06 Calend 01'!C98),6)=0),(((148-'V06 Calend 01'!C98)/6)&lt;='V06 Calend 01'!E98)),IF((148=('V06 Calend 01'!C98+(6*'V06 Calend 01'!E98))),('V06 Calend 01'!H98-('V06 Calend 01'!I98*('V06 Calend 01'!E98-1))),'V06 Calend 01'!I98),0))+IF((148='V06 Calend 01'!D98),'V06 Calend 01'!J98,0))</f>
        <v>0</v>
      </c>
      <c r="FE98" s="2">
        <f>((IF((149='V06 Calend 01'!C98),('V06 Calend 01'!F98+'V06 Calend 01'!G98),0)+IF(AND(('V06 Calend 01'!E98&gt;0),(149&gt;'V06 Calend 01'!C98),(149&lt;'V06 Calend 01'!D98),(MOD((149-'V06 Calend 01'!C98),6)=0),(((149-'V06 Calend 01'!C98)/6)&lt;='V06 Calend 01'!E98)),IF((149=('V06 Calend 01'!C98+(6*'V06 Calend 01'!E98))),('V06 Calend 01'!H98-('V06 Calend 01'!I98*('V06 Calend 01'!E98-1))),'V06 Calend 01'!I98),0))+IF((149='V06 Calend 01'!D98),'V06 Calend 01'!J98,0))</f>
        <v>0</v>
      </c>
      <c r="FF98" s="2">
        <f>((IF((150='V06 Calend 01'!C98),('V06 Calend 01'!F98+'V06 Calend 01'!G98),0)+IF(AND(('V06 Calend 01'!E98&gt;0),(150&gt;'V06 Calend 01'!C98),(150&lt;'V06 Calend 01'!D98),(MOD((150-'V06 Calend 01'!C98),6)=0),(((150-'V06 Calend 01'!C98)/6)&lt;='V06 Calend 01'!E98)),IF((150=('V06 Calend 01'!C98+(6*'V06 Calend 01'!E98))),('V06 Calend 01'!H98-('V06 Calend 01'!I98*('V06 Calend 01'!E98-1))),'V06 Calend 01'!I98),0))+IF((150='V06 Calend 01'!D98),'V06 Calend 01'!J98,0))</f>
        <v>0</v>
      </c>
      <c r="FG98" s="2">
        <f>((IF((151='V06 Calend 01'!C98),('V06 Calend 01'!F98+'V06 Calend 01'!G98),0)+IF(AND(('V06 Calend 01'!E98&gt;0),(151&gt;'V06 Calend 01'!C98),(151&lt;'V06 Calend 01'!D98),(MOD((151-'V06 Calend 01'!C98),6)=0),(((151-'V06 Calend 01'!C98)/6)&lt;='V06 Calend 01'!E98)),IF((151=('V06 Calend 01'!C98+(6*'V06 Calend 01'!E98))),('V06 Calend 01'!H98-('V06 Calend 01'!I98*('V06 Calend 01'!E98-1))),'V06 Calend 01'!I98),0))+IF((151='V06 Calend 01'!D98),'V06 Calend 01'!J98,0))</f>
        <v>0</v>
      </c>
      <c r="FH98" s="2">
        <f>((IF((152='V06 Calend 01'!C98),('V06 Calend 01'!F98+'V06 Calend 01'!G98),0)+IF(AND(('V06 Calend 01'!E98&gt;0),(152&gt;'V06 Calend 01'!C98),(152&lt;'V06 Calend 01'!D98),(MOD((152-'V06 Calend 01'!C98),6)=0),(((152-'V06 Calend 01'!C98)/6)&lt;='V06 Calend 01'!E98)),IF((152=('V06 Calend 01'!C98+(6*'V06 Calend 01'!E98))),('V06 Calend 01'!H98-('V06 Calend 01'!I98*('V06 Calend 01'!E98-1))),'V06 Calend 01'!I98),0))+IF((152='V06 Calend 01'!D98),'V06 Calend 01'!J98,0))</f>
        <v>0</v>
      </c>
      <c r="FI98" s="2">
        <f>((IF((153='V06 Calend 01'!C98),('V06 Calend 01'!F98+'V06 Calend 01'!G98),0)+IF(AND(('V06 Calend 01'!E98&gt;0),(153&gt;'V06 Calend 01'!C98),(153&lt;'V06 Calend 01'!D98),(MOD((153-'V06 Calend 01'!C98),6)=0),(((153-'V06 Calend 01'!C98)/6)&lt;='V06 Calend 01'!E98)),IF((153=('V06 Calend 01'!C98+(6*'V06 Calend 01'!E98))),('V06 Calend 01'!H98-('V06 Calend 01'!I98*('V06 Calend 01'!E98-1))),'V06 Calend 01'!I98),0))+IF((153='V06 Calend 01'!D98),'V06 Calend 01'!J98,0))</f>
        <v>0</v>
      </c>
      <c r="FJ98" s="2">
        <f>((IF((154='V06 Calend 01'!C98),('V06 Calend 01'!F98+'V06 Calend 01'!G98),0)+IF(AND(('V06 Calend 01'!E98&gt;0),(154&gt;'V06 Calend 01'!C98),(154&lt;'V06 Calend 01'!D98),(MOD((154-'V06 Calend 01'!C98),6)=0),(((154-'V06 Calend 01'!C98)/6)&lt;='V06 Calend 01'!E98)),IF((154=('V06 Calend 01'!C98+(6*'V06 Calend 01'!E98))),('V06 Calend 01'!H98-('V06 Calend 01'!I98*('V06 Calend 01'!E98-1))),'V06 Calend 01'!I98),0))+IF((154='V06 Calend 01'!D98),'V06 Calend 01'!J98,0))</f>
        <v>0</v>
      </c>
      <c r="FK98" s="2">
        <f>((IF((155='V06 Calend 01'!C98),('V06 Calend 01'!F98+'V06 Calend 01'!G98),0)+IF(AND(('V06 Calend 01'!E98&gt;0),(155&gt;'V06 Calend 01'!C98),(155&lt;'V06 Calend 01'!D98),(MOD((155-'V06 Calend 01'!C98),6)=0),(((155-'V06 Calend 01'!C98)/6)&lt;='V06 Calend 01'!E98)),IF((155=('V06 Calend 01'!C98+(6*'V06 Calend 01'!E98))),('V06 Calend 01'!H98-('V06 Calend 01'!I98*('V06 Calend 01'!E98-1))),'V06 Calend 01'!I98),0))+IF((155='V06 Calend 01'!D98),'V06 Calend 01'!J98,0))</f>
        <v>0</v>
      </c>
      <c r="FL98" s="2">
        <f>((IF((156='V06 Calend 01'!C98),('V06 Calend 01'!F98+'V06 Calend 01'!G98),0)+IF(AND(('V06 Calend 01'!E98&gt;0),(156&gt;'V06 Calend 01'!C98),(156&lt;'V06 Calend 01'!D98),(MOD((156-'V06 Calend 01'!C98),6)=0),(((156-'V06 Calend 01'!C98)/6)&lt;='V06 Calend 01'!E98)),IF((156=('V06 Calend 01'!C98+(6*'V06 Calend 01'!E98))),('V06 Calend 01'!H98-('V06 Calend 01'!I98*('V06 Calend 01'!E98-1))),'V06 Calend 01'!I98),0))+IF((156='V06 Calend 01'!D98),'V06 Calend 01'!J98,0))</f>
        <v>0</v>
      </c>
      <c r="FM98" s="2">
        <f>((IF((157='V06 Calend 01'!C98),('V06 Calend 01'!F98+'V06 Calend 01'!G98),0)+IF(AND(('V06 Calend 01'!E98&gt;0),(157&gt;'V06 Calend 01'!C98),(157&lt;'V06 Calend 01'!D98),(MOD((157-'V06 Calend 01'!C98),6)=0),(((157-'V06 Calend 01'!C98)/6)&lt;='V06 Calend 01'!E98)),IF((157=('V06 Calend 01'!C98+(6*'V06 Calend 01'!E98))),('V06 Calend 01'!H98-('V06 Calend 01'!I98*('V06 Calend 01'!E98-1))),'V06 Calend 01'!I98),0))+IF((157='V06 Calend 01'!D98),'V06 Calend 01'!J98,0))</f>
        <v>0</v>
      </c>
      <c r="FN98" s="2">
        <f>((IF((158='V06 Calend 01'!C98),('V06 Calend 01'!F98+'V06 Calend 01'!G98),0)+IF(AND(('V06 Calend 01'!E98&gt;0),(158&gt;'V06 Calend 01'!C98),(158&lt;'V06 Calend 01'!D98),(MOD((158-'V06 Calend 01'!C98),6)=0),(((158-'V06 Calend 01'!C98)/6)&lt;='V06 Calend 01'!E98)),IF((158=('V06 Calend 01'!C98+(6*'V06 Calend 01'!E98))),('V06 Calend 01'!H98-('V06 Calend 01'!I98*('V06 Calend 01'!E98-1))),'V06 Calend 01'!I98),0))+IF((158='V06 Calend 01'!D98),'V06 Calend 01'!J98,0))</f>
        <v>0</v>
      </c>
      <c r="FO98" s="2">
        <f>((IF((159='V06 Calend 01'!C98),('V06 Calend 01'!F98+'V06 Calend 01'!G98),0)+IF(AND(('V06 Calend 01'!E98&gt;0),(159&gt;'V06 Calend 01'!C98),(159&lt;'V06 Calend 01'!D98),(MOD((159-'V06 Calend 01'!C98),6)=0),(((159-'V06 Calend 01'!C98)/6)&lt;='V06 Calend 01'!E98)),IF((159=('V06 Calend 01'!C98+(6*'V06 Calend 01'!E98))),('V06 Calend 01'!H98-('V06 Calend 01'!I98*('V06 Calend 01'!E98-1))),'V06 Calend 01'!I98),0))+IF((159='V06 Calend 01'!D98),'V06 Calend 01'!J98,0))</f>
        <v>0</v>
      </c>
      <c r="FP98" s="2">
        <f>((IF((160='V06 Calend 01'!C98),('V06 Calend 01'!F98+'V06 Calend 01'!G98),0)+IF(AND(('V06 Calend 01'!E98&gt;0),(160&gt;'V06 Calend 01'!C98),(160&lt;'V06 Calend 01'!D98),(MOD((160-'V06 Calend 01'!C98),6)=0),(((160-'V06 Calend 01'!C98)/6)&lt;='V06 Calend 01'!E98)),IF((160=('V06 Calend 01'!C98+(6*'V06 Calend 01'!E98))),('V06 Calend 01'!H98-('V06 Calend 01'!I98*('V06 Calend 01'!E98-1))),'V06 Calend 01'!I98),0))+IF((160='V06 Calend 01'!D98),'V06 Calend 01'!J98,0))</f>
        <v>0</v>
      </c>
      <c r="FQ98" s="2">
        <f>((IF((161='V06 Calend 01'!C98),('V06 Calend 01'!F98+'V06 Calend 01'!G98),0)+IF(AND(('V06 Calend 01'!E98&gt;0),(161&gt;'V06 Calend 01'!C98),(161&lt;'V06 Calend 01'!D98),(MOD((161-'V06 Calend 01'!C98),6)=0),(((161-'V06 Calend 01'!C98)/6)&lt;='V06 Calend 01'!E98)),IF((161=('V06 Calend 01'!C98+(6*'V06 Calend 01'!E98))),('V06 Calend 01'!H98-('V06 Calend 01'!I98*('V06 Calend 01'!E98-1))),'V06 Calend 01'!I98),0))+IF((161='V06 Calend 01'!D98),'V06 Calend 01'!J98,0))</f>
        <v>0</v>
      </c>
      <c r="FR98" s="2">
        <f>((IF((162='V06 Calend 01'!C98),('V06 Calend 01'!F98+'V06 Calend 01'!G98),0)+IF(AND(('V06 Calend 01'!E98&gt;0),(162&gt;'V06 Calend 01'!C98),(162&lt;'V06 Calend 01'!D98),(MOD((162-'V06 Calend 01'!C98),6)=0),(((162-'V06 Calend 01'!C98)/6)&lt;='V06 Calend 01'!E98)),IF((162=('V06 Calend 01'!C98+(6*'V06 Calend 01'!E98))),('V06 Calend 01'!H98-('V06 Calend 01'!I98*('V06 Calend 01'!E98-1))),'V06 Calend 01'!I98),0))+IF((162='V06 Calend 01'!D98),'V06 Calend 01'!J98,0))</f>
        <v>0</v>
      </c>
      <c r="FS98" s="2">
        <f>((IF((163='V06 Calend 01'!C98),('V06 Calend 01'!F98+'V06 Calend 01'!G98),0)+IF(AND(('V06 Calend 01'!E98&gt;0),(163&gt;'V06 Calend 01'!C98),(163&lt;'V06 Calend 01'!D98),(MOD((163-'V06 Calend 01'!C98),6)=0),(((163-'V06 Calend 01'!C98)/6)&lt;='V06 Calend 01'!E98)),IF((163=('V06 Calend 01'!C98+(6*'V06 Calend 01'!E98))),('V06 Calend 01'!H98-('V06 Calend 01'!I98*('V06 Calend 01'!E98-1))),'V06 Calend 01'!I98),0))+IF((163='V06 Calend 01'!D98),'V06 Calend 01'!J98,0))</f>
        <v>0</v>
      </c>
      <c r="FT98" s="2">
        <f>((IF((164='V06 Calend 01'!C98),('V06 Calend 01'!F98+'V06 Calend 01'!G98),0)+IF(AND(('V06 Calend 01'!E98&gt;0),(164&gt;'V06 Calend 01'!C98),(164&lt;'V06 Calend 01'!D98),(MOD((164-'V06 Calend 01'!C98),6)=0),(((164-'V06 Calend 01'!C98)/6)&lt;='V06 Calend 01'!E98)),IF((164=('V06 Calend 01'!C98+(6*'V06 Calend 01'!E98))),('V06 Calend 01'!H98-('V06 Calend 01'!I98*('V06 Calend 01'!E98-1))),'V06 Calend 01'!I98),0))+IF((164='V06 Calend 01'!D98),'V06 Calend 01'!J98,0))</f>
        <v>0</v>
      </c>
      <c r="FU98" s="2">
        <f>((IF((165='V06 Calend 01'!C98),('V06 Calend 01'!F98+'V06 Calend 01'!G98),0)+IF(AND(('V06 Calend 01'!E98&gt;0),(165&gt;'V06 Calend 01'!C98),(165&lt;'V06 Calend 01'!D98),(MOD((165-'V06 Calend 01'!C98),6)=0),(((165-'V06 Calend 01'!C98)/6)&lt;='V06 Calend 01'!E98)),IF((165=('V06 Calend 01'!C98+(6*'V06 Calend 01'!E98))),('V06 Calend 01'!H98-('V06 Calend 01'!I98*('V06 Calend 01'!E98-1))),'V06 Calend 01'!I98),0))+IF((165='V06 Calend 01'!D98),'V06 Calend 01'!J98,0))</f>
        <v>0</v>
      </c>
      <c r="FV98" s="2">
        <f>((IF((166='V06 Calend 01'!C98),('V06 Calend 01'!F98+'V06 Calend 01'!G98),0)+IF(AND(('V06 Calend 01'!E98&gt;0),(166&gt;'V06 Calend 01'!C98),(166&lt;'V06 Calend 01'!D98),(MOD((166-'V06 Calend 01'!C98),6)=0),(((166-'V06 Calend 01'!C98)/6)&lt;='V06 Calend 01'!E98)),IF((166=('V06 Calend 01'!C98+(6*'V06 Calend 01'!E98))),('V06 Calend 01'!H98-('V06 Calend 01'!I98*('V06 Calend 01'!E98-1))),'V06 Calend 01'!I98),0))+IF((166='V06 Calend 01'!D98),'V06 Calend 01'!J98,0))</f>
        <v>0</v>
      </c>
      <c r="FW98" s="2">
        <f>((IF((167='V06 Calend 01'!C98),('V06 Calend 01'!F98+'V06 Calend 01'!G98),0)+IF(AND(('V06 Calend 01'!E98&gt;0),(167&gt;'V06 Calend 01'!C98),(167&lt;'V06 Calend 01'!D98),(MOD((167-'V06 Calend 01'!C98),6)=0),(((167-'V06 Calend 01'!C98)/6)&lt;='V06 Calend 01'!E98)),IF((167=('V06 Calend 01'!C98+(6*'V06 Calend 01'!E98))),('V06 Calend 01'!H98-('V06 Calend 01'!I98*('V06 Calend 01'!E98-1))),'V06 Calend 01'!I98),0))+IF((167='V06 Calend 01'!D98),'V06 Calend 01'!J98,0))</f>
        <v>0</v>
      </c>
      <c r="FX98" s="2">
        <f>((IF((168='V06 Calend 01'!C98),('V06 Calend 01'!F98+'V06 Calend 01'!G98),0)+IF(AND(('V06 Calend 01'!E98&gt;0),(168&gt;'V06 Calend 01'!C98),(168&lt;'V06 Calend 01'!D98),(MOD((168-'V06 Calend 01'!C98),6)=0),(((168-'V06 Calend 01'!C98)/6)&lt;='V06 Calend 01'!E98)),IF((168=('V06 Calend 01'!C98+(6*'V06 Calend 01'!E98))),('V06 Calend 01'!H98-('V06 Calend 01'!I98*('V06 Calend 01'!E98-1))),'V06 Calend 01'!I98),0))+IF((168='V06 Calend 01'!D98),'V06 Calend 01'!J98,0))</f>
        <v>0</v>
      </c>
      <c r="FY98" s="2">
        <f>((IF((169='V06 Calend 01'!C98),('V06 Calend 01'!F98+'V06 Calend 01'!G98),0)+IF(AND(('V06 Calend 01'!E98&gt;0),(169&gt;'V06 Calend 01'!C98),(169&lt;'V06 Calend 01'!D98),(MOD((169-'V06 Calend 01'!C98),6)=0),(((169-'V06 Calend 01'!C98)/6)&lt;='V06 Calend 01'!E98)),IF((169=('V06 Calend 01'!C98+(6*'V06 Calend 01'!E98))),('V06 Calend 01'!H98-('V06 Calend 01'!I98*('V06 Calend 01'!E98-1))),'V06 Calend 01'!I98),0))+IF((169='V06 Calend 01'!D98),'V06 Calend 01'!J98,0))</f>
        <v>0</v>
      </c>
      <c r="FZ98" s="2">
        <f>((IF((170='V06 Calend 01'!C98),('V06 Calend 01'!F98+'V06 Calend 01'!G98),0)+IF(AND(('V06 Calend 01'!E98&gt;0),(170&gt;'V06 Calend 01'!C98),(170&lt;'V06 Calend 01'!D98),(MOD((170-'V06 Calend 01'!C98),6)=0),(((170-'V06 Calend 01'!C98)/6)&lt;='V06 Calend 01'!E98)),IF((170=('V06 Calend 01'!C98+(6*'V06 Calend 01'!E98))),('V06 Calend 01'!H98-('V06 Calend 01'!I98*('V06 Calend 01'!E98-1))),'V06 Calend 01'!I98),0))+IF((170='V06 Calend 01'!D98),'V06 Calend 01'!J98,0))</f>
        <v>0</v>
      </c>
      <c r="GA98" s="2">
        <f>((IF((171='V06 Calend 01'!C98),('V06 Calend 01'!F98+'V06 Calend 01'!G98),0)+IF(AND(('V06 Calend 01'!E98&gt;0),(171&gt;'V06 Calend 01'!C98),(171&lt;'V06 Calend 01'!D98),(MOD((171-'V06 Calend 01'!C98),6)=0),(((171-'V06 Calend 01'!C98)/6)&lt;='V06 Calend 01'!E98)),IF((171=('V06 Calend 01'!C98+(6*'V06 Calend 01'!E98))),('V06 Calend 01'!H98-('V06 Calend 01'!I98*('V06 Calend 01'!E98-1))),'V06 Calend 01'!I98),0))+IF((171='V06 Calend 01'!D98),'V06 Calend 01'!J98,0))</f>
        <v>0</v>
      </c>
      <c r="GB98" s="2">
        <f>((IF((172='V06 Calend 01'!C98),('V06 Calend 01'!F98+'V06 Calend 01'!G98),0)+IF(AND(('V06 Calend 01'!E98&gt;0),(172&gt;'V06 Calend 01'!C98),(172&lt;'V06 Calend 01'!D98),(MOD((172-'V06 Calend 01'!C98),6)=0),(((172-'V06 Calend 01'!C98)/6)&lt;='V06 Calend 01'!E98)),IF((172=('V06 Calend 01'!C98+(6*'V06 Calend 01'!E98))),('V06 Calend 01'!H98-('V06 Calend 01'!I98*('V06 Calend 01'!E98-1))),'V06 Calend 01'!I98),0))+IF((172='V06 Calend 01'!D98),'V06 Calend 01'!J98,0))</f>
        <v>0</v>
      </c>
      <c r="GC98" s="2">
        <f>((IF((173='V06 Calend 01'!C98),('V06 Calend 01'!F98+'V06 Calend 01'!G98),0)+IF(AND(('V06 Calend 01'!E98&gt;0),(173&gt;'V06 Calend 01'!C98),(173&lt;'V06 Calend 01'!D98),(MOD((173-'V06 Calend 01'!C98),6)=0),(((173-'V06 Calend 01'!C98)/6)&lt;='V06 Calend 01'!E98)),IF((173=('V06 Calend 01'!C98+(6*'V06 Calend 01'!E98))),('V06 Calend 01'!H98-('V06 Calend 01'!I98*('V06 Calend 01'!E98-1))),'V06 Calend 01'!I98),0))+IF((173='V06 Calend 01'!D98),'V06 Calend 01'!J98,0))</f>
        <v>0</v>
      </c>
      <c r="GD98" s="2">
        <f>((IF((174='V06 Calend 01'!C98),('V06 Calend 01'!F98+'V06 Calend 01'!G98),0)+IF(AND(('V06 Calend 01'!E98&gt;0),(174&gt;'V06 Calend 01'!C98),(174&lt;'V06 Calend 01'!D98),(MOD((174-'V06 Calend 01'!C98),6)=0),(((174-'V06 Calend 01'!C98)/6)&lt;='V06 Calend 01'!E98)),IF((174=('V06 Calend 01'!C98+(6*'V06 Calend 01'!E98))),('V06 Calend 01'!H98-('V06 Calend 01'!I98*('V06 Calend 01'!E98-1))),'V06 Calend 01'!I98),0))+IF((174='V06 Calend 01'!D98),'V06 Calend 01'!J98,0))</f>
        <v>0</v>
      </c>
      <c r="GE98" s="2">
        <f>((IF((175='V06 Calend 01'!C98),('V06 Calend 01'!F98+'V06 Calend 01'!G98),0)+IF(AND(('V06 Calend 01'!E98&gt;0),(175&gt;'V06 Calend 01'!C98),(175&lt;'V06 Calend 01'!D98),(MOD((175-'V06 Calend 01'!C98),6)=0),(((175-'V06 Calend 01'!C98)/6)&lt;='V06 Calend 01'!E98)),IF((175=('V06 Calend 01'!C98+(6*'V06 Calend 01'!E98))),('V06 Calend 01'!H98-('V06 Calend 01'!I98*('V06 Calend 01'!E98-1))),'V06 Calend 01'!I98),0))+IF((175='V06 Calend 01'!D98),'V06 Calend 01'!J98,0))</f>
        <v>0</v>
      </c>
      <c r="GF98" s="2">
        <f>((IF((176='V06 Calend 01'!C98),('V06 Calend 01'!F98+'V06 Calend 01'!G98),0)+IF(AND(('V06 Calend 01'!E98&gt;0),(176&gt;'V06 Calend 01'!C98),(176&lt;'V06 Calend 01'!D98),(MOD((176-'V06 Calend 01'!C98),6)=0),(((176-'V06 Calend 01'!C98)/6)&lt;='V06 Calend 01'!E98)),IF((176=('V06 Calend 01'!C98+(6*'V06 Calend 01'!E98))),('V06 Calend 01'!H98-('V06 Calend 01'!I98*('V06 Calend 01'!E98-1))),'V06 Calend 01'!I98),0))+IF((176='V06 Calend 01'!D98),'V06 Calend 01'!J98,0))</f>
        <v>0</v>
      </c>
      <c r="GG98" s="2">
        <f>((IF((177='V06 Calend 01'!C98),('V06 Calend 01'!F98+'V06 Calend 01'!G98),0)+IF(AND(('V06 Calend 01'!E98&gt;0),(177&gt;'V06 Calend 01'!C98),(177&lt;'V06 Calend 01'!D98),(MOD((177-'V06 Calend 01'!C98),6)=0),(((177-'V06 Calend 01'!C98)/6)&lt;='V06 Calend 01'!E98)),IF((177=('V06 Calend 01'!C98+(6*'V06 Calend 01'!E98))),('V06 Calend 01'!H98-('V06 Calend 01'!I98*('V06 Calend 01'!E98-1))),'V06 Calend 01'!I98),0))+IF((177='V06 Calend 01'!D98),'V06 Calend 01'!J98,0))</f>
        <v>0</v>
      </c>
      <c r="GH98" s="2">
        <f>((IF((178='V06 Calend 01'!C98),('V06 Calend 01'!F98+'V06 Calend 01'!G98),0)+IF(AND(('V06 Calend 01'!E98&gt;0),(178&gt;'V06 Calend 01'!C98),(178&lt;'V06 Calend 01'!D98),(MOD((178-'V06 Calend 01'!C98),6)=0),(((178-'V06 Calend 01'!C98)/6)&lt;='V06 Calend 01'!E98)),IF((178=('V06 Calend 01'!C98+(6*'V06 Calend 01'!E98))),('V06 Calend 01'!H98-('V06 Calend 01'!I98*('V06 Calend 01'!E98-1))),'V06 Calend 01'!I98),0))+IF((178='V06 Calend 01'!D98),'V06 Calend 01'!J98,0))</f>
        <v>0</v>
      </c>
      <c r="GI98" s="2">
        <f>((IF((179='V06 Calend 01'!C98),('V06 Calend 01'!F98+'V06 Calend 01'!G98),0)+IF(AND(('V06 Calend 01'!E98&gt;0),(179&gt;'V06 Calend 01'!C98),(179&lt;'V06 Calend 01'!D98),(MOD((179-'V06 Calend 01'!C98),6)=0),(((179-'V06 Calend 01'!C98)/6)&lt;='V06 Calend 01'!E98)),IF((179=('V06 Calend 01'!C98+(6*'V06 Calend 01'!E98))),('V06 Calend 01'!H98-('V06 Calend 01'!I98*('V06 Calend 01'!E98-1))),'V06 Calend 01'!I98),0))+IF((179='V06 Calend 01'!D98),'V06 Calend 01'!J98,0))</f>
        <v>0</v>
      </c>
      <c r="GJ98" s="2">
        <f>((IF((180='V06 Calend 01'!C98),('V06 Calend 01'!F98+'V06 Calend 01'!G98),0)+IF(AND(('V06 Calend 01'!E98&gt;0),(180&gt;'V06 Calend 01'!C98),(180&lt;'V06 Calend 01'!D98),(MOD((180-'V06 Calend 01'!C98),6)=0),(((180-'V06 Calend 01'!C98)/6)&lt;='V06 Calend 01'!E98)),IF((180=('V06 Calend 01'!C98+(6*'V06 Calend 01'!E98))),('V06 Calend 01'!H98-('V06 Calend 01'!I98*('V06 Calend 01'!E98-1))),'V06 Calend 01'!I98),0))+IF((180='V06 Calend 01'!D98),'V06 Calend 01'!J98,0))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4:P184"/>
  <sheetViews>
    <sheetView workbookViewId="0"/>
  </sheetViews>
  <sheetFormatPr defaultRowHeight="15"/>
  <sheetData>
    <row r="4" spans="1:16">
      <c r="A4" s="1" t="s">
        <v>379</v>
      </c>
      <c r="B4" s="1"/>
      <c r="C4" s="1" t="s">
        <v>380</v>
      </c>
      <c r="D4" s="1"/>
      <c r="E4" s="1"/>
      <c r="F4" s="1"/>
      <c r="G4" s="1" t="s">
        <v>381</v>
      </c>
      <c r="H4" s="1" t="s">
        <v>382</v>
      </c>
      <c r="I4" s="1"/>
      <c r="J4" s="1"/>
      <c r="K4" s="1"/>
      <c r="L4" s="1"/>
      <c r="M4" s="1"/>
      <c r="N4" s="1"/>
      <c r="O4" s="1" t="s">
        <v>383</v>
      </c>
      <c r="P4" s="1" t="s">
        <v>384</v>
      </c>
    </row>
    <row r="5" spans="1:16">
      <c r="A5">
        <v>1</v>
      </c>
      <c r="C5">
        <v>30</v>
      </c>
      <c r="G5" s="2">
        <f>IF('V06 Motor'!A5&lt;='V06 Motor'!C5,SUMPRODUCT('V06 Curva'!$B$5:$B$34,IF((IF('V06 Motor'!A5*30/'V06 Motor'!C5&lt;'V06 Curva'!$A$5:$A$34,'V06 Motor'!A5*30/'V06 Motor'!C5,'V06 Curva'!$A$5:$A$34)-IF(('V06 Motor'!A5-1)*30/'V06 Motor'!C5&gt;'V06 Curva'!$A$5:$A$34-1,('V06 Motor'!A5-1)*30/'V06 Motor'!C5,'V06 Curva'!$A$5:$A$34-1))&gt;0,(IF('V06 Motor'!A5*30/'V06 Motor'!C5&lt;'V06 Curva'!$A$5:$A$34,'V06 Motor'!A5*30/'V06 Motor'!C5,'V06 Curva'!$A$5:$A$34)-IF(('V06 Motor'!A5-1)*30/'V06 Motor'!C5&gt;'V06 Curva'!$A$5:$A$34-1,('V06 Motor'!A5-1)*30/'V06 Motor'!C5,'V06 Curva'!$A$5:$A$34-1)),0)),0)</f>
        <v>0.01</v>
      </c>
      <c r="H5" s="2">
        <f>IF('V06 Motor'!A5&lt;='V06 Motor'!C5,SUM(MAX(0,MIN('V06 Motor'!A5*30/'V06 Motor'!C5,1)-MAX(('V06 Motor'!A5-1)*30/'V06 Motor'!C5,0))*'V06 Curva'!$B$5,MAX(0,MIN('V06 Motor'!A5*30/'V06 Motor'!C5,2)-MAX(('V06 Motor'!A5-1)*30/'V06 Motor'!C5,1))*'V06 Curva'!$B$6,MAX(0,MIN('V06 Motor'!A5*30/'V06 Motor'!C5,3)-MAX(('V06 Motor'!A5-1)*30/'V06 Motor'!C5,2))*'V06 Curva'!$B$7,MAX(0,MIN('V06 Motor'!A5*30/'V06 Motor'!C5,4)-MAX(('V06 Motor'!A5-1)*30/'V06 Motor'!C5,3))*'V06 Curva'!$B$8,MAX(0,MIN('V06 Motor'!A5*30/'V06 Motor'!C5,5)-MAX(('V06 Motor'!A5-1)*30/'V06 Motor'!C5,4))*'V06 Curva'!$B$9,MAX(0,MIN('V06 Motor'!A5*30/'V06 Motor'!C5,6)-MAX(('V06 Motor'!A5-1)*30/'V06 Motor'!C5,5))*'V06 Curva'!$B$10,MAX(0,MIN('V06 Motor'!A5*30/'V06 Motor'!C5,7)-MAX(('V06 Motor'!A5-1)*30/'V06 Motor'!C5,6))*'V06 Curva'!$B$11,MAX(0,MIN('V06 Motor'!A5*30/'V06 Motor'!C5,8)-MAX(('V06 Motor'!A5-1)*30/'V06 Motor'!C5,7))*'V06 Curva'!$B$12,MAX(0,MIN('V06 Motor'!A5*30/'V06 Motor'!C5,9)-MAX(('V06 Motor'!A5-1)*30/'V06 Motor'!C5,8))*'V06 Curva'!$B$13,MAX(0,MIN('V06 Motor'!A5*30/'V06 Motor'!C5,10)-MAX(('V06 Motor'!A5-1)*30/'V06 Motor'!C5,9))*'V06 Curva'!$B$14,MAX(0,MIN('V06 Motor'!A5*30/'V06 Motor'!C5,11)-MAX(('V06 Motor'!A5-1)*30/'V06 Motor'!C5,10))*'V06 Curva'!$B$15,MAX(0,MIN('V06 Motor'!A5*30/'V06 Motor'!C5,12)-MAX(('V06 Motor'!A5-1)*30/'V06 Motor'!C5,11))*'V06 Curva'!$B$16,MAX(0,MIN('V06 Motor'!A5*30/'V06 Motor'!C5,13)-MAX(('V06 Motor'!A5-1)*30/'V06 Motor'!C5,12))*'V06 Curva'!$B$17,MAX(0,MIN('V06 Motor'!A5*30/'V06 Motor'!C5,14)-MAX(('V06 Motor'!A5-1)*30/'V06 Motor'!C5,13))*'V06 Curva'!$B$18,MAX(0,MIN('V06 Motor'!A5*30/'V06 Motor'!C5,15)-MAX(('V06 Motor'!A5-1)*30/'V06 Motor'!C5,14))*'V06 Curva'!$B$19,MAX(0,MIN('V06 Motor'!A5*30/'V06 Motor'!C5,16)-MAX(('V06 Motor'!A5-1)*30/'V06 Motor'!C5,15))*'V06 Curva'!$B$20,MAX(0,MIN('V06 Motor'!A5*30/'V06 Motor'!C5,17)-MAX(('V06 Motor'!A5-1)*30/'V06 Motor'!C5,16))*'V06 Curva'!$B$21,MAX(0,MIN('V06 Motor'!A5*30/'V06 Motor'!C5,18)-MAX(('V06 Motor'!A5-1)*30/'V06 Motor'!C5,17))*'V06 Curva'!$B$22,MAX(0,MIN('V06 Motor'!A5*30/'V06 Motor'!C5,19)-MAX(('V06 Motor'!A5-1)*30/'V06 Motor'!C5,18))*'V06 Curva'!$B$23,MAX(0,MIN('V06 Motor'!A5*30/'V06 Motor'!C5,20)-MAX(('V06 Motor'!A5-1)*30/'V06 Motor'!C5,19))*'V06 Curva'!$B$24,MAX(0,MIN('V06 Motor'!A5*30/'V06 Motor'!C5,21)-MAX(('V06 Motor'!A5-1)*30/'V06 Motor'!C5,20))*'V06 Curva'!$B$25,MAX(0,MIN('V06 Motor'!A5*30/'V06 Motor'!C5,22)-MAX(('V06 Motor'!A5-1)*30/'V06 Motor'!C5,21))*'V06 Curva'!$B$26,MAX(0,MIN('V06 Motor'!A5*30/'V06 Motor'!C5,23)-MAX(('V06 Motor'!A5-1)*30/'V06 Motor'!C5,22))*'V06 Curva'!$B$27,MAX(0,MIN('V06 Motor'!A5*30/'V06 Motor'!C5,24)-MAX(('V06 Motor'!A5-1)*30/'V06 Motor'!C5,23))*'V06 Curva'!$B$28,MAX(0,MIN('V06 Motor'!A5*30/'V06 Motor'!C5,25)-MAX(('V06 Motor'!A5-1)*30/'V06 Motor'!C5,24))*'V06 Curva'!$B$29,MAX(0,MIN('V06 Motor'!A5*30/'V06 Motor'!C5,26)-MAX(('V06 Motor'!A5-1)*30/'V06 Motor'!C5,25))*'V06 Curva'!$B$30,MAX(0,MIN('V06 Motor'!A5*30/'V06 Motor'!C5,27)-MAX(('V06 Motor'!A5-1)*30/'V06 Motor'!C5,26))*'V06 Curva'!$B$31,MAX(0,MIN('V06 Motor'!A5*30/'V06 Motor'!C5,28)-MAX(('V06 Motor'!A5-1)*30/'V06 Motor'!C5,27))*'V06 Curva'!$B$32,MAX(0,MIN('V06 Motor'!A5*30/'V06 Motor'!C5,29)-MAX(('V06 Motor'!A5-1)*30/'V06 Motor'!C5,28))*'V06 Curva'!$B$33,MAX(0,MIN('V06 Motor'!A5*30/'V06 Motor'!C5,30)-MAX(('V06 Motor'!A5-1)*30/'V06 Motor'!C5,29))*'V06 Curva'!$B$34),0)</f>
        <v>0.01</v>
      </c>
      <c r="O5" s="2">
        <f>SUMPRODUCT(--(('V06 Unidades'!$I$5:$I$98+'V06 Controlos'!$B$37)='V06 Motor'!A5),ROUND('V06 Unidades'!$H$5:$H$98*0.05,2)+ROUND('V06 Unidades'!$H$5:$H$98*0.2,2))+SUMPRODUCT(--(IF('V06 Controlos'!$B$38&gt;0,IF(('V06 Unidades'!$L$5:$L$98+'V06 Controlos'!$B$37)&lt;'V06 Motor'!C5,'V06 Motor'!C5,('V06 Unidades'!$L$5:$L$98+'V06 Controlos'!$B$37)),('V06 Unidades'!$L$5:$L$98+'V06 Controlos'!$B$37))='V06 Motor'!A5),'V06 Unidades'!$H$5:$H$98-ROUND('V06 Unidades'!$H$5:$H$98*0.05,2)-ROUND('V06 Unidades'!$H$5:$H$98*0.2,2)-ROUND('V06 Unidades'!$H$5:$H$98*0.55,2))+SUMPRODUCT(--(IF(INT((IF('V06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Controlos'!$B$37)-1)/6),0)&gt;0),--('V06 Motor'!A5&gt;('V06 Unidades'!$I$5:$I$98+'V06 Controlos'!$B$37)),--('V06 Motor'!A5&lt;IF('V06 Controlos'!$B$38&gt;0,IF(('V06 Unidades'!$L$5:$L$98+'V06 Controlos'!$B$37)&lt;'V06 Motor'!C5,'V06 Motor'!C5,('V06 Unidades'!$L$5:$L$98+'V06 Controlos'!$B$37)),('V06 Unidades'!$L$5:$L$98+'V06 Controlos'!$B$37))),--(MOD('V06 Motor'!A5-('V06 Unidades'!$I$5:$I$98+'V06 Controlos'!$B$37),6)=0),--(('V06 Motor'!A5-('V06 Unidades'!$I$5:$I$98+'V06 Controlos'!$B$37))/6&lt;=IF(INT((IF('V06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Controlos'!$B$37)-1)/6),0)),IF('V06 Motor'!A5=('V06 Unidades'!$I$5:$I$98+'V06 Controlos'!$B$37)+6*IF(INT((IF('V06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Controlos'!$B$37)-1)/6),0)&gt;0,IF(INT((IF('V06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Controlos'!$B$37)-1)/6),0),1),2)*(IF(INT((IF('V06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Controlos'!$B$37)-1)/6),0)&gt;0,IF(INT((IF('V06 Controlos'!$B$38&gt;0,IF(('V06 Unidades'!$L$5:$L$98+'V06 Controlos'!$B$37)&lt;'V06 Motor'!C5,'V06 Motor'!C5,('V06 Unidades'!$L$5:$L$98+'V06 Controlos'!$B$37)),('V06 Unidades'!$L$5:$L$98+'V06 Controlos'!$B$37))-('V06 Unidades'!$I$5:$I$98+'V06 Controlos'!$B$37)-1)/6)&gt;0,INT((IF('V06 Controlos'!$B$38&gt;0,IF(('V06 Unidades'!$L$5:$L$98+'V06 Controlos'!$B$37)&lt;'V06 Motor'!C5,'V06 Motor'!C5,('V06 Unidades'!$L$5:$L$98+'V06 Controlos'!$B$37)),('V06 Unidades'!$L$5:$L$98+'V06 Controlos'!$B$37))-('V06 Unidades'!$I$5:$I$98+'V06 Controlos'!$B$37)-1)/6),0),1),2)))</f>
        <v>2032938.89</v>
      </c>
      <c r="P5" s="2">
        <f>SUM('V06 Calend 01'!M5:M98)</f>
        <v>2032938.89</v>
      </c>
    </row>
    <row r="6" spans="1:16">
      <c r="A6">
        <v>2</v>
      </c>
      <c r="C6">
        <v>30</v>
      </c>
      <c r="G6" s="2">
        <f>IF('V06 Motor'!A6&lt;='V06 Motor'!C6,SUMPRODUCT('V06 Curva'!$B$5:$B$34,IF((IF('V06 Motor'!A6*30/'V06 Motor'!C6&lt;'V06 Curva'!$A$5:$A$34,'V06 Motor'!A6*30/'V06 Motor'!C6,'V06 Curva'!$A$5:$A$34)-IF(('V06 Motor'!A6-1)*30/'V06 Motor'!C6&gt;'V06 Curva'!$A$5:$A$34-1,('V06 Motor'!A6-1)*30/'V06 Motor'!C6,'V06 Curva'!$A$5:$A$34-1))&gt;0,(IF('V06 Motor'!A6*30/'V06 Motor'!C6&lt;'V06 Curva'!$A$5:$A$34,'V06 Motor'!A6*30/'V06 Motor'!C6,'V06 Curva'!$A$5:$A$34)-IF(('V06 Motor'!A6-1)*30/'V06 Motor'!C6&gt;'V06 Curva'!$A$5:$A$34-1,('V06 Motor'!A6-1)*30/'V06 Motor'!C6,'V06 Curva'!$A$5:$A$34-1)),0)),0)</f>
        <v>0.0124</v>
      </c>
      <c r="H6" s="2">
        <f>IF('V06 Motor'!A6&lt;='V06 Motor'!C6,SUM(MAX(0,MIN('V06 Motor'!A6*30/'V06 Motor'!C6,1)-MAX(('V06 Motor'!A6-1)*30/'V06 Motor'!C6,0))*'V06 Curva'!$B$5,MAX(0,MIN('V06 Motor'!A6*30/'V06 Motor'!C6,2)-MAX(('V06 Motor'!A6-1)*30/'V06 Motor'!C6,1))*'V06 Curva'!$B$6,MAX(0,MIN('V06 Motor'!A6*30/'V06 Motor'!C6,3)-MAX(('V06 Motor'!A6-1)*30/'V06 Motor'!C6,2))*'V06 Curva'!$B$7,MAX(0,MIN('V06 Motor'!A6*30/'V06 Motor'!C6,4)-MAX(('V06 Motor'!A6-1)*30/'V06 Motor'!C6,3))*'V06 Curva'!$B$8,MAX(0,MIN('V06 Motor'!A6*30/'V06 Motor'!C6,5)-MAX(('V06 Motor'!A6-1)*30/'V06 Motor'!C6,4))*'V06 Curva'!$B$9,MAX(0,MIN('V06 Motor'!A6*30/'V06 Motor'!C6,6)-MAX(('V06 Motor'!A6-1)*30/'V06 Motor'!C6,5))*'V06 Curva'!$B$10,MAX(0,MIN('V06 Motor'!A6*30/'V06 Motor'!C6,7)-MAX(('V06 Motor'!A6-1)*30/'V06 Motor'!C6,6))*'V06 Curva'!$B$11,MAX(0,MIN('V06 Motor'!A6*30/'V06 Motor'!C6,8)-MAX(('V06 Motor'!A6-1)*30/'V06 Motor'!C6,7))*'V06 Curva'!$B$12,MAX(0,MIN('V06 Motor'!A6*30/'V06 Motor'!C6,9)-MAX(('V06 Motor'!A6-1)*30/'V06 Motor'!C6,8))*'V06 Curva'!$B$13,MAX(0,MIN('V06 Motor'!A6*30/'V06 Motor'!C6,10)-MAX(('V06 Motor'!A6-1)*30/'V06 Motor'!C6,9))*'V06 Curva'!$B$14,MAX(0,MIN('V06 Motor'!A6*30/'V06 Motor'!C6,11)-MAX(('V06 Motor'!A6-1)*30/'V06 Motor'!C6,10))*'V06 Curva'!$B$15,MAX(0,MIN('V06 Motor'!A6*30/'V06 Motor'!C6,12)-MAX(('V06 Motor'!A6-1)*30/'V06 Motor'!C6,11))*'V06 Curva'!$B$16,MAX(0,MIN('V06 Motor'!A6*30/'V06 Motor'!C6,13)-MAX(('V06 Motor'!A6-1)*30/'V06 Motor'!C6,12))*'V06 Curva'!$B$17,MAX(0,MIN('V06 Motor'!A6*30/'V06 Motor'!C6,14)-MAX(('V06 Motor'!A6-1)*30/'V06 Motor'!C6,13))*'V06 Curva'!$B$18,MAX(0,MIN('V06 Motor'!A6*30/'V06 Motor'!C6,15)-MAX(('V06 Motor'!A6-1)*30/'V06 Motor'!C6,14))*'V06 Curva'!$B$19,MAX(0,MIN('V06 Motor'!A6*30/'V06 Motor'!C6,16)-MAX(('V06 Motor'!A6-1)*30/'V06 Motor'!C6,15))*'V06 Curva'!$B$20,MAX(0,MIN('V06 Motor'!A6*30/'V06 Motor'!C6,17)-MAX(('V06 Motor'!A6-1)*30/'V06 Motor'!C6,16))*'V06 Curva'!$B$21,MAX(0,MIN('V06 Motor'!A6*30/'V06 Motor'!C6,18)-MAX(('V06 Motor'!A6-1)*30/'V06 Motor'!C6,17))*'V06 Curva'!$B$22,MAX(0,MIN('V06 Motor'!A6*30/'V06 Motor'!C6,19)-MAX(('V06 Motor'!A6-1)*30/'V06 Motor'!C6,18))*'V06 Curva'!$B$23,MAX(0,MIN('V06 Motor'!A6*30/'V06 Motor'!C6,20)-MAX(('V06 Motor'!A6-1)*30/'V06 Motor'!C6,19))*'V06 Curva'!$B$24,MAX(0,MIN('V06 Motor'!A6*30/'V06 Motor'!C6,21)-MAX(('V06 Motor'!A6-1)*30/'V06 Motor'!C6,20))*'V06 Curva'!$B$25,MAX(0,MIN('V06 Motor'!A6*30/'V06 Motor'!C6,22)-MAX(('V06 Motor'!A6-1)*30/'V06 Motor'!C6,21))*'V06 Curva'!$B$26,MAX(0,MIN('V06 Motor'!A6*30/'V06 Motor'!C6,23)-MAX(('V06 Motor'!A6-1)*30/'V06 Motor'!C6,22))*'V06 Curva'!$B$27,MAX(0,MIN('V06 Motor'!A6*30/'V06 Motor'!C6,24)-MAX(('V06 Motor'!A6-1)*30/'V06 Motor'!C6,23))*'V06 Curva'!$B$28,MAX(0,MIN('V06 Motor'!A6*30/'V06 Motor'!C6,25)-MAX(('V06 Motor'!A6-1)*30/'V06 Motor'!C6,24))*'V06 Curva'!$B$29,MAX(0,MIN('V06 Motor'!A6*30/'V06 Motor'!C6,26)-MAX(('V06 Motor'!A6-1)*30/'V06 Motor'!C6,25))*'V06 Curva'!$B$30,MAX(0,MIN('V06 Motor'!A6*30/'V06 Motor'!C6,27)-MAX(('V06 Motor'!A6-1)*30/'V06 Motor'!C6,26))*'V06 Curva'!$B$31,MAX(0,MIN('V06 Motor'!A6*30/'V06 Motor'!C6,28)-MAX(('V06 Motor'!A6-1)*30/'V06 Motor'!C6,27))*'V06 Curva'!$B$32,MAX(0,MIN('V06 Motor'!A6*30/'V06 Motor'!C6,29)-MAX(('V06 Motor'!A6-1)*30/'V06 Motor'!C6,28))*'V06 Curva'!$B$33,MAX(0,MIN('V06 Motor'!A6*30/'V06 Motor'!C6,30)-MAX(('V06 Motor'!A6-1)*30/'V06 Motor'!C6,29))*'V06 Curva'!$B$34),0)</f>
        <v>0.012400000000000001</v>
      </c>
      <c r="O6" s="2">
        <f>SUMPRODUCT(--(('V06 Unidades'!$I$5:$I$98+'V06 Controlos'!$B$37)='V06 Motor'!A6),ROUND('V06 Unidades'!$H$5:$H$98*0.05,2)+ROUND('V06 Unidades'!$H$5:$H$98*0.2,2))+SUMPRODUCT(--(IF('V06 Controlos'!$B$38&gt;0,IF(('V06 Unidades'!$L$5:$L$98+'V06 Controlos'!$B$37)&lt;'V06 Motor'!C6,'V06 Motor'!C6,('V06 Unidades'!$L$5:$L$98+'V06 Controlos'!$B$37)),('V06 Unidades'!$L$5:$L$98+'V06 Controlos'!$B$37))='V06 Motor'!A6),'V06 Unidades'!$H$5:$H$98-ROUND('V06 Unidades'!$H$5:$H$98*0.05,2)-ROUND('V06 Unidades'!$H$5:$H$98*0.2,2)-ROUND('V06 Unidades'!$H$5:$H$98*0.55,2))+SUMPRODUCT(--(IF(INT((IF('V06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Controlos'!$B$37)-1)/6),0)&gt;0),--('V06 Motor'!A6&gt;('V06 Unidades'!$I$5:$I$98+'V06 Controlos'!$B$37)),--('V06 Motor'!A6&lt;IF('V06 Controlos'!$B$38&gt;0,IF(('V06 Unidades'!$L$5:$L$98+'V06 Controlos'!$B$37)&lt;'V06 Motor'!C6,'V06 Motor'!C6,('V06 Unidades'!$L$5:$L$98+'V06 Controlos'!$B$37)),('V06 Unidades'!$L$5:$L$98+'V06 Controlos'!$B$37))),--(MOD('V06 Motor'!A6-('V06 Unidades'!$I$5:$I$98+'V06 Controlos'!$B$37),6)=0),--(('V06 Motor'!A6-('V06 Unidades'!$I$5:$I$98+'V06 Controlos'!$B$37))/6&lt;=IF(INT((IF('V06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Controlos'!$B$37)-1)/6),0)),IF('V06 Motor'!A6=('V06 Unidades'!$I$5:$I$98+'V06 Controlos'!$B$37)+6*IF(INT((IF('V06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Controlos'!$B$37)-1)/6),0)&gt;0,IF(INT((IF('V06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Controlos'!$B$37)-1)/6),0),1),2)*(IF(INT((IF('V06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Controlos'!$B$37)-1)/6),0)&gt;0,IF(INT((IF('V06 Controlos'!$B$38&gt;0,IF(('V06 Unidades'!$L$5:$L$98+'V06 Controlos'!$B$37)&lt;'V06 Motor'!C6,'V06 Motor'!C6,('V06 Unidades'!$L$5:$L$98+'V06 Controlos'!$B$37)),('V06 Unidades'!$L$5:$L$98+'V06 Controlos'!$B$37))-('V06 Unidades'!$I$5:$I$98+'V06 Controlos'!$B$37)-1)/6)&gt;0,INT((IF('V06 Controlos'!$B$38&gt;0,IF(('V06 Unidades'!$L$5:$L$98+'V06 Controlos'!$B$37)&lt;'V06 Motor'!C6,'V06 Motor'!C6,('V06 Unidades'!$L$5:$L$98+'V06 Controlos'!$B$37)),('V06 Unidades'!$L$5:$L$98+'V06 Controlos'!$B$37))-('V06 Unidades'!$I$5:$I$98+'V06 Controlos'!$B$37)-1)/6),0),1),2)))</f>
        <v>0.0</v>
      </c>
      <c r="P6" s="2">
        <f>SUM('V06 Calend 01'!N5:N98)</f>
        <v>0.0</v>
      </c>
    </row>
    <row r="7" spans="1:16">
      <c r="A7">
        <v>3</v>
      </c>
      <c r="C7">
        <v>30</v>
      </c>
      <c r="G7" s="2">
        <f>IF('V06 Motor'!A7&lt;='V06 Motor'!C7,SUMPRODUCT('V06 Curva'!$B$5:$B$34,IF((IF('V06 Motor'!A7*30/'V06 Motor'!C7&lt;'V06 Curva'!$A$5:$A$34,'V06 Motor'!A7*30/'V06 Motor'!C7,'V06 Curva'!$A$5:$A$34)-IF(('V06 Motor'!A7-1)*30/'V06 Motor'!C7&gt;'V06 Curva'!$A$5:$A$34-1,('V06 Motor'!A7-1)*30/'V06 Motor'!C7,'V06 Curva'!$A$5:$A$34-1))&gt;0,(IF('V06 Motor'!A7*30/'V06 Motor'!C7&lt;'V06 Curva'!$A$5:$A$34,'V06 Motor'!A7*30/'V06 Motor'!C7,'V06 Curva'!$A$5:$A$34)-IF(('V06 Motor'!A7-1)*30/'V06 Motor'!C7&gt;'V06 Curva'!$A$5:$A$34-1,('V06 Motor'!A7-1)*30/'V06 Motor'!C7,'V06 Curva'!$A$5:$A$34-1)),0)),0)</f>
        <v>0.0184</v>
      </c>
      <c r="H7" s="2">
        <f>IF('V06 Motor'!A7&lt;='V06 Motor'!C7,SUM(MAX(0,MIN('V06 Motor'!A7*30/'V06 Motor'!C7,1)-MAX(('V06 Motor'!A7-1)*30/'V06 Motor'!C7,0))*'V06 Curva'!$B$5,MAX(0,MIN('V06 Motor'!A7*30/'V06 Motor'!C7,2)-MAX(('V06 Motor'!A7-1)*30/'V06 Motor'!C7,1))*'V06 Curva'!$B$6,MAX(0,MIN('V06 Motor'!A7*30/'V06 Motor'!C7,3)-MAX(('V06 Motor'!A7-1)*30/'V06 Motor'!C7,2))*'V06 Curva'!$B$7,MAX(0,MIN('V06 Motor'!A7*30/'V06 Motor'!C7,4)-MAX(('V06 Motor'!A7-1)*30/'V06 Motor'!C7,3))*'V06 Curva'!$B$8,MAX(0,MIN('V06 Motor'!A7*30/'V06 Motor'!C7,5)-MAX(('V06 Motor'!A7-1)*30/'V06 Motor'!C7,4))*'V06 Curva'!$B$9,MAX(0,MIN('V06 Motor'!A7*30/'V06 Motor'!C7,6)-MAX(('V06 Motor'!A7-1)*30/'V06 Motor'!C7,5))*'V06 Curva'!$B$10,MAX(0,MIN('V06 Motor'!A7*30/'V06 Motor'!C7,7)-MAX(('V06 Motor'!A7-1)*30/'V06 Motor'!C7,6))*'V06 Curva'!$B$11,MAX(0,MIN('V06 Motor'!A7*30/'V06 Motor'!C7,8)-MAX(('V06 Motor'!A7-1)*30/'V06 Motor'!C7,7))*'V06 Curva'!$B$12,MAX(0,MIN('V06 Motor'!A7*30/'V06 Motor'!C7,9)-MAX(('V06 Motor'!A7-1)*30/'V06 Motor'!C7,8))*'V06 Curva'!$B$13,MAX(0,MIN('V06 Motor'!A7*30/'V06 Motor'!C7,10)-MAX(('V06 Motor'!A7-1)*30/'V06 Motor'!C7,9))*'V06 Curva'!$B$14,MAX(0,MIN('V06 Motor'!A7*30/'V06 Motor'!C7,11)-MAX(('V06 Motor'!A7-1)*30/'V06 Motor'!C7,10))*'V06 Curva'!$B$15,MAX(0,MIN('V06 Motor'!A7*30/'V06 Motor'!C7,12)-MAX(('V06 Motor'!A7-1)*30/'V06 Motor'!C7,11))*'V06 Curva'!$B$16,MAX(0,MIN('V06 Motor'!A7*30/'V06 Motor'!C7,13)-MAX(('V06 Motor'!A7-1)*30/'V06 Motor'!C7,12))*'V06 Curva'!$B$17,MAX(0,MIN('V06 Motor'!A7*30/'V06 Motor'!C7,14)-MAX(('V06 Motor'!A7-1)*30/'V06 Motor'!C7,13))*'V06 Curva'!$B$18,MAX(0,MIN('V06 Motor'!A7*30/'V06 Motor'!C7,15)-MAX(('V06 Motor'!A7-1)*30/'V06 Motor'!C7,14))*'V06 Curva'!$B$19,MAX(0,MIN('V06 Motor'!A7*30/'V06 Motor'!C7,16)-MAX(('V06 Motor'!A7-1)*30/'V06 Motor'!C7,15))*'V06 Curva'!$B$20,MAX(0,MIN('V06 Motor'!A7*30/'V06 Motor'!C7,17)-MAX(('V06 Motor'!A7-1)*30/'V06 Motor'!C7,16))*'V06 Curva'!$B$21,MAX(0,MIN('V06 Motor'!A7*30/'V06 Motor'!C7,18)-MAX(('V06 Motor'!A7-1)*30/'V06 Motor'!C7,17))*'V06 Curva'!$B$22,MAX(0,MIN('V06 Motor'!A7*30/'V06 Motor'!C7,19)-MAX(('V06 Motor'!A7-1)*30/'V06 Motor'!C7,18))*'V06 Curva'!$B$23,MAX(0,MIN('V06 Motor'!A7*30/'V06 Motor'!C7,20)-MAX(('V06 Motor'!A7-1)*30/'V06 Motor'!C7,19))*'V06 Curva'!$B$24,MAX(0,MIN('V06 Motor'!A7*30/'V06 Motor'!C7,21)-MAX(('V06 Motor'!A7-1)*30/'V06 Motor'!C7,20))*'V06 Curva'!$B$25,MAX(0,MIN('V06 Motor'!A7*30/'V06 Motor'!C7,22)-MAX(('V06 Motor'!A7-1)*30/'V06 Motor'!C7,21))*'V06 Curva'!$B$26,MAX(0,MIN('V06 Motor'!A7*30/'V06 Motor'!C7,23)-MAX(('V06 Motor'!A7-1)*30/'V06 Motor'!C7,22))*'V06 Curva'!$B$27,MAX(0,MIN('V06 Motor'!A7*30/'V06 Motor'!C7,24)-MAX(('V06 Motor'!A7-1)*30/'V06 Motor'!C7,23))*'V06 Curva'!$B$28,MAX(0,MIN('V06 Motor'!A7*30/'V06 Motor'!C7,25)-MAX(('V06 Motor'!A7-1)*30/'V06 Motor'!C7,24))*'V06 Curva'!$B$29,MAX(0,MIN('V06 Motor'!A7*30/'V06 Motor'!C7,26)-MAX(('V06 Motor'!A7-1)*30/'V06 Motor'!C7,25))*'V06 Curva'!$B$30,MAX(0,MIN('V06 Motor'!A7*30/'V06 Motor'!C7,27)-MAX(('V06 Motor'!A7-1)*30/'V06 Motor'!C7,26))*'V06 Curva'!$B$31,MAX(0,MIN('V06 Motor'!A7*30/'V06 Motor'!C7,28)-MAX(('V06 Motor'!A7-1)*30/'V06 Motor'!C7,27))*'V06 Curva'!$B$32,MAX(0,MIN('V06 Motor'!A7*30/'V06 Motor'!C7,29)-MAX(('V06 Motor'!A7-1)*30/'V06 Motor'!C7,28))*'V06 Curva'!$B$33,MAX(0,MIN('V06 Motor'!A7*30/'V06 Motor'!C7,30)-MAX(('V06 Motor'!A7-1)*30/'V06 Motor'!C7,29))*'V06 Curva'!$B$34),0)</f>
        <v>0.0184</v>
      </c>
      <c r="O7" s="2">
        <f>SUMPRODUCT(--(('V06 Unidades'!$I$5:$I$98+'V06 Controlos'!$B$37)='V06 Motor'!A7),ROUND('V06 Unidades'!$H$5:$H$98*0.05,2)+ROUND('V06 Unidades'!$H$5:$H$98*0.2,2))+SUMPRODUCT(--(IF('V06 Controlos'!$B$38&gt;0,IF(('V06 Unidades'!$L$5:$L$98+'V06 Controlos'!$B$37)&lt;'V06 Motor'!C7,'V06 Motor'!C7,('V06 Unidades'!$L$5:$L$98+'V06 Controlos'!$B$37)),('V06 Unidades'!$L$5:$L$98+'V06 Controlos'!$B$37))='V06 Motor'!A7),'V06 Unidades'!$H$5:$H$98-ROUND('V06 Unidades'!$H$5:$H$98*0.05,2)-ROUND('V06 Unidades'!$H$5:$H$98*0.2,2)-ROUND('V06 Unidades'!$H$5:$H$98*0.55,2))+SUMPRODUCT(--(IF(INT((IF('V06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Controlos'!$B$37)-1)/6),0)&gt;0),--('V06 Motor'!A7&gt;('V06 Unidades'!$I$5:$I$98+'V06 Controlos'!$B$37)),--('V06 Motor'!A7&lt;IF('V06 Controlos'!$B$38&gt;0,IF(('V06 Unidades'!$L$5:$L$98+'V06 Controlos'!$B$37)&lt;'V06 Motor'!C7,'V06 Motor'!C7,('V06 Unidades'!$L$5:$L$98+'V06 Controlos'!$B$37)),('V06 Unidades'!$L$5:$L$98+'V06 Controlos'!$B$37))),--(MOD('V06 Motor'!A7-('V06 Unidades'!$I$5:$I$98+'V06 Controlos'!$B$37),6)=0),--(('V06 Motor'!A7-('V06 Unidades'!$I$5:$I$98+'V06 Controlos'!$B$37))/6&lt;=IF(INT((IF('V06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Controlos'!$B$37)-1)/6),0)),IF('V06 Motor'!A7=('V06 Unidades'!$I$5:$I$98+'V06 Controlos'!$B$37)+6*IF(INT((IF('V06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Controlos'!$B$37)-1)/6),0)&gt;0,IF(INT((IF('V06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Controlos'!$B$37)-1)/6),0),1),2)*(IF(INT((IF('V06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Controlos'!$B$37)-1)/6),0)&gt;0,IF(INT((IF('V06 Controlos'!$B$38&gt;0,IF(('V06 Unidades'!$L$5:$L$98+'V06 Controlos'!$B$37)&lt;'V06 Motor'!C7,'V06 Motor'!C7,('V06 Unidades'!$L$5:$L$98+'V06 Controlos'!$B$37)),('V06 Unidades'!$L$5:$L$98+'V06 Controlos'!$B$37))-('V06 Unidades'!$I$5:$I$98+'V06 Controlos'!$B$37)-1)/6)&gt;0,INT((IF('V06 Controlos'!$B$38&gt;0,IF(('V06 Unidades'!$L$5:$L$98+'V06 Controlos'!$B$37)&lt;'V06 Motor'!C7,'V06 Motor'!C7,('V06 Unidades'!$L$5:$L$98+'V06 Controlos'!$B$37)),('V06 Unidades'!$L$5:$L$98+'V06 Controlos'!$B$37))-('V06 Unidades'!$I$5:$I$98+'V06 Controlos'!$B$37)-1)/6),0),1),2)))</f>
        <v>0.0</v>
      </c>
      <c r="P7" s="2">
        <f>SUM('V06 Calend 01'!O5:O98)</f>
        <v>0.0</v>
      </c>
    </row>
    <row r="8" spans="1:16">
      <c r="A8">
        <v>4</v>
      </c>
      <c r="C8">
        <v>30</v>
      </c>
      <c r="G8" s="2">
        <f>IF('V06 Motor'!A8&lt;='V06 Motor'!C8,SUMPRODUCT('V06 Curva'!$B$5:$B$34,IF((IF('V06 Motor'!A8*30/'V06 Motor'!C8&lt;'V06 Curva'!$A$5:$A$34,'V06 Motor'!A8*30/'V06 Motor'!C8,'V06 Curva'!$A$5:$A$34)-IF(('V06 Motor'!A8-1)*30/'V06 Motor'!C8&gt;'V06 Curva'!$A$5:$A$34-1,('V06 Motor'!A8-1)*30/'V06 Motor'!C8,'V06 Curva'!$A$5:$A$34-1))&gt;0,(IF('V06 Motor'!A8*30/'V06 Motor'!C8&lt;'V06 Curva'!$A$5:$A$34,'V06 Motor'!A8*30/'V06 Motor'!C8,'V06 Curva'!$A$5:$A$34)-IF(('V06 Motor'!A8-1)*30/'V06 Motor'!C8&gt;'V06 Curva'!$A$5:$A$34-1,('V06 Motor'!A8-1)*30/'V06 Motor'!C8,'V06 Curva'!$A$5:$A$34-1)),0)),0)</f>
        <v>0.02345</v>
      </c>
      <c r="H8" s="2">
        <f>IF('V06 Motor'!A8&lt;='V06 Motor'!C8,SUM(MAX(0,MIN('V06 Motor'!A8*30/'V06 Motor'!C8,1)-MAX(('V06 Motor'!A8-1)*30/'V06 Motor'!C8,0))*'V06 Curva'!$B$5,MAX(0,MIN('V06 Motor'!A8*30/'V06 Motor'!C8,2)-MAX(('V06 Motor'!A8-1)*30/'V06 Motor'!C8,1))*'V06 Curva'!$B$6,MAX(0,MIN('V06 Motor'!A8*30/'V06 Motor'!C8,3)-MAX(('V06 Motor'!A8-1)*30/'V06 Motor'!C8,2))*'V06 Curva'!$B$7,MAX(0,MIN('V06 Motor'!A8*30/'V06 Motor'!C8,4)-MAX(('V06 Motor'!A8-1)*30/'V06 Motor'!C8,3))*'V06 Curva'!$B$8,MAX(0,MIN('V06 Motor'!A8*30/'V06 Motor'!C8,5)-MAX(('V06 Motor'!A8-1)*30/'V06 Motor'!C8,4))*'V06 Curva'!$B$9,MAX(0,MIN('V06 Motor'!A8*30/'V06 Motor'!C8,6)-MAX(('V06 Motor'!A8-1)*30/'V06 Motor'!C8,5))*'V06 Curva'!$B$10,MAX(0,MIN('V06 Motor'!A8*30/'V06 Motor'!C8,7)-MAX(('V06 Motor'!A8-1)*30/'V06 Motor'!C8,6))*'V06 Curva'!$B$11,MAX(0,MIN('V06 Motor'!A8*30/'V06 Motor'!C8,8)-MAX(('V06 Motor'!A8-1)*30/'V06 Motor'!C8,7))*'V06 Curva'!$B$12,MAX(0,MIN('V06 Motor'!A8*30/'V06 Motor'!C8,9)-MAX(('V06 Motor'!A8-1)*30/'V06 Motor'!C8,8))*'V06 Curva'!$B$13,MAX(0,MIN('V06 Motor'!A8*30/'V06 Motor'!C8,10)-MAX(('V06 Motor'!A8-1)*30/'V06 Motor'!C8,9))*'V06 Curva'!$B$14,MAX(0,MIN('V06 Motor'!A8*30/'V06 Motor'!C8,11)-MAX(('V06 Motor'!A8-1)*30/'V06 Motor'!C8,10))*'V06 Curva'!$B$15,MAX(0,MIN('V06 Motor'!A8*30/'V06 Motor'!C8,12)-MAX(('V06 Motor'!A8-1)*30/'V06 Motor'!C8,11))*'V06 Curva'!$B$16,MAX(0,MIN('V06 Motor'!A8*30/'V06 Motor'!C8,13)-MAX(('V06 Motor'!A8-1)*30/'V06 Motor'!C8,12))*'V06 Curva'!$B$17,MAX(0,MIN('V06 Motor'!A8*30/'V06 Motor'!C8,14)-MAX(('V06 Motor'!A8-1)*30/'V06 Motor'!C8,13))*'V06 Curva'!$B$18,MAX(0,MIN('V06 Motor'!A8*30/'V06 Motor'!C8,15)-MAX(('V06 Motor'!A8-1)*30/'V06 Motor'!C8,14))*'V06 Curva'!$B$19,MAX(0,MIN('V06 Motor'!A8*30/'V06 Motor'!C8,16)-MAX(('V06 Motor'!A8-1)*30/'V06 Motor'!C8,15))*'V06 Curva'!$B$20,MAX(0,MIN('V06 Motor'!A8*30/'V06 Motor'!C8,17)-MAX(('V06 Motor'!A8-1)*30/'V06 Motor'!C8,16))*'V06 Curva'!$B$21,MAX(0,MIN('V06 Motor'!A8*30/'V06 Motor'!C8,18)-MAX(('V06 Motor'!A8-1)*30/'V06 Motor'!C8,17))*'V06 Curva'!$B$22,MAX(0,MIN('V06 Motor'!A8*30/'V06 Motor'!C8,19)-MAX(('V06 Motor'!A8-1)*30/'V06 Motor'!C8,18))*'V06 Curva'!$B$23,MAX(0,MIN('V06 Motor'!A8*30/'V06 Motor'!C8,20)-MAX(('V06 Motor'!A8-1)*30/'V06 Motor'!C8,19))*'V06 Curva'!$B$24,MAX(0,MIN('V06 Motor'!A8*30/'V06 Motor'!C8,21)-MAX(('V06 Motor'!A8-1)*30/'V06 Motor'!C8,20))*'V06 Curva'!$B$25,MAX(0,MIN('V06 Motor'!A8*30/'V06 Motor'!C8,22)-MAX(('V06 Motor'!A8-1)*30/'V06 Motor'!C8,21))*'V06 Curva'!$B$26,MAX(0,MIN('V06 Motor'!A8*30/'V06 Motor'!C8,23)-MAX(('V06 Motor'!A8-1)*30/'V06 Motor'!C8,22))*'V06 Curva'!$B$27,MAX(0,MIN('V06 Motor'!A8*30/'V06 Motor'!C8,24)-MAX(('V06 Motor'!A8-1)*30/'V06 Motor'!C8,23))*'V06 Curva'!$B$28,MAX(0,MIN('V06 Motor'!A8*30/'V06 Motor'!C8,25)-MAX(('V06 Motor'!A8-1)*30/'V06 Motor'!C8,24))*'V06 Curva'!$B$29,MAX(0,MIN('V06 Motor'!A8*30/'V06 Motor'!C8,26)-MAX(('V06 Motor'!A8-1)*30/'V06 Motor'!C8,25))*'V06 Curva'!$B$30,MAX(0,MIN('V06 Motor'!A8*30/'V06 Motor'!C8,27)-MAX(('V06 Motor'!A8-1)*30/'V06 Motor'!C8,26))*'V06 Curva'!$B$31,MAX(0,MIN('V06 Motor'!A8*30/'V06 Motor'!C8,28)-MAX(('V06 Motor'!A8-1)*30/'V06 Motor'!C8,27))*'V06 Curva'!$B$32,MAX(0,MIN('V06 Motor'!A8*30/'V06 Motor'!C8,29)-MAX(('V06 Motor'!A8-1)*30/'V06 Motor'!C8,28))*'V06 Curva'!$B$33,MAX(0,MIN('V06 Motor'!A8*30/'V06 Motor'!C8,30)-MAX(('V06 Motor'!A8-1)*30/'V06 Motor'!C8,29))*'V06 Curva'!$B$34),0)</f>
        <v>0.02345</v>
      </c>
      <c r="O8" s="2">
        <f>SUMPRODUCT(--(('V06 Unidades'!$I$5:$I$98+'V06 Controlos'!$B$37)='V06 Motor'!A8),ROUND('V06 Unidades'!$H$5:$H$98*0.05,2)+ROUND('V06 Unidades'!$H$5:$H$98*0.2,2))+SUMPRODUCT(--(IF('V06 Controlos'!$B$38&gt;0,IF(('V06 Unidades'!$L$5:$L$98+'V06 Controlos'!$B$37)&lt;'V06 Motor'!C8,'V06 Motor'!C8,('V06 Unidades'!$L$5:$L$98+'V06 Controlos'!$B$37)),('V06 Unidades'!$L$5:$L$98+'V06 Controlos'!$B$37))='V06 Motor'!A8),'V06 Unidades'!$H$5:$H$98-ROUND('V06 Unidades'!$H$5:$H$98*0.05,2)-ROUND('V06 Unidades'!$H$5:$H$98*0.2,2)-ROUND('V06 Unidades'!$H$5:$H$98*0.55,2))+SUMPRODUCT(--(IF(INT((IF('V06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Controlos'!$B$37)-1)/6),0)&gt;0),--('V06 Motor'!A8&gt;('V06 Unidades'!$I$5:$I$98+'V06 Controlos'!$B$37)),--('V06 Motor'!A8&lt;IF('V06 Controlos'!$B$38&gt;0,IF(('V06 Unidades'!$L$5:$L$98+'V06 Controlos'!$B$37)&lt;'V06 Motor'!C8,'V06 Motor'!C8,('V06 Unidades'!$L$5:$L$98+'V06 Controlos'!$B$37)),('V06 Unidades'!$L$5:$L$98+'V06 Controlos'!$B$37))),--(MOD('V06 Motor'!A8-('V06 Unidades'!$I$5:$I$98+'V06 Controlos'!$B$37),6)=0),--(('V06 Motor'!A8-('V06 Unidades'!$I$5:$I$98+'V06 Controlos'!$B$37))/6&lt;=IF(INT((IF('V06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Controlos'!$B$37)-1)/6),0)),IF('V06 Motor'!A8=('V06 Unidades'!$I$5:$I$98+'V06 Controlos'!$B$37)+6*IF(INT((IF('V06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Controlos'!$B$37)-1)/6),0)&gt;0,IF(INT((IF('V06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Controlos'!$B$37)-1)/6),0),1),2)*(IF(INT((IF('V06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Controlos'!$B$37)-1)/6),0)&gt;0,IF(INT((IF('V06 Controlos'!$B$38&gt;0,IF(('V06 Unidades'!$L$5:$L$98+'V06 Controlos'!$B$37)&lt;'V06 Motor'!C8,'V06 Motor'!C8,('V06 Unidades'!$L$5:$L$98+'V06 Controlos'!$B$37)),('V06 Unidades'!$L$5:$L$98+'V06 Controlos'!$B$37))-('V06 Unidades'!$I$5:$I$98+'V06 Controlos'!$B$37)-1)/6)&gt;0,INT((IF('V06 Controlos'!$B$38&gt;0,IF(('V06 Unidades'!$L$5:$L$98+'V06 Controlos'!$B$37)&lt;'V06 Motor'!C8,'V06 Motor'!C8,('V06 Unidades'!$L$5:$L$98+'V06 Controlos'!$B$37)),('V06 Unidades'!$L$5:$L$98+'V06 Controlos'!$B$37))-('V06 Unidades'!$I$5:$I$98+'V06 Controlos'!$B$37)-1)/6),0),1),2)))</f>
        <v>1174359.24</v>
      </c>
      <c r="P8" s="2">
        <f>SUM('V06 Calend 01'!P5:P98)</f>
        <v>1174359.24</v>
      </c>
    </row>
    <row r="9" spans="1:16">
      <c r="A9">
        <v>5</v>
      </c>
      <c r="C9">
        <v>30</v>
      </c>
      <c r="G9" s="2">
        <f>IF('V06 Motor'!A9&lt;='V06 Motor'!C9,SUMPRODUCT('V06 Curva'!$B$5:$B$34,IF((IF('V06 Motor'!A9*30/'V06 Motor'!C9&lt;'V06 Curva'!$A$5:$A$34,'V06 Motor'!A9*30/'V06 Motor'!C9,'V06 Curva'!$A$5:$A$34)-IF(('V06 Motor'!A9-1)*30/'V06 Motor'!C9&gt;'V06 Curva'!$A$5:$A$34-1,('V06 Motor'!A9-1)*30/'V06 Motor'!C9,'V06 Curva'!$A$5:$A$34-1))&gt;0,(IF('V06 Motor'!A9*30/'V06 Motor'!C9&lt;'V06 Curva'!$A$5:$A$34,'V06 Motor'!A9*30/'V06 Motor'!C9,'V06 Curva'!$A$5:$A$34)-IF(('V06 Motor'!A9-1)*30/'V06 Motor'!C9&gt;'V06 Curva'!$A$5:$A$34-1,('V06 Motor'!A9-1)*30/'V06 Motor'!C9,'V06 Curva'!$A$5:$A$34-1)),0)),0)</f>
        <v>0.0265</v>
      </c>
      <c r="H9" s="2">
        <f>IF('V06 Motor'!A9&lt;='V06 Motor'!C9,SUM(MAX(0,MIN('V06 Motor'!A9*30/'V06 Motor'!C9,1)-MAX(('V06 Motor'!A9-1)*30/'V06 Motor'!C9,0))*'V06 Curva'!$B$5,MAX(0,MIN('V06 Motor'!A9*30/'V06 Motor'!C9,2)-MAX(('V06 Motor'!A9-1)*30/'V06 Motor'!C9,1))*'V06 Curva'!$B$6,MAX(0,MIN('V06 Motor'!A9*30/'V06 Motor'!C9,3)-MAX(('V06 Motor'!A9-1)*30/'V06 Motor'!C9,2))*'V06 Curva'!$B$7,MAX(0,MIN('V06 Motor'!A9*30/'V06 Motor'!C9,4)-MAX(('V06 Motor'!A9-1)*30/'V06 Motor'!C9,3))*'V06 Curva'!$B$8,MAX(0,MIN('V06 Motor'!A9*30/'V06 Motor'!C9,5)-MAX(('V06 Motor'!A9-1)*30/'V06 Motor'!C9,4))*'V06 Curva'!$B$9,MAX(0,MIN('V06 Motor'!A9*30/'V06 Motor'!C9,6)-MAX(('V06 Motor'!A9-1)*30/'V06 Motor'!C9,5))*'V06 Curva'!$B$10,MAX(0,MIN('V06 Motor'!A9*30/'V06 Motor'!C9,7)-MAX(('V06 Motor'!A9-1)*30/'V06 Motor'!C9,6))*'V06 Curva'!$B$11,MAX(0,MIN('V06 Motor'!A9*30/'V06 Motor'!C9,8)-MAX(('V06 Motor'!A9-1)*30/'V06 Motor'!C9,7))*'V06 Curva'!$B$12,MAX(0,MIN('V06 Motor'!A9*30/'V06 Motor'!C9,9)-MAX(('V06 Motor'!A9-1)*30/'V06 Motor'!C9,8))*'V06 Curva'!$B$13,MAX(0,MIN('V06 Motor'!A9*30/'V06 Motor'!C9,10)-MAX(('V06 Motor'!A9-1)*30/'V06 Motor'!C9,9))*'V06 Curva'!$B$14,MAX(0,MIN('V06 Motor'!A9*30/'V06 Motor'!C9,11)-MAX(('V06 Motor'!A9-1)*30/'V06 Motor'!C9,10))*'V06 Curva'!$B$15,MAX(0,MIN('V06 Motor'!A9*30/'V06 Motor'!C9,12)-MAX(('V06 Motor'!A9-1)*30/'V06 Motor'!C9,11))*'V06 Curva'!$B$16,MAX(0,MIN('V06 Motor'!A9*30/'V06 Motor'!C9,13)-MAX(('V06 Motor'!A9-1)*30/'V06 Motor'!C9,12))*'V06 Curva'!$B$17,MAX(0,MIN('V06 Motor'!A9*30/'V06 Motor'!C9,14)-MAX(('V06 Motor'!A9-1)*30/'V06 Motor'!C9,13))*'V06 Curva'!$B$18,MAX(0,MIN('V06 Motor'!A9*30/'V06 Motor'!C9,15)-MAX(('V06 Motor'!A9-1)*30/'V06 Motor'!C9,14))*'V06 Curva'!$B$19,MAX(0,MIN('V06 Motor'!A9*30/'V06 Motor'!C9,16)-MAX(('V06 Motor'!A9-1)*30/'V06 Motor'!C9,15))*'V06 Curva'!$B$20,MAX(0,MIN('V06 Motor'!A9*30/'V06 Motor'!C9,17)-MAX(('V06 Motor'!A9-1)*30/'V06 Motor'!C9,16))*'V06 Curva'!$B$21,MAX(0,MIN('V06 Motor'!A9*30/'V06 Motor'!C9,18)-MAX(('V06 Motor'!A9-1)*30/'V06 Motor'!C9,17))*'V06 Curva'!$B$22,MAX(0,MIN('V06 Motor'!A9*30/'V06 Motor'!C9,19)-MAX(('V06 Motor'!A9-1)*30/'V06 Motor'!C9,18))*'V06 Curva'!$B$23,MAX(0,MIN('V06 Motor'!A9*30/'V06 Motor'!C9,20)-MAX(('V06 Motor'!A9-1)*30/'V06 Motor'!C9,19))*'V06 Curva'!$B$24,MAX(0,MIN('V06 Motor'!A9*30/'V06 Motor'!C9,21)-MAX(('V06 Motor'!A9-1)*30/'V06 Motor'!C9,20))*'V06 Curva'!$B$25,MAX(0,MIN('V06 Motor'!A9*30/'V06 Motor'!C9,22)-MAX(('V06 Motor'!A9-1)*30/'V06 Motor'!C9,21))*'V06 Curva'!$B$26,MAX(0,MIN('V06 Motor'!A9*30/'V06 Motor'!C9,23)-MAX(('V06 Motor'!A9-1)*30/'V06 Motor'!C9,22))*'V06 Curva'!$B$27,MAX(0,MIN('V06 Motor'!A9*30/'V06 Motor'!C9,24)-MAX(('V06 Motor'!A9-1)*30/'V06 Motor'!C9,23))*'V06 Curva'!$B$28,MAX(0,MIN('V06 Motor'!A9*30/'V06 Motor'!C9,25)-MAX(('V06 Motor'!A9-1)*30/'V06 Motor'!C9,24))*'V06 Curva'!$B$29,MAX(0,MIN('V06 Motor'!A9*30/'V06 Motor'!C9,26)-MAX(('V06 Motor'!A9-1)*30/'V06 Motor'!C9,25))*'V06 Curva'!$B$30,MAX(0,MIN('V06 Motor'!A9*30/'V06 Motor'!C9,27)-MAX(('V06 Motor'!A9-1)*30/'V06 Motor'!C9,26))*'V06 Curva'!$B$31,MAX(0,MIN('V06 Motor'!A9*30/'V06 Motor'!C9,28)-MAX(('V06 Motor'!A9-1)*30/'V06 Motor'!C9,27))*'V06 Curva'!$B$32,MAX(0,MIN('V06 Motor'!A9*30/'V06 Motor'!C9,29)-MAX(('V06 Motor'!A9-1)*30/'V06 Motor'!C9,28))*'V06 Curva'!$B$33,MAX(0,MIN('V06 Motor'!A9*30/'V06 Motor'!C9,30)-MAX(('V06 Motor'!A9-1)*30/'V06 Motor'!C9,29))*'V06 Curva'!$B$34),0)</f>
        <v>0.0265</v>
      </c>
      <c r="O9" s="2">
        <f>SUMPRODUCT(--(('V06 Unidades'!$I$5:$I$98+'V06 Controlos'!$B$37)='V06 Motor'!A9),ROUND('V06 Unidades'!$H$5:$H$98*0.05,2)+ROUND('V06 Unidades'!$H$5:$H$98*0.2,2))+SUMPRODUCT(--(IF('V06 Controlos'!$B$38&gt;0,IF(('V06 Unidades'!$L$5:$L$98+'V06 Controlos'!$B$37)&lt;'V06 Motor'!C9,'V06 Motor'!C9,('V06 Unidades'!$L$5:$L$98+'V06 Controlos'!$B$37)),('V06 Unidades'!$L$5:$L$98+'V06 Controlos'!$B$37))='V06 Motor'!A9),'V06 Unidades'!$H$5:$H$98-ROUND('V06 Unidades'!$H$5:$H$98*0.05,2)-ROUND('V06 Unidades'!$H$5:$H$98*0.2,2)-ROUND('V06 Unidades'!$H$5:$H$98*0.55,2))+SUMPRODUCT(--(IF(INT((IF('V06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Controlos'!$B$37)-1)/6),0)&gt;0),--('V06 Motor'!A9&gt;('V06 Unidades'!$I$5:$I$98+'V06 Controlos'!$B$37)),--('V06 Motor'!A9&lt;IF('V06 Controlos'!$B$38&gt;0,IF(('V06 Unidades'!$L$5:$L$98+'V06 Controlos'!$B$37)&lt;'V06 Motor'!C9,'V06 Motor'!C9,('V06 Unidades'!$L$5:$L$98+'V06 Controlos'!$B$37)),('V06 Unidades'!$L$5:$L$98+'V06 Controlos'!$B$37))),--(MOD('V06 Motor'!A9-('V06 Unidades'!$I$5:$I$98+'V06 Controlos'!$B$37),6)=0),--(('V06 Motor'!A9-('V06 Unidades'!$I$5:$I$98+'V06 Controlos'!$B$37))/6&lt;=IF(INT((IF('V06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Controlos'!$B$37)-1)/6),0)),IF('V06 Motor'!A9=('V06 Unidades'!$I$5:$I$98+'V06 Controlos'!$B$37)+6*IF(INT((IF('V06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Controlos'!$B$37)-1)/6),0)&gt;0,IF(INT((IF('V06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Controlos'!$B$37)-1)/6),0),1),2)*(IF(INT((IF('V06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Controlos'!$B$37)-1)/6),0)&gt;0,IF(INT((IF('V06 Controlos'!$B$38&gt;0,IF(('V06 Unidades'!$L$5:$L$98+'V06 Controlos'!$B$37)&lt;'V06 Motor'!C9,'V06 Motor'!C9,('V06 Unidades'!$L$5:$L$98+'V06 Controlos'!$B$37)),('V06 Unidades'!$L$5:$L$98+'V06 Controlos'!$B$37))-('V06 Unidades'!$I$5:$I$98+'V06 Controlos'!$B$37)-1)/6)&gt;0,INT((IF('V06 Controlos'!$B$38&gt;0,IF(('V06 Unidades'!$L$5:$L$98+'V06 Controlos'!$B$37)&lt;'V06 Motor'!C9,'V06 Motor'!C9,('V06 Unidades'!$L$5:$L$98+'V06 Controlos'!$B$37)),('V06 Unidades'!$L$5:$L$98+'V06 Controlos'!$B$37))-('V06 Unidades'!$I$5:$I$98+'V06 Controlos'!$B$37)-1)/6),0),1),2)))</f>
        <v>0.0</v>
      </c>
      <c r="P9" s="2">
        <f>SUM('V06 Calend 01'!Q5:Q98)</f>
        <v>0.0</v>
      </c>
    </row>
    <row r="10" spans="1:16">
      <c r="A10">
        <v>6</v>
      </c>
      <c r="C10">
        <v>30</v>
      </c>
      <c r="G10" s="2">
        <f>IF('V06 Motor'!A10&lt;='V06 Motor'!C10,SUMPRODUCT('V06 Curva'!$B$5:$B$34,IF((IF('V06 Motor'!A10*30/'V06 Motor'!C10&lt;'V06 Curva'!$A$5:$A$34,'V06 Motor'!A10*30/'V06 Motor'!C10,'V06 Curva'!$A$5:$A$34)-IF(('V06 Motor'!A10-1)*30/'V06 Motor'!C10&gt;'V06 Curva'!$A$5:$A$34-1,('V06 Motor'!A10-1)*30/'V06 Motor'!C10,'V06 Curva'!$A$5:$A$34-1))&gt;0,(IF('V06 Motor'!A10*30/'V06 Motor'!C10&lt;'V06 Curva'!$A$5:$A$34,'V06 Motor'!A10*30/'V06 Motor'!C10,'V06 Curva'!$A$5:$A$34)-IF(('V06 Motor'!A10-1)*30/'V06 Motor'!C10&gt;'V06 Curva'!$A$5:$A$34-1,('V06 Motor'!A10-1)*30/'V06 Motor'!C10,'V06 Curva'!$A$5:$A$34-1)),0)),0)</f>
        <v>0.0225</v>
      </c>
      <c r="H10" s="2">
        <f>IF('V06 Motor'!A10&lt;='V06 Motor'!C10,SUM(MAX(0,MIN('V06 Motor'!A10*30/'V06 Motor'!C10,1)-MAX(('V06 Motor'!A10-1)*30/'V06 Motor'!C10,0))*'V06 Curva'!$B$5,MAX(0,MIN('V06 Motor'!A10*30/'V06 Motor'!C10,2)-MAX(('V06 Motor'!A10-1)*30/'V06 Motor'!C10,1))*'V06 Curva'!$B$6,MAX(0,MIN('V06 Motor'!A10*30/'V06 Motor'!C10,3)-MAX(('V06 Motor'!A10-1)*30/'V06 Motor'!C10,2))*'V06 Curva'!$B$7,MAX(0,MIN('V06 Motor'!A10*30/'V06 Motor'!C10,4)-MAX(('V06 Motor'!A10-1)*30/'V06 Motor'!C10,3))*'V06 Curva'!$B$8,MAX(0,MIN('V06 Motor'!A10*30/'V06 Motor'!C10,5)-MAX(('V06 Motor'!A10-1)*30/'V06 Motor'!C10,4))*'V06 Curva'!$B$9,MAX(0,MIN('V06 Motor'!A10*30/'V06 Motor'!C10,6)-MAX(('V06 Motor'!A10-1)*30/'V06 Motor'!C10,5))*'V06 Curva'!$B$10,MAX(0,MIN('V06 Motor'!A10*30/'V06 Motor'!C10,7)-MAX(('V06 Motor'!A10-1)*30/'V06 Motor'!C10,6))*'V06 Curva'!$B$11,MAX(0,MIN('V06 Motor'!A10*30/'V06 Motor'!C10,8)-MAX(('V06 Motor'!A10-1)*30/'V06 Motor'!C10,7))*'V06 Curva'!$B$12,MAX(0,MIN('V06 Motor'!A10*30/'V06 Motor'!C10,9)-MAX(('V06 Motor'!A10-1)*30/'V06 Motor'!C10,8))*'V06 Curva'!$B$13,MAX(0,MIN('V06 Motor'!A10*30/'V06 Motor'!C10,10)-MAX(('V06 Motor'!A10-1)*30/'V06 Motor'!C10,9))*'V06 Curva'!$B$14,MAX(0,MIN('V06 Motor'!A10*30/'V06 Motor'!C10,11)-MAX(('V06 Motor'!A10-1)*30/'V06 Motor'!C10,10))*'V06 Curva'!$B$15,MAX(0,MIN('V06 Motor'!A10*30/'V06 Motor'!C10,12)-MAX(('V06 Motor'!A10-1)*30/'V06 Motor'!C10,11))*'V06 Curva'!$B$16,MAX(0,MIN('V06 Motor'!A10*30/'V06 Motor'!C10,13)-MAX(('V06 Motor'!A10-1)*30/'V06 Motor'!C10,12))*'V06 Curva'!$B$17,MAX(0,MIN('V06 Motor'!A10*30/'V06 Motor'!C10,14)-MAX(('V06 Motor'!A10-1)*30/'V06 Motor'!C10,13))*'V06 Curva'!$B$18,MAX(0,MIN('V06 Motor'!A10*30/'V06 Motor'!C10,15)-MAX(('V06 Motor'!A10-1)*30/'V06 Motor'!C10,14))*'V06 Curva'!$B$19,MAX(0,MIN('V06 Motor'!A10*30/'V06 Motor'!C10,16)-MAX(('V06 Motor'!A10-1)*30/'V06 Motor'!C10,15))*'V06 Curva'!$B$20,MAX(0,MIN('V06 Motor'!A10*30/'V06 Motor'!C10,17)-MAX(('V06 Motor'!A10-1)*30/'V06 Motor'!C10,16))*'V06 Curva'!$B$21,MAX(0,MIN('V06 Motor'!A10*30/'V06 Motor'!C10,18)-MAX(('V06 Motor'!A10-1)*30/'V06 Motor'!C10,17))*'V06 Curva'!$B$22,MAX(0,MIN('V06 Motor'!A10*30/'V06 Motor'!C10,19)-MAX(('V06 Motor'!A10-1)*30/'V06 Motor'!C10,18))*'V06 Curva'!$B$23,MAX(0,MIN('V06 Motor'!A10*30/'V06 Motor'!C10,20)-MAX(('V06 Motor'!A10-1)*30/'V06 Motor'!C10,19))*'V06 Curva'!$B$24,MAX(0,MIN('V06 Motor'!A10*30/'V06 Motor'!C10,21)-MAX(('V06 Motor'!A10-1)*30/'V06 Motor'!C10,20))*'V06 Curva'!$B$25,MAX(0,MIN('V06 Motor'!A10*30/'V06 Motor'!C10,22)-MAX(('V06 Motor'!A10-1)*30/'V06 Motor'!C10,21))*'V06 Curva'!$B$26,MAX(0,MIN('V06 Motor'!A10*30/'V06 Motor'!C10,23)-MAX(('V06 Motor'!A10-1)*30/'V06 Motor'!C10,22))*'V06 Curva'!$B$27,MAX(0,MIN('V06 Motor'!A10*30/'V06 Motor'!C10,24)-MAX(('V06 Motor'!A10-1)*30/'V06 Motor'!C10,23))*'V06 Curva'!$B$28,MAX(0,MIN('V06 Motor'!A10*30/'V06 Motor'!C10,25)-MAX(('V06 Motor'!A10-1)*30/'V06 Motor'!C10,24))*'V06 Curva'!$B$29,MAX(0,MIN('V06 Motor'!A10*30/'V06 Motor'!C10,26)-MAX(('V06 Motor'!A10-1)*30/'V06 Motor'!C10,25))*'V06 Curva'!$B$30,MAX(0,MIN('V06 Motor'!A10*30/'V06 Motor'!C10,27)-MAX(('V06 Motor'!A10-1)*30/'V06 Motor'!C10,26))*'V06 Curva'!$B$31,MAX(0,MIN('V06 Motor'!A10*30/'V06 Motor'!C10,28)-MAX(('V06 Motor'!A10-1)*30/'V06 Motor'!C10,27))*'V06 Curva'!$B$32,MAX(0,MIN('V06 Motor'!A10*30/'V06 Motor'!C10,29)-MAX(('V06 Motor'!A10-1)*30/'V06 Motor'!C10,28))*'V06 Curva'!$B$33,MAX(0,MIN('V06 Motor'!A10*30/'V06 Motor'!C10,30)-MAX(('V06 Motor'!A10-1)*30/'V06 Motor'!C10,29))*'V06 Curva'!$B$34),0)</f>
        <v>0.0225</v>
      </c>
      <c r="O10" s="2">
        <f>SUMPRODUCT(--(('V06 Unidades'!$I$5:$I$98+'V06 Controlos'!$B$37)='V06 Motor'!A10),ROUND('V06 Unidades'!$H$5:$H$98*0.05,2)+ROUND('V06 Unidades'!$H$5:$H$98*0.2,2))+SUMPRODUCT(--(IF('V06 Controlos'!$B$38&gt;0,IF(('V06 Unidades'!$L$5:$L$98+'V06 Controlos'!$B$37)&lt;'V06 Motor'!C10,'V06 Motor'!C10,('V06 Unidades'!$L$5:$L$98+'V06 Controlos'!$B$37)),('V06 Unidades'!$L$5:$L$98+'V06 Controlos'!$B$37))='V06 Motor'!A10),'V06 Unidades'!$H$5:$H$98-ROUND('V06 Unidades'!$H$5:$H$98*0.05,2)-ROUND('V06 Unidades'!$H$5:$H$98*0.2,2)-ROUND('V06 Unidades'!$H$5:$H$98*0.55,2))+SUMPRODUCT(--(IF(INT((IF('V06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Controlos'!$B$37)-1)/6),0)&gt;0),--('V06 Motor'!A10&gt;('V06 Unidades'!$I$5:$I$98+'V06 Controlos'!$B$37)),--('V06 Motor'!A10&lt;IF('V06 Controlos'!$B$38&gt;0,IF(('V06 Unidades'!$L$5:$L$98+'V06 Controlos'!$B$37)&lt;'V06 Motor'!C10,'V06 Motor'!C10,('V06 Unidades'!$L$5:$L$98+'V06 Controlos'!$B$37)),('V06 Unidades'!$L$5:$L$98+'V06 Controlos'!$B$37))),--(MOD('V06 Motor'!A10-('V06 Unidades'!$I$5:$I$98+'V06 Controlos'!$B$37),6)=0),--(('V06 Motor'!A10-('V06 Unidades'!$I$5:$I$98+'V06 Controlos'!$B$37))/6&lt;=IF(INT((IF('V06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Controlos'!$B$37)-1)/6),0)),IF('V06 Motor'!A10=('V06 Unidades'!$I$5:$I$98+'V06 Controlos'!$B$37)+6*IF(INT((IF('V06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Controlos'!$B$37)-1)/6),0)&gt;0,IF(INT((IF('V06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Controlos'!$B$37)-1)/6),0),1),2)*(IF(INT((IF('V06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Controlos'!$B$37)-1)/6),0)&gt;0,IF(INT((IF('V06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Controlos'!$B$37)-1)/6)&gt;0,INT((IF('V06 Controlos'!$B$38&gt;0,IF(('V06 Unidades'!$L$5:$L$98+'V06 Controlos'!$B$37)&lt;'V06 Motor'!C10,'V06 Motor'!C10,('V06 Unidades'!$L$5:$L$98+'V06 Controlos'!$B$37)),('V06 Unidades'!$L$5:$L$98+'V06 Controlos'!$B$37))-('V06 Unidades'!$I$5:$I$98+'V06 Controlos'!$B$37)-1)/6),0),1),2)))</f>
        <v>0.0</v>
      </c>
      <c r="P10" s="2">
        <f>SUM('V06 Calend 01'!R5:R98)</f>
        <v>0.0</v>
      </c>
    </row>
    <row r="11" spans="1:16">
      <c r="A11">
        <v>7</v>
      </c>
      <c r="C11">
        <v>30</v>
      </c>
      <c r="G11" s="2">
        <f>IF('V06 Motor'!A11&lt;='V06 Motor'!C11,SUMPRODUCT('V06 Curva'!$B$5:$B$34,IF((IF('V06 Motor'!A11*30/'V06 Motor'!C11&lt;'V06 Curva'!$A$5:$A$34,'V06 Motor'!A11*30/'V06 Motor'!C11,'V06 Curva'!$A$5:$A$34)-IF(('V06 Motor'!A11-1)*30/'V06 Motor'!C11&gt;'V06 Curva'!$A$5:$A$34-1,('V06 Motor'!A11-1)*30/'V06 Motor'!C11,'V06 Curva'!$A$5:$A$34-1))&gt;0,(IF('V06 Motor'!A11*30/'V06 Motor'!C11&lt;'V06 Curva'!$A$5:$A$34,'V06 Motor'!A11*30/'V06 Motor'!C11,'V06 Curva'!$A$5:$A$34)-IF(('V06 Motor'!A11-1)*30/'V06 Motor'!C11&gt;'V06 Curva'!$A$5:$A$34-1,('V06 Motor'!A11-1)*30/'V06 Motor'!C11,'V06 Curva'!$A$5:$A$34-1)),0)),0)</f>
        <v>0.0141</v>
      </c>
      <c r="H11" s="2">
        <f>IF('V06 Motor'!A11&lt;='V06 Motor'!C11,SUM(MAX(0,MIN('V06 Motor'!A11*30/'V06 Motor'!C11,1)-MAX(('V06 Motor'!A11-1)*30/'V06 Motor'!C11,0))*'V06 Curva'!$B$5,MAX(0,MIN('V06 Motor'!A11*30/'V06 Motor'!C11,2)-MAX(('V06 Motor'!A11-1)*30/'V06 Motor'!C11,1))*'V06 Curva'!$B$6,MAX(0,MIN('V06 Motor'!A11*30/'V06 Motor'!C11,3)-MAX(('V06 Motor'!A11-1)*30/'V06 Motor'!C11,2))*'V06 Curva'!$B$7,MAX(0,MIN('V06 Motor'!A11*30/'V06 Motor'!C11,4)-MAX(('V06 Motor'!A11-1)*30/'V06 Motor'!C11,3))*'V06 Curva'!$B$8,MAX(0,MIN('V06 Motor'!A11*30/'V06 Motor'!C11,5)-MAX(('V06 Motor'!A11-1)*30/'V06 Motor'!C11,4))*'V06 Curva'!$B$9,MAX(0,MIN('V06 Motor'!A11*30/'V06 Motor'!C11,6)-MAX(('V06 Motor'!A11-1)*30/'V06 Motor'!C11,5))*'V06 Curva'!$B$10,MAX(0,MIN('V06 Motor'!A11*30/'V06 Motor'!C11,7)-MAX(('V06 Motor'!A11-1)*30/'V06 Motor'!C11,6))*'V06 Curva'!$B$11,MAX(0,MIN('V06 Motor'!A11*30/'V06 Motor'!C11,8)-MAX(('V06 Motor'!A11-1)*30/'V06 Motor'!C11,7))*'V06 Curva'!$B$12,MAX(0,MIN('V06 Motor'!A11*30/'V06 Motor'!C11,9)-MAX(('V06 Motor'!A11-1)*30/'V06 Motor'!C11,8))*'V06 Curva'!$B$13,MAX(0,MIN('V06 Motor'!A11*30/'V06 Motor'!C11,10)-MAX(('V06 Motor'!A11-1)*30/'V06 Motor'!C11,9))*'V06 Curva'!$B$14,MAX(0,MIN('V06 Motor'!A11*30/'V06 Motor'!C11,11)-MAX(('V06 Motor'!A11-1)*30/'V06 Motor'!C11,10))*'V06 Curva'!$B$15,MAX(0,MIN('V06 Motor'!A11*30/'V06 Motor'!C11,12)-MAX(('V06 Motor'!A11-1)*30/'V06 Motor'!C11,11))*'V06 Curva'!$B$16,MAX(0,MIN('V06 Motor'!A11*30/'V06 Motor'!C11,13)-MAX(('V06 Motor'!A11-1)*30/'V06 Motor'!C11,12))*'V06 Curva'!$B$17,MAX(0,MIN('V06 Motor'!A11*30/'V06 Motor'!C11,14)-MAX(('V06 Motor'!A11-1)*30/'V06 Motor'!C11,13))*'V06 Curva'!$B$18,MAX(0,MIN('V06 Motor'!A11*30/'V06 Motor'!C11,15)-MAX(('V06 Motor'!A11-1)*30/'V06 Motor'!C11,14))*'V06 Curva'!$B$19,MAX(0,MIN('V06 Motor'!A11*30/'V06 Motor'!C11,16)-MAX(('V06 Motor'!A11-1)*30/'V06 Motor'!C11,15))*'V06 Curva'!$B$20,MAX(0,MIN('V06 Motor'!A11*30/'V06 Motor'!C11,17)-MAX(('V06 Motor'!A11-1)*30/'V06 Motor'!C11,16))*'V06 Curva'!$B$21,MAX(0,MIN('V06 Motor'!A11*30/'V06 Motor'!C11,18)-MAX(('V06 Motor'!A11-1)*30/'V06 Motor'!C11,17))*'V06 Curva'!$B$22,MAX(0,MIN('V06 Motor'!A11*30/'V06 Motor'!C11,19)-MAX(('V06 Motor'!A11-1)*30/'V06 Motor'!C11,18))*'V06 Curva'!$B$23,MAX(0,MIN('V06 Motor'!A11*30/'V06 Motor'!C11,20)-MAX(('V06 Motor'!A11-1)*30/'V06 Motor'!C11,19))*'V06 Curva'!$B$24,MAX(0,MIN('V06 Motor'!A11*30/'V06 Motor'!C11,21)-MAX(('V06 Motor'!A11-1)*30/'V06 Motor'!C11,20))*'V06 Curva'!$B$25,MAX(0,MIN('V06 Motor'!A11*30/'V06 Motor'!C11,22)-MAX(('V06 Motor'!A11-1)*30/'V06 Motor'!C11,21))*'V06 Curva'!$B$26,MAX(0,MIN('V06 Motor'!A11*30/'V06 Motor'!C11,23)-MAX(('V06 Motor'!A11-1)*30/'V06 Motor'!C11,22))*'V06 Curva'!$B$27,MAX(0,MIN('V06 Motor'!A11*30/'V06 Motor'!C11,24)-MAX(('V06 Motor'!A11-1)*30/'V06 Motor'!C11,23))*'V06 Curva'!$B$28,MAX(0,MIN('V06 Motor'!A11*30/'V06 Motor'!C11,25)-MAX(('V06 Motor'!A11-1)*30/'V06 Motor'!C11,24))*'V06 Curva'!$B$29,MAX(0,MIN('V06 Motor'!A11*30/'V06 Motor'!C11,26)-MAX(('V06 Motor'!A11-1)*30/'V06 Motor'!C11,25))*'V06 Curva'!$B$30,MAX(0,MIN('V06 Motor'!A11*30/'V06 Motor'!C11,27)-MAX(('V06 Motor'!A11-1)*30/'V06 Motor'!C11,26))*'V06 Curva'!$B$31,MAX(0,MIN('V06 Motor'!A11*30/'V06 Motor'!C11,28)-MAX(('V06 Motor'!A11-1)*30/'V06 Motor'!C11,27))*'V06 Curva'!$B$32,MAX(0,MIN('V06 Motor'!A11*30/'V06 Motor'!C11,29)-MAX(('V06 Motor'!A11-1)*30/'V06 Motor'!C11,28))*'V06 Curva'!$B$33,MAX(0,MIN('V06 Motor'!A11*30/'V06 Motor'!C11,30)-MAX(('V06 Motor'!A11-1)*30/'V06 Motor'!C11,29))*'V06 Curva'!$B$34),0)</f>
        <v>0.014100000000000001</v>
      </c>
      <c r="O11" s="2">
        <f>SUMPRODUCT(--(('V06 Unidades'!$I$5:$I$98+'V06 Controlos'!$B$37)='V06 Motor'!A11),ROUND('V06 Unidades'!$H$5:$H$98*0.05,2)+ROUND('V06 Unidades'!$H$5:$H$98*0.2,2))+SUMPRODUCT(--(IF('V06 Controlos'!$B$38&gt;0,IF(('V06 Unidades'!$L$5:$L$98+'V06 Controlos'!$B$37)&lt;'V06 Motor'!C11,'V06 Motor'!C11,('V06 Unidades'!$L$5:$L$98+'V06 Controlos'!$B$37)),('V06 Unidades'!$L$5:$L$98+'V06 Controlos'!$B$37))='V06 Motor'!A11),'V06 Unidades'!$H$5:$H$98-ROUND('V06 Unidades'!$H$5:$H$98*0.05,2)-ROUND('V06 Unidades'!$H$5:$H$98*0.2,2)-ROUND('V06 Unidades'!$H$5:$H$98*0.55,2))+SUMPRODUCT(--(IF(INT((IF('V06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Controlos'!$B$37)-1)/6),0)&gt;0),--('V06 Motor'!A11&gt;('V06 Unidades'!$I$5:$I$98+'V06 Controlos'!$B$37)),--('V06 Motor'!A11&lt;IF('V06 Controlos'!$B$38&gt;0,IF(('V06 Unidades'!$L$5:$L$98+'V06 Controlos'!$B$37)&lt;'V06 Motor'!C11,'V06 Motor'!C11,('V06 Unidades'!$L$5:$L$98+'V06 Controlos'!$B$37)),('V06 Unidades'!$L$5:$L$98+'V06 Controlos'!$B$37))),--(MOD('V06 Motor'!A11-('V06 Unidades'!$I$5:$I$98+'V06 Controlos'!$B$37),6)=0),--(('V06 Motor'!A11-('V06 Unidades'!$I$5:$I$98+'V06 Controlos'!$B$37))/6&lt;=IF(INT((IF('V06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Controlos'!$B$37)-1)/6),0)),IF('V06 Motor'!A11=('V06 Unidades'!$I$5:$I$98+'V06 Controlos'!$B$37)+6*IF(INT((IF('V06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Controlos'!$B$37)-1)/6),0)&gt;0,IF(INT((IF('V06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Controlos'!$B$37)-1)/6),0),1),2)*(IF(INT((IF('V06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Controlos'!$B$37)-1)/6),0)&gt;0,IF(INT((IF('V06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Controlos'!$B$37)-1)/6)&gt;0,INT((IF('V06 Controlos'!$B$38&gt;0,IF(('V06 Unidades'!$L$5:$L$98+'V06 Controlos'!$B$37)&lt;'V06 Motor'!C11,'V06 Motor'!C11,('V06 Unidades'!$L$5:$L$98+'V06 Controlos'!$B$37)),('V06 Unidades'!$L$5:$L$98+'V06 Controlos'!$B$37))-('V06 Unidades'!$I$5:$I$98+'V06 Controlos'!$B$37)-1)/6),0),1),2)))</f>
        <v>2469440.82</v>
      </c>
      <c r="P11" s="2">
        <f>SUM('V06 Calend 01'!S5:S98)</f>
        <v>2469440.82</v>
      </c>
    </row>
    <row r="12" spans="1:16">
      <c r="A12">
        <v>8</v>
      </c>
      <c r="C12">
        <v>30</v>
      </c>
      <c r="G12" s="2">
        <f>IF('V06 Motor'!A12&lt;='V06 Motor'!C12,SUMPRODUCT('V06 Curva'!$B$5:$B$34,IF((IF('V06 Motor'!A12*30/'V06 Motor'!C12&lt;'V06 Curva'!$A$5:$A$34,'V06 Motor'!A12*30/'V06 Motor'!C12,'V06 Curva'!$A$5:$A$34)-IF(('V06 Motor'!A12-1)*30/'V06 Motor'!C12&gt;'V06 Curva'!$A$5:$A$34-1,('V06 Motor'!A12-1)*30/'V06 Motor'!C12,'V06 Curva'!$A$5:$A$34-1))&gt;0,(IF('V06 Motor'!A12*30/'V06 Motor'!C12&lt;'V06 Curva'!$A$5:$A$34,'V06 Motor'!A12*30/'V06 Motor'!C12,'V06 Curva'!$A$5:$A$34)-IF(('V06 Motor'!A12-1)*30/'V06 Motor'!C12&gt;'V06 Curva'!$A$5:$A$34-1,('V06 Motor'!A12-1)*30/'V06 Motor'!C12,'V06 Curva'!$A$5:$A$34-1)),0)),0)</f>
        <v>0.0141</v>
      </c>
      <c r="H12" s="2">
        <f>IF('V06 Motor'!A12&lt;='V06 Motor'!C12,SUM(MAX(0,MIN('V06 Motor'!A12*30/'V06 Motor'!C12,1)-MAX(('V06 Motor'!A12-1)*30/'V06 Motor'!C12,0))*'V06 Curva'!$B$5,MAX(0,MIN('V06 Motor'!A12*30/'V06 Motor'!C12,2)-MAX(('V06 Motor'!A12-1)*30/'V06 Motor'!C12,1))*'V06 Curva'!$B$6,MAX(0,MIN('V06 Motor'!A12*30/'V06 Motor'!C12,3)-MAX(('V06 Motor'!A12-1)*30/'V06 Motor'!C12,2))*'V06 Curva'!$B$7,MAX(0,MIN('V06 Motor'!A12*30/'V06 Motor'!C12,4)-MAX(('V06 Motor'!A12-1)*30/'V06 Motor'!C12,3))*'V06 Curva'!$B$8,MAX(0,MIN('V06 Motor'!A12*30/'V06 Motor'!C12,5)-MAX(('V06 Motor'!A12-1)*30/'V06 Motor'!C12,4))*'V06 Curva'!$B$9,MAX(0,MIN('V06 Motor'!A12*30/'V06 Motor'!C12,6)-MAX(('V06 Motor'!A12-1)*30/'V06 Motor'!C12,5))*'V06 Curva'!$B$10,MAX(0,MIN('V06 Motor'!A12*30/'V06 Motor'!C12,7)-MAX(('V06 Motor'!A12-1)*30/'V06 Motor'!C12,6))*'V06 Curva'!$B$11,MAX(0,MIN('V06 Motor'!A12*30/'V06 Motor'!C12,8)-MAX(('V06 Motor'!A12-1)*30/'V06 Motor'!C12,7))*'V06 Curva'!$B$12,MAX(0,MIN('V06 Motor'!A12*30/'V06 Motor'!C12,9)-MAX(('V06 Motor'!A12-1)*30/'V06 Motor'!C12,8))*'V06 Curva'!$B$13,MAX(0,MIN('V06 Motor'!A12*30/'V06 Motor'!C12,10)-MAX(('V06 Motor'!A12-1)*30/'V06 Motor'!C12,9))*'V06 Curva'!$B$14,MAX(0,MIN('V06 Motor'!A12*30/'V06 Motor'!C12,11)-MAX(('V06 Motor'!A12-1)*30/'V06 Motor'!C12,10))*'V06 Curva'!$B$15,MAX(0,MIN('V06 Motor'!A12*30/'V06 Motor'!C12,12)-MAX(('V06 Motor'!A12-1)*30/'V06 Motor'!C12,11))*'V06 Curva'!$B$16,MAX(0,MIN('V06 Motor'!A12*30/'V06 Motor'!C12,13)-MAX(('V06 Motor'!A12-1)*30/'V06 Motor'!C12,12))*'V06 Curva'!$B$17,MAX(0,MIN('V06 Motor'!A12*30/'V06 Motor'!C12,14)-MAX(('V06 Motor'!A12-1)*30/'V06 Motor'!C12,13))*'V06 Curva'!$B$18,MAX(0,MIN('V06 Motor'!A12*30/'V06 Motor'!C12,15)-MAX(('V06 Motor'!A12-1)*30/'V06 Motor'!C12,14))*'V06 Curva'!$B$19,MAX(0,MIN('V06 Motor'!A12*30/'V06 Motor'!C12,16)-MAX(('V06 Motor'!A12-1)*30/'V06 Motor'!C12,15))*'V06 Curva'!$B$20,MAX(0,MIN('V06 Motor'!A12*30/'V06 Motor'!C12,17)-MAX(('V06 Motor'!A12-1)*30/'V06 Motor'!C12,16))*'V06 Curva'!$B$21,MAX(0,MIN('V06 Motor'!A12*30/'V06 Motor'!C12,18)-MAX(('V06 Motor'!A12-1)*30/'V06 Motor'!C12,17))*'V06 Curva'!$B$22,MAX(0,MIN('V06 Motor'!A12*30/'V06 Motor'!C12,19)-MAX(('V06 Motor'!A12-1)*30/'V06 Motor'!C12,18))*'V06 Curva'!$B$23,MAX(0,MIN('V06 Motor'!A12*30/'V06 Motor'!C12,20)-MAX(('V06 Motor'!A12-1)*30/'V06 Motor'!C12,19))*'V06 Curva'!$B$24,MAX(0,MIN('V06 Motor'!A12*30/'V06 Motor'!C12,21)-MAX(('V06 Motor'!A12-1)*30/'V06 Motor'!C12,20))*'V06 Curva'!$B$25,MAX(0,MIN('V06 Motor'!A12*30/'V06 Motor'!C12,22)-MAX(('V06 Motor'!A12-1)*30/'V06 Motor'!C12,21))*'V06 Curva'!$B$26,MAX(0,MIN('V06 Motor'!A12*30/'V06 Motor'!C12,23)-MAX(('V06 Motor'!A12-1)*30/'V06 Motor'!C12,22))*'V06 Curva'!$B$27,MAX(0,MIN('V06 Motor'!A12*30/'V06 Motor'!C12,24)-MAX(('V06 Motor'!A12-1)*30/'V06 Motor'!C12,23))*'V06 Curva'!$B$28,MAX(0,MIN('V06 Motor'!A12*30/'V06 Motor'!C12,25)-MAX(('V06 Motor'!A12-1)*30/'V06 Motor'!C12,24))*'V06 Curva'!$B$29,MAX(0,MIN('V06 Motor'!A12*30/'V06 Motor'!C12,26)-MAX(('V06 Motor'!A12-1)*30/'V06 Motor'!C12,25))*'V06 Curva'!$B$30,MAX(0,MIN('V06 Motor'!A12*30/'V06 Motor'!C12,27)-MAX(('V06 Motor'!A12-1)*30/'V06 Motor'!C12,26))*'V06 Curva'!$B$31,MAX(0,MIN('V06 Motor'!A12*30/'V06 Motor'!C12,28)-MAX(('V06 Motor'!A12-1)*30/'V06 Motor'!C12,27))*'V06 Curva'!$B$32,MAX(0,MIN('V06 Motor'!A12*30/'V06 Motor'!C12,29)-MAX(('V06 Motor'!A12-1)*30/'V06 Motor'!C12,28))*'V06 Curva'!$B$33,MAX(0,MIN('V06 Motor'!A12*30/'V06 Motor'!C12,30)-MAX(('V06 Motor'!A12-1)*30/'V06 Motor'!C12,29))*'V06 Curva'!$B$34),0)</f>
        <v>0.014100000000000001</v>
      </c>
      <c r="O12" s="2">
        <f>SUMPRODUCT(--(('V06 Unidades'!$I$5:$I$98+'V06 Controlos'!$B$37)='V06 Motor'!A12),ROUND('V06 Unidades'!$H$5:$H$98*0.05,2)+ROUND('V06 Unidades'!$H$5:$H$98*0.2,2))+SUMPRODUCT(--(IF('V06 Controlos'!$B$38&gt;0,IF(('V06 Unidades'!$L$5:$L$98+'V06 Controlos'!$B$37)&lt;'V06 Motor'!C12,'V06 Motor'!C12,('V06 Unidades'!$L$5:$L$98+'V06 Controlos'!$B$37)),('V06 Unidades'!$L$5:$L$98+'V06 Controlos'!$B$37))='V06 Motor'!A12),'V06 Unidades'!$H$5:$H$98-ROUND('V06 Unidades'!$H$5:$H$98*0.05,2)-ROUND('V06 Unidades'!$H$5:$H$98*0.2,2)-ROUND('V06 Unidades'!$H$5:$H$98*0.55,2))+SUMPRODUCT(--(IF(INT((IF('V06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Controlos'!$B$37)-1)/6),0)&gt;0),--('V06 Motor'!A12&gt;('V06 Unidades'!$I$5:$I$98+'V06 Controlos'!$B$37)),--('V06 Motor'!A12&lt;IF('V06 Controlos'!$B$38&gt;0,IF(('V06 Unidades'!$L$5:$L$98+'V06 Controlos'!$B$37)&lt;'V06 Motor'!C12,'V06 Motor'!C12,('V06 Unidades'!$L$5:$L$98+'V06 Controlos'!$B$37)),('V06 Unidades'!$L$5:$L$98+'V06 Controlos'!$B$37))),--(MOD('V06 Motor'!A12-('V06 Unidades'!$I$5:$I$98+'V06 Controlos'!$B$37),6)=0),--(('V06 Motor'!A12-('V06 Unidades'!$I$5:$I$98+'V06 Controlos'!$B$37))/6&lt;=IF(INT((IF('V06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Controlos'!$B$37)-1)/6),0)),IF('V06 Motor'!A12=('V06 Unidades'!$I$5:$I$98+'V06 Controlos'!$B$37)+6*IF(INT((IF('V06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Controlos'!$B$37)-1)/6),0)&gt;0,IF(INT((IF('V06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Controlos'!$B$37)-1)/6),0),1),2)*(IF(INT((IF('V06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Controlos'!$B$37)-1)/6),0)&gt;0,IF(INT((IF('V06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Controlos'!$B$37)-1)/6)&gt;0,INT((IF('V06 Controlos'!$B$38&gt;0,IF(('V06 Unidades'!$L$5:$L$98+'V06 Controlos'!$B$37)&lt;'V06 Motor'!C12,'V06 Motor'!C12,('V06 Unidades'!$L$5:$L$98+'V06 Controlos'!$B$37)),('V06 Unidades'!$L$5:$L$98+'V06 Controlos'!$B$37))-('V06 Unidades'!$I$5:$I$98+'V06 Controlos'!$B$37)-1)/6),0),1),2)))</f>
        <v>0.0</v>
      </c>
      <c r="P12" s="2">
        <f>SUM('V06 Calend 01'!T5:T98)</f>
        <v>0.0</v>
      </c>
    </row>
    <row r="13" spans="1:16">
      <c r="A13">
        <v>9</v>
      </c>
      <c r="C13">
        <v>30</v>
      </c>
      <c r="G13" s="2">
        <f>IF('V06 Motor'!A13&lt;='V06 Motor'!C13,SUMPRODUCT('V06 Curva'!$B$5:$B$34,IF((IF('V06 Motor'!A13*30/'V06 Motor'!C13&lt;'V06 Curva'!$A$5:$A$34,'V06 Motor'!A13*30/'V06 Motor'!C13,'V06 Curva'!$A$5:$A$34)-IF(('V06 Motor'!A13-1)*30/'V06 Motor'!C13&gt;'V06 Curva'!$A$5:$A$34-1,('V06 Motor'!A13-1)*30/'V06 Motor'!C13,'V06 Curva'!$A$5:$A$34-1))&gt;0,(IF('V06 Motor'!A13*30/'V06 Motor'!C13&lt;'V06 Curva'!$A$5:$A$34,'V06 Motor'!A13*30/'V06 Motor'!C13,'V06 Curva'!$A$5:$A$34)-IF(('V06 Motor'!A13-1)*30/'V06 Motor'!C13&gt;'V06 Curva'!$A$5:$A$34-1,('V06 Motor'!A13-1)*30/'V06 Motor'!C13,'V06 Curva'!$A$5:$A$34-1)),0)),0)</f>
        <v>0.0147</v>
      </c>
      <c r="H13" s="2">
        <f>IF('V06 Motor'!A13&lt;='V06 Motor'!C13,SUM(MAX(0,MIN('V06 Motor'!A13*30/'V06 Motor'!C13,1)-MAX(('V06 Motor'!A13-1)*30/'V06 Motor'!C13,0))*'V06 Curva'!$B$5,MAX(0,MIN('V06 Motor'!A13*30/'V06 Motor'!C13,2)-MAX(('V06 Motor'!A13-1)*30/'V06 Motor'!C13,1))*'V06 Curva'!$B$6,MAX(0,MIN('V06 Motor'!A13*30/'V06 Motor'!C13,3)-MAX(('V06 Motor'!A13-1)*30/'V06 Motor'!C13,2))*'V06 Curva'!$B$7,MAX(0,MIN('V06 Motor'!A13*30/'V06 Motor'!C13,4)-MAX(('V06 Motor'!A13-1)*30/'V06 Motor'!C13,3))*'V06 Curva'!$B$8,MAX(0,MIN('V06 Motor'!A13*30/'V06 Motor'!C13,5)-MAX(('V06 Motor'!A13-1)*30/'V06 Motor'!C13,4))*'V06 Curva'!$B$9,MAX(0,MIN('V06 Motor'!A13*30/'V06 Motor'!C13,6)-MAX(('V06 Motor'!A13-1)*30/'V06 Motor'!C13,5))*'V06 Curva'!$B$10,MAX(0,MIN('V06 Motor'!A13*30/'V06 Motor'!C13,7)-MAX(('V06 Motor'!A13-1)*30/'V06 Motor'!C13,6))*'V06 Curva'!$B$11,MAX(0,MIN('V06 Motor'!A13*30/'V06 Motor'!C13,8)-MAX(('V06 Motor'!A13-1)*30/'V06 Motor'!C13,7))*'V06 Curva'!$B$12,MAX(0,MIN('V06 Motor'!A13*30/'V06 Motor'!C13,9)-MAX(('V06 Motor'!A13-1)*30/'V06 Motor'!C13,8))*'V06 Curva'!$B$13,MAX(0,MIN('V06 Motor'!A13*30/'V06 Motor'!C13,10)-MAX(('V06 Motor'!A13-1)*30/'V06 Motor'!C13,9))*'V06 Curva'!$B$14,MAX(0,MIN('V06 Motor'!A13*30/'V06 Motor'!C13,11)-MAX(('V06 Motor'!A13-1)*30/'V06 Motor'!C13,10))*'V06 Curva'!$B$15,MAX(0,MIN('V06 Motor'!A13*30/'V06 Motor'!C13,12)-MAX(('V06 Motor'!A13-1)*30/'V06 Motor'!C13,11))*'V06 Curva'!$B$16,MAX(0,MIN('V06 Motor'!A13*30/'V06 Motor'!C13,13)-MAX(('V06 Motor'!A13-1)*30/'V06 Motor'!C13,12))*'V06 Curva'!$B$17,MAX(0,MIN('V06 Motor'!A13*30/'V06 Motor'!C13,14)-MAX(('V06 Motor'!A13-1)*30/'V06 Motor'!C13,13))*'V06 Curva'!$B$18,MAX(0,MIN('V06 Motor'!A13*30/'V06 Motor'!C13,15)-MAX(('V06 Motor'!A13-1)*30/'V06 Motor'!C13,14))*'V06 Curva'!$B$19,MAX(0,MIN('V06 Motor'!A13*30/'V06 Motor'!C13,16)-MAX(('V06 Motor'!A13-1)*30/'V06 Motor'!C13,15))*'V06 Curva'!$B$20,MAX(0,MIN('V06 Motor'!A13*30/'V06 Motor'!C13,17)-MAX(('V06 Motor'!A13-1)*30/'V06 Motor'!C13,16))*'V06 Curva'!$B$21,MAX(0,MIN('V06 Motor'!A13*30/'V06 Motor'!C13,18)-MAX(('V06 Motor'!A13-1)*30/'V06 Motor'!C13,17))*'V06 Curva'!$B$22,MAX(0,MIN('V06 Motor'!A13*30/'V06 Motor'!C13,19)-MAX(('V06 Motor'!A13-1)*30/'V06 Motor'!C13,18))*'V06 Curva'!$B$23,MAX(0,MIN('V06 Motor'!A13*30/'V06 Motor'!C13,20)-MAX(('V06 Motor'!A13-1)*30/'V06 Motor'!C13,19))*'V06 Curva'!$B$24,MAX(0,MIN('V06 Motor'!A13*30/'V06 Motor'!C13,21)-MAX(('V06 Motor'!A13-1)*30/'V06 Motor'!C13,20))*'V06 Curva'!$B$25,MAX(0,MIN('V06 Motor'!A13*30/'V06 Motor'!C13,22)-MAX(('V06 Motor'!A13-1)*30/'V06 Motor'!C13,21))*'V06 Curva'!$B$26,MAX(0,MIN('V06 Motor'!A13*30/'V06 Motor'!C13,23)-MAX(('V06 Motor'!A13-1)*30/'V06 Motor'!C13,22))*'V06 Curva'!$B$27,MAX(0,MIN('V06 Motor'!A13*30/'V06 Motor'!C13,24)-MAX(('V06 Motor'!A13-1)*30/'V06 Motor'!C13,23))*'V06 Curva'!$B$28,MAX(0,MIN('V06 Motor'!A13*30/'V06 Motor'!C13,25)-MAX(('V06 Motor'!A13-1)*30/'V06 Motor'!C13,24))*'V06 Curva'!$B$29,MAX(0,MIN('V06 Motor'!A13*30/'V06 Motor'!C13,26)-MAX(('V06 Motor'!A13-1)*30/'V06 Motor'!C13,25))*'V06 Curva'!$B$30,MAX(0,MIN('V06 Motor'!A13*30/'V06 Motor'!C13,27)-MAX(('V06 Motor'!A13-1)*30/'V06 Motor'!C13,26))*'V06 Curva'!$B$31,MAX(0,MIN('V06 Motor'!A13*30/'V06 Motor'!C13,28)-MAX(('V06 Motor'!A13-1)*30/'V06 Motor'!C13,27))*'V06 Curva'!$B$32,MAX(0,MIN('V06 Motor'!A13*30/'V06 Motor'!C13,29)-MAX(('V06 Motor'!A13-1)*30/'V06 Motor'!C13,28))*'V06 Curva'!$B$33,MAX(0,MIN('V06 Motor'!A13*30/'V06 Motor'!C13,30)-MAX(('V06 Motor'!A13-1)*30/'V06 Motor'!C13,29))*'V06 Curva'!$B$34),0)</f>
        <v>0.014700000000000001</v>
      </c>
      <c r="O13" s="2">
        <f>SUMPRODUCT(--(('V06 Unidades'!$I$5:$I$98+'V06 Controlos'!$B$37)='V06 Motor'!A13),ROUND('V06 Unidades'!$H$5:$H$98*0.05,2)+ROUND('V06 Unidades'!$H$5:$H$98*0.2,2))+SUMPRODUCT(--(IF('V06 Controlos'!$B$38&gt;0,IF(('V06 Unidades'!$L$5:$L$98+'V06 Controlos'!$B$37)&lt;'V06 Motor'!C13,'V06 Motor'!C13,('V06 Unidades'!$L$5:$L$98+'V06 Controlos'!$B$37)),('V06 Unidades'!$L$5:$L$98+'V06 Controlos'!$B$37))='V06 Motor'!A13),'V06 Unidades'!$H$5:$H$98-ROUND('V06 Unidades'!$H$5:$H$98*0.05,2)-ROUND('V06 Unidades'!$H$5:$H$98*0.2,2)-ROUND('V06 Unidades'!$H$5:$H$98*0.55,2))+SUMPRODUCT(--(IF(INT((IF('V06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Controlos'!$B$37)-1)/6),0)&gt;0),--('V06 Motor'!A13&gt;('V06 Unidades'!$I$5:$I$98+'V06 Controlos'!$B$37)),--('V06 Motor'!A13&lt;IF('V06 Controlos'!$B$38&gt;0,IF(('V06 Unidades'!$L$5:$L$98+'V06 Controlos'!$B$37)&lt;'V06 Motor'!C13,'V06 Motor'!C13,('V06 Unidades'!$L$5:$L$98+'V06 Controlos'!$B$37)),('V06 Unidades'!$L$5:$L$98+'V06 Controlos'!$B$37))),--(MOD('V06 Motor'!A13-('V06 Unidades'!$I$5:$I$98+'V06 Controlos'!$B$37),6)=0),--(('V06 Motor'!A13-('V06 Unidades'!$I$5:$I$98+'V06 Controlos'!$B$37))/6&lt;=IF(INT((IF('V06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Controlos'!$B$37)-1)/6),0)),IF('V06 Motor'!A13=('V06 Unidades'!$I$5:$I$98+'V06 Controlos'!$B$37)+6*IF(INT((IF('V06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Controlos'!$B$37)-1)/6),0)&gt;0,IF(INT((IF('V06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Controlos'!$B$37)-1)/6),0),1),2)*(IF(INT((IF('V06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Controlos'!$B$37)-1)/6),0)&gt;0,IF(INT((IF('V06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Controlos'!$B$37)-1)/6)&gt;0,INT((IF('V06 Controlos'!$B$38&gt;0,IF(('V06 Unidades'!$L$5:$L$98+'V06 Controlos'!$B$37)&lt;'V06 Motor'!C13,'V06 Motor'!C13,('V06 Unidades'!$L$5:$L$98+'V06 Controlos'!$B$37)),('V06 Unidades'!$L$5:$L$98+'V06 Controlos'!$B$37))-('V06 Unidades'!$I$5:$I$98+'V06 Controlos'!$B$37)-1)/6),0),1),2)))</f>
        <v>0.0</v>
      </c>
      <c r="P13" s="2">
        <f>SUM('V06 Calend 01'!U5:U98)</f>
        <v>0.0</v>
      </c>
    </row>
    <row r="14" spans="1:16">
      <c r="A14">
        <v>10</v>
      </c>
      <c r="C14">
        <v>30</v>
      </c>
      <c r="G14" s="2">
        <f>IF('V06 Motor'!A14&lt;='V06 Motor'!C14,SUMPRODUCT('V06 Curva'!$B$5:$B$34,IF((IF('V06 Motor'!A14*30/'V06 Motor'!C14&lt;'V06 Curva'!$A$5:$A$34,'V06 Motor'!A14*30/'V06 Motor'!C14,'V06 Curva'!$A$5:$A$34)-IF(('V06 Motor'!A14-1)*30/'V06 Motor'!C14&gt;'V06 Curva'!$A$5:$A$34-1,('V06 Motor'!A14-1)*30/'V06 Motor'!C14,'V06 Curva'!$A$5:$A$34-1))&gt;0,(IF('V06 Motor'!A14*30/'V06 Motor'!C14&lt;'V06 Curva'!$A$5:$A$34,'V06 Motor'!A14*30/'V06 Motor'!C14,'V06 Curva'!$A$5:$A$34)-IF(('V06 Motor'!A14-1)*30/'V06 Motor'!C14&gt;'V06 Curva'!$A$5:$A$34-1,('V06 Motor'!A14-1)*30/'V06 Motor'!C14,'V06 Curva'!$A$5:$A$34-1)),0)),0)</f>
        <v>0.0134</v>
      </c>
      <c r="H14" s="2">
        <f>IF('V06 Motor'!A14&lt;='V06 Motor'!C14,SUM(MAX(0,MIN('V06 Motor'!A14*30/'V06 Motor'!C14,1)-MAX(('V06 Motor'!A14-1)*30/'V06 Motor'!C14,0))*'V06 Curva'!$B$5,MAX(0,MIN('V06 Motor'!A14*30/'V06 Motor'!C14,2)-MAX(('V06 Motor'!A14-1)*30/'V06 Motor'!C14,1))*'V06 Curva'!$B$6,MAX(0,MIN('V06 Motor'!A14*30/'V06 Motor'!C14,3)-MAX(('V06 Motor'!A14-1)*30/'V06 Motor'!C14,2))*'V06 Curva'!$B$7,MAX(0,MIN('V06 Motor'!A14*30/'V06 Motor'!C14,4)-MAX(('V06 Motor'!A14-1)*30/'V06 Motor'!C14,3))*'V06 Curva'!$B$8,MAX(0,MIN('V06 Motor'!A14*30/'V06 Motor'!C14,5)-MAX(('V06 Motor'!A14-1)*30/'V06 Motor'!C14,4))*'V06 Curva'!$B$9,MAX(0,MIN('V06 Motor'!A14*30/'V06 Motor'!C14,6)-MAX(('V06 Motor'!A14-1)*30/'V06 Motor'!C14,5))*'V06 Curva'!$B$10,MAX(0,MIN('V06 Motor'!A14*30/'V06 Motor'!C14,7)-MAX(('V06 Motor'!A14-1)*30/'V06 Motor'!C14,6))*'V06 Curva'!$B$11,MAX(0,MIN('V06 Motor'!A14*30/'V06 Motor'!C14,8)-MAX(('V06 Motor'!A14-1)*30/'V06 Motor'!C14,7))*'V06 Curva'!$B$12,MAX(0,MIN('V06 Motor'!A14*30/'V06 Motor'!C14,9)-MAX(('V06 Motor'!A14-1)*30/'V06 Motor'!C14,8))*'V06 Curva'!$B$13,MAX(0,MIN('V06 Motor'!A14*30/'V06 Motor'!C14,10)-MAX(('V06 Motor'!A14-1)*30/'V06 Motor'!C14,9))*'V06 Curva'!$B$14,MAX(0,MIN('V06 Motor'!A14*30/'V06 Motor'!C14,11)-MAX(('V06 Motor'!A14-1)*30/'V06 Motor'!C14,10))*'V06 Curva'!$B$15,MAX(0,MIN('V06 Motor'!A14*30/'V06 Motor'!C14,12)-MAX(('V06 Motor'!A14-1)*30/'V06 Motor'!C14,11))*'V06 Curva'!$B$16,MAX(0,MIN('V06 Motor'!A14*30/'V06 Motor'!C14,13)-MAX(('V06 Motor'!A14-1)*30/'V06 Motor'!C14,12))*'V06 Curva'!$B$17,MAX(0,MIN('V06 Motor'!A14*30/'V06 Motor'!C14,14)-MAX(('V06 Motor'!A14-1)*30/'V06 Motor'!C14,13))*'V06 Curva'!$B$18,MAX(0,MIN('V06 Motor'!A14*30/'V06 Motor'!C14,15)-MAX(('V06 Motor'!A14-1)*30/'V06 Motor'!C14,14))*'V06 Curva'!$B$19,MAX(0,MIN('V06 Motor'!A14*30/'V06 Motor'!C14,16)-MAX(('V06 Motor'!A14-1)*30/'V06 Motor'!C14,15))*'V06 Curva'!$B$20,MAX(0,MIN('V06 Motor'!A14*30/'V06 Motor'!C14,17)-MAX(('V06 Motor'!A14-1)*30/'V06 Motor'!C14,16))*'V06 Curva'!$B$21,MAX(0,MIN('V06 Motor'!A14*30/'V06 Motor'!C14,18)-MAX(('V06 Motor'!A14-1)*30/'V06 Motor'!C14,17))*'V06 Curva'!$B$22,MAX(0,MIN('V06 Motor'!A14*30/'V06 Motor'!C14,19)-MAX(('V06 Motor'!A14-1)*30/'V06 Motor'!C14,18))*'V06 Curva'!$B$23,MAX(0,MIN('V06 Motor'!A14*30/'V06 Motor'!C14,20)-MAX(('V06 Motor'!A14-1)*30/'V06 Motor'!C14,19))*'V06 Curva'!$B$24,MAX(0,MIN('V06 Motor'!A14*30/'V06 Motor'!C14,21)-MAX(('V06 Motor'!A14-1)*30/'V06 Motor'!C14,20))*'V06 Curva'!$B$25,MAX(0,MIN('V06 Motor'!A14*30/'V06 Motor'!C14,22)-MAX(('V06 Motor'!A14-1)*30/'V06 Motor'!C14,21))*'V06 Curva'!$B$26,MAX(0,MIN('V06 Motor'!A14*30/'V06 Motor'!C14,23)-MAX(('V06 Motor'!A14-1)*30/'V06 Motor'!C14,22))*'V06 Curva'!$B$27,MAX(0,MIN('V06 Motor'!A14*30/'V06 Motor'!C14,24)-MAX(('V06 Motor'!A14-1)*30/'V06 Motor'!C14,23))*'V06 Curva'!$B$28,MAX(0,MIN('V06 Motor'!A14*30/'V06 Motor'!C14,25)-MAX(('V06 Motor'!A14-1)*30/'V06 Motor'!C14,24))*'V06 Curva'!$B$29,MAX(0,MIN('V06 Motor'!A14*30/'V06 Motor'!C14,26)-MAX(('V06 Motor'!A14-1)*30/'V06 Motor'!C14,25))*'V06 Curva'!$B$30,MAX(0,MIN('V06 Motor'!A14*30/'V06 Motor'!C14,27)-MAX(('V06 Motor'!A14-1)*30/'V06 Motor'!C14,26))*'V06 Curva'!$B$31,MAX(0,MIN('V06 Motor'!A14*30/'V06 Motor'!C14,28)-MAX(('V06 Motor'!A14-1)*30/'V06 Motor'!C14,27))*'V06 Curva'!$B$32,MAX(0,MIN('V06 Motor'!A14*30/'V06 Motor'!C14,29)-MAX(('V06 Motor'!A14-1)*30/'V06 Motor'!C14,28))*'V06 Curva'!$B$33,MAX(0,MIN('V06 Motor'!A14*30/'V06 Motor'!C14,30)-MAX(('V06 Motor'!A14-1)*30/'V06 Motor'!C14,29))*'V06 Curva'!$B$34),0)</f>
        <v>0.0134</v>
      </c>
      <c r="O14" s="2">
        <f>SUMPRODUCT(--(('V06 Unidades'!$I$5:$I$98+'V06 Controlos'!$B$37)='V06 Motor'!A14),ROUND('V06 Unidades'!$H$5:$H$98*0.05,2)+ROUND('V06 Unidades'!$H$5:$H$98*0.2,2))+SUMPRODUCT(--(IF('V06 Controlos'!$B$38&gt;0,IF(('V06 Unidades'!$L$5:$L$98+'V06 Controlos'!$B$37)&lt;'V06 Motor'!C14,'V06 Motor'!C14,('V06 Unidades'!$L$5:$L$98+'V06 Controlos'!$B$37)),('V06 Unidades'!$L$5:$L$98+'V06 Controlos'!$B$37))='V06 Motor'!A14),'V06 Unidades'!$H$5:$H$98-ROUND('V06 Unidades'!$H$5:$H$98*0.05,2)-ROUND('V06 Unidades'!$H$5:$H$98*0.2,2)-ROUND('V06 Unidades'!$H$5:$H$98*0.55,2))+SUMPRODUCT(--(IF(INT((IF('V06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Controlos'!$B$37)-1)/6),0)&gt;0),--('V06 Motor'!A14&gt;('V06 Unidades'!$I$5:$I$98+'V06 Controlos'!$B$37)),--('V06 Motor'!A14&lt;IF('V06 Controlos'!$B$38&gt;0,IF(('V06 Unidades'!$L$5:$L$98+'V06 Controlos'!$B$37)&lt;'V06 Motor'!C14,'V06 Motor'!C14,('V06 Unidades'!$L$5:$L$98+'V06 Controlos'!$B$37)),('V06 Unidades'!$L$5:$L$98+'V06 Controlos'!$B$37))),--(MOD('V06 Motor'!A14-('V06 Unidades'!$I$5:$I$98+'V06 Controlos'!$B$37),6)=0),--(('V06 Motor'!A14-('V06 Unidades'!$I$5:$I$98+'V06 Controlos'!$B$37))/6&lt;=IF(INT((IF('V06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Controlos'!$B$37)-1)/6),0)),IF('V06 Motor'!A14=('V06 Unidades'!$I$5:$I$98+'V06 Controlos'!$B$37)+6*IF(INT((IF('V06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Controlos'!$B$37)-1)/6),0)&gt;0,IF(INT((IF('V06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Controlos'!$B$37)-1)/6),0),1),2)*(IF(INT((IF('V06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Controlos'!$B$37)-1)/6),0)&gt;0,IF(INT((IF('V06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Controlos'!$B$37)-1)/6)&gt;0,INT((IF('V06 Controlos'!$B$38&gt;0,IF(('V06 Unidades'!$L$5:$L$98+'V06 Controlos'!$B$37)&lt;'V06 Motor'!C14,'V06 Motor'!C14,('V06 Unidades'!$L$5:$L$98+'V06 Controlos'!$B$37)),('V06 Unidades'!$L$5:$L$98+'V06 Controlos'!$B$37))-('V06 Unidades'!$I$5:$I$98+'V06 Controlos'!$B$37)-1)/6),0),1),2)))</f>
        <v>1978211.83</v>
      </c>
      <c r="P14" s="2">
        <f>SUM('V06 Calend 01'!V5:V98)</f>
        <v>1978211.83</v>
      </c>
    </row>
    <row r="15" spans="1:16">
      <c r="A15">
        <v>11</v>
      </c>
      <c r="C15">
        <v>30</v>
      </c>
      <c r="G15" s="2">
        <f>IF('V06 Motor'!A15&lt;='V06 Motor'!C15,SUMPRODUCT('V06 Curva'!$B$5:$B$34,IF((IF('V06 Motor'!A15*30/'V06 Motor'!C15&lt;'V06 Curva'!$A$5:$A$34,'V06 Motor'!A15*30/'V06 Motor'!C15,'V06 Curva'!$A$5:$A$34)-IF(('V06 Motor'!A15-1)*30/'V06 Motor'!C15&gt;'V06 Curva'!$A$5:$A$34-1,('V06 Motor'!A15-1)*30/'V06 Motor'!C15,'V06 Curva'!$A$5:$A$34-1))&gt;0,(IF('V06 Motor'!A15*30/'V06 Motor'!C15&lt;'V06 Curva'!$A$5:$A$34,'V06 Motor'!A15*30/'V06 Motor'!C15,'V06 Curva'!$A$5:$A$34)-IF(('V06 Motor'!A15-1)*30/'V06 Motor'!C15&gt;'V06 Curva'!$A$5:$A$34-1,('V06 Motor'!A15-1)*30/'V06 Motor'!C15,'V06 Curva'!$A$5:$A$34-1)),0)),0)</f>
        <v>0.0188</v>
      </c>
      <c r="H15" s="2">
        <f>IF('V06 Motor'!A15&lt;='V06 Motor'!C15,SUM(MAX(0,MIN('V06 Motor'!A15*30/'V06 Motor'!C15,1)-MAX(('V06 Motor'!A15-1)*30/'V06 Motor'!C15,0))*'V06 Curva'!$B$5,MAX(0,MIN('V06 Motor'!A15*30/'V06 Motor'!C15,2)-MAX(('V06 Motor'!A15-1)*30/'V06 Motor'!C15,1))*'V06 Curva'!$B$6,MAX(0,MIN('V06 Motor'!A15*30/'V06 Motor'!C15,3)-MAX(('V06 Motor'!A15-1)*30/'V06 Motor'!C15,2))*'V06 Curva'!$B$7,MAX(0,MIN('V06 Motor'!A15*30/'V06 Motor'!C15,4)-MAX(('V06 Motor'!A15-1)*30/'V06 Motor'!C15,3))*'V06 Curva'!$B$8,MAX(0,MIN('V06 Motor'!A15*30/'V06 Motor'!C15,5)-MAX(('V06 Motor'!A15-1)*30/'V06 Motor'!C15,4))*'V06 Curva'!$B$9,MAX(0,MIN('V06 Motor'!A15*30/'V06 Motor'!C15,6)-MAX(('V06 Motor'!A15-1)*30/'V06 Motor'!C15,5))*'V06 Curva'!$B$10,MAX(0,MIN('V06 Motor'!A15*30/'V06 Motor'!C15,7)-MAX(('V06 Motor'!A15-1)*30/'V06 Motor'!C15,6))*'V06 Curva'!$B$11,MAX(0,MIN('V06 Motor'!A15*30/'V06 Motor'!C15,8)-MAX(('V06 Motor'!A15-1)*30/'V06 Motor'!C15,7))*'V06 Curva'!$B$12,MAX(0,MIN('V06 Motor'!A15*30/'V06 Motor'!C15,9)-MAX(('V06 Motor'!A15-1)*30/'V06 Motor'!C15,8))*'V06 Curva'!$B$13,MAX(0,MIN('V06 Motor'!A15*30/'V06 Motor'!C15,10)-MAX(('V06 Motor'!A15-1)*30/'V06 Motor'!C15,9))*'V06 Curva'!$B$14,MAX(0,MIN('V06 Motor'!A15*30/'V06 Motor'!C15,11)-MAX(('V06 Motor'!A15-1)*30/'V06 Motor'!C15,10))*'V06 Curva'!$B$15,MAX(0,MIN('V06 Motor'!A15*30/'V06 Motor'!C15,12)-MAX(('V06 Motor'!A15-1)*30/'V06 Motor'!C15,11))*'V06 Curva'!$B$16,MAX(0,MIN('V06 Motor'!A15*30/'V06 Motor'!C15,13)-MAX(('V06 Motor'!A15-1)*30/'V06 Motor'!C15,12))*'V06 Curva'!$B$17,MAX(0,MIN('V06 Motor'!A15*30/'V06 Motor'!C15,14)-MAX(('V06 Motor'!A15-1)*30/'V06 Motor'!C15,13))*'V06 Curva'!$B$18,MAX(0,MIN('V06 Motor'!A15*30/'V06 Motor'!C15,15)-MAX(('V06 Motor'!A15-1)*30/'V06 Motor'!C15,14))*'V06 Curva'!$B$19,MAX(0,MIN('V06 Motor'!A15*30/'V06 Motor'!C15,16)-MAX(('V06 Motor'!A15-1)*30/'V06 Motor'!C15,15))*'V06 Curva'!$B$20,MAX(0,MIN('V06 Motor'!A15*30/'V06 Motor'!C15,17)-MAX(('V06 Motor'!A15-1)*30/'V06 Motor'!C15,16))*'V06 Curva'!$B$21,MAX(0,MIN('V06 Motor'!A15*30/'V06 Motor'!C15,18)-MAX(('V06 Motor'!A15-1)*30/'V06 Motor'!C15,17))*'V06 Curva'!$B$22,MAX(0,MIN('V06 Motor'!A15*30/'V06 Motor'!C15,19)-MAX(('V06 Motor'!A15-1)*30/'V06 Motor'!C15,18))*'V06 Curva'!$B$23,MAX(0,MIN('V06 Motor'!A15*30/'V06 Motor'!C15,20)-MAX(('V06 Motor'!A15-1)*30/'V06 Motor'!C15,19))*'V06 Curva'!$B$24,MAX(0,MIN('V06 Motor'!A15*30/'V06 Motor'!C15,21)-MAX(('V06 Motor'!A15-1)*30/'V06 Motor'!C15,20))*'V06 Curva'!$B$25,MAX(0,MIN('V06 Motor'!A15*30/'V06 Motor'!C15,22)-MAX(('V06 Motor'!A15-1)*30/'V06 Motor'!C15,21))*'V06 Curva'!$B$26,MAX(0,MIN('V06 Motor'!A15*30/'V06 Motor'!C15,23)-MAX(('V06 Motor'!A15-1)*30/'V06 Motor'!C15,22))*'V06 Curva'!$B$27,MAX(0,MIN('V06 Motor'!A15*30/'V06 Motor'!C15,24)-MAX(('V06 Motor'!A15-1)*30/'V06 Motor'!C15,23))*'V06 Curva'!$B$28,MAX(0,MIN('V06 Motor'!A15*30/'V06 Motor'!C15,25)-MAX(('V06 Motor'!A15-1)*30/'V06 Motor'!C15,24))*'V06 Curva'!$B$29,MAX(0,MIN('V06 Motor'!A15*30/'V06 Motor'!C15,26)-MAX(('V06 Motor'!A15-1)*30/'V06 Motor'!C15,25))*'V06 Curva'!$B$30,MAX(0,MIN('V06 Motor'!A15*30/'V06 Motor'!C15,27)-MAX(('V06 Motor'!A15-1)*30/'V06 Motor'!C15,26))*'V06 Curva'!$B$31,MAX(0,MIN('V06 Motor'!A15*30/'V06 Motor'!C15,28)-MAX(('V06 Motor'!A15-1)*30/'V06 Motor'!C15,27))*'V06 Curva'!$B$32,MAX(0,MIN('V06 Motor'!A15*30/'V06 Motor'!C15,29)-MAX(('V06 Motor'!A15-1)*30/'V06 Motor'!C15,28))*'V06 Curva'!$B$33,MAX(0,MIN('V06 Motor'!A15*30/'V06 Motor'!C15,30)-MAX(('V06 Motor'!A15-1)*30/'V06 Motor'!C15,29))*'V06 Curva'!$B$34),0)</f>
        <v>0.0188</v>
      </c>
      <c r="O15" s="2">
        <f>SUMPRODUCT(--(('V06 Unidades'!$I$5:$I$98+'V06 Controlos'!$B$37)='V06 Motor'!A15),ROUND('V06 Unidades'!$H$5:$H$98*0.05,2)+ROUND('V06 Unidades'!$H$5:$H$98*0.2,2))+SUMPRODUCT(--(IF('V06 Controlos'!$B$38&gt;0,IF(('V06 Unidades'!$L$5:$L$98+'V06 Controlos'!$B$37)&lt;'V06 Motor'!C15,'V06 Motor'!C15,('V06 Unidades'!$L$5:$L$98+'V06 Controlos'!$B$37)),('V06 Unidades'!$L$5:$L$98+'V06 Controlos'!$B$37))='V06 Motor'!A15),'V06 Unidades'!$H$5:$H$98-ROUND('V06 Unidades'!$H$5:$H$98*0.05,2)-ROUND('V06 Unidades'!$H$5:$H$98*0.2,2)-ROUND('V06 Unidades'!$H$5:$H$98*0.55,2))+SUMPRODUCT(--(IF(INT((IF('V06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Controlos'!$B$37)-1)/6),0)&gt;0),--('V06 Motor'!A15&gt;('V06 Unidades'!$I$5:$I$98+'V06 Controlos'!$B$37)),--('V06 Motor'!A15&lt;IF('V06 Controlos'!$B$38&gt;0,IF(('V06 Unidades'!$L$5:$L$98+'V06 Controlos'!$B$37)&lt;'V06 Motor'!C15,'V06 Motor'!C15,('V06 Unidades'!$L$5:$L$98+'V06 Controlos'!$B$37)),('V06 Unidades'!$L$5:$L$98+'V06 Controlos'!$B$37))),--(MOD('V06 Motor'!A15-('V06 Unidades'!$I$5:$I$98+'V06 Controlos'!$B$37),6)=0),--(('V06 Motor'!A15-('V06 Unidades'!$I$5:$I$98+'V06 Controlos'!$B$37))/6&lt;=IF(INT((IF('V06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Controlos'!$B$37)-1)/6),0)),IF('V06 Motor'!A15=('V06 Unidades'!$I$5:$I$98+'V06 Controlos'!$B$37)+6*IF(INT((IF('V06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Controlos'!$B$37)-1)/6),0)&gt;0,IF(INT((IF('V06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Controlos'!$B$37)-1)/6),0),1),2)*(IF(INT((IF('V06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Controlos'!$B$37)-1)/6),0)&gt;0,IF(INT((IF('V06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Controlos'!$B$37)-1)/6)&gt;0,INT((IF('V06 Controlos'!$B$38&gt;0,IF(('V06 Unidades'!$L$5:$L$98+'V06 Controlos'!$B$37)&lt;'V06 Motor'!C15,'V06 Motor'!C15,('V06 Unidades'!$L$5:$L$98+'V06 Controlos'!$B$37)),('V06 Unidades'!$L$5:$L$98+'V06 Controlos'!$B$37))-('V06 Unidades'!$I$5:$I$98+'V06 Controlos'!$B$37)-1)/6),0),1),2)))</f>
        <v>0.0</v>
      </c>
      <c r="P15" s="2">
        <f>SUM('V06 Calend 01'!W5:W98)</f>
        <v>0.0</v>
      </c>
    </row>
    <row r="16" spans="1:16">
      <c r="A16">
        <v>12</v>
      </c>
      <c r="C16">
        <v>30</v>
      </c>
      <c r="G16" s="2">
        <f>IF('V06 Motor'!A16&lt;='V06 Motor'!C16,SUMPRODUCT('V06 Curva'!$B$5:$B$34,IF((IF('V06 Motor'!A16*30/'V06 Motor'!C16&lt;'V06 Curva'!$A$5:$A$34,'V06 Motor'!A16*30/'V06 Motor'!C16,'V06 Curva'!$A$5:$A$34)-IF(('V06 Motor'!A16-1)*30/'V06 Motor'!C16&gt;'V06 Curva'!$A$5:$A$34-1,('V06 Motor'!A16-1)*30/'V06 Motor'!C16,'V06 Curva'!$A$5:$A$34-1))&gt;0,(IF('V06 Motor'!A16*30/'V06 Motor'!C16&lt;'V06 Curva'!$A$5:$A$34,'V06 Motor'!A16*30/'V06 Motor'!C16,'V06 Curva'!$A$5:$A$34)-IF(('V06 Motor'!A16-1)*30/'V06 Motor'!C16&gt;'V06 Curva'!$A$5:$A$34-1,('V06 Motor'!A16-1)*30/'V06 Motor'!C16,'V06 Curva'!$A$5:$A$34-1)),0)),0)</f>
        <v>0.0256</v>
      </c>
      <c r="H16" s="2">
        <f>IF('V06 Motor'!A16&lt;='V06 Motor'!C16,SUM(MAX(0,MIN('V06 Motor'!A16*30/'V06 Motor'!C16,1)-MAX(('V06 Motor'!A16-1)*30/'V06 Motor'!C16,0))*'V06 Curva'!$B$5,MAX(0,MIN('V06 Motor'!A16*30/'V06 Motor'!C16,2)-MAX(('V06 Motor'!A16-1)*30/'V06 Motor'!C16,1))*'V06 Curva'!$B$6,MAX(0,MIN('V06 Motor'!A16*30/'V06 Motor'!C16,3)-MAX(('V06 Motor'!A16-1)*30/'V06 Motor'!C16,2))*'V06 Curva'!$B$7,MAX(0,MIN('V06 Motor'!A16*30/'V06 Motor'!C16,4)-MAX(('V06 Motor'!A16-1)*30/'V06 Motor'!C16,3))*'V06 Curva'!$B$8,MAX(0,MIN('V06 Motor'!A16*30/'V06 Motor'!C16,5)-MAX(('V06 Motor'!A16-1)*30/'V06 Motor'!C16,4))*'V06 Curva'!$B$9,MAX(0,MIN('V06 Motor'!A16*30/'V06 Motor'!C16,6)-MAX(('V06 Motor'!A16-1)*30/'V06 Motor'!C16,5))*'V06 Curva'!$B$10,MAX(0,MIN('V06 Motor'!A16*30/'V06 Motor'!C16,7)-MAX(('V06 Motor'!A16-1)*30/'V06 Motor'!C16,6))*'V06 Curva'!$B$11,MAX(0,MIN('V06 Motor'!A16*30/'V06 Motor'!C16,8)-MAX(('V06 Motor'!A16-1)*30/'V06 Motor'!C16,7))*'V06 Curva'!$B$12,MAX(0,MIN('V06 Motor'!A16*30/'V06 Motor'!C16,9)-MAX(('V06 Motor'!A16-1)*30/'V06 Motor'!C16,8))*'V06 Curva'!$B$13,MAX(0,MIN('V06 Motor'!A16*30/'V06 Motor'!C16,10)-MAX(('V06 Motor'!A16-1)*30/'V06 Motor'!C16,9))*'V06 Curva'!$B$14,MAX(0,MIN('V06 Motor'!A16*30/'V06 Motor'!C16,11)-MAX(('V06 Motor'!A16-1)*30/'V06 Motor'!C16,10))*'V06 Curva'!$B$15,MAX(0,MIN('V06 Motor'!A16*30/'V06 Motor'!C16,12)-MAX(('V06 Motor'!A16-1)*30/'V06 Motor'!C16,11))*'V06 Curva'!$B$16,MAX(0,MIN('V06 Motor'!A16*30/'V06 Motor'!C16,13)-MAX(('V06 Motor'!A16-1)*30/'V06 Motor'!C16,12))*'V06 Curva'!$B$17,MAX(0,MIN('V06 Motor'!A16*30/'V06 Motor'!C16,14)-MAX(('V06 Motor'!A16-1)*30/'V06 Motor'!C16,13))*'V06 Curva'!$B$18,MAX(0,MIN('V06 Motor'!A16*30/'V06 Motor'!C16,15)-MAX(('V06 Motor'!A16-1)*30/'V06 Motor'!C16,14))*'V06 Curva'!$B$19,MAX(0,MIN('V06 Motor'!A16*30/'V06 Motor'!C16,16)-MAX(('V06 Motor'!A16-1)*30/'V06 Motor'!C16,15))*'V06 Curva'!$B$20,MAX(0,MIN('V06 Motor'!A16*30/'V06 Motor'!C16,17)-MAX(('V06 Motor'!A16-1)*30/'V06 Motor'!C16,16))*'V06 Curva'!$B$21,MAX(0,MIN('V06 Motor'!A16*30/'V06 Motor'!C16,18)-MAX(('V06 Motor'!A16-1)*30/'V06 Motor'!C16,17))*'V06 Curva'!$B$22,MAX(0,MIN('V06 Motor'!A16*30/'V06 Motor'!C16,19)-MAX(('V06 Motor'!A16-1)*30/'V06 Motor'!C16,18))*'V06 Curva'!$B$23,MAX(0,MIN('V06 Motor'!A16*30/'V06 Motor'!C16,20)-MAX(('V06 Motor'!A16-1)*30/'V06 Motor'!C16,19))*'V06 Curva'!$B$24,MAX(0,MIN('V06 Motor'!A16*30/'V06 Motor'!C16,21)-MAX(('V06 Motor'!A16-1)*30/'V06 Motor'!C16,20))*'V06 Curva'!$B$25,MAX(0,MIN('V06 Motor'!A16*30/'V06 Motor'!C16,22)-MAX(('V06 Motor'!A16-1)*30/'V06 Motor'!C16,21))*'V06 Curva'!$B$26,MAX(0,MIN('V06 Motor'!A16*30/'V06 Motor'!C16,23)-MAX(('V06 Motor'!A16-1)*30/'V06 Motor'!C16,22))*'V06 Curva'!$B$27,MAX(0,MIN('V06 Motor'!A16*30/'V06 Motor'!C16,24)-MAX(('V06 Motor'!A16-1)*30/'V06 Motor'!C16,23))*'V06 Curva'!$B$28,MAX(0,MIN('V06 Motor'!A16*30/'V06 Motor'!C16,25)-MAX(('V06 Motor'!A16-1)*30/'V06 Motor'!C16,24))*'V06 Curva'!$B$29,MAX(0,MIN('V06 Motor'!A16*30/'V06 Motor'!C16,26)-MAX(('V06 Motor'!A16-1)*30/'V06 Motor'!C16,25))*'V06 Curva'!$B$30,MAX(0,MIN('V06 Motor'!A16*30/'V06 Motor'!C16,27)-MAX(('V06 Motor'!A16-1)*30/'V06 Motor'!C16,26))*'V06 Curva'!$B$31,MAX(0,MIN('V06 Motor'!A16*30/'V06 Motor'!C16,28)-MAX(('V06 Motor'!A16-1)*30/'V06 Motor'!C16,27))*'V06 Curva'!$B$32,MAX(0,MIN('V06 Motor'!A16*30/'V06 Motor'!C16,29)-MAX(('V06 Motor'!A16-1)*30/'V06 Motor'!C16,28))*'V06 Curva'!$B$33,MAX(0,MIN('V06 Motor'!A16*30/'V06 Motor'!C16,30)-MAX(('V06 Motor'!A16-1)*30/'V06 Motor'!C16,29))*'V06 Curva'!$B$34),0)</f>
        <v>0.0256</v>
      </c>
      <c r="O16" s="2">
        <f>SUMPRODUCT(--(('V06 Unidades'!$I$5:$I$98+'V06 Controlos'!$B$37)='V06 Motor'!A16),ROUND('V06 Unidades'!$H$5:$H$98*0.05,2)+ROUND('V06 Unidades'!$H$5:$H$98*0.2,2))+SUMPRODUCT(--(IF('V06 Controlos'!$B$38&gt;0,IF(('V06 Unidades'!$L$5:$L$98+'V06 Controlos'!$B$37)&lt;'V06 Motor'!C16,'V06 Motor'!C16,('V06 Unidades'!$L$5:$L$98+'V06 Controlos'!$B$37)),('V06 Unidades'!$L$5:$L$98+'V06 Controlos'!$B$37))='V06 Motor'!A16),'V06 Unidades'!$H$5:$H$98-ROUND('V06 Unidades'!$H$5:$H$98*0.05,2)-ROUND('V06 Unidades'!$H$5:$H$98*0.2,2)-ROUND('V06 Unidades'!$H$5:$H$98*0.55,2))+SUMPRODUCT(--(IF(INT((IF('V06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Controlos'!$B$37)-1)/6),0)&gt;0),--('V06 Motor'!A16&gt;('V06 Unidades'!$I$5:$I$98+'V06 Controlos'!$B$37)),--('V06 Motor'!A16&lt;IF('V06 Controlos'!$B$38&gt;0,IF(('V06 Unidades'!$L$5:$L$98+'V06 Controlos'!$B$37)&lt;'V06 Motor'!C16,'V06 Motor'!C16,('V06 Unidades'!$L$5:$L$98+'V06 Controlos'!$B$37)),('V06 Unidades'!$L$5:$L$98+'V06 Controlos'!$B$37))),--(MOD('V06 Motor'!A16-('V06 Unidades'!$I$5:$I$98+'V06 Controlos'!$B$37),6)=0),--(('V06 Motor'!A16-('V06 Unidades'!$I$5:$I$98+'V06 Controlos'!$B$37))/6&lt;=IF(INT((IF('V06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Controlos'!$B$37)-1)/6),0)),IF('V06 Motor'!A16=('V06 Unidades'!$I$5:$I$98+'V06 Controlos'!$B$37)+6*IF(INT((IF('V06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Controlos'!$B$37)-1)/6),0)&gt;0,IF(INT((IF('V06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Controlos'!$B$37)-1)/6),0),1),2)*(IF(INT((IF('V06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Controlos'!$B$37)-1)/6),0)&gt;0,IF(INT((IF('V06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Controlos'!$B$37)-1)/6)&gt;0,INT((IF('V06 Controlos'!$B$38&gt;0,IF(('V06 Unidades'!$L$5:$L$98+'V06 Controlos'!$B$37)&lt;'V06 Motor'!C16,'V06 Motor'!C16,('V06 Unidades'!$L$5:$L$98+'V06 Controlos'!$B$37)),('V06 Unidades'!$L$5:$L$98+'V06 Controlos'!$B$37))-('V06 Unidades'!$I$5:$I$98+'V06 Controlos'!$B$37)-1)/6),0),1),2)))</f>
        <v>0.0</v>
      </c>
      <c r="P16" s="2">
        <f>SUM('V06 Calend 01'!X5:X98)</f>
        <v>0.0</v>
      </c>
    </row>
    <row r="17" spans="1:16">
      <c r="A17">
        <v>13</v>
      </c>
      <c r="C17">
        <v>30</v>
      </c>
      <c r="G17" s="2">
        <f>IF('V06 Motor'!A17&lt;='V06 Motor'!C17,SUMPRODUCT('V06 Curva'!$B$5:$B$34,IF((IF('V06 Motor'!A17*30/'V06 Motor'!C17&lt;'V06 Curva'!$A$5:$A$34,'V06 Motor'!A17*30/'V06 Motor'!C17,'V06 Curva'!$A$5:$A$34)-IF(('V06 Motor'!A17-1)*30/'V06 Motor'!C17&gt;'V06 Curva'!$A$5:$A$34-1,('V06 Motor'!A17-1)*30/'V06 Motor'!C17,'V06 Curva'!$A$5:$A$34-1))&gt;0,(IF('V06 Motor'!A17*30/'V06 Motor'!C17&lt;'V06 Curva'!$A$5:$A$34,'V06 Motor'!A17*30/'V06 Motor'!C17,'V06 Curva'!$A$5:$A$34)-IF(('V06 Motor'!A17-1)*30/'V06 Motor'!C17&gt;'V06 Curva'!$A$5:$A$34-1,('V06 Motor'!A17-1)*30/'V06 Motor'!C17,'V06 Curva'!$A$5:$A$34-1)),0)),0)</f>
        <v>0.04045</v>
      </c>
      <c r="H17" s="2">
        <f>IF('V06 Motor'!A17&lt;='V06 Motor'!C17,SUM(MAX(0,MIN('V06 Motor'!A17*30/'V06 Motor'!C17,1)-MAX(('V06 Motor'!A17-1)*30/'V06 Motor'!C17,0))*'V06 Curva'!$B$5,MAX(0,MIN('V06 Motor'!A17*30/'V06 Motor'!C17,2)-MAX(('V06 Motor'!A17-1)*30/'V06 Motor'!C17,1))*'V06 Curva'!$B$6,MAX(0,MIN('V06 Motor'!A17*30/'V06 Motor'!C17,3)-MAX(('V06 Motor'!A17-1)*30/'V06 Motor'!C17,2))*'V06 Curva'!$B$7,MAX(0,MIN('V06 Motor'!A17*30/'V06 Motor'!C17,4)-MAX(('V06 Motor'!A17-1)*30/'V06 Motor'!C17,3))*'V06 Curva'!$B$8,MAX(0,MIN('V06 Motor'!A17*30/'V06 Motor'!C17,5)-MAX(('V06 Motor'!A17-1)*30/'V06 Motor'!C17,4))*'V06 Curva'!$B$9,MAX(0,MIN('V06 Motor'!A17*30/'V06 Motor'!C17,6)-MAX(('V06 Motor'!A17-1)*30/'V06 Motor'!C17,5))*'V06 Curva'!$B$10,MAX(0,MIN('V06 Motor'!A17*30/'V06 Motor'!C17,7)-MAX(('V06 Motor'!A17-1)*30/'V06 Motor'!C17,6))*'V06 Curva'!$B$11,MAX(0,MIN('V06 Motor'!A17*30/'V06 Motor'!C17,8)-MAX(('V06 Motor'!A17-1)*30/'V06 Motor'!C17,7))*'V06 Curva'!$B$12,MAX(0,MIN('V06 Motor'!A17*30/'V06 Motor'!C17,9)-MAX(('V06 Motor'!A17-1)*30/'V06 Motor'!C17,8))*'V06 Curva'!$B$13,MAX(0,MIN('V06 Motor'!A17*30/'V06 Motor'!C17,10)-MAX(('V06 Motor'!A17-1)*30/'V06 Motor'!C17,9))*'V06 Curva'!$B$14,MAX(0,MIN('V06 Motor'!A17*30/'V06 Motor'!C17,11)-MAX(('V06 Motor'!A17-1)*30/'V06 Motor'!C17,10))*'V06 Curva'!$B$15,MAX(0,MIN('V06 Motor'!A17*30/'V06 Motor'!C17,12)-MAX(('V06 Motor'!A17-1)*30/'V06 Motor'!C17,11))*'V06 Curva'!$B$16,MAX(0,MIN('V06 Motor'!A17*30/'V06 Motor'!C17,13)-MAX(('V06 Motor'!A17-1)*30/'V06 Motor'!C17,12))*'V06 Curva'!$B$17,MAX(0,MIN('V06 Motor'!A17*30/'V06 Motor'!C17,14)-MAX(('V06 Motor'!A17-1)*30/'V06 Motor'!C17,13))*'V06 Curva'!$B$18,MAX(0,MIN('V06 Motor'!A17*30/'V06 Motor'!C17,15)-MAX(('V06 Motor'!A17-1)*30/'V06 Motor'!C17,14))*'V06 Curva'!$B$19,MAX(0,MIN('V06 Motor'!A17*30/'V06 Motor'!C17,16)-MAX(('V06 Motor'!A17-1)*30/'V06 Motor'!C17,15))*'V06 Curva'!$B$20,MAX(0,MIN('V06 Motor'!A17*30/'V06 Motor'!C17,17)-MAX(('V06 Motor'!A17-1)*30/'V06 Motor'!C17,16))*'V06 Curva'!$B$21,MAX(0,MIN('V06 Motor'!A17*30/'V06 Motor'!C17,18)-MAX(('V06 Motor'!A17-1)*30/'V06 Motor'!C17,17))*'V06 Curva'!$B$22,MAX(0,MIN('V06 Motor'!A17*30/'V06 Motor'!C17,19)-MAX(('V06 Motor'!A17-1)*30/'V06 Motor'!C17,18))*'V06 Curva'!$B$23,MAX(0,MIN('V06 Motor'!A17*30/'V06 Motor'!C17,20)-MAX(('V06 Motor'!A17-1)*30/'V06 Motor'!C17,19))*'V06 Curva'!$B$24,MAX(0,MIN('V06 Motor'!A17*30/'V06 Motor'!C17,21)-MAX(('V06 Motor'!A17-1)*30/'V06 Motor'!C17,20))*'V06 Curva'!$B$25,MAX(0,MIN('V06 Motor'!A17*30/'V06 Motor'!C17,22)-MAX(('V06 Motor'!A17-1)*30/'V06 Motor'!C17,21))*'V06 Curva'!$B$26,MAX(0,MIN('V06 Motor'!A17*30/'V06 Motor'!C17,23)-MAX(('V06 Motor'!A17-1)*30/'V06 Motor'!C17,22))*'V06 Curva'!$B$27,MAX(0,MIN('V06 Motor'!A17*30/'V06 Motor'!C17,24)-MAX(('V06 Motor'!A17-1)*30/'V06 Motor'!C17,23))*'V06 Curva'!$B$28,MAX(0,MIN('V06 Motor'!A17*30/'V06 Motor'!C17,25)-MAX(('V06 Motor'!A17-1)*30/'V06 Motor'!C17,24))*'V06 Curva'!$B$29,MAX(0,MIN('V06 Motor'!A17*30/'V06 Motor'!C17,26)-MAX(('V06 Motor'!A17-1)*30/'V06 Motor'!C17,25))*'V06 Curva'!$B$30,MAX(0,MIN('V06 Motor'!A17*30/'V06 Motor'!C17,27)-MAX(('V06 Motor'!A17-1)*30/'V06 Motor'!C17,26))*'V06 Curva'!$B$31,MAX(0,MIN('V06 Motor'!A17*30/'V06 Motor'!C17,28)-MAX(('V06 Motor'!A17-1)*30/'V06 Motor'!C17,27))*'V06 Curva'!$B$32,MAX(0,MIN('V06 Motor'!A17*30/'V06 Motor'!C17,29)-MAX(('V06 Motor'!A17-1)*30/'V06 Motor'!C17,28))*'V06 Curva'!$B$33,MAX(0,MIN('V06 Motor'!A17*30/'V06 Motor'!C17,30)-MAX(('V06 Motor'!A17-1)*30/'V06 Motor'!C17,29))*'V06 Curva'!$B$34),0)</f>
        <v>0.04045</v>
      </c>
      <c r="O17" s="2">
        <f>SUMPRODUCT(--(('V06 Unidades'!$I$5:$I$98+'V06 Controlos'!$B$37)='V06 Motor'!A17),ROUND('V06 Unidades'!$H$5:$H$98*0.05,2)+ROUND('V06 Unidades'!$H$5:$H$98*0.2,2))+SUMPRODUCT(--(IF('V06 Controlos'!$B$38&gt;0,IF(('V06 Unidades'!$L$5:$L$98+'V06 Controlos'!$B$37)&lt;'V06 Motor'!C17,'V06 Motor'!C17,('V06 Unidades'!$L$5:$L$98+'V06 Controlos'!$B$37)),('V06 Unidades'!$L$5:$L$98+'V06 Controlos'!$B$37))='V06 Motor'!A17),'V06 Unidades'!$H$5:$H$98-ROUND('V06 Unidades'!$H$5:$H$98*0.05,2)-ROUND('V06 Unidades'!$H$5:$H$98*0.2,2)-ROUND('V06 Unidades'!$H$5:$H$98*0.55,2))+SUMPRODUCT(--(IF(INT((IF('V06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Controlos'!$B$37)-1)/6),0)&gt;0),--('V06 Motor'!A17&gt;('V06 Unidades'!$I$5:$I$98+'V06 Controlos'!$B$37)),--('V06 Motor'!A17&lt;IF('V06 Controlos'!$B$38&gt;0,IF(('V06 Unidades'!$L$5:$L$98+'V06 Controlos'!$B$37)&lt;'V06 Motor'!C17,'V06 Motor'!C17,('V06 Unidades'!$L$5:$L$98+'V06 Controlos'!$B$37)),('V06 Unidades'!$L$5:$L$98+'V06 Controlos'!$B$37))),--(MOD('V06 Motor'!A17-('V06 Unidades'!$I$5:$I$98+'V06 Controlos'!$B$37),6)=0),--(('V06 Motor'!A17-('V06 Unidades'!$I$5:$I$98+'V06 Controlos'!$B$37))/6&lt;=IF(INT((IF('V06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Controlos'!$B$37)-1)/6),0)),IF('V06 Motor'!A17=('V06 Unidades'!$I$5:$I$98+'V06 Controlos'!$B$37)+6*IF(INT((IF('V06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Controlos'!$B$37)-1)/6),0)&gt;0,IF(INT((IF('V06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Controlos'!$B$37)-1)/6),0),1),2)*(IF(INT((IF('V06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Controlos'!$B$37)-1)/6),0)&gt;0,IF(INT((IF('V06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Controlos'!$B$37)-1)/6)&gt;0,INT((IF('V06 Controlos'!$B$38&gt;0,IF(('V06 Unidades'!$L$5:$L$98+'V06 Controlos'!$B$37)&lt;'V06 Motor'!C17,'V06 Motor'!C17,('V06 Unidades'!$L$5:$L$98+'V06 Controlos'!$B$37)),('V06 Unidades'!$L$5:$L$98+'V06 Controlos'!$B$37))-('V06 Unidades'!$I$5:$I$98+'V06 Controlos'!$B$37)-1)/6),0),1),2)))</f>
        <v>3234442.97</v>
      </c>
      <c r="P17" s="2">
        <f>SUM('V06 Calend 01'!Y5:Y98)</f>
        <v>3234442.97</v>
      </c>
    </row>
    <row r="18" spans="1:16">
      <c r="A18">
        <v>14</v>
      </c>
      <c r="C18">
        <v>30</v>
      </c>
      <c r="G18" s="2">
        <f>IF('V06 Motor'!A18&lt;='V06 Motor'!C18,SUMPRODUCT('V06 Curva'!$B$5:$B$34,IF((IF('V06 Motor'!A18*30/'V06 Motor'!C18&lt;'V06 Curva'!$A$5:$A$34,'V06 Motor'!A18*30/'V06 Motor'!C18,'V06 Curva'!$A$5:$A$34)-IF(('V06 Motor'!A18-1)*30/'V06 Motor'!C18&gt;'V06 Curva'!$A$5:$A$34-1,('V06 Motor'!A18-1)*30/'V06 Motor'!C18,'V06 Curva'!$A$5:$A$34-1))&gt;0,(IF('V06 Motor'!A18*30/'V06 Motor'!C18&lt;'V06 Curva'!$A$5:$A$34,'V06 Motor'!A18*30/'V06 Motor'!C18,'V06 Curva'!$A$5:$A$34)-IF(('V06 Motor'!A18-1)*30/'V06 Motor'!C18&gt;'V06 Curva'!$A$5:$A$34-1,('V06 Motor'!A18-1)*30/'V06 Motor'!C18,'V06 Curva'!$A$5:$A$34-1)),0)),0)</f>
        <v>0.040905</v>
      </c>
      <c r="H18" s="2">
        <f>IF('V06 Motor'!A18&lt;='V06 Motor'!C18,SUM(MAX(0,MIN('V06 Motor'!A18*30/'V06 Motor'!C18,1)-MAX(('V06 Motor'!A18-1)*30/'V06 Motor'!C18,0))*'V06 Curva'!$B$5,MAX(0,MIN('V06 Motor'!A18*30/'V06 Motor'!C18,2)-MAX(('V06 Motor'!A18-1)*30/'V06 Motor'!C18,1))*'V06 Curva'!$B$6,MAX(0,MIN('V06 Motor'!A18*30/'V06 Motor'!C18,3)-MAX(('V06 Motor'!A18-1)*30/'V06 Motor'!C18,2))*'V06 Curva'!$B$7,MAX(0,MIN('V06 Motor'!A18*30/'V06 Motor'!C18,4)-MAX(('V06 Motor'!A18-1)*30/'V06 Motor'!C18,3))*'V06 Curva'!$B$8,MAX(0,MIN('V06 Motor'!A18*30/'V06 Motor'!C18,5)-MAX(('V06 Motor'!A18-1)*30/'V06 Motor'!C18,4))*'V06 Curva'!$B$9,MAX(0,MIN('V06 Motor'!A18*30/'V06 Motor'!C18,6)-MAX(('V06 Motor'!A18-1)*30/'V06 Motor'!C18,5))*'V06 Curva'!$B$10,MAX(0,MIN('V06 Motor'!A18*30/'V06 Motor'!C18,7)-MAX(('V06 Motor'!A18-1)*30/'V06 Motor'!C18,6))*'V06 Curva'!$B$11,MAX(0,MIN('V06 Motor'!A18*30/'V06 Motor'!C18,8)-MAX(('V06 Motor'!A18-1)*30/'V06 Motor'!C18,7))*'V06 Curva'!$B$12,MAX(0,MIN('V06 Motor'!A18*30/'V06 Motor'!C18,9)-MAX(('V06 Motor'!A18-1)*30/'V06 Motor'!C18,8))*'V06 Curva'!$B$13,MAX(0,MIN('V06 Motor'!A18*30/'V06 Motor'!C18,10)-MAX(('V06 Motor'!A18-1)*30/'V06 Motor'!C18,9))*'V06 Curva'!$B$14,MAX(0,MIN('V06 Motor'!A18*30/'V06 Motor'!C18,11)-MAX(('V06 Motor'!A18-1)*30/'V06 Motor'!C18,10))*'V06 Curva'!$B$15,MAX(0,MIN('V06 Motor'!A18*30/'V06 Motor'!C18,12)-MAX(('V06 Motor'!A18-1)*30/'V06 Motor'!C18,11))*'V06 Curva'!$B$16,MAX(0,MIN('V06 Motor'!A18*30/'V06 Motor'!C18,13)-MAX(('V06 Motor'!A18-1)*30/'V06 Motor'!C18,12))*'V06 Curva'!$B$17,MAX(0,MIN('V06 Motor'!A18*30/'V06 Motor'!C18,14)-MAX(('V06 Motor'!A18-1)*30/'V06 Motor'!C18,13))*'V06 Curva'!$B$18,MAX(0,MIN('V06 Motor'!A18*30/'V06 Motor'!C18,15)-MAX(('V06 Motor'!A18-1)*30/'V06 Motor'!C18,14))*'V06 Curva'!$B$19,MAX(0,MIN('V06 Motor'!A18*30/'V06 Motor'!C18,16)-MAX(('V06 Motor'!A18-1)*30/'V06 Motor'!C18,15))*'V06 Curva'!$B$20,MAX(0,MIN('V06 Motor'!A18*30/'V06 Motor'!C18,17)-MAX(('V06 Motor'!A18-1)*30/'V06 Motor'!C18,16))*'V06 Curva'!$B$21,MAX(0,MIN('V06 Motor'!A18*30/'V06 Motor'!C18,18)-MAX(('V06 Motor'!A18-1)*30/'V06 Motor'!C18,17))*'V06 Curva'!$B$22,MAX(0,MIN('V06 Motor'!A18*30/'V06 Motor'!C18,19)-MAX(('V06 Motor'!A18-1)*30/'V06 Motor'!C18,18))*'V06 Curva'!$B$23,MAX(0,MIN('V06 Motor'!A18*30/'V06 Motor'!C18,20)-MAX(('V06 Motor'!A18-1)*30/'V06 Motor'!C18,19))*'V06 Curva'!$B$24,MAX(0,MIN('V06 Motor'!A18*30/'V06 Motor'!C18,21)-MAX(('V06 Motor'!A18-1)*30/'V06 Motor'!C18,20))*'V06 Curva'!$B$25,MAX(0,MIN('V06 Motor'!A18*30/'V06 Motor'!C18,22)-MAX(('V06 Motor'!A18-1)*30/'V06 Motor'!C18,21))*'V06 Curva'!$B$26,MAX(0,MIN('V06 Motor'!A18*30/'V06 Motor'!C18,23)-MAX(('V06 Motor'!A18-1)*30/'V06 Motor'!C18,22))*'V06 Curva'!$B$27,MAX(0,MIN('V06 Motor'!A18*30/'V06 Motor'!C18,24)-MAX(('V06 Motor'!A18-1)*30/'V06 Motor'!C18,23))*'V06 Curva'!$B$28,MAX(0,MIN('V06 Motor'!A18*30/'V06 Motor'!C18,25)-MAX(('V06 Motor'!A18-1)*30/'V06 Motor'!C18,24))*'V06 Curva'!$B$29,MAX(0,MIN('V06 Motor'!A18*30/'V06 Motor'!C18,26)-MAX(('V06 Motor'!A18-1)*30/'V06 Motor'!C18,25))*'V06 Curva'!$B$30,MAX(0,MIN('V06 Motor'!A18*30/'V06 Motor'!C18,27)-MAX(('V06 Motor'!A18-1)*30/'V06 Motor'!C18,26))*'V06 Curva'!$B$31,MAX(0,MIN('V06 Motor'!A18*30/'V06 Motor'!C18,28)-MAX(('V06 Motor'!A18-1)*30/'V06 Motor'!C18,27))*'V06 Curva'!$B$32,MAX(0,MIN('V06 Motor'!A18*30/'V06 Motor'!C18,29)-MAX(('V06 Motor'!A18-1)*30/'V06 Motor'!C18,28))*'V06 Curva'!$B$33,MAX(0,MIN('V06 Motor'!A18*30/'V06 Motor'!C18,30)-MAX(('V06 Motor'!A18-1)*30/'V06 Motor'!C18,29))*'V06 Curva'!$B$34),0)</f>
        <v>0.040905000000000004</v>
      </c>
      <c r="O18" s="2">
        <f>SUMPRODUCT(--(('V06 Unidades'!$I$5:$I$98+'V06 Controlos'!$B$37)='V06 Motor'!A18),ROUND('V06 Unidades'!$H$5:$H$98*0.05,2)+ROUND('V06 Unidades'!$H$5:$H$98*0.2,2))+SUMPRODUCT(--(IF('V06 Controlos'!$B$38&gt;0,IF(('V06 Unidades'!$L$5:$L$98+'V06 Controlos'!$B$37)&lt;'V06 Motor'!C18,'V06 Motor'!C18,('V06 Unidades'!$L$5:$L$98+'V06 Controlos'!$B$37)),('V06 Unidades'!$L$5:$L$98+'V06 Controlos'!$B$37))='V06 Motor'!A18),'V06 Unidades'!$H$5:$H$98-ROUND('V06 Unidades'!$H$5:$H$98*0.05,2)-ROUND('V06 Unidades'!$H$5:$H$98*0.2,2)-ROUND('V06 Unidades'!$H$5:$H$98*0.55,2))+SUMPRODUCT(--(IF(INT((IF('V06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Controlos'!$B$37)-1)/6),0)&gt;0),--('V06 Motor'!A18&gt;('V06 Unidades'!$I$5:$I$98+'V06 Controlos'!$B$37)),--('V06 Motor'!A18&lt;IF('V06 Controlos'!$B$38&gt;0,IF(('V06 Unidades'!$L$5:$L$98+'V06 Controlos'!$B$37)&lt;'V06 Motor'!C18,'V06 Motor'!C18,('V06 Unidades'!$L$5:$L$98+'V06 Controlos'!$B$37)),('V06 Unidades'!$L$5:$L$98+'V06 Controlos'!$B$37))),--(MOD('V06 Motor'!A18-('V06 Unidades'!$I$5:$I$98+'V06 Controlos'!$B$37),6)=0),--(('V06 Motor'!A18-('V06 Unidades'!$I$5:$I$98+'V06 Controlos'!$B$37))/6&lt;=IF(INT((IF('V06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Controlos'!$B$37)-1)/6),0)),IF('V06 Motor'!A18=('V06 Unidades'!$I$5:$I$98+'V06 Controlos'!$B$37)+6*IF(INT((IF('V06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Controlos'!$B$37)-1)/6),0)&gt;0,IF(INT((IF('V06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Controlos'!$B$37)-1)/6),0),1),2)*(IF(INT((IF('V06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Controlos'!$B$37)-1)/6),0)&gt;0,IF(INT((IF('V06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Controlos'!$B$37)-1)/6)&gt;0,INT((IF('V06 Controlos'!$B$38&gt;0,IF(('V06 Unidades'!$L$5:$L$98+'V06 Controlos'!$B$37)&lt;'V06 Motor'!C18,'V06 Motor'!C18,('V06 Unidades'!$L$5:$L$98+'V06 Controlos'!$B$37)),('V06 Unidades'!$L$5:$L$98+'V06 Controlos'!$B$37))-('V06 Unidades'!$I$5:$I$98+'V06 Controlos'!$B$37)-1)/6),0),1),2)))</f>
        <v>0.0</v>
      </c>
      <c r="P18" s="2">
        <f>SUM('V06 Calend 01'!Z5:Z98)</f>
        <v>0.0</v>
      </c>
    </row>
    <row r="19" spans="1:16">
      <c r="A19">
        <v>15</v>
      </c>
      <c r="C19">
        <v>30</v>
      </c>
      <c r="G19" s="2">
        <f>IF('V06 Motor'!A19&lt;='V06 Motor'!C19,SUMPRODUCT('V06 Curva'!$B$5:$B$34,IF((IF('V06 Motor'!A19*30/'V06 Motor'!C19&lt;'V06 Curva'!$A$5:$A$34,'V06 Motor'!A19*30/'V06 Motor'!C19,'V06 Curva'!$A$5:$A$34)-IF(('V06 Motor'!A19-1)*30/'V06 Motor'!C19&gt;'V06 Curva'!$A$5:$A$34-1,('V06 Motor'!A19-1)*30/'V06 Motor'!C19,'V06 Curva'!$A$5:$A$34-1))&gt;0,(IF('V06 Motor'!A19*30/'V06 Motor'!C19&lt;'V06 Curva'!$A$5:$A$34,'V06 Motor'!A19*30/'V06 Motor'!C19,'V06 Curva'!$A$5:$A$34)-IF(('V06 Motor'!A19-1)*30/'V06 Motor'!C19&gt;'V06 Curva'!$A$5:$A$34-1,('V06 Motor'!A19-1)*30/'V06 Motor'!C19,'V06 Curva'!$A$5:$A$34-1)),0)),0)</f>
        <v>0.044355</v>
      </c>
      <c r="H19" s="2">
        <f>IF('V06 Motor'!A19&lt;='V06 Motor'!C19,SUM(MAX(0,MIN('V06 Motor'!A19*30/'V06 Motor'!C19,1)-MAX(('V06 Motor'!A19-1)*30/'V06 Motor'!C19,0))*'V06 Curva'!$B$5,MAX(0,MIN('V06 Motor'!A19*30/'V06 Motor'!C19,2)-MAX(('V06 Motor'!A19-1)*30/'V06 Motor'!C19,1))*'V06 Curva'!$B$6,MAX(0,MIN('V06 Motor'!A19*30/'V06 Motor'!C19,3)-MAX(('V06 Motor'!A19-1)*30/'V06 Motor'!C19,2))*'V06 Curva'!$B$7,MAX(0,MIN('V06 Motor'!A19*30/'V06 Motor'!C19,4)-MAX(('V06 Motor'!A19-1)*30/'V06 Motor'!C19,3))*'V06 Curva'!$B$8,MAX(0,MIN('V06 Motor'!A19*30/'V06 Motor'!C19,5)-MAX(('V06 Motor'!A19-1)*30/'V06 Motor'!C19,4))*'V06 Curva'!$B$9,MAX(0,MIN('V06 Motor'!A19*30/'V06 Motor'!C19,6)-MAX(('V06 Motor'!A19-1)*30/'V06 Motor'!C19,5))*'V06 Curva'!$B$10,MAX(0,MIN('V06 Motor'!A19*30/'V06 Motor'!C19,7)-MAX(('V06 Motor'!A19-1)*30/'V06 Motor'!C19,6))*'V06 Curva'!$B$11,MAX(0,MIN('V06 Motor'!A19*30/'V06 Motor'!C19,8)-MAX(('V06 Motor'!A19-1)*30/'V06 Motor'!C19,7))*'V06 Curva'!$B$12,MAX(0,MIN('V06 Motor'!A19*30/'V06 Motor'!C19,9)-MAX(('V06 Motor'!A19-1)*30/'V06 Motor'!C19,8))*'V06 Curva'!$B$13,MAX(0,MIN('V06 Motor'!A19*30/'V06 Motor'!C19,10)-MAX(('V06 Motor'!A19-1)*30/'V06 Motor'!C19,9))*'V06 Curva'!$B$14,MAX(0,MIN('V06 Motor'!A19*30/'V06 Motor'!C19,11)-MAX(('V06 Motor'!A19-1)*30/'V06 Motor'!C19,10))*'V06 Curva'!$B$15,MAX(0,MIN('V06 Motor'!A19*30/'V06 Motor'!C19,12)-MAX(('V06 Motor'!A19-1)*30/'V06 Motor'!C19,11))*'V06 Curva'!$B$16,MAX(0,MIN('V06 Motor'!A19*30/'V06 Motor'!C19,13)-MAX(('V06 Motor'!A19-1)*30/'V06 Motor'!C19,12))*'V06 Curva'!$B$17,MAX(0,MIN('V06 Motor'!A19*30/'V06 Motor'!C19,14)-MAX(('V06 Motor'!A19-1)*30/'V06 Motor'!C19,13))*'V06 Curva'!$B$18,MAX(0,MIN('V06 Motor'!A19*30/'V06 Motor'!C19,15)-MAX(('V06 Motor'!A19-1)*30/'V06 Motor'!C19,14))*'V06 Curva'!$B$19,MAX(0,MIN('V06 Motor'!A19*30/'V06 Motor'!C19,16)-MAX(('V06 Motor'!A19-1)*30/'V06 Motor'!C19,15))*'V06 Curva'!$B$20,MAX(0,MIN('V06 Motor'!A19*30/'V06 Motor'!C19,17)-MAX(('V06 Motor'!A19-1)*30/'V06 Motor'!C19,16))*'V06 Curva'!$B$21,MAX(0,MIN('V06 Motor'!A19*30/'V06 Motor'!C19,18)-MAX(('V06 Motor'!A19-1)*30/'V06 Motor'!C19,17))*'V06 Curva'!$B$22,MAX(0,MIN('V06 Motor'!A19*30/'V06 Motor'!C19,19)-MAX(('V06 Motor'!A19-1)*30/'V06 Motor'!C19,18))*'V06 Curva'!$B$23,MAX(0,MIN('V06 Motor'!A19*30/'V06 Motor'!C19,20)-MAX(('V06 Motor'!A19-1)*30/'V06 Motor'!C19,19))*'V06 Curva'!$B$24,MAX(0,MIN('V06 Motor'!A19*30/'V06 Motor'!C19,21)-MAX(('V06 Motor'!A19-1)*30/'V06 Motor'!C19,20))*'V06 Curva'!$B$25,MAX(0,MIN('V06 Motor'!A19*30/'V06 Motor'!C19,22)-MAX(('V06 Motor'!A19-1)*30/'V06 Motor'!C19,21))*'V06 Curva'!$B$26,MAX(0,MIN('V06 Motor'!A19*30/'V06 Motor'!C19,23)-MAX(('V06 Motor'!A19-1)*30/'V06 Motor'!C19,22))*'V06 Curva'!$B$27,MAX(0,MIN('V06 Motor'!A19*30/'V06 Motor'!C19,24)-MAX(('V06 Motor'!A19-1)*30/'V06 Motor'!C19,23))*'V06 Curva'!$B$28,MAX(0,MIN('V06 Motor'!A19*30/'V06 Motor'!C19,25)-MAX(('V06 Motor'!A19-1)*30/'V06 Motor'!C19,24))*'V06 Curva'!$B$29,MAX(0,MIN('V06 Motor'!A19*30/'V06 Motor'!C19,26)-MAX(('V06 Motor'!A19-1)*30/'V06 Motor'!C19,25))*'V06 Curva'!$B$30,MAX(0,MIN('V06 Motor'!A19*30/'V06 Motor'!C19,27)-MAX(('V06 Motor'!A19-1)*30/'V06 Motor'!C19,26))*'V06 Curva'!$B$31,MAX(0,MIN('V06 Motor'!A19*30/'V06 Motor'!C19,28)-MAX(('V06 Motor'!A19-1)*30/'V06 Motor'!C19,27))*'V06 Curva'!$B$32,MAX(0,MIN('V06 Motor'!A19*30/'V06 Motor'!C19,29)-MAX(('V06 Motor'!A19-1)*30/'V06 Motor'!C19,28))*'V06 Curva'!$B$33,MAX(0,MIN('V06 Motor'!A19*30/'V06 Motor'!C19,30)-MAX(('V06 Motor'!A19-1)*30/'V06 Motor'!C19,29))*'V06 Curva'!$B$34),0)</f>
        <v>0.044355</v>
      </c>
      <c r="O19" s="2">
        <f>SUMPRODUCT(--(('V06 Unidades'!$I$5:$I$98+'V06 Controlos'!$B$37)='V06 Motor'!A19),ROUND('V06 Unidades'!$H$5:$H$98*0.05,2)+ROUND('V06 Unidades'!$H$5:$H$98*0.2,2))+SUMPRODUCT(--(IF('V06 Controlos'!$B$38&gt;0,IF(('V06 Unidades'!$L$5:$L$98+'V06 Controlos'!$B$37)&lt;'V06 Motor'!C19,'V06 Motor'!C19,('V06 Unidades'!$L$5:$L$98+'V06 Controlos'!$B$37)),('V06 Unidades'!$L$5:$L$98+'V06 Controlos'!$B$37))='V06 Motor'!A19),'V06 Unidades'!$H$5:$H$98-ROUND('V06 Unidades'!$H$5:$H$98*0.05,2)-ROUND('V06 Unidades'!$H$5:$H$98*0.2,2)-ROUND('V06 Unidades'!$H$5:$H$98*0.55,2))+SUMPRODUCT(--(IF(INT((IF('V06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Controlos'!$B$37)-1)/6),0)&gt;0),--('V06 Motor'!A19&gt;('V06 Unidades'!$I$5:$I$98+'V06 Controlos'!$B$37)),--('V06 Motor'!A19&lt;IF('V06 Controlos'!$B$38&gt;0,IF(('V06 Unidades'!$L$5:$L$98+'V06 Controlos'!$B$37)&lt;'V06 Motor'!C19,'V06 Motor'!C19,('V06 Unidades'!$L$5:$L$98+'V06 Controlos'!$B$37)),('V06 Unidades'!$L$5:$L$98+'V06 Controlos'!$B$37))),--(MOD('V06 Motor'!A19-('V06 Unidades'!$I$5:$I$98+'V06 Controlos'!$B$37),6)=0),--(('V06 Motor'!A19-('V06 Unidades'!$I$5:$I$98+'V06 Controlos'!$B$37))/6&lt;=IF(INT((IF('V06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Controlos'!$B$37)-1)/6),0)),IF('V06 Motor'!A19=('V06 Unidades'!$I$5:$I$98+'V06 Controlos'!$B$37)+6*IF(INT((IF('V06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Controlos'!$B$37)-1)/6),0)&gt;0,IF(INT((IF('V06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Controlos'!$B$37)-1)/6),0),1),2)*(IF(INT((IF('V06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Controlos'!$B$37)-1)/6),0)&gt;0,IF(INT((IF('V06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Controlos'!$B$37)-1)/6)&gt;0,INT((IF('V06 Controlos'!$B$38&gt;0,IF(('V06 Unidades'!$L$5:$L$98+'V06 Controlos'!$B$37)&lt;'V06 Motor'!C19,'V06 Motor'!C19,('V06 Unidades'!$L$5:$L$98+'V06 Controlos'!$B$37)),('V06 Unidades'!$L$5:$L$98+'V06 Controlos'!$B$37))-('V06 Unidades'!$I$5:$I$98+'V06 Controlos'!$B$37)-1)/6),0),1),2)))</f>
        <v>0.0</v>
      </c>
      <c r="P19" s="2">
        <f>SUM('V06 Calend 01'!AA5:AA98)</f>
        <v>0.0</v>
      </c>
    </row>
    <row r="20" spans="1:16">
      <c r="A20">
        <v>16</v>
      </c>
      <c r="C20">
        <v>30</v>
      </c>
      <c r="G20" s="2">
        <f>IF('V06 Motor'!A20&lt;='V06 Motor'!C20,SUMPRODUCT('V06 Curva'!$B$5:$B$34,IF((IF('V06 Motor'!A20*30/'V06 Motor'!C20&lt;'V06 Curva'!$A$5:$A$34,'V06 Motor'!A20*30/'V06 Motor'!C20,'V06 Curva'!$A$5:$A$34)-IF(('V06 Motor'!A20-1)*30/'V06 Motor'!C20&gt;'V06 Curva'!$A$5:$A$34-1,('V06 Motor'!A20-1)*30/'V06 Motor'!C20,'V06 Curva'!$A$5:$A$34-1))&gt;0,(IF('V06 Motor'!A20*30/'V06 Motor'!C20&lt;'V06 Curva'!$A$5:$A$34,'V06 Motor'!A20*30/'V06 Motor'!C20,'V06 Curva'!$A$5:$A$34)-IF(('V06 Motor'!A20-1)*30/'V06 Motor'!C20&gt;'V06 Curva'!$A$5:$A$34-1,('V06 Motor'!A20-1)*30/'V06 Motor'!C20,'V06 Curva'!$A$5:$A$34-1)),0)),0)</f>
        <v>0.051305</v>
      </c>
      <c r="H20" s="2">
        <f>IF('V06 Motor'!A20&lt;='V06 Motor'!C20,SUM(MAX(0,MIN('V06 Motor'!A20*30/'V06 Motor'!C20,1)-MAX(('V06 Motor'!A20-1)*30/'V06 Motor'!C20,0))*'V06 Curva'!$B$5,MAX(0,MIN('V06 Motor'!A20*30/'V06 Motor'!C20,2)-MAX(('V06 Motor'!A20-1)*30/'V06 Motor'!C20,1))*'V06 Curva'!$B$6,MAX(0,MIN('V06 Motor'!A20*30/'V06 Motor'!C20,3)-MAX(('V06 Motor'!A20-1)*30/'V06 Motor'!C20,2))*'V06 Curva'!$B$7,MAX(0,MIN('V06 Motor'!A20*30/'V06 Motor'!C20,4)-MAX(('V06 Motor'!A20-1)*30/'V06 Motor'!C20,3))*'V06 Curva'!$B$8,MAX(0,MIN('V06 Motor'!A20*30/'V06 Motor'!C20,5)-MAX(('V06 Motor'!A20-1)*30/'V06 Motor'!C20,4))*'V06 Curva'!$B$9,MAX(0,MIN('V06 Motor'!A20*30/'V06 Motor'!C20,6)-MAX(('V06 Motor'!A20-1)*30/'V06 Motor'!C20,5))*'V06 Curva'!$B$10,MAX(0,MIN('V06 Motor'!A20*30/'V06 Motor'!C20,7)-MAX(('V06 Motor'!A20-1)*30/'V06 Motor'!C20,6))*'V06 Curva'!$B$11,MAX(0,MIN('V06 Motor'!A20*30/'V06 Motor'!C20,8)-MAX(('V06 Motor'!A20-1)*30/'V06 Motor'!C20,7))*'V06 Curva'!$B$12,MAX(0,MIN('V06 Motor'!A20*30/'V06 Motor'!C20,9)-MAX(('V06 Motor'!A20-1)*30/'V06 Motor'!C20,8))*'V06 Curva'!$B$13,MAX(0,MIN('V06 Motor'!A20*30/'V06 Motor'!C20,10)-MAX(('V06 Motor'!A20-1)*30/'V06 Motor'!C20,9))*'V06 Curva'!$B$14,MAX(0,MIN('V06 Motor'!A20*30/'V06 Motor'!C20,11)-MAX(('V06 Motor'!A20-1)*30/'V06 Motor'!C20,10))*'V06 Curva'!$B$15,MAX(0,MIN('V06 Motor'!A20*30/'V06 Motor'!C20,12)-MAX(('V06 Motor'!A20-1)*30/'V06 Motor'!C20,11))*'V06 Curva'!$B$16,MAX(0,MIN('V06 Motor'!A20*30/'V06 Motor'!C20,13)-MAX(('V06 Motor'!A20-1)*30/'V06 Motor'!C20,12))*'V06 Curva'!$B$17,MAX(0,MIN('V06 Motor'!A20*30/'V06 Motor'!C20,14)-MAX(('V06 Motor'!A20-1)*30/'V06 Motor'!C20,13))*'V06 Curva'!$B$18,MAX(0,MIN('V06 Motor'!A20*30/'V06 Motor'!C20,15)-MAX(('V06 Motor'!A20-1)*30/'V06 Motor'!C20,14))*'V06 Curva'!$B$19,MAX(0,MIN('V06 Motor'!A20*30/'V06 Motor'!C20,16)-MAX(('V06 Motor'!A20-1)*30/'V06 Motor'!C20,15))*'V06 Curva'!$B$20,MAX(0,MIN('V06 Motor'!A20*30/'V06 Motor'!C20,17)-MAX(('V06 Motor'!A20-1)*30/'V06 Motor'!C20,16))*'V06 Curva'!$B$21,MAX(0,MIN('V06 Motor'!A20*30/'V06 Motor'!C20,18)-MAX(('V06 Motor'!A20-1)*30/'V06 Motor'!C20,17))*'V06 Curva'!$B$22,MAX(0,MIN('V06 Motor'!A20*30/'V06 Motor'!C20,19)-MAX(('V06 Motor'!A20-1)*30/'V06 Motor'!C20,18))*'V06 Curva'!$B$23,MAX(0,MIN('V06 Motor'!A20*30/'V06 Motor'!C20,20)-MAX(('V06 Motor'!A20-1)*30/'V06 Motor'!C20,19))*'V06 Curva'!$B$24,MAX(0,MIN('V06 Motor'!A20*30/'V06 Motor'!C20,21)-MAX(('V06 Motor'!A20-1)*30/'V06 Motor'!C20,20))*'V06 Curva'!$B$25,MAX(0,MIN('V06 Motor'!A20*30/'V06 Motor'!C20,22)-MAX(('V06 Motor'!A20-1)*30/'V06 Motor'!C20,21))*'V06 Curva'!$B$26,MAX(0,MIN('V06 Motor'!A20*30/'V06 Motor'!C20,23)-MAX(('V06 Motor'!A20-1)*30/'V06 Motor'!C20,22))*'V06 Curva'!$B$27,MAX(0,MIN('V06 Motor'!A20*30/'V06 Motor'!C20,24)-MAX(('V06 Motor'!A20-1)*30/'V06 Motor'!C20,23))*'V06 Curva'!$B$28,MAX(0,MIN('V06 Motor'!A20*30/'V06 Motor'!C20,25)-MAX(('V06 Motor'!A20-1)*30/'V06 Motor'!C20,24))*'V06 Curva'!$B$29,MAX(0,MIN('V06 Motor'!A20*30/'V06 Motor'!C20,26)-MAX(('V06 Motor'!A20-1)*30/'V06 Motor'!C20,25))*'V06 Curva'!$B$30,MAX(0,MIN('V06 Motor'!A20*30/'V06 Motor'!C20,27)-MAX(('V06 Motor'!A20-1)*30/'V06 Motor'!C20,26))*'V06 Curva'!$B$31,MAX(0,MIN('V06 Motor'!A20*30/'V06 Motor'!C20,28)-MAX(('V06 Motor'!A20-1)*30/'V06 Motor'!C20,27))*'V06 Curva'!$B$32,MAX(0,MIN('V06 Motor'!A20*30/'V06 Motor'!C20,29)-MAX(('V06 Motor'!A20-1)*30/'V06 Motor'!C20,28))*'V06 Curva'!$B$33,MAX(0,MIN('V06 Motor'!A20*30/'V06 Motor'!C20,30)-MAX(('V06 Motor'!A20-1)*30/'V06 Motor'!C20,29))*'V06 Curva'!$B$34),0)</f>
        <v>0.051305</v>
      </c>
      <c r="O20" s="2">
        <f>SUMPRODUCT(--(('V06 Unidades'!$I$5:$I$98+'V06 Controlos'!$B$37)='V06 Motor'!A20),ROUND('V06 Unidades'!$H$5:$H$98*0.05,2)+ROUND('V06 Unidades'!$H$5:$H$98*0.2,2))+SUMPRODUCT(--(IF('V06 Controlos'!$B$38&gt;0,IF(('V06 Unidades'!$L$5:$L$98+'V06 Controlos'!$B$37)&lt;'V06 Motor'!C20,'V06 Motor'!C20,('V06 Unidades'!$L$5:$L$98+'V06 Controlos'!$B$37)),('V06 Unidades'!$L$5:$L$98+'V06 Controlos'!$B$37))='V06 Motor'!A20),'V06 Unidades'!$H$5:$H$98-ROUND('V06 Unidades'!$H$5:$H$98*0.05,2)-ROUND('V06 Unidades'!$H$5:$H$98*0.2,2)-ROUND('V06 Unidades'!$H$5:$H$98*0.55,2))+SUMPRODUCT(--(IF(INT((IF('V06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Controlos'!$B$37)-1)/6),0)&gt;0),--('V06 Motor'!A20&gt;('V06 Unidades'!$I$5:$I$98+'V06 Controlos'!$B$37)),--('V06 Motor'!A20&lt;IF('V06 Controlos'!$B$38&gt;0,IF(('V06 Unidades'!$L$5:$L$98+'V06 Controlos'!$B$37)&lt;'V06 Motor'!C20,'V06 Motor'!C20,('V06 Unidades'!$L$5:$L$98+'V06 Controlos'!$B$37)),('V06 Unidades'!$L$5:$L$98+'V06 Controlos'!$B$37))),--(MOD('V06 Motor'!A20-('V06 Unidades'!$I$5:$I$98+'V06 Controlos'!$B$37),6)=0),--(('V06 Motor'!A20-('V06 Unidades'!$I$5:$I$98+'V06 Controlos'!$B$37))/6&lt;=IF(INT((IF('V06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Controlos'!$B$37)-1)/6),0)),IF('V06 Motor'!A20=('V06 Unidades'!$I$5:$I$98+'V06 Controlos'!$B$37)+6*IF(INT((IF('V06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Controlos'!$B$37)-1)/6),0)&gt;0,IF(INT((IF('V06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Controlos'!$B$37)-1)/6),0),1),2)*(IF(INT((IF('V06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Controlos'!$B$37)-1)/6),0)&gt;0,IF(INT((IF('V06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Controlos'!$B$37)-1)/6)&gt;0,INT((IF('V06 Controlos'!$B$38&gt;0,IF(('V06 Unidades'!$L$5:$L$98+'V06 Controlos'!$B$37)&lt;'V06 Motor'!C20,'V06 Motor'!C20,('V06 Unidades'!$L$5:$L$98+'V06 Controlos'!$B$37)),('V06 Unidades'!$L$5:$L$98+'V06 Controlos'!$B$37))-('V06 Unidades'!$I$5:$I$98+'V06 Controlos'!$B$37)-1)/6),0),1),2)))</f>
        <v>3092153.63</v>
      </c>
      <c r="P20" s="2">
        <f>SUM('V06 Calend 01'!AB5:AB98)</f>
        <v>3092153.63</v>
      </c>
    </row>
    <row r="21" spans="1:16">
      <c r="A21">
        <v>17</v>
      </c>
      <c r="C21">
        <v>30</v>
      </c>
      <c r="G21" s="2">
        <f>IF('V06 Motor'!A21&lt;='V06 Motor'!C21,SUMPRODUCT('V06 Curva'!$B$5:$B$34,IF((IF('V06 Motor'!A21*30/'V06 Motor'!C21&lt;'V06 Curva'!$A$5:$A$34,'V06 Motor'!A21*30/'V06 Motor'!C21,'V06 Curva'!$A$5:$A$34)-IF(('V06 Motor'!A21-1)*30/'V06 Motor'!C21&gt;'V06 Curva'!$A$5:$A$34-1,('V06 Motor'!A21-1)*30/'V06 Motor'!C21,'V06 Curva'!$A$5:$A$34-1))&gt;0,(IF('V06 Motor'!A21*30/'V06 Motor'!C21&lt;'V06 Curva'!$A$5:$A$34,'V06 Motor'!A21*30/'V06 Motor'!C21,'V06 Curva'!$A$5:$A$34)-IF(('V06 Motor'!A21-1)*30/'V06 Motor'!C21&gt;'V06 Curva'!$A$5:$A$34-1,('V06 Motor'!A21-1)*30/'V06 Motor'!C21,'V06 Curva'!$A$5:$A$34-1)),0)),0)</f>
        <v>0.043105</v>
      </c>
      <c r="H21" s="2">
        <f>IF('V06 Motor'!A21&lt;='V06 Motor'!C21,SUM(MAX(0,MIN('V06 Motor'!A21*30/'V06 Motor'!C21,1)-MAX(('V06 Motor'!A21-1)*30/'V06 Motor'!C21,0))*'V06 Curva'!$B$5,MAX(0,MIN('V06 Motor'!A21*30/'V06 Motor'!C21,2)-MAX(('V06 Motor'!A21-1)*30/'V06 Motor'!C21,1))*'V06 Curva'!$B$6,MAX(0,MIN('V06 Motor'!A21*30/'V06 Motor'!C21,3)-MAX(('V06 Motor'!A21-1)*30/'V06 Motor'!C21,2))*'V06 Curva'!$B$7,MAX(0,MIN('V06 Motor'!A21*30/'V06 Motor'!C21,4)-MAX(('V06 Motor'!A21-1)*30/'V06 Motor'!C21,3))*'V06 Curva'!$B$8,MAX(0,MIN('V06 Motor'!A21*30/'V06 Motor'!C21,5)-MAX(('V06 Motor'!A21-1)*30/'V06 Motor'!C21,4))*'V06 Curva'!$B$9,MAX(0,MIN('V06 Motor'!A21*30/'V06 Motor'!C21,6)-MAX(('V06 Motor'!A21-1)*30/'V06 Motor'!C21,5))*'V06 Curva'!$B$10,MAX(0,MIN('V06 Motor'!A21*30/'V06 Motor'!C21,7)-MAX(('V06 Motor'!A21-1)*30/'V06 Motor'!C21,6))*'V06 Curva'!$B$11,MAX(0,MIN('V06 Motor'!A21*30/'V06 Motor'!C21,8)-MAX(('V06 Motor'!A21-1)*30/'V06 Motor'!C21,7))*'V06 Curva'!$B$12,MAX(0,MIN('V06 Motor'!A21*30/'V06 Motor'!C21,9)-MAX(('V06 Motor'!A21-1)*30/'V06 Motor'!C21,8))*'V06 Curva'!$B$13,MAX(0,MIN('V06 Motor'!A21*30/'V06 Motor'!C21,10)-MAX(('V06 Motor'!A21-1)*30/'V06 Motor'!C21,9))*'V06 Curva'!$B$14,MAX(0,MIN('V06 Motor'!A21*30/'V06 Motor'!C21,11)-MAX(('V06 Motor'!A21-1)*30/'V06 Motor'!C21,10))*'V06 Curva'!$B$15,MAX(0,MIN('V06 Motor'!A21*30/'V06 Motor'!C21,12)-MAX(('V06 Motor'!A21-1)*30/'V06 Motor'!C21,11))*'V06 Curva'!$B$16,MAX(0,MIN('V06 Motor'!A21*30/'V06 Motor'!C21,13)-MAX(('V06 Motor'!A21-1)*30/'V06 Motor'!C21,12))*'V06 Curva'!$B$17,MAX(0,MIN('V06 Motor'!A21*30/'V06 Motor'!C21,14)-MAX(('V06 Motor'!A21-1)*30/'V06 Motor'!C21,13))*'V06 Curva'!$B$18,MAX(0,MIN('V06 Motor'!A21*30/'V06 Motor'!C21,15)-MAX(('V06 Motor'!A21-1)*30/'V06 Motor'!C21,14))*'V06 Curva'!$B$19,MAX(0,MIN('V06 Motor'!A21*30/'V06 Motor'!C21,16)-MAX(('V06 Motor'!A21-1)*30/'V06 Motor'!C21,15))*'V06 Curva'!$B$20,MAX(0,MIN('V06 Motor'!A21*30/'V06 Motor'!C21,17)-MAX(('V06 Motor'!A21-1)*30/'V06 Motor'!C21,16))*'V06 Curva'!$B$21,MAX(0,MIN('V06 Motor'!A21*30/'V06 Motor'!C21,18)-MAX(('V06 Motor'!A21-1)*30/'V06 Motor'!C21,17))*'V06 Curva'!$B$22,MAX(0,MIN('V06 Motor'!A21*30/'V06 Motor'!C21,19)-MAX(('V06 Motor'!A21-1)*30/'V06 Motor'!C21,18))*'V06 Curva'!$B$23,MAX(0,MIN('V06 Motor'!A21*30/'V06 Motor'!C21,20)-MAX(('V06 Motor'!A21-1)*30/'V06 Motor'!C21,19))*'V06 Curva'!$B$24,MAX(0,MIN('V06 Motor'!A21*30/'V06 Motor'!C21,21)-MAX(('V06 Motor'!A21-1)*30/'V06 Motor'!C21,20))*'V06 Curva'!$B$25,MAX(0,MIN('V06 Motor'!A21*30/'V06 Motor'!C21,22)-MAX(('V06 Motor'!A21-1)*30/'V06 Motor'!C21,21))*'V06 Curva'!$B$26,MAX(0,MIN('V06 Motor'!A21*30/'V06 Motor'!C21,23)-MAX(('V06 Motor'!A21-1)*30/'V06 Motor'!C21,22))*'V06 Curva'!$B$27,MAX(0,MIN('V06 Motor'!A21*30/'V06 Motor'!C21,24)-MAX(('V06 Motor'!A21-1)*30/'V06 Motor'!C21,23))*'V06 Curva'!$B$28,MAX(0,MIN('V06 Motor'!A21*30/'V06 Motor'!C21,25)-MAX(('V06 Motor'!A21-1)*30/'V06 Motor'!C21,24))*'V06 Curva'!$B$29,MAX(0,MIN('V06 Motor'!A21*30/'V06 Motor'!C21,26)-MAX(('V06 Motor'!A21-1)*30/'V06 Motor'!C21,25))*'V06 Curva'!$B$30,MAX(0,MIN('V06 Motor'!A21*30/'V06 Motor'!C21,27)-MAX(('V06 Motor'!A21-1)*30/'V06 Motor'!C21,26))*'V06 Curva'!$B$31,MAX(0,MIN('V06 Motor'!A21*30/'V06 Motor'!C21,28)-MAX(('V06 Motor'!A21-1)*30/'V06 Motor'!C21,27))*'V06 Curva'!$B$32,MAX(0,MIN('V06 Motor'!A21*30/'V06 Motor'!C21,29)-MAX(('V06 Motor'!A21-1)*30/'V06 Motor'!C21,28))*'V06 Curva'!$B$33,MAX(0,MIN('V06 Motor'!A21*30/'V06 Motor'!C21,30)-MAX(('V06 Motor'!A21-1)*30/'V06 Motor'!C21,29))*'V06 Curva'!$B$34),0)</f>
        <v>0.043105000000000004</v>
      </c>
      <c r="O21" s="2">
        <f>SUMPRODUCT(--(('V06 Unidades'!$I$5:$I$98+'V06 Controlos'!$B$37)='V06 Motor'!A21),ROUND('V06 Unidades'!$H$5:$H$98*0.05,2)+ROUND('V06 Unidades'!$H$5:$H$98*0.2,2))+SUMPRODUCT(--(IF('V06 Controlos'!$B$38&gt;0,IF(('V06 Unidades'!$L$5:$L$98+'V06 Controlos'!$B$37)&lt;'V06 Motor'!C21,'V06 Motor'!C21,('V06 Unidades'!$L$5:$L$98+'V06 Controlos'!$B$37)),('V06 Unidades'!$L$5:$L$98+'V06 Controlos'!$B$37))='V06 Motor'!A21),'V06 Unidades'!$H$5:$H$98-ROUND('V06 Unidades'!$H$5:$H$98*0.05,2)-ROUND('V06 Unidades'!$H$5:$H$98*0.2,2)-ROUND('V06 Unidades'!$H$5:$H$98*0.55,2))+SUMPRODUCT(--(IF(INT((IF('V06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Controlos'!$B$37)-1)/6),0)&gt;0),--('V06 Motor'!A21&gt;('V06 Unidades'!$I$5:$I$98+'V06 Controlos'!$B$37)),--('V06 Motor'!A21&lt;IF('V06 Controlos'!$B$38&gt;0,IF(('V06 Unidades'!$L$5:$L$98+'V06 Controlos'!$B$37)&lt;'V06 Motor'!C21,'V06 Motor'!C21,('V06 Unidades'!$L$5:$L$98+'V06 Controlos'!$B$37)),('V06 Unidades'!$L$5:$L$98+'V06 Controlos'!$B$37))),--(MOD('V06 Motor'!A21-('V06 Unidades'!$I$5:$I$98+'V06 Controlos'!$B$37),6)=0),--(('V06 Motor'!A21-('V06 Unidades'!$I$5:$I$98+'V06 Controlos'!$B$37))/6&lt;=IF(INT((IF('V06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Controlos'!$B$37)-1)/6),0)),IF('V06 Motor'!A21=('V06 Unidades'!$I$5:$I$98+'V06 Controlos'!$B$37)+6*IF(INT((IF('V06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Controlos'!$B$37)-1)/6),0)&gt;0,IF(INT((IF('V06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Controlos'!$B$37)-1)/6),0),1),2)*(IF(INT((IF('V06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Controlos'!$B$37)-1)/6),0)&gt;0,IF(INT((IF('V06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Controlos'!$B$37)-1)/6)&gt;0,INT((IF('V06 Controlos'!$B$38&gt;0,IF(('V06 Unidades'!$L$5:$L$98+'V06 Controlos'!$B$37)&lt;'V06 Motor'!C21,'V06 Motor'!C21,('V06 Unidades'!$L$5:$L$98+'V06 Controlos'!$B$37)),('V06 Unidades'!$L$5:$L$98+'V06 Controlos'!$B$37))-('V06 Unidades'!$I$5:$I$98+'V06 Controlos'!$B$37)-1)/6),0),1),2)))</f>
        <v>0.0</v>
      </c>
      <c r="P21" s="2">
        <f>SUM('V06 Calend 01'!AC5:AC98)</f>
        <v>0.0</v>
      </c>
    </row>
    <row r="22" spans="1:16">
      <c r="A22">
        <v>18</v>
      </c>
      <c r="C22">
        <v>30</v>
      </c>
      <c r="G22" s="2">
        <f>IF('V06 Motor'!A22&lt;='V06 Motor'!C22,SUMPRODUCT('V06 Curva'!$B$5:$B$34,IF((IF('V06 Motor'!A22*30/'V06 Motor'!C22&lt;'V06 Curva'!$A$5:$A$34,'V06 Motor'!A22*30/'V06 Motor'!C22,'V06 Curva'!$A$5:$A$34)-IF(('V06 Motor'!A22-1)*30/'V06 Motor'!C22&gt;'V06 Curva'!$A$5:$A$34-1,('V06 Motor'!A22-1)*30/'V06 Motor'!C22,'V06 Curva'!$A$5:$A$34-1))&gt;0,(IF('V06 Motor'!A22*30/'V06 Motor'!C22&lt;'V06 Curva'!$A$5:$A$34,'V06 Motor'!A22*30/'V06 Motor'!C22,'V06 Curva'!$A$5:$A$34)-IF(('V06 Motor'!A22-1)*30/'V06 Motor'!C22&gt;'V06 Curva'!$A$5:$A$34-1,('V06 Motor'!A22-1)*30/'V06 Motor'!C22,'V06 Curva'!$A$5:$A$34-1)),0)),0)</f>
        <v>0.043505</v>
      </c>
      <c r="H22" s="2">
        <f>IF('V06 Motor'!A22&lt;='V06 Motor'!C22,SUM(MAX(0,MIN('V06 Motor'!A22*30/'V06 Motor'!C22,1)-MAX(('V06 Motor'!A22-1)*30/'V06 Motor'!C22,0))*'V06 Curva'!$B$5,MAX(0,MIN('V06 Motor'!A22*30/'V06 Motor'!C22,2)-MAX(('V06 Motor'!A22-1)*30/'V06 Motor'!C22,1))*'V06 Curva'!$B$6,MAX(0,MIN('V06 Motor'!A22*30/'V06 Motor'!C22,3)-MAX(('V06 Motor'!A22-1)*30/'V06 Motor'!C22,2))*'V06 Curva'!$B$7,MAX(0,MIN('V06 Motor'!A22*30/'V06 Motor'!C22,4)-MAX(('V06 Motor'!A22-1)*30/'V06 Motor'!C22,3))*'V06 Curva'!$B$8,MAX(0,MIN('V06 Motor'!A22*30/'V06 Motor'!C22,5)-MAX(('V06 Motor'!A22-1)*30/'V06 Motor'!C22,4))*'V06 Curva'!$B$9,MAX(0,MIN('V06 Motor'!A22*30/'V06 Motor'!C22,6)-MAX(('V06 Motor'!A22-1)*30/'V06 Motor'!C22,5))*'V06 Curva'!$B$10,MAX(0,MIN('V06 Motor'!A22*30/'V06 Motor'!C22,7)-MAX(('V06 Motor'!A22-1)*30/'V06 Motor'!C22,6))*'V06 Curva'!$B$11,MAX(0,MIN('V06 Motor'!A22*30/'V06 Motor'!C22,8)-MAX(('V06 Motor'!A22-1)*30/'V06 Motor'!C22,7))*'V06 Curva'!$B$12,MAX(0,MIN('V06 Motor'!A22*30/'V06 Motor'!C22,9)-MAX(('V06 Motor'!A22-1)*30/'V06 Motor'!C22,8))*'V06 Curva'!$B$13,MAX(0,MIN('V06 Motor'!A22*30/'V06 Motor'!C22,10)-MAX(('V06 Motor'!A22-1)*30/'V06 Motor'!C22,9))*'V06 Curva'!$B$14,MAX(0,MIN('V06 Motor'!A22*30/'V06 Motor'!C22,11)-MAX(('V06 Motor'!A22-1)*30/'V06 Motor'!C22,10))*'V06 Curva'!$B$15,MAX(0,MIN('V06 Motor'!A22*30/'V06 Motor'!C22,12)-MAX(('V06 Motor'!A22-1)*30/'V06 Motor'!C22,11))*'V06 Curva'!$B$16,MAX(0,MIN('V06 Motor'!A22*30/'V06 Motor'!C22,13)-MAX(('V06 Motor'!A22-1)*30/'V06 Motor'!C22,12))*'V06 Curva'!$B$17,MAX(0,MIN('V06 Motor'!A22*30/'V06 Motor'!C22,14)-MAX(('V06 Motor'!A22-1)*30/'V06 Motor'!C22,13))*'V06 Curva'!$B$18,MAX(0,MIN('V06 Motor'!A22*30/'V06 Motor'!C22,15)-MAX(('V06 Motor'!A22-1)*30/'V06 Motor'!C22,14))*'V06 Curva'!$B$19,MAX(0,MIN('V06 Motor'!A22*30/'V06 Motor'!C22,16)-MAX(('V06 Motor'!A22-1)*30/'V06 Motor'!C22,15))*'V06 Curva'!$B$20,MAX(0,MIN('V06 Motor'!A22*30/'V06 Motor'!C22,17)-MAX(('V06 Motor'!A22-1)*30/'V06 Motor'!C22,16))*'V06 Curva'!$B$21,MAX(0,MIN('V06 Motor'!A22*30/'V06 Motor'!C22,18)-MAX(('V06 Motor'!A22-1)*30/'V06 Motor'!C22,17))*'V06 Curva'!$B$22,MAX(0,MIN('V06 Motor'!A22*30/'V06 Motor'!C22,19)-MAX(('V06 Motor'!A22-1)*30/'V06 Motor'!C22,18))*'V06 Curva'!$B$23,MAX(0,MIN('V06 Motor'!A22*30/'V06 Motor'!C22,20)-MAX(('V06 Motor'!A22-1)*30/'V06 Motor'!C22,19))*'V06 Curva'!$B$24,MAX(0,MIN('V06 Motor'!A22*30/'V06 Motor'!C22,21)-MAX(('V06 Motor'!A22-1)*30/'V06 Motor'!C22,20))*'V06 Curva'!$B$25,MAX(0,MIN('V06 Motor'!A22*30/'V06 Motor'!C22,22)-MAX(('V06 Motor'!A22-1)*30/'V06 Motor'!C22,21))*'V06 Curva'!$B$26,MAX(0,MIN('V06 Motor'!A22*30/'V06 Motor'!C22,23)-MAX(('V06 Motor'!A22-1)*30/'V06 Motor'!C22,22))*'V06 Curva'!$B$27,MAX(0,MIN('V06 Motor'!A22*30/'V06 Motor'!C22,24)-MAX(('V06 Motor'!A22-1)*30/'V06 Motor'!C22,23))*'V06 Curva'!$B$28,MAX(0,MIN('V06 Motor'!A22*30/'V06 Motor'!C22,25)-MAX(('V06 Motor'!A22-1)*30/'V06 Motor'!C22,24))*'V06 Curva'!$B$29,MAX(0,MIN('V06 Motor'!A22*30/'V06 Motor'!C22,26)-MAX(('V06 Motor'!A22-1)*30/'V06 Motor'!C22,25))*'V06 Curva'!$B$30,MAX(0,MIN('V06 Motor'!A22*30/'V06 Motor'!C22,27)-MAX(('V06 Motor'!A22-1)*30/'V06 Motor'!C22,26))*'V06 Curva'!$B$31,MAX(0,MIN('V06 Motor'!A22*30/'V06 Motor'!C22,28)-MAX(('V06 Motor'!A22-1)*30/'V06 Motor'!C22,27))*'V06 Curva'!$B$32,MAX(0,MIN('V06 Motor'!A22*30/'V06 Motor'!C22,29)-MAX(('V06 Motor'!A22-1)*30/'V06 Motor'!C22,28))*'V06 Curva'!$B$33,MAX(0,MIN('V06 Motor'!A22*30/'V06 Motor'!C22,30)-MAX(('V06 Motor'!A22-1)*30/'V06 Motor'!C22,29))*'V06 Curva'!$B$34),0)</f>
        <v>0.043505</v>
      </c>
      <c r="O22" s="2">
        <f>SUMPRODUCT(--(('V06 Unidades'!$I$5:$I$98+'V06 Controlos'!$B$37)='V06 Motor'!A22),ROUND('V06 Unidades'!$H$5:$H$98*0.05,2)+ROUND('V06 Unidades'!$H$5:$H$98*0.2,2))+SUMPRODUCT(--(IF('V06 Controlos'!$B$38&gt;0,IF(('V06 Unidades'!$L$5:$L$98+'V06 Controlos'!$B$37)&lt;'V06 Motor'!C22,'V06 Motor'!C22,('V06 Unidades'!$L$5:$L$98+'V06 Controlos'!$B$37)),('V06 Unidades'!$L$5:$L$98+'V06 Controlos'!$B$37))='V06 Motor'!A22),'V06 Unidades'!$H$5:$H$98-ROUND('V06 Unidades'!$H$5:$H$98*0.05,2)-ROUND('V06 Unidades'!$H$5:$H$98*0.2,2)-ROUND('V06 Unidades'!$H$5:$H$98*0.55,2))+SUMPRODUCT(--(IF(INT((IF('V06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Controlos'!$B$37)-1)/6),0)&gt;0),--('V06 Motor'!A22&gt;('V06 Unidades'!$I$5:$I$98+'V06 Controlos'!$B$37)),--('V06 Motor'!A22&lt;IF('V06 Controlos'!$B$38&gt;0,IF(('V06 Unidades'!$L$5:$L$98+'V06 Controlos'!$B$37)&lt;'V06 Motor'!C22,'V06 Motor'!C22,('V06 Unidades'!$L$5:$L$98+'V06 Controlos'!$B$37)),('V06 Unidades'!$L$5:$L$98+'V06 Controlos'!$B$37))),--(MOD('V06 Motor'!A22-('V06 Unidades'!$I$5:$I$98+'V06 Controlos'!$B$37),6)=0),--(('V06 Motor'!A22-('V06 Unidades'!$I$5:$I$98+'V06 Controlos'!$B$37))/6&lt;=IF(INT((IF('V06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Controlos'!$B$37)-1)/6),0)),IF('V06 Motor'!A22=('V06 Unidades'!$I$5:$I$98+'V06 Controlos'!$B$37)+6*IF(INT((IF('V06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Controlos'!$B$37)-1)/6),0)&gt;0,IF(INT((IF('V06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Controlos'!$B$37)-1)/6),0),1),2)*(IF(INT((IF('V06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Controlos'!$B$37)-1)/6),0)&gt;0,IF(INT((IF('V06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Controlos'!$B$37)-1)/6)&gt;0,INT((IF('V06 Controlos'!$B$38&gt;0,IF(('V06 Unidades'!$L$5:$L$98+'V06 Controlos'!$B$37)&lt;'V06 Motor'!C22,'V06 Motor'!C22,('V06 Unidades'!$L$5:$L$98+'V06 Controlos'!$B$37)),('V06 Unidades'!$L$5:$L$98+'V06 Controlos'!$B$37))-('V06 Unidades'!$I$5:$I$98+'V06 Controlos'!$B$37)-1)/6),0),1),2)))</f>
        <v>0.0</v>
      </c>
      <c r="P22" s="2">
        <f>SUM('V06 Calend 01'!AD5:AD98)</f>
        <v>0.0</v>
      </c>
    </row>
    <row r="23" spans="1:16">
      <c r="A23">
        <v>19</v>
      </c>
      <c r="C23">
        <v>30</v>
      </c>
      <c r="G23" s="2">
        <f>IF('V06 Motor'!A23&lt;='V06 Motor'!C23,SUMPRODUCT('V06 Curva'!$B$5:$B$34,IF((IF('V06 Motor'!A23*30/'V06 Motor'!C23&lt;'V06 Curva'!$A$5:$A$34,'V06 Motor'!A23*30/'V06 Motor'!C23,'V06 Curva'!$A$5:$A$34)-IF(('V06 Motor'!A23-1)*30/'V06 Motor'!C23&gt;'V06 Curva'!$A$5:$A$34-1,('V06 Motor'!A23-1)*30/'V06 Motor'!C23,'V06 Curva'!$A$5:$A$34-1))&gt;0,(IF('V06 Motor'!A23*30/'V06 Motor'!C23&lt;'V06 Curva'!$A$5:$A$34,'V06 Motor'!A23*30/'V06 Motor'!C23,'V06 Curva'!$A$5:$A$34)-IF(('V06 Motor'!A23-1)*30/'V06 Motor'!C23&gt;'V06 Curva'!$A$5:$A$34-1,('V06 Motor'!A23-1)*30/'V06 Motor'!C23,'V06 Curva'!$A$5:$A$34-1)),0)),0)</f>
        <v>0.049805</v>
      </c>
      <c r="H23" s="2">
        <f>IF('V06 Motor'!A23&lt;='V06 Motor'!C23,SUM(MAX(0,MIN('V06 Motor'!A23*30/'V06 Motor'!C23,1)-MAX(('V06 Motor'!A23-1)*30/'V06 Motor'!C23,0))*'V06 Curva'!$B$5,MAX(0,MIN('V06 Motor'!A23*30/'V06 Motor'!C23,2)-MAX(('V06 Motor'!A23-1)*30/'V06 Motor'!C23,1))*'V06 Curva'!$B$6,MAX(0,MIN('V06 Motor'!A23*30/'V06 Motor'!C23,3)-MAX(('V06 Motor'!A23-1)*30/'V06 Motor'!C23,2))*'V06 Curva'!$B$7,MAX(0,MIN('V06 Motor'!A23*30/'V06 Motor'!C23,4)-MAX(('V06 Motor'!A23-1)*30/'V06 Motor'!C23,3))*'V06 Curva'!$B$8,MAX(0,MIN('V06 Motor'!A23*30/'V06 Motor'!C23,5)-MAX(('V06 Motor'!A23-1)*30/'V06 Motor'!C23,4))*'V06 Curva'!$B$9,MAX(0,MIN('V06 Motor'!A23*30/'V06 Motor'!C23,6)-MAX(('V06 Motor'!A23-1)*30/'V06 Motor'!C23,5))*'V06 Curva'!$B$10,MAX(0,MIN('V06 Motor'!A23*30/'V06 Motor'!C23,7)-MAX(('V06 Motor'!A23-1)*30/'V06 Motor'!C23,6))*'V06 Curva'!$B$11,MAX(0,MIN('V06 Motor'!A23*30/'V06 Motor'!C23,8)-MAX(('V06 Motor'!A23-1)*30/'V06 Motor'!C23,7))*'V06 Curva'!$B$12,MAX(0,MIN('V06 Motor'!A23*30/'V06 Motor'!C23,9)-MAX(('V06 Motor'!A23-1)*30/'V06 Motor'!C23,8))*'V06 Curva'!$B$13,MAX(0,MIN('V06 Motor'!A23*30/'V06 Motor'!C23,10)-MAX(('V06 Motor'!A23-1)*30/'V06 Motor'!C23,9))*'V06 Curva'!$B$14,MAX(0,MIN('V06 Motor'!A23*30/'V06 Motor'!C23,11)-MAX(('V06 Motor'!A23-1)*30/'V06 Motor'!C23,10))*'V06 Curva'!$B$15,MAX(0,MIN('V06 Motor'!A23*30/'V06 Motor'!C23,12)-MAX(('V06 Motor'!A23-1)*30/'V06 Motor'!C23,11))*'V06 Curva'!$B$16,MAX(0,MIN('V06 Motor'!A23*30/'V06 Motor'!C23,13)-MAX(('V06 Motor'!A23-1)*30/'V06 Motor'!C23,12))*'V06 Curva'!$B$17,MAX(0,MIN('V06 Motor'!A23*30/'V06 Motor'!C23,14)-MAX(('V06 Motor'!A23-1)*30/'V06 Motor'!C23,13))*'V06 Curva'!$B$18,MAX(0,MIN('V06 Motor'!A23*30/'V06 Motor'!C23,15)-MAX(('V06 Motor'!A23-1)*30/'V06 Motor'!C23,14))*'V06 Curva'!$B$19,MAX(0,MIN('V06 Motor'!A23*30/'V06 Motor'!C23,16)-MAX(('V06 Motor'!A23-1)*30/'V06 Motor'!C23,15))*'V06 Curva'!$B$20,MAX(0,MIN('V06 Motor'!A23*30/'V06 Motor'!C23,17)-MAX(('V06 Motor'!A23-1)*30/'V06 Motor'!C23,16))*'V06 Curva'!$B$21,MAX(0,MIN('V06 Motor'!A23*30/'V06 Motor'!C23,18)-MAX(('V06 Motor'!A23-1)*30/'V06 Motor'!C23,17))*'V06 Curva'!$B$22,MAX(0,MIN('V06 Motor'!A23*30/'V06 Motor'!C23,19)-MAX(('V06 Motor'!A23-1)*30/'V06 Motor'!C23,18))*'V06 Curva'!$B$23,MAX(0,MIN('V06 Motor'!A23*30/'V06 Motor'!C23,20)-MAX(('V06 Motor'!A23-1)*30/'V06 Motor'!C23,19))*'V06 Curva'!$B$24,MAX(0,MIN('V06 Motor'!A23*30/'V06 Motor'!C23,21)-MAX(('V06 Motor'!A23-1)*30/'V06 Motor'!C23,20))*'V06 Curva'!$B$25,MAX(0,MIN('V06 Motor'!A23*30/'V06 Motor'!C23,22)-MAX(('V06 Motor'!A23-1)*30/'V06 Motor'!C23,21))*'V06 Curva'!$B$26,MAX(0,MIN('V06 Motor'!A23*30/'V06 Motor'!C23,23)-MAX(('V06 Motor'!A23-1)*30/'V06 Motor'!C23,22))*'V06 Curva'!$B$27,MAX(0,MIN('V06 Motor'!A23*30/'V06 Motor'!C23,24)-MAX(('V06 Motor'!A23-1)*30/'V06 Motor'!C23,23))*'V06 Curva'!$B$28,MAX(0,MIN('V06 Motor'!A23*30/'V06 Motor'!C23,25)-MAX(('V06 Motor'!A23-1)*30/'V06 Motor'!C23,24))*'V06 Curva'!$B$29,MAX(0,MIN('V06 Motor'!A23*30/'V06 Motor'!C23,26)-MAX(('V06 Motor'!A23-1)*30/'V06 Motor'!C23,25))*'V06 Curva'!$B$30,MAX(0,MIN('V06 Motor'!A23*30/'V06 Motor'!C23,27)-MAX(('V06 Motor'!A23-1)*30/'V06 Motor'!C23,26))*'V06 Curva'!$B$31,MAX(0,MIN('V06 Motor'!A23*30/'V06 Motor'!C23,28)-MAX(('V06 Motor'!A23-1)*30/'V06 Motor'!C23,27))*'V06 Curva'!$B$32,MAX(0,MIN('V06 Motor'!A23*30/'V06 Motor'!C23,29)-MAX(('V06 Motor'!A23-1)*30/'V06 Motor'!C23,28))*'V06 Curva'!$B$33,MAX(0,MIN('V06 Motor'!A23*30/'V06 Motor'!C23,30)-MAX(('V06 Motor'!A23-1)*30/'V06 Motor'!C23,29))*'V06 Curva'!$B$34),0)</f>
        <v>0.049805</v>
      </c>
      <c r="O23" s="2">
        <f>SUMPRODUCT(--(('V06 Unidades'!$I$5:$I$98+'V06 Controlos'!$B$37)='V06 Motor'!A23),ROUND('V06 Unidades'!$H$5:$H$98*0.05,2)+ROUND('V06 Unidades'!$H$5:$H$98*0.2,2))+SUMPRODUCT(--(IF('V06 Controlos'!$B$38&gt;0,IF(('V06 Unidades'!$L$5:$L$98+'V06 Controlos'!$B$37)&lt;'V06 Motor'!C23,'V06 Motor'!C23,('V06 Unidades'!$L$5:$L$98+'V06 Controlos'!$B$37)),('V06 Unidades'!$L$5:$L$98+'V06 Controlos'!$B$37))='V06 Motor'!A23),'V06 Unidades'!$H$5:$H$98-ROUND('V06 Unidades'!$H$5:$H$98*0.05,2)-ROUND('V06 Unidades'!$H$5:$H$98*0.2,2)-ROUND('V06 Unidades'!$H$5:$H$98*0.55,2))+SUMPRODUCT(--(IF(INT((IF('V06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Controlos'!$B$37)-1)/6),0)&gt;0),--('V06 Motor'!A23&gt;('V06 Unidades'!$I$5:$I$98+'V06 Controlos'!$B$37)),--('V06 Motor'!A23&lt;IF('V06 Controlos'!$B$38&gt;0,IF(('V06 Unidades'!$L$5:$L$98+'V06 Controlos'!$B$37)&lt;'V06 Motor'!C23,'V06 Motor'!C23,('V06 Unidades'!$L$5:$L$98+'V06 Controlos'!$B$37)),('V06 Unidades'!$L$5:$L$98+'V06 Controlos'!$B$37))),--(MOD('V06 Motor'!A23-('V06 Unidades'!$I$5:$I$98+'V06 Controlos'!$B$37),6)=0),--(('V06 Motor'!A23-('V06 Unidades'!$I$5:$I$98+'V06 Controlos'!$B$37))/6&lt;=IF(INT((IF('V06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Controlos'!$B$37)-1)/6),0)),IF('V06 Motor'!A23=('V06 Unidades'!$I$5:$I$98+'V06 Controlos'!$B$37)+6*IF(INT((IF('V06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Controlos'!$B$37)-1)/6),0)&gt;0,IF(INT((IF('V06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Controlos'!$B$37)-1)/6),0),1),2)*(IF(INT((IF('V06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Controlos'!$B$37)-1)/6),0)&gt;0,IF(INT((IF('V06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Controlos'!$B$37)-1)/6)&gt;0,INT((IF('V06 Controlos'!$B$38&gt;0,IF(('V06 Unidades'!$L$5:$L$98+'V06 Controlos'!$B$37)&lt;'V06 Motor'!C23,'V06 Motor'!C23,('V06 Unidades'!$L$5:$L$98+'V06 Controlos'!$B$37)),('V06 Unidades'!$L$5:$L$98+'V06 Controlos'!$B$37))-('V06 Unidades'!$I$5:$I$98+'V06 Controlos'!$B$37)-1)/6),0),1),2)))</f>
        <v>4611226.33</v>
      </c>
      <c r="P23" s="2">
        <f>SUM('V06 Calend 01'!AE5:AE98)</f>
        <v>4611226.33</v>
      </c>
    </row>
    <row r="24" spans="1:16">
      <c r="A24">
        <v>20</v>
      </c>
      <c r="C24">
        <v>30</v>
      </c>
      <c r="G24" s="2">
        <f>IF('V06 Motor'!A24&lt;='V06 Motor'!C24,SUMPRODUCT('V06 Curva'!$B$5:$B$34,IF((IF('V06 Motor'!A24*30/'V06 Motor'!C24&lt;'V06 Curva'!$A$5:$A$34,'V06 Motor'!A24*30/'V06 Motor'!C24,'V06 Curva'!$A$5:$A$34)-IF(('V06 Motor'!A24-1)*30/'V06 Motor'!C24&gt;'V06 Curva'!$A$5:$A$34-1,('V06 Motor'!A24-1)*30/'V06 Motor'!C24,'V06 Curva'!$A$5:$A$34-1))&gt;0,(IF('V06 Motor'!A24*30/'V06 Motor'!C24&lt;'V06 Curva'!$A$5:$A$34,'V06 Motor'!A24*30/'V06 Motor'!C24,'V06 Curva'!$A$5:$A$34)-IF(('V06 Motor'!A24-1)*30/'V06 Motor'!C24&gt;'V06 Curva'!$A$5:$A$34-1,('V06 Motor'!A24-1)*30/'V06 Motor'!C24,'V06 Curva'!$A$5:$A$34-1)),0)),0)</f>
        <v>0.051105</v>
      </c>
      <c r="H24" s="2">
        <f>IF('V06 Motor'!A24&lt;='V06 Motor'!C24,SUM(MAX(0,MIN('V06 Motor'!A24*30/'V06 Motor'!C24,1)-MAX(('V06 Motor'!A24-1)*30/'V06 Motor'!C24,0))*'V06 Curva'!$B$5,MAX(0,MIN('V06 Motor'!A24*30/'V06 Motor'!C24,2)-MAX(('V06 Motor'!A24-1)*30/'V06 Motor'!C24,1))*'V06 Curva'!$B$6,MAX(0,MIN('V06 Motor'!A24*30/'V06 Motor'!C24,3)-MAX(('V06 Motor'!A24-1)*30/'V06 Motor'!C24,2))*'V06 Curva'!$B$7,MAX(0,MIN('V06 Motor'!A24*30/'V06 Motor'!C24,4)-MAX(('V06 Motor'!A24-1)*30/'V06 Motor'!C24,3))*'V06 Curva'!$B$8,MAX(0,MIN('V06 Motor'!A24*30/'V06 Motor'!C24,5)-MAX(('V06 Motor'!A24-1)*30/'V06 Motor'!C24,4))*'V06 Curva'!$B$9,MAX(0,MIN('V06 Motor'!A24*30/'V06 Motor'!C24,6)-MAX(('V06 Motor'!A24-1)*30/'V06 Motor'!C24,5))*'V06 Curva'!$B$10,MAX(0,MIN('V06 Motor'!A24*30/'V06 Motor'!C24,7)-MAX(('V06 Motor'!A24-1)*30/'V06 Motor'!C24,6))*'V06 Curva'!$B$11,MAX(0,MIN('V06 Motor'!A24*30/'V06 Motor'!C24,8)-MAX(('V06 Motor'!A24-1)*30/'V06 Motor'!C24,7))*'V06 Curva'!$B$12,MAX(0,MIN('V06 Motor'!A24*30/'V06 Motor'!C24,9)-MAX(('V06 Motor'!A24-1)*30/'V06 Motor'!C24,8))*'V06 Curva'!$B$13,MAX(0,MIN('V06 Motor'!A24*30/'V06 Motor'!C24,10)-MAX(('V06 Motor'!A24-1)*30/'V06 Motor'!C24,9))*'V06 Curva'!$B$14,MAX(0,MIN('V06 Motor'!A24*30/'V06 Motor'!C24,11)-MAX(('V06 Motor'!A24-1)*30/'V06 Motor'!C24,10))*'V06 Curva'!$B$15,MAX(0,MIN('V06 Motor'!A24*30/'V06 Motor'!C24,12)-MAX(('V06 Motor'!A24-1)*30/'V06 Motor'!C24,11))*'V06 Curva'!$B$16,MAX(0,MIN('V06 Motor'!A24*30/'V06 Motor'!C24,13)-MAX(('V06 Motor'!A24-1)*30/'V06 Motor'!C24,12))*'V06 Curva'!$B$17,MAX(0,MIN('V06 Motor'!A24*30/'V06 Motor'!C24,14)-MAX(('V06 Motor'!A24-1)*30/'V06 Motor'!C24,13))*'V06 Curva'!$B$18,MAX(0,MIN('V06 Motor'!A24*30/'V06 Motor'!C24,15)-MAX(('V06 Motor'!A24-1)*30/'V06 Motor'!C24,14))*'V06 Curva'!$B$19,MAX(0,MIN('V06 Motor'!A24*30/'V06 Motor'!C24,16)-MAX(('V06 Motor'!A24-1)*30/'V06 Motor'!C24,15))*'V06 Curva'!$B$20,MAX(0,MIN('V06 Motor'!A24*30/'V06 Motor'!C24,17)-MAX(('V06 Motor'!A24-1)*30/'V06 Motor'!C24,16))*'V06 Curva'!$B$21,MAX(0,MIN('V06 Motor'!A24*30/'V06 Motor'!C24,18)-MAX(('V06 Motor'!A24-1)*30/'V06 Motor'!C24,17))*'V06 Curva'!$B$22,MAX(0,MIN('V06 Motor'!A24*30/'V06 Motor'!C24,19)-MAX(('V06 Motor'!A24-1)*30/'V06 Motor'!C24,18))*'V06 Curva'!$B$23,MAX(0,MIN('V06 Motor'!A24*30/'V06 Motor'!C24,20)-MAX(('V06 Motor'!A24-1)*30/'V06 Motor'!C24,19))*'V06 Curva'!$B$24,MAX(0,MIN('V06 Motor'!A24*30/'V06 Motor'!C24,21)-MAX(('V06 Motor'!A24-1)*30/'V06 Motor'!C24,20))*'V06 Curva'!$B$25,MAX(0,MIN('V06 Motor'!A24*30/'V06 Motor'!C24,22)-MAX(('V06 Motor'!A24-1)*30/'V06 Motor'!C24,21))*'V06 Curva'!$B$26,MAX(0,MIN('V06 Motor'!A24*30/'V06 Motor'!C24,23)-MAX(('V06 Motor'!A24-1)*30/'V06 Motor'!C24,22))*'V06 Curva'!$B$27,MAX(0,MIN('V06 Motor'!A24*30/'V06 Motor'!C24,24)-MAX(('V06 Motor'!A24-1)*30/'V06 Motor'!C24,23))*'V06 Curva'!$B$28,MAX(0,MIN('V06 Motor'!A24*30/'V06 Motor'!C24,25)-MAX(('V06 Motor'!A24-1)*30/'V06 Motor'!C24,24))*'V06 Curva'!$B$29,MAX(0,MIN('V06 Motor'!A24*30/'V06 Motor'!C24,26)-MAX(('V06 Motor'!A24-1)*30/'V06 Motor'!C24,25))*'V06 Curva'!$B$30,MAX(0,MIN('V06 Motor'!A24*30/'V06 Motor'!C24,27)-MAX(('V06 Motor'!A24-1)*30/'V06 Motor'!C24,26))*'V06 Curva'!$B$31,MAX(0,MIN('V06 Motor'!A24*30/'V06 Motor'!C24,28)-MAX(('V06 Motor'!A24-1)*30/'V06 Motor'!C24,27))*'V06 Curva'!$B$32,MAX(0,MIN('V06 Motor'!A24*30/'V06 Motor'!C24,29)-MAX(('V06 Motor'!A24-1)*30/'V06 Motor'!C24,28))*'V06 Curva'!$B$33,MAX(0,MIN('V06 Motor'!A24*30/'V06 Motor'!C24,30)-MAX(('V06 Motor'!A24-1)*30/'V06 Motor'!C24,29))*'V06 Curva'!$B$34),0)</f>
        <v>0.051105000000000005</v>
      </c>
      <c r="O24" s="2">
        <f>SUMPRODUCT(--(('V06 Unidades'!$I$5:$I$98+'V06 Controlos'!$B$37)='V06 Motor'!A24),ROUND('V06 Unidades'!$H$5:$H$98*0.05,2)+ROUND('V06 Unidades'!$H$5:$H$98*0.2,2))+SUMPRODUCT(--(IF('V06 Controlos'!$B$38&gt;0,IF(('V06 Unidades'!$L$5:$L$98+'V06 Controlos'!$B$37)&lt;'V06 Motor'!C24,'V06 Motor'!C24,('V06 Unidades'!$L$5:$L$98+'V06 Controlos'!$B$37)),('V06 Unidades'!$L$5:$L$98+'V06 Controlos'!$B$37))='V06 Motor'!A24),'V06 Unidades'!$H$5:$H$98-ROUND('V06 Unidades'!$H$5:$H$98*0.05,2)-ROUND('V06 Unidades'!$H$5:$H$98*0.2,2)-ROUND('V06 Unidades'!$H$5:$H$98*0.55,2))+SUMPRODUCT(--(IF(INT((IF('V06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Controlos'!$B$37)-1)/6),0)&gt;0),--('V06 Motor'!A24&gt;('V06 Unidades'!$I$5:$I$98+'V06 Controlos'!$B$37)),--('V06 Motor'!A24&lt;IF('V06 Controlos'!$B$38&gt;0,IF(('V06 Unidades'!$L$5:$L$98+'V06 Controlos'!$B$37)&lt;'V06 Motor'!C24,'V06 Motor'!C24,('V06 Unidades'!$L$5:$L$98+'V06 Controlos'!$B$37)),('V06 Unidades'!$L$5:$L$98+'V06 Controlos'!$B$37))),--(MOD('V06 Motor'!A24-('V06 Unidades'!$I$5:$I$98+'V06 Controlos'!$B$37),6)=0),--(('V06 Motor'!A24-('V06 Unidades'!$I$5:$I$98+'V06 Controlos'!$B$37))/6&lt;=IF(INT((IF('V06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Controlos'!$B$37)-1)/6),0)),IF('V06 Motor'!A24=('V06 Unidades'!$I$5:$I$98+'V06 Controlos'!$B$37)+6*IF(INT((IF('V06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Controlos'!$B$37)-1)/6),0)&gt;0,IF(INT((IF('V06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Controlos'!$B$37)-1)/6),0),1),2)*(IF(INT((IF('V06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Controlos'!$B$37)-1)/6),0)&gt;0,IF(INT((IF('V06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Controlos'!$B$37)-1)/6)&gt;0,INT((IF('V06 Controlos'!$B$38&gt;0,IF(('V06 Unidades'!$L$5:$L$98+'V06 Controlos'!$B$37)&lt;'V06 Motor'!C24,'V06 Motor'!C24,('V06 Unidades'!$L$5:$L$98+'V06 Controlos'!$B$37)),('V06 Unidades'!$L$5:$L$98+'V06 Controlos'!$B$37))-('V06 Unidades'!$I$5:$I$98+'V06 Controlos'!$B$37)-1)/6),0),1),2)))</f>
        <v>0.0</v>
      </c>
      <c r="P24" s="2">
        <f>SUM('V06 Calend 01'!AF5:AF98)</f>
        <v>0.0</v>
      </c>
    </row>
    <row r="25" spans="1:16">
      <c r="A25">
        <v>21</v>
      </c>
      <c r="C25">
        <v>30</v>
      </c>
      <c r="G25" s="2">
        <f>IF('V06 Motor'!A25&lt;='V06 Motor'!C25,SUMPRODUCT('V06 Curva'!$B$5:$B$34,IF((IF('V06 Motor'!A25*30/'V06 Motor'!C25&lt;'V06 Curva'!$A$5:$A$34,'V06 Motor'!A25*30/'V06 Motor'!C25,'V06 Curva'!$A$5:$A$34)-IF(('V06 Motor'!A25-1)*30/'V06 Motor'!C25&gt;'V06 Curva'!$A$5:$A$34-1,('V06 Motor'!A25-1)*30/'V06 Motor'!C25,'V06 Curva'!$A$5:$A$34-1))&gt;0,(IF('V06 Motor'!A25*30/'V06 Motor'!C25&lt;'V06 Curva'!$A$5:$A$34,'V06 Motor'!A25*30/'V06 Motor'!C25,'V06 Curva'!$A$5:$A$34)-IF(('V06 Motor'!A25-1)*30/'V06 Motor'!C25&gt;'V06 Curva'!$A$5:$A$34-1,('V06 Motor'!A25-1)*30/'V06 Motor'!C25,'V06 Curva'!$A$5:$A$34-1)),0)),0)</f>
        <v>0.091005</v>
      </c>
      <c r="H25" s="2">
        <f>IF('V06 Motor'!A25&lt;='V06 Motor'!C25,SUM(MAX(0,MIN('V06 Motor'!A25*30/'V06 Motor'!C25,1)-MAX(('V06 Motor'!A25-1)*30/'V06 Motor'!C25,0))*'V06 Curva'!$B$5,MAX(0,MIN('V06 Motor'!A25*30/'V06 Motor'!C25,2)-MAX(('V06 Motor'!A25-1)*30/'V06 Motor'!C25,1))*'V06 Curva'!$B$6,MAX(0,MIN('V06 Motor'!A25*30/'V06 Motor'!C25,3)-MAX(('V06 Motor'!A25-1)*30/'V06 Motor'!C25,2))*'V06 Curva'!$B$7,MAX(0,MIN('V06 Motor'!A25*30/'V06 Motor'!C25,4)-MAX(('V06 Motor'!A25-1)*30/'V06 Motor'!C25,3))*'V06 Curva'!$B$8,MAX(0,MIN('V06 Motor'!A25*30/'V06 Motor'!C25,5)-MAX(('V06 Motor'!A25-1)*30/'V06 Motor'!C25,4))*'V06 Curva'!$B$9,MAX(0,MIN('V06 Motor'!A25*30/'V06 Motor'!C25,6)-MAX(('V06 Motor'!A25-1)*30/'V06 Motor'!C25,5))*'V06 Curva'!$B$10,MAX(0,MIN('V06 Motor'!A25*30/'V06 Motor'!C25,7)-MAX(('V06 Motor'!A25-1)*30/'V06 Motor'!C25,6))*'V06 Curva'!$B$11,MAX(0,MIN('V06 Motor'!A25*30/'V06 Motor'!C25,8)-MAX(('V06 Motor'!A25-1)*30/'V06 Motor'!C25,7))*'V06 Curva'!$B$12,MAX(0,MIN('V06 Motor'!A25*30/'V06 Motor'!C25,9)-MAX(('V06 Motor'!A25-1)*30/'V06 Motor'!C25,8))*'V06 Curva'!$B$13,MAX(0,MIN('V06 Motor'!A25*30/'V06 Motor'!C25,10)-MAX(('V06 Motor'!A25-1)*30/'V06 Motor'!C25,9))*'V06 Curva'!$B$14,MAX(0,MIN('V06 Motor'!A25*30/'V06 Motor'!C25,11)-MAX(('V06 Motor'!A25-1)*30/'V06 Motor'!C25,10))*'V06 Curva'!$B$15,MAX(0,MIN('V06 Motor'!A25*30/'V06 Motor'!C25,12)-MAX(('V06 Motor'!A25-1)*30/'V06 Motor'!C25,11))*'V06 Curva'!$B$16,MAX(0,MIN('V06 Motor'!A25*30/'V06 Motor'!C25,13)-MAX(('V06 Motor'!A25-1)*30/'V06 Motor'!C25,12))*'V06 Curva'!$B$17,MAX(0,MIN('V06 Motor'!A25*30/'V06 Motor'!C25,14)-MAX(('V06 Motor'!A25-1)*30/'V06 Motor'!C25,13))*'V06 Curva'!$B$18,MAX(0,MIN('V06 Motor'!A25*30/'V06 Motor'!C25,15)-MAX(('V06 Motor'!A25-1)*30/'V06 Motor'!C25,14))*'V06 Curva'!$B$19,MAX(0,MIN('V06 Motor'!A25*30/'V06 Motor'!C25,16)-MAX(('V06 Motor'!A25-1)*30/'V06 Motor'!C25,15))*'V06 Curva'!$B$20,MAX(0,MIN('V06 Motor'!A25*30/'V06 Motor'!C25,17)-MAX(('V06 Motor'!A25-1)*30/'V06 Motor'!C25,16))*'V06 Curva'!$B$21,MAX(0,MIN('V06 Motor'!A25*30/'V06 Motor'!C25,18)-MAX(('V06 Motor'!A25-1)*30/'V06 Motor'!C25,17))*'V06 Curva'!$B$22,MAX(0,MIN('V06 Motor'!A25*30/'V06 Motor'!C25,19)-MAX(('V06 Motor'!A25-1)*30/'V06 Motor'!C25,18))*'V06 Curva'!$B$23,MAX(0,MIN('V06 Motor'!A25*30/'V06 Motor'!C25,20)-MAX(('V06 Motor'!A25-1)*30/'V06 Motor'!C25,19))*'V06 Curva'!$B$24,MAX(0,MIN('V06 Motor'!A25*30/'V06 Motor'!C25,21)-MAX(('V06 Motor'!A25-1)*30/'V06 Motor'!C25,20))*'V06 Curva'!$B$25,MAX(0,MIN('V06 Motor'!A25*30/'V06 Motor'!C25,22)-MAX(('V06 Motor'!A25-1)*30/'V06 Motor'!C25,21))*'V06 Curva'!$B$26,MAX(0,MIN('V06 Motor'!A25*30/'V06 Motor'!C25,23)-MAX(('V06 Motor'!A25-1)*30/'V06 Motor'!C25,22))*'V06 Curva'!$B$27,MAX(0,MIN('V06 Motor'!A25*30/'V06 Motor'!C25,24)-MAX(('V06 Motor'!A25-1)*30/'V06 Motor'!C25,23))*'V06 Curva'!$B$28,MAX(0,MIN('V06 Motor'!A25*30/'V06 Motor'!C25,25)-MAX(('V06 Motor'!A25-1)*30/'V06 Motor'!C25,24))*'V06 Curva'!$B$29,MAX(0,MIN('V06 Motor'!A25*30/'V06 Motor'!C25,26)-MAX(('V06 Motor'!A25-1)*30/'V06 Motor'!C25,25))*'V06 Curva'!$B$30,MAX(0,MIN('V06 Motor'!A25*30/'V06 Motor'!C25,27)-MAX(('V06 Motor'!A25-1)*30/'V06 Motor'!C25,26))*'V06 Curva'!$B$31,MAX(0,MIN('V06 Motor'!A25*30/'V06 Motor'!C25,28)-MAX(('V06 Motor'!A25-1)*30/'V06 Motor'!C25,27))*'V06 Curva'!$B$32,MAX(0,MIN('V06 Motor'!A25*30/'V06 Motor'!C25,29)-MAX(('V06 Motor'!A25-1)*30/'V06 Motor'!C25,28))*'V06 Curva'!$B$33,MAX(0,MIN('V06 Motor'!A25*30/'V06 Motor'!C25,30)-MAX(('V06 Motor'!A25-1)*30/'V06 Motor'!C25,29))*'V06 Curva'!$B$34),0)</f>
        <v>0.091005</v>
      </c>
      <c r="O25" s="2">
        <f>SUMPRODUCT(--(('V06 Unidades'!$I$5:$I$98+'V06 Controlos'!$B$37)='V06 Motor'!A25),ROUND('V06 Unidades'!$H$5:$H$98*0.05,2)+ROUND('V06 Unidades'!$H$5:$H$98*0.2,2))+SUMPRODUCT(--(IF('V06 Controlos'!$B$38&gt;0,IF(('V06 Unidades'!$L$5:$L$98+'V06 Controlos'!$B$37)&lt;'V06 Motor'!C25,'V06 Motor'!C25,('V06 Unidades'!$L$5:$L$98+'V06 Controlos'!$B$37)),('V06 Unidades'!$L$5:$L$98+'V06 Controlos'!$B$37))='V06 Motor'!A25),'V06 Unidades'!$H$5:$H$98-ROUND('V06 Unidades'!$H$5:$H$98*0.05,2)-ROUND('V06 Unidades'!$H$5:$H$98*0.2,2)-ROUND('V06 Unidades'!$H$5:$H$98*0.55,2))+SUMPRODUCT(--(IF(INT((IF('V06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Controlos'!$B$37)-1)/6),0)&gt;0),--('V06 Motor'!A25&gt;('V06 Unidades'!$I$5:$I$98+'V06 Controlos'!$B$37)),--('V06 Motor'!A25&lt;IF('V06 Controlos'!$B$38&gt;0,IF(('V06 Unidades'!$L$5:$L$98+'V06 Controlos'!$B$37)&lt;'V06 Motor'!C25,'V06 Motor'!C25,('V06 Unidades'!$L$5:$L$98+'V06 Controlos'!$B$37)),('V06 Unidades'!$L$5:$L$98+'V06 Controlos'!$B$37))),--(MOD('V06 Motor'!A25-('V06 Unidades'!$I$5:$I$98+'V06 Controlos'!$B$37),6)=0),--(('V06 Motor'!A25-('V06 Unidades'!$I$5:$I$98+'V06 Controlos'!$B$37))/6&lt;=IF(INT((IF('V06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Controlos'!$B$37)-1)/6),0)),IF('V06 Motor'!A25=('V06 Unidades'!$I$5:$I$98+'V06 Controlos'!$B$37)+6*IF(INT((IF('V06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Controlos'!$B$37)-1)/6),0)&gt;0,IF(INT((IF('V06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Controlos'!$B$37)-1)/6),0),1),2)*(IF(INT((IF('V06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Controlos'!$B$37)-1)/6),0)&gt;0,IF(INT((IF('V06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Controlos'!$B$37)-1)/6)&gt;0,INT((IF('V06 Controlos'!$B$38&gt;0,IF(('V06 Unidades'!$L$5:$L$98+'V06 Controlos'!$B$37)&lt;'V06 Motor'!C25,'V06 Motor'!C25,('V06 Unidades'!$L$5:$L$98+'V06 Controlos'!$B$37)),('V06 Unidades'!$L$5:$L$98+'V06 Controlos'!$B$37))-('V06 Unidades'!$I$5:$I$98+'V06 Controlos'!$B$37)-1)/6),0),1),2)))</f>
        <v>0.0</v>
      </c>
      <c r="P25" s="2">
        <f>SUM('V06 Calend 01'!AG5:AG98)</f>
        <v>0.0</v>
      </c>
    </row>
    <row r="26" spans="1:16">
      <c r="A26">
        <v>22</v>
      </c>
      <c r="C26">
        <v>30</v>
      </c>
      <c r="G26" s="2">
        <f>IF('V06 Motor'!A26&lt;='V06 Motor'!C26,SUMPRODUCT('V06 Curva'!$B$5:$B$34,IF((IF('V06 Motor'!A26*30/'V06 Motor'!C26&lt;'V06 Curva'!$A$5:$A$34,'V06 Motor'!A26*30/'V06 Motor'!C26,'V06 Curva'!$A$5:$A$34)-IF(('V06 Motor'!A26-1)*30/'V06 Motor'!C26&gt;'V06 Curva'!$A$5:$A$34-1,('V06 Motor'!A26-1)*30/'V06 Motor'!C26,'V06 Curva'!$A$5:$A$34-1))&gt;0,(IF('V06 Motor'!A26*30/'V06 Motor'!C26&lt;'V06 Curva'!$A$5:$A$34,'V06 Motor'!A26*30/'V06 Motor'!C26,'V06 Curva'!$A$5:$A$34)-IF(('V06 Motor'!A26-1)*30/'V06 Motor'!C26&gt;'V06 Curva'!$A$5:$A$34-1,('V06 Motor'!A26-1)*30/'V06 Motor'!C26,'V06 Curva'!$A$5:$A$34-1)),0)),0)</f>
        <v>0.06596</v>
      </c>
      <c r="H26" s="2">
        <f>IF('V06 Motor'!A26&lt;='V06 Motor'!C26,SUM(MAX(0,MIN('V06 Motor'!A26*30/'V06 Motor'!C26,1)-MAX(('V06 Motor'!A26-1)*30/'V06 Motor'!C26,0))*'V06 Curva'!$B$5,MAX(0,MIN('V06 Motor'!A26*30/'V06 Motor'!C26,2)-MAX(('V06 Motor'!A26-1)*30/'V06 Motor'!C26,1))*'V06 Curva'!$B$6,MAX(0,MIN('V06 Motor'!A26*30/'V06 Motor'!C26,3)-MAX(('V06 Motor'!A26-1)*30/'V06 Motor'!C26,2))*'V06 Curva'!$B$7,MAX(0,MIN('V06 Motor'!A26*30/'V06 Motor'!C26,4)-MAX(('V06 Motor'!A26-1)*30/'V06 Motor'!C26,3))*'V06 Curva'!$B$8,MAX(0,MIN('V06 Motor'!A26*30/'V06 Motor'!C26,5)-MAX(('V06 Motor'!A26-1)*30/'V06 Motor'!C26,4))*'V06 Curva'!$B$9,MAX(0,MIN('V06 Motor'!A26*30/'V06 Motor'!C26,6)-MAX(('V06 Motor'!A26-1)*30/'V06 Motor'!C26,5))*'V06 Curva'!$B$10,MAX(0,MIN('V06 Motor'!A26*30/'V06 Motor'!C26,7)-MAX(('V06 Motor'!A26-1)*30/'V06 Motor'!C26,6))*'V06 Curva'!$B$11,MAX(0,MIN('V06 Motor'!A26*30/'V06 Motor'!C26,8)-MAX(('V06 Motor'!A26-1)*30/'V06 Motor'!C26,7))*'V06 Curva'!$B$12,MAX(0,MIN('V06 Motor'!A26*30/'V06 Motor'!C26,9)-MAX(('V06 Motor'!A26-1)*30/'V06 Motor'!C26,8))*'V06 Curva'!$B$13,MAX(0,MIN('V06 Motor'!A26*30/'V06 Motor'!C26,10)-MAX(('V06 Motor'!A26-1)*30/'V06 Motor'!C26,9))*'V06 Curva'!$B$14,MAX(0,MIN('V06 Motor'!A26*30/'V06 Motor'!C26,11)-MAX(('V06 Motor'!A26-1)*30/'V06 Motor'!C26,10))*'V06 Curva'!$B$15,MAX(0,MIN('V06 Motor'!A26*30/'V06 Motor'!C26,12)-MAX(('V06 Motor'!A26-1)*30/'V06 Motor'!C26,11))*'V06 Curva'!$B$16,MAX(0,MIN('V06 Motor'!A26*30/'V06 Motor'!C26,13)-MAX(('V06 Motor'!A26-1)*30/'V06 Motor'!C26,12))*'V06 Curva'!$B$17,MAX(0,MIN('V06 Motor'!A26*30/'V06 Motor'!C26,14)-MAX(('V06 Motor'!A26-1)*30/'V06 Motor'!C26,13))*'V06 Curva'!$B$18,MAX(0,MIN('V06 Motor'!A26*30/'V06 Motor'!C26,15)-MAX(('V06 Motor'!A26-1)*30/'V06 Motor'!C26,14))*'V06 Curva'!$B$19,MAX(0,MIN('V06 Motor'!A26*30/'V06 Motor'!C26,16)-MAX(('V06 Motor'!A26-1)*30/'V06 Motor'!C26,15))*'V06 Curva'!$B$20,MAX(0,MIN('V06 Motor'!A26*30/'V06 Motor'!C26,17)-MAX(('V06 Motor'!A26-1)*30/'V06 Motor'!C26,16))*'V06 Curva'!$B$21,MAX(0,MIN('V06 Motor'!A26*30/'V06 Motor'!C26,18)-MAX(('V06 Motor'!A26-1)*30/'V06 Motor'!C26,17))*'V06 Curva'!$B$22,MAX(0,MIN('V06 Motor'!A26*30/'V06 Motor'!C26,19)-MAX(('V06 Motor'!A26-1)*30/'V06 Motor'!C26,18))*'V06 Curva'!$B$23,MAX(0,MIN('V06 Motor'!A26*30/'V06 Motor'!C26,20)-MAX(('V06 Motor'!A26-1)*30/'V06 Motor'!C26,19))*'V06 Curva'!$B$24,MAX(0,MIN('V06 Motor'!A26*30/'V06 Motor'!C26,21)-MAX(('V06 Motor'!A26-1)*30/'V06 Motor'!C26,20))*'V06 Curva'!$B$25,MAX(0,MIN('V06 Motor'!A26*30/'V06 Motor'!C26,22)-MAX(('V06 Motor'!A26-1)*30/'V06 Motor'!C26,21))*'V06 Curva'!$B$26,MAX(0,MIN('V06 Motor'!A26*30/'V06 Motor'!C26,23)-MAX(('V06 Motor'!A26-1)*30/'V06 Motor'!C26,22))*'V06 Curva'!$B$27,MAX(0,MIN('V06 Motor'!A26*30/'V06 Motor'!C26,24)-MAX(('V06 Motor'!A26-1)*30/'V06 Motor'!C26,23))*'V06 Curva'!$B$28,MAX(0,MIN('V06 Motor'!A26*30/'V06 Motor'!C26,25)-MAX(('V06 Motor'!A26-1)*30/'V06 Motor'!C26,24))*'V06 Curva'!$B$29,MAX(0,MIN('V06 Motor'!A26*30/'V06 Motor'!C26,26)-MAX(('V06 Motor'!A26-1)*30/'V06 Motor'!C26,25))*'V06 Curva'!$B$30,MAX(0,MIN('V06 Motor'!A26*30/'V06 Motor'!C26,27)-MAX(('V06 Motor'!A26-1)*30/'V06 Motor'!C26,26))*'V06 Curva'!$B$31,MAX(0,MIN('V06 Motor'!A26*30/'V06 Motor'!C26,28)-MAX(('V06 Motor'!A26-1)*30/'V06 Motor'!C26,27))*'V06 Curva'!$B$32,MAX(0,MIN('V06 Motor'!A26*30/'V06 Motor'!C26,29)-MAX(('V06 Motor'!A26-1)*30/'V06 Motor'!C26,28))*'V06 Curva'!$B$33,MAX(0,MIN('V06 Motor'!A26*30/'V06 Motor'!C26,30)-MAX(('V06 Motor'!A26-1)*30/'V06 Motor'!C26,29))*'V06 Curva'!$B$34),0)</f>
        <v>0.06596</v>
      </c>
      <c r="O26" s="2">
        <f>SUMPRODUCT(--(('V06 Unidades'!$I$5:$I$98+'V06 Controlos'!$B$37)='V06 Motor'!A26),ROUND('V06 Unidades'!$H$5:$H$98*0.05,2)+ROUND('V06 Unidades'!$H$5:$H$98*0.2,2))+SUMPRODUCT(--(IF('V06 Controlos'!$B$38&gt;0,IF(('V06 Unidades'!$L$5:$L$98+'V06 Controlos'!$B$37)&lt;'V06 Motor'!C26,'V06 Motor'!C26,('V06 Unidades'!$L$5:$L$98+'V06 Controlos'!$B$37)),('V06 Unidades'!$L$5:$L$98+'V06 Controlos'!$B$37))='V06 Motor'!A26),'V06 Unidades'!$H$5:$H$98-ROUND('V06 Unidades'!$H$5:$H$98*0.05,2)-ROUND('V06 Unidades'!$H$5:$H$98*0.2,2)-ROUND('V06 Unidades'!$H$5:$H$98*0.55,2))+SUMPRODUCT(--(IF(INT((IF('V06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Controlos'!$B$37)-1)/6),0)&gt;0),--('V06 Motor'!A26&gt;('V06 Unidades'!$I$5:$I$98+'V06 Controlos'!$B$37)),--('V06 Motor'!A26&lt;IF('V06 Controlos'!$B$38&gt;0,IF(('V06 Unidades'!$L$5:$L$98+'V06 Controlos'!$B$37)&lt;'V06 Motor'!C26,'V06 Motor'!C26,('V06 Unidades'!$L$5:$L$98+'V06 Controlos'!$B$37)),('V06 Unidades'!$L$5:$L$98+'V06 Controlos'!$B$37))),--(MOD('V06 Motor'!A26-('V06 Unidades'!$I$5:$I$98+'V06 Controlos'!$B$37),6)=0),--(('V06 Motor'!A26-('V06 Unidades'!$I$5:$I$98+'V06 Controlos'!$B$37))/6&lt;=IF(INT((IF('V06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Controlos'!$B$37)-1)/6),0)),IF('V06 Motor'!A26=('V06 Unidades'!$I$5:$I$98+'V06 Controlos'!$B$37)+6*IF(INT((IF('V06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Controlos'!$B$37)-1)/6),0)&gt;0,IF(INT((IF('V06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Controlos'!$B$37)-1)/6),0),1),2)*(IF(INT((IF('V06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Controlos'!$B$37)-1)/6),0)&gt;0,IF(INT((IF('V06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Controlos'!$B$37)-1)/6)&gt;0,INT((IF('V06 Controlos'!$B$38&gt;0,IF(('V06 Unidades'!$L$5:$L$98+'V06 Controlos'!$B$37)&lt;'V06 Motor'!C26,'V06 Motor'!C26,('V06 Unidades'!$L$5:$L$98+'V06 Controlos'!$B$37)),('V06 Unidades'!$L$5:$L$98+'V06 Controlos'!$B$37))-('V06 Unidades'!$I$5:$I$98+'V06 Controlos'!$B$37)-1)/6),0),1),2)))</f>
        <v>7098298.25</v>
      </c>
      <c r="P26" s="2">
        <f>SUM('V06 Calend 01'!AH5:AH98)</f>
        <v>7098298.25</v>
      </c>
    </row>
    <row r="27" spans="1:16">
      <c r="A27">
        <v>23</v>
      </c>
      <c r="C27">
        <v>30</v>
      </c>
      <c r="G27" s="2">
        <f>IF('V06 Motor'!A27&lt;='V06 Motor'!C27,SUMPRODUCT('V06 Curva'!$B$5:$B$34,IF((IF('V06 Motor'!A27*30/'V06 Motor'!C27&lt;'V06 Curva'!$A$5:$A$34,'V06 Motor'!A27*30/'V06 Motor'!C27,'V06 Curva'!$A$5:$A$34)-IF(('V06 Motor'!A27-1)*30/'V06 Motor'!C27&gt;'V06 Curva'!$A$5:$A$34-1,('V06 Motor'!A27-1)*30/'V06 Motor'!C27,'V06 Curva'!$A$5:$A$34-1))&gt;0,(IF('V06 Motor'!A27*30/'V06 Motor'!C27&lt;'V06 Curva'!$A$5:$A$34,'V06 Motor'!A27*30/'V06 Motor'!C27,'V06 Curva'!$A$5:$A$34)-IF(('V06 Motor'!A27-1)*30/'V06 Motor'!C27&gt;'V06 Curva'!$A$5:$A$34-1,('V06 Motor'!A27-1)*30/'V06 Motor'!C27,'V06 Curva'!$A$5:$A$34-1)),0)),0)</f>
        <v>0.0369</v>
      </c>
      <c r="H27" s="2">
        <f>IF('V06 Motor'!A27&lt;='V06 Motor'!C27,SUM(MAX(0,MIN('V06 Motor'!A27*30/'V06 Motor'!C27,1)-MAX(('V06 Motor'!A27-1)*30/'V06 Motor'!C27,0))*'V06 Curva'!$B$5,MAX(0,MIN('V06 Motor'!A27*30/'V06 Motor'!C27,2)-MAX(('V06 Motor'!A27-1)*30/'V06 Motor'!C27,1))*'V06 Curva'!$B$6,MAX(0,MIN('V06 Motor'!A27*30/'V06 Motor'!C27,3)-MAX(('V06 Motor'!A27-1)*30/'V06 Motor'!C27,2))*'V06 Curva'!$B$7,MAX(0,MIN('V06 Motor'!A27*30/'V06 Motor'!C27,4)-MAX(('V06 Motor'!A27-1)*30/'V06 Motor'!C27,3))*'V06 Curva'!$B$8,MAX(0,MIN('V06 Motor'!A27*30/'V06 Motor'!C27,5)-MAX(('V06 Motor'!A27-1)*30/'V06 Motor'!C27,4))*'V06 Curva'!$B$9,MAX(0,MIN('V06 Motor'!A27*30/'V06 Motor'!C27,6)-MAX(('V06 Motor'!A27-1)*30/'V06 Motor'!C27,5))*'V06 Curva'!$B$10,MAX(0,MIN('V06 Motor'!A27*30/'V06 Motor'!C27,7)-MAX(('V06 Motor'!A27-1)*30/'V06 Motor'!C27,6))*'V06 Curva'!$B$11,MAX(0,MIN('V06 Motor'!A27*30/'V06 Motor'!C27,8)-MAX(('V06 Motor'!A27-1)*30/'V06 Motor'!C27,7))*'V06 Curva'!$B$12,MAX(0,MIN('V06 Motor'!A27*30/'V06 Motor'!C27,9)-MAX(('V06 Motor'!A27-1)*30/'V06 Motor'!C27,8))*'V06 Curva'!$B$13,MAX(0,MIN('V06 Motor'!A27*30/'V06 Motor'!C27,10)-MAX(('V06 Motor'!A27-1)*30/'V06 Motor'!C27,9))*'V06 Curva'!$B$14,MAX(0,MIN('V06 Motor'!A27*30/'V06 Motor'!C27,11)-MAX(('V06 Motor'!A27-1)*30/'V06 Motor'!C27,10))*'V06 Curva'!$B$15,MAX(0,MIN('V06 Motor'!A27*30/'V06 Motor'!C27,12)-MAX(('V06 Motor'!A27-1)*30/'V06 Motor'!C27,11))*'V06 Curva'!$B$16,MAX(0,MIN('V06 Motor'!A27*30/'V06 Motor'!C27,13)-MAX(('V06 Motor'!A27-1)*30/'V06 Motor'!C27,12))*'V06 Curva'!$B$17,MAX(0,MIN('V06 Motor'!A27*30/'V06 Motor'!C27,14)-MAX(('V06 Motor'!A27-1)*30/'V06 Motor'!C27,13))*'V06 Curva'!$B$18,MAX(0,MIN('V06 Motor'!A27*30/'V06 Motor'!C27,15)-MAX(('V06 Motor'!A27-1)*30/'V06 Motor'!C27,14))*'V06 Curva'!$B$19,MAX(0,MIN('V06 Motor'!A27*30/'V06 Motor'!C27,16)-MAX(('V06 Motor'!A27-1)*30/'V06 Motor'!C27,15))*'V06 Curva'!$B$20,MAX(0,MIN('V06 Motor'!A27*30/'V06 Motor'!C27,17)-MAX(('V06 Motor'!A27-1)*30/'V06 Motor'!C27,16))*'V06 Curva'!$B$21,MAX(0,MIN('V06 Motor'!A27*30/'V06 Motor'!C27,18)-MAX(('V06 Motor'!A27-1)*30/'V06 Motor'!C27,17))*'V06 Curva'!$B$22,MAX(0,MIN('V06 Motor'!A27*30/'V06 Motor'!C27,19)-MAX(('V06 Motor'!A27-1)*30/'V06 Motor'!C27,18))*'V06 Curva'!$B$23,MAX(0,MIN('V06 Motor'!A27*30/'V06 Motor'!C27,20)-MAX(('V06 Motor'!A27-1)*30/'V06 Motor'!C27,19))*'V06 Curva'!$B$24,MAX(0,MIN('V06 Motor'!A27*30/'V06 Motor'!C27,21)-MAX(('V06 Motor'!A27-1)*30/'V06 Motor'!C27,20))*'V06 Curva'!$B$25,MAX(0,MIN('V06 Motor'!A27*30/'V06 Motor'!C27,22)-MAX(('V06 Motor'!A27-1)*30/'V06 Motor'!C27,21))*'V06 Curva'!$B$26,MAX(0,MIN('V06 Motor'!A27*30/'V06 Motor'!C27,23)-MAX(('V06 Motor'!A27-1)*30/'V06 Motor'!C27,22))*'V06 Curva'!$B$27,MAX(0,MIN('V06 Motor'!A27*30/'V06 Motor'!C27,24)-MAX(('V06 Motor'!A27-1)*30/'V06 Motor'!C27,23))*'V06 Curva'!$B$28,MAX(0,MIN('V06 Motor'!A27*30/'V06 Motor'!C27,25)-MAX(('V06 Motor'!A27-1)*30/'V06 Motor'!C27,24))*'V06 Curva'!$B$29,MAX(0,MIN('V06 Motor'!A27*30/'V06 Motor'!C27,26)-MAX(('V06 Motor'!A27-1)*30/'V06 Motor'!C27,25))*'V06 Curva'!$B$30,MAX(0,MIN('V06 Motor'!A27*30/'V06 Motor'!C27,27)-MAX(('V06 Motor'!A27-1)*30/'V06 Motor'!C27,26))*'V06 Curva'!$B$31,MAX(0,MIN('V06 Motor'!A27*30/'V06 Motor'!C27,28)-MAX(('V06 Motor'!A27-1)*30/'V06 Motor'!C27,27))*'V06 Curva'!$B$32,MAX(0,MIN('V06 Motor'!A27*30/'V06 Motor'!C27,29)-MAX(('V06 Motor'!A27-1)*30/'V06 Motor'!C27,28))*'V06 Curva'!$B$33,MAX(0,MIN('V06 Motor'!A27*30/'V06 Motor'!C27,30)-MAX(('V06 Motor'!A27-1)*30/'V06 Motor'!C27,29))*'V06 Curva'!$B$34),0)</f>
        <v>0.0369</v>
      </c>
      <c r="O27" s="2">
        <f>SUMPRODUCT(--(('V06 Unidades'!$I$5:$I$98+'V06 Controlos'!$B$37)='V06 Motor'!A27),ROUND('V06 Unidades'!$H$5:$H$98*0.05,2)+ROUND('V06 Unidades'!$H$5:$H$98*0.2,2))+SUMPRODUCT(--(IF('V06 Controlos'!$B$38&gt;0,IF(('V06 Unidades'!$L$5:$L$98+'V06 Controlos'!$B$37)&lt;'V06 Motor'!C27,'V06 Motor'!C27,('V06 Unidades'!$L$5:$L$98+'V06 Controlos'!$B$37)),('V06 Unidades'!$L$5:$L$98+'V06 Controlos'!$B$37))='V06 Motor'!A27),'V06 Unidades'!$H$5:$H$98-ROUND('V06 Unidades'!$H$5:$H$98*0.05,2)-ROUND('V06 Unidades'!$H$5:$H$98*0.2,2)-ROUND('V06 Unidades'!$H$5:$H$98*0.55,2))+SUMPRODUCT(--(IF(INT((IF('V06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Controlos'!$B$37)-1)/6),0)&gt;0),--('V06 Motor'!A27&gt;('V06 Unidades'!$I$5:$I$98+'V06 Controlos'!$B$37)),--('V06 Motor'!A27&lt;IF('V06 Controlos'!$B$38&gt;0,IF(('V06 Unidades'!$L$5:$L$98+'V06 Controlos'!$B$37)&lt;'V06 Motor'!C27,'V06 Motor'!C27,('V06 Unidades'!$L$5:$L$98+'V06 Controlos'!$B$37)),('V06 Unidades'!$L$5:$L$98+'V06 Controlos'!$B$37))),--(MOD('V06 Motor'!A27-('V06 Unidades'!$I$5:$I$98+'V06 Controlos'!$B$37),6)=0),--(('V06 Motor'!A27-('V06 Unidades'!$I$5:$I$98+'V06 Controlos'!$B$37))/6&lt;=IF(INT((IF('V06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Controlos'!$B$37)-1)/6),0)),IF('V06 Motor'!A27=('V06 Unidades'!$I$5:$I$98+'V06 Controlos'!$B$37)+6*IF(INT((IF('V06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Controlos'!$B$37)-1)/6),0)&gt;0,IF(INT((IF('V06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Controlos'!$B$37)-1)/6),0),1),2)*(IF(INT((IF('V06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Controlos'!$B$37)-1)/6),0)&gt;0,IF(INT((IF('V06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Controlos'!$B$37)-1)/6)&gt;0,INT((IF('V06 Controlos'!$B$38&gt;0,IF(('V06 Unidades'!$L$5:$L$98+'V06 Controlos'!$B$37)&lt;'V06 Motor'!C27,'V06 Motor'!C27,('V06 Unidades'!$L$5:$L$98+'V06 Controlos'!$B$37)),('V06 Unidades'!$L$5:$L$98+'V06 Controlos'!$B$37))-('V06 Unidades'!$I$5:$I$98+'V06 Controlos'!$B$37)-1)/6),0),1),2)))</f>
        <v>0.0</v>
      </c>
      <c r="P27" s="2">
        <f>SUM('V06 Calend 01'!AI5:AI98)</f>
        <v>0.0</v>
      </c>
    </row>
    <row r="28" spans="1:16">
      <c r="A28">
        <v>24</v>
      </c>
      <c r="C28">
        <v>30</v>
      </c>
      <c r="G28" s="2">
        <f>IF('V06 Motor'!A28&lt;='V06 Motor'!C28,SUMPRODUCT('V06 Curva'!$B$5:$B$34,IF((IF('V06 Motor'!A28*30/'V06 Motor'!C28&lt;'V06 Curva'!$A$5:$A$34,'V06 Motor'!A28*30/'V06 Motor'!C28,'V06 Curva'!$A$5:$A$34)-IF(('V06 Motor'!A28-1)*30/'V06 Motor'!C28&gt;'V06 Curva'!$A$5:$A$34-1,('V06 Motor'!A28-1)*30/'V06 Motor'!C28,'V06 Curva'!$A$5:$A$34-1))&gt;0,(IF('V06 Motor'!A28*30/'V06 Motor'!C28&lt;'V06 Curva'!$A$5:$A$34,'V06 Motor'!A28*30/'V06 Motor'!C28,'V06 Curva'!$A$5:$A$34)-IF(('V06 Motor'!A28-1)*30/'V06 Motor'!C28&gt;'V06 Curva'!$A$5:$A$34-1,('V06 Motor'!A28-1)*30/'V06 Motor'!C28,'V06 Curva'!$A$5:$A$34-1)),0)),0)</f>
        <v>0.0541</v>
      </c>
      <c r="H28" s="2">
        <f>IF('V06 Motor'!A28&lt;='V06 Motor'!C28,SUM(MAX(0,MIN('V06 Motor'!A28*30/'V06 Motor'!C28,1)-MAX(('V06 Motor'!A28-1)*30/'V06 Motor'!C28,0))*'V06 Curva'!$B$5,MAX(0,MIN('V06 Motor'!A28*30/'V06 Motor'!C28,2)-MAX(('V06 Motor'!A28-1)*30/'V06 Motor'!C28,1))*'V06 Curva'!$B$6,MAX(0,MIN('V06 Motor'!A28*30/'V06 Motor'!C28,3)-MAX(('V06 Motor'!A28-1)*30/'V06 Motor'!C28,2))*'V06 Curva'!$B$7,MAX(0,MIN('V06 Motor'!A28*30/'V06 Motor'!C28,4)-MAX(('V06 Motor'!A28-1)*30/'V06 Motor'!C28,3))*'V06 Curva'!$B$8,MAX(0,MIN('V06 Motor'!A28*30/'V06 Motor'!C28,5)-MAX(('V06 Motor'!A28-1)*30/'V06 Motor'!C28,4))*'V06 Curva'!$B$9,MAX(0,MIN('V06 Motor'!A28*30/'V06 Motor'!C28,6)-MAX(('V06 Motor'!A28-1)*30/'V06 Motor'!C28,5))*'V06 Curva'!$B$10,MAX(0,MIN('V06 Motor'!A28*30/'V06 Motor'!C28,7)-MAX(('V06 Motor'!A28-1)*30/'V06 Motor'!C28,6))*'V06 Curva'!$B$11,MAX(0,MIN('V06 Motor'!A28*30/'V06 Motor'!C28,8)-MAX(('V06 Motor'!A28-1)*30/'V06 Motor'!C28,7))*'V06 Curva'!$B$12,MAX(0,MIN('V06 Motor'!A28*30/'V06 Motor'!C28,9)-MAX(('V06 Motor'!A28-1)*30/'V06 Motor'!C28,8))*'V06 Curva'!$B$13,MAX(0,MIN('V06 Motor'!A28*30/'V06 Motor'!C28,10)-MAX(('V06 Motor'!A28-1)*30/'V06 Motor'!C28,9))*'V06 Curva'!$B$14,MAX(0,MIN('V06 Motor'!A28*30/'V06 Motor'!C28,11)-MAX(('V06 Motor'!A28-1)*30/'V06 Motor'!C28,10))*'V06 Curva'!$B$15,MAX(0,MIN('V06 Motor'!A28*30/'V06 Motor'!C28,12)-MAX(('V06 Motor'!A28-1)*30/'V06 Motor'!C28,11))*'V06 Curva'!$B$16,MAX(0,MIN('V06 Motor'!A28*30/'V06 Motor'!C28,13)-MAX(('V06 Motor'!A28-1)*30/'V06 Motor'!C28,12))*'V06 Curva'!$B$17,MAX(0,MIN('V06 Motor'!A28*30/'V06 Motor'!C28,14)-MAX(('V06 Motor'!A28-1)*30/'V06 Motor'!C28,13))*'V06 Curva'!$B$18,MAX(0,MIN('V06 Motor'!A28*30/'V06 Motor'!C28,15)-MAX(('V06 Motor'!A28-1)*30/'V06 Motor'!C28,14))*'V06 Curva'!$B$19,MAX(0,MIN('V06 Motor'!A28*30/'V06 Motor'!C28,16)-MAX(('V06 Motor'!A28-1)*30/'V06 Motor'!C28,15))*'V06 Curva'!$B$20,MAX(0,MIN('V06 Motor'!A28*30/'V06 Motor'!C28,17)-MAX(('V06 Motor'!A28-1)*30/'V06 Motor'!C28,16))*'V06 Curva'!$B$21,MAX(0,MIN('V06 Motor'!A28*30/'V06 Motor'!C28,18)-MAX(('V06 Motor'!A28-1)*30/'V06 Motor'!C28,17))*'V06 Curva'!$B$22,MAX(0,MIN('V06 Motor'!A28*30/'V06 Motor'!C28,19)-MAX(('V06 Motor'!A28-1)*30/'V06 Motor'!C28,18))*'V06 Curva'!$B$23,MAX(0,MIN('V06 Motor'!A28*30/'V06 Motor'!C28,20)-MAX(('V06 Motor'!A28-1)*30/'V06 Motor'!C28,19))*'V06 Curva'!$B$24,MAX(0,MIN('V06 Motor'!A28*30/'V06 Motor'!C28,21)-MAX(('V06 Motor'!A28-1)*30/'V06 Motor'!C28,20))*'V06 Curva'!$B$25,MAX(0,MIN('V06 Motor'!A28*30/'V06 Motor'!C28,22)-MAX(('V06 Motor'!A28-1)*30/'V06 Motor'!C28,21))*'V06 Curva'!$B$26,MAX(0,MIN('V06 Motor'!A28*30/'V06 Motor'!C28,23)-MAX(('V06 Motor'!A28-1)*30/'V06 Motor'!C28,22))*'V06 Curva'!$B$27,MAX(0,MIN('V06 Motor'!A28*30/'V06 Motor'!C28,24)-MAX(('V06 Motor'!A28-1)*30/'V06 Motor'!C28,23))*'V06 Curva'!$B$28,MAX(0,MIN('V06 Motor'!A28*30/'V06 Motor'!C28,25)-MAX(('V06 Motor'!A28-1)*30/'V06 Motor'!C28,24))*'V06 Curva'!$B$29,MAX(0,MIN('V06 Motor'!A28*30/'V06 Motor'!C28,26)-MAX(('V06 Motor'!A28-1)*30/'V06 Motor'!C28,25))*'V06 Curva'!$B$30,MAX(0,MIN('V06 Motor'!A28*30/'V06 Motor'!C28,27)-MAX(('V06 Motor'!A28-1)*30/'V06 Motor'!C28,26))*'V06 Curva'!$B$31,MAX(0,MIN('V06 Motor'!A28*30/'V06 Motor'!C28,28)-MAX(('V06 Motor'!A28-1)*30/'V06 Motor'!C28,27))*'V06 Curva'!$B$32,MAX(0,MIN('V06 Motor'!A28*30/'V06 Motor'!C28,29)-MAX(('V06 Motor'!A28-1)*30/'V06 Motor'!C28,28))*'V06 Curva'!$B$33,MAX(0,MIN('V06 Motor'!A28*30/'V06 Motor'!C28,30)-MAX(('V06 Motor'!A28-1)*30/'V06 Motor'!C28,29))*'V06 Curva'!$B$34),0)</f>
        <v>0.0541</v>
      </c>
      <c r="O28" s="2">
        <f>SUMPRODUCT(--(('V06 Unidades'!$I$5:$I$98+'V06 Controlos'!$B$37)='V06 Motor'!A28),ROUND('V06 Unidades'!$H$5:$H$98*0.05,2)+ROUND('V06 Unidades'!$H$5:$H$98*0.2,2))+SUMPRODUCT(--(IF('V06 Controlos'!$B$38&gt;0,IF(('V06 Unidades'!$L$5:$L$98+'V06 Controlos'!$B$37)&lt;'V06 Motor'!C28,'V06 Motor'!C28,('V06 Unidades'!$L$5:$L$98+'V06 Controlos'!$B$37)),('V06 Unidades'!$L$5:$L$98+'V06 Controlos'!$B$37))='V06 Motor'!A28),'V06 Unidades'!$H$5:$H$98-ROUND('V06 Unidades'!$H$5:$H$98*0.05,2)-ROUND('V06 Unidades'!$H$5:$H$98*0.2,2)-ROUND('V06 Unidades'!$H$5:$H$98*0.55,2))+SUMPRODUCT(--(IF(INT((IF('V06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Controlos'!$B$37)-1)/6),0)&gt;0),--('V06 Motor'!A28&gt;('V06 Unidades'!$I$5:$I$98+'V06 Controlos'!$B$37)),--('V06 Motor'!A28&lt;IF('V06 Controlos'!$B$38&gt;0,IF(('V06 Unidades'!$L$5:$L$98+'V06 Controlos'!$B$37)&lt;'V06 Motor'!C28,'V06 Motor'!C28,('V06 Unidades'!$L$5:$L$98+'V06 Controlos'!$B$37)),('V06 Unidades'!$L$5:$L$98+'V06 Controlos'!$B$37))),--(MOD('V06 Motor'!A28-('V06 Unidades'!$I$5:$I$98+'V06 Controlos'!$B$37),6)=0),--(('V06 Motor'!A28-('V06 Unidades'!$I$5:$I$98+'V06 Controlos'!$B$37))/6&lt;=IF(INT((IF('V06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Controlos'!$B$37)-1)/6),0)),IF('V06 Motor'!A28=('V06 Unidades'!$I$5:$I$98+'V06 Controlos'!$B$37)+6*IF(INT((IF('V06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Controlos'!$B$37)-1)/6),0)&gt;0,IF(INT((IF('V06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Controlos'!$B$37)-1)/6),0),1),2)*(IF(INT((IF('V06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Controlos'!$B$37)-1)/6),0)&gt;0,IF(INT((IF('V06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Controlos'!$B$37)-1)/6)&gt;0,INT((IF('V06 Controlos'!$B$38&gt;0,IF(('V06 Unidades'!$L$5:$L$98+'V06 Controlos'!$B$37)&lt;'V06 Motor'!C28,'V06 Motor'!C28,('V06 Unidades'!$L$5:$L$98+'V06 Controlos'!$B$37)),('V06 Unidades'!$L$5:$L$98+'V06 Controlos'!$B$37))-('V06 Unidades'!$I$5:$I$98+'V06 Controlos'!$B$37)-1)/6),0),1),2)))</f>
        <v>0.0</v>
      </c>
      <c r="P28" s="2">
        <f>SUM('V06 Calend 01'!AJ5:AJ98)</f>
        <v>0.0</v>
      </c>
    </row>
    <row r="29" spans="1:16">
      <c r="A29">
        <v>25</v>
      </c>
      <c r="C29">
        <v>30</v>
      </c>
      <c r="G29" s="2">
        <f>IF('V06 Motor'!A29&lt;='V06 Motor'!C29,SUMPRODUCT('V06 Curva'!$B$5:$B$34,IF((IF('V06 Motor'!A29*30/'V06 Motor'!C29&lt;'V06 Curva'!$A$5:$A$34,'V06 Motor'!A29*30/'V06 Motor'!C29,'V06 Curva'!$A$5:$A$34)-IF(('V06 Motor'!A29-1)*30/'V06 Motor'!C29&gt;'V06 Curva'!$A$5:$A$34-1,('V06 Motor'!A29-1)*30/'V06 Motor'!C29,'V06 Curva'!$A$5:$A$34-1))&gt;0,(IF('V06 Motor'!A29*30/'V06 Motor'!C29&lt;'V06 Curva'!$A$5:$A$34,'V06 Motor'!A29*30/'V06 Motor'!C29,'V06 Curva'!$A$5:$A$34)-IF(('V06 Motor'!A29-1)*30/'V06 Motor'!C29&gt;'V06 Curva'!$A$5:$A$34-1,('V06 Motor'!A29-1)*30/'V06 Motor'!C29,'V06 Curva'!$A$5:$A$34-1)),0)),0)</f>
        <v>0.05755</v>
      </c>
      <c r="H29" s="2">
        <f>IF('V06 Motor'!A29&lt;='V06 Motor'!C29,SUM(MAX(0,MIN('V06 Motor'!A29*30/'V06 Motor'!C29,1)-MAX(('V06 Motor'!A29-1)*30/'V06 Motor'!C29,0))*'V06 Curva'!$B$5,MAX(0,MIN('V06 Motor'!A29*30/'V06 Motor'!C29,2)-MAX(('V06 Motor'!A29-1)*30/'V06 Motor'!C29,1))*'V06 Curva'!$B$6,MAX(0,MIN('V06 Motor'!A29*30/'V06 Motor'!C29,3)-MAX(('V06 Motor'!A29-1)*30/'V06 Motor'!C29,2))*'V06 Curva'!$B$7,MAX(0,MIN('V06 Motor'!A29*30/'V06 Motor'!C29,4)-MAX(('V06 Motor'!A29-1)*30/'V06 Motor'!C29,3))*'V06 Curva'!$B$8,MAX(0,MIN('V06 Motor'!A29*30/'V06 Motor'!C29,5)-MAX(('V06 Motor'!A29-1)*30/'V06 Motor'!C29,4))*'V06 Curva'!$B$9,MAX(0,MIN('V06 Motor'!A29*30/'V06 Motor'!C29,6)-MAX(('V06 Motor'!A29-1)*30/'V06 Motor'!C29,5))*'V06 Curva'!$B$10,MAX(0,MIN('V06 Motor'!A29*30/'V06 Motor'!C29,7)-MAX(('V06 Motor'!A29-1)*30/'V06 Motor'!C29,6))*'V06 Curva'!$B$11,MAX(0,MIN('V06 Motor'!A29*30/'V06 Motor'!C29,8)-MAX(('V06 Motor'!A29-1)*30/'V06 Motor'!C29,7))*'V06 Curva'!$B$12,MAX(0,MIN('V06 Motor'!A29*30/'V06 Motor'!C29,9)-MAX(('V06 Motor'!A29-1)*30/'V06 Motor'!C29,8))*'V06 Curva'!$B$13,MAX(0,MIN('V06 Motor'!A29*30/'V06 Motor'!C29,10)-MAX(('V06 Motor'!A29-1)*30/'V06 Motor'!C29,9))*'V06 Curva'!$B$14,MAX(0,MIN('V06 Motor'!A29*30/'V06 Motor'!C29,11)-MAX(('V06 Motor'!A29-1)*30/'V06 Motor'!C29,10))*'V06 Curva'!$B$15,MAX(0,MIN('V06 Motor'!A29*30/'V06 Motor'!C29,12)-MAX(('V06 Motor'!A29-1)*30/'V06 Motor'!C29,11))*'V06 Curva'!$B$16,MAX(0,MIN('V06 Motor'!A29*30/'V06 Motor'!C29,13)-MAX(('V06 Motor'!A29-1)*30/'V06 Motor'!C29,12))*'V06 Curva'!$B$17,MAX(0,MIN('V06 Motor'!A29*30/'V06 Motor'!C29,14)-MAX(('V06 Motor'!A29-1)*30/'V06 Motor'!C29,13))*'V06 Curva'!$B$18,MAX(0,MIN('V06 Motor'!A29*30/'V06 Motor'!C29,15)-MAX(('V06 Motor'!A29-1)*30/'V06 Motor'!C29,14))*'V06 Curva'!$B$19,MAX(0,MIN('V06 Motor'!A29*30/'V06 Motor'!C29,16)-MAX(('V06 Motor'!A29-1)*30/'V06 Motor'!C29,15))*'V06 Curva'!$B$20,MAX(0,MIN('V06 Motor'!A29*30/'V06 Motor'!C29,17)-MAX(('V06 Motor'!A29-1)*30/'V06 Motor'!C29,16))*'V06 Curva'!$B$21,MAX(0,MIN('V06 Motor'!A29*30/'V06 Motor'!C29,18)-MAX(('V06 Motor'!A29-1)*30/'V06 Motor'!C29,17))*'V06 Curva'!$B$22,MAX(0,MIN('V06 Motor'!A29*30/'V06 Motor'!C29,19)-MAX(('V06 Motor'!A29-1)*30/'V06 Motor'!C29,18))*'V06 Curva'!$B$23,MAX(0,MIN('V06 Motor'!A29*30/'V06 Motor'!C29,20)-MAX(('V06 Motor'!A29-1)*30/'V06 Motor'!C29,19))*'V06 Curva'!$B$24,MAX(0,MIN('V06 Motor'!A29*30/'V06 Motor'!C29,21)-MAX(('V06 Motor'!A29-1)*30/'V06 Motor'!C29,20))*'V06 Curva'!$B$25,MAX(0,MIN('V06 Motor'!A29*30/'V06 Motor'!C29,22)-MAX(('V06 Motor'!A29-1)*30/'V06 Motor'!C29,21))*'V06 Curva'!$B$26,MAX(0,MIN('V06 Motor'!A29*30/'V06 Motor'!C29,23)-MAX(('V06 Motor'!A29-1)*30/'V06 Motor'!C29,22))*'V06 Curva'!$B$27,MAX(0,MIN('V06 Motor'!A29*30/'V06 Motor'!C29,24)-MAX(('V06 Motor'!A29-1)*30/'V06 Motor'!C29,23))*'V06 Curva'!$B$28,MAX(0,MIN('V06 Motor'!A29*30/'V06 Motor'!C29,25)-MAX(('V06 Motor'!A29-1)*30/'V06 Motor'!C29,24))*'V06 Curva'!$B$29,MAX(0,MIN('V06 Motor'!A29*30/'V06 Motor'!C29,26)-MAX(('V06 Motor'!A29-1)*30/'V06 Motor'!C29,25))*'V06 Curva'!$B$30,MAX(0,MIN('V06 Motor'!A29*30/'V06 Motor'!C29,27)-MAX(('V06 Motor'!A29-1)*30/'V06 Motor'!C29,26))*'V06 Curva'!$B$31,MAX(0,MIN('V06 Motor'!A29*30/'V06 Motor'!C29,28)-MAX(('V06 Motor'!A29-1)*30/'V06 Motor'!C29,27))*'V06 Curva'!$B$32,MAX(0,MIN('V06 Motor'!A29*30/'V06 Motor'!C29,29)-MAX(('V06 Motor'!A29-1)*30/'V06 Motor'!C29,28))*'V06 Curva'!$B$33,MAX(0,MIN('V06 Motor'!A29*30/'V06 Motor'!C29,30)-MAX(('V06 Motor'!A29-1)*30/'V06 Motor'!C29,29))*'V06 Curva'!$B$34),0)</f>
        <v>0.057550000000000004</v>
      </c>
      <c r="O29" s="2">
        <f>SUMPRODUCT(--(('V06 Unidades'!$I$5:$I$98+'V06 Controlos'!$B$37)='V06 Motor'!A29),ROUND('V06 Unidades'!$H$5:$H$98*0.05,2)+ROUND('V06 Unidades'!$H$5:$H$98*0.2,2))+SUMPRODUCT(--(IF('V06 Controlos'!$B$38&gt;0,IF(('V06 Unidades'!$L$5:$L$98+'V06 Controlos'!$B$37)&lt;'V06 Motor'!C29,'V06 Motor'!C29,('V06 Unidades'!$L$5:$L$98+'V06 Controlos'!$B$37)),('V06 Unidades'!$L$5:$L$98+'V06 Controlos'!$B$37))='V06 Motor'!A29),'V06 Unidades'!$H$5:$H$98-ROUND('V06 Unidades'!$H$5:$H$98*0.05,2)-ROUND('V06 Unidades'!$H$5:$H$98*0.2,2)-ROUND('V06 Unidades'!$H$5:$H$98*0.55,2))+SUMPRODUCT(--(IF(INT((IF('V06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Controlos'!$B$37)-1)/6),0)&gt;0),--('V06 Motor'!A29&gt;('V06 Unidades'!$I$5:$I$98+'V06 Controlos'!$B$37)),--('V06 Motor'!A29&lt;IF('V06 Controlos'!$B$38&gt;0,IF(('V06 Unidades'!$L$5:$L$98+'V06 Controlos'!$B$37)&lt;'V06 Motor'!C29,'V06 Motor'!C29,('V06 Unidades'!$L$5:$L$98+'V06 Controlos'!$B$37)),('V06 Unidades'!$L$5:$L$98+'V06 Controlos'!$B$37))),--(MOD('V06 Motor'!A29-('V06 Unidades'!$I$5:$I$98+'V06 Controlos'!$B$37),6)=0),--(('V06 Motor'!A29-('V06 Unidades'!$I$5:$I$98+'V06 Controlos'!$B$37))/6&lt;=IF(INT((IF('V06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Controlos'!$B$37)-1)/6),0)),IF('V06 Motor'!A29=('V06 Unidades'!$I$5:$I$98+'V06 Controlos'!$B$37)+6*IF(INT((IF('V06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Controlos'!$B$37)-1)/6),0)&gt;0,IF(INT((IF('V06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Controlos'!$B$37)-1)/6),0),1),2)*(IF(INT((IF('V06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Controlos'!$B$37)-1)/6),0)&gt;0,IF(INT((IF('V06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Controlos'!$B$37)-1)/6)&gt;0,INT((IF('V06 Controlos'!$B$38&gt;0,IF(('V06 Unidades'!$L$5:$L$98+'V06 Controlos'!$B$37)&lt;'V06 Motor'!C29,'V06 Motor'!C29,('V06 Unidades'!$L$5:$L$98+'V06 Controlos'!$B$37)),('V06 Unidades'!$L$5:$L$98+'V06 Controlos'!$B$37))-('V06 Unidades'!$I$5:$I$98+'V06 Controlos'!$B$37)-1)/6),0),1),2)))</f>
        <v>6128323.63</v>
      </c>
      <c r="P29" s="2">
        <f>SUM('V06 Calend 01'!AK5:AK98)</f>
        <v>6128323.63</v>
      </c>
    </row>
    <row r="30" spans="1:16">
      <c r="A30">
        <v>26</v>
      </c>
      <c r="C30">
        <v>30</v>
      </c>
      <c r="G30" s="2">
        <f>IF('V06 Motor'!A30&lt;='V06 Motor'!C30,SUMPRODUCT('V06 Curva'!$B$5:$B$34,IF((IF('V06 Motor'!A30*30/'V06 Motor'!C30&lt;'V06 Curva'!$A$5:$A$34,'V06 Motor'!A30*30/'V06 Motor'!C30,'V06 Curva'!$A$5:$A$34)-IF(('V06 Motor'!A30-1)*30/'V06 Motor'!C30&gt;'V06 Curva'!$A$5:$A$34-1,('V06 Motor'!A30-1)*30/'V06 Motor'!C30,'V06 Curva'!$A$5:$A$34-1))&gt;0,(IF('V06 Motor'!A30*30/'V06 Motor'!C30&lt;'V06 Curva'!$A$5:$A$34,'V06 Motor'!A30*30/'V06 Motor'!C30,'V06 Curva'!$A$5:$A$34)-IF(('V06 Motor'!A30-1)*30/'V06 Motor'!C30&gt;'V06 Curva'!$A$5:$A$34-1,('V06 Motor'!A30-1)*30/'V06 Motor'!C30,'V06 Curva'!$A$5:$A$34-1)),0)),0)</f>
        <v>0.03215</v>
      </c>
      <c r="H30" s="2">
        <f>IF('V06 Motor'!A30&lt;='V06 Motor'!C30,SUM(MAX(0,MIN('V06 Motor'!A30*30/'V06 Motor'!C30,1)-MAX(('V06 Motor'!A30-1)*30/'V06 Motor'!C30,0))*'V06 Curva'!$B$5,MAX(0,MIN('V06 Motor'!A30*30/'V06 Motor'!C30,2)-MAX(('V06 Motor'!A30-1)*30/'V06 Motor'!C30,1))*'V06 Curva'!$B$6,MAX(0,MIN('V06 Motor'!A30*30/'V06 Motor'!C30,3)-MAX(('V06 Motor'!A30-1)*30/'V06 Motor'!C30,2))*'V06 Curva'!$B$7,MAX(0,MIN('V06 Motor'!A30*30/'V06 Motor'!C30,4)-MAX(('V06 Motor'!A30-1)*30/'V06 Motor'!C30,3))*'V06 Curva'!$B$8,MAX(0,MIN('V06 Motor'!A30*30/'V06 Motor'!C30,5)-MAX(('V06 Motor'!A30-1)*30/'V06 Motor'!C30,4))*'V06 Curva'!$B$9,MAX(0,MIN('V06 Motor'!A30*30/'V06 Motor'!C30,6)-MAX(('V06 Motor'!A30-1)*30/'V06 Motor'!C30,5))*'V06 Curva'!$B$10,MAX(0,MIN('V06 Motor'!A30*30/'V06 Motor'!C30,7)-MAX(('V06 Motor'!A30-1)*30/'V06 Motor'!C30,6))*'V06 Curva'!$B$11,MAX(0,MIN('V06 Motor'!A30*30/'V06 Motor'!C30,8)-MAX(('V06 Motor'!A30-1)*30/'V06 Motor'!C30,7))*'V06 Curva'!$B$12,MAX(0,MIN('V06 Motor'!A30*30/'V06 Motor'!C30,9)-MAX(('V06 Motor'!A30-1)*30/'V06 Motor'!C30,8))*'V06 Curva'!$B$13,MAX(0,MIN('V06 Motor'!A30*30/'V06 Motor'!C30,10)-MAX(('V06 Motor'!A30-1)*30/'V06 Motor'!C30,9))*'V06 Curva'!$B$14,MAX(0,MIN('V06 Motor'!A30*30/'V06 Motor'!C30,11)-MAX(('V06 Motor'!A30-1)*30/'V06 Motor'!C30,10))*'V06 Curva'!$B$15,MAX(0,MIN('V06 Motor'!A30*30/'V06 Motor'!C30,12)-MAX(('V06 Motor'!A30-1)*30/'V06 Motor'!C30,11))*'V06 Curva'!$B$16,MAX(0,MIN('V06 Motor'!A30*30/'V06 Motor'!C30,13)-MAX(('V06 Motor'!A30-1)*30/'V06 Motor'!C30,12))*'V06 Curva'!$B$17,MAX(0,MIN('V06 Motor'!A30*30/'V06 Motor'!C30,14)-MAX(('V06 Motor'!A30-1)*30/'V06 Motor'!C30,13))*'V06 Curva'!$B$18,MAX(0,MIN('V06 Motor'!A30*30/'V06 Motor'!C30,15)-MAX(('V06 Motor'!A30-1)*30/'V06 Motor'!C30,14))*'V06 Curva'!$B$19,MAX(0,MIN('V06 Motor'!A30*30/'V06 Motor'!C30,16)-MAX(('V06 Motor'!A30-1)*30/'V06 Motor'!C30,15))*'V06 Curva'!$B$20,MAX(0,MIN('V06 Motor'!A30*30/'V06 Motor'!C30,17)-MAX(('V06 Motor'!A30-1)*30/'V06 Motor'!C30,16))*'V06 Curva'!$B$21,MAX(0,MIN('V06 Motor'!A30*30/'V06 Motor'!C30,18)-MAX(('V06 Motor'!A30-1)*30/'V06 Motor'!C30,17))*'V06 Curva'!$B$22,MAX(0,MIN('V06 Motor'!A30*30/'V06 Motor'!C30,19)-MAX(('V06 Motor'!A30-1)*30/'V06 Motor'!C30,18))*'V06 Curva'!$B$23,MAX(0,MIN('V06 Motor'!A30*30/'V06 Motor'!C30,20)-MAX(('V06 Motor'!A30-1)*30/'V06 Motor'!C30,19))*'V06 Curva'!$B$24,MAX(0,MIN('V06 Motor'!A30*30/'V06 Motor'!C30,21)-MAX(('V06 Motor'!A30-1)*30/'V06 Motor'!C30,20))*'V06 Curva'!$B$25,MAX(0,MIN('V06 Motor'!A30*30/'V06 Motor'!C30,22)-MAX(('V06 Motor'!A30-1)*30/'V06 Motor'!C30,21))*'V06 Curva'!$B$26,MAX(0,MIN('V06 Motor'!A30*30/'V06 Motor'!C30,23)-MAX(('V06 Motor'!A30-1)*30/'V06 Motor'!C30,22))*'V06 Curva'!$B$27,MAX(0,MIN('V06 Motor'!A30*30/'V06 Motor'!C30,24)-MAX(('V06 Motor'!A30-1)*30/'V06 Motor'!C30,23))*'V06 Curva'!$B$28,MAX(0,MIN('V06 Motor'!A30*30/'V06 Motor'!C30,25)-MAX(('V06 Motor'!A30-1)*30/'V06 Motor'!C30,24))*'V06 Curva'!$B$29,MAX(0,MIN('V06 Motor'!A30*30/'V06 Motor'!C30,26)-MAX(('V06 Motor'!A30-1)*30/'V06 Motor'!C30,25))*'V06 Curva'!$B$30,MAX(0,MIN('V06 Motor'!A30*30/'V06 Motor'!C30,27)-MAX(('V06 Motor'!A30-1)*30/'V06 Motor'!C30,26))*'V06 Curva'!$B$31,MAX(0,MIN('V06 Motor'!A30*30/'V06 Motor'!C30,28)-MAX(('V06 Motor'!A30-1)*30/'V06 Motor'!C30,27))*'V06 Curva'!$B$32,MAX(0,MIN('V06 Motor'!A30*30/'V06 Motor'!C30,29)-MAX(('V06 Motor'!A30-1)*30/'V06 Motor'!C30,28))*'V06 Curva'!$B$33,MAX(0,MIN('V06 Motor'!A30*30/'V06 Motor'!C30,30)-MAX(('V06 Motor'!A30-1)*30/'V06 Motor'!C30,29))*'V06 Curva'!$B$34),0)</f>
        <v>0.03215</v>
      </c>
      <c r="O30" s="2">
        <f>SUMPRODUCT(--(('V06 Unidades'!$I$5:$I$98+'V06 Controlos'!$B$37)='V06 Motor'!A30),ROUND('V06 Unidades'!$H$5:$H$98*0.05,2)+ROUND('V06 Unidades'!$H$5:$H$98*0.2,2))+SUMPRODUCT(--(IF('V06 Controlos'!$B$38&gt;0,IF(('V06 Unidades'!$L$5:$L$98+'V06 Controlos'!$B$37)&lt;'V06 Motor'!C30,'V06 Motor'!C30,('V06 Unidades'!$L$5:$L$98+'V06 Controlos'!$B$37)),('V06 Unidades'!$L$5:$L$98+'V06 Controlos'!$B$37))='V06 Motor'!A30),'V06 Unidades'!$H$5:$H$98-ROUND('V06 Unidades'!$H$5:$H$98*0.05,2)-ROUND('V06 Unidades'!$H$5:$H$98*0.2,2)-ROUND('V06 Unidades'!$H$5:$H$98*0.55,2))+SUMPRODUCT(--(IF(INT((IF('V06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Controlos'!$B$37)-1)/6),0)&gt;0),--('V06 Motor'!A30&gt;('V06 Unidades'!$I$5:$I$98+'V06 Controlos'!$B$37)),--('V06 Motor'!A30&lt;IF('V06 Controlos'!$B$38&gt;0,IF(('V06 Unidades'!$L$5:$L$98+'V06 Controlos'!$B$37)&lt;'V06 Motor'!C30,'V06 Motor'!C30,('V06 Unidades'!$L$5:$L$98+'V06 Controlos'!$B$37)),('V06 Unidades'!$L$5:$L$98+'V06 Controlos'!$B$37))),--(MOD('V06 Motor'!A30-('V06 Unidades'!$I$5:$I$98+'V06 Controlos'!$B$37),6)=0),--(('V06 Motor'!A30-('V06 Unidades'!$I$5:$I$98+'V06 Controlos'!$B$37))/6&lt;=IF(INT((IF('V06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Controlos'!$B$37)-1)/6),0)),IF('V06 Motor'!A30=('V06 Unidades'!$I$5:$I$98+'V06 Controlos'!$B$37)+6*IF(INT((IF('V06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Controlos'!$B$37)-1)/6),0)&gt;0,IF(INT((IF('V06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Controlos'!$B$37)-1)/6),0),1),2)*(IF(INT((IF('V06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Controlos'!$B$37)-1)/6),0)&gt;0,IF(INT((IF('V06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Controlos'!$B$37)-1)/6)&gt;0,INT((IF('V06 Controlos'!$B$38&gt;0,IF(('V06 Unidades'!$L$5:$L$98+'V06 Controlos'!$B$37)&lt;'V06 Motor'!C30,'V06 Motor'!C30,('V06 Unidades'!$L$5:$L$98+'V06 Controlos'!$B$37)),('V06 Unidades'!$L$5:$L$98+'V06 Controlos'!$B$37))-('V06 Unidades'!$I$5:$I$98+'V06 Controlos'!$B$37)-1)/6),0),1),2)))</f>
        <v>0.0</v>
      </c>
      <c r="P30" s="2">
        <f>SUM('V06 Calend 01'!AL5:AL98)</f>
        <v>0.0</v>
      </c>
    </row>
    <row r="31" spans="1:16">
      <c r="A31">
        <v>27</v>
      </c>
      <c r="C31">
        <v>30</v>
      </c>
      <c r="G31" s="2">
        <f>IF('V06 Motor'!A31&lt;='V06 Motor'!C31,SUMPRODUCT('V06 Curva'!$B$5:$B$34,IF((IF('V06 Motor'!A31*30/'V06 Motor'!C31&lt;'V06 Curva'!$A$5:$A$34,'V06 Motor'!A31*30/'V06 Motor'!C31,'V06 Curva'!$A$5:$A$34)-IF(('V06 Motor'!A31-1)*30/'V06 Motor'!C31&gt;'V06 Curva'!$A$5:$A$34-1,('V06 Motor'!A31-1)*30/'V06 Motor'!C31,'V06 Curva'!$A$5:$A$34-1))&gt;0,(IF('V06 Motor'!A31*30/'V06 Motor'!C31&lt;'V06 Curva'!$A$5:$A$34,'V06 Motor'!A31*30/'V06 Motor'!C31,'V06 Curva'!$A$5:$A$34)-IF(('V06 Motor'!A31-1)*30/'V06 Motor'!C31&gt;'V06 Curva'!$A$5:$A$34-1,('V06 Motor'!A31-1)*30/'V06 Motor'!C31,'V06 Curva'!$A$5:$A$34-1)),0)),0)</f>
        <v>0.05225</v>
      </c>
      <c r="H31" s="2">
        <f>IF('V06 Motor'!A31&lt;='V06 Motor'!C31,SUM(MAX(0,MIN('V06 Motor'!A31*30/'V06 Motor'!C31,1)-MAX(('V06 Motor'!A31-1)*30/'V06 Motor'!C31,0))*'V06 Curva'!$B$5,MAX(0,MIN('V06 Motor'!A31*30/'V06 Motor'!C31,2)-MAX(('V06 Motor'!A31-1)*30/'V06 Motor'!C31,1))*'V06 Curva'!$B$6,MAX(0,MIN('V06 Motor'!A31*30/'V06 Motor'!C31,3)-MAX(('V06 Motor'!A31-1)*30/'V06 Motor'!C31,2))*'V06 Curva'!$B$7,MAX(0,MIN('V06 Motor'!A31*30/'V06 Motor'!C31,4)-MAX(('V06 Motor'!A31-1)*30/'V06 Motor'!C31,3))*'V06 Curva'!$B$8,MAX(0,MIN('V06 Motor'!A31*30/'V06 Motor'!C31,5)-MAX(('V06 Motor'!A31-1)*30/'V06 Motor'!C31,4))*'V06 Curva'!$B$9,MAX(0,MIN('V06 Motor'!A31*30/'V06 Motor'!C31,6)-MAX(('V06 Motor'!A31-1)*30/'V06 Motor'!C31,5))*'V06 Curva'!$B$10,MAX(0,MIN('V06 Motor'!A31*30/'V06 Motor'!C31,7)-MAX(('V06 Motor'!A31-1)*30/'V06 Motor'!C31,6))*'V06 Curva'!$B$11,MAX(0,MIN('V06 Motor'!A31*30/'V06 Motor'!C31,8)-MAX(('V06 Motor'!A31-1)*30/'V06 Motor'!C31,7))*'V06 Curva'!$B$12,MAX(0,MIN('V06 Motor'!A31*30/'V06 Motor'!C31,9)-MAX(('V06 Motor'!A31-1)*30/'V06 Motor'!C31,8))*'V06 Curva'!$B$13,MAX(0,MIN('V06 Motor'!A31*30/'V06 Motor'!C31,10)-MAX(('V06 Motor'!A31-1)*30/'V06 Motor'!C31,9))*'V06 Curva'!$B$14,MAX(0,MIN('V06 Motor'!A31*30/'V06 Motor'!C31,11)-MAX(('V06 Motor'!A31-1)*30/'V06 Motor'!C31,10))*'V06 Curva'!$B$15,MAX(0,MIN('V06 Motor'!A31*30/'V06 Motor'!C31,12)-MAX(('V06 Motor'!A31-1)*30/'V06 Motor'!C31,11))*'V06 Curva'!$B$16,MAX(0,MIN('V06 Motor'!A31*30/'V06 Motor'!C31,13)-MAX(('V06 Motor'!A31-1)*30/'V06 Motor'!C31,12))*'V06 Curva'!$B$17,MAX(0,MIN('V06 Motor'!A31*30/'V06 Motor'!C31,14)-MAX(('V06 Motor'!A31-1)*30/'V06 Motor'!C31,13))*'V06 Curva'!$B$18,MAX(0,MIN('V06 Motor'!A31*30/'V06 Motor'!C31,15)-MAX(('V06 Motor'!A31-1)*30/'V06 Motor'!C31,14))*'V06 Curva'!$B$19,MAX(0,MIN('V06 Motor'!A31*30/'V06 Motor'!C31,16)-MAX(('V06 Motor'!A31-1)*30/'V06 Motor'!C31,15))*'V06 Curva'!$B$20,MAX(0,MIN('V06 Motor'!A31*30/'V06 Motor'!C31,17)-MAX(('V06 Motor'!A31-1)*30/'V06 Motor'!C31,16))*'V06 Curva'!$B$21,MAX(0,MIN('V06 Motor'!A31*30/'V06 Motor'!C31,18)-MAX(('V06 Motor'!A31-1)*30/'V06 Motor'!C31,17))*'V06 Curva'!$B$22,MAX(0,MIN('V06 Motor'!A31*30/'V06 Motor'!C31,19)-MAX(('V06 Motor'!A31-1)*30/'V06 Motor'!C31,18))*'V06 Curva'!$B$23,MAX(0,MIN('V06 Motor'!A31*30/'V06 Motor'!C31,20)-MAX(('V06 Motor'!A31-1)*30/'V06 Motor'!C31,19))*'V06 Curva'!$B$24,MAX(0,MIN('V06 Motor'!A31*30/'V06 Motor'!C31,21)-MAX(('V06 Motor'!A31-1)*30/'V06 Motor'!C31,20))*'V06 Curva'!$B$25,MAX(0,MIN('V06 Motor'!A31*30/'V06 Motor'!C31,22)-MAX(('V06 Motor'!A31-1)*30/'V06 Motor'!C31,21))*'V06 Curva'!$B$26,MAX(0,MIN('V06 Motor'!A31*30/'V06 Motor'!C31,23)-MAX(('V06 Motor'!A31-1)*30/'V06 Motor'!C31,22))*'V06 Curva'!$B$27,MAX(0,MIN('V06 Motor'!A31*30/'V06 Motor'!C31,24)-MAX(('V06 Motor'!A31-1)*30/'V06 Motor'!C31,23))*'V06 Curva'!$B$28,MAX(0,MIN('V06 Motor'!A31*30/'V06 Motor'!C31,25)-MAX(('V06 Motor'!A31-1)*30/'V06 Motor'!C31,24))*'V06 Curva'!$B$29,MAX(0,MIN('V06 Motor'!A31*30/'V06 Motor'!C31,26)-MAX(('V06 Motor'!A31-1)*30/'V06 Motor'!C31,25))*'V06 Curva'!$B$30,MAX(0,MIN('V06 Motor'!A31*30/'V06 Motor'!C31,27)-MAX(('V06 Motor'!A31-1)*30/'V06 Motor'!C31,26))*'V06 Curva'!$B$31,MAX(0,MIN('V06 Motor'!A31*30/'V06 Motor'!C31,28)-MAX(('V06 Motor'!A31-1)*30/'V06 Motor'!C31,27))*'V06 Curva'!$B$32,MAX(0,MIN('V06 Motor'!A31*30/'V06 Motor'!C31,29)-MAX(('V06 Motor'!A31-1)*30/'V06 Motor'!C31,28))*'V06 Curva'!$B$33,MAX(0,MIN('V06 Motor'!A31*30/'V06 Motor'!C31,30)-MAX(('V06 Motor'!A31-1)*30/'V06 Motor'!C31,29))*'V06 Curva'!$B$34),0)</f>
        <v>0.05225</v>
      </c>
      <c r="O31" s="2">
        <f>SUMPRODUCT(--(('V06 Unidades'!$I$5:$I$98+'V06 Controlos'!$B$37)='V06 Motor'!A31),ROUND('V06 Unidades'!$H$5:$H$98*0.05,2)+ROUND('V06 Unidades'!$H$5:$H$98*0.2,2))+SUMPRODUCT(--(IF('V06 Controlos'!$B$38&gt;0,IF(('V06 Unidades'!$L$5:$L$98+'V06 Controlos'!$B$37)&lt;'V06 Motor'!C31,'V06 Motor'!C31,('V06 Unidades'!$L$5:$L$98+'V06 Controlos'!$B$37)),('V06 Unidades'!$L$5:$L$98+'V06 Controlos'!$B$37))='V06 Motor'!A31),'V06 Unidades'!$H$5:$H$98-ROUND('V06 Unidades'!$H$5:$H$98*0.05,2)-ROUND('V06 Unidades'!$H$5:$H$98*0.2,2)-ROUND('V06 Unidades'!$H$5:$H$98*0.55,2))+SUMPRODUCT(--(IF(INT((IF('V06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Controlos'!$B$37)-1)/6),0)&gt;0),--('V06 Motor'!A31&gt;('V06 Unidades'!$I$5:$I$98+'V06 Controlos'!$B$37)),--('V06 Motor'!A31&lt;IF('V06 Controlos'!$B$38&gt;0,IF(('V06 Unidades'!$L$5:$L$98+'V06 Controlos'!$B$37)&lt;'V06 Motor'!C31,'V06 Motor'!C31,('V06 Unidades'!$L$5:$L$98+'V06 Controlos'!$B$37)),('V06 Unidades'!$L$5:$L$98+'V06 Controlos'!$B$37))),--(MOD('V06 Motor'!A31-('V06 Unidades'!$I$5:$I$98+'V06 Controlos'!$B$37),6)=0),--(('V06 Motor'!A31-('V06 Unidades'!$I$5:$I$98+'V06 Controlos'!$B$37))/6&lt;=IF(INT((IF('V06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Controlos'!$B$37)-1)/6),0)),IF('V06 Motor'!A31=('V06 Unidades'!$I$5:$I$98+'V06 Controlos'!$B$37)+6*IF(INT((IF('V06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Controlos'!$B$37)-1)/6),0)&gt;0,IF(INT((IF('V06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Controlos'!$B$37)-1)/6),0),1),2)*(IF(INT((IF('V06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Controlos'!$B$37)-1)/6),0)&gt;0,IF(INT((IF('V06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Controlos'!$B$37)-1)/6)&gt;0,INT((IF('V06 Controlos'!$B$38&gt;0,IF(('V06 Unidades'!$L$5:$L$98+'V06 Controlos'!$B$37)&lt;'V06 Motor'!C31,'V06 Motor'!C31,('V06 Unidades'!$L$5:$L$98+'V06 Controlos'!$B$37)),('V06 Unidades'!$L$5:$L$98+'V06 Controlos'!$B$37))-('V06 Unidades'!$I$5:$I$98+'V06 Controlos'!$B$37)-1)/6),0),1),2)))</f>
        <v>0.0</v>
      </c>
      <c r="P31" s="2">
        <f>SUM('V06 Calend 01'!AM5:AM98)</f>
        <v>0.0</v>
      </c>
    </row>
    <row r="32" spans="1:16">
      <c r="A32">
        <v>28</v>
      </c>
      <c r="C32">
        <v>30</v>
      </c>
      <c r="G32" s="2">
        <f>IF('V06 Motor'!A32&lt;='V06 Motor'!C32,SUMPRODUCT('V06 Curva'!$B$5:$B$34,IF((IF('V06 Motor'!A32*30/'V06 Motor'!C32&lt;'V06 Curva'!$A$5:$A$34,'V06 Motor'!A32*30/'V06 Motor'!C32,'V06 Curva'!$A$5:$A$34)-IF(('V06 Motor'!A32-1)*30/'V06 Motor'!C32&gt;'V06 Curva'!$A$5:$A$34-1,('V06 Motor'!A32-1)*30/'V06 Motor'!C32,'V06 Curva'!$A$5:$A$34-1))&gt;0,(IF('V06 Motor'!A32*30/'V06 Motor'!C32&lt;'V06 Curva'!$A$5:$A$34,'V06 Motor'!A32*30/'V06 Motor'!C32,'V06 Curva'!$A$5:$A$34)-IF(('V06 Motor'!A32-1)*30/'V06 Motor'!C32&gt;'V06 Curva'!$A$5:$A$34-1,('V06 Motor'!A32-1)*30/'V06 Motor'!C32,'V06 Curva'!$A$5:$A$34-1)),0)),0)</f>
        <v>0.0186</v>
      </c>
      <c r="H32" s="2">
        <f>IF('V06 Motor'!A32&lt;='V06 Motor'!C32,SUM(MAX(0,MIN('V06 Motor'!A32*30/'V06 Motor'!C32,1)-MAX(('V06 Motor'!A32-1)*30/'V06 Motor'!C32,0))*'V06 Curva'!$B$5,MAX(0,MIN('V06 Motor'!A32*30/'V06 Motor'!C32,2)-MAX(('V06 Motor'!A32-1)*30/'V06 Motor'!C32,1))*'V06 Curva'!$B$6,MAX(0,MIN('V06 Motor'!A32*30/'V06 Motor'!C32,3)-MAX(('V06 Motor'!A32-1)*30/'V06 Motor'!C32,2))*'V06 Curva'!$B$7,MAX(0,MIN('V06 Motor'!A32*30/'V06 Motor'!C32,4)-MAX(('V06 Motor'!A32-1)*30/'V06 Motor'!C32,3))*'V06 Curva'!$B$8,MAX(0,MIN('V06 Motor'!A32*30/'V06 Motor'!C32,5)-MAX(('V06 Motor'!A32-1)*30/'V06 Motor'!C32,4))*'V06 Curva'!$B$9,MAX(0,MIN('V06 Motor'!A32*30/'V06 Motor'!C32,6)-MAX(('V06 Motor'!A32-1)*30/'V06 Motor'!C32,5))*'V06 Curva'!$B$10,MAX(0,MIN('V06 Motor'!A32*30/'V06 Motor'!C32,7)-MAX(('V06 Motor'!A32-1)*30/'V06 Motor'!C32,6))*'V06 Curva'!$B$11,MAX(0,MIN('V06 Motor'!A32*30/'V06 Motor'!C32,8)-MAX(('V06 Motor'!A32-1)*30/'V06 Motor'!C32,7))*'V06 Curva'!$B$12,MAX(0,MIN('V06 Motor'!A32*30/'V06 Motor'!C32,9)-MAX(('V06 Motor'!A32-1)*30/'V06 Motor'!C32,8))*'V06 Curva'!$B$13,MAX(0,MIN('V06 Motor'!A32*30/'V06 Motor'!C32,10)-MAX(('V06 Motor'!A32-1)*30/'V06 Motor'!C32,9))*'V06 Curva'!$B$14,MAX(0,MIN('V06 Motor'!A32*30/'V06 Motor'!C32,11)-MAX(('V06 Motor'!A32-1)*30/'V06 Motor'!C32,10))*'V06 Curva'!$B$15,MAX(0,MIN('V06 Motor'!A32*30/'V06 Motor'!C32,12)-MAX(('V06 Motor'!A32-1)*30/'V06 Motor'!C32,11))*'V06 Curva'!$B$16,MAX(0,MIN('V06 Motor'!A32*30/'V06 Motor'!C32,13)-MAX(('V06 Motor'!A32-1)*30/'V06 Motor'!C32,12))*'V06 Curva'!$B$17,MAX(0,MIN('V06 Motor'!A32*30/'V06 Motor'!C32,14)-MAX(('V06 Motor'!A32-1)*30/'V06 Motor'!C32,13))*'V06 Curva'!$B$18,MAX(0,MIN('V06 Motor'!A32*30/'V06 Motor'!C32,15)-MAX(('V06 Motor'!A32-1)*30/'V06 Motor'!C32,14))*'V06 Curva'!$B$19,MAX(0,MIN('V06 Motor'!A32*30/'V06 Motor'!C32,16)-MAX(('V06 Motor'!A32-1)*30/'V06 Motor'!C32,15))*'V06 Curva'!$B$20,MAX(0,MIN('V06 Motor'!A32*30/'V06 Motor'!C32,17)-MAX(('V06 Motor'!A32-1)*30/'V06 Motor'!C32,16))*'V06 Curva'!$B$21,MAX(0,MIN('V06 Motor'!A32*30/'V06 Motor'!C32,18)-MAX(('V06 Motor'!A32-1)*30/'V06 Motor'!C32,17))*'V06 Curva'!$B$22,MAX(0,MIN('V06 Motor'!A32*30/'V06 Motor'!C32,19)-MAX(('V06 Motor'!A32-1)*30/'V06 Motor'!C32,18))*'V06 Curva'!$B$23,MAX(0,MIN('V06 Motor'!A32*30/'V06 Motor'!C32,20)-MAX(('V06 Motor'!A32-1)*30/'V06 Motor'!C32,19))*'V06 Curva'!$B$24,MAX(0,MIN('V06 Motor'!A32*30/'V06 Motor'!C32,21)-MAX(('V06 Motor'!A32-1)*30/'V06 Motor'!C32,20))*'V06 Curva'!$B$25,MAX(0,MIN('V06 Motor'!A32*30/'V06 Motor'!C32,22)-MAX(('V06 Motor'!A32-1)*30/'V06 Motor'!C32,21))*'V06 Curva'!$B$26,MAX(0,MIN('V06 Motor'!A32*30/'V06 Motor'!C32,23)-MAX(('V06 Motor'!A32-1)*30/'V06 Motor'!C32,22))*'V06 Curva'!$B$27,MAX(0,MIN('V06 Motor'!A32*30/'V06 Motor'!C32,24)-MAX(('V06 Motor'!A32-1)*30/'V06 Motor'!C32,23))*'V06 Curva'!$B$28,MAX(0,MIN('V06 Motor'!A32*30/'V06 Motor'!C32,25)-MAX(('V06 Motor'!A32-1)*30/'V06 Motor'!C32,24))*'V06 Curva'!$B$29,MAX(0,MIN('V06 Motor'!A32*30/'V06 Motor'!C32,26)-MAX(('V06 Motor'!A32-1)*30/'V06 Motor'!C32,25))*'V06 Curva'!$B$30,MAX(0,MIN('V06 Motor'!A32*30/'V06 Motor'!C32,27)-MAX(('V06 Motor'!A32-1)*30/'V06 Motor'!C32,26))*'V06 Curva'!$B$31,MAX(0,MIN('V06 Motor'!A32*30/'V06 Motor'!C32,28)-MAX(('V06 Motor'!A32-1)*30/'V06 Motor'!C32,27))*'V06 Curva'!$B$32,MAX(0,MIN('V06 Motor'!A32*30/'V06 Motor'!C32,29)-MAX(('V06 Motor'!A32-1)*30/'V06 Motor'!C32,28))*'V06 Curva'!$B$33,MAX(0,MIN('V06 Motor'!A32*30/'V06 Motor'!C32,30)-MAX(('V06 Motor'!A32-1)*30/'V06 Motor'!C32,29))*'V06 Curva'!$B$34),0)</f>
        <v>0.018600000000000002</v>
      </c>
      <c r="O32" s="2">
        <f>SUMPRODUCT(--(('V06 Unidades'!$I$5:$I$98+'V06 Controlos'!$B$37)='V06 Motor'!A32),ROUND('V06 Unidades'!$H$5:$H$98*0.05,2)+ROUND('V06 Unidades'!$H$5:$H$98*0.2,2))+SUMPRODUCT(--(IF('V06 Controlos'!$B$38&gt;0,IF(('V06 Unidades'!$L$5:$L$98+'V06 Controlos'!$B$37)&lt;'V06 Motor'!C32,'V06 Motor'!C32,('V06 Unidades'!$L$5:$L$98+'V06 Controlos'!$B$37)),('V06 Unidades'!$L$5:$L$98+'V06 Controlos'!$B$37))='V06 Motor'!A32),'V06 Unidades'!$H$5:$H$98-ROUND('V06 Unidades'!$H$5:$H$98*0.05,2)-ROUND('V06 Unidades'!$H$5:$H$98*0.2,2)-ROUND('V06 Unidades'!$H$5:$H$98*0.55,2))+SUMPRODUCT(--(IF(INT((IF('V06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Controlos'!$B$37)-1)/6),0)&gt;0),--('V06 Motor'!A32&gt;('V06 Unidades'!$I$5:$I$98+'V06 Controlos'!$B$37)),--('V06 Motor'!A32&lt;IF('V06 Controlos'!$B$38&gt;0,IF(('V06 Unidades'!$L$5:$L$98+'V06 Controlos'!$B$37)&lt;'V06 Motor'!C32,'V06 Motor'!C32,('V06 Unidades'!$L$5:$L$98+'V06 Controlos'!$B$37)),('V06 Unidades'!$L$5:$L$98+'V06 Controlos'!$B$37))),--(MOD('V06 Motor'!A32-('V06 Unidades'!$I$5:$I$98+'V06 Controlos'!$B$37),6)=0),--(('V06 Motor'!A32-('V06 Unidades'!$I$5:$I$98+'V06 Controlos'!$B$37))/6&lt;=IF(INT((IF('V06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Controlos'!$B$37)-1)/6),0)),IF('V06 Motor'!A32=('V06 Unidades'!$I$5:$I$98+'V06 Controlos'!$B$37)+6*IF(INT((IF('V06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Controlos'!$B$37)-1)/6),0)&gt;0,IF(INT((IF('V06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Controlos'!$B$37)-1)/6),0),1),2)*(IF(INT((IF('V06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Controlos'!$B$37)-1)/6),0)&gt;0,IF(INT((IF('V06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Controlos'!$B$37)-1)/6)&gt;0,INT((IF('V06 Controlos'!$B$38&gt;0,IF(('V06 Unidades'!$L$5:$L$98+'V06 Controlos'!$B$37)&lt;'V06 Motor'!C32,'V06 Motor'!C32,('V06 Unidades'!$L$5:$L$98+'V06 Controlos'!$B$37)),('V06 Unidades'!$L$5:$L$98+'V06 Controlos'!$B$37))-('V06 Unidades'!$I$5:$I$98+'V06 Controlos'!$B$37)-1)/6),0),1),2)))</f>
        <v>11413451.3</v>
      </c>
      <c r="P32" s="2">
        <f>SUM('V06 Calend 01'!AN5:AN98)</f>
        <v>11413451.3</v>
      </c>
    </row>
    <row r="33" spans="1:16">
      <c r="A33">
        <v>29</v>
      </c>
      <c r="C33">
        <v>30</v>
      </c>
      <c r="G33" s="2">
        <f>IF('V06 Motor'!A33&lt;='V06 Motor'!C33,SUMPRODUCT('V06 Curva'!$B$5:$B$34,IF((IF('V06 Motor'!A33*30/'V06 Motor'!C33&lt;'V06 Curva'!$A$5:$A$34,'V06 Motor'!A33*30/'V06 Motor'!C33,'V06 Curva'!$A$5:$A$34)-IF(('V06 Motor'!A33-1)*30/'V06 Motor'!C33&gt;'V06 Curva'!$A$5:$A$34-1,('V06 Motor'!A33-1)*30/'V06 Motor'!C33,'V06 Curva'!$A$5:$A$34-1))&gt;0,(IF('V06 Motor'!A33*30/'V06 Motor'!C33&lt;'V06 Curva'!$A$5:$A$34,'V06 Motor'!A33*30/'V06 Motor'!C33,'V06 Curva'!$A$5:$A$34)-IF(('V06 Motor'!A33-1)*30/'V06 Motor'!C33&gt;'V06 Curva'!$A$5:$A$34-1,('V06 Motor'!A33-1)*30/'V06 Motor'!C33,'V06 Curva'!$A$5:$A$34-1)),0)),0)</f>
        <v>0.012</v>
      </c>
      <c r="H33" s="2">
        <f>IF('V06 Motor'!A33&lt;='V06 Motor'!C33,SUM(MAX(0,MIN('V06 Motor'!A33*30/'V06 Motor'!C33,1)-MAX(('V06 Motor'!A33-1)*30/'V06 Motor'!C33,0))*'V06 Curva'!$B$5,MAX(0,MIN('V06 Motor'!A33*30/'V06 Motor'!C33,2)-MAX(('V06 Motor'!A33-1)*30/'V06 Motor'!C33,1))*'V06 Curva'!$B$6,MAX(0,MIN('V06 Motor'!A33*30/'V06 Motor'!C33,3)-MAX(('V06 Motor'!A33-1)*30/'V06 Motor'!C33,2))*'V06 Curva'!$B$7,MAX(0,MIN('V06 Motor'!A33*30/'V06 Motor'!C33,4)-MAX(('V06 Motor'!A33-1)*30/'V06 Motor'!C33,3))*'V06 Curva'!$B$8,MAX(0,MIN('V06 Motor'!A33*30/'V06 Motor'!C33,5)-MAX(('V06 Motor'!A33-1)*30/'V06 Motor'!C33,4))*'V06 Curva'!$B$9,MAX(0,MIN('V06 Motor'!A33*30/'V06 Motor'!C33,6)-MAX(('V06 Motor'!A33-1)*30/'V06 Motor'!C33,5))*'V06 Curva'!$B$10,MAX(0,MIN('V06 Motor'!A33*30/'V06 Motor'!C33,7)-MAX(('V06 Motor'!A33-1)*30/'V06 Motor'!C33,6))*'V06 Curva'!$B$11,MAX(0,MIN('V06 Motor'!A33*30/'V06 Motor'!C33,8)-MAX(('V06 Motor'!A33-1)*30/'V06 Motor'!C33,7))*'V06 Curva'!$B$12,MAX(0,MIN('V06 Motor'!A33*30/'V06 Motor'!C33,9)-MAX(('V06 Motor'!A33-1)*30/'V06 Motor'!C33,8))*'V06 Curva'!$B$13,MAX(0,MIN('V06 Motor'!A33*30/'V06 Motor'!C33,10)-MAX(('V06 Motor'!A33-1)*30/'V06 Motor'!C33,9))*'V06 Curva'!$B$14,MAX(0,MIN('V06 Motor'!A33*30/'V06 Motor'!C33,11)-MAX(('V06 Motor'!A33-1)*30/'V06 Motor'!C33,10))*'V06 Curva'!$B$15,MAX(0,MIN('V06 Motor'!A33*30/'V06 Motor'!C33,12)-MAX(('V06 Motor'!A33-1)*30/'V06 Motor'!C33,11))*'V06 Curva'!$B$16,MAX(0,MIN('V06 Motor'!A33*30/'V06 Motor'!C33,13)-MAX(('V06 Motor'!A33-1)*30/'V06 Motor'!C33,12))*'V06 Curva'!$B$17,MAX(0,MIN('V06 Motor'!A33*30/'V06 Motor'!C33,14)-MAX(('V06 Motor'!A33-1)*30/'V06 Motor'!C33,13))*'V06 Curva'!$B$18,MAX(0,MIN('V06 Motor'!A33*30/'V06 Motor'!C33,15)-MAX(('V06 Motor'!A33-1)*30/'V06 Motor'!C33,14))*'V06 Curva'!$B$19,MAX(0,MIN('V06 Motor'!A33*30/'V06 Motor'!C33,16)-MAX(('V06 Motor'!A33-1)*30/'V06 Motor'!C33,15))*'V06 Curva'!$B$20,MAX(0,MIN('V06 Motor'!A33*30/'V06 Motor'!C33,17)-MAX(('V06 Motor'!A33-1)*30/'V06 Motor'!C33,16))*'V06 Curva'!$B$21,MAX(0,MIN('V06 Motor'!A33*30/'V06 Motor'!C33,18)-MAX(('V06 Motor'!A33-1)*30/'V06 Motor'!C33,17))*'V06 Curva'!$B$22,MAX(0,MIN('V06 Motor'!A33*30/'V06 Motor'!C33,19)-MAX(('V06 Motor'!A33-1)*30/'V06 Motor'!C33,18))*'V06 Curva'!$B$23,MAX(0,MIN('V06 Motor'!A33*30/'V06 Motor'!C33,20)-MAX(('V06 Motor'!A33-1)*30/'V06 Motor'!C33,19))*'V06 Curva'!$B$24,MAX(0,MIN('V06 Motor'!A33*30/'V06 Motor'!C33,21)-MAX(('V06 Motor'!A33-1)*30/'V06 Motor'!C33,20))*'V06 Curva'!$B$25,MAX(0,MIN('V06 Motor'!A33*30/'V06 Motor'!C33,22)-MAX(('V06 Motor'!A33-1)*30/'V06 Motor'!C33,21))*'V06 Curva'!$B$26,MAX(0,MIN('V06 Motor'!A33*30/'V06 Motor'!C33,23)-MAX(('V06 Motor'!A33-1)*30/'V06 Motor'!C33,22))*'V06 Curva'!$B$27,MAX(0,MIN('V06 Motor'!A33*30/'V06 Motor'!C33,24)-MAX(('V06 Motor'!A33-1)*30/'V06 Motor'!C33,23))*'V06 Curva'!$B$28,MAX(0,MIN('V06 Motor'!A33*30/'V06 Motor'!C33,25)-MAX(('V06 Motor'!A33-1)*30/'V06 Motor'!C33,24))*'V06 Curva'!$B$29,MAX(0,MIN('V06 Motor'!A33*30/'V06 Motor'!C33,26)-MAX(('V06 Motor'!A33-1)*30/'V06 Motor'!C33,25))*'V06 Curva'!$B$30,MAX(0,MIN('V06 Motor'!A33*30/'V06 Motor'!C33,27)-MAX(('V06 Motor'!A33-1)*30/'V06 Motor'!C33,26))*'V06 Curva'!$B$31,MAX(0,MIN('V06 Motor'!A33*30/'V06 Motor'!C33,28)-MAX(('V06 Motor'!A33-1)*30/'V06 Motor'!C33,27))*'V06 Curva'!$B$32,MAX(0,MIN('V06 Motor'!A33*30/'V06 Motor'!C33,29)-MAX(('V06 Motor'!A33-1)*30/'V06 Motor'!C33,28))*'V06 Curva'!$B$33,MAX(0,MIN('V06 Motor'!A33*30/'V06 Motor'!C33,30)-MAX(('V06 Motor'!A33-1)*30/'V06 Motor'!C33,29))*'V06 Curva'!$B$34),0)</f>
        <v>0.012</v>
      </c>
      <c r="O33" s="2">
        <f>SUMPRODUCT(--(('V06 Unidades'!$I$5:$I$98+'V06 Controlos'!$B$37)='V06 Motor'!A33),ROUND('V06 Unidades'!$H$5:$H$98*0.05,2)+ROUND('V06 Unidades'!$H$5:$H$98*0.2,2))+SUMPRODUCT(--(IF('V06 Controlos'!$B$38&gt;0,IF(('V06 Unidades'!$L$5:$L$98+'V06 Controlos'!$B$37)&lt;'V06 Motor'!C33,'V06 Motor'!C33,('V06 Unidades'!$L$5:$L$98+'V06 Controlos'!$B$37)),('V06 Unidades'!$L$5:$L$98+'V06 Controlos'!$B$37))='V06 Motor'!A33),'V06 Unidades'!$H$5:$H$98-ROUND('V06 Unidades'!$H$5:$H$98*0.05,2)-ROUND('V06 Unidades'!$H$5:$H$98*0.2,2)-ROUND('V06 Unidades'!$H$5:$H$98*0.55,2))+SUMPRODUCT(--(IF(INT((IF('V06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Controlos'!$B$37)-1)/6),0)&gt;0),--('V06 Motor'!A33&gt;('V06 Unidades'!$I$5:$I$98+'V06 Controlos'!$B$37)),--('V06 Motor'!A33&lt;IF('V06 Controlos'!$B$38&gt;0,IF(('V06 Unidades'!$L$5:$L$98+'V06 Controlos'!$B$37)&lt;'V06 Motor'!C33,'V06 Motor'!C33,('V06 Unidades'!$L$5:$L$98+'V06 Controlos'!$B$37)),('V06 Unidades'!$L$5:$L$98+'V06 Controlos'!$B$37))),--(MOD('V06 Motor'!A33-('V06 Unidades'!$I$5:$I$98+'V06 Controlos'!$B$37),6)=0),--(('V06 Motor'!A33-('V06 Unidades'!$I$5:$I$98+'V06 Controlos'!$B$37))/6&lt;=IF(INT((IF('V06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Controlos'!$B$37)-1)/6),0)),IF('V06 Motor'!A33=('V06 Unidades'!$I$5:$I$98+'V06 Controlos'!$B$37)+6*IF(INT((IF('V06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Controlos'!$B$37)-1)/6),0)&gt;0,IF(INT((IF('V06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Controlos'!$B$37)-1)/6),0),1),2)*(IF(INT((IF('V06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Controlos'!$B$37)-1)/6),0)&gt;0,IF(INT((IF('V06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Controlos'!$B$37)-1)/6)&gt;0,INT((IF('V06 Controlos'!$B$38&gt;0,IF(('V06 Unidades'!$L$5:$L$98+'V06 Controlos'!$B$37)&lt;'V06 Motor'!C33,'V06 Motor'!C33,('V06 Unidades'!$L$5:$L$98+'V06 Controlos'!$B$37)),('V06 Unidades'!$L$5:$L$98+'V06 Controlos'!$B$37))-('V06 Unidades'!$I$5:$I$98+'V06 Controlos'!$B$37)-1)/6),0),1),2)))</f>
        <v>3187684.79</v>
      </c>
      <c r="P33" s="2">
        <f>SUM('V06 Calend 01'!AO5:AO98)</f>
        <v>3187684.7899999996</v>
      </c>
    </row>
    <row r="34" spans="1:16">
      <c r="A34">
        <v>30</v>
      </c>
      <c r="C34">
        <v>30</v>
      </c>
      <c r="G34" s="2">
        <f>IF('V06 Motor'!A34&lt;='V06 Motor'!C34,SUMPRODUCT('V06 Curva'!$B$5:$B$34,IF((IF('V06 Motor'!A34*30/'V06 Motor'!C34&lt;'V06 Curva'!$A$5:$A$34,'V06 Motor'!A34*30/'V06 Motor'!C34,'V06 Curva'!$A$5:$A$34)-IF(('V06 Motor'!A34-1)*30/'V06 Motor'!C34&gt;'V06 Curva'!$A$5:$A$34-1,('V06 Motor'!A34-1)*30/'V06 Motor'!C34,'V06 Curva'!$A$5:$A$34-1))&gt;0,(IF('V06 Motor'!A34*30/'V06 Motor'!C34&lt;'V06 Curva'!$A$5:$A$34,'V06 Motor'!A34*30/'V06 Motor'!C34,'V06 Curva'!$A$5:$A$34)-IF(('V06 Motor'!A34-1)*30/'V06 Motor'!C34&gt;'V06 Curva'!$A$5:$A$34-1,('V06 Motor'!A34-1)*30/'V06 Motor'!C34,'V06 Curva'!$A$5:$A$34-1)),0)),0)</f>
        <v>0.001</v>
      </c>
      <c r="H34" s="2">
        <f>IF('V06 Motor'!A34&lt;='V06 Motor'!C34,SUM(MAX(0,MIN('V06 Motor'!A34*30/'V06 Motor'!C34,1)-MAX(('V06 Motor'!A34-1)*30/'V06 Motor'!C34,0))*'V06 Curva'!$B$5,MAX(0,MIN('V06 Motor'!A34*30/'V06 Motor'!C34,2)-MAX(('V06 Motor'!A34-1)*30/'V06 Motor'!C34,1))*'V06 Curva'!$B$6,MAX(0,MIN('V06 Motor'!A34*30/'V06 Motor'!C34,3)-MAX(('V06 Motor'!A34-1)*30/'V06 Motor'!C34,2))*'V06 Curva'!$B$7,MAX(0,MIN('V06 Motor'!A34*30/'V06 Motor'!C34,4)-MAX(('V06 Motor'!A34-1)*30/'V06 Motor'!C34,3))*'V06 Curva'!$B$8,MAX(0,MIN('V06 Motor'!A34*30/'V06 Motor'!C34,5)-MAX(('V06 Motor'!A34-1)*30/'V06 Motor'!C34,4))*'V06 Curva'!$B$9,MAX(0,MIN('V06 Motor'!A34*30/'V06 Motor'!C34,6)-MAX(('V06 Motor'!A34-1)*30/'V06 Motor'!C34,5))*'V06 Curva'!$B$10,MAX(0,MIN('V06 Motor'!A34*30/'V06 Motor'!C34,7)-MAX(('V06 Motor'!A34-1)*30/'V06 Motor'!C34,6))*'V06 Curva'!$B$11,MAX(0,MIN('V06 Motor'!A34*30/'V06 Motor'!C34,8)-MAX(('V06 Motor'!A34-1)*30/'V06 Motor'!C34,7))*'V06 Curva'!$B$12,MAX(0,MIN('V06 Motor'!A34*30/'V06 Motor'!C34,9)-MAX(('V06 Motor'!A34-1)*30/'V06 Motor'!C34,8))*'V06 Curva'!$B$13,MAX(0,MIN('V06 Motor'!A34*30/'V06 Motor'!C34,10)-MAX(('V06 Motor'!A34-1)*30/'V06 Motor'!C34,9))*'V06 Curva'!$B$14,MAX(0,MIN('V06 Motor'!A34*30/'V06 Motor'!C34,11)-MAX(('V06 Motor'!A34-1)*30/'V06 Motor'!C34,10))*'V06 Curva'!$B$15,MAX(0,MIN('V06 Motor'!A34*30/'V06 Motor'!C34,12)-MAX(('V06 Motor'!A34-1)*30/'V06 Motor'!C34,11))*'V06 Curva'!$B$16,MAX(0,MIN('V06 Motor'!A34*30/'V06 Motor'!C34,13)-MAX(('V06 Motor'!A34-1)*30/'V06 Motor'!C34,12))*'V06 Curva'!$B$17,MAX(0,MIN('V06 Motor'!A34*30/'V06 Motor'!C34,14)-MAX(('V06 Motor'!A34-1)*30/'V06 Motor'!C34,13))*'V06 Curva'!$B$18,MAX(0,MIN('V06 Motor'!A34*30/'V06 Motor'!C34,15)-MAX(('V06 Motor'!A34-1)*30/'V06 Motor'!C34,14))*'V06 Curva'!$B$19,MAX(0,MIN('V06 Motor'!A34*30/'V06 Motor'!C34,16)-MAX(('V06 Motor'!A34-1)*30/'V06 Motor'!C34,15))*'V06 Curva'!$B$20,MAX(0,MIN('V06 Motor'!A34*30/'V06 Motor'!C34,17)-MAX(('V06 Motor'!A34-1)*30/'V06 Motor'!C34,16))*'V06 Curva'!$B$21,MAX(0,MIN('V06 Motor'!A34*30/'V06 Motor'!C34,18)-MAX(('V06 Motor'!A34-1)*30/'V06 Motor'!C34,17))*'V06 Curva'!$B$22,MAX(0,MIN('V06 Motor'!A34*30/'V06 Motor'!C34,19)-MAX(('V06 Motor'!A34-1)*30/'V06 Motor'!C34,18))*'V06 Curva'!$B$23,MAX(0,MIN('V06 Motor'!A34*30/'V06 Motor'!C34,20)-MAX(('V06 Motor'!A34-1)*30/'V06 Motor'!C34,19))*'V06 Curva'!$B$24,MAX(0,MIN('V06 Motor'!A34*30/'V06 Motor'!C34,21)-MAX(('V06 Motor'!A34-1)*30/'V06 Motor'!C34,20))*'V06 Curva'!$B$25,MAX(0,MIN('V06 Motor'!A34*30/'V06 Motor'!C34,22)-MAX(('V06 Motor'!A34-1)*30/'V06 Motor'!C34,21))*'V06 Curva'!$B$26,MAX(0,MIN('V06 Motor'!A34*30/'V06 Motor'!C34,23)-MAX(('V06 Motor'!A34-1)*30/'V06 Motor'!C34,22))*'V06 Curva'!$B$27,MAX(0,MIN('V06 Motor'!A34*30/'V06 Motor'!C34,24)-MAX(('V06 Motor'!A34-1)*30/'V06 Motor'!C34,23))*'V06 Curva'!$B$28,MAX(0,MIN('V06 Motor'!A34*30/'V06 Motor'!C34,25)-MAX(('V06 Motor'!A34-1)*30/'V06 Motor'!C34,24))*'V06 Curva'!$B$29,MAX(0,MIN('V06 Motor'!A34*30/'V06 Motor'!C34,26)-MAX(('V06 Motor'!A34-1)*30/'V06 Motor'!C34,25))*'V06 Curva'!$B$30,MAX(0,MIN('V06 Motor'!A34*30/'V06 Motor'!C34,27)-MAX(('V06 Motor'!A34-1)*30/'V06 Motor'!C34,26))*'V06 Curva'!$B$31,MAX(0,MIN('V06 Motor'!A34*30/'V06 Motor'!C34,28)-MAX(('V06 Motor'!A34-1)*30/'V06 Motor'!C34,27))*'V06 Curva'!$B$32,MAX(0,MIN('V06 Motor'!A34*30/'V06 Motor'!C34,29)-MAX(('V06 Motor'!A34-1)*30/'V06 Motor'!C34,28))*'V06 Curva'!$B$33,MAX(0,MIN('V06 Motor'!A34*30/'V06 Motor'!C34,30)-MAX(('V06 Motor'!A34-1)*30/'V06 Motor'!C34,29))*'V06 Curva'!$B$34),0)</f>
        <v>0.001</v>
      </c>
      <c r="O34" s="2">
        <f>SUMPRODUCT(--(('V06 Unidades'!$I$5:$I$98+'V06 Controlos'!$B$37)='V06 Motor'!A34),ROUND('V06 Unidades'!$H$5:$H$98*0.05,2)+ROUND('V06 Unidades'!$H$5:$H$98*0.2,2))+SUMPRODUCT(--(IF('V06 Controlos'!$B$38&gt;0,IF(('V06 Unidades'!$L$5:$L$98+'V06 Controlos'!$B$37)&lt;'V06 Motor'!C34,'V06 Motor'!C34,('V06 Unidades'!$L$5:$L$98+'V06 Controlos'!$B$37)),('V06 Unidades'!$L$5:$L$98+'V06 Controlos'!$B$37))='V06 Motor'!A34),'V06 Unidades'!$H$5:$H$98-ROUND('V06 Unidades'!$H$5:$H$98*0.05,2)-ROUND('V06 Unidades'!$H$5:$H$98*0.2,2)-ROUND('V06 Unidades'!$H$5:$H$98*0.55,2))+SUMPRODUCT(--(IF(INT((IF('V06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Controlos'!$B$37)-1)/6),0)&gt;0),--('V06 Motor'!A34&gt;('V06 Unidades'!$I$5:$I$98+'V06 Controlos'!$B$37)),--('V06 Motor'!A34&lt;IF('V06 Controlos'!$B$38&gt;0,IF(('V06 Unidades'!$L$5:$L$98+'V06 Controlos'!$B$37)&lt;'V06 Motor'!C34,'V06 Motor'!C34,('V06 Unidades'!$L$5:$L$98+'V06 Controlos'!$B$37)),('V06 Unidades'!$L$5:$L$98+'V06 Controlos'!$B$37))),--(MOD('V06 Motor'!A34-('V06 Unidades'!$I$5:$I$98+'V06 Controlos'!$B$37),6)=0),--(('V06 Motor'!A34-('V06 Unidades'!$I$5:$I$98+'V06 Controlos'!$B$37))/6&lt;=IF(INT((IF('V06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Controlos'!$B$37)-1)/6),0)),IF('V06 Motor'!A34=('V06 Unidades'!$I$5:$I$98+'V06 Controlos'!$B$37)+6*IF(INT((IF('V06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Controlos'!$B$37)-1)/6),0)&gt;0,IF(INT((IF('V06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Controlos'!$B$37)-1)/6),0),1),2)*(IF(INT((IF('V06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Controlos'!$B$37)-1)/6),0)&gt;0,IF(INT((IF('V06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Controlos'!$B$37)-1)/6)&gt;0,INT((IF('V06 Controlos'!$B$38&gt;0,IF(('V06 Unidades'!$L$5:$L$98+'V06 Controlos'!$B$37)&lt;'V06 Motor'!C34,'V06 Motor'!C34,('V06 Unidades'!$L$5:$L$98+'V06 Controlos'!$B$37)),('V06 Unidades'!$L$5:$L$98+'V06 Controlos'!$B$37))-('V06 Unidades'!$I$5:$I$98+'V06 Controlos'!$B$37)-1)/6),0),1),2)))</f>
        <v>4235804.69</v>
      </c>
      <c r="P34" s="2">
        <f>SUM('V06 Calend 01'!AP5:AP98)</f>
        <v>4235804.69</v>
      </c>
    </row>
    <row r="35" spans="1:16">
      <c r="A35">
        <v>31</v>
      </c>
      <c r="C35">
        <v>30</v>
      </c>
      <c r="G35" s="2">
        <f>IF('V06 Motor'!A35&lt;='V06 Motor'!C35,SUMPRODUCT('V06 Curva'!$B$5:$B$34,IF((IF('V06 Motor'!A35*30/'V06 Motor'!C35&lt;'V06 Curva'!$A$5:$A$34,'V06 Motor'!A35*30/'V06 Motor'!C35,'V06 Curva'!$A$5:$A$34)-IF(('V06 Motor'!A35-1)*30/'V06 Motor'!C35&gt;'V06 Curva'!$A$5:$A$34-1,('V06 Motor'!A35-1)*30/'V06 Motor'!C35,'V06 Curva'!$A$5:$A$34-1))&gt;0,(IF('V06 Motor'!A35*30/'V06 Motor'!C35&lt;'V06 Curva'!$A$5:$A$34,'V06 Motor'!A35*30/'V06 Motor'!C35,'V06 Curva'!$A$5:$A$34)-IF(('V06 Motor'!A35-1)*30/'V06 Motor'!C35&gt;'V06 Curva'!$A$5:$A$34-1,('V06 Motor'!A35-1)*30/'V06 Motor'!C35,'V06 Curva'!$A$5:$A$34-1)),0)),0)</f>
        <v>0.0</v>
      </c>
      <c r="H35" s="2">
        <f>IF('V06 Motor'!A35&lt;='V06 Motor'!C35,SUM(MAX(0,MIN('V06 Motor'!A35*30/'V06 Motor'!C35,1)-MAX(('V06 Motor'!A35-1)*30/'V06 Motor'!C35,0))*'V06 Curva'!$B$5,MAX(0,MIN('V06 Motor'!A35*30/'V06 Motor'!C35,2)-MAX(('V06 Motor'!A35-1)*30/'V06 Motor'!C35,1))*'V06 Curva'!$B$6,MAX(0,MIN('V06 Motor'!A35*30/'V06 Motor'!C35,3)-MAX(('V06 Motor'!A35-1)*30/'V06 Motor'!C35,2))*'V06 Curva'!$B$7,MAX(0,MIN('V06 Motor'!A35*30/'V06 Motor'!C35,4)-MAX(('V06 Motor'!A35-1)*30/'V06 Motor'!C35,3))*'V06 Curva'!$B$8,MAX(0,MIN('V06 Motor'!A35*30/'V06 Motor'!C35,5)-MAX(('V06 Motor'!A35-1)*30/'V06 Motor'!C35,4))*'V06 Curva'!$B$9,MAX(0,MIN('V06 Motor'!A35*30/'V06 Motor'!C35,6)-MAX(('V06 Motor'!A35-1)*30/'V06 Motor'!C35,5))*'V06 Curva'!$B$10,MAX(0,MIN('V06 Motor'!A35*30/'V06 Motor'!C35,7)-MAX(('V06 Motor'!A35-1)*30/'V06 Motor'!C35,6))*'V06 Curva'!$B$11,MAX(0,MIN('V06 Motor'!A35*30/'V06 Motor'!C35,8)-MAX(('V06 Motor'!A35-1)*30/'V06 Motor'!C35,7))*'V06 Curva'!$B$12,MAX(0,MIN('V06 Motor'!A35*30/'V06 Motor'!C35,9)-MAX(('V06 Motor'!A35-1)*30/'V06 Motor'!C35,8))*'V06 Curva'!$B$13,MAX(0,MIN('V06 Motor'!A35*30/'V06 Motor'!C35,10)-MAX(('V06 Motor'!A35-1)*30/'V06 Motor'!C35,9))*'V06 Curva'!$B$14,MAX(0,MIN('V06 Motor'!A35*30/'V06 Motor'!C35,11)-MAX(('V06 Motor'!A35-1)*30/'V06 Motor'!C35,10))*'V06 Curva'!$B$15,MAX(0,MIN('V06 Motor'!A35*30/'V06 Motor'!C35,12)-MAX(('V06 Motor'!A35-1)*30/'V06 Motor'!C35,11))*'V06 Curva'!$B$16,MAX(0,MIN('V06 Motor'!A35*30/'V06 Motor'!C35,13)-MAX(('V06 Motor'!A35-1)*30/'V06 Motor'!C35,12))*'V06 Curva'!$B$17,MAX(0,MIN('V06 Motor'!A35*30/'V06 Motor'!C35,14)-MAX(('V06 Motor'!A35-1)*30/'V06 Motor'!C35,13))*'V06 Curva'!$B$18,MAX(0,MIN('V06 Motor'!A35*30/'V06 Motor'!C35,15)-MAX(('V06 Motor'!A35-1)*30/'V06 Motor'!C35,14))*'V06 Curva'!$B$19,MAX(0,MIN('V06 Motor'!A35*30/'V06 Motor'!C35,16)-MAX(('V06 Motor'!A35-1)*30/'V06 Motor'!C35,15))*'V06 Curva'!$B$20,MAX(0,MIN('V06 Motor'!A35*30/'V06 Motor'!C35,17)-MAX(('V06 Motor'!A35-1)*30/'V06 Motor'!C35,16))*'V06 Curva'!$B$21,MAX(0,MIN('V06 Motor'!A35*30/'V06 Motor'!C35,18)-MAX(('V06 Motor'!A35-1)*30/'V06 Motor'!C35,17))*'V06 Curva'!$B$22,MAX(0,MIN('V06 Motor'!A35*30/'V06 Motor'!C35,19)-MAX(('V06 Motor'!A35-1)*30/'V06 Motor'!C35,18))*'V06 Curva'!$B$23,MAX(0,MIN('V06 Motor'!A35*30/'V06 Motor'!C35,20)-MAX(('V06 Motor'!A35-1)*30/'V06 Motor'!C35,19))*'V06 Curva'!$B$24,MAX(0,MIN('V06 Motor'!A35*30/'V06 Motor'!C35,21)-MAX(('V06 Motor'!A35-1)*30/'V06 Motor'!C35,20))*'V06 Curva'!$B$25,MAX(0,MIN('V06 Motor'!A35*30/'V06 Motor'!C35,22)-MAX(('V06 Motor'!A35-1)*30/'V06 Motor'!C35,21))*'V06 Curva'!$B$26,MAX(0,MIN('V06 Motor'!A35*30/'V06 Motor'!C35,23)-MAX(('V06 Motor'!A35-1)*30/'V06 Motor'!C35,22))*'V06 Curva'!$B$27,MAX(0,MIN('V06 Motor'!A35*30/'V06 Motor'!C35,24)-MAX(('V06 Motor'!A35-1)*30/'V06 Motor'!C35,23))*'V06 Curva'!$B$28,MAX(0,MIN('V06 Motor'!A35*30/'V06 Motor'!C35,25)-MAX(('V06 Motor'!A35-1)*30/'V06 Motor'!C35,24))*'V06 Curva'!$B$29,MAX(0,MIN('V06 Motor'!A35*30/'V06 Motor'!C35,26)-MAX(('V06 Motor'!A35-1)*30/'V06 Motor'!C35,25))*'V06 Curva'!$B$30,MAX(0,MIN('V06 Motor'!A35*30/'V06 Motor'!C35,27)-MAX(('V06 Motor'!A35-1)*30/'V06 Motor'!C35,26))*'V06 Curva'!$B$31,MAX(0,MIN('V06 Motor'!A35*30/'V06 Motor'!C35,28)-MAX(('V06 Motor'!A35-1)*30/'V06 Motor'!C35,27))*'V06 Curva'!$B$32,MAX(0,MIN('V06 Motor'!A35*30/'V06 Motor'!C35,29)-MAX(('V06 Motor'!A35-1)*30/'V06 Motor'!C35,28))*'V06 Curva'!$B$33,MAX(0,MIN('V06 Motor'!A35*30/'V06 Motor'!C35,30)-MAX(('V06 Motor'!A35-1)*30/'V06 Motor'!C35,29))*'V06 Curva'!$B$34),0)</f>
        <v>0.0</v>
      </c>
      <c r="O35" s="2">
        <f>SUMPRODUCT(--(('V06 Unidades'!$I$5:$I$98+'V06 Controlos'!$B$37)='V06 Motor'!A35),ROUND('V06 Unidades'!$H$5:$H$98*0.05,2)+ROUND('V06 Unidades'!$H$5:$H$98*0.2,2))+SUMPRODUCT(--(IF('V06 Controlos'!$B$38&gt;0,IF(('V06 Unidades'!$L$5:$L$98+'V06 Controlos'!$B$37)&lt;'V06 Motor'!C35,'V06 Motor'!C35,('V06 Unidades'!$L$5:$L$98+'V06 Controlos'!$B$37)),('V06 Unidades'!$L$5:$L$98+'V06 Controlos'!$B$37))='V06 Motor'!A35),'V06 Unidades'!$H$5:$H$98-ROUND('V06 Unidades'!$H$5:$H$98*0.05,2)-ROUND('V06 Unidades'!$H$5:$H$98*0.2,2)-ROUND('V06 Unidades'!$H$5:$H$98*0.55,2))+SUMPRODUCT(--(IF(INT((IF('V06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Controlos'!$B$37)-1)/6),0)&gt;0),--('V06 Motor'!A35&gt;('V06 Unidades'!$I$5:$I$98+'V06 Controlos'!$B$37)),--('V06 Motor'!A35&lt;IF('V06 Controlos'!$B$38&gt;0,IF(('V06 Unidades'!$L$5:$L$98+'V06 Controlos'!$B$37)&lt;'V06 Motor'!C35,'V06 Motor'!C35,('V06 Unidades'!$L$5:$L$98+'V06 Controlos'!$B$37)),('V06 Unidades'!$L$5:$L$98+'V06 Controlos'!$B$37))),--(MOD('V06 Motor'!A35-('V06 Unidades'!$I$5:$I$98+'V06 Controlos'!$B$37),6)=0),--(('V06 Motor'!A35-('V06 Unidades'!$I$5:$I$98+'V06 Controlos'!$B$37))/6&lt;=IF(INT((IF('V06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Controlos'!$B$37)-1)/6),0)),IF('V06 Motor'!A35=('V06 Unidades'!$I$5:$I$98+'V06 Controlos'!$B$37)+6*IF(INT((IF('V06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Controlos'!$B$37)-1)/6),0)&gt;0,IF(INT((IF('V06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Controlos'!$B$37)-1)/6),0),1),2)*(IF(INT((IF('V06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Controlos'!$B$37)-1)/6),0)&gt;0,IF(INT((IF('V06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Controlos'!$B$37)-1)/6)&gt;0,INT((IF('V06 Controlos'!$B$38&gt;0,IF(('V06 Unidades'!$L$5:$L$98+'V06 Controlos'!$B$37)&lt;'V06 Motor'!C35,'V06 Motor'!C35,('V06 Unidades'!$L$5:$L$98+'V06 Controlos'!$B$37)),('V06 Unidades'!$L$5:$L$98+'V06 Controlos'!$B$37))-('V06 Unidades'!$I$5:$I$98+'V06 Controlos'!$B$37)-1)/6),0),1),2)))</f>
        <v>0.0</v>
      </c>
      <c r="P35" s="2">
        <f>SUM('V06 Calend 01'!AQ5:AQ98)</f>
        <v>0.0</v>
      </c>
    </row>
    <row r="36" spans="1:16">
      <c r="A36">
        <v>32</v>
      </c>
      <c r="C36">
        <v>30</v>
      </c>
      <c r="G36" s="2">
        <f>IF('V06 Motor'!A36&lt;='V06 Motor'!C36,SUMPRODUCT('V06 Curva'!$B$5:$B$34,IF((IF('V06 Motor'!A36*30/'V06 Motor'!C36&lt;'V06 Curva'!$A$5:$A$34,'V06 Motor'!A36*30/'V06 Motor'!C36,'V06 Curva'!$A$5:$A$34)-IF(('V06 Motor'!A36-1)*30/'V06 Motor'!C36&gt;'V06 Curva'!$A$5:$A$34-1,('V06 Motor'!A36-1)*30/'V06 Motor'!C36,'V06 Curva'!$A$5:$A$34-1))&gt;0,(IF('V06 Motor'!A36*30/'V06 Motor'!C36&lt;'V06 Curva'!$A$5:$A$34,'V06 Motor'!A36*30/'V06 Motor'!C36,'V06 Curva'!$A$5:$A$34)-IF(('V06 Motor'!A36-1)*30/'V06 Motor'!C36&gt;'V06 Curva'!$A$5:$A$34-1,('V06 Motor'!A36-1)*30/'V06 Motor'!C36,'V06 Curva'!$A$5:$A$34-1)),0)),0)</f>
        <v>0.0</v>
      </c>
      <c r="H36" s="2">
        <f>IF('V06 Motor'!A36&lt;='V06 Motor'!C36,SUM(MAX(0,MIN('V06 Motor'!A36*30/'V06 Motor'!C36,1)-MAX(('V06 Motor'!A36-1)*30/'V06 Motor'!C36,0))*'V06 Curva'!$B$5,MAX(0,MIN('V06 Motor'!A36*30/'V06 Motor'!C36,2)-MAX(('V06 Motor'!A36-1)*30/'V06 Motor'!C36,1))*'V06 Curva'!$B$6,MAX(0,MIN('V06 Motor'!A36*30/'V06 Motor'!C36,3)-MAX(('V06 Motor'!A36-1)*30/'V06 Motor'!C36,2))*'V06 Curva'!$B$7,MAX(0,MIN('V06 Motor'!A36*30/'V06 Motor'!C36,4)-MAX(('V06 Motor'!A36-1)*30/'V06 Motor'!C36,3))*'V06 Curva'!$B$8,MAX(0,MIN('V06 Motor'!A36*30/'V06 Motor'!C36,5)-MAX(('V06 Motor'!A36-1)*30/'V06 Motor'!C36,4))*'V06 Curva'!$B$9,MAX(0,MIN('V06 Motor'!A36*30/'V06 Motor'!C36,6)-MAX(('V06 Motor'!A36-1)*30/'V06 Motor'!C36,5))*'V06 Curva'!$B$10,MAX(0,MIN('V06 Motor'!A36*30/'V06 Motor'!C36,7)-MAX(('V06 Motor'!A36-1)*30/'V06 Motor'!C36,6))*'V06 Curva'!$B$11,MAX(0,MIN('V06 Motor'!A36*30/'V06 Motor'!C36,8)-MAX(('V06 Motor'!A36-1)*30/'V06 Motor'!C36,7))*'V06 Curva'!$B$12,MAX(0,MIN('V06 Motor'!A36*30/'V06 Motor'!C36,9)-MAX(('V06 Motor'!A36-1)*30/'V06 Motor'!C36,8))*'V06 Curva'!$B$13,MAX(0,MIN('V06 Motor'!A36*30/'V06 Motor'!C36,10)-MAX(('V06 Motor'!A36-1)*30/'V06 Motor'!C36,9))*'V06 Curva'!$B$14,MAX(0,MIN('V06 Motor'!A36*30/'V06 Motor'!C36,11)-MAX(('V06 Motor'!A36-1)*30/'V06 Motor'!C36,10))*'V06 Curva'!$B$15,MAX(0,MIN('V06 Motor'!A36*30/'V06 Motor'!C36,12)-MAX(('V06 Motor'!A36-1)*30/'V06 Motor'!C36,11))*'V06 Curva'!$B$16,MAX(0,MIN('V06 Motor'!A36*30/'V06 Motor'!C36,13)-MAX(('V06 Motor'!A36-1)*30/'V06 Motor'!C36,12))*'V06 Curva'!$B$17,MAX(0,MIN('V06 Motor'!A36*30/'V06 Motor'!C36,14)-MAX(('V06 Motor'!A36-1)*30/'V06 Motor'!C36,13))*'V06 Curva'!$B$18,MAX(0,MIN('V06 Motor'!A36*30/'V06 Motor'!C36,15)-MAX(('V06 Motor'!A36-1)*30/'V06 Motor'!C36,14))*'V06 Curva'!$B$19,MAX(0,MIN('V06 Motor'!A36*30/'V06 Motor'!C36,16)-MAX(('V06 Motor'!A36-1)*30/'V06 Motor'!C36,15))*'V06 Curva'!$B$20,MAX(0,MIN('V06 Motor'!A36*30/'V06 Motor'!C36,17)-MAX(('V06 Motor'!A36-1)*30/'V06 Motor'!C36,16))*'V06 Curva'!$B$21,MAX(0,MIN('V06 Motor'!A36*30/'V06 Motor'!C36,18)-MAX(('V06 Motor'!A36-1)*30/'V06 Motor'!C36,17))*'V06 Curva'!$B$22,MAX(0,MIN('V06 Motor'!A36*30/'V06 Motor'!C36,19)-MAX(('V06 Motor'!A36-1)*30/'V06 Motor'!C36,18))*'V06 Curva'!$B$23,MAX(0,MIN('V06 Motor'!A36*30/'V06 Motor'!C36,20)-MAX(('V06 Motor'!A36-1)*30/'V06 Motor'!C36,19))*'V06 Curva'!$B$24,MAX(0,MIN('V06 Motor'!A36*30/'V06 Motor'!C36,21)-MAX(('V06 Motor'!A36-1)*30/'V06 Motor'!C36,20))*'V06 Curva'!$B$25,MAX(0,MIN('V06 Motor'!A36*30/'V06 Motor'!C36,22)-MAX(('V06 Motor'!A36-1)*30/'V06 Motor'!C36,21))*'V06 Curva'!$B$26,MAX(0,MIN('V06 Motor'!A36*30/'V06 Motor'!C36,23)-MAX(('V06 Motor'!A36-1)*30/'V06 Motor'!C36,22))*'V06 Curva'!$B$27,MAX(0,MIN('V06 Motor'!A36*30/'V06 Motor'!C36,24)-MAX(('V06 Motor'!A36-1)*30/'V06 Motor'!C36,23))*'V06 Curva'!$B$28,MAX(0,MIN('V06 Motor'!A36*30/'V06 Motor'!C36,25)-MAX(('V06 Motor'!A36-1)*30/'V06 Motor'!C36,24))*'V06 Curva'!$B$29,MAX(0,MIN('V06 Motor'!A36*30/'V06 Motor'!C36,26)-MAX(('V06 Motor'!A36-1)*30/'V06 Motor'!C36,25))*'V06 Curva'!$B$30,MAX(0,MIN('V06 Motor'!A36*30/'V06 Motor'!C36,27)-MAX(('V06 Motor'!A36-1)*30/'V06 Motor'!C36,26))*'V06 Curva'!$B$31,MAX(0,MIN('V06 Motor'!A36*30/'V06 Motor'!C36,28)-MAX(('V06 Motor'!A36-1)*30/'V06 Motor'!C36,27))*'V06 Curva'!$B$32,MAX(0,MIN('V06 Motor'!A36*30/'V06 Motor'!C36,29)-MAX(('V06 Motor'!A36-1)*30/'V06 Motor'!C36,28))*'V06 Curva'!$B$33,MAX(0,MIN('V06 Motor'!A36*30/'V06 Motor'!C36,30)-MAX(('V06 Motor'!A36-1)*30/'V06 Motor'!C36,29))*'V06 Curva'!$B$34),0)</f>
        <v>0.0</v>
      </c>
      <c r="O36" s="2">
        <f>SUMPRODUCT(--(('V06 Unidades'!$I$5:$I$98+'V06 Controlos'!$B$37)='V06 Motor'!A36),ROUND('V06 Unidades'!$H$5:$H$98*0.05,2)+ROUND('V06 Unidades'!$H$5:$H$98*0.2,2))+SUMPRODUCT(--(IF('V06 Controlos'!$B$38&gt;0,IF(('V06 Unidades'!$L$5:$L$98+'V06 Controlos'!$B$37)&lt;'V06 Motor'!C36,'V06 Motor'!C36,('V06 Unidades'!$L$5:$L$98+'V06 Controlos'!$B$37)),('V06 Unidades'!$L$5:$L$98+'V06 Controlos'!$B$37))='V06 Motor'!A36),'V06 Unidades'!$H$5:$H$98-ROUND('V06 Unidades'!$H$5:$H$98*0.05,2)-ROUND('V06 Unidades'!$H$5:$H$98*0.2,2)-ROUND('V06 Unidades'!$H$5:$H$98*0.55,2))+SUMPRODUCT(--(IF(INT((IF('V06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Controlos'!$B$37)-1)/6),0)&gt;0),--('V06 Motor'!A36&gt;('V06 Unidades'!$I$5:$I$98+'V06 Controlos'!$B$37)),--('V06 Motor'!A36&lt;IF('V06 Controlos'!$B$38&gt;0,IF(('V06 Unidades'!$L$5:$L$98+'V06 Controlos'!$B$37)&lt;'V06 Motor'!C36,'V06 Motor'!C36,('V06 Unidades'!$L$5:$L$98+'V06 Controlos'!$B$37)),('V06 Unidades'!$L$5:$L$98+'V06 Controlos'!$B$37))),--(MOD('V06 Motor'!A36-('V06 Unidades'!$I$5:$I$98+'V06 Controlos'!$B$37),6)=0),--(('V06 Motor'!A36-('V06 Unidades'!$I$5:$I$98+'V06 Controlos'!$B$37))/6&lt;=IF(INT((IF('V06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Controlos'!$B$37)-1)/6),0)),IF('V06 Motor'!A36=('V06 Unidades'!$I$5:$I$98+'V06 Controlos'!$B$37)+6*IF(INT((IF('V06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Controlos'!$B$37)-1)/6),0)&gt;0,IF(INT((IF('V06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Controlos'!$B$37)-1)/6),0),1),2)*(IF(INT((IF('V06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Controlos'!$B$37)-1)/6),0)&gt;0,IF(INT((IF('V06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Controlos'!$B$37)-1)/6)&gt;0,INT((IF('V06 Controlos'!$B$38&gt;0,IF(('V06 Unidades'!$L$5:$L$98+'V06 Controlos'!$B$37)&lt;'V06 Motor'!C36,'V06 Motor'!C36,('V06 Unidades'!$L$5:$L$98+'V06 Controlos'!$B$37)),('V06 Unidades'!$L$5:$L$98+'V06 Controlos'!$B$37))-('V06 Unidades'!$I$5:$I$98+'V06 Controlos'!$B$37)-1)/6),0),1),2)))</f>
        <v>0.0</v>
      </c>
      <c r="P36" s="2">
        <f>SUM('V06 Calend 01'!AR5:AR98)</f>
        <v>0.0</v>
      </c>
    </row>
    <row r="37" spans="1:16">
      <c r="A37">
        <v>33</v>
      </c>
      <c r="C37">
        <v>30</v>
      </c>
      <c r="G37" s="2">
        <f>IF('V06 Motor'!A37&lt;='V06 Motor'!C37,SUMPRODUCT('V06 Curva'!$B$5:$B$34,IF((IF('V06 Motor'!A37*30/'V06 Motor'!C37&lt;'V06 Curva'!$A$5:$A$34,'V06 Motor'!A37*30/'V06 Motor'!C37,'V06 Curva'!$A$5:$A$34)-IF(('V06 Motor'!A37-1)*30/'V06 Motor'!C37&gt;'V06 Curva'!$A$5:$A$34-1,('V06 Motor'!A37-1)*30/'V06 Motor'!C37,'V06 Curva'!$A$5:$A$34-1))&gt;0,(IF('V06 Motor'!A37*30/'V06 Motor'!C37&lt;'V06 Curva'!$A$5:$A$34,'V06 Motor'!A37*30/'V06 Motor'!C37,'V06 Curva'!$A$5:$A$34)-IF(('V06 Motor'!A37-1)*30/'V06 Motor'!C37&gt;'V06 Curva'!$A$5:$A$34-1,('V06 Motor'!A37-1)*30/'V06 Motor'!C37,'V06 Curva'!$A$5:$A$34-1)),0)),0)</f>
        <v>0.0</v>
      </c>
      <c r="H37" s="2">
        <f>IF('V06 Motor'!A37&lt;='V06 Motor'!C37,SUM(MAX(0,MIN('V06 Motor'!A37*30/'V06 Motor'!C37,1)-MAX(('V06 Motor'!A37-1)*30/'V06 Motor'!C37,0))*'V06 Curva'!$B$5,MAX(0,MIN('V06 Motor'!A37*30/'V06 Motor'!C37,2)-MAX(('V06 Motor'!A37-1)*30/'V06 Motor'!C37,1))*'V06 Curva'!$B$6,MAX(0,MIN('V06 Motor'!A37*30/'V06 Motor'!C37,3)-MAX(('V06 Motor'!A37-1)*30/'V06 Motor'!C37,2))*'V06 Curva'!$B$7,MAX(0,MIN('V06 Motor'!A37*30/'V06 Motor'!C37,4)-MAX(('V06 Motor'!A37-1)*30/'V06 Motor'!C37,3))*'V06 Curva'!$B$8,MAX(0,MIN('V06 Motor'!A37*30/'V06 Motor'!C37,5)-MAX(('V06 Motor'!A37-1)*30/'V06 Motor'!C37,4))*'V06 Curva'!$B$9,MAX(0,MIN('V06 Motor'!A37*30/'V06 Motor'!C37,6)-MAX(('V06 Motor'!A37-1)*30/'V06 Motor'!C37,5))*'V06 Curva'!$B$10,MAX(0,MIN('V06 Motor'!A37*30/'V06 Motor'!C37,7)-MAX(('V06 Motor'!A37-1)*30/'V06 Motor'!C37,6))*'V06 Curva'!$B$11,MAX(0,MIN('V06 Motor'!A37*30/'V06 Motor'!C37,8)-MAX(('V06 Motor'!A37-1)*30/'V06 Motor'!C37,7))*'V06 Curva'!$B$12,MAX(0,MIN('V06 Motor'!A37*30/'V06 Motor'!C37,9)-MAX(('V06 Motor'!A37-1)*30/'V06 Motor'!C37,8))*'V06 Curva'!$B$13,MAX(0,MIN('V06 Motor'!A37*30/'V06 Motor'!C37,10)-MAX(('V06 Motor'!A37-1)*30/'V06 Motor'!C37,9))*'V06 Curva'!$B$14,MAX(0,MIN('V06 Motor'!A37*30/'V06 Motor'!C37,11)-MAX(('V06 Motor'!A37-1)*30/'V06 Motor'!C37,10))*'V06 Curva'!$B$15,MAX(0,MIN('V06 Motor'!A37*30/'V06 Motor'!C37,12)-MAX(('V06 Motor'!A37-1)*30/'V06 Motor'!C37,11))*'V06 Curva'!$B$16,MAX(0,MIN('V06 Motor'!A37*30/'V06 Motor'!C37,13)-MAX(('V06 Motor'!A37-1)*30/'V06 Motor'!C37,12))*'V06 Curva'!$B$17,MAX(0,MIN('V06 Motor'!A37*30/'V06 Motor'!C37,14)-MAX(('V06 Motor'!A37-1)*30/'V06 Motor'!C37,13))*'V06 Curva'!$B$18,MAX(0,MIN('V06 Motor'!A37*30/'V06 Motor'!C37,15)-MAX(('V06 Motor'!A37-1)*30/'V06 Motor'!C37,14))*'V06 Curva'!$B$19,MAX(0,MIN('V06 Motor'!A37*30/'V06 Motor'!C37,16)-MAX(('V06 Motor'!A37-1)*30/'V06 Motor'!C37,15))*'V06 Curva'!$B$20,MAX(0,MIN('V06 Motor'!A37*30/'V06 Motor'!C37,17)-MAX(('V06 Motor'!A37-1)*30/'V06 Motor'!C37,16))*'V06 Curva'!$B$21,MAX(0,MIN('V06 Motor'!A37*30/'V06 Motor'!C37,18)-MAX(('V06 Motor'!A37-1)*30/'V06 Motor'!C37,17))*'V06 Curva'!$B$22,MAX(0,MIN('V06 Motor'!A37*30/'V06 Motor'!C37,19)-MAX(('V06 Motor'!A37-1)*30/'V06 Motor'!C37,18))*'V06 Curva'!$B$23,MAX(0,MIN('V06 Motor'!A37*30/'V06 Motor'!C37,20)-MAX(('V06 Motor'!A37-1)*30/'V06 Motor'!C37,19))*'V06 Curva'!$B$24,MAX(0,MIN('V06 Motor'!A37*30/'V06 Motor'!C37,21)-MAX(('V06 Motor'!A37-1)*30/'V06 Motor'!C37,20))*'V06 Curva'!$B$25,MAX(0,MIN('V06 Motor'!A37*30/'V06 Motor'!C37,22)-MAX(('V06 Motor'!A37-1)*30/'V06 Motor'!C37,21))*'V06 Curva'!$B$26,MAX(0,MIN('V06 Motor'!A37*30/'V06 Motor'!C37,23)-MAX(('V06 Motor'!A37-1)*30/'V06 Motor'!C37,22))*'V06 Curva'!$B$27,MAX(0,MIN('V06 Motor'!A37*30/'V06 Motor'!C37,24)-MAX(('V06 Motor'!A37-1)*30/'V06 Motor'!C37,23))*'V06 Curva'!$B$28,MAX(0,MIN('V06 Motor'!A37*30/'V06 Motor'!C37,25)-MAX(('V06 Motor'!A37-1)*30/'V06 Motor'!C37,24))*'V06 Curva'!$B$29,MAX(0,MIN('V06 Motor'!A37*30/'V06 Motor'!C37,26)-MAX(('V06 Motor'!A37-1)*30/'V06 Motor'!C37,25))*'V06 Curva'!$B$30,MAX(0,MIN('V06 Motor'!A37*30/'V06 Motor'!C37,27)-MAX(('V06 Motor'!A37-1)*30/'V06 Motor'!C37,26))*'V06 Curva'!$B$31,MAX(0,MIN('V06 Motor'!A37*30/'V06 Motor'!C37,28)-MAX(('V06 Motor'!A37-1)*30/'V06 Motor'!C37,27))*'V06 Curva'!$B$32,MAX(0,MIN('V06 Motor'!A37*30/'V06 Motor'!C37,29)-MAX(('V06 Motor'!A37-1)*30/'V06 Motor'!C37,28))*'V06 Curva'!$B$33,MAX(0,MIN('V06 Motor'!A37*30/'V06 Motor'!C37,30)-MAX(('V06 Motor'!A37-1)*30/'V06 Motor'!C37,29))*'V06 Curva'!$B$34),0)</f>
        <v>0.0</v>
      </c>
      <c r="O37" s="2">
        <f>SUMPRODUCT(--(('V06 Unidades'!$I$5:$I$98+'V06 Controlos'!$B$37)='V06 Motor'!A37),ROUND('V06 Unidades'!$H$5:$H$98*0.05,2)+ROUND('V06 Unidades'!$H$5:$H$98*0.2,2))+SUMPRODUCT(--(IF('V06 Controlos'!$B$38&gt;0,IF(('V06 Unidades'!$L$5:$L$98+'V06 Controlos'!$B$37)&lt;'V06 Motor'!C37,'V06 Motor'!C37,('V06 Unidades'!$L$5:$L$98+'V06 Controlos'!$B$37)),('V06 Unidades'!$L$5:$L$98+'V06 Controlos'!$B$37))='V06 Motor'!A37),'V06 Unidades'!$H$5:$H$98-ROUND('V06 Unidades'!$H$5:$H$98*0.05,2)-ROUND('V06 Unidades'!$H$5:$H$98*0.2,2)-ROUND('V06 Unidades'!$H$5:$H$98*0.55,2))+SUMPRODUCT(--(IF(INT((IF('V06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Controlos'!$B$37)-1)/6),0)&gt;0),--('V06 Motor'!A37&gt;('V06 Unidades'!$I$5:$I$98+'V06 Controlos'!$B$37)),--('V06 Motor'!A37&lt;IF('V06 Controlos'!$B$38&gt;0,IF(('V06 Unidades'!$L$5:$L$98+'V06 Controlos'!$B$37)&lt;'V06 Motor'!C37,'V06 Motor'!C37,('V06 Unidades'!$L$5:$L$98+'V06 Controlos'!$B$37)),('V06 Unidades'!$L$5:$L$98+'V06 Controlos'!$B$37))),--(MOD('V06 Motor'!A37-('V06 Unidades'!$I$5:$I$98+'V06 Controlos'!$B$37),6)=0),--(('V06 Motor'!A37-('V06 Unidades'!$I$5:$I$98+'V06 Controlos'!$B$37))/6&lt;=IF(INT((IF('V06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Controlos'!$B$37)-1)/6),0)),IF('V06 Motor'!A37=('V06 Unidades'!$I$5:$I$98+'V06 Controlos'!$B$37)+6*IF(INT((IF('V06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Controlos'!$B$37)-1)/6),0)&gt;0,IF(INT((IF('V06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Controlos'!$B$37)-1)/6),0),1),2)*(IF(INT((IF('V06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Controlos'!$B$37)-1)/6),0)&gt;0,IF(INT((IF('V06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Controlos'!$B$37)-1)/6)&gt;0,INT((IF('V06 Controlos'!$B$38&gt;0,IF(('V06 Unidades'!$L$5:$L$98+'V06 Controlos'!$B$37)&lt;'V06 Motor'!C37,'V06 Motor'!C37,('V06 Unidades'!$L$5:$L$98+'V06 Controlos'!$B$37)),('V06 Unidades'!$L$5:$L$98+'V06 Controlos'!$B$37))-('V06 Unidades'!$I$5:$I$98+'V06 Controlos'!$B$37)-1)/6),0),1),2)))</f>
        <v>0.0</v>
      </c>
      <c r="P37" s="2">
        <f>SUM('V06 Calend 01'!AS5:AS98)</f>
        <v>0.0</v>
      </c>
    </row>
    <row r="38" spans="1:16">
      <c r="A38">
        <v>34</v>
      </c>
      <c r="C38">
        <v>30</v>
      </c>
      <c r="G38" s="2">
        <f>IF('V06 Motor'!A38&lt;='V06 Motor'!C38,SUMPRODUCT('V06 Curva'!$B$5:$B$34,IF((IF('V06 Motor'!A38*30/'V06 Motor'!C38&lt;'V06 Curva'!$A$5:$A$34,'V06 Motor'!A38*30/'V06 Motor'!C38,'V06 Curva'!$A$5:$A$34)-IF(('V06 Motor'!A38-1)*30/'V06 Motor'!C38&gt;'V06 Curva'!$A$5:$A$34-1,('V06 Motor'!A38-1)*30/'V06 Motor'!C38,'V06 Curva'!$A$5:$A$34-1))&gt;0,(IF('V06 Motor'!A38*30/'V06 Motor'!C38&lt;'V06 Curva'!$A$5:$A$34,'V06 Motor'!A38*30/'V06 Motor'!C38,'V06 Curva'!$A$5:$A$34)-IF(('V06 Motor'!A38-1)*30/'V06 Motor'!C38&gt;'V06 Curva'!$A$5:$A$34-1,('V06 Motor'!A38-1)*30/'V06 Motor'!C38,'V06 Curva'!$A$5:$A$34-1)),0)),0)</f>
        <v>0.0</v>
      </c>
      <c r="H38" s="2">
        <f>IF('V06 Motor'!A38&lt;='V06 Motor'!C38,SUM(MAX(0,MIN('V06 Motor'!A38*30/'V06 Motor'!C38,1)-MAX(('V06 Motor'!A38-1)*30/'V06 Motor'!C38,0))*'V06 Curva'!$B$5,MAX(0,MIN('V06 Motor'!A38*30/'V06 Motor'!C38,2)-MAX(('V06 Motor'!A38-1)*30/'V06 Motor'!C38,1))*'V06 Curva'!$B$6,MAX(0,MIN('V06 Motor'!A38*30/'V06 Motor'!C38,3)-MAX(('V06 Motor'!A38-1)*30/'V06 Motor'!C38,2))*'V06 Curva'!$B$7,MAX(0,MIN('V06 Motor'!A38*30/'V06 Motor'!C38,4)-MAX(('V06 Motor'!A38-1)*30/'V06 Motor'!C38,3))*'V06 Curva'!$B$8,MAX(0,MIN('V06 Motor'!A38*30/'V06 Motor'!C38,5)-MAX(('V06 Motor'!A38-1)*30/'V06 Motor'!C38,4))*'V06 Curva'!$B$9,MAX(0,MIN('V06 Motor'!A38*30/'V06 Motor'!C38,6)-MAX(('V06 Motor'!A38-1)*30/'V06 Motor'!C38,5))*'V06 Curva'!$B$10,MAX(0,MIN('V06 Motor'!A38*30/'V06 Motor'!C38,7)-MAX(('V06 Motor'!A38-1)*30/'V06 Motor'!C38,6))*'V06 Curva'!$B$11,MAX(0,MIN('V06 Motor'!A38*30/'V06 Motor'!C38,8)-MAX(('V06 Motor'!A38-1)*30/'V06 Motor'!C38,7))*'V06 Curva'!$B$12,MAX(0,MIN('V06 Motor'!A38*30/'V06 Motor'!C38,9)-MAX(('V06 Motor'!A38-1)*30/'V06 Motor'!C38,8))*'V06 Curva'!$B$13,MAX(0,MIN('V06 Motor'!A38*30/'V06 Motor'!C38,10)-MAX(('V06 Motor'!A38-1)*30/'V06 Motor'!C38,9))*'V06 Curva'!$B$14,MAX(0,MIN('V06 Motor'!A38*30/'V06 Motor'!C38,11)-MAX(('V06 Motor'!A38-1)*30/'V06 Motor'!C38,10))*'V06 Curva'!$B$15,MAX(0,MIN('V06 Motor'!A38*30/'V06 Motor'!C38,12)-MAX(('V06 Motor'!A38-1)*30/'V06 Motor'!C38,11))*'V06 Curva'!$B$16,MAX(0,MIN('V06 Motor'!A38*30/'V06 Motor'!C38,13)-MAX(('V06 Motor'!A38-1)*30/'V06 Motor'!C38,12))*'V06 Curva'!$B$17,MAX(0,MIN('V06 Motor'!A38*30/'V06 Motor'!C38,14)-MAX(('V06 Motor'!A38-1)*30/'V06 Motor'!C38,13))*'V06 Curva'!$B$18,MAX(0,MIN('V06 Motor'!A38*30/'V06 Motor'!C38,15)-MAX(('V06 Motor'!A38-1)*30/'V06 Motor'!C38,14))*'V06 Curva'!$B$19,MAX(0,MIN('V06 Motor'!A38*30/'V06 Motor'!C38,16)-MAX(('V06 Motor'!A38-1)*30/'V06 Motor'!C38,15))*'V06 Curva'!$B$20,MAX(0,MIN('V06 Motor'!A38*30/'V06 Motor'!C38,17)-MAX(('V06 Motor'!A38-1)*30/'V06 Motor'!C38,16))*'V06 Curva'!$B$21,MAX(0,MIN('V06 Motor'!A38*30/'V06 Motor'!C38,18)-MAX(('V06 Motor'!A38-1)*30/'V06 Motor'!C38,17))*'V06 Curva'!$B$22,MAX(0,MIN('V06 Motor'!A38*30/'V06 Motor'!C38,19)-MAX(('V06 Motor'!A38-1)*30/'V06 Motor'!C38,18))*'V06 Curva'!$B$23,MAX(0,MIN('V06 Motor'!A38*30/'V06 Motor'!C38,20)-MAX(('V06 Motor'!A38-1)*30/'V06 Motor'!C38,19))*'V06 Curva'!$B$24,MAX(0,MIN('V06 Motor'!A38*30/'V06 Motor'!C38,21)-MAX(('V06 Motor'!A38-1)*30/'V06 Motor'!C38,20))*'V06 Curva'!$B$25,MAX(0,MIN('V06 Motor'!A38*30/'V06 Motor'!C38,22)-MAX(('V06 Motor'!A38-1)*30/'V06 Motor'!C38,21))*'V06 Curva'!$B$26,MAX(0,MIN('V06 Motor'!A38*30/'V06 Motor'!C38,23)-MAX(('V06 Motor'!A38-1)*30/'V06 Motor'!C38,22))*'V06 Curva'!$B$27,MAX(0,MIN('V06 Motor'!A38*30/'V06 Motor'!C38,24)-MAX(('V06 Motor'!A38-1)*30/'V06 Motor'!C38,23))*'V06 Curva'!$B$28,MAX(0,MIN('V06 Motor'!A38*30/'V06 Motor'!C38,25)-MAX(('V06 Motor'!A38-1)*30/'V06 Motor'!C38,24))*'V06 Curva'!$B$29,MAX(0,MIN('V06 Motor'!A38*30/'V06 Motor'!C38,26)-MAX(('V06 Motor'!A38-1)*30/'V06 Motor'!C38,25))*'V06 Curva'!$B$30,MAX(0,MIN('V06 Motor'!A38*30/'V06 Motor'!C38,27)-MAX(('V06 Motor'!A38-1)*30/'V06 Motor'!C38,26))*'V06 Curva'!$B$31,MAX(0,MIN('V06 Motor'!A38*30/'V06 Motor'!C38,28)-MAX(('V06 Motor'!A38-1)*30/'V06 Motor'!C38,27))*'V06 Curva'!$B$32,MAX(0,MIN('V06 Motor'!A38*30/'V06 Motor'!C38,29)-MAX(('V06 Motor'!A38-1)*30/'V06 Motor'!C38,28))*'V06 Curva'!$B$33,MAX(0,MIN('V06 Motor'!A38*30/'V06 Motor'!C38,30)-MAX(('V06 Motor'!A38-1)*30/'V06 Motor'!C38,29))*'V06 Curva'!$B$34),0)</f>
        <v>0.0</v>
      </c>
      <c r="O38" s="2">
        <f>SUMPRODUCT(--(('V06 Unidades'!$I$5:$I$98+'V06 Controlos'!$B$37)='V06 Motor'!A38),ROUND('V06 Unidades'!$H$5:$H$98*0.05,2)+ROUND('V06 Unidades'!$H$5:$H$98*0.2,2))+SUMPRODUCT(--(IF('V06 Controlos'!$B$38&gt;0,IF(('V06 Unidades'!$L$5:$L$98+'V06 Controlos'!$B$37)&lt;'V06 Motor'!C38,'V06 Motor'!C38,('V06 Unidades'!$L$5:$L$98+'V06 Controlos'!$B$37)),('V06 Unidades'!$L$5:$L$98+'V06 Controlos'!$B$37))='V06 Motor'!A38),'V06 Unidades'!$H$5:$H$98-ROUND('V06 Unidades'!$H$5:$H$98*0.05,2)-ROUND('V06 Unidades'!$H$5:$H$98*0.2,2)-ROUND('V06 Unidades'!$H$5:$H$98*0.55,2))+SUMPRODUCT(--(IF(INT((IF('V06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Controlos'!$B$37)-1)/6),0)&gt;0),--('V06 Motor'!A38&gt;('V06 Unidades'!$I$5:$I$98+'V06 Controlos'!$B$37)),--('V06 Motor'!A38&lt;IF('V06 Controlos'!$B$38&gt;0,IF(('V06 Unidades'!$L$5:$L$98+'V06 Controlos'!$B$37)&lt;'V06 Motor'!C38,'V06 Motor'!C38,('V06 Unidades'!$L$5:$L$98+'V06 Controlos'!$B$37)),('V06 Unidades'!$L$5:$L$98+'V06 Controlos'!$B$37))),--(MOD('V06 Motor'!A38-('V06 Unidades'!$I$5:$I$98+'V06 Controlos'!$B$37),6)=0),--(('V06 Motor'!A38-('V06 Unidades'!$I$5:$I$98+'V06 Controlos'!$B$37))/6&lt;=IF(INT((IF('V06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Controlos'!$B$37)-1)/6),0)),IF('V06 Motor'!A38=('V06 Unidades'!$I$5:$I$98+'V06 Controlos'!$B$37)+6*IF(INT((IF('V06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Controlos'!$B$37)-1)/6),0)&gt;0,IF(INT((IF('V06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Controlos'!$B$37)-1)/6),0),1),2)*(IF(INT((IF('V06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Controlos'!$B$37)-1)/6),0)&gt;0,IF(INT((IF('V06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Controlos'!$B$37)-1)/6)&gt;0,INT((IF('V06 Controlos'!$B$38&gt;0,IF(('V06 Unidades'!$L$5:$L$98+'V06 Controlos'!$B$37)&lt;'V06 Motor'!C38,'V06 Motor'!C38,('V06 Unidades'!$L$5:$L$98+'V06 Controlos'!$B$37)),('V06 Unidades'!$L$5:$L$98+'V06 Controlos'!$B$37))-('V06 Unidades'!$I$5:$I$98+'V06 Controlos'!$B$37)-1)/6),0),1),2)))</f>
        <v>0.0</v>
      </c>
      <c r="P38" s="2">
        <f>SUM('V06 Calend 01'!AT5:AT98)</f>
        <v>0.0</v>
      </c>
    </row>
    <row r="39" spans="1:16">
      <c r="A39">
        <v>35</v>
      </c>
      <c r="C39">
        <v>30</v>
      </c>
      <c r="G39" s="2">
        <f>IF('V06 Motor'!A39&lt;='V06 Motor'!C39,SUMPRODUCT('V06 Curva'!$B$5:$B$34,IF((IF('V06 Motor'!A39*30/'V06 Motor'!C39&lt;'V06 Curva'!$A$5:$A$34,'V06 Motor'!A39*30/'V06 Motor'!C39,'V06 Curva'!$A$5:$A$34)-IF(('V06 Motor'!A39-1)*30/'V06 Motor'!C39&gt;'V06 Curva'!$A$5:$A$34-1,('V06 Motor'!A39-1)*30/'V06 Motor'!C39,'V06 Curva'!$A$5:$A$34-1))&gt;0,(IF('V06 Motor'!A39*30/'V06 Motor'!C39&lt;'V06 Curva'!$A$5:$A$34,'V06 Motor'!A39*30/'V06 Motor'!C39,'V06 Curva'!$A$5:$A$34)-IF(('V06 Motor'!A39-1)*30/'V06 Motor'!C39&gt;'V06 Curva'!$A$5:$A$34-1,('V06 Motor'!A39-1)*30/'V06 Motor'!C39,'V06 Curva'!$A$5:$A$34-1)),0)),0)</f>
        <v>0.0</v>
      </c>
      <c r="H39" s="2">
        <f>IF('V06 Motor'!A39&lt;='V06 Motor'!C39,SUM(MAX(0,MIN('V06 Motor'!A39*30/'V06 Motor'!C39,1)-MAX(('V06 Motor'!A39-1)*30/'V06 Motor'!C39,0))*'V06 Curva'!$B$5,MAX(0,MIN('V06 Motor'!A39*30/'V06 Motor'!C39,2)-MAX(('V06 Motor'!A39-1)*30/'V06 Motor'!C39,1))*'V06 Curva'!$B$6,MAX(0,MIN('V06 Motor'!A39*30/'V06 Motor'!C39,3)-MAX(('V06 Motor'!A39-1)*30/'V06 Motor'!C39,2))*'V06 Curva'!$B$7,MAX(0,MIN('V06 Motor'!A39*30/'V06 Motor'!C39,4)-MAX(('V06 Motor'!A39-1)*30/'V06 Motor'!C39,3))*'V06 Curva'!$B$8,MAX(0,MIN('V06 Motor'!A39*30/'V06 Motor'!C39,5)-MAX(('V06 Motor'!A39-1)*30/'V06 Motor'!C39,4))*'V06 Curva'!$B$9,MAX(0,MIN('V06 Motor'!A39*30/'V06 Motor'!C39,6)-MAX(('V06 Motor'!A39-1)*30/'V06 Motor'!C39,5))*'V06 Curva'!$B$10,MAX(0,MIN('V06 Motor'!A39*30/'V06 Motor'!C39,7)-MAX(('V06 Motor'!A39-1)*30/'V06 Motor'!C39,6))*'V06 Curva'!$B$11,MAX(0,MIN('V06 Motor'!A39*30/'V06 Motor'!C39,8)-MAX(('V06 Motor'!A39-1)*30/'V06 Motor'!C39,7))*'V06 Curva'!$B$12,MAX(0,MIN('V06 Motor'!A39*30/'V06 Motor'!C39,9)-MAX(('V06 Motor'!A39-1)*30/'V06 Motor'!C39,8))*'V06 Curva'!$B$13,MAX(0,MIN('V06 Motor'!A39*30/'V06 Motor'!C39,10)-MAX(('V06 Motor'!A39-1)*30/'V06 Motor'!C39,9))*'V06 Curva'!$B$14,MAX(0,MIN('V06 Motor'!A39*30/'V06 Motor'!C39,11)-MAX(('V06 Motor'!A39-1)*30/'V06 Motor'!C39,10))*'V06 Curva'!$B$15,MAX(0,MIN('V06 Motor'!A39*30/'V06 Motor'!C39,12)-MAX(('V06 Motor'!A39-1)*30/'V06 Motor'!C39,11))*'V06 Curva'!$B$16,MAX(0,MIN('V06 Motor'!A39*30/'V06 Motor'!C39,13)-MAX(('V06 Motor'!A39-1)*30/'V06 Motor'!C39,12))*'V06 Curva'!$B$17,MAX(0,MIN('V06 Motor'!A39*30/'V06 Motor'!C39,14)-MAX(('V06 Motor'!A39-1)*30/'V06 Motor'!C39,13))*'V06 Curva'!$B$18,MAX(0,MIN('V06 Motor'!A39*30/'V06 Motor'!C39,15)-MAX(('V06 Motor'!A39-1)*30/'V06 Motor'!C39,14))*'V06 Curva'!$B$19,MAX(0,MIN('V06 Motor'!A39*30/'V06 Motor'!C39,16)-MAX(('V06 Motor'!A39-1)*30/'V06 Motor'!C39,15))*'V06 Curva'!$B$20,MAX(0,MIN('V06 Motor'!A39*30/'V06 Motor'!C39,17)-MAX(('V06 Motor'!A39-1)*30/'V06 Motor'!C39,16))*'V06 Curva'!$B$21,MAX(0,MIN('V06 Motor'!A39*30/'V06 Motor'!C39,18)-MAX(('V06 Motor'!A39-1)*30/'V06 Motor'!C39,17))*'V06 Curva'!$B$22,MAX(0,MIN('V06 Motor'!A39*30/'V06 Motor'!C39,19)-MAX(('V06 Motor'!A39-1)*30/'V06 Motor'!C39,18))*'V06 Curva'!$B$23,MAX(0,MIN('V06 Motor'!A39*30/'V06 Motor'!C39,20)-MAX(('V06 Motor'!A39-1)*30/'V06 Motor'!C39,19))*'V06 Curva'!$B$24,MAX(0,MIN('V06 Motor'!A39*30/'V06 Motor'!C39,21)-MAX(('V06 Motor'!A39-1)*30/'V06 Motor'!C39,20))*'V06 Curva'!$B$25,MAX(0,MIN('V06 Motor'!A39*30/'V06 Motor'!C39,22)-MAX(('V06 Motor'!A39-1)*30/'V06 Motor'!C39,21))*'V06 Curva'!$B$26,MAX(0,MIN('V06 Motor'!A39*30/'V06 Motor'!C39,23)-MAX(('V06 Motor'!A39-1)*30/'V06 Motor'!C39,22))*'V06 Curva'!$B$27,MAX(0,MIN('V06 Motor'!A39*30/'V06 Motor'!C39,24)-MAX(('V06 Motor'!A39-1)*30/'V06 Motor'!C39,23))*'V06 Curva'!$B$28,MAX(0,MIN('V06 Motor'!A39*30/'V06 Motor'!C39,25)-MAX(('V06 Motor'!A39-1)*30/'V06 Motor'!C39,24))*'V06 Curva'!$B$29,MAX(0,MIN('V06 Motor'!A39*30/'V06 Motor'!C39,26)-MAX(('V06 Motor'!A39-1)*30/'V06 Motor'!C39,25))*'V06 Curva'!$B$30,MAX(0,MIN('V06 Motor'!A39*30/'V06 Motor'!C39,27)-MAX(('V06 Motor'!A39-1)*30/'V06 Motor'!C39,26))*'V06 Curva'!$B$31,MAX(0,MIN('V06 Motor'!A39*30/'V06 Motor'!C39,28)-MAX(('V06 Motor'!A39-1)*30/'V06 Motor'!C39,27))*'V06 Curva'!$B$32,MAX(0,MIN('V06 Motor'!A39*30/'V06 Motor'!C39,29)-MAX(('V06 Motor'!A39-1)*30/'V06 Motor'!C39,28))*'V06 Curva'!$B$33,MAX(0,MIN('V06 Motor'!A39*30/'V06 Motor'!C39,30)-MAX(('V06 Motor'!A39-1)*30/'V06 Motor'!C39,29))*'V06 Curva'!$B$34),0)</f>
        <v>0.0</v>
      </c>
      <c r="O39" s="2">
        <f>SUMPRODUCT(--(('V06 Unidades'!$I$5:$I$98+'V06 Controlos'!$B$37)='V06 Motor'!A39),ROUND('V06 Unidades'!$H$5:$H$98*0.05,2)+ROUND('V06 Unidades'!$H$5:$H$98*0.2,2))+SUMPRODUCT(--(IF('V06 Controlos'!$B$38&gt;0,IF(('V06 Unidades'!$L$5:$L$98+'V06 Controlos'!$B$37)&lt;'V06 Motor'!C39,'V06 Motor'!C39,('V06 Unidades'!$L$5:$L$98+'V06 Controlos'!$B$37)),('V06 Unidades'!$L$5:$L$98+'V06 Controlos'!$B$37))='V06 Motor'!A39),'V06 Unidades'!$H$5:$H$98-ROUND('V06 Unidades'!$H$5:$H$98*0.05,2)-ROUND('V06 Unidades'!$H$5:$H$98*0.2,2)-ROUND('V06 Unidades'!$H$5:$H$98*0.55,2))+SUMPRODUCT(--(IF(INT((IF('V06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Controlos'!$B$37)-1)/6),0)&gt;0),--('V06 Motor'!A39&gt;('V06 Unidades'!$I$5:$I$98+'V06 Controlos'!$B$37)),--('V06 Motor'!A39&lt;IF('V06 Controlos'!$B$38&gt;0,IF(('V06 Unidades'!$L$5:$L$98+'V06 Controlos'!$B$37)&lt;'V06 Motor'!C39,'V06 Motor'!C39,('V06 Unidades'!$L$5:$L$98+'V06 Controlos'!$B$37)),('V06 Unidades'!$L$5:$L$98+'V06 Controlos'!$B$37))),--(MOD('V06 Motor'!A39-('V06 Unidades'!$I$5:$I$98+'V06 Controlos'!$B$37),6)=0),--(('V06 Motor'!A39-('V06 Unidades'!$I$5:$I$98+'V06 Controlos'!$B$37))/6&lt;=IF(INT((IF('V06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Controlos'!$B$37)-1)/6),0)),IF('V06 Motor'!A39=('V06 Unidades'!$I$5:$I$98+'V06 Controlos'!$B$37)+6*IF(INT((IF('V06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Controlos'!$B$37)-1)/6),0)&gt;0,IF(INT((IF('V06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Controlos'!$B$37)-1)/6),0),1),2)*(IF(INT((IF('V06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Controlos'!$B$37)-1)/6),0)&gt;0,IF(INT((IF('V06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Controlos'!$B$37)-1)/6)&gt;0,INT((IF('V06 Controlos'!$B$38&gt;0,IF(('V06 Unidades'!$L$5:$L$98+'V06 Controlos'!$B$37)&lt;'V06 Motor'!C39,'V06 Motor'!C39,('V06 Unidades'!$L$5:$L$98+'V06 Controlos'!$B$37)),('V06 Unidades'!$L$5:$L$98+'V06 Controlos'!$B$37))-('V06 Unidades'!$I$5:$I$98+'V06 Controlos'!$B$37)-1)/6),0),1),2)))</f>
        <v>0.0</v>
      </c>
      <c r="P39" s="2">
        <f>SUM('V06 Calend 01'!AU5:AU98)</f>
        <v>0.0</v>
      </c>
    </row>
    <row r="40" spans="1:16">
      <c r="A40">
        <v>36</v>
      </c>
      <c r="C40">
        <v>30</v>
      </c>
      <c r="G40" s="2">
        <f>IF('V06 Motor'!A40&lt;='V06 Motor'!C40,SUMPRODUCT('V06 Curva'!$B$5:$B$34,IF((IF('V06 Motor'!A40*30/'V06 Motor'!C40&lt;'V06 Curva'!$A$5:$A$34,'V06 Motor'!A40*30/'V06 Motor'!C40,'V06 Curva'!$A$5:$A$34)-IF(('V06 Motor'!A40-1)*30/'V06 Motor'!C40&gt;'V06 Curva'!$A$5:$A$34-1,('V06 Motor'!A40-1)*30/'V06 Motor'!C40,'V06 Curva'!$A$5:$A$34-1))&gt;0,(IF('V06 Motor'!A40*30/'V06 Motor'!C40&lt;'V06 Curva'!$A$5:$A$34,'V06 Motor'!A40*30/'V06 Motor'!C40,'V06 Curva'!$A$5:$A$34)-IF(('V06 Motor'!A40-1)*30/'V06 Motor'!C40&gt;'V06 Curva'!$A$5:$A$34-1,('V06 Motor'!A40-1)*30/'V06 Motor'!C40,'V06 Curva'!$A$5:$A$34-1)),0)),0)</f>
        <v>0.0</v>
      </c>
      <c r="H40" s="2">
        <f>IF('V06 Motor'!A40&lt;='V06 Motor'!C40,SUM(MAX(0,MIN('V06 Motor'!A40*30/'V06 Motor'!C40,1)-MAX(('V06 Motor'!A40-1)*30/'V06 Motor'!C40,0))*'V06 Curva'!$B$5,MAX(0,MIN('V06 Motor'!A40*30/'V06 Motor'!C40,2)-MAX(('V06 Motor'!A40-1)*30/'V06 Motor'!C40,1))*'V06 Curva'!$B$6,MAX(0,MIN('V06 Motor'!A40*30/'V06 Motor'!C40,3)-MAX(('V06 Motor'!A40-1)*30/'V06 Motor'!C40,2))*'V06 Curva'!$B$7,MAX(0,MIN('V06 Motor'!A40*30/'V06 Motor'!C40,4)-MAX(('V06 Motor'!A40-1)*30/'V06 Motor'!C40,3))*'V06 Curva'!$B$8,MAX(0,MIN('V06 Motor'!A40*30/'V06 Motor'!C40,5)-MAX(('V06 Motor'!A40-1)*30/'V06 Motor'!C40,4))*'V06 Curva'!$B$9,MAX(0,MIN('V06 Motor'!A40*30/'V06 Motor'!C40,6)-MAX(('V06 Motor'!A40-1)*30/'V06 Motor'!C40,5))*'V06 Curva'!$B$10,MAX(0,MIN('V06 Motor'!A40*30/'V06 Motor'!C40,7)-MAX(('V06 Motor'!A40-1)*30/'V06 Motor'!C40,6))*'V06 Curva'!$B$11,MAX(0,MIN('V06 Motor'!A40*30/'V06 Motor'!C40,8)-MAX(('V06 Motor'!A40-1)*30/'V06 Motor'!C40,7))*'V06 Curva'!$B$12,MAX(0,MIN('V06 Motor'!A40*30/'V06 Motor'!C40,9)-MAX(('V06 Motor'!A40-1)*30/'V06 Motor'!C40,8))*'V06 Curva'!$B$13,MAX(0,MIN('V06 Motor'!A40*30/'V06 Motor'!C40,10)-MAX(('V06 Motor'!A40-1)*30/'V06 Motor'!C40,9))*'V06 Curva'!$B$14,MAX(0,MIN('V06 Motor'!A40*30/'V06 Motor'!C40,11)-MAX(('V06 Motor'!A40-1)*30/'V06 Motor'!C40,10))*'V06 Curva'!$B$15,MAX(0,MIN('V06 Motor'!A40*30/'V06 Motor'!C40,12)-MAX(('V06 Motor'!A40-1)*30/'V06 Motor'!C40,11))*'V06 Curva'!$B$16,MAX(0,MIN('V06 Motor'!A40*30/'V06 Motor'!C40,13)-MAX(('V06 Motor'!A40-1)*30/'V06 Motor'!C40,12))*'V06 Curva'!$B$17,MAX(0,MIN('V06 Motor'!A40*30/'V06 Motor'!C40,14)-MAX(('V06 Motor'!A40-1)*30/'V06 Motor'!C40,13))*'V06 Curva'!$B$18,MAX(0,MIN('V06 Motor'!A40*30/'V06 Motor'!C40,15)-MAX(('V06 Motor'!A40-1)*30/'V06 Motor'!C40,14))*'V06 Curva'!$B$19,MAX(0,MIN('V06 Motor'!A40*30/'V06 Motor'!C40,16)-MAX(('V06 Motor'!A40-1)*30/'V06 Motor'!C40,15))*'V06 Curva'!$B$20,MAX(0,MIN('V06 Motor'!A40*30/'V06 Motor'!C40,17)-MAX(('V06 Motor'!A40-1)*30/'V06 Motor'!C40,16))*'V06 Curva'!$B$21,MAX(0,MIN('V06 Motor'!A40*30/'V06 Motor'!C40,18)-MAX(('V06 Motor'!A40-1)*30/'V06 Motor'!C40,17))*'V06 Curva'!$B$22,MAX(0,MIN('V06 Motor'!A40*30/'V06 Motor'!C40,19)-MAX(('V06 Motor'!A40-1)*30/'V06 Motor'!C40,18))*'V06 Curva'!$B$23,MAX(0,MIN('V06 Motor'!A40*30/'V06 Motor'!C40,20)-MAX(('V06 Motor'!A40-1)*30/'V06 Motor'!C40,19))*'V06 Curva'!$B$24,MAX(0,MIN('V06 Motor'!A40*30/'V06 Motor'!C40,21)-MAX(('V06 Motor'!A40-1)*30/'V06 Motor'!C40,20))*'V06 Curva'!$B$25,MAX(0,MIN('V06 Motor'!A40*30/'V06 Motor'!C40,22)-MAX(('V06 Motor'!A40-1)*30/'V06 Motor'!C40,21))*'V06 Curva'!$B$26,MAX(0,MIN('V06 Motor'!A40*30/'V06 Motor'!C40,23)-MAX(('V06 Motor'!A40-1)*30/'V06 Motor'!C40,22))*'V06 Curva'!$B$27,MAX(0,MIN('V06 Motor'!A40*30/'V06 Motor'!C40,24)-MAX(('V06 Motor'!A40-1)*30/'V06 Motor'!C40,23))*'V06 Curva'!$B$28,MAX(0,MIN('V06 Motor'!A40*30/'V06 Motor'!C40,25)-MAX(('V06 Motor'!A40-1)*30/'V06 Motor'!C40,24))*'V06 Curva'!$B$29,MAX(0,MIN('V06 Motor'!A40*30/'V06 Motor'!C40,26)-MAX(('V06 Motor'!A40-1)*30/'V06 Motor'!C40,25))*'V06 Curva'!$B$30,MAX(0,MIN('V06 Motor'!A40*30/'V06 Motor'!C40,27)-MAX(('V06 Motor'!A40-1)*30/'V06 Motor'!C40,26))*'V06 Curva'!$B$31,MAX(0,MIN('V06 Motor'!A40*30/'V06 Motor'!C40,28)-MAX(('V06 Motor'!A40-1)*30/'V06 Motor'!C40,27))*'V06 Curva'!$B$32,MAX(0,MIN('V06 Motor'!A40*30/'V06 Motor'!C40,29)-MAX(('V06 Motor'!A40-1)*30/'V06 Motor'!C40,28))*'V06 Curva'!$B$33,MAX(0,MIN('V06 Motor'!A40*30/'V06 Motor'!C40,30)-MAX(('V06 Motor'!A40-1)*30/'V06 Motor'!C40,29))*'V06 Curva'!$B$34),0)</f>
        <v>0.0</v>
      </c>
      <c r="O40" s="2">
        <f>SUMPRODUCT(--(('V06 Unidades'!$I$5:$I$98+'V06 Controlos'!$B$37)='V06 Motor'!A40),ROUND('V06 Unidades'!$H$5:$H$98*0.05,2)+ROUND('V06 Unidades'!$H$5:$H$98*0.2,2))+SUMPRODUCT(--(IF('V06 Controlos'!$B$38&gt;0,IF(('V06 Unidades'!$L$5:$L$98+'V06 Controlos'!$B$37)&lt;'V06 Motor'!C40,'V06 Motor'!C40,('V06 Unidades'!$L$5:$L$98+'V06 Controlos'!$B$37)),('V06 Unidades'!$L$5:$L$98+'V06 Controlos'!$B$37))='V06 Motor'!A40),'V06 Unidades'!$H$5:$H$98-ROUND('V06 Unidades'!$H$5:$H$98*0.05,2)-ROUND('V06 Unidades'!$H$5:$H$98*0.2,2)-ROUND('V06 Unidades'!$H$5:$H$98*0.55,2))+SUMPRODUCT(--(IF(INT((IF('V06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Controlos'!$B$37)-1)/6),0)&gt;0),--('V06 Motor'!A40&gt;('V06 Unidades'!$I$5:$I$98+'V06 Controlos'!$B$37)),--('V06 Motor'!A40&lt;IF('V06 Controlos'!$B$38&gt;0,IF(('V06 Unidades'!$L$5:$L$98+'V06 Controlos'!$B$37)&lt;'V06 Motor'!C40,'V06 Motor'!C40,('V06 Unidades'!$L$5:$L$98+'V06 Controlos'!$B$37)),('V06 Unidades'!$L$5:$L$98+'V06 Controlos'!$B$37))),--(MOD('V06 Motor'!A40-('V06 Unidades'!$I$5:$I$98+'V06 Controlos'!$B$37),6)=0),--(('V06 Motor'!A40-('V06 Unidades'!$I$5:$I$98+'V06 Controlos'!$B$37))/6&lt;=IF(INT((IF('V06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Controlos'!$B$37)-1)/6),0)),IF('V06 Motor'!A40=('V06 Unidades'!$I$5:$I$98+'V06 Controlos'!$B$37)+6*IF(INT((IF('V06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Controlos'!$B$37)-1)/6),0)&gt;0,IF(INT((IF('V06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Controlos'!$B$37)-1)/6),0),1),2)*(IF(INT((IF('V06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Controlos'!$B$37)-1)/6),0)&gt;0,IF(INT((IF('V06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Controlos'!$B$37)-1)/6)&gt;0,INT((IF('V06 Controlos'!$B$38&gt;0,IF(('V06 Unidades'!$L$5:$L$98+'V06 Controlos'!$B$37)&lt;'V06 Motor'!C40,'V06 Motor'!C40,('V06 Unidades'!$L$5:$L$98+'V06 Controlos'!$B$37)),('V06 Unidades'!$L$5:$L$98+'V06 Controlos'!$B$37))-('V06 Unidades'!$I$5:$I$98+'V06 Controlos'!$B$37)-1)/6),0),1),2)))</f>
        <v>0.0</v>
      </c>
      <c r="P40" s="2">
        <f>SUM('V06 Calend 01'!AV5:AV98)</f>
        <v>0.0</v>
      </c>
    </row>
    <row r="41" spans="1:16">
      <c r="A41">
        <v>37</v>
      </c>
      <c r="C41">
        <v>30</v>
      </c>
      <c r="G41" s="2">
        <f>IF('V06 Motor'!A41&lt;='V06 Motor'!C41,SUMPRODUCT('V06 Curva'!$B$5:$B$34,IF((IF('V06 Motor'!A41*30/'V06 Motor'!C41&lt;'V06 Curva'!$A$5:$A$34,'V06 Motor'!A41*30/'V06 Motor'!C41,'V06 Curva'!$A$5:$A$34)-IF(('V06 Motor'!A41-1)*30/'V06 Motor'!C41&gt;'V06 Curva'!$A$5:$A$34-1,('V06 Motor'!A41-1)*30/'V06 Motor'!C41,'V06 Curva'!$A$5:$A$34-1))&gt;0,(IF('V06 Motor'!A41*30/'V06 Motor'!C41&lt;'V06 Curva'!$A$5:$A$34,'V06 Motor'!A41*30/'V06 Motor'!C41,'V06 Curva'!$A$5:$A$34)-IF(('V06 Motor'!A41-1)*30/'V06 Motor'!C41&gt;'V06 Curva'!$A$5:$A$34-1,('V06 Motor'!A41-1)*30/'V06 Motor'!C41,'V06 Curva'!$A$5:$A$34-1)),0)),0)</f>
        <v>0.0</v>
      </c>
      <c r="H41" s="2">
        <f>IF('V06 Motor'!A41&lt;='V06 Motor'!C41,SUM(MAX(0,MIN('V06 Motor'!A41*30/'V06 Motor'!C41,1)-MAX(('V06 Motor'!A41-1)*30/'V06 Motor'!C41,0))*'V06 Curva'!$B$5,MAX(0,MIN('V06 Motor'!A41*30/'V06 Motor'!C41,2)-MAX(('V06 Motor'!A41-1)*30/'V06 Motor'!C41,1))*'V06 Curva'!$B$6,MAX(0,MIN('V06 Motor'!A41*30/'V06 Motor'!C41,3)-MAX(('V06 Motor'!A41-1)*30/'V06 Motor'!C41,2))*'V06 Curva'!$B$7,MAX(0,MIN('V06 Motor'!A41*30/'V06 Motor'!C41,4)-MAX(('V06 Motor'!A41-1)*30/'V06 Motor'!C41,3))*'V06 Curva'!$B$8,MAX(0,MIN('V06 Motor'!A41*30/'V06 Motor'!C41,5)-MAX(('V06 Motor'!A41-1)*30/'V06 Motor'!C41,4))*'V06 Curva'!$B$9,MAX(0,MIN('V06 Motor'!A41*30/'V06 Motor'!C41,6)-MAX(('V06 Motor'!A41-1)*30/'V06 Motor'!C41,5))*'V06 Curva'!$B$10,MAX(0,MIN('V06 Motor'!A41*30/'V06 Motor'!C41,7)-MAX(('V06 Motor'!A41-1)*30/'V06 Motor'!C41,6))*'V06 Curva'!$B$11,MAX(0,MIN('V06 Motor'!A41*30/'V06 Motor'!C41,8)-MAX(('V06 Motor'!A41-1)*30/'V06 Motor'!C41,7))*'V06 Curva'!$B$12,MAX(0,MIN('V06 Motor'!A41*30/'V06 Motor'!C41,9)-MAX(('V06 Motor'!A41-1)*30/'V06 Motor'!C41,8))*'V06 Curva'!$B$13,MAX(0,MIN('V06 Motor'!A41*30/'V06 Motor'!C41,10)-MAX(('V06 Motor'!A41-1)*30/'V06 Motor'!C41,9))*'V06 Curva'!$B$14,MAX(0,MIN('V06 Motor'!A41*30/'V06 Motor'!C41,11)-MAX(('V06 Motor'!A41-1)*30/'V06 Motor'!C41,10))*'V06 Curva'!$B$15,MAX(0,MIN('V06 Motor'!A41*30/'V06 Motor'!C41,12)-MAX(('V06 Motor'!A41-1)*30/'V06 Motor'!C41,11))*'V06 Curva'!$B$16,MAX(0,MIN('V06 Motor'!A41*30/'V06 Motor'!C41,13)-MAX(('V06 Motor'!A41-1)*30/'V06 Motor'!C41,12))*'V06 Curva'!$B$17,MAX(0,MIN('V06 Motor'!A41*30/'V06 Motor'!C41,14)-MAX(('V06 Motor'!A41-1)*30/'V06 Motor'!C41,13))*'V06 Curva'!$B$18,MAX(0,MIN('V06 Motor'!A41*30/'V06 Motor'!C41,15)-MAX(('V06 Motor'!A41-1)*30/'V06 Motor'!C41,14))*'V06 Curva'!$B$19,MAX(0,MIN('V06 Motor'!A41*30/'V06 Motor'!C41,16)-MAX(('V06 Motor'!A41-1)*30/'V06 Motor'!C41,15))*'V06 Curva'!$B$20,MAX(0,MIN('V06 Motor'!A41*30/'V06 Motor'!C41,17)-MAX(('V06 Motor'!A41-1)*30/'V06 Motor'!C41,16))*'V06 Curva'!$B$21,MAX(0,MIN('V06 Motor'!A41*30/'V06 Motor'!C41,18)-MAX(('V06 Motor'!A41-1)*30/'V06 Motor'!C41,17))*'V06 Curva'!$B$22,MAX(0,MIN('V06 Motor'!A41*30/'V06 Motor'!C41,19)-MAX(('V06 Motor'!A41-1)*30/'V06 Motor'!C41,18))*'V06 Curva'!$B$23,MAX(0,MIN('V06 Motor'!A41*30/'V06 Motor'!C41,20)-MAX(('V06 Motor'!A41-1)*30/'V06 Motor'!C41,19))*'V06 Curva'!$B$24,MAX(0,MIN('V06 Motor'!A41*30/'V06 Motor'!C41,21)-MAX(('V06 Motor'!A41-1)*30/'V06 Motor'!C41,20))*'V06 Curva'!$B$25,MAX(0,MIN('V06 Motor'!A41*30/'V06 Motor'!C41,22)-MAX(('V06 Motor'!A41-1)*30/'V06 Motor'!C41,21))*'V06 Curva'!$B$26,MAX(0,MIN('V06 Motor'!A41*30/'V06 Motor'!C41,23)-MAX(('V06 Motor'!A41-1)*30/'V06 Motor'!C41,22))*'V06 Curva'!$B$27,MAX(0,MIN('V06 Motor'!A41*30/'V06 Motor'!C41,24)-MAX(('V06 Motor'!A41-1)*30/'V06 Motor'!C41,23))*'V06 Curva'!$B$28,MAX(0,MIN('V06 Motor'!A41*30/'V06 Motor'!C41,25)-MAX(('V06 Motor'!A41-1)*30/'V06 Motor'!C41,24))*'V06 Curva'!$B$29,MAX(0,MIN('V06 Motor'!A41*30/'V06 Motor'!C41,26)-MAX(('V06 Motor'!A41-1)*30/'V06 Motor'!C41,25))*'V06 Curva'!$B$30,MAX(0,MIN('V06 Motor'!A41*30/'V06 Motor'!C41,27)-MAX(('V06 Motor'!A41-1)*30/'V06 Motor'!C41,26))*'V06 Curva'!$B$31,MAX(0,MIN('V06 Motor'!A41*30/'V06 Motor'!C41,28)-MAX(('V06 Motor'!A41-1)*30/'V06 Motor'!C41,27))*'V06 Curva'!$B$32,MAX(0,MIN('V06 Motor'!A41*30/'V06 Motor'!C41,29)-MAX(('V06 Motor'!A41-1)*30/'V06 Motor'!C41,28))*'V06 Curva'!$B$33,MAX(0,MIN('V06 Motor'!A41*30/'V06 Motor'!C41,30)-MAX(('V06 Motor'!A41-1)*30/'V06 Motor'!C41,29))*'V06 Curva'!$B$34),0)</f>
        <v>0.0</v>
      </c>
      <c r="O41" s="2">
        <f>SUMPRODUCT(--(('V06 Unidades'!$I$5:$I$98+'V06 Controlos'!$B$37)='V06 Motor'!A41),ROUND('V06 Unidades'!$H$5:$H$98*0.05,2)+ROUND('V06 Unidades'!$H$5:$H$98*0.2,2))+SUMPRODUCT(--(IF('V06 Controlos'!$B$38&gt;0,IF(('V06 Unidades'!$L$5:$L$98+'V06 Controlos'!$B$37)&lt;'V06 Motor'!C41,'V06 Motor'!C41,('V06 Unidades'!$L$5:$L$98+'V06 Controlos'!$B$37)),('V06 Unidades'!$L$5:$L$98+'V06 Controlos'!$B$37))='V06 Motor'!A41),'V06 Unidades'!$H$5:$H$98-ROUND('V06 Unidades'!$H$5:$H$98*0.05,2)-ROUND('V06 Unidades'!$H$5:$H$98*0.2,2)-ROUND('V06 Unidades'!$H$5:$H$98*0.55,2))+SUMPRODUCT(--(IF(INT((IF('V06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Controlos'!$B$37)-1)/6),0)&gt;0),--('V06 Motor'!A41&gt;('V06 Unidades'!$I$5:$I$98+'V06 Controlos'!$B$37)),--('V06 Motor'!A41&lt;IF('V06 Controlos'!$B$38&gt;0,IF(('V06 Unidades'!$L$5:$L$98+'V06 Controlos'!$B$37)&lt;'V06 Motor'!C41,'V06 Motor'!C41,('V06 Unidades'!$L$5:$L$98+'V06 Controlos'!$B$37)),('V06 Unidades'!$L$5:$L$98+'V06 Controlos'!$B$37))),--(MOD('V06 Motor'!A41-('V06 Unidades'!$I$5:$I$98+'V06 Controlos'!$B$37),6)=0),--(('V06 Motor'!A41-('V06 Unidades'!$I$5:$I$98+'V06 Controlos'!$B$37))/6&lt;=IF(INT((IF('V06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Controlos'!$B$37)-1)/6),0)),IF('V06 Motor'!A41=('V06 Unidades'!$I$5:$I$98+'V06 Controlos'!$B$37)+6*IF(INT((IF('V06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Controlos'!$B$37)-1)/6),0)&gt;0,IF(INT((IF('V06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Controlos'!$B$37)-1)/6),0),1),2)*(IF(INT((IF('V06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Controlos'!$B$37)-1)/6),0)&gt;0,IF(INT((IF('V06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Controlos'!$B$37)-1)/6)&gt;0,INT((IF('V06 Controlos'!$B$38&gt;0,IF(('V06 Unidades'!$L$5:$L$98+'V06 Controlos'!$B$37)&lt;'V06 Motor'!C41,'V06 Motor'!C41,('V06 Unidades'!$L$5:$L$98+'V06 Controlos'!$B$37)),('V06 Unidades'!$L$5:$L$98+'V06 Controlos'!$B$37))-('V06 Unidades'!$I$5:$I$98+'V06 Controlos'!$B$37)-1)/6),0),1),2)))</f>
        <v>0.0</v>
      </c>
      <c r="P41" s="2">
        <f>SUM('V06 Calend 01'!AW5:AW98)</f>
        <v>0.0</v>
      </c>
    </row>
    <row r="42" spans="1:16">
      <c r="A42">
        <v>38</v>
      </c>
      <c r="C42">
        <v>30</v>
      </c>
      <c r="G42" s="2">
        <f>IF('V06 Motor'!A42&lt;='V06 Motor'!C42,SUMPRODUCT('V06 Curva'!$B$5:$B$34,IF((IF('V06 Motor'!A42*30/'V06 Motor'!C42&lt;'V06 Curva'!$A$5:$A$34,'V06 Motor'!A42*30/'V06 Motor'!C42,'V06 Curva'!$A$5:$A$34)-IF(('V06 Motor'!A42-1)*30/'V06 Motor'!C42&gt;'V06 Curva'!$A$5:$A$34-1,('V06 Motor'!A42-1)*30/'V06 Motor'!C42,'V06 Curva'!$A$5:$A$34-1))&gt;0,(IF('V06 Motor'!A42*30/'V06 Motor'!C42&lt;'V06 Curva'!$A$5:$A$34,'V06 Motor'!A42*30/'V06 Motor'!C42,'V06 Curva'!$A$5:$A$34)-IF(('V06 Motor'!A42-1)*30/'V06 Motor'!C42&gt;'V06 Curva'!$A$5:$A$34-1,('V06 Motor'!A42-1)*30/'V06 Motor'!C42,'V06 Curva'!$A$5:$A$34-1)),0)),0)</f>
        <v>0.0</v>
      </c>
      <c r="H42" s="2">
        <f>IF('V06 Motor'!A42&lt;='V06 Motor'!C42,SUM(MAX(0,MIN('V06 Motor'!A42*30/'V06 Motor'!C42,1)-MAX(('V06 Motor'!A42-1)*30/'V06 Motor'!C42,0))*'V06 Curva'!$B$5,MAX(0,MIN('V06 Motor'!A42*30/'V06 Motor'!C42,2)-MAX(('V06 Motor'!A42-1)*30/'V06 Motor'!C42,1))*'V06 Curva'!$B$6,MAX(0,MIN('V06 Motor'!A42*30/'V06 Motor'!C42,3)-MAX(('V06 Motor'!A42-1)*30/'V06 Motor'!C42,2))*'V06 Curva'!$B$7,MAX(0,MIN('V06 Motor'!A42*30/'V06 Motor'!C42,4)-MAX(('V06 Motor'!A42-1)*30/'V06 Motor'!C42,3))*'V06 Curva'!$B$8,MAX(0,MIN('V06 Motor'!A42*30/'V06 Motor'!C42,5)-MAX(('V06 Motor'!A42-1)*30/'V06 Motor'!C42,4))*'V06 Curva'!$B$9,MAX(0,MIN('V06 Motor'!A42*30/'V06 Motor'!C42,6)-MAX(('V06 Motor'!A42-1)*30/'V06 Motor'!C42,5))*'V06 Curva'!$B$10,MAX(0,MIN('V06 Motor'!A42*30/'V06 Motor'!C42,7)-MAX(('V06 Motor'!A42-1)*30/'V06 Motor'!C42,6))*'V06 Curva'!$B$11,MAX(0,MIN('V06 Motor'!A42*30/'V06 Motor'!C42,8)-MAX(('V06 Motor'!A42-1)*30/'V06 Motor'!C42,7))*'V06 Curva'!$B$12,MAX(0,MIN('V06 Motor'!A42*30/'V06 Motor'!C42,9)-MAX(('V06 Motor'!A42-1)*30/'V06 Motor'!C42,8))*'V06 Curva'!$B$13,MAX(0,MIN('V06 Motor'!A42*30/'V06 Motor'!C42,10)-MAX(('V06 Motor'!A42-1)*30/'V06 Motor'!C42,9))*'V06 Curva'!$B$14,MAX(0,MIN('V06 Motor'!A42*30/'V06 Motor'!C42,11)-MAX(('V06 Motor'!A42-1)*30/'V06 Motor'!C42,10))*'V06 Curva'!$B$15,MAX(0,MIN('V06 Motor'!A42*30/'V06 Motor'!C42,12)-MAX(('V06 Motor'!A42-1)*30/'V06 Motor'!C42,11))*'V06 Curva'!$B$16,MAX(0,MIN('V06 Motor'!A42*30/'V06 Motor'!C42,13)-MAX(('V06 Motor'!A42-1)*30/'V06 Motor'!C42,12))*'V06 Curva'!$B$17,MAX(0,MIN('V06 Motor'!A42*30/'V06 Motor'!C42,14)-MAX(('V06 Motor'!A42-1)*30/'V06 Motor'!C42,13))*'V06 Curva'!$B$18,MAX(0,MIN('V06 Motor'!A42*30/'V06 Motor'!C42,15)-MAX(('V06 Motor'!A42-1)*30/'V06 Motor'!C42,14))*'V06 Curva'!$B$19,MAX(0,MIN('V06 Motor'!A42*30/'V06 Motor'!C42,16)-MAX(('V06 Motor'!A42-1)*30/'V06 Motor'!C42,15))*'V06 Curva'!$B$20,MAX(0,MIN('V06 Motor'!A42*30/'V06 Motor'!C42,17)-MAX(('V06 Motor'!A42-1)*30/'V06 Motor'!C42,16))*'V06 Curva'!$B$21,MAX(0,MIN('V06 Motor'!A42*30/'V06 Motor'!C42,18)-MAX(('V06 Motor'!A42-1)*30/'V06 Motor'!C42,17))*'V06 Curva'!$B$22,MAX(0,MIN('V06 Motor'!A42*30/'V06 Motor'!C42,19)-MAX(('V06 Motor'!A42-1)*30/'V06 Motor'!C42,18))*'V06 Curva'!$B$23,MAX(0,MIN('V06 Motor'!A42*30/'V06 Motor'!C42,20)-MAX(('V06 Motor'!A42-1)*30/'V06 Motor'!C42,19))*'V06 Curva'!$B$24,MAX(0,MIN('V06 Motor'!A42*30/'V06 Motor'!C42,21)-MAX(('V06 Motor'!A42-1)*30/'V06 Motor'!C42,20))*'V06 Curva'!$B$25,MAX(0,MIN('V06 Motor'!A42*30/'V06 Motor'!C42,22)-MAX(('V06 Motor'!A42-1)*30/'V06 Motor'!C42,21))*'V06 Curva'!$B$26,MAX(0,MIN('V06 Motor'!A42*30/'V06 Motor'!C42,23)-MAX(('V06 Motor'!A42-1)*30/'V06 Motor'!C42,22))*'V06 Curva'!$B$27,MAX(0,MIN('V06 Motor'!A42*30/'V06 Motor'!C42,24)-MAX(('V06 Motor'!A42-1)*30/'V06 Motor'!C42,23))*'V06 Curva'!$B$28,MAX(0,MIN('V06 Motor'!A42*30/'V06 Motor'!C42,25)-MAX(('V06 Motor'!A42-1)*30/'V06 Motor'!C42,24))*'V06 Curva'!$B$29,MAX(0,MIN('V06 Motor'!A42*30/'V06 Motor'!C42,26)-MAX(('V06 Motor'!A42-1)*30/'V06 Motor'!C42,25))*'V06 Curva'!$B$30,MAX(0,MIN('V06 Motor'!A42*30/'V06 Motor'!C42,27)-MAX(('V06 Motor'!A42-1)*30/'V06 Motor'!C42,26))*'V06 Curva'!$B$31,MAX(0,MIN('V06 Motor'!A42*30/'V06 Motor'!C42,28)-MAX(('V06 Motor'!A42-1)*30/'V06 Motor'!C42,27))*'V06 Curva'!$B$32,MAX(0,MIN('V06 Motor'!A42*30/'V06 Motor'!C42,29)-MAX(('V06 Motor'!A42-1)*30/'V06 Motor'!C42,28))*'V06 Curva'!$B$33,MAX(0,MIN('V06 Motor'!A42*30/'V06 Motor'!C42,30)-MAX(('V06 Motor'!A42-1)*30/'V06 Motor'!C42,29))*'V06 Curva'!$B$34),0)</f>
        <v>0.0</v>
      </c>
      <c r="O42" s="2">
        <f>SUMPRODUCT(--(('V06 Unidades'!$I$5:$I$98+'V06 Controlos'!$B$37)='V06 Motor'!A42),ROUND('V06 Unidades'!$H$5:$H$98*0.05,2)+ROUND('V06 Unidades'!$H$5:$H$98*0.2,2))+SUMPRODUCT(--(IF('V06 Controlos'!$B$38&gt;0,IF(('V06 Unidades'!$L$5:$L$98+'V06 Controlos'!$B$37)&lt;'V06 Motor'!C42,'V06 Motor'!C42,('V06 Unidades'!$L$5:$L$98+'V06 Controlos'!$B$37)),('V06 Unidades'!$L$5:$L$98+'V06 Controlos'!$B$37))='V06 Motor'!A42),'V06 Unidades'!$H$5:$H$98-ROUND('V06 Unidades'!$H$5:$H$98*0.05,2)-ROUND('V06 Unidades'!$H$5:$H$98*0.2,2)-ROUND('V06 Unidades'!$H$5:$H$98*0.55,2))+SUMPRODUCT(--(IF(INT((IF('V06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Controlos'!$B$37)-1)/6),0)&gt;0),--('V06 Motor'!A42&gt;('V06 Unidades'!$I$5:$I$98+'V06 Controlos'!$B$37)),--('V06 Motor'!A42&lt;IF('V06 Controlos'!$B$38&gt;0,IF(('V06 Unidades'!$L$5:$L$98+'V06 Controlos'!$B$37)&lt;'V06 Motor'!C42,'V06 Motor'!C42,('V06 Unidades'!$L$5:$L$98+'V06 Controlos'!$B$37)),('V06 Unidades'!$L$5:$L$98+'V06 Controlos'!$B$37))),--(MOD('V06 Motor'!A42-('V06 Unidades'!$I$5:$I$98+'V06 Controlos'!$B$37),6)=0),--(('V06 Motor'!A42-('V06 Unidades'!$I$5:$I$98+'V06 Controlos'!$B$37))/6&lt;=IF(INT((IF('V06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Controlos'!$B$37)-1)/6),0)),IF('V06 Motor'!A42=('V06 Unidades'!$I$5:$I$98+'V06 Controlos'!$B$37)+6*IF(INT((IF('V06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Controlos'!$B$37)-1)/6),0)&gt;0,IF(INT((IF('V06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Controlos'!$B$37)-1)/6),0),1),2)*(IF(INT((IF('V06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Controlos'!$B$37)-1)/6),0)&gt;0,IF(INT((IF('V06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Controlos'!$B$37)-1)/6)&gt;0,INT((IF('V06 Controlos'!$B$38&gt;0,IF(('V06 Unidades'!$L$5:$L$98+'V06 Controlos'!$B$37)&lt;'V06 Motor'!C42,'V06 Motor'!C42,('V06 Unidades'!$L$5:$L$98+'V06 Controlos'!$B$37)),('V06 Unidades'!$L$5:$L$98+'V06 Controlos'!$B$37))-('V06 Unidades'!$I$5:$I$98+'V06 Controlos'!$B$37)-1)/6),0),1),2)))</f>
        <v>0.0</v>
      </c>
      <c r="P42" s="2">
        <f>SUM('V06 Calend 01'!AX5:AX98)</f>
        <v>0.0</v>
      </c>
    </row>
    <row r="43" spans="1:16">
      <c r="A43">
        <v>39</v>
      </c>
      <c r="C43">
        <v>30</v>
      </c>
      <c r="G43" s="2">
        <f>IF('V06 Motor'!A43&lt;='V06 Motor'!C43,SUMPRODUCT('V06 Curva'!$B$5:$B$34,IF((IF('V06 Motor'!A43*30/'V06 Motor'!C43&lt;'V06 Curva'!$A$5:$A$34,'V06 Motor'!A43*30/'V06 Motor'!C43,'V06 Curva'!$A$5:$A$34)-IF(('V06 Motor'!A43-1)*30/'V06 Motor'!C43&gt;'V06 Curva'!$A$5:$A$34-1,('V06 Motor'!A43-1)*30/'V06 Motor'!C43,'V06 Curva'!$A$5:$A$34-1))&gt;0,(IF('V06 Motor'!A43*30/'V06 Motor'!C43&lt;'V06 Curva'!$A$5:$A$34,'V06 Motor'!A43*30/'V06 Motor'!C43,'V06 Curva'!$A$5:$A$34)-IF(('V06 Motor'!A43-1)*30/'V06 Motor'!C43&gt;'V06 Curva'!$A$5:$A$34-1,('V06 Motor'!A43-1)*30/'V06 Motor'!C43,'V06 Curva'!$A$5:$A$34-1)),0)),0)</f>
        <v>0.0</v>
      </c>
      <c r="H43" s="2">
        <f>IF('V06 Motor'!A43&lt;='V06 Motor'!C43,SUM(MAX(0,MIN('V06 Motor'!A43*30/'V06 Motor'!C43,1)-MAX(('V06 Motor'!A43-1)*30/'V06 Motor'!C43,0))*'V06 Curva'!$B$5,MAX(0,MIN('V06 Motor'!A43*30/'V06 Motor'!C43,2)-MAX(('V06 Motor'!A43-1)*30/'V06 Motor'!C43,1))*'V06 Curva'!$B$6,MAX(0,MIN('V06 Motor'!A43*30/'V06 Motor'!C43,3)-MAX(('V06 Motor'!A43-1)*30/'V06 Motor'!C43,2))*'V06 Curva'!$B$7,MAX(0,MIN('V06 Motor'!A43*30/'V06 Motor'!C43,4)-MAX(('V06 Motor'!A43-1)*30/'V06 Motor'!C43,3))*'V06 Curva'!$B$8,MAX(0,MIN('V06 Motor'!A43*30/'V06 Motor'!C43,5)-MAX(('V06 Motor'!A43-1)*30/'V06 Motor'!C43,4))*'V06 Curva'!$B$9,MAX(0,MIN('V06 Motor'!A43*30/'V06 Motor'!C43,6)-MAX(('V06 Motor'!A43-1)*30/'V06 Motor'!C43,5))*'V06 Curva'!$B$10,MAX(0,MIN('V06 Motor'!A43*30/'V06 Motor'!C43,7)-MAX(('V06 Motor'!A43-1)*30/'V06 Motor'!C43,6))*'V06 Curva'!$B$11,MAX(0,MIN('V06 Motor'!A43*30/'V06 Motor'!C43,8)-MAX(('V06 Motor'!A43-1)*30/'V06 Motor'!C43,7))*'V06 Curva'!$B$12,MAX(0,MIN('V06 Motor'!A43*30/'V06 Motor'!C43,9)-MAX(('V06 Motor'!A43-1)*30/'V06 Motor'!C43,8))*'V06 Curva'!$B$13,MAX(0,MIN('V06 Motor'!A43*30/'V06 Motor'!C43,10)-MAX(('V06 Motor'!A43-1)*30/'V06 Motor'!C43,9))*'V06 Curva'!$B$14,MAX(0,MIN('V06 Motor'!A43*30/'V06 Motor'!C43,11)-MAX(('V06 Motor'!A43-1)*30/'V06 Motor'!C43,10))*'V06 Curva'!$B$15,MAX(0,MIN('V06 Motor'!A43*30/'V06 Motor'!C43,12)-MAX(('V06 Motor'!A43-1)*30/'V06 Motor'!C43,11))*'V06 Curva'!$B$16,MAX(0,MIN('V06 Motor'!A43*30/'V06 Motor'!C43,13)-MAX(('V06 Motor'!A43-1)*30/'V06 Motor'!C43,12))*'V06 Curva'!$B$17,MAX(0,MIN('V06 Motor'!A43*30/'V06 Motor'!C43,14)-MAX(('V06 Motor'!A43-1)*30/'V06 Motor'!C43,13))*'V06 Curva'!$B$18,MAX(0,MIN('V06 Motor'!A43*30/'V06 Motor'!C43,15)-MAX(('V06 Motor'!A43-1)*30/'V06 Motor'!C43,14))*'V06 Curva'!$B$19,MAX(0,MIN('V06 Motor'!A43*30/'V06 Motor'!C43,16)-MAX(('V06 Motor'!A43-1)*30/'V06 Motor'!C43,15))*'V06 Curva'!$B$20,MAX(0,MIN('V06 Motor'!A43*30/'V06 Motor'!C43,17)-MAX(('V06 Motor'!A43-1)*30/'V06 Motor'!C43,16))*'V06 Curva'!$B$21,MAX(0,MIN('V06 Motor'!A43*30/'V06 Motor'!C43,18)-MAX(('V06 Motor'!A43-1)*30/'V06 Motor'!C43,17))*'V06 Curva'!$B$22,MAX(0,MIN('V06 Motor'!A43*30/'V06 Motor'!C43,19)-MAX(('V06 Motor'!A43-1)*30/'V06 Motor'!C43,18))*'V06 Curva'!$B$23,MAX(0,MIN('V06 Motor'!A43*30/'V06 Motor'!C43,20)-MAX(('V06 Motor'!A43-1)*30/'V06 Motor'!C43,19))*'V06 Curva'!$B$24,MAX(0,MIN('V06 Motor'!A43*30/'V06 Motor'!C43,21)-MAX(('V06 Motor'!A43-1)*30/'V06 Motor'!C43,20))*'V06 Curva'!$B$25,MAX(0,MIN('V06 Motor'!A43*30/'V06 Motor'!C43,22)-MAX(('V06 Motor'!A43-1)*30/'V06 Motor'!C43,21))*'V06 Curva'!$B$26,MAX(0,MIN('V06 Motor'!A43*30/'V06 Motor'!C43,23)-MAX(('V06 Motor'!A43-1)*30/'V06 Motor'!C43,22))*'V06 Curva'!$B$27,MAX(0,MIN('V06 Motor'!A43*30/'V06 Motor'!C43,24)-MAX(('V06 Motor'!A43-1)*30/'V06 Motor'!C43,23))*'V06 Curva'!$B$28,MAX(0,MIN('V06 Motor'!A43*30/'V06 Motor'!C43,25)-MAX(('V06 Motor'!A43-1)*30/'V06 Motor'!C43,24))*'V06 Curva'!$B$29,MAX(0,MIN('V06 Motor'!A43*30/'V06 Motor'!C43,26)-MAX(('V06 Motor'!A43-1)*30/'V06 Motor'!C43,25))*'V06 Curva'!$B$30,MAX(0,MIN('V06 Motor'!A43*30/'V06 Motor'!C43,27)-MAX(('V06 Motor'!A43-1)*30/'V06 Motor'!C43,26))*'V06 Curva'!$B$31,MAX(0,MIN('V06 Motor'!A43*30/'V06 Motor'!C43,28)-MAX(('V06 Motor'!A43-1)*30/'V06 Motor'!C43,27))*'V06 Curva'!$B$32,MAX(0,MIN('V06 Motor'!A43*30/'V06 Motor'!C43,29)-MAX(('V06 Motor'!A43-1)*30/'V06 Motor'!C43,28))*'V06 Curva'!$B$33,MAX(0,MIN('V06 Motor'!A43*30/'V06 Motor'!C43,30)-MAX(('V06 Motor'!A43-1)*30/'V06 Motor'!C43,29))*'V06 Curva'!$B$34),0)</f>
        <v>0.0</v>
      </c>
      <c r="O43" s="2">
        <f>SUMPRODUCT(--(('V06 Unidades'!$I$5:$I$98+'V06 Controlos'!$B$37)='V06 Motor'!A43),ROUND('V06 Unidades'!$H$5:$H$98*0.05,2)+ROUND('V06 Unidades'!$H$5:$H$98*0.2,2))+SUMPRODUCT(--(IF('V06 Controlos'!$B$38&gt;0,IF(('V06 Unidades'!$L$5:$L$98+'V06 Controlos'!$B$37)&lt;'V06 Motor'!C43,'V06 Motor'!C43,('V06 Unidades'!$L$5:$L$98+'V06 Controlos'!$B$37)),('V06 Unidades'!$L$5:$L$98+'V06 Controlos'!$B$37))='V06 Motor'!A43),'V06 Unidades'!$H$5:$H$98-ROUND('V06 Unidades'!$H$5:$H$98*0.05,2)-ROUND('V06 Unidades'!$H$5:$H$98*0.2,2)-ROUND('V06 Unidades'!$H$5:$H$98*0.55,2))+SUMPRODUCT(--(IF(INT((IF('V06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Controlos'!$B$37)-1)/6),0)&gt;0),--('V06 Motor'!A43&gt;('V06 Unidades'!$I$5:$I$98+'V06 Controlos'!$B$37)),--('V06 Motor'!A43&lt;IF('V06 Controlos'!$B$38&gt;0,IF(('V06 Unidades'!$L$5:$L$98+'V06 Controlos'!$B$37)&lt;'V06 Motor'!C43,'V06 Motor'!C43,('V06 Unidades'!$L$5:$L$98+'V06 Controlos'!$B$37)),('V06 Unidades'!$L$5:$L$98+'V06 Controlos'!$B$37))),--(MOD('V06 Motor'!A43-('V06 Unidades'!$I$5:$I$98+'V06 Controlos'!$B$37),6)=0),--(('V06 Motor'!A43-('V06 Unidades'!$I$5:$I$98+'V06 Controlos'!$B$37))/6&lt;=IF(INT((IF('V06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Controlos'!$B$37)-1)/6),0)),IF('V06 Motor'!A43=('V06 Unidades'!$I$5:$I$98+'V06 Controlos'!$B$37)+6*IF(INT((IF('V06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Controlos'!$B$37)-1)/6),0)&gt;0,IF(INT((IF('V06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Controlos'!$B$37)-1)/6),0),1),2)*(IF(INT((IF('V06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Controlos'!$B$37)-1)/6),0)&gt;0,IF(INT((IF('V06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Controlos'!$B$37)-1)/6)&gt;0,INT((IF('V06 Controlos'!$B$38&gt;0,IF(('V06 Unidades'!$L$5:$L$98+'V06 Controlos'!$B$37)&lt;'V06 Motor'!C43,'V06 Motor'!C43,('V06 Unidades'!$L$5:$L$98+'V06 Controlos'!$B$37)),('V06 Unidades'!$L$5:$L$98+'V06 Controlos'!$B$37))-('V06 Unidades'!$I$5:$I$98+'V06 Controlos'!$B$37)-1)/6),0),1),2)))</f>
        <v>0.0</v>
      </c>
      <c r="P43" s="2">
        <f>SUM('V06 Calend 01'!AY5:AY98)</f>
        <v>0.0</v>
      </c>
    </row>
    <row r="44" spans="1:16">
      <c r="A44">
        <v>40</v>
      </c>
      <c r="C44">
        <v>30</v>
      </c>
      <c r="G44" s="2">
        <f>IF('V06 Motor'!A44&lt;='V06 Motor'!C44,SUMPRODUCT('V06 Curva'!$B$5:$B$34,IF((IF('V06 Motor'!A44*30/'V06 Motor'!C44&lt;'V06 Curva'!$A$5:$A$34,'V06 Motor'!A44*30/'V06 Motor'!C44,'V06 Curva'!$A$5:$A$34)-IF(('V06 Motor'!A44-1)*30/'V06 Motor'!C44&gt;'V06 Curva'!$A$5:$A$34-1,('V06 Motor'!A44-1)*30/'V06 Motor'!C44,'V06 Curva'!$A$5:$A$34-1))&gt;0,(IF('V06 Motor'!A44*30/'V06 Motor'!C44&lt;'V06 Curva'!$A$5:$A$34,'V06 Motor'!A44*30/'V06 Motor'!C44,'V06 Curva'!$A$5:$A$34)-IF(('V06 Motor'!A44-1)*30/'V06 Motor'!C44&gt;'V06 Curva'!$A$5:$A$34-1,('V06 Motor'!A44-1)*30/'V06 Motor'!C44,'V06 Curva'!$A$5:$A$34-1)),0)),0)</f>
        <v>0.0</v>
      </c>
      <c r="H44" s="2">
        <f>IF('V06 Motor'!A44&lt;='V06 Motor'!C44,SUM(MAX(0,MIN('V06 Motor'!A44*30/'V06 Motor'!C44,1)-MAX(('V06 Motor'!A44-1)*30/'V06 Motor'!C44,0))*'V06 Curva'!$B$5,MAX(0,MIN('V06 Motor'!A44*30/'V06 Motor'!C44,2)-MAX(('V06 Motor'!A44-1)*30/'V06 Motor'!C44,1))*'V06 Curva'!$B$6,MAX(0,MIN('V06 Motor'!A44*30/'V06 Motor'!C44,3)-MAX(('V06 Motor'!A44-1)*30/'V06 Motor'!C44,2))*'V06 Curva'!$B$7,MAX(0,MIN('V06 Motor'!A44*30/'V06 Motor'!C44,4)-MAX(('V06 Motor'!A44-1)*30/'V06 Motor'!C44,3))*'V06 Curva'!$B$8,MAX(0,MIN('V06 Motor'!A44*30/'V06 Motor'!C44,5)-MAX(('V06 Motor'!A44-1)*30/'V06 Motor'!C44,4))*'V06 Curva'!$B$9,MAX(0,MIN('V06 Motor'!A44*30/'V06 Motor'!C44,6)-MAX(('V06 Motor'!A44-1)*30/'V06 Motor'!C44,5))*'V06 Curva'!$B$10,MAX(0,MIN('V06 Motor'!A44*30/'V06 Motor'!C44,7)-MAX(('V06 Motor'!A44-1)*30/'V06 Motor'!C44,6))*'V06 Curva'!$B$11,MAX(0,MIN('V06 Motor'!A44*30/'V06 Motor'!C44,8)-MAX(('V06 Motor'!A44-1)*30/'V06 Motor'!C44,7))*'V06 Curva'!$B$12,MAX(0,MIN('V06 Motor'!A44*30/'V06 Motor'!C44,9)-MAX(('V06 Motor'!A44-1)*30/'V06 Motor'!C44,8))*'V06 Curva'!$B$13,MAX(0,MIN('V06 Motor'!A44*30/'V06 Motor'!C44,10)-MAX(('V06 Motor'!A44-1)*30/'V06 Motor'!C44,9))*'V06 Curva'!$B$14,MAX(0,MIN('V06 Motor'!A44*30/'V06 Motor'!C44,11)-MAX(('V06 Motor'!A44-1)*30/'V06 Motor'!C44,10))*'V06 Curva'!$B$15,MAX(0,MIN('V06 Motor'!A44*30/'V06 Motor'!C44,12)-MAX(('V06 Motor'!A44-1)*30/'V06 Motor'!C44,11))*'V06 Curva'!$B$16,MAX(0,MIN('V06 Motor'!A44*30/'V06 Motor'!C44,13)-MAX(('V06 Motor'!A44-1)*30/'V06 Motor'!C44,12))*'V06 Curva'!$B$17,MAX(0,MIN('V06 Motor'!A44*30/'V06 Motor'!C44,14)-MAX(('V06 Motor'!A44-1)*30/'V06 Motor'!C44,13))*'V06 Curva'!$B$18,MAX(0,MIN('V06 Motor'!A44*30/'V06 Motor'!C44,15)-MAX(('V06 Motor'!A44-1)*30/'V06 Motor'!C44,14))*'V06 Curva'!$B$19,MAX(0,MIN('V06 Motor'!A44*30/'V06 Motor'!C44,16)-MAX(('V06 Motor'!A44-1)*30/'V06 Motor'!C44,15))*'V06 Curva'!$B$20,MAX(0,MIN('V06 Motor'!A44*30/'V06 Motor'!C44,17)-MAX(('V06 Motor'!A44-1)*30/'V06 Motor'!C44,16))*'V06 Curva'!$B$21,MAX(0,MIN('V06 Motor'!A44*30/'V06 Motor'!C44,18)-MAX(('V06 Motor'!A44-1)*30/'V06 Motor'!C44,17))*'V06 Curva'!$B$22,MAX(0,MIN('V06 Motor'!A44*30/'V06 Motor'!C44,19)-MAX(('V06 Motor'!A44-1)*30/'V06 Motor'!C44,18))*'V06 Curva'!$B$23,MAX(0,MIN('V06 Motor'!A44*30/'V06 Motor'!C44,20)-MAX(('V06 Motor'!A44-1)*30/'V06 Motor'!C44,19))*'V06 Curva'!$B$24,MAX(0,MIN('V06 Motor'!A44*30/'V06 Motor'!C44,21)-MAX(('V06 Motor'!A44-1)*30/'V06 Motor'!C44,20))*'V06 Curva'!$B$25,MAX(0,MIN('V06 Motor'!A44*30/'V06 Motor'!C44,22)-MAX(('V06 Motor'!A44-1)*30/'V06 Motor'!C44,21))*'V06 Curva'!$B$26,MAX(0,MIN('V06 Motor'!A44*30/'V06 Motor'!C44,23)-MAX(('V06 Motor'!A44-1)*30/'V06 Motor'!C44,22))*'V06 Curva'!$B$27,MAX(0,MIN('V06 Motor'!A44*30/'V06 Motor'!C44,24)-MAX(('V06 Motor'!A44-1)*30/'V06 Motor'!C44,23))*'V06 Curva'!$B$28,MAX(0,MIN('V06 Motor'!A44*30/'V06 Motor'!C44,25)-MAX(('V06 Motor'!A44-1)*30/'V06 Motor'!C44,24))*'V06 Curva'!$B$29,MAX(0,MIN('V06 Motor'!A44*30/'V06 Motor'!C44,26)-MAX(('V06 Motor'!A44-1)*30/'V06 Motor'!C44,25))*'V06 Curva'!$B$30,MAX(0,MIN('V06 Motor'!A44*30/'V06 Motor'!C44,27)-MAX(('V06 Motor'!A44-1)*30/'V06 Motor'!C44,26))*'V06 Curva'!$B$31,MAX(0,MIN('V06 Motor'!A44*30/'V06 Motor'!C44,28)-MAX(('V06 Motor'!A44-1)*30/'V06 Motor'!C44,27))*'V06 Curva'!$B$32,MAX(0,MIN('V06 Motor'!A44*30/'V06 Motor'!C44,29)-MAX(('V06 Motor'!A44-1)*30/'V06 Motor'!C44,28))*'V06 Curva'!$B$33,MAX(0,MIN('V06 Motor'!A44*30/'V06 Motor'!C44,30)-MAX(('V06 Motor'!A44-1)*30/'V06 Motor'!C44,29))*'V06 Curva'!$B$34),0)</f>
        <v>0.0</v>
      </c>
      <c r="O44" s="2">
        <f>SUMPRODUCT(--(('V06 Unidades'!$I$5:$I$98+'V06 Controlos'!$B$37)='V06 Motor'!A44),ROUND('V06 Unidades'!$H$5:$H$98*0.05,2)+ROUND('V06 Unidades'!$H$5:$H$98*0.2,2))+SUMPRODUCT(--(IF('V06 Controlos'!$B$38&gt;0,IF(('V06 Unidades'!$L$5:$L$98+'V06 Controlos'!$B$37)&lt;'V06 Motor'!C44,'V06 Motor'!C44,('V06 Unidades'!$L$5:$L$98+'V06 Controlos'!$B$37)),('V06 Unidades'!$L$5:$L$98+'V06 Controlos'!$B$37))='V06 Motor'!A44),'V06 Unidades'!$H$5:$H$98-ROUND('V06 Unidades'!$H$5:$H$98*0.05,2)-ROUND('V06 Unidades'!$H$5:$H$98*0.2,2)-ROUND('V06 Unidades'!$H$5:$H$98*0.55,2))+SUMPRODUCT(--(IF(INT((IF('V06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Controlos'!$B$37)-1)/6),0)&gt;0),--('V06 Motor'!A44&gt;('V06 Unidades'!$I$5:$I$98+'V06 Controlos'!$B$37)),--('V06 Motor'!A44&lt;IF('V06 Controlos'!$B$38&gt;0,IF(('V06 Unidades'!$L$5:$L$98+'V06 Controlos'!$B$37)&lt;'V06 Motor'!C44,'V06 Motor'!C44,('V06 Unidades'!$L$5:$L$98+'V06 Controlos'!$B$37)),('V06 Unidades'!$L$5:$L$98+'V06 Controlos'!$B$37))),--(MOD('V06 Motor'!A44-('V06 Unidades'!$I$5:$I$98+'V06 Controlos'!$B$37),6)=0),--(('V06 Motor'!A44-('V06 Unidades'!$I$5:$I$98+'V06 Controlos'!$B$37))/6&lt;=IF(INT((IF('V06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Controlos'!$B$37)-1)/6),0)),IF('V06 Motor'!A44=('V06 Unidades'!$I$5:$I$98+'V06 Controlos'!$B$37)+6*IF(INT((IF('V06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Controlos'!$B$37)-1)/6),0)&gt;0,IF(INT((IF('V06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Controlos'!$B$37)-1)/6),0),1),2)*(IF(INT((IF('V06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Controlos'!$B$37)-1)/6),0)&gt;0,IF(INT((IF('V06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Controlos'!$B$37)-1)/6)&gt;0,INT((IF('V06 Controlos'!$B$38&gt;0,IF(('V06 Unidades'!$L$5:$L$98+'V06 Controlos'!$B$37)&lt;'V06 Motor'!C44,'V06 Motor'!C44,('V06 Unidades'!$L$5:$L$98+'V06 Controlos'!$B$37)),('V06 Unidades'!$L$5:$L$98+'V06 Controlos'!$B$37))-('V06 Unidades'!$I$5:$I$98+'V06 Controlos'!$B$37)-1)/6),0),1),2)))</f>
        <v>0.0</v>
      </c>
      <c r="P44" s="2">
        <f>SUM('V06 Calend 01'!AZ5:AZ98)</f>
        <v>0.0</v>
      </c>
    </row>
    <row r="45" spans="1:16">
      <c r="A45">
        <v>41</v>
      </c>
      <c r="C45">
        <v>30</v>
      </c>
      <c r="G45" s="2">
        <f>IF('V06 Motor'!A45&lt;='V06 Motor'!C45,SUMPRODUCT('V06 Curva'!$B$5:$B$34,IF((IF('V06 Motor'!A45*30/'V06 Motor'!C45&lt;'V06 Curva'!$A$5:$A$34,'V06 Motor'!A45*30/'V06 Motor'!C45,'V06 Curva'!$A$5:$A$34)-IF(('V06 Motor'!A45-1)*30/'V06 Motor'!C45&gt;'V06 Curva'!$A$5:$A$34-1,('V06 Motor'!A45-1)*30/'V06 Motor'!C45,'V06 Curva'!$A$5:$A$34-1))&gt;0,(IF('V06 Motor'!A45*30/'V06 Motor'!C45&lt;'V06 Curva'!$A$5:$A$34,'V06 Motor'!A45*30/'V06 Motor'!C45,'V06 Curva'!$A$5:$A$34)-IF(('V06 Motor'!A45-1)*30/'V06 Motor'!C45&gt;'V06 Curva'!$A$5:$A$34-1,('V06 Motor'!A45-1)*30/'V06 Motor'!C45,'V06 Curva'!$A$5:$A$34-1)),0)),0)</f>
        <v>0.0</v>
      </c>
      <c r="H45" s="2">
        <f>IF('V06 Motor'!A45&lt;='V06 Motor'!C45,SUM(MAX(0,MIN('V06 Motor'!A45*30/'V06 Motor'!C45,1)-MAX(('V06 Motor'!A45-1)*30/'V06 Motor'!C45,0))*'V06 Curva'!$B$5,MAX(0,MIN('V06 Motor'!A45*30/'V06 Motor'!C45,2)-MAX(('V06 Motor'!A45-1)*30/'V06 Motor'!C45,1))*'V06 Curva'!$B$6,MAX(0,MIN('V06 Motor'!A45*30/'V06 Motor'!C45,3)-MAX(('V06 Motor'!A45-1)*30/'V06 Motor'!C45,2))*'V06 Curva'!$B$7,MAX(0,MIN('V06 Motor'!A45*30/'V06 Motor'!C45,4)-MAX(('V06 Motor'!A45-1)*30/'V06 Motor'!C45,3))*'V06 Curva'!$B$8,MAX(0,MIN('V06 Motor'!A45*30/'V06 Motor'!C45,5)-MAX(('V06 Motor'!A45-1)*30/'V06 Motor'!C45,4))*'V06 Curva'!$B$9,MAX(0,MIN('V06 Motor'!A45*30/'V06 Motor'!C45,6)-MAX(('V06 Motor'!A45-1)*30/'V06 Motor'!C45,5))*'V06 Curva'!$B$10,MAX(0,MIN('V06 Motor'!A45*30/'V06 Motor'!C45,7)-MAX(('V06 Motor'!A45-1)*30/'V06 Motor'!C45,6))*'V06 Curva'!$B$11,MAX(0,MIN('V06 Motor'!A45*30/'V06 Motor'!C45,8)-MAX(('V06 Motor'!A45-1)*30/'V06 Motor'!C45,7))*'V06 Curva'!$B$12,MAX(0,MIN('V06 Motor'!A45*30/'V06 Motor'!C45,9)-MAX(('V06 Motor'!A45-1)*30/'V06 Motor'!C45,8))*'V06 Curva'!$B$13,MAX(0,MIN('V06 Motor'!A45*30/'V06 Motor'!C45,10)-MAX(('V06 Motor'!A45-1)*30/'V06 Motor'!C45,9))*'V06 Curva'!$B$14,MAX(0,MIN('V06 Motor'!A45*30/'V06 Motor'!C45,11)-MAX(('V06 Motor'!A45-1)*30/'V06 Motor'!C45,10))*'V06 Curva'!$B$15,MAX(0,MIN('V06 Motor'!A45*30/'V06 Motor'!C45,12)-MAX(('V06 Motor'!A45-1)*30/'V06 Motor'!C45,11))*'V06 Curva'!$B$16,MAX(0,MIN('V06 Motor'!A45*30/'V06 Motor'!C45,13)-MAX(('V06 Motor'!A45-1)*30/'V06 Motor'!C45,12))*'V06 Curva'!$B$17,MAX(0,MIN('V06 Motor'!A45*30/'V06 Motor'!C45,14)-MAX(('V06 Motor'!A45-1)*30/'V06 Motor'!C45,13))*'V06 Curva'!$B$18,MAX(0,MIN('V06 Motor'!A45*30/'V06 Motor'!C45,15)-MAX(('V06 Motor'!A45-1)*30/'V06 Motor'!C45,14))*'V06 Curva'!$B$19,MAX(0,MIN('V06 Motor'!A45*30/'V06 Motor'!C45,16)-MAX(('V06 Motor'!A45-1)*30/'V06 Motor'!C45,15))*'V06 Curva'!$B$20,MAX(0,MIN('V06 Motor'!A45*30/'V06 Motor'!C45,17)-MAX(('V06 Motor'!A45-1)*30/'V06 Motor'!C45,16))*'V06 Curva'!$B$21,MAX(0,MIN('V06 Motor'!A45*30/'V06 Motor'!C45,18)-MAX(('V06 Motor'!A45-1)*30/'V06 Motor'!C45,17))*'V06 Curva'!$B$22,MAX(0,MIN('V06 Motor'!A45*30/'V06 Motor'!C45,19)-MAX(('V06 Motor'!A45-1)*30/'V06 Motor'!C45,18))*'V06 Curva'!$B$23,MAX(0,MIN('V06 Motor'!A45*30/'V06 Motor'!C45,20)-MAX(('V06 Motor'!A45-1)*30/'V06 Motor'!C45,19))*'V06 Curva'!$B$24,MAX(0,MIN('V06 Motor'!A45*30/'V06 Motor'!C45,21)-MAX(('V06 Motor'!A45-1)*30/'V06 Motor'!C45,20))*'V06 Curva'!$B$25,MAX(0,MIN('V06 Motor'!A45*30/'V06 Motor'!C45,22)-MAX(('V06 Motor'!A45-1)*30/'V06 Motor'!C45,21))*'V06 Curva'!$B$26,MAX(0,MIN('V06 Motor'!A45*30/'V06 Motor'!C45,23)-MAX(('V06 Motor'!A45-1)*30/'V06 Motor'!C45,22))*'V06 Curva'!$B$27,MAX(0,MIN('V06 Motor'!A45*30/'V06 Motor'!C45,24)-MAX(('V06 Motor'!A45-1)*30/'V06 Motor'!C45,23))*'V06 Curva'!$B$28,MAX(0,MIN('V06 Motor'!A45*30/'V06 Motor'!C45,25)-MAX(('V06 Motor'!A45-1)*30/'V06 Motor'!C45,24))*'V06 Curva'!$B$29,MAX(0,MIN('V06 Motor'!A45*30/'V06 Motor'!C45,26)-MAX(('V06 Motor'!A45-1)*30/'V06 Motor'!C45,25))*'V06 Curva'!$B$30,MAX(0,MIN('V06 Motor'!A45*30/'V06 Motor'!C45,27)-MAX(('V06 Motor'!A45-1)*30/'V06 Motor'!C45,26))*'V06 Curva'!$B$31,MAX(0,MIN('V06 Motor'!A45*30/'V06 Motor'!C45,28)-MAX(('V06 Motor'!A45-1)*30/'V06 Motor'!C45,27))*'V06 Curva'!$B$32,MAX(0,MIN('V06 Motor'!A45*30/'V06 Motor'!C45,29)-MAX(('V06 Motor'!A45-1)*30/'V06 Motor'!C45,28))*'V06 Curva'!$B$33,MAX(0,MIN('V06 Motor'!A45*30/'V06 Motor'!C45,30)-MAX(('V06 Motor'!A45-1)*30/'V06 Motor'!C45,29))*'V06 Curva'!$B$34),0)</f>
        <v>0.0</v>
      </c>
      <c r="O45" s="2">
        <f>SUMPRODUCT(--(('V06 Unidades'!$I$5:$I$98+'V06 Controlos'!$B$37)='V06 Motor'!A45),ROUND('V06 Unidades'!$H$5:$H$98*0.05,2)+ROUND('V06 Unidades'!$H$5:$H$98*0.2,2))+SUMPRODUCT(--(IF('V06 Controlos'!$B$38&gt;0,IF(('V06 Unidades'!$L$5:$L$98+'V06 Controlos'!$B$37)&lt;'V06 Motor'!C45,'V06 Motor'!C45,('V06 Unidades'!$L$5:$L$98+'V06 Controlos'!$B$37)),('V06 Unidades'!$L$5:$L$98+'V06 Controlos'!$B$37))='V06 Motor'!A45),'V06 Unidades'!$H$5:$H$98-ROUND('V06 Unidades'!$H$5:$H$98*0.05,2)-ROUND('V06 Unidades'!$H$5:$H$98*0.2,2)-ROUND('V06 Unidades'!$H$5:$H$98*0.55,2))+SUMPRODUCT(--(IF(INT((IF('V06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Controlos'!$B$37)-1)/6),0)&gt;0),--('V06 Motor'!A45&gt;('V06 Unidades'!$I$5:$I$98+'V06 Controlos'!$B$37)),--('V06 Motor'!A45&lt;IF('V06 Controlos'!$B$38&gt;0,IF(('V06 Unidades'!$L$5:$L$98+'V06 Controlos'!$B$37)&lt;'V06 Motor'!C45,'V06 Motor'!C45,('V06 Unidades'!$L$5:$L$98+'V06 Controlos'!$B$37)),('V06 Unidades'!$L$5:$L$98+'V06 Controlos'!$B$37))),--(MOD('V06 Motor'!A45-('V06 Unidades'!$I$5:$I$98+'V06 Controlos'!$B$37),6)=0),--(('V06 Motor'!A45-('V06 Unidades'!$I$5:$I$98+'V06 Controlos'!$B$37))/6&lt;=IF(INT((IF('V06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Controlos'!$B$37)-1)/6),0)),IF('V06 Motor'!A45=('V06 Unidades'!$I$5:$I$98+'V06 Controlos'!$B$37)+6*IF(INT((IF('V06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Controlos'!$B$37)-1)/6),0)&gt;0,IF(INT((IF('V06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Controlos'!$B$37)-1)/6),0),1),2)*(IF(INT((IF('V06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Controlos'!$B$37)-1)/6),0)&gt;0,IF(INT((IF('V06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Controlos'!$B$37)-1)/6)&gt;0,INT((IF('V06 Controlos'!$B$38&gt;0,IF(('V06 Unidades'!$L$5:$L$98+'V06 Controlos'!$B$37)&lt;'V06 Motor'!C45,'V06 Motor'!C45,('V06 Unidades'!$L$5:$L$98+'V06 Controlos'!$B$37)),('V06 Unidades'!$L$5:$L$98+'V06 Controlos'!$B$37))-('V06 Unidades'!$I$5:$I$98+'V06 Controlos'!$B$37)-1)/6),0),1),2)))</f>
        <v>0.0</v>
      </c>
      <c r="P45" s="2">
        <f>SUM('V06 Calend 01'!BA5:BA98)</f>
        <v>0.0</v>
      </c>
    </row>
    <row r="46" spans="1:16">
      <c r="A46">
        <v>42</v>
      </c>
      <c r="C46">
        <v>30</v>
      </c>
      <c r="G46" s="2">
        <f>IF('V06 Motor'!A46&lt;='V06 Motor'!C46,SUMPRODUCT('V06 Curva'!$B$5:$B$34,IF((IF('V06 Motor'!A46*30/'V06 Motor'!C46&lt;'V06 Curva'!$A$5:$A$34,'V06 Motor'!A46*30/'V06 Motor'!C46,'V06 Curva'!$A$5:$A$34)-IF(('V06 Motor'!A46-1)*30/'V06 Motor'!C46&gt;'V06 Curva'!$A$5:$A$34-1,('V06 Motor'!A46-1)*30/'V06 Motor'!C46,'V06 Curva'!$A$5:$A$34-1))&gt;0,(IF('V06 Motor'!A46*30/'V06 Motor'!C46&lt;'V06 Curva'!$A$5:$A$34,'V06 Motor'!A46*30/'V06 Motor'!C46,'V06 Curva'!$A$5:$A$34)-IF(('V06 Motor'!A46-1)*30/'V06 Motor'!C46&gt;'V06 Curva'!$A$5:$A$34-1,('V06 Motor'!A46-1)*30/'V06 Motor'!C46,'V06 Curva'!$A$5:$A$34-1)),0)),0)</f>
        <v>0.0</v>
      </c>
      <c r="H46" s="2">
        <f>IF('V06 Motor'!A46&lt;='V06 Motor'!C46,SUM(MAX(0,MIN('V06 Motor'!A46*30/'V06 Motor'!C46,1)-MAX(('V06 Motor'!A46-1)*30/'V06 Motor'!C46,0))*'V06 Curva'!$B$5,MAX(0,MIN('V06 Motor'!A46*30/'V06 Motor'!C46,2)-MAX(('V06 Motor'!A46-1)*30/'V06 Motor'!C46,1))*'V06 Curva'!$B$6,MAX(0,MIN('V06 Motor'!A46*30/'V06 Motor'!C46,3)-MAX(('V06 Motor'!A46-1)*30/'V06 Motor'!C46,2))*'V06 Curva'!$B$7,MAX(0,MIN('V06 Motor'!A46*30/'V06 Motor'!C46,4)-MAX(('V06 Motor'!A46-1)*30/'V06 Motor'!C46,3))*'V06 Curva'!$B$8,MAX(0,MIN('V06 Motor'!A46*30/'V06 Motor'!C46,5)-MAX(('V06 Motor'!A46-1)*30/'V06 Motor'!C46,4))*'V06 Curva'!$B$9,MAX(0,MIN('V06 Motor'!A46*30/'V06 Motor'!C46,6)-MAX(('V06 Motor'!A46-1)*30/'V06 Motor'!C46,5))*'V06 Curva'!$B$10,MAX(0,MIN('V06 Motor'!A46*30/'V06 Motor'!C46,7)-MAX(('V06 Motor'!A46-1)*30/'V06 Motor'!C46,6))*'V06 Curva'!$B$11,MAX(0,MIN('V06 Motor'!A46*30/'V06 Motor'!C46,8)-MAX(('V06 Motor'!A46-1)*30/'V06 Motor'!C46,7))*'V06 Curva'!$B$12,MAX(0,MIN('V06 Motor'!A46*30/'V06 Motor'!C46,9)-MAX(('V06 Motor'!A46-1)*30/'V06 Motor'!C46,8))*'V06 Curva'!$B$13,MAX(0,MIN('V06 Motor'!A46*30/'V06 Motor'!C46,10)-MAX(('V06 Motor'!A46-1)*30/'V06 Motor'!C46,9))*'V06 Curva'!$B$14,MAX(0,MIN('V06 Motor'!A46*30/'V06 Motor'!C46,11)-MAX(('V06 Motor'!A46-1)*30/'V06 Motor'!C46,10))*'V06 Curva'!$B$15,MAX(0,MIN('V06 Motor'!A46*30/'V06 Motor'!C46,12)-MAX(('V06 Motor'!A46-1)*30/'V06 Motor'!C46,11))*'V06 Curva'!$B$16,MAX(0,MIN('V06 Motor'!A46*30/'V06 Motor'!C46,13)-MAX(('V06 Motor'!A46-1)*30/'V06 Motor'!C46,12))*'V06 Curva'!$B$17,MAX(0,MIN('V06 Motor'!A46*30/'V06 Motor'!C46,14)-MAX(('V06 Motor'!A46-1)*30/'V06 Motor'!C46,13))*'V06 Curva'!$B$18,MAX(0,MIN('V06 Motor'!A46*30/'V06 Motor'!C46,15)-MAX(('V06 Motor'!A46-1)*30/'V06 Motor'!C46,14))*'V06 Curva'!$B$19,MAX(0,MIN('V06 Motor'!A46*30/'V06 Motor'!C46,16)-MAX(('V06 Motor'!A46-1)*30/'V06 Motor'!C46,15))*'V06 Curva'!$B$20,MAX(0,MIN('V06 Motor'!A46*30/'V06 Motor'!C46,17)-MAX(('V06 Motor'!A46-1)*30/'V06 Motor'!C46,16))*'V06 Curva'!$B$21,MAX(0,MIN('V06 Motor'!A46*30/'V06 Motor'!C46,18)-MAX(('V06 Motor'!A46-1)*30/'V06 Motor'!C46,17))*'V06 Curva'!$B$22,MAX(0,MIN('V06 Motor'!A46*30/'V06 Motor'!C46,19)-MAX(('V06 Motor'!A46-1)*30/'V06 Motor'!C46,18))*'V06 Curva'!$B$23,MAX(0,MIN('V06 Motor'!A46*30/'V06 Motor'!C46,20)-MAX(('V06 Motor'!A46-1)*30/'V06 Motor'!C46,19))*'V06 Curva'!$B$24,MAX(0,MIN('V06 Motor'!A46*30/'V06 Motor'!C46,21)-MAX(('V06 Motor'!A46-1)*30/'V06 Motor'!C46,20))*'V06 Curva'!$B$25,MAX(0,MIN('V06 Motor'!A46*30/'V06 Motor'!C46,22)-MAX(('V06 Motor'!A46-1)*30/'V06 Motor'!C46,21))*'V06 Curva'!$B$26,MAX(0,MIN('V06 Motor'!A46*30/'V06 Motor'!C46,23)-MAX(('V06 Motor'!A46-1)*30/'V06 Motor'!C46,22))*'V06 Curva'!$B$27,MAX(0,MIN('V06 Motor'!A46*30/'V06 Motor'!C46,24)-MAX(('V06 Motor'!A46-1)*30/'V06 Motor'!C46,23))*'V06 Curva'!$B$28,MAX(0,MIN('V06 Motor'!A46*30/'V06 Motor'!C46,25)-MAX(('V06 Motor'!A46-1)*30/'V06 Motor'!C46,24))*'V06 Curva'!$B$29,MAX(0,MIN('V06 Motor'!A46*30/'V06 Motor'!C46,26)-MAX(('V06 Motor'!A46-1)*30/'V06 Motor'!C46,25))*'V06 Curva'!$B$30,MAX(0,MIN('V06 Motor'!A46*30/'V06 Motor'!C46,27)-MAX(('V06 Motor'!A46-1)*30/'V06 Motor'!C46,26))*'V06 Curva'!$B$31,MAX(0,MIN('V06 Motor'!A46*30/'V06 Motor'!C46,28)-MAX(('V06 Motor'!A46-1)*30/'V06 Motor'!C46,27))*'V06 Curva'!$B$32,MAX(0,MIN('V06 Motor'!A46*30/'V06 Motor'!C46,29)-MAX(('V06 Motor'!A46-1)*30/'V06 Motor'!C46,28))*'V06 Curva'!$B$33,MAX(0,MIN('V06 Motor'!A46*30/'V06 Motor'!C46,30)-MAX(('V06 Motor'!A46-1)*30/'V06 Motor'!C46,29))*'V06 Curva'!$B$34),0)</f>
        <v>0.0</v>
      </c>
      <c r="O46" s="2">
        <f>SUMPRODUCT(--(('V06 Unidades'!$I$5:$I$98+'V06 Controlos'!$B$37)='V06 Motor'!A46),ROUND('V06 Unidades'!$H$5:$H$98*0.05,2)+ROUND('V06 Unidades'!$H$5:$H$98*0.2,2))+SUMPRODUCT(--(IF('V06 Controlos'!$B$38&gt;0,IF(('V06 Unidades'!$L$5:$L$98+'V06 Controlos'!$B$37)&lt;'V06 Motor'!C46,'V06 Motor'!C46,('V06 Unidades'!$L$5:$L$98+'V06 Controlos'!$B$37)),('V06 Unidades'!$L$5:$L$98+'V06 Controlos'!$B$37))='V06 Motor'!A46),'V06 Unidades'!$H$5:$H$98-ROUND('V06 Unidades'!$H$5:$H$98*0.05,2)-ROUND('V06 Unidades'!$H$5:$H$98*0.2,2)-ROUND('V06 Unidades'!$H$5:$H$98*0.55,2))+SUMPRODUCT(--(IF(INT((IF('V06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Controlos'!$B$37)-1)/6),0)&gt;0),--('V06 Motor'!A46&gt;('V06 Unidades'!$I$5:$I$98+'V06 Controlos'!$B$37)),--('V06 Motor'!A46&lt;IF('V06 Controlos'!$B$38&gt;0,IF(('V06 Unidades'!$L$5:$L$98+'V06 Controlos'!$B$37)&lt;'V06 Motor'!C46,'V06 Motor'!C46,('V06 Unidades'!$L$5:$L$98+'V06 Controlos'!$B$37)),('V06 Unidades'!$L$5:$L$98+'V06 Controlos'!$B$37))),--(MOD('V06 Motor'!A46-('V06 Unidades'!$I$5:$I$98+'V06 Controlos'!$B$37),6)=0),--(('V06 Motor'!A46-('V06 Unidades'!$I$5:$I$98+'V06 Controlos'!$B$37))/6&lt;=IF(INT((IF('V06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Controlos'!$B$37)-1)/6),0)),IF('V06 Motor'!A46=('V06 Unidades'!$I$5:$I$98+'V06 Controlos'!$B$37)+6*IF(INT((IF('V06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Controlos'!$B$37)-1)/6),0)&gt;0,IF(INT((IF('V06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Controlos'!$B$37)-1)/6),0),1),2)*(IF(INT((IF('V06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Controlos'!$B$37)-1)/6),0)&gt;0,IF(INT((IF('V06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Controlos'!$B$37)-1)/6)&gt;0,INT((IF('V06 Controlos'!$B$38&gt;0,IF(('V06 Unidades'!$L$5:$L$98+'V06 Controlos'!$B$37)&lt;'V06 Motor'!C46,'V06 Motor'!C46,('V06 Unidades'!$L$5:$L$98+'V06 Controlos'!$B$37)),('V06 Unidades'!$L$5:$L$98+'V06 Controlos'!$B$37))-('V06 Unidades'!$I$5:$I$98+'V06 Controlos'!$B$37)-1)/6),0),1),2)))</f>
        <v>0.0</v>
      </c>
      <c r="P46" s="2">
        <f>SUM('V06 Calend 01'!BB5:BB98)</f>
        <v>0.0</v>
      </c>
    </row>
    <row r="47" spans="1:16">
      <c r="A47">
        <v>43</v>
      </c>
      <c r="C47">
        <v>30</v>
      </c>
      <c r="G47" s="2">
        <f>IF('V06 Motor'!A47&lt;='V06 Motor'!C47,SUMPRODUCT('V06 Curva'!$B$5:$B$34,IF((IF('V06 Motor'!A47*30/'V06 Motor'!C47&lt;'V06 Curva'!$A$5:$A$34,'V06 Motor'!A47*30/'V06 Motor'!C47,'V06 Curva'!$A$5:$A$34)-IF(('V06 Motor'!A47-1)*30/'V06 Motor'!C47&gt;'V06 Curva'!$A$5:$A$34-1,('V06 Motor'!A47-1)*30/'V06 Motor'!C47,'V06 Curva'!$A$5:$A$34-1))&gt;0,(IF('V06 Motor'!A47*30/'V06 Motor'!C47&lt;'V06 Curva'!$A$5:$A$34,'V06 Motor'!A47*30/'V06 Motor'!C47,'V06 Curva'!$A$5:$A$34)-IF(('V06 Motor'!A47-1)*30/'V06 Motor'!C47&gt;'V06 Curva'!$A$5:$A$34-1,('V06 Motor'!A47-1)*30/'V06 Motor'!C47,'V06 Curva'!$A$5:$A$34-1)),0)),0)</f>
        <v>0.0</v>
      </c>
      <c r="H47" s="2">
        <f>IF('V06 Motor'!A47&lt;='V06 Motor'!C47,SUM(MAX(0,MIN('V06 Motor'!A47*30/'V06 Motor'!C47,1)-MAX(('V06 Motor'!A47-1)*30/'V06 Motor'!C47,0))*'V06 Curva'!$B$5,MAX(0,MIN('V06 Motor'!A47*30/'V06 Motor'!C47,2)-MAX(('V06 Motor'!A47-1)*30/'V06 Motor'!C47,1))*'V06 Curva'!$B$6,MAX(0,MIN('V06 Motor'!A47*30/'V06 Motor'!C47,3)-MAX(('V06 Motor'!A47-1)*30/'V06 Motor'!C47,2))*'V06 Curva'!$B$7,MAX(0,MIN('V06 Motor'!A47*30/'V06 Motor'!C47,4)-MAX(('V06 Motor'!A47-1)*30/'V06 Motor'!C47,3))*'V06 Curva'!$B$8,MAX(0,MIN('V06 Motor'!A47*30/'V06 Motor'!C47,5)-MAX(('V06 Motor'!A47-1)*30/'V06 Motor'!C47,4))*'V06 Curva'!$B$9,MAX(0,MIN('V06 Motor'!A47*30/'V06 Motor'!C47,6)-MAX(('V06 Motor'!A47-1)*30/'V06 Motor'!C47,5))*'V06 Curva'!$B$10,MAX(0,MIN('V06 Motor'!A47*30/'V06 Motor'!C47,7)-MAX(('V06 Motor'!A47-1)*30/'V06 Motor'!C47,6))*'V06 Curva'!$B$11,MAX(0,MIN('V06 Motor'!A47*30/'V06 Motor'!C47,8)-MAX(('V06 Motor'!A47-1)*30/'V06 Motor'!C47,7))*'V06 Curva'!$B$12,MAX(0,MIN('V06 Motor'!A47*30/'V06 Motor'!C47,9)-MAX(('V06 Motor'!A47-1)*30/'V06 Motor'!C47,8))*'V06 Curva'!$B$13,MAX(0,MIN('V06 Motor'!A47*30/'V06 Motor'!C47,10)-MAX(('V06 Motor'!A47-1)*30/'V06 Motor'!C47,9))*'V06 Curva'!$B$14,MAX(0,MIN('V06 Motor'!A47*30/'V06 Motor'!C47,11)-MAX(('V06 Motor'!A47-1)*30/'V06 Motor'!C47,10))*'V06 Curva'!$B$15,MAX(0,MIN('V06 Motor'!A47*30/'V06 Motor'!C47,12)-MAX(('V06 Motor'!A47-1)*30/'V06 Motor'!C47,11))*'V06 Curva'!$B$16,MAX(0,MIN('V06 Motor'!A47*30/'V06 Motor'!C47,13)-MAX(('V06 Motor'!A47-1)*30/'V06 Motor'!C47,12))*'V06 Curva'!$B$17,MAX(0,MIN('V06 Motor'!A47*30/'V06 Motor'!C47,14)-MAX(('V06 Motor'!A47-1)*30/'V06 Motor'!C47,13))*'V06 Curva'!$B$18,MAX(0,MIN('V06 Motor'!A47*30/'V06 Motor'!C47,15)-MAX(('V06 Motor'!A47-1)*30/'V06 Motor'!C47,14))*'V06 Curva'!$B$19,MAX(0,MIN('V06 Motor'!A47*30/'V06 Motor'!C47,16)-MAX(('V06 Motor'!A47-1)*30/'V06 Motor'!C47,15))*'V06 Curva'!$B$20,MAX(0,MIN('V06 Motor'!A47*30/'V06 Motor'!C47,17)-MAX(('V06 Motor'!A47-1)*30/'V06 Motor'!C47,16))*'V06 Curva'!$B$21,MAX(0,MIN('V06 Motor'!A47*30/'V06 Motor'!C47,18)-MAX(('V06 Motor'!A47-1)*30/'V06 Motor'!C47,17))*'V06 Curva'!$B$22,MAX(0,MIN('V06 Motor'!A47*30/'V06 Motor'!C47,19)-MAX(('V06 Motor'!A47-1)*30/'V06 Motor'!C47,18))*'V06 Curva'!$B$23,MAX(0,MIN('V06 Motor'!A47*30/'V06 Motor'!C47,20)-MAX(('V06 Motor'!A47-1)*30/'V06 Motor'!C47,19))*'V06 Curva'!$B$24,MAX(0,MIN('V06 Motor'!A47*30/'V06 Motor'!C47,21)-MAX(('V06 Motor'!A47-1)*30/'V06 Motor'!C47,20))*'V06 Curva'!$B$25,MAX(0,MIN('V06 Motor'!A47*30/'V06 Motor'!C47,22)-MAX(('V06 Motor'!A47-1)*30/'V06 Motor'!C47,21))*'V06 Curva'!$B$26,MAX(0,MIN('V06 Motor'!A47*30/'V06 Motor'!C47,23)-MAX(('V06 Motor'!A47-1)*30/'V06 Motor'!C47,22))*'V06 Curva'!$B$27,MAX(0,MIN('V06 Motor'!A47*30/'V06 Motor'!C47,24)-MAX(('V06 Motor'!A47-1)*30/'V06 Motor'!C47,23))*'V06 Curva'!$B$28,MAX(0,MIN('V06 Motor'!A47*30/'V06 Motor'!C47,25)-MAX(('V06 Motor'!A47-1)*30/'V06 Motor'!C47,24))*'V06 Curva'!$B$29,MAX(0,MIN('V06 Motor'!A47*30/'V06 Motor'!C47,26)-MAX(('V06 Motor'!A47-1)*30/'V06 Motor'!C47,25))*'V06 Curva'!$B$30,MAX(0,MIN('V06 Motor'!A47*30/'V06 Motor'!C47,27)-MAX(('V06 Motor'!A47-1)*30/'V06 Motor'!C47,26))*'V06 Curva'!$B$31,MAX(0,MIN('V06 Motor'!A47*30/'V06 Motor'!C47,28)-MAX(('V06 Motor'!A47-1)*30/'V06 Motor'!C47,27))*'V06 Curva'!$B$32,MAX(0,MIN('V06 Motor'!A47*30/'V06 Motor'!C47,29)-MAX(('V06 Motor'!A47-1)*30/'V06 Motor'!C47,28))*'V06 Curva'!$B$33,MAX(0,MIN('V06 Motor'!A47*30/'V06 Motor'!C47,30)-MAX(('V06 Motor'!A47-1)*30/'V06 Motor'!C47,29))*'V06 Curva'!$B$34),0)</f>
        <v>0.0</v>
      </c>
      <c r="O47" s="2">
        <f>SUMPRODUCT(--(('V06 Unidades'!$I$5:$I$98+'V06 Controlos'!$B$37)='V06 Motor'!A47),ROUND('V06 Unidades'!$H$5:$H$98*0.05,2)+ROUND('V06 Unidades'!$H$5:$H$98*0.2,2))+SUMPRODUCT(--(IF('V06 Controlos'!$B$38&gt;0,IF(('V06 Unidades'!$L$5:$L$98+'V06 Controlos'!$B$37)&lt;'V06 Motor'!C47,'V06 Motor'!C47,('V06 Unidades'!$L$5:$L$98+'V06 Controlos'!$B$37)),('V06 Unidades'!$L$5:$L$98+'V06 Controlos'!$B$37))='V06 Motor'!A47),'V06 Unidades'!$H$5:$H$98-ROUND('V06 Unidades'!$H$5:$H$98*0.05,2)-ROUND('V06 Unidades'!$H$5:$H$98*0.2,2)-ROUND('V06 Unidades'!$H$5:$H$98*0.55,2))+SUMPRODUCT(--(IF(INT((IF('V06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Controlos'!$B$37)-1)/6),0)&gt;0),--('V06 Motor'!A47&gt;('V06 Unidades'!$I$5:$I$98+'V06 Controlos'!$B$37)),--('V06 Motor'!A47&lt;IF('V06 Controlos'!$B$38&gt;0,IF(('V06 Unidades'!$L$5:$L$98+'V06 Controlos'!$B$37)&lt;'V06 Motor'!C47,'V06 Motor'!C47,('V06 Unidades'!$L$5:$L$98+'V06 Controlos'!$B$37)),('V06 Unidades'!$L$5:$L$98+'V06 Controlos'!$B$37))),--(MOD('V06 Motor'!A47-('V06 Unidades'!$I$5:$I$98+'V06 Controlos'!$B$37),6)=0),--(('V06 Motor'!A47-('V06 Unidades'!$I$5:$I$98+'V06 Controlos'!$B$37))/6&lt;=IF(INT((IF('V06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Controlos'!$B$37)-1)/6),0)),IF('V06 Motor'!A47=('V06 Unidades'!$I$5:$I$98+'V06 Controlos'!$B$37)+6*IF(INT((IF('V06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Controlos'!$B$37)-1)/6),0)&gt;0,IF(INT((IF('V06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Controlos'!$B$37)-1)/6),0),1),2)*(IF(INT((IF('V06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Controlos'!$B$37)-1)/6),0)&gt;0,IF(INT((IF('V06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Controlos'!$B$37)-1)/6)&gt;0,INT((IF('V06 Controlos'!$B$38&gt;0,IF(('V06 Unidades'!$L$5:$L$98+'V06 Controlos'!$B$37)&lt;'V06 Motor'!C47,'V06 Motor'!C47,('V06 Unidades'!$L$5:$L$98+'V06 Controlos'!$B$37)),('V06 Unidades'!$L$5:$L$98+'V06 Controlos'!$B$37))-('V06 Unidades'!$I$5:$I$98+'V06 Controlos'!$B$37)-1)/6),0),1),2)))</f>
        <v>0.0</v>
      </c>
      <c r="P47" s="2">
        <f>SUM('V06 Calend 01'!BC5:BC98)</f>
        <v>0.0</v>
      </c>
    </row>
    <row r="48" spans="1:16">
      <c r="A48">
        <v>44</v>
      </c>
      <c r="C48">
        <v>30</v>
      </c>
      <c r="G48" s="2">
        <f>IF('V06 Motor'!A48&lt;='V06 Motor'!C48,SUMPRODUCT('V06 Curva'!$B$5:$B$34,IF((IF('V06 Motor'!A48*30/'V06 Motor'!C48&lt;'V06 Curva'!$A$5:$A$34,'V06 Motor'!A48*30/'V06 Motor'!C48,'V06 Curva'!$A$5:$A$34)-IF(('V06 Motor'!A48-1)*30/'V06 Motor'!C48&gt;'V06 Curva'!$A$5:$A$34-1,('V06 Motor'!A48-1)*30/'V06 Motor'!C48,'V06 Curva'!$A$5:$A$34-1))&gt;0,(IF('V06 Motor'!A48*30/'V06 Motor'!C48&lt;'V06 Curva'!$A$5:$A$34,'V06 Motor'!A48*30/'V06 Motor'!C48,'V06 Curva'!$A$5:$A$34)-IF(('V06 Motor'!A48-1)*30/'V06 Motor'!C48&gt;'V06 Curva'!$A$5:$A$34-1,('V06 Motor'!A48-1)*30/'V06 Motor'!C48,'V06 Curva'!$A$5:$A$34-1)),0)),0)</f>
        <v>0.0</v>
      </c>
      <c r="H48" s="2">
        <f>IF('V06 Motor'!A48&lt;='V06 Motor'!C48,SUM(MAX(0,MIN('V06 Motor'!A48*30/'V06 Motor'!C48,1)-MAX(('V06 Motor'!A48-1)*30/'V06 Motor'!C48,0))*'V06 Curva'!$B$5,MAX(0,MIN('V06 Motor'!A48*30/'V06 Motor'!C48,2)-MAX(('V06 Motor'!A48-1)*30/'V06 Motor'!C48,1))*'V06 Curva'!$B$6,MAX(0,MIN('V06 Motor'!A48*30/'V06 Motor'!C48,3)-MAX(('V06 Motor'!A48-1)*30/'V06 Motor'!C48,2))*'V06 Curva'!$B$7,MAX(0,MIN('V06 Motor'!A48*30/'V06 Motor'!C48,4)-MAX(('V06 Motor'!A48-1)*30/'V06 Motor'!C48,3))*'V06 Curva'!$B$8,MAX(0,MIN('V06 Motor'!A48*30/'V06 Motor'!C48,5)-MAX(('V06 Motor'!A48-1)*30/'V06 Motor'!C48,4))*'V06 Curva'!$B$9,MAX(0,MIN('V06 Motor'!A48*30/'V06 Motor'!C48,6)-MAX(('V06 Motor'!A48-1)*30/'V06 Motor'!C48,5))*'V06 Curva'!$B$10,MAX(0,MIN('V06 Motor'!A48*30/'V06 Motor'!C48,7)-MAX(('V06 Motor'!A48-1)*30/'V06 Motor'!C48,6))*'V06 Curva'!$B$11,MAX(0,MIN('V06 Motor'!A48*30/'V06 Motor'!C48,8)-MAX(('V06 Motor'!A48-1)*30/'V06 Motor'!C48,7))*'V06 Curva'!$B$12,MAX(0,MIN('V06 Motor'!A48*30/'V06 Motor'!C48,9)-MAX(('V06 Motor'!A48-1)*30/'V06 Motor'!C48,8))*'V06 Curva'!$B$13,MAX(0,MIN('V06 Motor'!A48*30/'V06 Motor'!C48,10)-MAX(('V06 Motor'!A48-1)*30/'V06 Motor'!C48,9))*'V06 Curva'!$B$14,MAX(0,MIN('V06 Motor'!A48*30/'V06 Motor'!C48,11)-MAX(('V06 Motor'!A48-1)*30/'V06 Motor'!C48,10))*'V06 Curva'!$B$15,MAX(0,MIN('V06 Motor'!A48*30/'V06 Motor'!C48,12)-MAX(('V06 Motor'!A48-1)*30/'V06 Motor'!C48,11))*'V06 Curva'!$B$16,MAX(0,MIN('V06 Motor'!A48*30/'V06 Motor'!C48,13)-MAX(('V06 Motor'!A48-1)*30/'V06 Motor'!C48,12))*'V06 Curva'!$B$17,MAX(0,MIN('V06 Motor'!A48*30/'V06 Motor'!C48,14)-MAX(('V06 Motor'!A48-1)*30/'V06 Motor'!C48,13))*'V06 Curva'!$B$18,MAX(0,MIN('V06 Motor'!A48*30/'V06 Motor'!C48,15)-MAX(('V06 Motor'!A48-1)*30/'V06 Motor'!C48,14))*'V06 Curva'!$B$19,MAX(0,MIN('V06 Motor'!A48*30/'V06 Motor'!C48,16)-MAX(('V06 Motor'!A48-1)*30/'V06 Motor'!C48,15))*'V06 Curva'!$B$20,MAX(0,MIN('V06 Motor'!A48*30/'V06 Motor'!C48,17)-MAX(('V06 Motor'!A48-1)*30/'V06 Motor'!C48,16))*'V06 Curva'!$B$21,MAX(0,MIN('V06 Motor'!A48*30/'V06 Motor'!C48,18)-MAX(('V06 Motor'!A48-1)*30/'V06 Motor'!C48,17))*'V06 Curva'!$B$22,MAX(0,MIN('V06 Motor'!A48*30/'V06 Motor'!C48,19)-MAX(('V06 Motor'!A48-1)*30/'V06 Motor'!C48,18))*'V06 Curva'!$B$23,MAX(0,MIN('V06 Motor'!A48*30/'V06 Motor'!C48,20)-MAX(('V06 Motor'!A48-1)*30/'V06 Motor'!C48,19))*'V06 Curva'!$B$24,MAX(0,MIN('V06 Motor'!A48*30/'V06 Motor'!C48,21)-MAX(('V06 Motor'!A48-1)*30/'V06 Motor'!C48,20))*'V06 Curva'!$B$25,MAX(0,MIN('V06 Motor'!A48*30/'V06 Motor'!C48,22)-MAX(('V06 Motor'!A48-1)*30/'V06 Motor'!C48,21))*'V06 Curva'!$B$26,MAX(0,MIN('V06 Motor'!A48*30/'V06 Motor'!C48,23)-MAX(('V06 Motor'!A48-1)*30/'V06 Motor'!C48,22))*'V06 Curva'!$B$27,MAX(0,MIN('V06 Motor'!A48*30/'V06 Motor'!C48,24)-MAX(('V06 Motor'!A48-1)*30/'V06 Motor'!C48,23))*'V06 Curva'!$B$28,MAX(0,MIN('V06 Motor'!A48*30/'V06 Motor'!C48,25)-MAX(('V06 Motor'!A48-1)*30/'V06 Motor'!C48,24))*'V06 Curva'!$B$29,MAX(0,MIN('V06 Motor'!A48*30/'V06 Motor'!C48,26)-MAX(('V06 Motor'!A48-1)*30/'V06 Motor'!C48,25))*'V06 Curva'!$B$30,MAX(0,MIN('V06 Motor'!A48*30/'V06 Motor'!C48,27)-MAX(('V06 Motor'!A48-1)*30/'V06 Motor'!C48,26))*'V06 Curva'!$B$31,MAX(0,MIN('V06 Motor'!A48*30/'V06 Motor'!C48,28)-MAX(('V06 Motor'!A48-1)*30/'V06 Motor'!C48,27))*'V06 Curva'!$B$32,MAX(0,MIN('V06 Motor'!A48*30/'V06 Motor'!C48,29)-MAX(('V06 Motor'!A48-1)*30/'V06 Motor'!C48,28))*'V06 Curva'!$B$33,MAX(0,MIN('V06 Motor'!A48*30/'V06 Motor'!C48,30)-MAX(('V06 Motor'!A48-1)*30/'V06 Motor'!C48,29))*'V06 Curva'!$B$34),0)</f>
        <v>0.0</v>
      </c>
      <c r="O48" s="2">
        <f>SUMPRODUCT(--(('V06 Unidades'!$I$5:$I$98+'V06 Controlos'!$B$37)='V06 Motor'!A48),ROUND('V06 Unidades'!$H$5:$H$98*0.05,2)+ROUND('V06 Unidades'!$H$5:$H$98*0.2,2))+SUMPRODUCT(--(IF('V06 Controlos'!$B$38&gt;0,IF(('V06 Unidades'!$L$5:$L$98+'V06 Controlos'!$B$37)&lt;'V06 Motor'!C48,'V06 Motor'!C48,('V06 Unidades'!$L$5:$L$98+'V06 Controlos'!$B$37)),('V06 Unidades'!$L$5:$L$98+'V06 Controlos'!$B$37))='V06 Motor'!A48),'V06 Unidades'!$H$5:$H$98-ROUND('V06 Unidades'!$H$5:$H$98*0.05,2)-ROUND('V06 Unidades'!$H$5:$H$98*0.2,2)-ROUND('V06 Unidades'!$H$5:$H$98*0.55,2))+SUMPRODUCT(--(IF(INT((IF('V06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Controlos'!$B$37)-1)/6),0)&gt;0),--('V06 Motor'!A48&gt;('V06 Unidades'!$I$5:$I$98+'V06 Controlos'!$B$37)),--('V06 Motor'!A48&lt;IF('V06 Controlos'!$B$38&gt;0,IF(('V06 Unidades'!$L$5:$L$98+'V06 Controlos'!$B$37)&lt;'V06 Motor'!C48,'V06 Motor'!C48,('V06 Unidades'!$L$5:$L$98+'V06 Controlos'!$B$37)),('V06 Unidades'!$L$5:$L$98+'V06 Controlos'!$B$37))),--(MOD('V06 Motor'!A48-('V06 Unidades'!$I$5:$I$98+'V06 Controlos'!$B$37),6)=0),--(('V06 Motor'!A48-('V06 Unidades'!$I$5:$I$98+'V06 Controlos'!$B$37))/6&lt;=IF(INT((IF('V06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Controlos'!$B$37)-1)/6),0)),IF('V06 Motor'!A48=('V06 Unidades'!$I$5:$I$98+'V06 Controlos'!$B$37)+6*IF(INT((IF('V06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Controlos'!$B$37)-1)/6),0)&gt;0,IF(INT((IF('V06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Controlos'!$B$37)-1)/6),0),1),2)*(IF(INT((IF('V06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Controlos'!$B$37)-1)/6),0)&gt;0,IF(INT((IF('V06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Controlos'!$B$37)-1)/6)&gt;0,INT((IF('V06 Controlos'!$B$38&gt;0,IF(('V06 Unidades'!$L$5:$L$98+'V06 Controlos'!$B$37)&lt;'V06 Motor'!C48,'V06 Motor'!C48,('V06 Unidades'!$L$5:$L$98+'V06 Controlos'!$B$37)),('V06 Unidades'!$L$5:$L$98+'V06 Controlos'!$B$37))-('V06 Unidades'!$I$5:$I$98+'V06 Controlos'!$B$37)-1)/6),0),1),2)))</f>
        <v>0.0</v>
      </c>
      <c r="P48" s="2">
        <f>SUM('V06 Calend 01'!BD5:BD98)</f>
        <v>0.0</v>
      </c>
    </row>
    <row r="49" spans="1:16">
      <c r="A49">
        <v>45</v>
      </c>
      <c r="C49">
        <v>30</v>
      </c>
      <c r="G49" s="2">
        <f>IF('V06 Motor'!A49&lt;='V06 Motor'!C49,SUMPRODUCT('V06 Curva'!$B$5:$B$34,IF((IF('V06 Motor'!A49*30/'V06 Motor'!C49&lt;'V06 Curva'!$A$5:$A$34,'V06 Motor'!A49*30/'V06 Motor'!C49,'V06 Curva'!$A$5:$A$34)-IF(('V06 Motor'!A49-1)*30/'V06 Motor'!C49&gt;'V06 Curva'!$A$5:$A$34-1,('V06 Motor'!A49-1)*30/'V06 Motor'!C49,'V06 Curva'!$A$5:$A$34-1))&gt;0,(IF('V06 Motor'!A49*30/'V06 Motor'!C49&lt;'V06 Curva'!$A$5:$A$34,'V06 Motor'!A49*30/'V06 Motor'!C49,'V06 Curva'!$A$5:$A$34)-IF(('V06 Motor'!A49-1)*30/'V06 Motor'!C49&gt;'V06 Curva'!$A$5:$A$34-1,('V06 Motor'!A49-1)*30/'V06 Motor'!C49,'V06 Curva'!$A$5:$A$34-1)),0)),0)</f>
        <v>0.0</v>
      </c>
      <c r="H49" s="2">
        <f>IF('V06 Motor'!A49&lt;='V06 Motor'!C49,SUM(MAX(0,MIN('V06 Motor'!A49*30/'V06 Motor'!C49,1)-MAX(('V06 Motor'!A49-1)*30/'V06 Motor'!C49,0))*'V06 Curva'!$B$5,MAX(0,MIN('V06 Motor'!A49*30/'V06 Motor'!C49,2)-MAX(('V06 Motor'!A49-1)*30/'V06 Motor'!C49,1))*'V06 Curva'!$B$6,MAX(0,MIN('V06 Motor'!A49*30/'V06 Motor'!C49,3)-MAX(('V06 Motor'!A49-1)*30/'V06 Motor'!C49,2))*'V06 Curva'!$B$7,MAX(0,MIN('V06 Motor'!A49*30/'V06 Motor'!C49,4)-MAX(('V06 Motor'!A49-1)*30/'V06 Motor'!C49,3))*'V06 Curva'!$B$8,MAX(0,MIN('V06 Motor'!A49*30/'V06 Motor'!C49,5)-MAX(('V06 Motor'!A49-1)*30/'V06 Motor'!C49,4))*'V06 Curva'!$B$9,MAX(0,MIN('V06 Motor'!A49*30/'V06 Motor'!C49,6)-MAX(('V06 Motor'!A49-1)*30/'V06 Motor'!C49,5))*'V06 Curva'!$B$10,MAX(0,MIN('V06 Motor'!A49*30/'V06 Motor'!C49,7)-MAX(('V06 Motor'!A49-1)*30/'V06 Motor'!C49,6))*'V06 Curva'!$B$11,MAX(0,MIN('V06 Motor'!A49*30/'V06 Motor'!C49,8)-MAX(('V06 Motor'!A49-1)*30/'V06 Motor'!C49,7))*'V06 Curva'!$B$12,MAX(0,MIN('V06 Motor'!A49*30/'V06 Motor'!C49,9)-MAX(('V06 Motor'!A49-1)*30/'V06 Motor'!C49,8))*'V06 Curva'!$B$13,MAX(0,MIN('V06 Motor'!A49*30/'V06 Motor'!C49,10)-MAX(('V06 Motor'!A49-1)*30/'V06 Motor'!C49,9))*'V06 Curva'!$B$14,MAX(0,MIN('V06 Motor'!A49*30/'V06 Motor'!C49,11)-MAX(('V06 Motor'!A49-1)*30/'V06 Motor'!C49,10))*'V06 Curva'!$B$15,MAX(0,MIN('V06 Motor'!A49*30/'V06 Motor'!C49,12)-MAX(('V06 Motor'!A49-1)*30/'V06 Motor'!C49,11))*'V06 Curva'!$B$16,MAX(0,MIN('V06 Motor'!A49*30/'V06 Motor'!C49,13)-MAX(('V06 Motor'!A49-1)*30/'V06 Motor'!C49,12))*'V06 Curva'!$B$17,MAX(0,MIN('V06 Motor'!A49*30/'V06 Motor'!C49,14)-MAX(('V06 Motor'!A49-1)*30/'V06 Motor'!C49,13))*'V06 Curva'!$B$18,MAX(0,MIN('V06 Motor'!A49*30/'V06 Motor'!C49,15)-MAX(('V06 Motor'!A49-1)*30/'V06 Motor'!C49,14))*'V06 Curva'!$B$19,MAX(0,MIN('V06 Motor'!A49*30/'V06 Motor'!C49,16)-MAX(('V06 Motor'!A49-1)*30/'V06 Motor'!C49,15))*'V06 Curva'!$B$20,MAX(0,MIN('V06 Motor'!A49*30/'V06 Motor'!C49,17)-MAX(('V06 Motor'!A49-1)*30/'V06 Motor'!C49,16))*'V06 Curva'!$B$21,MAX(0,MIN('V06 Motor'!A49*30/'V06 Motor'!C49,18)-MAX(('V06 Motor'!A49-1)*30/'V06 Motor'!C49,17))*'V06 Curva'!$B$22,MAX(0,MIN('V06 Motor'!A49*30/'V06 Motor'!C49,19)-MAX(('V06 Motor'!A49-1)*30/'V06 Motor'!C49,18))*'V06 Curva'!$B$23,MAX(0,MIN('V06 Motor'!A49*30/'V06 Motor'!C49,20)-MAX(('V06 Motor'!A49-1)*30/'V06 Motor'!C49,19))*'V06 Curva'!$B$24,MAX(0,MIN('V06 Motor'!A49*30/'V06 Motor'!C49,21)-MAX(('V06 Motor'!A49-1)*30/'V06 Motor'!C49,20))*'V06 Curva'!$B$25,MAX(0,MIN('V06 Motor'!A49*30/'V06 Motor'!C49,22)-MAX(('V06 Motor'!A49-1)*30/'V06 Motor'!C49,21))*'V06 Curva'!$B$26,MAX(0,MIN('V06 Motor'!A49*30/'V06 Motor'!C49,23)-MAX(('V06 Motor'!A49-1)*30/'V06 Motor'!C49,22))*'V06 Curva'!$B$27,MAX(0,MIN('V06 Motor'!A49*30/'V06 Motor'!C49,24)-MAX(('V06 Motor'!A49-1)*30/'V06 Motor'!C49,23))*'V06 Curva'!$B$28,MAX(0,MIN('V06 Motor'!A49*30/'V06 Motor'!C49,25)-MAX(('V06 Motor'!A49-1)*30/'V06 Motor'!C49,24))*'V06 Curva'!$B$29,MAX(0,MIN('V06 Motor'!A49*30/'V06 Motor'!C49,26)-MAX(('V06 Motor'!A49-1)*30/'V06 Motor'!C49,25))*'V06 Curva'!$B$30,MAX(0,MIN('V06 Motor'!A49*30/'V06 Motor'!C49,27)-MAX(('V06 Motor'!A49-1)*30/'V06 Motor'!C49,26))*'V06 Curva'!$B$31,MAX(0,MIN('V06 Motor'!A49*30/'V06 Motor'!C49,28)-MAX(('V06 Motor'!A49-1)*30/'V06 Motor'!C49,27))*'V06 Curva'!$B$32,MAX(0,MIN('V06 Motor'!A49*30/'V06 Motor'!C49,29)-MAX(('V06 Motor'!A49-1)*30/'V06 Motor'!C49,28))*'V06 Curva'!$B$33,MAX(0,MIN('V06 Motor'!A49*30/'V06 Motor'!C49,30)-MAX(('V06 Motor'!A49-1)*30/'V06 Motor'!C49,29))*'V06 Curva'!$B$34),0)</f>
        <v>0.0</v>
      </c>
      <c r="O49" s="2">
        <f>SUMPRODUCT(--(('V06 Unidades'!$I$5:$I$98+'V06 Controlos'!$B$37)='V06 Motor'!A49),ROUND('V06 Unidades'!$H$5:$H$98*0.05,2)+ROUND('V06 Unidades'!$H$5:$H$98*0.2,2))+SUMPRODUCT(--(IF('V06 Controlos'!$B$38&gt;0,IF(('V06 Unidades'!$L$5:$L$98+'V06 Controlos'!$B$37)&lt;'V06 Motor'!C49,'V06 Motor'!C49,('V06 Unidades'!$L$5:$L$98+'V06 Controlos'!$B$37)),('V06 Unidades'!$L$5:$L$98+'V06 Controlos'!$B$37))='V06 Motor'!A49),'V06 Unidades'!$H$5:$H$98-ROUND('V06 Unidades'!$H$5:$H$98*0.05,2)-ROUND('V06 Unidades'!$H$5:$H$98*0.2,2)-ROUND('V06 Unidades'!$H$5:$H$98*0.55,2))+SUMPRODUCT(--(IF(INT((IF('V06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Controlos'!$B$37)-1)/6),0)&gt;0),--('V06 Motor'!A49&gt;('V06 Unidades'!$I$5:$I$98+'V06 Controlos'!$B$37)),--('V06 Motor'!A49&lt;IF('V06 Controlos'!$B$38&gt;0,IF(('V06 Unidades'!$L$5:$L$98+'V06 Controlos'!$B$37)&lt;'V06 Motor'!C49,'V06 Motor'!C49,('V06 Unidades'!$L$5:$L$98+'V06 Controlos'!$B$37)),('V06 Unidades'!$L$5:$L$98+'V06 Controlos'!$B$37))),--(MOD('V06 Motor'!A49-('V06 Unidades'!$I$5:$I$98+'V06 Controlos'!$B$37),6)=0),--(('V06 Motor'!A49-('V06 Unidades'!$I$5:$I$98+'V06 Controlos'!$B$37))/6&lt;=IF(INT((IF('V06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Controlos'!$B$37)-1)/6),0)),IF('V06 Motor'!A49=('V06 Unidades'!$I$5:$I$98+'V06 Controlos'!$B$37)+6*IF(INT((IF('V06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Controlos'!$B$37)-1)/6),0)&gt;0,IF(INT((IF('V06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Controlos'!$B$37)-1)/6),0),1),2)*(IF(INT((IF('V06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Controlos'!$B$37)-1)/6),0)&gt;0,IF(INT((IF('V06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Controlos'!$B$37)-1)/6)&gt;0,INT((IF('V06 Controlos'!$B$38&gt;0,IF(('V06 Unidades'!$L$5:$L$98+'V06 Controlos'!$B$37)&lt;'V06 Motor'!C49,'V06 Motor'!C49,('V06 Unidades'!$L$5:$L$98+'V06 Controlos'!$B$37)),('V06 Unidades'!$L$5:$L$98+'V06 Controlos'!$B$37))-('V06 Unidades'!$I$5:$I$98+'V06 Controlos'!$B$37)-1)/6),0),1),2)))</f>
        <v>0.0</v>
      </c>
      <c r="P49" s="2">
        <f>SUM('V06 Calend 01'!BE5:BE98)</f>
        <v>0.0</v>
      </c>
    </row>
    <row r="50" spans="1:16">
      <c r="A50">
        <v>46</v>
      </c>
      <c r="C50">
        <v>30</v>
      </c>
      <c r="G50" s="2">
        <f>IF('V06 Motor'!A50&lt;='V06 Motor'!C50,SUMPRODUCT('V06 Curva'!$B$5:$B$34,IF((IF('V06 Motor'!A50*30/'V06 Motor'!C50&lt;'V06 Curva'!$A$5:$A$34,'V06 Motor'!A50*30/'V06 Motor'!C50,'V06 Curva'!$A$5:$A$34)-IF(('V06 Motor'!A50-1)*30/'V06 Motor'!C50&gt;'V06 Curva'!$A$5:$A$34-1,('V06 Motor'!A50-1)*30/'V06 Motor'!C50,'V06 Curva'!$A$5:$A$34-1))&gt;0,(IF('V06 Motor'!A50*30/'V06 Motor'!C50&lt;'V06 Curva'!$A$5:$A$34,'V06 Motor'!A50*30/'V06 Motor'!C50,'V06 Curva'!$A$5:$A$34)-IF(('V06 Motor'!A50-1)*30/'V06 Motor'!C50&gt;'V06 Curva'!$A$5:$A$34-1,('V06 Motor'!A50-1)*30/'V06 Motor'!C50,'V06 Curva'!$A$5:$A$34-1)),0)),0)</f>
        <v>0.0</v>
      </c>
      <c r="H50" s="2">
        <f>IF('V06 Motor'!A50&lt;='V06 Motor'!C50,SUM(MAX(0,MIN('V06 Motor'!A50*30/'V06 Motor'!C50,1)-MAX(('V06 Motor'!A50-1)*30/'V06 Motor'!C50,0))*'V06 Curva'!$B$5,MAX(0,MIN('V06 Motor'!A50*30/'V06 Motor'!C50,2)-MAX(('V06 Motor'!A50-1)*30/'V06 Motor'!C50,1))*'V06 Curva'!$B$6,MAX(0,MIN('V06 Motor'!A50*30/'V06 Motor'!C50,3)-MAX(('V06 Motor'!A50-1)*30/'V06 Motor'!C50,2))*'V06 Curva'!$B$7,MAX(0,MIN('V06 Motor'!A50*30/'V06 Motor'!C50,4)-MAX(('V06 Motor'!A50-1)*30/'V06 Motor'!C50,3))*'V06 Curva'!$B$8,MAX(0,MIN('V06 Motor'!A50*30/'V06 Motor'!C50,5)-MAX(('V06 Motor'!A50-1)*30/'V06 Motor'!C50,4))*'V06 Curva'!$B$9,MAX(0,MIN('V06 Motor'!A50*30/'V06 Motor'!C50,6)-MAX(('V06 Motor'!A50-1)*30/'V06 Motor'!C50,5))*'V06 Curva'!$B$10,MAX(0,MIN('V06 Motor'!A50*30/'V06 Motor'!C50,7)-MAX(('V06 Motor'!A50-1)*30/'V06 Motor'!C50,6))*'V06 Curva'!$B$11,MAX(0,MIN('V06 Motor'!A50*30/'V06 Motor'!C50,8)-MAX(('V06 Motor'!A50-1)*30/'V06 Motor'!C50,7))*'V06 Curva'!$B$12,MAX(0,MIN('V06 Motor'!A50*30/'V06 Motor'!C50,9)-MAX(('V06 Motor'!A50-1)*30/'V06 Motor'!C50,8))*'V06 Curva'!$B$13,MAX(0,MIN('V06 Motor'!A50*30/'V06 Motor'!C50,10)-MAX(('V06 Motor'!A50-1)*30/'V06 Motor'!C50,9))*'V06 Curva'!$B$14,MAX(0,MIN('V06 Motor'!A50*30/'V06 Motor'!C50,11)-MAX(('V06 Motor'!A50-1)*30/'V06 Motor'!C50,10))*'V06 Curva'!$B$15,MAX(0,MIN('V06 Motor'!A50*30/'V06 Motor'!C50,12)-MAX(('V06 Motor'!A50-1)*30/'V06 Motor'!C50,11))*'V06 Curva'!$B$16,MAX(0,MIN('V06 Motor'!A50*30/'V06 Motor'!C50,13)-MAX(('V06 Motor'!A50-1)*30/'V06 Motor'!C50,12))*'V06 Curva'!$B$17,MAX(0,MIN('V06 Motor'!A50*30/'V06 Motor'!C50,14)-MAX(('V06 Motor'!A50-1)*30/'V06 Motor'!C50,13))*'V06 Curva'!$B$18,MAX(0,MIN('V06 Motor'!A50*30/'V06 Motor'!C50,15)-MAX(('V06 Motor'!A50-1)*30/'V06 Motor'!C50,14))*'V06 Curva'!$B$19,MAX(0,MIN('V06 Motor'!A50*30/'V06 Motor'!C50,16)-MAX(('V06 Motor'!A50-1)*30/'V06 Motor'!C50,15))*'V06 Curva'!$B$20,MAX(0,MIN('V06 Motor'!A50*30/'V06 Motor'!C50,17)-MAX(('V06 Motor'!A50-1)*30/'V06 Motor'!C50,16))*'V06 Curva'!$B$21,MAX(0,MIN('V06 Motor'!A50*30/'V06 Motor'!C50,18)-MAX(('V06 Motor'!A50-1)*30/'V06 Motor'!C50,17))*'V06 Curva'!$B$22,MAX(0,MIN('V06 Motor'!A50*30/'V06 Motor'!C50,19)-MAX(('V06 Motor'!A50-1)*30/'V06 Motor'!C50,18))*'V06 Curva'!$B$23,MAX(0,MIN('V06 Motor'!A50*30/'V06 Motor'!C50,20)-MAX(('V06 Motor'!A50-1)*30/'V06 Motor'!C50,19))*'V06 Curva'!$B$24,MAX(0,MIN('V06 Motor'!A50*30/'V06 Motor'!C50,21)-MAX(('V06 Motor'!A50-1)*30/'V06 Motor'!C50,20))*'V06 Curva'!$B$25,MAX(0,MIN('V06 Motor'!A50*30/'V06 Motor'!C50,22)-MAX(('V06 Motor'!A50-1)*30/'V06 Motor'!C50,21))*'V06 Curva'!$B$26,MAX(0,MIN('V06 Motor'!A50*30/'V06 Motor'!C50,23)-MAX(('V06 Motor'!A50-1)*30/'V06 Motor'!C50,22))*'V06 Curva'!$B$27,MAX(0,MIN('V06 Motor'!A50*30/'V06 Motor'!C50,24)-MAX(('V06 Motor'!A50-1)*30/'V06 Motor'!C50,23))*'V06 Curva'!$B$28,MAX(0,MIN('V06 Motor'!A50*30/'V06 Motor'!C50,25)-MAX(('V06 Motor'!A50-1)*30/'V06 Motor'!C50,24))*'V06 Curva'!$B$29,MAX(0,MIN('V06 Motor'!A50*30/'V06 Motor'!C50,26)-MAX(('V06 Motor'!A50-1)*30/'V06 Motor'!C50,25))*'V06 Curva'!$B$30,MAX(0,MIN('V06 Motor'!A50*30/'V06 Motor'!C50,27)-MAX(('V06 Motor'!A50-1)*30/'V06 Motor'!C50,26))*'V06 Curva'!$B$31,MAX(0,MIN('V06 Motor'!A50*30/'V06 Motor'!C50,28)-MAX(('V06 Motor'!A50-1)*30/'V06 Motor'!C50,27))*'V06 Curva'!$B$32,MAX(0,MIN('V06 Motor'!A50*30/'V06 Motor'!C50,29)-MAX(('V06 Motor'!A50-1)*30/'V06 Motor'!C50,28))*'V06 Curva'!$B$33,MAX(0,MIN('V06 Motor'!A50*30/'V06 Motor'!C50,30)-MAX(('V06 Motor'!A50-1)*30/'V06 Motor'!C50,29))*'V06 Curva'!$B$34),0)</f>
        <v>0.0</v>
      </c>
      <c r="O50" s="2">
        <f>SUMPRODUCT(--(('V06 Unidades'!$I$5:$I$98+'V06 Controlos'!$B$37)='V06 Motor'!A50),ROUND('V06 Unidades'!$H$5:$H$98*0.05,2)+ROUND('V06 Unidades'!$H$5:$H$98*0.2,2))+SUMPRODUCT(--(IF('V06 Controlos'!$B$38&gt;0,IF(('V06 Unidades'!$L$5:$L$98+'V06 Controlos'!$B$37)&lt;'V06 Motor'!C50,'V06 Motor'!C50,('V06 Unidades'!$L$5:$L$98+'V06 Controlos'!$B$37)),('V06 Unidades'!$L$5:$L$98+'V06 Controlos'!$B$37))='V06 Motor'!A50),'V06 Unidades'!$H$5:$H$98-ROUND('V06 Unidades'!$H$5:$H$98*0.05,2)-ROUND('V06 Unidades'!$H$5:$H$98*0.2,2)-ROUND('V06 Unidades'!$H$5:$H$98*0.55,2))+SUMPRODUCT(--(IF(INT((IF('V06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Controlos'!$B$37)-1)/6),0)&gt;0),--('V06 Motor'!A50&gt;('V06 Unidades'!$I$5:$I$98+'V06 Controlos'!$B$37)),--('V06 Motor'!A50&lt;IF('V06 Controlos'!$B$38&gt;0,IF(('V06 Unidades'!$L$5:$L$98+'V06 Controlos'!$B$37)&lt;'V06 Motor'!C50,'V06 Motor'!C50,('V06 Unidades'!$L$5:$L$98+'V06 Controlos'!$B$37)),('V06 Unidades'!$L$5:$L$98+'V06 Controlos'!$B$37))),--(MOD('V06 Motor'!A50-('V06 Unidades'!$I$5:$I$98+'V06 Controlos'!$B$37),6)=0),--(('V06 Motor'!A50-('V06 Unidades'!$I$5:$I$98+'V06 Controlos'!$B$37))/6&lt;=IF(INT((IF('V06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Controlos'!$B$37)-1)/6),0)),IF('V06 Motor'!A50=('V06 Unidades'!$I$5:$I$98+'V06 Controlos'!$B$37)+6*IF(INT((IF('V06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Controlos'!$B$37)-1)/6),0)&gt;0,IF(INT((IF('V06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Controlos'!$B$37)-1)/6),0),1),2)*(IF(INT((IF('V06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Controlos'!$B$37)-1)/6),0)&gt;0,IF(INT((IF('V06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Controlos'!$B$37)-1)/6)&gt;0,INT((IF('V06 Controlos'!$B$38&gt;0,IF(('V06 Unidades'!$L$5:$L$98+'V06 Controlos'!$B$37)&lt;'V06 Motor'!C50,'V06 Motor'!C50,('V06 Unidades'!$L$5:$L$98+'V06 Controlos'!$B$37)),('V06 Unidades'!$L$5:$L$98+'V06 Controlos'!$B$37))-('V06 Unidades'!$I$5:$I$98+'V06 Controlos'!$B$37)-1)/6),0),1),2)))</f>
        <v>0.0</v>
      </c>
      <c r="P50" s="2">
        <f>SUM('V06 Calend 01'!BF5:BF98)</f>
        <v>0.0</v>
      </c>
    </row>
    <row r="51" spans="1:16">
      <c r="A51">
        <v>47</v>
      </c>
      <c r="C51">
        <v>30</v>
      </c>
      <c r="G51" s="2">
        <f>IF('V06 Motor'!A51&lt;='V06 Motor'!C51,SUMPRODUCT('V06 Curva'!$B$5:$B$34,IF((IF('V06 Motor'!A51*30/'V06 Motor'!C51&lt;'V06 Curva'!$A$5:$A$34,'V06 Motor'!A51*30/'V06 Motor'!C51,'V06 Curva'!$A$5:$A$34)-IF(('V06 Motor'!A51-1)*30/'V06 Motor'!C51&gt;'V06 Curva'!$A$5:$A$34-1,('V06 Motor'!A51-1)*30/'V06 Motor'!C51,'V06 Curva'!$A$5:$A$34-1))&gt;0,(IF('V06 Motor'!A51*30/'V06 Motor'!C51&lt;'V06 Curva'!$A$5:$A$34,'V06 Motor'!A51*30/'V06 Motor'!C51,'V06 Curva'!$A$5:$A$34)-IF(('V06 Motor'!A51-1)*30/'V06 Motor'!C51&gt;'V06 Curva'!$A$5:$A$34-1,('V06 Motor'!A51-1)*30/'V06 Motor'!C51,'V06 Curva'!$A$5:$A$34-1)),0)),0)</f>
        <v>0.0</v>
      </c>
      <c r="H51" s="2">
        <f>IF('V06 Motor'!A51&lt;='V06 Motor'!C51,SUM(MAX(0,MIN('V06 Motor'!A51*30/'V06 Motor'!C51,1)-MAX(('V06 Motor'!A51-1)*30/'V06 Motor'!C51,0))*'V06 Curva'!$B$5,MAX(0,MIN('V06 Motor'!A51*30/'V06 Motor'!C51,2)-MAX(('V06 Motor'!A51-1)*30/'V06 Motor'!C51,1))*'V06 Curva'!$B$6,MAX(0,MIN('V06 Motor'!A51*30/'V06 Motor'!C51,3)-MAX(('V06 Motor'!A51-1)*30/'V06 Motor'!C51,2))*'V06 Curva'!$B$7,MAX(0,MIN('V06 Motor'!A51*30/'V06 Motor'!C51,4)-MAX(('V06 Motor'!A51-1)*30/'V06 Motor'!C51,3))*'V06 Curva'!$B$8,MAX(0,MIN('V06 Motor'!A51*30/'V06 Motor'!C51,5)-MAX(('V06 Motor'!A51-1)*30/'V06 Motor'!C51,4))*'V06 Curva'!$B$9,MAX(0,MIN('V06 Motor'!A51*30/'V06 Motor'!C51,6)-MAX(('V06 Motor'!A51-1)*30/'V06 Motor'!C51,5))*'V06 Curva'!$B$10,MAX(0,MIN('V06 Motor'!A51*30/'V06 Motor'!C51,7)-MAX(('V06 Motor'!A51-1)*30/'V06 Motor'!C51,6))*'V06 Curva'!$B$11,MAX(0,MIN('V06 Motor'!A51*30/'V06 Motor'!C51,8)-MAX(('V06 Motor'!A51-1)*30/'V06 Motor'!C51,7))*'V06 Curva'!$B$12,MAX(0,MIN('V06 Motor'!A51*30/'V06 Motor'!C51,9)-MAX(('V06 Motor'!A51-1)*30/'V06 Motor'!C51,8))*'V06 Curva'!$B$13,MAX(0,MIN('V06 Motor'!A51*30/'V06 Motor'!C51,10)-MAX(('V06 Motor'!A51-1)*30/'V06 Motor'!C51,9))*'V06 Curva'!$B$14,MAX(0,MIN('V06 Motor'!A51*30/'V06 Motor'!C51,11)-MAX(('V06 Motor'!A51-1)*30/'V06 Motor'!C51,10))*'V06 Curva'!$B$15,MAX(0,MIN('V06 Motor'!A51*30/'V06 Motor'!C51,12)-MAX(('V06 Motor'!A51-1)*30/'V06 Motor'!C51,11))*'V06 Curva'!$B$16,MAX(0,MIN('V06 Motor'!A51*30/'V06 Motor'!C51,13)-MAX(('V06 Motor'!A51-1)*30/'V06 Motor'!C51,12))*'V06 Curva'!$B$17,MAX(0,MIN('V06 Motor'!A51*30/'V06 Motor'!C51,14)-MAX(('V06 Motor'!A51-1)*30/'V06 Motor'!C51,13))*'V06 Curva'!$B$18,MAX(0,MIN('V06 Motor'!A51*30/'V06 Motor'!C51,15)-MAX(('V06 Motor'!A51-1)*30/'V06 Motor'!C51,14))*'V06 Curva'!$B$19,MAX(0,MIN('V06 Motor'!A51*30/'V06 Motor'!C51,16)-MAX(('V06 Motor'!A51-1)*30/'V06 Motor'!C51,15))*'V06 Curva'!$B$20,MAX(0,MIN('V06 Motor'!A51*30/'V06 Motor'!C51,17)-MAX(('V06 Motor'!A51-1)*30/'V06 Motor'!C51,16))*'V06 Curva'!$B$21,MAX(0,MIN('V06 Motor'!A51*30/'V06 Motor'!C51,18)-MAX(('V06 Motor'!A51-1)*30/'V06 Motor'!C51,17))*'V06 Curva'!$B$22,MAX(0,MIN('V06 Motor'!A51*30/'V06 Motor'!C51,19)-MAX(('V06 Motor'!A51-1)*30/'V06 Motor'!C51,18))*'V06 Curva'!$B$23,MAX(0,MIN('V06 Motor'!A51*30/'V06 Motor'!C51,20)-MAX(('V06 Motor'!A51-1)*30/'V06 Motor'!C51,19))*'V06 Curva'!$B$24,MAX(0,MIN('V06 Motor'!A51*30/'V06 Motor'!C51,21)-MAX(('V06 Motor'!A51-1)*30/'V06 Motor'!C51,20))*'V06 Curva'!$B$25,MAX(0,MIN('V06 Motor'!A51*30/'V06 Motor'!C51,22)-MAX(('V06 Motor'!A51-1)*30/'V06 Motor'!C51,21))*'V06 Curva'!$B$26,MAX(0,MIN('V06 Motor'!A51*30/'V06 Motor'!C51,23)-MAX(('V06 Motor'!A51-1)*30/'V06 Motor'!C51,22))*'V06 Curva'!$B$27,MAX(0,MIN('V06 Motor'!A51*30/'V06 Motor'!C51,24)-MAX(('V06 Motor'!A51-1)*30/'V06 Motor'!C51,23))*'V06 Curva'!$B$28,MAX(0,MIN('V06 Motor'!A51*30/'V06 Motor'!C51,25)-MAX(('V06 Motor'!A51-1)*30/'V06 Motor'!C51,24))*'V06 Curva'!$B$29,MAX(0,MIN('V06 Motor'!A51*30/'V06 Motor'!C51,26)-MAX(('V06 Motor'!A51-1)*30/'V06 Motor'!C51,25))*'V06 Curva'!$B$30,MAX(0,MIN('V06 Motor'!A51*30/'V06 Motor'!C51,27)-MAX(('V06 Motor'!A51-1)*30/'V06 Motor'!C51,26))*'V06 Curva'!$B$31,MAX(0,MIN('V06 Motor'!A51*30/'V06 Motor'!C51,28)-MAX(('V06 Motor'!A51-1)*30/'V06 Motor'!C51,27))*'V06 Curva'!$B$32,MAX(0,MIN('V06 Motor'!A51*30/'V06 Motor'!C51,29)-MAX(('V06 Motor'!A51-1)*30/'V06 Motor'!C51,28))*'V06 Curva'!$B$33,MAX(0,MIN('V06 Motor'!A51*30/'V06 Motor'!C51,30)-MAX(('V06 Motor'!A51-1)*30/'V06 Motor'!C51,29))*'V06 Curva'!$B$34),0)</f>
        <v>0.0</v>
      </c>
      <c r="O51" s="2">
        <f>SUMPRODUCT(--(('V06 Unidades'!$I$5:$I$98+'V06 Controlos'!$B$37)='V06 Motor'!A51),ROUND('V06 Unidades'!$H$5:$H$98*0.05,2)+ROUND('V06 Unidades'!$H$5:$H$98*0.2,2))+SUMPRODUCT(--(IF('V06 Controlos'!$B$38&gt;0,IF(('V06 Unidades'!$L$5:$L$98+'V06 Controlos'!$B$37)&lt;'V06 Motor'!C51,'V06 Motor'!C51,('V06 Unidades'!$L$5:$L$98+'V06 Controlos'!$B$37)),('V06 Unidades'!$L$5:$L$98+'V06 Controlos'!$B$37))='V06 Motor'!A51),'V06 Unidades'!$H$5:$H$98-ROUND('V06 Unidades'!$H$5:$H$98*0.05,2)-ROUND('V06 Unidades'!$H$5:$H$98*0.2,2)-ROUND('V06 Unidades'!$H$5:$H$98*0.55,2))+SUMPRODUCT(--(IF(INT((IF('V06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Controlos'!$B$37)-1)/6),0)&gt;0),--('V06 Motor'!A51&gt;('V06 Unidades'!$I$5:$I$98+'V06 Controlos'!$B$37)),--('V06 Motor'!A51&lt;IF('V06 Controlos'!$B$38&gt;0,IF(('V06 Unidades'!$L$5:$L$98+'V06 Controlos'!$B$37)&lt;'V06 Motor'!C51,'V06 Motor'!C51,('V06 Unidades'!$L$5:$L$98+'V06 Controlos'!$B$37)),('V06 Unidades'!$L$5:$L$98+'V06 Controlos'!$B$37))),--(MOD('V06 Motor'!A51-('V06 Unidades'!$I$5:$I$98+'V06 Controlos'!$B$37),6)=0),--(('V06 Motor'!A51-('V06 Unidades'!$I$5:$I$98+'V06 Controlos'!$B$37))/6&lt;=IF(INT((IF('V06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Controlos'!$B$37)-1)/6),0)),IF('V06 Motor'!A51=('V06 Unidades'!$I$5:$I$98+'V06 Controlos'!$B$37)+6*IF(INT((IF('V06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Controlos'!$B$37)-1)/6),0)&gt;0,IF(INT((IF('V06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Controlos'!$B$37)-1)/6),0),1),2)*(IF(INT((IF('V06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Controlos'!$B$37)-1)/6),0)&gt;0,IF(INT((IF('V06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Controlos'!$B$37)-1)/6)&gt;0,INT((IF('V06 Controlos'!$B$38&gt;0,IF(('V06 Unidades'!$L$5:$L$98+'V06 Controlos'!$B$37)&lt;'V06 Motor'!C51,'V06 Motor'!C51,('V06 Unidades'!$L$5:$L$98+'V06 Controlos'!$B$37)),('V06 Unidades'!$L$5:$L$98+'V06 Controlos'!$B$37))-('V06 Unidades'!$I$5:$I$98+'V06 Controlos'!$B$37)-1)/6),0),1),2)))</f>
        <v>0.0</v>
      </c>
      <c r="P51" s="2">
        <f>SUM('V06 Calend 01'!BG5:BG98)</f>
        <v>0.0</v>
      </c>
    </row>
    <row r="52" spans="1:16">
      <c r="A52">
        <v>48</v>
      </c>
      <c r="C52">
        <v>30</v>
      </c>
      <c r="G52" s="2">
        <f>IF('V06 Motor'!A52&lt;='V06 Motor'!C52,SUMPRODUCT('V06 Curva'!$B$5:$B$34,IF((IF('V06 Motor'!A52*30/'V06 Motor'!C52&lt;'V06 Curva'!$A$5:$A$34,'V06 Motor'!A52*30/'V06 Motor'!C52,'V06 Curva'!$A$5:$A$34)-IF(('V06 Motor'!A52-1)*30/'V06 Motor'!C52&gt;'V06 Curva'!$A$5:$A$34-1,('V06 Motor'!A52-1)*30/'V06 Motor'!C52,'V06 Curva'!$A$5:$A$34-1))&gt;0,(IF('V06 Motor'!A52*30/'V06 Motor'!C52&lt;'V06 Curva'!$A$5:$A$34,'V06 Motor'!A52*30/'V06 Motor'!C52,'V06 Curva'!$A$5:$A$34)-IF(('V06 Motor'!A52-1)*30/'V06 Motor'!C52&gt;'V06 Curva'!$A$5:$A$34-1,('V06 Motor'!A52-1)*30/'V06 Motor'!C52,'V06 Curva'!$A$5:$A$34-1)),0)),0)</f>
        <v>0.0</v>
      </c>
      <c r="H52" s="2">
        <f>IF('V06 Motor'!A52&lt;='V06 Motor'!C52,SUM(MAX(0,MIN('V06 Motor'!A52*30/'V06 Motor'!C52,1)-MAX(('V06 Motor'!A52-1)*30/'V06 Motor'!C52,0))*'V06 Curva'!$B$5,MAX(0,MIN('V06 Motor'!A52*30/'V06 Motor'!C52,2)-MAX(('V06 Motor'!A52-1)*30/'V06 Motor'!C52,1))*'V06 Curva'!$B$6,MAX(0,MIN('V06 Motor'!A52*30/'V06 Motor'!C52,3)-MAX(('V06 Motor'!A52-1)*30/'V06 Motor'!C52,2))*'V06 Curva'!$B$7,MAX(0,MIN('V06 Motor'!A52*30/'V06 Motor'!C52,4)-MAX(('V06 Motor'!A52-1)*30/'V06 Motor'!C52,3))*'V06 Curva'!$B$8,MAX(0,MIN('V06 Motor'!A52*30/'V06 Motor'!C52,5)-MAX(('V06 Motor'!A52-1)*30/'V06 Motor'!C52,4))*'V06 Curva'!$B$9,MAX(0,MIN('V06 Motor'!A52*30/'V06 Motor'!C52,6)-MAX(('V06 Motor'!A52-1)*30/'V06 Motor'!C52,5))*'V06 Curva'!$B$10,MAX(0,MIN('V06 Motor'!A52*30/'V06 Motor'!C52,7)-MAX(('V06 Motor'!A52-1)*30/'V06 Motor'!C52,6))*'V06 Curva'!$B$11,MAX(0,MIN('V06 Motor'!A52*30/'V06 Motor'!C52,8)-MAX(('V06 Motor'!A52-1)*30/'V06 Motor'!C52,7))*'V06 Curva'!$B$12,MAX(0,MIN('V06 Motor'!A52*30/'V06 Motor'!C52,9)-MAX(('V06 Motor'!A52-1)*30/'V06 Motor'!C52,8))*'V06 Curva'!$B$13,MAX(0,MIN('V06 Motor'!A52*30/'V06 Motor'!C52,10)-MAX(('V06 Motor'!A52-1)*30/'V06 Motor'!C52,9))*'V06 Curva'!$B$14,MAX(0,MIN('V06 Motor'!A52*30/'V06 Motor'!C52,11)-MAX(('V06 Motor'!A52-1)*30/'V06 Motor'!C52,10))*'V06 Curva'!$B$15,MAX(0,MIN('V06 Motor'!A52*30/'V06 Motor'!C52,12)-MAX(('V06 Motor'!A52-1)*30/'V06 Motor'!C52,11))*'V06 Curva'!$B$16,MAX(0,MIN('V06 Motor'!A52*30/'V06 Motor'!C52,13)-MAX(('V06 Motor'!A52-1)*30/'V06 Motor'!C52,12))*'V06 Curva'!$B$17,MAX(0,MIN('V06 Motor'!A52*30/'V06 Motor'!C52,14)-MAX(('V06 Motor'!A52-1)*30/'V06 Motor'!C52,13))*'V06 Curva'!$B$18,MAX(0,MIN('V06 Motor'!A52*30/'V06 Motor'!C52,15)-MAX(('V06 Motor'!A52-1)*30/'V06 Motor'!C52,14))*'V06 Curva'!$B$19,MAX(0,MIN('V06 Motor'!A52*30/'V06 Motor'!C52,16)-MAX(('V06 Motor'!A52-1)*30/'V06 Motor'!C52,15))*'V06 Curva'!$B$20,MAX(0,MIN('V06 Motor'!A52*30/'V06 Motor'!C52,17)-MAX(('V06 Motor'!A52-1)*30/'V06 Motor'!C52,16))*'V06 Curva'!$B$21,MAX(0,MIN('V06 Motor'!A52*30/'V06 Motor'!C52,18)-MAX(('V06 Motor'!A52-1)*30/'V06 Motor'!C52,17))*'V06 Curva'!$B$22,MAX(0,MIN('V06 Motor'!A52*30/'V06 Motor'!C52,19)-MAX(('V06 Motor'!A52-1)*30/'V06 Motor'!C52,18))*'V06 Curva'!$B$23,MAX(0,MIN('V06 Motor'!A52*30/'V06 Motor'!C52,20)-MAX(('V06 Motor'!A52-1)*30/'V06 Motor'!C52,19))*'V06 Curva'!$B$24,MAX(0,MIN('V06 Motor'!A52*30/'V06 Motor'!C52,21)-MAX(('V06 Motor'!A52-1)*30/'V06 Motor'!C52,20))*'V06 Curva'!$B$25,MAX(0,MIN('V06 Motor'!A52*30/'V06 Motor'!C52,22)-MAX(('V06 Motor'!A52-1)*30/'V06 Motor'!C52,21))*'V06 Curva'!$B$26,MAX(0,MIN('V06 Motor'!A52*30/'V06 Motor'!C52,23)-MAX(('V06 Motor'!A52-1)*30/'V06 Motor'!C52,22))*'V06 Curva'!$B$27,MAX(0,MIN('V06 Motor'!A52*30/'V06 Motor'!C52,24)-MAX(('V06 Motor'!A52-1)*30/'V06 Motor'!C52,23))*'V06 Curva'!$B$28,MAX(0,MIN('V06 Motor'!A52*30/'V06 Motor'!C52,25)-MAX(('V06 Motor'!A52-1)*30/'V06 Motor'!C52,24))*'V06 Curva'!$B$29,MAX(0,MIN('V06 Motor'!A52*30/'V06 Motor'!C52,26)-MAX(('V06 Motor'!A52-1)*30/'V06 Motor'!C52,25))*'V06 Curva'!$B$30,MAX(0,MIN('V06 Motor'!A52*30/'V06 Motor'!C52,27)-MAX(('V06 Motor'!A52-1)*30/'V06 Motor'!C52,26))*'V06 Curva'!$B$31,MAX(0,MIN('V06 Motor'!A52*30/'V06 Motor'!C52,28)-MAX(('V06 Motor'!A52-1)*30/'V06 Motor'!C52,27))*'V06 Curva'!$B$32,MAX(0,MIN('V06 Motor'!A52*30/'V06 Motor'!C52,29)-MAX(('V06 Motor'!A52-1)*30/'V06 Motor'!C52,28))*'V06 Curva'!$B$33,MAX(0,MIN('V06 Motor'!A52*30/'V06 Motor'!C52,30)-MAX(('V06 Motor'!A52-1)*30/'V06 Motor'!C52,29))*'V06 Curva'!$B$34),0)</f>
        <v>0.0</v>
      </c>
      <c r="O52" s="2">
        <f>SUMPRODUCT(--(('V06 Unidades'!$I$5:$I$98+'V06 Controlos'!$B$37)='V06 Motor'!A52),ROUND('V06 Unidades'!$H$5:$H$98*0.05,2)+ROUND('V06 Unidades'!$H$5:$H$98*0.2,2))+SUMPRODUCT(--(IF('V06 Controlos'!$B$38&gt;0,IF(('V06 Unidades'!$L$5:$L$98+'V06 Controlos'!$B$37)&lt;'V06 Motor'!C52,'V06 Motor'!C52,('V06 Unidades'!$L$5:$L$98+'V06 Controlos'!$B$37)),('V06 Unidades'!$L$5:$L$98+'V06 Controlos'!$B$37))='V06 Motor'!A52),'V06 Unidades'!$H$5:$H$98-ROUND('V06 Unidades'!$H$5:$H$98*0.05,2)-ROUND('V06 Unidades'!$H$5:$H$98*0.2,2)-ROUND('V06 Unidades'!$H$5:$H$98*0.55,2))+SUMPRODUCT(--(IF(INT((IF('V06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Controlos'!$B$37)-1)/6),0)&gt;0),--('V06 Motor'!A52&gt;('V06 Unidades'!$I$5:$I$98+'V06 Controlos'!$B$37)),--('V06 Motor'!A52&lt;IF('V06 Controlos'!$B$38&gt;0,IF(('V06 Unidades'!$L$5:$L$98+'V06 Controlos'!$B$37)&lt;'V06 Motor'!C52,'V06 Motor'!C52,('V06 Unidades'!$L$5:$L$98+'V06 Controlos'!$B$37)),('V06 Unidades'!$L$5:$L$98+'V06 Controlos'!$B$37))),--(MOD('V06 Motor'!A52-('V06 Unidades'!$I$5:$I$98+'V06 Controlos'!$B$37),6)=0),--(('V06 Motor'!A52-('V06 Unidades'!$I$5:$I$98+'V06 Controlos'!$B$37))/6&lt;=IF(INT((IF('V06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Controlos'!$B$37)-1)/6),0)),IF('V06 Motor'!A52=('V06 Unidades'!$I$5:$I$98+'V06 Controlos'!$B$37)+6*IF(INT((IF('V06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Controlos'!$B$37)-1)/6),0)&gt;0,IF(INT((IF('V06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Controlos'!$B$37)-1)/6),0),1),2)*(IF(INT((IF('V06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Controlos'!$B$37)-1)/6),0)&gt;0,IF(INT((IF('V06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Controlos'!$B$37)-1)/6)&gt;0,INT((IF('V06 Controlos'!$B$38&gt;0,IF(('V06 Unidades'!$L$5:$L$98+'V06 Controlos'!$B$37)&lt;'V06 Motor'!C52,'V06 Motor'!C52,('V06 Unidades'!$L$5:$L$98+'V06 Controlos'!$B$37)),('V06 Unidades'!$L$5:$L$98+'V06 Controlos'!$B$37))-('V06 Unidades'!$I$5:$I$98+'V06 Controlos'!$B$37)-1)/6),0),1),2)))</f>
        <v>0.0</v>
      </c>
      <c r="P52" s="2">
        <f>SUM('V06 Calend 01'!BH5:BH98)</f>
        <v>0.0</v>
      </c>
    </row>
    <row r="53" spans="1:16">
      <c r="A53">
        <v>49</v>
      </c>
      <c r="C53">
        <v>30</v>
      </c>
      <c r="G53" s="2">
        <f>IF('V06 Motor'!A53&lt;='V06 Motor'!C53,SUMPRODUCT('V06 Curva'!$B$5:$B$34,IF((IF('V06 Motor'!A53*30/'V06 Motor'!C53&lt;'V06 Curva'!$A$5:$A$34,'V06 Motor'!A53*30/'V06 Motor'!C53,'V06 Curva'!$A$5:$A$34)-IF(('V06 Motor'!A53-1)*30/'V06 Motor'!C53&gt;'V06 Curva'!$A$5:$A$34-1,('V06 Motor'!A53-1)*30/'V06 Motor'!C53,'V06 Curva'!$A$5:$A$34-1))&gt;0,(IF('V06 Motor'!A53*30/'V06 Motor'!C53&lt;'V06 Curva'!$A$5:$A$34,'V06 Motor'!A53*30/'V06 Motor'!C53,'V06 Curva'!$A$5:$A$34)-IF(('V06 Motor'!A53-1)*30/'V06 Motor'!C53&gt;'V06 Curva'!$A$5:$A$34-1,('V06 Motor'!A53-1)*30/'V06 Motor'!C53,'V06 Curva'!$A$5:$A$34-1)),0)),0)</f>
        <v>0.0</v>
      </c>
      <c r="H53" s="2">
        <f>IF('V06 Motor'!A53&lt;='V06 Motor'!C53,SUM(MAX(0,MIN('V06 Motor'!A53*30/'V06 Motor'!C53,1)-MAX(('V06 Motor'!A53-1)*30/'V06 Motor'!C53,0))*'V06 Curva'!$B$5,MAX(0,MIN('V06 Motor'!A53*30/'V06 Motor'!C53,2)-MAX(('V06 Motor'!A53-1)*30/'V06 Motor'!C53,1))*'V06 Curva'!$B$6,MAX(0,MIN('V06 Motor'!A53*30/'V06 Motor'!C53,3)-MAX(('V06 Motor'!A53-1)*30/'V06 Motor'!C53,2))*'V06 Curva'!$B$7,MAX(0,MIN('V06 Motor'!A53*30/'V06 Motor'!C53,4)-MAX(('V06 Motor'!A53-1)*30/'V06 Motor'!C53,3))*'V06 Curva'!$B$8,MAX(0,MIN('V06 Motor'!A53*30/'V06 Motor'!C53,5)-MAX(('V06 Motor'!A53-1)*30/'V06 Motor'!C53,4))*'V06 Curva'!$B$9,MAX(0,MIN('V06 Motor'!A53*30/'V06 Motor'!C53,6)-MAX(('V06 Motor'!A53-1)*30/'V06 Motor'!C53,5))*'V06 Curva'!$B$10,MAX(0,MIN('V06 Motor'!A53*30/'V06 Motor'!C53,7)-MAX(('V06 Motor'!A53-1)*30/'V06 Motor'!C53,6))*'V06 Curva'!$B$11,MAX(0,MIN('V06 Motor'!A53*30/'V06 Motor'!C53,8)-MAX(('V06 Motor'!A53-1)*30/'V06 Motor'!C53,7))*'V06 Curva'!$B$12,MAX(0,MIN('V06 Motor'!A53*30/'V06 Motor'!C53,9)-MAX(('V06 Motor'!A53-1)*30/'V06 Motor'!C53,8))*'V06 Curva'!$B$13,MAX(0,MIN('V06 Motor'!A53*30/'V06 Motor'!C53,10)-MAX(('V06 Motor'!A53-1)*30/'V06 Motor'!C53,9))*'V06 Curva'!$B$14,MAX(0,MIN('V06 Motor'!A53*30/'V06 Motor'!C53,11)-MAX(('V06 Motor'!A53-1)*30/'V06 Motor'!C53,10))*'V06 Curva'!$B$15,MAX(0,MIN('V06 Motor'!A53*30/'V06 Motor'!C53,12)-MAX(('V06 Motor'!A53-1)*30/'V06 Motor'!C53,11))*'V06 Curva'!$B$16,MAX(0,MIN('V06 Motor'!A53*30/'V06 Motor'!C53,13)-MAX(('V06 Motor'!A53-1)*30/'V06 Motor'!C53,12))*'V06 Curva'!$B$17,MAX(0,MIN('V06 Motor'!A53*30/'V06 Motor'!C53,14)-MAX(('V06 Motor'!A53-1)*30/'V06 Motor'!C53,13))*'V06 Curva'!$B$18,MAX(0,MIN('V06 Motor'!A53*30/'V06 Motor'!C53,15)-MAX(('V06 Motor'!A53-1)*30/'V06 Motor'!C53,14))*'V06 Curva'!$B$19,MAX(0,MIN('V06 Motor'!A53*30/'V06 Motor'!C53,16)-MAX(('V06 Motor'!A53-1)*30/'V06 Motor'!C53,15))*'V06 Curva'!$B$20,MAX(0,MIN('V06 Motor'!A53*30/'V06 Motor'!C53,17)-MAX(('V06 Motor'!A53-1)*30/'V06 Motor'!C53,16))*'V06 Curva'!$B$21,MAX(0,MIN('V06 Motor'!A53*30/'V06 Motor'!C53,18)-MAX(('V06 Motor'!A53-1)*30/'V06 Motor'!C53,17))*'V06 Curva'!$B$22,MAX(0,MIN('V06 Motor'!A53*30/'V06 Motor'!C53,19)-MAX(('V06 Motor'!A53-1)*30/'V06 Motor'!C53,18))*'V06 Curva'!$B$23,MAX(0,MIN('V06 Motor'!A53*30/'V06 Motor'!C53,20)-MAX(('V06 Motor'!A53-1)*30/'V06 Motor'!C53,19))*'V06 Curva'!$B$24,MAX(0,MIN('V06 Motor'!A53*30/'V06 Motor'!C53,21)-MAX(('V06 Motor'!A53-1)*30/'V06 Motor'!C53,20))*'V06 Curva'!$B$25,MAX(0,MIN('V06 Motor'!A53*30/'V06 Motor'!C53,22)-MAX(('V06 Motor'!A53-1)*30/'V06 Motor'!C53,21))*'V06 Curva'!$B$26,MAX(0,MIN('V06 Motor'!A53*30/'V06 Motor'!C53,23)-MAX(('V06 Motor'!A53-1)*30/'V06 Motor'!C53,22))*'V06 Curva'!$B$27,MAX(0,MIN('V06 Motor'!A53*30/'V06 Motor'!C53,24)-MAX(('V06 Motor'!A53-1)*30/'V06 Motor'!C53,23))*'V06 Curva'!$B$28,MAX(0,MIN('V06 Motor'!A53*30/'V06 Motor'!C53,25)-MAX(('V06 Motor'!A53-1)*30/'V06 Motor'!C53,24))*'V06 Curva'!$B$29,MAX(0,MIN('V06 Motor'!A53*30/'V06 Motor'!C53,26)-MAX(('V06 Motor'!A53-1)*30/'V06 Motor'!C53,25))*'V06 Curva'!$B$30,MAX(0,MIN('V06 Motor'!A53*30/'V06 Motor'!C53,27)-MAX(('V06 Motor'!A53-1)*30/'V06 Motor'!C53,26))*'V06 Curva'!$B$31,MAX(0,MIN('V06 Motor'!A53*30/'V06 Motor'!C53,28)-MAX(('V06 Motor'!A53-1)*30/'V06 Motor'!C53,27))*'V06 Curva'!$B$32,MAX(0,MIN('V06 Motor'!A53*30/'V06 Motor'!C53,29)-MAX(('V06 Motor'!A53-1)*30/'V06 Motor'!C53,28))*'V06 Curva'!$B$33,MAX(0,MIN('V06 Motor'!A53*30/'V06 Motor'!C53,30)-MAX(('V06 Motor'!A53-1)*30/'V06 Motor'!C53,29))*'V06 Curva'!$B$34),0)</f>
        <v>0.0</v>
      </c>
      <c r="O53" s="2">
        <f>SUMPRODUCT(--(('V06 Unidades'!$I$5:$I$98+'V06 Controlos'!$B$37)='V06 Motor'!A53),ROUND('V06 Unidades'!$H$5:$H$98*0.05,2)+ROUND('V06 Unidades'!$H$5:$H$98*0.2,2))+SUMPRODUCT(--(IF('V06 Controlos'!$B$38&gt;0,IF(('V06 Unidades'!$L$5:$L$98+'V06 Controlos'!$B$37)&lt;'V06 Motor'!C53,'V06 Motor'!C53,('V06 Unidades'!$L$5:$L$98+'V06 Controlos'!$B$37)),('V06 Unidades'!$L$5:$L$98+'V06 Controlos'!$B$37))='V06 Motor'!A53),'V06 Unidades'!$H$5:$H$98-ROUND('V06 Unidades'!$H$5:$H$98*0.05,2)-ROUND('V06 Unidades'!$H$5:$H$98*0.2,2)-ROUND('V06 Unidades'!$H$5:$H$98*0.55,2))+SUMPRODUCT(--(IF(INT((IF('V06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Controlos'!$B$37)-1)/6),0)&gt;0),--('V06 Motor'!A53&gt;('V06 Unidades'!$I$5:$I$98+'V06 Controlos'!$B$37)),--('V06 Motor'!A53&lt;IF('V06 Controlos'!$B$38&gt;0,IF(('V06 Unidades'!$L$5:$L$98+'V06 Controlos'!$B$37)&lt;'V06 Motor'!C53,'V06 Motor'!C53,('V06 Unidades'!$L$5:$L$98+'V06 Controlos'!$B$37)),('V06 Unidades'!$L$5:$L$98+'V06 Controlos'!$B$37))),--(MOD('V06 Motor'!A53-('V06 Unidades'!$I$5:$I$98+'V06 Controlos'!$B$37),6)=0),--(('V06 Motor'!A53-('V06 Unidades'!$I$5:$I$98+'V06 Controlos'!$B$37))/6&lt;=IF(INT((IF('V06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Controlos'!$B$37)-1)/6),0)),IF('V06 Motor'!A53=('V06 Unidades'!$I$5:$I$98+'V06 Controlos'!$B$37)+6*IF(INT((IF('V06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Controlos'!$B$37)-1)/6),0)&gt;0,IF(INT((IF('V06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Controlos'!$B$37)-1)/6),0),1),2)*(IF(INT((IF('V06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Controlos'!$B$37)-1)/6),0)&gt;0,IF(INT((IF('V06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Controlos'!$B$37)-1)/6)&gt;0,INT((IF('V06 Controlos'!$B$38&gt;0,IF(('V06 Unidades'!$L$5:$L$98+'V06 Controlos'!$B$37)&lt;'V06 Motor'!C53,'V06 Motor'!C53,('V06 Unidades'!$L$5:$L$98+'V06 Controlos'!$B$37)),('V06 Unidades'!$L$5:$L$98+'V06 Controlos'!$B$37))-('V06 Unidades'!$I$5:$I$98+'V06 Controlos'!$B$37)-1)/6),0),1),2)))</f>
        <v>0.0</v>
      </c>
      <c r="P53" s="2">
        <f>SUM('V06 Calend 01'!BI5:BI98)</f>
        <v>0.0</v>
      </c>
    </row>
    <row r="54" spans="1:16">
      <c r="A54">
        <v>50</v>
      </c>
      <c r="C54">
        <v>30</v>
      </c>
      <c r="G54" s="2">
        <f>IF('V06 Motor'!A54&lt;='V06 Motor'!C54,SUMPRODUCT('V06 Curva'!$B$5:$B$34,IF((IF('V06 Motor'!A54*30/'V06 Motor'!C54&lt;'V06 Curva'!$A$5:$A$34,'V06 Motor'!A54*30/'V06 Motor'!C54,'V06 Curva'!$A$5:$A$34)-IF(('V06 Motor'!A54-1)*30/'V06 Motor'!C54&gt;'V06 Curva'!$A$5:$A$34-1,('V06 Motor'!A54-1)*30/'V06 Motor'!C54,'V06 Curva'!$A$5:$A$34-1))&gt;0,(IF('V06 Motor'!A54*30/'V06 Motor'!C54&lt;'V06 Curva'!$A$5:$A$34,'V06 Motor'!A54*30/'V06 Motor'!C54,'V06 Curva'!$A$5:$A$34)-IF(('V06 Motor'!A54-1)*30/'V06 Motor'!C54&gt;'V06 Curva'!$A$5:$A$34-1,('V06 Motor'!A54-1)*30/'V06 Motor'!C54,'V06 Curva'!$A$5:$A$34-1)),0)),0)</f>
        <v>0.0</v>
      </c>
      <c r="H54" s="2">
        <f>IF('V06 Motor'!A54&lt;='V06 Motor'!C54,SUM(MAX(0,MIN('V06 Motor'!A54*30/'V06 Motor'!C54,1)-MAX(('V06 Motor'!A54-1)*30/'V06 Motor'!C54,0))*'V06 Curva'!$B$5,MAX(0,MIN('V06 Motor'!A54*30/'V06 Motor'!C54,2)-MAX(('V06 Motor'!A54-1)*30/'V06 Motor'!C54,1))*'V06 Curva'!$B$6,MAX(0,MIN('V06 Motor'!A54*30/'V06 Motor'!C54,3)-MAX(('V06 Motor'!A54-1)*30/'V06 Motor'!C54,2))*'V06 Curva'!$B$7,MAX(0,MIN('V06 Motor'!A54*30/'V06 Motor'!C54,4)-MAX(('V06 Motor'!A54-1)*30/'V06 Motor'!C54,3))*'V06 Curva'!$B$8,MAX(0,MIN('V06 Motor'!A54*30/'V06 Motor'!C54,5)-MAX(('V06 Motor'!A54-1)*30/'V06 Motor'!C54,4))*'V06 Curva'!$B$9,MAX(0,MIN('V06 Motor'!A54*30/'V06 Motor'!C54,6)-MAX(('V06 Motor'!A54-1)*30/'V06 Motor'!C54,5))*'V06 Curva'!$B$10,MAX(0,MIN('V06 Motor'!A54*30/'V06 Motor'!C54,7)-MAX(('V06 Motor'!A54-1)*30/'V06 Motor'!C54,6))*'V06 Curva'!$B$11,MAX(0,MIN('V06 Motor'!A54*30/'V06 Motor'!C54,8)-MAX(('V06 Motor'!A54-1)*30/'V06 Motor'!C54,7))*'V06 Curva'!$B$12,MAX(0,MIN('V06 Motor'!A54*30/'V06 Motor'!C54,9)-MAX(('V06 Motor'!A54-1)*30/'V06 Motor'!C54,8))*'V06 Curva'!$B$13,MAX(0,MIN('V06 Motor'!A54*30/'V06 Motor'!C54,10)-MAX(('V06 Motor'!A54-1)*30/'V06 Motor'!C54,9))*'V06 Curva'!$B$14,MAX(0,MIN('V06 Motor'!A54*30/'V06 Motor'!C54,11)-MAX(('V06 Motor'!A54-1)*30/'V06 Motor'!C54,10))*'V06 Curva'!$B$15,MAX(0,MIN('V06 Motor'!A54*30/'V06 Motor'!C54,12)-MAX(('V06 Motor'!A54-1)*30/'V06 Motor'!C54,11))*'V06 Curva'!$B$16,MAX(0,MIN('V06 Motor'!A54*30/'V06 Motor'!C54,13)-MAX(('V06 Motor'!A54-1)*30/'V06 Motor'!C54,12))*'V06 Curva'!$B$17,MAX(0,MIN('V06 Motor'!A54*30/'V06 Motor'!C54,14)-MAX(('V06 Motor'!A54-1)*30/'V06 Motor'!C54,13))*'V06 Curva'!$B$18,MAX(0,MIN('V06 Motor'!A54*30/'V06 Motor'!C54,15)-MAX(('V06 Motor'!A54-1)*30/'V06 Motor'!C54,14))*'V06 Curva'!$B$19,MAX(0,MIN('V06 Motor'!A54*30/'V06 Motor'!C54,16)-MAX(('V06 Motor'!A54-1)*30/'V06 Motor'!C54,15))*'V06 Curva'!$B$20,MAX(0,MIN('V06 Motor'!A54*30/'V06 Motor'!C54,17)-MAX(('V06 Motor'!A54-1)*30/'V06 Motor'!C54,16))*'V06 Curva'!$B$21,MAX(0,MIN('V06 Motor'!A54*30/'V06 Motor'!C54,18)-MAX(('V06 Motor'!A54-1)*30/'V06 Motor'!C54,17))*'V06 Curva'!$B$22,MAX(0,MIN('V06 Motor'!A54*30/'V06 Motor'!C54,19)-MAX(('V06 Motor'!A54-1)*30/'V06 Motor'!C54,18))*'V06 Curva'!$B$23,MAX(0,MIN('V06 Motor'!A54*30/'V06 Motor'!C54,20)-MAX(('V06 Motor'!A54-1)*30/'V06 Motor'!C54,19))*'V06 Curva'!$B$24,MAX(0,MIN('V06 Motor'!A54*30/'V06 Motor'!C54,21)-MAX(('V06 Motor'!A54-1)*30/'V06 Motor'!C54,20))*'V06 Curva'!$B$25,MAX(0,MIN('V06 Motor'!A54*30/'V06 Motor'!C54,22)-MAX(('V06 Motor'!A54-1)*30/'V06 Motor'!C54,21))*'V06 Curva'!$B$26,MAX(0,MIN('V06 Motor'!A54*30/'V06 Motor'!C54,23)-MAX(('V06 Motor'!A54-1)*30/'V06 Motor'!C54,22))*'V06 Curva'!$B$27,MAX(0,MIN('V06 Motor'!A54*30/'V06 Motor'!C54,24)-MAX(('V06 Motor'!A54-1)*30/'V06 Motor'!C54,23))*'V06 Curva'!$B$28,MAX(0,MIN('V06 Motor'!A54*30/'V06 Motor'!C54,25)-MAX(('V06 Motor'!A54-1)*30/'V06 Motor'!C54,24))*'V06 Curva'!$B$29,MAX(0,MIN('V06 Motor'!A54*30/'V06 Motor'!C54,26)-MAX(('V06 Motor'!A54-1)*30/'V06 Motor'!C54,25))*'V06 Curva'!$B$30,MAX(0,MIN('V06 Motor'!A54*30/'V06 Motor'!C54,27)-MAX(('V06 Motor'!A54-1)*30/'V06 Motor'!C54,26))*'V06 Curva'!$B$31,MAX(0,MIN('V06 Motor'!A54*30/'V06 Motor'!C54,28)-MAX(('V06 Motor'!A54-1)*30/'V06 Motor'!C54,27))*'V06 Curva'!$B$32,MAX(0,MIN('V06 Motor'!A54*30/'V06 Motor'!C54,29)-MAX(('V06 Motor'!A54-1)*30/'V06 Motor'!C54,28))*'V06 Curva'!$B$33,MAX(0,MIN('V06 Motor'!A54*30/'V06 Motor'!C54,30)-MAX(('V06 Motor'!A54-1)*30/'V06 Motor'!C54,29))*'V06 Curva'!$B$34),0)</f>
        <v>0.0</v>
      </c>
      <c r="O54" s="2">
        <f>SUMPRODUCT(--(('V06 Unidades'!$I$5:$I$98+'V06 Controlos'!$B$37)='V06 Motor'!A54),ROUND('V06 Unidades'!$H$5:$H$98*0.05,2)+ROUND('V06 Unidades'!$H$5:$H$98*0.2,2))+SUMPRODUCT(--(IF('V06 Controlos'!$B$38&gt;0,IF(('V06 Unidades'!$L$5:$L$98+'V06 Controlos'!$B$37)&lt;'V06 Motor'!C54,'V06 Motor'!C54,('V06 Unidades'!$L$5:$L$98+'V06 Controlos'!$B$37)),('V06 Unidades'!$L$5:$L$98+'V06 Controlos'!$B$37))='V06 Motor'!A54),'V06 Unidades'!$H$5:$H$98-ROUND('V06 Unidades'!$H$5:$H$98*0.05,2)-ROUND('V06 Unidades'!$H$5:$H$98*0.2,2)-ROUND('V06 Unidades'!$H$5:$H$98*0.55,2))+SUMPRODUCT(--(IF(INT((IF('V06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Controlos'!$B$37)-1)/6),0)&gt;0),--('V06 Motor'!A54&gt;('V06 Unidades'!$I$5:$I$98+'V06 Controlos'!$B$37)),--('V06 Motor'!A54&lt;IF('V06 Controlos'!$B$38&gt;0,IF(('V06 Unidades'!$L$5:$L$98+'V06 Controlos'!$B$37)&lt;'V06 Motor'!C54,'V06 Motor'!C54,('V06 Unidades'!$L$5:$L$98+'V06 Controlos'!$B$37)),('V06 Unidades'!$L$5:$L$98+'V06 Controlos'!$B$37))),--(MOD('V06 Motor'!A54-('V06 Unidades'!$I$5:$I$98+'V06 Controlos'!$B$37),6)=0),--(('V06 Motor'!A54-('V06 Unidades'!$I$5:$I$98+'V06 Controlos'!$B$37))/6&lt;=IF(INT((IF('V06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Controlos'!$B$37)-1)/6),0)),IF('V06 Motor'!A54=('V06 Unidades'!$I$5:$I$98+'V06 Controlos'!$B$37)+6*IF(INT((IF('V06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Controlos'!$B$37)-1)/6),0)&gt;0,IF(INT((IF('V06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Controlos'!$B$37)-1)/6),0),1),2)*(IF(INT((IF('V06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Controlos'!$B$37)-1)/6),0)&gt;0,IF(INT((IF('V06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Controlos'!$B$37)-1)/6)&gt;0,INT((IF('V06 Controlos'!$B$38&gt;0,IF(('V06 Unidades'!$L$5:$L$98+'V06 Controlos'!$B$37)&lt;'V06 Motor'!C54,'V06 Motor'!C54,('V06 Unidades'!$L$5:$L$98+'V06 Controlos'!$B$37)),('V06 Unidades'!$L$5:$L$98+'V06 Controlos'!$B$37))-('V06 Unidades'!$I$5:$I$98+'V06 Controlos'!$B$37)-1)/6),0),1),2)))</f>
        <v>0.0</v>
      </c>
      <c r="P54" s="2">
        <f>SUM('V06 Calend 01'!BJ5:BJ98)</f>
        <v>0.0</v>
      </c>
    </row>
    <row r="55" spans="1:16">
      <c r="A55">
        <v>51</v>
      </c>
      <c r="C55">
        <v>30</v>
      </c>
      <c r="G55" s="2">
        <f>IF('V06 Motor'!A55&lt;='V06 Motor'!C55,SUMPRODUCT('V06 Curva'!$B$5:$B$34,IF((IF('V06 Motor'!A55*30/'V06 Motor'!C55&lt;'V06 Curva'!$A$5:$A$34,'V06 Motor'!A55*30/'V06 Motor'!C55,'V06 Curva'!$A$5:$A$34)-IF(('V06 Motor'!A55-1)*30/'V06 Motor'!C55&gt;'V06 Curva'!$A$5:$A$34-1,('V06 Motor'!A55-1)*30/'V06 Motor'!C55,'V06 Curva'!$A$5:$A$34-1))&gt;0,(IF('V06 Motor'!A55*30/'V06 Motor'!C55&lt;'V06 Curva'!$A$5:$A$34,'V06 Motor'!A55*30/'V06 Motor'!C55,'V06 Curva'!$A$5:$A$34)-IF(('V06 Motor'!A55-1)*30/'V06 Motor'!C55&gt;'V06 Curva'!$A$5:$A$34-1,('V06 Motor'!A55-1)*30/'V06 Motor'!C55,'V06 Curva'!$A$5:$A$34-1)),0)),0)</f>
        <v>0.0</v>
      </c>
      <c r="H55" s="2">
        <f>IF('V06 Motor'!A55&lt;='V06 Motor'!C55,SUM(MAX(0,MIN('V06 Motor'!A55*30/'V06 Motor'!C55,1)-MAX(('V06 Motor'!A55-1)*30/'V06 Motor'!C55,0))*'V06 Curva'!$B$5,MAX(0,MIN('V06 Motor'!A55*30/'V06 Motor'!C55,2)-MAX(('V06 Motor'!A55-1)*30/'V06 Motor'!C55,1))*'V06 Curva'!$B$6,MAX(0,MIN('V06 Motor'!A55*30/'V06 Motor'!C55,3)-MAX(('V06 Motor'!A55-1)*30/'V06 Motor'!C55,2))*'V06 Curva'!$B$7,MAX(0,MIN('V06 Motor'!A55*30/'V06 Motor'!C55,4)-MAX(('V06 Motor'!A55-1)*30/'V06 Motor'!C55,3))*'V06 Curva'!$B$8,MAX(0,MIN('V06 Motor'!A55*30/'V06 Motor'!C55,5)-MAX(('V06 Motor'!A55-1)*30/'V06 Motor'!C55,4))*'V06 Curva'!$B$9,MAX(0,MIN('V06 Motor'!A55*30/'V06 Motor'!C55,6)-MAX(('V06 Motor'!A55-1)*30/'V06 Motor'!C55,5))*'V06 Curva'!$B$10,MAX(0,MIN('V06 Motor'!A55*30/'V06 Motor'!C55,7)-MAX(('V06 Motor'!A55-1)*30/'V06 Motor'!C55,6))*'V06 Curva'!$B$11,MAX(0,MIN('V06 Motor'!A55*30/'V06 Motor'!C55,8)-MAX(('V06 Motor'!A55-1)*30/'V06 Motor'!C55,7))*'V06 Curva'!$B$12,MAX(0,MIN('V06 Motor'!A55*30/'V06 Motor'!C55,9)-MAX(('V06 Motor'!A55-1)*30/'V06 Motor'!C55,8))*'V06 Curva'!$B$13,MAX(0,MIN('V06 Motor'!A55*30/'V06 Motor'!C55,10)-MAX(('V06 Motor'!A55-1)*30/'V06 Motor'!C55,9))*'V06 Curva'!$B$14,MAX(0,MIN('V06 Motor'!A55*30/'V06 Motor'!C55,11)-MAX(('V06 Motor'!A55-1)*30/'V06 Motor'!C55,10))*'V06 Curva'!$B$15,MAX(0,MIN('V06 Motor'!A55*30/'V06 Motor'!C55,12)-MAX(('V06 Motor'!A55-1)*30/'V06 Motor'!C55,11))*'V06 Curva'!$B$16,MAX(0,MIN('V06 Motor'!A55*30/'V06 Motor'!C55,13)-MAX(('V06 Motor'!A55-1)*30/'V06 Motor'!C55,12))*'V06 Curva'!$B$17,MAX(0,MIN('V06 Motor'!A55*30/'V06 Motor'!C55,14)-MAX(('V06 Motor'!A55-1)*30/'V06 Motor'!C55,13))*'V06 Curva'!$B$18,MAX(0,MIN('V06 Motor'!A55*30/'V06 Motor'!C55,15)-MAX(('V06 Motor'!A55-1)*30/'V06 Motor'!C55,14))*'V06 Curva'!$B$19,MAX(0,MIN('V06 Motor'!A55*30/'V06 Motor'!C55,16)-MAX(('V06 Motor'!A55-1)*30/'V06 Motor'!C55,15))*'V06 Curva'!$B$20,MAX(0,MIN('V06 Motor'!A55*30/'V06 Motor'!C55,17)-MAX(('V06 Motor'!A55-1)*30/'V06 Motor'!C55,16))*'V06 Curva'!$B$21,MAX(0,MIN('V06 Motor'!A55*30/'V06 Motor'!C55,18)-MAX(('V06 Motor'!A55-1)*30/'V06 Motor'!C55,17))*'V06 Curva'!$B$22,MAX(0,MIN('V06 Motor'!A55*30/'V06 Motor'!C55,19)-MAX(('V06 Motor'!A55-1)*30/'V06 Motor'!C55,18))*'V06 Curva'!$B$23,MAX(0,MIN('V06 Motor'!A55*30/'V06 Motor'!C55,20)-MAX(('V06 Motor'!A55-1)*30/'V06 Motor'!C55,19))*'V06 Curva'!$B$24,MAX(0,MIN('V06 Motor'!A55*30/'V06 Motor'!C55,21)-MAX(('V06 Motor'!A55-1)*30/'V06 Motor'!C55,20))*'V06 Curva'!$B$25,MAX(0,MIN('V06 Motor'!A55*30/'V06 Motor'!C55,22)-MAX(('V06 Motor'!A55-1)*30/'V06 Motor'!C55,21))*'V06 Curva'!$B$26,MAX(0,MIN('V06 Motor'!A55*30/'V06 Motor'!C55,23)-MAX(('V06 Motor'!A55-1)*30/'V06 Motor'!C55,22))*'V06 Curva'!$B$27,MAX(0,MIN('V06 Motor'!A55*30/'V06 Motor'!C55,24)-MAX(('V06 Motor'!A55-1)*30/'V06 Motor'!C55,23))*'V06 Curva'!$B$28,MAX(0,MIN('V06 Motor'!A55*30/'V06 Motor'!C55,25)-MAX(('V06 Motor'!A55-1)*30/'V06 Motor'!C55,24))*'V06 Curva'!$B$29,MAX(0,MIN('V06 Motor'!A55*30/'V06 Motor'!C55,26)-MAX(('V06 Motor'!A55-1)*30/'V06 Motor'!C55,25))*'V06 Curva'!$B$30,MAX(0,MIN('V06 Motor'!A55*30/'V06 Motor'!C55,27)-MAX(('V06 Motor'!A55-1)*30/'V06 Motor'!C55,26))*'V06 Curva'!$B$31,MAX(0,MIN('V06 Motor'!A55*30/'V06 Motor'!C55,28)-MAX(('V06 Motor'!A55-1)*30/'V06 Motor'!C55,27))*'V06 Curva'!$B$32,MAX(0,MIN('V06 Motor'!A55*30/'V06 Motor'!C55,29)-MAX(('V06 Motor'!A55-1)*30/'V06 Motor'!C55,28))*'V06 Curva'!$B$33,MAX(0,MIN('V06 Motor'!A55*30/'V06 Motor'!C55,30)-MAX(('V06 Motor'!A55-1)*30/'V06 Motor'!C55,29))*'V06 Curva'!$B$34),0)</f>
        <v>0.0</v>
      </c>
      <c r="O55" s="2">
        <f>SUMPRODUCT(--(('V06 Unidades'!$I$5:$I$98+'V06 Controlos'!$B$37)='V06 Motor'!A55),ROUND('V06 Unidades'!$H$5:$H$98*0.05,2)+ROUND('V06 Unidades'!$H$5:$H$98*0.2,2))+SUMPRODUCT(--(IF('V06 Controlos'!$B$38&gt;0,IF(('V06 Unidades'!$L$5:$L$98+'V06 Controlos'!$B$37)&lt;'V06 Motor'!C55,'V06 Motor'!C55,('V06 Unidades'!$L$5:$L$98+'V06 Controlos'!$B$37)),('V06 Unidades'!$L$5:$L$98+'V06 Controlos'!$B$37))='V06 Motor'!A55),'V06 Unidades'!$H$5:$H$98-ROUND('V06 Unidades'!$H$5:$H$98*0.05,2)-ROUND('V06 Unidades'!$H$5:$H$98*0.2,2)-ROUND('V06 Unidades'!$H$5:$H$98*0.55,2))+SUMPRODUCT(--(IF(INT((IF('V06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Controlos'!$B$37)-1)/6),0)&gt;0),--('V06 Motor'!A55&gt;('V06 Unidades'!$I$5:$I$98+'V06 Controlos'!$B$37)),--('V06 Motor'!A55&lt;IF('V06 Controlos'!$B$38&gt;0,IF(('V06 Unidades'!$L$5:$L$98+'V06 Controlos'!$B$37)&lt;'V06 Motor'!C55,'V06 Motor'!C55,('V06 Unidades'!$L$5:$L$98+'V06 Controlos'!$B$37)),('V06 Unidades'!$L$5:$L$98+'V06 Controlos'!$B$37))),--(MOD('V06 Motor'!A55-('V06 Unidades'!$I$5:$I$98+'V06 Controlos'!$B$37),6)=0),--(('V06 Motor'!A55-('V06 Unidades'!$I$5:$I$98+'V06 Controlos'!$B$37))/6&lt;=IF(INT((IF('V06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Controlos'!$B$37)-1)/6),0)),IF('V06 Motor'!A55=('V06 Unidades'!$I$5:$I$98+'V06 Controlos'!$B$37)+6*IF(INT((IF('V06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Controlos'!$B$37)-1)/6),0)&gt;0,IF(INT((IF('V06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Controlos'!$B$37)-1)/6),0),1),2)*(IF(INT((IF('V06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Controlos'!$B$37)-1)/6),0)&gt;0,IF(INT((IF('V06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Controlos'!$B$37)-1)/6)&gt;0,INT((IF('V06 Controlos'!$B$38&gt;0,IF(('V06 Unidades'!$L$5:$L$98+'V06 Controlos'!$B$37)&lt;'V06 Motor'!C55,'V06 Motor'!C55,('V06 Unidades'!$L$5:$L$98+'V06 Controlos'!$B$37)),('V06 Unidades'!$L$5:$L$98+'V06 Controlos'!$B$37))-('V06 Unidades'!$I$5:$I$98+'V06 Controlos'!$B$37)-1)/6),0),1),2)))</f>
        <v>0.0</v>
      </c>
      <c r="P55" s="2">
        <f>SUM('V06 Calend 01'!BK5:BK98)</f>
        <v>0.0</v>
      </c>
    </row>
    <row r="56" spans="1:16">
      <c r="A56">
        <v>52</v>
      </c>
      <c r="C56">
        <v>30</v>
      </c>
      <c r="G56" s="2">
        <f>IF('V06 Motor'!A56&lt;='V06 Motor'!C56,SUMPRODUCT('V06 Curva'!$B$5:$B$34,IF((IF('V06 Motor'!A56*30/'V06 Motor'!C56&lt;'V06 Curva'!$A$5:$A$34,'V06 Motor'!A56*30/'V06 Motor'!C56,'V06 Curva'!$A$5:$A$34)-IF(('V06 Motor'!A56-1)*30/'V06 Motor'!C56&gt;'V06 Curva'!$A$5:$A$34-1,('V06 Motor'!A56-1)*30/'V06 Motor'!C56,'V06 Curva'!$A$5:$A$34-1))&gt;0,(IF('V06 Motor'!A56*30/'V06 Motor'!C56&lt;'V06 Curva'!$A$5:$A$34,'V06 Motor'!A56*30/'V06 Motor'!C56,'V06 Curva'!$A$5:$A$34)-IF(('V06 Motor'!A56-1)*30/'V06 Motor'!C56&gt;'V06 Curva'!$A$5:$A$34-1,('V06 Motor'!A56-1)*30/'V06 Motor'!C56,'V06 Curva'!$A$5:$A$34-1)),0)),0)</f>
        <v>0.0</v>
      </c>
      <c r="H56" s="2">
        <f>IF('V06 Motor'!A56&lt;='V06 Motor'!C56,SUM(MAX(0,MIN('V06 Motor'!A56*30/'V06 Motor'!C56,1)-MAX(('V06 Motor'!A56-1)*30/'V06 Motor'!C56,0))*'V06 Curva'!$B$5,MAX(0,MIN('V06 Motor'!A56*30/'V06 Motor'!C56,2)-MAX(('V06 Motor'!A56-1)*30/'V06 Motor'!C56,1))*'V06 Curva'!$B$6,MAX(0,MIN('V06 Motor'!A56*30/'V06 Motor'!C56,3)-MAX(('V06 Motor'!A56-1)*30/'V06 Motor'!C56,2))*'V06 Curva'!$B$7,MAX(0,MIN('V06 Motor'!A56*30/'V06 Motor'!C56,4)-MAX(('V06 Motor'!A56-1)*30/'V06 Motor'!C56,3))*'V06 Curva'!$B$8,MAX(0,MIN('V06 Motor'!A56*30/'V06 Motor'!C56,5)-MAX(('V06 Motor'!A56-1)*30/'V06 Motor'!C56,4))*'V06 Curva'!$B$9,MAX(0,MIN('V06 Motor'!A56*30/'V06 Motor'!C56,6)-MAX(('V06 Motor'!A56-1)*30/'V06 Motor'!C56,5))*'V06 Curva'!$B$10,MAX(0,MIN('V06 Motor'!A56*30/'V06 Motor'!C56,7)-MAX(('V06 Motor'!A56-1)*30/'V06 Motor'!C56,6))*'V06 Curva'!$B$11,MAX(0,MIN('V06 Motor'!A56*30/'V06 Motor'!C56,8)-MAX(('V06 Motor'!A56-1)*30/'V06 Motor'!C56,7))*'V06 Curva'!$B$12,MAX(0,MIN('V06 Motor'!A56*30/'V06 Motor'!C56,9)-MAX(('V06 Motor'!A56-1)*30/'V06 Motor'!C56,8))*'V06 Curva'!$B$13,MAX(0,MIN('V06 Motor'!A56*30/'V06 Motor'!C56,10)-MAX(('V06 Motor'!A56-1)*30/'V06 Motor'!C56,9))*'V06 Curva'!$B$14,MAX(0,MIN('V06 Motor'!A56*30/'V06 Motor'!C56,11)-MAX(('V06 Motor'!A56-1)*30/'V06 Motor'!C56,10))*'V06 Curva'!$B$15,MAX(0,MIN('V06 Motor'!A56*30/'V06 Motor'!C56,12)-MAX(('V06 Motor'!A56-1)*30/'V06 Motor'!C56,11))*'V06 Curva'!$B$16,MAX(0,MIN('V06 Motor'!A56*30/'V06 Motor'!C56,13)-MAX(('V06 Motor'!A56-1)*30/'V06 Motor'!C56,12))*'V06 Curva'!$B$17,MAX(0,MIN('V06 Motor'!A56*30/'V06 Motor'!C56,14)-MAX(('V06 Motor'!A56-1)*30/'V06 Motor'!C56,13))*'V06 Curva'!$B$18,MAX(0,MIN('V06 Motor'!A56*30/'V06 Motor'!C56,15)-MAX(('V06 Motor'!A56-1)*30/'V06 Motor'!C56,14))*'V06 Curva'!$B$19,MAX(0,MIN('V06 Motor'!A56*30/'V06 Motor'!C56,16)-MAX(('V06 Motor'!A56-1)*30/'V06 Motor'!C56,15))*'V06 Curva'!$B$20,MAX(0,MIN('V06 Motor'!A56*30/'V06 Motor'!C56,17)-MAX(('V06 Motor'!A56-1)*30/'V06 Motor'!C56,16))*'V06 Curva'!$B$21,MAX(0,MIN('V06 Motor'!A56*30/'V06 Motor'!C56,18)-MAX(('V06 Motor'!A56-1)*30/'V06 Motor'!C56,17))*'V06 Curva'!$B$22,MAX(0,MIN('V06 Motor'!A56*30/'V06 Motor'!C56,19)-MAX(('V06 Motor'!A56-1)*30/'V06 Motor'!C56,18))*'V06 Curva'!$B$23,MAX(0,MIN('V06 Motor'!A56*30/'V06 Motor'!C56,20)-MAX(('V06 Motor'!A56-1)*30/'V06 Motor'!C56,19))*'V06 Curva'!$B$24,MAX(0,MIN('V06 Motor'!A56*30/'V06 Motor'!C56,21)-MAX(('V06 Motor'!A56-1)*30/'V06 Motor'!C56,20))*'V06 Curva'!$B$25,MAX(0,MIN('V06 Motor'!A56*30/'V06 Motor'!C56,22)-MAX(('V06 Motor'!A56-1)*30/'V06 Motor'!C56,21))*'V06 Curva'!$B$26,MAX(0,MIN('V06 Motor'!A56*30/'V06 Motor'!C56,23)-MAX(('V06 Motor'!A56-1)*30/'V06 Motor'!C56,22))*'V06 Curva'!$B$27,MAX(0,MIN('V06 Motor'!A56*30/'V06 Motor'!C56,24)-MAX(('V06 Motor'!A56-1)*30/'V06 Motor'!C56,23))*'V06 Curva'!$B$28,MAX(0,MIN('V06 Motor'!A56*30/'V06 Motor'!C56,25)-MAX(('V06 Motor'!A56-1)*30/'V06 Motor'!C56,24))*'V06 Curva'!$B$29,MAX(0,MIN('V06 Motor'!A56*30/'V06 Motor'!C56,26)-MAX(('V06 Motor'!A56-1)*30/'V06 Motor'!C56,25))*'V06 Curva'!$B$30,MAX(0,MIN('V06 Motor'!A56*30/'V06 Motor'!C56,27)-MAX(('V06 Motor'!A56-1)*30/'V06 Motor'!C56,26))*'V06 Curva'!$B$31,MAX(0,MIN('V06 Motor'!A56*30/'V06 Motor'!C56,28)-MAX(('V06 Motor'!A56-1)*30/'V06 Motor'!C56,27))*'V06 Curva'!$B$32,MAX(0,MIN('V06 Motor'!A56*30/'V06 Motor'!C56,29)-MAX(('V06 Motor'!A56-1)*30/'V06 Motor'!C56,28))*'V06 Curva'!$B$33,MAX(0,MIN('V06 Motor'!A56*30/'V06 Motor'!C56,30)-MAX(('V06 Motor'!A56-1)*30/'V06 Motor'!C56,29))*'V06 Curva'!$B$34),0)</f>
        <v>0.0</v>
      </c>
      <c r="O56" s="2">
        <f>SUMPRODUCT(--(('V06 Unidades'!$I$5:$I$98+'V06 Controlos'!$B$37)='V06 Motor'!A56),ROUND('V06 Unidades'!$H$5:$H$98*0.05,2)+ROUND('V06 Unidades'!$H$5:$H$98*0.2,2))+SUMPRODUCT(--(IF('V06 Controlos'!$B$38&gt;0,IF(('V06 Unidades'!$L$5:$L$98+'V06 Controlos'!$B$37)&lt;'V06 Motor'!C56,'V06 Motor'!C56,('V06 Unidades'!$L$5:$L$98+'V06 Controlos'!$B$37)),('V06 Unidades'!$L$5:$L$98+'V06 Controlos'!$B$37))='V06 Motor'!A56),'V06 Unidades'!$H$5:$H$98-ROUND('V06 Unidades'!$H$5:$H$98*0.05,2)-ROUND('V06 Unidades'!$H$5:$H$98*0.2,2)-ROUND('V06 Unidades'!$H$5:$H$98*0.55,2))+SUMPRODUCT(--(IF(INT((IF('V06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Controlos'!$B$37)-1)/6),0)&gt;0),--('V06 Motor'!A56&gt;('V06 Unidades'!$I$5:$I$98+'V06 Controlos'!$B$37)),--('V06 Motor'!A56&lt;IF('V06 Controlos'!$B$38&gt;0,IF(('V06 Unidades'!$L$5:$L$98+'V06 Controlos'!$B$37)&lt;'V06 Motor'!C56,'V06 Motor'!C56,('V06 Unidades'!$L$5:$L$98+'V06 Controlos'!$B$37)),('V06 Unidades'!$L$5:$L$98+'V06 Controlos'!$B$37))),--(MOD('V06 Motor'!A56-('V06 Unidades'!$I$5:$I$98+'V06 Controlos'!$B$37),6)=0),--(('V06 Motor'!A56-('V06 Unidades'!$I$5:$I$98+'V06 Controlos'!$B$37))/6&lt;=IF(INT((IF('V06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Controlos'!$B$37)-1)/6),0)),IF('V06 Motor'!A56=('V06 Unidades'!$I$5:$I$98+'V06 Controlos'!$B$37)+6*IF(INT((IF('V06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Controlos'!$B$37)-1)/6),0)&gt;0,IF(INT((IF('V06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Controlos'!$B$37)-1)/6),0),1),2)*(IF(INT((IF('V06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Controlos'!$B$37)-1)/6),0)&gt;0,IF(INT((IF('V06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Controlos'!$B$37)-1)/6)&gt;0,INT((IF('V06 Controlos'!$B$38&gt;0,IF(('V06 Unidades'!$L$5:$L$98+'V06 Controlos'!$B$37)&lt;'V06 Motor'!C56,'V06 Motor'!C56,('V06 Unidades'!$L$5:$L$98+'V06 Controlos'!$B$37)),('V06 Unidades'!$L$5:$L$98+'V06 Controlos'!$B$37))-('V06 Unidades'!$I$5:$I$98+'V06 Controlos'!$B$37)-1)/6),0),1),2)))</f>
        <v>0.0</v>
      </c>
      <c r="P56" s="2">
        <f>SUM('V06 Calend 01'!BL5:BL98)</f>
        <v>0.0</v>
      </c>
    </row>
    <row r="57" spans="1:16">
      <c r="A57">
        <v>53</v>
      </c>
      <c r="C57">
        <v>30</v>
      </c>
      <c r="G57" s="2">
        <f>IF('V06 Motor'!A57&lt;='V06 Motor'!C57,SUMPRODUCT('V06 Curva'!$B$5:$B$34,IF((IF('V06 Motor'!A57*30/'V06 Motor'!C57&lt;'V06 Curva'!$A$5:$A$34,'V06 Motor'!A57*30/'V06 Motor'!C57,'V06 Curva'!$A$5:$A$34)-IF(('V06 Motor'!A57-1)*30/'V06 Motor'!C57&gt;'V06 Curva'!$A$5:$A$34-1,('V06 Motor'!A57-1)*30/'V06 Motor'!C57,'V06 Curva'!$A$5:$A$34-1))&gt;0,(IF('V06 Motor'!A57*30/'V06 Motor'!C57&lt;'V06 Curva'!$A$5:$A$34,'V06 Motor'!A57*30/'V06 Motor'!C57,'V06 Curva'!$A$5:$A$34)-IF(('V06 Motor'!A57-1)*30/'V06 Motor'!C57&gt;'V06 Curva'!$A$5:$A$34-1,('V06 Motor'!A57-1)*30/'V06 Motor'!C57,'V06 Curva'!$A$5:$A$34-1)),0)),0)</f>
        <v>0.0</v>
      </c>
      <c r="H57" s="2">
        <f>IF('V06 Motor'!A57&lt;='V06 Motor'!C57,SUM(MAX(0,MIN('V06 Motor'!A57*30/'V06 Motor'!C57,1)-MAX(('V06 Motor'!A57-1)*30/'V06 Motor'!C57,0))*'V06 Curva'!$B$5,MAX(0,MIN('V06 Motor'!A57*30/'V06 Motor'!C57,2)-MAX(('V06 Motor'!A57-1)*30/'V06 Motor'!C57,1))*'V06 Curva'!$B$6,MAX(0,MIN('V06 Motor'!A57*30/'V06 Motor'!C57,3)-MAX(('V06 Motor'!A57-1)*30/'V06 Motor'!C57,2))*'V06 Curva'!$B$7,MAX(0,MIN('V06 Motor'!A57*30/'V06 Motor'!C57,4)-MAX(('V06 Motor'!A57-1)*30/'V06 Motor'!C57,3))*'V06 Curva'!$B$8,MAX(0,MIN('V06 Motor'!A57*30/'V06 Motor'!C57,5)-MAX(('V06 Motor'!A57-1)*30/'V06 Motor'!C57,4))*'V06 Curva'!$B$9,MAX(0,MIN('V06 Motor'!A57*30/'V06 Motor'!C57,6)-MAX(('V06 Motor'!A57-1)*30/'V06 Motor'!C57,5))*'V06 Curva'!$B$10,MAX(0,MIN('V06 Motor'!A57*30/'V06 Motor'!C57,7)-MAX(('V06 Motor'!A57-1)*30/'V06 Motor'!C57,6))*'V06 Curva'!$B$11,MAX(0,MIN('V06 Motor'!A57*30/'V06 Motor'!C57,8)-MAX(('V06 Motor'!A57-1)*30/'V06 Motor'!C57,7))*'V06 Curva'!$B$12,MAX(0,MIN('V06 Motor'!A57*30/'V06 Motor'!C57,9)-MAX(('V06 Motor'!A57-1)*30/'V06 Motor'!C57,8))*'V06 Curva'!$B$13,MAX(0,MIN('V06 Motor'!A57*30/'V06 Motor'!C57,10)-MAX(('V06 Motor'!A57-1)*30/'V06 Motor'!C57,9))*'V06 Curva'!$B$14,MAX(0,MIN('V06 Motor'!A57*30/'V06 Motor'!C57,11)-MAX(('V06 Motor'!A57-1)*30/'V06 Motor'!C57,10))*'V06 Curva'!$B$15,MAX(0,MIN('V06 Motor'!A57*30/'V06 Motor'!C57,12)-MAX(('V06 Motor'!A57-1)*30/'V06 Motor'!C57,11))*'V06 Curva'!$B$16,MAX(0,MIN('V06 Motor'!A57*30/'V06 Motor'!C57,13)-MAX(('V06 Motor'!A57-1)*30/'V06 Motor'!C57,12))*'V06 Curva'!$B$17,MAX(0,MIN('V06 Motor'!A57*30/'V06 Motor'!C57,14)-MAX(('V06 Motor'!A57-1)*30/'V06 Motor'!C57,13))*'V06 Curva'!$B$18,MAX(0,MIN('V06 Motor'!A57*30/'V06 Motor'!C57,15)-MAX(('V06 Motor'!A57-1)*30/'V06 Motor'!C57,14))*'V06 Curva'!$B$19,MAX(0,MIN('V06 Motor'!A57*30/'V06 Motor'!C57,16)-MAX(('V06 Motor'!A57-1)*30/'V06 Motor'!C57,15))*'V06 Curva'!$B$20,MAX(0,MIN('V06 Motor'!A57*30/'V06 Motor'!C57,17)-MAX(('V06 Motor'!A57-1)*30/'V06 Motor'!C57,16))*'V06 Curva'!$B$21,MAX(0,MIN('V06 Motor'!A57*30/'V06 Motor'!C57,18)-MAX(('V06 Motor'!A57-1)*30/'V06 Motor'!C57,17))*'V06 Curva'!$B$22,MAX(0,MIN('V06 Motor'!A57*30/'V06 Motor'!C57,19)-MAX(('V06 Motor'!A57-1)*30/'V06 Motor'!C57,18))*'V06 Curva'!$B$23,MAX(0,MIN('V06 Motor'!A57*30/'V06 Motor'!C57,20)-MAX(('V06 Motor'!A57-1)*30/'V06 Motor'!C57,19))*'V06 Curva'!$B$24,MAX(0,MIN('V06 Motor'!A57*30/'V06 Motor'!C57,21)-MAX(('V06 Motor'!A57-1)*30/'V06 Motor'!C57,20))*'V06 Curva'!$B$25,MAX(0,MIN('V06 Motor'!A57*30/'V06 Motor'!C57,22)-MAX(('V06 Motor'!A57-1)*30/'V06 Motor'!C57,21))*'V06 Curva'!$B$26,MAX(0,MIN('V06 Motor'!A57*30/'V06 Motor'!C57,23)-MAX(('V06 Motor'!A57-1)*30/'V06 Motor'!C57,22))*'V06 Curva'!$B$27,MAX(0,MIN('V06 Motor'!A57*30/'V06 Motor'!C57,24)-MAX(('V06 Motor'!A57-1)*30/'V06 Motor'!C57,23))*'V06 Curva'!$B$28,MAX(0,MIN('V06 Motor'!A57*30/'V06 Motor'!C57,25)-MAX(('V06 Motor'!A57-1)*30/'V06 Motor'!C57,24))*'V06 Curva'!$B$29,MAX(0,MIN('V06 Motor'!A57*30/'V06 Motor'!C57,26)-MAX(('V06 Motor'!A57-1)*30/'V06 Motor'!C57,25))*'V06 Curva'!$B$30,MAX(0,MIN('V06 Motor'!A57*30/'V06 Motor'!C57,27)-MAX(('V06 Motor'!A57-1)*30/'V06 Motor'!C57,26))*'V06 Curva'!$B$31,MAX(0,MIN('V06 Motor'!A57*30/'V06 Motor'!C57,28)-MAX(('V06 Motor'!A57-1)*30/'V06 Motor'!C57,27))*'V06 Curva'!$B$32,MAX(0,MIN('V06 Motor'!A57*30/'V06 Motor'!C57,29)-MAX(('V06 Motor'!A57-1)*30/'V06 Motor'!C57,28))*'V06 Curva'!$B$33,MAX(0,MIN('V06 Motor'!A57*30/'V06 Motor'!C57,30)-MAX(('V06 Motor'!A57-1)*30/'V06 Motor'!C57,29))*'V06 Curva'!$B$34),0)</f>
        <v>0.0</v>
      </c>
      <c r="O57" s="2">
        <f>SUMPRODUCT(--(('V06 Unidades'!$I$5:$I$98+'V06 Controlos'!$B$37)='V06 Motor'!A57),ROUND('V06 Unidades'!$H$5:$H$98*0.05,2)+ROUND('V06 Unidades'!$H$5:$H$98*0.2,2))+SUMPRODUCT(--(IF('V06 Controlos'!$B$38&gt;0,IF(('V06 Unidades'!$L$5:$L$98+'V06 Controlos'!$B$37)&lt;'V06 Motor'!C57,'V06 Motor'!C57,('V06 Unidades'!$L$5:$L$98+'V06 Controlos'!$B$37)),('V06 Unidades'!$L$5:$L$98+'V06 Controlos'!$B$37))='V06 Motor'!A57),'V06 Unidades'!$H$5:$H$98-ROUND('V06 Unidades'!$H$5:$H$98*0.05,2)-ROUND('V06 Unidades'!$H$5:$H$98*0.2,2)-ROUND('V06 Unidades'!$H$5:$H$98*0.55,2))+SUMPRODUCT(--(IF(INT((IF('V06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Controlos'!$B$37)-1)/6),0)&gt;0),--('V06 Motor'!A57&gt;('V06 Unidades'!$I$5:$I$98+'V06 Controlos'!$B$37)),--('V06 Motor'!A57&lt;IF('V06 Controlos'!$B$38&gt;0,IF(('V06 Unidades'!$L$5:$L$98+'V06 Controlos'!$B$37)&lt;'V06 Motor'!C57,'V06 Motor'!C57,('V06 Unidades'!$L$5:$L$98+'V06 Controlos'!$B$37)),('V06 Unidades'!$L$5:$L$98+'V06 Controlos'!$B$37))),--(MOD('V06 Motor'!A57-('V06 Unidades'!$I$5:$I$98+'V06 Controlos'!$B$37),6)=0),--(('V06 Motor'!A57-('V06 Unidades'!$I$5:$I$98+'V06 Controlos'!$B$37))/6&lt;=IF(INT((IF('V06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Controlos'!$B$37)-1)/6),0)),IF('V06 Motor'!A57=('V06 Unidades'!$I$5:$I$98+'V06 Controlos'!$B$37)+6*IF(INT((IF('V06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Controlos'!$B$37)-1)/6),0)&gt;0,IF(INT((IF('V06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Controlos'!$B$37)-1)/6),0),1),2)*(IF(INT((IF('V06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Controlos'!$B$37)-1)/6),0)&gt;0,IF(INT((IF('V06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Controlos'!$B$37)-1)/6)&gt;0,INT((IF('V06 Controlos'!$B$38&gt;0,IF(('V06 Unidades'!$L$5:$L$98+'V06 Controlos'!$B$37)&lt;'V06 Motor'!C57,'V06 Motor'!C57,('V06 Unidades'!$L$5:$L$98+'V06 Controlos'!$B$37)),('V06 Unidades'!$L$5:$L$98+'V06 Controlos'!$B$37))-('V06 Unidades'!$I$5:$I$98+'V06 Controlos'!$B$37)-1)/6),0),1),2)))</f>
        <v>0.0</v>
      </c>
      <c r="P57" s="2">
        <f>SUM('V06 Calend 01'!BM5:BM98)</f>
        <v>0.0</v>
      </c>
    </row>
    <row r="58" spans="1:16">
      <c r="A58">
        <v>54</v>
      </c>
      <c r="C58">
        <v>30</v>
      </c>
      <c r="G58" s="2">
        <f>IF('V06 Motor'!A58&lt;='V06 Motor'!C58,SUMPRODUCT('V06 Curva'!$B$5:$B$34,IF((IF('V06 Motor'!A58*30/'V06 Motor'!C58&lt;'V06 Curva'!$A$5:$A$34,'V06 Motor'!A58*30/'V06 Motor'!C58,'V06 Curva'!$A$5:$A$34)-IF(('V06 Motor'!A58-1)*30/'V06 Motor'!C58&gt;'V06 Curva'!$A$5:$A$34-1,('V06 Motor'!A58-1)*30/'V06 Motor'!C58,'V06 Curva'!$A$5:$A$34-1))&gt;0,(IF('V06 Motor'!A58*30/'V06 Motor'!C58&lt;'V06 Curva'!$A$5:$A$34,'V06 Motor'!A58*30/'V06 Motor'!C58,'V06 Curva'!$A$5:$A$34)-IF(('V06 Motor'!A58-1)*30/'V06 Motor'!C58&gt;'V06 Curva'!$A$5:$A$34-1,('V06 Motor'!A58-1)*30/'V06 Motor'!C58,'V06 Curva'!$A$5:$A$34-1)),0)),0)</f>
        <v>0.0</v>
      </c>
      <c r="H58" s="2">
        <f>IF('V06 Motor'!A58&lt;='V06 Motor'!C58,SUM(MAX(0,MIN('V06 Motor'!A58*30/'V06 Motor'!C58,1)-MAX(('V06 Motor'!A58-1)*30/'V06 Motor'!C58,0))*'V06 Curva'!$B$5,MAX(0,MIN('V06 Motor'!A58*30/'V06 Motor'!C58,2)-MAX(('V06 Motor'!A58-1)*30/'V06 Motor'!C58,1))*'V06 Curva'!$B$6,MAX(0,MIN('V06 Motor'!A58*30/'V06 Motor'!C58,3)-MAX(('V06 Motor'!A58-1)*30/'V06 Motor'!C58,2))*'V06 Curva'!$B$7,MAX(0,MIN('V06 Motor'!A58*30/'V06 Motor'!C58,4)-MAX(('V06 Motor'!A58-1)*30/'V06 Motor'!C58,3))*'V06 Curva'!$B$8,MAX(0,MIN('V06 Motor'!A58*30/'V06 Motor'!C58,5)-MAX(('V06 Motor'!A58-1)*30/'V06 Motor'!C58,4))*'V06 Curva'!$B$9,MAX(0,MIN('V06 Motor'!A58*30/'V06 Motor'!C58,6)-MAX(('V06 Motor'!A58-1)*30/'V06 Motor'!C58,5))*'V06 Curva'!$B$10,MAX(0,MIN('V06 Motor'!A58*30/'V06 Motor'!C58,7)-MAX(('V06 Motor'!A58-1)*30/'V06 Motor'!C58,6))*'V06 Curva'!$B$11,MAX(0,MIN('V06 Motor'!A58*30/'V06 Motor'!C58,8)-MAX(('V06 Motor'!A58-1)*30/'V06 Motor'!C58,7))*'V06 Curva'!$B$12,MAX(0,MIN('V06 Motor'!A58*30/'V06 Motor'!C58,9)-MAX(('V06 Motor'!A58-1)*30/'V06 Motor'!C58,8))*'V06 Curva'!$B$13,MAX(0,MIN('V06 Motor'!A58*30/'V06 Motor'!C58,10)-MAX(('V06 Motor'!A58-1)*30/'V06 Motor'!C58,9))*'V06 Curva'!$B$14,MAX(0,MIN('V06 Motor'!A58*30/'V06 Motor'!C58,11)-MAX(('V06 Motor'!A58-1)*30/'V06 Motor'!C58,10))*'V06 Curva'!$B$15,MAX(0,MIN('V06 Motor'!A58*30/'V06 Motor'!C58,12)-MAX(('V06 Motor'!A58-1)*30/'V06 Motor'!C58,11))*'V06 Curva'!$B$16,MAX(0,MIN('V06 Motor'!A58*30/'V06 Motor'!C58,13)-MAX(('V06 Motor'!A58-1)*30/'V06 Motor'!C58,12))*'V06 Curva'!$B$17,MAX(0,MIN('V06 Motor'!A58*30/'V06 Motor'!C58,14)-MAX(('V06 Motor'!A58-1)*30/'V06 Motor'!C58,13))*'V06 Curva'!$B$18,MAX(0,MIN('V06 Motor'!A58*30/'V06 Motor'!C58,15)-MAX(('V06 Motor'!A58-1)*30/'V06 Motor'!C58,14))*'V06 Curva'!$B$19,MAX(0,MIN('V06 Motor'!A58*30/'V06 Motor'!C58,16)-MAX(('V06 Motor'!A58-1)*30/'V06 Motor'!C58,15))*'V06 Curva'!$B$20,MAX(0,MIN('V06 Motor'!A58*30/'V06 Motor'!C58,17)-MAX(('V06 Motor'!A58-1)*30/'V06 Motor'!C58,16))*'V06 Curva'!$B$21,MAX(0,MIN('V06 Motor'!A58*30/'V06 Motor'!C58,18)-MAX(('V06 Motor'!A58-1)*30/'V06 Motor'!C58,17))*'V06 Curva'!$B$22,MAX(0,MIN('V06 Motor'!A58*30/'V06 Motor'!C58,19)-MAX(('V06 Motor'!A58-1)*30/'V06 Motor'!C58,18))*'V06 Curva'!$B$23,MAX(0,MIN('V06 Motor'!A58*30/'V06 Motor'!C58,20)-MAX(('V06 Motor'!A58-1)*30/'V06 Motor'!C58,19))*'V06 Curva'!$B$24,MAX(0,MIN('V06 Motor'!A58*30/'V06 Motor'!C58,21)-MAX(('V06 Motor'!A58-1)*30/'V06 Motor'!C58,20))*'V06 Curva'!$B$25,MAX(0,MIN('V06 Motor'!A58*30/'V06 Motor'!C58,22)-MAX(('V06 Motor'!A58-1)*30/'V06 Motor'!C58,21))*'V06 Curva'!$B$26,MAX(0,MIN('V06 Motor'!A58*30/'V06 Motor'!C58,23)-MAX(('V06 Motor'!A58-1)*30/'V06 Motor'!C58,22))*'V06 Curva'!$B$27,MAX(0,MIN('V06 Motor'!A58*30/'V06 Motor'!C58,24)-MAX(('V06 Motor'!A58-1)*30/'V06 Motor'!C58,23))*'V06 Curva'!$B$28,MAX(0,MIN('V06 Motor'!A58*30/'V06 Motor'!C58,25)-MAX(('V06 Motor'!A58-1)*30/'V06 Motor'!C58,24))*'V06 Curva'!$B$29,MAX(0,MIN('V06 Motor'!A58*30/'V06 Motor'!C58,26)-MAX(('V06 Motor'!A58-1)*30/'V06 Motor'!C58,25))*'V06 Curva'!$B$30,MAX(0,MIN('V06 Motor'!A58*30/'V06 Motor'!C58,27)-MAX(('V06 Motor'!A58-1)*30/'V06 Motor'!C58,26))*'V06 Curva'!$B$31,MAX(0,MIN('V06 Motor'!A58*30/'V06 Motor'!C58,28)-MAX(('V06 Motor'!A58-1)*30/'V06 Motor'!C58,27))*'V06 Curva'!$B$32,MAX(0,MIN('V06 Motor'!A58*30/'V06 Motor'!C58,29)-MAX(('V06 Motor'!A58-1)*30/'V06 Motor'!C58,28))*'V06 Curva'!$B$33,MAX(0,MIN('V06 Motor'!A58*30/'V06 Motor'!C58,30)-MAX(('V06 Motor'!A58-1)*30/'V06 Motor'!C58,29))*'V06 Curva'!$B$34),0)</f>
        <v>0.0</v>
      </c>
      <c r="O58" s="2">
        <f>SUMPRODUCT(--(('V06 Unidades'!$I$5:$I$98+'V06 Controlos'!$B$37)='V06 Motor'!A58),ROUND('V06 Unidades'!$H$5:$H$98*0.05,2)+ROUND('V06 Unidades'!$H$5:$H$98*0.2,2))+SUMPRODUCT(--(IF('V06 Controlos'!$B$38&gt;0,IF(('V06 Unidades'!$L$5:$L$98+'V06 Controlos'!$B$37)&lt;'V06 Motor'!C58,'V06 Motor'!C58,('V06 Unidades'!$L$5:$L$98+'V06 Controlos'!$B$37)),('V06 Unidades'!$L$5:$L$98+'V06 Controlos'!$B$37))='V06 Motor'!A58),'V06 Unidades'!$H$5:$H$98-ROUND('V06 Unidades'!$H$5:$H$98*0.05,2)-ROUND('V06 Unidades'!$H$5:$H$98*0.2,2)-ROUND('V06 Unidades'!$H$5:$H$98*0.55,2))+SUMPRODUCT(--(IF(INT((IF('V06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Controlos'!$B$37)-1)/6),0)&gt;0),--('V06 Motor'!A58&gt;('V06 Unidades'!$I$5:$I$98+'V06 Controlos'!$B$37)),--('V06 Motor'!A58&lt;IF('V06 Controlos'!$B$38&gt;0,IF(('V06 Unidades'!$L$5:$L$98+'V06 Controlos'!$B$37)&lt;'V06 Motor'!C58,'V06 Motor'!C58,('V06 Unidades'!$L$5:$L$98+'V06 Controlos'!$B$37)),('V06 Unidades'!$L$5:$L$98+'V06 Controlos'!$B$37))),--(MOD('V06 Motor'!A58-('V06 Unidades'!$I$5:$I$98+'V06 Controlos'!$B$37),6)=0),--(('V06 Motor'!A58-('V06 Unidades'!$I$5:$I$98+'V06 Controlos'!$B$37))/6&lt;=IF(INT((IF('V06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Controlos'!$B$37)-1)/6),0)),IF('V06 Motor'!A58=('V06 Unidades'!$I$5:$I$98+'V06 Controlos'!$B$37)+6*IF(INT((IF('V06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Controlos'!$B$37)-1)/6),0)&gt;0,IF(INT((IF('V06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Controlos'!$B$37)-1)/6),0),1),2)*(IF(INT((IF('V06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Controlos'!$B$37)-1)/6),0)&gt;0,IF(INT((IF('V06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Controlos'!$B$37)-1)/6)&gt;0,INT((IF('V06 Controlos'!$B$38&gt;0,IF(('V06 Unidades'!$L$5:$L$98+'V06 Controlos'!$B$37)&lt;'V06 Motor'!C58,'V06 Motor'!C58,('V06 Unidades'!$L$5:$L$98+'V06 Controlos'!$B$37)),('V06 Unidades'!$L$5:$L$98+'V06 Controlos'!$B$37))-('V06 Unidades'!$I$5:$I$98+'V06 Controlos'!$B$37)-1)/6),0),1),2)))</f>
        <v>0.0</v>
      </c>
      <c r="P58" s="2">
        <f>SUM('V06 Calend 01'!BN5:BN98)</f>
        <v>0.0</v>
      </c>
    </row>
    <row r="59" spans="1:16">
      <c r="A59">
        <v>55</v>
      </c>
      <c r="C59">
        <v>30</v>
      </c>
      <c r="G59" s="2">
        <f>IF('V06 Motor'!A59&lt;='V06 Motor'!C59,SUMPRODUCT('V06 Curva'!$B$5:$B$34,IF((IF('V06 Motor'!A59*30/'V06 Motor'!C59&lt;'V06 Curva'!$A$5:$A$34,'V06 Motor'!A59*30/'V06 Motor'!C59,'V06 Curva'!$A$5:$A$34)-IF(('V06 Motor'!A59-1)*30/'V06 Motor'!C59&gt;'V06 Curva'!$A$5:$A$34-1,('V06 Motor'!A59-1)*30/'V06 Motor'!C59,'V06 Curva'!$A$5:$A$34-1))&gt;0,(IF('V06 Motor'!A59*30/'V06 Motor'!C59&lt;'V06 Curva'!$A$5:$A$34,'V06 Motor'!A59*30/'V06 Motor'!C59,'V06 Curva'!$A$5:$A$34)-IF(('V06 Motor'!A59-1)*30/'V06 Motor'!C59&gt;'V06 Curva'!$A$5:$A$34-1,('V06 Motor'!A59-1)*30/'V06 Motor'!C59,'V06 Curva'!$A$5:$A$34-1)),0)),0)</f>
        <v>0.0</v>
      </c>
      <c r="H59" s="2">
        <f>IF('V06 Motor'!A59&lt;='V06 Motor'!C59,SUM(MAX(0,MIN('V06 Motor'!A59*30/'V06 Motor'!C59,1)-MAX(('V06 Motor'!A59-1)*30/'V06 Motor'!C59,0))*'V06 Curva'!$B$5,MAX(0,MIN('V06 Motor'!A59*30/'V06 Motor'!C59,2)-MAX(('V06 Motor'!A59-1)*30/'V06 Motor'!C59,1))*'V06 Curva'!$B$6,MAX(0,MIN('V06 Motor'!A59*30/'V06 Motor'!C59,3)-MAX(('V06 Motor'!A59-1)*30/'V06 Motor'!C59,2))*'V06 Curva'!$B$7,MAX(0,MIN('V06 Motor'!A59*30/'V06 Motor'!C59,4)-MAX(('V06 Motor'!A59-1)*30/'V06 Motor'!C59,3))*'V06 Curva'!$B$8,MAX(0,MIN('V06 Motor'!A59*30/'V06 Motor'!C59,5)-MAX(('V06 Motor'!A59-1)*30/'V06 Motor'!C59,4))*'V06 Curva'!$B$9,MAX(0,MIN('V06 Motor'!A59*30/'V06 Motor'!C59,6)-MAX(('V06 Motor'!A59-1)*30/'V06 Motor'!C59,5))*'V06 Curva'!$B$10,MAX(0,MIN('V06 Motor'!A59*30/'V06 Motor'!C59,7)-MAX(('V06 Motor'!A59-1)*30/'V06 Motor'!C59,6))*'V06 Curva'!$B$11,MAX(0,MIN('V06 Motor'!A59*30/'V06 Motor'!C59,8)-MAX(('V06 Motor'!A59-1)*30/'V06 Motor'!C59,7))*'V06 Curva'!$B$12,MAX(0,MIN('V06 Motor'!A59*30/'V06 Motor'!C59,9)-MAX(('V06 Motor'!A59-1)*30/'V06 Motor'!C59,8))*'V06 Curva'!$B$13,MAX(0,MIN('V06 Motor'!A59*30/'V06 Motor'!C59,10)-MAX(('V06 Motor'!A59-1)*30/'V06 Motor'!C59,9))*'V06 Curva'!$B$14,MAX(0,MIN('V06 Motor'!A59*30/'V06 Motor'!C59,11)-MAX(('V06 Motor'!A59-1)*30/'V06 Motor'!C59,10))*'V06 Curva'!$B$15,MAX(0,MIN('V06 Motor'!A59*30/'V06 Motor'!C59,12)-MAX(('V06 Motor'!A59-1)*30/'V06 Motor'!C59,11))*'V06 Curva'!$B$16,MAX(0,MIN('V06 Motor'!A59*30/'V06 Motor'!C59,13)-MAX(('V06 Motor'!A59-1)*30/'V06 Motor'!C59,12))*'V06 Curva'!$B$17,MAX(0,MIN('V06 Motor'!A59*30/'V06 Motor'!C59,14)-MAX(('V06 Motor'!A59-1)*30/'V06 Motor'!C59,13))*'V06 Curva'!$B$18,MAX(0,MIN('V06 Motor'!A59*30/'V06 Motor'!C59,15)-MAX(('V06 Motor'!A59-1)*30/'V06 Motor'!C59,14))*'V06 Curva'!$B$19,MAX(0,MIN('V06 Motor'!A59*30/'V06 Motor'!C59,16)-MAX(('V06 Motor'!A59-1)*30/'V06 Motor'!C59,15))*'V06 Curva'!$B$20,MAX(0,MIN('V06 Motor'!A59*30/'V06 Motor'!C59,17)-MAX(('V06 Motor'!A59-1)*30/'V06 Motor'!C59,16))*'V06 Curva'!$B$21,MAX(0,MIN('V06 Motor'!A59*30/'V06 Motor'!C59,18)-MAX(('V06 Motor'!A59-1)*30/'V06 Motor'!C59,17))*'V06 Curva'!$B$22,MAX(0,MIN('V06 Motor'!A59*30/'V06 Motor'!C59,19)-MAX(('V06 Motor'!A59-1)*30/'V06 Motor'!C59,18))*'V06 Curva'!$B$23,MAX(0,MIN('V06 Motor'!A59*30/'V06 Motor'!C59,20)-MAX(('V06 Motor'!A59-1)*30/'V06 Motor'!C59,19))*'V06 Curva'!$B$24,MAX(0,MIN('V06 Motor'!A59*30/'V06 Motor'!C59,21)-MAX(('V06 Motor'!A59-1)*30/'V06 Motor'!C59,20))*'V06 Curva'!$B$25,MAX(0,MIN('V06 Motor'!A59*30/'V06 Motor'!C59,22)-MAX(('V06 Motor'!A59-1)*30/'V06 Motor'!C59,21))*'V06 Curva'!$B$26,MAX(0,MIN('V06 Motor'!A59*30/'V06 Motor'!C59,23)-MAX(('V06 Motor'!A59-1)*30/'V06 Motor'!C59,22))*'V06 Curva'!$B$27,MAX(0,MIN('V06 Motor'!A59*30/'V06 Motor'!C59,24)-MAX(('V06 Motor'!A59-1)*30/'V06 Motor'!C59,23))*'V06 Curva'!$B$28,MAX(0,MIN('V06 Motor'!A59*30/'V06 Motor'!C59,25)-MAX(('V06 Motor'!A59-1)*30/'V06 Motor'!C59,24))*'V06 Curva'!$B$29,MAX(0,MIN('V06 Motor'!A59*30/'V06 Motor'!C59,26)-MAX(('V06 Motor'!A59-1)*30/'V06 Motor'!C59,25))*'V06 Curva'!$B$30,MAX(0,MIN('V06 Motor'!A59*30/'V06 Motor'!C59,27)-MAX(('V06 Motor'!A59-1)*30/'V06 Motor'!C59,26))*'V06 Curva'!$B$31,MAX(0,MIN('V06 Motor'!A59*30/'V06 Motor'!C59,28)-MAX(('V06 Motor'!A59-1)*30/'V06 Motor'!C59,27))*'V06 Curva'!$B$32,MAX(0,MIN('V06 Motor'!A59*30/'V06 Motor'!C59,29)-MAX(('V06 Motor'!A59-1)*30/'V06 Motor'!C59,28))*'V06 Curva'!$B$33,MAX(0,MIN('V06 Motor'!A59*30/'V06 Motor'!C59,30)-MAX(('V06 Motor'!A59-1)*30/'V06 Motor'!C59,29))*'V06 Curva'!$B$34),0)</f>
        <v>0.0</v>
      </c>
      <c r="O59" s="2">
        <f>SUMPRODUCT(--(('V06 Unidades'!$I$5:$I$98+'V06 Controlos'!$B$37)='V06 Motor'!A59),ROUND('V06 Unidades'!$H$5:$H$98*0.05,2)+ROUND('V06 Unidades'!$H$5:$H$98*0.2,2))+SUMPRODUCT(--(IF('V06 Controlos'!$B$38&gt;0,IF(('V06 Unidades'!$L$5:$L$98+'V06 Controlos'!$B$37)&lt;'V06 Motor'!C59,'V06 Motor'!C59,('V06 Unidades'!$L$5:$L$98+'V06 Controlos'!$B$37)),('V06 Unidades'!$L$5:$L$98+'V06 Controlos'!$B$37))='V06 Motor'!A59),'V06 Unidades'!$H$5:$H$98-ROUND('V06 Unidades'!$H$5:$H$98*0.05,2)-ROUND('V06 Unidades'!$H$5:$H$98*0.2,2)-ROUND('V06 Unidades'!$H$5:$H$98*0.55,2))+SUMPRODUCT(--(IF(INT((IF('V06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Controlos'!$B$37)-1)/6),0)&gt;0),--('V06 Motor'!A59&gt;('V06 Unidades'!$I$5:$I$98+'V06 Controlos'!$B$37)),--('V06 Motor'!A59&lt;IF('V06 Controlos'!$B$38&gt;0,IF(('V06 Unidades'!$L$5:$L$98+'V06 Controlos'!$B$37)&lt;'V06 Motor'!C59,'V06 Motor'!C59,('V06 Unidades'!$L$5:$L$98+'V06 Controlos'!$B$37)),('V06 Unidades'!$L$5:$L$98+'V06 Controlos'!$B$37))),--(MOD('V06 Motor'!A59-('V06 Unidades'!$I$5:$I$98+'V06 Controlos'!$B$37),6)=0),--(('V06 Motor'!A59-('V06 Unidades'!$I$5:$I$98+'V06 Controlos'!$B$37))/6&lt;=IF(INT((IF('V06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Controlos'!$B$37)-1)/6),0)),IF('V06 Motor'!A59=('V06 Unidades'!$I$5:$I$98+'V06 Controlos'!$B$37)+6*IF(INT((IF('V06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Controlos'!$B$37)-1)/6),0)&gt;0,IF(INT((IF('V06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Controlos'!$B$37)-1)/6),0),1),2)*(IF(INT((IF('V06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Controlos'!$B$37)-1)/6),0)&gt;0,IF(INT((IF('V06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Controlos'!$B$37)-1)/6)&gt;0,INT((IF('V06 Controlos'!$B$38&gt;0,IF(('V06 Unidades'!$L$5:$L$98+'V06 Controlos'!$B$37)&lt;'V06 Motor'!C59,'V06 Motor'!C59,('V06 Unidades'!$L$5:$L$98+'V06 Controlos'!$B$37)),('V06 Unidades'!$L$5:$L$98+'V06 Controlos'!$B$37))-('V06 Unidades'!$I$5:$I$98+'V06 Controlos'!$B$37)-1)/6),0),1),2)))</f>
        <v>0.0</v>
      </c>
      <c r="P59" s="2">
        <f>SUM('V06 Calend 01'!BO5:BO98)</f>
        <v>0.0</v>
      </c>
    </row>
    <row r="60" spans="1:16">
      <c r="A60">
        <v>56</v>
      </c>
      <c r="C60">
        <v>30</v>
      </c>
      <c r="G60" s="2">
        <f>IF('V06 Motor'!A60&lt;='V06 Motor'!C60,SUMPRODUCT('V06 Curva'!$B$5:$B$34,IF((IF('V06 Motor'!A60*30/'V06 Motor'!C60&lt;'V06 Curva'!$A$5:$A$34,'V06 Motor'!A60*30/'V06 Motor'!C60,'V06 Curva'!$A$5:$A$34)-IF(('V06 Motor'!A60-1)*30/'V06 Motor'!C60&gt;'V06 Curva'!$A$5:$A$34-1,('V06 Motor'!A60-1)*30/'V06 Motor'!C60,'V06 Curva'!$A$5:$A$34-1))&gt;0,(IF('V06 Motor'!A60*30/'V06 Motor'!C60&lt;'V06 Curva'!$A$5:$A$34,'V06 Motor'!A60*30/'V06 Motor'!C60,'V06 Curva'!$A$5:$A$34)-IF(('V06 Motor'!A60-1)*30/'V06 Motor'!C60&gt;'V06 Curva'!$A$5:$A$34-1,('V06 Motor'!A60-1)*30/'V06 Motor'!C60,'V06 Curva'!$A$5:$A$34-1)),0)),0)</f>
        <v>0.0</v>
      </c>
      <c r="H60" s="2">
        <f>IF('V06 Motor'!A60&lt;='V06 Motor'!C60,SUM(MAX(0,MIN('V06 Motor'!A60*30/'V06 Motor'!C60,1)-MAX(('V06 Motor'!A60-1)*30/'V06 Motor'!C60,0))*'V06 Curva'!$B$5,MAX(0,MIN('V06 Motor'!A60*30/'V06 Motor'!C60,2)-MAX(('V06 Motor'!A60-1)*30/'V06 Motor'!C60,1))*'V06 Curva'!$B$6,MAX(0,MIN('V06 Motor'!A60*30/'V06 Motor'!C60,3)-MAX(('V06 Motor'!A60-1)*30/'V06 Motor'!C60,2))*'V06 Curva'!$B$7,MAX(0,MIN('V06 Motor'!A60*30/'V06 Motor'!C60,4)-MAX(('V06 Motor'!A60-1)*30/'V06 Motor'!C60,3))*'V06 Curva'!$B$8,MAX(0,MIN('V06 Motor'!A60*30/'V06 Motor'!C60,5)-MAX(('V06 Motor'!A60-1)*30/'V06 Motor'!C60,4))*'V06 Curva'!$B$9,MAX(0,MIN('V06 Motor'!A60*30/'V06 Motor'!C60,6)-MAX(('V06 Motor'!A60-1)*30/'V06 Motor'!C60,5))*'V06 Curva'!$B$10,MAX(0,MIN('V06 Motor'!A60*30/'V06 Motor'!C60,7)-MAX(('V06 Motor'!A60-1)*30/'V06 Motor'!C60,6))*'V06 Curva'!$B$11,MAX(0,MIN('V06 Motor'!A60*30/'V06 Motor'!C60,8)-MAX(('V06 Motor'!A60-1)*30/'V06 Motor'!C60,7))*'V06 Curva'!$B$12,MAX(0,MIN('V06 Motor'!A60*30/'V06 Motor'!C60,9)-MAX(('V06 Motor'!A60-1)*30/'V06 Motor'!C60,8))*'V06 Curva'!$B$13,MAX(0,MIN('V06 Motor'!A60*30/'V06 Motor'!C60,10)-MAX(('V06 Motor'!A60-1)*30/'V06 Motor'!C60,9))*'V06 Curva'!$B$14,MAX(0,MIN('V06 Motor'!A60*30/'V06 Motor'!C60,11)-MAX(('V06 Motor'!A60-1)*30/'V06 Motor'!C60,10))*'V06 Curva'!$B$15,MAX(0,MIN('V06 Motor'!A60*30/'V06 Motor'!C60,12)-MAX(('V06 Motor'!A60-1)*30/'V06 Motor'!C60,11))*'V06 Curva'!$B$16,MAX(0,MIN('V06 Motor'!A60*30/'V06 Motor'!C60,13)-MAX(('V06 Motor'!A60-1)*30/'V06 Motor'!C60,12))*'V06 Curva'!$B$17,MAX(0,MIN('V06 Motor'!A60*30/'V06 Motor'!C60,14)-MAX(('V06 Motor'!A60-1)*30/'V06 Motor'!C60,13))*'V06 Curva'!$B$18,MAX(0,MIN('V06 Motor'!A60*30/'V06 Motor'!C60,15)-MAX(('V06 Motor'!A60-1)*30/'V06 Motor'!C60,14))*'V06 Curva'!$B$19,MAX(0,MIN('V06 Motor'!A60*30/'V06 Motor'!C60,16)-MAX(('V06 Motor'!A60-1)*30/'V06 Motor'!C60,15))*'V06 Curva'!$B$20,MAX(0,MIN('V06 Motor'!A60*30/'V06 Motor'!C60,17)-MAX(('V06 Motor'!A60-1)*30/'V06 Motor'!C60,16))*'V06 Curva'!$B$21,MAX(0,MIN('V06 Motor'!A60*30/'V06 Motor'!C60,18)-MAX(('V06 Motor'!A60-1)*30/'V06 Motor'!C60,17))*'V06 Curva'!$B$22,MAX(0,MIN('V06 Motor'!A60*30/'V06 Motor'!C60,19)-MAX(('V06 Motor'!A60-1)*30/'V06 Motor'!C60,18))*'V06 Curva'!$B$23,MAX(0,MIN('V06 Motor'!A60*30/'V06 Motor'!C60,20)-MAX(('V06 Motor'!A60-1)*30/'V06 Motor'!C60,19))*'V06 Curva'!$B$24,MAX(0,MIN('V06 Motor'!A60*30/'V06 Motor'!C60,21)-MAX(('V06 Motor'!A60-1)*30/'V06 Motor'!C60,20))*'V06 Curva'!$B$25,MAX(0,MIN('V06 Motor'!A60*30/'V06 Motor'!C60,22)-MAX(('V06 Motor'!A60-1)*30/'V06 Motor'!C60,21))*'V06 Curva'!$B$26,MAX(0,MIN('V06 Motor'!A60*30/'V06 Motor'!C60,23)-MAX(('V06 Motor'!A60-1)*30/'V06 Motor'!C60,22))*'V06 Curva'!$B$27,MAX(0,MIN('V06 Motor'!A60*30/'V06 Motor'!C60,24)-MAX(('V06 Motor'!A60-1)*30/'V06 Motor'!C60,23))*'V06 Curva'!$B$28,MAX(0,MIN('V06 Motor'!A60*30/'V06 Motor'!C60,25)-MAX(('V06 Motor'!A60-1)*30/'V06 Motor'!C60,24))*'V06 Curva'!$B$29,MAX(0,MIN('V06 Motor'!A60*30/'V06 Motor'!C60,26)-MAX(('V06 Motor'!A60-1)*30/'V06 Motor'!C60,25))*'V06 Curva'!$B$30,MAX(0,MIN('V06 Motor'!A60*30/'V06 Motor'!C60,27)-MAX(('V06 Motor'!A60-1)*30/'V06 Motor'!C60,26))*'V06 Curva'!$B$31,MAX(0,MIN('V06 Motor'!A60*30/'V06 Motor'!C60,28)-MAX(('V06 Motor'!A60-1)*30/'V06 Motor'!C60,27))*'V06 Curva'!$B$32,MAX(0,MIN('V06 Motor'!A60*30/'V06 Motor'!C60,29)-MAX(('V06 Motor'!A60-1)*30/'V06 Motor'!C60,28))*'V06 Curva'!$B$33,MAX(0,MIN('V06 Motor'!A60*30/'V06 Motor'!C60,30)-MAX(('V06 Motor'!A60-1)*30/'V06 Motor'!C60,29))*'V06 Curva'!$B$34),0)</f>
        <v>0.0</v>
      </c>
      <c r="O60" s="2">
        <f>SUMPRODUCT(--(('V06 Unidades'!$I$5:$I$98+'V06 Controlos'!$B$37)='V06 Motor'!A60),ROUND('V06 Unidades'!$H$5:$H$98*0.05,2)+ROUND('V06 Unidades'!$H$5:$H$98*0.2,2))+SUMPRODUCT(--(IF('V06 Controlos'!$B$38&gt;0,IF(('V06 Unidades'!$L$5:$L$98+'V06 Controlos'!$B$37)&lt;'V06 Motor'!C60,'V06 Motor'!C60,('V06 Unidades'!$L$5:$L$98+'V06 Controlos'!$B$37)),('V06 Unidades'!$L$5:$L$98+'V06 Controlos'!$B$37))='V06 Motor'!A60),'V06 Unidades'!$H$5:$H$98-ROUND('V06 Unidades'!$H$5:$H$98*0.05,2)-ROUND('V06 Unidades'!$H$5:$H$98*0.2,2)-ROUND('V06 Unidades'!$H$5:$H$98*0.55,2))+SUMPRODUCT(--(IF(INT((IF('V06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Controlos'!$B$37)-1)/6),0)&gt;0),--('V06 Motor'!A60&gt;('V06 Unidades'!$I$5:$I$98+'V06 Controlos'!$B$37)),--('V06 Motor'!A60&lt;IF('V06 Controlos'!$B$38&gt;0,IF(('V06 Unidades'!$L$5:$L$98+'V06 Controlos'!$B$37)&lt;'V06 Motor'!C60,'V06 Motor'!C60,('V06 Unidades'!$L$5:$L$98+'V06 Controlos'!$B$37)),('V06 Unidades'!$L$5:$L$98+'V06 Controlos'!$B$37))),--(MOD('V06 Motor'!A60-('V06 Unidades'!$I$5:$I$98+'V06 Controlos'!$B$37),6)=0),--(('V06 Motor'!A60-('V06 Unidades'!$I$5:$I$98+'V06 Controlos'!$B$37))/6&lt;=IF(INT((IF('V06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Controlos'!$B$37)-1)/6),0)),IF('V06 Motor'!A60=('V06 Unidades'!$I$5:$I$98+'V06 Controlos'!$B$37)+6*IF(INT((IF('V06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Controlos'!$B$37)-1)/6),0)&gt;0,IF(INT((IF('V06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Controlos'!$B$37)-1)/6),0),1),2)*(IF(INT((IF('V06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Controlos'!$B$37)-1)/6),0)&gt;0,IF(INT((IF('V06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Controlos'!$B$37)-1)/6)&gt;0,INT((IF('V06 Controlos'!$B$38&gt;0,IF(('V06 Unidades'!$L$5:$L$98+'V06 Controlos'!$B$37)&lt;'V06 Motor'!C60,'V06 Motor'!C60,('V06 Unidades'!$L$5:$L$98+'V06 Controlos'!$B$37)),('V06 Unidades'!$L$5:$L$98+'V06 Controlos'!$B$37))-('V06 Unidades'!$I$5:$I$98+'V06 Controlos'!$B$37)-1)/6),0),1),2)))</f>
        <v>0.0</v>
      </c>
      <c r="P60" s="2">
        <f>SUM('V06 Calend 01'!BP5:BP98)</f>
        <v>0.0</v>
      </c>
    </row>
    <row r="61" spans="1:16">
      <c r="A61">
        <v>57</v>
      </c>
      <c r="C61">
        <v>30</v>
      </c>
      <c r="G61" s="2">
        <f>IF('V06 Motor'!A61&lt;='V06 Motor'!C61,SUMPRODUCT('V06 Curva'!$B$5:$B$34,IF((IF('V06 Motor'!A61*30/'V06 Motor'!C61&lt;'V06 Curva'!$A$5:$A$34,'V06 Motor'!A61*30/'V06 Motor'!C61,'V06 Curva'!$A$5:$A$34)-IF(('V06 Motor'!A61-1)*30/'V06 Motor'!C61&gt;'V06 Curva'!$A$5:$A$34-1,('V06 Motor'!A61-1)*30/'V06 Motor'!C61,'V06 Curva'!$A$5:$A$34-1))&gt;0,(IF('V06 Motor'!A61*30/'V06 Motor'!C61&lt;'V06 Curva'!$A$5:$A$34,'V06 Motor'!A61*30/'V06 Motor'!C61,'V06 Curva'!$A$5:$A$34)-IF(('V06 Motor'!A61-1)*30/'V06 Motor'!C61&gt;'V06 Curva'!$A$5:$A$34-1,('V06 Motor'!A61-1)*30/'V06 Motor'!C61,'V06 Curva'!$A$5:$A$34-1)),0)),0)</f>
        <v>0.0</v>
      </c>
      <c r="H61" s="2">
        <f>IF('V06 Motor'!A61&lt;='V06 Motor'!C61,SUM(MAX(0,MIN('V06 Motor'!A61*30/'V06 Motor'!C61,1)-MAX(('V06 Motor'!A61-1)*30/'V06 Motor'!C61,0))*'V06 Curva'!$B$5,MAX(0,MIN('V06 Motor'!A61*30/'V06 Motor'!C61,2)-MAX(('V06 Motor'!A61-1)*30/'V06 Motor'!C61,1))*'V06 Curva'!$B$6,MAX(0,MIN('V06 Motor'!A61*30/'V06 Motor'!C61,3)-MAX(('V06 Motor'!A61-1)*30/'V06 Motor'!C61,2))*'V06 Curva'!$B$7,MAX(0,MIN('V06 Motor'!A61*30/'V06 Motor'!C61,4)-MAX(('V06 Motor'!A61-1)*30/'V06 Motor'!C61,3))*'V06 Curva'!$B$8,MAX(0,MIN('V06 Motor'!A61*30/'V06 Motor'!C61,5)-MAX(('V06 Motor'!A61-1)*30/'V06 Motor'!C61,4))*'V06 Curva'!$B$9,MAX(0,MIN('V06 Motor'!A61*30/'V06 Motor'!C61,6)-MAX(('V06 Motor'!A61-1)*30/'V06 Motor'!C61,5))*'V06 Curva'!$B$10,MAX(0,MIN('V06 Motor'!A61*30/'V06 Motor'!C61,7)-MAX(('V06 Motor'!A61-1)*30/'V06 Motor'!C61,6))*'V06 Curva'!$B$11,MAX(0,MIN('V06 Motor'!A61*30/'V06 Motor'!C61,8)-MAX(('V06 Motor'!A61-1)*30/'V06 Motor'!C61,7))*'V06 Curva'!$B$12,MAX(0,MIN('V06 Motor'!A61*30/'V06 Motor'!C61,9)-MAX(('V06 Motor'!A61-1)*30/'V06 Motor'!C61,8))*'V06 Curva'!$B$13,MAX(0,MIN('V06 Motor'!A61*30/'V06 Motor'!C61,10)-MAX(('V06 Motor'!A61-1)*30/'V06 Motor'!C61,9))*'V06 Curva'!$B$14,MAX(0,MIN('V06 Motor'!A61*30/'V06 Motor'!C61,11)-MAX(('V06 Motor'!A61-1)*30/'V06 Motor'!C61,10))*'V06 Curva'!$B$15,MAX(0,MIN('V06 Motor'!A61*30/'V06 Motor'!C61,12)-MAX(('V06 Motor'!A61-1)*30/'V06 Motor'!C61,11))*'V06 Curva'!$B$16,MAX(0,MIN('V06 Motor'!A61*30/'V06 Motor'!C61,13)-MAX(('V06 Motor'!A61-1)*30/'V06 Motor'!C61,12))*'V06 Curva'!$B$17,MAX(0,MIN('V06 Motor'!A61*30/'V06 Motor'!C61,14)-MAX(('V06 Motor'!A61-1)*30/'V06 Motor'!C61,13))*'V06 Curva'!$B$18,MAX(0,MIN('V06 Motor'!A61*30/'V06 Motor'!C61,15)-MAX(('V06 Motor'!A61-1)*30/'V06 Motor'!C61,14))*'V06 Curva'!$B$19,MAX(0,MIN('V06 Motor'!A61*30/'V06 Motor'!C61,16)-MAX(('V06 Motor'!A61-1)*30/'V06 Motor'!C61,15))*'V06 Curva'!$B$20,MAX(0,MIN('V06 Motor'!A61*30/'V06 Motor'!C61,17)-MAX(('V06 Motor'!A61-1)*30/'V06 Motor'!C61,16))*'V06 Curva'!$B$21,MAX(0,MIN('V06 Motor'!A61*30/'V06 Motor'!C61,18)-MAX(('V06 Motor'!A61-1)*30/'V06 Motor'!C61,17))*'V06 Curva'!$B$22,MAX(0,MIN('V06 Motor'!A61*30/'V06 Motor'!C61,19)-MAX(('V06 Motor'!A61-1)*30/'V06 Motor'!C61,18))*'V06 Curva'!$B$23,MAX(0,MIN('V06 Motor'!A61*30/'V06 Motor'!C61,20)-MAX(('V06 Motor'!A61-1)*30/'V06 Motor'!C61,19))*'V06 Curva'!$B$24,MAX(0,MIN('V06 Motor'!A61*30/'V06 Motor'!C61,21)-MAX(('V06 Motor'!A61-1)*30/'V06 Motor'!C61,20))*'V06 Curva'!$B$25,MAX(0,MIN('V06 Motor'!A61*30/'V06 Motor'!C61,22)-MAX(('V06 Motor'!A61-1)*30/'V06 Motor'!C61,21))*'V06 Curva'!$B$26,MAX(0,MIN('V06 Motor'!A61*30/'V06 Motor'!C61,23)-MAX(('V06 Motor'!A61-1)*30/'V06 Motor'!C61,22))*'V06 Curva'!$B$27,MAX(0,MIN('V06 Motor'!A61*30/'V06 Motor'!C61,24)-MAX(('V06 Motor'!A61-1)*30/'V06 Motor'!C61,23))*'V06 Curva'!$B$28,MAX(0,MIN('V06 Motor'!A61*30/'V06 Motor'!C61,25)-MAX(('V06 Motor'!A61-1)*30/'V06 Motor'!C61,24))*'V06 Curva'!$B$29,MAX(0,MIN('V06 Motor'!A61*30/'V06 Motor'!C61,26)-MAX(('V06 Motor'!A61-1)*30/'V06 Motor'!C61,25))*'V06 Curva'!$B$30,MAX(0,MIN('V06 Motor'!A61*30/'V06 Motor'!C61,27)-MAX(('V06 Motor'!A61-1)*30/'V06 Motor'!C61,26))*'V06 Curva'!$B$31,MAX(0,MIN('V06 Motor'!A61*30/'V06 Motor'!C61,28)-MAX(('V06 Motor'!A61-1)*30/'V06 Motor'!C61,27))*'V06 Curva'!$B$32,MAX(0,MIN('V06 Motor'!A61*30/'V06 Motor'!C61,29)-MAX(('V06 Motor'!A61-1)*30/'V06 Motor'!C61,28))*'V06 Curva'!$B$33,MAX(0,MIN('V06 Motor'!A61*30/'V06 Motor'!C61,30)-MAX(('V06 Motor'!A61-1)*30/'V06 Motor'!C61,29))*'V06 Curva'!$B$34),0)</f>
        <v>0.0</v>
      </c>
      <c r="O61" s="2">
        <f>SUMPRODUCT(--(('V06 Unidades'!$I$5:$I$98+'V06 Controlos'!$B$37)='V06 Motor'!A61),ROUND('V06 Unidades'!$H$5:$H$98*0.05,2)+ROUND('V06 Unidades'!$H$5:$H$98*0.2,2))+SUMPRODUCT(--(IF('V06 Controlos'!$B$38&gt;0,IF(('V06 Unidades'!$L$5:$L$98+'V06 Controlos'!$B$37)&lt;'V06 Motor'!C61,'V06 Motor'!C61,('V06 Unidades'!$L$5:$L$98+'V06 Controlos'!$B$37)),('V06 Unidades'!$L$5:$L$98+'V06 Controlos'!$B$37))='V06 Motor'!A61),'V06 Unidades'!$H$5:$H$98-ROUND('V06 Unidades'!$H$5:$H$98*0.05,2)-ROUND('V06 Unidades'!$H$5:$H$98*0.2,2)-ROUND('V06 Unidades'!$H$5:$H$98*0.55,2))+SUMPRODUCT(--(IF(INT((IF('V06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Controlos'!$B$37)-1)/6),0)&gt;0),--('V06 Motor'!A61&gt;('V06 Unidades'!$I$5:$I$98+'V06 Controlos'!$B$37)),--('V06 Motor'!A61&lt;IF('V06 Controlos'!$B$38&gt;0,IF(('V06 Unidades'!$L$5:$L$98+'V06 Controlos'!$B$37)&lt;'V06 Motor'!C61,'V06 Motor'!C61,('V06 Unidades'!$L$5:$L$98+'V06 Controlos'!$B$37)),('V06 Unidades'!$L$5:$L$98+'V06 Controlos'!$B$37))),--(MOD('V06 Motor'!A61-('V06 Unidades'!$I$5:$I$98+'V06 Controlos'!$B$37),6)=0),--(('V06 Motor'!A61-('V06 Unidades'!$I$5:$I$98+'V06 Controlos'!$B$37))/6&lt;=IF(INT((IF('V06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Controlos'!$B$37)-1)/6),0)),IF('V06 Motor'!A61=('V06 Unidades'!$I$5:$I$98+'V06 Controlos'!$B$37)+6*IF(INT((IF('V06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Controlos'!$B$37)-1)/6),0)&gt;0,IF(INT((IF('V06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Controlos'!$B$37)-1)/6),0),1),2)*(IF(INT((IF('V06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Controlos'!$B$37)-1)/6),0)&gt;0,IF(INT((IF('V06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Controlos'!$B$37)-1)/6)&gt;0,INT((IF('V06 Controlos'!$B$38&gt;0,IF(('V06 Unidades'!$L$5:$L$98+'V06 Controlos'!$B$37)&lt;'V06 Motor'!C61,'V06 Motor'!C61,('V06 Unidades'!$L$5:$L$98+'V06 Controlos'!$B$37)),('V06 Unidades'!$L$5:$L$98+'V06 Controlos'!$B$37))-('V06 Unidades'!$I$5:$I$98+'V06 Controlos'!$B$37)-1)/6),0),1),2)))</f>
        <v>0.0</v>
      </c>
      <c r="P61" s="2">
        <f>SUM('V06 Calend 01'!BQ5:BQ98)</f>
        <v>0.0</v>
      </c>
    </row>
    <row r="62" spans="1:16">
      <c r="A62">
        <v>58</v>
      </c>
      <c r="C62">
        <v>30</v>
      </c>
      <c r="G62" s="2">
        <f>IF('V06 Motor'!A62&lt;='V06 Motor'!C62,SUMPRODUCT('V06 Curva'!$B$5:$B$34,IF((IF('V06 Motor'!A62*30/'V06 Motor'!C62&lt;'V06 Curva'!$A$5:$A$34,'V06 Motor'!A62*30/'V06 Motor'!C62,'V06 Curva'!$A$5:$A$34)-IF(('V06 Motor'!A62-1)*30/'V06 Motor'!C62&gt;'V06 Curva'!$A$5:$A$34-1,('V06 Motor'!A62-1)*30/'V06 Motor'!C62,'V06 Curva'!$A$5:$A$34-1))&gt;0,(IF('V06 Motor'!A62*30/'V06 Motor'!C62&lt;'V06 Curva'!$A$5:$A$34,'V06 Motor'!A62*30/'V06 Motor'!C62,'V06 Curva'!$A$5:$A$34)-IF(('V06 Motor'!A62-1)*30/'V06 Motor'!C62&gt;'V06 Curva'!$A$5:$A$34-1,('V06 Motor'!A62-1)*30/'V06 Motor'!C62,'V06 Curva'!$A$5:$A$34-1)),0)),0)</f>
        <v>0.0</v>
      </c>
      <c r="H62" s="2">
        <f>IF('V06 Motor'!A62&lt;='V06 Motor'!C62,SUM(MAX(0,MIN('V06 Motor'!A62*30/'V06 Motor'!C62,1)-MAX(('V06 Motor'!A62-1)*30/'V06 Motor'!C62,0))*'V06 Curva'!$B$5,MAX(0,MIN('V06 Motor'!A62*30/'V06 Motor'!C62,2)-MAX(('V06 Motor'!A62-1)*30/'V06 Motor'!C62,1))*'V06 Curva'!$B$6,MAX(0,MIN('V06 Motor'!A62*30/'V06 Motor'!C62,3)-MAX(('V06 Motor'!A62-1)*30/'V06 Motor'!C62,2))*'V06 Curva'!$B$7,MAX(0,MIN('V06 Motor'!A62*30/'V06 Motor'!C62,4)-MAX(('V06 Motor'!A62-1)*30/'V06 Motor'!C62,3))*'V06 Curva'!$B$8,MAX(0,MIN('V06 Motor'!A62*30/'V06 Motor'!C62,5)-MAX(('V06 Motor'!A62-1)*30/'V06 Motor'!C62,4))*'V06 Curva'!$B$9,MAX(0,MIN('V06 Motor'!A62*30/'V06 Motor'!C62,6)-MAX(('V06 Motor'!A62-1)*30/'V06 Motor'!C62,5))*'V06 Curva'!$B$10,MAX(0,MIN('V06 Motor'!A62*30/'V06 Motor'!C62,7)-MAX(('V06 Motor'!A62-1)*30/'V06 Motor'!C62,6))*'V06 Curva'!$B$11,MAX(0,MIN('V06 Motor'!A62*30/'V06 Motor'!C62,8)-MAX(('V06 Motor'!A62-1)*30/'V06 Motor'!C62,7))*'V06 Curva'!$B$12,MAX(0,MIN('V06 Motor'!A62*30/'V06 Motor'!C62,9)-MAX(('V06 Motor'!A62-1)*30/'V06 Motor'!C62,8))*'V06 Curva'!$B$13,MAX(0,MIN('V06 Motor'!A62*30/'V06 Motor'!C62,10)-MAX(('V06 Motor'!A62-1)*30/'V06 Motor'!C62,9))*'V06 Curva'!$B$14,MAX(0,MIN('V06 Motor'!A62*30/'V06 Motor'!C62,11)-MAX(('V06 Motor'!A62-1)*30/'V06 Motor'!C62,10))*'V06 Curva'!$B$15,MAX(0,MIN('V06 Motor'!A62*30/'V06 Motor'!C62,12)-MAX(('V06 Motor'!A62-1)*30/'V06 Motor'!C62,11))*'V06 Curva'!$B$16,MAX(0,MIN('V06 Motor'!A62*30/'V06 Motor'!C62,13)-MAX(('V06 Motor'!A62-1)*30/'V06 Motor'!C62,12))*'V06 Curva'!$B$17,MAX(0,MIN('V06 Motor'!A62*30/'V06 Motor'!C62,14)-MAX(('V06 Motor'!A62-1)*30/'V06 Motor'!C62,13))*'V06 Curva'!$B$18,MAX(0,MIN('V06 Motor'!A62*30/'V06 Motor'!C62,15)-MAX(('V06 Motor'!A62-1)*30/'V06 Motor'!C62,14))*'V06 Curva'!$B$19,MAX(0,MIN('V06 Motor'!A62*30/'V06 Motor'!C62,16)-MAX(('V06 Motor'!A62-1)*30/'V06 Motor'!C62,15))*'V06 Curva'!$B$20,MAX(0,MIN('V06 Motor'!A62*30/'V06 Motor'!C62,17)-MAX(('V06 Motor'!A62-1)*30/'V06 Motor'!C62,16))*'V06 Curva'!$B$21,MAX(0,MIN('V06 Motor'!A62*30/'V06 Motor'!C62,18)-MAX(('V06 Motor'!A62-1)*30/'V06 Motor'!C62,17))*'V06 Curva'!$B$22,MAX(0,MIN('V06 Motor'!A62*30/'V06 Motor'!C62,19)-MAX(('V06 Motor'!A62-1)*30/'V06 Motor'!C62,18))*'V06 Curva'!$B$23,MAX(0,MIN('V06 Motor'!A62*30/'V06 Motor'!C62,20)-MAX(('V06 Motor'!A62-1)*30/'V06 Motor'!C62,19))*'V06 Curva'!$B$24,MAX(0,MIN('V06 Motor'!A62*30/'V06 Motor'!C62,21)-MAX(('V06 Motor'!A62-1)*30/'V06 Motor'!C62,20))*'V06 Curva'!$B$25,MAX(0,MIN('V06 Motor'!A62*30/'V06 Motor'!C62,22)-MAX(('V06 Motor'!A62-1)*30/'V06 Motor'!C62,21))*'V06 Curva'!$B$26,MAX(0,MIN('V06 Motor'!A62*30/'V06 Motor'!C62,23)-MAX(('V06 Motor'!A62-1)*30/'V06 Motor'!C62,22))*'V06 Curva'!$B$27,MAX(0,MIN('V06 Motor'!A62*30/'V06 Motor'!C62,24)-MAX(('V06 Motor'!A62-1)*30/'V06 Motor'!C62,23))*'V06 Curva'!$B$28,MAX(0,MIN('V06 Motor'!A62*30/'V06 Motor'!C62,25)-MAX(('V06 Motor'!A62-1)*30/'V06 Motor'!C62,24))*'V06 Curva'!$B$29,MAX(0,MIN('V06 Motor'!A62*30/'V06 Motor'!C62,26)-MAX(('V06 Motor'!A62-1)*30/'V06 Motor'!C62,25))*'V06 Curva'!$B$30,MAX(0,MIN('V06 Motor'!A62*30/'V06 Motor'!C62,27)-MAX(('V06 Motor'!A62-1)*30/'V06 Motor'!C62,26))*'V06 Curva'!$B$31,MAX(0,MIN('V06 Motor'!A62*30/'V06 Motor'!C62,28)-MAX(('V06 Motor'!A62-1)*30/'V06 Motor'!C62,27))*'V06 Curva'!$B$32,MAX(0,MIN('V06 Motor'!A62*30/'V06 Motor'!C62,29)-MAX(('V06 Motor'!A62-1)*30/'V06 Motor'!C62,28))*'V06 Curva'!$B$33,MAX(0,MIN('V06 Motor'!A62*30/'V06 Motor'!C62,30)-MAX(('V06 Motor'!A62-1)*30/'V06 Motor'!C62,29))*'V06 Curva'!$B$34),0)</f>
        <v>0.0</v>
      </c>
      <c r="O62" s="2">
        <f>SUMPRODUCT(--(('V06 Unidades'!$I$5:$I$98+'V06 Controlos'!$B$37)='V06 Motor'!A62),ROUND('V06 Unidades'!$H$5:$H$98*0.05,2)+ROUND('V06 Unidades'!$H$5:$H$98*0.2,2))+SUMPRODUCT(--(IF('V06 Controlos'!$B$38&gt;0,IF(('V06 Unidades'!$L$5:$L$98+'V06 Controlos'!$B$37)&lt;'V06 Motor'!C62,'V06 Motor'!C62,('V06 Unidades'!$L$5:$L$98+'V06 Controlos'!$B$37)),('V06 Unidades'!$L$5:$L$98+'V06 Controlos'!$B$37))='V06 Motor'!A62),'V06 Unidades'!$H$5:$H$98-ROUND('V06 Unidades'!$H$5:$H$98*0.05,2)-ROUND('V06 Unidades'!$H$5:$H$98*0.2,2)-ROUND('V06 Unidades'!$H$5:$H$98*0.55,2))+SUMPRODUCT(--(IF(INT((IF('V06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Controlos'!$B$37)-1)/6),0)&gt;0),--('V06 Motor'!A62&gt;('V06 Unidades'!$I$5:$I$98+'V06 Controlos'!$B$37)),--('V06 Motor'!A62&lt;IF('V06 Controlos'!$B$38&gt;0,IF(('V06 Unidades'!$L$5:$L$98+'V06 Controlos'!$B$37)&lt;'V06 Motor'!C62,'V06 Motor'!C62,('V06 Unidades'!$L$5:$L$98+'V06 Controlos'!$B$37)),('V06 Unidades'!$L$5:$L$98+'V06 Controlos'!$B$37))),--(MOD('V06 Motor'!A62-('V06 Unidades'!$I$5:$I$98+'V06 Controlos'!$B$37),6)=0),--(('V06 Motor'!A62-('V06 Unidades'!$I$5:$I$98+'V06 Controlos'!$B$37))/6&lt;=IF(INT((IF('V06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Controlos'!$B$37)-1)/6),0)),IF('V06 Motor'!A62=('V06 Unidades'!$I$5:$I$98+'V06 Controlos'!$B$37)+6*IF(INT((IF('V06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Controlos'!$B$37)-1)/6),0)&gt;0,IF(INT((IF('V06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Controlos'!$B$37)-1)/6),0),1),2)*(IF(INT((IF('V06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Controlos'!$B$37)-1)/6),0)&gt;0,IF(INT((IF('V06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Controlos'!$B$37)-1)/6)&gt;0,INT((IF('V06 Controlos'!$B$38&gt;0,IF(('V06 Unidades'!$L$5:$L$98+'V06 Controlos'!$B$37)&lt;'V06 Motor'!C62,'V06 Motor'!C62,('V06 Unidades'!$L$5:$L$98+'V06 Controlos'!$B$37)),('V06 Unidades'!$L$5:$L$98+'V06 Controlos'!$B$37))-('V06 Unidades'!$I$5:$I$98+'V06 Controlos'!$B$37)-1)/6),0),1),2)))</f>
        <v>0.0</v>
      </c>
      <c r="P62" s="2">
        <f>SUM('V06 Calend 01'!BR5:BR98)</f>
        <v>0.0</v>
      </c>
    </row>
    <row r="63" spans="1:16">
      <c r="A63">
        <v>59</v>
      </c>
      <c r="C63">
        <v>30</v>
      </c>
      <c r="G63" s="2">
        <f>IF('V06 Motor'!A63&lt;='V06 Motor'!C63,SUMPRODUCT('V06 Curva'!$B$5:$B$34,IF((IF('V06 Motor'!A63*30/'V06 Motor'!C63&lt;'V06 Curva'!$A$5:$A$34,'V06 Motor'!A63*30/'V06 Motor'!C63,'V06 Curva'!$A$5:$A$34)-IF(('V06 Motor'!A63-1)*30/'V06 Motor'!C63&gt;'V06 Curva'!$A$5:$A$34-1,('V06 Motor'!A63-1)*30/'V06 Motor'!C63,'V06 Curva'!$A$5:$A$34-1))&gt;0,(IF('V06 Motor'!A63*30/'V06 Motor'!C63&lt;'V06 Curva'!$A$5:$A$34,'V06 Motor'!A63*30/'V06 Motor'!C63,'V06 Curva'!$A$5:$A$34)-IF(('V06 Motor'!A63-1)*30/'V06 Motor'!C63&gt;'V06 Curva'!$A$5:$A$34-1,('V06 Motor'!A63-1)*30/'V06 Motor'!C63,'V06 Curva'!$A$5:$A$34-1)),0)),0)</f>
        <v>0.0</v>
      </c>
      <c r="H63" s="2">
        <f>IF('V06 Motor'!A63&lt;='V06 Motor'!C63,SUM(MAX(0,MIN('V06 Motor'!A63*30/'V06 Motor'!C63,1)-MAX(('V06 Motor'!A63-1)*30/'V06 Motor'!C63,0))*'V06 Curva'!$B$5,MAX(0,MIN('V06 Motor'!A63*30/'V06 Motor'!C63,2)-MAX(('V06 Motor'!A63-1)*30/'V06 Motor'!C63,1))*'V06 Curva'!$B$6,MAX(0,MIN('V06 Motor'!A63*30/'V06 Motor'!C63,3)-MAX(('V06 Motor'!A63-1)*30/'V06 Motor'!C63,2))*'V06 Curva'!$B$7,MAX(0,MIN('V06 Motor'!A63*30/'V06 Motor'!C63,4)-MAX(('V06 Motor'!A63-1)*30/'V06 Motor'!C63,3))*'V06 Curva'!$B$8,MAX(0,MIN('V06 Motor'!A63*30/'V06 Motor'!C63,5)-MAX(('V06 Motor'!A63-1)*30/'V06 Motor'!C63,4))*'V06 Curva'!$B$9,MAX(0,MIN('V06 Motor'!A63*30/'V06 Motor'!C63,6)-MAX(('V06 Motor'!A63-1)*30/'V06 Motor'!C63,5))*'V06 Curva'!$B$10,MAX(0,MIN('V06 Motor'!A63*30/'V06 Motor'!C63,7)-MAX(('V06 Motor'!A63-1)*30/'V06 Motor'!C63,6))*'V06 Curva'!$B$11,MAX(0,MIN('V06 Motor'!A63*30/'V06 Motor'!C63,8)-MAX(('V06 Motor'!A63-1)*30/'V06 Motor'!C63,7))*'V06 Curva'!$B$12,MAX(0,MIN('V06 Motor'!A63*30/'V06 Motor'!C63,9)-MAX(('V06 Motor'!A63-1)*30/'V06 Motor'!C63,8))*'V06 Curva'!$B$13,MAX(0,MIN('V06 Motor'!A63*30/'V06 Motor'!C63,10)-MAX(('V06 Motor'!A63-1)*30/'V06 Motor'!C63,9))*'V06 Curva'!$B$14,MAX(0,MIN('V06 Motor'!A63*30/'V06 Motor'!C63,11)-MAX(('V06 Motor'!A63-1)*30/'V06 Motor'!C63,10))*'V06 Curva'!$B$15,MAX(0,MIN('V06 Motor'!A63*30/'V06 Motor'!C63,12)-MAX(('V06 Motor'!A63-1)*30/'V06 Motor'!C63,11))*'V06 Curva'!$B$16,MAX(0,MIN('V06 Motor'!A63*30/'V06 Motor'!C63,13)-MAX(('V06 Motor'!A63-1)*30/'V06 Motor'!C63,12))*'V06 Curva'!$B$17,MAX(0,MIN('V06 Motor'!A63*30/'V06 Motor'!C63,14)-MAX(('V06 Motor'!A63-1)*30/'V06 Motor'!C63,13))*'V06 Curva'!$B$18,MAX(0,MIN('V06 Motor'!A63*30/'V06 Motor'!C63,15)-MAX(('V06 Motor'!A63-1)*30/'V06 Motor'!C63,14))*'V06 Curva'!$B$19,MAX(0,MIN('V06 Motor'!A63*30/'V06 Motor'!C63,16)-MAX(('V06 Motor'!A63-1)*30/'V06 Motor'!C63,15))*'V06 Curva'!$B$20,MAX(0,MIN('V06 Motor'!A63*30/'V06 Motor'!C63,17)-MAX(('V06 Motor'!A63-1)*30/'V06 Motor'!C63,16))*'V06 Curva'!$B$21,MAX(0,MIN('V06 Motor'!A63*30/'V06 Motor'!C63,18)-MAX(('V06 Motor'!A63-1)*30/'V06 Motor'!C63,17))*'V06 Curva'!$B$22,MAX(0,MIN('V06 Motor'!A63*30/'V06 Motor'!C63,19)-MAX(('V06 Motor'!A63-1)*30/'V06 Motor'!C63,18))*'V06 Curva'!$B$23,MAX(0,MIN('V06 Motor'!A63*30/'V06 Motor'!C63,20)-MAX(('V06 Motor'!A63-1)*30/'V06 Motor'!C63,19))*'V06 Curva'!$B$24,MAX(0,MIN('V06 Motor'!A63*30/'V06 Motor'!C63,21)-MAX(('V06 Motor'!A63-1)*30/'V06 Motor'!C63,20))*'V06 Curva'!$B$25,MAX(0,MIN('V06 Motor'!A63*30/'V06 Motor'!C63,22)-MAX(('V06 Motor'!A63-1)*30/'V06 Motor'!C63,21))*'V06 Curva'!$B$26,MAX(0,MIN('V06 Motor'!A63*30/'V06 Motor'!C63,23)-MAX(('V06 Motor'!A63-1)*30/'V06 Motor'!C63,22))*'V06 Curva'!$B$27,MAX(0,MIN('V06 Motor'!A63*30/'V06 Motor'!C63,24)-MAX(('V06 Motor'!A63-1)*30/'V06 Motor'!C63,23))*'V06 Curva'!$B$28,MAX(0,MIN('V06 Motor'!A63*30/'V06 Motor'!C63,25)-MAX(('V06 Motor'!A63-1)*30/'V06 Motor'!C63,24))*'V06 Curva'!$B$29,MAX(0,MIN('V06 Motor'!A63*30/'V06 Motor'!C63,26)-MAX(('V06 Motor'!A63-1)*30/'V06 Motor'!C63,25))*'V06 Curva'!$B$30,MAX(0,MIN('V06 Motor'!A63*30/'V06 Motor'!C63,27)-MAX(('V06 Motor'!A63-1)*30/'V06 Motor'!C63,26))*'V06 Curva'!$B$31,MAX(0,MIN('V06 Motor'!A63*30/'V06 Motor'!C63,28)-MAX(('V06 Motor'!A63-1)*30/'V06 Motor'!C63,27))*'V06 Curva'!$B$32,MAX(0,MIN('V06 Motor'!A63*30/'V06 Motor'!C63,29)-MAX(('V06 Motor'!A63-1)*30/'V06 Motor'!C63,28))*'V06 Curva'!$B$33,MAX(0,MIN('V06 Motor'!A63*30/'V06 Motor'!C63,30)-MAX(('V06 Motor'!A63-1)*30/'V06 Motor'!C63,29))*'V06 Curva'!$B$34),0)</f>
        <v>0.0</v>
      </c>
      <c r="O63" s="2">
        <f>SUMPRODUCT(--(('V06 Unidades'!$I$5:$I$98+'V06 Controlos'!$B$37)='V06 Motor'!A63),ROUND('V06 Unidades'!$H$5:$H$98*0.05,2)+ROUND('V06 Unidades'!$H$5:$H$98*0.2,2))+SUMPRODUCT(--(IF('V06 Controlos'!$B$38&gt;0,IF(('V06 Unidades'!$L$5:$L$98+'V06 Controlos'!$B$37)&lt;'V06 Motor'!C63,'V06 Motor'!C63,('V06 Unidades'!$L$5:$L$98+'V06 Controlos'!$B$37)),('V06 Unidades'!$L$5:$L$98+'V06 Controlos'!$B$37))='V06 Motor'!A63),'V06 Unidades'!$H$5:$H$98-ROUND('V06 Unidades'!$H$5:$H$98*0.05,2)-ROUND('V06 Unidades'!$H$5:$H$98*0.2,2)-ROUND('V06 Unidades'!$H$5:$H$98*0.55,2))+SUMPRODUCT(--(IF(INT((IF('V06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Controlos'!$B$37)-1)/6),0)&gt;0),--('V06 Motor'!A63&gt;('V06 Unidades'!$I$5:$I$98+'V06 Controlos'!$B$37)),--('V06 Motor'!A63&lt;IF('V06 Controlos'!$B$38&gt;0,IF(('V06 Unidades'!$L$5:$L$98+'V06 Controlos'!$B$37)&lt;'V06 Motor'!C63,'V06 Motor'!C63,('V06 Unidades'!$L$5:$L$98+'V06 Controlos'!$B$37)),('V06 Unidades'!$L$5:$L$98+'V06 Controlos'!$B$37))),--(MOD('V06 Motor'!A63-('V06 Unidades'!$I$5:$I$98+'V06 Controlos'!$B$37),6)=0),--(('V06 Motor'!A63-('V06 Unidades'!$I$5:$I$98+'V06 Controlos'!$B$37))/6&lt;=IF(INT((IF('V06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Controlos'!$B$37)-1)/6),0)),IF('V06 Motor'!A63=('V06 Unidades'!$I$5:$I$98+'V06 Controlos'!$B$37)+6*IF(INT((IF('V06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Controlos'!$B$37)-1)/6),0)&gt;0,IF(INT((IF('V06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Controlos'!$B$37)-1)/6),0),1),2)*(IF(INT((IF('V06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Controlos'!$B$37)-1)/6),0)&gt;0,IF(INT((IF('V06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Controlos'!$B$37)-1)/6)&gt;0,INT((IF('V06 Controlos'!$B$38&gt;0,IF(('V06 Unidades'!$L$5:$L$98+'V06 Controlos'!$B$37)&lt;'V06 Motor'!C63,'V06 Motor'!C63,('V06 Unidades'!$L$5:$L$98+'V06 Controlos'!$B$37)),('V06 Unidades'!$L$5:$L$98+'V06 Controlos'!$B$37))-('V06 Unidades'!$I$5:$I$98+'V06 Controlos'!$B$37)-1)/6),0),1),2)))</f>
        <v>0.0</v>
      </c>
      <c r="P63" s="2">
        <f>SUM('V06 Calend 01'!BS5:BS98)</f>
        <v>0.0</v>
      </c>
    </row>
    <row r="64" spans="1:16">
      <c r="A64">
        <v>60</v>
      </c>
      <c r="C64">
        <v>30</v>
      </c>
      <c r="G64" s="2">
        <f>IF('V06 Motor'!A64&lt;='V06 Motor'!C64,SUMPRODUCT('V06 Curva'!$B$5:$B$34,IF((IF('V06 Motor'!A64*30/'V06 Motor'!C64&lt;'V06 Curva'!$A$5:$A$34,'V06 Motor'!A64*30/'V06 Motor'!C64,'V06 Curva'!$A$5:$A$34)-IF(('V06 Motor'!A64-1)*30/'V06 Motor'!C64&gt;'V06 Curva'!$A$5:$A$34-1,('V06 Motor'!A64-1)*30/'V06 Motor'!C64,'V06 Curva'!$A$5:$A$34-1))&gt;0,(IF('V06 Motor'!A64*30/'V06 Motor'!C64&lt;'V06 Curva'!$A$5:$A$34,'V06 Motor'!A64*30/'V06 Motor'!C64,'V06 Curva'!$A$5:$A$34)-IF(('V06 Motor'!A64-1)*30/'V06 Motor'!C64&gt;'V06 Curva'!$A$5:$A$34-1,('V06 Motor'!A64-1)*30/'V06 Motor'!C64,'V06 Curva'!$A$5:$A$34-1)),0)),0)</f>
        <v>0.0</v>
      </c>
      <c r="H64" s="2">
        <f>IF('V06 Motor'!A64&lt;='V06 Motor'!C64,SUM(MAX(0,MIN('V06 Motor'!A64*30/'V06 Motor'!C64,1)-MAX(('V06 Motor'!A64-1)*30/'V06 Motor'!C64,0))*'V06 Curva'!$B$5,MAX(0,MIN('V06 Motor'!A64*30/'V06 Motor'!C64,2)-MAX(('V06 Motor'!A64-1)*30/'V06 Motor'!C64,1))*'V06 Curva'!$B$6,MAX(0,MIN('V06 Motor'!A64*30/'V06 Motor'!C64,3)-MAX(('V06 Motor'!A64-1)*30/'V06 Motor'!C64,2))*'V06 Curva'!$B$7,MAX(0,MIN('V06 Motor'!A64*30/'V06 Motor'!C64,4)-MAX(('V06 Motor'!A64-1)*30/'V06 Motor'!C64,3))*'V06 Curva'!$B$8,MAX(0,MIN('V06 Motor'!A64*30/'V06 Motor'!C64,5)-MAX(('V06 Motor'!A64-1)*30/'V06 Motor'!C64,4))*'V06 Curva'!$B$9,MAX(0,MIN('V06 Motor'!A64*30/'V06 Motor'!C64,6)-MAX(('V06 Motor'!A64-1)*30/'V06 Motor'!C64,5))*'V06 Curva'!$B$10,MAX(0,MIN('V06 Motor'!A64*30/'V06 Motor'!C64,7)-MAX(('V06 Motor'!A64-1)*30/'V06 Motor'!C64,6))*'V06 Curva'!$B$11,MAX(0,MIN('V06 Motor'!A64*30/'V06 Motor'!C64,8)-MAX(('V06 Motor'!A64-1)*30/'V06 Motor'!C64,7))*'V06 Curva'!$B$12,MAX(0,MIN('V06 Motor'!A64*30/'V06 Motor'!C64,9)-MAX(('V06 Motor'!A64-1)*30/'V06 Motor'!C64,8))*'V06 Curva'!$B$13,MAX(0,MIN('V06 Motor'!A64*30/'V06 Motor'!C64,10)-MAX(('V06 Motor'!A64-1)*30/'V06 Motor'!C64,9))*'V06 Curva'!$B$14,MAX(0,MIN('V06 Motor'!A64*30/'V06 Motor'!C64,11)-MAX(('V06 Motor'!A64-1)*30/'V06 Motor'!C64,10))*'V06 Curva'!$B$15,MAX(0,MIN('V06 Motor'!A64*30/'V06 Motor'!C64,12)-MAX(('V06 Motor'!A64-1)*30/'V06 Motor'!C64,11))*'V06 Curva'!$B$16,MAX(0,MIN('V06 Motor'!A64*30/'V06 Motor'!C64,13)-MAX(('V06 Motor'!A64-1)*30/'V06 Motor'!C64,12))*'V06 Curva'!$B$17,MAX(0,MIN('V06 Motor'!A64*30/'V06 Motor'!C64,14)-MAX(('V06 Motor'!A64-1)*30/'V06 Motor'!C64,13))*'V06 Curva'!$B$18,MAX(0,MIN('V06 Motor'!A64*30/'V06 Motor'!C64,15)-MAX(('V06 Motor'!A64-1)*30/'V06 Motor'!C64,14))*'V06 Curva'!$B$19,MAX(0,MIN('V06 Motor'!A64*30/'V06 Motor'!C64,16)-MAX(('V06 Motor'!A64-1)*30/'V06 Motor'!C64,15))*'V06 Curva'!$B$20,MAX(0,MIN('V06 Motor'!A64*30/'V06 Motor'!C64,17)-MAX(('V06 Motor'!A64-1)*30/'V06 Motor'!C64,16))*'V06 Curva'!$B$21,MAX(0,MIN('V06 Motor'!A64*30/'V06 Motor'!C64,18)-MAX(('V06 Motor'!A64-1)*30/'V06 Motor'!C64,17))*'V06 Curva'!$B$22,MAX(0,MIN('V06 Motor'!A64*30/'V06 Motor'!C64,19)-MAX(('V06 Motor'!A64-1)*30/'V06 Motor'!C64,18))*'V06 Curva'!$B$23,MAX(0,MIN('V06 Motor'!A64*30/'V06 Motor'!C64,20)-MAX(('V06 Motor'!A64-1)*30/'V06 Motor'!C64,19))*'V06 Curva'!$B$24,MAX(0,MIN('V06 Motor'!A64*30/'V06 Motor'!C64,21)-MAX(('V06 Motor'!A64-1)*30/'V06 Motor'!C64,20))*'V06 Curva'!$B$25,MAX(0,MIN('V06 Motor'!A64*30/'V06 Motor'!C64,22)-MAX(('V06 Motor'!A64-1)*30/'V06 Motor'!C64,21))*'V06 Curva'!$B$26,MAX(0,MIN('V06 Motor'!A64*30/'V06 Motor'!C64,23)-MAX(('V06 Motor'!A64-1)*30/'V06 Motor'!C64,22))*'V06 Curva'!$B$27,MAX(0,MIN('V06 Motor'!A64*30/'V06 Motor'!C64,24)-MAX(('V06 Motor'!A64-1)*30/'V06 Motor'!C64,23))*'V06 Curva'!$B$28,MAX(0,MIN('V06 Motor'!A64*30/'V06 Motor'!C64,25)-MAX(('V06 Motor'!A64-1)*30/'V06 Motor'!C64,24))*'V06 Curva'!$B$29,MAX(0,MIN('V06 Motor'!A64*30/'V06 Motor'!C64,26)-MAX(('V06 Motor'!A64-1)*30/'V06 Motor'!C64,25))*'V06 Curva'!$B$30,MAX(0,MIN('V06 Motor'!A64*30/'V06 Motor'!C64,27)-MAX(('V06 Motor'!A64-1)*30/'V06 Motor'!C64,26))*'V06 Curva'!$B$31,MAX(0,MIN('V06 Motor'!A64*30/'V06 Motor'!C64,28)-MAX(('V06 Motor'!A64-1)*30/'V06 Motor'!C64,27))*'V06 Curva'!$B$32,MAX(0,MIN('V06 Motor'!A64*30/'V06 Motor'!C64,29)-MAX(('V06 Motor'!A64-1)*30/'V06 Motor'!C64,28))*'V06 Curva'!$B$33,MAX(0,MIN('V06 Motor'!A64*30/'V06 Motor'!C64,30)-MAX(('V06 Motor'!A64-1)*30/'V06 Motor'!C64,29))*'V06 Curva'!$B$34),0)</f>
        <v>0.0</v>
      </c>
      <c r="O64" s="2">
        <f>SUMPRODUCT(--(('V06 Unidades'!$I$5:$I$98+'V06 Controlos'!$B$37)='V06 Motor'!A64),ROUND('V06 Unidades'!$H$5:$H$98*0.05,2)+ROUND('V06 Unidades'!$H$5:$H$98*0.2,2))+SUMPRODUCT(--(IF('V06 Controlos'!$B$38&gt;0,IF(('V06 Unidades'!$L$5:$L$98+'V06 Controlos'!$B$37)&lt;'V06 Motor'!C64,'V06 Motor'!C64,('V06 Unidades'!$L$5:$L$98+'V06 Controlos'!$B$37)),('V06 Unidades'!$L$5:$L$98+'V06 Controlos'!$B$37))='V06 Motor'!A64),'V06 Unidades'!$H$5:$H$98-ROUND('V06 Unidades'!$H$5:$H$98*0.05,2)-ROUND('V06 Unidades'!$H$5:$H$98*0.2,2)-ROUND('V06 Unidades'!$H$5:$H$98*0.55,2))+SUMPRODUCT(--(IF(INT((IF('V06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Controlos'!$B$37)-1)/6),0)&gt;0),--('V06 Motor'!A64&gt;('V06 Unidades'!$I$5:$I$98+'V06 Controlos'!$B$37)),--('V06 Motor'!A64&lt;IF('V06 Controlos'!$B$38&gt;0,IF(('V06 Unidades'!$L$5:$L$98+'V06 Controlos'!$B$37)&lt;'V06 Motor'!C64,'V06 Motor'!C64,('V06 Unidades'!$L$5:$L$98+'V06 Controlos'!$B$37)),('V06 Unidades'!$L$5:$L$98+'V06 Controlos'!$B$37))),--(MOD('V06 Motor'!A64-('V06 Unidades'!$I$5:$I$98+'V06 Controlos'!$B$37),6)=0),--(('V06 Motor'!A64-('V06 Unidades'!$I$5:$I$98+'V06 Controlos'!$B$37))/6&lt;=IF(INT((IF('V06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Controlos'!$B$37)-1)/6),0)),IF('V06 Motor'!A64=('V06 Unidades'!$I$5:$I$98+'V06 Controlos'!$B$37)+6*IF(INT((IF('V06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Controlos'!$B$37)-1)/6),0)&gt;0,IF(INT((IF('V06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Controlos'!$B$37)-1)/6),0),1),2)*(IF(INT((IF('V06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Controlos'!$B$37)-1)/6),0)&gt;0,IF(INT((IF('V06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Controlos'!$B$37)-1)/6)&gt;0,INT((IF('V06 Controlos'!$B$38&gt;0,IF(('V06 Unidades'!$L$5:$L$98+'V06 Controlos'!$B$37)&lt;'V06 Motor'!C64,'V06 Motor'!C64,('V06 Unidades'!$L$5:$L$98+'V06 Controlos'!$B$37)),('V06 Unidades'!$L$5:$L$98+'V06 Controlos'!$B$37))-('V06 Unidades'!$I$5:$I$98+'V06 Controlos'!$B$37)-1)/6),0),1),2)))</f>
        <v>0.0</v>
      </c>
      <c r="P64" s="2">
        <f>SUM('V06 Calend 01'!BT5:BT98)</f>
        <v>0.0</v>
      </c>
    </row>
    <row r="65" spans="1:16">
      <c r="A65">
        <v>61</v>
      </c>
      <c r="C65">
        <v>30</v>
      </c>
      <c r="G65" s="2">
        <f>IF('V06 Motor'!A65&lt;='V06 Motor'!C65,SUMPRODUCT('V06 Curva'!$B$5:$B$34,IF((IF('V06 Motor'!A65*30/'V06 Motor'!C65&lt;'V06 Curva'!$A$5:$A$34,'V06 Motor'!A65*30/'V06 Motor'!C65,'V06 Curva'!$A$5:$A$34)-IF(('V06 Motor'!A65-1)*30/'V06 Motor'!C65&gt;'V06 Curva'!$A$5:$A$34-1,('V06 Motor'!A65-1)*30/'V06 Motor'!C65,'V06 Curva'!$A$5:$A$34-1))&gt;0,(IF('V06 Motor'!A65*30/'V06 Motor'!C65&lt;'V06 Curva'!$A$5:$A$34,'V06 Motor'!A65*30/'V06 Motor'!C65,'V06 Curva'!$A$5:$A$34)-IF(('V06 Motor'!A65-1)*30/'V06 Motor'!C65&gt;'V06 Curva'!$A$5:$A$34-1,('V06 Motor'!A65-1)*30/'V06 Motor'!C65,'V06 Curva'!$A$5:$A$34-1)),0)),0)</f>
        <v>0.0</v>
      </c>
      <c r="H65" s="2">
        <f>IF('V06 Motor'!A65&lt;='V06 Motor'!C65,SUM(MAX(0,MIN('V06 Motor'!A65*30/'V06 Motor'!C65,1)-MAX(('V06 Motor'!A65-1)*30/'V06 Motor'!C65,0))*'V06 Curva'!$B$5,MAX(0,MIN('V06 Motor'!A65*30/'V06 Motor'!C65,2)-MAX(('V06 Motor'!A65-1)*30/'V06 Motor'!C65,1))*'V06 Curva'!$B$6,MAX(0,MIN('V06 Motor'!A65*30/'V06 Motor'!C65,3)-MAX(('V06 Motor'!A65-1)*30/'V06 Motor'!C65,2))*'V06 Curva'!$B$7,MAX(0,MIN('V06 Motor'!A65*30/'V06 Motor'!C65,4)-MAX(('V06 Motor'!A65-1)*30/'V06 Motor'!C65,3))*'V06 Curva'!$B$8,MAX(0,MIN('V06 Motor'!A65*30/'V06 Motor'!C65,5)-MAX(('V06 Motor'!A65-1)*30/'V06 Motor'!C65,4))*'V06 Curva'!$B$9,MAX(0,MIN('V06 Motor'!A65*30/'V06 Motor'!C65,6)-MAX(('V06 Motor'!A65-1)*30/'V06 Motor'!C65,5))*'V06 Curva'!$B$10,MAX(0,MIN('V06 Motor'!A65*30/'V06 Motor'!C65,7)-MAX(('V06 Motor'!A65-1)*30/'V06 Motor'!C65,6))*'V06 Curva'!$B$11,MAX(0,MIN('V06 Motor'!A65*30/'V06 Motor'!C65,8)-MAX(('V06 Motor'!A65-1)*30/'V06 Motor'!C65,7))*'V06 Curva'!$B$12,MAX(0,MIN('V06 Motor'!A65*30/'V06 Motor'!C65,9)-MAX(('V06 Motor'!A65-1)*30/'V06 Motor'!C65,8))*'V06 Curva'!$B$13,MAX(0,MIN('V06 Motor'!A65*30/'V06 Motor'!C65,10)-MAX(('V06 Motor'!A65-1)*30/'V06 Motor'!C65,9))*'V06 Curva'!$B$14,MAX(0,MIN('V06 Motor'!A65*30/'V06 Motor'!C65,11)-MAX(('V06 Motor'!A65-1)*30/'V06 Motor'!C65,10))*'V06 Curva'!$B$15,MAX(0,MIN('V06 Motor'!A65*30/'V06 Motor'!C65,12)-MAX(('V06 Motor'!A65-1)*30/'V06 Motor'!C65,11))*'V06 Curva'!$B$16,MAX(0,MIN('V06 Motor'!A65*30/'V06 Motor'!C65,13)-MAX(('V06 Motor'!A65-1)*30/'V06 Motor'!C65,12))*'V06 Curva'!$B$17,MAX(0,MIN('V06 Motor'!A65*30/'V06 Motor'!C65,14)-MAX(('V06 Motor'!A65-1)*30/'V06 Motor'!C65,13))*'V06 Curva'!$B$18,MAX(0,MIN('V06 Motor'!A65*30/'V06 Motor'!C65,15)-MAX(('V06 Motor'!A65-1)*30/'V06 Motor'!C65,14))*'V06 Curva'!$B$19,MAX(0,MIN('V06 Motor'!A65*30/'V06 Motor'!C65,16)-MAX(('V06 Motor'!A65-1)*30/'V06 Motor'!C65,15))*'V06 Curva'!$B$20,MAX(0,MIN('V06 Motor'!A65*30/'V06 Motor'!C65,17)-MAX(('V06 Motor'!A65-1)*30/'V06 Motor'!C65,16))*'V06 Curva'!$B$21,MAX(0,MIN('V06 Motor'!A65*30/'V06 Motor'!C65,18)-MAX(('V06 Motor'!A65-1)*30/'V06 Motor'!C65,17))*'V06 Curva'!$B$22,MAX(0,MIN('V06 Motor'!A65*30/'V06 Motor'!C65,19)-MAX(('V06 Motor'!A65-1)*30/'V06 Motor'!C65,18))*'V06 Curva'!$B$23,MAX(0,MIN('V06 Motor'!A65*30/'V06 Motor'!C65,20)-MAX(('V06 Motor'!A65-1)*30/'V06 Motor'!C65,19))*'V06 Curva'!$B$24,MAX(0,MIN('V06 Motor'!A65*30/'V06 Motor'!C65,21)-MAX(('V06 Motor'!A65-1)*30/'V06 Motor'!C65,20))*'V06 Curva'!$B$25,MAX(0,MIN('V06 Motor'!A65*30/'V06 Motor'!C65,22)-MAX(('V06 Motor'!A65-1)*30/'V06 Motor'!C65,21))*'V06 Curva'!$B$26,MAX(0,MIN('V06 Motor'!A65*30/'V06 Motor'!C65,23)-MAX(('V06 Motor'!A65-1)*30/'V06 Motor'!C65,22))*'V06 Curva'!$B$27,MAX(0,MIN('V06 Motor'!A65*30/'V06 Motor'!C65,24)-MAX(('V06 Motor'!A65-1)*30/'V06 Motor'!C65,23))*'V06 Curva'!$B$28,MAX(0,MIN('V06 Motor'!A65*30/'V06 Motor'!C65,25)-MAX(('V06 Motor'!A65-1)*30/'V06 Motor'!C65,24))*'V06 Curva'!$B$29,MAX(0,MIN('V06 Motor'!A65*30/'V06 Motor'!C65,26)-MAX(('V06 Motor'!A65-1)*30/'V06 Motor'!C65,25))*'V06 Curva'!$B$30,MAX(0,MIN('V06 Motor'!A65*30/'V06 Motor'!C65,27)-MAX(('V06 Motor'!A65-1)*30/'V06 Motor'!C65,26))*'V06 Curva'!$B$31,MAX(0,MIN('V06 Motor'!A65*30/'V06 Motor'!C65,28)-MAX(('V06 Motor'!A65-1)*30/'V06 Motor'!C65,27))*'V06 Curva'!$B$32,MAX(0,MIN('V06 Motor'!A65*30/'V06 Motor'!C65,29)-MAX(('V06 Motor'!A65-1)*30/'V06 Motor'!C65,28))*'V06 Curva'!$B$33,MAX(0,MIN('V06 Motor'!A65*30/'V06 Motor'!C65,30)-MAX(('V06 Motor'!A65-1)*30/'V06 Motor'!C65,29))*'V06 Curva'!$B$34),0)</f>
        <v>0.0</v>
      </c>
      <c r="O65" s="2">
        <f>SUMPRODUCT(--(('V06 Unidades'!$I$5:$I$98+'V06 Controlos'!$B$37)='V06 Motor'!A65),ROUND('V06 Unidades'!$H$5:$H$98*0.05,2)+ROUND('V06 Unidades'!$H$5:$H$98*0.2,2))+SUMPRODUCT(--(IF('V06 Controlos'!$B$38&gt;0,IF(('V06 Unidades'!$L$5:$L$98+'V06 Controlos'!$B$37)&lt;'V06 Motor'!C65,'V06 Motor'!C65,('V06 Unidades'!$L$5:$L$98+'V06 Controlos'!$B$37)),('V06 Unidades'!$L$5:$L$98+'V06 Controlos'!$B$37))='V06 Motor'!A65),'V06 Unidades'!$H$5:$H$98-ROUND('V06 Unidades'!$H$5:$H$98*0.05,2)-ROUND('V06 Unidades'!$H$5:$H$98*0.2,2)-ROUND('V06 Unidades'!$H$5:$H$98*0.55,2))+SUMPRODUCT(--(IF(INT((IF('V06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Controlos'!$B$37)-1)/6),0)&gt;0),--('V06 Motor'!A65&gt;('V06 Unidades'!$I$5:$I$98+'V06 Controlos'!$B$37)),--('V06 Motor'!A65&lt;IF('V06 Controlos'!$B$38&gt;0,IF(('V06 Unidades'!$L$5:$L$98+'V06 Controlos'!$B$37)&lt;'V06 Motor'!C65,'V06 Motor'!C65,('V06 Unidades'!$L$5:$L$98+'V06 Controlos'!$B$37)),('V06 Unidades'!$L$5:$L$98+'V06 Controlos'!$B$37))),--(MOD('V06 Motor'!A65-('V06 Unidades'!$I$5:$I$98+'V06 Controlos'!$B$37),6)=0),--(('V06 Motor'!A65-('V06 Unidades'!$I$5:$I$98+'V06 Controlos'!$B$37))/6&lt;=IF(INT((IF('V06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Controlos'!$B$37)-1)/6),0)),IF('V06 Motor'!A65=('V06 Unidades'!$I$5:$I$98+'V06 Controlos'!$B$37)+6*IF(INT((IF('V06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Controlos'!$B$37)-1)/6),0)&gt;0,IF(INT((IF('V06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Controlos'!$B$37)-1)/6),0),1),2)*(IF(INT((IF('V06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Controlos'!$B$37)-1)/6),0)&gt;0,IF(INT((IF('V06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Controlos'!$B$37)-1)/6)&gt;0,INT((IF('V06 Controlos'!$B$38&gt;0,IF(('V06 Unidades'!$L$5:$L$98+'V06 Controlos'!$B$37)&lt;'V06 Motor'!C65,'V06 Motor'!C65,('V06 Unidades'!$L$5:$L$98+'V06 Controlos'!$B$37)),('V06 Unidades'!$L$5:$L$98+'V06 Controlos'!$B$37))-('V06 Unidades'!$I$5:$I$98+'V06 Controlos'!$B$37)-1)/6),0),1),2)))</f>
        <v>0.0</v>
      </c>
      <c r="P65" s="2">
        <f>SUM('V06 Calend 01'!BU5:BU98)</f>
        <v>0.0</v>
      </c>
    </row>
    <row r="66" spans="1:16">
      <c r="A66">
        <v>62</v>
      </c>
      <c r="C66">
        <v>30</v>
      </c>
      <c r="G66" s="2">
        <f>IF('V06 Motor'!A66&lt;='V06 Motor'!C66,SUMPRODUCT('V06 Curva'!$B$5:$B$34,IF((IF('V06 Motor'!A66*30/'V06 Motor'!C66&lt;'V06 Curva'!$A$5:$A$34,'V06 Motor'!A66*30/'V06 Motor'!C66,'V06 Curva'!$A$5:$A$34)-IF(('V06 Motor'!A66-1)*30/'V06 Motor'!C66&gt;'V06 Curva'!$A$5:$A$34-1,('V06 Motor'!A66-1)*30/'V06 Motor'!C66,'V06 Curva'!$A$5:$A$34-1))&gt;0,(IF('V06 Motor'!A66*30/'V06 Motor'!C66&lt;'V06 Curva'!$A$5:$A$34,'V06 Motor'!A66*30/'V06 Motor'!C66,'V06 Curva'!$A$5:$A$34)-IF(('V06 Motor'!A66-1)*30/'V06 Motor'!C66&gt;'V06 Curva'!$A$5:$A$34-1,('V06 Motor'!A66-1)*30/'V06 Motor'!C66,'V06 Curva'!$A$5:$A$34-1)),0)),0)</f>
        <v>0.0</v>
      </c>
      <c r="H66" s="2">
        <f>IF('V06 Motor'!A66&lt;='V06 Motor'!C66,SUM(MAX(0,MIN('V06 Motor'!A66*30/'V06 Motor'!C66,1)-MAX(('V06 Motor'!A66-1)*30/'V06 Motor'!C66,0))*'V06 Curva'!$B$5,MAX(0,MIN('V06 Motor'!A66*30/'V06 Motor'!C66,2)-MAX(('V06 Motor'!A66-1)*30/'V06 Motor'!C66,1))*'V06 Curva'!$B$6,MAX(0,MIN('V06 Motor'!A66*30/'V06 Motor'!C66,3)-MAX(('V06 Motor'!A66-1)*30/'V06 Motor'!C66,2))*'V06 Curva'!$B$7,MAX(0,MIN('V06 Motor'!A66*30/'V06 Motor'!C66,4)-MAX(('V06 Motor'!A66-1)*30/'V06 Motor'!C66,3))*'V06 Curva'!$B$8,MAX(0,MIN('V06 Motor'!A66*30/'V06 Motor'!C66,5)-MAX(('V06 Motor'!A66-1)*30/'V06 Motor'!C66,4))*'V06 Curva'!$B$9,MAX(0,MIN('V06 Motor'!A66*30/'V06 Motor'!C66,6)-MAX(('V06 Motor'!A66-1)*30/'V06 Motor'!C66,5))*'V06 Curva'!$B$10,MAX(0,MIN('V06 Motor'!A66*30/'V06 Motor'!C66,7)-MAX(('V06 Motor'!A66-1)*30/'V06 Motor'!C66,6))*'V06 Curva'!$B$11,MAX(0,MIN('V06 Motor'!A66*30/'V06 Motor'!C66,8)-MAX(('V06 Motor'!A66-1)*30/'V06 Motor'!C66,7))*'V06 Curva'!$B$12,MAX(0,MIN('V06 Motor'!A66*30/'V06 Motor'!C66,9)-MAX(('V06 Motor'!A66-1)*30/'V06 Motor'!C66,8))*'V06 Curva'!$B$13,MAX(0,MIN('V06 Motor'!A66*30/'V06 Motor'!C66,10)-MAX(('V06 Motor'!A66-1)*30/'V06 Motor'!C66,9))*'V06 Curva'!$B$14,MAX(0,MIN('V06 Motor'!A66*30/'V06 Motor'!C66,11)-MAX(('V06 Motor'!A66-1)*30/'V06 Motor'!C66,10))*'V06 Curva'!$B$15,MAX(0,MIN('V06 Motor'!A66*30/'V06 Motor'!C66,12)-MAX(('V06 Motor'!A66-1)*30/'V06 Motor'!C66,11))*'V06 Curva'!$B$16,MAX(0,MIN('V06 Motor'!A66*30/'V06 Motor'!C66,13)-MAX(('V06 Motor'!A66-1)*30/'V06 Motor'!C66,12))*'V06 Curva'!$B$17,MAX(0,MIN('V06 Motor'!A66*30/'V06 Motor'!C66,14)-MAX(('V06 Motor'!A66-1)*30/'V06 Motor'!C66,13))*'V06 Curva'!$B$18,MAX(0,MIN('V06 Motor'!A66*30/'V06 Motor'!C66,15)-MAX(('V06 Motor'!A66-1)*30/'V06 Motor'!C66,14))*'V06 Curva'!$B$19,MAX(0,MIN('V06 Motor'!A66*30/'V06 Motor'!C66,16)-MAX(('V06 Motor'!A66-1)*30/'V06 Motor'!C66,15))*'V06 Curva'!$B$20,MAX(0,MIN('V06 Motor'!A66*30/'V06 Motor'!C66,17)-MAX(('V06 Motor'!A66-1)*30/'V06 Motor'!C66,16))*'V06 Curva'!$B$21,MAX(0,MIN('V06 Motor'!A66*30/'V06 Motor'!C66,18)-MAX(('V06 Motor'!A66-1)*30/'V06 Motor'!C66,17))*'V06 Curva'!$B$22,MAX(0,MIN('V06 Motor'!A66*30/'V06 Motor'!C66,19)-MAX(('V06 Motor'!A66-1)*30/'V06 Motor'!C66,18))*'V06 Curva'!$B$23,MAX(0,MIN('V06 Motor'!A66*30/'V06 Motor'!C66,20)-MAX(('V06 Motor'!A66-1)*30/'V06 Motor'!C66,19))*'V06 Curva'!$B$24,MAX(0,MIN('V06 Motor'!A66*30/'V06 Motor'!C66,21)-MAX(('V06 Motor'!A66-1)*30/'V06 Motor'!C66,20))*'V06 Curva'!$B$25,MAX(0,MIN('V06 Motor'!A66*30/'V06 Motor'!C66,22)-MAX(('V06 Motor'!A66-1)*30/'V06 Motor'!C66,21))*'V06 Curva'!$B$26,MAX(0,MIN('V06 Motor'!A66*30/'V06 Motor'!C66,23)-MAX(('V06 Motor'!A66-1)*30/'V06 Motor'!C66,22))*'V06 Curva'!$B$27,MAX(0,MIN('V06 Motor'!A66*30/'V06 Motor'!C66,24)-MAX(('V06 Motor'!A66-1)*30/'V06 Motor'!C66,23))*'V06 Curva'!$B$28,MAX(0,MIN('V06 Motor'!A66*30/'V06 Motor'!C66,25)-MAX(('V06 Motor'!A66-1)*30/'V06 Motor'!C66,24))*'V06 Curva'!$B$29,MAX(0,MIN('V06 Motor'!A66*30/'V06 Motor'!C66,26)-MAX(('V06 Motor'!A66-1)*30/'V06 Motor'!C66,25))*'V06 Curva'!$B$30,MAX(0,MIN('V06 Motor'!A66*30/'V06 Motor'!C66,27)-MAX(('V06 Motor'!A66-1)*30/'V06 Motor'!C66,26))*'V06 Curva'!$B$31,MAX(0,MIN('V06 Motor'!A66*30/'V06 Motor'!C66,28)-MAX(('V06 Motor'!A66-1)*30/'V06 Motor'!C66,27))*'V06 Curva'!$B$32,MAX(0,MIN('V06 Motor'!A66*30/'V06 Motor'!C66,29)-MAX(('V06 Motor'!A66-1)*30/'V06 Motor'!C66,28))*'V06 Curva'!$B$33,MAX(0,MIN('V06 Motor'!A66*30/'V06 Motor'!C66,30)-MAX(('V06 Motor'!A66-1)*30/'V06 Motor'!C66,29))*'V06 Curva'!$B$34),0)</f>
        <v>0.0</v>
      </c>
      <c r="O66" s="2">
        <f>SUMPRODUCT(--(('V06 Unidades'!$I$5:$I$98+'V06 Controlos'!$B$37)='V06 Motor'!A66),ROUND('V06 Unidades'!$H$5:$H$98*0.05,2)+ROUND('V06 Unidades'!$H$5:$H$98*0.2,2))+SUMPRODUCT(--(IF('V06 Controlos'!$B$38&gt;0,IF(('V06 Unidades'!$L$5:$L$98+'V06 Controlos'!$B$37)&lt;'V06 Motor'!C66,'V06 Motor'!C66,('V06 Unidades'!$L$5:$L$98+'V06 Controlos'!$B$37)),('V06 Unidades'!$L$5:$L$98+'V06 Controlos'!$B$37))='V06 Motor'!A66),'V06 Unidades'!$H$5:$H$98-ROUND('V06 Unidades'!$H$5:$H$98*0.05,2)-ROUND('V06 Unidades'!$H$5:$H$98*0.2,2)-ROUND('V06 Unidades'!$H$5:$H$98*0.55,2))+SUMPRODUCT(--(IF(INT((IF('V06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Controlos'!$B$37)-1)/6),0)&gt;0),--('V06 Motor'!A66&gt;('V06 Unidades'!$I$5:$I$98+'V06 Controlos'!$B$37)),--('V06 Motor'!A66&lt;IF('V06 Controlos'!$B$38&gt;0,IF(('V06 Unidades'!$L$5:$L$98+'V06 Controlos'!$B$37)&lt;'V06 Motor'!C66,'V06 Motor'!C66,('V06 Unidades'!$L$5:$L$98+'V06 Controlos'!$B$37)),('V06 Unidades'!$L$5:$L$98+'V06 Controlos'!$B$37))),--(MOD('V06 Motor'!A66-('V06 Unidades'!$I$5:$I$98+'V06 Controlos'!$B$37),6)=0),--(('V06 Motor'!A66-('V06 Unidades'!$I$5:$I$98+'V06 Controlos'!$B$37))/6&lt;=IF(INT((IF('V06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Controlos'!$B$37)-1)/6),0)),IF('V06 Motor'!A66=('V06 Unidades'!$I$5:$I$98+'V06 Controlos'!$B$37)+6*IF(INT((IF('V06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Controlos'!$B$37)-1)/6),0)&gt;0,IF(INT((IF('V06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Controlos'!$B$37)-1)/6),0),1),2)*(IF(INT((IF('V06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Controlos'!$B$37)-1)/6),0)&gt;0,IF(INT((IF('V06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Controlos'!$B$37)-1)/6)&gt;0,INT((IF('V06 Controlos'!$B$38&gt;0,IF(('V06 Unidades'!$L$5:$L$98+'V06 Controlos'!$B$37)&lt;'V06 Motor'!C66,'V06 Motor'!C66,('V06 Unidades'!$L$5:$L$98+'V06 Controlos'!$B$37)),('V06 Unidades'!$L$5:$L$98+'V06 Controlos'!$B$37))-('V06 Unidades'!$I$5:$I$98+'V06 Controlos'!$B$37)-1)/6),0),1),2)))</f>
        <v>0.0</v>
      </c>
      <c r="P66" s="2">
        <f>SUM('V06 Calend 01'!BV5:BV98)</f>
        <v>0.0</v>
      </c>
    </row>
    <row r="67" spans="1:16">
      <c r="A67">
        <v>63</v>
      </c>
      <c r="C67">
        <v>30</v>
      </c>
      <c r="G67" s="2">
        <f>IF('V06 Motor'!A67&lt;='V06 Motor'!C67,SUMPRODUCT('V06 Curva'!$B$5:$B$34,IF((IF('V06 Motor'!A67*30/'V06 Motor'!C67&lt;'V06 Curva'!$A$5:$A$34,'V06 Motor'!A67*30/'V06 Motor'!C67,'V06 Curva'!$A$5:$A$34)-IF(('V06 Motor'!A67-1)*30/'V06 Motor'!C67&gt;'V06 Curva'!$A$5:$A$34-1,('V06 Motor'!A67-1)*30/'V06 Motor'!C67,'V06 Curva'!$A$5:$A$34-1))&gt;0,(IF('V06 Motor'!A67*30/'V06 Motor'!C67&lt;'V06 Curva'!$A$5:$A$34,'V06 Motor'!A67*30/'V06 Motor'!C67,'V06 Curva'!$A$5:$A$34)-IF(('V06 Motor'!A67-1)*30/'V06 Motor'!C67&gt;'V06 Curva'!$A$5:$A$34-1,('V06 Motor'!A67-1)*30/'V06 Motor'!C67,'V06 Curva'!$A$5:$A$34-1)),0)),0)</f>
        <v>0.0</v>
      </c>
      <c r="H67" s="2">
        <f>IF('V06 Motor'!A67&lt;='V06 Motor'!C67,SUM(MAX(0,MIN('V06 Motor'!A67*30/'V06 Motor'!C67,1)-MAX(('V06 Motor'!A67-1)*30/'V06 Motor'!C67,0))*'V06 Curva'!$B$5,MAX(0,MIN('V06 Motor'!A67*30/'V06 Motor'!C67,2)-MAX(('V06 Motor'!A67-1)*30/'V06 Motor'!C67,1))*'V06 Curva'!$B$6,MAX(0,MIN('V06 Motor'!A67*30/'V06 Motor'!C67,3)-MAX(('V06 Motor'!A67-1)*30/'V06 Motor'!C67,2))*'V06 Curva'!$B$7,MAX(0,MIN('V06 Motor'!A67*30/'V06 Motor'!C67,4)-MAX(('V06 Motor'!A67-1)*30/'V06 Motor'!C67,3))*'V06 Curva'!$B$8,MAX(0,MIN('V06 Motor'!A67*30/'V06 Motor'!C67,5)-MAX(('V06 Motor'!A67-1)*30/'V06 Motor'!C67,4))*'V06 Curva'!$B$9,MAX(0,MIN('V06 Motor'!A67*30/'V06 Motor'!C67,6)-MAX(('V06 Motor'!A67-1)*30/'V06 Motor'!C67,5))*'V06 Curva'!$B$10,MAX(0,MIN('V06 Motor'!A67*30/'V06 Motor'!C67,7)-MAX(('V06 Motor'!A67-1)*30/'V06 Motor'!C67,6))*'V06 Curva'!$B$11,MAX(0,MIN('V06 Motor'!A67*30/'V06 Motor'!C67,8)-MAX(('V06 Motor'!A67-1)*30/'V06 Motor'!C67,7))*'V06 Curva'!$B$12,MAX(0,MIN('V06 Motor'!A67*30/'V06 Motor'!C67,9)-MAX(('V06 Motor'!A67-1)*30/'V06 Motor'!C67,8))*'V06 Curva'!$B$13,MAX(0,MIN('V06 Motor'!A67*30/'V06 Motor'!C67,10)-MAX(('V06 Motor'!A67-1)*30/'V06 Motor'!C67,9))*'V06 Curva'!$B$14,MAX(0,MIN('V06 Motor'!A67*30/'V06 Motor'!C67,11)-MAX(('V06 Motor'!A67-1)*30/'V06 Motor'!C67,10))*'V06 Curva'!$B$15,MAX(0,MIN('V06 Motor'!A67*30/'V06 Motor'!C67,12)-MAX(('V06 Motor'!A67-1)*30/'V06 Motor'!C67,11))*'V06 Curva'!$B$16,MAX(0,MIN('V06 Motor'!A67*30/'V06 Motor'!C67,13)-MAX(('V06 Motor'!A67-1)*30/'V06 Motor'!C67,12))*'V06 Curva'!$B$17,MAX(0,MIN('V06 Motor'!A67*30/'V06 Motor'!C67,14)-MAX(('V06 Motor'!A67-1)*30/'V06 Motor'!C67,13))*'V06 Curva'!$B$18,MAX(0,MIN('V06 Motor'!A67*30/'V06 Motor'!C67,15)-MAX(('V06 Motor'!A67-1)*30/'V06 Motor'!C67,14))*'V06 Curva'!$B$19,MAX(0,MIN('V06 Motor'!A67*30/'V06 Motor'!C67,16)-MAX(('V06 Motor'!A67-1)*30/'V06 Motor'!C67,15))*'V06 Curva'!$B$20,MAX(0,MIN('V06 Motor'!A67*30/'V06 Motor'!C67,17)-MAX(('V06 Motor'!A67-1)*30/'V06 Motor'!C67,16))*'V06 Curva'!$B$21,MAX(0,MIN('V06 Motor'!A67*30/'V06 Motor'!C67,18)-MAX(('V06 Motor'!A67-1)*30/'V06 Motor'!C67,17))*'V06 Curva'!$B$22,MAX(0,MIN('V06 Motor'!A67*30/'V06 Motor'!C67,19)-MAX(('V06 Motor'!A67-1)*30/'V06 Motor'!C67,18))*'V06 Curva'!$B$23,MAX(0,MIN('V06 Motor'!A67*30/'V06 Motor'!C67,20)-MAX(('V06 Motor'!A67-1)*30/'V06 Motor'!C67,19))*'V06 Curva'!$B$24,MAX(0,MIN('V06 Motor'!A67*30/'V06 Motor'!C67,21)-MAX(('V06 Motor'!A67-1)*30/'V06 Motor'!C67,20))*'V06 Curva'!$B$25,MAX(0,MIN('V06 Motor'!A67*30/'V06 Motor'!C67,22)-MAX(('V06 Motor'!A67-1)*30/'V06 Motor'!C67,21))*'V06 Curva'!$B$26,MAX(0,MIN('V06 Motor'!A67*30/'V06 Motor'!C67,23)-MAX(('V06 Motor'!A67-1)*30/'V06 Motor'!C67,22))*'V06 Curva'!$B$27,MAX(0,MIN('V06 Motor'!A67*30/'V06 Motor'!C67,24)-MAX(('V06 Motor'!A67-1)*30/'V06 Motor'!C67,23))*'V06 Curva'!$B$28,MAX(0,MIN('V06 Motor'!A67*30/'V06 Motor'!C67,25)-MAX(('V06 Motor'!A67-1)*30/'V06 Motor'!C67,24))*'V06 Curva'!$B$29,MAX(0,MIN('V06 Motor'!A67*30/'V06 Motor'!C67,26)-MAX(('V06 Motor'!A67-1)*30/'V06 Motor'!C67,25))*'V06 Curva'!$B$30,MAX(0,MIN('V06 Motor'!A67*30/'V06 Motor'!C67,27)-MAX(('V06 Motor'!A67-1)*30/'V06 Motor'!C67,26))*'V06 Curva'!$B$31,MAX(0,MIN('V06 Motor'!A67*30/'V06 Motor'!C67,28)-MAX(('V06 Motor'!A67-1)*30/'V06 Motor'!C67,27))*'V06 Curva'!$B$32,MAX(0,MIN('V06 Motor'!A67*30/'V06 Motor'!C67,29)-MAX(('V06 Motor'!A67-1)*30/'V06 Motor'!C67,28))*'V06 Curva'!$B$33,MAX(0,MIN('V06 Motor'!A67*30/'V06 Motor'!C67,30)-MAX(('V06 Motor'!A67-1)*30/'V06 Motor'!C67,29))*'V06 Curva'!$B$34),0)</f>
        <v>0.0</v>
      </c>
      <c r="O67" s="2">
        <f>SUMPRODUCT(--(('V06 Unidades'!$I$5:$I$98+'V06 Controlos'!$B$37)='V06 Motor'!A67),ROUND('V06 Unidades'!$H$5:$H$98*0.05,2)+ROUND('V06 Unidades'!$H$5:$H$98*0.2,2))+SUMPRODUCT(--(IF('V06 Controlos'!$B$38&gt;0,IF(('V06 Unidades'!$L$5:$L$98+'V06 Controlos'!$B$37)&lt;'V06 Motor'!C67,'V06 Motor'!C67,('V06 Unidades'!$L$5:$L$98+'V06 Controlos'!$B$37)),('V06 Unidades'!$L$5:$L$98+'V06 Controlos'!$B$37))='V06 Motor'!A67),'V06 Unidades'!$H$5:$H$98-ROUND('V06 Unidades'!$H$5:$H$98*0.05,2)-ROUND('V06 Unidades'!$H$5:$H$98*0.2,2)-ROUND('V06 Unidades'!$H$5:$H$98*0.55,2))+SUMPRODUCT(--(IF(INT((IF('V06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Controlos'!$B$37)-1)/6),0)&gt;0),--('V06 Motor'!A67&gt;('V06 Unidades'!$I$5:$I$98+'V06 Controlos'!$B$37)),--('V06 Motor'!A67&lt;IF('V06 Controlos'!$B$38&gt;0,IF(('V06 Unidades'!$L$5:$L$98+'V06 Controlos'!$B$37)&lt;'V06 Motor'!C67,'V06 Motor'!C67,('V06 Unidades'!$L$5:$L$98+'V06 Controlos'!$B$37)),('V06 Unidades'!$L$5:$L$98+'V06 Controlos'!$B$37))),--(MOD('V06 Motor'!A67-('V06 Unidades'!$I$5:$I$98+'V06 Controlos'!$B$37),6)=0),--(('V06 Motor'!A67-('V06 Unidades'!$I$5:$I$98+'V06 Controlos'!$B$37))/6&lt;=IF(INT((IF('V06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Controlos'!$B$37)-1)/6),0)),IF('V06 Motor'!A67=('V06 Unidades'!$I$5:$I$98+'V06 Controlos'!$B$37)+6*IF(INT((IF('V06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Controlos'!$B$37)-1)/6),0)&gt;0,IF(INT((IF('V06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Controlos'!$B$37)-1)/6),0),1),2)*(IF(INT((IF('V06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Controlos'!$B$37)-1)/6),0)&gt;0,IF(INT((IF('V06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Controlos'!$B$37)-1)/6)&gt;0,INT((IF('V06 Controlos'!$B$38&gt;0,IF(('V06 Unidades'!$L$5:$L$98+'V06 Controlos'!$B$37)&lt;'V06 Motor'!C67,'V06 Motor'!C67,('V06 Unidades'!$L$5:$L$98+'V06 Controlos'!$B$37)),('V06 Unidades'!$L$5:$L$98+'V06 Controlos'!$B$37))-('V06 Unidades'!$I$5:$I$98+'V06 Controlos'!$B$37)-1)/6),0),1),2)))</f>
        <v>0.0</v>
      </c>
      <c r="P67" s="2">
        <f>SUM('V06 Calend 01'!BW5:BW98)</f>
        <v>0.0</v>
      </c>
    </row>
    <row r="68" spans="1:16">
      <c r="A68">
        <v>64</v>
      </c>
      <c r="C68">
        <v>30</v>
      </c>
      <c r="G68" s="2">
        <f>IF('V06 Motor'!A68&lt;='V06 Motor'!C68,SUMPRODUCT('V06 Curva'!$B$5:$B$34,IF((IF('V06 Motor'!A68*30/'V06 Motor'!C68&lt;'V06 Curva'!$A$5:$A$34,'V06 Motor'!A68*30/'V06 Motor'!C68,'V06 Curva'!$A$5:$A$34)-IF(('V06 Motor'!A68-1)*30/'V06 Motor'!C68&gt;'V06 Curva'!$A$5:$A$34-1,('V06 Motor'!A68-1)*30/'V06 Motor'!C68,'V06 Curva'!$A$5:$A$34-1))&gt;0,(IF('V06 Motor'!A68*30/'V06 Motor'!C68&lt;'V06 Curva'!$A$5:$A$34,'V06 Motor'!A68*30/'V06 Motor'!C68,'V06 Curva'!$A$5:$A$34)-IF(('V06 Motor'!A68-1)*30/'V06 Motor'!C68&gt;'V06 Curva'!$A$5:$A$34-1,('V06 Motor'!A68-1)*30/'V06 Motor'!C68,'V06 Curva'!$A$5:$A$34-1)),0)),0)</f>
        <v>0.0</v>
      </c>
      <c r="H68" s="2">
        <f>IF('V06 Motor'!A68&lt;='V06 Motor'!C68,SUM(MAX(0,MIN('V06 Motor'!A68*30/'V06 Motor'!C68,1)-MAX(('V06 Motor'!A68-1)*30/'V06 Motor'!C68,0))*'V06 Curva'!$B$5,MAX(0,MIN('V06 Motor'!A68*30/'V06 Motor'!C68,2)-MAX(('V06 Motor'!A68-1)*30/'V06 Motor'!C68,1))*'V06 Curva'!$B$6,MAX(0,MIN('V06 Motor'!A68*30/'V06 Motor'!C68,3)-MAX(('V06 Motor'!A68-1)*30/'V06 Motor'!C68,2))*'V06 Curva'!$B$7,MAX(0,MIN('V06 Motor'!A68*30/'V06 Motor'!C68,4)-MAX(('V06 Motor'!A68-1)*30/'V06 Motor'!C68,3))*'V06 Curva'!$B$8,MAX(0,MIN('V06 Motor'!A68*30/'V06 Motor'!C68,5)-MAX(('V06 Motor'!A68-1)*30/'V06 Motor'!C68,4))*'V06 Curva'!$B$9,MAX(0,MIN('V06 Motor'!A68*30/'V06 Motor'!C68,6)-MAX(('V06 Motor'!A68-1)*30/'V06 Motor'!C68,5))*'V06 Curva'!$B$10,MAX(0,MIN('V06 Motor'!A68*30/'V06 Motor'!C68,7)-MAX(('V06 Motor'!A68-1)*30/'V06 Motor'!C68,6))*'V06 Curva'!$B$11,MAX(0,MIN('V06 Motor'!A68*30/'V06 Motor'!C68,8)-MAX(('V06 Motor'!A68-1)*30/'V06 Motor'!C68,7))*'V06 Curva'!$B$12,MAX(0,MIN('V06 Motor'!A68*30/'V06 Motor'!C68,9)-MAX(('V06 Motor'!A68-1)*30/'V06 Motor'!C68,8))*'V06 Curva'!$B$13,MAX(0,MIN('V06 Motor'!A68*30/'V06 Motor'!C68,10)-MAX(('V06 Motor'!A68-1)*30/'V06 Motor'!C68,9))*'V06 Curva'!$B$14,MAX(0,MIN('V06 Motor'!A68*30/'V06 Motor'!C68,11)-MAX(('V06 Motor'!A68-1)*30/'V06 Motor'!C68,10))*'V06 Curva'!$B$15,MAX(0,MIN('V06 Motor'!A68*30/'V06 Motor'!C68,12)-MAX(('V06 Motor'!A68-1)*30/'V06 Motor'!C68,11))*'V06 Curva'!$B$16,MAX(0,MIN('V06 Motor'!A68*30/'V06 Motor'!C68,13)-MAX(('V06 Motor'!A68-1)*30/'V06 Motor'!C68,12))*'V06 Curva'!$B$17,MAX(0,MIN('V06 Motor'!A68*30/'V06 Motor'!C68,14)-MAX(('V06 Motor'!A68-1)*30/'V06 Motor'!C68,13))*'V06 Curva'!$B$18,MAX(0,MIN('V06 Motor'!A68*30/'V06 Motor'!C68,15)-MAX(('V06 Motor'!A68-1)*30/'V06 Motor'!C68,14))*'V06 Curva'!$B$19,MAX(0,MIN('V06 Motor'!A68*30/'V06 Motor'!C68,16)-MAX(('V06 Motor'!A68-1)*30/'V06 Motor'!C68,15))*'V06 Curva'!$B$20,MAX(0,MIN('V06 Motor'!A68*30/'V06 Motor'!C68,17)-MAX(('V06 Motor'!A68-1)*30/'V06 Motor'!C68,16))*'V06 Curva'!$B$21,MAX(0,MIN('V06 Motor'!A68*30/'V06 Motor'!C68,18)-MAX(('V06 Motor'!A68-1)*30/'V06 Motor'!C68,17))*'V06 Curva'!$B$22,MAX(0,MIN('V06 Motor'!A68*30/'V06 Motor'!C68,19)-MAX(('V06 Motor'!A68-1)*30/'V06 Motor'!C68,18))*'V06 Curva'!$B$23,MAX(0,MIN('V06 Motor'!A68*30/'V06 Motor'!C68,20)-MAX(('V06 Motor'!A68-1)*30/'V06 Motor'!C68,19))*'V06 Curva'!$B$24,MAX(0,MIN('V06 Motor'!A68*30/'V06 Motor'!C68,21)-MAX(('V06 Motor'!A68-1)*30/'V06 Motor'!C68,20))*'V06 Curva'!$B$25,MAX(0,MIN('V06 Motor'!A68*30/'V06 Motor'!C68,22)-MAX(('V06 Motor'!A68-1)*30/'V06 Motor'!C68,21))*'V06 Curva'!$B$26,MAX(0,MIN('V06 Motor'!A68*30/'V06 Motor'!C68,23)-MAX(('V06 Motor'!A68-1)*30/'V06 Motor'!C68,22))*'V06 Curva'!$B$27,MAX(0,MIN('V06 Motor'!A68*30/'V06 Motor'!C68,24)-MAX(('V06 Motor'!A68-1)*30/'V06 Motor'!C68,23))*'V06 Curva'!$B$28,MAX(0,MIN('V06 Motor'!A68*30/'V06 Motor'!C68,25)-MAX(('V06 Motor'!A68-1)*30/'V06 Motor'!C68,24))*'V06 Curva'!$B$29,MAX(0,MIN('V06 Motor'!A68*30/'V06 Motor'!C68,26)-MAX(('V06 Motor'!A68-1)*30/'V06 Motor'!C68,25))*'V06 Curva'!$B$30,MAX(0,MIN('V06 Motor'!A68*30/'V06 Motor'!C68,27)-MAX(('V06 Motor'!A68-1)*30/'V06 Motor'!C68,26))*'V06 Curva'!$B$31,MAX(0,MIN('V06 Motor'!A68*30/'V06 Motor'!C68,28)-MAX(('V06 Motor'!A68-1)*30/'V06 Motor'!C68,27))*'V06 Curva'!$B$32,MAX(0,MIN('V06 Motor'!A68*30/'V06 Motor'!C68,29)-MAX(('V06 Motor'!A68-1)*30/'V06 Motor'!C68,28))*'V06 Curva'!$B$33,MAX(0,MIN('V06 Motor'!A68*30/'V06 Motor'!C68,30)-MAX(('V06 Motor'!A68-1)*30/'V06 Motor'!C68,29))*'V06 Curva'!$B$34),0)</f>
        <v>0.0</v>
      </c>
      <c r="O68" s="2">
        <f>SUMPRODUCT(--(('V06 Unidades'!$I$5:$I$98+'V06 Controlos'!$B$37)='V06 Motor'!A68),ROUND('V06 Unidades'!$H$5:$H$98*0.05,2)+ROUND('V06 Unidades'!$H$5:$H$98*0.2,2))+SUMPRODUCT(--(IF('V06 Controlos'!$B$38&gt;0,IF(('V06 Unidades'!$L$5:$L$98+'V06 Controlos'!$B$37)&lt;'V06 Motor'!C68,'V06 Motor'!C68,('V06 Unidades'!$L$5:$L$98+'V06 Controlos'!$B$37)),('V06 Unidades'!$L$5:$L$98+'V06 Controlos'!$B$37))='V06 Motor'!A68),'V06 Unidades'!$H$5:$H$98-ROUND('V06 Unidades'!$H$5:$H$98*0.05,2)-ROUND('V06 Unidades'!$H$5:$H$98*0.2,2)-ROUND('V06 Unidades'!$H$5:$H$98*0.55,2))+SUMPRODUCT(--(IF(INT((IF('V06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Controlos'!$B$37)-1)/6),0)&gt;0),--('V06 Motor'!A68&gt;('V06 Unidades'!$I$5:$I$98+'V06 Controlos'!$B$37)),--('V06 Motor'!A68&lt;IF('V06 Controlos'!$B$38&gt;0,IF(('V06 Unidades'!$L$5:$L$98+'V06 Controlos'!$B$37)&lt;'V06 Motor'!C68,'V06 Motor'!C68,('V06 Unidades'!$L$5:$L$98+'V06 Controlos'!$B$37)),('V06 Unidades'!$L$5:$L$98+'V06 Controlos'!$B$37))),--(MOD('V06 Motor'!A68-('V06 Unidades'!$I$5:$I$98+'V06 Controlos'!$B$37),6)=0),--(('V06 Motor'!A68-('V06 Unidades'!$I$5:$I$98+'V06 Controlos'!$B$37))/6&lt;=IF(INT((IF('V06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Controlos'!$B$37)-1)/6),0)),IF('V06 Motor'!A68=('V06 Unidades'!$I$5:$I$98+'V06 Controlos'!$B$37)+6*IF(INT((IF('V06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Controlos'!$B$37)-1)/6),0)&gt;0,IF(INT((IF('V06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Controlos'!$B$37)-1)/6),0),1),2)*(IF(INT((IF('V06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Controlos'!$B$37)-1)/6),0)&gt;0,IF(INT((IF('V06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Controlos'!$B$37)-1)/6)&gt;0,INT((IF('V06 Controlos'!$B$38&gt;0,IF(('V06 Unidades'!$L$5:$L$98+'V06 Controlos'!$B$37)&lt;'V06 Motor'!C68,'V06 Motor'!C68,('V06 Unidades'!$L$5:$L$98+'V06 Controlos'!$B$37)),('V06 Unidades'!$L$5:$L$98+'V06 Controlos'!$B$37))-('V06 Unidades'!$I$5:$I$98+'V06 Controlos'!$B$37)-1)/6),0),1),2)))</f>
        <v>0.0</v>
      </c>
      <c r="P68" s="2">
        <f>SUM('V06 Calend 01'!BX5:BX98)</f>
        <v>0.0</v>
      </c>
    </row>
    <row r="69" spans="1:16">
      <c r="A69">
        <v>65</v>
      </c>
      <c r="C69">
        <v>30</v>
      </c>
      <c r="G69" s="2">
        <f>IF('V06 Motor'!A69&lt;='V06 Motor'!C69,SUMPRODUCT('V06 Curva'!$B$5:$B$34,IF((IF('V06 Motor'!A69*30/'V06 Motor'!C69&lt;'V06 Curva'!$A$5:$A$34,'V06 Motor'!A69*30/'V06 Motor'!C69,'V06 Curva'!$A$5:$A$34)-IF(('V06 Motor'!A69-1)*30/'V06 Motor'!C69&gt;'V06 Curva'!$A$5:$A$34-1,('V06 Motor'!A69-1)*30/'V06 Motor'!C69,'V06 Curva'!$A$5:$A$34-1))&gt;0,(IF('V06 Motor'!A69*30/'V06 Motor'!C69&lt;'V06 Curva'!$A$5:$A$34,'V06 Motor'!A69*30/'V06 Motor'!C69,'V06 Curva'!$A$5:$A$34)-IF(('V06 Motor'!A69-1)*30/'V06 Motor'!C69&gt;'V06 Curva'!$A$5:$A$34-1,('V06 Motor'!A69-1)*30/'V06 Motor'!C69,'V06 Curva'!$A$5:$A$34-1)),0)),0)</f>
        <v>0.0</v>
      </c>
      <c r="H69" s="2">
        <f>IF('V06 Motor'!A69&lt;='V06 Motor'!C69,SUM(MAX(0,MIN('V06 Motor'!A69*30/'V06 Motor'!C69,1)-MAX(('V06 Motor'!A69-1)*30/'V06 Motor'!C69,0))*'V06 Curva'!$B$5,MAX(0,MIN('V06 Motor'!A69*30/'V06 Motor'!C69,2)-MAX(('V06 Motor'!A69-1)*30/'V06 Motor'!C69,1))*'V06 Curva'!$B$6,MAX(0,MIN('V06 Motor'!A69*30/'V06 Motor'!C69,3)-MAX(('V06 Motor'!A69-1)*30/'V06 Motor'!C69,2))*'V06 Curva'!$B$7,MAX(0,MIN('V06 Motor'!A69*30/'V06 Motor'!C69,4)-MAX(('V06 Motor'!A69-1)*30/'V06 Motor'!C69,3))*'V06 Curva'!$B$8,MAX(0,MIN('V06 Motor'!A69*30/'V06 Motor'!C69,5)-MAX(('V06 Motor'!A69-1)*30/'V06 Motor'!C69,4))*'V06 Curva'!$B$9,MAX(0,MIN('V06 Motor'!A69*30/'V06 Motor'!C69,6)-MAX(('V06 Motor'!A69-1)*30/'V06 Motor'!C69,5))*'V06 Curva'!$B$10,MAX(0,MIN('V06 Motor'!A69*30/'V06 Motor'!C69,7)-MAX(('V06 Motor'!A69-1)*30/'V06 Motor'!C69,6))*'V06 Curva'!$B$11,MAX(0,MIN('V06 Motor'!A69*30/'V06 Motor'!C69,8)-MAX(('V06 Motor'!A69-1)*30/'V06 Motor'!C69,7))*'V06 Curva'!$B$12,MAX(0,MIN('V06 Motor'!A69*30/'V06 Motor'!C69,9)-MAX(('V06 Motor'!A69-1)*30/'V06 Motor'!C69,8))*'V06 Curva'!$B$13,MAX(0,MIN('V06 Motor'!A69*30/'V06 Motor'!C69,10)-MAX(('V06 Motor'!A69-1)*30/'V06 Motor'!C69,9))*'V06 Curva'!$B$14,MAX(0,MIN('V06 Motor'!A69*30/'V06 Motor'!C69,11)-MAX(('V06 Motor'!A69-1)*30/'V06 Motor'!C69,10))*'V06 Curva'!$B$15,MAX(0,MIN('V06 Motor'!A69*30/'V06 Motor'!C69,12)-MAX(('V06 Motor'!A69-1)*30/'V06 Motor'!C69,11))*'V06 Curva'!$B$16,MAX(0,MIN('V06 Motor'!A69*30/'V06 Motor'!C69,13)-MAX(('V06 Motor'!A69-1)*30/'V06 Motor'!C69,12))*'V06 Curva'!$B$17,MAX(0,MIN('V06 Motor'!A69*30/'V06 Motor'!C69,14)-MAX(('V06 Motor'!A69-1)*30/'V06 Motor'!C69,13))*'V06 Curva'!$B$18,MAX(0,MIN('V06 Motor'!A69*30/'V06 Motor'!C69,15)-MAX(('V06 Motor'!A69-1)*30/'V06 Motor'!C69,14))*'V06 Curva'!$B$19,MAX(0,MIN('V06 Motor'!A69*30/'V06 Motor'!C69,16)-MAX(('V06 Motor'!A69-1)*30/'V06 Motor'!C69,15))*'V06 Curva'!$B$20,MAX(0,MIN('V06 Motor'!A69*30/'V06 Motor'!C69,17)-MAX(('V06 Motor'!A69-1)*30/'V06 Motor'!C69,16))*'V06 Curva'!$B$21,MAX(0,MIN('V06 Motor'!A69*30/'V06 Motor'!C69,18)-MAX(('V06 Motor'!A69-1)*30/'V06 Motor'!C69,17))*'V06 Curva'!$B$22,MAX(0,MIN('V06 Motor'!A69*30/'V06 Motor'!C69,19)-MAX(('V06 Motor'!A69-1)*30/'V06 Motor'!C69,18))*'V06 Curva'!$B$23,MAX(0,MIN('V06 Motor'!A69*30/'V06 Motor'!C69,20)-MAX(('V06 Motor'!A69-1)*30/'V06 Motor'!C69,19))*'V06 Curva'!$B$24,MAX(0,MIN('V06 Motor'!A69*30/'V06 Motor'!C69,21)-MAX(('V06 Motor'!A69-1)*30/'V06 Motor'!C69,20))*'V06 Curva'!$B$25,MAX(0,MIN('V06 Motor'!A69*30/'V06 Motor'!C69,22)-MAX(('V06 Motor'!A69-1)*30/'V06 Motor'!C69,21))*'V06 Curva'!$B$26,MAX(0,MIN('V06 Motor'!A69*30/'V06 Motor'!C69,23)-MAX(('V06 Motor'!A69-1)*30/'V06 Motor'!C69,22))*'V06 Curva'!$B$27,MAX(0,MIN('V06 Motor'!A69*30/'V06 Motor'!C69,24)-MAX(('V06 Motor'!A69-1)*30/'V06 Motor'!C69,23))*'V06 Curva'!$B$28,MAX(0,MIN('V06 Motor'!A69*30/'V06 Motor'!C69,25)-MAX(('V06 Motor'!A69-1)*30/'V06 Motor'!C69,24))*'V06 Curva'!$B$29,MAX(0,MIN('V06 Motor'!A69*30/'V06 Motor'!C69,26)-MAX(('V06 Motor'!A69-1)*30/'V06 Motor'!C69,25))*'V06 Curva'!$B$30,MAX(0,MIN('V06 Motor'!A69*30/'V06 Motor'!C69,27)-MAX(('V06 Motor'!A69-1)*30/'V06 Motor'!C69,26))*'V06 Curva'!$B$31,MAX(0,MIN('V06 Motor'!A69*30/'V06 Motor'!C69,28)-MAX(('V06 Motor'!A69-1)*30/'V06 Motor'!C69,27))*'V06 Curva'!$B$32,MAX(0,MIN('V06 Motor'!A69*30/'V06 Motor'!C69,29)-MAX(('V06 Motor'!A69-1)*30/'V06 Motor'!C69,28))*'V06 Curva'!$B$33,MAX(0,MIN('V06 Motor'!A69*30/'V06 Motor'!C69,30)-MAX(('V06 Motor'!A69-1)*30/'V06 Motor'!C69,29))*'V06 Curva'!$B$34),0)</f>
        <v>0.0</v>
      </c>
      <c r="O69" s="2">
        <f>SUMPRODUCT(--(('V06 Unidades'!$I$5:$I$98+'V06 Controlos'!$B$37)='V06 Motor'!A69),ROUND('V06 Unidades'!$H$5:$H$98*0.05,2)+ROUND('V06 Unidades'!$H$5:$H$98*0.2,2))+SUMPRODUCT(--(IF('V06 Controlos'!$B$38&gt;0,IF(('V06 Unidades'!$L$5:$L$98+'V06 Controlos'!$B$37)&lt;'V06 Motor'!C69,'V06 Motor'!C69,('V06 Unidades'!$L$5:$L$98+'V06 Controlos'!$B$37)),('V06 Unidades'!$L$5:$L$98+'V06 Controlos'!$B$37))='V06 Motor'!A69),'V06 Unidades'!$H$5:$H$98-ROUND('V06 Unidades'!$H$5:$H$98*0.05,2)-ROUND('V06 Unidades'!$H$5:$H$98*0.2,2)-ROUND('V06 Unidades'!$H$5:$H$98*0.55,2))+SUMPRODUCT(--(IF(INT((IF('V06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Controlos'!$B$37)-1)/6),0)&gt;0),--('V06 Motor'!A69&gt;('V06 Unidades'!$I$5:$I$98+'V06 Controlos'!$B$37)),--('V06 Motor'!A69&lt;IF('V06 Controlos'!$B$38&gt;0,IF(('V06 Unidades'!$L$5:$L$98+'V06 Controlos'!$B$37)&lt;'V06 Motor'!C69,'V06 Motor'!C69,('V06 Unidades'!$L$5:$L$98+'V06 Controlos'!$B$37)),('V06 Unidades'!$L$5:$L$98+'V06 Controlos'!$B$37))),--(MOD('V06 Motor'!A69-('V06 Unidades'!$I$5:$I$98+'V06 Controlos'!$B$37),6)=0),--(('V06 Motor'!A69-('V06 Unidades'!$I$5:$I$98+'V06 Controlos'!$B$37))/6&lt;=IF(INT((IF('V06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Controlos'!$B$37)-1)/6),0)),IF('V06 Motor'!A69=('V06 Unidades'!$I$5:$I$98+'V06 Controlos'!$B$37)+6*IF(INT((IF('V06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Controlos'!$B$37)-1)/6),0)&gt;0,IF(INT((IF('V06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Controlos'!$B$37)-1)/6),0),1),2)*(IF(INT((IF('V06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Controlos'!$B$37)-1)/6),0)&gt;0,IF(INT((IF('V06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Controlos'!$B$37)-1)/6)&gt;0,INT((IF('V06 Controlos'!$B$38&gt;0,IF(('V06 Unidades'!$L$5:$L$98+'V06 Controlos'!$B$37)&lt;'V06 Motor'!C69,'V06 Motor'!C69,('V06 Unidades'!$L$5:$L$98+'V06 Controlos'!$B$37)),('V06 Unidades'!$L$5:$L$98+'V06 Controlos'!$B$37))-('V06 Unidades'!$I$5:$I$98+'V06 Controlos'!$B$37)-1)/6),0),1),2)))</f>
        <v>0.0</v>
      </c>
      <c r="P69" s="2">
        <f>SUM('V06 Calend 01'!BY5:BY98)</f>
        <v>0.0</v>
      </c>
    </row>
    <row r="70" spans="1:16">
      <c r="A70">
        <v>66</v>
      </c>
      <c r="C70">
        <v>30</v>
      </c>
      <c r="G70" s="2">
        <f>IF('V06 Motor'!A70&lt;='V06 Motor'!C70,SUMPRODUCT('V06 Curva'!$B$5:$B$34,IF((IF('V06 Motor'!A70*30/'V06 Motor'!C70&lt;'V06 Curva'!$A$5:$A$34,'V06 Motor'!A70*30/'V06 Motor'!C70,'V06 Curva'!$A$5:$A$34)-IF(('V06 Motor'!A70-1)*30/'V06 Motor'!C70&gt;'V06 Curva'!$A$5:$A$34-1,('V06 Motor'!A70-1)*30/'V06 Motor'!C70,'V06 Curva'!$A$5:$A$34-1))&gt;0,(IF('V06 Motor'!A70*30/'V06 Motor'!C70&lt;'V06 Curva'!$A$5:$A$34,'V06 Motor'!A70*30/'V06 Motor'!C70,'V06 Curva'!$A$5:$A$34)-IF(('V06 Motor'!A70-1)*30/'V06 Motor'!C70&gt;'V06 Curva'!$A$5:$A$34-1,('V06 Motor'!A70-1)*30/'V06 Motor'!C70,'V06 Curva'!$A$5:$A$34-1)),0)),0)</f>
        <v>0.0</v>
      </c>
      <c r="H70" s="2">
        <f>IF('V06 Motor'!A70&lt;='V06 Motor'!C70,SUM(MAX(0,MIN('V06 Motor'!A70*30/'V06 Motor'!C70,1)-MAX(('V06 Motor'!A70-1)*30/'V06 Motor'!C70,0))*'V06 Curva'!$B$5,MAX(0,MIN('V06 Motor'!A70*30/'V06 Motor'!C70,2)-MAX(('V06 Motor'!A70-1)*30/'V06 Motor'!C70,1))*'V06 Curva'!$B$6,MAX(0,MIN('V06 Motor'!A70*30/'V06 Motor'!C70,3)-MAX(('V06 Motor'!A70-1)*30/'V06 Motor'!C70,2))*'V06 Curva'!$B$7,MAX(0,MIN('V06 Motor'!A70*30/'V06 Motor'!C70,4)-MAX(('V06 Motor'!A70-1)*30/'V06 Motor'!C70,3))*'V06 Curva'!$B$8,MAX(0,MIN('V06 Motor'!A70*30/'V06 Motor'!C70,5)-MAX(('V06 Motor'!A70-1)*30/'V06 Motor'!C70,4))*'V06 Curva'!$B$9,MAX(0,MIN('V06 Motor'!A70*30/'V06 Motor'!C70,6)-MAX(('V06 Motor'!A70-1)*30/'V06 Motor'!C70,5))*'V06 Curva'!$B$10,MAX(0,MIN('V06 Motor'!A70*30/'V06 Motor'!C70,7)-MAX(('V06 Motor'!A70-1)*30/'V06 Motor'!C70,6))*'V06 Curva'!$B$11,MAX(0,MIN('V06 Motor'!A70*30/'V06 Motor'!C70,8)-MAX(('V06 Motor'!A70-1)*30/'V06 Motor'!C70,7))*'V06 Curva'!$B$12,MAX(0,MIN('V06 Motor'!A70*30/'V06 Motor'!C70,9)-MAX(('V06 Motor'!A70-1)*30/'V06 Motor'!C70,8))*'V06 Curva'!$B$13,MAX(0,MIN('V06 Motor'!A70*30/'V06 Motor'!C70,10)-MAX(('V06 Motor'!A70-1)*30/'V06 Motor'!C70,9))*'V06 Curva'!$B$14,MAX(0,MIN('V06 Motor'!A70*30/'V06 Motor'!C70,11)-MAX(('V06 Motor'!A70-1)*30/'V06 Motor'!C70,10))*'V06 Curva'!$B$15,MAX(0,MIN('V06 Motor'!A70*30/'V06 Motor'!C70,12)-MAX(('V06 Motor'!A70-1)*30/'V06 Motor'!C70,11))*'V06 Curva'!$B$16,MAX(0,MIN('V06 Motor'!A70*30/'V06 Motor'!C70,13)-MAX(('V06 Motor'!A70-1)*30/'V06 Motor'!C70,12))*'V06 Curva'!$B$17,MAX(0,MIN('V06 Motor'!A70*30/'V06 Motor'!C70,14)-MAX(('V06 Motor'!A70-1)*30/'V06 Motor'!C70,13))*'V06 Curva'!$B$18,MAX(0,MIN('V06 Motor'!A70*30/'V06 Motor'!C70,15)-MAX(('V06 Motor'!A70-1)*30/'V06 Motor'!C70,14))*'V06 Curva'!$B$19,MAX(0,MIN('V06 Motor'!A70*30/'V06 Motor'!C70,16)-MAX(('V06 Motor'!A70-1)*30/'V06 Motor'!C70,15))*'V06 Curva'!$B$20,MAX(0,MIN('V06 Motor'!A70*30/'V06 Motor'!C70,17)-MAX(('V06 Motor'!A70-1)*30/'V06 Motor'!C70,16))*'V06 Curva'!$B$21,MAX(0,MIN('V06 Motor'!A70*30/'V06 Motor'!C70,18)-MAX(('V06 Motor'!A70-1)*30/'V06 Motor'!C70,17))*'V06 Curva'!$B$22,MAX(0,MIN('V06 Motor'!A70*30/'V06 Motor'!C70,19)-MAX(('V06 Motor'!A70-1)*30/'V06 Motor'!C70,18))*'V06 Curva'!$B$23,MAX(0,MIN('V06 Motor'!A70*30/'V06 Motor'!C70,20)-MAX(('V06 Motor'!A70-1)*30/'V06 Motor'!C70,19))*'V06 Curva'!$B$24,MAX(0,MIN('V06 Motor'!A70*30/'V06 Motor'!C70,21)-MAX(('V06 Motor'!A70-1)*30/'V06 Motor'!C70,20))*'V06 Curva'!$B$25,MAX(0,MIN('V06 Motor'!A70*30/'V06 Motor'!C70,22)-MAX(('V06 Motor'!A70-1)*30/'V06 Motor'!C70,21))*'V06 Curva'!$B$26,MAX(0,MIN('V06 Motor'!A70*30/'V06 Motor'!C70,23)-MAX(('V06 Motor'!A70-1)*30/'V06 Motor'!C70,22))*'V06 Curva'!$B$27,MAX(0,MIN('V06 Motor'!A70*30/'V06 Motor'!C70,24)-MAX(('V06 Motor'!A70-1)*30/'V06 Motor'!C70,23))*'V06 Curva'!$B$28,MAX(0,MIN('V06 Motor'!A70*30/'V06 Motor'!C70,25)-MAX(('V06 Motor'!A70-1)*30/'V06 Motor'!C70,24))*'V06 Curva'!$B$29,MAX(0,MIN('V06 Motor'!A70*30/'V06 Motor'!C70,26)-MAX(('V06 Motor'!A70-1)*30/'V06 Motor'!C70,25))*'V06 Curva'!$B$30,MAX(0,MIN('V06 Motor'!A70*30/'V06 Motor'!C70,27)-MAX(('V06 Motor'!A70-1)*30/'V06 Motor'!C70,26))*'V06 Curva'!$B$31,MAX(0,MIN('V06 Motor'!A70*30/'V06 Motor'!C70,28)-MAX(('V06 Motor'!A70-1)*30/'V06 Motor'!C70,27))*'V06 Curva'!$B$32,MAX(0,MIN('V06 Motor'!A70*30/'V06 Motor'!C70,29)-MAX(('V06 Motor'!A70-1)*30/'V06 Motor'!C70,28))*'V06 Curva'!$B$33,MAX(0,MIN('V06 Motor'!A70*30/'V06 Motor'!C70,30)-MAX(('V06 Motor'!A70-1)*30/'V06 Motor'!C70,29))*'V06 Curva'!$B$34),0)</f>
        <v>0.0</v>
      </c>
      <c r="O70" s="2">
        <f>SUMPRODUCT(--(('V06 Unidades'!$I$5:$I$98+'V06 Controlos'!$B$37)='V06 Motor'!A70),ROUND('V06 Unidades'!$H$5:$H$98*0.05,2)+ROUND('V06 Unidades'!$H$5:$H$98*0.2,2))+SUMPRODUCT(--(IF('V06 Controlos'!$B$38&gt;0,IF(('V06 Unidades'!$L$5:$L$98+'V06 Controlos'!$B$37)&lt;'V06 Motor'!C70,'V06 Motor'!C70,('V06 Unidades'!$L$5:$L$98+'V06 Controlos'!$B$37)),('V06 Unidades'!$L$5:$L$98+'V06 Controlos'!$B$37))='V06 Motor'!A70),'V06 Unidades'!$H$5:$H$98-ROUND('V06 Unidades'!$H$5:$H$98*0.05,2)-ROUND('V06 Unidades'!$H$5:$H$98*0.2,2)-ROUND('V06 Unidades'!$H$5:$H$98*0.55,2))+SUMPRODUCT(--(IF(INT((IF('V06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Controlos'!$B$37)-1)/6),0)&gt;0),--('V06 Motor'!A70&gt;('V06 Unidades'!$I$5:$I$98+'V06 Controlos'!$B$37)),--('V06 Motor'!A70&lt;IF('V06 Controlos'!$B$38&gt;0,IF(('V06 Unidades'!$L$5:$L$98+'V06 Controlos'!$B$37)&lt;'V06 Motor'!C70,'V06 Motor'!C70,('V06 Unidades'!$L$5:$L$98+'V06 Controlos'!$B$37)),('V06 Unidades'!$L$5:$L$98+'V06 Controlos'!$B$37))),--(MOD('V06 Motor'!A70-('V06 Unidades'!$I$5:$I$98+'V06 Controlos'!$B$37),6)=0),--(('V06 Motor'!A70-('V06 Unidades'!$I$5:$I$98+'V06 Controlos'!$B$37))/6&lt;=IF(INT((IF('V06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Controlos'!$B$37)-1)/6),0)),IF('V06 Motor'!A70=('V06 Unidades'!$I$5:$I$98+'V06 Controlos'!$B$37)+6*IF(INT((IF('V06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Controlos'!$B$37)-1)/6),0)&gt;0,IF(INT((IF('V06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Controlos'!$B$37)-1)/6),0),1),2)*(IF(INT((IF('V06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Controlos'!$B$37)-1)/6),0)&gt;0,IF(INT((IF('V06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Controlos'!$B$37)-1)/6)&gt;0,INT((IF('V06 Controlos'!$B$38&gt;0,IF(('V06 Unidades'!$L$5:$L$98+'V06 Controlos'!$B$37)&lt;'V06 Motor'!C70,'V06 Motor'!C70,('V06 Unidades'!$L$5:$L$98+'V06 Controlos'!$B$37)),('V06 Unidades'!$L$5:$L$98+'V06 Controlos'!$B$37))-('V06 Unidades'!$I$5:$I$98+'V06 Controlos'!$B$37)-1)/6),0),1),2)))</f>
        <v>0.0</v>
      </c>
      <c r="P70" s="2">
        <f>SUM('V06 Calend 01'!BZ5:BZ98)</f>
        <v>0.0</v>
      </c>
    </row>
    <row r="71" spans="1:16">
      <c r="A71">
        <v>67</v>
      </c>
      <c r="C71">
        <v>30</v>
      </c>
      <c r="G71" s="2">
        <f>IF('V06 Motor'!A71&lt;='V06 Motor'!C71,SUMPRODUCT('V06 Curva'!$B$5:$B$34,IF((IF('V06 Motor'!A71*30/'V06 Motor'!C71&lt;'V06 Curva'!$A$5:$A$34,'V06 Motor'!A71*30/'V06 Motor'!C71,'V06 Curva'!$A$5:$A$34)-IF(('V06 Motor'!A71-1)*30/'V06 Motor'!C71&gt;'V06 Curva'!$A$5:$A$34-1,('V06 Motor'!A71-1)*30/'V06 Motor'!C71,'V06 Curva'!$A$5:$A$34-1))&gt;0,(IF('V06 Motor'!A71*30/'V06 Motor'!C71&lt;'V06 Curva'!$A$5:$A$34,'V06 Motor'!A71*30/'V06 Motor'!C71,'V06 Curva'!$A$5:$A$34)-IF(('V06 Motor'!A71-1)*30/'V06 Motor'!C71&gt;'V06 Curva'!$A$5:$A$34-1,('V06 Motor'!A71-1)*30/'V06 Motor'!C71,'V06 Curva'!$A$5:$A$34-1)),0)),0)</f>
        <v>0.0</v>
      </c>
      <c r="H71" s="2">
        <f>IF('V06 Motor'!A71&lt;='V06 Motor'!C71,SUM(MAX(0,MIN('V06 Motor'!A71*30/'V06 Motor'!C71,1)-MAX(('V06 Motor'!A71-1)*30/'V06 Motor'!C71,0))*'V06 Curva'!$B$5,MAX(0,MIN('V06 Motor'!A71*30/'V06 Motor'!C71,2)-MAX(('V06 Motor'!A71-1)*30/'V06 Motor'!C71,1))*'V06 Curva'!$B$6,MAX(0,MIN('V06 Motor'!A71*30/'V06 Motor'!C71,3)-MAX(('V06 Motor'!A71-1)*30/'V06 Motor'!C71,2))*'V06 Curva'!$B$7,MAX(0,MIN('V06 Motor'!A71*30/'V06 Motor'!C71,4)-MAX(('V06 Motor'!A71-1)*30/'V06 Motor'!C71,3))*'V06 Curva'!$B$8,MAX(0,MIN('V06 Motor'!A71*30/'V06 Motor'!C71,5)-MAX(('V06 Motor'!A71-1)*30/'V06 Motor'!C71,4))*'V06 Curva'!$B$9,MAX(0,MIN('V06 Motor'!A71*30/'V06 Motor'!C71,6)-MAX(('V06 Motor'!A71-1)*30/'V06 Motor'!C71,5))*'V06 Curva'!$B$10,MAX(0,MIN('V06 Motor'!A71*30/'V06 Motor'!C71,7)-MAX(('V06 Motor'!A71-1)*30/'V06 Motor'!C71,6))*'V06 Curva'!$B$11,MAX(0,MIN('V06 Motor'!A71*30/'V06 Motor'!C71,8)-MAX(('V06 Motor'!A71-1)*30/'V06 Motor'!C71,7))*'V06 Curva'!$B$12,MAX(0,MIN('V06 Motor'!A71*30/'V06 Motor'!C71,9)-MAX(('V06 Motor'!A71-1)*30/'V06 Motor'!C71,8))*'V06 Curva'!$B$13,MAX(0,MIN('V06 Motor'!A71*30/'V06 Motor'!C71,10)-MAX(('V06 Motor'!A71-1)*30/'V06 Motor'!C71,9))*'V06 Curva'!$B$14,MAX(0,MIN('V06 Motor'!A71*30/'V06 Motor'!C71,11)-MAX(('V06 Motor'!A71-1)*30/'V06 Motor'!C71,10))*'V06 Curva'!$B$15,MAX(0,MIN('V06 Motor'!A71*30/'V06 Motor'!C71,12)-MAX(('V06 Motor'!A71-1)*30/'V06 Motor'!C71,11))*'V06 Curva'!$B$16,MAX(0,MIN('V06 Motor'!A71*30/'V06 Motor'!C71,13)-MAX(('V06 Motor'!A71-1)*30/'V06 Motor'!C71,12))*'V06 Curva'!$B$17,MAX(0,MIN('V06 Motor'!A71*30/'V06 Motor'!C71,14)-MAX(('V06 Motor'!A71-1)*30/'V06 Motor'!C71,13))*'V06 Curva'!$B$18,MAX(0,MIN('V06 Motor'!A71*30/'V06 Motor'!C71,15)-MAX(('V06 Motor'!A71-1)*30/'V06 Motor'!C71,14))*'V06 Curva'!$B$19,MAX(0,MIN('V06 Motor'!A71*30/'V06 Motor'!C71,16)-MAX(('V06 Motor'!A71-1)*30/'V06 Motor'!C71,15))*'V06 Curva'!$B$20,MAX(0,MIN('V06 Motor'!A71*30/'V06 Motor'!C71,17)-MAX(('V06 Motor'!A71-1)*30/'V06 Motor'!C71,16))*'V06 Curva'!$B$21,MAX(0,MIN('V06 Motor'!A71*30/'V06 Motor'!C71,18)-MAX(('V06 Motor'!A71-1)*30/'V06 Motor'!C71,17))*'V06 Curva'!$B$22,MAX(0,MIN('V06 Motor'!A71*30/'V06 Motor'!C71,19)-MAX(('V06 Motor'!A71-1)*30/'V06 Motor'!C71,18))*'V06 Curva'!$B$23,MAX(0,MIN('V06 Motor'!A71*30/'V06 Motor'!C71,20)-MAX(('V06 Motor'!A71-1)*30/'V06 Motor'!C71,19))*'V06 Curva'!$B$24,MAX(0,MIN('V06 Motor'!A71*30/'V06 Motor'!C71,21)-MAX(('V06 Motor'!A71-1)*30/'V06 Motor'!C71,20))*'V06 Curva'!$B$25,MAX(0,MIN('V06 Motor'!A71*30/'V06 Motor'!C71,22)-MAX(('V06 Motor'!A71-1)*30/'V06 Motor'!C71,21))*'V06 Curva'!$B$26,MAX(0,MIN('V06 Motor'!A71*30/'V06 Motor'!C71,23)-MAX(('V06 Motor'!A71-1)*30/'V06 Motor'!C71,22))*'V06 Curva'!$B$27,MAX(0,MIN('V06 Motor'!A71*30/'V06 Motor'!C71,24)-MAX(('V06 Motor'!A71-1)*30/'V06 Motor'!C71,23))*'V06 Curva'!$B$28,MAX(0,MIN('V06 Motor'!A71*30/'V06 Motor'!C71,25)-MAX(('V06 Motor'!A71-1)*30/'V06 Motor'!C71,24))*'V06 Curva'!$B$29,MAX(0,MIN('V06 Motor'!A71*30/'V06 Motor'!C71,26)-MAX(('V06 Motor'!A71-1)*30/'V06 Motor'!C71,25))*'V06 Curva'!$B$30,MAX(0,MIN('V06 Motor'!A71*30/'V06 Motor'!C71,27)-MAX(('V06 Motor'!A71-1)*30/'V06 Motor'!C71,26))*'V06 Curva'!$B$31,MAX(0,MIN('V06 Motor'!A71*30/'V06 Motor'!C71,28)-MAX(('V06 Motor'!A71-1)*30/'V06 Motor'!C71,27))*'V06 Curva'!$B$32,MAX(0,MIN('V06 Motor'!A71*30/'V06 Motor'!C71,29)-MAX(('V06 Motor'!A71-1)*30/'V06 Motor'!C71,28))*'V06 Curva'!$B$33,MAX(0,MIN('V06 Motor'!A71*30/'V06 Motor'!C71,30)-MAX(('V06 Motor'!A71-1)*30/'V06 Motor'!C71,29))*'V06 Curva'!$B$34),0)</f>
        <v>0.0</v>
      </c>
      <c r="O71" s="2">
        <f>SUMPRODUCT(--(('V06 Unidades'!$I$5:$I$98+'V06 Controlos'!$B$37)='V06 Motor'!A71),ROUND('V06 Unidades'!$H$5:$H$98*0.05,2)+ROUND('V06 Unidades'!$H$5:$H$98*0.2,2))+SUMPRODUCT(--(IF('V06 Controlos'!$B$38&gt;0,IF(('V06 Unidades'!$L$5:$L$98+'V06 Controlos'!$B$37)&lt;'V06 Motor'!C71,'V06 Motor'!C71,('V06 Unidades'!$L$5:$L$98+'V06 Controlos'!$B$37)),('V06 Unidades'!$L$5:$L$98+'V06 Controlos'!$B$37))='V06 Motor'!A71),'V06 Unidades'!$H$5:$H$98-ROUND('V06 Unidades'!$H$5:$H$98*0.05,2)-ROUND('V06 Unidades'!$H$5:$H$98*0.2,2)-ROUND('V06 Unidades'!$H$5:$H$98*0.55,2))+SUMPRODUCT(--(IF(INT((IF('V06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Controlos'!$B$37)-1)/6),0)&gt;0),--('V06 Motor'!A71&gt;('V06 Unidades'!$I$5:$I$98+'V06 Controlos'!$B$37)),--('V06 Motor'!A71&lt;IF('V06 Controlos'!$B$38&gt;0,IF(('V06 Unidades'!$L$5:$L$98+'V06 Controlos'!$B$37)&lt;'V06 Motor'!C71,'V06 Motor'!C71,('V06 Unidades'!$L$5:$L$98+'V06 Controlos'!$B$37)),('V06 Unidades'!$L$5:$L$98+'V06 Controlos'!$B$37))),--(MOD('V06 Motor'!A71-('V06 Unidades'!$I$5:$I$98+'V06 Controlos'!$B$37),6)=0),--(('V06 Motor'!A71-('V06 Unidades'!$I$5:$I$98+'V06 Controlos'!$B$37))/6&lt;=IF(INT((IF('V06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Controlos'!$B$37)-1)/6),0)),IF('V06 Motor'!A71=('V06 Unidades'!$I$5:$I$98+'V06 Controlos'!$B$37)+6*IF(INT((IF('V06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Controlos'!$B$37)-1)/6),0)&gt;0,IF(INT((IF('V06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Controlos'!$B$37)-1)/6),0),1),2)*(IF(INT((IF('V06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Controlos'!$B$37)-1)/6),0)&gt;0,IF(INT((IF('V06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Controlos'!$B$37)-1)/6)&gt;0,INT((IF('V06 Controlos'!$B$38&gt;0,IF(('V06 Unidades'!$L$5:$L$98+'V06 Controlos'!$B$37)&lt;'V06 Motor'!C71,'V06 Motor'!C71,('V06 Unidades'!$L$5:$L$98+'V06 Controlos'!$B$37)),('V06 Unidades'!$L$5:$L$98+'V06 Controlos'!$B$37))-('V06 Unidades'!$I$5:$I$98+'V06 Controlos'!$B$37)-1)/6),0),1),2)))</f>
        <v>0.0</v>
      </c>
      <c r="P71" s="2">
        <f>SUM('V06 Calend 01'!CA5:CA98)</f>
        <v>0.0</v>
      </c>
    </row>
    <row r="72" spans="1:16">
      <c r="A72">
        <v>68</v>
      </c>
      <c r="C72">
        <v>30</v>
      </c>
      <c r="G72" s="2">
        <f>IF('V06 Motor'!A72&lt;='V06 Motor'!C72,SUMPRODUCT('V06 Curva'!$B$5:$B$34,IF((IF('V06 Motor'!A72*30/'V06 Motor'!C72&lt;'V06 Curva'!$A$5:$A$34,'V06 Motor'!A72*30/'V06 Motor'!C72,'V06 Curva'!$A$5:$A$34)-IF(('V06 Motor'!A72-1)*30/'V06 Motor'!C72&gt;'V06 Curva'!$A$5:$A$34-1,('V06 Motor'!A72-1)*30/'V06 Motor'!C72,'V06 Curva'!$A$5:$A$34-1))&gt;0,(IF('V06 Motor'!A72*30/'V06 Motor'!C72&lt;'V06 Curva'!$A$5:$A$34,'V06 Motor'!A72*30/'V06 Motor'!C72,'V06 Curva'!$A$5:$A$34)-IF(('V06 Motor'!A72-1)*30/'V06 Motor'!C72&gt;'V06 Curva'!$A$5:$A$34-1,('V06 Motor'!A72-1)*30/'V06 Motor'!C72,'V06 Curva'!$A$5:$A$34-1)),0)),0)</f>
        <v>0.0</v>
      </c>
      <c r="H72" s="2">
        <f>IF('V06 Motor'!A72&lt;='V06 Motor'!C72,SUM(MAX(0,MIN('V06 Motor'!A72*30/'V06 Motor'!C72,1)-MAX(('V06 Motor'!A72-1)*30/'V06 Motor'!C72,0))*'V06 Curva'!$B$5,MAX(0,MIN('V06 Motor'!A72*30/'V06 Motor'!C72,2)-MAX(('V06 Motor'!A72-1)*30/'V06 Motor'!C72,1))*'V06 Curva'!$B$6,MAX(0,MIN('V06 Motor'!A72*30/'V06 Motor'!C72,3)-MAX(('V06 Motor'!A72-1)*30/'V06 Motor'!C72,2))*'V06 Curva'!$B$7,MAX(0,MIN('V06 Motor'!A72*30/'V06 Motor'!C72,4)-MAX(('V06 Motor'!A72-1)*30/'V06 Motor'!C72,3))*'V06 Curva'!$B$8,MAX(0,MIN('V06 Motor'!A72*30/'V06 Motor'!C72,5)-MAX(('V06 Motor'!A72-1)*30/'V06 Motor'!C72,4))*'V06 Curva'!$B$9,MAX(0,MIN('V06 Motor'!A72*30/'V06 Motor'!C72,6)-MAX(('V06 Motor'!A72-1)*30/'V06 Motor'!C72,5))*'V06 Curva'!$B$10,MAX(0,MIN('V06 Motor'!A72*30/'V06 Motor'!C72,7)-MAX(('V06 Motor'!A72-1)*30/'V06 Motor'!C72,6))*'V06 Curva'!$B$11,MAX(0,MIN('V06 Motor'!A72*30/'V06 Motor'!C72,8)-MAX(('V06 Motor'!A72-1)*30/'V06 Motor'!C72,7))*'V06 Curva'!$B$12,MAX(0,MIN('V06 Motor'!A72*30/'V06 Motor'!C72,9)-MAX(('V06 Motor'!A72-1)*30/'V06 Motor'!C72,8))*'V06 Curva'!$B$13,MAX(0,MIN('V06 Motor'!A72*30/'V06 Motor'!C72,10)-MAX(('V06 Motor'!A72-1)*30/'V06 Motor'!C72,9))*'V06 Curva'!$B$14,MAX(0,MIN('V06 Motor'!A72*30/'V06 Motor'!C72,11)-MAX(('V06 Motor'!A72-1)*30/'V06 Motor'!C72,10))*'V06 Curva'!$B$15,MAX(0,MIN('V06 Motor'!A72*30/'V06 Motor'!C72,12)-MAX(('V06 Motor'!A72-1)*30/'V06 Motor'!C72,11))*'V06 Curva'!$B$16,MAX(0,MIN('V06 Motor'!A72*30/'V06 Motor'!C72,13)-MAX(('V06 Motor'!A72-1)*30/'V06 Motor'!C72,12))*'V06 Curva'!$B$17,MAX(0,MIN('V06 Motor'!A72*30/'V06 Motor'!C72,14)-MAX(('V06 Motor'!A72-1)*30/'V06 Motor'!C72,13))*'V06 Curva'!$B$18,MAX(0,MIN('V06 Motor'!A72*30/'V06 Motor'!C72,15)-MAX(('V06 Motor'!A72-1)*30/'V06 Motor'!C72,14))*'V06 Curva'!$B$19,MAX(0,MIN('V06 Motor'!A72*30/'V06 Motor'!C72,16)-MAX(('V06 Motor'!A72-1)*30/'V06 Motor'!C72,15))*'V06 Curva'!$B$20,MAX(0,MIN('V06 Motor'!A72*30/'V06 Motor'!C72,17)-MAX(('V06 Motor'!A72-1)*30/'V06 Motor'!C72,16))*'V06 Curva'!$B$21,MAX(0,MIN('V06 Motor'!A72*30/'V06 Motor'!C72,18)-MAX(('V06 Motor'!A72-1)*30/'V06 Motor'!C72,17))*'V06 Curva'!$B$22,MAX(0,MIN('V06 Motor'!A72*30/'V06 Motor'!C72,19)-MAX(('V06 Motor'!A72-1)*30/'V06 Motor'!C72,18))*'V06 Curva'!$B$23,MAX(0,MIN('V06 Motor'!A72*30/'V06 Motor'!C72,20)-MAX(('V06 Motor'!A72-1)*30/'V06 Motor'!C72,19))*'V06 Curva'!$B$24,MAX(0,MIN('V06 Motor'!A72*30/'V06 Motor'!C72,21)-MAX(('V06 Motor'!A72-1)*30/'V06 Motor'!C72,20))*'V06 Curva'!$B$25,MAX(0,MIN('V06 Motor'!A72*30/'V06 Motor'!C72,22)-MAX(('V06 Motor'!A72-1)*30/'V06 Motor'!C72,21))*'V06 Curva'!$B$26,MAX(0,MIN('V06 Motor'!A72*30/'V06 Motor'!C72,23)-MAX(('V06 Motor'!A72-1)*30/'V06 Motor'!C72,22))*'V06 Curva'!$B$27,MAX(0,MIN('V06 Motor'!A72*30/'V06 Motor'!C72,24)-MAX(('V06 Motor'!A72-1)*30/'V06 Motor'!C72,23))*'V06 Curva'!$B$28,MAX(0,MIN('V06 Motor'!A72*30/'V06 Motor'!C72,25)-MAX(('V06 Motor'!A72-1)*30/'V06 Motor'!C72,24))*'V06 Curva'!$B$29,MAX(0,MIN('V06 Motor'!A72*30/'V06 Motor'!C72,26)-MAX(('V06 Motor'!A72-1)*30/'V06 Motor'!C72,25))*'V06 Curva'!$B$30,MAX(0,MIN('V06 Motor'!A72*30/'V06 Motor'!C72,27)-MAX(('V06 Motor'!A72-1)*30/'V06 Motor'!C72,26))*'V06 Curva'!$B$31,MAX(0,MIN('V06 Motor'!A72*30/'V06 Motor'!C72,28)-MAX(('V06 Motor'!A72-1)*30/'V06 Motor'!C72,27))*'V06 Curva'!$B$32,MAX(0,MIN('V06 Motor'!A72*30/'V06 Motor'!C72,29)-MAX(('V06 Motor'!A72-1)*30/'V06 Motor'!C72,28))*'V06 Curva'!$B$33,MAX(0,MIN('V06 Motor'!A72*30/'V06 Motor'!C72,30)-MAX(('V06 Motor'!A72-1)*30/'V06 Motor'!C72,29))*'V06 Curva'!$B$34),0)</f>
        <v>0.0</v>
      </c>
      <c r="O72" s="2">
        <f>SUMPRODUCT(--(('V06 Unidades'!$I$5:$I$98+'V06 Controlos'!$B$37)='V06 Motor'!A72),ROUND('V06 Unidades'!$H$5:$H$98*0.05,2)+ROUND('V06 Unidades'!$H$5:$H$98*0.2,2))+SUMPRODUCT(--(IF('V06 Controlos'!$B$38&gt;0,IF(('V06 Unidades'!$L$5:$L$98+'V06 Controlos'!$B$37)&lt;'V06 Motor'!C72,'V06 Motor'!C72,('V06 Unidades'!$L$5:$L$98+'V06 Controlos'!$B$37)),('V06 Unidades'!$L$5:$L$98+'V06 Controlos'!$B$37))='V06 Motor'!A72),'V06 Unidades'!$H$5:$H$98-ROUND('V06 Unidades'!$H$5:$H$98*0.05,2)-ROUND('V06 Unidades'!$H$5:$H$98*0.2,2)-ROUND('V06 Unidades'!$H$5:$H$98*0.55,2))+SUMPRODUCT(--(IF(INT((IF('V06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Controlos'!$B$37)-1)/6),0)&gt;0),--('V06 Motor'!A72&gt;('V06 Unidades'!$I$5:$I$98+'V06 Controlos'!$B$37)),--('V06 Motor'!A72&lt;IF('V06 Controlos'!$B$38&gt;0,IF(('V06 Unidades'!$L$5:$L$98+'V06 Controlos'!$B$37)&lt;'V06 Motor'!C72,'V06 Motor'!C72,('V06 Unidades'!$L$5:$L$98+'V06 Controlos'!$B$37)),('V06 Unidades'!$L$5:$L$98+'V06 Controlos'!$B$37))),--(MOD('V06 Motor'!A72-('V06 Unidades'!$I$5:$I$98+'V06 Controlos'!$B$37),6)=0),--(('V06 Motor'!A72-('V06 Unidades'!$I$5:$I$98+'V06 Controlos'!$B$37))/6&lt;=IF(INT((IF('V06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Controlos'!$B$37)-1)/6),0)),IF('V06 Motor'!A72=('V06 Unidades'!$I$5:$I$98+'V06 Controlos'!$B$37)+6*IF(INT((IF('V06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Controlos'!$B$37)-1)/6),0)&gt;0,IF(INT((IF('V06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Controlos'!$B$37)-1)/6),0),1),2)*(IF(INT((IF('V06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Controlos'!$B$37)-1)/6),0)&gt;0,IF(INT((IF('V06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Controlos'!$B$37)-1)/6)&gt;0,INT((IF('V06 Controlos'!$B$38&gt;0,IF(('V06 Unidades'!$L$5:$L$98+'V06 Controlos'!$B$37)&lt;'V06 Motor'!C72,'V06 Motor'!C72,('V06 Unidades'!$L$5:$L$98+'V06 Controlos'!$B$37)),('V06 Unidades'!$L$5:$L$98+'V06 Controlos'!$B$37))-('V06 Unidades'!$I$5:$I$98+'V06 Controlos'!$B$37)-1)/6),0),1),2)))</f>
        <v>0.0</v>
      </c>
      <c r="P72" s="2">
        <f>SUM('V06 Calend 01'!CB5:CB98)</f>
        <v>0.0</v>
      </c>
    </row>
    <row r="73" spans="1:16">
      <c r="A73">
        <v>69</v>
      </c>
      <c r="C73">
        <v>30</v>
      </c>
      <c r="G73" s="2">
        <f>IF('V06 Motor'!A73&lt;='V06 Motor'!C73,SUMPRODUCT('V06 Curva'!$B$5:$B$34,IF((IF('V06 Motor'!A73*30/'V06 Motor'!C73&lt;'V06 Curva'!$A$5:$A$34,'V06 Motor'!A73*30/'V06 Motor'!C73,'V06 Curva'!$A$5:$A$34)-IF(('V06 Motor'!A73-1)*30/'V06 Motor'!C73&gt;'V06 Curva'!$A$5:$A$34-1,('V06 Motor'!A73-1)*30/'V06 Motor'!C73,'V06 Curva'!$A$5:$A$34-1))&gt;0,(IF('V06 Motor'!A73*30/'V06 Motor'!C73&lt;'V06 Curva'!$A$5:$A$34,'V06 Motor'!A73*30/'V06 Motor'!C73,'V06 Curva'!$A$5:$A$34)-IF(('V06 Motor'!A73-1)*30/'V06 Motor'!C73&gt;'V06 Curva'!$A$5:$A$34-1,('V06 Motor'!A73-1)*30/'V06 Motor'!C73,'V06 Curva'!$A$5:$A$34-1)),0)),0)</f>
        <v>0.0</v>
      </c>
      <c r="H73" s="2">
        <f>IF('V06 Motor'!A73&lt;='V06 Motor'!C73,SUM(MAX(0,MIN('V06 Motor'!A73*30/'V06 Motor'!C73,1)-MAX(('V06 Motor'!A73-1)*30/'V06 Motor'!C73,0))*'V06 Curva'!$B$5,MAX(0,MIN('V06 Motor'!A73*30/'V06 Motor'!C73,2)-MAX(('V06 Motor'!A73-1)*30/'V06 Motor'!C73,1))*'V06 Curva'!$B$6,MAX(0,MIN('V06 Motor'!A73*30/'V06 Motor'!C73,3)-MAX(('V06 Motor'!A73-1)*30/'V06 Motor'!C73,2))*'V06 Curva'!$B$7,MAX(0,MIN('V06 Motor'!A73*30/'V06 Motor'!C73,4)-MAX(('V06 Motor'!A73-1)*30/'V06 Motor'!C73,3))*'V06 Curva'!$B$8,MAX(0,MIN('V06 Motor'!A73*30/'V06 Motor'!C73,5)-MAX(('V06 Motor'!A73-1)*30/'V06 Motor'!C73,4))*'V06 Curva'!$B$9,MAX(0,MIN('V06 Motor'!A73*30/'V06 Motor'!C73,6)-MAX(('V06 Motor'!A73-1)*30/'V06 Motor'!C73,5))*'V06 Curva'!$B$10,MAX(0,MIN('V06 Motor'!A73*30/'V06 Motor'!C73,7)-MAX(('V06 Motor'!A73-1)*30/'V06 Motor'!C73,6))*'V06 Curva'!$B$11,MAX(0,MIN('V06 Motor'!A73*30/'V06 Motor'!C73,8)-MAX(('V06 Motor'!A73-1)*30/'V06 Motor'!C73,7))*'V06 Curva'!$B$12,MAX(0,MIN('V06 Motor'!A73*30/'V06 Motor'!C73,9)-MAX(('V06 Motor'!A73-1)*30/'V06 Motor'!C73,8))*'V06 Curva'!$B$13,MAX(0,MIN('V06 Motor'!A73*30/'V06 Motor'!C73,10)-MAX(('V06 Motor'!A73-1)*30/'V06 Motor'!C73,9))*'V06 Curva'!$B$14,MAX(0,MIN('V06 Motor'!A73*30/'V06 Motor'!C73,11)-MAX(('V06 Motor'!A73-1)*30/'V06 Motor'!C73,10))*'V06 Curva'!$B$15,MAX(0,MIN('V06 Motor'!A73*30/'V06 Motor'!C73,12)-MAX(('V06 Motor'!A73-1)*30/'V06 Motor'!C73,11))*'V06 Curva'!$B$16,MAX(0,MIN('V06 Motor'!A73*30/'V06 Motor'!C73,13)-MAX(('V06 Motor'!A73-1)*30/'V06 Motor'!C73,12))*'V06 Curva'!$B$17,MAX(0,MIN('V06 Motor'!A73*30/'V06 Motor'!C73,14)-MAX(('V06 Motor'!A73-1)*30/'V06 Motor'!C73,13))*'V06 Curva'!$B$18,MAX(0,MIN('V06 Motor'!A73*30/'V06 Motor'!C73,15)-MAX(('V06 Motor'!A73-1)*30/'V06 Motor'!C73,14))*'V06 Curva'!$B$19,MAX(0,MIN('V06 Motor'!A73*30/'V06 Motor'!C73,16)-MAX(('V06 Motor'!A73-1)*30/'V06 Motor'!C73,15))*'V06 Curva'!$B$20,MAX(0,MIN('V06 Motor'!A73*30/'V06 Motor'!C73,17)-MAX(('V06 Motor'!A73-1)*30/'V06 Motor'!C73,16))*'V06 Curva'!$B$21,MAX(0,MIN('V06 Motor'!A73*30/'V06 Motor'!C73,18)-MAX(('V06 Motor'!A73-1)*30/'V06 Motor'!C73,17))*'V06 Curva'!$B$22,MAX(0,MIN('V06 Motor'!A73*30/'V06 Motor'!C73,19)-MAX(('V06 Motor'!A73-1)*30/'V06 Motor'!C73,18))*'V06 Curva'!$B$23,MAX(0,MIN('V06 Motor'!A73*30/'V06 Motor'!C73,20)-MAX(('V06 Motor'!A73-1)*30/'V06 Motor'!C73,19))*'V06 Curva'!$B$24,MAX(0,MIN('V06 Motor'!A73*30/'V06 Motor'!C73,21)-MAX(('V06 Motor'!A73-1)*30/'V06 Motor'!C73,20))*'V06 Curva'!$B$25,MAX(0,MIN('V06 Motor'!A73*30/'V06 Motor'!C73,22)-MAX(('V06 Motor'!A73-1)*30/'V06 Motor'!C73,21))*'V06 Curva'!$B$26,MAX(0,MIN('V06 Motor'!A73*30/'V06 Motor'!C73,23)-MAX(('V06 Motor'!A73-1)*30/'V06 Motor'!C73,22))*'V06 Curva'!$B$27,MAX(0,MIN('V06 Motor'!A73*30/'V06 Motor'!C73,24)-MAX(('V06 Motor'!A73-1)*30/'V06 Motor'!C73,23))*'V06 Curva'!$B$28,MAX(0,MIN('V06 Motor'!A73*30/'V06 Motor'!C73,25)-MAX(('V06 Motor'!A73-1)*30/'V06 Motor'!C73,24))*'V06 Curva'!$B$29,MAX(0,MIN('V06 Motor'!A73*30/'V06 Motor'!C73,26)-MAX(('V06 Motor'!A73-1)*30/'V06 Motor'!C73,25))*'V06 Curva'!$B$30,MAX(0,MIN('V06 Motor'!A73*30/'V06 Motor'!C73,27)-MAX(('V06 Motor'!A73-1)*30/'V06 Motor'!C73,26))*'V06 Curva'!$B$31,MAX(0,MIN('V06 Motor'!A73*30/'V06 Motor'!C73,28)-MAX(('V06 Motor'!A73-1)*30/'V06 Motor'!C73,27))*'V06 Curva'!$B$32,MAX(0,MIN('V06 Motor'!A73*30/'V06 Motor'!C73,29)-MAX(('V06 Motor'!A73-1)*30/'V06 Motor'!C73,28))*'V06 Curva'!$B$33,MAX(0,MIN('V06 Motor'!A73*30/'V06 Motor'!C73,30)-MAX(('V06 Motor'!A73-1)*30/'V06 Motor'!C73,29))*'V06 Curva'!$B$34),0)</f>
        <v>0.0</v>
      </c>
      <c r="O73" s="2">
        <f>SUMPRODUCT(--(('V06 Unidades'!$I$5:$I$98+'V06 Controlos'!$B$37)='V06 Motor'!A73),ROUND('V06 Unidades'!$H$5:$H$98*0.05,2)+ROUND('V06 Unidades'!$H$5:$H$98*0.2,2))+SUMPRODUCT(--(IF('V06 Controlos'!$B$38&gt;0,IF(('V06 Unidades'!$L$5:$L$98+'V06 Controlos'!$B$37)&lt;'V06 Motor'!C73,'V06 Motor'!C73,('V06 Unidades'!$L$5:$L$98+'V06 Controlos'!$B$37)),('V06 Unidades'!$L$5:$L$98+'V06 Controlos'!$B$37))='V06 Motor'!A73),'V06 Unidades'!$H$5:$H$98-ROUND('V06 Unidades'!$H$5:$H$98*0.05,2)-ROUND('V06 Unidades'!$H$5:$H$98*0.2,2)-ROUND('V06 Unidades'!$H$5:$H$98*0.55,2))+SUMPRODUCT(--(IF(INT((IF('V06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Controlos'!$B$37)-1)/6),0)&gt;0),--('V06 Motor'!A73&gt;('V06 Unidades'!$I$5:$I$98+'V06 Controlos'!$B$37)),--('V06 Motor'!A73&lt;IF('V06 Controlos'!$B$38&gt;0,IF(('V06 Unidades'!$L$5:$L$98+'V06 Controlos'!$B$37)&lt;'V06 Motor'!C73,'V06 Motor'!C73,('V06 Unidades'!$L$5:$L$98+'V06 Controlos'!$B$37)),('V06 Unidades'!$L$5:$L$98+'V06 Controlos'!$B$37))),--(MOD('V06 Motor'!A73-('V06 Unidades'!$I$5:$I$98+'V06 Controlos'!$B$37),6)=0),--(('V06 Motor'!A73-('V06 Unidades'!$I$5:$I$98+'V06 Controlos'!$B$37))/6&lt;=IF(INT((IF('V06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Controlos'!$B$37)-1)/6),0)),IF('V06 Motor'!A73=('V06 Unidades'!$I$5:$I$98+'V06 Controlos'!$B$37)+6*IF(INT((IF('V06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Controlos'!$B$37)-1)/6),0)&gt;0,IF(INT((IF('V06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Controlos'!$B$37)-1)/6),0),1),2)*(IF(INT((IF('V06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Controlos'!$B$37)-1)/6),0)&gt;0,IF(INT((IF('V06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Controlos'!$B$37)-1)/6)&gt;0,INT((IF('V06 Controlos'!$B$38&gt;0,IF(('V06 Unidades'!$L$5:$L$98+'V06 Controlos'!$B$37)&lt;'V06 Motor'!C73,'V06 Motor'!C73,('V06 Unidades'!$L$5:$L$98+'V06 Controlos'!$B$37)),('V06 Unidades'!$L$5:$L$98+'V06 Controlos'!$B$37))-('V06 Unidades'!$I$5:$I$98+'V06 Controlos'!$B$37)-1)/6),0),1),2)))</f>
        <v>0.0</v>
      </c>
      <c r="P73" s="2">
        <f>SUM('V06 Calend 01'!CC5:CC98)</f>
        <v>0.0</v>
      </c>
    </row>
    <row r="74" spans="1:16">
      <c r="A74">
        <v>70</v>
      </c>
      <c r="C74">
        <v>30</v>
      </c>
      <c r="G74" s="2">
        <f>IF('V06 Motor'!A74&lt;='V06 Motor'!C74,SUMPRODUCT('V06 Curva'!$B$5:$B$34,IF((IF('V06 Motor'!A74*30/'V06 Motor'!C74&lt;'V06 Curva'!$A$5:$A$34,'V06 Motor'!A74*30/'V06 Motor'!C74,'V06 Curva'!$A$5:$A$34)-IF(('V06 Motor'!A74-1)*30/'V06 Motor'!C74&gt;'V06 Curva'!$A$5:$A$34-1,('V06 Motor'!A74-1)*30/'V06 Motor'!C74,'V06 Curva'!$A$5:$A$34-1))&gt;0,(IF('V06 Motor'!A74*30/'V06 Motor'!C74&lt;'V06 Curva'!$A$5:$A$34,'V06 Motor'!A74*30/'V06 Motor'!C74,'V06 Curva'!$A$5:$A$34)-IF(('V06 Motor'!A74-1)*30/'V06 Motor'!C74&gt;'V06 Curva'!$A$5:$A$34-1,('V06 Motor'!A74-1)*30/'V06 Motor'!C74,'V06 Curva'!$A$5:$A$34-1)),0)),0)</f>
        <v>0.0</v>
      </c>
      <c r="H74" s="2">
        <f>IF('V06 Motor'!A74&lt;='V06 Motor'!C74,SUM(MAX(0,MIN('V06 Motor'!A74*30/'V06 Motor'!C74,1)-MAX(('V06 Motor'!A74-1)*30/'V06 Motor'!C74,0))*'V06 Curva'!$B$5,MAX(0,MIN('V06 Motor'!A74*30/'V06 Motor'!C74,2)-MAX(('V06 Motor'!A74-1)*30/'V06 Motor'!C74,1))*'V06 Curva'!$B$6,MAX(0,MIN('V06 Motor'!A74*30/'V06 Motor'!C74,3)-MAX(('V06 Motor'!A74-1)*30/'V06 Motor'!C74,2))*'V06 Curva'!$B$7,MAX(0,MIN('V06 Motor'!A74*30/'V06 Motor'!C74,4)-MAX(('V06 Motor'!A74-1)*30/'V06 Motor'!C74,3))*'V06 Curva'!$B$8,MAX(0,MIN('V06 Motor'!A74*30/'V06 Motor'!C74,5)-MAX(('V06 Motor'!A74-1)*30/'V06 Motor'!C74,4))*'V06 Curva'!$B$9,MAX(0,MIN('V06 Motor'!A74*30/'V06 Motor'!C74,6)-MAX(('V06 Motor'!A74-1)*30/'V06 Motor'!C74,5))*'V06 Curva'!$B$10,MAX(0,MIN('V06 Motor'!A74*30/'V06 Motor'!C74,7)-MAX(('V06 Motor'!A74-1)*30/'V06 Motor'!C74,6))*'V06 Curva'!$B$11,MAX(0,MIN('V06 Motor'!A74*30/'V06 Motor'!C74,8)-MAX(('V06 Motor'!A74-1)*30/'V06 Motor'!C74,7))*'V06 Curva'!$B$12,MAX(0,MIN('V06 Motor'!A74*30/'V06 Motor'!C74,9)-MAX(('V06 Motor'!A74-1)*30/'V06 Motor'!C74,8))*'V06 Curva'!$B$13,MAX(0,MIN('V06 Motor'!A74*30/'V06 Motor'!C74,10)-MAX(('V06 Motor'!A74-1)*30/'V06 Motor'!C74,9))*'V06 Curva'!$B$14,MAX(0,MIN('V06 Motor'!A74*30/'V06 Motor'!C74,11)-MAX(('V06 Motor'!A74-1)*30/'V06 Motor'!C74,10))*'V06 Curva'!$B$15,MAX(0,MIN('V06 Motor'!A74*30/'V06 Motor'!C74,12)-MAX(('V06 Motor'!A74-1)*30/'V06 Motor'!C74,11))*'V06 Curva'!$B$16,MAX(0,MIN('V06 Motor'!A74*30/'V06 Motor'!C74,13)-MAX(('V06 Motor'!A74-1)*30/'V06 Motor'!C74,12))*'V06 Curva'!$B$17,MAX(0,MIN('V06 Motor'!A74*30/'V06 Motor'!C74,14)-MAX(('V06 Motor'!A74-1)*30/'V06 Motor'!C74,13))*'V06 Curva'!$B$18,MAX(0,MIN('V06 Motor'!A74*30/'V06 Motor'!C74,15)-MAX(('V06 Motor'!A74-1)*30/'V06 Motor'!C74,14))*'V06 Curva'!$B$19,MAX(0,MIN('V06 Motor'!A74*30/'V06 Motor'!C74,16)-MAX(('V06 Motor'!A74-1)*30/'V06 Motor'!C74,15))*'V06 Curva'!$B$20,MAX(0,MIN('V06 Motor'!A74*30/'V06 Motor'!C74,17)-MAX(('V06 Motor'!A74-1)*30/'V06 Motor'!C74,16))*'V06 Curva'!$B$21,MAX(0,MIN('V06 Motor'!A74*30/'V06 Motor'!C74,18)-MAX(('V06 Motor'!A74-1)*30/'V06 Motor'!C74,17))*'V06 Curva'!$B$22,MAX(0,MIN('V06 Motor'!A74*30/'V06 Motor'!C74,19)-MAX(('V06 Motor'!A74-1)*30/'V06 Motor'!C74,18))*'V06 Curva'!$B$23,MAX(0,MIN('V06 Motor'!A74*30/'V06 Motor'!C74,20)-MAX(('V06 Motor'!A74-1)*30/'V06 Motor'!C74,19))*'V06 Curva'!$B$24,MAX(0,MIN('V06 Motor'!A74*30/'V06 Motor'!C74,21)-MAX(('V06 Motor'!A74-1)*30/'V06 Motor'!C74,20))*'V06 Curva'!$B$25,MAX(0,MIN('V06 Motor'!A74*30/'V06 Motor'!C74,22)-MAX(('V06 Motor'!A74-1)*30/'V06 Motor'!C74,21))*'V06 Curva'!$B$26,MAX(0,MIN('V06 Motor'!A74*30/'V06 Motor'!C74,23)-MAX(('V06 Motor'!A74-1)*30/'V06 Motor'!C74,22))*'V06 Curva'!$B$27,MAX(0,MIN('V06 Motor'!A74*30/'V06 Motor'!C74,24)-MAX(('V06 Motor'!A74-1)*30/'V06 Motor'!C74,23))*'V06 Curva'!$B$28,MAX(0,MIN('V06 Motor'!A74*30/'V06 Motor'!C74,25)-MAX(('V06 Motor'!A74-1)*30/'V06 Motor'!C74,24))*'V06 Curva'!$B$29,MAX(0,MIN('V06 Motor'!A74*30/'V06 Motor'!C74,26)-MAX(('V06 Motor'!A74-1)*30/'V06 Motor'!C74,25))*'V06 Curva'!$B$30,MAX(0,MIN('V06 Motor'!A74*30/'V06 Motor'!C74,27)-MAX(('V06 Motor'!A74-1)*30/'V06 Motor'!C74,26))*'V06 Curva'!$B$31,MAX(0,MIN('V06 Motor'!A74*30/'V06 Motor'!C74,28)-MAX(('V06 Motor'!A74-1)*30/'V06 Motor'!C74,27))*'V06 Curva'!$B$32,MAX(0,MIN('V06 Motor'!A74*30/'V06 Motor'!C74,29)-MAX(('V06 Motor'!A74-1)*30/'V06 Motor'!C74,28))*'V06 Curva'!$B$33,MAX(0,MIN('V06 Motor'!A74*30/'V06 Motor'!C74,30)-MAX(('V06 Motor'!A74-1)*30/'V06 Motor'!C74,29))*'V06 Curva'!$B$34),0)</f>
        <v>0.0</v>
      </c>
      <c r="O74" s="2">
        <f>SUMPRODUCT(--(('V06 Unidades'!$I$5:$I$98+'V06 Controlos'!$B$37)='V06 Motor'!A74),ROUND('V06 Unidades'!$H$5:$H$98*0.05,2)+ROUND('V06 Unidades'!$H$5:$H$98*0.2,2))+SUMPRODUCT(--(IF('V06 Controlos'!$B$38&gt;0,IF(('V06 Unidades'!$L$5:$L$98+'V06 Controlos'!$B$37)&lt;'V06 Motor'!C74,'V06 Motor'!C74,('V06 Unidades'!$L$5:$L$98+'V06 Controlos'!$B$37)),('V06 Unidades'!$L$5:$L$98+'V06 Controlos'!$B$37))='V06 Motor'!A74),'V06 Unidades'!$H$5:$H$98-ROUND('V06 Unidades'!$H$5:$H$98*0.05,2)-ROUND('V06 Unidades'!$H$5:$H$98*0.2,2)-ROUND('V06 Unidades'!$H$5:$H$98*0.55,2))+SUMPRODUCT(--(IF(INT((IF('V06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Controlos'!$B$37)-1)/6),0)&gt;0),--('V06 Motor'!A74&gt;('V06 Unidades'!$I$5:$I$98+'V06 Controlos'!$B$37)),--('V06 Motor'!A74&lt;IF('V06 Controlos'!$B$38&gt;0,IF(('V06 Unidades'!$L$5:$L$98+'V06 Controlos'!$B$37)&lt;'V06 Motor'!C74,'V06 Motor'!C74,('V06 Unidades'!$L$5:$L$98+'V06 Controlos'!$B$37)),('V06 Unidades'!$L$5:$L$98+'V06 Controlos'!$B$37))),--(MOD('V06 Motor'!A74-('V06 Unidades'!$I$5:$I$98+'V06 Controlos'!$B$37),6)=0),--(('V06 Motor'!A74-('V06 Unidades'!$I$5:$I$98+'V06 Controlos'!$B$37))/6&lt;=IF(INT((IF('V06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Controlos'!$B$37)-1)/6),0)),IF('V06 Motor'!A74=('V06 Unidades'!$I$5:$I$98+'V06 Controlos'!$B$37)+6*IF(INT((IF('V06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Controlos'!$B$37)-1)/6),0)&gt;0,IF(INT((IF('V06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Controlos'!$B$37)-1)/6),0),1),2)*(IF(INT((IF('V06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Controlos'!$B$37)-1)/6),0)&gt;0,IF(INT((IF('V06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Controlos'!$B$37)-1)/6)&gt;0,INT((IF('V06 Controlos'!$B$38&gt;0,IF(('V06 Unidades'!$L$5:$L$98+'V06 Controlos'!$B$37)&lt;'V06 Motor'!C74,'V06 Motor'!C74,('V06 Unidades'!$L$5:$L$98+'V06 Controlos'!$B$37)),('V06 Unidades'!$L$5:$L$98+'V06 Controlos'!$B$37))-('V06 Unidades'!$I$5:$I$98+'V06 Controlos'!$B$37)-1)/6),0),1),2)))</f>
        <v>0.0</v>
      </c>
      <c r="P74" s="2">
        <f>SUM('V06 Calend 01'!CD5:CD98)</f>
        <v>0.0</v>
      </c>
    </row>
    <row r="75" spans="1:16">
      <c r="A75">
        <v>71</v>
      </c>
      <c r="C75">
        <v>30</v>
      </c>
      <c r="G75" s="2">
        <f>IF('V06 Motor'!A75&lt;='V06 Motor'!C75,SUMPRODUCT('V06 Curva'!$B$5:$B$34,IF((IF('V06 Motor'!A75*30/'V06 Motor'!C75&lt;'V06 Curva'!$A$5:$A$34,'V06 Motor'!A75*30/'V06 Motor'!C75,'V06 Curva'!$A$5:$A$34)-IF(('V06 Motor'!A75-1)*30/'V06 Motor'!C75&gt;'V06 Curva'!$A$5:$A$34-1,('V06 Motor'!A75-1)*30/'V06 Motor'!C75,'V06 Curva'!$A$5:$A$34-1))&gt;0,(IF('V06 Motor'!A75*30/'V06 Motor'!C75&lt;'V06 Curva'!$A$5:$A$34,'V06 Motor'!A75*30/'V06 Motor'!C75,'V06 Curva'!$A$5:$A$34)-IF(('V06 Motor'!A75-1)*30/'V06 Motor'!C75&gt;'V06 Curva'!$A$5:$A$34-1,('V06 Motor'!A75-1)*30/'V06 Motor'!C75,'V06 Curva'!$A$5:$A$34-1)),0)),0)</f>
        <v>0.0</v>
      </c>
      <c r="H75" s="2">
        <f>IF('V06 Motor'!A75&lt;='V06 Motor'!C75,SUM(MAX(0,MIN('V06 Motor'!A75*30/'V06 Motor'!C75,1)-MAX(('V06 Motor'!A75-1)*30/'V06 Motor'!C75,0))*'V06 Curva'!$B$5,MAX(0,MIN('V06 Motor'!A75*30/'V06 Motor'!C75,2)-MAX(('V06 Motor'!A75-1)*30/'V06 Motor'!C75,1))*'V06 Curva'!$B$6,MAX(0,MIN('V06 Motor'!A75*30/'V06 Motor'!C75,3)-MAX(('V06 Motor'!A75-1)*30/'V06 Motor'!C75,2))*'V06 Curva'!$B$7,MAX(0,MIN('V06 Motor'!A75*30/'V06 Motor'!C75,4)-MAX(('V06 Motor'!A75-1)*30/'V06 Motor'!C75,3))*'V06 Curva'!$B$8,MAX(0,MIN('V06 Motor'!A75*30/'V06 Motor'!C75,5)-MAX(('V06 Motor'!A75-1)*30/'V06 Motor'!C75,4))*'V06 Curva'!$B$9,MAX(0,MIN('V06 Motor'!A75*30/'V06 Motor'!C75,6)-MAX(('V06 Motor'!A75-1)*30/'V06 Motor'!C75,5))*'V06 Curva'!$B$10,MAX(0,MIN('V06 Motor'!A75*30/'V06 Motor'!C75,7)-MAX(('V06 Motor'!A75-1)*30/'V06 Motor'!C75,6))*'V06 Curva'!$B$11,MAX(0,MIN('V06 Motor'!A75*30/'V06 Motor'!C75,8)-MAX(('V06 Motor'!A75-1)*30/'V06 Motor'!C75,7))*'V06 Curva'!$B$12,MAX(0,MIN('V06 Motor'!A75*30/'V06 Motor'!C75,9)-MAX(('V06 Motor'!A75-1)*30/'V06 Motor'!C75,8))*'V06 Curva'!$B$13,MAX(0,MIN('V06 Motor'!A75*30/'V06 Motor'!C75,10)-MAX(('V06 Motor'!A75-1)*30/'V06 Motor'!C75,9))*'V06 Curva'!$B$14,MAX(0,MIN('V06 Motor'!A75*30/'V06 Motor'!C75,11)-MAX(('V06 Motor'!A75-1)*30/'V06 Motor'!C75,10))*'V06 Curva'!$B$15,MAX(0,MIN('V06 Motor'!A75*30/'V06 Motor'!C75,12)-MAX(('V06 Motor'!A75-1)*30/'V06 Motor'!C75,11))*'V06 Curva'!$B$16,MAX(0,MIN('V06 Motor'!A75*30/'V06 Motor'!C75,13)-MAX(('V06 Motor'!A75-1)*30/'V06 Motor'!C75,12))*'V06 Curva'!$B$17,MAX(0,MIN('V06 Motor'!A75*30/'V06 Motor'!C75,14)-MAX(('V06 Motor'!A75-1)*30/'V06 Motor'!C75,13))*'V06 Curva'!$B$18,MAX(0,MIN('V06 Motor'!A75*30/'V06 Motor'!C75,15)-MAX(('V06 Motor'!A75-1)*30/'V06 Motor'!C75,14))*'V06 Curva'!$B$19,MAX(0,MIN('V06 Motor'!A75*30/'V06 Motor'!C75,16)-MAX(('V06 Motor'!A75-1)*30/'V06 Motor'!C75,15))*'V06 Curva'!$B$20,MAX(0,MIN('V06 Motor'!A75*30/'V06 Motor'!C75,17)-MAX(('V06 Motor'!A75-1)*30/'V06 Motor'!C75,16))*'V06 Curva'!$B$21,MAX(0,MIN('V06 Motor'!A75*30/'V06 Motor'!C75,18)-MAX(('V06 Motor'!A75-1)*30/'V06 Motor'!C75,17))*'V06 Curva'!$B$22,MAX(0,MIN('V06 Motor'!A75*30/'V06 Motor'!C75,19)-MAX(('V06 Motor'!A75-1)*30/'V06 Motor'!C75,18))*'V06 Curva'!$B$23,MAX(0,MIN('V06 Motor'!A75*30/'V06 Motor'!C75,20)-MAX(('V06 Motor'!A75-1)*30/'V06 Motor'!C75,19))*'V06 Curva'!$B$24,MAX(0,MIN('V06 Motor'!A75*30/'V06 Motor'!C75,21)-MAX(('V06 Motor'!A75-1)*30/'V06 Motor'!C75,20))*'V06 Curva'!$B$25,MAX(0,MIN('V06 Motor'!A75*30/'V06 Motor'!C75,22)-MAX(('V06 Motor'!A75-1)*30/'V06 Motor'!C75,21))*'V06 Curva'!$B$26,MAX(0,MIN('V06 Motor'!A75*30/'V06 Motor'!C75,23)-MAX(('V06 Motor'!A75-1)*30/'V06 Motor'!C75,22))*'V06 Curva'!$B$27,MAX(0,MIN('V06 Motor'!A75*30/'V06 Motor'!C75,24)-MAX(('V06 Motor'!A75-1)*30/'V06 Motor'!C75,23))*'V06 Curva'!$B$28,MAX(0,MIN('V06 Motor'!A75*30/'V06 Motor'!C75,25)-MAX(('V06 Motor'!A75-1)*30/'V06 Motor'!C75,24))*'V06 Curva'!$B$29,MAX(0,MIN('V06 Motor'!A75*30/'V06 Motor'!C75,26)-MAX(('V06 Motor'!A75-1)*30/'V06 Motor'!C75,25))*'V06 Curva'!$B$30,MAX(0,MIN('V06 Motor'!A75*30/'V06 Motor'!C75,27)-MAX(('V06 Motor'!A75-1)*30/'V06 Motor'!C75,26))*'V06 Curva'!$B$31,MAX(0,MIN('V06 Motor'!A75*30/'V06 Motor'!C75,28)-MAX(('V06 Motor'!A75-1)*30/'V06 Motor'!C75,27))*'V06 Curva'!$B$32,MAX(0,MIN('V06 Motor'!A75*30/'V06 Motor'!C75,29)-MAX(('V06 Motor'!A75-1)*30/'V06 Motor'!C75,28))*'V06 Curva'!$B$33,MAX(0,MIN('V06 Motor'!A75*30/'V06 Motor'!C75,30)-MAX(('V06 Motor'!A75-1)*30/'V06 Motor'!C75,29))*'V06 Curva'!$B$34),0)</f>
        <v>0.0</v>
      </c>
      <c r="O75" s="2">
        <f>SUMPRODUCT(--(('V06 Unidades'!$I$5:$I$98+'V06 Controlos'!$B$37)='V06 Motor'!A75),ROUND('V06 Unidades'!$H$5:$H$98*0.05,2)+ROUND('V06 Unidades'!$H$5:$H$98*0.2,2))+SUMPRODUCT(--(IF('V06 Controlos'!$B$38&gt;0,IF(('V06 Unidades'!$L$5:$L$98+'V06 Controlos'!$B$37)&lt;'V06 Motor'!C75,'V06 Motor'!C75,('V06 Unidades'!$L$5:$L$98+'V06 Controlos'!$B$37)),('V06 Unidades'!$L$5:$L$98+'V06 Controlos'!$B$37))='V06 Motor'!A75),'V06 Unidades'!$H$5:$H$98-ROUND('V06 Unidades'!$H$5:$H$98*0.05,2)-ROUND('V06 Unidades'!$H$5:$H$98*0.2,2)-ROUND('V06 Unidades'!$H$5:$H$98*0.55,2))+SUMPRODUCT(--(IF(INT((IF('V06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Controlos'!$B$37)-1)/6),0)&gt;0),--('V06 Motor'!A75&gt;('V06 Unidades'!$I$5:$I$98+'V06 Controlos'!$B$37)),--('V06 Motor'!A75&lt;IF('V06 Controlos'!$B$38&gt;0,IF(('V06 Unidades'!$L$5:$L$98+'V06 Controlos'!$B$37)&lt;'V06 Motor'!C75,'V06 Motor'!C75,('V06 Unidades'!$L$5:$L$98+'V06 Controlos'!$B$37)),('V06 Unidades'!$L$5:$L$98+'V06 Controlos'!$B$37))),--(MOD('V06 Motor'!A75-('V06 Unidades'!$I$5:$I$98+'V06 Controlos'!$B$37),6)=0),--(('V06 Motor'!A75-('V06 Unidades'!$I$5:$I$98+'V06 Controlos'!$B$37))/6&lt;=IF(INT((IF('V06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Controlos'!$B$37)-1)/6),0)),IF('V06 Motor'!A75=('V06 Unidades'!$I$5:$I$98+'V06 Controlos'!$B$37)+6*IF(INT((IF('V06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Controlos'!$B$37)-1)/6),0)&gt;0,IF(INT((IF('V06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Controlos'!$B$37)-1)/6),0),1),2)*(IF(INT((IF('V06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Controlos'!$B$37)-1)/6),0)&gt;0,IF(INT((IF('V06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Controlos'!$B$37)-1)/6)&gt;0,INT((IF('V06 Controlos'!$B$38&gt;0,IF(('V06 Unidades'!$L$5:$L$98+'V06 Controlos'!$B$37)&lt;'V06 Motor'!C75,'V06 Motor'!C75,('V06 Unidades'!$L$5:$L$98+'V06 Controlos'!$B$37)),('V06 Unidades'!$L$5:$L$98+'V06 Controlos'!$B$37))-('V06 Unidades'!$I$5:$I$98+'V06 Controlos'!$B$37)-1)/6),0),1),2)))</f>
        <v>0.0</v>
      </c>
      <c r="P75" s="2">
        <f>SUM('V06 Calend 01'!CE5:CE98)</f>
        <v>0.0</v>
      </c>
    </row>
    <row r="76" spans="1:16">
      <c r="A76">
        <v>72</v>
      </c>
      <c r="C76">
        <v>30</v>
      </c>
      <c r="G76" s="2">
        <f>IF('V06 Motor'!A76&lt;='V06 Motor'!C76,SUMPRODUCT('V06 Curva'!$B$5:$B$34,IF((IF('V06 Motor'!A76*30/'V06 Motor'!C76&lt;'V06 Curva'!$A$5:$A$34,'V06 Motor'!A76*30/'V06 Motor'!C76,'V06 Curva'!$A$5:$A$34)-IF(('V06 Motor'!A76-1)*30/'V06 Motor'!C76&gt;'V06 Curva'!$A$5:$A$34-1,('V06 Motor'!A76-1)*30/'V06 Motor'!C76,'V06 Curva'!$A$5:$A$34-1))&gt;0,(IF('V06 Motor'!A76*30/'V06 Motor'!C76&lt;'V06 Curva'!$A$5:$A$34,'V06 Motor'!A76*30/'V06 Motor'!C76,'V06 Curva'!$A$5:$A$34)-IF(('V06 Motor'!A76-1)*30/'V06 Motor'!C76&gt;'V06 Curva'!$A$5:$A$34-1,('V06 Motor'!A76-1)*30/'V06 Motor'!C76,'V06 Curva'!$A$5:$A$34-1)),0)),0)</f>
        <v>0.0</v>
      </c>
      <c r="H76" s="2">
        <f>IF('V06 Motor'!A76&lt;='V06 Motor'!C76,SUM(MAX(0,MIN('V06 Motor'!A76*30/'V06 Motor'!C76,1)-MAX(('V06 Motor'!A76-1)*30/'V06 Motor'!C76,0))*'V06 Curva'!$B$5,MAX(0,MIN('V06 Motor'!A76*30/'V06 Motor'!C76,2)-MAX(('V06 Motor'!A76-1)*30/'V06 Motor'!C76,1))*'V06 Curva'!$B$6,MAX(0,MIN('V06 Motor'!A76*30/'V06 Motor'!C76,3)-MAX(('V06 Motor'!A76-1)*30/'V06 Motor'!C76,2))*'V06 Curva'!$B$7,MAX(0,MIN('V06 Motor'!A76*30/'V06 Motor'!C76,4)-MAX(('V06 Motor'!A76-1)*30/'V06 Motor'!C76,3))*'V06 Curva'!$B$8,MAX(0,MIN('V06 Motor'!A76*30/'V06 Motor'!C76,5)-MAX(('V06 Motor'!A76-1)*30/'V06 Motor'!C76,4))*'V06 Curva'!$B$9,MAX(0,MIN('V06 Motor'!A76*30/'V06 Motor'!C76,6)-MAX(('V06 Motor'!A76-1)*30/'V06 Motor'!C76,5))*'V06 Curva'!$B$10,MAX(0,MIN('V06 Motor'!A76*30/'V06 Motor'!C76,7)-MAX(('V06 Motor'!A76-1)*30/'V06 Motor'!C76,6))*'V06 Curva'!$B$11,MAX(0,MIN('V06 Motor'!A76*30/'V06 Motor'!C76,8)-MAX(('V06 Motor'!A76-1)*30/'V06 Motor'!C76,7))*'V06 Curva'!$B$12,MAX(0,MIN('V06 Motor'!A76*30/'V06 Motor'!C76,9)-MAX(('V06 Motor'!A76-1)*30/'V06 Motor'!C76,8))*'V06 Curva'!$B$13,MAX(0,MIN('V06 Motor'!A76*30/'V06 Motor'!C76,10)-MAX(('V06 Motor'!A76-1)*30/'V06 Motor'!C76,9))*'V06 Curva'!$B$14,MAX(0,MIN('V06 Motor'!A76*30/'V06 Motor'!C76,11)-MAX(('V06 Motor'!A76-1)*30/'V06 Motor'!C76,10))*'V06 Curva'!$B$15,MAX(0,MIN('V06 Motor'!A76*30/'V06 Motor'!C76,12)-MAX(('V06 Motor'!A76-1)*30/'V06 Motor'!C76,11))*'V06 Curva'!$B$16,MAX(0,MIN('V06 Motor'!A76*30/'V06 Motor'!C76,13)-MAX(('V06 Motor'!A76-1)*30/'V06 Motor'!C76,12))*'V06 Curva'!$B$17,MAX(0,MIN('V06 Motor'!A76*30/'V06 Motor'!C76,14)-MAX(('V06 Motor'!A76-1)*30/'V06 Motor'!C76,13))*'V06 Curva'!$B$18,MAX(0,MIN('V06 Motor'!A76*30/'V06 Motor'!C76,15)-MAX(('V06 Motor'!A76-1)*30/'V06 Motor'!C76,14))*'V06 Curva'!$B$19,MAX(0,MIN('V06 Motor'!A76*30/'V06 Motor'!C76,16)-MAX(('V06 Motor'!A76-1)*30/'V06 Motor'!C76,15))*'V06 Curva'!$B$20,MAX(0,MIN('V06 Motor'!A76*30/'V06 Motor'!C76,17)-MAX(('V06 Motor'!A76-1)*30/'V06 Motor'!C76,16))*'V06 Curva'!$B$21,MAX(0,MIN('V06 Motor'!A76*30/'V06 Motor'!C76,18)-MAX(('V06 Motor'!A76-1)*30/'V06 Motor'!C76,17))*'V06 Curva'!$B$22,MAX(0,MIN('V06 Motor'!A76*30/'V06 Motor'!C76,19)-MAX(('V06 Motor'!A76-1)*30/'V06 Motor'!C76,18))*'V06 Curva'!$B$23,MAX(0,MIN('V06 Motor'!A76*30/'V06 Motor'!C76,20)-MAX(('V06 Motor'!A76-1)*30/'V06 Motor'!C76,19))*'V06 Curva'!$B$24,MAX(0,MIN('V06 Motor'!A76*30/'V06 Motor'!C76,21)-MAX(('V06 Motor'!A76-1)*30/'V06 Motor'!C76,20))*'V06 Curva'!$B$25,MAX(0,MIN('V06 Motor'!A76*30/'V06 Motor'!C76,22)-MAX(('V06 Motor'!A76-1)*30/'V06 Motor'!C76,21))*'V06 Curva'!$B$26,MAX(0,MIN('V06 Motor'!A76*30/'V06 Motor'!C76,23)-MAX(('V06 Motor'!A76-1)*30/'V06 Motor'!C76,22))*'V06 Curva'!$B$27,MAX(0,MIN('V06 Motor'!A76*30/'V06 Motor'!C76,24)-MAX(('V06 Motor'!A76-1)*30/'V06 Motor'!C76,23))*'V06 Curva'!$B$28,MAX(0,MIN('V06 Motor'!A76*30/'V06 Motor'!C76,25)-MAX(('V06 Motor'!A76-1)*30/'V06 Motor'!C76,24))*'V06 Curva'!$B$29,MAX(0,MIN('V06 Motor'!A76*30/'V06 Motor'!C76,26)-MAX(('V06 Motor'!A76-1)*30/'V06 Motor'!C76,25))*'V06 Curva'!$B$30,MAX(0,MIN('V06 Motor'!A76*30/'V06 Motor'!C76,27)-MAX(('V06 Motor'!A76-1)*30/'V06 Motor'!C76,26))*'V06 Curva'!$B$31,MAX(0,MIN('V06 Motor'!A76*30/'V06 Motor'!C76,28)-MAX(('V06 Motor'!A76-1)*30/'V06 Motor'!C76,27))*'V06 Curva'!$B$32,MAX(0,MIN('V06 Motor'!A76*30/'V06 Motor'!C76,29)-MAX(('V06 Motor'!A76-1)*30/'V06 Motor'!C76,28))*'V06 Curva'!$B$33,MAX(0,MIN('V06 Motor'!A76*30/'V06 Motor'!C76,30)-MAX(('V06 Motor'!A76-1)*30/'V06 Motor'!C76,29))*'V06 Curva'!$B$34),0)</f>
        <v>0.0</v>
      </c>
      <c r="O76" s="2">
        <f>SUMPRODUCT(--(('V06 Unidades'!$I$5:$I$98+'V06 Controlos'!$B$37)='V06 Motor'!A76),ROUND('V06 Unidades'!$H$5:$H$98*0.05,2)+ROUND('V06 Unidades'!$H$5:$H$98*0.2,2))+SUMPRODUCT(--(IF('V06 Controlos'!$B$38&gt;0,IF(('V06 Unidades'!$L$5:$L$98+'V06 Controlos'!$B$37)&lt;'V06 Motor'!C76,'V06 Motor'!C76,('V06 Unidades'!$L$5:$L$98+'V06 Controlos'!$B$37)),('V06 Unidades'!$L$5:$L$98+'V06 Controlos'!$B$37))='V06 Motor'!A76),'V06 Unidades'!$H$5:$H$98-ROUND('V06 Unidades'!$H$5:$H$98*0.05,2)-ROUND('V06 Unidades'!$H$5:$H$98*0.2,2)-ROUND('V06 Unidades'!$H$5:$H$98*0.55,2))+SUMPRODUCT(--(IF(INT((IF('V06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Controlos'!$B$37)-1)/6),0)&gt;0),--('V06 Motor'!A76&gt;('V06 Unidades'!$I$5:$I$98+'V06 Controlos'!$B$37)),--('V06 Motor'!A76&lt;IF('V06 Controlos'!$B$38&gt;0,IF(('V06 Unidades'!$L$5:$L$98+'V06 Controlos'!$B$37)&lt;'V06 Motor'!C76,'V06 Motor'!C76,('V06 Unidades'!$L$5:$L$98+'V06 Controlos'!$B$37)),('V06 Unidades'!$L$5:$L$98+'V06 Controlos'!$B$37))),--(MOD('V06 Motor'!A76-('V06 Unidades'!$I$5:$I$98+'V06 Controlos'!$B$37),6)=0),--(('V06 Motor'!A76-('V06 Unidades'!$I$5:$I$98+'V06 Controlos'!$B$37))/6&lt;=IF(INT((IF('V06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Controlos'!$B$37)-1)/6),0)),IF('V06 Motor'!A76=('V06 Unidades'!$I$5:$I$98+'V06 Controlos'!$B$37)+6*IF(INT((IF('V06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Controlos'!$B$37)-1)/6),0)&gt;0,IF(INT((IF('V06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Controlos'!$B$37)-1)/6),0),1),2)*(IF(INT((IF('V06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Controlos'!$B$37)-1)/6),0)&gt;0,IF(INT((IF('V06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Controlos'!$B$37)-1)/6)&gt;0,INT((IF('V06 Controlos'!$B$38&gt;0,IF(('V06 Unidades'!$L$5:$L$98+'V06 Controlos'!$B$37)&lt;'V06 Motor'!C76,'V06 Motor'!C76,('V06 Unidades'!$L$5:$L$98+'V06 Controlos'!$B$37)),('V06 Unidades'!$L$5:$L$98+'V06 Controlos'!$B$37))-('V06 Unidades'!$I$5:$I$98+'V06 Controlos'!$B$37)-1)/6),0),1),2)))</f>
        <v>0.0</v>
      </c>
      <c r="P76" s="2">
        <f>SUM('V06 Calend 01'!CF5:CF98)</f>
        <v>0.0</v>
      </c>
    </row>
    <row r="77" spans="1:16">
      <c r="A77">
        <v>73</v>
      </c>
      <c r="C77">
        <v>30</v>
      </c>
      <c r="G77" s="2">
        <f>IF('V06 Motor'!A77&lt;='V06 Motor'!C77,SUMPRODUCT('V06 Curva'!$B$5:$B$34,IF((IF('V06 Motor'!A77*30/'V06 Motor'!C77&lt;'V06 Curva'!$A$5:$A$34,'V06 Motor'!A77*30/'V06 Motor'!C77,'V06 Curva'!$A$5:$A$34)-IF(('V06 Motor'!A77-1)*30/'V06 Motor'!C77&gt;'V06 Curva'!$A$5:$A$34-1,('V06 Motor'!A77-1)*30/'V06 Motor'!C77,'V06 Curva'!$A$5:$A$34-1))&gt;0,(IF('V06 Motor'!A77*30/'V06 Motor'!C77&lt;'V06 Curva'!$A$5:$A$34,'V06 Motor'!A77*30/'V06 Motor'!C77,'V06 Curva'!$A$5:$A$34)-IF(('V06 Motor'!A77-1)*30/'V06 Motor'!C77&gt;'V06 Curva'!$A$5:$A$34-1,('V06 Motor'!A77-1)*30/'V06 Motor'!C77,'V06 Curva'!$A$5:$A$34-1)),0)),0)</f>
        <v>0.0</v>
      </c>
      <c r="H77" s="2">
        <f>IF('V06 Motor'!A77&lt;='V06 Motor'!C77,SUM(MAX(0,MIN('V06 Motor'!A77*30/'V06 Motor'!C77,1)-MAX(('V06 Motor'!A77-1)*30/'V06 Motor'!C77,0))*'V06 Curva'!$B$5,MAX(0,MIN('V06 Motor'!A77*30/'V06 Motor'!C77,2)-MAX(('V06 Motor'!A77-1)*30/'V06 Motor'!C77,1))*'V06 Curva'!$B$6,MAX(0,MIN('V06 Motor'!A77*30/'V06 Motor'!C77,3)-MAX(('V06 Motor'!A77-1)*30/'V06 Motor'!C77,2))*'V06 Curva'!$B$7,MAX(0,MIN('V06 Motor'!A77*30/'V06 Motor'!C77,4)-MAX(('V06 Motor'!A77-1)*30/'V06 Motor'!C77,3))*'V06 Curva'!$B$8,MAX(0,MIN('V06 Motor'!A77*30/'V06 Motor'!C77,5)-MAX(('V06 Motor'!A77-1)*30/'V06 Motor'!C77,4))*'V06 Curva'!$B$9,MAX(0,MIN('V06 Motor'!A77*30/'V06 Motor'!C77,6)-MAX(('V06 Motor'!A77-1)*30/'V06 Motor'!C77,5))*'V06 Curva'!$B$10,MAX(0,MIN('V06 Motor'!A77*30/'V06 Motor'!C77,7)-MAX(('V06 Motor'!A77-1)*30/'V06 Motor'!C77,6))*'V06 Curva'!$B$11,MAX(0,MIN('V06 Motor'!A77*30/'V06 Motor'!C77,8)-MAX(('V06 Motor'!A77-1)*30/'V06 Motor'!C77,7))*'V06 Curva'!$B$12,MAX(0,MIN('V06 Motor'!A77*30/'V06 Motor'!C77,9)-MAX(('V06 Motor'!A77-1)*30/'V06 Motor'!C77,8))*'V06 Curva'!$B$13,MAX(0,MIN('V06 Motor'!A77*30/'V06 Motor'!C77,10)-MAX(('V06 Motor'!A77-1)*30/'V06 Motor'!C77,9))*'V06 Curva'!$B$14,MAX(0,MIN('V06 Motor'!A77*30/'V06 Motor'!C77,11)-MAX(('V06 Motor'!A77-1)*30/'V06 Motor'!C77,10))*'V06 Curva'!$B$15,MAX(0,MIN('V06 Motor'!A77*30/'V06 Motor'!C77,12)-MAX(('V06 Motor'!A77-1)*30/'V06 Motor'!C77,11))*'V06 Curva'!$B$16,MAX(0,MIN('V06 Motor'!A77*30/'V06 Motor'!C77,13)-MAX(('V06 Motor'!A77-1)*30/'V06 Motor'!C77,12))*'V06 Curva'!$B$17,MAX(0,MIN('V06 Motor'!A77*30/'V06 Motor'!C77,14)-MAX(('V06 Motor'!A77-1)*30/'V06 Motor'!C77,13))*'V06 Curva'!$B$18,MAX(0,MIN('V06 Motor'!A77*30/'V06 Motor'!C77,15)-MAX(('V06 Motor'!A77-1)*30/'V06 Motor'!C77,14))*'V06 Curva'!$B$19,MAX(0,MIN('V06 Motor'!A77*30/'V06 Motor'!C77,16)-MAX(('V06 Motor'!A77-1)*30/'V06 Motor'!C77,15))*'V06 Curva'!$B$20,MAX(0,MIN('V06 Motor'!A77*30/'V06 Motor'!C77,17)-MAX(('V06 Motor'!A77-1)*30/'V06 Motor'!C77,16))*'V06 Curva'!$B$21,MAX(0,MIN('V06 Motor'!A77*30/'V06 Motor'!C77,18)-MAX(('V06 Motor'!A77-1)*30/'V06 Motor'!C77,17))*'V06 Curva'!$B$22,MAX(0,MIN('V06 Motor'!A77*30/'V06 Motor'!C77,19)-MAX(('V06 Motor'!A77-1)*30/'V06 Motor'!C77,18))*'V06 Curva'!$B$23,MAX(0,MIN('V06 Motor'!A77*30/'V06 Motor'!C77,20)-MAX(('V06 Motor'!A77-1)*30/'V06 Motor'!C77,19))*'V06 Curva'!$B$24,MAX(0,MIN('V06 Motor'!A77*30/'V06 Motor'!C77,21)-MAX(('V06 Motor'!A77-1)*30/'V06 Motor'!C77,20))*'V06 Curva'!$B$25,MAX(0,MIN('V06 Motor'!A77*30/'V06 Motor'!C77,22)-MAX(('V06 Motor'!A77-1)*30/'V06 Motor'!C77,21))*'V06 Curva'!$B$26,MAX(0,MIN('V06 Motor'!A77*30/'V06 Motor'!C77,23)-MAX(('V06 Motor'!A77-1)*30/'V06 Motor'!C77,22))*'V06 Curva'!$B$27,MAX(0,MIN('V06 Motor'!A77*30/'V06 Motor'!C77,24)-MAX(('V06 Motor'!A77-1)*30/'V06 Motor'!C77,23))*'V06 Curva'!$B$28,MAX(0,MIN('V06 Motor'!A77*30/'V06 Motor'!C77,25)-MAX(('V06 Motor'!A77-1)*30/'V06 Motor'!C77,24))*'V06 Curva'!$B$29,MAX(0,MIN('V06 Motor'!A77*30/'V06 Motor'!C77,26)-MAX(('V06 Motor'!A77-1)*30/'V06 Motor'!C77,25))*'V06 Curva'!$B$30,MAX(0,MIN('V06 Motor'!A77*30/'V06 Motor'!C77,27)-MAX(('V06 Motor'!A77-1)*30/'V06 Motor'!C77,26))*'V06 Curva'!$B$31,MAX(0,MIN('V06 Motor'!A77*30/'V06 Motor'!C77,28)-MAX(('V06 Motor'!A77-1)*30/'V06 Motor'!C77,27))*'V06 Curva'!$B$32,MAX(0,MIN('V06 Motor'!A77*30/'V06 Motor'!C77,29)-MAX(('V06 Motor'!A77-1)*30/'V06 Motor'!C77,28))*'V06 Curva'!$B$33,MAX(0,MIN('V06 Motor'!A77*30/'V06 Motor'!C77,30)-MAX(('V06 Motor'!A77-1)*30/'V06 Motor'!C77,29))*'V06 Curva'!$B$34),0)</f>
        <v>0.0</v>
      </c>
      <c r="O77" s="2">
        <f>SUMPRODUCT(--(('V06 Unidades'!$I$5:$I$98+'V06 Controlos'!$B$37)='V06 Motor'!A77),ROUND('V06 Unidades'!$H$5:$H$98*0.05,2)+ROUND('V06 Unidades'!$H$5:$H$98*0.2,2))+SUMPRODUCT(--(IF('V06 Controlos'!$B$38&gt;0,IF(('V06 Unidades'!$L$5:$L$98+'V06 Controlos'!$B$37)&lt;'V06 Motor'!C77,'V06 Motor'!C77,('V06 Unidades'!$L$5:$L$98+'V06 Controlos'!$B$37)),('V06 Unidades'!$L$5:$L$98+'V06 Controlos'!$B$37))='V06 Motor'!A77),'V06 Unidades'!$H$5:$H$98-ROUND('V06 Unidades'!$H$5:$H$98*0.05,2)-ROUND('V06 Unidades'!$H$5:$H$98*0.2,2)-ROUND('V06 Unidades'!$H$5:$H$98*0.55,2))+SUMPRODUCT(--(IF(INT((IF('V06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Controlos'!$B$37)-1)/6),0)&gt;0),--('V06 Motor'!A77&gt;('V06 Unidades'!$I$5:$I$98+'V06 Controlos'!$B$37)),--('V06 Motor'!A77&lt;IF('V06 Controlos'!$B$38&gt;0,IF(('V06 Unidades'!$L$5:$L$98+'V06 Controlos'!$B$37)&lt;'V06 Motor'!C77,'V06 Motor'!C77,('V06 Unidades'!$L$5:$L$98+'V06 Controlos'!$B$37)),('V06 Unidades'!$L$5:$L$98+'V06 Controlos'!$B$37))),--(MOD('V06 Motor'!A77-('V06 Unidades'!$I$5:$I$98+'V06 Controlos'!$B$37),6)=0),--(('V06 Motor'!A77-('V06 Unidades'!$I$5:$I$98+'V06 Controlos'!$B$37))/6&lt;=IF(INT((IF('V06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Controlos'!$B$37)-1)/6),0)),IF('V06 Motor'!A77=('V06 Unidades'!$I$5:$I$98+'V06 Controlos'!$B$37)+6*IF(INT((IF('V06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Controlos'!$B$37)-1)/6),0)&gt;0,IF(INT((IF('V06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Controlos'!$B$37)-1)/6),0),1),2)*(IF(INT((IF('V06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Controlos'!$B$37)-1)/6),0)&gt;0,IF(INT((IF('V06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Controlos'!$B$37)-1)/6)&gt;0,INT((IF('V06 Controlos'!$B$38&gt;0,IF(('V06 Unidades'!$L$5:$L$98+'V06 Controlos'!$B$37)&lt;'V06 Motor'!C77,'V06 Motor'!C77,('V06 Unidades'!$L$5:$L$98+'V06 Controlos'!$B$37)),('V06 Unidades'!$L$5:$L$98+'V06 Controlos'!$B$37))-('V06 Unidades'!$I$5:$I$98+'V06 Controlos'!$B$37)-1)/6),0),1),2)))</f>
        <v>0.0</v>
      </c>
      <c r="P77" s="2">
        <f>SUM('V06 Calend 01'!CG5:CG98)</f>
        <v>0.0</v>
      </c>
    </row>
    <row r="78" spans="1:16">
      <c r="A78">
        <v>74</v>
      </c>
      <c r="C78">
        <v>30</v>
      </c>
      <c r="G78" s="2">
        <f>IF('V06 Motor'!A78&lt;='V06 Motor'!C78,SUMPRODUCT('V06 Curva'!$B$5:$B$34,IF((IF('V06 Motor'!A78*30/'V06 Motor'!C78&lt;'V06 Curva'!$A$5:$A$34,'V06 Motor'!A78*30/'V06 Motor'!C78,'V06 Curva'!$A$5:$A$34)-IF(('V06 Motor'!A78-1)*30/'V06 Motor'!C78&gt;'V06 Curva'!$A$5:$A$34-1,('V06 Motor'!A78-1)*30/'V06 Motor'!C78,'V06 Curva'!$A$5:$A$34-1))&gt;0,(IF('V06 Motor'!A78*30/'V06 Motor'!C78&lt;'V06 Curva'!$A$5:$A$34,'V06 Motor'!A78*30/'V06 Motor'!C78,'V06 Curva'!$A$5:$A$34)-IF(('V06 Motor'!A78-1)*30/'V06 Motor'!C78&gt;'V06 Curva'!$A$5:$A$34-1,('V06 Motor'!A78-1)*30/'V06 Motor'!C78,'V06 Curva'!$A$5:$A$34-1)),0)),0)</f>
        <v>0.0</v>
      </c>
      <c r="H78" s="2">
        <f>IF('V06 Motor'!A78&lt;='V06 Motor'!C78,SUM(MAX(0,MIN('V06 Motor'!A78*30/'V06 Motor'!C78,1)-MAX(('V06 Motor'!A78-1)*30/'V06 Motor'!C78,0))*'V06 Curva'!$B$5,MAX(0,MIN('V06 Motor'!A78*30/'V06 Motor'!C78,2)-MAX(('V06 Motor'!A78-1)*30/'V06 Motor'!C78,1))*'V06 Curva'!$B$6,MAX(0,MIN('V06 Motor'!A78*30/'V06 Motor'!C78,3)-MAX(('V06 Motor'!A78-1)*30/'V06 Motor'!C78,2))*'V06 Curva'!$B$7,MAX(0,MIN('V06 Motor'!A78*30/'V06 Motor'!C78,4)-MAX(('V06 Motor'!A78-1)*30/'V06 Motor'!C78,3))*'V06 Curva'!$B$8,MAX(0,MIN('V06 Motor'!A78*30/'V06 Motor'!C78,5)-MAX(('V06 Motor'!A78-1)*30/'V06 Motor'!C78,4))*'V06 Curva'!$B$9,MAX(0,MIN('V06 Motor'!A78*30/'V06 Motor'!C78,6)-MAX(('V06 Motor'!A78-1)*30/'V06 Motor'!C78,5))*'V06 Curva'!$B$10,MAX(0,MIN('V06 Motor'!A78*30/'V06 Motor'!C78,7)-MAX(('V06 Motor'!A78-1)*30/'V06 Motor'!C78,6))*'V06 Curva'!$B$11,MAX(0,MIN('V06 Motor'!A78*30/'V06 Motor'!C78,8)-MAX(('V06 Motor'!A78-1)*30/'V06 Motor'!C78,7))*'V06 Curva'!$B$12,MAX(0,MIN('V06 Motor'!A78*30/'V06 Motor'!C78,9)-MAX(('V06 Motor'!A78-1)*30/'V06 Motor'!C78,8))*'V06 Curva'!$B$13,MAX(0,MIN('V06 Motor'!A78*30/'V06 Motor'!C78,10)-MAX(('V06 Motor'!A78-1)*30/'V06 Motor'!C78,9))*'V06 Curva'!$B$14,MAX(0,MIN('V06 Motor'!A78*30/'V06 Motor'!C78,11)-MAX(('V06 Motor'!A78-1)*30/'V06 Motor'!C78,10))*'V06 Curva'!$B$15,MAX(0,MIN('V06 Motor'!A78*30/'V06 Motor'!C78,12)-MAX(('V06 Motor'!A78-1)*30/'V06 Motor'!C78,11))*'V06 Curva'!$B$16,MAX(0,MIN('V06 Motor'!A78*30/'V06 Motor'!C78,13)-MAX(('V06 Motor'!A78-1)*30/'V06 Motor'!C78,12))*'V06 Curva'!$B$17,MAX(0,MIN('V06 Motor'!A78*30/'V06 Motor'!C78,14)-MAX(('V06 Motor'!A78-1)*30/'V06 Motor'!C78,13))*'V06 Curva'!$B$18,MAX(0,MIN('V06 Motor'!A78*30/'V06 Motor'!C78,15)-MAX(('V06 Motor'!A78-1)*30/'V06 Motor'!C78,14))*'V06 Curva'!$B$19,MAX(0,MIN('V06 Motor'!A78*30/'V06 Motor'!C78,16)-MAX(('V06 Motor'!A78-1)*30/'V06 Motor'!C78,15))*'V06 Curva'!$B$20,MAX(0,MIN('V06 Motor'!A78*30/'V06 Motor'!C78,17)-MAX(('V06 Motor'!A78-1)*30/'V06 Motor'!C78,16))*'V06 Curva'!$B$21,MAX(0,MIN('V06 Motor'!A78*30/'V06 Motor'!C78,18)-MAX(('V06 Motor'!A78-1)*30/'V06 Motor'!C78,17))*'V06 Curva'!$B$22,MAX(0,MIN('V06 Motor'!A78*30/'V06 Motor'!C78,19)-MAX(('V06 Motor'!A78-1)*30/'V06 Motor'!C78,18))*'V06 Curva'!$B$23,MAX(0,MIN('V06 Motor'!A78*30/'V06 Motor'!C78,20)-MAX(('V06 Motor'!A78-1)*30/'V06 Motor'!C78,19))*'V06 Curva'!$B$24,MAX(0,MIN('V06 Motor'!A78*30/'V06 Motor'!C78,21)-MAX(('V06 Motor'!A78-1)*30/'V06 Motor'!C78,20))*'V06 Curva'!$B$25,MAX(0,MIN('V06 Motor'!A78*30/'V06 Motor'!C78,22)-MAX(('V06 Motor'!A78-1)*30/'V06 Motor'!C78,21))*'V06 Curva'!$B$26,MAX(0,MIN('V06 Motor'!A78*30/'V06 Motor'!C78,23)-MAX(('V06 Motor'!A78-1)*30/'V06 Motor'!C78,22))*'V06 Curva'!$B$27,MAX(0,MIN('V06 Motor'!A78*30/'V06 Motor'!C78,24)-MAX(('V06 Motor'!A78-1)*30/'V06 Motor'!C78,23))*'V06 Curva'!$B$28,MAX(0,MIN('V06 Motor'!A78*30/'V06 Motor'!C78,25)-MAX(('V06 Motor'!A78-1)*30/'V06 Motor'!C78,24))*'V06 Curva'!$B$29,MAX(0,MIN('V06 Motor'!A78*30/'V06 Motor'!C78,26)-MAX(('V06 Motor'!A78-1)*30/'V06 Motor'!C78,25))*'V06 Curva'!$B$30,MAX(0,MIN('V06 Motor'!A78*30/'V06 Motor'!C78,27)-MAX(('V06 Motor'!A78-1)*30/'V06 Motor'!C78,26))*'V06 Curva'!$B$31,MAX(0,MIN('V06 Motor'!A78*30/'V06 Motor'!C78,28)-MAX(('V06 Motor'!A78-1)*30/'V06 Motor'!C78,27))*'V06 Curva'!$B$32,MAX(0,MIN('V06 Motor'!A78*30/'V06 Motor'!C78,29)-MAX(('V06 Motor'!A78-1)*30/'V06 Motor'!C78,28))*'V06 Curva'!$B$33,MAX(0,MIN('V06 Motor'!A78*30/'V06 Motor'!C78,30)-MAX(('V06 Motor'!A78-1)*30/'V06 Motor'!C78,29))*'V06 Curva'!$B$34),0)</f>
        <v>0.0</v>
      </c>
      <c r="O78" s="2">
        <f>SUMPRODUCT(--(('V06 Unidades'!$I$5:$I$98+'V06 Controlos'!$B$37)='V06 Motor'!A78),ROUND('V06 Unidades'!$H$5:$H$98*0.05,2)+ROUND('V06 Unidades'!$H$5:$H$98*0.2,2))+SUMPRODUCT(--(IF('V06 Controlos'!$B$38&gt;0,IF(('V06 Unidades'!$L$5:$L$98+'V06 Controlos'!$B$37)&lt;'V06 Motor'!C78,'V06 Motor'!C78,('V06 Unidades'!$L$5:$L$98+'V06 Controlos'!$B$37)),('V06 Unidades'!$L$5:$L$98+'V06 Controlos'!$B$37))='V06 Motor'!A78),'V06 Unidades'!$H$5:$H$98-ROUND('V06 Unidades'!$H$5:$H$98*0.05,2)-ROUND('V06 Unidades'!$H$5:$H$98*0.2,2)-ROUND('V06 Unidades'!$H$5:$H$98*0.55,2))+SUMPRODUCT(--(IF(INT((IF('V06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Controlos'!$B$37)-1)/6),0)&gt;0),--('V06 Motor'!A78&gt;('V06 Unidades'!$I$5:$I$98+'V06 Controlos'!$B$37)),--('V06 Motor'!A78&lt;IF('V06 Controlos'!$B$38&gt;0,IF(('V06 Unidades'!$L$5:$L$98+'V06 Controlos'!$B$37)&lt;'V06 Motor'!C78,'V06 Motor'!C78,('V06 Unidades'!$L$5:$L$98+'V06 Controlos'!$B$37)),('V06 Unidades'!$L$5:$L$98+'V06 Controlos'!$B$37))),--(MOD('V06 Motor'!A78-('V06 Unidades'!$I$5:$I$98+'V06 Controlos'!$B$37),6)=0),--(('V06 Motor'!A78-('V06 Unidades'!$I$5:$I$98+'V06 Controlos'!$B$37))/6&lt;=IF(INT((IF('V06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Controlos'!$B$37)-1)/6),0)),IF('V06 Motor'!A78=('V06 Unidades'!$I$5:$I$98+'V06 Controlos'!$B$37)+6*IF(INT((IF('V06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Controlos'!$B$37)-1)/6),0)&gt;0,IF(INT((IF('V06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Controlos'!$B$37)-1)/6),0),1),2)*(IF(INT((IF('V06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Controlos'!$B$37)-1)/6),0)&gt;0,IF(INT((IF('V06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Controlos'!$B$37)-1)/6)&gt;0,INT((IF('V06 Controlos'!$B$38&gt;0,IF(('V06 Unidades'!$L$5:$L$98+'V06 Controlos'!$B$37)&lt;'V06 Motor'!C78,'V06 Motor'!C78,('V06 Unidades'!$L$5:$L$98+'V06 Controlos'!$B$37)),('V06 Unidades'!$L$5:$L$98+'V06 Controlos'!$B$37))-('V06 Unidades'!$I$5:$I$98+'V06 Controlos'!$B$37)-1)/6),0),1),2)))</f>
        <v>0.0</v>
      </c>
      <c r="P78" s="2">
        <f>SUM('V06 Calend 01'!CH5:CH98)</f>
        <v>0.0</v>
      </c>
    </row>
    <row r="79" spans="1:16">
      <c r="A79">
        <v>75</v>
      </c>
      <c r="C79">
        <v>30</v>
      </c>
      <c r="G79" s="2">
        <f>IF('V06 Motor'!A79&lt;='V06 Motor'!C79,SUMPRODUCT('V06 Curva'!$B$5:$B$34,IF((IF('V06 Motor'!A79*30/'V06 Motor'!C79&lt;'V06 Curva'!$A$5:$A$34,'V06 Motor'!A79*30/'V06 Motor'!C79,'V06 Curva'!$A$5:$A$34)-IF(('V06 Motor'!A79-1)*30/'V06 Motor'!C79&gt;'V06 Curva'!$A$5:$A$34-1,('V06 Motor'!A79-1)*30/'V06 Motor'!C79,'V06 Curva'!$A$5:$A$34-1))&gt;0,(IF('V06 Motor'!A79*30/'V06 Motor'!C79&lt;'V06 Curva'!$A$5:$A$34,'V06 Motor'!A79*30/'V06 Motor'!C79,'V06 Curva'!$A$5:$A$34)-IF(('V06 Motor'!A79-1)*30/'V06 Motor'!C79&gt;'V06 Curva'!$A$5:$A$34-1,('V06 Motor'!A79-1)*30/'V06 Motor'!C79,'V06 Curva'!$A$5:$A$34-1)),0)),0)</f>
        <v>0.0</v>
      </c>
      <c r="H79" s="2">
        <f>IF('V06 Motor'!A79&lt;='V06 Motor'!C79,SUM(MAX(0,MIN('V06 Motor'!A79*30/'V06 Motor'!C79,1)-MAX(('V06 Motor'!A79-1)*30/'V06 Motor'!C79,0))*'V06 Curva'!$B$5,MAX(0,MIN('V06 Motor'!A79*30/'V06 Motor'!C79,2)-MAX(('V06 Motor'!A79-1)*30/'V06 Motor'!C79,1))*'V06 Curva'!$B$6,MAX(0,MIN('V06 Motor'!A79*30/'V06 Motor'!C79,3)-MAX(('V06 Motor'!A79-1)*30/'V06 Motor'!C79,2))*'V06 Curva'!$B$7,MAX(0,MIN('V06 Motor'!A79*30/'V06 Motor'!C79,4)-MAX(('V06 Motor'!A79-1)*30/'V06 Motor'!C79,3))*'V06 Curva'!$B$8,MAX(0,MIN('V06 Motor'!A79*30/'V06 Motor'!C79,5)-MAX(('V06 Motor'!A79-1)*30/'V06 Motor'!C79,4))*'V06 Curva'!$B$9,MAX(0,MIN('V06 Motor'!A79*30/'V06 Motor'!C79,6)-MAX(('V06 Motor'!A79-1)*30/'V06 Motor'!C79,5))*'V06 Curva'!$B$10,MAX(0,MIN('V06 Motor'!A79*30/'V06 Motor'!C79,7)-MAX(('V06 Motor'!A79-1)*30/'V06 Motor'!C79,6))*'V06 Curva'!$B$11,MAX(0,MIN('V06 Motor'!A79*30/'V06 Motor'!C79,8)-MAX(('V06 Motor'!A79-1)*30/'V06 Motor'!C79,7))*'V06 Curva'!$B$12,MAX(0,MIN('V06 Motor'!A79*30/'V06 Motor'!C79,9)-MAX(('V06 Motor'!A79-1)*30/'V06 Motor'!C79,8))*'V06 Curva'!$B$13,MAX(0,MIN('V06 Motor'!A79*30/'V06 Motor'!C79,10)-MAX(('V06 Motor'!A79-1)*30/'V06 Motor'!C79,9))*'V06 Curva'!$B$14,MAX(0,MIN('V06 Motor'!A79*30/'V06 Motor'!C79,11)-MAX(('V06 Motor'!A79-1)*30/'V06 Motor'!C79,10))*'V06 Curva'!$B$15,MAX(0,MIN('V06 Motor'!A79*30/'V06 Motor'!C79,12)-MAX(('V06 Motor'!A79-1)*30/'V06 Motor'!C79,11))*'V06 Curva'!$B$16,MAX(0,MIN('V06 Motor'!A79*30/'V06 Motor'!C79,13)-MAX(('V06 Motor'!A79-1)*30/'V06 Motor'!C79,12))*'V06 Curva'!$B$17,MAX(0,MIN('V06 Motor'!A79*30/'V06 Motor'!C79,14)-MAX(('V06 Motor'!A79-1)*30/'V06 Motor'!C79,13))*'V06 Curva'!$B$18,MAX(0,MIN('V06 Motor'!A79*30/'V06 Motor'!C79,15)-MAX(('V06 Motor'!A79-1)*30/'V06 Motor'!C79,14))*'V06 Curva'!$B$19,MAX(0,MIN('V06 Motor'!A79*30/'V06 Motor'!C79,16)-MAX(('V06 Motor'!A79-1)*30/'V06 Motor'!C79,15))*'V06 Curva'!$B$20,MAX(0,MIN('V06 Motor'!A79*30/'V06 Motor'!C79,17)-MAX(('V06 Motor'!A79-1)*30/'V06 Motor'!C79,16))*'V06 Curva'!$B$21,MAX(0,MIN('V06 Motor'!A79*30/'V06 Motor'!C79,18)-MAX(('V06 Motor'!A79-1)*30/'V06 Motor'!C79,17))*'V06 Curva'!$B$22,MAX(0,MIN('V06 Motor'!A79*30/'V06 Motor'!C79,19)-MAX(('V06 Motor'!A79-1)*30/'V06 Motor'!C79,18))*'V06 Curva'!$B$23,MAX(0,MIN('V06 Motor'!A79*30/'V06 Motor'!C79,20)-MAX(('V06 Motor'!A79-1)*30/'V06 Motor'!C79,19))*'V06 Curva'!$B$24,MAX(0,MIN('V06 Motor'!A79*30/'V06 Motor'!C79,21)-MAX(('V06 Motor'!A79-1)*30/'V06 Motor'!C79,20))*'V06 Curva'!$B$25,MAX(0,MIN('V06 Motor'!A79*30/'V06 Motor'!C79,22)-MAX(('V06 Motor'!A79-1)*30/'V06 Motor'!C79,21))*'V06 Curva'!$B$26,MAX(0,MIN('V06 Motor'!A79*30/'V06 Motor'!C79,23)-MAX(('V06 Motor'!A79-1)*30/'V06 Motor'!C79,22))*'V06 Curva'!$B$27,MAX(0,MIN('V06 Motor'!A79*30/'V06 Motor'!C79,24)-MAX(('V06 Motor'!A79-1)*30/'V06 Motor'!C79,23))*'V06 Curva'!$B$28,MAX(0,MIN('V06 Motor'!A79*30/'V06 Motor'!C79,25)-MAX(('V06 Motor'!A79-1)*30/'V06 Motor'!C79,24))*'V06 Curva'!$B$29,MAX(0,MIN('V06 Motor'!A79*30/'V06 Motor'!C79,26)-MAX(('V06 Motor'!A79-1)*30/'V06 Motor'!C79,25))*'V06 Curva'!$B$30,MAX(0,MIN('V06 Motor'!A79*30/'V06 Motor'!C79,27)-MAX(('V06 Motor'!A79-1)*30/'V06 Motor'!C79,26))*'V06 Curva'!$B$31,MAX(0,MIN('V06 Motor'!A79*30/'V06 Motor'!C79,28)-MAX(('V06 Motor'!A79-1)*30/'V06 Motor'!C79,27))*'V06 Curva'!$B$32,MAX(0,MIN('V06 Motor'!A79*30/'V06 Motor'!C79,29)-MAX(('V06 Motor'!A79-1)*30/'V06 Motor'!C79,28))*'V06 Curva'!$B$33,MAX(0,MIN('V06 Motor'!A79*30/'V06 Motor'!C79,30)-MAX(('V06 Motor'!A79-1)*30/'V06 Motor'!C79,29))*'V06 Curva'!$B$34),0)</f>
        <v>0.0</v>
      </c>
      <c r="O79" s="2">
        <f>SUMPRODUCT(--(('V06 Unidades'!$I$5:$I$98+'V06 Controlos'!$B$37)='V06 Motor'!A79),ROUND('V06 Unidades'!$H$5:$H$98*0.05,2)+ROUND('V06 Unidades'!$H$5:$H$98*0.2,2))+SUMPRODUCT(--(IF('V06 Controlos'!$B$38&gt;0,IF(('V06 Unidades'!$L$5:$L$98+'V06 Controlos'!$B$37)&lt;'V06 Motor'!C79,'V06 Motor'!C79,('V06 Unidades'!$L$5:$L$98+'V06 Controlos'!$B$37)),('V06 Unidades'!$L$5:$L$98+'V06 Controlos'!$B$37))='V06 Motor'!A79),'V06 Unidades'!$H$5:$H$98-ROUND('V06 Unidades'!$H$5:$H$98*0.05,2)-ROUND('V06 Unidades'!$H$5:$H$98*0.2,2)-ROUND('V06 Unidades'!$H$5:$H$98*0.55,2))+SUMPRODUCT(--(IF(INT((IF('V06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Controlos'!$B$37)-1)/6),0)&gt;0),--('V06 Motor'!A79&gt;('V06 Unidades'!$I$5:$I$98+'V06 Controlos'!$B$37)),--('V06 Motor'!A79&lt;IF('V06 Controlos'!$B$38&gt;0,IF(('V06 Unidades'!$L$5:$L$98+'V06 Controlos'!$B$37)&lt;'V06 Motor'!C79,'V06 Motor'!C79,('V06 Unidades'!$L$5:$L$98+'V06 Controlos'!$B$37)),('V06 Unidades'!$L$5:$L$98+'V06 Controlos'!$B$37))),--(MOD('V06 Motor'!A79-('V06 Unidades'!$I$5:$I$98+'V06 Controlos'!$B$37),6)=0),--(('V06 Motor'!A79-('V06 Unidades'!$I$5:$I$98+'V06 Controlos'!$B$37))/6&lt;=IF(INT((IF('V06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Controlos'!$B$37)-1)/6),0)),IF('V06 Motor'!A79=('V06 Unidades'!$I$5:$I$98+'V06 Controlos'!$B$37)+6*IF(INT((IF('V06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Controlos'!$B$37)-1)/6),0)&gt;0,IF(INT((IF('V06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Controlos'!$B$37)-1)/6),0),1),2)*(IF(INT((IF('V06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Controlos'!$B$37)-1)/6),0)&gt;0,IF(INT((IF('V06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Controlos'!$B$37)-1)/6)&gt;0,INT((IF('V06 Controlos'!$B$38&gt;0,IF(('V06 Unidades'!$L$5:$L$98+'V06 Controlos'!$B$37)&lt;'V06 Motor'!C79,'V06 Motor'!C79,('V06 Unidades'!$L$5:$L$98+'V06 Controlos'!$B$37)),('V06 Unidades'!$L$5:$L$98+'V06 Controlos'!$B$37))-('V06 Unidades'!$I$5:$I$98+'V06 Controlos'!$B$37)-1)/6),0),1),2)))</f>
        <v>0.0</v>
      </c>
      <c r="P79" s="2">
        <f>SUM('V06 Calend 01'!CI5:CI98)</f>
        <v>0.0</v>
      </c>
    </row>
    <row r="80" spans="1:16">
      <c r="A80">
        <v>76</v>
      </c>
      <c r="C80">
        <v>30</v>
      </c>
      <c r="G80" s="2">
        <f>IF('V06 Motor'!A80&lt;='V06 Motor'!C80,SUMPRODUCT('V06 Curva'!$B$5:$B$34,IF((IF('V06 Motor'!A80*30/'V06 Motor'!C80&lt;'V06 Curva'!$A$5:$A$34,'V06 Motor'!A80*30/'V06 Motor'!C80,'V06 Curva'!$A$5:$A$34)-IF(('V06 Motor'!A80-1)*30/'V06 Motor'!C80&gt;'V06 Curva'!$A$5:$A$34-1,('V06 Motor'!A80-1)*30/'V06 Motor'!C80,'V06 Curva'!$A$5:$A$34-1))&gt;0,(IF('V06 Motor'!A80*30/'V06 Motor'!C80&lt;'V06 Curva'!$A$5:$A$34,'V06 Motor'!A80*30/'V06 Motor'!C80,'V06 Curva'!$A$5:$A$34)-IF(('V06 Motor'!A80-1)*30/'V06 Motor'!C80&gt;'V06 Curva'!$A$5:$A$34-1,('V06 Motor'!A80-1)*30/'V06 Motor'!C80,'V06 Curva'!$A$5:$A$34-1)),0)),0)</f>
        <v>0.0</v>
      </c>
      <c r="H80" s="2">
        <f>IF('V06 Motor'!A80&lt;='V06 Motor'!C80,SUM(MAX(0,MIN('V06 Motor'!A80*30/'V06 Motor'!C80,1)-MAX(('V06 Motor'!A80-1)*30/'V06 Motor'!C80,0))*'V06 Curva'!$B$5,MAX(0,MIN('V06 Motor'!A80*30/'V06 Motor'!C80,2)-MAX(('V06 Motor'!A80-1)*30/'V06 Motor'!C80,1))*'V06 Curva'!$B$6,MAX(0,MIN('V06 Motor'!A80*30/'V06 Motor'!C80,3)-MAX(('V06 Motor'!A80-1)*30/'V06 Motor'!C80,2))*'V06 Curva'!$B$7,MAX(0,MIN('V06 Motor'!A80*30/'V06 Motor'!C80,4)-MAX(('V06 Motor'!A80-1)*30/'V06 Motor'!C80,3))*'V06 Curva'!$B$8,MAX(0,MIN('V06 Motor'!A80*30/'V06 Motor'!C80,5)-MAX(('V06 Motor'!A80-1)*30/'V06 Motor'!C80,4))*'V06 Curva'!$B$9,MAX(0,MIN('V06 Motor'!A80*30/'V06 Motor'!C80,6)-MAX(('V06 Motor'!A80-1)*30/'V06 Motor'!C80,5))*'V06 Curva'!$B$10,MAX(0,MIN('V06 Motor'!A80*30/'V06 Motor'!C80,7)-MAX(('V06 Motor'!A80-1)*30/'V06 Motor'!C80,6))*'V06 Curva'!$B$11,MAX(0,MIN('V06 Motor'!A80*30/'V06 Motor'!C80,8)-MAX(('V06 Motor'!A80-1)*30/'V06 Motor'!C80,7))*'V06 Curva'!$B$12,MAX(0,MIN('V06 Motor'!A80*30/'V06 Motor'!C80,9)-MAX(('V06 Motor'!A80-1)*30/'V06 Motor'!C80,8))*'V06 Curva'!$B$13,MAX(0,MIN('V06 Motor'!A80*30/'V06 Motor'!C80,10)-MAX(('V06 Motor'!A80-1)*30/'V06 Motor'!C80,9))*'V06 Curva'!$B$14,MAX(0,MIN('V06 Motor'!A80*30/'V06 Motor'!C80,11)-MAX(('V06 Motor'!A80-1)*30/'V06 Motor'!C80,10))*'V06 Curva'!$B$15,MAX(0,MIN('V06 Motor'!A80*30/'V06 Motor'!C80,12)-MAX(('V06 Motor'!A80-1)*30/'V06 Motor'!C80,11))*'V06 Curva'!$B$16,MAX(0,MIN('V06 Motor'!A80*30/'V06 Motor'!C80,13)-MAX(('V06 Motor'!A80-1)*30/'V06 Motor'!C80,12))*'V06 Curva'!$B$17,MAX(0,MIN('V06 Motor'!A80*30/'V06 Motor'!C80,14)-MAX(('V06 Motor'!A80-1)*30/'V06 Motor'!C80,13))*'V06 Curva'!$B$18,MAX(0,MIN('V06 Motor'!A80*30/'V06 Motor'!C80,15)-MAX(('V06 Motor'!A80-1)*30/'V06 Motor'!C80,14))*'V06 Curva'!$B$19,MAX(0,MIN('V06 Motor'!A80*30/'V06 Motor'!C80,16)-MAX(('V06 Motor'!A80-1)*30/'V06 Motor'!C80,15))*'V06 Curva'!$B$20,MAX(0,MIN('V06 Motor'!A80*30/'V06 Motor'!C80,17)-MAX(('V06 Motor'!A80-1)*30/'V06 Motor'!C80,16))*'V06 Curva'!$B$21,MAX(0,MIN('V06 Motor'!A80*30/'V06 Motor'!C80,18)-MAX(('V06 Motor'!A80-1)*30/'V06 Motor'!C80,17))*'V06 Curva'!$B$22,MAX(0,MIN('V06 Motor'!A80*30/'V06 Motor'!C80,19)-MAX(('V06 Motor'!A80-1)*30/'V06 Motor'!C80,18))*'V06 Curva'!$B$23,MAX(0,MIN('V06 Motor'!A80*30/'V06 Motor'!C80,20)-MAX(('V06 Motor'!A80-1)*30/'V06 Motor'!C80,19))*'V06 Curva'!$B$24,MAX(0,MIN('V06 Motor'!A80*30/'V06 Motor'!C80,21)-MAX(('V06 Motor'!A80-1)*30/'V06 Motor'!C80,20))*'V06 Curva'!$B$25,MAX(0,MIN('V06 Motor'!A80*30/'V06 Motor'!C80,22)-MAX(('V06 Motor'!A80-1)*30/'V06 Motor'!C80,21))*'V06 Curva'!$B$26,MAX(0,MIN('V06 Motor'!A80*30/'V06 Motor'!C80,23)-MAX(('V06 Motor'!A80-1)*30/'V06 Motor'!C80,22))*'V06 Curva'!$B$27,MAX(0,MIN('V06 Motor'!A80*30/'V06 Motor'!C80,24)-MAX(('V06 Motor'!A80-1)*30/'V06 Motor'!C80,23))*'V06 Curva'!$B$28,MAX(0,MIN('V06 Motor'!A80*30/'V06 Motor'!C80,25)-MAX(('V06 Motor'!A80-1)*30/'V06 Motor'!C80,24))*'V06 Curva'!$B$29,MAX(0,MIN('V06 Motor'!A80*30/'V06 Motor'!C80,26)-MAX(('V06 Motor'!A80-1)*30/'V06 Motor'!C80,25))*'V06 Curva'!$B$30,MAX(0,MIN('V06 Motor'!A80*30/'V06 Motor'!C80,27)-MAX(('V06 Motor'!A80-1)*30/'V06 Motor'!C80,26))*'V06 Curva'!$B$31,MAX(0,MIN('V06 Motor'!A80*30/'V06 Motor'!C80,28)-MAX(('V06 Motor'!A80-1)*30/'V06 Motor'!C80,27))*'V06 Curva'!$B$32,MAX(0,MIN('V06 Motor'!A80*30/'V06 Motor'!C80,29)-MAX(('V06 Motor'!A80-1)*30/'V06 Motor'!C80,28))*'V06 Curva'!$B$33,MAX(0,MIN('V06 Motor'!A80*30/'V06 Motor'!C80,30)-MAX(('V06 Motor'!A80-1)*30/'V06 Motor'!C80,29))*'V06 Curva'!$B$34),0)</f>
        <v>0.0</v>
      </c>
      <c r="O80" s="2">
        <f>SUMPRODUCT(--(('V06 Unidades'!$I$5:$I$98+'V06 Controlos'!$B$37)='V06 Motor'!A80),ROUND('V06 Unidades'!$H$5:$H$98*0.05,2)+ROUND('V06 Unidades'!$H$5:$H$98*0.2,2))+SUMPRODUCT(--(IF('V06 Controlos'!$B$38&gt;0,IF(('V06 Unidades'!$L$5:$L$98+'V06 Controlos'!$B$37)&lt;'V06 Motor'!C80,'V06 Motor'!C80,('V06 Unidades'!$L$5:$L$98+'V06 Controlos'!$B$37)),('V06 Unidades'!$L$5:$L$98+'V06 Controlos'!$B$37))='V06 Motor'!A80),'V06 Unidades'!$H$5:$H$98-ROUND('V06 Unidades'!$H$5:$H$98*0.05,2)-ROUND('V06 Unidades'!$H$5:$H$98*0.2,2)-ROUND('V06 Unidades'!$H$5:$H$98*0.55,2))+SUMPRODUCT(--(IF(INT((IF('V06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Controlos'!$B$37)-1)/6),0)&gt;0),--('V06 Motor'!A80&gt;('V06 Unidades'!$I$5:$I$98+'V06 Controlos'!$B$37)),--('V06 Motor'!A80&lt;IF('V06 Controlos'!$B$38&gt;0,IF(('V06 Unidades'!$L$5:$L$98+'V06 Controlos'!$B$37)&lt;'V06 Motor'!C80,'V06 Motor'!C80,('V06 Unidades'!$L$5:$L$98+'V06 Controlos'!$B$37)),('V06 Unidades'!$L$5:$L$98+'V06 Controlos'!$B$37))),--(MOD('V06 Motor'!A80-('V06 Unidades'!$I$5:$I$98+'V06 Controlos'!$B$37),6)=0),--(('V06 Motor'!A80-('V06 Unidades'!$I$5:$I$98+'V06 Controlos'!$B$37))/6&lt;=IF(INT((IF('V06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Controlos'!$B$37)-1)/6),0)),IF('V06 Motor'!A80=('V06 Unidades'!$I$5:$I$98+'V06 Controlos'!$B$37)+6*IF(INT((IF('V06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Controlos'!$B$37)-1)/6),0)&gt;0,IF(INT((IF('V06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Controlos'!$B$37)-1)/6),0),1),2)*(IF(INT((IF('V06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Controlos'!$B$37)-1)/6),0)&gt;0,IF(INT((IF('V06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Controlos'!$B$37)-1)/6)&gt;0,INT((IF('V06 Controlos'!$B$38&gt;0,IF(('V06 Unidades'!$L$5:$L$98+'V06 Controlos'!$B$37)&lt;'V06 Motor'!C80,'V06 Motor'!C80,('V06 Unidades'!$L$5:$L$98+'V06 Controlos'!$B$37)),('V06 Unidades'!$L$5:$L$98+'V06 Controlos'!$B$37))-('V06 Unidades'!$I$5:$I$98+'V06 Controlos'!$B$37)-1)/6),0),1),2)))</f>
        <v>0.0</v>
      </c>
      <c r="P80" s="2">
        <f>SUM('V06 Calend 01'!CJ5:CJ98)</f>
        <v>0.0</v>
      </c>
    </row>
    <row r="81" spans="1:16">
      <c r="A81">
        <v>77</v>
      </c>
      <c r="C81">
        <v>30</v>
      </c>
      <c r="G81" s="2">
        <f>IF('V06 Motor'!A81&lt;='V06 Motor'!C81,SUMPRODUCT('V06 Curva'!$B$5:$B$34,IF((IF('V06 Motor'!A81*30/'V06 Motor'!C81&lt;'V06 Curva'!$A$5:$A$34,'V06 Motor'!A81*30/'V06 Motor'!C81,'V06 Curva'!$A$5:$A$34)-IF(('V06 Motor'!A81-1)*30/'V06 Motor'!C81&gt;'V06 Curva'!$A$5:$A$34-1,('V06 Motor'!A81-1)*30/'V06 Motor'!C81,'V06 Curva'!$A$5:$A$34-1))&gt;0,(IF('V06 Motor'!A81*30/'V06 Motor'!C81&lt;'V06 Curva'!$A$5:$A$34,'V06 Motor'!A81*30/'V06 Motor'!C81,'V06 Curva'!$A$5:$A$34)-IF(('V06 Motor'!A81-1)*30/'V06 Motor'!C81&gt;'V06 Curva'!$A$5:$A$34-1,('V06 Motor'!A81-1)*30/'V06 Motor'!C81,'V06 Curva'!$A$5:$A$34-1)),0)),0)</f>
        <v>0.0</v>
      </c>
      <c r="H81" s="2">
        <f>IF('V06 Motor'!A81&lt;='V06 Motor'!C81,SUM(MAX(0,MIN('V06 Motor'!A81*30/'V06 Motor'!C81,1)-MAX(('V06 Motor'!A81-1)*30/'V06 Motor'!C81,0))*'V06 Curva'!$B$5,MAX(0,MIN('V06 Motor'!A81*30/'V06 Motor'!C81,2)-MAX(('V06 Motor'!A81-1)*30/'V06 Motor'!C81,1))*'V06 Curva'!$B$6,MAX(0,MIN('V06 Motor'!A81*30/'V06 Motor'!C81,3)-MAX(('V06 Motor'!A81-1)*30/'V06 Motor'!C81,2))*'V06 Curva'!$B$7,MAX(0,MIN('V06 Motor'!A81*30/'V06 Motor'!C81,4)-MAX(('V06 Motor'!A81-1)*30/'V06 Motor'!C81,3))*'V06 Curva'!$B$8,MAX(0,MIN('V06 Motor'!A81*30/'V06 Motor'!C81,5)-MAX(('V06 Motor'!A81-1)*30/'V06 Motor'!C81,4))*'V06 Curva'!$B$9,MAX(0,MIN('V06 Motor'!A81*30/'V06 Motor'!C81,6)-MAX(('V06 Motor'!A81-1)*30/'V06 Motor'!C81,5))*'V06 Curva'!$B$10,MAX(0,MIN('V06 Motor'!A81*30/'V06 Motor'!C81,7)-MAX(('V06 Motor'!A81-1)*30/'V06 Motor'!C81,6))*'V06 Curva'!$B$11,MAX(0,MIN('V06 Motor'!A81*30/'V06 Motor'!C81,8)-MAX(('V06 Motor'!A81-1)*30/'V06 Motor'!C81,7))*'V06 Curva'!$B$12,MAX(0,MIN('V06 Motor'!A81*30/'V06 Motor'!C81,9)-MAX(('V06 Motor'!A81-1)*30/'V06 Motor'!C81,8))*'V06 Curva'!$B$13,MAX(0,MIN('V06 Motor'!A81*30/'V06 Motor'!C81,10)-MAX(('V06 Motor'!A81-1)*30/'V06 Motor'!C81,9))*'V06 Curva'!$B$14,MAX(0,MIN('V06 Motor'!A81*30/'V06 Motor'!C81,11)-MAX(('V06 Motor'!A81-1)*30/'V06 Motor'!C81,10))*'V06 Curva'!$B$15,MAX(0,MIN('V06 Motor'!A81*30/'V06 Motor'!C81,12)-MAX(('V06 Motor'!A81-1)*30/'V06 Motor'!C81,11))*'V06 Curva'!$B$16,MAX(0,MIN('V06 Motor'!A81*30/'V06 Motor'!C81,13)-MAX(('V06 Motor'!A81-1)*30/'V06 Motor'!C81,12))*'V06 Curva'!$B$17,MAX(0,MIN('V06 Motor'!A81*30/'V06 Motor'!C81,14)-MAX(('V06 Motor'!A81-1)*30/'V06 Motor'!C81,13))*'V06 Curva'!$B$18,MAX(0,MIN('V06 Motor'!A81*30/'V06 Motor'!C81,15)-MAX(('V06 Motor'!A81-1)*30/'V06 Motor'!C81,14))*'V06 Curva'!$B$19,MAX(0,MIN('V06 Motor'!A81*30/'V06 Motor'!C81,16)-MAX(('V06 Motor'!A81-1)*30/'V06 Motor'!C81,15))*'V06 Curva'!$B$20,MAX(0,MIN('V06 Motor'!A81*30/'V06 Motor'!C81,17)-MAX(('V06 Motor'!A81-1)*30/'V06 Motor'!C81,16))*'V06 Curva'!$B$21,MAX(0,MIN('V06 Motor'!A81*30/'V06 Motor'!C81,18)-MAX(('V06 Motor'!A81-1)*30/'V06 Motor'!C81,17))*'V06 Curva'!$B$22,MAX(0,MIN('V06 Motor'!A81*30/'V06 Motor'!C81,19)-MAX(('V06 Motor'!A81-1)*30/'V06 Motor'!C81,18))*'V06 Curva'!$B$23,MAX(0,MIN('V06 Motor'!A81*30/'V06 Motor'!C81,20)-MAX(('V06 Motor'!A81-1)*30/'V06 Motor'!C81,19))*'V06 Curva'!$B$24,MAX(0,MIN('V06 Motor'!A81*30/'V06 Motor'!C81,21)-MAX(('V06 Motor'!A81-1)*30/'V06 Motor'!C81,20))*'V06 Curva'!$B$25,MAX(0,MIN('V06 Motor'!A81*30/'V06 Motor'!C81,22)-MAX(('V06 Motor'!A81-1)*30/'V06 Motor'!C81,21))*'V06 Curva'!$B$26,MAX(0,MIN('V06 Motor'!A81*30/'V06 Motor'!C81,23)-MAX(('V06 Motor'!A81-1)*30/'V06 Motor'!C81,22))*'V06 Curva'!$B$27,MAX(0,MIN('V06 Motor'!A81*30/'V06 Motor'!C81,24)-MAX(('V06 Motor'!A81-1)*30/'V06 Motor'!C81,23))*'V06 Curva'!$B$28,MAX(0,MIN('V06 Motor'!A81*30/'V06 Motor'!C81,25)-MAX(('V06 Motor'!A81-1)*30/'V06 Motor'!C81,24))*'V06 Curva'!$B$29,MAX(0,MIN('V06 Motor'!A81*30/'V06 Motor'!C81,26)-MAX(('V06 Motor'!A81-1)*30/'V06 Motor'!C81,25))*'V06 Curva'!$B$30,MAX(0,MIN('V06 Motor'!A81*30/'V06 Motor'!C81,27)-MAX(('V06 Motor'!A81-1)*30/'V06 Motor'!C81,26))*'V06 Curva'!$B$31,MAX(0,MIN('V06 Motor'!A81*30/'V06 Motor'!C81,28)-MAX(('V06 Motor'!A81-1)*30/'V06 Motor'!C81,27))*'V06 Curva'!$B$32,MAX(0,MIN('V06 Motor'!A81*30/'V06 Motor'!C81,29)-MAX(('V06 Motor'!A81-1)*30/'V06 Motor'!C81,28))*'V06 Curva'!$B$33,MAX(0,MIN('V06 Motor'!A81*30/'V06 Motor'!C81,30)-MAX(('V06 Motor'!A81-1)*30/'V06 Motor'!C81,29))*'V06 Curva'!$B$34),0)</f>
        <v>0.0</v>
      </c>
      <c r="O81" s="2">
        <f>SUMPRODUCT(--(('V06 Unidades'!$I$5:$I$98+'V06 Controlos'!$B$37)='V06 Motor'!A81),ROUND('V06 Unidades'!$H$5:$H$98*0.05,2)+ROUND('V06 Unidades'!$H$5:$H$98*0.2,2))+SUMPRODUCT(--(IF('V06 Controlos'!$B$38&gt;0,IF(('V06 Unidades'!$L$5:$L$98+'V06 Controlos'!$B$37)&lt;'V06 Motor'!C81,'V06 Motor'!C81,('V06 Unidades'!$L$5:$L$98+'V06 Controlos'!$B$37)),('V06 Unidades'!$L$5:$L$98+'V06 Controlos'!$B$37))='V06 Motor'!A81),'V06 Unidades'!$H$5:$H$98-ROUND('V06 Unidades'!$H$5:$H$98*0.05,2)-ROUND('V06 Unidades'!$H$5:$H$98*0.2,2)-ROUND('V06 Unidades'!$H$5:$H$98*0.55,2))+SUMPRODUCT(--(IF(INT((IF('V06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Controlos'!$B$37)-1)/6),0)&gt;0),--('V06 Motor'!A81&gt;('V06 Unidades'!$I$5:$I$98+'V06 Controlos'!$B$37)),--('V06 Motor'!A81&lt;IF('V06 Controlos'!$B$38&gt;0,IF(('V06 Unidades'!$L$5:$L$98+'V06 Controlos'!$B$37)&lt;'V06 Motor'!C81,'V06 Motor'!C81,('V06 Unidades'!$L$5:$L$98+'V06 Controlos'!$B$37)),('V06 Unidades'!$L$5:$L$98+'V06 Controlos'!$B$37))),--(MOD('V06 Motor'!A81-('V06 Unidades'!$I$5:$I$98+'V06 Controlos'!$B$37),6)=0),--(('V06 Motor'!A81-('V06 Unidades'!$I$5:$I$98+'V06 Controlos'!$B$37))/6&lt;=IF(INT((IF('V06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Controlos'!$B$37)-1)/6),0)),IF('V06 Motor'!A81=('V06 Unidades'!$I$5:$I$98+'V06 Controlos'!$B$37)+6*IF(INT((IF('V06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Controlos'!$B$37)-1)/6),0)&gt;0,IF(INT((IF('V06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Controlos'!$B$37)-1)/6),0),1),2)*(IF(INT((IF('V06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Controlos'!$B$37)-1)/6),0)&gt;0,IF(INT((IF('V06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Controlos'!$B$37)-1)/6)&gt;0,INT((IF('V06 Controlos'!$B$38&gt;0,IF(('V06 Unidades'!$L$5:$L$98+'V06 Controlos'!$B$37)&lt;'V06 Motor'!C81,'V06 Motor'!C81,('V06 Unidades'!$L$5:$L$98+'V06 Controlos'!$B$37)),('V06 Unidades'!$L$5:$L$98+'V06 Controlos'!$B$37))-('V06 Unidades'!$I$5:$I$98+'V06 Controlos'!$B$37)-1)/6),0),1),2)))</f>
        <v>0.0</v>
      </c>
      <c r="P81" s="2">
        <f>SUM('V06 Calend 01'!CK5:CK98)</f>
        <v>0.0</v>
      </c>
    </row>
    <row r="82" spans="1:16">
      <c r="A82">
        <v>78</v>
      </c>
      <c r="C82">
        <v>30</v>
      </c>
      <c r="G82" s="2">
        <f>IF('V06 Motor'!A82&lt;='V06 Motor'!C82,SUMPRODUCT('V06 Curva'!$B$5:$B$34,IF((IF('V06 Motor'!A82*30/'V06 Motor'!C82&lt;'V06 Curva'!$A$5:$A$34,'V06 Motor'!A82*30/'V06 Motor'!C82,'V06 Curva'!$A$5:$A$34)-IF(('V06 Motor'!A82-1)*30/'V06 Motor'!C82&gt;'V06 Curva'!$A$5:$A$34-1,('V06 Motor'!A82-1)*30/'V06 Motor'!C82,'V06 Curva'!$A$5:$A$34-1))&gt;0,(IF('V06 Motor'!A82*30/'V06 Motor'!C82&lt;'V06 Curva'!$A$5:$A$34,'V06 Motor'!A82*30/'V06 Motor'!C82,'V06 Curva'!$A$5:$A$34)-IF(('V06 Motor'!A82-1)*30/'V06 Motor'!C82&gt;'V06 Curva'!$A$5:$A$34-1,('V06 Motor'!A82-1)*30/'V06 Motor'!C82,'V06 Curva'!$A$5:$A$34-1)),0)),0)</f>
        <v>0.0</v>
      </c>
      <c r="H82" s="2">
        <f>IF('V06 Motor'!A82&lt;='V06 Motor'!C82,SUM(MAX(0,MIN('V06 Motor'!A82*30/'V06 Motor'!C82,1)-MAX(('V06 Motor'!A82-1)*30/'V06 Motor'!C82,0))*'V06 Curva'!$B$5,MAX(0,MIN('V06 Motor'!A82*30/'V06 Motor'!C82,2)-MAX(('V06 Motor'!A82-1)*30/'V06 Motor'!C82,1))*'V06 Curva'!$B$6,MAX(0,MIN('V06 Motor'!A82*30/'V06 Motor'!C82,3)-MAX(('V06 Motor'!A82-1)*30/'V06 Motor'!C82,2))*'V06 Curva'!$B$7,MAX(0,MIN('V06 Motor'!A82*30/'V06 Motor'!C82,4)-MAX(('V06 Motor'!A82-1)*30/'V06 Motor'!C82,3))*'V06 Curva'!$B$8,MAX(0,MIN('V06 Motor'!A82*30/'V06 Motor'!C82,5)-MAX(('V06 Motor'!A82-1)*30/'V06 Motor'!C82,4))*'V06 Curva'!$B$9,MAX(0,MIN('V06 Motor'!A82*30/'V06 Motor'!C82,6)-MAX(('V06 Motor'!A82-1)*30/'V06 Motor'!C82,5))*'V06 Curva'!$B$10,MAX(0,MIN('V06 Motor'!A82*30/'V06 Motor'!C82,7)-MAX(('V06 Motor'!A82-1)*30/'V06 Motor'!C82,6))*'V06 Curva'!$B$11,MAX(0,MIN('V06 Motor'!A82*30/'V06 Motor'!C82,8)-MAX(('V06 Motor'!A82-1)*30/'V06 Motor'!C82,7))*'V06 Curva'!$B$12,MAX(0,MIN('V06 Motor'!A82*30/'V06 Motor'!C82,9)-MAX(('V06 Motor'!A82-1)*30/'V06 Motor'!C82,8))*'V06 Curva'!$B$13,MAX(0,MIN('V06 Motor'!A82*30/'V06 Motor'!C82,10)-MAX(('V06 Motor'!A82-1)*30/'V06 Motor'!C82,9))*'V06 Curva'!$B$14,MAX(0,MIN('V06 Motor'!A82*30/'V06 Motor'!C82,11)-MAX(('V06 Motor'!A82-1)*30/'V06 Motor'!C82,10))*'V06 Curva'!$B$15,MAX(0,MIN('V06 Motor'!A82*30/'V06 Motor'!C82,12)-MAX(('V06 Motor'!A82-1)*30/'V06 Motor'!C82,11))*'V06 Curva'!$B$16,MAX(0,MIN('V06 Motor'!A82*30/'V06 Motor'!C82,13)-MAX(('V06 Motor'!A82-1)*30/'V06 Motor'!C82,12))*'V06 Curva'!$B$17,MAX(0,MIN('V06 Motor'!A82*30/'V06 Motor'!C82,14)-MAX(('V06 Motor'!A82-1)*30/'V06 Motor'!C82,13))*'V06 Curva'!$B$18,MAX(0,MIN('V06 Motor'!A82*30/'V06 Motor'!C82,15)-MAX(('V06 Motor'!A82-1)*30/'V06 Motor'!C82,14))*'V06 Curva'!$B$19,MAX(0,MIN('V06 Motor'!A82*30/'V06 Motor'!C82,16)-MAX(('V06 Motor'!A82-1)*30/'V06 Motor'!C82,15))*'V06 Curva'!$B$20,MAX(0,MIN('V06 Motor'!A82*30/'V06 Motor'!C82,17)-MAX(('V06 Motor'!A82-1)*30/'V06 Motor'!C82,16))*'V06 Curva'!$B$21,MAX(0,MIN('V06 Motor'!A82*30/'V06 Motor'!C82,18)-MAX(('V06 Motor'!A82-1)*30/'V06 Motor'!C82,17))*'V06 Curva'!$B$22,MAX(0,MIN('V06 Motor'!A82*30/'V06 Motor'!C82,19)-MAX(('V06 Motor'!A82-1)*30/'V06 Motor'!C82,18))*'V06 Curva'!$B$23,MAX(0,MIN('V06 Motor'!A82*30/'V06 Motor'!C82,20)-MAX(('V06 Motor'!A82-1)*30/'V06 Motor'!C82,19))*'V06 Curva'!$B$24,MAX(0,MIN('V06 Motor'!A82*30/'V06 Motor'!C82,21)-MAX(('V06 Motor'!A82-1)*30/'V06 Motor'!C82,20))*'V06 Curva'!$B$25,MAX(0,MIN('V06 Motor'!A82*30/'V06 Motor'!C82,22)-MAX(('V06 Motor'!A82-1)*30/'V06 Motor'!C82,21))*'V06 Curva'!$B$26,MAX(0,MIN('V06 Motor'!A82*30/'V06 Motor'!C82,23)-MAX(('V06 Motor'!A82-1)*30/'V06 Motor'!C82,22))*'V06 Curva'!$B$27,MAX(0,MIN('V06 Motor'!A82*30/'V06 Motor'!C82,24)-MAX(('V06 Motor'!A82-1)*30/'V06 Motor'!C82,23))*'V06 Curva'!$B$28,MAX(0,MIN('V06 Motor'!A82*30/'V06 Motor'!C82,25)-MAX(('V06 Motor'!A82-1)*30/'V06 Motor'!C82,24))*'V06 Curva'!$B$29,MAX(0,MIN('V06 Motor'!A82*30/'V06 Motor'!C82,26)-MAX(('V06 Motor'!A82-1)*30/'V06 Motor'!C82,25))*'V06 Curva'!$B$30,MAX(0,MIN('V06 Motor'!A82*30/'V06 Motor'!C82,27)-MAX(('V06 Motor'!A82-1)*30/'V06 Motor'!C82,26))*'V06 Curva'!$B$31,MAX(0,MIN('V06 Motor'!A82*30/'V06 Motor'!C82,28)-MAX(('V06 Motor'!A82-1)*30/'V06 Motor'!C82,27))*'V06 Curva'!$B$32,MAX(0,MIN('V06 Motor'!A82*30/'V06 Motor'!C82,29)-MAX(('V06 Motor'!A82-1)*30/'V06 Motor'!C82,28))*'V06 Curva'!$B$33,MAX(0,MIN('V06 Motor'!A82*30/'V06 Motor'!C82,30)-MAX(('V06 Motor'!A82-1)*30/'V06 Motor'!C82,29))*'V06 Curva'!$B$34),0)</f>
        <v>0.0</v>
      </c>
      <c r="O82" s="2">
        <f>SUMPRODUCT(--(('V06 Unidades'!$I$5:$I$98+'V06 Controlos'!$B$37)='V06 Motor'!A82),ROUND('V06 Unidades'!$H$5:$H$98*0.05,2)+ROUND('V06 Unidades'!$H$5:$H$98*0.2,2))+SUMPRODUCT(--(IF('V06 Controlos'!$B$38&gt;0,IF(('V06 Unidades'!$L$5:$L$98+'V06 Controlos'!$B$37)&lt;'V06 Motor'!C82,'V06 Motor'!C82,('V06 Unidades'!$L$5:$L$98+'V06 Controlos'!$B$37)),('V06 Unidades'!$L$5:$L$98+'V06 Controlos'!$B$37))='V06 Motor'!A82),'V06 Unidades'!$H$5:$H$98-ROUND('V06 Unidades'!$H$5:$H$98*0.05,2)-ROUND('V06 Unidades'!$H$5:$H$98*0.2,2)-ROUND('V06 Unidades'!$H$5:$H$98*0.55,2))+SUMPRODUCT(--(IF(INT((IF('V06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Controlos'!$B$37)-1)/6),0)&gt;0),--('V06 Motor'!A82&gt;('V06 Unidades'!$I$5:$I$98+'V06 Controlos'!$B$37)),--('V06 Motor'!A82&lt;IF('V06 Controlos'!$B$38&gt;0,IF(('V06 Unidades'!$L$5:$L$98+'V06 Controlos'!$B$37)&lt;'V06 Motor'!C82,'V06 Motor'!C82,('V06 Unidades'!$L$5:$L$98+'V06 Controlos'!$B$37)),('V06 Unidades'!$L$5:$L$98+'V06 Controlos'!$B$37))),--(MOD('V06 Motor'!A82-('V06 Unidades'!$I$5:$I$98+'V06 Controlos'!$B$37),6)=0),--(('V06 Motor'!A82-('V06 Unidades'!$I$5:$I$98+'V06 Controlos'!$B$37))/6&lt;=IF(INT((IF('V06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Controlos'!$B$37)-1)/6),0)),IF('V06 Motor'!A82=('V06 Unidades'!$I$5:$I$98+'V06 Controlos'!$B$37)+6*IF(INT((IF('V06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Controlos'!$B$37)-1)/6),0)&gt;0,IF(INT((IF('V06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Controlos'!$B$37)-1)/6),0),1),2)*(IF(INT((IF('V06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Controlos'!$B$37)-1)/6),0)&gt;0,IF(INT((IF('V06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Controlos'!$B$37)-1)/6)&gt;0,INT((IF('V06 Controlos'!$B$38&gt;0,IF(('V06 Unidades'!$L$5:$L$98+'V06 Controlos'!$B$37)&lt;'V06 Motor'!C82,'V06 Motor'!C82,('V06 Unidades'!$L$5:$L$98+'V06 Controlos'!$B$37)),('V06 Unidades'!$L$5:$L$98+'V06 Controlos'!$B$37))-('V06 Unidades'!$I$5:$I$98+'V06 Controlos'!$B$37)-1)/6),0),1),2)))</f>
        <v>0.0</v>
      </c>
      <c r="P82" s="2">
        <f>SUM('V06 Calend 01'!CL5:CL98)</f>
        <v>0.0</v>
      </c>
    </row>
    <row r="83" spans="1:16">
      <c r="A83">
        <v>79</v>
      </c>
      <c r="C83">
        <v>30</v>
      </c>
      <c r="G83" s="2">
        <f>IF('V06 Motor'!A83&lt;='V06 Motor'!C83,SUMPRODUCT('V06 Curva'!$B$5:$B$34,IF((IF('V06 Motor'!A83*30/'V06 Motor'!C83&lt;'V06 Curva'!$A$5:$A$34,'V06 Motor'!A83*30/'V06 Motor'!C83,'V06 Curva'!$A$5:$A$34)-IF(('V06 Motor'!A83-1)*30/'V06 Motor'!C83&gt;'V06 Curva'!$A$5:$A$34-1,('V06 Motor'!A83-1)*30/'V06 Motor'!C83,'V06 Curva'!$A$5:$A$34-1))&gt;0,(IF('V06 Motor'!A83*30/'V06 Motor'!C83&lt;'V06 Curva'!$A$5:$A$34,'V06 Motor'!A83*30/'V06 Motor'!C83,'V06 Curva'!$A$5:$A$34)-IF(('V06 Motor'!A83-1)*30/'V06 Motor'!C83&gt;'V06 Curva'!$A$5:$A$34-1,('V06 Motor'!A83-1)*30/'V06 Motor'!C83,'V06 Curva'!$A$5:$A$34-1)),0)),0)</f>
        <v>0.0</v>
      </c>
      <c r="H83" s="2">
        <f>IF('V06 Motor'!A83&lt;='V06 Motor'!C83,SUM(MAX(0,MIN('V06 Motor'!A83*30/'V06 Motor'!C83,1)-MAX(('V06 Motor'!A83-1)*30/'V06 Motor'!C83,0))*'V06 Curva'!$B$5,MAX(0,MIN('V06 Motor'!A83*30/'V06 Motor'!C83,2)-MAX(('V06 Motor'!A83-1)*30/'V06 Motor'!C83,1))*'V06 Curva'!$B$6,MAX(0,MIN('V06 Motor'!A83*30/'V06 Motor'!C83,3)-MAX(('V06 Motor'!A83-1)*30/'V06 Motor'!C83,2))*'V06 Curva'!$B$7,MAX(0,MIN('V06 Motor'!A83*30/'V06 Motor'!C83,4)-MAX(('V06 Motor'!A83-1)*30/'V06 Motor'!C83,3))*'V06 Curva'!$B$8,MAX(0,MIN('V06 Motor'!A83*30/'V06 Motor'!C83,5)-MAX(('V06 Motor'!A83-1)*30/'V06 Motor'!C83,4))*'V06 Curva'!$B$9,MAX(0,MIN('V06 Motor'!A83*30/'V06 Motor'!C83,6)-MAX(('V06 Motor'!A83-1)*30/'V06 Motor'!C83,5))*'V06 Curva'!$B$10,MAX(0,MIN('V06 Motor'!A83*30/'V06 Motor'!C83,7)-MAX(('V06 Motor'!A83-1)*30/'V06 Motor'!C83,6))*'V06 Curva'!$B$11,MAX(0,MIN('V06 Motor'!A83*30/'V06 Motor'!C83,8)-MAX(('V06 Motor'!A83-1)*30/'V06 Motor'!C83,7))*'V06 Curva'!$B$12,MAX(0,MIN('V06 Motor'!A83*30/'V06 Motor'!C83,9)-MAX(('V06 Motor'!A83-1)*30/'V06 Motor'!C83,8))*'V06 Curva'!$B$13,MAX(0,MIN('V06 Motor'!A83*30/'V06 Motor'!C83,10)-MAX(('V06 Motor'!A83-1)*30/'V06 Motor'!C83,9))*'V06 Curva'!$B$14,MAX(0,MIN('V06 Motor'!A83*30/'V06 Motor'!C83,11)-MAX(('V06 Motor'!A83-1)*30/'V06 Motor'!C83,10))*'V06 Curva'!$B$15,MAX(0,MIN('V06 Motor'!A83*30/'V06 Motor'!C83,12)-MAX(('V06 Motor'!A83-1)*30/'V06 Motor'!C83,11))*'V06 Curva'!$B$16,MAX(0,MIN('V06 Motor'!A83*30/'V06 Motor'!C83,13)-MAX(('V06 Motor'!A83-1)*30/'V06 Motor'!C83,12))*'V06 Curva'!$B$17,MAX(0,MIN('V06 Motor'!A83*30/'V06 Motor'!C83,14)-MAX(('V06 Motor'!A83-1)*30/'V06 Motor'!C83,13))*'V06 Curva'!$B$18,MAX(0,MIN('V06 Motor'!A83*30/'V06 Motor'!C83,15)-MAX(('V06 Motor'!A83-1)*30/'V06 Motor'!C83,14))*'V06 Curva'!$B$19,MAX(0,MIN('V06 Motor'!A83*30/'V06 Motor'!C83,16)-MAX(('V06 Motor'!A83-1)*30/'V06 Motor'!C83,15))*'V06 Curva'!$B$20,MAX(0,MIN('V06 Motor'!A83*30/'V06 Motor'!C83,17)-MAX(('V06 Motor'!A83-1)*30/'V06 Motor'!C83,16))*'V06 Curva'!$B$21,MAX(0,MIN('V06 Motor'!A83*30/'V06 Motor'!C83,18)-MAX(('V06 Motor'!A83-1)*30/'V06 Motor'!C83,17))*'V06 Curva'!$B$22,MAX(0,MIN('V06 Motor'!A83*30/'V06 Motor'!C83,19)-MAX(('V06 Motor'!A83-1)*30/'V06 Motor'!C83,18))*'V06 Curva'!$B$23,MAX(0,MIN('V06 Motor'!A83*30/'V06 Motor'!C83,20)-MAX(('V06 Motor'!A83-1)*30/'V06 Motor'!C83,19))*'V06 Curva'!$B$24,MAX(0,MIN('V06 Motor'!A83*30/'V06 Motor'!C83,21)-MAX(('V06 Motor'!A83-1)*30/'V06 Motor'!C83,20))*'V06 Curva'!$B$25,MAX(0,MIN('V06 Motor'!A83*30/'V06 Motor'!C83,22)-MAX(('V06 Motor'!A83-1)*30/'V06 Motor'!C83,21))*'V06 Curva'!$B$26,MAX(0,MIN('V06 Motor'!A83*30/'V06 Motor'!C83,23)-MAX(('V06 Motor'!A83-1)*30/'V06 Motor'!C83,22))*'V06 Curva'!$B$27,MAX(0,MIN('V06 Motor'!A83*30/'V06 Motor'!C83,24)-MAX(('V06 Motor'!A83-1)*30/'V06 Motor'!C83,23))*'V06 Curva'!$B$28,MAX(0,MIN('V06 Motor'!A83*30/'V06 Motor'!C83,25)-MAX(('V06 Motor'!A83-1)*30/'V06 Motor'!C83,24))*'V06 Curva'!$B$29,MAX(0,MIN('V06 Motor'!A83*30/'V06 Motor'!C83,26)-MAX(('V06 Motor'!A83-1)*30/'V06 Motor'!C83,25))*'V06 Curva'!$B$30,MAX(0,MIN('V06 Motor'!A83*30/'V06 Motor'!C83,27)-MAX(('V06 Motor'!A83-1)*30/'V06 Motor'!C83,26))*'V06 Curva'!$B$31,MAX(0,MIN('V06 Motor'!A83*30/'V06 Motor'!C83,28)-MAX(('V06 Motor'!A83-1)*30/'V06 Motor'!C83,27))*'V06 Curva'!$B$32,MAX(0,MIN('V06 Motor'!A83*30/'V06 Motor'!C83,29)-MAX(('V06 Motor'!A83-1)*30/'V06 Motor'!C83,28))*'V06 Curva'!$B$33,MAX(0,MIN('V06 Motor'!A83*30/'V06 Motor'!C83,30)-MAX(('V06 Motor'!A83-1)*30/'V06 Motor'!C83,29))*'V06 Curva'!$B$34),0)</f>
        <v>0.0</v>
      </c>
      <c r="O83" s="2">
        <f>SUMPRODUCT(--(('V06 Unidades'!$I$5:$I$98+'V06 Controlos'!$B$37)='V06 Motor'!A83),ROUND('V06 Unidades'!$H$5:$H$98*0.05,2)+ROUND('V06 Unidades'!$H$5:$H$98*0.2,2))+SUMPRODUCT(--(IF('V06 Controlos'!$B$38&gt;0,IF(('V06 Unidades'!$L$5:$L$98+'V06 Controlos'!$B$37)&lt;'V06 Motor'!C83,'V06 Motor'!C83,('V06 Unidades'!$L$5:$L$98+'V06 Controlos'!$B$37)),('V06 Unidades'!$L$5:$L$98+'V06 Controlos'!$B$37))='V06 Motor'!A83),'V06 Unidades'!$H$5:$H$98-ROUND('V06 Unidades'!$H$5:$H$98*0.05,2)-ROUND('V06 Unidades'!$H$5:$H$98*0.2,2)-ROUND('V06 Unidades'!$H$5:$H$98*0.55,2))+SUMPRODUCT(--(IF(INT((IF('V06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Controlos'!$B$37)-1)/6),0)&gt;0),--('V06 Motor'!A83&gt;('V06 Unidades'!$I$5:$I$98+'V06 Controlos'!$B$37)),--('V06 Motor'!A83&lt;IF('V06 Controlos'!$B$38&gt;0,IF(('V06 Unidades'!$L$5:$L$98+'V06 Controlos'!$B$37)&lt;'V06 Motor'!C83,'V06 Motor'!C83,('V06 Unidades'!$L$5:$L$98+'V06 Controlos'!$B$37)),('V06 Unidades'!$L$5:$L$98+'V06 Controlos'!$B$37))),--(MOD('V06 Motor'!A83-('V06 Unidades'!$I$5:$I$98+'V06 Controlos'!$B$37),6)=0),--(('V06 Motor'!A83-('V06 Unidades'!$I$5:$I$98+'V06 Controlos'!$B$37))/6&lt;=IF(INT((IF('V06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Controlos'!$B$37)-1)/6),0)),IF('V06 Motor'!A83=('V06 Unidades'!$I$5:$I$98+'V06 Controlos'!$B$37)+6*IF(INT((IF('V06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Controlos'!$B$37)-1)/6),0)&gt;0,IF(INT((IF('V06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Controlos'!$B$37)-1)/6),0),1),2)*(IF(INT((IF('V06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Controlos'!$B$37)-1)/6),0)&gt;0,IF(INT((IF('V06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Controlos'!$B$37)-1)/6)&gt;0,INT((IF('V06 Controlos'!$B$38&gt;0,IF(('V06 Unidades'!$L$5:$L$98+'V06 Controlos'!$B$37)&lt;'V06 Motor'!C83,'V06 Motor'!C83,('V06 Unidades'!$L$5:$L$98+'V06 Controlos'!$B$37)),('V06 Unidades'!$L$5:$L$98+'V06 Controlos'!$B$37))-('V06 Unidades'!$I$5:$I$98+'V06 Controlos'!$B$37)-1)/6),0),1),2)))</f>
        <v>0.0</v>
      </c>
      <c r="P83" s="2">
        <f>SUM('V06 Calend 01'!CM5:CM98)</f>
        <v>0.0</v>
      </c>
    </row>
    <row r="84" spans="1:16">
      <c r="A84">
        <v>80</v>
      </c>
      <c r="C84">
        <v>30</v>
      </c>
      <c r="G84" s="2">
        <f>IF('V06 Motor'!A84&lt;='V06 Motor'!C84,SUMPRODUCT('V06 Curva'!$B$5:$B$34,IF((IF('V06 Motor'!A84*30/'V06 Motor'!C84&lt;'V06 Curva'!$A$5:$A$34,'V06 Motor'!A84*30/'V06 Motor'!C84,'V06 Curva'!$A$5:$A$34)-IF(('V06 Motor'!A84-1)*30/'V06 Motor'!C84&gt;'V06 Curva'!$A$5:$A$34-1,('V06 Motor'!A84-1)*30/'V06 Motor'!C84,'V06 Curva'!$A$5:$A$34-1))&gt;0,(IF('V06 Motor'!A84*30/'V06 Motor'!C84&lt;'V06 Curva'!$A$5:$A$34,'V06 Motor'!A84*30/'V06 Motor'!C84,'V06 Curva'!$A$5:$A$34)-IF(('V06 Motor'!A84-1)*30/'V06 Motor'!C84&gt;'V06 Curva'!$A$5:$A$34-1,('V06 Motor'!A84-1)*30/'V06 Motor'!C84,'V06 Curva'!$A$5:$A$34-1)),0)),0)</f>
        <v>0.0</v>
      </c>
      <c r="H84" s="2">
        <f>IF('V06 Motor'!A84&lt;='V06 Motor'!C84,SUM(MAX(0,MIN('V06 Motor'!A84*30/'V06 Motor'!C84,1)-MAX(('V06 Motor'!A84-1)*30/'V06 Motor'!C84,0))*'V06 Curva'!$B$5,MAX(0,MIN('V06 Motor'!A84*30/'V06 Motor'!C84,2)-MAX(('V06 Motor'!A84-1)*30/'V06 Motor'!C84,1))*'V06 Curva'!$B$6,MAX(0,MIN('V06 Motor'!A84*30/'V06 Motor'!C84,3)-MAX(('V06 Motor'!A84-1)*30/'V06 Motor'!C84,2))*'V06 Curva'!$B$7,MAX(0,MIN('V06 Motor'!A84*30/'V06 Motor'!C84,4)-MAX(('V06 Motor'!A84-1)*30/'V06 Motor'!C84,3))*'V06 Curva'!$B$8,MAX(0,MIN('V06 Motor'!A84*30/'V06 Motor'!C84,5)-MAX(('V06 Motor'!A84-1)*30/'V06 Motor'!C84,4))*'V06 Curva'!$B$9,MAX(0,MIN('V06 Motor'!A84*30/'V06 Motor'!C84,6)-MAX(('V06 Motor'!A84-1)*30/'V06 Motor'!C84,5))*'V06 Curva'!$B$10,MAX(0,MIN('V06 Motor'!A84*30/'V06 Motor'!C84,7)-MAX(('V06 Motor'!A84-1)*30/'V06 Motor'!C84,6))*'V06 Curva'!$B$11,MAX(0,MIN('V06 Motor'!A84*30/'V06 Motor'!C84,8)-MAX(('V06 Motor'!A84-1)*30/'V06 Motor'!C84,7))*'V06 Curva'!$B$12,MAX(0,MIN('V06 Motor'!A84*30/'V06 Motor'!C84,9)-MAX(('V06 Motor'!A84-1)*30/'V06 Motor'!C84,8))*'V06 Curva'!$B$13,MAX(0,MIN('V06 Motor'!A84*30/'V06 Motor'!C84,10)-MAX(('V06 Motor'!A84-1)*30/'V06 Motor'!C84,9))*'V06 Curva'!$B$14,MAX(0,MIN('V06 Motor'!A84*30/'V06 Motor'!C84,11)-MAX(('V06 Motor'!A84-1)*30/'V06 Motor'!C84,10))*'V06 Curva'!$B$15,MAX(0,MIN('V06 Motor'!A84*30/'V06 Motor'!C84,12)-MAX(('V06 Motor'!A84-1)*30/'V06 Motor'!C84,11))*'V06 Curva'!$B$16,MAX(0,MIN('V06 Motor'!A84*30/'V06 Motor'!C84,13)-MAX(('V06 Motor'!A84-1)*30/'V06 Motor'!C84,12))*'V06 Curva'!$B$17,MAX(0,MIN('V06 Motor'!A84*30/'V06 Motor'!C84,14)-MAX(('V06 Motor'!A84-1)*30/'V06 Motor'!C84,13))*'V06 Curva'!$B$18,MAX(0,MIN('V06 Motor'!A84*30/'V06 Motor'!C84,15)-MAX(('V06 Motor'!A84-1)*30/'V06 Motor'!C84,14))*'V06 Curva'!$B$19,MAX(0,MIN('V06 Motor'!A84*30/'V06 Motor'!C84,16)-MAX(('V06 Motor'!A84-1)*30/'V06 Motor'!C84,15))*'V06 Curva'!$B$20,MAX(0,MIN('V06 Motor'!A84*30/'V06 Motor'!C84,17)-MAX(('V06 Motor'!A84-1)*30/'V06 Motor'!C84,16))*'V06 Curva'!$B$21,MAX(0,MIN('V06 Motor'!A84*30/'V06 Motor'!C84,18)-MAX(('V06 Motor'!A84-1)*30/'V06 Motor'!C84,17))*'V06 Curva'!$B$22,MAX(0,MIN('V06 Motor'!A84*30/'V06 Motor'!C84,19)-MAX(('V06 Motor'!A84-1)*30/'V06 Motor'!C84,18))*'V06 Curva'!$B$23,MAX(0,MIN('V06 Motor'!A84*30/'V06 Motor'!C84,20)-MAX(('V06 Motor'!A84-1)*30/'V06 Motor'!C84,19))*'V06 Curva'!$B$24,MAX(0,MIN('V06 Motor'!A84*30/'V06 Motor'!C84,21)-MAX(('V06 Motor'!A84-1)*30/'V06 Motor'!C84,20))*'V06 Curva'!$B$25,MAX(0,MIN('V06 Motor'!A84*30/'V06 Motor'!C84,22)-MAX(('V06 Motor'!A84-1)*30/'V06 Motor'!C84,21))*'V06 Curva'!$B$26,MAX(0,MIN('V06 Motor'!A84*30/'V06 Motor'!C84,23)-MAX(('V06 Motor'!A84-1)*30/'V06 Motor'!C84,22))*'V06 Curva'!$B$27,MAX(0,MIN('V06 Motor'!A84*30/'V06 Motor'!C84,24)-MAX(('V06 Motor'!A84-1)*30/'V06 Motor'!C84,23))*'V06 Curva'!$B$28,MAX(0,MIN('V06 Motor'!A84*30/'V06 Motor'!C84,25)-MAX(('V06 Motor'!A84-1)*30/'V06 Motor'!C84,24))*'V06 Curva'!$B$29,MAX(0,MIN('V06 Motor'!A84*30/'V06 Motor'!C84,26)-MAX(('V06 Motor'!A84-1)*30/'V06 Motor'!C84,25))*'V06 Curva'!$B$30,MAX(0,MIN('V06 Motor'!A84*30/'V06 Motor'!C84,27)-MAX(('V06 Motor'!A84-1)*30/'V06 Motor'!C84,26))*'V06 Curva'!$B$31,MAX(0,MIN('V06 Motor'!A84*30/'V06 Motor'!C84,28)-MAX(('V06 Motor'!A84-1)*30/'V06 Motor'!C84,27))*'V06 Curva'!$B$32,MAX(0,MIN('V06 Motor'!A84*30/'V06 Motor'!C84,29)-MAX(('V06 Motor'!A84-1)*30/'V06 Motor'!C84,28))*'V06 Curva'!$B$33,MAX(0,MIN('V06 Motor'!A84*30/'V06 Motor'!C84,30)-MAX(('V06 Motor'!A84-1)*30/'V06 Motor'!C84,29))*'V06 Curva'!$B$34),0)</f>
        <v>0.0</v>
      </c>
      <c r="O84" s="2">
        <f>SUMPRODUCT(--(('V06 Unidades'!$I$5:$I$98+'V06 Controlos'!$B$37)='V06 Motor'!A84),ROUND('V06 Unidades'!$H$5:$H$98*0.05,2)+ROUND('V06 Unidades'!$H$5:$H$98*0.2,2))+SUMPRODUCT(--(IF('V06 Controlos'!$B$38&gt;0,IF(('V06 Unidades'!$L$5:$L$98+'V06 Controlos'!$B$37)&lt;'V06 Motor'!C84,'V06 Motor'!C84,('V06 Unidades'!$L$5:$L$98+'V06 Controlos'!$B$37)),('V06 Unidades'!$L$5:$L$98+'V06 Controlos'!$B$37))='V06 Motor'!A84),'V06 Unidades'!$H$5:$H$98-ROUND('V06 Unidades'!$H$5:$H$98*0.05,2)-ROUND('V06 Unidades'!$H$5:$H$98*0.2,2)-ROUND('V06 Unidades'!$H$5:$H$98*0.55,2))+SUMPRODUCT(--(IF(INT((IF('V06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Controlos'!$B$37)-1)/6),0)&gt;0),--('V06 Motor'!A84&gt;('V06 Unidades'!$I$5:$I$98+'V06 Controlos'!$B$37)),--('V06 Motor'!A84&lt;IF('V06 Controlos'!$B$38&gt;0,IF(('V06 Unidades'!$L$5:$L$98+'V06 Controlos'!$B$37)&lt;'V06 Motor'!C84,'V06 Motor'!C84,('V06 Unidades'!$L$5:$L$98+'V06 Controlos'!$B$37)),('V06 Unidades'!$L$5:$L$98+'V06 Controlos'!$B$37))),--(MOD('V06 Motor'!A84-('V06 Unidades'!$I$5:$I$98+'V06 Controlos'!$B$37),6)=0),--(('V06 Motor'!A84-('V06 Unidades'!$I$5:$I$98+'V06 Controlos'!$B$37))/6&lt;=IF(INT((IF('V06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Controlos'!$B$37)-1)/6),0)),IF('V06 Motor'!A84=('V06 Unidades'!$I$5:$I$98+'V06 Controlos'!$B$37)+6*IF(INT((IF('V06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Controlos'!$B$37)-1)/6),0)&gt;0,IF(INT((IF('V06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Controlos'!$B$37)-1)/6),0),1),2)*(IF(INT((IF('V06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Controlos'!$B$37)-1)/6),0)&gt;0,IF(INT((IF('V06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Controlos'!$B$37)-1)/6)&gt;0,INT((IF('V06 Controlos'!$B$38&gt;0,IF(('V06 Unidades'!$L$5:$L$98+'V06 Controlos'!$B$37)&lt;'V06 Motor'!C84,'V06 Motor'!C84,('V06 Unidades'!$L$5:$L$98+'V06 Controlos'!$B$37)),('V06 Unidades'!$L$5:$L$98+'V06 Controlos'!$B$37))-('V06 Unidades'!$I$5:$I$98+'V06 Controlos'!$B$37)-1)/6),0),1),2)))</f>
        <v>0.0</v>
      </c>
      <c r="P84" s="2">
        <f>SUM('V06 Calend 01'!CN5:CN98)</f>
        <v>0.0</v>
      </c>
    </row>
    <row r="85" spans="1:16">
      <c r="A85">
        <v>81</v>
      </c>
      <c r="C85">
        <v>30</v>
      </c>
      <c r="G85" s="2">
        <f>IF('V06 Motor'!A85&lt;='V06 Motor'!C85,SUMPRODUCT('V06 Curva'!$B$5:$B$34,IF((IF('V06 Motor'!A85*30/'V06 Motor'!C85&lt;'V06 Curva'!$A$5:$A$34,'V06 Motor'!A85*30/'V06 Motor'!C85,'V06 Curva'!$A$5:$A$34)-IF(('V06 Motor'!A85-1)*30/'V06 Motor'!C85&gt;'V06 Curva'!$A$5:$A$34-1,('V06 Motor'!A85-1)*30/'V06 Motor'!C85,'V06 Curva'!$A$5:$A$34-1))&gt;0,(IF('V06 Motor'!A85*30/'V06 Motor'!C85&lt;'V06 Curva'!$A$5:$A$34,'V06 Motor'!A85*30/'V06 Motor'!C85,'V06 Curva'!$A$5:$A$34)-IF(('V06 Motor'!A85-1)*30/'V06 Motor'!C85&gt;'V06 Curva'!$A$5:$A$34-1,('V06 Motor'!A85-1)*30/'V06 Motor'!C85,'V06 Curva'!$A$5:$A$34-1)),0)),0)</f>
        <v>0.0</v>
      </c>
      <c r="H85" s="2">
        <f>IF('V06 Motor'!A85&lt;='V06 Motor'!C85,SUM(MAX(0,MIN('V06 Motor'!A85*30/'V06 Motor'!C85,1)-MAX(('V06 Motor'!A85-1)*30/'V06 Motor'!C85,0))*'V06 Curva'!$B$5,MAX(0,MIN('V06 Motor'!A85*30/'V06 Motor'!C85,2)-MAX(('V06 Motor'!A85-1)*30/'V06 Motor'!C85,1))*'V06 Curva'!$B$6,MAX(0,MIN('V06 Motor'!A85*30/'V06 Motor'!C85,3)-MAX(('V06 Motor'!A85-1)*30/'V06 Motor'!C85,2))*'V06 Curva'!$B$7,MAX(0,MIN('V06 Motor'!A85*30/'V06 Motor'!C85,4)-MAX(('V06 Motor'!A85-1)*30/'V06 Motor'!C85,3))*'V06 Curva'!$B$8,MAX(0,MIN('V06 Motor'!A85*30/'V06 Motor'!C85,5)-MAX(('V06 Motor'!A85-1)*30/'V06 Motor'!C85,4))*'V06 Curva'!$B$9,MAX(0,MIN('V06 Motor'!A85*30/'V06 Motor'!C85,6)-MAX(('V06 Motor'!A85-1)*30/'V06 Motor'!C85,5))*'V06 Curva'!$B$10,MAX(0,MIN('V06 Motor'!A85*30/'V06 Motor'!C85,7)-MAX(('V06 Motor'!A85-1)*30/'V06 Motor'!C85,6))*'V06 Curva'!$B$11,MAX(0,MIN('V06 Motor'!A85*30/'V06 Motor'!C85,8)-MAX(('V06 Motor'!A85-1)*30/'V06 Motor'!C85,7))*'V06 Curva'!$B$12,MAX(0,MIN('V06 Motor'!A85*30/'V06 Motor'!C85,9)-MAX(('V06 Motor'!A85-1)*30/'V06 Motor'!C85,8))*'V06 Curva'!$B$13,MAX(0,MIN('V06 Motor'!A85*30/'V06 Motor'!C85,10)-MAX(('V06 Motor'!A85-1)*30/'V06 Motor'!C85,9))*'V06 Curva'!$B$14,MAX(0,MIN('V06 Motor'!A85*30/'V06 Motor'!C85,11)-MAX(('V06 Motor'!A85-1)*30/'V06 Motor'!C85,10))*'V06 Curva'!$B$15,MAX(0,MIN('V06 Motor'!A85*30/'V06 Motor'!C85,12)-MAX(('V06 Motor'!A85-1)*30/'V06 Motor'!C85,11))*'V06 Curva'!$B$16,MAX(0,MIN('V06 Motor'!A85*30/'V06 Motor'!C85,13)-MAX(('V06 Motor'!A85-1)*30/'V06 Motor'!C85,12))*'V06 Curva'!$B$17,MAX(0,MIN('V06 Motor'!A85*30/'V06 Motor'!C85,14)-MAX(('V06 Motor'!A85-1)*30/'V06 Motor'!C85,13))*'V06 Curva'!$B$18,MAX(0,MIN('V06 Motor'!A85*30/'V06 Motor'!C85,15)-MAX(('V06 Motor'!A85-1)*30/'V06 Motor'!C85,14))*'V06 Curva'!$B$19,MAX(0,MIN('V06 Motor'!A85*30/'V06 Motor'!C85,16)-MAX(('V06 Motor'!A85-1)*30/'V06 Motor'!C85,15))*'V06 Curva'!$B$20,MAX(0,MIN('V06 Motor'!A85*30/'V06 Motor'!C85,17)-MAX(('V06 Motor'!A85-1)*30/'V06 Motor'!C85,16))*'V06 Curva'!$B$21,MAX(0,MIN('V06 Motor'!A85*30/'V06 Motor'!C85,18)-MAX(('V06 Motor'!A85-1)*30/'V06 Motor'!C85,17))*'V06 Curva'!$B$22,MAX(0,MIN('V06 Motor'!A85*30/'V06 Motor'!C85,19)-MAX(('V06 Motor'!A85-1)*30/'V06 Motor'!C85,18))*'V06 Curva'!$B$23,MAX(0,MIN('V06 Motor'!A85*30/'V06 Motor'!C85,20)-MAX(('V06 Motor'!A85-1)*30/'V06 Motor'!C85,19))*'V06 Curva'!$B$24,MAX(0,MIN('V06 Motor'!A85*30/'V06 Motor'!C85,21)-MAX(('V06 Motor'!A85-1)*30/'V06 Motor'!C85,20))*'V06 Curva'!$B$25,MAX(0,MIN('V06 Motor'!A85*30/'V06 Motor'!C85,22)-MAX(('V06 Motor'!A85-1)*30/'V06 Motor'!C85,21))*'V06 Curva'!$B$26,MAX(0,MIN('V06 Motor'!A85*30/'V06 Motor'!C85,23)-MAX(('V06 Motor'!A85-1)*30/'V06 Motor'!C85,22))*'V06 Curva'!$B$27,MAX(0,MIN('V06 Motor'!A85*30/'V06 Motor'!C85,24)-MAX(('V06 Motor'!A85-1)*30/'V06 Motor'!C85,23))*'V06 Curva'!$B$28,MAX(0,MIN('V06 Motor'!A85*30/'V06 Motor'!C85,25)-MAX(('V06 Motor'!A85-1)*30/'V06 Motor'!C85,24))*'V06 Curva'!$B$29,MAX(0,MIN('V06 Motor'!A85*30/'V06 Motor'!C85,26)-MAX(('V06 Motor'!A85-1)*30/'V06 Motor'!C85,25))*'V06 Curva'!$B$30,MAX(0,MIN('V06 Motor'!A85*30/'V06 Motor'!C85,27)-MAX(('V06 Motor'!A85-1)*30/'V06 Motor'!C85,26))*'V06 Curva'!$B$31,MAX(0,MIN('V06 Motor'!A85*30/'V06 Motor'!C85,28)-MAX(('V06 Motor'!A85-1)*30/'V06 Motor'!C85,27))*'V06 Curva'!$B$32,MAX(0,MIN('V06 Motor'!A85*30/'V06 Motor'!C85,29)-MAX(('V06 Motor'!A85-1)*30/'V06 Motor'!C85,28))*'V06 Curva'!$B$33,MAX(0,MIN('V06 Motor'!A85*30/'V06 Motor'!C85,30)-MAX(('V06 Motor'!A85-1)*30/'V06 Motor'!C85,29))*'V06 Curva'!$B$34),0)</f>
        <v>0.0</v>
      </c>
      <c r="O85" s="2">
        <f>SUMPRODUCT(--(('V06 Unidades'!$I$5:$I$98+'V06 Controlos'!$B$37)='V06 Motor'!A85),ROUND('V06 Unidades'!$H$5:$H$98*0.05,2)+ROUND('V06 Unidades'!$H$5:$H$98*0.2,2))+SUMPRODUCT(--(IF('V06 Controlos'!$B$38&gt;0,IF(('V06 Unidades'!$L$5:$L$98+'V06 Controlos'!$B$37)&lt;'V06 Motor'!C85,'V06 Motor'!C85,('V06 Unidades'!$L$5:$L$98+'V06 Controlos'!$B$37)),('V06 Unidades'!$L$5:$L$98+'V06 Controlos'!$B$37))='V06 Motor'!A85),'V06 Unidades'!$H$5:$H$98-ROUND('V06 Unidades'!$H$5:$H$98*0.05,2)-ROUND('V06 Unidades'!$H$5:$H$98*0.2,2)-ROUND('V06 Unidades'!$H$5:$H$98*0.55,2))+SUMPRODUCT(--(IF(INT((IF('V06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Controlos'!$B$37)-1)/6),0)&gt;0),--('V06 Motor'!A85&gt;('V06 Unidades'!$I$5:$I$98+'V06 Controlos'!$B$37)),--('V06 Motor'!A85&lt;IF('V06 Controlos'!$B$38&gt;0,IF(('V06 Unidades'!$L$5:$L$98+'V06 Controlos'!$B$37)&lt;'V06 Motor'!C85,'V06 Motor'!C85,('V06 Unidades'!$L$5:$L$98+'V06 Controlos'!$B$37)),('V06 Unidades'!$L$5:$L$98+'V06 Controlos'!$B$37))),--(MOD('V06 Motor'!A85-('V06 Unidades'!$I$5:$I$98+'V06 Controlos'!$B$37),6)=0),--(('V06 Motor'!A85-('V06 Unidades'!$I$5:$I$98+'V06 Controlos'!$B$37))/6&lt;=IF(INT((IF('V06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Controlos'!$B$37)-1)/6),0)),IF('V06 Motor'!A85=('V06 Unidades'!$I$5:$I$98+'V06 Controlos'!$B$37)+6*IF(INT((IF('V06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Controlos'!$B$37)-1)/6),0)&gt;0,IF(INT((IF('V06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Controlos'!$B$37)-1)/6),0),1),2)*(IF(INT((IF('V06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Controlos'!$B$37)-1)/6),0)&gt;0,IF(INT((IF('V06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Controlos'!$B$37)-1)/6)&gt;0,INT((IF('V06 Controlos'!$B$38&gt;0,IF(('V06 Unidades'!$L$5:$L$98+'V06 Controlos'!$B$37)&lt;'V06 Motor'!C85,'V06 Motor'!C85,('V06 Unidades'!$L$5:$L$98+'V06 Controlos'!$B$37)),('V06 Unidades'!$L$5:$L$98+'V06 Controlos'!$B$37))-('V06 Unidades'!$I$5:$I$98+'V06 Controlos'!$B$37)-1)/6),0),1),2)))</f>
        <v>0.0</v>
      </c>
      <c r="P85" s="2">
        <f>SUM('V06 Calend 01'!CO5:CO98)</f>
        <v>0.0</v>
      </c>
    </row>
    <row r="86" spans="1:16">
      <c r="A86">
        <v>82</v>
      </c>
      <c r="C86">
        <v>30</v>
      </c>
      <c r="G86" s="2">
        <f>IF('V06 Motor'!A86&lt;='V06 Motor'!C86,SUMPRODUCT('V06 Curva'!$B$5:$B$34,IF((IF('V06 Motor'!A86*30/'V06 Motor'!C86&lt;'V06 Curva'!$A$5:$A$34,'V06 Motor'!A86*30/'V06 Motor'!C86,'V06 Curva'!$A$5:$A$34)-IF(('V06 Motor'!A86-1)*30/'V06 Motor'!C86&gt;'V06 Curva'!$A$5:$A$34-1,('V06 Motor'!A86-1)*30/'V06 Motor'!C86,'V06 Curva'!$A$5:$A$34-1))&gt;0,(IF('V06 Motor'!A86*30/'V06 Motor'!C86&lt;'V06 Curva'!$A$5:$A$34,'V06 Motor'!A86*30/'V06 Motor'!C86,'V06 Curva'!$A$5:$A$34)-IF(('V06 Motor'!A86-1)*30/'V06 Motor'!C86&gt;'V06 Curva'!$A$5:$A$34-1,('V06 Motor'!A86-1)*30/'V06 Motor'!C86,'V06 Curva'!$A$5:$A$34-1)),0)),0)</f>
        <v>0.0</v>
      </c>
      <c r="H86" s="2">
        <f>IF('V06 Motor'!A86&lt;='V06 Motor'!C86,SUM(MAX(0,MIN('V06 Motor'!A86*30/'V06 Motor'!C86,1)-MAX(('V06 Motor'!A86-1)*30/'V06 Motor'!C86,0))*'V06 Curva'!$B$5,MAX(0,MIN('V06 Motor'!A86*30/'V06 Motor'!C86,2)-MAX(('V06 Motor'!A86-1)*30/'V06 Motor'!C86,1))*'V06 Curva'!$B$6,MAX(0,MIN('V06 Motor'!A86*30/'V06 Motor'!C86,3)-MAX(('V06 Motor'!A86-1)*30/'V06 Motor'!C86,2))*'V06 Curva'!$B$7,MAX(0,MIN('V06 Motor'!A86*30/'V06 Motor'!C86,4)-MAX(('V06 Motor'!A86-1)*30/'V06 Motor'!C86,3))*'V06 Curva'!$B$8,MAX(0,MIN('V06 Motor'!A86*30/'V06 Motor'!C86,5)-MAX(('V06 Motor'!A86-1)*30/'V06 Motor'!C86,4))*'V06 Curva'!$B$9,MAX(0,MIN('V06 Motor'!A86*30/'V06 Motor'!C86,6)-MAX(('V06 Motor'!A86-1)*30/'V06 Motor'!C86,5))*'V06 Curva'!$B$10,MAX(0,MIN('V06 Motor'!A86*30/'V06 Motor'!C86,7)-MAX(('V06 Motor'!A86-1)*30/'V06 Motor'!C86,6))*'V06 Curva'!$B$11,MAX(0,MIN('V06 Motor'!A86*30/'V06 Motor'!C86,8)-MAX(('V06 Motor'!A86-1)*30/'V06 Motor'!C86,7))*'V06 Curva'!$B$12,MAX(0,MIN('V06 Motor'!A86*30/'V06 Motor'!C86,9)-MAX(('V06 Motor'!A86-1)*30/'V06 Motor'!C86,8))*'V06 Curva'!$B$13,MAX(0,MIN('V06 Motor'!A86*30/'V06 Motor'!C86,10)-MAX(('V06 Motor'!A86-1)*30/'V06 Motor'!C86,9))*'V06 Curva'!$B$14,MAX(0,MIN('V06 Motor'!A86*30/'V06 Motor'!C86,11)-MAX(('V06 Motor'!A86-1)*30/'V06 Motor'!C86,10))*'V06 Curva'!$B$15,MAX(0,MIN('V06 Motor'!A86*30/'V06 Motor'!C86,12)-MAX(('V06 Motor'!A86-1)*30/'V06 Motor'!C86,11))*'V06 Curva'!$B$16,MAX(0,MIN('V06 Motor'!A86*30/'V06 Motor'!C86,13)-MAX(('V06 Motor'!A86-1)*30/'V06 Motor'!C86,12))*'V06 Curva'!$B$17,MAX(0,MIN('V06 Motor'!A86*30/'V06 Motor'!C86,14)-MAX(('V06 Motor'!A86-1)*30/'V06 Motor'!C86,13))*'V06 Curva'!$B$18,MAX(0,MIN('V06 Motor'!A86*30/'V06 Motor'!C86,15)-MAX(('V06 Motor'!A86-1)*30/'V06 Motor'!C86,14))*'V06 Curva'!$B$19,MAX(0,MIN('V06 Motor'!A86*30/'V06 Motor'!C86,16)-MAX(('V06 Motor'!A86-1)*30/'V06 Motor'!C86,15))*'V06 Curva'!$B$20,MAX(0,MIN('V06 Motor'!A86*30/'V06 Motor'!C86,17)-MAX(('V06 Motor'!A86-1)*30/'V06 Motor'!C86,16))*'V06 Curva'!$B$21,MAX(0,MIN('V06 Motor'!A86*30/'V06 Motor'!C86,18)-MAX(('V06 Motor'!A86-1)*30/'V06 Motor'!C86,17))*'V06 Curva'!$B$22,MAX(0,MIN('V06 Motor'!A86*30/'V06 Motor'!C86,19)-MAX(('V06 Motor'!A86-1)*30/'V06 Motor'!C86,18))*'V06 Curva'!$B$23,MAX(0,MIN('V06 Motor'!A86*30/'V06 Motor'!C86,20)-MAX(('V06 Motor'!A86-1)*30/'V06 Motor'!C86,19))*'V06 Curva'!$B$24,MAX(0,MIN('V06 Motor'!A86*30/'V06 Motor'!C86,21)-MAX(('V06 Motor'!A86-1)*30/'V06 Motor'!C86,20))*'V06 Curva'!$B$25,MAX(0,MIN('V06 Motor'!A86*30/'V06 Motor'!C86,22)-MAX(('V06 Motor'!A86-1)*30/'V06 Motor'!C86,21))*'V06 Curva'!$B$26,MAX(0,MIN('V06 Motor'!A86*30/'V06 Motor'!C86,23)-MAX(('V06 Motor'!A86-1)*30/'V06 Motor'!C86,22))*'V06 Curva'!$B$27,MAX(0,MIN('V06 Motor'!A86*30/'V06 Motor'!C86,24)-MAX(('V06 Motor'!A86-1)*30/'V06 Motor'!C86,23))*'V06 Curva'!$B$28,MAX(0,MIN('V06 Motor'!A86*30/'V06 Motor'!C86,25)-MAX(('V06 Motor'!A86-1)*30/'V06 Motor'!C86,24))*'V06 Curva'!$B$29,MAX(0,MIN('V06 Motor'!A86*30/'V06 Motor'!C86,26)-MAX(('V06 Motor'!A86-1)*30/'V06 Motor'!C86,25))*'V06 Curva'!$B$30,MAX(0,MIN('V06 Motor'!A86*30/'V06 Motor'!C86,27)-MAX(('V06 Motor'!A86-1)*30/'V06 Motor'!C86,26))*'V06 Curva'!$B$31,MAX(0,MIN('V06 Motor'!A86*30/'V06 Motor'!C86,28)-MAX(('V06 Motor'!A86-1)*30/'V06 Motor'!C86,27))*'V06 Curva'!$B$32,MAX(0,MIN('V06 Motor'!A86*30/'V06 Motor'!C86,29)-MAX(('V06 Motor'!A86-1)*30/'V06 Motor'!C86,28))*'V06 Curva'!$B$33,MAX(0,MIN('V06 Motor'!A86*30/'V06 Motor'!C86,30)-MAX(('V06 Motor'!A86-1)*30/'V06 Motor'!C86,29))*'V06 Curva'!$B$34),0)</f>
        <v>0.0</v>
      </c>
      <c r="O86" s="2">
        <f>SUMPRODUCT(--(('V06 Unidades'!$I$5:$I$98+'V06 Controlos'!$B$37)='V06 Motor'!A86),ROUND('V06 Unidades'!$H$5:$H$98*0.05,2)+ROUND('V06 Unidades'!$H$5:$H$98*0.2,2))+SUMPRODUCT(--(IF('V06 Controlos'!$B$38&gt;0,IF(('V06 Unidades'!$L$5:$L$98+'V06 Controlos'!$B$37)&lt;'V06 Motor'!C86,'V06 Motor'!C86,('V06 Unidades'!$L$5:$L$98+'V06 Controlos'!$B$37)),('V06 Unidades'!$L$5:$L$98+'V06 Controlos'!$B$37))='V06 Motor'!A86),'V06 Unidades'!$H$5:$H$98-ROUND('V06 Unidades'!$H$5:$H$98*0.05,2)-ROUND('V06 Unidades'!$H$5:$H$98*0.2,2)-ROUND('V06 Unidades'!$H$5:$H$98*0.55,2))+SUMPRODUCT(--(IF(INT((IF('V06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Controlos'!$B$37)-1)/6),0)&gt;0),--('V06 Motor'!A86&gt;('V06 Unidades'!$I$5:$I$98+'V06 Controlos'!$B$37)),--('V06 Motor'!A86&lt;IF('V06 Controlos'!$B$38&gt;0,IF(('V06 Unidades'!$L$5:$L$98+'V06 Controlos'!$B$37)&lt;'V06 Motor'!C86,'V06 Motor'!C86,('V06 Unidades'!$L$5:$L$98+'V06 Controlos'!$B$37)),('V06 Unidades'!$L$5:$L$98+'V06 Controlos'!$B$37))),--(MOD('V06 Motor'!A86-('V06 Unidades'!$I$5:$I$98+'V06 Controlos'!$B$37),6)=0),--(('V06 Motor'!A86-('V06 Unidades'!$I$5:$I$98+'V06 Controlos'!$B$37))/6&lt;=IF(INT((IF('V06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Controlos'!$B$37)-1)/6),0)),IF('V06 Motor'!A86=('V06 Unidades'!$I$5:$I$98+'V06 Controlos'!$B$37)+6*IF(INT((IF('V06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Controlos'!$B$37)-1)/6),0)&gt;0,IF(INT((IF('V06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Controlos'!$B$37)-1)/6),0),1),2)*(IF(INT((IF('V06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Controlos'!$B$37)-1)/6),0)&gt;0,IF(INT((IF('V06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Controlos'!$B$37)-1)/6)&gt;0,INT((IF('V06 Controlos'!$B$38&gt;0,IF(('V06 Unidades'!$L$5:$L$98+'V06 Controlos'!$B$37)&lt;'V06 Motor'!C86,'V06 Motor'!C86,('V06 Unidades'!$L$5:$L$98+'V06 Controlos'!$B$37)),('V06 Unidades'!$L$5:$L$98+'V06 Controlos'!$B$37))-('V06 Unidades'!$I$5:$I$98+'V06 Controlos'!$B$37)-1)/6),0),1),2)))</f>
        <v>0.0</v>
      </c>
      <c r="P86" s="2">
        <f>SUM('V06 Calend 01'!CP5:CP98)</f>
        <v>0.0</v>
      </c>
    </row>
    <row r="87" spans="1:16">
      <c r="A87">
        <v>83</v>
      </c>
      <c r="C87">
        <v>30</v>
      </c>
      <c r="G87" s="2">
        <f>IF('V06 Motor'!A87&lt;='V06 Motor'!C87,SUMPRODUCT('V06 Curva'!$B$5:$B$34,IF((IF('V06 Motor'!A87*30/'V06 Motor'!C87&lt;'V06 Curva'!$A$5:$A$34,'V06 Motor'!A87*30/'V06 Motor'!C87,'V06 Curva'!$A$5:$A$34)-IF(('V06 Motor'!A87-1)*30/'V06 Motor'!C87&gt;'V06 Curva'!$A$5:$A$34-1,('V06 Motor'!A87-1)*30/'V06 Motor'!C87,'V06 Curva'!$A$5:$A$34-1))&gt;0,(IF('V06 Motor'!A87*30/'V06 Motor'!C87&lt;'V06 Curva'!$A$5:$A$34,'V06 Motor'!A87*30/'V06 Motor'!C87,'V06 Curva'!$A$5:$A$34)-IF(('V06 Motor'!A87-1)*30/'V06 Motor'!C87&gt;'V06 Curva'!$A$5:$A$34-1,('V06 Motor'!A87-1)*30/'V06 Motor'!C87,'V06 Curva'!$A$5:$A$34-1)),0)),0)</f>
        <v>0.0</v>
      </c>
      <c r="H87" s="2">
        <f>IF('V06 Motor'!A87&lt;='V06 Motor'!C87,SUM(MAX(0,MIN('V06 Motor'!A87*30/'V06 Motor'!C87,1)-MAX(('V06 Motor'!A87-1)*30/'V06 Motor'!C87,0))*'V06 Curva'!$B$5,MAX(0,MIN('V06 Motor'!A87*30/'V06 Motor'!C87,2)-MAX(('V06 Motor'!A87-1)*30/'V06 Motor'!C87,1))*'V06 Curva'!$B$6,MAX(0,MIN('V06 Motor'!A87*30/'V06 Motor'!C87,3)-MAX(('V06 Motor'!A87-1)*30/'V06 Motor'!C87,2))*'V06 Curva'!$B$7,MAX(0,MIN('V06 Motor'!A87*30/'V06 Motor'!C87,4)-MAX(('V06 Motor'!A87-1)*30/'V06 Motor'!C87,3))*'V06 Curva'!$B$8,MAX(0,MIN('V06 Motor'!A87*30/'V06 Motor'!C87,5)-MAX(('V06 Motor'!A87-1)*30/'V06 Motor'!C87,4))*'V06 Curva'!$B$9,MAX(0,MIN('V06 Motor'!A87*30/'V06 Motor'!C87,6)-MAX(('V06 Motor'!A87-1)*30/'V06 Motor'!C87,5))*'V06 Curva'!$B$10,MAX(0,MIN('V06 Motor'!A87*30/'V06 Motor'!C87,7)-MAX(('V06 Motor'!A87-1)*30/'V06 Motor'!C87,6))*'V06 Curva'!$B$11,MAX(0,MIN('V06 Motor'!A87*30/'V06 Motor'!C87,8)-MAX(('V06 Motor'!A87-1)*30/'V06 Motor'!C87,7))*'V06 Curva'!$B$12,MAX(0,MIN('V06 Motor'!A87*30/'V06 Motor'!C87,9)-MAX(('V06 Motor'!A87-1)*30/'V06 Motor'!C87,8))*'V06 Curva'!$B$13,MAX(0,MIN('V06 Motor'!A87*30/'V06 Motor'!C87,10)-MAX(('V06 Motor'!A87-1)*30/'V06 Motor'!C87,9))*'V06 Curva'!$B$14,MAX(0,MIN('V06 Motor'!A87*30/'V06 Motor'!C87,11)-MAX(('V06 Motor'!A87-1)*30/'V06 Motor'!C87,10))*'V06 Curva'!$B$15,MAX(0,MIN('V06 Motor'!A87*30/'V06 Motor'!C87,12)-MAX(('V06 Motor'!A87-1)*30/'V06 Motor'!C87,11))*'V06 Curva'!$B$16,MAX(0,MIN('V06 Motor'!A87*30/'V06 Motor'!C87,13)-MAX(('V06 Motor'!A87-1)*30/'V06 Motor'!C87,12))*'V06 Curva'!$B$17,MAX(0,MIN('V06 Motor'!A87*30/'V06 Motor'!C87,14)-MAX(('V06 Motor'!A87-1)*30/'V06 Motor'!C87,13))*'V06 Curva'!$B$18,MAX(0,MIN('V06 Motor'!A87*30/'V06 Motor'!C87,15)-MAX(('V06 Motor'!A87-1)*30/'V06 Motor'!C87,14))*'V06 Curva'!$B$19,MAX(0,MIN('V06 Motor'!A87*30/'V06 Motor'!C87,16)-MAX(('V06 Motor'!A87-1)*30/'V06 Motor'!C87,15))*'V06 Curva'!$B$20,MAX(0,MIN('V06 Motor'!A87*30/'V06 Motor'!C87,17)-MAX(('V06 Motor'!A87-1)*30/'V06 Motor'!C87,16))*'V06 Curva'!$B$21,MAX(0,MIN('V06 Motor'!A87*30/'V06 Motor'!C87,18)-MAX(('V06 Motor'!A87-1)*30/'V06 Motor'!C87,17))*'V06 Curva'!$B$22,MAX(0,MIN('V06 Motor'!A87*30/'V06 Motor'!C87,19)-MAX(('V06 Motor'!A87-1)*30/'V06 Motor'!C87,18))*'V06 Curva'!$B$23,MAX(0,MIN('V06 Motor'!A87*30/'V06 Motor'!C87,20)-MAX(('V06 Motor'!A87-1)*30/'V06 Motor'!C87,19))*'V06 Curva'!$B$24,MAX(0,MIN('V06 Motor'!A87*30/'V06 Motor'!C87,21)-MAX(('V06 Motor'!A87-1)*30/'V06 Motor'!C87,20))*'V06 Curva'!$B$25,MAX(0,MIN('V06 Motor'!A87*30/'V06 Motor'!C87,22)-MAX(('V06 Motor'!A87-1)*30/'V06 Motor'!C87,21))*'V06 Curva'!$B$26,MAX(0,MIN('V06 Motor'!A87*30/'V06 Motor'!C87,23)-MAX(('V06 Motor'!A87-1)*30/'V06 Motor'!C87,22))*'V06 Curva'!$B$27,MAX(0,MIN('V06 Motor'!A87*30/'V06 Motor'!C87,24)-MAX(('V06 Motor'!A87-1)*30/'V06 Motor'!C87,23))*'V06 Curva'!$B$28,MAX(0,MIN('V06 Motor'!A87*30/'V06 Motor'!C87,25)-MAX(('V06 Motor'!A87-1)*30/'V06 Motor'!C87,24))*'V06 Curva'!$B$29,MAX(0,MIN('V06 Motor'!A87*30/'V06 Motor'!C87,26)-MAX(('V06 Motor'!A87-1)*30/'V06 Motor'!C87,25))*'V06 Curva'!$B$30,MAX(0,MIN('V06 Motor'!A87*30/'V06 Motor'!C87,27)-MAX(('V06 Motor'!A87-1)*30/'V06 Motor'!C87,26))*'V06 Curva'!$B$31,MAX(0,MIN('V06 Motor'!A87*30/'V06 Motor'!C87,28)-MAX(('V06 Motor'!A87-1)*30/'V06 Motor'!C87,27))*'V06 Curva'!$B$32,MAX(0,MIN('V06 Motor'!A87*30/'V06 Motor'!C87,29)-MAX(('V06 Motor'!A87-1)*30/'V06 Motor'!C87,28))*'V06 Curva'!$B$33,MAX(0,MIN('V06 Motor'!A87*30/'V06 Motor'!C87,30)-MAX(('V06 Motor'!A87-1)*30/'V06 Motor'!C87,29))*'V06 Curva'!$B$34),0)</f>
        <v>0.0</v>
      </c>
      <c r="O87" s="2">
        <f>SUMPRODUCT(--(('V06 Unidades'!$I$5:$I$98+'V06 Controlos'!$B$37)='V06 Motor'!A87),ROUND('V06 Unidades'!$H$5:$H$98*0.05,2)+ROUND('V06 Unidades'!$H$5:$H$98*0.2,2))+SUMPRODUCT(--(IF('V06 Controlos'!$B$38&gt;0,IF(('V06 Unidades'!$L$5:$L$98+'V06 Controlos'!$B$37)&lt;'V06 Motor'!C87,'V06 Motor'!C87,('V06 Unidades'!$L$5:$L$98+'V06 Controlos'!$B$37)),('V06 Unidades'!$L$5:$L$98+'V06 Controlos'!$B$37))='V06 Motor'!A87),'V06 Unidades'!$H$5:$H$98-ROUND('V06 Unidades'!$H$5:$H$98*0.05,2)-ROUND('V06 Unidades'!$H$5:$H$98*0.2,2)-ROUND('V06 Unidades'!$H$5:$H$98*0.55,2))+SUMPRODUCT(--(IF(INT((IF('V06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Controlos'!$B$37)-1)/6),0)&gt;0),--('V06 Motor'!A87&gt;('V06 Unidades'!$I$5:$I$98+'V06 Controlos'!$B$37)),--('V06 Motor'!A87&lt;IF('V06 Controlos'!$B$38&gt;0,IF(('V06 Unidades'!$L$5:$L$98+'V06 Controlos'!$B$37)&lt;'V06 Motor'!C87,'V06 Motor'!C87,('V06 Unidades'!$L$5:$L$98+'V06 Controlos'!$B$37)),('V06 Unidades'!$L$5:$L$98+'V06 Controlos'!$B$37))),--(MOD('V06 Motor'!A87-('V06 Unidades'!$I$5:$I$98+'V06 Controlos'!$B$37),6)=0),--(('V06 Motor'!A87-('V06 Unidades'!$I$5:$I$98+'V06 Controlos'!$B$37))/6&lt;=IF(INT((IF('V06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Controlos'!$B$37)-1)/6),0)),IF('V06 Motor'!A87=('V06 Unidades'!$I$5:$I$98+'V06 Controlos'!$B$37)+6*IF(INT((IF('V06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Controlos'!$B$37)-1)/6),0)&gt;0,IF(INT((IF('V06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Controlos'!$B$37)-1)/6),0),1),2)*(IF(INT((IF('V06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Controlos'!$B$37)-1)/6),0)&gt;0,IF(INT((IF('V06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Controlos'!$B$37)-1)/6)&gt;0,INT((IF('V06 Controlos'!$B$38&gt;0,IF(('V06 Unidades'!$L$5:$L$98+'V06 Controlos'!$B$37)&lt;'V06 Motor'!C87,'V06 Motor'!C87,('V06 Unidades'!$L$5:$L$98+'V06 Controlos'!$B$37)),('V06 Unidades'!$L$5:$L$98+'V06 Controlos'!$B$37))-('V06 Unidades'!$I$5:$I$98+'V06 Controlos'!$B$37)-1)/6),0),1),2)))</f>
        <v>0.0</v>
      </c>
      <c r="P87" s="2">
        <f>SUM('V06 Calend 01'!CQ5:CQ98)</f>
        <v>0.0</v>
      </c>
    </row>
    <row r="88" spans="1:16">
      <c r="A88">
        <v>84</v>
      </c>
      <c r="C88">
        <v>30</v>
      </c>
      <c r="G88" s="2">
        <f>IF('V06 Motor'!A88&lt;='V06 Motor'!C88,SUMPRODUCT('V06 Curva'!$B$5:$B$34,IF((IF('V06 Motor'!A88*30/'V06 Motor'!C88&lt;'V06 Curva'!$A$5:$A$34,'V06 Motor'!A88*30/'V06 Motor'!C88,'V06 Curva'!$A$5:$A$34)-IF(('V06 Motor'!A88-1)*30/'V06 Motor'!C88&gt;'V06 Curva'!$A$5:$A$34-1,('V06 Motor'!A88-1)*30/'V06 Motor'!C88,'V06 Curva'!$A$5:$A$34-1))&gt;0,(IF('V06 Motor'!A88*30/'V06 Motor'!C88&lt;'V06 Curva'!$A$5:$A$34,'V06 Motor'!A88*30/'V06 Motor'!C88,'V06 Curva'!$A$5:$A$34)-IF(('V06 Motor'!A88-1)*30/'V06 Motor'!C88&gt;'V06 Curva'!$A$5:$A$34-1,('V06 Motor'!A88-1)*30/'V06 Motor'!C88,'V06 Curva'!$A$5:$A$34-1)),0)),0)</f>
        <v>0.0</v>
      </c>
      <c r="H88" s="2">
        <f>IF('V06 Motor'!A88&lt;='V06 Motor'!C88,SUM(MAX(0,MIN('V06 Motor'!A88*30/'V06 Motor'!C88,1)-MAX(('V06 Motor'!A88-1)*30/'V06 Motor'!C88,0))*'V06 Curva'!$B$5,MAX(0,MIN('V06 Motor'!A88*30/'V06 Motor'!C88,2)-MAX(('V06 Motor'!A88-1)*30/'V06 Motor'!C88,1))*'V06 Curva'!$B$6,MAX(0,MIN('V06 Motor'!A88*30/'V06 Motor'!C88,3)-MAX(('V06 Motor'!A88-1)*30/'V06 Motor'!C88,2))*'V06 Curva'!$B$7,MAX(0,MIN('V06 Motor'!A88*30/'V06 Motor'!C88,4)-MAX(('V06 Motor'!A88-1)*30/'V06 Motor'!C88,3))*'V06 Curva'!$B$8,MAX(0,MIN('V06 Motor'!A88*30/'V06 Motor'!C88,5)-MAX(('V06 Motor'!A88-1)*30/'V06 Motor'!C88,4))*'V06 Curva'!$B$9,MAX(0,MIN('V06 Motor'!A88*30/'V06 Motor'!C88,6)-MAX(('V06 Motor'!A88-1)*30/'V06 Motor'!C88,5))*'V06 Curva'!$B$10,MAX(0,MIN('V06 Motor'!A88*30/'V06 Motor'!C88,7)-MAX(('V06 Motor'!A88-1)*30/'V06 Motor'!C88,6))*'V06 Curva'!$B$11,MAX(0,MIN('V06 Motor'!A88*30/'V06 Motor'!C88,8)-MAX(('V06 Motor'!A88-1)*30/'V06 Motor'!C88,7))*'V06 Curva'!$B$12,MAX(0,MIN('V06 Motor'!A88*30/'V06 Motor'!C88,9)-MAX(('V06 Motor'!A88-1)*30/'V06 Motor'!C88,8))*'V06 Curva'!$B$13,MAX(0,MIN('V06 Motor'!A88*30/'V06 Motor'!C88,10)-MAX(('V06 Motor'!A88-1)*30/'V06 Motor'!C88,9))*'V06 Curva'!$B$14,MAX(0,MIN('V06 Motor'!A88*30/'V06 Motor'!C88,11)-MAX(('V06 Motor'!A88-1)*30/'V06 Motor'!C88,10))*'V06 Curva'!$B$15,MAX(0,MIN('V06 Motor'!A88*30/'V06 Motor'!C88,12)-MAX(('V06 Motor'!A88-1)*30/'V06 Motor'!C88,11))*'V06 Curva'!$B$16,MAX(0,MIN('V06 Motor'!A88*30/'V06 Motor'!C88,13)-MAX(('V06 Motor'!A88-1)*30/'V06 Motor'!C88,12))*'V06 Curva'!$B$17,MAX(0,MIN('V06 Motor'!A88*30/'V06 Motor'!C88,14)-MAX(('V06 Motor'!A88-1)*30/'V06 Motor'!C88,13))*'V06 Curva'!$B$18,MAX(0,MIN('V06 Motor'!A88*30/'V06 Motor'!C88,15)-MAX(('V06 Motor'!A88-1)*30/'V06 Motor'!C88,14))*'V06 Curva'!$B$19,MAX(0,MIN('V06 Motor'!A88*30/'V06 Motor'!C88,16)-MAX(('V06 Motor'!A88-1)*30/'V06 Motor'!C88,15))*'V06 Curva'!$B$20,MAX(0,MIN('V06 Motor'!A88*30/'V06 Motor'!C88,17)-MAX(('V06 Motor'!A88-1)*30/'V06 Motor'!C88,16))*'V06 Curva'!$B$21,MAX(0,MIN('V06 Motor'!A88*30/'V06 Motor'!C88,18)-MAX(('V06 Motor'!A88-1)*30/'V06 Motor'!C88,17))*'V06 Curva'!$B$22,MAX(0,MIN('V06 Motor'!A88*30/'V06 Motor'!C88,19)-MAX(('V06 Motor'!A88-1)*30/'V06 Motor'!C88,18))*'V06 Curva'!$B$23,MAX(0,MIN('V06 Motor'!A88*30/'V06 Motor'!C88,20)-MAX(('V06 Motor'!A88-1)*30/'V06 Motor'!C88,19))*'V06 Curva'!$B$24,MAX(0,MIN('V06 Motor'!A88*30/'V06 Motor'!C88,21)-MAX(('V06 Motor'!A88-1)*30/'V06 Motor'!C88,20))*'V06 Curva'!$B$25,MAX(0,MIN('V06 Motor'!A88*30/'V06 Motor'!C88,22)-MAX(('V06 Motor'!A88-1)*30/'V06 Motor'!C88,21))*'V06 Curva'!$B$26,MAX(0,MIN('V06 Motor'!A88*30/'V06 Motor'!C88,23)-MAX(('V06 Motor'!A88-1)*30/'V06 Motor'!C88,22))*'V06 Curva'!$B$27,MAX(0,MIN('V06 Motor'!A88*30/'V06 Motor'!C88,24)-MAX(('V06 Motor'!A88-1)*30/'V06 Motor'!C88,23))*'V06 Curva'!$B$28,MAX(0,MIN('V06 Motor'!A88*30/'V06 Motor'!C88,25)-MAX(('V06 Motor'!A88-1)*30/'V06 Motor'!C88,24))*'V06 Curva'!$B$29,MAX(0,MIN('V06 Motor'!A88*30/'V06 Motor'!C88,26)-MAX(('V06 Motor'!A88-1)*30/'V06 Motor'!C88,25))*'V06 Curva'!$B$30,MAX(0,MIN('V06 Motor'!A88*30/'V06 Motor'!C88,27)-MAX(('V06 Motor'!A88-1)*30/'V06 Motor'!C88,26))*'V06 Curva'!$B$31,MAX(0,MIN('V06 Motor'!A88*30/'V06 Motor'!C88,28)-MAX(('V06 Motor'!A88-1)*30/'V06 Motor'!C88,27))*'V06 Curva'!$B$32,MAX(0,MIN('V06 Motor'!A88*30/'V06 Motor'!C88,29)-MAX(('V06 Motor'!A88-1)*30/'V06 Motor'!C88,28))*'V06 Curva'!$B$33,MAX(0,MIN('V06 Motor'!A88*30/'V06 Motor'!C88,30)-MAX(('V06 Motor'!A88-1)*30/'V06 Motor'!C88,29))*'V06 Curva'!$B$34),0)</f>
        <v>0.0</v>
      </c>
      <c r="O88" s="2">
        <f>SUMPRODUCT(--(('V06 Unidades'!$I$5:$I$98+'V06 Controlos'!$B$37)='V06 Motor'!A88),ROUND('V06 Unidades'!$H$5:$H$98*0.05,2)+ROUND('V06 Unidades'!$H$5:$H$98*0.2,2))+SUMPRODUCT(--(IF('V06 Controlos'!$B$38&gt;0,IF(('V06 Unidades'!$L$5:$L$98+'V06 Controlos'!$B$37)&lt;'V06 Motor'!C88,'V06 Motor'!C88,('V06 Unidades'!$L$5:$L$98+'V06 Controlos'!$B$37)),('V06 Unidades'!$L$5:$L$98+'V06 Controlos'!$B$37))='V06 Motor'!A88),'V06 Unidades'!$H$5:$H$98-ROUND('V06 Unidades'!$H$5:$H$98*0.05,2)-ROUND('V06 Unidades'!$H$5:$H$98*0.2,2)-ROUND('V06 Unidades'!$H$5:$H$98*0.55,2))+SUMPRODUCT(--(IF(INT((IF('V06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Controlos'!$B$37)-1)/6),0)&gt;0),--('V06 Motor'!A88&gt;('V06 Unidades'!$I$5:$I$98+'V06 Controlos'!$B$37)),--('V06 Motor'!A88&lt;IF('V06 Controlos'!$B$38&gt;0,IF(('V06 Unidades'!$L$5:$L$98+'V06 Controlos'!$B$37)&lt;'V06 Motor'!C88,'V06 Motor'!C88,('V06 Unidades'!$L$5:$L$98+'V06 Controlos'!$B$37)),('V06 Unidades'!$L$5:$L$98+'V06 Controlos'!$B$37))),--(MOD('V06 Motor'!A88-('V06 Unidades'!$I$5:$I$98+'V06 Controlos'!$B$37),6)=0),--(('V06 Motor'!A88-('V06 Unidades'!$I$5:$I$98+'V06 Controlos'!$B$37))/6&lt;=IF(INT((IF('V06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Controlos'!$B$37)-1)/6),0)),IF('V06 Motor'!A88=('V06 Unidades'!$I$5:$I$98+'V06 Controlos'!$B$37)+6*IF(INT((IF('V06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Controlos'!$B$37)-1)/6),0)&gt;0,IF(INT((IF('V06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Controlos'!$B$37)-1)/6),0),1),2)*(IF(INT((IF('V06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Controlos'!$B$37)-1)/6),0)&gt;0,IF(INT((IF('V06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Controlos'!$B$37)-1)/6)&gt;0,INT((IF('V06 Controlos'!$B$38&gt;0,IF(('V06 Unidades'!$L$5:$L$98+'V06 Controlos'!$B$37)&lt;'V06 Motor'!C88,'V06 Motor'!C88,('V06 Unidades'!$L$5:$L$98+'V06 Controlos'!$B$37)),('V06 Unidades'!$L$5:$L$98+'V06 Controlos'!$B$37))-('V06 Unidades'!$I$5:$I$98+'V06 Controlos'!$B$37)-1)/6),0),1),2)))</f>
        <v>0.0</v>
      </c>
      <c r="P88" s="2">
        <f>SUM('V06 Calend 01'!CR5:CR98)</f>
        <v>0.0</v>
      </c>
    </row>
    <row r="89" spans="1:16">
      <c r="A89">
        <v>85</v>
      </c>
      <c r="C89">
        <v>30</v>
      </c>
      <c r="G89" s="2">
        <f>IF('V06 Motor'!A89&lt;='V06 Motor'!C89,SUMPRODUCT('V06 Curva'!$B$5:$B$34,IF((IF('V06 Motor'!A89*30/'V06 Motor'!C89&lt;'V06 Curva'!$A$5:$A$34,'V06 Motor'!A89*30/'V06 Motor'!C89,'V06 Curva'!$A$5:$A$34)-IF(('V06 Motor'!A89-1)*30/'V06 Motor'!C89&gt;'V06 Curva'!$A$5:$A$34-1,('V06 Motor'!A89-1)*30/'V06 Motor'!C89,'V06 Curva'!$A$5:$A$34-1))&gt;0,(IF('V06 Motor'!A89*30/'V06 Motor'!C89&lt;'V06 Curva'!$A$5:$A$34,'V06 Motor'!A89*30/'V06 Motor'!C89,'V06 Curva'!$A$5:$A$34)-IF(('V06 Motor'!A89-1)*30/'V06 Motor'!C89&gt;'V06 Curva'!$A$5:$A$34-1,('V06 Motor'!A89-1)*30/'V06 Motor'!C89,'V06 Curva'!$A$5:$A$34-1)),0)),0)</f>
        <v>0.0</v>
      </c>
      <c r="H89" s="2">
        <f>IF('V06 Motor'!A89&lt;='V06 Motor'!C89,SUM(MAX(0,MIN('V06 Motor'!A89*30/'V06 Motor'!C89,1)-MAX(('V06 Motor'!A89-1)*30/'V06 Motor'!C89,0))*'V06 Curva'!$B$5,MAX(0,MIN('V06 Motor'!A89*30/'V06 Motor'!C89,2)-MAX(('V06 Motor'!A89-1)*30/'V06 Motor'!C89,1))*'V06 Curva'!$B$6,MAX(0,MIN('V06 Motor'!A89*30/'V06 Motor'!C89,3)-MAX(('V06 Motor'!A89-1)*30/'V06 Motor'!C89,2))*'V06 Curva'!$B$7,MAX(0,MIN('V06 Motor'!A89*30/'V06 Motor'!C89,4)-MAX(('V06 Motor'!A89-1)*30/'V06 Motor'!C89,3))*'V06 Curva'!$B$8,MAX(0,MIN('V06 Motor'!A89*30/'V06 Motor'!C89,5)-MAX(('V06 Motor'!A89-1)*30/'V06 Motor'!C89,4))*'V06 Curva'!$B$9,MAX(0,MIN('V06 Motor'!A89*30/'V06 Motor'!C89,6)-MAX(('V06 Motor'!A89-1)*30/'V06 Motor'!C89,5))*'V06 Curva'!$B$10,MAX(0,MIN('V06 Motor'!A89*30/'V06 Motor'!C89,7)-MAX(('V06 Motor'!A89-1)*30/'V06 Motor'!C89,6))*'V06 Curva'!$B$11,MAX(0,MIN('V06 Motor'!A89*30/'V06 Motor'!C89,8)-MAX(('V06 Motor'!A89-1)*30/'V06 Motor'!C89,7))*'V06 Curva'!$B$12,MAX(0,MIN('V06 Motor'!A89*30/'V06 Motor'!C89,9)-MAX(('V06 Motor'!A89-1)*30/'V06 Motor'!C89,8))*'V06 Curva'!$B$13,MAX(0,MIN('V06 Motor'!A89*30/'V06 Motor'!C89,10)-MAX(('V06 Motor'!A89-1)*30/'V06 Motor'!C89,9))*'V06 Curva'!$B$14,MAX(0,MIN('V06 Motor'!A89*30/'V06 Motor'!C89,11)-MAX(('V06 Motor'!A89-1)*30/'V06 Motor'!C89,10))*'V06 Curva'!$B$15,MAX(0,MIN('V06 Motor'!A89*30/'V06 Motor'!C89,12)-MAX(('V06 Motor'!A89-1)*30/'V06 Motor'!C89,11))*'V06 Curva'!$B$16,MAX(0,MIN('V06 Motor'!A89*30/'V06 Motor'!C89,13)-MAX(('V06 Motor'!A89-1)*30/'V06 Motor'!C89,12))*'V06 Curva'!$B$17,MAX(0,MIN('V06 Motor'!A89*30/'V06 Motor'!C89,14)-MAX(('V06 Motor'!A89-1)*30/'V06 Motor'!C89,13))*'V06 Curva'!$B$18,MAX(0,MIN('V06 Motor'!A89*30/'V06 Motor'!C89,15)-MAX(('V06 Motor'!A89-1)*30/'V06 Motor'!C89,14))*'V06 Curva'!$B$19,MAX(0,MIN('V06 Motor'!A89*30/'V06 Motor'!C89,16)-MAX(('V06 Motor'!A89-1)*30/'V06 Motor'!C89,15))*'V06 Curva'!$B$20,MAX(0,MIN('V06 Motor'!A89*30/'V06 Motor'!C89,17)-MAX(('V06 Motor'!A89-1)*30/'V06 Motor'!C89,16))*'V06 Curva'!$B$21,MAX(0,MIN('V06 Motor'!A89*30/'V06 Motor'!C89,18)-MAX(('V06 Motor'!A89-1)*30/'V06 Motor'!C89,17))*'V06 Curva'!$B$22,MAX(0,MIN('V06 Motor'!A89*30/'V06 Motor'!C89,19)-MAX(('V06 Motor'!A89-1)*30/'V06 Motor'!C89,18))*'V06 Curva'!$B$23,MAX(0,MIN('V06 Motor'!A89*30/'V06 Motor'!C89,20)-MAX(('V06 Motor'!A89-1)*30/'V06 Motor'!C89,19))*'V06 Curva'!$B$24,MAX(0,MIN('V06 Motor'!A89*30/'V06 Motor'!C89,21)-MAX(('V06 Motor'!A89-1)*30/'V06 Motor'!C89,20))*'V06 Curva'!$B$25,MAX(0,MIN('V06 Motor'!A89*30/'V06 Motor'!C89,22)-MAX(('V06 Motor'!A89-1)*30/'V06 Motor'!C89,21))*'V06 Curva'!$B$26,MAX(0,MIN('V06 Motor'!A89*30/'V06 Motor'!C89,23)-MAX(('V06 Motor'!A89-1)*30/'V06 Motor'!C89,22))*'V06 Curva'!$B$27,MAX(0,MIN('V06 Motor'!A89*30/'V06 Motor'!C89,24)-MAX(('V06 Motor'!A89-1)*30/'V06 Motor'!C89,23))*'V06 Curva'!$B$28,MAX(0,MIN('V06 Motor'!A89*30/'V06 Motor'!C89,25)-MAX(('V06 Motor'!A89-1)*30/'V06 Motor'!C89,24))*'V06 Curva'!$B$29,MAX(0,MIN('V06 Motor'!A89*30/'V06 Motor'!C89,26)-MAX(('V06 Motor'!A89-1)*30/'V06 Motor'!C89,25))*'V06 Curva'!$B$30,MAX(0,MIN('V06 Motor'!A89*30/'V06 Motor'!C89,27)-MAX(('V06 Motor'!A89-1)*30/'V06 Motor'!C89,26))*'V06 Curva'!$B$31,MAX(0,MIN('V06 Motor'!A89*30/'V06 Motor'!C89,28)-MAX(('V06 Motor'!A89-1)*30/'V06 Motor'!C89,27))*'V06 Curva'!$B$32,MAX(0,MIN('V06 Motor'!A89*30/'V06 Motor'!C89,29)-MAX(('V06 Motor'!A89-1)*30/'V06 Motor'!C89,28))*'V06 Curva'!$B$33,MAX(0,MIN('V06 Motor'!A89*30/'V06 Motor'!C89,30)-MAX(('V06 Motor'!A89-1)*30/'V06 Motor'!C89,29))*'V06 Curva'!$B$34),0)</f>
        <v>0.0</v>
      </c>
      <c r="O89" s="2">
        <f>SUMPRODUCT(--(('V06 Unidades'!$I$5:$I$98+'V06 Controlos'!$B$37)='V06 Motor'!A89),ROUND('V06 Unidades'!$H$5:$H$98*0.05,2)+ROUND('V06 Unidades'!$H$5:$H$98*0.2,2))+SUMPRODUCT(--(IF('V06 Controlos'!$B$38&gt;0,IF(('V06 Unidades'!$L$5:$L$98+'V06 Controlos'!$B$37)&lt;'V06 Motor'!C89,'V06 Motor'!C89,('V06 Unidades'!$L$5:$L$98+'V06 Controlos'!$B$37)),('V06 Unidades'!$L$5:$L$98+'V06 Controlos'!$B$37))='V06 Motor'!A89),'V06 Unidades'!$H$5:$H$98-ROUND('V06 Unidades'!$H$5:$H$98*0.05,2)-ROUND('V06 Unidades'!$H$5:$H$98*0.2,2)-ROUND('V06 Unidades'!$H$5:$H$98*0.55,2))+SUMPRODUCT(--(IF(INT((IF('V06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Controlos'!$B$37)-1)/6),0)&gt;0),--('V06 Motor'!A89&gt;('V06 Unidades'!$I$5:$I$98+'V06 Controlos'!$B$37)),--('V06 Motor'!A89&lt;IF('V06 Controlos'!$B$38&gt;0,IF(('V06 Unidades'!$L$5:$L$98+'V06 Controlos'!$B$37)&lt;'V06 Motor'!C89,'V06 Motor'!C89,('V06 Unidades'!$L$5:$L$98+'V06 Controlos'!$B$37)),('V06 Unidades'!$L$5:$L$98+'V06 Controlos'!$B$37))),--(MOD('V06 Motor'!A89-('V06 Unidades'!$I$5:$I$98+'V06 Controlos'!$B$37),6)=0),--(('V06 Motor'!A89-('V06 Unidades'!$I$5:$I$98+'V06 Controlos'!$B$37))/6&lt;=IF(INT((IF('V06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Controlos'!$B$37)-1)/6),0)),IF('V06 Motor'!A89=('V06 Unidades'!$I$5:$I$98+'V06 Controlos'!$B$37)+6*IF(INT((IF('V06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Controlos'!$B$37)-1)/6),0)&gt;0,IF(INT((IF('V06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Controlos'!$B$37)-1)/6),0),1),2)*(IF(INT((IF('V06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Controlos'!$B$37)-1)/6),0)&gt;0,IF(INT((IF('V06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Controlos'!$B$37)-1)/6)&gt;0,INT((IF('V06 Controlos'!$B$38&gt;0,IF(('V06 Unidades'!$L$5:$L$98+'V06 Controlos'!$B$37)&lt;'V06 Motor'!C89,'V06 Motor'!C89,('V06 Unidades'!$L$5:$L$98+'V06 Controlos'!$B$37)),('V06 Unidades'!$L$5:$L$98+'V06 Controlos'!$B$37))-('V06 Unidades'!$I$5:$I$98+'V06 Controlos'!$B$37)-1)/6),0),1),2)))</f>
        <v>0.0</v>
      </c>
      <c r="P89" s="2">
        <f>SUM('V06 Calend 01'!CS5:CS98)</f>
        <v>0.0</v>
      </c>
    </row>
    <row r="90" spans="1:16">
      <c r="A90">
        <v>86</v>
      </c>
      <c r="C90">
        <v>30</v>
      </c>
      <c r="G90" s="2">
        <f>IF('V06 Motor'!A90&lt;='V06 Motor'!C90,SUMPRODUCT('V06 Curva'!$B$5:$B$34,IF((IF('V06 Motor'!A90*30/'V06 Motor'!C90&lt;'V06 Curva'!$A$5:$A$34,'V06 Motor'!A90*30/'V06 Motor'!C90,'V06 Curva'!$A$5:$A$34)-IF(('V06 Motor'!A90-1)*30/'V06 Motor'!C90&gt;'V06 Curva'!$A$5:$A$34-1,('V06 Motor'!A90-1)*30/'V06 Motor'!C90,'V06 Curva'!$A$5:$A$34-1))&gt;0,(IF('V06 Motor'!A90*30/'V06 Motor'!C90&lt;'V06 Curva'!$A$5:$A$34,'V06 Motor'!A90*30/'V06 Motor'!C90,'V06 Curva'!$A$5:$A$34)-IF(('V06 Motor'!A90-1)*30/'V06 Motor'!C90&gt;'V06 Curva'!$A$5:$A$34-1,('V06 Motor'!A90-1)*30/'V06 Motor'!C90,'V06 Curva'!$A$5:$A$34-1)),0)),0)</f>
        <v>0.0</v>
      </c>
      <c r="H90" s="2">
        <f>IF('V06 Motor'!A90&lt;='V06 Motor'!C90,SUM(MAX(0,MIN('V06 Motor'!A90*30/'V06 Motor'!C90,1)-MAX(('V06 Motor'!A90-1)*30/'V06 Motor'!C90,0))*'V06 Curva'!$B$5,MAX(0,MIN('V06 Motor'!A90*30/'V06 Motor'!C90,2)-MAX(('V06 Motor'!A90-1)*30/'V06 Motor'!C90,1))*'V06 Curva'!$B$6,MAX(0,MIN('V06 Motor'!A90*30/'V06 Motor'!C90,3)-MAX(('V06 Motor'!A90-1)*30/'V06 Motor'!C90,2))*'V06 Curva'!$B$7,MAX(0,MIN('V06 Motor'!A90*30/'V06 Motor'!C90,4)-MAX(('V06 Motor'!A90-1)*30/'V06 Motor'!C90,3))*'V06 Curva'!$B$8,MAX(0,MIN('V06 Motor'!A90*30/'V06 Motor'!C90,5)-MAX(('V06 Motor'!A90-1)*30/'V06 Motor'!C90,4))*'V06 Curva'!$B$9,MAX(0,MIN('V06 Motor'!A90*30/'V06 Motor'!C90,6)-MAX(('V06 Motor'!A90-1)*30/'V06 Motor'!C90,5))*'V06 Curva'!$B$10,MAX(0,MIN('V06 Motor'!A90*30/'V06 Motor'!C90,7)-MAX(('V06 Motor'!A90-1)*30/'V06 Motor'!C90,6))*'V06 Curva'!$B$11,MAX(0,MIN('V06 Motor'!A90*30/'V06 Motor'!C90,8)-MAX(('V06 Motor'!A90-1)*30/'V06 Motor'!C90,7))*'V06 Curva'!$B$12,MAX(0,MIN('V06 Motor'!A90*30/'V06 Motor'!C90,9)-MAX(('V06 Motor'!A90-1)*30/'V06 Motor'!C90,8))*'V06 Curva'!$B$13,MAX(0,MIN('V06 Motor'!A90*30/'V06 Motor'!C90,10)-MAX(('V06 Motor'!A90-1)*30/'V06 Motor'!C90,9))*'V06 Curva'!$B$14,MAX(0,MIN('V06 Motor'!A90*30/'V06 Motor'!C90,11)-MAX(('V06 Motor'!A90-1)*30/'V06 Motor'!C90,10))*'V06 Curva'!$B$15,MAX(0,MIN('V06 Motor'!A90*30/'V06 Motor'!C90,12)-MAX(('V06 Motor'!A90-1)*30/'V06 Motor'!C90,11))*'V06 Curva'!$B$16,MAX(0,MIN('V06 Motor'!A90*30/'V06 Motor'!C90,13)-MAX(('V06 Motor'!A90-1)*30/'V06 Motor'!C90,12))*'V06 Curva'!$B$17,MAX(0,MIN('V06 Motor'!A90*30/'V06 Motor'!C90,14)-MAX(('V06 Motor'!A90-1)*30/'V06 Motor'!C90,13))*'V06 Curva'!$B$18,MAX(0,MIN('V06 Motor'!A90*30/'V06 Motor'!C90,15)-MAX(('V06 Motor'!A90-1)*30/'V06 Motor'!C90,14))*'V06 Curva'!$B$19,MAX(0,MIN('V06 Motor'!A90*30/'V06 Motor'!C90,16)-MAX(('V06 Motor'!A90-1)*30/'V06 Motor'!C90,15))*'V06 Curva'!$B$20,MAX(0,MIN('V06 Motor'!A90*30/'V06 Motor'!C90,17)-MAX(('V06 Motor'!A90-1)*30/'V06 Motor'!C90,16))*'V06 Curva'!$B$21,MAX(0,MIN('V06 Motor'!A90*30/'V06 Motor'!C90,18)-MAX(('V06 Motor'!A90-1)*30/'V06 Motor'!C90,17))*'V06 Curva'!$B$22,MAX(0,MIN('V06 Motor'!A90*30/'V06 Motor'!C90,19)-MAX(('V06 Motor'!A90-1)*30/'V06 Motor'!C90,18))*'V06 Curva'!$B$23,MAX(0,MIN('V06 Motor'!A90*30/'V06 Motor'!C90,20)-MAX(('V06 Motor'!A90-1)*30/'V06 Motor'!C90,19))*'V06 Curva'!$B$24,MAX(0,MIN('V06 Motor'!A90*30/'V06 Motor'!C90,21)-MAX(('V06 Motor'!A90-1)*30/'V06 Motor'!C90,20))*'V06 Curva'!$B$25,MAX(0,MIN('V06 Motor'!A90*30/'V06 Motor'!C90,22)-MAX(('V06 Motor'!A90-1)*30/'V06 Motor'!C90,21))*'V06 Curva'!$B$26,MAX(0,MIN('V06 Motor'!A90*30/'V06 Motor'!C90,23)-MAX(('V06 Motor'!A90-1)*30/'V06 Motor'!C90,22))*'V06 Curva'!$B$27,MAX(0,MIN('V06 Motor'!A90*30/'V06 Motor'!C90,24)-MAX(('V06 Motor'!A90-1)*30/'V06 Motor'!C90,23))*'V06 Curva'!$B$28,MAX(0,MIN('V06 Motor'!A90*30/'V06 Motor'!C90,25)-MAX(('V06 Motor'!A90-1)*30/'V06 Motor'!C90,24))*'V06 Curva'!$B$29,MAX(0,MIN('V06 Motor'!A90*30/'V06 Motor'!C90,26)-MAX(('V06 Motor'!A90-1)*30/'V06 Motor'!C90,25))*'V06 Curva'!$B$30,MAX(0,MIN('V06 Motor'!A90*30/'V06 Motor'!C90,27)-MAX(('V06 Motor'!A90-1)*30/'V06 Motor'!C90,26))*'V06 Curva'!$B$31,MAX(0,MIN('V06 Motor'!A90*30/'V06 Motor'!C90,28)-MAX(('V06 Motor'!A90-1)*30/'V06 Motor'!C90,27))*'V06 Curva'!$B$32,MAX(0,MIN('V06 Motor'!A90*30/'V06 Motor'!C90,29)-MAX(('V06 Motor'!A90-1)*30/'V06 Motor'!C90,28))*'V06 Curva'!$B$33,MAX(0,MIN('V06 Motor'!A90*30/'V06 Motor'!C90,30)-MAX(('V06 Motor'!A90-1)*30/'V06 Motor'!C90,29))*'V06 Curva'!$B$34),0)</f>
        <v>0.0</v>
      </c>
      <c r="O90" s="2">
        <f>SUMPRODUCT(--(('V06 Unidades'!$I$5:$I$98+'V06 Controlos'!$B$37)='V06 Motor'!A90),ROUND('V06 Unidades'!$H$5:$H$98*0.05,2)+ROUND('V06 Unidades'!$H$5:$H$98*0.2,2))+SUMPRODUCT(--(IF('V06 Controlos'!$B$38&gt;0,IF(('V06 Unidades'!$L$5:$L$98+'V06 Controlos'!$B$37)&lt;'V06 Motor'!C90,'V06 Motor'!C90,('V06 Unidades'!$L$5:$L$98+'V06 Controlos'!$B$37)),('V06 Unidades'!$L$5:$L$98+'V06 Controlos'!$B$37))='V06 Motor'!A90),'V06 Unidades'!$H$5:$H$98-ROUND('V06 Unidades'!$H$5:$H$98*0.05,2)-ROUND('V06 Unidades'!$H$5:$H$98*0.2,2)-ROUND('V06 Unidades'!$H$5:$H$98*0.55,2))+SUMPRODUCT(--(IF(INT((IF('V06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Controlos'!$B$37)-1)/6),0)&gt;0),--('V06 Motor'!A90&gt;('V06 Unidades'!$I$5:$I$98+'V06 Controlos'!$B$37)),--('V06 Motor'!A90&lt;IF('V06 Controlos'!$B$38&gt;0,IF(('V06 Unidades'!$L$5:$L$98+'V06 Controlos'!$B$37)&lt;'V06 Motor'!C90,'V06 Motor'!C90,('V06 Unidades'!$L$5:$L$98+'V06 Controlos'!$B$37)),('V06 Unidades'!$L$5:$L$98+'V06 Controlos'!$B$37))),--(MOD('V06 Motor'!A90-('V06 Unidades'!$I$5:$I$98+'V06 Controlos'!$B$37),6)=0),--(('V06 Motor'!A90-('V06 Unidades'!$I$5:$I$98+'V06 Controlos'!$B$37))/6&lt;=IF(INT((IF('V06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Controlos'!$B$37)-1)/6),0)),IF('V06 Motor'!A90=('V06 Unidades'!$I$5:$I$98+'V06 Controlos'!$B$37)+6*IF(INT((IF('V06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Controlos'!$B$37)-1)/6),0)&gt;0,IF(INT((IF('V06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Controlos'!$B$37)-1)/6),0),1),2)*(IF(INT((IF('V06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Controlos'!$B$37)-1)/6),0)&gt;0,IF(INT((IF('V06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Controlos'!$B$37)-1)/6)&gt;0,INT((IF('V06 Controlos'!$B$38&gt;0,IF(('V06 Unidades'!$L$5:$L$98+'V06 Controlos'!$B$37)&lt;'V06 Motor'!C90,'V06 Motor'!C90,('V06 Unidades'!$L$5:$L$98+'V06 Controlos'!$B$37)),('V06 Unidades'!$L$5:$L$98+'V06 Controlos'!$B$37))-('V06 Unidades'!$I$5:$I$98+'V06 Controlos'!$B$37)-1)/6),0),1),2)))</f>
        <v>0.0</v>
      </c>
      <c r="P90" s="2">
        <f>SUM('V06 Calend 01'!CT5:CT98)</f>
        <v>0.0</v>
      </c>
    </row>
    <row r="91" spans="1:16">
      <c r="A91">
        <v>87</v>
      </c>
      <c r="C91">
        <v>30</v>
      </c>
      <c r="G91" s="2">
        <f>IF('V06 Motor'!A91&lt;='V06 Motor'!C91,SUMPRODUCT('V06 Curva'!$B$5:$B$34,IF((IF('V06 Motor'!A91*30/'V06 Motor'!C91&lt;'V06 Curva'!$A$5:$A$34,'V06 Motor'!A91*30/'V06 Motor'!C91,'V06 Curva'!$A$5:$A$34)-IF(('V06 Motor'!A91-1)*30/'V06 Motor'!C91&gt;'V06 Curva'!$A$5:$A$34-1,('V06 Motor'!A91-1)*30/'V06 Motor'!C91,'V06 Curva'!$A$5:$A$34-1))&gt;0,(IF('V06 Motor'!A91*30/'V06 Motor'!C91&lt;'V06 Curva'!$A$5:$A$34,'V06 Motor'!A91*30/'V06 Motor'!C91,'V06 Curva'!$A$5:$A$34)-IF(('V06 Motor'!A91-1)*30/'V06 Motor'!C91&gt;'V06 Curva'!$A$5:$A$34-1,('V06 Motor'!A91-1)*30/'V06 Motor'!C91,'V06 Curva'!$A$5:$A$34-1)),0)),0)</f>
        <v>0.0</v>
      </c>
      <c r="H91" s="2">
        <f>IF('V06 Motor'!A91&lt;='V06 Motor'!C91,SUM(MAX(0,MIN('V06 Motor'!A91*30/'V06 Motor'!C91,1)-MAX(('V06 Motor'!A91-1)*30/'V06 Motor'!C91,0))*'V06 Curva'!$B$5,MAX(0,MIN('V06 Motor'!A91*30/'V06 Motor'!C91,2)-MAX(('V06 Motor'!A91-1)*30/'V06 Motor'!C91,1))*'V06 Curva'!$B$6,MAX(0,MIN('V06 Motor'!A91*30/'V06 Motor'!C91,3)-MAX(('V06 Motor'!A91-1)*30/'V06 Motor'!C91,2))*'V06 Curva'!$B$7,MAX(0,MIN('V06 Motor'!A91*30/'V06 Motor'!C91,4)-MAX(('V06 Motor'!A91-1)*30/'V06 Motor'!C91,3))*'V06 Curva'!$B$8,MAX(0,MIN('V06 Motor'!A91*30/'V06 Motor'!C91,5)-MAX(('V06 Motor'!A91-1)*30/'V06 Motor'!C91,4))*'V06 Curva'!$B$9,MAX(0,MIN('V06 Motor'!A91*30/'V06 Motor'!C91,6)-MAX(('V06 Motor'!A91-1)*30/'V06 Motor'!C91,5))*'V06 Curva'!$B$10,MAX(0,MIN('V06 Motor'!A91*30/'V06 Motor'!C91,7)-MAX(('V06 Motor'!A91-1)*30/'V06 Motor'!C91,6))*'V06 Curva'!$B$11,MAX(0,MIN('V06 Motor'!A91*30/'V06 Motor'!C91,8)-MAX(('V06 Motor'!A91-1)*30/'V06 Motor'!C91,7))*'V06 Curva'!$B$12,MAX(0,MIN('V06 Motor'!A91*30/'V06 Motor'!C91,9)-MAX(('V06 Motor'!A91-1)*30/'V06 Motor'!C91,8))*'V06 Curva'!$B$13,MAX(0,MIN('V06 Motor'!A91*30/'V06 Motor'!C91,10)-MAX(('V06 Motor'!A91-1)*30/'V06 Motor'!C91,9))*'V06 Curva'!$B$14,MAX(0,MIN('V06 Motor'!A91*30/'V06 Motor'!C91,11)-MAX(('V06 Motor'!A91-1)*30/'V06 Motor'!C91,10))*'V06 Curva'!$B$15,MAX(0,MIN('V06 Motor'!A91*30/'V06 Motor'!C91,12)-MAX(('V06 Motor'!A91-1)*30/'V06 Motor'!C91,11))*'V06 Curva'!$B$16,MAX(0,MIN('V06 Motor'!A91*30/'V06 Motor'!C91,13)-MAX(('V06 Motor'!A91-1)*30/'V06 Motor'!C91,12))*'V06 Curva'!$B$17,MAX(0,MIN('V06 Motor'!A91*30/'V06 Motor'!C91,14)-MAX(('V06 Motor'!A91-1)*30/'V06 Motor'!C91,13))*'V06 Curva'!$B$18,MAX(0,MIN('V06 Motor'!A91*30/'V06 Motor'!C91,15)-MAX(('V06 Motor'!A91-1)*30/'V06 Motor'!C91,14))*'V06 Curva'!$B$19,MAX(0,MIN('V06 Motor'!A91*30/'V06 Motor'!C91,16)-MAX(('V06 Motor'!A91-1)*30/'V06 Motor'!C91,15))*'V06 Curva'!$B$20,MAX(0,MIN('V06 Motor'!A91*30/'V06 Motor'!C91,17)-MAX(('V06 Motor'!A91-1)*30/'V06 Motor'!C91,16))*'V06 Curva'!$B$21,MAX(0,MIN('V06 Motor'!A91*30/'V06 Motor'!C91,18)-MAX(('V06 Motor'!A91-1)*30/'V06 Motor'!C91,17))*'V06 Curva'!$B$22,MAX(0,MIN('V06 Motor'!A91*30/'V06 Motor'!C91,19)-MAX(('V06 Motor'!A91-1)*30/'V06 Motor'!C91,18))*'V06 Curva'!$B$23,MAX(0,MIN('V06 Motor'!A91*30/'V06 Motor'!C91,20)-MAX(('V06 Motor'!A91-1)*30/'V06 Motor'!C91,19))*'V06 Curva'!$B$24,MAX(0,MIN('V06 Motor'!A91*30/'V06 Motor'!C91,21)-MAX(('V06 Motor'!A91-1)*30/'V06 Motor'!C91,20))*'V06 Curva'!$B$25,MAX(0,MIN('V06 Motor'!A91*30/'V06 Motor'!C91,22)-MAX(('V06 Motor'!A91-1)*30/'V06 Motor'!C91,21))*'V06 Curva'!$B$26,MAX(0,MIN('V06 Motor'!A91*30/'V06 Motor'!C91,23)-MAX(('V06 Motor'!A91-1)*30/'V06 Motor'!C91,22))*'V06 Curva'!$B$27,MAX(0,MIN('V06 Motor'!A91*30/'V06 Motor'!C91,24)-MAX(('V06 Motor'!A91-1)*30/'V06 Motor'!C91,23))*'V06 Curva'!$B$28,MAX(0,MIN('V06 Motor'!A91*30/'V06 Motor'!C91,25)-MAX(('V06 Motor'!A91-1)*30/'V06 Motor'!C91,24))*'V06 Curva'!$B$29,MAX(0,MIN('V06 Motor'!A91*30/'V06 Motor'!C91,26)-MAX(('V06 Motor'!A91-1)*30/'V06 Motor'!C91,25))*'V06 Curva'!$B$30,MAX(0,MIN('V06 Motor'!A91*30/'V06 Motor'!C91,27)-MAX(('V06 Motor'!A91-1)*30/'V06 Motor'!C91,26))*'V06 Curva'!$B$31,MAX(0,MIN('V06 Motor'!A91*30/'V06 Motor'!C91,28)-MAX(('V06 Motor'!A91-1)*30/'V06 Motor'!C91,27))*'V06 Curva'!$B$32,MAX(0,MIN('V06 Motor'!A91*30/'V06 Motor'!C91,29)-MAX(('V06 Motor'!A91-1)*30/'V06 Motor'!C91,28))*'V06 Curva'!$B$33,MAX(0,MIN('V06 Motor'!A91*30/'V06 Motor'!C91,30)-MAX(('V06 Motor'!A91-1)*30/'V06 Motor'!C91,29))*'V06 Curva'!$B$34),0)</f>
        <v>0.0</v>
      </c>
      <c r="O91" s="2">
        <f>SUMPRODUCT(--(('V06 Unidades'!$I$5:$I$98+'V06 Controlos'!$B$37)='V06 Motor'!A91),ROUND('V06 Unidades'!$H$5:$H$98*0.05,2)+ROUND('V06 Unidades'!$H$5:$H$98*0.2,2))+SUMPRODUCT(--(IF('V06 Controlos'!$B$38&gt;0,IF(('V06 Unidades'!$L$5:$L$98+'V06 Controlos'!$B$37)&lt;'V06 Motor'!C91,'V06 Motor'!C91,('V06 Unidades'!$L$5:$L$98+'V06 Controlos'!$B$37)),('V06 Unidades'!$L$5:$L$98+'V06 Controlos'!$B$37))='V06 Motor'!A91),'V06 Unidades'!$H$5:$H$98-ROUND('V06 Unidades'!$H$5:$H$98*0.05,2)-ROUND('V06 Unidades'!$H$5:$H$98*0.2,2)-ROUND('V06 Unidades'!$H$5:$H$98*0.55,2))+SUMPRODUCT(--(IF(INT((IF('V06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Controlos'!$B$37)-1)/6),0)&gt;0),--('V06 Motor'!A91&gt;('V06 Unidades'!$I$5:$I$98+'V06 Controlos'!$B$37)),--('V06 Motor'!A91&lt;IF('V06 Controlos'!$B$38&gt;0,IF(('V06 Unidades'!$L$5:$L$98+'V06 Controlos'!$B$37)&lt;'V06 Motor'!C91,'V06 Motor'!C91,('V06 Unidades'!$L$5:$L$98+'V06 Controlos'!$B$37)),('V06 Unidades'!$L$5:$L$98+'V06 Controlos'!$B$37))),--(MOD('V06 Motor'!A91-('V06 Unidades'!$I$5:$I$98+'V06 Controlos'!$B$37),6)=0),--(('V06 Motor'!A91-('V06 Unidades'!$I$5:$I$98+'V06 Controlos'!$B$37))/6&lt;=IF(INT((IF('V06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Controlos'!$B$37)-1)/6),0)),IF('V06 Motor'!A91=('V06 Unidades'!$I$5:$I$98+'V06 Controlos'!$B$37)+6*IF(INT((IF('V06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Controlos'!$B$37)-1)/6),0)&gt;0,IF(INT((IF('V06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Controlos'!$B$37)-1)/6),0),1),2)*(IF(INT((IF('V06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Controlos'!$B$37)-1)/6),0)&gt;0,IF(INT((IF('V06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Controlos'!$B$37)-1)/6)&gt;0,INT((IF('V06 Controlos'!$B$38&gt;0,IF(('V06 Unidades'!$L$5:$L$98+'V06 Controlos'!$B$37)&lt;'V06 Motor'!C91,'V06 Motor'!C91,('V06 Unidades'!$L$5:$L$98+'V06 Controlos'!$B$37)),('V06 Unidades'!$L$5:$L$98+'V06 Controlos'!$B$37))-('V06 Unidades'!$I$5:$I$98+'V06 Controlos'!$B$37)-1)/6),0),1),2)))</f>
        <v>0.0</v>
      </c>
      <c r="P91" s="2">
        <f>SUM('V06 Calend 01'!CU5:CU98)</f>
        <v>0.0</v>
      </c>
    </row>
    <row r="92" spans="1:16">
      <c r="A92">
        <v>88</v>
      </c>
      <c r="C92">
        <v>30</v>
      </c>
      <c r="G92" s="2">
        <f>IF('V06 Motor'!A92&lt;='V06 Motor'!C92,SUMPRODUCT('V06 Curva'!$B$5:$B$34,IF((IF('V06 Motor'!A92*30/'V06 Motor'!C92&lt;'V06 Curva'!$A$5:$A$34,'V06 Motor'!A92*30/'V06 Motor'!C92,'V06 Curva'!$A$5:$A$34)-IF(('V06 Motor'!A92-1)*30/'V06 Motor'!C92&gt;'V06 Curva'!$A$5:$A$34-1,('V06 Motor'!A92-1)*30/'V06 Motor'!C92,'V06 Curva'!$A$5:$A$34-1))&gt;0,(IF('V06 Motor'!A92*30/'V06 Motor'!C92&lt;'V06 Curva'!$A$5:$A$34,'V06 Motor'!A92*30/'V06 Motor'!C92,'V06 Curva'!$A$5:$A$34)-IF(('V06 Motor'!A92-1)*30/'V06 Motor'!C92&gt;'V06 Curva'!$A$5:$A$34-1,('V06 Motor'!A92-1)*30/'V06 Motor'!C92,'V06 Curva'!$A$5:$A$34-1)),0)),0)</f>
        <v>0.0</v>
      </c>
      <c r="H92" s="2">
        <f>IF('V06 Motor'!A92&lt;='V06 Motor'!C92,SUM(MAX(0,MIN('V06 Motor'!A92*30/'V06 Motor'!C92,1)-MAX(('V06 Motor'!A92-1)*30/'V06 Motor'!C92,0))*'V06 Curva'!$B$5,MAX(0,MIN('V06 Motor'!A92*30/'V06 Motor'!C92,2)-MAX(('V06 Motor'!A92-1)*30/'V06 Motor'!C92,1))*'V06 Curva'!$B$6,MAX(0,MIN('V06 Motor'!A92*30/'V06 Motor'!C92,3)-MAX(('V06 Motor'!A92-1)*30/'V06 Motor'!C92,2))*'V06 Curva'!$B$7,MAX(0,MIN('V06 Motor'!A92*30/'V06 Motor'!C92,4)-MAX(('V06 Motor'!A92-1)*30/'V06 Motor'!C92,3))*'V06 Curva'!$B$8,MAX(0,MIN('V06 Motor'!A92*30/'V06 Motor'!C92,5)-MAX(('V06 Motor'!A92-1)*30/'V06 Motor'!C92,4))*'V06 Curva'!$B$9,MAX(0,MIN('V06 Motor'!A92*30/'V06 Motor'!C92,6)-MAX(('V06 Motor'!A92-1)*30/'V06 Motor'!C92,5))*'V06 Curva'!$B$10,MAX(0,MIN('V06 Motor'!A92*30/'V06 Motor'!C92,7)-MAX(('V06 Motor'!A92-1)*30/'V06 Motor'!C92,6))*'V06 Curva'!$B$11,MAX(0,MIN('V06 Motor'!A92*30/'V06 Motor'!C92,8)-MAX(('V06 Motor'!A92-1)*30/'V06 Motor'!C92,7))*'V06 Curva'!$B$12,MAX(0,MIN('V06 Motor'!A92*30/'V06 Motor'!C92,9)-MAX(('V06 Motor'!A92-1)*30/'V06 Motor'!C92,8))*'V06 Curva'!$B$13,MAX(0,MIN('V06 Motor'!A92*30/'V06 Motor'!C92,10)-MAX(('V06 Motor'!A92-1)*30/'V06 Motor'!C92,9))*'V06 Curva'!$B$14,MAX(0,MIN('V06 Motor'!A92*30/'V06 Motor'!C92,11)-MAX(('V06 Motor'!A92-1)*30/'V06 Motor'!C92,10))*'V06 Curva'!$B$15,MAX(0,MIN('V06 Motor'!A92*30/'V06 Motor'!C92,12)-MAX(('V06 Motor'!A92-1)*30/'V06 Motor'!C92,11))*'V06 Curva'!$B$16,MAX(0,MIN('V06 Motor'!A92*30/'V06 Motor'!C92,13)-MAX(('V06 Motor'!A92-1)*30/'V06 Motor'!C92,12))*'V06 Curva'!$B$17,MAX(0,MIN('V06 Motor'!A92*30/'V06 Motor'!C92,14)-MAX(('V06 Motor'!A92-1)*30/'V06 Motor'!C92,13))*'V06 Curva'!$B$18,MAX(0,MIN('V06 Motor'!A92*30/'V06 Motor'!C92,15)-MAX(('V06 Motor'!A92-1)*30/'V06 Motor'!C92,14))*'V06 Curva'!$B$19,MAX(0,MIN('V06 Motor'!A92*30/'V06 Motor'!C92,16)-MAX(('V06 Motor'!A92-1)*30/'V06 Motor'!C92,15))*'V06 Curva'!$B$20,MAX(0,MIN('V06 Motor'!A92*30/'V06 Motor'!C92,17)-MAX(('V06 Motor'!A92-1)*30/'V06 Motor'!C92,16))*'V06 Curva'!$B$21,MAX(0,MIN('V06 Motor'!A92*30/'V06 Motor'!C92,18)-MAX(('V06 Motor'!A92-1)*30/'V06 Motor'!C92,17))*'V06 Curva'!$B$22,MAX(0,MIN('V06 Motor'!A92*30/'V06 Motor'!C92,19)-MAX(('V06 Motor'!A92-1)*30/'V06 Motor'!C92,18))*'V06 Curva'!$B$23,MAX(0,MIN('V06 Motor'!A92*30/'V06 Motor'!C92,20)-MAX(('V06 Motor'!A92-1)*30/'V06 Motor'!C92,19))*'V06 Curva'!$B$24,MAX(0,MIN('V06 Motor'!A92*30/'V06 Motor'!C92,21)-MAX(('V06 Motor'!A92-1)*30/'V06 Motor'!C92,20))*'V06 Curva'!$B$25,MAX(0,MIN('V06 Motor'!A92*30/'V06 Motor'!C92,22)-MAX(('V06 Motor'!A92-1)*30/'V06 Motor'!C92,21))*'V06 Curva'!$B$26,MAX(0,MIN('V06 Motor'!A92*30/'V06 Motor'!C92,23)-MAX(('V06 Motor'!A92-1)*30/'V06 Motor'!C92,22))*'V06 Curva'!$B$27,MAX(0,MIN('V06 Motor'!A92*30/'V06 Motor'!C92,24)-MAX(('V06 Motor'!A92-1)*30/'V06 Motor'!C92,23))*'V06 Curva'!$B$28,MAX(0,MIN('V06 Motor'!A92*30/'V06 Motor'!C92,25)-MAX(('V06 Motor'!A92-1)*30/'V06 Motor'!C92,24))*'V06 Curva'!$B$29,MAX(0,MIN('V06 Motor'!A92*30/'V06 Motor'!C92,26)-MAX(('V06 Motor'!A92-1)*30/'V06 Motor'!C92,25))*'V06 Curva'!$B$30,MAX(0,MIN('V06 Motor'!A92*30/'V06 Motor'!C92,27)-MAX(('V06 Motor'!A92-1)*30/'V06 Motor'!C92,26))*'V06 Curva'!$B$31,MAX(0,MIN('V06 Motor'!A92*30/'V06 Motor'!C92,28)-MAX(('V06 Motor'!A92-1)*30/'V06 Motor'!C92,27))*'V06 Curva'!$B$32,MAX(0,MIN('V06 Motor'!A92*30/'V06 Motor'!C92,29)-MAX(('V06 Motor'!A92-1)*30/'V06 Motor'!C92,28))*'V06 Curva'!$B$33,MAX(0,MIN('V06 Motor'!A92*30/'V06 Motor'!C92,30)-MAX(('V06 Motor'!A92-1)*30/'V06 Motor'!C92,29))*'V06 Curva'!$B$34),0)</f>
        <v>0.0</v>
      </c>
      <c r="O92" s="2">
        <f>SUMPRODUCT(--(('V06 Unidades'!$I$5:$I$98+'V06 Controlos'!$B$37)='V06 Motor'!A92),ROUND('V06 Unidades'!$H$5:$H$98*0.05,2)+ROUND('V06 Unidades'!$H$5:$H$98*0.2,2))+SUMPRODUCT(--(IF('V06 Controlos'!$B$38&gt;0,IF(('V06 Unidades'!$L$5:$L$98+'V06 Controlos'!$B$37)&lt;'V06 Motor'!C92,'V06 Motor'!C92,('V06 Unidades'!$L$5:$L$98+'V06 Controlos'!$B$37)),('V06 Unidades'!$L$5:$L$98+'V06 Controlos'!$B$37))='V06 Motor'!A92),'V06 Unidades'!$H$5:$H$98-ROUND('V06 Unidades'!$H$5:$H$98*0.05,2)-ROUND('V06 Unidades'!$H$5:$H$98*0.2,2)-ROUND('V06 Unidades'!$H$5:$H$98*0.55,2))+SUMPRODUCT(--(IF(INT((IF('V06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Controlos'!$B$37)-1)/6),0)&gt;0),--('V06 Motor'!A92&gt;('V06 Unidades'!$I$5:$I$98+'V06 Controlos'!$B$37)),--('V06 Motor'!A92&lt;IF('V06 Controlos'!$B$38&gt;0,IF(('V06 Unidades'!$L$5:$L$98+'V06 Controlos'!$B$37)&lt;'V06 Motor'!C92,'V06 Motor'!C92,('V06 Unidades'!$L$5:$L$98+'V06 Controlos'!$B$37)),('V06 Unidades'!$L$5:$L$98+'V06 Controlos'!$B$37))),--(MOD('V06 Motor'!A92-('V06 Unidades'!$I$5:$I$98+'V06 Controlos'!$B$37),6)=0),--(('V06 Motor'!A92-('V06 Unidades'!$I$5:$I$98+'V06 Controlos'!$B$37))/6&lt;=IF(INT((IF('V06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Controlos'!$B$37)-1)/6),0)),IF('V06 Motor'!A92=('V06 Unidades'!$I$5:$I$98+'V06 Controlos'!$B$37)+6*IF(INT((IF('V06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Controlos'!$B$37)-1)/6),0)&gt;0,IF(INT((IF('V06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Controlos'!$B$37)-1)/6),0),1),2)*(IF(INT((IF('V06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Controlos'!$B$37)-1)/6),0)&gt;0,IF(INT((IF('V06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Controlos'!$B$37)-1)/6)&gt;0,INT((IF('V06 Controlos'!$B$38&gt;0,IF(('V06 Unidades'!$L$5:$L$98+'V06 Controlos'!$B$37)&lt;'V06 Motor'!C92,'V06 Motor'!C92,('V06 Unidades'!$L$5:$L$98+'V06 Controlos'!$B$37)),('V06 Unidades'!$L$5:$L$98+'V06 Controlos'!$B$37))-('V06 Unidades'!$I$5:$I$98+'V06 Controlos'!$B$37)-1)/6),0),1),2)))</f>
        <v>0.0</v>
      </c>
      <c r="P92" s="2">
        <f>SUM('V06 Calend 01'!CV5:CV98)</f>
        <v>0.0</v>
      </c>
    </row>
    <row r="93" spans="1:16">
      <c r="A93">
        <v>89</v>
      </c>
      <c r="C93">
        <v>30</v>
      </c>
      <c r="G93" s="2">
        <f>IF('V06 Motor'!A93&lt;='V06 Motor'!C93,SUMPRODUCT('V06 Curva'!$B$5:$B$34,IF((IF('V06 Motor'!A93*30/'V06 Motor'!C93&lt;'V06 Curva'!$A$5:$A$34,'V06 Motor'!A93*30/'V06 Motor'!C93,'V06 Curva'!$A$5:$A$34)-IF(('V06 Motor'!A93-1)*30/'V06 Motor'!C93&gt;'V06 Curva'!$A$5:$A$34-1,('V06 Motor'!A93-1)*30/'V06 Motor'!C93,'V06 Curva'!$A$5:$A$34-1))&gt;0,(IF('V06 Motor'!A93*30/'V06 Motor'!C93&lt;'V06 Curva'!$A$5:$A$34,'V06 Motor'!A93*30/'V06 Motor'!C93,'V06 Curva'!$A$5:$A$34)-IF(('V06 Motor'!A93-1)*30/'V06 Motor'!C93&gt;'V06 Curva'!$A$5:$A$34-1,('V06 Motor'!A93-1)*30/'V06 Motor'!C93,'V06 Curva'!$A$5:$A$34-1)),0)),0)</f>
        <v>0.0</v>
      </c>
      <c r="H93" s="2">
        <f>IF('V06 Motor'!A93&lt;='V06 Motor'!C93,SUM(MAX(0,MIN('V06 Motor'!A93*30/'V06 Motor'!C93,1)-MAX(('V06 Motor'!A93-1)*30/'V06 Motor'!C93,0))*'V06 Curva'!$B$5,MAX(0,MIN('V06 Motor'!A93*30/'V06 Motor'!C93,2)-MAX(('V06 Motor'!A93-1)*30/'V06 Motor'!C93,1))*'V06 Curva'!$B$6,MAX(0,MIN('V06 Motor'!A93*30/'V06 Motor'!C93,3)-MAX(('V06 Motor'!A93-1)*30/'V06 Motor'!C93,2))*'V06 Curva'!$B$7,MAX(0,MIN('V06 Motor'!A93*30/'V06 Motor'!C93,4)-MAX(('V06 Motor'!A93-1)*30/'V06 Motor'!C93,3))*'V06 Curva'!$B$8,MAX(0,MIN('V06 Motor'!A93*30/'V06 Motor'!C93,5)-MAX(('V06 Motor'!A93-1)*30/'V06 Motor'!C93,4))*'V06 Curva'!$B$9,MAX(0,MIN('V06 Motor'!A93*30/'V06 Motor'!C93,6)-MAX(('V06 Motor'!A93-1)*30/'V06 Motor'!C93,5))*'V06 Curva'!$B$10,MAX(0,MIN('V06 Motor'!A93*30/'V06 Motor'!C93,7)-MAX(('V06 Motor'!A93-1)*30/'V06 Motor'!C93,6))*'V06 Curva'!$B$11,MAX(0,MIN('V06 Motor'!A93*30/'V06 Motor'!C93,8)-MAX(('V06 Motor'!A93-1)*30/'V06 Motor'!C93,7))*'V06 Curva'!$B$12,MAX(0,MIN('V06 Motor'!A93*30/'V06 Motor'!C93,9)-MAX(('V06 Motor'!A93-1)*30/'V06 Motor'!C93,8))*'V06 Curva'!$B$13,MAX(0,MIN('V06 Motor'!A93*30/'V06 Motor'!C93,10)-MAX(('V06 Motor'!A93-1)*30/'V06 Motor'!C93,9))*'V06 Curva'!$B$14,MAX(0,MIN('V06 Motor'!A93*30/'V06 Motor'!C93,11)-MAX(('V06 Motor'!A93-1)*30/'V06 Motor'!C93,10))*'V06 Curva'!$B$15,MAX(0,MIN('V06 Motor'!A93*30/'V06 Motor'!C93,12)-MAX(('V06 Motor'!A93-1)*30/'V06 Motor'!C93,11))*'V06 Curva'!$B$16,MAX(0,MIN('V06 Motor'!A93*30/'V06 Motor'!C93,13)-MAX(('V06 Motor'!A93-1)*30/'V06 Motor'!C93,12))*'V06 Curva'!$B$17,MAX(0,MIN('V06 Motor'!A93*30/'V06 Motor'!C93,14)-MAX(('V06 Motor'!A93-1)*30/'V06 Motor'!C93,13))*'V06 Curva'!$B$18,MAX(0,MIN('V06 Motor'!A93*30/'V06 Motor'!C93,15)-MAX(('V06 Motor'!A93-1)*30/'V06 Motor'!C93,14))*'V06 Curva'!$B$19,MAX(0,MIN('V06 Motor'!A93*30/'V06 Motor'!C93,16)-MAX(('V06 Motor'!A93-1)*30/'V06 Motor'!C93,15))*'V06 Curva'!$B$20,MAX(0,MIN('V06 Motor'!A93*30/'V06 Motor'!C93,17)-MAX(('V06 Motor'!A93-1)*30/'V06 Motor'!C93,16))*'V06 Curva'!$B$21,MAX(0,MIN('V06 Motor'!A93*30/'V06 Motor'!C93,18)-MAX(('V06 Motor'!A93-1)*30/'V06 Motor'!C93,17))*'V06 Curva'!$B$22,MAX(0,MIN('V06 Motor'!A93*30/'V06 Motor'!C93,19)-MAX(('V06 Motor'!A93-1)*30/'V06 Motor'!C93,18))*'V06 Curva'!$B$23,MAX(0,MIN('V06 Motor'!A93*30/'V06 Motor'!C93,20)-MAX(('V06 Motor'!A93-1)*30/'V06 Motor'!C93,19))*'V06 Curva'!$B$24,MAX(0,MIN('V06 Motor'!A93*30/'V06 Motor'!C93,21)-MAX(('V06 Motor'!A93-1)*30/'V06 Motor'!C93,20))*'V06 Curva'!$B$25,MAX(0,MIN('V06 Motor'!A93*30/'V06 Motor'!C93,22)-MAX(('V06 Motor'!A93-1)*30/'V06 Motor'!C93,21))*'V06 Curva'!$B$26,MAX(0,MIN('V06 Motor'!A93*30/'V06 Motor'!C93,23)-MAX(('V06 Motor'!A93-1)*30/'V06 Motor'!C93,22))*'V06 Curva'!$B$27,MAX(0,MIN('V06 Motor'!A93*30/'V06 Motor'!C93,24)-MAX(('V06 Motor'!A93-1)*30/'V06 Motor'!C93,23))*'V06 Curva'!$B$28,MAX(0,MIN('V06 Motor'!A93*30/'V06 Motor'!C93,25)-MAX(('V06 Motor'!A93-1)*30/'V06 Motor'!C93,24))*'V06 Curva'!$B$29,MAX(0,MIN('V06 Motor'!A93*30/'V06 Motor'!C93,26)-MAX(('V06 Motor'!A93-1)*30/'V06 Motor'!C93,25))*'V06 Curva'!$B$30,MAX(0,MIN('V06 Motor'!A93*30/'V06 Motor'!C93,27)-MAX(('V06 Motor'!A93-1)*30/'V06 Motor'!C93,26))*'V06 Curva'!$B$31,MAX(0,MIN('V06 Motor'!A93*30/'V06 Motor'!C93,28)-MAX(('V06 Motor'!A93-1)*30/'V06 Motor'!C93,27))*'V06 Curva'!$B$32,MAX(0,MIN('V06 Motor'!A93*30/'V06 Motor'!C93,29)-MAX(('V06 Motor'!A93-1)*30/'V06 Motor'!C93,28))*'V06 Curva'!$B$33,MAX(0,MIN('V06 Motor'!A93*30/'V06 Motor'!C93,30)-MAX(('V06 Motor'!A93-1)*30/'V06 Motor'!C93,29))*'V06 Curva'!$B$34),0)</f>
        <v>0.0</v>
      </c>
      <c r="O93" s="2">
        <f>SUMPRODUCT(--(('V06 Unidades'!$I$5:$I$98+'V06 Controlos'!$B$37)='V06 Motor'!A93),ROUND('V06 Unidades'!$H$5:$H$98*0.05,2)+ROUND('V06 Unidades'!$H$5:$H$98*0.2,2))+SUMPRODUCT(--(IF('V06 Controlos'!$B$38&gt;0,IF(('V06 Unidades'!$L$5:$L$98+'V06 Controlos'!$B$37)&lt;'V06 Motor'!C93,'V06 Motor'!C93,('V06 Unidades'!$L$5:$L$98+'V06 Controlos'!$B$37)),('V06 Unidades'!$L$5:$L$98+'V06 Controlos'!$B$37))='V06 Motor'!A93),'V06 Unidades'!$H$5:$H$98-ROUND('V06 Unidades'!$H$5:$H$98*0.05,2)-ROUND('V06 Unidades'!$H$5:$H$98*0.2,2)-ROUND('V06 Unidades'!$H$5:$H$98*0.55,2))+SUMPRODUCT(--(IF(INT((IF('V06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Controlos'!$B$37)-1)/6),0)&gt;0),--('V06 Motor'!A93&gt;('V06 Unidades'!$I$5:$I$98+'V06 Controlos'!$B$37)),--('V06 Motor'!A93&lt;IF('V06 Controlos'!$B$38&gt;0,IF(('V06 Unidades'!$L$5:$L$98+'V06 Controlos'!$B$37)&lt;'V06 Motor'!C93,'V06 Motor'!C93,('V06 Unidades'!$L$5:$L$98+'V06 Controlos'!$B$37)),('V06 Unidades'!$L$5:$L$98+'V06 Controlos'!$B$37))),--(MOD('V06 Motor'!A93-('V06 Unidades'!$I$5:$I$98+'V06 Controlos'!$B$37),6)=0),--(('V06 Motor'!A93-('V06 Unidades'!$I$5:$I$98+'V06 Controlos'!$B$37))/6&lt;=IF(INT((IF('V06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Controlos'!$B$37)-1)/6),0)),IF('V06 Motor'!A93=('V06 Unidades'!$I$5:$I$98+'V06 Controlos'!$B$37)+6*IF(INT((IF('V06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Controlos'!$B$37)-1)/6),0)&gt;0,IF(INT((IF('V06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Controlos'!$B$37)-1)/6),0),1),2)*(IF(INT((IF('V06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Controlos'!$B$37)-1)/6),0)&gt;0,IF(INT((IF('V06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Controlos'!$B$37)-1)/6)&gt;0,INT((IF('V06 Controlos'!$B$38&gt;0,IF(('V06 Unidades'!$L$5:$L$98+'V06 Controlos'!$B$37)&lt;'V06 Motor'!C93,'V06 Motor'!C93,('V06 Unidades'!$L$5:$L$98+'V06 Controlos'!$B$37)),('V06 Unidades'!$L$5:$L$98+'V06 Controlos'!$B$37))-('V06 Unidades'!$I$5:$I$98+'V06 Controlos'!$B$37)-1)/6),0),1),2)))</f>
        <v>0.0</v>
      </c>
      <c r="P93" s="2">
        <f>SUM('V06 Calend 01'!CW5:CW98)</f>
        <v>0.0</v>
      </c>
    </row>
    <row r="94" spans="1:16">
      <c r="A94">
        <v>90</v>
      </c>
      <c r="C94">
        <v>30</v>
      </c>
      <c r="G94" s="2">
        <f>IF('V06 Motor'!A94&lt;='V06 Motor'!C94,SUMPRODUCT('V06 Curva'!$B$5:$B$34,IF((IF('V06 Motor'!A94*30/'V06 Motor'!C94&lt;'V06 Curva'!$A$5:$A$34,'V06 Motor'!A94*30/'V06 Motor'!C94,'V06 Curva'!$A$5:$A$34)-IF(('V06 Motor'!A94-1)*30/'V06 Motor'!C94&gt;'V06 Curva'!$A$5:$A$34-1,('V06 Motor'!A94-1)*30/'V06 Motor'!C94,'V06 Curva'!$A$5:$A$34-1))&gt;0,(IF('V06 Motor'!A94*30/'V06 Motor'!C94&lt;'V06 Curva'!$A$5:$A$34,'V06 Motor'!A94*30/'V06 Motor'!C94,'V06 Curva'!$A$5:$A$34)-IF(('V06 Motor'!A94-1)*30/'V06 Motor'!C94&gt;'V06 Curva'!$A$5:$A$34-1,('V06 Motor'!A94-1)*30/'V06 Motor'!C94,'V06 Curva'!$A$5:$A$34-1)),0)),0)</f>
        <v>0.0</v>
      </c>
      <c r="H94" s="2">
        <f>IF('V06 Motor'!A94&lt;='V06 Motor'!C94,SUM(MAX(0,MIN('V06 Motor'!A94*30/'V06 Motor'!C94,1)-MAX(('V06 Motor'!A94-1)*30/'V06 Motor'!C94,0))*'V06 Curva'!$B$5,MAX(0,MIN('V06 Motor'!A94*30/'V06 Motor'!C94,2)-MAX(('V06 Motor'!A94-1)*30/'V06 Motor'!C94,1))*'V06 Curva'!$B$6,MAX(0,MIN('V06 Motor'!A94*30/'V06 Motor'!C94,3)-MAX(('V06 Motor'!A94-1)*30/'V06 Motor'!C94,2))*'V06 Curva'!$B$7,MAX(0,MIN('V06 Motor'!A94*30/'V06 Motor'!C94,4)-MAX(('V06 Motor'!A94-1)*30/'V06 Motor'!C94,3))*'V06 Curva'!$B$8,MAX(0,MIN('V06 Motor'!A94*30/'V06 Motor'!C94,5)-MAX(('V06 Motor'!A94-1)*30/'V06 Motor'!C94,4))*'V06 Curva'!$B$9,MAX(0,MIN('V06 Motor'!A94*30/'V06 Motor'!C94,6)-MAX(('V06 Motor'!A94-1)*30/'V06 Motor'!C94,5))*'V06 Curva'!$B$10,MAX(0,MIN('V06 Motor'!A94*30/'V06 Motor'!C94,7)-MAX(('V06 Motor'!A94-1)*30/'V06 Motor'!C94,6))*'V06 Curva'!$B$11,MAX(0,MIN('V06 Motor'!A94*30/'V06 Motor'!C94,8)-MAX(('V06 Motor'!A94-1)*30/'V06 Motor'!C94,7))*'V06 Curva'!$B$12,MAX(0,MIN('V06 Motor'!A94*30/'V06 Motor'!C94,9)-MAX(('V06 Motor'!A94-1)*30/'V06 Motor'!C94,8))*'V06 Curva'!$B$13,MAX(0,MIN('V06 Motor'!A94*30/'V06 Motor'!C94,10)-MAX(('V06 Motor'!A94-1)*30/'V06 Motor'!C94,9))*'V06 Curva'!$B$14,MAX(0,MIN('V06 Motor'!A94*30/'V06 Motor'!C94,11)-MAX(('V06 Motor'!A94-1)*30/'V06 Motor'!C94,10))*'V06 Curva'!$B$15,MAX(0,MIN('V06 Motor'!A94*30/'V06 Motor'!C94,12)-MAX(('V06 Motor'!A94-1)*30/'V06 Motor'!C94,11))*'V06 Curva'!$B$16,MAX(0,MIN('V06 Motor'!A94*30/'V06 Motor'!C94,13)-MAX(('V06 Motor'!A94-1)*30/'V06 Motor'!C94,12))*'V06 Curva'!$B$17,MAX(0,MIN('V06 Motor'!A94*30/'V06 Motor'!C94,14)-MAX(('V06 Motor'!A94-1)*30/'V06 Motor'!C94,13))*'V06 Curva'!$B$18,MAX(0,MIN('V06 Motor'!A94*30/'V06 Motor'!C94,15)-MAX(('V06 Motor'!A94-1)*30/'V06 Motor'!C94,14))*'V06 Curva'!$B$19,MAX(0,MIN('V06 Motor'!A94*30/'V06 Motor'!C94,16)-MAX(('V06 Motor'!A94-1)*30/'V06 Motor'!C94,15))*'V06 Curva'!$B$20,MAX(0,MIN('V06 Motor'!A94*30/'V06 Motor'!C94,17)-MAX(('V06 Motor'!A94-1)*30/'V06 Motor'!C94,16))*'V06 Curva'!$B$21,MAX(0,MIN('V06 Motor'!A94*30/'V06 Motor'!C94,18)-MAX(('V06 Motor'!A94-1)*30/'V06 Motor'!C94,17))*'V06 Curva'!$B$22,MAX(0,MIN('V06 Motor'!A94*30/'V06 Motor'!C94,19)-MAX(('V06 Motor'!A94-1)*30/'V06 Motor'!C94,18))*'V06 Curva'!$B$23,MAX(0,MIN('V06 Motor'!A94*30/'V06 Motor'!C94,20)-MAX(('V06 Motor'!A94-1)*30/'V06 Motor'!C94,19))*'V06 Curva'!$B$24,MAX(0,MIN('V06 Motor'!A94*30/'V06 Motor'!C94,21)-MAX(('V06 Motor'!A94-1)*30/'V06 Motor'!C94,20))*'V06 Curva'!$B$25,MAX(0,MIN('V06 Motor'!A94*30/'V06 Motor'!C94,22)-MAX(('V06 Motor'!A94-1)*30/'V06 Motor'!C94,21))*'V06 Curva'!$B$26,MAX(0,MIN('V06 Motor'!A94*30/'V06 Motor'!C94,23)-MAX(('V06 Motor'!A94-1)*30/'V06 Motor'!C94,22))*'V06 Curva'!$B$27,MAX(0,MIN('V06 Motor'!A94*30/'V06 Motor'!C94,24)-MAX(('V06 Motor'!A94-1)*30/'V06 Motor'!C94,23))*'V06 Curva'!$B$28,MAX(0,MIN('V06 Motor'!A94*30/'V06 Motor'!C94,25)-MAX(('V06 Motor'!A94-1)*30/'V06 Motor'!C94,24))*'V06 Curva'!$B$29,MAX(0,MIN('V06 Motor'!A94*30/'V06 Motor'!C94,26)-MAX(('V06 Motor'!A94-1)*30/'V06 Motor'!C94,25))*'V06 Curva'!$B$30,MAX(0,MIN('V06 Motor'!A94*30/'V06 Motor'!C94,27)-MAX(('V06 Motor'!A94-1)*30/'V06 Motor'!C94,26))*'V06 Curva'!$B$31,MAX(0,MIN('V06 Motor'!A94*30/'V06 Motor'!C94,28)-MAX(('V06 Motor'!A94-1)*30/'V06 Motor'!C94,27))*'V06 Curva'!$B$32,MAX(0,MIN('V06 Motor'!A94*30/'V06 Motor'!C94,29)-MAX(('V06 Motor'!A94-1)*30/'V06 Motor'!C94,28))*'V06 Curva'!$B$33,MAX(0,MIN('V06 Motor'!A94*30/'V06 Motor'!C94,30)-MAX(('V06 Motor'!A94-1)*30/'V06 Motor'!C94,29))*'V06 Curva'!$B$34),0)</f>
        <v>0.0</v>
      </c>
      <c r="O94" s="2">
        <f>SUMPRODUCT(--(('V06 Unidades'!$I$5:$I$98+'V06 Controlos'!$B$37)='V06 Motor'!A94),ROUND('V06 Unidades'!$H$5:$H$98*0.05,2)+ROUND('V06 Unidades'!$H$5:$H$98*0.2,2))+SUMPRODUCT(--(IF('V06 Controlos'!$B$38&gt;0,IF(('V06 Unidades'!$L$5:$L$98+'V06 Controlos'!$B$37)&lt;'V06 Motor'!C94,'V06 Motor'!C94,('V06 Unidades'!$L$5:$L$98+'V06 Controlos'!$B$37)),('V06 Unidades'!$L$5:$L$98+'V06 Controlos'!$B$37))='V06 Motor'!A94),'V06 Unidades'!$H$5:$H$98-ROUND('V06 Unidades'!$H$5:$H$98*0.05,2)-ROUND('V06 Unidades'!$H$5:$H$98*0.2,2)-ROUND('V06 Unidades'!$H$5:$H$98*0.55,2))+SUMPRODUCT(--(IF(INT((IF('V06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Controlos'!$B$37)-1)/6),0)&gt;0),--('V06 Motor'!A94&gt;('V06 Unidades'!$I$5:$I$98+'V06 Controlos'!$B$37)),--('V06 Motor'!A94&lt;IF('V06 Controlos'!$B$38&gt;0,IF(('V06 Unidades'!$L$5:$L$98+'V06 Controlos'!$B$37)&lt;'V06 Motor'!C94,'V06 Motor'!C94,('V06 Unidades'!$L$5:$L$98+'V06 Controlos'!$B$37)),('V06 Unidades'!$L$5:$L$98+'V06 Controlos'!$B$37))),--(MOD('V06 Motor'!A94-('V06 Unidades'!$I$5:$I$98+'V06 Controlos'!$B$37),6)=0),--(('V06 Motor'!A94-('V06 Unidades'!$I$5:$I$98+'V06 Controlos'!$B$37))/6&lt;=IF(INT((IF('V06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Controlos'!$B$37)-1)/6),0)),IF('V06 Motor'!A94=('V06 Unidades'!$I$5:$I$98+'V06 Controlos'!$B$37)+6*IF(INT((IF('V06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Controlos'!$B$37)-1)/6),0)&gt;0,IF(INT((IF('V06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Controlos'!$B$37)-1)/6),0),1),2)*(IF(INT((IF('V06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Controlos'!$B$37)-1)/6),0)&gt;0,IF(INT((IF('V06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Controlos'!$B$37)-1)/6)&gt;0,INT((IF('V06 Controlos'!$B$38&gt;0,IF(('V06 Unidades'!$L$5:$L$98+'V06 Controlos'!$B$37)&lt;'V06 Motor'!C94,'V06 Motor'!C94,('V06 Unidades'!$L$5:$L$98+'V06 Controlos'!$B$37)),('V06 Unidades'!$L$5:$L$98+'V06 Controlos'!$B$37))-('V06 Unidades'!$I$5:$I$98+'V06 Controlos'!$B$37)-1)/6),0),1),2)))</f>
        <v>0.0</v>
      </c>
      <c r="P94" s="2">
        <f>SUM('V06 Calend 01'!CX5:CX98)</f>
        <v>0.0</v>
      </c>
    </row>
    <row r="95" spans="1:16">
      <c r="A95">
        <v>91</v>
      </c>
      <c r="C95">
        <v>30</v>
      </c>
      <c r="G95" s="2">
        <f>IF('V06 Motor'!A95&lt;='V06 Motor'!C95,SUMPRODUCT('V06 Curva'!$B$5:$B$34,IF((IF('V06 Motor'!A95*30/'V06 Motor'!C95&lt;'V06 Curva'!$A$5:$A$34,'V06 Motor'!A95*30/'V06 Motor'!C95,'V06 Curva'!$A$5:$A$34)-IF(('V06 Motor'!A95-1)*30/'V06 Motor'!C95&gt;'V06 Curva'!$A$5:$A$34-1,('V06 Motor'!A95-1)*30/'V06 Motor'!C95,'V06 Curva'!$A$5:$A$34-1))&gt;0,(IF('V06 Motor'!A95*30/'V06 Motor'!C95&lt;'V06 Curva'!$A$5:$A$34,'V06 Motor'!A95*30/'V06 Motor'!C95,'V06 Curva'!$A$5:$A$34)-IF(('V06 Motor'!A95-1)*30/'V06 Motor'!C95&gt;'V06 Curva'!$A$5:$A$34-1,('V06 Motor'!A95-1)*30/'V06 Motor'!C95,'V06 Curva'!$A$5:$A$34-1)),0)),0)</f>
        <v>0.0</v>
      </c>
      <c r="H95" s="2">
        <f>IF('V06 Motor'!A95&lt;='V06 Motor'!C95,SUM(MAX(0,MIN('V06 Motor'!A95*30/'V06 Motor'!C95,1)-MAX(('V06 Motor'!A95-1)*30/'V06 Motor'!C95,0))*'V06 Curva'!$B$5,MAX(0,MIN('V06 Motor'!A95*30/'V06 Motor'!C95,2)-MAX(('V06 Motor'!A95-1)*30/'V06 Motor'!C95,1))*'V06 Curva'!$B$6,MAX(0,MIN('V06 Motor'!A95*30/'V06 Motor'!C95,3)-MAX(('V06 Motor'!A95-1)*30/'V06 Motor'!C95,2))*'V06 Curva'!$B$7,MAX(0,MIN('V06 Motor'!A95*30/'V06 Motor'!C95,4)-MAX(('V06 Motor'!A95-1)*30/'V06 Motor'!C95,3))*'V06 Curva'!$B$8,MAX(0,MIN('V06 Motor'!A95*30/'V06 Motor'!C95,5)-MAX(('V06 Motor'!A95-1)*30/'V06 Motor'!C95,4))*'V06 Curva'!$B$9,MAX(0,MIN('V06 Motor'!A95*30/'V06 Motor'!C95,6)-MAX(('V06 Motor'!A95-1)*30/'V06 Motor'!C95,5))*'V06 Curva'!$B$10,MAX(0,MIN('V06 Motor'!A95*30/'V06 Motor'!C95,7)-MAX(('V06 Motor'!A95-1)*30/'V06 Motor'!C95,6))*'V06 Curva'!$B$11,MAX(0,MIN('V06 Motor'!A95*30/'V06 Motor'!C95,8)-MAX(('V06 Motor'!A95-1)*30/'V06 Motor'!C95,7))*'V06 Curva'!$B$12,MAX(0,MIN('V06 Motor'!A95*30/'V06 Motor'!C95,9)-MAX(('V06 Motor'!A95-1)*30/'V06 Motor'!C95,8))*'V06 Curva'!$B$13,MAX(0,MIN('V06 Motor'!A95*30/'V06 Motor'!C95,10)-MAX(('V06 Motor'!A95-1)*30/'V06 Motor'!C95,9))*'V06 Curva'!$B$14,MAX(0,MIN('V06 Motor'!A95*30/'V06 Motor'!C95,11)-MAX(('V06 Motor'!A95-1)*30/'V06 Motor'!C95,10))*'V06 Curva'!$B$15,MAX(0,MIN('V06 Motor'!A95*30/'V06 Motor'!C95,12)-MAX(('V06 Motor'!A95-1)*30/'V06 Motor'!C95,11))*'V06 Curva'!$B$16,MAX(0,MIN('V06 Motor'!A95*30/'V06 Motor'!C95,13)-MAX(('V06 Motor'!A95-1)*30/'V06 Motor'!C95,12))*'V06 Curva'!$B$17,MAX(0,MIN('V06 Motor'!A95*30/'V06 Motor'!C95,14)-MAX(('V06 Motor'!A95-1)*30/'V06 Motor'!C95,13))*'V06 Curva'!$B$18,MAX(0,MIN('V06 Motor'!A95*30/'V06 Motor'!C95,15)-MAX(('V06 Motor'!A95-1)*30/'V06 Motor'!C95,14))*'V06 Curva'!$B$19,MAX(0,MIN('V06 Motor'!A95*30/'V06 Motor'!C95,16)-MAX(('V06 Motor'!A95-1)*30/'V06 Motor'!C95,15))*'V06 Curva'!$B$20,MAX(0,MIN('V06 Motor'!A95*30/'V06 Motor'!C95,17)-MAX(('V06 Motor'!A95-1)*30/'V06 Motor'!C95,16))*'V06 Curva'!$B$21,MAX(0,MIN('V06 Motor'!A95*30/'V06 Motor'!C95,18)-MAX(('V06 Motor'!A95-1)*30/'V06 Motor'!C95,17))*'V06 Curva'!$B$22,MAX(0,MIN('V06 Motor'!A95*30/'V06 Motor'!C95,19)-MAX(('V06 Motor'!A95-1)*30/'V06 Motor'!C95,18))*'V06 Curva'!$B$23,MAX(0,MIN('V06 Motor'!A95*30/'V06 Motor'!C95,20)-MAX(('V06 Motor'!A95-1)*30/'V06 Motor'!C95,19))*'V06 Curva'!$B$24,MAX(0,MIN('V06 Motor'!A95*30/'V06 Motor'!C95,21)-MAX(('V06 Motor'!A95-1)*30/'V06 Motor'!C95,20))*'V06 Curva'!$B$25,MAX(0,MIN('V06 Motor'!A95*30/'V06 Motor'!C95,22)-MAX(('V06 Motor'!A95-1)*30/'V06 Motor'!C95,21))*'V06 Curva'!$B$26,MAX(0,MIN('V06 Motor'!A95*30/'V06 Motor'!C95,23)-MAX(('V06 Motor'!A95-1)*30/'V06 Motor'!C95,22))*'V06 Curva'!$B$27,MAX(0,MIN('V06 Motor'!A95*30/'V06 Motor'!C95,24)-MAX(('V06 Motor'!A95-1)*30/'V06 Motor'!C95,23))*'V06 Curva'!$B$28,MAX(0,MIN('V06 Motor'!A95*30/'V06 Motor'!C95,25)-MAX(('V06 Motor'!A95-1)*30/'V06 Motor'!C95,24))*'V06 Curva'!$B$29,MAX(0,MIN('V06 Motor'!A95*30/'V06 Motor'!C95,26)-MAX(('V06 Motor'!A95-1)*30/'V06 Motor'!C95,25))*'V06 Curva'!$B$30,MAX(0,MIN('V06 Motor'!A95*30/'V06 Motor'!C95,27)-MAX(('V06 Motor'!A95-1)*30/'V06 Motor'!C95,26))*'V06 Curva'!$B$31,MAX(0,MIN('V06 Motor'!A95*30/'V06 Motor'!C95,28)-MAX(('V06 Motor'!A95-1)*30/'V06 Motor'!C95,27))*'V06 Curva'!$B$32,MAX(0,MIN('V06 Motor'!A95*30/'V06 Motor'!C95,29)-MAX(('V06 Motor'!A95-1)*30/'V06 Motor'!C95,28))*'V06 Curva'!$B$33,MAX(0,MIN('V06 Motor'!A95*30/'V06 Motor'!C95,30)-MAX(('V06 Motor'!A95-1)*30/'V06 Motor'!C95,29))*'V06 Curva'!$B$34),0)</f>
        <v>0.0</v>
      </c>
      <c r="O95" s="2">
        <f>SUMPRODUCT(--(('V06 Unidades'!$I$5:$I$98+'V06 Controlos'!$B$37)='V06 Motor'!A95),ROUND('V06 Unidades'!$H$5:$H$98*0.05,2)+ROUND('V06 Unidades'!$H$5:$H$98*0.2,2))+SUMPRODUCT(--(IF('V06 Controlos'!$B$38&gt;0,IF(('V06 Unidades'!$L$5:$L$98+'V06 Controlos'!$B$37)&lt;'V06 Motor'!C95,'V06 Motor'!C95,('V06 Unidades'!$L$5:$L$98+'V06 Controlos'!$B$37)),('V06 Unidades'!$L$5:$L$98+'V06 Controlos'!$B$37))='V06 Motor'!A95),'V06 Unidades'!$H$5:$H$98-ROUND('V06 Unidades'!$H$5:$H$98*0.05,2)-ROUND('V06 Unidades'!$H$5:$H$98*0.2,2)-ROUND('V06 Unidades'!$H$5:$H$98*0.55,2))+SUMPRODUCT(--(IF(INT((IF('V06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Controlos'!$B$37)-1)/6),0)&gt;0),--('V06 Motor'!A95&gt;('V06 Unidades'!$I$5:$I$98+'V06 Controlos'!$B$37)),--('V06 Motor'!A95&lt;IF('V06 Controlos'!$B$38&gt;0,IF(('V06 Unidades'!$L$5:$L$98+'V06 Controlos'!$B$37)&lt;'V06 Motor'!C95,'V06 Motor'!C95,('V06 Unidades'!$L$5:$L$98+'V06 Controlos'!$B$37)),('V06 Unidades'!$L$5:$L$98+'V06 Controlos'!$B$37))),--(MOD('V06 Motor'!A95-('V06 Unidades'!$I$5:$I$98+'V06 Controlos'!$B$37),6)=0),--(('V06 Motor'!A95-('V06 Unidades'!$I$5:$I$98+'V06 Controlos'!$B$37))/6&lt;=IF(INT((IF('V06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Controlos'!$B$37)-1)/6),0)),IF('V06 Motor'!A95=('V06 Unidades'!$I$5:$I$98+'V06 Controlos'!$B$37)+6*IF(INT((IF('V06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Controlos'!$B$37)-1)/6),0)&gt;0,IF(INT((IF('V06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Controlos'!$B$37)-1)/6),0),1),2)*(IF(INT((IF('V06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Controlos'!$B$37)-1)/6),0)&gt;0,IF(INT((IF('V06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Controlos'!$B$37)-1)/6)&gt;0,INT((IF('V06 Controlos'!$B$38&gt;0,IF(('V06 Unidades'!$L$5:$L$98+'V06 Controlos'!$B$37)&lt;'V06 Motor'!C95,'V06 Motor'!C95,('V06 Unidades'!$L$5:$L$98+'V06 Controlos'!$B$37)),('V06 Unidades'!$L$5:$L$98+'V06 Controlos'!$B$37))-('V06 Unidades'!$I$5:$I$98+'V06 Controlos'!$B$37)-1)/6),0),1),2)))</f>
        <v>0.0</v>
      </c>
      <c r="P95" s="2">
        <f>SUM('V06 Calend 01'!CY5:CY98)</f>
        <v>0.0</v>
      </c>
    </row>
    <row r="96" spans="1:16">
      <c r="A96">
        <v>92</v>
      </c>
      <c r="C96">
        <v>30</v>
      </c>
      <c r="G96" s="2">
        <f>IF('V06 Motor'!A96&lt;='V06 Motor'!C96,SUMPRODUCT('V06 Curva'!$B$5:$B$34,IF((IF('V06 Motor'!A96*30/'V06 Motor'!C96&lt;'V06 Curva'!$A$5:$A$34,'V06 Motor'!A96*30/'V06 Motor'!C96,'V06 Curva'!$A$5:$A$34)-IF(('V06 Motor'!A96-1)*30/'V06 Motor'!C96&gt;'V06 Curva'!$A$5:$A$34-1,('V06 Motor'!A96-1)*30/'V06 Motor'!C96,'V06 Curva'!$A$5:$A$34-1))&gt;0,(IF('V06 Motor'!A96*30/'V06 Motor'!C96&lt;'V06 Curva'!$A$5:$A$34,'V06 Motor'!A96*30/'V06 Motor'!C96,'V06 Curva'!$A$5:$A$34)-IF(('V06 Motor'!A96-1)*30/'V06 Motor'!C96&gt;'V06 Curva'!$A$5:$A$34-1,('V06 Motor'!A96-1)*30/'V06 Motor'!C96,'V06 Curva'!$A$5:$A$34-1)),0)),0)</f>
        <v>0.0</v>
      </c>
      <c r="H96" s="2">
        <f>IF('V06 Motor'!A96&lt;='V06 Motor'!C96,SUM(MAX(0,MIN('V06 Motor'!A96*30/'V06 Motor'!C96,1)-MAX(('V06 Motor'!A96-1)*30/'V06 Motor'!C96,0))*'V06 Curva'!$B$5,MAX(0,MIN('V06 Motor'!A96*30/'V06 Motor'!C96,2)-MAX(('V06 Motor'!A96-1)*30/'V06 Motor'!C96,1))*'V06 Curva'!$B$6,MAX(0,MIN('V06 Motor'!A96*30/'V06 Motor'!C96,3)-MAX(('V06 Motor'!A96-1)*30/'V06 Motor'!C96,2))*'V06 Curva'!$B$7,MAX(0,MIN('V06 Motor'!A96*30/'V06 Motor'!C96,4)-MAX(('V06 Motor'!A96-1)*30/'V06 Motor'!C96,3))*'V06 Curva'!$B$8,MAX(0,MIN('V06 Motor'!A96*30/'V06 Motor'!C96,5)-MAX(('V06 Motor'!A96-1)*30/'V06 Motor'!C96,4))*'V06 Curva'!$B$9,MAX(0,MIN('V06 Motor'!A96*30/'V06 Motor'!C96,6)-MAX(('V06 Motor'!A96-1)*30/'V06 Motor'!C96,5))*'V06 Curva'!$B$10,MAX(0,MIN('V06 Motor'!A96*30/'V06 Motor'!C96,7)-MAX(('V06 Motor'!A96-1)*30/'V06 Motor'!C96,6))*'V06 Curva'!$B$11,MAX(0,MIN('V06 Motor'!A96*30/'V06 Motor'!C96,8)-MAX(('V06 Motor'!A96-1)*30/'V06 Motor'!C96,7))*'V06 Curva'!$B$12,MAX(0,MIN('V06 Motor'!A96*30/'V06 Motor'!C96,9)-MAX(('V06 Motor'!A96-1)*30/'V06 Motor'!C96,8))*'V06 Curva'!$B$13,MAX(0,MIN('V06 Motor'!A96*30/'V06 Motor'!C96,10)-MAX(('V06 Motor'!A96-1)*30/'V06 Motor'!C96,9))*'V06 Curva'!$B$14,MAX(0,MIN('V06 Motor'!A96*30/'V06 Motor'!C96,11)-MAX(('V06 Motor'!A96-1)*30/'V06 Motor'!C96,10))*'V06 Curva'!$B$15,MAX(0,MIN('V06 Motor'!A96*30/'V06 Motor'!C96,12)-MAX(('V06 Motor'!A96-1)*30/'V06 Motor'!C96,11))*'V06 Curva'!$B$16,MAX(0,MIN('V06 Motor'!A96*30/'V06 Motor'!C96,13)-MAX(('V06 Motor'!A96-1)*30/'V06 Motor'!C96,12))*'V06 Curva'!$B$17,MAX(0,MIN('V06 Motor'!A96*30/'V06 Motor'!C96,14)-MAX(('V06 Motor'!A96-1)*30/'V06 Motor'!C96,13))*'V06 Curva'!$B$18,MAX(0,MIN('V06 Motor'!A96*30/'V06 Motor'!C96,15)-MAX(('V06 Motor'!A96-1)*30/'V06 Motor'!C96,14))*'V06 Curva'!$B$19,MAX(0,MIN('V06 Motor'!A96*30/'V06 Motor'!C96,16)-MAX(('V06 Motor'!A96-1)*30/'V06 Motor'!C96,15))*'V06 Curva'!$B$20,MAX(0,MIN('V06 Motor'!A96*30/'V06 Motor'!C96,17)-MAX(('V06 Motor'!A96-1)*30/'V06 Motor'!C96,16))*'V06 Curva'!$B$21,MAX(0,MIN('V06 Motor'!A96*30/'V06 Motor'!C96,18)-MAX(('V06 Motor'!A96-1)*30/'V06 Motor'!C96,17))*'V06 Curva'!$B$22,MAX(0,MIN('V06 Motor'!A96*30/'V06 Motor'!C96,19)-MAX(('V06 Motor'!A96-1)*30/'V06 Motor'!C96,18))*'V06 Curva'!$B$23,MAX(0,MIN('V06 Motor'!A96*30/'V06 Motor'!C96,20)-MAX(('V06 Motor'!A96-1)*30/'V06 Motor'!C96,19))*'V06 Curva'!$B$24,MAX(0,MIN('V06 Motor'!A96*30/'V06 Motor'!C96,21)-MAX(('V06 Motor'!A96-1)*30/'V06 Motor'!C96,20))*'V06 Curva'!$B$25,MAX(0,MIN('V06 Motor'!A96*30/'V06 Motor'!C96,22)-MAX(('V06 Motor'!A96-1)*30/'V06 Motor'!C96,21))*'V06 Curva'!$B$26,MAX(0,MIN('V06 Motor'!A96*30/'V06 Motor'!C96,23)-MAX(('V06 Motor'!A96-1)*30/'V06 Motor'!C96,22))*'V06 Curva'!$B$27,MAX(0,MIN('V06 Motor'!A96*30/'V06 Motor'!C96,24)-MAX(('V06 Motor'!A96-1)*30/'V06 Motor'!C96,23))*'V06 Curva'!$B$28,MAX(0,MIN('V06 Motor'!A96*30/'V06 Motor'!C96,25)-MAX(('V06 Motor'!A96-1)*30/'V06 Motor'!C96,24))*'V06 Curva'!$B$29,MAX(0,MIN('V06 Motor'!A96*30/'V06 Motor'!C96,26)-MAX(('V06 Motor'!A96-1)*30/'V06 Motor'!C96,25))*'V06 Curva'!$B$30,MAX(0,MIN('V06 Motor'!A96*30/'V06 Motor'!C96,27)-MAX(('V06 Motor'!A96-1)*30/'V06 Motor'!C96,26))*'V06 Curva'!$B$31,MAX(0,MIN('V06 Motor'!A96*30/'V06 Motor'!C96,28)-MAX(('V06 Motor'!A96-1)*30/'V06 Motor'!C96,27))*'V06 Curva'!$B$32,MAX(0,MIN('V06 Motor'!A96*30/'V06 Motor'!C96,29)-MAX(('V06 Motor'!A96-1)*30/'V06 Motor'!C96,28))*'V06 Curva'!$B$33,MAX(0,MIN('V06 Motor'!A96*30/'V06 Motor'!C96,30)-MAX(('V06 Motor'!A96-1)*30/'V06 Motor'!C96,29))*'V06 Curva'!$B$34),0)</f>
        <v>0.0</v>
      </c>
      <c r="O96" s="2">
        <f>SUMPRODUCT(--(('V06 Unidades'!$I$5:$I$98+'V06 Controlos'!$B$37)='V06 Motor'!A96),ROUND('V06 Unidades'!$H$5:$H$98*0.05,2)+ROUND('V06 Unidades'!$H$5:$H$98*0.2,2))+SUMPRODUCT(--(IF('V06 Controlos'!$B$38&gt;0,IF(('V06 Unidades'!$L$5:$L$98+'V06 Controlos'!$B$37)&lt;'V06 Motor'!C96,'V06 Motor'!C96,('V06 Unidades'!$L$5:$L$98+'V06 Controlos'!$B$37)),('V06 Unidades'!$L$5:$L$98+'V06 Controlos'!$B$37))='V06 Motor'!A96),'V06 Unidades'!$H$5:$H$98-ROUND('V06 Unidades'!$H$5:$H$98*0.05,2)-ROUND('V06 Unidades'!$H$5:$H$98*0.2,2)-ROUND('V06 Unidades'!$H$5:$H$98*0.55,2))+SUMPRODUCT(--(IF(INT((IF('V06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Controlos'!$B$37)-1)/6),0)&gt;0),--('V06 Motor'!A96&gt;('V06 Unidades'!$I$5:$I$98+'V06 Controlos'!$B$37)),--('V06 Motor'!A96&lt;IF('V06 Controlos'!$B$38&gt;0,IF(('V06 Unidades'!$L$5:$L$98+'V06 Controlos'!$B$37)&lt;'V06 Motor'!C96,'V06 Motor'!C96,('V06 Unidades'!$L$5:$L$98+'V06 Controlos'!$B$37)),('V06 Unidades'!$L$5:$L$98+'V06 Controlos'!$B$37))),--(MOD('V06 Motor'!A96-('V06 Unidades'!$I$5:$I$98+'V06 Controlos'!$B$37),6)=0),--(('V06 Motor'!A96-('V06 Unidades'!$I$5:$I$98+'V06 Controlos'!$B$37))/6&lt;=IF(INT((IF('V06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Controlos'!$B$37)-1)/6),0)),IF('V06 Motor'!A96=('V06 Unidades'!$I$5:$I$98+'V06 Controlos'!$B$37)+6*IF(INT((IF('V06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Controlos'!$B$37)-1)/6),0)&gt;0,IF(INT((IF('V06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Controlos'!$B$37)-1)/6),0),1),2)*(IF(INT((IF('V06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Controlos'!$B$37)-1)/6),0)&gt;0,IF(INT((IF('V06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Controlos'!$B$37)-1)/6)&gt;0,INT((IF('V06 Controlos'!$B$38&gt;0,IF(('V06 Unidades'!$L$5:$L$98+'V06 Controlos'!$B$37)&lt;'V06 Motor'!C96,'V06 Motor'!C96,('V06 Unidades'!$L$5:$L$98+'V06 Controlos'!$B$37)),('V06 Unidades'!$L$5:$L$98+'V06 Controlos'!$B$37))-('V06 Unidades'!$I$5:$I$98+'V06 Controlos'!$B$37)-1)/6),0),1),2)))</f>
        <v>0.0</v>
      </c>
      <c r="P96" s="2">
        <f>SUM('V06 Calend 01'!CZ5:CZ98)</f>
        <v>0.0</v>
      </c>
    </row>
    <row r="97" spans="1:16">
      <c r="A97">
        <v>93</v>
      </c>
      <c r="C97">
        <v>30</v>
      </c>
      <c r="G97" s="2">
        <f>IF('V06 Motor'!A97&lt;='V06 Motor'!C97,SUMPRODUCT('V06 Curva'!$B$5:$B$34,IF((IF('V06 Motor'!A97*30/'V06 Motor'!C97&lt;'V06 Curva'!$A$5:$A$34,'V06 Motor'!A97*30/'V06 Motor'!C97,'V06 Curva'!$A$5:$A$34)-IF(('V06 Motor'!A97-1)*30/'V06 Motor'!C97&gt;'V06 Curva'!$A$5:$A$34-1,('V06 Motor'!A97-1)*30/'V06 Motor'!C97,'V06 Curva'!$A$5:$A$34-1))&gt;0,(IF('V06 Motor'!A97*30/'V06 Motor'!C97&lt;'V06 Curva'!$A$5:$A$34,'V06 Motor'!A97*30/'V06 Motor'!C97,'V06 Curva'!$A$5:$A$34)-IF(('V06 Motor'!A97-1)*30/'V06 Motor'!C97&gt;'V06 Curva'!$A$5:$A$34-1,('V06 Motor'!A97-1)*30/'V06 Motor'!C97,'V06 Curva'!$A$5:$A$34-1)),0)),0)</f>
        <v>0.0</v>
      </c>
      <c r="H97" s="2">
        <f>IF('V06 Motor'!A97&lt;='V06 Motor'!C97,SUM(MAX(0,MIN('V06 Motor'!A97*30/'V06 Motor'!C97,1)-MAX(('V06 Motor'!A97-1)*30/'V06 Motor'!C97,0))*'V06 Curva'!$B$5,MAX(0,MIN('V06 Motor'!A97*30/'V06 Motor'!C97,2)-MAX(('V06 Motor'!A97-1)*30/'V06 Motor'!C97,1))*'V06 Curva'!$B$6,MAX(0,MIN('V06 Motor'!A97*30/'V06 Motor'!C97,3)-MAX(('V06 Motor'!A97-1)*30/'V06 Motor'!C97,2))*'V06 Curva'!$B$7,MAX(0,MIN('V06 Motor'!A97*30/'V06 Motor'!C97,4)-MAX(('V06 Motor'!A97-1)*30/'V06 Motor'!C97,3))*'V06 Curva'!$B$8,MAX(0,MIN('V06 Motor'!A97*30/'V06 Motor'!C97,5)-MAX(('V06 Motor'!A97-1)*30/'V06 Motor'!C97,4))*'V06 Curva'!$B$9,MAX(0,MIN('V06 Motor'!A97*30/'V06 Motor'!C97,6)-MAX(('V06 Motor'!A97-1)*30/'V06 Motor'!C97,5))*'V06 Curva'!$B$10,MAX(0,MIN('V06 Motor'!A97*30/'V06 Motor'!C97,7)-MAX(('V06 Motor'!A97-1)*30/'V06 Motor'!C97,6))*'V06 Curva'!$B$11,MAX(0,MIN('V06 Motor'!A97*30/'V06 Motor'!C97,8)-MAX(('V06 Motor'!A97-1)*30/'V06 Motor'!C97,7))*'V06 Curva'!$B$12,MAX(0,MIN('V06 Motor'!A97*30/'V06 Motor'!C97,9)-MAX(('V06 Motor'!A97-1)*30/'V06 Motor'!C97,8))*'V06 Curva'!$B$13,MAX(0,MIN('V06 Motor'!A97*30/'V06 Motor'!C97,10)-MAX(('V06 Motor'!A97-1)*30/'V06 Motor'!C97,9))*'V06 Curva'!$B$14,MAX(0,MIN('V06 Motor'!A97*30/'V06 Motor'!C97,11)-MAX(('V06 Motor'!A97-1)*30/'V06 Motor'!C97,10))*'V06 Curva'!$B$15,MAX(0,MIN('V06 Motor'!A97*30/'V06 Motor'!C97,12)-MAX(('V06 Motor'!A97-1)*30/'V06 Motor'!C97,11))*'V06 Curva'!$B$16,MAX(0,MIN('V06 Motor'!A97*30/'V06 Motor'!C97,13)-MAX(('V06 Motor'!A97-1)*30/'V06 Motor'!C97,12))*'V06 Curva'!$B$17,MAX(0,MIN('V06 Motor'!A97*30/'V06 Motor'!C97,14)-MAX(('V06 Motor'!A97-1)*30/'V06 Motor'!C97,13))*'V06 Curva'!$B$18,MAX(0,MIN('V06 Motor'!A97*30/'V06 Motor'!C97,15)-MAX(('V06 Motor'!A97-1)*30/'V06 Motor'!C97,14))*'V06 Curva'!$B$19,MAX(0,MIN('V06 Motor'!A97*30/'V06 Motor'!C97,16)-MAX(('V06 Motor'!A97-1)*30/'V06 Motor'!C97,15))*'V06 Curva'!$B$20,MAX(0,MIN('V06 Motor'!A97*30/'V06 Motor'!C97,17)-MAX(('V06 Motor'!A97-1)*30/'V06 Motor'!C97,16))*'V06 Curva'!$B$21,MAX(0,MIN('V06 Motor'!A97*30/'V06 Motor'!C97,18)-MAX(('V06 Motor'!A97-1)*30/'V06 Motor'!C97,17))*'V06 Curva'!$B$22,MAX(0,MIN('V06 Motor'!A97*30/'V06 Motor'!C97,19)-MAX(('V06 Motor'!A97-1)*30/'V06 Motor'!C97,18))*'V06 Curva'!$B$23,MAX(0,MIN('V06 Motor'!A97*30/'V06 Motor'!C97,20)-MAX(('V06 Motor'!A97-1)*30/'V06 Motor'!C97,19))*'V06 Curva'!$B$24,MAX(0,MIN('V06 Motor'!A97*30/'V06 Motor'!C97,21)-MAX(('V06 Motor'!A97-1)*30/'V06 Motor'!C97,20))*'V06 Curva'!$B$25,MAX(0,MIN('V06 Motor'!A97*30/'V06 Motor'!C97,22)-MAX(('V06 Motor'!A97-1)*30/'V06 Motor'!C97,21))*'V06 Curva'!$B$26,MAX(0,MIN('V06 Motor'!A97*30/'V06 Motor'!C97,23)-MAX(('V06 Motor'!A97-1)*30/'V06 Motor'!C97,22))*'V06 Curva'!$B$27,MAX(0,MIN('V06 Motor'!A97*30/'V06 Motor'!C97,24)-MAX(('V06 Motor'!A97-1)*30/'V06 Motor'!C97,23))*'V06 Curva'!$B$28,MAX(0,MIN('V06 Motor'!A97*30/'V06 Motor'!C97,25)-MAX(('V06 Motor'!A97-1)*30/'V06 Motor'!C97,24))*'V06 Curva'!$B$29,MAX(0,MIN('V06 Motor'!A97*30/'V06 Motor'!C97,26)-MAX(('V06 Motor'!A97-1)*30/'V06 Motor'!C97,25))*'V06 Curva'!$B$30,MAX(0,MIN('V06 Motor'!A97*30/'V06 Motor'!C97,27)-MAX(('V06 Motor'!A97-1)*30/'V06 Motor'!C97,26))*'V06 Curva'!$B$31,MAX(0,MIN('V06 Motor'!A97*30/'V06 Motor'!C97,28)-MAX(('V06 Motor'!A97-1)*30/'V06 Motor'!C97,27))*'V06 Curva'!$B$32,MAX(0,MIN('V06 Motor'!A97*30/'V06 Motor'!C97,29)-MAX(('V06 Motor'!A97-1)*30/'V06 Motor'!C97,28))*'V06 Curva'!$B$33,MAX(0,MIN('V06 Motor'!A97*30/'V06 Motor'!C97,30)-MAX(('V06 Motor'!A97-1)*30/'V06 Motor'!C97,29))*'V06 Curva'!$B$34),0)</f>
        <v>0.0</v>
      </c>
      <c r="O97" s="2">
        <f>SUMPRODUCT(--(('V06 Unidades'!$I$5:$I$98+'V06 Controlos'!$B$37)='V06 Motor'!A97),ROUND('V06 Unidades'!$H$5:$H$98*0.05,2)+ROUND('V06 Unidades'!$H$5:$H$98*0.2,2))+SUMPRODUCT(--(IF('V06 Controlos'!$B$38&gt;0,IF(('V06 Unidades'!$L$5:$L$98+'V06 Controlos'!$B$37)&lt;'V06 Motor'!C97,'V06 Motor'!C97,('V06 Unidades'!$L$5:$L$98+'V06 Controlos'!$B$37)),('V06 Unidades'!$L$5:$L$98+'V06 Controlos'!$B$37))='V06 Motor'!A97),'V06 Unidades'!$H$5:$H$98-ROUND('V06 Unidades'!$H$5:$H$98*0.05,2)-ROUND('V06 Unidades'!$H$5:$H$98*0.2,2)-ROUND('V06 Unidades'!$H$5:$H$98*0.55,2))+SUMPRODUCT(--(IF(INT((IF('V06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Controlos'!$B$37)-1)/6),0)&gt;0),--('V06 Motor'!A97&gt;('V06 Unidades'!$I$5:$I$98+'V06 Controlos'!$B$37)),--('V06 Motor'!A97&lt;IF('V06 Controlos'!$B$38&gt;0,IF(('V06 Unidades'!$L$5:$L$98+'V06 Controlos'!$B$37)&lt;'V06 Motor'!C97,'V06 Motor'!C97,('V06 Unidades'!$L$5:$L$98+'V06 Controlos'!$B$37)),('V06 Unidades'!$L$5:$L$98+'V06 Controlos'!$B$37))),--(MOD('V06 Motor'!A97-('V06 Unidades'!$I$5:$I$98+'V06 Controlos'!$B$37),6)=0),--(('V06 Motor'!A97-('V06 Unidades'!$I$5:$I$98+'V06 Controlos'!$B$37))/6&lt;=IF(INT((IF('V06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Controlos'!$B$37)-1)/6),0)),IF('V06 Motor'!A97=('V06 Unidades'!$I$5:$I$98+'V06 Controlos'!$B$37)+6*IF(INT((IF('V06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Controlos'!$B$37)-1)/6),0)&gt;0,IF(INT((IF('V06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Controlos'!$B$37)-1)/6),0),1),2)*(IF(INT((IF('V06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Controlos'!$B$37)-1)/6),0)&gt;0,IF(INT((IF('V06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Controlos'!$B$37)-1)/6)&gt;0,INT((IF('V06 Controlos'!$B$38&gt;0,IF(('V06 Unidades'!$L$5:$L$98+'V06 Controlos'!$B$37)&lt;'V06 Motor'!C97,'V06 Motor'!C97,('V06 Unidades'!$L$5:$L$98+'V06 Controlos'!$B$37)),('V06 Unidades'!$L$5:$L$98+'V06 Controlos'!$B$37))-('V06 Unidades'!$I$5:$I$98+'V06 Controlos'!$B$37)-1)/6),0),1),2)))</f>
        <v>0.0</v>
      </c>
      <c r="P97" s="2">
        <f>SUM('V06 Calend 01'!DA5:DA98)</f>
        <v>0.0</v>
      </c>
    </row>
    <row r="98" spans="1:16">
      <c r="A98">
        <v>94</v>
      </c>
      <c r="C98">
        <v>30</v>
      </c>
      <c r="G98" s="2">
        <f>IF('V06 Motor'!A98&lt;='V06 Motor'!C98,SUMPRODUCT('V06 Curva'!$B$5:$B$34,IF((IF('V06 Motor'!A98*30/'V06 Motor'!C98&lt;'V06 Curva'!$A$5:$A$34,'V06 Motor'!A98*30/'V06 Motor'!C98,'V06 Curva'!$A$5:$A$34)-IF(('V06 Motor'!A98-1)*30/'V06 Motor'!C98&gt;'V06 Curva'!$A$5:$A$34-1,('V06 Motor'!A98-1)*30/'V06 Motor'!C98,'V06 Curva'!$A$5:$A$34-1))&gt;0,(IF('V06 Motor'!A98*30/'V06 Motor'!C98&lt;'V06 Curva'!$A$5:$A$34,'V06 Motor'!A98*30/'V06 Motor'!C98,'V06 Curva'!$A$5:$A$34)-IF(('V06 Motor'!A98-1)*30/'V06 Motor'!C98&gt;'V06 Curva'!$A$5:$A$34-1,('V06 Motor'!A98-1)*30/'V06 Motor'!C98,'V06 Curva'!$A$5:$A$34-1)),0)),0)</f>
        <v>0.0</v>
      </c>
      <c r="H98" s="2">
        <f>IF('V06 Motor'!A98&lt;='V06 Motor'!C98,SUM(MAX(0,MIN('V06 Motor'!A98*30/'V06 Motor'!C98,1)-MAX(('V06 Motor'!A98-1)*30/'V06 Motor'!C98,0))*'V06 Curva'!$B$5,MAX(0,MIN('V06 Motor'!A98*30/'V06 Motor'!C98,2)-MAX(('V06 Motor'!A98-1)*30/'V06 Motor'!C98,1))*'V06 Curva'!$B$6,MAX(0,MIN('V06 Motor'!A98*30/'V06 Motor'!C98,3)-MAX(('V06 Motor'!A98-1)*30/'V06 Motor'!C98,2))*'V06 Curva'!$B$7,MAX(0,MIN('V06 Motor'!A98*30/'V06 Motor'!C98,4)-MAX(('V06 Motor'!A98-1)*30/'V06 Motor'!C98,3))*'V06 Curva'!$B$8,MAX(0,MIN('V06 Motor'!A98*30/'V06 Motor'!C98,5)-MAX(('V06 Motor'!A98-1)*30/'V06 Motor'!C98,4))*'V06 Curva'!$B$9,MAX(0,MIN('V06 Motor'!A98*30/'V06 Motor'!C98,6)-MAX(('V06 Motor'!A98-1)*30/'V06 Motor'!C98,5))*'V06 Curva'!$B$10,MAX(0,MIN('V06 Motor'!A98*30/'V06 Motor'!C98,7)-MAX(('V06 Motor'!A98-1)*30/'V06 Motor'!C98,6))*'V06 Curva'!$B$11,MAX(0,MIN('V06 Motor'!A98*30/'V06 Motor'!C98,8)-MAX(('V06 Motor'!A98-1)*30/'V06 Motor'!C98,7))*'V06 Curva'!$B$12,MAX(0,MIN('V06 Motor'!A98*30/'V06 Motor'!C98,9)-MAX(('V06 Motor'!A98-1)*30/'V06 Motor'!C98,8))*'V06 Curva'!$B$13,MAX(0,MIN('V06 Motor'!A98*30/'V06 Motor'!C98,10)-MAX(('V06 Motor'!A98-1)*30/'V06 Motor'!C98,9))*'V06 Curva'!$B$14,MAX(0,MIN('V06 Motor'!A98*30/'V06 Motor'!C98,11)-MAX(('V06 Motor'!A98-1)*30/'V06 Motor'!C98,10))*'V06 Curva'!$B$15,MAX(0,MIN('V06 Motor'!A98*30/'V06 Motor'!C98,12)-MAX(('V06 Motor'!A98-1)*30/'V06 Motor'!C98,11))*'V06 Curva'!$B$16,MAX(0,MIN('V06 Motor'!A98*30/'V06 Motor'!C98,13)-MAX(('V06 Motor'!A98-1)*30/'V06 Motor'!C98,12))*'V06 Curva'!$B$17,MAX(0,MIN('V06 Motor'!A98*30/'V06 Motor'!C98,14)-MAX(('V06 Motor'!A98-1)*30/'V06 Motor'!C98,13))*'V06 Curva'!$B$18,MAX(0,MIN('V06 Motor'!A98*30/'V06 Motor'!C98,15)-MAX(('V06 Motor'!A98-1)*30/'V06 Motor'!C98,14))*'V06 Curva'!$B$19,MAX(0,MIN('V06 Motor'!A98*30/'V06 Motor'!C98,16)-MAX(('V06 Motor'!A98-1)*30/'V06 Motor'!C98,15))*'V06 Curva'!$B$20,MAX(0,MIN('V06 Motor'!A98*30/'V06 Motor'!C98,17)-MAX(('V06 Motor'!A98-1)*30/'V06 Motor'!C98,16))*'V06 Curva'!$B$21,MAX(0,MIN('V06 Motor'!A98*30/'V06 Motor'!C98,18)-MAX(('V06 Motor'!A98-1)*30/'V06 Motor'!C98,17))*'V06 Curva'!$B$22,MAX(0,MIN('V06 Motor'!A98*30/'V06 Motor'!C98,19)-MAX(('V06 Motor'!A98-1)*30/'V06 Motor'!C98,18))*'V06 Curva'!$B$23,MAX(0,MIN('V06 Motor'!A98*30/'V06 Motor'!C98,20)-MAX(('V06 Motor'!A98-1)*30/'V06 Motor'!C98,19))*'V06 Curva'!$B$24,MAX(0,MIN('V06 Motor'!A98*30/'V06 Motor'!C98,21)-MAX(('V06 Motor'!A98-1)*30/'V06 Motor'!C98,20))*'V06 Curva'!$B$25,MAX(0,MIN('V06 Motor'!A98*30/'V06 Motor'!C98,22)-MAX(('V06 Motor'!A98-1)*30/'V06 Motor'!C98,21))*'V06 Curva'!$B$26,MAX(0,MIN('V06 Motor'!A98*30/'V06 Motor'!C98,23)-MAX(('V06 Motor'!A98-1)*30/'V06 Motor'!C98,22))*'V06 Curva'!$B$27,MAX(0,MIN('V06 Motor'!A98*30/'V06 Motor'!C98,24)-MAX(('V06 Motor'!A98-1)*30/'V06 Motor'!C98,23))*'V06 Curva'!$B$28,MAX(0,MIN('V06 Motor'!A98*30/'V06 Motor'!C98,25)-MAX(('V06 Motor'!A98-1)*30/'V06 Motor'!C98,24))*'V06 Curva'!$B$29,MAX(0,MIN('V06 Motor'!A98*30/'V06 Motor'!C98,26)-MAX(('V06 Motor'!A98-1)*30/'V06 Motor'!C98,25))*'V06 Curva'!$B$30,MAX(0,MIN('V06 Motor'!A98*30/'V06 Motor'!C98,27)-MAX(('V06 Motor'!A98-1)*30/'V06 Motor'!C98,26))*'V06 Curva'!$B$31,MAX(0,MIN('V06 Motor'!A98*30/'V06 Motor'!C98,28)-MAX(('V06 Motor'!A98-1)*30/'V06 Motor'!C98,27))*'V06 Curva'!$B$32,MAX(0,MIN('V06 Motor'!A98*30/'V06 Motor'!C98,29)-MAX(('V06 Motor'!A98-1)*30/'V06 Motor'!C98,28))*'V06 Curva'!$B$33,MAX(0,MIN('V06 Motor'!A98*30/'V06 Motor'!C98,30)-MAX(('V06 Motor'!A98-1)*30/'V06 Motor'!C98,29))*'V06 Curva'!$B$34),0)</f>
        <v>0.0</v>
      </c>
      <c r="O98" s="2">
        <f>SUMPRODUCT(--(('V06 Unidades'!$I$5:$I$98+'V06 Controlos'!$B$37)='V06 Motor'!A98),ROUND('V06 Unidades'!$H$5:$H$98*0.05,2)+ROUND('V06 Unidades'!$H$5:$H$98*0.2,2))+SUMPRODUCT(--(IF('V06 Controlos'!$B$38&gt;0,IF(('V06 Unidades'!$L$5:$L$98+'V06 Controlos'!$B$37)&lt;'V06 Motor'!C98,'V06 Motor'!C98,('V06 Unidades'!$L$5:$L$98+'V06 Controlos'!$B$37)),('V06 Unidades'!$L$5:$L$98+'V06 Controlos'!$B$37))='V06 Motor'!A98),'V06 Unidades'!$H$5:$H$98-ROUND('V06 Unidades'!$H$5:$H$98*0.05,2)-ROUND('V06 Unidades'!$H$5:$H$98*0.2,2)-ROUND('V06 Unidades'!$H$5:$H$98*0.55,2))+SUMPRODUCT(--(IF(INT((IF('V06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Controlos'!$B$37)-1)/6),0)&gt;0),--('V06 Motor'!A98&gt;('V06 Unidades'!$I$5:$I$98+'V06 Controlos'!$B$37)),--('V06 Motor'!A98&lt;IF('V06 Controlos'!$B$38&gt;0,IF(('V06 Unidades'!$L$5:$L$98+'V06 Controlos'!$B$37)&lt;'V06 Motor'!C98,'V06 Motor'!C98,('V06 Unidades'!$L$5:$L$98+'V06 Controlos'!$B$37)),('V06 Unidades'!$L$5:$L$98+'V06 Controlos'!$B$37))),--(MOD('V06 Motor'!A98-('V06 Unidades'!$I$5:$I$98+'V06 Controlos'!$B$37),6)=0),--(('V06 Motor'!A98-('V06 Unidades'!$I$5:$I$98+'V06 Controlos'!$B$37))/6&lt;=IF(INT((IF('V06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Controlos'!$B$37)-1)/6),0)),IF('V06 Motor'!A98=('V06 Unidades'!$I$5:$I$98+'V06 Controlos'!$B$37)+6*IF(INT((IF('V06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Controlos'!$B$37)-1)/6),0)&gt;0,IF(INT((IF('V06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Controlos'!$B$37)-1)/6),0),1),2)*(IF(INT((IF('V06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Controlos'!$B$37)-1)/6),0)&gt;0,IF(INT((IF('V06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Controlos'!$B$37)-1)/6)&gt;0,INT((IF('V06 Controlos'!$B$38&gt;0,IF(('V06 Unidades'!$L$5:$L$98+'V06 Controlos'!$B$37)&lt;'V06 Motor'!C98,'V06 Motor'!C98,('V06 Unidades'!$L$5:$L$98+'V06 Controlos'!$B$37)),('V06 Unidades'!$L$5:$L$98+'V06 Controlos'!$B$37))-('V06 Unidades'!$I$5:$I$98+'V06 Controlos'!$B$37)-1)/6),0),1),2)))</f>
        <v>0.0</v>
      </c>
      <c r="P98" s="2">
        <f>SUM('V06 Calend 01'!DB5:DB98)</f>
        <v>0.0</v>
      </c>
    </row>
    <row r="99" spans="1:16">
      <c r="A99">
        <v>95</v>
      </c>
      <c r="C99">
        <v>30</v>
      </c>
      <c r="G99" s="2">
        <f>IF('V06 Motor'!A99&lt;='V06 Motor'!C99,SUMPRODUCT('V06 Curva'!$B$5:$B$34,IF((IF('V06 Motor'!A99*30/'V06 Motor'!C99&lt;'V06 Curva'!$A$5:$A$34,'V06 Motor'!A99*30/'V06 Motor'!C99,'V06 Curva'!$A$5:$A$34)-IF(('V06 Motor'!A99-1)*30/'V06 Motor'!C99&gt;'V06 Curva'!$A$5:$A$34-1,('V06 Motor'!A99-1)*30/'V06 Motor'!C99,'V06 Curva'!$A$5:$A$34-1))&gt;0,(IF('V06 Motor'!A99*30/'V06 Motor'!C99&lt;'V06 Curva'!$A$5:$A$34,'V06 Motor'!A99*30/'V06 Motor'!C99,'V06 Curva'!$A$5:$A$34)-IF(('V06 Motor'!A99-1)*30/'V06 Motor'!C99&gt;'V06 Curva'!$A$5:$A$34-1,('V06 Motor'!A99-1)*30/'V06 Motor'!C99,'V06 Curva'!$A$5:$A$34-1)),0)),0)</f>
        <v>0.0</v>
      </c>
      <c r="H99" s="2">
        <f>IF('V06 Motor'!A99&lt;='V06 Motor'!C99,SUM(MAX(0,MIN('V06 Motor'!A99*30/'V06 Motor'!C99,1)-MAX(('V06 Motor'!A99-1)*30/'V06 Motor'!C99,0))*'V06 Curva'!$B$5,MAX(0,MIN('V06 Motor'!A99*30/'V06 Motor'!C99,2)-MAX(('V06 Motor'!A99-1)*30/'V06 Motor'!C99,1))*'V06 Curva'!$B$6,MAX(0,MIN('V06 Motor'!A99*30/'V06 Motor'!C99,3)-MAX(('V06 Motor'!A99-1)*30/'V06 Motor'!C99,2))*'V06 Curva'!$B$7,MAX(0,MIN('V06 Motor'!A99*30/'V06 Motor'!C99,4)-MAX(('V06 Motor'!A99-1)*30/'V06 Motor'!C99,3))*'V06 Curva'!$B$8,MAX(0,MIN('V06 Motor'!A99*30/'V06 Motor'!C99,5)-MAX(('V06 Motor'!A99-1)*30/'V06 Motor'!C99,4))*'V06 Curva'!$B$9,MAX(0,MIN('V06 Motor'!A99*30/'V06 Motor'!C99,6)-MAX(('V06 Motor'!A99-1)*30/'V06 Motor'!C99,5))*'V06 Curva'!$B$10,MAX(0,MIN('V06 Motor'!A99*30/'V06 Motor'!C99,7)-MAX(('V06 Motor'!A99-1)*30/'V06 Motor'!C99,6))*'V06 Curva'!$B$11,MAX(0,MIN('V06 Motor'!A99*30/'V06 Motor'!C99,8)-MAX(('V06 Motor'!A99-1)*30/'V06 Motor'!C99,7))*'V06 Curva'!$B$12,MAX(0,MIN('V06 Motor'!A99*30/'V06 Motor'!C99,9)-MAX(('V06 Motor'!A99-1)*30/'V06 Motor'!C99,8))*'V06 Curva'!$B$13,MAX(0,MIN('V06 Motor'!A99*30/'V06 Motor'!C99,10)-MAX(('V06 Motor'!A99-1)*30/'V06 Motor'!C99,9))*'V06 Curva'!$B$14,MAX(0,MIN('V06 Motor'!A99*30/'V06 Motor'!C99,11)-MAX(('V06 Motor'!A99-1)*30/'V06 Motor'!C99,10))*'V06 Curva'!$B$15,MAX(0,MIN('V06 Motor'!A99*30/'V06 Motor'!C99,12)-MAX(('V06 Motor'!A99-1)*30/'V06 Motor'!C99,11))*'V06 Curva'!$B$16,MAX(0,MIN('V06 Motor'!A99*30/'V06 Motor'!C99,13)-MAX(('V06 Motor'!A99-1)*30/'V06 Motor'!C99,12))*'V06 Curva'!$B$17,MAX(0,MIN('V06 Motor'!A99*30/'V06 Motor'!C99,14)-MAX(('V06 Motor'!A99-1)*30/'V06 Motor'!C99,13))*'V06 Curva'!$B$18,MAX(0,MIN('V06 Motor'!A99*30/'V06 Motor'!C99,15)-MAX(('V06 Motor'!A99-1)*30/'V06 Motor'!C99,14))*'V06 Curva'!$B$19,MAX(0,MIN('V06 Motor'!A99*30/'V06 Motor'!C99,16)-MAX(('V06 Motor'!A99-1)*30/'V06 Motor'!C99,15))*'V06 Curva'!$B$20,MAX(0,MIN('V06 Motor'!A99*30/'V06 Motor'!C99,17)-MAX(('V06 Motor'!A99-1)*30/'V06 Motor'!C99,16))*'V06 Curva'!$B$21,MAX(0,MIN('V06 Motor'!A99*30/'V06 Motor'!C99,18)-MAX(('V06 Motor'!A99-1)*30/'V06 Motor'!C99,17))*'V06 Curva'!$B$22,MAX(0,MIN('V06 Motor'!A99*30/'V06 Motor'!C99,19)-MAX(('V06 Motor'!A99-1)*30/'V06 Motor'!C99,18))*'V06 Curva'!$B$23,MAX(0,MIN('V06 Motor'!A99*30/'V06 Motor'!C99,20)-MAX(('V06 Motor'!A99-1)*30/'V06 Motor'!C99,19))*'V06 Curva'!$B$24,MAX(0,MIN('V06 Motor'!A99*30/'V06 Motor'!C99,21)-MAX(('V06 Motor'!A99-1)*30/'V06 Motor'!C99,20))*'V06 Curva'!$B$25,MAX(0,MIN('V06 Motor'!A99*30/'V06 Motor'!C99,22)-MAX(('V06 Motor'!A99-1)*30/'V06 Motor'!C99,21))*'V06 Curva'!$B$26,MAX(0,MIN('V06 Motor'!A99*30/'V06 Motor'!C99,23)-MAX(('V06 Motor'!A99-1)*30/'V06 Motor'!C99,22))*'V06 Curva'!$B$27,MAX(0,MIN('V06 Motor'!A99*30/'V06 Motor'!C99,24)-MAX(('V06 Motor'!A99-1)*30/'V06 Motor'!C99,23))*'V06 Curva'!$B$28,MAX(0,MIN('V06 Motor'!A99*30/'V06 Motor'!C99,25)-MAX(('V06 Motor'!A99-1)*30/'V06 Motor'!C99,24))*'V06 Curva'!$B$29,MAX(0,MIN('V06 Motor'!A99*30/'V06 Motor'!C99,26)-MAX(('V06 Motor'!A99-1)*30/'V06 Motor'!C99,25))*'V06 Curva'!$B$30,MAX(0,MIN('V06 Motor'!A99*30/'V06 Motor'!C99,27)-MAX(('V06 Motor'!A99-1)*30/'V06 Motor'!C99,26))*'V06 Curva'!$B$31,MAX(0,MIN('V06 Motor'!A99*30/'V06 Motor'!C99,28)-MAX(('V06 Motor'!A99-1)*30/'V06 Motor'!C99,27))*'V06 Curva'!$B$32,MAX(0,MIN('V06 Motor'!A99*30/'V06 Motor'!C99,29)-MAX(('V06 Motor'!A99-1)*30/'V06 Motor'!C99,28))*'V06 Curva'!$B$33,MAX(0,MIN('V06 Motor'!A99*30/'V06 Motor'!C99,30)-MAX(('V06 Motor'!A99-1)*30/'V06 Motor'!C99,29))*'V06 Curva'!$B$34),0)</f>
        <v>0.0</v>
      </c>
      <c r="O99" s="2">
        <f>SUMPRODUCT(--(('V06 Unidades'!$I$5:$I$98+'V06 Controlos'!$B$37)='V06 Motor'!A99),ROUND('V06 Unidades'!$H$5:$H$98*0.05,2)+ROUND('V06 Unidades'!$H$5:$H$98*0.2,2))+SUMPRODUCT(--(IF('V06 Controlos'!$B$38&gt;0,IF(('V06 Unidades'!$L$5:$L$98+'V06 Controlos'!$B$37)&lt;'V06 Motor'!C99,'V06 Motor'!C99,('V06 Unidades'!$L$5:$L$98+'V06 Controlos'!$B$37)),('V06 Unidades'!$L$5:$L$98+'V06 Controlos'!$B$37))='V06 Motor'!A99),'V06 Unidades'!$H$5:$H$98-ROUND('V06 Unidades'!$H$5:$H$98*0.05,2)-ROUND('V06 Unidades'!$H$5:$H$98*0.2,2)-ROUND('V06 Unidades'!$H$5:$H$98*0.55,2))+SUMPRODUCT(--(IF(INT((IF('V06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Controlos'!$B$37)-1)/6),0)&gt;0),--('V06 Motor'!A99&gt;('V06 Unidades'!$I$5:$I$98+'V06 Controlos'!$B$37)),--('V06 Motor'!A99&lt;IF('V06 Controlos'!$B$38&gt;0,IF(('V06 Unidades'!$L$5:$L$98+'V06 Controlos'!$B$37)&lt;'V06 Motor'!C99,'V06 Motor'!C99,('V06 Unidades'!$L$5:$L$98+'V06 Controlos'!$B$37)),('V06 Unidades'!$L$5:$L$98+'V06 Controlos'!$B$37))),--(MOD('V06 Motor'!A99-('V06 Unidades'!$I$5:$I$98+'V06 Controlos'!$B$37),6)=0),--(('V06 Motor'!A99-('V06 Unidades'!$I$5:$I$98+'V06 Controlos'!$B$37))/6&lt;=IF(INT((IF('V06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Controlos'!$B$37)-1)/6),0)),IF('V06 Motor'!A99=('V06 Unidades'!$I$5:$I$98+'V06 Controlos'!$B$37)+6*IF(INT((IF('V06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Controlos'!$B$37)-1)/6),0)&gt;0,IF(INT((IF('V06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Controlos'!$B$37)-1)/6),0),1),2)*(IF(INT((IF('V06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Controlos'!$B$37)-1)/6),0)&gt;0,IF(INT((IF('V06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Controlos'!$B$37)-1)/6)&gt;0,INT((IF('V06 Controlos'!$B$38&gt;0,IF(('V06 Unidades'!$L$5:$L$98+'V06 Controlos'!$B$37)&lt;'V06 Motor'!C99,'V06 Motor'!C99,('V06 Unidades'!$L$5:$L$98+'V06 Controlos'!$B$37)),('V06 Unidades'!$L$5:$L$98+'V06 Controlos'!$B$37))-('V06 Unidades'!$I$5:$I$98+'V06 Controlos'!$B$37)-1)/6),0),1),2)))</f>
        <v>0.0</v>
      </c>
      <c r="P99" s="2">
        <f>SUM('V06 Calend 01'!DC5:DC98)</f>
        <v>0.0</v>
      </c>
    </row>
    <row r="100" spans="1:16">
      <c r="A100">
        <v>96</v>
      </c>
      <c r="C100">
        <v>30</v>
      </c>
      <c r="G100" s="2">
        <f>IF('V06 Motor'!A100&lt;='V06 Motor'!C100,SUMPRODUCT('V06 Curva'!$B$5:$B$34,IF((IF('V06 Motor'!A100*30/'V06 Motor'!C100&lt;'V06 Curva'!$A$5:$A$34,'V06 Motor'!A100*30/'V06 Motor'!C100,'V06 Curva'!$A$5:$A$34)-IF(('V06 Motor'!A100-1)*30/'V06 Motor'!C100&gt;'V06 Curva'!$A$5:$A$34-1,('V06 Motor'!A100-1)*30/'V06 Motor'!C100,'V06 Curva'!$A$5:$A$34-1))&gt;0,(IF('V06 Motor'!A100*30/'V06 Motor'!C100&lt;'V06 Curva'!$A$5:$A$34,'V06 Motor'!A100*30/'V06 Motor'!C100,'V06 Curva'!$A$5:$A$34)-IF(('V06 Motor'!A100-1)*30/'V06 Motor'!C100&gt;'V06 Curva'!$A$5:$A$34-1,('V06 Motor'!A100-1)*30/'V06 Motor'!C100,'V06 Curva'!$A$5:$A$34-1)),0)),0)</f>
        <v>0.0</v>
      </c>
      <c r="H100" s="2">
        <f>IF('V06 Motor'!A100&lt;='V06 Motor'!C100,SUM(MAX(0,MIN('V06 Motor'!A100*30/'V06 Motor'!C100,1)-MAX(('V06 Motor'!A100-1)*30/'V06 Motor'!C100,0))*'V06 Curva'!$B$5,MAX(0,MIN('V06 Motor'!A100*30/'V06 Motor'!C100,2)-MAX(('V06 Motor'!A100-1)*30/'V06 Motor'!C100,1))*'V06 Curva'!$B$6,MAX(0,MIN('V06 Motor'!A100*30/'V06 Motor'!C100,3)-MAX(('V06 Motor'!A100-1)*30/'V06 Motor'!C100,2))*'V06 Curva'!$B$7,MAX(0,MIN('V06 Motor'!A100*30/'V06 Motor'!C100,4)-MAX(('V06 Motor'!A100-1)*30/'V06 Motor'!C100,3))*'V06 Curva'!$B$8,MAX(0,MIN('V06 Motor'!A100*30/'V06 Motor'!C100,5)-MAX(('V06 Motor'!A100-1)*30/'V06 Motor'!C100,4))*'V06 Curva'!$B$9,MAX(0,MIN('V06 Motor'!A100*30/'V06 Motor'!C100,6)-MAX(('V06 Motor'!A100-1)*30/'V06 Motor'!C100,5))*'V06 Curva'!$B$10,MAX(0,MIN('V06 Motor'!A100*30/'V06 Motor'!C100,7)-MAX(('V06 Motor'!A100-1)*30/'V06 Motor'!C100,6))*'V06 Curva'!$B$11,MAX(0,MIN('V06 Motor'!A100*30/'V06 Motor'!C100,8)-MAX(('V06 Motor'!A100-1)*30/'V06 Motor'!C100,7))*'V06 Curva'!$B$12,MAX(0,MIN('V06 Motor'!A100*30/'V06 Motor'!C100,9)-MAX(('V06 Motor'!A100-1)*30/'V06 Motor'!C100,8))*'V06 Curva'!$B$13,MAX(0,MIN('V06 Motor'!A100*30/'V06 Motor'!C100,10)-MAX(('V06 Motor'!A100-1)*30/'V06 Motor'!C100,9))*'V06 Curva'!$B$14,MAX(0,MIN('V06 Motor'!A100*30/'V06 Motor'!C100,11)-MAX(('V06 Motor'!A100-1)*30/'V06 Motor'!C100,10))*'V06 Curva'!$B$15,MAX(0,MIN('V06 Motor'!A100*30/'V06 Motor'!C100,12)-MAX(('V06 Motor'!A100-1)*30/'V06 Motor'!C100,11))*'V06 Curva'!$B$16,MAX(0,MIN('V06 Motor'!A100*30/'V06 Motor'!C100,13)-MAX(('V06 Motor'!A100-1)*30/'V06 Motor'!C100,12))*'V06 Curva'!$B$17,MAX(0,MIN('V06 Motor'!A100*30/'V06 Motor'!C100,14)-MAX(('V06 Motor'!A100-1)*30/'V06 Motor'!C100,13))*'V06 Curva'!$B$18,MAX(0,MIN('V06 Motor'!A100*30/'V06 Motor'!C100,15)-MAX(('V06 Motor'!A100-1)*30/'V06 Motor'!C100,14))*'V06 Curva'!$B$19,MAX(0,MIN('V06 Motor'!A100*30/'V06 Motor'!C100,16)-MAX(('V06 Motor'!A100-1)*30/'V06 Motor'!C100,15))*'V06 Curva'!$B$20,MAX(0,MIN('V06 Motor'!A100*30/'V06 Motor'!C100,17)-MAX(('V06 Motor'!A100-1)*30/'V06 Motor'!C100,16))*'V06 Curva'!$B$21,MAX(0,MIN('V06 Motor'!A100*30/'V06 Motor'!C100,18)-MAX(('V06 Motor'!A100-1)*30/'V06 Motor'!C100,17))*'V06 Curva'!$B$22,MAX(0,MIN('V06 Motor'!A100*30/'V06 Motor'!C100,19)-MAX(('V06 Motor'!A100-1)*30/'V06 Motor'!C100,18))*'V06 Curva'!$B$23,MAX(0,MIN('V06 Motor'!A100*30/'V06 Motor'!C100,20)-MAX(('V06 Motor'!A100-1)*30/'V06 Motor'!C100,19))*'V06 Curva'!$B$24,MAX(0,MIN('V06 Motor'!A100*30/'V06 Motor'!C100,21)-MAX(('V06 Motor'!A100-1)*30/'V06 Motor'!C100,20))*'V06 Curva'!$B$25,MAX(0,MIN('V06 Motor'!A100*30/'V06 Motor'!C100,22)-MAX(('V06 Motor'!A100-1)*30/'V06 Motor'!C100,21))*'V06 Curva'!$B$26,MAX(0,MIN('V06 Motor'!A100*30/'V06 Motor'!C100,23)-MAX(('V06 Motor'!A100-1)*30/'V06 Motor'!C100,22))*'V06 Curva'!$B$27,MAX(0,MIN('V06 Motor'!A100*30/'V06 Motor'!C100,24)-MAX(('V06 Motor'!A100-1)*30/'V06 Motor'!C100,23))*'V06 Curva'!$B$28,MAX(0,MIN('V06 Motor'!A100*30/'V06 Motor'!C100,25)-MAX(('V06 Motor'!A100-1)*30/'V06 Motor'!C100,24))*'V06 Curva'!$B$29,MAX(0,MIN('V06 Motor'!A100*30/'V06 Motor'!C100,26)-MAX(('V06 Motor'!A100-1)*30/'V06 Motor'!C100,25))*'V06 Curva'!$B$30,MAX(0,MIN('V06 Motor'!A100*30/'V06 Motor'!C100,27)-MAX(('V06 Motor'!A100-1)*30/'V06 Motor'!C100,26))*'V06 Curva'!$B$31,MAX(0,MIN('V06 Motor'!A100*30/'V06 Motor'!C100,28)-MAX(('V06 Motor'!A100-1)*30/'V06 Motor'!C100,27))*'V06 Curva'!$B$32,MAX(0,MIN('V06 Motor'!A100*30/'V06 Motor'!C100,29)-MAX(('V06 Motor'!A100-1)*30/'V06 Motor'!C100,28))*'V06 Curva'!$B$33,MAX(0,MIN('V06 Motor'!A100*30/'V06 Motor'!C100,30)-MAX(('V06 Motor'!A100-1)*30/'V06 Motor'!C100,29))*'V06 Curva'!$B$34),0)</f>
        <v>0.0</v>
      </c>
      <c r="O100" s="2">
        <f>SUMPRODUCT(--(('V06 Unidades'!$I$5:$I$98+'V06 Controlos'!$B$37)='V06 Motor'!A100),ROUND('V06 Unidades'!$H$5:$H$98*0.05,2)+ROUND('V06 Unidades'!$H$5:$H$98*0.2,2))+SUMPRODUCT(--(IF('V06 Controlos'!$B$38&gt;0,IF(('V06 Unidades'!$L$5:$L$98+'V06 Controlos'!$B$37)&lt;'V06 Motor'!C100,'V06 Motor'!C100,('V06 Unidades'!$L$5:$L$98+'V06 Controlos'!$B$37)),('V06 Unidades'!$L$5:$L$98+'V06 Controlos'!$B$37))='V06 Motor'!A100),'V06 Unidades'!$H$5:$H$98-ROUND('V06 Unidades'!$H$5:$H$98*0.05,2)-ROUND('V06 Unidades'!$H$5:$H$98*0.2,2)-ROUND('V06 Unidades'!$H$5:$H$98*0.55,2))+SUMPRODUCT(--(IF(INT((IF('V06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Controlos'!$B$37)-1)/6),0)&gt;0),--('V06 Motor'!A100&gt;('V06 Unidades'!$I$5:$I$98+'V06 Controlos'!$B$37)),--('V06 Motor'!A100&lt;IF('V06 Controlos'!$B$38&gt;0,IF(('V06 Unidades'!$L$5:$L$98+'V06 Controlos'!$B$37)&lt;'V06 Motor'!C100,'V06 Motor'!C100,('V06 Unidades'!$L$5:$L$98+'V06 Controlos'!$B$37)),('V06 Unidades'!$L$5:$L$98+'V06 Controlos'!$B$37))),--(MOD('V06 Motor'!A100-('V06 Unidades'!$I$5:$I$98+'V06 Controlos'!$B$37),6)=0),--(('V06 Motor'!A100-('V06 Unidades'!$I$5:$I$98+'V06 Controlos'!$B$37))/6&lt;=IF(INT((IF('V06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Controlos'!$B$37)-1)/6),0)),IF('V06 Motor'!A100=('V06 Unidades'!$I$5:$I$98+'V06 Controlos'!$B$37)+6*IF(INT((IF('V06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Controlos'!$B$37)-1)/6),0)&gt;0,IF(INT((IF('V06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Controlos'!$B$37)-1)/6),0),1),2)*(IF(INT((IF('V06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Controlos'!$B$37)-1)/6),0)&gt;0,IF(INT((IF('V06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Controlos'!$B$37)-1)/6)&gt;0,INT((IF('V06 Controlos'!$B$38&gt;0,IF(('V06 Unidades'!$L$5:$L$98+'V06 Controlos'!$B$37)&lt;'V06 Motor'!C100,'V06 Motor'!C100,('V06 Unidades'!$L$5:$L$98+'V06 Controlos'!$B$37)),('V06 Unidades'!$L$5:$L$98+'V06 Controlos'!$B$37))-('V06 Unidades'!$I$5:$I$98+'V06 Controlos'!$B$37)-1)/6),0),1),2)))</f>
        <v>0.0</v>
      </c>
      <c r="P100" s="2">
        <f>SUM('V06 Calend 01'!DD5:DD98)</f>
        <v>0.0</v>
      </c>
    </row>
    <row r="101" spans="1:16">
      <c r="A101">
        <v>97</v>
      </c>
      <c r="C101">
        <v>30</v>
      </c>
      <c r="G101" s="2">
        <f>IF('V06 Motor'!A101&lt;='V06 Motor'!C101,SUMPRODUCT('V06 Curva'!$B$5:$B$34,IF((IF('V06 Motor'!A101*30/'V06 Motor'!C101&lt;'V06 Curva'!$A$5:$A$34,'V06 Motor'!A101*30/'V06 Motor'!C101,'V06 Curva'!$A$5:$A$34)-IF(('V06 Motor'!A101-1)*30/'V06 Motor'!C101&gt;'V06 Curva'!$A$5:$A$34-1,('V06 Motor'!A101-1)*30/'V06 Motor'!C101,'V06 Curva'!$A$5:$A$34-1))&gt;0,(IF('V06 Motor'!A101*30/'V06 Motor'!C101&lt;'V06 Curva'!$A$5:$A$34,'V06 Motor'!A101*30/'V06 Motor'!C101,'V06 Curva'!$A$5:$A$34)-IF(('V06 Motor'!A101-1)*30/'V06 Motor'!C101&gt;'V06 Curva'!$A$5:$A$34-1,('V06 Motor'!A101-1)*30/'V06 Motor'!C101,'V06 Curva'!$A$5:$A$34-1)),0)),0)</f>
        <v>0.0</v>
      </c>
      <c r="H101" s="2">
        <f>IF('V06 Motor'!A101&lt;='V06 Motor'!C101,SUM(MAX(0,MIN('V06 Motor'!A101*30/'V06 Motor'!C101,1)-MAX(('V06 Motor'!A101-1)*30/'V06 Motor'!C101,0))*'V06 Curva'!$B$5,MAX(0,MIN('V06 Motor'!A101*30/'V06 Motor'!C101,2)-MAX(('V06 Motor'!A101-1)*30/'V06 Motor'!C101,1))*'V06 Curva'!$B$6,MAX(0,MIN('V06 Motor'!A101*30/'V06 Motor'!C101,3)-MAX(('V06 Motor'!A101-1)*30/'V06 Motor'!C101,2))*'V06 Curva'!$B$7,MAX(0,MIN('V06 Motor'!A101*30/'V06 Motor'!C101,4)-MAX(('V06 Motor'!A101-1)*30/'V06 Motor'!C101,3))*'V06 Curva'!$B$8,MAX(0,MIN('V06 Motor'!A101*30/'V06 Motor'!C101,5)-MAX(('V06 Motor'!A101-1)*30/'V06 Motor'!C101,4))*'V06 Curva'!$B$9,MAX(0,MIN('V06 Motor'!A101*30/'V06 Motor'!C101,6)-MAX(('V06 Motor'!A101-1)*30/'V06 Motor'!C101,5))*'V06 Curva'!$B$10,MAX(0,MIN('V06 Motor'!A101*30/'V06 Motor'!C101,7)-MAX(('V06 Motor'!A101-1)*30/'V06 Motor'!C101,6))*'V06 Curva'!$B$11,MAX(0,MIN('V06 Motor'!A101*30/'V06 Motor'!C101,8)-MAX(('V06 Motor'!A101-1)*30/'V06 Motor'!C101,7))*'V06 Curva'!$B$12,MAX(0,MIN('V06 Motor'!A101*30/'V06 Motor'!C101,9)-MAX(('V06 Motor'!A101-1)*30/'V06 Motor'!C101,8))*'V06 Curva'!$B$13,MAX(0,MIN('V06 Motor'!A101*30/'V06 Motor'!C101,10)-MAX(('V06 Motor'!A101-1)*30/'V06 Motor'!C101,9))*'V06 Curva'!$B$14,MAX(0,MIN('V06 Motor'!A101*30/'V06 Motor'!C101,11)-MAX(('V06 Motor'!A101-1)*30/'V06 Motor'!C101,10))*'V06 Curva'!$B$15,MAX(0,MIN('V06 Motor'!A101*30/'V06 Motor'!C101,12)-MAX(('V06 Motor'!A101-1)*30/'V06 Motor'!C101,11))*'V06 Curva'!$B$16,MAX(0,MIN('V06 Motor'!A101*30/'V06 Motor'!C101,13)-MAX(('V06 Motor'!A101-1)*30/'V06 Motor'!C101,12))*'V06 Curva'!$B$17,MAX(0,MIN('V06 Motor'!A101*30/'V06 Motor'!C101,14)-MAX(('V06 Motor'!A101-1)*30/'V06 Motor'!C101,13))*'V06 Curva'!$B$18,MAX(0,MIN('V06 Motor'!A101*30/'V06 Motor'!C101,15)-MAX(('V06 Motor'!A101-1)*30/'V06 Motor'!C101,14))*'V06 Curva'!$B$19,MAX(0,MIN('V06 Motor'!A101*30/'V06 Motor'!C101,16)-MAX(('V06 Motor'!A101-1)*30/'V06 Motor'!C101,15))*'V06 Curva'!$B$20,MAX(0,MIN('V06 Motor'!A101*30/'V06 Motor'!C101,17)-MAX(('V06 Motor'!A101-1)*30/'V06 Motor'!C101,16))*'V06 Curva'!$B$21,MAX(0,MIN('V06 Motor'!A101*30/'V06 Motor'!C101,18)-MAX(('V06 Motor'!A101-1)*30/'V06 Motor'!C101,17))*'V06 Curva'!$B$22,MAX(0,MIN('V06 Motor'!A101*30/'V06 Motor'!C101,19)-MAX(('V06 Motor'!A101-1)*30/'V06 Motor'!C101,18))*'V06 Curva'!$B$23,MAX(0,MIN('V06 Motor'!A101*30/'V06 Motor'!C101,20)-MAX(('V06 Motor'!A101-1)*30/'V06 Motor'!C101,19))*'V06 Curva'!$B$24,MAX(0,MIN('V06 Motor'!A101*30/'V06 Motor'!C101,21)-MAX(('V06 Motor'!A101-1)*30/'V06 Motor'!C101,20))*'V06 Curva'!$B$25,MAX(0,MIN('V06 Motor'!A101*30/'V06 Motor'!C101,22)-MAX(('V06 Motor'!A101-1)*30/'V06 Motor'!C101,21))*'V06 Curva'!$B$26,MAX(0,MIN('V06 Motor'!A101*30/'V06 Motor'!C101,23)-MAX(('V06 Motor'!A101-1)*30/'V06 Motor'!C101,22))*'V06 Curva'!$B$27,MAX(0,MIN('V06 Motor'!A101*30/'V06 Motor'!C101,24)-MAX(('V06 Motor'!A101-1)*30/'V06 Motor'!C101,23))*'V06 Curva'!$B$28,MAX(0,MIN('V06 Motor'!A101*30/'V06 Motor'!C101,25)-MAX(('V06 Motor'!A101-1)*30/'V06 Motor'!C101,24))*'V06 Curva'!$B$29,MAX(0,MIN('V06 Motor'!A101*30/'V06 Motor'!C101,26)-MAX(('V06 Motor'!A101-1)*30/'V06 Motor'!C101,25))*'V06 Curva'!$B$30,MAX(0,MIN('V06 Motor'!A101*30/'V06 Motor'!C101,27)-MAX(('V06 Motor'!A101-1)*30/'V06 Motor'!C101,26))*'V06 Curva'!$B$31,MAX(0,MIN('V06 Motor'!A101*30/'V06 Motor'!C101,28)-MAX(('V06 Motor'!A101-1)*30/'V06 Motor'!C101,27))*'V06 Curva'!$B$32,MAX(0,MIN('V06 Motor'!A101*30/'V06 Motor'!C101,29)-MAX(('V06 Motor'!A101-1)*30/'V06 Motor'!C101,28))*'V06 Curva'!$B$33,MAX(0,MIN('V06 Motor'!A101*30/'V06 Motor'!C101,30)-MAX(('V06 Motor'!A101-1)*30/'V06 Motor'!C101,29))*'V06 Curva'!$B$34),0)</f>
        <v>0.0</v>
      </c>
      <c r="O101" s="2">
        <f>SUMPRODUCT(--(('V06 Unidades'!$I$5:$I$98+'V06 Controlos'!$B$37)='V06 Motor'!A101),ROUND('V06 Unidades'!$H$5:$H$98*0.05,2)+ROUND('V06 Unidades'!$H$5:$H$98*0.2,2))+SUMPRODUCT(--(IF('V06 Controlos'!$B$38&gt;0,IF(('V06 Unidades'!$L$5:$L$98+'V06 Controlos'!$B$37)&lt;'V06 Motor'!C101,'V06 Motor'!C101,('V06 Unidades'!$L$5:$L$98+'V06 Controlos'!$B$37)),('V06 Unidades'!$L$5:$L$98+'V06 Controlos'!$B$37))='V06 Motor'!A101),'V06 Unidades'!$H$5:$H$98-ROUND('V06 Unidades'!$H$5:$H$98*0.05,2)-ROUND('V06 Unidades'!$H$5:$H$98*0.2,2)-ROUND('V06 Unidades'!$H$5:$H$98*0.55,2))+SUMPRODUCT(--(IF(INT((IF('V06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Controlos'!$B$37)-1)/6),0)&gt;0),--('V06 Motor'!A101&gt;('V06 Unidades'!$I$5:$I$98+'V06 Controlos'!$B$37)),--('V06 Motor'!A101&lt;IF('V06 Controlos'!$B$38&gt;0,IF(('V06 Unidades'!$L$5:$L$98+'V06 Controlos'!$B$37)&lt;'V06 Motor'!C101,'V06 Motor'!C101,('V06 Unidades'!$L$5:$L$98+'V06 Controlos'!$B$37)),('V06 Unidades'!$L$5:$L$98+'V06 Controlos'!$B$37))),--(MOD('V06 Motor'!A101-('V06 Unidades'!$I$5:$I$98+'V06 Controlos'!$B$37),6)=0),--(('V06 Motor'!A101-('V06 Unidades'!$I$5:$I$98+'V06 Controlos'!$B$37))/6&lt;=IF(INT((IF('V06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Controlos'!$B$37)-1)/6),0)),IF('V06 Motor'!A101=('V06 Unidades'!$I$5:$I$98+'V06 Controlos'!$B$37)+6*IF(INT((IF('V06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Controlos'!$B$37)-1)/6),0)&gt;0,IF(INT((IF('V06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Controlos'!$B$37)-1)/6),0),1),2)*(IF(INT((IF('V06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Controlos'!$B$37)-1)/6),0)&gt;0,IF(INT((IF('V06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Controlos'!$B$37)-1)/6)&gt;0,INT((IF('V06 Controlos'!$B$38&gt;0,IF(('V06 Unidades'!$L$5:$L$98+'V06 Controlos'!$B$37)&lt;'V06 Motor'!C101,'V06 Motor'!C101,('V06 Unidades'!$L$5:$L$98+'V06 Controlos'!$B$37)),('V06 Unidades'!$L$5:$L$98+'V06 Controlos'!$B$37))-('V06 Unidades'!$I$5:$I$98+'V06 Controlos'!$B$37)-1)/6),0),1),2)))</f>
        <v>0.0</v>
      </c>
      <c r="P101" s="2">
        <f>SUM('V06 Calend 01'!DE5:DE98)</f>
        <v>0.0</v>
      </c>
    </row>
    <row r="102" spans="1:16">
      <c r="A102">
        <v>98</v>
      </c>
      <c r="C102">
        <v>30</v>
      </c>
      <c r="G102" s="2">
        <f>IF('V06 Motor'!A102&lt;='V06 Motor'!C102,SUMPRODUCT('V06 Curva'!$B$5:$B$34,IF((IF('V06 Motor'!A102*30/'V06 Motor'!C102&lt;'V06 Curva'!$A$5:$A$34,'V06 Motor'!A102*30/'V06 Motor'!C102,'V06 Curva'!$A$5:$A$34)-IF(('V06 Motor'!A102-1)*30/'V06 Motor'!C102&gt;'V06 Curva'!$A$5:$A$34-1,('V06 Motor'!A102-1)*30/'V06 Motor'!C102,'V06 Curva'!$A$5:$A$34-1))&gt;0,(IF('V06 Motor'!A102*30/'V06 Motor'!C102&lt;'V06 Curva'!$A$5:$A$34,'V06 Motor'!A102*30/'V06 Motor'!C102,'V06 Curva'!$A$5:$A$34)-IF(('V06 Motor'!A102-1)*30/'V06 Motor'!C102&gt;'V06 Curva'!$A$5:$A$34-1,('V06 Motor'!A102-1)*30/'V06 Motor'!C102,'V06 Curva'!$A$5:$A$34-1)),0)),0)</f>
        <v>0.0</v>
      </c>
      <c r="H102" s="2">
        <f>IF('V06 Motor'!A102&lt;='V06 Motor'!C102,SUM(MAX(0,MIN('V06 Motor'!A102*30/'V06 Motor'!C102,1)-MAX(('V06 Motor'!A102-1)*30/'V06 Motor'!C102,0))*'V06 Curva'!$B$5,MAX(0,MIN('V06 Motor'!A102*30/'V06 Motor'!C102,2)-MAX(('V06 Motor'!A102-1)*30/'V06 Motor'!C102,1))*'V06 Curva'!$B$6,MAX(0,MIN('V06 Motor'!A102*30/'V06 Motor'!C102,3)-MAX(('V06 Motor'!A102-1)*30/'V06 Motor'!C102,2))*'V06 Curva'!$B$7,MAX(0,MIN('V06 Motor'!A102*30/'V06 Motor'!C102,4)-MAX(('V06 Motor'!A102-1)*30/'V06 Motor'!C102,3))*'V06 Curva'!$B$8,MAX(0,MIN('V06 Motor'!A102*30/'V06 Motor'!C102,5)-MAX(('V06 Motor'!A102-1)*30/'V06 Motor'!C102,4))*'V06 Curva'!$B$9,MAX(0,MIN('V06 Motor'!A102*30/'V06 Motor'!C102,6)-MAX(('V06 Motor'!A102-1)*30/'V06 Motor'!C102,5))*'V06 Curva'!$B$10,MAX(0,MIN('V06 Motor'!A102*30/'V06 Motor'!C102,7)-MAX(('V06 Motor'!A102-1)*30/'V06 Motor'!C102,6))*'V06 Curva'!$B$11,MAX(0,MIN('V06 Motor'!A102*30/'V06 Motor'!C102,8)-MAX(('V06 Motor'!A102-1)*30/'V06 Motor'!C102,7))*'V06 Curva'!$B$12,MAX(0,MIN('V06 Motor'!A102*30/'V06 Motor'!C102,9)-MAX(('V06 Motor'!A102-1)*30/'V06 Motor'!C102,8))*'V06 Curva'!$B$13,MAX(0,MIN('V06 Motor'!A102*30/'V06 Motor'!C102,10)-MAX(('V06 Motor'!A102-1)*30/'V06 Motor'!C102,9))*'V06 Curva'!$B$14,MAX(0,MIN('V06 Motor'!A102*30/'V06 Motor'!C102,11)-MAX(('V06 Motor'!A102-1)*30/'V06 Motor'!C102,10))*'V06 Curva'!$B$15,MAX(0,MIN('V06 Motor'!A102*30/'V06 Motor'!C102,12)-MAX(('V06 Motor'!A102-1)*30/'V06 Motor'!C102,11))*'V06 Curva'!$B$16,MAX(0,MIN('V06 Motor'!A102*30/'V06 Motor'!C102,13)-MAX(('V06 Motor'!A102-1)*30/'V06 Motor'!C102,12))*'V06 Curva'!$B$17,MAX(0,MIN('V06 Motor'!A102*30/'V06 Motor'!C102,14)-MAX(('V06 Motor'!A102-1)*30/'V06 Motor'!C102,13))*'V06 Curva'!$B$18,MAX(0,MIN('V06 Motor'!A102*30/'V06 Motor'!C102,15)-MAX(('V06 Motor'!A102-1)*30/'V06 Motor'!C102,14))*'V06 Curva'!$B$19,MAX(0,MIN('V06 Motor'!A102*30/'V06 Motor'!C102,16)-MAX(('V06 Motor'!A102-1)*30/'V06 Motor'!C102,15))*'V06 Curva'!$B$20,MAX(0,MIN('V06 Motor'!A102*30/'V06 Motor'!C102,17)-MAX(('V06 Motor'!A102-1)*30/'V06 Motor'!C102,16))*'V06 Curva'!$B$21,MAX(0,MIN('V06 Motor'!A102*30/'V06 Motor'!C102,18)-MAX(('V06 Motor'!A102-1)*30/'V06 Motor'!C102,17))*'V06 Curva'!$B$22,MAX(0,MIN('V06 Motor'!A102*30/'V06 Motor'!C102,19)-MAX(('V06 Motor'!A102-1)*30/'V06 Motor'!C102,18))*'V06 Curva'!$B$23,MAX(0,MIN('V06 Motor'!A102*30/'V06 Motor'!C102,20)-MAX(('V06 Motor'!A102-1)*30/'V06 Motor'!C102,19))*'V06 Curva'!$B$24,MAX(0,MIN('V06 Motor'!A102*30/'V06 Motor'!C102,21)-MAX(('V06 Motor'!A102-1)*30/'V06 Motor'!C102,20))*'V06 Curva'!$B$25,MAX(0,MIN('V06 Motor'!A102*30/'V06 Motor'!C102,22)-MAX(('V06 Motor'!A102-1)*30/'V06 Motor'!C102,21))*'V06 Curva'!$B$26,MAX(0,MIN('V06 Motor'!A102*30/'V06 Motor'!C102,23)-MAX(('V06 Motor'!A102-1)*30/'V06 Motor'!C102,22))*'V06 Curva'!$B$27,MAX(0,MIN('V06 Motor'!A102*30/'V06 Motor'!C102,24)-MAX(('V06 Motor'!A102-1)*30/'V06 Motor'!C102,23))*'V06 Curva'!$B$28,MAX(0,MIN('V06 Motor'!A102*30/'V06 Motor'!C102,25)-MAX(('V06 Motor'!A102-1)*30/'V06 Motor'!C102,24))*'V06 Curva'!$B$29,MAX(0,MIN('V06 Motor'!A102*30/'V06 Motor'!C102,26)-MAX(('V06 Motor'!A102-1)*30/'V06 Motor'!C102,25))*'V06 Curva'!$B$30,MAX(0,MIN('V06 Motor'!A102*30/'V06 Motor'!C102,27)-MAX(('V06 Motor'!A102-1)*30/'V06 Motor'!C102,26))*'V06 Curva'!$B$31,MAX(0,MIN('V06 Motor'!A102*30/'V06 Motor'!C102,28)-MAX(('V06 Motor'!A102-1)*30/'V06 Motor'!C102,27))*'V06 Curva'!$B$32,MAX(0,MIN('V06 Motor'!A102*30/'V06 Motor'!C102,29)-MAX(('V06 Motor'!A102-1)*30/'V06 Motor'!C102,28))*'V06 Curva'!$B$33,MAX(0,MIN('V06 Motor'!A102*30/'V06 Motor'!C102,30)-MAX(('V06 Motor'!A102-1)*30/'V06 Motor'!C102,29))*'V06 Curva'!$B$34),0)</f>
        <v>0.0</v>
      </c>
      <c r="O102" s="2">
        <f>SUMPRODUCT(--(('V06 Unidades'!$I$5:$I$98+'V06 Controlos'!$B$37)='V06 Motor'!A102),ROUND('V06 Unidades'!$H$5:$H$98*0.05,2)+ROUND('V06 Unidades'!$H$5:$H$98*0.2,2))+SUMPRODUCT(--(IF('V06 Controlos'!$B$38&gt;0,IF(('V06 Unidades'!$L$5:$L$98+'V06 Controlos'!$B$37)&lt;'V06 Motor'!C102,'V06 Motor'!C102,('V06 Unidades'!$L$5:$L$98+'V06 Controlos'!$B$37)),('V06 Unidades'!$L$5:$L$98+'V06 Controlos'!$B$37))='V06 Motor'!A102),'V06 Unidades'!$H$5:$H$98-ROUND('V06 Unidades'!$H$5:$H$98*0.05,2)-ROUND('V06 Unidades'!$H$5:$H$98*0.2,2)-ROUND('V06 Unidades'!$H$5:$H$98*0.55,2))+SUMPRODUCT(--(IF(INT((IF('V06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Controlos'!$B$37)-1)/6),0)&gt;0),--('V06 Motor'!A102&gt;('V06 Unidades'!$I$5:$I$98+'V06 Controlos'!$B$37)),--('V06 Motor'!A102&lt;IF('V06 Controlos'!$B$38&gt;0,IF(('V06 Unidades'!$L$5:$L$98+'V06 Controlos'!$B$37)&lt;'V06 Motor'!C102,'V06 Motor'!C102,('V06 Unidades'!$L$5:$L$98+'V06 Controlos'!$B$37)),('V06 Unidades'!$L$5:$L$98+'V06 Controlos'!$B$37))),--(MOD('V06 Motor'!A102-('V06 Unidades'!$I$5:$I$98+'V06 Controlos'!$B$37),6)=0),--(('V06 Motor'!A102-('V06 Unidades'!$I$5:$I$98+'V06 Controlos'!$B$37))/6&lt;=IF(INT((IF('V06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Controlos'!$B$37)-1)/6),0)),IF('V06 Motor'!A102=('V06 Unidades'!$I$5:$I$98+'V06 Controlos'!$B$37)+6*IF(INT((IF('V06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Controlos'!$B$37)-1)/6),0)&gt;0,IF(INT((IF('V06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Controlos'!$B$37)-1)/6),0),1),2)*(IF(INT((IF('V06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Controlos'!$B$37)-1)/6),0)&gt;0,IF(INT((IF('V06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Controlos'!$B$37)-1)/6)&gt;0,INT((IF('V06 Controlos'!$B$38&gt;0,IF(('V06 Unidades'!$L$5:$L$98+'V06 Controlos'!$B$37)&lt;'V06 Motor'!C102,'V06 Motor'!C102,('V06 Unidades'!$L$5:$L$98+'V06 Controlos'!$B$37)),('V06 Unidades'!$L$5:$L$98+'V06 Controlos'!$B$37))-('V06 Unidades'!$I$5:$I$98+'V06 Controlos'!$B$37)-1)/6),0),1),2)))</f>
        <v>0.0</v>
      </c>
      <c r="P102" s="2">
        <f>SUM('V06 Calend 01'!DF5:DF98)</f>
        <v>0.0</v>
      </c>
    </row>
    <row r="103" spans="1:16">
      <c r="A103">
        <v>99</v>
      </c>
      <c r="C103">
        <v>30</v>
      </c>
      <c r="G103" s="2">
        <f>IF('V06 Motor'!A103&lt;='V06 Motor'!C103,SUMPRODUCT('V06 Curva'!$B$5:$B$34,IF((IF('V06 Motor'!A103*30/'V06 Motor'!C103&lt;'V06 Curva'!$A$5:$A$34,'V06 Motor'!A103*30/'V06 Motor'!C103,'V06 Curva'!$A$5:$A$34)-IF(('V06 Motor'!A103-1)*30/'V06 Motor'!C103&gt;'V06 Curva'!$A$5:$A$34-1,('V06 Motor'!A103-1)*30/'V06 Motor'!C103,'V06 Curva'!$A$5:$A$34-1))&gt;0,(IF('V06 Motor'!A103*30/'V06 Motor'!C103&lt;'V06 Curva'!$A$5:$A$34,'V06 Motor'!A103*30/'V06 Motor'!C103,'V06 Curva'!$A$5:$A$34)-IF(('V06 Motor'!A103-1)*30/'V06 Motor'!C103&gt;'V06 Curva'!$A$5:$A$34-1,('V06 Motor'!A103-1)*30/'V06 Motor'!C103,'V06 Curva'!$A$5:$A$34-1)),0)),0)</f>
        <v>0.0</v>
      </c>
      <c r="H103" s="2">
        <f>IF('V06 Motor'!A103&lt;='V06 Motor'!C103,SUM(MAX(0,MIN('V06 Motor'!A103*30/'V06 Motor'!C103,1)-MAX(('V06 Motor'!A103-1)*30/'V06 Motor'!C103,0))*'V06 Curva'!$B$5,MAX(0,MIN('V06 Motor'!A103*30/'V06 Motor'!C103,2)-MAX(('V06 Motor'!A103-1)*30/'V06 Motor'!C103,1))*'V06 Curva'!$B$6,MAX(0,MIN('V06 Motor'!A103*30/'V06 Motor'!C103,3)-MAX(('V06 Motor'!A103-1)*30/'V06 Motor'!C103,2))*'V06 Curva'!$B$7,MAX(0,MIN('V06 Motor'!A103*30/'V06 Motor'!C103,4)-MAX(('V06 Motor'!A103-1)*30/'V06 Motor'!C103,3))*'V06 Curva'!$B$8,MAX(0,MIN('V06 Motor'!A103*30/'V06 Motor'!C103,5)-MAX(('V06 Motor'!A103-1)*30/'V06 Motor'!C103,4))*'V06 Curva'!$B$9,MAX(0,MIN('V06 Motor'!A103*30/'V06 Motor'!C103,6)-MAX(('V06 Motor'!A103-1)*30/'V06 Motor'!C103,5))*'V06 Curva'!$B$10,MAX(0,MIN('V06 Motor'!A103*30/'V06 Motor'!C103,7)-MAX(('V06 Motor'!A103-1)*30/'V06 Motor'!C103,6))*'V06 Curva'!$B$11,MAX(0,MIN('V06 Motor'!A103*30/'V06 Motor'!C103,8)-MAX(('V06 Motor'!A103-1)*30/'V06 Motor'!C103,7))*'V06 Curva'!$B$12,MAX(0,MIN('V06 Motor'!A103*30/'V06 Motor'!C103,9)-MAX(('V06 Motor'!A103-1)*30/'V06 Motor'!C103,8))*'V06 Curva'!$B$13,MAX(0,MIN('V06 Motor'!A103*30/'V06 Motor'!C103,10)-MAX(('V06 Motor'!A103-1)*30/'V06 Motor'!C103,9))*'V06 Curva'!$B$14,MAX(0,MIN('V06 Motor'!A103*30/'V06 Motor'!C103,11)-MAX(('V06 Motor'!A103-1)*30/'V06 Motor'!C103,10))*'V06 Curva'!$B$15,MAX(0,MIN('V06 Motor'!A103*30/'V06 Motor'!C103,12)-MAX(('V06 Motor'!A103-1)*30/'V06 Motor'!C103,11))*'V06 Curva'!$B$16,MAX(0,MIN('V06 Motor'!A103*30/'V06 Motor'!C103,13)-MAX(('V06 Motor'!A103-1)*30/'V06 Motor'!C103,12))*'V06 Curva'!$B$17,MAX(0,MIN('V06 Motor'!A103*30/'V06 Motor'!C103,14)-MAX(('V06 Motor'!A103-1)*30/'V06 Motor'!C103,13))*'V06 Curva'!$B$18,MAX(0,MIN('V06 Motor'!A103*30/'V06 Motor'!C103,15)-MAX(('V06 Motor'!A103-1)*30/'V06 Motor'!C103,14))*'V06 Curva'!$B$19,MAX(0,MIN('V06 Motor'!A103*30/'V06 Motor'!C103,16)-MAX(('V06 Motor'!A103-1)*30/'V06 Motor'!C103,15))*'V06 Curva'!$B$20,MAX(0,MIN('V06 Motor'!A103*30/'V06 Motor'!C103,17)-MAX(('V06 Motor'!A103-1)*30/'V06 Motor'!C103,16))*'V06 Curva'!$B$21,MAX(0,MIN('V06 Motor'!A103*30/'V06 Motor'!C103,18)-MAX(('V06 Motor'!A103-1)*30/'V06 Motor'!C103,17))*'V06 Curva'!$B$22,MAX(0,MIN('V06 Motor'!A103*30/'V06 Motor'!C103,19)-MAX(('V06 Motor'!A103-1)*30/'V06 Motor'!C103,18))*'V06 Curva'!$B$23,MAX(0,MIN('V06 Motor'!A103*30/'V06 Motor'!C103,20)-MAX(('V06 Motor'!A103-1)*30/'V06 Motor'!C103,19))*'V06 Curva'!$B$24,MAX(0,MIN('V06 Motor'!A103*30/'V06 Motor'!C103,21)-MAX(('V06 Motor'!A103-1)*30/'V06 Motor'!C103,20))*'V06 Curva'!$B$25,MAX(0,MIN('V06 Motor'!A103*30/'V06 Motor'!C103,22)-MAX(('V06 Motor'!A103-1)*30/'V06 Motor'!C103,21))*'V06 Curva'!$B$26,MAX(0,MIN('V06 Motor'!A103*30/'V06 Motor'!C103,23)-MAX(('V06 Motor'!A103-1)*30/'V06 Motor'!C103,22))*'V06 Curva'!$B$27,MAX(0,MIN('V06 Motor'!A103*30/'V06 Motor'!C103,24)-MAX(('V06 Motor'!A103-1)*30/'V06 Motor'!C103,23))*'V06 Curva'!$B$28,MAX(0,MIN('V06 Motor'!A103*30/'V06 Motor'!C103,25)-MAX(('V06 Motor'!A103-1)*30/'V06 Motor'!C103,24))*'V06 Curva'!$B$29,MAX(0,MIN('V06 Motor'!A103*30/'V06 Motor'!C103,26)-MAX(('V06 Motor'!A103-1)*30/'V06 Motor'!C103,25))*'V06 Curva'!$B$30,MAX(0,MIN('V06 Motor'!A103*30/'V06 Motor'!C103,27)-MAX(('V06 Motor'!A103-1)*30/'V06 Motor'!C103,26))*'V06 Curva'!$B$31,MAX(0,MIN('V06 Motor'!A103*30/'V06 Motor'!C103,28)-MAX(('V06 Motor'!A103-1)*30/'V06 Motor'!C103,27))*'V06 Curva'!$B$32,MAX(0,MIN('V06 Motor'!A103*30/'V06 Motor'!C103,29)-MAX(('V06 Motor'!A103-1)*30/'V06 Motor'!C103,28))*'V06 Curva'!$B$33,MAX(0,MIN('V06 Motor'!A103*30/'V06 Motor'!C103,30)-MAX(('V06 Motor'!A103-1)*30/'V06 Motor'!C103,29))*'V06 Curva'!$B$34),0)</f>
        <v>0.0</v>
      </c>
      <c r="O103" s="2">
        <f>SUMPRODUCT(--(('V06 Unidades'!$I$5:$I$98+'V06 Controlos'!$B$37)='V06 Motor'!A103),ROUND('V06 Unidades'!$H$5:$H$98*0.05,2)+ROUND('V06 Unidades'!$H$5:$H$98*0.2,2))+SUMPRODUCT(--(IF('V06 Controlos'!$B$38&gt;0,IF(('V06 Unidades'!$L$5:$L$98+'V06 Controlos'!$B$37)&lt;'V06 Motor'!C103,'V06 Motor'!C103,('V06 Unidades'!$L$5:$L$98+'V06 Controlos'!$B$37)),('V06 Unidades'!$L$5:$L$98+'V06 Controlos'!$B$37))='V06 Motor'!A103),'V06 Unidades'!$H$5:$H$98-ROUND('V06 Unidades'!$H$5:$H$98*0.05,2)-ROUND('V06 Unidades'!$H$5:$H$98*0.2,2)-ROUND('V06 Unidades'!$H$5:$H$98*0.55,2))+SUMPRODUCT(--(IF(INT((IF('V06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Controlos'!$B$37)-1)/6),0)&gt;0),--('V06 Motor'!A103&gt;('V06 Unidades'!$I$5:$I$98+'V06 Controlos'!$B$37)),--('V06 Motor'!A103&lt;IF('V06 Controlos'!$B$38&gt;0,IF(('V06 Unidades'!$L$5:$L$98+'V06 Controlos'!$B$37)&lt;'V06 Motor'!C103,'V06 Motor'!C103,('V06 Unidades'!$L$5:$L$98+'V06 Controlos'!$B$37)),('V06 Unidades'!$L$5:$L$98+'V06 Controlos'!$B$37))),--(MOD('V06 Motor'!A103-('V06 Unidades'!$I$5:$I$98+'V06 Controlos'!$B$37),6)=0),--(('V06 Motor'!A103-('V06 Unidades'!$I$5:$I$98+'V06 Controlos'!$B$37))/6&lt;=IF(INT((IF('V06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Controlos'!$B$37)-1)/6),0)),IF('V06 Motor'!A103=('V06 Unidades'!$I$5:$I$98+'V06 Controlos'!$B$37)+6*IF(INT((IF('V06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Controlos'!$B$37)-1)/6),0)&gt;0,IF(INT((IF('V06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Controlos'!$B$37)-1)/6),0),1),2)*(IF(INT((IF('V06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Controlos'!$B$37)-1)/6),0)&gt;0,IF(INT((IF('V06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Controlos'!$B$37)-1)/6)&gt;0,INT((IF('V06 Controlos'!$B$38&gt;0,IF(('V06 Unidades'!$L$5:$L$98+'V06 Controlos'!$B$37)&lt;'V06 Motor'!C103,'V06 Motor'!C103,('V06 Unidades'!$L$5:$L$98+'V06 Controlos'!$B$37)),('V06 Unidades'!$L$5:$L$98+'V06 Controlos'!$B$37))-('V06 Unidades'!$I$5:$I$98+'V06 Controlos'!$B$37)-1)/6),0),1),2)))</f>
        <v>0.0</v>
      </c>
      <c r="P103" s="2">
        <f>SUM('V06 Calend 01'!DG5:DG98)</f>
        <v>0.0</v>
      </c>
    </row>
    <row r="104" spans="1:16">
      <c r="A104">
        <v>100</v>
      </c>
      <c r="C104">
        <v>30</v>
      </c>
      <c r="G104" s="2">
        <f>IF('V06 Motor'!A104&lt;='V06 Motor'!C104,SUMPRODUCT('V06 Curva'!$B$5:$B$34,IF((IF('V06 Motor'!A104*30/'V06 Motor'!C104&lt;'V06 Curva'!$A$5:$A$34,'V06 Motor'!A104*30/'V06 Motor'!C104,'V06 Curva'!$A$5:$A$34)-IF(('V06 Motor'!A104-1)*30/'V06 Motor'!C104&gt;'V06 Curva'!$A$5:$A$34-1,('V06 Motor'!A104-1)*30/'V06 Motor'!C104,'V06 Curva'!$A$5:$A$34-1))&gt;0,(IF('V06 Motor'!A104*30/'V06 Motor'!C104&lt;'V06 Curva'!$A$5:$A$34,'V06 Motor'!A104*30/'V06 Motor'!C104,'V06 Curva'!$A$5:$A$34)-IF(('V06 Motor'!A104-1)*30/'V06 Motor'!C104&gt;'V06 Curva'!$A$5:$A$34-1,('V06 Motor'!A104-1)*30/'V06 Motor'!C104,'V06 Curva'!$A$5:$A$34-1)),0)),0)</f>
        <v>0.0</v>
      </c>
      <c r="H104" s="2">
        <f>IF('V06 Motor'!A104&lt;='V06 Motor'!C104,SUM(MAX(0,MIN('V06 Motor'!A104*30/'V06 Motor'!C104,1)-MAX(('V06 Motor'!A104-1)*30/'V06 Motor'!C104,0))*'V06 Curva'!$B$5,MAX(0,MIN('V06 Motor'!A104*30/'V06 Motor'!C104,2)-MAX(('V06 Motor'!A104-1)*30/'V06 Motor'!C104,1))*'V06 Curva'!$B$6,MAX(0,MIN('V06 Motor'!A104*30/'V06 Motor'!C104,3)-MAX(('V06 Motor'!A104-1)*30/'V06 Motor'!C104,2))*'V06 Curva'!$B$7,MAX(0,MIN('V06 Motor'!A104*30/'V06 Motor'!C104,4)-MAX(('V06 Motor'!A104-1)*30/'V06 Motor'!C104,3))*'V06 Curva'!$B$8,MAX(0,MIN('V06 Motor'!A104*30/'V06 Motor'!C104,5)-MAX(('V06 Motor'!A104-1)*30/'V06 Motor'!C104,4))*'V06 Curva'!$B$9,MAX(0,MIN('V06 Motor'!A104*30/'V06 Motor'!C104,6)-MAX(('V06 Motor'!A104-1)*30/'V06 Motor'!C104,5))*'V06 Curva'!$B$10,MAX(0,MIN('V06 Motor'!A104*30/'V06 Motor'!C104,7)-MAX(('V06 Motor'!A104-1)*30/'V06 Motor'!C104,6))*'V06 Curva'!$B$11,MAX(0,MIN('V06 Motor'!A104*30/'V06 Motor'!C104,8)-MAX(('V06 Motor'!A104-1)*30/'V06 Motor'!C104,7))*'V06 Curva'!$B$12,MAX(0,MIN('V06 Motor'!A104*30/'V06 Motor'!C104,9)-MAX(('V06 Motor'!A104-1)*30/'V06 Motor'!C104,8))*'V06 Curva'!$B$13,MAX(0,MIN('V06 Motor'!A104*30/'V06 Motor'!C104,10)-MAX(('V06 Motor'!A104-1)*30/'V06 Motor'!C104,9))*'V06 Curva'!$B$14,MAX(0,MIN('V06 Motor'!A104*30/'V06 Motor'!C104,11)-MAX(('V06 Motor'!A104-1)*30/'V06 Motor'!C104,10))*'V06 Curva'!$B$15,MAX(0,MIN('V06 Motor'!A104*30/'V06 Motor'!C104,12)-MAX(('V06 Motor'!A104-1)*30/'V06 Motor'!C104,11))*'V06 Curva'!$B$16,MAX(0,MIN('V06 Motor'!A104*30/'V06 Motor'!C104,13)-MAX(('V06 Motor'!A104-1)*30/'V06 Motor'!C104,12))*'V06 Curva'!$B$17,MAX(0,MIN('V06 Motor'!A104*30/'V06 Motor'!C104,14)-MAX(('V06 Motor'!A104-1)*30/'V06 Motor'!C104,13))*'V06 Curva'!$B$18,MAX(0,MIN('V06 Motor'!A104*30/'V06 Motor'!C104,15)-MAX(('V06 Motor'!A104-1)*30/'V06 Motor'!C104,14))*'V06 Curva'!$B$19,MAX(0,MIN('V06 Motor'!A104*30/'V06 Motor'!C104,16)-MAX(('V06 Motor'!A104-1)*30/'V06 Motor'!C104,15))*'V06 Curva'!$B$20,MAX(0,MIN('V06 Motor'!A104*30/'V06 Motor'!C104,17)-MAX(('V06 Motor'!A104-1)*30/'V06 Motor'!C104,16))*'V06 Curva'!$B$21,MAX(0,MIN('V06 Motor'!A104*30/'V06 Motor'!C104,18)-MAX(('V06 Motor'!A104-1)*30/'V06 Motor'!C104,17))*'V06 Curva'!$B$22,MAX(0,MIN('V06 Motor'!A104*30/'V06 Motor'!C104,19)-MAX(('V06 Motor'!A104-1)*30/'V06 Motor'!C104,18))*'V06 Curva'!$B$23,MAX(0,MIN('V06 Motor'!A104*30/'V06 Motor'!C104,20)-MAX(('V06 Motor'!A104-1)*30/'V06 Motor'!C104,19))*'V06 Curva'!$B$24,MAX(0,MIN('V06 Motor'!A104*30/'V06 Motor'!C104,21)-MAX(('V06 Motor'!A104-1)*30/'V06 Motor'!C104,20))*'V06 Curva'!$B$25,MAX(0,MIN('V06 Motor'!A104*30/'V06 Motor'!C104,22)-MAX(('V06 Motor'!A104-1)*30/'V06 Motor'!C104,21))*'V06 Curva'!$B$26,MAX(0,MIN('V06 Motor'!A104*30/'V06 Motor'!C104,23)-MAX(('V06 Motor'!A104-1)*30/'V06 Motor'!C104,22))*'V06 Curva'!$B$27,MAX(0,MIN('V06 Motor'!A104*30/'V06 Motor'!C104,24)-MAX(('V06 Motor'!A104-1)*30/'V06 Motor'!C104,23))*'V06 Curva'!$B$28,MAX(0,MIN('V06 Motor'!A104*30/'V06 Motor'!C104,25)-MAX(('V06 Motor'!A104-1)*30/'V06 Motor'!C104,24))*'V06 Curva'!$B$29,MAX(0,MIN('V06 Motor'!A104*30/'V06 Motor'!C104,26)-MAX(('V06 Motor'!A104-1)*30/'V06 Motor'!C104,25))*'V06 Curva'!$B$30,MAX(0,MIN('V06 Motor'!A104*30/'V06 Motor'!C104,27)-MAX(('V06 Motor'!A104-1)*30/'V06 Motor'!C104,26))*'V06 Curva'!$B$31,MAX(0,MIN('V06 Motor'!A104*30/'V06 Motor'!C104,28)-MAX(('V06 Motor'!A104-1)*30/'V06 Motor'!C104,27))*'V06 Curva'!$B$32,MAX(0,MIN('V06 Motor'!A104*30/'V06 Motor'!C104,29)-MAX(('V06 Motor'!A104-1)*30/'V06 Motor'!C104,28))*'V06 Curva'!$B$33,MAX(0,MIN('V06 Motor'!A104*30/'V06 Motor'!C104,30)-MAX(('V06 Motor'!A104-1)*30/'V06 Motor'!C104,29))*'V06 Curva'!$B$34),0)</f>
        <v>0.0</v>
      </c>
      <c r="O104" s="2">
        <f>SUMPRODUCT(--(('V06 Unidades'!$I$5:$I$98+'V06 Controlos'!$B$37)='V06 Motor'!A104),ROUND('V06 Unidades'!$H$5:$H$98*0.05,2)+ROUND('V06 Unidades'!$H$5:$H$98*0.2,2))+SUMPRODUCT(--(IF('V06 Controlos'!$B$38&gt;0,IF(('V06 Unidades'!$L$5:$L$98+'V06 Controlos'!$B$37)&lt;'V06 Motor'!C104,'V06 Motor'!C104,('V06 Unidades'!$L$5:$L$98+'V06 Controlos'!$B$37)),('V06 Unidades'!$L$5:$L$98+'V06 Controlos'!$B$37))='V06 Motor'!A104),'V06 Unidades'!$H$5:$H$98-ROUND('V06 Unidades'!$H$5:$H$98*0.05,2)-ROUND('V06 Unidades'!$H$5:$H$98*0.2,2)-ROUND('V06 Unidades'!$H$5:$H$98*0.55,2))+SUMPRODUCT(--(IF(INT((IF('V06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Controlos'!$B$37)-1)/6),0)&gt;0),--('V06 Motor'!A104&gt;('V06 Unidades'!$I$5:$I$98+'V06 Controlos'!$B$37)),--('V06 Motor'!A104&lt;IF('V06 Controlos'!$B$38&gt;0,IF(('V06 Unidades'!$L$5:$L$98+'V06 Controlos'!$B$37)&lt;'V06 Motor'!C104,'V06 Motor'!C104,('V06 Unidades'!$L$5:$L$98+'V06 Controlos'!$B$37)),('V06 Unidades'!$L$5:$L$98+'V06 Controlos'!$B$37))),--(MOD('V06 Motor'!A104-('V06 Unidades'!$I$5:$I$98+'V06 Controlos'!$B$37),6)=0),--(('V06 Motor'!A104-('V06 Unidades'!$I$5:$I$98+'V06 Controlos'!$B$37))/6&lt;=IF(INT((IF('V06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Controlos'!$B$37)-1)/6),0)),IF('V06 Motor'!A104=('V06 Unidades'!$I$5:$I$98+'V06 Controlos'!$B$37)+6*IF(INT((IF('V06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Controlos'!$B$37)-1)/6),0)&gt;0,IF(INT((IF('V06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Controlos'!$B$37)-1)/6),0),1),2)*(IF(INT((IF('V06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Controlos'!$B$37)-1)/6),0)&gt;0,IF(INT((IF('V06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Controlos'!$B$37)-1)/6)&gt;0,INT((IF('V06 Controlos'!$B$38&gt;0,IF(('V06 Unidades'!$L$5:$L$98+'V06 Controlos'!$B$37)&lt;'V06 Motor'!C104,'V06 Motor'!C104,('V06 Unidades'!$L$5:$L$98+'V06 Controlos'!$B$37)),('V06 Unidades'!$L$5:$L$98+'V06 Controlos'!$B$37))-('V06 Unidades'!$I$5:$I$98+'V06 Controlos'!$B$37)-1)/6),0),1),2)))</f>
        <v>0.0</v>
      </c>
      <c r="P104" s="2">
        <f>SUM('V06 Calend 01'!DH5:DH98)</f>
        <v>0.0</v>
      </c>
    </row>
    <row r="105" spans="1:16">
      <c r="A105">
        <v>101</v>
      </c>
      <c r="C105">
        <v>30</v>
      </c>
      <c r="G105" s="2">
        <f>IF('V06 Motor'!A105&lt;='V06 Motor'!C105,SUMPRODUCT('V06 Curva'!$B$5:$B$34,IF((IF('V06 Motor'!A105*30/'V06 Motor'!C105&lt;'V06 Curva'!$A$5:$A$34,'V06 Motor'!A105*30/'V06 Motor'!C105,'V06 Curva'!$A$5:$A$34)-IF(('V06 Motor'!A105-1)*30/'V06 Motor'!C105&gt;'V06 Curva'!$A$5:$A$34-1,('V06 Motor'!A105-1)*30/'V06 Motor'!C105,'V06 Curva'!$A$5:$A$34-1))&gt;0,(IF('V06 Motor'!A105*30/'V06 Motor'!C105&lt;'V06 Curva'!$A$5:$A$34,'V06 Motor'!A105*30/'V06 Motor'!C105,'V06 Curva'!$A$5:$A$34)-IF(('V06 Motor'!A105-1)*30/'V06 Motor'!C105&gt;'V06 Curva'!$A$5:$A$34-1,('V06 Motor'!A105-1)*30/'V06 Motor'!C105,'V06 Curva'!$A$5:$A$34-1)),0)),0)</f>
        <v>0.0</v>
      </c>
      <c r="H105" s="2">
        <f>IF('V06 Motor'!A105&lt;='V06 Motor'!C105,SUM(MAX(0,MIN('V06 Motor'!A105*30/'V06 Motor'!C105,1)-MAX(('V06 Motor'!A105-1)*30/'V06 Motor'!C105,0))*'V06 Curva'!$B$5,MAX(0,MIN('V06 Motor'!A105*30/'V06 Motor'!C105,2)-MAX(('V06 Motor'!A105-1)*30/'V06 Motor'!C105,1))*'V06 Curva'!$B$6,MAX(0,MIN('V06 Motor'!A105*30/'V06 Motor'!C105,3)-MAX(('V06 Motor'!A105-1)*30/'V06 Motor'!C105,2))*'V06 Curva'!$B$7,MAX(0,MIN('V06 Motor'!A105*30/'V06 Motor'!C105,4)-MAX(('V06 Motor'!A105-1)*30/'V06 Motor'!C105,3))*'V06 Curva'!$B$8,MAX(0,MIN('V06 Motor'!A105*30/'V06 Motor'!C105,5)-MAX(('V06 Motor'!A105-1)*30/'V06 Motor'!C105,4))*'V06 Curva'!$B$9,MAX(0,MIN('V06 Motor'!A105*30/'V06 Motor'!C105,6)-MAX(('V06 Motor'!A105-1)*30/'V06 Motor'!C105,5))*'V06 Curva'!$B$10,MAX(0,MIN('V06 Motor'!A105*30/'V06 Motor'!C105,7)-MAX(('V06 Motor'!A105-1)*30/'V06 Motor'!C105,6))*'V06 Curva'!$B$11,MAX(0,MIN('V06 Motor'!A105*30/'V06 Motor'!C105,8)-MAX(('V06 Motor'!A105-1)*30/'V06 Motor'!C105,7))*'V06 Curva'!$B$12,MAX(0,MIN('V06 Motor'!A105*30/'V06 Motor'!C105,9)-MAX(('V06 Motor'!A105-1)*30/'V06 Motor'!C105,8))*'V06 Curva'!$B$13,MAX(0,MIN('V06 Motor'!A105*30/'V06 Motor'!C105,10)-MAX(('V06 Motor'!A105-1)*30/'V06 Motor'!C105,9))*'V06 Curva'!$B$14,MAX(0,MIN('V06 Motor'!A105*30/'V06 Motor'!C105,11)-MAX(('V06 Motor'!A105-1)*30/'V06 Motor'!C105,10))*'V06 Curva'!$B$15,MAX(0,MIN('V06 Motor'!A105*30/'V06 Motor'!C105,12)-MAX(('V06 Motor'!A105-1)*30/'V06 Motor'!C105,11))*'V06 Curva'!$B$16,MAX(0,MIN('V06 Motor'!A105*30/'V06 Motor'!C105,13)-MAX(('V06 Motor'!A105-1)*30/'V06 Motor'!C105,12))*'V06 Curva'!$B$17,MAX(0,MIN('V06 Motor'!A105*30/'V06 Motor'!C105,14)-MAX(('V06 Motor'!A105-1)*30/'V06 Motor'!C105,13))*'V06 Curva'!$B$18,MAX(0,MIN('V06 Motor'!A105*30/'V06 Motor'!C105,15)-MAX(('V06 Motor'!A105-1)*30/'V06 Motor'!C105,14))*'V06 Curva'!$B$19,MAX(0,MIN('V06 Motor'!A105*30/'V06 Motor'!C105,16)-MAX(('V06 Motor'!A105-1)*30/'V06 Motor'!C105,15))*'V06 Curva'!$B$20,MAX(0,MIN('V06 Motor'!A105*30/'V06 Motor'!C105,17)-MAX(('V06 Motor'!A105-1)*30/'V06 Motor'!C105,16))*'V06 Curva'!$B$21,MAX(0,MIN('V06 Motor'!A105*30/'V06 Motor'!C105,18)-MAX(('V06 Motor'!A105-1)*30/'V06 Motor'!C105,17))*'V06 Curva'!$B$22,MAX(0,MIN('V06 Motor'!A105*30/'V06 Motor'!C105,19)-MAX(('V06 Motor'!A105-1)*30/'V06 Motor'!C105,18))*'V06 Curva'!$B$23,MAX(0,MIN('V06 Motor'!A105*30/'V06 Motor'!C105,20)-MAX(('V06 Motor'!A105-1)*30/'V06 Motor'!C105,19))*'V06 Curva'!$B$24,MAX(0,MIN('V06 Motor'!A105*30/'V06 Motor'!C105,21)-MAX(('V06 Motor'!A105-1)*30/'V06 Motor'!C105,20))*'V06 Curva'!$B$25,MAX(0,MIN('V06 Motor'!A105*30/'V06 Motor'!C105,22)-MAX(('V06 Motor'!A105-1)*30/'V06 Motor'!C105,21))*'V06 Curva'!$B$26,MAX(0,MIN('V06 Motor'!A105*30/'V06 Motor'!C105,23)-MAX(('V06 Motor'!A105-1)*30/'V06 Motor'!C105,22))*'V06 Curva'!$B$27,MAX(0,MIN('V06 Motor'!A105*30/'V06 Motor'!C105,24)-MAX(('V06 Motor'!A105-1)*30/'V06 Motor'!C105,23))*'V06 Curva'!$B$28,MAX(0,MIN('V06 Motor'!A105*30/'V06 Motor'!C105,25)-MAX(('V06 Motor'!A105-1)*30/'V06 Motor'!C105,24))*'V06 Curva'!$B$29,MAX(0,MIN('V06 Motor'!A105*30/'V06 Motor'!C105,26)-MAX(('V06 Motor'!A105-1)*30/'V06 Motor'!C105,25))*'V06 Curva'!$B$30,MAX(0,MIN('V06 Motor'!A105*30/'V06 Motor'!C105,27)-MAX(('V06 Motor'!A105-1)*30/'V06 Motor'!C105,26))*'V06 Curva'!$B$31,MAX(0,MIN('V06 Motor'!A105*30/'V06 Motor'!C105,28)-MAX(('V06 Motor'!A105-1)*30/'V06 Motor'!C105,27))*'V06 Curva'!$B$32,MAX(0,MIN('V06 Motor'!A105*30/'V06 Motor'!C105,29)-MAX(('V06 Motor'!A105-1)*30/'V06 Motor'!C105,28))*'V06 Curva'!$B$33,MAX(0,MIN('V06 Motor'!A105*30/'V06 Motor'!C105,30)-MAX(('V06 Motor'!A105-1)*30/'V06 Motor'!C105,29))*'V06 Curva'!$B$34),0)</f>
        <v>0.0</v>
      </c>
      <c r="O105" s="2">
        <f>SUMPRODUCT(--(('V06 Unidades'!$I$5:$I$98+'V06 Controlos'!$B$37)='V06 Motor'!A105),ROUND('V06 Unidades'!$H$5:$H$98*0.05,2)+ROUND('V06 Unidades'!$H$5:$H$98*0.2,2))+SUMPRODUCT(--(IF('V06 Controlos'!$B$38&gt;0,IF(('V06 Unidades'!$L$5:$L$98+'V06 Controlos'!$B$37)&lt;'V06 Motor'!C105,'V06 Motor'!C105,('V06 Unidades'!$L$5:$L$98+'V06 Controlos'!$B$37)),('V06 Unidades'!$L$5:$L$98+'V06 Controlos'!$B$37))='V06 Motor'!A105),'V06 Unidades'!$H$5:$H$98-ROUND('V06 Unidades'!$H$5:$H$98*0.05,2)-ROUND('V06 Unidades'!$H$5:$H$98*0.2,2)-ROUND('V06 Unidades'!$H$5:$H$98*0.55,2))+SUMPRODUCT(--(IF(INT((IF('V06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Controlos'!$B$37)-1)/6),0)&gt;0),--('V06 Motor'!A105&gt;('V06 Unidades'!$I$5:$I$98+'V06 Controlos'!$B$37)),--('V06 Motor'!A105&lt;IF('V06 Controlos'!$B$38&gt;0,IF(('V06 Unidades'!$L$5:$L$98+'V06 Controlos'!$B$37)&lt;'V06 Motor'!C105,'V06 Motor'!C105,('V06 Unidades'!$L$5:$L$98+'V06 Controlos'!$B$37)),('V06 Unidades'!$L$5:$L$98+'V06 Controlos'!$B$37))),--(MOD('V06 Motor'!A105-('V06 Unidades'!$I$5:$I$98+'V06 Controlos'!$B$37),6)=0),--(('V06 Motor'!A105-('V06 Unidades'!$I$5:$I$98+'V06 Controlos'!$B$37))/6&lt;=IF(INT((IF('V06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Controlos'!$B$37)-1)/6),0)),IF('V06 Motor'!A105=('V06 Unidades'!$I$5:$I$98+'V06 Controlos'!$B$37)+6*IF(INT((IF('V06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Controlos'!$B$37)-1)/6),0)&gt;0,IF(INT((IF('V06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Controlos'!$B$37)-1)/6),0),1),2)*(IF(INT((IF('V06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Controlos'!$B$37)-1)/6),0)&gt;0,IF(INT((IF('V06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Controlos'!$B$37)-1)/6)&gt;0,INT((IF('V06 Controlos'!$B$38&gt;0,IF(('V06 Unidades'!$L$5:$L$98+'V06 Controlos'!$B$37)&lt;'V06 Motor'!C105,'V06 Motor'!C105,('V06 Unidades'!$L$5:$L$98+'V06 Controlos'!$B$37)),('V06 Unidades'!$L$5:$L$98+'V06 Controlos'!$B$37))-('V06 Unidades'!$I$5:$I$98+'V06 Controlos'!$B$37)-1)/6),0),1),2)))</f>
        <v>0.0</v>
      </c>
      <c r="P105" s="2">
        <f>SUM('V06 Calend 01'!DI5:DI98)</f>
        <v>0.0</v>
      </c>
    </row>
    <row r="106" spans="1:16">
      <c r="A106">
        <v>102</v>
      </c>
      <c r="C106">
        <v>30</v>
      </c>
      <c r="G106" s="2">
        <f>IF('V06 Motor'!A106&lt;='V06 Motor'!C106,SUMPRODUCT('V06 Curva'!$B$5:$B$34,IF((IF('V06 Motor'!A106*30/'V06 Motor'!C106&lt;'V06 Curva'!$A$5:$A$34,'V06 Motor'!A106*30/'V06 Motor'!C106,'V06 Curva'!$A$5:$A$34)-IF(('V06 Motor'!A106-1)*30/'V06 Motor'!C106&gt;'V06 Curva'!$A$5:$A$34-1,('V06 Motor'!A106-1)*30/'V06 Motor'!C106,'V06 Curva'!$A$5:$A$34-1))&gt;0,(IF('V06 Motor'!A106*30/'V06 Motor'!C106&lt;'V06 Curva'!$A$5:$A$34,'V06 Motor'!A106*30/'V06 Motor'!C106,'V06 Curva'!$A$5:$A$34)-IF(('V06 Motor'!A106-1)*30/'V06 Motor'!C106&gt;'V06 Curva'!$A$5:$A$34-1,('V06 Motor'!A106-1)*30/'V06 Motor'!C106,'V06 Curva'!$A$5:$A$34-1)),0)),0)</f>
        <v>0.0</v>
      </c>
      <c r="H106" s="2">
        <f>IF('V06 Motor'!A106&lt;='V06 Motor'!C106,SUM(MAX(0,MIN('V06 Motor'!A106*30/'V06 Motor'!C106,1)-MAX(('V06 Motor'!A106-1)*30/'V06 Motor'!C106,0))*'V06 Curva'!$B$5,MAX(0,MIN('V06 Motor'!A106*30/'V06 Motor'!C106,2)-MAX(('V06 Motor'!A106-1)*30/'V06 Motor'!C106,1))*'V06 Curva'!$B$6,MAX(0,MIN('V06 Motor'!A106*30/'V06 Motor'!C106,3)-MAX(('V06 Motor'!A106-1)*30/'V06 Motor'!C106,2))*'V06 Curva'!$B$7,MAX(0,MIN('V06 Motor'!A106*30/'V06 Motor'!C106,4)-MAX(('V06 Motor'!A106-1)*30/'V06 Motor'!C106,3))*'V06 Curva'!$B$8,MAX(0,MIN('V06 Motor'!A106*30/'V06 Motor'!C106,5)-MAX(('V06 Motor'!A106-1)*30/'V06 Motor'!C106,4))*'V06 Curva'!$B$9,MAX(0,MIN('V06 Motor'!A106*30/'V06 Motor'!C106,6)-MAX(('V06 Motor'!A106-1)*30/'V06 Motor'!C106,5))*'V06 Curva'!$B$10,MAX(0,MIN('V06 Motor'!A106*30/'V06 Motor'!C106,7)-MAX(('V06 Motor'!A106-1)*30/'V06 Motor'!C106,6))*'V06 Curva'!$B$11,MAX(0,MIN('V06 Motor'!A106*30/'V06 Motor'!C106,8)-MAX(('V06 Motor'!A106-1)*30/'V06 Motor'!C106,7))*'V06 Curva'!$B$12,MAX(0,MIN('V06 Motor'!A106*30/'V06 Motor'!C106,9)-MAX(('V06 Motor'!A106-1)*30/'V06 Motor'!C106,8))*'V06 Curva'!$B$13,MAX(0,MIN('V06 Motor'!A106*30/'V06 Motor'!C106,10)-MAX(('V06 Motor'!A106-1)*30/'V06 Motor'!C106,9))*'V06 Curva'!$B$14,MAX(0,MIN('V06 Motor'!A106*30/'V06 Motor'!C106,11)-MAX(('V06 Motor'!A106-1)*30/'V06 Motor'!C106,10))*'V06 Curva'!$B$15,MAX(0,MIN('V06 Motor'!A106*30/'V06 Motor'!C106,12)-MAX(('V06 Motor'!A106-1)*30/'V06 Motor'!C106,11))*'V06 Curva'!$B$16,MAX(0,MIN('V06 Motor'!A106*30/'V06 Motor'!C106,13)-MAX(('V06 Motor'!A106-1)*30/'V06 Motor'!C106,12))*'V06 Curva'!$B$17,MAX(0,MIN('V06 Motor'!A106*30/'V06 Motor'!C106,14)-MAX(('V06 Motor'!A106-1)*30/'V06 Motor'!C106,13))*'V06 Curva'!$B$18,MAX(0,MIN('V06 Motor'!A106*30/'V06 Motor'!C106,15)-MAX(('V06 Motor'!A106-1)*30/'V06 Motor'!C106,14))*'V06 Curva'!$B$19,MAX(0,MIN('V06 Motor'!A106*30/'V06 Motor'!C106,16)-MAX(('V06 Motor'!A106-1)*30/'V06 Motor'!C106,15))*'V06 Curva'!$B$20,MAX(0,MIN('V06 Motor'!A106*30/'V06 Motor'!C106,17)-MAX(('V06 Motor'!A106-1)*30/'V06 Motor'!C106,16))*'V06 Curva'!$B$21,MAX(0,MIN('V06 Motor'!A106*30/'V06 Motor'!C106,18)-MAX(('V06 Motor'!A106-1)*30/'V06 Motor'!C106,17))*'V06 Curva'!$B$22,MAX(0,MIN('V06 Motor'!A106*30/'V06 Motor'!C106,19)-MAX(('V06 Motor'!A106-1)*30/'V06 Motor'!C106,18))*'V06 Curva'!$B$23,MAX(0,MIN('V06 Motor'!A106*30/'V06 Motor'!C106,20)-MAX(('V06 Motor'!A106-1)*30/'V06 Motor'!C106,19))*'V06 Curva'!$B$24,MAX(0,MIN('V06 Motor'!A106*30/'V06 Motor'!C106,21)-MAX(('V06 Motor'!A106-1)*30/'V06 Motor'!C106,20))*'V06 Curva'!$B$25,MAX(0,MIN('V06 Motor'!A106*30/'V06 Motor'!C106,22)-MAX(('V06 Motor'!A106-1)*30/'V06 Motor'!C106,21))*'V06 Curva'!$B$26,MAX(0,MIN('V06 Motor'!A106*30/'V06 Motor'!C106,23)-MAX(('V06 Motor'!A106-1)*30/'V06 Motor'!C106,22))*'V06 Curva'!$B$27,MAX(0,MIN('V06 Motor'!A106*30/'V06 Motor'!C106,24)-MAX(('V06 Motor'!A106-1)*30/'V06 Motor'!C106,23))*'V06 Curva'!$B$28,MAX(0,MIN('V06 Motor'!A106*30/'V06 Motor'!C106,25)-MAX(('V06 Motor'!A106-1)*30/'V06 Motor'!C106,24))*'V06 Curva'!$B$29,MAX(0,MIN('V06 Motor'!A106*30/'V06 Motor'!C106,26)-MAX(('V06 Motor'!A106-1)*30/'V06 Motor'!C106,25))*'V06 Curva'!$B$30,MAX(0,MIN('V06 Motor'!A106*30/'V06 Motor'!C106,27)-MAX(('V06 Motor'!A106-1)*30/'V06 Motor'!C106,26))*'V06 Curva'!$B$31,MAX(0,MIN('V06 Motor'!A106*30/'V06 Motor'!C106,28)-MAX(('V06 Motor'!A106-1)*30/'V06 Motor'!C106,27))*'V06 Curva'!$B$32,MAX(0,MIN('V06 Motor'!A106*30/'V06 Motor'!C106,29)-MAX(('V06 Motor'!A106-1)*30/'V06 Motor'!C106,28))*'V06 Curva'!$B$33,MAX(0,MIN('V06 Motor'!A106*30/'V06 Motor'!C106,30)-MAX(('V06 Motor'!A106-1)*30/'V06 Motor'!C106,29))*'V06 Curva'!$B$34),0)</f>
        <v>0.0</v>
      </c>
      <c r="O106" s="2">
        <f>SUMPRODUCT(--(('V06 Unidades'!$I$5:$I$98+'V06 Controlos'!$B$37)='V06 Motor'!A106),ROUND('V06 Unidades'!$H$5:$H$98*0.05,2)+ROUND('V06 Unidades'!$H$5:$H$98*0.2,2))+SUMPRODUCT(--(IF('V06 Controlos'!$B$38&gt;0,IF(('V06 Unidades'!$L$5:$L$98+'V06 Controlos'!$B$37)&lt;'V06 Motor'!C106,'V06 Motor'!C106,('V06 Unidades'!$L$5:$L$98+'V06 Controlos'!$B$37)),('V06 Unidades'!$L$5:$L$98+'V06 Controlos'!$B$37))='V06 Motor'!A106),'V06 Unidades'!$H$5:$H$98-ROUND('V06 Unidades'!$H$5:$H$98*0.05,2)-ROUND('V06 Unidades'!$H$5:$H$98*0.2,2)-ROUND('V06 Unidades'!$H$5:$H$98*0.55,2))+SUMPRODUCT(--(IF(INT((IF('V06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Controlos'!$B$37)-1)/6),0)&gt;0),--('V06 Motor'!A106&gt;('V06 Unidades'!$I$5:$I$98+'V06 Controlos'!$B$37)),--('V06 Motor'!A106&lt;IF('V06 Controlos'!$B$38&gt;0,IF(('V06 Unidades'!$L$5:$L$98+'V06 Controlos'!$B$37)&lt;'V06 Motor'!C106,'V06 Motor'!C106,('V06 Unidades'!$L$5:$L$98+'V06 Controlos'!$B$37)),('V06 Unidades'!$L$5:$L$98+'V06 Controlos'!$B$37))),--(MOD('V06 Motor'!A106-('V06 Unidades'!$I$5:$I$98+'V06 Controlos'!$B$37),6)=0),--(('V06 Motor'!A106-('V06 Unidades'!$I$5:$I$98+'V06 Controlos'!$B$37))/6&lt;=IF(INT((IF('V06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Controlos'!$B$37)-1)/6),0)),IF('V06 Motor'!A106=('V06 Unidades'!$I$5:$I$98+'V06 Controlos'!$B$37)+6*IF(INT((IF('V06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Controlos'!$B$37)-1)/6),0)&gt;0,IF(INT((IF('V06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Controlos'!$B$37)-1)/6),0),1),2)*(IF(INT((IF('V06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Controlos'!$B$37)-1)/6),0)&gt;0,IF(INT((IF('V06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Controlos'!$B$37)-1)/6)&gt;0,INT((IF('V06 Controlos'!$B$38&gt;0,IF(('V06 Unidades'!$L$5:$L$98+'V06 Controlos'!$B$37)&lt;'V06 Motor'!C106,'V06 Motor'!C106,('V06 Unidades'!$L$5:$L$98+'V06 Controlos'!$B$37)),('V06 Unidades'!$L$5:$L$98+'V06 Controlos'!$B$37))-('V06 Unidades'!$I$5:$I$98+'V06 Controlos'!$B$37)-1)/6),0),1),2)))</f>
        <v>0.0</v>
      </c>
      <c r="P106" s="2">
        <f>SUM('V06 Calend 01'!DJ5:DJ98)</f>
        <v>0.0</v>
      </c>
    </row>
    <row r="107" spans="1:16">
      <c r="A107">
        <v>103</v>
      </c>
      <c r="C107">
        <v>30</v>
      </c>
      <c r="G107" s="2">
        <f>IF('V06 Motor'!A107&lt;='V06 Motor'!C107,SUMPRODUCT('V06 Curva'!$B$5:$B$34,IF((IF('V06 Motor'!A107*30/'V06 Motor'!C107&lt;'V06 Curva'!$A$5:$A$34,'V06 Motor'!A107*30/'V06 Motor'!C107,'V06 Curva'!$A$5:$A$34)-IF(('V06 Motor'!A107-1)*30/'V06 Motor'!C107&gt;'V06 Curva'!$A$5:$A$34-1,('V06 Motor'!A107-1)*30/'V06 Motor'!C107,'V06 Curva'!$A$5:$A$34-1))&gt;0,(IF('V06 Motor'!A107*30/'V06 Motor'!C107&lt;'V06 Curva'!$A$5:$A$34,'V06 Motor'!A107*30/'V06 Motor'!C107,'V06 Curva'!$A$5:$A$34)-IF(('V06 Motor'!A107-1)*30/'V06 Motor'!C107&gt;'V06 Curva'!$A$5:$A$34-1,('V06 Motor'!A107-1)*30/'V06 Motor'!C107,'V06 Curva'!$A$5:$A$34-1)),0)),0)</f>
        <v>0.0</v>
      </c>
      <c r="H107" s="2">
        <f>IF('V06 Motor'!A107&lt;='V06 Motor'!C107,SUM(MAX(0,MIN('V06 Motor'!A107*30/'V06 Motor'!C107,1)-MAX(('V06 Motor'!A107-1)*30/'V06 Motor'!C107,0))*'V06 Curva'!$B$5,MAX(0,MIN('V06 Motor'!A107*30/'V06 Motor'!C107,2)-MAX(('V06 Motor'!A107-1)*30/'V06 Motor'!C107,1))*'V06 Curva'!$B$6,MAX(0,MIN('V06 Motor'!A107*30/'V06 Motor'!C107,3)-MAX(('V06 Motor'!A107-1)*30/'V06 Motor'!C107,2))*'V06 Curva'!$B$7,MAX(0,MIN('V06 Motor'!A107*30/'V06 Motor'!C107,4)-MAX(('V06 Motor'!A107-1)*30/'V06 Motor'!C107,3))*'V06 Curva'!$B$8,MAX(0,MIN('V06 Motor'!A107*30/'V06 Motor'!C107,5)-MAX(('V06 Motor'!A107-1)*30/'V06 Motor'!C107,4))*'V06 Curva'!$B$9,MAX(0,MIN('V06 Motor'!A107*30/'V06 Motor'!C107,6)-MAX(('V06 Motor'!A107-1)*30/'V06 Motor'!C107,5))*'V06 Curva'!$B$10,MAX(0,MIN('V06 Motor'!A107*30/'V06 Motor'!C107,7)-MAX(('V06 Motor'!A107-1)*30/'V06 Motor'!C107,6))*'V06 Curva'!$B$11,MAX(0,MIN('V06 Motor'!A107*30/'V06 Motor'!C107,8)-MAX(('V06 Motor'!A107-1)*30/'V06 Motor'!C107,7))*'V06 Curva'!$B$12,MAX(0,MIN('V06 Motor'!A107*30/'V06 Motor'!C107,9)-MAX(('V06 Motor'!A107-1)*30/'V06 Motor'!C107,8))*'V06 Curva'!$B$13,MAX(0,MIN('V06 Motor'!A107*30/'V06 Motor'!C107,10)-MAX(('V06 Motor'!A107-1)*30/'V06 Motor'!C107,9))*'V06 Curva'!$B$14,MAX(0,MIN('V06 Motor'!A107*30/'V06 Motor'!C107,11)-MAX(('V06 Motor'!A107-1)*30/'V06 Motor'!C107,10))*'V06 Curva'!$B$15,MAX(0,MIN('V06 Motor'!A107*30/'V06 Motor'!C107,12)-MAX(('V06 Motor'!A107-1)*30/'V06 Motor'!C107,11))*'V06 Curva'!$B$16,MAX(0,MIN('V06 Motor'!A107*30/'V06 Motor'!C107,13)-MAX(('V06 Motor'!A107-1)*30/'V06 Motor'!C107,12))*'V06 Curva'!$B$17,MAX(0,MIN('V06 Motor'!A107*30/'V06 Motor'!C107,14)-MAX(('V06 Motor'!A107-1)*30/'V06 Motor'!C107,13))*'V06 Curva'!$B$18,MAX(0,MIN('V06 Motor'!A107*30/'V06 Motor'!C107,15)-MAX(('V06 Motor'!A107-1)*30/'V06 Motor'!C107,14))*'V06 Curva'!$B$19,MAX(0,MIN('V06 Motor'!A107*30/'V06 Motor'!C107,16)-MAX(('V06 Motor'!A107-1)*30/'V06 Motor'!C107,15))*'V06 Curva'!$B$20,MAX(0,MIN('V06 Motor'!A107*30/'V06 Motor'!C107,17)-MAX(('V06 Motor'!A107-1)*30/'V06 Motor'!C107,16))*'V06 Curva'!$B$21,MAX(0,MIN('V06 Motor'!A107*30/'V06 Motor'!C107,18)-MAX(('V06 Motor'!A107-1)*30/'V06 Motor'!C107,17))*'V06 Curva'!$B$22,MAX(0,MIN('V06 Motor'!A107*30/'V06 Motor'!C107,19)-MAX(('V06 Motor'!A107-1)*30/'V06 Motor'!C107,18))*'V06 Curva'!$B$23,MAX(0,MIN('V06 Motor'!A107*30/'V06 Motor'!C107,20)-MAX(('V06 Motor'!A107-1)*30/'V06 Motor'!C107,19))*'V06 Curva'!$B$24,MAX(0,MIN('V06 Motor'!A107*30/'V06 Motor'!C107,21)-MAX(('V06 Motor'!A107-1)*30/'V06 Motor'!C107,20))*'V06 Curva'!$B$25,MAX(0,MIN('V06 Motor'!A107*30/'V06 Motor'!C107,22)-MAX(('V06 Motor'!A107-1)*30/'V06 Motor'!C107,21))*'V06 Curva'!$B$26,MAX(0,MIN('V06 Motor'!A107*30/'V06 Motor'!C107,23)-MAX(('V06 Motor'!A107-1)*30/'V06 Motor'!C107,22))*'V06 Curva'!$B$27,MAX(0,MIN('V06 Motor'!A107*30/'V06 Motor'!C107,24)-MAX(('V06 Motor'!A107-1)*30/'V06 Motor'!C107,23))*'V06 Curva'!$B$28,MAX(0,MIN('V06 Motor'!A107*30/'V06 Motor'!C107,25)-MAX(('V06 Motor'!A107-1)*30/'V06 Motor'!C107,24))*'V06 Curva'!$B$29,MAX(0,MIN('V06 Motor'!A107*30/'V06 Motor'!C107,26)-MAX(('V06 Motor'!A107-1)*30/'V06 Motor'!C107,25))*'V06 Curva'!$B$30,MAX(0,MIN('V06 Motor'!A107*30/'V06 Motor'!C107,27)-MAX(('V06 Motor'!A107-1)*30/'V06 Motor'!C107,26))*'V06 Curva'!$B$31,MAX(0,MIN('V06 Motor'!A107*30/'V06 Motor'!C107,28)-MAX(('V06 Motor'!A107-1)*30/'V06 Motor'!C107,27))*'V06 Curva'!$B$32,MAX(0,MIN('V06 Motor'!A107*30/'V06 Motor'!C107,29)-MAX(('V06 Motor'!A107-1)*30/'V06 Motor'!C107,28))*'V06 Curva'!$B$33,MAX(0,MIN('V06 Motor'!A107*30/'V06 Motor'!C107,30)-MAX(('V06 Motor'!A107-1)*30/'V06 Motor'!C107,29))*'V06 Curva'!$B$34),0)</f>
        <v>0.0</v>
      </c>
      <c r="O107" s="2">
        <f>SUMPRODUCT(--(('V06 Unidades'!$I$5:$I$98+'V06 Controlos'!$B$37)='V06 Motor'!A107),ROUND('V06 Unidades'!$H$5:$H$98*0.05,2)+ROUND('V06 Unidades'!$H$5:$H$98*0.2,2))+SUMPRODUCT(--(IF('V06 Controlos'!$B$38&gt;0,IF(('V06 Unidades'!$L$5:$L$98+'V06 Controlos'!$B$37)&lt;'V06 Motor'!C107,'V06 Motor'!C107,('V06 Unidades'!$L$5:$L$98+'V06 Controlos'!$B$37)),('V06 Unidades'!$L$5:$L$98+'V06 Controlos'!$B$37))='V06 Motor'!A107),'V06 Unidades'!$H$5:$H$98-ROUND('V06 Unidades'!$H$5:$H$98*0.05,2)-ROUND('V06 Unidades'!$H$5:$H$98*0.2,2)-ROUND('V06 Unidades'!$H$5:$H$98*0.55,2))+SUMPRODUCT(--(IF(INT((IF('V06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Controlos'!$B$37)-1)/6),0)&gt;0),--('V06 Motor'!A107&gt;('V06 Unidades'!$I$5:$I$98+'V06 Controlos'!$B$37)),--('V06 Motor'!A107&lt;IF('V06 Controlos'!$B$38&gt;0,IF(('V06 Unidades'!$L$5:$L$98+'V06 Controlos'!$B$37)&lt;'V06 Motor'!C107,'V06 Motor'!C107,('V06 Unidades'!$L$5:$L$98+'V06 Controlos'!$B$37)),('V06 Unidades'!$L$5:$L$98+'V06 Controlos'!$B$37))),--(MOD('V06 Motor'!A107-('V06 Unidades'!$I$5:$I$98+'V06 Controlos'!$B$37),6)=0),--(('V06 Motor'!A107-('V06 Unidades'!$I$5:$I$98+'V06 Controlos'!$B$37))/6&lt;=IF(INT((IF('V06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Controlos'!$B$37)-1)/6),0)),IF('V06 Motor'!A107=('V06 Unidades'!$I$5:$I$98+'V06 Controlos'!$B$37)+6*IF(INT((IF('V06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Controlos'!$B$37)-1)/6),0)&gt;0,IF(INT((IF('V06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Controlos'!$B$37)-1)/6),0),1),2)*(IF(INT((IF('V06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Controlos'!$B$37)-1)/6),0)&gt;0,IF(INT((IF('V06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Controlos'!$B$37)-1)/6)&gt;0,INT((IF('V06 Controlos'!$B$38&gt;0,IF(('V06 Unidades'!$L$5:$L$98+'V06 Controlos'!$B$37)&lt;'V06 Motor'!C107,'V06 Motor'!C107,('V06 Unidades'!$L$5:$L$98+'V06 Controlos'!$B$37)),('V06 Unidades'!$L$5:$L$98+'V06 Controlos'!$B$37))-('V06 Unidades'!$I$5:$I$98+'V06 Controlos'!$B$37)-1)/6),0),1),2)))</f>
        <v>0.0</v>
      </c>
      <c r="P107" s="2">
        <f>SUM('V06 Calend 01'!DK5:DK98)</f>
        <v>0.0</v>
      </c>
    </row>
    <row r="108" spans="1:16">
      <c r="A108">
        <v>104</v>
      </c>
      <c r="C108">
        <v>30</v>
      </c>
      <c r="G108" s="2">
        <f>IF('V06 Motor'!A108&lt;='V06 Motor'!C108,SUMPRODUCT('V06 Curva'!$B$5:$B$34,IF((IF('V06 Motor'!A108*30/'V06 Motor'!C108&lt;'V06 Curva'!$A$5:$A$34,'V06 Motor'!A108*30/'V06 Motor'!C108,'V06 Curva'!$A$5:$A$34)-IF(('V06 Motor'!A108-1)*30/'V06 Motor'!C108&gt;'V06 Curva'!$A$5:$A$34-1,('V06 Motor'!A108-1)*30/'V06 Motor'!C108,'V06 Curva'!$A$5:$A$34-1))&gt;0,(IF('V06 Motor'!A108*30/'V06 Motor'!C108&lt;'V06 Curva'!$A$5:$A$34,'V06 Motor'!A108*30/'V06 Motor'!C108,'V06 Curva'!$A$5:$A$34)-IF(('V06 Motor'!A108-1)*30/'V06 Motor'!C108&gt;'V06 Curva'!$A$5:$A$34-1,('V06 Motor'!A108-1)*30/'V06 Motor'!C108,'V06 Curva'!$A$5:$A$34-1)),0)),0)</f>
        <v>0.0</v>
      </c>
      <c r="H108" s="2">
        <f>IF('V06 Motor'!A108&lt;='V06 Motor'!C108,SUM(MAX(0,MIN('V06 Motor'!A108*30/'V06 Motor'!C108,1)-MAX(('V06 Motor'!A108-1)*30/'V06 Motor'!C108,0))*'V06 Curva'!$B$5,MAX(0,MIN('V06 Motor'!A108*30/'V06 Motor'!C108,2)-MAX(('V06 Motor'!A108-1)*30/'V06 Motor'!C108,1))*'V06 Curva'!$B$6,MAX(0,MIN('V06 Motor'!A108*30/'V06 Motor'!C108,3)-MAX(('V06 Motor'!A108-1)*30/'V06 Motor'!C108,2))*'V06 Curva'!$B$7,MAX(0,MIN('V06 Motor'!A108*30/'V06 Motor'!C108,4)-MAX(('V06 Motor'!A108-1)*30/'V06 Motor'!C108,3))*'V06 Curva'!$B$8,MAX(0,MIN('V06 Motor'!A108*30/'V06 Motor'!C108,5)-MAX(('V06 Motor'!A108-1)*30/'V06 Motor'!C108,4))*'V06 Curva'!$B$9,MAX(0,MIN('V06 Motor'!A108*30/'V06 Motor'!C108,6)-MAX(('V06 Motor'!A108-1)*30/'V06 Motor'!C108,5))*'V06 Curva'!$B$10,MAX(0,MIN('V06 Motor'!A108*30/'V06 Motor'!C108,7)-MAX(('V06 Motor'!A108-1)*30/'V06 Motor'!C108,6))*'V06 Curva'!$B$11,MAX(0,MIN('V06 Motor'!A108*30/'V06 Motor'!C108,8)-MAX(('V06 Motor'!A108-1)*30/'V06 Motor'!C108,7))*'V06 Curva'!$B$12,MAX(0,MIN('V06 Motor'!A108*30/'V06 Motor'!C108,9)-MAX(('V06 Motor'!A108-1)*30/'V06 Motor'!C108,8))*'V06 Curva'!$B$13,MAX(0,MIN('V06 Motor'!A108*30/'V06 Motor'!C108,10)-MAX(('V06 Motor'!A108-1)*30/'V06 Motor'!C108,9))*'V06 Curva'!$B$14,MAX(0,MIN('V06 Motor'!A108*30/'V06 Motor'!C108,11)-MAX(('V06 Motor'!A108-1)*30/'V06 Motor'!C108,10))*'V06 Curva'!$B$15,MAX(0,MIN('V06 Motor'!A108*30/'V06 Motor'!C108,12)-MAX(('V06 Motor'!A108-1)*30/'V06 Motor'!C108,11))*'V06 Curva'!$B$16,MAX(0,MIN('V06 Motor'!A108*30/'V06 Motor'!C108,13)-MAX(('V06 Motor'!A108-1)*30/'V06 Motor'!C108,12))*'V06 Curva'!$B$17,MAX(0,MIN('V06 Motor'!A108*30/'V06 Motor'!C108,14)-MAX(('V06 Motor'!A108-1)*30/'V06 Motor'!C108,13))*'V06 Curva'!$B$18,MAX(0,MIN('V06 Motor'!A108*30/'V06 Motor'!C108,15)-MAX(('V06 Motor'!A108-1)*30/'V06 Motor'!C108,14))*'V06 Curva'!$B$19,MAX(0,MIN('V06 Motor'!A108*30/'V06 Motor'!C108,16)-MAX(('V06 Motor'!A108-1)*30/'V06 Motor'!C108,15))*'V06 Curva'!$B$20,MAX(0,MIN('V06 Motor'!A108*30/'V06 Motor'!C108,17)-MAX(('V06 Motor'!A108-1)*30/'V06 Motor'!C108,16))*'V06 Curva'!$B$21,MAX(0,MIN('V06 Motor'!A108*30/'V06 Motor'!C108,18)-MAX(('V06 Motor'!A108-1)*30/'V06 Motor'!C108,17))*'V06 Curva'!$B$22,MAX(0,MIN('V06 Motor'!A108*30/'V06 Motor'!C108,19)-MAX(('V06 Motor'!A108-1)*30/'V06 Motor'!C108,18))*'V06 Curva'!$B$23,MAX(0,MIN('V06 Motor'!A108*30/'V06 Motor'!C108,20)-MAX(('V06 Motor'!A108-1)*30/'V06 Motor'!C108,19))*'V06 Curva'!$B$24,MAX(0,MIN('V06 Motor'!A108*30/'V06 Motor'!C108,21)-MAX(('V06 Motor'!A108-1)*30/'V06 Motor'!C108,20))*'V06 Curva'!$B$25,MAX(0,MIN('V06 Motor'!A108*30/'V06 Motor'!C108,22)-MAX(('V06 Motor'!A108-1)*30/'V06 Motor'!C108,21))*'V06 Curva'!$B$26,MAX(0,MIN('V06 Motor'!A108*30/'V06 Motor'!C108,23)-MAX(('V06 Motor'!A108-1)*30/'V06 Motor'!C108,22))*'V06 Curva'!$B$27,MAX(0,MIN('V06 Motor'!A108*30/'V06 Motor'!C108,24)-MAX(('V06 Motor'!A108-1)*30/'V06 Motor'!C108,23))*'V06 Curva'!$B$28,MAX(0,MIN('V06 Motor'!A108*30/'V06 Motor'!C108,25)-MAX(('V06 Motor'!A108-1)*30/'V06 Motor'!C108,24))*'V06 Curva'!$B$29,MAX(0,MIN('V06 Motor'!A108*30/'V06 Motor'!C108,26)-MAX(('V06 Motor'!A108-1)*30/'V06 Motor'!C108,25))*'V06 Curva'!$B$30,MAX(0,MIN('V06 Motor'!A108*30/'V06 Motor'!C108,27)-MAX(('V06 Motor'!A108-1)*30/'V06 Motor'!C108,26))*'V06 Curva'!$B$31,MAX(0,MIN('V06 Motor'!A108*30/'V06 Motor'!C108,28)-MAX(('V06 Motor'!A108-1)*30/'V06 Motor'!C108,27))*'V06 Curva'!$B$32,MAX(0,MIN('V06 Motor'!A108*30/'V06 Motor'!C108,29)-MAX(('V06 Motor'!A108-1)*30/'V06 Motor'!C108,28))*'V06 Curva'!$B$33,MAX(0,MIN('V06 Motor'!A108*30/'V06 Motor'!C108,30)-MAX(('V06 Motor'!A108-1)*30/'V06 Motor'!C108,29))*'V06 Curva'!$B$34),0)</f>
        <v>0.0</v>
      </c>
      <c r="O108" s="2">
        <f>SUMPRODUCT(--(('V06 Unidades'!$I$5:$I$98+'V06 Controlos'!$B$37)='V06 Motor'!A108),ROUND('V06 Unidades'!$H$5:$H$98*0.05,2)+ROUND('V06 Unidades'!$H$5:$H$98*0.2,2))+SUMPRODUCT(--(IF('V06 Controlos'!$B$38&gt;0,IF(('V06 Unidades'!$L$5:$L$98+'V06 Controlos'!$B$37)&lt;'V06 Motor'!C108,'V06 Motor'!C108,('V06 Unidades'!$L$5:$L$98+'V06 Controlos'!$B$37)),('V06 Unidades'!$L$5:$L$98+'V06 Controlos'!$B$37))='V06 Motor'!A108),'V06 Unidades'!$H$5:$H$98-ROUND('V06 Unidades'!$H$5:$H$98*0.05,2)-ROUND('V06 Unidades'!$H$5:$H$98*0.2,2)-ROUND('V06 Unidades'!$H$5:$H$98*0.55,2))+SUMPRODUCT(--(IF(INT((IF('V06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Controlos'!$B$37)-1)/6),0)&gt;0),--('V06 Motor'!A108&gt;('V06 Unidades'!$I$5:$I$98+'V06 Controlos'!$B$37)),--('V06 Motor'!A108&lt;IF('V06 Controlos'!$B$38&gt;0,IF(('V06 Unidades'!$L$5:$L$98+'V06 Controlos'!$B$37)&lt;'V06 Motor'!C108,'V06 Motor'!C108,('V06 Unidades'!$L$5:$L$98+'V06 Controlos'!$B$37)),('V06 Unidades'!$L$5:$L$98+'V06 Controlos'!$B$37))),--(MOD('V06 Motor'!A108-('V06 Unidades'!$I$5:$I$98+'V06 Controlos'!$B$37),6)=0),--(('V06 Motor'!A108-('V06 Unidades'!$I$5:$I$98+'V06 Controlos'!$B$37))/6&lt;=IF(INT((IF('V06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Controlos'!$B$37)-1)/6),0)),IF('V06 Motor'!A108=('V06 Unidades'!$I$5:$I$98+'V06 Controlos'!$B$37)+6*IF(INT((IF('V06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Controlos'!$B$37)-1)/6),0)&gt;0,IF(INT((IF('V06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Controlos'!$B$37)-1)/6),0),1),2)*(IF(INT((IF('V06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Controlos'!$B$37)-1)/6),0)&gt;0,IF(INT((IF('V06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Controlos'!$B$37)-1)/6)&gt;0,INT((IF('V06 Controlos'!$B$38&gt;0,IF(('V06 Unidades'!$L$5:$L$98+'V06 Controlos'!$B$37)&lt;'V06 Motor'!C108,'V06 Motor'!C108,('V06 Unidades'!$L$5:$L$98+'V06 Controlos'!$B$37)),('V06 Unidades'!$L$5:$L$98+'V06 Controlos'!$B$37))-('V06 Unidades'!$I$5:$I$98+'V06 Controlos'!$B$37)-1)/6),0),1),2)))</f>
        <v>0.0</v>
      </c>
      <c r="P108" s="2">
        <f>SUM('V06 Calend 01'!DL5:DL98)</f>
        <v>0.0</v>
      </c>
    </row>
    <row r="109" spans="1:16">
      <c r="A109">
        <v>105</v>
      </c>
      <c r="C109">
        <v>30</v>
      </c>
      <c r="G109" s="2">
        <f>IF('V06 Motor'!A109&lt;='V06 Motor'!C109,SUMPRODUCT('V06 Curva'!$B$5:$B$34,IF((IF('V06 Motor'!A109*30/'V06 Motor'!C109&lt;'V06 Curva'!$A$5:$A$34,'V06 Motor'!A109*30/'V06 Motor'!C109,'V06 Curva'!$A$5:$A$34)-IF(('V06 Motor'!A109-1)*30/'V06 Motor'!C109&gt;'V06 Curva'!$A$5:$A$34-1,('V06 Motor'!A109-1)*30/'V06 Motor'!C109,'V06 Curva'!$A$5:$A$34-1))&gt;0,(IF('V06 Motor'!A109*30/'V06 Motor'!C109&lt;'V06 Curva'!$A$5:$A$34,'V06 Motor'!A109*30/'V06 Motor'!C109,'V06 Curva'!$A$5:$A$34)-IF(('V06 Motor'!A109-1)*30/'V06 Motor'!C109&gt;'V06 Curva'!$A$5:$A$34-1,('V06 Motor'!A109-1)*30/'V06 Motor'!C109,'V06 Curva'!$A$5:$A$34-1)),0)),0)</f>
        <v>0.0</v>
      </c>
      <c r="H109" s="2">
        <f>IF('V06 Motor'!A109&lt;='V06 Motor'!C109,SUM(MAX(0,MIN('V06 Motor'!A109*30/'V06 Motor'!C109,1)-MAX(('V06 Motor'!A109-1)*30/'V06 Motor'!C109,0))*'V06 Curva'!$B$5,MAX(0,MIN('V06 Motor'!A109*30/'V06 Motor'!C109,2)-MAX(('V06 Motor'!A109-1)*30/'V06 Motor'!C109,1))*'V06 Curva'!$B$6,MAX(0,MIN('V06 Motor'!A109*30/'V06 Motor'!C109,3)-MAX(('V06 Motor'!A109-1)*30/'V06 Motor'!C109,2))*'V06 Curva'!$B$7,MAX(0,MIN('V06 Motor'!A109*30/'V06 Motor'!C109,4)-MAX(('V06 Motor'!A109-1)*30/'V06 Motor'!C109,3))*'V06 Curva'!$B$8,MAX(0,MIN('V06 Motor'!A109*30/'V06 Motor'!C109,5)-MAX(('V06 Motor'!A109-1)*30/'V06 Motor'!C109,4))*'V06 Curva'!$B$9,MAX(0,MIN('V06 Motor'!A109*30/'V06 Motor'!C109,6)-MAX(('V06 Motor'!A109-1)*30/'V06 Motor'!C109,5))*'V06 Curva'!$B$10,MAX(0,MIN('V06 Motor'!A109*30/'V06 Motor'!C109,7)-MAX(('V06 Motor'!A109-1)*30/'V06 Motor'!C109,6))*'V06 Curva'!$B$11,MAX(0,MIN('V06 Motor'!A109*30/'V06 Motor'!C109,8)-MAX(('V06 Motor'!A109-1)*30/'V06 Motor'!C109,7))*'V06 Curva'!$B$12,MAX(0,MIN('V06 Motor'!A109*30/'V06 Motor'!C109,9)-MAX(('V06 Motor'!A109-1)*30/'V06 Motor'!C109,8))*'V06 Curva'!$B$13,MAX(0,MIN('V06 Motor'!A109*30/'V06 Motor'!C109,10)-MAX(('V06 Motor'!A109-1)*30/'V06 Motor'!C109,9))*'V06 Curva'!$B$14,MAX(0,MIN('V06 Motor'!A109*30/'V06 Motor'!C109,11)-MAX(('V06 Motor'!A109-1)*30/'V06 Motor'!C109,10))*'V06 Curva'!$B$15,MAX(0,MIN('V06 Motor'!A109*30/'V06 Motor'!C109,12)-MAX(('V06 Motor'!A109-1)*30/'V06 Motor'!C109,11))*'V06 Curva'!$B$16,MAX(0,MIN('V06 Motor'!A109*30/'V06 Motor'!C109,13)-MAX(('V06 Motor'!A109-1)*30/'V06 Motor'!C109,12))*'V06 Curva'!$B$17,MAX(0,MIN('V06 Motor'!A109*30/'V06 Motor'!C109,14)-MAX(('V06 Motor'!A109-1)*30/'V06 Motor'!C109,13))*'V06 Curva'!$B$18,MAX(0,MIN('V06 Motor'!A109*30/'V06 Motor'!C109,15)-MAX(('V06 Motor'!A109-1)*30/'V06 Motor'!C109,14))*'V06 Curva'!$B$19,MAX(0,MIN('V06 Motor'!A109*30/'V06 Motor'!C109,16)-MAX(('V06 Motor'!A109-1)*30/'V06 Motor'!C109,15))*'V06 Curva'!$B$20,MAX(0,MIN('V06 Motor'!A109*30/'V06 Motor'!C109,17)-MAX(('V06 Motor'!A109-1)*30/'V06 Motor'!C109,16))*'V06 Curva'!$B$21,MAX(0,MIN('V06 Motor'!A109*30/'V06 Motor'!C109,18)-MAX(('V06 Motor'!A109-1)*30/'V06 Motor'!C109,17))*'V06 Curva'!$B$22,MAX(0,MIN('V06 Motor'!A109*30/'V06 Motor'!C109,19)-MAX(('V06 Motor'!A109-1)*30/'V06 Motor'!C109,18))*'V06 Curva'!$B$23,MAX(0,MIN('V06 Motor'!A109*30/'V06 Motor'!C109,20)-MAX(('V06 Motor'!A109-1)*30/'V06 Motor'!C109,19))*'V06 Curva'!$B$24,MAX(0,MIN('V06 Motor'!A109*30/'V06 Motor'!C109,21)-MAX(('V06 Motor'!A109-1)*30/'V06 Motor'!C109,20))*'V06 Curva'!$B$25,MAX(0,MIN('V06 Motor'!A109*30/'V06 Motor'!C109,22)-MAX(('V06 Motor'!A109-1)*30/'V06 Motor'!C109,21))*'V06 Curva'!$B$26,MAX(0,MIN('V06 Motor'!A109*30/'V06 Motor'!C109,23)-MAX(('V06 Motor'!A109-1)*30/'V06 Motor'!C109,22))*'V06 Curva'!$B$27,MAX(0,MIN('V06 Motor'!A109*30/'V06 Motor'!C109,24)-MAX(('V06 Motor'!A109-1)*30/'V06 Motor'!C109,23))*'V06 Curva'!$B$28,MAX(0,MIN('V06 Motor'!A109*30/'V06 Motor'!C109,25)-MAX(('V06 Motor'!A109-1)*30/'V06 Motor'!C109,24))*'V06 Curva'!$B$29,MAX(0,MIN('V06 Motor'!A109*30/'V06 Motor'!C109,26)-MAX(('V06 Motor'!A109-1)*30/'V06 Motor'!C109,25))*'V06 Curva'!$B$30,MAX(0,MIN('V06 Motor'!A109*30/'V06 Motor'!C109,27)-MAX(('V06 Motor'!A109-1)*30/'V06 Motor'!C109,26))*'V06 Curva'!$B$31,MAX(0,MIN('V06 Motor'!A109*30/'V06 Motor'!C109,28)-MAX(('V06 Motor'!A109-1)*30/'V06 Motor'!C109,27))*'V06 Curva'!$B$32,MAX(0,MIN('V06 Motor'!A109*30/'V06 Motor'!C109,29)-MAX(('V06 Motor'!A109-1)*30/'V06 Motor'!C109,28))*'V06 Curva'!$B$33,MAX(0,MIN('V06 Motor'!A109*30/'V06 Motor'!C109,30)-MAX(('V06 Motor'!A109-1)*30/'V06 Motor'!C109,29))*'V06 Curva'!$B$34),0)</f>
        <v>0.0</v>
      </c>
      <c r="O109" s="2">
        <f>SUMPRODUCT(--(('V06 Unidades'!$I$5:$I$98+'V06 Controlos'!$B$37)='V06 Motor'!A109),ROUND('V06 Unidades'!$H$5:$H$98*0.05,2)+ROUND('V06 Unidades'!$H$5:$H$98*0.2,2))+SUMPRODUCT(--(IF('V06 Controlos'!$B$38&gt;0,IF(('V06 Unidades'!$L$5:$L$98+'V06 Controlos'!$B$37)&lt;'V06 Motor'!C109,'V06 Motor'!C109,('V06 Unidades'!$L$5:$L$98+'V06 Controlos'!$B$37)),('V06 Unidades'!$L$5:$L$98+'V06 Controlos'!$B$37))='V06 Motor'!A109),'V06 Unidades'!$H$5:$H$98-ROUND('V06 Unidades'!$H$5:$H$98*0.05,2)-ROUND('V06 Unidades'!$H$5:$H$98*0.2,2)-ROUND('V06 Unidades'!$H$5:$H$98*0.55,2))+SUMPRODUCT(--(IF(INT((IF('V06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Controlos'!$B$37)-1)/6),0)&gt;0),--('V06 Motor'!A109&gt;('V06 Unidades'!$I$5:$I$98+'V06 Controlos'!$B$37)),--('V06 Motor'!A109&lt;IF('V06 Controlos'!$B$38&gt;0,IF(('V06 Unidades'!$L$5:$L$98+'V06 Controlos'!$B$37)&lt;'V06 Motor'!C109,'V06 Motor'!C109,('V06 Unidades'!$L$5:$L$98+'V06 Controlos'!$B$37)),('V06 Unidades'!$L$5:$L$98+'V06 Controlos'!$B$37))),--(MOD('V06 Motor'!A109-('V06 Unidades'!$I$5:$I$98+'V06 Controlos'!$B$37),6)=0),--(('V06 Motor'!A109-('V06 Unidades'!$I$5:$I$98+'V06 Controlos'!$B$37))/6&lt;=IF(INT((IF('V06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Controlos'!$B$37)-1)/6),0)),IF('V06 Motor'!A109=('V06 Unidades'!$I$5:$I$98+'V06 Controlos'!$B$37)+6*IF(INT((IF('V06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Controlos'!$B$37)-1)/6),0)&gt;0,IF(INT((IF('V06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Controlos'!$B$37)-1)/6),0),1),2)*(IF(INT((IF('V06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Controlos'!$B$37)-1)/6),0)&gt;0,IF(INT((IF('V06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Controlos'!$B$37)-1)/6)&gt;0,INT((IF('V06 Controlos'!$B$38&gt;0,IF(('V06 Unidades'!$L$5:$L$98+'V06 Controlos'!$B$37)&lt;'V06 Motor'!C109,'V06 Motor'!C109,('V06 Unidades'!$L$5:$L$98+'V06 Controlos'!$B$37)),('V06 Unidades'!$L$5:$L$98+'V06 Controlos'!$B$37))-('V06 Unidades'!$I$5:$I$98+'V06 Controlos'!$B$37)-1)/6),0),1),2)))</f>
        <v>0.0</v>
      </c>
      <c r="P109" s="2">
        <f>SUM('V06 Calend 01'!DM5:DM98)</f>
        <v>0.0</v>
      </c>
    </row>
    <row r="110" spans="1:16">
      <c r="A110">
        <v>106</v>
      </c>
      <c r="C110">
        <v>30</v>
      </c>
      <c r="G110" s="2">
        <f>IF('V06 Motor'!A110&lt;='V06 Motor'!C110,SUMPRODUCT('V06 Curva'!$B$5:$B$34,IF((IF('V06 Motor'!A110*30/'V06 Motor'!C110&lt;'V06 Curva'!$A$5:$A$34,'V06 Motor'!A110*30/'V06 Motor'!C110,'V06 Curva'!$A$5:$A$34)-IF(('V06 Motor'!A110-1)*30/'V06 Motor'!C110&gt;'V06 Curva'!$A$5:$A$34-1,('V06 Motor'!A110-1)*30/'V06 Motor'!C110,'V06 Curva'!$A$5:$A$34-1))&gt;0,(IF('V06 Motor'!A110*30/'V06 Motor'!C110&lt;'V06 Curva'!$A$5:$A$34,'V06 Motor'!A110*30/'V06 Motor'!C110,'V06 Curva'!$A$5:$A$34)-IF(('V06 Motor'!A110-1)*30/'V06 Motor'!C110&gt;'V06 Curva'!$A$5:$A$34-1,('V06 Motor'!A110-1)*30/'V06 Motor'!C110,'V06 Curva'!$A$5:$A$34-1)),0)),0)</f>
        <v>0.0</v>
      </c>
      <c r="H110" s="2">
        <f>IF('V06 Motor'!A110&lt;='V06 Motor'!C110,SUM(MAX(0,MIN('V06 Motor'!A110*30/'V06 Motor'!C110,1)-MAX(('V06 Motor'!A110-1)*30/'V06 Motor'!C110,0))*'V06 Curva'!$B$5,MAX(0,MIN('V06 Motor'!A110*30/'V06 Motor'!C110,2)-MAX(('V06 Motor'!A110-1)*30/'V06 Motor'!C110,1))*'V06 Curva'!$B$6,MAX(0,MIN('V06 Motor'!A110*30/'V06 Motor'!C110,3)-MAX(('V06 Motor'!A110-1)*30/'V06 Motor'!C110,2))*'V06 Curva'!$B$7,MAX(0,MIN('V06 Motor'!A110*30/'V06 Motor'!C110,4)-MAX(('V06 Motor'!A110-1)*30/'V06 Motor'!C110,3))*'V06 Curva'!$B$8,MAX(0,MIN('V06 Motor'!A110*30/'V06 Motor'!C110,5)-MAX(('V06 Motor'!A110-1)*30/'V06 Motor'!C110,4))*'V06 Curva'!$B$9,MAX(0,MIN('V06 Motor'!A110*30/'V06 Motor'!C110,6)-MAX(('V06 Motor'!A110-1)*30/'V06 Motor'!C110,5))*'V06 Curva'!$B$10,MAX(0,MIN('V06 Motor'!A110*30/'V06 Motor'!C110,7)-MAX(('V06 Motor'!A110-1)*30/'V06 Motor'!C110,6))*'V06 Curva'!$B$11,MAX(0,MIN('V06 Motor'!A110*30/'V06 Motor'!C110,8)-MAX(('V06 Motor'!A110-1)*30/'V06 Motor'!C110,7))*'V06 Curva'!$B$12,MAX(0,MIN('V06 Motor'!A110*30/'V06 Motor'!C110,9)-MAX(('V06 Motor'!A110-1)*30/'V06 Motor'!C110,8))*'V06 Curva'!$B$13,MAX(0,MIN('V06 Motor'!A110*30/'V06 Motor'!C110,10)-MAX(('V06 Motor'!A110-1)*30/'V06 Motor'!C110,9))*'V06 Curva'!$B$14,MAX(0,MIN('V06 Motor'!A110*30/'V06 Motor'!C110,11)-MAX(('V06 Motor'!A110-1)*30/'V06 Motor'!C110,10))*'V06 Curva'!$B$15,MAX(0,MIN('V06 Motor'!A110*30/'V06 Motor'!C110,12)-MAX(('V06 Motor'!A110-1)*30/'V06 Motor'!C110,11))*'V06 Curva'!$B$16,MAX(0,MIN('V06 Motor'!A110*30/'V06 Motor'!C110,13)-MAX(('V06 Motor'!A110-1)*30/'V06 Motor'!C110,12))*'V06 Curva'!$B$17,MAX(0,MIN('V06 Motor'!A110*30/'V06 Motor'!C110,14)-MAX(('V06 Motor'!A110-1)*30/'V06 Motor'!C110,13))*'V06 Curva'!$B$18,MAX(0,MIN('V06 Motor'!A110*30/'V06 Motor'!C110,15)-MAX(('V06 Motor'!A110-1)*30/'V06 Motor'!C110,14))*'V06 Curva'!$B$19,MAX(0,MIN('V06 Motor'!A110*30/'V06 Motor'!C110,16)-MAX(('V06 Motor'!A110-1)*30/'V06 Motor'!C110,15))*'V06 Curva'!$B$20,MAX(0,MIN('V06 Motor'!A110*30/'V06 Motor'!C110,17)-MAX(('V06 Motor'!A110-1)*30/'V06 Motor'!C110,16))*'V06 Curva'!$B$21,MAX(0,MIN('V06 Motor'!A110*30/'V06 Motor'!C110,18)-MAX(('V06 Motor'!A110-1)*30/'V06 Motor'!C110,17))*'V06 Curva'!$B$22,MAX(0,MIN('V06 Motor'!A110*30/'V06 Motor'!C110,19)-MAX(('V06 Motor'!A110-1)*30/'V06 Motor'!C110,18))*'V06 Curva'!$B$23,MAX(0,MIN('V06 Motor'!A110*30/'V06 Motor'!C110,20)-MAX(('V06 Motor'!A110-1)*30/'V06 Motor'!C110,19))*'V06 Curva'!$B$24,MAX(0,MIN('V06 Motor'!A110*30/'V06 Motor'!C110,21)-MAX(('V06 Motor'!A110-1)*30/'V06 Motor'!C110,20))*'V06 Curva'!$B$25,MAX(0,MIN('V06 Motor'!A110*30/'V06 Motor'!C110,22)-MAX(('V06 Motor'!A110-1)*30/'V06 Motor'!C110,21))*'V06 Curva'!$B$26,MAX(0,MIN('V06 Motor'!A110*30/'V06 Motor'!C110,23)-MAX(('V06 Motor'!A110-1)*30/'V06 Motor'!C110,22))*'V06 Curva'!$B$27,MAX(0,MIN('V06 Motor'!A110*30/'V06 Motor'!C110,24)-MAX(('V06 Motor'!A110-1)*30/'V06 Motor'!C110,23))*'V06 Curva'!$B$28,MAX(0,MIN('V06 Motor'!A110*30/'V06 Motor'!C110,25)-MAX(('V06 Motor'!A110-1)*30/'V06 Motor'!C110,24))*'V06 Curva'!$B$29,MAX(0,MIN('V06 Motor'!A110*30/'V06 Motor'!C110,26)-MAX(('V06 Motor'!A110-1)*30/'V06 Motor'!C110,25))*'V06 Curva'!$B$30,MAX(0,MIN('V06 Motor'!A110*30/'V06 Motor'!C110,27)-MAX(('V06 Motor'!A110-1)*30/'V06 Motor'!C110,26))*'V06 Curva'!$B$31,MAX(0,MIN('V06 Motor'!A110*30/'V06 Motor'!C110,28)-MAX(('V06 Motor'!A110-1)*30/'V06 Motor'!C110,27))*'V06 Curva'!$B$32,MAX(0,MIN('V06 Motor'!A110*30/'V06 Motor'!C110,29)-MAX(('V06 Motor'!A110-1)*30/'V06 Motor'!C110,28))*'V06 Curva'!$B$33,MAX(0,MIN('V06 Motor'!A110*30/'V06 Motor'!C110,30)-MAX(('V06 Motor'!A110-1)*30/'V06 Motor'!C110,29))*'V06 Curva'!$B$34),0)</f>
        <v>0.0</v>
      </c>
      <c r="O110" s="2">
        <f>SUMPRODUCT(--(('V06 Unidades'!$I$5:$I$98+'V06 Controlos'!$B$37)='V06 Motor'!A110),ROUND('V06 Unidades'!$H$5:$H$98*0.05,2)+ROUND('V06 Unidades'!$H$5:$H$98*0.2,2))+SUMPRODUCT(--(IF('V06 Controlos'!$B$38&gt;0,IF(('V06 Unidades'!$L$5:$L$98+'V06 Controlos'!$B$37)&lt;'V06 Motor'!C110,'V06 Motor'!C110,('V06 Unidades'!$L$5:$L$98+'V06 Controlos'!$B$37)),('V06 Unidades'!$L$5:$L$98+'V06 Controlos'!$B$37))='V06 Motor'!A110),'V06 Unidades'!$H$5:$H$98-ROUND('V06 Unidades'!$H$5:$H$98*0.05,2)-ROUND('V06 Unidades'!$H$5:$H$98*0.2,2)-ROUND('V06 Unidades'!$H$5:$H$98*0.55,2))+SUMPRODUCT(--(IF(INT((IF('V06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Controlos'!$B$37)-1)/6),0)&gt;0),--('V06 Motor'!A110&gt;('V06 Unidades'!$I$5:$I$98+'V06 Controlos'!$B$37)),--('V06 Motor'!A110&lt;IF('V06 Controlos'!$B$38&gt;0,IF(('V06 Unidades'!$L$5:$L$98+'V06 Controlos'!$B$37)&lt;'V06 Motor'!C110,'V06 Motor'!C110,('V06 Unidades'!$L$5:$L$98+'V06 Controlos'!$B$37)),('V06 Unidades'!$L$5:$L$98+'V06 Controlos'!$B$37))),--(MOD('V06 Motor'!A110-('V06 Unidades'!$I$5:$I$98+'V06 Controlos'!$B$37),6)=0),--(('V06 Motor'!A110-('V06 Unidades'!$I$5:$I$98+'V06 Controlos'!$B$37))/6&lt;=IF(INT((IF('V06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Controlos'!$B$37)-1)/6),0)),IF('V06 Motor'!A110=('V06 Unidades'!$I$5:$I$98+'V06 Controlos'!$B$37)+6*IF(INT((IF('V06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Controlos'!$B$37)-1)/6),0)&gt;0,IF(INT((IF('V06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Controlos'!$B$37)-1)/6),0),1),2)*(IF(INT((IF('V06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Controlos'!$B$37)-1)/6),0)&gt;0,IF(INT((IF('V06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Controlos'!$B$37)-1)/6)&gt;0,INT((IF('V06 Controlos'!$B$38&gt;0,IF(('V06 Unidades'!$L$5:$L$98+'V06 Controlos'!$B$37)&lt;'V06 Motor'!C110,'V06 Motor'!C110,('V06 Unidades'!$L$5:$L$98+'V06 Controlos'!$B$37)),('V06 Unidades'!$L$5:$L$98+'V06 Controlos'!$B$37))-('V06 Unidades'!$I$5:$I$98+'V06 Controlos'!$B$37)-1)/6),0),1),2)))</f>
        <v>0.0</v>
      </c>
      <c r="P110" s="2">
        <f>SUM('V06 Calend 01'!DN5:DN98)</f>
        <v>0.0</v>
      </c>
    </row>
    <row r="111" spans="1:16">
      <c r="A111">
        <v>107</v>
      </c>
      <c r="C111">
        <v>30</v>
      </c>
      <c r="G111" s="2">
        <f>IF('V06 Motor'!A111&lt;='V06 Motor'!C111,SUMPRODUCT('V06 Curva'!$B$5:$B$34,IF((IF('V06 Motor'!A111*30/'V06 Motor'!C111&lt;'V06 Curva'!$A$5:$A$34,'V06 Motor'!A111*30/'V06 Motor'!C111,'V06 Curva'!$A$5:$A$34)-IF(('V06 Motor'!A111-1)*30/'V06 Motor'!C111&gt;'V06 Curva'!$A$5:$A$34-1,('V06 Motor'!A111-1)*30/'V06 Motor'!C111,'V06 Curva'!$A$5:$A$34-1))&gt;0,(IF('V06 Motor'!A111*30/'V06 Motor'!C111&lt;'V06 Curva'!$A$5:$A$34,'V06 Motor'!A111*30/'V06 Motor'!C111,'V06 Curva'!$A$5:$A$34)-IF(('V06 Motor'!A111-1)*30/'V06 Motor'!C111&gt;'V06 Curva'!$A$5:$A$34-1,('V06 Motor'!A111-1)*30/'V06 Motor'!C111,'V06 Curva'!$A$5:$A$34-1)),0)),0)</f>
        <v>0.0</v>
      </c>
      <c r="H111" s="2">
        <f>IF('V06 Motor'!A111&lt;='V06 Motor'!C111,SUM(MAX(0,MIN('V06 Motor'!A111*30/'V06 Motor'!C111,1)-MAX(('V06 Motor'!A111-1)*30/'V06 Motor'!C111,0))*'V06 Curva'!$B$5,MAX(0,MIN('V06 Motor'!A111*30/'V06 Motor'!C111,2)-MAX(('V06 Motor'!A111-1)*30/'V06 Motor'!C111,1))*'V06 Curva'!$B$6,MAX(0,MIN('V06 Motor'!A111*30/'V06 Motor'!C111,3)-MAX(('V06 Motor'!A111-1)*30/'V06 Motor'!C111,2))*'V06 Curva'!$B$7,MAX(0,MIN('V06 Motor'!A111*30/'V06 Motor'!C111,4)-MAX(('V06 Motor'!A111-1)*30/'V06 Motor'!C111,3))*'V06 Curva'!$B$8,MAX(0,MIN('V06 Motor'!A111*30/'V06 Motor'!C111,5)-MAX(('V06 Motor'!A111-1)*30/'V06 Motor'!C111,4))*'V06 Curva'!$B$9,MAX(0,MIN('V06 Motor'!A111*30/'V06 Motor'!C111,6)-MAX(('V06 Motor'!A111-1)*30/'V06 Motor'!C111,5))*'V06 Curva'!$B$10,MAX(0,MIN('V06 Motor'!A111*30/'V06 Motor'!C111,7)-MAX(('V06 Motor'!A111-1)*30/'V06 Motor'!C111,6))*'V06 Curva'!$B$11,MAX(0,MIN('V06 Motor'!A111*30/'V06 Motor'!C111,8)-MAX(('V06 Motor'!A111-1)*30/'V06 Motor'!C111,7))*'V06 Curva'!$B$12,MAX(0,MIN('V06 Motor'!A111*30/'V06 Motor'!C111,9)-MAX(('V06 Motor'!A111-1)*30/'V06 Motor'!C111,8))*'V06 Curva'!$B$13,MAX(0,MIN('V06 Motor'!A111*30/'V06 Motor'!C111,10)-MAX(('V06 Motor'!A111-1)*30/'V06 Motor'!C111,9))*'V06 Curva'!$B$14,MAX(0,MIN('V06 Motor'!A111*30/'V06 Motor'!C111,11)-MAX(('V06 Motor'!A111-1)*30/'V06 Motor'!C111,10))*'V06 Curva'!$B$15,MAX(0,MIN('V06 Motor'!A111*30/'V06 Motor'!C111,12)-MAX(('V06 Motor'!A111-1)*30/'V06 Motor'!C111,11))*'V06 Curva'!$B$16,MAX(0,MIN('V06 Motor'!A111*30/'V06 Motor'!C111,13)-MAX(('V06 Motor'!A111-1)*30/'V06 Motor'!C111,12))*'V06 Curva'!$B$17,MAX(0,MIN('V06 Motor'!A111*30/'V06 Motor'!C111,14)-MAX(('V06 Motor'!A111-1)*30/'V06 Motor'!C111,13))*'V06 Curva'!$B$18,MAX(0,MIN('V06 Motor'!A111*30/'V06 Motor'!C111,15)-MAX(('V06 Motor'!A111-1)*30/'V06 Motor'!C111,14))*'V06 Curva'!$B$19,MAX(0,MIN('V06 Motor'!A111*30/'V06 Motor'!C111,16)-MAX(('V06 Motor'!A111-1)*30/'V06 Motor'!C111,15))*'V06 Curva'!$B$20,MAX(0,MIN('V06 Motor'!A111*30/'V06 Motor'!C111,17)-MAX(('V06 Motor'!A111-1)*30/'V06 Motor'!C111,16))*'V06 Curva'!$B$21,MAX(0,MIN('V06 Motor'!A111*30/'V06 Motor'!C111,18)-MAX(('V06 Motor'!A111-1)*30/'V06 Motor'!C111,17))*'V06 Curva'!$B$22,MAX(0,MIN('V06 Motor'!A111*30/'V06 Motor'!C111,19)-MAX(('V06 Motor'!A111-1)*30/'V06 Motor'!C111,18))*'V06 Curva'!$B$23,MAX(0,MIN('V06 Motor'!A111*30/'V06 Motor'!C111,20)-MAX(('V06 Motor'!A111-1)*30/'V06 Motor'!C111,19))*'V06 Curva'!$B$24,MAX(0,MIN('V06 Motor'!A111*30/'V06 Motor'!C111,21)-MAX(('V06 Motor'!A111-1)*30/'V06 Motor'!C111,20))*'V06 Curva'!$B$25,MAX(0,MIN('V06 Motor'!A111*30/'V06 Motor'!C111,22)-MAX(('V06 Motor'!A111-1)*30/'V06 Motor'!C111,21))*'V06 Curva'!$B$26,MAX(0,MIN('V06 Motor'!A111*30/'V06 Motor'!C111,23)-MAX(('V06 Motor'!A111-1)*30/'V06 Motor'!C111,22))*'V06 Curva'!$B$27,MAX(0,MIN('V06 Motor'!A111*30/'V06 Motor'!C111,24)-MAX(('V06 Motor'!A111-1)*30/'V06 Motor'!C111,23))*'V06 Curva'!$B$28,MAX(0,MIN('V06 Motor'!A111*30/'V06 Motor'!C111,25)-MAX(('V06 Motor'!A111-1)*30/'V06 Motor'!C111,24))*'V06 Curva'!$B$29,MAX(0,MIN('V06 Motor'!A111*30/'V06 Motor'!C111,26)-MAX(('V06 Motor'!A111-1)*30/'V06 Motor'!C111,25))*'V06 Curva'!$B$30,MAX(0,MIN('V06 Motor'!A111*30/'V06 Motor'!C111,27)-MAX(('V06 Motor'!A111-1)*30/'V06 Motor'!C111,26))*'V06 Curva'!$B$31,MAX(0,MIN('V06 Motor'!A111*30/'V06 Motor'!C111,28)-MAX(('V06 Motor'!A111-1)*30/'V06 Motor'!C111,27))*'V06 Curva'!$B$32,MAX(0,MIN('V06 Motor'!A111*30/'V06 Motor'!C111,29)-MAX(('V06 Motor'!A111-1)*30/'V06 Motor'!C111,28))*'V06 Curva'!$B$33,MAX(0,MIN('V06 Motor'!A111*30/'V06 Motor'!C111,30)-MAX(('V06 Motor'!A111-1)*30/'V06 Motor'!C111,29))*'V06 Curva'!$B$34),0)</f>
        <v>0.0</v>
      </c>
      <c r="O111" s="2">
        <f>SUMPRODUCT(--(('V06 Unidades'!$I$5:$I$98+'V06 Controlos'!$B$37)='V06 Motor'!A111),ROUND('V06 Unidades'!$H$5:$H$98*0.05,2)+ROUND('V06 Unidades'!$H$5:$H$98*0.2,2))+SUMPRODUCT(--(IF('V06 Controlos'!$B$38&gt;0,IF(('V06 Unidades'!$L$5:$L$98+'V06 Controlos'!$B$37)&lt;'V06 Motor'!C111,'V06 Motor'!C111,('V06 Unidades'!$L$5:$L$98+'V06 Controlos'!$B$37)),('V06 Unidades'!$L$5:$L$98+'V06 Controlos'!$B$37))='V06 Motor'!A111),'V06 Unidades'!$H$5:$H$98-ROUND('V06 Unidades'!$H$5:$H$98*0.05,2)-ROUND('V06 Unidades'!$H$5:$H$98*0.2,2)-ROUND('V06 Unidades'!$H$5:$H$98*0.55,2))+SUMPRODUCT(--(IF(INT((IF('V06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Controlos'!$B$37)-1)/6),0)&gt;0),--('V06 Motor'!A111&gt;('V06 Unidades'!$I$5:$I$98+'V06 Controlos'!$B$37)),--('V06 Motor'!A111&lt;IF('V06 Controlos'!$B$38&gt;0,IF(('V06 Unidades'!$L$5:$L$98+'V06 Controlos'!$B$37)&lt;'V06 Motor'!C111,'V06 Motor'!C111,('V06 Unidades'!$L$5:$L$98+'V06 Controlos'!$B$37)),('V06 Unidades'!$L$5:$L$98+'V06 Controlos'!$B$37))),--(MOD('V06 Motor'!A111-('V06 Unidades'!$I$5:$I$98+'V06 Controlos'!$B$37),6)=0),--(('V06 Motor'!A111-('V06 Unidades'!$I$5:$I$98+'V06 Controlos'!$B$37))/6&lt;=IF(INT((IF('V06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Controlos'!$B$37)-1)/6),0)),IF('V06 Motor'!A111=('V06 Unidades'!$I$5:$I$98+'V06 Controlos'!$B$37)+6*IF(INT((IF('V06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Controlos'!$B$37)-1)/6),0)&gt;0,IF(INT((IF('V06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Controlos'!$B$37)-1)/6),0),1),2)*(IF(INT((IF('V06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Controlos'!$B$37)-1)/6),0)&gt;0,IF(INT((IF('V06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Controlos'!$B$37)-1)/6)&gt;0,INT((IF('V06 Controlos'!$B$38&gt;0,IF(('V06 Unidades'!$L$5:$L$98+'V06 Controlos'!$B$37)&lt;'V06 Motor'!C111,'V06 Motor'!C111,('V06 Unidades'!$L$5:$L$98+'V06 Controlos'!$B$37)),('V06 Unidades'!$L$5:$L$98+'V06 Controlos'!$B$37))-('V06 Unidades'!$I$5:$I$98+'V06 Controlos'!$B$37)-1)/6),0),1),2)))</f>
        <v>0.0</v>
      </c>
      <c r="P111" s="2">
        <f>SUM('V06 Calend 01'!DO5:DO98)</f>
        <v>0.0</v>
      </c>
    </row>
    <row r="112" spans="1:16">
      <c r="A112">
        <v>108</v>
      </c>
      <c r="C112">
        <v>30</v>
      </c>
      <c r="G112" s="2">
        <f>IF('V06 Motor'!A112&lt;='V06 Motor'!C112,SUMPRODUCT('V06 Curva'!$B$5:$B$34,IF((IF('V06 Motor'!A112*30/'V06 Motor'!C112&lt;'V06 Curva'!$A$5:$A$34,'V06 Motor'!A112*30/'V06 Motor'!C112,'V06 Curva'!$A$5:$A$34)-IF(('V06 Motor'!A112-1)*30/'V06 Motor'!C112&gt;'V06 Curva'!$A$5:$A$34-1,('V06 Motor'!A112-1)*30/'V06 Motor'!C112,'V06 Curva'!$A$5:$A$34-1))&gt;0,(IF('V06 Motor'!A112*30/'V06 Motor'!C112&lt;'V06 Curva'!$A$5:$A$34,'V06 Motor'!A112*30/'V06 Motor'!C112,'V06 Curva'!$A$5:$A$34)-IF(('V06 Motor'!A112-1)*30/'V06 Motor'!C112&gt;'V06 Curva'!$A$5:$A$34-1,('V06 Motor'!A112-1)*30/'V06 Motor'!C112,'V06 Curva'!$A$5:$A$34-1)),0)),0)</f>
        <v>0.0</v>
      </c>
      <c r="H112" s="2">
        <f>IF('V06 Motor'!A112&lt;='V06 Motor'!C112,SUM(MAX(0,MIN('V06 Motor'!A112*30/'V06 Motor'!C112,1)-MAX(('V06 Motor'!A112-1)*30/'V06 Motor'!C112,0))*'V06 Curva'!$B$5,MAX(0,MIN('V06 Motor'!A112*30/'V06 Motor'!C112,2)-MAX(('V06 Motor'!A112-1)*30/'V06 Motor'!C112,1))*'V06 Curva'!$B$6,MAX(0,MIN('V06 Motor'!A112*30/'V06 Motor'!C112,3)-MAX(('V06 Motor'!A112-1)*30/'V06 Motor'!C112,2))*'V06 Curva'!$B$7,MAX(0,MIN('V06 Motor'!A112*30/'V06 Motor'!C112,4)-MAX(('V06 Motor'!A112-1)*30/'V06 Motor'!C112,3))*'V06 Curva'!$B$8,MAX(0,MIN('V06 Motor'!A112*30/'V06 Motor'!C112,5)-MAX(('V06 Motor'!A112-1)*30/'V06 Motor'!C112,4))*'V06 Curva'!$B$9,MAX(0,MIN('V06 Motor'!A112*30/'V06 Motor'!C112,6)-MAX(('V06 Motor'!A112-1)*30/'V06 Motor'!C112,5))*'V06 Curva'!$B$10,MAX(0,MIN('V06 Motor'!A112*30/'V06 Motor'!C112,7)-MAX(('V06 Motor'!A112-1)*30/'V06 Motor'!C112,6))*'V06 Curva'!$B$11,MAX(0,MIN('V06 Motor'!A112*30/'V06 Motor'!C112,8)-MAX(('V06 Motor'!A112-1)*30/'V06 Motor'!C112,7))*'V06 Curva'!$B$12,MAX(0,MIN('V06 Motor'!A112*30/'V06 Motor'!C112,9)-MAX(('V06 Motor'!A112-1)*30/'V06 Motor'!C112,8))*'V06 Curva'!$B$13,MAX(0,MIN('V06 Motor'!A112*30/'V06 Motor'!C112,10)-MAX(('V06 Motor'!A112-1)*30/'V06 Motor'!C112,9))*'V06 Curva'!$B$14,MAX(0,MIN('V06 Motor'!A112*30/'V06 Motor'!C112,11)-MAX(('V06 Motor'!A112-1)*30/'V06 Motor'!C112,10))*'V06 Curva'!$B$15,MAX(0,MIN('V06 Motor'!A112*30/'V06 Motor'!C112,12)-MAX(('V06 Motor'!A112-1)*30/'V06 Motor'!C112,11))*'V06 Curva'!$B$16,MAX(0,MIN('V06 Motor'!A112*30/'V06 Motor'!C112,13)-MAX(('V06 Motor'!A112-1)*30/'V06 Motor'!C112,12))*'V06 Curva'!$B$17,MAX(0,MIN('V06 Motor'!A112*30/'V06 Motor'!C112,14)-MAX(('V06 Motor'!A112-1)*30/'V06 Motor'!C112,13))*'V06 Curva'!$B$18,MAX(0,MIN('V06 Motor'!A112*30/'V06 Motor'!C112,15)-MAX(('V06 Motor'!A112-1)*30/'V06 Motor'!C112,14))*'V06 Curva'!$B$19,MAX(0,MIN('V06 Motor'!A112*30/'V06 Motor'!C112,16)-MAX(('V06 Motor'!A112-1)*30/'V06 Motor'!C112,15))*'V06 Curva'!$B$20,MAX(0,MIN('V06 Motor'!A112*30/'V06 Motor'!C112,17)-MAX(('V06 Motor'!A112-1)*30/'V06 Motor'!C112,16))*'V06 Curva'!$B$21,MAX(0,MIN('V06 Motor'!A112*30/'V06 Motor'!C112,18)-MAX(('V06 Motor'!A112-1)*30/'V06 Motor'!C112,17))*'V06 Curva'!$B$22,MAX(0,MIN('V06 Motor'!A112*30/'V06 Motor'!C112,19)-MAX(('V06 Motor'!A112-1)*30/'V06 Motor'!C112,18))*'V06 Curva'!$B$23,MAX(0,MIN('V06 Motor'!A112*30/'V06 Motor'!C112,20)-MAX(('V06 Motor'!A112-1)*30/'V06 Motor'!C112,19))*'V06 Curva'!$B$24,MAX(0,MIN('V06 Motor'!A112*30/'V06 Motor'!C112,21)-MAX(('V06 Motor'!A112-1)*30/'V06 Motor'!C112,20))*'V06 Curva'!$B$25,MAX(0,MIN('V06 Motor'!A112*30/'V06 Motor'!C112,22)-MAX(('V06 Motor'!A112-1)*30/'V06 Motor'!C112,21))*'V06 Curva'!$B$26,MAX(0,MIN('V06 Motor'!A112*30/'V06 Motor'!C112,23)-MAX(('V06 Motor'!A112-1)*30/'V06 Motor'!C112,22))*'V06 Curva'!$B$27,MAX(0,MIN('V06 Motor'!A112*30/'V06 Motor'!C112,24)-MAX(('V06 Motor'!A112-1)*30/'V06 Motor'!C112,23))*'V06 Curva'!$B$28,MAX(0,MIN('V06 Motor'!A112*30/'V06 Motor'!C112,25)-MAX(('V06 Motor'!A112-1)*30/'V06 Motor'!C112,24))*'V06 Curva'!$B$29,MAX(0,MIN('V06 Motor'!A112*30/'V06 Motor'!C112,26)-MAX(('V06 Motor'!A112-1)*30/'V06 Motor'!C112,25))*'V06 Curva'!$B$30,MAX(0,MIN('V06 Motor'!A112*30/'V06 Motor'!C112,27)-MAX(('V06 Motor'!A112-1)*30/'V06 Motor'!C112,26))*'V06 Curva'!$B$31,MAX(0,MIN('V06 Motor'!A112*30/'V06 Motor'!C112,28)-MAX(('V06 Motor'!A112-1)*30/'V06 Motor'!C112,27))*'V06 Curva'!$B$32,MAX(0,MIN('V06 Motor'!A112*30/'V06 Motor'!C112,29)-MAX(('V06 Motor'!A112-1)*30/'V06 Motor'!C112,28))*'V06 Curva'!$B$33,MAX(0,MIN('V06 Motor'!A112*30/'V06 Motor'!C112,30)-MAX(('V06 Motor'!A112-1)*30/'V06 Motor'!C112,29))*'V06 Curva'!$B$34),0)</f>
        <v>0.0</v>
      </c>
      <c r="O112" s="2">
        <f>SUMPRODUCT(--(('V06 Unidades'!$I$5:$I$98+'V06 Controlos'!$B$37)='V06 Motor'!A112),ROUND('V06 Unidades'!$H$5:$H$98*0.05,2)+ROUND('V06 Unidades'!$H$5:$H$98*0.2,2))+SUMPRODUCT(--(IF('V06 Controlos'!$B$38&gt;0,IF(('V06 Unidades'!$L$5:$L$98+'V06 Controlos'!$B$37)&lt;'V06 Motor'!C112,'V06 Motor'!C112,('V06 Unidades'!$L$5:$L$98+'V06 Controlos'!$B$37)),('V06 Unidades'!$L$5:$L$98+'V06 Controlos'!$B$37))='V06 Motor'!A112),'V06 Unidades'!$H$5:$H$98-ROUND('V06 Unidades'!$H$5:$H$98*0.05,2)-ROUND('V06 Unidades'!$H$5:$H$98*0.2,2)-ROUND('V06 Unidades'!$H$5:$H$98*0.55,2))+SUMPRODUCT(--(IF(INT((IF('V06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Controlos'!$B$37)-1)/6),0)&gt;0),--('V06 Motor'!A112&gt;('V06 Unidades'!$I$5:$I$98+'V06 Controlos'!$B$37)),--('V06 Motor'!A112&lt;IF('V06 Controlos'!$B$38&gt;0,IF(('V06 Unidades'!$L$5:$L$98+'V06 Controlos'!$B$37)&lt;'V06 Motor'!C112,'V06 Motor'!C112,('V06 Unidades'!$L$5:$L$98+'V06 Controlos'!$B$37)),('V06 Unidades'!$L$5:$L$98+'V06 Controlos'!$B$37))),--(MOD('V06 Motor'!A112-('V06 Unidades'!$I$5:$I$98+'V06 Controlos'!$B$37),6)=0),--(('V06 Motor'!A112-('V06 Unidades'!$I$5:$I$98+'V06 Controlos'!$B$37))/6&lt;=IF(INT((IF('V06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Controlos'!$B$37)-1)/6),0)),IF('V06 Motor'!A112=('V06 Unidades'!$I$5:$I$98+'V06 Controlos'!$B$37)+6*IF(INT((IF('V06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Controlos'!$B$37)-1)/6),0)&gt;0,IF(INT((IF('V06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Controlos'!$B$37)-1)/6),0),1),2)*(IF(INT((IF('V06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Controlos'!$B$37)-1)/6),0)&gt;0,IF(INT((IF('V06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Controlos'!$B$37)-1)/6)&gt;0,INT((IF('V06 Controlos'!$B$38&gt;0,IF(('V06 Unidades'!$L$5:$L$98+'V06 Controlos'!$B$37)&lt;'V06 Motor'!C112,'V06 Motor'!C112,('V06 Unidades'!$L$5:$L$98+'V06 Controlos'!$B$37)),('V06 Unidades'!$L$5:$L$98+'V06 Controlos'!$B$37))-('V06 Unidades'!$I$5:$I$98+'V06 Controlos'!$B$37)-1)/6),0),1),2)))</f>
        <v>0.0</v>
      </c>
      <c r="P112" s="2">
        <f>SUM('V06 Calend 01'!DP5:DP98)</f>
        <v>0.0</v>
      </c>
    </row>
    <row r="113" spans="1:16">
      <c r="A113">
        <v>109</v>
      </c>
      <c r="C113">
        <v>30</v>
      </c>
      <c r="G113" s="2">
        <f>IF('V06 Motor'!A113&lt;='V06 Motor'!C113,SUMPRODUCT('V06 Curva'!$B$5:$B$34,IF((IF('V06 Motor'!A113*30/'V06 Motor'!C113&lt;'V06 Curva'!$A$5:$A$34,'V06 Motor'!A113*30/'V06 Motor'!C113,'V06 Curva'!$A$5:$A$34)-IF(('V06 Motor'!A113-1)*30/'V06 Motor'!C113&gt;'V06 Curva'!$A$5:$A$34-1,('V06 Motor'!A113-1)*30/'V06 Motor'!C113,'V06 Curva'!$A$5:$A$34-1))&gt;0,(IF('V06 Motor'!A113*30/'V06 Motor'!C113&lt;'V06 Curva'!$A$5:$A$34,'V06 Motor'!A113*30/'V06 Motor'!C113,'V06 Curva'!$A$5:$A$34)-IF(('V06 Motor'!A113-1)*30/'V06 Motor'!C113&gt;'V06 Curva'!$A$5:$A$34-1,('V06 Motor'!A113-1)*30/'V06 Motor'!C113,'V06 Curva'!$A$5:$A$34-1)),0)),0)</f>
        <v>0.0</v>
      </c>
      <c r="H113" s="2">
        <f>IF('V06 Motor'!A113&lt;='V06 Motor'!C113,SUM(MAX(0,MIN('V06 Motor'!A113*30/'V06 Motor'!C113,1)-MAX(('V06 Motor'!A113-1)*30/'V06 Motor'!C113,0))*'V06 Curva'!$B$5,MAX(0,MIN('V06 Motor'!A113*30/'V06 Motor'!C113,2)-MAX(('V06 Motor'!A113-1)*30/'V06 Motor'!C113,1))*'V06 Curva'!$B$6,MAX(0,MIN('V06 Motor'!A113*30/'V06 Motor'!C113,3)-MAX(('V06 Motor'!A113-1)*30/'V06 Motor'!C113,2))*'V06 Curva'!$B$7,MAX(0,MIN('V06 Motor'!A113*30/'V06 Motor'!C113,4)-MAX(('V06 Motor'!A113-1)*30/'V06 Motor'!C113,3))*'V06 Curva'!$B$8,MAX(0,MIN('V06 Motor'!A113*30/'V06 Motor'!C113,5)-MAX(('V06 Motor'!A113-1)*30/'V06 Motor'!C113,4))*'V06 Curva'!$B$9,MAX(0,MIN('V06 Motor'!A113*30/'V06 Motor'!C113,6)-MAX(('V06 Motor'!A113-1)*30/'V06 Motor'!C113,5))*'V06 Curva'!$B$10,MAX(0,MIN('V06 Motor'!A113*30/'V06 Motor'!C113,7)-MAX(('V06 Motor'!A113-1)*30/'V06 Motor'!C113,6))*'V06 Curva'!$B$11,MAX(0,MIN('V06 Motor'!A113*30/'V06 Motor'!C113,8)-MAX(('V06 Motor'!A113-1)*30/'V06 Motor'!C113,7))*'V06 Curva'!$B$12,MAX(0,MIN('V06 Motor'!A113*30/'V06 Motor'!C113,9)-MAX(('V06 Motor'!A113-1)*30/'V06 Motor'!C113,8))*'V06 Curva'!$B$13,MAX(0,MIN('V06 Motor'!A113*30/'V06 Motor'!C113,10)-MAX(('V06 Motor'!A113-1)*30/'V06 Motor'!C113,9))*'V06 Curva'!$B$14,MAX(0,MIN('V06 Motor'!A113*30/'V06 Motor'!C113,11)-MAX(('V06 Motor'!A113-1)*30/'V06 Motor'!C113,10))*'V06 Curva'!$B$15,MAX(0,MIN('V06 Motor'!A113*30/'V06 Motor'!C113,12)-MAX(('V06 Motor'!A113-1)*30/'V06 Motor'!C113,11))*'V06 Curva'!$B$16,MAX(0,MIN('V06 Motor'!A113*30/'V06 Motor'!C113,13)-MAX(('V06 Motor'!A113-1)*30/'V06 Motor'!C113,12))*'V06 Curva'!$B$17,MAX(0,MIN('V06 Motor'!A113*30/'V06 Motor'!C113,14)-MAX(('V06 Motor'!A113-1)*30/'V06 Motor'!C113,13))*'V06 Curva'!$B$18,MAX(0,MIN('V06 Motor'!A113*30/'V06 Motor'!C113,15)-MAX(('V06 Motor'!A113-1)*30/'V06 Motor'!C113,14))*'V06 Curva'!$B$19,MAX(0,MIN('V06 Motor'!A113*30/'V06 Motor'!C113,16)-MAX(('V06 Motor'!A113-1)*30/'V06 Motor'!C113,15))*'V06 Curva'!$B$20,MAX(0,MIN('V06 Motor'!A113*30/'V06 Motor'!C113,17)-MAX(('V06 Motor'!A113-1)*30/'V06 Motor'!C113,16))*'V06 Curva'!$B$21,MAX(0,MIN('V06 Motor'!A113*30/'V06 Motor'!C113,18)-MAX(('V06 Motor'!A113-1)*30/'V06 Motor'!C113,17))*'V06 Curva'!$B$22,MAX(0,MIN('V06 Motor'!A113*30/'V06 Motor'!C113,19)-MAX(('V06 Motor'!A113-1)*30/'V06 Motor'!C113,18))*'V06 Curva'!$B$23,MAX(0,MIN('V06 Motor'!A113*30/'V06 Motor'!C113,20)-MAX(('V06 Motor'!A113-1)*30/'V06 Motor'!C113,19))*'V06 Curva'!$B$24,MAX(0,MIN('V06 Motor'!A113*30/'V06 Motor'!C113,21)-MAX(('V06 Motor'!A113-1)*30/'V06 Motor'!C113,20))*'V06 Curva'!$B$25,MAX(0,MIN('V06 Motor'!A113*30/'V06 Motor'!C113,22)-MAX(('V06 Motor'!A113-1)*30/'V06 Motor'!C113,21))*'V06 Curva'!$B$26,MAX(0,MIN('V06 Motor'!A113*30/'V06 Motor'!C113,23)-MAX(('V06 Motor'!A113-1)*30/'V06 Motor'!C113,22))*'V06 Curva'!$B$27,MAX(0,MIN('V06 Motor'!A113*30/'V06 Motor'!C113,24)-MAX(('V06 Motor'!A113-1)*30/'V06 Motor'!C113,23))*'V06 Curva'!$B$28,MAX(0,MIN('V06 Motor'!A113*30/'V06 Motor'!C113,25)-MAX(('V06 Motor'!A113-1)*30/'V06 Motor'!C113,24))*'V06 Curva'!$B$29,MAX(0,MIN('V06 Motor'!A113*30/'V06 Motor'!C113,26)-MAX(('V06 Motor'!A113-1)*30/'V06 Motor'!C113,25))*'V06 Curva'!$B$30,MAX(0,MIN('V06 Motor'!A113*30/'V06 Motor'!C113,27)-MAX(('V06 Motor'!A113-1)*30/'V06 Motor'!C113,26))*'V06 Curva'!$B$31,MAX(0,MIN('V06 Motor'!A113*30/'V06 Motor'!C113,28)-MAX(('V06 Motor'!A113-1)*30/'V06 Motor'!C113,27))*'V06 Curva'!$B$32,MAX(0,MIN('V06 Motor'!A113*30/'V06 Motor'!C113,29)-MAX(('V06 Motor'!A113-1)*30/'V06 Motor'!C113,28))*'V06 Curva'!$B$33,MAX(0,MIN('V06 Motor'!A113*30/'V06 Motor'!C113,30)-MAX(('V06 Motor'!A113-1)*30/'V06 Motor'!C113,29))*'V06 Curva'!$B$34),0)</f>
        <v>0.0</v>
      </c>
      <c r="O113" s="2">
        <f>SUMPRODUCT(--(('V06 Unidades'!$I$5:$I$98+'V06 Controlos'!$B$37)='V06 Motor'!A113),ROUND('V06 Unidades'!$H$5:$H$98*0.05,2)+ROUND('V06 Unidades'!$H$5:$H$98*0.2,2))+SUMPRODUCT(--(IF('V06 Controlos'!$B$38&gt;0,IF(('V06 Unidades'!$L$5:$L$98+'V06 Controlos'!$B$37)&lt;'V06 Motor'!C113,'V06 Motor'!C113,('V06 Unidades'!$L$5:$L$98+'V06 Controlos'!$B$37)),('V06 Unidades'!$L$5:$L$98+'V06 Controlos'!$B$37))='V06 Motor'!A113),'V06 Unidades'!$H$5:$H$98-ROUND('V06 Unidades'!$H$5:$H$98*0.05,2)-ROUND('V06 Unidades'!$H$5:$H$98*0.2,2)-ROUND('V06 Unidades'!$H$5:$H$98*0.55,2))+SUMPRODUCT(--(IF(INT((IF('V06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Controlos'!$B$37)-1)/6),0)&gt;0),--('V06 Motor'!A113&gt;('V06 Unidades'!$I$5:$I$98+'V06 Controlos'!$B$37)),--('V06 Motor'!A113&lt;IF('V06 Controlos'!$B$38&gt;0,IF(('V06 Unidades'!$L$5:$L$98+'V06 Controlos'!$B$37)&lt;'V06 Motor'!C113,'V06 Motor'!C113,('V06 Unidades'!$L$5:$L$98+'V06 Controlos'!$B$37)),('V06 Unidades'!$L$5:$L$98+'V06 Controlos'!$B$37))),--(MOD('V06 Motor'!A113-('V06 Unidades'!$I$5:$I$98+'V06 Controlos'!$B$37),6)=0),--(('V06 Motor'!A113-('V06 Unidades'!$I$5:$I$98+'V06 Controlos'!$B$37))/6&lt;=IF(INT((IF('V06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Controlos'!$B$37)-1)/6),0)),IF('V06 Motor'!A113=('V06 Unidades'!$I$5:$I$98+'V06 Controlos'!$B$37)+6*IF(INT((IF('V06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Controlos'!$B$37)-1)/6),0)&gt;0,IF(INT((IF('V06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Controlos'!$B$37)-1)/6),0),1),2)*(IF(INT((IF('V06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Controlos'!$B$37)-1)/6),0)&gt;0,IF(INT((IF('V06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Controlos'!$B$37)-1)/6)&gt;0,INT((IF('V06 Controlos'!$B$38&gt;0,IF(('V06 Unidades'!$L$5:$L$98+'V06 Controlos'!$B$37)&lt;'V06 Motor'!C113,'V06 Motor'!C113,('V06 Unidades'!$L$5:$L$98+'V06 Controlos'!$B$37)),('V06 Unidades'!$L$5:$L$98+'V06 Controlos'!$B$37))-('V06 Unidades'!$I$5:$I$98+'V06 Controlos'!$B$37)-1)/6),0),1),2)))</f>
        <v>0.0</v>
      </c>
      <c r="P113" s="2">
        <f>SUM('V06 Calend 01'!DQ5:DQ98)</f>
        <v>0.0</v>
      </c>
    </row>
    <row r="114" spans="1:16">
      <c r="A114">
        <v>110</v>
      </c>
      <c r="C114">
        <v>30</v>
      </c>
      <c r="G114" s="2">
        <f>IF('V06 Motor'!A114&lt;='V06 Motor'!C114,SUMPRODUCT('V06 Curva'!$B$5:$B$34,IF((IF('V06 Motor'!A114*30/'V06 Motor'!C114&lt;'V06 Curva'!$A$5:$A$34,'V06 Motor'!A114*30/'V06 Motor'!C114,'V06 Curva'!$A$5:$A$34)-IF(('V06 Motor'!A114-1)*30/'V06 Motor'!C114&gt;'V06 Curva'!$A$5:$A$34-1,('V06 Motor'!A114-1)*30/'V06 Motor'!C114,'V06 Curva'!$A$5:$A$34-1))&gt;0,(IF('V06 Motor'!A114*30/'V06 Motor'!C114&lt;'V06 Curva'!$A$5:$A$34,'V06 Motor'!A114*30/'V06 Motor'!C114,'V06 Curva'!$A$5:$A$34)-IF(('V06 Motor'!A114-1)*30/'V06 Motor'!C114&gt;'V06 Curva'!$A$5:$A$34-1,('V06 Motor'!A114-1)*30/'V06 Motor'!C114,'V06 Curva'!$A$5:$A$34-1)),0)),0)</f>
        <v>0.0</v>
      </c>
      <c r="H114" s="2">
        <f>IF('V06 Motor'!A114&lt;='V06 Motor'!C114,SUM(MAX(0,MIN('V06 Motor'!A114*30/'V06 Motor'!C114,1)-MAX(('V06 Motor'!A114-1)*30/'V06 Motor'!C114,0))*'V06 Curva'!$B$5,MAX(0,MIN('V06 Motor'!A114*30/'V06 Motor'!C114,2)-MAX(('V06 Motor'!A114-1)*30/'V06 Motor'!C114,1))*'V06 Curva'!$B$6,MAX(0,MIN('V06 Motor'!A114*30/'V06 Motor'!C114,3)-MAX(('V06 Motor'!A114-1)*30/'V06 Motor'!C114,2))*'V06 Curva'!$B$7,MAX(0,MIN('V06 Motor'!A114*30/'V06 Motor'!C114,4)-MAX(('V06 Motor'!A114-1)*30/'V06 Motor'!C114,3))*'V06 Curva'!$B$8,MAX(0,MIN('V06 Motor'!A114*30/'V06 Motor'!C114,5)-MAX(('V06 Motor'!A114-1)*30/'V06 Motor'!C114,4))*'V06 Curva'!$B$9,MAX(0,MIN('V06 Motor'!A114*30/'V06 Motor'!C114,6)-MAX(('V06 Motor'!A114-1)*30/'V06 Motor'!C114,5))*'V06 Curva'!$B$10,MAX(0,MIN('V06 Motor'!A114*30/'V06 Motor'!C114,7)-MAX(('V06 Motor'!A114-1)*30/'V06 Motor'!C114,6))*'V06 Curva'!$B$11,MAX(0,MIN('V06 Motor'!A114*30/'V06 Motor'!C114,8)-MAX(('V06 Motor'!A114-1)*30/'V06 Motor'!C114,7))*'V06 Curva'!$B$12,MAX(0,MIN('V06 Motor'!A114*30/'V06 Motor'!C114,9)-MAX(('V06 Motor'!A114-1)*30/'V06 Motor'!C114,8))*'V06 Curva'!$B$13,MAX(0,MIN('V06 Motor'!A114*30/'V06 Motor'!C114,10)-MAX(('V06 Motor'!A114-1)*30/'V06 Motor'!C114,9))*'V06 Curva'!$B$14,MAX(0,MIN('V06 Motor'!A114*30/'V06 Motor'!C114,11)-MAX(('V06 Motor'!A114-1)*30/'V06 Motor'!C114,10))*'V06 Curva'!$B$15,MAX(0,MIN('V06 Motor'!A114*30/'V06 Motor'!C114,12)-MAX(('V06 Motor'!A114-1)*30/'V06 Motor'!C114,11))*'V06 Curva'!$B$16,MAX(0,MIN('V06 Motor'!A114*30/'V06 Motor'!C114,13)-MAX(('V06 Motor'!A114-1)*30/'V06 Motor'!C114,12))*'V06 Curva'!$B$17,MAX(0,MIN('V06 Motor'!A114*30/'V06 Motor'!C114,14)-MAX(('V06 Motor'!A114-1)*30/'V06 Motor'!C114,13))*'V06 Curva'!$B$18,MAX(0,MIN('V06 Motor'!A114*30/'V06 Motor'!C114,15)-MAX(('V06 Motor'!A114-1)*30/'V06 Motor'!C114,14))*'V06 Curva'!$B$19,MAX(0,MIN('V06 Motor'!A114*30/'V06 Motor'!C114,16)-MAX(('V06 Motor'!A114-1)*30/'V06 Motor'!C114,15))*'V06 Curva'!$B$20,MAX(0,MIN('V06 Motor'!A114*30/'V06 Motor'!C114,17)-MAX(('V06 Motor'!A114-1)*30/'V06 Motor'!C114,16))*'V06 Curva'!$B$21,MAX(0,MIN('V06 Motor'!A114*30/'V06 Motor'!C114,18)-MAX(('V06 Motor'!A114-1)*30/'V06 Motor'!C114,17))*'V06 Curva'!$B$22,MAX(0,MIN('V06 Motor'!A114*30/'V06 Motor'!C114,19)-MAX(('V06 Motor'!A114-1)*30/'V06 Motor'!C114,18))*'V06 Curva'!$B$23,MAX(0,MIN('V06 Motor'!A114*30/'V06 Motor'!C114,20)-MAX(('V06 Motor'!A114-1)*30/'V06 Motor'!C114,19))*'V06 Curva'!$B$24,MAX(0,MIN('V06 Motor'!A114*30/'V06 Motor'!C114,21)-MAX(('V06 Motor'!A114-1)*30/'V06 Motor'!C114,20))*'V06 Curva'!$B$25,MAX(0,MIN('V06 Motor'!A114*30/'V06 Motor'!C114,22)-MAX(('V06 Motor'!A114-1)*30/'V06 Motor'!C114,21))*'V06 Curva'!$B$26,MAX(0,MIN('V06 Motor'!A114*30/'V06 Motor'!C114,23)-MAX(('V06 Motor'!A114-1)*30/'V06 Motor'!C114,22))*'V06 Curva'!$B$27,MAX(0,MIN('V06 Motor'!A114*30/'V06 Motor'!C114,24)-MAX(('V06 Motor'!A114-1)*30/'V06 Motor'!C114,23))*'V06 Curva'!$B$28,MAX(0,MIN('V06 Motor'!A114*30/'V06 Motor'!C114,25)-MAX(('V06 Motor'!A114-1)*30/'V06 Motor'!C114,24))*'V06 Curva'!$B$29,MAX(0,MIN('V06 Motor'!A114*30/'V06 Motor'!C114,26)-MAX(('V06 Motor'!A114-1)*30/'V06 Motor'!C114,25))*'V06 Curva'!$B$30,MAX(0,MIN('V06 Motor'!A114*30/'V06 Motor'!C114,27)-MAX(('V06 Motor'!A114-1)*30/'V06 Motor'!C114,26))*'V06 Curva'!$B$31,MAX(0,MIN('V06 Motor'!A114*30/'V06 Motor'!C114,28)-MAX(('V06 Motor'!A114-1)*30/'V06 Motor'!C114,27))*'V06 Curva'!$B$32,MAX(0,MIN('V06 Motor'!A114*30/'V06 Motor'!C114,29)-MAX(('V06 Motor'!A114-1)*30/'V06 Motor'!C114,28))*'V06 Curva'!$B$33,MAX(0,MIN('V06 Motor'!A114*30/'V06 Motor'!C114,30)-MAX(('V06 Motor'!A114-1)*30/'V06 Motor'!C114,29))*'V06 Curva'!$B$34),0)</f>
        <v>0.0</v>
      </c>
      <c r="O114" s="2">
        <f>SUMPRODUCT(--(('V06 Unidades'!$I$5:$I$98+'V06 Controlos'!$B$37)='V06 Motor'!A114),ROUND('V06 Unidades'!$H$5:$H$98*0.05,2)+ROUND('V06 Unidades'!$H$5:$H$98*0.2,2))+SUMPRODUCT(--(IF('V06 Controlos'!$B$38&gt;0,IF(('V06 Unidades'!$L$5:$L$98+'V06 Controlos'!$B$37)&lt;'V06 Motor'!C114,'V06 Motor'!C114,('V06 Unidades'!$L$5:$L$98+'V06 Controlos'!$B$37)),('V06 Unidades'!$L$5:$L$98+'V06 Controlos'!$B$37))='V06 Motor'!A114),'V06 Unidades'!$H$5:$H$98-ROUND('V06 Unidades'!$H$5:$H$98*0.05,2)-ROUND('V06 Unidades'!$H$5:$H$98*0.2,2)-ROUND('V06 Unidades'!$H$5:$H$98*0.55,2))+SUMPRODUCT(--(IF(INT((IF('V06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Controlos'!$B$37)-1)/6),0)&gt;0),--('V06 Motor'!A114&gt;('V06 Unidades'!$I$5:$I$98+'V06 Controlos'!$B$37)),--('V06 Motor'!A114&lt;IF('V06 Controlos'!$B$38&gt;0,IF(('V06 Unidades'!$L$5:$L$98+'V06 Controlos'!$B$37)&lt;'V06 Motor'!C114,'V06 Motor'!C114,('V06 Unidades'!$L$5:$L$98+'V06 Controlos'!$B$37)),('V06 Unidades'!$L$5:$L$98+'V06 Controlos'!$B$37))),--(MOD('V06 Motor'!A114-('V06 Unidades'!$I$5:$I$98+'V06 Controlos'!$B$37),6)=0),--(('V06 Motor'!A114-('V06 Unidades'!$I$5:$I$98+'V06 Controlos'!$B$37))/6&lt;=IF(INT((IF('V06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Controlos'!$B$37)-1)/6),0)),IF('V06 Motor'!A114=('V06 Unidades'!$I$5:$I$98+'V06 Controlos'!$B$37)+6*IF(INT((IF('V06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Controlos'!$B$37)-1)/6),0)&gt;0,IF(INT((IF('V06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Controlos'!$B$37)-1)/6),0),1),2)*(IF(INT((IF('V06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Controlos'!$B$37)-1)/6),0)&gt;0,IF(INT((IF('V06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Controlos'!$B$37)-1)/6)&gt;0,INT((IF('V06 Controlos'!$B$38&gt;0,IF(('V06 Unidades'!$L$5:$L$98+'V06 Controlos'!$B$37)&lt;'V06 Motor'!C114,'V06 Motor'!C114,('V06 Unidades'!$L$5:$L$98+'V06 Controlos'!$B$37)),('V06 Unidades'!$L$5:$L$98+'V06 Controlos'!$B$37))-('V06 Unidades'!$I$5:$I$98+'V06 Controlos'!$B$37)-1)/6),0),1),2)))</f>
        <v>0.0</v>
      </c>
      <c r="P114" s="2">
        <f>SUM('V06 Calend 01'!DR5:DR98)</f>
        <v>0.0</v>
      </c>
    </row>
    <row r="115" spans="1:16">
      <c r="A115">
        <v>111</v>
      </c>
      <c r="C115">
        <v>30</v>
      </c>
      <c r="G115" s="2">
        <f>IF('V06 Motor'!A115&lt;='V06 Motor'!C115,SUMPRODUCT('V06 Curva'!$B$5:$B$34,IF((IF('V06 Motor'!A115*30/'V06 Motor'!C115&lt;'V06 Curva'!$A$5:$A$34,'V06 Motor'!A115*30/'V06 Motor'!C115,'V06 Curva'!$A$5:$A$34)-IF(('V06 Motor'!A115-1)*30/'V06 Motor'!C115&gt;'V06 Curva'!$A$5:$A$34-1,('V06 Motor'!A115-1)*30/'V06 Motor'!C115,'V06 Curva'!$A$5:$A$34-1))&gt;0,(IF('V06 Motor'!A115*30/'V06 Motor'!C115&lt;'V06 Curva'!$A$5:$A$34,'V06 Motor'!A115*30/'V06 Motor'!C115,'V06 Curva'!$A$5:$A$34)-IF(('V06 Motor'!A115-1)*30/'V06 Motor'!C115&gt;'V06 Curva'!$A$5:$A$34-1,('V06 Motor'!A115-1)*30/'V06 Motor'!C115,'V06 Curva'!$A$5:$A$34-1)),0)),0)</f>
        <v>0.0</v>
      </c>
      <c r="H115" s="2">
        <f>IF('V06 Motor'!A115&lt;='V06 Motor'!C115,SUM(MAX(0,MIN('V06 Motor'!A115*30/'V06 Motor'!C115,1)-MAX(('V06 Motor'!A115-1)*30/'V06 Motor'!C115,0))*'V06 Curva'!$B$5,MAX(0,MIN('V06 Motor'!A115*30/'V06 Motor'!C115,2)-MAX(('V06 Motor'!A115-1)*30/'V06 Motor'!C115,1))*'V06 Curva'!$B$6,MAX(0,MIN('V06 Motor'!A115*30/'V06 Motor'!C115,3)-MAX(('V06 Motor'!A115-1)*30/'V06 Motor'!C115,2))*'V06 Curva'!$B$7,MAX(0,MIN('V06 Motor'!A115*30/'V06 Motor'!C115,4)-MAX(('V06 Motor'!A115-1)*30/'V06 Motor'!C115,3))*'V06 Curva'!$B$8,MAX(0,MIN('V06 Motor'!A115*30/'V06 Motor'!C115,5)-MAX(('V06 Motor'!A115-1)*30/'V06 Motor'!C115,4))*'V06 Curva'!$B$9,MAX(0,MIN('V06 Motor'!A115*30/'V06 Motor'!C115,6)-MAX(('V06 Motor'!A115-1)*30/'V06 Motor'!C115,5))*'V06 Curva'!$B$10,MAX(0,MIN('V06 Motor'!A115*30/'V06 Motor'!C115,7)-MAX(('V06 Motor'!A115-1)*30/'V06 Motor'!C115,6))*'V06 Curva'!$B$11,MAX(0,MIN('V06 Motor'!A115*30/'V06 Motor'!C115,8)-MAX(('V06 Motor'!A115-1)*30/'V06 Motor'!C115,7))*'V06 Curva'!$B$12,MAX(0,MIN('V06 Motor'!A115*30/'V06 Motor'!C115,9)-MAX(('V06 Motor'!A115-1)*30/'V06 Motor'!C115,8))*'V06 Curva'!$B$13,MAX(0,MIN('V06 Motor'!A115*30/'V06 Motor'!C115,10)-MAX(('V06 Motor'!A115-1)*30/'V06 Motor'!C115,9))*'V06 Curva'!$B$14,MAX(0,MIN('V06 Motor'!A115*30/'V06 Motor'!C115,11)-MAX(('V06 Motor'!A115-1)*30/'V06 Motor'!C115,10))*'V06 Curva'!$B$15,MAX(0,MIN('V06 Motor'!A115*30/'V06 Motor'!C115,12)-MAX(('V06 Motor'!A115-1)*30/'V06 Motor'!C115,11))*'V06 Curva'!$B$16,MAX(0,MIN('V06 Motor'!A115*30/'V06 Motor'!C115,13)-MAX(('V06 Motor'!A115-1)*30/'V06 Motor'!C115,12))*'V06 Curva'!$B$17,MAX(0,MIN('V06 Motor'!A115*30/'V06 Motor'!C115,14)-MAX(('V06 Motor'!A115-1)*30/'V06 Motor'!C115,13))*'V06 Curva'!$B$18,MAX(0,MIN('V06 Motor'!A115*30/'V06 Motor'!C115,15)-MAX(('V06 Motor'!A115-1)*30/'V06 Motor'!C115,14))*'V06 Curva'!$B$19,MAX(0,MIN('V06 Motor'!A115*30/'V06 Motor'!C115,16)-MAX(('V06 Motor'!A115-1)*30/'V06 Motor'!C115,15))*'V06 Curva'!$B$20,MAX(0,MIN('V06 Motor'!A115*30/'V06 Motor'!C115,17)-MAX(('V06 Motor'!A115-1)*30/'V06 Motor'!C115,16))*'V06 Curva'!$B$21,MAX(0,MIN('V06 Motor'!A115*30/'V06 Motor'!C115,18)-MAX(('V06 Motor'!A115-1)*30/'V06 Motor'!C115,17))*'V06 Curva'!$B$22,MAX(0,MIN('V06 Motor'!A115*30/'V06 Motor'!C115,19)-MAX(('V06 Motor'!A115-1)*30/'V06 Motor'!C115,18))*'V06 Curva'!$B$23,MAX(0,MIN('V06 Motor'!A115*30/'V06 Motor'!C115,20)-MAX(('V06 Motor'!A115-1)*30/'V06 Motor'!C115,19))*'V06 Curva'!$B$24,MAX(0,MIN('V06 Motor'!A115*30/'V06 Motor'!C115,21)-MAX(('V06 Motor'!A115-1)*30/'V06 Motor'!C115,20))*'V06 Curva'!$B$25,MAX(0,MIN('V06 Motor'!A115*30/'V06 Motor'!C115,22)-MAX(('V06 Motor'!A115-1)*30/'V06 Motor'!C115,21))*'V06 Curva'!$B$26,MAX(0,MIN('V06 Motor'!A115*30/'V06 Motor'!C115,23)-MAX(('V06 Motor'!A115-1)*30/'V06 Motor'!C115,22))*'V06 Curva'!$B$27,MAX(0,MIN('V06 Motor'!A115*30/'V06 Motor'!C115,24)-MAX(('V06 Motor'!A115-1)*30/'V06 Motor'!C115,23))*'V06 Curva'!$B$28,MAX(0,MIN('V06 Motor'!A115*30/'V06 Motor'!C115,25)-MAX(('V06 Motor'!A115-1)*30/'V06 Motor'!C115,24))*'V06 Curva'!$B$29,MAX(0,MIN('V06 Motor'!A115*30/'V06 Motor'!C115,26)-MAX(('V06 Motor'!A115-1)*30/'V06 Motor'!C115,25))*'V06 Curva'!$B$30,MAX(0,MIN('V06 Motor'!A115*30/'V06 Motor'!C115,27)-MAX(('V06 Motor'!A115-1)*30/'V06 Motor'!C115,26))*'V06 Curva'!$B$31,MAX(0,MIN('V06 Motor'!A115*30/'V06 Motor'!C115,28)-MAX(('V06 Motor'!A115-1)*30/'V06 Motor'!C115,27))*'V06 Curva'!$B$32,MAX(0,MIN('V06 Motor'!A115*30/'V06 Motor'!C115,29)-MAX(('V06 Motor'!A115-1)*30/'V06 Motor'!C115,28))*'V06 Curva'!$B$33,MAX(0,MIN('V06 Motor'!A115*30/'V06 Motor'!C115,30)-MAX(('V06 Motor'!A115-1)*30/'V06 Motor'!C115,29))*'V06 Curva'!$B$34),0)</f>
        <v>0.0</v>
      </c>
      <c r="O115" s="2">
        <f>SUMPRODUCT(--(('V06 Unidades'!$I$5:$I$98+'V06 Controlos'!$B$37)='V06 Motor'!A115),ROUND('V06 Unidades'!$H$5:$H$98*0.05,2)+ROUND('V06 Unidades'!$H$5:$H$98*0.2,2))+SUMPRODUCT(--(IF('V06 Controlos'!$B$38&gt;0,IF(('V06 Unidades'!$L$5:$L$98+'V06 Controlos'!$B$37)&lt;'V06 Motor'!C115,'V06 Motor'!C115,('V06 Unidades'!$L$5:$L$98+'V06 Controlos'!$B$37)),('V06 Unidades'!$L$5:$L$98+'V06 Controlos'!$B$37))='V06 Motor'!A115),'V06 Unidades'!$H$5:$H$98-ROUND('V06 Unidades'!$H$5:$H$98*0.05,2)-ROUND('V06 Unidades'!$H$5:$H$98*0.2,2)-ROUND('V06 Unidades'!$H$5:$H$98*0.55,2))+SUMPRODUCT(--(IF(INT((IF('V06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Controlos'!$B$37)-1)/6),0)&gt;0),--('V06 Motor'!A115&gt;('V06 Unidades'!$I$5:$I$98+'V06 Controlos'!$B$37)),--('V06 Motor'!A115&lt;IF('V06 Controlos'!$B$38&gt;0,IF(('V06 Unidades'!$L$5:$L$98+'V06 Controlos'!$B$37)&lt;'V06 Motor'!C115,'V06 Motor'!C115,('V06 Unidades'!$L$5:$L$98+'V06 Controlos'!$B$37)),('V06 Unidades'!$L$5:$L$98+'V06 Controlos'!$B$37))),--(MOD('V06 Motor'!A115-('V06 Unidades'!$I$5:$I$98+'V06 Controlos'!$B$37),6)=0),--(('V06 Motor'!A115-('V06 Unidades'!$I$5:$I$98+'V06 Controlos'!$B$37))/6&lt;=IF(INT((IF('V06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Controlos'!$B$37)-1)/6),0)),IF('V06 Motor'!A115=('V06 Unidades'!$I$5:$I$98+'V06 Controlos'!$B$37)+6*IF(INT((IF('V06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Controlos'!$B$37)-1)/6),0)&gt;0,IF(INT((IF('V06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Controlos'!$B$37)-1)/6),0),1),2)*(IF(INT((IF('V06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Controlos'!$B$37)-1)/6),0)&gt;0,IF(INT((IF('V06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Controlos'!$B$37)-1)/6)&gt;0,INT((IF('V06 Controlos'!$B$38&gt;0,IF(('V06 Unidades'!$L$5:$L$98+'V06 Controlos'!$B$37)&lt;'V06 Motor'!C115,'V06 Motor'!C115,('V06 Unidades'!$L$5:$L$98+'V06 Controlos'!$B$37)),('V06 Unidades'!$L$5:$L$98+'V06 Controlos'!$B$37))-('V06 Unidades'!$I$5:$I$98+'V06 Controlos'!$B$37)-1)/6),0),1),2)))</f>
        <v>0.0</v>
      </c>
      <c r="P115" s="2">
        <f>SUM('V06 Calend 01'!DS5:DS98)</f>
        <v>0.0</v>
      </c>
    </row>
    <row r="116" spans="1:16">
      <c r="A116">
        <v>112</v>
      </c>
      <c r="C116">
        <v>30</v>
      </c>
      <c r="G116" s="2">
        <f>IF('V06 Motor'!A116&lt;='V06 Motor'!C116,SUMPRODUCT('V06 Curva'!$B$5:$B$34,IF((IF('V06 Motor'!A116*30/'V06 Motor'!C116&lt;'V06 Curva'!$A$5:$A$34,'V06 Motor'!A116*30/'V06 Motor'!C116,'V06 Curva'!$A$5:$A$34)-IF(('V06 Motor'!A116-1)*30/'V06 Motor'!C116&gt;'V06 Curva'!$A$5:$A$34-1,('V06 Motor'!A116-1)*30/'V06 Motor'!C116,'V06 Curva'!$A$5:$A$34-1))&gt;0,(IF('V06 Motor'!A116*30/'V06 Motor'!C116&lt;'V06 Curva'!$A$5:$A$34,'V06 Motor'!A116*30/'V06 Motor'!C116,'V06 Curva'!$A$5:$A$34)-IF(('V06 Motor'!A116-1)*30/'V06 Motor'!C116&gt;'V06 Curva'!$A$5:$A$34-1,('V06 Motor'!A116-1)*30/'V06 Motor'!C116,'V06 Curva'!$A$5:$A$34-1)),0)),0)</f>
        <v>0.0</v>
      </c>
      <c r="H116" s="2">
        <f>IF('V06 Motor'!A116&lt;='V06 Motor'!C116,SUM(MAX(0,MIN('V06 Motor'!A116*30/'V06 Motor'!C116,1)-MAX(('V06 Motor'!A116-1)*30/'V06 Motor'!C116,0))*'V06 Curva'!$B$5,MAX(0,MIN('V06 Motor'!A116*30/'V06 Motor'!C116,2)-MAX(('V06 Motor'!A116-1)*30/'V06 Motor'!C116,1))*'V06 Curva'!$B$6,MAX(0,MIN('V06 Motor'!A116*30/'V06 Motor'!C116,3)-MAX(('V06 Motor'!A116-1)*30/'V06 Motor'!C116,2))*'V06 Curva'!$B$7,MAX(0,MIN('V06 Motor'!A116*30/'V06 Motor'!C116,4)-MAX(('V06 Motor'!A116-1)*30/'V06 Motor'!C116,3))*'V06 Curva'!$B$8,MAX(0,MIN('V06 Motor'!A116*30/'V06 Motor'!C116,5)-MAX(('V06 Motor'!A116-1)*30/'V06 Motor'!C116,4))*'V06 Curva'!$B$9,MAX(0,MIN('V06 Motor'!A116*30/'V06 Motor'!C116,6)-MAX(('V06 Motor'!A116-1)*30/'V06 Motor'!C116,5))*'V06 Curva'!$B$10,MAX(0,MIN('V06 Motor'!A116*30/'V06 Motor'!C116,7)-MAX(('V06 Motor'!A116-1)*30/'V06 Motor'!C116,6))*'V06 Curva'!$B$11,MAX(0,MIN('V06 Motor'!A116*30/'V06 Motor'!C116,8)-MAX(('V06 Motor'!A116-1)*30/'V06 Motor'!C116,7))*'V06 Curva'!$B$12,MAX(0,MIN('V06 Motor'!A116*30/'V06 Motor'!C116,9)-MAX(('V06 Motor'!A116-1)*30/'V06 Motor'!C116,8))*'V06 Curva'!$B$13,MAX(0,MIN('V06 Motor'!A116*30/'V06 Motor'!C116,10)-MAX(('V06 Motor'!A116-1)*30/'V06 Motor'!C116,9))*'V06 Curva'!$B$14,MAX(0,MIN('V06 Motor'!A116*30/'V06 Motor'!C116,11)-MAX(('V06 Motor'!A116-1)*30/'V06 Motor'!C116,10))*'V06 Curva'!$B$15,MAX(0,MIN('V06 Motor'!A116*30/'V06 Motor'!C116,12)-MAX(('V06 Motor'!A116-1)*30/'V06 Motor'!C116,11))*'V06 Curva'!$B$16,MAX(0,MIN('V06 Motor'!A116*30/'V06 Motor'!C116,13)-MAX(('V06 Motor'!A116-1)*30/'V06 Motor'!C116,12))*'V06 Curva'!$B$17,MAX(0,MIN('V06 Motor'!A116*30/'V06 Motor'!C116,14)-MAX(('V06 Motor'!A116-1)*30/'V06 Motor'!C116,13))*'V06 Curva'!$B$18,MAX(0,MIN('V06 Motor'!A116*30/'V06 Motor'!C116,15)-MAX(('V06 Motor'!A116-1)*30/'V06 Motor'!C116,14))*'V06 Curva'!$B$19,MAX(0,MIN('V06 Motor'!A116*30/'V06 Motor'!C116,16)-MAX(('V06 Motor'!A116-1)*30/'V06 Motor'!C116,15))*'V06 Curva'!$B$20,MAX(0,MIN('V06 Motor'!A116*30/'V06 Motor'!C116,17)-MAX(('V06 Motor'!A116-1)*30/'V06 Motor'!C116,16))*'V06 Curva'!$B$21,MAX(0,MIN('V06 Motor'!A116*30/'V06 Motor'!C116,18)-MAX(('V06 Motor'!A116-1)*30/'V06 Motor'!C116,17))*'V06 Curva'!$B$22,MAX(0,MIN('V06 Motor'!A116*30/'V06 Motor'!C116,19)-MAX(('V06 Motor'!A116-1)*30/'V06 Motor'!C116,18))*'V06 Curva'!$B$23,MAX(0,MIN('V06 Motor'!A116*30/'V06 Motor'!C116,20)-MAX(('V06 Motor'!A116-1)*30/'V06 Motor'!C116,19))*'V06 Curva'!$B$24,MAX(0,MIN('V06 Motor'!A116*30/'V06 Motor'!C116,21)-MAX(('V06 Motor'!A116-1)*30/'V06 Motor'!C116,20))*'V06 Curva'!$B$25,MAX(0,MIN('V06 Motor'!A116*30/'V06 Motor'!C116,22)-MAX(('V06 Motor'!A116-1)*30/'V06 Motor'!C116,21))*'V06 Curva'!$B$26,MAX(0,MIN('V06 Motor'!A116*30/'V06 Motor'!C116,23)-MAX(('V06 Motor'!A116-1)*30/'V06 Motor'!C116,22))*'V06 Curva'!$B$27,MAX(0,MIN('V06 Motor'!A116*30/'V06 Motor'!C116,24)-MAX(('V06 Motor'!A116-1)*30/'V06 Motor'!C116,23))*'V06 Curva'!$B$28,MAX(0,MIN('V06 Motor'!A116*30/'V06 Motor'!C116,25)-MAX(('V06 Motor'!A116-1)*30/'V06 Motor'!C116,24))*'V06 Curva'!$B$29,MAX(0,MIN('V06 Motor'!A116*30/'V06 Motor'!C116,26)-MAX(('V06 Motor'!A116-1)*30/'V06 Motor'!C116,25))*'V06 Curva'!$B$30,MAX(0,MIN('V06 Motor'!A116*30/'V06 Motor'!C116,27)-MAX(('V06 Motor'!A116-1)*30/'V06 Motor'!C116,26))*'V06 Curva'!$B$31,MAX(0,MIN('V06 Motor'!A116*30/'V06 Motor'!C116,28)-MAX(('V06 Motor'!A116-1)*30/'V06 Motor'!C116,27))*'V06 Curva'!$B$32,MAX(0,MIN('V06 Motor'!A116*30/'V06 Motor'!C116,29)-MAX(('V06 Motor'!A116-1)*30/'V06 Motor'!C116,28))*'V06 Curva'!$B$33,MAX(0,MIN('V06 Motor'!A116*30/'V06 Motor'!C116,30)-MAX(('V06 Motor'!A116-1)*30/'V06 Motor'!C116,29))*'V06 Curva'!$B$34),0)</f>
        <v>0.0</v>
      </c>
      <c r="O116" s="2">
        <f>SUMPRODUCT(--(('V06 Unidades'!$I$5:$I$98+'V06 Controlos'!$B$37)='V06 Motor'!A116),ROUND('V06 Unidades'!$H$5:$H$98*0.05,2)+ROUND('V06 Unidades'!$H$5:$H$98*0.2,2))+SUMPRODUCT(--(IF('V06 Controlos'!$B$38&gt;0,IF(('V06 Unidades'!$L$5:$L$98+'V06 Controlos'!$B$37)&lt;'V06 Motor'!C116,'V06 Motor'!C116,('V06 Unidades'!$L$5:$L$98+'V06 Controlos'!$B$37)),('V06 Unidades'!$L$5:$L$98+'V06 Controlos'!$B$37))='V06 Motor'!A116),'V06 Unidades'!$H$5:$H$98-ROUND('V06 Unidades'!$H$5:$H$98*0.05,2)-ROUND('V06 Unidades'!$H$5:$H$98*0.2,2)-ROUND('V06 Unidades'!$H$5:$H$98*0.55,2))+SUMPRODUCT(--(IF(INT((IF('V06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Controlos'!$B$37)-1)/6),0)&gt;0),--('V06 Motor'!A116&gt;('V06 Unidades'!$I$5:$I$98+'V06 Controlos'!$B$37)),--('V06 Motor'!A116&lt;IF('V06 Controlos'!$B$38&gt;0,IF(('V06 Unidades'!$L$5:$L$98+'V06 Controlos'!$B$37)&lt;'V06 Motor'!C116,'V06 Motor'!C116,('V06 Unidades'!$L$5:$L$98+'V06 Controlos'!$B$37)),('V06 Unidades'!$L$5:$L$98+'V06 Controlos'!$B$37))),--(MOD('V06 Motor'!A116-('V06 Unidades'!$I$5:$I$98+'V06 Controlos'!$B$37),6)=0),--(('V06 Motor'!A116-('V06 Unidades'!$I$5:$I$98+'V06 Controlos'!$B$37))/6&lt;=IF(INT((IF('V06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Controlos'!$B$37)-1)/6),0)),IF('V06 Motor'!A116=('V06 Unidades'!$I$5:$I$98+'V06 Controlos'!$B$37)+6*IF(INT((IF('V06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Controlos'!$B$37)-1)/6),0)&gt;0,IF(INT((IF('V06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Controlos'!$B$37)-1)/6),0),1),2)*(IF(INT((IF('V06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Controlos'!$B$37)-1)/6),0)&gt;0,IF(INT((IF('V06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Controlos'!$B$37)-1)/6)&gt;0,INT((IF('V06 Controlos'!$B$38&gt;0,IF(('V06 Unidades'!$L$5:$L$98+'V06 Controlos'!$B$37)&lt;'V06 Motor'!C116,'V06 Motor'!C116,('V06 Unidades'!$L$5:$L$98+'V06 Controlos'!$B$37)),('V06 Unidades'!$L$5:$L$98+'V06 Controlos'!$B$37))-('V06 Unidades'!$I$5:$I$98+'V06 Controlos'!$B$37)-1)/6),0),1),2)))</f>
        <v>0.0</v>
      </c>
      <c r="P116" s="2">
        <f>SUM('V06 Calend 01'!DT5:DT98)</f>
        <v>0.0</v>
      </c>
    </row>
    <row r="117" spans="1:16">
      <c r="A117">
        <v>113</v>
      </c>
      <c r="C117">
        <v>30</v>
      </c>
      <c r="G117" s="2">
        <f>IF('V06 Motor'!A117&lt;='V06 Motor'!C117,SUMPRODUCT('V06 Curva'!$B$5:$B$34,IF((IF('V06 Motor'!A117*30/'V06 Motor'!C117&lt;'V06 Curva'!$A$5:$A$34,'V06 Motor'!A117*30/'V06 Motor'!C117,'V06 Curva'!$A$5:$A$34)-IF(('V06 Motor'!A117-1)*30/'V06 Motor'!C117&gt;'V06 Curva'!$A$5:$A$34-1,('V06 Motor'!A117-1)*30/'V06 Motor'!C117,'V06 Curva'!$A$5:$A$34-1))&gt;0,(IF('V06 Motor'!A117*30/'V06 Motor'!C117&lt;'V06 Curva'!$A$5:$A$34,'V06 Motor'!A117*30/'V06 Motor'!C117,'V06 Curva'!$A$5:$A$34)-IF(('V06 Motor'!A117-1)*30/'V06 Motor'!C117&gt;'V06 Curva'!$A$5:$A$34-1,('V06 Motor'!A117-1)*30/'V06 Motor'!C117,'V06 Curva'!$A$5:$A$34-1)),0)),0)</f>
        <v>0.0</v>
      </c>
      <c r="H117" s="2">
        <f>IF('V06 Motor'!A117&lt;='V06 Motor'!C117,SUM(MAX(0,MIN('V06 Motor'!A117*30/'V06 Motor'!C117,1)-MAX(('V06 Motor'!A117-1)*30/'V06 Motor'!C117,0))*'V06 Curva'!$B$5,MAX(0,MIN('V06 Motor'!A117*30/'V06 Motor'!C117,2)-MAX(('V06 Motor'!A117-1)*30/'V06 Motor'!C117,1))*'V06 Curva'!$B$6,MAX(0,MIN('V06 Motor'!A117*30/'V06 Motor'!C117,3)-MAX(('V06 Motor'!A117-1)*30/'V06 Motor'!C117,2))*'V06 Curva'!$B$7,MAX(0,MIN('V06 Motor'!A117*30/'V06 Motor'!C117,4)-MAX(('V06 Motor'!A117-1)*30/'V06 Motor'!C117,3))*'V06 Curva'!$B$8,MAX(0,MIN('V06 Motor'!A117*30/'V06 Motor'!C117,5)-MAX(('V06 Motor'!A117-1)*30/'V06 Motor'!C117,4))*'V06 Curva'!$B$9,MAX(0,MIN('V06 Motor'!A117*30/'V06 Motor'!C117,6)-MAX(('V06 Motor'!A117-1)*30/'V06 Motor'!C117,5))*'V06 Curva'!$B$10,MAX(0,MIN('V06 Motor'!A117*30/'V06 Motor'!C117,7)-MAX(('V06 Motor'!A117-1)*30/'V06 Motor'!C117,6))*'V06 Curva'!$B$11,MAX(0,MIN('V06 Motor'!A117*30/'V06 Motor'!C117,8)-MAX(('V06 Motor'!A117-1)*30/'V06 Motor'!C117,7))*'V06 Curva'!$B$12,MAX(0,MIN('V06 Motor'!A117*30/'V06 Motor'!C117,9)-MAX(('V06 Motor'!A117-1)*30/'V06 Motor'!C117,8))*'V06 Curva'!$B$13,MAX(0,MIN('V06 Motor'!A117*30/'V06 Motor'!C117,10)-MAX(('V06 Motor'!A117-1)*30/'V06 Motor'!C117,9))*'V06 Curva'!$B$14,MAX(0,MIN('V06 Motor'!A117*30/'V06 Motor'!C117,11)-MAX(('V06 Motor'!A117-1)*30/'V06 Motor'!C117,10))*'V06 Curva'!$B$15,MAX(0,MIN('V06 Motor'!A117*30/'V06 Motor'!C117,12)-MAX(('V06 Motor'!A117-1)*30/'V06 Motor'!C117,11))*'V06 Curva'!$B$16,MAX(0,MIN('V06 Motor'!A117*30/'V06 Motor'!C117,13)-MAX(('V06 Motor'!A117-1)*30/'V06 Motor'!C117,12))*'V06 Curva'!$B$17,MAX(0,MIN('V06 Motor'!A117*30/'V06 Motor'!C117,14)-MAX(('V06 Motor'!A117-1)*30/'V06 Motor'!C117,13))*'V06 Curva'!$B$18,MAX(0,MIN('V06 Motor'!A117*30/'V06 Motor'!C117,15)-MAX(('V06 Motor'!A117-1)*30/'V06 Motor'!C117,14))*'V06 Curva'!$B$19,MAX(0,MIN('V06 Motor'!A117*30/'V06 Motor'!C117,16)-MAX(('V06 Motor'!A117-1)*30/'V06 Motor'!C117,15))*'V06 Curva'!$B$20,MAX(0,MIN('V06 Motor'!A117*30/'V06 Motor'!C117,17)-MAX(('V06 Motor'!A117-1)*30/'V06 Motor'!C117,16))*'V06 Curva'!$B$21,MAX(0,MIN('V06 Motor'!A117*30/'V06 Motor'!C117,18)-MAX(('V06 Motor'!A117-1)*30/'V06 Motor'!C117,17))*'V06 Curva'!$B$22,MAX(0,MIN('V06 Motor'!A117*30/'V06 Motor'!C117,19)-MAX(('V06 Motor'!A117-1)*30/'V06 Motor'!C117,18))*'V06 Curva'!$B$23,MAX(0,MIN('V06 Motor'!A117*30/'V06 Motor'!C117,20)-MAX(('V06 Motor'!A117-1)*30/'V06 Motor'!C117,19))*'V06 Curva'!$B$24,MAX(0,MIN('V06 Motor'!A117*30/'V06 Motor'!C117,21)-MAX(('V06 Motor'!A117-1)*30/'V06 Motor'!C117,20))*'V06 Curva'!$B$25,MAX(0,MIN('V06 Motor'!A117*30/'V06 Motor'!C117,22)-MAX(('V06 Motor'!A117-1)*30/'V06 Motor'!C117,21))*'V06 Curva'!$B$26,MAX(0,MIN('V06 Motor'!A117*30/'V06 Motor'!C117,23)-MAX(('V06 Motor'!A117-1)*30/'V06 Motor'!C117,22))*'V06 Curva'!$B$27,MAX(0,MIN('V06 Motor'!A117*30/'V06 Motor'!C117,24)-MAX(('V06 Motor'!A117-1)*30/'V06 Motor'!C117,23))*'V06 Curva'!$B$28,MAX(0,MIN('V06 Motor'!A117*30/'V06 Motor'!C117,25)-MAX(('V06 Motor'!A117-1)*30/'V06 Motor'!C117,24))*'V06 Curva'!$B$29,MAX(0,MIN('V06 Motor'!A117*30/'V06 Motor'!C117,26)-MAX(('V06 Motor'!A117-1)*30/'V06 Motor'!C117,25))*'V06 Curva'!$B$30,MAX(0,MIN('V06 Motor'!A117*30/'V06 Motor'!C117,27)-MAX(('V06 Motor'!A117-1)*30/'V06 Motor'!C117,26))*'V06 Curva'!$B$31,MAX(0,MIN('V06 Motor'!A117*30/'V06 Motor'!C117,28)-MAX(('V06 Motor'!A117-1)*30/'V06 Motor'!C117,27))*'V06 Curva'!$B$32,MAX(0,MIN('V06 Motor'!A117*30/'V06 Motor'!C117,29)-MAX(('V06 Motor'!A117-1)*30/'V06 Motor'!C117,28))*'V06 Curva'!$B$33,MAX(0,MIN('V06 Motor'!A117*30/'V06 Motor'!C117,30)-MAX(('V06 Motor'!A117-1)*30/'V06 Motor'!C117,29))*'V06 Curva'!$B$34),0)</f>
        <v>0.0</v>
      </c>
      <c r="O117" s="2">
        <f>SUMPRODUCT(--(('V06 Unidades'!$I$5:$I$98+'V06 Controlos'!$B$37)='V06 Motor'!A117),ROUND('V06 Unidades'!$H$5:$H$98*0.05,2)+ROUND('V06 Unidades'!$H$5:$H$98*0.2,2))+SUMPRODUCT(--(IF('V06 Controlos'!$B$38&gt;0,IF(('V06 Unidades'!$L$5:$L$98+'V06 Controlos'!$B$37)&lt;'V06 Motor'!C117,'V06 Motor'!C117,('V06 Unidades'!$L$5:$L$98+'V06 Controlos'!$B$37)),('V06 Unidades'!$L$5:$L$98+'V06 Controlos'!$B$37))='V06 Motor'!A117),'V06 Unidades'!$H$5:$H$98-ROUND('V06 Unidades'!$H$5:$H$98*0.05,2)-ROUND('V06 Unidades'!$H$5:$H$98*0.2,2)-ROUND('V06 Unidades'!$H$5:$H$98*0.55,2))+SUMPRODUCT(--(IF(INT((IF('V06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Controlos'!$B$37)-1)/6),0)&gt;0),--('V06 Motor'!A117&gt;('V06 Unidades'!$I$5:$I$98+'V06 Controlos'!$B$37)),--('V06 Motor'!A117&lt;IF('V06 Controlos'!$B$38&gt;0,IF(('V06 Unidades'!$L$5:$L$98+'V06 Controlos'!$B$37)&lt;'V06 Motor'!C117,'V06 Motor'!C117,('V06 Unidades'!$L$5:$L$98+'V06 Controlos'!$B$37)),('V06 Unidades'!$L$5:$L$98+'V06 Controlos'!$B$37))),--(MOD('V06 Motor'!A117-('V06 Unidades'!$I$5:$I$98+'V06 Controlos'!$B$37),6)=0),--(('V06 Motor'!A117-('V06 Unidades'!$I$5:$I$98+'V06 Controlos'!$B$37))/6&lt;=IF(INT((IF('V06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Controlos'!$B$37)-1)/6),0)),IF('V06 Motor'!A117=('V06 Unidades'!$I$5:$I$98+'V06 Controlos'!$B$37)+6*IF(INT((IF('V06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Controlos'!$B$37)-1)/6),0)&gt;0,IF(INT((IF('V06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Controlos'!$B$37)-1)/6),0),1),2)*(IF(INT((IF('V06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Controlos'!$B$37)-1)/6),0)&gt;0,IF(INT((IF('V06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Controlos'!$B$37)-1)/6)&gt;0,INT((IF('V06 Controlos'!$B$38&gt;0,IF(('V06 Unidades'!$L$5:$L$98+'V06 Controlos'!$B$37)&lt;'V06 Motor'!C117,'V06 Motor'!C117,('V06 Unidades'!$L$5:$L$98+'V06 Controlos'!$B$37)),('V06 Unidades'!$L$5:$L$98+'V06 Controlos'!$B$37))-('V06 Unidades'!$I$5:$I$98+'V06 Controlos'!$B$37)-1)/6),0),1),2)))</f>
        <v>0.0</v>
      </c>
      <c r="P117" s="2">
        <f>SUM('V06 Calend 01'!DU5:DU98)</f>
        <v>0.0</v>
      </c>
    </row>
    <row r="118" spans="1:16">
      <c r="A118">
        <v>114</v>
      </c>
      <c r="C118">
        <v>30</v>
      </c>
      <c r="G118" s="2">
        <f>IF('V06 Motor'!A118&lt;='V06 Motor'!C118,SUMPRODUCT('V06 Curva'!$B$5:$B$34,IF((IF('V06 Motor'!A118*30/'V06 Motor'!C118&lt;'V06 Curva'!$A$5:$A$34,'V06 Motor'!A118*30/'V06 Motor'!C118,'V06 Curva'!$A$5:$A$34)-IF(('V06 Motor'!A118-1)*30/'V06 Motor'!C118&gt;'V06 Curva'!$A$5:$A$34-1,('V06 Motor'!A118-1)*30/'V06 Motor'!C118,'V06 Curva'!$A$5:$A$34-1))&gt;0,(IF('V06 Motor'!A118*30/'V06 Motor'!C118&lt;'V06 Curva'!$A$5:$A$34,'V06 Motor'!A118*30/'V06 Motor'!C118,'V06 Curva'!$A$5:$A$34)-IF(('V06 Motor'!A118-1)*30/'V06 Motor'!C118&gt;'V06 Curva'!$A$5:$A$34-1,('V06 Motor'!A118-1)*30/'V06 Motor'!C118,'V06 Curva'!$A$5:$A$34-1)),0)),0)</f>
        <v>0.0</v>
      </c>
      <c r="H118" s="2">
        <f>IF('V06 Motor'!A118&lt;='V06 Motor'!C118,SUM(MAX(0,MIN('V06 Motor'!A118*30/'V06 Motor'!C118,1)-MAX(('V06 Motor'!A118-1)*30/'V06 Motor'!C118,0))*'V06 Curva'!$B$5,MAX(0,MIN('V06 Motor'!A118*30/'V06 Motor'!C118,2)-MAX(('V06 Motor'!A118-1)*30/'V06 Motor'!C118,1))*'V06 Curva'!$B$6,MAX(0,MIN('V06 Motor'!A118*30/'V06 Motor'!C118,3)-MAX(('V06 Motor'!A118-1)*30/'V06 Motor'!C118,2))*'V06 Curva'!$B$7,MAX(0,MIN('V06 Motor'!A118*30/'V06 Motor'!C118,4)-MAX(('V06 Motor'!A118-1)*30/'V06 Motor'!C118,3))*'V06 Curva'!$B$8,MAX(0,MIN('V06 Motor'!A118*30/'V06 Motor'!C118,5)-MAX(('V06 Motor'!A118-1)*30/'V06 Motor'!C118,4))*'V06 Curva'!$B$9,MAX(0,MIN('V06 Motor'!A118*30/'V06 Motor'!C118,6)-MAX(('V06 Motor'!A118-1)*30/'V06 Motor'!C118,5))*'V06 Curva'!$B$10,MAX(0,MIN('V06 Motor'!A118*30/'V06 Motor'!C118,7)-MAX(('V06 Motor'!A118-1)*30/'V06 Motor'!C118,6))*'V06 Curva'!$B$11,MAX(0,MIN('V06 Motor'!A118*30/'V06 Motor'!C118,8)-MAX(('V06 Motor'!A118-1)*30/'V06 Motor'!C118,7))*'V06 Curva'!$B$12,MAX(0,MIN('V06 Motor'!A118*30/'V06 Motor'!C118,9)-MAX(('V06 Motor'!A118-1)*30/'V06 Motor'!C118,8))*'V06 Curva'!$B$13,MAX(0,MIN('V06 Motor'!A118*30/'V06 Motor'!C118,10)-MAX(('V06 Motor'!A118-1)*30/'V06 Motor'!C118,9))*'V06 Curva'!$B$14,MAX(0,MIN('V06 Motor'!A118*30/'V06 Motor'!C118,11)-MAX(('V06 Motor'!A118-1)*30/'V06 Motor'!C118,10))*'V06 Curva'!$B$15,MAX(0,MIN('V06 Motor'!A118*30/'V06 Motor'!C118,12)-MAX(('V06 Motor'!A118-1)*30/'V06 Motor'!C118,11))*'V06 Curva'!$B$16,MAX(0,MIN('V06 Motor'!A118*30/'V06 Motor'!C118,13)-MAX(('V06 Motor'!A118-1)*30/'V06 Motor'!C118,12))*'V06 Curva'!$B$17,MAX(0,MIN('V06 Motor'!A118*30/'V06 Motor'!C118,14)-MAX(('V06 Motor'!A118-1)*30/'V06 Motor'!C118,13))*'V06 Curva'!$B$18,MAX(0,MIN('V06 Motor'!A118*30/'V06 Motor'!C118,15)-MAX(('V06 Motor'!A118-1)*30/'V06 Motor'!C118,14))*'V06 Curva'!$B$19,MAX(0,MIN('V06 Motor'!A118*30/'V06 Motor'!C118,16)-MAX(('V06 Motor'!A118-1)*30/'V06 Motor'!C118,15))*'V06 Curva'!$B$20,MAX(0,MIN('V06 Motor'!A118*30/'V06 Motor'!C118,17)-MAX(('V06 Motor'!A118-1)*30/'V06 Motor'!C118,16))*'V06 Curva'!$B$21,MAX(0,MIN('V06 Motor'!A118*30/'V06 Motor'!C118,18)-MAX(('V06 Motor'!A118-1)*30/'V06 Motor'!C118,17))*'V06 Curva'!$B$22,MAX(0,MIN('V06 Motor'!A118*30/'V06 Motor'!C118,19)-MAX(('V06 Motor'!A118-1)*30/'V06 Motor'!C118,18))*'V06 Curva'!$B$23,MAX(0,MIN('V06 Motor'!A118*30/'V06 Motor'!C118,20)-MAX(('V06 Motor'!A118-1)*30/'V06 Motor'!C118,19))*'V06 Curva'!$B$24,MAX(0,MIN('V06 Motor'!A118*30/'V06 Motor'!C118,21)-MAX(('V06 Motor'!A118-1)*30/'V06 Motor'!C118,20))*'V06 Curva'!$B$25,MAX(0,MIN('V06 Motor'!A118*30/'V06 Motor'!C118,22)-MAX(('V06 Motor'!A118-1)*30/'V06 Motor'!C118,21))*'V06 Curva'!$B$26,MAX(0,MIN('V06 Motor'!A118*30/'V06 Motor'!C118,23)-MAX(('V06 Motor'!A118-1)*30/'V06 Motor'!C118,22))*'V06 Curva'!$B$27,MAX(0,MIN('V06 Motor'!A118*30/'V06 Motor'!C118,24)-MAX(('V06 Motor'!A118-1)*30/'V06 Motor'!C118,23))*'V06 Curva'!$B$28,MAX(0,MIN('V06 Motor'!A118*30/'V06 Motor'!C118,25)-MAX(('V06 Motor'!A118-1)*30/'V06 Motor'!C118,24))*'V06 Curva'!$B$29,MAX(0,MIN('V06 Motor'!A118*30/'V06 Motor'!C118,26)-MAX(('V06 Motor'!A118-1)*30/'V06 Motor'!C118,25))*'V06 Curva'!$B$30,MAX(0,MIN('V06 Motor'!A118*30/'V06 Motor'!C118,27)-MAX(('V06 Motor'!A118-1)*30/'V06 Motor'!C118,26))*'V06 Curva'!$B$31,MAX(0,MIN('V06 Motor'!A118*30/'V06 Motor'!C118,28)-MAX(('V06 Motor'!A118-1)*30/'V06 Motor'!C118,27))*'V06 Curva'!$B$32,MAX(0,MIN('V06 Motor'!A118*30/'V06 Motor'!C118,29)-MAX(('V06 Motor'!A118-1)*30/'V06 Motor'!C118,28))*'V06 Curva'!$B$33,MAX(0,MIN('V06 Motor'!A118*30/'V06 Motor'!C118,30)-MAX(('V06 Motor'!A118-1)*30/'V06 Motor'!C118,29))*'V06 Curva'!$B$34),0)</f>
        <v>0.0</v>
      </c>
      <c r="O118" s="2">
        <f>SUMPRODUCT(--(('V06 Unidades'!$I$5:$I$98+'V06 Controlos'!$B$37)='V06 Motor'!A118),ROUND('V06 Unidades'!$H$5:$H$98*0.05,2)+ROUND('V06 Unidades'!$H$5:$H$98*0.2,2))+SUMPRODUCT(--(IF('V06 Controlos'!$B$38&gt;0,IF(('V06 Unidades'!$L$5:$L$98+'V06 Controlos'!$B$37)&lt;'V06 Motor'!C118,'V06 Motor'!C118,('V06 Unidades'!$L$5:$L$98+'V06 Controlos'!$B$37)),('V06 Unidades'!$L$5:$L$98+'V06 Controlos'!$B$37))='V06 Motor'!A118),'V06 Unidades'!$H$5:$H$98-ROUND('V06 Unidades'!$H$5:$H$98*0.05,2)-ROUND('V06 Unidades'!$H$5:$H$98*0.2,2)-ROUND('V06 Unidades'!$H$5:$H$98*0.55,2))+SUMPRODUCT(--(IF(INT((IF('V06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Controlos'!$B$37)-1)/6),0)&gt;0),--('V06 Motor'!A118&gt;('V06 Unidades'!$I$5:$I$98+'V06 Controlos'!$B$37)),--('V06 Motor'!A118&lt;IF('V06 Controlos'!$B$38&gt;0,IF(('V06 Unidades'!$L$5:$L$98+'V06 Controlos'!$B$37)&lt;'V06 Motor'!C118,'V06 Motor'!C118,('V06 Unidades'!$L$5:$L$98+'V06 Controlos'!$B$37)),('V06 Unidades'!$L$5:$L$98+'V06 Controlos'!$B$37))),--(MOD('V06 Motor'!A118-('V06 Unidades'!$I$5:$I$98+'V06 Controlos'!$B$37),6)=0),--(('V06 Motor'!A118-('V06 Unidades'!$I$5:$I$98+'V06 Controlos'!$B$37))/6&lt;=IF(INT((IF('V06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Controlos'!$B$37)-1)/6),0)),IF('V06 Motor'!A118=('V06 Unidades'!$I$5:$I$98+'V06 Controlos'!$B$37)+6*IF(INT((IF('V06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Controlos'!$B$37)-1)/6),0)&gt;0,IF(INT((IF('V06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Controlos'!$B$37)-1)/6),0),1),2)*(IF(INT((IF('V06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Controlos'!$B$37)-1)/6),0)&gt;0,IF(INT((IF('V06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Controlos'!$B$37)-1)/6)&gt;0,INT((IF('V06 Controlos'!$B$38&gt;0,IF(('V06 Unidades'!$L$5:$L$98+'V06 Controlos'!$B$37)&lt;'V06 Motor'!C118,'V06 Motor'!C118,('V06 Unidades'!$L$5:$L$98+'V06 Controlos'!$B$37)),('V06 Unidades'!$L$5:$L$98+'V06 Controlos'!$B$37))-('V06 Unidades'!$I$5:$I$98+'V06 Controlos'!$B$37)-1)/6),0),1),2)))</f>
        <v>0.0</v>
      </c>
      <c r="P118" s="2">
        <f>SUM('V06 Calend 01'!DV5:DV98)</f>
        <v>0.0</v>
      </c>
    </row>
    <row r="119" spans="1:16">
      <c r="A119">
        <v>115</v>
      </c>
      <c r="C119">
        <v>30</v>
      </c>
      <c r="G119" s="2">
        <f>IF('V06 Motor'!A119&lt;='V06 Motor'!C119,SUMPRODUCT('V06 Curva'!$B$5:$B$34,IF((IF('V06 Motor'!A119*30/'V06 Motor'!C119&lt;'V06 Curva'!$A$5:$A$34,'V06 Motor'!A119*30/'V06 Motor'!C119,'V06 Curva'!$A$5:$A$34)-IF(('V06 Motor'!A119-1)*30/'V06 Motor'!C119&gt;'V06 Curva'!$A$5:$A$34-1,('V06 Motor'!A119-1)*30/'V06 Motor'!C119,'V06 Curva'!$A$5:$A$34-1))&gt;0,(IF('V06 Motor'!A119*30/'V06 Motor'!C119&lt;'V06 Curva'!$A$5:$A$34,'V06 Motor'!A119*30/'V06 Motor'!C119,'V06 Curva'!$A$5:$A$34)-IF(('V06 Motor'!A119-1)*30/'V06 Motor'!C119&gt;'V06 Curva'!$A$5:$A$34-1,('V06 Motor'!A119-1)*30/'V06 Motor'!C119,'V06 Curva'!$A$5:$A$34-1)),0)),0)</f>
        <v>0.0</v>
      </c>
      <c r="H119" s="2">
        <f>IF('V06 Motor'!A119&lt;='V06 Motor'!C119,SUM(MAX(0,MIN('V06 Motor'!A119*30/'V06 Motor'!C119,1)-MAX(('V06 Motor'!A119-1)*30/'V06 Motor'!C119,0))*'V06 Curva'!$B$5,MAX(0,MIN('V06 Motor'!A119*30/'V06 Motor'!C119,2)-MAX(('V06 Motor'!A119-1)*30/'V06 Motor'!C119,1))*'V06 Curva'!$B$6,MAX(0,MIN('V06 Motor'!A119*30/'V06 Motor'!C119,3)-MAX(('V06 Motor'!A119-1)*30/'V06 Motor'!C119,2))*'V06 Curva'!$B$7,MAX(0,MIN('V06 Motor'!A119*30/'V06 Motor'!C119,4)-MAX(('V06 Motor'!A119-1)*30/'V06 Motor'!C119,3))*'V06 Curva'!$B$8,MAX(0,MIN('V06 Motor'!A119*30/'V06 Motor'!C119,5)-MAX(('V06 Motor'!A119-1)*30/'V06 Motor'!C119,4))*'V06 Curva'!$B$9,MAX(0,MIN('V06 Motor'!A119*30/'V06 Motor'!C119,6)-MAX(('V06 Motor'!A119-1)*30/'V06 Motor'!C119,5))*'V06 Curva'!$B$10,MAX(0,MIN('V06 Motor'!A119*30/'V06 Motor'!C119,7)-MAX(('V06 Motor'!A119-1)*30/'V06 Motor'!C119,6))*'V06 Curva'!$B$11,MAX(0,MIN('V06 Motor'!A119*30/'V06 Motor'!C119,8)-MAX(('V06 Motor'!A119-1)*30/'V06 Motor'!C119,7))*'V06 Curva'!$B$12,MAX(0,MIN('V06 Motor'!A119*30/'V06 Motor'!C119,9)-MAX(('V06 Motor'!A119-1)*30/'V06 Motor'!C119,8))*'V06 Curva'!$B$13,MAX(0,MIN('V06 Motor'!A119*30/'V06 Motor'!C119,10)-MAX(('V06 Motor'!A119-1)*30/'V06 Motor'!C119,9))*'V06 Curva'!$B$14,MAX(0,MIN('V06 Motor'!A119*30/'V06 Motor'!C119,11)-MAX(('V06 Motor'!A119-1)*30/'V06 Motor'!C119,10))*'V06 Curva'!$B$15,MAX(0,MIN('V06 Motor'!A119*30/'V06 Motor'!C119,12)-MAX(('V06 Motor'!A119-1)*30/'V06 Motor'!C119,11))*'V06 Curva'!$B$16,MAX(0,MIN('V06 Motor'!A119*30/'V06 Motor'!C119,13)-MAX(('V06 Motor'!A119-1)*30/'V06 Motor'!C119,12))*'V06 Curva'!$B$17,MAX(0,MIN('V06 Motor'!A119*30/'V06 Motor'!C119,14)-MAX(('V06 Motor'!A119-1)*30/'V06 Motor'!C119,13))*'V06 Curva'!$B$18,MAX(0,MIN('V06 Motor'!A119*30/'V06 Motor'!C119,15)-MAX(('V06 Motor'!A119-1)*30/'V06 Motor'!C119,14))*'V06 Curva'!$B$19,MAX(0,MIN('V06 Motor'!A119*30/'V06 Motor'!C119,16)-MAX(('V06 Motor'!A119-1)*30/'V06 Motor'!C119,15))*'V06 Curva'!$B$20,MAX(0,MIN('V06 Motor'!A119*30/'V06 Motor'!C119,17)-MAX(('V06 Motor'!A119-1)*30/'V06 Motor'!C119,16))*'V06 Curva'!$B$21,MAX(0,MIN('V06 Motor'!A119*30/'V06 Motor'!C119,18)-MAX(('V06 Motor'!A119-1)*30/'V06 Motor'!C119,17))*'V06 Curva'!$B$22,MAX(0,MIN('V06 Motor'!A119*30/'V06 Motor'!C119,19)-MAX(('V06 Motor'!A119-1)*30/'V06 Motor'!C119,18))*'V06 Curva'!$B$23,MAX(0,MIN('V06 Motor'!A119*30/'V06 Motor'!C119,20)-MAX(('V06 Motor'!A119-1)*30/'V06 Motor'!C119,19))*'V06 Curva'!$B$24,MAX(0,MIN('V06 Motor'!A119*30/'V06 Motor'!C119,21)-MAX(('V06 Motor'!A119-1)*30/'V06 Motor'!C119,20))*'V06 Curva'!$B$25,MAX(0,MIN('V06 Motor'!A119*30/'V06 Motor'!C119,22)-MAX(('V06 Motor'!A119-1)*30/'V06 Motor'!C119,21))*'V06 Curva'!$B$26,MAX(0,MIN('V06 Motor'!A119*30/'V06 Motor'!C119,23)-MAX(('V06 Motor'!A119-1)*30/'V06 Motor'!C119,22))*'V06 Curva'!$B$27,MAX(0,MIN('V06 Motor'!A119*30/'V06 Motor'!C119,24)-MAX(('V06 Motor'!A119-1)*30/'V06 Motor'!C119,23))*'V06 Curva'!$B$28,MAX(0,MIN('V06 Motor'!A119*30/'V06 Motor'!C119,25)-MAX(('V06 Motor'!A119-1)*30/'V06 Motor'!C119,24))*'V06 Curva'!$B$29,MAX(0,MIN('V06 Motor'!A119*30/'V06 Motor'!C119,26)-MAX(('V06 Motor'!A119-1)*30/'V06 Motor'!C119,25))*'V06 Curva'!$B$30,MAX(0,MIN('V06 Motor'!A119*30/'V06 Motor'!C119,27)-MAX(('V06 Motor'!A119-1)*30/'V06 Motor'!C119,26))*'V06 Curva'!$B$31,MAX(0,MIN('V06 Motor'!A119*30/'V06 Motor'!C119,28)-MAX(('V06 Motor'!A119-1)*30/'V06 Motor'!C119,27))*'V06 Curva'!$B$32,MAX(0,MIN('V06 Motor'!A119*30/'V06 Motor'!C119,29)-MAX(('V06 Motor'!A119-1)*30/'V06 Motor'!C119,28))*'V06 Curva'!$B$33,MAX(0,MIN('V06 Motor'!A119*30/'V06 Motor'!C119,30)-MAX(('V06 Motor'!A119-1)*30/'V06 Motor'!C119,29))*'V06 Curva'!$B$34),0)</f>
        <v>0.0</v>
      </c>
      <c r="O119" s="2">
        <f>SUMPRODUCT(--(('V06 Unidades'!$I$5:$I$98+'V06 Controlos'!$B$37)='V06 Motor'!A119),ROUND('V06 Unidades'!$H$5:$H$98*0.05,2)+ROUND('V06 Unidades'!$H$5:$H$98*0.2,2))+SUMPRODUCT(--(IF('V06 Controlos'!$B$38&gt;0,IF(('V06 Unidades'!$L$5:$L$98+'V06 Controlos'!$B$37)&lt;'V06 Motor'!C119,'V06 Motor'!C119,('V06 Unidades'!$L$5:$L$98+'V06 Controlos'!$B$37)),('V06 Unidades'!$L$5:$L$98+'V06 Controlos'!$B$37))='V06 Motor'!A119),'V06 Unidades'!$H$5:$H$98-ROUND('V06 Unidades'!$H$5:$H$98*0.05,2)-ROUND('V06 Unidades'!$H$5:$H$98*0.2,2)-ROUND('V06 Unidades'!$H$5:$H$98*0.55,2))+SUMPRODUCT(--(IF(INT((IF('V06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Controlos'!$B$37)-1)/6),0)&gt;0),--('V06 Motor'!A119&gt;('V06 Unidades'!$I$5:$I$98+'V06 Controlos'!$B$37)),--('V06 Motor'!A119&lt;IF('V06 Controlos'!$B$38&gt;0,IF(('V06 Unidades'!$L$5:$L$98+'V06 Controlos'!$B$37)&lt;'V06 Motor'!C119,'V06 Motor'!C119,('V06 Unidades'!$L$5:$L$98+'V06 Controlos'!$B$37)),('V06 Unidades'!$L$5:$L$98+'V06 Controlos'!$B$37))),--(MOD('V06 Motor'!A119-('V06 Unidades'!$I$5:$I$98+'V06 Controlos'!$B$37),6)=0),--(('V06 Motor'!A119-('V06 Unidades'!$I$5:$I$98+'V06 Controlos'!$B$37))/6&lt;=IF(INT((IF('V06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Controlos'!$B$37)-1)/6),0)),IF('V06 Motor'!A119=('V06 Unidades'!$I$5:$I$98+'V06 Controlos'!$B$37)+6*IF(INT((IF('V06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Controlos'!$B$37)-1)/6),0)&gt;0,IF(INT((IF('V06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Controlos'!$B$37)-1)/6),0),1),2)*(IF(INT((IF('V06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Controlos'!$B$37)-1)/6),0)&gt;0,IF(INT((IF('V06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Controlos'!$B$37)-1)/6)&gt;0,INT((IF('V06 Controlos'!$B$38&gt;0,IF(('V06 Unidades'!$L$5:$L$98+'V06 Controlos'!$B$37)&lt;'V06 Motor'!C119,'V06 Motor'!C119,('V06 Unidades'!$L$5:$L$98+'V06 Controlos'!$B$37)),('V06 Unidades'!$L$5:$L$98+'V06 Controlos'!$B$37))-('V06 Unidades'!$I$5:$I$98+'V06 Controlos'!$B$37)-1)/6),0),1),2)))</f>
        <v>0.0</v>
      </c>
      <c r="P119" s="2">
        <f>SUM('V06 Calend 01'!DW5:DW98)</f>
        <v>0.0</v>
      </c>
    </row>
    <row r="120" spans="1:16">
      <c r="A120">
        <v>116</v>
      </c>
      <c r="C120">
        <v>30</v>
      </c>
      <c r="G120" s="2">
        <f>IF('V06 Motor'!A120&lt;='V06 Motor'!C120,SUMPRODUCT('V06 Curva'!$B$5:$B$34,IF((IF('V06 Motor'!A120*30/'V06 Motor'!C120&lt;'V06 Curva'!$A$5:$A$34,'V06 Motor'!A120*30/'V06 Motor'!C120,'V06 Curva'!$A$5:$A$34)-IF(('V06 Motor'!A120-1)*30/'V06 Motor'!C120&gt;'V06 Curva'!$A$5:$A$34-1,('V06 Motor'!A120-1)*30/'V06 Motor'!C120,'V06 Curva'!$A$5:$A$34-1))&gt;0,(IF('V06 Motor'!A120*30/'V06 Motor'!C120&lt;'V06 Curva'!$A$5:$A$34,'V06 Motor'!A120*30/'V06 Motor'!C120,'V06 Curva'!$A$5:$A$34)-IF(('V06 Motor'!A120-1)*30/'V06 Motor'!C120&gt;'V06 Curva'!$A$5:$A$34-1,('V06 Motor'!A120-1)*30/'V06 Motor'!C120,'V06 Curva'!$A$5:$A$34-1)),0)),0)</f>
        <v>0.0</v>
      </c>
      <c r="H120" s="2">
        <f>IF('V06 Motor'!A120&lt;='V06 Motor'!C120,SUM(MAX(0,MIN('V06 Motor'!A120*30/'V06 Motor'!C120,1)-MAX(('V06 Motor'!A120-1)*30/'V06 Motor'!C120,0))*'V06 Curva'!$B$5,MAX(0,MIN('V06 Motor'!A120*30/'V06 Motor'!C120,2)-MAX(('V06 Motor'!A120-1)*30/'V06 Motor'!C120,1))*'V06 Curva'!$B$6,MAX(0,MIN('V06 Motor'!A120*30/'V06 Motor'!C120,3)-MAX(('V06 Motor'!A120-1)*30/'V06 Motor'!C120,2))*'V06 Curva'!$B$7,MAX(0,MIN('V06 Motor'!A120*30/'V06 Motor'!C120,4)-MAX(('V06 Motor'!A120-1)*30/'V06 Motor'!C120,3))*'V06 Curva'!$B$8,MAX(0,MIN('V06 Motor'!A120*30/'V06 Motor'!C120,5)-MAX(('V06 Motor'!A120-1)*30/'V06 Motor'!C120,4))*'V06 Curva'!$B$9,MAX(0,MIN('V06 Motor'!A120*30/'V06 Motor'!C120,6)-MAX(('V06 Motor'!A120-1)*30/'V06 Motor'!C120,5))*'V06 Curva'!$B$10,MAX(0,MIN('V06 Motor'!A120*30/'V06 Motor'!C120,7)-MAX(('V06 Motor'!A120-1)*30/'V06 Motor'!C120,6))*'V06 Curva'!$B$11,MAX(0,MIN('V06 Motor'!A120*30/'V06 Motor'!C120,8)-MAX(('V06 Motor'!A120-1)*30/'V06 Motor'!C120,7))*'V06 Curva'!$B$12,MAX(0,MIN('V06 Motor'!A120*30/'V06 Motor'!C120,9)-MAX(('V06 Motor'!A120-1)*30/'V06 Motor'!C120,8))*'V06 Curva'!$B$13,MAX(0,MIN('V06 Motor'!A120*30/'V06 Motor'!C120,10)-MAX(('V06 Motor'!A120-1)*30/'V06 Motor'!C120,9))*'V06 Curva'!$B$14,MAX(0,MIN('V06 Motor'!A120*30/'V06 Motor'!C120,11)-MAX(('V06 Motor'!A120-1)*30/'V06 Motor'!C120,10))*'V06 Curva'!$B$15,MAX(0,MIN('V06 Motor'!A120*30/'V06 Motor'!C120,12)-MAX(('V06 Motor'!A120-1)*30/'V06 Motor'!C120,11))*'V06 Curva'!$B$16,MAX(0,MIN('V06 Motor'!A120*30/'V06 Motor'!C120,13)-MAX(('V06 Motor'!A120-1)*30/'V06 Motor'!C120,12))*'V06 Curva'!$B$17,MAX(0,MIN('V06 Motor'!A120*30/'V06 Motor'!C120,14)-MAX(('V06 Motor'!A120-1)*30/'V06 Motor'!C120,13))*'V06 Curva'!$B$18,MAX(0,MIN('V06 Motor'!A120*30/'V06 Motor'!C120,15)-MAX(('V06 Motor'!A120-1)*30/'V06 Motor'!C120,14))*'V06 Curva'!$B$19,MAX(0,MIN('V06 Motor'!A120*30/'V06 Motor'!C120,16)-MAX(('V06 Motor'!A120-1)*30/'V06 Motor'!C120,15))*'V06 Curva'!$B$20,MAX(0,MIN('V06 Motor'!A120*30/'V06 Motor'!C120,17)-MAX(('V06 Motor'!A120-1)*30/'V06 Motor'!C120,16))*'V06 Curva'!$B$21,MAX(0,MIN('V06 Motor'!A120*30/'V06 Motor'!C120,18)-MAX(('V06 Motor'!A120-1)*30/'V06 Motor'!C120,17))*'V06 Curva'!$B$22,MAX(0,MIN('V06 Motor'!A120*30/'V06 Motor'!C120,19)-MAX(('V06 Motor'!A120-1)*30/'V06 Motor'!C120,18))*'V06 Curva'!$B$23,MAX(0,MIN('V06 Motor'!A120*30/'V06 Motor'!C120,20)-MAX(('V06 Motor'!A120-1)*30/'V06 Motor'!C120,19))*'V06 Curva'!$B$24,MAX(0,MIN('V06 Motor'!A120*30/'V06 Motor'!C120,21)-MAX(('V06 Motor'!A120-1)*30/'V06 Motor'!C120,20))*'V06 Curva'!$B$25,MAX(0,MIN('V06 Motor'!A120*30/'V06 Motor'!C120,22)-MAX(('V06 Motor'!A120-1)*30/'V06 Motor'!C120,21))*'V06 Curva'!$B$26,MAX(0,MIN('V06 Motor'!A120*30/'V06 Motor'!C120,23)-MAX(('V06 Motor'!A120-1)*30/'V06 Motor'!C120,22))*'V06 Curva'!$B$27,MAX(0,MIN('V06 Motor'!A120*30/'V06 Motor'!C120,24)-MAX(('V06 Motor'!A120-1)*30/'V06 Motor'!C120,23))*'V06 Curva'!$B$28,MAX(0,MIN('V06 Motor'!A120*30/'V06 Motor'!C120,25)-MAX(('V06 Motor'!A120-1)*30/'V06 Motor'!C120,24))*'V06 Curva'!$B$29,MAX(0,MIN('V06 Motor'!A120*30/'V06 Motor'!C120,26)-MAX(('V06 Motor'!A120-1)*30/'V06 Motor'!C120,25))*'V06 Curva'!$B$30,MAX(0,MIN('V06 Motor'!A120*30/'V06 Motor'!C120,27)-MAX(('V06 Motor'!A120-1)*30/'V06 Motor'!C120,26))*'V06 Curva'!$B$31,MAX(0,MIN('V06 Motor'!A120*30/'V06 Motor'!C120,28)-MAX(('V06 Motor'!A120-1)*30/'V06 Motor'!C120,27))*'V06 Curva'!$B$32,MAX(0,MIN('V06 Motor'!A120*30/'V06 Motor'!C120,29)-MAX(('V06 Motor'!A120-1)*30/'V06 Motor'!C120,28))*'V06 Curva'!$B$33,MAX(0,MIN('V06 Motor'!A120*30/'V06 Motor'!C120,30)-MAX(('V06 Motor'!A120-1)*30/'V06 Motor'!C120,29))*'V06 Curva'!$B$34),0)</f>
        <v>0.0</v>
      </c>
      <c r="O120" s="2">
        <f>SUMPRODUCT(--(('V06 Unidades'!$I$5:$I$98+'V06 Controlos'!$B$37)='V06 Motor'!A120),ROUND('V06 Unidades'!$H$5:$H$98*0.05,2)+ROUND('V06 Unidades'!$H$5:$H$98*0.2,2))+SUMPRODUCT(--(IF('V06 Controlos'!$B$38&gt;0,IF(('V06 Unidades'!$L$5:$L$98+'V06 Controlos'!$B$37)&lt;'V06 Motor'!C120,'V06 Motor'!C120,('V06 Unidades'!$L$5:$L$98+'V06 Controlos'!$B$37)),('V06 Unidades'!$L$5:$L$98+'V06 Controlos'!$B$37))='V06 Motor'!A120),'V06 Unidades'!$H$5:$H$98-ROUND('V06 Unidades'!$H$5:$H$98*0.05,2)-ROUND('V06 Unidades'!$H$5:$H$98*0.2,2)-ROUND('V06 Unidades'!$H$5:$H$98*0.55,2))+SUMPRODUCT(--(IF(INT((IF('V06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Controlos'!$B$37)-1)/6),0)&gt;0),--('V06 Motor'!A120&gt;('V06 Unidades'!$I$5:$I$98+'V06 Controlos'!$B$37)),--('V06 Motor'!A120&lt;IF('V06 Controlos'!$B$38&gt;0,IF(('V06 Unidades'!$L$5:$L$98+'V06 Controlos'!$B$37)&lt;'V06 Motor'!C120,'V06 Motor'!C120,('V06 Unidades'!$L$5:$L$98+'V06 Controlos'!$B$37)),('V06 Unidades'!$L$5:$L$98+'V06 Controlos'!$B$37))),--(MOD('V06 Motor'!A120-('V06 Unidades'!$I$5:$I$98+'V06 Controlos'!$B$37),6)=0),--(('V06 Motor'!A120-('V06 Unidades'!$I$5:$I$98+'V06 Controlos'!$B$37))/6&lt;=IF(INT((IF('V06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Controlos'!$B$37)-1)/6),0)),IF('V06 Motor'!A120=('V06 Unidades'!$I$5:$I$98+'V06 Controlos'!$B$37)+6*IF(INT((IF('V06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Controlos'!$B$37)-1)/6),0)&gt;0,IF(INT((IF('V06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Controlos'!$B$37)-1)/6),0),1),2)*(IF(INT((IF('V06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Controlos'!$B$37)-1)/6),0)&gt;0,IF(INT((IF('V06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Controlos'!$B$37)-1)/6)&gt;0,INT((IF('V06 Controlos'!$B$38&gt;0,IF(('V06 Unidades'!$L$5:$L$98+'V06 Controlos'!$B$37)&lt;'V06 Motor'!C120,'V06 Motor'!C120,('V06 Unidades'!$L$5:$L$98+'V06 Controlos'!$B$37)),('V06 Unidades'!$L$5:$L$98+'V06 Controlos'!$B$37))-('V06 Unidades'!$I$5:$I$98+'V06 Controlos'!$B$37)-1)/6),0),1),2)))</f>
        <v>0.0</v>
      </c>
      <c r="P120" s="2">
        <f>SUM('V06 Calend 01'!DX5:DX98)</f>
        <v>0.0</v>
      </c>
    </row>
    <row r="121" spans="1:16">
      <c r="A121">
        <v>117</v>
      </c>
      <c r="C121">
        <v>30</v>
      </c>
      <c r="G121" s="2">
        <f>IF('V06 Motor'!A121&lt;='V06 Motor'!C121,SUMPRODUCT('V06 Curva'!$B$5:$B$34,IF((IF('V06 Motor'!A121*30/'V06 Motor'!C121&lt;'V06 Curva'!$A$5:$A$34,'V06 Motor'!A121*30/'V06 Motor'!C121,'V06 Curva'!$A$5:$A$34)-IF(('V06 Motor'!A121-1)*30/'V06 Motor'!C121&gt;'V06 Curva'!$A$5:$A$34-1,('V06 Motor'!A121-1)*30/'V06 Motor'!C121,'V06 Curva'!$A$5:$A$34-1))&gt;0,(IF('V06 Motor'!A121*30/'V06 Motor'!C121&lt;'V06 Curva'!$A$5:$A$34,'V06 Motor'!A121*30/'V06 Motor'!C121,'V06 Curva'!$A$5:$A$34)-IF(('V06 Motor'!A121-1)*30/'V06 Motor'!C121&gt;'V06 Curva'!$A$5:$A$34-1,('V06 Motor'!A121-1)*30/'V06 Motor'!C121,'V06 Curva'!$A$5:$A$34-1)),0)),0)</f>
        <v>0.0</v>
      </c>
      <c r="H121" s="2">
        <f>IF('V06 Motor'!A121&lt;='V06 Motor'!C121,SUM(MAX(0,MIN('V06 Motor'!A121*30/'V06 Motor'!C121,1)-MAX(('V06 Motor'!A121-1)*30/'V06 Motor'!C121,0))*'V06 Curva'!$B$5,MAX(0,MIN('V06 Motor'!A121*30/'V06 Motor'!C121,2)-MAX(('V06 Motor'!A121-1)*30/'V06 Motor'!C121,1))*'V06 Curva'!$B$6,MAX(0,MIN('V06 Motor'!A121*30/'V06 Motor'!C121,3)-MAX(('V06 Motor'!A121-1)*30/'V06 Motor'!C121,2))*'V06 Curva'!$B$7,MAX(0,MIN('V06 Motor'!A121*30/'V06 Motor'!C121,4)-MAX(('V06 Motor'!A121-1)*30/'V06 Motor'!C121,3))*'V06 Curva'!$B$8,MAX(0,MIN('V06 Motor'!A121*30/'V06 Motor'!C121,5)-MAX(('V06 Motor'!A121-1)*30/'V06 Motor'!C121,4))*'V06 Curva'!$B$9,MAX(0,MIN('V06 Motor'!A121*30/'V06 Motor'!C121,6)-MAX(('V06 Motor'!A121-1)*30/'V06 Motor'!C121,5))*'V06 Curva'!$B$10,MAX(0,MIN('V06 Motor'!A121*30/'V06 Motor'!C121,7)-MAX(('V06 Motor'!A121-1)*30/'V06 Motor'!C121,6))*'V06 Curva'!$B$11,MAX(0,MIN('V06 Motor'!A121*30/'V06 Motor'!C121,8)-MAX(('V06 Motor'!A121-1)*30/'V06 Motor'!C121,7))*'V06 Curva'!$B$12,MAX(0,MIN('V06 Motor'!A121*30/'V06 Motor'!C121,9)-MAX(('V06 Motor'!A121-1)*30/'V06 Motor'!C121,8))*'V06 Curva'!$B$13,MAX(0,MIN('V06 Motor'!A121*30/'V06 Motor'!C121,10)-MAX(('V06 Motor'!A121-1)*30/'V06 Motor'!C121,9))*'V06 Curva'!$B$14,MAX(0,MIN('V06 Motor'!A121*30/'V06 Motor'!C121,11)-MAX(('V06 Motor'!A121-1)*30/'V06 Motor'!C121,10))*'V06 Curva'!$B$15,MAX(0,MIN('V06 Motor'!A121*30/'V06 Motor'!C121,12)-MAX(('V06 Motor'!A121-1)*30/'V06 Motor'!C121,11))*'V06 Curva'!$B$16,MAX(0,MIN('V06 Motor'!A121*30/'V06 Motor'!C121,13)-MAX(('V06 Motor'!A121-1)*30/'V06 Motor'!C121,12))*'V06 Curva'!$B$17,MAX(0,MIN('V06 Motor'!A121*30/'V06 Motor'!C121,14)-MAX(('V06 Motor'!A121-1)*30/'V06 Motor'!C121,13))*'V06 Curva'!$B$18,MAX(0,MIN('V06 Motor'!A121*30/'V06 Motor'!C121,15)-MAX(('V06 Motor'!A121-1)*30/'V06 Motor'!C121,14))*'V06 Curva'!$B$19,MAX(0,MIN('V06 Motor'!A121*30/'V06 Motor'!C121,16)-MAX(('V06 Motor'!A121-1)*30/'V06 Motor'!C121,15))*'V06 Curva'!$B$20,MAX(0,MIN('V06 Motor'!A121*30/'V06 Motor'!C121,17)-MAX(('V06 Motor'!A121-1)*30/'V06 Motor'!C121,16))*'V06 Curva'!$B$21,MAX(0,MIN('V06 Motor'!A121*30/'V06 Motor'!C121,18)-MAX(('V06 Motor'!A121-1)*30/'V06 Motor'!C121,17))*'V06 Curva'!$B$22,MAX(0,MIN('V06 Motor'!A121*30/'V06 Motor'!C121,19)-MAX(('V06 Motor'!A121-1)*30/'V06 Motor'!C121,18))*'V06 Curva'!$B$23,MAX(0,MIN('V06 Motor'!A121*30/'V06 Motor'!C121,20)-MAX(('V06 Motor'!A121-1)*30/'V06 Motor'!C121,19))*'V06 Curva'!$B$24,MAX(0,MIN('V06 Motor'!A121*30/'V06 Motor'!C121,21)-MAX(('V06 Motor'!A121-1)*30/'V06 Motor'!C121,20))*'V06 Curva'!$B$25,MAX(0,MIN('V06 Motor'!A121*30/'V06 Motor'!C121,22)-MAX(('V06 Motor'!A121-1)*30/'V06 Motor'!C121,21))*'V06 Curva'!$B$26,MAX(0,MIN('V06 Motor'!A121*30/'V06 Motor'!C121,23)-MAX(('V06 Motor'!A121-1)*30/'V06 Motor'!C121,22))*'V06 Curva'!$B$27,MAX(0,MIN('V06 Motor'!A121*30/'V06 Motor'!C121,24)-MAX(('V06 Motor'!A121-1)*30/'V06 Motor'!C121,23))*'V06 Curva'!$B$28,MAX(0,MIN('V06 Motor'!A121*30/'V06 Motor'!C121,25)-MAX(('V06 Motor'!A121-1)*30/'V06 Motor'!C121,24))*'V06 Curva'!$B$29,MAX(0,MIN('V06 Motor'!A121*30/'V06 Motor'!C121,26)-MAX(('V06 Motor'!A121-1)*30/'V06 Motor'!C121,25))*'V06 Curva'!$B$30,MAX(0,MIN('V06 Motor'!A121*30/'V06 Motor'!C121,27)-MAX(('V06 Motor'!A121-1)*30/'V06 Motor'!C121,26))*'V06 Curva'!$B$31,MAX(0,MIN('V06 Motor'!A121*30/'V06 Motor'!C121,28)-MAX(('V06 Motor'!A121-1)*30/'V06 Motor'!C121,27))*'V06 Curva'!$B$32,MAX(0,MIN('V06 Motor'!A121*30/'V06 Motor'!C121,29)-MAX(('V06 Motor'!A121-1)*30/'V06 Motor'!C121,28))*'V06 Curva'!$B$33,MAX(0,MIN('V06 Motor'!A121*30/'V06 Motor'!C121,30)-MAX(('V06 Motor'!A121-1)*30/'V06 Motor'!C121,29))*'V06 Curva'!$B$34),0)</f>
        <v>0.0</v>
      </c>
      <c r="O121" s="2">
        <f>SUMPRODUCT(--(('V06 Unidades'!$I$5:$I$98+'V06 Controlos'!$B$37)='V06 Motor'!A121),ROUND('V06 Unidades'!$H$5:$H$98*0.05,2)+ROUND('V06 Unidades'!$H$5:$H$98*0.2,2))+SUMPRODUCT(--(IF('V06 Controlos'!$B$38&gt;0,IF(('V06 Unidades'!$L$5:$L$98+'V06 Controlos'!$B$37)&lt;'V06 Motor'!C121,'V06 Motor'!C121,('V06 Unidades'!$L$5:$L$98+'V06 Controlos'!$B$37)),('V06 Unidades'!$L$5:$L$98+'V06 Controlos'!$B$37))='V06 Motor'!A121),'V06 Unidades'!$H$5:$H$98-ROUND('V06 Unidades'!$H$5:$H$98*0.05,2)-ROUND('V06 Unidades'!$H$5:$H$98*0.2,2)-ROUND('V06 Unidades'!$H$5:$H$98*0.55,2))+SUMPRODUCT(--(IF(INT((IF('V06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Controlos'!$B$37)-1)/6),0)&gt;0),--('V06 Motor'!A121&gt;('V06 Unidades'!$I$5:$I$98+'V06 Controlos'!$B$37)),--('V06 Motor'!A121&lt;IF('V06 Controlos'!$B$38&gt;0,IF(('V06 Unidades'!$L$5:$L$98+'V06 Controlos'!$B$37)&lt;'V06 Motor'!C121,'V06 Motor'!C121,('V06 Unidades'!$L$5:$L$98+'V06 Controlos'!$B$37)),('V06 Unidades'!$L$5:$L$98+'V06 Controlos'!$B$37))),--(MOD('V06 Motor'!A121-('V06 Unidades'!$I$5:$I$98+'V06 Controlos'!$B$37),6)=0),--(('V06 Motor'!A121-('V06 Unidades'!$I$5:$I$98+'V06 Controlos'!$B$37))/6&lt;=IF(INT((IF('V06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Controlos'!$B$37)-1)/6),0)),IF('V06 Motor'!A121=('V06 Unidades'!$I$5:$I$98+'V06 Controlos'!$B$37)+6*IF(INT((IF('V06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Controlos'!$B$37)-1)/6),0)&gt;0,IF(INT((IF('V06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Controlos'!$B$37)-1)/6),0),1),2)*(IF(INT((IF('V06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Controlos'!$B$37)-1)/6),0)&gt;0,IF(INT((IF('V06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Controlos'!$B$37)-1)/6)&gt;0,INT((IF('V06 Controlos'!$B$38&gt;0,IF(('V06 Unidades'!$L$5:$L$98+'V06 Controlos'!$B$37)&lt;'V06 Motor'!C121,'V06 Motor'!C121,('V06 Unidades'!$L$5:$L$98+'V06 Controlos'!$B$37)),('V06 Unidades'!$L$5:$L$98+'V06 Controlos'!$B$37))-('V06 Unidades'!$I$5:$I$98+'V06 Controlos'!$B$37)-1)/6),0),1),2)))</f>
        <v>0.0</v>
      </c>
      <c r="P121" s="2">
        <f>SUM('V06 Calend 01'!DY5:DY98)</f>
        <v>0.0</v>
      </c>
    </row>
    <row r="122" spans="1:16">
      <c r="A122">
        <v>118</v>
      </c>
      <c r="C122">
        <v>30</v>
      </c>
      <c r="G122" s="2">
        <f>IF('V06 Motor'!A122&lt;='V06 Motor'!C122,SUMPRODUCT('V06 Curva'!$B$5:$B$34,IF((IF('V06 Motor'!A122*30/'V06 Motor'!C122&lt;'V06 Curva'!$A$5:$A$34,'V06 Motor'!A122*30/'V06 Motor'!C122,'V06 Curva'!$A$5:$A$34)-IF(('V06 Motor'!A122-1)*30/'V06 Motor'!C122&gt;'V06 Curva'!$A$5:$A$34-1,('V06 Motor'!A122-1)*30/'V06 Motor'!C122,'V06 Curva'!$A$5:$A$34-1))&gt;0,(IF('V06 Motor'!A122*30/'V06 Motor'!C122&lt;'V06 Curva'!$A$5:$A$34,'V06 Motor'!A122*30/'V06 Motor'!C122,'V06 Curva'!$A$5:$A$34)-IF(('V06 Motor'!A122-1)*30/'V06 Motor'!C122&gt;'V06 Curva'!$A$5:$A$34-1,('V06 Motor'!A122-1)*30/'V06 Motor'!C122,'V06 Curva'!$A$5:$A$34-1)),0)),0)</f>
        <v>0.0</v>
      </c>
      <c r="H122" s="2">
        <f>IF('V06 Motor'!A122&lt;='V06 Motor'!C122,SUM(MAX(0,MIN('V06 Motor'!A122*30/'V06 Motor'!C122,1)-MAX(('V06 Motor'!A122-1)*30/'V06 Motor'!C122,0))*'V06 Curva'!$B$5,MAX(0,MIN('V06 Motor'!A122*30/'V06 Motor'!C122,2)-MAX(('V06 Motor'!A122-1)*30/'V06 Motor'!C122,1))*'V06 Curva'!$B$6,MAX(0,MIN('V06 Motor'!A122*30/'V06 Motor'!C122,3)-MAX(('V06 Motor'!A122-1)*30/'V06 Motor'!C122,2))*'V06 Curva'!$B$7,MAX(0,MIN('V06 Motor'!A122*30/'V06 Motor'!C122,4)-MAX(('V06 Motor'!A122-1)*30/'V06 Motor'!C122,3))*'V06 Curva'!$B$8,MAX(0,MIN('V06 Motor'!A122*30/'V06 Motor'!C122,5)-MAX(('V06 Motor'!A122-1)*30/'V06 Motor'!C122,4))*'V06 Curva'!$B$9,MAX(0,MIN('V06 Motor'!A122*30/'V06 Motor'!C122,6)-MAX(('V06 Motor'!A122-1)*30/'V06 Motor'!C122,5))*'V06 Curva'!$B$10,MAX(0,MIN('V06 Motor'!A122*30/'V06 Motor'!C122,7)-MAX(('V06 Motor'!A122-1)*30/'V06 Motor'!C122,6))*'V06 Curva'!$B$11,MAX(0,MIN('V06 Motor'!A122*30/'V06 Motor'!C122,8)-MAX(('V06 Motor'!A122-1)*30/'V06 Motor'!C122,7))*'V06 Curva'!$B$12,MAX(0,MIN('V06 Motor'!A122*30/'V06 Motor'!C122,9)-MAX(('V06 Motor'!A122-1)*30/'V06 Motor'!C122,8))*'V06 Curva'!$B$13,MAX(0,MIN('V06 Motor'!A122*30/'V06 Motor'!C122,10)-MAX(('V06 Motor'!A122-1)*30/'V06 Motor'!C122,9))*'V06 Curva'!$B$14,MAX(0,MIN('V06 Motor'!A122*30/'V06 Motor'!C122,11)-MAX(('V06 Motor'!A122-1)*30/'V06 Motor'!C122,10))*'V06 Curva'!$B$15,MAX(0,MIN('V06 Motor'!A122*30/'V06 Motor'!C122,12)-MAX(('V06 Motor'!A122-1)*30/'V06 Motor'!C122,11))*'V06 Curva'!$B$16,MAX(0,MIN('V06 Motor'!A122*30/'V06 Motor'!C122,13)-MAX(('V06 Motor'!A122-1)*30/'V06 Motor'!C122,12))*'V06 Curva'!$B$17,MAX(0,MIN('V06 Motor'!A122*30/'V06 Motor'!C122,14)-MAX(('V06 Motor'!A122-1)*30/'V06 Motor'!C122,13))*'V06 Curva'!$B$18,MAX(0,MIN('V06 Motor'!A122*30/'V06 Motor'!C122,15)-MAX(('V06 Motor'!A122-1)*30/'V06 Motor'!C122,14))*'V06 Curva'!$B$19,MAX(0,MIN('V06 Motor'!A122*30/'V06 Motor'!C122,16)-MAX(('V06 Motor'!A122-1)*30/'V06 Motor'!C122,15))*'V06 Curva'!$B$20,MAX(0,MIN('V06 Motor'!A122*30/'V06 Motor'!C122,17)-MAX(('V06 Motor'!A122-1)*30/'V06 Motor'!C122,16))*'V06 Curva'!$B$21,MAX(0,MIN('V06 Motor'!A122*30/'V06 Motor'!C122,18)-MAX(('V06 Motor'!A122-1)*30/'V06 Motor'!C122,17))*'V06 Curva'!$B$22,MAX(0,MIN('V06 Motor'!A122*30/'V06 Motor'!C122,19)-MAX(('V06 Motor'!A122-1)*30/'V06 Motor'!C122,18))*'V06 Curva'!$B$23,MAX(0,MIN('V06 Motor'!A122*30/'V06 Motor'!C122,20)-MAX(('V06 Motor'!A122-1)*30/'V06 Motor'!C122,19))*'V06 Curva'!$B$24,MAX(0,MIN('V06 Motor'!A122*30/'V06 Motor'!C122,21)-MAX(('V06 Motor'!A122-1)*30/'V06 Motor'!C122,20))*'V06 Curva'!$B$25,MAX(0,MIN('V06 Motor'!A122*30/'V06 Motor'!C122,22)-MAX(('V06 Motor'!A122-1)*30/'V06 Motor'!C122,21))*'V06 Curva'!$B$26,MAX(0,MIN('V06 Motor'!A122*30/'V06 Motor'!C122,23)-MAX(('V06 Motor'!A122-1)*30/'V06 Motor'!C122,22))*'V06 Curva'!$B$27,MAX(0,MIN('V06 Motor'!A122*30/'V06 Motor'!C122,24)-MAX(('V06 Motor'!A122-1)*30/'V06 Motor'!C122,23))*'V06 Curva'!$B$28,MAX(0,MIN('V06 Motor'!A122*30/'V06 Motor'!C122,25)-MAX(('V06 Motor'!A122-1)*30/'V06 Motor'!C122,24))*'V06 Curva'!$B$29,MAX(0,MIN('V06 Motor'!A122*30/'V06 Motor'!C122,26)-MAX(('V06 Motor'!A122-1)*30/'V06 Motor'!C122,25))*'V06 Curva'!$B$30,MAX(0,MIN('V06 Motor'!A122*30/'V06 Motor'!C122,27)-MAX(('V06 Motor'!A122-1)*30/'V06 Motor'!C122,26))*'V06 Curva'!$B$31,MAX(0,MIN('V06 Motor'!A122*30/'V06 Motor'!C122,28)-MAX(('V06 Motor'!A122-1)*30/'V06 Motor'!C122,27))*'V06 Curva'!$B$32,MAX(0,MIN('V06 Motor'!A122*30/'V06 Motor'!C122,29)-MAX(('V06 Motor'!A122-1)*30/'V06 Motor'!C122,28))*'V06 Curva'!$B$33,MAX(0,MIN('V06 Motor'!A122*30/'V06 Motor'!C122,30)-MAX(('V06 Motor'!A122-1)*30/'V06 Motor'!C122,29))*'V06 Curva'!$B$34),0)</f>
        <v>0.0</v>
      </c>
      <c r="O122" s="2">
        <f>SUMPRODUCT(--(('V06 Unidades'!$I$5:$I$98+'V06 Controlos'!$B$37)='V06 Motor'!A122),ROUND('V06 Unidades'!$H$5:$H$98*0.05,2)+ROUND('V06 Unidades'!$H$5:$H$98*0.2,2))+SUMPRODUCT(--(IF('V06 Controlos'!$B$38&gt;0,IF(('V06 Unidades'!$L$5:$L$98+'V06 Controlos'!$B$37)&lt;'V06 Motor'!C122,'V06 Motor'!C122,('V06 Unidades'!$L$5:$L$98+'V06 Controlos'!$B$37)),('V06 Unidades'!$L$5:$L$98+'V06 Controlos'!$B$37))='V06 Motor'!A122),'V06 Unidades'!$H$5:$H$98-ROUND('V06 Unidades'!$H$5:$H$98*0.05,2)-ROUND('V06 Unidades'!$H$5:$H$98*0.2,2)-ROUND('V06 Unidades'!$H$5:$H$98*0.55,2))+SUMPRODUCT(--(IF(INT((IF('V06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Controlos'!$B$37)-1)/6),0)&gt;0),--('V06 Motor'!A122&gt;('V06 Unidades'!$I$5:$I$98+'V06 Controlos'!$B$37)),--('V06 Motor'!A122&lt;IF('V06 Controlos'!$B$38&gt;0,IF(('V06 Unidades'!$L$5:$L$98+'V06 Controlos'!$B$37)&lt;'V06 Motor'!C122,'V06 Motor'!C122,('V06 Unidades'!$L$5:$L$98+'V06 Controlos'!$B$37)),('V06 Unidades'!$L$5:$L$98+'V06 Controlos'!$B$37))),--(MOD('V06 Motor'!A122-('V06 Unidades'!$I$5:$I$98+'V06 Controlos'!$B$37),6)=0),--(('V06 Motor'!A122-('V06 Unidades'!$I$5:$I$98+'V06 Controlos'!$B$37))/6&lt;=IF(INT((IF('V06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Controlos'!$B$37)-1)/6),0)),IF('V06 Motor'!A122=('V06 Unidades'!$I$5:$I$98+'V06 Controlos'!$B$37)+6*IF(INT((IF('V06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Controlos'!$B$37)-1)/6),0)&gt;0,IF(INT((IF('V06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Controlos'!$B$37)-1)/6),0),1),2)*(IF(INT((IF('V06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Controlos'!$B$37)-1)/6),0)&gt;0,IF(INT((IF('V06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Controlos'!$B$37)-1)/6)&gt;0,INT((IF('V06 Controlos'!$B$38&gt;0,IF(('V06 Unidades'!$L$5:$L$98+'V06 Controlos'!$B$37)&lt;'V06 Motor'!C122,'V06 Motor'!C122,('V06 Unidades'!$L$5:$L$98+'V06 Controlos'!$B$37)),('V06 Unidades'!$L$5:$L$98+'V06 Controlos'!$B$37))-('V06 Unidades'!$I$5:$I$98+'V06 Controlos'!$B$37)-1)/6),0),1),2)))</f>
        <v>0.0</v>
      </c>
      <c r="P122" s="2">
        <f>SUM('V06 Calend 01'!DZ5:DZ98)</f>
        <v>0.0</v>
      </c>
    </row>
    <row r="123" spans="1:16">
      <c r="A123">
        <v>119</v>
      </c>
      <c r="C123">
        <v>30</v>
      </c>
      <c r="G123" s="2">
        <f>IF('V06 Motor'!A123&lt;='V06 Motor'!C123,SUMPRODUCT('V06 Curva'!$B$5:$B$34,IF((IF('V06 Motor'!A123*30/'V06 Motor'!C123&lt;'V06 Curva'!$A$5:$A$34,'V06 Motor'!A123*30/'V06 Motor'!C123,'V06 Curva'!$A$5:$A$34)-IF(('V06 Motor'!A123-1)*30/'V06 Motor'!C123&gt;'V06 Curva'!$A$5:$A$34-1,('V06 Motor'!A123-1)*30/'V06 Motor'!C123,'V06 Curva'!$A$5:$A$34-1))&gt;0,(IF('V06 Motor'!A123*30/'V06 Motor'!C123&lt;'V06 Curva'!$A$5:$A$34,'V06 Motor'!A123*30/'V06 Motor'!C123,'V06 Curva'!$A$5:$A$34)-IF(('V06 Motor'!A123-1)*30/'V06 Motor'!C123&gt;'V06 Curva'!$A$5:$A$34-1,('V06 Motor'!A123-1)*30/'V06 Motor'!C123,'V06 Curva'!$A$5:$A$34-1)),0)),0)</f>
        <v>0.0</v>
      </c>
      <c r="H123" s="2">
        <f>IF('V06 Motor'!A123&lt;='V06 Motor'!C123,SUM(MAX(0,MIN('V06 Motor'!A123*30/'V06 Motor'!C123,1)-MAX(('V06 Motor'!A123-1)*30/'V06 Motor'!C123,0))*'V06 Curva'!$B$5,MAX(0,MIN('V06 Motor'!A123*30/'V06 Motor'!C123,2)-MAX(('V06 Motor'!A123-1)*30/'V06 Motor'!C123,1))*'V06 Curva'!$B$6,MAX(0,MIN('V06 Motor'!A123*30/'V06 Motor'!C123,3)-MAX(('V06 Motor'!A123-1)*30/'V06 Motor'!C123,2))*'V06 Curva'!$B$7,MAX(0,MIN('V06 Motor'!A123*30/'V06 Motor'!C123,4)-MAX(('V06 Motor'!A123-1)*30/'V06 Motor'!C123,3))*'V06 Curva'!$B$8,MAX(0,MIN('V06 Motor'!A123*30/'V06 Motor'!C123,5)-MAX(('V06 Motor'!A123-1)*30/'V06 Motor'!C123,4))*'V06 Curva'!$B$9,MAX(0,MIN('V06 Motor'!A123*30/'V06 Motor'!C123,6)-MAX(('V06 Motor'!A123-1)*30/'V06 Motor'!C123,5))*'V06 Curva'!$B$10,MAX(0,MIN('V06 Motor'!A123*30/'V06 Motor'!C123,7)-MAX(('V06 Motor'!A123-1)*30/'V06 Motor'!C123,6))*'V06 Curva'!$B$11,MAX(0,MIN('V06 Motor'!A123*30/'V06 Motor'!C123,8)-MAX(('V06 Motor'!A123-1)*30/'V06 Motor'!C123,7))*'V06 Curva'!$B$12,MAX(0,MIN('V06 Motor'!A123*30/'V06 Motor'!C123,9)-MAX(('V06 Motor'!A123-1)*30/'V06 Motor'!C123,8))*'V06 Curva'!$B$13,MAX(0,MIN('V06 Motor'!A123*30/'V06 Motor'!C123,10)-MAX(('V06 Motor'!A123-1)*30/'V06 Motor'!C123,9))*'V06 Curva'!$B$14,MAX(0,MIN('V06 Motor'!A123*30/'V06 Motor'!C123,11)-MAX(('V06 Motor'!A123-1)*30/'V06 Motor'!C123,10))*'V06 Curva'!$B$15,MAX(0,MIN('V06 Motor'!A123*30/'V06 Motor'!C123,12)-MAX(('V06 Motor'!A123-1)*30/'V06 Motor'!C123,11))*'V06 Curva'!$B$16,MAX(0,MIN('V06 Motor'!A123*30/'V06 Motor'!C123,13)-MAX(('V06 Motor'!A123-1)*30/'V06 Motor'!C123,12))*'V06 Curva'!$B$17,MAX(0,MIN('V06 Motor'!A123*30/'V06 Motor'!C123,14)-MAX(('V06 Motor'!A123-1)*30/'V06 Motor'!C123,13))*'V06 Curva'!$B$18,MAX(0,MIN('V06 Motor'!A123*30/'V06 Motor'!C123,15)-MAX(('V06 Motor'!A123-1)*30/'V06 Motor'!C123,14))*'V06 Curva'!$B$19,MAX(0,MIN('V06 Motor'!A123*30/'V06 Motor'!C123,16)-MAX(('V06 Motor'!A123-1)*30/'V06 Motor'!C123,15))*'V06 Curva'!$B$20,MAX(0,MIN('V06 Motor'!A123*30/'V06 Motor'!C123,17)-MAX(('V06 Motor'!A123-1)*30/'V06 Motor'!C123,16))*'V06 Curva'!$B$21,MAX(0,MIN('V06 Motor'!A123*30/'V06 Motor'!C123,18)-MAX(('V06 Motor'!A123-1)*30/'V06 Motor'!C123,17))*'V06 Curva'!$B$22,MAX(0,MIN('V06 Motor'!A123*30/'V06 Motor'!C123,19)-MAX(('V06 Motor'!A123-1)*30/'V06 Motor'!C123,18))*'V06 Curva'!$B$23,MAX(0,MIN('V06 Motor'!A123*30/'V06 Motor'!C123,20)-MAX(('V06 Motor'!A123-1)*30/'V06 Motor'!C123,19))*'V06 Curva'!$B$24,MAX(0,MIN('V06 Motor'!A123*30/'V06 Motor'!C123,21)-MAX(('V06 Motor'!A123-1)*30/'V06 Motor'!C123,20))*'V06 Curva'!$B$25,MAX(0,MIN('V06 Motor'!A123*30/'V06 Motor'!C123,22)-MAX(('V06 Motor'!A123-1)*30/'V06 Motor'!C123,21))*'V06 Curva'!$B$26,MAX(0,MIN('V06 Motor'!A123*30/'V06 Motor'!C123,23)-MAX(('V06 Motor'!A123-1)*30/'V06 Motor'!C123,22))*'V06 Curva'!$B$27,MAX(0,MIN('V06 Motor'!A123*30/'V06 Motor'!C123,24)-MAX(('V06 Motor'!A123-1)*30/'V06 Motor'!C123,23))*'V06 Curva'!$B$28,MAX(0,MIN('V06 Motor'!A123*30/'V06 Motor'!C123,25)-MAX(('V06 Motor'!A123-1)*30/'V06 Motor'!C123,24))*'V06 Curva'!$B$29,MAX(0,MIN('V06 Motor'!A123*30/'V06 Motor'!C123,26)-MAX(('V06 Motor'!A123-1)*30/'V06 Motor'!C123,25))*'V06 Curva'!$B$30,MAX(0,MIN('V06 Motor'!A123*30/'V06 Motor'!C123,27)-MAX(('V06 Motor'!A123-1)*30/'V06 Motor'!C123,26))*'V06 Curva'!$B$31,MAX(0,MIN('V06 Motor'!A123*30/'V06 Motor'!C123,28)-MAX(('V06 Motor'!A123-1)*30/'V06 Motor'!C123,27))*'V06 Curva'!$B$32,MAX(0,MIN('V06 Motor'!A123*30/'V06 Motor'!C123,29)-MAX(('V06 Motor'!A123-1)*30/'V06 Motor'!C123,28))*'V06 Curva'!$B$33,MAX(0,MIN('V06 Motor'!A123*30/'V06 Motor'!C123,30)-MAX(('V06 Motor'!A123-1)*30/'V06 Motor'!C123,29))*'V06 Curva'!$B$34),0)</f>
        <v>0.0</v>
      </c>
      <c r="O123" s="2">
        <f>SUMPRODUCT(--(('V06 Unidades'!$I$5:$I$98+'V06 Controlos'!$B$37)='V06 Motor'!A123),ROUND('V06 Unidades'!$H$5:$H$98*0.05,2)+ROUND('V06 Unidades'!$H$5:$H$98*0.2,2))+SUMPRODUCT(--(IF('V06 Controlos'!$B$38&gt;0,IF(('V06 Unidades'!$L$5:$L$98+'V06 Controlos'!$B$37)&lt;'V06 Motor'!C123,'V06 Motor'!C123,('V06 Unidades'!$L$5:$L$98+'V06 Controlos'!$B$37)),('V06 Unidades'!$L$5:$L$98+'V06 Controlos'!$B$37))='V06 Motor'!A123),'V06 Unidades'!$H$5:$H$98-ROUND('V06 Unidades'!$H$5:$H$98*0.05,2)-ROUND('V06 Unidades'!$H$5:$H$98*0.2,2)-ROUND('V06 Unidades'!$H$5:$H$98*0.55,2))+SUMPRODUCT(--(IF(INT((IF('V06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Controlos'!$B$37)-1)/6),0)&gt;0),--('V06 Motor'!A123&gt;('V06 Unidades'!$I$5:$I$98+'V06 Controlos'!$B$37)),--('V06 Motor'!A123&lt;IF('V06 Controlos'!$B$38&gt;0,IF(('V06 Unidades'!$L$5:$L$98+'V06 Controlos'!$B$37)&lt;'V06 Motor'!C123,'V06 Motor'!C123,('V06 Unidades'!$L$5:$L$98+'V06 Controlos'!$B$37)),('V06 Unidades'!$L$5:$L$98+'V06 Controlos'!$B$37))),--(MOD('V06 Motor'!A123-('V06 Unidades'!$I$5:$I$98+'V06 Controlos'!$B$37),6)=0),--(('V06 Motor'!A123-('V06 Unidades'!$I$5:$I$98+'V06 Controlos'!$B$37))/6&lt;=IF(INT((IF('V06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Controlos'!$B$37)-1)/6),0)),IF('V06 Motor'!A123=('V06 Unidades'!$I$5:$I$98+'V06 Controlos'!$B$37)+6*IF(INT((IF('V06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Controlos'!$B$37)-1)/6),0)&gt;0,IF(INT((IF('V06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Controlos'!$B$37)-1)/6),0),1),2)*(IF(INT((IF('V06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Controlos'!$B$37)-1)/6),0)&gt;0,IF(INT((IF('V06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Controlos'!$B$37)-1)/6)&gt;0,INT((IF('V06 Controlos'!$B$38&gt;0,IF(('V06 Unidades'!$L$5:$L$98+'V06 Controlos'!$B$37)&lt;'V06 Motor'!C123,'V06 Motor'!C123,('V06 Unidades'!$L$5:$L$98+'V06 Controlos'!$B$37)),('V06 Unidades'!$L$5:$L$98+'V06 Controlos'!$B$37))-('V06 Unidades'!$I$5:$I$98+'V06 Controlos'!$B$37)-1)/6),0),1),2)))</f>
        <v>0.0</v>
      </c>
      <c r="P123" s="2">
        <f>SUM('V06 Calend 01'!EA5:EA98)</f>
        <v>0.0</v>
      </c>
    </row>
    <row r="124" spans="1:16">
      <c r="A124">
        <v>120</v>
      </c>
      <c r="C124">
        <v>30</v>
      </c>
      <c r="G124" s="2">
        <f>IF('V06 Motor'!A124&lt;='V06 Motor'!C124,SUMPRODUCT('V06 Curva'!$B$5:$B$34,IF((IF('V06 Motor'!A124*30/'V06 Motor'!C124&lt;'V06 Curva'!$A$5:$A$34,'V06 Motor'!A124*30/'V06 Motor'!C124,'V06 Curva'!$A$5:$A$34)-IF(('V06 Motor'!A124-1)*30/'V06 Motor'!C124&gt;'V06 Curva'!$A$5:$A$34-1,('V06 Motor'!A124-1)*30/'V06 Motor'!C124,'V06 Curva'!$A$5:$A$34-1))&gt;0,(IF('V06 Motor'!A124*30/'V06 Motor'!C124&lt;'V06 Curva'!$A$5:$A$34,'V06 Motor'!A124*30/'V06 Motor'!C124,'V06 Curva'!$A$5:$A$34)-IF(('V06 Motor'!A124-1)*30/'V06 Motor'!C124&gt;'V06 Curva'!$A$5:$A$34-1,('V06 Motor'!A124-1)*30/'V06 Motor'!C124,'V06 Curva'!$A$5:$A$34-1)),0)),0)</f>
        <v>0.0</v>
      </c>
      <c r="H124" s="2">
        <f>IF('V06 Motor'!A124&lt;='V06 Motor'!C124,SUM(MAX(0,MIN('V06 Motor'!A124*30/'V06 Motor'!C124,1)-MAX(('V06 Motor'!A124-1)*30/'V06 Motor'!C124,0))*'V06 Curva'!$B$5,MAX(0,MIN('V06 Motor'!A124*30/'V06 Motor'!C124,2)-MAX(('V06 Motor'!A124-1)*30/'V06 Motor'!C124,1))*'V06 Curva'!$B$6,MAX(0,MIN('V06 Motor'!A124*30/'V06 Motor'!C124,3)-MAX(('V06 Motor'!A124-1)*30/'V06 Motor'!C124,2))*'V06 Curva'!$B$7,MAX(0,MIN('V06 Motor'!A124*30/'V06 Motor'!C124,4)-MAX(('V06 Motor'!A124-1)*30/'V06 Motor'!C124,3))*'V06 Curva'!$B$8,MAX(0,MIN('V06 Motor'!A124*30/'V06 Motor'!C124,5)-MAX(('V06 Motor'!A124-1)*30/'V06 Motor'!C124,4))*'V06 Curva'!$B$9,MAX(0,MIN('V06 Motor'!A124*30/'V06 Motor'!C124,6)-MAX(('V06 Motor'!A124-1)*30/'V06 Motor'!C124,5))*'V06 Curva'!$B$10,MAX(0,MIN('V06 Motor'!A124*30/'V06 Motor'!C124,7)-MAX(('V06 Motor'!A124-1)*30/'V06 Motor'!C124,6))*'V06 Curva'!$B$11,MAX(0,MIN('V06 Motor'!A124*30/'V06 Motor'!C124,8)-MAX(('V06 Motor'!A124-1)*30/'V06 Motor'!C124,7))*'V06 Curva'!$B$12,MAX(0,MIN('V06 Motor'!A124*30/'V06 Motor'!C124,9)-MAX(('V06 Motor'!A124-1)*30/'V06 Motor'!C124,8))*'V06 Curva'!$B$13,MAX(0,MIN('V06 Motor'!A124*30/'V06 Motor'!C124,10)-MAX(('V06 Motor'!A124-1)*30/'V06 Motor'!C124,9))*'V06 Curva'!$B$14,MAX(0,MIN('V06 Motor'!A124*30/'V06 Motor'!C124,11)-MAX(('V06 Motor'!A124-1)*30/'V06 Motor'!C124,10))*'V06 Curva'!$B$15,MAX(0,MIN('V06 Motor'!A124*30/'V06 Motor'!C124,12)-MAX(('V06 Motor'!A124-1)*30/'V06 Motor'!C124,11))*'V06 Curva'!$B$16,MAX(0,MIN('V06 Motor'!A124*30/'V06 Motor'!C124,13)-MAX(('V06 Motor'!A124-1)*30/'V06 Motor'!C124,12))*'V06 Curva'!$B$17,MAX(0,MIN('V06 Motor'!A124*30/'V06 Motor'!C124,14)-MAX(('V06 Motor'!A124-1)*30/'V06 Motor'!C124,13))*'V06 Curva'!$B$18,MAX(0,MIN('V06 Motor'!A124*30/'V06 Motor'!C124,15)-MAX(('V06 Motor'!A124-1)*30/'V06 Motor'!C124,14))*'V06 Curva'!$B$19,MAX(0,MIN('V06 Motor'!A124*30/'V06 Motor'!C124,16)-MAX(('V06 Motor'!A124-1)*30/'V06 Motor'!C124,15))*'V06 Curva'!$B$20,MAX(0,MIN('V06 Motor'!A124*30/'V06 Motor'!C124,17)-MAX(('V06 Motor'!A124-1)*30/'V06 Motor'!C124,16))*'V06 Curva'!$B$21,MAX(0,MIN('V06 Motor'!A124*30/'V06 Motor'!C124,18)-MAX(('V06 Motor'!A124-1)*30/'V06 Motor'!C124,17))*'V06 Curva'!$B$22,MAX(0,MIN('V06 Motor'!A124*30/'V06 Motor'!C124,19)-MAX(('V06 Motor'!A124-1)*30/'V06 Motor'!C124,18))*'V06 Curva'!$B$23,MAX(0,MIN('V06 Motor'!A124*30/'V06 Motor'!C124,20)-MAX(('V06 Motor'!A124-1)*30/'V06 Motor'!C124,19))*'V06 Curva'!$B$24,MAX(0,MIN('V06 Motor'!A124*30/'V06 Motor'!C124,21)-MAX(('V06 Motor'!A124-1)*30/'V06 Motor'!C124,20))*'V06 Curva'!$B$25,MAX(0,MIN('V06 Motor'!A124*30/'V06 Motor'!C124,22)-MAX(('V06 Motor'!A124-1)*30/'V06 Motor'!C124,21))*'V06 Curva'!$B$26,MAX(0,MIN('V06 Motor'!A124*30/'V06 Motor'!C124,23)-MAX(('V06 Motor'!A124-1)*30/'V06 Motor'!C124,22))*'V06 Curva'!$B$27,MAX(0,MIN('V06 Motor'!A124*30/'V06 Motor'!C124,24)-MAX(('V06 Motor'!A124-1)*30/'V06 Motor'!C124,23))*'V06 Curva'!$B$28,MAX(0,MIN('V06 Motor'!A124*30/'V06 Motor'!C124,25)-MAX(('V06 Motor'!A124-1)*30/'V06 Motor'!C124,24))*'V06 Curva'!$B$29,MAX(0,MIN('V06 Motor'!A124*30/'V06 Motor'!C124,26)-MAX(('V06 Motor'!A124-1)*30/'V06 Motor'!C124,25))*'V06 Curva'!$B$30,MAX(0,MIN('V06 Motor'!A124*30/'V06 Motor'!C124,27)-MAX(('V06 Motor'!A124-1)*30/'V06 Motor'!C124,26))*'V06 Curva'!$B$31,MAX(0,MIN('V06 Motor'!A124*30/'V06 Motor'!C124,28)-MAX(('V06 Motor'!A124-1)*30/'V06 Motor'!C124,27))*'V06 Curva'!$B$32,MAX(0,MIN('V06 Motor'!A124*30/'V06 Motor'!C124,29)-MAX(('V06 Motor'!A124-1)*30/'V06 Motor'!C124,28))*'V06 Curva'!$B$33,MAX(0,MIN('V06 Motor'!A124*30/'V06 Motor'!C124,30)-MAX(('V06 Motor'!A124-1)*30/'V06 Motor'!C124,29))*'V06 Curva'!$B$34),0)</f>
        <v>0.0</v>
      </c>
      <c r="O124" s="2">
        <f>SUMPRODUCT(--(('V06 Unidades'!$I$5:$I$98+'V06 Controlos'!$B$37)='V06 Motor'!A124),ROUND('V06 Unidades'!$H$5:$H$98*0.05,2)+ROUND('V06 Unidades'!$H$5:$H$98*0.2,2))+SUMPRODUCT(--(IF('V06 Controlos'!$B$38&gt;0,IF(('V06 Unidades'!$L$5:$L$98+'V06 Controlos'!$B$37)&lt;'V06 Motor'!C124,'V06 Motor'!C124,('V06 Unidades'!$L$5:$L$98+'V06 Controlos'!$B$37)),('V06 Unidades'!$L$5:$L$98+'V06 Controlos'!$B$37))='V06 Motor'!A124),'V06 Unidades'!$H$5:$H$98-ROUND('V06 Unidades'!$H$5:$H$98*0.05,2)-ROUND('V06 Unidades'!$H$5:$H$98*0.2,2)-ROUND('V06 Unidades'!$H$5:$H$98*0.55,2))+SUMPRODUCT(--(IF(INT((IF('V06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Controlos'!$B$37)-1)/6),0)&gt;0),--('V06 Motor'!A124&gt;('V06 Unidades'!$I$5:$I$98+'V06 Controlos'!$B$37)),--('V06 Motor'!A124&lt;IF('V06 Controlos'!$B$38&gt;0,IF(('V06 Unidades'!$L$5:$L$98+'V06 Controlos'!$B$37)&lt;'V06 Motor'!C124,'V06 Motor'!C124,('V06 Unidades'!$L$5:$L$98+'V06 Controlos'!$B$37)),('V06 Unidades'!$L$5:$L$98+'V06 Controlos'!$B$37))),--(MOD('V06 Motor'!A124-('V06 Unidades'!$I$5:$I$98+'V06 Controlos'!$B$37),6)=0),--(('V06 Motor'!A124-('V06 Unidades'!$I$5:$I$98+'V06 Controlos'!$B$37))/6&lt;=IF(INT((IF('V06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Controlos'!$B$37)-1)/6),0)),IF('V06 Motor'!A124=('V06 Unidades'!$I$5:$I$98+'V06 Controlos'!$B$37)+6*IF(INT((IF('V06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Controlos'!$B$37)-1)/6),0)&gt;0,IF(INT((IF('V06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Controlos'!$B$37)-1)/6),0),1),2)*(IF(INT((IF('V06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Controlos'!$B$37)-1)/6),0)&gt;0,IF(INT((IF('V06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Controlos'!$B$37)-1)/6)&gt;0,INT((IF('V06 Controlos'!$B$38&gt;0,IF(('V06 Unidades'!$L$5:$L$98+'V06 Controlos'!$B$37)&lt;'V06 Motor'!C124,'V06 Motor'!C124,('V06 Unidades'!$L$5:$L$98+'V06 Controlos'!$B$37)),('V06 Unidades'!$L$5:$L$98+'V06 Controlos'!$B$37))-('V06 Unidades'!$I$5:$I$98+'V06 Controlos'!$B$37)-1)/6),0),1),2)))</f>
        <v>0.0</v>
      </c>
      <c r="P124" s="2">
        <f>SUM('V06 Calend 01'!EB5:EB98)</f>
        <v>0.0</v>
      </c>
    </row>
    <row r="125" spans="1:16">
      <c r="A125">
        <v>121</v>
      </c>
      <c r="C125">
        <v>30</v>
      </c>
      <c r="G125" s="2">
        <f>IF('V06 Motor'!A125&lt;='V06 Motor'!C125,SUMPRODUCT('V06 Curva'!$B$5:$B$34,IF((IF('V06 Motor'!A125*30/'V06 Motor'!C125&lt;'V06 Curva'!$A$5:$A$34,'V06 Motor'!A125*30/'V06 Motor'!C125,'V06 Curva'!$A$5:$A$34)-IF(('V06 Motor'!A125-1)*30/'V06 Motor'!C125&gt;'V06 Curva'!$A$5:$A$34-1,('V06 Motor'!A125-1)*30/'V06 Motor'!C125,'V06 Curva'!$A$5:$A$34-1))&gt;0,(IF('V06 Motor'!A125*30/'V06 Motor'!C125&lt;'V06 Curva'!$A$5:$A$34,'V06 Motor'!A125*30/'V06 Motor'!C125,'V06 Curva'!$A$5:$A$34)-IF(('V06 Motor'!A125-1)*30/'V06 Motor'!C125&gt;'V06 Curva'!$A$5:$A$34-1,('V06 Motor'!A125-1)*30/'V06 Motor'!C125,'V06 Curva'!$A$5:$A$34-1)),0)),0)</f>
        <v>0.0</v>
      </c>
      <c r="H125" s="2">
        <f>IF('V06 Motor'!A125&lt;='V06 Motor'!C125,SUM(MAX(0,MIN('V06 Motor'!A125*30/'V06 Motor'!C125,1)-MAX(('V06 Motor'!A125-1)*30/'V06 Motor'!C125,0))*'V06 Curva'!$B$5,MAX(0,MIN('V06 Motor'!A125*30/'V06 Motor'!C125,2)-MAX(('V06 Motor'!A125-1)*30/'V06 Motor'!C125,1))*'V06 Curva'!$B$6,MAX(0,MIN('V06 Motor'!A125*30/'V06 Motor'!C125,3)-MAX(('V06 Motor'!A125-1)*30/'V06 Motor'!C125,2))*'V06 Curva'!$B$7,MAX(0,MIN('V06 Motor'!A125*30/'V06 Motor'!C125,4)-MAX(('V06 Motor'!A125-1)*30/'V06 Motor'!C125,3))*'V06 Curva'!$B$8,MAX(0,MIN('V06 Motor'!A125*30/'V06 Motor'!C125,5)-MAX(('V06 Motor'!A125-1)*30/'V06 Motor'!C125,4))*'V06 Curva'!$B$9,MAX(0,MIN('V06 Motor'!A125*30/'V06 Motor'!C125,6)-MAX(('V06 Motor'!A125-1)*30/'V06 Motor'!C125,5))*'V06 Curva'!$B$10,MAX(0,MIN('V06 Motor'!A125*30/'V06 Motor'!C125,7)-MAX(('V06 Motor'!A125-1)*30/'V06 Motor'!C125,6))*'V06 Curva'!$B$11,MAX(0,MIN('V06 Motor'!A125*30/'V06 Motor'!C125,8)-MAX(('V06 Motor'!A125-1)*30/'V06 Motor'!C125,7))*'V06 Curva'!$B$12,MAX(0,MIN('V06 Motor'!A125*30/'V06 Motor'!C125,9)-MAX(('V06 Motor'!A125-1)*30/'V06 Motor'!C125,8))*'V06 Curva'!$B$13,MAX(0,MIN('V06 Motor'!A125*30/'V06 Motor'!C125,10)-MAX(('V06 Motor'!A125-1)*30/'V06 Motor'!C125,9))*'V06 Curva'!$B$14,MAX(0,MIN('V06 Motor'!A125*30/'V06 Motor'!C125,11)-MAX(('V06 Motor'!A125-1)*30/'V06 Motor'!C125,10))*'V06 Curva'!$B$15,MAX(0,MIN('V06 Motor'!A125*30/'V06 Motor'!C125,12)-MAX(('V06 Motor'!A125-1)*30/'V06 Motor'!C125,11))*'V06 Curva'!$B$16,MAX(0,MIN('V06 Motor'!A125*30/'V06 Motor'!C125,13)-MAX(('V06 Motor'!A125-1)*30/'V06 Motor'!C125,12))*'V06 Curva'!$B$17,MAX(0,MIN('V06 Motor'!A125*30/'V06 Motor'!C125,14)-MAX(('V06 Motor'!A125-1)*30/'V06 Motor'!C125,13))*'V06 Curva'!$B$18,MAX(0,MIN('V06 Motor'!A125*30/'V06 Motor'!C125,15)-MAX(('V06 Motor'!A125-1)*30/'V06 Motor'!C125,14))*'V06 Curva'!$B$19,MAX(0,MIN('V06 Motor'!A125*30/'V06 Motor'!C125,16)-MAX(('V06 Motor'!A125-1)*30/'V06 Motor'!C125,15))*'V06 Curva'!$B$20,MAX(0,MIN('V06 Motor'!A125*30/'V06 Motor'!C125,17)-MAX(('V06 Motor'!A125-1)*30/'V06 Motor'!C125,16))*'V06 Curva'!$B$21,MAX(0,MIN('V06 Motor'!A125*30/'V06 Motor'!C125,18)-MAX(('V06 Motor'!A125-1)*30/'V06 Motor'!C125,17))*'V06 Curva'!$B$22,MAX(0,MIN('V06 Motor'!A125*30/'V06 Motor'!C125,19)-MAX(('V06 Motor'!A125-1)*30/'V06 Motor'!C125,18))*'V06 Curva'!$B$23,MAX(0,MIN('V06 Motor'!A125*30/'V06 Motor'!C125,20)-MAX(('V06 Motor'!A125-1)*30/'V06 Motor'!C125,19))*'V06 Curva'!$B$24,MAX(0,MIN('V06 Motor'!A125*30/'V06 Motor'!C125,21)-MAX(('V06 Motor'!A125-1)*30/'V06 Motor'!C125,20))*'V06 Curva'!$B$25,MAX(0,MIN('V06 Motor'!A125*30/'V06 Motor'!C125,22)-MAX(('V06 Motor'!A125-1)*30/'V06 Motor'!C125,21))*'V06 Curva'!$B$26,MAX(0,MIN('V06 Motor'!A125*30/'V06 Motor'!C125,23)-MAX(('V06 Motor'!A125-1)*30/'V06 Motor'!C125,22))*'V06 Curva'!$B$27,MAX(0,MIN('V06 Motor'!A125*30/'V06 Motor'!C125,24)-MAX(('V06 Motor'!A125-1)*30/'V06 Motor'!C125,23))*'V06 Curva'!$B$28,MAX(0,MIN('V06 Motor'!A125*30/'V06 Motor'!C125,25)-MAX(('V06 Motor'!A125-1)*30/'V06 Motor'!C125,24))*'V06 Curva'!$B$29,MAX(0,MIN('V06 Motor'!A125*30/'V06 Motor'!C125,26)-MAX(('V06 Motor'!A125-1)*30/'V06 Motor'!C125,25))*'V06 Curva'!$B$30,MAX(0,MIN('V06 Motor'!A125*30/'V06 Motor'!C125,27)-MAX(('V06 Motor'!A125-1)*30/'V06 Motor'!C125,26))*'V06 Curva'!$B$31,MAX(0,MIN('V06 Motor'!A125*30/'V06 Motor'!C125,28)-MAX(('V06 Motor'!A125-1)*30/'V06 Motor'!C125,27))*'V06 Curva'!$B$32,MAX(0,MIN('V06 Motor'!A125*30/'V06 Motor'!C125,29)-MAX(('V06 Motor'!A125-1)*30/'V06 Motor'!C125,28))*'V06 Curva'!$B$33,MAX(0,MIN('V06 Motor'!A125*30/'V06 Motor'!C125,30)-MAX(('V06 Motor'!A125-1)*30/'V06 Motor'!C125,29))*'V06 Curva'!$B$34),0)</f>
        <v>0.0</v>
      </c>
      <c r="O125" s="2">
        <f>SUMPRODUCT(--(('V06 Unidades'!$I$5:$I$98+'V06 Controlos'!$B$37)='V06 Motor'!A125),ROUND('V06 Unidades'!$H$5:$H$98*0.05,2)+ROUND('V06 Unidades'!$H$5:$H$98*0.2,2))+SUMPRODUCT(--(IF('V06 Controlos'!$B$38&gt;0,IF(('V06 Unidades'!$L$5:$L$98+'V06 Controlos'!$B$37)&lt;'V06 Motor'!C125,'V06 Motor'!C125,('V06 Unidades'!$L$5:$L$98+'V06 Controlos'!$B$37)),('V06 Unidades'!$L$5:$L$98+'V06 Controlos'!$B$37))='V06 Motor'!A125),'V06 Unidades'!$H$5:$H$98-ROUND('V06 Unidades'!$H$5:$H$98*0.05,2)-ROUND('V06 Unidades'!$H$5:$H$98*0.2,2)-ROUND('V06 Unidades'!$H$5:$H$98*0.55,2))+SUMPRODUCT(--(IF(INT((IF('V06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Controlos'!$B$37)-1)/6),0)&gt;0),--('V06 Motor'!A125&gt;('V06 Unidades'!$I$5:$I$98+'V06 Controlos'!$B$37)),--('V06 Motor'!A125&lt;IF('V06 Controlos'!$B$38&gt;0,IF(('V06 Unidades'!$L$5:$L$98+'V06 Controlos'!$B$37)&lt;'V06 Motor'!C125,'V06 Motor'!C125,('V06 Unidades'!$L$5:$L$98+'V06 Controlos'!$B$37)),('V06 Unidades'!$L$5:$L$98+'V06 Controlos'!$B$37))),--(MOD('V06 Motor'!A125-('V06 Unidades'!$I$5:$I$98+'V06 Controlos'!$B$37),6)=0),--(('V06 Motor'!A125-('V06 Unidades'!$I$5:$I$98+'V06 Controlos'!$B$37))/6&lt;=IF(INT((IF('V06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Controlos'!$B$37)-1)/6),0)),IF('V06 Motor'!A125=('V06 Unidades'!$I$5:$I$98+'V06 Controlos'!$B$37)+6*IF(INT((IF('V06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Controlos'!$B$37)-1)/6),0)&gt;0,IF(INT((IF('V06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Controlos'!$B$37)-1)/6),0),1),2)*(IF(INT((IF('V06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Controlos'!$B$37)-1)/6),0)&gt;0,IF(INT((IF('V06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Controlos'!$B$37)-1)/6)&gt;0,INT((IF('V06 Controlos'!$B$38&gt;0,IF(('V06 Unidades'!$L$5:$L$98+'V06 Controlos'!$B$37)&lt;'V06 Motor'!C125,'V06 Motor'!C125,('V06 Unidades'!$L$5:$L$98+'V06 Controlos'!$B$37)),('V06 Unidades'!$L$5:$L$98+'V06 Controlos'!$B$37))-('V06 Unidades'!$I$5:$I$98+'V06 Controlos'!$B$37)-1)/6),0),1),2)))</f>
        <v>0.0</v>
      </c>
      <c r="P125" s="2">
        <f>SUM('V06 Calend 01'!EC5:EC98)</f>
        <v>0.0</v>
      </c>
    </row>
    <row r="126" spans="1:16">
      <c r="A126">
        <v>122</v>
      </c>
      <c r="C126">
        <v>30</v>
      </c>
      <c r="G126" s="2">
        <f>IF('V06 Motor'!A126&lt;='V06 Motor'!C126,SUMPRODUCT('V06 Curva'!$B$5:$B$34,IF((IF('V06 Motor'!A126*30/'V06 Motor'!C126&lt;'V06 Curva'!$A$5:$A$34,'V06 Motor'!A126*30/'V06 Motor'!C126,'V06 Curva'!$A$5:$A$34)-IF(('V06 Motor'!A126-1)*30/'V06 Motor'!C126&gt;'V06 Curva'!$A$5:$A$34-1,('V06 Motor'!A126-1)*30/'V06 Motor'!C126,'V06 Curva'!$A$5:$A$34-1))&gt;0,(IF('V06 Motor'!A126*30/'V06 Motor'!C126&lt;'V06 Curva'!$A$5:$A$34,'V06 Motor'!A126*30/'V06 Motor'!C126,'V06 Curva'!$A$5:$A$34)-IF(('V06 Motor'!A126-1)*30/'V06 Motor'!C126&gt;'V06 Curva'!$A$5:$A$34-1,('V06 Motor'!A126-1)*30/'V06 Motor'!C126,'V06 Curva'!$A$5:$A$34-1)),0)),0)</f>
        <v>0.0</v>
      </c>
      <c r="H126" s="2">
        <f>IF('V06 Motor'!A126&lt;='V06 Motor'!C126,SUM(MAX(0,MIN('V06 Motor'!A126*30/'V06 Motor'!C126,1)-MAX(('V06 Motor'!A126-1)*30/'V06 Motor'!C126,0))*'V06 Curva'!$B$5,MAX(0,MIN('V06 Motor'!A126*30/'V06 Motor'!C126,2)-MAX(('V06 Motor'!A126-1)*30/'V06 Motor'!C126,1))*'V06 Curva'!$B$6,MAX(0,MIN('V06 Motor'!A126*30/'V06 Motor'!C126,3)-MAX(('V06 Motor'!A126-1)*30/'V06 Motor'!C126,2))*'V06 Curva'!$B$7,MAX(0,MIN('V06 Motor'!A126*30/'V06 Motor'!C126,4)-MAX(('V06 Motor'!A126-1)*30/'V06 Motor'!C126,3))*'V06 Curva'!$B$8,MAX(0,MIN('V06 Motor'!A126*30/'V06 Motor'!C126,5)-MAX(('V06 Motor'!A126-1)*30/'V06 Motor'!C126,4))*'V06 Curva'!$B$9,MAX(0,MIN('V06 Motor'!A126*30/'V06 Motor'!C126,6)-MAX(('V06 Motor'!A126-1)*30/'V06 Motor'!C126,5))*'V06 Curva'!$B$10,MAX(0,MIN('V06 Motor'!A126*30/'V06 Motor'!C126,7)-MAX(('V06 Motor'!A126-1)*30/'V06 Motor'!C126,6))*'V06 Curva'!$B$11,MAX(0,MIN('V06 Motor'!A126*30/'V06 Motor'!C126,8)-MAX(('V06 Motor'!A126-1)*30/'V06 Motor'!C126,7))*'V06 Curva'!$B$12,MAX(0,MIN('V06 Motor'!A126*30/'V06 Motor'!C126,9)-MAX(('V06 Motor'!A126-1)*30/'V06 Motor'!C126,8))*'V06 Curva'!$B$13,MAX(0,MIN('V06 Motor'!A126*30/'V06 Motor'!C126,10)-MAX(('V06 Motor'!A126-1)*30/'V06 Motor'!C126,9))*'V06 Curva'!$B$14,MAX(0,MIN('V06 Motor'!A126*30/'V06 Motor'!C126,11)-MAX(('V06 Motor'!A126-1)*30/'V06 Motor'!C126,10))*'V06 Curva'!$B$15,MAX(0,MIN('V06 Motor'!A126*30/'V06 Motor'!C126,12)-MAX(('V06 Motor'!A126-1)*30/'V06 Motor'!C126,11))*'V06 Curva'!$B$16,MAX(0,MIN('V06 Motor'!A126*30/'V06 Motor'!C126,13)-MAX(('V06 Motor'!A126-1)*30/'V06 Motor'!C126,12))*'V06 Curva'!$B$17,MAX(0,MIN('V06 Motor'!A126*30/'V06 Motor'!C126,14)-MAX(('V06 Motor'!A126-1)*30/'V06 Motor'!C126,13))*'V06 Curva'!$B$18,MAX(0,MIN('V06 Motor'!A126*30/'V06 Motor'!C126,15)-MAX(('V06 Motor'!A126-1)*30/'V06 Motor'!C126,14))*'V06 Curva'!$B$19,MAX(0,MIN('V06 Motor'!A126*30/'V06 Motor'!C126,16)-MAX(('V06 Motor'!A126-1)*30/'V06 Motor'!C126,15))*'V06 Curva'!$B$20,MAX(0,MIN('V06 Motor'!A126*30/'V06 Motor'!C126,17)-MAX(('V06 Motor'!A126-1)*30/'V06 Motor'!C126,16))*'V06 Curva'!$B$21,MAX(0,MIN('V06 Motor'!A126*30/'V06 Motor'!C126,18)-MAX(('V06 Motor'!A126-1)*30/'V06 Motor'!C126,17))*'V06 Curva'!$B$22,MAX(0,MIN('V06 Motor'!A126*30/'V06 Motor'!C126,19)-MAX(('V06 Motor'!A126-1)*30/'V06 Motor'!C126,18))*'V06 Curva'!$B$23,MAX(0,MIN('V06 Motor'!A126*30/'V06 Motor'!C126,20)-MAX(('V06 Motor'!A126-1)*30/'V06 Motor'!C126,19))*'V06 Curva'!$B$24,MAX(0,MIN('V06 Motor'!A126*30/'V06 Motor'!C126,21)-MAX(('V06 Motor'!A126-1)*30/'V06 Motor'!C126,20))*'V06 Curva'!$B$25,MAX(0,MIN('V06 Motor'!A126*30/'V06 Motor'!C126,22)-MAX(('V06 Motor'!A126-1)*30/'V06 Motor'!C126,21))*'V06 Curva'!$B$26,MAX(0,MIN('V06 Motor'!A126*30/'V06 Motor'!C126,23)-MAX(('V06 Motor'!A126-1)*30/'V06 Motor'!C126,22))*'V06 Curva'!$B$27,MAX(0,MIN('V06 Motor'!A126*30/'V06 Motor'!C126,24)-MAX(('V06 Motor'!A126-1)*30/'V06 Motor'!C126,23))*'V06 Curva'!$B$28,MAX(0,MIN('V06 Motor'!A126*30/'V06 Motor'!C126,25)-MAX(('V06 Motor'!A126-1)*30/'V06 Motor'!C126,24))*'V06 Curva'!$B$29,MAX(0,MIN('V06 Motor'!A126*30/'V06 Motor'!C126,26)-MAX(('V06 Motor'!A126-1)*30/'V06 Motor'!C126,25))*'V06 Curva'!$B$30,MAX(0,MIN('V06 Motor'!A126*30/'V06 Motor'!C126,27)-MAX(('V06 Motor'!A126-1)*30/'V06 Motor'!C126,26))*'V06 Curva'!$B$31,MAX(0,MIN('V06 Motor'!A126*30/'V06 Motor'!C126,28)-MAX(('V06 Motor'!A126-1)*30/'V06 Motor'!C126,27))*'V06 Curva'!$B$32,MAX(0,MIN('V06 Motor'!A126*30/'V06 Motor'!C126,29)-MAX(('V06 Motor'!A126-1)*30/'V06 Motor'!C126,28))*'V06 Curva'!$B$33,MAX(0,MIN('V06 Motor'!A126*30/'V06 Motor'!C126,30)-MAX(('V06 Motor'!A126-1)*30/'V06 Motor'!C126,29))*'V06 Curva'!$B$34),0)</f>
        <v>0.0</v>
      </c>
      <c r="O126" s="2">
        <f>SUMPRODUCT(--(('V06 Unidades'!$I$5:$I$98+'V06 Controlos'!$B$37)='V06 Motor'!A126),ROUND('V06 Unidades'!$H$5:$H$98*0.05,2)+ROUND('V06 Unidades'!$H$5:$H$98*0.2,2))+SUMPRODUCT(--(IF('V06 Controlos'!$B$38&gt;0,IF(('V06 Unidades'!$L$5:$L$98+'V06 Controlos'!$B$37)&lt;'V06 Motor'!C126,'V06 Motor'!C126,('V06 Unidades'!$L$5:$L$98+'V06 Controlos'!$B$37)),('V06 Unidades'!$L$5:$L$98+'V06 Controlos'!$B$37))='V06 Motor'!A126),'V06 Unidades'!$H$5:$H$98-ROUND('V06 Unidades'!$H$5:$H$98*0.05,2)-ROUND('V06 Unidades'!$H$5:$H$98*0.2,2)-ROUND('V06 Unidades'!$H$5:$H$98*0.55,2))+SUMPRODUCT(--(IF(INT((IF('V06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Controlos'!$B$37)-1)/6),0)&gt;0),--('V06 Motor'!A126&gt;('V06 Unidades'!$I$5:$I$98+'V06 Controlos'!$B$37)),--('V06 Motor'!A126&lt;IF('V06 Controlos'!$B$38&gt;0,IF(('V06 Unidades'!$L$5:$L$98+'V06 Controlos'!$B$37)&lt;'V06 Motor'!C126,'V06 Motor'!C126,('V06 Unidades'!$L$5:$L$98+'V06 Controlos'!$B$37)),('V06 Unidades'!$L$5:$L$98+'V06 Controlos'!$B$37))),--(MOD('V06 Motor'!A126-('V06 Unidades'!$I$5:$I$98+'V06 Controlos'!$B$37),6)=0),--(('V06 Motor'!A126-('V06 Unidades'!$I$5:$I$98+'V06 Controlos'!$B$37))/6&lt;=IF(INT((IF('V06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Controlos'!$B$37)-1)/6),0)),IF('V06 Motor'!A126=('V06 Unidades'!$I$5:$I$98+'V06 Controlos'!$B$37)+6*IF(INT((IF('V06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Controlos'!$B$37)-1)/6),0)&gt;0,IF(INT((IF('V06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Controlos'!$B$37)-1)/6),0),1),2)*(IF(INT((IF('V06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Controlos'!$B$37)-1)/6),0)&gt;0,IF(INT((IF('V06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Controlos'!$B$37)-1)/6)&gt;0,INT((IF('V06 Controlos'!$B$38&gt;0,IF(('V06 Unidades'!$L$5:$L$98+'V06 Controlos'!$B$37)&lt;'V06 Motor'!C126,'V06 Motor'!C126,('V06 Unidades'!$L$5:$L$98+'V06 Controlos'!$B$37)),('V06 Unidades'!$L$5:$L$98+'V06 Controlos'!$B$37))-('V06 Unidades'!$I$5:$I$98+'V06 Controlos'!$B$37)-1)/6),0),1),2)))</f>
        <v>0.0</v>
      </c>
      <c r="P126" s="2">
        <f>SUM('V06 Calend 01'!ED5:ED98)</f>
        <v>0.0</v>
      </c>
    </row>
    <row r="127" spans="1:16">
      <c r="A127">
        <v>123</v>
      </c>
      <c r="C127">
        <v>30</v>
      </c>
      <c r="G127" s="2">
        <f>IF('V06 Motor'!A127&lt;='V06 Motor'!C127,SUMPRODUCT('V06 Curva'!$B$5:$B$34,IF((IF('V06 Motor'!A127*30/'V06 Motor'!C127&lt;'V06 Curva'!$A$5:$A$34,'V06 Motor'!A127*30/'V06 Motor'!C127,'V06 Curva'!$A$5:$A$34)-IF(('V06 Motor'!A127-1)*30/'V06 Motor'!C127&gt;'V06 Curva'!$A$5:$A$34-1,('V06 Motor'!A127-1)*30/'V06 Motor'!C127,'V06 Curva'!$A$5:$A$34-1))&gt;0,(IF('V06 Motor'!A127*30/'V06 Motor'!C127&lt;'V06 Curva'!$A$5:$A$34,'V06 Motor'!A127*30/'V06 Motor'!C127,'V06 Curva'!$A$5:$A$34)-IF(('V06 Motor'!A127-1)*30/'V06 Motor'!C127&gt;'V06 Curva'!$A$5:$A$34-1,('V06 Motor'!A127-1)*30/'V06 Motor'!C127,'V06 Curva'!$A$5:$A$34-1)),0)),0)</f>
        <v>0.0</v>
      </c>
      <c r="H127" s="2">
        <f>IF('V06 Motor'!A127&lt;='V06 Motor'!C127,SUM(MAX(0,MIN('V06 Motor'!A127*30/'V06 Motor'!C127,1)-MAX(('V06 Motor'!A127-1)*30/'V06 Motor'!C127,0))*'V06 Curva'!$B$5,MAX(0,MIN('V06 Motor'!A127*30/'V06 Motor'!C127,2)-MAX(('V06 Motor'!A127-1)*30/'V06 Motor'!C127,1))*'V06 Curva'!$B$6,MAX(0,MIN('V06 Motor'!A127*30/'V06 Motor'!C127,3)-MAX(('V06 Motor'!A127-1)*30/'V06 Motor'!C127,2))*'V06 Curva'!$B$7,MAX(0,MIN('V06 Motor'!A127*30/'V06 Motor'!C127,4)-MAX(('V06 Motor'!A127-1)*30/'V06 Motor'!C127,3))*'V06 Curva'!$B$8,MAX(0,MIN('V06 Motor'!A127*30/'V06 Motor'!C127,5)-MAX(('V06 Motor'!A127-1)*30/'V06 Motor'!C127,4))*'V06 Curva'!$B$9,MAX(0,MIN('V06 Motor'!A127*30/'V06 Motor'!C127,6)-MAX(('V06 Motor'!A127-1)*30/'V06 Motor'!C127,5))*'V06 Curva'!$B$10,MAX(0,MIN('V06 Motor'!A127*30/'V06 Motor'!C127,7)-MAX(('V06 Motor'!A127-1)*30/'V06 Motor'!C127,6))*'V06 Curva'!$B$11,MAX(0,MIN('V06 Motor'!A127*30/'V06 Motor'!C127,8)-MAX(('V06 Motor'!A127-1)*30/'V06 Motor'!C127,7))*'V06 Curva'!$B$12,MAX(0,MIN('V06 Motor'!A127*30/'V06 Motor'!C127,9)-MAX(('V06 Motor'!A127-1)*30/'V06 Motor'!C127,8))*'V06 Curva'!$B$13,MAX(0,MIN('V06 Motor'!A127*30/'V06 Motor'!C127,10)-MAX(('V06 Motor'!A127-1)*30/'V06 Motor'!C127,9))*'V06 Curva'!$B$14,MAX(0,MIN('V06 Motor'!A127*30/'V06 Motor'!C127,11)-MAX(('V06 Motor'!A127-1)*30/'V06 Motor'!C127,10))*'V06 Curva'!$B$15,MAX(0,MIN('V06 Motor'!A127*30/'V06 Motor'!C127,12)-MAX(('V06 Motor'!A127-1)*30/'V06 Motor'!C127,11))*'V06 Curva'!$B$16,MAX(0,MIN('V06 Motor'!A127*30/'V06 Motor'!C127,13)-MAX(('V06 Motor'!A127-1)*30/'V06 Motor'!C127,12))*'V06 Curva'!$B$17,MAX(0,MIN('V06 Motor'!A127*30/'V06 Motor'!C127,14)-MAX(('V06 Motor'!A127-1)*30/'V06 Motor'!C127,13))*'V06 Curva'!$B$18,MAX(0,MIN('V06 Motor'!A127*30/'V06 Motor'!C127,15)-MAX(('V06 Motor'!A127-1)*30/'V06 Motor'!C127,14))*'V06 Curva'!$B$19,MAX(0,MIN('V06 Motor'!A127*30/'V06 Motor'!C127,16)-MAX(('V06 Motor'!A127-1)*30/'V06 Motor'!C127,15))*'V06 Curva'!$B$20,MAX(0,MIN('V06 Motor'!A127*30/'V06 Motor'!C127,17)-MAX(('V06 Motor'!A127-1)*30/'V06 Motor'!C127,16))*'V06 Curva'!$B$21,MAX(0,MIN('V06 Motor'!A127*30/'V06 Motor'!C127,18)-MAX(('V06 Motor'!A127-1)*30/'V06 Motor'!C127,17))*'V06 Curva'!$B$22,MAX(0,MIN('V06 Motor'!A127*30/'V06 Motor'!C127,19)-MAX(('V06 Motor'!A127-1)*30/'V06 Motor'!C127,18))*'V06 Curva'!$B$23,MAX(0,MIN('V06 Motor'!A127*30/'V06 Motor'!C127,20)-MAX(('V06 Motor'!A127-1)*30/'V06 Motor'!C127,19))*'V06 Curva'!$B$24,MAX(0,MIN('V06 Motor'!A127*30/'V06 Motor'!C127,21)-MAX(('V06 Motor'!A127-1)*30/'V06 Motor'!C127,20))*'V06 Curva'!$B$25,MAX(0,MIN('V06 Motor'!A127*30/'V06 Motor'!C127,22)-MAX(('V06 Motor'!A127-1)*30/'V06 Motor'!C127,21))*'V06 Curva'!$B$26,MAX(0,MIN('V06 Motor'!A127*30/'V06 Motor'!C127,23)-MAX(('V06 Motor'!A127-1)*30/'V06 Motor'!C127,22))*'V06 Curva'!$B$27,MAX(0,MIN('V06 Motor'!A127*30/'V06 Motor'!C127,24)-MAX(('V06 Motor'!A127-1)*30/'V06 Motor'!C127,23))*'V06 Curva'!$B$28,MAX(0,MIN('V06 Motor'!A127*30/'V06 Motor'!C127,25)-MAX(('V06 Motor'!A127-1)*30/'V06 Motor'!C127,24))*'V06 Curva'!$B$29,MAX(0,MIN('V06 Motor'!A127*30/'V06 Motor'!C127,26)-MAX(('V06 Motor'!A127-1)*30/'V06 Motor'!C127,25))*'V06 Curva'!$B$30,MAX(0,MIN('V06 Motor'!A127*30/'V06 Motor'!C127,27)-MAX(('V06 Motor'!A127-1)*30/'V06 Motor'!C127,26))*'V06 Curva'!$B$31,MAX(0,MIN('V06 Motor'!A127*30/'V06 Motor'!C127,28)-MAX(('V06 Motor'!A127-1)*30/'V06 Motor'!C127,27))*'V06 Curva'!$B$32,MAX(0,MIN('V06 Motor'!A127*30/'V06 Motor'!C127,29)-MAX(('V06 Motor'!A127-1)*30/'V06 Motor'!C127,28))*'V06 Curva'!$B$33,MAX(0,MIN('V06 Motor'!A127*30/'V06 Motor'!C127,30)-MAX(('V06 Motor'!A127-1)*30/'V06 Motor'!C127,29))*'V06 Curva'!$B$34),0)</f>
        <v>0.0</v>
      </c>
      <c r="O127" s="2">
        <f>SUMPRODUCT(--(('V06 Unidades'!$I$5:$I$98+'V06 Controlos'!$B$37)='V06 Motor'!A127),ROUND('V06 Unidades'!$H$5:$H$98*0.05,2)+ROUND('V06 Unidades'!$H$5:$H$98*0.2,2))+SUMPRODUCT(--(IF('V06 Controlos'!$B$38&gt;0,IF(('V06 Unidades'!$L$5:$L$98+'V06 Controlos'!$B$37)&lt;'V06 Motor'!C127,'V06 Motor'!C127,('V06 Unidades'!$L$5:$L$98+'V06 Controlos'!$B$37)),('V06 Unidades'!$L$5:$L$98+'V06 Controlos'!$B$37))='V06 Motor'!A127),'V06 Unidades'!$H$5:$H$98-ROUND('V06 Unidades'!$H$5:$H$98*0.05,2)-ROUND('V06 Unidades'!$H$5:$H$98*0.2,2)-ROUND('V06 Unidades'!$H$5:$H$98*0.55,2))+SUMPRODUCT(--(IF(INT((IF('V06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Controlos'!$B$37)-1)/6),0)&gt;0),--('V06 Motor'!A127&gt;('V06 Unidades'!$I$5:$I$98+'V06 Controlos'!$B$37)),--('V06 Motor'!A127&lt;IF('V06 Controlos'!$B$38&gt;0,IF(('V06 Unidades'!$L$5:$L$98+'V06 Controlos'!$B$37)&lt;'V06 Motor'!C127,'V06 Motor'!C127,('V06 Unidades'!$L$5:$L$98+'V06 Controlos'!$B$37)),('V06 Unidades'!$L$5:$L$98+'V06 Controlos'!$B$37))),--(MOD('V06 Motor'!A127-('V06 Unidades'!$I$5:$I$98+'V06 Controlos'!$B$37),6)=0),--(('V06 Motor'!A127-('V06 Unidades'!$I$5:$I$98+'V06 Controlos'!$B$37))/6&lt;=IF(INT((IF('V06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Controlos'!$B$37)-1)/6),0)),IF('V06 Motor'!A127=('V06 Unidades'!$I$5:$I$98+'V06 Controlos'!$B$37)+6*IF(INT((IF('V06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Controlos'!$B$37)-1)/6),0)&gt;0,IF(INT((IF('V06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Controlos'!$B$37)-1)/6),0),1),2)*(IF(INT((IF('V06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Controlos'!$B$37)-1)/6),0)&gt;0,IF(INT((IF('V06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Controlos'!$B$37)-1)/6)&gt;0,INT((IF('V06 Controlos'!$B$38&gt;0,IF(('V06 Unidades'!$L$5:$L$98+'V06 Controlos'!$B$37)&lt;'V06 Motor'!C127,'V06 Motor'!C127,('V06 Unidades'!$L$5:$L$98+'V06 Controlos'!$B$37)),('V06 Unidades'!$L$5:$L$98+'V06 Controlos'!$B$37))-('V06 Unidades'!$I$5:$I$98+'V06 Controlos'!$B$37)-1)/6),0),1),2)))</f>
        <v>0.0</v>
      </c>
      <c r="P127" s="2">
        <f>SUM('V06 Calend 01'!EE5:EE98)</f>
        <v>0.0</v>
      </c>
    </row>
    <row r="128" spans="1:16">
      <c r="A128">
        <v>124</v>
      </c>
      <c r="C128">
        <v>30</v>
      </c>
      <c r="G128" s="2">
        <f>IF('V06 Motor'!A128&lt;='V06 Motor'!C128,SUMPRODUCT('V06 Curva'!$B$5:$B$34,IF((IF('V06 Motor'!A128*30/'V06 Motor'!C128&lt;'V06 Curva'!$A$5:$A$34,'V06 Motor'!A128*30/'V06 Motor'!C128,'V06 Curva'!$A$5:$A$34)-IF(('V06 Motor'!A128-1)*30/'V06 Motor'!C128&gt;'V06 Curva'!$A$5:$A$34-1,('V06 Motor'!A128-1)*30/'V06 Motor'!C128,'V06 Curva'!$A$5:$A$34-1))&gt;0,(IF('V06 Motor'!A128*30/'V06 Motor'!C128&lt;'V06 Curva'!$A$5:$A$34,'V06 Motor'!A128*30/'V06 Motor'!C128,'V06 Curva'!$A$5:$A$34)-IF(('V06 Motor'!A128-1)*30/'V06 Motor'!C128&gt;'V06 Curva'!$A$5:$A$34-1,('V06 Motor'!A128-1)*30/'V06 Motor'!C128,'V06 Curva'!$A$5:$A$34-1)),0)),0)</f>
        <v>0.0</v>
      </c>
      <c r="H128" s="2">
        <f>IF('V06 Motor'!A128&lt;='V06 Motor'!C128,SUM(MAX(0,MIN('V06 Motor'!A128*30/'V06 Motor'!C128,1)-MAX(('V06 Motor'!A128-1)*30/'V06 Motor'!C128,0))*'V06 Curva'!$B$5,MAX(0,MIN('V06 Motor'!A128*30/'V06 Motor'!C128,2)-MAX(('V06 Motor'!A128-1)*30/'V06 Motor'!C128,1))*'V06 Curva'!$B$6,MAX(0,MIN('V06 Motor'!A128*30/'V06 Motor'!C128,3)-MAX(('V06 Motor'!A128-1)*30/'V06 Motor'!C128,2))*'V06 Curva'!$B$7,MAX(0,MIN('V06 Motor'!A128*30/'V06 Motor'!C128,4)-MAX(('V06 Motor'!A128-1)*30/'V06 Motor'!C128,3))*'V06 Curva'!$B$8,MAX(0,MIN('V06 Motor'!A128*30/'V06 Motor'!C128,5)-MAX(('V06 Motor'!A128-1)*30/'V06 Motor'!C128,4))*'V06 Curva'!$B$9,MAX(0,MIN('V06 Motor'!A128*30/'V06 Motor'!C128,6)-MAX(('V06 Motor'!A128-1)*30/'V06 Motor'!C128,5))*'V06 Curva'!$B$10,MAX(0,MIN('V06 Motor'!A128*30/'V06 Motor'!C128,7)-MAX(('V06 Motor'!A128-1)*30/'V06 Motor'!C128,6))*'V06 Curva'!$B$11,MAX(0,MIN('V06 Motor'!A128*30/'V06 Motor'!C128,8)-MAX(('V06 Motor'!A128-1)*30/'V06 Motor'!C128,7))*'V06 Curva'!$B$12,MAX(0,MIN('V06 Motor'!A128*30/'V06 Motor'!C128,9)-MAX(('V06 Motor'!A128-1)*30/'V06 Motor'!C128,8))*'V06 Curva'!$B$13,MAX(0,MIN('V06 Motor'!A128*30/'V06 Motor'!C128,10)-MAX(('V06 Motor'!A128-1)*30/'V06 Motor'!C128,9))*'V06 Curva'!$B$14,MAX(0,MIN('V06 Motor'!A128*30/'V06 Motor'!C128,11)-MAX(('V06 Motor'!A128-1)*30/'V06 Motor'!C128,10))*'V06 Curva'!$B$15,MAX(0,MIN('V06 Motor'!A128*30/'V06 Motor'!C128,12)-MAX(('V06 Motor'!A128-1)*30/'V06 Motor'!C128,11))*'V06 Curva'!$B$16,MAX(0,MIN('V06 Motor'!A128*30/'V06 Motor'!C128,13)-MAX(('V06 Motor'!A128-1)*30/'V06 Motor'!C128,12))*'V06 Curva'!$B$17,MAX(0,MIN('V06 Motor'!A128*30/'V06 Motor'!C128,14)-MAX(('V06 Motor'!A128-1)*30/'V06 Motor'!C128,13))*'V06 Curva'!$B$18,MAX(0,MIN('V06 Motor'!A128*30/'V06 Motor'!C128,15)-MAX(('V06 Motor'!A128-1)*30/'V06 Motor'!C128,14))*'V06 Curva'!$B$19,MAX(0,MIN('V06 Motor'!A128*30/'V06 Motor'!C128,16)-MAX(('V06 Motor'!A128-1)*30/'V06 Motor'!C128,15))*'V06 Curva'!$B$20,MAX(0,MIN('V06 Motor'!A128*30/'V06 Motor'!C128,17)-MAX(('V06 Motor'!A128-1)*30/'V06 Motor'!C128,16))*'V06 Curva'!$B$21,MAX(0,MIN('V06 Motor'!A128*30/'V06 Motor'!C128,18)-MAX(('V06 Motor'!A128-1)*30/'V06 Motor'!C128,17))*'V06 Curva'!$B$22,MAX(0,MIN('V06 Motor'!A128*30/'V06 Motor'!C128,19)-MAX(('V06 Motor'!A128-1)*30/'V06 Motor'!C128,18))*'V06 Curva'!$B$23,MAX(0,MIN('V06 Motor'!A128*30/'V06 Motor'!C128,20)-MAX(('V06 Motor'!A128-1)*30/'V06 Motor'!C128,19))*'V06 Curva'!$B$24,MAX(0,MIN('V06 Motor'!A128*30/'V06 Motor'!C128,21)-MAX(('V06 Motor'!A128-1)*30/'V06 Motor'!C128,20))*'V06 Curva'!$B$25,MAX(0,MIN('V06 Motor'!A128*30/'V06 Motor'!C128,22)-MAX(('V06 Motor'!A128-1)*30/'V06 Motor'!C128,21))*'V06 Curva'!$B$26,MAX(0,MIN('V06 Motor'!A128*30/'V06 Motor'!C128,23)-MAX(('V06 Motor'!A128-1)*30/'V06 Motor'!C128,22))*'V06 Curva'!$B$27,MAX(0,MIN('V06 Motor'!A128*30/'V06 Motor'!C128,24)-MAX(('V06 Motor'!A128-1)*30/'V06 Motor'!C128,23))*'V06 Curva'!$B$28,MAX(0,MIN('V06 Motor'!A128*30/'V06 Motor'!C128,25)-MAX(('V06 Motor'!A128-1)*30/'V06 Motor'!C128,24))*'V06 Curva'!$B$29,MAX(0,MIN('V06 Motor'!A128*30/'V06 Motor'!C128,26)-MAX(('V06 Motor'!A128-1)*30/'V06 Motor'!C128,25))*'V06 Curva'!$B$30,MAX(0,MIN('V06 Motor'!A128*30/'V06 Motor'!C128,27)-MAX(('V06 Motor'!A128-1)*30/'V06 Motor'!C128,26))*'V06 Curva'!$B$31,MAX(0,MIN('V06 Motor'!A128*30/'V06 Motor'!C128,28)-MAX(('V06 Motor'!A128-1)*30/'V06 Motor'!C128,27))*'V06 Curva'!$B$32,MAX(0,MIN('V06 Motor'!A128*30/'V06 Motor'!C128,29)-MAX(('V06 Motor'!A128-1)*30/'V06 Motor'!C128,28))*'V06 Curva'!$B$33,MAX(0,MIN('V06 Motor'!A128*30/'V06 Motor'!C128,30)-MAX(('V06 Motor'!A128-1)*30/'V06 Motor'!C128,29))*'V06 Curva'!$B$34),0)</f>
        <v>0.0</v>
      </c>
      <c r="O128" s="2">
        <f>SUMPRODUCT(--(('V06 Unidades'!$I$5:$I$98+'V06 Controlos'!$B$37)='V06 Motor'!A128),ROUND('V06 Unidades'!$H$5:$H$98*0.05,2)+ROUND('V06 Unidades'!$H$5:$H$98*0.2,2))+SUMPRODUCT(--(IF('V06 Controlos'!$B$38&gt;0,IF(('V06 Unidades'!$L$5:$L$98+'V06 Controlos'!$B$37)&lt;'V06 Motor'!C128,'V06 Motor'!C128,('V06 Unidades'!$L$5:$L$98+'V06 Controlos'!$B$37)),('V06 Unidades'!$L$5:$L$98+'V06 Controlos'!$B$37))='V06 Motor'!A128),'V06 Unidades'!$H$5:$H$98-ROUND('V06 Unidades'!$H$5:$H$98*0.05,2)-ROUND('V06 Unidades'!$H$5:$H$98*0.2,2)-ROUND('V06 Unidades'!$H$5:$H$98*0.55,2))+SUMPRODUCT(--(IF(INT((IF('V06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Controlos'!$B$37)-1)/6),0)&gt;0),--('V06 Motor'!A128&gt;('V06 Unidades'!$I$5:$I$98+'V06 Controlos'!$B$37)),--('V06 Motor'!A128&lt;IF('V06 Controlos'!$B$38&gt;0,IF(('V06 Unidades'!$L$5:$L$98+'V06 Controlos'!$B$37)&lt;'V06 Motor'!C128,'V06 Motor'!C128,('V06 Unidades'!$L$5:$L$98+'V06 Controlos'!$B$37)),('V06 Unidades'!$L$5:$L$98+'V06 Controlos'!$B$37))),--(MOD('V06 Motor'!A128-('V06 Unidades'!$I$5:$I$98+'V06 Controlos'!$B$37),6)=0),--(('V06 Motor'!A128-('V06 Unidades'!$I$5:$I$98+'V06 Controlos'!$B$37))/6&lt;=IF(INT((IF('V06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Controlos'!$B$37)-1)/6),0)),IF('V06 Motor'!A128=('V06 Unidades'!$I$5:$I$98+'V06 Controlos'!$B$37)+6*IF(INT((IF('V06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Controlos'!$B$37)-1)/6),0)&gt;0,IF(INT((IF('V06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Controlos'!$B$37)-1)/6),0),1),2)*(IF(INT((IF('V06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Controlos'!$B$37)-1)/6),0)&gt;0,IF(INT((IF('V06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Controlos'!$B$37)-1)/6)&gt;0,INT((IF('V06 Controlos'!$B$38&gt;0,IF(('V06 Unidades'!$L$5:$L$98+'V06 Controlos'!$B$37)&lt;'V06 Motor'!C128,'V06 Motor'!C128,('V06 Unidades'!$L$5:$L$98+'V06 Controlos'!$B$37)),('V06 Unidades'!$L$5:$L$98+'V06 Controlos'!$B$37))-('V06 Unidades'!$I$5:$I$98+'V06 Controlos'!$B$37)-1)/6),0),1),2)))</f>
        <v>0.0</v>
      </c>
      <c r="P128" s="2">
        <f>SUM('V06 Calend 01'!EF5:EF98)</f>
        <v>0.0</v>
      </c>
    </row>
    <row r="129" spans="1:16">
      <c r="A129">
        <v>125</v>
      </c>
      <c r="C129">
        <v>30</v>
      </c>
      <c r="G129" s="2">
        <f>IF('V06 Motor'!A129&lt;='V06 Motor'!C129,SUMPRODUCT('V06 Curva'!$B$5:$B$34,IF((IF('V06 Motor'!A129*30/'V06 Motor'!C129&lt;'V06 Curva'!$A$5:$A$34,'V06 Motor'!A129*30/'V06 Motor'!C129,'V06 Curva'!$A$5:$A$34)-IF(('V06 Motor'!A129-1)*30/'V06 Motor'!C129&gt;'V06 Curva'!$A$5:$A$34-1,('V06 Motor'!A129-1)*30/'V06 Motor'!C129,'V06 Curva'!$A$5:$A$34-1))&gt;0,(IF('V06 Motor'!A129*30/'V06 Motor'!C129&lt;'V06 Curva'!$A$5:$A$34,'V06 Motor'!A129*30/'V06 Motor'!C129,'V06 Curva'!$A$5:$A$34)-IF(('V06 Motor'!A129-1)*30/'V06 Motor'!C129&gt;'V06 Curva'!$A$5:$A$34-1,('V06 Motor'!A129-1)*30/'V06 Motor'!C129,'V06 Curva'!$A$5:$A$34-1)),0)),0)</f>
        <v>0.0</v>
      </c>
      <c r="H129" s="2">
        <f>IF('V06 Motor'!A129&lt;='V06 Motor'!C129,SUM(MAX(0,MIN('V06 Motor'!A129*30/'V06 Motor'!C129,1)-MAX(('V06 Motor'!A129-1)*30/'V06 Motor'!C129,0))*'V06 Curva'!$B$5,MAX(0,MIN('V06 Motor'!A129*30/'V06 Motor'!C129,2)-MAX(('V06 Motor'!A129-1)*30/'V06 Motor'!C129,1))*'V06 Curva'!$B$6,MAX(0,MIN('V06 Motor'!A129*30/'V06 Motor'!C129,3)-MAX(('V06 Motor'!A129-1)*30/'V06 Motor'!C129,2))*'V06 Curva'!$B$7,MAX(0,MIN('V06 Motor'!A129*30/'V06 Motor'!C129,4)-MAX(('V06 Motor'!A129-1)*30/'V06 Motor'!C129,3))*'V06 Curva'!$B$8,MAX(0,MIN('V06 Motor'!A129*30/'V06 Motor'!C129,5)-MAX(('V06 Motor'!A129-1)*30/'V06 Motor'!C129,4))*'V06 Curva'!$B$9,MAX(0,MIN('V06 Motor'!A129*30/'V06 Motor'!C129,6)-MAX(('V06 Motor'!A129-1)*30/'V06 Motor'!C129,5))*'V06 Curva'!$B$10,MAX(0,MIN('V06 Motor'!A129*30/'V06 Motor'!C129,7)-MAX(('V06 Motor'!A129-1)*30/'V06 Motor'!C129,6))*'V06 Curva'!$B$11,MAX(0,MIN('V06 Motor'!A129*30/'V06 Motor'!C129,8)-MAX(('V06 Motor'!A129-1)*30/'V06 Motor'!C129,7))*'V06 Curva'!$B$12,MAX(0,MIN('V06 Motor'!A129*30/'V06 Motor'!C129,9)-MAX(('V06 Motor'!A129-1)*30/'V06 Motor'!C129,8))*'V06 Curva'!$B$13,MAX(0,MIN('V06 Motor'!A129*30/'V06 Motor'!C129,10)-MAX(('V06 Motor'!A129-1)*30/'V06 Motor'!C129,9))*'V06 Curva'!$B$14,MAX(0,MIN('V06 Motor'!A129*30/'V06 Motor'!C129,11)-MAX(('V06 Motor'!A129-1)*30/'V06 Motor'!C129,10))*'V06 Curva'!$B$15,MAX(0,MIN('V06 Motor'!A129*30/'V06 Motor'!C129,12)-MAX(('V06 Motor'!A129-1)*30/'V06 Motor'!C129,11))*'V06 Curva'!$B$16,MAX(0,MIN('V06 Motor'!A129*30/'V06 Motor'!C129,13)-MAX(('V06 Motor'!A129-1)*30/'V06 Motor'!C129,12))*'V06 Curva'!$B$17,MAX(0,MIN('V06 Motor'!A129*30/'V06 Motor'!C129,14)-MAX(('V06 Motor'!A129-1)*30/'V06 Motor'!C129,13))*'V06 Curva'!$B$18,MAX(0,MIN('V06 Motor'!A129*30/'V06 Motor'!C129,15)-MAX(('V06 Motor'!A129-1)*30/'V06 Motor'!C129,14))*'V06 Curva'!$B$19,MAX(0,MIN('V06 Motor'!A129*30/'V06 Motor'!C129,16)-MAX(('V06 Motor'!A129-1)*30/'V06 Motor'!C129,15))*'V06 Curva'!$B$20,MAX(0,MIN('V06 Motor'!A129*30/'V06 Motor'!C129,17)-MAX(('V06 Motor'!A129-1)*30/'V06 Motor'!C129,16))*'V06 Curva'!$B$21,MAX(0,MIN('V06 Motor'!A129*30/'V06 Motor'!C129,18)-MAX(('V06 Motor'!A129-1)*30/'V06 Motor'!C129,17))*'V06 Curva'!$B$22,MAX(0,MIN('V06 Motor'!A129*30/'V06 Motor'!C129,19)-MAX(('V06 Motor'!A129-1)*30/'V06 Motor'!C129,18))*'V06 Curva'!$B$23,MAX(0,MIN('V06 Motor'!A129*30/'V06 Motor'!C129,20)-MAX(('V06 Motor'!A129-1)*30/'V06 Motor'!C129,19))*'V06 Curva'!$B$24,MAX(0,MIN('V06 Motor'!A129*30/'V06 Motor'!C129,21)-MAX(('V06 Motor'!A129-1)*30/'V06 Motor'!C129,20))*'V06 Curva'!$B$25,MAX(0,MIN('V06 Motor'!A129*30/'V06 Motor'!C129,22)-MAX(('V06 Motor'!A129-1)*30/'V06 Motor'!C129,21))*'V06 Curva'!$B$26,MAX(0,MIN('V06 Motor'!A129*30/'V06 Motor'!C129,23)-MAX(('V06 Motor'!A129-1)*30/'V06 Motor'!C129,22))*'V06 Curva'!$B$27,MAX(0,MIN('V06 Motor'!A129*30/'V06 Motor'!C129,24)-MAX(('V06 Motor'!A129-1)*30/'V06 Motor'!C129,23))*'V06 Curva'!$B$28,MAX(0,MIN('V06 Motor'!A129*30/'V06 Motor'!C129,25)-MAX(('V06 Motor'!A129-1)*30/'V06 Motor'!C129,24))*'V06 Curva'!$B$29,MAX(0,MIN('V06 Motor'!A129*30/'V06 Motor'!C129,26)-MAX(('V06 Motor'!A129-1)*30/'V06 Motor'!C129,25))*'V06 Curva'!$B$30,MAX(0,MIN('V06 Motor'!A129*30/'V06 Motor'!C129,27)-MAX(('V06 Motor'!A129-1)*30/'V06 Motor'!C129,26))*'V06 Curva'!$B$31,MAX(0,MIN('V06 Motor'!A129*30/'V06 Motor'!C129,28)-MAX(('V06 Motor'!A129-1)*30/'V06 Motor'!C129,27))*'V06 Curva'!$B$32,MAX(0,MIN('V06 Motor'!A129*30/'V06 Motor'!C129,29)-MAX(('V06 Motor'!A129-1)*30/'V06 Motor'!C129,28))*'V06 Curva'!$B$33,MAX(0,MIN('V06 Motor'!A129*30/'V06 Motor'!C129,30)-MAX(('V06 Motor'!A129-1)*30/'V06 Motor'!C129,29))*'V06 Curva'!$B$34),0)</f>
        <v>0.0</v>
      </c>
      <c r="O129" s="2">
        <f>SUMPRODUCT(--(('V06 Unidades'!$I$5:$I$98+'V06 Controlos'!$B$37)='V06 Motor'!A129),ROUND('V06 Unidades'!$H$5:$H$98*0.05,2)+ROUND('V06 Unidades'!$H$5:$H$98*0.2,2))+SUMPRODUCT(--(IF('V06 Controlos'!$B$38&gt;0,IF(('V06 Unidades'!$L$5:$L$98+'V06 Controlos'!$B$37)&lt;'V06 Motor'!C129,'V06 Motor'!C129,('V06 Unidades'!$L$5:$L$98+'V06 Controlos'!$B$37)),('V06 Unidades'!$L$5:$L$98+'V06 Controlos'!$B$37))='V06 Motor'!A129),'V06 Unidades'!$H$5:$H$98-ROUND('V06 Unidades'!$H$5:$H$98*0.05,2)-ROUND('V06 Unidades'!$H$5:$H$98*0.2,2)-ROUND('V06 Unidades'!$H$5:$H$98*0.55,2))+SUMPRODUCT(--(IF(INT((IF('V06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Controlos'!$B$37)-1)/6),0)&gt;0),--('V06 Motor'!A129&gt;('V06 Unidades'!$I$5:$I$98+'V06 Controlos'!$B$37)),--('V06 Motor'!A129&lt;IF('V06 Controlos'!$B$38&gt;0,IF(('V06 Unidades'!$L$5:$L$98+'V06 Controlos'!$B$37)&lt;'V06 Motor'!C129,'V06 Motor'!C129,('V06 Unidades'!$L$5:$L$98+'V06 Controlos'!$B$37)),('V06 Unidades'!$L$5:$L$98+'V06 Controlos'!$B$37))),--(MOD('V06 Motor'!A129-('V06 Unidades'!$I$5:$I$98+'V06 Controlos'!$B$37),6)=0),--(('V06 Motor'!A129-('V06 Unidades'!$I$5:$I$98+'V06 Controlos'!$B$37))/6&lt;=IF(INT((IF('V06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Controlos'!$B$37)-1)/6),0)),IF('V06 Motor'!A129=('V06 Unidades'!$I$5:$I$98+'V06 Controlos'!$B$37)+6*IF(INT((IF('V06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Controlos'!$B$37)-1)/6),0)&gt;0,IF(INT((IF('V06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Controlos'!$B$37)-1)/6),0),1),2)*(IF(INT((IF('V06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Controlos'!$B$37)-1)/6),0)&gt;0,IF(INT((IF('V06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Controlos'!$B$37)-1)/6)&gt;0,INT((IF('V06 Controlos'!$B$38&gt;0,IF(('V06 Unidades'!$L$5:$L$98+'V06 Controlos'!$B$37)&lt;'V06 Motor'!C129,'V06 Motor'!C129,('V06 Unidades'!$L$5:$L$98+'V06 Controlos'!$B$37)),('V06 Unidades'!$L$5:$L$98+'V06 Controlos'!$B$37))-('V06 Unidades'!$I$5:$I$98+'V06 Controlos'!$B$37)-1)/6),0),1),2)))</f>
        <v>0.0</v>
      </c>
      <c r="P129" s="2">
        <f>SUM('V06 Calend 01'!EG5:EG98)</f>
        <v>0.0</v>
      </c>
    </row>
    <row r="130" spans="1:16">
      <c r="A130">
        <v>126</v>
      </c>
      <c r="C130">
        <v>30</v>
      </c>
      <c r="G130" s="2">
        <f>IF('V06 Motor'!A130&lt;='V06 Motor'!C130,SUMPRODUCT('V06 Curva'!$B$5:$B$34,IF((IF('V06 Motor'!A130*30/'V06 Motor'!C130&lt;'V06 Curva'!$A$5:$A$34,'V06 Motor'!A130*30/'V06 Motor'!C130,'V06 Curva'!$A$5:$A$34)-IF(('V06 Motor'!A130-1)*30/'V06 Motor'!C130&gt;'V06 Curva'!$A$5:$A$34-1,('V06 Motor'!A130-1)*30/'V06 Motor'!C130,'V06 Curva'!$A$5:$A$34-1))&gt;0,(IF('V06 Motor'!A130*30/'V06 Motor'!C130&lt;'V06 Curva'!$A$5:$A$34,'V06 Motor'!A130*30/'V06 Motor'!C130,'V06 Curva'!$A$5:$A$34)-IF(('V06 Motor'!A130-1)*30/'V06 Motor'!C130&gt;'V06 Curva'!$A$5:$A$34-1,('V06 Motor'!A130-1)*30/'V06 Motor'!C130,'V06 Curva'!$A$5:$A$34-1)),0)),0)</f>
        <v>0.0</v>
      </c>
      <c r="H130" s="2">
        <f>IF('V06 Motor'!A130&lt;='V06 Motor'!C130,SUM(MAX(0,MIN('V06 Motor'!A130*30/'V06 Motor'!C130,1)-MAX(('V06 Motor'!A130-1)*30/'V06 Motor'!C130,0))*'V06 Curva'!$B$5,MAX(0,MIN('V06 Motor'!A130*30/'V06 Motor'!C130,2)-MAX(('V06 Motor'!A130-1)*30/'V06 Motor'!C130,1))*'V06 Curva'!$B$6,MAX(0,MIN('V06 Motor'!A130*30/'V06 Motor'!C130,3)-MAX(('V06 Motor'!A130-1)*30/'V06 Motor'!C130,2))*'V06 Curva'!$B$7,MAX(0,MIN('V06 Motor'!A130*30/'V06 Motor'!C130,4)-MAX(('V06 Motor'!A130-1)*30/'V06 Motor'!C130,3))*'V06 Curva'!$B$8,MAX(0,MIN('V06 Motor'!A130*30/'V06 Motor'!C130,5)-MAX(('V06 Motor'!A130-1)*30/'V06 Motor'!C130,4))*'V06 Curva'!$B$9,MAX(0,MIN('V06 Motor'!A130*30/'V06 Motor'!C130,6)-MAX(('V06 Motor'!A130-1)*30/'V06 Motor'!C130,5))*'V06 Curva'!$B$10,MAX(0,MIN('V06 Motor'!A130*30/'V06 Motor'!C130,7)-MAX(('V06 Motor'!A130-1)*30/'V06 Motor'!C130,6))*'V06 Curva'!$B$11,MAX(0,MIN('V06 Motor'!A130*30/'V06 Motor'!C130,8)-MAX(('V06 Motor'!A130-1)*30/'V06 Motor'!C130,7))*'V06 Curva'!$B$12,MAX(0,MIN('V06 Motor'!A130*30/'V06 Motor'!C130,9)-MAX(('V06 Motor'!A130-1)*30/'V06 Motor'!C130,8))*'V06 Curva'!$B$13,MAX(0,MIN('V06 Motor'!A130*30/'V06 Motor'!C130,10)-MAX(('V06 Motor'!A130-1)*30/'V06 Motor'!C130,9))*'V06 Curva'!$B$14,MAX(0,MIN('V06 Motor'!A130*30/'V06 Motor'!C130,11)-MAX(('V06 Motor'!A130-1)*30/'V06 Motor'!C130,10))*'V06 Curva'!$B$15,MAX(0,MIN('V06 Motor'!A130*30/'V06 Motor'!C130,12)-MAX(('V06 Motor'!A130-1)*30/'V06 Motor'!C130,11))*'V06 Curva'!$B$16,MAX(0,MIN('V06 Motor'!A130*30/'V06 Motor'!C130,13)-MAX(('V06 Motor'!A130-1)*30/'V06 Motor'!C130,12))*'V06 Curva'!$B$17,MAX(0,MIN('V06 Motor'!A130*30/'V06 Motor'!C130,14)-MAX(('V06 Motor'!A130-1)*30/'V06 Motor'!C130,13))*'V06 Curva'!$B$18,MAX(0,MIN('V06 Motor'!A130*30/'V06 Motor'!C130,15)-MAX(('V06 Motor'!A130-1)*30/'V06 Motor'!C130,14))*'V06 Curva'!$B$19,MAX(0,MIN('V06 Motor'!A130*30/'V06 Motor'!C130,16)-MAX(('V06 Motor'!A130-1)*30/'V06 Motor'!C130,15))*'V06 Curva'!$B$20,MAX(0,MIN('V06 Motor'!A130*30/'V06 Motor'!C130,17)-MAX(('V06 Motor'!A130-1)*30/'V06 Motor'!C130,16))*'V06 Curva'!$B$21,MAX(0,MIN('V06 Motor'!A130*30/'V06 Motor'!C130,18)-MAX(('V06 Motor'!A130-1)*30/'V06 Motor'!C130,17))*'V06 Curva'!$B$22,MAX(0,MIN('V06 Motor'!A130*30/'V06 Motor'!C130,19)-MAX(('V06 Motor'!A130-1)*30/'V06 Motor'!C130,18))*'V06 Curva'!$B$23,MAX(0,MIN('V06 Motor'!A130*30/'V06 Motor'!C130,20)-MAX(('V06 Motor'!A130-1)*30/'V06 Motor'!C130,19))*'V06 Curva'!$B$24,MAX(0,MIN('V06 Motor'!A130*30/'V06 Motor'!C130,21)-MAX(('V06 Motor'!A130-1)*30/'V06 Motor'!C130,20))*'V06 Curva'!$B$25,MAX(0,MIN('V06 Motor'!A130*30/'V06 Motor'!C130,22)-MAX(('V06 Motor'!A130-1)*30/'V06 Motor'!C130,21))*'V06 Curva'!$B$26,MAX(0,MIN('V06 Motor'!A130*30/'V06 Motor'!C130,23)-MAX(('V06 Motor'!A130-1)*30/'V06 Motor'!C130,22))*'V06 Curva'!$B$27,MAX(0,MIN('V06 Motor'!A130*30/'V06 Motor'!C130,24)-MAX(('V06 Motor'!A130-1)*30/'V06 Motor'!C130,23))*'V06 Curva'!$B$28,MAX(0,MIN('V06 Motor'!A130*30/'V06 Motor'!C130,25)-MAX(('V06 Motor'!A130-1)*30/'V06 Motor'!C130,24))*'V06 Curva'!$B$29,MAX(0,MIN('V06 Motor'!A130*30/'V06 Motor'!C130,26)-MAX(('V06 Motor'!A130-1)*30/'V06 Motor'!C130,25))*'V06 Curva'!$B$30,MAX(0,MIN('V06 Motor'!A130*30/'V06 Motor'!C130,27)-MAX(('V06 Motor'!A130-1)*30/'V06 Motor'!C130,26))*'V06 Curva'!$B$31,MAX(0,MIN('V06 Motor'!A130*30/'V06 Motor'!C130,28)-MAX(('V06 Motor'!A130-1)*30/'V06 Motor'!C130,27))*'V06 Curva'!$B$32,MAX(0,MIN('V06 Motor'!A130*30/'V06 Motor'!C130,29)-MAX(('V06 Motor'!A130-1)*30/'V06 Motor'!C130,28))*'V06 Curva'!$B$33,MAX(0,MIN('V06 Motor'!A130*30/'V06 Motor'!C130,30)-MAX(('V06 Motor'!A130-1)*30/'V06 Motor'!C130,29))*'V06 Curva'!$B$34),0)</f>
        <v>0.0</v>
      </c>
      <c r="O130" s="2">
        <f>SUMPRODUCT(--(('V06 Unidades'!$I$5:$I$98+'V06 Controlos'!$B$37)='V06 Motor'!A130),ROUND('V06 Unidades'!$H$5:$H$98*0.05,2)+ROUND('V06 Unidades'!$H$5:$H$98*0.2,2))+SUMPRODUCT(--(IF('V06 Controlos'!$B$38&gt;0,IF(('V06 Unidades'!$L$5:$L$98+'V06 Controlos'!$B$37)&lt;'V06 Motor'!C130,'V06 Motor'!C130,('V06 Unidades'!$L$5:$L$98+'V06 Controlos'!$B$37)),('V06 Unidades'!$L$5:$L$98+'V06 Controlos'!$B$37))='V06 Motor'!A130),'V06 Unidades'!$H$5:$H$98-ROUND('V06 Unidades'!$H$5:$H$98*0.05,2)-ROUND('V06 Unidades'!$H$5:$H$98*0.2,2)-ROUND('V06 Unidades'!$H$5:$H$98*0.55,2))+SUMPRODUCT(--(IF(INT((IF('V06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Controlos'!$B$37)-1)/6),0)&gt;0),--('V06 Motor'!A130&gt;('V06 Unidades'!$I$5:$I$98+'V06 Controlos'!$B$37)),--('V06 Motor'!A130&lt;IF('V06 Controlos'!$B$38&gt;0,IF(('V06 Unidades'!$L$5:$L$98+'V06 Controlos'!$B$37)&lt;'V06 Motor'!C130,'V06 Motor'!C130,('V06 Unidades'!$L$5:$L$98+'V06 Controlos'!$B$37)),('V06 Unidades'!$L$5:$L$98+'V06 Controlos'!$B$37))),--(MOD('V06 Motor'!A130-('V06 Unidades'!$I$5:$I$98+'V06 Controlos'!$B$37),6)=0),--(('V06 Motor'!A130-('V06 Unidades'!$I$5:$I$98+'V06 Controlos'!$B$37))/6&lt;=IF(INT((IF('V06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Controlos'!$B$37)-1)/6),0)),IF('V06 Motor'!A130=('V06 Unidades'!$I$5:$I$98+'V06 Controlos'!$B$37)+6*IF(INT((IF('V06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Controlos'!$B$37)-1)/6),0)&gt;0,IF(INT((IF('V06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Controlos'!$B$37)-1)/6),0),1),2)*(IF(INT((IF('V06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Controlos'!$B$37)-1)/6),0)&gt;0,IF(INT((IF('V06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Controlos'!$B$37)-1)/6)&gt;0,INT((IF('V06 Controlos'!$B$38&gt;0,IF(('V06 Unidades'!$L$5:$L$98+'V06 Controlos'!$B$37)&lt;'V06 Motor'!C130,'V06 Motor'!C130,('V06 Unidades'!$L$5:$L$98+'V06 Controlos'!$B$37)),('V06 Unidades'!$L$5:$L$98+'V06 Controlos'!$B$37))-('V06 Unidades'!$I$5:$I$98+'V06 Controlos'!$B$37)-1)/6),0),1),2)))</f>
        <v>0.0</v>
      </c>
      <c r="P130" s="2">
        <f>SUM('V06 Calend 01'!EH5:EH98)</f>
        <v>0.0</v>
      </c>
    </row>
    <row r="131" spans="1:16">
      <c r="A131">
        <v>127</v>
      </c>
      <c r="C131">
        <v>30</v>
      </c>
      <c r="G131" s="2">
        <f>IF('V06 Motor'!A131&lt;='V06 Motor'!C131,SUMPRODUCT('V06 Curva'!$B$5:$B$34,IF((IF('V06 Motor'!A131*30/'V06 Motor'!C131&lt;'V06 Curva'!$A$5:$A$34,'V06 Motor'!A131*30/'V06 Motor'!C131,'V06 Curva'!$A$5:$A$34)-IF(('V06 Motor'!A131-1)*30/'V06 Motor'!C131&gt;'V06 Curva'!$A$5:$A$34-1,('V06 Motor'!A131-1)*30/'V06 Motor'!C131,'V06 Curva'!$A$5:$A$34-1))&gt;0,(IF('V06 Motor'!A131*30/'V06 Motor'!C131&lt;'V06 Curva'!$A$5:$A$34,'V06 Motor'!A131*30/'V06 Motor'!C131,'V06 Curva'!$A$5:$A$34)-IF(('V06 Motor'!A131-1)*30/'V06 Motor'!C131&gt;'V06 Curva'!$A$5:$A$34-1,('V06 Motor'!A131-1)*30/'V06 Motor'!C131,'V06 Curva'!$A$5:$A$34-1)),0)),0)</f>
        <v>0.0</v>
      </c>
      <c r="H131" s="2">
        <f>IF('V06 Motor'!A131&lt;='V06 Motor'!C131,SUM(MAX(0,MIN('V06 Motor'!A131*30/'V06 Motor'!C131,1)-MAX(('V06 Motor'!A131-1)*30/'V06 Motor'!C131,0))*'V06 Curva'!$B$5,MAX(0,MIN('V06 Motor'!A131*30/'V06 Motor'!C131,2)-MAX(('V06 Motor'!A131-1)*30/'V06 Motor'!C131,1))*'V06 Curva'!$B$6,MAX(0,MIN('V06 Motor'!A131*30/'V06 Motor'!C131,3)-MAX(('V06 Motor'!A131-1)*30/'V06 Motor'!C131,2))*'V06 Curva'!$B$7,MAX(0,MIN('V06 Motor'!A131*30/'V06 Motor'!C131,4)-MAX(('V06 Motor'!A131-1)*30/'V06 Motor'!C131,3))*'V06 Curva'!$B$8,MAX(0,MIN('V06 Motor'!A131*30/'V06 Motor'!C131,5)-MAX(('V06 Motor'!A131-1)*30/'V06 Motor'!C131,4))*'V06 Curva'!$B$9,MAX(0,MIN('V06 Motor'!A131*30/'V06 Motor'!C131,6)-MAX(('V06 Motor'!A131-1)*30/'V06 Motor'!C131,5))*'V06 Curva'!$B$10,MAX(0,MIN('V06 Motor'!A131*30/'V06 Motor'!C131,7)-MAX(('V06 Motor'!A131-1)*30/'V06 Motor'!C131,6))*'V06 Curva'!$B$11,MAX(0,MIN('V06 Motor'!A131*30/'V06 Motor'!C131,8)-MAX(('V06 Motor'!A131-1)*30/'V06 Motor'!C131,7))*'V06 Curva'!$B$12,MAX(0,MIN('V06 Motor'!A131*30/'V06 Motor'!C131,9)-MAX(('V06 Motor'!A131-1)*30/'V06 Motor'!C131,8))*'V06 Curva'!$B$13,MAX(0,MIN('V06 Motor'!A131*30/'V06 Motor'!C131,10)-MAX(('V06 Motor'!A131-1)*30/'V06 Motor'!C131,9))*'V06 Curva'!$B$14,MAX(0,MIN('V06 Motor'!A131*30/'V06 Motor'!C131,11)-MAX(('V06 Motor'!A131-1)*30/'V06 Motor'!C131,10))*'V06 Curva'!$B$15,MAX(0,MIN('V06 Motor'!A131*30/'V06 Motor'!C131,12)-MAX(('V06 Motor'!A131-1)*30/'V06 Motor'!C131,11))*'V06 Curva'!$B$16,MAX(0,MIN('V06 Motor'!A131*30/'V06 Motor'!C131,13)-MAX(('V06 Motor'!A131-1)*30/'V06 Motor'!C131,12))*'V06 Curva'!$B$17,MAX(0,MIN('V06 Motor'!A131*30/'V06 Motor'!C131,14)-MAX(('V06 Motor'!A131-1)*30/'V06 Motor'!C131,13))*'V06 Curva'!$B$18,MAX(0,MIN('V06 Motor'!A131*30/'V06 Motor'!C131,15)-MAX(('V06 Motor'!A131-1)*30/'V06 Motor'!C131,14))*'V06 Curva'!$B$19,MAX(0,MIN('V06 Motor'!A131*30/'V06 Motor'!C131,16)-MAX(('V06 Motor'!A131-1)*30/'V06 Motor'!C131,15))*'V06 Curva'!$B$20,MAX(0,MIN('V06 Motor'!A131*30/'V06 Motor'!C131,17)-MAX(('V06 Motor'!A131-1)*30/'V06 Motor'!C131,16))*'V06 Curva'!$B$21,MAX(0,MIN('V06 Motor'!A131*30/'V06 Motor'!C131,18)-MAX(('V06 Motor'!A131-1)*30/'V06 Motor'!C131,17))*'V06 Curva'!$B$22,MAX(0,MIN('V06 Motor'!A131*30/'V06 Motor'!C131,19)-MAX(('V06 Motor'!A131-1)*30/'V06 Motor'!C131,18))*'V06 Curva'!$B$23,MAX(0,MIN('V06 Motor'!A131*30/'V06 Motor'!C131,20)-MAX(('V06 Motor'!A131-1)*30/'V06 Motor'!C131,19))*'V06 Curva'!$B$24,MAX(0,MIN('V06 Motor'!A131*30/'V06 Motor'!C131,21)-MAX(('V06 Motor'!A131-1)*30/'V06 Motor'!C131,20))*'V06 Curva'!$B$25,MAX(0,MIN('V06 Motor'!A131*30/'V06 Motor'!C131,22)-MAX(('V06 Motor'!A131-1)*30/'V06 Motor'!C131,21))*'V06 Curva'!$B$26,MAX(0,MIN('V06 Motor'!A131*30/'V06 Motor'!C131,23)-MAX(('V06 Motor'!A131-1)*30/'V06 Motor'!C131,22))*'V06 Curva'!$B$27,MAX(0,MIN('V06 Motor'!A131*30/'V06 Motor'!C131,24)-MAX(('V06 Motor'!A131-1)*30/'V06 Motor'!C131,23))*'V06 Curva'!$B$28,MAX(0,MIN('V06 Motor'!A131*30/'V06 Motor'!C131,25)-MAX(('V06 Motor'!A131-1)*30/'V06 Motor'!C131,24))*'V06 Curva'!$B$29,MAX(0,MIN('V06 Motor'!A131*30/'V06 Motor'!C131,26)-MAX(('V06 Motor'!A131-1)*30/'V06 Motor'!C131,25))*'V06 Curva'!$B$30,MAX(0,MIN('V06 Motor'!A131*30/'V06 Motor'!C131,27)-MAX(('V06 Motor'!A131-1)*30/'V06 Motor'!C131,26))*'V06 Curva'!$B$31,MAX(0,MIN('V06 Motor'!A131*30/'V06 Motor'!C131,28)-MAX(('V06 Motor'!A131-1)*30/'V06 Motor'!C131,27))*'V06 Curva'!$B$32,MAX(0,MIN('V06 Motor'!A131*30/'V06 Motor'!C131,29)-MAX(('V06 Motor'!A131-1)*30/'V06 Motor'!C131,28))*'V06 Curva'!$B$33,MAX(0,MIN('V06 Motor'!A131*30/'V06 Motor'!C131,30)-MAX(('V06 Motor'!A131-1)*30/'V06 Motor'!C131,29))*'V06 Curva'!$B$34),0)</f>
        <v>0.0</v>
      </c>
      <c r="O131" s="2">
        <f>SUMPRODUCT(--(('V06 Unidades'!$I$5:$I$98+'V06 Controlos'!$B$37)='V06 Motor'!A131),ROUND('V06 Unidades'!$H$5:$H$98*0.05,2)+ROUND('V06 Unidades'!$H$5:$H$98*0.2,2))+SUMPRODUCT(--(IF('V06 Controlos'!$B$38&gt;0,IF(('V06 Unidades'!$L$5:$L$98+'V06 Controlos'!$B$37)&lt;'V06 Motor'!C131,'V06 Motor'!C131,('V06 Unidades'!$L$5:$L$98+'V06 Controlos'!$B$37)),('V06 Unidades'!$L$5:$L$98+'V06 Controlos'!$B$37))='V06 Motor'!A131),'V06 Unidades'!$H$5:$H$98-ROUND('V06 Unidades'!$H$5:$H$98*0.05,2)-ROUND('V06 Unidades'!$H$5:$H$98*0.2,2)-ROUND('V06 Unidades'!$H$5:$H$98*0.55,2))+SUMPRODUCT(--(IF(INT((IF('V06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Controlos'!$B$37)-1)/6),0)&gt;0),--('V06 Motor'!A131&gt;('V06 Unidades'!$I$5:$I$98+'V06 Controlos'!$B$37)),--('V06 Motor'!A131&lt;IF('V06 Controlos'!$B$38&gt;0,IF(('V06 Unidades'!$L$5:$L$98+'V06 Controlos'!$B$37)&lt;'V06 Motor'!C131,'V06 Motor'!C131,('V06 Unidades'!$L$5:$L$98+'V06 Controlos'!$B$37)),('V06 Unidades'!$L$5:$L$98+'V06 Controlos'!$B$37))),--(MOD('V06 Motor'!A131-('V06 Unidades'!$I$5:$I$98+'V06 Controlos'!$B$37),6)=0),--(('V06 Motor'!A131-('V06 Unidades'!$I$5:$I$98+'V06 Controlos'!$B$37))/6&lt;=IF(INT((IF('V06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Controlos'!$B$37)-1)/6),0)),IF('V06 Motor'!A131=('V06 Unidades'!$I$5:$I$98+'V06 Controlos'!$B$37)+6*IF(INT((IF('V06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Controlos'!$B$37)-1)/6),0)&gt;0,IF(INT((IF('V06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Controlos'!$B$37)-1)/6),0),1),2)*(IF(INT((IF('V06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Controlos'!$B$37)-1)/6),0)&gt;0,IF(INT((IF('V06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Controlos'!$B$37)-1)/6)&gt;0,INT((IF('V06 Controlos'!$B$38&gt;0,IF(('V06 Unidades'!$L$5:$L$98+'V06 Controlos'!$B$37)&lt;'V06 Motor'!C131,'V06 Motor'!C131,('V06 Unidades'!$L$5:$L$98+'V06 Controlos'!$B$37)),('V06 Unidades'!$L$5:$L$98+'V06 Controlos'!$B$37))-('V06 Unidades'!$I$5:$I$98+'V06 Controlos'!$B$37)-1)/6),0),1),2)))</f>
        <v>0.0</v>
      </c>
      <c r="P131" s="2">
        <f>SUM('V06 Calend 01'!EI5:EI98)</f>
        <v>0.0</v>
      </c>
    </row>
    <row r="132" spans="1:16">
      <c r="A132">
        <v>128</v>
      </c>
      <c r="C132">
        <v>30</v>
      </c>
      <c r="G132" s="2">
        <f>IF('V06 Motor'!A132&lt;='V06 Motor'!C132,SUMPRODUCT('V06 Curva'!$B$5:$B$34,IF((IF('V06 Motor'!A132*30/'V06 Motor'!C132&lt;'V06 Curva'!$A$5:$A$34,'V06 Motor'!A132*30/'V06 Motor'!C132,'V06 Curva'!$A$5:$A$34)-IF(('V06 Motor'!A132-1)*30/'V06 Motor'!C132&gt;'V06 Curva'!$A$5:$A$34-1,('V06 Motor'!A132-1)*30/'V06 Motor'!C132,'V06 Curva'!$A$5:$A$34-1))&gt;0,(IF('V06 Motor'!A132*30/'V06 Motor'!C132&lt;'V06 Curva'!$A$5:$A$34,'V06 Motor'!A132*30/'V06 Motor'!C132,'V06 Curva'!$A$5:$A$34)-IF(('V06 Motor'!A132-1)*30/'V06 Motor'!C132&gt;'V06 Curva'!$A$5:$A$34-1,('V06 Motor'!A132-1)*30/'V06 Motor'!C132,'V06 Curva'!$A$5:$A$34-1)),0)),0)</f>
        <v>0.0</v>
      </c>
      <c r="H132" s="2">
        <f>IF('V06 Motor'!A132&lt;='V06 Motor'!C132,SUM(MAX(0,MIN('V06 Motor'!A132*30/'V06 Motor'!C132,1)-MAX(('V06 Motor'!A132-1)*30/'V06 Motor'!C132,0))*'V06 Curva'!$B$5,MAX(0,MIN('V06 Motor'!A132*30/'V06 Motor'!C132,2)-MAX(('V06 Motor'!A132-1)*30/'V06 Motor'!C132,1))*'V06 Curva'!$B$6,MAX(0,MIN('V06 Motor'!A132*30/'V06 Motor'!C132,3)-MAX(('V06 Motor'!A132-1)*30/'V06 Motor'!C132,2))*'V06 Curva'!$B$7,MAX(0,MIN('V06 Motor'!A132*30/'V06 Motor'!C132,4)-MAX(('V06 Motor'!A132-1)*30/'V06 Motor'!C132,3))*'V06 Curva'!$B$8,MAX(0,MIN('V06 Motor'!A132*30/'V06 Motor'!C132,5)-MAX(('V06 Motor'!A132-1)*30/'V06 Motor'!C132,4))*'V06 Curva'!$B$9,MAX(0,MIN('V06 Motor'!A132*30/'V06 Motor'!C132,6)-MAX(('V06 Motor'!A132-1)*30/'V06 Motor'!C132,5))*'V06 Curva'!$B$10,MAX(0,MIN('V06 Motor'!A132*30/'V06 Motor'!C132,7)-MAX(('V06 Motor'!A132-1)*30/'V06 Motor'!C132,6))*'V06 Curva'!$B$11,MAX(0,MIN('V06 Motor'!A132*30/'V06 Motor'!C132,8)-MAX(('V06 Motor'!A132-1)*30/'V06 Motor'!C132,7))*'V06 Curva'!$B$12,MAX(0,MIN('V06 Motor'!A132*30/'V06 Motor'!C132,9)-MAX(('V06 Motor'!A132-1)*30/'V06 Motor'!C132,8))*'V06 Curva'!$B$13,MAX(0,MIN('V06 Motor'!A132*30/'V06 Motor'!C132,10)-MAX(('V06 Motor'!A132-1)*30/'V06 Motor'!C132,9))*'V06 Curva'!$B$14,MAX(0,MIN('V06 Motor'!A132*30/'V06 Motor'!C132,11)-MAX(('V06 Motor'!A132-1)*30/'V06 Motor'!C132,10))*'V06 Curva'!$B$15,MAX(0,MIN('V06 Motor'!A132*30/'V06 Motor'!C132,12)-MAX(('V06 Motor'!A132-1)*30/'V06 Motor'!C132,11))*'V06 Curva'!$B$16,MAX(0,MIN('V06 Motor'!A132*30/'V06 Motor'!C132,13)-MAX(('V06 Motor'!A132-1)*30/'V06 Motor'!C132,12))*'V06 Curva'!$B$17,MAX(0,MIN('V06 Motor'!A132*30/'V06 Motor'!C132,14)-MAX(('V06 Motor'!A132-1)*30/'V06 Motor'!C132,13))*'V06 Curva'!$B$18,MAX(0,MIN('V06 Motor'!A132*30/'V06 Motor'!C132,15)-MAX(('V06 Motor'!A132-1)*30/'V06 Motor'!C132,14))*'V06 Curva'!$B$19,MAX(0,MIN('V06 Motor'!A132*30/'V06 Motor'!C132,16)-MAX(('V06 Motor'!A132-1)*30/'V06 Motor'!C132,15))*'V06 Curva'!$B$20,MAX(0,MIN('V06 Motor'!A132*30/'V06 Motor'!C132,17)-MAX(('V06 Motor'!A132-1)*30/'V06 Motor'!C132,16))*'V06 Curva'!$B$21,MAX(0,MIN('V06 Motor'!A132*30/'V06 Motor'!C132,18)-MAX(('V06 Motor'!A132-1)*30/'V06 Motor'!C132,17))*'V06 Curva'!$B$22,MAX(0,MIN('V06 Motor'!A132*30/'V06 Motor'!C132,19)-MAX(('V06 Motor'!A132-1)*30/'V06 Motor'!C132,18))*'V06 Curva'!$B$23,MAX(0,MIN('V06 Motor'!A132*30/'V06 Motor'!C132,20)-MAX(('V06 Motor'!A132-1)*30/'V06 Motor'!C132,19))*'V06 Curva'!$B$24,MAX(0,MIN('V06 Motor'!A132*30/'V06 Motor'!C132,21)-MAX(('V06 Motor'!A132-1)*30/'V06 Motor'!C132,20))*'V06 Curva'!$B$25,MAX(0,MIN('V06 Motor'!A132*30/'V06 Motor'!C132,22)-MAX(('V06 Motor'!A132-1)*30/'V06 Motor'!C132,21))*'V06 Curva'!$B$26,MAX(0,MIN('V06 Motor'!A132*30/'V06 Motor'!C132,23)-MAX(('V06 Motor'!A132-1)*30/'V06 Motor'!C132,22))*'V06 Curva'!$B$27,MAX(0,MIN('V06 Motor'!A132*30/'V06 Motor'!C132,24)-MAX(('V06 Motor'!A132-1)*30/'V06 Motor'!C132,23))*'V06 Curva'!$B$28,MAX(0,MIN('V06 Motor'!A132*30/'V06 Motor'!C132,25)-MAX(('V06 Motor'!A132-1)*30/'V06 Motor'!C132,24))*'V06 Curva'!$B$29,MAX(0,MIN('V06 Motor'!A132*30/'V06 Motor'!C132,26)-MAX(('V06 Motor'!A132-1)*30/'V06 Motor'!C132,25))*'V06 Curva'!$B$30,MAX(0,MIN('V06 Motor'!A132*30/'V06 Motor'!C132,27)-MAX(('V06 Motor'!A132-1)*30/'V06 Motor'!C132,26))*'V06 Curva'!$B$31,MAX(0,MIN('V06 Motor'!A132*30/'V06 Motor'!C132,28)-MAX(('V06 Motor'!A132-1)*30/'V06 Motor'!C132,27))*'V06 Curva'!$B$32,MAX(0,MIN('V06 Motor'!A132*30/'V06 Motor'!C132,29)-MAX(('V06 Motor'!A132-1)*30/'V06 Motor'!C132,28))*'V06 Curva'!$B$33,MAX(0,MIN('V06 Motor'!A132*30/'V06 Motor'!C132,30)-MAX(('V06 Motor'!A132-1)*30/'V06 Motor'!C132,29))*'V06 Curva'!$B$34),0)</f>
        <v>0.0</v>
      </c>
      <c r="O132" s="2">
        <f>SUMPRODUCT(--(('V06 Unidades'!$I$5:$I$98+'V06 Controlos'!$B$37)='V06 Motor'!A132),ROUND('V06 Unidades'!$H$5:$H$98*0.05,2)+ROUND('V06 Unidades'!$H$5:$H$98*0.2,2))+SUMPRODUCT(--(IF('V06 Controlos'!$B$38&gt;0,IF(('V06 Unidades'!$L$5:$L$98+'V06 Controlos'!$B$37)&lt;'V06 Motor'!C132,'V06 Motor'!C132,('V06 Unidades'!$L$5:$L$98+'V06 Controlos'!$B$37)),('V06 Unidades'!$L$5:$L$98+'V06 Controlos'!$B$37))='V06 Motor'!A132),'V06 Unidades'!$H$5:$H$98-ROUND('V06 Unidades'!$H$5:$H$98*0.05,2)-ROUND('V06 Unidades'!$H$5:$H$98*0.2,2)-ROUND('V06 Unidades'!$H$5:$H$98*0.55,2))+SUMPRODUCT(--(IF(INT((IF('V06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Controlos'!$B$37)-1)/6),0)&gt;0),--('V06 Motor'!A132&gt;('V06 Unidades'!$I$5:$I$98+'V06 Controlos'!$B$37)),--('V06 Motor'!A132&lt;IF('V06 Controlos'!$B$38&gt;0,IF(('V06 Unidades'!$L$5:$L$98+'V06 Controlos'!$B$37)&lt;'V06 Motor'!C132,'V06 Motor'!C132,('V06 Unidades'!$L$5:$L$98+'V06 Controlos'!$B$37)),('V06 Unidades'!$L$5:$L$98+'V06 Controlos'!$B$37))),--(MOD('V06 Motor'!A132-('V06 Unidades'!$I$5:$I$98+'V06 Controlos'!$B$37),6)=0),--(('V06 Motor'!A132-('V06 Unidades'!$I$5:$I$98+'V06 Controlos'!$B$37))/6&lt;=IF(INT((IF('V06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Controlos'!$B$37)-1)/6),0)),IF('V06 Motor'!A132=('V06 Unidades'!$I$5:$I$98+'V06 Controlos'!$B$37)+6*IF(INT((IF('V06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Controlos'!$B$37)-1)/6),0)&gt;0,IF(INT((IF('V06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Controlos'!$B$37)-1)/6),0),1),2)*(IF(INT((IF('V06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Controlos'!$B$37)-1)/6),0)&gt;0,IF(INT((IF('V06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Controlos'!$B$37)-1)/6)&gt;0,INT((IF('V06 Controlos'!$B$38&gt;0,IF(('V06 Unidades'!$L$5:$L$98+'V06 Controlos'!$B$37)&lt;'V06 Motor'!C132,'V06 Motor'!C132,('V06 Unidades'!$L$5:$L$98+'V06 Controlos'!$B$37)),('V06 Unidades'!$L$5:$L$98+'V06 Controlos'!$B$37))-('V06 Unidades'!$I$5:$I$98+'V06 Controlos'!$B$37)-1)/6),0),1),2)))</f>
        <v>0.0</v>
      </c>
      <c r="P132" s="2">
        <f>SUM('V06 Calend 01'!EJ5:EJ98)</f>
        <v>0.0</v>
      </c>
    </row>
    <row r="133" spans="1:16">
      <c r="A133">
        <v>129</v>
      </c>
      <c r="C133">
        <v>30</v>
      </c>
      <c r="G133" s="2">
        <f>IF('V06 Motor'!A133&lt;='V06 Motor'!C133,SUMPRODUCT('V06 Curva'!$B$5:$B$34,IF((IF('V06 Motor'!A133*30/'V06 Motor'!C133&lt;'V06 Curva'!$A$5:$A$34,'V06 Motor'!A133*30/'V06 Motor'!C133,'V06 Curva'!$A$5:$A$34)-IF(('V06 Motor'!A133-1)*30/'V06 Motor'!C133&gt;'V06 Curva'!$A$5:$A$34-1,('V06 Motor'!A133-1)*30/'V06 Motor'!C133,'V06 Curva'!$A$5:$A$34-1))&gt;0,(IF('V06 Motor'!A133*30/'V06 Motor'!C133&lt;'V06 Curva'!$A$5:$A$34,'V06 Motor'!A133*30/'V06 Motor'!C133,'V06 Curva'!$A$5:$A$34)-IF(('V06 Motor'!A133-1)*30/'V06 Motor'!C133&gt;'V06 Curva'!$A$5:$A$34-1,('V06 Motor'!A133-1)*30/'V06 Motor'!C133,'V06 Curva'!$A$5:$A$34-1)),0)),0)</f>
        <v>0.0</v>
      </c>
      <c r="H133" s="2">
        <f>IF('V06 Motor'!A133&lt;='V06 Motor'!C133,SUM(MAX(0,MIN('V06 Motor'!A133*30/'V06 Motor'!C133,1)-MAX(('V06 Motor'!A133-1)*30/'V06 Motor'!C133,0))*'V06 Curva'!$B$5,MAX(0,MIN('V06 Motor'!A133*30/'V06 Motor'!C133,2)-MAX(('V06 Motor'!A133-1)*30/'V06 Motor'!C133,1))*'V06 Curva'!$B$6,MAX(0,MIN('V06 Motor'!A133*30/'V06 Motor'!C133,3)-MAX(('V06 Motor'!A133-1)*30/'V06 Motor'!C133,2))*'V06 Curva'!$B$7,MAX(0,MIN('V06 Motor'!A133*30/'V06 Motor'!C133,4)-MAX(('V06 Motor'!A133-1)*30/'V06 Motor'!C133,3))*'V06 Curva'!$B$8,MAX(0,MIN('V06 Motor'!A133*30/'V06 Motor'!C133,5)-MAX(('V06 Motor'!A133-1)*30/'V06 Motor'!C133,4))*'V06 Curva'!$B$9,MAX(0,MIN('V06 Motor'!A133*30/'V06 Motor'!C133,6)-MAX(('V06 Motor'!A133-1)*30/'V06 Motor'!C133,5))*'V06 Curva'!$B$10,MAX(0,MIN('V06 Motor'!A133*30/'V06 Motor'!C133,7)-MAX(('V06 Motor'!A133-1)*30/'V06 Motor'!C133,6))*'V06 Curva'!$B$11,MAX(0,MIN('V06 Motor'!A133*30/'V06 Motor'!C133,8)-MAX(('V06 Motor'!A133-1)*30/'V06 Motor'!C133,7))*'V06 Curva'!$B$12,MAX(0,MIN('V06 Motor'!A133*30/'V06 Motor'!C133,9)-MAX(('V06 Motor'!A133-1)*30/'V06 Motor'!C133,8))*'V06 Curva'!$B$13,MAX(0,MIN('V06 Motor'!A133*30/'V06 Motor'!C133,10)-MAX(('V06 Motor'!A133-1)*30/'V06 Motor'!C133,9))*'V06 Curva'!$B$14,MAX(0,MIN('V06 Motor'!A133*30/'V06 Motor'!C133,11)-MAX(('V06 Motor'!A133-1)*30/'V06 Motor'!C133,10))*'V06 Curva'!$B$15,MAX(0,MIN('V06 Motor'!A133*30/'V06 Motor'!C133,12)-MAX(('V06 Motor'!A133-1)*30/'V06 Motor'!C133,11))*'V06 Curva'!$B$16,MAX(0,MIN('V06 Motor'!A133*30/'V06 Motor'!C133,13)-MAX(('V06 Motor'!A133-1)*30/'V06 Motor'!C133,12))*'V06 Curva'!$B$17,MAX(0,MIN('V06 Motor'!A133*30/'V06 Motor'!C133,14)-MAX(('V06 Motor'!A133-1)*30/'V06 Motor'!C133,13))*'V06 Curva'!$B$18,MAX(0,MIN('V06 Motor'!A133*30/'V06 Motor'!C133,15)-MAX(('V06 Motor'!A133-1)*30/'V06 Motor'!C133,14))*'V06 Curva'!$B$19,MAX(0,MIN('V06 Motor'!A133*30/'V06 Motor'!C133,16)-MAX(('V06 Motor'!A133-1)*30/'V06 Motor'!C133,15))*'V06 Curva'!$B$20,MAX(0,MIN('V06 Motor'!A133*30/'V06 Motor'!C133,17)-MAX(('V06 Motor'!A133-1)*30/'V06 Motor'!C133,16))*'V06 Curva'!$B$21,MAX(0,MIN('V06 Motor'!A133*30/'V06 Motor'!C133,18)-MAX(('V06 Motor'!A133-1)*30/'V06 Motor'!C133,17))*'V06 Curva'!$B$22,MAX(0,MIN('V06 Motor'!A133*30/'V06 Motor'!C133,19)-MAX(('V06 Motor'!A133-1)*30/'V06 Motor'!C133,18))*'V06 Curva'!$B$23,MAX(0,MIN('V06 Motor'!A133*30/'V06 Motor'!C133,20)-MAX(('V06 Motor'!A133-1)*30/'V06 Motor'!C133,19))*'V06 Curva'!$B$24,MAX(0,MIN('V06 Motor'!A133*30/'V06 Motor'!C133,21)-MAX(('V06 Motor'!A133-1)*30/'V06 Motor'!C133,20))*'V06 Curva'!$B$25,MAX(0,MIN('V06 Motor'!A133*30/'V06 Motor'!C133,22)-MAX(('V06 Motor'!A133-1)*30/'V06 Motor'!C133,21))*'V06 Curva'!$B$26,MAX(0,MIN('V06 Motor'!A133*30/'V06 Motor'!C133,23)-MAX(('V06 Motor'!A133-1)*30/'V06 Motor'!C133,22))*'V06 Curva'!$B$27,MAX(0,MIN('V06 Motor'!A133*30/'V06 Motor'!C133,24)-MAX(('V06 Motor'!A133-1)*30/'V06 Motor'!C133,23))*'V06 Curva'!$B$28,MAX(0,MIN('V06 Motor'!A133*30/'V06 Motor'!C133,25)-MAX(('V06 Motor'!A133-1)*30/'V06 Motor'!C133,24))*'V06 Curva'!$B$29,MAX(0,MIN('V06 Motor'!A133*30/'V06 Motor'!C133,26)-MAX(('V06 Motor'!A133-1)*30/'V06 Motor'!C133,25))*'V06 Curva'!$B$30,MAX(0,MIN('V06 Motor'!A133*30/'V06 Motor'!C133,27)-MAX(('V06 Motor'!A133-1)*30/'V06 Motor'!C133,26))*'V06 Curva'!$B$31,MAX(0,MIN('V06 Motor'!A133*30/'V06 Motor'!C133,28)-MAX(('V06 Motor'!A133-1)*30/'V06 Motor'!C133,27))*'V06 Curva'!$B$32,MAX(0,MIN('V06 Motor'!A133*30/'V06 Motor'!C133,29)-MAX(('V06 Motor'!A133-1)*30/'V06 Motor'!C133,28))*'V06 Curva'!$B$33,MAX(0,MIN('V06 Motor'!A133*30/'V06 Motor'!C133,30)-MAX(('V06 Motor'!A133-1)*30/'V06 Motor'!C133,29))*'V06 Curva'!$B$34),0)</f>
        <v>0.0</v>
      </c>
      <c r="O133" s="2">
        <f>SUMPRODUCT(--(('V06 Unidades'!$I$5:$I$98+'V06 Controlos'!$B$37)='V06 Motor'!A133),ROUND('V06 Unidades'!$H$5:$H$98*0.05,2)+ROUND('V06 Unidades'!$H$5:$H$98*0.2,2))+SUMPRODUCT(--(IF('V06 Controlos'!$B$38&gt;0,IF(('V06 Unidades'!$L$5:$L$98+'V06 Controlos'!$B$37)&lt;'V06 Motor'!C133,'V06 Motor'!C133,('V06 Unidades'!$L$5:$L$98+'V06 Controlos'!$B$37)),('V06 Unidades'!$L$5:$L$98+'V06 Controlos'!$B$37))='V06 Motor'!A133),'V06 Unidades'!$H$5:$H$98-ROUND('V06 Unidades'!$H$5:$H$98*0.05,2)-ROUND('V06 Unidades'!$H$5:$H$98*0.2,2)-ROUND('V06 Unidades'!$H$5:$H$98*0.55,2))+SUMPRODUCT(--(IF(INT((IF('V06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Controlos'!$B$37)-1)/6),0)&gt;0),--('V06 Motor'!A133&gt;('V06 Unidades'!$I$5:$I$98+'V06 Controlos'!$B$37)),--('V06 Motor'!A133&lt;IF('V06 Controlos'!$B$38&gt;0,IF(('V06 Unidades'!$L$5:$L$98+'V06 Controlos'!$B$37)&lt;'V06 Motor'!C133,'V06 Motor'!C133,('V06 Unidades'!$L$5:$L$98+'V06 Controlos'!$B$37)),('V06 Unidades'!$L$5:$L$98+'V06 Controlos'!$B$37))),--(MOD('V06 Motor'!A133-('V06 Unidades'!$I$5:$I$98+'V06 Controlos'!$B$37),6)=0),--(('V06 Motor'!A133-('V06 Unidades'!$I$5:$I$98+'V06 Controlos'!$B$37))/6&lt;=IF(INT((IF('V06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Controlos'!$B$37)-1)/6),0)),IF('V06 Motor'!A133=('V06 Unidades'!$I$5:$I$98+'V06 Controlos'!$B$37)+6*IF(INT((IF('V06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Controlos'!$B$37)-1)/6),0)&gt;0,IF(INT((IF('V06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Controlos'!$B$37)-1)/6),0),1),2)*(IF(INT((IF('V06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Controlos'!$B$37)-1)/6),0)&gt;0,IF(INT((IF('V06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Controlos'!$B$37)-1)/6)&gt;0,INT((IF('V06 Controlos'!$B$38&gt;0,IF(('V06 Unidades'!$L$5:$L$98+'V06 Controlos'!$B$37)&lt;'V06 Motor'!C133,'V06 Motor'!C133,('V06 Unidades'!$L$5:$L$98+'V06 Controlos'!$B$37)),('V06 Unidades'!$L$5:$L$98+'V06 Controlos'!$B$37))-('V06 Unidades'!$I$5:$I$98+'V06 Controlos'!$B$37)-1)/6),0),1),2)))</f>
        <v>0.0</v>
      </c>
      <c r="P133" s="2">
        <f>SUM('V06 Calend 01'!EK5:EK98)</f>
        <v>0.0</v>
      </c>
    </row>
    <row r="134" spans="1:16">
      <c r="A134">
        <v>130</v>
      </c>
      <c r="C134">
        <v>30</v>
      </c>
      <c r="G134" s="2">
        <f>IF('V06 Motor'!A134&lt;='V06 Motor'!C134,SUMPRODUCT('V06 Curva'!$B$5:$B$34,IF((IF('V06 Motor'!A134*30/'V06 Motor'!C134&lt;'V06 Curva'!$A$5:$A$34,'V06 Motor'!A134*30/'V06 Motor'!C134,'V06 Curva'!$A$5:$A$34)-IF(('V06 Motor'!A134-1)*30/'V06 Motor'!C134&gt;'V06 Curva'!$A$5:$A$34-1,('V06 Motor'!A134-1)*30/'V06 Motor'!C134,'V06 Curva'!$A$5:$A$34-1))&gt;0,(IF('V06 Motor'!A134*30/'V06 Motor'!C134&lt;'V06 Curva'!$A$5:$A$34,'V06 Motor'!A134*30/'V06 Motor'!C134,'V06 Curva'!$A$5:$A$34)-IF(('V06 Motor'!A134-1)*30/'V06 Motor'!C134&gt;'V06 Curva'!$A$5:$A$34-1,('V06 Motor'!A134-1)*30/'V06 Motor'!C134,'V06 Curva'!$A$5:$A$34-1)),0)),0)</f>
        <v>0.0</v>
      </c>
      <c r="H134" s="2">
        <f>IF('V06 Motor'!A134&lt;='V06 Motor'!C134,SUM(MAX(0,MIN('V06 Motor'!A134*30/'V06 Motor'!C134,1)-MAX(('V06 Motor'!A134-1)*30/'V06 Motor'!C134,0))*'V06 Curva'!$B$5,MAX(0,MIN('V06 Motor'!A134*30/'V06 Motor'!C134,2)-MAX(('V06 Motor'!A134-1)*30/'V06 Motor'!C134,1))*'V06 Curva'!$B$6,MAX(0,MIN('V06 Motor'!A134*30/'V06 Motor'!C134,3)-MAX(('V06 Motor'!A134-1)*30/'V06 Motor'!C134,2))*'V06 Curva'!$B$7,MAX(0,MIN('V06 Motor'!A134*30/'V06 Motor'!C134,4)-MAX(('V06 Motor'!A134-1)*30/'V06 Motor'!C134,3))*'V06 Curva'!$B$8,MAX(0,MIN('V06 Motor'!A134*30/'V06 Motor'!C134,5)-MAX(('V06 Motor'!A134-1)*30/'V06 Motor'!C134,4))*'V06 Curva'!$B$9,MAX(0,MIN('V06 Motor'!A134*30/'V06 Motor'!C134,6)-MAX(('V06 Motor'!A134-1)*30/'V06 Motor'!C134,5))*'V06 Curva'!$B$10,MAX(0,MIN('V06 Motor'!A134*30/'V06 Motor'!C134,7)-MAX(('V06 Motor'!A134-1)*30/'V06 Motor'!C134,6))*'V06 Curva'!$B$11,MAX(0,MIN('V06 Motor'!A134*30/'V06 Motor'!C134,8)-MAX(('V06 Motor'!A134-1)*30/'V06 Motor'!C134,7))*'V06 Curva'!$B$12,MAX(0,MIN('V06 Motor'!A134*30/'V06 Motor'!C134,9)-MAX(('V06 Motor'!A134-1)*30/'V06 Motor'!C134,8))*'V06 Curva'!$B$13,MAX(0,MIN('V06 Motor'!A134*30/'V06 Motor'!C134,10)-MAX(('V06 Motor'!A134-1)*30/'V06 Motor'!C134,9))*'V06 Curva'!$B$14,MAX(0,MIN('V06 Motor'!A134*30/'V06 Motor'!C134,11)-MAX(('V06 Motor'!A134-1)*30/'V06 Motor'!C134,10))*'V06 Curva'!$B$15,MAX(0,MIN('V06 Motor'!A134*30/'V06 Motor'!C134,12)-MAX(('V06 Motor'!A134-1)*30/'V06 Motor'!C134,11))*'V06 Curva'!$B$16,MAX(0,MIN('V06 Motor'!A134*30/'V06 Motor'!C134,13)-MAX(('V06 Motor'!A134-1)*30/'V06 Motor'!C134,12))*'V06 Curva'!$B$17,MAX(0,MIN('V06 Motor'!A134*30/'V06 Motor'!C134,14)-MAX(('V06 Motor'!A134-1)*30/'V06 Motor'!C134,13))*'V06 Curva'!$B$18,MAX(0,MIN('V06 Motor'!A134*30/'V06 Motor'!C134,15)-MAX(('V06 Motor'!A134-1)*30/'V06 Motor'!C134,14))*'V06 Curva'!$B$19,MAX(0,MIN('V06 Motor'!A134*30/'V06 Motor'!C134,16)-MAX(('V06 Motor'!A134-1)*30/'V06 Motor'!C134,15))*'V06 Curva'!$B$20,MAX(0,MIN('V06 Motor'!A134*30/'V06 Motor'!C134,17)-MAX(('V06 Motor'!A134-1)*30/'V06 Motor'!C134,16))*'V06 Curva'!$B$21,MAX(0,MIN('V06 Motor'!A134*30/'V06 Motor'!C134,18)-MAX(('V06 Motor'!A134-1)*30/'V06 Motor'!C134,17))*'V06 Curva'!$B$22,MAX(0,MIN('V06 Motor'!A134*30/'V06 Motor'!C134,19)-MAX(('V06 Motor'!A134-1)*30/'V06 Motor'!C134,18))*'V06 Curva'!$B$23,MAX(0,MIN('V06 Motor'!A134*30/'V06 Motor'!C134,20)-MAX(('V06 Motor'!A134-1)*30/'V06 Motor'!C134,19))*'V06 Curva'!$B$24,MAX(0,MIN('V06 Motor'!A134*30/'V06 Motor'!C134,21)-MAX(('V06 Motor'!A134-1)*30/'V06 Motor'!C134,20))*'V06 Curva'!$B$25,MAX(0,MIN('V06 Motor'!A134*30/'V06 Motor'!C134,22)-MAX(('V06 Motor'!A134-1)*30/'V06 Motor'!C134,21))*'V06 Curva'!$B$26,MAX(0,MIN('V06 Motor'!A134*30/'V06 Motor'!C134,23)-MAX(('V06 Motor'!A134-1)*30/'V06 Motor'!C134,22))*'V06 Curva'!$B$27,MAX(0,MIN('V06 Motor'!A134*30/'V06 Motor'!C134,24)-MAX(('V06 Motor'!A134-1)*30/'V06 Motor'!C134,23))*'V06 Curva'!$B$28,MAX(0,MIN('V06 Motor'!A134*30/'V06 Motor'!C134,25)-MAX(('V06 Motor'!A134-1)*30/'V06 Motor'!C134,24))*'V06 Curva'!$B$29,MAX(0,MIN('V06 Motor'!A134*30/'V06 Motor'!C134,26)-MAX(('V06 Motor'!A134-1)*30/'V06 Motor'!C134,25))*'V06 Curva'!$B$30,MAX(0,MIN('V06 Motor'!A134*30/'V06 Motor'!C134,27)-MAX(('V06 Motor'!A134-1)*30/'V06 Motor'!C134,26))*'V06 Curva'!$B$31,MAX(0,MIN('V06 Motor'!A134*30/'V06 Motor'!C134,28)-MAX(('V06 Motor'!A134-1)*30/'V06 Motor'!C134,27))*'V06 Curva'!$B$32,MAX(0,MIN('V06 Motor'!A134*30/'V06 Motor'!C134,29)-MAX(('V06 Motor'!A134-1)*30/'V06 Motor'!C134,28))*'V06 Curva'!$B$33,MAX(0,MIN('V06 Motor'!A134*30/'V06 Motor'!C134,30)-MAX(('V06 Motor'!A134-1)*30/'V06 Motor'!C134,29))*'V06 Curva'!$B$34),0)</f>
        <v>0.0</v>
      </c>
      <c r="O134" s="2">
        <f>SUMPRODUCT(--(('V06 Unidades'!$I$5:$I$98+'V06 Controlos'!$B$37)='V06 Motor'!A134),ROUND('V06 Unidades'!$H$5:$H$98*0.05,2)+ROUND('V06 Unidades'!$H$5:$H$98*0.2,2))+SUMPRODUCT(--(IF('V06 Controlos'!$B$38&gt;0,IF(('V06 Unidades'!$L$5:$L$98+'V06 Controlos'!$B$37)&lt;'V06 Motor'!C134,'V06 Motor'!C134,('V06 Unidades'!$L$5:$L$98+'V06 Controlos'!$B$37)),('V06 Unidades'!$L$5:$L$98+'V06 Controlos'!$B$37))='V06 Motor'!A134),'V06 Unidades'!$H$5:$H$98-ROUND('V06 Unidades'!$H$5:$H$98*0.05,2)-ROUND('V06 Unidades'!$H$5:$H$98*0.2,2)-ROUND('V06 Unidades'!$H$5:$H$98*0.55,2))+SUMPRODUCT(--(IF(INT((IF('V06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Controlos'!$B$37)-1)/6),0)&gt;0),--('V06 Motor'!A134&gt;('V06 Unidades'!$I$5:$I$98+'V06 Controlos'!$B$37)),--('V06 Motor'!A134&lt;IF('V06 Controlos'!$B$38&gt;0,IF(('V06 Unidades'!$L$5:$L$98+'V06 Controlos'!$B$37)&lt;'V06 Motor'!C134,'V06 Motor'!C134,('V06 Unidades'!$L$5:$L$98+'V06 Controlos'!$B$37)),('V06 Unidades'!$L$5:$L$98+'V06 Controlos'!$B$37))),--(MOD('V06 Motor'!A134-('V06 Unidades'!$I$5:$I$98+'V06 Controlos'!$B$37),6)=0),--(('V06 Motor'!A134-('V06 Unidades'!$I$5:$I$98+'V06 Controlos'!$B$37))/6&lt;=IF(INT((IF('V06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Controlos'!$B$37)-1)/6),0)),IF('V06 Motor'!A134=('V06 Unidades'!$I$5:$I$98+'V06 Controlos'!$B$37)+6*IF(INT((IF('V06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Controlos'!$B$37)-1)/6),0)&gt;0,IF(INT((IF('V06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Controlos'!$B$37)-1)/6),0),1),2)*(IF(INT((IF('V06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Controlos'!$B$37)-1)/6),0)&gt;0,IF(INT((IF('V06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Controlos'!$B$37)-1)/6)&gt;0,INT((IF('V06 Controlos'!$B$38&gt;0,IF(('V06 Unidades'!$L$5:$L$98+'V06 Controlos'!$B$37)&lt;'V06 Motor'!C134,'V06 Motor'!C134,('V06 Unidades'!$L$5:$L$98+'V06 Controlos'!$B$37)),('V06 Unidades'!$L$5:$L$98+'V06 Controlos'!$B$37))-('V06 Unidades'!$I$5:$I$98+'V06 Controlos'!$B$37)-1)/6),0),1),2)))</f>
        <v>0.0</v>
      </c>
      <c r="P134" s="2">
        <f>SUM('V06 Calend 01'!EL5:EL98)</f>
        <v>0.0</v>
      </c>
    </row>
    <row r="135" spans="1:16">
      <c r="A135">
        <v>131</v>
      </c>
      <c r="C135">
        <v>30</v>
      </c>
      <c r="G135" s="2">
        <f>IF('V06 Motor'!A135&lt;='V06 Motor'!C135,SUMPRODUCT('V06 Curva'!$B$5:$B$34,IF((IF('V06 Motor'!A135*30/'V06 Motor'!C135&lt;'V06 Curva'!$A$5:$A$34,'V06 Motor'!A135*30/'V06 Motor'!C135,'V06 Curva'!$A$5:$A$34)-IF(('V06 Motor'!A135-1)*30/'V06 Motor'!C135&gt;'V06 Curva'!$A$5:$A$34-1,('V06 Motor'!A135-1)*30/'V06 Motor'!C135,'V06 Curva'!$A$5:$A$34-1))&gt;0,(IF('V06 Motor'!A135*30/'V06 Motor'!C135&lt;'V06 Curva'!$A$5:$A$34,'V06 Motor'!A135*30/'V06 Motor'!C135,'V06 Curva'!$A$5:$A$34)-IF(('V06 Motor'!A135-1)*30/'V06 Motor'!C135&gt;'V06 Curva'!$A$5:$A$34-1,('V06 Motor'!A135-1)*30/'V06 Motor'!C135,'V06 Curva'!$A$5:$A$34-1)),0)),0)</f>
        <v>0.0</v>
      </c>
      <c r="H135" s="2">
        <f>IF('V06 Motor'!A135&lt;='V06 Motor'!C135,SUM(MAX(0,MIN('V06 Motor'!A135*30/'V06 Motor'!C135,1)-MAX(('V06 Motor'!A135-1)*30/'V06 Motor'!C135,0))*'V06 Curva'!$B$5,MAX(0,MIN('V06 Motor'!A135*30/'V06 Motor'!C135,2)-MAX(('V06 Motor'!A135-1)*30/'V06 Motor'!C135,1))*'V06 Curva'!$B$6,MAX(0,MIN('V06 Motor'!A135*30/'V06 Motor'!C135,3)-MAX(('V06 Motor'!A135-1)*30/'V06 Motor'!C135,2))*'V06 Curva'!$B$7,MAX(0,MIN('V06 Motor'!A135*30/'V06 Motor'!C135,4)-MAX(('V06 Motor'!A135-1)*30/'V06 Motor'!C135,3))*'V06 Curva'!$B$8,MAX(0,MIN('V06 Motor'!A135*30/'V06 Motor'!C135,5)-MAX(('V06 Motor'!A135-1)*30/'V06 Motor'!C135,4))*'V06 Curva'!$B$9,MAX(0,MIN('V06 Motor'!A135*30/'V06 Motor'!C135,6)-MAX(('V06 Motor'!A135-1)*30/'V06 Motor'!C135,5))*'V06 Curva'!$B$10,MAX(0,MIN('V06 Motor'!A135*30/'V06 Motor'!C135,7)-MAX(('V06 Motor'!A135-1)*30/'V06 Motor'!C135,6))*'V06 Curva'!$B$11,MAX(0,MIN('V06 Motor'!A135*30/'V06 Motor'!C135,8)-MAX(('V06 Motor'!A135-1)*30/'V06 Motor'!C135,7))*'V06 Curva'!$B$12,MAX(0,MIN('V06 Motor'!A135*30/'V06 Motor'!C135,9)-MAX(('V06 Motor'!A135-1)*30/'V06 Motor'!C135,8))*'V06 Curva'!$B$13,MAX(0,MIN('V06 Motor'!A135*30/'V06 Motor'!C135,10)-MAX(('V06 Motor'!A135-1)*30/'V06 Motor'!C135,9))*'V06 Curva'!$B$14,MAX(0,MIN('V06 Motor'!A135*30/'V06 Motor'!C135,11)-MAX(('V06 Motor'!A135-1)*30/'V06 Motor'!C135,10))*'V06 Curva'!$B$15,MAX(0,MIN('V06 Motor'!A135*30/'V06 Motor'!C135,12)-MAX(('V06 Motor'!A135-1)*30/'V06 Motor'!C135,11))*'V06 Curva'!$B$16,MAX(0,MIN('V06 Motor'!A135*30/'V06 Motor'!C135,13)-MAX(('V06 Motor'!A135-1)*30/'V06 Motor'!C135,12))*'V06 Curva'!$B$17,MAX(0,MIN('V06 Motor'!A135*30/'V06 Motor'!C135,14)-MAX(('V06 Motor'!A135-1)*30/'V06 Motor'!C135,13))*'V06 Curva'!$B$18,MAX(0,MIN('V06 Motor'!A135*30/'V06 Motor'!C135,15)-MAX(('V06 Motor'!A135-1)*30/'V06 Motor'!C135,14))*'V06 Curva'!$B$19,MAX(0,MIN('V06 Motor'!A135*30/'V06 Motor'!C135,16)-MAX(('V06 Motor'!A135-1)*30/'V06 Motor'!C135,15))*'V06 Curva'!$B$20,MAX(0,MIN('V06 Motor'!A135*30/'V06 Motor'!C135,17)-MAX(('V06 Motor'!A135-1)*30/'V06 Motor'!C135,16))*'V06 Curva'!$B$21,MAX(0,MIN('V06 Motor'!A135*30/'V06 Motor'!C135,18)-MAX(('V06 Motor'!A135-1)*30/'V06 Motor'!C135,17))*'V06 Curva'!$B$22,MAX(0,MIN('V06 Motor'!A135*30/'V06 Motor'!C135,19)-MAX(('V06 Motor'!A135-1)*30/'V06 Motor'!C135,18))*'V06 Curva'!$B$23,MAX(0,MIN('V06 Motor'!A135*30/'V06 Motor'!C135,20)-MAX(('V06 Motor'!A135-1)*30/'V06 Motor'!C135,19))*'V06 Curva'!$B$24,MAX(0,MIN('V06 Motor'!A135*30/'V06 Motor'!C135,21)-MAX(('V06 Motor'!A135-1)*30/'V06 Motor'!C135,20))*'V06 Curva'!$B$25,MAX(0,MIN('V06 Motor'!A135*30/'V06 Motor'!C135,22)-MAX(('V06 Motor'!A135-1)*30/'V06 Motor'!C135,21))*'V06 Curva'!$B$26,MAX(0,MIN('V06 Motor'!A135*30/'V06 Motor'!C135,23)-MAX(('V06 Motor'!A135-1)*30/'V06 Motor'!C135,22))*'V06 Curva'!$B$27,MAX(0,MIN('V06 Motor'!A135*30/'V06 Motor'!C135,24)-MAX(('V06 Motor'!A135-1)*30/'V06 Motor'!C135,23))*'V06 Curva'!$B$28,MAX(0,MIN('V06 Motor'!A135*30/'V06 Motor'!C135,25)-MAX(('V06 Motor'!A135-1)*30/'V06 Motor'!C135,24))*'V06 Curva'!$B$29,MAX(0,MIN('V06 Motor'!A135*30/'V06 Motor'!C135,26)-MAX(('V06 Motor'!A135-1)*30/'V06 Motor'!C135,25))*'V06 Curva'!$B$30,MAX(0,MIN('V06 Motor'!A135*30/'V06 Motor'!C135,27)-MAX(('V06 Motor'!A135-1)*30/'V06 Motor'!C135,26))*'V06 Curva'!$B$31,MAX(0,MIN('V06 Motor'!A135*30/'V06 Motor'!C135,28)-MAX(('V06 Motor'!A135-1)*30/'V06 Motor'!C135,27))*'V06 Curva'!$B$32,MAX(0,MIN('V06 Motor'!A135*30/'V06 Motor'!C135,29)-MAX(('V06 Motor'!A135-1)*30/'V06 Motor'!C135,28))*'V06 Curva'!$B$33,MAX(0,MIN('V06 Motor'!A135*30/'V06 Motor'!C135,30)-MAX(('V06 Motor'!A135-1)*30/'V06 Motor'!C135,29))*'V06 Curva'!$B$34),0)</f>
        <v>0.0</v>
      </c>
      <c r="O135" s="2">
        <f>SUMPRODUCT(--(('V06 Unidades'!$I$5:$I$98+'V06 Controlos'!$B$37)='V06 Motor'!A135),ROUND('V06 Unidades'!$H$5:$H$98*0.05,2)+ROUND('V06 Unidades'!$H$5:$H$98*0.2,2))+SUMPRODUCT(--(IF('V06 Controlos'!$B$38&gt;0,IF(('V06 Unidades'!$L$5:$L$98+'V06 Controlos'!$B$37)&lt;'V06 Motor'!C135,'V06 Motor'!C135,('V06 Unidades'!$L$5:$L$98+'V06 Controlos'!$B$37)),('V06 Unidades'!$L$5:$L$98+'V06 Controlos'!$B$37))='V06 Motor'!A135),'V06 Unidades'!$H$5:$H$98-ROUND('V06 Unidades'!$H$5:$H$98*0.05,2)-ROUND('V06 Unidades'!$H$5:$H$98*0.2,2)-ROUND('V06 Unidades'!$H$5:$H$98*0.55,2))+SUMPRODUCT(--(IF(INT((IF('V06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Controlos'!$B$37)-1)/6),0)&gt;0),--('V06 Motor'!A135&gt;('V06 Unidades'!$I$5:$I$98+'V06 Controlos'!$B$37)),--('V06 Motor'!A135&lt;IF('V06 Controlos'!$B$38&gt;0,IF(('V06 Unidades'!$L$5:$L$98+'V06 Controlos'!$B$37)&lt;'V06 Motor'!C135,'V06 Motor'!C135,('V06 Unidades'!$L$5:$L$98+'V06 Controlos'!$B$37)),('V06 Unidades'!$L$5:$L$98+'V06 Controlos'!$B$37))),--(MOD('V06 Motor'!A135-('V06 Unidades'!$I$5:$I$98+'V06 Controlos'!$B$37),6)=0),--(('V06 Motor'!A135-('V06 Unidades'!$I$5:$I$98+'V06 Controlos'!$B$37))/6&lt;=IF(INT((IF('V06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Controlos'!$B$37)-1)/6),0)),IF('V06 Motor'!A135=('V06 Unidades'!$I$5:$I$98+'V06 Controlos'!$B$37)+6*IF(INT((IF('V06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Controlos'!$B$37)-1)/6),0)&gt;0,IF(INT((IF('V06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Controlos'!$B$37)-1)/6),0),1),2)*(IF(INT((IF('V06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Controlos'!$B$37)-1)/6),0)&gt;0,IF(INT((IF('V06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Controlos'!$B$37)-1)/6)&gt;0,INT((IF('V06 Controlos'!$B$38&gt;0,IF(('V06 Unidades'!$L$5:$L$98+'V06 Controlos'!$B$37)&lt;'V06 Motor'!C135,'V06 Motor'!C135,('V06 Unidades'!$L$5:$L$98+'V06 Controlos'!$B$37)),('V06 Unidades'!$L$5:$L$98+'V06 Controlos'!$B$37))-('V06 Unidades'!$I$5:$I$98+'V06 Controlos'!$B$37)-1)/6),0),1),2)))</f>
        <v>0.0</v>
      </c>
      <c r="P135" s="2">
        <f>SUM('V06 Calend 01'!EM5:EM98)</f>
        <v>0.0</v>
      </c>
    </row>
    <row r="136" spans="1:16">
      <c r="A136">
        <v>132</v>
      </c>
      <c r="C136">
        <v>30</v>
      </c>
      <c r="G136" s="2">
        <f>IF('V06 Motor'!A136&lt;='V06 Motor'!C136,SUMPRODUCT('V06 Curva'!$B$5:$B$34,IF((IF('V06 Motor'!A136*30/'V06 Motor'!C136&lt;'V06 Curva'!$A$5:$A$34,'V06 Motor'!A136*30/'V06 Motor'!C136,'V06 Curva'!$A$5:$A$34)-IF(('V06 Motor'!A136-1)*30/'V06 Motor'!C136&gt;'V06 Curva'!$A$5:$A$34-1,('V06 Motor'!A136-1)*30/'V06 Motor'!C136,'V06 Curva'!$A$5:$A$34-1))&gt;0,(IF('V06 Motor'!A136*30/'V06 Motor'!C136&lt;'V06 Curva'!$A$5:$A$34,'V06 Motor'!A136*30/'V06 Motor'!C136,'V06 Curva'!$A$5:$A$34)-IF(('V06 Motor'!A136-1)*30/'V06 Motor'!C136&gt;'V06 Curva'!$A$5:$A$34-1,('V06 Motor'!A136-1)*30/'V06 Motor'!C136,'V06 Curva'!$A$5:$A$34-1)),0)),0)</f>
        <v>0.0</v>
      </c>
      <c r="H136" s="2">
        <f>IF('V06 Motor'!A136&lt;='V06 Motor'!C136,SUM(MAX(0,MIN('V06 Motor'!A136*30/'V06 Motor'!C136,1)-MAX(('V06 Motor'!A136-1)*30/'V06 Motor'!C136,0))*'V06 Curva'!$B$5,MAX(0,MIN('V06 Motor'!A136*30/'V06 Motor'!C136,2)-MAX(('V06 Motor'!A136-1)*30/'V06 Motor'!C136,1))*'V06 Curva'!$B$6,MAX(0,MIN('V06 Motor'!A136*30/'V06 Motor'!C136,3)-MAX(('V06 Motor'!A136-1)*30/'V06 Motor'!C136,2))*'V06 Curva'!$B$7,MAX(0,MIN('V06 Motor'!A136*30/'V06 Motor'!C136,4)-MAX(('V06 Motor'!A136-1)*30/'V06 Motor'!C136,3))*'V06 Curva'!$B$8,MAX(0,MIN('V06 Motor'!A136*30/'V06 Motor'!C136,5)-MAX(('V06 Motor'!A136-1)*30/'V06 Motor'!C136,4))*'V06 Curva'!$B$9,MAX(0,MIN('V06 Motor'!A136*30/'V06 Motor'!C136,6)-MAX(('V06 Motor'!A136-1)*30/'V06 Motor'!C136,5))*'V06 Curva'!$B$10,MAX(0,MIN('V06 Motor'!A136*30/'V06 Motor'!C136,7)-MAX(('V06 Motor'!A136-1)*30/'V06 Motor'!C136,6))*'V06 Curva'!$B$11,MAX(0,MIN('V06 Motor'!A136*30/'V06 Motor'!C136,8)-MAX(('V06 Motor'!A136-1)*30/'V06 Motor'!C136,7))*'V06 Curva'!$B$12,MAX(0,MIN('V06 Motor'!A136*30/'V06 Motor'!C136,9)-MAX(('V06 Motor'!A136-1)*30/'V06 Motor'!C136,8))*'V06 Curva'!$B$13,MAX(0,MIN('V06 Motor'!A136*30/'V06 Motor'!C136,10)-MAX(('V06 Motor'!A136-1)*30/'V06 Motor'!C136,9))*'V06 Curva'!$B$14,MAX(0,MIN('V06 Motor'!A136*30/'V06 Motor'!C136,11)-MAX(('V06 Motor'!A136-1)*30/'V06 Motor'!C136,10))*'V06 Curva'!$B$15,MAX(0,MIN('V06 Motor'!A136*30/'V06 Motor'!C136,12)-MAX(('V06 Motor'!A136-1)*30/'V06 Motor'!C136,11))*'V06 Curva'!$B$16,MAX(0,MIN('V06 Motor'!A136*30/'V06 Motor'!C136,13)-MAX(('V06 Motor'!A136-1)*30/'V06 Motor'!C136,12))*'V06 Curva'!$B$17,MAX(0,MIN('V06 Motor'!A136*30/'V06 Motor'!C136,14)-MAX(('V06 Motor'!A136-1)*30/'V06 Motor'!C136,13))*'V06 Curva'!$B$18,MAX(0,MIN('V06 Motor'!A136*30/'V06 Motor'!C136,15)-MAX(('V06 Motor'!A136-1)*30/'V06 Motor'!C136,14))*'V06 Curva'!$B$19,MAX(0,MIN('V06 Motor'!A136*30/'V06 Motor'!C136,16)-MAX(('V06 Motor'!A136-1)*30/'V06 Motor'!C136,15))*'V06 Curva'!$B$20,MAX(0,MIN('V06 Motor'!A136*30/'V06 Motor'!C136,17)-MAX(('V06 Motor'!A136-1)*30/'V06 Motor'!C136,16))*'V06 Curva'!$B$21,MAX(0,MIN('V06 Motor'!A136*30/'V06 Motor'!C136,18)-MAX(('V06 Motor'!A136-1)*30/'V06 Motor'!C136,17))*'V06 Curva'!$B$22,MAX(0,MIN('V06 Motor'!A136*30/'V06 Motor'!C136,19)-MAX(('V06 Motor'!A136-1)*30/'V06 Motor'!C136,18))*'V06 Curva'!$B$23,MAX(0,MIN('V06 Motor'!A136*30/'V06 Motor'!C136,20)-MAX(('V06 Motor'!A136-1)*30/'V06 Motor'!C136,19))*'V06 Curva'!$B$24,MAX(0,MIN('V06 Motor'!A136*30/'V06 Motor'!C136,21)-MAX(('V06 Motor'!A136-1)*30/'V06 Motor'!C136,20))*'V06 Curva'!$B$25,MAX(0,MIN('V06 Motor'!A136*30/'V06 Motor'!C136,22)-MAX(('V06 Motor'!A136-1)*30/'V06 Motor'!C136,21))*'V06 Curva'!$B$26,MAX(0,MIN('V06 Motor'!A136*30/'V06 Motor'!C136,23)-MAX(('V06 Motor'!A136-1)*30/'V06 Motor'!C136,22))*'V06 Curva'!$B$27,MAX(0,MIN('V06 Motor'!A136*30/'V06 Motor'!C136,24)-MAX(('V06 Motor'!A136-1)*30/'V06 Motor'!C136,23))*'V06 Curva'!$B$28,MAX(0,MIN('V06 Motor'!A136*30/'V06 Motor'!C136,25)-MAX(('V06 Motor'!A136-1)*30/'V06 Motor'!C136,24))*'V06 Curva'!$B$29,MAX(0,MIN('V06 Motor'!A136*30/'V06 Motor'!C136,26)-MAX(('V06 Motor'!A136-1)*30/'V06 Motor'!C136,25))*'V06 Curva'!$B$30,MAX(0,MIN('V06 Motor'!A136*30/'V06 Motor'!C136,27)-MAX(('V06 Motor'!A136-1)*30/'V06 Motor'!C136,26))*'V06 Curva'!$B$31,MAX(0,MIN('V06 Motor'!A136*30/'V06 Motor'!C136,28)-MAX(('V06 Motor'!A136-1)*30/'V06 Motor'!C136,27))*'V06 Curva'!$B$32,MAX(0,MIN('V06 Motor'!A136*30/'V06 Motor'!C136,29)-MAX(('V06 Motor'!A136-1)*30/'V06 Motor'!C136,28))*'V06 Curva'!$B$33,MAX(0,MIN('V06 Motor'!A136*30/'V06 Motor'!C136,30)-MAX(('V06 Motor'!A136-1)*30/'V06 Motor'!C136,29))*'V06 Curva'!$B$34),0)</f>
        <v>0.0</v>
      </c>
      <c r="O136" s="2">
        <f>SUMPRODUCT(--(('V06 Unidades'!$I$5:$I$98+'V06 Controlos'!$B$37)='V06 Motor'!A136),ROUND('V06 Unidades'!$H$5:$H$98*0.05,2)+ROUND('V06 Unidades'!$H$5:$H$98*0.2,2))+SUMPRODUCT(--(IF('V06 Controlos'!$B$38&gt;0,IF(('V06 Unidades'!$L$5:$L$98+'V06 Controlos'!$B$37)&lt;'V06 Motor'!C136,'V06 Motor'!C136,('V06 Unidades'!$L$5:$L$98+'V06 Controlos'!$B$37)),('V06 Unidades'!$L$5:$L$98+'V06 Controlos'!$B$37))='V06 Motor'!A136),'V06 Unidades'!$H$5:$H$98-ROUND('V06 Unidades'!$H$5:$H$98*0.05,2)-ROUND('V06 Unidades'!$H$5:$H$98*0.2,2)-ROUND('V06 Unidades'!$H$5:$H$98*0.55,2))+SUMPRODUCT(--(IF(INT((IF('V06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Controlos'!$B$37)-1)/6),0)&gt;0),--('V06 Motor'!A136&gt;('V06 Unidades'!$I$5:$I$98+'V06 Controlos'!$B$37)),--('V06 Motor'!A136&lt;IF('V06 Controlos'!$B$38&gt;0,IF(('V06 Unidades'!$L$5:$L$98+'V06 Controlos'!$B$37)&lt;'V06 Motor'!C136,'V06 Motor'!C136,('V06 Unidades'!$L$5:$L$98+'V06 Controlos'!$B$37)),('V06 Unidades'!$L$5:$L$98+'V06 Controlos'!$B$37))),--(MOD('V06 Motor'!A136-('V06 Unidades'!$I$5:$I$98+'V06 Controlos'!$B$37),6)=0),--(('V06 Motor'!A136-('V06 Unidades'!$I$5:$I$98+'V06 Controlos'!$B$37))/6&lt;=IF(INT((IF('V06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Controlos'!$B$37)-1)/6),0)),IF('V06 Motor'!A136=('V06 Unidades'!$I$5:$I$98+'V06 Controlos'!$B$37)+6*IF(INT((IF('V06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Controlos'!$B$37)-1)/6),0)&gt;0,IF(INT((IF('V06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Controlos'!$B$37)-1)/6),0),1),2)*(IF(INT((IF('V06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Controlos'!$B$37)-1)/6),0)&gt;0,IF(INT((IF('V06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Controlos'!$B$37)-1)/6)&gt;0,INT((IF('V06 Controlos'!$B$38&gt;0,IF(('V06 Unidades'!$L$5:$L$98+'V06 Controlos'!$B$37)&lt;'V06 Motor'!C136,'V06 Motor'!C136,('V06 Unidades'!$L$5:$L$98+'V06 Controlos'!$B$37)),('V06 Unidades'!$L$5:$L$98+'V06 Controlos'!$B$37))-('V06 Unidades'!$I$5:$I$98+'V06 Controlos'!$B$37)-1)/6),0),1),2)))</f>
        <v>0.0</v>
      </c>
      <c r="P136" s="2">
        <f>SUM('V06 Calend 01'!EN5:EN98)</f>
        <v>0.0</v>
      </c>
    </row>
    <row r="137" spans="1:16">
      <c r="A137">
        <v>133</v>
      </c>
      <c r="C137">
        <v>30</v>
      </c>
      <c r="G137" s="2">
        <f>IF('V06 Motor'!A137&lt;='V06 Motor'!C137,SUMPRODUCT('V06 Curva'!$B$5:$B$34,IF((IF('V06 Motor'!A137*30/'V06 Motor'!C137&lt;'V06 Curva'!$A$5:$A$34,'V06 Motor'!A137*30/'V06 Motor'!C137,'V06 Curva'!$A$5:$A$34)-IF(('V06 Motor'!A137-1)*30/'V06 Motor'!C137&gt;'V06 Curva'!$A$5:$A$34-1,('V06 Motor'!A137-1)*30/'V06 Motor'!C137,'V06 Curva'!$A$5:$A$34-1))&gt;0,(IF('V06 Motor'!A137*30/'V06 Motor'!C137&lt;'V06 Curva'!$A$5:$A$34,'V06 Motor'!A137*30/'V06 Motor'!C137,'V06 Curva'!$A$5:$A$34)-IF(('V06 Motor'!A137-1)*30/'V06 Motor'!C137&gt;'V06 Curva'!$A$5:$A$34-1,('V06 Motor'!A137-1)*30/'V06 Motor'!C137,'V06 Curva'!$A$5:$A$34-1)),0)),0)</f>
        <v>0.0</v>
      </c>
      <c r="H137" s="2">
        <f>IF('V06 Motor'!A137&lt;='V06 Motor'!C137,SUM(MAX(0,MIN('V06 Motor'!A137*30/'V06 Motor'!C137,1)-MAX(('V06 Motor'!A137-1)*30/'V06 Motor'!C137,0))*'V06 Curva'!$B$5,MAX(0,MIN('V06 Motor'!A137*30/'V06 Motor'!C137,2)-MAX(('V06 Motor'!A137-1)*30/'V06 Motor'!C137,1))*'V06 Curva'!$B$6,MAX(0,MIN('V06 Motor'!A137*30/'V06 Motor'!C137,3)-MAX(('V06 Motor'!A137-1)*30/'V06 Motor'!C137,2))*'V06 Curva'!$B$7,MAX(0,MIN('V06 Motor'!A137*30/'V06 Motor'!C137,4)-MAX(('V06 Motor'!A137-1)*30/'V06 Motor'!C137,3))*'V06 Curva'!$B$8,MAX(0,MIN('V06 Motor'!A137*30/'V06 Motor'!C137,5)-MAX(('V06 Motor'!A137-1)*30/'V06 Motor'!C137,4))*'V06 Curva'!$B$9,MAX(0,MIN('V06 Motor'!A137*30/'V06 Motor'!C137,6)-MAX(('V06 Motor'!A137-1)*30/'V06 Motor'!C137,5))*'V06 Curva'!$B$10,MAX(0,MIN('V06 Motor'!A137*30/'V06 Motor'!C137,7)-MAX(('V06 Motor'!A137-1)*30/'V06 Motor'!C137,6))*'V06 Curva'!$B$11,MAX(0,MIN('V06 Motor'!A137*30/'V06 Motor'!C137,8)-MAX(('V06 Motor'!A137-1)*30/'V06 Motor'!C137,7))*'V06 Curva'!$B$12,MAX(0,MIN('V06 Motor'!A137*30/'V06 Motor'!C137,9)-MAX(('V06 Motor'!A137-1)*30/'V06 Motor'!C137,8))*'V06 Curva'!$B$13,MAX(0,MIN('V06 Motor'!A137*30/'V06 Motor'!C137,10)-MAX(('V06 Motor'!A137-1)*30/'V06 Motor'!C137,9))*'V06 Curva'!$B$14,MAX(0,MIN('V06 Motor'!A137*30/'V06 Motor'!C137,11)-MAX(('V06 Motor'!A137-1)*30/'V06 Motor'!C137,10))*'V06 Curva'!$B$15,MAX(0,MIN('V06 Motor'!A137*30/'V06 Motor'!C137,12)-MAX(('V06 Motor'!A137-1)*30/'V06 Motor'!C137,11))*'V06 Curva'!$B$16,MAX(0,MIN('V06 Motor'!A137*30/'V06 Motor'!C137,13)-MAX(('V06 Motor'!A137-1)*30/'V06 Motor'!C137,12))*'V06 Curva'!$B$17,MAX(0,MIN('V06 Motor'!A137*30/'V06 Motor'!C137,14)-MAX(('V06 Motor'!A137-1)*30/'V06 Motor'!C137,13))*'V06 Curva'!$B$18,MAX(0,MIN('V06 Motor'!A137*30/'V06 Motor'!C137,15)-MAX(('V06 Motor'!A137-1)*30/'V06 Motor'!C137,14))*'V06 Curva'!$B$19,MAX(0,MIN('V06 Motor'!A137*30/'V06 Motor'!C137,16)-MAX(('V06 Motor'!A137-1)*30/'V06 Motor'!C137,15))*'V06 Curva'!$B$20,MAX(0,MIN('V06 Motor'!A137*30/'V06 Motor'!C137,17)-MAX(('V06 Motor'!A137-1)*30/'V06 Motor'!C137,16))*'V06 Curva'!$B$21,MAX(0,MIN('V06 Motor'!A137*30/'V06 Motor'!C137,18)-MAX(('V06 Motor'!A137-1)*30/'V06 Motor'!C137,17))*'V06 Curva'!$B$22,MAX(0,MIN('V06 Motor'!A137*30/'V06 Motor'!C137,19)-MAX(('V06 Motor'!A137-1)*30/'V06 Motor'!C137,18))*'V06 Curva'!$B$23,MAX(0,MIN('V06 Motor'!A137*30/'V06 Motor'!C137,20)-MAX(('V06 Motor'!A137-1)*30/'V06 Motor'!C137,19))*'V06 Curva'!$B$24,MAX(0,MIN('V06 Motor'!A137*30/'V06 Motor'!C137,21)-MAX(('V06 Motor'!A137-1)*30/'V06 Motor'!C137,20))*'V06 Curva'!$B$25,MAX(0,MIN('V06 Motor'!A137*30/'V06 Motor'!C137,22)-MAX(('V06 Motor'!A137-1)*30/'V06 Motor'!C137,21))*'V06 Curva'!$B$26,MAX(0,MIN('V06 Motor'!A137*30/'V06 Motor'!C137,23)-MAX(('V06 Motor'!A137-1)*30/'V06 Motor'!C137,22))*'V06 Curva'!$B$27,MAX(0,MIN('V06 Motor'!A137*30/'V06 Motor'!C137,24)-MAX(('V06 Motor'!A137-1)*30/'V06 Motor'!C137,23))*'V06 Curva'!$B$28,MAX(0,MIN('V06 Motor'!A137*30/'V06 Motor'!C137,25)-MAX(('V06 Motor'!A137-1)*30/'V06 Motor'!C137,24))*'V06 Curva'!$B$29,MAX(0,MIN('V06 Motor'!A137*30/'V06 Motor'!C137,26)-MAX(('V06 Motor'!A137-1)*30/'V06 Motor'!C137,25))*'V06 Curva'!$B$30,MAX(0,MIN('V06 Motor'!A137*30/'V06 Motor'!C137,27)-MAX(('V06 Motor'!A137-1)*30/'V06 Motor'!C137,26))*'V06 Curva'!$B$31,MAX(0,MIN('V06 Motor'!A137*30/'V06 Motor'!C137,28)-MAX(('V06 Motor'!A137-1)*30/'V06 Motor'!C137,27))*'V06 Curva'!$B$32,MAX(0,MIN('V06 Motor'!A137*30/'V06 Motor'!C137,29)-MAX(('V06 Motor'!A137-1)*30/'V06 Motor'!C137,28))*'V06 Curva'!$B$33,MAX(0,MIN('V06 Motor'!A137*30/'V06 Motor'!C137,30)-MAX(('V06 Motor'!A137-1)*30/'V06 Motor'!C137,29))*'V06 Curva'!$B$34),0)</f>
        <v>0.0</v>
      </c>
      <c r="O137" s="2">
        <f>SUMPRODUCT(--(('V06 Unidades'!$I$5:$I$98+'V06 Controlos'!$B$37)='V06 Motor'!A137),ROUND('V06 Unidades'!$H$5:$H$98*0.05,2)+ROUND('V06 Unidades'!$H$5:$H$98*0.2,2))+SUMPRODUCT(--(IF('V06 Controlos'!$B$38&gt;0,IF(('V06 Unidades'!$L$5:$L$98+'V06 Controlos'!$B$37)&lt;'V06 Motor'!C137,'V06 Motor'!C137,('V06 Unidades'!$L$5:$L$98+'V06 Controlos'!$B$37)),('V06 Unidades'!$L$5:$L$98+'V06 Controlos'!$B$37))='V06 Motor'!A137),'V06 Unidades'!$H$5:$H$98-ROUND('V06 Unidades'!$H$5:$H$98*0.05,2)-ROUND('V06 Unidades'!$H$5:$H$98*0.2,2)-ROUND('V06 Unidades'!$H$5:$H$98*0.55,2))+SUMPRODUCT(--(IF(INT((IF('V06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Controlos'!$B$37)-1)/6),0)&gt;0),--('V06 Motor'!A137&gt;('V06 Unidades'!$I$5:$I$98+'V06 Controlos'!$B$37)),--('V06 Motor'!A137&lt;IF('V06 Controlos'!$B$38&gt;0,IF(('V06 Unidades'!$L$5:$L$98+'V06 Controlos'!$B$37)&lt;'V06 Motor'!C137,'V06 Motor'!C137,('V06 Unidades'!$L$5:$L$98+'V06 Controlos'!$B$37)),('V06 Unidades'!$L$5:$L$98+'V06 Controlos'!$B$37))),--(MOD('V06 Motor'!A137-('V06 Unidades'!$I$5:$I$98+'V06 Controlos'!$B$37),6)=0),--(('V06 Motor'!A137-('V06 Unidades'!$I$5:$I$98+'V06 Controlos'!$B$37))/6&lt;=IF(INT((IF('V06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Controlos'!$B$37)-1)/6),0)),IF('V06 Motor'!A137=('V06 Unidades'!$I$5:$I$98+'V06 Controlos'!$B$37)+6*IF(INT((IF('V06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Controlos'!$B$37)-1)/6),0)&gt;0,IF(INT((IF('V06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Controlos'!$B$37)-1)/6),0),1),2)*(IF(INT((IF('V06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Controlos'!$B$37)-1)/6),0)&gt;0,IF(INT((IF('V06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Controlos'!$B$37)-1)/6)&gt;0,INT((IF('V06 Controlos'!$B$38&gt;0,IF(('V06 Unidades'!$L$5:$L$98+'V06 Controlos'!$B$37)&lt;'V06 Motor'!C137,'V06 Motor'!C137,('V06 Unidades'!$L$5:$L$98+'V06 Controlos'!$B$37)),('V06 Unidades'!$L$5:$L$98+'V06 Controlos'!$B$37))-('V06 Unidades'!$I$5:$I$98+'V06 Controlos'!$B$37)-1)/6),0),1),2)))</f>
        <v>0.0</v>
      </c>
      <c r="P137" s="2">
        <f>SUM('V06 Calend 01'!EO5:EO98)</f>
        <v>0.0</v>
      </c>
    </row>
    <row r="138" spans="1:16">
      <c r="A138">
        <v>134</v>
      </c>
      <c r="C138">
        <v>30</v>
      </c>
      <c r="G138" s="2">
        <f>IF('V06 Motor'!A138&lt;='V06 Motor'!C138,SUMPRODUCT('V06 Curva'!$B$5:$B$34,IF((IF('V06 Motor'!A138*30/'V06 Motor'!C138&lt;'V06 Curva'!$A$5:$A$34,'V06 Motor'!A138*30/'V06 Motor'!C138,'V06 Curva'!$A$5:$A$34)-IF(('V06 Motor'!A138-1)*30/'V06 Motor'!C138&gt;'V06 Curva'!$A$5:$A$34-1,('V06 Motor'!A138-1)*30/'V06 Motor'!C138,'V06 Curva'!$A$5:$A$34-1))&gt;0,(IF('V06 Motor'!A138*30/'V06 Motor'!C138&lt;'V06 Curva'!$A$5:$A$34,'V06 Motor'!A138*30/'V06 Motor'!C138,'V06 Curva'!$A$5:$A$34)-IF(('V06 Motor'!A138-1)*30/'V06 Motor'!C138&gt;'V06 Curva'!$A$5:$A$34-1,('V06 Motor'!A138-1)*30/'V06 Motor'!C138,'V06 Curva'!$A$5:$A$34-1)),0)),0)</f>
        <v>0.0</v>
      </c>
      <c r="H138" s="2">
        <f>IF('V06 Motor'!A138&lt;='V06 Motor'!C138,SUM(MAX(0,MIN('V06 Motor'!A138*30/'V06 Motor'!C138,1)-MAX(('V06 Motor'!A138-1)*30/'V06 Motor'!C138,0))*'V06 Curva'!$B$5,MAX(0,MIN('V06 Motor'!A138*30/'V06 Motor'!C138,2)-MAX(('V06 Motor'!A138-1)*30/'V06 Motor'!C138,1))*'V06 Curva'!$B$6,MAX(0,MIN('V06 Motor'!A138*30/'V06 Motor'!C138,3)-MAX(('V06 Motor'!A138-1)*30/'V06 Motor'!C138,2))*'V06 Curva'!$B$7,MAX(0,MIN('V06 Motor'!A138*30/'V06 Motor'!C138,4)-MAX(('V06 Motor'!A138-1)*30/'V06 Motor'!C138,3))*'V06 Curva'!$B$8,MAX(0,MIN('V06 Motor'!A138*30/'V06 Motor'!C138,5)-MAX(('V06 Motor'!A138-1)*30/'V06 Motor'!C138,4))*'V06 Curva'!$B$9,MAX(0,MIN('V06 Motor'!A138*30/'V06 Motor'!C138,6)-MAX(('V06 Motor'!A138-1)*30/'V06 Motor'!C138,5))*'V06 Curva'!$B$10,MAX(0,MIN('V06 Motor'!A138*30/'V06 Motor'!C138,7)-MAX(('V06 Motor'!A138-1)*30/'V06 Motor'!C138,6))*'V06 Curva'!$B$11,MAX(0,MIN('V06 Motor'!A138*30/'V06 Motor'!C138,8)-MAX(('V06 Motor'!A138-1)*30/'V06 Motor'!C138,7))*'V06 Curva'!$B$12,MAX(0,MIN('V06 Motor'!A138*30/'V06 Motor'!C138,9)-MAX(('V06 Motor'!A138-1)*30/'V06 Motor'!C138,8))*'V06 Curva'!$B$13,MAX(0,MIN('V06 Motor'!A138*30/'V06 Motor'!C138,10)-MAX(('V06 Motor'!A138-1)*30/'V06 Motor'!C138,9))*'V06 Curva'!$B$14,MAX(0,MIN('V06 Motor'!A138*30/'V06 Motor'!C138,11)-MAX(('V06 Motor'!A138-1)*30/'V06 Motor'!C138,10))*'V06 Curva'!$B$15,MAX(0,MIN('V06 Motor'!A138*30/'V06 Motor'!C138,12)-MAX(('V06 Motor'!A138-1)*30/'V06 Motor'!C138,11))*'V06 Curva'!$B$16,MAX(0,MIN('V06 Motor'!A138*30/'V06 Motor'!C138,13)-MAX(('V06 Motor'!A138-1)*30/'V06 Motor'!C138,12))*'V06 Curva'!$B$17,MAX(0,MIN('V06 Motor'!A138*30/'V06 Motor'!C138,14)-MAX(('V06 Motor'!A138-1)*30/'V06 Motor'!C138,13))*'V06 Curva'!$B$18,MAX(0,MIN('V06 Motor'!A138*30/'V06 Motor'!C138,15)-MAX(('V06 Motor'!A138-1)*30/'V06 Motor'!C138,14))*'V06 Curva'!$B$19,MAX(0,MIN('V06 Motor'!A138*30/'V06 Motor'!C138,16)-MAX(('V06 Motor'!A138-1)*30/'V06 Motor'!C138,15))*'V06 Curva'!$B$20,MAX(0,MIN('V06 Motor'!A138*30/'V06 Motor'!C138,17)-MAX(('V06 Motor'!A138-1)*30/'V06 Motor'!C138,16))*'V06 Curva'!$B$21,MAX(0,MIN('V06 Motor'!A138*30/'V06 Motor'!C138,18)-MAX(('V06 Motor'!A138-1)*30/'V06 Motor'!C138,17))*'V06 Curva'!$B$22,MAX(0,MIN('V06 Motor'!A138*30/'V06 Motor'!C138,19)-MAX(('V06 Motor'!A138-1)*30/'V06 Motor'!C138,18))*'V06 Curva'!$B$23,MAX(0,MIN('V06 Motor'!A138*30/'V06 Motor'!C138,20)-MAX(('V06 Motor'!A138-1)*30/'V06 Motor'!C138,19))*'V06 Curva'!$B$24,MAX(0,MIN('V06 Motor'!A138*30/'V06 Motor'!C138,21)-MAX(('V06 Motor'!A138-1)*30/'V06 Motor'!C138,20))*'V06 Curva'!$B$25,MAX(0,MIN('V06 Motor'!A138*30/'V06 Motor'!C138,22)-MAX(('V06 Motor'!A138-1)*30/'V06 Motor'!C138,21))*'V06 Curva'!$B$26,MAX(0,MIN('V06 Motor'!A138*30/'V06 Motor'!C138,23)-MAX(('V06 Motor'!A138-1)*30/'V06 Motor'!C138,22))*'V06 Curva'!$B$27,MAX(0,MIN('V06 Motor'!A138*30/'V06 Motor'!C138,24)-MAX(('V06 Motor'!A138-1)*30/'V06 Motor'!C138,23))*'V06 Curva'!$B$28,MAX(0,MIN('V06 Motor'!A138*30/'V06 Motor'!C138,25)-MAX(('V06 Motor'!A138-1)*30/'V06 Motor'!C138,24))*'V06 Curva'!$B$29,MAX(0,MIN('V06 Motor'!A138*30/'V06 Motor'!C138,26)-MAX(('V06 Motor'!A138-1)*30/'V06 Motor'!C138,25))*'V06 Curva'!$B$30,MAX(0,MIN('V06 Motor'!A138*30/'V06 Motor'!C138,27)-MAX(('V06 Motor'!A138-1)*30/'V06 Motor'!C138,26))*'V06 Curva'!$B$31,MAX(0,MIN('V06 Motor'!A138*30/'V06 Motor'!C138,28)-MAX(('V06 Motor'!A138-1)*30/'V06 Motor'!C138,27))*'V06 Curva'!$B$32,MAX(0,MIN('V06 Motor'!A138*30/'V06 Motor'!C138,29)-MAX(('V06 Motor'!A138-1)*30/'V06 Motor'!C138,28))*'V06 Curva'!$B$33,MAX(0,MIN('V06 Motor'!A138*30/'V06 Motor'!C138,30)-MAX(('V06 Motor'!A138-1)*30/'V06 Motor'!C138,29))*'V06 Curva'!$B$34),0)</f>
        <v>0.0</v>
      </c>
      <c r="O138" s="2">
        <f>SUMPRODUCT(--(('V06 Unidades'!$I$5:$I$98+'V06 Controlos'!$B$37)='V06 Motor'!A138),ROUND('V06 Unidades'!$H$5:$H$98*0.05,2)+ROUND('V06 Unidades'!$H$5:$H$98*0.2,2))+SUMPRODUCT(--(IF('V06 Controlos'!$B$38&gt;0,IF(('V06 Unidades'!$L$5:$L$98+'V06 Controlos'!$B$37)&lt;'V06 Motor'!C138,'V06 Motor'!C138,('V06 Unidades'!$L$5:$L$98+'V06 Controlos'!$B$37)),('V06 Unidades'!$L$5:$L$98+'V06 Controlos'!$B$37))='V06 Motor'!A138),'V06 Unidades'!$H$5:$H$98-ROUND('V06 Unidades'!$H$5:$H$98*0.05,2)-ROUND('V06 Unidades'!$H$5:$H$98*0.2,2)-ROUND('V06 Unidades'!$H$5:$H$98*0.55,2))+SUMPRODUCT(--(IF(INT((IF('V06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Controlos'!$B$37)-1)/6),0)&gt;0),--('V06 Motor'!A138&gt;('V06 Unidades'!$I$5:$I$98+'V06 Controlos'!$B$37)),--('V06 Motor'!A138&lt;IF('V06 Controlos'!$B$38&gt;0,IF(('V06 Unidades'!$L$5:$L$98+'V06 Controlos'!$B$37)&lt;'V06 Motor'!C138,'V06 Motor'!C138,('V06 Unidades'!$L$5:$L$98+'V06 Controlos'!$B$37)),('V06 Unidades'!$L$5:$L$98+'V06 Controlos'!$B$37))),--(MOD('V06 Motor'!A138-('V06 Unidades'!$I$5:$I$98+'V06 Controlos'!$B$37),6)=0),--(('V06 Motor'!A138-('V06 Unidades'!$I$5:$I$98+'V06 Controlos'!$B$37))/6&lt;=IF(INT((IF('V06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Controlos'!$B$37)-1)/6),0)),IF('V06 Motor'!A138=('V06 Unidades'!$I$5:$I$98+'V06 Controlos'!$B$37)+6*IF(INT((IF('V06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Controlos'!$B$37)-1)/6),0)&gt;0,IF(INT((IF('V06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Controlos'!$B$37)-1)/6),0),1),2)*(IF(INT((IF('V06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Controlos'!$B$37)-1)/6),0)&gt;0,IF(INT((IF('V06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Controlos'!$B$37)-1)/6)&gt;0,INT((IF('V06 Controlos'!$B$38&gt;0,IF(('V06 Unidades'!$L$5:$L$98+'V06 Controlos'!$B$37)&lt;'V06 Motor'!C138,'V06 Motor'!C138,('V06 Unidades'!$L$5:$L$98+'V06 Controlos'!$B$37)),('V06 Unidades'!$L$5:$L$98+'V06 Controlos'!$B$37))-('V06 Unidades'!$I$5:$I$98+'V06 Controlos'!$B$37)-1)/6),0),1),2)))</f>
        <v>0.0</v>
      </c>
      <c r="P138" s="2">
        <f>SUM('V06 Calend 01'!EP5:EP98)</f>
        <v>0.0</v>
      </c>
    </row>
    <row r="139" spans="1:16">
      <c r="A139">
        <v>135</v>
      </c>
      <c r="C139">
        <v>30</v>
      </c>
      <c r="G139" s="2">
        <f>IF('V06 Motor'!A139&lt;='V06 Motor'!C139,SUMPRODUCT('V06 Curva'!$B$5:$B$34,IF((IF('V06 Motor'!A139*30/'V06 Motor'!C139&lt;'V06 Curva'!$A$5:$A$34,'V06 Motor'!A139*30/'V06 Motor'!C139,'V06 Curva'!$A$5:$A$34)-IF(('V06 Motor'!A139-1)*30/'V06 Motor'!C139&gt;'V06 Curva'!$A$5:$A$34-1,('V06 Motor'!A139-1)*30/'V06 Motor'!C139,'V06 Curva'!$A$5:$A$34-1))&gt;0,(IF('V06 Motor'!A139*30/'V06 Motor'!C139&lt;'V06 Curva'!$A$5:$A$34,'V06 Motor'!A139*30/'V06 Motor'!C139,'V06 Curva'!$A$5:$A$34)-IF(('V06 Motor'!A139-1)*30/'V06 Motor'!C139&gt;'V06 Curva'!$A$5:$A$34-1,('V06 Motor'!A139-1)*30/'V06 Motor'!C139,'V06 Curva'!$A$5:$A$34-1)),0)),0)</f>
        <v>0.0</v>
      </c>
      <c r="H139" s="2">
        <f>IF('V06 Motor'!A139&lt;='V06 Motor'!C139,SUM(MAX(0,MIN('V06 Motor'!A139*30/'V06 Motor'!C139,1)-MAX(('V06 Motor'!A139-1)*30/'V06 Motor'!C139,0))*'V06 Curva'!$B$5,MAX(0,MIN('V06 Motor'!A139*30/'V06 Motor'!C139,2)-MAX(('V06 Motor'!A139-1)*30/'V06 Motor'!C139,1))*'V06 Curva'!$B$6,MAX(0,MIN('V06 Motor'!A139*30/'V06 Motor'!C139,3)-MAX(('V06 Motor'!A139-1)*30/'V06 Motor'!C139,2))*'V06 Curva'!$B$7,MAX(0,MIN('V06 Motor'!A139*30/'V06 Motor'!C139,4)-MAX(('V06 Motor'!A139-1)*30/'V06 Motor'!C139,3))*'V06 Curva'!$B$8,MAX(0,MIN('V06 Motor'!A139*30/'V06 Motor'!C139,5)-MAX(('V06 Motor'!A139-1)*30/'V06 Motor'!C139,4))*'V06 Curva'!$B$9,MAX(0,MIN('V06 Motor'!A139*30/'V06 Motor'!C139,6)-MAX(('V06 Motor'!A139-1)*30/'V06 Motor'!C139,5))*'V06 Curva'!$B$10,MAX(0,MIN('V06 Motor'!A139*30/'V06 Motor'!C139,7)-MAX(('V06 Motor'!A139-1)*30/'V06 Motor'!C139,6))*'V06 Curva'!$B$11,MAX(0,MIN('V06 Motor'!A139*30/'V06 Motor'!C139,8)-MAX(('V06 Motor'!A139-1)*30/'V06 Motor'!C139,7))*'V06 Curva'!$B$12,MAX(0,MIN('V06 Motor'!A139*30/'V06 Motor'!C139,9)-MAX(('V06 Motor'!A139-1)*30/'V06 Motor'!C139,8))*'V06 Curva'!$B$13,MAX(0,MIN('V06 Motor'!A139*30/'V06 Motor'!C139,10)-MAX(('V06 Motor'!A139-1)*30/'V06 Motor'!C139,9))*'V06 Curva'!$B$14,MAX(0,MIN('V06 Motor'!A139*30/'V06 Motor'!C139,11)-MAX(('V06 Motor'!A139-1)*30/'V06 Motor'!C139,10))*'V06 Curva'!$B$15,MAX(0,MIN('V06 Motor'!A139*30/'V06 Motor'!C139,12)-MAX(('V06 Motor'!A139-1)*30/'V06 Motor'!C139,11))*'V06 Curva'!$B$16,MAX(0,MIN('V06 Motor'!A139*30/'V06 Motor'!C139,13)-MAX(('V06 Motor'!A139-1)*30/'V06 Motor'!C139,12))*'V06 Curva'!$B$17,MAX(0,MIN('V06 Motor'!A139*30/'V06 Motor'!C139,14)-MAX(('V06 Motor'!A139-1)*30/'V06 Motor'!C139,13))*'V06 Curva'!$B$18,MAX(0,MIN('V06 Motor'!A139*30/'V06 Motor'!C139,15)-MAX(('V06 Motor'!A139-1)*30/'V06 Motor'!C139,14))*'V06 Curva'!$B$19,MAX(0,MIN('V06 Motor'!A139*30/'V06 Motor'!C139,16)-MAX(('V06 Motor'!A139-1)*30/'V06 Motor'!C139,15))*'V06 Curva'!$B$20,MAX(0,MIN('V06 Motor'!A139*30/'V06 Motor'!C139,17)-MAX(('V06 Motor'!A139-1)*30/'V06 Motor'!C139,16))*'V06 Curva'!$B$21,MAX(0,MIN('V06 Motor'!A139*30/'V06 Motor'!C139,18)-MAX(('V06 Motor'!A139-1)*30/'V06 Motor'!C139,17))*'V06 Curva'!$B$22,MAX(0,MIN('V06 Motor'!A139*30/'V06 Motor'!C139,19)-MAX(('V06 Motor'!A139-1)*30/'V06 Motor'!C139,18))*'V06 Curva'!$B$23,MAX(0,MIN('V06 Motor'!A139*30/'V06 Motor'!C139,20)-MAX(('V06 Motor'!A139-1)*30/'V06 Motor'!C139,19))*'V06 Curva'!$B$24,MAX(0,MIN('V06 Motor'!A139*30/'V06 Motor'!C139,21)-MAX(('V06 Motor'!A139-1)*30/'V06 Motor'!C139,20))*'V06 Curva'!$B$25,MAX(0,MIN('V06 Motor'!A139*30/'V06 Motor'!C139,22)-MAX(('V06 Motor'!A139-1)*30/'V06 Motor'!C139,21))*'V06 Curva'!$B$26,MAX(0,MIN('V06 Motor'!A139*30/'V06 Motor'!C139,23)-MAX(('V06 Motor'!A139-1)*30/'V06 Motor'!C139,22))*'V06 Curva'!$B$27,MAX(0,MIN('V06 Motor'!A139*30/'V06 Motor'!C139,24)-MAX(('V06 Motor'!A139-1)*30/'V06 Motor'!C139,23))*'V06 Curva'!$B$28,MAX(0,MIN('V06 Motor'!A139*30/'V06 Motor'!C139,25)-MAX(('V06 Motor'!A139-1)*30/'V06 Motor'!C139,24))*'V06 Curva'!$B$29,MAX(0,MIN('V06 Motor'!A139*30/'V06 Motor'!C139,26)-MAX(('V06 Motor'!A139-1)*30/'V06 Motor'!C139,25))*'V06 Curva'!$B$30,MAX(0,MIN('V06 Motor'!A139*30/'V06 Motor'!C139,27)-MAX(('V06 Motor'!A139-1)*30/'V06 Motor'!C139,26))*'V06 Curva'!$B$31,MAX(0,MIN('V06 Motor'!A139*30/'V06 Motor'!C139,28)-MAX(('V06 Motor'!A139-1)*30/'V06 Motor'!C139,27))*'V06 Curva'!$B$32,MAX(0,MIN('V06 Motor'!A139*30/'V06 Motor'!C139,29)-MAX(('V06 Motor'!A139-1)*30/'V06 Motor'!C139,28))*'V06 Curva'!$B$33,MAX(0,MIN('V06 Motor'!A139*30/'V06 Motor'!C139,30)-MAX(('V06 Motor'!A139-1)*30/'V06 Motor'!C139,29))*'V06 Curva'!$B$34),0)</f>
        <v>0.0</v>
      </c>
      <c r="O139" s="2">
        <f>SUMPRODUCT(--(('V06 Unidades'!$I$5:$I$98+'V06 Controlos'!$B$37)='V06 Motor'!A139),ROUND('V06 Unidades'!$H$5:$H$98*0.05,2)+ROUND('V06 Unidades'!$H$5:$H$98*0.2,2))+SUMPRODUCT(--(IF('V06 Controlos'!$B$38&gt;0,IF(('V06 Unidades'!$L$5:$L$98+'V06 Controlos'!$B$37)&lt;'V06 Motor'!C139,'V06 Motor'!C139,('V06 Unidades'!$L$5:$L$98+'V06 Controlos'!$B$37)),('V06 Unidades'!$L$5:$L$98+'V06 Controlos'!$B$37))='V06 Motor'!A139),'V06 Unidades'!$H$5:$H$98-ROUND('V06 Unidades'!$H$5:$H$98*0.05,2)-ROUND('V06 Unidades'!$H$5:$H$98*0.2,2)-ROUND('V06 Unidades'!$H$5:$H$98*0.55,2))+SUMPRODUCT(--(IF(INT((IF('V06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Controlos'!$B$37)-1)/6),0)&gt;0),--('V06 Motor'!A139&gt;('V06 Unidades'!$I$5:$I$98+'V06 Controlos'!$B$37)),--('V06 Motor'!A139&lt;IF('V06 Controlos'!$B$38&gt;0,IF(('V06 Unidades'!$L$5:$L$98+'V06 Controlos'!$B$37)&lt;'V06 Motor'!C139,'V06 Motor'!C139,('V06 Unidades'!$L$5:$L$98+'V06 Controlos'!$B$37)),('V06 Unidades'!$L$5:$L$98+'V06 Controlos'!$B$37))),--(MOD('V06 Motor'!A139-('V06 Unidades'!$I$5:$I$98+'V06 Controlos'!$B$37),6)=0),--(('V06 Motor'!A139-('V06 Unidades'!$I$5:$I$98+'V06 Controlos'!$B$37))/6&lt;=IF(INT((IF('V06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Controlos'!$B$37)-1)/6),0)),IF('V06 Motor'!A139=('V06 Unidades'!$I$5:$I$98+'V06 Controlos'!$B$37)+6*IF(INT((IF('V06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Controlos'!$B$37)-1)/6),0)&gt;0,IF(INT((IF('V06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Controlos'!$B$37)-1)/6),0),1),2)*(IF(INT((IF('V06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Controlos'!$B$37)-1)/6),0)&gt;0,IF(INT((IF('V06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Controlos'!$B$37)-1)/6)&gt;0,INT((IF('V06 Controlos'!$B$38&gt;0,IF(('V06 Unidades'!$L$5:$L$98+'V06 Controlos'!$B$37)&lt;'V06 Motor'!C139,'V06 Motor'!C139,('V06 Unidades'!$L$5:$L$98+'V06 Controlos'!$B$37)),('V06 Unidades'!$L$5:$L$98+'V06 Controlos'!$B$37))-('V06 Unidades'!$I$5:$I$98+'V06 Controlos'!$B$37)-1)/6),0),1),2)))</f>
        <v>0.0</v>
      </c>
      <c r="P139" s="2">
        <f>SUM('V06 Calend 01'!EQ5:EQ98)</f>
        <v>0.0</v>
      </c>
    </row>
    <row r="140" spans="1:16">
      <c r="A140">
        <v>136</v>
      </c>
      <c r="C140">
        <v>30</v>
      </c>
      <c r="G140" s="2">
        <f>IF('V06 Motor'!A140&lt;='V06 Motor'!C140,SUMPRODUCT('V06 Curva'!$B$5:$B$34,IF((IF('V06 Motor'!A140*30/'V06 Motor'!C140&lt;'V06 Curva'!$A$5:$A$34,'V06 Motor'!A140*30/'V06 Motor'!C140,'V06 Curva'!$A$5:$A$34)-IF(('V06 Motor'!A140-1)*30/'V06 Motor'!C140&gt;'V06 Curva'!$A$5:$A$34-1,('V06 Motor'!A140-1)*30/'V06 Motor'!C140,'V06 Curva'!$A$5:$A$34-1))&gt;0,(IF('V06 Motor'!A140*30/'V06 Motor'!C140&lt;'V06 Curva'!$A$5:$A$34,'V06 Motor'!A140*30/'V06 Motor'!C140,'V06 Curva'!$A$5:$A$34)-IF(('V06 Motor'!A140-1)*30/'V06 Motor'!C140&gt;'V06 Curva'!$A$5:$A$34-1,('V06 Motor'!A140-1)*30/'V06 Motor'!C140,'V06 Curva'!$A$5:$A$34-1)),0)),0)</f>
        <v>0.0</v>
      </c>
      <c r="H140" s="2">
        <f>IF('V06 Motor'!A140&lt;='V06 Motor'!C140,SUM(MAX(0,MIN('V06 Motor'!A140*30/'V06 Motor'!C140,1)-MAX(('V06 Motor'!A140-1)*30/'V06 Motor'!C140,0))*'V06 Curva'!$B$5,MAX(0,MIN('V06 Motor'!A140*30/'V06 Motor'!C140,2)-MAX(('V06 Motor'!A140-1)*30/'V06 Motor'!C140,1))*'V06 Curva'!$B$6,MAX(0,MIN('V06 Motor'!A140*30/'V06 Motor'!C140,3)-MAX(('V06 Motor'!A140-1)*30/'V06 Motor'!C140,2))*'V06 Curva'!$B$7,MAX(0,MIN('V06 Motor'!A140*30/'V06 Motor'!C140,4)-MAX(('V06 Motor'!A140-1)*30/'V06 Motor'!C140,3))*'V06 Curva'!$B$8,MAX(0,MIN('V06 Motor'!A140*30/'V06 Motor'!C140,5)-MAX(('V06 Motor'!A140-1)*30/'V06 Motor'!C140,4))*'V06 Curva'!$B$9,MAX(0,MIN('V06 Motor'!A140*30/'V06 Motor'!C140,6)-MAX(('V06 Motor'!A140-1)*30/'V06 Motor'!C140,5))*'V06 Curva'!$B$10,MAX(0,MIN('V06 Motor'!A140*30/'V06 Motor'!C140,7)-MAX(('V06 Motor'!A140-1)*30/'V06 Motor'!C140,6))*'V06 Curva'!$B$11,MAX(0,MIN('V06 Motor'!A140*30/'V06 Motor'!C140,8)-MAX(('V06 Motor'!A140-1)*30/'V06 Motor'!C140,7))*'V06 Curva'!$B$12,MAX(0,MIN('V06 Motor'!A140*30/'V06 Motor'!C140,9)-MAX(('V06 Motor'!A140-1)*30/'V06 Motor'!C140,8))*'V06 Curva'!$B$13,MAX(0,MIN('V06 Motor'!A140*30/'V06 Motor'!C140,10)-MAX(('V06 Motor'!A140-1)*30/'V06 Motor'!C140,9))*'V06 Curva'!$B$14,MAX(0,MIN('V06 Motor'!A140*30/'V06 Motor'!C140,11)-MAX(('V06 Motor'!A140-1)*30/'V06 Motor'!C140,10))*'V06 Curva'!$B$15,MAX(0,MIN('V06 Motor'!A140*30/'V06 Motor'!C140,12)-MAX(('V06 Motor'!A140-1)*30/'V06 Motor'!C140,11))*'V06 Curva'!$B$16,MAX(0,MIN('V06 Motor'!A140*30/'V06 Motor'!C140,13)-MAX(('V06 Motor'!A140-1)*30/'V06 Motor'!C140,12))*'V06 Curva'!$B$17,MAX(0,MIN('V06 Motor'!A140*30/'V06 Motor'!C140,14)-MAX(('V06 Motor'!A140-1)*30/'V06 Motor'!C140,13))*'V06 Curva'!$B$18,MAX(0,MIN('V06 Motor'!A140*30/'V06 Motor'!C140,15)-MAX(('V06 Motor'!A140-1)*30/'V06 Motor'!C140,14))*'V06 Curva'!$B$19,MAX(0,MIN('V06 Motor'!A140*30/'V06 Motor'!C140,16)-MAX(('V06 Motor'!A140-1)*30/'V06 Motor'!C140,15))*'V06 Curva'!$B$20,MAX(0,MIN('V06 Motor'!A140*30/'V06 Motor'!C140,17)-MAX(('V06 Motor'!A140-1)*30/'V06 Motor'!C140,16))*'V06 Curva'!$B$21,MAX(0,MIN('V06 Motor'!A140*30/'V06 Motor'!C140,18)-MAX(('V06 Motor'!A140-1)*30/'V06 Motor'!C140,17))*'V06 Curva'!$B$22,MAX(0,MIN('V06 Motor'!A140*30/'V06 Motor'!C140,19)-MAX(('V06 Motor'!A140-1)*30/'V06 Motor'!C140,18))*'V06 Curva'!$B$23,MAX(0,MIN('V06 Motor'!A140*30/'V06 Motor'!C140,20)-MAX(('V06 Motor'!A140-1)*30/'V06 Motor'!C140,19))*'V06 Curva'!$B$24,MAX(0,MIN('V06 Motor'!A140*30/'V06 Motor'!C140,21)-MAX(('V06 Motor'!A140-1)*30/'V06 Motor'!C140,20))*'V06 Curva'!$B$25,MAX(0,MIN('V06 Motor'!A140*30/'V06 Motor'!C140,22)-MAX(('V06 Motor'!A140-1)*30/'V06 Motor'!C140,21))*'V06 Curva'!$B$26,MAX(0,MIN('V06 Motor'!A140*30/'V06 Motor'!C140,23)-MAX(('V06 Motor'!A140-1)*30/'V06 Motor'!C140,22))*'V06 Curva'!$B$27,MAX(0,MIN('V06 Motor'!A140*30/'V06 Motor'!C140,24)-MAX(('V06 Motor'!A140-1)*30/'V06 Motor'!C140,23))*'V06 Curva'!$B$28,MAX(0,MIN('V06 Motor'!A140*30/'V06 Motor'!C140,25)-MAX(('V06 Motor'!A140-1)*30/'V06 Motor'!C140,24))*'V06 Curva'!$B$29,MAX(0,MIN('V06 Motor'!A140*30/'V06 Motor'!C140,26)-MAX(('V06 Motor'!A140-1)*30/'V06 Motor'!C140,25))*'V06 Curva'!$B$30,MAX(0,MIN('V06 Motor'!A140*30/'V06 Motor'!C140,27)-MAX(('V06 Motor'!A140-1)*30/'V06 Motor'!C140,26))*'V06 Curva'!$B$31,MAX(0,MIN('V06 Motor'!A140*30/'V06 Motor'!C140,28)-MAX(('V06 Motor'!A140-1)*30/'V06 Motor'!C140,27))*'V06 Curva'!$B$32,MAX(0,MIN('V06 Motor'!A140*30/'V06 Motor'!C140,29)-MAX(('V06 Motor'!A140-1)*30/'V06 Motor'!C140,28))*'V06 Curva'!$B$33,MAX(0,MIN('V06 Motor'!A140*30/'V06 Motor'!C140,30)-MAX(('V06 Motor'!A140-1)*30/'V06 Motor'!C140,29))*'V06 Curva'!$B$34),0)</f>
        <v>0.0</v>
      </c>
      <c r="O140" s="2">
        <f>SUMPRODUCT(--(('V06 Unidades'!$I$5:$I$98+'V06 Controlos'!$B$37)='V06 Motor'!A140),ROUND('V06 Unidades'!$H$5:$H$98*0.05,2)+ROUND('V06 Unidades'!$H$5:$H$98*0.2,2))+SUMPRODUCT(--(IF('V06 Controlos'!$B$38&gt;0,IF(('V06 Unidades'!$L$5:$L$98+'V06 Controlos'!$B$37)&lt;'V06 Motor'!C140,'V06 Motor'!C140,('V06 Unidades'!$L$5:$L$98+'V06 Controlos'!$B$37)),('V06 Unidades'!$L$5:$L$98+'V06 Controlos'!$B$37))='V06 Motor'!A140),'V06 Unidades'!$H$5:$H$98-ROUND('V06 Unidades'!$H$5:$H$98*0.05,2)-ROUND('V06 Unidades'!$H$5:$H$98*0.2,2)-ROUND('V06 Unidades'!$H$5:$H$98*0.55,2))+SUMPRODUCT(--(IF(INT((IF('V06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Controlos'!$B$37)-1)/6),0)&gt;0),--('V06 Motor'!A140&gt;('V06 Unidades'!$I$5:$I$98+'V06 Controlos'!$B$37)),--('V06 Motor'!A140&lt;IF('V06 Controlos'!$B$38&gt;0,IF(('V06 Unidades'!$L$5:$L$98+'V06 Controlos'!$B$37)&lt;'V06 Motor'!C140,'V06 Motor'!C140,('V06 Unidades'!$L$5:$L$98+'V06 Controlos'!$B$37)),('V06 Unidades'!$L$5:$L$98+'V06 Controlos'!$B$37))),--(MOD('V06 Motor'!A140-('V06 Unidades'!$I$5:$I$98+'V06 Controlos'!$B$37),6)=0),--(('V06 Motor'!A140-('V06 Unidades'!$I$5:$I$98+'V06 Controlos'!$B$37))/6&lt;=IF(INT((IF('V06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Controlos'!$B$37)-1)/6),0)),IF('V06 Motor'!A140=('V06 Unidades'!$I$5:$I$98+'V06 Controlos'!$B$37)+6*IF(INT((IF('V06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Controlos'!$B$37)-1)/6),0)&gt;0,IF(INT((IF('V06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Controlos'!$B$37)-1)/6),0),1),2)*(IF(INT((IF('V06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Controlos'!$B$37)-1)/6),0)&gt;0,IF(INT((IF('V06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Controlos'!$B$37)-1)/6)&gt;0,INT((IF('V06 Controlos'!$B$38&gt;0,IF(('V06 Unidades'!$L$5:$L$98+'V06 Controlos'!$B$37)&lt;'V06 Motor'!C140,'V06 Motor'!C140,('V06 Unidades'!$L$5:$L$98+'V06 Controlos'!$B$37)),('V06 Unidades'!$L$5:$L$98+'V06 Controlos'!$B$37))-('V06 Unidades'!$I$5:$I$98+'V06 Controlos'!$B$37)-1)/6),0),1),2)))</f>
        <v>0.0</v>
      </c>
      <c r="P140" s="2">
        <f>SUM('V06 Calend 01'!ER5:ER98)</f>
        <v>0.0</v>
      </c>
    </row>
    <row r="141" spans="1:16">
      <c r="A141">
        <v>137</v>
      </c>
      <c r="C141">
        <v>30</v>
      </c>
      <c r="G141" s="2">
        <f>IF('V06 Motor'!A141&lt;='V06 Motor'!C141,SUMPRODUCT('V06 Curva'!$B$5:$B$34,IF((IF('V06 Motor'!A141*30/'V06 Motor'!C141&lt;'V06 Curva'!$A$5:$A$34,'V06 Motor'!A141*30/'V06 Motor'!C141,'V06 Curva'!$A$5:$A$34)-IF(('V06 Motor'!A141-1)*30/'V06 Motor'!C141&gt;'V06 Curva'!$A$5:$A$34-1,('V06 Motor'!A141-1)*30/'V06 Motor'!C141,'V06 Curva'!$A$5:$A$34-1))&gt;0,(IF('V06 Motor'!A141*30/'V06 Motor'!C141&lt;'V06 Curva'!$A$5:$A$34,'V06 Motor'!A141*30/'V06 Motor'!C141,'V06 Curva'!$A$5:$A$34)-IF(('V06 Motor'!A141-1)*30/'V06 Motor'!C141&gt;'V06 Curva'!$A$5:$A$34-1,('V06 Motor'!A141-1)*30/'V06 Motor'!C141,'V06 Curva'!$A$5:$A$34-1)),0)),0)</f>
        <v>0.0</v>
      </c>
      <c r="H141" s="2">
        <f>IF('V06 Motor'!A141&lt;='V06 Motor'!C141,SUM(MAX(0,MIN('V06 Motor'!A141*30/'V06 Motor'!C141,1)-MAX(('V06 Motor'!A141-1)*30/'V06 Motor'!C141,0))*'V06 Curva'!$B$5,MAX(0,MIN('V06 Motor'!A141*30/'V06 Motor'!C141,2)-MAX(('V06 Motor'!A141-1)*30/'V06 Motor'!C141,1))*'V06 Curva'!$B$6,MAX(0,MIN('V06 Motor'!A141*30/'V06 Motor'!C141,3)-MAX(('V06 Motor'!A141-1)*30/'V06 Motor'!C141,2))*'V06 Curva'!$B$7,MAX(0,MIN('V06 Motor'!A141*30/'V06 Motor'!C141,4)-MAX(('V06 Motor'!A141-1)*30/'V06 Motor'!C141,3))*'V06 Curva'!$B$8,MAX(0,MIN('V06 Motor'!A141*30/'V06 Motor'!C141,5)-MAX(('V06 Motor'!A141-1)*30/'V06 Motor'!C141,4))*'V06 Curva'!$B$9,MAX(0,MIN('V06 Motor'!A141*30/'V06 Motor'!C141,6)-MAX(('V06 Motor'!A141-1)*30/'V06 Motor'!C141,5))*'V06 Curva'!$B$10,MAX(0,MIN('V06 Motor'!A141*30/'V06 Motor'!C141,7)-MAX(('V06 Motor'!A141-1)*30/'V06 Motor'!C141,6))*'V06 Curva'!$B$11,MAX(0,MIN('V06 Motor'!A141*30/'V06 Motor'!C141,8)-MAX(('V06 Motor'!A141-1)*30/'V06 Motor'!C141,7))*'V06 Curva'!$B$12,MAX(0,MIN('V06 Motor'!A141*30/'V06 Motor'!C141,9)-MAX(('V06 Motor'!A141-1)*30/'V06 Motor'!C141,8))*'V06 Curva'!$B$13,MAX(0,MIN('V06 Motor'!A141*30/'V06 Motor'!C141,10)-MAX(('V06 Motor'!A141-1)*30/'V06 Motor'!C141,9))*'V06 Curva'!$B$14,MAX(0,MIN('V06 Motor'!A141*30/'V06 Motor'!C141,11)-MAX(('V06 Motor'!A141-1)*30/'V06 Motor'!C141,10))*'V06 Curva'!$B$15,MAX(0,MIN('V06 Motor'!A141*30/'V06 Motor'!C141,12)-MAX(('V06 Motor'!A141-1)*30/'V06 Motor'!C141,11))*'V06 Curva'!$B$16,MAX(0,MIN('V06 Motor'!A141*30/'V06 Motor'!C141,13)-MAX(('V06 Motor'!A141-1)*30/'V06 Motor'!C141,12))*'V06 Curva'!$B$17,MAX(0,MIN('V06 Motor'!A141*30/'V06 Motor'!C141,14)-MAX(('V06 Motor'!A141-1)*30/'V06 Motor'!C141,13))*'V06 Curva'!$B$18,MAX(0,MIN('V06 Motor'!A141*30/'V06 Motor'!C141,15)-MAX(('V06 Motor'!A141-1)*30/'V06 Motor'!C141,14))*'V06 Curva'!$B$19,MAX(0,MIN('V06 Motor'!A141*30/'V06 Motor'!C141,16)-MAX(('V06 Motor'!A141-1)*30/'V06 Motor'!C141,15))*'V06 Curva'!$B$20,MAX(0,MIN('V06 Motor'!A141*30/'V06 Motor'!C141,17)-MAX(('V06 Motor'!A141-1)*30/'V06 Motor'!C141,16))*'V06 Curva'!$B$21,MAX(0,MIN('V06 Motor'!A141*30/'V06 Motor'!C141,18)-MAX(('V06 Motor'!A141-1)*30/'V06 Motor'!C141,17))*'V06 Curva'!$B$22,MAX(0,MIN('V06 Motor'!A141*30/'V06 Motor'!C141,19)-MAX(('V06 Motor'!A141-1)*30/'V06 Motor'!C141,18))*'V06 Curva'!$B$23,MAX(0,MIN('V06 Motor'!A141*30/'V06 Motor'!C141,20)-MAX(('V06 Motor'!A141-1)*30/'V06 Motor'!C141,19))*'V06 Curva'!$B$24,MAX(0,MIN('V06 Motor'!A141*30/'V06 Motor'!C141,21)-MAX(('V06 Motor'!A141-1)*30/'V06 Motor'!C141,20))*'V06 Curva'!$B$25,MAX(0,MIN('V06 Motor'!A141*30/'V06 Motor'!C141,22)-MAX(('V06 Motor'!A141-1)*30/'V06 Motor'!C141,21))*'V06 Curva'!$B$26,MAX(0,MIN('V06 Motor'!A141*30/'V06 Motor'!C141,23)-MAX(('V06 Motor'!A141-1)*30/'V06 Motor'!C141,22))*'V06 Curva'!$B$27,MAX(0,MIN('V06 Motor'!A141*30/'V06 Motor'!C141,24)-MAX(('V06 Motor'!A141-1)*30/'V06 Motor'!C141,23))*'V06 Curva'!$B$28,MAX(0,MIN('V06 Motor'!A141*30/'V06 Motor'!C141,25)-MAX(('V06 Motor'!A141-1)*30/'V06 Motor'!C141,24))*'V06 Curva'!$B$29,MAX(0,MIN('V06 Motor'!A141*30/'V06 Motor'!C141,26)-MAX(('V06 Motor'!A141-1)*30/'V06 Motor'!C141,25))*'V06 Curva'!$B$30,MAX(0,MIN('V06 Motor'!A141*30/'V06 Motor'!C141,27)-MAX(('V06 Motor'!A141-1)*30/'V06 Motor'!C141,26))*'V06 Curva'!$B$31,MAX(0,MIN('V06 Motor'!A141*30/'V06 Motor'!C141,28)-MAX(('V06 Motor'!A141-1)*30/'V06 Motor'!C141,27))*'V06 Curva'!$B$32,MAX(0,MIN('V06 Motor'!A141*30/'V06 Motor'!C141,29)-MAX(('V06 Motor'!A141-1)*30/'V06 Motor'!C141,28))*'V06 Curva'!$B$33,MAX(0,MIN('V06 Motor'!A141*30/'V06 Motor'!C141,30)-MAX(('V06 Motor'!A141-1)*30/'V06 Motor'!C141,29))*'V06 Curva'!$B$34),0)</f>
        <v>0.0</v>
      </c>
      <c r="O141" s="2">
        <f>SUMPRODUCT(--(('V06 Unidades'!$I$5:$I$98+'V06 Controlos'!$B$37)='V06 Motor'!A141),ROUND('V06 Unidades'!$H$5:$H$98*0.05,2)+ROUND('V06 Unidades'!$H$5:$H$98*0.2,2))+SUMPRODUCT(--(IF('V06 Controlos'!$B$38&gt;0,IF(('V06 Unidades'!$L$5:$L$98+'V06 Controlos'!$B$37)&lt;'V06 Motor'!C141,'V06 Motor'!C141,('V06 Unidades'!$L$5:$L$98+'V06 Controlos'!$B$37)),('V06 Unidades'!$L$5:$L$98+'V06 Controlos'!$B$37))='V06 Motor'!A141),'V06 Unidades'!$H$5:$H$98-ROUND('V06 Unidades'!$H$5:$H$98*0.05,2)-ROUND('V06 Unidades'!$H$5:$H$98*0.2,2)-ROUND('V06 Unidades'!$H$5:$H$98*0.55,2))+SUMPRODUCT(--(IF(INT((IF('V06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Controlos'!$B$37)-1)/6),0)&gt;0),--('V06 Motor'!A141&gt;('V06 Unidades'!$I$5:$I$98+'V06 Controlos'!$B$37)),--('V06 Motor'!A141&lt;IF('V06 Controlos'!$B$38&gt;0,IF(('V06 Unidades'!$L$5:$L$98+'V06 Controlos'!$B$37)&lt;'V06 Motor'!C141,'V06 Motor'!C141,('V06 Unidades'!$L$5:$L$98+'V06 Controlos'!$B$37)),('V06 Unidades'!$L$5:$L$98+'V06 Controlos'!$B$37))),--(MOD('V06 Motor'!A141-('V06 Unidades'!$I$5:$I$98+'V06 Controlos'!$B$37),6)=0),--(('V06 Motor'!A141-('V06 Unidades'!$I$5:$I$98+'V06 Controlos'!$B$37))/6&lt;=IF(INT((IF('V06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Controlos'!$B$37)-1)/6),0)),IF('V06 Motor'!A141=('V06 Unidades'!$I$5:$I$98+'V06 Controlos'!$B$37)+6*IF(INT((IF('V06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Controlos'!$B$37)-1)/6),0)&gt;0,IF(INT((IF('V06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Controlos'!$B$37)-1)/6),0),1),2)*(IF(INT((IF('V06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Controlos'!$B$37)-1)/6),0)&gt;0,IF(INT((IF('V06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Controlos'!$B$37)-1)/6)&gt;0,INT((IF('V06 Controlos'!$B$38&gt;0,IF(('V06 Unidades'!$L$5:$L$98+'V06 Controlos'!$B$37)&lt;'V06 Motor'!C141,'V06 Motor'!C141,('V06 Unidades'!$L$5:$L$98+'V06 Controlos'!$B$37)),('V06 Unidades'!$L$5:$L$98+'V06 Controlos'!$B$37))-('V06 Unidades'!$I$5:$I$98+'V06 Controlos'!$B$37)-1)/6),0),1),2)))</f>
        <v>0.0</v>
      </c>
      <c r="P141" s="2">
        <f>SUM('V06 Calend 01'!ES5:ES98)</f>
        <v>0.0</v>
      </c>
    </row>
    <row r="142" spans="1:16">
      <c r="A142">
        <v>138</v>
      </c>
      <c r="C142">
        <v>30</v>
      </c>
      <c r="G142" s="2">
        <f>IF('V06 Motor'!A142&lt;='V06 Motor'!C142,SUMPRODUCT('V06 Curva'!$B$5:$B$34,IF((IF('V06 Motor'!A142*30/'V06 Motor'!C142&lt;'V06 Curva'!$A$5:$A$34,'V06 Motor'!A142*30/'V06 Motor'!C142,'V06 Curva'!$A$5:$A$34)-IF(('V06 Motor'!A142-1)*30/'V06 Motor'!C142&gt;'V06 Curva'!$A$5:$A$34-1,('V06 Motor'!A142-1)*30/'V06 Motor'!C142,'V06 Curva'!$A$5:$A$34-1))&gt;0,(IF('V06 Motor'!A142*30/'V06 Motor'!C142&lt;'V06 Curva'!$A$5:$A$34,'V06 Motor'!A142*30/'V06 Motor'!C142,'V06 Curva'!$A$5:$A$34)-IF(('V06 Motor'!A142-1)*30/'V06 Motor'!C142&gt;'V06 Curva'!$A$5:$A$34-1,('V06 Motor'!A142-1)*30/'V06 Motor'!C142,'V06 Curva'!$A$5:$A$34-1)),0)),0)</f>
        <v>0.0</v>
      </c>
      <c r="H142" s="2">
        <f>IF('V06 Motor'!A142&lt;='V06 Motor'!C142,SUM(MAX(0,MIN('V06 Motor'!A142*30/'V06 Motor'!C142,1)-MAX(('V06 Motor'!A142-1)*30/'V06 Motor'!C142,0))*'V06 Curva'!$B$5,MAX(0,MIN('V06 Motor'!A142*30/'V06 Motor'!C142,2)-MAX(('V06 Motor'!A142-1)*30/'V06 Motor'!C142,1))*'V06 Curva'!$B$6,MAX(0,MIN('V06 Motor'!A142*30/'V06 Motor'!C142,3)-MAX(('V06 Motor'!A142-1)*30/'V06 Motor'!C142,2))*'V06 Curva'!$B$7,MAX(0,MIN('V06 Motor'!A142*30/'V06 Motor'!C142,4)-MAX(('V06 Motor'!A142-1)*30/'V06 Motor'!C142,3))*'V06 Curva'!$B$8,MAX(0,MIN('V06 Motor'!A142*30/'V06 Motor'!C142,5)-MAX(('V06 Motor'!A142-1)*30/'V06 Motor'!C142,4))*'V06 Curva'!$B$9,MAX(0,MIN('V06 Motor'!A142*30/'V06 Motor'!C142,6)-MAX(('V06 Motor'!A142-1)*30/'V06 Motor'!C142,5))*'V06 Curva'!$B$10,MAX(0,MIN('V06 Motor'!A142*30/'V06 Motor'!C142,7)-MAX(('V06 Motor'!A142-1)*30/'V06 Motor'!C142,6))*'V06 Curva'!$B$11,MAX(0,MIN('V06 Motor'!A142*30/'V06 Motor'!C142,8)-MAX(('V06 Motor'!A142-1)*30/'V06 Motor'!C142,7))*'V06 Curva'!$B$12,MAX(0,MIN('V06 Motor'!A142*30/'V06 Motor'!C142,9)-MAX(('V06 Motor'!A142-1)*30/'V06 Motor'!C142,8))*'V06 Curva'!$B$13,MAX(0,MIN('V06 Motor'!A142*30/'V06 Motor'!C142,10)-MAX(('V06 Motor'!A142-1)*30/'V06 Motor'!C142,9))*'V06 Curva'!$B$14,MAX(0,MIN('V06 Motor'!A142*30/'V06 Motor'!C142,11)-MAX(('V06 Motor'!A142-1)*30/'V06 Motor'!C142,10))*'V06 Curva'!$B$15,MAX(0,MIN('V06 Motor'!A142*30/'V06 Motor'!C142,12)-MAX(('V06 Motor'!A142-1)*30/'V06 Motor'!C142,11))*'V06 Curva'!$B$16,MAX(0,MIN('V06 Motor'!A142*30/'V06 Motor'!C142,13)-MAX(('V06 Motor'!A142-1)*30/'V06 Motor'!C142,12))*'V06 Curva'!$B$17,MAX(0,MIN('V06 Motor'!A142*30/'V06 Motor'!C142,14)-MAX(('V06 Motor'!A142-1)*30/'V06 Motor'!C142,13))*'V06 Curva'!$B$18,MAX(0,MIN('V06 Motor'!A142*30/'V06 Motor'!C142,15)-MAX(('V06 Motor'!A142-1)*30/'V06 Motor'!C142,14))*'V06 Curva'!$B$19,MAX(0,MIN('V06 Motor'!A142*30/'V06 Motor'!C142,16)-MAX(('V06 Motor'!A142-1)*30/'V06 Motor'!C142,15))*'V06 Curva'!$B$20,MAX(0,MIN('V06 Motor'!A142*30/'V06 Motor'!C142,17)-MAX(('V06 Motor'!A142-1)*30/'V06 Motor'!C142,16))*'V06 Curva'!$B$21,MAX(0,MIN('V06 Motor'!A142*30/'V06 Motor'!C142,18)-MAX(('V06 Motor'!A142-1)*30/'V06 Motor'!C142,17))*'V06 Curva'!$B$22,MAX(0,MIN('V06 Motor'!A142*30/'V06 Motor'!C142,19)-MAX(('V06 Motor'!A142-1)*30/'V06 Motor'!C142,18))*'V06 Curva'!$B$23,MAX(0,MIN('V06 Motor'!A142*30/'V06 Motor'!C142,20)-MAX(('V06 Motor'!A142-1)*30/'V06 Motor'!C142,19))*'V06 Curva'!$B$24,MAX(0,MIN('V06 Motor'!A142*30/'V06 Motor'!C142,21)-MAX(('V06 Motor'!A142-1)*30/'V06 Motor'!C142,20))*'V06 Curva'!$B$25,MAX(0,MIN('V06 Motor'!A142*30/'V06 Motor'!C142,22)-MAX(('V06 Motor'!A142-1)*30/'V06 Motor'!C142,21))*'V06 Curva'!$B$26,MAX(0,MIN('V06 Motor'!A142*30/'V06 Motor'!C142,23)-MAX(('V06 Motor'!A142-1)*30/'V06 Motor'!C142,22))*'V06 Curva'!$B$27,MAX(0,MIN('V06 Motor'!A142*30/'V06 Motor'!C142,24)-MAX(('V06 Motor'!A142-1)*30/'V06 Motor'!C142,23))*'V06 Curva'!$B$28,MAX(0,MIN('V06 Motor'!A142*30/'V06 Motor'!C142,25)-MAX(('V06 Motor'!A142-1)*30/'V06 Motor'!C142,24))*'V06 Curva'!$B$29,MAX(0,MIN('V06 Motor'!A142*30/'V06 Motor'!C142,26)-MAX(('V06 Motor'!A142-1)*30/'V06 Motor'!C142,25))*'V06 Curva'!$B$30,MAX(0,MIN('V06 Motor'!A142*30/'V06 Motor'!C142,27)-MAX(('V06 Motor'!A142-1)*30/'V06 Motor'!C142,26))*'V06 Curva'!$B$31,MAX(0,MIN('V06 Motor'!A142*30/'V06 Motor'!C142,28)-MAX(('V06 Motor'!A142-1)*30/'V06 Motor'!C142,27))*'V06 Curva'!$B$32,MAX(0,MIN('V06 Motor'!A142*30/'V06 Motor'!C142,29)-MAX(('V06 Motor'!A142-1)*30/'V06 Motor'!C142,28))*'V06 Curva'!$B$33,MAX(0,MIN('V06 Motor'!A142*30/'V06 Motor'!C142,30)-MAX(('V06 Motor'!A142-1)*30/'V06 Motor'!C142,29))*'V06 Curva'!$B$34),0)</f>
        <v>0.0</v>
      </c>
      <c r="O142" s="2">
        <f>SUMPRODUCT(--(('V06 Unidades'!$I$5:$I$98+'V06 Controlos'!$B$37)='V06 Motor'!A142),ROUND('V06 Unidades'!$H$5:$H$98*0.05,2)+ROUND('V06 Unidades'!$H$5:$H$98*0.2,2))+SUMPRODUCT(--(IF('V06 Controlos'!$B$38&gt;0,IF(('V06 Unidades'!$L$5:$L$98+'V06 Controlos'!$B$37)&lt;'V06 Motor'!C142,'V06 Motor'!C142,('V06 Unidades'!$L$5:$L$98+'V06 Controlos'!$B$37)),('V06 Unidades'!$L$5:$L$98+'V06 Controlos'!$B$37))='V06 Motor'!A142),'V06 Unidades'!$H$5:$H$98-ROUND('V06 Unidades'!$H$5:$H$98*0.05,2)-ROUND('V06 Unidades'!$H$5:$H$98*0.2,2)-ROUND('V06 Unidades'!$H$5:$H$98*0.55,2))+SUMPRODUCT(--(IF(INT((IF('V06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Controlos'!$B$37)-1)/6),0)&gt;0),--('V06 Motor'!A142&gt;('V06 Unidades'!$I$5:$I$98+'V06 Controlos'!$B$37)),--('V06 Motor'!A142&lt;IF('V06 Controlos'!$B$38&gt;0,IF(('V06 Unidades'!$L$5:$L$98+'V06 Controlos'!$B$37)&lt;'V06 Motor'!C142,'V06 Motor'!C142,('V06 Unidades'!$L$5:$L$98+'V06 Controlos'!$B$37)),('V06 Unidades'!$L$5:$L$98+'V06 Controlos'!$B$37))),--(MOD('V06 Motor'!A142-('V06 Unidades'!$I$5:$I$98+'V06 Controlos'!$B$37),6)=0),--(('V06 Motor'!A142-('V06 Unidades'!$I$5:$I$98+'V06 Controlos'!$B$37))/6&lt;=IF(INT((IF('V06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Controlos'!$B$37)-1)/6),0)),IF('V06 Motor'!A142=('V06 Unidades'!$I$5:$I$98+'V06 Controlos'!$B$37)+6*IF(INT((IF('V06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Controlos'!$B$37)-1)/6),0)&gt;0,IF(INT((IF('V06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Controlos'!$B$37)-1)/6),0),1),2)*(IF(INT((IF('V06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Controlos'!$B$37)-1)/6),0)&gt;0,IF(INT((IF('V06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Controlos'!$B$37)-1)/6)&gt;0,INT((IF('V06 Controlos'!$B$38&gt;0,IF(('V06 Unidades'!$L$5:$L$98+'V06 Controlos'!$B$37)&lt;'V06 Motor'!C142,'V06 Motor'!C142,('V06 Unidades'!$L$5:$L$98+'V06 Controlos'!$B$37)),('V06 Unidades'!$L$5:$L$98+'V06 Controlos'!$B$37))-('V06 Unidades'!$I$5:$I$98+'V06 Controlos'!$B$37)-1)/6),0),1),2)))</f>
        <v>0.0</v>
      </c>
      <c r="P142" s="2">
        <f>SUM('V06 Calend 01'!ET5:ET98)</f>
        <v>0.0</v>
      </c>
    </row>
    <row r="143" spans="1:16">
      <c r="A143">
        <v>139</v>
      </c>
      <c r="C143">
        <v>30</v>
      </c>
      <c r="G143" s="2">
        <f>IF('V06 Motor'!A143&lt;='V06 Motor'!C143,SUMPRODUCT('V06 Curva'!$B$5:$B$34,IF((IF('V06 Motor'!A143*30/'V06 Motor'!C143&lt;'V06 Curva'!$A$5:$A$34,'V06 Motor'!A143*30/'V06 Motor'!C143,'V06 Curva'!$A$5:$A$34)-IF(('V06 Motor'!A143-1)*30/'V06 Motor'!C143&gt;'V06 Curva'!$A$5:$A$34-1,('V06 Motor'!A143-1)*30/'V06 Motor'!C143,'V06 Curva'!$A$5:$A$34-1))&gt;0,(IF('V06 Motor'!A143*30/'V06 Motor'!C143&lt;'V06 Curva'!$A$5:$A$34,'V06 Motor'!A143*30/'V06 Motor'!C143,'V06 Curva'!$A$5:$A$34)-IF(('V06 Motor'!A143-1)*30/'V06 Motor'!C143&gt;'V06 Curva'!$A$5:$A$34-1,('V06 Motor'!A143-1)*30/'V06 Motor'!C143,'V06 Curva'!$A$5:$A$34-1)),0)),0)</f>
        <v>0.0</v>
      </c>
      <c r="H143" s="2">
        <f>IF('V06 Motor'!A143&lt;='V06 Motor'!C143,SUM(MAX(0,MIN('V06 Motor'!A143*30/'V06 Motor'!C143,1)-MAX(('V06 Motor'!A143-1)*30/'V06 Motor'!C143,0))*'V06 Curva'!$B$5,MAX(0,MIN('V06 Motor'!A143*30/'V06 Motor'!C143,2)-MAX(('V06 Motor'!A143-1)*30/'V06 Motor'!C143,1))*'V06 Curva'!$B$6,MAX(0,MIN('V06 Motor'!A143*30/'V06 Motor'!C143,3)-MAX(('V06 Motor'!A143-1)*30/'V06 Motor'!C143,2))*'V06 Curva'!$B$7,MAX(0,MIN('V06 Motor'!A143*30/'V06 Motor'!C143,4)-MAX(('V06 Motor'!A143-1)*30/'V06 Motor'!C143,3))*'V06 Curva'!$B$8,MAX(0,MIN('V06 Motor'!A143*30/'V06 Motor'!C143,5)-MAX(('V06 Motor'!A143-1)*30/'V06 Motor'!C143,4))*'V06 Curva'!$B$9,MAX(0,MIN('V06 Motor'!A143*30/'V06 Motor'!C143,6)-MAX(('V06 Motor'!A143-1)*30/'V06 Motor'!C143,5))*'V06 Curva'!$B$10,MAX(0,MIN('V06 Motor'!A143*30/'V06 Motor'!C143,7)-MAX(('V06 Motor'!A143-1)*30/'V06 Motor'!C143,6))*'V06 Curva'!$B$11,MAX(0,MIN('V06 Motor'!A143*30/'V06 Motor'!C143,8)-MAX(('V06 Motor'!A143-1)*30/'V06 Motor'!C143,7))*'V06 Curva'!$B$12,MAX(0,MIN('V06 Motor'!A143*30/'V06 Motor'!C143,9)-MAX(('V06 Motor'!A143-1)*30/'V06 Motor'!C143,8))*'V06 Curva'!$B$13,MAX(0,MIN('V06 Motor'!A143*30/'V06 Motor'!C143,10)-MAX(('V06 Motor'!A143-1)*30/'V06 Motor'!C143,9))*'V06 Curva'!$B$14,MAX(0,MIN('V06 Motor'!A143*30/'V06 Motor'!C143,11)-MAX(('V06 Motor'!A143-1)*30/'V06 Motor'!C143,10))*'V06 Curva'!$B$15,MAX(0,MIN('V06 Motor'!A143*30/'V06 Motor'!C143,12)-MAX(('V06 Motor'!A143-1)*30/'V06 Motor'!C143,11))*'V06 Curva'!$B$16,MAX(0,MIN('V06 Motor'!A143*30/'V06 Motor'!C143,13)-MAX(('V06 Motor'!A143-1)*30/'V06 Motor'!C143,12))*'V06 Curva'!$B$17,MAX(0,MIN('V06 Motor'!A143*30/'V06 Motor'!C143,14)-MAX(('V06 Motor'!A143-1)*30/'V06 Motor'!C143,13))*'V06 Curva'!$B$18,MAX(0,MIN('V06 Motor'!A143*30/'V06 Motor'!C143,15)-MAX(('V06 Motor'!A143-1)*30/'V06 Motor'!C143,14))*'V06 Curva'!$B$19,MAX(0,MIN('V06 Motor'!A143*30/'V06 Motor'!C143,16)-MAX(('V06 Motor'!A143-1)*30/'V06 Motor'!C143,15))*'V06 Curva'!$B$20,MAX(0,MIN('V06 Motor'!A143*30/'V06 Motor'!C143,17)-MAX(('V06 Motor'!A143-1)*30/'V06 Motor'!C143,16))*'V06 Curva'!$B$21,MAX(0,MIN('V06 Motor'!A143*30/'V06 Motor'!C143,18)-MAX(('V06 Motor'!A143-1)*30/'V06 Motor'!C143,17))*'V06 Curva'!$B$22,MAX(0,MIN('V06 Motor'!A143*30/'V06 Motor'!C143,19)-MAX(('V06 Motor'!A143-1)*30/'V06 Motor'!C143,18))*'V06 Curva'!$B$23,MAX(0,MIN('V06 Motor'!A143*30/'V06 Motor'!C143,20)-MAX(('V06 Motor'!A143-1)*30/'V06 Motor'!C143,19))*'V06 Curva'!$B$24,MAX(0,MIN('V06 Motor'!A143*30/'V06 Motor'!C143,21)-MAX(('V06 Motor'!A143-1)*30/'V06 Motor'!C143,20))*'V06 Curva'!$B$25,MAX(0,MIN('V06 Motor'!A143*30/'V06 Motor'!C143,22)-MAX(('V06 Motor'!A143-1)*30/'V06 Motor'!C143,21))*'V06 Curva'!$B$26,MAX(0,MIN('V06 Motor'!A143*30/'V06 Motor'!C143,23)-MAX(('V06 Motor'!A143-1)*30/'V06 Motor'!C143,22))*'V06 Curva'!$B$27,MAX(0,MIN('V06 Motor'!A143*30/'V06 Motor'!C143,24)-MAX(('V06 Motor'!A143-1)*30/'V06 Motor'!C143,23))*'V06 Curva'!$B$28,MAX(0,MIN('V06 Motor'!A143*30/'V06 Motor'!C143,25)-MAX(('V06 Motor'!A143-1)*30/'V06 Motor'!C143,24))*'V06 Curva'!$B$29,MAX(0,MIN('V06 Motor'!A143*30/'V06 Motor'!C143,26)-MAX(('V06 Motor'!A143-1)*30/'V06 Motor'!C143,25))*'V06 Curva'!$B$30,MAX(0,MIN('V06 Motor'!A143*30/'V06 Motor'!C143,27)-MAX(('V06 Motor'!A143-1)*30/'V06 Motor'!C143,26))*'V06 Curva'!$B$31,MAX(0,MIN('V06 Motor'!A143*30/'V06 Motor'!C143,28)-MAX(('V06 Motor'!A143-1)*30/'V06 Motor'!C143,27))*'V06 Curva'!$B$32,MAX(0,MIN('V06 Motor'!A143*30/'V06 Motor'!C143,29)-MAX(('V06 Motor'!A143-1)*30/'V06 Motor'!C143,28))*'V06 Curva'!$B$33,MAX(0,MIN('V06 Motor'!A143*30/'V06 Motor'!C143,30)-MAX(('V06 Motor'!A143-1)*30/'V06 Motor'!C143,29))*'V06 Curva'!$B$34),0)</f>
        <v>0.0</v>
      </c>
      <c r="O143" s="2">
        <f>SUMPRODUCT(--(('V06 Unidades'!$I$5:$I$98+'V06 Controlos'!$B$37)='V06 Motor'!A143),ROUND('V06 Unidades'!$H$5:$H$98*0.05,2)+ROUND('V06 Unidades'!$H$5:$H$98*0.2,2))+SUMPRODUCT(--(IF('V06 Controlos'!$B$38&gt;0,IF(('V06 Unidades'!$L$5:$L$98+'V06 Controlos'!$B$37)&lt;'V06 Motor'!C143,'V06 Motor'!C143,('V06 Unidades'!$L$5:$L$98+'V06 Controlos'!$B$37)),('V06 Unidades'!$L$5:$L$98+'V06 Controlos'!$B$37))='V06 Motor'!A143),'V06 Unidades'!$H$5:$H$98-ROUND('V06 Unidades'!$H$5:$H$98*0.05,2)-ROUND('V06 Unidades'!$H$5:$H$98*0.2,2)-ROUND('V06 Unidades'!$H$5:$H$98*0.55,2))+SUMPRODUCT(--(IF(INT((IF('V06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Controlos'!$B$37)-1)/6),0)&gt;0),--('V06 Motor'!A143&gt;('V06 Unidades'!$I$5:$I$98+'V06 Controlos'!$B$37)),--('V06 Motor'!A143&lt;IF('V06 Controlos'!$B$38&gt;0,IF(('V06 Unidades'!$L$5:$L$98+'V06 Controlos'!$B$37)&lt;'V06 Motor'!C143,'V06 Motor'!C143,('V06 Unidades'!$L$5:$L$98+'V06 Controlos'!$B$37)),('V06 Unidades'!$L$5:$L$98+'V06 Controlos'!$B$37))),--(MOD('V06 Motor'!A143-('V06 Unidades'!$I$5:$I$98+'V06 Controlos'!$B$37),6)=0),--(('V06 Motor'!A143-('V06 Unidades'!$I$5:$I$98+'V06 Controlos'!$B$37))/6&lt;=IF(INT((IF('V06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Controlos'!$B$37)-1)/6),0)),IF('V06 Motor'!A143=('V06 Unidades'!$I$5:$I$98+'V06 Controlos'!$B$37)+6*IF(INT((IF('V06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Controlos'!$B$37)-1)/6),0)&gt;0,IF(INT((IF('V06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Controlos'!$B$37)-1)/6),0),1),2)*(IF(INT((IF('V06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Controlos'!$B$37)-1)/6),0)&gt;0,IF(INT((IF('V06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Controlos'!$B$37)-1)/6)&gt;0,INT((IF('V06 Controlos'!$B$38&gt;0,IF(('V06 Unidades'!$L$5:$L$98+'V06 Controlos'!$B$37)&lt;'V06 Motor'!C143,'V06 Motor'!C143,('V06 Unidades'!$L$5:$L$98+'V06 Controlos'!$B$37)),('V06 Unidades'!$L$5:$L$98+'V06 Controlos'!$B$37))-('V06 Unidades'!$I$5:$I$98+'V06 Controlos'!$B$37)-1)/6),0),1),2)))</f>
        <v>0.0</v>
      </c>
      <c r="P143" s="2">
        <f>SUM('V06 Calend 01'!EU5:EU98)</f>
        <v>0.0</v>
      </c>
    </row>
    <row r="144" spans="1:16">
      <c r="A144">
        <v>140</v>
      </c>
      <c r="C144">
        <v>30</v>
      </c>
      <c r="G144" s="2">
        <f>IF('V06 Motor'!A144&lt;='V06 Motor'!C144,SUMPRODUCT('V06 Curva'!$B$5:$B$34,IF((IF('V06 Motor'!A144*30/'V06 Motor'!C144&lt;'V06 Curva'!$A$5:$A$34,'V06 Motor'!A144*30/'V06 Motor'!C144,'V06 Curva'!$A$5:$A$34)-IF(('V06 Motor'!A144-1)*30/'V06 Motor'!C144&gt;'V06 Curva'!$A$5:$A$34-1,('V06 Motor'!A144-1)*30/'V06 Motor'!C144,'V06 Curva'!$A$5:$A$34-1))&gt;0,(IF('V06 Motor'!A144*30/'V06 Motor'!C144&lt;'V06 Curva'!$A$5:$A$34,'V06 Motor'!A144*30/'V06 Motor'!C144,'V06 Curva'!$A$5:$A$34)-IF(('V06 Motor'!A144-1)*30/'V06 Motor'!C144&gt;'V06 Curva'!$A$5:$A$34-1,('V06 Motor'!A144-1)*30/'V06 Motor'!C144,'V06 Curva'!$A$5:$A$34-1)),0)),0)</f>
        <v>0.0</v>
      </c>
      <c r="H144" s="2">
        <f>IF('V06 Motor'!A144&lt;='V06 Motor'!C144,SUM(MAX(0,MIN('V06 Motor'!A144*30/'V06 Motor'!C144,1)-MAX(('V06 Motor'!A144-1)*30/'V06 Motor'!C144,0))*'V06 Curva'!$B$5,MAX(0,MIN('V06 Motor'!A144*30/'V06 Motor'!C144,2)-MAX(('V06 Motor'!A144-1)*30/'V06 Motor'!C144,1))*'V06 Curva'!$B$6,MAX(0,MIN('V06 Motor'!A144*30/'V06 Motor'!C144,3)-MAX(('V06 Motor'!A144-1)*30/'V06 Motor'!C144,2))*'V06 Curva'!$B$7,MAX(0,MIN('V06 Motor'!A144*30/'V06 Motor'!C144,4)-MAX(('V06 Motor'!A144-1)*30/'V06 Motor'!C144,3))*'V06 Curva'!$B$8,MAX(0,MIN('V06 Motor'!A144*30/'V06 Motor'!C144,5)-MAX(('V06 Motor'!A144-1)*30/'V06 Motor'!C144,4))*'V06 Curva'!$B$9,MAX(0,MIN('V06 Motor'!A144*30/'V06 Motor'!C144,6)-MAX(('V06 Motor'!A144-1)*30/'V06 Motor'!C144,5))*'V06 Curva'!$B$10,MAX(0,MIN('V06 Motor'!A144*30/'V06 Motor'!C144,7)-MAX(('V06 Motor'!A144-1)*30/'V06 Motor'!C144,6))*'V06 Curva'!$B$11,MAX(0,MIN('V06 Motor'!A144*30/'V06 Motor'!C144,8)-MAX(('V06 Motor'!A144-1)*30/'V06 Motor'!C144,7))*'V06 Curva'!$B$12,MAX(0,MIN('V06 Motor'!A144*30/'V06 Motor'!C144,9)-MAX(('V06 Motor'!A144-1)*30/'V06 Motor'!C144,8))*'V06 Curva'!$B$13,MAX(0,MIN('V06 Motor'!A144*30/'V06 Motor'!C144,10)-MAX(('V06 Motor'!A144-1)*30/'V06 Motor'!C144,9))*'V06 Curva'!$B$14,MAX(0,MIN('V06 Motor'!A144*30/'V06 Motor'!C144,11)-MAX(('V06 Motor'!A144-1)*30/'V06 Motor'!C144,10))*'V06 Curva'!$B$15,MAX(0,MIN('V06 Motor'!A144*30/'V06 Motor'!C144,12)-MAX(('V06 Motor'!A144-1)*30/'V06 Motor'!C144,11))*'V06 Curva'!$B$16,MAX(0,MIN('V06 Motor'!A144*30/'V06 Motor'!C144,13)-MAX(('V06 Motor'!A144-1)*30/'V06 Motor'!C144,12))*'V06 Curva'!$B$17,MAX(0,MIN('V06 Motor'!A144*30/'V06 Motor'!C144,14)-MAX(('V06 Motor'!A144-1)*30/'V06 Motor'!C144,13))*'V06 Curva'!$B$18,MAX(0,MIN('V06 Motor'!A144*30/'V06 Motor'!C144,15)-MAX(('V06 Motor'!A144-1)*30/'V06 Motor'!C144,14))*'V06 Curva'!$B$19,MAX(0,MIN('V06 Motor'!A144*30/'V06 Motor'!C144,16)-MAX(('V06 Motor'!A144-1)*30/'V06 Motor'!C144,15))*'V06 Curva'!$B$20,MAX(0,MIN('V06 Motor'!A144*30/'V06 Motor'!C144,17)-MAX(('V06 Motor'!A144-1)*30/'V06 Motor'!C144,16))*'V06 Curva'!$B$21,MAX(0,MIN('V06 Motor'!A144*30/'V06 Motor'!C144,18)-MAX(('V06 Motor'!A144-1)*30/'V06 Motor'!C144,17))*'V06 Curva'!$B$22,MAX(0,MIN('V06 Motor'!A144*30/'V06 Motor'!C144,19)-MAX(('V06 Motor'!A144-1)*30/'V06 Motor'!C144,18))*'V06 Curva'!$B$23,MAX(0,MIN('V06 Motor'!A144*30/'V06 Motor'!C144,20)-MAX(('V06 Motor'!A144-1)*30/'V06 Motor'!C144,19))*'V06 Curva'!$B$24,MAX(0,MIN('V06 Motor'!A144*30/'V06 Motor'!C144,21)-MAX(('V06 Motor'!A144-1)*30/'V06 Motor'!C144,20))*'V06 Curva'!$B$25,MAX(0,MIN('V06 Motor'!A144*30/'V06 Motor'!C144,22)-MAX(('V06 Motor'!A144-1)*30/'V06 Motor'!C144,21))*'V06 Curva'!$B$26,MAX(0,MIN('V06 Motor'!A144*30/'V06 Motor'!C144,23)-MAX(('V06 Motor'!A144-1)*30/'V06 Motor'!C144,22))*'V06 Curva'!$B$27,MAX(0,MIN('V06 Motor'!A144*30/'V06 Motor'!C144,24)-MAX(('V06 Motor'!A144-1)*30/'V06 Motor'!C144,23))*'V06 Curva'!$B$28,MAX(0,MIN('V06 Motor'!A144*30/'V06 Motor'!C144,25)-MAX(('V06 Motor'!A144-1)*30/'V06 Motor'!C144,24))*'V06 Curva'!$B$29,MAX(0,MIN('V06 Motor'!A144*30/'V06 Motor'!C144,26)-MAX(('V06 Motor'!A144-1)*30/'V06 Motor'!C144,25))*'V06 Curva'!$B$30,MAX(0,MIN('V06 Motor'!A144*30/'V06 Motor'!C144,27)-MAX(('V06 Motor'!A144-1)*30/'V06 Motor'!C144,26))*'V06 Curva'!$B$31,MAX(0,MIN('V06 Motor'!A144*30/'V06 Motor'!C144,28)-MAX(('V06 Motor'!A144-1)*30/'V06 Motor'!C144,27))*'V06 Curva'!$B$32,MAX(0,MIN('V06 Motor'!A144*30/'V06 Motor'!C144,29)-MAX(('V06 Motor'!A144-1)*30/'V06 Motor'!C144,28))*'V06 Curva'!$B$33,MAX(0,MIN('V06 Motor'!A144*30/'V06 Motor'!C144,30)-MAX(('V06 Motor'!A144-1)*30/'V06 Motor'!C144,29))*'V06 Curva'!$B$34),0)</f>
        <v>0.0</v>
      </c>
      <c r="O144" s="2">
        <f>SUMPRODUCT(--(('V06 Unidades'!$I$5:$I$98+'V06 Controlos'!$B$37)='V06 Motor'!A144),ROUND('V06 Unidades'!$H$5:$H$98*0.05,2)+ROUND('V06 Unidades'!$H$5:$H$98*0.2,2))+SUMPRODUCT(--(IF('V06 Controlos'!$B$38&gt;0,IF(('V06 Unidades'!$L$5:$L$98+'V06 Controlos'!$B$37)&lt;'V06 Motor'!C144,'V06 Motor'!C144,('V06 Unidades'!$L$5:$L$98+'V06 Controlos'!$B$37)),('V06 Unidades'!$L$5:$L$98+'V06 Controlos'!$B$37))='V06 Motor'!A144),'V06 Unidades'!$H$5:$H$98-ROUND('V06 Unidades'!$H$5:$H$98*0.05,2)-ROUND('V06 Unidades'!$H$5:$H$98*0.2,2)-ROUND('V06 Unidades'!$H$5:$H$98*0.55,2))+SUMPRODUCT(--(IF(INT((IF('V06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Controlos'!$B$37)-1)/6),0)&gt;0),--('V06 Motor'!A144&gt;('V06 Unidades'!$I$5:$I$98+'V06 Controlos'!$B$37)),--('V06 Motor'!A144&lt;IF('V06 Controlos'!$B$38&gt;0,IF(('V06 Unidades'!$L$5:$L$98+'V06 Controlos'!$B$37)&lt;'V06 Motor'!C144,'V06 Motor'!C144,('V06 Unidades'!$L$5:$L$98+'V06 Controlos'!$B$37)),('V06 Unidades'!$L$5:$L$98+'V06 Controlos'!$B$37))),--(MOD('V06 Motor'!A144-('V06 Unidades'!$I$5:$I$98+'V06 Controlos'!$B$37),6)=0),--(('V06 Motor'!A144-('V06 Unidades'!$I$5:$I$98+'V06 Controlos'!$B$37))/6&lt;=IF(INT((IF('V06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Controlos'!$B$37)-1)/6),0)),IF('V06 Motor'!A144=('V06 Unidades'!$I$5:$I$98+'V06 Controlos'!$B$37)+6*IF(INT((IF('V06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Controlos'!$B$37)-1)/6),0)&gt;0,IF(INT((IF('V06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Controlos'!$B$37)-1)/6),0),1),2)*(IF(INT((IF('V06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Controlos'!$B$37)-1)/6),0)&gt;0,IF(INT((IF('V06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Controlos'!$B$37)-1)/6)&gt;0,INT((IF('V06 Controlos'!$B$38&gt;0,IF(('V06 Unidades'!$L$5:$L$98+'V06 Controlos'!$B$37)&lt;'V06 Motor'!C144,'V06 Motor'!C144,('V06 Unidades'!$L$5:$L$98+'V06 Controlos'!$B$37)),('V06 Unidades'!$L$5:$L$98+'V06 Controlos'!$B$37))-('V06 Unidades'!$I$5:$I$98+'V06 Controlos'!$B$37)-1)/6),0),1),2)))</f>
        <v>0.0</v>
      </c>
      <c r="P144" s="2">
        <f>SUM('V06 Calend 01'!EV5:EV98)</f>
        <v>0.0</v>
      </c>
    </row>
    <row r="145" spans="1:16">
      <c r="A145">
        <v>141</v>
      </c>
      <c r="C145">
        <v>30</v>
      </c>
      <c r="G145" s="2">
        <f>IF('V06 Motor'!A145&lt;='V06 Motor'!C145,SUMPRODUCT('V06 Curva'!$B$5:$B$34,IF((IF('V06 Motor'!A145*30/'V06 Motor'!C145&lt;'V06 Curva'!$A$5:$A$34,'V06 Motor'!A145*30/'V06 Motor'!C145,'V06 Curva'!$A$5:$A$34)-IF(('V06 Motor'!A145-1)*30/'V06 Motor'!C145&gt;'V06 Curva'!$A$5:$A$34-1,('V06 Motor'!A145-1)*30/'V06 Motor'!C145,'V06 Curva'!$A$5:$A$34-1))&gt;0,(IF('V06 Motor'!A145*30/'V06 Motor'!C145&lt;'V06 Curva'!$A$5:$A$34,'V06 Motor'!A145*30/'V06 Motor'!C145,'V06 Curva'!$A$5:$A$34)-IF(('V06 Motor'!A145-1)*30/'V06 Motor'!C145&gt;'V06 Curva'!$A$5:$A$34-1,('V06 Motor'!A145-1)*30/'V06 Motor'!C145,'V06 Curva'!$A$5:$A$34-1)),0)),0)</f>
        <v>0.0</v>
      </c>
      <c r="H145" s="2">
        <f>IF('V06 Motor'!A145&lt;='V06 Motor'!C145,SUM(MAX(0,MIN('V06 Motor'!A145*30/'V06 Motor'!C145,1)-MAX(('V06 Motor'!A145-1)*30/'V06 Motor'!C145,0))*'V06 Curva'!$B$5,MAX(0,MIN('V06 Motor'!A145*30/'V06 Motor'!C145,2)-MAX(('V06 Motor'!A145-1)*30/'V06 Motor'!C145,1))*'V06 Curva'!$B$6,MAX(0,MIN('V06 Motor'!A145*30/'V06 Motor'!C145,3)-MAX(('V06 Motor'!A145-1)*30/'V06 Motor'!C145,2))*'V06 Curva'!$B$7,MAX(0,MIN('V06 Motor'!A145*30/'V06 Motor'!C145,4)-MAX(('V06 Motor'!A145-1)*30/'V06 Motor'!C145,3))*'V06 Curva'!$B$8,MAX(0,MIN('V06 Motor'!A145*30/'V06 Motor'!C145,5)-MAX(('V06 Motor'!A145-1)*30/'V06 Motor'!C145,4))*'V06 Curva'!$B$9,MAX(0,MIN('V06 Motor'!A145*30/'V06 Motor'!C145,6)-MAX(('V06 Motor'!A145-1)*30/'V06 Motor'!C145,5))*'V06 Curva'!$B$10,MAX(0,MIN('V06 Motor'!A145*30/'V06 Motor'!C145,7)-MAX(('V06 Motor'!A145-1)*30/'V06 Motor'!C145,6))*'V06 Curva'!$B$11,MAX(0,MIN('V06 Motor'!A145*30/'V06 Motor'!C145,8)-MAX(('V06 Motor'!A145-1)*30/'V06 Motor'!C145,7))*'V06 Curva'!$B$12,MAX(0,MIN('V06 Motor'!A145*30/'V06 Motor'!C145,9)-MAX(('V06 Motor'!A145-1)*30/'V06 Motor'!C145,8))*'V06 Curva'!$B$13,MAX(0,MIN('V06 Motor'!A145*30/'V06 Motor'!C145,10)-MAX(('V06 Motor'!A145-1)*30/'V06 Motor'!C145,9))*'V06 Curva'!$B$14,MAX(0,MIN('V06 Motor'!A145*30/'V06 Motor'!C145,11)-MAX(('V06 Motor'!A145-1)*30/'V06 Motor'!C145,10))*'V06 Curva'!$B$15,MAX(0,MIN('V06 Motor'!A145*30/'V06 Motor'!C145,12)-MAX(('V06 Motor'!A145-1)*30/'V06 Motor'!C145,11))*'V06 Curva'!$B$16,MAX(0,MIN('V06 Motor'!A145*30/'V06 Motor'!C145,13)-MAX(('V06 Motor'!A145-1)*30/'V06 Motor'!C145,12))*'V06 Curva'!$B$17,MAX(0,MIN('V06 Motor'!A145*30/'V06 Motor'!C145,14)-MAX(('V06 Motor'!A145-1)*30/'V06 Motor'!C145,13))*'V06 Curva'!$B$18,MAX(0,MIN('V06 Motor'!A145*30/'V06 Motor'!C145,15)-MAX(('V06 Motor'!A145-1)*30/'V06 Motor'!C145,14))*'V06 Curva'!$B$19,MAX(0,MIN('V06 Motor'!A145*30/'V06 Motor'!C145,16)-MAX(('V06 Motor'!A145-1)*30/'V06 Motor'!C145,15))*'V06 Curva'!$B$20,MAX(0,MIN('V06 Motor'!A145*30/'V06 Motor'!C145,17)-MAX(('V06 Motor'!A145-1)*30/'V06 Motor'!C145,16))*'V06 Curva'!$B$21,MAX(0,MIN('V06 Motor'!A145*30/'V06 Motor'!C145,18)-MAX(('V06 Motor'!A145-1)*30/'V06 Motor'!C145,17))*'V06 Curva'!$B$22,MAX(0,MIN('V06 Motor'!A145*30/'V06 Motor'!C145,19)-MAX(('V06 Motor'!A145-1)*30/'V06 Motor'!C145,18))*'V06 Curva'!$B$23,MAX(0,MIN('V06 Motor'!A145*30/'V06 Motor'!C145,20)-MAX(('V06 Motor'!A145-1)*30/'V06 Motor'!C145,19))*'V06 Curva'!$B$24,MAX(0,MIN('V06 Motor'!A145*30/'V06 Motor'!C145,21)-MAX(('V06 Motor'!A145-1)*30/'V06 Motor'!C145,20))*'V06 Curva'!$B$25,MAX(0,MIN('V06 Motor'!A145*30/'V06 Motor'!C145,22)-MAX(('V06 Motor'!A145-1)*30/'V06 Motor'!C145,21))*'V06 Curva'!$B$26,MAX(0,MIN('V06 Motor'!A145*30/'V06 Motor'!C145,23)-MAX(('V06 Motor'!A145-1)*30/'V06 Motor'!C145,22))*'V06 Curva'!$B$27,MAX(0,MIN('V06 Motor'!A145*30/'V06 Motor'!C145,24)-MAX(('V06 Motor'!A145-1)*30/'V06 Motor'!C145,23))*'V06 Curva'!$B$28,MAX(0,MIN('V06 Motor'!A145*30/'V06 Motor'!C145,25)-MAX(('V06 Motor'!A145-1)*30/'V06 Motor'!C145,24))*'V06 Curva'!$B$29,MAX(0,MIN('V06 Motor'!A145*30/'V06 Motor'!C145,26)-MAX(('V06 Motor'!A145-1)*30/'V06 Motor'!C145,25))*'V06 Curva'!$B$30,MAX(0,MIN('V06 Motor'!A145*30/'V06 Motor'!C145,27)-MAX(('V06 Motor'!A145-1)*30/'V06 Motor'!C145,26))*'V06 Curva'!$B$31,MAX(0,MIN('V06 Motor'!A145*30/'V06 Motor'!C145,28)-MAX(('V06 Motor'!A145-1)*30/'V06 Motor'!C145,27))*'V06 Curva'!$B$32,MAX(0,MIN('V06 Motor'!A145*30/'V06 Motor'!C145,29)-MAX(('V06 Motor'!A145-1)*30/'V06 Motor'!C145,28))*'V06 Curva'!$B$33,MAX(0,MIN('V06 Motor'!A145*30/'V06 Motor'!C145,30)-MAX(('V06 Motor'!A145-1)*30/'V06 Motor'!C145,29))*'V06 Curva'!$B$34),0)</f>
        <v>0.0</v>
      </c>
      <c r="O145" s="2">
        <f>SUMPRODUCT(--(('V06 Unidades'!$I$5:$I$98+'V06 Controlos'!$B$37)='V06 Motor'!A145),ROUND('V06 Unidades'!$H$5:$H$98*0.05,2)+ROUND('V06 Unidades'!$H$5:$H$98*0.2,2))+SUMPRODUCT(--(IF('V06 Controlos'!$B$38&gt;0,IF(('V06 Unidades'!$L$5:$L$98+'V06 Controlos'!$B$37)&lt;'V06 Motor'!C145,'V06 Motor'!C145,('V06 Unidades'!$L$5:$L$98+'V06 Controlos'!$B$37)),('V06 Unidades'!$L$5:$L$98+'V06 Controlos'!$B$37))='V06 Motor'!A145),'V06 Unidades'!$H$5:$H$98-ROUND('V06 Unidades'!$H$5:$H$98*0.05,2)-ROUND('V06 Unidades'!$H$5:$H$98*0.2,2)-ROUND('V06 Unidades'!$H$5:$H$98*0.55,2))+SUMPRODUCT(--(IF(INT((IF('V06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Controlos'!$B$37)-1)/6),0)&gt;0),--('V06 Motor'!A145&gt;('V06 Unidades'!$I$5:$I$98+'V06 Controlos'!$B$37)),--('V06 Motor'!A145&lt;IF('V06 Controlos'!$B$38&gt;0,IF(('V06 Unidades'!$L$5:$L$98+'V06 Controlos'!$B$37)&lt;'V06 Motor'!C145,'V06 Motor'!C145,('V06 Unidades'!$L$5:$L$98+'V06 Controlos'!$B$37)),('V06 Unidades'!$L$5:$L$98+'V06 Controlos'!$B$37))),--(MOD('V06 Motor'!A145-('V06 Unidades'!$I$5:$I$98+'V06 Controlos'!$B$37),6)=0),--(('V06 Motor'!A145-('V06 Unidades'!$I$5:$I$98+'V06 Controlos'!$B$37))/6&lt;=IF(INT((IF('V06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Controlos'!$B$37)-1)/6),0)),IF('V06 Motor'!A145=('V06 Unidades'!$I$5:$I$98+'V06 Controlos'!$B$37)+6*IF(INT((IF('V06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Controlos'!$B$37)-1)/6),0)&gt;0,IF(INT((IF('V06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Controlos'!$B$37)-1)/6),0),1),2)*(IF(INT((IF('V06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Controlos'!$B$37)-1)/6),0)&gt;0,IF(INT((IF('V06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Controlos'!$B$37)-1)/6)&gt;0,INT((IF('V06 Controlos'!$B$38&gt;0,IF(('V06 Unidades'!$L$5:$L$98+'V06 Controlos'!$B$37)&lt;'V06 Motor'!C145,'V06 Motor'!C145,('V06 Unidades'!$L$5:$L$98+'V06 Controlos'!$B$37)),('V06 Unidades'!$L$5:$L$98+'V06 Controlos'!$B$37))-('V06 Unidades'!$I$5:$I$98+'V06 Controlos'!$B$37)-1)/6),0),1),2)))</f>
        <v>0.0</v>
      </c>
      <c r="P145" s="2">
        <f>SUM('V06 Calend 01'!EW5:EW98)</f>
        <v>0.0</v>
      </c>
    </row>
    <row r="146" spans="1:16">
      <c r="A146">
        <v>142</v>
      </c>
      <c r="C146">
        <v>30</v>
      </c>
      <c r="G146" s="2">
        <f>IF('V06 Motor'!A146&lt;='V06 Motor'!C146,SUMPRODUCT('V06 Curva'!$B$5:$B$34,IF((IF('V06 Motor'!A146*30/'V06 Motor'!C146&lt;'V06 Curva'!$A$5:$A$34,'V06 Motor'!A146*30/'V06 Motor'!C146,'V06 Curva'!$A$5:$A$34)-IF(('V06 Motor'!A146-1)*30/'V06 Motor'!C146&gt;'V06 Curva'!$A$5:$A$34-1,('V06 Motor'!A146-1)*30/'V06 Motor'!C146,'V06 Curva'!$A$5:$A$34-1))&gt;0,(IF('V06 Motor'!A146*30/'V06 Motor'!C146&lt;'V06 Curva'!$A$5:$A$34,'V06 Motor'!A146*30/'V06 Motor'!C146,'V06 Curva'!$A$5:$A$34)-IF(('V06 Motor'!A146-1)*30/'V06 Motor'!C146&gt;'V06 Curva'!$A$5:$A$34-1,('V06 Motor'!A146-1)*30/'V06 Motor'!C146,'V06 Curva'!$A$5:$A$34-1)),0)),0)</f>
        <v>0.0</v>
      </c>
      <c r="H146" s="2">
        <f>IF('V06 Motor'!A146&lt;='V06 Motor'!C146,SUM(MAX(0,MIN('V06 Motor'!A146*30/'V06 Motor'!C146,1)-MAX(('V06 Motor'!A146-1)*30/'V06 Motor'!C146,0))*'V06 Curva'!$B$5,MAX(0,MIN('V06 Motor'!A146*30/'V06 Motor'!C146,2)-MAX(('V06 Motor'!A146-1)*30/'V06 Motor'!C146,1))*'V06 Curva'!$B$6,MAX(0,MIN('V06 Motor'!A146*30/'V06 Motor'!C146,3)-MAX(('V06 Motor'!A146-1)*30/'V06 Motor'!C146,2))*'V06 Curva'!$B$7,MAX(0,MIN('V06 Motor'!A146*30/'V06 Motor'!C146,4)-MAX(('V06 Motor'!A146-1)*30/'V06 Motor'!C146,3))*'V06 Curva'!$B$8,MAX(0,MIN('V06 Motor'!A146*30/'V06 Motor'!C146,5)-MAX(('V06 Motor'!A146-1)*30/'V06 Motor'!C146,4))*'V06 Curva'!$B$9,MAX(0,MIN('V06 Motor'!A146*30/'V06 Motor'!C146,6)-MAX(('V06 Motor'!A146-1)*30/'V06 Motor'!C146,5))*'V06 Curva'!$B$10,MAX(0,MIN('V06 Motor'!A146*30/'V06 Motor'!C146,7)-MAX(('V06 Motor'!A146-1)*30/'V06 Motor'!C146,6))*'V06 Curva'!$B$11,MAX(0,MIN('V06 Motor'!A146*30/'V06 Motor'!C146,8)-MAX(('V06 Motor'!A146-1)*30/'V06 Motor'!C146,7))*'V06 Curva'!$B$12,MAX(0,MIN('V06 Motor'!A146*30/'V06 Motor'!C146,9)-MAX(('V06 Motor'!A146-1)*30/'V06 Motor'!C146,8))*'V06 Curva'!$B$13,MAX(0,MIN('V06 Motor'!A146*30/'V06 Motor'!C146,10)-MAX(('V06 Motor'!A146-1)*30/'V06 Motor'!C146,9))*'V06 Curva'!$B$14,MAX(0,MIN('V06 Motor'!A146*30/'V06 Motor'!C146,11)-MAX(('V06 Motor'!A146-1)*30/'V06 Motor'!C146,10))*'V06 Curva'!$B$15,MAX(0,MIN('V06 Motor'!A146*30/'V06 Motor'!C146,12)-MAX(('V06 Motor'!A146-1)*30/'V06 Motor'!C146,11))*'V06 Curva'!$B$16,MAX(0,MIN('V06 Motor'!A146*30/'V06 Motor'!C146,13)-MAX(('V06 Motor'!A146-1)*30/'V06 Motor'!C146,12))*'V06 Curva'!$B$17,MAX(0,MIN('V06 Motor'!A146*30/'V06 Motor'!C146,14)-MAX(('V06 Motor'!A146-1)*30/'V06 Motor'!C146,13))*'V06 Curva'!$B$18,MAX(0,MIN('V06 Motor'!A146*30/'V06 Motor'!C146,15)-MAX(('V06 Motor'!A146-1)*30/'V06 Motor'!C146,14))*'V06 Curva'!$B$19,MAX(0,MIN('V06 Motor'!A146*30/'V06 Motor'!C146,16)-MAX(('V06 Motor'!A146-1)*30/'V06 Motor'!C146,15))*'V06 Curva'!$B$20,MAX(0,MIN('V06 Motor'!A146*30/'V06 Motor'!C146,17)-MAX(('V06 Motor'!A146-1)*30/'V06 Motor'!C146,16))*'V06 Curva'!$B$21,MAX(0,MIN('V06 Motor'!A146*30/'V06 Motor'!C146,18)-MAX(('V06 Motor'!A146-1)*30/'V06 Motor'!C146,17))*'V06 Curva'!$B$22,MAX(0,MIN('V06 Motor'!A146*30/'V06 Motor'!C146,19)-MAX(('V06 Motor'!A146-1)*30/'V06 Motor'!C146,18))*'V06 Curva'!$B$23,MAX(0,MIN('V06 Motor'!A146*30/'V06 Motor'!C146,20)-MAX(('V06 Motor'!A146-1)*30/'V06 Motor'!C146,19))*'V06 Curva'!$B$24,MAX(0,MIN('V06 Motor'!A146*30/'V06 Motor'!C146,21)-MAX(('V06 Motor'!A146-1)*30/'V06 Motor'!C146,20))*'V06 Curva'!$B$25,MAX(0,MIN('V06 Motor'!A146*30/'V06 Motor'!C146,22)-MAX(('V06 Motor'!A146-1)*30/'V06 Motor'!C146,21))*'V06 Curva'!$B$26,MAX(0,MIN('V06 Motor'!A146*30/'V06 Motor'!C146,23)-MAX(('V06 Motor'!A146-1)*30/'V06 Motor'!C146,22))*'V06 Curva'!$B$27,MAX(0,MIN('V06 Motor'!A146*30/'V06 Motor'!C146,24)-MAX(('V06 Motor'!A146-1)*30/'V06 Motor'!C146,23))*'V06 Curva'!$B$28,MAX(0,MIN('V06 Motor'!A146*30/'V06 Motor'!C146,25)-MAX(('V06 Motor'!A146-1)*30/'V06 Motor'!C146,24))*'V06 Curva'!$B$29,MAX(0,MIN('V06 Motor'!A146*30/'V06 Motor'!C146,26)-MAX(('V06 Motor'!A146-1)*30/'V06 Motor'!C146,25))*'V06 Curva'!$B$30,MAX(0,MIN('V06 Motor'!A146*30/'V06 Motor'!C146,27)-MAX(('V06 Motor'!A146-1)*30/'V06 Motor'!C146,26))*'V06 Curva'!$B$31,MAX(0,MIN('V06 Motor'!A146*30/'V06 Motor'!C146,28)-MAX(('V06 Motor'!A146-1)*30/'V06 Motor'!C146,27))*'V06 Curva'!$B$32,MAX(0,MIN('V06 Motor'!A146*30/'V06 Motor'!C146,29)-MAX(('V06 Motor'!A146-1)*30/'V06 Motor'!C146,28))*'V06 Curva'!$B$33,MAX(0,MIN('V06 Motor'!A146*30/'V06 Motor'!C146,30)-MAX(('V06 Motor'!A146-1)*30/'V06 Motor'!C146,29))*'V06 Curva'!$B$34),0)</f>
        <v>0.0</v>
      </c>
      <c r="O146" s="2">
        <f>SUMPRODUCT(--(('V06 Unidades'!$I$5:$I$98+'V06 Controlos'!$B$37)='V06 Motor'!A146),ROUND('V06 Unidades'!$H$5:$H$98*0.05,2)+ROUND('V06 Unidades'!$H$5:$H$98*0.2,2))+SUMPRODUCT(--(IF('V06 Controlos'!$B$38&gt;0,IF(('V06 Unidades'!$L$5:$L$98+'V06 Controlos'!$B$37)&lt;'V06 Motor'!C146,'V06 Motor'!C146,('V06 Unidades'!$L$5:$L$98+'V06 Controlos'!$B$37)),('V06 Unidades'!$L$5:$L$98+'V06 Controlos'!$B$37))='V06 Motor'!A146),'V06 Unidades'!$H$5:$H$98-ROUND('V06 Unidades'!$H$5:$H$98*0.05,2)-ROUND('V06 Unidades'!$H$5:$H$98*0.2,2)-ROUND('V06 Unidades'!$H$5:$H$98*0.55,2))+SUMPRODUCT(--(IF(INT((IF('V06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Controlos'!$B$37)-1)/6),0)&gt;0),--('V06 Motor'!A146&gt;('V06 Unidades'!$I$5:$I$98+'V06 Controlos'!$B$37)),--('V06 Motor'!A146&lt;IF('V06 Controlos'!$B$38&gt;0,IF(('V06 Unidades'!$L$5:$L$98+'V06 Controlos'!$B$37)&lt;'V06 Motor'!C146,'V06 Motor'!C146,('V06 Unidades'!$L$5:$L$98+'V06 Controlos'!$B$37)),('V06 Unidades'!$L$5:$L$98+'V06 Controlos'!$B$37))),--(MOD('V06 Motor'!A146-('V06 Unidades'!$I$5:$I$98+'V06 Controlos'!$B$37),6)=0),--(('V06 Motor'!A146-('V06 Unidades'!$I$5:$I$98+'V06 Controlos'!$B$37))/6&lt;=IF(INT((IF('V06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Controlos'!$B$37)-1)/6),0)),IF('V06 Motor'!A146=('V06 Unidades'!$I$5:$I$98+'V06 Controlos'!$B$37)+6*IF(INT((IF('V06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Controlos'!$B$37)-1)/6),0)&gt;0,IF(INT((IF('V06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Controlos'!$B$37)-1)/6),0),1),2)*(IF(INT((IF('V06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Controlos'!$B$37)-1)/6),0)&gt;0,IF(INT((IF('V06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Controlos'!$B$37)-1)/6)&gt;0,INT((IF('V06 Controlos'!$B$38&gt;0,IF(('V06 Unidades'!$L$5:$L$98+'V06 Controlos'!$B$37)&lt;'V06 Motor'!C146,'V06 Motor'!C146,('V06 Unidades'!$L$5:$L$98+'V06 Controlos'!$B$37)),('V06 Unidades'!$L$5:$L$98+'V06 Controlos'!$B$37))-('V06 Unidades'!$I$5:$I$98+'V06 Controlos'!$B$37)-1)/6),0),1),2)))</f>
        <v>0.0</v>
      </c>
      <c r="P146" s="2">
        <f>SUM('V06 Calend 01'!EX5:EX98)</f>
        <v>0.0</v>
      </c>
    </row>
    <row r="147" spans="1:16">
      <c r="A147">
        <v>143</v>
      </c>
      <c r="C147">
        <v>30</v>
      </c>
      <c r="G147" s="2">
        <f>IF('V06 Motor'!A147&lt;='V06 Motor'!C147,SUMPRODUCT('V06 Curva'!$B$5:$B$34,IF((IF('V06 Motor'!A147*30/'V06 Motor'!C147&lt;'V06 Curva'!$A$5:$A$34,'V06 Motor'!A147*30/'V06 Motor'!C147,'V06 Curva'!$A$5:$A$34)-IF(('V06 Motor'!A147-1)*30/'V06 Motor'!C147&gt;'V06 Curva'!$A$5:$A$34-1,('V06 Motor'!A147-1)*30/'V06 Motor'!C147,'V06 Curva'!$A$5:$A$34-1))&gt;0,(IF('V06 Motor'!A147*30/'V06 Motor'!C147&lt;'V06 Curva'!$A$5:$A$34,'V06 Motor'!A147*30/'V06 Motor'!C147,'V06 Curva'!$A$5:$A$34)-IF(('V06 Motor'!A147-1)*30/'V06 Motor'!C147&gt;'V06 Curva'!$A$5:$A$34-1,('V06 Motor'!A147-1)*30/'V06 Motor'!C147,'V06 Curva'!$A$5:$A$34-1)),0)),0)</f>
        <v>0.0</v>
      </c>
      <c r="H147" s="2">
        <f>IF('V06 Motor'!A147&lt;='V06 Motor'!C147,SUM(MAX(0,MIN('V06 Motor'!A147*30/'V06 Motor'!C147,1)-MAX(('V06 Motor'!A147-1)*30/'V06 Motor'!C147,0))*'V06 Curva'!$B$5,MAX(0,MIN('V06 Motor'!A147*30/'V06 Motor'!C147,2)-MAX(('V06 Motor'!A147-1)*30/'V06 Motor'!C147,1))*'V06 Curva'!$B$6,MAX(0,MIN('V06 Motor'!A147*30/'V06 Motor'!C147,3)-MAX(('V06 Motor'!A147-1)*30/'V06 Motor'!C147,2))*'V06 Curva'!$B$7,MAX(0,MIN('V06 Motor'!A147*30/'V06 Motor'!C147,4)-MAX(('V06 Motor'!A147-1)*30/'V06 Motor'!C147,3))*'V06 Curva'!$B$8,MAX(0,MIN('V06 Motor'!A147*30/'V06 Motor'!C147,5)-MAX(('V06 Motor'!A147-1)*30/'V06 Motor'!C147,4))*'V06 Curva'!$B$9,MAX(0,MIN('V06 Motor'!A147*30/'V06 Motor'!C147,6)-MAX(('V06 Motor'!A147-1)*30/'V06 Motor'!C147,5))*'V06 Curva'!$B$10,MAX(0,MIN('V06 Motor'!A147*30/'V06 Motor'!C147,7)-MAX(('V06 Motor'!A147-1)*30/'V06 Motor'!C147,6))*'V06 Curva'!$B$11,MAX(0,MIN('V06 Motor'!A147*30/'V06 Motor'!C147,8)-MAX(('V06 Motor'!A147-1)*30/'V06 Motor'!C147,7))*'V06 Curva'!$B$12,MAX(0,MIN('V06 Motor'!A147*30/'V06 Motor'!C147,9)-MAX(('V06 Motor'!A147-1)*30/'V06 Motor'!C147,8))*'V06 Curva'!$B$13,MAX(0,MIN('V06 Motor'!A147*30/'V06 Motor'!C147,10)-MAX(('V06 Motor'!A147-1)*30/'V06 Motor'!C147,9))*'V06 Curva'!$B$14,MAX(0,MIN('V06 Motor'!A147*30/'V06 Motor'!C147,11)-MAX(('V06 Motor'!A147-1)*30/'V06 Motor'!C147,10))*'V06 Curva'!$B$15,MAX(0,MIN('V06 Motor'!A147*30/'V06 Motor'!C147,12)-MAX(('V06 Motor'!A147-1)*30/'V06 Motor'!C147,11))*'V06 Curva'!$B$16,MAX(0,MIN('V06 Motor'!A147*30/'V06 Motor'!C147,13)-MAX(('V06 Motor'!A147-1)*30/'V06 Motor'!C147,12))*'V06 Curva'!$B$17,MAX(0,MIN('V06 Motor'!A147*30/'V06 Motor'!C147,14)-MAX(('V06 Motor'!A147-1)*30/'V06 Motor'!C147,13))*'V06 Curva'!$B$18,MAX(0,MIN('V06 Motor'!A147*30/'V06 Motor'!C147,15)-MAX(('V06 Motor'!A147-1)*30/'V06 Motor'!C147,14))*'V06 Curva'!$B$19,MAX(0,MIN('V06 Motor'!A147*30/'V06 Motor'!C147,16)-MAX(('V06 Motor'!A147-1)*30/'V06 Motor'!C147,15))*'V06 Curva'!$B$20,MAX(0,MIN('V06 Motor'!A147*30/'V06 Motor'!C147,17)-MAX(('V06 Motor'!A147-1)*30/'V06 Motor'!C147,16))*'V06 Curva'!$B$21,MAX(0,MIN('V06 Motor'!A147*30/'V06 Motor'!C147,18)-MAX(('V06 Motor'!A147-1)*30/'V06 Motor'!C147,17))*'V06 Curva'!$B$22,MAX(0,MIN('V06 Motor'!A147*30/'V06 Motor'!C147,19)-MAX(('V06 Motor'!A147-1)*30/'V06 Motor'!C147,18))*'V06 Curva'!$B$23,MAX(0,MIN('V06 Motor'!A147*30/'V06 Motor'!C147,20)-MAX(('V06 Motor'!A147-1)*30/'V06 Motor'!C147,19))*'V06 Curva'!$B$24,MAX(0,MIN('V06 Motor'!A147*30/'V06 Motor'!C147,21)-MAX(('V06 Motor'!A147-1)*30/'V06 Motor'!C147,20))*'V06 Curva'!$B$25,MAX(0,MIN('V06 Motor'!A147*30/'V06 Motor'!C147,22)-MAX(('V06 Motor'!A147-1)*30/'V06 Motor'!C147,21))*'V06 Curva'!$B$26,MAX(0,MIN('V06 Motor'!A147*30/'V06 Motor'!C147,23)-MAX(('V06 Motor'!A147-1)*30/'V06 Motor'!C147,22))*'V06 Curva'!$B$27,MAX(0,MIN('V06 Motor'!A147*30/'V06 Motor'!C147,24)-MAX(('V06 Motor'!A147-1)*30/'V06 Motor'!C147,23))*'V06 Curva'!$B$28,MAX(0,MIN('V06 Motor'!A147*30/'V06 Motor'!C147,25)-MAX(('V06 Motor'!A147-1)*30/'V06 Motor'!C147,24))*'V06 Curva'!$B$29,MAX(0,MIN('V06 Motor'!A147*30/'V06 Motor'!C147,26)-MAX(('V06 Motor'!A147-1)*30/'V06 Motor'!C147,25))*'V06 Curva'!$B$30,MAX(0,MIN('V06 Motor'!A147*30/'V06 Motor'!C147,27)-MAX(('V06 Motor'!A147-1)*30/'V06 Motor'!C147,26))*'V06 Curva'!$B$31,MAX(0,MIN('V06 Motor'!A147*30/'V06 Motor'!C147,28)-MAX(('V06 Motor'!A147-1)*30/'V06 Motor'!C147,27))*'V06 Curva'!$B$32,MAX(0,MIN('V06 Motor'!A147*30/'V06 Motor'!C147,29)-MAX(('V06 Motor'!A147-1)*30/'V06 Motor'!C147,28))*'V06 Curva'!$B$33,MAX(0,MIN('V06 Motor'!A147*30/'V06 Motor'!C147,30)-MAX(('V06 Motor'!A147-1)*30/'V06 Motor'!C147,29))*'V06 Curva'!$B$34),0)</f>
        <v>0.0</v>
      </c>
      <c r="O147" s="2">
        <f>SUMPRODUCT(--(('V06 Unidades'!$I$5:$I$98+'V06 Controlos'!$B$37)='V06 Motor'!A147),ROUND('V06 Unidades'!$H$5:$H$98*0.05,2)+ROUND('V06 Unidades'!$H$5:$H$98*0.2,2))+SUMPRODUCT(--(IF('V06 Controlos'!$B$38&gt;0,IF(('V06 Unidades'!$L$5:$L$98+'V06 Controlos'!$B$37)&lt;'V06 Motor'!C147,'V06 Motor'!C147,('V06 Unidades'!$L$5:$L$98+'V06 Controlos'!$B$37)),('V06 Unidades'!$L$5:$L$98+'V06 Controlos'!$B$37))='V06 Motor'!A147),'V06 Unidades'!$H$5:$H$98-ROUND('V06 Unidades'!$H$5:$H$98*0.05,2)-ROUND('V06 Unidades'!$H$5:$H$98*0.2,2)-ROUND('V06 Unidades'!$H$5:$H$98*0.55,2))+SUMPRODUCT(--(IF(INT((IF('V06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Controlos'!$B$37)-1)/6),0)&gt;0),--('V06 Motor'!A147&gt;('V06 Unidades'!$I$5:$I$98+'V06 Controlos'!$B$37)),--('V06 Motor'!A147&lt;IF('V06 Controlos'!$B$38&gt;0,IF(('V06 Unidades'!$L$5:$L$98+'V06 Controlos'!$B$37)&lt;'V06 Motor'!C147,'V06 Motor'!C147,('V06 Unidades'!$L$5:$L$98+'V06 Controlos'!$B$37)),('V06 Unidades'!$L$5:$L$98+'V06 Controlos'!$B$37))),--(MOD('V06 Motor'!A147-('V06 Unidades'!$I$5:$I$98+'V06 Controlos'!$B$37),6)=0),--(('V06 Motor'!A147-('V06 Unidades'!$I$5:$I$98+'V06 Controlos'!$B$37))/6&lt;=IF(INT((IF('V06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Controlos'!$B$37)-1)/6),0)),IF('V06 Motor'!A147=('V06 Unidades'!$I$5:$I$98+'V06 Controlos'!$B$37)+6*IF(INT((IF('V06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Controlos'!$B$37)-1)/6),0)&gt;0,IF(INT((IF('V06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Controlos'!$B$37)-1)/6),0),1),2)*(IF(INT((IF('V06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Controlos'!$B$37)-1)/6),0)&gt;0,IF(INT((IF('V06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Controlos'!$B$37)-1)/6)&gt;0,INT((IF('V06 Controlos'!$B$38&gt;0,IF(('V06 Unidades'!$L$5:$L$98+'V06 Controlos'!$B$37)&lt;'V06 Motor'!C147,'V06 Motor'!C147,('V06 Unidades'!$L$5:$L$98+'V06 Controlos'!$B$37)),('V06 Unidades'!$L$5:$L$98+'V06 Controlos'!$B$37))-('V06 Unidades'!$I$5:$I$98+'V06 Controlos'!$B$37)-1)/6),0),1),2)))</f>
        <v>0.0</v>
      </c>
      <c r="P147" s="2">
        <f>SUM('V06 Calend 01'!EY5:EY98)</f>
        <v>0.0</v>
      </c>
    </row>
    <row r="148" spans="1:16">
      <c r="A148">
        <v>144</v>
      </c>
      <c r="C148">
        <v>30</v>
      </c>
      <c r="G148" s="2">
        <f>IF('V06 Motor'!A148&lt;='V06 Motor'!C148,SUMPRODUCT('V06 Curva'!$B$5:$B$34,IF((IF('V06 Motor'!A148*30/'V06 Motor'!C148&lt;'V06 Curva'!$A$5:$A$34,'V06 Motor'!A148*30/'V06 Motor'!C148,'V06 Curva'!$A$5:$A$34)-IF(('V06 Motor'!A148-1)*30/'V06 Motor'!C148&gt;'V06 Curva'!$A$5:$A$34-1,('V06 Motor'!A148-1)*30/'V06 Motor'!C148,'V06 Curva'!$A$5:$A$34-1))&gt;0,(IF('V06 Motor'!A148*30/'V06 Motor'!C148&lt;'V06 Curva'!$A$5:$A$34,'V06 Motor'!A148*30/'V06 Motor'!C148,'V06 Curva'!$A$5:$A$34)-IF(('V06 Motor'!A148-1)*30/'V06 Motor'!C148&gt;'V06 Curva'!$A$5:$A$34-1,('V06 Motor'!A148-1)*30/'V06 Motor'!C148,'V06 Curva'!$A$5:$A$34-1)),0)),0)</f>
        <v>0.0</v>
      </c>
      <c r="H148" s="2">
        <f>IF('V06 Motor'!A148&lt;='V06 Motor'!C148,SUM(MAX(0,MIN('V06 Motor'!A148*30/'V06 Motor'!C148,1)-MAX(('V06 Motor'!A148-1)*30/'V06 Motor'!C148,0))*'V06 Curva'!$B$5,MAX(0,MIN('V06 Motor'!A148*30/'V06 Motor'!C148,2)-MAX(('V06 Motor'!A148-1)*30/'V06 Motor'!C148,1))*'V06 Curva'!$B$6,MAX(0,MIN('V06 Motor'!A148*30/'V06 Motor'!C148,3)-MAX(('V06 Motor'!A148-1)*30/'V06 Motor'!C148,2))*'V06 Curva'!$B$7,MAX(0,MIN('V06 Motor'!A148*30/'V06 Motor'!C148,4)-MAX(('V06 Motor'!A148-1)*30/'V06 Motor'!C148,3))*'V06 Curva'!$B$8,MAX(0,MIN('V06 Motor'!A148*30/'V06 Motor'!C148,5)-MAX(('V06 Motor'!A148-1)*30/'V06 Motor'!C148,4))*'V06 Curva'!$B$9,MAX(0,MIN('V06 Motor'!A148*30/'V06 Motor'!C148,6)-MAX(('V06 Motor'!A148-1)*30/'V06 Motor'!C148,5))*'V06 Curva'!$B$10,MAX(0,MIN('V06 Motor'!A148*30/'V06 Motor'!C148,7)-MAX(('V06 Motor'!A148-1)*30/'V06 Motor'!C148,6))*'V06 Curva'!$B$11,MAX(0,MIN('V06 Motor'!A148*30/'V06 Motor'!C148,8)-MAX(('V06 Motor'!A148-1)*30/'V06 Motor'!C148,7))*'V06 Curva'!$B$12,MAX(0,MIN('V06 Motor'!A148*30/'V06 Motor'!C148,9)-MAX(('V06 Motor'!A148-1)*30/'V06 Motor'!C148,8))*'V06 Curva'!$B$13,MAX(0,MIN('V06 Motor'!A148*30/'V06 Motor'!C148,10)-MAX(('V06 Motor'!A148-1)*30/'V06 Motor'!C148,9))*'V06 Curva'!$B$14,MAX(0,MIN('V06 Motor'!A148*30/'V06 Motor'!C148,11)-MAX(('V06 Motor'!A148-1)*30/'V06 Motor'!C148,10))*'V06 Curva'!$B$15,MAX(0,MIN('V06 Motor'!A148*30/'V06 Motor'!C148,12)-MAX(('V06 Motor'!A148-1)*30/'V06 Motor'!C148,11))*'V06 Curva'!$B$16,MAX(0,MIN('V06 Motor'!A148*30/'V06 Motor'!C148,13)-MAX(('V06 Motor'!A148-1)*30/'V06 Motor'!C148,12))*'V06 Curva'!$B$17,MAX(0,MIN('V06 Motor'!A148*30/'V06 Motor'!C148,14)-MAX(('V06 Motor'!A148-1)*30/'V06 Motor'!C148,13))*'V06 Curva'!$B$18,MAX(0,MIN('V06 Motor'!A148*30/'V06 Motor'!C148,15)-MAX(('V06 Motor'!A148-1)*30/'V06 Motor'!C148,14))*'V06 Curva'!$B$19,MAX(0,MIN('V06 Motor'!A148*30/'V06 Motor'!C148,16)-MAX(('V06 Motor'!A148-1)*30/'V06 Motor'!C148,15))*'V06 Curva'!$B$20,MAX(0,MIN('V06 Motor'!A148*30/'V06 Motor'!C148,17)-MAX(('V06 Motor'!A148-1)*30/'V06 Motor'!C148,16))*'V06 Curva'!$B$21,MAX(0,MIN('V06 Motor'!A148*30/'V06 Motor'!C148,18)-MAX(('V06 Motor'!A148-1)*30/'V06 Motor'!C148,17))*'V06 Curva'!$B$22,MAX(0,MIN('V06 Motor'!A148*30/'V06 Motor'!C148,19)-MAX(('V06 Motor'!A148-1)*30/'V06 Motor'!C148,18))*'V06 Curva'!$B$23,MAX(0,MIN('V06 Motor'!A148*30/'V06 Motor'!C148,20)-MAX(('V06 Motor'!A148-1)*30/'V06 Motor'!C148,19))*'V06 Curva'!$B$24,MAX(0,MIN('V06 Motor'!A148*30/'V06 Motor'!C148,21)-MAX(('V06 Motor'!A148-1)*30/'V06 Motor'!C148,20))*'V06 Curva'!$B$25,MAX(0,MIN('V06 Motor'!A148*30/'V06 Motor'!C148,22)-MAX(('V06 Motor'!A148-1)*30/'V06 Motor'!C148,21))*'V06 Curva'!$B$26,MAX(0,MIN('V06 Motor'!A148*30/'V06 Motor'!C148,23)-MAX(('V06 Motor'!A148-1)*30/'V06 Motor'!C148,22))*'V06 Curva'!$B$27,MAX(0,MIN('V06 Motor'!A148*30/'V06 Motor'!C148,24)-MAX(('V06 Motor'!A148-1)*30/'V06 Motor'!C148,23))*'V06 Curva'!$B$28,MAX(0,MIN('V06 Motor'!A148*30/'V06 Motor'!C148,25)-MAX(('V06 Motor'!A148-1)*30/'V06 Motor'!C148,24))*'V06 Curva'!$B$29,MAX(0,MIN('V06 Motor'!A148*30/'V06 Motor'!C148,26)-MAX(('V06 Motor'!A148-1)*30/'V06 Motor'!C148,25))*'V06 Curva'!$B$30,MAX(0,MIN('V06 Motor'!A148*30/'V06 Motor'!C148,27)-MAX(('V06 Motor'!A148-1)*30/'V06 Motor'!C148,26))*'V06 Curva'!$B$31,MAX(0,MIN('V06 Motor'!A148*30/'V06 Motor'!C148,28)-MAX(('V06 Motor'!A148-1)*30/'V06 Motor'!C148,27))*'V06 Curva'!$B$32,MAX(0,MIN('V06 Motor'!A148*30/'V06 Motor'!C148,29)-MAX(('V06 Motor'!A148-1)*30/'V06 Motor'!C148,28))*'V06 Curva'!$B$33,MAX(0,MIN('V06 Motor'!A148*30/'V06 Motor'!C148,30)-MAX(('V06 Motor'!A148-1)*30/'V06 Motor'!C148,29))*'V06 Curva'!$B$34),0)</f>
        <v>0.0</v>
      </c>
      <c r="O148" s="2">
        <f>SUMPRODUCT(--(('V06 Unidades'!$I$5:$I$98+'V06 Controlos'!$B$37)='V06 Motor'!A148),ROUND('V06 Unidades'!$H$5:$H$98*0.05,2)+ROUND('V06 Unidades'!$H$5:$H$98*0.2,2))+SUMPRODUCT(--(IF('V06 Controlos'!$B$38&gt;0,IF(('V06 Unidades'!$L$5:$L$98+'V06 Controlos'!$B$37)&lt;'V06 Motor'!C148,'V06 Motor'!C148,('V06 Unidades'!$L$5:$L$98+'V06 Controlos'!$B$37)),('V06 Unidades'!$L$5:$L$98+'V06 Controlos'!$B$37))='V06 Motor'!A148),'V06 Unidades'!$H$5:$H$98-ROUND('V06 Unidades'!$H$5:$H$98*0.05,2)-ROUND('V06 Unidades'!$H$5:$H$98*0.2,2)-ROUND('V06 Unidades'!$H$5:$H$98*0.55,2))+SUMPRODUCT(--(IF(INT((IF('V06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Controlos'!$B$37)-1)/6),0)&gt;0),--('V06 Motor'!A148&gt;('V06 Unidades'!$I$5:$I$98+'V06 Controlos'!$B$37)),--('V06 Motor'!A148&lt;IF('V06 Controlos'!$B$38&gt;0,IF(('V06 Unidades'!$L$5:$L$98+'V06 Controlos'!$B$37)&lt;'V06 Motor'!C148,'V06 Motor'!C148,('V06 Unidades'!$L$5:$L$98+'V06 Controlos'!$B$37)),('V06 Unidades'!$L$5:$L$98+'V06 Controlos'!$B$37))),--(MOD('V06 Motor'!A148-('V06 Unidades'!$I$5:$I$98+'V06 Controlos'!$B$37),6)=0),--(('V06 Motor'!A148-('V06 Unidades'!$I$5:$I$98+'V06 Controlos'!$B$37))/6&lt;=IF(INT((IF('V06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Controlos'!$B$37)-1)/6),0)),IF('V06 Motor'!A148=('V06 Unidades'!$I$5:$I$98+'V06 Controlos'!$B$37)+6*IF(INT((IF('V06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Controlos'!$B$37)-1)/6),0)&gt;0,IF(INT((IF('V06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Controlos'!$B$37)-1)/6),0),1),2)*(IF(INT((IF('V06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Controlos'!$B$37)-1)/6),0)&gt;0,IF(INT((IF('V06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Controlos'!$B$37)-1)/6)&gt;0,INT((IF('V06 Controlos'!$B$38&gt;0,IF(('V06 Unidades'!$L$5:$L$98+'V06 Controlos'!$B$37)&lt;'V06 Motor'!C148,'V06 Motor'!C148,('V06 Unidades'!$L$5:$L$98+'V06 Controlos'!$B$37)),('V06 Unidades'!$L$5:$L$98+'V06 Controlos'!$B$37))-('V06 Unidades'!$I$5:$I$98+'V06 Controlos'!$B$37)-1)/6),0),1),2)))</f>
        <v>0.0</v>
      </c>
      <c r="P148" s="2">
        <f>SUM('V06 Calend 01'!EZ5:EZ98)</f>
        <v>0.0</v>
      </c>
    </row>
    <row r="149" spans="1:16">
      <c r="A149">
        <v>145</v>
      </c>
      <c r="C149">
        <v>30</v>
      </c>
      <c r="G149" s="2">
        <f>IF('V06 Motor'!A149&lt;='V06 Motor'!C149,SUMPRODUCT('V06 Curva'!$B$5:$B$34,IF((IF('V06 Motor'!A149*30/'V06 Motor'!C149&lt;'V06 Curva'!$A$5:$A$34,'V06 Motor'!A149*30/'V06 Motor'!C149,'V06 Curva'!$A$5:$A$34)-IF(('V06 Motor'!A149-1)*30/'V06 Motor'!C149&gt;'V06 Curva'!$A$5:$A$34-1,('V06 Motor'!A149-1)*30/'V06 Motor'!C149,'V06 Curva'!$A$5:$A$34-1))&gt;0,(IF('V06 Motor'!A149*30/'V06 Motor'!C149&lt;'V06 Curva'!$A$5:$A$34,'V06 Motor'!A149*30/'V06 Motor'!C149,'V06 Curva'!$A$5:$A$34)-IF(('V06 Motor'!A149-1)*30/'V06 Motor'!C149&gt;'V06 Curva'!$A$5:$A$34-1,('V06 Motor'!A149-1)*30/'V06 Motor'!C149,'V06 Curva'!$A$5:$A$34-1)),0)),0)</f>
        <v>0.0</v>
      </c>
      <c r="H149" s="2">
        <f>IF('V06 Motor'!A149&lt;='V06 Motor'!C149,SUM(MAX(0,MIN('V06 Motor'!A149*30/'V06 Motor'!C149,1)-MAX(('V06 Motor'!A149-1)*30/'V06 Motor'!C149,0))*'V06 Curva'!$B$5,MAX(0,MIN('V06 Motor'!A149*30/'V06 Motor'!C149,2)-MAX(('V06 Motor'!A149-1)*30/'V06 Motor'!C149,1))*'V06 Curva'!$B$6,MAX(0,MIN('V06 Motor'!A149*30/'V06 Motor'!C149,3)-MAX(('V06 Motor'!A149-1)*30/'V06 Motor'!C149,2))*'V06 Curva'!$B$7,MAX(0,MIN('V06 Motor'!A149*30/'V06 Motor'!C149,4)-MAX(('V06 Motor'!A149-1)*30/'V06 Motor'!C149,3))*'V06 Curva'!$B$8,MAX(0,MIN('V06 Motor'!A149*30/'V06 Motor'!C149,5)-MAX(('V06 Motor'!A149-1)*30/'V06 Motor'!C149,4))*'V06 Curva'!$B$9,MAX(0,MIN('V06 Motor'!A149*30/'V06 Motor'!C149,6)-MAX(('V06 Motor'!A149-1)*30/'V06 Motor'!C149,5))*'V06 Curva'!$B$10,MAX(0,MIN('V06 Motor'!A149*30/'V06 Motor'!C149,7)-MAX(('V06 Motor'!A149-1)*30/'V06 Motor'!C149,6))*'V06 Curva'!$B$11,MAX(0,MIN('V06 Motor'!A149*30/'V06 Motor'!C149,8)-MAX(('V06 Motor'!A149-1)*30/'V06 Motor'!C149,7))*'V06 Curva'!$B$12,MAX(0,MIN('V06 Motor'!A149*30/'V06 Motor'!C149,9)-MAX(('V06 Motor'!A149-1)*30/'V06 Motor'!C149,8))*'V06 Curva'!$B$13,MAX(0,MIN('V06 Motor'!A149*30/'V06 Motor'!C149,10)-MAX(('V06 Motor'!A149-1)*30/'V06 Motor'!C149,9))*'V06 Curva'!$B$14,MAX(0,MIN('V06 Motor'!A149*30/'V06 Motor'!C149,11)-MAX(('V06 Motor'!A149-1)*30/'V06 Motor'!C149,10))*'V06 Curva'!$B$15,MAX(0,MIN('V06 Motor'!A149*30/'V06 Motor'!C149,12)-MAX(('V06 Motor'!A149-1)*30/'V06 Motor'!C149,11))*'V06 Curva'!$B$16,MAX(0,MIN('V06 Motor'!A149*30/'V06 Motor'!C149,13)-MAX(('V06 Motor'!A149-1)*30/'V06 Motor'!C149,12))*'V06 Curva'!$B$17,MAX(0,MIN('V06 Motor'!A149*30/'V06 Motor'!C149,14)-MAX(('V06 Motor'!A149-1)*30/'V06 Motor'!C149,13))*'V06 Curva'!$B$18,MAX(0,MIN('V06 Motor'!A149*30/'V06 Motor'!C149,15)-MAX(('V06 Motor'!A149-1)*30/'V06 Motor'!C149,14))*'V06 Curva'!$B$19,MAX(0,MIN('V06 Motor'!A149*30/'V06 Motor'!C149,16)-MAX(('V06 Motor'!A149-1)*30/'V06 Motor'!C149,15))*'V06 Curva'!$B$20,MAX(0,MIN('V06 Motor'!A149*30/'V06 Motor'!C149,17)-MAX(('V06 Motor'!A149-1)*30/'V06 Motor'!C149,16))*'V06 Curva'!$B$21,MAX(0,MIN('V06 Motor'!A149*30/'V06 Motor'!C149,18)-MAX(('V06 Motor'!A149-1)*30/'V06 Motor'!C149,17))*'V06 Curva'!$B$22,MAX(0,MIN('V06 Motor'!A149*30/'V06 Motor'!C149,19)-MAX(('V06 Motor'!A149-1)*30/'V06 Motor'!C149,18))*'V06 Curva'!$B$23,MAX(0,MIN('V06 Motor'!A149*30/'V06 Motor'!C149,20)-MAX(('V06 Motor'!A149-1)*30/'V06 Motor'!C149,19))*'V06 Curva'!$B$24,MAX(0,MIN('V06 Motor'!A149*30/'V06 Motor'!C149,21)-MAX(('V06 Motor'!A149-1)*30/'V06 Motor'!C149,20))*'V06 Curva'!$B$25,MAX(0,MIN('V06 Motor'!A149*30/'V06 Motor'!C149,22)-MAX(('V06 Motor'!A149-1)*30/'V06 Motor'!C149,21))*'V06 Curva'!$B$26,MAX(0,MIN('V06 Motor'!A149*30/'V06 Motor'!C149,23)-MAX(('V06 Motor'!A149-1)*30/'V06 Motor'!C149,22))*'V06 Curva'!$B$27,MAX(0,MIN('V06 Motor'!A149*30/'V06 Motor'!C149,24)-MAX(('V06 Motor'!A149-1)*30/'V06 Motor'!C149,23))*'V06 Curva'!$B$28,MAX(0,MIN('V06 Motor'!A149*30/'V06 Motor'!C149,25)-MAX(('V06 Motor'!A149-1)*30/'V06 Motor'!C149,24))*'V06 Curva'!$B$29,MAX(0,MIN('V06 Motor'!A149*30/'V06 Motor'!C149,26)-MAX(('V06 Motor'!A149-1)*30/'V06 Motor'!C149,25))*'V06 Curva'!$B$30,MAX(0,MIN('V06 Motor'!A149*30/'V06 Motor'!C149,27)-MAX(('V06 Motor'!A149-1)*30/'V06 Motor'!C149,26))*'V06 Curva'!$B$31,MAX(0,MIN('V06 Motor'!A149*30/'V06 Motor'!C149,28)-MAX(('V06 Motor'!A149-1)*30/'V06 Motor'!C149,27))*'V06 Curva'!$B$32,MAX(0,MIN('V06 Motor'!A149*30/'V06 Motor'!C149,29)-MAX(('V06 Motor'!A149-1)*30/'V06 Motor'!C149,28))*'V06 Curva'!$B$33,MAX(0,MIN('V06 Motor'!A149*30/'V06 Motor'!C149,30)-MAX(('V06 Motor'!A149-1)*30/'V06 Motor'!C149,29))*'V06 Curva'!$B$34),0)</f>
        <v>0.0</v>
      </c>
      <c r="O149" s="2">
        <f>SUMPRODUCT(--(('V06 Unidades'!$I$5:$I$98+'V06 Controlos'!$B$37)='V06 Motor'!A149),ROUND('V06 Unidades'!$H$5:$H$98*0.05,2)+ROUND('V06 Unidades'!$H$5:$H$98*0.2,2))+SUMPRODUCT(--(IF('V06 Controlos'!$B$38&gt;0,IF(('V06 Unidades'!$L$5:$L$98+'V06 Controlos'!$B$37)&lt;'V06 Motor'!C149,'V06 Motor'!C149,('V06 Unidades'!$L$5:$L$98+'V06 Controlos'!$B$37)),('V06 Unidades'!$L$5:$L$98+'V06 Controlos'!$B$37))='V06 Motor'!A149),'V06 Unidades'!$H$5:$H$98-ROUND('V06 Unidades'!$H$5:$H$98*0.05,2)-ROUND('V06 Unidades'!$H$5:$H$98*0.2,2)-ROUND('V06 Unidades'!$H$5:$H$98*0.55,2))+SUMPRODUCT(--(IF(INT((IF('V06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Controlos'!$B$37)-1)/6),0)&gt;0),--('V06 Motor'!A149&gt;('V06 Unidades'!$I$5:$I$98+'V06 Controlos'!$B$37)),--('V06 Motor'!A149&lt;IF('V06 Controlos'!$B$38&gt;0,IF(('V06 Unidades'!$L$5:$L$98+'V06 Controlos'!$B$37)&lt;'V06 Motor'!C149,'V06 Motor'!C149,('V06 Unidades'!$L$5:$L$98+'V06 Controlos'!$B$37)),('V06 Unidades'!$L$5:$L$98+'V06 Controlos'!$B$37))),--(MOD('V06 Motor'!A149-('V06 Unidades'!$I$5:$I$98+'V06 Controlos'!$B$37),6)=0),--(('V06 Motor'!A149-('V06 Unidades'!$I$5:$I$98+'V06 Controlos'!$B$37))/6&lt;=IF(INT((IF('V06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Controlos'!$B$37)-1)/6),0)),IF('V06 Motor'!A149=('V06 Unidades'!$I$5:$I$98+'V06 Controlos'!$B$37)+6*IF(INT((IF('V06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Controlos'!$B$37)-1)/6),0)&gt;0,IF(INT((IF('V06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Controlos'!$B$37)-1)/6),0),1),2)*(IF(INT((IF('V06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Controlos'!$B$37)-1)/6),0)&gt;0,IF(INT((IF('V06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Controlos'!$B$37)-1)/6)&gt;0,INT((IF('V06 Controlos'!$B$38&gt;0,IF(('V06 Unidades'!$L$5:$L$98+'V06 Controlos'!$B$37)&lt;'V06 Motor'!C149,'V06 Motor'!C149,('V06 Unidades'!$L$5:$L$98+'V06 Controlos'!$B$37)),('V06 Unidades'!$L$5:$L$98+'V06 Controlos'!$B$37))-('V06 Unidades'!$I$5:$I$98+'V06 Controlos'!$B$37)-1)/6),0),1),2)))</f>
        <v>0.0</v>
      </c>
      <c r="P149" s="2">
        <f>SUM('V06 Calend 01'!FA5:FA98)</f>
        <v>0.0</v>
      </c>
    </row>
    <row r="150" spans="1:16">
      <c r="A150">
        <v>146</v>
      </c>
      <c r="C150">
        <v>30</v>
      </c>
      <c r="G150" s="2">
        <f>IF('V06 Motor'!A150&lt;='V06 Motor'!C150,SUMPRODUCT('V06 Curva'!$B$5:$B$34,IF((IF('V06 Motor'!A150*30/'V06 Motor'!C150&lt;'V06 Curva'!$A$5:$A$34,'V06 Motor'!A150*30/'V06 Motor'!C150,'V06 Curva'!$A$5:$A$34)-IF(('V06 Motor'!A150-1)*30/'V06 Motor'!C150&gt;'V06 Curva'!$A$5:$A$34-1,('V06 Motor'!A150-1)*30/'V06 Motor'!C150,'V06 Curva'!$A$5:$A$34-1))&gt;0,(IF('V06 Motor'!A150*30/'V06 Motor'!C150&lt;'V06 Curva'!$A$5:$A$34,'V06 Motor'!A150*30/'V06 Motor'!C150,'V06 Curva'!$A$5:$A$34)-IF(('V06 Motor'!A150-1)*30/'V06 Motor'!C150&gt;'V06 Curva'!$A$5:$A$34-1,('V06 Motor'!A150-1)*30/'V06 Motor'!C150,'V06 Curva'!$A$5:$A$34-1)),0)),0)</f>
        <v>0.0</v>
      </c>
      <c r="H150" s="2">
        <f>IF('V06 Motor'!A150&lt;='V06 Motor'!C150,SUM(MAX(0,MIN('V06 Motor'!A150*30/'V06 Motor'!C150,1)-MAX(('V06 Motor'!A150-1)*30/'V06 Motor'!C150,0))*'V06 Curva'!$B$5,MAX(0,MIN('V06 Motor'!A150*30/'V06 Motor'!C150,2)-MAX(('V06 Motor'!A150-1)*30/'V06 Motor'!C150,1))*'V06 Curva'!$B$6,MAX(0,MIN('V06 Motor'!A150*30/'V06 Motor'!C150,3)-MAX(('V06 Motor'!A150-1)*30/'V06 Motor'!C150,2))*'V06 Curva'!$B$7,MAX(0,MIN('V06 Motor'!A150*30/'V06 Motor'!C150,4)-MAX(('V06 Motor'!A150-1)*30/'V06 Motor'!C150,3))*'V06 Curva'!$B$8,MAX(0,MIN('V06 Motor'!A150*30/'V06 Motor'!C150,5)-MAX(('V06 Motor'!A150-1)*30/'V06 Motor'!C150,4))*'V06 Curva'!$B$9,MAX(0,MIN('V06 Motor'!A150*30/'V06 Motor'!C150,6)-MAX(('V06 Motor'!A150-1)*30/'V06 Motor'!C150,5))*'V06 Curva'!$B$10,MAX(0,MIN('V06 Motor'!A150*30/'V06 Motor'!C150,7)-MAX(('V06 Motor'!A150-1)*30/'V06 Motor'!C150,6))*'V06 Curva'!$B$11,MAX(0,MIN('V06 Motor'!A150*30/'V06 Motor'!C150,8)-MAX(('V06 Motor'!A150-1)*30/'V06 Motor'!C150,7))*'V06 Curva'!$B$12,MAX(0,MIN('V06 Motor'!A150*30/'V06 Motor'!C150,9)-MAX(('V06 Motor'!A150-1)*30/'V06 Motor'!C150,8))*'V06 Curva'!$B$13,MAX(0,MIN('V06 Motor'!A150*30/'V06 Motor'!C150,10)-MAX(('V06 Motor'!A150-1)*30/'V06 Motor'!C150,9))*'V06 Curva'!$B$14,MAX(0,MIN('V06 Motor'!A150*30/'V06 Motor'!C150,11)-MAX(('V06 Motor'!A150-1)*30/'V06 Motor'!C150,10))*'V06 Curva'!$B$15,MAX(0,MIN('V06 Motor'!A150*30/'V06 Motor'!C150,12)-MAX(('V06 Motor'!A150-1)*30/'V06 Motor'!C150,11))*'V06 Curva'!$B$16,MAX(0,MIN('V06 Motor'!A150*30/'V06 Motor'!C150,13)-MAX(('V06 Motor'!A150-1)*30/'V06 Motor'!C150,12))*'V06 Curva'!$B$17,MAX(0,MIN('V06 Motor'!A150*30/'V06 Motor'!C150,14)-MAX(('V06 Motor'!A150-1)*30/'V06 Motor'!C150,13))*'V06 Curva'!$B$18,MAX(0,MIN('V06 Motor'!A150*30/'V06 Motor'!C150,15)-MAX(('V06 Motor'!A150-1)*30/'V06 Motor'!C150,14))*'V06 Curva'!$B$19,MAX(0,MIN('V06 Motor'!A150*30/'V06 Motor'!C150,16)-MAX(('V06 Motor'!A150-1)*30/'V06 Motor'!C150,15))*'V06 Curva'!$B$20,MAX(0,MIN('V06 Motor'!A150*30/'V06 Motor'!C150,17)-MAX(('V06 Motor'!A150-1)*30/'V06 Motor'!C150,16))*'V06 Curva'!$B$21,MAX(0,MIN('V06 Motor'!A150*30/'V06 Motor'!C150,18)-MAX(('V06 Motor'!A150-1)*30/'V06 Motor'!C150,17))*'V06 Curva'!$B$22,MAX(0,MIN('V06 Motor'!A150*30/'V06 Motor'!C150,19)-MAX(('V06 Motor'!A150-1)*30/'V06 Motor'!C150,18))*'V06 Curva'!$B$23,MAX(0,MIN('V06 Motor'!A150*30/'V06 Motor'!C150,20)-MAX(('V06 Motor'!A150-1)*30/'V06 Motor'!C150,19))*'V06 Curva'!$B$24,MAX(0,MIN('V06 Motor'!A150*30/'V06 Motor'!C150,21)-MAX(('V06 Motor'!A150-1)*30/'V06 Motor'!C150,20))*'V06 Curva'!$B$25,MAX(0,MIN('V06 Motor'!A150*30/'V06 Motor'!C150,22)-MAX(('V06 Motor'!A150-1)*30/'V06 Motor'!C150,21))*'V06 Curva'!$B$26,MAX(0,MIN('V06 Motor'!A150*30/'V06 Motor'!C150,23)-MAX(('V06 Motor'!A150-1)*30/'V06 Motor'!C150,22))*'V06 Curva'!$B$27,MAX(0,MIN('V06 Motor'!A150*30/'V06 Motor'!C150,24)-MAX(('V06 Motor'!A150-1)*30/'V06 Motor'!C150,23))*'V06 Curva'!$B$28,MAX(0,MIN('V06 Motor'!A150*30/'V06 Motor'!C150,25)-MAX(('V06 Motor'!A150-1)*30/'V06 Motor'!C150,24))*'V06 Curva'!$B$29,MAX(0,MIN('V06 Motor'!A150*30/'V06 Motor'!C150,26)-MAX(('V06 Motor'!A150-1)*30/'V06 Motor'!C150,25))*'V06 Curva'!$B$30,MAX(0,MIN('V06 Motor'!A150*30/'V06 Motor'!C150,27)-MAX(('V06 Motor'!A150-1)*30/'V06 Motor'!C150,26))*'V06 Curva'!$B$31,MAX(0,MIN('V06 Motor'!A150*30/'V06 Motor'!C150,28)-MAX(('V06 Motor'!A150-1)*30/'V06 Motor'!C150,27))*'V06 Curva'!$B$32,MAX(0,MIN('V06 Motor'!A150*30/'V06 Motor'!C150,29)-MAX(('V06 Motor'!A150-1)*30/'V06 Motor'!C150,28))*'V06 Curva'!$B$33,MAX(0,MIN('V06 Motor'!A150*30/'V06 Motor'!C150,30)-MAX(('V06 Motor'!A150-1)*30/'V06 Motor'!C150,29))*'V06 Curva'!$B$34),0)</f>
        <v>0.0</v>
      </c>
      <c r="O150" s="2">
        <f>SUMPRODUCT(--(('V06 Unidades'!$I$5:$I$98+'V06 Controlos'!$B$37)='V06 Motor'!A150),ROUND('V06 Unidades'!$H$5:$H$98*0.05,2)+ROUND('V06 Unidades'!$H$5:$H$98*0.2,2))+SUMPRODUCT(--(IF('V06 Controlos'!$B$38&gt;0,IF(('V06 Unidades'!$L$5:$L$98+'V06 Controlos'!$B$37)&lt;'V06 Motor'!C150,'V06 Motor'!C150,('V06 Unidades'!$L$5:$L$98+'V06 Controlos'!$B$37)),('V06 Unidades'!$L$5:$L$98+'V06 Controlos'!$B$37))='V06 Motor'!A150),'V06 Unidades'!$H$5:$H$98-ROUND('V06 Unidades'!$H$5:$H$98*0.05,2)-ROUND('V06 Unidades'!$H$5:$H$98*0.2,2)-ROUND('V06 Unidades'!$H$5:$H$98*0.55,2))+SUMPRODUCT(--(IF(INT((IF('V06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Controlos'!$B$37)-1)/6),0)&gt;0),--('V06 Motor'!A150&gt;('V06 Unidades'!$I$5:$I$98+'V06 Controlos'!$B$37)),--('V06 Motor'!A150&lt;IF('V06 Controlos'!$B$38&gt;0,IF(('V06 Unidades'!$L$5:$L$98+'V06 Controlos'!$B$37)&lt;'V06 Motor'!C150,'V06 Motor'!C150,('V06 Unidades'!$L$5:$L$98+'V06 Controlos'!$B$37)),('V06 Unidades'!$L$5:$L$98+'V06 Controlos'!$B$37))),--(MOD('V06 Motor'!A150-('V06 Unidades'!$I$5:$I$98+'V06 Controlos'!$B$37),6)=0),--(('V06 Motor'!A150-('V06 Unidades'!$I$5:$I$98+'V06 Controlos'!$B$37))/6&lt;=IF(INT((IF('V06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Controlos'!$B$37)-1)/6),0)),IF('V06 Motor'!A150=('V06 Unidades'!$I$5:$I$98+'V06 Controlos'!$B$37)+6*IF(INT((IF('V06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Controlos'!$B$37)-1)/6),0)&gt;0,IF(INT((IF('V06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Controlos'!$B$37)-1)/6),0),1),2)*(IF(INT((IF('V06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Controlos'!$B$37)-1)/6),0)&gt;0,IF(INT((IF('V06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Controlos'!$B$37)-1)/6)&gt;0,INT((IF('V06 Controlos'!$B$38&gt;0,IF(('V06 Unidades'!$L$5:$L$98+'V06 Controlos'!$B$37)&lt;'V06 Motor'!C150,'V06 Motor'!C150,('V06 Unidades'!$L$5:$L$98+'V06 Controlos'!$B$37)),('V06 Unidades'!$L$5:$L$98+'V06 Controlos'!$B$37))-('V06 Unidades'!$I$5:$I$98+'V06 Controlos'!$B$37)-1)/6),0),1),2)))</f>
        <v>0.0</v>
      </c>
      <c r="P150" s="2">
        <f>SUM('V06 Calend 01'!FB5:FB98)</f>
        <v>0.0</v>
      </c>
    </row>
    <row r="151" spans="1:16">
      <c r="A151">
        <v>147</v>
      </c>
      <c r="C151">
        <v>30</v>
      </c>
      <c r="G151" s="2">
        <f>IF('V06 Motor'!A151&lt;='V06 Motor'!C151,SUMPRODUCT('V06 Curva'!$B$5:$B$34,IF((IF('V06 Motor'!A151*30/'V06 Motor'!C151&lt;'V06 Curva'!$A$5:$A$34,'V06 Motor'!A151*30/'V06 Motor'!C151,'V06 Curva'!$A$5:$A$34)-IF(('V06 Motor'!A151-1)*30/'V06 Motor'!C151&gt;'V06 Curva'!$A$5:$A$34-1,('V06 Motor'!A151-1)*30/'V06 Motor'!C151,'V06 Curva'!$A$5:$A$34-1))&gt;0,(IF('V06 Motor'!A151*30/'V06 Motor'!C151&lt;'V06 Curva'!$A$5:$A$34,'V06 Motor'!A151*30/'V06 Motor'!C151,'V06 Curva'!$A$5:$A$34)-IF(('V06 Motor'!A151-1)*30/'V06 Motor'!C151&gt;'V06 Curva'!$A$5:$A$34-1,('V06 Motor'!A151-1)*30/'V06 Motor'!C151,'V06 Curva'!$A$5:$A$34-1)),0)),0)</f>
        <v>0.0</v>
      </c>
      <c r="H151" s="2">
        <f>IF('V06 Motor'!A151&lt;='V06 Motor'!C151,SUM(MAX(0,MIN('V06 Motor'!A151*30/'V06 Motor'!C151,1)-MAX(('V06 Motor'!A151-1)*30/'V06 Motor'!C151,0))*'V06 Curva'!$B$5,MAX(0,MIN('V06 Motor'!A151*30/'V06 Motor'!C151,2)-MAX(('V06 Motor'!A151-1)*30/'V06 Motor'!C151,1))*'V06 Curva'!$B$6,MAX(0,MIN('V06 Motor'!A151*30/'V06 Motor'!C151,3)-MAX(('V06 Motor'!A151-1)*30/'V06 Motor'!C151,2))*'V06 Curva'!$B$7,MAX(0,MIN('V06 Motor'!A151*30/'V06 Motor'!C151,4)-MAX(('V06 Motor'!A151-1)*30/'V06 Motor'!C151,3))*'V06 Curva'!$B$8,MAX(0,MIN('V06 Motor'!A151*30/'V06 Motor'!C151,5)-MAX(('V06 Motor'!A151-1)*30/'V06 Motor'!C151,4))*'V06 Curva'!$B$9,MAX(0,MIN('V06 Motor'!A151*30/'V06 Motor'!C151,6)-MAX(('V06 Motor'!A151-1)*30/'V06 Motor'!C151,5))*'V06 Curva'!$B$10,MAX(0,MIN('V06 Motor'!A151*30/'V06 Motor'!C151,7)-MAX(('V06 Motor'!A151-1)*30/'V06 Motor'!C151,6))*'V06 Curva'!$B$11,MAX(0,MIN('V06 Motor'!A151*30/'V06 Motor'!C151,8)-MAX(('V06 Motor'!A151-1)*30/'V06 Motor'!C151,7))*'V06 Curva'!$B$12,MAX(0,MIN('V06 Motor'!A151*30/'V06 Motor'!C151,9)-MAX(('V06 Motor'!A151-1)*30/'V06 Motor'!C151,8))*'V06 Curva'!$B$13,MAX(0,MIN('V06 Motor'!A151*30/'V06 Motor'!C151,10)-MAX(('V06 Motor'!A151-1)*30/'V06 Motor'!C151,9))*'V06 Curva'!$B$14,MAX(0,MIN('V06 Motor'!A151*30/'V06 Motor'!C151,11)-MAX(('V06 Motor'!A151-1)*30/'V06 Motor'!C151,10))*'V06 Curva'!$B$15,MAX(0,MIN('V06 Motor'!A151*30/'V06 Motor'!C151,12)-MAX(('V06 Motor'!A151-1)*30/'V06 Motor'!C151,11))*'V06 Curva'!$B$16,MAX(0,MIN('V06 Motor'!A151*30/'V06 Motor'!C151,13)-MAX(('V06 Motor'!A151-1)*30/'V06 Motor'!C151,12))*'V06 Curva'!$B$17,MAX(0,MIN('V06 Motor'!A151*30/'V06 Motor'!C151,14)-MAX(('V06 Motor'!A151-1)*30/'V06 Motor'!C151,13))*'V06 Curva'!$B$18,MAX(0,MIN('V06 Motor'!A151*30/'V06 Motor'!C151,15)-MAX(('V06 Motor'!A151-1)*30/'V06 Motor'!C151,14))*'V06 Curva'!$B$19,MAX(0,MIN('V06 Motor'!A151*30/'V06 Motor'!C151,16)-MAX(('V06 Motor'!A151-1)*30/'V06 Motor'!C151,15))*'V06 Curva'!$B$20,MAX(0,MIN('V06 Motor'!A151*30/'V06 Motor'!C151,17)-MAX(('V06 Motor'!A151-1)*30/'V06 Motor'!C151,16))*'V06 Curva'!$B$21,MAX(0,MIN('V06 Motor'!A151*30/'V06 Motor'!C151,18)-MAX(('V06 Motor'!A151-1)*30/'V06 Motor'!C151,17))*'V06 Curva'!$B$22,MAX(0,MIN('V06 Motor'!A151*30/'V06 Motor'!C151,19)-MAX(('V06 Motor'!A151-1)*30/'V06 Motor'!C151,18))*'V06 Curva'!$B$23,MAX(0,MIN('V06 Motor'!A151*30/'V06 Motor'!C151,20)-MAX(('V06 Motor'!A151-1)*30/'V06 Motor'!C151,19))*'V06 Curva'!$B$24,MAX(0,MIN('V06 Motor'!A151*30/'V06 Motor'!C151,21)-MAX(('V06 Motor'!A151-1)*30/'V06 Motor'!C151,20))*'V06 Curva'!$B$25,MAX(0,MIN('V06 Motor'!A151*30/'V06 Motor'!C151,22)-MAX(('V06 Motor'!A151-1)*30/'V06 Motor'!C151,21))*'V06 Curva'!$B$26,MAX(0,MIN('V06 Motor'!A151*30/'V06 Motor'!C151,23)-MAX(('V06 Motor'!A151-1)*30/'V06 Motor'!C151,22))*'V06 Curva'!$B$27,MAX(0,MIN('V06 Motor'!A151*30/'V06 Motor'!C151,24)-MAX(('V06 Motor'!A151-1)*30/'V06 Motor'!C151,23))*'V06 Curva'!$B$28,MAX(0,MIN('V06 Motor'!A151*30/'V06 Motor'!C151,25)-MAX(('V06 Motor'!A151-1)*30/'V06 Motor'!C151,24))*'V06 Curva'!$B$29,MAX(0,MIN('V06 Motor'!A151*30/'V06 Motor'!C151,26)-MAX(('V06 Motor'!A151-1)*30/'V06 Motor'!C151,25))*'V06 Curva'!$B$30,MAX(0,MIN('V06 Motor'!A151*30/'V06 Motor'!C151,27)-MAX(('V06 Motor'!A151-1)*30/'V06 Motor'!C151,26))*'V06 Curva'!$B$31,MAX(0,MIN('V06 Motor'!A151*30/'V06 Motor'!C151,28)-MAX(('V06 Motor'!A151-1)*30/'V06 Motor'!C151,27))*'V06 Curva'!$B$32,MAX(0,MIN('V06 Motor'!A151*30/'V06 Motor'!C151,29)-MAX(('V06 Motor'!A151-1)*30/'V06 Motor'!C151,28))*'V06 Curva'!$B$33,MAX(0,MIN('V06 Motor'!A151*30/'V06 Motor'!C151,30)-MAX(('V06 Motor'!A151-1)*30/'V06 Motor'!C151,29))*'V06 Curva'!$B$34),0)</f>
        <v>0.0</v>
      </c>
      <c r="O151" s="2">
        <f>SUMPRODUCT(--(('V06 Unidades'!$I$5:$I$98+'V06 Controlos'!$B$37)='V06 Motor'!A151),ROUND('V06 Unidades'!$H$5:$H$98*0.05,2)+ROUND('V06 Unidades'!$H$5:$H$98*0.2,2))+SUMPRODUCT(--(IF('V06 Controlos'!$B$38&gt;0,IF(('V06 Unidades'!$L$5:$L$98+'V06 Controlos'!$B$37)&lt;'V06 Motor'!C151,'V06 Motor'!C151,('V06 Unidades'!$L$5:$L$98+'V06 Controlos'!$B$37)),('V06 Unidades'!$L$5:$L$98+'V06 Controlos'!$B$37))='V06 Motor'!A151),'V06 Unidades'!$H$5:$H$98-ROUND('V06 Unidades'!$H$5:$H$98*0.05,2)-ROUND('V06 Unidades'!$H$5:$H$98*0.2,2)-ROUND('V06 Unidades'!$H$5:$H$98*0.55,2))+SUMPRODUCT(--(IF(INT((IF('V06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Controlos'!$B$37)-1)/6),0)&gt;0),--('V06 Motor'!A151&gt;('V06 Unidades'!$I$5:$I$98+'V06 Controlos'!$B$37)),--('V06 Motor'!A151&lt;IF('V06 Controlos'!$B$38&gt;0,IF(('V06 Unidades'!$L$5:$L$98+'V06 Controlos'!$B$37)&lt;'V06 Motor'!C151,'V06 Motor'!C151,('V06 Unidades'!$L$5:$L$98+'V06 Controlos'!$B$37)),('V06 Unidades'!$L$5:$L$98+'V06 Controlos'!$B$37))),--(MOD('V06 Motor'!A151-('V06 Unidades'!$I$5:$I$98+'V06 Controlos'!$B$37),6)=0),--(('V06 Motor'!A151-('V06 Unidades'!$I$5:$I$98+'V06 Controlos'!$B$37))/6&lt;=IF(INT((IF('V06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Controlos'!$B$37)-1)/6),0)),IF('V06 Motor'!A151=('V06 Unidades'!$I$5:$I$98+'V06 Controlos'!$B$37)+6*IF(INT((IF('V06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Controlos'!$B$37)-1)/6),0)&gt;0,IF(INT((IF('V06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Controlos'!$B$37)-1)/6),0),1),2)*(IF(INT((IF('V06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Controlos'!$B$37)-1)/6),0)&gt;0,IF(INT((IF('V06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Controlos'!$B$37)-1)/6)&gt;0,INT((IF('V06 Controlos'!$B$38&gt;0,IF(('V06 Unidades'!$L$5:$L$98+'V06 Controlos'!$B$37)&lt;'V06 Motor'!C151,'V06 Motor'!C151,('V06 Unidades'!$L$5:$L$98+'V06 Controlos'!$B$37)),('V06 Unidades'!$L$5:$L$98+'V06 Controlos'!$B$37))-('V06 Unidades'!$I$5:$I$98+'V06 Controlos'!$B$37)-1)/6),0),1),2)))</f>
        <v>0.0</v>
      </c>
      <c r="P151" s="2">
        <f>SUM('V06 Calend 01'!FC5:FC98)</f>
        <v>0.0</v>
      </c>
    </row>
    <row r="152" spans="1:16">
      <c r="A152">
        <v>148</v>
      </c>
      <c r="C152">
        <v>30</v>
      </c>
      <c r="G152" s="2">
        <f>IF('V06 Motor'!A152&lt;='V06 Motor'!C152,SUMPRODUCT('V06 Curva'!$B$5:$B$34,IF((IF('V06 Motor'!A152*30/'V06 Motor'!C152&lt;'V06 Curva'!$A$5:$A$34,'V06 Motor'!A152*30/'V06 Motor'!C152,'V06 Curva'!$A$5:$A$34)-IF(('V06 Motor'!A152-1)*30/'V06 Motor'!C152&gt;'V06 Curva'!$A$5:$A$34-1,('V06 Motor'!A152-1)*30/'V06 Motor'!C152,'V06 Curva'!$A$5:$A$34-1))&gt;0,(IF('V06 Motor'!A152*30/'V06 Motor'!C152&lt;'V06 Curva'!$A$5:$A$34,'V06 Motor'!A152*30/'V06 Motor'!C152,'V06 Curva'!$A$5:$A$34)-IF(('V06 Motor'!A152-1)*30/'V06 Motor'!C152&gt;'V06 Curva'!$A$5:$A$34-1,('V06 Motor'!A152-1)*30/'V06 Motor'!C152,'V06 Curva'!$A$5:$A$34-1)),0)),0)</f>
        <v>0.0</v>
      </c>
      <c r="H152" s="2">
        <f>IF('V06 Motor'!A152&lt;='V06 Motor'!C152,SUM(MAX(0,MIN('V06 Motor'!A152*30/'V06 Motor'!C152,1)-MAX(('V06 Motor'!A152-1)*30/'V06 Motor'!C152,0))*'V06 Curva'!$B$5,MAX(0,MIN('V06 Motor'!A152*30/'V06 Motor'!C152,2)-MAX(('V06 Motor'!A152-1)*30/'V06 Motor'!C152,1))*'V06 Curva'!$B$6,MAX(0,MIN('V06 Motor'!A152*30/'V06 Motor'!C152,3)-MAX(('V06 Motor'!A152-1)*30/'V06 Motor'!C152,2))*'V06 Curva'!$B$7,MAX(0,MIN('V06 Motor'!A152*30/'V06 Motor'!C152,4)-MAX(('V06 Motor'!A152-1)*30/'V06 Motor'!C152,3))*'V06 Curva'!$B$8,MAX(0,MIN('V06 Motor'!A152*30/'V06 Motor'!C152,5)-MAX(('V06 Motor'!A152-1)*30/'V06 Motor'!C152,4))*'V06 Curva'!$B$9,MAX(0,MIN('V06 Motor'!A152*30/'V06 Motor'!C152,6)-MAX(('V06 Motor'!A152-1)*30/'V06 Motor'!C152,5))*'V06 Curva'!$B$10,MAX(0,MIN('V06 Motor'!A152*30/'V06 Motor'!C152,7)-MAX(('V06 Motor'!A152-1)*30/'V06 Motor'!C152,6))*'V06 Curva'!$B$11,MAX(0,MIN('V06 Motor'!A152*30/'V06 Motor'!C152,8)-MAX(('V06 Motor'!A152-1)*30/'V06 Motor'!C152,7))*'V06 Curva'!$B$12,MAX(0,MIN('V06 Motor'!A152*30/'V06 Motor'!C152,9)-MAX(('V06 Motor'!A152-1)*30/'V06 Motor'!C152,8))*'V06 Curva'!$B$13,MAX(0,MIN('V06 Motor'!A152*30/'V06 Motor'!C152,10)-MAX(('V06 Motor'!A152-1)*30/'V06 Motor'!C152,9))*'V06 Curva'!$B$14,MAX(0,MIN('V06 Motor'!A152*30/'V06 Motor'!C152,11)-MAX(('V06 Motor'!A152-1)*30/'V06 Motor'!C152,10))*'V06 Curva'!$B$15,MAX(0,MIN('V06 Motor'!A152*30/'V06 Motor'!C152,12)-MAX(('V06 Motor'!A152-1)*30/'V06 Motor'!C152,11))*'V06 Curva'!$B$16,MAX(0,MIN('V06 Motor'!A152*30/'V06 Motor'!C152,13)-MAX(('V06 Motor'!A152-1)*30/'V06 Motor'!C152,12))*'V06 Curva'!$B$17,MAX(0,MIN('V06 Motor'!A152*30/'V06 Motor'!C152,14)-MAX(('V06 Motor'!A152-1)*30/'V06 Motor'!C152,13))*'V06 Curva'!$B$18,MAX(0,MIN('V06 Motor'!A152*30/'V06 Motor'!C152,15)-MAX(('V06 Motor'!A152-1)*30/'V06 Motor'!C152,14))*'V06 Curva'!$B$19,MAX(0,MIN('V06 Motor'!A152*30/'V06 Motor'!C152,16)-MAX(('V06 Motor'!A152-1)*30/'V06 Motor'!C152,15))*'V06 Curva'!$B$20,MAX(0,MIN('V06 Motor'!A152*30/'V06 Motor'!C152,17)-MAX(('V06 Motor'!A152-1)*30/'V06 Motor'!C152,16))*'V06 Curva'!$B$21,MAX(0,MIN('V06 Motor'!A152*30/'V06 Motor'!C152,18)-MAX(('V06 Motor'!A152-1)*30/'V06 Motor'!C152,17))*'V06 Curva'!$B$22,MAX(0,MIN('V06 Motor'!A152*30/'V06 Motor'!C152,19)-MAX(('V06 Motor'!A152-1)*30/'V06 Motor'!C152,18))*'V06 Curva'!$B$23,MAX(0,MIN('V06 Motor'!A152*30/'V06 Motor'!C152,20)-MAX(('V06 Motor'!A152-1)*30/'V06 Motor'!C152,19))*'V06 Curva'!$B$24,MAX(0,MIN('V06 Motor'!A152*30/'V06 Motor'!C152,21)-MAX(('V06 Motor'!A152-1)*30/'V06 Motor'!C152,20))*'V06 Curva'!$B$25,MAX(0,MIN('V06 Motor'!A152*30/'V06 Motor'!C152,22)-MAX(('V06 Motor'!A152-1)*30/'V06 Motor'!C152,21))*'V06 Curva'!$B$26,MAX(0,MIN('V06 Motor'!A152*30/'V06 Motor'!C152,23)-MAX(('V06 Motor'!A152-1)*30/'V06 Motor'!C152,22))*'V06 Curva'!$B$27,MAX(0,MIN('V06 Motor'!A152*30/'V06 Motor'!C152,24)-MAX(('V06 Motor'!A152-1)*30/'V06 Motor'!C152,23))*'V06 Curva'!$B$28,MAX(0,MIN('V06 Motor'!A152*30/'V06 Motor'!C152,25)-MAX(('V06 Motor'!A152-1)*30/'V06 Motor'!C152,24))*'V06 Curva'!$B$29,MAX(0,MIN('V06 Motor'!A152*30/'V06 Motor'!C152,26)-MAX(('V06 Motor'!A152-1)*30/'V06 Motor'!C152,25))*'V06 Curva'!$B$30,MAX(0,MIN('V06 Motor'!A152*30/'V06 Motor'!C152,27)-MAX(('V06 Motor'!A152-1)*30/'V06 Motor'!C152,26))*'V06 Curva'!$B$31,MAX(0,MIN('V06 Motor'!A152*30/'V06 Motor'!C152,28)-MAX(('V06 Motor'!A152-1)*30/'V06 Motor'!C152,27))*'V06 Curva'!$B$32,MAX(0,MIN('V06 Motor'!A152*30/'V06 Motor'!C152,29)-MAX(('V06 Motor'!A152-1)*30/'V06 Motor'!C152,28))*'V06 Curva'!$B$33,MAX(0,MIN('V06 Motor'!A152*30/'V06 Motor'!C152,30)-MAX(('V06 Motor'!A152-1)*30/'V06 Motor'!C152,29))*'V06 Curva'!$B$34),0)</f>
        <v>0.0</v>
      </c>
      <c r="O152" s="2">
        <f>SUMPRODUCT(--(('V06 Unidades'!$I$5:$I$98+'V06 Controlos'!$B$37)='V06 Motor'!A152),ROUND('V06 Unidades'!$H$5:$H$98*0.05,2)+ROUND('V06 Unidades'!$H$5:$H$98*0.2,2))+SUMPRODUCT(--(IF('V06 Controlos'!$B$38&gt;0,IF(('V06 Unidades'!$L$5:$L$98+'V06 Controlos'!$B$37)&lt;'V06 Motor'!C152,'V06 Motor'!C152,('V06 Unidades'!$L$5:$L$98+'V06 Controlos'!$B$37)),('V06 Unidades'!$L$5:$L$98+'V06 Controlos'!$B$37))='V06 Motor'!A152),'V06 Unidades'!$H$5:$H$98-ROUND('V06 Unidades'!$H$5:$H$98*0.05,2)-ROUND('V06 Unidades'!$H$5:$H$98*0.2,2)-ROUND('V06 Unidades'!$H$5:$H$98*0.55,2))+SUMPRODUCT(--(IF(INT((IF('V06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Controlos'!$B$37)-1)/6),0)&gt;0),--('V06 Motor'!A152&gt;('V06 Unidades'!$I$5:$I$98+'V06 Controlos'!$B$37)),--('V06 Motor'!A152&lt;IF('V06 Controlos'!$B$38&gt;0,IF(('V06 Unidades'!$L$5:$L$98+'V06 Controlos'!$B$37)&lt;'V06 Motor'!C152,'V06 Motor'!C152,('V06 Unidades'!$L$5:$L$98+'V06 Controlos'!$B$37)),('V06 Unidades'!$L$5:$L$98+'V06 Controlos'!$B$37))),--(MOD('V06 Motor'!A152-('V06 Unidades'!$I$5:$I$98+'V06 Controlos'!$B$37),6)=0),--(('V06 Motor'!A152-('V06 Unidades'!$I$5:$I$98+'V06 Controlos'!$B$37))/6&lt;=IF(INT((IF('V06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Controlos'!$B$37)-1)/6),0)),IF('V06 Motor'!A152=('V06 Unidades'!$I$5:$I$98+'V06 Controlos'!$B$37)+6*IF(INT((IF('V06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Controlos'!$B$37)-1)/6),0)&gt;0,IF(INT((IF('V06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Controlos'!$B$37)-1)/6),0),1),2)*(IF(INT((IF('V06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Controlos'!$B$37)-1)/6),0)&gt;0,IF(INT((IF('V06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Controlos'!$B$37)-1)/6)&gt;0,INT((IF('V06 Controlos'!$B$38&gt;0,IF(('V06 Unidades'!$L$5:$L$98+'V06 Controlos'!$B$37)&lt;'V06 Motor'!C152,'V06 Motor'!C152,('V06 Unidades'!$L$5:$L$98+'V06 Controlos'!$B$37)),('V06 Unidades'!$L$5:$L$98+'V06 Controlos'!$B$37))-('V06 Unidades'!$I$5:$I$98+'V06 Controlos'!$B$37)-1)/6),0),1),2)))</f>
        <v>0.0</v>
      </c>
      <c r="P152" s="2">
        <f>SUM('V06 Calend 01'!FD5:FD98)</f>
        <v>0.0</v>
      </c>
    </row>
    <row r="153" spans="1:16">
      <c r="A153">
        <v>149</v>
      </c>
      <c r="C153">
        <v>30</v>
      </c>
      <c r="G153" s="2">
        <f>IF('V06 Motor'!A153&lt;='V06 Motor'!C153,SUMPRODUCT('V06 Curva'!$B$5:$B$34,IF((IF('V06 Motor'!A153*30/'V06 Motor'!C153&lt;'V06 Curva'!$A$5:$A$34,'V06 Motor'!A153*30/'V06 Motor'!C153,'V06 Curva'!$A$5:$A$34)-IF(('V06 Motor'!A153-1)*30/'V06 Motor'!C153&gt;'V06 Curva'!$A$5:$A$34-1,('V06 Motor'!A153-1)*30/'V06 Motor'!C153,'V06 Curva'!$A$5:$A$34-1))&gt;0,(IF('V06 Motor'!A153*30/'V06 Motor'!C153&lt;'V06 Curva'!$A$5:$A$34,'V06 Motor'!A153*30/'V06 Motor'!C153,'V06 Curva'!$A$5:$A$34)-IF(('V06 Motor'!A153-1)*30/'V06 Motor'!C153&gt;'V06 Curva'!$A$5:$A$34-1,('V06 Motor'!A153-1)*30/'V06 Motor'!C153,'V06 Curva'!$A$5:$A$34-1)),0)),0)</f>
        <v>0.0</v>
      </c>
      <c r="H153" s="2">
        <f>IF('V06 Motor'!A153&lt;='V06 Motor'!C153,SUM(MAX(0,MIN('V06 Motor'!A153*30/'V06 Motor'!C153,1)-MAX(('V06 Motor'!A153-1)*30/'V06 Motor'!C153,0))*'V06 Curva'!$B$5,MAX(0,MIN('V06 Motor'!A153*30/'V06 Motor'!C153,2)-MAX(('V06 Motor'!A153-1)*30/'V06 Motor'!C153,1))*'V06 Curva'!$B$6,MAX(0,MIN('V06 Motor'!A153*30/'V06 Motor'!C153,3)-MAX(('V06 Motor'!A153-1)*30/'V06 Motor'!C153,2))*'V06 Curva'!$B$7,MAX(0,MIN('V06 Motor'!A153*30/'V06 Motor'!C153,4)-MAX(('V06 Motor'!A153-1)*30/'V06 Motor'!C153,3))*'V06 Curva'!$B$8,MAX(0,MIN('V06 Motor'!A153*30/'V06 Motor'!C153,5)-MAX(('V06 Motor'!A153-1)*30/'V06 Motor'!C153,4))*'V06 Curva'!$B$9,MAX(0,MIN('V06 Motor'!A153*30/'V06 Motor'!C153,6)-MAX(('V06 Motor'!A153-1)*30/'V06 Motor'!C153,5))*'V06 Curva'!$B$10,MAX(0,MIN('V06 Motor'!A153*30/'V06 Motor'!C153,7)-MAX(('V06 Motor'!A153-1)*30/'V06 Motor'!C153,6))*'V06 Curva'!$B$11,MAX(0,MIN('V06 Motor'!A153*30/'V06 Motor'!C153,8)-MAX(('V06 Motor'!A153-1)*30/'V06 Motor'!C153,7))*'V06 Curva'!$B$12,MAX(0,MIN('V06 Motor'!A153*30/'V06 Motor'!C153,9)-MAX(('V06 Motor'!A153-1)*30/'V06 Motor'!C153,8))*'V06 Curva'!$B$13,MAX(0,MIN('V06 Motor'!A153*30/'V06 Motor'!C153,10)-MAX(('V06 Motor'!A153-1)*30/'V06 Motor'!C153,9))*'V06 Curva'!$B$14,MAX(0,MIN('V06 Motor'!A153*30/'V06 Motor'!C153,11)-MAX(('V06 Motor'!A153-1)*30/'V06 Motor'!C153,10))*'V06 Curva'!$B$15,MAX(0,MIN('V06 Motor'!A153*30/'V06 Motor'!C153,12)-MAX(('V06 Motor'!A153-1)*30/'V06 Motor'!C153,11))*'V06 Curva'!$B$16,MAX(0,MIN('V06 Motor'!A153*30/'V06 Motor'!C153,13)-MAX(('V06 Motor'!A153-1)*30/'V06 Motor'!C153,12))*'V06 Curva'!$B$17,MAX(0,MIN('V06 Motor'!A153*30/'V06 Motor'!C153,14)-MAX(('V06 Motor'!A153-1)*30/'V06 Motor'!C153,13))*'V06 Curva'!$B$18,MAX(0,MIN('V06 Motor'!A153*30/'V06 Motor'!C153,15)-MAX(('V06 Motor'!A153-1)*30/'V06 Motor'!C153,14))*'V06 Curva'!$B$19,MAX(0,MIN('V06 Motor'!A153*30/'V06 Motor'!C153,16)-MAX(('V06 Motor'!A153-1)*30/'V06 Motor'!C153,15))*'V06 Curva'!$B$20,MAX(0,MIN('V06 Motor'!A153*30/'V06 Motor'!C153,17)-MAX(('V06 Motor'!A153-1)*30/'V06 Motor'!C153,16))*'V06 Curva'!$B$21,MAX(0,MIN('V06 Motor'!A153*30/'V06 Motor'!C153,18)-MAX(('V06 Motor'!A153-1)*30/'V06 Motor'!C153,17))*'V06 Curva'!$B$22,MAX(0,MIN('V06 Motor'!A153*30/'V06 Motor'!C153,19)-MAX(('V06 Motor'!A153-1)*30/'V06 Motor'!C153,18))*'V06 Curva'!$B$23,MAX(0,MIN('V06 Motor'!A153*30/'V06 Motor'!C153,20)-MAX(('V06 Motor'!A153-1)*30/'V06 Motor'!C153,19))*'V06 Curva'!$B$24,MAX(0,MIN('V06 Motor'!A153*30/'V06 Motor'!C153,21)-MAX(('V06 Motor'!A153-1)*30/'V06 Motor'!C153,20))*'V06 Curva'!$B$25,MAX(0,MIN('V06 Motor'!A153*30/'V06 Motor'!C153,22)-MAX(('V06 Motor'!A153-1)*30/'V06 Motor'!C153,21))*'V06 Curva'!$B$26,MAX(0,MIN('V06 Motor'!A153*30/'V06 Motor'!C153,23)-MAX(('V06 Motor'!A153-1)*30/'V06 Motor'!C153,22))*'V06 Curva'!$B$27,MAX(0,MIN('V06 Motor'!A153*30/'V06 Motor'!C153,24)-MAX(('V06 Motor'!A153-1)*30/'V06 Motor'!C153,23))*'V06 Curva'!$B$28,MAX(0,MIN('V06 Motor'!A153*30/'V06 Motor'!C153,25)-MAX(('V06 Motor'!A153-1)*30/'V06 Motor'!C153,24))*'V06 Curva'!$B$29,MAX(0,MIN('V06 Motor'!A153*30/'V06 Motor'!C153,26)-MAX(('V06 Motor'!A153-1)*30/'V06 Motor'!C153,25))*'V06 Curva'!$B$30,MAX(0,MIN('V06 Motor'!A153*30/'V06 Motor'!C153,27)-MAX(('V06 Motor'!A153-1)*30/'V06 Motor'!C153,26))*'V06 Curva'!$B$31,MAX(0,MIN('V06 Motor'!A153*30/'V06 Motor'!C153,28)-MAX(('V06 Motor'!A153-1)*30/'V06 Motor'!C153,27))*'V06 Curva'!$B$32,MAX(0,MIN('V06 Motor'!A153*30/'V06 Motor'!C153,29)-MAX(('V06 Motor'!A153-1)*30/'V06 Motor'!C153,28))*'V06 Curva'!$B$33,MAX(0,MIN('V06 Motor'!A153*30/'V06 Motor'!C153,30)-MAX(('V06 Motor'!A153-1)*30/'V06 Motor'!C153,29))*'V06 Curva'!$B$34),0)</f>
        <v>0.0</v>
      </c>
      <c r="O153" s="2">
        <f>SUMPRODUCT(--(('V06 Unidades'!$I$5:$I$98+'V06 Controlos'!$B$37)='V06 Motor'!A153),ROUND('V06 Unidades'!$H$5:$H$98*0.05,2)+ROUND('V06 Unidades'!$H$5:$H$98*0.2,2))+SUMPRODUCT(--(IF('V06 Controlos'!$B$38&gt;0,IF(('V06 Unidades'!$L$5:$L$98+'V06 Controlos'!$B$37)&lt;'V06 Motor'!C153,'V06 Motor'!C153,('V06 Unidades'!$L$5:$L$98+'V06 Controlos'!$B$37)),('V06 Unidades'!$L$5:$L$98+'V06 Controlos'!$B$37))='V06 Motor'!A153),'V06 Unidades'!$H$5:$H$98-ROUND('V06 Unidades'!$H$5:$H$98*0.05,2)-ROUND('V06 Unidades'!$H$5:$H$98*0.2,2)-ROUND('V06 Unidades'!$H$5:$H$98*0.55,2))+SUMPRODUCT(--(IF(INT((IF('V06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Controlos'!$B$37)-1)/6),0)&gt;0),--('V06 Motor'!A153&gt;('V06 Unidades'!$I$5:$I$98+'V06 Controlos'!$B$37)),--('V06 Motor'!A153&lt;IF('V06 Controlos'!$B$38&gt;0,IF(('V06 Unidades'!$L$5:$L$98+'V06 Controlos'!$B$37)&lt;'V06 Motor'!C153,'V06 Motor'!C153,('V06 Unidades'!$L$5:$L$98+'V06 Controlos'!$B$37)),('V06 Unidades'!$L$5:$L$98+'V06 Controlos'!$B$37))),--(MOD('V06 Motor'!A153-('V06 Unidades'!$I$5:$I$98+'V06 Controlos'!$B$37),6)=0),--(('V06 Motor'!A153-('V06 Unidades'!$I$5:$I$98+'V06 Controlos'!$B$37))/6&lt;=IF(INT((IF('V06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Controlos'!$B$37)-1)/6),0)),IF('V06 Motor'!A153=('V06 Unidades'!$I$5:$I$98+'V06 Controlos'!$B$37)+6*IF(INT((IF('V06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Controlos'!$B$37)-1)/6),0)&gt;0,IF(INT((IF('V06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Controlos'!$B$37)-1)/6),0),1),2)*(IF(INT((IF('V06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Controlos'!$B$37)-1)/6),0)&gt;0,IF(INT((IF('V06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Controlos'!$B$37)-1)/6)&gt;0,INT((IF('V06 Controlos'!$B$38&gt;0,IF(('V06 Unidades'!$L$5:$L$98+'V06 Controlos'!$B$37)&lt;'V06 Motor'!C153,'V06 Motor'!C153,('V06 Unidades'!$L$5:$L$98+'V06 Controlos'!$B$37)),('V06 Unidades'!$L$5:$L$98+'V06 Controlos'!$B$37))-('V06 Unidades'!$I$5:$I$98+'V06 Controlos'!$B$37)-1)/6),0),1),2)))</f>
        <v>0.0</v>
      </c>
      <c r="P153" s="2">
        <f>SUM('V06 Calend 01'!FE5:FE98)</f>
        <v>0.0</v>
      </c>
    </row>
    <row r="154" spans="1:16">
      <c r="A154">
        <v>150</v>
      </c>
      <c r="C154">
        <v>30</v>
      </c>
      <c r="G154" s="2">
        <f>IF('V06 Motor'!A154&lt;='V06 Motor'!C154,SUMPRODUCT('V06 Curva'!$B$5:$B$34,IF((IF('V06 Motor'!A154*30/'V06 Motor'!C154&lt;'V06 Curva'!$A$5:$A$34,'V06 Motor'!A154*30/'V06 Motor'!C154,'V06 Curva'!$A$5:$A$34)-IF(('V06 Motor'!A154-1)*30/'V06 Motor'!C154&gt;'V06 Curva'!$A$5:$A$34-1,('V06 Motor'!A154-1)*30/'V06 Motor'!C154,'V06 Curva'!$A$5:$A$34-1))&gt;0,(IF('V06 Motor'!A154*30/'V06 Motor'!C154&lt;'V06 Curva'!$A$5:$A$34,'V06 Motor'!A154*30/'V06 Motor'!C154,'V06 Curva'!$A$5:$A$34)-IF(('V06 Motor'!A154-1)*30/'V06 Motor'!C154&gt;'V06 Curva'!$A$5:$A$34-1,('V06 Motor'!A154-1)*30/'V06 Motor'!C154,'V06 Curva'!$A$5:$A$34-1)),0)),0)</f>
        <v>0.0</v>
      </c>
      <c r="H154" s="2">
        <f>IF('V06 Motor'!A154&lt;='V06 Motor'!C154,SUM(MAX(0,MIN('V06 Motor'!A154*30/'V06 Motor'!C154,1)-MAX(('V06 Motor'!A154-1)*30/'V06 Motor'!C154,0))*'V06 Curva'!$B$5,MAX(0,MIN('V06 Motor'!A154*30/'V06 Motor'!C154,2)-MAX(('V06 Motor'!A154-1)*30/'V06 Motor'!C154,1))*'V06 Curva'!$B$6,MAX(0,MIN('V06 Motor'!A154*30/'V06 Motor'!C154,3)-MAX(('V06 Motor'!A154-1)*30/'V06 Motor'!C154,2))*'V06 Curva'!$B$7,MAX(0,MIN('V06 Motor'!A154*30/'V06 Motor'!C154,4)-MAX(('V06 Motor'!A154-1)*30/'V06 Motor'!C154,3))*'V06 Curva'!$B$8,MAX(0,MIN('V06 Motor'!A154*30/'V06 Motor'!C154,5)-MAX(('V06 Motor'!A154-1)*30/'V06 Motor'!C154,4))*'V06 Curva'!$B$9,MAX(0,MIN('V06 Motor'!A154*30/'V06 Motor'!C154,6)-MAX(('V06 Motor'!A154-1)*30/'V06 Motor'!C154,5))*'V06 Curva'!$B$10,MAX(0,MIN('V06 Motor'!A154*30/'V06 Motor'!C154,7)-MAX(('V06 Motor'!A154-1)*30/'V06 Motor'!C154,6))*'V06 Curva'!$B$11,MAX(0,MIN('V06 Motor'!A154*30/'V06 Motor'!C154,8)-MAX(('V06 Motor'!A154-1)*30/'V06 Motor'!C154,7))*'V06 Curva'!$B$12,MAX(0,MIN('V06 Motor'!A154*30/'V06 Motor'!C154,9)-MAX(('V06 Motor'!A154-1)*30/'V06 Motor'!C154,8))*'V06 Curva'!$B$13,MAX(0,MIN('V06 Motor'!A154*30/'V06 Motor'!C154,10)-MAX(('V06 Motor'!A154-1)*30/'V06 Motor'!C154,9))*'V06 Curva'!$B$14,MAX(0,MIN('V06 Motor'!A154*30/'V06 Motor'!C154,11)-MAX(('V06 Motor'!A154-1)*30/'V06 Motor'!C154,10))*'V06 Curva'!$B$15,MAX(0,MIN('V06 Motor'!A154*30/'V06 Motor'!C154,12)-MAX(('V06 Motor'!A154-1)*30/'V06 Motor'!C154,11))*'V06 Curva'!$B$16,MAX(0,MIN('V06 Motor'!A154*30/'V06 Motor'!C154,13)-MAX(('V06 Motor'!A154-1)*30/'V06 Motor'!C154,12))*'V06 Curva'!$B$17,MAX(0,MIN('V06 Motor'!A154*30/'V06 Motor'!C154,14)-MAX(('V06 Motor'!A154-1)*30/'V06 Motor'!C154,13))*'V06 Curva'!$B$18,MAX(0,MIN('V06 Motor'!A154*30/'V06 Motor'!C154,15)-MAX(('V06 Motor'!A154-1)*30/'V06 Motor'!C154,14))*'V06 Curva'!$B$19,MAX(0,MIN('V06 Motor'!A154*30/'V06 Motor'!C154,16)-MAX(('V06 Motor'!A154-1)*30/'V06 Motor'!C154,15))*'V06 Curva'!$B$20,MAX(0,MIN('V06 Motor'!A154*30/'V06 Motor'!C154,17)-MAX(('V06 Motor'!A154-1)*30/'V06 Motor'!C154,16))*'V06 Curva'!$B$21,MAX(0,MIN('V06 Motor'!A154*30/'V06 Motor'!C154,18)-MAX(('V06 Motor'!A154-1)*30/'V06 Motor'!C154,17))*'V06 Curva'!$B$22,MAX(0,MIN('V06 Motor'!A154*30/'V06 Motor'!C154,19)-MAX(('V06 Motor'!A154-1)*30/'V06 Motor'!C154,18))*'V06 Curva'!$B$23,MAX(0,MIN('V06 Motor'!A154*30/'V06 Motor'!C154,20)-MAX(('V06 Motor'!A154-1)*30/'V06 Motor'!C154,19))*'V06 Curva'!$B$24,MAX(0,MIN('V06 Motor'!A154*30/'V06 Motor'!C154,21)-MAX(('V06 Motor'!A154-1)*30/'V06 Motor'!C154,20))*'V06 Curva'!$B$25,MAX(0,MIN('V06 Motor'!A154*30/'V06 Motor'!C154,22)-MAX(('V06 Motor'!A154-1)*30/'V06 Motor'!C154,21))*'V06 Curva'!$B$26,MAX(0,MIN('V06 Motor'!A154*30/'V06 Motor'!C154,23)-MAX(('V06 Motor'!A154-1)*30/'V06 Motor'!C154,22))*'V06 Curva'!$B$27,MAX(0,MIN('V06 Motor'!A154*30/'V06 Motor'!C154,24)-MAX(('V06 Motor'!A154-1)*30/'V06 Motor'!C154,23))*'V06 Curva'!$B$28,MAX(0,MIN('V06 Motor'!A154*30/'V06 Motor'!C154,25)-MAX(('V06 Motor'!A154-1)*30/'V06 Motor'!C154,24))*'V06 Curva'!$B$29,MAX(0,MIN('V06 Motor'!A154*30/'V06 Motor'!C154,26)-MAX(('V06 Motor'!A154-1)*30/'V06 Motor'!C154,25))*'V06 Curva'!$B$30,MAX(0,MIN('V06 Motor'!A154*30/'V06 Motor'!C154,27)-MAX(('V06 Motor'!A154-1)*30/'V06 Motor'!C154,26))*'V06 Curva'!$B$31,MAX(0,MIN('V06 Motor'!A154*30/'V06 Motor'!C154,28)-MAX(('V06 Motor'!A154-1)*30/'V06 Motor'!C154,27))*'V06 Curva'!$B$32,MAX(0,MIN('V06 Motor'!A154*30/'V06 Motor'!C154,29)-MAX(('V06 Motor'!A154-1)*30/'V06 Motor'!C154,28))*'V06 Curva'!$B$33,MAX(0,MIN('V06 Motor'!A154*30/'V06 Motor'!C154,30)-MAX(('V06 Motor'!A154-1)*30/'V06 Motor'!C154,29))*'V06 Curva'!$B$34),0)</f>
        <v>0.0</v>
      </c>
      <c r="O154" s="2">
        <f>SUMPRODUCT(--(('V06 Unidades'!$I$5:$I$98+'V06 Controlos'!$B$37)='V06 Motor'!A154),ROUND('V06 Unidades'!$H$5:$H$98*0.05,2)+ROUND('V06 Unidades'!$H$5:$H$98*0.2,2))+SUMPRODUCT(--(IF('V06 Controlos'!$B$38&gt;0,IF(('V06 Unidades'!$L$5:$L$98+'V06 Controlos'!$B$37)&lt;'V06 Motor'!C154,'V06 Motor'!C154,('V06 Unidades'!$L$5:$L$98+'V06 Controlos'!$B$37)),('V06 Unidades'!$L$5:$L$98+'V06 Controlos'!$B$37))='V06 Motor'!A154),'V06 Unidades'!$H$5:$H$98-ROUND('V06 Unidades'!$H$5:$H$98*0.05,2)-ROUND('V06 Unidades'!$H$5:$H$98*0.2,2)-ROUND('V06 Unidades'!$H$5:$H$98*0.55,2))+SUMPRODUCT(--(IF(INT((IF('V06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Controlos'!$B$37)-1)/6),0)&gt;0),--('V06 Motor'!A154&gt;('V06 Unidades'!$I$5:$I$98+'V06 Controlos'!$B$37)),--('V06 Motor'!A154&lt;IF('V06 Controlos'!$B$38&gt;0,IF(('V06 Unidades'!$L$5:$L$98+'V06 Controlos'!$B$37)&lt;'V06 Motor'!C154,'V06 Motor'!C154,('V06 Unidades'!$L$5:$L$98+'V06 Controlos'!$B$37)),('V06 Unidades'!$L$5:$L$98+'V06 Controlos'!$B$37))),--(MOD('V06 Motor'!A154-('V06 Unidades'!$I$5:$I$98+'V06 Controlos'!$B$37),6)=0),--(('V06 Motor'!A154-('V06 Unidades'!$I$5:$I$98+'V06 Controlos'!$B$37))/6&lt;=IF(INT((IF('V06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Controlos'!$B$37)-1)/6),0)),IF('V06 Motor'!A154=('V06 Unidades'!$I$5:$I$98+'V06 Controlos'!$B$37)+6*IF(INT((IF('V06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Controlos'!$B$37)-1)/6),0)&gt;0,IF(INT((IF('V06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Controlos'!$B$37)-1)/6),0),1),2)*(IF(INT((IF('V06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Controlos'!$B$37)-1)/6),0)&gt;0,IF(INT((IF('V06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Controlos'!$B$37)-1)/6)&gt;0,INT((IF('V06 Controlos'!$B$38&gt;0,IF(('V06 Unidades'!$L$5:$L$98+'V06 Controlos'!$B$37)&lt;'V06 Motor'!C154,'V06 Motor'!C154,('V06 Unidades'!$L$5:$L$98+'V06 Controlos'!$B$37)),('V06 Unidades'!$L$5:$L$98+'V06 Controlos'!$B$37))-('V06 Unidades'!$I$5:$I$98+'V06 Controlos'!$B$37)-1)/6),0),1),2)))</f>
        <v>0.0</v>
      </c>
      <c r="P154" s="2">
        <f>SUM('V06 Calend 01'!FF5:FF98)</f>
        <v>0.0</v>
      </c>
    </row>
    <row r="155" spans="1:16">
      <c r="A155">
        <v>151</v>
      </c>
      <c r="C155">
        <v>30</v>
      </c>
      <c r="G155" s="2">
        <f>IF('V06 Motor'!A155&lt;='V06 Motor'!C155,SUMPRODUCT('V06 Curva'!$B$5:$B$34,IF((IF('V06 Motor'!A155*30/'V06 Motor'!C155&lt;'V06 Curva'!$A$5:$A$34,'V06 Motor'!A155*30/'V06 Motor'!C155,'V06 Curva'!$A$5:$A$34)-IF(('V06 Motor'!A155-1)*30/'V06 Motor'!C155&gt;'V06 Curva'!$A$5:$A$34-1,('V06 Motor'!A155-1)*30/'V06 Motor'!C155,'V06 Curva'!$A$5:$A$34-1))&gt;0,(IF('V06 Motor'!A155*30/'V06 Motor'!C155&lt;'V06 Curva'!$A$5:$A$34,'V06 Motor'!A155*30/'V06 Motor'!C155,'V06 Curva'!$A$5:$A$34)-IF(('V06 Motor'!A155-1)*30/'V06 Motor'!C155&gt;'V06 Curva'!$A$5:$A$34-1,('V06 Motor'!A155-1)*30/'V06 Motor'!C155,'V06 Curva'!$A$5:$A$34-1)),0)),0)</f>
        <v>0.0</v>
      </c>
      <c r="H155" s="2">
        <f>IF('V06 Motor'!A155&lt;='V06 Motor'!C155,SUM(MAX(0,MIN('V06 Motor'!A155*30/'V06 Motor'!C155,1)-MAX(('V06 Motor'!A155-1)*30/'V06 Motor'!C155,0))*'V06 Curva'!$B$5,MAX(0,MIN('V06 Motor'!A155*30/'V06 Motor'!C155,2)-MAX(('V06 Motor'!A155-1)*30/'V06 Motor'!C155,1))*'V06 Curva'!$B$6,MAX(0,MIN('V06 Motor'!A155*30/'V06 Motor'!C155,3)-MAX(('V06 Motor'!A155-1)*30/'V06 Motor'!C155,2))*'V06 Curva'!$B$7,MAX(0,MIN('V06 Motor'!A155*30/'V06 Motor'!C155,4)-MAX(('V06 Motor'!A155-1)*30/'V06 Motor'!C155,3))*'V06 Curva'!$B$8,MAX(0,MIN('V06 Motor'!A155*30/'V06 Motor'!C155,5)-MAX(('V06 Motor'!A155-1)*30/'V06 Motor'!C155,4))*'V06 Curva'!$B$9,MAX(0,MIN('V06 Motor'!A155*30/'V06 Motor'!C155,6)-MAX(('V06 Motor'!A155-1)*30/'V06 Motor'!C155,5))*'V06 Curva'!$B$10,MAX(0,MIN('V06 Motor'!A155*30/'V06 Motor'!C155,7)-MAX(('V06 Motor'!A155-1)*30/'V06 Motor'!C155,6))*'V06 Curva'!$B$11,MAX(0,MIN('V06 Motor'!A155*30/'V06 Motor'!C155,8)-MAX(('V06 Motor'!A155-1)*30/'V06 Motor'!C155,7))*'V06 Curva'!$B$12,MAX(0,MIN('V06 Motor'!A155*30/'V06 Motor'!C155,9)-MAX(('V06 Motor'!A155-1)*30/'V06 Motor'!C155,8))*'V06 Curva'!$B$13,MAX(0,MIN('V06 Motor'!A155*30/'V06 Motor'!C155,10)-MAX(('V06 Motor'!A155-1)*30/'V06 Motor'!C155,9))*'V06 Curva'!$B$14,MAX(0,MIN('V06 Motor'!A155*30/'V06 Motor'!C155,11)-MAX(('V06 Motor'!A155-1)*30/'V06 Motor'!C155,10))*'V06 Curva'!$B$15,MAX(0,MIN('V06 Motor'!A155*30/'V06 Motor'!C155,12)-MAX(('V06 Motor'!A155-1)*30/'V06 Motor'!C155,11))*'V06 Curva'!$B$16,MAX(0,MIN('V06 Motor'!A155*30/'V06 Motor'!C155,13)-MAX(('V06 Motor'!A155-1)*30/'V06 Motor'!C155,12))*'V06 Curva'!$B$17,MAX(0,MIN('V06 Motor'!A155*30/'V06 Motor'!C155,14)-MAX(('V06 Motor'!A155-1)*30/'V06 Motor'!C155,13))*'V06 Curva'!$B$18,MAX(0,MIN('V06 Motor'!A155*30/'V06 Motor'!C155,15)-MAX(('V06 Motor'!A155-1)*30/'V06 Motor'!C155,14))*'V06 Curva'!$B$19,MAX(0,MIN('V06 Motor'!A155*30/'V06 Motor'!C155,16)-MAX(('V06 Motor'!A155-1)*30/'V06 Motor'!C155,15))*'V06 Curva'!$B$20,MAX(0,MIN('V06 Motor'!A155*30/'V06 Motor'!C155,17)-MAX(('V06 Motor'!A155-1)*30/'V06 Motor'!C155,16))*'V06 Curva'!$B$21,MAX(0,MIN('V06 Motor'!A155*30/'V06 Motor'!C155,18)-MAX(('V06 Motor'!A155-1)*30/'V06 Motor'!C155,17))*'V06 Curva'!$B$22,MAX(0,MIN('V06 Motor'!A155*30/'V06 Motor'!C155,19)-MAX(('V06 Motor'!A155-1)*30/'V06 Motor'!C155,18))*'V06 Curva'!$B$23,MAX(0,MIN('V06 Motor'!A155*30/'V06 Motor'!C155,20)-MAX(('V06 Motor'!A155-1)*30/'V06 Motor'!C155,19))*'V06 Curva'!$B$24,MAX(0,MIN('V06 Motor'!A155*30/'V06 Motor'!C155,21)-MAX(('V06 Motor'!A155-1)*30/'V06 Motor'!C155,20))*'V06 Curva'!$B$25,MAX(0,MIN('V06 Motor'!A155*30/'V06 Motor'!C155,22)-MAX(('V06 Motor'!A155-1)*30/'V06 Motor'!C155,21))*'V06 Curva'!$B$26,MAX(0,MIN('V06 Motor'!A155*30/'V06 Motor'!C155,23)-MAX(('V06 Motor'!A155-1)*30/'V06 Motor'!C155,22))*'V06 Curva'!$B$27,MAX(0,MIN('V06 Motor'!A155*30/'V06 Motor'!C155,24)-MAX(('V06 Motor'!A155-1)*30/'V06 Motor'!C155,23))*'V06 Curva'!$B$28,MAX(0,MIN('V06 Motor'!A155*30/'V06 Motor'!C155,25)-MAX(('V06 Motor'!A155-1)*30/'V06 Motor'!C155,24))*'V06 Curva'!$B$29,MAX(0,MIN('V06 Motor'!A155*30/'V06 Motor'!C155,26)-MAX(('V06 Motor'!A155-1)*30/'V06 Motor'!C155,25))*'V06 Curva'!$B$30,MAX(0,MIN('V06 Motor'!A155*30/'V06 Motor'!C155,27)-MAX(('V06 Motor'!A155-1)*30/'V06 Motor'!C155,26))*'V06 Curva'!$B$31,MAX(0,MIN('V06 Motor'!A155*30/'V06 Motor'!C155,28)-MAX(('V06 Motor'!A155-1)*30/'V06 Motor'!C155,27))*'V06 Curva'!$B$32,MAX(0,MIN('V06 Motor'!A155*30/'V06 Motor'!C155,29)-MAX(('V06 Motor'!A155-1)*30/'V06 Motor'!C155,28))*'V06 Curva'!$B$33,MAX(0,MIN('V06 Motor'!A155*30/'V06 Motor'!C155,30)-MAX(('V06 Motor'!A155-1)*30/'V06 Motor'!C155,29))*'V06 Curva'!$B$34),0)</f>
        <v>0.0</v>
      </c>
      <c r="O155" s="2">
        <f>SUMPRODUCT(--(('V06 Unidades'!$I$5:$I$98+'V06 Controlos'!$B$37)='V06 Motor'!A155),ROUND('V06 Unidades'!$H$5:$H$98*0.05,2)+ROUND('V06 Unidades'!$H$5:$H$98*0.2,2))+SUMPRODUCT(--(IF('V06 Controlos'!$B$38&gt;0,IF(('V06 Unidades'!$L$5:$L$98+'V06 Controlos'!$B$37)&lt;'V06 Motor'!C155,'V06 Motor'!C155,('V06 Unidades'!$L$5:$L$98+'V06 Controlos'!$B$37)),('V06 Unidades'!$L$5:$L$98+'V06 Controlos'!$B$37))='V06 Motor'!A155),'V06 Unidades'!$H$5:$H$98-ROUND('V06 Unidades'!$H$5:$H$98*0.05,2)-ROUND('V06 Unidades'!$H$5:$H$98*0.2,2)-ROUND('V06 Unidades'!$H$5:$H$98*0.55,2))+SUMPRODUCT(--(IF(INT((IF('V06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Controlos'!$B$37)-1)/6),0)&gt;0),--('V06 Motor'!A155&gt;('V06 Unidades'!$I$5:$I$98+'V06 Controlos'!$B$37)),--('V06 Motor'!A155&lt;IF('V06 Controlos'!$B$38&gt;0,IF(('V06 Unidades'!$L$5:$L$98+'V06 Controlos'!$B$37)&lt;'V06 Motor'!C155,'V06 Motor'!C155,('V06 Unidades'!$L$5:$L$98+'V06 Controlos'!$B$37)),('V06 Unidades'!$L$5:$L$98+'V06 Controlos'!$B$37))),--(MOD('V06 Motor'!A155-('V06 Unidades'!$I$5:$I$98+'V06 Controlos'!$B$37),6)=0),--(('V06 Motor'!A155-('V06 Unidades'!$I$5:$I$98+'V06 Controlos'!$B$37))/6&lt;=IF(INT((IF('V06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Controlos'!$B$37)-1)/6),0)),IF('V06 Motor'!A155=('V06 Unidades'!$I$5:$I$98+'V06 Controlos'!$B$37)+6*IF(INT((IF('V06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Controlos'!$B$37)-1)/6),0)&gt;0,IF(INT((IF('V06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Controlos'!$B$37)-1)/6),0),1),2)*(IF(INT((IF('V06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Controlos'!$B$37)-1)/6),0)&gt;0,IF(INT((IF('V06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Controlos'!$B$37)-1)/6)&gt;0,INT((IF('V06 Controlos'!$B$38&gt;0,IF(('V06 Unidades'!$L$5:$L$98+'V06 Controlos'!$B$37)&lt;'V06 Motor'!C155,'V06 Motor'!C155,('V06 Unidades'!$L$5:$L$98+'V06 Controlos'!$B$37)),('V06 Unidades'!$L$5:$L$98+'V06 Controlos'!$B$37))-('V06 Unidades'!$I$5:$I$98+'V06 Controlos'!$B$37)-1)/6),0),1),2)))</f>
        <v>0.0</v>
      </c>
      <c r="P155" s="2">
        <f>SUM('V06 Calend 01'!FG5:FG98)</f>
        <v>0.0</v>
      </c>
    </row>
    <row r="156" spans="1:16">
      <c r="A156">
        <v>152</v>
      </c>
      <c r="C156">
        <v>30</v>
      </c>
      <c r="G156" s="2">
        <f>IF('V06 Motor'!A156&lt;='V06 Motor'!C156,SUMPRODUCT('V06 Curva'!$B$5:$B$34,IF((IF('V06 Motor'!A156*30/'V06 Motor'!C156&lt;'V06 Curva'!$A$5:$A$34,'V06 Motor'!A156*30/'V06 Motor'!C156,'V06 Curva'!$A$5:$A$34)-IF(('V06 Motor'!A156-1)*30/'V06 Motor'!C156&gt;'V06 Curva'!$A$5:$A$34-1,('V06 Motor'!A156-1)*30/'V06 Motor'!C156,'V06 Curva'!$A$5:$A$34-1))&gt;0,(IF('V06 Motor'!A156*30/'V06 Motor'!C156&lt;'V06 Curva'!$A$5:$A$34,'V06 Motor'!A156*30/'V06 Motor'!C156,'V06 Curva'!$A$5:$A$34)-IF(('V06 Motor'!A156-1)*30/'V06 Motor'!C156&gt;'V06 Curva'!$A$5:$A$34-1,('V06 Motor'!A156-1)*30/'V06 Motor'!C156,'V06 Curva'!$A$5:$A$34-1)),0)),0)</f>
        <v>0.0</v>
      </c>
      <c r="H156" s="2">
        <f>IF('V06 Motor'!A156&lt;='V06 Motor'!C156,SUM(MAX(0,MIN('V06 Motor'!A156*30/'V06 Motor'!C156,1)-MAX(('V06 Motor'!A156-1)*30/'V06 Motor'!C156,0))*'V06 Curva'!$B$5,MAX(0,MIN('V06 Motor'!A156*30/'V06 Motor'!C156,2)-MAX(('V06 Motor'!A156-1)*30/'V06 Motor'!C156,1))*'V06 Curva'!$B$6,MAX(0,MIN('V06 Motor'!A156*30/'V06 Motor'!C156,3)-MAX(('V06 Motor'!A156-1)*30/'V06 Motor'!C156,2))*'V06 Curva'!$B$7,MAX(0,MIN('V06 Motor'!A156*30/'V06 Motor'!C156,4)-MAX(('V06 Motor'!A156-1)*30/'V06 Motor'!C156,3))*'V06 Curva'!$B$8,MAX(0,MIN('V06 Motor'!A156*30/'V06 Motor'!C156,5)-MAX(('V06 Motor'!A156-1)*30/'V06 Motor'!C156,4))*'V06 Curva'!$B$9,MAX(0,MIN('V06 Motor'!A156*30/'V06 Motor'!C156,6)-MAX(('V06 Motor'!A156-1)*30/'V06 Motor'!C156,5))*'V06 Curva'!$B$10,MAX(0,MIN('V06 Motor'!A156*30/'V06 Motor'!C156,7)-MAX(('V06 Motor'!A156-1)*30/'V06 Motor'!C156,6))*'V06 Curva'!$B$11,MAX(0,MIN('V06 Motor'!A156*30/'V06 Motor'!C156,8)-MAX(('V06 Motor'!A156-1)*30/'V06 Motor'!C156,7))*'V06 Curva'!$B$12,MAX(0,MIN('V06 Motor'!A156*30/'V06 Motor'!C156,9)-MAX(('V06 Motor'!A156-1)*30/'V06 Motor'!C156,8))*'V06 Curva'!$B$13,MAX(0,MIN('V06 Motor'!A156*30/'V06 Motor'!C156,10)-MAX(('V06 Motor'!A156-1)*30/'V06 Motor'!C156,9))*'V06 Curva'!$B$14,MAX(0,MIN('V06 Motor'!A156*30/'V06 Motor'!C156,11)-MAX(('V06 Motor'!A156-1)*30/'V06 Motor'!C156,10))*'V06 Curva'!$B$15,MAX(0,MIN('V06 Motor'!A156*30/'V06 Motor'!C156,12)-MAX(('V06 Motor'!A156-1)*30/'V06 Motor'!C156,11))*'V06 Curva'!$B$16,MAX(0,MIN('V06 Motor'!A156*30/'V06 Motor'!C156,13)-MAX(('V06 Motor'!A156-1)*30/'V06 Motor'!C156,12))*'V06 Curva'!$B$17,MAX(0,MIN('V06 Motor'!A156*30/'V06 Motor'!C156,14)-MAX(('V06 Motor'!A156-1)*30/'V06 Motor'!C156,13))*'V06 Curva'!$B$18,MAX(0,MIN('V06 Motor'!A156*30/'V06 Motor'!C156,15)-MAX(('V06 Motor'!A156-1)*30/'V06 Motor'!C156,14))*'V06 Curva'!$B$19,MAX(0,MIN('V06 Motor'!A156*30/'V06 Motor'!C156,16)-MAX(('V06 Motor'!A156-1)*30/'V06 Motor'!C156,15))*'V06 Curva'!$B$20,MAX(0,MIN('V06 Motor'!A156*30/'V06 Motor'!C156,17)-MAX(('V06 Motor'!A156-1)*30/'V06 Motor'!C156,16))*'V06 Curva'!$B$21,MAX(0,MIN('V06 Motor'!A156*30/'V06 Motor'!C156,18)-MAX(('V06 Motor'!A156-1)*30/'V06 Motor'!C156,17))*'V06 Curva'!$B$22,MAX(0,MIN('V06 Motor'!A156*30/'V06 Motor'!C156,19)-MAX(('V06 Motor'!A156-1)*30/'V06 Motor'!C156,18))*'V06 Curva'!$B$23,MAX(0,MIN('V06 Motor'!A156*30/'V06 Motor'!C156,20)-MAX(('V06 Motor'!A156-1)*30/'V06 Motor'!C156,19))*'V06 Curva'!$B$24,MAX(0,MIN('V06 Motor'!A156*30/'V06 Motor'!C156,21)-MAX(('V06 Motor'!A156-1)*30/'V06 Motor'!C156,20))*'V06 Curva'!$B$25,MAX(0,MIN('V06 Motor'!A156*30/'V06 Motor'!C156,22)-MAX(('V06 Motor'!A156-1)*30/'V06 Motor'!C156,21))*'V06 Curva'!$B$26,MAX(0,MIN('V06 Motor'!A156*30/'V06 Motor'!C156,23)-MAX(('V06 Motor'!A156-1)*30/'V06 Motor'!C156,22))*'V06 Curva'!$B$27,MAX(0,MIN('V06 Motor'!A156*30/'V06 Motor'!C156,24)-MAX(('V06 Motor'!A156-1)*30/'V06 Motor'!C156,23))*'V06 Curva'!$B$28,MAX(0,MIN('V06 Motor'!A156*30/'V06 Motor'!C156,25)-MAX(('V06 Motor'!A156-1)*30/'V06 Motor'!C156,24))*'V06 Curva'!$B$29,MAX(0,MIN('V06 Motor'!A156*30/'V06 Motor'!C156,26)-MAX(('V06 Motor'!A156-1)*30/'V06 Motor'!C156,25))*'V06 Curva'!$B$30,MAX(0,MIN('V06 Motor'!A156*30/'V06 Motor'!C156,27)-MAX(('V06 Motor'!A156-1)*30/'V06 Motor'!C156,26))*'V06 Curva'!$B$31,MAX(0,MIN('V06 Motor'!A156*30/'V06 Motor'!C156,28)-MAX(('V06 Motor'!A156-1)*30/'V06 Motor'!C156,27))*'V06 Curva'!$B$32,MAX(0,MIN('V06 Motor'!A156*30/'V06 Motor'!C156,29)-MAX(('V06 Motor'!A156-1)*30/'V06 Motor'!C156,28))*'V06 Curva'!$B$33,MAX(0,MIN('V06 Motor'!A156*30/'V06 Motor'!C156,30)-MAX(('V06 Motor'!A156-1)*30/'V06 Motor'!C156,29))*'V06 Curva'!$B$34),0)</f>
        <v>0.0</v>
      </c>
      <c r="O156" s="2">
        <f>SUMPRODUCT(--(('V06 Unidades'!$I$5:$I$98+'V06 Controlos'!$B$37)='V06 Motor'!A156),ROUND('V06 Unidades'!$H$5:$H$98*0.05,2)+ROUND('V06 Unidades'!$H$5:$H$98*0.2,2))+SUMPRODUCT(--(IF('V06 Controlos'!$B$38&gt;0,IF(('V06 Unidades'!$L$5:$L$98+'V06 Controlos'!$B$37)&lt;'V06 Motor'!C156,'V06 Motor'!C156,('V06 Unidades'!$L$5:$L$98+'V06 Controlos'!$B$37)),('V06 Unidades'!$L$5:$L$98+'V06 Controlos'!$B$37))='V06 Motor'!A156),'V06 Unidades'!$H$5:$H$98-ROUND('V06 Unidades'!$H$5:$H$98*0.05,2)-ROUND('V06 Unidades'!$H$5:$H$98*0.2,2)-ROUND('V06 Unidades'!$H$5:$H$98*0.55,2))+SUMPRODUCT(--(IF(INT((IF('V06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Controlos'!$B$37)-1)/6),0)&gt;0),--('V06 Motor'!A156&gt;('V06 Unidades'!$I$5:$I$98+'V06 Controlos'!$B$37)),--('V06 Motor'!A156&lt;IF('V06 Controlos'!$B$38&gt;0,IF(('V06 Unidades'!$L$5:$L$98+'V06 Controlos'!$B$37)&lt;'V06 Motor'!C156,'V06 Motor'!C156,('V06 Unidades'!$L$5:$L$98+'V06 Controlos'!$B$37)),('V06 Unidades'!$L$5:$L$98+'V06 Controlos'!$B$37))),--(MOD('V06 Motor'!A156-('V06 Unidades'!$I$5:$I$98+'V06 Controlos'!$B$37),6)=0),--(('V06 Motor'!A156-('V06 Unidades'!$I$5:$I$98+'V06 Controlos'!$B$37))/6&lt;=IF(INT((IF('V06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Controlos'!$B$37)-1)/6),0)),IF('V06 Motor'!A156=('V06 Unidades'!$I$5:$I$98+'V06 Controlos'!$B$37)+6*IF(INT((IF('V06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Controlos'!$B$37)-1)/6),0)&gt;0,IF(INT((IF('V06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Controlos'!$B$37)-1)/6),0),1),2)*(IF(INT((IF('V06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Controlos'!$B$37)-1)/6),0)&gt;0,IF(INT((IF('V06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Controlos'!$B$37)-1)/6)&gt;0,INT((IF('V06 Controlos'!$B$38&gt;0,IF(('V06 Unidades'!$L$5:$L$98+'V06 Controlos'!$B$37)&lt;'V06 Motor'!C156,'V06 Motor'!C156,('V06 Unidades'!$L$5:$L$98+'V06 Controlos'!$B$37)),('V06 Unidades'!$L$5:$L$98+'V06 Controlos'!$B$37))-('V06 Unidades'!$I$5:$I$98+'V06 Controlos'!$B$37)-1)/6),0),1),2)))</f>
        <v>0.0</v>
      </c>
      <c r="P156" s="2">
        <f>SUM('V06 Calend 01'!FH5:FH98)</f>
        <v>0.0</v>
      </c>
    </row>
    <row r="157" spans="1:16">
      <c r="A157">
        <v>153</v>
      </c>
      <c r="C157">
        <v>30</v>
      </c>
      <c r="G157" s="2">
        <f>IF('V06 Motor'!A157&lt;='V06 Motor'!C157,SUMPRODUCT('V06 Curva'!$B$5:$B$34,IF((IF('V06 Motor'!A157*30/'V06 Motor'!C157&lt;'V06 Curva'!$A$5:$A$34,'V06 Motor'!A157*30/'V06 Motor'!C157,'V06 Curva'!$A$5:$A$34)-IF(('V06 Motor'!A157-1)*30/'V06 Motor'!C157&gt;'V06 Curva'!$A$5:$A$34-1,('V06 Motor'!A157-1)*30/'V06 Motor'!C157,'V06 Curva'!$A$5:$A$34-1))&gt;0,(IF('V06 Motor'!A157*30/'V06 Motor'!C157&lt;'V06 Curva'!$A$5:$A$34,'V06 Motor'!A157*30/'V06 Motor'!C157,'V06 Curva'!$A$5:$A$34)-IF(('V06 Motor'!A157-1)*30/'V06 Motor'!C157&gt;'V06 Curva'!$A$5:$A$34-1,('V06 Motor'!A157-1)*30/'V06 Motor'!C157,'V06 Curva'!$A$5:$A$34-1)),0)),0)</f>
        <v>0.0</v>
      </c>
      <c r="H157" s="2">
        <f>IF('V06 Motor'!A157&lt;='V06 Motor'!C157,SUM(MAX(0,MIN('V06 Motor'!A157*30/'V06 Motor'!C157,1)-MAX(('V06 Motor'!A157-1)*30/'V06 Motor'!C157,0))*'V06 Curva'!$B$5,MAX(0,MIN('V06 Motor'!A157*30/'V06 Motor'!C157,2)-MAX(('V06 Motor'!A157-1)*30/'V06 Motor'!C157,1))*'V06 Curva'!$B$6,MAX(0,MIN('V06 Motor'!A157*30/'V06 Motor'!C157,3)-MAX(('V06 Motor'!A157-1)*30/'V06 Motor'!C157,2))*'V06 Curva'!$B$7,MAX(0,MIN('V06 Motor'!A157*30/'V06 Motor'!C157,4)-MAX(('V06 Motor'!A157-1)*30/'V06 Motor'!C157,3))*'V06 Curva'!$B$8,MAX(0,MIN('V06 Motor'!A157*30/'V06 Motor'!C157,5)-MAX(('V06 Motor'!A157-1)*30/'V06 Motor'!C157,4))*'V06 Curva'!$B$9,MAX(0,MIN('V06 Motor'!A157*30/'V06 Motor'!C157,6)-MAX(('V06 Motor'!A157-1)*30/'V06 Motor'!C157,5))*'V06 Curva'!$B$10,MAX(0,MIN('V06 Motor'!A157*30/'V06 Motor'!C157,7)-MAX(('V06 Motor'!A157-1)*30/'V06 Motor'!C157,6))*'V06 Curva'!$B$11,MAX(0,MIN('V06 Motor'!A157*30/'V06 Motor'!C157,8)-MAX(('V06 Motor'!A157-1)*30/'V06 Motor'!C157,7))*'V06 Curva'!$B$12,MAX(0,MIN('V06 Motor'!A157*30/'V06 Motor'!C157,9)-MAX(('V06 Motor'!A157-1)*30/'V06 Motor'!C157,8))*'V06 Curva'!$B$13,MAX(0,MIN('V06 Motor'!A157*30/'V06 Motor'!C157,10)-MAX(('V06 Motor'!A157-1)*30/'V06 Motor'!C157,9))*'V06 Curva'!$B$14,MAX(0,MIN('V06 Motor'!A157*30/'V06 Motor'!C157,11)-MAX(('V06 Motor'!A157-1)*30/'V06 Motor'!C157,10))*'V06 Curva'!$B$15,MAX(0,MIN('V06 Motor'!A157*30/'V06 Motor'!C157,12)-MAX(('V06 Motor'!A157-1)*30/'V06 Motor'!C157,11))*'V06 Curva'!$B$16,MAX(0,MIN('V06 Motor'!A157*30/'V06 Motor'!C157,13)-MAX(('V06 Motor'!A157-1)*30/'V06 Motor'!C157,12))*'V06 Curva'!$B$17,MAX(0,MIN('V06 Motor'!A157*30/'V06 Motor'!C157,14)-MAX(('V06 Motor'!A157-1)*30/'V06 Motor'!C157,13))*'V06 Curva'!$B$18,MAX(0,MIN('V06 Motor'!A157*30/'V06 Motor'!C157,15)-MAX(('V06 Motor'!A157-1)*30/'V06 Motor'!C157,14))*'V06 Curva'!$B$19,MAX(0,MIN('V06 Motor'!A157*30/'V06 Motor'!C157,16)-MAX(('V06 Motor'!A157-1)*30/'V06 Motor'!C157,15))*'V06 Curva'!$B$20,MAX(0,MIN('V06 Motor'!A157*30/'V06 Motor'!C157,17)-MAX(('V06 Motor'!A157-1)*30/'V06 Motor'!C157,16))*'V06 Curva'!$B$21,MAX(0,MIN('V06 Motor'!A157*30/'V06 Motor'!C157,18)-MAX(('V06 Motor'!A157-1)*30/'V06 Motor'!C157,17))*'V06 Curva'!$B$22,MAX(0,MIN('V06 Motor'!A157*30/'V06 Motor'!C157,19)-MAX(('V06 Motor'!A157-1)*30/'V06 Motor'!C157,18))*'V06 Curva'!$B$23,MAX(0,MIN('V06 Motor'!A157*30/'V06 Motor'!C157,20)-MAX(('V06 Motor'!A157-1)*30/'V06 Motor'!C157,19))*'V06 Curva'!$B$24,MAX(0,MIN('V06 Motor'!A157*30/'V06 Motor'!C157,21)-MAX(('V06 Motor'!A157-1)*30/'V06 Motor'!C157,20))*'V06 Curva'!$B$25,MAX(0,MIN('V06 Motor'!A157*30/'V06 Motor'!C157,22)-MAX(('V06 Motor'!A157-1)*30/'V06 Motor'!C157,21))*'V06 Curva'!$B$26,MAX(0,MIN('V06 Motor'!A157*30/'V06 Motor'!C157,23)-MAX(('V06 Motor'!A157-1)*30/'V06 Motor'!C157,22))*'V06 Curva'!$B$27,MAX(0,MIN('V06 Motor'!A157*30/'V06 Motor'!C157,24)-MAX(('V06 Motor'!A157-1)*30/'V06 Motor'!C157,23))*'V06 Curva'!$B$28,MAX(0,MIN('V06 Motor'!A157*30/'V06 Motor'!C157,25)-MAX(('V06 Motor'!A157-1)*30/'V06 Motor'!C157,24))*'V06 Curva'!$B$29,MAX(0,MIN('V06 Motor'!A157*30/'V06 Motor'!C157,26)-MAX(('V06 Motor'!A157-1)*30/'V06 Motor'!C157,25))*'V06 Curva'!$B$30,MAX(0,MIN('V06 Motor'!A157*30/'V06 Motor'!C157,27)-MAX(('V06 Motor'!A157-1)*30/'V06 Motor'!C157,26))*'V06 Curva'!$B$31,MAX(0,MIN('V06 Motor'!A157*30/'V06 Motor'!C157,28)-MAX(('V06 Motor'!A157-1)*30/'V06 Motor'!C157,27))*'V06 Curva'!$B$32,MAX(0,MIN('V06 Motor'!A157*30/'V06 Motor'!C157,29)-MAX(('V06 Motor'!A157-1)*30/'V06 Motor'!C157,28))*'V06 Curva'!$B$33,MAX(0,MIN('V06 Motor'!A157*30/'V06 Motor'!C157,30)-MAX(('V06 Motor'!A157-1)*30/'V06 Motor'!C157,29))*'V06 Curva'!$B$34),0)</f>
        <v>0.0</v>
      </c>
      <c r="O157" s="2">
        <f>SUMPRODUCT(--(('V06 Unidades'!$I$5:$I$98+'V06 Controlos'!$B$37)='V06 Motor'!A157),ROUND('V06 Unidades'!$H$5:$H$98*0.05,2)+ROUND('V06 Unidades'!$H$5:$H$98*0.2,2))+SUMPRODUCT(--(IF('V06 Controlos'!$B$38&gt;0,IF(('V06 Unidades'!$L$5:$L$98+'V06 Controlos'!$B$37)&lt;'V06 Motor'!C157,'V06 Motor'!C157,('V06 Unidades'!$L$5:$L$98+'V06 Controlos'!$B$37)),('V06 Unidades'!$L$5:$L$98+'V06 Controlos'!$B$37))='V06 Motor'!A157),'V06 Unidades'!$H$5:$H$98-ROUND('V06 Unidades'!$H$5:$H$98*0.05,2)-ROUND('V06 Unidades'!$H$5:$H$98*0.2,2)-ROUND('V06 Unidades'!$H$5:$H$98*0.55,2))+SUMPRODUCT(--(IF(INT((IF('V06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Controlos'!$B$37)-1)/6),0)&gt;0),--('V06 Motor'!A157&gt;('V06 Unidades'!$I$5:$I$98+'V06 Controlos'!$B$37)),--('V06 Motor'!A157&lt;IF('V06 Controlos'!$B$38&gt;0,IF(('V06 Unidades'!$L$5:$L$98+'V06 Controlos'!$B$37)&lt;'V06 Motor'!C157,'V06 Motor'!C157,('V06 Unidades'!$L$5:$L$98+'V06 Controlos'!$B$37)),('V06 Unidades'!$L$5:$L$98+'V06 Controlos'!$B$37))),--(MOD('V06 Motor'!A157-('V06 Unidades'!$I$5:$I$98+'V06 Controlos'!$B$37),6)=0),--(('V06 Motor'!A157-('V06 Unidades'!$I$5:$I$98+'V06 Controlos'!$B$37))/6&lt;=IF(INT((IF('V06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Controlos'!$B$37)-1)/6),0)),IF('V06 Motor'!A157=('V06 Unidades'!$I$5:$I$98+'V06 Controlos'!$B$37)+6*IF(INT((IF('V06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Controlos'!$B$37)-1)/6),0)&gt;0,IF(INT((IF('V06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Controlos'!$B$37)-1)/6),0),1),2)*(IF(INT((IF('V06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Controlos'!$B$37)-1)/6),0)&gt;0,IF(INT((IF('V06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Controlos'!$B$37)-1)/6)&gt;0,INT((IF('V06 Controlos'!$B$38&gt;0,IF(('V06 Unidades'!$L$5:$L$98+'V06 Controlos'!$B$37)&lt;'V06 Motor'!C157,'V06 Motor'!C157,('V06 Unidades'!$L$5:$L$98+'V06 Controlos'!$B$37)),('V06 Unidades'!$L$5:$L$98+'V06 Controlos'!$B$37))-('V06 Unidades'!$I$5:$I$98+'V06 Controlos'!$B$37)-1)/6),0),1),2)))</f>
        <v>0.0</v>
      </c>
      <c r="P157" s="2">
        <f>SUM('V06 Calend 01'!FI5:FI98)</f>
        <v>0.0</v>
      </c>
    </row>
    <row r="158" spans="1:16">
      <c r="A158">
        <v>154</v>
      </c>
      <c r="C158">
        <v>30</v>
      </c>
      <c r="G158" s="2">
        <f>IF('V06 Motor'!A158&lt;='V06 Motor'!C158,SUMPRODUCT('V06 Curva'!$B$5:$B$34,IF((IF('V06 Motor'!A158*30/'V06 Motor'!C158&lt;'V06 Curva'!$A$5:$A$34,'V06 Motor'!A158*30/'V06 Motor'!C158,'V06 Curva'!$A$5:$A$34)-IF(('V06 Motor'!A158-1)*30/'V06 Motor'!C158&gt;'V06 Curva'!$A$5:$A$34-1,('V06 Motor'!A158-1)*30/'V06 Motor'!C158,'V06 Curva'!$A$5:$A$34-1))&gt;0,(IF('V06 Motor'!A158*30/'V06 Motor'!C158&lt;'V06 Curva'!$A$5:$A$34,'V06 Motor'!A158*30/'V06 Motor'!C158,'V06 Curva'!$A$5:$A$34)-IF(('V06 Motor'!A158-1)*30/'V06 Motor'!C158&gt;'V06 Curva'!$A$5:$A$34-1,('V06 Motor'!A158-1)*30/'V06 Motor'!C158,'V06 Curva'!$A$5:$A$34-1)),0)),0)</f>
        <v>0.0</v>
      </c>
      <c r="H158" s="2">
        <f>IF('V06 Motor'!A158&lt;='V06 Motor'!C158,SUM(MAX(0,MIN('V06 Motor'!A158*30/'V06 Motor'!C158,1)-MAX(('V06 Motor'!A158-1)*30/'V06 Motor'!C158,0))*'V06 Curva'!$B$5,MAX(0,MIN('V06 Motor'!A158*30/'V06 Motor'!C158,2)-MAX(('V06 Motor'!A158-1)*30/'V06 Motor'!C158,1))*'V06 Curva'!$B$6,MAX(0,MIN('V06 Motor'!A158*30/'V06 Motor'!C158,3)-MAX(('V06 Motor'!A158-1)*30/'V06 Motor'!C158,2))*'V06 Curva'!$B$7,MAX(0,MIN('V06 Motor'!A158*30/'V06 Motor'!C158,4)-MAX(('V06 Motor'!A158-1)*30/'V06 Motor'!C158,3))*'V06 Curva'!$B$8,MAX(0,MIN('V06 Motor'!A158*30/'V06 Motor'!C158,5)-MAX(('V06 Motor'!A158-1)*30/'V06 Motor'!C158,4))*'V06 Curva'!$B$9,MAX(0,MIN('V06 Motor'!A158*30/'V06 Motor'!C158,6)-MAX(('V06 Motor'!A158-1)*30/'V06 Motor'!C158,5))*'V06 Curva'!$B$10,MAX(0,MIN('V06 Motor'!A158*30/'V06 Motor'!C158,7)-MAX(('V06 Motor'!A158-1)*30/'V06 Motor'!C158,6))*'V06 Curva'!$B$11,MAX(0,MIN('V06 Motor'!A158*30/'V06 Motor'!C158,8)-MAX(('V06 Motor'!A158-1)*30/'V06 Motor'!C158,7))*'V06 Curva'!$B$12,MAX(0,MIN('V06 Motor'!A158*30/'V06 Motor'!C158,9)-MAX(('V06 Motor'!A158-1)*30/'V06 Motor'!C158,8))*'V06 Curva'!$B$13,MAX(0,MIN('V06 Motor'!A158*30/'V06 Motor'!C158,10)-MAX(('V06 Motor'!A158-1)*30/'V06 Motor'!C158,9))*'V06 Curva'!$B$14,MAX(0,MIN('V06 Motor'!A158*30/'V06 Motor'!C158,11)-MAX(('V06 Motor'!A158-1)*30/'V06 Motor'!C158,10))*'V06 Curva'!$B$15,MAX(0,MIN('V06 Motor'!A158*30/'V06 Motor'!C158,12)-MAX(('V06 Motor'!A158-1)*30/'V06 Motor'!C158,11))*'V06 Curva'!$B$16,MAX(0,MIN('V06 Motor'!A158*30/'V06 Motor'!C158,13)-MAX(('V06 Motor'!A158-1)*30/'V06 Motor'!C158,12))*'V06 Curva'!$B$17,MAX(0,MIN('V06 Motor'!A158*30/'V06 Motor'!C158,14)-MAX(('V06 Motor'!A158-1)*30/'V06 Motor'!C158,13))*'V06 Curva'!$B$18,MAX(0,MIN('V06 Motor'!A158*30/'V06 Motor'!C158,15)-MAX(('V06 Motor'!A158-1)*30/'V06 Motor'!C158,14))*'V06 Curva'!$B$19,MAX(0,MIN('V06 Motor'!A158*30/'V06 Motor'!C158,16)-MAX(('V06 Motor'!A158-1)*30/'V06 Motor'!C158,15))*'V06 Curva'!$B$20,MAX(0,MIN('V06 Motor'!A158*30/'V06 Motor'!C158,17)-MAX(('V06 Motor'!A158-1)*30/'V06 Motor'!C158,16))*'V06 Curva'!$B$21,MAX(0,MIN('V06 Motor'!A158*30/'V06 Motor'!C158,18)-MAX(('V06 Motor'!A158-1)*30/'V06 Motor'!C158,17))*'V06 Curva'!$B$22,MAX(0,MIN('V06 Motor'!A158*30/'V06 Motor'!C158,19)-MAX(('V06 Motor'!A158-1)*30/'V06 Motor'!C158,18))*'V06 Curva'!$B$23,MAX(0,MIN('V06 Motor'!A158*30/'V06 Motor'!C158,20)-MAX(('V06 Motor'!A158-1)*30/'V06 Motor'!C158,19))*'V06 Curva'!$B$24,MAX(0,MIN('V06 Motor'!A158*30/'V06 Motor'!C158,21)-MAX(('V06 Motor'!A158-1)*30/'V06 Motor'!C158,20))*'V06 Curva'!$B$25,MAX(0,MIN('V06 Motor'!A158*30/'V06 Motor'!C158,22)-MAX(('V06 Motor'!A158-1)*30/'V06 Motor'!C158,21))*'V06 Curva'!$B$26,MAX(0,MIN('V06 Motor'!A158*30/'V06 Motor'!C158,23)-MAX(('V06 Motor'!A158-1)*30/'V06 Motor'!C158,22))*'V06 Curva'!$B$27,MAX(0,MIN('V06 Motor'!A158*30/'V06 Motor'!C158,24)-MAX(('V06 Motor'!A158-1)*30/'V06 Motor'!C158,23))*'V06 Curva'!$B$28,MAX(0,MIN('V06 Motor'!A158*30/'V06 Motor'!C158,25)-MAX(('V06 Motor'!A158-1)*30/'V06 Motor'!C158,24))*'V06 Curva'!$B$29,MAX(0,MIN('V06 Motor'!A158*30/'V06 Motor'!C158,26)-MAX(('V06 Motor'!A158-1)*30/'V06 Motor'!C158,25))*'V06 Curva'!$B$30,MAX(0,MIN('V06 Motor'!A158*30/'V06 Motor'!C158,27)-MAX(('V06 Motor'!A158-1)*30/'V06 Motor'!C158,26))*'V06 Curva'!$B$31,MAX(0,MIN('V06 Motor'!A158*30/'V06 Motor'!C158,28)-MAX(('V06 Motor'!A158-1)*30/'V06 Motor'!C158,27))*'V06 Curva'!$B$32,MAX(0,MIN('V06 Motor'!A158*30/'V06 Motor'!C158,29)-MAX(('V06 Motor'!A158-1)*30/'V06 Motor'!C158,28))*'V06 Curva'!$B$33,MAX(0,MIN('V06 Motor'!A158*30/'V06 Motor'!C158,30)-MAX(('V06 Motor'!A158-1)*30/'V06 Motor'!C158,29))*'V06 Curva'!$B$34),0)</f>
        <v>0.0</v>
      </c>
      <c r="O158" s="2">
        <f>SUMPRODUCT(--(('V06 Unidades'!$I$5:$I$98+'V06 Controlos'!$B$37)='V06 Motor'!A158),ROUND('V06 Unidades'!$H$5:$H$98*0.05,2)+ROUND('V06 Unidades'!$H$5:$H$98*0.2,2))+SUMPRODUCT(--(IF('V06 Controlos'!$B$38&gt;0,IF(('V06 Unidades'!$L$5:$L$98+'V06 Controlos'!$B$37)&lt;'V06 Motor'!C158,'V06 Motor'!C158,('V06 Unidades'!$L$5:$L$98+'V06 Controlos'!$B$37)),('V06 Unidades'!$L$5:$L$98+'V06 Controlos'!$B$37))='V06 Motor'!A158),'V06 Unidades'!$H$5:$H$98-ROUND('V06 Unidades'!$H$5:$H$98*0.05,2)-ROUND('V06 Unidades'!$H$5:$H$98*0.2,2)-ROUND('V06 Unidades'!$H$5:$H$98*0.55,2))+SUMPRODUCT(--(IF(INT((IF('V06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Controlos'!$B$37)-1)/6),0)&gt;0),--('V06 Motor'!A158&gt;('V06 Unidades'!$I$5:$I$98+'V06 Controlos'!$B$37)),--('V06 Motor'!A158&lt;IF('V06 Controlos'!$B$38&gt;0,IF(('V06 Unidades'!$L$5:$L$98+'V06 Controlos'!$B$37)&lt;'V06 Motor'!C158,'V06 Motor'!C158,('V06 Unidades'!$L$5:$L$98+'V06 Controlos'!$B$37)),('V06 Unidades'!$L$5:$L$98+'V06 Controlos'!$B$37))),--(MOD('V06 Motor'!A158-('V06 Unidades'!$I$5:$I$98+'V06 Controlos'!$B$37),6)=0),--(('V06 Motor'!A158-('V06 Unidades'!$I$5:$I$98+'V06 Controlos'!$B$37))/6&lt;=IF(INT((IF('V06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Controlos'!$B$37)-1)/6),0)),IF('V06 Motor'!A158=('V06 Unidades'!$I$5:$I$98+'V06 Controlos'!$B$37)+6*IF(INT((IF('V06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Controlos'!$B$37)-1)/6),0)&gt;0,IF(INT((IF('V06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Controlos'!$B$37)-1)/6),0),1),2)*(IF(INT((IF('V06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Controlos'!$B$37)-1)/6),0)&gt;0,IF(INT((IF('V06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Controlos'!$B$37)-1)/6)&gt;0,INT((IF('V06 Controlos'!$B$38&gt;0,IF(('V06 Unidades'!$L$5:$L$98+'V06 Controlos'!$B$37)&lt;'V06 Motor'!C158,'V06 Motor'!C158,('V06 Unidades'!$L$5:$L$98+'V06 Controlos'!$B$37)),('V06 Unidades'!$L$5:$L$98+'V06 Controlos'!$B$37))-('V06 Unidades'!$I$5:$I$98+'V06 Controlos'!$B$37)-1)/6),0),1),2)))</f>
        <v>0.0</v>
      </c>
      <c r="P158" s="2">
        <f>SUM('V06 Calend 01'!FJ5:FJ98)</f>
        <v>0.0</v>
      </c>
    </row>
    <row r="159" spans="1:16">
      <c r="A159">
        <v>155</v>
      </c>
      <c r="C159">
        <v>30</v>
      </c>
      <c r="G159" s="2">
        <f>IF('V06 Motor'!A159&lt;='V06 Motor'!C159,SUMPRODUCT('V06 Curva'!$B$5:$B$34,IF((IF('V06 Motor'!A159*30/'V06 Motor'!C159&lt;'V06 Curva'!$A$5:$A$34,'V06 Motor'!A159*30/'V06 Motor'!C159,'V06 Curva'!$A$5:$A$34)-IF(('V06 Motor'!A159-1)*30/'V06 Motor'!C159&gt;'V06 Curva'!$A$5:$A$34-1,('V06 Motor'!A159-1)*30/'V06 Motor'!C159,'V06 Curva'!$A$5:$A$34-1))&gt;0,(IF('V06 Motor'!A159*30/'V06 Motor'!C159&lt;'V06 Curva'!$A$5:$A$34,'V06 Motor'!A159*30/'V06 Motor'!C159,'V06 Curva'!$A$5:$A$34)-IF(('V06 Motor'!A159-1)*30/'V06 Motor'!C159&gt;'V06 Curva'!$A$5:$A$34-1,('V06 Motor'!A159-1)*30/'V06 Motor'!C159,'V06 Curva'!$A$5:$A$34-1)),0)),0)</f>
        <v>0.0</v>
      </c>
      <c r="H159" s="2">
        <f>IF('V06 Motor'!A159&lt;='V06 Motor'!C159,SUM(MAX(0,MIN('V06 Motor'!A159*30/'V06 Motor'!C159,1)-MAX(('V06 Motor'!A159-1)*30/'V06 Motor'!C159,0))*'V06 Curva'!$B$5,MAX(0,MIN('V06 Motor'!A159*30/'V06 Motor'!C159,2)-MAX(('V06 Motor'!A159-1)*30/'V06 Motor'!C159,1))*'V06 Curva'!$B$6,MAX(0,MIN('V06 Motor'!A159*30/'V06 Motor'!C159,3)-MAX(('V06 Motor'!A159-1)*30/'V06 Motor'!C159,2))*'V06 Curva'!$B$7,MAX(0,MIN('V06 Motor'!A159*30/'V06 Motor'!C159,4)-MAX(('V06 Motor'!A159-1)*30/'V06 Motor'!C159,3))*'V06 Curva'!$B$8,MAX(0,MIN('V06 Motor'!A159*30/'V06 Motor'!C159,5)-MAX(('V06 Motor'!A159-1)*30/'V06 Motor'!C159,4))*'V06 Curva'!$B$9,MAX(0,MIN('V06 Motor'!A159*30/'V06 Motor'!C159,6)-MAX(('V06 Motor'!A159-1)*30/'V06 Motor'!C159,5))*'V06 Curva'!$B$10,MAX(0,MIN('V06 Motor'!A159*30/'V06 Motor'!C159,7)-MAX(('V06 Motor'!A159-1)*30/'V06 Motor'!C159,6))*'V06 Curva'!$B$11,MAX(0,MIN('V06 Motor'!A159*30/'V06 Motor'!C159,8)-MAX(('V06 Motor'!A159-1)*30/'V06 Motor'!C159,7))*'V06 Curva'!$B$12,MAX(0,MIN('V06 Motor'!A159*30/'V06 Motor'!C159,9)-MAX(('V06 Motor'!A159-1)*30/'V06 Motor'!C159,8))*'V06 Curva'!$B$13,MAX(0,MIN('V06 Motor'!A159*30/'V06 Motor'!C159,10)-MAX(('V06 Motor'!A159-1)*30/'V06 Motor'!C159,9))*'V06 Curva'!$B$14,MAX(0,MIN('V06 Motor'!A159*30/'V06 Motor'!C159,11)-MAX(('V06 Motor'!A159-1)*30/'V06 Motor'!C159,10))*'V06 Curva'!$B$15,MAX(0,MIN('V06 Motor'!A159*30/'V06 Motor'!C159,12)-MAX(('V06 Motor'!A159-1)*30/'V06 Motor'!C159,11))*'V06 Curva'!$B$16,MAX(0,MIN('V06 Motor'!A159*30/'V06 Motor'!C159,13)-MAX(('V06 Motor'!A159-1)*30/'V06 Motor'!C159,12))*'V06 Curva'!$B$17,MAX(0,MIN('V06 Motor'!A159*30/'V06 Motor'!C159,14)-MAX(('V06 Motor'!A159-1)*30/'V06 Motor'!C159,13))*'V06 Curva'!$B$18,MAX(0,MIN('V06 Motor'!A159*30/'V06 Motor'!C159,15)-MAX(('V06 Motor'!A159-1)*30/'V06 Motor'!C159,14))*'V06 Curva'!$B$19,MAX(0,MIN('V06 Motor'!A159*30/'V06 Motor'!C159,16)-MAX(('V06 Motor'!A159-1)*30/'V06 Motor'!C159,15))*'V06 Curva'!$B$20,MAX(0,MIN('V06 Motor'!A159*30/'V06 Motor'!C159,17)-MAX(('V06 Motor'!A159-1)*30/'V06 Motor'!C159,16))*'V06 Curva'!$B$21,MAX(0,MIN('V06 Motor'!A159*30/'V06 Motor'!C159,18)-MAX(('V06 Motor'!A159-1)*30/'V06 Motor'!C159,17))*'V06 Curva'!$B$22,MAX(0,MIN('V06 Motor'!A159*30/'V06 Motor'!C159,19)-MAX(('V06 Motor'!A159-1)*30/'V06 Motor'!C159,18))*'V06 Curva'!$B$23,MAX(0,MIN('V06 Motor'!A159*30/'V06 Motor'!C159,20)-MAX(('V06 Motor'!A159-1)*30/'V06 Motor'!C159,19))*'V06 Curva'!$B$24,MAX(0,MIN('V06 Motor'!A159*30/'V06 Motor'!C159,21)-MAX(('V06 Motor'!A159-1)*30/'V06 Motor'!C159,20))*'V06 Curva'!$B$25,MAX(0,MIN('V06 Motor'!A159*30/'V06 Motor'!C159,22)-MAX(('V06 Motor'!A159-1)*30/'V06 Motor'!C159,21))*'V06 Curva'!$B$26,MAX(0,MIN('V06 Motor'!A159*30/'V06 Motor'!C159,23)-MAX(('V06 Motor'!A159-1)*30/'V06 Motor'!C159,22))*'V06 Curva'!$B$27,MAX(0,MIN('V06 Motor'!A159*30/'V06 Motor'!C159,24)-MAX(('V06 Motor'!A159-1)*30/'V06 Motor'!C159,23))*'V06 Curva'!$B$28,MAX(0,MIN('V06 Motor'!A159*30/'V06 Motor'!C159,25)-MAX(('V06 Motor'!A159-1)*30/'V06 Motor'!C159,24))*'V06 Curva'!$B$29,MAX(0,MIN('V06 Motor'!A159*30/'V06 Motor'!C159,26)-MAX(('V06 Motor'!A159-1)*30/'V06 Motor'!C159,25))*'V06 Curva'!$B$30,MAX(0,MIN('V06 Motor'!A159*30/'V06 Motor'!C159,27)-MAX(('V06 Motor'!A159-1)*30/'V06 Motor'!C159,26))*'V06 Curva'!$B$31,MAX(0,MIN('V06 Motor'!A159*30/'V06 Motor'!C159,28)-MAX(('V06 Motor'!A159-1)*30/'V06 Motor'!C159,27))*'V06 Curva'!$B$32,MAX(0,MIN('V06 Motor'!A159*30/'V06 Motor'!C159,29)-MAX(('V06 Motor'!A159-1)*30/'V06 Motor'!C159,28))*'V06 Curva'!$B$33,MAX(0,MIN('V06 Motor'!A159*30/'V06 Motor'!C159,30)-MAX(('V06 Motor'!A159-1)*30/'V06 Motor'!C159,29))*'V06 Curva'!$B$34),0)</f>
        <v>0.0</v>
      </c>
      <c r="O159" s="2">
        <f>SUMPRODUCT(--(('V06 Unidades'!$I$5:$I$98+'V06 Controlos'!$B$37)='V06 Motor'!A159),ROUND('V06 Unidades'!$H$5:$H$98*0.05,2)+ROUND('V06 Unidades'!$H$5:$H$98*0.2,2))+SUMPRODUCT(--(IF('V06 Controlos'!$B$38&gt;0,IF(('V06 Unidades'!$L$5:$L$98+'V06 Controlos'!$B$37)&lt;'V06 Motor'!C159,'V06 Motor'!C159,('V06 Unidades'!$L$5:$L$98+'V06 Controlos'!$B$37)),('V06 Unidades'!$L$5:$L$98+'V06 Controlos'!$B$37))='V06 Motor'!A159),'V06 Unidades'!$H$5:$H$98-ROUND('V06 Unidades'!$H$5:$H$98*0.05,2)-ROUND('V06 Unidades'!$H$5:$H$98*0.2,2)-ROUND('V06 Unidades'!$H$5:$H$98*0.55,2))+SUMPRODUCT(--(IF(INT((IF('V06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Controlos'!$B$37)-1)/6),0)&gt;0),--('V06 Motor'!A159&gt;('V06 Unidades'!$I$5:$I$98+'V06 Controlos'!$B$37)),--('V06 Motor'!A159&lt;IF('V06 Controlos'!$B$38&gt;0,IF(('V06 Unidades'!$L$5:$L$98+'V06 Controlos'!$B$37)&lt;'V06 Motor'!C159,'V06 Motor'!C159,('V06 Unidades'!$L$5:$L$98+'V06 Controlos'!$B$37)),('V06 Unidades'!$L$5:$L$98+'V06 Controlos'!$B$37))),--(MOD('V06 Motor'!A159-('V06 Unidades'!$I$5:$I$98+'V06 Controlos'!$B$37),6)=0),--(('V06 Motor'!A159-('V06 Unidades'!$I$5:$I$98+'V06 Controlos'!$B$37))/6&lt;=IF(INT((IF('V06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Controlos'!$B$37)-1)/6),0)),IF('V06 Motor'!A159=('V06 Unidades'!$I$5:$I$98+'V06 Controlos'!$B$37)+6*IF(INT((IF('V06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Controlos'!$B$37)-1)/6),0)&gt;0,IF(INT((IF('V06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Controlos'!$B$37)-1)/6),0),1),2)*(IF(INT((IF('V06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Controlos'!$B$37)-1)/6),0)&gt;0,IF(INT((IF('V06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Controlos'!$B$37)-1)/6)&gt;0,INT((IF('V06 Controlos'!$B$38&gt;0,IF(('V06 Unidades'!$L$5:$L$98+'V06 Controlos'!$B$37)&lt;'V06 Motor'!C159,'V06 Motor'!C159,('V06 Unidades'!$L$5:$L$98+'V06 Controlos'!$B$37)),('V06 Unidades'!$L$5:$L$98+'V06 Controlos'!$B$37))-('V06 Unidades'!$I$5:$I$98+'V06 Controlos'!$B$37)-1)/6),0),1),2)))</f>
        <v>0.0</v>
      </c>
      <c r="P159" s="2">
        <f>SUM('V06 Calend 01'!FK5:FK98)</f>
        <v>0.0</v>
      </c>
    </row>
    <row r="160" spans="1:16">
      <c r="A160">
        <v>156</v>
      </c>
      <c r="C160">
        <v>30</v>
      </c>
      <c r="G160" s="2">
        <f>IF('V06 Motor'!A160&lt;='V06 Motor'!C160,SUMPRODUCT('V06 Curva'!$B$5:$B$34,IF((IF('V06 Motor'!A160*30/'V06 Motor'!C160&lt;'V06 Curva'!$A$5:$A$34,'V06 Motor'!A160*30/'V06 Motor'!C160,'V06 Curva'!$A$5:$A$34)-IF(('V06 Motor'!A160-1)*30/'V06 Motor'!C160&gt;'V06 Curva'!$A$5:$A$34-1,('V06 Motor'!A160-1)*30/'V06 Motor'!C160,'V06 Curva'!$A$5:$A$34-1))&gt;0,(IF('V06 Motor'!A160*30/'V06 Motor'!C160&lt;'V06 Curva'!$A$5:$A$34,'V06 Motor'!A160*30/'V06 Motor'!C160,'V06 Curva'!$A$5:$A$34)-IF(('V06 Motor'!A160-1)*30/'V06 Motor'!C160&gt;'V06 Curva'!$A$5:$A$34-1,('V06 Motor'!A160-1)*30/'V06 Motor'!C160,'V06 Curva'!$A$5:$A$34-1)),0)),0)</f>
        <v>0.0</v>
      </c>
      <c r="H160" s="2">
        <f>IF('V06 Motor'!A160&lt;='V06 Motor'!C160,SUM(MAX(0,MIN('V06 Motor'!A160*30/'V06 Motor'!C160,1)-MAX(('V06 Motor'!A160-1)*30/'V06 Motor'!C160,0))*'V06 Curva'!$B$5,MAX(0,MIN('V06 Motor'!A160*30/'V06 Motor'!C160,2)-MAX(('V06 Motor'!A160-1)*30/'V06 Motor'!C160,1))*'V06 Curva'!$B$6,MAX(0,MIN('V06 Motor'!A160*30/'V06 Motor'!C160,3)-MAX(('V06 Motor'!A160-1)*30/'V06 Motor'!C160,2))*'V06 Curva'!$B$7,MAX(0,MIN('V06 Motor'!A160*30/'V06 Motor'!C160,4)-MAX(('V06 Motor'!A160-1)*30/'V06 Motor'!C160,3))*'V06 Curva'!$B$8,MAX(0,MIN('V06 Motor'!A160*30/'V06 Motor'!C160,5)-MAX(('V06 Motor'!A160-1)*30/'V06 Motor'!C160,4))*'V06 Curva'!$B$9,MAX(0,MIN('V06 Motor'!A160*30/'V06 Motor'!C160,6)-MAX(('V06 Motor'!A160-1)*30/'V06 Motor'!C160,5))*'V06 Curva'!$B$10,MAX(0,MIN('V06 Motor'!A160*30/'V06 Motor'!C160,7)-MAX(('V06 Motor'!A160-1)*30/'V06 Motor'!C160,6))*'V06 Curva'!$B$11,MAX(0,MIN('V06 Motor'!A160*30/'V06 Motor'!C160,8)-MAX(('V06 Motor'!A160-1)*30/'V06 Motor'!C160,7))*'V06 Curva'!$B$12,MAX(0,MIN('V06 Motor'!A160*30/'V06 Motor'!C160,9)-MAX(('V06 Motor'!A160-1)*30/'V06 Motor'!C160,8))*'V06 Curva'!$B$13,MAX(0,MIN('V06 Motor'!A160*30/'V06 Motor'!C160,10)-MAX(('V06 Motor'!A160-1)*30/'V06 Motor'!C160,9))*'V06 Curva'!$B$14,MAX(0,MIN('V06 Motor'!A160*30/'V06 Motor'!C160,11)-MAX(('V06 Motor'!A160-1)*30/'V06 Motor'!C160,10))*'V06 Curva'!$B$15,MAX(0,MIN('V06 Motor'!A160*30/'V06 Motor'!C160,12)-MAX(('V06 Motor'!A160-1)*30/'V06 Motor'!C160,11))*'V06 Curva'!$B$16,MAX(0,MIN('V06 Motor'!A160*30/'V06 Motor'!C160,13)-MAX(('V06 Motor'!A160-1)*30/'V06 Motor'!C160,12))*'V06 Curva'!$B$17,MAX(0,MIN('V06 Motor'!A160*30/'V06 Motor'!C160,14)-MAX(('V06 Motor'!A160-1)*30/'V06 Motor'!C160,13))*'V06 Curva'!$B$18,MAX(0,MIN('V06 Motor'!A160*30/'V06 Motor'!C160,15)-MAX(('V06 Motor'!A160-1)*30/'V06 Motor'!C160,14))*'V06 Curva'!$B$19,MAX(0,MIN('V06 Motor'!A160*30/'V06 Motor'!C160,16)-MAX(('V06 Motor'!A160-1)*30/'V06 Motor'!C160,15))*'V06 Curva'!$B$20,MAX(0,MIN('V06 Motor'!A160*30/'V06 Motor'!C160,17)-MAX(('V06 Motor'!A160-1)*30/'V06 Motor'!C160,16))*'V06 Curva'!$B$21,MAX(0,MIN('V06 Motor'!A160*30/'V06 Motor'!C160,18)-MAX(('V06 Motor'!A160-1)*30/'V06 Motor'!C160,17))*'V06 Curva'!$B$22,MAX(0,MIN('V06 Motor'!A160*30/'V06 Motor'!C160,19)-MAX(('V06 Motor'!A160-1)*30/'V06 Motor'!C160,18))*'V06 Curva'!$B$23,MAX(0,MIN('V06 Motor'!A160*30/'V06 Motor'!C160,20)-MAX(('V06 Motor'!A160-1)*30/'V06 Motor'!C160,19))*'V06 Curva'!$B$24,MAX(0,MIN('V06 Motor'!A160*30/'V06 Motor'!C160,21)-MAX(('V06 Motor'!A160-1)*30/'V06 Motor'!C160,20))*'V06 Curva'!$B$25,MAX(0,MIN('V06 Motor'!A160*30/'V06 Motor'!C160,22)-MAX(('V06 Motor'!A160-1)*30/'V06 Motor'!C160,21))*'V06 Curva'!$B$26,MAX(0,MIN('V06 Motor'!A160*30/'V06 Motor'!C160,23)-MAX(('V06 Motor'!A160-1)*30/'V06 Motor'!C160,22))*'V06 Curva'!$B$27,MAX(0,MIN('V06 Motor'!A160*30/'V06 Motor'!C160,24)-MAX(('V06 Motor'!A160-1)*30/'V06 Motor'!C160,23))*'V06 Curva'!$B$28,MAX(0,MIN('V06 Motor'!A160*30/'V06 Motor'!C160,25)-MAX(('V06 Motor'!A160-1)*30/'V06 Motor'!C160,24))*'V06 Curva'!$B$29,MAX(0,MIN('V06 Motor'!A160*30/'V06 Motor'!C160,26)-MAX(('V06 Motor'!A160-1)*30/'V06 Motor'!C160,25))*'V06 Curva'!$B$30,MAX(0,MIN('V06 Motor'!A160*30/'V06 Motor'!C160,27)-MAX(('V06 Motor'!A160-1)*30/'V06 Motor'!C160,26))*'V06 Curva'!$B$31,MAX(0,MIN('V06 Motor'!A160*30/'V06 Motor'!C160,28)-MAX(('V06 Motor'!A160-1)*30/'V06 Motor'!C160,27))*'V06 Curva'!$B$32,MAX(0,MIN('V06 Motor'!A160*30/'V06 Motor'!C160,29)-MAX(('V06 Motor'!A160-1)*30/'V06 Motor'!C160,28))*'V06 Curva'!$B$33,MAX(0,MIN('V06 Motor'!A160*30/'V06 Motor'!C160,30)-MAX(('V06 Motor'!A160-1)*30/'V06 Motor'!C160,29))*'V06 Curva'!$B$34),0)</f>
        <v>0.0</v>
      </c>
      <c r="O160" s="2">
        <f>SUMPRODUCT(--(('V06 Unidades'!$I$5:$I$98+'V06 Controlos'!$B$37)='V06 Motor'!A160),ROUND('V06 Unidades'!$H$5:$H$98*0.05,2)+ROUND('V06 Unidades'!$H$5:$H$98*0.2,2))+SUMPRODUCT(--(IF('V06 Controlos'!$B$38&gt;0,IF(('V06 Unidades'!$L$5:$L$98+'V06 Controlos'!$B$37)&lt;'V06 Motor'!C160,'V06 Motor'!C160,('V06 Unidades'!$L$5:$L$98+'V06 Controlos'!$B$37)),('V06 Unidades'!$L$5:$L$98+'V06 Controlos'!$B$37))='V06 Motor'!A160),'V06 Unidades'!$H$5:$H$98-ROUND('V06 Unidades'!$H$5:$H$98*0.05,2)-ROUND('V06 Unidades'!$H$5:$H$98*0.2,2)-ROUND('V06 Unidades'!$H$5:$H$98*0.55,2))+SUMPRODUCT(--(IF(INT((IF('V06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Controlos'!$B$37)-1)/6),0)&gt;0),--('V06 Motor'!A160&gt;('V06 Unidades'!$I$5:$I$98+'V06 Controlos'!$B$37)),--('V06 Motor'!A160&lt;IF('V06 Controlos'!$B$38&gt;0,IF(('V06 Unidades'!$L$5:$L$98+'V06 Controlos'!$B$37)&lt;'V06 Motor'!C160,'V06 Motor'!C160,('V06 Unidades'!$L$5:$L$98+'V06 Controlos'!$B$37)),('V06 Unidades'!$L$5:$L$98+'V06 Controlos'!$B$37))),--(MOD('V06 Motor'!A160-('V06 Unidades'!$I$5:$I$98+'V06 Controlos'!$B$37),6)=0),--(('V06 Motor'!A160-('V06 Unidades'!$I$5:$I$98+'V06 Controlos'!$B$37))/6&lt;=IF(INT((IF('V06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Controlos'!$B$37)-1)/6),0)),IF('V06 Motor'!A160=('V06 Unidades'!$I$5:$I$98+'V06 Controlos'!$B$37)+6*IF(INT((IF('V06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Controlos'!$B$37)-1)/6),0)&gt;0,IF(INT((IF('V06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Controlos'!$B$37)-1)/6),0),1),2)*(IF(INT((IF('V06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Controlos'!$B$37)-1)/6),0)&gt;0,IF(INT((IF('V06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Controlos'!$B$37)-1)/6)&gt;0,INT((IF('V06 Controlos'!$B$38&gt;0,IF(('V06 Unidades'!$L$5:$L$98+'V06 Controlos'!$B$37)&lt;'V06 Motor'!C160,'V06 Motor'!C160,('V06 Unidades'!$L$5:$L$98+'V06 Controlos'!$B$37)),('V06 Unidades'!$L$5:$L$98+'V06 Controlos'!$B$37))-('V06 Unidades'!$I$5:$I$98+'V06 Controlos'!$B$37)-1)/6),0),1),2)))</f>
        <v>0.0</v>
      </c>
      <c r="P160" s="2">
        <f>SUM('V06 Calend 01'!FL5:FL98)</f>
        <v>0.0</v>
      </c>
    </row>
    <row r="161" spans="1:16">
      <c r="A161">
        <v>157</v>
      </c>
      <c r="C161">
        <v>30</v>
      </c>
      <c r="G161" s="2">
        <f>IF('V06 Motor'!A161&lt;='V06 Motor'!C161,SUMPRODUCT('V06 Curva'!$B$5:$B$34,IF((IF('V06 Motor'!A161*30/'V06 Motor'!C161&lt;'V06 Curva'!$A$5:$A$34,'V06 Motor'!A161*30/'V06 Motor'!C161,'V06 Curva'!$A$5:$A$34)-IF(('V06 Motor'!A161-1)*30/'V06 Motor'!C161&gt;'V06 Curva'!$A$5:$A$34-1,('V06 Motor'!A161-1)*30/'V06 Motor'!C161,'V06 Curva'!$A$5:$A$34-1))&gt;0,(IF('V06 Motor'!A161*30/'V06 Motor'!C161&lt;'V06 Curva'!$A$5:$A$34,'V06 Motor'!A161*30/'V06 Motor'!C161,'V06 Curva'!$A$5:$A$34)-IF(('V06 Motor'!A161-1)*30/'V06 Motor'!C161&gt;'V06 Curva'!$A$5:$A$34-1,('V06 Motor'!A161-1)*30/'V06 Motor'!C161,'V06 Curva'!$A$5:$A$34-1)),0)),0)</f>
        <v>0.0</v>
      </c>
      <c r="H161" s="2">
        <f>IF('V06 Motor'!A161&lt;='V06 Motor'!C161,SUM(MAX(0,MIN('V06 Motor'!A161*30/'V06 Motor'!C161,1)-MAX(('V06 Motor'!A161-1)*30/'V06 Motor'!C161,0))*'V06 Curva'!$B$5,MAX(0,MIN('V06 Motor'!A161*30/'V06 Motor'!C161,2)-MAX(('V06 Motor'!A161-1)*30/'V06 Motor'!C161,1))*'V06 Curva'!$B$6,MAX(0,MIN('V06 Motor'!A161*30/'V06 Motor'!C161,3)-MAX(('V06 Motor'!A161-1)*30/'V06 Motor'!C161,2))*'V06 Curva'!$B$7,MAX(0,MIN('V06 Motor'!A161*30/'V06 Motor'!C161,4)-MAX(('V06 Motor'!A161-1)*30/'V06 Motor'!C161,3))*'V06 Curva'!$B$8,MAX(0,MIN('V06 Motor'!A161*30/'V06 Motor'!C161,5)-MAX(('V06 Motor'!A161-1)*30/'V06 Motor'!C161,4))*'V06 Curva'!$B$9,MAX(0,MIN('V06 Motor'!A161*30/'V06 Motor'!C161,6)-MAX(('V06 Motor'!A161-1)*30/'V06 Motor'!C161,5))*'V06 Curva'!$B$10,MAX(0,MIN('V06 Motor'!A161*30/'V06 Motor'!C161,7)-MAX(('V06 Motor'!A161-1)*30/'V06 Motor'!C161,6))*'V06 Curva'!$B$11,MAX(0,MIN('V06 Motor'!A161*30/'V06 Motor'!C161,8)-MAX(('V06 Motor'!A161-1)*30/'V06 Motor'!C161,7))*'V06 Curva'!$B$12,MAX(0,MIN('V06 Motor'!A161*30/'V06 Motor'!C161,9)-MAX(('V06 Motor'!A161-1)*30/'V06 Motor'!C161,8))*'V06 Curva'!$B$13,MAX(0,MIN('V06 Motor'!A161*30/'V06 Motor'!C161,10)-MAX(('V06 Motor'!A161-1)*30/'V06 Motor'!C161,9))*'V06 Curva'!$B$14,MAX(0,MIN('V06 Motor'!A161*30/'V06 Motor'!C161,11)-MAX(('V06 Motor'!A161-1)*30/'V06 Motor'!C161,10))*'V06 Curva'!$B$15,MAX(0,MIN('V06 Motor'!A161*30/'V06 Motor'!C161,12)-MAX(('V06 Motor'!A161-1)*30/'V06 Motor'!C161,11))*'V06 Curva'!$B$16,MAX(0,MIN('V06 Motor'!A161*30/'V06 Motor'!C161,13)-MAX(('V06 Motor'!A161-1)*30/'V06 Motor'!C161,12))*'V06 Curva'!$B$17,MAX(0,MIN('V06 Motor'!A161*30/'V06 Motor'!C161,14)-MAX(('V06 Motor'!A161-1)*30/'V06 Motor'!C161,13))*'V06 Curva'!$B$18,MAX(0,MIN('V06 Motor'!A161*30/'V06 Motor'!C161,15)-MAX(('V06 Motor'!A161-1)*30/'V06 Motor'!C161,14))*'V06 Curva'!$B$19,MAX(0,MIN('V06 Motor'!A161*30/'V06 Motor'!C161,16)-MAX(('V06 Motor'!A161-1)*30/'V06 Motor'!C161,15))*'V06 Curva'!$B$20,MAX(0,MIN('V06 Motor'!A161*30/'V06 Motor'!C161,17)-MAX(('V06 Motor'!A161-1)*30/'V06 Motor'!C161,16))*'V06 Curva'!$B$21,MAX(0,MIN('V06 Motor'!A161*30/'V06 Motor'!C161,18)-MAX(('V06 Motor'!A161-1)*30/'V06 Motor'!C161,17))*'V06 Curva'!$B$22,MAX(0,MIN('V06 Motor'!A161*30/'V06 Motor'!C161,19)-MAX(('V06 Motor'!A161-1)*30/'V06 Motor'!C161,18))*'V06 Curva'!$B$23,MAX(0,MIN('V06 Motor'!A161*30/'V06 Motor'!C161,20)-MAX(('V06 Motor'!A161-1)*30/'V06 Motor'!C161,19))*'V06 Curva'!$B$24,MAX(0,MIN('V06 Motor'!A161*30/'V06 Motor'!C161,21)-MAX(('V06 Motor'!A161-1)*30/'V06 Motor'!C161,20))*'V06 Curva'!$B$25,MAX(0,MIN('V06 Motor'!A161*30/'V06 Motor'!C161,22)-MAX(('V06 Motor'!A161-1)*30/'V06 Motor'!C161,21))*'V06 Curva'!$B$26,MAX(0,MIN('V06 Motor'!A161*30/'V06 Motor'!C161,23)-MAX(('V06 Motor'!A161-1)*30/'V06 Motor'!C161,22))*'V06 Curva'!$B$27,MAX(0,MIN('V06 Motor'!A161*30/'V06 Motor'!C161,24)-MAX(('V06 Motor'!A161-1)*30/'V06 Motor'!C161,23))*'V06 Curva'!$B$28,MAX(0,MIN('V06 Motor'!A161*30/'V06 Motor'!C161,25)-MAX(('V06 Motor'!A161-1)*30/'V06 Motor'!C161,24))*'V06 Curva'!$B$29,MAX(0,MIN('V06 Motor'!A161*30/'V06 Motor'!C161,26)-MAX(('V06 Motor'!A161-1)*30/'V06 Motor'!C161,25))*'V06 Curva'!$B$30,MAX(0,MIN('V06 Motor'!A161*30/'V06 Motor'!C161,27)-MAX(('V06 Motor'!A161-1)*30/'V06 Motor'!C161,26))*'V06 Curva'!$B$31,MAX(0,MIN('V06 Motor'!A161*30/'V06 Motor'!C161,28)-MAX(('V06 Motor'!A161-1)*30/'V06 Motor'!C161,27))*'V06 Curva'!$B$32,MAX(0,MIN('V06 Motor'!A161*30/'V06 Motor'!C161,29)-MAX(('V06 Motor'!A161-1)*30/'V06 Motor'!C161,28))*'V06 Curva'!$B$33,MAX(0,MIN('V06 Motor'!A161*30/'V06 Motor'!C161,30)-MAX(('V06 Motor'!A161-1)*30/'V06 Motor'!C161,29))*'V06 Curva'!$B$34),0)</f>
        <v>0.0</v>
      </c>
      <c r="O161" s="2">
        <f>SUMPRODUCT(--(('V06 Unidades'!$I$5:$I$98+'V06 Controlos'!$B$37)='V06 Motor'!A161),ROUND('V06 Unidades'!$H$5:$H$98*0.05,2)+ROUND('V06 Unidades'!$H$5:$H$98*0.2,2))+SUMPRODUCT(--(IF('V06 Controlos'!$B$38&gt;0,IF(('V06 Unidades'!$L$5:$L$98+'V06 Controlos'!$B$37)&lt;'V06 Motor'!C161,'V06 Motor'!C161,('V06 Unidades'!$L$5:$L$98+'V06 Controlos'!$B$37)),('V06 Unidades'!$L$5:$L$98+'V06 Controlos'!$B$37))='V06 Motor'!A161),'V06 Unidades'!$H$5:$H$98-ROUND('V06 Unidades'!$H$5:$H$98*0.05,2)-ROUND('V06 Unidades'!$H$5:$H$98*0.2,2)-ROUND('V06 Unidades'!$H$5:$H$98*0.55,2))+SUMPRODUCT(--(IF(INT((IF('V06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Controlos'!$B$37)-1)/6),0)&gt;0),--('V06 Motor'!A161&gt;('V06 Unidades'!$I$5:$I$98+'V06 Controlos'!$B$37)),--('V06 Motor'!A161&lt;IF('V06 Controlos'!$B$38&gt;0,IF(('V06 Unidades'!$L$5:$L$98+'V06 Controlos'!$B$37)&lt;'V06 Motor'!C161,'V06 Motor'!C161,('V06 Unidades'!$L$5:$L$98+'V06 Controlos'!$B$37)),('V06 Unidades'!$L$5:$L$98+'V06 Controlos'!$B$37))),--(MOD('V06 Motor'!A161-('V06 Unidades'!$I$5:$I$98+'V06 Controlos'!$B$37),6)=0),--(('V06 Motor'!A161-('V06 Unidades'!$I$5:$I$98+'V06 Controlos'!$B$37))/6&lt;=IF(INT((IF('V06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Controlos'!$B$37)-1)/6),0)),IF('V06 Motor'!A161=('V06 Unidades'!$I$5:$I$98+'V06 Controlos'!$B$37)+6*IF(INT((IF('V06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Controlos'!$B$37)-1)/6),0)&gt;0,IF(INT((IF('V06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Controlos'!$B$37)-1)/6),0),1),2)*(IF(INT((IF('V06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Controlos'!$B$37)-1)/6),0)&gt;0,IF(INT((IF('V06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Controlos'!$B$37)-1)/6)&gt;0,INT((IF('V06 Controlos'!$B$38&gt;0,IF(('V06 Unidades'!$L$5:$L$98+'V06 Controlos'!$B$37)&lt;'V06 Motor'!C161,'V06 Motor'!C161,('V06 Unidades'!$L$5:$L$98+'V06 Controlos'!$B$37)),('V06 Unidades'!$L$5:$L$98+'V06 Controlos'!$B$37))-('V06 Unidades'!$I$5:$I$98+'V06 Controlos'!$B$37)-1)/6),0),1),2)))</f>
        <v>0.0</v>
      </c>
      <c r="P161" s="2">
        <f>SUM('V06 Calend 01'!FM5:FM98)</f>
        <v>0.0</v>
      </c>
    </row>
    <row r="162" spans="1:16">
      <c r="A162">
        <v>158</v>
      </c>
      <c r="C162">
        <v>30</v>
      </c>
      <c r="G162" s="2">
        <f>IF('V06 Motor'!A162&lt;='V06 Motor'!C162,SUMPRODUCT('V06 Curva'!$B$5:$B$34,IF((IF('V06 Motor'!A162*30/'V06 Motor'!C162&lt;'V06 Curva'!$A$5:$A$34,'V06 Motor'!A162*30/'V06 Motor'!C162,'V06 Curva'!$A$5:$A$34)-IF(('V06 Motor'!A162-1)*30/'V06 Motor'!C162&gt;'V06 Curva'!$A$5:$A$34-1,('V06 Motor'!A162-1)*30/'V06 Motor'!C162,'V06 Curva'!$A$5:$A$34-1))&gt;0,(IF('V06 Motor'!A162*30/'V06 Motor'!C162&lt;'V06 Curva'!$A$5:$A$34,'V06 Motor'!A162*30/'V06 Motor'!C162,'V06 Curva'!$A$5:$A$34)-IF(('V06 Motor'!A162-1)*30/'V06 Motor'!C162&gt;'V06 Curva'!$A$5:$A$34-1,('V06 Motor'!A162-1)*30/'V06 Motor'!C162,'V06 Curva'!$A$5:$A$34-1)),0)),0)</f>
        <v>0.0</v>
      </c>
      <c r="H162" s="2">
        <f>IF('V06 Motor'!A162&lt;='V06 Motor'!C162,SUM(MAX(0,MIN('V06 Motor'!A162*30/'V06 Motor'!C162,1)-MAX(('V06 Motor'!A162-1)*30/'V06 Motor'!C162,0))*'V06 Curva'!$B$5,MAX(0,MIN('V06 Motor'!A162*30/'V06 Motor'!C162,2)-MAX(('V06 Motor'!A162-1)*30/'V06 Motor'!C162,1))*'V06 Curva'!$B$6,MAX(0,MIN('V06 Motor'!A162*30/'V06 Motor'!C162,3)-MAX(('V06 Motor'!A162-1)*30/'V06 Motor'!C162,2))*'V06 Curva'!$B$7,MAX(0,MIN('V06 Motor'!A162*30/'V06 Motor'!C162,4)-MAX(('V06 Motor'!A162-1)*30/'V06 Motor'!C162,3))*'V06 Curva'!$B$8,MAX(0,MIN('V06 Motor'!A162*30/'V06 Motor'!C162,5)-MAX(('V06 Motor'!A162-1)*30/'V06 Motor'!C162,4))*'V06 Curva'!$B$9,MAX(0,MIN('V06 Motor'!A162*30/'V06 Motor'!C162,6)-MAX(('V06 Motor'!A162-1)*30/'V06 Motor'!C162,5))*'V06 Curva'!$B$10,MAX(0,MIN('V06 Motor'!A162*30/'V06 Motor'!C162,7)-MAX(('V06 Motor'!A162-1)*30/'V06 Motor'!C162,6))*'V06 Curva'!$B$11,MAX(0,MIN('V06 Motor'!A162*30/'V06 Motor'!C162,8)-MAX(('V06 Motor'!A162-1)*30/'V06 Motor'!C162,7))*'V06 Curva'!$B$12,MAX(0,MIN('V06 Motor'!A162*30/'V06 Motor'!C162,9)-MAX(('V06 Motor'!A162-1)*30/'V06 Motor'!C162,8))*'V06 Curva'!$B$13,MAX(0,MIN('V06 Motor'!A162*30/'V06 Motor'!C162,10)-MAX(('V06 Motor'!A162-1)*30/'V06 Motor'!C162,9))*'V06 Curva'!$B$14,MAX(0,MIN('V06 Motor'!A162*30/'V06 Motor'!C162,11)-MAX(('V06 Motor'!A162-1)*30/'V06 Motor'!C162,10))*'V06 Curva'!$B$15,MAX(0,MIN('V06 Motor'!A162*30/'V06 Motor'!C162,12)-MAX(('V06 Motor'!A162-1)*30/'V06 Motor'!C162,11))*'V06 Curva'!$B$16,MAX(0,MIN('V06 Motor'!A162*30/'V06 Motor'!C162,13)-MAX(('V06 Motor'!A162-1)*30/'V06 Motor'!C162,12))*'V06 Curva'!$B$17,MAX(0,MIN('V06 Motor'!A162*30/'V06 Motor'!C162,14)-MAX(('V06 Motor'!A162-1)*30/'V06 Motor'!C162,13))*'V06 Curva'!$B$18,MAX(0,MIN('V06 Motor'!A162*30/'V06 Motor'!C162,15)-MAX(('V06 Motor'!A162-1)*30/'V06 Motor'!C162,14))*'V06 Curva'!$B$19,MAX(0,MIN('V06 Motor'!A162*30/'V06 Motor'!C162,16)-MAX(('V06 Motor'!A162-1)*30/'V06 Motor'!C162,15))*'V06 Curva'!$B$20,MAX(0,MIN('V06 Motor'!A162*30/'V06 Motor'!C162,17)-MAX(('V06 Motor'!A162-1)*30/'V06 Motor'!C162,16))*'V06 Curva'!$B$21,MAX(0,MIN('V06 Motor'!A162*30/'V06 Motor'!C162,18)-MAX(('V06 Motor'!A162-1)*30/'V06 Motor'!C162,17))*'V06 Curva'!$B$22,MAX(0,MIN('V06 Motor'!A162*30/'V06 Motor'!C162,19)-MAX(('V06 Motor'!A162-1)*30/'V06 Motor'!C162,18))*'V06 Curva'!$B$23,MAX(0,MIN('V06 Motor'!A162*30/'V06 Motor'!C162,20)-MAX(('V06 Motor'!A162-1)*30/'V06 Motor'!C162,19))*'V06 Curva'!$B$24,MAX(0,MIN('V06 Motor'!A162*30/'V06 Motor'!C162,21)-MAX(('V06 Motor'!A162-1)*30/'V06 Motor'!C162,20))*'V06 Curva'!$B$25,MAX(0,MIN('V06 Motor'!A162*30/'V06 Motor'!C162,22)-MAX(('V06 Motor'!A162-1)*30/'V06 Motor'!C162,21))*'V06 Curva'!$B$26,MAX(0,MIN('V06 Motor'!A162*30/'V06 Motor'!C162,23)-MAX(('V06 Motor'!A162-1)*30/'V06 Motor'!C162,22))*'V06 Curva'!$B$27,MAX(0,MIN('V06 Motor'!A162*30/'V06 Motor'!C162,24)-MAX(('V06 Motor'!A162-1)*30/'V06 Motor'!C162,23))*'V06 Curva'!$B$28,MAX(0,MIN('V06 Motor'!A162*30/'V06 Motor'!C162,25)-MAX(('V06 Motor'!A162-1)*30/'V06 Motor'!C162,24))*'V06 Curva'!$B$29,MAX(0,MIN('V06 Motor'!A162*30/'V06 Motor'!C162,26)-MAX(('V06 Motor'!A162-1)*30/'V06 Motor'!C162,25))*'V06 Curva'!$B$30,MAX(0,MIN('V06 Motor'!A162*30/'V06 Motor'!C162,27)-MAX(('V06 Motor'!A162-1)*30/'V06 Motor'!C162,26))*'V06 Curva'!$B$31,MAX(0,MIN('V06 Motor'!A162*30/'V06 Motor'!C162,28)-MAX(('V06 Motor'!A162-1)*30/'V06 Motor'!C162,27))*'V06 Curva'!$B$32,MAX(0,MIN('V06 Motor'!A162*30/'V06 Motor'!C162,29)-MAX(('V06 Motor'!A162-1)*30/'V06 Motor'!C162,28))*'V06 Curva'!$B$33,MAX(0,MIN('V06 Motor'!A162*30/'V06 Motor'!C162,30)-MAX(('V06 Motor'!A162-1)*30/'V06 Motor'!C162,29))*'V06 Curva'!$B$34),0)</f>
        <v>0.0</v>
      </c>
      <c r="O162" s="2">
        <f>SUMPRODUCT(--(('V06 Unidades'!$I$5:$I$98+'V06 Controlos'!$B$37)='V06 Motor'!A162),ROUND('V06 Unidades'!$H$5:$H$98*0.05,2)+ROUND('V06 Unidades'!$H$5:$H$98*0.2,2))+SUMPRODUCT(--(IF('V06 Controlos'!$B$38&gt;0,IF(('V06 Unidades'!$L$5:$L$98+'V06 Controlos'!$B$37)&lt;'V06 Motor'!C162,'V06 Motor'!C162,('V06 Unidades'!$L$5:$L$98+'V06 Controlos'!$B$37)),('V06 Unidades'!$L$5:$L$98+'V06 Controlos'!$B$37))='V06 Motor'!A162),'V06 Unidades'!$H$5:$H$98-ROUND('V06 Unidades'!$H$5:$H$98*0.05,2)-ROUND('V06 Unidades'!$H$5:$H$98*0.2,2)-ROUND('V06 Unidades'!$H$5:$H$98*0.55,2))+SUMPRODUCT(--(IF(INT((IF('V06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Controlos'!$B$37)-1)/6),0)&gt;0),--('V06 Motor'!A162&gt;('V06 Unidades'!$I$5:$I$98+'V06 Controlos'!$B$37)),--('V06 Motor'!A162&lt;IF('V06 Controlos'!$B$38&gt;0,IF(('V06 Unidades'!$L$5:$L$98+'V06 Controlos'!$B$37)&lt;'V06 Motor'!C162,'V06 Motor'!C162,('V06 Unidades'!$L$5:$L$98+'V06 Controlos'!$B$37)),('V06 Unidades'!$L$5:$L$98+'V06 Controlos'!$B$37))),--(MOD('V06 Motor'!A162-('V06 Unidades'!$I$5:$I$98+'V06 Controlos'!$B$37),6)=0),--(('V06 Motor'!A162-('V06 Unidades'!$I$5:$I$98+'V06 Controlos'!$B$37))/6&lt;=IF(INT((IF('V06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Controlos'!$B$37)-1)/6),0)),IF('V06 Motor'!A162=('V06 Unidades'!$I$5:$I$98+'V06 Controlos'!$B$37)+6*IF(INT((IF('V06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Controlos'!$B$37)-1)/6),0)&gt;0,IF(INT((IF('V06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Controlos'!$B$37)-1)/6),0),1),2)*(IF(INT((IF('V06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Controlos'!$B$37)-1)/6),0)&gt;0,IF(INT((IF('V06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Controlos'!$B$37)-1)/6)&gt;0,INT((IF('V06 Controlos'!$B$38&gt;0,IF(('V06 Unidades'!$L$5:$L$98+'V06 Controlos'!$B$37)&lt;'V06 Motor'!C162,'V06 Motor'!C162,('V06 Unidades'!$L$5:$L$98+'V06 Controlos'!$B$37)),('V06 Unidades'!$L$5:$L$98+'V06 Controlos'!$B$37))-('V06 Unidades'!$I$5:$I$98+'V06 Controlos'!$B$37)-1)/6),0),1),2)))</f>
        <v>0.0</v>
      </c>
      <c r="P162" s="2">
        <f>SUM('V06 Calend 01'!FN5:FN98)</f>
        <v>0.0</v>
      </c>
    </row>
    <row r="163" spans="1:16">
      <c r="A163">
        <v>159</v>
      </c>
      <c r="C163">
        <v>30</v>
      </c>
      <c r="G163" s="2">
        <f>IF('V06 Motor'!A163&lt;='V06 Motor'!C163,SUMPRODUCT('V06 Curva'!$B$5:$B$34,IF((IF('V06 Motor'!A163*30/'V06 Motor'!C163&lt;'V06 Curva'!$A$5:$A$34,'V06 Motor'!A163*30/'V06 Motor'!C163,'V06 Curva'!$A$5:$A$34)-IF(('V06 Motor'!A163-1)*30/'V06 Motor'!C163&gt;'V06 Curva'!$A$5:$A$34-1,('V06 Motor'!A163-1)*30/'V06 Motor'!C163,'V06 Curva'!$A$5:$A$34-1))&gt;0,(IF('V06 Motor'!A163*30/'V06 Motor'!C163&lt;'V06 Curva'!$A$5:$A$34,'V06 Motor'!A163*30/'V06 Motor'!C163,'V06 Curva'!$A$5:$A$34)-IF(('V06 Motor'!A163-1)*30/'V06 Motor'!C163&gt;'V06 Curva'!$A$5:$A$34-1,('V06 Motor'!A163-1)*30/'V06 Motor'!C163,'V06 Curva'!$A$5:$A$34-1)),0)),0)</f>
        <v>0.0</v>
      </c>
      <c r="H163" s="2">
        <f>IF('V06 Motor'!A163&lt;='V06 Motor'!C163,SUM(MAX(0,MIN('V06 Motor'!A163*30/'V06 Motor'!C163,1)-MAX(('V06 Motor'!A163-1)*30/'V06 Motor'!C163,0))*'V06 Curva'!$B$5,MAX(0,MIN('V06 Motor'!A163*30/'V06 Motor'!C163,2)-MAX(('V06 Motor'!A163-1)*30/'V06 Motor'!C163,1))*'V06 Curva'!$B$6,MAX(0,MIN('V06 Motor'!A163*30/'V06 Motor'!C163,3)-MAX(('V06 Motor'!A163-1)*30/'V06 Motor'!C163,2))*'V06 Curva'!$B$7,MAX(0,MIN('V06 Motor'!A163*30/'V06 Motor'!C163,4)-MAX(('V06 Motor'!A163-1)*30/'V06 Motor'!C163,3))*'V06 Curva'!$B$8,MAX(0,MIN('V06 Motor'!A163*30/'V06 Motor'!C163,5)-MAX(('V06 Motor'!A163-1)*30/'V06 Motor'!C163,4))*'V06 Curva'!$B$9,MAX(0,MIN('V06 Motor'!A163*30/'V06 Motor'!C163,6)-MAX(('V06 Motor'!A163-1)*30/'V06 Motor'!C163,5))*'V06 Curva'!$B$10,MAX(0,MIN('V06 Motor'!A163*30/'V06 Motor'!C163,7)-MAX(('V06 Motor'!A163-1)*30/'V06 Motor'!C163,6))*'V06 Curva'!$B$11,MAX(0,MIN('V06 Motor'!A163*30/'V06 Motor'!C163,8)-MAX(('V06 Motor'!A163-1)*30/'V06 Motor'!C163,7))*'V06 Curva'!$B$12,MAX(0,MIN('V06 Motor'!A163*30/'V06 Motor'!C163,9)-MAX(('V06 Motor'!A163-1)*30/'V06 Motor'!C163,8))*'V06 Curva'!$B$13,MAX(0,MIN('V06 Motor'!A163*30/'V06 Motor'!C163,10)-MAX(('V06 Motor'!A163-1)*30/'V06 Motor'!C163,9))*'V06 Curva'!$B$14,MAX(0,MIN('V06 Motor'!A163*30/'V06 Motor'!C163,11)-MAX(('V06 Motor'!A163-1)*30/'V06 Motor'!C163,10))*'V06 Curva'!$B$15,MAX(0,MIN('V06 Motor'!A163*30/'V06 Motor'!C163,12)-MAX(('V06 Motor'!A163-1)*30/'V06 Motor'!C163,11))*'V06 Curva'!$B$16,MAX(0,MIN('V06 Motor'!A163*30/'V06 Motor'!C163,13)-MAX(('V06 Motor'!A163-1)*30/'V06 Motor'!C163,12))*'V06 Curva'!$B$17,MAX(0,MIN('V06 Motor'!A163*30/'V06 Motor'!C163,14)-MAX(('V06 Motor'!A163-1)*30/'V06 Motor'!C163,13))*'V06 Curva'!$B$18,MAX(0,MIN('V06 Motor'!A163*30/'V06 Motor'!C163,15)-MAX(('V06 Motor'!A163-1)*30/'V06 Motor'!C163,14))*'V06 Curva'!$B$19,MAX(0,MIN('V06 Motor'!A163*30/'V06 Motor'!C163,16)-MAX(('V06 Motor'!A163-1)*30/'V06 Motor'!C163,15))*'V06 Curva'!$B$20,MAX(0,MIN('V06 Motor'!A163*30/'V06 Motor'!C163,17)-MAX(('V06 Motor'!A163-1)*30/'V06 Motor'!C163,16))*'V06 Curva'!$B$21,MAX(0,MIN('V06 Motor'!A163*30/'V06 Motor'!C163,18)-MAX(('V06 Motor'!A163-1)*30/'V06 Motor'!C163,17))*'V06 Curva'!$B$22,MAX(0,MIN('V06 Motor'!A163*30/'V06 Motor'!C163,19)-MAX(('V06 Motor'!A163-1)*30/'V06 Motor'!C163,18))*'V06 Curva'!$B$23,MAX(0,MIN('V06 Motor'!A163*30/'V06 Motor'!C163,20)-MAX(('V06 Motor'!A163-1)*30/'V06 Motor'!C163,19))*'V06 Curva'!$B$24,MAX(0,MIN('V06 Motor'!A163*30/'V06 Motor'!C163,21)-MAX(('V06 Motor'!A163-1)*30/'V06 Motor'!C163,20))*'V06 Curva'!$B$25,MAX(0,MIN('V06 Motor'!A163*30/'V06 Motor'!C163,22)-MAX(('V06 Motor'!A163-1)*30/'V06 Motor'!C163,21))*'V06 Curva'!$B$26,MAX(0,MIN('V06 Motor'!A163*30/'V06 Motor'!C163,23)-MAX(('V06 Motor'!A163-1)*30/'V06 Motor'!C163,22))*'V06 Curva'!$B$27,MAX(0,MIN('V06 Motor'!A163*30/'V06 Motor'!C163,24)-MAX(('V06 Motor'!A163-1)*30/'V06 Motor'!C163,23))*'V06 Curva'!$B$28,MAX(0,MIN('V06 Motor'!A163*30/'V06 Motor'!C163,25)-MAX(('V06 Motor'!A163-1)*30/'V06 Motor'!C163,24))*'V06 Curva'!$B$29,MAX(0,MIN('V06 Motor'!A163*30/'V06 Motor'!C163,26)-MAX(('V06 Motor'!A163-1)*30/'V06 Motor'!C163,25))*'V06 Curva'!$B$30,MAX(0,MIN('V06 Motor'!A163*30/'V06 Motor'!C163,27)-MAX(('V06 Motor'!A163-1)*30/'V06 Motor'!C163,26))*'V06 Curva'!$B$31,MAX(0,MIN('V06 Motor'!A163*30/'V06 Motor'!C163,28)-MAX(('V06 Motor'!A163-1)*30/'V06 Motor'!C163,27))*'V06 Curva'!$B$32,MAX(0,MIN('V06 Motor'!A163*30/'V06 Motor'!C163,29)-MAX(('V06 Motor'!A163-1)*30/'V06 Motor'!C163,28))*'V06 Curva'!$B$33,MAX(0,MIN('V06 Motor'!A163*30/'V06 Motor'!C163,30)-MAX(('V06 Motor'!A163-1)*30/'V06 Motor'!C163,29))*'V06 Curva'!$B$34),0)</f>
        <v>0.0</v>
      </c>
      <c r="O163" s="2">
        <f>SUMPRODUCT(--(('V06 Unidades'!$I$5:$I$98+'V06 Controlos'!$B$37)='V06 Motor'!A163),ROUND('V06 Unidades'!$H$5:$H$98*0.05,2)+ROUND('V06 Unidades'!$H$5:$H$98*0.2,2))+SUMPRODUCT(--(IF('V06 Controlos'!$B$38&gt;0,IF(('V06 Unidades'!$L$5:$L$98+'V06 Controlos'!$B$37)&lt;'V06 Motor'!C163,'V06 Motor'!C163,('V06 Unidades'!$L$5:$L$98+'V06 Controlos'!$B$37)),('V06 Unidades'!$L$5:$L$98+'V06 Controlos'!$B$37))='V06 Motor'!A163),'V06 Unidades'!$H$5:$H$98-ROUND('V06 Unidades'!$H$5:$H$98*0.05,2)-ROUND('V06 Unidades'!$H$5:$H$98*0.2,2)-ROUND('V06 Unidades'!$H$5:$H$98*0.55,2))+SUMPRODUCT(--(IF(INT((IF('V06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Controlos'!$B$37)-1)/6),0)&gt;0),--('V06 Motor'!A163&gt;('V06 Unidades'!$I$5:$I$98+'V06 Controlos'!$B$37)),--('V06 Motor'!A163&lt;IF('V06 Controlos'!$B$38&gt;0,IF(('V06 Unidades'!$L$5:$L$98+'V06 Controlos'!$B$37)&lt;'V06 Motor'!C163,'V06 Motor'!C163,('V06 Unidades'!$L$5:$L$98+'V06 Controlos'!$B$37)),('V06 Unidades'!$L$5:$L$98+'V06 Controlos'!$B$37))),--(MOD('V06 Motor'!A163-('V06 Unidades'!$I$5:$I$98+'V06 Controlos'!$B$37),6)=0),--(('V06 Motor'!A163-('V06 Unidades'!$I$5:$I$98+'V06 Controlos'!$B$37))/6&lt;=IF(INT((IF('V06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Controlos'!$B$37)-1)/6),0)),IF('V06 Motor'!A163=('V06 Unidades'!$I$5:$I$98+'V06 Controlos'!$B$37)+6*IF(INT((IF('V06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Controlos'!$B$37)-1)/6),0)&gt;0,IF(INT((IF('V06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Controlos'!$B$37)-1)/6),0),1),2)*(IF(INT((IF('V06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Controlos'!$B$37)-1)/6),0)&gt;0,IF(INT((IF('V06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Controlos'!$B$37)-1)/6)&gt;0,INT((IF('V06 Controlos'!$B$38&gt;0,IF(('V06 Unidades'!$L$5:$L$98+'V06 Controlos'!$B$37)&lt;'V06 Motor'!C163,'V06 Motor'!C163,('V06 Unidades'!$L$5:$L$98+'V06 Controlos'!$B$37)),('V06 Unidades'!$L$5:$L$98+'V06 Controlos'!$B$37))-('V06 Unidades'!$I$5:$I$98+'V06 Controlos'!$B$37)-1)/6),0),1),2)))</f>
        <v>0.0</v>
      </c>
      <c r="P163" s="2">
        <f>SUM('V06 Calend 01'!FO5:FO98)</f>
        <v>0.0</v>
      </c>
    </row>
    <row r="164" spans="1:16">
      <c r="A164">
        <v>160</v>
      </c>
      <c r="C164">
        <v>30</v>
      </c>
      <c r="G164" s="2">
        <f>IF('V06 Motor'!A164&lt;='V06 Motor'!C164,SUMPRODUCT('V06 Curva'!$B$5:$B$34,IF((IF('V06 Motor'!A164*30/'V06 Motor'!C164&lt;'V06 Curva'!$A$5:$A$34,'V06 Motor'!A164*30/'V06 Motor'!C164,'V06 Curva'!$A$5:$A$34)-IF(('V06 Motor'!A164-1)*30/'V06 Motor'!C164&gt;'V06 Curva'!$A$5:$A$34-1,('V06 Motor'!A164-1)*30/'V06 Motor'!C164,'V06 Curva'!$A$5:$A$34-1))&gt;0,(IF('V06 Motor'!A164*30/'V06 Motor'!C164&lt;'V06 Curva'!$A$5:$A$34,'V06 Motor'!A164*30/'V06 Motor'!C164,'V06 Curva'!$A$5:$A$34)-IF(('V06 Motor'!A164-1)*30/'V06 Motor'!C164&gt;'V06 Curva'!$A$5:$A$34-1,('V06 Motor'!A164-1)*30/'V06 Motor'!C164,'V06 Curva'!$A$5:$A$34-1)),0)),0)</f>
        <v>0.0</v>
      </c>
      <c r="H164" s="2">
        <f>IF('V06 Motor'!A164&lt;='V06 Motor'!C164,SUM(MAX(0,MIN('V06 Motor'!A164*30/'V06 Motor'!C164,1)-MAX(('V06 Motor'!A164-1)*30/'V06 Motor'!C164,0))*'V06 Curva'!$B$5,MAX(0,MIN('V06 Motor'!A164*30/'V06 Motor'!C164,2)-MAX(('V06 Motor'!A164-1)*30/'V06 Motor'!C164,1))*'V06 Curva'!$B$6,MAX(0,MIN('V06 Motor'!A164*30/'V06 Motor'!C164,3)-MAX(('V06 Motor'!A164-1)*30/'V06 Motor'!C164,2))*'V06 Curva'!$B$7,MAX(0,MIN('V06 Motor'!A164*30/'V06 Motor'!C164,4)-MAX(('V06 Motor'!A164-1)*30/'V06 Motor'!C164,3))*'V06 Curva'!$B$8,MAX(0,MIN('V06 Motor'!A164*30/'V06 Motor'!C164,5)-MAX(('V06 Motor'!A164-1)*30/'V06 Motor'!C164,4))*'V06 Curva'!$B$9,MAX(0,MIN('V06 Motor'!A164*30/'V06 Motor'!C164,6)-MAX(('V06 Motor'!A164-1)*30/'V06 Motor'!C164,5))*'V06 Curva'!$B$10,MAX(0,MIN('V06 Motor'!A164*30/'V06 Motor'!C164,7)-MAX(('V06 Motor'!A164-1)*30/'V06 Motor'!C164,6))*'V06 Curva'!$B$11,MAX(0,MIN('V06 Motor'!A164*30/'V06 Motor'!C164,8)-MAX(('V06 Motor'!A164-1)*30/'V06 Motor'!C164,7))*'V06 Curva'!$B$12,MAX(0,MIN('V06 Motor'!A164*30/'V06 Motor'!C164,9)-MAX(('V06 Motor'!A164-1)*30/'V06 Motor'!C164,8))*'V06 Curva'!$B$13,MAX(0,MIN('V06 Motor'!A164*30/'V06 Motor'!C164,10)-MAX(('V06 Motor'!A164-1)*30/'V06 Motor'!C164,9))*'V06 Curva'!$B$14,MAX(0,MIN('V06 Motor'!A164*30/'V06 Motor'!C164,11)-MAX(('V06 Motor'!A164-1)*30/'V06 Motor'!C164,10))*'V06 Curva'!$B$15,MAX(0,MIN('V06 Motor'!A164*30/'V06 Motor'!C164,12)-MAX(('V06 Motor'!A164-1)*30/'V06 Motor'!C164,11))*'V06 Curva'!$B$16,MAX(0,MIN('V06 Motor'!A164*30/'V06 Motor'!C164,13)-MAX(('V06 Motor'!A164-1)*30/'V06 Motor'!C164,12))*'V06 Curva'!$B$17,MAX(0,MIN('V06 Motor'!A164*30/'V06 Motor'!C164,14)-MAX(('V06 Motor'!A164-1)*30/'V06 Motor'!C164,13))*'V06 Curva'!$B$18,MAX(0,MIN('V06 Motor'!A164*30/'V06 Motor'!C164,15)-MAX(('V06 Motor'!A164-1)*30/'V06 Motor'!C164,14))*'V06 Curva'!$B$19,MAX(0,MIN('V06 Motor'!A164*30/'V06 Motor'!C164,16)-MAX(('V06 Motor'!A164-1)*30/'V06 Motor'!C164,15))*'V06 Curva'!$B$20,MAX(0,MIN('V06 Motor'!A164*30/'V06 Motor'!C164,17)-MAX(('V06 Motor'!A164-1)*30/'V06 Motor'!C164,16))*'V06 Curva'!$B$21,MAX(0,MIN('V06 Motor'!A164*30/'V06 Motor'!C164,18)-MAX(('V06 Motor'!A164-1)*30/'V06 Motor'!C164,17))*'V06 Curva'!$B$22,MAX(0,MIN('V06 Motor'!A164*30/'V06 Motor'!C164,19)-MAX(('V06 Motor'!A164-1)*30/'V06 Motor'!C164,18))*'V06 Curva'!$B$23,MAX(0,MIN('V06 Motor'!A164*30/'V06 Motor'!C164,20)-MAX(('V06 Motor'!A164-1)*30/'V06 Motor'!C164,19))*'V06 Curva'!$B$24,MAX(0,MIN('V06 Motor'!A164*30/'V06 Motor'!C164,21)-MAX(('V06 Motor'!A164-1)*30/'V06 Motor'!C164,20))*'V06 Curva'!$B$25,MAX(0,MIN('V06 Motor'!A164*30/'V06 Motor'!C164,22)-MAX(('V06 Motor'!A164-1)*30/'V06 Motor'!C164,21))*'V06 Curva'!$B$26,MAX(0,MIN('V06 Motor'!A164*30/'V06 Motor'!C164,23)-MAX(('V06 Motor'!A164-1)*30/'V06 Motor'!C164,22))*'V06 Curva'!$B$27,MAX(0,MIN('V06 Motor'!A164*30/'V06 Motor'!C164,24)-MAX(('V06 Motor'!A164-1)*30/'V06 Motor'!C164,23))*'V06 Curva'!$B$28,MAX(0,MIN('V06 Motor'!A164*30/'V06 Motor'!C164,25)-MAX(('V06 Motor'!A164-1)*30/'V06 Motor'!C164,24))*'V06 Curva'!$B$29,MAX(0,MIN('V06 Motor'!A164*30/'V06 Motor'!C164,26)-MAX(('V06 Motor'!A164-1)*30/'V06 Motor'!C164,25))*'V06 Curva'!$B$30,MAX(0,MIN('V06 Motor'!A164*30/'V06 Motor'!C164,27)-MAX(('V06 Motor'!A164-1)*30/'V06 Motor'!C164,26))*'V06 Curva'!$B$31,MAX(0,MIN('V06 Motor'!A164*30/'V06 Motor'!C164,28)-MAX(('V06 Motor'!A164-1)*30/'V06 Motor'!C164,27))*'V06 Curva'!$B$32,MAX(0,MIN('V06 Motor'!A164*30/'V06 Motor'!C164,29)-MAX(('V06 Motor'!A164-1)*30/'V06 Motor'!C164,28))*'V06 Curva'!$B$33,MAX(0,MIN('V06 Motor'!A164*30/'V06 Motor'!C164,30)-MAX(('V06 Motor'!A164-1)*30/'V06 Motor'!C164,29))*'V06 Curva'!$B$34),0)</f>
        <v>0.0</v>
      </c>
      <c r="O164" s="2">
        <f>SUMPRODUCT(--(('V06 Unidades'!$I$5:$I$98+'V06 Controlos'!$B$37)='V06 Motor'!A164),ROUND('V06 Unidades'!$H$5:$H$98*0.05,2)+ROUND('V06 Unidades'!$H$5:$H$98*0.2,2))+SUMPRODUCT(--(IF('V06 Controlos'!$B$38&gt;0,IF(('V06 Unidades'!$L$5:$L$98+'V06 Controlos'!$B$37)&lt;'V06 Motor'!C164,'V06 Motor'!C164,('V06 Unidades'!$L$5:$L$98+'V06 Controlos'!$B$37)),('V06 Unidades'!$L$5:$L$98+'V06 Controlos'!$B$37))='V06 Motor'!A164),'V06 Unidades'!$H$5:$H$98-ROUND('V06 Unidades'!$H$5:$H$98*0.05,2)-ROUND('V06 Unidades'!$H$5:$H$98*0.2,2)-ROUND('V06 Unidades'!$H$5:$H$98*0.55,2))+SUMPRODUCT(--(IF(INT((IF('V06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Controlos'!$B$37)-1)/6),0)&gt;0),--('V06 Motor'!A164&gt;('V06 Unidades'!$I$5:$I$98+'V06 Controlos'!$B$37)),--('V06 Motor'!A164&lt;IF('V06 Controlos'!$B$38&gt;0,IF(('V06 Unidades'!$L$5:$L$98+'V06 Controlos'!$B$37)&lt;'V06 Motor'!C164,'V06 Motor'!C164,('V06 Unidades'!$L$5:$L$98+'V06 Controlos'!$B$37)),('V06 Unidades'!$L$5:$L$98+'V06 Controlos'!$B$37))),--(MOD('V06 Motor'!A164-('V06 Unidades'!$I$5:$I$98+'V06 Controlos'!$B$37),6)=0),--(('V06 Motor'!A164-('V06 Unidades'!$I$5:$I$98+'V06 Controlos'!$B$37))/6&lt;=IF(INT((IF('V06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Controlos'!$B$37)-1)/6),0)),IF('V06 Motor'!A164=('V06 Unidades'!$I$5:$I$98+'V06 Controlos'!$B$37)+6*IF(INT((IF('V06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Controlos'!$B$37)-1)/6),0)&gt;0,IF(INT((IF('V06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Controlos'!$B$37)-1)/6),0),1),2)*(IF(INT((IF('V06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Controlos'!$B$37)-1)/6),0)&gt;0,IF(INT((IF('V06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Controlos'!$B$37)-1)/6)&gt;0,INT((IF('V06 Controlos'!$B$38&gt;0,IF(('V06 Unidades'!$L$5:$L$98+'V06 Controlos'!$B$37)&lt;'V06 Motor'!C164,'V06 Motor'!C164,('V06 Unidades'!$L$5:$L$98+'V06 Controlos'!$B$37)),('V06 Unidades'!$L$5:$L$98+'V06 Controlos'!$B$37))-('V06 Unidades'!$I$5:$I$98+'V06 Controlos'!$B$37)-1)/6),0),1),2)))</f>
        <v>0.0</v>
      </c>
      <c r="P164" s="2">
        <f>SUM('V06 Calend 01'!FP5:FP98)</f>
        <v>0.0</v>
      </c>
    </row>
    <row r="165" spans="1:16">
      <c r="A165">
        <v>161</v>
      </c>
      <c r="C165">
        <v>30</v>
      </c>
      <c r="G165" s="2">
        <f>IF('V06 Motor'!A165&lt;='V06 Motor'!C165,SUMPRODUCT('V06 Curva'!$B$5:$B$34,IF((IF('V06 Motor'!A165*30/'V06 Motor'!C165&lt;'V06 Curva'!$A$5:$A$34,'V06 Motor'!A165*30/'V06 Motor'!C165,'V06 Curva'!$A$5:$A$34)-IF(('V06 Motor'!A165-1)*30/'V06 Motor'!C165&gt;'V06 Curva'!$A$5:$A$34-1,('V06 Motor'!A165-1)*30/'V06 Motor'!C165,'V06 Curva'!$A$5:$A$34-1))&gt;0,(IF('V06 Motor'!A165*30/'V06 Motor'!C165&lt;'V06 Curva'!$A$5:$A$34,'V06 Motor'!A165*30/'V06 Motor'!C165,'V06 Curva'!$A$5:$A$34)-IF(('V06 Motor'!A165-1)*30/'V06 Motor'!C165&gt;'V06 Curva'!$A$5:$A$34-1,('V06 Motor'!A165-1)*30/'V06 Motor'!C165,'V06 Curva'!$A$5:$A$34-1)),0)),0)</f>
        <v>0.0</v>
      </c>
      <c r="H165" s="2">
        <f>IF('V06 Motor'!A165&lt;='V06 Motor'!C165,SUM(MAX(0,MIN('V06 Motor'!A165*30/'V06 Motor'!C165,1)-MAX(('V06 Motor'!A165-1)*30/'V06 Motor'!C165,0))*'V06 Curva'!$B$5,MAX(0,MIN('V06 Motor'!A165*30/'V06 Motor'!C165,2)-MAX(('V06 Motor'!A165-1)*30/'V06 Motor'!C165,1))*'V06 Curva'!$B$6,MAX(0,MIN('V06 Motor'!A165*30/'V06 Motor'!C165,3)-MAX(('V06 Motor'!A165-1)*30/'V06 Motor'!C165,2))*'V06 Curva'!$B$7,MAX(0,MIN('V06 Motor'!A165*30/'V06 Motor'!C165,4)-MAX(('V06 Motor'!A165-1)*30/'V06 Motor'!C165,3))*'V06 Curva'!$B$8,MAX(0,MIN('V06 Motor'!A165*30/'V06 Motor'!C165,5)-MAX(('V06 Motor'!A165-1)*30/'V06 Motor'!C165,4))*'V06 Curva'!$B$9,MAX(0,MIN('V06 Motor'!A165*30/'V06 Motor'!C165,6)-MAX(('V06 Motor'!A165-1)*30/'V06 Motor'!C165,5))*'V06 Curva'!$B$10,MAX(0,MIN('V06 Motor'!A165*30/'V06 Motor'!C165,7)-MAX(('V06 Motor'!A165-1)*30/'V06 Motor'!C165,6))*'V06 Curva'!$B$11,MAX(0,MIN('V06 Motor'!A165*30/'V06 Motor'!C165,8)-MAX(('V06 Motor'!A165-1)*30/'V06 Motor'!C165,7))*'V06 Curva'!$B$12,MAX(0,MIN('V06 Motor'!A165*30/'V06 Motor'!C165,9)-MAX(('V06 Motor'!A165-1)*30/'V06 Motor'!C165,8))*'V06 Curva'!$B$13,MAX(0,MIN('V06 Motor'!A165*30/'V06 Motor'!C165,10)-MAX(('V06 Motor'!A165-1)*30/'V06 Motor'!C165,9))*'V06 Curva'!$B$14,MAX(0,MIN('V06 Motor'!A165*30/'V06 Motor'!C165,11)-MAX(('V06 Motor'!A165-1)*30/'V06 Motor'!C165,10))*'V06 Curva'!$B$15,MAX(0,MIN('V06 Motor'!A165*30/'V06 Motor'!C165,12)-MAX(('V06 Motor'!A165-1)*30/'V06 Motor'!C165,11))*'V06 Curva'!$B$16,MAX(0,MIN('V06 Motor'!A165*30/'V06 Motor'!C165,13)-MAX(('V06 Motor'!A165-1)*30/'V06 Motor'!C165,12))*'V06 Curva'!$B$17,MAX(0,MIN('V06 Motor'!A165*30/'V06 Motor'!C165,14)-MAX(('V06 Motor'!A165-1)*30/'V06 Motor'!C165,13))*'V06 Curva'!$B$18,MAX(0,MIN('V06 Motor'!A165*30/'V06 Motor'!C165,15)-MAX(('V06 Motor'!A165-1)*30/'V06 Motor'!C165,14))*'V06 Curva'!$B$19,MAX(0,MIN('V06 Motor'!A165*30/'V06 Motor'!C165,16)-MAX(('V06 Motor'!A165-1)*30/'V06 Motor'!C165,15))*'V06 Curva'!$B$20,MAX(0,MIN('V06 Motor'!A165*30/'V06 Motor'!C165,17)-MAX(('V06 Motor'!A165-1)*30/'V06 Motor'!C165,16))*'V06 Curva'!$B$21,MAX(0,MIN('V06 Motor'!A165*30/'V06 Motor'!C165,18)-MAX(('V06 Motor'!A165-1)*30/'V06 Motor'!C165,17))*'V06 Curva'!$B$22,MAX(0,MIN('V06 Motor'!A165*30/'V06 Motor'!C165,19)-MAX(('V06 Motor'!A165-1)*30/'V06 Motor'!C165,18))*'V06 Curva'!$B$23,MAX(0,MIN('V06 Motor'!A165*30/'V06 Motor'!C165,20)-MAX(('V06 Motor'!A165-1)*30/'V06 Motor'!C165,19))*'V06 Curva'!$B$24,MAX(0,MIN('V06 Motor'!A165*30/'V06 Motor'!C165,21)-MAX(('V06 Motor'!A165-1)*30/'V06 Motor'!C165,20))*'V06 Curva'!$B$25,MAX(0,MIN('V06 Motor'!A165*30/'V06 Motor'!C165,22)-MAX(('V06 Motor'!A165-1)*30/'V06 Motor'!C165,21))*'V06 Curva'!$B$26,MAX(0,MIN('V06 Motor'!A165*30/'V06 Motor'!C165,23)-MAX(('V06 Motor'!A165-1)*30/'V06 Motor'!C165,22))*'V06 Curva'!$B$27,MAX(0,MIN('V06 Motor'!A165*30/'V06 Motor'!C165,24)-MAX(('V06 Motor'!A165-1)*30/'V06 Motor'!C165,23))*'V06 Curva'!$B$28,MAX(0,MIN('V06 Motor'!A165*30/'V06 Motor'!C165,25)-MAX(('V06 Motor'!A165-1)*30/'V06 Motor'!C165,24))*'V06 Curva'!$B$29,MAX(0,MIN('V06 Motor'!A165*30/'V06 Motor'!C165,26)-MAX(('V06 Motor'!A165-1)*30/'V06 Motor'!C165,25))*'V06 Curva'!$B$30,MAX(0,MIN('V06 Motor'!A165*30/'V06 Motor'!C165,27)-MAX(('V06 Motor'!A165-1)*30/'V06 Motor'!C165,26))*'V06 Curva'!$B$31,MAX(0,MIN('V06 Motor'!A165*30/'V06 Motor'!C165,28)-MAX(('V06 Motor'!A165-1)*30/'V06 Motor'!C165,27))*'V06 Curva'!$B$32,MAX(0,MIN('V06 Motor'!A165*30/'V06 Motor'!C165,29)-MAX(('V06 Motor'!A165-1)*30/'V06 Motor'!C165,28))*'V06 Curva'!$B$33,MAX(0,MIN('V06 Motor'!A165*30/'V06 Motor'!C165,30)-MAX(('V06 Motor'!A165-1)*30/'V06 Motor'!C165,29))*'V06 Curva'!$B$34),0)</f>
        <v>0.0</v>
      </c>
      <c r="O165" s="2">
        <f>SUMPRODUCT(--(('V06 Unidades'!$I$5:$I$98+'V06 Controlos'!$B$37)='V06 Motor'!A165),ROUND('V06 Unidades'!$H$5:$H$98*0.05,2)+ROUND('V06 Unidades'!$H$5:$H$98*0.2,2))+SUMPRODUCT(--(IF('V06 Controlos'!$B$38&gt;0,IF(('V06 Unidades'!$L$5:$L$98+'V06 Controlos'!$B$37)&lt;'V06 Motor'!C165,'V06 Motor'!C165,('V06 Unidades'!$L$5:$L$98+'V06 Controlos'!$B$37)),('V06 Unidades'!$L$5:$L$98+'V06 Controlos'!$B$37))='V06 Motor'!A165),'V06 Unidades'!$H$5:$H$98-ROUND('V06 Unidades'!$H$5:$H$98*0.05,2)-ROUND('V06 Unidades'!$H$5:$H$98*0.2,2)-ROUND('V06 Unidades'!$H$5:$H$98*0.55,2))+SUMPRODUCT(--(IF(INT((IF('V06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Controlos'!$B$37)-1)/6),0)&gt;0),--('V06 Motor'!A165&gt;('V06 Unidades'!$I$5:$I$98+'V06 Controlos'!$B$37)),--('V06 Motor'!A165&lt;IF('V06 Controlos'!$B$38&gt;0,IF(('V06 Unidades'!$L$5:$L$98+'V06 Controlos'!$B$37)&lt;'V06 Motor'!C165,'V06 Motor'!C165,('V06 Unidades'!$L$5:$L$98+'V06 Controlos'!$B$37)),('V06 Unidades'!$L$5:$L$98+'V06 Controlos'!$B$37))),--(MOD('V06 Motor'!A165-('V06 Unidades'!$I$5:$I$98+'V06 Controlos'!$B$37),6)=0),--(('V06 Motor'!A165-('V06 Unidades'!$I$5:$I$98+'V06 Controlos'!$B$37))/6&lt;=IF(INT((IF('V06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Controlos'!$B$37)-1)/6),0)),IF('V06 Motor'!A165=('V06 Unidades'!$I$5:$I$98+'V06 Controlos'!$B$37)+6*IF(INT((IF('V06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Controlos'!$B$37)-1)/6),0)&gt;0,IF(INT((IF('V06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Controlos'!$B$37)-1)/6),0),1),2)*(IF(INT((IF('V06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Controlos'!$B$37)-1)/6),0)&gt;0,IF(INT((IF('V06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Controlos'!$B$37)-1)/6)&gt;0,INT((IF('V06 Controlos'!$B$38&gt;0,IF(('V06 Unidades'!$L$5:$L$98+'V06 Controlos'!$B$37)&lt;'V06 Motor'!C165,'V06 Motor'!C165,('V06 Unidades'!$L$5:$L$98+'V06 Controlos'!$B$37)),('V06 Unidades'!$L$5:$L$98+'V06 Controlos'!$B$37))-('V06 Unidades'!$I$5:$I$98+'V06 Controlos'!$B$37)-1)/6),0),1),2)))</f>
        <v>0.0</v>
      </c>
      <c r="P165" s="2">
        <f>SUM('V06 Calend 01'!FQ5:FQ98)</f>
        <v>0.0</v>
      </c>
    </row>
    <row r="166" spans="1:16">
      <c r="A166">
        <v>162</v>
      </c>
      <c r="C166">
        <v>30</v>
      </c>
      <c r="G166" s="2">
        <f>IF('V06 Motor'!A166&lt;='V06 Motor'!C166,SUMPRODUCT('V06 Curva'!$B$5:$B$34,IF((IF('V06 Motor'!A166*30/'V06 Motor'!C166&lt;'V06 Curva'!$A$5:$A$34,'V06 Motor'!A166*30/'V06 Motor'!C166,'V06 Curva'!$A$5:$A$34)-IF(('V06 Motor'!A166-1)*30/'V06 Motor'!C166&gt;'V06 Curva'!$A$5:$A$34-1,('V06 Motor'!A166-1)*30/'V06 Motor'!C166,'V06 Curva'!$A$5:$A$34-1))&gt;0,(IF('V06 Motor'!A166*30/'V06 Motor'!C166&lt;'V06 Curva'!$A$5:$A$34,'V06 Motor'!A166*30/'V06 Motor'!C166,'V06 Curva'!$A$5:$A$34)-IF(('V06 Motor'!A166-1)*30/'V06 Motor'!C166&gt;'V06 Curva'!$A$5:$A$34-1,('V06 Motor'!A166-1)*30/'V06 Motor'!C166,'V06 Curva'!$A$5:$A$34-1)),0)),0)</f>
        <v>0.0</v>
      </c>
      <c r="H166" s="2">
        <f>IF('V06 Motor'!A166&lt;='V06 Motor'!C166,SUM(MAX(0,MIN('V06 Motor'!A166*30/'V06 Motor'!C166,1)-MAX(('V06 Motor'!A166-1)*30/'V06 Motor'!C166,0))*'V06 Curva'!$B$5,MAX(0,MIN('V06 Motor'!A166*30/'V06 Motor'!C166,2)-MAX(('V06 Motor'!A166-1)*30/'V06 Motor'!C166,1))*'V06 Curva'!$B$6,MAX(0,MIN('V06 Motor'!A166*30/'V06 Motor'!C166,3)-MAX(('V06 Motor'!A166-1)*30/'V06 Motor'!C166,2))*'V06 Curva'!$B$7,MAX(0,MIN('V06 Motor'!A166*30/'V06 Motor'!C166,4)-MAX(('V06 Motor'!A166-1)*30/'V06 Motor'!C166,3))*'V06 Curva'!$B$8,MAX(0,MIN('V06 Motor'!A166*30/'V06 Motor'!C166,5)-MAX(('V06 Motor'!A166-1)*30/'V06 Motor'!C166,4))*'V06 Curva'!$B$9,MAX(0,MIN('V06 Motor'!A166*30/'V06 Motor'!C166,6)-MAX(('V06 Motor'!A166-1)*30/'V06 Motor'!C166,5))*'V06 Curva'!$B$10,MAX(0,MIN('V06 Motor'!A166*30/'V06 Motor'!C166,7)-MAX(('V06 Motor'!A166-1)*30/'V06 Motor'!C166,6))*'V06 Curva'!$B$11,MAX(0,MIN('V06 Motor'!A166*30/'V06 Motor'!C166,8)-MAX(('V06 Motor'!A166-1)*30/'V06 Motor'!C166,7))*'V06 Curva'!$B$12,MAX(0,MIN('V06 Motor'!A166*30/'V06 Motor'!C166,9)-MAX(('V06 Motor'!A166-1)*30/'V06 Motor'!C166,8))*'V06 Curva'!$B$13,MAX(0,MIN('V06 Motor'!A166*30/'V06 Motor'!C166,10)-MAX(('V06 Motor'!A166-1)*30/'V06 Motor'!C166,9))*'V06 Curva'!$B$14,MAX(0,MIN('V06 Motor'!A166*30/'V06 Motor'!C166,11)-MAX(('V06 Motor'!A166-1)*30/'V06 Motor'!C166,10))*'V06 Curva'!$B$15,MAX(0,MIN('V06 Motor'!A166*30/'V06 Motor'!C166,12)-MAX(('V06 Motor'!A166-1)*30/'V06 Motor'!C166,11))*'V06 Curva'!$B$16,MAX(0,MIN('V06 Motor'!A166*30/'V06 Motor'!C166,13)-MAX(('V06 Motor'!A166-1)*30/'V06 Motor'!C166,12))*'V06 Curva'!$B$17,MAX(0,MIN('V06 Motor'!A166*30/'V06 Motor'!C166,14)-MAX(('V06 Motor'!A166-1)*30/'V06 Motor'!C166,13))*'V06 Curva'!$B$18,MAX(0,MIN('V06 Motor'!A166*30/'V06 Motor'!C166,15)-MAX(('V06 Motor'!A166-1)*30/'V06 Motor'!C166,14))*'V06 Curva'!$B$19,MAX(0,MIN('V06 Motor'!A166*30/'V06 Motor'!C166,16)-MAX(('V06 Motor'!A166-1)*30/'V06 Motor'!C166,15))*'V06 Curva'!$B$20,MAX(0,MIN('V06 Motor'!A166*30/'V06 Motor'!C166,17)-MAX(('V06 Motor'!A166-1)*30/'V06 Motor'!C166,16))*'V06 Curva'!$B$21,MAX(0,MIN('V06 Motor'!A166*30/'V06 Motor'!C166,18)-MAX(('V06 Motor'!A166-1)*30/'V06 Motor'!C166,17))*'V06 Curva'!$B$22,MAX(0,MIN('V06 Motor'!A166*30/'V06 Motor'!C166,19)-MAX(('V06 Motor'!A166-1)*30/'V06 Motor'!C166,18))*'V06 Curva'!$B$23,MAX(0,MIN('V06 Motor'!A166*30/'V06 Motor'!C166,20)-MAX(('V06 Motor'!A166-1)*30/'V06 Motor'!C166,19))*'V06 Curva'!$B$24,MAX(0,MIN('V06 Motor'!A166*30/'V06 Motor'!C166,21)-MAX(('V06 Motor'!A166-1)*30/'V06 Motor'!C166,20))*'V06 Curva'!$B$25,MAX(0,MIN('V06 Motor'!A166*30/'V06 Motor'!C166,22)-MAX(('V06 Motor'!A166-1)*30/'V06 Motor'!C166,21))*'V06 Curva'!$B$26,MAX(0,MIN('V06 Motor'!A166*30/'V06 Motor'!C166,23)-MAX(('V06 Motor'!A166-1)*30/'V06 Motor'!C166,22))*'V06 Curva'!$B$27,MAX(0,MIN('V06 Motor'!A166*30/'V06 Motor'!C166,24)-MAX(('V06 Motor'!A166-1)*30/'V06 Motor'!C166,23))*'V06 Curva'!$B$28,MAX(0,MIN('V06 Motor'!A166*30/'V06 Motor'!C166,25)-MAX(('V06 Motor'!A166-1)*30/'V06 Motor'!C166,24))*'V06 Curva'!$B$29,MAX(0,MIN('V06 Motor'!A166*30/'V06 Motor'!C166,26)-MAX(('V06 Motor'!A166-1)*30/'V06 Motor'!C166,25))*'V06 Curva'!$B$30,MAX(0,MIN('V06 Motor'!A166*30/'V06 Motor'!C166,27)-MAX(('V06 Motor'!A166-1)*30/'V06 Motor'!C166,26))*'V06 Curva'!$B$31,MAX(0,MIN('V06 Motor'!A166*30/'V06 Motor'!C166,28)-MAX(('V06 Motor'!A166-1)*30/'V06 Motor'!C166,27))*'V06 Curva'!$B$32,MAX(0,MIN('V06 Motor'!A166*30/'V06 Motor'!C166,29)-MAX(('V06 Motor'!A166-1)*30/'V06 Motor'!C166,28))*'V06 Curva'!$B$33,MAX(0,MIN('V06 Motor'!A166*30/'V06 Motor'!C166,30)-MAX(('V06 Motor'!A166-1)*30/'V06 Motor'!C166,29))*'V06 Curva'!$B$34),0)</f>
        <v>0.0</v>
      </c>
      <c r="O166" s="2">
        <f>SUMPRODUCT(--(('V06 Unidades'!$I$5:$I$98+'V06 Controlos'!$B$37)='V06 Motor'!A166),ROUND('V06 Unidades'!$H$5:$H$98*0.05,2)+ROUND('V06 Unidades'!$H$5:$H$98*0.2,2))+SUMPRODUCT(--(IF('V06 Controlos'!$B$38&gt;0,IF(('V06 Unidades'!$L$5:$L$98+'V06 Controlos'!$B$37)&lt;'V06 Motor'!C166,'V06 Motor'!C166,('V06 Unidades'!$L$5:$L$98+'V06 Controlos'!$B$37)),('V06 Unidades'!$L$5:$L$98+'V06 Controlos'!$B$37))='V06 Motor'!A166),'V06 Unidades'!$H$5:$H$98-ROUND('V06 Unidades'!$H$5:$H$98*0.05,2)-ROUND('V06 Unidades'!$H$5:$H$98*0.2,2)-ROUND('V06 Unidades'!$H$5:$H$98*0.55,2))+SUMPRODUCT(--(IF(INT((IF('V06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Controlos'!$B$37)-1)/6),0)&gt;0),--('V06 Motor'!A166&gt;('V06 Unidades'!$I$5:$I$98+'V06 Controlos'!$B$37)),--('V06 Motor'!A166&lt;IF('V06 Controlos'!$B$38&gt;0,IF(('V06 Unidades'!$L$5:$L$98+'V06 Controlos'!$B$37)&lt;'V06 Motor'!C166,'V06 Motor'!C166,('V06 Unidades'!$L$5:$L$98+'V06 Controlos'!$B$37)),('V06 Unidades'!$L$5:$L$98+'V06 Controlos'!$B$37))),--(MOD('V06 Motor'!A166-('V06 Unidades'!$I$5:$I$98+'V06 Controlos'!$B$37),6)=0),--(('V06 Motor'!A166-('V06 Unidades'!$I$5:$I$98+'V06 Controlos'!$B$37))/6&lt;=IF(INT((IF('V06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Controlos'!$B$37)-1)/6),0)),IF('V06 Motor'!A166=('V06 Unidades'!$I$5:$I$98+'V06 Controlos'!$B$37)+6*IF(INT((IF('V06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Controlos'!$B$37)-1)/6),0)&gt;0,IF(INT((IF('V06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Controlos'!$B$37)-1)/6),0),1),2)*(IF(INT((IF('V06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Controlos'!$B$37)-1)/6),0)&gt;0,IF(INT((IF('V06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Controlos'!$B$37)-1)/6)&gt;0,INT((IF('V06 Controlos'!$B$38&gt;0,IF(('V06 Unidades'!$L$5:$L$98+'V06 Controlos'!$B$37)&lt;'V06 Motor'!C166,'V06 Motor'!C166,('V06 Unidades'!$L$5:$L$98+'V06 Controlos'!$B$37)),('V06 Unidades'!$L$5:$L$98+'V06 Controlos'!$B$37))-('V06 Unidades'!$I$5:$I$98+'V06 Controlos'!$B$37)-1)/6),0),1),2)))</f>
        <v>0.0</v>
      </c>
      <c r="P166" s="2">
        <f>SUM('V06 Calend 01'!FR5:FR98)</f>
        <v>0.0</v>
      </c>
    </row>
    <row r="167" spans="1:16">
      <c r="A167">
        <v>163</v>
      </c>
      <c r="C167">
        <v>30</v>
      </c>
      <c r="G167" s="2">
        <f>IF('V06 Motor'!A167&lt;='V06 Motor'!C167,SUMPRODUCT('V06 Curva'!$B$5:$B$34,IF((IF('V06 Motor'!A167*30/'V06 Motor'!C167&lt;'V06 Curva'!$A$5:$A$34,'V06 Motor'!A167*30/'V06 Motor'!C167,'V06 Curva'!$A$5:$A$34)-IF(('V06 Motor'!A167-1)*30/'V06 Motor'!C167&gt;'V06 Curva'!$A$5:$A$34-1,('V06 Motor'!A167-1)*30/'V06 Motor'!C167,'V06 Curva'!$A$5:$A$34-1))&gt;0,(IF('V06 Motor'!A167*30/'V06 Motor'!C167&lt;'V06 Curva'!$A$5:$A$34,'V06 Motor'!A167*30/'V06 Motor'!C167,'V06 Curva'!$A$5:$A$34)-IF(('V06 Motor'!A167-1)*30/'V06 Motor'!C167&gt;'V06 Curva'!$A$5:$A$34-1,('V06 Motor'!A167-1)*30/'V06 Motor'!C167,'V06 Curva'!$A$5:$A$34-1)),0)),0)</f>
        <v>0.0</v>
      </c>
      <c r="H167" s="2">
        <f>IF('V06 Motor'!A167&lt;='V06 Motor'!C167,SUM(MAX(0,MIN('V06 Motor'!A167*30/'V06 Motor'!C167,1)-MAX(('V06 Motor'!A167-1)*30/'V06 Motor'!C167,0))*'V06 Curva'!$B$5,MAX(0,MIN('V06 Motor'!A167*30/'V06 Motor'!C167,2)-MAX(('V06 Motor'!A167-1)*30/'V06 Motor'!C167,1))*'V06 Curva'!$B$6,MAX(0,MIN('V06 Motor'!A167*30/'V06 Motor'!C167,3)-MAX(('V06 Motor'!A167-1)*30/'V06 Motor'!C167,2))*'V06 Curva'!$B$7,MAX(0,MIN('V06 Motor'!A167*30/'V06 Motor'!C167,4)-MAX(('V06 Motor'!A167-1)*30/'V06 Motor'!C167,3))*'V06 Curva'!$B$8,MAX(0,MIN('V06 Motor'!A167*30/'V06 Motor'!C167,5)-MAX(('V06 Motor'!A167-1)*30/'V06 Motor'!C167,4))*'V06 Curva'!$B$9,MAX(0,MIN('V06 Motor'!A167*30/'V06 Motor'!C167,6)-MAX(('V06 Motor'!A167-1)*30/'V06 Motor'!C167,5))*'V06 Curva'!$B$10,MAX(0,MIN('V06 Motor'!A167*30/'V06 Motor'!C167,7)-MAX(('V06 Motor'!A167-1)*30/'V06 Motor'!C167,6))*'V06 Curva'!$B$11,MAX(0,MIN('V06 Motor'!A167*30/'V06 Motor'!C167,8)-MAX(('V06 Motor'!A167-1)*30/'V06 Motor'!C167,7))*'V06 Curva'!$B$12,MAX(0,MIN('V06 Motor'!A167*30/'V06 Motor'!C167,9)-MAX(('V06 Motor'!A167-1)*30/'V06 Motor'!C167,8))*'V06 Curva'!$B$13,MAX(0,MIN('V06 Motor'!A167*30/'V06 Motor'!C167,10)-MAX(('V06 Motor'!A167-1)*30/'V06 Motor'!C167,9))*'V06 Curva'!$B$14,MAX(0,MIN('V06 Motor'!A167*30/'V06 Motor'!C167,11)-MAX(('V06 Motor'!A167-1)*30/'V06 Motor'!C167,10))*'V06 Curva'!$B$15,MAX(0,MIN('V06 Motor'!A167*30/'V06 Motor'!C167,12)-MAX(('V06 Motor'!A167-1)*30/'V06 Motor'!C167,11))*'V06 Curva'!$B$16,MAX(0,MIN('V06 Motor'!A167*30/'V06 Motor'!C167,13)-MAX(('V06 Motor'!A167-1)*30/'V06 Motor'!C167,12))*'V06 Curva'!$B$17,MAX(0,MIN('V06 Motor'!A167*30/'V06 Motor'!C167,14)-MAX(('V06 Motor'!A167-1)*30/'V06 Motor'!C167,13))*'V06 Curva'!$B$18,MAX(0,MIN('V06 Motor'!A167*30/'V06 Motor'!C167,15)-MAX(('V06 Motor'!A167-1)*30/'V06 Motor'!C167,14))*'V06 Curva'!$B$19,MAX(0,MIN('V06 Motor'!A167*30/'V06 Motor'!C167,16)-MAX(('V06 Motor'!A167-1)*30/'V06 Motor'!C167,15))*'V06 Curva'!$B$20,MAX(0,MIN('V06 Motor'!A167*30/'V06 Motor'!C167,17)-MAX(('V06 Motor'!A167-1)*30/'V06 Motor'!C167,16))*'V06 Curva'!$B$21,MAX(0,MIN('V06 Motor'!A167*30/'V06 Motor'!C167,18)-MAX(('V06 Motor'!A167-1)*30/'V06 Motor'!C167,17))*'V06 Curva'!$B$22,MAX(0,MIN('V06 Motor'!A167*30/'V06 Motor'!C167,19)-MAX(('V06 Motor'!A167-1)*30/'V06 Motor'!C167,18))*'V06 Curva'!$B$23,MAX(0,MIN('V06 Motor'!A167*30/'V06 Motor'!C167,20)-MAX(('V06 Motor'!A167-1)*30/'V06 Motor'!C167,19))*'V06 Curva'!$B$24,MAX(0,MIN('V06 Motor'!A167*30/'V06 Motor'!C167,21)-MAX(('V06 Motor'!A167-1)*30/'V06 Motor'!C167,20))*'V06 Curva'!$B$25,MAX(0,MIN('V06 Motor'!A167*30/'V06 Motor'!C167,22)-MAX(('V06 Motor'!A167-1)*30/'V06 Motor'!C167,21))*'V06 Curva'!$B$26,MAX(0,MIN('V06 Motor'!A167*30/'V06 Motor'!C167,23)-MAX(('V06 Motor'!A167-1)*30/'V06 Motor'!C167,22))*'V06 Curva'!$B$27,MAX(0,MIN('V06 Motor'!A167*30/'V06 Motor'!C167,24)-MAX(('V06 Motor'!A167-1)*30/'V06 Motor'!C167,23))*'V06 Curva'!$B$28,MAX(0,MIN('V06 Motor'!A167*30/'V06 Motor'!C167,25)-MAX(('V06 Motor'!A167-1)*30/'V06 Motor'!C167,24))*'V06 Curva'!$B$29,MAX(0,MIN('V06 Motor'!A167*30/'V06 Motor'!C167,26)-MAX(('V06 Motor'!A167-1)*30/'V06 Motor'!C167,25))*'V06 Curva'!$B$30,MAX(0,MIN('V06 Motor'!A167*30/'V06 Motor'!C167,27)-MAX(('V06 Motor'!A167-1)*30/'V06 Motor'!C167,26))*'V06 Curva'!$B$31,MAX(0,MIN('V06 Motor'!A167*30/'V06 Motor'!C167,28)-MAX(('V06 Motor'!A167-1)*30/'V06 Motor'!C167,27))*'V06 Curva'!$B$32,MAX(0,MIN('V06 Motor'!A167*30/'V06 Motor'!C167,29)-MAX(('V06 Motor'!A167-1)*30/'V06 Motor'!C167,28))*'V06 Curva'!$B$33,MAX(0,MIN('V06 Motor'!A167*30/'V06 Motor'!C167,30)-MAX(('V06 Motor'!A167-1)*30/'V06 Motor'!C167,29))*'V06 Curva'!$B$34),0)</f>
        <v>0.0</v>
      </c>
      <c r="O167" s="2">
        <f>SUMPRODUCT(--(('V06 Unidades'!$I$5:$I$98+'V06 Controlos'!$B$37)='V06 Motor'!A167),ROUND('V06 Unidades'!$H$5:$H$98*0.05,2)+ROUND('V06 Unidades'!$H$5:$H$98*0.2,2))+SUMPRODUCT(--(IF('V06 Controlos'!$B$38&gt;0,IF(('V06 Unidades'!$L$5:$L$98+'V06 Controlos'!$B$37)&lt;'V06 Motor'!C167,'V06 Motor'!C167,('V06 Unidades'!$L$5:$L$98+'V06 Controlos'!$B$37)),('V06 Unidades'!$L$5:$L$98+'V06 Controlos'!$B$37))='V06 Motor'!A167),'V06 Unidades'!$H$5:$H$98-ROUND('V06 Unidades'!$H$5:$H$98*0.05,2)-ROUND('V06 Unidades'!$H$5:$H$98*0.2,2)-ROUND('V06 Unidades'!$H$5:$H$98*0.55,2))+SUMPRODUCT(--(IF(INT((IF('V06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Controlos'!$B$37)-1)/6),0)&gt;0),--('V06 Motor'!A167&gt;('V06 Unidades'!$I$5:$I$98+'V06 Controlos'!$B$37)),--('V06 Motor'!A167&lt;IF('V06 Controlos'!$B$38&gt;0,IF(('V06 Unidades'!$L$5:$L$98+'V06 Controlos'!$B$37)&lt;'V06 Motor'!C167,'V06 Motor'!C167,('V06 Unidades'!$L$5:$L$98+'V06 Controlos'!$B$37)),('V06 Unidades'!$L$5:$L$98+'V06 Controlos'!$B$37))),--(MOD('V06 Motor'!A167-('V06 Unidades'!$I$5:$I$98+'V06 Controlos'!$B$37),6)=0),--(('V06 Motor'!A167-('V06 Unidades'!$I$5:$I$98+'V06 Controlos'!$B$37))/6&lt;=IF(INT((IF('V06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Controlos'!$B$37)-1)/6),0)),IF('V06 Motor'!A167=('V06 Unidades'!$I$5:$I$98+'V06 Controlos'!$B$37)+6*IF(INT((IF('V06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Controlos'!$B$37)-1)/6),0)&gt;0,IF(INT((IF('V06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Controlos'!$B$37)-1)/6),0),1),2)*(IF(INT((IF('V06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Controlos'!$B$37)-1)/6),0)&gt;0,IF(INT((IF('V06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Controlos'!$B$37)-1)/6)&gt;0,INT((IF('V06 Controlos'!$B$38&gt;0,IF(('V06 Unidades'!$L$5:$L$98+'V06 Controlos'!$B$37)&lt;'V06 Motor'!C167,'V06 Motor'!C167,('V06 Unidades'!$L$5:$L$98+'V06 Controlos'!$B$37)),('V06 Unidades'!$L$5:$L$98+'V06 Controlos'!$B$37))-('V06 Unidades'!$I$5:$I$98+'V06 Controlos'!$B$37)-1)/6),0),1),2)))</f>
        <v>0.0</v>
      </c>
      <c r="P167" s="2">
        <f>SUM('V06 Calend 01'!FS5:FS98)</f>
        <v>0.0</v>
      </c>
    </row>
    <row r="168" spans="1:16">
      <c r="A168">
        <v>164</v>
      </c>
      <c r="C168">
        <v>30</v>
      </c>
      <c r="G168" s="2">
        <f>IF('V06 Motor'!A168&lt;='V06 Motor'!C168,SUMPRODUCT('V06 Curva'!$B$5:$B$34,IF((IF('V06 Motor'!A168*30/'V06 Motor'!C168&lt;'V06 Curva'!$A$5:$A$34,'V06 Motor'!A168*30/'V06 Motor'!C168,'V06 Curva'!$A$5:$A$34)-IF(('V06 Motor'!A168-1)*30/'V06 Motor'!C168&gt;'V06 Curva'!$A$5:$A$34-1,('V06 Motor'!A168-1)*30/'V06 Motor'!C168,'V06 Curva'!$A$5:$A$34-1))&gt;0,(IF('V06 Motor'!A168*30/'V06 Motor'!C168&lt;'V06 Curva'!$A$5:$A$34,'V06 Motor'!A168*30/'V06 Motor'!C168,'V06 Curva'!$A$5:$A$34)-IF(('V06 Motor'!A168-1)*30/'V06 Motor'!C168&gt;'V06 Curva'!$A$5:$A$34-1,('V06 Motor'!A168-1)*30/'V06 Motor'!C168,'V06 Curva'!$A$5:$A$34-1)),0)),0)</f>
        <v>0.0</v>
      </c>
      <c r="H168" s="2">
        <f>IF('V06 Motor'!A168&lt;='V06 Motor'!C168,SUM(MAX(0,MIN('V06 Motor'!A168*30/'V06 Motor'!C168,1)-MAX(('V06 Motor'!A168-1)*30/'V06 Motor'!C168,0))*'V06 Curva'!$B$5,MAX(0,MIN('V06 Motor'!A168*30/'V06 Motor'!C168,2)-MAX(('V06 Motor'!A168-1)*30/'V06 Motor'!C168,1))*'V06 Curva'!$B$6,MAX(0,MIN('V06 Motor'!A168*30/'V06 Motor'!C168,3)-MAX(('V06 Motor'!A168-1)*30/'V06 Motor'!C168,2))*'V06 Curva'!$B$7,MAX(0,MIN('V06 Motor'!A168*30/'V06 Motor'!C168,4)-MAX(('V06 Motor'!A168-1)*30/'V06 Motor'!C168,3))*'V06 Curva'!$B$8,MAX(0,MIN('V06 Motor'!A168*30/'V06 Motor'!C168,5)-MAX(('V06 Motor'!A168-1)*30/'V06 Motor'!C168,4))*'V06 Curva'!$B$9,MAX(0,MIN('V06 Motor'!A168*30/'V06 Motor'!C168,6)-MAX(('V06 Motor'!A168-1)*30/'V06 Motor'!C168,5))*'V06 Curva'!$B$10,MAX(0,MIN('V06 Motor'!A168*30/'V06 Motor'!C168,7)-MAX(('V06 Motor'!A168-1)*30/'V06 Motor'!C168,6))*'V06 Curva'!$B$11,MAX(0,MIN('V06 Motor'!A168*30/'V06 Motor'!C168,8)-MAX(('V06 Motor'!A168-1)*30/'V06 Motor'!C168,7))*'V06 Curva'!$B$12,MAX(0,MIN('V06 Motor'!A168*30/'V06 Motor'!C168,9)-MAX(('V06 Motor'!A168-1)*30/'V06 Motor'!C168,8))*'V06 Curva'!$B$13,MAX(0,MIN('V06 Motor'!A168*30/'V06 Motor'!C168,10)-MAX(('V06 Motor'!A168-1)*30/'V06 Motor'!C168,9))*'V06 Curva'!$B$14,MAX(0,MIN('V06 Motor'!A168*30/'V06 Motor'!C168,11)-MAX(('V06 Motor'!A168-1)*30/'V06 Motor'!C168,10))*'V06 Curva'!$B$15,MAX(0,MIN('V06 Motor'!A168*30/'V06 Motor'!C168,12)-MAX(('V06 Motor'!A168-1)*30/'V06 Motor'!C168,11))*'V06 Curva'!$B$16,MAX(0,MIN('V06 Motor'!A168*30/'V06 Motor'!C168,13)-MAX(('V06 Motor'!A168-1)*30/'V06 Motor'!C168,12))*'V06 Curva'!$B$17,MAX(0,MIN('V06 Motor'!A168*30/'V06 Motor'!C168,14)-MAX(('V06 Motor'!A168-1)*30/'V06 Motor'!C168,13))*'V06 Curva'!$B$18,MAX(0,MIN('V06 Motor'!A168*30/'V06 Motor'!C168,15)-MAX(('V06 Motor'!A168-1)*30/'V06 Motor'!C168,14))*'V06 Curva'!$B$19,MAX(0,MIN('V06 Motor'!A168*30/'V06 Motor'!C168,16)-MAX(('V06 Motor'!A168-1)*30/'V06 Motor'!C168,15))*'V06 Curva'!$B$20,MAX(0,MIN('V06 Motor'!A168*30/'V06 Motor'!C168,17)-MAX(('V06 Motor'!A168-1)*30/'V06 Motor'!C168,16))*'V06 Curva'!$B$21,MAX(0,MIN('V06 Motor'!A168*30/'V06 Motor'!C168,18)-MAX(('V06 Motor'!A168-1)*30/'V06 Motor'!C168,17))*'V06 Curva'!$B$22,MAX(0,MIN('V06 Motor'!A168*30/'V06 Motor'!C168,19)-MAX(('V06 Motor'!A168-1)*30/'V06 Motor'!C168,18))*'V06 Curva'!$B$23,MAX(0,MIN('V06 Motor'!A168*30/'V06 Motor'!C168,20)-MAX(('V06 Motor'!A168-1)*30/'V06 Motor'!C168,19))*'V06 Curva'!$B$24,MAX(0,MIN('V06 Motor'!A168*30/'V06 Motor'!C168,21)-MAX(('V06 Motor'!A168-1)*30/'V06 Motor'!C168,20))*'V06 Curva'!$B$25,MAX(0,MIN('V06 Motor'!A168*30/'V06 Motor'!C168,22)-MAX(('V06 Motor'!A168-1)*30/'V06 Motor'!C168,21))*'V06 Curva'!$B$26,MAX(0,MIN('V06 Motor'!A168*30/'V06 Motor'!C168,23)-MAX(('V06 Motor'!A168-1)*30/'V06 Motor'!C168,22))*'V06 Curva'!$B$27,MAX(0,MIN('V06 Motor'!A168*30/'V06 Motor'!C168,24)-MAX(('V06 Motor'!A168-1)*30/'V06 Motor'!C168,23))*'V06 Curva'!$B$28,MAX(0,MIN('V06 Motor'!A168*30/'V06 Motor'!C168,25)-MAX(('V06 Motor'!A168-1)*30/'V06 Motor'!C168,24))*'V06 Curva'!$B$29,MAX(0,MIN('V06 Motor'!A168*30/'V06 Motor'!C168,26)-MAX(('V06 Motor'!A168-1)*30/'V06 Motor'!C168,25))*'V06 Curva'!$B$30,MAX(0,MIN('V06 Motor'!A168*30/'V06 Motor'!C168,27)-MAX(('V06 Motor'!A168-1)*30/'V06 Motor'!C168,26))*'V06 Curva'!$B$31,MAX(0,MIN('V06 Motor'!A168*30/'V06 Motor'!C168,28)-MAX(('V06 Motor'!A168-1)*30/'V06 Motor'!C168,27))*'V06 Curva'!$B$32,MAX(0,MIN('V06 Motor'!A168*30/'V06 Motor'!C168,29)-MAX(('V06 Motor'!A168-1)*30/'V06 Motor'!C168,28))*'V06 Curva'!$B$33,MAX(0,MIN('V06 Motor'!A168*30/'V06 Motor'!C168,30)-MAX(('V06 Motor'!A168-1)*30/'V06 Motor'!C168,29))*'V06 Curva'!$B$34),0)</f>
        <v>0.0</v>
      </c>
      <c r="O168" s="2">
        <f>SUMPRODUCT(--(('V06 Unidades'!$I$5:$I$98+'V06 Controlos'!$B$37)='V06 Motor'!A168),ROUND('V06 Unidades'!$H$5:$H$98*0.05,2)+ROUND('V06 Unidades'!$H$5:$H$98*0.2,2))+SUMPRODUCT(--(IF('V06 Controlos'!$B$38&gt;0,IF(('V06 Unidades'!$L$5:$L$98+'V06 Controlos'!$B$37)&lt;'V06 Motor'!C168,'V06 Motor'!C168,('V06 Unidades'!$L$5:$L$98+'V06 Controlos'!$B$37)),('V06 Unidades'!$L$5:$L$98+'V06 Controlos'!$B$37))='V06 Motor'!A168),'V06 Unidades'!$H$5:$H$98-ROUND('V06 Unidades'!$H$5:$H$98*0.05,2)-ROUND('V06 Unidades'!$H$5:$H$98*0.2,2)-ROUND('V06 Unidades'!$H$5:$H$98*0.55,2))+SUMPRODUCT(--(IF(INT((IF('V06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Controlos'!$B$37)-1)/6),0)&gt;0),--('V06 Motor'!A168&gt;('V06 Unidades'!$I$5:$I$98+'V06 Controlos'!$B$37)),--('V06 Motor'!A168&lt;IF('V06 Controlos'!$B$38&gt;0,IF(('V06 Unidades'!$L$5:$L$98+'V06 Controlos'!$B$37)&lt;'V06 Motor'!C168,'V06 Motor'!C168,('V06 Unidades'!$L$5:$L$98+'V06 Controlos'!$B$37)),('V06 Unidades'!$L$5:$L$98+'V06 Controlos'!$B$37))),--(MOD('V06 Motor'!A168-('V06 Unidades'!$I$5:$I$98+'V06 Controlos'!$B$37),6)=0),--(('V06 Motor'!A168-('V06 Unidades'!$I$5:$I$98+'V06 Controlos'!$B$37))/6&lt;=IF(INT((IF('V06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Controlos'!$B$37)-1)/6),0)),IF('V06 Motor'!A168=('V06 Unidades'!$I$5:$I$98+'V06 Controlos'!$B$37)+6*IF(INT((IF('V06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Controlos'!$B$37)-1)/6),0)&gt;0,IF(INT((IF('V06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Controlos'!$B$37)-1)/6),0),1),2)*(IF(INT((IF('V06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Controlos'!$B$37)-1)/6),0)&gt;0,IF(INT((IF('V06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Controlos'!$B$37)-1)/6)&gt;0,INT((IF('V06 Controlos'!$B$38&gt;0,IF(('V06 Unidades'!$L$5:$L$98+'V06 Controlos'!$B$37)&lt;'V06 Motor'!C168,'V06 Motor'!C168,('V06 Unidades'!$L$5:$L$98+'V06 Controlos'!$B$37)),('V06 Unidades'!$L$5:$L$98+'V06 Controlos'!$B$37))-('V06 Unidades'!$I$5:$I$98+'V06 Controlos'!$B$37)-1)/6),0),1),2)))</f>
        <v>0.0</v>
      </c>
      <c r="P168" s="2">
        <f>SUM('V06 Calend 01'!FT5:FT98)</f>
        <v>0.0</v>
      </c>
    </row>
    <row r="169" spans="1:16">
      <c r="A169">
        <v>165</v>
      </c>
      <c r="C169">
        <v>30</v>
      </c>
      <c r="G169" s="2">
        <f>IF('V06 Motor'!A169&lt;='V06 Motor'!C169,SUMPRODUCT('V06 Curva'!$B$5:$B$34,IF((IF('V06 Motor'!A169*30/'V06 Motor'!C169&lt;'V06 Curva'!$A$5:$A$34,'V06 Motor'!A169*30/'V06 Motor'!C169,'V06 Curva'!$A$5:$A$34)-IF(('V06 Motor'!A169-1)*30/'V06 Motor'!C169&gt;'V06 Curva'!$A$5:$A$34-1,('V06 Motor'!A169-1)*30/'V06 Motor'!C169,'V06 Curva'!$A$5:$A$34-1))&gt;0,(IF('V06 Motor'!A169*30/'V06 Motor'!C169&lt;'V06 Curva'!$A$5:$A$34,'V06 Motor'!A169*30/'V06 Motor'!C169,'V06 Curva'!$A$5:$A$34)-IF(('V06 Motor'!A169-1)*30/'V06 Motor'!C169&gt;'V06 Curva'!$A$5:$A$34-1,('V06 Motor'!A169-1)*30/'V06 Motor'!C169,'V06 Curva'!$A$5:$A$34-1)),0)),0)</f>
        <v>0.0</v>
      </c>
      <c r="H169" s="2">
        <f>IF('V06 Motor'!A169&lt;='V06 Motor'!C169,SUM(MAX(0,MIN('V06 Motor'!A169*30/'V06 Motor'!C169,1)-MAX(('V06 Motor'!A169-1)*30/'V06 Motor'!C169,0))*'V06 Curva'!$B$5,MAX(0,MIN('V06 Motor'!A169*30/'V06 Motor'!C169,2)-MAX(('V06 Motor'!A169-1)*30/'V06 Motor'!C169,1))*'V06 Curva'!$B$6,MAX(0,MIN('V06 Motor'!A169*30/'V06 Motor'!C169,3)-MAX(('V06 Motor'!A169-1)*30/'V06 Motor'!C169,2))*'V06 Curva'!$B$7,MAX(0,MIN('V06 Motor'!A169*30/'V06 Motor'!C169,4)-MAX(('V06 Motor'!A169-1)*30/'V06 Motor'!C169,3))*'V06 Curva'!$B$8,MAX(0,MIN('V06 Motor'!A169*30/'V06 Motor'!C169,5)-MAX(('V06 Motor'!A169-1)*30/'V06 Motor'!C169,4))*'V06 Curva'!$B$9,MAX(0,MIN('V06 Motor'!A169*30/'V06 Motor'!C169,6)-MAX(('V06 Motor'!A169-1)*30/'V06 Motor'!C169,5))*'V06 Curva'!$B$10,MAX(0,MIN('V06 Motor'!A169*30/'V06 Motor'!C169,7)-MAX(('V06 Motor'!A169-1)*30/'V06 Motor'!C169,6))*'V06 Curva'!$B$11,MAX(0,MIN('V06 Motor'!A169*30/'V06 Motor'!C169,8)-MAX(('V06 Motor'!A169-1)*30/'V06 Motor'!C169,7))*'V06 Curva'!$B$12,MAX(0,MIN('V06 Motor'!A169*30/'V06 Motor'!C169,9)-MAX(('V06 Motor'!A169-1)*30/'V06 Motor'!C169,8))*'V06 Curva'!$B$13,MAX(0,MIN('V06 Motor'!A169*30/'V06 Motor'!C169,10)-MAX(('V06 Motor'!A169-1)*30/'V06 Motor'!C169,9))*'V06 Curva'!$B$14,MAX(0,MIN('V06 Motor'!A169*30/'V06 Motor'!C169,11)-MAX(('V06 Motor'!A169-1)*30/'V06 Motor'!C169,10))*'V06 Curva'!$B$15,MAX(0,MIN('V06 Motor'!A169*30/'V06 Motor'!C169,12)-MAX(('V06 Motor'!A169-1)*30/'V06 Motor'!C169,11))*'V06 Curva'!$B$16,MAX(0,MIN('V06 Motor'!A169*30/'V06 Motor'!C169,13)-MAX(('V06 Motor'!A169-1)*30/'V06 Motor'!C169,12))*'V06 Curva'!$B$17,MAX(0,MIN('V06 Motor'!A169*30/'V06 Motor'!C169,14)-MAX(('V06 Motor'!A169-1)*30/'V06 Motor'!C169,13))*'V06 Curva'!$B$18,MAX(0,MIN('V06 Motor'!A169*30/'V06 Motor'!C169,15)-MAX(('V06 Motor'!A169-1)*30/'V06 Motor'!C169,14))*'V06 Curva'!$B$19,MAX(0,MIN('V06 Motor'!A169*30/'V06 Motor'!C169,16)-MAX(('V06 Motor'!A169-1)*30/'V06 Motor'!C169,15))*'V06 Curva'!$B$20,MAX(0,MIN('V06 Motor'!A169*30/'V06 Motor'!C169,17)-MAX(('V06 Motor'!A169-1)*30/'V06 Motor'!C169,16))*'V06 Curva'!$B$21,MAX(0,MIN('V06 Motor'!A169*30/'V06 Motor'!C169,18)-MAX(('V06 Motor'!A169-1)*30/'V06 Motor'!C169,17))*'V06 Curva'!$B$22,MAX(0,MIN('V06 Motor'!A169*30/'V06 Motor'!C169,19)-MAX(('V06 Motor'!A169-1)*30/'V06 Motor'!C169,18))*'V06 Curva'!$B$23,MAX(0,MIN('V06 Motor'!A169*30/'V06 Motor'!C169,20)-MAX(('V06 Motor'!A169-1)*30/'V06 Motor'!C169,19))*'V06 Curva'!$B$24,MAX(0,MIN('V06 Motor'!A169*30/'V06 Motor'!C169,21)-MAX(('V06 Motor'!A169-1)*30/'V06 Motor'!C169,20))*'V06 Curva'!$B$25,MAX(0,MIN('V06 Motor'!A169*30/'V06 Motor'!C169,22)-MAX(('V06 Motor'!A169-1)*30/'V06 Motor'!C169,21))*'V06 Curva'!$B$26,MAX(0,MIN('V06 Motor'!A169*30/'V06 Motor'!C169,23)-MAX(('V06 Motor'!A169-1)*30/'V06 Motor'!C169,22))*'V06 Curva'!$B$27,MAX(0,MIN('V06 Motor'!A169*30/'V06 Motor'!C169,24)-MAX(('V06 Motor'!A169-1)*30/'V06 Motor'!C169,23))*'V06 Curva'!$B$28,MAX(0,MIN('V06 Motor'!A169*30/'V06 Motor'!C169,25)-MAX(('V06 Motor'!A169-1)*30/'V06 Motor'!C169,24))*'V06 Curva'!$B$29,MAX(0,MIN('V06 Motor'!A169*30/'V06 Motor'!C169,26)-MAX(('V06 Motor'!A169-1)*30/'V06 Motor'!C169,25))*'V06 Curva'!$B$30,MAX(0,MIN('V06 Motor'!A169*30/'V06 Motor'!C169,27)-MAX(('V06 Motor'!A169-1)*30/'V06 Motor'!C169,26))*'V06 Curva'!$B$31,MAX(0,MIN('V06 Motor'!A169*30/'V06 Motor'!C169,28)-MAX(('V06 Motor'!A169-1)*30/'V06 Motor'!C169,27))*'V06 Curva'!$B$32,MAX(0,MIN('V06 Motor'!A169*30/'V06 Motor'!C169,29)-MAX(('V06 Motor'!A169-1)*30/'V06 Motor'!C169,28))*'V06 Curva'!$B$33,MAX(0,MIN('V06 Motor'!A169*30/'V06 Motor'!C169,30)-MAX(('V06 Motor'!A169-1)*30/'V06 Motor'!C169,29))*'V06 Curva'!$B$34),0)</f>
        <v>0.0</v>
      </c>
      <c r="O169" s="2">
        <f>SUMPRODUCT(--(('V06 Unidades'!$I$5:$I$98+'V06 Controlos'!$B$37)='V06 Motor'!A169),ROUND('V06 Unidades'!$H$5:$H$98*0.05,2)+ROUND('V06 Unidades'!$H$5:$H$98*0.2,2))+SUMPRODUCT(--(IF('V06 Controlos'!$B$38&gt;0,IF(('V06 Unidades'!$L$5:$L$98+'V06 Controlos'!$B$37)&lt;'V06 Motor'!C169,'V06 Motor'!C169,('V06 Unidades'!$L$5:$L$98+'V06 Controlos'!$B$37)),('V06 Unidades'!$L$5:$L$98+'V06 Controlos'!$B$37))='V06 Motor'!A169),'V06 Unidades'!$H$5:$H$98-ROUND('V06 Unidades'!$H$5:$H$98*0.05,2)-ROUND('V06 Unidades'!$H$5:$H$98*0.2,2)-ROUND('V06 Unidades'!$H$5:$H$98*0.55,2))+SUMPRODUCT(--(IF(INT((IF('V06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Controlos'!$B$37)-1)/6),0)&gt;0),--('V06 Motor'!A169&gt;('V06 Unidades'!$I$5:$I$98+'V06 Controlos'!$B$37)),--('V06 Motor'!A169&lt;IF('V06 Controlos'!$B$38&gt;0,IF(('V06 Unidades'!$L$5:$L$98+'V06 Controlos'!$B$37)&lt;'V06 Motor'!C169,'V06 Motor'!C169,('V06 Unidades'!$L$5:$L$98+'V06 Controlos'!$B$37)),('V06 Unidades'!$L$5:$L$98+'V06 Controlos'!$B$37))),--(MOD('V06 Motor'!A169-('V06 Unidades'!$I$5:$I$98+'V06 Controlos'!$B$37),6)=0),--(('V06 Motor'!A169-('V06 Unidades'!$I$5:$I$98+'V06 Controlos'!$B$37))/6&lt;=IF(INT((IF('V06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Controlos'!$B$37)-1)/6),0)),IF('V06 Motor'!A169=('V06 Unidades'!$I$5:$I$98+'V06 Controlos'!$B$37)+6*IF(INT((IF('V06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Controlos'!$B$37)-1)/6),0)&gt;0,IF(INT((IF('V06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Controlos'!$B$37)-1)/6),0),1),2)*(IF(INT((IF('V06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Controlos'!$B$37)-1)/6),0)&gt;0,IF(INT((IF('V06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Controlos'!$B$37)-1)/6)&gt;0,INT((IF('V06 Controlos'!$B$38&gt;0,IF(('V06 Unidades'!$L$5:$L$98+'V06 Controlos'!$B$37)&lt;'V06 Motor'!C169,'V06 Motor'!C169,('V06 Unidades'!$L$5:$L$98+'V06 Controlos'!$B$37)),('V06 Unidades'!$L$5:$L$98+'V06 Controlos'!$B$37))-('V06 Unidades'!$I$5:$I$98+'V06 Controlos'!$B$37)-1)/6),0),1),2)))</f>
        <v>0.0</v>
      </c>
      <c r="P169" s="2">
        <f>SUM('V06 Calend 01'!FU5:FU98)</f>
        <v>0.0</v>
      </c>
    </row>
    <row r="170" spans="1:16">
      <c r="A170">
        <v>166</v>
      </c>
      <c r="C170">
        <v>30</v>
      </c>
      <c r="G170" s="2">
        <f>IF('V06 Motor'!A170&lt;='V06 Motor'!C170,SUMPRODUCT('V06 Curva'!$B$5:$B$34,IF((IF('V06 Motor'!A170*30/'V06 Motor'!C170&lt;'V06 Curva'!$A$5:$A$34,'V06 Motor'!A170*30/'V06 Motor'!C170,'V06 Curva'!$A$5:$A$34)-IF(('V06 Motor'!A170-1)*30/'V06 Motor'!C170&gt;'V06 Curva'!$A$5:$A$34-1,('V06 Motor'!A170-1)*30/'V06 Motor'!C170,'V06 Curva'!$A$5:$A$34-1))&gt;0,(IF('V06 Motor'!A170*30/'V06 Motor'!C170&lt;'V06 Curva'!$A$5:$A$34,'V06 Motor'!A170*30/'V06 Motor'!C170,'V06 Curva'!$A$5:$A$34)-IF(('V06 Motor'!A170-1)*30/'V06 Motor'!C170&gt;'V06 Curva'!$A$5:$A$34-1,('V06 Motor'!A170-1)*30/'V06 Motor'!C170,'V06 Curva'!$A$5:$A$34-1)),0)),0)</f>
        <v>0.0</v>
      </c>
      <c r="H170" s="2">
        <f>IF('V06 Motor'!A170&lt;='V06 Motor'!C170,SUM(MAX(0,MIN('V06 Motor'!A170*30/'V06 Motor'!C170,1)-MAX(('V06 Motor'!A170-1)*30/'V06 Motor'!C170,0))*'V06 Curva'!$B$5,MAX(0,MIN('V06 Motor'!A170*30/'V06 Motor'!C170,2)-MAX(('V06 Motor'!A170-1)*30/'V06 Motor'!C170,1))*'V06 Curva'!$B$6,MAX(0,MIN('V06 Motor'!A170*30/'V06 Motor'!C170,3)-MAX(('V06 Motor'!A170-1)*30/'V06 Motor'!C170,2))*'V06 Curva'!$B$7,MAX(0,MIN('V06 Motor'!A170*30/'V06 Motor'!C170,4)-MAX(('V06 Motor'!A170-1)*30/'V06 Motor'!C170,3))*'V06 Curva'!$B$8,MAX(0,MIN('V06 Motor'!A170*30/'V06 Motor'!C170,5)-MAX(('V06 Motor'!A170-1)*30/'V06 Motor'!C170,4))*'V06 Curva'!$B$9,MAX(0,MIN('V06 Motor'!A170*30/'V06 Motor'!C170,6)-MAX(('V06 Motor'!A170-1)*30/'V06 Motor'!C170,5))*'V06 Curva'!$B$10,MAX(0,MIN('V06 Motor'!A170*30/'V06 Motor'!C170,7)-MAX(('V06 Motor'!A170-1)*30/'V06 Motor'!C170,6))*'V06 Curva'!$B$11,MAX(0,MIN('V06 Motor'!A170*30/'V06 Motor'!C170,8)-MAX(('V06 Motor'!A170-1)*30/'V06 Motor'!C170,7))*'V06 Curva'!$B$12,MAX(0,MIN('V06 Motor'!A170*30/'V06 Motor'!C170,9)-MAX(('V06 Motor'!A170-1)*30/'V06 Motor'!C170,8))*'V06 Curva'!$B$13,MAX(0,MIN('V06 Motor'!A170*30/'V06 Motor'!C170,10)-MAX(('V06 Motor'!A170-1)*30/'V06 Motor'!C170,9))*'V06 Curva'!$B$14,MAX(0,MIN('V06 Motor'!A170*30/'V06 Motor'!C170,11)-MAX(('V06 Motor'!A170-1)*30/'V06 Motor'!C170,10))*'V06 Curva'!$B$15,MAX(0,MIN('V06 Motor'!A170*30/'V06 Motor'!C170,12)-MAX(('V06 Motor'!A170-1)*30/'V06 Motor'!C170,11))*'V06 Curva'!$B$16,MAX(0,MIN('V06 Motor'!A170*30/'V06 Motor'!C170,13)-MAX(('V06 Motor'!A170-1)*30/'V06 Motor'!C170,12))*'V06 Curva'!$B$17,MAX(0,MIN('V06 Motor'!A170*30/'V06 Motor'!C170,14)-MAX(('V06 Motor'!A170-1)*30/'V06 Motor'!C170,13))*'V06 Curva'!$B$18,MAX(0,MIN('V06 Motor'!A170*30/'V06 Motor'!C170,15)-MAX(('V06 Motor'!A170-1)*30/'V06 Motor'!C170,14))*'V06 Curva'!$B$19,MAX(0,MIN('V06 Motor'!A170*30/'V06 Motor'!C170,16)-MAX(('V06 Motor'!A170-1)*30/'V06 Motor'!C170,15))*'V06 Curva'!$B$20,MAX(0,MIN('V06 Motor'!A170*30/'V06 Motor'!C170,17)-MAX(('V06 Motor'!A170-1)*30/'V06 Motor'!C170,16))*'V06 Curva'!$B$21,MAX(0,MIN('V06 Motor'!A170*30/'V06 Motor'!C170,18)-MAX(('V06 Motor'!A170-1)*30/'V06 Motor'!C170,17))*'V06 Curva'!$B$22,MAX(0,MIN('V06 Motor'!A170*30/'V06 Motor'!C170,19)-MAX(('V06 Motor'!A170-1)*30/'V06 Motor'!C170,18))*'V06 Curva'!$B$23,MAX(0,MIN('V06 Motor'!A170*30/'V06 Motor'!C170,20)-MAX(('V06 Motor'!A170-1)*30/'V06 Motor'!C170,19))*'V06 Curva'!$B$24,MAX(0,MIN('V06 Motor'!A170*30/'V06 Motor'!C170,21)-MAX(('V06 Motor'!A170-1)*30/'V06 Motor'!C170,20))*'V06 Curva'!$B$25,MAX(0,MIN('V06 Motor'!A170*30/'V06 Motor'!C170,22)-MAX(('V06 Motor'!A170-1)*30/'V06 Motor'!C170,21))*'V06 Curva'!$B$26,MAX(0,MIN('V06 Motor'!A170*30/'V06 Motor'!C170,23)-MAX(('V06 Motor'!A170-1)*30/'V06 Motor'!C170,22))*'V06 Curva'!$B$27,MAX(0,MIN('V06 Motor'!A170*30/'V06 Motor'!C170,24)-MAX(('V06 Motor'!A170-1)*30/'V06 Motor'!C170,23))*'V06 Curva'!$B$28,MAX(0,MIN('V06 Motor'!A170*30/'V06 Motor'!C170,25)-MAX(('V06 Motor'!A170-1)*30/'V06 Motor'!C170,24))*'V06 Curva'!$B$29,MAX(0,MIN('V06 Motor'!A170*30/'V06 Motor'!C170,26)-MAX(('V06 Motor'!A170-1)*30/'V06 Motor'!C170,25))*'V06 Curva'!$B$30,MAX(0,MIN('V06 Motor'!A170*30/'V06 Motor'!C170,27)-MAX(('V06 Motor'!A170-1)*30/'V06 Motor'!C170,26))*'V06 Curva'!$B$31,MAX(0,MIN('V06 Motor'!A170*30/'V06 Motor'!C170,28)-MAX(('V06 Motor'!A170-1)*30/'V06 Motor'!C170,27))*'V06 Curva'!$B$32,MAX(0,MIN('V06 Motor'!A170*30/'V06 Motor'!C170,29)-MAX(('V06 Motor'!A170-1)*30/'V06 Motor'!C170,28))*'V06 Curva'!$B$33,MAX(0,MIN('V06 Motor'!A170*30/'V06 Motor'!C170,30)-MAX(('V06 Motor'!A170-1)*30/'V06 Motor'!C170,29))*'V06 Curva'!$B$34),0)</f>
        <v>0.0</v>
      </c>
      <c r="O170" s="2">
        <f>SUMPRODUCT(--(('V06 Unidades'!$I$5:$I$98+'V06 Controlos'!$B$37)='V06 Motor'!A170),ROUND('V06 Unidades'!$H$5:$H$98*0.05,2)+ROUND('V06 Unidades'!$H$5:$H$98*0.2,2))+SUMPRODUCT(--(IF('V06 Controlos'!$B$38&gt;0,IF(('V06 Unidades'!$L$5:$L$98+'V06 Controlos'!$B$37)&lt;'V06 Motor'!C170,'V06 Motor'!C170,('V06 Unidades'!$L$5:$L$98+'V06 Controlos'!$B$37)),('V06 Unidades'!$L$5:$L$98+'V06 Controlos'!$B$37))='V06 Motor'!A170),'V06 Unidades'!$H$5:$H$98-ROUND('V06 Unidades'!$H$5:$H$98*0.05,2)-ROUND('V06 Unidades'!$H$5:$H$98*0.2,2)-ROUND('V06 Unidades'!$H$5:$H$98*0.55,2))+SUMPRODUCT(--(IF(INT((IF('V06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Controlos'!$B$37)-1)/6),0)&gt;0),--('V06 Motor'!A170&gt;('V06 Unidades'!$I$5:$I$98+'V06 Controlos'!$B$37)),--('V06 Motor'!A170&lt;IF('V06 Controlos'!$B$38&gt;0,IF(('V06 Unidades'!$L$5:$L$98+'V06 Controlos'!$B$37)&lt;'V06 Motor'!C170,'V06 Motor'!C170,('V06 Unidades'!$L$5:$L$98+'V06 Controlos'!$B$37)),('V06 Unidades'!$L$5:$L$98+'V06 Controlos'!$B$37))),--(MOD('V06 Motor'!A170-('V06 Unidades'!$I$5:$I$98+'V06 Controlos'!$B$37),6)=0),--(('V06 Motor'!A170-('V06 Unidades'!$I$5:$I$98+'V06 Controlos'!$B$37))/6&lt;=IF(INT((IF('V06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Controlos'!$B$37)-1)/6),0)),IF('V06 Motor'!A170=('V06 Unidades'!$I$5:$I$98+'V06 Controlos'!$B$37)+6*IF(INT((IF('V06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Controlos'!$B$37)-1)/6),0)&gt;0,IF(INT((IF('V06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Controlos'!$B$37)-1)/6),0),1),2)*(IF(INT((IF('V06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Controlos'!$B$37)-1)/6),0)&gt;0,IF(INT((IF('V06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Controlos'!$B$37)-1)/6)&gt;0,INT((IF('V06 Controlos'!$B$38&gt;0,IF(('V06 Unidades'!$L$5:$L$98+'V06 Controlos'!$B$37)&lt;'V06 Motor'!C170,'V06 Motor'!C170,('V06 Unidades'!$L$5:$L$98+'V06 Controlos'!$B$37)),('V06 Unidades'!$L$5:$L$98+'V06 Controlos'!$B$37))-('V06 Unidades'!$I$5:$I$98+'V06 Controlos'!$B$37)-1)/6),0),1),2)))</f>
        <v>0.0</v>
      </c>
      <c r="P170" s="2">
        <f>SUM('V06 Calend 01'!FV5:FV98)</f>
        <v>0.0</v>
      </c>
    </row>
    <row r="171" spans="1:16">
      <c r="A171">
        <v>167</v>
      </c>
      <c r="C171">
        <v>30</v>
      </c>
      <c r="G171" s="2">
        <f>IF('V06 Motor'!A171&lt;='V06 Motor'!C171,SUMPRODUCT('V06 Curva'!$B$5:$B$34,IF((IF('V06 Motor'!A171*30/'V06 Motor'!C171&lt;'V06 Curva'!$A$5:$A$34,'V06 Motor'!A171*30/'V06 Motor'!C171,'V06 Curva'!$A$5:$A$34)-IF(('V06 Motor'!A171-1)*30/'V06 Motor'!C171&gt;'V06 Curva'!$A$5:$A$34-1,('V06 Motor'!A171-1)*30/'V06 Motor'!C171,'V06 Curva'!$A$5:$A$34-1))&gt;0,(IF('V06 Motor'!A171*30/'V06 Motor'!C171&lt;'V06 Curva'!$A$5:$A$34,'V06 Motor'!A171*30/'V06 Motor'!C171,'V06 Curva'!$A$5:$A$34)-IF(('V06 Motor'!A171-1)*30/'V06 Motor'!C171&gt;'V06 Curva'!$A$5:$A$34-1,('V06 Motor'!A171-1)*30/'V06 Motor'!C171,'V06 Curva'!$A$5:$A$34-1)),0)),0)</f>
        <v>0.0</v>
      </c>
      <c r="H171" s="2">
        <f>IF('V06 Motor'!A171&lt;='V06 Motor'!C171,SUM(MAX(0,MIN('V06 Motor'!A171*30/'V06 Motor'!C171,1)-MAX(('V06 Motor'!A171-1)*30/'V06 Motor'!C171,0))*'V06 Curva'!$B$5,MAX(0,MIN('V06 Motor'!A171*30/'V06 Motor'!C171,2)-MAX(('V06 Motor'!A171-1)*30/'V06 Motor'!C171,1))*'V06 Curva'!$B$6,MAX(0,MIN('V06 Motor'!A171*30/'V06 Motor'!C171,3)-MAX(('V06 Motor'!A171-1)*30/'V06 Motor'!C171,2))*'V06 Curva'!$B$7,MAX(0,MIN('V06 Motor'!A171*30/'V06 Motor'!C171,4)-MAX(('V06 Motor'!A171-1)*30/'V06 Motor'!C171,3))*'V06 Curva'!$B$8,MAX(0,MIN('V06 Motor'!A171*30/'V06 Motor'!C171,5)-MAX(('V06 Motor'!A171-1)*30/'V06 Motor'!C171,4))*'V06 Curva'!$B$9,MAX(0,MIN('V06 Motor'!A171*30/'V06 Motor'!C171,6)-MAX(('V06 Motor'!A171-1)*30/'V06 Motor'!C171,5))*'V06 Curva'!$B$10,MAX(0,MIN('V06 Motor'!A171*30/'V06 Motor'!C171,7)-MAX(('V06 Motor'!A171-1)*30/'V06 Motor'!C171,6))*'V06 Curva'!$B$11,MAX(0,MIN('V06 Motor'!A171*30/'V06 Motor'!C171,8)-MAX(('V06 Motor'!A171-1)*30/'V06 Motor'!C171,7))*'V06 Curva'!$B$12,MAX(0,MIN('V06 Motor'!A171*30/'V06 Motor'!C171,9)-MAX(('V06 Motor'!A171-1)*30/'V06 Motor'!C171,8))*'V06 Curva'!$B$13,MAX(0,MIN('V06 Motor'!A171*30/'V06 Motor'!C171,10)-MAX(('V06 Motor'!A171-1)*30/'V06 Motor'!C171,9))*'V06 Curva'!$B$14,MAX(0,MIN('V06 Motor'!A171*30/'V06 Motor'!C171,11)-MAX(('V06 Motor'!A171-1)*30/'V06 Motor'!C171,10))*'V06 Curva'!$B$15,MAX(0,MIN('V06 Motor'!A171*30/'V06 Motor'!C171,12)-MAX(('V06 Motor'!A171-1)*30/'V06 Motor'!C171,11))*'V06 Curva'!$B$16,MAX(0,MIN('V06 Motor'!A171*30/'V06 Motor'!C171,13)-MAX(('V06 Motor'!A171-1)*30/'V06 Motor'!C171,12))*'V06 Curva'!$B$17,MAX(0,MIN('V06 Motor'!A171*30/'V06 Motor'!C171,14)-MAX(('V06 Motor'!A171-1)*30/'V06 Motor'!C171,13))*'V06 Curva'!$B$18,MAX(0,MIN('V06 Motor'!A171*30/'V06 Motor'!C171,15)-MAX(('V06 Motor'!A171-1)*30/'V06 Motor'!C171,14))*'V06 Curva'!$B$19,MAX(0,MIN('V06 Motor'!A171*30/'V06 Motor'!C171,16)-MAX(('V06 Motor'!A171-1)*30/'V06 Motor'!C171,15))*'V06 Curva'!$B$20,MAX(0,MIN('V06 Motor'!A171*30/'V06 Motor'!C171,17)-MAX(('V06 Motor'!A171-1)*30/'V06 Motor'!C171,16))*'V06 Curva'!$B$21,MAX(0,MIN('V06 Motor'!A171*30/'V06 Motor'!C171,18)-MAX(('V06 Motor'!A171-1)*30/'V06 Motor'!C171,17))*'V06 Curva'!$B$22,MAX(0,MIN('V06 Motor'!A171*30/'V06 Motor'!C171,19)-MAX(('V06 Motor'!A171-1)*30/'V06 Motor'!C171,18))*'V06 Curva'!$B$23,MAX(0,MIN('V06 Motor'!A171*30/'V06 Motor'!C171,20)-MAX(('V06 Motor'!A171-1)*30/'V06 Motor'!C171,19))*'V06 Curva'!$B$24,MAX(0,MIN('V06 Motor'!A171*30/'V06 Motor'!C171,21)-MAX(('V06 Motor'!A171-1)*30/'V06 Motor'!C171,20))*'V06 Curva'!$B$25,MAX(0,MIN('V06 Motor'!A171*30/'V06 Motor'!C171,22)-MAX(('V06 Motor'!A171-1)*30/'V06 Motor'!C171,21))*'V06 Curva'!$B$26,MAX(0,MIN('V06 Motor'!A171*30/'V06 Motor'!C171,23)-MAX(('V06 Motor'!A171-1)*30/'V06 Motor'!C171,22))*'V06 Curva'!$B$27,MAX(0,MIN('V06 Motor'!A171*30/'V06 Motor'!C171,24)-MAX(('V06 Motor'!A171-1)*30/'V06 Motor'!C171,23))*'V06 Curva'!$B$28,MAX(0,MIN('V06 Motor'!A171*30/'V06 Motor'!C171,25)-MAX(('V06 Motor'!A171-1)*30/'V06 Motor'!C171,24))*'V06 Curva'!$B$29,MAX(0,MIN('V06 Motor'!A171*30/'V06 Motor'!C171,26)-MAX(('V06 Motor'!A171-1)*30/'V06 Motor'!C171,25))*'V06 Curva'!$B$30,MAX(0,MIN('V06 Motor'!A171*30/'V06 Motor'!C171,27)-MAX(('V06 Motor'!A171-1)*30/'V06 Motor'!C171,26))*'V06 Curva'!$B$31,MAX(0,MIN('V06 Motor'!A171*30/'V06 Motor'!C171,28)-MAX(('V06 Motor'!A171-1)*30/'V06 Motor'!C171,27))*'V06 Curva'!$B$32,MAX(0,MIN('V06 Motor'!A171*30/'V06 Motor'!C171,29)-MAX(('V06 Motor'!A171-1)*30/'V06 Motor'!C171,28))*'V06 Curva'!$B$33,MAX(0,MIN('V06 Motor'!A171*30/'V06 Motor'!C171,30)-MAX(('V06 Motor'!A171-1)*30/'V06 Motor'!C171,29))*'V06 Curva'!$B$34),0)</f>
        <v>0.0</v>
      </c>
      <c r="O171" s="2">
        <f>SUMPRODUCT(--(('V06 Unidades'!$I$5:$I$98+'V06 Controlos'!$B$37)='V06 Motor'!A171),ROUND('V06 Unidades'!$H$5:$H$98*0.05,2)+ROUND('V06 Unidades'!$H$5:$H$98*0.2,2))+SUMPRODUCT(--(IF('V06 Controlos'!$B$38&gt;0,IF(('V06 Unidades'!$L$5:$L$98+'V06 Controlos'!$B$37)&lt;'V06 Motor'!C171,'V06 Motor'!C171,('V06 Unidades'!$L$5:$L$98+'V06 Controlos'!$B$37)),('V06 Unidades'!$L$5:$L$98+'V06 Controlos'!$B$37))='V06 Motor'!A171),'V06 Unidades'!$H$5:$H$98-ROUND('V06 Unidades'!$H$5:$H$98*0.05,2)-ROUND('V06 Unidades'!$H$5:$H$98*0.2,2)-ROUND('V06 Unidades'!$H$5:$H$98*0.55,2))+SUMPRODUCT(--(IF(INT((IF('V06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Controlos'!$B$37)-1)/6),0)&gt;0),--('V06 Motor'!A171&gt;('V06 Unidades'!$I$5:$I$98+'V06 Controlos'!$B$37)),--('V06 Motor'!A171&lt;IF('V06 Controlos'!$B$38&gt;0,IF(('V06 Unidades'!$L$5:$L$98+'V06 Controlos'!$B$37)&lt;'V06 Motor'!C171,'V06 Motor'!C171,('V06 Unidades'!$L$5:$L$98+'V06 Controlos'!$B$37)),('V06 Unidades'!$L$5:$L$98+'V06 Controlos'!$B$37))),--(MOD('V06 Motor'!A171-('V06 Unidades'!$I$5:$I$98+'V06 Controlos'!$B$37),6)=0),--(('V06 Motor'!A171-('V06 Unidades'!$I$5:$I$98+'V06 Controlos'!$B$37))/6&lt;=IF(INT((IF('V06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Controlos'!$B$37)-1)/6),0)),IF('V06 Motor'!A171=('V06 Unidades'!$I$5:$I$98+'V06 Controlos'!$B$37)+6*IF(INT((IF('V06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Controlos'!$B$37)-1)/6),0)&gt;0,IF(INT((IF('V06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Controlos'!$B$37)-1)/6),0),1),2)*(IF(INT((IF('V06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Controlos'!$B$37)-1)/6),0)&gt;0,IF(INT((IF('V06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Controlos'!$B$37)-1)/6)&gt;0,INT((IF('V06 Controlos'!$B$38&gt;0,IF(('V06 Unidades'!$L$5:$L$98+'V06 Controlos'!$B$37)&lt;'V06 Motor'!C171,'V06 Motor'!C171,('V06 Unidades'!$L$5:$L$98+'V06 Controlos'!$B$37)),('V06 Unidades'!$L$5:$L$98+'V06 Controlos'!$B$37))-('V06 Unidades'!$I$5:$I$98+'V06 Controlos'!$B$37)-1)/6),0),1),2)))</f>
        <v>0.0</v>
      </c>
      <c r="P171" s="2">
        <f>SUM('V06 Calend 01'!FW5:FW98)</f>
        <v>0.0</v>
      </c>
    </row>
    <row r="172" spans="1:16">
      <c r="A172">
        <v>168</v>
      </c>
      <c r="C172">
        <v>30</v>
      </c>
      <c r="G172" s="2">
        <f>IF('V06 Motor'!A172&lt;='V06 Motor'!C172,SUMPRODUCT('V06 Curva'!$B$5:$B$34,IF((IF('V06 Motor'!A172*30/'V06 Motor'!C172&lt;'V06 Curva'!$A$5:$A$34,'V06 Motor'!A172*30/'V06 Motor'!C172,'V06 Curva'!$A$5:$A$34)-IF(('V06 Motor'!A172-1)*30/'V06 Motor'!C172&gt;'V06 Curva'!$A$5:$A$34-1,('V06 Motor'!A172-1)*30/'V06 Motor'!C172,'V06 Curva'!$A$5:$A$34-1))&gt;0,(IF('V06 Motor'!A172*30/'V06 Motor'!C172&lt;'V06 Curva'!$A$5:$A$34,'V06 Motor'!A172*30/'V06 Motor'!C172,'V06 Curva'!$A$5:$A$34)-IF(('V06 Motor'!A172-1)*30/'V06 Motor'!C172&gt;'V06 Curva'!$A$5:$A$34-1,('V06 Motor'!A172-1)*30/'V06 Motor'!C172,'V06 Curva'!$A$5:$A$34-1)),0)),0)</f>
        <v>0.0</v>
      </c>
      <c r="H172" s="2">
        <f>IF('V06 Motor'!A172&lt;='V06 Motor'!C172,SUM(MAX(0,MIN('V06 Motor'!A172*30/'V06 Motor'!C172,1)-MAX(('V06 Motor'!A172-1)*30/'V06 Motor'!C172,0))*'V06 Curva'!$B$5,MAX(0,MIN('V06 Motor'!A172*30/'V06 Motor'!C172,2)-MAX(('V06 Motor'!A172-1)*30/'V06 Motor'!C172,1))*'V06 Curva'!$B$6,MAX(0,MIN('V06 Motor'!A172*30/'V06 Motor'!C172,3)-MAX(('V06 Motor'!A172-1)*30/'V06 Motor'!C172,2))*'V06 Curva'!$B$7,MAX(0,MIN('V06 Motor'!A172*30/'V06 Motor'!C172,4)-MAX(('V06 Motor'!A172-1)*30/'V06 Motor'!C172,3))*'V06 Curva'!$B$8,MAX(0,MIN('V06 Motor'!A172*30/'V06 Motor'!C172,5)-MAX(('V06 Motor'!A172-1)*30/'V06 Motor'!C172,4))*'V06 Curva'!$B$9,MAX(0,MIN('V06 Motor'!A172*30/'V06 Motor'!C172,6)-MAX(('V06 Motor'!A172-1)*30/'V06 Motor'!C172,5))*'V06 Curva'!$B$10,MAX(0,MIN('V06 Motor'!A172*30/'V06 Motor'!C172,7)-MAX(('V06 Motor'!A172-1)*30/'V06 Motor'!C172,6))*'V06 Curva'!$B$11,MAX(0,MIN('V06 Motor'!A172*30/'V06 Motor'!C172,8)-MAX(('V06 Motor'!A172-1)*30/'V06 Motor'!C172,7))*'V06 Curva'!$B$12,MAX(0,MIN('V06 Motor'!A172*30/'V06 Motor'!C172,9)-MAX(('V06 Motor'!A172-1)*30/'V06 Motor'!C172,8))*'V06 Curva'!$B$13,MAX(0,MIN('V06 Motor'!A172*30/'V06 Motor'!C172,10)-MAX(('V06 Motor'!A172-1)*30/'V06 Motor'!C172,9))*'V06 Curva'!$B$14,MAX(0,MIN('V06 Motor'!A172*30/'V06 Motor'!C172,11)-MAX(('V06 Motor'!A172-1)*30/'V06 Motor'!C172,10))*'V06 Curva'!$B$15,MAX(0,MIN('V06 Motor'!A172*30/'V06 Motor'!C172,12)-MAX(('V06 Motor'!A172-1)*30/'V06 Motor'!C172,11))*'V06 Curva'!$B$16,MAX(0,MIN('V06 Motor'!A172*30/'V06 Motor'!C172,13)-MAX(('V06 Motor'!A172-1)*30/'V06 Motor'!C172,12))*'V06 Curva'!$B$17,MAX(0,MIN('V06 Motor'!A172*30/'V06 Motor'!C172,14)-MAX(('V06 Motor'!A172-1)*30/'V06 Motor'!C172,13))*'V06 Curva'!$B$18,MAX(0,MIN('V06 Motor'!A172*30/'V06 Motor'!C172,15)-MAX(('V06 Motor'!A172-1)*30/'V06 Motor'!C172,14))*'V06 Curva'!$B$19,MAX(0,MIN('V06 Motor'!A172*30/'V06 Motor'!C172,16)-MAX(('V06 Motor'!A172-1)*30/'V06 Motor'!C172,15))*'V06 Curva'!$B$20,MAX(0,MIN('V06 Motor'!A172*30/'V06 Motor'!C172,17)-MAX(('V06 Motor'!A172-1)*30/'V06 Motor'!C172,16))*'V06 Curva'!$B$21,MAX(0,MIN('V06 Motor'!A172*30/'V06 Motor'!C172,18)-MAX(('V06 Motor'!A172-1)*30/'V06 Motor'!C172,17))*'V06 Curva'!$B$22,MAX(0,MIN('V06 Motor'!A172*30/'V06 Motor'!C172,19)-MAX(('V06 Motor'!A172-1)*30/'V06 Motor'!C172,18))*'V06 Curva'!$B$23,MAX(0,MIN('V06 Motor'!A172*30/'V06 Motor'!C172,20)-MAX(('V06 Motor'!A172-1)*30/'V06 Motor'!C172,19))*'V06 Curva'!$B$24,MAX(0,MIN('V06 Motor'!A172*30/'V06 Motor'!C172,21)-MAX(('V06 Motor'!A172-1)*30/'V06 Motor'!C172,20))*'V06 Curva'!$B$25,MAX(0,MIN('V06 Motor'!A172*30/'V06 Motor'!C172,22)-MAX(('V06 Motor'!A172-1)*30/'V06 Motor'!C172,21))*'V06 Curva'!$B$26,MAX(0,MIN('V06 Motor'!A172*30/'V06 Motor'!C172,23)-MAX(('V06 Motor'!A172-1)*30/'V06 Motor'!C172,22))*'V06 Curva'!$B$27,MAX(0,MIN('V06 Motor'!A172*30/'V06 Motor'!C172,24)-MAX(('V06 Motor'!A172-1)*30/'V06 Motor'!C172,23))*'V06 Curva'!$B$28,MAX(0,MIN('V06 Motor'!A172*30/'V06 Motor'!C172,25)-MAX(('V06 Motor'!A172-1)*30/'V06 Motor'!C172,24))*'V06 Curva'!$B$29,MAX(0,MIN('V06 Motor'!A172*30/'V06 Motor'!C172,26)-MAX(('V06 Motor'!A172-1)*30/'V06 Motor'!C172,25))*'V06 Curva'!$B$30,MAX(0,MIN('V06 Motor'!A172*30/'V06 Motor'!C172,27)-MAX(('V06 Motor'!A172-1)*30/'V06 Motor'!C172,26))*'V06 Curva'!$B$31,MAX(0,MIN('V06 Motor'!A172*30/'V06 Motor'!C172,28)-MAX(('V06 Motor'!A172-1)*30/'V06 Motor'!C172,27))*'V06 Curva'!$B$32,MAX(0,MIN('V06 Motor'!A172*30/'V06 Motor'!C172,29)-MAX(('V06 Motor'!A172-1)*30/'V06 Motor'!C172,28))*'V06 Curva'!$B$33,MAX(0,MIN('V06 Motor'!A172*30/'V06 Motor'!C172,30)-MAX(('V06 Motor'!A172-1)*30/'V06 Motor'!C172,29))*'V06 Curva'!$B$34),0)</f>
        <v>0.0</v>
      </c>
      <c r="O172" s="2">
        <f>SUMPRODUCT(--(('V06 Unidades'!$I$5:$I$98+'V06 Controlos'!$B$37)='V06 Motor'!A172),ROUND('V06 Unidades'!$H$5:$H$98*0.05,2)+ROUND('V06 Unidades'!$H$5:$H$98*0.2,2))+SUMPRODUCT(--(IF('V06 Controlos'!$B$38&gt;0,IF(('V06 Unidades'!$L$5:$L$98+'V06 Controlos'!$B$37)&lt;'V06 Motor'!C172,'V06 Motor'!C172,('V06 Unidades'!$L$5:$L$98+'V06 Controlos'!$B$37)),('V06 Unidades'!$L$5:$L$98+'V06 Controlos'!$B$37))='V06 Motor'!A172),'V06 Unidades'!$H$5:$H$98-ROUND('V06 Unidades'!$H$5:$H$98*0.05,2)-ROUND('V06 Unidades'!$H$5:$H$98*0.2,2)-ROUND('V06 Unidades'!$H$5:$H$98*0.55,2))+SUMPRODUCT(--(IF(INT((IF('V06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Controlos'!$B$37)-1)/6),0)&gt;0),--('V06 Motor'!A172&gt;('V06 Unidades'!$I$5:$I$98+'V06 Controlos'!$B$37)),--('V06 Motor'!A172&lt;IF('V06 Controlos'!$B$38&gt;0,IF(('V06 Unidades'!$L$5:$L$98+'V06 Controlos'!$B$37)&lt;'V06 Motor'!C172,'V06 Motor'!C172,('V06 Unidades'!$L$5:$L$98+'V06 Controlos'!$B$37)),('V06 Unidades'!$L$5:$L$98+'V06 Controlos'!$B$37))),--(MOD('V06 Motor'!A172-('V06 Unidades'!$I$5:$I$98+'V06 Controlos'!$B$37),6)=0),--(('V06 Motor'!A172-('V06 Unidades'!$I$5:$I$98+'V06 Controlos'!$B$37))/6&lt;=IF(INT((IF('V06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Controlos'!$B$37)-1)/6),0)),IF('V06 Motor'!A172=('V06 Unidades'!$I$5:$I$98+'V06 Controlos'!$B$37)+6*IF(INT((IF('V06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Controlos'!$B$37)-1)/6),0)&gt;0,IF(INT((IF('V06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Controlos'!$B$37)-1)/6),0),1),2)*(IF(INT((IF('V06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Controlos'!$B$37)-1)/6),0)&gt;0,IF(INT((IF('V06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Controlos'!$B$37)-1)/6)&gt;0,INT((IF('V06 Controlos'!$B$38&gt;0,IF(('V06 Unidades'!$L$5:$L$98+'V06 Controlos'!$B$37)&lt;'V06 Motor'!C172,'V06 Motor'!C172,('V06 Unidades'!$L$5:$L$98+'V06 Controlos'!$B$37)),('V06 Unidades'!$L$5:$L$98+'V06 Controlos'!$B$37))-('V06 Unidades'!$I$5:$I$98+'V06 Controlos'!$B$37)-1)/6),0),1),2)))</f>
        <v>0.0</v>
      </c>
      <c r="P172" s="2">
        <f>SUM('V06 Calend 01'!FX5:FX98)</f>
        <v>0.0</v>
      </c>
    </row>
    <row r="173" spans="1:16">
      <c r="A173">
        <v>169</v>
      </c>
      <c r="C173">
        <v>30</v>
      </c>
      <c r="G173" s="2">
        <f>IF('V06 Motor'!A173&lt;='V06 Motor'!C173,SUMPRODUCT('V06 Curva'!$B$5:$B$34,IF((IF('V06 Motor'!A173*30/'V06 Motor'!C173&lt;'V06 Curva'!$A$5:$A$34,'V06 Motor'!A173*30/'V06 Motor'!C173,'V06 Curva'!$A$5:$A$34)-IF(('V06 Motor'!A173-1)*30/'V06 Motor'!C173&gt;'V06 Curva'!$A$5:$A$34-1,('V06 Motor'!A173-1)*30/'V06 Motor'!C173,'V06 Curva'!$A$5:$A$34-1))&gt;0,(IF('V06 Motor'!A173*30/'V06 Motor'!C173&lt;'V06 Curva'!$A$5:$A$34,'V06 Motor'!A173*30/'V06 Motor'!C173,'V06 Curva'!$A$5:$A$34)-IF(('V06 Motor'!A173-1)*30/'V06 Motor'!C173&gt;'V06 Curva'!$A$5:$A$34-1,('V06 Motor'!A173-1)*30/'V06 Motor'!C173,'V06 Curva'!$A$5:$A$34-1)),0)),0)</f>
        <v>0.0</v>
      </c>
      <c r="H173" s="2">
        <f>IF('V06 Motor'!A173&lt;='V06 Motor'!C173,SUM(MAX(0,MIN('V06 Motor'!A173*30/'V06 Motor'!C173,1)-MAX(('V06 Motor'!A173-1)*30/'V06 Motor'!C173,0))*'V06 Curva'!$B$5,MAX(0,MIN('V06 Motor'!A173*30/'V06 Motor'!C173,2)-MAX(('V06 Motor'!A173-1)*30/'V06 Motor'!C173,1))*'V06 Curva'!$B$6,MAX(0,MIN('V06 Motor'!A173*30/'V06 Motor'!C173,3)-MAX(('V06 Motor'!A173-1)*30/'V06 Motor'!C173,2))*'V06 Curva'!$B$7,MAX(0,MIN('V06 Motor'!A173*30/'V06 Motor'!C173,4)-MAX(('V06 Motor'!A173-1)*30/'V06 Motor'!C173,3))*'V06 Curva'!$B$8,MAX(0,MIN('V06 Motor'!A173*30/'V06 Motor'!C173,5)-MAX(('V06 Motor'!A173-1)*30/'V06 Motor'!C173,4))*'V06 Curva'!$B$9,MAX(0,MIN('V06 Motor'!A173*30/'V06 Motor'!C173,6)-MAX(('V06 Motor'!A173-1)*30/'V06 Motor'!C173,5))*'V06 Curva'!$B$10,MAX(0,MIN('V06 Motor'!A173*30/'V06 Motor'!C173,7)-MAX(('V06 Motor'!A173-1)*30/'V06 Motor'!C173,6))*'V06 Curva'!$B$11,MAX(0,MIN('V06 Motor'!A173*30/'V06 Motor'!C173,8)-MAX(('V06 Motor'!A173-1)*30/'V06 Motor'!C173,7))*'V06 Curva'!$B$12,MAX(0,MIN('V06 Motor'!A173*30/'V06 Motor'!C173,9)-MAX(('V06 Motor'!A173-1)*30/'V06 Motor'!C173,8))*'V06 Curva'!$B$13,MAX(0,MIN('V06 Motor'!A173*30/'V06 Motor'!C173,10)-MAX(('V06 Motor'!A173-1)*30/'V06 Motor'!C173,9))*'V06 Curva'!$B$14,MAX(0,MIN('V06 Motor'!A173*30/'V06 Motor'!C173,11)-MAX(('V06 Motor'!A173-1)*30/'V06 Motor'!C173,10))*'V06 Curva'!$B$15,MAX(0,MIN('V06 Motor'!A173*30/'V06 Motor'!C173,12)-MAX(('V06 Motor'!A173-1)*30/'V06 Motor'!C173,11))*'V06 Curva'!$B$16,MAX(0,MIN('V06 Motor'!A173*30/'V06 Motor'!C173,13)-MAX(('V06 Motor'!A173-1)*30/'V06 Motor'!C173,12))*'V06 Curva'!$B$17,MAX(0,MIN('V06 Motor'!A173*30/'V06 Motor'!C173,14)-MAX(('V06 Motor'!A173-1)*30/'V06 Motor'!C173,13))*'V06 Curva'!$B$18,MAX(0,MIN('V06 Motor'!A173*30/'V06 Motor'!C173,15)-MAX(('V06 Motor'!A173-1)*30/'V06 Motor'!C173,14))*'V06 Curva'!$B$19,MAX(0,MIN('V06 Motor'!A173*30/'V06 Motor'!C173,16)-MAX(('V06 Motor'!A173-1)*30/'V06 Motor'!C173,15))*'V06 Curva'!$B$20,MAX(0,MIN('V06 Motor'!A173*30/'V06 Motor'!C173,17)-MAX(('V06 Motor'!A173-1)*30/'V06 Motor'!C173,16))*'V06 Curva'!$B$21,MAX(0,MIN('V06 Motor'!A173*30/'V06 Motor'!C173,18)-MAX(('V06 Motor'!A173-1)*30/'V06 Motor'!C173,17))*'V06 Curva'!$B$22,MAX(0,MIN('V06 Motor'!A173*30/'V06 Motor'!C173,19)-MAX(('V06 Motor'!A173-1)*30/'V06 Motor'!C173,18))*'V06 Curva'!$B$23,MAX(0,MIN('V06 Motor'!A173*30/'V06 Motor'!C173,20)-MAX(('V06 Motor'!A173-1)*30/'V06 Motor'!C173,19))*'V06 Curva'!$B$24,MAX(0,MIN('V06 Motor'!A173*30/'V06 Motor'!C173,21)-MAX(('V06 Motor'!A173-1)*30/'V06 Motor'!C173,20))*'V06 Curva'!$B$25,MAX(0,MIN('V06 Motor'!A173*30/'V06 Motor'!C173,22)-MAX(('V06 Motor'!A173-1)*30/'V06 Motor'!C173,21))*'V06 Curva'!$B$26,MAX(0,MIN('V06 Motor'!A173*30/'V06 Motor'!C173,23)-MAX(('V06 Motor'!A173-1)*30/'V06 Motor'!C173,22))*'V06 Curva'!$B$27,MAX(0,MIN('V06 Motor'!A173*30/'V06 Motor'!C173,24)-MAX(('V06 Motor'!A173-1)*30/'V06 Motor'!C173,23))*'V06 Curva'!$B$28,MAX(0,MIN('V06 Motor'!A173*30/'V06 Motor'!C173,25)-MAX(('V06 Motor'!A173-1)*30/'V06 Motor'!C173,24))*'V06 Curva'!$B$29,MAX(0,MIN('V06 Motor'!A173*30/'V06 Motor'!C173,26)-MAX(('V06 Motor'!A173-1)*30/'V06 Motor'!C173,25))*'V06 Curva'!$B$30,MAX(0,MIN('V06 Motor'!A173*30/'V06 Motor'!C173,27)-MAX(('V06 Motor'!A173-1)*30/'V06 Motor'!C173,26))*'V06 Curva'!$B$31,MAX(0,MIN('V06 Motor'!A173*30/'V06 Motor'!C173,28)-MAX(('V06 Motor'!A173-1)*30/'V06 Motor'!C173,27))*'V06 Curva'!$B$32,MAX(0,MIN('V06 Motor'!A173*30/'V06 Motor'!C173,29)-MAX(('V06 Motor'!A173-1)*30/'V06 Motor'!C173,28))*'V06 Curva'!$B$33,MAX(0,MIN('V06 Motor'!A173*30/'V06 Motor'!C173,30)-MAX(('V06 Motor'!A173-1)*30/'V06 Motor'!C173,29))*'V06 Curva'!$B$34),0)</f>
        <v>0.0</v>
      </c>
      <c r="O173" s="2">
        <f>SUMPRODUCT(--(('V06 Unidades'!$I$5:$I$98+'V06 Controlos'!$B$37)='V06 Motor'!A173),ROUND('V06 Unidades'!$H$5:$H$98*0.05,2)+ROUND('V06 Unidades'!$H$5:$H$98*0.2,2))+SUMPRODUCT(--(IF('V06 Controlos'!$B$38&gt;0,IF(('V06 Unidades'!$L$5:$L$98+'V06 Controlos'!$B$37)&lt;'V06 Motor'!C173,'V06 Motor'!C173,('V06 Unidades'!$L$5:$L$98+'V06 Controlos'!$B$37)),('V06 Unidades'!$L$5:$L$98+'V06 Controlos'!$B$37))='V06 Motor'!A173),'V06 Unidades'!$H$5:$H$98-ROUND('V06 Unidades'!$H$5:$H$98*0.05,2)-ROUND('V06 Unidades'!$H$5:$H$98*0.2,2)-ROUND('V06 Unidades'!$H$5:$H$98*0.55,2))+SUMPRODUCT(--(IF(INT((IF('V06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Controlos'!$B$37)-1)/6),0)&gt;0),--('V06 Motor'!A173&gt;('V06 Unidades'!$I$5:$I$98+'V06 Controlos'!$B$37)),--('V06 Motor'!A173&lt;IF('V06 Controlos'!$B$38&gt;0,IF(('V06 Unidades'!$L$5:$L$98+'V06 Controlos'!$B$37)&lt;'V06 Motor'!C173,'V06 Motor'!C173,('V06 Unidades'!$L$5:$L$98+'V06 Controlos'!$B$37)),('V06 Unidades'!$L$5:$L$98+'V06 Controlos'!$B$37))),--(MOD('V06 Motor'!A173-('V06 Unidades'!$I$5:$I$98+'V06 Controlos'!$B$37),6)=0),--(('V06 Motor'!A173-('V06 Unidades'!$I$5:$I$98+'V06 Controlos'!$B$37))/6&lt;=IF(INT((IF('V06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Controlos'!$B$37)-1)/6),0)),IF('V06 Motor'!A173=('V06 Unidades'!$I$5:$I$98+'V06 Controlos'!$B$37)+6*IF(INT((IF('V06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Controlos'!$B$37)-1)/6),0)&gt;0,IF(INT((IF('V06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Controlos'!$B$37)-1)/6),0),1),2)*(IF(INT((IF('V06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Controlos'!$B$37)-1)/6),0)&gt;0,IF(INT((IF('V06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Controlos'!$B$37)-1)/6)&gt;0,INT((IF('V06 Controlos'!$B$38&gt;0,IF(('V06 Unidades'!$L$5:$L$98+'V06 Controlos'!$B$37)&lt;'V06 Motor'!C173,'V06 Motor'!C173,('V06 Unidades'!$L$5:$L$98+'V06 Controlos'!$B$37)),('V06 Unidades'!$L$5:$L$98+'V06 Controlos'!$B$37))-('V06 Unidades'!$I$5:$I$98+'V06 Controlos'!$B$37)-1)/6),0),1),2)))</f>
        <v>0.0</v>
      </c>
      <c r="P173" s="2">
        <f>SUM('V06 Calend 01'!FY5:FY98)</f>
        <v>0.0</v>
      </c>
    </row>
    <row r="174" spans="1:16">
      <c r="A174">
        <v>170</v>
      </c>
      <c r="C174">
        <v>30</v>
      </c>
      <c r="G174" s="2">
        <f>IF('V06 Motor'!A174&lt;='V06 Motor'!C174,SUMPRODUCT('V06 Curva'!$B$5:$B$34,IF((IF('V06 Motor'!A174*30/'V06 Motor'!C174&lt;'V06 Curva'!$A$5:$A$34,'V06 Motor'!A174*30/'V06 Motor'!C174,'V06 Curva'!$A$5:$A$34)-IF(('V06 Motor'!A174-1)*30/'V06 Motor'!C174&gt;'V06 Curva'!$A$5:$A$34-1,('V06 Motor'!A174-1)*30/'V06 Motor'!C174,'V06 Curva'!$A$5:$A$34-1))&gt;0,(IF('V06 Motor'!A174*30/'V06 Motor'!C174&lt;'V06 Curva'!$A$5:$A$34,'V06 Motor'!A174*30/'V06 Motor'!C174,'V06 Curva'!$A$5:$A$34)-IF(('V06 Motor'!A174-1)*30/'V06 Motor'!C174&gt;'V06 Curva'!$A$5:$A$34-1,('V06 Motor'!A174-1)*30/'V06 Motor'!C174,'V06 Curva'!$A$5:$A$34-1)),0)),0)</f>
        <v>0.0</v>
      </c>
      <c r="H174" s="2">
        <f>IF('V06 Motor'!A174&lt;='V06 Motor'!C174,SUM(MAX(0,MIN('V06 Motor'!A174*30/'V06 Motor'!C174,1)-MAX(('V06 Motor'!A174-1)*30/'V06 Motor'!C174,0))*'V06 Curva'!$B$5,MAX(0,MIN('V06 Motor'!A174*30/'V06 Motor'!C174,2)-MAX(('V06 Motor'!A174-1)*30/'V06 Motor'!C174,1))*'V06 Curva'!$B$6,MAX(0,MIN('V06 Motor'!A174*30/'V06 Motor'!C174,3)-MAX(('V06 Motor'!A174-1)*30/'V06 Motor'!C174,2))*'V06 Curva'!$B$7,MAX(0,MIN('V06 Motor'!A174*30/'V06 Motor'!C174,4)-MAX(('V06 Motor'!A174-1)*30/'V06 Motor'!C174,3))*'V06 Curva'!$B$8,MAX(0,MIN('V06 Motor'!A174*30/'V06 Motor'!C174,5)-MAX(('V06 Motor'!A174-1)*30/'V06 Motor'!C174,4))*'V06 Curva'!$B$9,MAX(0,MIN('V06 Motor'!A174*30/'V06 Motor'!C174,6)-MAX(('V06 Motor'!A174-1)*30/'V06 Motor'!C174,5))*'V06 Curva'!$B$10,MAX(0,MIN('V06 Motor'!A174*30/'V06 Motor'!C174,7)-MAX(('V06 Motor'!A174-1)*30/'V06 Motor'!C174,6))*'V06 Curva'!$B$11,MAX(0,MIN('V06 Motor'!A174*30/'V06 Motor'!C174,8)-MAX(('V06 Motor'!A174-1)*30/'V06 Motor'!C174,7))*'V06 Curva'!$B$12,MAX(0,MIN('V06 Motor'!A174*30/'V06 Motor'!C174,9)-MAX(('V06 Motor'!A174-1)*30/'V06 Motor'!C174,8))*'V06 Curva'!$B$13,MAX(0,MIN('V06 Motor'!A174*30/'V06 Motor'!C174,10)-MAX(('V06 Motor'!A174-1)*30/'V06 Motor'!C174,9))*'V06 Curva'!$B$14,MAX(0,MIN('V06 Motor'!A174*30/'V06 Motor'!C174,11)-MAX(('V06 Motor'!A174-1)*30/'V06 Motor'!C174,10))*'V06 Curva'!$B$15,MAX(0,MIN('V06 Motor'!A174*30/'V06 Motor'!C174,12)-MAX(('V06 Motor'!A174-1)*30/'V06 Motor'!C174,11))*'V06 Curva'!$B$16,MAX(0,MIN('V06 Motor'!A174*30/'V06 Motor'!C174,13)-MAX(('V06 Motor'!A174-1)*30/'V06 Motor'!C174,12))*'V06 Curva'!$B$17,MAX(0,MIN('V06 Motor'!A174*30/'V06 Motor'!C174,14)-MAX(('V06 Motor'!A174-1)*30/'V06 Motor'!C174,13))*'V06 Curva'!$B$18,MAX(0,MIN('V06 Motor'!A174*30/'V06 Motor'!C174,15)-MAX(('V06 Motor'!A174-1)*30/'V06 Motor'!C174,14))*'V06 Curva'!$B$19,MAX(0,MIN('V06 Motor'!A174*30/'V06 Motor'!C174,16)-MAX(('V06 Motor'!A174-1)*30/'V06 Motor'!C174,15))*'V06 Curva'!$B$20,MAX(0,MIN('V06 Motor'!A174*30/'V06 Motor'!C174,17)-MAX(('V06 Motor'!A174-1)*30/'V06 Motor'!C174,16))*'V06 Curva'!$B$21,MAX(0,MIN('V06 Motor'!A174*30/'V06 Motor'!C174,18)-MAX(('V06 Motor'!A174-1)*30/'V06 Motor'!C174,17))*'V06 Curva'!$B$22,MAX(0,MIN('V06 Motor'!A174*30/'V06 Motor'!C174,19)-MAX(('V06 Motor'!A174-1)*30/'V06 Motor'!C174,18))*'V06 Curva'!$B$23,MAX(0,MIN('V06 Motor'!A174*30/'V06 Motor'!C174,20)-MAX(('V06 Motor'!A174-1)*30/'V06 Motor'!C174,19))*'V06 Curva'!$B$24,MAX(0,MIN('V06 Motor'!A174*30/'V06 Motor'!C174,21)-MAX(('V06 Motor'!A174-1)*30/'V06 Motor'!C174,20))*'V06 Curva'!$B$25,MAX(0,MIN('V06 Motor'!A174*30/'V06 Motor'!C174,22)-MAX(('V06 Motor'!A174-1)*30/'V06 Motor'!C174,21))*'V06 Curva'!$B$26,MAX(0,MIN('V06 Motor'!A174*30/'V06 Motor'!C174,23)-MAX(('V06 Motor'!A174-1)*30/'V06 Motor'!C174,22))*'V06 Curva'!$B$27,MAX(0,MIN('V06 Motor'!A174*30/'V06 Motor'!C174,24)-MAX(('V06 Motor'!A174-1)*30/'V06 Motor'!C174,23))*'V06 Curva'!$B$28,MAX(0,MIN('V06 Motor'!A174*30/'V06 Motor'!C174,25)-MAX(('V06 Motor'!A174-1)*30/'V06 Motor'!C174,24))*'V06 Curva'!$B$29,MAX(0,MIN('V06 Motor'!A174*30/'V06 Motor'!C174,26)-MAX(('V06 Motor'!A174-1)*30/'V06 Motor'!C174,25))*'V06 Curva'!$B$30,MAX(0,MIN('V06 Motor'!A174*30/'V06 Motor'!C174,27)-MAX(('V06 Motor'!A174-1)*30/'V06 Motor'!C174,26))*'V06 Curva'!$B$31,MAX(0,MIN('V06 Motor'!A174*30/'V06 Motor'!C174,28)-MAX(('V06 Motor'!A174-1)*30/'V06 Motor'!C174,27))*'V06 Curva'!$B$32,MAX(0,MIN('V06 Motor'!A174*30/'V06 Motor'!C174,29)-MAX(('V06 Motor'!A174-1)*30/'V06 Motor'!C174,28))*'V06 Curva'!$B$33,MAX(0,MIN('V06 Motor'!A174*30/'V06 Motor'!C174,30)-MAX(('V06 Motor'!A174-1)*30/'V06 Motor'!C174,29))*'V06 Curva'!$B$34),0)</f>
        <v>0.0</v>
      </c>
      <c r="O174" s="2">
        <f>SUMPRODUCT(--(('V06 Unidades'!$I$5:$I$98+'V06 Controlos'!$B$37)='V06 Motor'!A174),ROUND('V06 Unidades'!$H$5:$H$98*0.05,2)+ROUND('V06 Unidades'!$H$5:$H$98*0.2,2))+SUMPRODUCT(--(IF('V06 Controlos'!$B$38&gt;0,IF(('V06 Unidades'!$L$5:$L$98+'V06 Controlos'!$B$37)&lt;'V06 Motor'!C174,'V06 Motor'!C174,('V06 Unidades'!$L$5:$L$98+'V06 Controlos'!$B$37)),('V06 Unidades'!$L$5:$L$98+'V06 Controlos'!$B$37))='V06 Motor'!A174),'V06 Unidades'!$H$5:$H$98-ROUND('V06 Unidades'!$H$5:$H$98*0.05,2)-ROUND('V06 Unidades'!$H$5:$H$98*0.2,2)-ROUND('V06 Unidades'!$H$5:$H$98*0.55,2))+SUMPRODUCT(--(IF(INT((IF('V06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Controlos'!$B$37)-1)/6),0)&gt;0),--('V06 Motor'!A174&gt;('V06 Unidades'!$I$5:$I$98+'V06 Controlos'!$B$37)),--('V06 Motor'!A174&lt;IF('V06 Controlos'!$B$38&gt;0,IF(('V06 Unidades'!$L$5:$L$98+'V06 Controlos'!$B$37)&lt;'V06 Motor'!C174,'V06 Motor'!C174,('V06 Unidades'!$L$5:$L$98+'V06 Controlos'!$B$37)),('V06 Unidades'!$L$5:$L$98+'V06 Controlos'!$B$37))),--(MOD('V06 Motor'!A174-('V06 Unidades'!$I$5:$I$98+'V06 Controlos'!$B$37),6)=0),--(('V06 Motor'!A174-('V06 Unidades'!$I$5:$I$98+'V06 Controlos'!$B$37))/6&lt;=IF(INT((IF('V06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Controlos'!$B$37)-1)/6),0)),IF('V06 Motor'!A174=('V06 Unidades'!$I$5:$I$98+'V06 Controlos'!$B$37)+6*IF(INT((IF('V06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Controlos'!$B$37)-1)/6),0)&gt;0,IF(INT((IF('V06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Controlos'!$B$37)-1)/6),0),1),2)*(IF(INT((IF('V06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Controlos'!$B$37)-1)/6),0)&gt;0,IF(INT((IF('V06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Controlos'!$B$37)-1)/6)&gt;0,INT((IF('V06 Controlos'!$B$38&gt;0,IF(('V06 Unidades'!$L$5:$L$98+'V06 Controlos'!$B$37)&lt;'V06 Motor'!C174,'V06 Motor'!C174,('V06 Unidades'!$L$5:$L$98+'V06 Controlos'!$B$37)),('V06 Unidades'!$L$5:$L$98+'V06 Controlos'!$B$37))-('V06 Unidades'!$I$5:$I$98+'V06 Controlos'!$B$37)-1)/6),0),1),2)))</f>
        <v>0.0</v>
      </c>
      <c r="P174" s="2">
        <f>SUM('V06 Calend 01'!FZ5:FZ98)</f>
        <v>0.0</v>
      </c>
    </row>
    <row r="175" spans="1:16">
      <c r="A175">
        <v>171</v>
      </c>
      <c r="C175">
        <v>30</v>
      </c>
      <c r="G175" s="2">
        <f>IF('V06 Motor'!A175&lt;='V06 Motor'!C175,SUMPRODUCT('V06 Curva'!$B$5:$B$34,IF((IF('V06 Motor'!A175*30/'V06 Motor'!C175&lt;'V06 Curva'!$A$5:$A$34,'V06 Motor'!A175*30/'V06 Motor'!C175,'V06 Curva'!$A$5:$A$34)-IF(('V06 Motor'!A175-1)*30/'V06 Motor'!C175&gt;'V06 Curva'!$A$5:$A$34-1,('V06 Motor'!A175-1)*30/'V06 Motor'!C175,'V06 Curva'!$A$5:$A$34-1))&gt;0,(IF('V06 Motor'!A175*30/'V06 Motor'!C175&lt;'V06 Curva'!$A$5:$A$34,'V06 Motor'!A175*30/'V06 Motor'!C175,'V06 Curva'!$A$5:$A$34)-IF(('V06 Motor'!A175-1)*30/'V06 Motor'!C175&gt;'V06 Curva'!$A$5:$A$34-1,('V06 Motor'!A175-1)*30/'V06 Motor'!C175,'V06 Curva'!$A$5:$A$34-1)),0)),0)</f>
        <v>0.0</v>
      </c>
      <c r="H175" s="2">
        <f>IF('V06 Motor'!A175&lt;='V06 Motor'!C175,SUM(MAX(0,MIN('V06 Motor'!A175*30/'V06 Motor'!C175,1)-MAX(('V06 Motor'!A175-1)*30/'V06 Motor'!C175,0))*'V06 Curva'!$B$5,MAX(0,MIN('V06 Motor'!A175*30/'V06 Motor'!C175,2)-MAX(('V06 Motor'!A175-1)*30/'V06 Motor'!C175,1))*'V06 Curva'!$B$6,MAX(0,MIN('V06 Motor'!A175*30/'V06 Motor'!C175,3)-MAX(('V06 Motor'!A175-1)*30/'V06 Motor'!C175,2))*'V06 Curva'!$B$7,MAX(0,MIN('V06 Motor'!A175*30/'V06 Motor'!C175,4)-MAX(('V06 Motor'!A175-1)*30/'V06 Motor'!C175,3))*'V06 Curva'!$B$8,MAX(0,MIN('V06 Motor'!A175*30/'V06 Motor'!C175,5)-MAX(('V06 Motor'!A175-1)*30/'V06 Motor'!C175,4))*'V06 Curva'!$B$9,MAX(0,MIN('V06 Motor'!A175*30/'V06 Motor'!C175,6)-MAX(('V06 Motor'!A175-1)*30/'V06 Motor'!C175,5))*'V06 Curva'!$B$10,MAX(0,MIN('V06 Motor'!A175*30/'V06 Motor'!C175,7)-MAX(('V06 Motor'!A175-1)*30/'V06 Motor'!C175,6))*'V06 Curva'!$B$11,MAX(0,MIN('V06 Motor'!A175*30/'V06 Motor'!C175,8)-MAX(('V06 Motor'!A175-1)*30/'V06 Motor'!C175,7))*'V06 Curva'!$B$12,MAX(0,MIN('V06 Motor'!A175*30/'V06 Motor'!C175,9)-MAX(('V06 Motor'!A175-1)*30/'V06 Motor'!C175,8))*'V06 Curva'!$B$13,MAX(0,MIN('V06 Motor'!A175*30/'V06 Motor'!C175,10)-MAX(('V06 Motor'!A175-1)*30/'V06 Motor'!C175,9))*'V06 Curva'!$B$14,MAX(0,MIN('V06 Motor'!A175*30/'V06 Motor'!C175,11)-MAX(('V06 Motor'!A175-1)*30/'V06 Motor'!C175,10))*'V06 Curva'!$B$15,MAX(0,MIN('V06 Motor'!A175*30/'V06 Motor'!C175,12)-MAX(('V06 Motor'!A175-1)*30/'V06 Motor'!C175,11))*'V06 Curva'!$B$16,MAX(0,MIN('V06 Motor'!A175*30/'V06 Motor'!C175,13)-MAX(('V06 Motor'!A175-1)*30/'V06 Motor'!C175,12))*'V06 Curva'!$B$17,MAX(0,MIN('V06 Motor'!A175*30/'V06 Motor'!C175,14)-MAX(('V06 Motor'!A175-1)*30/'V06 Motor'!C175,13))*'V06 Curva'!$B$18,MAX(0,MIN('V06 Motor'!A175*30/'V06 Motor'!C175,15)-MAX(('V06 Motor'!A175-1)*30/'V06 Motor'!C175,14))*'V06 Curva'!$B$19,MAX(0,MIN('V06 Motor'!A175*30/'V06 Motor'!C175,16)-MAX(('V06 Motor'!A175-1)*30/'V06 Motor'!C175,15))*'V06 Curva'!$B$20,MAX(0,MIN('V06 Motor'!A175*30/'V06 Motor'!C175,17)-MAX(('V06 Motor'!A175-1)*30/'V06 Motor'!C175,16))*'V06 Curva'!$B$21,MAX(0,MIN('V06 Motor'!A175*30/'V06 Motor'!C175,18)-MAX(('V06 Motor'!A175-1)*30/'V06 Motor'!C175,17))*'V06 Curva'!$B$22,MAX(0,MIN('V06 Motor'!A175*30/'V06 Motor'!C175,19)-MAX(('V06 Motor'!A175-1)*30/'V06 Motor'!C175,18))*'V06 Curva'!$B$23,MAX(0,MIN('V06 Motor'!A175*30/'V06 Motor'!C175,20)-MAX(('V06 Motor'!A175-1)*30/'V06 Motor'!C175,19))*'V06 Curva'!$B$24,MAX(0,MIN('V06 Motor'!A175*30/'V06 Motor'!C175,21)-MAX(('V06 Motor'!A175-1)*30/'V06 Motor'!C175,20))*'V06 Curva'!$B$25,MAX(0,MIN('V06 Motor'!A175*30/'V06 Motor'!C175,22)-MAX(('V06 Motor'!A175-1)*30/'V06 Motor'!C175,21))*'V06 Curva'!$B$26,MAX(0,MIN('V06 Motor'!A175*30/'V06 Motor'!C175,23)-MAX(('V06 Motor'!A175-1)*30/'V06 Motor'!C175,22))*'V06 Curva'!$B$27,MAX(0,MIN('V06 Motor'!A175*30/'V06 Motor'!C175,24)-MAX(('V06 Motor'!A175-1)*30/'V06 Motor'!C175,23))*'V06 Curva'!$B$28,MAX(0,MIN('V06 Motor'!A175*30/'V06 Motor'!C175,25)-MAX(('V06 Motor'!A175-1)*30/'V06 Motor'!C175,24))*'V06 Curva'!$B$29,MAX(0,MIN('V06 Motor'!A175*30/'V06 Motor'!C175,26)-MAX(('V06 Motor'!A175-1)*30/'V06 Motor'!C175,25))*'V06 Curva'!$B$30,MAX(0,MIN('V06 Motor'!A175*30/'V06 Motor'!C175,27)-MAX(('V06 Motor'!A175-1)*30/'V06 Motor'!C175,26))*'V06 Curva'!$B$31,MAX(0,MIN('V06 Motor'!A175*30/'V06 Motor'!C175,28)-MAX(('V06 Motor'!A175-1)*30/'V06 Motor'!C175,27))*'V06 Curva'!$B$32,MAX(0,MIN('V06 Motor'!A175*30/'V06 Motor'!C175,29)-MAX(('V06 Motor'!A175-1)*30/'V06 Motor'!C175,28))*'V06 Curva'!$B$33,MAX(0,MIN('V06 Motor'!A175*30/'V06 Motor'!C175,30)-MAX(('V06 Motor'!A175-1)*30/'V06 Motor'!C175,29))*'V06 Curva'!$B$34),0)</f>
        <v>0.0</v>
      </c>
      <c r="O175" s="2">
        <f>SUMPRODUCT(--(('V06 Unidades'!$I$5:$I$98+'V06 Controlos'!$B$37)='V06 Motor'!A175),ROUND('V06 Unidades'!$H$5:$H$98*0.05,2)+ROUND('V06 Unidades'!$H$5:$H$98*0.2,2))+SUMPRODUCT(--(IF('V06 Controlos'!$B$38&gt;0,IF(('V06 Unidades'!$L$5:$L$98+'V06 Controlos'!$B$37)&lt;'V06 Motor'!C175,'V06 Motor'!C175,('V06 Unidades'!$L$5:$L$98+'V06 Controlos'!$B$37)),('V06 Unidades'!$L$5:$L$98+'V06 Controlos'!$B$37))='V06 Motor'!A175),'V06 Unidades'!$H$5:$H$98-ROUND('V06 Unidades'!$H$5:$H$98*0.05,2)-ROUND('V06 Unidades'!$H$5:$H$98*0.2,2)-ROUND('V06 Unidades'!$H$5:$H$98*0.55,2))+SUMPRODUCT(--(IF(INT((IF('V06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Controlos'!$B$37)-1)/6),0)&gt;0),--('V06 Motor'!A175&gt;('V06 Unidades'!$I$5:$I$98+'V06 Controlos'!$B$37)),--('V06 Motor'!A175&lt;IF('V06 Controlos'!$B$38&gt;0,IF(('V06 Unidades'!$L$5:$L$98+'V06 Controlos'!$B$37)&lt;'V06 Motor'!C175,'V06 Motor'!C175,('V06 Unidades'!$L$5:$L$98+'V06 Controlos'!$B$37)),('V06 Unidades'!$L$5:$L$98+'V06 Controlos'!$B$37))),--(MOD('V06 Motor'!A175-('V06 Unidades'!$I$5:$I$98+'V06 Controlos'!$B$37),6)=0),--(('V06 Motor'!A175-('V06 Unidades'!$I$5:$I$98+'V06 Controlos'!$B$37))/6&lt;=IF(INT((IF('V06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Controlos'!$B$37)-1)/6),0)),IF('V06 Motor'!A175=('V06 Unidades'!$I$5:$I$98+'V06 Controlos'!$B$37)+6*IF(INT((IF('V06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Controlos'!$B$37)-1)/6),0)&gt;0,IF(INT((IF('V06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Controlos'!$B$37)-1)/6),0),1),2)*(IF(INT((IF('V06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Controlos'!$B$37)-1)/6),0)&gt;0,IF(INT((IF('V06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Controlos'!$B$37)-1)/6)&gt;0,INT((IF('V06 Controlos'!$B$38&gt;0,IF(('V06 Unidades'!$L$5:$L$98+'V06 Controlos'!$B$37)&lt;'V06 Motor'!C175,'V06 Motor'!C175,('V06 Unidades'!$L$5:$L$98+'V06 Controlos'!$B$37)),('V06 Unidades'!$L$5:$L$98+'V06 Controlos'!$B$37))-('V06 Unidades'!$I$5:$I$98+'V06 Controlos'!$B$37)-1)/6),0),1),2)))</f>
        <v>0.0</v>
      </c>
      <c r="P175" s="2">
        <f>SUM('V06 Calend 01'!GA5:GA98)</f>
        <v>0.0</v>
      </c>
    </row>
    <row r="176" spans="1:16">
      <c r="A176">
        <v>172</v>
      </c>
      <c r="C176">
        <v>30</v>
      </c>
      <c r="G176" s="2">
        <f>IF('V06 Motor'!A176&lt;='V06 Motor'!C176,SUMPRODUCT('V06 Curva'!$B$5:$B$34,IF((IF('V06 Motor'!A176*30/'V06 Motor'!C176&lt;'V06 Curva'!$A$5:$A$34,'V06 Motor'!A176*30/'V06 Motor'!C176,'V06 Curva'!$A$5:$A$34)-IF(('V06 Motor'!A176-1)*30/'V06 Motor'!C176&gt;'V06 Curva'!$A$5:$A$34-1,('V06 Motor'!A176-1)*30/'V06 Motor'!C176,'V06 Curva'!$A$5:$A$34-1))&gt;0,(IF('V06 Motor'!A176*30/'V06 Motor'!C176&lt;'V06 Curva'!$A$5:$A$34,'V06 Motor'!A176*30/'V06 Motor'!C176,'V06 Curva'!$A$5:$A$34)-IF(('V06 Motor'!A176-1)*30/'V06 Motor'!C176&gt;'V06 Curva'!$A$5:$A$34-1,('V06 Motor'!A176-1)*30/'V06 Motor'!C176,'V06 Curva'!$A$5:$A$34-1)),0)),0)</f>
        <v>0.0</v>
      </c>
      <c r="H176" s="2">
        <f>IF('V06 Motor'!A176&lt;='V06 Motor'!C176,SUM(MAX(0,MIN('V06 Motor'!A176*30/'V06 Motor'!C176,1)-MAX(('V06 Motor'!A176-1)*30/'V06 Motor'!C176,0))*'V06 Curva'!$B$5,MAX(0,MIN('V06 Motor'!A176*30/'V06 Motor'!C176,2)-MAX(('V06 Motor'!A176-1)*30/'V06 Motor'!C176,1))*'V06 Curva'!$B$6,MAX(0,MIN('V06 Motor'!A176*30/'V06 Motor'!C176,3)-MAX(('V06 Motor'!A176-1)*30/'V06 Motor'!C176,2))*'V06 Curva'!$B$7,MAX(0,MIN('V06 Motor'!A176*30/'V06 Motor'!C176,4)-MAX(('V06 Motor'!A176-1)*30/'V06 Motor'!C176,3))*'V06 Curva'!$B$8,MAX(0,MIN('V06 Motor'!A176*30/'V06 Motor'!C176,5)-MAX(('V06 Motor'!A176-1)*30/'V06 Motor'!C176,4))*'V06 Curva'!$B$9,MAX(0,MIN('V06 Motor'!A176*30/'V06 Motor'!C176,6)-MAX(('V06 Motor'!A176-1)*30/'V06 Motor'!C176,5))*'V06 Curva'!$B$10,MAX(0,MIN('V06 Motor'!A176*30/'V06 Motor'!C176,7)-MAX(('V06 Motor'!A176-1)*30/'V06 Motor'!C176,6))*'V06 Curva'!$B$11,MAX(0,MIN('V06 Motor'!A176*30/'V06 Motor'!C176,8)-MAX(('V06 Motor'!A176-1)*30/'V06 Motor'!C176,7))*'V06 Curva'!$B$12,MAX(0,MIN('V06 Motor'!A176*30/'V06 Motor'!C176,9)-MAX(('V06 Motor'!A176-1)*30/'V06 Motor'!C176,8))*'V06 Curva'!$B$13,MAX(0,MIN('V06 Motor'!A176*30/'V06 Motor'!C176,10)-MAX(('V06 Motor'!A176-1)*30/'V06 Motor'!C176,9))*'V06 Curva'!$B$14,MAX(0,MIN('V06 Motor'!A176*30/'V06 Motor'!C176,11)-MAX(('V06 Motor'!A176-1)*30/'V06 Motor'!C176,10))*'V06 Curva'!$B$15,MAX(0,MIN('V06 Motor'!A176*30/'V06 Motor'!C176,12)-MAX(('V06 Motor'!A176-1)*30/'V06 Motor'!C176,11))*'V06 Curva'!$B$16,MAX(0,MIN('V06 Motor'!A176*30/'V06 Motor'!C176,13)-MAX(('V06 Motor'!A176-1)*30/'V06 Motor'!C176,12))*'V06 Curva'!$B$17,MAX(0,MIN('V06 Motor'!A176*30/'V06 Motor'!C176,14)-MAX(('V06 Motor'!A176-1)*30/'V06 Motor'!C176,13))*'V06 Curva'!$B$18,MAX(0,MIN('V06 Motor'!A176*30/'V06 Motor'!C176,15)-MAX(('V06 Motor'!A176-1)*30/'V06 Motor'!C176,14))*'V06 Curva'!$B$19,MAX(0,MIN('V06 Motor'!A176*30/'V06 Motor'!C176,16)-MAX(('V06 Motor'!A176-1)*30/'V06 Motor'!C176,15))*'V06 Curva'!$B$20,MAX(0,MIN('V06 Motor'!A176*30/'V06 Motor'!C176,17)-MAX(('V06 Motor'!A176-1)*30/'V06 Motor'!C176,16))*'V06 Curva'!$B$21,MAX(0,MIN('V06 Motor'!A176*30/'V06 Motor'!C176,18)-MAX(('V06 Motor'!A176-1)*30/'V06 Motor'!C176,17))*'V06 Curva'!$B$22,MAX(0,MIN('V06 Motor'!A176*30/'V06 Motor'!C176,19)-MAX(('V06 Motor'!A176-1)*30/'V06 Motor'!C176,18))*'V06 Curva'!$B$23,MAX(0,MIN('V06 Motor'!A176*30/'V06 Motor'!C176,20)-MAX(('V06 Motor'!A176-1)*30/'V06 Motor'!C176,19))*'V06 Curva'!$B$24,MAX(0,MIN('V06 Motor'!A176*30/'V06 Motor'!C176,21)-MAX(('V06 Motor'!A176-1)*30/'V06 Motor'!C176,20))*'V06 Curva'!$B$25,MAX(0,MIN('V06 Motor'!A176*30/'V06 Motor'!C176,22)-MAX(('V06 Motor'!A176-1)*30/'V06 Motor'!C176,21))*'V06 Curva'!$B$26,MAX(0,MIN('V06 Motor'!A176*30/'V06 Motor'!C176,23)-MAX(('V06 Motor'!A176-1)*30/'V06 Motor'!C176,22))*'V06 Curva'!$B$27,MAX(0,MIN('V06 Motor'!A176*30/'V06 Motor'!C176,24)-MAX(('V06 Motor'!A176-1)*30/'V06 Motor'!C176,23))*'V06 Curva'!$B$28,MAX(0,MIN('V06 Motor'!A176*30/'V06 Motor'!C176,25)-MAX(('V06 Motor'!A176-1)*30/'V06 Motor'!C176,24))*'V06 Curva'!$B$29,MAX(0,MIN('V06 Motor'!A176*30/'V06 Motor'!C176,26)-MAX(('V06 Motor'!A176-1)*30/'V06 Motor'!C176,25))*'V06 Curva'!$B$30,MAX(0,MIN('V06 Motor'!A176*30/'V06 Motor'!C176,27)-MAX(('V06 Motor'!A176-1)*30/'V06 Motor'!C176,26))*'V06 Curva'!$B$31,MAX(0,MIN('V06 Motor'!A176*30/'V06 Motor'!C176,28)-MAX(('V06 Motor'!A176-1)*30/'V06 Motor'!C176,27))*'V06 Curva'!$B$32,MAX(0,MIN('V06 Motor'!A176*30/'V06 Motor'!C176,29)-MAX(('V06 Motor'!A176-1)*30/'V06 Motor'!C176,28))*'V06 Curva'!$B$33,MAX(0,MIN('V06 Motor'!A176*30/'V06 Motor'!C176,30)-MAX(('V06 Motor'!A176-1)*30/'V06 Motor'!C176,29))*'V06 Curva'!$B$34),0)</f>
        <v>0.0</v>
      </c>
      <c r="O176" s="2">
        <f>SUMPRODUCT(--(('V06 Unidades'!$I$5:$I$98+'V06 Controlos'!$B$37)='V06 Motor'!A176),ROUND('V06 Unidades'!$H$5:$H$98*0.05,2)+ROUND('V06 Unidades'!$H$5:$H$98*0.2,2))+SUMPRODUCT(--(IF('V06 Controlos'!$B$38&gt;0,IF(('V06 Unidades'!$L$5:$L$98+'V06 Controlos'!$B$37)&lt;'V06 Motor'!C176,'V06 Motor'!C176,('V06 Unidades'!$L$5:$L$98+'V06 Controlos'!$B$37)),('V06 Unidades'!$L$5:$L$98+'V06 Controlos'!$B$37))='V06 Motor'!A176),'V06 Unidades'!$H$5:$H$98-ROUND('V06 Unidades'!$H$5:$H$98*0.05,2)-ROUND('V06 Unidades'!$H$5:$H$98*0.2,2)-ROUND('V06 Unidades'!$H$5:$H$98*0.55,2))+SUMPRODUCT(--(IF(INT((IF('V06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Controlos'!$B$37)-1)/6),0)&gt;0),--('V06 Motor'!A176&gt;('V06 Unidades'!$I$5:$I$98+'V06 Controlos'!$B$37)),--('V06 Motor'!A176&lt;IF('V06 Controlos'!$B$38&gt;0,IF(('V06 Unidades'!$L$5:$L$98+'V06 Controlos'!$B$37)&lt;'V06 Motor'!C176,'V06 Motor'!C176,('V06 Unidades'!$L$5:$L$98+'V06 Controlos'!$B$37)),('V06 Unidades'!$L$5:$L$98+'V06 Controlos'!$B$37))),--(MOD('V06 Motor'!A176-('V06 Unidades'!$I$5:$I$98+'V06 Controlos'!$B$37),6)=0),--(('V06 Motor'!A176-('V06 Unidades'!$I$5:$I$98+'V06 Controlos'!$B$37))/6&lt;=IF(INT((IF('V06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Controlos'!$B$37)-1)/6),0)),IF('V06 Motor'!A176=('V06 Unidades'!$I$5:$I$98+'V06 Controlos'!$B$37)+6*IF(INT((IF('V06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Controlos'!$B$37)-1)/6),0)&gt;0,IF(INT((IF('V06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Controlos'!$B$37)-1)/6),0),1),2)*(IF(INT((IF('V06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Controlos'!$B$37)-1)/6),0)&gt;0,IF(INT((IF('V06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Controlos'!$B$37)-1)/6)&gt;0,INT((IF('V06 Controlos'!$B$38&gt;0,IF(('V06 Unidades'!$L$5:$L$98+'V06 Controlos'!$B$37)&lt;'V06 Motor'!C176,'V06 Motor'!C176,('V06 Unidades'!$L$5:$L$98+'V06 Controlos'!$B$37)),('V06 Unidades'!$L$5:$L$98+'V06 Controlos'!$B$37))-('V06 Unidades'!$I$5:$I$98+'V06 Controlos'!$B$37)-1)/6),0),1),2)))</f>
        <v>0.0</v>
      </c>
      <c r="P176" s="2">
        <f>SUM('V06 Calend 01'!GB5:GB98)</f>
        <v>0.0</v>
      </c>
    </row>
    <row r="177" spans="1:16">
      <c r="A177">
        <v>173</v>
      </c>
      <c r="C177">
        <v>30</v>
      </c>
      <c r="G177" s="2">
        <f>IF('V06 Motor'!A177&lt;='V06 Motor'!C177,SUMPRODUCT('V06 Curva'!$B$5:$B$34,IF((IF('V06 Motor'!A177*30/'V06 Motor'!C177&lt;'V06 Curva'!$A$5:$A$34,'V06 Motor'!A177*30/'V06 Motor'!C177,'V06 Curva'!$A$5:$A$34)-IF(('V06 Motor'!A177-1)*30/'V06 Motor'!C177&gt;'V06 Curva'!$A$5:$A$34-1,('V06 Motor'!A177-1)*30/'V06 Motor'!C177,'V06 Curva'!$A$5:$A$34-1))&gt;0,(IF('V06 Motor'!A177*30/'V06 Motor'!C177&lt;'V06 Curva'!$A$5:$A$34,'V06 Motor'!A177*30/'V06 Motor'!C177,'V06 Curva'!$A$5:$A$34)-IF(('V06 Motor'!A177-1)*30/'V06 Motor'!C177&gt;'V06 Curva'!$A$5:$A$34-1,('V06 Motor'!A177-1)*30/'V06 Motor'!C177,'V06 Curva'!$A$5:$A$34-1)),0)),0)</f>
        <v>0.0</v>
      </c>
      <c r="H177" s="2">
        <f>IF('V06 Motor'!A177&lt;='V06 Motor'!C177,SUM(MAX(0,MIN('V06 Motor'!A177*30/'V06 Motor'!C177,1)-MAX(('V06 Motor'!A177-1)*30/'V06 Motor'!C177,0))*'V06 Curva'!$B$5,MAX(0,MIN('V06 Motor'!A177*30/'V06 Motor'!C177,2)-MAX(('V06 Motor'!A177-1)*30/'V06 Motor'!C177,1))*'V06 Curva'!$B$6,MAX(0,MIN('V06 Motor'!A177*30/'V06 Motor'!C177,3)-MAX(('V06 Motor'!A177-1)*30/'V06 Motor'!C177,2))*'V06 Curva'!$B$7,MAX(0,MIN('V06 Motor'!A177*30/'V06 Motor'!C177,4)-MAX(('V06 Motor'!A177-1)*30/'V06 Motor'!C177,3))*'V06 Curva'!$B$8,MAX(0,MIN('V06 Motor'!A177*30/'V06 Motor'!C177,5)-MAX(('V06 Motor'!A177-1)*30/'V06 Motor'!C177,4))*'V06 Curva'!$B$9,MAX(0,MIN('V06 Motor'!A177*30/'V06 Motor'!C177,6)-MAX(('V06 Motor'!A177-1)*30/'V06 Motor'!C177,5))*'V06 Curva'!$B$10,MAX(0,MIN('V06 Motor'!A177*30/'V06 Motor'!C177,7)-MAX(('V06 Motor'!A177-1)*30/'V06 Motor'!C177,6))*'V06 Curva'!$B$11,MAX(0,MIN('V06 Motor'!A177*30/'V06 Motor'!C177,8)-MAX(('V06 Motor'!A177-1)*30/'V06 Motor'!C177,7))*'V06 Curva'!$B$12,MAX(0,MIN('V06 Motor'!A177*30/'V06 Motor'!C177,9)-MAX(('V06 Motor'!A177-1)*30/'V06 Motor'!C177,8))*'V06 Curva'!$B$13,MAX(0,MIN('V06 Motor'!A177*30/'V06 Motor'!C177,10)-MAX(('V06 Motor'!A177-1)*30/'V06 Motor'!C177,9))*'V06 Curva'!$B$14,MAX(0,MIN('V06 Motor'!A177*30/'V06 Motor'!C177,11)-MAX(('V06 Motor'!A177-1)*30/'V06 Motor'!C177,10))*'V06 Curva'!$B$15,MAX(0,MIN('V06 Motor'!A177*30/'V06 Motor'!C177,12)-MAX(('V06 Motor'!A177-1)*30/'V06 Motor'!C177,11))*'V06 Curva'!$B$16,MAX(0,MIN('V06 Motor'!A177*30/'V06 Motor'!C177,13)-MAX(('V06 Motor'!A177-1)*30/'V06 Motor'!C177,12))*'V06 Curva'!$B$17,MAX(0,MIN('V06 Motor'!A177*30/'V06 Motor'!C177,14)-MAX(('V06 Motor'!A177-1)*30/'V06 Motor'!C177,13))*'V06 Curva'!$B$18,MAX(0,MIN('V06 Motor'!A177*30/'V06 Motor'!C177,15)-MAX(('V06 Motor'!A177-1)*30/'V06 Motor'!C177,14))*'V06 Curva'!$B$19,MAX(0,MIN('V06 Motor'!A177*30/'V06 Motor'!C177,16)-MAX(('V06 Motor'!A177-1)*30/'V06 Motor'!C177,15))*'V06 Curva'!$B$20,MAX(0,MIN('V06 Motor'!A177*30/'V06 Motor'!C177,17)-MAX(('V06 Motor'!A177-1)*30/'V06 Motor'!C177,16))*'V06 Curva'!$B$21,MAX(0,MIN('V06 Motor'!A177*30/'V06 Motor'!C177,18)-MAX(('V06 Motor'!A177-1)*30/'V06 Motor'!C177,17))*'V06 Curva'!$B$22,MAX(0,MIN('V06 Motor'!A177*30/'V06 Motor'!C177,19)-MAX(('V06 Motor'!A177-1)*30/'V06 Motor'!C177,18))*'V06 Curva'!$B$23,MAX(0,MIN('V06 Motor'!A177*30/'V06 Motor'!C177,20)-MAX(('V06 Motor'!A177-1)*30/'V06 Motor'!C177,19))*'V06 Curva'!$B$24,MAX(0,MIN('V06 Motor'!A177*30/'V06 Motor'!C177,21)-MAX(('V06 Motor'!A177-1)*30/'V06 Motor'!C177,20))*'V06 Curva'!$B$25,MAX(0,MIN('V06 Motor'!A177*30/'V06 Motor'!C177,22)-MAX(('V06 Motor'!A177-1)*30/'V06 Motor'!C177,21))*'V06 Curva'!$B$26,MAX(0,MIN('V06 Motor'!A177*30/'V06 Motor'!C177,23)-MAX(('V06 Motor'!A177-1)*30/'V06 Motor'!C177,22))*'V06 Curva'!$B$27,MAX(0,MIN('V06 Motor'!A177*30/'V06 Motor'!C177,24)-MAX(('V06 Motor'!A177-1)*30/'V06 Motor'!C177,23))*'V06 Curva'!$B$28,MAX(0,MIN('V06 Motor'!A177*30/'V06 Motor'!C177,25)-MAX(('V06 Motor'!A177-1)*30/'V06 Motor'!C177,24))*'V06 Curva'!$B$29,MAX(0,MIN('V06 Motor'!A177*30/'V06 Motor'!C177,26)-MAX(('V06 Motor'!A177-1)*30/'V06 Motor'!C177,25))*'V06 Curva'!$B$30,MAX(0,MIN('V06 Motor'!A177*30/'V06 Motor'!C177,27)-MAX(('V06 Motor'!A177-1)*30/'V06 Motor'!C177,26))*'V06 Curva'!$B$31,MAX(0,MIN('V06 Motor'!A177*30/'V06 Motor'!C177,28)-MAX(('V06 Motor'!A177-1)*30/'V06 Motor'!C177,27))*'V06 Curva'!$B$32,MAX(0,MIN('V06 Motor'!A177*30/'V06 Motor'!C177,29)-MAX(('V06 Motor'!A177-1)*30/'V06 Motor'!C177,28))*'V06 Curva'!$B$33,MAX(0,MIN('V06 Motor'!A177*30/'V06 Motor'!C177,30)-MAX(('V06 Motor'!A177-1)*30/'V06 Motor'!C177,29))*'V06 Curva'!$B$34),0)</f>
        <v>0.0</v>
      </c>
      <c r="O177" s="2">
        <f>SUMPRODUCT(--(('V06 Unidades'!$I$5:$I$98+'V06 Controlos'!$B$37)='V06 Motor'!A177),ROUND('V06 Unidades'!$H$5:$H$98*0.05,2)+ROUND('V06 Unidades'!$H$5:$H$98*0.2,2))+SUMPRODUCT(--(IF('V06 Controlos'!$B$38&gt;0,IF(('V06 Unidades'!$L$5:$L$98+'V06 Controlos'!$B$37)&lt;'V06 Motor'!C177,'V06 Motor'!C177,('V06 Unidades'!$L$5:$L$98+'V06 Controlos'!$B$37)),('V06 Unidades'!$L$5:$L$98+'V06 Controlos'!$B$37))='V06 Motor'!A177),'V06 Unidades'!$H$5:$H$98-ROUND('V06 Unidades'!$H$5:$H$98*0.05,2)-ROUND('V06 Unidades'!$H$5:$H$98*0.2,2)-ROUND('V06 Unidades'!$H$5:$H$98*0.55,2))+SUMPRODUCT(--(IF(INT((IF('V06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Controlos'!$B$37)-1)/6),0)&gt;0),--('V06 Motor'!A177&gt;('V06 Unidades'!$I$5:$I$98+'V06 Controlos'!$B$37)),--('V06 Motor'!A177&lt;IF('V06 Controlos'!$B$38&gt;0,IF(('V06 Unidades'!$L$5:$L$98+'V06 Controlos'!$B$37)&lt;'V06 Motor'!C177,'V06 Motor'!C177,('V06 Unidades'!$L$5:$L$98+'V06 Controlos'!$B$37)),('V06 Unidades'!$L$5:$L$98+'V06 Controlos'!$B$37))),--(MOD('V06 Motor'!A177-('V06 Unidades'!$I$5:$I$98+'V06 Controlos'!$B$37),6)=0),--(('V06 Motor'!A177-('V06 Unidades'!$I$5:$I$98+'V06 Controlos'!$B$37))/6&lt;=IF(INT((IF('V06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Controlos'!$B$37)-1)/6),0)),IF('V06 Motor'!A177=('V06 Unidades'!$I$5:$I$98+'V06 Controlos'!$B$37)+6*IF(INT((IF('V06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Controlos'!$B$37)-1)/6),0)&gt;0,IF(INT((IF('V06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Controlos'!$B$37)-1)/6),0),1),2)*(IF(INT((IF('V06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Controlos'!$B$37)-1)/6),0)&gt;0,IF(INT((IF('V06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Controlos'!$B$37)-1)/6)&gt;0,INT((IF('V06 Controlos'!$B$38&gt;0,IF(('V06 Unidades'!$L$5:$L$98+'V06 Controlos'!$B$37)&lt;'V06 Motor'!C177,'V06 Motor'!C177,('V06 Unidades'!$L$5:$L$98+'V06 Controlos'!$B$37)),('V06 Unidades'!$L$5:$L$98+'V06 Controlos'!$B$37))-('V06 Unidades'!$I$5:$I$98+'V06 Controlos'!$B$37)-1)/6),0),1),2)))</f>
        <v>0.0</v>
      </c>
      <c r="P177" s="2">
        <f>SUM('V06 Calend 01'!GC5:GC98)</f>
        <v>0.0</v>
      </c>
    </row>
    <row r="178" spans="1:16">
      <c r="A178">
        <v>174</v>
      </c>
      <c r="C178">
        <v>30</v>
      </c>
      <c r="G178" s="2">
        <f>IF('V06 Motor'!A178&lt;='V06 Motor'!C178,SUMPRODUCT('V06 Curva'!$B$5:$B$34,IF((IF('V06 Motor'!A178*30/'V06 Motor'!C178&lt;'V06 Curva'!$A$5:$A$34,'V06 Motor'!A178*30/'V06 Motor'!C178,'V06 Curva'!$A$5:$A$34)-IF(('V06 Motor'!A178-1)*30/'V06 Motor'!C178&gt;'V06 Curva'!$A$5:$A$34-1,('V06 Motor'!A178-1)*30/'V06 Motor'!C178,'V06 Curva'!$A$5:$A$34-1))&gt;0,(IF('V06 Motor'!A178*30/'V06 Motor'!C178&lt;'V06 Curva'!$A$5:$A$34,'V06 Motor'!A178*30/'V06 Motor'!C178,'V06 Curva'!$A$5:$A$34)-IF(('V06 Motor'!A178-1)*30/'V06 Motor'!C178&gt;'V06 Curva'!$A$5:$A$34-1,('V06 Motor'!A178-1)*30/'V06 Motor'!C178,'V06 Curva'!$A$5:$A$34-1)),0)),0)</f>
        <v>0.0</v>
      </c>
      <c r="H178" s="2">
        <f>IF('V06 Motor'!A178&lt;='V06 Motor'!C178,SUM(MAX(0,MIN('V06 Motor'!A178*30/'V06 Motor'!C178,1)-MAX(('V06 Motor'!A178-1)*30/'V06 Motor'!C178,0))*'V06 Curva'!$B$5,MAX(0,MIN('V06 Motor'!A178*30/'V06 Motor'!C178,2)-MAX(('V06 Motor'!A178-1)*30/'V06 Motor'!C178,1))*'V06 Curva'!$B$6,MAX(0,MIN('V06 Motor'!A178*30/'V06 Motor'!C178,3)-MAX(('V06 Motor'!A178-1)*30/'V06 Motor'!C178,2))*'V06 Curva'!$B$7,MAX(0,MIN('V06 Motor'!A178*30/'V06 Motor'!C178,4)-MAX(('V06 Motor'!A178-1)*30/'V06 Motor'!C178,3))*'V06 Curva'!$B$8,MAX(0,MIN('V06 Motor'!A178*30/'V06 Motor'!C178,5)-MAX(('V06 Motor'!A178-1)*30/'V06 Motor'!C178,4))*'V06 Curva'!$B$9,MAX(0,MIN('V06 Motor'!A178*30/'V06 Motor'!C178,6)-MAX(('V06 Motor'!A178-1)*30/'V06 Motor'!C178,5))*'V06 Curva'!$B$10,MAX(0,MIN('V06 Motor'!A178*30/'V06 Motor'!C178,7)-MAX(('V06 Motor'!A178-1)*30/'V06 Motor'!C178,6))*'V06 Curva'!$B$11,MAX(0,MIN('V06 Motor'!A178*30/'V06 Motor'!C178,8)-MAX(('V06 Motor'!A178-1)*30/'V06 Motor'!C178,7))*'V06 Curva'!$B$12,MAX(0,MIN('V06 Motor'!A178*30/'V06 Motor'!C178,9)-MAX(('V06 Motor'!A178-1)*30/'V06 Motor'!C178,8))*'V06 Curva'!$B$13,MAX(0,MIN('V06 Motor'!A178*30/'V06 Motor'!C178,10)-MAX(('V06 Motor'!A178-1)*30/'V06 Motor'!C178,9))*'V06 Curva'!$B$14,MAX(0,MIN('V06 Motor'!A178*30/'V06 Motor'!C178,11)-MAX(('V06 Motor'!A178-1)*30/'V06 Motor'!C178,10))*'V06 Curva'!$B$15,MAX(0,MIN('V06 Motor'!A178*30/'V06 Motor'!C178,12)-MAX(('V06 Motor'!A178-1)*30/'V06 Motor'!C178,11))*'V06 Curva'!$B$16,MAX(0,MIN('V06 Motor'!A178*30/'V06 Motor'!C178,13)-MAX(('V06 Motor'!A178-1)*30/'V06 Motor'!C178,12))*'V06 Curva'!$B$17,MAX(0,MIN('V06 Motor'!A178*30/'V06 Motor'!C178,14)-MAX(('V06 Motor'!A178-1)*30/'V06 Motor'!C178,13))*'V06 Curva'!$B$18,MAX(0,MIN('V06 Motor'!A178*30/'V06 Motor'!C178,15)-MAX(('V06 Motor'!A178-1)*30/'V06 Motor'!C178,14))*'V06 Curva'!$B$19,MAX(0,MIN('V06 Motor'!A178*30/'V06 Motor'!C178,16)-MAX(('V06 Motor'!A178-1)*30/'V06 Motor'!C178,15))*'V06 Curva'!$B$20,MAX(0,MIN('V06 Motor'!A178*30/'V06 Motor'!C178,17)-MAX(('V06 Motor'!A178-1)*30/'V06 Motor'!C178,16))*'V06 Curva'!$B$21,MAX(0,MIN('V06 Motor'!A178*30/'V06 Motor'!C178,18)-MAX(('V06 Motor'!A178-1)*30/'V06 Motor'!C178,17))*'V06 Curva'!$B$22,MAX(0,MIN('V06 Motor'!A178*30/'V06 Motor'!C178,19)-MAX(('V06 Motor'!A178-1)*30/'V06 Motor'!C178,18))*'V06 Curva'!$B$23,MAX(0,MIN('V06 Motor'!A178*30/'V06 Motor'!C178,20)-MAX(('V06 Motor'!A178-1)*30/'V06 Motor'!C178,19))*'V06 Curva'!$B$24,MAX(0,MIN('V06 Motor'!A178*30/'V06 Motor'!C178,21)-MAX(('V06 Motor'!A178-1)*30/'V06 Motor'!C178,20))*'V06 Curva'!$B$25,MAX(0,MIN('V06 Motor'!A178*30/'V06 Motor'!C178,22)-MAX(('V06 Motor'!A178-1)*30/'V06 Motor'!C178,21))*'V06 Curva'!$B$26,MAX(0,MIN('V06 Motor'!A178*30/'V06 Motor'!C178,23)-MAX(('V06 Motor'!A178-1)*30/'V06 Motor'!C178,22))*'V06 Curva'!$B$27,MAX(0,MIN('V06 Motor'!A178*30/'V06 Motor'!C178,24)-MAX(('V06 Motor'!A178-1)*30/'V06 Motor'!C178,23))*'V06 Curva'!$B$28,MAX(0,MIN('V06 Motor'!A178*30/'V06 Motor'!C178,25)-MAX(('V06 Motor'!A178-1)*30/'V06 Motor'!C178,24))*'V06 Curva'!$B$29,MAX(0,MIN('V06 Motor'!A178*30/'V06 Motor'!C178,26)-MAX(('V06 Motor'!A178-1)*30/'V06 Motor'!C178,25))*'V06 Curva'!$B$30,MAX(0,MIN('V06 Motor'!A178*30/'V06 Motor'!C178,27)-MAX(('V06 Motor'!A178-1)*30/'V06 Motor'!C178,26))*'V06 Curva'!$B$31,MAX(0,MIN('V06 Motor'!A178*30/'V06 Motor'!C178,28)-MAX(('V06 Motor'!A178-1)*30/'V06 Motor'!C178,27))*'V06 Curva'!$B$32,MAX(0,MIN('V06 Motor'!A178*30/'V06 Motor'!C178,29)-MAX(('V06 Motor'!A178-1)*30/'V06 Motor'!C178,28))*'V06 Curva'!$B$33,MAX(0,MIN('V06 Motor'!A178*30/'V06 Motor'!C178,30)-MAX(('V06 Motor'!A178-1)*30/'V06 Motor'!C178,29))*'V06 Curva'!$B$34),0)</f>
        <v>0.0</v>
      </c>
      <c r="O178" s="2">
        <f>SUMPRODUCT(--(('V06 Unidades'!$I$5:$I$98+'V06 Controlos'!$B$37)='V06 Motor'!A178),ROUND('V06 Unidades'!$H$5:$H$98*0.05,2)+ROUND('V06 Unidades'!$H$5:$H$98*0.2,2))+SUMPRODUCT(--(IF('V06 Controlos'!$B$38&gt;0,IF(('V06 Unidades'!$L$5:$L$98+'V06 Controlos'!$B$37)&lt;'V06 Motor'!C178,'V06 Motor'!C178,('V06 Unidades'!$L$5:$L$98+'V06 Controlos'!$B$37)),('V06 Unidades'!$L$5:$L$98+'V06 Controlos'!$B$37))='V06 Motor'!A178),'V06 Unidades'!$H$5:$H$98-ROUND('V06 Unidades'!$H$5:$H$98*0.05,2)-ROUND('V06 Unidades'!$H$5:$H$98*0.2,2)-ROUND('V06 Unidades'!$H$5:$H$98*0.55,2))+SUMPRODUCT(--(IF(INT((IF('V06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Controlos'!$B$37)-1)/6),0)&gt;0),--('V06 Motor'!A178&gt;('V06 Unidades'!$I$5:$I$98+'V06 Controlos'!$B$37)),--('V06 Motor'!A178&lt;IF('V06 Controlos'!$B$38&gt;0,IF(('V06 Unidades'!$L$5:$L$98+'V06 Controlos'!$B$37)&lt;'V06 Motor'!C178,'V06 Motor'!C178,('V06 Unidades'!$L$5:$L$98+'V06 Controlos'!$B$37)),('V06 Unidades'!$L$5:$L$98+'V06 Controlos'!$B$37))),--(MOD('V06 Motor'!A178-('V06 Unidades'!$I$5:$I$98+'V06 Controlos'!$B$37),6)=0),--(('V06 Motor'!A178-('V06 Unidades'!$I$5:$I$98+'V06 Controlos'!$B$37))/6&lt;=IF(INT((IF('V06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Controlos'!$B$37)-1)/6),0)),IF('V06 Motor'!A178=('V06 Unidades'!$I$5:$I$98+'V06 Controlos'!$B$37)+6*IF(INT((IF('V06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Controlos'!$B$37)-1)/6),0)&gt;0,IF(INT((IF('V06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Controlos'!$B$37)-1)/6),0),1),2)*(IF(INT((IF('V06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Controlos'!$B$37)-1)/6),0)&gt;0,IF(INT((IF('V06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Controlos'!$B$37)-1)/6)&gt;0,INT((IF('V06 Controlos'!$B$38&gt;0,IF(('V06 Unidades'!$L$5:$L$98+'V06 Controlos'!$B$37)&lt;'V06 Motor'!C178,'V06 Motor'!C178,('V06 Unidades'!$L$5:$L$98+'V06 Controlos'!$B$37)),('V06 Unidades'!$L$5:$L$98+'V06 Controlos'!$B$37))-('V06 Unidades'!$I$5:$I$98+'V06 Controlos'!$B$37)-1)/6),0),1),2)))</f>
        <v>0.0</v>
      </c>
      <c r="P178" s="2">
        <f>SUM('V06 Calend 01'!GD5:GD98)</f>
        <v>0.0</v>
      </c>
    </row>
    <row r="179" spans="1:16">
      <c r="A179">
        <v>175</v>
      </c>
      <c r="C179">
        <v>30</v>
      </c>
      <c r="G179" s="2">
        <f>IF('V06 Motor'!A179&lt;='V06 Motor'!C179,SUMPRODUCT('V06 Curva'!$B$5:$B$34,IF((IF('V06 Motor'!A179*30/'V06 Motor'!C179&lt;'V06 Curva'!$A$5:$A$34,'V06 Motor'!A179*30/'V06 Motor'!C179,'V06 Curva'!$A$5:$A$34)-IF(('V06 Motor'!A179-1)*30/'V06 Motor'!C179&gt;'V06 Curva'!$A$5:$A$34-1,('V06 Motor'!A179-1)*30/'V06 Motor'!C179,'V06 Curva'!$A$5:$A$34-1))&gt;0,(IF('V06 Motor'!A179*30/'V06 Motor'!C179&lt;'V06 Curva'!$A$5:$A$34,'V06 Motor'!A179*30/'V06 Motor'!C179,'V06 Curva'!$A$5:$A$34)-IF(('V06 Motor'!A179-1)*30/'V06 Motor'!C179&gt;'V06 Curva'!$A$5:$A$34-1,('V06 Motor'!A179-1)*30/'V06 Motor'!C179,'V06 Curva'!$A$5:$A$34-1)),0)),0)</f>
        <v>0.0</v>
      </c>
      <c r="H179" s="2">
        <f>IF('V06 Motor'!A179&lt;='V06 Motor'!C179,SUM(MAX(0,MIN('V06 Motor'!A179*30/'V06 Motor'!C179,1)-MAX(('V06 Motor'!A179-1)*30/'V06 Motor'!C179,0))*'V06 Curva'!$B$5,MAX(0,MIN('V06 Motor'!A179*30/'V06 Motor'!C179,2)-MAX(('V06 Motor'!A179-1)*30/'V06 Motor'!C179,1))*'V06 Curva'!$B$6,MAX(0,MIN('V06 Motor'!A179*30/'V06 Motor'!C179,3)-MAX(('V06 Motor'!A179-1)*30/'V06 Motor'!C179,2))*'V06 Curva'!$B$7,MAX(0,MIN('V06 Motor'!A179*30/'V06 Motor'!C179,4)-MAX(('V06 Motor'!A179-1)*30/'V06 Motor'!C179,3))*'V06 Curva'!$B$8,MAX(0,MIN('V06 Motor'!A179*30/'V06 Motor'!C179,5)-MAX(('V06 Motor'!A179-1)*30/'V06 Motor'!C179,4))*'V06 Curva'!$B$9,MAX(0,MIN('V06 Motor'!A179*30/'V06 Motor'!C179,6)-MAX(('V06 Motor'!A179-1)*30/'V06 Motor'!C179,5))*'V06 Curva'!$B$10,MAX(0,MIN('V06 Motor'!A179*30/'V06 Motor'!C179,7)-MAX(('V06 Motor'!A179-1)*30/'V06 Motor'!C179,6))*'V06 Curva'!$B$11,MAX(0,MIN('V06 Motor'!A179*30/'V06 Motor'!C179,8)-MAX(('V06 Motor'!A179-1)*30/'V06 Motor'!C179,7))*'V06 Curva'!$B$12,MAX(0,MIN('V06 Motor'!A179*30/'V06 Motor'!C179,9)-MAX(('V06 Motor'!A179-1)*30/'V06 Motor'!C179,8))*'V06 Curva'!$B$13,MAX(0,MIN('V06 Motor'!A179*30/'V06 Motor'!C179,10)-MAX(('V06 Motor'!A179-1)*30/'V06 Motor'!C179,9))*'V06 Curva'!$B$14,MAX(0,MIN('V06 Motor'!A179*30/'V06 Motor'!C179,11)-MAX(('V06 Motor'!A179-1)*30/'V06 Motor'!C179,10))*'V06 Curva'!$B$15,MAX(0,MIN('V06 Motor'!A179*30/'V06 Motor'!C179,12)-MAX(('V06 Motor'!A179-1)*30/'V06 Motor'!C179,11))*'V06 Curva'!$B$16,MAX(0,MIN('V06 Motor'!A179*30/'V06 Motor'!C179,13)-MAX(('V06 Motor'!A179-1)*30/'V06 Motor'!C179,12))*'V06 Curva'!$B$17,MAX(0,MIN('V06 Motor'!A179*30/'V06 Motor'!C179,14)-MAX(('V06 Motor'!A179-1)*30/'V06 Motor'!C179,13))*'V06 Curva'!$B$18,MAX(0,MIN('V06 Motor'!A179*30/'V06 Motor'!C179,15)-MAX(('V06 Motor'!A179-1)*30/'V06 Motor'!C179,14))*'V06 Curva'!$B$19,MAX(0,MIN('V06 Motor'!A179*30/'V06 Motor'!C179,16)-MAX(('V06 Motor'!A179-1)*30/'V06 Motor'!C179,15))*'V06 Curva'!$B$20,MAX(0,MIN('V06 Motor'!A179*30/'V06 Motor'!C179,17)-MAX(('V06 Motor'!A179-1)*30/'V06 Motor'!C179,16))*'V06 Curva'!$B$21,MAX(0,MIN('V06 Motor'!A179*30/'V06 Motor'!C179,18)-MAX(('V06 Motor'!A179-1)*30/'V06 Motor'!C179,17))*'V06 Curva'!$B$22,MAX(0,MIN('V06 Motor'!A179*30/'V06 Motor'!C179,19)-MAX(('V06 Motor'!A179-1)*30/'V06 Motor'!C179,18))*'V06 Curva'!$B$23,MAX(0,MIN('V06 Motor'!A179*30/'V06 Motor'!C179,20)-MAX(('V06 Motor'!A179-1)*30/'V06 Motor'!C179,19))*'V06 Curva'!$B$24,MAX(0,MIN('V06 Motor'!A179*30/'V06 Motor'!C179,21)-MAX(('V06 Motor'!A179-1)*30/'V06 Motor'!C179,20))*'V06 Curva'!$B$25,MAX(0,MIN('V06 Motor'!A179*30/'V06 Motor'!C179,22)-MAX(('V06 Motor'!A179-1)*30/'V06 Motor'!C179,21))*'V06 Curva'!$B$26,MAX(0,MIN('V06 Motor'!A179*30/'V06 Motor'!C179,23)-MAX(('V06 Motor'!A179-1)*30/'V06 Motor'!C179,22))*'V06 Curva'!$B$27,MAX(0,MIN('V06 Motor'!A179*30/'V06 Motor'!C179,24)-MAX(('V06 Motor'!A179-1)*30/'V06 Motor'!C179,23))*'V06 Curva'!$B$28,MAX(0,MIN('V06 Motor'!A179*30/'V06 Motor'!C179,25)-MAX(('V06 Motor'!A179-1)*30/'V06 Motor'!C179,24))*'V06 Curva'!$B$29,MAX(0,MIN('V06 Motor'!A179*30/'V06 Motor'!C179,26)-MAX(('V06 Motor'!A179-1)*30/'V06 Motor'!C179,25))*'V06 Curva'!$B$30,MAX(0,MIN('V06 Motor'!A179*30/'V06 Motor'!C179,27)-MAX(('V06 Motor'!A179-1)*30/'V06 Motor'!C179,26))*'V06 Curva'!$B$31,MAX(0,MIN('V06 Motor'!A179*30/'V06 Motor'!C179,28)-MAX(('V06 Motor'!A179-1)*30/'V06 Motor'!C179,27))*'V06 Curva'!$B$32,MAX(0,MIN('V06 Motor'!A179*30/'V06 Motor'!C179,29)-MAX(('V06 Motor'!A179-1)*30/'V06 Motor'!C179,28))*'V06 Curva'!$B$33,MAX(0,MIN('V06 Motor'!A179*30/'V06 Motor'!C179,30)-MAX(('V06 Motor'!A179-1)*30/'V06 Motor'!C179,29))*'V06 Curva'!$B$34),0)</f>
        <v>0.0</v>
      </c>
      <c r="O179" s="2">
        <f>SUMPRODUCT(--(('V06 Unidades'!$I$5:$I$98+'V06 Controlos'!$B$37)='V06 Motor'!A179),ROUND('V06 Unidades'!$H$5:$H$98*0.05,2)+ROUND('V06 Unidades'!$H$5:$H$98*0.2,2))+SUMPRODUCT(--(IF('V06 Controlos'!$B$38&gt;0,IF(('V06 Unidades'!$L$5:$L$98+'V06 Controlos'!$B$37)&lt;'V06 Motor'!C179,'V06 Motor'!C179,('V06 Unidades'!$L$5:$L$98+'V06 Controlos'!$B$37)),('V06 Unidades'!$L$5:$L$98+'V06 Controlos'!$B$37))='V06 Motor'!A179),'V06 Unidades'!$H$5:$H$98-ROUND('V06 Unidades'!$H$5:$H$98*0.05,2)-ROUND('V06 Unidades'!$H$5:$H$98*0.2,2)-ROUND('V06 Unidades'!$H$5:$H$98*0.55,2))+SUMPRODUCT(--(IF(INT((IF('V06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Controlos'!$B$37)-1)/6),0)&gt;0),--('V06 Motor'!A179&gt;('V06 Unidades'!$I$5:$I$98+'V06 Controlos'!$B$37)),--('V06 Motor'!A179&lt;IF('V06 Controlos'!$B$38&gt;0,IF(('V06 Unidades'!$L$5:$L$98+'V06 Controlos'!$B$37)&lt;'V06 Motor'!C179,'V06 Motor'!C179,('V06 Unidades'!$L$5:$L$98+'V06 Controlos'!$B$37)),('V06 Unidades'!$L$5:$L$98+'V06 Controlos'!$B$37))),--(MOD('V06 Motor'!A179-('V06 Unidades'!$I$5:$I$98+'V06 Controlos'!$B$37),6)=0),--(('V06 Motor'!A179-('V06 Unidades'!$I$5:$I$98+'V06 Controlos'!$B$37))/6&lt;=IF(INT((IF('V06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Controlos'!$B$37)-1)/6),0)),IF('V06 Motor'!A179=('V06 Unidades'!$I$5:$I$98+'V06 Controlos'!$B$37)+6*IF(INT((IF('V06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Controlos'!$B$37)-1)/6),0)&gt;0,IF(INT((IF('V06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Controlos'!$B$37)-1)/6),0),1),2)*(IF(INT((IF('V06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Controlos'!$B$37)-1)/6),0)&gt;0,IF(INT((IF('V06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Controlos'!$B$37)-1)/6)&gt;0,INT((IF('V06 Controlos'!$B$38&gt;0,IF(('V06 Unidades'!$L$5:$L$98+'V06 Controlos'!$B$37)&lt;'V06 Motor'!C179,'V06 Motor'!C179,('V06 Unidades'!$L$5:$L$98+'V06 Controlos'!$B$37)),('V06 Unidades'!$L$5:$L$98+'V06 Controlos'!$B$37))-('V06 Unidades'!$I$5:$I$98+'V06 Controlos'!$B$37)-1)/6),0),1),2)))</f>
        <v>0.0</v>
      </c>
      <c r="P179" s="2">
        <f>SUM('V06 Calend 01'!GE5:GE98)</f>
        <v>0.0</v>
      </c>
    </row>
    <row r="180" spans="1:16">
      <c r="A180">
        <v>176</v>
      </c>
      <c r="C180">
        <v>30</v>
      </c>
      <c r="G180" s="2">
        <f>IF('V06 Motor'!A180&lt;='V06 Motor'!C180,SUMPRODUCT('V06 Curva'!$B$5:$B$34,IF((IF('V06 Motor'!A180*30/'V06 Motor'!C180&lt;'V06 Curva'!$A$5:$A$34,'V06 Motor'!A180*30/'V06 Motor'!C180,'V06 Curva'!$A$5:$A$34)-IF(('V06 Motor'!A180-1)*30/'V06 Motor'!C180&gt;'V06 Curva'!$A$5:$A$34-1,('V06 Motor'!A180-1)*30/'V06 Motor'!C180,'V06 Curva'!$A$5:$A$34-1))&gt;0,(IF('V06 Motor'!A180*30/'V06 Motor'!C180&lt;'V06 Curva'!$A$5:$A$34,'V06 Motor'!A180*30/'V06 Motor'!C180,'V06 Curva'!$A$5:$A$34)-IF(('V06 Motor'!A180-1)*30/'V06 Motor'!C180&gt;'V06 Curva'!$A$5:$A$34-1,('V06 Motor'!A180-1)*30/'V06 Motor'!C180,'V06 Curva'!$A$5:$A$34-1)),0)),0)</f>
        <v>0.0</v>
      </c>
      <c r="H180" s="2">
        <f>IF('V06 Motor'!A180&lt;='V06 Motor'!C180,SUM(MAX(0,MIN('V06 Motor'!A180*30/'V06 Motor'!C180,1)-MAX(('V06 Motor'!A180-1)*30/'V06 Motor'!C180,0))*'V06 Curva'!$B$5,MAX(0,MIN('V06 Motor'!A180*30/'V06 Motor'!C180,2)-MAX(('V06 Motor'!A180-1)*30/'V06 Motor'!C180,1))*'V06 Curva'!$B$6,MAX(0,MIN('V06 Motor'!A180*30/'V06 Motor'!C180,3)-MAX(('V06 Motor'!A180-1)*30/'V06 Motor'!C180,2))*'V06 Curva'!$B$7,MAX(0,MIN('V06 Motor'!A180*30/'V06 Motor'!C180,4)-MAX(('V06 Motor'!A180-1)*30/'V06 Motor'!C180,3))*'V06 Curva'!$B$8,MAX(0,MIN('V06 Motor'!A180*30/'V06 Motor'!C180,5)-MAX(('V06 Motor'!A180-1)*30/'V06 Motor'!C180,4))*'V06 Curva'!$B$9,MAX(0,MIN('V06 Motor'!A180*30/'V06 Motor'!C180,6)-MAX(('V06 Motor'!A180-1)*30/'V06 Motor'!C180,5))*'V06 Curva'!$B$10,MAX(0,MIN('V06 Motor'!A180*30/'V06 Motor'!C180,7)-MAX(('V06 Motor'!A180-1)*30/'V06 Motor'!C180,6))*'V06 Curva'!$B$11,MAX(0,MIN('V06 Motor'!A180*30/'V06 Motor'!C180,8)-MAX(('V06 Motor'!A180-1)*30/'V06 Motor'!C180,7))*'V06 Curva'!$B$12,MAX(0,MIN('V06 Motor'!A180*30/'V06 Motor'!C180,9)-MAX(('V06 Motor'!A180-1)*30/'V06 Motor'!C180,8))*'V06 Curva'!$B$13,MAX(0,MIN('V06 Motor'!A180*30/'V06 Motor'!C180,10)-MAX(('V06 Motor'!A180-1)*30/'V06 Motor'!C180,9))*'V06 Curva'!$B$14,MAX(0,MIN('V06 Motor'!A180*30/'V06 Motor'!C180,11)-MAX(('V06 Motor'!A180-1)*30/'V06 Motor'!C180,10))*'V06 Curva'!$B$15,MAX(0,MIN('V06 Motor'!A180*30/'V06 Motor'!C180,12)-MAX(('V06 Motor'!A180-1)*30/'V06 Motor'!C180,11))*'V06 Curva'!$B$16,MAX(0,MIN('V06 Motor'!A180*30/'V06 Motor'!C180,13)-MAX(('V06 Motor'!A180-1)*30/'V06 Motor'!C180,12))*'V06 Curva'!$B$17,MAX(0,MIN('V06 Motor'!A180*30/'V06 Motor'!C180,14)-MAX(('V06 Motor'!A180-1)*30/'V06 Motor'!C180,13))*'V06 Curva'!$B$18,MAX(0,MIN('V06 Motor'!A180*30/'V06 Motor'!C180,15)-MAX(('V06 Motor'!A180-1)*30/'V06 Motor'!C180,14))*'V06 Curva'!$B$19,MAX(0,MIN('V06 Motor'!A180*30/'V06 Motor'!C180,16)-MAX(('V06 Motor'!A180-1)*30/'V06 Motor'!C180,15))*'V06 Curva'!$B$20,MAX(0,MIN('V06 Motor'!A180*30/'V06 Motor'!C180,17)-MAX(('V06 Motor'!A180-1)*30/'V06 Motor'!C180,16))*'V06 Curva'!$B$21,MAX(0,MIN('V06 Motor'!A180*30/'V06 Motor'!C180,18)-MAX(('V06 Motor'!A180-1)*30/'V06 Motor'!C180,17))*'V06 Curva'!$B$22,MAX(0,MIN('V06 Motor'!A180*30/'V06 Motor'!C180,19)-MAX(('V06 Motor'!A180-1)*30/'V06 Motor'!C180,18))*'V06 Curva'!$B$23,MAX(0,MIN('V06 Motor'!A180*30/'V06 Motor'!C180,20)-MAX(('V06 Motor'!A180-1)*30/'V06 Motor'!C180,19))*'V06 Curva'!$B$24,MAX(0,MIN('V06 Motor'!A180*30/'V06 Motor'!C180,21)-MAX(('V06 Motor'!A180-1)*30/'V06 Motor'!C180,20))*'V06 Curva'!$B$25,MAX(0,MIN('V06 Motor'!A180*30/'V06 Motor'!C180,22)-MAX(('V06 Motor'!A180-1)*30/'V06 Motor'!C180,21))*'V06 Curva'!$B$26,MAX(0,MIN('V06 Motor'!A180*30/'V06 Motor'!C180,23)-MAX(('V06 Motor'!A180-1)*30/'V06 Motor'!C180,22))*'V06 Curva'!$B$27,MAX(0,MIN('V06 Motor'!A180*30/'V06 Motor'!C180,24)-MAX(('V06 Motor'!A180-1)*30/'V06 Motor'!C180,23))*'V06 Curva'!$B$28,MAX(0,MIN('V06 Motor'!A180*30/'V06 Motor'!C180,25)-MAX(('V06 Motor'!A180-1)*30/'V06 Motor'!C180,24))*'V06 Curva'!$B$29,MAX(0,MIN('V06 Motor'!A180*30/'V06 Motor'!C180,26)-MAX(('V06 Motor'!A180-1)*30/'V06 Motor'!C180,25))*'V06 Curva'!$B$30,MAX(0,MIN('V06 Motor'!A180*30/'V06 Motor'!C180,27)-MAX(('V06 Motor'!A180-1)*30/'V06 Motor'!C180,26))*'V06 Curva'!$B$31,MAX(0,MIN('V06 Motor'!A180*30/'V06 Motor'!C180,28)-MAX(('V06 Motor'!A180-1)*30/'V06 Motor'!C180,27))*'V06 Curva'!$B$32,MAX(0,MIN('V06 Motor'!A180*30/'V06 Motor'!C180,29)-MAX(('V06 Motor'!A180-1)*30/'V06 Motor'!C180,28))*'V06 Curva'!$B$33,MAX(0,MIN('V06 Motor'!A180*30/'V06 Motor'!C180,30)-MAX(('V06 Motor'!A180-1)*30/'V06 Motor'!C180,29))*'V06 Curva'!$B$34),0)</f>
        <v>0.0</v>
      </c>
      <c r="O180" s="2">
        <f>SUMPRODUCT(--(('V06 Unidades'!$I$5:$I$98+'V06 Controlos'!$B$37)='V06 Motor'!A180),ROUND('V06 Unidades'!$H$5:$H$98*0.05,2)+ROUND('V06 Unidades'!$H$5:$H$98*0.2,2))+SUMPRODUCT(--(IF('V06 Controlos'!$B$38&gt;0,IF(('V06 Unidades'!$L$5:$L$98+'V06 Controlos'!$B$37)&lt;'V06 Motor'!C180,'V06 Motor'!C180,('V06 Unidades'!$L$5:$L$98+'V06 Controlos'!$B$37)),('V06 Unidades'!$L$5:$L$98+'V06 Controlos'!$B$37))='V06 Motor'!A180),'V06 Unidades'!$H$5:$H$98-ROUND('V06 Unidades'!$H$5:$H$98*0.05,2)-ROUND('V06 Unidades'!$H$5:$H$98*0.2,2)-ROUND('V06 Unidades'!$H$5:$H$98*0.55,2))+SUMPRODUCT(--(IF(INT((IF('V06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Controlos'!$B$37)-1)/6),0)&gt;0),--('V06 Motor'!A180&gt;('V06 Unidades'!$I$5:$I$98+'V06 Controlos'!$B$37)),--('V06 Motor'!A180&lt;IF('V06 Controlos'!$B$38&gt;0,IF(('V06 Unidades'!$L$5:$L$98+'V06 Controlos'!$B$37)&lt;'V06 Motor'!C180,'V06 Motor'!C180,('V06 Unidades'!$L$5:$L$98+'V06 Controlos'!$B$37)),('V06 Unidades'!$L$5:$L$98+'V06 Controlos'!$B$37))),--(MOD('V06 Motor'!A180-('V06 Unidades'!$I$5:$I$98+'V06 Controlos'!$B$37),6)=0),--(('V06 Motor'!A180-('V06 Unidades'!$I$5:$I$98+'V06 Controlos'!$B$37))/6&lt;=IF(INT((IF('V06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Controlos'!$B$37)-1)/6),0)),IF('V06 Motor'!A180=('V06 Unidades'!$I$5:$I$98+'V06 Controlos'!$B$37)+6*IF(INT((IF('V06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Controlos'!$B$37)-1)/6),0)&gt;0,IF(INT((IF('V06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Controlos'!$B$37)-1)/6),0),1),2)*(IF(INT((IF('V06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Controlos'!$B$37)-1)/6),0)&gt;0,IF(INT((IF('V06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Controlos'!$B$37)-1)/6)&gt;0,INT((IF('V06 Controlos'!$B$38&gt;0,IF(('V06 Unidades'!$L$5:$L$98+'V06 Controlos'!$B$37)&lt;'V06 Motor'!C180,'V06 Motor'!C180,('V06 Unidades'!$L$5:$L$98+'V06 Controlos'!$B$37)),('V06 Unidades'!$L$5:$L$98+'V06 Controlos'!$B$37))-('V06 Unidades'!$I$5:$I$98+'V06 Controlos'!$B$37)-1)/6),0),1),2)))</f>
        <v>0.0</v>
      </c>
      <c r="P180" s="2">
        <f>SUM('V06 Calend 01'!GF5:GF98)</f>
        <v>0.0</v>
      </c>
    </row>
    <row r="181" spans="1:16">
      <c r="A181">
        <v>177</v>
      </c>
      <c r="C181">
        <v>30</v>
      </c>
      <c r="G181" s="2">
        <f>IF('V06 Motor'!A181&lt;='V06 Motor'!C181,SUMPRODUCT('V06 Curva'!$B$5:$B$34,IF((IF('V06 Motor'!A181*30/'V06 Motor'!C181&lt;'V06 Curva'!$A$5:$A$34,'V06 Motor'!A181*30/'V06 Motor'!C181,'V06 Curva'!$A$5:$A$34)-IF(('V06 Motor'!A181-1)*30/'V06 Motor'!C181&gt;'V06 Curva'!$A$5:$A$34-1,('V06 Motor'!A181-1)*30/'V06 Motor'!C181,'V06 Curva'!$A$5:$A$34-1))&gt;0,(IF('V06 Motor'!A181*30/'V06 Motor'!C181&lt;'V06 Curva'!$A$5:$A$34,'V06 Motor'!A181*30/'V06 Motor'!C181,'V06 Curva'!$A$5:$A$34)-IF(('V06 Motor'!A181-1)*30/'V06 Motor'!C181&gt;'V06 Curva'!$A$5:$A$34-1,('V06 Motor'!A181-1)*30/'V06 Motor'!C181,'V06 Curva'!$A$5:$A$34-1)),0)),0)</f>
        <v>0.0</v>
      </c>
      <c r="H181" s="2">
        <f>IF('V06 Motor'!A181&lt;='V06 Motor'!C181,SUM(MAX(0,MIN('V06 Motor'!A181*30/'V06 Motor'!C181,1)-MAX(('V06 Motor'!A181-1)*30/'V06 Motor'!C181,0))*'V06 Curva'!$B$5,MAX(0,MIN('V06 Motor'!A181*30/'V06 Motor'!C181,2)-MAX(('V06 Motor'!A181-1)*30/'V06 Motor'!C181,1))*'V06 Curva'!$B$6,MAX(0,MIN('V06 Motor'!A181*30/'V06 Motor'!C181,3)-MAX(('V06 Motor'!A181-1)*30/'V06 Motor'!C181,2))*'V06 Curva'!$B$7,MAX(0,MIN('V06 Motor'!A181*30/'V06 Motor'!C181,4)-MAX(('V06 Motor'!A181-1)*30/'V06 Motor'!C181,3))*'V06 Curva'!$B$8,MAX(0,MIN('V06 Motor'!A181*30/'V06 Motor'!C181,5)-MAX(('V06 Motor'!A181-1)*30/'V06 Motor'!C181,4))*'V06 Curva'!$B$9,MAX(0,MIN('V06 Motor'!A181*30/'V06 Motor'!C181,6)-MAX(('V06 Motor'!A181-1)*30/'V06 Motor'!C181,5))*'V06 Curva'!$B$10,MAX(0,MIN('V06 Motor'!A181*30/'V06 Motor'!C181,7)-MAX(('V06 Motor'!A181-1)*30/'V06 Motor'!C181,6))*'V06 Curva'!$B$11,MAX(0,MIN('V06 Motor'!A181*30/'V06 Motor'!C181,8)-MAX(('V06 Motor'!A181-1)*30/'V06 Motor'!C181,7))*'V06 Curva'!$B$12,MAX(0,MIN('V06 Motor'!A181*30/'V06 Motor'!C181,9)-MAX(('V06 Motor'!A181-1)*30/'V06 Motor'!C181,8))*'V06 Curva'!$B$13,MAX(0,MIN('V06 Motor'!A181*30/'V06 Motor'!C181,10)-MAX(('V06 Motor'!A181-1)*30/'V06 Motor'!C181,9))*'V06 Curva'!$B$14,MAX(0,MIN('V06 Motor'!A181*30/'V06 Motor'!C181,11)-MAX(('V06 Motor'!A181-1)*30/'V06 Motor'!C181,10))*'V06 Curva'!$B$15,MAX(0,MIN('V06 Motor'!A181*30/'V06 Motor'!C181,12)-MAX(('V06 Motor'!A181-1)*30/'V06 Motor'!C181,11))*'V06 Curva'!$B$16,MAX(0,MIN('V06 Motor'!A181*30/'V06 Motor'!C181,13)-MAX(('V06 Motor'!A181-1)*30/'V06 Motor'!C181,12))*'V06 Curva'!$B$17,MAX(0,MIN('V06 Motor'!A181*30/'V06 Motor'!C181,14)-MAX(('V06 Motor'!A181-1)*30/'V06 Motor'!C181,13))*'V06 Curva'!$B$18,MAX(0,MIN('V06 Motor'!A181*30/'V06 Motor'!C181,15)-MAX(('V06 Motor'!A181-1)*30/'V06 Motor'!C181,14))*'V06 Curva'!$B$19,MAX(0,MIN('V06 Motor'!A181*30/'V06 Motor'!C181,16)-MAX(('V06 Motor'!A181-1)*30/'V06 Motor'!C181,15))*'V06 Curva'!$B$20,MAX(0,MIN('V06 Motor'!A181*30/'V06 Motor'!C181,17)-MAX(('V06 Motor'!A181-1)*30/'V06 Motor'!C181,16))*'V06 Curva'!$B$21,MAX(0,MIN('V06 Motor'!A181*30/'V06 Motor'!C181,18)-MAX(('V06 Motor'!A181-1)*30/'V06 Motor'!C181,17))*'V06 Curva'!$B$22,MAX(0,MIN('V06 Motor'!A181*30/'V06 Motor'!C181,19)-MAX(('V06 Motor'!A181-1)*30/'V06 Motor'!C181,18))*'V06 Curva'!$B$23,MAX(0,MIN('V06 Motor'!A181*30/'V06 Motor'!C181,20)-MAX(('V06 Motor'!A181-1)*30/'V06 Motor'!C181,19))*'V06 Curva'!$B$24,MAX(0,MIN('V06 Motor'!A181*30/'V06 Motor'!C181,21)-MAX(('V06 Motor'!A181-1)*30/'V06 Motor'!C181,20))*'V06 Curva'!$B$25,MAX(0,MIN('V06 Motor'!A181*30/'V06 Motor'!C181,22)-MAX(('V06 Motor'!A181-1)*30/'V06 Motor'!C181,21))*'V06 Curva'!$B$26,MAX(0,MIN('V06 Motor'!A181*30/'V06 Motor'!C181,23)-MAX(('V06 Motor'!A181-1)*30/'V06 Motor'!C181,22))*'V06 Curva'!$B$27,MAX(0,MIN('V06 Motor'!A181*30/'V06 Motor'!C181,24)-MAX(('V06 Motor'!A181-1)*30/'V06 Motor'!C181,23))*'V06 Curva'!$B$28,MAX(0,MIN('V06 Motor'!A181*30/'V06 Motor'!C181,25)-MAX(('V06 Motor'!A181-1)*30/'V06 Motor'!C181,24))*'V06 Curva'!$B$29,MAX(0,MIN('V06 Motor'!A181*30/'V06 Motor'!C181,26)-MAX(('V06 Motor'!A181-1)*30/'V06 Motor'!C181,25))*'V06 Curva'!$B$30,MAX(0,MIN('V06 Motor'!A181*30/'V06 Motor'!C181,27)-MAX(('V06 Motor'!A181-1)*30/'V06 Motor'!C181,26))*'V06 Curva'!$B$31,MAX(0,MIN('V06 Motor'!A181*30/'V06 Motor'!C181,28)-MAX(('V06 Motor'!A181-1)*30/'V06 Motor'!C181,27))*'V06 Curva'!$B$32,MAX(0,MIN('V06 Motor'!A181*30/'V06 Motor'!C181,29)-MAX(('V06 Motor'!A181-1)*30/'V06 Motor'!C181,28))*'V06 Curva'!$B$33,MAX(0,MIN('V06 Motor'!A181*30/'V06 Motor'!C181,30)-MAX(('V06 Motor'!A181-1)*30/'V06 Motor'!C181,29))*'V06 Curva'!$B$34),0)</f>
        <v>0.0</v>
      </c>
      <c r="O181" s="2">
        <f>SUMPRODUCT(--(('V06 Unidades'!$I$5:$I$98+'V06 Controlos'!$B$37)='V06 Motor'!A181),ROUND('V06 Unidades'!$H$5:$H$98*0.05,2)+ROUND('V06 Unidades'!$H$5:$H$98*0.2,2))+SUMPRODUCT(--(IF('V06 Controlos'!$B$38&gt;0,IF(('V06 Unidades'!$L$5:$L$98+'V06 Controlos'!$B$37)&lt;'V06 Motor'!C181,'V06 Motor'!C181,('V06 Unidades'!$L$5:$L$98+'V06 Controlos'!$B$37)),('V06 Unidades'!$L$5:$L$98+'V06 Controlos'!$B$37))='V06 Motor'!A181),'V06 Unidades'!$H$5:$H$98-ROUND('V06 Unidades'!$H$5:$H$98*0.05,2)-ROUND('V06 Unidades'!$H$5:$H$98*0.2,2)-ROUND('V06 Unidades'!$H$5:$H$98*0.55,2))+SUMPRODUCT(--(IF(INT((IF('V06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Controlos'!$B$37)-1)/6),0)&gt;0),--('V06 Motor'!A181&gt;('V06 Unidades'!$I$5:$I$98+'V06 Controlos'!$B$37)),--('V06 Motor'!A181&lt;IF('V06 Controlos'!$B$38&gt;0,IF(('V06 Unidades'!$L$5:$L$98+'V06 Controlos'!$B$37)&lt;'V06 Motor'!C181,'V06 Motor'!C181,('V06 Unidades'!$L$5:$L$98+'V06 Controlos'!$B$37)),('V06 Unidades'!$L$5:$L$98+'V06 Controlos'!$B$37))),--(MOD('V06 Motor'!A181-('V06 Unidades'!$I$5:$I$98+'V06 Controlos'!$B$37),6)=0),--(('V06 Motor'!A181-('V06 Unidades'!$I$5:$I$98+'V06 Controlos'!$B$37))/6&lt;=IF(INT((IF('V06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Controlos'!$B$37)-1)/6),0)),IF('V06 Motor'!A181=('V06 Unidades'!$I$5:$I$98+'V06 Controlos'!$B$37)+6*IF(INT((IF('V06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Controlos'!$B$37)-1)/6),0)&gt;0,IF(INT((IF('V06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Controlos'!$B$37)-1)/6),0),1),2)*(IF(INT((IF('V06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Controlos'!$B$37)-1)/6),0)&gt;0,IF(INT((IF('V06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Controlos'!$B$37)-1)/6)&gt;0,INT((IF('V06 Controlos'!$B$38&gt;0,IF(('V06 Unidades'!$L$5:$L$98+'V06 Controlos'!$B$37)&lt;'V06 Motor'!C181,'V06 Motor'!C181,('V06 Unidades'!$L$5:$L$98+'V06 Controlos'!$B$37)),('V06 Unidades'!$L$5:$L$98+'V06 Controlos'!$B$37))-('V06 Unidades'!$I$5:$I$98+'V06 Controlos'!$B$37)-1)/6),0),1),2)))</f>
        <v>0.0</v>
      </c>
      <c r="P181" s="2">
        <f>SUM('V06 Calend 01'!GG5:GG98)</f>
        <v>0.0</v>
      </c>
    </row>
    <row r="182" spans="1:16">
      <c r="A182">
        <v>178</v>
      </c>
      <c r="C182">
        <v>30</v>
      </c>
      <c r="G182" s="2">
        <f>IF('V06 Motor'!A182&lt;='V06 Motor'!C182,SUMPRODUCT('V06 Curva'!$B$5:$B$34,IF((IF('V06 Motor'!A182*30/'V06 Motor'!C182&lt;'V06 Curva'!$A$5:$A$34,'V06 Motor'!A182*30/'V06 Motor'!C182,'V06 Curva'!$A$5:$A$34)-IF(('V06 Motor'!A182-1)*30/'V06 Motor'!C182&gt;'V06 Curva'!$A$5:$A$34-1,('V06 Motor'!A182-1)*30/'V06 Motor'!C182,'V06 Curva'!$A$5:$A$34-1))&gt;0,(IF('V06 Motor'!A182*30/'V06 Motor'!C182&lt;'V06 Curva'!$A$5:$A$34,'V06 Motor'!A182*30/'V06 Motor'!C182,'V06 Curva'!$A$5:$A$34)-IF(('V06 Motor'!A182-1)*30/'V06 Motor'!C182&gt;'V06 Curva'!$A$5:$A$34-1,('V06 Motor'!A182-1)*30/'V06 Motor'!C182,'V06 Curva'!$A$5:$A$34-1)),0)),0)</f>
        <v>0.0</v>
      </c>
      <c r="H182" s="2">
        <f>IF('V06 Motor'!A182&lt;='V06 Motor'!C182,SUM(MAX(0,MIN('V06 Motor'!A182*30/'V06 Motor'!C182,1)-MAX(('V06 Motor'!A182-1)*30/'V06 Motor'!C182,0))*'V06 Curva'!$B$5,MAX(0,MIN('V06 Motor'!A182*30/'V06 Motor'!C182,2)-MAX(('V06 Motor'!A182-1)*30/'V06 Motor'!C182,1))*'V06 Curva'!$B$6,MAX(0,MIN('V06 Motor'!A182*30/'V06 Motor'!C182,3)-MAX(('V06 Motor'!A182-1)*30/'V06 Motor'!C182,2))*'V06 Curva'!$B$7,MAX(0,MIN('V06 Motor'!A182*30/'V06 Motor'!C182,4)-MAX(('V06 Motor'!A182-1)*30/'V06 Motor'!C182,3))*'V06 Curva'!$B$8,MAX(0,MIN('V06 Motor'!A182*30/'V06 Motor'!C182,5)-MAX(('V06 Motor'!A182-1)*30/'V06 Motor'!C182,4))*'V06 Curva'!$B$9,MAX(0,MIN('V06 Motor'!A182*30/'V06 Motor'!C182,6)-MAX(('V06 Motor'!A182-1)*30/'V06 Motor'!C182,5))*'V06 Curva'!$B$10,MAX(0,MIN('V06 Motor'!A182*30/'V06 Motor'!C182,7)-MAX(('V06 Motor'!A182-1)*30/'V06 Motor'!C182,6))*'V06 Curva'!$B$11,MAX(0,MIN('V06 Motor'!A182*30/'V06 Motor'!C182,8)-MAX(('V06 Motor'!A182-1)*30/'V06 Motor'!C182,7))*'V06 Curva'!$B$12,MAX(0,MIN('V06 Motor'!A182*30/'V06 Motor'!C182,9)-MAX(('V06 Motor'!A182-1)*30/'V06 Motor'!C182,8))*'V06 Curva'!$B$13,MAX(0,MIN('V06 Motor'!A182*30/'V06 Motor'!C182,10)-MAX(('V06 Motor'!A182-1)*30/'V06 Motor'!C182,9))*'V06 Curva'!$B$14,MAX(0,MIN('V06 Motor'!A182*30/'V06 Motor'!C182,11)-MAX(('V06 Motor'!A182-1)*30/'V06 Motor'!C182,10))*'V06 Curva'!$B$15,MAX(0,MIN('V06 Motor'!A182*30/'V06 Motor'!C182,12)-MAX(('V06 Motor'!A182-1)*30/'V06 Motor'!C182,11))*'V06 Curva'!$B$16,MAX(0,MIN('V06 Motor'!A182*30/'V06 Motor'!C182,13)-MAX(('V06 Motor'!A182-1)*30/'V06 Motor'!C182,12))*'V06 Curva'!$B$17,MAX(0,MIN('V06 Motor'!A182*30/'V06 Motor'!C182,14)-MAX(('V06 Motor'!A182-1)*30/'V06 Motor'!C182,13))*'V06 Curva'!$B$18,MAX(0,MIN('V06 Motor'!A182*30/'V06 Motor'!C182,15)-MAX(('V06 Motor'!A182-1)*30/'V06 Motor'!C182,14))*'V06 Curva'!$B$19,MAX(0,MIN('V06 Motor'!A182*30/'V06 Motor'!C182,16)-MAX(('V06 Motor'!A182-1)*30/'V06 Motor'!C182,15))*'V06 Curva'!$B$20,MAX(0,MIN('V06 Motor'!A182*30/'V06 Motor'!C182,17)-MAX(('V06 Motor'!A182-1)*30/'V06 Motor'!C182,16))*'V06 Curva'!$B$21,MAX(0,MIN('V06 Motor'!A182*30/'V06 Motor'!C182,18)-MAX(('V06 Motor'!A182-1)*30/'V06 Motor'!C182,17))*'V06 Curva'!$B$22,MAX(0,MIN('V06 Motor'!A182*30/'V06 Motor'!C182,19)-MAX(('V06 Motor'!A182-1)*30/'V06 Motor'!C182,18))*'V06 Curva'!$B$23,MAX(0,MIN('V06 Motor'!A182*30/'V06 Motor'!C182,20)-MAX(('V06 Motor'!A182-1)*30/'V06 Motor'!C182,19))*'V06 Curva'!$B$24,MAX(0,MIN('V06 Motor'!A182*30/'V06 Motor'!C182,21)-MAX(('V06 Motor'!A182-1)*30/'V06 Motor'!C182,20))*'V06 Curva'!$B$25,MAX(0,MIN('V06 Motor'!A182*30/'V06 Motor'!C182,22)-MAX(('V06 Motor'!A182-1)*30/'V06 Motor'!C182,21))*'V06 Curva'!$B$26,MAX(0,MIN('V06 Motor'!A182*30/'V06 Motor'!C182,23)-MAX(('V06 Motor'!A182-1)*30/'V06 Motor'!C182,22))*'V06 Curva'!$B$27,MAX(0,MIN('V06 Motor'!A182*30/'V06 Motor'!C182,24)-MAX(('V06 Motor'!A182-1)*30/'V06 Motor'!C182,23))*'V06 Curva'!$B$28,MAX(0,MIN('V06 Motor'!A182*30/'V06 Motor'!C182,25)-MAX(('V06 Motor'!A182-1)*30/'V06 Motor'!C182,24))*'V06 Curva'!$B$29,MAX(0,MIN('V06 Motor'!A182*30/'V06 Motor'!C182,26)-MAX(('V06 Motor'!A182-1)*30/'V06 Motor'!C182,25))*'V06 Curva'!$B$30,MAX(0,MIN('V06 Motor'!A182*30/'V06 Motor'!C182,27)-MAX(('V06 Motor'!A182-1)*30/'V06 Motor'!C182,26))*'V06 Curva'!$B$31,MAX(0,MIN('V06 Motor'!A182*30/'V06 Motor'!C182,28)-MAX(('V06 Motor'!A182-1)*30/'V06 Motor'!C182,27))*'V06 Curva'!$B$32,MAX(0,MIN('V06 Motor'!A182*30/'V06 Motor'!C182,29)-MAX(('V06 Motor'!A182-1)*30/'V06 Motor'!C182,28))*'V06 Curva'!$B$33,MAX(0,MIN('V06 Motor'!A182*30/'V06 Motor'!C182,30)-MAX(('V06 Motor'!A182-1)*30/'V06 Motor'!C182,29))*'V06 Curva'!$B$34),0)</f>
        <v>0.0</v>
      </c>
      <c r="O182" s="2">
        <f>SUMPRODUCT(--(('V06 Unidades'!$I$5:$I$98+'V06 Controlos'!$B$37)='V06 Motor'!A182),ROUND('V06 Unidades'!$H$5:$H$98*0.05,2)+ROUND('V06 Unidades'!$H$5:$H$98*0.2,2))+SUMPRODUCT(--(IF('V06 Controlos'!$B$38&gt;0,IF(('V06 Unidades'!$L$5:$L$98+'V06 Controlos'!$B$37)&lt;'V06 Motor'!C182,'V06 Motor'!C182,('V06 Unidades'!$L$5:$L$98+'V06 Controlos'!$B$37)),('V06 Unidades'!$L$5:$L$98+'V06 Controlos'!$B$37))='V06 Motor'!A182),'V06 Unidades'!$H$5:$H$98-ROUND('V06 Unidades'!$H$5:$H$98*0.05,2)-ROUND('V06 Unidades'!$H$5:$H$98*0.2,2)-ROUND('V06 Unidades'!$H$5:$H$98*0.55,2))+SUMPRODUCT(--(IF(INT((IF('V06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Controlos'!$B$37)-1)/6),0)&gt;0),--('V06 Motor'!A182&gt;('V06 Unidades'!$I$5:$I$98+'V06 Controlos'!$B$37)),--('V06 Motor'!A182&lt;IF('V06 Controlos'!$B$38&gt;0,IF(('V06 Unidades'!$L$5:$L$98+'V06 Controlos'!$B$37)&lt;'V06 Motor'!C182,'V06 Motor'!C182,('V06 Unidades'!$L$5:$L$98+'V06 Controlos'!$B$37)),('V06 Unidades'!$L$5:$L$98+'V06 Controlos'!$B$37))),--(MOD('V06 Motor'!A182-('V06 Unidades'!$I$5:$I$98+'V06 Controlos'!$B$37),6)=0),--(('V06 Motor'!A182-('V06 Unidades'!$I$5:$I$98+'V06 Controlos'!$B$37))/6&lt;=IF(INT((IF('V06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Controlos'!$B$37)-1)/6),0)),IF('V06 Motor'!A182=('V06 Unidades'!$I$5:$I$98+'V06 Controlos'!$B$37)+6*IF(INT((IF('V06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Controlos'!$B$37)-1)/6),0)&gt;0,IF(INT((IF('V06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Controlos'!$B$37)-1)/6),0),1),2)*(IF(INT((IF('V06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Controlos'!$B$37)-1)/6),0)&gt;0,IF(INT((IF('V06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Controlos'!$B$37)-1)/6)&gt;0,INT((IF('V06 Controlos'!$B$38&gt;0,IF(('V06 Unidades'!$L$5:$L$98+'V06 Controlos'!$B$37)&lt;'V06 Motor'!C182,'V06 Motor'!C182,('V06 Unidades'!$L$5:$L$98+'V06 Controlos'!$B$37)),('V06 Unidades'!$L$5:$L$98+'V06 Controlos'!$B$37))-('V06 Unidades'!$I$5:$I$98+'V06 Controlos'!$B$37)-1)/6),0),1),2)))</f>
        <v>0.0</v>
      </c>
      <c r="P182" s="2">
        <f>SUM('V06 Calend 01'!GH5:GH98)</f>
        <v>0.0</v>
      </c>
    </row>
    <row r="183" spans="1:16">
      <c r="A183">
        <v>179</v>
      </c>
      <c r="C183">
        <v>30</v>
      </c>
      <c r="G183" s="2">
        <f>IF('V06 Motor'!A183&lt;='V06 Motor'!C183,SUMPRODUCT('V06 Curva'!$B$5:$B$34,IF((IF('V06 Motor'!A183*30/'V06 Motor'!C183&lt;'V06 Curva'!$A$5:$A$34,'V06 Motor'!A183*30/'V06 Motor'!C183,'V06 Curva'!$A$5:$A$34)-IF(('V06 Motor'!A183-1)*30/'V06 Motor'!C183&gt;'V06 Curva'!$A$5:$A$34-1,('V06 Motor'!A183-1)*30/'V06 Motor'!C183,'V06 Curva'!$A$5:$A$34-1))&gt;0,(IF('V06 Motor'!A183*30/'V06 Motor'!C183&lt;'V06 Curva'!$A$5:$A$34,'V06 Motor'!A183*30/'V06 Motor'!C183,'V06 Curva'!$A$5:$A$34)-IF(('V06 Motor'!A183-1)*30/'V06 Motor'!C183&gt;'V06 Curva'!$A$5:$A$34-1,('V06 Motor'!A183-1)*30/'V06 Motor'!C183,'V06 Curva'!$A$5:$A$34-1)),0)),0)</f>
        <v>0.0</v>
      </c>
      <c r="H183" s="2">
        <f>IF('V06 Motor'!A183&lt;='V06 Motor'!C183,SUM(MAX(0,MIN('V06 Motor'!A183*30/'V06 Motor'!C183,1)-MAX(('V06 Motor'!A183-1)*30/'V06 Motor'!C183,0))*'V06 Curva'!$B$5,MAX(0,MIN('V06 Motor'!A183*30/'V06 Motor'!C183,2)-MAX(('V06 Motor'!A183-1)*30/'V06 Motor'!C183,1))*'V06 Curva'!$B$6,MAX(0,MIN('V06 Motor'!A183*30/'V06 Motor'!C183,3)-MAX(('V06 Motor'!A183-1)*30/'V06 Motor'!C183,2))*'V06 Curva'!$B$7,MAX(0,MIN('V06 Motor'!A183*30/'V06 Motor'!C183,4)-MAX(('V06 Motor'!A183-1)*30/'V06 Motor'!C183,3))*'V06 Curva'!$B$8,MAX(0,MIN('V06 Motor'!A183*30/'V06 Motor'!C183,5)-MAX(('V06 Motor'!A183-1)*30/'V06 Motor'!C183,4))*'V06 Curva'!$B$9,MAX(0,MIN('V06 Motor'!A183*30/'V06 Motor'!C183,6)-MAX(('V06 Motor'!A183-1)*30/'V06 Motor'!C183,5))*'V06 Curva'!$B$10,MAX(0,MIN('V06 Motor'!A183*30/'V06 Motor'!C183,7)-MAX(('V06 Motor'!A183-1)*30/'V06 Motor'!C183,6))*'V06 Curva'!$B$11,MAX(0,MIN('V06 Motor'!A183*30/'V06 Motor'!C183,8)-MAX(('V06 Motor'!A183-1)*30/'V06 Motor'!C183,7))*'V06 Curva'!$B$12,MAX(0,MIN('V06 Motor'!A183*30/'V06 Motor'!C183,9)-MAX(('V06 Motor'!A183-1)*30/'V06 Motor'!C183,8))*'V06 Curva'!$B$13,MAX(0,MIN('V06 Motor'!A183*30/'V06 Motor'!C183,10)-MAX(('V06 Motor'!A183-1)*30/'V06 Motor'!C183,9))*'V06 Curva'!$B$14,MAX(0,MIN('V06 Motor'!A183*30/'V06 Motor'!C183,11)-MAX(('V06 Motor'!A183-1)*30/'V06 Motor'!C183,10))*'V06 Curva'!$B$15,MAX(0,MIN('V06 Motor'!A183*30/'V06 Motor'!C183,12)-MAX(('V06 Motor'!A183-1)*30/'V06 Motor'!C183,11))*'V06 Curva'!$B$16,MAX(0,MIN('V06 Motor'!A183*30/'V06 Motor'!C183,13)-MAX(('V06 Motor'!A183-1)*30/'V06 Motor'!C183,12))*'V06 Curva'!$B$17,MAX(0,MIN('V06 Motor'!A183*30/'V06 Motor'!C183,14)-MAX(('V06 Motor'!A183-1)*30/'V06 Motor'!C183,13))*'V06 Curva'!$B$18,MAX(0,MIN('V06 Motor'!A183*30/'V06 Motor'!C183,15)-MAX(('V06 Motor'!A183-1)*30/'V06 Motor'!C183,14))*'V06 Curva'!$B$19,MAX(0,MIN('V06 Motor'!A183*30/'V06 Motor'!C183,16)-MAX(('V06 Motor'!A183-1)*30/'V06 Motor'!C183,15))*'V06 Curva'!$B$20,MAX(0,MIN('V06 Motor'!A183*30/'V06 Motor'!C183,17)-MAX(('V06 Motor'!A183-1)*30/'V06 Motor'!C183,16))*'V06 Curva'!$B$21,MAX(0,MIN('V06 Motor'!A183*30/'V06 Motor'!C183,18)-MAX(('V06 Motor'!A183-1)*30/'V06 Motor'!C183,17))*'V06 Curva'!$B$22,MAX(0,MIN('V06 Motor'!A183*30/'V06 Motor'!C183,19)-MAX(('V06 Motor'!A183-1)*30/'V06 Motor'!C183,18))*'V06 Curva'!$B$23,MAX(0,MIN('V06 Motor'!A183*30/'V06 Motor'!C183,20)-MAX(('V06 Motor'!A183-1)*30/'V06 Motor'!C183,19))*'V06 Curva'!$B$24,MAX(0,MIN('V06 Motor'!A183*30/'V06 Motor'!C183,21)-MAX(('V06 Motor'!A183-1)*30/'V06 Motor'!C183,20))*'V06 Curva'!$B$25,MAX(0,MIN('V06 Motor'!A183*30/'V06 Motor'!C183,22)-MAX(('V06 Motor'!A183-1)*30/'V06 Motor'!C183,21))*'V06 Curva'!$B$26,MAX(0,MIN('V06 Motor'!A183*30/'V06 Motor'!C183,23)-MAX(('V06 Motor'!A183-1)*30/'V06 Motor'!C183,22))*'V06 Curva'!$B$27,MAX(0,MIN('V06 Motor'!A183*30/'V06 Motor'!C183,24)-MAX(('V06 Motor'!A183-1)*30/'V06 Motor'!C183,23))*'V06 Curva'!$B$28,MAX(0,MIN('V06 Motor'!A183*30/'V06 Motor'!C183,25)-MAX(('V06 Motor'!A183-1)*30/'V06 Motor'!C183,24))*'V06 Curva'!$B$29,MAX(0,MIN('V06 Motor'!A183*30/'V06 Motor'!C183,26)-MAX(('V06 Motor'!A183-1)*30/'V06 Motor'!C183,25))*'V06 Curva'!$B$30,MAX(0,MIN('V06 Motor'!A183*30/'V06 Motor'!C183,27)-MAX(('V06 Motor'!A183-1)*30/'V06 Motor'!C183,26))*'V06 Curva'!$B$31,MAX(0,MIN('V06 Motor'!A183*30/'V06 Motor'!C183,28)-MAX(('V06 Motor'!A183-1)*30/'V06 Motor'!C183,27))*'V06 Curva'!$B$32,MAX(0,MIN('V06 Motor'!A183*30/'V06 Motor'!C183,29)-MAX(('V06 Motor'!A183-1)*30/'V06 Motor'!C183,28))*'V06 Curva'!$B$33,MAX(0,MIN('V06 Motor'!A183*30/'V06 Motor'!C183,30)-MAX(('V06 Motor'!A183-1)*30/'V06 Motor'!C183,29))*'V06 Curva'!$B$34),0)</f>
        <v>0.0</v>
      </c>
      <c r="O183" s="2">
        <f>SUMPRODUCT(--(('V06 Unidades'!$I$5:$I$98+'V06 Controlos'!$B$37)='V06 Motor'!A183),ROUND('V06 Unidades'!$H$5:$H$98*0.05,2)+ROUND('V06 Unidades'!$H$5:$H$98*0.2,2))+SUMPRODUCT(--(IF('V06 Controlos'!$B$38&gt;0,IF(('V06 Unidades'!$L$5:$L$98+'V06 Controlos'!$B$37)&lt;'V06 Motor'!C183,'V06 Motor'!C183,('V06 Unidades'!$L$5:$L$98+'V06 Controlos'!$B$37)),('V06 Unidades'!$L$5:$L$98+'V06 Controlos'!$B$37))='V06 Motor'!A183),'V06 Unidades'!$H$5:$H$98-ROUND('V06 Unidades'!$H$5:$H$98*0.05,2)-ROUND('V06 Unidades'!$H$5:$H$98*0.2,2)-ROUND('V06 Unidades'!$H$5:$H$98*0.55,2))+SUMPRODUCT(--(IF(INT((IF('V06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Controlos'!$B$37)-1)/6),0)&gt;0),--('V06 Motor'!A183&gt;('V06 Unidades'!$I$5:$I$98+'V06 Controlos'!$B$37)),--('V06 Motor'!A183&lt;IF('V06 Controlos'!$B$38&gt;0,IF(('V06 Unidades'!$L$5:$L$98+'V06 Controlos'!$B$37)&lt;'V06 Motor'!C183,'V06 Motor'!C183,('V06 Unidades'!$L$5:$L$98+'V06 Controlos'!$B$37)),('V06 Unidades'!$L$5:$L$98+'V06 Controlos'!$B$37))),--(MOD('V06 Motor'!A183-('V06 Unidades'!$I$5:$I$98+'V06 Controlos'!$B$37),6)=0),--(('V06 Motor'!A183-('V06 Unidades'!$I$5:$I$98+'V06 Controlos'!$B$37))/6&lt;=IF(INT((IF('V06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Controlos'!$B$37)-1)/6),0)),IF('V06 Motor'!A183=('V06 Unidades'!$I$5:$I$98+'V06 Controlos'!$B$37)+6*IF(INT((IF('V06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Controlos'!$B$37)-1)/6),0)&gt;0,IF(INT((IF('V06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Controlos'!$B$37)-1)/6),0),1),2)*(IF(INT((IF('V06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Controlos'!$B$37)-1)/6),0)&gt;0,IF(INT((IF('V06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Controlos'!$B$37)-1)/6)&gt;0,INT((IF('V06 Controlos'!$B$38&gt;0,IF(('V06 Unidades'!$L$5:$L$98+'V06 Controlos'!$B$37)&lt;'V06 Motor'!C183,'V06 Motor'!C183,('V06 Unidades'!$L$5:$L$98+'V06 Controlos'!$B$37)),('V06 Unidades'!$L$5:$L$98+'V06 Controlos'!$B$37))-('V06 Unidades'!$I$5:$I$98+'V06 Controlos'!$B$37)-1)/6),0),1),2)))</f>
        <v>0.0</v>
      </c>
      <c r="P183" s="2">
        <f>SUM('V06 Calend 01'!GI5:GI98)</f>
        <v>0.0</v>
      </c>
    </row>
    <row r="184" spans="1:16">
      <c r="A184">
        <v>180</v>
      </c>
      <c r="C184">
        <v>30</v>
      </c>
      <c r="G184" s="2">
        <f>IF('V06 Motor'!A184&lt;='V06 Motor'!C184,SUMPRODUCT('V06 Curva'!$B$5:$B$34,IF((IF('V06 Motor'!A184*30/'V06 Motor'!C184&lt;'V06 Curva'!$A$5:$A$34,'V06 Motor'!A184*30/'V06 Motor'!C184,'V06 Curva'!$A$5:$A$34)-IF(('V06 Motor'!A184-1)*30/'V06 Motor'!C184&gt;'V06 Curva'!$A$5:$A$34-1,('V06 Motor'!A184-1)*30/'V06 Motor'!C184,'V06 Curva'!$A$5:$A$34-1))&gt;0,(IF('V06 Motor'!A184*30/'V06 Motor'!C184&lt;'V06 Curva'!$A$5:$A$34,'V06 Motor'!A184*30/'V06 Motor'!C184,'V06 Curva'!$A$5:$A$34)-IF(('V06 Motor'!A184-1)*30/'V06 Motor'!C184&gt;'V06 Curva'!$A$5:$A$34-1,('V06 Motor'!A184-1)*30/'V06 Motor'!C184,'V06 Curva'!$A$5:$A$34-1)),0)),0)</f>
        <v>0.0</v>
      </c>
      <c r="H184" s="2">
        <f>IF('V06 Motor'!A184&lt;='V06 Motor'!C184,SUM(MAX(0,MIN('V06 Motor'!A184*30/'V06 Motor'!C184,1)-MAX(('V06 Motor'!A184-1)*30/'V06 Motor'!C184,0))*'V06 Curva'!$B$5,MAX(0,MIN('V06 Motor'!A184*30/'V06 Motor'!C184,2)-MAX(('V06 Motor'!A184-1)*30/'V06 Motor'!C184,1))*'V06 Curva'!$B$6,MAX(0,MIN('V06 Motor'!A184*30/'V06 Motor'!C184,3)-MAX(('V06 Motor'!A184-1)*30/'V06 Motor'!C184,2))*'V06 Curva'!$B$7,MAX(0,MIN('V06 Motor'!A184*30/'V06 Motor'!C184,4)-MAX(('V06 Motor'!A184-1)*30/'V06 Motor'!C184,3))*'V06 Curva'!$B$8,MAX(0,MIN('V06 Motor'!A184*30/'V06 Motor'!C184,5)-MAX(('V06 Motor'!A184-1)*30/'V06 Motor'!C184,4))*'V06 Curva'!$B$9,MAX(0,MIN('V06 Motor'!A184*30/'V06 Motor'!C184,6)-MAX(('V06 Motor'!A184-1)*30/'V06 Motor'!C184,5))*'V06 Curva'!$B$10,MAX(0,MIN('V06 Motor'!A184*30/'V06 Motor'!C184,7)-MAX(('V06 Motor'!A184-1)*30/'V06 Motor'!C184,6))*'V06 Curva'!$B$11,MAX(0,MIN('V06 Motor'!A184*30/'V06 Motor'!C184,8)-MAX(('V06 Motor'!A184-1)*30/'V06 Motor'!C184,7))*'V06 Curva'!$B$12,MAX(0,MIN('V06 Motor'!A184*30/'V06 Motor'!C184,9)-MAX(('V06 Motor'!A184-1)*30/'V06 Motor'!C184,8))*'V06 Curva'!$B$13,MAX(0,MIN('V06 Motor'!A184*30/'V06 Motor'!C184,10)-MAX(('V06 Motor'!A184-1)*30/'V06 Motor'!C184,9))*'V06 Curva'!$B$14,MAX(0,MIN('V06 Motor'!A184*30/'V06 Motor'!C184,11)-MAX(('V06 Motor'!A184-1)*30/'V06 Motor'!C184,10))*'V06 Curva'!$B$15,MAX(0,MIN('V06 Motor'!A184*30/'V06 Motor'!C184,12)-MAX(('V06 Motor'!A184-1)*30/'V06 Motor'!C184,11))*'V06 Curva'!$B$16,MAX(0,MIN('V06 Motor'!A184*30/'V06 Motor'!C184,13)-MAX(('V06 Motor'!A184-1)*30/'V06 Motor'!C184,12))*'V06 Curva'!$B$17,MAX(0,MIN('V06 Motor'!A184*30/'V06 Motor'!C184,14)-MAX(('V06 Motor'!A184-1)*30/'V06 Motor'!C184,13))*'V06 Curva'!$B$18,MAX(0,MIN('V06 Motor'!A184*30/'V06 Motor'!C184,15)-MAX(('V06 Motor'!A184-1)*30/'V06 Motor'!C184,14))*'V06 Curva'!$B$19,MAX(0,MIN('V06 Motor'!A184*30/'V06 Motor'!C184,16)-MAX(('V06 Motor'!A184-1)*30/'V06 Motor'!C184,15))*'V06 Curva'!$B$20,MAX(0,MIN('V06 Motor'!A184*30/'V06 Motor'!C184,17)-MAX(('V06 Motor'!A184-1)*30/'V06 Motor'!C184,16))*'V06 Curva'!$B$21,MAX(0,MIN('V06 Motor'!A184*30/'V06 Motor'!C184,18)-MAX(('V06 Motor'!A184-1)*30/'V06 Motor'!C184,17))*'V06 Curva'!$B$22,MAX(0,MIN('V06 Motor'!A184*30/'V06 Motor'!C184,19)-MAX(('V06 Motor'!A184-1)*30/'V06 Motor'!C184,18))*'V06 Curva'!$B$23,MAX(0,MIN('V06 Motor'!A184*30/'V06 Motor'!C184,20)-MAX(('V06 Motor'!A184-1)*30/'V06 Motor'!C184,19))*'V06 Curva'!$B$24,MAX(0,MIN('V06 Motor'!A184*30/'V06 Motor'!C184,21)-MAX(('V06 Motor'!A184-1)*30/'V06 Motor'!C184,20))*'V06 Curva'!$B$25,MAX(0,MIN('V06 Motor'!A184*30/'V06 Motor'!C184,22)-MAX(('V06 Motor'!A184-1)*30/'V06 Motor'!C184,21))*'V06 Curva'!$B$26,MAX(0,MIN('V06 Motor'!A184*30/'V06 Motor'!C184,23)-MAX(('V06 Motor'!A184-1)*30/'V06 Motor'!C184,22))*'V06 Curva'!$B$27,MAX(0,MIN('V06 Motor'!A184*30/'V06 Motor'!C184,24)-MAX(('V06 Motor'!A184-1)*30/'V06 Motor'!C184,23))*'V06 Curva'!$B$28,MAX(0,MIN('V06 Motor'!A184*30/'V06 Motor'!C184,25)-MAX(('V06 Motor'!A184-1)*30/'V06 Motor'!C184,24))*'V06 Curva'!$B$29,MAX(0,MIN('V06 Motor'!A184*30/'V06 Motor'!C184,26)-MAX(('V06 Motor'!A184-1)*30/'V06 Motor'!C184,25))*'V06 Curva'!$B$30,MAX(0,MIN('V06 Motor'!A184*30/'V06 Motor'!C184,27)-MAX(('V06 Motor'!A184-1)*30/'V06 Motor'!C184,26))*'V06 Curva'!$B$31,MAX(0,MIN('V06 Motor'!A184*30/'V06 Motor'!C184,28)-MAX(('V06 Motor'!A184-1)*30/'V06 Motor'!C184,27))*'V06 Curva'!$B$32,MAX(0,MIN('V06 Motor'!A184*30/'V06 Motor'!C184,29)-MAX(('V06 Motor'!A184-1)*30/'V06 Motor'!C184,28))*'V06 Curva'!$B$33,MAX(0,MIN('V06 Motor'!A184*30/'V06 Motor'!C184,30)-MAX(('V06 Motor'!A184-1)*30/'V06 Motor'!C184,29))*'V06 Curva'!$B$34),0)</f>
        <v>0.0</v>
      </c>
      <c r="O184" s="2">
        <f>SUMPRODUCT(--(('V06 Unidades'!$I$5:$I$98+'V06 Controlos'!$B$37)='V06 Motor'!A184),ROUND('V06 Unidades'!$H$5:$H$98*0.05,2)+ROUND('V06 Unidades'!$H$5:$H$98*0.2,2))+SUMPRODUCT(--(IF('V06 Controlos'!$B$38&gt;0,IF(('V06 Unidades'!$L$5:$L$98+'V06 Controlos'!$B$37)&lt;'V06 Motor'!C184,'V06 Motor'!C184,('V06 Unidades'!$L$5:$L$98+'V06 Controlos'!$B$37)),('V06 Unidades'!$L$5:$L$98+'V06 Controlos'!$B$37))='V06 Motor'!A184),'V06 Unidades'!$H$5:$H$98-ROUND('V06 Unidades'!$H$5:$H$98*0.05,2)-ROUND('V06 Unidades'!$H$5:$H$98*0.2,2)-ROUND('V06 Unidades'!$H$5:$H$98*0.55,2))+SUMPRODUCT(--(IF(INT((IF('V06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Controlos'!$B$37)-1)/6),0)&gt;0),--('V06 Motor'!A184&gt;('V06 Unidades'!$I$5:$I$98+'V06 Controlos'!$B$37)),--('V06 Motor'!A184&lt;IF('V06 Controlos'!$B$38&gt;0,IF(('V06 Unidades'!$L$5:$L$98+'V06 Controlos'!$B$37)&lt;'V06 Motor'!C184,'V06 Motor'!C184,('V06 Unidades'!$L$5:$L$98+'V06 Controlos'!$B$37)),('V06 Unidades'!$L$5:$L$98+'V06 Controlos'!$B$37))),--(MOD('V06 Motor'!A184-('V06 Unidades'!$I$5:$I$98+'V06 Controlos'!$B$37),6)=0),--(('V06 Motor'!A184-('V06 Unidades'!$I$5:$I$98+'V06 Controlos'!$B$37))/6&lt;=IF(INT((IF('V06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Controlos'!$B$37)-1)/6),0)),IF('V06 Motor'!A184=('V06 Unidades'!$I$5:$I$98+'V06 Controlos'!$B$37)+6*IF(INT((IF('V06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Controlos'!$B$37)-1)/6),0),ROUND('V06 Unidades'!$H$5:$H$98*0.55,2)-ROUND(ROUND('V06 Unidades'!$H$5:$H$98*0.55,2)/IF(IF(INT((IF('V06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Controlos'!$B$37)-1)/6),0)&gt;0,IF(INT((IF('V06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Controlos'!$B$37)-1)/6),0),1),2)*(IF(INT((IF('V06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Controlos'!$B$37)-1)/6),0)-1),ROUND(ROUND('V06 Unidades'!$H$5:$H$98*0.55,2)/IF(IF(INT((IF('V06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Controlos'!$B$37)-1)/6),0)&gt;0,IF(INT((IF('V06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Controlos'!$B$37)-1)/6)&gt;0,INT((IF('V06 Controlos'!$B$38&gt;0,IF(('V06 Unidades'!$L$5:$L$98+'V06 Controlos'!$B$37)&lt;'V06 Motor'!C184,'V06 Motor'!C184,('V06 Unidades'!$L$5:$L$98+'V06 Controlos'!$B$37)),('V06 Unidades'!$L$5:$L$98+'V06 Controlos'!$B$37))-('V06 Unidades'!$I$5:$I$98+'V06 Controlos'!$B$37)-1)/6),0),1),2)))</f>
        <v>0.0</v>
      </c>
      <c r="P184" s="2">
        <f>SUM('V06 Calend 01'!GJ5:GJ98)</f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DIAGNOSTICO</vt:lpstr>
      <vt:lpstr>V06 Controlos</vt:lpstr>
      <vt:lpstr>V06 Curva</vt:lpstr>
      <vt:lpstr>V06 Unidades</vt:lpstr>
      <vt:lpstr>V06 Calend 01</vt:lpstr>
      <vt:lpstr>V06 Motor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2026-10-22T13:31:55Z</dcterms:created>
  <dcterms:modified xsi:type="dcterms:W3CDTF">2026-10-22T13:31:55Z</dcterms:modified>
</cp:coreProperties>
</file>